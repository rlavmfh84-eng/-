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대시보드" sheetId="1" state="visible" r:id="rId3"/>
    <sheet name="관리자_MASTER" sheetId="2" state="visible" r:id="rId4"/>
    <sheet name="강습표_2026년12월" sheetId="3" state="visible" r:id="rId5"/>
    <sheet name="강습표_2027년1월" sheetId="4" state="visible" r:id="rId6"/>
    <sheet name="강습표_2027년2월" sheetId="5" state="visible" r:id="rId7"/>
    <sheet name="월별결산" sheetId="6" state="visible" r:id="rId8"/>
    <sheet name="강사정산" sheetId="7" state="visible" r:id="rId9"/>
    <sheet name="운영비" sheetId="8" state="visible" r:id="rId10"/>
    <sheet name="강사DB" sheetId="9" state="visible" r:id="rId11"/>
    <sheet name="설정" sheetId="10" state="visible" r:id="rId12"/>
    <sheet name="사용법" sheetId="11" state="visible" r:id="rId13"/>
  </sheets>
  <definedNames>
    <definedName function="false" hidden="true" localSheetId="1" name="_xlnm._FilterDatabase" vbProcedure="false">관리자_MASTER!$A$4:$AE$1004</definedName>
    <definedName function="false" hidden="false" name="g_e" vbProcedure="false">강사정산!$AL$6:$AL$21</definedName>
    <definedName function="false" hidden="false" name="g_grid" vbProcedure="false">강사정산!$M$6:$AJ$21</definedName>
    <definedName function="false" hidden="false" name="g_s" vbProcedure="false">강사정산!$AK$6:$AK$21</definedName>
    <definedName function="false" hidden="false" name="m_active" vbProcedure="false">관리자_MASTER!$AC$5:$AC$1004</definedName>
    <definedName function="false" hidden="false" name="m_conf" vbProcedure="false">관리자_MASTER!$S$5:$S$1004</definedName>
    <definedName function="false" hidden="false" name="m_date" vbProcedure="false">관리자_MASTER!$U$5:$U$1004</definedName>
    <definedName function="false" hidden="false" name="m_end" vbProcedure="false">관리자_MASTER!$W$5:$W$1004</definedName>
    <definedName function="false" hidden="false" name="m_equip" vbProcedure="false">관리자_MASTER!$AF$5:$AF$1004</definedName>
    <definedName function="false" hidden="false" name="m_fee" vbProcedure="false">관리자_MASTER!$Z$5:$Z$1004</definedName>
    <definedName function="false" hidden="false" name="m_graw" vbProcedure="false">관리자_MASTER!$G$5:$G$1004</definedName>
    <definedName function="false" hidden="false" name="m_hours" vbProcedure="false">관리자_MASTER!$J$5:$J$1004</definedName>
    <definedName function="false" hidden="false" name="m_hraw" vbProcedure="false">관리자_MASTER!$H$5:$H$1004</definedName>
    <definedName function="false" hidden="false" name="m_iraw" vbProcedure="false">관리자_MASTER!$I$5:$I$1004</definedName>
    <definedName function="false" hidden="false" name="m_label" vbProcedure="false">관리자_MASTER!$AB$1:$AB$1004</definedName>
    <definedName function="false" hidden="false" name="m_label2" vbProcedure="false">관리자_MASTER!$AG$1:$AG$1004</definedName>
    <definedName function="false" hidden="false" name="m_name" vbProcedure="false">관리자_MASTER!$D$5:$D$1004</definedName>
    <definedName function="false" hidden="false" name="m_navfee" vbProcedure="false">관리자_MASTER!$AH$5:$AH$1004</definedName>
    <definedName function="false" hidden="false" name="m_pay" vbProcedure="false">관리자_MASTER!$N$5:$N$1004</definedName>
    <definedName function="false" hidden="false" name="m_paydate" vbProcedure="false">관리자_MASTER!$X$5:$X$1004</definedName>
    <definedName function="false" hidden="false" name="m_praw" vbProcedure="false">관리자_MASTER!$P$5:$P$1004</definedName>
    <definedName function="false" hidden="false" name="m_retired" vbProcedure="false">관리자_MASTER!$AJ$5:$AJ$1004</definedName>
    <definedName function="false" hidden="false" name="m_rev" vbProcedure="false">관리자_MASTER!$AA$5:$AA$1004</definedName>
    <definedName function="false" hidden="false" name="m_review" vbProcedure="false">관리자_MASTER!$AE$5:$AE$1004</definedName>
    <definedName function="false" hidden="false" name="m_route" vbProcedure="false">관리자_MASTER!$Q$5:$Q$1004</definedName>
    <definedName function="false" hidden="false" name="m_row" vbProcedure="false">관리자_MASTER!$AI$5:$AI$1004</definedName>
    <definedName function="false" hidden="false" name="m_settle" vbProcedure="false">관리자_MASTER!$AD$5:$AD$1004</definedName>
    <definedName function="false" hidden="false" name="m_start" vbProcedure="false">관리자_MASTER!$V$5:$V$1004</definedName>
    <definedName function="false" hidden="false" name="m_startall" vbProcedure="false">관리자_MASTER!$V$1:$V$1004</definedName>
    <definedName function="false" hidden="false" name="m_status" vbProcedure="false">관리자_MASTER!$B$5:$B$1004</definedName>
    <definedName function="false" hidden="false" name="m_teacher" vbProcedure="false">관리자_MASTER!$M$5:$M$1004</definedName>
    <definedName function="false" hidden="false" name="o_amt" vbProcedure="false">운영비!$D$4:$D$503</definedName>
    <definedName function="false" hidden="false" name="o_date" vbProcedure="false">운영비!$G$4:$G$503</definedName>
    <definedName function="false" hidden="false" name="o_item" vbProcedure="false">운영비!$C$4:$C$503</definedName>
    <definedName function="false" hidden="false" name="o_type" vbProcedure="false">운영비!$B$4:$B$503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<sst xmlns="http://schemas.openxmlformats.org/spreadsheetml/2006/main" count="1427" uniqueCount="231">
  <si>
    <r>
      <rPr>
        <b val="true"/>
        <sz val="16"/>
        <color rgb="FF123D27"/>
        <rFont val="Arial"/>
        <family val="0"/>
        <charset val="1"/>
      </rPr>
      <t xml:space="preserve">2026-27 </t>
    </r>
    <r>
      <rPr>
        <b val="true"/>
        <sz val="16"/>
        <color rgb="FF123D27"/>
        <rFont val="WenQuanYi Zen Hei"/>
        <family val="2"/>
      </rPr>
      <t xml:space="preserve">배움스키아카데미 운영 대시보드</t>
    </r>
  </si>
  <si>
    <t xml:space="preserve">시즌 예약</t>
  </si>
  <si>
    <t xml:space="preserve">오늘 강습</t>
  </si>
  <si>
    <t xml:space="preserve">상담 진행중</t>
  </si>
  <si>
    <t xml:space="preserve">취소</t>
  </si>
  <si>
    <t xml:space="preserve">예상순익</t>
  </si>
  <si>
    <t xml:space="preserve">결제완료 누적</t>
  </si>
  <si>
    <r>
      <rPr>
        <b val="true"/>
        <sz val="11"/>
        <color rgb="FF123D27"/>
        <rFont val="WenQuanYi Zen Hei"/>
        <family val="2"/>
      </rPr>
      <t xml:space="preserve">시즌 손익 </t>
    </r>
    <r>
      <rPr>
        <b val="true"/>
        <sz val="11"/>
        <color rgb="FF123D27"/>
        <rFont val="Arial"/>
        <family val="0"/>
        <charset val="1"/>
      </rPr>
      <t xml:space="preserve">(</t>
    </r>
    <r>
      <rPr>
        <b val="true"/>
        <sz val="11"/>
        <color rgb="FF123D27"/>
        <rFont val="WenQuanYi Zen Hei"/>
        <family val="2"/>
      </rPr>
      <t xml:space="preserve">누적</t>
    </r>
    <r>
      <rPr>
        <b val="true"/>
        <sz val="11"/>
        <color rgb="FF123D27"/>
        <rFont val="Arial"/>
        <family val="0"/>
        <charset val="1"/>
      </rPr>
      <t xml:space="preserve">)</t>
    </r>
  </si>
  <si>
    <t xml:space="preserve">처리할 일</t>
  </si>
  <si>
    <t xml:space="preserve">매출</t>
  </si>
  <si>
    <t xml:space="preserve">결제완료 강습의 결제금액</t>
  </si>
  <si>
    <t xml:space="preserve">강사 일정 충돌</t>
  </si>
  <si>
    <t xml:space="preserve">− 강사료</t>
  </si>
  <si>
    <r>
      <rPr>
        <sz val="9"/>
        <color rgb="FF4A6355"/>
        <rFont val="WenQuanYi Zen Hei"/>
        <family val="2"/>
      </rPr>
      <t xml:space="preserve">시급 </t>
    </r>
    <r>
      <rPr>
        <sz val="9"/>
        <color rgb="FF4A6355"/>
        <rFont val="Arial"/>
        <family val="0"/>
        <charset val="1"/>
      </rPr>
      <t xml:space="preserve">× </t>
    </r>
    <r>
      <rPr>
        <sz val="9"/>
        <color rgb="FF4A6355"/>
        <rFont val="WenQuanYi Zen Hei"/>
        <family val="2"/>
      </rPr>
      <t xml:space="preserve">강습시간 </t>
    </r>
    <r>
      <rPr>
        <sz val="9"/>
        <color rgb="FF4A6355"/>
        <rFont val="Arial"/>
        <family val="0"/>
        <charset val="1"/>
      </rPr>
      <t xml:space="preserve">+ </t>
    </r>
    <r>
      <rPr>
        <sz val="9"/>
        <color rgb="FF4A6355"/>
        <rFont val="WenQuanYi Zen Hei"/>
        <family val="2"/>
      </rPr>
      <t xml:space="preserve">인원 추가 수당</t>
    </r>
  </si>
  <si>
    <r>
      <rPr>
        <sz val="10"/>
        <color rgb="FF2E4A3A"/>
        <rFont val="WenQuanYi Zen Hei"/>
        <family val="2"/>
      </rPr>
      <t xml:space="preserve">강사 미배정 </t>
    </r>
    <r>
      <rPr>
        <sz val="10"/>
        <color rgb="FF2E4A3A"/>
        <rFont val="Arial"/>
        <family val="0"/>
        <charset val="1"/>
      </rPr>
      <t xml:space="preserve">(</t>
    </r>
    <r>
      <rPr>
        <sz val="10"/>
        <color rgb="FF2E4A3A"/>
        <rFont val="WenQuanYi Zen Hei"/>
        <family val="2"/>
      </rPr>
      <t xml:space="preserve">결제완료</t>
    </r>
    <r>
      <rPr>
        <sz val="10"/>
        <color rgb="FF2E4A3A"/>
        <rFont val="Arial"/>
        <family val="0"/>
        <charset val="1"/>
      </rPr>
      <t xml:space="preserve">·</t>
    </r>
    <r>
      <rPr>
        <sz val="10"/>
        <color rgb="FF2E4A3A"/>
        <rFont val="WenQuanYi Zen Hei"/>
        <family val="2"/>
      </rPr>
      <t xml:space="preserve">상담중</t>
    </r>
    <r>
      <rPr>
        <sz val="10"/>
        <color rgb="FF2E4A3A"/>
        <rFont val="Arial"/>
        <family val="0"/>
        <charset val="1"/>
      </rPr>
      <t xml:space="preserve">)</t>
    </r>
  </si>
  <si>
    <t xml:space="preserve">− 장비 렌탈비</t>
  </si>
  <si>
    <r>
      <rPr>
        <sz val="9"/>
        <color rgb="FF4A6355"/>
        <rFont val="WenQuanYi Zen Hei"/>
        <family val="2"/>
      </rPr>
      <t xml:space="preserve">장비대여 </t>
    </r>
    <r>
      <rPr>
        <sz val="9"/>
        <color rgb="FF4A6355"/>
        <rFont val="Arial"/>
        <family val="0"/>
        <charset val="1"/>
      </rPr>
      <t xml:space="preserve">'</t>
    </r>
    <r>
      <rPr>
        <sz val="9"/>
        <color rgb="FF4A6355"/>
        <rFont val="WenQuanYi Zen Hei"/>
        <family val="2"/>
      </rPr>
      <t xml:space="preserve">대여</t>
    </r>
    <r>
      <rPr>
        <sz val="9"/>
        <color rgb="FF4A6355"/>
        <rFont val="Arial"/>
        <family val="0"/>
        <charset val="1"/>
      </rPr>
      <t xml:space="preserve">' </t>
    </r>
    <r>
      <rPr>
        <sz val="9"/>
        <color rgb="FF4A6355"/>
        <rFont val="WenQuanYi Zen Hei"/>
        <family val="2"/>
      </rPr>
      <t xml:space="preserve">건 </t>
    </r>
    <r>
      <rPr>
        <sz val="9"/>
        <color rgb="FF4A6355"/>
        <rFont val="Arial"/>
        <family val="0"/>
        <charset val="1"/>
      </rPr>
      <t xml:space="preserve">× </t>
    </r>
    <r>
      <rPr>
        <sz val="9"/>
        <color rgb="FF4A6355"/>
        <rFont val="WenQuanYi Zen Hei"/>
        <family val="2"/>
      </rPr>
      <t xml:space="preserve">렌탈비</t>
    </r>
  </si>
  <si>
    <r>
      <rPr>
        <sz val="10"/>
        <color rgb="FF2E4A3A"/>
        <rFont val="WenQuanYi Zen Hei"/>
        <family val="2"/>
      </rPr>
      <t xml:space="preserve">지난 상담 정리 </t>
    </r>
    <r>
      <rPr>
        <sz val="10"/>
        <color rgb="FF2E4A3A"/>
        <rFont val="Arial"/>
        <family val="0"/>
        <charset val="1"/>
      </rPr>
      <t xml:space="preserve">(</t>
    </r>
    <r>
      <rPr>
        <sz val="10"/>
        <color rgb="FF2E4A3A"/>
        <rFont val="WenQuanYi Zen Hei"/>
        <family val="2"/>
      </rPr>
      <t xml:space="preserve">강습일 지남</t>
    </r>
    <r>
      <rPr>
        <sz val="10"/>
        <color rgb="FF2E4A3A"/>
        <rFont val="Arial"/>
        <family val="0"/>
        <charset val="1"/>
      </rPr>
      <t xml:space="preserve">)</t>
    </r>
  </si>
  <si>
    <t xml:space="preserve">− 네이버수수료</t>
  </si>
  <si>
    <r>
      <rPr>
        <sz val="9"/>
        <color rgb="FF4A6355"/>
        <rFont val="WenQuanYi Zen Hei"/>
        <family val="2"/>
      </rPr>
      <t xml:space="preserve">스마트스토어 결제 </t>
    </r>
    <r>
      <rPr>
        <sz val="9"/>
        <color rgb="FF4A6355"/>
        <rFont val="Arial"/>
        <family val="0"/>
        <charset val="1"/>
      </rPr>
      <t xml:space="preserve">× </t>
    </r>
    <r>
      <rPr>
        <sz val="9"/>
        <color rgb="FF4A6355"/>
        <rFont val="WenQuanYi Zen Hei"/>
        <family val="2"/>
      </rPr>
      <t xml:space="preserve">수수료율 </t>
    </r>
    <r>
      <rPr>
        <sz val="9"/>
        <color rgb="FF4A6355"/>
        <rFont val="Arial"/>
        <family val="0"/>
        <charset val="1"/>
      </rPr>
      <t xml:space="preserve">(</t>
    </r>
    <r>
      <rPr>
        <sz val="9"/>
        <color rgb="FF4A6355"/>
        <rFont val="WenQuanYi Zen Hei"/>
        <family val="2"/>
      </rPr>
      <t xml:space="preserve">자동</t>
    </r>
    <r>
      <rPr>
        <sz val="9"/>
        <color rgb="FF4A6355"/>
        <rFont val="Arial"/>
        <family val="0"/>
        <charset val="1"/>
      </rPr>
      <t xml:space="preserve">)</t>
    </r>
  </si>
  <si>
    <t xml:space="preserve">예약상태 미입력</t>
  </si>
  <si>
    <r>
      <rPr>
        <b val="true"/>
        <sz val="10"/>
        <color rgb="FF2E4A3A"/>
        <rFont val="WenQuanYi Zen Hei"/>
        <family val="2"/>
      </rPr>
      <t xml:space="preserve">− 광고비</t>
    </r>
    <r>
      <rPr>
        <b val="true"/>
        <sz val="10"/>
        <color rgb="FF2E4A3A"/>
        <rFont val="Arial"/>
        <family val="0"/>
        <charset val="1"/>
      </rPr>
      <t xml:space="preserve">·</t>
    </r>
    <r>
      <rPr>
        <b val="true"/>
        <sz val="10"/>
        <color rgb="FF2E4A3A"/>
        <rFont val="WenQuanYi Zen Hei"/>
        <family val="2"/>
      </rPr>
      <t xml:space="preserve">운영비</t>
    </r>
  </si>
  <si>
    <t xml:space="preserve">운영비 탭</t>
  </si>
  <si>
    <r>
      <rPr>
        <sz val="10"/>
        <color rgb="FF2E4A3A"/>
        <rFont val="WenQuanYi Zen Hei"/>
        <family val="2"/>
      </rPr>
      <t xml:space="preserve">날짜</t>
    </r>
    <r>
      <rPr>
        <sz val="10"/>
        <color rgb="FF2E4A3A"/>
        <rFont val="Arial"/>
        <family val="0"/>
        <charset val="1"/>
      </rPr>
      <t xml:space="preserve">·</t>
    </r>
    <r>
      <rPr>
        <sz val="10"/>
        <color rgb="FF2E4A3A"/>
        <rFont val="WenQuanYi Zen Hei"/>
        <family val="2"/>
      </rPr>
      <t xml:space="preserve">시간 인식 안 됨 </t>
    </r>
    <r>
      <rPr>
        <sz val="10"/>
        <color rgb="FF2E4A3A"/>
        <rFont val="Arial"/>
        <family val="0"/>
        <charset val="1"/>
      </rPr>
      <t xml:space="preserve">(</t>
    </r>
    <r>
      <rPr>
        <sz val="10"/>
        <color rgb="FF2E4A3A"/>
        <rFont val="WenQuanYi Zen Hei"/>
        <family val="2"/>
      </rPr>
      <t xml:space="preserve">빨간 칸</t>
    </r>
    <r>
      <rPr>
        <sz val="10"/>
        <color rgb="FF2E4A3A"/>
        <rFont val="Arial"/>
        <family val="0"/>
        <charset val="1"/>
      </rPr>
      <t xml:space="preserve">)</t>
    </r>
  </si>
  <si>
    <r>
      <rPr>
        <b val="true"/>
        <sz val="10"/>
        <color rgb="FF2E4A3A"/>
        <rFont val="Arial"/>
        <family val="0"/>
        <charset val="1"/>
      </rPr>
      <t xml:space="preserve">+ </t>
    </r>
    <r>
      <rPr>
        <b val="true"/>
        <sz val="10"/>
        <color rgb="FF2E4A3A"/>
        <rFont val="WenQuanYi Zen Hei"/>
        <family val="2"/>
      </rPr>
      <t xml:space="preserve">기타수입</t>
    </r>
  </si>
  <si>
    <r>
      <rPr>
        <sz val="10"/>
        <color rgb="FF2E4A3A"/>
        <rFont val="WenQuanYi Zen Hei"/>
        <family val="2"/>
      </rPr>
      <t xml:space="preserve">결제일 미입력 </t>
    </r>
    <r>
      <rPr>
        <sz val="10"/>
        <color rgb="FF2E4A3A"/>
        <rFont val="Arial"/>
        <family val="0"/>
        <charset val="1"/>
      </rPr>
      <t xml:space="preserve">(</t>
    </r>
    <r>
      <rPr>
        <sz val="10"/>
        <color rgb="FF2E4A3A"/>
        <rFont val="WenQuanYi Zen Hei"/>
        <family val="2"/>
      </rPr>
      <t xml:space="preserve">결제완료</t>
    </r>
    <r>
      <rPr>
        <sz val="10"/>
        <color rgb="FF2E4A3A"/>
        <rFont val="Arial"/>
        <family val="0"/>
        <charset val="1"/>
      </rPr>
      <t xml:space="preserve">)</t>
    </r>
  </si>
  <si>
    <t xml:space="preserve">＝ 예상순익</t>
  </si>
  <si>
    <t xml:space="preserve">시즌 누적</t>
  </si>
  <si>
    <r>
      <rPr>
        <sz val="10"/>
        <color rgb="FF2E4A3A"/>
        <rFont val="WenQuanYi Zen Hei"/>
        <family val="2"/>
      </rPr>
      <t xml:space="preserve">강사료 미정산 </t>
    </r>
    <r>
      <rPr>
        <sz val="10"/>
        <color rgb="FF2E4A3A"/>
        <rFont val="Arial"/>
        <family val="0"/>
        <charset val="1"/>
      </rPr>
      <t xml:space="preserve">(</t>
    </r>
    <r>
      <rPr>
        <sz val="10"/>
        <color rgb="FF2E4A3A"/>
        <rFont val="WenQuanYi Zen Hei"/>
        <family val="2"/>
      </rPr>
      <t xml:space="preserve">지난 강습</t>
    </r>
    <r>
      <rPr>
        <sz val="10"/>
        <color rgb="FF2E4A3A"/>
        <rFont val="Arial"/>
        <family val="0"/>
        <charset val="1"/>
      </rPr>
      <t xml:space="preserve">)</t>
    </r>
  </si>
  <si>
    <r>
      <rPr>
        <sz val="9"/>
        <color rgb="FF4A6355"/>
        <rFont val="WenQuanYi Zen Hei"/>
        <family val="2"/>
      </rPr>
      <t xml:space="preserve">월별 손익은 월별결산 탭 </t>
    </r>
    <r>
      <rPr>
        <sz val="9"/>
        <color rgb="FF4A6355"/>
        <rFont val="Arial"/>
        <family val="0"/>
        <charset val="1"/>
      </rPr>
      <t xml:space="preserve">· </t>
    </r>
    <r>
      <rPr>
        <sz val="9"/>
        <color rgb="FF4A6355"/>
        <rFont val="WenQuanYi Zen Hei"/>
        <family val="2"/>
      </rPr>
      <t xml:space="preserve">강사 지급은 강사정산 탭에서 확인</t>
    </r>
  </si>
  <si>
    <r>
      <rPr>
        <sz val="10"/>
        <color rgb="FF2E4A3A"/>
        <rFont val="WenQuanYi Zen Hei"/>
        <family val="2"/>
      </rPr>
      <t xml:space="preserve">리뷰 확인 </t>
    </r>
    <r>
      <rPr>
        <sz val="10"/>
        <color rgb="FF2E4A3A"/>
        <rFont val="Arial"/>
        <family val="0"/>
        <charset val="1"/>
      </rPr>
      <t xml:space="preserve">(</t>
    </r>
    <r>
      <rPr>
        <sz val="10"/>
        <color rgb="FF2E4A3A"/>
        <rFont val="WenQuanYi Zen Hei"/>
        <family val="2"/>
      </rPr>
      <t xml:space="preserve">지난 결제완료 강습</t>
    </r>
    <r>
      <rPr>
        <sz val="10"/>
        <color rgb="FF2E4A3A"/>
        <rFont val="Arial"/>
        <family val="0"/>
        <charset val="1"/>
      </rPr>
      <t xml:space="preserve">)</t>
    </r>
  </si>
  <si>
    <t xml:space="preserve">퇴사 강사에게 남은 강습</t>
  </si>
  <si>
    <t xml:space="preserve">예약경로별 성과</t>
  </si>
  <si>
    <r>
      <rPr>
        <b val="true"/>
        <sz val="11"/>
        <color rgb="FF123D27"/>
        <rFont val="WenQuanYi Zen Hei"/>
        <family val="2"/>
      </rPr>
      <t xml:space="preserve">월별 요약 </t>
    </r>
    <r>
      <rPr>
        <b val="true"/>
        <sz val="11"/>
        <color rgb="FF123D27"/>
        <rFont val="Arial"/>
        <family val="0"/>
        <charset val="1"/>
      </rPr>
      <t xml:space="preserve">(</t>
    </r>
    <r>
      <rPr>
        <b val="true"/>
        <sz val="11"/>
        <color rgb="FF123D27"/>
        <rFont val="WenQuanYi Zen Hei"/>
        <family val="2"/>
      </rPr>
      <t xml:space="preserve">강습일 기준</t>
    </r>
    <r>
      <rPr>
        <b val="true"/>
        <sz val="11"/>
        <color rgb="FF123D27"/>
        <rFont val="Arial"/>
        <family val="0"/>
        <charset val="1"/>
      </rPr>
      <t xml:space="preserve">)</t>
    </r>
  </si>
  <si>
    <t xml:space="preserve">예약경로</t>
  </si>
  <si>
    <t xml:space="preserve">결제완료</t>
  </si>
  <si>
    <t xml:space="preserve">상담중</t>
  </si>
  <si>
    <t xml:space="preserve">월</t>
  </si>
  <si>
    <t xml:space="preserve">예약</t>
  </si>
  <si>
    <t xml:space="preserve">기간 외</t>
  </si>
  <si>
    <t xml:space="preserve">합계</t>
  </si>
  <si>
    <r>
      <rPr>
        <sz val="10"/>
        <color rgb="FF4A6355"/>
        <rFont val="WenQuanYi Zen Hei"/>
        <family val="2"/>
      </rPr>
      <t xml:space="preserve">미입력</t>
    </r>
    <r>
      <rPr>
        <sz val="10"/>
        <color rgb="FF4A6355"/>
        <rFont val="Arial"/>
        <family val="0"/>
        <charset val="1"/>
      </rPr>
      <t xml:space="preserve">·</t>
    </r>
    <r>
      <rPr>
        <sz val="10"/>
        <color rgb="FF4A6355"/>
        <rFont val="WenQuanYi Zen Hei"/>
        <family val="2"/>
      </rPr>
      <t xml:space="preserve">기타</t>
    </r>
  </si>
  <si>
    <r>
      <rPr>
        <sz val="9"/>
        <color rgb="FF4A6355"/>
        <rFont val="WenQuanYi Zen Hei"/>
        <family val="2"/>
      </rPr>
      <t xml:space="preserve">※ 고객</t>
    </r>
    <r>
      <rPr>
        <sz val="9"/>
        <color rgb="FF4A6355"/>
        <rFont val="Arial"/>
        <family val="0"/>
        <charset val="1"/>
      </rPr>
      <t xml:space="preserve">·</t>
    </r>
    <r>
      <rPr>
        <sz val="9"/>
        <color rgb="FF4A6355"/>
        <rFont val="WenQuanYi Zen Hei"/>
        <family val="2"/>
      </rPr>
      <t xml:space="preserve">예약 입력 → 관리자</t>
    </r>
    <r>
      <rPr>
        <sz val="9"/>
        <color rgb="FF4A6355"/>
        <rFont val="Arial"/>
        <family val="0"/>
        <charset val="1"/>
      </rPr>
      <t xml:space="preserve">_MASTER · </t>
    </r>
    <r>
      <rPr>
        <sz val="9"/>
        <color rgb="FF4A6355"/>
        <rFont val="WenQuanYi Zen Hei"/>
        <family val="2"/>
      </rPr>
      <t xml:space="preserve">일정 → 강습표 탭 </t>
    </r>
    <r>
      <rPr>
        <sz val="9"/>
        <color rgb="FF4A6355"/>
        <rFont val="Arial"/>
        <family val="0"/>
        <charset val="1"/>
      </rPr>
      <t xml:space="preserve">· </t>
    </r>
    <r>
      <rPr>
        <sz val="9"/>
        <color rgb="FF4A6355"/>
        <rFont val="WenQuanYi Zen Hei"/>
        <family val="2"/>
      </rPr>
      <t xml:space="preserve">월별 손익 → 월별결산 </t>
    </r>
    <r>
      <rPr>
        <sz val="9"/>
        <color rgb="FF4A6355"/>
        <rFont val="Arial"/>
        <family val="0"/>
        <charset val="1"/>
      </rPr>
      <t xml:space="preserve">· </t>
    </r>
    <r>
      <rPr>
        <sz val="9"/>
        <color rgb="FF4A6355"/>
        <rFont val="WenQuanYi Zen Hei"/>
        <family val="2"/>
      </rPr>
      <t xml:space="preserve">강사 지급 → 강사정산 </t>
    </r>
    <r>
      <rPr>
        <sz val="9"/>
        <color rgb="FF4A6355"/>
        <rFont val="Arial"/>
        <family val="0"/>
        <charset val="1"/>
      </rPr>
      <t xml:space="preserve">· </t>
    </r>
    <r>
      <rPr>
        <sz val="9"/>
        <color rgb="FF4A6355"/>
        <rFont val="WenQuanYi Zen Hei"/>
        <family val="2"/>
      </rPr>
      <t xml:space="preserve">비용 → 운영비</t>
    </r>
  </si>
  <si>
    <r>
      <rPr>
        <b val="true"/>
        <sz val="16"/>
        <color rgb="FF123D27"/>
        <rFont val="Arial"/>
        <family val="0"/>
        <charset val="1"/>
      </rPr>
      <t xml:space="preserve">2026-27 </t>
    </r>
    <r>
      <rPr>
        <b val="true"/>
        <sz val="16"/>
        <color rgb="FF123D27"/>
        <rFont val="WenQuanYi Zen Hei"/>
        <family val="2"/>
      </rPr>
      <t xml:space="preserve">배움스키아카데미 관리자 </t>
    </r>
    <r>
      <rPr>
        <b val="true"/>
        <sz val="16"/>
        <color rgb="FF123D27"/>
        <rFont val="Arial"/>
        <family val="0"/>
        <charset val="1"/>
      </rPr>
      <t xml:space="preserve">MASTER · </t>
    </r>
    <r>
      <rPr>
        <b val="true"/>
        <sz val="16"/>
        <color rgb="FF123D27"/>
        <rFont val="WenQuanYi Zen Hei"/>
        <family val="2"/>
      </rPr>
      <t xml:space="preserve">고객</t>
    </r>
    <r>
      <rPr>
        <b val="true"/>
        <sz val="16"/>
        <color rgb="FF123D27"/>
        <rFont val="Arial"/>
        <family val="0"/>
        <charset val="1"/>
      </rPr>
      <t xml:space="preserve">·</t>
    </r>
    <r>
      <rPr>
        <b val="true"/>
        <sz val="16"/>
        <color rgb="FF123D27"/>
        <rFont val="WenQuanYi Zen Hei"/>
        <family val="2"/>
      </rPr>
      <t xml:space="preserve">예약 원장</t>
    </r>
  </si>
  <si>
    <r>
      <rPr>
        <b val="true"/>
        <sz val="9"/>
        <color rgb="FF2E4A3A"/>
        <rFont val="WenQuanYi Zen Hei"/>
        <family val="2"/>
      </rPr>
      <t xml:space="preserve">날짜는 </t>
    </r>
    <r>
      <rPr>
        <b val="true"/>
        <sz val="9"/>
        <color rgb="FF2E4A3A"/>
        <rFont val="Arial"/>
        <family val="0"/>
        <charset val="1"/>
      </rPr>
      <t xml:space="preserve">2026-12-25 </t>
    </r>
    <r>
      <rPr>
        <b val="true"/>
        <sz val="9"/>
        <color rgb="FF2E4A3A"/>
        <rFont val="WenQuanYi Zen Hei"/>
        <family val="2"/>
      </rPr>
      <t xml:space="preserve">또는 </t>
    </r>
    <r>
      <rPr>
        <b val="true"/>
        <sz val="9"/>
        <color rgb="FF2E4A3A"/>
        <rFont val="Arial"/>
        <family val="0"/>
        <charset val="1"/>
      </rPr>
      <t xml:space="preserve">20261225, </t>
    </r>
    <r>
      <rPr>
        <b val="true"/>
        <sz val="9"/>
        <color rgb="FF2E4A3A"/>
        <rFont val="WenQuanYi Zen Hei"/>
        <family val="2"/>
      </rPr>
      <t xml:space="preserve">시간은 </t>
    </r>
    <r>
      <rPr>
        <b val="true"/>
        <sz val="9"/>
        <color rgb="FF2E4A3A"/>
        <rFont val="Arial"/>
        <family val="0"/>
        <charset val="1"/>
      </rPr>
      <t xml:space="preserve">10:00 · 1000 · 10 </t>
    </r>
    <r>
      <rPr>
        <b val="true"/>
        <sz val="9"/>
        <color rgb="FF2E4A3A"/>
        <rFont val="WenQuanYi Zen Hei"/>
        <family val="2"/>
      </rPr>
      <t xml:space="preserve">중 편한 방식 </t>
    </r>
    <r>
      <rPr>
        <b val="true"/>
        <sz val="9"/>
        <color rgb="FF2E4A3A"/>
        <rFont val="Arial"/>
        <family val="0"/>
        <charset val="1"/>
      </rPr>
      <t xml:space="preserve">(</t>
    </r>
    <r>
      <rPr>
        <b val="true"/>
        <sz val="9"/>
        <color rgb="FF2E4A3A"/>
        <rFont val="WenQuanYi Zen Hei"/>
        <family val="2"/>
      </rPr>
      <t xml:space="preserve">빨간 칸 </t>
    </r>
    <r>
      <rPr>
        <b val="true"/>
        <sz val="9"/>
        <color rgb="FF2E4A3A"/>
        <rFont val="Arial"/>
        <family val="0"/>
        <charset val="1"/>
      </rPr>
      <t xml:space="preserve">= </t>
    </r>
    <r>
      <rPr>
        <b val="true"/>
        <sz val="9"/>
        <color rgb="FF2E4A3A"/>
        <rFont val="WenQuanYi Zen Hei"/>
        <family val="2"/>
      </rPr>
      <t xml:space="preserve">인식 못 한 값</t>
    </r>
    <r>
      <rPr>
        <b val="true"/>
        <sz val="9"/>
        <color rgb="FF2E4A3A"/>
        <rFont val="Arial"/>
        <family val="0"/>
        <charset val="1"/>
      </rPr>
      <t xml:space="preserve">).  </t>
    </r>
    <r>
      <rPr>
        <b val="true"/>
        <sz val="9"/>
        <color rgb="FF2E4A3A"/>
        <rFont val="WenQuanYi Zen Hei"/>
        <family val="2"/>
      </rPr>
      <t xml:space="preserve">예약자 칸을 채워야 집계</t>
    </r>
    <r>
      <rPr>
        <b val="true"/>
        <sz val="9"/>
        <color rgb="FF2E4A3A"/>
        <rFont val="Arial"/>
        <family val="0"/>
        <charset val="1"/>
      </rPr>
      <t xml:space="preserve">·</t>
    </r>
    <r>
      <rPr>
        <b val="true"/>
        <sz val="9"/>
        <color rgb="FF2E4A3A"/>
        <rFont val="WenQuanYi Zen Hei"/>
        <family val="2"/>
      </rPr>
      <t xml:space="preserve">강습표에 반영됩니다</t>
    </r>
    <r>
      <rPr>
        <b val="true"/>
        <sz val="9"/>
        <color rgb="FF2E4A3A"/>
        <rFont val="Arial"/>
        <family val="0"/>
        <charset val="1"/>
      </rPr>
      <t xml:space="preserve">. </t>
    </r>
    <r>
      <rPr>
        <b val="true"/>
        <sz val="9"/>
        <color rgb="FF2E4A3A"/>
        <rFont val="WenQuanYi Zen Hei"/>
        <family val="2"/>
      </rPr>
      <t xml:space="preserve">흰 칸만 입력하고 연한 파랑 칸</t>
    </r>
    <r>
      <rPr>
        <b val="true"/>
        <sz val="9"/>
        <color rgb="FF2E4A3A"/>
        <rFont val="Arial"/>
        <family val="0"/>
        <charset val="1"/>
      </rPr>
      <t xml:space="preserve">(</t>
    </r>
    <r>
      <rPr>
        <b val="true"/>
        <sz val="9"/>
        <color rgb="FF2E4A3A"/>
        <rFont val="WenQuanYi Zen Hei"/>
        <family val="2"/>
      </rPr>
      <t xml:space="preserve">자동</t>
    </r>
    <r>
      <rPr>
        <b val="true"/>
        <sz val="9"/>
        <color rgb="FF2E4A3A"/>
        <rFont val="Arial"/>
        <family val="0"/>
        <charset val="1"/>
      </rPr>
      <t xml:space="preserve">)</t>
    </r>
    <r>
      <rPr>
        <b val="true"/>
        <sz val="9"/>
        <color rgb="FF2E4A3A"/>
        <rFont val="WenQuanYi Zen Hei"/>
        <family val="2"/>
      </rPr>
      <t xml:space="preserve">은 지우지 마세요</t>
    </r>
    <r>
      <rPr>
        <b val="true"/>
        <sz val="9"/>
        <color rgb="FF2E4A3A"/>
        <rFont val="Arial"/>
        <family val="0"/>
        <charset val="1"/>
      </rPr>
      <t xml:space="preserve">. </t>
    </r>
    <r>
      <rPr>
        <b val="true"/>
        <sz val="9"/>
        <color rgb="FF2E4A3A"/>
        <rFont val="WenQuanYi Zen Hei"/>
        <family val="2"/>
      </rPr>
      <t xml:space="preserve">빈 행에 이어서 입력</t>
    </r>
    <r>
      <rPr>
        <b val="true"/>
        <sz val="9"/>
        <color rgb="FF2E4A3A"/>
        <rFont val="Arial"/>
        <family val="0"/>
        <charset val="1"/>
      </rPr>
      <t xml:space="preserve">(</t>
    </r>
    <r>
      <rPr>
        <b val="true"/>
        <sz val="9"/>
        <color rgb="FF2E4A3A"/>
        <rFont val="WenQuanYi Zen Hei"/>
        <family val="2"/>
      </rPr>
      <t xml:space="preserve">행 삽입 </t>
    </r>
    <r>
      <rPr>
        <b val="true"/>
        <sz val="9"/>
        <color rgb="FF2E4A3A"/>
        <rFont val="Arial"/>
        <family val="0"/>
        <charset val="1"/>
      </rPr>
      <t xml:space="preserve">X).</t>
    </r>
  </si>
  <si>
    <r>
      <rPr>
        <sz val="9"/>
        <color rgb="FF4A6355"/>
        <rFont val="WenQuanYi Zen Hei"/>
        <family val="2"/>
      </rPr>
      <t xml:space="preserve">예약상태</t>
    </r>
    <r>
      <rPr>
        <sz val="9"/>
        <color rgb="FF4A6355"/>
        <rFont val="Arial"/>
        <family val="0"/>
        <charset val="1"/>
      </rPr>
      <t xml:space="preserve">: </t>
    </r>
    <r>
      <rPr>
        <sz val="9"/>
        <color rgb="FF4A6355"/>
        <rFont val="WenQuanYi Zen Hei"/>
        <family val="2"/>
      </rPr>
      <t xml:space="preserve">상담중</t>
    </r>
    <r>
      <rPr>
        <sz val="9"/>
        <color rgb="FF4A6355"/>
        <rFont val="Arial"/>
        <family val="0"/>
        <charset val="1"/>
      </rPr>
      <t xml:space="preserve">(</t>
    </r>
    <r>
      <rPr>
        <sz val="9"/>
        <color rgb="FF4A6355"/>
        <rFont val="WenQuanYi Zen Hei"/>
        <family val="2"/>
      </rPr>
      <t xml:space="preserve">입금 전</t>
    </r>
    <r>
      <rPr>
        <sz val="9"/>
        <color rgb="FF4A6355"/>
        <rFont val="Arial"/>
        <family val="0"/>
        <charset val="1"/>
      </rPr>
      <t xml:space="preserve">) → </t>
    </r>
    <r>
      <rPr>
        <sz val="9"/>
        <color rgb="FF4A6355"/>
        <rFont val="WenQuanYi Zen Hei"/>
        <family val="2"/>
      </rPr>
      <t xml:space="preserve">결제완료</t>
    </r>
    <r>
      <rPr>
        <sz val="9"/>
        <color rgb="FF4A6355"/>
        <rFont val="Arial"/>
        <family val="0"/>
        <charset val="1"/>
      </rPr>
      <t xml:space="preserve">(</t>
    </r>
    <r>
      <rPr>
        <sz val="9"/>
        <color rgb="FF4A6355"/>
        <rFont val="WenQuanYi Zen Hei"/>
        <family val="2"/>
      </rPr>
      <t xml:space="preserve">입금 확인</t>
    </r>
    <r>
      <rPr>
        <sz val="9"/>
        <color rgb="FF4A6355"/>
        <rFont val="Arial"/>
        <family val="0"/>
        <charset val="1"/>
      </rPr>
      <t xml:space="preserve">) · </t>
    </r>
    <r>
      <rPr>
        <sz val="9"/>
        <color rgb="FF4A6355"/>
        <rFont val="WenQuanYi Zen Hei"/>
        <family val="2"/>
      </rPr>
      <t xml:space="preserve">취소</t>
    </r>
    <r>
      <rPr>
        <sz val="9"/>
        <color rgb="FF4A6355"/>
        <rFont val="Arial"/>
        <family val="0"/>
        <charset val="1"/>
      </rPr>
      <t xml:space="preserve">(</t>
    </r>
    <r>
      <rPr>
        <sz val="9"/>
        <color rgb="FF4A6355"/>
        <rFont val="WenQuanYi Zen Hei"/>
        <family val="2"/>
      </rPr>
      <t xml:space="preserve">입금 전 취소</t>
    </r>
    <r>
      <rPr>
        <sz val="9"/>
        <color rgb="FF4A6355"/>
        <rFont val="Arial"/>
        <family val="0"/>
        <charset val="1"/>
      </rPr>
      <t xml:space="preserve">, </t>
    </r>
    <r>
      <rPr>
        <sz val="9"/>
        <color rgb="FF4A6355"/>
        <rFont val="WenQuanYi Zen Hei"/>
        <family val="2"/>
      </rPr>
      <t xml:space="preserve">환불한 건 모두</t>
    </r>
    <r>
      <rPr>
        <sz val="9"/>
        <color rgb="FF4A6355"/>
        <rFont val="Arial"/>
        <family val="0"/>
        <charset val="1"/>
      </rPr>
      <t xml:space="preserve">).  </t>
    </r>
    <r>
      <rPr>
        <sz val="9"/>
        <color rgb="FF4A6355"/>
        <rFont val="WenQuanYi Zen Hei"/>
        <family val="2"/>
      </rPr>
      <t xml:space="preserve">실제 고객 건은 행을 지우지 말고 상태만 바꾸세요</t>
    </r>
    <r>
      <rPr>
        <sz val="9"/>
        <color rgb="FF4A6355"/>
        <rFont val="Arial"/>
        <family val="0"/>
        <charset val="1"/>
      </rPr>
      <t xml:space="preserve">. </t>
    </r>
    <r>
      <rPr>
        <sz val="9"/>
        <color rgb="FF4A6355"/>
        <rFont val="WenQuanYi Zen Hei"/>
        <family val="2"/>
      </rPr>
      <t xml:space="preserve">강사료</t>
    </r>
    <r>
      <rPr>
        <sz val="9"/>
        <color rgb="FF4A6355"/>
        <rFont val="Arial"/>
        <family val="0"/>
        <charset val="1"/>
      </rPr>
      <t xml:space="preserve">·</t>
    </r>
    <r>
      <rPr>
        <sz val="9"/>
        <color rgb="FF4A6355"/>
        <rFont val="WenQuanYi Zen Hei"/>
        <family val="2"/>
      </rPr>
      <t xml:space="preserve">지급</t>
    </r>
    <r>
      <rPr>
        <sz val="9"/>
        <color rgb="FF4A6355"/>
        <rFont val="Arial"/>
        <family val="0"/>
        <charset val="1"/>
      </rPr>
      <t xml:space="preserve">·</t>
    </r>
    <r>
      <rPr>
        <sz val="9"/>
        <color rgb="FF4A6355"/>
        <rFont val="WenQuanYi Zen Hei"/>
        <family val="2"/>
      </rPr>
      <t xml:space="preserve">비용은 강사정산</t>
    </r>
    <r>
      <rPr>
        <sz val="9"/>
        <color rgb="FF4A6355"/>
        <rFont val="Arial"/>
        <family val="0"/>
        <charset val="1"/>
      </rPr>
      <t xml:space="preserve">·</t>
    </r>
    <r>
      <rPr>
        <sz val="9"/>
        <color rgb="FF4A6355"/>
        <rFont val="WenQuanYi Zen Hei"/>
        <family val="2"/>
      </rPr>
      <t xml:space="preserve">운영비 탭에서 관리합니다</t>
    </r>
    <r>
      <rPr>
        <sz val="9"/>
        <color rgb="FF4A6355"/>
        <rFont val="Arial"/>
        <family val="0"/>
        <charset val="1"/>
      </rPr>
      <t xml:space="preserve">.</t>
    </r>
  </si>
  <si>
    <r>
      <rPr>
        <b val="true"/>
        <sz val="10"/>
        <color rgb="FF123D27"/>
        <rFont val="Arial"/>
        <family val="0"/>
        <charset val="1"/>
      </rPr>
      <t xml:space="preserve">No
(</t>
    </r>
    <r>
      <rPr>
        <b val="true"/>
        <sz val="10"/>
        <color rgb="FF123D27"/>
        <rFont val="WenQuanYi Zen Hei"/>
        <family val="2"/>
      </rPr>
      <t xml:space="preserve">자동</t>
    </r>
    <r>
      <rPr>
        <b val="true"/>
        <sz val="10"/>
        <color rgb="FF123D27"/>
        <rFont val="Arial"/>
        <family val="0"/>
        <charset val="1"/>
      </rPr>
      <t xml:space="preserve">)</t>
    </r>
  </si>
  <si>
    <t xml:space="preserve">예약상태</t>
  </si>
  <si>
    <t xml:space="preserve">접수일</t>
  </si>
  <si>
    <t xml:space="preserve">예약자</t>
  </si>
  <si>
    <t xml:space="preserve">연락처</t>
  </si>
  <si>
    <r>
      <rPr>
        <b val="true"/>
        <sz val="10"/>
        <color rgb="FF123D27"/>
        <rFont val="WenQuanYi Zen Hei"/>
        <family val="2"/>
      </rPr>
      <t xml:space="preserve">강습생 </t>
    </r>
    <r>
      <rPr>
        <b val="true"/>
        <sz val="10"/>
        <color rgb="FF123D27"/>
        <rFont val="Arial"/>
        <family val="0"/>
        <charset val="1"/>
      </rPr>
      <t xml:space="preserve">(</t>
    </r>
    <r>
      <rPr>
        <b val="true"/>
        <sz val="10"/>
        <color rgb="FF123D27"/>
        <rFont val="WenQuanYi Zen Hei"/>
        <family val="2"/>
      </rPr>
      <t xml:space="preserve">쉼표로 구분</t>
    </r>
    <r>
      <rPr>
        <b val="true"/>
        <sz val="10"/>
        <color rgb="FF123D27"/>
        <rFont val="Arial"/>
        <family val="0"/>
        <charset val="1"/>
      </rPr>
      <t xml:space="preserve">)</t>
    </r>
  </si>
  <si>
    <t xml:space="preserve">강습일</t>
  </si>
  <si>
    <t xml:space="preserve">시작</t>
  </si>
  <si>
    <t xml:space="preserve">종료</t>
  </si>
  <si>
    <r>
      <rPr>
        <b val="true"/>
        <sz val="10"/>
        <color rgb="FF123D27"/>
        <rFont val="WenQuanYi Zen Hei"/>
        <family val="2"/>
      </rPr>
      <t xml:space="preserve">강습시간</t>
    </r>
    <r>
      <rPr>
        <b val="true"/>
        <sz val="10"/>
        <color rgb="FF123D27"/>
        <rFont val="Arial"/>
        <family val="0"/>
        <charset val="1"/>
      </rPr>
      <t xml:space="preserve">(h)
(</t>
    </r>
    <r>
      <rPr>
        <b val="true"/>
        <sz val="10"/>
        <color rgb="FF123D27"/>
        <rFont val="WenQuanYi Zen Hei"/>
        <family val="2"/>
      </rPr>
      <t xml:space="preserve">자동</t>
    </r>
    <r>
      <rPr>
        <b val="true"/>
        <sz val="10"/>
        <color rgb="FF123D27"/>
        <rFont val="Arial"/>
        <family val="0"/>
        <charset val="1"/>
      </rPr>
      <t xml:space="preserve">)</t>
    </r>
  </si>
  <si>
    <r>
      <rPr>
        <b val="true"/>
        <sz val="10"/>
        <color rgb="FF123D27"/>
        <rFont val="WenQuanYi Zen Hei"/>
        <family val="2"/>
      </rPr>
      <t xml:space="preserve">인원
</t>
    </r>
    <r>
      <rPr>
        <b val="true"/>
        <sz val="10"/>
        <color rgb="FF123D27"/>
        <rFont val="Arial"/>
        <family val="0"/>
        <charset val="1"/>
      </rPr>
      <t xml:space="preserve">(</t>
    </r>
    <r>
      <rPr>
        <b val="true"/>
        <sz val="10"/>
        <color rgb="FF123D27"/>
        <rFont val="WenQuanYi Zen Hei"/>
        <family val="2"/>
      </rPr>
      <t xml:space="preserve">자동</t>
    </r>
    <r>
      <rPr>
        <b val="true"/>
        <sz val="10"/>
        <color rgb="FF123D27"/>
        <rFont val="Arial"/>
        <family val="0"/>
        <charset val="1"/>
      </rPr>
      <t xml:space="preserve">)</t>
    </r>
  </si>
  <si>
    <r>
      <rPr>
        <b val="true"/>
        <sz val="10"/>
        <color rgb="FF123D27"/>
        <rFont val="WenQuanYi Zen Hei"/>
        <family val="2"/>
      </rPr>
      <t xml:space="preserve">유형
</t>
    </r>
    <r>
      <rPr>
        <b val="true"/>
        <sz val="10"/>
        <color rgb="FF123D27"/>
        <rFont val="Arial"/>
        <family val="0"/>
        <charset val="1"/>
      </rPr>
      <t xml:space="preserve">(</t>
    </r>
    <r>
      <rPr>
        <b val="true"/>
        <sz val="10"/>
        <color rgb="FF123D27"/>
        <rFont val="WenQuanYi Zen Hei"/>
        <family val="2"/>
      </rPr>
      <t xml:space="preserve">자동</t>
    </r>
    <r>
      <rPr>
        <b val="true"/>
        <sz val="10"/>
        <color rgb="FF123D27"/>
        <rFont val="Arial"/>
        <family val="0"/>
        <charset val="1"/>
      </rPr>
      <t xml:space="preserve">)</t>
    </r>
  </si>
  <si>
    <t xml:space="preserve">담당강사</t>
  </si>
  <si>
    <t xml:space="preserve">결제금액</t>
  </si>
  <si>
    <t xml:space="preserve">결제방식</t>
  </si>
  <si>
    <t xml:space="preserve">결제일</t>
  </si>
  <si>
    <t xml:space="preserve">특이사항</t>
  </si>
  <si>
    <r>
      <rPr>
        <b val="true"/>
        <sz val="10"/>
        <color rgb="FF123D27"/>
        <rFont val="WenQuanYi Zen Hei"/>
        <family val="2"/>
      </rPr>
      <t xml:space="preserve">일정충돌
</t>
    </r>
    <r>
      <rPr>
        <b val="true"/>
        <sz val="10"/>
        <color rgb="FF123D27"/>
        <rFont val="Arial"/>
        <family val="0"/>
        <charset val="1"/>
      </rPr>
      <t xml:space="preserve">(</t>
    </r>
    <r>
      <rPr>
        <b val="true"/>
        <sz val="10"/>
        <color rgb="FF123D27"/>
        <rFont val="WenQuanYi Zen Hei"/>
        <family val="2"/>
      </rPr>
      <t xml:space="preserve">자동</t>
    </r>
    <r>
      <rPr>
        <b val="true"/>
        <sz val="10"/>
        <color rgb="FF123D27"/>
        <rFont val="Arial"/>
        <family val="0"/>
        <charset val="1"/>
      </rPr>
      <t xml:space="preserve">)</t>
    </r>
  </si>
  <si>
    <t xml:space="preserve">장비대여</t>
  </si>
  <si>
    <r>
      <rPr>
        <b val="true"/>
        <sz val="10"/>
        <color rgb="FF123D27"/>
        <rFont val="WenQuanYi Zen Hei"/>
        <family val="2"/>
      </rPr>
      <t xml:space="preserve">강습일</t>
    </r>
    <r>
      <rPr>
        <b val="true"/>
        <sz val="10"/>
        <color rgb="FF123D27"/>
        <rFont val="Arial"/>
        <family val="0"/>
        <charset val="1"/>
      </rPr>
      <t xml:space="preserve">(</t>
    </r>
    <r>
      <rPr>
        <b val="true"/>
        <sz val="10"/>
        <color rgb="FF123D27"/>
        <rFont val="WenQuanYi Zen Hei"/>
        <family val="2"/>
      </rPr>
      <t xml:space="preserve">계산</t>
    </r>
    <r>
      <rPr>
        <b val="true"/>
        <sz val="10"/>
        <color rgb="FF123D27"/>
        <rFont val="Arial"/>
        <family val="0"/>
        <charset val="1"/>
      </rPr>
      <t xml:space="preserve">)</t>
    </r>
  </si>
  <si>
    <r>
      <rPr>
        <b val="true"/>
        <sz val="10"/>
        <color rgb="FF123D27"/>
        <rFont val="WenQuanYi Zen Hei"/>
        <family val="2"/>
      </rPr>
      <t xml:space="preserve">시작</t>
    </r>
    <r>
      <rPr>
        <b val="true"/>
        <sz val="10"/>
        <color rgb="FF123D27"/>
        <rFont val="Arial"/>
        <family val="0"/>
        <charset val="1"/>
      </rPr>
      <t xml:space="preserve">(</t>
    </r>
    <r>
      <rPr>
        <b val="true"/>
        <sz val="10"/>
        <color rgb="FF123D27"/>
        <rFont val="WenQuanYi Zen Hei"/>
        <family val="2"/>
      </rPr>
      <t xml:space="preserve">분</t>
    </r>
    <r>
      <rPr>
        <b val="true"/>
        <sz val="10"/>
        <color rgb="FF123D27"/>
        <rFont val="Arial"/>
        <family val="0"/>
        <charset val="1"/>
      </rPr>
      <t xml:space="preserve">)</t>
    </r>
  </si>
  <si>
    <r>
      <rPr>
        <b val="true"/>
        <sz val="10"/>
        <color rgb="FF123D27"/>
        <rFont val="WenQuanYi Zen Hei"/>
        <family val="2"/>
      </rPr>
      <t xml:space="preserve">종료</t>
    </r>
    <r>
      <rPr>
        <b val="true"/>
        <sz val="10"/>
        <color rgb="FF123D27"/>
        <rFont val="Arial"/>
        <family val="0"/>
        <charset val="1"/>
      </rPr>
      <t xml:space="preserve">(</t>
    </r>
    <r>
      <rPr>
        <b val="true"/>
        <sz val="10"/>
        <color rgb="FF123D27"/>
        <rFont val="WenQuanYi Zen Hei"/>
        <family val="2"/>
      </rPr>
      <t xml:space="preserve">분</t>
    </r>
    <r>
      <rPr>
        <b val="true"/>
        <sz val="10"/>
        <color rgb="FF123D27"/>
        <rFont val="Arial"/>
        <family val="0"/>
        <charset val="1"/>
      </rPr>
      <t xml:space="preserve">)</t>
    </r>
  </si>
  <si>
    <r>
      <rPr>
        <b val="true"/>
        <sz val="10"/>
        <color rgb="FF123D27"/>
        <rFont val="WenQuanYi Zen Hei"/>
        <family val="2"/>
      </rPr>
      <t xml:space="preserve">결제일</t>
    </r>
    <r>
      <rPr>
        <b val="true"/>
        <sz val="10"/>
        <color rgb="FF123D27"/>
        <rFont val="Arial"/>
        <family val="0"/>
        <charset val="1"/>
      </rPr>
      <t xml:space="preserve">(</t>
    </r>
    <r>
      <rPr>
        <b val="true"/>
        <sz val="10"/>
        <color rgb="FF123D27"/>
        <rFont val="WenQuanYi Zen Hei"/>
        <family val="2"/>
      </rPr>
      <t xml:space="preserve">계산</t>
    </r>
    <r>
      <rPr>
        <b val="true"/>
        <sz val="10"/>
        <color rgb="FF123D27"/>
        <rFont val="Arial"/>
        <family val="0"/>
        <charset val="1"/>
      </rPr>
      <t xml:space="preserve">)</t>
    </r>
  </si>
  <si>
    <t xml:space="preserve">시급</t>
  </si>
  <si>
    <t xml:space="preserve">강사료</t>
  </si>
  <si>
    <t xml:space="preserve">강습표 표시</t>
  </si>
  <si>
    <t xml:space="preserve">활성</t>
  </si>
  <si>
    <t xml:space="preserve">정산번호</t>
  </si>
  <si>
    <t xml:space="preserve">리뷰 작성</t>
  </si>
  <si>
    <t xml:space="preserve">장비비</t>
  </si>
  <si>
    <t xml:space="preserve">강습표 특이사항</t>
  </si>
  <si>
    <t xml:space="preserve">네이버수수료</t>
  </si>
  <si>
    <t xml:space="preserve">행번호</t>
  </si>
  <si>
    <t xml:space="preserve">퇴사강사</t>
  </si>
  <si>
    <t xml:space="preserve">김건진</t>
  </si>
  <si>
    <t xml:space="preserve">010-7356-5258</t>
  </si>
  <si>
    <r>
      <rPr>
        <sz val="10"/>
        <color rgb="FF1F2D25"/>
        <rFont val="WenQuanYi Zen Hei"/>
        <family val="2"/>
      </rPr>
      <t xml:space="preserve">김태준</t>
    </r>
    <r>
      <rPr>
        <sz val="10"/>
        <color rgb="FF1F2D25"/>
        <rFont val="Arial"/>
        <family val="0"/>
        <charset val="1"/>
      </rPr>
      <t xml:space="preserve">(10), </t>
    </r>
    <r>
      <rPr>
        <sz val="10"/>
        <color rgb="FF1F2D25"/>
        <rFont val="WenQuanYi Zen Hei"/>
        <family val="2"/>
      </rPr>
      <t xml:space="preserve">김명국</t>
    </r>
    <r>
      <rPr>
        <sz val="10"/>
        <color rgb="FF1F2D25"/>
        <rFont val="Arial"/>
        <family val="0"/>
        <charset val="1"/>
      </rPr>
      <t xml:space="preserve">(12)</t>
    </r>
  </si>
  <si>
    <t xml:space="preserve">박세근</t>
  </si>
  <si>
    <t xml:space="preserve">계좌</t>
  </si>
  <si>
    <r>
      <rPr>
        <b val="true"/>
        <sz val="16"/>
        <color rgb="FF123D27"/>
        <rFont val="Arial"/>
        <family val="0"/>
        <charset val="1"/>
      </rPr>
      <t xml:space="preserve">2026</t>
    </r>
    <r>
      <rPr>
        <b val="true"/>
        <sz val="16"/>
        <color rgb="FF123D27"/>
        <rFont val="WenQuanYi Zen Hei"/>
        <family val="2"/>
      </rPr>
      <t xml:space="preserve">년 </t>
    </r>
    <r>
      <rPr>
        <b val="true"/>
        <sz val="16"/>
        <color rgb="FF123D27"/>
        <rFont val="Arial"/>
        <family val="0"/>
        <charset val="1"/>
      </rPr>
      <t xml:space="preserve">12</t>
    </r>
    <r>
      <rPr>
        <b val="true"/>
        <sz val="16"/>
        <color rgb="FF123D27"/>
        <rFont val="WenQuanYi Zen Hei"/>
        <family val="2"/>
      </rPr>
      <t xml:space="preserve">월 강습표</t>
    </r>
  </si>
  <si>
    <t xml:space="preserve">기준월</t>
  </si>
  <si>
    <t xml:space="preserve">첫 주 월요일</t>
  </si>
  <si>
    <r>
      <rPr>
        <sz val="9"/>
        <color rgb="FF4A6355"/>
        <rFont val="Arial"/>
        <family val="0"/>
        <charset val="1"/>
      </rPr>
      <t xml:space="preserve">MASTER</t>
    </r>
    <r>
      <rPr>
        <sz val="9"/>
        <color rgb="FF4A6355"/>
        <rFont val="WenQuanYi Zen Hei"/>
        <family val="2"/>
      </rPr>
      <t xml:space="preserve">의 결제완료</t>
    </r>
    <r>
      <rPr>
        <sz val="9"/>
        <color rgb="FF4A6355"/>
        <rFont val="Arial"/>
        <family val="0"/>
        <charset val="1"/>
      </rPr>
      <t xml:space="preserve">·</t>
    </r>
    <r>
      <rPr>
        <sz val="9"/>
        <color rgb="FF4A6355"/>
        <rFont val="WenQuanYi Zen Hei"/>
        <family val="2"/>
      </rPr>
      <t xml:space="preserve">상담중 강습이 자동 표시</t>
    </r>
    <r>
      <rPr>
        <sz val="9"/>
        <color rgb="FF4A6355"/>
        <rFont val="Arial"/>
        <family val="0"/>
        <charset val="1"/>
      </rPr>
      <t xml:space="preserve">: </t>
    </r>
    <r>
      <rPr>
        <sz val="9"/>
        <color rgb="FF4A6355"/>
        <rFont val="WenQuanYi Zen Hei"/>
        <family val="2"/>
      </rPr>
      <t xml:space="preserve">칸에는 강습생</t>
    </r>
    <r>
      <rPr>
        <sz val="9"/>
        <color rgb="FF4A6355"/>
        <rFont val="Arial"/>
        <family val="0"/>
        <charset val="1"/>
      </rPr>
      <t xml:space="preserve">(</t>
    </r>
    <r>
      <rPr>
        <sz val="9"/>
        <color rgb="FF4A6355"/>
        <rFont val="WenQuanYi Zen Hei"/>
        <family val="2"/>
      </rPr>
      <t xml:space="preserve">나이</t>
    </r>
    <r>
      <rPr>
        <sz val="9"/>
        <color rgb="FF4A6355"/>
        <rFont val="Arial"/>
        <family val="0"/>
        <charset val="1"/>
      </rPr>
      <t xml:space="preserve">)</t>
    </r>
    <r>
      <rPr>
        <sz val="9"/>
        <color rgb="FF4A6355"/>
        <rFont val="WenQuanYi Zen Hei"/>
        <family val="2"/>
      </rPr>
      <t xml:space="preserve">만 표시 </t>
    </r>
    <r>
      <rPr>
        <sz val="9"/>
        <color rgb="FF4A6355"/>
        <rFont val="Arial"/>
        <family val="0"/>
        <charset val="1"/>
      </rPr>
      <t xml:space="preserve">· </t>
    </r>
    <r>
      <rPr>
        <sz val="9"/>
        <color rgb="FF4A6355"/>
        <rFont val="WenQuanYi Zen Hei"/>
        <family val="2"/>
      </rPr>
      <t xml:space="preserve">연락처</t>
    </r>
    <r>
      <rPr>
        <sz val="9"/>
        <color rgb="FF4A6355"/>
        <rFont val="Arial"/>
        <family val="0"/>
        <charset val="1"/>
      </rPr>
      <t xml:space="preserve">·</t>
    </r>
    <r>
      <rPr>
        <sz val="9"/>
        <color rgb="FF4A6355"/>
        <rFont val="WenQuanYi Zen Hei"/>
        <family val="2"/>
      </rPr>
      <t xml:space="preserve">시간</t>
    </r>
    <r>
      <rPr>
        <sz val="9"/>
        <color rgb="FF4A6355"/>
        <rFont val="Arial"/>
        <family val="0"/>
        <charset val="1"/>
      </rPr>
      <t xml:space="preserve">·</t>
    </r>
    <r>
      <rPr>
        <sz val="9"/>
        <color rgb="FF4A6355"/>
        <rFont val="WenQuanYi Zen Hei"/>
        <family val="2"/>
      </rPr>
      <t xml:space="preserve">특이사항은 칸 메모</t>
    </r>
    <r>
      <rPr>
        <sz val="9"/>
        <color rgb="FF4A6355"/>
        <rFont val="Arial"/>
        <family val="0"/>
        <charset val="1"/>
      </rPr>
      <t xml:space="preserve">(</t>
    </r>
    <r>
      <rPr>
        <sz val="9"/>
        <color rgb="FF4A6355"/>
        <rFont val="WenQuanYi Zen Hei"/>
        <family val="2"/>
      </rPr>
      <t xml:space="preserve">마우스 올리기</t>
    </r>
    <r>
      <rPr>
        <sz val="9"/>
        <color rgb="FF4A6355"/>
        <rFont val="Arial"/>
        <family val="0"/>
        <charset val="1"/>
      </rPr>
      <t xml:space="preserve">/</t>
    </r>
    <r>
      <rPr>
        <sz val="9"/>
        <color rgb="FF4A6355"/>
        <rFont val="WenQuanYi Zen Hei"/>
        <family val="2"/>
      </rPr>
      <t xml:space="preserve">클릭</t>
    </r>
    <r>
      <rPr>
        <sz val="9"/>
        <color rgb="FF4A6355"/>
        <rFont val="Arial"/>
        <family val="0"/>
        <charset val="1"/>
      </rPr>
      <t xml:space="preserve">)</t>
    </r>
    <r>
      <rPr>
        <sz val="9"/>
        <color rgb="FF4A6355"/>
        <rFont val="WenQuanYi Zen Hei"/>
        <family val="2"/>
      </rPr>
      <t xml:space="preserve">로 확인 </t>
    </r>
    <r>
      <rPr>
        <sz val="9"/>
        <color rgb="FF4A6355"/>
        <rFont val="Arial"/>
        <family val="0"/>
        <charset val="1"/>
      </rPr>
      <t xml:space="preserve">(</t>
    </r>
    <r>
      <rPr>
        <sz val="9"/>
        <color rgb="FF4A6355"/>
        <rFont val="WenQuanYi Zen Hei"/>
        <family val="2"/>
      </rPr>
      <t xml:space="preserve">구글 시트 자동 스크립트 설치 시</t>
    </r>
    <r>
      <rPr>
        <sz val="9"/>
        <color rgb="FF4A6355"/>
        <rFont val="Arial"/>
        <family val="0"/>
        <charset val="1"/>
      </rPr>
      <t xml:space="preserve">).  </t>
    </r>
    <r>
      <rPr>
        <sz val="9"/>
        <color rgb="FF4A6355"/>
        <rFont val="WenQuanYi Zen Hei"/>
        <family val="2"/>
      </rPr>
      <t xml:space="preserve">취소로 바꾸면 사라집니다</t>
    </r>
    <r>
      <rPr>
        <sz val="9"/>
        <color rgb="FF4A6355"/>
        <rFont val="Arial"/>
        <family val="0"/>
        <charset val="1"/>
      </rPr>
      <t xml:space="preserve">.  </t>
    </r>
    <r>
      <rPr>
        <sz val="9"/>
        <color rgb="FF4A6355"/>
        <rFont val="WenQuanYi Zen Hei"/>
        <family val="2"/>
      </rPr>
      <t xml:space="preserve">노랑 </t>
    </r>
    <r>
      <rPr>
        <sz val="9"/>
        <color rgb="FF4A6355"/>
        <rFont val="Arial"/>
        <family val="0"/>
        <charset val="1"/>
      </rPr>
      <t xml:space="preserve">= </t>
    </r>
    <r>
      <rPr>
        <sz val="9"/>
        <color rgb="FF4A6355"/>
        <rFont val="WenQuanYi Zen Hei"/>
        <family val="2"/>
      </rPr>
      <t xml:space="preserve">상담중 </t>
    </r>
    <r>
      <rPr>
        <sz val="9"/>
        <color rgb="FF4A6355"/>
        <rFont val="Arial"/>
        <family val="0"/>
        <charset val="1"/>
      </rPr>
      <t xml:space="preserve">· </t>
    </r>
    <r>
      <rPr>
        <sz val="9"/>
        <color rgb="FF4A6355"/>
        <rFont val="WenQuanYi Zen Hei"/>
        <family val="2"/>
      </rPr>
      <t xml:space="preserve">초록 </t>
    </r>
    <r>
      <rPr>
        <sz val="9"/>
        <color rgb="FF4A6355"/>
        <rFont val="Arial"/>
        <family val="0"/>
        <charset val="1"/>
      </rPr>
      <t xml:space="preserve">= </t>
    </r>
    <r>
      <rPr>
        <sz val="9"/>
        <color rgb="FF4A6355"/>
        <rFont val="WenQuanYi Zen Hei"/>
        <family val="2"/>
      </rPr>
      <t xml:space="preserve">결제완료 </t>
    </r>
    <r>
      <rPr>
        <sz val="9"/>
        <color rgb="FF4A6355"/>
        <rFont val="Arial"/>
        <family val="0"/>
        <charset val="1"/>
      </rPr>
      <t xml:space="preserve">· </t>
    </r>
    <r>
      <rPr>
        <sz val="9"/>
        <color rgb="FF4A6355"/>
        <rFont val="WenQuanYi Zen Hei"/>
        <family val="2"/>
      </rPr>
      <t xml:space="preserve">빨강 </t>
    </r>
    <r>
      <rPr>
        <sz val="9"/>
        <color rgb="FF4A6355"/>
        <rFont val="Arial"/>
        <family val="0"/>
        <charset val="1"/>
      </rPr>
      <t xml:space="preserve">'</t>
    </r>
    <r>
      <rPr>
        <sz val="9"/>
        <color rgb="FF4A6355"/>
        <rFont val="WenQuanYi Zen Hei"/>
        <family val="2"/>
      </rPr>
      <t xml:space="preserve">충돌</t>
    </r>
    <r>
      <rPr>
        <sz val="9"/>
        <color rgb="FF4A6355"/>
        <rFont val="Arial"/>
        <family val="0"/>
        <charset val="1"/>
      </rPr>
      <t xml:space="preserve">' = </t>
    </r>
    <r>
      <rPr>
        <sz val="9"/>
        <color rgb="FF4A6355"/>
        <rFont val="WenQuanYi Zen Hei"/>
        <family val="2"/>
      </rPr>
      <t xml:space="preserve">같은 강사 같은 시간 </t>
    </r>
    <r>
      <rPr>
        <sz val="9"/>
        <color rgb="FF4A6355"/>
        <rFont val="Arial"/>
        <family val="0"/>
        <charset val="1"/>
      </rPr>
      <t xml:space="preserve">2</t>
    </r>
    <r>
      <rPr>
        <sz val="9"/>
        <color rgb="FF4A6355"/>
        <rFont val="WenQuanYi Zen Hei"/>
        <family val="2"/>
      </rPr>
      <t xml:space="preserve">건 이상 </t>
    </r>
    <r>
      <rPr>
        <sz val="9"/>
        <color rgb="FF4A6355"/>
        <rFont val="Arial"/>
        <family val="0"/>
        <charset val="1"/>
      </rPr>
      <t xml:space="preserve">· 9</t>
    </r>
    <r>
      <rPr>
        <sz val="9"/>
        <color rgb="FF4A6355"/>
        <rFont val="WenQuanYi Zen Hei"/>
        <family val="2"/>
      </rPr>
      <t xml:space="preserve">시 칸에는 </t>
    </r>
    <r>
      <rPr>
        <sz val="9"/>
        <color rgb="FF4A6355"/>
        <rFont val="Arial"/>
        <family val="0"/>
        <charset val="1"/>
      </rPr>
      <t xml:space="preserve">9</t>
    </r>
    <r>
      <rPr>
        <sz val="9"/>
        <color rgb="FF4A6355"/>
        <rFont val="WenQuanYi Zen Hei"/>
        <family val="2"/>
      </rPr>
      <t xml:space="preserve">시 이전 시작 강습도 표시</t>
    </r>
    <r>
      <rPr>
        <sz val="9"/>
        <color rgb="FF4A6355"/>
        <rFont val="Arial"/>
        <family val="0"/>
        <charset val="1"/>
      </rPr>
      <t xml:space="preserve">.</t>
    </r>
  </si>
  <si>
    <r>
      <rPr>
        <b val="true"/>
        <sz val="10"/>
        <color rgb="FF123D27"/>
        <rFont val="WenQuanYi Zen Hei"/>
        <family val="2"/>
      </rPr>
      <t xml:space="preserve">요일</t>
    </r>
    <r>
      <rPr>
        <b val="true"/>
        <sz val="10"/>
        <color rgb="FF123D27"/>
        <rFont val="Arial"/>
        <family val="0"/>
        <charset val="1"/>
      </rPr>
      <t xml:space="preserve">/</t>
    </r>
    <r>
      <rPr>
        <b val="true"/>
        <sz val="10"/>
        <color rgb="FF123D27"/>
        <rFont val="WenQuanYi Zen Hei"/>
        <family val="2"/>
      </rPr>
      <t xml:space="preserve">날짜</t>
    </r>
  </si>
  <si>
    <t xml:space="preserve">시간</t>
  </si>
  <si>
    <r>
      <rPr>
        <sz val="9"/>
        <color rgb="FF8C510C"/>
        <rFont val="Arial"/>
        <family val="0"/>
        <charset val="1"/>
      </rPr>
      <t xml:space="preserve">9</t>
    </r>
    <r>
      <rPr>
        <sz val="9"/>
        <color rgb="FF8C510C"/>
        <rFont val="WenQuanYi Zen Hei"/>
        <family val="2"/>
      </rPr>
      <t xml:space="preserve">시</t>
    </r>
  </si>
  <si>
    <r>
      <rPr>
        <sz val="9"/>
        <color rgb="FF8C510C"/>
        <rFont val="Arial"/>
        <family val="0"/>
        <charset val="1"/>
      </rPr>
      <t xml:space="preserve">10</t>
    </r>
    <r>
      <rPr>
        <sz val="9"/>
        <color rgb="FF8C510C"/>
        <rFont val="WenQuanYi Zen Hei"/>
        <family val="2"/>
      </rPr>
      <t xml:space="preserve">시</t>
    </r>
  </si>
  <si>
    <r>
      <rPr>
        <sz val="9"/>
        <color rgb="FF8C510C"/>
        <rFont val="Arial"/>
        <family val="0"/>
        <charset val="1"/>
      </rPr>
      <t xml:space="preserve">11</t>
    </r>
    <r>
      <rPr>
        <sz val="9"/>
        <color rgb="FF8C510C"/>
        <rFont val="WenQuanYi Zen Hei"/>
        <family val="2"/>
      </rPr>
      <t xml:space="preserve">시</t>
    </r>
  </si>
  <si>
    <r>
      <rPr>
        <sz val="9"/>
        <color rgb="FF8C510C"/>
        <rFont val="Arial"/>
        <family val="0"/>
        <charset val="1"/>
      </rPr>
      <t xml:space="preserve">12</t>
    </r>
    <r>
      <rPr>
        <sz val="9"/>
        <color rgb="FF8C510C"/>
        <rFont val="WenQuanYi Zen Hei"/>
        <family val="2"/>
      </rPr>
      <t xml:space="preserve">시</t>
    </r>
  </si>
  <si>
    <r>
      <rPr>
        <sz val="9"/>
        <color rgb="FF8C510C"/>
        <rFont val="Arial"/>
        <family val="0"/>
        <charset val="1"/>
      </rPr>
      <t xml:space="preserve">13</t>
    </r>
    <r>
      <rPr>
        <sz val="9"/>
        <color rgb="FF8C510C"/>
        <rFont val="WenQuanYi Zen Hei"/>
        <family val="2"/>
      </rPr>
      <t xml:space="preserve">시</t>
    </r>
  </si>
  <si>
    <r>
      <rPr>
        <sz val="9"/>
        <color rgb="FF8C510C"/>
        <rFont val="Arial"/>
        <family val="0"/>
        <charset val="1"/>
      </rPr>
      <t xml:space="preserve">14</t>
    </r>
    <r>
      <rPr>
        <sz val="9"/>
        <color rgb="FF8C510C"/>
        <rFont val="WenQuanYi Zen Hei"/>
        <family val="2"/>
      </rPr>
      <t xml:space="preserve">시</t>
    </r>
  </si>
  <si>
    <r>
      <rPr>
        <sz val="9"/>
        <color rgb="FF8C510C"/>
        <rFont val="Arial"/>
        <family val="0"/>
        <charset val="1"/>
      </rPr>
      <t xml:space="preserve">15</t>
    </r>
    <r>
      <rPr>
        <sz val="9"/>
        <color rgb="FF8C510C"/>
        <rFont val="WenQuanYi Zen Hei"/>
        <family val="2"/>
      </rPr>
      <t xml:space="preserve">시</t>
    </r>
  </si>
  <si>
    <r>
      <rPr>
        <sz val="9"/>
        <color rgb="FF8C510C"/>
        <rFont val="Arial"/>
        <family val="0"/>
        <charset val="1"/>
      </rPr>
      <t xml:space="preserve">16</t>
    </r>
    <r>
      <rPr>
        <sz val="9"/>
        <color rgb="FF8C510C"/>
        <rFont val="WenQuanYi Zen Hei"/>
        <family val="2"/>
      </rPr>
      <t xml:space="preserve">시</t>
    </r>
  </si>
  <si>
    <r>
      <rPr>
        <sz val="9"/>
        <color rgb="FF8C510C"/>
        <rFont val="Arial"/>
        <family val="0"/>
        <charset val="1"/>
      </rPr>
      <t xml:space="preserve">17</t>
    </r>
    <r>
      <rPr>
        <sz val="9"/>
        <color rgb="FF8C510C"/>
        <rFont val="WenQuanYi Zen Hei"/>
        <family val="2"/>
      </rPr>
      <t xml:space="preserve">시</t>
    </r>
  </si>
  <si>
    <r>
      <rPr>
        <sz val="9"/>
        <color rgb="FF8C510C"/>
        <rFont val="Arial"/>
        <family val="0"/>
        <charset val="1"/>
      </rPr>
      <t xml:space="preserve">18</t>
    </r>
    <r>
      <rPr>
        <sz val="9"/>
        <color rgb="FF8C510C"/>
        <rFont val="WenQuanYi Zen Hei"/>
        <family val="2"/>
      </rPr>
      <t xml:space="preserve">시</t>
    </r>
  </si>
  <si>
    <t xml:space="preserve">야간</t>
  </si>
  <si>
    <r>
      <rPr>
        <b val="true"/>
        <sz val="16"/>
        <color rgb="FF123D27"/>
        <rFont val="Arial"/>
        <family val="0"/>
        <charset val="1"/>
      </rPr>
      <t xml:space="preserve">2027</t>
    </r>
    <r>
      <rPr>
        <b val="true"/>
        <sz val="16"/>
        <color rgb="FF123D27"/>
        <rFont val="WenQuanYi Zen Hei"/>
        <family val="2"/>
      </rPr>
      <t xml:space="preserve">년 </t>
    </r>
    <r>
      <rPr>
        <b val="true"/>
        <sz val="16"/>
        <color rgb="FF123D27"/>
        <rFont val="Arial"/>
        <family val="0"/>
        <charset val="1"/>
      </rPr>
      <t xml:space="preserve">1</t>
    </r>
    <r>
      <rPr>
        <b val="true"/>
        <sz val="16"/>
        <color rgb="FF123D27"/>
        <rFont val="WenQuanYi Zen Hei"/>
        <family val="2"/>
      </rPr>
      <t xml:space="preserve">월 강습표</t>
    </r>
  </si>
  <si>
    <r>
      <rPr>
        <b val="true"/>
        <sz val="16"/>
        <color rgb="FF123D27"/>
        <rFont val="Arial"/>
        <family val="0"/>
        <charset val="1"/>
      </rPr>
      <t xml:space="preserve">2027</t>
    </r>
    <r>
      <rPr>
        <b val="true"/>
        <sz val="16"/>
        <color rgb="FF123D27"/>
        <rFont val="WenQuanYi Zen Hei"/>
        <family val="2"/>
      </rPr>
      <t xml:space="preserve">년 </t>
    </r>
    <r>
      <rPr>
        <b val="true"/>
        <sz val="16"/>
        <color rgb="FF123D27"/>
        <rFont val="Arial"/>
        <family val="0"/>
        <charset val="1"/>
      </rPr>
      <t xml:space="preserve">2</t>
    </r>
    <r>
      <rPr>
        <b val="true"/>
        <sz val="16"/>
        <color rgb="FF123D27"/>
        <rFont val="WenQuanYi Zen Hei"/>
        <family val="2"/>
      </rPr>
      <t xml:space="preserve">월 강습표</t>
    </r>
  </si>
  <si>
    <r>
      <rPr>
        <b val="true"/>
        <sz val="14"/>
        <color rgb="FF123D27"/>
        <rFont val="Arial"/>
        <family val="0"/>
        <charset val="1"/>
      </rPr>
      <t xml:space="preserve">26-27 </t>
    </r>
    <r>
      <rPr>
        <b val="true"/>
        <sz val="14"/>
        <color rgb="FF123D27"/>
        <rFont val="WenQuanYi Zen Hei"/>
        <family val="2"/>
      </rPr>
      <t xml:space="preserve">시즌 월별 결산</t>
    </r>
  </si>
  <si>
    <r>
      <rPr>
        <sz val="9"/>
        <color rgb="FF4A6355"/>
        <rFont val="WenQuanYi Zen Hei"/>
        <family val="2"/>
      </rPr>
      <t xml:space="preserve">※ 강습일 기준으로 집계합니다</t>
    </r>
    <r>
      <rPr>
        <sz val="9"/>
        <color rgb="FF4A6355"/>
        <rFont val="Arial"/>
        <family val="0"/>
        <charset val="1"/>
      </rPr>
      <t xml:space="preserve">. '</t>
    </r>
    <r>
      <rPr>
        <sz val="9"/>
        <color rgb="FF4A6355"/>
        <rFont val="WenQuanYi Zen Hei"/>
        <family val="2"/>
      </rPr>
      <t xml:space="preserve">기간 외</t>
    </r>
    <r>
      <rPr>
        <sz val="9"/>
        <color rgb="FF4A6355"/>
        <rFont val="Arial"/>
        <family val="0"/>
        <charset val="1"/>
      </rPr>
      <t xml:space="preserve">' = </t>
    </r>
    <r>
      <rPr>
        <sz val="9"/>
        <color rgb="FF4A6355"/>
        <rFont val="WenQuanYi Zen Hei"/>
        <family val="2"/>
      </rPr>
      <t xml:space="preserve">표시된 달 밖이거나 강습일이 빈 금액 </t>
    </r>
    <r>
      <rPr>
        <sz val="9"/>
        <color rgb="FF4A6355"/>
        <rFont val="Arial"/>
        <family val="0"/>
        <charset val="1"/>
      </rPr>
      <t xml:space="preserve">(0</t>
    </r>
    <r>
      <rPr>
        <sz val="9"/>
        <color rgb="FF4A6355"/>
        <rFont val="WenQuanYi Zen Hei"/>
        <family val="2"/>
      </rPr>
      <t xml:space="preserve">이 아니면 날짜 확인</t>
    </r>
    <r>
      <rPr>
        <sz val="9"/>
        <color rgb="FF4A6355"/>
        <rFont val="Arial"/>
        <family val="0"/>
        <charset val="1"/>
      </rPr>
      <t xml:space="preserve">).</t>
    </r>
  </si>
  <si>
    <t xml:space="preserve">구분</t>
  </si>
  <si>
    <t xml:space="preserve">시즌 합계</t>
  </si>
  <si>
    <r>
      <rPr>
        <b val="true"/>
        <sz val="10"/>
        <color rgb="FF123D27"/>
        <rFont val="WenQuanYi Zen Hei"/>
        <family val="2"/>
      </rPr>
      <t xml:space="preserve">손익 </t>
    </r>
    <r>
      <rPr>
        <b val="true"/>
        <sz val="10"/>
        <color rgb="FF123D27"/>
        <rFont val="Arial"/>
        <family val="0"/>
        <charset val="1"/>
      </rPr>
      <t xml:space="preserve">· </t>
    </r>
    <r>
      <rPr>
        <b val="true"/>
        <sz val="10"/>
        <color rgb="FF123D27"/>
        <rFont val="WenQuanYi Zen Hei"/>
        <family val="2"/>
      </rPr>
      <t xml:space="preserve">강습일 기준</t>
    </r>
  </si>
  <si>
    <r>
      <rPr>
        <b val="true"/>
        <sz val="10"/>
        <color rgb="FF1F2D25"/>
        <rFont val="WenQuanYi Zen Hei"/>
        <family val="2"/>
      </rPr>
      <t xml:space="preserve">예약 건수 </t>
    </r>
    <r>
      <rPr>
        <b val="true"/>
        <sz val="10"/>
        <color rgb="FF1F2D25"/>
        <rFont val="Arial"/>
        <family val="0"/>
        <charset val="1"/>
      </rPr>
      <t xml:space="preserve">(</t>
    </r>
    <r>
      <rPr>
        <b val="true"/>
        <sz val="10"/>
        <color rgb="FF1F2D25"/>
        <rFont val="WenQuanYi Zen Hei"/>
        <family val="2"/>
      </rPr>
      <t xml:space="preserve">결제완료</t>
    </r>
    <r>
      <rPr>
        <b val="true"/>
        <sz val="10"/>
        <color rgb="FF1F2D25"/>
        <rFont val="Arial"/>
        <family val="0"/>
        <charset val="1"/>
      </rPr>
      <t xml:space="preserve">)</t>
    </r>
  </si>
  <si>
    <t xml:space="preserve">취소 건수</t>
  </si>
  <si>
    <r>
      <rPr>
        <b val="true"/>
        <sz val="10"/>
        <color rgb="FF1F2D25"/>
        <rFont val="WenQuanYi Zen Hei"/>
        <family val="2"/>
      </rPr>
      <t xml:space="preserve">매출 </t>
    </r>
    <r>
      <rPr>
        <b val="true"/>
        <sz val="10"/>
        <color rgb="FF1F2D25"/>
        <rFont val="Arial"/>
        <family val="0"/>
        <charset val="1"/>
      </rPr>
      <t xml:space="preserve">(</t>
    </r>
    <r>
      <rPr>
        <b val="true"/>
        <sz val="10"/>
        <color rgb="FF1F2D25"/>
        <rFont val="WenQuanYi Zen Hei"/>
        <family val="2"/>
      </rPr>
      <t xml:space="preserve">결제완료 결제금액</t>
    </r>
    <r>
      <rPr>
        <b val="true"/>
        <sz val="10"/>
        <color rgb="FF1F2D25"/>
        <rFont val="Arial"/>
        <family val="0"/>
        <charset val="1"/>
      </rPr>
      <t xml:space="preserve">)</t>
    </r>
  </si>
  <si>
    <t xml:space="preserve">장비 렌탈비</t>
  </si>
  <si>
    <r>
      <rPr>
        <b val="true"/>
        <sz val="10"/>
        <color rgb="FF1F2D25"/>
        <rFont val="WenQuanYi Zen Hei"/>
        <family val="2"/>
      </rPr>
      <t xml:space="preserve">강습마진 </t>
    </r>
    <r>
      <rPr>
        <b val="true"/>
        <sz val="10"/>
        <color rgb="FF1F2D25"/>
        <rFont val="Arial"/>
        <family val="0"/>
        <charset val="1"/>
      </rPr>
      <t xml:space="preserve">(</t>
    </r>
    <r>
      <rPr>
        <b val="true"/>
        <sz val="10"/>
        <color rgb="FF1F2D25"/>
        <rFont val="WenQuanYi Zen Hei"/>
        <family val="2"/>
      </rPr>
      <t xml:space="preserve">매출 − 강사료 − 장비</t>
    </r>
    <r>
      <rPr>
        <b val="true"/>
        <sz val="10"/>
        <color rgb="FF1F2D25"/>
        <rFont val="Arial"/>
        <family val="0"/>
        <charset val="1"/>
      </rPr>
      <t xml:space="preserve">)</t>
    </r>
  </si>
  <si>
    <r>
      <rPr>
        <b val="true"/>
        <sz val="10"/>
        <color rgb="FF1F2D25"/>
        <rFont val="WenQuanYi Zen Hei"/>
        <family val="2"/>
      </rPr>
      <t xml:space="preserve">네이버수수료 </t>
    </r>
    <r>
      <rPr>
        <b val="true"/>
        <sz val="10"/>
        <color rgb="FF1F2D25"/>
        <rFont val="Arial"/>
        <family val="0"/>
        <charset val="1"/>
      </rPr>
      <t xml:space="preserve">(</t>
    </r>
    <r>
      <rPr>
        <b val="true"/>
        <sz val="10"/>
        <color rgb="FF1F2D25"/>
        <rFont val="WenQuanYi Zen Hei"/>
        <family val="2"/>
      </rPr>
      <t xml:space="preserve">스마트스토어 결제 자동</t>
    </r>
    <r>
      <rPr>
        <b val="true"/>
        <sz val="10"/>
        <color rgb="FF1F2D25"/>
        <rFont val="Arial"/>
        <family val="0"/>
        <charset val="1"/>
      </rPr>
      <t xml:space="preserve">)</t>
    </r>
  </si>
  <si>
    <r>
      <rPr>
        <b val="true"/>
        <sz val="10"/>
        <color rgb="FF1F2D25"/>
        <rFont val="WenQuanYi Zen Hei"/>
        <family val="2"/>
      </rPr>
      <t xml:space="preserve">광고비</t>
    </r>
    <r>
      <rPr>
        <b val="true"/>
        <sz val="10"/>
        <color rgb="FF1F2D25"/>
        <rFont val="Arial"/>
        <family val="0"/>
        <charset val="1"/>
      </rPr>
      <t xml:space="preserve">·</t>
    </r>
    <r>
      <rPr>
        <b val="true"/>
        <sz val="10"/>
        <color rgb="FF1F2D25"/>
        <rFont val="WenQuanYi Zen Hei"/>
        <family val="2"/>
      </rPr>
      <t xml:space="preserve">운영비</t>
    </r>
  </si>
  <si>
    <t xml:space="preserve">기타수입</t>
  </si>
  <si>
    <t xml:space="preserve">순익률</t>
  </si>
  <si>
    <t xml:space="preserve">강사 정산</t>
  </si>
  <si>
    <r>
      <rPr>
        <b val="true"/>
        <sz val="9"/>
        <color rgb="FF4A6355"/>
        <rFont val="WenQuanYi Zen Hei"/>
        <family val="2"/>
      </rPr>
      <t xml:space="preserve">※ 강사료 </t>
    </r>
    <r>
      <rPr>
        <b val="true"/>
        <sz val="9"/>
        <color rgb="FF4A6355"/>
        <rFont val="Arial"/>
        <family val="0"/>
        <charset val="1"/>
      </rPr>
      <t xml:space="preserve">= </t>
    </r>
    <r>
      <rPr>
        <b val="true"/>
        <sz val="9"/>
        <color rgb="FF4A6355"/>
        <rFont val="WenQuanYi Zen Hei"/>
        <family val="2"/>
      </rPr>
      <t xml:space="preserve">결제완료 강습의 시급 </t>
    </r>
    <r>
      <rPr>
        <b val="true"/>
        <sz val="9"/>
        <color rgb="FF4A6355"/>
        <rFont val="Arial"/>
        <family val="0"/>
        <charset val="1"/>
      </rPr>
      <t xml:space="preserve">× </t>
    </r>
    <r>
      <rPr>
        <b val="true"/>
        <sz val="9"/>
        <color rgb="FF4A6355"/>
        <rFont val="WenQuanYi Zen Hei"/>
        <family val="2"/>
      </rPr>
      <t xml:space="preserve">강습시간 </t>
    </r>
    <r>
      <rPr>
        <b val="true"/>
        <sz val="9"/>
        <color rgb="FF4A6355"/>
        <rFont val="Arial"/>
        <family val="0"/>
        <charset val="1"/>
      </rPr>
      <t xml:space="preserve">+ </t>
    </r>
    <r>
      <rPr>
        <b val="true"/>
        <sz val="9"/>
        <color rgb="FF4A6355"/>
        <rFont val="WenQuanYi Zen Hei"/>
        <family val="2"/>
      </rPr>
      <t xml:space="preserve">인원 추가 수당</t>
    </r>
    <r>
      <rPr>
        <b val="true"/>
        <sz val="9"/>
        <color rgb="FF4A6355"/>
        <rFont val="Arial"/>
        <family val="0"/>
        <charset val="1"/>
      </rPr>
      <t xml:space="preserve">(2:1 +5,000 · 3:1 +10,000, </t>
    </r>
    <r>
      <rPr>
        <b val="true"/>
        <sz val="9"/>
        <color rgb="FF4A6355"/>
        <rFont val="WenQuanYi Zen Hei"/>
        <family val="2"/>
      </rPr>
      <t xml:space="preserve">설정에서 변경</t>
    </r>
    <r>
      <rPr>
        <b val="true"/>
        <sz val="9"/>
        <color rgb="FF4A6355"/>
        <rFont val="Arial"/>
        <family val="0"/>
        <charset val="1"/>
      </rPr>
      <t xml:space="preserve">) (MASTER</t>
    </r>
    <r>
      <rPr>
        <b val="true"/>
        <sz val="9"/>
        <color rgb="FF4A6355"/>
        <rFont val="WenQuanYi Zen Hei"/>
        <family val="2"/>
      </rPr>
      <t xml:space="preserve">에서 자동</t>
    </r>
    <r>
      <rPr>
        <b val="true"/>
        <sz val="9"/>
        <color rgb="FF4A6355"/>
        <rFont val="Arial"/>
        <family val="0"/>
        <charset val="1"/>
      </rPr>
      <t xml:space="preserve">).  ③ </t>
    </r>
    <r>
      <rPr>
        <b val="true"/>
        <sz val="9"/>
        <color rgb="FF4A6355"/>
        <rFont val="WenQuanYi Zen Hei"/>
        <family val="2"/>
      </rPr>
      <t xml:space="preserve">정산 회차표에서 기간별 강사료를 보고</t>
    </r>
    <r>
      <rPr>
        <b val="true"/>
        <sz val="9"/>
        <color rgb="FF4A6355"/>
        <rFont val="Arial"/>
        <family val="0"/>
        <charset val="1"/>
      </rPr>
      <t xml:space="preserve">, </t>
    </r>
    <r>
      <rPr>
        <b val="true"/>
        <sz val="9"/>
        <color rgb="FF4A6355"/>
        <rFont val="WenQuanYi Zen Hei"/>
        <family val="2"/>
      </rPr>
      <t xml:space="preserve">송금하면 그 칸 옆 </t>
    </r>
    <r>
      <rPr>
        <b val="true"/>
        <sz val="9"/>
        <color rgb="FF4A6355"/>
        <rFont val="Arial"/>
        <family val="0"/>
        <charset val="1"/>
      </rPr>
      <t xml:space="preserve">'</t>
    </r>
    <r>
      <rPr>
        <b val="true"/>
        <sz val="9"/>
        <color rgb="FF4A6355"/>
        <rFont val="WenQuanYi Zen Hei"/>
        <family val="2"/>
      </rPr>
      <t xml:space="preserve">지급일</t>
    </r>
    <r>
      <rPr>
        <b val="true"/>
        <sz val="9"/>
        <color rgb="FF4A6355"/>
        <rFont val="Arial"/>
        <family val="0"/>
        <charset val="1"/>
      </rPr>
      <t xml:space="preserve">'</t>
    </r>
    <r>
      <rPr>
        <b val="true"/>
        <sz val="9"/>
        <color rgb="FF4A6355"/>
        <rFont val="WenQuanYi Zen Hei"/>
        <family val="2"/>
      </rPr>
      <t xml:space="preserve">만 적으세요</t>
    </r>
    <r>
      <rPr>
        <b val="true"/>
        <sz val="9"/>
        <color rgb="FF4A6355"/>
        <rFont val="Arial"/>
        <family val="0"/>
        <charset val="1"/>
      </rPr>
      <t xml:space="preserve">.  ② </t>
    </r>
    <r>
      <rPr>
        <b val="true"/>
        <sz val="9"/>
        <color rgb="FF4A6355"/>
        <rFont val="WenQuanYi Zen Hei"/>
        <family val="2"/>
      </rPr>
      <t xml:space="preserve">기간 정산은 원하는 날짜를 넣어 따로 조회할 때 씁니다</t>
    </r>
    <r>
      <rPr>
        <b val="true"/>
        <sz val="9"/>
        <color rgb="FF4A6355"/>
        <rFont val="Arial"/>
        <family val="0"/>
        <charset val="1"/>
      </rPr>
      <t xml:space="preserve">.</t>
    </r>
  </si>
  <si>
    <r>
      <rPr>
        <b val="true"/>
        <sz val="11"/>
        <color rgb="FF123D27"/>
        <rFont val="WenQuanYi Zen Hei"/>
        <family val="2"/>
      </rPr>
      <t xml:space="preserve">③ 정산 회차표 </t>
    </r>
    <r>
      <rPr>
        <b val="true"/>
        <sz val="11"/>
        <color rgb="FF123D27"/>
        <rFont val="Arial"/>
        <family val="0"/>
        <charset val="1"/>
      </rPr>
      <t xml:space="preserve">· </t>
    </r>
    <r>
      <rPr>
        <b val="true"/>
        <sz val="11"/>
        <color rgb="FF123D27"/>
        <rFont val="WenQuanYi Zen Hei"/>
        <family val="2"/>
      </rPr>
      <t xml:space="preserve">기간별 강사료가 자동으로 나오고</t>
    </r>
    <r>
      <rPr>
        <b val="true"/>
        <sz val="11"/>
        <color rgb="FF123D27"/>
        <rFont val="Arial"/>
        <family val="0"/>
        <charset val="1"/>
      </rPr>
      <t xml:space="preserve">, </t>
    </r>
    <r>
      <rPr>
        <b val="true"/>
        <sz val="11"/>
        <color rgb="FF123D27"/>
        <rFont val="WenQuanYi Zen Hei"/>
        <family val="2"/>
      </rPr>
      <t xml:space="preserve">송금하면 지급일만 적으세요 </t>
    </r>
    <r>
      <rPr>
        <b val="true"/>
        <sz val="11"/>
        <color rgb="FF123D27"/>
        <rFont val="Arial"/>
        <family val="0"/>
        <charset val="1"/>
      </rPr>
      <t xml:space="preserve">(</t>
    </r>
    <r>
      <rPr>
        <b val="true"/>
        <sz val="11"/>
        <color rgb="FF123D27"/>
        <rFont val="WenQuanYi Zen Hei"/>
        <family val="2"/>
      </rPr>
      <t xml:space="preserve">초록 </t>
    </r>
    <r>
      <rPr>
        <b val="true"/>
        <sz val="11"/>
        <color rgb="FF123D27"/>
        <rFont val="Arial"/>
        <family val="0"/>
        <charset val="1"/>
      </rPr>
      <t xml:space="preserve">= </t>
    </r>
    <r>
      <rPr>
        <b val="true"/>
        <sz val="11"/>
        <color rgb="FF123D27"/>
        <rFont val="WenQuanYi Zen Hei"/>
        <family val="2"/>
      </rPr>
      <t xml:space="preserve">지급완료 </t>
    </r>
    <r>
      <rPr>
        <b val="true"/>
        <sz val="11"/>
        <color rgb="FF123D27"/>
        <rFont val="Arial"/>
        <family val="0"/>
        <charset val="1"/>
      </rPr>
      <t xml:space="preserve">· </t>
    </r>
    <r>
      <rPr>
        <b val="true"/>
        <sz val="11"/>
        <color rgb="FF123D27"/>
        <rFont val="WenQuanYi Zen Hei"/>
        <family val="2"/>
      </rPr>
      <t xml:space="preserve">빨강 </t>
    </r>
    <r>
      <rPr>
        <b val="true"/>
        <sz val="11"/>
        <color rgb="FF123D27"/>
        <rFont val="Arial"/>
        <family val="0"/>
        <charset val="1"/>
      </rPr>
      <t xml:space="preserve">= </t>
    </r>
    <r>
      <rPr>
        <b val="true"/>
        <sz val="11"/>
        <color rgb="FF123D27"/>
        <rFont val="WenQuanYi Zen Hei"/>
        <family val="2"/>
      </rPr>
      <t xml:space="preserve">기간 지남</t>
    </r>
    <r>
      <rPr>
        <b val="true"/>
        <sz val="11"/>
        <color rgb="FF123D27"/>
        <rFont val="Arial"/>
        <family val="0"/>
        <charset val="1"/>
      </rPr>
      <t xml:space="preserve">·</t>
    </r>
    <r>
      <rPr>
        <b val="true"/>
        <sz val="11"/>
        <color rgb="FF123D27"/>
        <rFont val="WenQuanYi Zen Hei"/>
        <family val="2"/>
      </rPr>
      <t xml:space="preserve">미지급 </t>
    </r>
    <r>
      <rPr>
        <b val="true"/>
        <sz val="11"/>
        <color rgb="FF123D27"/>
        <rFont val="Arial"/>
        <family val="0"/>
        <charset val="1"/>
      </rPr>
      <t xml:space="preserve">· </t>
    </r>
    <r>
      <rPr>
        <b val="true"/>
        <sz val="11"/>
        <color rgb="FF123D27"/>
        <rFont val="WenQuanYi Zen Hei"/>
        <family val="2"/>
      </rPr>
      <t xml:space="preserve">노랑 </t>
    </r>
    <r>
      <rPr>
        <b val="true"/>
        <sz val="11"/>
        <color rgb="FF123D27"/>
        <rFont val="Arial"/>
        <family val="0"/>
        <charset val="1"/>
      </rPr>
      <t xml:space="preserve">= </t>
    </r>
    <r>
      <rPr>
        <b val="true"/>
        <sz val="11"/>
        <color rgb="FF123D27"/>
        <rFont val="WenQuanYi Zen Hei"/>
        <family val="2"/>
      </rPr>
      <t xml:space="preserve">지급 예정</t>
    </r>
    <r>
      <rPr>
        <b val="true"/>
        <sz val="11"/>
        <color rgb="FF123D27"/>
        <rFont val="Arial"/>
        <family val="0"/>
        <charset val="1"/>
      </rPr>
      <t xml:space="preserve">)</t>
    </r>
  </si>
  <si>
    <r>
      <rPr>
        <b val="true"/>
        <sz val="11"/>
        <color rgb="FF123D27"/>
        <rFont val="WenQuanYi Zen Hei"/>
        <family val="2"/>
      </rPr>
      <t xml:space="preserve">① 시즌 요약 </t>
    </r>
    <r>
      <rPr>
        <b val="true"/>
        <sz val="11"/>
        <color rgb="FF123D27"/>
        <rFont val="Arial"/>
        <family val="0"/>
        <charset val="1"/>
      </rPr>
      <t xml:space="preserve">(</t>
    </r>
    <r>
      <rPr>
        <b val="true"/>
        <sz val="11"/>
        <color rgb="FF123D27"/>
        <rFont val="WenQuanYi Zen Hei"/>
        <family val="2"/>
      </rPr>
      <t xml:space="preserve">자동</t>
    </r>
    <r>
      <rPr>
        <b val="true"/>
        <sz val="11"/>
        <color rgb="FF123D27"/>
        <rFont val="Arial"/>
        <family val="0"/>
        <charset val="1"/>
      </rPr>
      <t xml:space="preserve">)</t>
    </r>
  </si>
  <si>
    <t xml:space="preserve">정산 기간</t>
  </si>
  <si>
    <t xml:space="preserve">강사명</t>
  </si>
  <si>
    <t xml:space="preserve">강습건수</t>
  </si>
  <si>
    <t xml:space="preserve">강습시간</t>
  </si>
  <si>
    <t xml:space="preserve">정산완료</t>
  </si>
  <si>
    <t xml:space="preserve">미정산</t>
  </si>
  <si>
    <t xml:space="preserve">회차</t>
  </si>
  <si>
    <t xml:space="preserve">지급일</t>
  </si>
  <si>
    <t xml:space="preserve">기간 합계</t>
  </si>
  <si>
    <r>
      <rPr>
        <b val="true"/>
        <sz val="10"/>
        <color rgb="FFB42318"/>
        <rFont val="WenQuanYi Zen Hei"/>
        <family val="2"/>
      </rPr>
      <t xml:space="preserve">미지급 </t>
    </r>
    <r>
      <rPr>
        <b val="true"/>
        <sz val="10"/>
        <color rgb="FFB42318"/>
        <rFont val="Arial"/>
        <family val="0"/>
        <charset val="1"/>
      </rPr>
      <t xml:space="preserve">(</t>
    </r>
    <r>
      <rPr>
        <b val="true"/>
        <sz val="10"/>
        <color rgb="FFB42318"/>
        <rFont val="WenQuanYi Zen Hei"/>
        <family val="2"/>
      </rPr>
      <t xml:space="preserve">지난 강습</t>
    </r>
    <r>
      <rPr>
        <b val="true"/>
        <sz val="10"/>
        <color rgb="FFB42318"/>
        <rFont val="Arial"/>
        <family val="0"/>
        <charset val="1"/>
      </rPr>
      <t xml:space="preserve">)</t>
    </r>
  </si>
  <si>
    <r>
      <rPr>
        <sz val="9"/>
        <color rgb="FF4A6355"/>
        <rFont val="WenQuanYi Zen Hei"/>
        <family val="2"/>
      </rPr>
      <t xml:space="preserve">※ 회차 기간</t>
    </r>
    <r>
      <rPr>
        <sz val="9"/>
        <color rgb="FF4A6355"/>
        <rFont val="Arial"/>
        <family val="0"/>
        <charset val="1"/>
      </rPr>
      <t xml:space="preserve">(</t>
    </r>
    <r>
      <rPr>
        <sz val="9"/>
        <color rgb="FF4A6355"/>
        <rFont val="WenQuanYi Zen Hei"/>
        <family val="2"/>
      </rPr>
      <t xml:space="preserve">노란 칸</t>
    </r>
    <r>
      <rPr>
        <sz val="9"/>
        <color rgb="FF4A6355"/>
        <rFont val="Arial"/>
        <family val="0"/>
        <charset val="1"/>
      </rPr>
      <t xml:space="preserve">)</t>
    </r>
    <r>
      <rPr>
        <sz val="9"/>
        <color rgb="FF4A6355"/>
        <rFont val="WenQuanYi Zen Hei"/>
        <family val="2"/>
      </rPr>
      <t xml:space="preserve">은 자유롭게 바꿀 수 있습니다 </t>
    </r>
    <r>
      <rPr>
        <sz val="9"/>
        <color rgb="FF4A6355"/>
        <rFont val="Arial"/>
        <family val="0"/>
        <charset val="1"/>
      </rPr>
      <t xml:space="preserve">(</t>
    </r>
    <r>
      <rPr>
        <sz val="9"/>
        <color rgb="FF4A6355"/>
        <rFont val="WenQuanYi Zen Hei"/>
        <family val="2"/>
      </rPr>
      <t xml:space="preserve">기본</t>
    </r>
    <r>
      <rPr>
        <sz val="9"/>
        <color rgb="FF4A6355"/>
        <rFont val="Arial"/>
        <family val="0"/>
        <charset val="1"/>
      </rPr>
      <t xml:space="preserve">: </t>
    </r>
    <r>
      <rPr>
        <sz val="9"/>
        <color rgb="FF4A6355"/>
        <rFont val="WenQuanYi Zen Hei"/>
        <family val="2"/>
      </rPr>
      <t xml:space="preserve">반월 단위</t>
    </r>
    <r>
      <rPr>
        <sz val="9"/>
        <color rgb="FF4A6355"/>
        <rFont val="Arial"/>
        <family val="0"/>
        <charset val="1"/>
      </rPr>
      <t xml:space="preserve">). </t>
    </r>
    <r>
      <rPr>
        <sz val="9"/>
        <color rgb="FF4A6355"/>
        <rFont val="WenQuanYi Zen Hei"/>
        <family val="2"/>
      </rPr>
      <t xml:space="preserve">기간이 서로 겹치지 않게 적어 주세요</t>
    </r>
    <r>
      <rPr>
        <sz val="9"/>
        <color rgb="FF4A6355"/>
        <rFont val="Arial"/>
        <family val="0"/>
        <charset val="1"/>
      </rPr>
      <t xml:space="preserve">. </t>
    </r>
    <r>
      <rPr>
        <sz val="9"/>
        <color rgb="FF4A6355"/>
        <rFont val="WenQuanYi Zen Hei"/>
        <family val="2"/>
      </rPr>
      <t xml:space="preserve">지급일을 적으면 그 기간 그 강사의 강습이 </t>
    </r>
    <r>
      <rPr>
        <sz val="9"/>
        <color rgb="FF4A6355"/>
        <rFont val="Arial"/>
        <family val="0"/>
        <charset val="1"/>
      </rPr>
      <t xml:space="preserve">'</t>
    </r>
    <r>
      <rPr>
        <sz val="9"/>
        <color rgb="FF4A6355"/>
        <rFont val="WenQuanYi Zen Hei"/>
        <family val="2"/>
      </rPr>
      <t xml:space="preserve">정산완료</t>
    </r>
    <r>
      <rPr>
        <sz val="9"/>
        <color rgb="FF4A6355"/>
        <rFont val="Arial"/>
        <family val="0"/>
        <charset val="1"/>
      </rPr>
      <t xml:space="preserve">'</t>
    </r>
    <r>
      <rPr>
        <sz val="9"/>
        <color rgb="FF4A6355"/>
        <rFont val="WenQuanYi Zen Hei"/>
        <family val="2"/>
      </rPr>
      <t xml:space="preserve">로 처리되어 ① 시즌 요약 </t>
    </r>
    <r>
      <rPr>
        <sz val="9"/>
        <color rgb="FF4A6355"/>
        <rFont val="Arial"/>
        <family val="0"/>
        <charset val="1"/>
      </rPr>
      <t xml:space="preserve">· ② </t>
    </r>
    <r>
      <rPr>
        <sz val="9"/>
        <color rgb="FF4A6355"/>
        <rFont val="WenQuanYi Zen Hei"/>
        <family val="2"/>
      </rPr>
      <t xml:space="preserve">기간 정산 </t>
    </r>
    <r>
      <rPr>
        <sz val="9"/>
        <color rgb="FF4A6355"/>
        <rFont val="Arial"/>
        <family val="0"/>
        <charset val="1"/>
      </rPr>
      <t xml:space="preserve">· </t>
    </r>
    <r>
      <rPr>
        <sz val="9"/>
        <color rgb="FF4A6355"/>
        <rFont val="WenQuanYi Zen Hei"/>
        <family val="2"/>
      </rPr>
      <t xml:space="preserve">대시보드에 반영됩니다</t>
    </r>
    <r>
      <rPr>
        <sz val="9"/>
        <color rgb="FF4A6355"/>
        <rFont val="Arial"/>
        <family val="0"/>
        <charset val="1"/>
      </rPr>
      <t xml:space="preserve">. </t>
    </r>
    <r>
      <rPr>
        <sz val="9"/>
        <color rgb="FF4A6355"/>
        <rFont val="WenQuanYi Zen Hei"/>
        <family val="2"/>
      </rPr>
      <t xml:space="preserve">강사</t>
    </r>
    <r>
      <rPr>
        <sz val="9"/>
        <color rgb="FF4A6355"/>
        <rFont val="Arial"/>
        <family val="0"/>
        <charset val="1"/>
      </rPr>
      <t xml:space="preserve">DB </t>
    </r>
    <r>
      <rPr>
        <sz val="9"/>
        <color rgb="FF4A6355"/>
        <rFont val="WenQuanYi Zen Hei"/>
        <family val="2"/>
      </rPr>
      <t xml:space="preserve">위에서 </t>
    </r>
    <r>
      <rPr>
        <sz val="9"/>
        <color rgb="FF4A6355"/>
        <rFont val="Arial"/>
        <family val="0"/>
        <charset val="1"/>
      </rPr>
      <t xml:space="preserve">12</t>
    </r>
    <r>
      <rPr>
        <sz val="9"/>
        <color rgb="FF4A6355"/>
        <rFont val="WenQuanYi Zen Hei"/>
        <family val="2"/>
      </rPr>
      <t xml:space="preserve">명까지 표시됩니다 </t>
    </r>
    <r>
      <rPr>
        <sz val="9"/>
        <color rgb="FF4A6355"/>
        <rFont val="Arial"/>
        <family val="0"/>
        <charset val="1"/>
      </rPr>
      <t xml:space="preserve">(</t>
    </r>
    <r>
      <rPr>
        <sz val="9"/>
        <color rgb="FF4A6355"/>
        <rFont val="WenQuanYi Zen Hei"/>
        <family val="2"/>
      </rPr>
      <t xml:space="preserve">퇴사자도 정산을 위해 남습니다</t>
    </r>
    <r>
      <rPr>
        <sz val="9"/>
        <color rgb="FF4A6355"/>
        <rFont val="Arial"/>
        <family val="0"/>
        <charset val="1"/>
      </rPr>
      <t xml:space="preserve">).</t>
    </r>
  </si>
  <si>
    <r>
      <rPr>
        <b val="true"/>
        <sz val="11"/>
        <color rgb="FF123D27"/>
        <rFont val="WenQuanYi Zen Hei"/>
        <family val="2"/>
      </rPr>
      <t xml:space="preserve">② 기간 정산 </t>
    </r>
    <r>
      <rPr>
        <b val="true"/>
        <sz val="11"/>
        <color rgb="FF123D27"/>
        <rFont val="Arial"/>
        <family val="0"/>
        <charset val="1"/>
      </rPr>
      <t xml:space="preserve">· </t>
    </r>
    <r>
      <rPr>
        <b val="true"/>
        <sz val="11"/>
        <color rgb="FF123D27"/>
        <rFont val="WenQuanYi Zen Hei"/>
        <family val="2"/>
      </rPr>
      <t xml:space="preserve">날짜를 바꿔서 조회</t>
    </r>
  </si>
  <si>
    <t xml:space="preserve">정산 시작</t>
  </si>
  <si>
    <t xml:space="preserve">정산 종료</t>
  </si>
  <si>
    <t xml:space="preserve">미정산 총액</t>
  </si>
  <si>
    <r>
      <rPr>
        <b val="true"/>
        <sz val="11"/>
        <color rgb="FF123D27"/>
        <rFont val="WenQuanYi Zen Hei"/>
        <family val="2"/>
      </rPr>
      <t xml:space="preserve">기간 내 강사별 정산 현황 </t>
    </r>
    <r>
      <rPr>
        <b val="true"/>
        <sz val="11"/>
        <color rgb="FF123D27"/>
        <rFont val="Arial"/>
        <family val="0"/>
        <charset val="1"/>
      </rPr>
      <t xml:space="preserve">(</t>
    </r>
    <r>
      <rPr>
        <b val="true"/>
        <sz val="11"/>
        <color rgb="FF123D27"/>
        <rFont val="WenQuanYi Zen Hei"/>
        <family val="2"/>
      </rPr>
      <t xml:space="preserve">조회한 기간 강습만</t>
    </r>
    <r>
      <rPr>
        <b val="true"/>
        <sz val="11"/>
        <color rgb="FF123D27"/>
        <rFont val="Arial"/>
        <family val="0"/>
        <charset val="1"/>
      </rPr>
      <t xml:space="preserve">)</t>
    </r>
  </si>
  <si>
    <t xml:space="preserve">기간 강사료</t>
  </si>
  <si>
    <r>
      <rPr>
        <b val="true"/>
        <sz val="14"/>
        <color rgb="FF123D27"/>
        <rFont val="WenQuanYi Zen Hei"/>
        <family val="2"/>
      </rPr>
      <t xml:space="preserve">광고비 </t>
    </r>
    <r>
      <rPr>
        <b val="true"/>
        <sz val="14"/>
        <color rgb="FF123D27"/>
        <rFont val="Arial"/>
        <family val="0"/>
        <charset val="1"/>
      </rPr>
      <t xml:space="preserve">· </t>
    </r>
    <r>
      <rPr>
        <b val="true"/>
        <sz val="14"/>
        <color rgb="FF123D27"/>
        <rFont val="WenQuanYi Zen Hei"/>
        <family val="2"/>
      </rPr>
      <t xml:space="preserve">운영비 </t>
    </r>
    <r>
      <rPr>
        <b val="true"/>
        <sz val="14"/>
        <color rgb="FF123D27"/>
        <rFont val="Arial"/>
        <family val="0"/>
        <charset val="1"/>
      </rPr>
      <t xml:space="preserve">· </t>
    </r>
    <r>
      <rPr>
        <b val="true"/>
        <sz val="14"/>
        <color rgb="FF123D27"/>
        <rFont val="WenQuanYi Zen Hei"/>
        <family val="2"/>
      </rPr>
      <t xml:space="preserve">기타수입</t>
    </r>
  </si>
  <si>
    <r>
      <rPr>
        <sz val="9"/>
        <color rgb="FF4A6355"/>
        <rFont val="WenQuanYi Zen Hei"/>
        <family val="2"/>
      </rPr>
      <t xml:space="preserve">※ 광고비 </t>
    </r>
    <r>
      <rPr>
        <sz val="9"/>
        <color rgb="FF4A6355"/>
        <rFont val="Arial"/>
        <family val="0"/>
        <charset val="1"/>
      </rPr>
      <t xml:space="preserve">= </t>
    </r>
    <r>
      <rPr>
        <sz val="9"/>
        <color rgb="FF4A6355"/>
        <rFont val="WenQuanYi Zen Hei"/>
        <family val="2"/>
      </rPr>
      <t xml:space="preserve">네이버</t>
    </r>
    <r>
      <rPr>
        <sz val="9"/>
        <color rgb="FF4A6355"/>
        <rFont val="Arial"/>
        <family val="0"/>
        <charset val="1"/>
      </rPr>
      <t xml:space="preserve">·</t>
    </r>
    <r>
      <rPr>
        <sz val="9"/>
        <color rgb="FF4A6355"/>
        <rFont val="WenQuanYi Zen Hei"/>
        <family val="2"/>
      </rPr>
      <t xml:space="preserve">인스타 등 광고 </t>
    </r>
    <r>
      <rPr>
        <sz val="9"/>
        <color rgb="FF4A6355"/>
        <rFont val="Arial"/>
        <family val="0"/>
        <charset val="1"/>
      </rPr>
      <t xml:space="preserve">/ </t>
    </r>
    <r>
      <rPr>
        <sz val="9"/>
        <color rgb="FF4A6355"/>
        <rFont val="WenQuanYi Zen Hei"/>
        <family val="2"/>
      </rPr>
      <t xml:space="preserve">운영비 </t>
    </r>
    <r>
      <rPr>
        <sz val="9"/>
        <color rgb="FF4A6355"/>
        <rFont val="Arial"/>
        <family val="0"/>
        <charset val="1"/>
      </rPr>
      <t xml:space="preserve">= </t>
    </r>
    <r>
      <rPr>
        <sz val="9"/>
        <color rgb="FF4A6355"/>
        <rFont val="WenQuanYi Zen Hei"/>
        <family val="2"/>
      </rPr>
      <t xml:space="preserve">용품</t>
    </r>
    <r>
      <rPr>
        <sz val="9"/>
        <color rgb="FF4A6355"/>
        <rFont val="Arial"/>
        <family val="0"/>
        <charset val="1"/>
      </rPr>
      <t xml:space="preserve">·</t>
    </r>
    <r>
      <rPr>
        <sz val="9"/>
        <color rgb="FF4A6355"/>
        <rFont val="WenQuanYi Zen Hei"/>
        <family val="2"/>
      </rPr>
      <t xml:space="preserve">교통</t>
    </r>
    <r>
      <rPr>
        <sz val="9"/>
        <color rgb="FF4A6355"/>
        <rFont val="Arial"/>
        <family val="0"/>
        <charset val="1"/>
      </rPr>
      <t xml:space="preserve">·</t>
    </r>
    <r>
      <rPr>
        <sz val="9"/>
        <color rgb="FF4A6355"/>
        <rFont val="WenQuanYi Zen Hei"/>
        <family val="2"/>
      </rPr>
      <t xml:space="preserve">숙소 등 </t>
    </r>
    <r>
      <rPr>
        <sz val="9"/>
        <color rgb="FF4A6355"/>
        <rFont val="Arial"/>
        <family val="0"/>
        <charset val="1"/>
      </rPr>
      <t xml:space="preserve">/ </t>
    </r>
    <r>
      <rPr>
        <sz val="9"/>
        <color rgb="FF4A6355"/>
        <rFont val="WenQuanYi Zen Hei"/>
        <family val="2"/>
      </rPr>
      <t xml:space="preserve">기타수입 </t>
    </r>
    <r>
      <rPr>
        <sz val="9"/>
        <color rgb="FF4A6355"/>
        <rFont val="Arial"/>
        <family val="0"/>
        <charset val="1"/>
      </rPr>
      <t xml:space="preserve">= </t>
    </r>
    <r>
      <rPr>
        <sz val="9"/>
        <color rgb="FF4A6355"/>
        <rFont val="WenQuanYi Zen Hei"/>
        <family val="2"/>
      </rPr>
      <t xml:space="preserve">강습 외 수입</t>
    </r>
    <r>
      <rPr>
        <sz val="9"/>
        <color rgb="FF4A6355"/>
        <rFont val="Arial"/>
        <family val="0"/>
        <charset val="1"/>
      </rPr>
      <t xml:space="preserve">.  </t>
    </r>
    <r>
      <rPr>
        <sz val="9"/>
        <color rgb="FF4A6355"/>
        <rFont val="WenQuanYi Zen Hei"/>
        <family val="2"/>
      </rPr>
      <t xml:space="preserve">네이버 수수료는 </t>
    </r>
    <r>
      <rPr>
        <sz val="9"/>
        <color rgb="FF4A6355"/>
        <rFont val="Arial"/>
        <family val="0"/>
        <charset val="1"/>
      </rPr>
      <t xml:space="preserve">MASTER </t>
    </r>
    <r>
      <rPr>
        <sz val="9"/>
        <color rgb="FF4A6355"/>
        <rFont val="WenQuanYi Zen Hei"/>
        <family val="2"/>
      </rPr>
      <t xml:space="preserve">결제방식 </t>
    </r>
    <r>
      <rPr>
        <sz val="9"/>
        <color rgb="FF4A6355"/>
        <rFont val="Arial"/>
        <family val="0"/>
        <charset val="1"/>
      </rPr>
      <t xml:space="preserve">'</t>
    </r>
    <r>
      <rPr>
        <sz val="9"/>
        <color rgb="FF4A6355"/>
        <rFont val="WenQuanYi Zen Hei"/>
        <family val="2"/>
      </rPr>
      <t xml:space="preserve">스마트스토어</t>
    </r>
    <r>
      <rPr>
        <sz val="9"/>
        <color rgb="FF4A6355"/>
        <rFont val="Arial"/>
        <family val="0"/>
        <charset val="1"/>
      </rPr>
      <t xml:space="preserve">' </t>
    </r>
    <r>
      <rPr>
        <sz val="9"/>
        <color rgb="FF4A6355"/>
        <rFont val="WenQuanYi Zen Hei"/>
        <family val="2"/>
      </rPr>
      <t xml:space="preserve">건에서 자동 계산됩니다</t>
    </r>
    <r>
      <rPr>
        <sz val="9"/>
        <color rgb="FF4A6355"/>
        <rFont val="Arial"/>
        <family val="0"/>
        <charset val="1"/>
      </rPr>
      <t xml:space="preserve">.  </t>
    </r>
    <r>
      <rPr>
        <sz val="9"/>
        <color rgb="FF4A6355"/>
        <rFont val="WenQuanYi Zen Hei"/>
        <family val="2"/>
      </rPr>
      <t xml:space="preserve">강사 송금은 강사정산 탭 ③ 정산 회차표에 지급일로 적습니다</t>
    </r>
    <r>
      <rPr>
        <sz val="9"/>
        <color rgb="FF4A6355"/>
        <rFont val="Arial"/>
        <family val="0"/>
        <charset val="1"/>
      </rPr>
      <t xml:space="preserve">. </t>
    </r>
    <r>
      <rPr>
        <sz val="9"/>
        <color rgb="FF4A6355"/>
        <rFont val="WenQuanYi Zen Hei"/>
        <family val="2"/>
      </rPr>
      <t xml:space="preserve">날짜는 </t>
    </r>
    <r>
      <rPr>
        <sz val="9"/>
        <color rgb="FF4A6355"/>
        <rFont val="Arial"/>
        <family val="0"/>
        <charset val="1"/>
      </rPr>
      <t xml:space="preserve">20261225</t>
    </r>
    <r>
      <rPr>
        <sz val="9"/>
        <color rgb="FF4A6355"/>
        <rFont val="WenQuanYi Zen Hei"/>
        <family val="2"/>
      </rPr>
      <t xml:space="preserve">처럼 써도 됩니다</t>
    </r>
    <r>
      <rPr>
        <sz val="9"/>
        <color rgb="FF4A6355"/>
        <rFont val="Arial"/>
        <family val="0"/>
        <charset val="1"/>
      </rPr>
      <t xml:space="preserve">.</t>
    </r>
  </si>
  <si>
    <t xml:space="preserve">날짜</t>
  </si>
  <si>
    <t xml:space="preserve">항목</t>
  </si>
  <si>
    <t xml:space="preserve">금액</t>
  </si>
  <si>
    <t xml:space="preserve">결제수단</t>
  </si>
  <si>
    <t xml:space="preserve">비고</t>
  </si>
  <si>
    <r>
      <rPr>
        <b val="true"/>
        <sz val="10"/>
        <color rgb="FF123D27"/>
        <rFont val="WenQuanYi Zen Hei"/>
        <family val="2"/>
      </rPr>
      <t xml:space="preserve">날짜</t>
    </r>
    <r>
      <rPr>
        <b val="true"/>
        <sz val="10"/>
        <color rgb="FF123D27"/>
        <rFont val="Arial"/>
        <family val="0"/>
        <charset val="1"/>
      </rPr>
      <t xml:space="preserve">(</t>
    </r>
    <r>
      <rPr>
        <b val="true"/>
        <sz val="10"/>
        <color rgb="FF123D27"/>
        <rFont val="WenQuanYi Zen Hei"/>
        <family val="2"/>
      </rPr>
      <t xml:space="preserve">계산</t>
    </r>
    <r>
      <rPr>
        <b val="true"/>
        <sz val="10"/>
        <color rgb="FF123D27"/>
        <rFont val="Arial"/>
        <family val="0"/>
        <charset val="1"/>
      </rPr>
      <t xml:space="preserve">)</t>
    </r>
  </si>
  <si>
    <r>
      <rPr>
        <b val="true"/>
        <sz val="14"/>
        <color rgb="FF123D27"/>
        <rFont val="WenQuanYi Zen Hei"/>
        <family val="2"/>
      </rPr>
      <t xml:space="preserve">강사</t>
    </r>
    <r>
      <rPr>
        <b val="true"/>
        <sz val="14"/>
        <color rgb="FF123D27"/>
        <rFont val="Arial"/>
        <family val="0"/>
        <charset val="1"/>
      </rPr>
      <t xml:space="preserve">DB</t>
    </r>
  </si>
  <si>
    <r>
      <rPr>
        <sz val="9"/>
        <color rgb="FF4A6355"/>
        <rFont val="WenQuanYi Zen Hei"/>
        <family val="2"/>
      </rPr>
      <t xml:space="preserve">※ 새 강사는 맨 아래 빈 줄에 추가 </t>
    </r>
    <r>
      <rPr>
        <sz val="9"/>
        <color rgb="FF4A6355"/>
        <rFont val="Arial"/>
        <family val="0"/>
        <charset val="1"/>
      </rPr>
      <t xml:space="preserve">(</t>
    </r>
    <r>
      <rPr>
        <sz val="9"/>
        <color rgb="FF4A6355"/>
        <rFont val="WenQuanYi Zen Hei"/>
        <family val="2"/>
      </rPr>
      <t xml:space="preserve">중간 삽입</t>
    </r>
    <r>
      <rPr>
        <sz val="9"/>
        <color rgb="FF4A6355"/>
        <rFont val="Arial"/>
        <family val="0"/>
        <charset val="1"/>
      </rPr>
      <t xml:space="preserve">·</t>
    </r>
    <r>
      <rPr>
        <sz val="9"/>
        <color rgb="FF4A6355"/>
        <rFont val="WenQuanYi Zen Hei"/>
        <family val="2"/>
      </rPr>
      <t xml:space="preserve">순서 변경 </t>
    </r>
    <r>
      <rPr>
        <sz val="9"/>
        <color rgb="FF4A6355"/>
        <rFont val="Arial"/>
        <family val="0"/>
        <charset val="1"/>
      </rPr>
      <t xml:space="preserve">X). </t>
    </r>
    <r>
      <rPr>
        <sz val="9"/>
        <color rgb="FF4A6355"/>
        <rFont val="WenQuanYi Zen Hei"/>
        <family val="2"/>
      </rPr>
      <t xml:space="preserve">퇴사하면 이름은 지우지 말고 비고에 </t>
    </r>
    <r>
      <rPr>
        <sz val="9"/>
        <color rgb="FF4A6355"/>
        <rFont val="Arial"/>
        <family val="0"/>
        <charset val="1"/>
      </rPr>
      <t xml:space="preserve">'</t>
    </r>
    <r>
      <rPr>
        <sz val="9"/>
        <color rgb="FF4A6355"/>
        <rFont val="WenQuanYi Zen Hei"/>
        <family val="2"/>
      </rPr>
      <t xml:space="preserve">퇴사</t>
    </r>
    <r>
      <rPr>
        <sz val="9"/>
        <color rgb="FF4A6355"/>
        <rFont val="Arial"/>
        <family val="0"/>
        <charset val="1"/>
      </rPr>
      <t xml:space="preserve">' → </t>
    </r>
    <r>
      <rPr>
        <sz val="9"/>
        <color rgb="FF4A6355"/>
        <rFont val="WenQuanYi Zen Hei"/>
        <family val="2"/>
      </rPr>
      <t xml:space="preserve">담당강사 목록</t>
    </r>
    <r>
      <rPr>
        <sz val="9"/>
        <color rgb="FF4A6355"/>
        <rFont val="Arial"/>
        <family val="0"/>
        <charset val="1"/>
      </rPr>
      <t xml:space="preserve">·</t>
    </r>
    <r>
      <rPr>
        <sz val="9"/>
        <color rgb="FF4A6355"/>
        <rFont val="WenQuanYi Zen Hei"/>
        <family val="2"/>
      </rPr>
      <t xml:space="preserve">강습표에서 자동 제외</t>
    </r>
    <r>
      <rPr>
        <sz val="9"/>
        <color rgb="FF4A6355"/>
        <rFont val="Arial"/>
        <family val="0"/>
        <charset val="1"/>
      </rPr>
      <t xml:space="preserve">, </t>
    </r>
    <r>
      <rPr>
        <sz val="9"/>
        <color rgb="FF4A6355"/>
        <rFont val="WenQuanYi Zen Hei"/>
        <family val="2"/>
      </rPr>
      <t xml:space="preserve">강사정산에는 남음</t>
    </r>
    <r>
      <rPr>
        <sz val="9"/>
        <color rgb="FF4A6355"/>
        <rFont val="Arial"/>
        <family val="0"/>
        <charset val="1"/>
      </rPr>
      <t xml:space="preserve">. </t>
    </r>
    <r>
      <rPr>
        <sz val="9"/>
        <color rgb="FF4A6355"/>
        <rFont val="WenQuanYi Zen Hei"/>
        <family val="2"/>
      </rPr>
      <t xml:space="preserve">강습표</t>
    </r>
    <r>
      <rPr>
        <sz val="9"/>
        <color rgb="FF4A6355"/>
        <rFont val="Arial"/>
        <family val="0"/>
        <charset val="1"/>
      </rPr>
      <t xml:space="preserve">·</t>
    </r>
    <r>
      <rPr>
        <sz val="9"/>
        <color rgb="FF4A6355"/>
        <rFont val="WenQuanYi Zen Hei"/>
        <family val="2"/>
      </rPr>
      <t xml:space="preserve">정산 회차표는 </t>
    </r>
    <r>
      <rPr>
        <sz val="9"/>
        <color rgb="FF4A6355"/>
        <rFont val="Arial"/>
        <family val="0"/>
        <charset val="1"/>
      </rPr>
      <t xml:space="preserve">12</t>
    </r>
    <r>
      <rPr>
        <sz val="9"/>
        <color rgb="FF4A6355"/>
        <rFont val="WenQuanYi Zen Hei"/>
        <family val="2"/>
      </rPr>
      <t xml:space="preserve">명까지</t>
    </r>
    <r>
      <rPr>
        <sz val="9"/>
        <color rgb="FF4A6355"/>
        <rFont val="Arial"/>
        <family val="0"/>
        <charset val="1"/>
      </rPr>
      <t xml:space="preserve">.</t>
    </r>
  </si>
  <si>
    <t xml:space="preserve">시간당 강사료</t>
  </si>
  <si>
    <t xml:space="preserve">유아강습</t>
  </si>
  <si>
    <t xml:space="preserve">가능요일</t>
  </si>
  <si>
    <t xml:space="preserve">⚠️ 퇴사 처리 전에 꼭 할 일</t>
  </si>
  <si>
    <t xml:space="preserve">메인강사</t>
  </si>
  <si>
    <t xml:space="preserve">가능</t>
  </si>
  <si>
    <t xml:space="preserve">전일</t>
  </si>
  <si>
    <r>
      <rPr>
        <b val="true"/>
        <sz val="10"/>
        <color rgb="FF7A1F1F"/>
        <rFont val="Arial"/>
        <family val="0"/>
        <charset val="1"/>
      </rPr>
      <t xml:space="preserve">1) MASTER</t>
    </r>
    <r>
      <rPr>
        <b val="true"/>
        <sz val="10"/>
        <color rgb="FF7A1F1F"/>
        <rFont val="WenQuanYi Zen Hei"/>
        <family val="2"/>
      </rPr>
      <t xml:space="preserve">에서 이 강사에게 배정된 </t>
    </r>
    <r>
      <rPr>
        <b val="true"/>
        <sz val="10"/>
        <color rgb="FF7A1F1F"/>
        <rFont val="Arial"/>
        <family val="0"/>
        <charset val="1"/>
      </rPr>
      <t xml:space="preserve">'</t>
    </r>
    <r>
      <rPr>
        <b val="true"/>
        <sz val="10"/>
        <color rgb="FF7A1F1F"/>
        <rFont val="WenQuanYi Zen Hei"/>
        <family val="2"/>
      </rPr>
      <t xml:space="preserve">앞으로 남은 강습</t>
    </r>
    <r>
      <rPr>
        <b val="true"/>
        <sz val="10"/>
        <color rgb="FF7A1F1F"/>
        <rFont val="Arial"/>
        <family val="0"/>
        <charset val="1"/>
      </rPr>
      <t xml:space="preserve">'</t>
    </r>
    <r>
      <rPr>
        <b val="true"/>
        <sz val="10"/>
        <color rgb="FF7A1F1F"/>
        <rFont val="WenQuanYi Zen Hei"/>
        <family val="2"/>
      </rPr>
      <t xml:space="preserve">의 담당강사를 다른 강사로 먼저 바꿔 주세요</t>
    </r>
    <r>
      <rPr>
        <b val="true"/>
        <sz val="10"/>
        <color rgb="FF7A1F1F"/>
        <rFont val="Arial"/>
        <family val="0"/>
        <charset val="1"/>
      </rPr>
      <t xml:space="preserve">.
   (</t>
    </r>
    <r>
      <rPr>
        <b val="true"/>
        <sz val="10"/>
        <color rgb="FF7A1F1F"/>
        <rFont val="WenQuanYi Zen Hei"/>
        <family val="2"/>
      </rPr>
      <t xml:space="preserve">퇴사자에게 배정된 강습은 강습표에서 보이지 않게 됩니다</t>
    </r>
    <r>
      <rPr>
        <b val="true"/>
        <sz val="10"/>
        <color rgb="FF7A1F1F"/>
        <rFont val="Arial"/>
        <family val="0"/>
        <charset val="1"/>
      </rPr>
      <t xml:space="preserve">.)
2) </t>
    </r>
    <r>
      <rPr>
        <b val="true"/>
        <sz val="10"/>
        <color rgb="FF7A1F1F"/>
        <rFont val="WenQuanYi Zen Hei"/>
        <family val="2"/>
      </rPr>
      <t xml:space="preserve">그다음 이 강사의 비고 칸에 </t>
    </r>
    <r>
      <rPr>
        <b val="true"/>
        <sz val="10"/>
        <color rgb="FF7A1F1F"/>
        <rFont val="Arial"/>
        <family val="0"/>
        <charset val="1"/>
      </rPr>
      <t xml:space="preserve">'</t>
    </r>
    <r>
      <rPr>
        <b val="true"/>
        <sz val="10"/>
        <color rgb="FF7A1F1F"/>
        <rFont val="WenQuanYi Zen Hei"/>
        <family val="2"/>
      </rPr>
      <t xml:space="preserve">퇴사</t>
    </r>
    <r>
      <rPr>
        <b val="true"/>
        <sz val="10"/>
        <color rgb="FF7A1F1F"/>
        <rFont val="Arial"/>
        <family val="0"/>
        <charset val="1"/>
      </rPr>
      <t xml:space="preserve">'</t>
    </r>
    <r>
      <rPr>
        <b val="true"/>
        <sz val="10"/>
        <color rgb="FF7A1F1F"/>
        <rFont val="WenQuanYi Zen Hei"/>
        <family val="2"/>
      </rPr>
      <t xml:space="preserve">라고 적습니다</t>
    </r>
    <r>
      <rPr>
        <b val="true"/>
        <sz val="10"/>
        <color rgb="FF7A1F1F"/>
        <rFont val="Arial"/>
        <family val="0"/>
        <charset val="1"/>
      </rPr>
      <t xml:space="preserve">.
3) </t>
    </r>
    <r>
      <rPr>
        <b val="true"/>
        <sz val="10"/>
        <color rgb="FF7A1F1F"/>
        <rFont val="WenQuanYi Zen Hei"/>
        <family val="2"/>
      </rPr>
      <t xml:space="preserve">지난 강습은 그대로 둬도 강사정산에 남아 미지급 금액을 정산할 수 있습니다</t>
    </r>
    <r>
      <rPr>
        <b val="true"/>
        <sz val="10"/>
        <color rgb="FF7A1F1F"/>
        <rFont val="Arial"/>
        <family val="0"/>
        <charset val="1"/>
      </rPr>
      <t xml:space="preserve">.
※ </t>
    </r>
    <r>
      <rPr>
        <b val="true"/>
        <sz val="10"/>
        <color rgb="FF7A1F1F"/>
        <rFont val="WenQuanYi Zen Hei"/>
        <family val="2"/>
      </rPr>
      <t xml:space="preserve">대시보드 </t>
    </r>
    <r>
      <rPr>
        <b val="true"/>
        <sz val="10"/>
        <color rgb="FF7A1F1F"/>
        <rFont val="Arial"/>
        <family val="0"/>
        <charset val="1"/>
      </rPr>
      <t xml:space="preserve">'</t>
    </r>
    <r>
      <rPr>
        <b val="true"/>
        <sz val="10"/>
        <color rgb="FF7A1F1F"/>
        <rFont val="WenQuanYi Zen Hei"/>
        <family val="2"/>
      </rPr>
      <t xml:space="preserve">퇴사 강사에게 남은 강습</t>
    </r>
    <r>
      <rPr>
        <b val="true"/>
        <sz val="10"/>
        <color rgb="FF7A1F1F"/>
        <rFont val="Arial"/>
        <family val="0"/>
        <charset val="1"/>
      </rPr>
      <t xml:space="preserve">'</t>
    </r>
    <r>
      <rPr>
        <b val="true"/>
        <sz val="10"/>
        <color rgb="FF7A1F1F"/>
        <rFont val="WenQuanYi Zen Hei"/>
        <family val="2"/>
      </rPr>
      <t xml:space="preserve">이 </t>
    </r>
    <r>
      <rPr>
        <b val="true"/>
        <sz val="10"/>
        <color rgb="FF7A1F1F"/>
        <rFont val="Arial"/>
        <family val="0"/>
        <charset val="1"/>
      </rPr>
      <t xml:space="preserve">0</t>
    </r>
    <r>
      <rPr>
        <b val="true"/>
        <sz val="10"/>
        <color rgb="FF7A1F1F"/>
        <rFont val="WenQuanYi Zen Hei"/>
        <family val="2"/>
      </rPr>
      <t xml:space="preserve">건인지 확인하세요</t>
    </r>
    <r>
      <rPr>
        <b val="true"/>
        <sz val="10"/>
        <color rgb="FF7A1F1F"/>
        <rFont val="Arial"/>
        <family val="0"/>
        <charset val="1"/>
      </rPr>
      <t xml:space="preserve">.</t>
    </r>
  </si>
  <si>
    <t xml:space="preserve">김준태</t>
  </si>
  <si>
    <t xml:space="preserve">이민규</t>
  </si>
  <si>
    <t xml:space="preserve">송지성</t>
  </si>
  <si>
    <r>
      <rPr>
        <sz val="10"/>
        <color rgb="FF1F2D25"/>
        <rFont val="WenQuanYi Zen Hei"/>
        <family val="2"/>
      </rPr>
      <t xml:space="preserve">프리랜서</t>
    </r>
    <r>
      <rPr>
        <sz val="10"/>
        <color rgb="FF1F2D25"/>
        <rFont val="Arial"/>
        <family val="0"/>
        <charset val="1"/>
      </rPr>
      <t xml:space="preserve">A</t>
    </r>
  </si>
  <si>
    <t xml:space="preserve">프리랜서</t>
  </si>
  <si>
    <t xml:space="preserve">주말</t>
  </si>
  <si>
    <t xml:space="preserve">샘플</t>
  </si>
  <si>
    <r>
      <rPr>
        <sz val="10"/>
        <color rgb="FF1F2D25"/>
        <rFont val="WenQuanYi Zen Hei"/>
        <family val="2"/>
      </rPr>
      <t xml:space="preserve">프리랜서</t>
    </r>
    <r>
      <rPr>
        <sz val="10"/>
        <color rgb="FF1F2D25"/>
        <rFont val="Arial"/>
        <family val="0"/>
        <charset val="1"/>
      </rPr>
      <t xml:space="preserve">B</t>
    </r>
  </si>
  <si>
    <r>
      <rPr>
        <b val="true"/>
        <sz val="14"/>
        <color rgb="FF123D27"/>
        <rFont val="WenQuanYi Zen Hei"/>
        <family val="2"/>
      </rPr>
      <t xml:space="preserve">설정 </t>
    </r>
    <r>
      <rPr>
        <b val="true"/>
        <sz val="14"/>
        <color rgb="FF123D27"/>
        <rFont val="Arial"/>
        <family val="0"/>
        <charset val="1"/>
      </rPr>
      <t xml:space="preserve">· </t>
    </r>
    <r>
      <rPr>
        <b val="true"/>
        <sz val="14"/>
        <color rgb="FF123D27"/>
        <rFont val="WenQuanYi Zen Hei"/>
        <family val="2"/>
      </rPr>
      <t xml:space="preserve">선택 목록</t>
    </r>
  </si>
  <si>
    <r>
      <rPr>
        <sz val="9"/>
        <color rgb="FF4A6355"/>
        <rFont val="WenQuanYi Zen Hei"/>
        <family val="2"/>
      </rPr>
      <t xml:space="preserve">※ 목록 아래 빈칸에 항목을 추가할 수 있습니다</t>
    </r>
    <r>
      <rPr>
        <sz val="9"/>
        <color rgb="FF4A6355"/>
        <rFont val="Arial"/>
        <family val="0"/>
        <charset val="1"/>
      </rPr>
      <t xml:space="preserve">. </t>
    </r>
    <r>
      <rPr>
        <sz val="9"/>
        <color rgb="FF4A6355"/>
        <rFont val="WenQuanYi Zen Hei"/>
        <family val="2"/>
      </rPr>
      <t xml:space="preserve">단 </t>
    </r>
    <r>
      <rPr>
        <sz val="9"/>
        <color rgb="FF4A6355"/>
        <rFont val="Arial"/>
        <family val="0"/>
        <charset val="1"/>
      </rPr>
      <t xml:space="preserve">'</t>
    </r>
    <r>
      <rPr>
        <sz val="9"/>
        <color rgb="FF4A6355"/>
        <rFont val="WenQuanYi Zen Hei"/>
        <family val="2"/>
      </rPr>
      <t xml:space="preserve">예약상태</t>
    </r>
    <r>
      <rPr>
        <sz val="9"/>
        <color rgb="FF4A6355"/>
        <rFont val="Arial"/>
        <family val="0"/>
        <charset val="1"/>
      </rPr>
      <t xml:space="preserve">'</t>
    </r>
    <r>
      <rPr>
        <sz val="9"/>
        <color rgb="FF4A6355"/>
        <rFont val="WenQuanYi Zen Hei"/>
        <family val="2"/>
      </rPr>
      <t xml:space="preserve">와 </t>
    </r>
    <r>
      <rPr>
        <sz val="9"/>
        <color rgb="FF4A6355"/>
        <rFont val="Arial"/>
        <family val="0"/>
        <charset val="1"/>
      </rPr>
      <t xml:space="preserve">'</t>
    </r>
    <r>
      <rPr>
        <sz val="9"/>
        <color rgb="FF4A6355"/>
        <rFont val="WenQuanYi Zen Hei"/>
        <family val="2"/>
      </rPr>
      <t xml:space="preserve">운영비구분</t>
    </r>
    <r>
      <rPr>
        <sz val="9"/>
        <color rgb="FF4A6355"/>
        <rFont val="Arial"/>
        <family val="0"/>
        <charset val="1"/>
      </rPr>
      <t xml:space="preserve">' </t>
    </r>
    <r>
      <rPr>
        <sz val="9"/>
        <color rgb="FF4A6355"/>
        <rFont val="WenQuanYi Zen Hei"/>
        <family val="2"/>
      </rPr>
      <t xml:space="preserve">이름은 수식과 연결돼 있으니 바꾸지 마세요</t>
    </r>
    <r>
      <rPr>
        <sz val="9"/>
        <color rgb="FF4A6355"/>
        <rFont val="Arial"/>
        <family val="0"/>
        <charset val="1"/>
      </rPr>
      <t xml:space="preserve">.</t>
    </r>
  </si>
  <si>
    <t xml:space="preserve">운영비구분</t>
  </si>
  <si>
    <t xml:space="preserve">강사구분</t>
  </si>
  <si>
    <t xml:space="preserve">시간선택</t>
  </si>
  <si>
    <t xml:space="preserve">시즌 설정</t>
  </si>
  <si>
    <t xml:space="preserve">값</t>
  </si>
  <si>
    <r>
      <rPr>
        <sz val="11"/>
        <color theme="1"/>
        <rFont val="WenQuanYi Zen Hei"/>
        <family val="2"/>
      </rPr>
      <t xml:space="preserve">재직강사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자동</t>
    </r>
    <r>
      <rPr>
        <sz val="11"/>
        <color theme="1"/>
        <rFont val="Calibri"/>
        <family val="2"/>
        <charset val="1"/>
      </rPr>
      <t xml:space="preserve">)</t>
    </r>
  </si>
  <si>
    <t xml:space="preserve">스마트스토어</t>
  </si>
  <si>
    <t xml:space="preserve">광고비</t>
  </si>
  <si>
    <t xml:space="preserve">시즌 시작월</t>
  </si>
  <si>
    <r>
      <rPr>
        <sz val="9"/>
        <color rgb="FF4A6355"/>
        <rFont val="WenQuanYi Zen Hei"/>
        <family val="2"/>
      </rPr>
      <t xml:space="preserve">월별결산 첫 달 </t>
    </r>
    <r>
      <rPr>
        <sz val="9"/>
        <color rgb="FF4A6355"/>
        <rFont val="Arial"/>
        <family val="0"/>
        <charset val="1"/>
      </rPr>
      <t xml:space="preserve">(</t>
    </r>
    <r>
      <rPr>
        <sz val="9"/>
        <color rgb="FF4A6355"/>
        <rFont val="WenQuanYi Zen Hei"/>
        <family val="2"/>
      </rPr>
      <t xml:space="preserve">이후 </t>
    </r>
    <r>
      <rPr>
        <sz val="9"/>
        <color rgb="FF4A6355"/>
        <rFont val="Arial"/>
        <family val="0"/>
        <charset val="1"/>
      </rPr>
      <t xml:space="preserve">5</t>
    </r>
    <r>
      <rPr>
        <sz val="9"/>
        <color rgb="FF4A6355"/>
        <rFont val="WenQuanYi Zen Hei"/>
        <family val="2"/>
      </rPr>
      <t xml:space="preserve">개월</t>
    </r>
    <r>
      <rPr>
        <sz val="9"/>
        <color rgb="FF4A6355"/>
        <rFont val="Arial"/>
        <family val="0"/>
        <charset val="1"/>
      </rPr>
      <t xml:space="preserve">)</t>
    </r>
  </si>
  <si>
    <t xml:space="preserve">대여</t>
  </si>
  <si>
    <t xml:space="preserve">홈페이지</t>
  </si>
  <si>
    <t xml:space="preserve">운영비</t>
  </si>
  <si>
    <t xml:space="preserve">불가</t>
  </si>
  <si>
    <r>
      <rPr>
        <b val="true"/>
        <sz val="10"/>
        <color rgb="FF1F2D25"/>
        <rFont val="WenQuanYi Zen Hei"/>
        <family val="2"/>
      </rPr>
      <t xml:space="preserve">장비 렌탈비 </t>
    </r>
    <r>
      <rPr>
        <b val="true"/>
        <sz val="10"/>
        <color rgb="FF1F2D25"/>
        <rFont val="Arial"/>
        <family val="0"/>
        <charset val="1"/>
      </rPr>
      <t xml:space="preserve">(1</t>
    </r>
    <r>
      <rPr>
        <b val="true"/>
        <sz val="10"/>
        <color rgb="FF1F2D25"/>
        <rFont val="WenQuanYi Zen Hei"/>
        <family val="2"/>
      </rPr>
      <t xml:space="preserve">건</t>
    </r>
    <r>
      <rPr>
        <b val="true"/>
        <sz val="10"/>
        <color rgb="FF1F2D25"/>
        <rFont val="Arial"/>
        <family val="0"/>
        <charset val="1"/>
      </rPr>
      <t xml:space="preserve">)</t>
    </r>
  </si>
  <si>
    <r>
      <rPr>
        <sz val="9"/>
        <color rgb="FF4A6355"/>
        <rFont val="WenQuanYi Zen Hei"/>
        <family val="2"/>
      </rPr>
      <t xml:space="preserve">장비대여 </t>
    </r>
    <r>
      <rPr>
        <sz val="9"/>
        <color rgb="FF4A6355"/>
        <rFont val="Arial"/>
        <family val="0"/>
        <charset val="1"/>
      </rPr>
      <t xml:space="preserve">'</t>
    </r>
    <r>
      <rPr>
        <sz val="9"/>
        <color rgb="FF4A6355"/>
        <rFont val="WenQuanYi Zen Hei"/>
        <family val="2"/>
      </rPr>
      <t xml:space="preserve">대여</t>
    </r>
    <r>
      <rPr>
        <sz val="9"/>
        <color rgb="FF4A6355"/>
        <rFont val="Arial"/>
        <family val="0"/>
        <charset val="1"/>
      </rPr>
      <t xml:space="preserve">'</t>
    </r>
    <r>
      <rPr>
        <sz val="9"/>
        <color rgb="FF4A6355"/>
        <rFont val="WenQuanYi Zen Hei"/>
        <family val="2"/>
      </rPr>
      <t xml:space="preserve">인 결제완료 건마다 비용으로 차감</t>
    </r>
  </si>
  <si>
    <t xml:space="preserve">미대여</t>
  </si>
  <si>
    <t xml:space="preserve">카드</t>
  </si>
  <si>
    <t xml:space="preserve">오픈채팅</t>
  </si>
  <si>
    <t xml:space="preserve">협력업체</t>
  </si>
  <si>
    <t xml:space="preserve">네이버 수수료율</t>
  </si>
  <si>
    <r>
      <rPr>
        <sz val="9"/>
        <color rgb="FF4A6355"/>
        <rFont val="WenQuanYi Zen Hei"/>
        <family val="2"/>
      </rPr>
      <t xml:space="preserve">임시값 </t>
    </r>
    <r>
      <rPr>
        <sz val="9"/>
        <color rgb="FF4A6355"/>
        <rFont val="Arial"/>
        <family val="0"/>
        <charset val="1"/>
      </rPr>
      <t xml:space="preserve">· </t>
    </r>
    <r>
      <rPr>
        <sz val="9"/>
        <color rgb="FF4A6355"/>
        <rFont val="WenQuanYi Zen Hei"/>
        <family val="2"/>
      </rPr>
      <t xml:space="preserve">스마트스토어 정산내역 보고 실제 요율로 수정</t>
    </r>
  </si>
  <si>
    <t xml:space="preserve">현금</t>
  </si>
  <si>
    <t xml:space="preserve">당근</t>
  </si>
  <si>
    <t xml:space="preserve">인원 추가 수당</t>
  </si>
  <si>
    <r>
      <rPr>
        <sz val="9"/>
        <color rgb="FF4A6355"/>
        <rFont val="WenQuanYi Zen Hei"/>
        <family val="2"/>
      </rPr>
      <t xml:space="preserve">강습생 </t>
    </r>
    <r>
      <rPr>
        <sz val="9"/>
        <color rgb="FF4A6355"/>
        <rFont val="Arial"/>
        <family val="0"/>
        <charset val="1"/>
      </rPr>
      <t xml:space="preserve">1</t>
    </r>
    <r>
      <rPr>
        <sz val="9"/>
        <color rgb="FF4A6355"/>
        <rFont val="WenQuanYi Zen Hei"/>
        <family val="2"/>
      </rPr>
      <t xml:space="preserve">명 늘 때마다 </t>
    </r>
    <r>
      <rPr>
        <sz val="9"/>
        <color rgb="FF4A6355"/>
        <rFont val="Arial"/>
        <family val="0"/>
        <charset val="1"/>
      </rPr>
      <t xml:space="preserve">1</t>
    </r>
    <r>
      <rPr>
        <sz val="9"/>
        <color rgb="FF4A6355"/>
        <rFont val="WenQuanYi Zen Hei"/>
        <family val="2"/>
      </rPr>
      <t xml:space="preserve">건당 강사료에 추가 </t>
    </r>
    <r>
      <rPr>
        <sz val="9"/>
        <color rgb="FF4A6355"/>
        <rFont val="Arial"/>
        <family val="0"/>
        <charset val="1"/>
      </rPr>
      <t xml:space="preserve">(2:1 +5,000 · 3:1 +10,000)</t>
    </r>
  </si>
  <si>
    <t xml:space="preserve">기타</t>
  </si>
  <si>
    <t xml:space="preserve">블로그</t>
  </si>
  <si>
    <t xml:space="preserve">인스타</t>
  </si>
  <si>
    <t xml:space="preserve">맘카페</t>
  </si>
  <si>
    <t xml:space="preserve">소개</t>
  </si>
  <si>
    <t xml:space="preserve">재방문</t>
  </si>
  <si>
    <t xml:space="preserve">사용법</t>
  </si>
  <si>
    <r>
      <rPr>
        <b val="true"/>
        <sz val="10"/>
        <color rgb="FF123D27"/>
        <rFont val="Arial"/>
        <family val="0"/>
        <charset val="1"/>
      </rPr>
      <t xml:space="preserve">1. </t>
    </r>
    <r>
      <rPr>
        <b val="true"/>
        <sz val="10"/>
        <color rgb="FF123D27"/>
        <rFont val="WenQuanYi Zen Hei"/>
        <family val="2"/>
      </rPr>
      <t xml:space="preserve">구글 시트로 변환</t>
    </r>
  </si>
  <si>
    <r>
      <rPr>
        <sz val="10"/>
        <color rgb="FF1F2D25"/>
        <rFont val="WenQuanYi Zen Hei"/>
        <family val="2"/>
      </rPr>
      <t xml:space="preserve">드라이브에 올린 뒤 </t>
    </r>
    <r>
      <rPr>
        <sz val="10"/>
        <color rgb="FF1F2D25"/>
        <rFont val="Arial"/>
        <family val="0"/>
        <charset val="1"/>
      </rPr>
      <t xml:space="preserve">'</t>
    </r>
    <r>
      <rPr>
        <sz val="10"/>
        <color rgb="FF1F2D25"/>
        <rFont val="WenQuanYi Zen Hei"/>
        <family val="2"/>
      </rPr>
      <t xml:space="preserve">파일 → </t>
    </r>
    <r>
      <rPr>
        <sz val="10"/>
        <color rgb="FF1F2D25"/>
        <rFont val="Arial"/>
        <family val="0"/>
        <charset val="1"/>
      </rPr>
      <t xml:space="preserve">Google Sheets</t>
    </r>
    <r>
      <rPr>
        <sz val="10"/>
        <color rgb="FF1F2D25"/>
        <rFont val="WenQuanYi Zen Hei"/>
        <family val="2"/>
      </rPr>
      <t xml:space="preserve">로 저장</t>
    </r>
    <r>
      <rPr>
        <sz val="10"/>
        <color rgb="FF1F2D25"/>
        <rFont val="Arial"/>
        <family val="0"/>
        <charset val="1"/>
      </rPr>
      <t xml:space="preserve">'</t>
    </r>
    <r>
      <rPr>
        <sz val="10"/>
        <color rgb="FF1F2D25"/>
        <rFont val="WenQuanYi Zen Hei"/>
        <family val="2"/>
      </rPr>
      <t xml:space="preserve">을 먼저 하세요</t>
    </r>
    <r>
      <rPr>
        <sz val="10"/>
        <color rgb="FF1F2D25"/>
        <rFont val="Arial"/>
        <family val="0"/>
        <charset val="1"/>
      </rPr>
      <t xml:space="preserve">. </t>
    </r>
    <r>
      <rPr>
        <sz val="10"/>
        <color rgb="FF1F2D25"/>
        <rFont val="WenQuanYi Zen Hei"/>
        <family val="2"/>
      </rPr>
      <t xml:space="preserve">파일 이름 옆에 </t>
    </r>
    <r>
      <rPr>
        <sz val="10"/>
        <color rgb="FF1F2D25"/>
        <rFont val="Arial"/>
        <family val="0"/>
        <charset val="1"/>
      </rPr>
      <t xml:space="preserve">.XLSX</t>
    </r>
    <r>
      <rPr>
        <sz val="10"/>
        <color rgb="FF1F2D25"/>
        <rFont val="WenQuanYi Zen Hei"/>
        <family val="2"/>
      </rPr>
      <t xml:space="preserve">가 보이면 아직 엑셀 호환 모드입니다</t>
    </r>
    <r>
      <rPr>
        <sz val="10"/>
        <color rgb="FF1F2D25"/>
        <rFont val="Arial"/>
        <family val="0"/>
        <charset val="1"/>
      </rPr>
      <t xml:space="preserve">.</t>
    </r>
  </si>
  <si>
    <r>
      <rPr>
        <b val="true"/>
        <sz val="10"/>
        <color rgb="FF123D27"/>
        <rFont val="Arial"/>
        <family val="0"/>
        <charset val="1"/>
      </rPr>
      <t xml:space="preserve">2. </t>
    </r>
    <r>
      <rPr>
        <b val="true"/>
        <sz val="10"/>
        <color rgb="FF123D27"/>
        <rFont val="WenQuanYi Zen Hei"/>
        <family val="2"/>
      </rPr>
      <t xml:space="preserve">입력은 </t>
    </r>
    <r>
      <rPr>
        <b val="true"/>
        <sz val="10"/>
        <color rgb="FF123D27"/>
        <rFont val="Arial"/>
        <family val="0"/>
        <charset val="1"/>
      </rPr>
      <t xml:space="preserve">MASTER</t>
    </r>
  </si>
  <si>
    <r>
      <rPr>
        <sz val="10"/>
        <color rgb="FF1F2D25"/>
        <rFont val="WenQuanYi Zen Hei"/>
        <family val="2"/>
      </rPr>
      <t xml:space="preserve">고객</t>
    </r>
    <r>
      <rPr>
        <sz val="10"/>
        <color rgb="FF1F2D25"/>
        <rFont val="Arial"/>
        <family val="0"/>
        <charset val="1"/>
      </rPr>
      <t xml:space="preserve">·</t>
    </r>
    <r>
      <rPr>
        <sz val="10"/>
        <color rgb="FF1F2D25"/>
        <rFont val="WenQuanYi Zen Hei"/>
        <family val="2"/>
      </rPr>
      <t xml:space="preserve">예약은 관리자</t>
    </r>
    <r>
      <rPr>
        <sz val="10"/>
        <color rgb="FF1F2D25"/>
        <rFont val="Arial"/>
        <family val="0"/>
        <charset val="1"/>
      </rPr>
      <t xml:space="preserve">_MASTER</t>
    </r>
    <r>
      <rPr>
        <sz val="10"/>
        <color rgb="FF1F2D25"/>
        <rFont val="WenQuanYi Zen Hei"/>
        <family val="2"/>
      </rPr>
      <t xml:space="preserve">에만 입력</t>
    </r>
    <r>
      <rPr>
        <sz val="10"/>
        <color rgb="FF1F2D25"/>
        <rFont val="Arial"/>
        <family val="0"/>
        <charset val="1"/>
      </rPr>
      <t xml:space="preserve">. </t>
    </r>
    <r>
      <rPr>
        <sz val="10"/>
        <color rgb="FF1F2D25"/>
        <rFont val="WenQuanYi Zen Hei"/>
        <family val="2"/>
      </rPr>
      <t xml:space="preserve">대시보드</t>
    </r>
    <r>
      <rPr>
        <sz val="10"/>
        <color rgb="FF1F2D25"/>
        <rFont val="Arial"/>
        <family val="0"/>
        <charset val="1"/>
      </rPr>
      <t xml:space="preserve">·</t>
    </r>
    <r>
      <rPr>
        <sz val="10"/>
        <color rgb="FF1F2D25"/>
        <rFont val="WenQuanYi Zen Hei"/>
        <family val="2"/>
      </rPr>
      <t xml:space="preserve">강습표</t>
    </r>
    <r>
      <rPr>
        <sz val="10"/>
        <color rgb="FF1F2D25"/>
        <rFont val="Arial"/>
        <family val="0"/>
        <charset val="1"/>
      </rPr>
      <t xml:space="preserve">·</t>
    </r>
    <r>
      <rPr>
        <sz val="10"/>
        <color rgb="FF1F2D25"/>
        <rFont val="WenQuanYi Zen Hei"/>
        <family val="2"/>
      </rPr>
      <t xml:space="preserve">월별결산</t>
    </r>
    <r>
      <rPr>
        <sz val="10"/>
        <color rgb="FF1F2D25"/>
        <rFont val="Arial"/>
        <family val="0"/>
        <charset val="1"/>
      </rPr>
      <t xml:space="preserve">·</t>
    </r>
    <r>
      <rPr>
        <sz val="10"/>
        <color rgb="FF1F2D25"/>
        <rFont val="WenQuanYi Zen Hei"/>
        <family val="2"/>
      </rPr>
      <t xml:space="preserve">강사정산은 자동</t>
    </r>
    <r>
      <rPr>
        <sz val="10"/>
        <color rgb="FF1F2D25"/>
        <rFont val="Arial"/>
        <family val="0"/>
        <charset val="1"/>
      </rPr>
      <t xml:space="preserve">.</t>
    </r>
  </si>
  <si>
    <r>
      <rPr>
        <b val="true"/>
        <sz val="10"/>
        <color rgb="FF123D27"/>
        <rFont val="Arial"/>
        <family val="0"/>
        <charset val="1"/>
      </rPr>
      <t xml:space="preserve">3. </t>
    </r>
    <r>
      <rPr>
        <b val="true"/>
        <sz val="10"/>
        <color rgb="FF123D27"/>
        <rFont val="WenQuanYi Zen Hei"/>
        <family val="2"/>
      </rPr>
      <t xml:space="preserve">꼭 채울 칸</t>
    </r>
  </si>
  <si>
    <r>
      <rPr>
        <sz val="10"/>
        <color rgb="FF1F2D25"/>
        <rFont val="WenQuanYi Zen Hei"/>
        <family val="2"/>
      </rPr>
      <t xml:space="preserve">예약자 </t>
    </r>
    <r>
      <rPr>
        <sz val="10"/>
        <color rgb="FF1F2D25"/>
        <rFont val="Arial"/>
        <family val="0"/>
        <charset val="1"/>
      </rPr>
      <t xml:space="preserve">· </t>
    </r>
    <r>
      <rPr>
        <sz val="10"/>
        <color rgb="FF1F2D25"/>
        <rFont val="WenQuanYi Zen Hei"/>
        <family val="2"/>
      </rPr>
      <t xml:space="preserve">예약상태 </t>
    </r>
    <r>
      <rPr>
        <sz val="10"/>
        <color rgb="FF1F2D25"/>
        <rFont val="Arial"/>
        <family val="0"/>
        <charset val="1"/>
      </rPr>
      <t xml:space="preserve">· </t>
    </r>
    <r>
      <rPr>
        <sz val="10"/>
        <color rgb="FF1F2D25"/>
        <rFont val="WenQuanYi Zen Hei"/>
        <family val="2"/>
      </rPr>
      <t xml:space="preserve">강습일 </t>
    </r>
    <r>
      <rPr>
        <sz val="10"/>
        <color rgb="FF1F2D25"/>
        <rFont val="Arial"/>
        <family val="0"/>
        <charset val="1"/>
      </rPr>
      <t xml:space="preserve">· </t>
    </r>
    <r>
      <rPr>
        <sz val="10"/>
        <color rgb="FF1F2D25"/>
        <rFont val="WenQuanYi Zen Hei"/>
        <family val="2"/>
      </rPr>
      <t xml:space="preserve">시작 </t>
    </r>
    <r>
      <rPr>
        <sz val="10"/>
        <color rgb="FF1F2D25"/>
        <rFont val="Arial"/>
        <family val="0"/>
        <charset val="1"/>
      </rPr>
      <t xml:space="preserve">· </t>
    </r>
    <r>
      <rPr>
        <sz val="10"/>
        <color rgb="FF1F2D25"/>
        <rFont val="WenQuanYi Zen Hei"/>
        <family val="2"/>
      </rPr>
      <t xml:space="preserve">종료 </t>
    </r>
    <r>
      <rPr>
        <sz val="10"/>
        <color rgb="FF1F2D25"/>
        <rFont val="Arial"/>
        <family val="0"/>
        <charset val="1"/>
      </rPr>
      <t xml:space="preserve">· </t>
    </r>
    <r>
      <rPr>
        <sz val="10"/>
        <color rgb="FF1F2D25"/>
        <rFont val="WenQuanYi Zen Hei"/>
        <family val="2"/>
      </rPr>
      <t xml:space="preserve">담당강사가 있어야 강습표에 나옵니다</t>
    </r>
    <r>
      <rPr>
        <sz val="10"/>
        <color rgb="FF1F2D25"/>
        <rFont val="Arial"/>
        <family val="0"/>
        <charset val="1"/>
      </rPr>
      <t xml:space="preserve">. </t>
    </r>
    <r>
      <rPr>
        <sz val="10"/>
        <color rgb="FF1F2D25"/>
        <rFont val="WenQuanYi Zen Hei"/>
        <family val="2"/>
      </rPr>
      <t xml:space="preserve">강습생은 이름</t>
    </r>
    <r>
      <rPr>
        <sz val="10"/>
        <color rgb="FF1F2D25"/>
        <rFont val="Arial"/>
        <family val="0"/>
        <charset val="1"/>
      </rPr>
      <t xml:space="preserve">(</t>
    </r>
    <r>
      <rPr>
        <sz val="10"/>
        <color rgb="FF1F2D25"/>
        <rFont val="WenQuanYi Zen Hei"/>
        <family val="2"/>
      </rPr>
      <t xml:space="preserve">나이</t>
    </r>
    <r>
      <rPr>
        <sz val="10"/>
        <color rgb="FF1F2D25"/>
        <rFont val="Arial"/>
        <family val="0"/>
        <charset val="1"/>
      </rPr>
      <t xml:space="preserve">), </t>
    </r>
    <r>
      <rPr>
        <sz val="10"/>
        <color rgb="FF1F2D25"/>
        <rFont val="WenQuanYi Zen Hei"/>
        <family val="2"/>
      </rPr>
      <t xml:space="preserve">쉼표로 구분 → 강습표에 그대로 표시</t>
    </r>
    <r>
      <rPr>
        <sz val="10"/>
        <color rgb="FF1F2D25"/>
        <rFont val="Arial"/>
        <family val="0"/>
        <charset val="1"/>
      </rPr>
      <t xml:space="preserve">, </t>
    </r>
    <r>
      <rPr>
        <sz val="10"/>
        <color rgb="FF1F2D25"/>
        <rFont val="WenQuanYi Zen Hei"/>
        <family val="2"/>
      </rPr>
      <t xml:space="preserve">특이사항은 다음 칸에 ※로 표시</t>
    </r>
    <r>
      <rPr>
        <sz val="10"/>
        <color rgb="FF1F2D25"/>
        <rFont val="Arial"/>
        <family val="0"/>
        <charset val="1"/>
      </rPr>
      <t xml:space="preserve">.</t>
    </r>
  </si>
  <si>
    <r>
      <rPr>
        <b val="true"/>
        <sz val="10"/>
        <color rgb="FF123D27"/>
        <rFont val="Arial"/>
        <family val="0"/>
        <charset val="1"/>
      </rPr>
      <t xml:space="preserve">4. </t>
    </r>
    <r>
      <rPr>
        <b val="true"/>
        <sz val="10"/>
        <color rgb="FF123D27"/>
        <rFont val="WenQuanYi Zen Hei"/>
        <family val="2"/>
      </rPr>
      <t xml:space="preserve">날짜</t>
    </r>
    <r>
      <rPr>
        <b val="true"/>
        <sz val="10"/>
        <color rgb="FF123D27"/>
        <rFont val="Arial"/>
        <family val="0"/>
        <charset val="1"/>
      </rPr>
      <t xml:space="preserve">·</t>
    </r>
    <r>
      <rPr>
        <b val="true"/>
        <sz val="10"/>
        <color rgb="FF123D27"/>
        <rFont val="WenQuanYi Zen Hei"/>
        <family val="2"/>
      </rPr>
      <t xml:space="preserve">시간</t>
    </r>
  </si>
  <si>
    <r>
      <rPr>
        <sz val="10"/>
        <color rgb="FF1F2D25"/>
        <rFont val="WenQuanYi Zen Hei"/>
        <family val="2"/>
      </rPr>
      <t xml:space="preserve">날짜 </t>
    </r>
    <r>
      <rPr>
        <sz val="10"/>
        <color rgb="FF1F2D25"/>
        <rFont val="Arial"/>
        <family val="0"/>
        <charset val="1"/>
      </rPr>
      <t xml:space="preserve">2026-12-25 </t>
    </r>
    <r>
      <rPr>
        <sz val="10"/>
        <color rgb="FF1F2D25"/>
        <rFont val="WenQuanYi Zen Hei"/>
        <family val="2"/>
      </rPr>
      <t xml:space="preserve">또는 </t>
    </r>
    <r>
      <rPr>
        <sz val="10"/>
        <color rgb="FF1F2D25"/>
        <rFont val="Arial"/>
        <family val="0"/>
        <charset val="1"/>
      </rPr>
      <t xml:space="preserve">20261225 / </t>
    </r>
    <r>
      <rPr>
        <sz val="10"/>
        <color rgb="FF1F2D25"/>
        <rFont val="WenQuanYi Zen Hei"/>
        <family val="2"/>
      </rPr>
      <t xml:space="preserve">시간 </t>
    </r>
    <r>
      <rPr>
        <sz val="10"/>
        <color rgb="FF1F2D25"/>
        <rFont val="Arial"/>
        <family val="0"/>
        <charset val="1"/>
      </rPr>
      <t xml:space="preserve">10:00, 1000, 10 </t>
    </r>
    <r>
      <rPr>
        <sz val="10"/>
        <color rgb="FF1F2D25"/>
        <rFont val="WenQuanYi Zen Hei"/>
        <family val="2"/>
      </rPr>
      <t xml:space="preserve">모두 가능</t>
    </r>
    <r>
      <rPr>
        <sz val="10"/>
        <color rgb="FF1F2D25"/>
        <rFont val="Arial"/>
        <family val="0"/>
        <charset val="1"/>
      </rPr>
      <t xml:space="preserve">. </t>
    </r>
    <r>
      <rPr>
        <sz val="10"/>
        <color rgb="FF1F2D25"/>
        <rFont val="WenQuanYi Zen Hei"/>
        <family val="2"/>
      </rPr>
      <t xml:space="preserve">빨간 칸 </t>
    </r>
    <r>
      <rPr>
        <sz val="10"/>
        <color rgb="FF1F2D25"/>
        <rFont val="Arial"/>
        <family val="0"/>
        <charset val="1"/>
      </rPr>
      <t xml:space="preserve">= </t>
    </r>
    <r>
      <rPr>
        <sz val="10"/>
        <color rgb="FF1F2D25"/>
        <rFont val="WenQuanYi Zen Hei"/>
        <family val="2"/>
      </rPr>
      <t xml:space="preserve">인식 못 한 값</t>
    </r>
    <r>
      <rPr>
        <sz val="10"/>
        <color rgb="FF1F2D25"/>
        <rFont val="Arial"/>
        <family val="0"/>
        <charset val="1"/>
      </rPr>
      <t xml:space="preserve">.</t>
    </r>
  </si>
  <si>
    <r>
      <rPr>
        <b val="true"/>
        <sz val="10"/>
        <color rgb="FF123D27"/>
        <rFont val="Arial"/>
        <family val="0"/>
        <charset val="1"/>
      </rPr>
      <t xml:space="preserve">5. </t>
    </r>
    <r>
      <rPr>
        <b val="true"/>
        <sz val="10"/>
        <color rgb="FF123D27"/>
        <rFont val="WenQuanYi Zen Hei"/>
        <family val="2"/>
      </rPr>
      <t xml:space="preserve">취소</t>
    </r>
    <r>
      <rPr>
        <b val="true"/>
        <sz val="10"/>
        <color rgb="FF123D27"/>
        <rFont val="Arial"/>
        <family val="0"/>
        <charset val="1"/>
      </rPr>
      <t xml:space="preserve">·</t>
    </r>
    <r>
      <rPr>
        <b val="true"/>
        <sz val="10"/>
        <color rgb="FF123D27"/>
        <rFont val="WenQuanYi Zen Hei"/>
        <family val="2"/>
      </rPr>
      <t xml:space="preserve">환불</t>
    </r>
  </si>
  <si>
    <r>
      <rPr>
        <sz val="10"/>
        <color rgb="FF1F2D25"/>
        <rFont val="WenQuanYi Zen Hei"/>
        <family val="2"/>
      </rPr>
      <t xml:space="preserve">입금 전 취소든 환불이든 예약상태를 </t>
    </r>
    <r>
      <rPr>
        <sz val="10"/>
        <color rgb="FF1F2D25"/>
        <rFont val="Arial"/>
        <family val="0"/>
        <charset val="1"/>
      </rPr>
      <t xml:space="preserve">'</t>
    </r>
    <r>
      <rPr>
        <sz val="10"/>
        <color rgb="FF1F2D25"/>
        <rFont val="WenQuanYi Zen Hei"/>
        <family val="2"/>
      </rPr>
      <t xml:space="preserve">취소</t>
    </r>
    <r>
      <rPr>
        <sz val="10"/>
        <color rgb="FF1F2D25"/>
        <rFont val="Arial"/>
        <family val="0"/>
        <charset val="1"/>
      </rPr>
      <t xml:space="preserve">'</t>
    </r>
    <r>
      <rPr>
        <sz val="10"/>
        <color rgb="FF1F2D25"/>
        <rFont val="WenQuanYi Zen Hei"/>
        <family val="2"/>
      </rPr>
      <t xml:space="preserve">로</t>
    </r>
    <r>
      <rPr>
        <sz val="10"/>
        <color rgb="FF1F2D25"/>
        <rFont val="Arial"/>
        <family val="0"/>
        <charset val="1"/>
      </rPr>
      <t xml:space="preserve">. </t>
    </r>
    <r>
      <rPr>
        <sz val="10"/>
        <color rgb="FF1F2D25"/>
        <rFont val="WenQuanYi Zen Hei"/>
        <family val="2"/>
      </rPr>
      <t xml:space="preserve">매출</t>
    </r>
    <r>
      <rPr>
        <sz val="10"/>
        <color rgb="FF1F2D25"/>
        <rFont val="Arial"/>
        <family val="0"/>
        <charset val="1"/>
      </rPr>
      <t xml:space="preserve">·</t>
    </r>
    <r>
      <rPr>
        <sz val="10"/>
        <color rgb="FF1F2D25"/>
        <rFont val="WenQuanYi Zen Hei"/>
        <family val="2"/>
      </rPr>
      <t xml:space="preserve">강습표</t>
    </r>
    <r>
      <rPr>
        <sz val="10"/>
        <color rgb="FF1F2D25"/>
        <rFont val="Arial"/>
        <family val="0"/>
        <charset val="1"/>
      </rPr>
      <t xml:space="preserve">·</t>
    </r>
    <r>
      <rPr>
        <sz val="10"/>
        <color rgb="FF1F2D25"/>
        <rFont val="WenQuanYi Zen Hei"/>
        <family val="2"/>
      </rPr>
      <t xml:space="preserve">강사료에서 자동으로 빠집니다</t>
    </r>
    <r>
      <rPr>
        <sz val="10"/>
        <color rgb="FF1F2D25"/>
        <rFont val="Arial"/>
        <family val="0"/>
        <charset val="1"/>
      </rPr>
      <t xml:space="preserve">.</t>
    </r>
  </si>
  <si>
    <r>
      <rPr>
        <b val="true"/>
        <sz val="10"/>
        <color rgb="FF123D27"/>
        <rFont val="Arial"/>
        <family val="0"/>
        <charset val="1"/>
      </rPr>
      <t xml:space="preserve">6. </t>
    </r>
    <r>
      <rPr>
        <b val="true"/>
        <sz val="10"/>
        <color rgb="FF123D27"/>
        <rFont val="WenQuanYi Zen Hei"/>
        <family val="2"/>
      </rPr>
      <t xml:space="preserve">강사 정산</t>
    </r>
  </si>
  <si>
    <r>
      <rPr>
        <sz val="10"/>
        <color rgb="FF1F2D25"/>
        <rFont val="WenQuanYi Zen Hei"/>
        <family val="2"/>
      </rPr>
      <t xml:space="preserve">강사정산 ③ 회차표</t>
    </r>
    <r>
      <rPr>
        <sz val="10"/>
        <color rgb="FF1F2D25"/>
        <rFont val="Arial"/>
        <family val="0"/>
        <charset val="1"/>
      </rPr>
      <t xml:space="preserve">: </t>
    </r>
    <r>
      <rPr>
        <sz val="10"/>
        <color rgb="FF1F2D25"/>
        <rFont val="WenQuanYi Zen Hei"/>
        <family val="2"/>
      </rPr>
      <t xml:space="preserve">회차</t>
    </r>
    <r>
      <rPr>
        <sz val="10"/>
        <color rgb="FF1F2D25"/>
        <rFont val="Arial"/>
        <family val="0"/>
        <charset val="1"/>
      </rPr>
      <t xml:space="preserve">(</t>
    </r>
    <r>
      <rPr>
        <sz val="10"/>
        <color rgb="FF1F2D25"/>
        <rFont val="WenQuanYi Zen Hei"/>
        <family val="2"/>
      </rPr>
      <t xml:space="preserve">기간</t>
    </r>
    <r>
      <rPr>
        <sz val="10"/>
        <color rgb="FF1F2D25"/>
        <rFont val="Arial"/>
        <family val="0"/>
        <charset val="1"/>
      </rPr>
      <t xml:space="preserve">)</t>
    </r>
    <r>
      <rPr>
        <sz val="10"/>
        <color rgb="FF1F2D25"/>
        <rFont val="WenQuanYi Zen Hei"/>
        <family val="2"/>
      </rPr>
      <t xml:space="preserve">별 강사료 자동 → 송금하면 그 강사 </t>
    </r>
    <r>
      <rPr>
        <sz val="10"/>
        <color rgb="FF1F2D25"/>
        <rFont val="Arial"/>
        <family val="0"/>
        <charset val="1"/>
      </rPr>
      <t xml:space="preserve">'</t>
    </r>
    <r>
      <rPr>
        <sz val="10"/>
        <color rgb="FF1F2D25"/>
        <rFont val="WenQuanYi Zen Hei"/>
        <family val="2"/>
      </rPr>
      <t xml:space="preserve">지급일</t>
    </r>
    <r>
      <rPr>
        <sz val="10"/>
        <color rgb="FF1F2D25"/>
        <rFont val="Arial"/>
        <family val="0"/>
        <charset val="1"/>
      </rPr>
      <t xml:space="preserve">' </t>
    </r>
    <r>
      <rPr>
        <sz val="10"/>
        <color rgb="FF1F2D25"/>
        <rFont val="WenQuanYi Zen Hei"/>
        <family val="2"/>
      </rPr>
      <t xml:space="preserve">칸에 날짜만</t>
    </r>
    <r>
      <rPr>
        <sz val="10"/>
        <color rgb="FF1F2D25"/>
        <rFont val="Arial"/>
        <family val="0"/>
        <charset val="1"/>
      </rPr>
      <t xml:space="preserve">. ② </t>
    </r>
    <r>
      <rPr>
        <sz val="10"/>
        <color rgb="FF1F2D25"/>
        <rFont val="WenQuanYi Zen Hei"/>
        <family val="2"/>
      </rPr>
      <t xml:space="preserve">기간 정산은 원하는 기간 따로 조회</t>
    </r>
    <r>
      <rPr>
        <sz val="10"/>
        <color rgb="FF1F2D25"/>
        <rFont val="Arial"/>
        <family val="0"/>
        <charset val="1"/>
      </rPr>
      <t xml:space="preserve">.</t>
    </r>
  </si>
  <si>
    <r>
      <rPr>
        <b val="true"/>
        <sz val="10"/>
        <color rgb="FF123D27"/>
        <rFont val="Arial"/>
        <family val="0"/>
        <charset val="1"/>
      </rPr>
      <t xml:space="preserve">7. </t>
    </r>
    <r>
      <rPr>
        <b val="true"/>
        <sz val="10"/>
        <color rgb="FF123D27"/>
        <rFont val="WenQuanYi Zen Hei"/>
        <family val="2"/>
      </rPr>
      <t xml:space="preserve">장비대여</t>
    </r>
    <r>
      <rPr>
        <b val="true"/>
        <sz val="10"/>
        <color rgb="FF123D27"/>
        <rFont val="Arial"/>
        <family val="0"/>
        <charset val="1"/>
      </rPr>
      <t xml:space="preserve">·</t>
    </r>
    <r>
      <rPr>
        <b val="true"/>
        <sz val="10"/>
        <color rgb="FF123D27"/>
        <rFont val="WenQuanYi Zen Hei"/>
        <family val="2"/>
      </rPr>
      <t xml:space="preserve">리뷰</t>
    </r>
  </si>
  <si>
    <r>
      <rPr>
        <sz val="10"/>
        <color rgb="FF1F2D25"/>
        <rFont val="WenQuanYi Zen Hei"/>
        <family val="2"/>
      </rPr>
      <t xml:space="preserve">장비대여 </t>
    </r>
    <r>
      <rPr>
        <sz val="10"/>
        <color rgb="FF1F2D25"/>
        <rFont val="Arial"/>
        <family val="0"/>
        <charset val="1"/>
      </rPr>
      <t xml:space="preserve">'</t>
    </r>
    <r>
      <rPr>
        <sz val="10"/>
        <color rgb="FF1F2D25"/>
        <rFont val="WenQuanYi Zen Hei"/>
        <family val="2"/>
      </rPr>
      <t xml:space="preserve">대여</t>
    </r>
    <r>
      <rPr>
        <sz val="10"/>
        <color rgb="FF1F2D25"/>
        <rFont val="Arial"/>
        <family val="0"/>
        <charset val="1"/>
      </rPr>
      <t xml:space="preserve">'</t>
    </r>
    <r>
      <rPr>
        <sz val="10"/>
        <color rgb="FF1F2D25"/>
        <rFont val="WenQuanYi Zen Hei"/>
        <family val="2"/>
      </rPr>
      <t xml:space="preserve">면 결제완료 건마다 렌탈비 </t>
    </r>
    <r>
      <rPr>
        <sz val="10"/>
        <color rgb="FF1F2D25"/>
        <rFont val="Arial"/>
        <family val="0"/>
        <charset val="1"/>
      </rPr>
      <t xml:space="preserve">1</t>
    </r>
    <r>
      <rPr>
        <sz val="10"/>
        <color rgb="FF1F2D25"/>
        <rFont val="WenQuanYi Zen Hei"/>
        <family val="2"/>
      </rPr>
      <t xml:space="preserve">만원</t>
    </r>
    <r>
      <rPr>
        <sz val="10"/>
        <color rgb="FF1F2D25"/>
        <rFont val="Arial"/>
        <family val="0"/>
        <charset val="1"/>
      </rPr>
      <t xml:space="preserve">(</t>
    </r>
    <r>
      <rPr>
        <sz val="10"/>
        <color rgb="FF1F2D25"/>
        <rFont val="WenQuanYi Zen Hei"/>
        <family val="2"/>
      </rPr>
      <t xml:space="preserve">설정 탭에서 변경</t>
    </r>
    <r>
      <rPr>
        <sz val="10"/>
        <color rgb="FF1F2D25"/>
        <rFont val="Arial"/>
        <family val="0"/>
        <charset val="1"/>
      </rPr>
      <t xml:space="preserve">)</t>
    </r>
    <r>
      <rPr>
        <sz val="10"/>
        <color rgb="FF1F2D25"/>
        <rFont val="WenQuanYi Zen Hei"/>
        <family val="2"/>
      </rPr>
      <t xml:space="preserve">이 비용으로 빠짐</t>
    </r>
    <r>
      <rPr>
        <sz val="10"/>
        <color rgb="FF1F2D25"/>
        <rFont val="Arial"/>
        <family val="0"/>
        <charset val="1"/>
      </rPr>
      <t xml:space="preserve">. </t>
    </r>
    <r>
      <rPr>
        <sz val="10"/>
        <color rgb="FF1F2D25"/>
        <rFont val="WenQuanYi Zen Hei"/>
        <family val="2"/>
      </rPr>
      <t xml:space="preserve">리뷰는 </t>
    </r>
    <r>
      <rPr>
        <sz val="10"/>
        <color rgb="FF1F2D25"/>
        <rFont val="Arial"/>
        <family val="0"/>
        <charset val="1"/>
      </rPr>
      <t xml:space="preserve">MASTER </t>
    </r>
    <r>
      <rPr>
        <sz val="10"/>
        <color rgb="FF1F2D25"/>
        <rFont val="WenQuanYi Zen Hei"/>
        <family val="2"/>
      </rPr>
      <t xml:space="preserve">마지막 칸에서 작성완료</t>
    </r>
    <r>
      <rPr>
        <sz val="10"/>
        <color rgb="FF1F2D25"/>
        <rFont val="Arial"/>
        <family val="0"/>
        <charset val="1"/>
      </rPr>
      <t xml:space="preserve">/</t>
    </r>
    <r>
      <rPr>
        <sz val="10"/>
        <color rgb="FF1F2D25"/>
        <rFont val="WenQuanYi Zen Hei"/>
        <family val="2"/>
      </rPr>
      <t xml:space="preserve">미작성</t>
    </r>
    <r>
      <rPr>
        <sz val="10"/>
        <color rgb="FF1F2D25"/>
        <rFont val="Arial"/>
        <family val="0"/>
        <charset val="1"/>
      </rPr>
      <t xml:space="preserve">.</t>
    </r>
  </si>
  <si>
    <r>
      <rPr>
        <b val="true"/>
        <sz val="10"/>
        <color rgb="FF123D27"/>
        <rFont val="Arial"/>
        <family val="0"/>
        <charset val="1"/>
      </rPr>
      <t xml:space="preserve">8. </t>
    </r>
    <r>
      <rPr>
        <b val="true"/>
        <sz val="10"/>
        <color rgb="FF123D27"/>
        <rFont val="WenQuanYi Zen Hei"/>
        <family val="2"/>
      </rPr>
      <t xml:space="preserve">빈 행에 이어 쓰기</t>
    </r>
  </si>
  <si>
    <r>
      <rPr>
        <sz val="10"/>
        <color rgb="FF1F2D25"/>
        <rFont val="WenQuanYi Zen Hei"/>
        <family val="2"/>
      </rPr>
      <t xml:space="preserve">행 삽입 대신 아래 빈 행</t>
    </r>
    <r>
      <rPr>
        <sz val="10"/>
        <color rgb="FF1F2D25"/>
        <rFont val="Arial"/>
        <family val="0"/>
        <charset val="1"/>
      </rPr>
      <t xml:space="preserve">(1,000</t>
    </r>
    <r>
      <rPr>
        <sz val="10"/>
        <color rgb="FF1F2D25"/>
        <rFont val="WenQuanYi Zen Hei"/>
        <family val="2"/>
      </rPr>
      <t xml:space="preserve">행 준비</t>
    </r>
    <r>
      <rPr>
        <sz val="10"/>
        <color rgb="FF1F2D25"/>
        <rFont val="Arial"/>
        <family val="0"/>
        <charset val="1"/>
      </rPr>
      <t xml:space="preserve">)</t>
    </r>
    <r>
      <rPr>
        <sz val="10"/>
        <color rgb="FF1F2D25"/>
        <rFont val="WenQuanYi Zen Hei"/>
        <family val="2"/>
      </rPr>
      <t xml:space="preserve">에 입력</t>
    </r>
    <r>
      <rPr>
        <sz val="10"/>
        <color rgb="FF1F2D25"/>
        <rFont val="Arial"/>
        <family val="0"/>
        <charset val="1"/>
      </rPr>
      <t xml:space="preserve">. </t>
    </r>
    <r>
      <rPr>
        <sz val="10"/>
        <color rgb="FF1F2D25"/>
        <rFont val="WenQuanYi Zen Hei"/>
        <family val="2"/>
      </rPr>
      <t xml:space="preserve">잘못 입력한 행만 삭제</t>
    </r>
    <r>
      <rPr>
        <sz val="10"/>
        <color rgb="FF1F2D25"/>
        <rFont val="Arial"/>
        <family val="0"/>
        <charset val="1"/>
      </rPr>
      <t xml:space="preserve">, </t>
    </r>
    <r>
      <rPr>
        <sz val="10"/>
        <color rgb="FF1F2D25"/>
        <rFont val="WenQuanYi Zen Hei"/>
        <family val="2"/>
      </rPr>
      <t xml:space="preserve">실제 고객 건은 상태만 변경</t>
    </r>
    <r>
      <rPr>
        <sz val="10"/>
        <color rgb="FF1F2D25"/>
        <rFont val="Arial"/>
        <family val="0"/>
        <charset val="1"/>
      </rPr>
      <t xml:space="preserve">.</t>
    </r>
  </si>
  <si>
    <r>
      <rPr>
        <b val="true"/>
        <sz val="11"/>
        <color rgb="FF123D27"/>
        <rFont val="WenQuanYi Zen Hei"/>
        <family val="2"/>
      </rPr>
      <t xml:space="preserve">입력 예시 </t>
    </r>
    <r>
      <rPr>
        <b val="true"/>
        <sz val="11"/>
        <color rgb="FF123D27"/>
        <rFont val="Arial"/>
        <family val="0"/>
        <charset val="1"/>
      </rPr>
      <t xml:space="preserve">(</t>
    </r>
    <r>
      <rPr>
        <b val="true"/>
        <sz val="11"/>
        <color rgb="FF123D27"/>
        <rFont val="WenQuanYi Zen Hei"/>
        <family val="2"/>
      </rPr>
      <t xml:space="preserve">이 표는 계산에 포함되지 않습니다</t>
    </r>
    <r>
      <rPr>
        <b val="true"/>
        <sz val="11"/>
        <color rgb="FF123D27"/>
        <rFont val="Arial"/>
        <family val="0"/>
        <charset val="1"/>
      </rPr>
      <t xml:space="preserve">)</t>
    </r>
  </si>
  <si>
    <r>
      <rPr>
        <b val="true"/>
        <sz val="10"/>
        <color rgb="FF123D27"/>
        <rFont val="WenQuanYi Zen Hei"/>
        <family val="2"/>
      </rPr>
      <t xml:space="preserve">시작</t>
    </r>
    <r>
      <rPr>
        <b val="true"/>
        <sz val="10"/>
        <color rgb="FF123D27"/>
        <rFont val="Arial"/>
        <family val="0"/>
        <charset val="1"/>
      </rPr>
      <t xml:space="preserve">~</t>
    </r>
    <r>
      <rPr>
        <b val="true"/>
        <sz val="10"/>
        <color rgb="FF123D27"/>
        <rFont val="WenQuanYi Zen Hei"/>
        <family val="2"/>
      </rPr>
      <t xml:space="preserve">종료</t>
    </r>
  </si>
  <si>
    <t xml:space="preserve">홍길동</t>
  </si>
  <si>
    <t xml:space="preserve">20270110</t>
  </si>
  <si>
    <t xml:space="preserve">1300~1500</t>
  </si>
  <si>
    <t xml:space="preserve">129,000</t>
  </si>
  <si>
    <r>
      <rPr>
        <i val="true"/>
        <sz val="10"/>
        <color rgb="FF555555"/>
        <rFont val="Arial"/>
        <family val="0"/>
        <charset val="1"/>
      </rPr>
      <t xml:space="preserve">(</t>
    </r>
    <r>
      <rPr>
        <i val="true"/>
        <sz val="10"/>
        <color rgb="FF555555"/>
        <rFont val="WenQuanYi Zen Hei"/>
        <family val="2"/>
      </rPr>
      <t xml:space="preserve">입금 대기</t>
    </r>
    <r>
      <rPr>
        <i val="true"/>
        <sz val="10"/>
        <color rgb="FF555555"/>
        <rFont val="Arial"/>
        <family val="0"/>
        <charset val="1"/>
      </rPr>
      <t xml:space="preserve">)</t>
    </r>
  </si>
  <si>
    <t xml:space="preserve">김민지</t>
  </si>
  <si>
    <t xml:space="preserve">2027-01-12</t>
  </si>
  <si>
    <t xml:space="preserve">10:00~12:00</t>
  </si>
  <si>
    <t xml:space="preserve">20261203</t>
  </si>
  <si>
    <t xml:space="preserve">이서준</t>
  </si>
  <si>
    <t xml:space="preserve">2027-01-15</t>
  </si>
  <si>
    <t xml:space="preserve">9~11</t>
  </si>
  <si>
    <r>
      <rPr>
        <i val="true"/>
        <sz val="10"/>
        <color rgb="FF555555"/>
        <rFont val="Arial"/>
        <family val="0"/>
        <charset val="1"/>
      </rPr>
      <t xml:space="preserve">(</t>
    </r>
    <r>
      <rPr>
        <i val="true"/>
        <sz val="10"/>
        <color rgb="FF555555"/>
        <rFont val="WenQuanYi Zen Hei"/>
        <family val="2"/>
      </rPr>
      <t xml:space="preserve">취소</t>
    </r>
    <r>
      <rPr>
        <i val="true"/>
        <sz val="10"/>
        <color rgb="FF555555"/>
        <rFont val="Arial"/>
        <family val="0"/>
        <charset val="1"/>
      </rPr>
      <t xml:space="preserve">·</t>
    </r>
    <r>
      <rPr>
        <i val="true"/>
        <sz val="10"/>
        <color rgb="FF555555"/>
        <rFont val="WenQuanYi Zen Hei"/>
        <family val="2"/>
      </rPr>
      <t xml:space="preserve">환불</t>
    </r>
    <r>
      <rPr>
        <i val="true"/>
        <sz val="10"/>
        <color rgb="FF555555"/>
        <rFont val="Arial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</si>
</sst>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0\건"/>
    <numFmt numFmtId="166" formatCode="#,##0\원;\-#,##0\원;&quot;0원&quot;"/>
    <numFmt numFmtId="167" formatCode="m\월"/>
    <numFmt numFmtId="168" formatCode="#,##0;\-#,##0;\-"/>
    <numFmt numFmtId="169" formatCode="General"/>
    <numFmt numFmtId="170" formatCode="[&gt;19000000]0000\-00\-00;yyyy\-mm\-dd"/>
    <numFmt numFmtId="171" formatCode="[&gt;=100]00\:00;[&gt;=1]0&quot;:00&quot;;hh:mm"/>
    <numFmt numFmtId="172" formatCode="0.0"/>
    <numFmt numFmtId="173" formatCode="0"/>
    <numFmt numFmtId="174" formatCode="yyyy\-mm\-dd"/>
    <numFmt numFmtId="175" formatCode="yyyy&quot;년 &quot;m\월"/>
    <numFmt numFmtId="176" formatCode="0.0%"/>
    <numFmt numFmtId="177" formatCode="hh:mm"/>
    <numFmt numFmtId="178" formatCode="0.00%"/>
  </numFmts>
  <fonts count="6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23D27"/>
      <name val="Arial"/>
      <family val="0"/>
      <charset val="1"/>
    </font>
    <font>
      <b val="true"/>
      <sz val="16"/>
      <color rgb="FF123D27"/>
      <name val="WenQuanYi Zen Hei"/>
      <family val="2"/>
    </font>
    <font>
      <b val="true"/>
      <sz val="10"/>
      <color rgb="FF2E4A3A"/>
      <name val="WenQuanYi Zen Hei"/>
      <family val="2"/>
    </font>
    <font>
      <b val="true"/>
      <sz val="10"/>
      <color rgb="FF123D27"/>
      <name val="WenQuanYi Zen Hei"/>
      <family val="2"/>
    </font>
    <font>
      <b val="true"/>
      <sz val="18"/>
      <color rgb="FF1E5B3A"/>
      <name val="Arial"/>
      <family val="0"/>
      <charset val="1"/>
    </font>
    <font>
      <b val="true"/>
      <sz val="18"/>
      <color rgb="FFB42318"/>
      <name val="Arial"/>
      <family val="0"/>
      <charset val="1"/>
    </font>
    <font>
      <sz val="9"/>
      <color rgb="FF4A6355"/>
      <name val="WenQuanYi Zen Hei"/>
      <family val="2"/>
    </font>
    <font>
      <b val="true"/>
      <sz val="11"/>
      <color rgb="FF123D27"/>
      <name val="WenQuanYi Zen Hei"/>
      <family val="2"/>
    </font>
    <font>
      <b val="true"/>
      <sz val="11"/>
      <color rgb="FF123D27"/>
      <name val="Arial"/>
      <family val="0"/>
      <charset val="1"/>
    </font>
    <font>
      <b val="true"/>
      <sz val="11"/>
      <color rgb="FF8C510C"/>
      <name val="WenQuanYi Zen Hei"/>
      <family val="2"/>
    </font>
    <font>
      <b val="true"/>
      <sz val="11"/>
      <color rgb="FF1E5B3A"/>
      <name val="Arial"/>
      <family val="0"/>
      <charset val="1"/>
    </font>
    <font>
      <sz val="10"/>
      <color rgb="FF2E4A3A"/>
      <name val="WenQuanYi Zen Hei"/>
      <family val="2"/>
    </font>
    <font>
      <b val="true"/>
      <sz val="11"/>
      <color rgb="FF1E5B3A"/>
      <name val="WenQuanYi Zen Hei"/>
      <family val="2"/>
    </font>
    <font>
      <sz val="9"/>
      <color rgb="FF4A6355"/>
      <name val="Arial"/>
      <family val="0"/>
      <charset val="1"/>
    </font>
    <font>
      <sz val="10"/>
      <color rgb="FF2E4A3A"/>
      <name val="Arial"/>
      <family val="0"/>
      <charset val="1"/>
    </font>
    <font>
      <b val="true"/>
      <sz val="10"/>
      <color rgb="FF2E4A3A"/>
      <name val="Arial"/>
      <family val="0"/>
      <charset val="1"/>
    </font>
    <font>
      <b val="true"/>
      <sz val="10"/>
      <color rgb="FF1E5B3A"/>
      <name val="WenQuanYi Zen Hei"/>
      <family val="2"/>
    </font>
    <font>
      <b val="true"/>
      <sz val="12"/>
      <color rgb="FF1E5B3A"/>
      <name val="Arial"/>
      <family val="0"/>
      <charset val="1"/>
    </font>
    <font>
      <b val="true"/>
      <sz val="10"/>
      <color rgb="FF1E5B3A"/>
      <name val="Arial"/>
      <family val="0"/>
      <charset val="1"/>
    </font>
    <font>
      <sz val="10"/>
      <color rgb="FF1F2D25"/>
      <name val="Arial"/>
      <family val="0"/>
      <charset val="1"/>
    </font>
    <font>
      <sz val="10"/>
      <color rgb="FF4A6355"/>
      <name val="WenQuanYi Zen Hei"/>
      <family val="2"/>
    </font>
    <font>
      <sz val="10"/>
      <color rgb="FF4A6355"/>
      <name val="Arial"/>
      <family val="0"/>
      <charset val="1"/>
    </font>
    <font>
      <b val="true"/>
      <sz val="10"/>
      <color rgb="FF4A6355"/>
      <name val="Arial"/>
      <family val="0"/>
      <charset val="1"/>
    </font>
    <font>
      <b val="true"/>
      <sz val="9"/>
      <color rgb="FF2E4A3A"/>
      <name val="WenQuanYi Zen Hei"/>
      <family val="2"/>
    </font>
    <font>
      <b val="true"/>
      <sz val="9"/>
      <color rgb="FF2E4A3A"/>
      <name val="Arial"/>
      <family val="0"/>
      <charset val="1"/>
    </font>
    <font>
      <b val="true"/>
      <sz val="10"/>
      <color rgb="FF123D27"/>
      <name val="Arial"/>
      <family val="0"/>
      <charset val="1"/>
    </font>
    <font>
      <sz val="10"/>
      <color rgb="FF1F2D25"/>
      <name val="WenQuanYi Zen Hei"/>
      <family val="2"/>
    </font>
    <font>
      <b val="true"/>
      <sz val="10"/>
      <color rgb="FF8C510C"/>
      <name val="WenQuanYi Zen Hei"/>
      <family val="2"/>
    </font>
    <font>
      <sz val="9"/>
      <color rgb="FF8C510C"/>
      <name val="Arial"/>
      <family val="0"/>
      <charset val="1"/>
    </font>
    <font>
      <sz val="9"/>
      <color rgb="FF8C510C"/>
      <name val="WenQuanYi Zen Hei"/>
      <family val="2"/>
    </font>
    <font>
      <sz val="9"/>
      <color rgb="FF1F2D25"/>
      <name val="Arial"/>
      <family val="0"/>
      <charset val="1"/>
    </font>
    <font>
      <b val="true"/>
      <sz val="9"/>
      <color rgb="FF8C510C"/>
      <name val="WenQuanYi Zen Hei"/>
      <family val="2"/>
    </font>
    <font>
      <b val="true"/>
      <sz val="11"/>
      <color rgb="FF1F5FAF"/>
      <name val="WenQuanYi Zen Hei"/>
      <family val="2"/>
    </font>
    <font>
      <b val="true"/>
      <sz val="11"/>
      <color rgb="FF1F5FAF"/>
      <name val="Arial"/>
      <family val="0"/>
      <charset val="1"/>
    </font>
    <font>
      <b val="true"/>
      <sz val="11"/>
      <color rgb="FFB42318"/>
      <name val="WenQuanYi Zen Hei"/>
      <family val="2"/>
    </font>
    <font>
      <b val="true"/>
      <sz val="11"/>
      <color rgb="FFB42318"/>
      <name val="Arial"/>
      <family val="0"/>
      <charset val="1"/>
    </font>
    <font>
      <b val="true"/>
      <sz val="14"/>
      <color rgb="FF123D27"/>
      <name val="Arial"/>
      <family val="0"/>
      <charset val="1"/>
    </font>
    <font>
      <b val="true"/>
      <sz val="14"/>
      <color rgb="FF123D27"/>
      <name val="WenQuanYi Zen Hei"/>
      <family val="2"/>
    </font>
    <font>
      <b val="true"/>
      <sz val="10"/>
      <color rgb="FF1F2D25"/>
      <name val="WenQuanYi Zen Hei"/>
      <family val="2"/>
    </font>
    <font>
      <b val="true"/>
      <sz val="10"/>
      <color rgb="FF1F2D25"/>
      <name val="Arial"/>
      <family val="0"/>
      <charset val="1"/>
    </font>
    <font>
      <b val="true"/>
      <sz val="15"/>
      <color rgb="FF123D27"/>
      <name val="WenQuanYi Zen Hei"/>
      <family val="2"/>
    </font>
    <font>
      <b val="true"/>
      <sz val="9"/>
      <color rgb="FF4A6355"/>
      <name val="WenQuanYi Zen Hei"/>
      <family val="2"/>
    </font>
    <font>
      <b val="true"/>
      <sz val="9"/>
      <color rgb="FF4A6355"/>
      <name val="Arial"/>
      <family val="0"/>
      <charset val="1"/>
    </font>
    <font>
      <b val="true"/>
      <sz val="9"/>
      <color rgb="FF123D27"/>
      <name val="WenQuanYi Zen Hei"/>
      <family val="2"/>
    </font>
    <font>
      <b val="true"/>
      <sz val="10"/>
      <color rgb="FFB42318"/>
      <name val="Arial"/>
      <family val="0"/>
      <charset val="1"/>
    </font>
    <font>
      <sz val="10"/>
      <color rgb="FF1F4E9E"/>
      <name val="Arial"/>
      <family val="0"/>
      <charset val="1"/>
    </font>
    <font>
      <b val="true"/>
      <sz val="10"/>
      <color rgb="FFB42318"/>
      <name val="WenQuanYi Zen Hei"/>
      <family val="2"/>
    </font>
    <font>
      <b val="true"/>
      <sz val="11"/>
      <color rgb="FF1F4E9E"/>
      <name val="Arial"/>
      <family val="0"/>
      <charset val="1"/>
    </font>
    <font>
      <b val="true"/>
      <sz val="12"/>
      <color rgb="FFB42318"/>
      <name val="Arial"/>
      <family val="0"/>
      <charset val="1"/>
    </font>
    <font>
      <b val="true"/>
      <sz val="12"/>
      <color rgb="FFB42318"/>
      <name val="WenQuanYi Zen Hei"/>
      <family val="2"/>
    </font>
    <font>
      <b val="true"/>
      <sz val="10"/>
      <color rgb="FF7A1F1F"/>
      <name val="Arial"/>
      <family val="0"/>
      <charset val="1"/>
    </font>
    <font>
      <b val="true"/>
      <sz val="10"/>
      <color rgb="FF7A1F1F"/>
      <name val="WenQuanYi Zen Hei"/>
      <family val="2"/>
    </font>
    <font>
      <sz val="11"/>
      <color theme="1"/>
      <name val="WenQuanYi Zen Hei"/>
      <family val="2"/>
    </font>
    <font>
      <sz val="10"/>
      <color rgb="FF0000FF"/>
      <name val="Arial"/>
      <family val="0"/>
      <charset val="1"/>
    </font>
    <font>
      <i val="true"/>
      <sz val="10"/>
      <color rgb="FF555555"/>
      <name val="WenQuanYi Zen Hei"/>
      <family val="2"/>
    </font>
    <font>
      <i val="true"/>
      <sz val="10"/>
      <color rgb="FF555555"/>
      <name val="Arial"/>
      <family val="0"/>
      <charset val="1"/>
    </font>
  </fonts>
  <fills count="36">
    <fill>
      <patternFill patternType="none"/>
    </fill>
    <fill>
      <patternFill patternType="gray125"/>
    </fill>
    <fill>
      <patternFill patternType="solid">
        <fgColor rgb="FFCFE8D6"/>
        <bgColor rgb="FFCDEBD3"/>
      </patternFill>
    </fill>
    <fill>
      <patternFill patternType="solid">
        <fgColor rgb="FFEDF7F0"/>
        <bgColor rgb="FFEAF5EE"/>
      </patternFill>
    </fill>
    <fill>
      <patternFill patternType="solid">
        <fgColor rgb="FFE3F2E7"/>
        <bgColor rgb="FFE6F3EA"/>
      </patternFill>
    </fill>
    <fill>
      <patternFill patternType="solid">
        <fgColor rgb="FFFFFFFF"/>
        <bgColor rgb="FFFAFAFA"/>
      </patternFill>
    </fill>
    <fill>
      <patternFill patternType="solid">
        <fgColor rgb="FFF6FBF7"/>
        <bgColor rgb="FFF5FAF6"/>
      </patternFill>
    </fill>
    <fill>
      <patternFill patternType="solid">
        <fgColor rgb="FFA9D6B8"/>
        <bgColor rgb="FFC2E2CA"/>
      </patternFill>
    </fill>
    <fill>
      <patternFill patternType="solid">
        <fgColor rgb="FFFFECC6"/>
        <bgColor rgb="FFFFF1C2"/>
      </patternFill>
    </fill>
    <fill>
      <patternFill patternType="solid">
        <fgColor rgb="FFFFFAED"/>
        <bgColor rgb="FFFFF5F5"/>
      </patternFill>
    </fill>
    <fill>
      <patternFill patternType="solid">
        <fgColor rgb="FFD6E6DC"/>
        <bgColor rgb="FFCFE8D6"/>
      </patternFill>
    </fill>
    <fill>
      <patternFill patternType="solid">
        <fgColor rgb="FFC2E2CA"/>
        <bgColor rgb="FFCDEBD3"/>
      </patternFill>
    </fill>
    <fill>
      <patternFill patternType="solid">
        <fgColor rgb="FFE1E7E3"/>
        <bgColor rgb="FFE6E6E6"/>
      </patternFill>
    </fill>
    <fill>
      <patternFill patternType="solid">
        <fgColor rgb="FFF1F8F3"/>
        <bgColor rgb="FFEDF7F0"/>
      </patternFill>
    </fill>
    <fill>
      <patternFill patternType="solid">
        <fgColor rgb="FFFFF4C2"/>
        <bgColor rgb="FFFFF1C2"/>
      </patternFill>
    </fill>
    <fill>
      <patternFill patternType="mediumGray">
        <fgColor rgb="FFC2E2CA"/>
        <bgColor rgb="FFD5DDE6"/>
      </patternFill>
    </fill>
    <fill>
      <patternFill patternType="solid">
        <fgColor rgb="FFD6EEF2"/>
        <bgColor rgb="FFDDEFF3"/>
      </patternFill>
    </fill>
    <fill>
      <patternFill patternType="solid">
        <fgColor rgb="FFEDE3F6"/>
        <bgColor rgb="FFF5E6EE"/>
      </patternFill>
    </fill>
    <fill>
      <patternFill patternType="solid">
        <fgColor rgb="FFE3F1DC"/>
        <bgColor rgb="FFE3F2E7"/>
      </patternFill>
    </fill>
    <fill>
      <patternFill patternType="solid">
        <fgColor rgb="FFDDEFF3"/>
        <bgColor rgb="FFD6EEF2"/>
      </patternFill>
    </fill>
    <fill>
      <patternFill patternType="solid">
        <fgColor rgb="FFF9E0E0"/>
        <bgColor rgb="FFF5E6EE"/>
      </patternFill>
    </fill>
    <fill>
      <patternFill patternType="solid">
        <fgColor rgb="FFE8EDF6"/>
        <bgColor rgb="FFE6ECF5"/>
      </patternFill>
    </fill>
    <fill>
      <patternFill patternType="solid">
        <fgColor rgb="FFF3E9DA"/>
        <bgColor rgb="FFF0EDE0"/>
      </patternFill>
    </fill>
    <fill>
      <patternFill patternType="solid">
        <fgColor rgb="FFEEEEEE"/>
        <bgColor rgb="FFECECEC"/>
      </patternFill>
    </fill>
    <fill>
      <patternFill patternType="solid">
        <fgColor rgb="FFE0F0E8"/>
        <bgColor rgb="FFE3F2E7"/>
      </patternFill>
    </fill>
    <fill>
      <patternFill patternType="solid">
        <fgColor rgb="FFF5E6EE"/>
        <bgColor rgb="FFEDE3F6"/>
      </patternFill>
    </fill>
    <fill>
      <patternFill patternType="solid">
        <fgColor rgb="FFE6ECF5"/>
        <bgColor rgb="FFE8EDF6"/>
      </patternFill>
    </fill>
    <fill>
      <patternFill patternType="solid">
        <fgColor rgb="FFF0EDE0"/>
        <bgColor rgb="FFF3E9DA"/>
      </patternFill>
    </fill>
    <fill>
      <patternFill patternType="solid">
        <fgColor rgb="FFE6E6E6"/>
        <bgColor rgb="FFE1E7E3"/>
      </patternFill>
    </fill>
    <fill>
      <patternFill patternType="solid">
        <fgColor rgb="FFE6F3EA"/>
        <bgColor rgb="FFE3F2E7"/>
      </patternFill>
    </fill>
    <fill>
      <patternFill patternType="solid">
        <fgColor rgb="FFFFF3E0"/>
        <bgColor rgb="FFFFF6D9"/>
      </patternFill>
    </fill>
    <fill>
      <patternFill patternType="solid">
        <fgColor rgb="FFF5FAF6"/>
        <bgColor rgb="FFF6FBF7"/>
      </patternFill>
    </fill>
    <fill>
      <patternFill patternType="solid">
        <fgColor rgb="FFEAF5EE"/>
        <bgColor rgb="FFEDF7F0"/>
      </patternFill>
    </fill>
    <fill>
      <patternFill patternType="solid">
        <fgColor rgb="FFFDECEC"/>
        <bgColor rgb="FFF5E6EE"/>
      </patternFill>
    </fill>
    <fill>
      <patternFill patternType="solid">
        <fgColor rgb="FFFFF5F5"/>
        <bgColor rgb="FFFFFAED"/>
      </patternFill>
    </fill>
    <fill>
      <patternFill patternType="solid">
        <fgColor rgb="FFFAFAFA"/>
        <bgColor rgb="FFF6FBF7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5DDE6"/>
      </left>
      <right style="thin">
        <color rgb="FFD5DDE6"/>
      </right>
      <top style="thin">
        <color rgb="FFD5DDE6"/>
      </top>
      <bottom style="thin">
        <color rgb="FFD5DDE6"/>
      </bottom>
      <diagonal/>
    </border>
    <border diagonalUp="false" diagonalDown="false">
      <left style="thin">
        <color rgb="FFD5DDE6"/>
      </left>
      <right style="thin">
        <color rgb="FFD5DDE6"/>
      </right>
      <top style="thin">
        <color rgb="FFD5DDE6"/>
      </top>
      <bottom style="hair">
        <color rgb="FFE1E6EC"/>
      </bottom>
      <diagonal/>
    </border>
    <border diagonalUp="false" diagonalDown="false">
      <left style="thin">
        <color rgb="FFD5DDE6"/>
      </left>
      <right style="thin">
        <color rgb="FFD5DDE6"/>
      </right>
      <top style="hair">
        <color rgb="FFE1E6EC"/>
      </top>
      <bottom style="hair">
        <color rgb="FFE1E6EC"/>
      </bottom>
      <diagonal/>
    </border>
    <border diagonalUp="false" diagonalDown="false">
      <left style="thin">
        <color rgb="FFD5DDE6"/>
      </left>
      <right style="thin">
        <color rgb="FFD5DDE6"/>
      </right>
      <top style="hair">
        <color rgb="FFE1E6EC"/>
      </top>
      <bottom style="medium">
        <color rgb="FF8A9AA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9">
    <xf applyNumberFormat="1"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applyNumberFormat="1" numFmtId="164" fontId="4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applyNumberFormat="1" numFmtId="164" fontId="6" fillId="3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applyNumberFormat="1"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applyNumberFormat="1"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applyNumberFormat="1" numFmtId="165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applyNumberFormat="1" numFmtId="166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applyNumberFormat="1"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applyNumberFormat="1" numFmtId="164" fontId="11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applyNumberFormat="1"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applyNumberFormat="1" numFmtId="164" fontId="6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applyNumberFormat="1" numFmtId="166" fontId="14" fillId="5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applyNumberFormat="1" numFmtId="164" fontId="10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applyNumberFormat="1" numFmtId="164" fontId="15" fillId="9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applyNumberFormat="1" numFmtId="164" fontId="1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applyNumberFormat="1" numFmtId="164" fontId="19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applyNumberFormat="1" numFmtId="164" fontId="20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applyNumberFormat="1" numFmtId="166" fontId="21" fillId="4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applyNumberFormat="1" numFmtId="164" fontId="10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applyNumberFormat="1" numFmtId="164" fontId="15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applyNumberFormat="1" numFmtId="165" fontId="2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applyNumberFormat="1" numFmtId="165" fontId="2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applyNumberFormat="1" numFmtId="166" fontId="22" fillId="5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applyNumberFormat="1" numFmtId="167" fontId="1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applyNumberFormat="1" numFmtId="168" fontId="23" fillId="5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applyNumberFormat="1" numFmtId="168" fontId="22" fillId="5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applyNumberFormat="1" numFmtId="164" fontId="2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applyNumberFormat="1" numFmtId="165" fontId="2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applyNumberFormat="1" numFmtId="168" fontId="23" fillId="6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applyNumberFormat="1" numFmtId="168" fontId="22" fillId="6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applyNumberFormat="1"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applyNumberFormat="1" numFmtId="165" fontId="2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applyNumberFormat="1" numFmtId="168" fontId="23" fillId="4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applyNumberFormat="1" numFmtId="168" fontId="22" fillId="4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applyNumberFormat="1" numFmtId="164" fontId="24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applyNumberFormat="1" numFmtId="165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applyNumberFormat="1" numFmtId="165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applyNumberFormat="1" numFmtId="166" fontId="26" fillId="6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applyNumberFormat="1" numFmtId="164" fontId="10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applyNumberFormat="1" numFmtId="164" fontId="27" fillId="3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applyNumberFormat="1" numFmtId="164" fontId="10" fillId="6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applyNumberFormat="1" numFmtId="164" fontId="2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applyNumberFormat="1"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applyNumberFormat="1"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applyNumberFormat="1" numFmtId="164" fontId="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applyNumberFormat="1" numFmtId="169" fontId="23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applyNumberFormat="1" numFmtId="164" fontId="3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applyNumberFormat="1" numFmtId="170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applyNumberFormat="1" numFmtId="164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applyNumberFormat="1" numFmtId="164" fontId="3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applyNumberFormat="1" numFmtId="171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applyNumberFormat="1" numFmtId="172" fontId="23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applyNumberFormat="1" numFmtId="173" fontId="23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applyNumberFormat="1" numFmtId="168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applyNumberFormat="1" numFmtId="164" fontId="23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applyNumberFormat="1" numFmtId="174" fontId="23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applyNumberFormat="1" numFmtId="168" fontId="23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applyNumberFormat="1" numFmtId="175" fontId="14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applyNumberFormat="1" numFmtId="174" fontId="2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applyNumberFormat="1" numFmtId="164" fontId="17" fillId="6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applyNumberFormat="1"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applyNumberFormat="1" numFmtId="164" fontId="7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applyNumberFormat="1" numFmtId="164" fontId="3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applyNumberFormat="1" numFmtId="164" fontId="7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applyNumberFormat="1" numFmtId="164" fontId="7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applyNumberFormat="1" numFmtId="164" fontId="7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applyNumberFormat="1" numFmtId="164" fontId="7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applyNumberFormat="1" numFmtId="164" fontId="7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applyNumberFormat="1" numFmtId="164" fontId="7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applyNumberFormat="1" numFmtId="164" fontId="7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applyNumberFormat="1" numFmtId="164" fontId="29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applyNumberFormat="1" numFmtId="164" fontId="29" fillId="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applyNumberFormat="1" numFmtId="164" fontId="29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applyNumberFormat="1" numFmtId="164" fontId="29" fillId="2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applyNumberFormat="1" numFmtId="164" fontId="29" fillId="2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applyNumberFormat="1" numFmtId="164" fontId="12" fillId="2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applyNumberFormat="1" numFmtId="164" fontId="32" fillId="2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applyNumberFormat="1" numFmtId="164" fontId="34" fillId="28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applyNumberFormat="1" numFmtId="164" fontId="11" fillId="2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applyNumberFormat="1" numFmtId="164" fontId="32" fillId="3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applyNumberFormat="1" numFmtId="164" fontId="34" fillId="5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applyNumberFormat="1" numFmtId="164" fontId="34" fillId="28" borderId="3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applyNumberFormat="1" numFmtId="164" fontId="34" fillId="5" borderId="3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applyNumberFormat="1" numFmtId="164" fontId="35" fillId="2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applyNumberFormat="1" numFmtId="164" fontId="34" fillId="28" borderId="4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applyNumberFormat="1" numFmtId="164" fontId="35" fillId="3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applyNumberFormat="1" numFmtId="164" fontId="34" fillId="5" borderId="4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applyNumberFormat="1" numFmtId="164" fontId="34" fillId="31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applyNumberFormat="1" numFmtId="164" fontId="34" fillId="31" borderId="3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applyNumberFormat="1" numFmtId="164" fontId="34" fillId="31" borderId="4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applyNumberFormat="1" numFmtId="164" fontId="36" fillId="2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applyNumberFormat="1" numFmtId="164" fontId="37" fillId="2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applyNumberFormat="1" numFmtId="164" fontId="38" fillId="2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applyNumberFormat="1" numFmtId="164" fontId="39" fillId="2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applyNumberFormat="1" numFmtId="164" fontId="40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applyNumberFormat="1" numFmtId="175" fontId="2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applyNumberFormat="1" numFmtId="164" fontId="7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applyNumberFormat="1" numFmtId="164" fontId="42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applyNumberFormat="1" numFmtId="165" fontId="23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applyNumberFormat="1" numFmtId="165" fontId="25" fillId="13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applyNumberFormat="1" numFmtId="165" fontId="43" fillId="32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applyNumberFormat="1" numFmtId="168" fontId="23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applyNumberFormat="1" numFmtId="168" fontId="25" fillId="13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applyNumberFormat="1" numFmtId="168" fontId="43" fillId="32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applyNumberFormat="1" numFmtId="168" fontId="43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applyNumberFormat="1" numFmtId="168" fontId="43" fillId="13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applyNumberFormat="1" numFmtId="176" fontId="43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applyNumberFormat="1" numFmtId="176" fontId="43" fillId="13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applyNumberFormat="1" numFmtId="176" fontId="43" fillId="32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applyNumberFormat="1" numFmtId="164" fontId="44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applyNumberFormat="1" numFmtId="164" fontId="45" fillId="6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applyNumberFormat="1" numFmtId="164" fontId="4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applyNumberFormat="1" numFmtId="164" fontId="4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applyNumberFormat="1" numFmtId="164" fontId="4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applyNumberFormat="1" numFmtId="164" fontId="3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applyNumberFormat="1" numFmtId="165" fontId="23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applyNumberFormat="1" numFmtId="172" fontId="23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applyNumberFormat="1" numFmtId="168" fontId="23" fillId="13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applyNumberFormat="1" numFmtId="168" fontId="48" fillId="13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applyNumberFormat="1" numFmtId="170" fontId="49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applyNumberFormat="1" numFmtId="170" fontId="4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applyNumberFormat="1"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applyNumberFormat="1" numFmtId="168" fontId="29" fillId="32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applyNumberFormat="1" numFmtId="164" fontId="50" fillId="3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applyNumberFormat="1" numFmtId="168" fontId="48" fillId="33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applyNumberFormat="1" numFmtId="165" fontId="29" fillId="32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applyNumberFormat="1" numFmtId="172" fontId="29" fillId="32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applyNumberFormat="1" numFmtId="168" fontId="48" fillId="32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applyNumberFormat="1" numFmtId="170" fontId="51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applyNumberFormat="1" numFmtId="166" fontId="52" fillId="33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applyNumberFormat="1"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applyNumberFormat="1" numFmtId="164" fontId="41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applyNumberFormat="1" numFmtId="164" fontId="2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applyNumberFormat="1" numFmtId="174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applyNumberFormat="1" numFmtId="164" fontId="53" fillId="3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applyNumberFormat="1" numFmtId="168" fontId="2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applyNumberFormat="1" numFmtId="164" fontId="23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applyNumberFormat="1" numFmtId="164" fontId="54" fillId="3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applyNumberFormat="1" numFmtId="164" fontId="30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applyNumberFormat="1"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applyNumberFormat="1" numFmtId="177" fontId="2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applyNumberFormat="1" numFmtId="164" fontId="42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applyNumberFormat="1" numFmtId="174" fontId="57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applyNumberFormat="1" numFmtId="164" fontId="10" fillId="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applyNumberFormat="1" numFmtId="168" fontId="57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applyNumberFormat="1" numFmtId="178" fontId="57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applyNumberFormat="1" numFmtId="164" fontId="29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applyNumberFormat="1" numFmtId="164" fontId="58" fillId="3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applyNumberFormat="1" numFmtId="164" fontId="59" fillId="3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ont>
        <name val="Arial"/>
        <charset val="1"/>
        <family val="0"/>
        <b val="1"/>
        <color rgb="FFB42318"/>
      </font>
      <fill>
        <patternFill>
          <bgColor rgb="FFFDE8E8"/>
        </patternFill>
      </fill>
    </dxf>
    <dxf>
      <fill>
        <patternFill patternType="solid">
          <fgColor rgb="FFD6E6DC"/>
          <bgColor rgb="FF000000"/>
        </patternFill>
      </fill>
    </dxf>
    <dxf>
      <fill>
        <patternFill patternType="solid">
          <fgColor rgb="FFF1F8F3"/>
          <bgColor rgb="FF000000"/>
        </patternFill>
      </fill>
    </dxf>
    <dxf>
      <fill>
        <patternFill patternType="solid">
          <fgColor rgb="FF123D27"/>
          <bgColor rgb="FF000000"/>
        </patternFill>
      </fill>
    </dxf>
    <dxf>
      <fill>
        <patternFill patternType="solid">
          <fgColor rgb="FF1F2D25"/>
          <bgColor rgb="FF000000"/>
        </patternFill>
      </fill>
    </dxf>
    <dxf>
      <fill>
        <patternFill patternType="solid">
          <fgColor rgb="FFBFE3C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1E7E3"/>
          <bgColor rgb="FF000000"/>
        </patternFill>
      </fill>
    </dxf>
    <dxf>
      <font>
        <name val="Arial"/>
        <charset val="1"/>
        <family val="0"/>
        <b val="1"/>
        <color rgb="FFB42318"/>
      </font>
      <fill>
        <patternFill>
          <bgColor rgb="FFF8D7DA"/>
        </patternFill>
      </fill>
    </dxf>
    <dxf>
      <font>
        <name val="Arial"/>
        <charset val="1"/>
        <family val="0"/>
        <strike val="1"/>
        <color rgb="FF5F5F5F"/>
      </font>
      <fill>
        <patternFill>
          <bgColor rgb="FFECECEC"/>
        </patternFill>
      </fill>
    </dxf>
    <dxf>
      <fill>
        <patternFill>
          <bgColor rgb="FFFFF6D9"/>
        </patternFill>
      </fill>
    </dxf>
    <dxf>
      <font>
        <name val="Arial"/>
        <charset val="1"/>
        <family val="0"/>
        <b val="1"/>
        <color rgb="FF7A5410"/>
      </font>
      <fill>
        <patternFill>
          <bgColor rgb="FFFFF1C2"/>
        </patternFill>
      </fill>
    </dxf>
    <dxf>
      <font>
        <name val="Arial"/>
        <charset val="1"/>
        <family val="0"/>
        <b val="1"/>
        <color rgb="FF14532D"/>
      </font>
      <fill>
        <patternFill>
          <bgColor rgb="FFCDEBD3"/>
        </patternFill>
      </fill>
    </dxf>
    <dxf>
      <font>
        <name val="Arial"/>
        <charset val="1"/>
        <family val="0"/>
        <color rgb="FF7A7A7A"/>
      </font>
      <fill>
        <patternFill>
          <bgColor rgb="FFECECEC"/>
        </patternFill>
      </fill>
    </dxf>
    <dxf>
      <fill>
        <patternFill>
          <bgColor rgb="FFF8D7DA"/>
        </patternFill>
      </fill>
    </dxf>
    <dxf>
      <fill>
        <patternFill>
          <bgColor rgb="FFFFF1C2"/>
        </patternFill>
      </fill>
    </dxf>
  </dxfs>
  <colors>
    <indexedColors>
      <rgbColor rgb="FF000000"/>
      <rgbColor rgb="FFFFFFFF"/>
      <rgbColor rgb="FFFFF3E0"/>
      <rgbColor rgb="FFE6F3EA"/>
      <rgbColor rgb="FF0000FF"/>
      <rgbColor rgb="FFFFF1C2"/>
      <rgbColor rgb="FFFDECEC"/>
      <rgbColor rgb="FFE0F0E8"/>
      <rgbColor rgb="FFFFF5F5"/>
      <rgbColor rgb="FF1E5B3A"/>
      <rgbColor rgb="FFFAFAFA"/>
      <rgbColor rgb="FF7A5410"/>
      <rgbColor rgb="FFEAF5EE"/>
      <rgbColor rgb="FFE8EDF6"/>
      <rgbColor rgb="FFA9D6B8"/>
      <rgbColor rgb="FF7A7A7A"/>
      <rgbColor rgb="FFCFE8D6"/>
      <rgbColor rgb="FF8C510C"/>
      <rgbColor rgb="FFFFF6D9"/>
      <rgbColor rgb="FFD6EEF2"/>
      <rgbColor rgb="FFF1F8F3"/>
      <rgbColor rgb="FFE6E6E6"/>
      <rgbColor rgb="FF1F57A7"/>
      <rgbColor rgb="FFD5DDE6"/>
      <rgbColor rgb="FFFFFAED"/>
      <rgbColor rgb="FFEEEEEE"/>
      <rgbColor rgb="FFFFECC6"/>
      <rgbColor rgb="FFE3F2E7"/>
      <rgbColor rgb="FFEDF7F0"/>
      <rgbColor rgb="FFF5FAF6"/>
      <rgbColor rgb="FFF0EDE0"/>
      <rgbColor rgb="FFF6FBF7"/>
      <rgbColor rgb="FFE3F1DC"/>
      <rgbColor rgb="FFDDEFF3"/>
      <rgbColor rgb="FFCDEBD3"/>
      <rgbColor rgb="FFFFF4C2"/>
      <rgbColor rgb="FFC2E2CA"/>
      <rgbColor rgb="FFF9E0E0"/>
      <rgbColor rgb="FFEDE3F6"/>
      <rgbColor rgb="FFF8D7DA"/>
      <rgbColor rgb="FFE6ECF5"/>
      <rgbColor rgb="FFE1E6EC"/>
      <rgbColor rgb="FFD6E6DC"/>
      <rgbColor rgb="FFF3E9DA"/>
      <rgbColor rgb="FFE1E7E3"/>
      <rgbColor rgb="FFF5E6EE"/>
      <rgbColor rgb="FF585858"/>
      <rgbColor rgb="FF8A9AA9"/>
      <rgbColor rgb="FF14532D"/>
      <rgbColor rgb="FF4E9A6B"/>
      <rgbColor rgb="FF123D27"/>
      <rgbColor rgb="FF2E4A3A"/>
      <rgbColor rgb="FFAE2218"/>
      <rgbColor rgb="FFECECEC"/>
      <rgbColor rgb="FF4A6355"/>
      <rgbColor rgb="FF1F2D2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FE8D6"/>
    <pageSetUpPr fitToPage="false"/>
  </sheetPr>
  <dimension ref="A1:J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0" min="1" style="0" width="12.5"/>
  </cols>
  <sheetData>
    <row r="1" customFormat="false" ht="27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1" hidden="false" customHeight="true" outlineLevel="0" collapsed="false">
      <c r="A2" s="2" t="str">
        <f aca="true">"오늘 운영에 필요한 예약 · 상담 · 취소 · 현금흐름만 확인합니다.   기준일 "&amp;TEXT(TODAY(),"yyyy-mm-dd")</f>
        <v>오늘 운영에 필요한 예약 · 상담 · 취소 · 현금흐름만 확인합니다.   기준일 2026-10-06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7.5" hidden="false" customHeight="true" outlineLevel="0" collapsed="false"/>
    <row r="4" customFormat="false" ht="19.5" hidden="false" customHeight="true" outlineLevel="0" collapsed="false">
      <c r="A4" s="3" t="s">
        <v>1</v>
      </c>
      <c r="B4" s="3"/>
      <c r="C4" s="3" t="s">
        <v>2</v>
      </c>
      <c r="D4" s="3"/>
      <c r="E4" s="3" t="s">
        <v>3</v>
      </c>
      <c r="F4" s="3"/>
      <c r="G4" s="3" t="s">
        <v>4</v>
      </c>
      <c r="H4" s="3"/>
      <c r="I4" s="3" t="s">
        <v>5</v>
      </c>
      <c r="J4" s="3"/>
    </row>
    <row r="5" customFormat="false" ht="30" hidden="false" customHeight="true" outlineLevel="0" collapsed="false">
      <c r="A5" s="4" t="n">
        <f aca="false">COUNTIFS(m_name,"&lt;&gt;",m_status,"결제완료")</f>
        <v>1</v>
      </c>
      <c r="B5" s="4"/>
      <c r="C5" s="4" t="n">
        <f aca="true">COUNTIFS(m_name,"&lt;&gt;",m_status,"결제완료",m_date,TODAY())</f>
        <v>0</v>
      </c>
      <c r="D5" s="4"/>
      <c r="E5" s="4" t="n">
        <f aca="false">COUNTIFS(m_name,"&lt;&gt;",m_status,"상담중")</f>
        <v>0</v>
      </c>
      <c r="F5" s="4"/>
      <c r="G5" s="5" t="n">
        <f aca="false">COUNTIFS(m_name,"&lt;&gt;",m_status,"취소")</f>
        <v>0</v>
      </c>
      <c r="H5" s="5"/>
      <c r="I5" s="6" t="n">
        <f aca="false">월별결산!H14</f>
        <v>85000</v>
      </c>
      <c r="J5" s="6"/>
    </row>
    <row r="6" customFormat="false" ht="18" hidden="false" customHeight="true" outlineLevel="0" collapsed="false">
      <c r="A6" s="7" t="s">
        <v>6</v>
      </c>
      <c r="B6" s="7"/>
      <c r="C6" s="7" t="str">
        <f aca="true">TEXT(TODAY(),"m/d")&amp;" 결제완료 강습"</f>
        <v>10/6 결제완료 강습</v>
      </c>
      <c r="D6" s="7"/>
      <c r="E6" s="7" t="str">
        <f aca="false">"입금 전 · 예상 "&amp;TEXT(SUMIFS(m_pay,m_name,"&lt;&gt;",m_status,"상담중"),"#,##0")&amp;"원"</f>
        <v>입금 전 · 예상 0원</v>
      </c>
      <c r="F6" s="7"/>
      <c r="G6" s="7" t="str">
        <f aca="false">"취소 금액 "&amp;TEXT(SUMIFS(m_pay,m_name,"&lt;&gt;",m_status,"취소"),"#,##0")&amp;"원"</f>
        <v>취소 금액 0원</v>
      </c>
      <c r="H6" s="7"/>
      <c r="I6" s="7" t="str">
        <f aca="false">"순익률 "&amp;TEXT(월별결산!H15,"0.0%")</f>
        <v>순익률 65.4%</v>
      </c>
      <c r="J6" s="7"/>
    </row>
    <row r="7" customFormat="false" ht="9" hidden="false" customHeight="true" outlineLevel="0" collapsed="false"/>
    <row r="8" customFormat="false" ht="15" hidden="false" customHeight="true" outlineLevel="0" collapsed="false">
      <c r="A8" s="8" t="s">
        <v>7</v>
      </c>
      <c r="B8" s="8"/>
      <c r="C8" s="8"/>
      <c r="D8" s="8"/>
      <c r="E8" s="8"/>
      <c r="F8" s="8"/>
      <c r="G8" s="9" t="s">
        <v>8</v>
      </c>
      <c r="H8" s="9"/>
      <c r="I8" s="9"/>
      <c r="J8" s="9"/>
    </row>
    <row r="9" customFormat="false" ht="21.75" hidden="false" customHeight="true" outlineLevel="0" collapsed="false">
      <c r="A9" s="10" t="s">
        <v>9</v>
      </c>
      <c r="B9" s="10"/>
      <c r="C9" s="11" t="n">
        <f aca="false">월별결산!H7</f>
        <v>130000</v>
      </c>
      <c r="D9" s="11"/>
      <c r="E9" s="12" t="s">
        <v>10</v>
      </c>
      <c r="F9" s="12"/>
      <c r="G9" s="13" t="s">
        <v>11</v>
      </c>
      <c r="H9" s="13"/>
      <c r="I9" s="13"/>
      <c r="J9" s="14" t="str">
        <f aca="false">IF(COUNTIF(m_conf,"충돌")=0,"없음",COUNTIF(m_conf,"충돌")&amp;"건")</f>
        <v>없음</v>
      </c>
    </row>
    <row r="10" customFormat="false" ht="21.75" hidden="false" customHeight="true" outlineLevel="0" collapsed="false">
      <c r="A10" s="10" t="s">
        <v>12</v>
      </c>
      <c r="B10" s="10"/>
      <c r="C10" s="11" t="n">
        <f aca="false">월별결산!H8</f>
        <v>45000</v>
      </c>
      <c r="D10" s="11"/>
      <c r="E10" s="12" t="s">
        <v>13</v>
      </c>
      <c r="F10" s="12"/>
      <c r="G10" s="13" t="s">
        <v>14</v>
      </c>
      <c r="H10" s="13"/>
      <c r="I10" s="13"/>
      <c r="J10" s="14" t="str">
        <f aca="false">IF(SUMPRODUCT((m_active=1)*(m_teacher=""))=0,"없음",SUMPRODUCT((m_active=1)*(m_teacher=""))&amp;"건")</f>
        <v>없음</v>
      </c>
    </row>
    <row r="11" customFormat="false" ht="21.75" hidden="false" customHeight="true" outlineLevel="0" collapsed="false">
      <c r="A11" s="10" t="s">
        <v>15</v>
      </c>
      <c r="B11" s="10"/>
      <c r="C11" s="11" t="n">
        <f aca="false">월별결산!H9</f>
        <v>0</v>
      </c>
      <c r="D11" s="11"/>
      <c r="E11" s="12" t="s">
        <v>16</v>
      </c>
      <c r="F11" s="12"/>
      <c r="G11" s="13" t="s">
        <v>17</v>
      </c>
      <c r="H11" s="13"/>
      <c r="I11" s="13"/>
      <c r="J11" s="14" t="str">
        <f aca="true">IF(SUMPRODUCT((m_name&lt;&gt;"")*(m_status="상담중")*(m_date&lt;&gt;"")*(m_date&lt;TODAY()))=0,"없음",SUMPRODUCT((m_name&lt;&gt;"")*(m_status="상담중")*(m_date&lt;&gt;"")*(m_date&lt;TODAY()))&amp;"건")</f>
        <v>없음</v>
      </c>
    </row>
    <row r="12" customFormat="false" ht="21.75" hidden="false" customHeight="true" outlineLevel="0" collapsed="false">
      <c r="A12" s="10" t="s">
        <v>18</v>
      </c>
      <c r="B12" s="10"/>
      <c r="C12" s="11" t="n">
        <f aca="false">월별결산!H11</f>
        <v>0</v>
      </c>
      <c r="D12" s="11"/>
      <c r="E12" s="12" t="s">
        <v>19</v>
      </c>
      <c r="F12" s="12"/>
      <c r="G12" s="13" t="s">
        <v>20</v>
      </c>
      <c r="H12" s="13"/>
      <c r="I12" s="13"/>
      <c r="J12" s="14" t="str">
        <f aca="false">IF(SUMPRODUCT((m_name&lt;&gt;"")*(m_status=""))=0,"없음",SUMPRODUCT((m_name&lt;&gt;"")*(m_status=""))&amp;"건")</f>
        <v>없음</v>
      </c>
    </row>
    <row r="13" customFormat="false" ht="21.75" hidden="false" customHeight="true" outlineLevel="0" collapsed="false">
      <c r="A13" s="10" t="s">
        <v>21</v>
      </c>
      <c r="B13" s="10"/>
      <c r="C13" s="11" t="n">
        <f aca="false">월별결산!H12</f>
        <v>0</v>
      </c>
      <c r="D13" s="11"/>
      <c r="E13" s="12" t="s">
        <v>22</v>
      </c>
      <c r="F13" s="12"/>
      <c r="G13" s="13" t="s">
        <v>23</v>
      </c>
      <c r="H13" s="13"/>
      <c r="I13" s="13"/>
      <c r="J13" s="14" t="str">
        <f aca="false">IF(SUMPRODUCT((m_graw&lt;&gt;"")*(m_date=""))+SUMPRODUCT((m_hraw&lt;&gt;"")*(m_start=""))+SUMPRODUCT((m_iraw&lt;&gt;"")*(m_end=""))+SUMPRODUCT((m_praw&lt;&gt;"")*(m_paydate=""))=0,"없음",SUMPRODUCT((m_graw&lt;&gt;"")*(m_date=""))+SUMPRODUCT((m_hraw&lt;&gt;"")*(m_start=""))+SUMPRODUCT((m_iraw&lt;&gt;"")*(m_end=""))+SUMPRODUCT((m_praw&lt;&gt;"")*(m_paydate=""))&amp;"건")</f>
        <v>없음</v>
      </c>
    </row>
    <row r="14" customFormat="false" ht="21.75" hidden="false" customHeight="true" outlineLevel="0" collapsed="false">
      <c r="A14" s="15" t="s">
        <v>24</v>
      </c>
      <c r="B14" s="15"/>
      <c r="C14" s="11" t="n">
        <f aca="false">월별결산!H13</f>
        <v>0</v>
      </c>
      <c r="D14" s="11"/>
      <c r="E14" s="12" t="s">
        <v>22</v>
      </c>
      <c r="F14" s="12"/>
      <c r="G14" s="13" t="s">
        <v>25</v>
      </c>
      <c r="H14" s="13"/>
      <c r="I14" s="13"/>
      <c r="J14" s="14" t="str">
        <f aca="false">IF(SUMPRODUCT((m_name&lt;&gt;"")*(m_status="결제완료")*(m_praw=""))=0,"없음",SUMPRODUCT((m_name&lt;&gt;"")*(m_status="결제완료")*(m_praw=""))&amp;"건")</f>
        <v>1건</v>
      </c>
    </row>
    <row r="15" customFormat="false" ht="21.75" hidden="false" customHeight="true" outlineLevel="0" collapsed="false">
      <c r="A15" s="16" t="s">
        <v>26</v>
      </c>
      <c r="B15" s="16"/>
      <c r="C15" s="17" t="n">
        <f aca="false">월별결산!H14</f>
        <v>85000</v>
      </c>
      <c r="D15" s="17"/>
      <c r="E15" s="18" t="s">
        <v>27</v>
      </c>
      <c r="F15" s="18"/>
      <c r="G15" s="13" t="s">
        <v>28</v>
      </c>
      <c r="H15" s="13"/>
      <c r="I15" s="13"/>
      <c r="J15" s="14" t="str">
        <f aca="true">IF(SUMIFS(m_fee,m_date,"&lt;"&amp;TODAY(),m_settle,0)=0,"없음",TEXT(SUMIFS(m_fee,m_date,"&lt;"&amp;TODAY(),m_settle,0),"#,##0")&amp;"원")</f>
        <v>없음</v>
      </c>
    </row>
    <row r="16" customFormat="false" ht="15" hidden="false" customHeight="true" outlineLevel="0" collapsed="false">
      <c r="A16" s="7" t="s">
        <v>29</v>
      </c>
      <c r="B16" s="7"/>
      <c r="C16" s="7"/>
      <c r="D16" s="7"/>
      <c r="E16" s="7"/>
      <c r="F16" s="7"/>
      <c r="G16" s="13" t="s">
        <v>30</v>
      </c>
      <c r="H16" s="13"/>
      <c r="I16" s="13"/>
      <c r="J16" s="14" t="str">
        <f aca="true">IF(SUMPRODUCT((m_name&lt;&gt;"")*(m_status="결제완료")*(m_date&lt;&gt;"")*(m_date&lt;TODAY())*(m_review=""))=0,"없음",SUMPRODUCT((m_name&lt;&gt;"")*(m_status="결제완료")*(m_date&lt;&gt;"")*(m_date&lt;TODAY())*(m_review=""))&amp;"건")</f>
        <v>없음</v>
      </c>
    </row>
    <row r="17" customFormat="false" ht="15" hidden="false" customHeight="true" outlineLevel="0" collapsed="false">
      <c r="A17" s="7"/>
      <c r="B17" s="7"/>
      <c r="C17" s="7"/>
      <c r="D17" s="7"/>
      <c r="E17" s="7"/>
      <c r="F17" s="7"/>
      <c r="G17" s="13" t="s">
        <v>31</v>
      </c>
      <c r="H17" s="13"/>
      <c r="I17" s="13"/>
      <c r="J17" s="14" t="str">
        <f aca="true">IF(SUMPRODUCT((m_retired=1)*(m_date&lt;&gt;"")*(m_date&gt;=TODAY()))=0,"없음",SUMPRODUCT((m_retired=1)*(m_date&lt;&gt;"")*(m_date&gt;=TODAY()))&amp;"건")</f>
        <v>없음</v>
      </c>
    </row>
    <row r="18" customFormat="false" ht="9" hidden="false" customHeight="true" outlineLevel="0" collapsed="false"/>
    <row r="19" customFormat="false" ht="15" hidden="false" customHeight="true" outlineLevel="0" collapsed="false">
      <c r="A19" s="8" t="s">
        <v>32</v>
      </c>
      <c r="B19" s="8"/>
      <c r="C19" s="8"/>
      <c r="D19" s="8"/>
      <c r="E19" s="8"/>
      <c r="F19" s="8"/>
      <c r="G19" s="8" t="s">
        <v>33</v>
      </c>
      <c r="H19" s="8"/>
      <c r="I19" s="8"/>
      <c r="J19" s="8"/>
    </row>
    <row r="20" customFormat="false" ht="19.5" hidden="false" customHeight="true" outlineLevel="0" collapsed="false">
      <c r="A20" s="3" t="s">
        <v>34</v>
      </c>
      <c r="B20" s="3"/>
      <c r="C20" s="3" t="s">
        <v>35</v>
      </c>
      <c r="D20" s="3" t="s">
        <v>36</v>
      </c>
      <c r="E20" s="3" t="s">
        <v>9</v>
      </c>
      <c r="F20" s="3"/>
      <c r="G20" s="3" t="s">
        <v>37</v>
      </c>
      <c r="H20" s="3" t="s">
        <v>38</v>
      </c>
      <c r="I20" s="3" t="s">
        <v>9</v>
      </c>
      <c r="J20" s="3" t="s">
        <v>5</v>
      </c>
    </row>
    <row r="21" customFormat="false" ht="19.5" hidden="false" customHeight="true" outlineLevel="0" collapsed="false">
      <c r="A21" s="19" t="str">
        <f aca="false">IF(설정!$C$4="","",설정!$C$4)</f>
        <v>스마트스토어</v>
      </c>
      <c r="B21" s="19"/>
      <c r="C21" s="20" t="n">
        <f aca="false">IF($A21="","",COUNTIFS(m_route,$A21,m_status,"결제완료",m_name,"&lt;&gt;"))</f>
        <v>0</v>
      </c>
      <c r="D21" s="21" t="n">
        <f aca="false">IF($A21="","",COUNTIFS(m_route,$A21,m_status,"상담중",m_name,"&lt;&gt;"))</f>
        <v>0</v>
      </c>
      <c r="E21" s="22" t="n">
        <f aca="false">IF($A21="","",SUMIFS(m_rev,m_route,$A21))</f>
        <v>0</v>
      </c>
      <c r="F21" s="22"/>
      <c r="G21" s="23" t="n">
        <f aca="false">월별결산!B3</f>
        <v>46327</v>
      </c>
      <c r="H21" s="20" t="n">
        <f aca="false">월별결산!B5</f>
        <v>0</v>
      </c>
      <c r="I21" s="24" t="n">
        <f aca="false">월별결산!B7</f>
        <v>0</v>
      </c>
      <c r="J21" s="25" t="n">
        <f aca="false">월별결산!B14</f>
        <v>0</v>
      </c>
    </row>
    <row r="22" customFormat="false" ht="19.5" hidden="false" customHeight="true" outlineLevel="0" collapsed="false">
      <c r="A22" s="19" t="str">
        <f aca="false">IF(설정!$C$5="","",설정!$C$5)</f>
        <v>홈페이지</v>
      </c>
      <c r="B22" s="19"/>
      <c r="C22" s="20" t="n">
        <f aca="false">IF($A22="","",COUNTIFS(m_route,$A22,m_status,"결제완료",m_name,"&lt;&gt;"))</f>
        <v>0</v>
      </c>
      <c r="D22" s="21" t="n">
        <f aca="false">IF($A22="","",COUNTIFS(m_route,$A22,m_status,"상담중",m_name,"&lt;&gt;"))</f>
        <v>0</v>
      </c>
      <c r="E22" s="22" t="n">
        <f aca="false">IF($A22="","",SUMIFS(m_rev,m_route,$A22))</f>
        <v>0</v>
      </c>
      <c r="F22" s="22"/>
      <c r="G22" s="23" t="n">
        <f aca="false">월별결산!C3</f>
        <v>46357</v>
      </c>
      <c r="H22" s="20" t="n">
        <f aca="false">월별결산!C5</f>
        <v>0</v>
      </c>
      <c r="I22" s="24" t="n">
        <f aca="false">월별결산!C7</f>
        <v>0</v>
      </c>
      <c r="J22" s="25" t="n">
        <f aca="false">월별결산!C14</f>
        <v>0</v>
      </c>
    </row>
    <row r="23" customFormat="false" ht="19.5" hidden="false" customHeight="true" outlineLevel="0" collapsed="false">
      <c r="A23" s="19" t="str">
        <f aca="false">IF(설정!$C$6="","",설정!$C$6)</f>
        <v>오픈채팅</v>
      </c>
      <c r="B23" s="19"/>
      <c r="C23" s="20" t="n">
        <f aca="false">IF($A23="","",COUNTIFS(m_route,$A23,m_status,"결제완료",m_name,"&lt;&gt;"))</f>
        <v>0</v>
      </c>
      <c r="D23" s="21" t="n">
        <f aca="false">IF($A23="","",COUNTIFS(m_route,$A23,m_status,"상담중",m_name,"&lt;&gt;"))</f>
        <v>0</v>
      </c>
      <c r="E23" s="22" t="n">
        <f aca="false">IF($A23="","",SUMIFS(m_rev,m_route,$A23))</f>
        <v>0</v>
      </c>
      <c r="F23" s="22"/>
      <c r="G23" s="23" t="n">
        <f aca="false">월별결산!D3</f>
        <v>46388</v>
      </c>
      <c r="H23" s="20" t="n">
        <f aca="false">월별결산!D5</f>
        <v>1</v>
      </c>
      <c r="I23" s="24" t="n">
        <f aca="false">월별결산!D7</f>
        <v>130000</v>
      </c>
      <c r="J23" s="25" t="n">
        <f aca="false">월별결산!D14</f>
        <v>85000</v>
      </c>
    </row>
    <row r="24" customFormat="false" ht="19.5" hidden="false" customHeight="true" outlineLevel="0" collapsed="false">
      <c r="A24" s="19" t="str">
        <f aca="false">IF(설정!$C$7="","",설정!$C$7)</f>
        <v>당근</v>
      </c>
      <c r="B24" s="19"/>
      <c r="C24" s="20" t="n">
        <f aca="false">IF($A24="","",COUNTIFS(m_route,$A24,m_status,"결제완료",m_name,"&lt;&gt;"))</f>
        <v>0</v>
      </c>
      <c r="D24" s="21" t="n">
        <f aca="false">IF($A24="","",COUNTIFS(m_route,$A24,m_status,"상담중",m_name,"&lt;&gt;"))</f>
        <v>0</v>
      </c>
      <c r="E24" s="22" t="n">
        <f aca="false">IF($A24="","",SUMIFS(m_rev,m_route,$A24))</f>
        <v>0</v>
      </c>
      <c r="F24" s="22"/>
      <c r="G24" s="23" t="n">
        <f aca="false">월별결산!E3</f>
        <v>46419</v>
      </c>
      <c r="H24" s="20" t="n">
        <f aca="false">월별결산!E5</f>
        <v>0</v>
      </c>
      <c r="I24" s="24" t="n">
        <f aca="false">월별결산!E7</f>
        <v>0</v>
      </c>
      <c r="J24" s="25" t="n">
        <f aca="false">월별결산!E14</f>
        <v>0</v>
      </c>
    </row>
    <row r="25" customFormat="false" ht="19.5" hidden="false" customHeight="true" outlineLevel="0" collapsed="false">
      <c r="A25" s="19" t="str">
        <f aca="false">IF(설정!$C$8="","",설정!$C$8)</f>
        <v>블로그</v>
      </c>
      <c r="B25" s="19"/>
      <c r="C25" s="20" t="n">
        <f aca="false">IF($A25="","",COUNTIFS(m_route,$A25,m_status,"결제완료",m_name,"&lt;&gt;"))</f>
        <v>0</v>
      </c>
      <c r="D25" s="21" t="n">
        <f aca="false">IF($A25="","",COUNTIFS(m_route,$A25,m_status,"상담중",m_name,"&lt;&gt;"))</f>
        <v>0</v>
      </c>
      <c r="E25" s="22" t="n">
        <f aca="false">IF($A25="","",SUMIFS(m_rev,m_route,$A25))</f>
        <v>0</v>
      </c>
      <c r="F25" s="22"/>
      <c r="G25" s="23" t="n">
        <f aca="false">월별결산!F3</f>
        <v>46447</v>
      </c>
      <c r="H25" s="20" t="n">
        <f aca="false">월별결산!F5</f>
        <v>0</v>
      </c>
      <c r="I25" s="24" t="n">
        <f aca="false">월별결산!F7</f>
        <v>0</v>
      </c>
      <c r="J25" s="25" t="n">
        <f aca="false">월별결산!F14</f>
        <v>0</v>
      </c>
    </row>
    <row r="26" customFormat="false" ht="19.5" hidden="false" customHeight="true" outlineLevel="0" collapsed="false">
      <c r="A26" s="19" t="str">
        <f aca="false">IF(설정!$C$9="","",설정!$C$9)</f>
        <v>인스타</v>
      </c>
      <c r="B26" s="19"/>
      <c r="C26" s="20" t="n">
        <f aca="false">IF($A26="","",COUNTIFS(m_route,$A26,m_status,"결제완료",m_name,"&lt;&gt;"))</f>
        <v>0</v>
      </c>
      <c r="D26" s="21" t="n">
        <f aca="false">IF($A26="","",COUNTIFS(m_route,$A26,m_status,"상담중",m_name,"&lt;&gt;"))</f>
        <v>0</v>
      </c>
      <c r="E26" s="22" t="n">
        <f aca="false">IF($A26="","",SUMIFS(m_rev,m_route,$A26))</f>
        <v>0</v>
      </c>
      <c r="F26" s="22"/>
      <c r="G26" s="26" t="s">
        <v>39</v>
      </c>
      <c r="H26" s="27" t="n">
        <f aca="false">월별결산!G5</f>
        <v>0</v>
      </c>
      <c r="I26" s="28" t="n">
        <f aca="false">월별결산!G7</f>
        <v>0</v>
      </c>
      <c r="J26" s="29" t="n">
        <f aca="false">월별결산!G14</f>
        <v>0</v>
      </c>
    </row>
    <row r="27" customFormat="false" ht="19.5" hidden="false" customHeight="true" outlineLevel="0" collapsed="false">
      <c r="A27" s="19" t="str">
        <f aca="false">IF(설정!$C$10="","",설정!$C$10)</f>
        <v>맘카페</v>
      </c>
      <c r="B27" s="19"/>
      <c r="C27" s="20" t="n">
        <f aca="false">IF($A27="","",COUNTIFS(m_route,$A27,m_status,"결제완료",m_name,"&lt;&gt;"))</f>
        <v>0</v>
      </c>
      <c r="D27" s="21" t="n">
        <f aca="false">IF($A27="","",COUNTIFS(m_route,$A27,m_status,"상담중",m_name,"&lt;&gt;"))</f>
        <v>0</v>
      </c>
      <c r="E27" s="22" t="n">
        <f aca="false">IF($A27="","",SUMIFS(m_rev,m_route,$A27))</f>
        <v>0</v>
      </c>
      <c r="F27" s="22"/>
      <c r="G27" s="30" t="s">
        <v>40</v>
      </c>
      <c r="H27" s="31" t="n">
        <f aca="false">월별결산!H5</f>
        <v>1</v>
      </c>
      <c r="I27" s="32" t="n">
        <f aca="false">월별결산!H7</f>
        <v>130000</v>
      </c>
      <c r="J27" s="33" t="n">
        <f aca="false">월별결산!H14</f>
        <v>85000</v>
      </c>
    </row>
    <row r="28" customFormat="false" ht="19.5" hidden="false" customHeight="true" outlineLevel="0" collapsed="false">
      <c r="A28" s="19" t="str">
        <f aca="false">IF(설정!$C$11="","",설정!$C$11)</f>
        <v>소개</v>
      </c>
      <c r="B28" s="19"/>
      <c r="C28" s="20" t="n">
        <f aca="false">IF($A28="","",COUNTIFS(m_route,$A28,m_status,"결제완료",m_name,"&lt;&gt;"))</f>
        <v>0</v>
      </c>
      <c r="D28" s="21" t="n">
        <f aca="false">IF($A28="","",COUNTIFS(m_route,$A28,m_status,"상담중",m_name,"&lt;&gt;"))</f>
        <v>0</v>
      </c>
      <c r="E28" s="22" t="n">
        <f aca="false">IF($A28="","",SUMIFS(m_rev,m_route,$A28))</f>
        <v>0</v>
      </c>
      <c r="F28" s="22"/>
    </row>
    <row r="29" customFormat="false" ht="19.5" hidden="false" customHeight="true" outlineLevel="0" collapsed="false">
      <c r="A29" s="19" t="str">
        <f aca="false">IF(설정!$C$12="","",설정!$C$12)</f>
        <v>재방문</v>
      </c>
      <c r="B29" s="19"/>
      <c r="C29" s="20" t="n">
        <f aca="false">IF($A29="","",COUNTIFS(m_route,$A29,m_status,"결제완료",m_name,"&lt;&gt;"))</f>
        <v>0</v>
      </c>
      <c r="D29" s="21" t="n">
        <f aca="false">IF($A29="","",COUNTIFS(m_route,$A29,m_status,"상담중",m_name,"&lt;&gt;"))</f>
        <v>0</v>
      </c>
      <c r="E29" s="22" t="n">
        <f aca="false">IF($A29="","",SUMIFS(m_rev,m_route,$A29))</f>
        <v>0</v>
      </c>
      <c r="F29" s="22"/>
    </row>
    <row r="30" customFormat="false" ht="19.5" hidden="false" customHeight="true" outlineLevel="0" collapsed="false">
      <c r="A30" s="19" t="str">
        <f aca="false">IF(설정!$C$13="","",설정!$C$13)</f>
        <v>기타</v>
      </c>
      <c r="B30" s="19"/>
      <c r="C30" s="20" t="n">
        <f aca="false">IF($A30="","",COUNTIFS(m_route,$A30,m_status,"결제완료",m_name,"&lt;&gt;"))</f>
        <v>0</v>
      </c>
      <c r="D30" s="21" t="n">
        <f aca="false">IF($A30="","",COUNTIFS(m_route,$A30,m_status,"상담중",m_name,"&lt;&gt;"))</f>
        <v>0</v>
      </c>
      <c r="E30" s="22" t="n">
        <f aca="false">IF($A30="","",SUMIFS(m_rev,m_route,$A30))</f>
        <v>0</v>
      </c>
      <c r="F30" s="22"/>
    </row>
    <row r="31" customFormat="false" ht="19.5" hidden="false" customHeight="true" outlineLevel="0" collapsed="false">
      <c r="A31" s="19" t="str">
        <f aca="false">IF(설정!$C$14="","",설정!$C$14)</f>
        <v/>
      </c>
      <c r="B31" s="19"/>
      <c r="C31" s="20" t="str">
        <f aca="false">IF($A31="","",COUNTIFS(m_route,$A31,m_status,"결제완료",m_name,"&lt;&gt;"))</f>
        <v/>
      </c>
      <c r="D31" s="21" t="str">
        <f aca="false">IF($A31="","",COUNTIFS(m_route,$A31,m_status,"상담중",m_name,"&lt;&gt;"))</f>
        <v/>
      </c>
      <c r="E31" s="22" t="str">
        <f aca="false">IF($A31="","",SUMIFS(m_rev,m_route,$A31))</f>
        <v/>
      </c>
      <c r="F31" s="22"/>
    </row>
    <row r="32" customFormat="false" ht="19.5" hidden="false" customHeight="true" outlineLevel="0" collapsed="false">
      <c r="A32" s="19" t="str">
        <f aca="false">IF(설정!$C$15="","",설정!$C$15)</f>
        <v/>
      </c>
      <c r="B32" s="19"/>
      <c r="C32" s="20" t="str">
        <f aca="false">IF($A32="","",COUNTIFS(m_route,$A32,m_status,"결제완료",m_name,"&lt;&gt;"))</f>
        <v/>
      </c>
      <c r="D32" s="21" t="str">
        <f aca="false">IF($A32="","",COUNTIFS(m_route,$A32,m_status,"상담중",m_name,"&lt;&gt;"))</f>
        <v/>
      </c>
      <c r="E32" s="22" t="str">
        <f aca="false">IF($A32="","",SUMIFS(m_rev,m_route,$A32))</f>
        <v/>
      </c>
      <c r="F32" s="22"/>
    </row>
    <row r="33" customFormat="false" ht="19.5" hidden="false" customHeight="true" outlineLevel="0" collapsed="false">
      <c r="A33" s="34" t="s">
        <v>41</v>
      </c>
      <c r="B33" s="34"/>
      <c r="C33" s="35" t="n">
        <f aca="false">COUNTIFS(m_name,"&lt;&gt;",m_status,"결제완료")-SUM(C21:C32)</f>
        <v>1</v>
      </c>
      <c r="D33" s="36" t="n">
        <f aca="false">COUNTIFS(m_name,"&lt;&gt;",m_status,"상담중")-SUM(D21:D32)</f>
        <v>0</v>
      </c>
      <c r="E33" s="37" t="n">
        <f aca="false">SUM(m_rev)-SUM(E21:E32)</f>
        <v>130000</v>
      </c>
      <c r="F33" s="37"/>
    </row>
    <row r="34" customFormat="false" ht="9" hidden="false" customHeight="true" outlineLevel="0" collapsed="false"/>
    <row r="35" customFormat="false" ht="15" hidden="false" customHeight="true" outlineLevel="0" collapsed="false">
      <c r="A35" s="38" t="s">
        <v>42</v>
      </c>
      <c r="B35" s="38"/>
      <c r="C35" s="38"/>
      <c r="D35" s="38"/>
      <c r="E35" s="38"/>
      <c r="F35" s="38"/>
      <c r="G35" s="38"/>
      <c r="H35" s="38"/>
      <c r="I35" s="38"/>
      <c r="J35" s="38"/>
    </row>
  </sheetData>
  <mergeCells count="81">
    <mergeCell ref="A1:J1"/>
    <mergeCell ref="A2:J2"/>
    <mergeCell ref="A4:B4"/>
    <mergeCell ref="C4:D4"/>
    <mergeCell ref="E4:F4"/>
    <mergeCell ref="G4:H4"/>
    <mergeCell ref="I4:J4"/>
    <mergeCell ref="A5:B5"/>
    <mergeCell ref="C5:D5"/>
    <mergeCell ref="E5:F5"/>
    <mergeCell ref="G5:H5"/>
    <mergeCell ref="I5:J5"/>
    <mergeCell ref="A6:B6"/>
    <mergeCell ref="C6:D6"/>
    <mergeCell ref="E6:F6"/>
    <mergeCell ref="G6:H6"/>
    <mergeCell ref="I6:J6"/>
    <mergeCell ref="A8:F8"/>
    <mergeCell ref="G8:J8"/>
    <mergeCell ref="A9:B9"/>
    <mergeCell ref="C9:D9"/>
    <mergeCell ref="E9:F9"/>
    <mergeCell ref="G9:I9"/>
    <mergeCell ref="A10:B10"/>
    <mergeCell ref="C10:D10"/>
    <mergeCell ref="E10:F10"/>
    <mergeCell ref="G10:I10"/>
    <mergeCell ref="A11:B11"/>
    <mergeCell ref="C11:D11"/>
    <mergeCell ref="E11:F11"/>
    <mergeCell ref="G11:I11"/>
    <mergeCell ref="A12:B12"/>
    <mergeCell ref="C12:D12"/>
    <mergeCell ref="E12:F12"/>
    <mergeCell ref="G12:I12"/>
    <mergeCell ref="A13:B13"/>
    <mergeCell ref="C13:D13"/>
    <mergeCell ref="E13:F13"/>
    <mergeCell ref="G13:I13"/>
    <mergeCell ref="A14:B14"/>
    <mergeCell ref="C14:D14"/>
    <mergeCell ref="E14:F14"/>
    <mergeCell ref="G14:I14"/>
    <mergeCell ref="A15:B15"/>
    <mergeCell ref="C15:D15"/>
    <mergeCell ref="E15:F15"/>
    <mergeCell ref="G15:I15"/>
    <mergeCell ref="A16:F17"/>
    <mergeCell ref="G16:I16"/>
    <mergeCell ref="G17:I17"/>
    <mergeCell ref="A19:F19"/>
    <mergeCell ref="G19:J19"/>
    <mergeCell ref="A20:B20"/>
    <mergeCell ref="E20:F20"/>
    <mergeCell ref="A21:B21"/>
    <mergeCell ref="E21:F21"/>
    <mergeCell ref="A22:B22"/>
    <mergeCell ref="E22:F22"/>
    <mergeCell ref="A23:B23"/>
    <mergeCell ref="E23:F23"/>
    <mergeCell ref="A24:B24"/>
    <mergeCell ref="E24:F24"/>
    <mergeCell ref="A25:B25"/>
    <mergeCell ref="E25:F25"/>
    <mergeCell ref="A26:B26"/>
    <mergeCell ref="E26:F26"/>
    <mergeCell ref="A27:B27"/>
    <mergeCell ref="E27:F27"/>
    <mergeCell ref="A28:B28"/>
    <mergeCell ref="E28:F28"/>
    <mergeCell ref="A29:B29"/>
    <mergeCell ref="E29:F29"/>
    <mergeCell ref="A30:B30"/>
    <mergeCell ref="E30:F30"/>
    <mergeCell ref="A31:B31"/>
    <mergeCell ref="E31:F31"/>
    <mergeCell ref="A32:B32"/>
    <mergeCell ref="E32:F32"/>
    <mergeCell ref="A33:B33"/>
    <mergeCell ref="E33:F33"/>
    <mergeCell ref="A35:J35"/>
  </mergeCells>
  <conditionalFormatting sqref="J9:J17">
    <cfRule type="expression" priority="2" aboveAverage="0" equalAverage="0" bottom="0" percent="0" rank="0" text="" dxfId="0">
      <formula>AND($J9&lt;&gt;"없음",$J9&lt;&gt;"")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D6B8"/>
    <pageSetUpPr fitToPage="false"/>
  </sheetPr>
  <dimension ref="A1:AJ1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24"/>
    <col collapsed="false" customWidth="true" hidden="false" outlineLevel="0" max="7" min="7" style="0" width="12"/>
    <col collapsed="false" customWidth="true" hidden="false" outlineLevel="0" max="10" min="8" style="0" width="8"/>
    <col collapsed="false" customWidth="true" hidden="false" outlineLevel="0" max="12" min="11" style="0" width="6"/>
    <col collapsed="false" customWidth="true" hidden="false" outlineLevel="0" max="13" min="13" style="0" width="10"/>
    <col collapsed="false" customWidth="true" hidden="false" outlineLevel="0" max="15" min="14" style="0" width="11"/>
    <col collapsed="false" customWidth="true" hidden="false" outlineLevel="0" max="16" min="16" style="0" width="12"/>
    <col collapsed="false" customWidth="true" hidden="false" outlineLevel="0" max="17" min="17" style="0" width="11"/>
    <col collapsed="false" customWidth="true" hidden="false" outlineLevel="0" max="18" min="18" style="0" width="26"/>
    <col collapsed="false" customWidth="true" hidden="false" outlineLevel="0" max="20" min="19" style="0" width="9"/>
    <col collapsed="false" customWidth="true" hidden="true" outlineLevel="0" max="21" min="21" style="0" width="11"/>
    <col collapsed="false" customWidth="true" hidden="true" outlineLevel="0" max="23" min="22" style="0" width="8"/>
    <col collapsed="false" customWidth="true" hidden="true" outlineLevel="0" max="24" min="24" style="0" width="11"/>
    <col collapsed="false" customWidth="true" hidden="true" outlineLevel="0" max="25" min="25" style="0" width="9"/>
    <col collapsed="false" customWidth="true" hidden="true" outlineLevel="0" max="27" min="26" style="0" width="10"/>
    <col collapsed="false" customWidth="true" hidden="true" outlineLevel="0" max="28" min="28" style="0" width="14"/>
    <col collapsed="false" customWidth="true" hidden="true" outlineLevel="0" max="29" min="29" style="0" width="6"/>
    <col collapsed="false" customWidth="true" hidden="true" outlineLevel="0" max="30" min="30" style="0" width="8"/>
    <col collapsed="false" customWidth="true" hidden="false" outlineLevel="0" max="31" min="31" style="0" width="10"/>
    <col collapsed="false" customWidth="true" hidden="true" outlineLevel="0" max="32" min="32" style="0" width="9"/>
    <col collapsed="false" customWidth="true" hidden="true" outlineLevel="0" max="33" min="33" style="0" width="14"/>
    <col collapsed="false" customWidth="true" hidden="true" outlineLevel="0" max="34" min="34" style="0" width="10"/>
    <col collapsed="false" customWidth="true" hidden="true" outlineLevel="0" max="36" min="35" style="0" width="6"/>
  </cols>
  <sheetData>
    <row r="1" customFormat="false" ht="27" hidden="false" customHeight="true" outlineLevel="0" collapsed="false">
      <c r="A1" s="1" t="s">
        <v>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30" hidden="false" customHeight="true" outlineLevel="0" collapsed="false">
      <c r="A2" s="39" t="s">
        <v>44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</row>
    <row r="3" customFormat="false" ht="30" hidden="false" customHeight="true" outlineLevel="0" collapsed="false">
      <c r="A3" s="40" t="s">
        <v>45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</row>
    <row r="4" customFormat="false" ht="33.75" hidden="false" customHeight="true" outlineLevel="0" collapsed="false">
      <c r="A4" s="41" t="s">
        <v>46</v>
      </c>
      <c r="B4" s="42" t="s">
        <v>47</v>
      </c>
      <c r="C4" s="42" t="s">
        <v>48</v>
      </c>
      <c r="D4" s="42" t="s">
        <v>49</v>
      </c>
      <c r="E4" s="42" t="s">
        <v>50</v>
      </c>
      <c r="F4" s="42" t="s">
        <v>51</v>
      </c>
      <c r="G4" s="42" t="s">
        <v>52</v>
      </c>
      <c r="H4" s="42" t="s">
        <v>53</v>
      </c>
      <c r="I4" s="42" t="s">
        <v>54</v>
      </c>
      <c r="J4" s="43" t="s">
        <v>55</v>
      </c>
      <c r="K4" s="43" t="s">
        <v>56</v>
      </c>
      <c r="L4" s="43" t="s">
        <v>57</v>
      </c>
      <c r="M4" s="42" t="s">
        <v>58</v>
      </c>
      <c r="N4" s="42" t="s">
        <v>59</v>
      </c>
      <c r="O4" s="42" t="s">
        <v>60</v>
      </c>
      <c r="P4" s="42" t="s">
        <v>61</v>
      </c>
      <c r="Q4" s="42" t="s">
        <v>34</v>
      </c>
      <c r="R4" s="42" t="s">
        <v>62</v>
      </c>
      <c r="S4" s="43" t="s">
        <v>63</v>
      </c>
      <c r="T4" s="42" t="s">
        <v>64</v>
      </c>
      <c r="U4" s="44" t="s">
        <v>65</v>
      </c>
      <c r="V4" s="44" t="s">
        <v>66</v>
      </c>
      <c r="W4" s="44" t="s">
        <v>67</v>
      </c>
      <c r="X4" s="44" t="s">
        <v>68</v>
      </c>
      <c r="Y4" s="44" t="s">
        <v>69</v>
      </c>
      <c r="Z4" s="44" t="s">
        <v>70</v>
      </c>
      <c r="AA4" s="44" t="s">
        <v>9</v>
      </c>
      <c r="AB4" s="44" t="s">
        <v>71</v>
      </c>
      <c r="AC4" s="44" t="s">
        <v>72</v>
      </c>
      <c r="AD4" s="44" t="s">
        <v>73</v>
      </c>
      <c r="AE4" s="42" t="s">
        <v>74</v>
      </c>
      <c r="AF4" s="44" t="s">
        <v>75</v>
      </c>
      <c r="AG4" s="44" t="s">
        <v>76</v>
      </c>
      <c r="AH4" s="44" t="s">
        <v>77</v>
      </c>
      <c r="AI4" s="44" t="s">
        <v>78</v>
      </c>
      <c r="AJ4" s="44" t="s">
        <v>79</v>
      </c>
    </row>
    <row r="5" customFormat="false" ht="15" hidden="false" customHeight="false" outlineLevel="0" collapsed="false">
      <c r="A5" s="45" t="n">
        <f aca="false">IF($D5="","",COUNTA($D$5:$D5))</f>
        <v>1</v>
      </c>
      <c r="B5" s="46" t="s">
        <v>35</v>
      </c>
      <c r="C5" s="47"/>
      <c r="D5" s="46" t="s">
        <v>80</v>
      </c>
      <c r="E5" s="48" t="s">
        <v>81</v>
      </c>
      <c r="F5" s="49" t="s">
        <v>82</v>
      </c>
      <c r="G5" s="47" t="n">
        <v>46393</v>
      </c>
      <c r="H5" s="50" t="n">
        <v>0.416666666666667</v>
      </c>
      <c r="I5" s="50" t="n">
        <v>0.5</v>
      </c>
      <c r="J5" s="51" t="n">
        <f aca="false">IF(OR($V5="",$W5=""),"",ROUND(($W5-$V5)/60,2))</f>
        <v>2</v>
      </c>
      <c r="K5" s="52" t="n">
        <f aca="false">IF($F5="","",LEN($F5)-LEN(SUBSTITUTE($F5,",",""))+1)</f>
        <v>2</v>
      </c>
      <c r="L5" s="45" t="str">
        <f aca="false">IF($K5="","","1:"&amp;$K5)</f>
        <v>1:2</v>
      </c>
      <c r="M5" s="46" t="s">
        <v>83</v>
      </c>
      <c r="N5" s="53" t="n">
        <v>130000</v>
      </c>
      <c r="O5" s="46" t="s">
        <v>84</v>
      </c>
      <c r="P5" s="47"/>
      <c r="Q5" s="48"/>
      <c r="R5" s="49"/>
      <c r="S5" s="54" t="str">
        <f aca="false">IF(OR($AC5=0,$U5="",$M5="",$V5="",$W5=""),"",IF(COUNTIFS(m_teacher,$M5,m_date,$U5,m_active,1,m_start,"&lt;"&amp;$W5,m_end,"&gt;"&amp;$V5)&gt;1,"충돌",""))</f>
        <v/>
      </c>
      <c r="T5" s="48"/>
      <c r="U5" s="55" t="n">
        <f aca="false">IF($G5="","",IFERROR(IF(ISNUMBER($G5),IF($G5&gt;19000000,DATE(INT($G5/10000),MOD(INT($G5/100),100),MOD($G5,100)),INT($G5)),IF(LEN(SUBSTITUTE(SUBSTITUTE(SUBSTITUTE(TRIM($G5),"-",""),".",""),"/",""))=8,DATE(VALUE(LEFT(SUBSTITUTE(SUBSTITUTE(SUBSTITUTE(TRIM($G5),"-",""),".",""),"/",""),4)),VALUE(MID(SUBSTITUTE(SUBSTITUTE(SUBSTITUTE(TRIM($G5),"-",""),".",""),"/",""),5,2)),VALUE(RIGHT(SUBSTITUTE(SUBSTITUTE(SUBSTITUTE(TRIM($G5),"-",""),".",""),"/",""),2))),DATEVALUE($G5))),""))</f>
        <v>46393</v>
      </c>
      <c r="V5" s="52" t="n">
        <f aca="false">IF($H5="","",IFERROR(IF(IF(ISNUMBER($H5),$H5,IFERROR(TIMEVALUE($H5),VALUE($H5)))&gt;=100,INT(IF(ISNUMBER($H5),$H5,IFERROR(TIMEVALUE($H5),VALUE($H5)))/100)*60+MOD(IF(ISNUMBER($H5),$H5,IFERROR(TIMEVALUE($H5),VALUE($H5))),100),IF(IF(ISNUMBER($H5),$H5,IFERROR(TIMEVALUE($H5),VALUE($H5)))&gt;=1,ROUND(IF(ISNUMBER($H5),$H5,IFERROR(TIMEVALUE($H5),VALUE($H5)))*60,0),ROUND(MOD(IF(ISNUMBER($H5),$H5,IFERROR(TIMEVALUE($H5),VALUE($H5))),1)*1440,0))),""))</f>
        <v>600</v>
      </c>
      <c r="W5" s="52" t="n">
        <f aca="false">IF($I5="","",IFERROR(IF(IF(ISNUMBER($I5),$I5,IFERROR(TIMEVALUE($I5),VALUE($I5)))&gt;=100,INT(IF(ISNUMBER($I5),$I5,IFERROR(TIMEVALUE($I5),VALUE($I5)))/100)*60+MOD(IF(ISNUMBER($I5),$I5,IFERROR(TIMEVALUE($I5),VALUE($I5))),100),IF(IF(ISNUMBER($I5),$I5,IFERROR(TIMEVALUE($I5),VALUE($I5)))&gt;=1,ROUND(IF(ISNUMBER($I5),$I5,IFERROR(TIMEVALUE($I5),VALUE($I5)))*60,0),ROUND(MOD(IF(ISNUMBER($I5),$I5,IFERROR(TIMEVALUE($I5),VALUE($I5))),1)*1440,0))),""))</f>
        <v>720</v>
      </c>
      <c r="X5" s="55" t="str">
        <f aca="false">IF($P5="","",IFERROR(IF(ISNUMBER($P5),IF($P5&gt;19000000,DATE(INT($P5/10000),MOD(INT($P5/100),100),MOD($P5,100)),INT($P5)),IF(LEN(SUBSTITUTE(SUBSTITUTE(SUBSTITUTE(TRIM($P5),"-",""),".",""),"/",""))=8,DATE(VALUE(LEFT(SUBSTITUTE(SUBSTITUTE(SUBSTITUTE(TRIM($P5),"-",""),".",""),"/",""),4)),VALUE(MID(SUBSTITUTE(SUBSTITUTE(SUBSTITUTE(TRIM($P5),"-",""),".",""),"/",""),5,2)),VALUE(RIGHT(SUBSTITUTE(SUBSTITUTE(SUBSTITUTE(TRIM($P5),"-",""),".",""),"/",""),2))),DATEVALUE($P5))),""))</f>
        <v/>
      </c>
      <c r="Y5" s="56" t="n">
        <f aca="false">IF($M5="","",IFERROR(INDEX(강사DB!$D$4:$D$53,MATCH($M5,강사DB!$A$4:$A$53,0)),""))</f>
        <v>20000</v>
      </c>
      <c r="Z5" s="56" t="n">
        <f aca="false">IF($B5&lt;&gt;"결제완료","",IF(OR($Y5="",$J5=""),"",$Y5*$J5+MAX(0,N($K5)-1)*설정!$J$7))</f>
        <v>45000</v>
      </c>
      <c r="AA5" s="56" t="n">
        <f aca="false">IF(AND($D5&lt;&gt;"",$B5="결제완료"),N($N5),"")</f>
        <v>130000</v>
      </c>
      <c r="AB5" s="45" t="str">
        <f aca="false">IF($D5="","",IF($F5&lt;&gt;"",$F5,$D5)&amp;IF($B5="상담중"," (상담)",""))</f>
        <v>김태준(10), 김명국(12)</v>
      </c>
      <c r="AC5" s="45" t="n">
        <f aca="false">IF(AND($D5&lt;&gt;"",OR($B5="결제완료",$B5="상담중")),1,0)</f>
        <v>1</v>
      </c>
      <c r="AD5" s="45" t="n">
        <f aca="false">IF(OR($Z5="",$U5=""),0,IFERROR(IF(COUNTIFS(INDEX(g_grid,0,2*MATCH($M5,강사DB!$A$4:$A$15,0)),"&lt;&gt;",g_s,"&lt;="&amp;$U5,g_e,"&gt;="&amp;$U5)&gt;0,1,0),0))</f>
        <v>0</v>
      </c>
      <c r="AE5" s="48"/>
      <c r="AF5" s="56" t="str">
        <f aca="false">IF(AND($D5&lt;&gt;"",$B5="결제완료",$T5="대여"),설정!$J$5,"")</f>
        <v/>
      </c>
      <c r="AG5" s="54" t="str">
        <f aca="false">IF($D5="","",IF(AND($E5="",$R5=""),$AB5,"☎ "&amp;IF($E5="","-",$E5)&amp;IF($R5&lt;&gt;"","  ※ "&amp;$R5,"")&amp;IF($B5="상담중"," (상담)","")))</f>
        <v>☎ 010-7356-5258</v>
      </c>
      <c r="AH5" s="56" t="str">
        <f aca="false">IF(AND($D5&lt;&gt;"",$B5="결제완료",$O5="스마트스토어"),ROUND(N($N5)*설정!$J$6,0),"")</f>
        <v/>
      </c>
      <c r="AI5" s="54" t="n">
        <f aca="false">IF($D5="","",ROW())</f>
        <v>5</v>
      </c>
      <c r="AJ5" s="54" t="n">
        <f aca="false">IF(OR($AC5&lt;&gt;1,$M5=""),0,IF(ISNUMBER(SEARCH("퇴사",IFERROR(INDEX(강사DB!$G$4:$G$53,MATCH($M5,강사DB!$A$4:$A$53,0)),""))),1,0))</f>
        <v>0</v>
      </c>
    </row>
    <row r="6" customFormat="false" ht="15" hidden="false" customHeight="false" outlineLevel="0" collapsed="false">
      <c r="A6" s="45" t="str">
        <f aca="false">IF($D6="","",COUNTA($D$5:$D6))</f>
        <v/>
      </c>
      <c r="B6" s="46"/>
      <c r="C6" s="47"/>
      <c r="D6" s="48"/>
      <c r="E6" s="48"/>
      <c r="F6" s="49"/>
      <c r="G6" s="47"/>
      <c r="H6" s="50"/>
      <c r="I6" s="50"/>
      <c r="J6" s="51" t="str">
        <f aca="false">IF(OR($V6="",$W6=""),"",ROUND(($W6-$V6)/60,2))</f>
        <v/>
      </c>
      <c r="K6" s="52" t="str">
        <f aca="false">IF($F6="","",LEN($F6)-LEN(SUBSTITUTE($F6,",",""))+1)</f>
        <v/>
      </c>
      <c r="L6" s="45" t="str">
        <f aca="false">IF($K6="","","1:"&amp;$K6)</f>
        <v/>
      </c>
      <c r="M6" s="46"/>
      <c r="N6" s="53"/>
      <c r="O6" s="46"/>
      <c r="P6" s="47"/>
      <c r="Q6" s="48"/>
      <c r="R6" s="49"/>
      <c r="S6" s="54" t="str">
        <f aca="false">IF(OR($AC6=0,$U6="",$M6="",$V6="",$W6=""),"",IF(COUNTIFS(m_teacher,$M6,m_date,$U6,m_active,1,m_start,"&lt;"&amp;$W6,m_end,"&gt;"&amp;$V6)&gt;1,"충돌",""))</f>
        <v/>
      </c>
      <c r="T6" s="48"/>
      <c r="U6" s="55" t="str">
        <f aca="false">IF($G6="","",IFERROR(IF(ISNUMBER($G6),IF($G6&gt;19000000,DATE(INT($G6/10000),MOD(INT($G6/100),100),MOD($G6,100)),INT($G6)),IF(LEN(SUBSTITUTE(SUBSTITUTE(SUBSTITUTE(TRIM($G6),"-",""),".",""),"/",""))=8,DATE(VALUE(LEFT(SUBSTITUTE(SUBSTITUTE(SUBSTITUTE(TRIM($G6),"-",""),".",""),"/",""),4)),VALUE(MID(SUBSTITUTE(SUBSTITUTE(SUBSTITUTE(TRIM($G6),"-",""),".",""),"/",""),5,2)),VALUE(RIGHT(SUBSTITUTE(SUBSTITUTE(SUBSTITUTE(TRIM($G6),"-",""),".",""),"/",""),2))),DATEVALUE($G6))),""))</f>
        <v/>
      </c>
      <c r="V6" s="52" t="str">
        <f aca="false">IF($H6="","",IFERROR(IF(IF(ISNUMBER($H6),$H6,IFERROR(TIMEVALUE($H6),VALUE($H6)))&gt;=100,INT(IF(ISNUMBER($H6),$H6,IFERROR(TIMEVALUE($H6),VALUE($H6)))/100)*60+MOD(IF(ISNUMBER($H6),$H6,IFERROR(TIMEVALUE($H6),VALUE($H6))),100),IF(IF(ISNUMBER($H6),$H6,IFERROR(TIMEVALUE($H6),VALUE($H6)))&gt;=1,ROUND(IF(ISNUMBER($H6),$H6,IFERROR(TIMEVALUE($H6),VALUE($H6)))*60,0),ROUND(MOD(IF(ISNUMBER($H6),$H6,IFERROR(TIMEVALUE($H6),VALUE($H6))),1)*1440,0))),""))</f>
        <v/>
      </c>
      <c r="W6" s="52" t="str">
        <f aca="false">IF($I6="","",IFERROR(IF(IF(ISNUMBER($I6),$I6,IFERROR(TIMEVALUE($I6),VALUE($I6)))&gt;=100,INT(IF(ISNUMBER($I6),$I6,IFERROR(TIMEVALUE($I6),VALUE($I6)))/100)*60+MOD(IF(ISNUMBER($I6),$I6,IFERROR(TIMEVALUE($I6),VALUE($I6))),100),IF(IF(ISNUMBER($I6),$I6,IFERROR(TIMEVALUE($I6),VALUE($I6)))&gt;=1,ROUND(IF(ISNUMBER($I6),$I6,IFERROR(TIMEVALUE($I6),VALUE($I6)))*60,0),ROUND(MOD(IF(ISNUMBER($I6),$I6,IFERROR(TIMEVALUE($I6),VALUE($I6))),1)*1440,0))),""))</f>
        <v/>
      </c>
      <c r="X6" s="55" t="str">
        <f aca="false">IF($P6="","",IFERROR(IF(ISNUMBER($P6),IF($P6&gt;19000000,DATE(INT($P6/10000),MOD(INT($P6/100),100),MOD($P6,100)),INT($P6)),IF(LEN(SUBSTITUTE(SUBSTITUTE(SUBSTITUTE(TRIM($P6),"-",""),".",""),"/",""))=8,DATE(VALUE(LEFT(SUBSTITUTE(SUBSTITUTE(SUBSTITUTE(TRIM($P6),"-",""),".",""),"/",""),4)),VALUE(MID(SUBSTITUTE(SUBSTITUTE(SUBSTITUTE(TRIM($P6),"-",""),".",""),"/",""),5,2)),VALUE(RIGHT(SUBSTITUTE(SUBSTITUTE(SUBSTITUTE(TRIM($P6),"-",""),".",""),"/",""),2))),DATEVALUE($P6))),""))</f>
        <v/>
      </c>
      <c r="Y6" s="56" t="str">
        <f aca="false">IF($M6="","",IFERROR(INDEX(강사DB!$D$4:$D$53,MATCH($M6,강사DB!$A$4:$A$53,0)),""))</f>
        <v/>
      </c>
      <c r="Z6" s="56" t="str">
        <f aca="false">IF($B6&lt;&gt;"결제완료","",IF(OR($Y6="",$J6=""),"",$Y6*$J6+MAX(0,N($K6)-1)*설정!$J$7))</f>
        <v/>
      </c>
      <c r="AA6" s="56" t="str">
        <f aca="false">IF(AND($D6&lt;&gt;"",$B6="결제완료"),N($N6),"")</f>
        <v/>
      </c>
      <c r="AB6" s="45" t="str">
        <f aca="false">IF($D6="","",IF($F6&lt;&gt;"",$F6,$D6)&amp;IF($B6="상담중"," (상담)",""))</f>
        <v/>
      </c>
      <c r="AC6" s="45" t="n">
        <f aca="false">IF(AND($D6&lt;&gt;"",OR($B6="결제완료",$B6="상담중")),1,0)</f>
        <v>0</v>
      </c>
      <c r="AD6" s="45" t="n">
        <f aca="false">IF(OR($Z6="",$U6=""),0,IFERROR(IF(COUNTIFS(INDEX(g_grid,0,2*MATCH($M6,강사DB!$A$4:$A$15,0)),"&lt;&gt;",g_s,"&lt;="&amp;$U6,g_e,"&gt;="&amp;$U6)&gt;0,1,0),0))</f>
        <v>0</v>
      </c>
      <c r="AE6" s="48"/>
      <c r="AF6" s="56" t="str">
        <f aca="false">IF(AND($D6&lt;&gt;"",$B6="결제완료",$T6="대여"),설정!$J$5,"")</f>
        <v/>
      </c>
      <c r="AG6" s="54" t="str">
        <f aca="false">IF($D6="","",IF(AND($E6="",$R6=""),$AB6,"☎ "&amp;IF($E6="","-",$E6)&amp;IF($R6&lt;&gt;"","  ※ "&amp;$R6,"")&amp;IF($B6="상담중"," (상담)","")))</f>
        <v/>
      </c>
      <c r="AH6" s="56" t="str">
        <f aca="false">IF(AND($D6&lt;&gt;"",$B6="결제완료",$O6="스마트스토어"),ROUND(N($N6)*설정!$J$6,0),"")</f>
        <v/>
      </c>
      <c r="AI6" s="54" t="str">
        <f aca="false">IF($D6="","",ROW())</f>
        <v/>
      </c>
      <c r="AJ6" s="54" t="n">
        <f aca="false">IF(OR($AC6&lt;&gt;1,$M6=""),0,IF(ISNUMBER(SEARCH("퇴사",IFERROR(INDEX(강사DB!$G$4:$G$53,MATCH($M6,강사DB!$A$4:$A$53,0)),""))),1,0))</f>
        <v>0</v>
      </c>
    </row>
    <row r="7" customFormat="false" ht="15" hidden="false" customHeight="false" outlineLevel="0" collapsed="false">
      <c r="A7" s="45" t="str">
        <f aca="false">IF($D7="","",COUNTA($D$5:$D7))</f>
        <v/>
      </c>
      <c r="B7" s="46"/>
      <c r="C7" s="47"/>
      <c r="D7" s="48"/>
      <c r="E7" s="48"/>
      <c r="F7" s="49"/>
      <c r="G7" s="47"/>
      <c r="H7" s="50"/>
      <c r="I7" s="50"/>
      <c r="J7" s="51" t="str">
        <f aca="false">IF(OR($V7="",$W7=""),"",ROUND(($W7-$V7)/60,2))</f>
        <v/>
      </c>
      <c r="K7" s="52" t="str">
        <f aca="false">IF($F7="","",LEN($F7)-LEN(SUBSTITUTE($F7,",",""))+1)</f>
        <v/>
      </c>
      <c r="L7" s="45" t="str">
        <f aca="false">IF($K7="","","1:"&amp;$K7)</f>
        <v/>
      </c>
      <c r="M7" s="46"/>
      <c r="N7" s="53"/>
      <c r="O7" s="46"/>
      <c r="P7" s="47"/>
      <c r="Q7" s="48"/>
      <c r="R7" s="49"/>
      <c r="S7" s="54" t="str">
        <f aca="false">IF(OR($AC7=0,$U7="",$M7="",$V7="",$W7=""),"",IF(COUNTIFS(m_teacher,$M7,m_date,$U7,m_active,1,m_start,"&lt;"&amp;$W7,m_end,"&gt;"&amp;$V7)&gt;1,"충돌",""))</f>
        <v/>
      </c>
      <c r="T7" s="48"/>
      <c r="U7" s="55" t="str">
        <f aca="false">IF($G7="","",IFERROR(IF(ISNUMBER($G7),IF($G7&gt;19000000,DATE(INT($G7/10000),MOD(INT($G7/100),100),MOD($G7,100)),INT($G7)),IF(LEN(SUBSTITUTE(SUBSTITUTE(SUBSTITUTE(TRIM($G7),"-",""),".",""),"/",""))=8,DATE(VALUE(LEFT(SUBSTITUTE(SUBSTITUTE(SUBSTITUTE(TRIM($G7),"-",""),".",""),"/",""),4)),VALUE(MID(SUBSTITUTE(SUBSTITUTE(SUBSTITUTE(TRIM($G7),"-",""),".",""),"/",""),5,2)),VALUE(RIGHT(SUBSTITUTE(SUBSTITUTE(SUBSTITUTE(TRIM($G7),"-",""),".",""),"/",""),2))),DATEVALUE($G7))),""))</f>
        <v/>
      </c>
      <c r="V7" s="52" t="str">
        <f aca="false">IF($H7="","",IFERROR(IF(IF(ISNUMBER($H7),$H7,IFERROR(TIMEVALUE($H7),VALUE($H7)))&gt;=100,INT(IF(ISNUMBER($H7),$H7,IFERROR(TIMEVALUE($H7),VALUE($H7)))/100)*60+MOD(IF(ISNUMBER($H7),$H7,IFERROR(TIMEVALUE($H7),VALUE($H7))),100),IF(IF(ISNUMBER($H7),$H7,IFERROR(TIMEVALUE($H7),VALUE($H7)))&gt;=1,ROUND(IF(ISNUMBER($H7),$H7,IFERROR(TIMEVALUE($H7),VALUE($H7)))*60,0),ROUND(MOD(IF(ISNUMBER($H7),$H7,IFERROR(TIMEVALUE($H7),VALUE($H7))),1)*1440,0))),""))</f>
        <v/>
      </c>
      <c r="W7" s="52" t="str">
        <f aca="false">IF($I7="","",IFERROR(IF(IF(ISNUMBER($I7),$I7,IFERROR(TIMEVALUE($I7),VALUE($I7)))&gt;=100,INT(IF(ISNUMBER($I7),$I7,IFERROR(TIMEVALUE($I7),VALUE($I7)))/100)*60+MOD(IF(ISNUMBER($I7),$I7,IFERROR(TIMEVALUE($I7),VALUE($I7))),100),IF(IF(ISNUMBER($I7),$I7,IFERROR(TIMEVALUE($I7),VALUE($I7)))&gt;=1,ROUND(IF(ISNUMBER($I7),$I7,IFERROR(TIMEVALUE($I7),VALUE($I7)))*60,0),ROUND(MOD(IF(ISNUMBER($I7),$I7,IFERROR(TIMEVALUE($I7),VALUE($I7))),1)*1440,0))),""))</f>
        <v/>
      </c>
      <c r="X7" s="55" t="str">
        <f aca="false">IF($P7="","",IFERROR(IF(ISNUMBER($P7),IF($P7&gt;19000000,DATE(INT($P7/10000),MOD(INT($P7/100),100),MOD($P7,100)),INT($P7)),IF(LEN(SUBSTITUTE(SUBSTITUTE(SUBSTITUTE(TRIM($P7),"-",""),".",""),"/",""))=8,DATE(VALUE(LEFT(SUBSTITUTE(SUBSTITUTE(SUBSTITUTE(TRIM($P7),"-",""),".",""),"/",""),4)),VALUE(MID(SUBSTITUTE(SUBSTITUTE(SUBSTITUTE(TRIM($P7),"-",""),".",""),"/",""),5,2)),VALUE(RIGHT(SUBSTITUTE(SUBSTITUTE(SUBSTITUTE(TRIM($P7),"-",""),".",""),"/",""),2))),DATEVALUE($P7))),""))</f>
        <v/>
      </c>
      <c r="Y7" s="56" t="str">
        <f aca="false">IF($M7="","",IFERROR(INDEX(강사DB!$D$4:$D$53,MATCH($M7,강사DB!$A$4:$A$53,0)),""))</f>
        <v/>
      </c>
      <c r="Z7" s="56" t="str">
        <f aca="false">IF($B7&lt;&gt;"결제완료","",IF(OR($Y7="",$J7=""),"",$Y7*$J7+MAX(0,N($K7)-1)*설정!$J$7))</f>
        <v/>
      </c>
      <c r="AA7" s="56" t="str">
        <f aca="false">IF(AND($D7&lt;&gt;"",$B7="결제완료"),N($N7),"")</f>
        <v/>
      </c>
      <c r="AB7" s="45" t="str">
        <f aca="false">IF($D7="","",IF($F7&lt;&gt;"",$F7,$D7)&amp;IF($B7="상담중"," (상담)",""))</f>
        <v/>
      </c>
      <c r="AC7" s="45" t="n">
        <f aca="false">IF(AND($D7&lt;&gt;"",OR($B7="결제완료",$B7="상담중")),1,0)</f>
        <v>0</v>
      </c>
      <c r="AD7" s="45" t="n">
        <f aca="false">IF(OR($Z7="",$U7=""),0,IFERROR(IF(COUNTIFS(INDEX(g_grid,0,2*MATCH($M7,강사DB!$A$4:$A$15,0)),"&lt;&gt;",g_s,"&lt;="&amp;$U7,g_e,"&gt;="&amp;$U7)&gt;0,1,0),0))</f>
        <v>0</v>
      </c>
      <c r="AE7" s="48"/>
      <c r="AF7" s="56" t="str">
        <f aca="false">IF(AND($D7&lt;&gt;"",$B7="결제완료",$T7="대여"),설정!$J$5,"")</f>
        <v/>
      </c>
      <c r="AG7" s="54" t="str">
        <f aca="false">IF($D7="","",IF(AND($E7="",$R7=""),$AB7,"☎ "&amp;IF($E7="","-",$E7)&amp;IF($R7&lt;&gt;"","  ※ "&amp;$R7,"")&amp;IF($B7="상담중"," (상담)","")))</f>
        <v/>
      </c>
      <c r="AH7" s="56" t="str">
        <f aca="false">IF(AND($D7&lt;&gt;"",$B7="결제완료",$O7="스마트스토어"),ROUND(N($N7)*설정!$J$6,0),"")</f>
        <v/>
      </c>
      <c r="AI7" s="54" t="str">
        <f aca="false">IF($D7="","",ROW())</f>
        <v/>
      </c>
      <c r="AJ7" s="54" t="n">
        <f aca="false">IF(OR($AC7&lt;&gt;1,$M7=""),0,IF(ISNUMBER(SEARCH("퇴사",IFERROR(INDEX(강사DB!$G$4:$G$53,MATCH($M7,강사DB!$A$4:$A$53,0)),""))),1,0))</f>
        <v>0</v>
      </c>
    </row>
    <row r="8" customFormat="false" ht="15" hidden="false" customHeight="false" outlineLevel="0" collapsed="false">
      <c r="A8" s="45" t="str">
        <f aca="false">IF($D8="","",COUNTA($D$5:$D8))</f>
        <v/>
      </c>
      <c r="B8" s="46"/>
      <c r="C8" s="47"/>
      <c r="D8" s="48"/>
      <c r="E8" s="48"/>
      <c r="F8" s="49"/>
      <c r="G8" s="47"/>
      <c r="H8" s="50"/>
      <c r="I8" s="50"/>
      <c r="J8" s="51" t="str">
        <f aca="false">IF(OR($V8="",$W8=""),"",ROUND(($W8-$V8)/60,2))</f>
        <v/>
      </c>
      <c r="K8" s="52" t="str">
        <f aca="false">IF($F8="","",LEN($F8)-LEN(SUBSTITUTE($F8,",",""))+1)</f>
        <v/>
      </c>
      <c r="L8" s="45" t="str">
        <f aca="false">IF($K8="","","1:"&amp;$K8)</f>
        <v/>
      </c>
      <c r="M8" s="46"/>
      <c r="N8" s="53"/>
      <c r="O8" s="46"/>
      <c r="P8" s="47"/>
      <c r="Q8" s="48"/>
      <c r="R8" s="49"/>
      <c r="S8" s="54" t="str">
        <f aca="false">IF(OR($AC8=0,$U8="",$M8="",$V8="",$W8=""),"",IF(COUNTIFS(m_teacher,$M8,m_date,$U8,m_active,1,m_start,"&lt;"&amp;$W8,m_end,"&gt;"&amp;$V8)&gt;1,"충돌",""))</f>
        <v/>
      </c>
      <c r="T8" s="48"/>
      <c r="U8" s="55" t="str">
        <f aca="false">IF($G8="","",IFERROR(IF(ISNUMBER($G8),IF($G8&gt;19000000,DATE(INT($G8/10000),MOD(INT($G8/100),100),MOD($G8,100)),INT($G8)),IF(LEN(SUBSTITUTE(SUBSTITUTE(SUBSTITUTE(TRIM($G8),"-",""),".",""),"/",""))=8,DATE(VALUE(LEFT(SUBSTITUTE(SUBSTITUTE(SUBSTITUTE(TRIM($G8),"-",""),".",""),"/",""),4)),VALUE(MID(SUBSTITUTE(SUBSTITUTE(SUBSTITUTE(TRIM($G8),"-",""),".",""),"/",""),5,2)),VALUE(RIGHT(SUBSTITUTE(SUBSTITUTE(SUBSTITUTE(TRIM($G8),"-",""),".",""),"/",""),2))),DATEVALUE($G8))),""))</f>
        <v/>
      </c>
      <c r="V8" s="52" t="str">
        <f aca="false">IF($H8="","",IFERROR(IF(IF(ISNUMBER($H8),$H8,IFERROR(TIMEVALUE($H8),VALUE($H8)))&gt;=100,INT(IF(ISNUMBER($H8),$H8,IFERROR(TIMEVALUE($H8),VALUE($H8)))/100)*60+MOD(IF(ISNUMBER($H8),$H8,IFERROR(TIMEVALUE($H8),VALUE($H8))),100),IF(IF(ISNUMBER($H8),$H8,IFERROR(TIMEVALUE($H8),VALUE($H8)))&gt;=1,ROUND(IF(ISNUMBER($H8),$H8,IFERROR(TIMEVALUE($H8),VALUE($H8)))*60,0),ROUND(MOD(IF(ISNUMBER($H8),$H8,IFERROR(TIMEVALUE($H8),VALUE($H8))),1)*1440,0))),""))</f>
        <v/>
      </c>
      <c r="W8" s="52" t="str">
        <f aca="false">IF($I8="","",IFERROR(IF(IF(ISNUMBER($I8),$I8,IFERROR(TIMEVALUE($I8),VALUE($I8)))&gt;=100,INT(IF(ISNUMBER($I8),$I8,IFERROR(TIMEVALUE($I8),VALUE($I8)))/100)*60+MOD(IF(ISNUMBER($I8),$I8,IFERROR(TIMEVALUE($I8),VALUE($I8))),100),IF(IF(ISNUMBER($I8),$I8,IFERROR(TIMEVALUE($I8),VALUE($I8)))&gt;=1,ROUND(IF(ISNUMBER($I8),$I8,IFERROR(TIMEVALUE($I8),VALUE($I8)))*60,0),ROUND(MOD(IF(ISNUMBER($I8),$I8,IFERROR(TIMEVALUE($I8),VALUE($I8))),1)*1440,0))),""))</f>
        <v/>
      </c>
      <c r="X8" s="55" t="str">
        <f aca="false">IF($P8="","",IFERROR(IF(ISNUMBER($P8),IF($P8&gt;19000000,DATE(INT($P8/10000),MOD(INT($P8/100),100),MOD($P8,100)),INT($P8)),IF(LEN(SUBSTITUTE(SUBSTITUTE(SUBSTITUTE(TRIM($P8),"-",""),".",""),"/",""))=8,DATE(VALUE(LEFT(SUBSTITUTE(SUBSTITUTE(SUBSTITUTE(TRIM($P8),"-",""),".",""),"/",""),4)),VALUE(MID(SUBSTITUTE(SUBSTITUTE(SUBSTITUTE(TRIM($P8),"-",""),".",""),"/",""),5,2)),VALUE(RIGHT(SUBSTITUTE(SUBSTITUTE(SUBSTITUTE(TRIM($P8),"-",""),".",""),"/",""),2))),DATEVALUE($P8))),""))</f>
        <v/>
      </c>
      <c r="Y8" s="56" t="str">
        <f aca="false">IF($M8="","",IFERROR(INDEX(강사DB!$D$4:$D$53,MATCH($M8,강사DB!$A$4:$A$53,0)),""))</f>
        <v/>
      </c>
      <c r="Z8" s="56" t="str">
        <f aca="false">IF($B8&lt;&gt;"결제완료","",IF(OR($Y8="",$J8=""),"",$Y8*$J8+MAX(0,N($K8)-1)*설정!$J$7))</f>
        <v/>
      </c>
      <c r="AA8" s="56" t="str">
        <f aca="false">IF(AND($D8&lt;&gt;"",$B8="결제완료"),N($N8),"")</f>
        <v/>
      </c>
      <c r="AB8" s="45" t="str">
        <f aca="false">IF($D8="","",IF($F8&lt;&gt;"",$F8,$D8)&amp;IF($B8="상담중"," (상담)",""))</f>
        <v/>
      </c>
      <c r="AC8" s="45" t="n">
        <f aca="false">IF(AND($D8&lt;&gt;"",OR($B8="결제완료",$B8="상담중")),1,0)</f>
        <v>0</v>
      </c>
      <c r="AD8" s="45" t="n">
        <f aca="false">IF(OR($Z8="",$U8=""),0,IFERROR(IF(COUNTIFS(INDEX(g_grid,0,2*MATCH($M8,강사DB!$A$4:$A$15,0)),"&lt;&gt;",g_s,"&lt;="&amp;$U8,g_e,"&gt;="&amp;$U8)&gt;0,1,0),0))</f>
        <v>0</v>
      </c>
      <c r="AE8" s="48"/>
      <c r="AF8" s="56" t="str">
        <f aca="false">IF(AND($D8&lt;&gt;"",$B8="결제완료",$T8="대여"),설정!$J$5,"")</f>
        <v/>
      </c>
      <c r="AG8" s="54" t="str">
        <f aca="false">IF($D8="","",IF(AND($E8="",$R8=""),$AB8,"☎ "&amp;IF($E8="","-",$E8)&amp;IF($R8&lt;&gt;"","  ※ "&amp;$R8,"")&amp;IF($B8="상담중"," (상담)","")))</f>
        <v/>
      </c>
      <c r="AH8" s="56" t="str">
        <f aca="false">IF(AND($D8&lt;&gt;"",$B8="결제완료",$O8="스마트스토어"),ROUND(N($N8)*설정!$J$6,0),"")</f>
        <v/>
      </c>
      <c r="AI8" s="54" t="str">
        <f aca="false">IF($D8="","",ROW())</f>
        <v/>
      </c>
      <c r="AJ8" s="54" t="n">
        <f aca="false">IF(OR($AC8&lt;&gt;1,$M8=""),0,IF(ISNUMBER(SEARCH("퇴사",IFERROR(INDEX(강사DB!$G$4:$G$53,MATCH($M8,강사DB!$A$4:$A$53,0)),""))),1,0))</f>
        <v>0</v>
      </c>
    </row>
    <row r="9" customFormat="false" ht="15" hidden="false" customHeight="false" outlineLevel="0" collapsed="false">
      <c r="A9" s="45" t="str">
        <f aca="false">IF($D9="","",COUNTA($D$5:$D9))</f>
        <v/>
      </c>
      <c r="B9" s="46"/>
      <c r="C9" s="47"/>
      <c r="D9" s="48"/>
      <c r="E9" s="48"/>
      <c r="F9" s="49"/>
      <c r="G9" s="47"/>
      <c r="H9" s="50"/>
      <c r="I9" s="50"/>
      <c r="J9" s="51" t="str">
        <f aca="false">IF(OR($V9="",$W9=""),"",ROUND(($W9-$V9)/60,2))</f>
        <v/>
      </c>
      <c r="K9" s="52" t="str">
        <f aca="false">IF($F9="","",LEN($F9)-LEN(SUBSTITUTE($F9,",",""))+1)</f>
        <v/>
      </c>
      <c r="L9" s="45" t="str">
        <f aca="false">IF($K9="","","1:"&amp;$K9)</f>
        <v/>
      </c>
      <c r="M9" s="46"/>
      <c r="N9" s="53"/>
      <c r="O9" s="46"/>
      <c r="P9" s="47"/>
      <c r="Q9" s="48"/>
      <c r="R9" s="49"/>
      <c r="S9" s="54" t="str">
        <f aca="false">IF(OR($AC9=0,$U9="",$M9="",$V9="",$W9=""),"",IF(COUNTIFS(m_teacher,$M9,m_date,$U9,m_active,1,m_start,"&lt;"&amp;$W9,m_end,"&gt;"&amp;$V9)&gt;1,"충돌",""))</f>
        <v/>
      </c>
      <c r="T9" s="48"/>
      <c r="U9" s="55" t="str">
        <f aca="false">IF($G9="","",IFERROR(IF(ISNUMBER($G9),IF($G9&gt;19000000,DATE(INT($G9/10000),MOD(INT($G9/100),100),MOD($G9,100)),INT($G9)),IF(LEN(SUBSTITUTE(SUBSTITUTE(SUBSTITUTE(TRIM($G9),"-",""),".",""),"/",""))=8,DATE(VALUE(LEFT(SUBSTITUTE(SUBSTITUTE(SUBSTITUTE(TRIM($G9),"-",""),".",""),"/",""),4)),VALUE(MID(SUBSTITUTE(SUBSTITUTE(SUBSTITUTE(TRIM($G9),"-",""),".",""),"/",""),5,2)),VALUE(RIGHT(SUBSTITUTE(SUBSTITUTE(SUBSTITUTE(TRIM($G9),"-",""),".",""),"/",""),2))),DATEVALUE($G9))),""))</f>
        <v/>
      </c>
      <c r="V9" s="52" t="str">
        <f aca="false">IF($H9="","",IFERROR(IF(IF(ISNUMBER($H9),$H9,IFERROR(TIMEVALUE($H9),VALUE($H9)))&gt;=100,INT(IF(ISNUMBER($H9),$H9,IFERROR(TIMEVALUE($H9),VALUE($H9)))/100)*60+MOD(IF(ISNUMBER($H9),$H9,IFERROR(TIMEVALUE($H9),VALUE($H9))),100),IF(IF(ISNUMBER($H9),$H9,IFERROR(TIMEVALUE($H9),VALUE($H9)))&gt;=1,ROUND(IF(ISNUMBER($H9),$H9,IFERROR(TIMEVALUE($H9),VALUE($H9)))*60,0),ROUND(MOD(IF(ISNUMBER($H9),$H9,IFERROR(TIMEVALUE($H9),VALUE($H9))),1)*1440,0))),""))</f>
        <v/>
      </c>
      <c r="W9" s="52" t="str">
        <f aca="false">IF($I9="","",IFERROR(IF(IF(ISNUMBER($I9),$I9,IFERROR(TIMEVALUE($I9),VALUE($I9)))&gt;=100,INT(IF(ISNUMBER($I9),$I9,IFERROR(TIMEVALUE($I9),VALUE($I9)))/100)*60+MOD(IF(ISNUMBER($I9),$I9,IFERROR(TIMEVALUE($I9),VALUE($I9))),100),IF(IF(ISNUMBER($I9),$I9,IFERROR(TIMEVALUE($I9),VALUE($I9)))&gt;=1,ROUND(IF(ISNUMBER($I9),$I9,IFERROR(TIMEVALUE($I9),VALUE($I9)))*60,0),ROUND(MOD(IF(ISNUMBER($I9),$I9,IFERROR(TIMEVALUE($I9),VALUE($I9))),1)*1440,0))),""))</f>
        <v/>
      </c>
      <c r="X9" s="55" t="str">
        <f aca="false">IF($P9="","",IFERROR(IF(ISNUMBER($P9),IF($P9&gt;19000000,DATE(INT($P9/10000),MOD(INT($P9/100),100),MOD($P9,100)),INT($P9)),IF(LEN(SUBSTITUTE(SUBSTITUTE(SUBSTITUTE(TRIM($P9),"-",""),".",""),"/",""))=8,DATE(VALUE(LEFT(SUBSTITUTE(SUBSTITUTE(SUBSTITUTE(TRIM($P9),"-",""),".",""),"/",""),4)),VALUE(MID(SUBSTITUTE(SUBSTITUTE(SUBSTITUTE(TRIM($P9),"-",""),".",""),"/",""),5,2)),VALUE(RIGHT(SUBSTITUTE(SUBSTITUTE(SUBSTITUTE(TRIM($P9),"-",""),".",""),"/",""),2))),DATEVALUE($P9))),""))</f>
        <v/>
      </c>
      <c r="Y9" s="56" t="str">
        <f aca="false">IF($M9="","",IFERROR(INDEX(강사DB!$D$4:$D$53,MATCH($M9,강사DB!$A$4:$A$53,0)),""))</f>
        <v/>
      </c>
      <c r="Z9" s="56" t="str">
        <f aca="false">IF($B9&lt;&gt;"결제완료","",IF(OR($Y9="",$J9=""),"",$Y9*$J9+MAX(0,N($K9)-1)*설정!$J$7))</f>
        <v/>
      </c>
      <c r="AA9" s="56" t="str">
        <f aca="false">IF(AND($D9&lt;&gt;"",$B9="결제완료"),N($N9),"")</f>
        <v/>
      </c>
      <c r="AB9" s="45" t="str">
        <f aca="false">IF($D9="","",IF($F9&lt;&gt;"",$F9,$D9)&amp;IF($B9="상담중"," (상담)",""))</f>
        <v/>
      </c>
      <c r="AC9" s="45" t="n">
        <f aca="false">IF(AND($D9&lt;&gt;"",OR($B9="결제완료",$B9="상담중")),1,0)</f>
        <v>0</v>
      </c>
      <c r="AD9" s="45" t="n">
        <f aca="false">IF(OR($Z9="",$U9=""),0,IFERROR(IF(COUNTIFS(INDEX(g_grid,0,2*MATCH($M9,강사DB!$A$4:$A$15,0)),"&lt;&gt;",g_s,"&lt;="&amp;$U9,g_e,"&gt;="&amp;$U9)&gt;0,1,0),0))</f>
        <v>0</v>
      </c>
      <c r="AE9" s="48"/>
      <c r="AF9" s="56" t="str">
        <f aca="false">IF(AND($D9&lt;&gt;"",$B9="결제완료",$T9="대여"),설정!$J$5,"")</f>
        <v/>
      </c>
      <c r="AG9" s="54" t="str">
        <f aca="false">IF($D9="","",IF(AND($E9="",$R9=""),$AB9,"☎ "&amp;IF($E9="","-",$E9)&amp;IF($R9&lt;&gt;"","  ※ "&amp;$R9,"")&amp;IF($B9="상담중"," (상담)","")))</f>
        <v/>
      </c>
      <c r="AH9" s="56" t="str">
        <f aca="false">IF(AND($D9&lt;&gt;"",$B9="결제완료",$O9="스마트스토어"),ROUND(N($N9)*설정!$J$6,0),"")</f>
        <v/>
      </c>
      <c r="AI9" s="54" t="str">
        <f aca="false">IF($D9="","",ROW())</f>
        <v/>
      </c>
      <c r="AJ9" s="54" t="n">
        <f aca="false">IF(OR($AC9&lt;&gt;1,$M9=""),0,IF(ISNUMBER(SEARCH("퇴사",IFERROR(INDEX(강사DB!$G$4:$G$53,MATCH($M9,강사DB!$A$4:$A$53,0)),""))),1,0))</f>
        <v>0</v>
      </c>
    </row>
    <row r="10" customFormat="false" ht="15" hidden="false" customHeight="false" outlineLevel="0" collapsed="false">
      <c r="A10" s="45" t="str">
        <f aca="false">IF($D10="","",COUNTA($D$5:$D10))</f>
        <v/>
      </c>
      <c r="B10" s="46"/>
      <c r="C10" s="47"/>
      <c r="D10" s="48"/>
      <c r="E10" s="48"/>
      <c r="F10" s="49"/>
      <c r="G10" s="47"/>
      <c r="H10" s="50"/>
      <c r="I10" s="50"/>
      <c r="J10" s="51" t="str">
        <f aca="false">IF(OR($V10="",$W10=""),"",ROUND(($W10-$V10)/60,2))</f>
        <v/>
      </c>
      <c r="K10" s="52" t="str">
        <f aca="false">IF($F10="","",LEN($F10)-LEN(SUBSTITUTE($F10,",",""))+1)</f>
        <v/>
      </c>
      <c r="L10" s="45" t="str">
        <f aca="false">IF($K10="","","1:"&amp;$K10)</f>
        <v/>
      </c>
      <c r="M10" s="46"/>
      <c r="N10" s="53"/>
      <c r="O10" s="46"/>
      <c r="P10" s="47"/>
      <c r="Q10" s="48"/>
      <c r="R10" s="49"/>
      <c r="S10" s="54" t="str">
        <f aca="false">IF(OR($AC10=0,$U10="",$M10="",$V10="",$W10=""),"",IF(COUNTIFS(m_teacher,$M10,m_date,$U10,m_active,1,m_start,"&lt;"&amp;$W10,m_end,"&gt;"&amp;$V10)&gt;1,"충돌",""))</f>
        <v/>
      </c>
      <c r="T10" s="48"/>
      <c r="U10" s="55" t="str">
        <f aca="false">IF($G10="","",IFERROR(IF(ISNUMBER($G10),IF($G10&gt;19000000,DATE(INT($G10/10000),MOD(INT($G10/100),100),MOD($G10,100)),INT($G10)),IF(LEN(SUBSTITUTE(SUBSTITUTE(SUBSTITUTE(TRIM($G10),"-",""),".",""),"/",""))=8,DATE(VALUE(LEFT(SUBSTITUTE(SUBSTITUTE(SUBSTITUTE(TRIM($G10),"-",""),".",""),"/",""),4)),VALUE(MID(SUBSTITUTE(SUBSTITUTE(SUBSTITUTE(TRIM($G10),"-",""),".",""),"/",""),5,2)),VALUE(RIGHT(SUBSTITUTE(SUBSTITUTE(SUBSTITUTE(TRIM($G10),"-",""),".",""),"/",""),2))),DATEVALUE($G10))),""))</f>
        <v/>
      </c>
      <c r="V10" s="52" t="str">
        <f aca="false">IF($H10="","",IFERROR(IF(IF(ISNUMBER($H10),$H10,IFERROR(TIMEVALUE($H10),VALUE($H10)))&gt;=100,INT(IF(ISNUMBER($H10),$H10,IFERROR(TIMEVALUE($H10),VALUE($H10)))/100)*60+MOD(IF(ISNUMBER($H10),$H10,IFERROR(TIMEVALUE($H10),VALUE($H10))),100),IF(IF(ISNUMBER($H10),$H10,IFERROR(TIMEVALUE($H10),VALUE($H10)))&gt;=1,ROUND(IF(ISNUMBER($H10),$H10,IFERROR(TIMEVALUE($H10),VALUE($H10)))*60,0),ROUND(MOD(IF(ISNUMBER($H10),$H10,IFERROR(TIMEVALUE($H10),VALUE($H10))),1)*1440,0))),""))</f>
        <v/>
      </c>
      <c r="W10" s="52" t="str">
        <f aca="false">IF($I10="","",IFERROR(IF(IF(ISNUMBER($I10),$I10,IFERROR(TIMEVALUE($I10),VALUE($I10)))&gt;=100,INT(IF(ISNUMBER($I10),$I10,IFERROR(TIMEVALUE($I10),VALUE($I10)))/100)*60+MOD(IF(ISNUMBER($I10),$I10,IFERROR(TIMEVALUE($I10),VALUE($I10))),100),IF(IF(ISNUMBER($I10),$I10,IFERROR(TIMEVALUE($I10),VALUE($I10)))&gt;=1,ROUND(IF(ISNUMBER($I10),$I10,IFERROR(TIMEVALUE($I10),VALUE($I10)))*60,0),ROUND(MOD(IF(ISNUMBER($I10),$I10,IFERROR(TIMEVALUE($I10),VALUE($I10))),1)*1440,0))),""))</f>
        <v/>
      </c>
      <c r="X10" s="55" t="str">
        <f aca="false">IF($P10="","",IFERROR(IF(ISNUMBER($P10),IF($P10&gt;19000000,DATE(INT($P10/10000),MOD(INT($P10/100),100),MOD($P10,100)),INT($P10)),IF(LEN(SUBSTITUTE(SUBSTITUTE(SUBSTITUTE(TRIM($P10),"-",""),".",""),"/",""))=8,DATE(VALUE(LEFT(SUBSTITUTE(SUBSTITUTE(SUBSTITUTE(TRIM($P10),"-",""),".",""),"/",""),4)),VALUE(MID(SUBSTITUTE(SUBSTITUTE(SUBSTITUTE(TRIM($P10),"-",""),".",""),"/",""),5,2)),VALUE(RIGHT(SUBSTITUTE(SUBSTITUTE(SUBSTITUTE(TRIM($P10),"-",""),".",""),"/",""),2))),DATEVALUE($P10))),""))</f>
        <v/>
      </c>
      <c r="Y10" s="56" t="str">
        <f aca="false">IF($M10="","",IFERROR(INDEX(강사DB!$D$4:$D$53,MATCH($M10,강사DB!$A$4:$A$53,0)),""))</f>
        <v/>
      </c>
      <c r="Z10" s="56" t="str">
        <f aca="false">IF($B10&lt;&gt;"결제완료","",IF(OR($Y10="",$J10=""),"",$Y10*$J10+MAX(0,N($K10)-1)*설정!$J$7))</f>
        <v/>
      </c>
      <c r="AA10" s="56" t="str">
        <f aca="false">IF(AND($D10&lt;&gt;"",$B10="결제완료"),N($N10),"")</f>
        <v/>
      </c>
      <c r="AB10" s="45" t="str">
        <f aca="false">IF($D10="","",IF($F10&lt;&gt;"",$F10,$D10)&amp;IF($B10="상담중"," (상담)",""))</f>
        <v/>
      </c>
      <c r="AC10" s="45" t="n">
        <f aca="false">IF(AND($D10&lt;&gt;"",OR($B10="결제완료",$B10="상담중")),1,0)</f>
        <v>0</v>
      </c>
      <c r="AD10" s="45" t="n">
        <f aca="false">IF(OR($Z10="",$U10=""),0,IFERROR(IF(COUNTIFS(INDEX(g_grid,0,2*MATCH($M10,강사DB!$A$4:$A$15,0)),"&lt;&gt;",g_s,"&lt;="&amp;$U10,g_e,"&gt;="&amp;$U10)&gt;0,1,0),0))</f>
        <v>0</v>
      </c>
      <c r="AE10" s="48"/>
      <c r="AF10" s="56" t="str">
        <f aca="false">IF(AND($D10&lt;&gt;"",$B10="결제완료",$T10="대여"),설정!$J$5,"")</f>
        <v/>
      </c>
      <c r="AG10" s="54" t="str">
        <f aca="false">IF($D10="","",IF(AND($E10="",$R10=""),$AB10,"☎ "&amp;IF($E10="","-",$E10)&amp;IF($R10&lt;&gt;"","  ※ "&amp;$R10,"")&amp;IF($B10="상담중"," (상담)","")))</f>
        <v/>
      </c>
      <c r="AH10" s="56" t="str">
        <f aca="false">IF(AND($D10&lt;&gt;"",$B10="결제완료",$O10="스마트스토어"),ROUND(N($N10)*설정!$J$6,0),"")</f>
        <v/>
      </c>
      <c r="AI10" s="54" t="str">
        <f aca="false">IF($D10="","",ROW())</f>
        <v/>
      </c>
      <c r="AJ10" s="54" t="n">
        <f aca="false">IF(OR($AC10&lt;&gt;1,$M10=""),0,IF(ISNUMBER(SEARCH("퇴사",IFERROR(INDEX(강사DB!$G$4:$G$53,MATCH($M10,강사DB!$A$4:$A$53,0)),""))),1,0))</f>
        <v>0</v>
      </c>
    </row>
    <row r="11" customFormat="false" ht="15" hidden="false" customHeight="false" outlineLevel="0" collapsed="false">
      <c r="A11" s="45" t="str">
        <f aca="false">IF($D11="","",COUNTA($D$5:$D11))</f>
        <v/>
      </c>
      <c r="B11" s="46"/>
      <c r="C11" s="47"/>
      <c r="D11" s="48"/>
      <c r="E11" s="48"/>
      <c r="F11" s="49"/>
      <c r="G11" s="47"/>
      <c r="H11" s="50"/>
      <c r="I11" s="50"/>
      <c r="J11" s="51" t="str">
        <f aca="false">IF(OR($V11="",$W11=""),"",ROUND(($W11-$V11)/60,2))</f>
        <v/>
      </c>
      <c r="K11" s="52" t="str">
        <f aca="false">IF($F11="","",LEN($F11)-LEN(SUBSTITUTE($F11,",",""))+1)</f>
        <v/>
      </c>
      <c r="L11" s="45" t="str">
        <f aca="false">IF($K11="","","1:"&amp;$K11)</f>
        <v/>
      </c>
      <c r="M11" s="46"/>
      <c r="N11" s="53"/>
      <c r="O11" s="46"/>
      <c r="P11" s="47"/>
      <c r="Q11" s="48"/>
      <c r="R11" s="49"/>
      <c r="S11" s="54" t="str">
        <f aca="false">IF(OR($AC11=0,$U11="",$M11="",$V11="",$W11=""),"",IF(COUNTIFS(m_teacher,$M11,m_date,$U11,m_active,1,m_start,"&lt;"&amp;$W11,m_end,"&gt;"&amp;$V11)&gt;1,"충돌",""))</f>
        <v/>
      </c>
      <c r="T11" s="48"/>
      <c r="U11" s="55" t="str">
        <f aca="false">IF($G11="","",IFERROR(IF(ISNUMBER($G11),IF($G11&gt;19000000,DATE(INT($G11/10000),MOD(INT($G11/100),100),MOD($G11,100)),INT($G11)),IF(LEN(SUBSTITUTE(SUBSTITUTE(SUBSTITUTE(TRIM($G11),"-",""),".",""),"/",""))=8,DATE(VALUE(LEFT(SUBSTITUTE(SUBSTITUTE(SUBSTITUTE(TRIM($G11),"-",""),".",""),"/",""),4)),VALUE(MID(SUBSTITUTE(SUBSTITUTE(SUBSTITUTE(TRIM($G11),"-",""),".",""),"/",""),5,2)),VALUE(RIGHT(SUBSTITUTE(SUBSTITUTE(SUBSTITUTE(TRIM($G11),"-",""),".",""),"/",""),2))),DATEVALUE($G11))),""))</f>
        <v/>
      </c>
      <c r="V11" s="52" t="str">
        <f aca="false">IF($H11="","",IFERROR(IF(IF(ISNUMBER($H11),$H11,IFERROR(TIMEVALUE($H11),VALUE($H11)))&gt;=100,INT(IF(ISNUMBER($H11),$H11,IFERROR(TIMEVALUE($H11),VALUE($H11)))/100)*60+MOD(IF(ISNUMBER($H11),$H11,IFERROR(TIMEVALUE($H11),VALUE($H11))),100),IF(IF(ISNUMBER($H11),$H11,IFERROR(TIMEVALUE($H11),VALUE($H11)))&gt;=1,ROUND(IF(ISNUMBER($H11),$H11,IFERROR(TIMEVALUE($H11),VALUE($H11)))*60,0),ROUND(MOD(IF(ISNUMBER($H11),$H11,IFERROR(TIMEVALUE($H11),VALUE($H11))),1)*1440,0))),""))</f>
        <v/>
      </c>
      <c r="W11" s="52" t="str">
        <f aca="false">IF($I11="","",IFERROR(IF(IF(ISNUMBER($I11),$I11,IFERROR(TIMEVALUE($I11),VALUE($I11)))&gt;=100,INT(IF(ISNUMBER($I11),$I11,IFERROR(TIMEVALUE($I11),VALUE($I11)))/100)*60+MOD(IF(ISNUMBER($I11),$I11,IFERROR(TIMEVALUE($I11),VALUE($I11))),100),IF(IF(ISNUMBER($I11),$I11,IFERROR(TIMEVALUE($I11),VALUE($I11)))&gt;=1,ROUND(IF(ISNUMBER($I11),$I11,IFERROR(TIMEVALUE($I11),VALUE($I11)))*60,0),ROUND(MOD(IF(ISNUMBER($I11),$I11,IFERROR(TIMEVALUE($I11),VALUE($I11))),1)*1440,0))),""))</f>
        <v/>
      </c>
      <c r="X11" s="55" t="str">
        <f aca="false">IF($P11="","",IFERROR(IF(ISNUMBER($P11),IF($P11&gt;19000000,DATE(INT($P11/10000),MOD(INT($P11/100),100),MOD($P11,100)),INT($P11)),IF(LEN(SUBSTITUTE(SUBSTITUTE(SUBSTITUTE(TRIM($P11),"-",""),".",""),"/",""))=8,DATE(VALUE(LEFT(SUBSTITUTE(SUBSTITUTE(SUBSTITUTE(TRIM($P11),"-",""),".",""),"/",""),4)),VALUE(MID(SUBSTITUTE(SUBSTITUTE(SUBSTITUTE(TRIM($P11),"-",""),".",""),"/",""),5,2)),VALUE(RIGHT(SUBSTITUTE(SUBSTITUTE(SUBSTITUTE(TRIM($P11),"-",""),".",""),"/",""),2))),DATEVALUE($P11))),""))</f>
        <v/>
      </c>
      <c r="Y11" s="56" t="str">
        <f aca="false">IF($M11="","",IFERROR(INDEX(강사DB!$D$4:$D$53,MATCH($M11,강사DB!$A$4:$A$53,0)),""))</f>
        <v/>
      </c>
      <c r="Z11" s="56" t="str">
        <f aca="false">IF($B11&lt;&gt;"결제완료","",IF(OR($Y11="",$J11=""),"",$Y11*$J11+MAX(0,N($K11)-1)*설정!$J$7))</f>
        <v/>
      </c>
      <c r="AA11" s="56" t="str">
        <f aca="false">IF(AND($D11&lt;&gt;"",$B11="결제완료"),N($N11),"")</f>
        <v/>
      </c>
      <c r="AB11" s="45" t="str">
        <f aca="false">IF($D11="","",IF($F11&lt;&gt;"",$F11,$D11)&amp;IF($B11="상담중"," (상담)",""))</f>
        <v/>
      </c>
      <c r="AC11" s="45" t="n">
        <f aca="false">IF(AND($D11&lt;&gt;"",OR($B11="결제완료",$B11="상담중")),1,0)</f>
        <v>0</v>
      </c>
      <c r="AD11" s="45" t="n">
        <f aca="false">IF(OR($Z11="",$U11=""),0,IFERROR(IF(COUNTIFS(INDEX(g_grid,0,2*MATCH($M11,강사DB!$A$4:$A$15,0)),"&lt;&gt;",g_s,"&lt;="&amp;$U11,g_e,"&gt;="&amp;$U11)&gt;0,1,0),0))</f>
        <v>0</v>
      </c>
      <c r="AE11" s="48"/>
      <c r="AF11" s="56" t="str">
        <f aca="false">IF(AND($D11&lt;&gt;"",$B11="결제완료",$T11="대여"),설정!$J$5,"")</f>
        <v/>
      </c>
      <c r="AG11" s="54" t="str">
        <f aca="false">IF($D11="","",IF(AND($E11="",$R11=""),$AB11,"☎ "&amp;IF($E11="","-",$E11)&amp;IF($R11&lt;&gt;"","  ※ "&amp;$R11,"")&amp;IF($B11="상담중"," (상담)","")))</f>
        <v/>
      </c>
      <c r="AH11" s="56" t="str">
        <f aca="false">IF(AND($D11&lt;&gt;"",$B11="결제완료",$O11="스마트스토어"),ROUND(N($N11)*설정!$J$6,0),"")</f>
        <v/>
      </c>
      <c r="AI11" s="54" t="str">
        <f aca="false">IF($D11="","",ROW())</f>
        <v/>
      </c>
      <c r="AJ11" s="54" t="n">
        <f aca="false">IF(OR($AC11&lt;&gt;1,$M11=""),0,IF(ISNUMBER(SEARCH("퇴사",IFERROR(INDEX(강사DB!$G$4:$G$53,MATCH($M11,강사DB!$A$4:$A$53,0)),""))),1,0))</f>
        <v>0</v>
      </c>
    </row>
    <row r="12" customFormat="false" ht="15" hidden="false" customHeight="false" outlineLevel="0" collapsed="false">
      <c r="A12" s="45" t="str">
        <f aca="false">IF($D12="","",COUNTA($D$5:$D12))</f>
        <v/>
      </c>
      <c r="B12" s="46"/>
      <c r="C12" s="47"/>
      <c r="D12" s="48"/>
      <c r="E12" s="48"/>
      <c r="F12" s="49"/>
      <c r="G12" s="47"/>
      <c r="H12" s="50"/>
      <c r="I12" s="50"/>
      <c r="J12" s="51" t="str">
        <f aca="false">IF(OR($V12="",$W12=""),"",ROUND(($W12-$V12)/60,2))</f>
        <v/>
      </c>
      <c r="K12" s="52" t="str">
        <f aca="false">IF($F12="","",LEN($F12)-LEN(SUBSTITUTE($F12,",",""))+1)</f>
        <v/>
      </c>
      <c r="L12" s="45" t="str">
        <f aca="false">IF($K12="","","1:"&amp;$K12)</f>
        <v/>
      </c>
      <c r="M12" s="46"/>
      <c r="N12" s="53"/>
      <c r="O12" s="46"/>
      <c r="P12" s="47"/>
      <c r="Q12" s="48"/>
      <c r="R12" s="49"/>
      <c r="S12" s="54" t="str">
        <f aca="false">IF(OR($AC12=0,$U12="",$M12="",$V12="",$W12=""),"",IF(COUNTIFS(m_teacher,$M12,m_date,$U12,m_active,1,m_start,"&lt;"&amp;$W12,m_end,"&gt;"&amp;$V12)&gt;1,"충돌",""))</f>
        <v/>
      </c>
      <c r="T12" s="48"/>
      <c r="U12" s="55" t="str">
        <f aca="false">IF($G12="","",IFERROR(IF(ISNUMBER($G12),IF($G12&gt;19000000,DATE(INT($G12/10000),MOD(INT($G12/100),100),MOD($G12,100)),INT($G12)),IF(LEN(SUBSTITUTE(SUBSTITUTE(SUBSTITUTE(TRIM($G12),"-",""),".",""),"/",""))=8,DATE(VALUE(LEFT(SUBSTITUTE(SUBSTITUTE(SUBSTITUTE(TRIM($G12),"-",""),".",""),"/",""),4)),VALUE(MID(SUBSTITUTE(SUBSTITUTE(SUBSTITUTE(TRIM($G12),"-",""),".",""),"/",""),5,2)),VALUE(RIGHT(SUBSTITUTE(SUBSTITUTE(SUBSTITUTE(TRIM($G12),"-",""),".",""),"/",""),2))),DATEVALUE($G12))),""))</f>
        <v/>
      </c>
      <c r="V12" s="52" t="str">
        <f aca="false">IF($H12="","",IFERROR(IF(IF(ISNUMBER($H12),$H12,IFERROR(TIMEVALUE($H12),VALUE($H12)))&gt;=100,INT(IF(ISNUMBER($H12),$H12,IFERROR(TIMEVALUE($H12),VALUE($H12)))/100)*60+MOD(IF(ISNUMBER($H12),$H12,IFERROR(TIMEVALUE($H12),VALUE($H12))),100),IF(IF(ISNUMBER($H12),$H12,IFERROR(TIMEVALUE($H12),VALUE($H12)))&gt;=1,ROUND(IF(ISNUMBER($H12),$H12,IFERROR(TIMEVALUE($H12),VALUE($H12)))*60,0),ROUND(MOD(IF(ISNUMBER($H12),$H12,IFERROR(TIMEVALUE($H12),VALUE($H12))),1)*1440,0))),""))</f>
        <v/>
      </c>
      <c r="W12" s="52" t="str">
        <f aca="false">IF($I12="","",IFERROR(IF(IF(ISNUMBER($I12),$I12,IFERROR(TIMEVALUE($I12),VALUE($I12)))&gt;=100,INT(IF(ISNUMBER($I12),$I12,IFERROR(TIMEVALUE($I12),VALUE($I12)))/100)*60+MOD(IF(ISNUMBER($I12),$I12,IFERROR(TIMEVALUE($I12),VALUE($I12))),100),IF(IF(ISNUMBER($I12),$I12,IFERROR(TIMEVALUE($I12),VALUE($I12)))&gt;=1,ROUND(IF(ISNUMBER($I12),$I12,IFERROR(TIMEVALUE($I12),VALUE($I12)))*60,0),ROUND(MOD(IF(ISNUMBER($I12),$I12,IFERROR(TIMEVALUE($I12),VALUE($I12))),1)*1440,0))),""))</f>
        <v/>
      </c>
      <c r="X12" s="55" t="str">
        <f aca="false">IF($P12="","",IFERROR(IF(ISNUMBER($P12),IF($P12&gt;19000000,DATE(INT($P12/10000),MOD(INT($P12/100),100),MOD($P12,100)),INT($P12)),IF(LEN(SUBSTITUTE(SUBSTITUTE(SUBSTITUTE(TRIM($P12),"-",""),".",""),"/",""))=8,DATE(VALUE(LEFT(SUBSTITUTE(SUBSTITUTE(SUBSTITUTE(TRIM($P12),"-",""),".",""),"/",""),4)),VALUE(MID(SUBSTITUTE(SUBSTITUTE(SUBSTITUTE(TRIM($P12),"-",""),".",""),"/",""),5,2)),VALUE(RIGHT(SUBSTITUTE(SUBSTITUTE(SUBSTITUTE(TRIM($P12),"-",""),".",""),"/",""),2))),DATEVALUE($P12))),""))</f>
        <v/>
      </c>
      <c r="Y12" s="56" t="str">
        <f aca="false">IF($M12="","",IFERROR(INDEX(강사DB!$D$4:$D$53,MATCH($M12,강사DB!$A$4:$A$53,0)),""))</f>
        <v/>
      </c>
      <c r="Z12" s="56" t="str">
        <f aca="false">IF($B12&lt;&gt;"결제완료","",IF(OR($Y12="",$J12=""),"",$Y12*$J12+MAX(0,N($K12)-1)*설정!$J$7))</f>
        <v/>
      </c>
      <c r="AA12" s="56" t="str">
        <f aca="false">IF(AND($D12&lt;&gt;"",$B12="결제완료"),N($N12),"")</f>
        <v/>
      </c>
      <c r="AB12" s="45" t="str">
        <f aca="false">IF($D12="","",IF($F12&lt;&gt;"",$F12,$D12)&amp;IF($B12="상담중"," (상담)",""))</f>
        <v/>
      </c>
      <c r="AC12" s="45" t="n">
        <f aca="false">IF(AND($D12&lt;&gt;"",OR($B12="결제완료",$B12="상담중")),1,0)</f>
        <v>0</v>
      </c>
      <c r="AD12" s="45" t="n">
        <f aca="false">IF(OR($Z12="",$U12=""),0,IFERROR(IF(COUNTIFS(INDEX(g_grid,0,2*MATCH($M12,강사DB!$A$4:$A$15,0)),"&lt;&gt;",g_s,"&lt;="&amp;$U12,g_e,"&gt;="&amp;$U12)&gt;0,1,0),0))</f>
        <v>0</v>
      </c>
      <c r="AE12" s="48"/>
      <c r="AF12" s="56" t="str">
        <f aca="false">IF(AND($D12&lt;&gt;"",$B12="결제완료",$T12="대여"),설정!$J$5,"")</f>
        <v/>
      </c>
      <c r="AG12" s="54" t="str">
        <f aca="false">IF($D12="","",IF(AND($E12="",$R12=""),$AB12,"☎ "&amp;IF($E12="","-",$E12)&amp;IF($R12&lt;&gt;"","  ※ "&amp;$R12,"")&amp;IF($B12="상담중"," (상담)","")))</f>
        <v/>
      </c>
      <c r="AH12" s="56" t="str">
        <f aca="false">IF(AND($D12&lt;&gt;"",$B12="결제완료",$O12="스마트스토어"),ROUND(N($N12)*설정!$J$6,0),"")</f>
        <v/>
      </c>
      <c r="AI12" s="54" t="str">
        <f aca="false">IF($D12="","",ROW())</f>
        <v/>
      </c>
      <c r="AJ12" s="54" t="n">
        <f aca="false">IF(OR($AC12&lt;&gt;1,$M12=""),0,IF(ISNUMBER(SEARCH("퇴사",IFERROR(INDEX(강사DB!$G$4:$G$53,MATCH($M12,강사DB!$A$4:$A$53,0)),""))),1,0))</f>
        <v>0</v>
      </c>
    </row>
    <row r="13" customFormat="false" ht="15" hidden="false" customHeight="false" outlineLevel="0" collapsed="false">
      <c r="A13" s="45" t="str">
        <f aca="false">IF($D13="","",COUNTA($D$5:$D13))</f>
        <v/>
      </c>
      <c r="B13" s="46"/>
      <c r="C13" s="47"/>
      <c r="D13" s="48"/>
      <c r="E13" s="48"/>
      <c r="F13" s="49"/>
      <c r="G13" s="47"/>
      <c r="H13" s="50"/>
      <c r="I13" s="50"/>
      <c r="J13" s="51" t="str">
        <f aca="false">IF(OR($V13="",$W13=""),"",ROUND(($W13-$V13)/60,2))</f>
        <v/>
      </c>
      <c r="K13" s="52" t="str">
        <f aca="false">IF($F13="","",LEN($F13)-LEN(SUBSTITUTE($F13,",",""))+1)</f>
        <v/>
      </c>
      <c r="L13" s="45" t="str">
        <f aca="false">IF($K13="","","1:"&amp;$K13)</f>
        <v/>
      </c>
      <c r="M13" s="46"/>
      <c r="N13" s="53"/>
      <c r="O13" s="46"/>
      <c r="P13" s="47"/>
      <c r="Q13" s="48"/>
      <c r="R13" s="49"/>
      <c r="S13" s="54" t="str">
        <f aca="false">IF(OR($AC13=0,$U13="",$M13="",$V13="",$W13=""),"",IF(COUNTIFS(m_teacher,$M13,m_date,$U13,m_active,1,m_start,"&lt;"&amp;$W13,m_end,"&gt;"&amp;$V13)&gt;1,"충돌",""))</f>
        <v/>
      </c>
      <c r="T13" s="48"/>
      <c r="U13" s="55" t="str">
        <f aca="false">IF($G13="","",IFERROR(IF(ISNUMBER($G13),IF($G13&gt;19000000,DATE(INT($G13/10000),MOD(INT($G13/100),100),MOD($G13,100)),INT($G13)),IF(LEN(SUBSTITUTE(SUBSTITUTE(SUBSTITUTE(TRIM($G13),"-",""),".",""),"/",""))=8,DATE(VALUE(LEFT(SUBSTITUTE(SUBSTITUTE(SUBSTITUTE(TRIM($G13),"-",""),".",""),"/",""),4)),VALUE(MID(SUBSTITUTE(SUBSTITUTE(SUBSTITUTE(TRIM($G13),"-",""),".",""),"/",""),5,2)),VALUE(RIGHT(SUBSTITUTE(SUBSTITUTE(SUBSTITUTE(TRIM($G13),"-",""),".",""),"/",""),2))),DATEVALUE($G13))),""))</f>
        <v/>
      </c>
      <c r="V13" s="52" t="str">
        <f aca="false">IF($H13="","",IFERROR(IF(IF(ISNUMBER($H13),$H13,IFERROR(TIMEVALUE($H13),VALUE($H13)))&gt;=100,INT(IF(ISNUMBER($H13),$H13,IFERROR(TIMEVALUE($H13),VALUE($H13)))/100)*60+MOD(IF(ISNUMBER($H13),$H13,IFERROR(TIMEVALUE($H13),VALUE($H13))),100),IF(IF(ISNUMBER($H13),$H13,IFERROR(TIMEVALUE($H13),VALUE($H13)))&gt;=1,ROUND(IF(ISNUMBER($H13),$H13,IFERROR(TIMEVALUE($H13),VALUE($H13)))*60,0),ROUND(MOD(IF(ISNUMBER($H13),$H13,IFERROR(TIMEVALUE($H13),VALUE($H13))),1)*1440,0))),""))</f>
        <v/>
      </c>
      <c r="W13" s="52" t="str">
        <f aca="false">IF($I13="","",IFERROR(IF(IF(ISNUMBER($I13),$I13,IFERROR(TIMEVALUE($I13),VALUE($I13)))&gt;=100,INT(IF(ISNUMBER($I13),$I13,IFERROR(TIMEVALUE($I13),VALUE($I13)))/100)*60+MOD(IF(ISNUMBER($I13),$I13,IFERROR(TIMEVALUE($I13),VALUE($I13))),100),IF(IF(ISNUMBER($I13),$I13,IFERROR(TIMEVALUE($I13),VALUE($I13)))&gt;=1,ROUND(IF(ISNUMBER($I13),$I13,IFERROR(TIMEVALUE($I13),VALUE($I13)))*60,0),ROUND(MOD(IF(ISNUMBER($I13),$I13,IFERROR(TIMEVALUE($I13),VALUE($I13))),1)*1440,0))),""))</f>
        <v/>
      </c>
      <c r="X13" s="55" t="str">
        <f aca="false">IF($P13="","",IFERROR(IF(ISNUMBER($P13),IF($P13&gt;19000000,DATE(INT($P13/10000),MOD(INT($P13/100),100),MOD($P13,100)),INT($P13)),IF(LEN(SUBSTITUTE(SUBSTITUTE(SUBSTITUTE(TRIM($P13),"-",""),".",""),"/",""))=8,DATE(VALUE(LEFT(SUBSTITUTE(SUBSTITUTE(SUBSTITUTE(TRIM($P13),"-",""),".",""),"/",""),4)),VALUE(MID(SUBSTITUTE(SUBSTITUTE(SUBSTITUTE(TRIM($P13),"-",""),".",""),"/",""),5,2)),VALUE(RIGHT(SUBSTITUTE(SUBSTITUTE(SUBSTITUTE(TRIM($P13),"-",""),".",""),"/",""),2))),DATEVALUE($P13))),""))</f>
        <v/>
      </c>
      <c r="Y13" s="56" t="str">
        <f aca="false">IF($M13="","",IFERROR(INDEX(강사DB!$D$4:$D$53,MATCH($M13,강사DB!$A$4:$A$53,0)),""))</f>
        <v/>
      </c>
      <c r="Z13" s="56" t="str">
        <f aca="false">IF($B13&lt;&gt;"결제완료","",IF(OR($Y13="",$J13=""),"",$Y13*$J13+MAX(0,N($K13)-1)*설정!$J$7))</f>
        <v/>
      </c>
      <c r="AA13" s="56" t="str">
        <f aca="false">IF(AND($D13&lt;&gt;"",$B13="결제완료"),N($N13),"")</f>
        <v/>
      </c>
      <c r="AB13" s="45" t="str">
        <f aca="false">IF($D13="","",IF($F13&lt;&gt;"",$F13,$D13)&amp;IF($B13="상담중"," (상담)",""))</f>
        <v/>
      </c>
      <c r="AC13" s="45" t="n">
        <f aca="false">IF(AND($D13&lt;&gt;"",OR($B13="결제완료",$B13="상담중")),1,0)</f>
        <v>0</v>
      </c>
      <c r="AD13" s="45" t="n">
        <f aca="false">IF(OR($Z13="",$U13=""),0,IFERROR(IF(COUNTIFS(INDEX(g_grid,0,2*MATCH($M13,강사DB!$A$4:$A$15,0)),"&lt;&gt;",g_s,"&lt;="&amp;$U13,g_e,"&gt;="&amp;$U13)&gt;0,1,0),0))</f>
        <v>0</v>
      </c>
      <c r="AE13" s="48"/>
      <c r="AF13" s="56" t="str">
        <f aca="false">IF(AND($D13&lt;&gt;"",$B13="결제완료",$T13="대여"),설정!$J$5,"")</f>
        <v/>
      </c>
      <c r="AG13" s="54" t="str">
        <f aca="false">IF($D13="","",IF(AND($E13="",$R13=""),$AB13,"☎ "&amp;IF($E13="","-",$E13)&amp;IF($R13&lt;&gt;"","  ※ "&amp;$R13,"")&amp;IF($B13="상담중"," (상담)","")))</f>
        <v/>
      </c>
      <c r="AH13" s="56" t="str">
        <f aca="false">IF(AND($D13&lt;&gt;"",$B13="결제완료",$O13="스마트스토어"),ROUND(N($N13)*설정!$J$6,0),"")</f>
        <v/>
      </c>
      <c r="AI13" s="54" t="str">
        <f aca="false">IF($D13="","",ROW())</f>
        <v/>
      </c>
      <c r="AJ13" s="54" t="n">
        <f aca="false">IF(OR($AC13&lt;&gt;1,$M13=""),0,IF(ISNUMBER(SEARCH("퇴사",IFERROR(INDEX(강사DB!$G$4:$G$53,MATCH($M13,강사DB!$A$4:$A$53,0)),""))),1,0))</f>
        <v>0</v>
      </c>
    </row>
    <row r="14" customFormat="false" ht="15" hidden="false" customHeight="false" outlineLevel="0" collapsed="false">
      <c r="A14" s="45" t="str">
        <f aca="false">IF($D14="","",COUNTA($D$5:$D14))</f>
        <v/>
      </c>
      <c r="B14" s="46"/>
      <c r="C14" s="47"/>
      <c r="D14" s="48"/>
      <c r="E14" s="48"/>
      <c r="F14" s="49"/>
      <c r="G14" s="47"/>
      <c r="H14" s="50"/>
      <c r="I14" s="50"/>
      <c r="J14" s="51" t="str">
        <f aca="false">IF(OR($V14="",$W14=""),"",ROUND(($W14-$V14)/60,2))</f>
        <v/>
      </c>
      <c r="K14" s="52" t="str">
        <f aca="false">IF($F14="","",LEN($F14)-LEN(SUBSTITUTE($F14,",",""))+1)</f>
        <v/>
      </c>
      <c r="L14" s="45" t="str">
        <f aca="false">IF($K14="","","1:"&amp;$K14)</f>
        <v/>
      </c>
      <c r="M14" s="46"/>
      <c r="N14" s="53"/>
      <c r="O14" s="46"/>
      <c r="P14" s="47"/>
      <c r="Q14" s="48"/>
      <c r="R14" s="49"/>
      <c r="S14" s="54" t="str">
        <f aca="false">IF(OR($AC14=0,$U14="",$M14="",$V14="",$W14=""),"",IF(COUNTIFS(m_teacher,$M14,m_date,$U14,m_active,1,m_start,"&lt;"&amp;$W14,m_end,"&gt;"&amp;$V14)&gt;1,"충돌",""))</f>
        <v/>
      </c>
      <c r="T14" s="48"/>
      <c r="U14" s="55" t="str">
        <f aca="false">IF($G14="","",IFERROR(IF(ISNUMBER($G14),IF($G14&gt;19000000,DATE(INT($G14/10000),MOD(INT($G14/100),100),MOD($G14,100)),INT($G14)),IF(LEN(SUBSTITUTE(SUBSTITUTE(SUBSTITUTE(TRIM($G14),"-",""),".",""),"/",""))=8,DATE(VALUE(LEFT(SUBSTITUTE(SUBSTITUTE(SUBSTITUTE(TRIM($G14),"-",""),".",""),"/",""),4)),VALUE(MID(SUBSTITUTE(SUBSTITUTE(SUBSTITUTE(TRIM($G14),"-",""),".",""),"/",""),5,2)),VALUE(RIGHT(SUBSTITUTE(SUBSTITUTE(SUBSTITUTE(TRIM($G14),"-",""),".",""),"/",""),2))),DATEVALUE($G14))),""))</f>
        <v/>
      </c>
      <c r="V14" s="52" t="str">
        <f aca="false">IF($H14="","",IFERROR(IF(IF(ISNUMBER($H14),$H14,IFERROR(TIMEVALUE($H14),VALUE($H14)))&gt;=100,INT(IF(ISNUMBER($H14),$H14,IFERROR(TIMEVALUE($H14),VALUE($H14)))/100)*60+MOD(IF(ISNUMBER($H14),$H14,IFERROR(TIMEVALUE($H14),VALUE($H14))),100),IF(IF(ISNUMBER($H14),$H14,IFERROR(TIMEVALUE($H14),VALUE($H14)))&gt;=1,ROUND(IF(ISNUMBER($H14),$H14,IFERROR(TIMEVALUE($H14),VALUE($H14)))*60,0),ROUND(MOD(IF(ISNUMBER($H14),$H14,IFERROR(TIMEVALUE($H14),VALUE($H14))),1)*1440,0))),""))</f>
        <v/>
      </c>
      <c r="W14" s="52" t="str">
        <f aca="false">IF($I14="","",IFERROR(IF(IF(ISNUMBER($I14),$I14,IFERROR(TIMEVALUE($I14),VALUE($I14)))&gt;=100,INT(IF(ISNUMBER($I14),$I14,IFERROR(TIMEVALUE($I14),VALUE($I14)))/100)*60+MOD(IF(ISNUMBER($I14),$I14,IFERROR(TIMEVALUE($I14),VALUE($I14))),100),IF(IF(ISNUMBER($I14),$I14,IFERROR(TIMEVALUE($I14),VALUE($I14)))&gt;=1,ROUND(IF(ISNUMBER($I14),$I14,IFERROR(TIMEVALUE($I14),VALUE($I14)))*60,0),ROUND(MOD(IF(ISNUMBER($I14),$I14,IFERROR(TIMEVALUE($I14),VALUE($I14))),1)*1440,0))),""))</f>
        <v/>
      </c>
      <c r="X14" s="55" t="str">
        <f aca="false">IF($P14="","",IFERROR(IF(ISNUMBER($P14),IF($P14&gt;19000000,DATE(INT($P14/10000),MOD(INT($P14/100),100),MOD($P14,100)),INT($P14)),IF(LEN(SUBSTITUTE(SUBSTITUTE(SUBSTITUTE(TRIM($P14),"-",""),".",""),"/",""))=8,DATE(VALUE(LEFT(SUBSTITUTE(SUBSTITUTE(SUBSTITUTE(TRIM($P14),"-",""),".",""),"/",""),4)),VALUE(MID(SUBSTITUTE(SUBSTITUTE(SUBSTITUTE(TRIM($P14),"-",""),".",""),"/",""),5,2)),VALUE(RIGHT(SUBSTITUTE(SUBSTITUTE(SUBSTITUTE(TRIM($P14),"-",""),".",""),"/",""),2))),DATEVALUE($P14))),""))</f>
        <v/>
      </c>
      <c r="Y14" s="56" t="str">
        <f aca="false">IF($M14="","",IFERROR(INDEX(강사DB!$D$4:$D$53,MATCH($M14,강사DB!$A$4:$A$53,0)),""))</f>
        <v/>
      </c>
      <c r="Z14" s="56" t="str">
        <f aca="false">IF($B14&lt;&gt;"결제완료","",IF(OR($Y14="",$J14=""),"",$Y14*$J14+MAX(0,N($K14)-1)*설정!$J$7))</f>
        <v/>
      </c>
      <c r="AA14" s="56" t="str">
        <f aca="false">IF(AND($D14&lt;&gt;"",$B14="결제완료"),N($N14),"")</f>
        <v/>
      </c>
      <c r="AB14" s="45" t="str">
        <f aca="false">IF($D14="","",IF($F14&lt;&gt;"",$F14,$D14)&amp;IF($B14="상담중"," (상담)",""))</f>
        <v/>
      </c>
      <c r="AC14" s="45" t="n">
        <f aca="false">IF(AND($D14&lt;&gt;"",OR($B14="결제완료",$B14="상담중")),1,0)</f>
        <v>0</v>
      </c>
      <c r="AD14" s="45" t="n">
        <f aca="false">IF(OR($Z14="",$U14=""),0,IFERROR(IF(COUNTIFS(INDEX(g_grid,0,2*MATCH($M14,강사DB!$A$4:$A$15,0)),"&lt;&gt;",g_s,"&lt;="&amp;$U14,g_e,"&gt;="&amp;$U14)&gt;0,1,0),0))</f>
        <v>0</v>
      </c>
      <c r="AE14" s="48"/>
      <c r="AF14" s="56" t="str">
        <f aca="false">IF(AND($D14&lt;&gt;"",$B14="결제완료",$T14="대여"),설정!$J$5,"")</f>
        <v/>
      </c>
      <c r="AG14" s="54" t="str">
        <f aca="false">IF($D14="","",IF(AND($E14="",$R14=""),$AB14,"☎ "&amp;IF($E14="","-",$E14)&amp;IF($R14&lt;&gt;"","  ※ "&amp;$R14,"")&amp;IF($B14="상담중"," (상담)","")))</f>
        <v/>
      </c>
      <c r="AH14" s="56" t="str">
        <f aca="false">IF(AND($D14&lt;&gt;"",$B14="결제완료",$O14="스마트스토어"),ROUND(N($N14)*설정!$J$6,0),"")</f>
        <v/>
      </c>
      <c r="AI14" s="54" t="str">
        <f aca="false">IF($D14="","",ROW())</f>
        <v/>
      </c>
      <c r="AJ14" s="54" t="n">
        <f aca="false">IF(OR($AC14&lt;&gt;1,$M14=""),0,IF(ISNUMBER(SEARCH("퇴사",IFERROR(INDEX(강사DB!$G$4:$G$53,MATCH($M14,강사DB!$A$4:$A$53,0)),""))),1,0))</f>
        <v>0</v>
      </c>
    </row>
    <row r="15" customFormat="false" ht="15" hidden="false" customHeight="false" outlineLevel="0" collapsed="false">
      <c r="A15" s="45" t="str">
        <f aca="false">IF($D15="","",COUNTA($D$5:$D15))</f>
        <v/>
      </c>
      <c r="B15" s="46"/>
      <c r="C15" s="47"/>
      <c r="D15" s="48"/>
      <c r="E15" s="48"/>
      <c r="F15" s="49"/>
      <c r="G15" s="47"/>
      <c r="H15" s="50"/>
      <c r="I15" s="50"/>
      <c r="J15" s="51" t="str">
        <f aca="false">IF(OR($V15="",$W15=""),"",ROUND(($W15-$V15)/60,2))</f>
        <v/>
      </c>
      <c r="K15" s="52" t="str">
        <f aca="false">IF($F15="","",LEN($F15)-LEN(SUBSTITUTE($F15,",",""))+1)</f>
        <v/>
      </c>
      <c r="L15" s="45" t="str">
        <f aca="false">IF($K15="","","1:"&amp;$K15)</f>
        <v/>
      </c>
      <c r="M15" s="46"/>
      <c r="N15" s="53"/>
      <c r="O15" s="46"/>
      <c r="P15" s="47"/>
      <c r="Q15" s="48"/>
      <c r="R15" s="49"/>
      <c r="S15" s="54" t="str">
        <f aca="false">IF(OR($AC15=0,$U15="",$M15="",$V15="",$W15=""),"",IF(COUNTIFS(m_teacher,$M15,m_date,$U15,m_active,1,m_start,"&lt;"&amp;$W15,m_end,"&gt;"&amp;$V15)&gt;1,"충돌",""))</f>
        <v/>
      </c>
      <c r="T15" s="48"/>
      <c r="U15" s="55" t="str">
        <f aca="false">IF($G15="","",IFERROR(IF(ISNUMBER($G15),IF($G15&gt;19000000,DATE(INT($G15/10000),MOD(INT($G15/100),100),MOD($G15,100)),INT($G15)),IF(LEN(SUBSTITUTE(SUBSTITUTE(SUBSTITUTE(TRIM($G15),"-",""),".",""),"/",""))=8,DATE(VALUE(LEFT(SUBSTITUTE(SUBSTITUTE(SUBSTITUTE(TRIM($G15),"-",""),".",""),"/",""),4)),VALUE(MID(SUBSTITUTE(SUBSTITUTE(SUBSTITUTE(TRIM($G15),"-",""),".",""),"/",""),5,2)),VALUE(RIGHT(SUBSTITUTE(SUBSTITUTE(SUBSTITUTE(TRIM($G15),"-",""),".",""),"/",""),2))),DATEVALUE($G15))),""))</f>
        <v/>
      </c>
      <c r="V15" s="52" t="str">
        <f aca="false">IF($H15="","",IFERROR(IF(IF(ISNUMBER($H15),$H15,IFERROR(TIMEVALUE($H15),VALUE($H15)))&gt;=100,INT(IF(ISNUMBER($H15),$H15,IFERROR(TIMEVALUE($H15),VALUE($H15)))/100)*60+MOD(IF(ISNUMBER($H15),$H15,IFERROR(TIMEVALUE($H15),VALUE($H15))),100),IF(IF(ISNUMBER($H15),$H15,IFERROR(TIMEVALUE($H15),VALUE($H15)))&gt;=1,ROUND(IF(ISNUMBER($H15),$H15,IFERROR(TIMEVALUE($H15),VALUE($H15)))*60,0),ROUND(MOD(IF(ISNUMBER($H15),$H15,IFERROR(TIMEVALUE($H15),VALUE($H15))),1)*1440,0))),""))</f>
        <v/>
      </c>
      <c r="W15" s="52" t="str">
        <f aca="false">IF($I15="","",IFERROR(IF(IF(ISNUMBER($I15),$I15,IFERROR(TIMEVALUE($I15),VALUE($I15)))&gt;=100,INT(IF(ISNUMBER($I15),$I15,IFERROR(TIMEVALUE($I15),VALUE($I15)))/100)*60+MOD(IF(ISNUMBER($I15),$I15,IFERROR(TIMEVALUE($I15),VALUE($I15))),100),IF(IF(ISNUMBER($I15),$I15,IFERROR(TIMEVALUE($I15),VALUE($I15)))&gt;=1,ROUND(IF(ISNUMBER($I15),$I15,IFERROR(TIMEVALUE($I15),VALUE($I15)))*60,0),ROUND(MOD(IF(ISNUMBER($I15),$I15,IFERROR(TIMEVALUE($I15),VALUE($I15))),1)*1440,0))),""))</f>
        <v/>
      </c>
      <c r="X15" s="55" t="str">
        <f aca="false">IF($P15="","",IFERROR(IF(ISNUMBER($P15),IF($P15&gt;19000000,DATE(INT($P15/10000),MOD(INT($P15/100),100),MOD($P15,100)),INT($P15)),IF(LEN(SUBSTITUTE(SUBSTITUTE(SUBSTITUTE(TRIM($P15),"-",""),".",""),"/",""))=8,DATE(VALUE(LEFT(SUBSTITUTE(SUBSTITUTE(SUBSTITUTE(TRIM($P15),"-",""),".",""),"/",""),4)),VALUE(MID(SUBSTITUTE(SUBSTITUTE(SUBSTITUTE(TRIM($P15),"-",""),".",""),"/",""),5,2)),VALUE(RIGHT(SUBSTITUTE(SUBSTITUTE(SUBSTITUTE(TRIM($P15),"-",""),".",""),"/",""),2))),DATEVALUE($P15))),""))</f>
        <v/>
      </c>
      <c r="Y15" s="56" t="str">
        <f aca="false">IF($M15="","",IFERROR(INDEX(강사DB!$D$4:$D$53,MATCH($M15,강사DB!$A$4:$A$53,0)),""))</f>
        <v/>
      </c>
      <c r="Z15" s="56" t="str">
        <f aca="false">IF($B15&lt;&gt;"결제완료","",IF(OR($Y15="",$J15=""),"",$Y15*$J15+MAX(0,N($K15)-1)*설정!$J$7))</f>
        <v/>
      </c>
      <c r="AA15" s="56" t="str">
        <f aca="false">IF(AND($D15&lt;&gt;"",$B15="결제완료"),N($N15),"")</f>
        <v/>
      </c>
      <c r="AB15" s="45" t="str">
        <f aca="false">IF($D15="","",IF($F15&lt;&gt;"",$F15,$D15)&amp;IF($B15="상담중"," (상담)",""))</f>
        <v/>
      </c>
      <c r="AC15" s="45" t="n">
        <f aca="false">IF(AND($D15&lt;&gt;"",OR($B15="결제완료",$B15="상담중")),1,0)</f>
        <v>0</v>
      </c>
      <c r="AD15" s="45" t="n">
        <f aca="false">IF(OR($Z15="",$U15=""),0,IFERROR(IF(COUNTIFS(INDEX(g_grid,0,2*MATCH($M15,강사DB!$A$4:$A$15,0)),"&lt;&gt;",g_s,"&lt;="&amp;$U15,g_e,"&gt;="&amp;$U15)&gt;0,1,0),0))</f>
        <v>0</v>
      </c>
      <c r="AE15" s="48"/>
      <c r="AF15" s="56" t="str">
        <f aca="false">IF(AND($D15&lt;&gt;"",$B15="결제완료",$T15="대여"),설정!$J$5,"")</f>
        <v/>
      </c>
      <c r="AG15" s="54" t="str">
        <f aca="false">IF($D15="","",IF(AND($E15="",$R15=""),$AB15,"☎ "&amp;IF($E15="","-",$E15)&amp;IF($R15&lt;&gt;"","  ※ "&amp;$R15,"")&amp;IF($B15="상담중"," (상담)","")))</f>
        <v/>
      </c>
      <c r="AH15" s="56" t="str">
        <f aca="false">IF(AND($D15&lt;&gt;"",$B15="결제완료",$O15="스마트스토어"),ROUND(N($N15)*설정!$J$6,0),"")</f>
        <v/>
      </c>
      <c r="AI15" s="54" t="str">
        <f aca="false">IF($D15="","",ROW())</f>
        <v/>
      </c>
      <c r="AJ15" s="54" t="n">
        <f aca="false">IF(OR($AC15&lt;&gt;1,$M15=""),0,IF(ISNUMBER(SEARCH("퇴사",IFERROR(INDEX(강사DB!$G$4:$G$53,MATCH($M15,강사DB!$A$4:$A$53,0)),""))),1,0))</f>
        <v>0</v>
      </c>
    </row>
    <row r="16" customFormat="false" ht="15" hidden="false" customHeight="false" outlineLevel="0" collapsed="false">
      <c r="A16" s="45" t="str">
        <f aca="false">IF($D16="","",COUNTA($D$5:$D16))</f>
        <v/>
      </c>
      <c r="B16" s="46"/>
      <c r="C16" s="47"/>
      <c r="D16" s="48"/>
      <c r="E16" s="48"/>
      <c r="F16" s="49"/>
      <c r="G16" s="47"/>
      <c r="H16" s="50"/>
      <c r="I16" s="50"/>
      <c r="J16" s="51" t="str">
        <f aca="false">IF(OR($V16="",$W16=""),"",ROUND(($W16-$V16)/60,2))</f>
        <v/>
      </c>
      <c r="K16" s="52" t="str">
        <f aca="false">IF($F16="","",LEN($F16)-LEN(SUBSTITUTE($F16,",",""))+1)</f>
        <v/>
      </c>
      <c r="L16" s="45" t="str">
        <f aca="false">IF($K16="","","1:"&amp;$K16)</f>
        <v/>
      </c>
      <c r="M16" s="46"/>
      <c r="N16" s="53"/>
      <c r="O16" s="46"/>
      <c r="P16" s="47"/>
      <c r="Q16" s="48"/>
      <c r="R16" s="49"/>
      <c r="S16" s="54" t="str">
        <f aca="false">IF(OR($AC16=0,$U16="",$M16="",$V16="",$W16=""),"",IF(COUNTIFS(m_teacher,$M16,m_date,$U16,m_active,1,m_start,"&lt;"&amp;$W16,m_end,"&gt;"&amp;$V16)&gt;1,"충돌",""))</f>
        <v/>
      </c>
      <c r="T16" s="48"/>
      <c r="U16" s="55" t="str">
        <f aca="false">IF($G16="","",IFERROR(IF(ISNUMBER($G16),IF($G16&gt;19000000,DATE(INT($G16/10000),MOD(INT($G16/100),100),MOD($G16,100)),INT($G16)),IF(LEN(SUBSTITUTE(SUBSTITUTE(SUBSTITUTE(TRIM($G16),"-",""),".",""),"/",""))=8,DATE(VALUE(LEFT(SUBSTITUTE(SUBSTITUTE(SUBSTITUTE(TRIM($G16),"-",""),".",""),"/",""),4)),VALUE(MID(SUBSTITUTE(SUBSTITUTE(SUBSTITUTE(TRIM($G16),"-",""),".",""),"/",""),5,2)),VALUE(RIGHT(SUBSTITUTE(SUBSTITUTE(SUBSTITUTE(TRIM($G16),"-",""),".",""),"/",""),2))),DATEVALUE($G16))),""))</f>
        <v/>
      </c>
      <c r="V16" s="52" t="str">
        <f aca="false">IF($H16="","",IFERROR(IF(IF(ISNUMBER($H16),$H16,IFERROR(TIMEVALUE($H16),VALUE($H16)))&gt;=100,INT(IF(ISNUMBER($H16),$H16,IFERROR(TIMEVALUE($H16),VALUE($H16)))/100)*60+MOD(IF(ISNUMBER($H16),$H16,IFERROR(TIMEVALUE($H16),VALUE($H16))),100),IF(IF(ISNUMBER($H16),$H16,IFERROR(TIMEVALUE($H16),VALUE($H16)))&gt;=1,ROUND(IF(ISNUMBER($H16),$H16,IFERROR(TIMEVALUE($H16),VALUE($H16)))*60,0),ROUND(MOD(IF(ISNUMBER($H16),$H16,IFERROR(TIMEVALUE($H16),VALUE($H16))),1)*1440,0))),""))</f>
        <v/>
      </c>
      <c r="W16" s="52" t="str">
        <f aca="false">IF($I16="","",IFERROR(IF(IF(ISNUMBER($I16),$I16,IFERROR(TIMEVALUE($I16),VALUE($I16)))&gt;=100,INT(IF(ISNUMBER($I16),$I16,IFERROR(TIMEVALUE($I16),VALUE($I16)))/100)*60+MOD(IF(ISNUMBER($I16),$I16,IFERROR(TIMEVALUE($I16),VALUE($I16))),100),IF(IF(ISNUMBER($I16),$I16,IFERROR(TIMEVALUE($I16),VALUE($I16)))&gt;=1,ROUND(IF(ISNUMBER($I16),$I16,IFERROR(TIMEVALUE($I16),VALUE($I16)))*60,0),ROUND(MOD(IF(ISNUMBER($I16),$I16,IFERROR(TIMEVALUE($I16),VALUE($I16))),1)*1440,0))),""))</f>
        <v/>
      </c>
      <c r="X16" s="55" t="str">
        <f aca="false">IF($P16="","",IFERROR(IF(ISNUMBER($P16),IF($P16&gt;19000000,DATE(INT($P16/10000),MOD(INT($P16/100),100),MOD($P16,100)),INT($P16)),IF(LEN(SUBSTITUTE(SUBSTITUTE(SUBSTITUTE(TRIM($P16),"-",""),".",""),"/",""))=8,DATE(VALUE(LEFT(SUBSTITUTE(SUBSTITUTE(SUBSTITUTE(TRIM($P16),"-",""),".",""),"/",""),4)),VALUE(MID(SUBSTITUTE(SUBSTITUTE(SUBSTITUTE(TRIM($P16),"-",""),".",""),"/",""),5,2)),VALUE(RIGHT(SUBSTITUTE(SUBSTITUTE(SUBSTITUTE(TRIM($P16),"-",""),".",""),"/",""),2))),DATEVALUE($P16))),""))</f>
        <v/>
      </c>
      <c r="Y16" s="56" t="str">
        <f aca="false">IF($M16="","",IFERROR(INDEX(강사DB!$D$4:$D$53,MATCH($M16,강사DB!$A$4:$A$53,0)),""))</f>
        <v/>
      </c>
      <c r="Z16" s="56" t="str">
        <f aca="false">IF($B16&lt;&gt;"결제완료","",IF(OR($Y16="",$J16=""),"",$Y16*$J16+MAX(0,N($K16)-1)*설정!$J$7))</f>
        <v/>
      </c>
      <c r="AA16" s="56" t="str">
        <f aca="false">IF(AND($D16&lt;&gt;"",$B16="결제완료"),N($N16),"")</f>
        <v/>
      </c>
      <c r="AB16" s="45" t="str">
        <f aca="false">IF($D16="","",IF($F16&lt;&gt;"",$F16,$D16)&amp;IF($B16="상담중"," (상담)",""))</f>
        <v/>
      </c>
      <c r="AC16" s="45" t="n">
        <f aca="false">IF(AND($D16&lt;&gt;"",OR($B16="결제완료",$B16="상담중")),1,0)</f>
        <v>0</v>
      </c>
      <c r="AD16" s="45" t="n">
        <f aca="false">IF(OR($Z16="",$U16=""),0,IFERROR(IF(COUNTIFS(INDEX(g_grid,0,2*MATCH($M16,강사DB!$A$4:$A$15,0)),"&lt;&gt;",g_s,"&lt;="&amp;$U16,g_e,"&gt;="&amp;$U16)&gt;0,1,0),0))</f>
        <v>0</v>
      </c>
      <c r="AE16" s="48"/>
      <c r="AF16" s="56" t="str">
        <f aca="false">IF(AND($D16&lt;&gt;"",$B16="결제완료",$T16="대여"),설정!$J$5,"")</f>
        <v/>
      </c>
      <c r="AG16" s="54" t="str">
        <f aca="false">IF($D16="","",IF(AND($E16="",$R16=""),$AB16,"☎ "&amp;IF($E16="","-",$E16)&amp;IF($R16&lt;&gt;"","  ※ "&amp;$R16,"")&amp;IF($B16="상담중"," (상담)","")))</f>
        <v/>
      </c>
      <c r="AH16" s="56" t="str">
        <f aca="false">IF(AND($D16&lt;&gt;"",$B16="결제완료",$O16="스마트스토어"),ROUND(N($N16)*설정!$J$6,0),"")</f>
        <v/>
      </c>
      <c r="AI16" s="54" t="str">
        <f aca="false">IF($D16="","",ROW())</f>
        <v/>
      </c>
      <c r="AJ16" s="54" t="n">
        <f aca="false">IF(OR($AC16&lt;&gt;1,$M16=""),0,IF(ISNUMBER(SEARCH("퇴사",IFERROR(INDEX(강사DB!$G$4:$G$53,MATCH($M16,강사DB!$A$4:$A$53,0)),""))),1,0))</f>
        <v>0</v>
      </c>
    </row>
    <row r="17" customFormat="false" ht="15" hidden="false" customHeight="false" outlineLevel="0" collapsed="false">
      <c r="A17" s="45" t="str">
        <f aca="false">IF($D17="","",COUNTA($D$5:$D17))</f>
        <v/>
      </c>
      <c r="B17" s="46"/>
      <c r="C17" s="47"/>
      <c r="D17" s="48"/>
      <c r="E17" s="48"/>
      <c r="F17" s="49"/>
      <c r="G17" s="47"/>
      <c r="H17" s="50"/>
      <c r="I17" s="50"/>
      <c r="J17" s="51" t="str">
        <f aca="false">IF(OR($V17="",$W17=""),"",ROUND(($W17-$V17)/60,2))</f>
        <v/>
      </c>
      <c r="K17" s="52" t="str">
        <f aca="false">IF($F17="","",LEN($F17)-LEN(SUBSTITUTE($F17,",",""))+1)</f>
        <v/>
      </c>
      <c r="L17" s="45" t="str">
        <f aca="false">IF($K17="","","1:"&amp;$K17)</f>
        <v/>
      </c>
      <c r="M17" s="46"/>
      <c r="N17" s="53"/>
      <c r="O17" s="46"/>
      <c r="P17" s="47"/>
      <c r="Q17" s="48"/>
      <c r="R17" s="49"/>
      <c r="S17" s="54" t="str">
        <f aca="false">IF(OR($AC17=0,$U17="",$M17="",$V17="",$W17=""),"",IF(COUNTIFS(m_teacher,$M17,m_date,$U17,m_active,1,m_start,"&lt;"&amp;$W17,m_end,"&gt;"&amp;$V17)&gt;1,"충돌",""))</f>
        <v/>
      </c>
      <c r="T17" s="48"/>
      <c r="U17" s="55" t="str">
        <f aca="false">IF($G17="","",IFERROR(IF(ISNUMBER($G17),IF($G17&gt;19000000,DATE(INT($G17/10000),MOD(INT($G17/100),100),MOD($G17,100)),INT($G17)),IF(LEN(SUBSTITUTE(SUBSTITUTE(SUBSTITUTE(TRIM($G17),"-",""),".",""),"/",""))=8,DATE(VALUE(LEFT(SUBSTITUTE(SUBSTITUTE(SUBSTITUTE(TRIM($G17),"-",""),".",""),"/",""),4)),VALUE(MID(SUBSTITUTE(SUBSTITUTE(SUBSTITUTE(TRIM($G17),"-",""),".",""),"/",""),5,2)),VALUE(RIGHT(SUBSTITUTE(SUBSTITUTE(SUBSTITUTE(TRIM($G17),"-",""),".",""),"/",""),2))),DATEVALUE($G17))),""))</f>
        <v/>
      </c>
      <c r="V17" s="52" t="str">
        <f aca="false">IF($H17="","",IFERROR(IF(IF(ISNUMBER($H17),$H17,IFERROR(TIMEVALUE($H17),VALUE($H17)))&gt;=100,INT(IF(ISNUMBER($H17),$H17,IFERROR(TIMEVALUE($H17),VALUE($H17)))/100)*60+MOD(IF(ISNUMBER($H17),$H17,IFERROR(TIMEVALUE($H17),VALUE($H17))),100),IF(IF(ISNUMBER($H17),$H17,IFERROR(TIMEVALUE($H17),VALUE($H17)))&gt;=1,ROUND(IF(ISNUMBER($H17),$H17,IFERROR(TIMEVALUE($H17),VALUE($H17)))*60,0),ROUND(MOD(IF(ISNUMBER($H17),$H17,IFERROR(TIMEVALUE($H17),VALUE($H17))),1)*1440,0))),""))</f>
        <v/>
      </c>
      <c r="W17" s="52" t="str">
        <f aca="false">IF($I17="","",IFERROR(IF(IF(ISNUMBER($I17),$I17,IFERROR(TIMEVALUE($I17),VALUE($I17)))&gt;=100,INT(IF(ISNUMBER($I17),$I17,IFERROR(TIMEVALUE($I17),VALUE($I17)))/100)*60+MOD(IF(ISNUMBER($I17),$I17,IFERROR(TIMEVALUE($I17),VALUE($I17))),100),IF(IF(ISNUMBER($I17),$I17,IFERROR(TIMEVALUE($I17),VALUE($I17)))&gt;=1,ROUND(IF(ISNUMBER($I17),$I17,IFERROR(TIMEVALUE($I17),VALUE($I17)))*60,0),ROUND(MOD(IF(ISNUMBER($I17),$I17,IFERROR(TIMEVALUE($I17),VALUE($I17))),1)*1440,0))),""))</f>
        <v/>
      </c>
      <c r="X17" s="55" t="str">
        <f aca="false">IF($P17="","",IFERROR(IF(ISNUMBER($P17),IF($P17&gt;19000000,DATE(INT($P17/10000),MOD(INT($P17/100),100),MOD($P17,100)),INT($P17)),IF(LEN(SUBSTITUTE(SUBSTITUTE(SUBSTITUTE(TRIM($P17),"-",""),".",""),"/",""))=8,DATE(VALUE(LEFT(SUBSTITUTE(SUBSTITUTE(SUBSTITUTE(TRIM($P17),"-",""),".",""),"/",""),4)),VALUE(MID(SUBSTITUTE(SUBSTITUTE(SUBSTITUTE(TRIM($P17),"-",""),".",""),"/",""),5,2)),VALUE(RIGHT(SUBSTITUTE(SUBSTITUTE(SUBSTITUTE(TRIM($P17),"-",""),".",""),"/",""),2))),DATEVALUE($P17))),""))</f>
        <v/>
      </c>
      <c r="Y17" s="56" t="str">
        <f aca="false">IF($M17="","",IFERROR(INDEX(강사DB!$D$4:$D$53,MATCH($M17,강사DB!$A$4:$A$53,0)),""))</f>
        <v/>
      </c>
      <c r="Z17" s="56" t="str">
        <f aca="false">IF($B17&lt;&gt;"결제완료","",IF(OR($Y17="",$J17=""),"",$Y17*$J17+MAX(0,N($K17)-1)*설정!$J$7))</f>
        <v/>
      </c>
      <c r="AA17" s="56" t="str">
        <f aca="false">IF(AND($D17&lt;&gt;"",$B17="결제완료"),N($N17),"")</f>
        <v/>
      </c>
      <c r="AB17" s="45" t="str">
        <f aca="false">IF($D17="","",IF($F17&lt;&gt;"",$F17,$D17)&amp;IF($B17="상담중"," (상담)",""))</f>
        <v/>
      </c>
      <c r="AC17" s="45" t="n">
        <f aca="false">IF(AND($D17&lt;&gt;"",OR($B17="결제완료",$B17="상담중")),1,0)</f>
        <v>0</v>
      </c>
      <c r="AD17" s="45" t="n">
        <f aca="false">IF(OR($Z17="",$U17=""),0,IFERROR(IF(COUNTIFS(INDEX(g_grid,0,2*MATCH($M17,강사DB!$A$4:$A$15,0)),"&lt;&gt;",g_s,"&lt;="&amp;$U17,g_e,"&gt;="&amp;$U17)&gt;0,1,0),0))</f>
        <v>0</v>
      </c>
      <c r="AE17" s="48"/>
      <c r="AF17" s="56" t="str">
        <f aca="false">IF(AND($D17&lt;&gt;"",$B17="결제완료",$T17="대여"),설정!$J$5,"")</f>
        <v/>
      </c>
      <c r="AG17" s="54" t="str">
        <f aca="false">IF($D17="","",IF(AND($E17="",$R17=""),$AB17,"☎ "&amp;IF($E17="","-",$E17)&amp;IF($R17&lt;&gt;"","  ※ "&amp;$R17,"")&amp;IF($B17="상담중"," (상담)","")))</f>
        <v/>
      </c>
      <c r="AH17" s="56" t="str">
        <f aca="false">IF(AND($D17&lt;&gt;"",$B17="결제완료",$O17="스마트스토어"),ROUND(N($N17)*설정!$J$6,0),"")</f>
        <v/>
      </c>
      <c r="AI17" s="54" t="str">
        <f aca="false">IF($D17="","",ROW())</f>
        <v/>
      </c>
      <c r="AJ17" s="54" t="n">
        <f aca="false">IF(OR($AC17&lt;&gt;1,$M17=""),0,IF(ISNUMBER(SEARCH("퇴사",IFERROR(INDEX(강사DB!$G$4:$G$53,MATCH($M17,강사DB!$A$4:$A$53,0)),""))),1,0))</f>
        <v>0</v>
      </c>
    </row>
    <row r="18" customFormat="false" ht="15" hidden="false" customHeight="false" outlineLevel="0" collapsed="false">
      <c r="A18" s="45" t="str">
        <f aca="false">IF($D18="","",COUNTA($D$5:$D18))</f>
        <v/>
      </c>
      <c r="B18" s="46"/>
      <c r="C18" s="47"/>
      <c r="D18" s="48"/>
      <c r="E18" s="48"/>
      <c r="F18" s="49"/>
      <c r="G18" s="47"/>
      <c r="H18" s="50"/>
      <c r="I18" s="50"/>
      <c r="J18" s="51" t="str">
        <f aca="false">IF(OR($V18="",$W18=""),"",ROUND(($W18-$V18)/60,2))</f>
        <v/>
      </c>
      <c r="K18" s="52" t="str">
        <f aca="false">IF($F18="","",LEN($F18)-LEN(SUBSTITUTE($F18,",",""))+1)</f>
        <v/>
      </c>
      <c r="L18" s="45" t="str">
        <f aca="false">IF($K18="","","1:"&amp;$K18)</f>
        <v/>
      </c>
      <c r="M18" s="46"/>
      <c r="N18" s="53"/>
      <c r="O18" s="46"/>
      <c r="P18" s="47"/>
      <c r="Q18" s="48"/>
      <c r="R18" s="49"/>
      <c r="S18" s="54" t="str">
        <f aca="false">IF(OR($AC18=0,$U18="",$M18="",$V18="",$W18=""),"",IF(COUNTIFS(m_teacher,$M18,m_date,$U18,m_active,1,m_start,"&lt;"&amp;$W18,m_end,"&gt;"&amp;$V18)&gt;1,"충돌",""))</f>
        <v/>
      </c>
      <c r="T18" s="48"/>
      <c r="U18" s="55" t="str">
        <f aca="false">IF($G18="","",IFERROR(IF(ISNUMBER($G18),IF($G18&gt;19000000,DATE(INT($G18/10000),MOD(INT($G18/100),100),MOD($G18,100)),INT($G18)),IF(LEN(SUBSTITUTE(SUBSTITUTE(SUBSTITUTE(TRIM($G18),"-",""),".",""),"/",""))=8,DATE(VALUE(LEFT(SUBSTITUTE(SUBSTITUTE(SUBSTITUTE(TRIM($G18),"-",""),".",""),"/",""),4)),VALUE(MID(SUBSTITUTE(SUBSTITUTE(SUBSTITUTE(TRIM($G18),"-",""),".",""),"/",""),5,2)),VALUE(RIGHT(SUBSTITUTE(SUBSTITUTE(SUBSTITUTE(TRIM($G18),"-",""),".",""),"/",""),2))),DATEVALUE($G18))),""))</f>
        <v/>
      </c>
      <c r="V18" s="52" t="str">
        <f aca="false">IF($H18="","",IFERROR(IF(IF(ISNUMBER($H18),$H18,IFERROR(TIMEVALUE($H18),VALUE($H18)))&gt;=100,INT(IF(ISNUMBER($H18),$H18,IFERROR(TIMEVALUE($H18),VALUE($H18)))/100)*60+MOD(IF(ISNUMBER($H18),$H18,IFERROR(TIMEVALUE($H18),VALUE($H18))),100),IF(IF(ISNUMBER($H18),$H18,IFERROR(TIMEVALUE($H18),VALUE($H18)))&gt;=1,ROUND(IF(ISNUMBER($H18),$H18,IFERROR(TIMEVALUE($H18),VALUE($H18)))*60,0),ROUND(MOD(IF(ISNUMBER($H18),$H18,IFERROR(TIMEVALUE($H18),VALUE($H18))),1)*1440,0))),""))</f>
        <v/>
      </c>
      <c r="W18" s="52" t="str">
        <f aca="false">IF($I18="","",IFERROR(IF(IF(ISNUMBER($I18),$I18,IFERROR(TIMEVALUE($I18),VALUE($I18)))&gt;=100,INT(IF(ISNUMBER($I18),$I18,IFERROR(TIMEVALUE($I18),VALUE($I18)))/100)*60+MOD(IF(ISNUMBER($I18),$I18,IFERROR(TIMEVALUE($I18),VALUE($I18))),100),IF(IF(ISNUMBER($I18),$I18,IFERROR(TIMEVALUE($I18),VALUE($I18)))&gt;=1,ROUND(IF(ISNUMBER($I18),$I18,IFERROR(TIMEVALUE($I18),VALUE($I18)))*60,0),ROUND(MOD(IF(ISNUMBER($I18),$I18,IFERROR(TIMEVALUE($I18),VALUE($I18))),1)*1440,0))),""))</f>
        <v/>
      </c>
      <c r="X18" s="55" t="str">
        <f aca="false">IF($P18="","",IFERROR(IF(ISNUMBER($P18),IF($P18&gt;19000000,DATE(INT($P18/10000),MOD(INT($P18/100),100),MOD($P18,100)),INT($P18)),IF(LEN(SUBSTITUTE(SUBSTITUTE(SUBSTITUTE(TRIM($P18),"-",""),".",""),"/",""))=8,DATE(VALUE(LEFT(SUBSTITUTE(SUBSTITUTE(SUBSTITUTE(TRIM($P18),"-",""),".",""),"/",""),4)),VALUE(MID(SUBSTITUTE(SUBSTITUTE(SUBSTITUTE(TRIM($P18),"-",""),".",""),"/",""),5,2)),VALUE(RIGHT(SUBSTITUTE(SUBSTITUTE(SUBSTITUTE(TRIM($P18),"-",""),".",""),"/",""),2))),DATEVALUE($P18))),""))</f>
        <v/>
      </c>
      <c r="Y18" s="56" t="str">
        <f aca="false">IF($M18="","",IFERROR(INDEX(강사DB!$D$4:$D$53,MATCH($M18,강사DB!$A$4:$A$53,0)),""))</f>
        <v/>
      </c>
      <c r="Z18" s="56" t="str">
        <f aca="false">IF($B18&lt;&gt;"결제완료","",IF(OR($Y18="",$J18=""),"",$Y18*$J18+MAX(0,N($K18)-1)*설정!$J$7))</f>
        <v/>
      </c>
      <c r="AA18" s="56" t="str">
        <f aca="false">IF(AND($D18&lt;&gt;"",$B18="결제완료"),N($N18),"")</f>
        <v/>
      </c>
      <c r="AB18" s="45" t="str">
        <f aca="false">IF($D18="","",IF($F18&lt;&gt;"",$F18,$D18)&amp;IF($B18="상담중"," (상담)",""))</f>
        <v/>
      </c>
      <c r="AC18" s="45" t="n">
        <f aca="false">IF(AND($D18&lt;&gt;"",OR($B18="결제완료",$B18="상담중")),1,0)</f>
        <v>0</v>
      </c>
      <c r="AD18" s="45" t="n">
        <f aca="false">IF(OR($Z18="",$U18=""),0,IFERROR(IF(COUNTIFS(INDEX(g_grid,0,2*MATCH($M18,강사DB!$A$4:$A$15,0)),"&lt;&gt;",g_s,"&lt;="&amp;$U18,g_e,"&gt;="&amp;$U18)&gt;0,1,0),0))</f>
        <v>0</v>
      </c>
      <c r="AE18" s="48"/>
      <c r="AF18" s="56" t="str">
        <f aca="false">IF(AND($D18&lt;&gt;"",$B18="결제완료",$T18="대여"),설정!$J$5,"")</f>
        <v/>
      </c>
      <c r="AG18" s="54" t="str">
        <f aca="false">IF($D18="","",IF(AND($E18="",$R18=""),$AB18,"☎ "&amp;IF($E18="","-",$E18)&amp;IF($R18&lt;&gt;"","  ※ "&amp;$R18,"")&amp;IF($B18="상담중"," (상담)","")))</f>
        <v/>
      </c>
      <c r="AH18" s="56" t="str">
        <f aca="false">IF(AND($D18&lt;&gt;"",$B18="결제완료",$O18="스마트스토어"),ROUND(N($N18)*설정!$J$6,0),"")</f>
        <v/>
      </c>
      <c r="AI18" s="54" t="str">
        <f aca="false">IF($D18="","",ROW())</f>
        <v/>
      </c>
      <c r="AJ18" s="54" t="n">
        <f aca="false">IF(OR($AC18&lt;&gt;1,$M18=""),0,IF(ISNUMBER(SEARCH("퇴사",IFERROR(INDEX(강사DB!$G$4:$G$53,MATCH($M18,강사DB!$A$4:$A$53,0)),""))),1,0))</f>
        <v>0</v>
      </c>
    </row>
    <row r="19" customFormat="false" ht="15" hidden="false" customHeight="false" outlineLevel="0" collapsed="false">
      <c r="A19" s="45" t="str">
        <f aca="false">IF($D19="","",COUNTA($D$5:$D19))</f>
        <v/>
      </c>
      <c r="B19" s="46"/>
      <c r="C19" s="47"/>
      <c r="D19" s="48"/>
      <c r="E19" s="48"/>
      <c r="F19" s="49"/>
      <c r="G19" s="47"/>
      <c r="H19" s="50"/>
      <c r="I19" s="50"/>
      <c r="J19" s="51" t="str">
        <f aca="false">IF(OR($V19="",$W19=""),"",ROUND(($W19-$V19)/60,2))</f>
        <v/>
      </c>
      <c r="K19" s="52" t="str">
        <f aca="false">IF($F19="","",LEN($F19)-LEN(SUBSTITUTE($F19,",",""))+1)</f>
        <v/>
      </c>
      <c r="L19" s="45" t="str">
        <f aca="false">IF($K19="","","1:"&amp;$K19)</f>
        <v/>
      </c>
      <c r="M19" s="46"/>
      <c r="N19" s="53"/>
      <c r="O19" s="46"/>
      <c r="P19" s="47"/>
      <c r="Q19" s="48"/>
      <c r="R19" s="49"/>
      <c r="S19" s="54" t="str">
        <f aca="false">IF(OR($AC19=0,$U19="",$M19="",$V19="",$W19=""),"",IF(COUNTIFS(m_teacher,$M19,m_date,$U19,m_active,1,m_start,"&lt;"&amp;$W19,m_end,"&gt;"&amp;$V19)&gt;1,"충돌",""))</f>
        <v/>
      </c>
      <c r="T19" s="48"/>
      <c r="U19" s="55" t="str">
        <f aca="false">IF($G19="","",IFERROR(IF(ISNUMBER($G19),IF($G19&gt;19000000,DATE(INT($G19/10000),MOD(INT($G19/100),100),MOD($G19,100)),INT($G19)),IF(LEN(SUBSTITUTE(SUBSTITUTE(SUBSTITUTE(TRIM($G19),"-",""),".",""),"/",""))=8,DATE(VALUE(LEFT(SUBSTITUTE(SUBSTITUTE(SUBSTITUTE(TRIM($G19),"-",""),".",""),"/",""),4)),VALUE(MID(SUBSTITUTE(SUBSTITUTE(SUBSTITUTE(TRIM($G19),"-",""),".",""),"/",""),5,2)),VALUE(RIGHT(SUBSTITUTE(SUBSTITUTE(SUBSTITUTE(TRIM($G19),"-",""),".",""),"/",""),2))),DATEVALUE($G19))),""))</f>
        <v/>
      </c>
      <c r="V19" s="52" t="str">
        <f aca="false">IF($H19="","",IFERROR(IF(IF(ISNUMBER($H19),$H19,IFERROR(TIMEVALUE($H19),VALUE($H19)))&gt;=100,INT(IF(ISNUMBER($H19),$H19,IFERROR(TIMEVALUE($H19),VALUE($H19)))/100)*60+MOD(IF(ISNUMBER($H19),$H19,IFERROR(TIMEVALUE($H19),VALUE($H19))),100),IF(IF(ISNUMBER($H19),$H19,IFERROR(TIMEVALUE($H19),VALUE($H19)))&gt;=1,ROUND(IF(ISNUMBER($H19),$H19,IFERROR(TIMEVALUE($H19),VALUE($H19)))*60,0),ROUND(MOD(IF(ISNUMBER($H19),$H19,IFERROR(TIMEVALUE($H19),VALUE($H19))),1)*1440,0))),""))</f>
        <v/>
      </c>
      <c r="W19" s="52" t="str">
        <f aca="false">IF($I19="","",IFERROR(IF(IF(ISNUMBER($I19),$I19,IFERROR(TIMEVALUE($I19),VALUE($I19)))&gt;=100,INT(IF(ISNUMBER($I19),$I19,IFERROR(TIMEVALUE($I19),VALUE($I19)))/100)*60+MOD(IF(ISNUMBER($I19),$I19,IFERROR(TIMEVALUE($I19),VALUE($I19))),100),IF(IF(ISNUMBER($I19),$I19,IFERROR(TIMEVALUE($I19),VALUE($I19)))&gt;=1,ROUND(IF(ISNUMBER($I19),$I19,IFERROR(TIMEVALUE($I19),VALUE($I19)))*60,0),ROUND(MOD(IF(ISNUMBER($I19),$I19,IFERROR(TIMEVALUE($I19),VALUE($I19))),1)*1440,0))),""))</f>
        <v/>
      </c>
      <c r="X19" s="55" t="str">
        <f aca="false">IF($P19="","",IFERROR(IF(ISNUMBER($P19),IF($P19&gt;19000000,DATE(INT($P19/10000),MOD(INT($P19/100),100),MOD($P19,100)),INT($P19)),IF(LEN(SUBSTITUTE(SUBSTITUTE(SUBSTITUTE(TRIM($P19),"-",""),".",""),"/",""))=8,DATE(VALUE(LEFT(SUBSTITUTE(SUBSTITUTE(SUBSTITUTE(TRIM($P19),"-",""),".",""),"/",""),4)),VALUE(MID(SUBSTITUTE(SUBSTITUTE(SUBSTITUTE(TRIM($P19),"-",""),".",""),"/",""),5,2)),VALUE(RIGHT(SUBSTITUTE(SUBSTITUTE(SUBSTITUTE(TRIM($P19),"-",""),".",""),"/",""),2))),DATEVALUE($P19))),""))</f>
        <v/>
      </c>
      <c r="Y19" s="56" t="str">
        <f aca="false">IF($M19="","",IFERROR(INDEX(강사DB!$D$4:$D$53,MATCH($M19,강사DB!$A$4:$A$53,0)),""))</f>
        <v/>
      </c>
      <c r="Z19" s="56" t="str">
        <f aca="false">IF($B19&lt;&gt;"결제완료","",IF(OR($Y19="",$J19=""),"",$Y19*$J19+MAX(0,N($K19)-1)*설정!$J$7))</f>
        <v/>
      </c>
      <c r="AA19" s="56" t="str">
        <f aca="false">IF(AND($D19&lt;&gt;"",$B19="결제완료"),N($N19),"")</f>
        <v/>
      </c>
      <c r="AB19" s="45" t="str">
        <f aca="false">IF($D19="","",IF($F19&lt;&gt;"",$F19,$D19)&amp;IF($B19="상담중"," (상담)",""))</f>
        <v/>
      </c>
      <c r="AC19" s="45" t="n">
        <f aca="false">IF(AND($D19&lt;&gt;"",OR($B19="결제완료",$B19="상담중")),1,0)</f>
        <v>0</v>
      </c>
      <c r="AD19" s="45" t="n">
        <f aca="false">IF(OR($Z19="",$U19=""),0,IFERROR(IF(COUNTIFS(INDEX(g_grid,0,2*MATCH($M19,강사DB!$A$4:$A$15,0)),"&lt;&gt;",g_s,"&lt;="&amp;$U19,g_e,"&gt;="&amp;$U19)&gt;0,1,0),0))</f>
        <v>0</v>
      </c>
      <c r="AE19" s="48"/>
      <c r="AF19" s="56" t="str">
        <f aca="false">IF(AND($D19&lt;&gt;"",$B19="결제완료",$T19="대여"),설정!$J$5,"")</f>
        <v/>
      </c>
      <c r="AG19" s="54" t="str">
        <f aca="false">IF($D19="","",IF(AND($E19="",$R19=""),$AB19,"☎ "&amp;IF($E19="","-",$E19)&amp;IF($R19&lt;&gt;"","  ※ "&amp;$R19,"")&amp;IF($B19="상담중"," (상담)","")))</f>
        <v/>
      </c>
      <c r="AH19" s="56" t="str">
        <f aca="false">IF(AND($D19&lt;&gt;"",$B19="결제완료",$O19="스마트스토어"),ROUND(N($N19)*설정!$J$6,0),"")</f>
        <v/>
      </c>
      <c r="AI19" s="54" t="str">
        <f aca="false">IF($D19="","",ROW())</f>
        <v/>
      </c>
      <c r="AJ19" s="54" t="n">
        <f aca="false">IF(OR($AC19&lt;&gt;1,$M19=""),0,IF(ISNUMBER(SEARCH("퇴사",IFERROR(INDEX(강사DB!$G$4:$G$53,MATCH($M19,강사DB!$A$4:$A$53,0)),""))),1,0))</f>
        <v>0</v>
      </c>
    </row>
    <row r="20" customFormat="false" ht="15" hidden="false" customHeight="false" outlineLevel="0" collapsed="false">
      <c r="A20" s="45" t="str">
        <f aca="false">IF($D20="","",COUNTA($D$5:$D20))</f>
        <v/>
      </c>
      <c r="B20" s="46"/>
      <c r="C20" s="47"/>
      <c r="D20" s="48"/>
      <c r="E20" s="48"/>
      <c r="F20" s="49"/>
      <c r="G20" s="47"/>
      <c r="H20" s="50"/>
      <c r="I20" s="50"/>
      <c r="J20" s="51" t="str">
        <f aca="false">IF(OR($V20="",$W20=""),"",ROUND(($W20-$V20)/60,2))</f>
        <v/>
      </c>
      <c r="K20" s="52" t="str">
        <f aca="false">IF($F20="","",LEN($F20)-LEN(SUBSTITUTE($F20,",",""))+1)</f>
        <v/>
      </c>
      <c r="L20" s="45" t="str">
        <f aca="false">IF($K20="","","1:"&amp;$K20)</f>
        <v/>
      </c>
      <c r="M20" s="46"/>
      <c r="N20" s="53"/>
      <c r="O20" s="46"/>
      <c r="P20" s="47"/>
      <c r="Q20" s="48"/>
      <c r="R20" s="49"/>
      <c r="S20" s="54" t="str">
        <f aca="false">IF(OR($AC20=0,$U20="",$M20="",$V20="",$W20=""),"",IF(COUNTIFS(m_teacher,$M20,m_date,$U20,m_active,1,m_start,"&lt;"&amp;$W20,m_end,"&gt;"&amp;$V20)&gt;1,"충돌",""))</f>
        <v/>
      </c>
      <c r="T20" s="48"/>
      <c r="U20" s="55" t="str">
        <f aca="false">IF($G20="","",IFERROR(IF(ISNUMBER($G20),IF($G20&gt;19000000,DATE(INT($G20/10000),MOD(INT($G20/100),100),MOD($G20,100)),INT($G20)),IF(LEN(SUBSTITUTE(SUBSTITUTE(SUBSTITUTE(TRIM($G20),"-",""),".",""),"/",""))=8,DATE(VALUE(LEFT(SUBSTITUTE(SUBSTITUTE(SUBSTITUTE(TRIM($G20),"-",""),".",""),"/",""),4)),VALUE(MID(SUBSTITUTE(SUBSTITUTE(SUBSTITUTE(TRIM($G20),"-",""),".",""),"/",""),5,2)),VALUE(RIGHT(SUBSTITUTE(SUBSTITUTE(SUBSTITUTE(TRIM($G20),"-",""),".",""),"/",""),2))),DATEVALUE($G20))),""))</f>
        <v/>
      </c>
      <c r="V20" s="52" t="str">
        <f aca="false">IF($H20="","",IFERROR(IF(IF(ISNUMBER($H20),$H20,IFERROR(TIMEVALUE($H20),VALUE($H20)))&gt;=100,INT(IF(ISNUMBER($H20),$H20,IFERROR(TIMEVALUE($H20),VALUE($H20)))/100)*60+MOD(IF(ISNUMBER($H20),$H20,IFERROR(TIMEVALUE($H20),VALUE($H20))),100),IF(IF(ISNUMBER($H20),$H20,IFERROR(TIMEVALUE($H20),VALUE($H20)))&gt;=1,ROUND(IF(ISNUMBER($H20),$H20,IFERROR(TIMEVALUE($H20),VALUE($H20)))*60,0),ROUND(MOD(IF(ISNUMBER($H20),$H20,IFERROR(TIMEVALUE($H20),VALUE($H20))),1)*1440,0))),""))</f>
        <v/>
      </c>
      <c r="W20" s="52" t="str">
        <f aca="false">IF($I20="","",IFERROR(IF(IF(ISNUMBER($I20),$I20,IFERROR(TIMEVALUE($I20),VALUE($I20)))&gt;=100,INT(IF(ISNUMBER($I20),$I20,IFERROR(TIMEVALUE($I20),VALUE($I20)))/100)*60+MOD(IF(ISNUMBER($I20),$I20,IFERROR(TIMEVALUE($I20),VALUE($I20))),100),IF(IF(ISNUMBER($I20),$I20,IFERROR(TIMEVALUE($I20),VALUE($I20)))&gt;=1,ROUND(IF(ISNUMBER($I20),$I20,IFERROR(TIMEVALUE($I20),VALUE($I20)))*60,0),ROUND(MOD(IF(ISNUMBER($I20),$I20,IFERROR(TIMEVALUE($I20),VALUE($I20))),1)*1440,0))),""))</f>
        <v/>
      </c>
      <c r="X20" s="55" t="str">
        <f aca="false">IF($P20="","",IFERROR(IF(ISNUMBER($P20),IF($P20&gt;19000000,DATE(INT($P20/10000),MOD(INT($P20/100),100),MOD($P20,100)),INT($P20)),IF(LEN(SUBSTITUTE(SUBSTITUTE(SUBSTITUTE(TRIM($P20),"-",""),".",""),"/",""))=8,DATE(VALUE(LEFT(SUBSTITUTE(SUBSTITUTE(SUBSTITUTE(TRIM($P20),"-",""),".",""),"/",""),4)),VALUE(MID(SUBSTITUTE(SUBSTITUTE(SUBSTITUTE(TRIM($P20),"-",""),".",""),"/",""),5,2)),VALUE(RIGHT(SUBSTITUTE(SUBSTITUTE(SUBSTITUTE(TRIM($P20),"-",""),".",""),"/",""),2))),DATEVALUE($P20))),""))</f>
        <v/>
      </c>
      <c r="Y20" s="56" t="str">
        <f aca="false">IF($M20="","",IFERROR(INDEX(강사DB!$D$4:$D$53,MATCH($M20,강사DB!$A$4:$A$53,0)),""))</f>
        <v/>
      </c>
      <c r="Z20" s="56" t="str">
        <f aca="false">IF($B20&lt;&gt;"결제완료","",IF(OR($Y20="",$J20=""),"",$Y20*$J20+MAX(0,N($K20)-1)*설정!$J$7))</f>
        <v/>
      </c>
      <c r="AA20" s="56" t="str">
        <f aca="false">IF(AND($D20&lt;&gt;"",$B20="결제완료"),N($N20),"")</f>
        <v/>
      </c>
      <c r="AB20" s="45" t="str">
        <f aca="false">IF($D20="","",IF($F20&lt;&gt;"",$F20,$D20)&amp;IF($B20="상담중"," (상담)",""))</f>
        <v/>
      </c>
      <c r="AC20" s="45" t="n">
        <f aca="false">IF(AND($D20&lt;&gt;"",OR($B20="결제완료",$B20="상담중")),1,0)</f>
        <v>0</v>
      </c>
      <c r="AD20" s="45" t="n">
        <f aca="false">IF(OR($Z20="",$U20=""),0,IFERROR(IF(COUNTIFS(INDEX(g_grid,0,2*MATCH($M20,강사DB!$A$4:$A$15,0)),"&lt;&gt;",g_s,"&lt;="&amp;$U20,g_e,"&gt;="&amp;$U20)&gt;0,1,0),0))</f>
        <v>0</v>
      </c>
      <c r="AE20" s="48"/>
      <c r="AF20" s="56" t="str">
        <f aca="false">IF(AND($D20&lt;&gt;"",$B20="결제완료",$T20="대여"),설정!$J$5,"")</f>
        <v/>
      </c>
      <c r="AG20" s="54" t="str">
        <f aca="false">IF($D20="","",IF(AND($E20="",$R20=""),$AB20,"☎ "&amp;IF($E20="","-",$E20)&amp;IF($R20&lt;&gt;"","  ※ "&amp;$R20,"")&amp;IF($B20="상담중"," (상담)","")))</f>
        <v/>
      </c>
      <c r="AH20" s="56" t="str">
        <f aca="false">IF(AND($D20&lt;&gt;"",$B20="결제완료",$O20="스마트스토어"),ROUND(N($N20)*설정!$J$6,0),"")</f>
        <v/>
      </c>
      <c r="AI20" s="54" t="str">
        <f aca="false">IF($D20="","",ROW())</f>
        <v/>
      </c>
      <c r="AJ20" s="54" t="n">
        <f aca="false">IF(OR($AC20&lt;&gt;1,$M20=""),0,IF(ISNUMBER(SEARCH("퇴사",IFERROR(INDEX(강사DB!$G$4:$G$53,MATCH($M20,강사DB!$A$4:$A$53,0)),""))),1,0))</f>
        <v>0</v>
      </c>
    </row>
    <row r="21" customFormat="false" ht="15" hidden="false" customHeight="false" outlineLevel="0" collapsed="false">
      <c r="A21" s="45" t="str">
        <f aca="false">IF($D21="","",COUNTA($D$5:$D21))</f>
        <v/>
      </c>
      <c r="B21" s="46"/>
      <c r="C21" s="47"/>
      <c r="D21" s="48"/>
      <c r="E21" s="48"/>
      <c r="F21" s="49"/>
      <c r="G21" s="47"/>
      <c r="H21" s="50"/>
      <c r="I21" s="50"/>
      <c r="J21" s="51" t="str">
        <f aca="false">IF(OR($V21="",$W21=""),"",ROUND(($W21-$V21)/60,2))</f>
        <v/>
      </c>
      <c r="K21" s="52" t="str">
        <f aca="false">IF($F21="","",LEN($F21)-LEN(SUBSTITUTE($F21,",",""))+1)</f>
        <v/>
      </c>
      <c r="L21" s="45" t="str">
        <f aca="false">IF($K21="","","1:"&amp;$K21)</f>
        <v/>
      </c>
      <c r="M21" s="46"/>
      <c r="N21" s="53"/>
      <c r="O21" s="46"/>
      <c r="P21" s="47"/>
      <c r="Q21" s="48"/>
      <c r="R21" s="49"/>
      <c r="S21" s="54" t="str">
        <f aca="false">IF(OR($AC21=0,$U21="",$M21="",$V21="",$W21=""),"",IF(COUNTIFS(m_teacher,$M21,m_date,$U21,m_active,1,m_start,"&lt;"&amp;$W21,m_end,"&gt;"&amp;$V21)&gt;1,"충돌",""))</f>
        <v/>
      </c>
      <c r="T21" s="48"/>
      <c r="U21" s="55" t="str">
        <f aca="false">IF($G21="","",IFERROR(IF(ISNUMBER($G21),IF($G21&gt;19000000,DATE(INT($G21/10000),MOD(INT($G21/100),100),MOD($G21,100)),INT($G21)),IF(LEN(SUBSTITUTE(SUBSTITUTE(SUBSTITUTE(TRIM($G21),"-",""),".",""),"/",""))=8,DATE(VALUE(LEFT(SUBSTITUTE(SUBSTITUTE(SUBSTITUTE(TRIM($G21),"-",""),".",""),"/",""),4)),VALUE(MID(SUBSTITUTE(SUBSTITUTE(SUBSTITUTE(TRIM($G21),"-",""),".",""),"/",""),5,2)),VALUE(RIGHT(SUBSTITUTE(SUBSTITUTE(SUBSTITUTE(TRIM($G21),"-",""),".",""),"/",""),2))),DATEVALUE($G21))),""))</f>
        <v/>
      </c>
      <c r="V21" s="52" t="str">
        <f aca="false">IF($H21="","",IFERROR(IF(IF(ISNUMBER($H21),$H21,IFERROR(TIMEVALUE($H21),VALUE($H21)))&gt;=100,INT(IF(ISNUMBER($H21),$H21,IFERROR(TIMEVALUE($H21),VALUE($H21)))/100)*60+MOD(IF(ISNUMBER($H21),$H21,IFERROR(TIMEVALUE($H21),VALUE($H21))),100),IF(IF(ISNUMBER($H21),$H21,IFERROR(TIMEVALUE($H21),VALUE($H21)))&gt;=1,ROUND(IF(ISNUMBER($H21),$H21,IFERROR(TIMEVALUE($H21),VALUE($H21)))*60,0),ROUND(MOD(IF(ISNUMBER($H21),$H21,IFERROR(TIMEVALUE($H21),VALUE($H21))),1)*1440,0))),""))</f>
        <v/>
      </c>
      <c r="W21" s="52" t="str">
        <f aca="false">IF($I21="","",IFERROR(IF(IF(ISNUMBER($I21),$I21,IFERROR(TIMEVALUE($I21),VALUE($I21)))&gt;=100,INT(IF(ISNUMBER($I21),$I21,IFERROR(TIMEVALUE($I21),VALUE($I21)))/100)*60+MOD(IF(ISNUMBER($I21),$I21,IFERROR(TIMEVALUE($I21),VALUE($I21))),100),IF(IF(ISNUMBER($I21),$I21,IFERROR(TIMEVALUE($I21),VALUE($I21)))&gt;=1,ROUND(IF(ISNUMBER($I21),$I21,IFERROR(TIMEVALUE($I21),VALUE($I21)))*60,0),ROUND(MOD(IF(ISNUMBER($I21),$I21,IFERROR(TIMEVALUE($I21),VALUE($I21))),1)*1440,0))),""))</f>
        <v/>
      </c>
      <c r="X21" s="55" t="str">
        <f aca="false">IF($P21="","",IFERROR(IF(ISNUMBER($P21),IF($P21&gt;19000000,DATE(INT($P21/10000),MOD(INT($P21/100),100),MOD($P21,100)),INT($P21)),IF(LEN(SUBSTITUTE(SUBSTITUTE(SUBSTITUTE(TRIM($P21),"-",""),".",""),"/",""))=8,DATE(VALUE(LEFT(SUBSTITUTE(SUBSTITUTE(SUBSTITUTE(TRIM($P21),"-",""),".",""),"/",""),4)),VALUE(MID(SUBSTITUTE(SUBSTITUTE(SUBSTITUTE(TRIM($P21),"-",""),".",""),"/",""),5,2)),VALUE(RIGHT(SUBSTITUTE(SUBSTITUTE(SUBSTITUTE(TRIM($P21),"-",""),".",""),"/",""),2))),DATEVALUE($P21))),""))</f>
        <v/>
      </c>
      <c r="Y21" s="56" t="str">
        <f aca="false">IF($M21="","",IFERROR(INDEX(강사DB!$D$4:$D$53,MATCH($M21,강사DB!$A$4:$A$53,0)),""))</f>
        <v/>
      </c>
      <c r="Z21" s="56" t="str">
        <f aca="false">IF($B21&lt;&gt;"결제완료","",IF(OR($Y21="",$J21=""),"",$Y21*$J21+MAX(0,N($K21)-1)*설정!$J$7))</f>
        <v/>
      </c>
      <c r="AA21" s="56" t="str">
        <f aca="false">IF(AND($D21&lt;&gt;"",$B21="결제완료"),N($N21),"")</f>
        <v/>
      </c>
      <c r="AB21" s="45" t="str">
        <f aca="false">IF($D21="","",IF($F21&lt;&gt;"",$F21,$D21)&amp;IF($B21="상담중"," (상담)",""))</f>
        <v/>
      </c>
      <c r="AC21" s="45" t="n">
        <f aca="false">IF(AND($D21&lt;&gt;"",OR($B21="결제완료",$B21="상담중")),1,0)</f>
        <v>0</v>
      </c>
      <c r="AD21" s="45" t="n">
        <f aca="false">IF(OR($Z21="",$U21=""),0,IFERROR(IF(COUNTIFS(INDEX(g_grid,0,2*MATCH($M21,강사DB!$A$4:$A$15,0)),"&lt;&gt;",g_s,"&lt;="&amp;$U21,g_e,"&gt;="&amp;$U21)&gt;0,1,0),0))</f>
        <v>0</v>
      </c>
      <c r="AE21" s="48"/>
      <c r="AF21" s="56" t="str">
        <f aca="false">IF(AND($D21&lt;&gt;"",$B21="결제완료",$T21="대여"),설정!$J$5,"")</f>
        <v/>
      </c>
      <c r="AG21" s="54" t="str">
        <f aca="false">IF($D21="","",IF(AND($E21="",$R21=""),$AB21,"☎ "&amp;IF($E21="","-",$E21)&amp;IF($R21&lt;&gt;"","  ※ "&amp;$R21,"")&amp;IF($B21="상담중"," (상담)","")))</f>
        <v/>
      </c>
      <c r="AH21" s="56" t="str">
        <f aca="false">IF(AND($D21&lt;&gt;"",$B21="결제완료",$O21="스마트스토어"),ROUND(N($N21)*설정!$J$6,0),"")</f>
        <v/>
      </c>
      <c r="AI21" s="54" t="str">
        <f aca="false">IF($D21="","",ROW())</f>
        <v/>
      </c>
      <c r="AJ21" s="54" t="n">
        <f aca="false">IF(OR($AC21&lt;&gt;1,$M21=""),0,IF(ISNUMBER(SEARCH("퇴사",IFERROR(INDEX(강사DB!$G$4:$G$53,MATCH($M21,강사DB!$A$4:$A$53,0)),""))),1,0))</f>
        <v>0</v>
      </c>
    </row>
    <row r="22" customFormat="false" ht="15" hidden="false" customHeight="false" outlineLevel="0" collapsed="false">
      <c r="A22" s="45" t="str">
        <f aca="false">IF($D22="","",COUNTA($D$5:$D22))</f>
        <v/>
      </c>
      <c r="B22" s="46"/>
      <c r="C22" s="47"/>
      <c r="D22" s="48"/>
      <c r="E22" s="48"/>
      <c r="F22" s="49"/>
      <c r="G22" s="47"/>
      <c r="H22" s="50"/>
      <c r="I22" s="50"/>
      <c r="J22" s="51" t="str">
        <f aca="false">IF(OR($V22="",$W22=""),"",ROUND(($W22-$V22)/60,2))</f>
        <v/>
      </c>
      <c r="K22" s="52" t="str">
        <f aca="false">IF($F22="","",LEN($F22)-LEN(SUBSTITUTE($F22,",",""))+1)</f>
        <v/>
      </c>
      <c r="L22" s="45" t="str">
        <f aca="false">IF($K22="","","1:"&amp;$K22)</f>
        <v/>
      </c>
      <c r="M22" s="46"/>
      <c r="N22" s="53"/>
      <c r="O22" s="46"/>
      <c r="P22" s="47"/>
      <c r="Q22" s="48"/>
      <c r="R22" s="49"/>
      <c r="S22" s="54" t="str">
        <f aca="false">IF(OR($AC22=0,$U22="",$M22="",$V22="",$W22=""),"",IF(COUNTIFS(m_teacher,$M22,m_date,$U22,m_active,1,m_start,"&lt;"&amp;$W22,m_end,"&gt;"&amp;$V22)&gt;1,"충돌",""))</f>
        <v/>
      </c>
      <c r="T22" s="48"/>
      <c r="U22" s="55" t="str">
        <f aca="false">IF($G22="","",IFERROR(IF(ISNUMBER($G22),IF($G22&gt;19000000,DATE(INT($G22/10000),MOD(INT($G22/100),100),MOD($G22,100)),INT($G22)),IF(LEN(SUBSTITUTE(SUBSTITUTE(SUBSTITUTE(TRIM($G22),"-",""),".",""),"/",""))=8,DATE(VALUE(LEFT(SUBSTITUTE(SUBSTITUTE(SUBSTITUTE(TRIM($G22),"-",""),".",""),"/",""),4)),VALUE(MID(SUBSTITUTE(SUBSTITUTE(SUBSTITUTE(TRIM($G22),"-",""),".",""),"/",""),5,2)),VALUE(RIGHT(SUBSTITUTE(SUBSTITUTE(SUBSTITUTE(TRIM($G22),"-",""),".",""),"/",""),2))),DATEVALUE($G22))),""))</f>
        <v/>
      </c>
      <c r="V22" s="52" t="str">
        <f aca="false">IF($H22="","",IFERROR(IF(IF(ISNUMBER($H22),$H22,IFERROR(TIMEVALUE($H22),VALUE($H22)))&gt;=100,INT(IF(ISNUMBER($H22),$H22,IFERROR(TIMEVALUE($H22),VALUE($H22)))/100)*60+MOD(IF(ISNUMBER($H22),$H22,IFERROR(TIMEVALUE($H22),VALUE($H22))),100),IF(IF(ISNUMBER($H22),$H22,IFERROR(TIMEVALUE($H22),VALUE($H22)))&gt;=1,ROUND(IF(ISNUMBER($H22),$H22,IFERROR(TIMEVALUE($H22),VALUE($H22)))*60,0),ROUND(MOD(IF(ISNUMBER($H22),$H22,IFERROR(TIMEVALUE($H22),VALUE($H22))),1)*1440,0))),""))</f>
        <v/>
      </c>
      <c r="W22" s="52" t="str">
        <f aca="false">IF($I22="","",IFERROR(IF(IF(ISNUMBER($I22),$I22,IFERROR(TIMEVALUE($I22),VALUE($I22)))&gt;=100,INT(IF(ISNUMBER($I22),$I22,IFERROR(TIMEVALUE($I22),VALUE($I22)))/100)*60+MOD(IF(ISNUMBER($I22),$I22,IFERROR(TIMEVALUE($I22),VALUE($I22))),100),IF(IF(ISNUMBER($I22),$I22,IFERROR(TIMEVALUE($I22),VALUE($I22)))&gt;=1,ROUND(IF(ISNUMBER($I22),$I22,IFERROR(TIMEVALUE($I22),VALUE($I22)))*60,0),ROUND(MOD(IF(ISNUMBER($I22),$I22,IFERROR(TIMEVALUE($I22),VALUE($I22))),1)*1440,0))),""))</f>
        <v/>
      </c>
      <c r="X22" s="55" t="str">
        <f aca="false">IF($P22="","",IFERROR(IF(ISNUMBER($P22),IF($P22&gt;19000000,DATE(INT($P22/10000),MOD(INT($P22/100),100),MOD($P22,100)),INT($P22)),IF(LEN(SUBSTITUTE(SUBSTITUTE(SUBSTITUTE(TRIM($P22),"-",""),".",""),"/",""))=8,DATE(VALUE(LEFT(SUBSTITUTE(SUBSTITUTE(SUBSTITUTE(TRIM($P22),"-",""),".",""),"/",""),4)),VALUE(MID(SUBSTITUTE(SUBSTITUTE(SUBSTITUTE(TRIM($P22),"-",""),".",""),"/",""),5,2)),VALUE(RIGHT(SUBSTITUTE(SUBSTITUTE(SUBSTITUTE(TRIM($P22),"-",""),".",""),"/",""),2))),DATEVALUE($P22))),""))</f>
        <v/>
      </c>
      <c r="Y22" s="56" t="str">
        <f aca="false">IF($M22="","",IFERROR(INDEX(강사DB!$D$4:$D$53,MATCH($M22,강사DB!$A$4:$A$53,0)),""))</f>
        <v/>
      </c>
      <c r="Z22" s="56" t="str">
        <f aca="false">IF($B22&lt;&gt;"결제완료","",IF(OR($Y22="",$J22=""),"",$Y22*$J22+MAX(0,N($K22)-1)*설정!$J$7))</f>
        <v/>
      </c>
      <c r="AA22" s="56" t="str">
        <f aca="false">IF(AND($D22&lt;&gt;"",$B22="결제완료"),N($N22),"")</f>
        <v/>
      </c>
      <c r="AB22" s="45" t="str">
        <f aca="false">IF($D22="","",IF($F22&lt;&gt;"",$F22,$D22)&amp;IF($B22="상담중"," (상담)",""))</f>
        <v/>
      </c>
      <c r="AC22" s="45" t="n">
        <f aca="false">IF(AND($D22&lt;&gt;"",OR($B22="결제완료",$B22="상담중")),1,0)</f>
        <v>0</v>
      </c>
      <c r="AD22" s="45" t="n">
        <f aca="false">IF(OR($Z22="",$U22=""),0,IFERROR(IF(COUNTIFS(INDEX(g_grid,0,2*MATCH($M22,강사DB!$A$4:$A$15,0)),"&lt;&gt;",g_s,"&lt;="&amp;$U22,g_e,"&gt;="&amp;$U22)&gt;0,1,0),0))</f>
        <v>0</v>
      </c>
      <c r="AE22" s="48"/>
      <c r="AF22" s="56" t="str">
        <f aca="false">IF(AND($D22&lt;&gt;"",$B22="결제완료",$T22="대여"),설정!$J$5,"")</f>
        <v/>
      </c>
      <c r="AG22" s="54" t="str">
        <f aca="false">IF($D22="","",IF(AND($E22="",$R22=""),$AB22,"☎ "&amp;IF($E22="","-",$E22)&amp;IF($R22&lt;&gt;"","  ※ "&amp;$R22,"")&amp;IF($B22="상담중"," (상담)","")))</f>
        <v/>
      </c>
      <c r="AH22" s="56" t="str">
        <f aca="false">IF(AND($D22&lt;&gt;"",$B22="결제완료",$O22="스마트스토어"),ROUND(N($N22)*설정!$J$6,0),"")</f>
        <v/>
      </c>
      <c r="AI22" s="54" t="str">
        <f aca="false">IF($D22="","",ROW())</f>
        <v/>
      </c>
      <c r="AJ22" s="54" t="n">
        <f aca="false">IF(OR($AC22&lt;&gt;1,$M22=""),0,IF(ISNUMBER(SEARCH("퇴사",IFERROR(INDEX(강사DB!$G$4:$G$53,MATCH($M22,강사DB!$A$4:$A$53,0)),""))),1,0))</f>
        <v>0</v>
      </c>
    </row>
    <row r="23" customFormat="false" ht="15" hidden="false" customHeight="false" outlineLevel="0" collapsed="false">
      <c r="A23" s="45" t="str">
        <f aca="false">IF($D23="","",COUNTA($D$5:$D23))</f>
        <v/>
      </c>
      <c r="B23" s="46"/>
      <c r="C23" s="47"/>
      <c r="D23" s="48"/>
      <c r="E23" s="48"/>
      <c r="F23" s="49"/>
      <c r="G23" s="47"/>
      <c r="H23" s="50"/>
      <c r="I23" s="50"/>
      <c r="J23" s="51" t="str">
        <f aca="false">IF(OR($V23="",$W23=""),"",ROUND(($W23-$V23)/60,2))</f>
        <v/>
      </c>
      <c r="K23" s="52" t="str">
        <f aca="false">IF($F23="","",LEN($F23)-LEN(SUBSTITUTE($F23,",",""))+1)</f>
        <v/>
      </c>
      <c r="L23" s="45" t="str">
        <f aca="false">IF($K23="","","1:"&amp;$K23)</f>
        <v/>
      </c>
      <c r="M23" s="46"/>
      <c r="N23" s="53"/>
      <c r="O23" s="46"/>
      <c r="P23" s="47"/>
      <c r="Q23" s="48"/>
      <c r="R23" s="49"/>
      <c r="S23" s="54" t="str">
        <f aca="false">IF(OR($AC23=0,$U23="",$M23="",$V23="",$W23=""),"",IF(COUNTIFS(m_teacher,$M23,m_date,$U23,m_active,1,m_start,"&lt;"&amp;$W23,m_end,"&gt;"&amp;$V23)&gt;1,"충돌",""))</f>
        <v/>
      </c>
      <c r="T23" s="48"/>
      <c r="U23" s="55" t="str">
        <f aca="false">IF($G23="","",IFERROR(IF(ISNUMBER($G23),IF($G23&gt;19000000,DATE(INT($G23/10000),MOD(INT($G23/100),100),MOD($G23,100)),INT($G23)),IF(LEN(SUBSTITUTE(SUBSTITUTE(SUBSTITUTE(TRIM($G23),"-",""),".",""),"/",""))=8,DATE(VALUE(LEFT(SUBSTITUTE(SUBSTITUTE(SUBSTITUTE(TRIM($G23),"-",""),".",""),"/",""),4)),VALUE(MID(SUBSTITUTE(SUBSTITUTE(SUBSTITUTE(TRIM($G23),"-",""),".",""),"/",""),5,2)),VALUE(RIGHT(SUBSTITUTE(SUBSTITUTE(SUBSTITUTE(TRIM($G23),"-",""),".",""),"/",""),2))),DATEVALUE($G23))),""))</f>
        <v/>
      </c>
      <c r="V23" s="52" t="str">
        <f aca="false">IF($H23="","",IFERROR(IF(IF(ISNUMBER($H23),$H23,IFERROR(TIMEVALUE($H23),VALUE($H23)))&gt;=100,INT(IF(ISNUMBER($H23),$H23,IFERROR(TIMEVALUE($H23),VALUE($H23)))/100)*60+MOD(IF(ISNUMBER($H23),$H23,IFERROR(TIMEVALUE($H23),VALUE($H23))),100),IF(IF(ISNUMBER($H23),$H23,IFERROR(TIMEVALUE($H23),VALUE($H23)))&gt;=1,ROUND(IF(ISNUMBER($H23),$H23,IFERROR(TIMEVALUE($H23),VALUE($H23)))*60,0),ROUND(MOD(IF(ISNUMBER($H23),$H23,IFERROR(TIMEVALUE($H23),VALUE($H23))),1)*1440,0))),""))</f>
        <v/>
      </c>
      <c r="W23" s="52" t="str">
        <f aca="false">IF($I23="","",IFERROR(IF(IF(ISNUMBER($I23),$I23,IFERROR(TIMEVALUE($I23),VALUE($I23)))&gt;=100,INT(IF(ISNUMBER($I23),$I23,IFERROR(TIMEVALUE($I23),VALUE($I23)))/100)*60+MOD(IF(ISNUMBER($I23),$I23,IFERROR(TIMEVALUE($I23),VALUE($I23))),100),IF(IF(ISNUMBER($I23),$I23,IFERROR(TIMEVALUE($I23),VALUE($I23)))&gt;=1,ROUND(IF(ISNUMBER($I23),$I23,IFERROR(TIMEVALUE($I23),VALUE($I23)))*60,0),ROUND(MOD(IF(ISNUMBER($I23),$I23,IFERROR(TIMEVALUE($I23),VALUE($I23))),1)*1440,0))),""))</f>
        <v/>
      </c>
      <c r="X23" s="55" t="str">
        <f aca="false">IF($P23="","",IFERROR(IF(ISNUMBER($P23),IF($P23&gt;19000000,DATE(INT($P23/10000),MOD(INT($P23/100),100),MOD($P23,100)),INT($P23)),IF(LEN(SUBSTITUTE(SUBSTITUTE(SUBSTITUTE(TRIM($P23),"-",""),".",""),"/",""))=8,DATE(VALUE(LEFT(SUBSTITUTE(SUBSTITUTE(SUBSTITUTE(TRIM($P23),"-",""),".",""),"/",""),4)),VALUE(MID(SUBSTITUTE(SUBSTITUTE(SUBSTITUTE(TRIM($P23),"-",""),".",""),"/",""),5,2)),VALUE(RIGHT(SUBSTITUTE(SUBSTITUTE(SUBSTITUTE(TRIM($P23),"-",""),".",""),"/",""),2))),DATEVALUE($P23))),""))</f>
        <v/>
      </c>
      <c r="Y23" s="56" t="str">
        <f aca="false">IF($M23="","",IFERROR(INDEX(강사DB!$D$4:$D$53,MATCH($M23,강사DB!$A$4:$A$53,0)),""))</f>
        <v/>
      </c>
      <c r="Z23" s="56" t="str">
        <f aca="false">IF($B23&lt;&gt;"결제완료","",IF(OR($Y23="",$J23=""),"",$Y23*$J23+MAX(0,N($K23)-1)*설정!$J$7))</f>
        <v/>
      </c>
      <c r="AA23" s="56" t="str">
        <f aca="false">IF(AND($D23&lt;&gt;"",$B23="결제완료"),N($N23),"")</f>
        <v/>
      </c>
      <c r="AB23" s="45" t="str">
        <f aca="false">IF($D23="","",IF($F23&lt;&gt;"",$F23,$D23)&amp;IF($B23="상담중"," (상담)",""))</f>
        <v/>
      </c>
      <c r="AC23" s="45" t="n">
        <f aca="false">IF(AND($D23&lt;&gt;"",OR($B23="결제완료",$B23="상담중")),1,0)</f>
        <v>0</v>
      </c>
      <c r="AD23" s="45" t="n">
        <f aca="false">IF(OR($Z23="",$U23=""),0,IFERROR(IF(COUNTIFS(INDEX(g_grid,0,2*MATCH($M23,강사DB!$A$4:$A$15,0)),"&lt;&gt;",g_s,"&lt;="&amp;$U23,g_e,"&gt;="&amp;$U23)&gt;0,1,0),0))</f>
        <v>0</v>
      </c>
      <c r="AE23" s="48"/>
      <c r="AF23" s="56" t="str">
        <f aca="false">IF(AND($D23&lt;&gt;"",$B23="결제완료",$T23="대여"),설정!$J$5,"")</f>
        <v/>
      </c>
      <c r="AG23" s="54" t="str">
        <f aca="false">IF($D23="","",IF(AND($E23="",$R23=""),$AB23,"☎ "&amp;IF($E23="","-",$E23)&amp;IF($R23&lt;&gt;"","  ※ "&amp;$R23,"")&amp;IF($B23="상담중"," (상담)","")))</f>
        <v/>
      </c>
      <c r="AH23" s="56" t="str">
        <f aca="false">IF(AND($D23&lt;&gt;"",$B23="결제완료",$O23="스마트스토어"),ROUND(N($N23)*설정!$J$6,0),"")</f>
        <v/>
      </c>
      <c r="AI23" s="54" t="str">
        <f aca="false">IF($D23="","",ROW())</f>
        <v/>
      </c>
      <c r="AJ23" s="54" t="n">
        <f aca="false">IF(OR($AC23&lt;&gt;1,$M23=""),0,IF(ISNUMBER(SEARCH("퇴사",IFERROR(INDEX(강사DB!$G$4:$G$53,MATCH($M23,강사DB!$A$4:$A$53,0)),""))),1,0))</f>
        <v>0</v>
      </c>
    </row>
    <row r="24" customFormat="false" ht="15" hidden="false" customHeight="false" outlineLevel="0" collapsed="false">
      <c r="A24" s="45" t="str">
        <f aca="false">IF($D24="","",COUNTA($D$5:$D24))</f>
        <v/>
      </c>
      <c r="B24" s="46"/>
      <c r="C24" s="47"/>
      <c r="D24" s="48"/>
      <c r="E24" s="48"/>
      <c r="F24" s="49"/>
      <c r="G24" s="47"/>
      <c r="H24" s="50"/>
      <c r="I24" s="50"/>
      <c r="J24" s="51" t="str">
        <f aca="false">IF(OR($V24="",$W24=""),"",ROUND(($W24-$V24)/60,2))</f>
        <v/>
      </c>
      <c r="K24" s="52" t="str">
        <f aca="false">IF($F24="","",LEN($F24)-LEN(SUBSTITUTE($F24,",",""))+1)</f>
        <v/>
      </c>
      <c r="L24" s="45" t="str">
        <f aca="false">IF($K24="","","1:"&amp;$K24)</f>
        <v/>
      </c>
      <c r="M24" s="46"/>
      <c r="N24" s="53"/>
      <c r="O24" s="46"/>
      <c r="P24" s="47"/>
      <c r="Q24" s="48"/>
      <c r="R24" s="49"/>
      <c r="S24" s="54" t="str">
        <f aca="false">IF(OR($AC24=0,$U24="",$M24="",$V24="",$W24=""),"",IF(COUNTIFS(m_teacher,$M24,m_date,$U24,m_active,1,m_start,"&lt;"&amp;$W24,m_end,"&gt;"&amp;$V24)&gt;1,"충돌",""))</f>
        <v/>
      </c>
      <c r="T24" s="48"/>
      <c r="U24" s="55" t="str">
        <f aca="false">IF($G24="","",IFERROR(IF(ISNUMBER($G24),IF($G24&gt;19000000,DATE(INT($G24/10000),MOD(INT($G24/100),100),MOD($G24,100)),INT($G24)),IF(LEN(SUBSTITUTE(SUBSTITUTE(SUBSTITUTE(TRIM($G24),"-",""),".",""),"/",""))=8,DATE(VALUE(LEFT(SUBSTITUTE(SUBSTITUTE(SUBSTITUTE(TRIM($G24),"-",""),".",""),"/",""),4)),VALUE(MID(SUBSTITUTE(SUBSTITUTE(SUBSTITUTE(TRIM($G24),"-",""),".",""),"/",""),5,2)),VALUE(RIGHT(SUBSTITUTE(SUBSTITUTE(SUBSTITUTE(TRIM($G24),"-",""),".",""),"/",""),2))),DATEVALUE($G24))),""))</f>
        <v/>
      </c>
      <c r="V24" s="52" t="str">
        <f aca="false">IF($H24="","",IFERROR(IF(IF(ISNUMBER($H24),$H24,IFERROR(TIMEVALUE($H24),VALUE($H24)))&gt;=100,INT(IF(ISNUMBER($H24),$H24,IFERROR(TIMEVALUE($H24),VALUE($H24)))/100)*60+MOD(IF(ISNUMBER($H24),$H24,IFERROR(TIMEVALUE($H24),VALUE($H24))),100),IF(IF(ISNUMBER($H24),$H24,IFERROR(TIMEVALUE($H24),VALUE($H24)))&gt;=1,ROUND(IF(ISNUMBER($H24),$H24,IFERROR(TIMEVALUE($H24),VALUE($H24)))*60,0),ROUND(MOD(IF(ISNUMBER($H24),$H24,IFERROR(TIMEVALUE($H24),VALUE($H24))),1)*1440,0))),""))</f>
        <v/>
      </c>
      <c r="W24" s="52" t="str">
        <f aca="false">IF($I24="","",IFERROR(IF(IF(ISNUMBER($I24),$I24,IFERROR(TIMEVALUE($I24),VALUE($I24)))&gt;=100,INT(IF(ISNUMBER($I24),$I24,IFERROR(TIMEVALUE($I24),VALUE($I24)))/100)*60+MOD(IF(ISNUMBER($I24),$I24,IFERROR(TIMEVALUE($I24),VALUE($I24))),100),IF(IF(ISNUMBER($I24),$I24,IFERROR(TIMEVALUE($I24),VALUE($I24)))&gt;=1,ROUND(IF(ISNUMBER($I24),$I24,IFERROR(TIMEVALUE($I24),VALUE($I24)))*60,0),ROUND(MOD(IF(ISNUMBER($I24),$I24,IFERROR(TIMEVALUE($I24),VALUE($I24))),1)*1440,0))),""))</f>
        <v/>
      </c>
      <c r="X24" s="55" t="str">
        <f aca="false">IF($P24="","",IFERROR(IF(ISNUMBER($P24),IF($P24&gt;19000000,DATE(INT($P24/10000),MOD(INT($P24/100),100),MOD($P24,100)),INT($P24)),IF(LEN(SUBSTITUTE(SUBSTITUTE(SUBSTITUTE(TRIM($P24),"-",""),".",""),"/",""))=8,DATE(VALUE(LEFT(SUBSTITUTE(SUBSTITUTE(SUBSTITUTE(TRIM($P24),"-",""),".",""),"/",""),4)),VALUE(MID(SUBSTITUTE(SUBSTITUTE(SUBSTITUTE(TRIM($P24),"-",""),".",""),"/",""),5,2)),VALUE(RIGHT(SUBSTITUTE(SUBSTITUTE(SUBSTITUTE(TRIM($P24),"-",""),".",""),"/",""),2))),DATEVALUE($P24))),""))</f>
        <v/>
      </c>
      <c r="Y24" s="56" t="str">
        <f aca="false">IF($M24="","",IFERROR(INDEX(강사DB!$D$4:$D$53,MATCH($M24,강사DB!$A$4:$A$53,0)),""))</f>
        <v/>
      </c>
      <c r="Z24" s="56" t="str">
        <f aca="false">IF($B24&lt;&gt;"결제완료","",IF(OR($Y24="",$J24=""),"",$Y24*$J24+MAX(0,N($K24)-1)*설정!$J$7))</f>
        <v/>
      </c>
      <c r="AA24" s="56" t="str">
        <f aca="false">IF(AND($D24&lt;&gt;"",$B24="결제완료"),N($N24),"")</f>
        <v/>
      </c>
      <c r="AB24" s="45" t="str">
        <f aca="false">IF($D24="","",IF($F24&lt;&gt;"",$F24,$D24)&amp;IF($B24="상담중"," (상담)",""))</f>
        <v/>
      </c>
      <c r="AC24" s="45" t="n">
        <f aca="false">IF(AND($D24&lt;&gt;"",OR($B24="결제완료",$B24="상담중")),1,0)</f>
        <v>0</v>
      </c>
      <c r="AD24" s="45" t="n">
        <f aca="false">IF(OR($Z24="",$U24=""),0,IFERROR(IF(COUNTIFS(INDEX(g_grid,0,2*MATCH($M24,강사DB!$A$4:$A$15,0)),"&lt;&gt;",g_s,"&lt;="&amp;$U24,g_e,"&gt;="&amp;$U24)&gt;0,1,0),0))</f>
        <v>0</v>
      </c>
      <c r="AE24" s="48"/>
      <c r="AF24" s="56" t="str">
        <f aca="false">IF(AND($D24&lt;&gt;"",$B24="결제완료",$T24="대여"),설정!$J$5,"")</f>
        <v/>
      </c>
      <c r="AG24" s="54" t="str">
        <f aca="false">IF($D24="","",IF(AND($E24="",$R24=""),$AB24,"☎ "&amp;IF($E24="","-",$E24)&amp;IF($R24&lt;&gt;"","  ※ "&amp;$R24,"")&amp;IF($B24="상담중"," (상담)","")))</f>
        <v/>
      </c>
      <c r="AH24" s="56" t="str">
        <f aca="false">IF(AND($D24&lt;&gt;"",$B24="결제완료",$O24="스마트스토어"),ROUND(N($N24)*설정!$J$6,0),"")</f>
        <v/>
      </c>
      <c r="AI24" s="54" t="str">
        <f aca="false">IF($D24="","",ROW())</f>
        <v/>
      </c>
      <c r="AJ24" s="54" t="n">
        <f aca="false">IF(OR($AC24&lt;&gt;1,$M24=""),0,IF(ISNUMBER(SEARCH("퇴사",IFERROR(INDEX(강사DB!$G$4:$G$53,MATCH($M24,강사DB!$A$4:$A$53,0)),""))),1,0))</f>
        <v>0</v>
      </c>
    </row>
    <row r="25" customFormat="false" ht="15" hidden="false" customHeight="false" outlineLevel="0" collapsed="false">
      <c r="A25" s="45" t="str">
        <f aca="false">IF($D25="","",COUNTA($D$5:$D25))</f>
        <v/>
      </c>
      <c r="B25" s="46"/>
      <c r="C25" s="47"/>
      <c r="D25" s="48"/>
      <c r="E25" s="48"/>
      <c r="F25" s="49"/>
      <c r="G25" s="47"/>
      <c r="H25" s="50"/>
      <c r="I25" s="50"/>
      <c r="J25" s="51" t="str">
        <f aca="false">IF(OR($V25="",$W25=""),"",ROUND(($W25-$V25)/60,2))</f>
        <v/>
      </c>
      <c r="K25" s="52" t="str">
        <f aca="false">IF($F25="","",LEN($F25)-LEN(SUBSTITUTE($F25,",",""))+1)</f>
        <v/>
      </c>
      <c r="L25" s="45" t="str">
        <f aca="false">IF($K25="","","1:"&amp;$K25)</f>
        <v/>
      </c>
      <c r="M25" s="46"/>
      <c r="N25" s="53"/>
      <c r="O25" s="46"/>
      <c r="P25" s="47"/>
      <c r="Q25" s="48"/>
      <c r="R25" s="49"/>
      <c r="S25" s="54" t="str">
        <f aca="false">IF(OR($AC25=0,$U25="",$M25="",$V25="",$W25=""),"",IF(COUNTIFS(m_teacher,$M25,m_date,$U25,m_active,1,m_start,"&lt;"&amp;$W25,m_end,"&gt;"&amp;$V25)&gt;1,"충돌",""))</f>
        <v/>
      </c>
      <c r="T25" s="48"/>
      <c r="U25" s="55" t="str">
        <f aca="false">IF($G25="","",IFERROR(IF(ISNUMBER($G25),IF($G25&gt;19000000,DATE(INT($G25/10000),MOD(INT($G25/100),100),MOD($G25,100)),INT($G25)),IF(LEN(SUBSTITUTE(SUBSTITUTE(SUBSTITUTE(TRIM($G25),"-",""),".",""),"/",""))=8,DATE(VALUE(LEFT(SUBSTITUTE(SUBSTITUTE(SUBSTITUTE(TRIM($G25),"-",""),".",""),"/",""),4)),VALUE(MID(SUBSTITUTE(SUBSTITUTE(SUBSTITUTE(TRIM($G25),"-",""),".",""),"/",""),5,2)),VALUE(RIGHT(SUBSTITUTE(SUBSTITUTE(SUBSTITUTE(TRIM($G25),"-",""),".",""),"/",""),2))),DATEVALUE($G25))),""))</f>
        <v/>
      </c>
      <c r="V25" s="52" t="str">
        <f aca="false">IF($H25="","",IFERROR(IF(IF(ISNUMBER($H25),$H25,IFERROR(TIMEVALUE($H25),VALUE($H25)))&gt;=100,INT(IF(ISNUMBER($H25),$H25,IFERROR(TIMEVALUE($H25),VALUE($H25)))/100)*60+MOD(IF(ISNUMBER($H25),$H25,IFERROR(TIMEVALUE($H25),VALUE($H25))),100),IF(IF(ISNUMBER($H25),$H25,IFERROR(TIMEVALUE($H25),VALUE($H25)))&gt;=1,ROUND(IF(ISNUMBER($H25),$H25,IFERROR(TIMEVALUE($H25),VALUE($H25)))*60,0),ROUND(MOD(IF(ISNUMBER($H25),$H25,IFERROR(TIMEVALUE($H25),VALUE($H25))),1)*1440,0))),""))</f>
        <v/>
      </c>
      <c r="W25" s="52" t="str">
        <f aca="false">IF($I25="","",IFERROR(IF(IF(ISNUMBER($I25),$I25,IFERROR(TIMEVALUE($I25),VALUE($I25)))&gt;=100,INT(IF(ISNUMBER($I25),$I25,IFERROR(TIMEVALUE($I25),VALUE($I25)))/100)*60+MOD(IF(ISNUMBER($I25),$I25,IFERROR(TIMEVALUE($I25),VALUE($I25))),100),IF(IF(ISNUMBER($I25),$I25,IFERROR(TIMEVALUE($I25),VALUE($I25)))&gt;=1,ROUND(IF(ISNUMBER($I25),$I25,IFERROR(TIMEVALUE($I25),VALUE($I25)))*60,0),ROUND(MOD(IF(ISNUMBER($I25),$I25,IFERROR(TIMEVALUE($I25),VALUE($I25))),1)*1440,0))),""))</f>
        <v/>
      </c>
      <c r="X25" s="55" t="str">
        <f aca="false">IF($P25="","",IFERROR(IF(ISNUMBER($P25),IF($P25&gt;19000000,DATE(INT($P25/10000),MOD(INT($P25/100),100),MOD($P25,100)),INT($P25)),IF(LEN(SUBSTITUTE(SUBSTITUTE(SUBSTITUTE(TRIM($P25),"-",""),".",""),"/",""))=8,DATE(VALUE(LEFT(SUBSTITUTE(SUBSTITUTE(SUBSTITUTE(TRIM($P25),"-",""),".",""),"/",""),4)),VALUE(MID(SUBSTITUTE(SUBSTITUTE(SUBSTITUTE(TRIM($P25),"-",""),".",""),"/",""),5,2)),VALUE(RIGHT(SUBSTITUTE(SUBSTITUTE(SUBSTITUTE(TRIM($P25),"-",""),".",""),"/",""),2))),DATEVALUE($P25))),""))</f>
        <v/>
      </c>
      <c r="Y25" s="56" t="str">
        <f aca="false">IF($M25="","",IFERROR(INDEX(강사DB!$D$4:$D$53,MATCH($M25,강사DB!$A$4:$A$53,0)),""))</f>
        <v/>
      </c>
      <c r="Z25" s="56" t="str">
        <f aca="false">IF($B25&lt;&gt;"결제완료","",IF(OR($Y25="",$J25=""),"",$Y25*$J25+MAX(0,N($K25)-1)*설정!$J$7))</f>
        <v/>
      </c>
      <c r="AA25" s="56" t="str">
        <f aca="false">IF(AND($D25&lt;&gt;"",$B25="결제완료"),N($N25),"")</f>
        <v/>
      </c>
      <c r="AB25" s="45" t="str">
        <f aca="false">IF($D25="","",IF($F25&lt;&gt;"",$F25,$D25)&amp;IF($B25="상담중"," (상담)",""))</f>
        <v/>
      </c>
      <c r="AC25" s="45" t="n">
        <f aca="false">IF(AND($D25&lt;&gt;"",OR($B25="결제완료",$B25="상담중")),1,0)</f>
        <v>0</v>
      </c>
      <c r="AD25" s="45" t="n">
        <f aca="false">IF(OR($Z25="",$U25=""),0,IFERROR(IF(COUNTIFS(INDEX(g_grid,0,2*MATCH($M25,강사DB!$A$4:$A$15,0)),"&lt;&gt;",g_s,"&lt;="&amp;$U25,g_e,"&gt;="&amp;$U25)&gt;0,1,0),0))</f>
        <v>0</v>
      </c>
      <c r="AE25" s="48"/>
      <c r="AF25" s="56" t="str">
        <f aca="false">IF(AND($D25&lt;&gt;"",$B25="결제완료",$T25="대여"),설정!$J$5,"")</f>
        <v/>
      </c>
      <c r="AG25" s="54" t="str">
        <f aca="false">IF($D25="","",IF(AND($E25="",$R25=""),$AB25,"☎ "&amp;IF($E25="","-",$E25)&amp;IF($R25&lt;&gt;"","  ※ "&amp;$R25,"")&amp;IF($B25="상담중"," (상담)","")))</f>
        <v/>
      </c>
      <c r="AH25" s="56" t="str">
        <f aca="false">IF(AND($D25&lt;&gt;"",$B25="결제완료",$O25="스마트스토어"),ROUND(N($N25)*설정!$J$6,0),"")</f>
        <v/>
      </c>
      <c r="AI25" s="54" t="str">
        <f aca="false">IF($D25="","",ROW())</f>
        <v/>
      </c>
      <c r="AJ25" s="54" t="n">
        <f aca="false">IF(OR($AC25&lt;&gt;1,$M25=""),0,IF(ISNUMBER(SEARCH("퇴사",IFERROR(INDEX(강사DB!$G$4:$G$53,MATCH($M25,강사DB!$A$4:$A$53,0)),""))),1,0))</f>
        <v>0</v>
      </c>
    </row>
    <row r="26" customFormat="false" ht="15" hidden="false" customHeight="false" outlineLevel="0" collapsed="false">
      <c r="A26" s="45" t="str">
        <f aca="false">IF($D26="","",COUNTA($D$5:$D26))</f>
        <v/>
      </c>
      <c r="B26" s="46"/>
      <c r="C26" s="47"/>
      <c r="D26" s="48"/>
      <c r="E26" s="48"/>
      <c r="F26" s="49"/>
      <c r="G26" s="47"/>
      <c r="H26" s="50"/>
      <c r="I26" s="50"/>
      <c r="J26" s="51" t="str">
        <f aca="false">IF(OR($V26="",$W26=""),"",ROUND(($W26-$V26)/60,2))</f>
        <v/>
      </c>
      <c r="K26" s="52" t="str">
        <f aca="false">IF($F26="","",LEN($F26)-LEN(SUBSTITUTE($F26,",",""))+1)</f>
        <v/>
      </c>
      <c r="L26" s="45" t="str">
        <f aca="false">IF($K26="","","1:"&amp;$K26)</f>
        <v/>
      </c>
      <c r="M26" s="46"/>
      <c r="N26" s="53"/>
      <c r="O26" s="46"/>
      <c r="P26" s="47"/>
      <c r="Q26" s="48"/>
      <c r="R26" s="49"/>
      <c r="S26" s="54" t="str">
        <f aca="false">IF(OR($AC26=0,$U26="",$M26="",$V26="",$W26=""),"",IF(COUNTIFS(m_teacher,$M26,m_date,$U26,m_active,1,m_start,"&lt;"&amp;$W26,m_end,"&gt;"&amp;$V26)&gt;1,"충돌",""))</f>
        <v/>
      </c>
      <c r="T26" s="48"/>
      <c r="U26" s="55" t="str">
        <f aca="false">IF($G26="","",IFERROR(IF(ISNUMBER($G26),IF($G26&gt;19000000,DATE(INT($G26/10000),MOD(INT($G26/100),100),MOD($G26,100)),INT($G26)),IF(LEN(SUBSTITUTE(SUBSTITUTE(SUBSTITUTE(TRIM($G26),"-",""),".",""),"/",""))=8,DATE(VALUE(LEFT(SUBSTITUTE(SUBSTITUTE(SUBSTITUTE(TRIM($G26),"-",""),".",""),"/",""),4)),VALUE(MID(SUBSTITUTE(SUBSTITUTE(SUBSTITUTE(TRIM($G26),"-",""),".",""),"/",""),5,2)),VALUE(RIGHT(SUBSTITUTE(SUBSTITUTE(SUBSTITUTE(TRIM($G26),"-",""),".",""),"/",""),2))),DATEVALUE($G26))),""))</f>
        <v/>
      </c>
      <c r="V26" s="52" t="str">
        <f aca="false">IF($H26="","",IFERROR(IF(IF(ISNUMBER($H26),$H26,IFERROR(TIMEVALUE($H26),VALUE($H26)))&gt;=100,INT(IF(ISNUMBER($H26),$H26,IFERROR(TIMEVALUE($H26),VALUE($H26)))/100)*60+MOD(IF(ISNUMBER($H26),$H26,IFERROR(TIMEVALUE($H26),VALUE($H26))),100),IF(IF(ISNUMBER($H26),$H26,IFERROR(TIMEVALUE($H26),VALUE($H26)))&gt;=1,ROUND(IF(ISNUMBER($H26),$H26,IFERROR(TIMEVALUE($H26),VALUE($H26)))*60,0),ROUND(MOD(IF(ISNUMBER($H26),$H26,IFERROR(TIMEVALUE($H26),VALUE($H26))),1)*1440,0))),""))</f>
        <v/>
      </c>
      <c r="W26" s="52" t="str">
        <f aca="false">IF($I26="","",IFERROR(IF(IF(ISNUMBER($I26),$I26,IFERROR(TIMEVALUE($I26),VALUE($I26)))&gt;=100,INT(IF(ISNUMBER($I26),$I26,IFERROR(TIMEVALUE($I26),VALUE($I26)))/100)*60+MOD(IF(ISNUMBER($I26),$I26,IFERROR(TIMEVALUE($I26),VALUE($I26))),100),IF(IF(ISNUMBER($I26),$I26,IFERROR(TIMEVALUE($I26),VALUE($I26)))&gt;=1,ROUND(IF(ISNUMBER($I26),$I26,IFERROR(TIMEVALUE($I26),VALUE($I26)))*60,0),ROUND(MOD(IF(ISNUMBER($I26),$I26,IFERROR(TIMEVALUE($I26),VALUE($I26))),1)*1440,0))),""))</f>
        <v/>
      </c>
      <c r="X26" s="55" t="str">
        <f aca="false">IF($P26="","",IFERROR(IF(ISNUMBER($P26),IF($P26&gt;19000000,DATE(INT($P26/10000),MOD(INT($P26/100),100),MOD($P26,100)),INT($P26)),IF(LEN(SUBSTITUTE(SUBSTITUTE(SUBSTITUTE(TRIM($P26),"-",""),".",""),"/",""))=8,DATE(VALUE(LEFT(SUBSTITUTE(SUBSTITUTE(SUBSTITUTE(TRIM($P26),"-",""),".",""),"/",""),4)),VALUE(MID(SUBSTITUTE(SUBSTITUTE(SUBSTITUTE(TRIM($P26),"-",""),".",""),"/",""),5,2)),VALUE(RIGHT(SUBSTITUTE(SUBSTITUTE(SUBSTITUTE(TRIM($P26),"-",""),".",""),"/",""),2))),DATEVALUE($P26))),""))</f>
        <v/>
      </c>
      <c r="Y26" s="56" t="str">
        <f aca="false">IF($M26="","",IFERROR(INDEX(강사DB!$D$4:$D$53,MATCH($M26,강사DB!$A$4:$A$53,0)),""))</f>
        <v/>
      </c>
      <c r="Z26" s="56" t="str">
        <f aca="false">IF($B26&lt;&gt;"결제완료","",IF(OR($Y26="",$J26=""),"",$Y26*$J26+MAX(0,N($K26)-1)*설정!$J$7))</f>
        <v/>
      </c>
      <c r="AA26" s="56" t="str">
        <f aca="false">IF(AND($D26&lt;&gt;"",$B26="결제완료"),N($N26),"")</f>
        <v/>
      </c>
      <c r="AB26" s="45" t="str">
        <f aca="false">IF($D26="","",IF($F26&lt;&gt;"",$F26,$D26)&amp;IF($B26="상담중"," (상담)",""))</f>
        <v/>
      </c>
      <c r="AC26" s="45" t="n">
        <f aca="false">IF(AND($D26&lt;&gt;"",OR($B26="결제완료",$B26="상담중")),1,0)</f>
        <v>0</v>
      </c>
      <c r="AD26" s="45" t="n">
        <f aca="false">IF(OR($Z26="",$U26=""),0,IFERROR(IF(COUNTIFS(INDEX(g_grid,0,2*MATCH($M26,강사DB!$A$4:$A$15,0)),"&lt;&gt;",g_s,"&lt;="&amp;$U26,g_e,"&gt;="&amp;$U26)&gt;0,1,0),0))</f>
        <v>0</v>
      </c>
      <c r="AE26" s="48"/>
      <c r="AF26" s="56" t="str">
        <f aca="false">IF(AND($D26&lt;&gt;"",$B26="결제완료",$T26="대여"),설정!$J$5,"")</f>
        <v/>
      </c>
      <c r="AG26" s="54" t="str">
        <f aca="false">IF($D26="","",IF(AND($E26="",$R26=""),$AB26,"☎ "&amp;IF($E26="","-",$E26)&amp;IF($R26&lt;&gt;"","  ※ "&amp;$R26,"")&amp;IF($B26="상담중"," (상담)","")))</f>
        <v/>
      </c>
      <c r="AH26" s="56" t="str">
        <f aca="false">IF(AND($D26&lt;&gt;"",$B26="결제완료",$O26="스마트스토어"),ROUND(N($N26)*설정!$J$6,0),"")</f>
        <v/>
      </c>
      <c r="AI26" s="54" t="str">
        <f aca="false">IF($D26="","",ROW())</f>
        <v/>
      </c>
      <c r="AJ26" s="54" t="n">
        <f aca="false">IF(OR($AC26&lt;&gt;1,$M26=""),0,IF(ISNUMBER(SEARCH("퇴사",IFERROR(INDEX(강사DB!$G$4:$G$53,MATCH($M26,강사DB!$A$4:$A$53,0)),""))),1,0))</f>
        <v>0</v>
      </c>
    </row>
    <row r="27" customFormat="false" ht="15" hidden="false" customHeight="false" outlineLevel="0" collapsed="false">
      <c r="A27" s="45" t="str">
        <f aca="false">IF($D27="","",COUNTA($D$5:$D27))</f>
        <v/>
      </c>
      <c r="B27" s="46"/>
      <c r="C27" s="47"/>
      <c r="D27" s="48"/>
      <c r="E27" s="48"/>
      <c r="F27" s="49"/>
      <c r="G27" s="47"/>
      <c r="H27" s="50"/>
      <c r="I27" s="50"/>
      <c r="J27" s="51" t="str">
        <f aca="false">IF(OR($V27="",$W27=""),"",ROUND(($W27-$V27)/60,2))</f>
        <v/>
      </c>
      <c r="K27" s="52" t="str">
        <f aca="false">IF($F27="","",LEN($F27)-LEN(SUBSTITUTE($F27,",",""))+1)</f>
        <v/>
      </c>
      <c r="L27" s="45" t="str">
        <f aca="false">IF($K27="","","1:"&amp;$K27)</f>
        <v/>
      </c>
      <c r="M27" s="46"/>
      <c r="N27" s="53"/>
      <c r="O27" s="46"/>
      <c r="P27" s="47"/>
      <c r="Q27" s="48"/>
      <c r="R27" s="49"/>
      <c r="S27" s="54" t="str">
        <f aca="false">IF(OR($AC27=0,$U27="",$M27="",$V27="",$W27=""),"",IF(COUNTIFS(m_teacher,$M27,m_date,$U27,m_active,1,m_start,"&lt;"&amp;$W27,m_end,"&gt;"&amp;$V27)&gt;1,"충돌",""))</f>
        <v/>
      </c>
      <c r="T27" s="48"/>
      <c r="U27" s="55" t="str">
        <f aca="false">IF($G27="","",IFERROR(IF(ISNUMBER($G27),IF($G27&gt;19000000,DATE(INT($G27/10000),MOD(INT($G27/100),100),MOD($G27,100)),INT($G27)),IF(LEN(SUBSTITUTE(SUBSTITUTE(SUBSTITUTE(TRIM($G27),"-",""),".",""),"/",""))=8,DATE(VALUE(LEFT(SUBSTITUTE(SUBSTITUTE(SUBSTITUTE(TRIM($G27),"-",""),".",""),"/",""),4)),VALUE(MID(SUBSTITUTE(SUBSTITUTE(SUBSTITUTE(TRIM($G27),"-",""),".",""),"/",""),5,2)),VALUE(RIGHT(SUBSTITUTE(SUBSTITUTE(SUBSTITUTE(TRIM($G27),"-",""),".",""),"/",""),2))),DATEVALUE($G27))),""))</f>
        <v/>
      </c>
      <c r="V27" s="52" t="str">
        <f aca="false">IF($H27="","",IFERROR(IF(IF(ISNUMBER($H27),$H27,IFERROR(TIMEVALUE($H27),VALUE($H27)))&gt;=100,INT(IF(ISNUMBER($H27),$H27,IFERROR(TIMEVALUE($H27),VALUE($H27)))/100)*60+MOD(IF(ISNUMBER($H27),$H27,IFERROR(TIMEVALUE($H27),VALUE($H27))),100),IF(IF(ISNUMBER($H27),$H27,IFERROR(TIMEVALUE($H27),VALUE($H27)))&gt;=1,ROUND(IF(ISNUMBER($H27),$H27,IFERROR(TIMEVALUE($H27),VALUE($H27)))*60,0),ROUND(MOD(IF(ISNUMBER($H27),$H27,IFERROR(TIMEVALUE($H27),VALUE($H27))),1)*1440,0))),""))</f>
        <v/>
      </c>
      <c r="W27" s="52" t="str">
        <f aca="false">IF($I27="","",IFERROR(IF(IF(ISNUMBER($I27),$I27,IFERROR(TIMEVALUE($I27),VALUE($I27)))&gt;=100,INT(IF(ISNUMBER($I27),$I27,IFERROR(TIMEVALUE($I27),VALUE($I27)))/100)*60+MOD(IF(ISNUMBER($I27),$I27,IFERROR(TIMEVALUE($I27),VALUE($I27))),100),IF(IF(ISNUMBER($I27),$I27,IFERROR(TIMEVALUE($I27),VALUE($I27)))&gt;=1,ROUND(IF(ISNUMBER($I27),$I27,IFERROR(TIMEVALUE($I27),VALUE($I27)))*60,0),ROUND(MOD(IF(ISNUMBER($I27),$I27,IFERROR(TIMEVALUE($I27),VALUE($I27))),1)*1440,0))),""))</f>
        <v/>
      </c>
      <c r="X27" s="55" t="str">
        <f aca="false">IF($P27="","",IFERROR(IF(ISNUMBER($P27),IF($P27&gt;19000000,DATE(INT($P27/10000),MOD(INT($P27/100),100),MOD($P27,100)),INT($P27)),IF(LEN(SUBSTITUTE(SUBSTITUTE(SUBSTITUTE(TRIM($P27),"-",""),".",""),"/",""))=8,DATE(VALUE(LEFT(SUBSTITUTE(SUBSTITUTE(SUBSTITUTE(TRIM($P27),"-",""),".",""),"/",""),4)),VALUE(MID(SUBSTITUTE(SUBSTITUTE(SUBSTITUTE(TRIM($P27),"-",""),".",""),"/",""),5,2)),VALUE(RIGHT(SUBSTITUTE(SUBSTITUTE(SUBSTITUTE(TRIM($P27),"-",""),".",""),"/",""),2))),DATEVALUE($P27))),""))</f>
        <v/>
      </c>
      <c r="Y27" s="56" t="str">
        <f aca="false">IF($M27="","",IFERROR(INDEX(강사DB!$D$4:$D$53,MATCH($M27,강사DB!$A$4:$A$53,0)),""))</f>
        <v/>
      </c>
      <c r="Z27" s="56" t="str">
        <f aca="false">IF($B27&lt;&gt;"결제완료","",IF(OR($Y27="",$J27=""),"",$Y27*$J27+MAX(0,N($K27)-1)*설정!$J$7))</f>
        <v/>
      </c>
      <c r="AA27" s="56" t="str">
        <f aca="false">IF(AND($D27&lt;&gt;"",$B27="결제완료"),N($N27),"")</f>
        <v/>
      </c>
      <c r="AB27" s="45" t="str">
        <f aca="false">IF($D27="","",IF($F27&lt;&gt;"",$F27,$D27)&amp;IF($B27="상담중"," (상담)",""))</f>
        <v/>
      </c>
      <c r="AC27" s="45" t="n">
        <f aca="false">IF(AND($D27&lt;&gt;"",OR($B27="결제완료",$B27="상담중")),1,0)</f>
        <v>0</v>
      </c>
      <c r="AD27" s="45" t="n">
        <f aca="false">IF(OR($Z27="",$U27=""),0,IFERROR(IF(COUNTIFS(INDEX(g_grid,0,2*MATCH($M27,강사DB!$A$4:$A$15,0)),"&lt;&gt;",g_s,"&lt;="&amp;$U27,g_e,"&gt;="&amp;$U27)&gt;0,1,0),0))</f>
        <v>0</v>
      </c>
      <c r="AE27" s="48"/>
      <c r="AF27" s="56" t="str">
        <f aca="false">IF(AND($D27&lt;&gt;"",$B27="결제완료",$T27="대여"),설정!$J$5,"")</f>
        <v/>
      </c>
      <c r="AG27" s="54" t="str">
        <f aca="false">IF($D27="","",IF(AND($E27="",$R27=""),$AB27,"☎ "&amp;IF($E27="","-",$E27)&amp;IF($R27&lt;&gt;"","  ※ "&amp;$R27,"")&amp;IF($B27="상담중"," (상담)","")))</f>
        <v/>
      </c>
      <c r="AH27" s="56" t="str">
        <f aca="false">IF(AND($D27&lt;&gt;"",$B27="결제완료",$O27="스마트스토어"),ROUND(N($N27)*설정!$J$6,0),"")</f>
        <v/>
      </c>
      <c r="AI27" s="54" t="str">
        <f aca="false">IF($D27="","",ROW())</f>
        <v/>
      </c>
      <c r="AJ27" s="54" t="n">
        <f aca="false">IF(OR($AC27&lt;&gt;1,$M27=""),0,IF(ISNUMBER(SEARCH("퇴사",IFERROR(INDEX(강사DB!$G$4:$G$53,MATCH($M27,강사DB!$A$4:$A$53,0)),""))),1,0))</f>
        <v>0</v>
      </c>
    </row>
    <row r="28" customFormat="false" ht="15" hidden="false" customHeight="false" outlineLevel="0" collapsed="false">
      <c r="A28" s="45" t="str">
        <f aca="false">IF($D28="","",COUNTA($D$5:$D28))</f>
        <v/>
      </c>
      <c r="B28" s="46"/>
      <c r="C28" s="47"/>
      <c r="D28" s="48"/>
      <c r="E28" s="48"/>
      <c r="F28" s="49"/>
      <c r="G28" s="47"/>
      <c r="H28" s="50"/>
      <c r="I28" s="50"/>
      <c r="J28" s="51" t="str">
        <f aca="false">IF(OR($V28="",$W28=""),"",ROUND(($W28-$V28)/60,2))</f>
        <v/>
      </c>
      <c r="K28" s="52" t="str">
        <f aca="false">IF($F28="","",LEN($F28)-LEN(SUBSTITUTE($F28,",",""))+1)</f>
        <v/>
      </c>
      <c r="L28" s="45" t="str">
        <f aca="false">IF($K28="","","1:"&amp;$K28)</f>
        <v/>
      </c>
      <c r="M28" s="46"/>
      <c r="N28" s="53"/>
      <c r="O28" s="46"/>
      <c r="P28" s="47"/>
      <c r="Q28" s="48"/>
      <c r="R28" s="49"/>
      <c r="S28" s="54" t="str">
        <f aca="false">IF(OR($AC28=0,$U28="",$M28="",$V28="",$W28=""),"",IF(COUNTIFS(m_teacher,$M28,m_date,$U28,m_active,1,m_start,"&lt;"&amp;$W28,m_end,"&gt;"&amp;$V28)&gt;1,"충돌",""))</f>
        <v/>
      </c>
      <c r="T28" s="48"/>
      <c r="U28" s="55" t="str">
        <f aca="false">IF($G28="","",IFERROR(IF(ISNUMBER($G28),IF($G28&gt;19000000,DATE(INT($G28/10000),MOD(INT($G28/100),100),MOD($G28,100)),INT($G28)),IF(LEN(SUBSTITUTE(SUBSTITUTE(SUBSTITUTE(TRIM($G28),"-",""),".",""),"/",""))=8,DATE(VALUE(LEFT(SUBSTITUTE(SUBSTITUTE(SUBSTITUTE(TRIM($G28),"-",""),".",""),"/",""),4)),VALUE(MID(SUBSTITUTE(SUBSTITUTE(SUBSTITUTE(TRIM($G28),"-",""),".",""),"/",""),5,2)),VALUE(RIGHT(SUBSTITUTE(SUBSTITUTE(SUBSTITUTE(TRIM($G28),"-",""),".",""),"/",""),2))),DATEVALUE($G28))),""))</f>
        <v/>
      </c>
      <c r="V28" s="52" t="str">
        <f aca="false">IF($H28="","",IFERROR(IF(IF(ISNUMBER($H28),$H28,IFERROR(TIMEVALUE($H28),VALUE($H28)))&gt;=100,INT(IF(ISNUMBER($H28),$H28,IFERROR(TIMEVALUE($H28),VALUE($H28)))/100)*60+MOD(IF(ISNUMBER($H28),$H28,IFERROR(TIMEVALUE($H28),VALUE($H28))),100),IF(IF(ISNUMBER($H28),$H28,IFERROR(TIMEVALUE($H28),VALUE($H28)))&gt;=1,ROUND(IF(ISNUMBER($H28),$H28,IFERROR(TIMEVALUE($H28),VALUE($H28)))*60,0),ROUND(MOD(IF(ISNUMBER($H28),$H28,IFERROR(TIMEVALUE($H28),VALUE($H28))),1)*1440,0))),""))</f>
        <v/>
      </c>
      <c r="W28" s="52" t="str">
        <f aca="false">IF($I28="","",IFERROR(IF(IF(ISNUMBER($I28),$I28,IFERROR(TIMEVALUE($I28),VALUE($I28)))&gt;=100,INT(IF(ISNUMBER($I28),$I28,IFERROR(TIMEVALUE($I28),VALUE($I28)))/100)*60+MOD(IF(ISNUMBER($I28),$I28,IFERROR(TIMEVALUE($I28),VALUE($I28))),100),IF(IF(ISNUMBER($I28),$I28,IFERROR(TIMEVALUE($I28),VALUE($I28)))&gt;=1,ROUND(IF(ISNUMBER($I28),$I28,IFERROR(TIMEVALUE($I28),VALUE($I28)))*60,0),ROUND(MOD(IF(ISNUMBER($I28),$I28,IFERROR(TIMEVALUE($I28),VALUE($I28))),1)*1440,0))),""))</f>
        <v/>
      </c>
      <c r="X28" s="55" t="str">
        <f aca="false">IF($P28="","",IFERROR(IF(ISNUMBER($P28),IF($P28&gt;19000000,DATE(INT($P28/10000),MOD(INT($P28/100),100),MOD($P28,100)),INT($P28)),IF(LEN(SUBSTITUTE(SUBSTITUTE(SUBSTITUTE(TRIM($P28),"-",""),".",""),"/",""))=8,DATE(VALUE(LEFT(SUBSTITUTE(SUBSTITUTE(SUBSTITUTE(TRIM($P28),"-",""),".",""),"/",""),4)),VALUE(MID(SUBSTITUTE(SUBSTITUTE(SUBSTITUTE(TRIM($P28),"-",""),".",""),"/",""),5,2)),VALUE(RIGHT(SUBSTITUTE(SUBSTITUTE(SUBSTITUTE(TRIM($P28),"-",""),".",""),"/",""),2))),DATEVALUE($P28))),""))</f>
        <v/>
      </c>
      <c r="Y28" s="56" t="str">
        <f aca="false">IF($M28="","",IFERROR(INDEX(강사DB!$D$4:$D$53,MATCH($M28,강사DB!$A$4:$A$53,0)),""))</f>
        <v/>
      </c>
      <c r="Z28" s="56" t="str">
        <f aca="false">IF($B28&lt;&gt;"결제완료","",IF(OR($Y28="",$J28=""),"",$Y28*$J28+MAX(0,N($K28)-1)*설정!$J$7))</f>
        <v/>
      </c>
      <c r="AA28" s="56" t="str">
        <f aca="false">IF(AND($D28&lt;&gt;"",$B28="결제완료"),N($N28),"")</f>
        <v/>
      </c>
      <c r="AB28" s="45" t="str">
        <f aca="false">IF($D28="","",IF($F28&lt;&gt;"",$F28,$D28)&amp;IF($B28="상담중"," (상담)",""))</f>
        <v/>
      </c>
      <c r="AC28" s="45" t="n">
        <f aca="false">IF(AND($D28&lt;&gt;"",OR($B28="결제완료",$B28="상담중")),1,0)</f>
        <v>0</v>
      </c>
      <c r="AD28" s="45" t="n">
        <f aca="false">IF(OR($Z28="",$U28=""),0,IFERROR(IF(COUNTIFS(INDEX(g_grid,0,2*MATCH($M28,강사DB!$A$4:$A$15,0)),"&lt;&gt;",g_s,"&lt;="&amp;$U28,g_e,"&gt;="&amp;$U28)&gt;0,1,0),0))</f>
        <v>0</v>
      </c>
      <c r="AE28" s="48"/>
      <c r="AF28" s="56" t="str">
        <f aca="false">IF(AND($D28&lt;&gt;"",$B28="결제완료",$T28="대여"),설정!$J$5,"")</f>
        <v/>
      </c>
      <c r="AG28" s="54" t="str">
        <f aca="false">IF($D28="","",IF(AND($E28="",$R28=""),$AB28,"☎ "&amp;IF($E28="","-",$E28)&amp;IF($R28&lt;&gt;"","  ※ "&amp;$R28,"")&amp;IF($B28="상담중"," (상담)","")))</f>
        <v/>
      </c>
      <c r="AH28" s="56" t="str">
        <f aca="false">IF(AND($D28&lt;&gt;"",$B28="결제완료",$O28="스마트스토어"),ROUND(N($N28)*설정!$J$6,0),"")</f>
        <v/>
      </c>
      <c r="AI28" s="54" t="str">
        <f aca="false">IF($D28="","",ROW())</f>
        <v/>
      </c>
      <c r="AJ28" s="54" t="n">
        <f aca="false">IF(OR($AC28&lt;&gt;1,$M28=""),0,IF(ISNUMBER(SEARCH("퇴사",IFERROR(INDEX(강사DB!$G$4:$G$53,MATCH($M28,강사DB!$A$4:$A$53,0)),""))),1,0))</f>
        <v>0</v>
      </c>
    </row>
    <row r="29" customFormat="false" ht="15" hidden="false" customHeight="false" outlineLevel="0" collapsed="false">
      <c r="A29" s="45" t="str">
        <f aca="false">IF($D29="","",COUNTA($D$5:$D29))</f>
        <v/>
      </c>
      <c r="B29" s="46"/>
      <c r="C29" s="47"/>
      <c r="D29" s="48"/>
      <c r="E29" s="48"/>
      <c r="F29" s="49"/>
      <c r="G29" s="47"/>
      <c r="H29" s="50"/>
      <c r="I29" s="50"/>
      <c r="J29" s="51" t="str">
        <f aca="false">IF(OR($V29="",$W29=""),"",ROUND(($W29-$V29)/60,2))</f>
        <v/>
      </c>
      <c r="K29" s="52" t="str">
        <f aca="false">IF($F29="","",LEN($F29)-LEN(SUBSTITUTE($F29,",",""))+1)</f>
        <v/>
      </c>
      <c r="L29" s="45" t="str">
        <f aca="false">IF($K29="","","1:"&amp;$K29)</f>
        <v/>
      </c>
      <c r="M29" s="46"/>
      <c r="N29" s="53"/>
      <c r="O29" s="46"/>
      <c r="P29" s="47"/>
      <c r="Q29" s="48"/>
      <c r="R29" s="49"/>
      <c r="S29" s="54" t="str">
        <f aca="false">IF(OR($AC29=0,$U29="",$M29="",$V29="",$W29=""),"",IF(COUNTIFS(m_teacher,$M29,m_date,$U29,m_active,1,m_start,"&lt;"&amp;$W29,m_end,"&gt;"&amp;$V29)&gt;1,"충돌",""))</f>
        <v/>
      </c>
      <c r="T29" s="48"/>
      <c r="U29" s="55" t="str">
        <f aca="false">IF($G29="","",IFERROR(IF(ISNUMBER($G29),IF($G29&gt;19000000,DATE(INT($G29/10000),MOD(INT($G29/100),100),MOD($G29,100)),INT($G29)),IF(LEN(SUBSTITUTE(SUBSTITUTE(SUBSTITUTE(TRIM($G29),"-",""),".",""),"/",""))=8,DATE(VALUE(LEFT(SUBSTITUTE(SUBSTITUTE(SUBSTITUTE(TRIM($G29),"-",""),".",""),"/",""),4)),VALUE(MID(SUBSTITUTE(SUBSTITUTE(SUBSTITUTE(TRIM($G29),"-",""),".",""),"/",""),5,2)),VALUE(RIGHT(SUBSTITUTE(SUBSTITUTE(SUBSTITUTE(TRIM($G29),"-",""),".",""),"/",""),2))),DATEVALUE($G29))),""))</f>
        <v/>
      </c>
      <c r="V29" s="52" t="str">
        <f aca="false">IF($H29="","",IFERROR(IF(IF(ISNUMBER($H29),$H29,IFERROR(TIMEVALUE($H29),VALUE($H29)))&gt;=100,INT(IF(ISNUMBER($H29),$H29,IFERROR(TIMEVALUE($H29),VALUE($H29)))/100)*60+MOD(IF(ISNUMBER($H29),$H29,IFERROR(TIMEVALUE($H29),VALUE($H29))),100),IF(IF(ISNUMBER($H29),$H29,IFERROR(TIMEVALUE($H29),VALUE($H29)))&gt;=1,ROUND(IF(ISNUMBER($H29),$H29,IFERROR(TIMEVALUE($H29),VALUE($H29)))*60,0),ROUND(MOD(IF(ISNUMBER($H29),$H29,IFERROR(TIMEVALUE($H29),VALUE($H29))),1)*1440,0))),""))</f>
        <v/>
      </c>
      <c r="W29" s="52" t="str">
        <f aca="false">IF($I29="","",IFERROR(IF(IF(ISNUMBER($I29),$I29,IFERROR(TIMEVALUE($I29),VALUE($I29)))&gt;=100,INT(IF(ISNUMBER($I29),$I29,IFERROR(TIMEVALUE($I29),VALUE($I29)))/100)*60+MOD(IF(ISNUMBER($I29),$I29,IFERROR(TIMEVALUE($I29),VALUE($I29))),100),IF(IF(ISNUMBER($I29),$I29,IFERROR(TIMEVALUE($I29),VALUE($I29)))&gt;=1,ROUND(IF(ISNUMBER($I29),$I29,IFERROR(TIMEVALUE($I29),VALUE($I29)))*60,0),ROUND(MOD(IF(ISNUMBER($I29),$I29,IFERROR(TIMEVALUE($I29),VALUE($I29))),1)*1440,0))),""))</f>
        <v/>
      </c>
      <c r="X29" s="55" t="str">
        <f aca="false">IF($P29="","",IFERROR(IF(ISNUMBER($P29),IF($P29&gt;19000000,DATE(INT($P29/10000),MOD(INT($P29/100),100),MOD($P29,100)),INT($P29)),IF(LEN(SUBSTITUTE(SUBSTITUTE(SUBSTITUTE(TRIM($P29),"-",""),".",""),"/",""))=8,DATE(VALUE(LEFT(SUBSTITUTE(SUBSTITUTE(SUBSTITUTE(TRIM($P29),"-",""),".",""),"/",""),4)),VALUE(MID(SUBSTITUTE(SUBSTITUTE(SUBSTITUTE(TRIM($P29),"-",""),".",""),"/",""),5,2)),VALUE(RIGHT(SUBSTITUTE(SUBSTITUTE(SUBSTITUTE(TRIM($P29),"-",""),".",""),"/",""),2))),DATEVALUE($P29))),""))</f>
        <v/>
      </c>
      <c r="Y29" s="56" t="str">
        <f aca="false">IF($M29="","",IFERROR(INDEX(강사DB!$D$4:$D$53,MATCH($M29,강사DB!$A$4:$A$53,0)),""))</f>
        <v/>
      </c>
      <c r="Z29" s="56" t="str">
        <f aca="false">IF($B29&lt;&gt;"결제완료","",IF(OR($Y29="",$J29=""),"",$Y29*$J29+MAX(0,N($K29)-1)*설정!$J$7))</f>
        <v/>
      </c>
      <c r="AA29" s="56" t="str">
        <f aca="false">IF(AND($D29&lt;&gt;"",$B29="결제완료"),N($N29),"")</f>
        <v/>
      </c>
      <c r="AB29" s="45" t="str">
        <f aca="false">IF($D29="","",IF($F29&lt;&gt;"",$F29,$D29)&amp;IF($B29="상담중"," (상담)",""))</f>
        <v/>
      </c>
      <c r="AC29" s="45" t="n">
        <f aca="false">IF(AND($D29&lt;&gt;"",OR($B29="결제완료",$B29="상담중")),1,0)</f>
        <v>0</v>
      </c>
      <c r="AD29" s="45" t="n">
        <f aca="false">IF(OR($Z29="",$U29=""),0,IFERROR(IF(COUNTIFS(INDEX(g_grid,0,2*MATCH($M29,강사DB!$A$4:$A$15,0)),"&lt;&gt;",g_s,"&lt;="&amp;$U29,g_e,"&gt;="&amp;$U29)&gt;0,1,0),0))</f>
        <v>0</v>
      </c>
      <c r="AE29" s="48"/>
      <c r="AF29" s="56" t="str">
        <f aca="false">IF(AND($D29&lt;&gt;"",$B29="결제완료",$T29="대여"),설정!$J$5,"")</f>
        <v/>
      </c>
      <c r="AG29" s="54" t="str">
        <f aca="false">IF($D29="","",IF(AND($E29="",$R29=""),$AB29,"☎ "&amp;IF($E29="","-",$E29)&amp;IF($R29&lt;&gt;"","  ※ "&amp;$R29,"")&amp;IF($B29="상담중"," (상담)","")))</f>
        <v/>
      </c>
      <c r="AH29" s="56" t="str">
        <f aca="false">IF(AND($D29&lt;&gt;"",$B29="결제완료",$O29="스마트스토어"),ROUND(N($N29)*설정!$J$6,0),"")</f>
        <v/>
      </c>
      <c r="AI29" s="54" t="str">
        <f aca="false">IF($D29="","",ROW())</f>
        <v/>
      </c>
      <c r="AJ29" s="54" t="n">
        <f aca="false">IF(OR($AC29&lt;&gt;1,$M29=""),0,IF(ISNUMBER(SEARCH("퇴사",IFERROR(INDEX(강사DB!$G$4:$G$53,MATCH($M29,강사DB!$A$4:$A$53,0)),""))),1,0))</f>
        <v>0</v>
      </c>
    </row>
    <row r="30" customFormat="false" ht="15" hidden="false" customHeight="false" outlineLevel="0" collapsed="false">
      <c r="A30" s="45" t="str">
        <f aca="false">IF($D30="","",COUNTA($D$5:$D30))</f>
        <v/>
      </c>
      <c r="B30" s="46"/>
      <c r="C30" s="47"/>
      <c r="D30" s="48"/>
      <c r="E30" s="48"/>
      <c r="F30" s="49"/>
      <c r="G30" s="47"/>
      <c r="H30" s="50"/>
      <c r="I30" s="50"/>
      <c r="J30" s="51" t="str">
        <f aca="false">IF(OR($V30="",$W30=""),"",ROUND(($W30-$V30)/60,2))</f>
        <v/>
      </c>
      <c r="K30" s="52" t="str">
        <f aca="false">IF($F30="","",LEN($F30)-LEN(SUBSTITUTE($F30,",",""))+1)</f>
        <v/>
      </c>
      <c r="L30" s="45" t="str">
        <f aca="false">IF($K30="","","1:"&amp;$K30)</f>
        <v/>
      </c>
      <c r="M30" s="46"/>
      <c r="N30" s="53"/>
      <c r="O30" s="46"/>
      <c r="P30" s="47"/>
      <c r="Q30" s="48"/>
      <c r="R30" s="49"/>
      <c r="S30" s="54" t="str">
        <f aca="false">IF(OR($AC30=0,$U30="",$M30="",$V30="",$W30=""),"",IF(COUNTIFS(m_teacher,$M30,m_date,$U30,m_active,1,m_start,"&lt;"&amp;$W30,m_end,"&gt;"&amp;$V30)&gt;1,"충돌",""))</f>
        <v/>
      </c>
      <c r="T30" s="48"/>
      <c r="U30" s="55" t="str">
        <f aca="false">IF($G30="","",IFERROR(IF(ISNUMBER($G30),IF($G30&gt;19000000,DATE(INT($G30/10000),MOD(INT($G30/100),100),MOD($G30,100)),INT($G30)),IF(LEN(SUBSTITUTE(SUBSTITUTE(SUBSTITUTE(TRIM($G30),"-",""),".",""),"/",""))=8,DATE(VALUE(LEFT(SUBSTITUTE(SUBSTITUTE(SUBSTITUTE(TRIM($G30),"-",""),".",""),"/",""),4)),VALUE(MID(SUBSTITUTE(SUBSTITUTE(SUBSTITUTE(TRIM($G30),"-",""),".",""),"/",""),5,2)),VALUE(RIGHT(SUBSTITUTE(SUBSTITUTE(SUBSTITUTE(TRIM($G30),"-",""),".",""),"/",""),2))),DATEVALUE($G30))),""))</f>
        <v/>
      </c>
      <c r="V30" s="52" t="str">
        <f aca="false">IF($H30="","",IFERROR(IF(IF(ISNUMBER($H30),$H30,IFERROR(TIMEVALUE($H30),VALUE($H30)))&gt;=100,INT(IF(ISNUMBER($H30),$H30,IFERROR(TIMEVALUE($H30),VALUE($H30)))/100)*60+MOD(IF(ISNUMBER($H30),$H30,IFERROR(TIMEVALUE($H30),VALUE($H30))),100),IF(IF(ISNUMBER($H30),$H30,IFERROR(TIMEVALUE($H30),VALUE($H30)))&gt;=1,ROUND(IF(ISNUMBER($H30),$H30,IFERROR(TIMEVALUE($H30),VALUE($H30)))*60,0),ROUND(MOD(IF(ISNUMBER($H30),$H30,IFERROR(TIMEVALUE($H30),VALUE($H30))),1)*1440,0))),""))</f>
        <v/>
      </c>
      <c r="W30" s="52" t="str">
        <f aca="false">IF($I30="","",IFERROR(IF(IF(ISNUMBER($I30),$I30,IFERROR(TIMEVALUE($I30),VALUE($I30)))&gt;=100,INT(IF(ISNUMBER($I30),$I30,IFERROR(TIMEVALUE($I30),VALUE($I30)))/100)*60+MOD(IF(ISNUMBER($I30),$I30,IFERROR(TIMEVALUE($I30),VALUE($I30))),100),IF(IF(ISNUMBER($I30),$I30,IFERROR(TIMEVALUE($I30),VALUE($I30)))&gt;=1,ROUND(IF(ISNUMBER($I30),$I30,IFERROR(TIMEVALUE($I30),VALUE($I30)))*60,0),ROUND(MOD(IF(ISNUMBER($I30),$I30,IFERROR(TIMEVALUE($I30),VALUE($I30))),1)*1440,0))),""))</f>
        <v/>
      </c>
      <c r="X30" s="55" t="str">
        <f aca="false">IF($P30="","",IFERROR(IF(ISNUMBER($P30),IF($P30&gt;19000000,DATE(INT($P30/10000),MOD(INT($P30/100),100),MOD($P30,100)),INT($P30)),IF(LEN(SUBSTITUTE(SUBSTITUTE(SUBSTITUTE(TRIM($P30),"-",""),".",""),"/",""))=8,DATE(VALUE(LEFT(SUBSTITUTE(SUBSTITUTE(SUBSTITUTE(TRIM($P30),"-",""),".",""),"/",""),4)),VALUE(MID(SUBSTITUTE(SUBSTITUTE(SUBSTITUTE(TRIM($P30),"-",""),".",""),"/",""),5,2)),VALUE(RIGHT(SUBSTITUTE(SUBSTITUTE(SUBSTITUTE(TRIM($P30),"-",""),".",""),"/",""),2))),DATEVALUE($P30))),""))</f>
        <v/>
      </c>
      <c r="Y30" s="56" t="str">
        <f aca="false">IF($M30="","",IFERROR(INDEX(강사DB!$D$4:$D$53,MATCH($M30,강사DB!$A$4:$A$53,0)),""))</f>
        <v/>
      </c>
      <c r="Z30" s="56" t="str">
        <f aca="false">IF($B30&lt;&gt;"결제완료","",IF(OR($Y30="",$J30=""),"",$Y30*$J30+MAX(0,N($K30)-1)*설정!$J$7))</f>
        <v/>
      </c>
      <c r="AA30" s="56" t="str">
        <f aca="false">IF(AND($D30&lt;&gt;"",$B30="결제완료"),N($N30),"")</f>
        <v/>
      </c>
      <c r="AB30" s="45" t="str">
        <f aca="false">IF($D30="","",IF($F30&lt;&gt;"",$F30,$D30)&amp;IF($B30="상담중"," (상담)",""))</f>
        <v/>
      </c>
      <c r="AC30" s="45" t="n">
        <f aca="false">IF(AND($D30&lt;&gt;"",OR($B30="결제완료",$B30="상담중")),1,0)</f>
        <v>0</v>
      </c>
      <c r="AD30" s="45" t="n">
        <f aca="false">IF(OR($Z30="",$U30=""),0,IFERROR(IF(COUNTIFS(INDEX(g_grid,0,2*MATCH($M30,강사DB!$A$4:$A$15,0)),"&lt;&gt;",g_s,"&lt;="&amp;$U30,g_e,"&gt;="&amp;$U30)&gt;0,1,0),0))</f>
        <v>0</v>
      </c>
      <c r="AE30" s="48"/>
      <c r="AF30" s="56" t="str">
        <f aca="false">IF(AND($D30&lt;&gt;"",$B30="결제완료",$T30="대여"),설정!$J$5,"")</f>
        <v/>
      </c>
      <c r="AG30" s="54" t="str">
        <f aca="false">IF($D30="","",IF(AND($E30="",$R30=""),$AB30,"☎ "&amp;IF($E30="","-",$E30)&amp;IF($R30&lt;&gt;"","  ※ "&amp;$R30,"")&amp;IF($B30="상담중"," (상담)","")))</f>
        <v/>
      </c>
      <c r="AH30" s="56" t="str">
        <f aca="false">IF(AND($D30&lt;&gt;"",$B30="결제완료",$O30="스마트스토어"),ROUND(N($N30)*설정!$J$6,0),"")</f>
        <v/>
      </c>
      <c r="AI30" s="54" t="str">
        <f aca="false">IF($D30="","",ROW())</f>
        <v/>
      </c>
      <c r="AJ30" s="54" t="n">
        <f aca="false">IF(OR($AC30&lt;&gt;1,$M30=""),0,IF(ISNUMBER(SEARCH("퇴사",IFERROR(INDEX(강사DB!$G$4:$G$53,MATCH($M30,강사DB!$A$4:$A$53,0)),""))),1,0))</f>
        <v>0</v>
      </c>
    </row>
    <row r="31" customFormat="false" ht="15" hidden="false" customHeight="false" outlineLevel="0" collapsed="false">
      <c r="A31" s="45" t="str">
        <f aca="false">IF($D31="","",COUNTA($D$5:$D31))</f>
        <v/>
      </c>
      <c r="B31" s="46"/>
      <c r="C31" s="47"/>
      <c r="D31" s="48"/>
      <c r="E31" s="48"/>
      <c r="F31" s="49"/>
      <c r="G31" s="47"/>
      <c r="H31" s="50"/>
      <c r="I31" s="50"/>
      <c r="J31" s="51" t="str">
        <f aca="false">IF(OR($V31="",$W31=""),"",ROUND(($W31-$V31)/60,2))</f>
        <v/>
      </c>
      <c r="K31" s="52" t="str">
        <f aca="false">IF($F31="","",LEN($F31)-LEN(SUBSTITUTE($F31,",",""))+1)</f>
        <v/>
      </c>
      <c r="L31" s="45" t="str">
        <f aca="false">IF($K31="","","1:"&amp;$K31)</f>
        <v/>
      </c>
      <c r="M31" s="46"/>
      <c r="N31" s="53"/>
      <c r="O31" s="46"/>
      <c r="P31" s="47"/>
      <c r="Q31" s="48"/>
      <c r="R31" s="49"/>
      <c r="S31" s="54" t="str">
        <f aca="false">IF(OR($AC31=0,$U31="",$M31="",$V31="",$W31=""),"",IF(COUNTIFS(m_teacher,$M31,m_date,$U31,m_active,1,m_start,"&lt;"&amp;$W31,m_end,"&gt;"&amp;$V31)&gt;1,"충돌",""))</f>
        <v/>
      </c>
      <c r="T31" s="48"/>
      <c r="U31" s="55" t="str">
        <f aca="false">IF($G31="","",IFERROR(IF(ISNUMBER($G31),IF($G31&gt;19000000,DATE(INT($G31/10000),MOD(INT($G31/100),100),MOD($G31,100)),INT($G31)),IF(LEN(SUBSTITUTE(SUBSTITUTE(SUBSTITUTE(TRIM($G31),"-",""),".",""),"/",""))=8,DATE(VALUE(LEFT(SUBSTITUTE(SUBSTITUTE(SUBSTITUTE(TRIM($G31),"-",""),".",""),"/",""),4)),VALUE(MID(SUBSTITUTE(SUBSTITUTE(SUBSTITUTE(TRIM($G31),"-",""),".",""),"/",""),5,2)),VALUE(RIGHT(SUBSTITUTE(SUBSTITUTE(SUBSTITUTE(TRIM($G31),"-",""),".",""),"/",""),2))),DATEVALUE($G31))),""))</f>
        <v/>
      </c>
      <c r="V31" s="52" t="str">
        <f aca="false">IF($H31="","",IFERROR(IF(IF(ISNUMBER($H31),$H31,IFERROR(TIMEVALUE($H31),VALUE($H31)))&gt;=100,INT(IF(ISNUMBER($H31),$H31,IFERROR(TIMEVALUE($H31),VALUE($H31)))/100)*60+MOD(IF(ISNUMBER($H31),$H31,IFERROR(TIMEVALUE($H31),VALUE($H31))),100),IF(IF(ISNUMBER($H31),$H31,IFERROR(TIMEVALUE($H31),VALUE($H31)))&gt;=1,ROUND(IF(ISNUMBER($H31),$H31,IFERROR(TIMEVALUE($H31),VALUE($H31)))*60,0),ROUND(MOD(IF(ISNUMBER($H31),$H31,IFERROR(TIMEVALUE($H31),VALUE($H31))),1)*1440,0))),""))</f>
        <v/>
      </c>
      <c r="W31" s="52" t="str">
        <f aca="false">IF($I31="","",IFERROR(IF(IF(ISNUMBER($I31),$I31,IFERROR(TIMEVALUE($I31),VALUE($I31)))&gt;=100,INT(IF(ISNUMBER($I31),$I31,IFERROR(TIMEVALUE($I31),VALUE($I31)))/100)*60+MOD(IF(ISNUMBER($I31),$I31,IFERROR(TIMEVALUE($I31),VALUE($I31))),100),IF(IF(ISNUMBER($I31),$I31,IFERROR(TIMEVALUE($I31),VALUE($I31)))&gt;=1,ROUND(IF(ISNUMBER($I31),$I31,IFERROR(TIMEVALUE($I31),VALUE($I31)))*60,0),ROUND(MOD(IF(ISNUMBER($I31),$I31,IFERROR(TIMEVALUE($I31),VALUE($I31))),1)*1440,0))),""))</f>
        <v/>
      </c>
      <c r="X31" s="55" t="str">
        <f aca="false">IF($P31="","",IFERROR(IF(ISNUMBER($P31),IF($P31&gt;19000000,DATE(INT($P31/10000),MOD(INT($P31/100),100),MOD($P31,100)),INT($P31)),IF(LEN(SUBSTITUTE(SUBSTITUTE(SUBSTITUTE(TRIM($P31),"-",""),".",""),"/",""))=8,DATE(VALUE(LEFT(SUBSTITUTE(SUBSTITUTE(SUBSTITUTE(TRIM($P31),"-",""),".",""),"/",""),4)),VALUE(MID(SUBSTITUTE(SUBSTITUTE(SUBSTITUTE(TRIM($P31),"-",""),".",""),"/",""),5,2)),VALUE(RIGHT(SUBSTITUTE(SUBSTITUTE(SUBSTITUTE(TRIM($P31),"-",""),".",""),"/",""),2))),DATEVALUE($P31))),""))</f>
        <v/>
      </c>
      <c r="Y31" s="56" t="str">
        <f aca="false">IF($M31="","",IFERROR(INDEX(강사DB!$D$4:$D$53,MATCH($M31,강사DB!$A$4:$A$53,0)),""))</f>
        <v/>
      </c>
      <c r="Z31" s="56" t="str">
        <f aca="false">IF($B31&lt;&gt;"결제완료","",IF(OR($Y31="",$J31=""),"",$Y31*$J31+MAX(0,N($K31)-1)*설정!$J$7))</f>
        <v/>
      </c>
      <c r="AA31" s="56" t="str">
        <f aca="false">IF(AND($D31&lt;&gt;"",$B31="결제완료"),N($N31),"")</f>
        <v/>
      </c>
      <c r="AB31" s="45" t="str">
        <f aca="false">IF($D31="","",IF($F31&lt;&gt;"",$F31,$D31)&amp;IF($B31="상담중"," (상담)",""))</f>
        <v/>
      </c>
      <c r="AC31" s="45" t="n">
        <f aca="false">IF(AND($D31&lt;&gt;"",OR($B31="결제완료",$B31="상담중")),1,0)</f>
        <v>0</v>
      </c>
      <c r="AD31" s="45" t="n">
        <f aca="false">IF(OR($Z31="",$U31=""),0,IFERROR(IF(COUNTIFS(INDEX(g_grid,0,2*MATCH($M31,강사DB!$A$4:$A$15,0)),"&lt;&gt;",g_s,"&lt;="&amp;$U31,g_e,"&gt;="&amp;$U31)&gt;0,1,0),0))</f>
        <v>0</v>
      </c>
      <c r="AE31" s="48"/>
      <c r="AF31" s="56" t="str">
        <f aca="false">IF(AND($D31&lt;&gt;"",$B31="결제완료",$T31="대여"),설정!$J$5,"")</f>
        <v/>
      </c>
      <c r="AG31" s="54" t="str">
        <f aca="false">IF($D31="","",IF(AND($E31="",$R31=""),$AB31,"☎ "&amp;IF($E31="","-",$E31)&amp;IF($R31&lt;&gt;"","  ※ "&amp;$R31,"")&amp;IF($B31="상담중"," (상담)","")))</f>
        <v/>
      </c>
      <c r="AH31" s="56" t="str">
        <f aca="false">IF(AND($D31&lt;&gt;"",$B31="결제완료",$O31="스마트스토어"),ROUND(N($N31)*설정!$J$6,0),"")</f>
        <v/>
      </c>
      <c r="AI31" s="54" t="str">
        <f aca="false">IF($D31="","",ROW())</f>
        <v/>
      </c>
      <c r="AJ31" s="54" t="n">
        <f aca="false">IF(OR($AC31&lt;&gt;1,$M31=""),0,IF(ISNUMBER(SEARCH("퇴사",IFERROR(INDEX(강사DB!$G$4:$G$53,MATCH($M31,강사DB!$A$4:$A$53,0)),""))),1,0))</f>
        <v>0</v>
      </c>
    </row>
    <row r="32" customFormat="false" ht="15" hidden="false" customHeight="false" outlineLevel="0" collapsed="false">
      <c r="A32" s="45" t="str">
        <f aca="false">IF($D32="","",COUNTA($D$5:$D32))</f>
        <v/>
      </c>
      <c r="B32" s="46"/>
      <c r="C32" s="47"/>
      <c r="D32" s="48"/>
      <c r="E32" s="48"/>
      <c r="F32" s="49"/>
      <c r="G32" s="47"/>
      <c r="H32" s="50"/>
      <c r="I32" s="50"/>
      <c r="J32" s="51" t="str">
        <f aca="false">IF(OR($V32="",$W32=""),"",ROUND(($W32-$V32)/60,2))</f>
        <v/>
      </c>
      <c r="K32" s="52" t="str">
        <f aca="false">IF($F32="","",LEN($F32)-LEN(SUBSTITUTE($F32,",",""))+1)</f>
        <v/>
      </c>
      <c r="L32" s="45" t="str">
        <f aca="false">IF($K32="","","1:"&amp;$K32)</f>
        <v/>
      </c>
      <c r="M32" s="46"/>
      <c r="N32" s="53"/>
      <c r="O32" s="46"/>
      <c r="P32" s="47"/>
      <c r="Q32" s="48"/>
      <c r="R32" s="49"/>
      <c r="S32" s="54" t="str">
        <f aca="false">IF(OR($AC32=0,$U32="",$M32="",$V32="",$W32=""),"",IF(COUNTIFS(m_teacher,$M32,m_date,$U32,m_active,1,m_start,"&lt;"&amp;$W32,m_end,"&gt;"&amp;$V32)&gt;1,"충돌",""))</f>
        <v/>
      </c>
      <c r="T32" s="48"/>
      <c r="U32" s="55" t="str">
        <f aca="false">IF($G32="","",IFERROR(IF(ISNUMBER($G32),IF($G32&gt;19000000,DATE(INT($G32/10000),MOD(INT($G32/100),100),MOD($G32,100)),INT($G32)),IF(LEN(SUBSTITUTE(SUBSTITUTE(SUBSTITUTE(TRIM($G32),"-",""),".",""),"/",""))=8,DATE(VALUE(LEFT(SUBSTITUTE(SUBSTITUTE(SUBSTITUTE(TRIM($G32),"-",""),".",""),"/",""),4)),VALUE(MID(SUBSTITUTE(SUBSTITUTE(SUBSTITUTE(TRIM($G32),"-",""),".",""),"/",""),5,2)),VALUE(RIGHT(SUBSTITUTE(SUBSTITUTE(SUBSTITUTE(TRIM($G32),"-",""),".",""),"/",""),2))),DATEVALUE($G32))),""))</f>
        <v/>
      </c>
      <c r="V32" s="52" t="str">
        <f aca="false">IF($H32="","",IFERROR(IF(IF(ISNUMBER($H32),$H32,IFERROR(TIMEVALUE($H32),VALUE($H32)))&gt;=100,INT(IF(ISNUMBER($H32),$H32,IFERROR(TIMEVALUE($H32),VALUE($H32)))/100)*60+MOD(IF(ISNUMBER($H32),$H32,IFERROR(TIMEVALUE($H32),VALUE($H32))),100),IF(IF(ISNUMBER($H32),$H32,IFERROR(TIMEVALUE($H32),VALUE($H32)))&gt;=1,ROUND(IF(ISNUMBER($H32),$H32,IFERROR(TIMEVALUE($H32),VALUE($H32)))*60,0),ROUND(MOD(IF(ISNUMBER($H32),$H32,IFERROR(TIMEVALUE($H32),VALUE($H32))),1)*1440,0))),""))</f>
        <v/>
      </c>
      <c r="W32" s="52" t="str">
        <f aca="false">IF($I32="","",IFERROR(IF(IF(ISNUMBER($I32),$I32,IFERROR(TIMEVALUE($I32),VALUE($I32)))&gt;=100,INT(IF(ISNUMBER($I32),$I32,IFERROR(TIMEVALUE($I32),VALUE($I32)))/100)*60+MOD(IF(ISNUMBER($I32),$I32,IFERROR(TIMEVALUE($I32),VALUE($I32))),100),IF(IF(ISNUMBER($I32),$I32,IFERROR(TIMEVALUE($I32),VALUE($I32)))&gt;=1,ROUND(IF(ISNUMBER($I32),$I32,IFERROR(TIMEVALUE($I32),VALUE($I32)))*60,0),ROUND(MOD(IF(ISNUMBER($I32),$I32,IFERROR(TIMEVALUE($I32),VALUE($I32))),1)*1440,0))),""))</f>
        <v/>
      </c>
      <c r="X32" s="55" t="str">
        <f aca="false">IF($P32="","",IFERROR(IF(ISNUMBER($P32),IF($P32&gt;19000000,DATE(INT($P32/10000),MOD(INT($P32/100),100),MOD($P32,100)),INT($P32)),IF(LEN(SUBSTITUTE(SUBSTITUTE(SUBSTITUTE(TRIM($P32),"-",""),".",""),"/",""))=8,DATE(VALUE(LEFT(SUBSTITUTE(SUBSTITUTE(SUBSTITUTE(TRIM($P32),"-",""),".",""),"/",""),4)),VALUE(MID(SUBSTITUTE(SUBSTITUTE(SUBSTITUTE(TRIM($P32),"-",""),".",""),"/",""),5,2)),VALUE(RIGHT(SUBSTITUTE(SUBSTITUTE(SUBSTITUTE(TRIM($P32),"-",""),".",""),"/",""),2))),DATEVALUE($P32))),""))</f>
        <v/>
      </c>
      <c r="Y32" s="56" t="str">
        <f aca="false">IF($M32="","",IFERROR(INDEX(강사DB!$D$4:$D$53,MATCH($M32,강사DB!$A$4:$A$53,0)),""))</f>
        <v/>
      </c>
      <c r="Z32" s="56" t="str">
        <f aca="false">IF($B32&lt;&gt;"결제완료","",IF(OR($Y32="",$J32=""),"",$Y32*$J32+MAX(0,N($K32)-1)*설정!$J$7))</f>
        <v/>
      </c>
      <c r="AA32" s="56" t="str">
        <f aca="false">IF(AND($D32&lt;&gt;"",$B32="결제완료"),N($N32),"")</f>
        <v/>
      </c>
      <c r="AB32" s="45" t="str">
        <f aca="false">IF($D32="","",IF($F32&lt;&gt;"",$F32,$D32)&amp;IF($B32="상담중"," (상담)",""))</f>
        <v/>
      </c>
      <c r="AC32" s="45" t="n">
        <f aca="false">IF(AND($D32&lt;&gt;"",OR($B32="결제완료",$B32="상담중")),1,0)</f>
        <v>0</v>
      </c>
      <c r="AD32" s="45" t="n">
        <f aca="false">IF(OR($Z32="",$U32=""),0,IFERROR(IF(COUNTIFS(INDEX(g_grid,0,2*MATCH($M32,강사DB!$A$4:$A$15,0)),"&lt;&gt;",g_s,"&lt;="&amp;$U32,g_e,"&gt;="&amp;$U32)&gt;0,1,0),0))</f>
        <v>0</v>
      </c>
      <c r="AE32" s="48"/>
      <c r="AF32" s="56" t="str">
        <f aca="false">IF(AND($D32&lt;&gt;"",$B32="결제완료",$T32="대여"),설정!$J$5,"")</f>
        <v/>
      </c>
      <c r="AG32" s="54" t="str">
        <f aca="false">IF($D32="","",IF(AND($E32="",$R32=""),$AB32,"☎ "&amp;IF($E32="","-",$E32)&amp;IF($R32&lt;&gt;"","  ※ "&amp;$R32,"")&amp;IF($B32="상담중"," (상담)","")))</f>
        <v/>
      </c>
      <c r="AH32" s="56" t="str">
        <f aca="false">IF(AND($D32&lt;&gt;"",$B32="결제완료",$O32="스마트스토어"),ROUND(N($N32)*설정!$J$6,0),"")</f>
        <v/>
      </c>
      <c r="AI32" s="54" t="str">
        <f aca="false">IF($D32="","",ROW())</f>
        <v/>
      </c>
      <c r="AJ32" s="54" t="n">
        <f aca="false">IF(OR($AC32&lt;&gt;1,$M32=""),0,IF(ISNUMBER(SEARCH("퇴사",IFERROR(INDEX(강사DB!$G$4:$G$53,MATCH($M32,강사DB!$A$4:$A$53,0)),""))),1,0))</f>
        <v>0</v>
      </c>
    </row>
    <row r="33" customFormat="false" ht="15" hidden="false" customHeight="false" outlineLevel="0" collapsed="false">
      <c r="A33" s="45" t="str">
        <f aca="false">IF($D33="","",COUNTA($D$5:$D33))</f>
        <v/>
      </c>
      <c r="B33" s="46"/>
      <c r="C33" s="47"/>
      <c r="D33" s="48"/>
      <c r="E33" s="48"/>
      <c r="F33" s="49"/>
      <c r="G33" s="47"/>
      <c r="H33" s="50"/>
      <c r="I33" s="50"/>
      <c r="J33" s="51" t="str">
        <f aca="false">IF(OR($V33="",$W33=""),"",ROUND(($W33-$V33)/60,2))</f>
        <v/>
      </c>
      <c r="K33" s="52" t="str">
        <f aca="false">IF($F33="","",LEN($F33)-LEN(SUBSTITUTE($F33,",",""))+1)</f>
        <v/>
      </c>
      <c r="L33" s="45" t="str">
        <f aca="false">IF($K33="","","1:"&amp;$K33)</f>
        <v/>
      </c>
      <c r="M33" s="46"/>
      <c r="N33" s="53"/>
      <c r="O33" s="46"/>
      <c r="P33" s="47"/>
      <c r="Q33" s="48"/>
      <c r="R33" s="49"/>
      <c r="S33" s="54" t="str">
        <f aca="false">IF(OR($AC33=0,$U33="",$M33="",$V33="",$W33=""),"",IF(COUNTIFS(m_teacher,$M33,m_date,$U33,m_active,1,m_start,"&lt;"&amp;$W33,m_end,"&gt;"&amp;$V33)&gt;1,"충돌",""))</f>
        <v/>
      </c>
      <c r="T33" s="48"/>
      <c r="U33" s="55" t="str">
        <f aca="false">IF($G33="","",IFERROR(IF(ISNUMBER($G33),IF($G33&gt;19000000,DATE(INT($G33/10000),MOD(INT($G33/100),100),MOD($G33,100)),INT($G33)),IF(LEN(SUBSTITUTE(SUBSTITUTE(SUBSTITUTE(TRIM($G33),"-",""),".",""),"/",""))=8,DATE(VALUE(LEFT(SUBSTITUTE(SUBSTITUTE(SUBSTITUTE(TRIM($G33),"-",""),".",""),"/",""),4)),VALUE(MID(SUBSTITUTE(SUBSTITUTE(SUBSTITUTE(TRIM($G33),"-",""),".",""),"/",""),5,2)),VALUE(RIGHT(SUBSTITUTE(SUBSTITUTE(SUBSTITUTE(TRIM($G33),"-",""),".",""),"/",""),2))),DATEVALUE($G33))),""))</f>
        <v/>
      </c>
      <c r="V33" s="52" t="str">
        <f aca="false">IF($H33="","",IFERROR(IF(IF(ISNUMBER($H33),$H33,IFERROR(TIMEVALUE($H33),VALUE($H33)))&gt;=100,INT(IF(ISNUMBER($H33),$H33,IFERROR(TIMEVALUE($H33),VALUE($H33)))/100)*60+MOD(IF(ISNUMBER($H33),$H33,IFERROR(TIMEVALUE($H33),VALUE($H33))),100),IF(IF(ISNUMBER($H33),$H33,IFERROR(TIMEVALUE($H33),VALUE($H33)))&gt;=1,ROUND(IF(ISNUMBER($H33),$H33,IFERROR(TIMEVALUE($H33),VALUE($H33)))*60,0),ROUND(MOD(IF(ISNUMBER($H33),$H33,IFERROR(TIMEVALUE($H33),VALUE($H33))),1)*1440,0))),""))</f>
        <v/>
      </c>
      <c r="W33" s="52" t="str">
        <f aca="false">IF($I33="","",IFERROR(IF(IF(ISNUMBER($I33),$I33,IFERROR(TIMEVALUE($I33),VALUE($I33)))&gt;=100,INT(IF(ISNUMBER($I33),$I33,IFERROR(TIMEVALUE($I33),VALUE($I33)))/100)*60+MOD(IF(ISNUMBER($I33),$I33,IFERROR(TIMEVALUE($I33),VALUE($I33))),100),IF(IF(ISNUMBER($I33),$I33,IFERROR(TIMEVALUE($I33),VALUE($I33)))&gt;=1,ROUND(IF(ISNUMBER($I33),$I33,IFERROR(TIMEVALUE($I33),VALUE($I33)))*60,0),ROUND(MOD(IF(ISNUMBER($I33),$I33,IFERROR(TIMEVALUE($I33),VALUE($I33))),1)*1440,0))),""))</f>
        <v/>
      </c>
      <c r="X33" s="55" t="str">
        <f aca="false">IF($P33="","",IFERROR(IF(ISNUMBER($P33),IF($P33&gt;19000000,DATE(INT($P33/10000),MOD(INT($P33/100),100),MOD($P33,100)),INT($P33)),IF(LEN(SUBSTITUTE(SUBSTITUTE(SUBSTITUTE(TRIM($P33),"-",""),".",""),"/",""))=8,DATE(VALUE(LEFT(SUBSTITUTE(SUBSTITUTE(SUBSTITUTE(TRIM($P33),"-",""),".",""),"/",""),4)),VALUE(MID(SUBSTITUTE(SUBSTITUTE(SUBSTITUTE(TRIM($P33),"-",""),".",""),"/",""),5,2)),VALUE(RIGHT(SUBSTITUTE(SUBSTITUTE(SUBSTITUTE(TRIM($P33),"-",""),".",""),"/",""),2))),DATEVALUE($P33))),""))</f>
        <v/>
      </c>
      <c r="Y33" s="56" t="str">
        <f aca="false">IF($M33="","",IFERROR(INDEX(강사DB!$D$4:$D$53,MATCH($M33,강사DB!$A$4:$A$53,0)),""))</f>
        <v/>
      </c>
      <c r="Z33" s="56" t="str">
        <f aca="false">IF($B33&lt;&gt;"결제완료","",IF(OR($Y33="",$J33=""),"",$Y33*$J33+MAX(0,N($K33)-1)*설정!$J$7))</f>
        <v/>
      </c>
      <c r="AA33" s="56" t="str">
        <f aca="false">IF(AND($D33&lt;&gt;"",$B33="결제완료"),N($N33),"")</f>
        <v/>
      </c>
      <c r="AB33" s="45" t="str">
        <f aca="false">IF($D33="","",IF($F33&lt;&gt;"",$F33,$D33)&amp;IF($B33="상담중"," (상담)",""))</f>
        <v/>
      </c>
      <c r="AC33" s="45" t="n">
        <f aca="false">IF(AND($D33&lt;&gt;"",OR($B33="결제완료",$B33="상담중")),1,0)</f>
        <v>0</v>
      </c>
      <c r="AD33" s="45" t="n">
        <f aca="false">IF(OR($Z33="",$U33=""),0,IFERROR(IF(COUNTIFS(INDEX(g_grid,0,2*MATCH($M33,강사DB!$A$4:$A$15,0)),"&lt;&gt;",g_s,"&lt;="&amp;$U33,g_e,"&gt;="&amp;$U33)&gt;0,1,0),0))</f>
        <v>0</v>
      </c>
      <c r="AE33" s="48"/>
      <c r="AF33" s="56" t="str">
        <f aca="false">IF(AND($D33&lt;&gt;"",$B33="결제완료",$T33="대여"),설정!$J$5,"")</f>
        <v/>
      </c>
      <c r="AG33" s="54" t="str">
        <f aca="false">IF($D33="","",IF(AND($E33="",$R33=""),$AB33,"☎ "&amp;IF($E33="","-",$E33)&amp;IF($R33&lt;&gt;"","  ※ "&amp;$R33,"")&amp;IF($B33="상담중"," (상담)","")))</f>
        <v/>
      </c>
      <c r="AH33" s="56" t="str">
        <f aca="false">IF(AND($D33&lt;&gt;"",$B33="결제완료",$O33="스마트스토어"),ROUND(N($N33)*설정!$J$6,0),"")</f>
        <v/>
      </c>
      <c r="AI33" s="54" t="str">
        <f aca="false">IF($D33="","",ROW())</f>
        <v/>
      </c>
      <c r="AJ33" s="54" t="n">
        <f aca="false">IF(OR($AC33&lt;&gt;1,$M33=""),0,IF(ISNUMBER(SEARCH("퇴사",IFERROR(INDEX(강사DB!$G$4:$G$53,MATCH($M33,강사DB!$A$4:$A$53,0)),""))),1,0))</f>
        <v>0</v>
      </c>
    </row>
    <row r="34" customFormat="false" ht="15" hidden="false" customHeight="false" outlineLevel="0" collapsed="false">
      <c r="A34" s="45" t="str">
        <f aca="false">IF($D34="","",COUNTA($D$5:$D34))</f>
        <v/>
      </c>
      <c r="B34" s="46"/>
      <c r="C34" s="47"/>
      <c r="D34" s="48"/>
      <c r="E34" s="48"/>
      <c r="F34" s="49"/>
      <c r="G34" s="47"/>
      <c r="H34" s="50"/>
      <c r="I34" s="50"/>
      <c r="J34" s="51" t="str">
        <f aca="false">IF(OR($V34="",$W34=""),"",ROUND(($W34-$V34)/60,2))</f>
        <v/>
      </c>
      <c r="K34" s="52" t="str">
        <f aca="false">IF($F34="","",LEN($F34)-LEN(SUBSTITUTE($F34,",",""))+1)</f>
        <v/>
      </c>
      <c r="L34" s="45" t="str">
        <f aca="false">IF($K34="","","1:"&amp;$K34)</f>
        <v/>
      </c>
      <c r="M34" s="46"/>
      <c r="N34" s="53"/>
      <c r="O34" s="46"/>
      <c r="P34" s="47"/>
      <c r="Q34" s="48"/>
      <c r="R34" s="49"/>
      <c r="S34" s="54" t="str">
        <f aca="false">IF(OR($AC34=0,$U34="",$M34="",$V34="",$W34=""),"",IF(COUNTIFS(m_teacher,$M34,m_date,$U34,m_active,1,m_start,"&lt;"&amp;$W34,m_end,"&gt;"&amp;$V34)&gt;1,"충돌",""))</f>
        <v/>
      </c>
      <c r="T34" s="48"/>
      <c r="U34" s="55" t="str">
        <f aca="false">IF($G34="","",IFERROR(IF(ISNUMBER($G34),IF($G34&gt;19000000,DATE(INT($G34/10000),MOD(INT($G34/100),100),MOD($G34,100)),INT($G34)),IF(LEN(SUBSTITUTE(SUBSTITUTE(SUBSTITUTE(TRIM($G34),"-",""),".",""),"/",""))=8,DATE(VALUE(LEFT(SUBSTITUTE(SUBSTITUTE(SUBSTITUTE(TRIM($G34),"-",""),".",""),"/",""),4)),VALUE(MID(SUBSTITUTE(SUBSTITUTE(SUBSTITUTE(TRIM($G34),"-",""),".",""),"/",""),5,2)),VALUE(RIGHT(SUBSTITUTE(SUBSTITUTE(SUBSTITUTE(TRIM($G34),"-",""),".",""),"/",""),2))),DATEVALUE($G34))),""))</f>
        <v/>
      </c>
      <c r="V34" s="52" t="str">
        <f aca="false">IF($H34="","",IFERROR(IF(IF(ISNUMBER($H34),$H34,IFERROR(TIMEVALUE($H34),VALUE($H34)))&gt;=100,INT(IF(ISNUMBER($H34),$H34,IFERROR(TIMEVALUE($H34),VALUE($H34)))/100)*60+MOD(IF(ISNUMBER($H34),$H34,IFERROR(TIMEVALUE($H34),VALUE($H34))),100),IF(IF(ISNUMBER($H34),$H34,IFERROR(TIMEVALUE($H34),VALUE($H34)))&gt;=1,ROUND(IF(ISNUMBER($H34),$H34,IFERROR(TIMEVALUE($H34),VALUE($H34)))*60,0),ROUND(MOD(IF(ISNUMBER($H34),$H34,IFERROR(TIMEVALUE($H34),VALUE($H34))),1)*1440,0))),""))</f>
        <v/>
      </c>
      <c r="W34" s="52" t="str">
        <f aca="false">IF($I34="","",IFERROR(IF(IF(ISNUMBER($I34),$I34,IFERROR(TIMEVALUE($I34),VALUE($I34)))&gt;=100,INT(IF(ISNUMBER($I34),$I34,IFERROR(TIMEVALUE($I34),VALUE($I34)))/100)*60+MOD(IF(ISNUMBER($I34),$I34,IFERROR(TIMEVALUE($I34),VALUE($I34))),100),IF(IF(ISNUMBER($I34),$I34,IFERROR(TIMEVALUE($I34),VALUE($I34)))&gt;=1,ROUND(IF(ISNUMBER($I34),$I34,IFERROR(TIMEVALUE($I34),VALUE($I34)))*60,0),ROUND(MOD(IF(ISNUMBER($I34),$I34,IFERROR(TIMEVALUE($I34),VALUE($I34))),1)*1440,0))),""))</f>
        <v/>
      </c>
      <c r="X34" s="55" t="str">
        <f aca="false">IF($P34="","",IFERROR(IF(ISNUMBER($P34),IF($P34&gt;19000000,DATE(INT($P34/10000),MOD(INT($P34/100),100),MOD($P34,100)),INT($P34)),IF(LEN(SUBSTITUTE(SUBSTITUTE(SUBSTITUTE(TRIM($P34),"-",""),".",""),"/",""))=8,DATE(VALUE(LEFT(SUBSTITUTE(SUBSTITUTE(SUBSTITUTE(TRIM($P34),"-",""),".",""),"/",""),4)),VALUE(MID(SUBSTITUTE(SUBSTITUTE(SUBSTITUTE(TRIM($P34),"-",""),".",""),"/",""),5,2)),VALUE(RIGHT(SUBSTITUTE(SUBSTITUTE(SUBSTITUTE(TRIM($P34),"-",""),".",""),"/",""),2))),DATEVALUE($P34))),""))</f>
        <v/>
      </c>
      <c r="Y34" s="56" t="str">
        <f aca="false">IF($M34="","",IFERROR(INDEX(강사DB!$D$4:$D$53,MATCH($M34,강사DB!$A$4:$A$53,0)),""))</f>
        <v/>
      </c>
      <c r="Z34" s="56" t="str">
        <f aca="false">IF($B34&lt;&gt;"결제완료","",IF(OR($Y34="",$J34=""),"",$Y34*$J34+MAX(0,N($K34)-1)*설정!$J$7))</f>
        <v/>
      </c>
      <c r="AA34" s="56" t="str">
        <f aca="false">IF(AND($D34&lt;&gt;"",$B34="결제완료"),N($N34),"")</f>
        <v/>
      </c>
      <c r="AB34" s="45" t="str">
        <f aca="false">IF($D34="","",IF($F34&lt;&gt;"",$F34,$D34)&amp;IF($B34="상담중"," (상담)",""))</f>
        <v/>
      </c>
      <c r="AC34" s="45" t="n">
        <f aca="false">IF(AND($D34&lt;&gt;"",OR($B34="결제완료",$B34="상담중")),1,0)</f>
        <v>0</v>
      </c>
      <c r="AD34" s="45" t="n">
        <f aca="false">IF(OR($Z34="",$U34=""),0,IFERROR(IF(COUNTIFS(INDEX(g_grid,0,2*MATCH($M34,강사DB!$A$4:$A$15,0)),"&lt;&gt;",g_s,"&lt;="&amp;$U34,g_e,"&gt;="&amp;$U34)&gt;0,1,0),0))</f>
        <v>0</v>
      </c>
      <c r="AE34" s="48"/>
      <c r="AF34" s="56" t="str">
        <f aca="false">IF(AND($D34&lt;&gt;"",$B34="결제완료",$T34="대여"),설정!$J$5,"")</f>
        <v/>
      </c>
      <c r="AG34" s="54" t="str">
        <f aca="false">IF($D34="","",IF(AND($E34="",$R34=""),$AB34,"☎ "&amp;IF($E34="","-",$E34)&amp;IF($R34&lt;&gt;"","  ※ "&amp;$R34,"")&amp;IF($B34="상담중"," (상담)","")))</f>
        <v/>
      </c>
      <c r="AH34" s="56" t="str">
        <f aca="false">IF(AND($D34&lt;&gt;"",$B34="결제완료",$O34="스마트스토어"),ROUND(N($N34)*설정!$J$6,0),"")</f>
        <v/>
      </c>
      <c r="AI34" s="54" t="str">
        <f aca="false">IF($D34="","",ROW())</f>
        <v/>
      </c>
      <c r="AJ34" s="54" t="n">
        <f aca="false">IF(OR($AC34&lt;&gt;1,$M34=""),0,IF(ISNUMBER(SEARCH("퇴사",IFERROR(INDEX(강사DB!$G$4:$G$53,MATCH($M34,강사DB!$A$4:$A$53,0)),""))),1,0))</f>
        <v>0</v>
      </c>
    </row>
    <row r="35" customFormat="false" ht="15" hidden="false" customHeight="false" outlineLevel="0" collapsed="false">
      <c r="A35" s="45" t="str">
        <f aca="false">IF($D35="","",COUNTA($D$5:$D35))</f>
        <v/>
      </c>
      <c r="B35" s="46"/>
      <c r="C35" s="47"/>
      <c r="D35" s="48"/>
      <c r="E35" s="48"/>
      <c r="F35" s="49"/>
      <c r="G35" s="47"/>
      <c r="H35" s="50"/>
      <c r="I35" s="50"/>
      <c r="J35" s="51" t="str">
        <f aca="false">IF(OR($V35="",$W35=""),"",ROUND(($W35-$V35)/60,2))</f>
        <v/>
      </c>
      <c r="K35" s="52" t="str">
        <f aca="false">IF($F35="","",LEN($F35)-LEN(SUBSTITUTE($F35,",",""))+1)</f>
        <v/>
      </c>
      <c r="L35" s="45" t="str">
        <f aca="false">IF($K35="","","1:"&amp;$K35)</f>
        <v/>
      </c>
      <c r="M35" s="46"/>
      <c r="N35" s="53"/>
      <c r="O35" s="46"/>
      <c r="P35" s="47"/>
      <c r="Q35" s="48"/>
      <c r="R35" s="49"/>
      <c r="S35" s="54" t="str">
        <f aca="false">IF(OR($AC35=0,$U35="",$M35="",$V35="",$W35=""),"",IF(COUNTIFS(m_teacher,$M35,m_date,$U35,m_active,1,m_start,"&lt;"&amp;$W35,m_end,"&gt;"&amp;$V35)&gt;1,"충돌",""))</f>
        <v/>
      </c>
      <c r="T35" s="48"/>
      <c r="U35" s="55" t="str">
        <f aca="false">IF($G35="","",IFERROR(IF(ISNUMBER($G35),IF($G35&gt;19000000,DATE(INT($G35/10000),MOD(INT($G35/100),100),MOD($G35,100)),INT($G35)),IF(LEN(SUBSTITUTE(SUBSTITUTE(SUBSTITUTE(TRIM($G35),"-",""),".",""),"/",""))=8,DATE(VALUE(LEFT(SUBSTITUTE(SUBSTITUTE(SUBSTITUTE(TRIM($G35),"-",""),".",""),"/",""),4)),VALUE(MID(SUBSTITUTE(SUBSTITUTE(SUBSTITUTE(TRIM($G35),"-",""),".",""),"/",""),5,2)),VALUE(RIGHT(SUBSTITUTE(SUBSTITUTE(SUBSTITUTE(TRIM($G35),"-",""),".",""),"/",""),2))),DATEVALUE($G35))),""))</f>
        <v/>
      </c>
      <c r="V35" s="52" t="str">
        <f aca="false">IF($H35="","",IFERROR(IF(IF(ISNUMBER($H35),$H35,IFERROR(TIMEVALUE($H35),VALUE($H35)))&gt;=100,INT(IF(ISNUMBER($H35),$H35,IFERROR(TIMEVALUE($H35),VALUE($H35)))/100)*60+MOD(IF(ISNUMBER($H35),$H35,IFERROR(TIMEVALUE($H35),VALUE($H35))),100),IF(IF(ISNUMBER($H35),$H35,IFERROR(TIMEVALUE($H35),VALUE($H35)))&gt;=1,ROUND(IF(ISNUMBER($H35),$H35,IFERROR(TIMEVALUE($H35),VALUE($H35)))*60,0),ROUND(MOD(IF(ISNUMBER($H35),$H35,IFERROR(TIMEVALUE($H35),VALUE($H35))),1)*1440,0))),""))</f>
        <v/>
      </c>
      <c r="W35" s="52" t="str">
        <f aca="false">IF($I35="","",IFERROR(IF(IF(ISNUMBER($I35),$I35,IFERROR(TIMEVALUE($I35),VALUE($I35)))&gt;=100,INT(IF(ISNUMBER($I35),$I35,IFERROR(TIMEVALUE($I35),VALUE($I35)))/100)*60+MOD(IF(ISNUMBER($I35),$I35,IFERROR(TIMEVALUE($I35),VALUE($I35))),100),IF(IF(ISNUMBER($I35),$I35,IFERROR(TIMEVALUE($I35),VALUE($I35)))&gt;=1,ROUND(IF(ISNUMBER($I35),$I35,IFERROR(TIMEVALUE($I35),VALUE($I35)))*60,0),ROUND(MOD(IF(ISNUMBER($I35),$I35,IFERROR(TIMEVALUE($I35),VALUE($I35))),1)*1440,0))),""))</f>
        <v/>
      </c>
      <c r="X35" s="55" t="str">
        <f aca="false">IF($P35="","",IFERROR(IF(ISNUMBER($P35),IF($P35&gt;19000000,DATE(INT($P35/10000),MOD(INT($P35/100),100),MOD($P35,100)),INT($P35)),IF(LEN(SUBSTITUTE(SUBSTITUTE(SUBSTITUTE(TRIM($P35),"-",""),".",""),"/",""))=8,DATE(VALUE(LEFT(SUBSTITUTE(SUBSTITUTE(SUBSTITUTE(TRIM($P35),"-",""),".",""),"/",""),4)),VALUE(MID(SUBSTITUTE(SUBSTITUTE(SUBSTITUTE(TRIM($P35),"-",""),".",""),"/",""),5,2)),VALUE(RIGHT(SUBSTITUTE(SUBSTITUTE(SUBSTITUTE(TRIM($P35),"-",""),".",""),"/",""),2))),DATEVALUE($P35))),""))</f>
        <v/>
      </c>
      <c r="Y35" s="56" t="str">
        <f aca="false">IF($M35="","",IFERROR(INDEX(강사DB!$D$4:$D$53,MATCH($M35,강사DB!$A$4:$A$53,0)),""))</f>
        <v/>
      </c>
      <c r="Z35" s="56" t="str">
        <f aca="false">IF($B35&lt;&gt;"결제완료","",IF(OR($Y35="",$J35=""),"",$Y35*$J35+MAX(0,N($K35)-1)*설정!$J$7))</f>
        <v/>
      </c>
      <c r="AA35" s="56" t="str">
        <f aca="false">IF(AND($D35&lt;&gt;"",$B35="결제완료"),N($N35),"")</f>
        <v/>
      </c>
      <c r="AB35" s="45" t="str">
        <f aca="false">IF($D35="","",IF($F35&lt;&gt;"",$F35,$D35)&amp;IF($B35="상담중"," (상담)",""))</f>
        <v/>
      </c>
      <c r="AC35" s="45" t="n">
        <f aca="false">IF(AND($D35&lt;&gt;"",OR($B35="결제완료",$B35="상담중")),1,0)</f>
        <v>0</v>
      </c>
      <c r="AD35" s="45" t="n">
        <f aca="false">IF(OR($Z35="",$U35=""),0,IFERROR(IF(COUNTIFS(INDEX(g_grid,0,2*MATCH($M35,강사DB!$A$4:$A$15,0)),"&lt;&gt;",g_s,"&lt;="&amp;$U35,g_e,"&gt;="&amp;$U35)&gt;0,1,0),0))</f>
        <v>0</v>
      </c>
      <c r="AE35" s="48"/>
      <c r="AF35" s="56" t="str">
        <f aca="false">IF(AND($D35&lt;&gt;"",$B35="결제완료",$T35="대여"),설정!$J$5,"")</f>
        <v/>
      </c>
      <c r="AG35" s="54" t="str">
        <f aca="false">IF($D35="","",IF(AND($E35="",$R35=""),$AB35,"☎ "&amp;IF($E35="","-",$E35)&amp;IF($R35&lt;&gt;"","  ※ "&amp;$R35,"")&amp;IF($B35="상담중"," (상담)","")))</f>
        <v/>
      </c>
      <c r="AH35" s="56" t="str">
        <f aca="false">IF(AND($D35&lt;&gt;"",$B35="결제완료",$O35="스마트스토어"),ROUND(N($N35)*설정!$J$6,0),"")</f>
        <v/>
      </c>
      <c r="AI35" s="54" t="str">
        <f aca="false">IF($D35="","",ROW())</f>
        <v/>
      </c>
      <c r="AJ35" s="54" t="n">
        <f aca="false">IF(OR($AC35&lt;&gt;1,$M35=""),0,IF(ISNUMBER(SEARCH("퇴사",IFERROR(INDEX(강사DB!$G$4:$G$53,MATCH($M35,강사DB!$A$4:$A$53,0)),""))),1,0))</f>
        <v>0</v>
      </c>
    </row>
    <row r="36" customFormat="false" ht="15" hidden="false" customHeight="false" outlineLevel="0" collapsed="false">
      <c r="A36" s="45" t="str">
        <f aca="false">IF($D36="","",COUNTA($D$5:$D36))</f>
        <v/>
      </c>
      <c r="B36" s="46"/>
      <c r="C36" s="47"/>
      <c r="D36" s="48"/>
      <c r="E36" s="48"/>
      <c r="F36" s="49"/>
      <c r="G36" s="47"/>
      <c r="H36" s="50"/>
      <c r="I36" s="50"/>
      <c r="J36" s="51" t="str">
        <f aca="false">IF(OR($V36="",$W36=""),"",ROUND(($W36-$V36)/60,2))</f>
        <v/>
      </c>
      <c r="K36" s="52" t="str">
        <f aca="false">IF($F36="","",LEN($F36)-LEN(SUBSTITUTE($F36,",",""))+1)</f>
        <v/>
      </c>
      <c r="L36" s="45" t="str">
        <f aca="false">IF($K36="","","1:"&amp;$K36)</f>
        <v/>
      </c>
      <c r="M36" s="46"/>
      <c r="N36" s="53"/>
      <c r="O36" s="46"/>
      <c r="P36" s="47"/>
      <c r="Q36" s="48"/>
      <c r="R36" s="49"/>
      <c r="S36" s="54" t="str">
        <f aca="false">IF(OR($AC36=0,$U36="",$M36="",$V36="",$W36=""),"",IF(COUNTIFS(m_teacher,$M36,m_date,$U36,m_active,1,m_start,"&lt;"&amp;$W36,m_end,"&gt;"&amp;$V36)&gt;1,"충돌",""))</f>
        <v/>
      </c>
      <c r="T36" s="48"/>
      <c r="U36" s="55" t="str">
        <f aca="false">IF($G36="","",IFERROR(IF(ISNUMBER($G36),IF($G36&gt;19000000,DATE(INT($G36/10000),MOD(INT($G36/100),100),MOD($G36,100)),INT($G36)),IF(LEN(SUBSTITUTE(SUBSTITUTE(SUBSTITUTE(TRIM($G36),"-",""),".",""),"/",""))=8,DATE(VALUE(LEFT(SUBSTITUTE(SUBSTITUTE(SUBSTITUTE(TRIM($G36),"-",""),".",""),"/",""),4)),VALUE(MID(SUBSTITUTE(SUBSTITUTE(SUBSTITUTE(TRIM($G36),"-",""),".",""),"/",""),5,2)),VALUE(RIGHT(SUBSTITUTE(SUBSTITUTE(SUBSTITUTE(TRIM($G36),"-",""),".",""),"/",""),2))),DATEVALUE($G36))),""))</f>
        <v/>
      </c>
      <c r="V36" s="52" t="str">
        <f aca="false">IF($H36="","",IFERROR(IF(IF(ISNUMBER($H36),$H36,IFERROR(TIMEVALUE($H36),VALUE($H36)))&gt;=100,INT(IF(ISNUMBER($H36),$H36,IFERROR(TIMEVALUE($H36),VALUE($H36)))/100)*60+MOD(IF(ISNUMBER($H36),$H36,IFERROR(TIMEVALUE($H36),VALUE($H36))),100),IF(IF(ISNUMBER($H36),$H36,IFERROR(TIMEVALUE($H36),VALUE($H36)))&gt;=1,ROUND(IF(ISNUMBER($H36),$H36,IFERROR(TIMEVALUE($H36),VALUE($H36)))*60,0),ROUND(MOD(IF(ISNUMBER($H36),$H36,IFERROR(TIMEVALUE($H36),VALUE($H36))),1)*1440,0))),""))</f>
        <v/>
      </c>
      <c r="W36" s="52" t="str">
        <f aca="false">IF($I36="","",IFERROR(IF(IF(ISNUMBER($I36),$I36,IFERROR(TIMEVALUE($I36),VALUE($I36)))&gt;=100,INT(IF(ISNUMBER($I36),$I36,IFERROR(TIMEVALUE($I36),VALUE($I36)))/100)*60+MOD(IF(ISNUMBER($I36),$I36,IFERROR(TIMEVALUE($I36),VALUE($I36))),100),IF(IF(ISNUMBER($I36),$I36,IFERROR(TIMEVALUE($I36),VALUE($I36)))&gt;=1,ROUND(IF(ISNUMBER($I36),$I36,IFERROR(TIMEVALUE($I36),VALUE($I36)))*60,0),ROUND(MOD(IF(ISNUMBER($I36),$I36,IFERROR(TIMEVALUE($I36),VALUE($I36))),1)*1440,0))),""))</f>
        <v/>
      </c>
      <c r="X36" s="55" t="str">
        <f aca="false">IF($P36="","",IFERROR(IF(ISNUMBER($P36),IF($P36&gt;19000000,DATE(INT($P36/10000),MOD(INT($P36/100),100),MOD($P36,100)),INT($P36)),IF(LEN(SUBSTITUTE(SUBSTITUTE(SUBSTITUTE(TRIM($P36),"-",""),".",""),"/",""))=8,DATE(VALUE(LEFT(SUBSTITUTE(SUBSTITUTE(SUBSTITUTE(TRIM($P36),"-",""),".",""),"/",""),4)),VALUE(MID(SUBSTITUTE(SUBSTITUTE(SUBSTITUTE(TRIM($P36),"-",""),".",""),"/",""),5,2)),VALUE(RIGHT(SUBSTITUTE(SUBSTITUTE(SUBSTITUTE(TRIM($P36),"-",""),".",""),"/",""),2))),DATEVALUE($P36))),""))</f>
        <v/>
      </c>
      <c r="Y36" s="56" t="str">
        <f aca="false">IF($M36="","",IFERROR(INDEX(강사DB!$D$4:$D$53,MATCH($M36,강사DB!$A$4:$A$53,0)),""))</f>
        <v/>
      </c>
      <c r="Z36" s="56" t="str">
        <f aca="false">IF($B36&lt;&gt;"결제완료","",IF(OR($Y36="",$J36=""),"",$Y36*$J36+MAX(0,N($K36)-1)*설정!$J$7))</f>
        <v/>
      </c>
      <c r="AA36" s="56" t="str">
        <f aca="false">IF(AND($D36&lt;&gt;"",$B36="결제완료"),N($N36),"")</f>
        <v/>
      </c>
      <c r="AB36" s="45" t="str">
        <f aca="false">IF($D36="","",IF($F36&lt;&gt;"",$F36,$D36)&amp;IF($B36="상담중"," (상담)",""))</f>
        <v/>
      </c>
      <c r="AC36" s="45" t="n">
        <f aca="false">IF(AND($D36&lt;&gt;"",OR($B36="결제완료",$B36="상담중")),1,0)</f>
        <v>0</v>
      </c>
      <c r="AD36" s="45" t="n">
        <f aca="false">IF(OR($Z36="",$U36=""),0,IFERROR(IF(COUNTIFS(INDEX(g_grid,0,2*MATCH($M36,강사DB!$A$4:$A$15,0)),"&lt;&gt;",g_s,"&lt;="&amp;$U36,g_e,"&gt;="&amp;$U36)&gt;0,1,0),0))</f>
        <v>0</v>
      </c>
      <c r="AE36" s="48"/>
      <c r="AF36" s="56" t="str">
        <f aca="false">IF(AND($D36&lt;&gt;"",$B36="결제완료",$T36="대여"),설정!$J$5,"")</f>
        <v/>
      </c>
      <c r="AG36" s="54" t="str">
        <f aca="false">IF($D36="","",IF(AND($E36="",$R36=""),$AB36,"☎ "&amp;IF($E36="","-",$E36)&amp;IF($R36&lt;&gt;"","  ※ "&amp;$R36,"")&amp;IF($B36="상담중"," (상담)","")))</f>
        <v/>
      </c>
      <c r="AH36" s="56" t="str">
        <f aca="false">IF(AND($D36&lt;&gt;"",$B36="결제완료",$O36="스마트스토어"),ROUND(N($N36)*설정!$J$6,0),"")</f>
        <v/>
      </c>
      <c r="AI36" s="54" t="str">
        <f aca="false">IF($D36="","",ROW())</f>
        <v/>
      </c>
      <c r="AJ36" s="54" t="n">
        <f aca="false">IF(OR($AC36&lt;&gt;1,$M36=""),0,IF(ISNUMBER(SEARCH("퇴사",IFERROR(INDEX(강사DB!$G$4:$G$53,MATCH($M36,강사DB!$A$4:$A$53,0)),""))),1,0))</f>
        <v>0</v>
      </c>
    </row>
    <row r="37" customFormat="false" ht="15" hidden="false" customHeight="false" outlineLevel="0" collapsed="false">
      <c r="A37" s="45" t="str">
        <f aca="false">IF($D37="","",COUNTA($D$5:$D37))</f>
        <v/>
      </c>
      <c r="B37" s="46"/>
      <c r="C37" s="47"/>
      <c r="D37" s="48"/>
      <c r="E37" s="48"/>
      <c r="F37" s="49"/>
      <c r="G37" s="47"/>
      <c r="H37" s="50"/>
      <c r="I37" s="50"/>
      <c r="J37" s="51" t="str">
        <f aca="false">IF(OR($V37="",$W37=""),"",ROUND(($W37-$V37)/60,2))</f>
        <v/>
      </c>
      <c r="K37" s="52" t="str">
        <f aca="false">IF($F37="","",LEN($F37)-LEN(SUBSTITUTE($F37,",",""))+1)</f>
        <v/>
      </c>
      <c r="L37" s="45" t="str">
        <f aca="false">IF($K37="","","1:"&amp;$K37)</f>
        <v/>
      </c>
      <c r="M37" s="46"/>
      <c r="N37" s="53"/>
      <c r="O37" s="46"/>
      <c r="P37" s="47"/>
      <c r="Q37" s="48"/>
      <c r="R37" s="49"/>
      <c r="S37" s="54" t="str">
        <f aca="false">IF(OR($AC37=0,$U37="",$M37="",$V37="",$W37=""),"",IF(COUNTIFS(m_teacher,$M37,m_date,$U37,m_active,1,m_start,"&lt;"&amp;$W37,m_end,"&gt;"&amp;$V37)&gt;1,"충돌",""))</f>
        <v/>
      </c>
      <c r="T37" s="48"/>
      <c r="U37" s="55" t="str">
        <f aca="false">IF($G37="","",IFERROR(IF(ISNUMBER($G37),IF($G37&gt;19000000,DATE(INT($G37/10000),MOD(INT($G37/100),100),MOD($G37,100)),INT($G37)),IF(LEN(SUBSTITUTE(SUBSTITUTE(SUBSTITUTE(TRIM($G37),"-",""),".",""),"/",""))=8,DATE(VALUE(LEFT(SUBSTITUTE(SUBSTITUTE(SUBSTITUTE(TRIM($G37),"-",""),".",""),"/",""),4)),VALUE(MID(SUBSTITUTE(SUBSTITUTE(SUBSTITUTE(TRIM($G37),"-",""),".",""),"/",""),5,2)),VALUE(RIGHT(SUBSTITUTE(SUBSTITUTE(SUBSTITUTE(TRIM($G37),"-",""),".",""),"/",""),2))),DATEVALUE($G37))),""))</f>
        <v/>
      </c>
      <c r="V37" s="52" t="str">
        <f aca="false">IF($H37="","",IFERROR(IF(IF(ISNUMBER($H37),$H37,IFERROR(TIMEVALUE($H37),VALUE($H37)))&gt;=100,INT(IF(ISNUMBER($H37),$H37,IFERROR(TIMEVALUE($H37),VALUE($H37)))/100)*60+MOD(IF(ISNUMBER($H37),$H37,IFERROR(TIMEVALUE($H37),VALUE($H37))),100),IF(IF(ISNUMBER($H37),$H37,IFERROR(TIMEVALUE($H37),VALUE($H37)))&gt;=1,ROUND(IF(ISNUMBER($H37),$H37,IFERROR(TIMEVALUE($H37),VALUE($H37)))*60,0),ROUND(MOD(IF(ISNUMBER($H37),$H37,IFERROR(TIMEVALUE($H37),VALUE($H37))),1)*1440,0))),""))</f>
        <v/>
      </c>
      <c r="W37" s="52" t="str">
        <f aca="false">IF($I37="","",IFERROR(IF(IF(ISNUMBER($I37),$I37,IFERROR(TIMEVALUE($I37),VALUE($I37)))&gt;=100,INT(IF(ISNUMBER($I37),$I37,IFERROR(TIMEVALUE($I37),VALUE($I37)))/100)*60+MOD(IF(ISNUMBER($I37),$I37,IFERROR(TIMEVALUE($I37),VALUE($I37))),100),IF(IF(ISNUMBER($I37),$I37,IFERROR(TIMEVALUE($I37),VALUE($I37)))&gt;=1,ROUND(IF(ISNUMBER($I37),$I37,IFERROR(TIMEVALUE($I37),VALUE($I37)))*60,0),ROUND(MOD(IF(ISNUMBER($I37),$I37,IFERROR(TIMEVALUE($I37),VALUE($I37))),1)*1440,0))),""))</f>
        <v/>
      </c>
      <c r="X37" s="55" t="str">
        <f aca="false">IF($P37="","",IFERROR(IF(ISNUMBER($P37),IF($P37&gt;19000000,DATE(INT($P37/10000),MOD(INT($P37/100),100),MOD($P37,100)),INT($P37)),IF(LEN(SUBSTITUTE(SUBSTITUTE(SUBSTITUTE(TRIM($P37),"-",""),".",""),"/",""))=8,DATE(VALUE(LEFT(SUBSTITUTE(SUBSTITUTE(SUBSTITUTE(TRIM($P37),"-",""),".",""),"/",""),4)),VALUE(MID(SUBSTITUTE(SUBSTITUTE(SUBSTITUTE(TRIM($P37),"-",""),".",""),"/",""),5,2)),VALUE(RIGHT(SUBSTITUTE(SUBSTITUTE(SUBSTITUTE(TRIM($P37),"-",""),".",""),"/",""),2))),DATEVALUE($P37))),""))</f>
        <v/>
      </c>
      <c r="Y37" s="56" t="str">
        <f aca="false">IF($M37="","",IFERROR(INDEX(강사DB!$D$4:$D$53,MATCH($M37,강사DB!$A$4:$A$53,0)),""))</f>
        <v/>
      </c>
      <c r="Z37" s="56" t="str">
        <f aca="false">IF($B37&lt;&gt;"결제완료","",IF(OR($Y37="",$J37=""),"",$Y37*$J37+MAX(0,N($K37)-1)*설정!$J$7))</f>
        <v/>
      </c>
      <c r="AA37" s="56" t="str">
        <f aca="false">IF(AND($D37&lt;&gt;"",$B37="결제완료"),N($N37),"")</f>
        <v/>
      </c>
      <c r="AB37" s="45" t="str">
        <f aca="false">IF($D37="","",IF($F37&lt;&gt;"",$F37,$D37)&amp;IF($B37="상담중"," (상담)",""))</f>
        <v/>
      </c>
      <c r="AC37" s="45" t="n">
        <f aca="false">IF(AND($D37&lt;&gt;"",OR($B37="결제완료",$B37="상담중")),1,0)</f>
        <v>0</v>
      </c>
      <c r="AD37" s="45" t="n">
        <f aca="false">IF(OR($Z37="",$U37=""),0,IFERROR(IF(COUNTIFS(INDEX(g_grid,0,2*MATCH($M37,강사DB!$A$4:$A$15,0)),"&lt;&gt;",g_s,"&lt;="&amp;$U37,g_e,"&gt;="&amp;$U37)&gt;0,1,0),0))</f>
        <v>0</v>
      </c>
      <c r="AE37" s="48"/>
      <c r="AF37" s="56" t="str">
        <f aca="false">IF(AND($D37&lt;&gt;"",$B37="결제완료",$T37="대여"),설정!$J$5,"")</f>
        <v/>
      </c>
      <c r="AG37" s="54" t="str">
        <f aca="false">IF($D37="","",IF(AND($E37="",$R37=""),$AB37,"☎ "&amp;IF($E37="","-",$E37)&amp;IF($R37&lt;&gt;"","  ※ "&amp;$R37,"")&amp;IF($B37="상담중"," (상담)","")))</f>
        <v/>
      </c>
      <c r="AH37" s="56" t="str">
        <f aca="false">IF(AND($D37&lt;&gt;"",$B37="결제완료",$O37="스마트스토어"),ROUND(N($N37)*설정!$J$6,0),"")</f>
        <v/>
      </c>
      <c r="AI37" s="54" t="str">
        <f aca="false">IF($D37="","",ROW())</f>
        <v/>
      </c>
      <c r="AJ37" s="54" t="n">
        <f aca="false">IF(OR($AC37&lt;&gt;1,$M37=""),0,IF(ISNUMBER(SEARCH("퇴사",IFERROR(INDEX(강사DB!$G$4:$G$53,MATCH($M37,강사DB!$A$4:$A$53,0)),""))),1,0))</f>
        <v>0</v>
      </c>
    </row>
    <row r="38" customFormat="false" ht="15" hidden="false" customHeight="false" outlineLevel="0" collapsed="false">
      <c r="A38" s="45" t="str">
        <f aca="false">IF($D38="","",COUNTA($D$5:$D38))</f>
        <v/>
      </c>
      <c r="B38" s="46"/>
      <c r="C38" s="47"/>
      <c r="D38" s="48"/>
      <c r="E38" s="48"/>
      <c r="F38" s="49"/>
      <c r="G38" s="47"/>
      <c r="H38" s="50"/>
      <c r="I38" s="50"/>
      <c r="J38" s="51" t="str">
        <f aca="false">IF(OR($V38="",$W38=""),"",ROUND(($W38-$V38)/60,2))</f>
        <v/>
      </c>
      <c r="K38" s="52" t="str">
        <f aca="false">IF($F38="","",LEN($F38)-LEN(SUBSTITUTE($F38,",",""))+1)</f>
        <v/>
      </c>
      <c r="L38" s="45" t="str">
        <f aca="false">IF($K38="","","1:"&amp;$K38)</f>
        <v/>
      </c>
      <c r="M38" s="46"/>
      <c r="N38" s="53"/>
      <c r="O38" s="46"/>
      <c r="P38" s="47"/>
      <c r="Q38" s="48"/>
      <c r="R38" s="49"/>
      <c r="S38" s="54" t="str">
        <f aca="false">IF(OR($AC38=0,$U38="",$M38="",$V38="",$W38=""),"",IF(COUNTIFS(m_teacher,$M38,m_date,$U38,m_active,1,m_start,"&lt;"&amp;$W38,m_end,"&gt;"&amp;$V38)&gt;1,"충돌",""))</f>
        <v/>
      </c>
      <c r="T38" s="48"/>
      <c r="U38" s="55" t="str">
        <f aca="false">IF($G38="","",IFERROR(IF(ISNUMBER($G38),IF($G38&gt;19000000,DATE(INT($G38/10000),MOD(INT($G38/100),100),MOD($G38,100)),INT($G38)),IF(LEN(SUBSTITUTE(SUBSTITUTE(SUBSTITUTE(TRIM($G38),"-",""),".",""),"/",""))=8,DATE(VALUE(LEFT(SUBSTITUTE(SUBSTITUTE(SUBSTITUTE(TRIM($G38),"-",""),".",""),"/",""),4)),VALUE(MID(SUBSTITUTE(SUBSTITUTE(SUBSTITUTE(TRIM($G38),"-",""),".",""),"/",""),5,2)),VALUE(RIGHT(SUBSTITUTE(SUBSTITUTE(SUBSTITUTE(TRIM($G38),"-",""),".",""),"/",""),2))),DATEVALUE($G38))),""))</f>
        <v/>
      </c>
      <c r="V38" s="52" t="str">
        <f aca="false">IF($H38="","",IFERROR(IF(IF(ISNUMBER($H38),$H38,IFERROR(TIMEVALUE($H38),VALUE($H38)))&gt;=100,INT(IF(ISNUMBER($H38),$H38,IFERROR(TIMEVALUE($H38),VALUE($H38)))/100)*60+MOD(IF(ISNUMBER($H38),$H38,IFERROR(TIMEVALUE($H38),VALUE($H38))),100),IF(IF(ISNUMBER($H38),$H38,IFERROR(TIMEVALUE($H38),VALUE($H38)))&gt;=1,ROUND(IF(ISNUMBER($H38),$H38,IFERROR(TIMEVALUE($H38),VALUE($H38)))*60,0),ROUND(MOD(IF(ISNUMBER($H38),$H38,IFERROR(TIMEVALUE($H38),VALUE($H38))),1)*1440,0))),""))</f>
        <v/>
      </c>
      <c r="W38" s="52" t="str">
        <f aca="false">IF($I38="","",IFERROR(IF(IF(ISNUMBER($I38),$I38,IFERROR(TIMEVALUE($I38),VALUE($I38)))&gt;=100,INT(IF(ISNUMBER($I38),$I38,IFERROR(TIMEVALUE($I38),VALUE($I38)))/100)*60+MOD(IF(ISNUMBER($I38),$I38,IFERROR(TIMEVALUE($I38),VALUE($I38))),100),IF(IF(ISNUMBER($I38),$I38,IFERROR(TIMEVALUE($I38),VALUE($I38)))&gt;=1,ROUND(IF(ISNUMBER($I38),$I38,IFERROR(TIMEVALUE($I38),VALUE($I38)))*60,0),ROUND(MOD(IF(ISNUMBER($I38),$I38,IFERROR(TIMEVALUE($I38),VALUE($I38))),1)*1440,0))),""))</f>
        <v/>
      </c>
      <c r="X38" s="55" t="str">
        <f aca="false">IF($P38="","",IFERROR(IF(ISNUMBER($P38),IF($P38&gt;19000000,DATE(INT($P38/10000),MOD(INT($P38/100),100),MOD($P38,100)),INT($P38)),IF(LEN(SUBSTITUTE(SUBSTITUTE(SUBSTITUTE(TRIM($P38),"-",""),".",""),"/",""))=8,DATE(VALUE(LEFT(SUBSTITUTE(SUBSTITUTE(SUBSTITUTE(TRIM($P38),"-",""),".",""),"/",""),4)),VALUE(MID(SUBSTITUTE(SUBSTITUTE(SUBSTITUTE(TRIM($P38),"-",""),".",""),"/",""),5,2)),VALUE(RIGHT(SUBSTITUTE(SUBSTITUTE(SUBSTITUTE(TRIM($P38),"-",""),".",""),"/",""),2))),DATEVALUE($P38))),""))</f>
        <v/>
      </c>
      <c r="Y38" s="56" t="str">
        <f aca="false">IF($M38="","",IFERROR(INDEX(강사DB!$D$4:$D$53,MATCH($M38,강사DB!$A$4:$A$53,0)),""))</f>
        <v/>
      </c>
      <c r="Z38" s="56" t="str">
        <f aca="false">IF($B38&lt;&gt;"결제완료","",IF(OR($Y38="",$J38=""),"",$Y38*$J38+MAX(0,N($K38)-1)*설정!$J$7))</f>
        <v/>
      </c>
      <c r="AA38" s="56" t="str">
        <f aca="false">IF(AND($D38&lt;&gt;"",$B38="결제완료"),N($N38),"")</f>
        <v/>
      </c>
      <c r="AB38" s="45" t="str">
        <f aca="false">IF($D38="","",IF($F38&lt;&gt;"",$F38,$D38)&amp;IF($B38="상담중"," (상담)",""))</f>
        <v/>
      </c>
      <c r="AC38" s="45" t="n">
        <f aca="false">IF(AND($D38&lt;&gt;"",OR($B38="결제완료",$B38="상담중")),1,0)</f>
        <v>0</v>
      </c>
      <c r="AD38" s="45" t="n">
        <f aca="false">IF(OR($Z38="",$U38=""),0,IFERROR(IF(COUNTIFS(INDEX(g_grid,0,2*MATCH($M38,강사DB!$A$4:$A$15,0)),"&lt;&gt;",g_s,"&lt;="&amp;$U38,g_e,"&gt;="&amp;$U38)&gt;0,1,0),0))</f>
        <v>0</v>
      </c>
      <c r="AE38" s="48"/>
      <c r="AF38" s="56" t="str">
        <f aca="false">IF(AND($D38&lt;&gt;"",$B38="결제완료",$T38="대여"),설정!$J$5,"")</f>
        <v/>
      </c>
      <c r="AG38" s="54" t="str">
        <f aca="false">IF($D38="","",IF(AND($E38="",$R38=""),$AB38,"☎ "&amp;IF($E38="","-",$E38)&amp;IF($R38&lt;&gt;"","  ※ "&amp;$R38,"")&amp;IF($B38="상담중"," (상담)","")))</f>
        <v/>
      </c>
      <c r="AH38" s="56" t="str">
        <f aca="false">IF(AND($D38&lt;&gt;"",$B38="결제완료",$O38="스마트스토어"),ROUND(N($N38)*설정!$J$6,0),"")</f>
        <v/>
      </c>
      <c r="AI38" s="54" t="str">
        <f aca="false">IF($D38="","",ROW())</f>
        <v/>
      </c>
      <c r="AJ38" s="54" t="n">
        <f aca="false">IF(OR($AC38&lt;&gt;1,$M38=""),0,IF(ISNUMBER(SEARCH("퇴사",IFERROR(INDEX(강사DB!$G$4:$G$53,MATCH($M38,강사DB!$A$4:$A$53,0)),""))),1,0))</f>
        <v>0</v>
      </c>
    </row>
    <row r="39" customFormat="false" ht="15" hidden="false" customHeight="false" outlineLevel="0" collapsed="false">
      <c r="A39" s="45" t="str">
        <f aca="false">IF($D39="","",COUNTA($D$5:$D39))</f>
        <v/>
      </c>
      <c r="B39" s="46"/>
      <c r="C39" s="47"/>
      <c r="D39" s="48"/>
      <c r="E39" s="48"/>
      <c r="F39" s="49"/>
      <c r="G39" s="47"/>
      <c r="H39" s="50"/>
      <c r="I39" s="50"/>
      <c r="J39" s="51" t="str">
        <f aca="false">IF(OR($V39="",$W39=""),"",ROUND(($W39-$V39)/60,2))</f>
        <v/>
      </c>
      <c r="K39" s="52" t="str">
        <f aca="false">IF($F39="","",LEN($F39)-LEN(SUBSTITUTE($F39,",",""))+1)</f>
        <v/>
      </c>
      <c r="L39" s="45" t="str">
        <f aca="false">IF($K39="","","1:"&amp;$K39)</f>
        <v/>
      </c>
      <c r="M39" s="46"/>
      <c r="N39" s="53"/>
      <c r="O39" s="46"/>
      <c r="P39" s="47"/>
      <c r="Q39" s="48"/>
      <c r="R39" s="49"/>
      <c r="S39" s="54" t="str">
        <f aca="false">IF(OR($AC39=0,$U39="",$M39="",$V39="",$W39=""),"",IF(COUNTIFS(m_teacher,$M39,m_date,$U39,m_active,1,m_start,"&lt;"&amp;$W39,m_end,"&gt;"&amp;$V39)&gt;1,"충돌",""))</f>
        <v/>
      </c>
      <c r="T39" s="48"/>
      <c r="U39" s="55" t="str">
        <f aca="false">IF($G39="","",IFERROR(IF(ISNUMBER($G39),IF($G39&gt;19000000,DATE(INT($G39/10000),MOD(INT($G39/100),100),MOD($G39,100)),INT($G39)),IF(LEN(SUBSTITUTE(SUBSTITUTE(SUBSTITUTE(TRIM($G39),"-",""),".",""),"/",""))=8,DATE(VALUE(LEFT(SUBSTITUTE(SUBSTITUTE(SUBSTITUTE(TRIM($G39),"-",""),".",""),"/",""),4)),VALUE(MID(SUBSTITUTE(SUBSTITUTE(SUBSTITUTE(TRIM($G39),"-",""),".",""),"/",""),5,2)),VALUE(RIGHT(SUBSTITUTE(SUBSTITUTE(SUBSTITUTE(TRIM($G39),"-",""),".",""),"/",""),2))),DATEVALUE($G39))),""))</f>
        <v/>
      </c>
      <c r="V39" s="52" t="str">
        <f aca="false">IF($H39="","",IFERROR(IF(IF(ISNUMBER($H39),$H39,IFERROR(TIMEVALUE($H39),VALUE($H39)))&gt;=100,INT(IF(ISNUMBER($H39),$H39,IFERROR(TIMEVALUE($H39),VALUE($H39)))/100)*60+MOD(IF(ISNUMBER($H39),$H39,IFERROR(TIMEVALUE($H39),VALUE($H39))),100),IF(IF(ISNUMBER($H39),$H39,IFERROR(TIMEVALUE($H39),VALUE($H39)))&gt;=1,ROUND(IF(ISNUMBER($H39),$H39,IFERROR(TIMEVALUE($H39),VALUE($H39)))*60,0),ROUND(MOD(IF(ISNUMBER($H39),$H39,IFERROR(TIMEVALUE($H39),VALUE($H39))),1)*1440,0))),""))</f>
        <v/>
      </c>
      <c r="W39" s="52" t="str">
        <f aca="false">IF($I39="","",IFERROR(IF(IF(ISNUMBER($I39),$I39,IFERROR(TIMEVALUE($I39),VALUE($I39)))&gt;=100,INT(IF(ISNUMBER($I39),$I39,IFERROR(TIMEVALUE($I39),VALUE($I39)))/100)*60+MOD(IF(ISNUMBER($I39),$I39,IFERROR(TIMEVALUE($I39),VALUE($I39))),100),IF(IF(ISNUMBER($I39),$I39,IFERROR(TIMEVALUE($I39),VALUE($I39)))&gt;=1,ROUND(IF(ISNUMBER($I39),$I39,IFERROR(TIMEVALUE($I39),VALUE($I39)))*60,0),ROUND(MOD(IF(ISNUMBER($I39),$I39,IFERROR(TIMEVALUE($I39),VALUE($I39))),1)*1440,0))),""))</f>
        <v/>
      </c>
      <c r="X39" s="55" t="str">
        <f aca="false">IF($P39="","",IFERROR(IF(ISNUMBER($P39),IF($P39&gt;19000000,DATE(INT($P39/10000),MOD(INT($P39/100),100),MOD($P39,100)),INT($P39)),IF(LEN(SUBSTITUTE(SUBSTITUTE(SUBSTITUTE(TRIM($P39),"-",""),".",""),"/",""))=8,DATE(VALUE(LEFT(SUBSTITUTE(SUBSTITUTE(SUBSTITUTE(TRIM($P39),"-",""),".",""),"/",""),4)),VALUE(MID(SUBSTITUTE(SUBSTITUTE(SUBSTITUTE(TRIM($P39),"-",""),".",""),"/",""),5,2)),VALUE(RIGHT(SUBSTITUTE(SUBSTITUTE(SUBSTITUTE(TRIM($P39),"-",""),".",""),"/",""),2))),DATEVALUE($P39))),""))</f>
        <v/>
      </c>
      <c r="Y39" s="56" t="str">
        <f aca="false">IF($M39="","",IFERROR(INDEX(강사DB!$D$4:$D$53,MATCH($M39,강사DB!$A$4:$A$53,0)),""))</f>
        <v/>
      </c>
      <c r="Z39" s="56" t="str">
        <f aca="false">IF($B39&lt;&gt;"결제완료","",IF(OR($Y39="",$J39=""),"",$Y39*$J39+MAX(0,N($K39)-1)*설정!$J$7))</f>
        <v/>
      </c>
      <c r="AA39" s="56" t="str">
        <f aca="false">IF(AND($D39&lt;&gt;"",$B39="결제완료"),N($N39),"")</f>
        <v/>
      </c>
      <c r="AB39" s="45" t="str">
        <f aca="false">IF($D39="","",IF($F39&lt;&gt;"",$F39,$D39)&amp;IF($B39="상담중"," (상담)",""))</f>
        <v/>
      </c>
      <c r="AC39" s="45" t="n">
        <f aca="false">IF(AND($D39&lt;&gt;"",OR($B39="결제완료",$B39="상담중")),1,0)</f>
        <v>0</v>
      </c>
      <c r="AD39" s="45" t="n">
        <f aca="false">IF(OR($Z39="",$U39=""),0,IFERROR(IF(COUNTIFS(INDEX(g_grid,0,2*MATCH($M39,강사DB!$A$4:$A$15,0)),"&lt;&gt;",g_s,"&lt;="&amp;$U39,g_e,"&gt;="&amp;$U39)&gt;0,1,0),0))</f>
        <v>0</v>
      </c>
      <c r="AE39" s="48"/>
      <c r="AF39" s="56" t="str">
        <f aca="false">IF(AND($D39&lt;&gt;"",$B39="결제완료",$T39="대여"),설정!$J$5,"")</f>
        <v/>
      </c>
      <c r="AG39" s="54" t="str">
        <f aca="false">IF($D39="","",IF(AND($E39="",$R39=""),$AB39,"☎ "&amp;IF($E39="","-",$E39)&amp;IF($R39&lt;&gt;"","  ※ "&amp;$R39,"")&amp;IF($B39="상담중"," (상담)","")))</f>
        <v/>
      </c>
      <c r="AH39" s="56" t="str">
        <f aca="false">IF(AND($D39&lt;&gt;"",$B39="결제완료",$O39="스마트스토어"),ROUND(N($N39)*설정!$J$6,0),"")</f>
        <v/>
      </c>
      <c r="AI39" s="54" t="str">
        <f aca="false">IF($D39="","",ROW())</f>
        <v/>
      </c>
      <c r="AJ39" s="54" t="n">
        <f aca="false">IF(OR($AC39&lt;&gt;1,$M39=""),0,IF(ISNUMBER(SEARCH("퇴사",IFERROR(INDEX(강사DB!$G$4:$G$53,MATCH($M39,강사DB!$A$4:$A$53,0)),""))),1,0))</f>
        <v>0</v>
      </c>
    </row>
    <row r="40" customFormat="false" ht="15" hidden="false" customHeight="false" outlineLevel="0" collapsed="false">
      <c r="A40" s="45" t="str">
        <f aca="false">IF($D40="","",COUNTA($D$5:$D40))</f>
        <v/>
      </c>
      <c r="B40" s="46"/>
      <c r="C40" s="47"/>
      <c r="D40" s="48"/>
      <c r="E40" s="48"/>
      <c r="F40" s="49"/>
      <c r="G40" s="47"/>
      <c r="H40" s="50"/>
      <c r="I40" s="50"/>
      <c r="J40" s="51" t="str">
        <f aca="false">IF(OR($V40="",$W40=""),"",ROUND(($W40-$V40)/60,2))</f>
        <v/>
      </c>
      <c r="K40" s="52" t="str">
        <f aca="false">IF($F40="","",LEN($F40)-LEN(SUBSTITUTE($F40,",",""))+1)</f>
        <v/>
      </c>
      <c r="L40" s="45" t="str">
        <f aca="false">IF($K40="","","1:"&amp;$K40)</f>
        <v/>
      </c>
      <c r="M40" s="46"/>
      <c r="N40" s="53"/>
      <c r="O40" s="46"/>
      <c r="P40" s="47"/>
      <c r="Q40" s="48"/>
      <c r="R40" s="49"/>
      <c r="S40" s="54" t="str">
        <f aca="false">IF(OR($AC40=0,$U40="",$M40="",$V40="",$W40=""),"",IF(COUNTIFS(m_teacher,$M40,m_date,$U40,m_active,1,m_start,"&lt;"&amp;$W40,m_end,"&gt;"&amp;$V40)&gt;1,"충돌",""))</f>
        <v/>
      </c>
      <c r="T40" s="48"/>
      <c r="U40" s="55" t="str">
        <f aca="false">IF($G40="","",IFERROR(IF(ISNUMBER($G40),IF($G40&gt;19000000,DATE(INT($G40/10000),MOD(INT($G40/100),100),MOD($G40,100)),INT($G40)),IF(LEN(SUBSTITUTE(SUBSTITUTE(SUBSTITUTE(TRIM($G40),"-",""),".",""),"/",""))=8,DATE(VALUE(LEFT(SUBSTITUTE(SUBSTITUTE(SUBSTITUTE(TRIM($G40),"-",""),".",""),"/",""),4)),VALUE(MID(SUBSTITUTE(SUBSTITUTE(SUBSTITUTE(TRIM($G40),"-",""),".",""),"/",""),5,2)),VALUE(RIGHT(SUBSTITUTE(SUBSTITUTE(SUBSTITUTE(TRIM($G40),"-",""),".",""),"/",""),2))),DATEVALUE($G40))),""))</f>
        <v/>
      </c>
      <c r="V40" s="52" t="str">
        <f aca="false">IF($H40="","",IFERROR(IF(IF(ISNUMBER($H40),$H40,IFERROR(TIMEVALUE($H40),VALUE($H40)))&gt;=100,INT(IF(ISNUMBER($H40),$H40,IFERROR(TIMEVALUE($H40),VALUE($H40)))/100)*60+MOD(IF(ISNUMBER($H40),$H40,IFERROR(TIMEVALUE($H40),VALUE($H40))),100),IF(IF(ISNUMBER($H40),$H40,IFERROR(TIMEVALUE($H40),VALUE($H40)))&gt;=1,ROUND(IF(ISNUMBER($H40),$H40,IFERROR(TIMEVALUE($H40),VALUE($H40)))*60,0),ROUND(MOD(IF(ISNUMBER($H40),$H40,IFERROR(TIMEVALUE($H40),VALUE($H40))),1)*1440,0))),""))</f>
        <v/>
      </c>
      <c r="W40" s="52" t="str">
        <f aca="false">IF($I40="","",IFERROR(IF(IF(ISNUMBER($I40),$I40,IFERROR(TIMEVALUE($I40),VALUE($I40)))&gt;=100,INT(IF(ISNUMBER($I40),$I40,IFERROR(TIMEVALUE($I40),VALUE($I40)))/100)*60+MOD(IF(ISNUMBER($I40),$I40,IFERROR(TIMEVALUE($I40),VALUE($I40))),100),IF(IF(ISNUMBER($I40),$I40,IFERROR(TIMEVALUE($I40),VALUE($I40)))&gt;=1,ROUND(IF(ISNUMBER($I40),$I40,IFERROR(TIMEVALUE($I40),VALUE($I40)))*60,0),ROUND(MOD(IF(ISNUMBER($I40),$I40,IFERROR(TIMEVALUE($I40),VALUE($I40))),1)*1440,0))),""))</f>
        <v/>
      </c>
      <c r="X40" s="55" t="str">
        <f aca="false">IF($P40="","",IFERROR(IF(ISNUMBER($P40),IF($P40&gt;19000000,DATE(INT($P40/10000),MOD(INT($P40/100),100),MOD($P40,100)),INT($P40)),IF(LEN(SUBSTITUTE(SUBSTITUTE(SUBSTITUTE(TRIM($P40),"-",""),".",""),"/",""))=8,DATE(VALUE(LEFT(SUBSTITUTE(SUBSTITUTE(SUBSTITUTE(TRIM($P40),"-",""),".",""),"/",""),4)),VALUE(MID(SUBSTITUTE(SUBSTITUTE(SUBSTITUTE(TRIM($P40),"-",""),".",""),"/",""),5,2)),VALUE(RIGHT(SUBSTITUTE(SUBSTITUTE(SUBSTITUTE(TRIM($P40),"-",""),".",""),"/",""),2))),DATEVALUE($P40))),""))</f>
        <v/>
      </c>
      <c r="Y40" s="56" t="str">
        <f aca="false">IF($M40="","",IFERROR(INDEX(강사DB!$D$4:$D$53,MATCH($M40,강사DB!$A$4:$A$53,0)),""))</f>
        <v/>
      </c>
      <c r="Z40" s="56" t="str">
        <f aca="false">IF($B40&lt;&gt;"결제완료","",IF(OR($Y40="",$J40=""),"",$Y40*$J40+MAX(0,N($K40)-1)*설정!$J$7))</f>
        <v/>
      </c>
      <c r="AA40" s="56" t="str">
        <f aca="false">IF(AND($D40&lt;&gt;"",$B40="결제완료"),N($N40),"")</f>
        <v/>
      </c>
      <c r="AB40" s="45" t="str">
        <f aca="false">IF($D40="","",IF($F40&lt;&gt;"",$F40,$D40)&amp;IF($B40="상담중"," (상담)",""))</f>
        <v/>
      </c>
      <c r="AC40" s="45" t="n">
        <f aca="false">IF(AND($D40&lt;&gt;"",OR($B40="결제완료",$B40="상담중")),1,0)</f>
        <v>0</v>
      </c>
      <c r="AD40" s="45" t="n">
        <f aca="false">IF(OR($Z40="",$U40=""),0,IFERROR(IF(COUNTIFS(INDEX(g_grid,0,2*MATCH($M40,강사DB!$A$4:$A$15,0)),"&lt;&gt;",g_s,"&lt;="&amp;$U40,g_e,"&gt;="&amp;$U40)&gt;0,1,0),0))</f>
        <v>0</v>
      </c>
      <c r="AE40" s="48"/>
      <c r="AF40" s="56" t="str">
        <f aca="false">IF(AND($D40&lt;&gt;"",$B40="결제완료",$T40="대여"),설정!$J$5,"")</f>
        <v/>
      </c>
      <c r="AG40" s="54" t="str">
        <f aca="false">IF($D40="","",IF(AND($E40="",$R40=""),$AB40,"☎ "&amp;IF($E40="","-",$E40)&amp;IF($R40&lt;&gt;"","  ※ "&amp;$R40,"")&amp;IF($B40="상담중"," (상담)","")))</f>
        <v/>
      </c>
      <c r="AH40" s="56" t="str">
        <f aca="false">IF(AND($D40&lt;&gt;"",$B40="결제완료",$O40="스마트스토어"),ROUND(N($N40)*설정!$J$6,0),"")</f>
        <v/>
      </c>
      <c r="AI40" s="54" t="str">
        <f aca="false">IF($D40="","",ROW())</f>
        <v/>
      </c>
      <c r="AJ40" s="54" t="n">
        <f aca="false">IF(OR($AC40&lt;&gt;1,$M40=""),0,IF(ISNUMBER(SEARCH("퇴사",IFERROR(INDEX(강사DB!$G$4:$G$53,MATCH($M40,강사DB!$A$4:$A$53,0)),""))),1,0))</f>
        <v>0</v>
      </c>
    </row>
    <row r="41" customFormat="false" ht="15" hidden="false" customHeight="false" outlineLevel="0" collapsed="false">
      <c r="A41" s="45" t="str">
        <f aca="false">IF($D41="","",COUNTA($D$5:$D41))</f>
        <v/>
      </c>
      <c r="B41" s="46"/>
      <c r="C41" s="47"/>
      <c r="D41" s="48"/>
      <c r="E41" s="48"/>
      <c r="F41" s="49"/>
      <c r="G41" s="47"/>
      <c r="H41" s="50"/>
      <c r="I41" s="50"/>
      <c r="J41" s="51" t="str">
        <f aca="false">IF(OR($V41="",$W41=""),"",ROUND(($W41-$V41)/60,2))</f>
        <v/>
      </c>
      <c r="K41" s="52" t="str">
        <f aca="false">IF($F41="","",LEN($F41)-LEN(SUBSTITUTE($F41,",",""))+1)</f>
        <v/>
      </c>
      <c r="L41" s="45" t="str">
        <f aca="false">IF($K41="","","1:"&amp;$K41)</f>
        <v/>
      </c>
      <c r="M41" s="46"/>
      <c r="N41" s="53"/>
      <c r="O41" s="46"/>
      <c r="P41" s="47"/>
      <c r="Q41" s="48"/>
      <c r="R41" s="49"/>
      <c r="S41" s="54" t="str">
        <f aca="false">IF(OR($AC41=0,$U41="",$M41="",$V41="",$W41=""),"",IF(COUNTIFS(m_teacher,$M41,m_date,$U41,m_active,1,m_start,"&lt;"&amp;$W41,m_end,"&gt;"&amp;$V41)&gt;1,"충돌",""))</f>
        <v/>
      </c>
      <c r="T41" s="48"/>
      <c r="U41" s="55" t="str">
        <f aca="false">IF($G41="","",IFERROR(IF(ISNUMBER($G41),IF($G41&gt;19000000,DATE(INT($G41/10000),MOD(INT($G41/100),100),MOD($G41,100)),INT($G41)),IF(LEN(SUBSTITUTE(SUBSTITUTE(SUBSTITUTE(TRIM($G41),"-",""),".",""),"/",""))=8,DATE(VALUE(LEFT(SUBSTITUTE(SUBSTITUTE(SUBSTITUTE(TRIM($G41),"-",""),".",""),"/",""),4)),VALUE(MID(SUBSTITUTE(SUBSTITUTE(SUBSTITUTE(TRIM($G41),"-",""),".",""),"/",""),5,2)),VALUE(RIGHT(SUBSTITUTE(SUBSTITUTE(SUBSTITUTE(TRIM($G41),"-",""),".",""),"/",""),2))),DATEVALUE($G41))),""))</f>
        <v/>
      </c>
      <c r="V41" s="52" t="str">
        <f aca="false">IF($H41="","",IFERROR(IF(IF(ISNUMBER($H41),$H41,IFERROR(TIMEVALUE($H41),VALUE($H41)))&gt;=100,INT(IF(ISNUMBER($H41),$H41,IFERROR(TIMEVALUE($H41),VALUE($H41)))/100)*60+MOD(IF(ISNUMBER($H41),$H41,IFERROR(TIMEVALUE($H41),VALUE($H41))),100),IF(IF(ISNUMBER($H41),$H41,IFERROR(TIMEVALUE($H41),VALUE($H41)))&gt;=1,ROUND(IF(ISNUMBER($H41),$H41,IFERROR(TIMEVALUE($H41),VALUE($H41)))*60,0),ROUND(MOD(IF(ISNUMBER($H41),$H41,IFERROR(TIMEVALUE($H41),VALUE($H41))),1)*1440,0))),""))</f>
        <v/>
      </c>
      <c r="W41" s="52" t="str">
        <f aca="false">IF($I41="","",IFERROR(IF(IF(ISNUMBER($I41),$I41,IFERROR(TIMEVALUE($I41),VALUE($I41)))&gt;=100,INT(IF(ISNUMBER($I41),$I41,IFERROR(TIMEVALUE($I41),VALUE($I41)))/100)*60+MOD(IF(ISNUMBER($I41),$I41,IFERROR(TIMEVALUE($I41),VALUE($I41))),100),IF(IF(ISNUMBER($I41),$I41,IFERROR(TIMEVALUE($I41),VALUE($I41)))&gt;=1,ROUND(IF(ISNUMBER($I41),$I41,IFERROR(TIMEVALUE($I41),VALUE($I41)))*60,0),ROUND(MOD(IF(ISNUMBER($I41),$I41,IFERROR(TIMEVALUE($I41),VALUE($I41))),1)*1440,0))),""))</f>
        <v/>
      </c>
      <c r="X41" s="55" t="str">
        <f aca="false">IF($P41="","",IFERROR(IF(ISNUMBER($P41),IF($P41&gt;19000000,DATE(INT($P41/10000),MOD(INT($P41/100),100),MOD($P41,100)),INT($P41)),IF(LEN(SUBSTITUTE(SUBSTITUTE(SUBSTITUTE(TRIM($P41),"-",""),".",""),"/",""))=8,DATE(VALUE(LEFT(SUBSTITUTE(SUBSTITUTE(SUBSTITUTE(TRIM($P41),"-",""),".",""),"/",""),4)),VALUE(MID(SUBSTITUTE(SUBSTITUTE(SUBSTITUTE(TRIM($P41),"-",""),".",""),"/",""),5,2)),VALUE(RIGHT(SUBSTITUTE(SUBSTITUTE(SUBSTITUTE(TRIM($P41),"-",""),".",""),"/",""),2))),DATEVALUE($P41))),""))</f>
        <v/>
      </c>
      <c r="Y41" s="56" t="str">
        <f aca="false">IF($M41="","",IFERROR(INDEX(강사DB!$D$4:$D$53,MATCH($M41,강사DB!$A$4:$A$53,0)),""))</f>
        <v/>
      </c>
      <c r="Z41" s="56" t="str">
        <f aca="false">IF($B41&lt;&gt;"결제완료","",IF(OR($Y41="",$J41=""),"",$Y41*$J41+MAX(0,N($K41)-1)*설정!$J$7))</f>
        <v/>
      </c>
      <c r="AA41" s="56" t="str">
        <f aca="false">IF(AND($D41&lt;&gt;"",$B41="결제완료"),N($N41),"")</f>
        <v/>
      </c>
      <c r="AB41" s="45" t="str">
        <f aca="false">IF($D41="","",IF($F41&lt;&gt;"",$F41,$D41)&amp;IF($B41="상담중"," (상담)",""))</f>
        <v/>
      </c>
      <c r="AC41" s="45" t="n">
        <f aca="false">IF(AND($D41&lt;&gt;"",OR($B41="결제완료",$B41="상담중")),1,0)</f>
        <v>0</v>
      </c>
      <c r="AD41" s="45" t="n">
        <f aca="false">IF(OR($Z41="",$U41=""),0,IFERROR(IF(COUNTIFS(INDEX(g_grid,0,2*MATCH($M41,강사DB!$A$4:$A$15,0)),"&lt;&gt;",g_s,"&lt;="&amp;$U41,g_e,"&gt;="&amp;$U41)&gt;0,1,0),0))</f>
        <v>0</v>
      </c>
      <c r="AE41" s="48"/>
      <c r="AF41" s="56" t="str">
        <f aca="false">IF(AND($D41&lt;&gt;"",$B41="결제완료",$T41="대여"),설정!$J$5,"")</f>
        <v/>
      </c>
      <c r="AG41" s="54" t="str">
        <f aca="false">IF($D41="","",IF(AND($E41="",$R41=""),$AB41,"☎ "&amp;IF($E41="","-",$E41)&amp;IF($R41&lt;&gt;"","  ※ "&amp;$R41,"")&amp;IF($B41="상담중"," (상담)","")))</f>
        <v/>
      </c>
      <c r="AH41" s="56" t="str">
        <f aca="false">IF(AND($D41&lt;&gt;"",$B41="결제완료",$O41="스마트스토어"),ROUND(N($N41)*설정!$J$6,0),"")</f>
        <v/>
      </c>
      <c r="AI41" s="54" t="str">
        <f aca="false">IF($D41="","",ROW())</f>
        <v/>
      </c>
      <c r="AJ41" s="54" t="n">
        <f aca="false">IF(OR($AC41&lt;&gt;1,$M41=""),0,IF(ISNUMBER(SEARCH("퇴사",IFERROR(INDEX(강사DB!$G$4:$G$53,MATCH($M41,강사DB!$A$4:$A$53,0)),""))),1,0))</f>
        <v>0</v>
      </c>
    </row>
    <row r="42" customFormat="false" ht="15" hidden="false" customHeight="false" outlineLevel="0" collapsed="false">
      <c r="A42" s="45" t="str">
        <f aca="false">IF($D42="","",COUNTA($D$5:$D42))</f>
        <v/>
      </c>
      <c r="B42" s="46"/>
      <c r="C42" s="47"/>
      <c r="D42" s="48"/>
      <c r="E42" s="48"/>
      <c r="F42" s="49"/>
      <c r="G42" s="47"/>
      <c r="H42" s="50"/>
      <c r="I42" s="50"/>
      <c r="J42" s="51" t="str">
        <f aca="false">IF(OR($V42="",$W42=""),"",ROUND(($W42-$V42)/60,2))</f>
        <v/>
      </c>
      <c r="K42" s="52" t="str">
        <f aca="false">IF($F42="","",LEN($F42)-LEN(SUBSTITUTE($F42,",",""))+1)</f>
        <v/>
      </c>
      <c r="L42" s="45" t="str">
        <f aca="false">IF($K42="","","1:"&amp;$K42)</f>
        <v/>
      </c>
      <c r="M42" s="46"/>
      <c r="N42" s="53"/>
      <c r="O42" s="46"/>
      <c r="P42" s="47"/>
      <c r="Q42" s="48"/>
      <c r="R42" s="49"/>
      <c r="S42" s="54" t="str">
        <f aca="false">IF(OR($AC42=0,$U42="",$M42="",$V42="",$W42=""),"",IF(COUNTIFS(m_teacher,$M42,m_date,$U42,m_active,1,m_start,"&lt;"&amp;$W42,m_end,"&gt;"&amp;$V42)&gt;1,"충돌",""))</f>
        <v/>
      </c>
      <c r="T42" s="48"/>
      <c r="U42" s="55" t="str">
        <f aca="false">IF($G42="","",IFERROR(IF(ISNUMBER($G42),IF($G42&gt;19000000,DATE(INT($G42/10000),MOD(INT($G42/100),100),MOD($G42,100)),INT($G42)),IF(LEN(SUBSTITUTE(SUBSTITUTE(SUBSTITUTE(TRIM($G42),"-",""),".",""),"/",""))=8,DATE(VALUE(LEFT(SUBSTITUTE(SUBSTITUTE(SUBSTITUTE(TRIM($G42),"-",""),".",""),"/",""),4)),VALUE(MID(SUBSTITUTE(SUBSTITUTE(SUBSTITUTE(TRIM($G42),"-",""),".",""),"/",""),5,2)),VALUE(RIGHT(SUBSTITUTE(SUBSTITUTE(SUBSTITUTE(TRIM($G42),"-",""),".",""),"/",""),2))),DATEVALUE($G42))),""))</f>
        <v/>
      </c>
      <c r="V42" s="52" t="str">
        <f aca="false">IF($H42="","",IFERROR(IF(IF(ISNUMBER($H42),$H42,IFERROR(TIMEVALUE($H42),VALUE($H42)))&gt;=100,INT(IF(ISNUMBER($H42),$H42,IFERROR(TIMEVALUE($H42),VALUE($H42)))/100)*60+MOD(IF(ISNUMBER($H42),$H42,IFERROR(TIMEVALUE($H42),VALUE($H42))),100),IF(IF(ISNUMBER($H42),$H42,IFERROR(TIMEVALUE($H42),VALUE($H42)))&gt;=1,ROUND(IF(ISNUMBER($H42),$H42,IFERROR(TIMEVALUE($H42),VALUE($H42)))*60,0),ROUND(MOD(IF(ISNUMBER($H42),$H42,IFERROR(TIMEVALUE($H42),VALUE($H42))),1)*1440,0))),""))</f>
        <v/>
      </c>
      <c r="W42" s="52" t="str">
        <f aca="false">IF($I42="","",IFERROR(IF(IF(ISNUMBER($I42),$I42,IFERROR(TIMEVALUE($I42),VALUE($I42)))&gt;=100,INT(IF(ISNUMBER($I42),$I42,IFERROR(TIMEVALUE($I42),VALUE($I42)))/100)*60+MOD(IF(ISNUMBER($I42),$I42,IFERROR(TIMEVALUE($I42),VALUE($I42))),100),IF(IF(ISNUMBER($I42),$I42,IFERROR(TIMEVALUE($I42),VALUE($I42)))&gt;=1,ROUND(IF(ISNUMBER($I42),$I42,IFERROR(TIMEVALUE($I42),VALUE($I42)))*60,0),ROUND(MOD(IF(ISNUMBER($I42),$I42,IFERROR(TIMEVALUE($I42),VALUE($I42))),1)*1440,0))),""))</f>
        <v/>
      </c>
      <c r="X42" s="55" t="str">
        <f aca="false">IF($P42="","",IFERROR(IF(ISNUMBER($P42),IF($P42&gt;19000000,DATE(INT($P42/10000),MOD(INT($P42/100),100),MOD($P42,100)),INT($P42)),IF(LEN(SUBSTITUTE(SUBSTITUTE(SUBSTITUTE(TRIM($P42),"-",""),".",""),"/",""))=8,DATE(VALUE(LEFT(SUBSTITUTE(SUBSTITUTE(SUBSTITUTE(TRIM($P42),"-",""),".",""),"/",""),4)),VALUE(MID(SUBSTITUTE(SUBSTITUTE(SUBSTITUTE(TRIM($P42),"-",""),".",""),"/",""),5,2)),VALUE(RIGHT(SUBSTITUTE(SUBSTITUTE(SUBSTITUTE(TRIM($P42),"-",""),".",""),"/",""),2))),DATEVALUE($P42))),""))</f>
        <v/>
      </c>
      <c r="Y42" s="56" t="str">
        <f aca="false">IF($M42="","",IFERROR(INDEX(강사DB!$D$4:$D$53,MATCH($M42,강사DB!$A$4:$A$53,0)),""))</f>
        <v/>
      </c>
      <c r="Z42" s="56" t="str">
        <f aca="false">IF($B42&lt;&gt;"결제완료","",IF(OR($Y42="",$J42=""),"",$Y42*$J42+MAX(0,N($K42)-1)*설정!$J$7))</f>
        <v/>
      </c>
      <c r="AA42" s="56" t="str">
        <f aca="false">IF(AND($D42&lt;&gt;"",$B42="결제완료"),N($N42),"")</f>
        <v/>
      </c>
      <c r="AB42" s="45" t="str">
        <f aca="false">IF($D42="","",IF($F42&lt;&gt;"",$F42,$D42)&amp;IF($B42="상담중"," (상담)",""))</f>
        <v/>
      </c>
      <c r="AC42" s="45" t="n">
        <f aca="false">IF(AND($D42&lt;&gt;"",OR($B42="결제완료",$B42="상담중")),1,0)</f>
        <v>0</v>
      </c>
      <c r="AD42" s="45" t="n">
        <f aca="false">IF(OR($Z42="",$U42=""),0,IFERROR(IF(COUNTIFS(INDEX(g_grid,0,2*MATCH($M42,강사DB!$A$4:$A$15,0)),"&lt;&gt;",g_s,"&lt;="&amp;$U42,g_e,"&gt;="&amp;$U42)&gt;0,1,0),0))</f>
        <v>0</v>
      </c>
      <c r="AE42" s="48"/>
      <c r="AF42" s="56" t="str">
        <f aca="false">IF(AND($D42&lt;&gt;"",$B42="결제완료",$T42="대여"),설정!$J$5,"")</f>
        <v/>
      </c>
      <c r="AG42" s="54" t="str">
        <f aca="false">IF($D42="","",IF(AND($E42="",$R42=""),$AB42,"☎ "&amp;IF($E42="","-",$E42)&amp;IF($R42&lt;&gt;"","  ※ "&amp;$R42,"")&amp;IF($B42="상담중"," (상담)","")))</f>
        <v/>
      </c>
      <c r="AH42" s="56" t="str">
        <f aca="false">IF(AND($D42&lt;&gt;"",$B42="결제완료",$O42="스마트스토어"),ROUND(N($N42)*설정!$J$6,0),"")</f>
        <v/>
      </c>
      <c r="AI42" s="54" t="str">
        <f aca="false">IF($D42="","",ROW())</f>
        <v/>
      </c>
      <c r="AJ42" s="54" t="n">
        <f aca="false">IF(OR($AC42&lt;&gt;1,$M42=""),0,IF(ISNUMBER(SEARCH("퇴사",IFERROR(INDEX(강사DB!$G$4:$G$53,MATCH($M42,강사DB!$A$4:$A$53,0)),""))),1,0))</f>
        <v>0</v>
      </c>
    </row>
    <row r="43" customFormat="false" ht="15" hidden="false" customHeight="false" outlineLevel="0" collapsed="false">
      <c r="A43" s="45" t="str">
        <f aca="false">IF($D43="","",COUNTA($D$5:$D43))</f>
        <v/>
      </c>
      <c r="B43" s="46"/>
      <c r="C43" s="47"/>
      <c r="D43" s="48"/>
      <c r="E43" s="48"/>
      <c r="F43" s="49"/>
      <c r="G43" s="47"/>
      <c r="H43" s="50"/>
      <c r="I43" s="50"/>
      <c r="J43" s="51" t="str">
        <f aca="false">IF(OR($V43="",$W43=""),"",ROUND(($W43-$V43)/60,2))</f>
        <v/>
      </c>
      <c r="K43" s="52" t="str">
        <f aca="false">IF($F43="","",LEN($F43)-LEN(SUBSTITUTE($F43,",",""))+1)</f>
        <v/>
      </c>
      <c r="L43" s="45" t="str">
        <f aca="false">IF($K43="","","1:"&amp;$K43)</f>
        <v/>
      </c>
      <c r="M43" s="46"/>
      <c r="N43" s="53"/>
      <c r="O43" s="46"/>
      <c r="P43" s="47"/>
      <c r="Q43" s="48"/>
      <c r="R43" s="49"/>
      <c r="S43" s="54" t="str">
        <f aca="false">IF(OR($AC43=0,$U43="",$M43="",$V43="",$W43=""),"",IF(COUNTIFS(m_teacher,$M43,m_date,$U43,m_active,1,m_start,"&lt;"&amp;$W43,m_end,"&gt;"&amp;$V43)&gt;1,"충돌",""))</f>
        <v/>
      </c>
      <c r="T43" s="48"/>
      <c r="U43" s="55" t="str">
        <f aca="false">IF($G43="","",IFERROR(IF(ISNUMBER($G43),IF($G43&gt;19000000,DATE(INT($G43/10000),MOD(INT($G43/100),100),MOD($G43,100)),INT($G43)),IF(LEN(SUBSTITUTE(SUBSTITUTE(SUBSTITUTE(TRIM($G43),"-",""),".",""),"/",""))=8,DATE(VALUE(LEFT(SUBSTITUTE(SUBSTITUTE(SUBSTITUTE(TRIM($G43),"-",""),".",""),"/",""),4)),VALUE(MID(SUBSTITUTE(SUBSTITUTE(SUBSTITUTE(TRIM($G43),"-",""),".",""),"/",""),5,2)),VALUE(RIGHT(SUBSTITUTE(SUBSTITUTE(SUBSTITUTE(TRIM($G43),"-",""),".",""),"/",""),2))),DATEVALUE($G43))),""))</f>
        <v/>
      </c>
      <c r="V43" s="52" t="str">
        <f aca="false">IF($H43="","",IFERROR(IF(IF(ISNUMBER($H43),$H43,IFERROR(TIMEVALUE($H43),VALUE($H43)))&gt;=100,INT(IF(ISNUMBER($H43),$H43,IFERROR(TIMEVALUE($H43),VALUE($H43)))/100)*60+MOD(IF(ISNUMBER($H43),$H43,IFERROR(TIMEVALUE($H43),VALUE($H43))),100),IF(IF(ISNUMBER($H43),$H43,IFERROR(TIMEVALUE($H43),VALUE($H43)))&gt;=1,ROUND(IF(ISNUMBER($H43),$H43,IFERROR(TIMEVALUE($H43),VALUE($H43)))*60,0),ROUND(MOD(IF(ISNUMBER($H43),$H43,IFERROR(TIMEVALUE($H43),VALUE($H43))),1)*1440,0))),""))</f>
        <v/>
      </c>
      <c r="W43" s="52" t="str">
        <f aca="false">IF($I43="","",IFERROR(IF(IF(ISNUMBER($I43),$I43,IFERROR(TIMEVALUE($I43),VALUE($I43)))&gt;=100,INT(IF(ISNUMBER($I43),$I43,IFERROR(TIMEVALUE($I43),VALUE($I43)))/100)*60+MOD(IF(ISNUMBER($I43),$I43,IFERROR(TIMEVALUE($I43),VALUE($I43))),100),IF(IF(ISNUMBER($I43),$I43,IFERROR(TIMEVALUE($I43),VALUE($I43)))&gt;=1,ROUND(IF(ISNUMBER($I43),$I43,IFERROR(TIMEVALUE($I43),VALUE($I43)))*60,0),ROUND(MOD(IF(ISNUMBER($I43),$I43,IFERROR(TIMEVALUE($I43),VALUE($I43))),1)*1440,0))),""))</f>
        <v/>
      </c>
      <c r="X43" s="55" t="str">
        <f aca="false">IF($P43="","",IFERROR(IF(ISNUMBER($P43),IF($P43&gt;19000000,DATE(INT($P43/10000),MOD(INT($P43/100),100),MOD($P43,100)),INT($P43)),IF(LEN(SUBSTITUTE(SUBSTITUTE(SUBSTITUTE(TRIM($P43),"-",""),".",""),"/",""))=8,DATE(VALUE(LEFT(SUBSTITUTE(SUBSTITUTE(SUBSTITUTE(TRIM($P43),"-",""),".",""),"/",""),4)),VALUE(MID(SUBSTITUTE(SUBSTITUTE(SUBSTITUTE(TRIM($P43),"-",""),".",""),"/",""),5,2)),VALUE(RIGHT(SUBSTITUTE(SUBSTITUTE(SUBSTITUTE(TRIM($P43),"-",""),".",""),"/",""),2))),DATEVALUE($P43))),""))</f>
        <v/>
      </c>
      <c r="Y43" s="56" t="str">
        <f aca="false">IF($M43="","",IFERROR(INDEX(강사DB!$D$4:$D$53,MATCH($M43,강사DB!$A$4:$A$53,0)),""))</f>
        <v/>
      </c>
      <c r="Z43" s="56" t="str">
        <f aca="false">IF($B43&lt;&gt;"결제완료","",IF(OR($Y43="",$J43=""),"",$Y43*$J43+MAX(0,N($K43)-1)*설정!$J$7))</f>
        <v/>
      </c>
      <c r="AA43" s="56" t="str">
        <f aca="false">IF(AND($D43&lt;&gt;"",$B43="결제완료"),N($N43),"")</f>
        <v/>
      </c>
      <c r="AB43" s="45" t="str">
        <f aca="false">IF($D43="","",IF($F43&lt;&gt;"",$F43,$D43)&amp;IF($B43="상담중"," (상담)",""))</f>
        <v/>
      </c>
      <c r="AC43" s="45" t="n">
        <f aca="false">IF(AND($D43&lt;&gt;"",OR($B43="결제완료",$B43="상담중")),1,0)</f>
        <v>0</v>
      </c>
      <c r="AD43" s="45" t="n">
        <f aca="false">IF(OR($Z43="",$U43=""),0,IFERROR(IF(COUNTIFS(INDEX(g_grid,0,2*MATCH($M43,강사DB!$A$4:$A$15,0)),"&lt;&gt;",g_s,"&lt;="&amp;$U43,g_e,"&gt;="&amp;$U43)&gt;0,1,0),0))</f>
        <v>0</v>
      </c>
      <c r="AE43" s="48"/>
      <c r="AF43" s="56" t="str">
        <f aca="false">IF(AND($D43&lt;&gt;"",$B43="결제완료",$T43="대여"),설정!$J$5,"")</f>
        <v/>
      </c>
      <c r="AG43" s="54" t="str">
        <f aca="false">IF($D43="","",IF(AND($E43="",$R43=""),$AB43,"☎ "&amp;IF($E43="","-",$E43)&amp;IF($R43&lt;&gt;"","  ※ "&amp;$R43,"")&amp;IF($B43="상담중"," (상담)","")))</f>
        <v/>
      </c>
      <c r="AH43" s="56" t="str">
        <f aca="false">IF(AND($D43&lt;&gt;"",$B43="결제완료",$O43="스마트스토어"),ROUND(N($N43)*설정!$J$6,0),"")</f>
        <v/>
      </c>
      <c r="AI43" s="54" t="str">
        <f aca="false">IF($D43="","",ROW())</f>
        <v/>
      </c>
      <c r="AJ43" s="54" t="n">
        <f aca="false">IF(OR($AC43&lt;&gt;1,$M43=""),0,IF(ISNUMBER(SEARCH("퇴사",IFERROR(INDEX(강사DB!$G$4:$G$53,MATCH($M43,강사DB!$A$4:$A$53,0)),""))),1,0))</f>
        <v>0</v>
      </c>
    </row>
    <row r="44" customFormat="false" ht="15" hidden="false" customHeight="false" outlineLevel="0" collapsed="false">
      <c r="A44" s="45" t="str">
        <f aca="false">IF($D44="","",COUNTA($D$5:$D44))</f>
        <v/>
      </c>
      <c r="B44" s="46"/>
      <c r="C44" s="47"/>
      <c r="D44" s="48"/>
      <c r="E44" s="48"/>
      <c r="F44" s="49"/>
      <c r="G44" s="47"/>
      <c r="H44" s="50"/>
      <c r="I44" s="50"/>
      <c r="J44" s="51" t="str">
        <f aca="false">IF(OR($V44="",$W44=""),"",ROUND(($W44-$V44)/60,2))</f>
        <v/>
      </c>
      <c r="K44" s="52" t="str">
        <f aca="false">IF($F44="","",LEN($F44)-LEN(SUBSTITUTE($F44,",",""))+1)</f>
        <v/>
      </c>
      <c r="L44" s="45" t="str">
        <f aca="false">IF($K44="","","1:"&amp;$K44)</f>
        <v/>
      </c>
      <c r="M44" s="46"/>
      <c r="N44" s="53"/>
      <c r="O44" s="46"/>
      <c r="P44" s="47"/>
      <c r="Q44" s="48"/>
      <c r="R44" s="49"/>
      <c r="S44" s="54" t="str">
        <f aca="false">IF(OR($AC44=0,$U44="",$M44="",$V44="",$W44=""),"",IF(COUNTIFS(m_teacher,$M44,m_date,$U44,m_active,1,m_start,"&lt;"&amp;$W44,m_end,"&gt;"&amp;$V44)&gt;1,"충돌",""))</f>
        <v/>
      </c>
      <c r="T44" s="48"/>
      <c r="U44" s="55" t="str">
        <f aca="false">IF($G44="","",IFERROR(IF(ISNUMBER($G44),IF($G44&gt;19000000,DATE(INT($G44/10000),MOD(INT($G44/100),100),MOD($G44,100)),INT($G44)),IF(LEN(SUBSTITUTE(SUBSTITUTE(SUBSTITUTE(TRIM($G44),"-",""),".",""),"/",""))=8,DATE(VALUE(LEFT(SUBSTITUTE(SUBSTITUTE(SUBSTITUTE(TRIM($G44),"-",""),".",""),"/",""),4)),VALUE(MID(SUBSTITUTE(SUBSTITUTE(SUBSTITUTE(TRIM($G44),"-",""),".",""),"/",""),5,2)),VALUE(RIGHT(SUBSTITUTE(SUBSTITUTE(SUBSTITUTE(TRIM($G44),"-",""),".",""),"/",""),2))),DATEVALUE($G44))),""))</f>
        <v/>
      </c>
      <c r="V44" s="52" t="str">
        <f aca="false">IF($H44="","",IFERROR(IF(IF(ISNUMBER($H44),$H44,IFERROR(TIMEVALUE($H44),VALUE($H44)))&gt;=100,INT(IF(ISNUMBER($H44),$H44,IFERROR(TIMEVALUE($H44),VALUE($H44)))/100)*60+MOD(IF(ISNUMBER($H44),$H44,IFERROR(TIMEVALUE($H44),VALUE($H44))),100),IF(IF(ISNUMBER($H44),$H44,IFERROR(TIMEVALUE($H44),VALUE($H44)))&gt;=1,ROUND(IF(ISNUMBER($H44),$H44,IFERROR(TIMEVALUE($H44),VALUE($H44)))*60,0),ROUND(MOD(IF(ISNUMBER($H44),$H44,IFERROR(TIMEVALUE($H44),VALUE($H44))),1)*1440,0))),""))</f>
        <v/>
      </c>
      <c r="W44" s="52" t="str">
        <f aca="false">IF($I44="","",IFERROR(IF(IF(ISNUMBER($I44),$I44,IFERROR(TIMEVALUE($I44),VALUE($I44)))&gt;=100,INT(IF(ISNUMBER($I44),$I44,IFERROR(TIMEVALUE($I44),VALUE($I44)))/100)*60+MOD(IF(ISNUMBER($I44),$I44,IFERROR(TIMEVALUE($I44),VALUE($I44))),100),IF(IF(ISNUMBER($I44),$I44,IFERROR(TIMEVALUE($I44),VALUE($I44)))&gt;=1,ROUND(IF(ISNUMBER($I44),$I44,IFERROR(TIMEVALUE($I44),VALUE($I44)))*60,0),ROUND(MOD(IF(ISNUMBER($I44),$I44,IFERROR(TIMEVALUE($I44),VALUE($I44))),1)*1440,0))),""))</f>
        <v/>
      </c>
      <c r="X44" s="55" t="str">
        <f aca="false">IF($P44="","",IFERROR(IF(ISNUMBER($P44),IF($P44&gt;19000000,DATE(INT($P44/10000),MOD(INT($P44/100),100),MOD($P44,100)),INT($P44)),IF(LEN(SUBSTITUTE(SUBSTITUTE(SUBSTITUTE(TRIM($P44),"-",""),".",""),"/",""))=8,DATE(VALUE(LEFT(SUBSTITUTE(SUBSTITUTE(SUBSTITUTE(TRIM($P44),"-",""),".",""),"/",""),4)),VALUE(MID(SUBSTITUTE(SUBSTITUTE(SUBSTITUTE(TRIM($P44),"-",""),".",""),"/",""),5,2)),VALUE(RIGHT(SUBSTITUTE(SUBSTITUTE(SUBSTITUTE(TRIM($P44),"-",""),".",""),"/",""),2))),DATEVALUE($P44))),""))</f>
        <v/>
      </c>
      <c r="Y44" s="56" t="str">
        <f aca="false">IF($M44="","",IFERROR(INDEX(강사DB!$D$4:$D$53,MATCH($M44,강사DB!$A$4:$A$53,0)),""))</f>
        <v/>
      </c>
      <c r="Z44" s="56" t="str">
        <f aca="false">IF($B44&lt;&gt;"결제완료","",IF(OR($Y44="",$J44=""),"",$Y44*$J44+MAX(0,N($K44)-1)*설정!$J$7))</f>
        <v/>
      </c>
      <c r="AA44" s="56" t="str">
        <f aca="false">IF(AND($D44&lt;&gt;"",$B44="결제완료"),N($N44),"")</f>
        <v/>
      </c>
      <c r="AB44" s="45" t="str">
        <f aca="false">IF($D44="","",IF($F44&lt;&gt;"",$F44,$D44)&amp;IF($B44="상담중"," (상담)",""))</f>
        <v/>
      </c>
      <c r="AC44" s="45" t="n">
        <f aca="false">IF(AND($D44&lt;&gt;"",OR($B44="결제완료",$B44="상담중")),1,0)</f>
        <v>0</v>
      </c>
      <c r="AD44" s="45" t="n">
        <f aca="false">IF(OR($Z44="",$U44=""),0,IFERROR(IF(COUNTIFS(INDEX(g_grid,0,2*MATCH($M44,강사DB!$A$4:$A$15,0)),"&lt;&gt;",g_s,"&lt;="&amp;$U44,g_e,"&gt;="&amp;$U44)&gt;0,1,0),0))</f>
        <v>0</v>
      </c>
      <c r="AE44" s="48"/>
      <c r="AF44" s="56" t="str">
        <f aca="false">IF(AND($D44&lt;&gt;"",$B44="결제완료",$T44="대여"),설정!$J$5,"")</f>
        <v/>
      </c>
      <c r="AG44" s="54" t="str">
        <f aca="false">IF($D44="","",IF(AND($E44="",$R44=""),$AB44,"☎ "&amp;IF($E44="","-",$E44)&amp;IF($R44&lt;&gt;"","  ※ "&amp;$R44,"")&amp;IF($B44="상담중"," (상담)","")))</f>
        <v/>
      </c>
      <c r="AH44" s="56" t="str">
        <f aca="false">IF(AND($D44&lt;&gt;"",$B44="결제완료",$O44="스마트스토어"),ROUND(N($N44)*설정!$J$6,0),"")</f>
        <v/>
      </c>
      <c r="AI44" s="54" t="str">
        <f aca="false">IF($D44="","",ROW())</f>
        <v/>
      </c>
      <c r="AJ44" s="54" t="n">
        <f aca="false">IF(OR($AC44&lt;&gt;1,$M44=""),0,IF(ISNUMBER(SEARCH("퇴사",IFERROR(INDEX(강사DB!$G$4:$G$53,MATCH($M44,강사DB!$A$4:$A$53,0)),""))),1,0))</f>
        <v>0</v>
      </c>
    </row>
    <row r="45" customFormat="false" ht="15" hidden="false" customHeight="false" outlineLevel="0" collapsed="false">
      <c r="A45" s="45" t="str">
        <f aca="false">IF($D45="","",COUNTA($D$5:$D45))</f>
        <v/>
      </c>
      <c r="B45" s="46"/>
      <c r="C45" s="47"/>
      <c r="D45" s="48"/>
      <c r="E45" s="48"/>
      <c r="F45" s="49"/>
      <c r="G45" s="47"/>
      <c r="H45" s="50"/>
      <c r="I45" s="50"/>
      <c r="J45" s="51" t="str">
        <f aca="false">IF(OR($V45="",$W45=""),"",ROUND(($W45-$V45)/60,2))</f>
        <v/>
      </c>
      <c r="K45" s="52" t="str">
        <f aca="false">IF($F45="","",LEN($F45)-LEN(SUBSTITUTE($F45,",",""))+1)</f>
        <v/>
      </c>
      <c r="L45" s="45" t="str">
        <f aca="false">IF($K45="","","1:"&amp;$K45)</f>
        <v/>
      </c>
      <c r="M45" s="46"/>
      <c r="N45" s="53"/>
      <c r="O45" s="46"/>
      <c r="P45" s="47"/>
      <c r="Q45" s="48"/>
      <c r="R45" s="49"/>
      <c r="S45" s="54" t="str">
        <f aca="false">IF(OR($AC45=0,$U45="",$M45="",$V45="",$W45=""),"",IF(COUNTIFS(m_teacher,$M45,m_date,$U45,m_active,1,m_start,"&lt;"&amp;$W45,m_end,"&gt;"&amp;$V45)&gt;1,"충돌",""))</f>
        <v/>
      </c>
      <c r="T45" s="48"/>
      <c r="U45" s="55" t="str">
        <f aca="false">IF($G45="","",IFERROR(IF(ISNUMBER($G45),IF($G45&gt;19000000,DATE(INT($G45/10000),MOD(INT($G45/100),100),MOD($G45,100)),INT($G45)),IF(LEN(SUBSTITUTE(SUBSTITUTE(SUBSTITUTE(TRIM($G45),"-",""),".",""),"/",""))=8,DATE(VALUE(LEFT(SUBSTITUTE(SUBSTITUTE(SUBSTITUTE(TRIM($G45),"-",""),".",""),"/",""),4)),VALUE(MID(SUBSTITUTE(SUBSTITUTE(SUBSTITUTE(TRIM($G45),"-",""),".",""),"/",""),5,2)),VALUE(RIGHT(SUBSTITUTE(SUBSTITUTE(SUBSTITUTE(TRIM($G45),"-",""),".",""),"/",""),2))),DATEVALUE($G45))),""))</f>
        <v/>
      </c>
      <c r="V45" s="52" t="str">
        <f aca="false">IF($H45="","",IFERROR(IF(IF(ISNUMBER($H45),$H45,IFERROR(TIMEVALUE($H45),VALUE($H45)))&gt;=100,INT(IF(ISNUMBER($H45),$H45,IFERROR(TIMEVALUE($H45),VALUE($H45)))/100)*60+MOD(IF(ISNUMBER($H45),$H45,IFERROR(TIMEVALUE($H45),VALUE($H45))),100),IF(IF(ISNUMBER($H45),$H45,IFERROR(TIMEVALUE($H45),VALUE($H45)))&gt;=1,ROUND(IF(ISNUMBER($H45),$H45,IFERROR(TIMEVALUE($H45),VALUE($H45)))*60,0),ROUND(MOD(IF(ISNUMBER($H45),$H45,IFERROR(TIMEVALUE($H45),VALUE($H45))),1)*1440,0))),""))</f>
        <v/>
      </c>
      <c r="W45" s="52" t="str">
        <f aca="false">IF($I45="","",IFERROR(IF(IF(ISNUMBER($I45),$I45,IFERROR(TIMEVALUE($I45),VALUE($I45)))&gt;=100,INT(IF(ISNUMBER($I45),$I45,IFERROR(TIMEVALUE($I45),VALUE($I45)))/100)*60+MOD(IF(ISNUMBER($I45),$I45,IFERROR(TIMEVALUE($I45),VALUE($I45))),100),IF(IF(ISNUMBER($I45),$I45,IFERROR(TIMEVALUE($I45),VALUE($I45)))&gt;=1,ROUND(IF(ISNUMBER($I45),$I45,IFERROR(TIMEVALUE($I45),VALUE($I45)))*60,0),ROUND(MOD(IF(ISNUMBER($I45),$I45,IFERROR(TIMEVALUE($I45),VALUE($I45))),1)*1440,0))),""))</f>
        <v/>
      </c>
      <c r="X45" s="55" t="str">
        <f aca="false">IF($P45="","",IFERROR(IF(ISNUMBER($P45),IF($P45&gt;19000000,DATE(INT($P45/10000),MOD(INT($P45/100),100),MOD($P45,100)),INT($P45)),IF(LEN(SUBSTITUTE(SUBSTITUTE(SUBSTITUTE(TRIM($P45),"-",""),".",""),"/",""))=8,DATE(VALUE(LEFT(SUBSTITUTE(SUBSTITUTE(SUBSTITUTE(TRIM($P45),"-",""),".",""),"/",""),4)),VALUE(MID(SUBSTITUTE(SUBSTITUTE(SUBSTITUTE(TRIM($P45),"-",""),".",""),"/",""),5,2)),VALUE(RIGHT(SUBSTITUTE(SUBSTITUTE(SUBSTITUTE(TRIM($P45),"-",""),".",""),"/",""),2))),DATEVALUE($P45))),""))</f>
        <v/>
      </c>
      <c r="Y45" s="56" t="str">
        <f aca="false">IF($M45="","",IFERROR(INDEX(강사DB!$D$4:$D$53,MATCH($M45,강사DB!$A$4:$A$53,0)),""))</f>
        <v/>
      </c>
      <c r="Z45" s="56" t="str">
        <f aca="false">IF($B45&lt;&gt;"결제완료","",IF(OR($Y45="",$J45=""),"",$Y45*$J45+MAX(0,N($K45)-1)*설정!$J$7))</f>
        <v/>
      </c>
      <c r="AA45" s="56" t="str">
        <f aca="false">IF(AND($D45&lt;&gt;"",$B45="결제완료"),N($N45),"")</f>
        <v/>
      </c>
      <c r="AB45" s="45" t="str">
        <f aca="false">IF($D45="","",IF($F45&lt;&gt;"",$F45,$D45)&amp;IF($B45="상담중"," (상담)",""))</f>
        <v/>
      </c>
      <c r="AC45" s="45" t="n">
        <f aca="false">IF(AND($D45&lt;&gt;"",OR($B45="결제완료",$B45="상담중")),1,0)</f>
        <v>0</v>
      </c>
      <c r="AD45" s="45" t="n">
        <f aca="false">IF(OR($Z45="",$U45=""),0,IFERROR(IF(COUNTIFS(INDEX(g_grid,0,2*MATCH($M45,강사DB!$A$4:$A$15,0)),"&lt;&gt;",g_s,"&lt;="&amp;$U45,g_e,"&gt;="&amp;$U45)&gt;0,1,0),0))</f>
        <v>0</v>
      </c>
      <c r="AE45" s="48"/>
      <c r="AF45" s="56" t="str">
        <f aca="false">IF(AND($D45&lt;&gt;"",$B45="결제완료",$T45="대여"),설정!$J$5,"")</f>
        <v/>
      </c>
      <c r="AG45" s="54" t="str">
        <f aca="false">IF($D45="","",IF(AND($E45="",$R45=""),$AB45,"☎ "&amp;IF($E45="","-",$E45)&amp;IF($R45&lt;&gt;"","  ※ "&amp;$R45,"")&amp;IF($B45="상담중"," (상담)","")))</f>
        <v/>
      </c>
      <c r="AH45" s="56" t="str">
        <f aca="false">IF(AND($D45&lt;&gt;"",$B45="결제완료",$O45="스마트스토어"),ROUND(N($N45)*설정!$J$6,0),"")</f>
        <v/>
      </c>
      <c r="AI45" s="54" t="str">
        <f aca="false">IF($D45="","",ROW())</f>
        <v/>
      </c>
      <c r="AJ45" s="54" t="n">
        <f aca="false">IF(OR($AC45&lt;&gt;1,$M45=""),0,IF(ISNUMBER(SEARCH("퇴사",IFERROR(INDEX(강사DB!$G$4:$G$53,MATCH($M45,강사DB!$A$4:$A$53,0)),""))),1,0))</f>
        <v>0</v>
      </c>
    </row>
    <row r="46" customFormat="false" ht="15" hidden="false" customHeight="false" outlineLevel="0" collapsed="false">
      <c r="A46" s="45" t="str">
        <f aca="false">IF($D46="","",COUNTA($D$5:$D46))</f>
        <v/>
      </c>
      <c r="B46" s="46"/>
      <c r="C46" s="47"/>
      <c r="D46" s="48"/>
      <c r="E46" s="48"/>
      <c r="F46" s="49"/>
      <c r="G46" s="47"/>
      <c r="H46" s="50"/>
      <c r="I46" s="50"/>
      <c r="J46" s="51" t="str">
        <f aca="false">IF(OR($V46="",$W46=""),"",ROUND(($W46-$V46)/60,2))</f>
        <v/>
      </c>
      <c r="K46" s="52" t="str">
        <f aca="false">IF($F46="","",LEN($F46)-LEN(SUBSTITUTE($F46,",",""))+1)</f>
        <v/>
      </c>
      <c r="L46" s="45" t="str">
        <f aca="false">IF($K46="","","1:"&amp;$K46)</f>
        <v/>
      </c>
      <c r="M46" s="46"/>
      <c r="N46" s="53"/>
      <c r="O46" s="46"/>
      <c r="P46" s="47"/>
      <c r="Q46" s="48"/>
      <c r="R46" s="49"/>
      <c r="S46" s="54" t="str">
        <f aca="false">IF(OR($AC46=0,$U46="",$M46="",$V46="",$W46=""),"",IF(COUNTIFS(m_teacher,$M46,m_date,$U46,m_active,1,m_start,"&lt;"&amp;$W46,m_end,"&gt;"&amp;$V46)&gt;1,"충돌",""))</f>
        <v/>
      </c>
      <c r="T46" s="48"/>
      <c r="U46" s="55" t="str">
        <f aca="false">IF($G46="","",IFERROR(IF(ISNUMBER($G46),IF($G46&gt;19000000,DATE(INT($G46/10000),MOD(INT($G46/100),100),MOD($G46,100)),INT($G46)),IF(LEN(SUBSTITUTE(SUBSTITUTE(SUBSTITUTE(TRIM($G46),"-",""),".",""),"/",""))=8,DATE(VALUE(LEFT(SUBSTITUTE(SUBSTITUTE(SUBSTITUTE(TRIM($G46),"-",""),".",""),"/",""),4)),VALUE(MID(SUBSTITUTE(SUBSTITUTE(SUBSTITUTE(TRIM($G46),"-",""),".",""),"/",""),5,2)),VALUE(RIGHT(SUBSTITUTE(SUBSTITUTE(SUBSTITUTE(TRIM($G46),"-",""),".",""),"/",""),2))),DATEVALUE($G46))),""))</f>
        <v/>
      </c>
      <c r="V46" s="52" t="str">
        <f aca="false">IF($H46="","",IFERROR(IF(IF(ISNUMBER($H46),$H46,IFERROR(TIMEVALUE($H46),VALUE($H46)))&gt;=100,INT(IF(ISNUMBER($H46),$H46,IFERROR(TIMEVALUE($H46),VALUE($H46)))/100)*60+MOD(IF(ISNUMBER($H46),$H46,IFERROR(TIMEVALUE($H46),VALUE($H46))),100),IF(IF(ISNUMBER($H46),$H46,IFERROR(TIMEVALUE($H46),VALUE($H46)))&gt;=1,ROUND(IF(ISNUMBER($H46),$H46,IFERROR(TIMEVALUE($H46),VALUE($H46)))*60,0),ROUND(MOD(IF(ISNUMBER($H46),$H46,IFERROR(TIMEVALUE($H46),VALUE($H46))),1)*1440,0))),""))</f>
        <v/>
      </c>
      <c r="W46" s="52" t="str">
        <f aca="false">IF($I46="","",IFERROR(IF(IF(ISNUMBER($I46),$I46,IFERROR(TIMEVALUE($I46),VALUE($I46)))&gt;=100,INT(IF(ISNUMBER($I46),$I46,IFERROR(TIMEVALUE($I46),VALUE($I46)))/100)*60+MOD(IF(ISNUMBER($I46),$I46,IFERROR(TIMEVALUE($I46),VALUE($I46))),100),IF(IF(ISNUMBER($I46),$I46,IFERROR(TIMEVALUE($I46),VALUE($I46)))&gt;=1,ROUND(IF(ISNUMBER($I46),$I46,IFERROR(TIMEVALUE($I46),VALUE($I46)))*60,0),ROUND(MOD(IF(ISNUMBER($I46),$I46,IFERROR(TIMEVALUE($I46),VALUE($I46))),1)*1440,0))),""))</f>
        <v/>
      </c>
      <c r="X46" s="55" t="str">
        <f aca="false">IF($P46="","",IFERROR(IF(ISNUMBER($P46),IF($P46&gt;19000000,DATE(INT($P46/10000),MOD(INT($P46/100),100),MOD($P46,100)),INT($P46)),IF(LEN(SUBSTITUTE(SUBSTITUTE(SUBSTITUTE(TRIM($P46),"-",""),".",""),"/",""))=8,DATE(VALUE(LEFT(SUBSTITUTE(SUBSTITUTE(SUBSTITUTE(TRIM($P46),"-",""),".",""),"/",""),4)),VALUE(MID(SUBSTITUTE(SUBSTITUTE(SUBSTITUTE(TRIM($P46),"-",""),".",""),"/",""),5,2)),VALUE(RIGHT(SUBSTITUTE(SUBSTITUTE(SUBSTITUTE(TRIM($P46),"-",""),".",""),"/",""),2))),DATEVALUE($P46))),""))</f>
        <v/>
      </c>
      <c r="Y46" s="56" t="str">
        <f aca="false">IF($M46="","",IFERROR(INDEX(강사DB!$D$4:$D$53,MATCH($M46,강사DB!$A$4:$A$53,0)),""))</f>
        <v/>
      </c>
      <c r="Z46" s="56" t="str">
        <f aca="false">IF($B46&lt;&gt;"결제완료","",IF(OR($Y46="",$J46=""),"",$Y46*$J46+MAX(0,N($K46)-1)*설정!$J$7))</f>
        <v/>
      </c>
      <c r="AA46" s="56" t="str">
        <f aca="false">IF(AND($D46&lt;&gt;"",$B46="결제완료"),N($N46),"")</f>
        <v/>
      </c>
      <c r="AB46" s="45" t="str">
        <f aca="false">IF($D46="","",IF($F46&lt;&gt;"",$F46,$D46)&amp;IF($B46="상담중"," (상담)",""))</f>
        <v/>
      </c>
      <c r="AC46" s="45" t="n">
        <f aca="false">IF(AND($D46&lt;&gt;"",OR($B46="결제완료",$B46="상담중")),1,0)</f>
        <v>0</v>
      </c>
      <c r="AD46" s="45" t="n">
        <f aca="false">IF(OR($Z46="",$U46=""),0,IFERROR(IF(COUNTIFS(INDEX(g_grid,0,2*MATCH($M46,강사DB!$A$4:$A$15,0)),"&lt;&gt;",g_s,"&lt;="&amp;$U46,g_e,"&gt;="&amp;$U46)&gt;0,1,0),0))</f>
        <v>0</v>
      </c>
      <c r="AE46" s="48"/>
      <c r="AF46" s="56" t="str">
        <f aca="false">IF(AND($D46&lt;&gt;"",$B46="결제완료",$T46="대여"),설정!$J$5,"")</f>
        <v/>
      </c>
      <c r="AG46" s="54" t="str">
        <f aca="false">IF($D46="","",IF(AND($E46="",$R46=""),$AB46,"☎ "&amp;IF($E46="","-",$E46)&amp;IF($R46&lt;&gt;"","  ※ "&amp;$R46,"")&amp;IF($B46="상담중"," (상담)","")))</f>
        <v/>
      </c>
      <c r="AH46" s="56" t="str">
        <f aca="false">IF(AND($D46&lt;&gt;"",$B46="결제완료",$O46="스마트스토어"),ROUND(N($N46)*설정!$J$6,0),"")</f>
        <v/>
      </c>
      <c r="AI46" s="54" t="str">
        <f aca="false">IF($D46="","",ROW())</f>
        <v/>
      </c>
      <c r="AJ46" s="54" t="n">
        <f aca="false">IF(OR($AC46&lt;&gt;1,$M46=""),0,IF(ISNUMBER(SEARCH("퇴사",IFERROR(INDEX(강사DB!$G$4:$G$53,MATCH($M46,강사DB!$A$4:$A$53,0)),""))),1,0))</f>
        <v>0</v>
      </c>
    </row>
    <row r="47" customFormat="false" ht="15" hidden="false" customHeight="false" outlineLevel="0" collapsed="false">
      <c r="A47" s="45" t="str">
        <f aca="false">IF($D47="","",COUNTA($D$5:$D47))</f>
        <v/>
      </c>
      <c r="B47" s="46"/>
      <c r="C47" s="47"/>
      <c r="D47" s="48"/>
      <c r="E47" s="48"/>
      <c r="F47" s="49"/>
      <c r="G47" s="47"/>
      <c r="H47" s="50"/>
      <c r="I47" s="50"/>
      <c r="J47" s="51" t="str">
        <f aca="false">IF(OR($V47="",$W47=""),"",ROUND(($W47-$V47)/60,2))</f>
        <v/>
      </c>
      <c r="K47" s="52" t="str">
        <f aca="false">IF($F47="","",LEN($F47)-LEN(SUBSTITUTE($F47,",",""))+1)</f>
        <v/>
      </c>
      <c r="L47" s="45" t="str">
        <f aca="false">IF($K47="","","1:"&amp;$K47)</f>
        <v/>
      </c>
      <c r="M47" s="46"/>
      <c r="N47" s="53"/>
      <c r="O47" s="46"/>
      <c r="P47" s="47"/>
      <c r="Q47" s="48"/>
      <c r="R47" s="49"/>
      <c r="S47" s="54" t="str">
        <f aca="false">IF(OR($AC47=0,$U47="",$M47="",$V47="",$W47=""),"",IF(COUNTIFS(m_teacher,$M47,m_date,$U47,m_active,1,m_start,"&lt;"&amp;$W47,m_end,"&gt;"&amp;$V47)&gt;1,"충돌",""))</f>
        <v/>
      </c>
      <c r="T47" s="48"/>
      <c r="U47" s="55" t="str">
        <f aca="false">IF($G47="","",IFERROR(IF(ISNUMBER($G47),IF($G47&gt;19000000,DATE(INT($G47/10000),MOD(INT($G47/100),100),MOD($G47,100)),INT($G47)),IF(LEN(SUBSTITUTE(SUBSTITUTE(SUBSTITUTE(TRIM($G47),"-",""),".",""),"/",""))=8,DATE(VALUE(LEFT(SUBSTITUTE(SUBSTITUTE(SUBSTITUTE(TRIM($G47),"-",""),".",""),"/",""),4)),VALUE(MID(SUBSTITUTE(SUBSTITUTE(SUBSTITUTE(TRIM($G47),"-",""),".",""),"/",""),5,2)),VALUE(RIGHT(SUBSTITUTE(SUBSTITUTE(SUBSTITUTE(TRIM($G47),"-",""),".",""),"/",""),2))),DATEVALUE($G47))),""))</f>
        <v/>
      </c>
      <c r="V47" s="52" t="str">
        <f aca="false">IF($H47="","",IFERROR(IF(IF(ISNUMBER($H47),$H47,IFERROR(TIMEVALUE($H47),VALUE($H47)))&gt;=100,INT(IF(ISNUMBER($H47),$H47,IFERROR(TIMEVALUE($H47),VALUE($H47)))/100)*60+MOD(IF(ISNUMBER($H47),$H47,IFERROR(TIMEVALUE($H47),VALUE($H47))),100),IF(IF(ISNUMBER($H47),$H47,IFERROR(TIMEVALUE($H47),VALUE($H47)))&gt;=1,ROUND(IF(ISNUMBER($H47),$H47,IFERROR(TIMEVALUE($H47),VALUE($H47)))*60,0),ROUND(MOD(IF(ISNUMBER($H47),$H47,IFERROR(TIMEVALUE($H47),VALUE($H47))),1)*1440,0))),""))</f>
        <v/>
      </c>
      <c r="W47" s="52" t="str">
        <f aca="false">IF($I47="","",IFERROR(IF(IF(ISNUMBER($I47),$I47,IFERROR(TIMEVALUE($I47),VALUE($I47)))&gt;=100,INT(IF(ISNUMBER($I47),$I47,IFERROR(TIMEVALUE($I47),VALUE($I47)))/100)*60+MOD(IF(ISNUMBER($I47),$I47,IFERROR(TIMEVALUE($I47),VALUE($I47))),100),IF(IF(ISNUMBER($I47),$I47,IFERROR(TIMEVALUE($I47),VALUE($I47)))&gt;=1,ROUND(IF(ISNUMBER($I47),$I47,IFERROR(TIMEVALUE($I47),VALUE($I47)))*60,0),ROUND(MOD(IF(ISNUMBER($I47),$I47,IFERROR(TIMEVALUE($I47),VALUE($I47))),1)*1440,0))),""))</f>
        <v/>
      </c>
      <c r="X47" s="55" t="str">
        <f aca="false">IF($P47="","",IFERROR(IF(ISNUMBER($P47),IF($P47&gt;19000000,DATE(INT($P47/10000),MOD(INT($P47/100),100),MOD($P47,100)),INT($P47)),IF(LEN(SUBSTITUTE(SUBSTITUTE(SUBSTITUTE(TRIM($P47),"-",""),".",""),"/",""))=8,DATE(VALUE(LEFT(SUBSTITUTE(SUBSTITUTE(SUBSTITUTE(TRIM($P47),"-",""),".",""),"/",""),4)),VALUE(MID(SUBSTITUTE(SUBSTITUTE(SUBSTITUTE(TRIM($P47),"-",""),".",""),"/",""),5,2)),VALUE(RIGHT(SUBSTITUTE(SUBSTITUTE(SUBSTITUTE(TRIM($P47),"-",""),".",""),"/",""),2))),DATEVALUE($P47))),""))</f>
        <v/>
      </c>
      <c r="Y47" s="56" t="str">
        <f aca="false">IF($M47="","",IFERROR(INDEX(강사DB!$D$4:$D$53,MATCH($M47,강사DB!$A$4:$A$53,0)),""))</f>
        <v/>
      </c>
      <c r="Z47" s="56" t="str">
        <f aca="false">IF($B47&lt;&gt;"결제완료","",IF(OR($Y47="",$J47=""),"",$Y47*$J47+MAX(0,N($K47)-1)*설정!$J$7))</f>
        <v/>
      </c>
      <c r="AA47" s="56" t="str">
        <f aca="false">IF(AND($D47&lt;&gt;"",$B47="결제완료"),N($N47),"")</f>
        <v/>
      </c>
      <c r="AB47" s="45" t="str">
        <f aca="false">IF($D47="","",IF($F47&lt;&gt;"",$F47,$D47)&amp;IF($B47="상담중"," (상담)",""))</f>
        <v/>
      </c>
      <c r="AC47" s="45" t="n">
        <f aca="false">IF(AND($D47&lt;&gt;"",OR($B47="결제완료",$B47="상담중")),1,0)</f>
        <v>0</v>
      </c>
      <c r="AD47" s="45" t="n">
        <f aca="false">IF(OR($Z47="",$U47=""),0,IFERROR(IF(COUNTIFS(INDEX(g_grid,0,2*MATCH($M47,강사DB!$A$4:$A$15,0)),"&lt;&gt;",g_s,"&lt;="&amp;$U47,g_e,"&gt;="&amp;$U47)&gt;0,1,0),0))</f>
        <v>0</v>
      </c>
      <c r="AE47" s="48"/>
      <c r="AF47" s="56" t="str">
        <f aca="false">IF(AND($D47&lt;&gt;"",$B47="결제완료",$T47="대여"),설정!$J$5,"")</f>
        <v/>
      </c>
      <c r="AG47" s="54" t="str">
        <f aca="false">IF($D47="","",IF(AND($E47="",$R47=""),$AB47,"☎ "&amp;IF($E47="","-",$E47)&amp;IF($R47&lt;&gt;"","  ※ "&amp;$R47,"")&amp;IF($B47="상담중"," (상담)","")))</f>
        <v/>
      </c>
      <c r="AH47" s="56" t="str">
        <f aca="false">IF(AND($D47&lt;&gt;"",$B47="결제완료",$O47="스마트스토어"),ROUND(N($N47)*설정!$J$6,0),"")</f>
        <v/>
      </c>
      <c r="AI47" s="54" t="str">
        <f aca="false">IF($D47="","",ROW())</f>
        <v/>
      </c>
      <c r="AJ47" s="54" t="n">
        <f aca="false">IF(OR($AC47&lt;&gt;1,$M47=""),0,IF(ISNUMBER(SEARCH("퇴사",IFERROR(INDEX(강사DB!$G$4:$G$53,MATCH($M47,강사DB!$A$4:$A$53,0)),""))),1,0))</f>
        <v>0</v>
      </c>
    </row>
    <row r="48" customFormat="false" ht="15" hidden="false" customHeight="false" outlineLevel="0" collapsed="false">
      <c r="A48" s="45" t="str">
        <f aca="false">IF($D48="","",COUNTA($D$5:$D48))</f>
        <v/>
      </c>
      <c r="B48" s="46"/>
      <c r="C48" s="47"/>
      <c r="D48" s="48"/>
      <c r="E48" s="48"/>
      <c r="F48" s="49"/>
      <c r="G48" s="47"/>
      <c r="H48" s="50"/>
      <c r="I48" s="50"/>
      <c r="J48" s="51" t="str">
        <f aca="false">IF(OR($V48="",$W48=""),"",ROUND(($W48-$V48)/60,2))</f>
        <v/>
      </c>
      <c r="K48" s="52" t="str">
        <f aca="false">IF($F48="","",LEN($F48)-LEN(SUBSTITUTE($F48,",",""))+1)</f>
        <v/>
      </c>
      <c r="L48" s="45" t="str">
        <f aca="false">IF($K48="","","1:"&amp;$K48)</f>
        <v/>
      </c>
      <c r="M48" s="46"/>
      <c r="N48" s="53"/>
      <c r="O48" s="46"/>
      <c r="P48" s="47"/>
      <c r="Q48" s="48"/>
      <c r="R48" s="49"/>
      <c r="S48" s="54" t="str">
        <f aca="false">IF(OR($AC48=0,$U48="",$M48="",$V48="",$W48=""),"",IF(COUNTIFS(m_teacher,$M48,m_date,$U48,m_active,1,m_start,"&lt;"&amp;$W48,m_end,"&gt;"&amp;$V48)&gt;1,"충돌",""))</f>
        <v/>
      </c>
      <c r="T48" s="48"/>
      <c r="U48" s="55" t="str">
        <f aca="false">IF($G48="","",IFERROR(IF(ISNUMBER($G48),IF($G48&gt;19000000,DATE(INT($G48/10000),MOD(INT($G48/100),100),MOD($G48,100)),INT($G48)),IF(LEN(SUBSTITUTE(SUBSTITUTE(SUBSTITUTE(TRIM($G48),"-",""),".",""),"/",""))=8,DATE(VALUE(LEFT(SUBSTITUTE(SUBSTITUTE(SUBSTITUTE(TRIM($G48),"-",""),".",""),"/",""),4)),VALUE(MID(SUBSTITUTE(SUBSTITUTE(SUBSTITUTE(TRIM($G48),"-",""),".",""),"/",""),5,2)),VALUE(RIGHT(SUBSTITUTE(SUBSTITUTE(SUBSTITUTE(TRIM($G48),"-",""),".",""),"/",""),2))),DATEVALUE($G48))),""))</f>
        <v/>
      </c>
      <c r="V48" s="52" t="str">
        <f aca="false">IF($H48="","",IFERROR(IF(IF(ISNUMBER($H48),$H48,IFERROR(TIMEVALUE($H48),VALUE($H48)))&gt;=100,INT(IF(ISNUMBER($H48),$H48,IFERROR(TIMEVALUE($H48),VALUE($H48)))/100)*60+MOD(IF(ISNUMBER($H48),$H48,IFERROR(TIMEVALUE($H48),VALUE($H48))),100),IF(IF(ISNUMBER($H48),$H48,IFERROR(TIMEVALUE($H48),VALUE($H48)))&gt;=1,ROUND(IF(ISNUMBER($H48),$H48,IFERROR(TIMEVALUE($H48),VALUE($H48)))*60,0),ROUND(MOD(IF(ISNUMBER($H48),$H48,IFERROR(TIMEVALUE($H48),VALUE($H48))),1)*1440,0))),""))</f>
        <v/>
      </c>
      <c r="W48" s="52" t="str">
        <f aca="false">IF($I48="","",IFERROR(IF(IF(ISNUMBER($I48),$I48,IFERROR(TIMEVALUE($I48),VALUE($I48)))&gt;=100,INT(IF(ISNUMBER($I48),$I48,IFERROR(TIMEVALUE($I48),VALUE($I48)))/100)*60+MOD(IF(ISNUMBER($I48),$I48,IFERROR(TIMEVALUE($I48),VALUE($I48))),100),IF(IF(ISNUMBER($I48),$I48,IFERROR(TIMEVALUE($I48),VALUE($I48)))&gt;=1,ROUND(IF(ISNUMBER($I48),$I48,IFERROR(TIMEVALUE($I48),VALUE($I48)))*60,0),ROUND(MOD(IF(ISNUMBER($I48),$I48,IFERROR(TIMEVALUE($I48),VALUE($I48))),1)*1440,0))),""))</f>
        <v/>
      </c>
      <c r="X48" s="55" t="str">
        <f aca="false">IF($P48="","",IFERROR(IF(ISNUMBER($P48),IF($P48&gt;19000000,DATE(INT($P48/10000),MOD(INT($P48/100),100),MOD($P48,100)),INT($P48)),IF(LEN(SUBSTITUTE(SUBSTITUTE(SUBSTITUTE(TRIM($P48),"-",""),".",""),"/",""))=8,DATE(VALUE(LEFT(SUBSTITUTE(SUBSTITUTE(SUBSTITUTE(TRIM($P48),"-",""),".",""),"/",""),4)),VALUE(MID(SUBSTITUTE(SUBSTITUTE(SUBSTITUTE(TRIM($P48),"-",""),".",""),"/",""),5,2)),VALUE(RIGHT(SUBSTITUTE(SUBSTITUTE(SUBSTITUTE(TRIM($P48),"-",""),".",""),"/",""),2))),DATEVALUE($P48))),""))</f>
        <v/>
      </c>
      <c r="Y48" s="56" t="str">
        <f aca="false">IF($M48="","",IFERROR(INDEX(강사DB!$D$4:$D$53,MATCH($M48,강사DB!$A$4:$A$53,0)),""))</f>
        <v/>
      </c>
      <c r="Z48" s="56" t="str">
        <f aca="false">IF($B48&lt;&gt;"결제완료","",IF(OR($Y48="",$J48=""),"",$Y48*$J48+MAX(0,N($K48)-1)*설정!$J$7))</f>
        <v/>
      </c>
      <c r="AA48" s="56" t="str">
        <f aca="false">IF(AND($D48&lt;&gt;"",$B48="결제완료"),N($N48),"")</f>
        <v/>
      </c>
      <c r="AB48" s="45" t="str">
        <f aca="false">IF($D48="","",IF($F48&lt;&gt;"",$F48,$D48)&amp;IF($B48="상담중"," (상담)",""))</f>
        <v/>
      </c>
      <c r="AC48" s="45" t="n">
        <f aca="false">IF(AND($D48&lt;&gt;"",OR($B48="결제완료",$B48="상담중")),1,0)</f>
        <v>0</v>
      </c>
      <c r="AD48" s="45" t="n">
        <f aca="false">IF(OR($Z48="",$U48=""),0,IFERROR(IF(COUNTIFS(INDEX(g_grid,0,2*MATCH($M48,강사DB!$A$4:$A$15,0)),"&lt;&gt;",g_s,"&lt;="&amp;$U48,g_e,"&gt;="&amp;$U48)&gt;0,1,0),0))</f>
        <v>0</v>
      </c>
      <c r="AE48" s="48"/>
      <c r="AF48" s="56" t="str">
        <f aca="false">IF(AND($D48&lt;&gt;"",$B48="결제완료",$T48="대여"),설정!$J$5,"")</f>
        <v/>
      </c>
      <c r="AG48" s="54" t="str">
        <f aca="false">IF($D48="","",IF(AND($E48="",$R48=""),$AB48,"☎ "&amp;IF($E48="","-",$E48)&amp;IF($R48&lt;&gt;"","  ※ "&amp;$R48,"")&amp;IF($B48="상담중"," (상담)","")))</f>
        <v/>
      </c>
      <c r="AH48" s="56" t="str">
        <f aca="false">IF(AND($D48&lt;&gt;"",$B48="결제완료",$O48="스마트스토어"),ROUND(N($N48)*설정!$J$6,0),"")</f>
        <v/>
      </c>
      <c r="AI48" s="54" t="str">
        <f aca="false">IF($D48="","",ROW())</f>
        <v/>
      </c>
      <c r="AJ48" s="54" t="n">
        <f aca="false">IF(OR($AC48&lt;&gt;1,$M48=""),0,IF(ISNUMBER(SEARCH("퇴사",IFERROR(INDEX(강사DB!$G$4:$G$53,MATCH($M48,강사DB!$A$4:$A$53,0)),""))),1,0))</f>
        <v>0</v>
      </c>
    </row>
    <row r="49" customFormat="false" ht="15" hidden="false" customHeight="false" outlineLevel="0" collapsed="false">
      <c r="A49" s="45" t="str">
        <f aca="false">IF($D49="","",COUNTA($D$5:$D49))</f>
        <v/>
      </c>
      <c r="B49" s="46"/>
      <c r="C49" s="47"/>
      <c r="D49" s="48"/>
      <c r="E49" s="48"/>
      <c r="F49" s="49"/>
      <c r="G49" s="47"/>
      <c r="H49" s="50"/>
      <c r="I49" s="50"/>
      <c r="J49" s="51" t="str">
        <f aca="false">IF(OR($V49="",$W49=""),"",ROUND(($W49-$V49)/60,2))</f>
        <v/>
      </c>
      <c r="K49" s="52" t="str">
        <f aca="false">IF($F49="","",LEN($F49)-LEN(SUBSTITUTE($F49,",",""))+1)</f>
        <v/>
      </c>
      <c r="L49" s="45" t="str">
        <f aca="false">IF($K49="","","1:"&amp;$K49)</f>
        <v/>
      </c>
      <c r="M49" s="46"/>
      <c r="N49" s="53"/>
      <c r="O49" s="46"/>
      <c r="P49" s="47"/>
      <c r="Q49" s="48"/>
      <c r="R49" s="49"/>
      <c r="S49" s="54" t="str">
        <f aca="false">IF(OR($AC49=0,$U49="",$M49="",$V49="",$W49=""),"",IF(COUNTIFS(m_teacher,$M49,m_date,$U49,m_active,1,m_start,"&lt;"&amp;$W49,m_end,"&gt;"&amp;$V49)&gt;1,"충돌",""))</f>
        <v/>
      </c>
      <c r="T49" s="48"/>
      <c r="U49" s="55" t="str">
        <f aca="false">IF($G49="","",IFERROR(IF(ISNUMBER($G49),IF($G49&gt;19000000,DATE(INT($G49/10000),MOD(INT($G49/100),100),MOD($G49,100)),INT($G49)),IF(LEN(SUBSTITUTE(SUBSTITUTE(SUBSTITUTE(TRIM($G49),"-",""),".",""),"/",""))=8,DATE(VALUE(LEFT(SUBSTITUTE(SUBSTITUTE(SUBSTITUTE(TRIM($G49),"-",""),".",""),"/",""),4)),VALUE(MID(SUBSTITUTE(SUBSTITUTE(SUBSTITUTE(TRIM($G49),"-",""),".",""),"/",""),5,2)),VALUE(RIGHT(SUBSTITUTE(SUBSTITUTE(SUBSTITUTE(TRIM($G49),"-",""),".",""),"/",""),2))),DATEVALUE($G49))),""))</f>
        <v/>
      </c>
      <c r="V49" s="52" t="str">
        <f aca="false">IF($H49="","",IFERROR(IF(IF(ISNUMBER($H49),$H49,IFERROR(TIMEVALUE($H49),VALUE($H49)))&gt;=100,INT(IF(ISNUMBER($H49),$H49,IFERROR(TIMEVALUE($H49),VALUE($H49)))/100)*60+MOD(IF(ISNUMBER($H49),$H49,IFERROR(TIMEVALUE($H49),VALUE($H49))),100),IF(IF(ISNUMBER($H49),$H49,IFERROR(TIMEVALUE($H49),VALUE($H49)))&gt;=1,ROUND(IF(ISNUMBER($H49),$H49,IFERROR(TIMEVALUE($H49),VALUE($H49)))*60,0),ROUND(MOD(IF(ISNUMBER($H49),$H49,IFERROR(TIMEVALUE($H49),VALUE($H49))),1)*1440,0))),""))</f>
        <v/>
      </c>
      <c r="W49" s="52" t="str">
        <f aca="false">IF($I49="","",IFERROR(IF(IF(ISNUMBER($I49),$I49,IFERROR(TIMEVALUE($I49),VALUE($I49)))&gt;=100,INT(IF(ISNUMBER($I49),$I49,IFERROR(TIMEVALUE($I49),VALUE($I49)))/100)*60+MOD(IF(ISNUMBER($I49),$I49,IFERROR(TIMEVALUE($I49),VALUE($I49))),100),IF(IF(ISNUMBER($I49),$I49,IFERROR(TIMEVALUE($I49),VALUE($I49)))&gt;=1,ROUND(IF(ISNUMBER($I49),$I49,IFERROR(TIMEVALUE($I49),VALUE($I49)))*60,0),ROUND(MOD(IF(ISNUMBER($I49),$I49,IFERROR(TIMEVALUE($I49),VALUE($I49))),1)*1440,0))),""))</f>
        <v/>
      </c>
      <c r="X49" s="55" t="str">
        <f aca="false">IF($P49="","",IFERROR(IF(ISNUMBER($P49),IF($P49&gt;19000000,DATE(INT($P49/10000),MOD(INT($P49/100),100),MOD($P49,100)),INT($P49)),IF(LEN(SUBSTITUTE(SUBSTITUTE(SUBSTITUTE(TRIM($P49),"-",""),".",""),"/",""))=8,DATE(VALUE(LEFT(SUBSTITUTE(SUBSTITUTE(SUBSTITUTE(TRIM($P49),"-",""),".",""),"/",""),4)),VALUE(MID(SUBSTITUTE(SUBSTITUTE(SUBSTITUTE(TRIM($P49),"-",""),".",""),"/",""),5,2)),VALUE(RIGHT(SUBSTITUTE(SUBSTITUTE(SUBSTITUTE(TRIM($P49),"-",""),".",""),"/",""),2))),DATEVALUE($P49))),""))</f>
        <v/>
      </c>
      <c r="Y49" s="56" t="str">
        <f aca="false">IF($M49="","",IFERROR(INDEX(강사DB!$D$4:$D$53,MATCH($M49,강사DB!$A$4:$A$53,0)),""))</f>
        <v/>
      </c>
      <c r="Z49" s="56" t="str">
        <f aca="false">IF($B49&lt;&gt;"결제완료","",IF(OR($Y49="",$J49=""),"",$Y49*$J49+MAX(0,N($K49)-1)*설정!$J$7))</f>
        <v/>
      </c>
      <c r="AA49" s="56" t="str">
        <f aca="false">IF(AND($D49&lt;&gt;"",$B49="결제완료"),N($N49),"")</f>
        <v/>
      </c>
      <c r="AB49" s="45" t="str">
        <f aca="false">IF($D49="","",IF($F49&lt;&gt;"",$F49,$D49)&amp;IF($B49="상담중"," (상담)",""))</f>
        <v/>
      </c>
      <c r="AC49" s="45" t="n">
        <f aca="false">IF(AND($D49&lt;&gt;"",OR($B49="결제완료",$B49="상담중")),1,0)</f>
        <v>0</v>
      </c>
      <c r="AD49" s="45" t="n">
        <f aca="false">IF(OR($Z49="",$U49=""),0,IFERROR(IF(COUNTIFS(INDEX(g_grid,0,2*MATCH($M49,강사DB!$A$4:$A$15,0)),"&lt;&gt;",g_s,"&lt;="&amp;$U49,g_e,"&gt;="&amp;$U49)&gt;0,1,0),0))</f>
        <v>0</v>
      </c>
      <c r="AE49" s="48"/>
      <c r="AF49" s="56" t="str">
        <f aca="false">IF(AND($D49&lt;&gt;"",$B49="결제완료",$T49="대여"),설정!$J$5,"")</f>
        <v/>
      </c>
      <c r="AG49" s="54" t="str">
        <f aca="false">IF($D49="","",IF(AND($E49="",$R49=""),$AB49,"☎ "&amp;IF($E49="","-",$E49)&amp;IF($R49&lt;&gt;"","  ※ "&amp;$R49,"")&amp;IF($B49="상담중"," (상담)","")))</f>
        <v/>
      </c>
      <c r="AH49" s="56" t="str">
        <f aca="false">IF(AND($D49&lt;&gt;"",$B49="결제완료",$O49="스마트스토어"),ROUND(N($N49)*설정!$J$6,0),"")</f>
        <v/>
      </c>
      <c r="AI49" s="54" t="str">
        <f aca="false">IF($D49="","",ROW())</f>
        <v/>
      </c>
      <c r="AJ49" s="54" t="n">
        <f aca="false">IF(OR($AC49&lt;&gt;1,$M49=""),0,IF(ISNUMBER(SEARCH("퇴사",IFERROR(INDEX(강사DB!$G$4:$G$53,MATCH($M49,강사DB!$A$4:$A$53,0)),""))),1,0))</f>
        <v>0</v>
      </c>
    </row>
    <row r="50" customFormat="false" ht="15" hidden="false" customHeight="false" outlineLevel="0" collapsed="false">
      <c r="A50" s="45" t="str">
        <f aca="false">IF($D50="","",COUNTA($D$5:$D50))</f>
        <v/>
      </c>
      <c r="B50" s="46"/>
      <c r="C50" s="47"/>
      <c r="D50" s="48"/>
      <c r="E50" s="48"/>
      <c r="F50" s="49"/>
      <c r="G50" s="47"/>
      <c r="H50" s="50"/>
      <c r="I50" s="50"/>
      <c r="J50" s="51" t="str">
        <f aca="false">IF(OR($V50="",$W50=""),"",ROUND(($W50-$V50)/60,2))</f>
        <v/>
      </c>
      <c r="K50" s="52" t="str">
        <f aca="false">IF($F50="","",LEN($F50)-LEN(SUBSTITUTE($F50,",",""))+1)</f>
        <v/>
      </c>
      <c r="L50" s="45" t="str">
        <f aca="false">IF($K50="","","1:"&amp;$K50)</f>
        <v/>
      </c>
      <c r="M50" s="46"/>
      <c r="N50" s="53"/>
      <c r="O50" s="46"/>
      <c r="P50" s="47"/>
      <c r="Q50" s="48"/>
      <c r="R50" s="49"/>
      <c r="S50" s="54" t="str">
        <f aca="false">IF(OR($AC50=0,$U50="",$M50="",$V50="",$W50=""),"",IF(COUNTIFS(m_teacher,$M50,m_date,$U50,m_active,1,m_start,"&lt;"&amp;$W50,m_end,"&gt;"&amp;$V50)&gt;1,"충돌",""))</f>
        <v/>
      </c>
      <c r="T50" s="48"/>
      <c r="U50" s="55" t="str">
        <f aca="false">IF($G50="","",IFERROR(IF(ISNUMBER($G50),IF($G50&gt;19000000,DATE(INT($G50/10000),MOD(INT($G50/100),100),MOD($G50,100)),INT($G50)),IF(LEN(SUBSTITUTE(SUBSTITUTE(SUBSTITUTE(TRIM($G50),"-",""),".",""),"/",""))=8,DATE(VALUE(LEFT(SUBSTITUTE(SUBSTITUTE(SUBSTITUTE(TRIM($G50),"-",""),".",""),"/",""),4)),VALUE(MID(SUBSTITUTE(SUBSTITUTE(SUBSTITUTE(TRIM($G50),"-",""),".",""),"/",""),5,2)),VALUE(RIGHT(SUBSTITUTE(SUBSTITUTE(SUBSTITUTE(TRIM($G50),"-",""),".",""),"/",""),2))),DATEVALUE($G50))),""))</f>
        <v/>
      </c>
      <c r="V50" s="52" t="str">
        <f aca="false">IF($H50="","",IFERROR(IF(IF(ISNUMBER($H50),$H50,IFERROR(TIMEVALUE($H50),VALUE($H50)))&gt;=100,INT(IF(ISNUMBER($H50),$H50,IFERROR(TIMEVALUE($H50),VALUE($H50)))/100)*60+MOD(IF(ISNUMBER($H50),$H50,IFERROR(TIMEVALUE($H50),VALUE($H50))),100),IF(IF(ISNUMBER($H50),$H50,IFERROR(TIMEVALUE($H50),VALUE($H50)))&gt;=1,ROUND(IF(ISNUMBER($H50),$H50,IFERROR(TIMEVALUE($H50),VALUE($H50)))*60,0),ROUND(MOD(IF(ISNUMBER($H50),$H50,IFERROR(TIMEVALUE($H50),VALUE($H50))),1)*1440,0))),""))</f>
        <v/>
      </c>
      <c r="W50" s="52" t="str">
        <f aca="false">IF($I50="","",IFERROR(IF(IF(ISNUMBER($I50),$I50,IFERROR(TIMEVALUE($I50),VALUE($I50)))&gt;=100,INT(IF(ISNUMBER($I50),$I50,IFERROR(TIMEVALUE($I50),VALUE($I50)))/100)*60+MOD(IF(ISNUMBER($I50),$I50,IFERROR(TIMEVALUE($I50),VALUE($I50))),100),IF(IF(ISNUMBER($I50),$I50,IFERROR(TIMEVALUE($I50),VALUE($I50)))&gt;=1,ROUND(IF(ISNUMBER($I50),$I50,IFERROR(TIMEVALUE($I50),VALUE($I50)))*60,0),ROUND(MOD(IF(ISNUMBER($I50),$I50,IFERROR(TIMEVALUE($I50),VALUE($I50))),1)*1440,0))),""))</f>
        <v/>
      </c>
      <c r="X50" s="55" t="str">
        <f aca="false">IF($P50="","",IFERROR(IF(ISNUMBER($P50),IF($P50&gt;19000000,DATE(INT($P50/10000),MOD(INT($P50/100),100),MOD($P50,100)),INT($P50)),IF(LEN(SUBSTITUTE(SUBSTITUTE(SUBSTITUTE(TRIM($P50),"-",""),".",""),"/",""))=8,DATE(VALUE(LEFT(SUBSTITUTE(SUBSTITUTE(SUBSTITUTE(TRIM($P50),"-",""),".",""),"/",""),4)),VALUE(MID(SUBSTITUTE(SUBSTITUTE(SUBSTITUTE(TRIM($P50),"-",""),".",""),"/",""),5,2)),VALUE(RIGHT(SUBSTITUTE(SUBSTITUTE(SUBSTITUTE(TRIM($P50),"-",""),".",""),"/",""),2))),DATEVALUE($P50))),""))</f>
        <v/>
      </c>
      <c r="Y50" s="56" t="str">
        <f aca="false">IF($M50="","",IFERROR(INDEX(강사DB!$D$4:$D$53,MATCH($M50,강사DB!$A$4:$A$53,0)),""))</f>
        <v/>
      </c>
      <c r="Z50" s="56" t="str">
        <f aca="false">IF($B50&lt;&gt;"결제완료","",IF(OR($Y50="",$J50=""),"",$Y50*$J50+MAX(0,N($K50)-1)*설정!$J$7))</f>
        <v/>
      </c>
      <c r="AA50" s="56" t="str">
        <f aca="false">IF(AND($D50&lt;&gt;"",$B50="결제완료"),N($N50),"")</f>
        <v/>
      </c>
      <c r="AB50" s="45" t="str">
        <f aca="false">IF($D50="","",IF($F50&lt;&gt;"",$F50,$D50)&amp;IF($B50="상담중"," (상담)",""))</f>
        <v/>
      </c>
      <c r="AC50" s="45" t="n">
        <f aca="false">IF(AND($D50&lt;&gt;"",OR($B50="결제완료",$B50="상담중")),1,0)</f>
        <v>0</v>
      </c>
      <c r="AD50" s="45" t="n">
        <f aca="false">IF(OR($Z50="",$U50=""),0,IFERROR(IF(COUNTIFS(INDEX(g_grid,0,2*MATCH($M50,강사DB!$A$4:$A$15,0)),"&lt;&gt;",g_s,"&lt;="&amp;$U50,g_e,"&gt;="&amp;$U50)&gt;0,1,0),0))</f>
        <v>0</v>
      </c>
      <c r="AE50" s="48"/>
      <c r="AF50" s="56" t="str">
        <f aca="false">IF(AND($D50&lt;&gt;"",$B50="결제완료",$T50="대여"),설정!$J$5,"")</f>
        <v/>
      </c>
      <c r="AG50" s="54" t="str">
        <f aca="false">IF($D50="","",IF(AND($E50="",$R50=""),$AB50,"☎ "&amp;IF($E50="","-",$E50)&amp;IF($R50&lt;&gt;"","  ※ "&amp;$R50,"")&amp;IF($B50="상담중"," (상담)","")))</f>
        <v/>
      </c>
      <c r="AH50" s="56" t="str">
        <f aca="false">IF(AND($D50&lt;&gt;"",$B50="결제완료",$O50="스마트스토어"),ROUND(N($N50)*설정!$J$6,0),"")</f>
        <v/>
      </c>
      <c r="AI50" s="54" t="str">
        <f aca="false">IF($D50="","",ROW())</f>
        <v/>
      </c>
      <c r="AJ50" s="54" t="n">
        <f aca="false">IF(OR($AC50&lt;&gt;1,$M50=""),0,IF(ISNUMBER(SEARCH("퇴사",IFERROR(INDEX(강사DB!$G$4:$G$53,MATCH($M50,강사DB!$A$4:$A$53,0)),""))),1,0))</f>
        <v>0</v>
      </c>
    </row>
    <row r="51" customFormat="false" ht="15" hidden="false" customHeight="false" outlineLevel="0" collapsed="false">
      <c r="A51" s="45" t="str">
        <f aca="false">IF($D51="","",COUNTA($D$5:$D51))</f>
        <v/>
      </c>
      <c r="B51" s="46"/>
      <c r="C51" s="47"/>
      <c r="D51" s="48"/>
      <c r="E51" s="48"/>
      <c r="F51" s="49"/>
      <c r="G51" s="47"/>
      <c r="H51" s="50"/>
      <c r="I51" s="50"/>
      <c r="J51" s="51" t="str">
        <f aca="false">IF(OR($V51="",$W51=""),"",ROUND(($W51-$V51)/60,2))</f>
        <v/>
      </c>
      <c r="K51" s="52" t="str">
        <f aca="false">IF($F51="","",LEN($F51)-LEN(SUBSTITUTE($F51,",",""))+1)</f>
        <v/>
      </c>
      <c r="L51" s="45" t="str">
        <f aca="false">IF($K51="","","1:"&amp;$K51)</f>
        <v/>
      </c>
      <c r="M51" s="46"/>
      <c r="N51" s="53"/>
      <c r="O51" s="46"/>
      <c r="P51" s="47"/>
      <c r="Q51" s="48"/>
      <c r="R51" s="49"/>
      <c r="S51" s="54" t="str">
        <f aca="false">IF(OR($AC51=0,$U51="",$M51="",$V51="",$W51=""),"",IF(COUNTIFS(m_teacher,$M51,m_date,$U51,m_active,1,m_start,"&lt;"&amp;$W51,m_end,"&gt;"&amp;$V51)&gt;1,"충돌",""))</f>
        <v/>
      </c>
      <c r="T51" s="48"/>
      <c r="U51" s="55" t="str">
        <f aca="false">IF($G51="","",IFERROR(IF(ISNUMBER($G51),IF($G51&gt;19000000,DATE(INT($G51/10000),MOD(INT($G51/100),100),MOD($G51,100)),INT($G51)),IF(LEN(SUBSTITUTE(SUBSTITUTE(SUBSTITUTE(TRIM($G51),"-",""),".",""),"/",""))=8,DATE(VALUE(LEFT(SUBSTITUTE(SUBSTITUTE(SUBSTITUTE(TRIM($G51),"-",""),".",""),"/",""),4)),VALUE(MID(SUBSTITUTE(SUBSTITUTE(SUBSTITUTE(TRIM($G51),"-",""),".",""),"/",""),5,2)),VALUE(RIGHT(SUBSTITUTE(SUBSTITUTE(SUBSTITUTE(TRIM($G51),"-",""),".",""),"/",""),2))),DATEVALUE($G51))),""))</f>
        <v/>
      </c>
      <c r="V51" s="52" t="str">
        <f aca="false">IF($H51="","",IFERROR(IF(IF(ISNUMBER($H51),$H51,IFERROR(TIMEVALUE($H51),VALUE($H51)))&gt;=100,INT(IF(ISNUMBER($H51),$H51,IFERROR(TIMEVALUE($H51),VALUE($H51)))/100)*60+MOD(IF(ISNUMBER($H51),$H51,IFERROR(TIMEVALUE($H51),VALUE($H51))),100),IF(IF(ISNUMBER($H51),$H51,IFERROR(TIMEVALUE($H51),VALUE($H51)))&gt;=1,ROUND(IF(ISNUMBER($H51),$H51,IFERROR(TIMEVALUE($H51),VALUE($H51)))*60,0),ROUND(MOD(IF(ISNUMBER($H51),$H51,IFERROR(TIMEVALUE($H51),VALUE($H51))),1)*1440,0))),""))</f>
        <v/>
      </c>
      <c r="W51" s="52" t="str">
        <f aca="false">IF($I51="","",IFERROR(IF(IF(ISNUMBER($I51),$I51,IFERROR(TIMEVALUE($I51),VALUE($I51)))&gt;=100,INT(IF(ISNUMBER($I51),$I51,IFERROR(TIMEVALUE($I51),VALUE($I51)))/100)*60+MOD(IF(ISNUMBER($I51),$I51,IFERROR(TIMEVALUE($I51),VALUE($I51))),100),IF(IF(ISNUMBER($I51),$I51,IFERROR(TIMEVALUE($I51),VALUE($I51)))&gt;=1,ROUND(IF(ISNUMBER($I51),$I51,IFERROR(TIMEVALUE($I51),VALUE($I51)))*60,0),ROUND(MOD(IF(ISNUMBER($I51),$I51,IFERROR(TIMEVALUE($I51),VALUE($I51))),1)*1440,0))),""))</f>
        <v/>
      </c>
      <c r="X51" s="55" t="str">
        <f aca="false">IF($P51="","",IFERROR(IF(ISNUMBER($P51),IF($P51&gt;19000000,DATE(INT($P51/10000),MOD(INT($P51/100),100),MOD($P51,100)),INT($P51)),IF(LEN(SUBSTITUTE(SUBSTITUTE(SUBSTITUTE(TRIM($P51),"-",""),".",""),"/",""))=8,DATE(VALUE(LEFT(SUBSTITUTE(SUBSTITUTE(SUBSTITUTE(TRIM($P51),"-",""),".",""),"/",""),4)),VALUE(MID(SUBSTITUTE(SUBSTITUTE(SUBSTITUTE(TRIM($P51),"-",""),".",""),"/",""),5,2)),VALUE(RIGHT(SUBSTITUTE(SUBSTITUTE(SUBSTITUTE(TRIM($P51),"-",""),".",""),"/",""),2))),DATEVALUE($P51))),""))</f>
        <v/>
      </c>
      <c r="Y51" s="56" t="str">
        <f aca="false">IF($M51="","",IFERROR(INDEX(강사DB!$D$4:$D$53,MATCH($M51,강사DB!$A$4:$A$53,0)),""))</f>
        <v/>
      </c>
      <c r="Z51" s="56" t="str">
        <f aca="false">IF($B51&lt;&gt;"결제완료","",IF(OR($Y51="",$J51=""),"",$Y51*$J51+MAX(0,N($K51)-1)*설정!$J$7))</f>
        <v/>
      </c>
      <c r="AA51" s="56" t="str">
        <f aca="false">IF(AND($D51&lt;&gt;"",$B51="결제완료"),N($N51),"")</f>
        <v/>
      </c>
      <c r="AB51" s="45" t="str">
        <f aca="false">IF($D51="","",IF($F51&lt;&gt;"",$F51,$D51)&amp;IF($B51="상담중"," (상담)",""))</f>
        <v/>
      </c>
      <c r="AC51" s="45" t="n">
        <f aca="false">IF(AND($D51&lt;&gt;"",OR($B51="결제완료",$B51="상담중")),1,0)</f>
        <v>0</v>
      </c>
      <c r="AD51" s="45" t="n">
        <f aca="false">IF(OR($Z51="",$U51=""),0,IFERROR(IF(COUNTIFS(INDEX(g_grid,0,2*MATCH($M51,강사DB!$A$4:$A$15,0)),"&lt;&gt;",g_s,"&lt;="&amp;$U51,g_e,"&gt;="&amp;$U51)&gt;0,1,0),0))</f>
        <v>0</v>
      </c>
      <c r="AE51" s="48"/>
      <c r="AF51" s="56" t="str">
        <f aca="false">IF(AND($D51&lt;&gt;"",$B51="결제완료",$T51="대여"),설정!$J$5,"")</f>
        <v/>
      </c>
      <c r="AG51" s="54" t="str">
        <f aca="false">IF($D51="","",IF(AND($E51="",$R51=""),$AB51,"☎ "&amp;IF($E51="","-",$E51)&amp;IF($R51&lt;&gt;"","  ※ "&amp;$R51,"")&amp;IF($B51="상담중"," (상담)","")))</f>
        <v/>
      </c>
      <c r="AH51" s="56" t="str">
        <f aca="false">IF(AND($D51&lt;&gt;"",$B51="결제완료",$O51="스마트스토어"),ROUND(N($N51)*설정!$J$6,0),"")</f>
        <v/>
      </c>
      <c r="AI51" s="54" t="str">
        <f aca="false">IF($D51="","",ROW())</f>
        <v/>
      </c>
      <c r="AJ51" s="54" t="n">
        <f aca="false">IF(OR($AC51&lt;&gt;1,$M51=""),0,IF(ISNUMBER(SEARCH("퇴사",IFERROR(INDEX(강사DB!$G$4:$G$53,MATCH($M51,강사DB!$A$4:$A$53,0)),""))),1,0))</f>
        <v>0</v>
      </c>
    </row>
    <row r="52" customFormat="false" ht="15" hidden="false" customHeight="false" outlineLevel="0" collapsed="false">
      <c r="A52" s="45" t="str">
        <f aca="false">IF($D52="","",COUNTA($D$5:$D52))</f>
        <v/>
      </c>
      <c r="B52" s="46"/>
      <c r="C52" s="47"/>
      <c r="D52" s="48"/>
      <c r="E52" s="48"/>
      <c r="F52" s="49"/>
      <c r="G52" s="47"/>
      <c r="H52" s="50"/>
      <c r="I52" s="50"/>
      <c r="J52" s="51" t="str">
        <f aca="false">IF(OR($V52="",$W52=""),"",ROUND(($W52-$V52)/60,2))</f>
        <v/>
      </c>
      <c r="K52" s="52" t="str">
        <f aca="false">IF($F52="","",LEN($F52)-LEN(SUBSTITUTE($F52,",",""))+1)</f>
        <v/>
      </c>
      <c r="L52" s="45" t="str">
        <f aca="false">IF($K52="","","1:"&amp;$K52)</f>
        <v/>
      </c>
      <c r="M52" s="46"/>
      <c r="N52" s="53"/>
      <c r="O52" s="46"/>
      <c r="P52" s="47"/>
      <c r="Q52" s="48"/>
      <c r="R52" s="49"/>
      <c r="S52" s="54" t="str">
        <f aca="false">IF(OR($AC52=0,$U52="",$M52="",$V52="",$W52=""),"",IF(COUNTIFS(m_teacher,$M52,m_date,$U52,m_active,1,m_start,"&lt;"&amp;$W52,m_end,"&gt;"&amp;$V52)&gt;1,"충돌",""))</f>
        <v/>
      </c>
      <c r="T52" s="48"/>
      <c r="U52" s="55" t="str">
        <f aca="false">IF($G52="","",IFERROR(IF(ISNUMBER($G52),IF($G52&gt;19000000,DATE(INT($G52/10000),MOD(INT($G52/100),100),MOD($G52,100)),INT($G52)),IF(LEN(SUBSTITUTE(SUBSTITUTE(SUBSTITUTE(TRIM($G52),"-",""),".",""),"/",""))=8,DATE(VALUE(LEFT(SUBSTITUTE(SUBSTITUTE(SUBSTITUTE(TRIM($G52),"-",""),".",""),"/",""),4)),VALUE(MID(SUBSTITUTE(SUBSTITUTE(SUBSTITUTE(TRIM($G52),"-",""),".",""),"/",""),5,2)),VALUE(RIGHT(SUBSTITUTE(SUBSTITUTE(SUBSTITUTE(TRIM($G52),"-",""),".",""),"/",""),2))),DATEVALUE($G52))),""))</f>
        <v/>
      </c>
      <c r="V52" s="52" t="str">
        <f aca="false">IF($H52="","",IFERROR(IF(IF(ISNUMBER($H52),$H52,IFERROR(TIMEVALUE($H52),VALUE($H52)))&gt;=100,INT(IF(ISNUMBER($H52),$H52,IFERROR(TIMEVALUE($H52),VALUE($H52)))/100)*60+MOD(IF(ISNUMBER($H52),$H52,IFERROR(TIMEVALUE($H52),VALUE($H52))),100),IF(IF(ISNUMBER($H52),$H52,IFERROR(TIMEVALUE($H52),VALUE($H52)))&gt;=1,ROUND(IF(ISNUMBER($H52),$H52,IFERROR(TIMEVALUE($H52),VALUE($H52)))*60,0),ROUND(MOD(IF(ISNUMBER($H52),$H52,IFERROR(TIMEVALUE($H52),VALUE($H52))),1)*1440,0))),""))</f>
        <v/>
      </c>
      <c r="W52" s="52" t="str">
        <f aca="false">IF($I52="","",IFERROR(IF(IF(ISNUMBER($I52),$I52,IFERROR(TIMEVALUE($I52),VALUE($I52)))&gt;=100,INT(IF(ISNUMBER($I52),$I52,IFERROR(TIMEVALUE($I52),VALUE($I52)))/100)*60+MOD(IF(ISNUMBER($I52),$I52,IFERROR(TIMEVALUE($I52),VALUE($I52))),100),IF(IF(ISNUMBER($I52),$I52,IFERROR(TIMEVALUE($I52),VALUE($I52)))&gt;=1,ROUND(IF(ISNUMBER($I52),$I52,IFERROR(TIMEVALUE($I52),VALUE($I52)))*60,0),ROUND(MOD(IF(ISNUMBER($I52),$I52,IFERROR(TIMEVALUE($I52),VALUE($I52))),1)*1440,0))),""))</f>
        <v/>
      </c>
      <c r="X52" s="55" t="str">
        <f aca="false">IF($P52="","",IFERROR(IF(ISNUMBER($P52),IF($P52&gt;19000000,DATE(INT($P52/10000),MOD(INT($P52/100),100),MOD($P52,100)),INT($P52)),IF(LEN(SUBSTITUTE(SUBSTITUTE(SUBSTITUTE(TRIM($P52),"-",""),".",""),"/",""))=8,DATE(VALUE(LEFT(SUBSTITUTE(SUBSTITUTE(SUBSTITUTE(TRIM($P52),"-",""),".",""),"/",""),4)),VALUE(MID(SUBSTITUTE(SUBSTITUTE(SUBSTITUTE(TRIM($P52),"-",""),".",""),"/",""),5,2)),VALUE(RIGHT(SUBSTITUTE(SUBSTITUTE(SUBSTITUTE(TRIM($P52),"-",""),".",""),"/",""),2))),DATEVALUE($P52))),""))</f>
        <v/>
      </c>
      <c r="Y52" s="56" t="str">
        <f aca="false">IF($M52="","",IFERROR(INDEX(강사DB!$D$4:$D$53,MATCH($M52,강사DB!$A$4:$A$53,0)),""))</f>
        <v/>
      </c>
      <c r="Z52" s="56" t="str">
        <f aca="false">IF($B52&lt;&gt;"결제완료","",IF(OR($Y52="",$J52=""),"",$Y52*$J52+MAX(0,N($K52)-1)*설정!$J$7))</f>
        <v/>
      </c>
      <c r="AA52" s="56" t="str">
        <f aca="false">IF(AND($D52&lt;&gt;"",$B52="결제완료"),N($N52),"")</f>
        <v/>
      </c>
      <c r="AB52" s="45" t="str">
        <f aca="false">IF($D52="","",IF($F52&lt;&gt;"",$F52,$D52)&amp;IF($B52="상담중"," (상담)",""))</f>
        <v/>
      </c>
      <c r="AC52" s="45" t="n">
        <f aca="false">IF(AND($D52&lt;&gt;"",OR($B52="결제완료",$B52="상담중")),1,0)</f>
        <v>0</v>
      </c>
      <c r="AD52" s="45" t="n">
        <f aca="false">IF(OR($Z52="",$U52=""),0,IFERROR(IF(COUNTIFS(INDEX(g_grid,0,2*MATCH($M52,강사DB!$A$4:$A$15,0)),"&lt;&gt;",g_s,"&lt;="&amp;$U52,g_e,"&gt;="&amp;$U52)&gt;0,1,0),0))</f>
        <v>0</v>
      </c>
      <c r="AE52" s="48"/>
      <c r="AF52" s="56" t="str">
        <f aca="false">IF(AND($D52&lt;&gt;"",$B52="결제완료",$T52="대여"),설정!$J$5,"")</f>
        <v/>
      </c>
      <c r="AG52" s="54" t="str">
        <f aca="false">IF($D52="","",IF(AND($E52="",$R52=""),$AB52,"☎ "&amp;IF($E52="","-",$E52)&amp;IF($R52&lt;&gt;"","  ※ "&amp;$R52,"")&amp;IF($B52="상담중"," (상담)","")))</f>
        <v/>
      </c>
      <c r="AH52" s="56" t="str">
        <f aca="false">IF(AND($D52&lt;&gt;"",$B52="결제완료",$O52="스마트스토어"),ROUND(N($N52)*설정!$J$6,0),"")</f>
        <v/>
      </c>
      <c r="AI52" s="54" t="str">
        <f aca="false">IF($D52="","",ROW())</f>
        <v/>
      </c>
      <c r="AJ52" s="54" t="n">
        <f aca="false">IF(OR($AC52&lt;&gt;1,$M52=""),0,IF(ISNUMBER(SEARCH("퇴사",IFERROR(INDEX(강사DB!$G$4:$G$53,MATCH($M52,강사DB!$A$4:$A$53,0)),""))),1,0))</f>
        <v>0</v>
      </c>
    </row>
    <row r="53" customFormat="false" ht="15" hidden="false" customHeight="false" outlineLevel="0" collapsed="false">
      <c r="A53" s="45" t="str">
        <f aca="false">IF($D53="","",COUNTA($D$5:$D53))</f>
        <v/>
      </c>
      <c r="B53" s="46"/>
      <c r="C53" s="47"/>
      <c r="D53" s="48"/>
      <c r="E53" s="48"/>
      <c r="F53" s="49"/>
      <c r="G53" s="47"/>
      <c r="H53" s="50"/>
      <c r="I53" s="50"/>
      <c r="J53" s="51" t="str">
        <f aca="false">IF(OR($V53="",$W53=""),"",ROUND(($W53-$V53)/60,2))</f>
        <v/>
      </c>
      <c r="K53" s="52" t="str">
        <f aca="false">IF($F53="","",LEN($F53)-LEN(SUBSTITUTE($F53,",",""))+1)</f>
        <v/>
      </c>
      <c r="L53" s="45" t="str">
        <f aca="false">IF($K53="","","1:"&amp;$K53)</f>
        <v/>
      </c>
      <c r="M53" s="46"/>
      <c r="N53" s="53"/>
      <c r="O53" s="46"/>
      <c r="P53" s="47"/>
      <c r="Q53" s="48"/>
      <c r="R53" s="49"/>
      <c r="S53" s="54" t="str">
        <f aca="false">IF(OR($AC53=0,$U53="",$M53="",$V53="",$W53=""),"",IF(COUNTIFS(m_teacher,$M53,m_date,$U53,m_active,1,m_start,"&lt;"&amp;$W53,m_end,"&gt;"&amp;$V53)&gt;1,"충돌",""))</f>
        <v/>
      </c>
      <c r="T53" s="48"/>
      <c r="U53" s="55" t="str">
        <f aca="false">IF($G53="","",IFERROR(IF(ISNUMBER($G53),IF($G53&gt;19000000,DATE(INT($G53/10000),MOD(INT($G53/100),100),MOD($G53,100)),INT($G53)),IF(LEN(SUBSTITUTE(SUBSTITUTE(SUBSTITUTE(TRIM($G53),"-",""),".",""),"/",""))=8,DATE(VALUE(LEFT(SUBSTITUTE(SUBSTITUTE(SUBSTITUTE(TRIM($G53),"-",""),".",""),"/",""),4)),VALUE(MID(SUBSTITUTE(SUBSTITUTE(SUBSTITUTE(TRIM($G53),"-",""),".",""),"/",""),5,2)),VALUE(RIGHT(SUBSTITUTE(SUBSTITUTE(SUBSTITUTE(TRIM($G53),"-",""),".",""),"/",""),2))),DATEVALUE($G53))),""))</f>
        <v/>
      </c>
      <c r="V53" s="52" t="str">
        <f aca="false">IF($H53="","",IFERROR(IF(IF(ISNUMBER($H53),$H53,IFERROR(TIMEVALUE($H53),VALUE($H53)))&gt;=100,INT(IF(ISNUMBER($H53),$H53,IFERROR(TIMEVALUE($H53),VALUE($H53)))/100)*60+MOD(IF(ISNUMBER($H53),$H53,IFERROR(TIMEVALUE($H53),VALUE($H53))),100),IF(IF(ISNUMBER($H53),$H53,IFERROR(TIMEVALUE($H53),VALUE($H53)))&gt;=1,ROUND(IF(ISNUMBER($H53),$H53,IFERROR(TIMEVALUE($H53),VALUE($H53)))*60,0),ROUND(MOD(IF(ISNUMBER($H53),$H53,IFERROR(TIMEVALUE($H53),VALUE($H53))),1)*1440,0))),""))</f>
        <v/>
      </c>
      <c r="W53" s="52" t="str">
        <f aca="false">IF($I53="","",IFERROR(IF(IF(ISNUMBER($I53),$I53,IFERROR(TIMEVALUE($I53),VALUE($I53)))&gt;=100,INT(IF(ISNUMBER($I53),$I53,IFERROR(TIMEVALUE($I53),VALUE($I53)))/100)*60+MOD(IF(ISNUMBER($I53),$I53,IFERROR(TIMEVALUE($I53),VALUE($I53))),100),IF(IF(ISNUMBER($I53),$I53,IFERROR(TIMEVALUE($I53),VALUE($I53)))&gt;=1,ROUND(IF(ISNUMBER($I53),$I53,IFERROR(TIMEVALUE($I53),VALUE($I53)))*60,0),ROUND(MOD(IF(ISNUMBER($I53),$I53,IFERROR(TIMEVALUE($I53),VALUE($I53))),1)*1440,0))),""))</f>
        <v/>
      </c>
      <c r="X53" s="55" t="str">
        <f aca="false">IF($P53="","",IFERROR(IF(ISNUMBER($P53),IF($P53&gt;19000000,DATE(INT($P53/10000),MOD(INT($P53/100),100),MOD($P53,100)),INT($P53)),IF(LEN(SUBSTITUTE(SUBSTITUTE(SUBSTITUTE(TRIM($P53),"-",""),".",""),"/",""))=8,DATE(VALUE(LEFT(SUBSTITUTE(SUBSTITUTE(SUBSTITUTE(TRIM($P53),"-",""),".",""),"/",""),4)),VALUE(MID(SUBSTITUTE(SUBSTITUTE(SUBSTITUTE(TRIM($P53),"-",""),".",""),"/",""),5,2)),VALUE(RIGHT(SUBSTITUTE(SUBSTITUTE(SUBSTITUTE(TRIM($P53),"-",""),".",""),"/",""),2))),DATEVALUE($P53))),""))</f>
        <v/>
      </c>
      <c r="Y53" s="56" t="str">
        <f aca="false">IF($M53="","",IFERROR(INDEX(강사DB!$D$4:$D$53,MATCH($M53,강사DB!$A$4:$A$53,0)),""))</f>
        <v/>
      </c>
      <c r="Z53" s="56" t="str">
        <f aca="false">IF($B53&lt;&gt;"결제완료","",IF(OR($Y53="",$J53=""),"",$Y53*$J53+MAX(0,N($K53)-1)*설정!$J$7))</f>
        <v/>
      </c>
      <c r="AA53" s="56" t="str">
        <f aca="false">IF(AND($D53&lt;&gt;"",$B53="결제완료"),N($N53),"")</f>
        <v/>
      </c>
      <c r="AB53" s="45" t="str">
        <f aca="false">IF($D53="","",IF($F53&lt;&gt;"",$F53,$D53)&amp;IF($B53="상담중"," (상담)",""))</f>
        <v/>
      </c>
      <c r="AC53" s="45" t="n">
        <f aca="false">IF(AND($D53&lt;&gt;"",OR($B53="결제완료",$B53="상담중")),1,0)</f>
        <v>0</v>
      </c>
      <c r="AD53" s="45" t="n">
        <f aca="false">IF(OR($Z53="",$U53=""),0,IFERROR(IF(COUNTIFS(INDEX(g_grid,0,2*MATCH($M53,강사DB!$A$4:$A$15,0)),"&lt;&gt;",g_s,"&lt;="&amp;$U53,g_e,"&gt;="&amp;$U53)&gt;0,1,0),0))</f>
        <v>0</v>
      </c>
      <c r="AE53" s="48"/>
      <c r="AF53" s="56" t="str">
        <f aca="false">IF(AND($D53&lt;&gt;"",$B53="결제완료",$T53="대여"),설정!$J$5,"")</f>
        <v/>
      </c>
      <c r="AG53" s="54" t="str">
        <f aca="false">IF($D53="","",IF(AND($E53="",$R53=""),$AB53,"☎ "&amp;IF($E53="","-",$E53)&amp;IF($R53&lt;&gt;"","  ※ "&amp;$R53,"")&amp;IF($B53="상담중"," (상담)","")))</f>
        <v/>
      </c>
      <c r="AH53" s="56" t="str">
        <f aca="false">IF(AND($D53&lt;&gt;"",$B53="결제완료",$O53="스마트스토어"),ROUND(N($N53)*설정!$J$6,0),"")</f>
        <v/>
      </c>
      <c r="AI53" s="54" t="str">
        <f aca="false">IF($D53="","",ROW())</f>
        <v/>
      </c>
      <c r="AJ53" s="54" t="n">
        <f aca="false">IF(OR($AC53&lt;&gt;1,$M53=""),0,IF(ISNUMBER(SEARCH("퇴사",IFERROR(INDEX(강사DB!$G$4:$G$53,MATCH($M53,강사DB!$A$4:$A$53,0)),""))),1,0))</f>
        <v>0</v>
      </c>
    </row>
    <row r="54" customFormat="false" ht="15" hidden="false" customHeight="false" outlineLevel="0" collapsed="false">
      <c r="A54" s="45" t="str">
        <f aca="false">IF($D54="","",COUNTA($D$5:$D54))</f>
        <v/>
      </c>
      <c r="B54" s="46"/>
      <c r="C54" s="47"/>
      <c r="D54" s="48"/>
      <c r="E54" s="48"/>
      <c r="F54" s="49"/>
      <c r="G54" s="47"/>
      <c r="H54" s="50"/>
      <c r="I54" s="50"/>
      <c r="J54" s="51" t="str">
        <f aca="false">IF(OR($V54="",$W54=""),"",ROUND(($W54-$V54)/60,2))</f>
        <v/>
      </c>
      <c r="K54" s="52" t="str">
        <f aca="false">IF($F54="","",LEN($F54)-LEN(SUBSTITUTE($F54,",",""))+1)</f>
        <v/>
      </c>
      <c r="L54" s="45" t="str">
        <f aca="false">IF($K54="","","1:"&amp;$K54)</f>
        <v/>
      </c>
      <c r="M54" s="46"/>
      <c r="N54" s="53"/>
      <c r="O54" s="46"/>
      <c r="P54" s="47"/>
      <c r="Q54" s="48"/>
      <c r="R54" s="49"/>
      <c r="S54" s="54" t="str">
        <f aca="false">IF(OR($AC54=0,$U54="",$M54="",$V54="",$W54=""),"",IF(COUNTIFS(m_teacher,$M54,m_date,$U54,m_active,1,m_start,"&lt;"&amp;$W54,m_end,"&gt;"&amp;$V54)&gt;1,"충돌",""))</f>
        <v/>
      </c>
      <c r="T54" s="48"/>
      <c r="U54" s="55" t="str">
        <f aca="false">IF($G54="","",IFERROR(IF(ISNUMBER($G54),IF($G54&gt;19000000,DATE(INT($G54/10000),MOD(INT($G54/100),100),MOD($G54,100)),INT($G54)),IF(LEN(SUBSTITUTE(SUBSTITUTE(SUBSTITUTE(TRIM($G54),"-",""),".",""),"/",""))=8,DATE(VALUE(LEFT(SUBSTITUTE(SUBSTITUTE(SUBSTITUTE(TRIM($G54),"-",""),".",""),"/",""),4)),VALUE(MID(SUBSTITUTE(SUBSTITUTE(SUBSTITUTE(TRIM($G54),"-",""),".",""),"/",""),5,2)),VALUE(RIGHT(SUBSTITUTE(SUBSTITUTE(SUBSTITUTE(TRIM($G54),"-",""),".",""),"/",""),2))),DATEVALUE($G54))),""))</f>
        <v/>
      </c>
      <c r="V54" s="52" t="str">
        <f aca="false">IF($H54="","",IFERROR(IF(IF(ISNUMBER($H54),$H54,IFERROR(TIMEVALUE($H54),VALUE($H54)))&gt;=100,INT(IF(ISNUMBER($H54),$H54,IFERROR(TIMEVALUE($H54),VALUE($H54)))/100)*60+MOD(IF(ISNUMBER($H54),$H54,IFERROR(TIMEVALUE($H54),VALUE($H54))),100),IF(IF(ISNUMBER($H54),$H54,IFERROR(TIMEVALUE($H54),VALUE($H54)))&gt;=1,ROUND(IF(ISNUMBER($H54),$H54,IFERROR(TIMEVALUE($H54),VALUE($H54)))*60,0),ROUND(MOD(IF(ISNUMBER($H54),$H54,IFERROR(TIMEVALUE($H54),VALUE($H54))),1)*1440,0))),""))</f>
        <v/>
      </c>
      <c r="W54" s="52" t="str">
        <f aca="false">IF($I54="","",IFERROR(IF(IF(ISNUMBER($I54),$I54,IFERROR(TIMEVALUE($I54),VALUE($I54)))&gt;=100,INT(IF(ISNUMBER($I54),$I54,IFERROR(TIMEVALUE($I54),VALUE($I54)))/100)*60+MOD(IF(ISNUMBER($I54),$I54,IFERROR(TIMEVALUE($I54),VALUE($I54))),100),IF(IF(ISNUMBER($I54),$I54,IFERROR(TIMEVALUE($I54),VALUE($I54)))&gt;=1,ROUND(IF(ISNUMBER($I54),$I54,IFERROR(TIMEVALUE($I54),VALUE($I54)))*60,0),ROUND(MOD(IF(ISNUMBER($I54),$I54,IFERROR(TIMEVALUE($I54),VALUE($I54))),1)*1440,0))),""))</f>
        <v/>
      </c>
      <c r="X54" s="55" t="str">
        <f aca="false">IF($P54="","",IFERROR(IF(ISNUMBER($P54),IF($P54&gt;19000000,DATE(INT($P54/10000),MOD(INT($P54/100),100),MOD($P54,100)),INT($P54)),IF(LEN(SUBSTITUTE(SUBSTITUTE(SUBSTITUTE(TRIM($P54),"-",""),".",""),"/",""))=8,DATE(VALUE(LEFT(SUBSTITUTE(SUBSTITUTE(SUBSTITUTE(TRIM($P54),"-",""),".",""),"/",""),4)),VALUE(MID(SUBSTITUTE(SUBSTITUTE(SUBSTITUTE(TRIM($P54),"-",""),".",""),"/",""),5,2)),VALUE(RIGHT(SUBSTITUTE(SUBSTITUTE(SUBSTITUTE(TRIM($P54),"-",""),".",""),"/",""),2))),DATEVALUE($P54))),""))</f>
        <v/>
      </c>
      <c r="Y54" s="56" t="str">
        <f aca="false">IF($M54="","",IFERROR(INDEX(강사DB!$D$4:$D$53,MATCH($M54,강사DB!$A$4:$A$53,0)),""))</f>
        <v/>
      </c>
      <c r="Z54" s="56" t="str">
        <f aca="false">IF($B54&lt;&gt;"결제완료","",IF(OR($Y54="",$J54=""),"",$Y54*$J54+MAX(0,N($K54)-1)*설정!$J$7))</f>
        <v/>
      </c>
      <c r="AA54" s="56" t="str">
        <f aca="false">IF(AND($D54&lt;&gt;"",$B54="결제완료"),N($N54),"")</f>
        <v/>
      </c>
      <c r="AB54" s="45" t="str">
        <f aca="false">IF($D54="","",IF($F54&lt;&gt;"",$F54,$D54)&amp;IF($B54="상담중"," (상담)",""))</f>
        <v/>
      </c>
      <c r="AC54" s="45" t="n">
        <f aca="false">IF(AND($D54&lt;&gt;"",OR($B54="결제완료",$B54="상담중")),1,0)</f>
        <v>0</v>
      </c>
      <c r="AD54" s="45" t="n">
        <f aca="false">IF(OR($Z54="",$U54=""),0,IFERROR(IF(COUNTIFS(INDEX(g_grid,0,2*MATCH($M54,강사DB!$A$4:$A$15,0)),"&lt;&gt;",g_s,"&lt;="&amp;$U54,g_e,"&gt;="&amp;$U54)&gt;0,1,0),0))</f>
        <v>0</v>
      </c>
      <c r="AE54" s="48"/>
      <c r="AF54" s="56" t="str">
        <f aca="false">IF(AND($D54&lt;&gt;"",$B54="결제완료",$T54="대여"),설정!$J$5,"")</f>
        <v/>
      </c>
      <c r="AG54" s="54" t="str">
        <f aca="false">IF($D54="","",IF(AND($E54="",$R54=""),$AB54,"☎ "&amp;IF($E54="","-",$E54)&amp;IF($R54&lt;&gt;"","  ※ "&amp;$R54,"")&amp;IF($B54="상담중"," (상담)","")))</f>
        <v/>
      </c>
      <c r="AH54" s="56" t="str">
        <f aca="false">IF(AND($D54&lt;&gt;"",$B54="결제완료",$O54="스마트스토어"),ROUND(N($N54)*설정!$J$6,0),"")</f>
        <v/>
      </c>
      <c r="AI54" s="54" t="str">
        <f aca="false">IF($D54="","",ROW())</f>
        <v/>
      </c>
      <c r="AJ54" s="54" t="n">
        <f aca="false">IF(OR($AC54&lt;&gt;1,$M54=""),0,IF(ISNUMBER(SEARCH("퇴사",IFERROR(INDEX(강사DB!$G$4:$G$53,MATCH($M54,강사DB!$A$4:$A$53,0)),""))),1,0))</f>
        <v>0</v>
      </c>
    </row>
    <row r="55" customFormat="false" ht="15" hidden="false" customHeight="false" outlineLevel="0" collapsed="false">
      <c r="A55" s="45" t="str">
        <f aca="false">IF($D55="","",COUNTA($D$5:$D55))</f>
        <v/>
      </c>
      <c r="B55" s="46"/>
      <c r="C55" s="47"/>
      <c r="D55" s="48"/>
      <c r="E55" s="48"/>
      <c r="F55" s="49"/>
      <c r="G55" s="47"/>
      <c r="H55" s="50"/>
      <c r="I55" s="50"/>
      <c r="J55" s="51" t="str">
        <f aca="false">IF(OR($V55="",$W55=""),"",ROUND(($W55-$V55)/60,2))</f>
        <v/>
      </c>
      <c r="K55" s="52" t="str">
        <f aca="false">IF($F55="","",LEN($F55)-LEN(SUBSTITUTE($F55,",",""))+1)</f>
        <v/>
      </c>
      <c r="L55" s="45" t="str">
        <f aca="false">IF($K55="","","1:"&amp;$K55)</f>
        <v/>
      </c>
      <c r="M55" s="46"/>
      <c r="N55" s="53"/>
      <c r="O55" s="46"/>
      <c r="P55" s="47"/>
      <c r="Q55" s="48"/>
      <c r="R55" s="49"/>
      <c r="S55" s="54" t="str">
        <f aca="false">IF(OR($AC55=0,$U55="",$M55="",$V55="",$W55=""),"",IF(COUNTIFS(m_teacher,$M55,m_date,$U55,m_active,1,m_start,"&lt;"&amp;$W55,m_end,"&gt;"&amp;$V55)&gt;1,"충돌",""))</f>
        <v/>
      </c>
      <c r="T55" s="48"/>
      <c r="U55" s="55" t="str">
        <f aca="false">IF($G55="","",IFERROR(IF(ISNUMBER($G55),IF($G55&gt;19000000,DATE(INT($G55/10000),MOD(INT($G55/100),100),MOD($G55,100)),INT($G55)),IF(LEN(SUBSTITUTE(SUBSTITUTE(SUBSTITUTE(TRIM($G55),"-",""),".",""),"/",""))=8,DATE(VALUE(LEFT(SUBSTITUTE(SUBSTITUTE(SUBSTITUTE(TRIM($G55),"-",""),".",""),"/",""),4)),VALUE(MID(SUBSTITUTE(SUBSTITUTE(SUBSTITUTE(TRIM($G55),"-",""),".",""),"/",""),5,2)),VALUE(RIGHT(SUBSTITUTE(SUBSTITUTE(SUBSTITUTE(TRIM($G55),"-",""),".",""),"/",""),2))),DATEVALUE($G55))),""))</f>
        <v/>
      </c>
      <c r="V55" s="52" t="str">
        <f aca="false">IF($H55="","",IFERROR(IF(IF(ISNUMBER($H55),$H55,IFERROR(TIMEVALUE($H55),VALUE($H55)))&gt;=100,INT(IF(ISNUMBER($H55),$H55,IFERROR(TIMEVALUE($H55),VALUE($H55)))/100)*60+MOD(IF(ISNUMBER($H55),$H55,IFERROR(TIMEVALUE($H55),VALUE($H55))),100),IF(IF(ISNUMBER($H55),$H55,IFERROR(TIMEVALUE($H55),VALUE($H55)))&gt;=1,ROUND(IF(ISNUMBER($H55),$H55,IFERROR(TIMEVALUE($H55),VALUE($H55)))*60,0),ROUND(MOD(IF(ISNUMBER($H55),$H55,IFERROR(TIMEVALUE($H55),VALUE($H55))),1)*1440,0))),""))</f>
        <v/>
      </c>
      <c r="W55" s="52" t="str">
        <f aca="false">IF($I55="","",IFERROR(IF(IF(ISNUMBER($I55),$I55,IFERROR(TIMEVALUE($I55),VALUE($I55)))&gt;=100,INT(IF(ISNUMBER($I55),$I55,IFERROR(TIMEVALUE($I55),VALUE($I55)))/100)*60+MOD(IF(ISNUMBER($I55),$I55,IFERROR(TIMEVALUE($I55),VALUE($I55))),100),IF(IF(ISNUMBER($I55),$I55,IFERROR(TIMEVALUE($I55),VALUE($I55)))&gt;=1,ROUND(IF(ISNUMBER($I55),$I55,IFERROR(TIMEVALUE($I55),VALUE($I55)))*60,0),ROUND(MOD(IF(ISNUMBER($I55),$I55,IFERROR(TIMEVALUE($I55),VALUE($I55))),1)*1440,0))),""))</f>
        <v/>
      </c>
      <c r="X55" s="55" t="str">
        <f aca="false">IF($P55="","",IFERROR(IF(ISNUMBER($P55),IF($P55&gt;19000000,DATE(INT($P55/10000),MOD(INT($P55/100),100),MOD($P55,100)),INT($P55)),IF(LEN(SUBSTITUTE(SUBSTITUTE(SUBSTITUTE(TRIM($P55),"-",""),".",""),"/",""))=8,DATE(VALUE(LEFT(SUBSTITUTE(SUBSTITUTE(SUBSTITUTE(TRIM($P55),"-",""),".",""),"/",""),4)),VALUE(MID(SUBSTITUTE(SUBSTITUTE(SUBSTITUTE(TRIM($P55),"-",""),".",""),"/",""),5,2)),VALUE(RIGHT(SUBSTITUTE(SUBSTITUTE(SUBSTITUTE(TRIM($P55),"-",""),".",""),"/",""),2))),DATEVALUE($P55))),""))</f>
        <v/>
      </c>
      <c r="Y55" s="56" t="str">
        <f aca="false">IF($M55="","",IFERROR(INDEX(강사DB!$D$4:$D$53,MATCH($M55,강사DB!$A$4:$A$53,0)),""))</f>
        <v/>
      </c>
      <c r="Z55" s="56" t="str">
        <f aca="false">IF($B55&lt;&gt;"결제완료","",IF(OR($Y55="",$J55=""),"",$Y55*$J55+MAX(0,N($K55)-1)*설정!$J$7))</f>
        <v/>
      </c>
      <c r="AA55" s="56" t="str">
        <f aca="false">IF(AND($D55&lt;&gt;"",$B55="결제완료"),N($N55),"")</f>
        <v/>
      </c>
      <c r="AB55" s="45" t="str">
        <f aca="false">IF($D55="","",IF($F55&lt;&gt;"",$F55,$D55)&amp;IF($B55="상담중"," (상담)",""))</f>
        <v/>
      </c>
      <c r="AC55" s="45" t="n">
        <f aca="false">IF(AND($D55&lt;&gt;"",OR($B55="결제완료",$B55="상담중")),1,0)</f>
        <v>0</v>
      </c>
      <c r="AD55" s="45" t="n">
        <f aca="false">IF(OR($Z55="",$U55=""),0,IFERROR(IF(COUNTIFS(INDEX(g_grid,0,2*MATCH($M55,강사DB!$A$4:$A$15,0)),"&lt;&gt;",g_s,"&lt;="&amp;$U55,g_e,"&gt;="&amp;$U55)&gt;0,1,0),0))</f>
        <v>0</v>
      </c>
      <c r="AE55" s="48"/>
      <c r="AF55" s="56" t="str">
        <f aca="false">IF(AND($D55&lt;&gt;"",$B55="결제완료",$T55="대여"),설정!$J$5,"")</f>
        <v/>
      </c>
      <c r="AG55" s="54" t="str">
        <f aca="false">IF($D55="","",IF(AND($E55="",$R55=""),$AB55,"☎ "&amp;IF($E55="","-",$E55)&amp;IF($R55&lt;&gt;"","  ※ "&amp;$R55,"")&amp;IF($B55="상담중"," (상담)","")))</f>
        <v/>
      </c>
      <c r="AH55" s="56" t="str">
        <f aca="false">IF(AND($D55&lt;&gt;"",$B55="결제완료",$O55="스마트스토어"),ROUND(N($N55)*설정!$J$6,0),"")</f>
        <v/>
      </c>
      <c r="AI55" s="54" t="str">
        <f aca="false">IF($D55="","",ROW())</f>
        <v/>
      </c>
      <c r="AJ55" s="54" t="n">
        <f aca="false">IF(OR($AC55&lt;&gt;1,$M55=""),0,IF(ISNUMBER(SEARCH("퇴사",IFERROR(INDEX(강사DB!$G$4:$G$53,MATCH($M55,강사DB!$A$4:$A$53,0)),""))),1,0))</f>
        <v>0</v>
      </c>
    </row>
    <row r="56" customFormat="false" ht="15" hidden="false" customHeight="false" outlineLevel="0" collapsed="false">
      <c r="A56" s="45" t="str">
        <f aca="false">IF($D56="","",COUNTA($D$5:$D56))</f>
        <v/>
      </c>
      <c r="B56" s="46"/>
      <c r="C56" s="47"/>
      <c r="D56" s="48"/>
      <c r="E56" s="48"/>
      <c r="F56" s="49"/>
      <c r="G56" s="47"/>
      <c r="H56" s="50"/>
      <c r="I56" s="50"/>
      <c r="J56" s="51" t="str">
        <f aca="false">IF(OR($V56="",$W56=""),"",ROUND(($W56-$V56)/60,2))</f>
        <v/>
      </c>
      <c r="K56" s="52" t="str">
        <f aca="false">IF($F56="","",LEN($F56)-LEN(SUBSTITUTE($F56,",",""))+1)</f>
        <v/>
      </c>
      <c r="L56" s="45" t="str">
        <f aca="false">IF($K56="","","1:"&amp;$K56)</f>
        <v/>
      </c>
      <c r="M56" s="46"/>
      <c r="N56" s="53"/>
      <c r="O56" s="46"/>
      <c r="P56" s="47"/>
      <c r="Q56" s="48"/>
      <c r="R56" s="49"/>
      <c r="S56" s="54" t="str">
        <f aca="false">IF(OR($AC56=0,$U56="",$M56="",$V56="",$W56=""),"",IF(COUNTIFS(m_teacher,$M56,m_date,$U56,m_active,1,m_start,"&lt;"&amp;$W56,m_end,"&gt;"&amp;$V56)&gt;1,"충돌",""))</f>
        <v/>
      </c>
      <c r="T56" s="48"/>
      <c r="U56" s="55" t="str">
        <f aca="false">IF($G56="","",IFERROR(IF(ISNUMBER($G56),IF($G56&gt;19000000,DATE(INT($G56/10000),MOD(INT($G56/100),100),MOD($G56,100)),INT($G56)),IF(LEN(SUBSTITUTE(SUBSTITUTE(SUBSTITUTE(TRIM($G56),"-",""),".",""),"/",""))=8,DATE(VALUE(LEFT(SUBSTITUTE(SUBSTITUTE(SUBSTITUTE(TRIM($G56),"-",""),".",""),"/",""),4)),VALUE(MID(SUBSTITUTE(SUBSTITUTE(SUBSTITUTE(TRIM($G56),"-",""),".",""),"/",""),5,2)),VALUE(RIGHT(SUBSTITUTE(SUBSTITUTE(SUBSTITUTE(TRIM($G56),"-",""),".",""),"/",""),2))),DATEVALUE($G56))),""))</f>
        <v/>
      </c>
      <c r="V56" s="52" t="str">
        <f aca="false">IF($H56="","",IFERROR(IF(IF(ISNUMBER($H56),$H56,IFERROR(TIMEVALUE($H56),VALUE($H56)))&gt;=100,INT(IF(ISNUMBER($H56),$H56,IFERROR(TIMEVALUE($H56),VALUE($H56)))/100)*60+MOD(IF(ISNUMBER($H56),$H56,IFERROR(TIMEVALUE($H56),VALUE($H56))),100),IF(IF(ISNUMBER($H56),$H56,IFERROR(TIMEVALUE($H56),VALUE($H56)))&gt;=1,ROUND(IF(ISNUMBER($H56),$H56,IFERROR(TIMEVALUE($H56),VALUE($H56)))*60,0),ROUND(MOD(IF(ISNUMBER($H56),$H56,IFERROR(TIMEVALUE($H56),VALUE($H56))),1)*1440,0))),""))</f>
        <v/>
      </c>
      <c r="W56" s="52" t="str">
        <f aca="false">IF($I56="","",IFERROR(IF(IF(ISNUMBER($I56),$I56,IFERROR(TIMEVALUE($I56),VALUE($I56)))&gt;=100,INT(IF(ISNUMBER($I56),$I56,IFERROR(TIMEVALUE($I56),VALUE($I56)))/100)*60+MOD(IF(ISNUMBER($I56),$I56,IFERROR(TIMEVALUE($I56),VALUE($I56))),100),IF(IF(ISNUMBER($I56),$I56,IFERROR(TIMEVALUE($I56),VALUE($I56)))&gt;=1,ROUND(IF(ISNUMBER($I56),$I56,IFERROR(TIMEVALUE($I56),VALUE($I56)))*60,0),ROUND(MOD(IF(ISNUMBER($I56),$I56,IFERROR(TIMEVALUE($I56),VALUE($I56))),1)*1440,0))),""))</f>
        <v/>
      </c>
      <c r="X56" s="55" t="str">
        <f aca="false">IF($P56="","",IFERROR(IF(ISNUMBER($P56),IF($P56&gt;19000000,DATE(INT($P56/10000),MOD(INT($P56/100),100),MOD($P56,100)),INT($P56)),IF(LEN(SUBSTITUTE(SUBSTITUTE(SUBSTITUTE(TRIM($P56),"-",""),".",""),"/",""))=8,DATE(VALUE(LEFT(SUBSTITUTE(SUBSTITUTE(SUBSTITUTE(TRIM($P56),"-",""),".",""),"/",""),4)),VALUE(MID(SUBSTITUTE(SUBSTITUTE(SUBSTITUTE(TRIM($P56),"-",""),".",""),"/",""),5,2)),VALUE(RIGHT(SUBSTITUTE(SUBSTITUTE(SUBSTITUTE(TRIM($P56),"-",""),".",""),"/",""),2))),DATEVALUE($P56))),""))</f>
        <v/>
      </c>
      <c r="Y56" s="56" t="str">
        <f aca="false">IF($M56="","",IFERROR(INDEX(강사DB!$D$4:$D$53,MATCH($M56,강사DB!$A$4:$A$53,0)),""))</f>
        <v/>
      </c>
      <c r="Z56" s="56" t="str">
        <f aca="false">IF($B56&lt;&gt;"결제완료","",IF(OR($Y56="",$J56=""),"",$Y56*$J56+MAX(0,N($K56)-1)*설정!$J$7))</f>
        <v/>
      </c>
      <c r="AA56" s="56" t="str">
        <f aca="false">IF(AND($D56&lt;&gt;"",$B56="결제완료"),N($N56),"")</f>
        <v/>
      </c>
      <c r="AB56" s="45" t="str">
        <f aca="false">IF($D56="","",IF($F56&lt;&gt;"",$F56,$D56)&amp;IF($B56="상담중"," (상담)",""))</f>
        <v/>
      </c>
      <c r="AC56" s="45" t="n">
        <f aca="false">IF(AND($D56&lt;&gt;"",OR($B56="결제완료",$B56="상담중")),1,0)</f>
        <v>0</v>
      </c>
      <c r="AD56" s="45" t="n">
        <f aca="false">IF(OR($Z56="",$U56=""),0,IFERROR(IF(COUNTIFS(INDEX(g_grid,0,2*MATCH($M56,강사DB!$A$4:$A$15,0)),"&lt;&gt;",g_s,"&lt;="&amp;$U56,g_e,"&gt;="&amp;$U56)&gt;0,1,0),0))</f>
        <v>0</v>
      </c>
      <c r="AE56" s="48"/>
      <c r="AF56" s="56" t="str">
        <f aca="false">IF(AND($D56&lt;&gt;"",$B56="결제완료",$T56="대여"),설정!$J$5,"")</f>
        <v/>
      </c>
      <c r="AG56" s="54" t="str">
        <f aca="false">IF($D56="","",IF(AND($E56="",$R56=""),$AB56,"☎ "&amp;IF($E56="","-",$E56)&amp;IF($R56&lt;&gt;"","  ※ "&amp;$R56,"")&amp;IF($B56="상담중"," (상담)","")))</f>
        <v/>
      </c>
      <c r="AH56" s="56" t="str">
        <f aca="false">IF(AND($D56&lt;&gt;"",$B56="결제완료",$O56="스마트스토어"),ROUND(N($N56)*설정!$J$6,0),"")</f>
        <v/>
      </c>
      <c r="AI56" s="54" t="str">
        <f aca="false">IF($D56="","",ROW())</f>
        <v/>
      </c>
      <c r="AJ56" s="54" t="n">
        <f aca="false">IF(OR($AC56&lt;&gt;1,$M56=""),0,IF(ISNUMBER(SEARCH("퇴사",IFERROR(INDEX(강사DB!$G$4:$G$53,MATCH($M56,강사DB!$A$4:$A$53,0)),""))),1,0))</f>
        <v>0</v>
      </c>
    </row>
    <row r="57" customFormat="false" ht="15" hidden="false" customHeight="false" outlineLevel="0" collapsed="false">
      <c r="A57" s="45" t="str">
        <f aca="false">IF($D57="","",COUNTA($D$5:$D57))</f>
        <v/>
      </c>
      <c r="B57" s="46"/>
      <c r="C57" s="47"/>
      <c r="D57" s="48"/>
      <c r="E57" s="48"/>
      <c r="F57" s="49"/>
      <c r="G57" s="47"/>
      <c r="H57" s="50"/>
      <c r="I57" s="50"/>
      <c r="J57" s="51" t="str">
        <f aca="false">IF(OR($V57="",$W57=""),"",ROUND(($W57-$V57)/60,2))</f>
        <v/>
      </c>
      <c r="K57" s="52" t="str">
        <f aca="false">IF($F57="","",LEN($F57)-LEN(SUBSTITUTE($F57,",",""))+1)</f>
        <v/>
      </c>
      <c r="L57" s="45" t="str">
        <f aca="false">IF($K57="","","1:"&amp;$K57)</f>
        <v/>
      </c>
      <c r="M57" s="46"/>
      <c r="N57" s="53"/>
      <c r="O57" s="46"/>
      <c r="P57" s="47"/>
      <c r="Q57" s="48"/>
      <c r="R57" s="49"/>
      <c r="S57" s="54" t="str">
        <f aca="false">IF(OR($AC57=0,$U57="",$M57="",$V57="",$W57=""),"",IF(COUNTIFS(m_teacher,$M57,m_date,$U57,m_active,1,m_start,"&lt;"&amp;$W57,m_end,"&gt;"&amp;$V57)&gt;1,"충돌",""))</f>
        <v/>
      </c>
      <c r="T57" s="48"/>
      <c r="U57" s="55" t="str">
        <f aca="false">IF($G57="","",IFERROR(IF(ISNUMBER($G57),IF($G57&gt;19000000,DATE(INT($G57/10000),MOD(INT($G57/100),100),MOD($G57,100)),INT($G57)),IF(LEN(SUBSTITUTE(SUBSTITUTE(SUBSTITUTE(TRIM($G57),"-",""),".",""),"/",""))=8,DATE(VALUE(LEFT(SUBSTITUTE(SUBSTITUTE(SUBSTITUTE(TRIM($G57),"-",""),".",""),"/",""),4)),VALUE(MID(SUBSTITUTE(SUBSTITUTE(SUBSTITUTE(TRIM($G57),"-",""),".",""),"/",""),5,2)),VALUE(RIGHT(SUBSTITUTE(SUBSTITUTE(SUBSTITUTE(TRIM($G57),"-",""),".",""),"/",""),2))),DATEVALUE($G57))),""))</f>
        <v/>
      </c>
      <c r="V57" s="52" t="str">
        <f aca="false">IF($H57="","",IFERROR(IF(IF(ISNUMBER($H57),$H57,IFERROR(TIMEVALUE($H57),VALUE($H57)))&gt;=100,INT(IF(ISNUMBER($H57),$H57,IFERROR(TIMEVALUE($H57),VALUE($H57)))/100)*60+MOD(IF(ISNUMBER($H57),$H57,IFERROR(TIMEVALUE($H57),VALUE($H57))),100),IF(IF(ISNUMBER($H57),$H57,IFERROR(TIMEVALUE($H57),VALUE($H57)))&gt;=1,ROUND(IF(ISNUMBER($H57),$H57,IFERROR(TIMEVALUE($H57),VALUE($H57)))*60,0),ROUND(MOD(IF(ISNUMBER($H57),$H57,IFERROR(TIMEVALUE($H57),VALUE($H57))),1)*1440,0))),""))</f>
        <v/>
      </c>
      <c r="W57" s="52" t="str">
        <f aca="false">IF($I57="","",IFERROR(IF(IF(ISNUMBER($I57),$I57,IFERROR(TIMEVALUE($I57),VALUE($I57)))&gt;=100,INT(IF(ISNUMBER($I57),$I57,IFERROR(TIMEVALUE($I57),VALUE($I57)))/100)*60+MOD(IF(ISNUMBER($I57),$I57,IFERROR(TIMEVALUE($I57),VALUE($I57))),100),IF(IF(ISNUMBER($I57),$I57,IFERROR(TIMEVALUE($I57),VALUE($I57)))&gt;=1,ROUND(IF(ISNUMBER($I57),$I57,IFERROR(TIMEVALUE($I57),VALUE($I57)))*60,0),ROUND(MOD(IF(ISNUMBER($I57),$I57,IFERROR(TIMEVALUE($I57),VALUE($I57))),1)*1440,0))),""))</f>
        <v/>
      </c>
      <c r="X57" s="55" t="str">
        <f aca="false">IF($P57="","",IFERROR(IF(ISNUMBER($P57),IF($P57&gt;19000000,DATE(INT($P57/10000),MOD(INT($P57/100),100),MOD($P57,100)),INT($P57)),IF(LEN(SUBSTITUTE(SUBSTITUTE(SUBSTITUTE(TRIM($P57),"-",""),".",""),"/",""))=8,DATE(VALUE(LEFT(SUBSTITUTE(SUBSTITUTE(SUBSTITUTE(TRIM($P57),"-",""),".",""),"/",""),4)),VALUE(MID(SUBSTITUTE(SUBSTITUTE(SUBSTITUTE(TRIM($P57),"-",""),".",""),"/",""),5,2)),VALUE(RIGHT(SUBSTITUTE(SUBSTITUTE(SUBSTITUTE(TRIM($P57),"-",""),".",""),"/",""),2))),DATEVALUE($P57))),""))</f>
        <v/>
      </c>
      <c r="Y57" s="56" t="str">
        <f aca="false">IF($M57="","",IFERROR(INDEX(강사DB!$D$4:$D$53,MATCH($M57,강사DB!$A$4:$A$53,0)),""))</f>
        <v/>
      </c>
      <c r="Z57" s="56" t="str">
        <f aca="false">IF($B57&lt;&gt;"결제완료","",IF(OR($Y57="",$J57=""),"",$Y57*$J57+MAX(0,N($K57)-1)*설정!$J$7))</f>
        <v/>
      </c>
      <c r="AA57" s="56" t="str">
        <f aca="false">IF(AND($D57&lt;&gt;"",$B57="결제완료"),N($N57),"")</f>
        <v/>
      </c>
      <c r="AB57" s="45" t="str">
        <f aca="false">IF($D57="","",IF($F57&lt;&gt;"",$F57,$D57)&amp;IF($B57="상담중"," (상담)",""))</f>
        <v/>
      </c>
      <c r="AC57" s="45" t="n">
        <f aca="false">IF(AND($D57&lt;&gt;"",OR($B57="결제완료",$B57="상담중")),1,0)</f>
        <v>0</v>
      </c>
      <c r="AD57" s="45" t="n">
        <f aca="false">IF(OR($Z57="",$U57=""),0,IFERROR(IF(COUNTIFS(INDEX(g_grid,0,2*MATCH($M57,강사DB!$A$4:$A$15,0)),"&lt;&gt;",g_s,"&lt;="&amp;$U57,g_e,"&gt;="&amp;$U57)&gt;0,1,0),0))</f>
        <v>0</v>
      </c>
      <c r="AE57" s="48"/>
      <c r="AF57" s="56" t="str">
        <f aca="false">IF(AND($D57&lt;&gt;"",$B57="결제완료",$T57="대여"),설정!$J$5,"")</f>
        <v/>
      </c>
      <c r="AG57" s="54" t="str">
        <f aca="false">IF($D57="","",IF(AND($E57="",$R57=""),$AB57,"☎ "&amp;IF($E57="","-",$E57)&amp;IF($R57&lt;&gt;"","  ※ "&amp;$R57,"")&amp;IF($B57="상담중"," (상담)","")))</f>
        <v/>
      </c>
      <c r="AH57" s="56" t="str">
        <f aca="false">IF(AND($D57&lt;&gt;"",$B57="결제완료",$O57="스마트스토어"),ROUND(N($N57)*설정!$J$6,0),"")</f>
        <v/>
      </c>
      <c r="AI57" s="54" t="str">
        <f aca="false">IF($D57="","",ROW())</f>
        <v/>
      </c>
      <c r="AJ57" s="54" t="n">
        <f aca="false">IF(OR($AC57&lt;&gt;1,$M57=""),0,IF(ISNUMBER(SEARCH("퇴사",IFERROR(INDEX(강사DB!$G$4:$G$53,MATCH($M57,강사DB!$A$4:$A$53,0)),""))),1,0))</f>
        <v>0</v>
      </c>
    </row>
    <row r="58" customFormat="false" ht="15" hidden="false" customHeight="false" outlineLevel="0" collapsed="false">
      <c r="A58" s="45" t="str">
        <f aca="false">IF($D58="","",COUNTA($D$5:$D58))</f>
        <v/>
      </c>
      <c r="B58" s="46"/>
      <c r="C58" s="47"/>
      <c r="D58" s="48"/>
      <c r="E58" s="48"/>
      <c r="F58" s="49"/>
      <c r="G58" s="47"/>
      <c r="H58" s="50"/>
      <c r="I58" s="50"/>
      <c r="J58" s="51" t="str">
        <f aca="false">IF(OR($V58="",$W58=""),"",ROUND(($W58-$V58)/60,2))</f>
        <v/>
      </c>
      <c r="K58" s="52" t="str">
        <f aca="false">IF($F58="","",LEN($F58)-LEN(SUBSTITUTE($F58,",",""))+1)</f>
        <v/>
      </c>
      <c r="L58" s="45" t="str">
        <f aca="false">IF($K58="","","1:"&amp;$K58)</f>
        <v/>
      </c>
      <c r="M58" s="46"/>
      <c r="N58" s="53"/>
      <c r="O58" s="46"/>
      <c r="P58" s="47"/>
      <c r="Q58" s="48"/>
      <c r="R58" s="49"/>
      <c r="S58" s="54" t="str">
        <f aca="false">IF(OR($AC58=0,$U58="",$M58="",$V58="",$W58=""),"",IF(COUNTIFS(m_teacher,$M58,m_date,$U58,m_active,1,m_start,"&lt;"&amp;$W58,m_end,"&gt;"&amp;$V58)&gt;1,"충돌",""))</f>
        <v/>
      </c>
      <c r="T58" s="48"/>
      <c r="U58" s="55" t="str">
        <f aca="false">IF($G58="","",IFERROR(IF(ISNUMBER($G58),IF($G58&gt;19000000,DATE(INT($G58/10000),MOD(INT($G58/100),100),MOD($G58,100)),INT($G58)),IF(LEN(SUBSTITUTE(SUBSTITUTE(SUBSTITUTE(TRIM($G58),"-",""),".",""),"/",""))=8,DATE(VALUE(LEFT(SUBSTITUTE(SUBSTITUTE(SUBSTITUTE(TRIM($G58),"-",""),".",""),"/",""),4)),VALUE(MID(SUBSTITUTE(SUBSTITUTE(SUBSTITUTE(TRIM($G58),"-",""),".",""),"/",""),5,2)),VALUE(RIGHT(SUBSTITUTE(SUBSTITUTE(SUBSTITUTE(TRIM($G58),"-",""),".",""),"/",""),2))),DATEVALUE($G58))),""))</f>
        <v/>
      </c>
      <c r="V58" s="52" t="str">
        <f aca="false">IF($H58="","",IFERROR(IF(IF(ISNUMBER($H58),$H58,IFERROR(TIMEVALUE($H58),VALUE($H58)))&gt;=100,INT(IF(ISNUMBER($H58),$H58,IFERROR(TIMEVALUE($H58),VALUE($H58)))/100)*60+MOD(IF(ISNUMBER($H58),$H58,IFERROR(TIMEVALUE($H58),VALUE($H58))),100),IF(IF(ISNUMBER($H58),$H58,IFERROR(TIMEVALUE($H58),VALUE($H58)))&gt;=1,ROUND(IF(ISNUMBER($H58),$H58,IFERROR(TIMEVALUE($H58),VALUE($H58)))*60,0),ROUND(MOD(IF(ISNUMBER($H58),$H58,IFERROR(TIMEVALUE($H58),VALUE($H58))),1)*1440,0))),""))</f>
        <v/>
      </c>
      <c r="W58" s="52" t="str">
        <f aca="false">IF($I58="","",IFERROR(IF(IF(ISNUMBER($I58),$I58,IFERROR(TIMEVALUE($I58),VALUE($I58)))&gt;=100,INT(IF(ISNUMBER($I58),$I58,IFERROR(TIMEVALUE($I58),VALUE($I58)))/100)*60+MOD(IF(ISNUMBER($I58),$I58,IFERROR(TIMEVALUE($I58),VALUE($I58))),100),IF(IF(ISNUMBER($I58),$I58,IFERROR(TIMEVALUE($I58),VALUE($I58)))&gt;=1,ROUND(IF(ISNUMBER($I58),$I58,IFERROR(TIMEVALUE($I58),VALUE($I58)))*60,0),ROUND(MOD(IF(ISNUMBER($I58),$I58,IFERROR(TIMEVALUE($I58),VALUE($I58))),1)*1440,0))),""))</f>
        <v/>
      </c>
      <c r="X58" s="55" t="str">
        <f aca="false">IF($P58="","",IFERROR(IF(ISNUMBER($P58),IF($P58&gt;19000000,DATE(INT($P58/10000),MOD(INT($P58/100),100),MOD($P58,100)),INT($P58)),IF(LEN(SUBSTITUTE(SUBSTITUTE(SUBSTITUTE(TRIM($P58),"-",""),".",""),"/",""))=8,DATE(VALUE(LEFT(SUBSTITUTE(SUBSTITUTE(SUBSTITUTE(TRIM($P58),"-",""),".",""),"/",""),4)),VALUE(MID(SUBSTITUTE(SUBSTITUTE(SUBSTITUTE(TRIM($P58),"-",""),".",""),"/",""),5,2)),VALUE(RIGHT(SUBSTITUTE(SUBSTITUTE(SUBSTITUTE(TRIM($P58),"-",""),".",""),"/",""),2))),DATEVALUE($P58))),""))</f>
        <v/>
      </c>
      <c r="Y58" s="56" t="str">
        <f aca="false">IF($M58="","",IFERROR(INDEX(강사DB!$D$4:$D$53,MATCH($M58,강사DB!$A$4:$A$53,0)),""))</f>
        <v/>
      </c>
      <c r="Z58" s="56" t="str">
        <f aca="false">IF($B58&lt;&gt;"결제완료","",IF(OR($Y58="",$J58=""),"",$Y58*$J58+MAX(0,N($K58)-1)*설정!$J$7))</f>
        <v/>
      </c>
      <c r="AA58" s="56" t="str">
        <f aca="false">IF(AND($D58&lt;&gt;"",$B58="결제완료"),N($N58),"")</f>
        <v/>
      </c>
      <c r="AB58" s="45" t="str">
        <f aca="false">IF($D58="","",IF($F58&lt;&gt;"",$F58,$D58)&amp;IF($B58="상담중"," (상담)",""))</f>
        <v/>
      </c>
      <c r="AC58" s="45" t="n">
        <f aca="false">IF(AND($D58&lt;&gt;"",OR($B58="결제완료",$B58="상담중")),1,0)</f>
        <v>0</v>
      </c>
      <c r="AD58" s="45" t="n">
        <f aca="false">IF(OR($Z58="",$U58=""),0,IFERROR(IF(COUNTIFS(INDEX(g_grid,0,2*MATCH($M58,강사DB!$A$4:$A$15,0)),"&lt;&gt;",g_s,"&lt;="&amp;$U58,g_e,"&gt;="&amp;$U58)&gt;0,1,0),0))</f>
        <v>0</v>
      </c>
      <c r="AE58" s="48"/>
      <c r="AF58" s="56" t="str">
        <f aca="false">IF(AND($D58&lt;&gt;"",$B58="결제완료",$T58="대여"),설정!$J$5,"")</f>
        <v/>
      </c>
      <c r="AG58" s="54" t="str">
        <f aca="false">IF($D58="","",IF(AND($E58="",$R58=""),$AB58,"☎ "&amp;IF($E58="","-",$E58)&amp;IF($R58&lt;&gt;"","  ※ "&amp;$R58,"")&amp;IF($B58="상담중"," (상담)","")))</f>
        <v/>
      </c>
      <c r="AH58" s="56" t="str">
        <f aca="false">IF(AND($D58&lt;&gt;"",$B58="결제완료",$O58="스마트스토어"),ROUND(N($N58)*설정!$J$6,0),"")</f>
        <v/>
      </c>
      <c r="AI58" s="54" t="str">
        <f aca="false">IF($D58="","",ROW())</f>
        <v/>
      </c>
      <c r="AJ58" s="54" t="n">
        <f aca="false">IF(OR($AC58&lt;&gt;1,$M58=""),0,IF(ISNUMBER(SEARCH("퇴사",IFERROR(INDEX(강사DB!$G$4:$G$53,MATCH($M58,강사DB!$A$4:$A$53,0)),""))),1,0))</f>
        <v>0</v>
      </c>
    </row>
    <row r="59" customFormat="false" ht="15" hidden="false" customHeight="false" outlineLevel="0" collapsed="false">
      <c r="A59" s="45" t="str">
        <f aca="false">IF($D59="","",COUNTA($D$5:$D59))</f>
        <v/>
      </c>
      <c r="B59" s="46"/>
      <c r="C59" s="47"/>
      <c r="D59" s="48"/>
      <c r="E59" s="48"/>
      <c r="F59" s="49"/>
      <c r="G59" s="47"/>
      <c r="H59" s="50"/>
      <c r="I59" s="50"/>
      <c r="J59" s="51" t="str">
        <f aca="false">IF(OR($V59="",$W59=""),"",ROUND(($W59-$V59)/60,2))</f>
        <v/>
      </c>
      <c r="K59" s="52" t="str">
        <f aca="false">IF($F59="","",LEN($F59)-LEN(SUBSTITUTE($F59,",",""))+1)</f>
        <v/>
      </c>
      <c r="L59" s="45" t="str">
        <f aca="false">IF($K59="","","1:"&amp;$K59)</f>
        <v/>
      </c>
      <c r="M59" s="46"/>
      <c r="N59" s="53"/>
      <c r="O59" s="46"/>
      <c r="P59" s="47"/>
      <c r="Q59" s="48"/>
      <c r="R59" s="49"/>
      <c r="S59" s="54" t="str">
        <f aca="false">IF(OR($AC59=0,$U59="",$M59="",$V59="",$W59=""),"",IF(COUNTIFS(m_teacher,$M59,m_date,$U59,m_active,1,m_start,"&lt;"&amp;$W59,m_end,"&gt;"&amp;$V59)&gt;1,"충돌",""))</f>
        <v/>
      </c>
      <c r="T59" s="48"/>
      <c r="U59" s="55" t="str">
        <f aca="false">IF($G59="","",IFERROR(IF(ISNUMBER($G59),IF($G59&gt;19000000,DATE(INT($G59/10000),MOD(INT($G59/100),100),MOD($G59,100)),INT($G59)),IF(LEN(SUBSTITUTE(SUBSTITUTE(SUBSTITUTE(TRIM($G59),"-",""),".",""),"/",""))=8,DATE(VALUE(LEFT(SUBSTITUTE(SUBSTITUTE(SUBSTITUTE(TRIM($G59),"-",""),".",""),"/",""),4)),VALUE(MID(SUBSTITUTE(SUBSTITUTE(SUBSTITUTE(TRIM($G59),"-",""),".",""),"/",""),5,2)),VALUE(RIGHT(SUBSTITUTE(SUBSTITUTE(SUBSTITUTE(TRIM($G59),"-",""),".",""),"/",""),2))),DATEVALUE($G59))),""))</f>
        <v/>
      </c>
      <c r="V59" s="52" t="str">
        <f aca="false">IF($H59="","",IFERROR(IF(IF(ISNUMBER($H59),$H59,IFERROR(TIMEVALUE($H59),VALUE($H59)))&gt;=100,INT(IF(ISNUMBER($H59),$H59,IFERROR(TIMEVALUE($H59),VALUE($H59)))/100)*60+MOD(IF(ISNUMBER($H59),$H59,IFERROR(TIMEVALUE($H59),VALUE($H59))),100),IF(IF(ISNUMBER($H59),$H59,IFERROR(TIMEVALUE($H59),VALUE($H59)))&gt;=1,ROUND(IF(ISNUMBER($H59),$H59,IFERROR(TIMEVALUE($H59),VALUE($H59)))*60,0),ROUND(MOD(IF(ISNUMBER($H59),$H59,IFERROR(TIMEVALUE($H59),VALUE($H59))),1)*1440,0))),""))</f>
        <v/>
      </c>
      <c r="W59" s="52" t="str">
        <f aca="false">IF($I59="","",IFERROR(IF(IF(ISNUMBER($I59),$I59,IFERROR(TIMEVALUE($I59),VALUE($I59)))&gt;=100,INT(IF(ISNUMBER($I59),$I59,IFERROR(TIMEVALUE($I59),VALUE($I59)))/100)*60+MOD(IF(ISNUMBER($I59),$I59,IFERROR(TIMEVALUE($I59),VALUE($I59))),100),IF(IF(ISNUMBER($I59),$I59,IFERROR(TIMEVALUE($I59),VALUE($I59)))&gt;=1,ROUND(IF(ISNUMBER($I59),$I59,IFERROR(TIMEVALUE($I59),VALUE($I59)))*60,0),ROUND(MOD(IF(ISNUMBER($I59),$I59,IFERROR(TIMEVALUE($I59),VALUE($I59))),1)*1440,0))),""))</f>
        <v/>
      </c>
      <c r="X59" s="55" t="str">
        <f aca="false">IF($P59="","",IFERROR(IF(ISNUMBER($P59),IF($P59&gt;19000000,DATE(INT($P59/10000),MOD(INT($P59/100),100),MOD($P59,100)),INT($P59)),IF(LEN(SUBSTITUTE(SUBSTITUTE(SUBSTITUTE(TRIM($P59),"-",""),".",""),"/",""))=8,DATE(VALUE(LEFT(SUBSTITUTE(SUBSTITUTE(SUBSTITUTE(TRIM($P59),"-",""),".",""),"/",""),4)),VALUE(MID(SUBSTITUTE(SUBSTITUTE(SUBSTITUTE(TRIM($P59),"-",""),".",""),"/",""),5,2)),VALUE(RIGHT(SUBSTITUTE(SUBSTITUTE(SUBSTITUTE(TRIM($P59),"-",""),".",""),"/",""),2))),DATEVALUE($P59))),""))</f>
        <v/>
      </c>
      <c r="Y59" s="56" t="str">
        <f aca="false">IF($M59="","",IFERROR(INDEX(강사DB!$D$4:$D$53,MATCH($M59,강사DB!$A$4:$A$53,0)),""))</f>
        <v/>
      </c>
      <c r="Z59" s="56" t="str">
        <f aca="false">IF($B59&lt;&gt;"결제완료","",IF(OR($Y59="",$J59=""),"",$Y59*$J59+MAX(0,N($K59)-1)*설정!$J$7))</f>
        <v/>
      </c>
      <c r="AA59" s="56" t="str">
        <f aca="false">IF(AND($D59&lt;&gt;"",$B59="결제완료"),N($N59),"")</f>
        <v/>
      </c>
      <c r="AB59" s="45" t="str">
        <f aca="false">IF($D59="","",IF($F59&lt;&gt;"",$F59,$D59)&amp;IF($B59="상담중"," (상담)",""))</f>
        <v/>
      </c>
      <c r="AC59" s="45" t="n">
        <f aca="false">IF(AND($D59&lt;&gt;"",OR($B59="결제완료",$B59="상담중")),1,0)</f>
        <v>0</v>
      </c>
      <c r="AD59" s="45" t="n">
        <f aca="false">IF(OR($Z59="",$U59=""),0,IFERROR(IF(COUNTIFS(INDEX(g_grid,0,2*MATCH($M59,강사DB!$A$4:$A$15,0)),"&lt;&gt;",g_s,"&lt;="&amp;$U59,g_e,"&gt;="&amp;$U59)&gt;0,1,0),0))</f>
        <v>0</v>
      </c>
      <c r="AE59" s="48"/>
      <c r="AF59" s="56" t="str">
        <f aca="false">IF(AND($D59&lt;&gt;"",$B59="결제완료",$T59="대여"),설정!$J$5,"")</f>
        <v/>
      </c>
      <c r="AG59" s="54" t="str">
        <f aca="false">IF($D59="","",IF(AND($E59="",$R59=""),$AB59,"☎ "&amp;IF($E59="","-",$E59)&amp;IF($R59&lt;&gt;"","  ※ "&amp;$R59,"")&amp;IF($B59="상담중"," (상담)","")))</f>
        <v/>
      </c>
      <c r="AH59" s="56" t="str">
        <f aca="false">IF(AND($D59&lt;&gt;"",$B59="결제완료",$O59="스마트스토어"),ROUND(N($N59)*설정!$J$6,0),"")</f>
        <v/>
      </c>
      <c r="AI59" s="54" t="str">
        <f aca="false">IF($D59="","",ROW())</f>
        <v/>
      </c>
      <c r="AJ59" s="54" t="n">
        <f aca="false">IF(OR($AC59&lt;&gt;1,$M59=""),0,IF(ISNUMBER(SEARCH("퇴사",IFERROR(INDEX(강사DB!$G$4:$G$53,MATCH($M59,강사DB!$A$4:$A$53,0)),""))),1,0))</f>
        <v>0</v>
      </c>
    </row>
    <row r="60" customFormat="false" ht="15" hidden="false" customHeight="false" outlineLevel="0" collapsed="false">
      <c r="A60" s="45" t="str">
        <f aca="false">IF($D60="","",COUNTA($D$5:$D60))</f>
        <v/>
      </c>
      <c r="B60" s="46"/>
      <c r="C60" s="47"/>
      <c r="D60" s="48"/>
      <c r="E60" s="48"/>
      <c r="F60" s="49"/>
      <c r="G60" s="47"/>
      <c r="H60" s="50"/>
      <c r="I60" s="50"/>
      <c r="J60" s="51" t="str">
        <f aca="false">IF(OR($V60="",$W60=""),"",ROUND(($W60-$V60)/60,2))</f>
        <v/>
      </c>
      <c r="K60" s="52" t="str">
        <f aca="false">IF($F60="","",LEN($F60)-LEN(SUBSTITUTE($F60,",",""))+1)</f>
        <v/>
      </c>
      <c r="L60" s="45" t="str">
        <f aca="false">IF($K60="","","1:"&amp;$K60)</f>
        <v/>
      </c>
      <c r="M60" s="46"/>
      <c r="N60" s="53"/>
      <c r="O60" s="46"/>
      <c r="P60" s="47"/>
      <c r="Q60" s="48"/>
      <c r="R60" s="49"/>
      <c r="S60" s="54" t="str">
        <f aca="false">IF(OR($AC60=0,$U60="",$M60="",$V60="",$W60=""),"",IF(COUNTIFS(m_teacher,$M60,m_date,$U60,m_active,1,m_start,"&lt;"&amp;$W60,m_end,"&gt;"&amp;$V60)&gt;1,"충돌",""))</f>
        <v/>
      </c>
      <c r="T60" s="48"/>
      <c r="U60" s="55" t="str">
        <f aca="false">IF($G60="","",IFERROR(IF(ISNUMBER($G60),IF($G60&gt;19000000,DATE(INT($G60/10000),MOD(INT($G60/100),100),MOD($G60,100)),INT($G60)),IF(LEN(SUBSTITUTE(SUBSTITUTE(SUBSTITUTE(TRIM($G60),"-",""),".",""),"/",""))=8,DATE(VALUE(LEFT(SUBSTITUTE(SUBSTITUTE(SUBSTITUTE(TRIM($G60),"-",""),".",""),"/",""),4)),VALUE(MID(SUBSTITUTE(SUBSTITUTE(SUBSTITUTE(TRIM($G60),"-",""),".",""),"/",""),5,2)),VALUE(RIGHT(SUBSTITUTE(SUBSTITUTE(SUBSTITUTE(TRIM($G60),"-",""),".",""),"/",""),2))),DATEVALUE($G60))),""))</f>
        <v/>
      </c>
      <c r="V60" s="52" t="str">
        <f aca="false">IF($H60="","",IFERROR(IF(IF(ISNUMBER($H60),$H60,IFERROR(TIMEVALUE($H60),VALUE($H60)))&gt;=100,INT(IF(ISNUMBER($H60),$H60,IFERROR(TIMEVALUE($H60),VALUE($H60)))/100)*60+MOD(IF(ISNUMBER($H60),$H60,IFERROR(TIMEVALUE($H60),VALUE($H60))),100),IF(IF(ISNUMBER($H60),$H60,IFERROR(TIMEVALUE($H60),VALUE($H60)))&gt;=1,ROUND(IF(ISNUMBER($H60),$H60,IFERROR(TIMEVALUE($H60),VALUE($H60)))*60,0),ROUND(MOD(IF(ISNUMBER($H60),$H60,IFERROR(TIMEVALUE($H60),VALUE($H60))),1)*1440,0))),""))</f>
        <v/>
      </c>
      <c r="W60" s="52" t="str">
        <f aca="false">IF($I60="","",IFERROR(IF(IF(ISNUMBER($I60),$I60,IFERROR(TIMEVALUE($I60),VALUE($I60)))&gt;=100,INT(IF(ISNUMBER($I60),$I60,IFERROR(TIMEVALUE($I60),VALUE($I60)))/100)*60+MOD(IF(ISNUMBER($I60),$I60,IFERROR(TIMEVALUE($I60),VALUE($I60))),100),IF(IF(ISNUMBER($I60),$I60,IFERROR(TIMEVALUE($I60),VALUE($I60)))&gt;=1,ROUND(IF(ISNUMBER($I60),$I60,IFERROR(TIMEVALUE($I60),VALUE($I60)))*60,0),ROUND(MOD(IF(ISNUMBER($I60),$I60,IFERROR(TIMEVALUE($I60),VALUE($I60))),1)*1440,0))),""))</f>
        <v/>
      </c>
      <c r="X60" s="55" t="str">
        <f aca="false">IF($P60="","",IFERROR(IF(ISNUMBER($P60),IF($P60&gt;19000000,DATE(INT($P60/10000),MOD(INT($P60/100),100),MOD($P60,100)),INT($P60)),IF(LEN(SUBSTITUTE(SUBSTITUTE(SUBSTITUTE(TRIM($P60),"-",""),".",""),"/",""))=8,DATE(VALUE(LEFT(SUBSTITUTE(SUBSTITUTE(SUBSTITUTE(TRIM($P60),"-",""),".",""),"/",""),4)),VALUE(MID(SUBSTITUTE(SUBSTITUTE(SUBSTITUTE(TRIM($P60),"-",""),".",""),"/",""),5,2)),VALUE(RIGHT(SUBSTITUTE(SUBSTITUTE(SUBSTITUTE(TRIM($P60),"-",""),".",""),"/",""),2))),DATEVALUE($P60))),""))</f>
        <v/>
      </c>
      <c r="Y60" s="56" t="str">
        <f aca="false">IF($M60="","",IFERROR(INDEX(강사DB!$D$4:$D$53,MATCH($M60,강사DB!$A$4:$A$53,0)),""))</f>
        <v/>
      </c>
      <c r="Z60" s="56" t="str">
        <f aca="false">IF($B60&lt;&gt;"결제완료","",IF(OR($Y60="",$J60=""),"",$Y60*$J60+MAX(0,N($K60)-1)*설정!$J$7))</f>
        <v/>
      </c>
      <c r="AA60" s="56" t="str">
        <f aca="false">IF(AND($D60&lt;&gt;"",$B60="결제완료"),N($N60),"")</f>
        <v/>
      </c>
      <c r="AB60" s="45" t="str">
        <f aca="false">IF($D60="","",IF($F60&lt;&gt;"",$F60,$D60)&amp;IF($B60="상담중"," (상담)",""))</f>
        <v/>
      </c>
      <c r="AC60" s="45" t="n">
        <f aca="false">IF(AND($D60&lt;&gt;"",OR($B60="결제완료",$B60="상담중")),1,0)</f>
        <v>0</v>
      </c>
      <c r="AD60" s="45" t="n">
        <f aca="false">IF(OR($Z60="",$U60=""),0,IFERROR(IF(COUNTIFS(INDEX(g_grid,0,2*MATCH($M60,강사DB!$A$4:$A$15,0)),"&lt;&gt;",g_s,"&lt;="&amp;$U60,g_e,"&gt;="&amp;$U60)&gt;0,1,0),0))</f>
        <v>0</v>
      </c>
      <c r="AE60" s="48"/>
      <c r="AF60" s="56" t="str">
        <f aca="false">IF(AND($D60&lt;&gt;"",$B60="결제완료",$T60="대여"),설정!$J$5,"")</f>
        <v/>
      </c>
      <c r="AG60" s="54" t="str">
        <f aca="false">IF($D60="","",IF(AND($E60="",$R60=""),$AB60,"☎ "&amp;IF($E60="","-",$E60)&amp;IF($R60&lt;&gt;"","  ※ "&amp;$R60,"")&amp;IF($B60="상담중"," (상담)","")))</f>
        <v/>
      </c>
      <c r="AH60" s="56" t="str">
        <f aca="false">IF(AND($D60&lt;&gt;"",$B60="결제완료",$O60="스마트스토어"),ROUND(N($N60)*설정!$J$6,0),"")</f>
        <v/>
      </c>
      <c r="AI60" s="54" t="str">
        <f aca="false">IF($D60="","",ROW())</f>
        <v/>
      </c>
      <c r="AJ60" s="54" t="n">
        <f aca="false">IF(OR($AC60&lt;&gt;1,$M60=""),0,IF(ISNUMBER(SEARCH("퇴사",IFERROR(INDEX(강사DB!$G$4:$G$53,MATCH($M60,강사DB!$A$4:$A$53,0)),""))),1,0))</f>
        <v>0</v>
      </c>
    </row>
    <row r="61" customFormat="false" ht="15" hidden="false" customHeight="false" outlineLevel="0" collapsed="false">
      <c r="A61" s="45" t="str">
        <f aca="false">IF($D61="","",COUNTA($D$5:$D61))</f>
        <v/>
      </c>
      <c r="B61" s="46"/>
      <c r="C61" s="47"/>
      <c r="D61" s="48"/>
      <c r="E61" s="48"/>
      <c r="F61" s="49"/>
      <c r="G61" s="47"/>
      <c r="H61" s="50"/>
      <c r="I61" s="50"/>
      <c r="J61" s="51" t="str">
        <f aca="false">IF(OR($V61="",$W61=""),"",ROUND(($W61-$V61)/60,2))</f>
        <v/>
      </c>
      <c r="K61" s="52" t="str">
        <f aca="false">IF($F61="","",LEN($F61)-LEN(SUBSTITUTE($F61,",",""))+1)</f>
        <v/>
      </c>
      <c r="L61" s="45" t="str">
        <f aca="false">IF($K61="","","1:"&amp;$K61)</f>
        <v/>
      </c>
      <c r="M61" s="46"/>
      <c r="N61" s="53"/>
      <c r="O61" s="46"/>
      <c r="P61" s="47"/>
      <c r="Q61" s="48"/>
      <c r="R61" s="49"/>
      <c r="S61" s="54" t="str">
        <f aca="false">IF(OR($AC61=0,$U61="",$M61="",$V61="",$W61=""),"",IF(COUNTIFS(m_teacher,$M61,m_date,$U61,m_active,1,m_start,"&lt;"&amp;$W61,m_end,"&gt;"&amp;$V61)&gt;1,"충돌",""))</f>
        <v/>
      </c>
      <c r="T61" s="48"/>
      <c r="U61" s="55" t="str">
        <f aca="false">IF($G61="","",IFERROR(IF(ISNUMBER($G61),IF($G61&gt;19000000,DATE(INT($G61/10000),MOD(INT($G61/100),100),MOD($G61,100)),INT($G61)),IF(LEN(SUBSTITUTE(SUBSTITUTE(SUBSTITUTE(TRIM($G61),"-",""),".",""),"/",""))=8,DATE(VALUE(LEFT(SUBSTITUTE(SUBSTITUTE(SUBSTITUTE(TRIM($G61),"-",""),".",""),"/",""),4)),VALUE(MID(SUBSTITUTE(SUBSTITUTE(SUBSTITUTE(TRIM($G61),"-",""),".",""),"/",""),5,2)),VALUE(RIGHT(SUBSTITUTE(SUBSTITUTE(SUBSTITUTE(TRIM($G61),"-",""),".",""),"/",""),2))),DATEVALUE($G61))),""))</f>
        <v/>
      </c>
      <c r="V61" s="52" t="str">
        <f aca="false">IF($H61="","",IFERROR(IF(IF(ISNUMBER($H61),$H61,IFERROR(TIMEVALUE($H61),VALUE($H61)))&gt;=100,INT(IF(ISNUMBER($H61),$H61,IFERROR(TIMEVALUE($H61),VALUE($H61)))/100)*60+MOD(IF(ISNUMBER($H61),$H61,IFERROR(TIMEVALUE($H61),VALUE($H61))),100),IF(IF(ISNUMBER($H61),$H61,IFERROR(TIMEVALUE($H61),VALUE($H61)))&gt;=1,ROUND(IF(ISNUMBER($H61),$H61,IFERROR(TIMEVALUE($H61),VALUE($H61)))*60,0),ROUND(MOD(IF(ISNUMBER($H61),$H61,IFERROR(TIMEVALUE($H61),VALUE($H61))),1)*1440,0))),""))</f>
        <v/>
      </c>
      <c r="W61" s="52" t="str">
        <f aca="false">IF($I61="","",IFERROR(IF(IF(ISNUMBER($I61),$I61,IFERROR(TIMEVALUE($I61),VALUE($I61)))&gt;=100,INT(IF(ISNUMBER($I61),$I61,IFERROR(TIMEVALUE($I61),VALUE($I61)))/100)*60+MOD(IF(ISNUMBER($I61),$I61,IFERROR(TIMEVALUE($I61),VALUE($I61))),100),IF(IF(ISNUMBER($I61),$I61,IFERROR(TIMEVALUE($I61),VALUE($I61)))&gt;=1,ROUND(IF(ISNUMBER($I61),$I61,IFERROR(TIMEVALUE($I61),VALUE($I61)))*60,0),ROUND(MOD(IF(ISNUMBER($I61),$I61,IFERROR(TIMEVALUE($I61),VALUE($I61))),1)*1440,0))),""))</f>
        <v/>
      </c>
      <c r="X61" s="55" t="str">
        <f aca="false">IF($P61="","",IFERROR(IF(ISNUMBER($P61),IF($P61&gt;19000000,DATE(INT($P61/10000),MOD(INT($P61/100),100),MOD($P61,100)),INT($P61)),IF(LEN(SUBSTITUTE(SUBSTITUTE(SUBSTITUTE(TRIM($P61),"-",""),".",""),"/",""))=8,DATE(VALUE(LEFT(SUBSTITUTE(SUBSTITUTE(SUBSTITUTE(TRIM($P61),"-",""),".",""),"/",""),4)),VALUE(MID(SUBSTITUTE(SUBSTITUTE(SUBSTITUTE(TRIM($P61),"-",""),".",""),"/",""),5,2)),VALUE(RIGHT(SUBSTITUTE(SUBSTITUTE(SUBSTITUTE(TRIM($P61),"-",""),".",""),"/",""),2))),DATEVALUE($P61))),""))</f>
        <v/>
      </c>
      <c r="Y61" s="56" t="str">
        <f aca="false">IF($M61="","",IFERROR(INDEX(강사DB!$D$4:$D$53,MATCH($M61,강사DB!$A$4:$A$53,0)),""))</f>
        <v/>
      </c>
      <c r="Z61" s="56" t="str">
        <f aca="false">IF($B61&lt;&gt;"결제완료","",IF(OR($Y61="",$J61=""),"",$Y61*$J61+MAX(0,N($K61)-1)*설정!$J$7))</f>
        <v/>
      </c>
      <c r="AA61" s="56" t="str">
        <f aca="false">IF(AND($D61&lt;&gt;"",$B61="결제완료"),N($N61),"")</f>
        <v/>
      </c>
      <c r="AB61" s="45" t="str">
        <f aca="false">IF($D61="","",IF($F61&lt;&gt;"",$F61,$D61)&amp;IF($B61="상담중"," (상담)",""))</f>
        <v/>
      </c>
      <c r="AC61" s="45" t="n">
        <f aca="false">IF(AND($D61&lt;&gt;"",OR($B61="결제완료",$B61="상담중")),1,0)</f>
        <v>0</v>
      </c>
      <c r="AD61" s="45" t="n">
        <f aca="false">IF(OR($Z61="",$U61=""),0,IFERROR(IF(COUNTIFS(INDEX(g_grid,0,2*MATCH($M61,강사DB!$A$4:$A$15,0)),"&lt;&gt;",g_s,"&lt;="&amp;$U61,g_e,"&gt;="&amp;$U61)&gt;0,1,0),0))</f>
        <v>0</v>
      </c>
      <c r="AE61" s="48"/>
      <c r="AF61" s="56" t="str">
        <f aca="false">IF(AND($D61&lt;&gt;"",$B61="결제완료",$T61="대여"),설정!$J$5,"")</f>
        <v/>
      </c>
      <c r="AG61" s="54" t="str">
        <f aca="false">IF($D61="","",IF(AND($E61="",$R61=""),$AB61,"☎ "&amp;IF($E61="","-",$E61)&amp;IF($R61&lt;&gt;"","  ※ "&amp;$R61,"")&amp;IF($B61="상담중"," (상담)","")))</f>
        <v/>
      </c>
      <c r="AH61" s="56" t="str">
        <f aca="false">IF(AND($D61&lt;&gt;"",$B61="결제완료",$O61="스마트스토어"),ROUND(N($N61)*설정!$J$6,0),"")</f>
        <v/>
      </c>
      <c r="AI61" s="54" t="str">
        <f aca="false">IF($D61="","",ROW())</f>
        <v/>
      </c>
      <c r="AJ61" s="54" t="n">
        <f aca="false">IF(OR($AC61&lt;&gt;1,$M61=""),0,IF(ISNUMBER(SEARCH("퇴사",IFERROR(INDEX(강사DB!$G$4:$G$53,MATCH($M61,강사DB!$A$4:$A$53,0)),""))),1,0))</f>
        <v>0</v>
      </c>
    </row>
    <row r="62" customFormat="false" ht="15" hidden="false" customHeight="false" outlineLevel="0" collapsed="false">
      <c r="A62" s="45" t="str">
        <f aca="false">IF($D62="","",COUNTA($D$5:$D62))</f>
        <v/>
      </c>
      <c r="B62" s="46"/>
      <c r="C62" s="47"/>
      <c r="D62" s="48"/>
      <c r="E62" s="48"/>
      <c r="F62" s="49"/>
      <c r="G62" s="47"/>
      <c r="H62" s="50"/>
      <c r="I62" s="50"/>
      <c r="J62" s="51" t="str">
        <f aca="false">IF(OR($V62="",$W62=""),"",ROUND(($W62-$V62)/60,2))</f>
        <v/>
      </c>
      <c r="K62" s="52" t="str">
        <f aca="false">IF($F62="","",LEN($F62)-LEN(SUBSTITUTE($F62,",",""))+1)</f>
        <v/>
      </c>
      <c r="L62" s="45" t="str">
        <f aca="false">IF($K62="","","1:"&amp;$K62)</f>
        <v/>
      </c>
      <c r="M62" s="46"/>
      <c r="N62" s="53"/>
      <c r="O62" s="46"/>
      <c r="P62" s="47"/>
      <c r="Q62" s="48"/>
      <c r="R62" s="49"/>
      <c r="S62" s="54" t="str">
        <f aca="false">IF(OR($AC62=0,$U62="",$M62="",$V62="",$W62=""),"",IF(COUNTIFS(m_teacher,$M62,m_date,$U62,m_active,1,m_start,"&lt;"&amp;$W62,m_end,"&gt;"&amp;$V62)&gt;1,"충돌",""))</f>
        <v/>
      </c>
      <c r="T62" s="48"/>
      <c r="U62" s="55" t="str">
        <f aca="false">IF($G62="","",IFERROR(IF(ISNUMBER($G62),IF($G62&gt;19000000,DATE(INT($G62/10000),MOD(INT($G62/100),100),MOD($G62,100)),INT($G62)),IF(LEN(SUBSTITUTE(SUBSTITUTE(SUBSTITUTE(TRIM($G62),"-",""),".",""),"/",""))=8,DATE(VALUE(LEFT(SUBSTITUTE(SUBSTITUTE(SUBSTITUTE(TRIM($G62),"-",""),".",""),"/",""),4)),VALUE(MID(SUBSTITUTE(SUBSTITUTE(SUBSTITUTE(TRIM($G62),"-",""),".",""),"/",""),5,2)),VALUE(RIGHT(SUBSTITUTE(SUBSTITUTE(SUBSTITUTE(TRIM($G62),"-",""),".",""),"/",""),2))),DATEVALUE($G62))),""))</f>
        <v/>
      </c>
      <c r="V62" s="52" t="str">
        <f aca="false">IF($H62="","",IFERROR(IF(IF(ISNUMBER($H62),$H62,IFERROR(TIMEVALUE($H62),VALUE($H62)))&gt;=100,INT(IF(ISNUMBER($H62),$H62,IFERROR(TIMEVALUE($H62),VALUE($H62)))/100)*60+MOD(IF(ISNUMBER($H62),$H62,IFERROR(TIMEVALUE($H62),VALUE($H62))),100),IF(IF(ISNUMBER($H62),$H62,IFERROR(TIMEVALUE($H62),VALUE($H62)))&gt;=1,ROUND(IF(ISNUMBER($H62),$H62,IFERROR(TIMEVALUE($H62),VALUE($H62)))*60,0),ROUND(MOD(IF(ISNUMBER($H62),$H62,IFERROR(TIMEVALUE($H62),VALUE($H62))),1)*1440,0))),""))</f>
        <v/>
      </c>
      <c r="W62" s="52" t="str">
        <f aca="false">IF($I62="","",IFERROR(IF(IF(ISNUMBER($I62),$I62,IFERROR(TIMEVALUE($I62),VALUE($I62)))&gt;=100,INT(IF(ISNUMBER($I62),$I62,IFERROR(TIMEVALUE($I62),VALUE($I62)))/100)*60+MOD(IF(ISNUMBER($I62),$I62,IFERROR(TIMEVALUE($I62),VALUE($I62))),100),IF(IF(ISNUMBER($I62),$I62,IFERROR(TIMEVALUE($I62),VALUE($I62)))&gt;=1,ROUND(IF(ISNUMBER($I62),$I62,IFERROR(TIMEVALUE($I62),VALUE($I62)))*60,0),ROUND(MOD(IF(ISNUMBER($I62),$I62,IFERROR(TIMEVALUE($I62),VALUE($I62))),1)*1440,0))),""))</f>
        <v/>
      </c>
      <c r="X62" s="55" t="str">
        <f aca="false">IF($P62="","",IFERROR(IF(ISNUMBER($P62),IF($P62&gt;19000000,DATE(INT($P62/10000),MOD(INT($P62/100),100),MOD($P62,100)),INT($P62)),IF(LEN(SUBSTITUTE(SUBSTITUTE(SUBSTITUTE(TRIM($P62),"-",""),".",""),"/",""))=8,DATE(VALUE(LEFT(SUBSTITUTE(SUBSTITUTE(SUBSTITUTE(TRIM($P62),"-",""),".",""),"/",""),4)),VALUE(MID(SUBSTITUTE(SUBSTITUTE(SUBSTITUTE(TRIM($P62),"-",""),".",""),"/",""),5,2)),VALUE(RIGHT(SUBSTITUTE(SUBSTITUTE(SUBSTITUTE(TRIM($P62),"-",""),".",""),"/",""),2))),DATEVALUE($P62))),""))</f>
        <v/>
      </c>
      <c r="Y62" s="56" t="str">
        <f aca="false">IF($M62="","",IFERROR(INDEX(강사DB!$D$4:$D$53,MATCH($M62,강사DB!$A$4:$A$53,0)),""))</f>
        <v/>
      </c>
      <c r="Z62" s="56" t="str">
        <f aca="false">IF($B62&lt;&gt;"결제완료","",IF(OR($Y62="",$J62=""),"",$Y62*$J62+MAX(0,N($K62)-1)*설정!$J$7))</f>
        <v/>
      </c>
      <c r="AA62" s="56" t="str">
        <f aca="false">IF(AND($D62&lt;&gt;"",$B62="결제완료"),N($N62),"")</f>
        <v/>
      </c>
      <c r="AB62" s="45" t="str">
        <f aca="false">IF($D62="","",IF($F62&lt;&gt;"",$F62,$D62)&amp;IF($B62="상담중"," (상담)",""))</f>
        <v/>
      </c>
      <c r="AC62" s="45" t="n">
        <f aca="false">IF(AND($D62&lt;&gt;"",OR($B62="결제완료",$B62="상담중")),1,0)</f>
        <v>0</v>
      </c>
      <c r="AD62" s="45" t="n">
        <f aca="false">IF(OR($Z62="",$U62=""),0,IFERROR(IF(COUNTIFS(INDEX(g_grid,0,2*MATCH($M62,강사DB!$A$4:$A$15,0)),"&lt;&gt;",g_s,"&lt;="&amp;$U62,g_e,"&gt;="&amp;$U62)&gt;0,1,0),0))</f>
        <v>0</v>
      </c>
      <c r="AE62" s="48"/>
      <c r="AF62" s="56" t="str">
        <f aca="false">IF(AND($D62&lt;&gt;"",$B62="결제완료",$T62="대여"),설정!$J$5,"")</f>
        <v/>
      </c>
      <c r="AG62" s="54" t="str">
        <f aca="false">IF($D62="","",IF(AND($E62="",$R62=""),$AB62,"☎ "&amp;IF($E62="","-",$E62)&amp;IF($R62&lt;&gt;"","  ※ "&amp;$R62,"")&amp;IF($B62="상담중"," (상담)","")))</f>
        <v/>
      </c>
      <c r="AH62" s="56" t="str">
        <f aca="false">IF(AND($D62&lt;&gt;"",$B62="결제완료",$O62="스마트스토어"),ROUND(N($N62)*설정!$J$6,0),"")</f>
        <v/>
      </c>
      <c r="AI62" s="54" t="str">
        <f aca="false">IF($D62="","",ROW())</f>
        <v/>
      </c>
      <c r="AJ62" s="54" t="n">
        <f aca="false">IF(OR($AC62&lt;&gt;1,$M62=""),0,IF(ISNUMBER(SEARCH("퇴사",IFERROR(INDEX(강사DB!$G$4:$G$53,MATCH($M62,강사DB!$A$4:$A$53,0)),""))),1,0))</f>
        <v>0</v>
      </c>
    </row>
    <row r="63" customFormat="false" ht="15" hidden="false" customHeight="false" outlineLevel="0" collapsed="false">
      <c r="A63" s="45" t="str">
        <f aca="false">IF($D63="","",COUNTA($D$5:$D63))</f>
        <v/>
      </c>
      <c r="B63" s="46"/>
      <c r="C63" s="47"/>
      <c r="D63" s="48"/>
      <c r="E63" s="48"/>
      <c r="F63" s="49"/>
      <c r="G63" s="47"/>
      <c r="H63" s="50"/>
      <c r="I63" s="50"/>
      <c r="J63" s="51" t="str">
        <f aca="false">IF(OR($V63="",$W63=""),"",ROUND(($W63-$V63)/60,2))</f>
        <v/>
      </c>
      <c r="K63" s="52" t="str">
        <f aca="false">IF($F63="","",LEN($F63)-LEN(SUBSTITUTE($F63,",",""))+1)</f>
        <v/>
      </c>
      <c r="L63" s="45" t="str">
        <f aca="false">IF($K63="","","1:"&amp;$K63)</f>
        <v/>
      </c>
      <c r="M63" s="46"/>
      <c r="N63" s="53"/>
      <c r="O63" s="46"/>
      <c r="P63" s="47"/>
      <c r="Q63" s="48"/>
      <c r="R63" s="49"/>
      <c r="S63" s="54" t="str">
        <f aca="false">IF(OR($AC63=0,$U63="",$M63="",$V63="",$W63=""),"",IF(COUNTIFS(m_teacher,$M63,m_date,$U63,m_active,1,m_start,"&lt;"&amp;$W63,m_end,"&gt;"&amp;$V63)&gt;1,"충돌",""))</f>
        <v/>
      </c>
      <c r="T63" s="48"/>
      <c r="U63" s="55" t="str">
        <f aca="false">IF($G63="","",IFERROR(IF(ISNUMBER($G63),IF($G63&gt;19000000,DATE(INT($G63/10000),MOD(INT($G63/100),100),MOD($G63,100)),INT($G63)),IF(LEN(SUBSTITUTE(SUBSTITUTE(SUBSTITUTE(TRIM($G63),"-",""),".",""),"/",""))=8,DATE(VALUE(LEFT(SUBSTITUTE(SUBSTITUTE(SUBSTITUTE(TRIM($G63),"-",""),".",""),"/",""),4)),VALUE(MID(SUBSTITUTE(SUBSTITUTE(SUBSTITUTE(TRIM($G63),"-",""),".",""),"/",""),5,2)),VALUE(RIGHT(SUBSTITUTE(SUBSTITUTE(SUBSTITUTE(TRIM($G63),"-",""),".",""),"/",""),2))),DATEVALUE($G63))),""))</f>
        <v/>
      </c>
      <c r="V63" s="52" t="str">
        <f aca="false">IF($H63="","",IFERROR(IF(IF(ISNUMBER($H63),$H63,IFERROR(TIMEVALUE($H63),VALUE($H63)))&gt;=100,INT(IF(ISNUMBER($H63),$H63,IFERROR(TIMEVALUE($H63),VALUE($H63)))/100)*60+MOD(IF(ISNUMBER($H63),$H63,IFERROR(TIMEVALUE($H63),VALUE($H63))),100),IF(IF(ISNUMBER($H63),$H63,IFERROR(TIMEVALUE($H63),VALUE($H63)))&gt;=1,ROUND(IF(ISNUMBER($H63),$H63,IFERROR(TIMEVALUE($H63),VALUE($H63)))*60,0),ROUND(MOD(IF(ISNUMBER($H63),$H63,IFERROR(TIMEVALUE($H63),VALUE($H63))),1)*1440,0))),""))</f>
        <v/>
      </c>
      <c r="W63" s="52" t="str">
        <f aca="false">IF($I63="","",IFERROR(IF(IF(ISNUMBER($I63),$I63,IFERROR(TIMEVALUE($I63),VALUE($I63)))&gt;=100,INT(IF(ISNUMBER($I63),$I63,IFERROR(TIMEVALUE($I63),VALUE($I63)))/100)*60+MOD(IF(ISNUMBER($I63),$I63,IFERROR(TIMEVALUE($I63),VALUE($I63))),100),IF(IF(ISNUMBER($I63),$I63,IFERROR(TIMEVALUE($I63),VALUE($I63)))&gt;=1,ROUND(IF(ISNUMBER($I63),$I63,IFERROR(TIMEVALUE($I63),VALUE($I63)))*60,0),ROUND(MOD(IF(ISNUMBER($I63),$I63,IFERROR(TIMEVALUE($I63),VALUE($I63))),1)*1440,0))),""))</f>
        <v/>
      </c>
      <c r="X63" s="55" t="str">
        <f aca="false">IF($P63="","",IFERROR(IF(ISNUMBER($P63),IF($P63&gt;19000000,DATE(INT($P63/10000),MOD(INT($P63/100),100),MOD($P63,100)),INT($P63)),IF(LEN(SUBSTITUTE(SUBSTITUTE(SUBSTITUTE(TRIM($P63),"-",""),".",""),"/",""))=8,DATE(VALUE(LEFT(SUBSTITUTE(SUBSTITUTE(SUBSTITUTE(TRIM($P63),"-",""),".",""),"/",""),4)),VALUE(MID(SUBSTITUTE(SUBSTITUTE(SUBSTITUTE(TRIM($P63),"-",""),".",""),"/",""),5,2)),VALUE(RIGHT(SUBSTITUTE(SUBSTITUTE(SUBSTITUTE(TRIM($P63),"-",""),".",""),"/",""),2))),DATEVALUE($P63))),""))</f>
        <v/>
      </c>
      <c r="Y63" s="56" t="str">
        <f aca="false">IF($M63="","",IFERROR(INDEX(강사DB!$D$4:$D$53,MATCH($M63,강사DB!$A$4:$A$53,0)),""))</f>
        <v/>
      </c>
      <c r="Z63" s="56" t="str">
        <f aca="false">IF($B63&lt;&gt;"결제완료","",IF(OR($Y63="",$J63=""),"",$Y63*$J63+MAX(0,N($K63)-1)*설정!$J$7))</f>
        <v/>
      </c>
      <c r="AA63" s="56" t="str">
        <f aca="false">IF(AND($D63&lt;&gt;"",$B63="결제완료"),N($N63),"")</f>
        <v/>
      </c>
      <c r="AB63" s="45" t="str">
        <f aca="false">IF($D63="","",IF($F63&lt;&gt;"",$F63,$D63)&amp;IF($B63="상담중"," (상담)",""))</f>
        <v/>
      </c>
      <c r="AC63" s="45" t="n">
        <f aca="false">IF(AND($D63&lt;&gt;"",OR($B63="결제완료",$B63="상담중")),1,0)</f>
        <v>0</v>
      </c>
      <c r="AD63" s="45" t="n">
        <f aca="false">IF(OR($Z63="",$U63=""),0,IFERROR(IF(COUNTIFS(INDEX(g_grid,0,2*MATCH($M63,강사DB!$A$4:$A$15,0)),"&lt;&gt;",g_s,"&lt;="&amp;$U63,g_e,"&gt;="&amp;$U63)&gt;0,1,0),0))</f>
        <v>0</v>
      </c>
      <c r="AE63" s="48"/>
      <c r="AF63" s="56" t="str">
        <f aca="false">IF(AND($D63&lt;&gt;"",$B63="결제완료",$T63="대여"),설정!$J$5,"")</f>
        <v/>
      </c>
      <c r="AG63" s="54" t="str">
        <f aca="false">IF($D63="","",IF(AND($E63="",$R63=""),$AB63,"☎ "&amp;IF($E63="","-",$E63)&amp;IF($R63&lt;&gt;"","  ※ "&amp;$R63,"")&amp;IF($B63="상담중"," (상담)","")))</f>
        <v/>
      </c>
      <c r="AH63" s="56" t="str">
        <f aca="false">IF(AND($D63&lt;&gt;"",$B63="결제완료",$O63="스마트스토어"),ROUND(N($N63)*설정!$J$6,0),"")</f>
        <v/>
      </c>
      <c r="AI63" s="54" t="str">
        <f aca="false">IF($D63="","",ROW())</f>
        <v/>
      </c>
      <c r="AJ63" s="54" t="n">
        <f aca="false">IF(OR($AC63&lt;&gt;1,$M63=""),0,IF(ISNUMBER(SEARCH("퇴사",IFERROR(INDEX(강사DB!$G$4:$G$53,MATCH($M63,강사DB!$A$4:$A$53,0)),""))),1,0))</f>
        <v>0</v>
      </c>
    </row>
    <row r="64" customFormat="false" ht="15" hidden="false" customHeight="false" outlineLevel="0" collapsed="false">
      <c r="A64" s="45" t="str">
        <f aca="false">IF($D64="","",COUNTA($D$5:$D64))</f>
        <v/>
      </c>
      <c r="B64" s="46"/>
      <c r="C64" s="47"/>
      <c r="D64" s="48"/>
      <c r="E64" s="48"/>
      <c r="F64" s="49"/>
      <c r="G64" s="47"/>
      <c r="H64" s="50"/>
      <c r="I64" s="50"/>
      <c r="J64" s="51" t="str">
        <f aca="false">IF(OR($V64="",$W64=""),"",ROUND(($W64-$V64)/60,2))</f>
        <v/>
      </c>
      <c r="K64" s="52" t="str">
        <f aca="false">IF($F64="","",LEN($F64)-LEN(SUBSTITUTE($F64,",",""))+1)</f>
        <v/>
      </c>
      <c r="L64" s="45" t="str">
        <f aca="false">IF($K64="","","1:"&amp;$K64)</f>
        <v/>
      </c>
      <c r="M64" s="46"/>
      <c r="N64" s="53"/>
      <c r="O64" s="46"/>
      <c r="P64" s="47"/>
      <c r="Q64" s="48"/>
      <c r="R64" s="49"/>
      <c r="S64" s="54" t="str">
        <f aca="false">IF(OR($AC64=0,$U64="",$M64="",$V64="",$W64=""),"",IF(COUNTIFS(m_teacher,$M64,m_date,$U64,m_active,1,m_start,"&lt;"&amp;$W64,m_end,"&gt;"&amp;$V64)&gt;1,"충돌",""))</f>
        <v/>
      </c>
      <c r="T64" s="48"/>
      <c r="U64" s="55" t="str">
        <f aca="false">IF($G64="","",IFERROR(IF(ISNUMBER($G64),IF($G64&gt;19000000,DATE(INT($G64/10000),MOD(INT($G64/100),100),MOD($G64,100)),INT($G64)),IF(LEN(SUBSTITUTE(SUBSTITUTE(SUBSTITUTE(TRIM($G64),"-",""),".",""),"/",""))=8,DATE(VALUE(LEFT(SUBSTITUTE(SUBSTITUTE(SUBSTITUTE(TRIM($G64),"-",""),".",""),"/",""),4)),VALUE(MID(SUBSTITUTE(SUBSTITUTE(SUBSTITUTE(TRIM($G64),"-",""),".",""),"/",""),5,2)),VALUE(RIGHT(SUBSTITUTE(SUBSTITUTE(SUBSTITUTE(TRIM($G64),"-",""),".",""),"/",""),2))),DATEVALUE($G64))),""))</f>
        <v/>
      </c>
      <c r="V64" s="52" t="str">
        <f aca="false">IF($H64="","",IFERROR(IF(IF(ISNUMBER($H64),$H64,IFERROR(TIMEVALUE($H64),VALUE($H64)))&gt;=100,INT(IF(ISNUMBER($H64),$H64,IFERROR(TIMEVALUE($H64),VALUE($H64)))/100)*60+MOD(IF(ISNUMBER($H64),$H64,IFERROR(TIMEVALUE($H64),VALUE($H64))),100),IF(IF(ISNUMBER($H64),$H64,IFERROR(TIMEVALUE($H64),VALUE($H64)))&gt;=1,ROUND(IF(ISNUMBER($H64),$H64,IFERROR(TIMEVALUE($H64),VALUE($H64)))*60,0),ROUND(MOD(IF(ISNUMBER($H64),$H64,IFERROR(TIMEVALUE($H64),VALUE($H64))),1)*1440,0))),""))</f>
        <v/>
      </c>
      <c r="W64" s="52" t="str">
        <f aca="false">IF($I64="","",IFERROR(IF(IF(ISNUMBER($I64),$I64,IFERROR(TIMEVALUE($I64),VALUE($I64)))&gt;=100,INT(IF(ISNUMBER($I64),$I64,IFERROR(TIMEVALUE($I64),VALUE($I64)))/100)*60+MOD(IF(ISNUMBER($I64),$I64,IFERROR(TIMEVALUE($I64),VALUE($I64))),100),IF(IF(ISNUMBER($I64),$I64,IFERROR(TIMEVALUE($I64),VALUE($I64)))&gt;=1,ROUND(IF(ISNUMBER($I64),$I64,IFERROR(TIMEVALUE($I64),VALUE($I64)))*60,0),ROUND(MOD(IF(ISNUMBER($I64),$I64,IFERROR(TIMEVALUE($I64),VALUE($I64))),1)*1440,0))),""))</f>
        <v/>
      </c>
      <c r="X64" s="55" t="str">
        <f aca="false">IF($P64="","",IFERROR(IF(ISNUMBER($P64),IF($P64&gt;19000000,DATE(INT($P64/10000),MOD(INT($P64/100),100),MOD($P64,100)),INT($P64)),IF(LEN(SUBSTITUTE(SUBSTITUTE(SUBSTITUTE(TRIM($P64),"-",""),".",""),"/",""))=8,DATE(VALUE(LEFT(SUBSTITUTE(SUBSTITUTE(SUBSTITUTE(TRIM($P64),"-",""),".",""),"/",""),4)),VALUE(MID(SUBSTITUTE(SUBSTITUTE(SUBSTITUTE(TRIM($P64),"-",""),".",""),"/",""),5,2)),VALUE(RIGHT(SUBSTITUTE(SUBSTITUTE(SUBSTITUTE(TRIM($P64),"-",""),".",""),"/",""),2))),DATEVALUE($P64))),""))</f>
        <v/>
      </c>
      <c r="Y64" s="56" t="str">
        <f aca="false">IF($M64="","",IFERROR(INDEX(강사DB!$D$4:$D$53,MATCH($M64,강사DB!$A$4:$A$53,0)),""))</f>
        <v/>
      </c>
      <c r="Z64" s="56" t="str">
        <f aca="false">IF($B64&lt;&gt;"결제완료","",IF(OR($Y64="",$J64=""),"",$Y64*$J64+MAX(0,N($K64)-1)*설정!$J$7))</f>
        <v/>
      </c>
      <c r="AA64" s="56" t="str">
        <f aca="false">IF(AND($D64&lt;&gt;"",$B64="결제완료"),N($N64),"")</f>
        <v/>
      </c>
      <c r="AB64" s="45" t="str">
        <f aca="false">IF($D64="","",IF($F64&lt;&gt;"",$F64,$D64)&amp;IF($B64="상담중"," (상담)",""))</f>
        <v/>
      </c>
      <c r="AC64" s="45" t="n">
        <f aca="false">IF(AND($D64&lt;&gt;"",OR($B64="결제완료",$B64="상담중")),1,0)</f>
        <v>0</v>
      </c>
      <c r="AD64" s="45" t="n">
        <f aca="false">IF(OR($Z64="",$U64=""),0,IFERROR(IF(COUNTIFS(INDEX(g_grid,0,2*MATCH($M64,강사DB!$A$4:$A$15,0)),"&lt;&gt;",g_s,"&lt;="&amp;$U64,g_e,"&gt;="&amp;$U64)&gt;0,1,0),0))</f>
        <v>0</v>
      </c>
      <c r="AE64" s="48"/>
      <c r="AF64" s="56" t="str">
        <f aca="false">IF(AND($D64&lt;&gt;"",$B64="결제완료",$T64="대여"),설정!$J$5,"")</f>
        <v/>
      </c>
      <c r="AG64" s="54" t="str">
        <f aca="false">IF($D64="","",IF(AND($E64="",$R64=""),$AB64,"☎ "&amp;IF($E64="","-",$E64)&amp;IF($R64&lt;&gt;"","  ※ "&amp;$R64,"")&amp;IF($B64="상담중"," (상담)","")))</f>
        <v/>
      </c>
      <c r="AH64" s="56" t="str">
        <f aca="false">IF(AND($D64&lt;&gt;"",$B64="결제완료",$O64="스마트스토어"),ROUND(N($N64)*설정!$J$6,0),"")</f>
        <v/>
      </c>
      <c r="AI64" s="54" t="str">
        <f aca="false">IF($D64="","",ROW())</f>
        <v/>
      </c>
      <c r="AJ64" s="54" t="n">
        <f aca="false">IF(OR($AC64&lt;&gt;1,$M64=""),0,IF(ISNUMBER(SEARCH("퇴사",IFERROR(INDEX(강사DB!$G$4:$G$53,MATCH($M64,강사DB!$A$4:$A$53,0)),""))),1,0))</f>
        <v>0</v>
      </c>
    </row>
    <row r="65" customFormat="false" ht="15" hidden="false" customHeight="false" outlineLevel="0" collapsed="false">
      <c r="A65" s="45" t="str">
        <f aca="false">IF($D65="","",COUNTA($D$5:$D65))</f>
        <v/>
      </c>
      <c r="B65" s="46"/>
      <c r="C65" s="47"/>
      <c r="D65" s="48"/>
      <c r="E65" s="48"/>
      <c r="F65" s="49"/>
      <c r="G65" s="47"/>
      <c r="H65" s="50"/>
      <c r="I65" s="50"/>
      <c r="J65" s="51" t="str">
        <f aca="false">IF(OR($V65="",$W65=""),"",ROUND(($W65-$V65)/60,2))</f>
        <v/>
      </c>
      <c r="K65" s="52" t="str">
        <f aca="false">IF($F65="","",LEN($F65)-LEN(SUBSTITUTE($F65,",",""))+1)</f>
        <v/>
      </c>
      <c r="L65" s="45" t="str">
        <f aca="false">IF($K65="","","1:"&amp;$K65)</f>
        <v/>
      </c>
      <c r="M65" s="46"/>
      <c r="N65" s="53"/>
      <c r="O65" s="46"/>
      <c r="P65" s="47"/>
      <c r="Q65" s="48"/>
      <c r="R65" s="49"/>
      <c r="S65" s="54" t="str">
        <f aca="false">IF(OR($AC65=0,$U65="",$M65="",$V65="",$W65=""),"",IF(COUNTIFS(m_teacher,$M65,m_date,$U65,m_active,1,m_start,"&lt;"&amp;$W65,m_end,"&gt;"&amp;$V65)&gt;1,"충돌",""))</f>
        <v/>
      </c>
      <c r="T65" s="48"/>
      <c r="U65" s="55" t="str">
        <f aca="false">IF($G65="","",IFERROR(IF(ISNUMBER($G65),IF($G65&gt;19000000,DATE(INT($G65/10000),MOD(INT($G65/100),100),MOD($G65,100)),INT($G65)),IF(LEN(SUBSTITUTE(SUBSTITUTE(SUBSTITUTE(TRIM($G65),"-",""),".",""),"/",""))=8,DATE(VALUE(LEFT(SUBSTITUTE(SUBSTITUTE(SUBSTITUTE(TRIM($G65),"-",""),".",""),"/",""),4)),VALUE(MID(SUBSTITUTE(SUBSTITUTE(SUBSTITUTE(TRIM($G65),"-",""),".",""),"/",""),5,2)),VALUE(RIGHT(SUBSTITUTE(SUBSTITUTE(SUBSTITUTE(TRIM($G65),"-",""),".",""),"/",""),2))),DATEVALUE($G65))),""))</f>
        <v/>
      </c>
      <c r="V65" s="52" t="str">
        <f aca="false">IF($H65="","",IFERROR(IF(IF(ISNUMBER($H65),$H65,IFERROR(TIMEVALUE($H65),VALUE($H65)))&gt;=100,INT(IF(ISNUMBER($H65),$H65,IFERROR(TIMEVALUE($H65),VALUE($H65)))/100)*60+MOD(IF(ISNUMBER($H65),$H65,IFERROR(TIMEVALUE($H65),VALUE($H65))),100),IF(IF(ISNUMBER($H65),$H65,IFERROR(TIMEVALUE($H65),VALUE($H65)))&gt;=1,ROUND(IF(ISNUMBER($H65),$H65,IFERROR(TIMEVALUE($H65),VALUE($H65)))*60,0),ROUND(MOD(IF(ISNUMBER($H65),$H65,IFERROR(TIMEVALUE($H65),VALUE($H65))),1)*1440,0))),""))</f>
        <v/>
      </c>
      <c r="W65" s="52" t="str">
        <f aca="false">IF($I65="","",IFERROR(IF(IF(ISNUMBER($I65),$I65,IFERROR(TIMEVALUE($I65),VALUE($I65)))&gt;=100,INT(IF(ISNUMBER($I65),$I65,IFERROR(TIMEVALUE($I65),VALUE($I65)))/100)*60+MOD(IF(ISNUMBER($I65),$I65,IFERROR(TIMEVALUE($I65),VALUE($I65))),100),IF(IF(ISNUMBER($I65),$I65,IFERROR(TIMEVALUE($I65),VALUE($I65)))&gt;=1,ROUND(IF(ISNUMBER($I65),$I65,IFERROR(TIMEVALUE($I65),VALUE($I65)))*60,0),ROUND(MOD(IF(ISNUMBER($I65),$I65,IFERROR(TIMEVALUE($I65),VALUE($I65))),1)*1440,0))),""))</f>
        <v/>
      </c>
      <c r="X65" s="55" t="str">
        <f aca="false">IF($P65="","",IFERROR(IF(ISNUMBER($P65),IF($P65&gt;19000000,DATE(INT($P65/10000),MOD(INT($P65/100),100),MOD($P65,100)),INT($P65)),IF(LEN(SUBSTITUTE(SUBSTITUTE(SUBSTITUTE(TRIM($P65),"-",""),".",""),"/",""))=8,DATE(VALUE(LEFT(SUBSTITUTE(SUBSTITUTE(SUBSTITUTE(TRIM($P65),"-",""),".",""),"/",""),4)),VALUE(MID(SUBSTITUTE(SUBSTITUTE(SUBSTITUTE(TRIM($P65),"-",""),".",""),"/",""),5,2)),VALUE(RIGHT(SUBSTITUTE(SUBSTITUTE(SUBSTITUTE(TRIM($P65),"-",""),".",""),"/",""),2))),DATEVALUE($P65))),""))</f>
        <v/>
      </c>
      <c r="Y65" s="56" t="str">
        <f aca="false">IF($M65="","",IFERROR(INDEX(강사DB!$D$4:$D$53,MATCH($M65,강사DB!$A$4:$A$53,0)),""))</f>
        <v/>
      </c>
      <c r="Z65" s="56" t="str">
        <f aca="false">IF($B65&lt;&gt;"결제완료","",IF(OR($Y65="",$J65=""),"",$Y65*$J65+MAX(0,N($K65)-1)*설정!$J$7))</f>
        <v/>
      </c>
      <c r="AA65" s="56" t="str">
        <f aca="false">IF(AND($D65&lt;&gt;"",$B65="결제완료"),N($N65),"")</f>
        <v/>
      </c>
      <c r="AB65" s="45" t="str">
        <f aca="false">IF($D65="","",IF($F65&lt;&gt;"",$F65,$D65)&amp;IF($B65="상담중"," (상담)",""))</f>
        <v/>
      </c>
      <c r="AC65" s="45" t="n">
        <f aca="false">IF(AND($D65&lt;&gt;"",OR($B65="결제완료",$B65="상담중")),1,0)</f>
        <v>0</v>
      </c>
      <c r="AD65" s="45" t="n">
        <f aca="false">IF(OR($Z65="",$U65=""),0,IFERROR(IF(COUNTIFS(INDEX(g_grid,0,2*MATCH($M65,강사DB!$A$4:$A$15,0)),"&lt;&gt;",g_s,"&lt;="&amp;$U65,g_e,"&gt;="&amp;$U65)&gt;0,1,0),0))</f>
        <v>0</v>
      </c>
      <c r="AE65" s="48"/>
      <c r="AF65" s="56" t="str">
        <f aca="false">IF(AND($D65&lt;&gt;"",$B65="결제완료",$T65="대여"),설정!$J$5,"")</f>
        <v/>
      </c>
      <c r="AG65" s="54" t="str">
        <f aca="false">IF($D65="","",IF(AND($E65="",$R65=""),$AB65,"☎ "&amp;IF($E65="","-",$E65)&amp;IF($R65&lt;&gt;"","  ※ "&amp;$R65,"")&amp;IF($B65="상담중"," (상담)","")))</f>
        <v/>
      </c>
      <c r="AH65" s="56" t="str">
        <f aca="false">IF(AND($D65&lt;&gt;"",$B65="결제완료",$O65="스마트스토어"),ROUND(N($N65)*설정!$J$6,0),"")</f>
        <v/>
      </c>
      <c r="AI65" s="54" t="str">
        <f aca="false">IF($D65="","",ROW())</f>
        <v/>
      </c>
      <c r="AJ65" s="54" t="n">
        <f aca="false">IF(OR($AC65&lt;&gt;1,$M65=""),0,IF(ISNUMBER(SEARCH("퇴사",IFERROR(INDEX(강사DB!$G$4:$G$53,MATCH($M65,강사DB!$A$4:$A$53,0)),""))),1,0))</f>
        <v>0</v>
      </c>
    </row>
    <row r="66" customFormat="false" ht="15" hidden="false" customHeight="false" outlineLevel="0" collapsed="false">
      <c r="A66" s="45" t="str">
        <f aca="false">IF($D66="","",COUNTA($D$5:$D66))</f>
        <v/>
      </c>
      <c r="B66" s="46"/>
      <c r="C66" s="47"/>
      <c r="D66" s="48"/>
      <c r="E66" s="48"/>
      <c r="F66" s="49"/>
      <c r="G66" s="47"/>
      <c r="H66" s="50"/>
      <c r="I66" s="50"/>
      <c r="J66" s="51" t="str">
        <f aca="false">IF(OR($V66="",$W66=""),"",ROUND(($W66-$V66)/60,2))</f>
        <v/>
      </c>
      <c r="K66" s="52" t="str">
        <f aca="false">IF($F66="","",LEN($F66)-LEN(SUBSTITUTE($F66,",",""))+1)</f>
        <v/>
      </c>
      <c r="L66" s="45" t="str">
        <f aca="false">IF($K66="","","1:"&amp;$K66)</f>
        <v/>
      </c>
      <c r="M66" s="46"/>
      <c r="N66" s="53"/>
      <c r="O66" s="46"/>
      <c r="P66" s="47"/>
      <c r="Q66" s="48"/>
      <c r="R66" s="49"/>
      <c r="S66" s="54" t="str">
        <f aca="false">IF(OR($AC66=0,$U66="",$M66="",$V66="",$W66=""),"",IF(COUNTIFS(m_teacher,$M66,m_date,$U66,m_active,1,m_start,"&lt;"&amp;$W66,m_end,"&gt;"&amp;$V66)&gt;1,"충돌",""))</f>
        <v/>
      </c>
      <c r="T66" s="48"/>
      <c r="U66" s="55" t="str">
        <f aca="false">IF($G66="","",IFERROR(IF(ISNUMBER($G66),IF($G66&gt;19000000,DATE(INT($G66/10000),MOD(INT($G66/100),100),MOD($G66,100)),INT($G66)),IF(LEN(SUBSTITUTE(SUBSTITUTE(SUBSTITUTE(TRIM($G66),"-",""),".",""),"/",""))=8,DATE(VALUE(LEFT(SUBSTITUTE(SUBSTITUTE(SUBSTITUTE(TRIM($G66),"-",""),".",""),"/",""),4)),VALUE(MID(SUBSTITUTE(SUBSTITUTE(SUBSTITUTE(TRIM($G66),"-",""),".",""),"/",""),5,2)),VALUE(RIGHT(SUBSTITUTE(SUBSTITUTE(SUBSTITUTE(TRIM($G66),"-",""),".",""),"/",""),2))),DATEVALUE($G66))),""))</f>
        <v/>
      </c>
      <c r="V66" s="52" t="str">
        <f aca="false">IF($H66="","",IFERROR(IF(IF(ISNUMBER($H66),$H66,IFERROR(TIMEVALUE($H66),VALUE($H66)))&gt;=100,INT(IF(ISNUMBER($H66),$H66,IFERROR(TIMEVALUE($H66),VALUE($H66)))/100)*60+MOD(IF(ISNUMBER($H66),$H66,IFERROR(TIMEVALUE($H66),VALUE($H66))),100),IF(IF(ISNUMBER($H66),$H66,IFERROR(TIMEVALUE($H66),VALUE($H66)))&gt;=1,ROUND(IF(ISNUMBER($H66),$H66,IFERROR(TIMEVALUE($H66),VALUE($H66)))*60,0),ROUND(MOD(IF(ISNUMBER($H66),$H66,IFERROR(TIMEVALUE($H66),VALUE($H66))),1)*1440,0))),""))</f>
        <v/>
      </c>
      <c r="W66" s="52" t="str">
        <f aca="false">IF($I66="","",IFERROR(IF(IF(ISNUMBER($I66),$I66,IFERROR(TIMEVALUE($I66),VALUE($I66)))&gt;=100,INT(IF(ISNUMBER($I66),$I66,IFERROR(TIMEVALUE($I66),VALUE($I66)))/100)*60+MOD(IF(ISNUMBER($I66),$I66,IFERROR(TIMEVALUE($I66),VALUE($I66))),100),IF(IF(ISNUMBER($I66),$I66,IFERROR(TIMEVALUE($I66),VALUE($I66)))&gt;=1,ROUND(IF(ISNUMBER($I66),$I66,IFERROR(TIMEVALUE($I66),VALUE($I66)))*60,0),ROUND(MOD(IF(ISNUMBER($I66),$I66,IFERROR(TIMEVALUE($I66),VALUE($I66))),1)*1440,0))),""))</f>
        <v/>
      </c>
      <c r="X66" s="55" t="str">
        <f aca="false">IF($P66="","",IFERROR(IF(ISNUMBER($P66),IF($P66&gt;19000000,DATE(INT($P66/10000),MOD(INT($P66/100),100),MOD($P66,100)),INT($P66)),IF(LEN(SUBSTITUTE(SUBSTITUTE(SUBSTITUTE(TRIM($P66),"-",""),".",""),"/",""))=8,DATE(VALUE(LEFT(SUBSTITUTE(SUBSTITUTE(SUBSTITUTE(TRIM($P66),"-",""),".",""),"/",""),4)),VALUE(MID(SUBSTITUTE(SUBSTITUTE(SUBSTITUTE(TRIM($P66),"-",""),".",""),"/",""),5,2)),VALUE(RIGHT(SUBSTITUTE(SUBSTITUTE(SUBSTITUTE(TRIM($P66),"-",""),".",""),"/",""),2))),DATEVALUE($P66))),""))</f>
        <v/>
      </c>
      <c r="Y66" s="56" t="str">
        <f aca="false">IF($M66="","",IFERROR(INDEX(강사DB!$D$4:$D$53,MATCH($M66,강사DB!$A$4:$A$53,0)),""))</f>
        <v/>
      </c>
      <c r="Z66" s="56" t="str">
        <f aca="false">IF($B66&lt;&gt;"결제완료","",IF(OR($Y66="",$J66=""),"",$Y66*$J66+MAX(0,N($K66)-1)*설정!$J$7))</f>
        <v/>
      </c>
      <c r="AA66" s="56" t="str">
        <f aca="false">IF(AND($D66&lt;&gt;"",$B66="결제완료"),N($N66),"")</f>
        <v/>
      </c>
      <c r="AB66" s="45" t="str">
        <f aca="false">IF($D66="","",IF($F66&lt;&gt;"",$F66,$D66)&amp;IF($B66="상담중"," (상담)",""))</f>
        <v/>
      </c>
      <c r="AC66" s="45" t="n">
        <f aca="false">IF(AND($D66&lt;&gt;"",OR($B66="결제완료",$B66="상담중")),1,0)</f>
        <v>0</v>
      </c>
      <c r="AD66" s="45" t="n">
        <f aca="false">IF(OR($Z66="",$U66=""),0,IFERROR(IF(COUNTIFS(INDEX(g_grid,0,2*MATCH($M66,강사DB!$A$4:$A$15,0)),"&lt;&gt;",g_s,"&lt;="&amp;$U66,g_e,"&gt;="&amp;$U66)&gt;0,1,0),0))</f>
        <v>0</v>
      </c>
      <c r="AE66" s="48"/>
      <c r="AF66" s="56" t="str">
        <f aca="false">IF(AND($D66&lt;&gt;"",$B66="결제완료",$T66="대여"),설정!$J$5,"")</f>
        <v/>
      </c>
      <c r="AG66" s="54" t="str">
        <f aca="false">IF($D66="","",IF(AND($E66="",$R66=""),$AB66,"☎ "&amp;IF($E66="","-",$E66)&amp;IF($R66&lt;&gt;"","  ※ "&amp;$R66,"")&amp;IF($B66="상담중"," (상담)","")))</f>
        <v/>
      </c>
      <c r="AH66" s="56" t="str">
        <f aca="false">IF(AND($D66&lt;&gt;"",$B66="결제완료",$O66="스마트스토어"),ROUND(N($N66)*설정!$J$6,0),"")</f>
        <v/>
      </c>
      <c r="AI66" s="54" t="str">
        <f aca="false">IF($D66="","",ROW())</f>
        <v/>
      </c>
      <c r="AJ66" s="54" t="n">
        <f aca="false">IF(OR($AC66&lt;&gt;1,$M66=""),0,IF(ISNUMBER(SEARCH("퇴사",IFERROR(INDEX(강사DB!$G$4:$G$53,MATCH($M66,강사DB!$A$4:$A$53,0)),""))),1,0))</f>
        <v>0</v>
      </c>
    </row>
    <row r="67" customFormat="false" ht="15" hidden="false" customHeight="false" outlineLevel="0" collapsed="false">
      <c r="A67" s="45" t="str">
        <f aca="false">IF($D67="","",COUNTA($D$5:$D67))</f>
        <v/>
      </c>
      <c r="B67" s="46"/>
      <c r="C67" s="47"/>
      <c r="D67" s="48"/>
      <c r="E67" s="48"/>
      <c r="F67" s="49"/>
      <c r="G67" s="47"/>
      <c r="H67" s="50"/>
      <c r="I67" s="50"/>
      <c r="J67" s="51" t="str">
        <f aca="false">IF(OR($V67="",$W67=""),"",ROUND(($W67-$V67)/60,2))</f>
        <v/>
      </c>
      <c r="K67" s="52" t="str">
        <f aca="false">IF($F67="","",LEN($F67)-LEN(SUBSTITUTE($F67,",",""))+1)</f>
        <v/>
      </c>
      <c r="L67" s="45" t="str">
        <f aca="false">IF($K67="","","1:"&amp;$K67)</f>
        <v/>
      </c>
      <c r="M67" s="46"/>
      <c r="N67" s="53"/>
      <c r="O67" s="46"/>
      <c r="P67" s="47"/>
      <c r="Q67" s="48"/>
      <c r="R67" s="49"/>
      <c r="S67" s="54" t="str">
        <f aca="false">IF(OR($AC67=0,$U67="",$M67="",$V67="",$W67=""),"",IF(COUNTIFS(m_teacher,$M67,m_date,$U67,m_active,1,m_start,"&lt;"&amp;$W67,m_end,"&gt;"&amp;$V67)&gt;1,"충돌",""))</f>
        <v/>
      </c>
      <c r="T67" s="48"/>
      <c r="U67" s="55" t="str">
        <f aca="false">IF($G67="","",IFERROR(IF(ISNUMBER($G67),IF($G67&gt;19000000,DATE(INT($G67/10000),MOD(INT($G67/100),100),MOD($G67,100)),INT($G67)),IF(LEN(SUBSTITUTE(SUBSTITUTE(SUBSTITUTE(TRIM($G67),"-",""),".",""),"/",""))=8,DATE(VALUE(LEFT(SUBSTITUTE(SUBSTITUTE(SUBSTITUTE(TRIM($G67),"-",""),".",""),"/",""),4)),VALUE(MID(SUBSTITUTE(SUBSTITUTE(SUBSTITUTE(TRIM($G67),"-",""),".",""),"/",""),5,2)),VALUE(RIGHT(SUBSTITUTE(SUBSTITUTE(SUBSTITUTE(TRIM($G67),"-",""),".",""),"/",""),2))),DATEVALUE($G67))),""))</f>
        <v/>
      </c>
      <c r="V67" s="52" t="str">
        <f aca="false">IF($H67="","",IFERROR(IF(IF(ISNUMBER($H67),$H67,IFERROR(TIMEVALUE($H67),VALUE($H67)))&gt;=100,INT(IF(ISNUMBER($H67),$H67,IFERROR(TIMEVALUE($H67),VALUE($H67)))/100)*60+MOD(IF(ISNUMBER($H67),$H67,IFERROR(TIMEVALUE($H67),VALUE($H67))),100),IF(IF(ISNUMBER($H67),$H67,IFERROR(TIMEVALUE($H67),VALUE($H67)))&gt;=1,ROUND(IF(ISNUMBER($H67),$H67,IFERROR(TIMEVALUE($H67),VALUE($H67)))*60,0),ROUND(MOD(IF(ISNUMBER($H67),$H67,IFERROR(TIMEVALUE($H67),VALUE($H67))),1)*1440,0))),""))</f>
        <v/>
      </c>
      <c r="W67" s="52" t="str">
        <f aca="false">IF($I67="","",IFERROR(IF(IF(ISNUMBER($I67),$I67,IFERROR(TIMEVALUE($I67),VALUE($I67)))&gt;=100,INT(IF(ISNUMBER($I67),$I67,IFERROR(TIMEVALUE($I67),VALUE($I67)))/100)*60+MOD(IF(ISNUMBER($I67),$I67,IFERROR(TIMEVALUE($I67),VALUE($I67))),100),IF(IF(ISNUMBER($I67),$I67,IFERROR(TIMEVALUE($I67),VALUE($I67)))&gt;=1,ROUND(IF(ISNUMBER($I67),$I67,IFERROR(TIMEVALUE($I67),VALUE($I67)))*60,0),ROUND(MOD(IF(ISNUMBER($I67),$I67,IFERROR(TIMEVALUE($I67),VALUE($I67))),1)*1440,0))),""))</f>
        <v/>
      </c>
      <c r="X67" s="55" t="str">
        <f aca="false">IF($P67="","",IFERROR(IF(ISNUMBER($P67),IF($P67&gt;19000000,DATE(INT($P67/10000),MOD(INT($P67/100),100),MOD($P67,100)),INT($P67)),IF(LEN(SUBSTITUTE(SUBSTITUTE(SUBSTITUTE(TRIM($P67),"-",""),".",""),"/",""))=8,DATE(VALUE(LEFT(SUBSTITUTE(SUBSTITUTE(SUBSTITUTE(TRIM($P67),"-",""),".",""),"/",""),4)),VALUE(MID(SUBSTITUTE(SUBSTITUTE(SUBSTITUTE(TRIM($P67),"-",""),".",""),"/",""),5,2)),VALUE(RIGHT(SUBSTITUTE(SUBSTITUTE(SUBSTITUTE(TRIM($P67),"-",""),".",""),"/",""),2))),DATEVALUE($P67))),""))</f>
        <v/>
      </c>
      <c r="Y67" s="56" t="str">
        <f aca="false">IF($M67="","",IFERROR(INDEX(강사DB!$D$4:$D$53,MATCH($M67,강사DB!$A$4:$A$53,0)),""))</f>
        <v/>
      </c>
      <c r="Z67" s="56" t="str">
        <f aca="false">IF($B67&lt;&gt;"결제완료","",IF(OR($Y67="",$J67=""),"",$Y67*$J67+MAX(0,N($K67)-1)*설정!$J$7))</f>
        <v/>
      </c>
      <c r="AA67" s="56" t="str">
        <f aca="false">IF(AND($D67&lt;&gt;"",$B67="결제완료"),N($N67),"")</f>
        <v/>
      </c>
      <c r="AB67" s="45" t="str">
        <f aca="false">IF($D67="","",IF($F67&lt;&gt;"",$F67,$D67)&amp;IF($B67="상담중"," (상담)",""))</f>
        <v/>
      </c>
      <c r="AC67" s="45" t="n">
        <f aca="false">IF(AND($D67&lt;&gt;"",OR($B67="결제완료",$B67="상담중")),1,0)</f>
        <v>0</v>
      </c>
      <c r="AD67" s="45" t="n">
        <f aca="false">IF(OR($Z67="",$U67=""),0,IFERROR(IF(COUNTIFS(INDEX(g_grid,0,2*MATCH($M67,강사DB!$A$4:$A$15,0)),"&lt;&gt;",g_s,"&lt;="&amp;$U67,g_e,"&gt;="&amp;$U67)&gt;0,1,0),0))</f>
        <v>0</v>
      </c>
      <c r="AE67" s="48"/>
      <c r="AF67" s="56" t="str">
        <f aca="false">IF(AND($D67&lt;&gt;"",$B67="결제완료",$T67="대여"),설정!$J$5,"")</f>
        <v/>
      </c>
      <c r="AG67" s="54" t="str">
        <f aca="false">IF($D67="","",IF(AND($E67="",$R67=""),$AB67,"☎ "&amp;IF($E67="","-",$E67)&amp;IF($R67&lt;&gt;"","  ※ "&amp;$R67,"")&amp;IF($B67="상담중"," (상담)","")))</f>
        <v/>
      </c>
      <c r="AH67" s="56" t="str">
        <f aca="false">IF(AND($D67&lt;&gt;"",$B67="결제완료",$O67="스마트스토어"),ROUND(N($N67)*설정!$J$6,0),"")</f>
        <v/>
      </c>
      <c r="AI67" s="54" t="str">
        <f aca="false">IF($D67="","",ROW())</f>
        <v/>
      </c>
      <c r="AJ67" s="54" t="n">
        <f aca="false">IF(OR($AC67&lt;&gt;1,$M67=""),0,IF(ISNUMBER(SEARCH("퇴사",IFERROR(INDEX(강사DB!$G$4:$G$53,MATCH($M67,강사DB!$A$4:$A$53,0)),""))),1,0))</f>
        <v>0</v>
      </c>
    </row>
    <row r="68" customFormat="false" ht="15" hidden="false" customHeight="false" outlineLevel="0" collapsed="false">
      <c r="A68" s="45" t="str">
        <f aca="false">IF($D68="","",COUNTA($D$5:$D68))</f>
        <v/>
      </c>
      <c r="B68" s="46"/>
      <c r="C68" s="47"/>
      <c r="D68" s="48"/>
      <c r="E68" s="48"/>
      <c r="F68" s="49"/>
      <c r="G68" s="47"/>
      <c r="H68" s="50"/>
      <c r="I68" s="50"/>
      <c r="J68" s="51" t="str">
        <f aca="false">IF(OR($V68="",$W68=""),"",ROUND(($W68-$V68)/60,2))</f>
        <v/>
      </c>
      <c r="K68" s="52" t="str">
        <f aca="false">IF($F68="","",LEN($F68)-LEN(SUBSTITUTE($F68,",",""))+1)</f>
        <v/>
      </c>
      <c r="L68" s="45" t="str">
        <f aca="false">IF($K68="","","1:"&amp;$K68)</f>
        <v/>
      </c>
      <c r="M68" s="46"/>
      <c r="N68" s="53"/>
      <c r="O68" s="46"/>
      <c r="P68" s="47"/>
      <c r="Q68" s="48"/>
      <c r="R68" s="49"/>
      <c r="S68" s="54" t="str">
        <f aca="false">IF(OR($AC68=0,$U68="",$M68="",$V68="",$W68=""),"",IF(COUNTIFS(m_teacher,$M68,m_date,$U68,m_active,1,m_start,"&lt;"&amp;$W68,m_end,"&gt;"&amp;$V68)&gt;1,"충돌",""))</f>
        <v/>
      </c>
      <c r="T68" s="48"/>
      <c r="U68" s="55" t="str">
        <f aca="false">IF($G68="","",IFERROR(IF(ISNUMBER($G68),IF($G68&gt;19000000,DATE(INT($G68/10000),MOD(INT($G68/100),100),MOD($G68,100)),INT($G68)),IF(LEN(SUBSTITUTE(SUBSTITUTE(SUBSTITUTE(TRIM($G68),"-",""),".",""),"/",""))=8,DATE(VALUE(LEFT(SUBSTITUTE(SUBSTITUTE(SUBSTITUTE(TRIM($G68),"-",""),".",""),"/",""),4)),VALUE(MID(SUBSTITUTE(SUBSTITUTE(SUBSTITUTE(TRIM($G68),"-",""),".",""),"/",""),5,2)),VALUE(RIGHT(SUBSTITUTE(SUBSTITUTE(SUBSTITUTE(TRIM($G68),"-",""),".",""),"/",""),2))),DATEVALUE($G68))),""))</f>
        <v/>
      </c>
      <c r="V68" s="52" t="str">
        <f aca="false">IF($H68="","",IFERROR(IF(IF(ISNUMBER($H68),$H68,IFERROR(TIMEVALUE($H68),VALUE($H68)))&gt;=100,INT(IF(ISNUMBER($H68),$H68,IFERROR(TIMEVALUE($H68),VALUE($H68)))/100)*60+MOD(IF(ISNUMBER($H68),$H68,IFERROR(TIMEVALUE($H68),VALUE($H68))),100),IF(IF(ISNUMBER($H68),$H68,IFERROR(TIMEVALUE($H68),VALUE($H68)))&gt;=1,ROUND(IF(ISNUMBER($H68),$H68,IFERROR(TIMEVALUE($H68),VALUE($H68)))*60,0),ROUND(MOD(IF(ISNUMBER($H68),$H68,IFERROR(TIMEVALUE($H68),VALUE($H68))),1)*1440,0))),""))</f>
        <v/>
      </c>
      <c r="W68" s="52" t="str">
        <f aca="false">IF($I68="","",IFERROR(IF(IF(ISNUMBER($I68),$I68,IFERROR(TIMEVALUE($I68),VALUE($I68)))&gt;=100,INT(IF(ISNUMBER($I68),$I68,IFERROR(TIMEVALUE($I68),VALUE($I68)))/100)*60+MOD(IF(ISNUMBER($I68),$I68,IFERROR(TIMEVALUE($I68),VALUE($I68))),100),IF(IF(ISNUMBER($I68),$I68,IFERROR(TIMEVALUE($I68),VALUE($I68)))&gt;=1,ROUND(IF(ISNUMBER($I68),$I68,IFERROR(TIMEVALUE($I68),VALUE($I68)))*60,0),ROUND(MOD(IF(ISNUMBER($I68),$I68,IFERROR(TIMEVALUE($I68),VALUE($I68))),1)*1440,0))),""))</f>
        <v/>
      </c>
      <c r="X68" s="55" t="str">
        <f aca="false">IF($P68="","",IFERROR(IF(ISNUMBER($P68),IF($P68&gt;19000000,DATE(INT($P68/10000),MOD(INT($P68/100),100),MOD($P68,100)),INT($P68)),IF(LEN(SUBSTITUTE(SUBSTITUTE(SUBSTITUTE(TRIM($P68),"-",""),".",""),"/",""))=8,DATE(VALUE(LEFT(SUBSTITUTE(SUBSTITUTE(SUBSTITUTE(TRIM($P68),"-",""),".",""),"/",""),4)),VALUE(MID(SUBSTITUTE(SUBSTITUTE(SUBSTITUTE(TRIM($P68),"-",""),".",""),"/",""),5,2)),VALUE(RIGHT(SUBSTITUTE(SUBSTITUTE(SUBSTITUTE(TRIM($P68),"-",""),".",""),"/",""),2))),DATEVALUE($P68))),""))</f>
        <v/>
      </c>
      <c r="Y68" s="56" t="str">
        <f aca="false">IF($M68="","",IFERROR(INDEX(강사DB!$D$4:$D$53,MATCH($M68,강사DB!$A$4:$A$53,0)),""))</f>
        <v/>
      </c>
      <c r="Z68" s="56" t="str">
        <f aca="false">IF($B68&lt;&gt;"결제완료","",IF(OR($Y68="",$J68=""),"",$Y68*$J68+MAX(0,N($K68)-1)*설정!$J$7))</f>
        <v/>
      </c>
      <c r="AA68" s="56" t="str">
        <f aca="false">IF(AND($D68&lt;&gt;"",$B68="결제완료"),N($N68),"")</f>
        <v/>
      </c>
      <c r="AB68" s="45" t="str">
        <f aca="false">IF($D68="","",IF($F68&lt;&gt;"",$F68,$D68)&amp;IF($B68="상담중"," (상담)",""))</f>
        <v/>
      </c>
      <c r="AC68" s="45" t="n">
        <f aca="false">IF(AND($D68&lt;&gt;"",OR($B68="결제완료",$B68="상담중")),1,0)</f>
        <v>0</v>
      </c>
      <c r="AD68" s="45" t="n">
        <f aca="false">IF(OR($Z68="",$U68=""),0,IFERROR(IF(COUNTIFS(INDEX(g_grid,0,2*MATCH($M68,강사DB!$A$4:$A$15,0)),"&lt;&gt;",g_s,"&lt;="&amp;$U68,g_e,"&gt;="&amp;$U68)&gt;0,1,0),0))</f>
        <v>0</v>
      </c>
      <c r="AE68" s="48"/>
      <c r="AF68" s="56" t="str">
        <f aca="false">IF(AND($D68&lt;&gt;"",$B68="결제완료",$T68="대여"),설정!$J$5,"")</f>
        <v/>
      </c>
      <c r="AG68" s="54" t="str">
        <f aca="false">IF($D68="","",IF(AND($E68="",$R68=""),$AB68,"☎ "&amp;IF($E68="","-",$E68)&amp;IF($R68&lt;&gt;"","  ※ "&amp;$R68,"")&amp;IF($B68="상담중"," (상담)","")))</f>
        <v/>
      </c>
      <c r="AH68" s="56" t="str">
        <f aca="false">IF(AND($D68&lt;&gt;"",$B68="결제완료",$O68="스마트스토어"),ROUND(N($N68)*설정!$J$6,0),"")</f>
        <v/>
      </c>
      <c r="AI68" s="54" t="str">
        <f aca="false">IF($D68="","",ROW())</f>
        <v/>
      </c>
      <c r="AJ68" s="54" t="n">
        <f aca="false">IF(OR($AC68&lt;&gt;1,$M68=""),0,IF(ISNUMBER(SEARCH("퇴사",IFERROR(INDEX(강사DB!$G$4:$G$53,MATCH($M68,강사DB!$A$4:$A$53,0)),""))),1,0))</f>
        <v>0</v>
      </c>
    </row>
    <row r="69" customFormat="false" ht="15" hidden="false" customHeight="false" outlineLevel="0" collapsed="false">
      <c r="A69" s="45" t="str">
        <f aca="false">IF($D69="","",COUNTA($D$5:$D69))</f>
        <v/>
      </c>
      <c r="B69" s="46"/>
      <c r="C69" s="47"/>
      <c r="D69" s="48"/>
      <c r="E69" s="48"/>
      <c r="F69" s="49"/>
      <c r="G69" s="47"/>
      <c r="H69" s="50"/>
      <c r="I69" s="50"/>
      <c r="J69" s="51" t="str">
        <f aca="false">IF(OR($V69="",$W69=""),"",ROUND(($W69-$V69)/60,2))</f>
        <v/>
      </c>
      <c r="K69" s="52" t="str">
        <f aca="false">IF($F69="","",LEN($F69)-LEN(SUBSTITUTE($F69,",",""))+1)</f>
        <v/>
      </c>
      <c r="L69" s="45" t="str">
        <f aca="false">IF($K69="","","1:"&amp;$K69)</f>
        <v/>
      </c>
      <c r="M69" s="46"/>
      <c r="N69" s="53"/>
      <c r="O69" s="46"/>
      <c r="P69" s="47"/>
      <c r="Q69" s="48"/>
      <c r="R69" s="49"/>
      <c r="S69" s="54" t="str">
        <f aca="false">IF(OR($AC69=0,$U69="",$M69="",$V69="",$W69=""),"",IF(COUNTIFS(m_teacher,$M69,m_date,$U69,m_active,1,m_start,"&lt;"&amp;$W69,m_end,"&gt;"&amp;$V69)&gt;1,"충돌",""))</f>
        <v/>
      </c>
      <c r="T69" s="48"/>
      <c r="U69" s="55" t="str">
        <f aca="false">IF($G69="","",IFERROR(IF(ISNUMBER($G69),IF($G69&gt;19000000,DATE(INT($G69/10000),MOD(INT($G69/100),100),MOD($G69,100)),INT($G69)),IF(LEN(SUBSTITUTE(SUBSTITUTE(SUBSTITUTE(TRIM($G69),"-",""),".",""),"/",""))=8,DATE(VALUE(LEFT(SUBSTITUTE(SUBSTITUTE(SUBSTITUTE(TRIM($G69),"-",""),".",""),"/",""),4)),VALUE(MID(SUBSTITUTE(SUBSTITUTE(SUBSTITUTE(TRIM($G69),"-",""),".",""),"/",""),5,2)),VALUE(RIGHT(SUBSTITUTE(SUBSTITUTE(SUBSTITUTE(TRIM($G69),"-",""),".",""),"/",""),2))),DATEVALUE($G69))),""))</f>
        <v/>
      </c>
      <c r="V69" s="52" t="str">
        <f aca="false">IF($H69="","",IFERROR(IF(IF(ISNUMBER($H69),$H69,IFERROR(TIMEVALUE($H69),VALUE($H69)))&gt;=100,INT(IF(ISNUMBER($H69),$H69,IFERROR(TIMEVALUE($H69),VALUE($H69)))/100)*60+MOD(IF(ISNUMBER($H69),$H69,IFERROR(TIMEVALUE($H69),VALUE($H69))),100),IF(IF(ISNUMBER($H69),$H69,IFERROR(TIMEVALUE($H69),VALUE($H69)))&gt;=1,ROUND(IF(ISNUMBER($H69),$H69,IFERROR(TIMEVALUE($H69),VALUE($H69)))*60,0),ROUND(MOD(IF(ISNUMBER($H69),$H69,IFERROR(TIMEVALUE($H69),VALUE($H69))),1)*1440,0))),""))</f>
        <v/>
      </c>
      <c r="W69" s="52" t="str">
        <f aca="false">IF($I69="","",IFERROR(IF(IF(ISNUMBER($I69),$I69,IFERROR(TIMEVALUE($I69),VALUE($I69)))&gt;=100,INT(IF(ISNUMBER($I69),$I69,IFERROR(TIMEVALUE($I69),VALUE($I69)))/100)*60+MOD(IF(ISNUMBER($I69),$I69,IFERROR(TIMEVALUE($I69),VALUE($I69))),100),IF(IF(ISNUMBER($I69),$I69,IFERROR(TIMEVALUE($I69),VALUE($I69)))&gt;=1,ROUND(IF(ISNUMBER($I69),$I69,IFERROR(TIMEVALUE($I69),VALUE($I69)))*60,0),ROUND(MOD(IF(ISNUMBER($I69),$I69,IFERROR(TIMEVALUE($I69),VALUE($I69))),1)*1440,0))),""))</f>
        <v/>
      </c>
      <c r="X69" s="55" t="str">
        <f aca="false">IF($P69="","",IFERROR(IF(ISNUMBER($P69),IF($P69&gt;19000000,DATE(INT($P69/10000),MOD(INT($P69/100),100),MOD($P69,100)),INT($P69)),IF(LEN(SUBSTITUTE(SUBSTITUTE(SUBSTITUTE(TRIM($P69),"-",""),".",""),"/",""))=8,DATE(VALUE(LEFT(SUBSTITUTE(SUBSTITUTE(SUBSTITUTE(TRIM($P69),"-",""),".",""),"/",""),4)),VALUE(MID(SUBSTITUTE(SUBSTITUTE(SUBSTITUTE(TRIM($P69),"-",""),".",""),"/",""),5,2)),VALUE(RIGHT(SUBSTITUTE(SUBSTITUTE(SUBSTITUTE(TRIM($P69),"-",""),".",""),"/",""),2))),DATEVALUE($P69))),""))</f>
        <v/>
      </c>
      <c r="Y69" s="56" t="str">
        <f aca="false">IF($M69="","",IFERROR(INDEX(강사DB!$D$4:$D$53,MATCH($M69,강사DB!$A$4:$A$53,0)),""))</f>
        <v/>
      </c>
      <c r="Z69" s="56" t="str">
        <f aca="false">IF($B69&lt;&gt;"결제완료","",IF(OR($Y69="",$J69=""),"",$Y69*$J69+MAX(0,N($K69)-1)*설정!$J$7))</f>
        <v/>
      </c>
      <c r="AA69" s="56" t="str">
        <f aca="false">IF(AND($D69&lt;&gt;"",$B69="결제완료"),N($N69),"")</f>
        <v/>
      </c>
      <c r="AB69" s="45" t="str">
        <f aca="false">IF($D69="","",IF($F69&lt;&gt;"",$F69,$D69)&amp;IF($B69="상담중"," (상담)",""))</f>
        <v/>
      </c>
      <c r="AC69" s="45" t="n">
        <f aca="false">IF(AND($D69&lt;&gt;"",OR($B69="결제완료",$B69="상담중")),1,0)</f>
        <v>0</v>
      </c>
      <c r="AD69" s="45" t="n">
        <f aca="false">IF(OR($Z69="",$U69=""),0,IFERROR(IF(COUNTIFS(INDEX(g_grid,0,2*MATCH($M69,강사DB!$A$4:$A$15,0)),"&lt;&gt;",g_s,"&lt;="&amp;$U69,g_e,"&gt;="&amp;$U69)&gt;0,1,0),0))</f>
        <v>0</v>
      </c>
      <c r="AE69" s="48"/>
      <c r="AF69" s="56" t="str">
        <f aca="false">IF(AND($D69&lt;&gt;"",$B69="결제완료",$T69="대여"),설정!$J$5,"")</f>
        <v/>
      </c>
      <c r="AG69" s="54" t="str">
        <f aca="false">IF($D69="","",IF(AND($E69="",$R69=""),$AB69,"☎ "&amp;IF($E69="","-",$E69)&amp;IF($R69&lt;&gt;"","  ※ "&amp;$R69,"")&amp;IF($B69="상담중"," (상담)","")))</f>
        <v/>
      </c>
      <c r="AH69" s="56" t="str">
        <f aca="false">IF(AND($D69&lt;&gt;"",$B69="결제완료",$O69="스마트스토어"),ROUND(N($N69)*설정!$J$6,0),"")</f>
        <v/>
      </c>
      <c r="AI69" s="54" t="str">
        <f aca="false">IF($D69="","",ROW())</f>
        <v/>
      </c>
      <c r="AJ69" s="54" t="n">
        <f aca="false">IF(OR($AC69&lt;&gt;1,$M69=""),0,IF(ISNUMBER(SEARCH("퇴사",IFERROR(INDEX(강사DB!$G$4:$G$53,MATCH($M69,강사DB!$A$4:$A$53,0)),""))),1,0))</f>
        <v>0</v>
      </c>
    </row>
    <row r="70" customFormat="false" ht="15" hidden="false" customHeight="false" outlineLevel="0" collapsed="false">
      <c r="A70" s="45" t="str">
        <f aca="false">IF($D70="","",COUNTA($D$5:$D70))</f>
        <v/>
      </c>
      <c r="B70" s="46"/>
      <c r="C70" s="47"/>
      <c r="D70" s="48"/>
      <c r="E70" s="48"/>
      <c r="F70" s="49"/>
      <c r="G70" s="47"/>
      <c r="H70" s="50"/>
      <c r="I70" s="50"/>
      <c r="J70" s="51" t="str">
        <f aca="false">IF(OR($V70="",$W70=""),"",ROUND(($W70-$V70)/60,2))</f>
        <v/>
      </c>
      <c r="K70" s="52" t="str">
        <f aca="false">IF($F70="","",LEN($F70)-LEN(SUBSTITUTE($F70,",",""))+1)</f>
        <v/>
      </c>
      <c r="L70" s="45" t="str">
        <f aca="false">IF($K70="","","1:"&amp;$K70)</f>
        <v/>
      </c>
      <c r="M70" s="46"/>
      <c r="N70" s="53"/>
      <c r="O70" s="46"/>
      <c r="P70" s="47"/>
      <c r="Q70" s="48"/>
      <c r="R70" s="49"/>
      <c r="S70" s="54" t="str">
        <f aca="false">IF(OR($AC70=0,$U70="",$M70="",$V70="",$W70=""),"",IF(COUNTIFS(m_teacher,$M70,m_date,$U70,m_active,1,m_start,"&lt;"&amp;$W70,m_end,"&gt;"&amp;$V70)&gt;1,"충돌",""))</f>
        <v/>
      </c>
      <c r="T70" s="48"/>
      <c r="U70" s="55" t="str">
        <f aca="false">IF($G70="","",IFERROR(IF(ISNUMBER($G70),IF($G70&gt;19000000,DATE(INT($G70/10000),MOD(INT($G70/100),100),MOD($G70,100)),INT($G70)),IF(LEN(SUBSTITUTE(SUBSTITUTE(SUBSTITUTE(TRIM($G70),"-",""),".",""),"/",""))=8,DATE(VALUE(LEFT(SUBSTITUTE(SUBSTITUTE(SUBSTITUTE(TRIM($G70),"-",""),".",""),"/",""),4)),VALUE(MID(SUBSTITUTE(SUBSTITUTE(SUBSTITUTE(TRIM($G70),"-",""),".",""),"/",""),5,2)),VALUE(RIGHT(SUBSTITUTE(SUBSTITUTE(SUBSTITUTE(TRIM($G70),"-",""),".",""),"/",""),2))),DATEVALUE($G70))),""))</f>
        <v/>
      </c>
      <c r="V70" s="52" t="str">
        <f aca="false">IF($H70="","",IFERROR(IF(IF(ISNUMBER($H70),$H70,IFERROR(TIMEVALUE($H70),VALUE($H70)))&gt;=100,INT(IF(ISNUMBER($H70),$H70,IFERROR(TIMEVALUE($H70),VALUE($H70)))/100)*60+MOD(IF(ISNUMBER($H70),$H70,IFERROR(TIMEVALUE($H70),VALUE($H70))),100),IF(IF(ISNUMBER($H70),$H70,IFERROR(TIMEVALUE($H70),VALUE($H70)))&gt;=1,ROUND(IF(ISNUMBER($H70),$H70,IFERROR(TIMEVALUE($H70),VALUE($H70)))*60,0),ROUND(MOD(IF(ISNUMBER($H70),$H70,IFERROR(TIMEVALUE($H70),VALUE($H70))),1)*1440,0))),""))</f>
        <v/>
      </c>
      <c r="W70" s="52" t="str">
        <f aca="false">IF($I70="","",IFERROR(IF(IF(ISNUMBER($I70),$I70,IFERROR(TIMEVALUE($I70),VALUE($I70)))&gt;=100,INT(IF(ISNUMBER($I70),$I70,IFERROR(TIMEVALUE($I70),VALUE($I70)))/100)*60+MOD(IF(ISNUMBER($I70),$I70,IFERROR(TIMEVALUE($I70),VALUE($I70))),100),IF(IF(ISNUMBER($I70),$I70,IFERROR(TIMEVALUE($I70),VALUE($I70)))&gt;=1,ROUND(IF(ISNUMBER($I70),$I70,IFERROR(TIMEVALUE($I70),VALUE($I70)))*60,0),ROUND(MOD(IF(ISNUMBER($I70),$I70,IFERROR(TIMEVALUE($I70),VALUE($I70))),1)*1440,0))),""))</f>
        <v/>
      </c>
      <c r="X70" s="55" t="str">
        <f aca="false">IF($P70="","",IFERROR(IF(ISNUMBER($P70),IF($P70&gt;19000000,DATE(INT($P70/10000),MOD(INT($P70/100),100),MOD($P70,100)),INT($P70)),IF(LEN(SUBSTITUTE(SUBSTITUTE(SUBSTITUTE(TRIM($P70),"-",""),".",""),"/",""))=8,DATE(VALUE(LEFT(SUBSTITUTE(SUBSTITUTE(SUBSTITUTE(TRIM($P70),"-",""),".",""),"/",""),4)),VALUE(MID(SUBSTITUTE(SUBSTITUTE(SUBSTITUTE(TRIM($P70),"-",""),".",""),"/",""),5,2)),VALUE(RIGHT(SUBSTITUTE(SUBSTITUTE(SUBSTITUTE(TRIM($P70),"-",""),".",""),"/",""),2))),DATEVALUE($P70))),""))</f>
        <v/>
      </c>
      <c r="Y70" s="56" t="str">
        <f aca="false">IF($M70="","",IFERROR(INDEX(강사DB!$D$4:$D$53,MATCH($M70,강사DB!$A$4:$A$53,0)),""))</f>
        <v/>
      </c>
      <c r="Z70" s="56" t="str">
        <f aca="false">IF($B70&lt;&gt;"결제완료","",IF(OR($Y70="",$J70=""),"",$Y70*$J70+MAX(0,N($K70)-1)*설정!$J$7))</f>
        <v/>
      </c>
      <c r="AA70" s="56" t="str">
        <f aca="false">IF(AND($D70&lt;&gt;"",$B70="결제완료"),N($N70),"")</f>
        <v/>
      </c>
      <c r="AB70" s="45" t="str">
        <f aca="false">IF($D70="","",IF($F70&lt;&gt;"",$F70,$D70)&amp;IF($B70="상담중"," (상담)",""))</f>
        <v/>
      </c>
      <c r="AC70" s="45" t="n">
        <f aca="false">IF(AND($D70&lt;&gt;"",OR($B70="결제완료",$B70="상담중")),1,0)</f>
        <v>0</v>
      </c>
      <c r="AD70" s="45" t="n">
        <f aca="false">IF(OR($Z70="",$U70=""),0,IFERROR(IF(COUNTIFS(INDEX(g_grid,0,2*MATCH($M70,강사DB!$A$4:$A$15,0)),"&lt;&gt;",g_s,"&lt;="&amp;$U70,g_e,"&gt;="&amp;$U70)&gt;0,1,0),0))</f>
        <v>0</v>
      </c>
      <c r="AE70" s="48"/>
      <c r="AF70" s="56" t="str">
        <f aca="false">IF(AND($D70&lt;&gt;"",$B70="결제완료",$T70="대여"),설정!$J$5,"")</f>
        <v/>
      </c>
      <c r="AG70" s="54" t="str">
        <f aca="false">IF($D70="","",IF(AND($E70="",$R70=""),$AB70,"☎ "&amp;IF($E70="","-",$E70)&amp;IF($R70&lt;&gt;"","  ※ "&amp;$R70,"")&amp;IF($B70="상담중"," (상담)","")))</f>
        <v/>
      </c>
      <c r="AH70" s="56" t="str">
        <f aca="false">IF(AND($D70&lt;&gt;"",$B70="결제완료",$O70="스마트스토어"),ROUND(N($N70)*설정!$J$6,0),"")</f>
        <v/>
      </c>
      <c r="AI70" s="54" t="str">
        <f aca="false">IF($D70="","",ROW())</f>
        <v/>
      </c>
      <c r="AJ70" s="54" t="n">
        <f aca="false">IF(OR($AC70&lt;&gt;1,$M70=""),0,IF(ISNUMBER(SEARCH("퇴사",IFERROR(INDEX(강사DB!$G$4:$G$53,MATCH($M70,강사DB!$A$4:$A$53,0)),""))),1,0))</f>
        <v>0</v>
      </c>
    </row>
    <row r="71" customFormat="false" ht="15" hidden="false" customHeight="false" outlineLevel="0" collapsed="false">
      <c r="A71" s="45" t="str">
        <f aca="false">IF($D71="","",COUNTA($D$5:$D71))</f>
        <v/>
      </c>
      <c r="B71" s="46"/>
      <c r="C71" s="47"/>
      <c r="D71" s="48"/>
      <c r="E71" s="48"/>
      <c r="F71" s="49"/>
      <c r="G71" s="47"/>
      <c r="H71" s="50"/>
      <c r="I71" s="50"/>
      <c r="J71" s="51" t="str">
        <f aca="false">IF(OR($V71="",$W71=""),"",ROUND(($W71-$V71)/60,2))</f>
        <v/>
      </c>
      <c r="K71" s="52" t="str">
        <f aca="false">IF($F71="","",LEN($F71)-LEN(SUBSTITUTE($F71,",",""))+1)</f>
        <v/>
      </c>
      <c r="L71" s="45" t="str">
        <f aca="false">IF($K71="","","1:"&amp;$K71)</f>
        <v/>
      </c>
      <c r="M71" s="46"/>
      <c r="N71" s="53"/>
      <c r="O71" s="46"/>
      <c r="P71" s="47"/>
      <c r="Q71" s="48"/>
      <c r="R71" s="49"/>
      <c r="S71" s="54" t="str">
        <f aca="false">IF(OR($AC71=0,$U71="",$M71="",$V71="",$W71=""),"",IF(COUNTIFS(m_teacher,$M71,m_date,$U71,m_active,1,m_start,"&lt;"&amp;$W71,m_end,"&gt;"&amp;$V71)&gt;1,"충돌",""))</f>
        <v/>
      </c>
      <c r="T71" s="48"/>
      <c r="U71" s="55" t="str">
        <f aca="false">IF($G71="","",IFERROR(IF(ISNUMBER($G71),IF($G71&gt;19000000,DATE(INT($G71/10000),MOD(INT($G71/100),100),MOD($G71,100)),INT($G71)),IF(LEN(SUBSTITUTE(SUBSTITUTE(SUBSTITUTE(TRIM($G71),"-",""),".",""),"/",""))=8,DATE(VALUE(LEFT(SUBSTITUTE(SUBSTITUTE(SUBSTITUTE(TRIM($G71),"-",""),".",""),"/",""),4)),VALUE(MID(SUBSTITUTE(SUBSTITUTE(SUBSTITUTE(TRIM($G71),"-",""),".",""),"/",""),5,2)),VALUE(RIGHT(SUBSTITUTE(SUBSTITUTE(SUBSTITUTE(TRIM($G71),"-",""),".",""),"/",""),2))),DATEVALUE($G71))),""))</f>
        <v/>
      </c>
      <c r="V71" s="52" t="str">
        <f aca="false">IF($H71="","",IFERROR(IF(IF(ISNUMBER($H71),$H71,IFERROR(TIMEVALUE($H71),VALUE($H71)))&gt;=100,INT(IF(ISNUMBER($H71),$H71,IFERROR(TIMEVALUE($H71),VALUE($H71)))/100)*60+MOD(IF(ISNUMBER($H71),$H71,IFERROR(TIMEVALUE($H71),VALUE($H71))),100),IF(IF(ISNUMBER($H71),$H71,IFERROR(TIMEVALUE($H71),VALUE($H71)))&gt;=1,ROUND(IF(ISNUMBER($H71),$H71,IFERROR(TIMEVALUE($H71),VALUE($H71)))*60,0),ROUND(MOD(IF(ISNUMBER($H71),$H71,IFERROR(TIMEVALUE($H71),VALUE($H71))),1)*1440,0))),""))</f>
        <v/>
      </c>
      <c r="W71" s="52" t="str">
        <f aca="false">IF($I71="","",IFERROR(IF(IF(ISNUMBER($I71),$I71,IFERROR(TIMEVALUE($I71),VALUE($I71)))&gt;=100,INT(IF(ISNUMBER($I71),$I71,IFERROR(TIMEVALUE($I71),VALUE($I71)))/100)*60+MOD(IF(ISNUMBER($I71),$I71,IFERROR(TIMEVALUE($I71),VALUE($I71))),100),IF(IF(ISNUMBER($I71),$I71,IFERROR(TIMEVALUE($I71),VALUE($I71)))&gt;=1,ROUND(IF(ISNUMBER($I71),$I71,IFERROR(TIMEVALUE($I71),VALUE($I71)))*60,0),ROUND(MOD(IF(ISNUMBER($I71),$I71,IFERROR(TIMEVALUE($I71),VALUE($I71))),1)*1440,0))),""))</f>
        <v/>
      </c>
      <c r="X71" s="55" t="str">
        <f aca="false">IF($P71="","",IFERROR(IF(ISNUMBER($P71),IF($P71&gt;19000000,DATE(INT($P71/10000),MOD(INT($P71/100),100),MOD($P71,100)),INT($P71)),IF(LEN(SUBSTITUTE(SUBSTITUTE(SUBSTITUTE(TRIM($P71),"-",""),".",""),"/",""))=8,DATE(VALUE(LEFT(SUBSTITUTE(SUBSTITUTE(SUBSTITUTE(TRIM($P71),"-",""),".",""),"/",""),4)),VALUE(MID(SUBSTITUTE(SUBSTITUTE(SUBSTITUTE(TRIM($P71),"-",""),".",""),"/",""),5,2)),VALUE(RIGHT(SUBSTITUTE(SUBSTITUTE(SUBSTITUTE(TRIM($P71),"-",""),".",""),"/",""),2))),DATEVALUE($P71))),""))</f>
        <v/>
      </c>
      <c r="Y71" s="56" t="str">
        <f aca="false">IF($M71="","",IFERROR(INDEX(강사DB!$D$4:$D$53,MATCH($M71,강사DB!$A$4:$A$53,0)),""))</f>
        <v/>
      </c>
      <c r="Z71" s="56" t="str">
        <f aca="false">IF($B71&lt;&gt;"결제완료","",IF(OR($Y71="",$J71=""),"",$Y71*$J71+MAX(0,N($K71)-1)*설정!$J$7))</f>
        <v/>
      </c>
      <c r="AA71" s="56" t="str">
        <f aca="false">IF(AND($D71&lt;&gt;"",$B71="결제완료"),N($N71),"")</f>
        <v/>
      </c>
      <c r="AB71" s="45" t="str">
        <f aca="false">IF($D71="","",IF($F71&lt;&gt;"",$F71,$D71)&amp;IF($B71="상담중"," (상담)",""))</f>
        <v/>
      </c>
      <c r="AC71" s="45" t="n">
        <f aca="false">IF(AND($D71&lt;&gt;"",OR($B71="결제완료",$B71="상담중")),1,0)</f>
        <v>0</v>
      </c>
      <c r="AD71" s="45" t="n">
        <f aca="false">IF(OR($Z71="",$U71=""),0,IFERROR(IF(COUNTIFS(INDEX(g_grid,0,2*MATCH($M71,강사DB!$A$4:$A$15,0)),"&lt;&gt;",g_s,"&lt;="&amp;$U71,g_e,"&gt;="&amp;$U71)&gt;0,1,0),0))</f>
        <v>0</v>
      </c>
      <c r="AE71" s="48"/>
      <c r="AF71" s="56" t="str">
        <f aca="false">IF(AND($D71&lt;&gt;"",$B71="결제완료",$T71="대여"),설정!$J$5,"")</f>
        <v/>
      </c>
      <c r="AG71" s="54" t="str">
        <f aca="false">IF($D71="","",IF(AND($E71="",$R71=""),$AB71,"☎ "&amp;IF($E71="","-",$E71)&amp;IF($R71&lt;&gt;"","  ※ "&amp;$R71,"")&amp;IF($B71="상담중"," (상담)","")))</f>
        <v/>
      </c>
      <c r="AH71" s="56" t="str">
        <f aca="false">IF(AND($D71&lt;&gt;"",$B71="결제완료",$O71="스마트스토어"),ROUND(N($N71)*설정!$J$6,0),"")</f>
        <v/>
      </c>
      <c r="AI71" s="54" t="str">
        <f aca="false">IF($D71="","",ROW())</f>
        <v/>
      </c>
      <c r="AJ71" s="54" t="n">
        <f aca="false">IF(OR($AC71&lt;&gt;1,$M71=""),0,IF(ISNUMBER(SEARCH("퇴사",IFERROR(INDEX(강사DB!$G$4:$G$53,MATCH($M71,강사DB!$A$4:$A$53,0)),""))),1,0))</f>
        <v>0</v>
      </c>
    </row>
    <row r="72" customFormat="false" ht="15" hidden="false" customHeight="false" outlineLevel="0" collapsed="false">
      <c r="A72" s="45" t="str">
        <f aca="false">IF($D72="","",COUNTA($D$5:$D72))</f>
        <v/>
      </c>
      <c r="B72" s="46"/>
      <c r="C72" s="47"/>
      <c r="D72" s="48"/>
      <c r="E72" s="48"/>
      <c r="F72" s="49"/>
      <c r="G72" s="47"/>
      <c r="H72" s="50"/>
      <c r="I72" s="50"/>
      <c r="J72" s="51" t="str">
        <f aca="false">IF(OR($V72="",$W72=""),"",ROUND(($W72-$V72)/60,2))</f>
        <v/>
      </c>
      <c r="K72" s="52" t="str">
        <f aca="false">IF($F72="","",LEN($F72)-LEN(SUBSTITUTE($F72,",",""))+1)</f>
        <v/>
      </c>
      <c r="L72" s="45" t="str">
        <f aca="false">IF($K72="","","1:"&amp;$K72)</f>
        <v/>
      </c>
      <c r="M72" s="46"/>
      <c r="N72" s="53"/>
      <c r="O72" s="46"/>
      <c r="P72" s="47"/>
      <c r="Q72" s="48"/>
      <c r="R72" s="49"/>
      <c r="S72" s="54" t="str">
        <f aca="false">IF(OR($AC72=0,$U72="",$M72="",$V72="",$W72=""),"",IF(COUNTIFS(m_teacher,$M72,m_date,$U72,m_active,1,m_start,"&lt;"&amp;$W72,m_end,"&gt;"&amp;$V72)&gt;1,"충돌",""))</f>
        <v/>
      </c>
      <c r="T72" s="48"/>
      <c r="U72" s="55" t="str">
        <f aca="false">IF($G72="","",IFERROR(IF(ISNUMBER($G72),IF($G72&gt;19000000,DATE(INT($G72/10000),MOD(INT($G72/100),100),MOD($G72,100)),INT($G72)),IF(LEN(SUBSTITUTE(SUBSTITUTE(SUBSTITUTE(TRIM($G72),"-",""),".",""),"/",""))=8,DATE(VALUE(LEFT(SUBSTITUTE(SUBSTITUTE(SUBSTITUTE(TRIM($G72),"-",""),".",""),"/",""),4)),VALUE(MID(SUBSTITUTE(SUBSTITUTE(SUBSTITUTE(TRIM($G72),"-",""),".",""),"/",""),5,2)),VALUE(RIGHT(SUBSTITUTE(SUBSTITUTE(SUBSTITUTE(TRIM($G72),"-",""),".",""),"/",""),2))),DATEVALUE($G72))),""))</f>
        <v/>
      </c>
      <c r="V72" s="52" t="str">
        <f aca="false">IF($H72="","",IFERROR(IF(IF(ISNUMBER($H72),$H72,IFERROR(TIMEVALUE($H72),VALUE($H72)))&gt;=100,INT(IF(ISNUMBER($H72),$H72,IFERROR(TIMEVALUE($H72),VALUE($H72)))/100)*60+MOD(IF(ISNUMBER($H72),$H72,IFERROR(TIMEVALUE($H72),VALUE($H72))),100),IF(IF(ISNUMBER($H72),$H72,IFERROR(TIMEVALUE($H72),VALUE($H72)))&gt;=1,ROUND(IF(ISNUMBER($H72),$H72,IFERROR(TIMEVALUE($H72),VALUE($H72)))*60,0),ROUND(MOD(IF(ISNUMBER($H72),$H72,IFERROR(TIMEVALUE($H72),VALUE($H72))),1)*1440,0))),""))</f>
        <v/>
      </c>
      <c r="W72" s="52" t="str">
        <f aca="false">IF($I72="","",IFERROR(IF(IF(ISNUMBER($I72),$I72,IFERROR(TIMEVALUE($I72),VALUE($I72)))&gt;=100,INT(IF(ISNUMBER($I72),$I72,IFERROR(TIMEVALUE($I72),VALUE($I72)))/100)*60+MOD(IF(ISNUMBER($I72),$I72,IFERROR(TIMEVALUE($I72),VALUE($I72))),100),IF(IF(ISNUMBER($I72),$I72,IFERROR(TIMEVALUE($I72),VALUE($I72)))&gt;=1,ROUND(IF(ISNUMBER($I72),$I72,IFERROR(TIMEVALUE($I72),VALUE($I72)))*60,0),ROUND(MOD(IF(ISNUMBER($I72),$I72,IFERROR(TIMEVALUE($I72),VALUE($I72))),1)*1440,0))),""))</f>
        <v/>
      </c>
      <c r="X72" s="55" t="str">
        <f aca="false">IF($P72="","",IFERROR(IF(ISNUMBER($P72),IF($P72&gt;19000000,DATE(INT($P72/10000),MOD(INT($P72/100),100),MOD($P72,100)),INT($P72)),IF(LEN(SUBSTITUTE(SUBSTITUTE(SUBSTITUTE(TRIM($P72),"-",""),".",""),"/",""))=8,DATE(VALUE(LEFT(SUBSTITUTE(SUBSTITUTE(SUBSTITUTE(TRIM($P72),"-",""),".",""),"/",""),4)),VALUE(MID(SUBSTITUTE(SUBSTITUTE(SUBSTITUTE(TRIM($P72),"-",""),".",""),"/",""),5,2)),VALUE(RIGHT(SUBSTITUTE(SUBSTITUTE(SUBSTITUTE(TRIM($P72),"-",""),".",""),"/",""),2))),DATEVALUE($P72))),""))</f>
        <v/>
      </c>
      <c r="Y72" s="56" t="str">
        <f aca="false">IF($M72="","",IFERROR(INDEX(강사DB!$D$4:$D$53,MATCH($M72,강사DB!$A$4:$A$53,0)),""))</f>
        <v/>
      </c>
      <c r="Z72" s="56" t="str">
        <f aca="false">IF($B72&lt;&gt;"결제완료","",IF(OR($Y72="",$J72=""),"",$Y72*$J72+MAX(0,N($K72)-1)*설정!$J$7))</f>
        <v/>
      </c>
      <c r="AA72" s="56" t="str">
        <f aca="false">IF(AND($D72&lt;&gt;"",$B72="결제완료"),N($N72),"")</f>
        <v/>
      </c>
      <c r="AB72" s="45" t="str">
        <f aca="false">IF($D72="","",IF($F72&lt;&gt;"",$F72,$D72)&amp;IF($B72="상담중"," (상담)",""))</f>
        <v/>
      </c>
      <c r="AC72" s="45" t="n">
        <f aca="false">IF(AND($D72&lt;&gt;"",OR($B72="결제완료",$B72="상담중")),1,0)</f>
        <v>0</v>
      </c>
      <c r="AD72" s="45" t="n">
        <f aca="false">IF(OR($Z72="",$U72=""),0,IFERROR(IF(COUNTIFS(INDEX(g_grid,0,2*MATCH($M72,강사DB!$A$4:$A$15,0)),"&lt;&gt;",g_s,"&lt;="&amp;$U72,g_e,"&gt;="&amp;$U72)&gt;0,1,0),0))</f>
        <v>0</v>
      </c>
      <c r="AE72" s="48"/>
      <c r="AF72" s="56" t="str">
        <f aca="false">IF(AND($D72&lt;&gt;"",$B72="결제완료",$T72="대여"),설정!$J$5,"")</f>
        <v/>
      </c>
      <c r="AG72" s="54" t="str">
        <f aca="false">IF($D72="","",IF(AND($E72="",$R72=""),$AB72,"☎ "&amp;IF($E72="","-",$E72)&amp;IF($R72&lt;&gt;"","  ※ "&amp;$R72,"")&amp;IF($B72="상담중"," (상담)","")))</f>
        <v/>
      </c>
      <c r="AH72" s="56" t="str">
        <f aca="false">IF(AND($D72&lt;&gt;"",$B72="결제완료",$O72="스마트스토어"),ROUND(N($N72)*설정!$J$6,0),"")</f>
        <v/>
      </c>
      <c r="AI72" s="54" t="str">
        <f aca="false">IF($D72="","",ROW())</f>
        <v/>
      </c>
      <c r="AJ72" s="54" t="n">
        <f aca="false">IF(OR($AC72&lt;&gt;1,$M72=""),0,IF(ISNUMBER(SEARCH("퇴사",IFERROR(INDEX(강사DB!$G$4:$G$53,MATCH($M72,강사DB!$A$4:$A$53,0)),""))),1,0))</f>
        <v>0</v>
      </c>
    </row>
    <row r="73" customFormat="false" ht="15" hidden="false" customHeight="false" outlineLevel="0" collapsed="false">
      <c r="A73" s="45" t="str">
        <f aca="false">IF($D73="","",COUNTA($D$5:$D73))</f>
        <v/>
      </c>
      <c r="B73" s="46"/>
      <c r="C73" s="47"/>
      <c r="D73" s="48"/>
      <c r="E73" s="48"/>
      <c r="F73" s="49"/>
      <c r="G73" s="47"/>
      <c r="H73" s="50"/>
      <c r="I73" s="50"/>
      <c r="J73" s="51" t="str">
        <f aca="false">IF(OR($V73="",$W73=""),"",ROUND(($W73-$V73)/60,2))</f>
        <v/>
      </c>
      <c r="K73" s="52" t="str">
        <f aca="false">IF($F73="","",LEN($F73)-LEN(SUBSTITUTE($F73,",",""))+1)</f>
        <v/>
      </c>
      <c r="L73" s="45" t="str">
        <f aca="false">IF($K73="","","1:"&amp;$K73)</f>
        <v/>
      </c>
      <c r="M73" s="46"/>
      <c r="N73" s="53"/>
      <c r="O73" s="46"/>
      <c r="P73" s="47"/>
      <c r="Q73" s="48"/>
      <c r="R73" s="49"/>
      <c r="S73" s="54" t="str">
        <f aca="false">IF(OR($AC73=0,$U73="",$M73="",$V73="",$W73=""),"",IF(COUNTIFS(m_teacher,$M73,m_date,$U73,m_active,1,m_start,"&lt;"&amp;$W73,m_end,"&gt;"&amp;$V73)&gt;1,"충돌",""))</f>
        <v/>
      </c>
      <c r="T73" s="48"/>
      <c r="U73" s="55" t="str">
        <f aca="false">IF($G73="","",IFERROR(IF(ISNUMBER($G73),IF($G73&gt;19000000,DATE(INT($G73/10000),MOD(INT($G73/100),100),MOD($G73,100)),INT($G73)),IF(LEN(SUBSTITUTE(SUBSTITUTE(SUBSTITUTE(TRIM($G73),"-",""),".",""),"/",""))=8,DATE(VALUE(LEFT(SUBSTITUTE(SUBSTITUTE(SUBSTITUTE(TRIM($G73),"-",""),".",""),"/",""),4)),VALUE(MID(SUBSTITUTE(SUBSTITUTE(SUBSTITUTE(TRIM($G73),"-",""),".",""),"/",""),5,2)),VALUE(RIGHT(SUBSTITUTE(SUBSTITUTE(SUBSTITUTE(TRIM($G73),"-",""),".",""),"/",""),2))),DATEVALUE($G73))),""))</f>
        <v/>
      </c>
      <c r="V73" s="52" t="str">
        <f aca="false">IF($H73="","",IFERROR(IF(IF(ISNUMBER($H73),$H73,IFERROR(TIMEVALUE($H73),VALUE($H73)))&gt;=100,INT(IF(ISNUMBER($H73),$H73,IFERROR(TIMEVALUE($H73),VALUE($H73)))/100)*60+MOD(IF(ISNUMBER($H73),$H73,IFERROR(TIMEVALUE($H73),VALUE($H73))),100),IF(IF(ISNUMBER($H73),$H73,IFERROR(TIMEVALUE($H73),VALUE($H73)))&gt;=1,ROUND(IF(ISNUMBER($H73),$H73,IFERROR(TIMEVALUE($H73),VALUE($H73)))*60,0),ROUND(MOD(IF(ISNUMBER($H73),$H73,IFERROR(TIMEVALUE($H73),VALUE($H73))),1)*1440,0))),""))</f>
        <v/>
      </c>
      <c r="W73" s="52" t="str">
        <f aca="false">IF($I73="","",IFERROR(IF(IF(ISNUMBER($I73),$I73,IFERROR(TIMEVALUE($I73),VALUE($I73)))&gt;=100,INT(IF(ISNUMBER($I73),$I73,IFERROR(TIMEVALUE($I73),VALUE($I73)))/100)*60+MOD(IF(ISNUMBER($I73),$I73,IFERROR(TIMEVALUE($I73),VALUE($I73))),100),IF(IF(ISNUMBER($I73),$I73,IFERROR(TIMEVALUE($I73),VALUE($I73)))&gt;=1,ROUND(IF(ISNUMBER($I73),$I73,IFERROR(TIMEVALUE($I73),VALUE($I73)))*60,0),ROUND(MOD(IF(ISNUMBER($I73),$I73,IFERROR(TIMEVALUE($I73),VALUE($I73))),1)*1440,0))),""))</f>
        <v/>
      </c>
      <c r="X73" s="55" t="str">
        <f aca="false">IF($P73="","",IFERROR(IF(ISNUMBER($P73),IF($P73&gt;19000000,DATE(INT($P73/10000),MOD(INT($P73/100),100),MOD($P73,100)),INT($P73)),IF(LEN(SUBSTITUTE(SUBSTITUTE(SUBSTITUTE(TRIM($P73),"-",""),".",""),"/",""))=8,DATE(VALUE(LEFT(SUBSTITUTE(SUBSTITUTE(SUBSTITUTE(TRIM($P73),"-",""),".",""),"/",""),4)),VALUE(MID(SUBSTITUTE(SUBSTITUTE(SUBSTITUTE(TRIM($P73),"-",""),".",""),"/",""),5,2)),VALUE(RIGHT(SUBSTITUTE(SUBSTITUTE(SUBSTITUTE(TRIM($P73),"-",""),".",""),"/",""),2))),DATEVALUE($P73))),""))</f>
        <v/>
      </c>
      <c r="Y73" s="56" t="str">
        <f aca="false">IF($M73="","",IFERROR(INDEX(강사DB!$D$4:$D$53,MATCH($M73,강사DB!$A$4:$A$53,0)),""))</f>
        <v/>
      </c>
      <c r="Z73" s="56" t="str">
        <f aca="false">IF($B73&lt;&gt;"결제완료","",IF(OR($Y73="",$J73=""),"",$Y73*$J73+MAX(0,N($K73)-1)*설정!$J$7))</f>
        <v/>
      </c>
      <c r="AA73" s="56" t="str">
        <f aca="false">IF(AND($D73&lt;&gt;"",$B73="결제완료"),N($N73),"")</f>
        <v/>
      </c>
      <c r="AB73" s="45" t="str">
        <f aca="false">IF($D73="","",IF($F73&lt;&gt;"",$F73,$D73)&amp;IF($B73="상담중"," (상담)",""))</f>
        <v/>
      </c>
      <c r="AC73" s="45" t="n">
        <f aca="false">IF(AND($D73&lt;&gt;"",OR($B73="결제완료",$B73="상담중")),1,0)</f>
        <v>0</v>
      </c>
      <c r="AD73" s="45" t="n">
        <f aca="false">IF(OR($Z73="",$U73=""),0,IFERROR(IF(COUNTIFS(INDEX(g_grid,0,2*MATCH($M73,강사DB!$A$4:$A$15,0)),"&lt;&gt;",g_s,"&lt;="&amp;$U73,g_e,"&gt;="&amp;$U73)&gt;0,1,0),0))</f>
        <v>0</v>
      </c>
      <c r="AE73" s="48"/>
      <c r="AF73" s="56" t="str">
        <f aca="false">IF(AND($D73&lt;&gt;"",$B73="결제완료",$T73="대여"),설정!$J$5,"")</f>
        <v/>
      </c>
      <c r="AG73" s="54" t="str">
        <f aca="false">IF($D73="","",IF(AND($E73="",$R73=""),$AB73,"☎ "&amp;IF($E73="","-",$E73)&amp;IF($R73&lt;&gt;"","  ※ "&amp;$R73,"")&amp;IF($B73="상담중"," (상담)","")))</f>
        <v/>
      </c>
      <c r="AH73" s="56" t="str">
        <f aca="false">IF(AND($D73&lt;&gt;"",$B73="결제완료",$O73="스마트스토어"),ROUND(N($N73)*설정!$J$6,0),"")</f>
        <v/>
      </c>
      <c r="AI73" s="54" t="str">
        <f aca="false">IF($D73="","",ROW())</f>
        <v/>
      </c>
      <c r="AJ73" s="54" t="n">
        <f aca="false">IF(OR($AC73&lt;&gt;1,$M73=""),0,IF(ISNUMBER(SEARCH("퇴사",IFERROR(INDEX(강사DB!$G$4:$G$53,MATCH($M73,강사DB!$A$4:$A$53,0)),""))),1,0))</f>
        <v>0</v>
      </c>
    </row>
    <row r="74" customFormat="false" ht="15" hidden="false" customHeight="false" outlineLevel="0" collapsed="false">
      <c r="A74" s="45" t="str">
        <f aca="false">IF($D74="","",COUNTA($D$5:$D74))</f>
        <v/>
      </c>
      <c r="B74" s="46"/>
      <c r="C74" s="47"/>
      <c r="D74" s="48"/>
      <c r="E74" s="48"/>
      <c r="F74" s="49"/>
      <c r="G74" s="47"/>
      <c r="H74" s="50"/>
      <c r="I74" s="50"/>
      <c r="J74" s="51" t="str">
        <f aca="false">IF(OR($V74="",$W74=""),"",ROUND(($W74-$V74)/60,2))</f>
        <v/>
      </c>
      <c r="K74" s="52" t="str">
        <f aca="false">IF($F74="","",LEN($F74)-LEN(SUBSTITUTE($F74,",",""))+1)</f>
        <v/>
      </c>
      <c r="L74" s="45" t="str">
        <f aca="false">IF($K74="","","1:"&amp;$K74)</f>
        <v/>
      </c>
      <c r="M74" s="46"/>
      <c r="N74" s="53"/>
      <c r="O74" s="46"/>
      <c r="P74" s="47"/>
      <c r="Q74" s="48"/>
      <c r="R74" s="49"/>
      <c r="S74" s="54" t="str">
        <f aca="false">IF(OR($AC74=0,$U74="",$M74="",$V74="",$W74=""),"",IF(COUNTIFS(m_teacher,$M74,m_date,$U74,m_active,1,m_start,"&lt;"&amp;$W74,m_end,"&gt;"&amp;$V74)&gt;1,"충돌",""))</f>
        <v/>
      </c>
      <c r="T74" s="48"/>
      <c r="U74" s="55" t="str">
        <f aca="false">IF($G74="","",IFERROR(IF(ISNUMBER($G74),IF($G74&gt;19000000,DATE(INT($G74/10000),MOD(INT($G74/100),100),MOD($G74,100)),INT($G74)),IF(LEN(SUBSTITUTE(SUBSTITUTE(SUBSTITUTE(TRIM($G74),"-",""),".",""),"/",""))=8,DATE(VALUE(LEFT(SUBSTITUTE(SUBSTITUTE(SUBSTITUTE(TRIM($G74),"-",""),".",""),"/",""),4)),VALUE(MID(SUBSTITUTE(SUBSTITUTE(SUBSTITUTE(TRIM($G74),"-",""),".",""),"/",""),5,2)),VALUE(RIGHT(SUBSTITUTE(SUBSTITUTE(SUBSTITUTE(TRIM($G74),"-",""),".",""),"/",""),2))),DATEVALUE($G74))),""))</f>
        <v/>
      </c>
      <c r="V74" s="52" t="str">
        <f aca="false">IF($H74="","",IFERROR(IF(IF(ISNUMBER($H74),$H74,IFERROR(TIMEVALUE($H74),VALUE($H74)))&gt;=100,INT(IF(ISNUMBER($H74),$H74,IFERROR(TIMEVALUE($H74),VALUE($H74)))/100)*60+MOD(IF(ISNUMBER($H74),$H74,IFERROR(TIMEVALUE($H74),VALUE($H74))),100),IF(IF(ISNUMBER($H74),$H74,IFERROR(TIMEVALUE($H74),VALUE($H74)))&gt;=1,ROUND(IF(ISNUMBER($H74),$H74,IFERROR(TIMEVALUE($H74),VALUE($H74)))*60,0),ROUND(MOD(IF(ISNUMBER($H74),$H74,IFERROR(TIMEVALUE($H74),VALUE($H74))),1)*1440,0))),""))</f>
        <v/>
      </c>
      <c r="W74" s="52" t="str">
        <f aca="false">IF($I74="","",IFERROR(IF(IF(ISNUMBER($I74),$I74,IFERROR(TIMEVALUE($I74),VALUE($I74)))&gt;=100,INT(IF(ISNUMBER($I74),$I74,IFERROR(TIMEVALUE($I74),VALUE($I74)))/100)*60+MOD(IF(ISNUMBER($I74),$I74,IFERROR(TIMEVALUE($I74),VALUE($I74))),100),IF(IF(ISNUMBER($I74),$I74,IFERROR(TIMEVALUE($I74),VALUE($I74)))&gt;=1,ROUND(IF(ISNUMBER($I74),$I74,IFERROR(TIMEVALUE($I74),VALUE($I74)))*60,0),ROUND(MOD(IF(ISNUMBER($I74),$I74,IFERROR(TIMEVALUE($I74),VALUE($I74))),1)*1440,0))),""))</f>
        <v/>
      </c>
      <c r="X74" s="55" t="str">
        <f aca="false">IF($P74="","",IFERROR(IF(ISNUMBER($P74),IF($P74&gt;19000000,DATE(INT($P74/10000),MOD(INT($P74/100),100),MOD($P74,100)),INT($P74)),IF(LEN(SUBSTITUTE(SUBSTITUTE(SUBSTITUTE(TRIM($P74),"-",""),".",""),"/",""))=8,DATE(VALUE(LEFT(SUBSTITUTE(SUBSTITUTE(SUBSTITUTE(TRIM($P74),"-",""),".",""),"/",""),4)),VALUE(MID(SUBSTITUTE(SUBSTITUTE(SUBSTITUTE(TRIM($P74),"-",""),".",""),"/",""),5,2)),VALUE(RIGHT(SUBSTITUTE(SUBSTITUTE(SUBSTITUTE(TRIM($P74),"-",""),".",""),"/",""),2))),DATEVALUE($P74))),""))</f>
        <v/>
      </c>
      <c r="Y74" s="56" t="str">
        <f aca="false">IF($M74="","",IFERROR(INDEX(강사DB!$D$4:$D$53,MATCH($M74,강사DB!$A$4:$A$53,0)),""))</f>
        <v/>
      </c>
      <c r="Z74" s="56" t="str">
        <f aca="false">IF($B74&lt;&gt;"결제완료","",IF(OR($Y74="",$J74=""),"",$Y74*$J74+MAX(0,N($K74)-1)*설정!$J$7))</f>
        <v/>
      </c>
      <c r="AA74" s="56" t="str">
        <f aca="false">IF(AND($D74&lt;&gt;"",$B74="결제완료"),N($N74),"")</f>
        <v/>
      </c>
      <c r="AB74" s="45" t="str">
        <f aca="false">IF($D74="","",IF($F74&lt;&gt;"",$F74,$D74)&amp;IF($B74="상담중"," (상담)",""))</f>
        <v/>
      </c>
      <c r="AC74" s="45" t="n">
        <f aca="false">IF(AND($D74&lt;&gt;"",OR($B74="결제완료",$B74="상담중")),1,0)</f>
        <v>0</v>
      </c>
      <c r="AD74" s="45" t="n">
        <f aca="false">IF(OR($Z74="",$U74=""),0,IFERROR(IF(COUNTIFS(INDEX(g_grid,0,2*MATCH($M74,강사DB!$A$4:$A$15,0)),"&lt;&gt;",g_s,"&lt;="&amp;$U74,g_e,"&gt;="&amp;$U74)&gt;0,1,0),0))</f>
        <v>0</v>
      </c>
      <c r="AE74" s="48"/>
      <c r="AF74" s="56" t="str">
        <f aca="false">IF(AND($D74&lt;&gt;"",$B74="결제완료",$T74="대여"),설정!$J$5,"")</f>
        <v/>
      </c>
      <c r="AG74" s="54" t="str">
        <f aca="false">IF($D74="","",IF(AND($E74="",$R74=""),$AB74,"☎ "&amp;IF($E74="","-",$E74)&amp;IF($R74&lt;&gt;"","  ※ "&amp;$R74,"")&amp;IF($B74="상담중"," (상담)","")))</f>
        <v/>
      </c>
      <c r="AH74" s="56" t="str">
        <f aca="false">IF(AND($D74&lt;&gt;"",$B74="결제완료",$O74="스마트스토어"),ROUND(N($N74)*설정!$J$6,0),"")</f>
        <v/>
      </c>
      <c r="AI74" s="54" t="str">
        <f aca="false">IF($D74="","",ROW())</f>
        <v/>
      </c>
      <c r="AJ74" s="54" t="n">
        <f aca="false">IF(OR($AC74&lt;&gt;1,$M74=""),0,IF(ISNUMBER(SEARCH("퇴사",IFERROR(INDEX(강사DB!$G$4:$G$53,MATCH($M74,강사DB!$A$4:$A$53,0)),""))),1,0))</f>
        <v>0</v>
      </c>
    </row>
    <row r="75" customFormat="false" ht="15" hidden="false" customHeight="false" outlineLevel="0" collapsed="false">
      <c r="A75" s="45" t="str">
        <f aca="false">IF($D75="","",COUNTA($D$5:$D75))</f>
        <v/>
      </c>
      <c r="B75" s="46"/>
      <c r="C75" s="47"/>
      <c r="D75" s="48"/>
      <c r="E75" s="48"/>
      <c r="F75" s="49"/>
      <c r="G75" s="47"/>
      <c r="H75" s="50"/>
      <c r="I75" s="50"/>
      <c r="J75" s="51" t="str">
        <f aca="false">IF(OR($V75="",$W75=""),"",ROUND(($W75-$V75)/60,2))</f>
        <v/>
      </c>
      <c r="K75" s="52" t="str">
        <f aca="false">IF($F75="","",LEN($F75)-LEN(SUBSTITUTE($F75,",",""))+1)</f>
        <v/>
      </c>
      <c r="L75" s="45" t="str">
        <f aca="false">IF($K75="","","1:"&amp;$K75)</f>
        <v/>
      </c>
      <c r="M75" s="46"/>
      <c r="N75" s="53"/>
      <c r="O75" s="46"/>
      <c r="P75" s="47"/>
      <c r="Q75" s="48"/>
      <c r="R75" s="49"/>
      <c r="S75" s="54" t="str">
        <f aca="false">IF(OR($AC75=0,$U75="",$M75="",$V75="",$W75=""),"",IF(COUNTIFS(m_teacher,$M75,m_date,$U75,m_active,1,m_start,"&lt;"&amp;$W75,m_end,"&gt;"&amp;$V75)&gt;1,"충돌",""))</f>
        <v/>
      </c>
      <c r="T75" s="48"/>
      <c r="U75" s="55" t="str">
        <f aca="false">IF($G75="","",IFERROR(IF(ISNUMBER($G75),IF($G75&gt;19000000,DATE(INT($G75/10000),MOD(INT($G75/100),100),MOD($G75,100)),INT($G75)),IF(LEN(SUBSTITUTE(SUBSTITUTE(SUBSTITUTE(TRIM($G75),"-",""),".",""),"/",""))=8,DATE(VALUE(LEFT(SUBSTITUTE(SUBSTITUTE(SUBSTITUTE(TRIM($G75),"-",""),".",""),"/",""),4)),VALUE(MID(SUBSTITUTE(SUBSTITUTE(SUBSTITUTE(TRIM($G75),"-",""),".",""),"/",""),5,2)),VALUE(RIGHT(SUBSTITUTE(SUBSTITUTE(SUBSTITUTE(TRIM($G75),"-",""),".",""),"/",""),2))),DATEVALUE($G75))),""))</f>
        <v/>
      </c>
      <c r="V75" s="52" t="str">
        <f aca="false">IF($H75="","",IFERROR(IF(IF(ISNUMBER($H75),$H75,IFERROR(TIMEVALUE($H75),VALUE($H75)))&gt;=100,INT(IF(ISNUMBER($H75),$H75,IFERROR(TIMEVALUE($H75),VALUE($H75)))/100)*60+MOD(IF(ISNUMBER($H75),$H75,IFERROR(TIMEVALUE($H75),VALUE($H75))),100),IF(IF(ISNUMBER($H75),$H75,IFERROR(TIMEVALUE($H75),VALUE($H75)))&gt;=1,ROUND(IF(ISNUMBER($H75),$H75,IFERROR(TIMEVALUE($H75),VALUE($H75)))*60,0),ROUND(MOD(IF(ISNUMBER($H75),$H75,IFERROR(TIMEVALUE($H75),VALUE($H75))),1)*1440,0))),""))</f>
        <v/>
      </c>
      <c r="W75" s="52" t="str">
        <f aca="false">IF($I75="","",IFERROR(IF(IF(ISNUMBER($I75),$I75,IFERROR(TIMEVALUE($I75),VALUE($I75)))&gt;=100,INT(IF(ISNUMBER($I75),$I75,IFERROR(TIMEVALUE($I75),VALUE($I75)))/100)*60+MOD(IF(ISNUMBER($I75),$I75,IFERROR(TIMEVALUE($I75),VALUE($I75))),100),IF(IF(ISNUMBER($I75),$I75,IFERROR(TIMEVALUE($I75),VALUE($I75)))&gt;=1,ROUND(IF(ISNUMBER($I75),$I75,IFERROR(TIMEVALUE($I75),VALUE($I75)))*60,0),ROUND(MOD(IF(ISNUMBER($I75),$I75,IFERROR(TIMEVALUE($I75),VALUE($I75))),1)*1440,0))),""))</f>
        <v/>
      </c>
      <c r="X75" s="55" t="str">
        <f aca="false">IF($P75="","",IFERROR(IF(ISNUMBER($P75),IF($P75&gt;19000000,DATE(INT($P75/10000),MOD(INT($P75/100),100),MOD($P75,100)),INT($P75)),IF(LEN(SUBSTITUTE(SUBSTITUTE(SUBSTITUTE(TRIM($P75),"-",""),".",""),"/",""))=8,DATE(VALUE(LEFT(SUBSTITUTE(SUBSTITUTE(SUBSTITUTE(TRIM($P75),"-",""),".",""),"/",""),4)),VALUE(MID(SUBSTITUTE(SUBSTITUTE(SUBSTITUTE(TRIM($P75),"-",""),".",""),"/",""),5,2)),VALUE(RIGHT(SUBSTITUTE(SUBSTITUTE(SUBSTITUTE(TRIM($P75),"-",""),".",""),"/",""),2))),DATEVALUE($P75))),""))</f>
        <v/>
      </c>
      <c r="Y75" s="56" t="str">
        <f aca="false">IF($M75="","",IFERROR(INDEX(강사DB!$D$4:$D$53,MATCH($M75,강사DB!$A$4:$A$53,0)),""))</f>
        <v/>
      </c>
      <c r="Z75" s="56" t="str">
        <f aca="false">IF($B75&lt;&gt;"결제완료","",IF(OR($Y75="",$J75=""),"",$Y75*$J75+MAX(0,N($K75)-1)*설정!$J$7))</f>
        <v/>
      </c>
      <c r="AA75" s="56" t="str">
        <f aca="false">IF(AND($D75&lt;&gt;"",$B75="결제완료"),N($N75),"")</f>
        <v/>
      </c>
      <c r="AB75" s="45" t="str">
        <f aca="false">IF($D75="","",IF($F75&lt;&gt;"",$F75,$D75)&amp;IF($B75="상담중"," (상담)",""))</f>
        <v/>
      </c>
      <c r="AC75" s="45" t="n">
        <f aca="false">IF(AND($D75&lt;&gt;"",OR($B75="결제완료",$B75="상담중")),1,0)</f>
        <v>0</v>
      </c>
      <c r="AD75" s="45" t="n">
        <f aca="false">IF(OR($Z75="",$U75=""),0,IFERROR(IF(COUNTIFS(INDEX(g_grid,0,2*MATCH($M75,강사DB!$A$4:$A$15,0)),"&lt;&gt;",g_s,"&lt;="&amp;$U75,g_e,"&gt;="&amp;$U75)&gt;0,1,0),0))</f>
        <v>0</v>
      </c>
      <c r="AE75" s="48"/>
      <c r="AF75" s="56" t="str">
        <f aca="false">IF(AND($D75&lt;&gt;"",$B75="결제완료",$T75="대여"),설정!$J$5,"")</f>
        <v/>
      </c>
      <c r="AG75" s="54" t="str">
        <f aca="false">IF($D75="","",IF(AND($E75="",$R75=""),$AB75,"☎ "&amp;IF($E75="","-",$E75)&amp;IF($R75&lt;&gt;"","  ※ "&amp;$R75,"")&amp;IF($B75="상담중"," (상담)","")))</f>
        <v/>
      </c>
      <c r="AH75" s="56" t="str">
        <f aca="false">IF(AND($D75&lt;&gt;"",$B75="결제완료",$O75="스마트스토어"),ROUND(N($N75)*설정!$J$6,0),"")</f>
        <v/>
      </c>
      <c r="AI75" s="54" t="str">
        <f aca="false">IF($D75="","",ROW())</f>
        <v/>
      </c>
      <c r="AJ75" s="54" t="n">
        <f aca="false">IF(OR($AC75&lt;&gt;1,$M75=""),0,IF(ISNUMBER(SEARCH("퇴사",IFERROR(INDEX(강사DB!$G$4:$G$53,MATCH($M75,강사DB!$A$4:$A$53,0)),""))),1,0))</f>
        <v>0</v>
      </c>
    </row>
    <row r="76" customFormat="false" ht="15" hidden="false" customHeight="false" outlineLevel="0" collapsed="false">
      <c r="A76" s="45" t="str">
        <f aca="false">IF($D76="","",COUNTA($D$5:$D76))</f>
        <v/>
      </c>
      <c r="B76" s="46"/>
      <c r="C76" s="47"/>
      <c r="D76" s="48"/>
      <c r="E76" s="48"/>
      <c r="F76" s="49"/>
      <c r="G76" s="47"/>
      <c r="H76" s="50"/>
      <c r="I76" s="50"/>
      <c r="J76" s="51" t="str">
        <f aca="false">IF(OR($V76="",$W76=""),"",ROUND(($W76-$V76)/60,2))</f>
        <v/>
      </c>
      <c r="K76" s="52" t="str">
        <f aca="false">IF($F76="","",LEN($F76)-LEN(SUBSTITUTE($F76,",",""))+1)</f>
        <v/>
      </c>
      <c r="L76" s="45" t="str">
        <f aca="false">IF($K76="","","1:"&amp;$K76)</f>
        <v/>
      </c>
      <c r="M76" s="46"/>
      <c r="N76" s="53"/>
      <c r="O76" s="46"/>
      <c r="P76" s="47"/>
      <c r="Q76" s="48"/>
      <c r="R76" s="49"/>
      <c r="S76" s="54" t="str">
        <f aca="false">IF(OR($AC76=0,$U76="",$M76="",$V76="",$W76=""),"",IF(COUNTIFS(m_teacher,$M76,m_date,$U76,m_active,1,m_start,"&lt;"&amp;$W76,m_end,"&gt;"&amp;$V76)&gt;1,"충돌",""))</f>
        <v/>
      </c>
      <c r="T76" s="48"/>
      <c r="U76" s="55" t="str">
        <f aca="false">IF($G76="","",IFERROR(IF(ISNUMBER($G76),IF($G76&gt;19000000,DATE(INT($G76/10000),MOD(INT($G76/100),100),MOD($G76,100)),INT($G76)),IF(LEN(SUBSTITUTE(SUBSTITUTE(SUBSTITUTE(TRIM($G76),"-",""),".",""),"/",""))=8,DATE(VALUE(LEFT(SUBSTITUTE(SUBSTITUTE(SUBSTITUTE(TRIM($G76),"-",""),".",""),"/",""),4)),VALUE(MID(SUBSTITUTE(SUBSTITUTE(SUBSTITUTE(TRIM($G76),"-",""),".",""),"/",""),5,2)),VALUE(RIGHT(SUBSTITUTE(SUBSTITUTE(SUBSTITUTE(TRIM($G76),"-",""),".",""),"/",""),2))),DATEVALUE($G76))),""))</f>
        <v/>
      </c>
      <c r="V76" s="52" t="str">
        <f aca="false">IF($H76="","",IFERROR(IF(IF(ISNUMBER($H76),$H76,IFERROR(TIMEVALUE($H76),VALUE($H76)))&gt;=100,INT(IF(ISNUMBER($H76),$H76,IFERROR(TIMEVALUE($H76),VALUE($H76)))/100)*60+MOD(IF(ISNUMBER($H76),$H76,IFERROR(TIMEVALUE($H76),VALUE($H76))),100),IF(IF(ISNUMBER($H76),$H76,IFERROR(TIMEVALUE($H76),VALUE($H76)))&gt;=1,ROUND(IF(ISNUMBER($H76),$H76,IFERROR(TIMEVALUE($H76),VALUE($H76)))*60,0),ROUND(MOD(IF(ISNUMBER($H76),$H76,IFERROR(TIMEVALUE($H76),VALUE($H76))),1)*1440,0))),""))</f>
        <v/>
      </c>
      <c r="W76" s="52" t="str">
        <f aca="false">IF($I76="","",IFERROR(IF(IF(ISNUMBER($I76),$I76,IFERROR(TIMEVALUE($I76),VALUE($I76)))&gt;=100,INT(IF(ISNUMBER($I76),$I76,IFERROR(TIMEVALUE($I76),VALUE($I76)))/100)*60+MOD(IF(ISNUMBER($I76),$I76,IFERROR(TIMEVALUE($I76),VALUE($I76))),100),IF(IF(ISNUMBER($I76),$I76,IFERROR(TIMEVALUE($I76),VALUE($I76)))&gt;=1,ROUND(IF(ISNUMBER($I76),$I76,IFERROR(TIMEVALUE($I76),VALUE($I76)))*60,0),ROUND(MOD(IF(ISNUMBER($I76),$I76,IFERROR(TIMEVALUE($I76),VALUE($I76))),1)*1440,0))),""))</f>
        <v/>
      </c>
      <c r="X76" s="55" t="str">
        <f aca="false">IF($P76="","",IFERROR(IF(ISNUMBER($P76),IF($P76&gt;19000000,DATE(INT($P76/10000),MOD(INT($P76/100),100),MOD($P76,100)),INT($P76)),IF(LEN(SUBSTITUTE(SUBSTITUTE(SUBSTITUTE(TRIM($P76),"-",""),".",""),"/",""))=8,DATE(VALUE(LEFT(SUBSTITUTE(SUBSTITUTE(SUBSTITUTE(TRIM($P76),"-",""),".",""),"/",""),4)),VALUE(MID(SUBSTITUTE(SUBSTITUTE(SUBSTITUTE(TRIM($P76),"-",""),".",""),"/",""),5,2)),VALUE(RIGHT(SUBSTITUTE(SUBSTITUTE(SUBSTITUTE(TRIM($P76),"-",""),".",""),"/",""),2))),DATEVALUE($P76))),""))</f>
        <v/>
      </c>
      <c r="Y76" s="56" t="str">
        <f aca="false">IF($M76="","",IFERROR(INDEX(강사DB!$D$4:$D$53,MATCH($M76,강사DB!$A$4:$A$53,0)),""))</f>
        <v/>
      </c>
      <c r="Z76" s="56" t="str">
        <f aca="false">IF($B76&lt;&gt;"결제완료","",IF(OR($Y76="",$J76=""),"",$Y76*$J76+MAX(0,N($K76)-1)*설정!$J$7))</f>
        <v/>
      </c>
      <c r="AA76" s="56" t="str">
        <f aca="false">IF(AND($D76&lt;&gt;"",$B76="결제완료"),N($N76),"")</f>
        <v/>
      </c>
      <c r="AB76" s="45" t="str">
        <f aca="false">IF($D76="","",IF($F76&lt;&gt;"",$F76,$D76)&amp;IF($B76="상담중"," (상담)",""))</f>
        <v/>
      </c>
      <c r="AC76" s="45" t="n">
        <f aca="false">IF(AND($D76&lt;&gt;"",OR($B76="결제완료",$B76="상담중")),1,0)</f>
        <v>0</v>
      </c>
      <c r="AD76" s="45" t="n">
        <f aca="false">IF(OR($Z76="",$U76=""),0,IFERROR(IF(COUNTIFS(INDEX(g_grid,0,2*MATCH($M76,강사DB!$A$4:$A$15,0)),"&lt;&gt;",g_s,"&lt;="&amp;$U76,g_e,"&gt;="&amp;$U76)&gt;0,1,0),0))</f>
        <v>0</v>
      </c>
      <c r="AE76" s="48"/>
      <c r="AF76" s="56" t="str">
        <f aca="false">IF(AND($D76&lt;&gt;"",$B76="결제완료",$T76="대여"),설정!$J$5,"")</f>
        <v/>
      </c>
      <c r="AG76" s="54" t="str">
        <f aca="false">IF($D76="","",IF(AND($E76="",$R76=""),$AB76,"☎ "&amp;IF($E76="","-",$E76)&amp;IF($R76&lt;&gt;"","  ※ "&amp;$R76,"")&amp;IF($B76="상담중"," (상담)","")))</f>
        <v/>
      </c>
      <c r="AH76" s="56" t="str">
        <f aca="false">IF(AND($D76&lt;&gt;"",$B76="결제완료",$O76="스마트스토어"),ROUND(N($N76)*설정!$J$6,0),"")</f>
        <v/>
      </c>
      <c r="AI76" s="54" t="str">
        <f aca="false">IF($D76="","",ROW())</f>
        <v/>
      </c>
      <c r="AJ76" s="54" t="n">
        <f aca="false">IF(OR($AC76&lt;&gt;1,$M76=""),0,IF(ISNUMBER(SEARCH("퇴사",IFERROR(INDEX(강사DB!$G$4:$G$53,MATCH($M76,강사DB!$A$4:$A$53,0)),""))),1,0))</f>
        <v>0</v>
      </c>
    </row>
    <row r="77" customFormat="false" ht="15" hidden="false" customHeight="false" outlineLevel="0" collapsed="false">
      <c r="A77" s="45" t="str">
        <f aca="false">IF($D77="","",COUNTA($D$5:$D77))</f>
        <v/>
      </c>
      <c r="B77" s="46"/>
      <c r="C77" s="47"/>
      <c r="D77" s="48"/>
      <c r="E77" s="48"/>
      <c r="F77" s="49"/>
      <c r="G77" s="47"/>
      <c r="H77" s="50"/>
      <c r="I77" s="50"/>
      <c r="J77" s="51" t="str">
        <f aca="false">IF(OR($V77="",$W77=""),"",ROUND(($W77-$V77)/60,2))</f>
        <v/>
      </c>
      <c r="K77" s="52" t="str">
        <f aca="false">IF($F77="","",LEN($F77)-LEN(SUBSTITUTE($F77,",",""))+1)</f>
        <v/>
      </c>
      <c r="L77" s="45" t="str">
        <f aca="false">IF($K77="","","1:"&amp;$K77)</f>
        <v/>
      </c>
      <c r="M77" s="46"/>
      <c r="N77" s="53"/>
      <c r="O77" s="46"/>
      <c r="P77" s="47"/>
      <c r="Q77" s="48"/>
      <c r="R77" s="49"/>
      <c r="S77" s="54" t="str">
        <f aca="false">IF(OR($AC77=0,$U77="",$M77="",$V77="",$W77=""),"",IF(COUNTIFS(m_teacher,$M77,m_date,$U77,m_active,1,m_start,"&lt;"&amp;$W77,m_end,"&gt;"&amp;$V77)&gt;1,"충돌",""))</f>
        <v/>
      </c>
      <c r="T77" s="48"/>
      <c r="U77" s="55" t="str">
        <f aca="false">IF($G77="","",IFERROR(IF(ISNUMBER($G77),IF($G77&gt;19000000,DATE(INT($G77/10000),MOD(INT($G77/100),100),MOD($G77,100)),INT($G77)),IF(LEN(SUBSTITUTE(SUBSTITUTE(SUBSTITUTE(TRIM($G77),"-",""),".",""),"/",""))=8,DATE(VALUE(LEFT(SUBSTITUTE(SUBSTITUTE(SUBSTITUTE(TRIM($G77),"-",""),".",""),"/",""),4)),VALUE(MID(SUBSTITUTE(SUBSTITUTE(SUBSTITUTE(TRIM($G77),"-",""),".",""),"/",""),5,2)),VALUE(RIGHT(SUBSTITUTE(SUBSTITUTE(SUBSTITUTE(TRIM($G77),"-",""),".",""),"/",""),2))),DATEVALUE($G77))),""))</f>
        <v/>
      </c>
      <c r="V77" s="52" t="str">
        <f aca="false">IF($H77="","",IFERROR(IF(IF(ISNUMBER($H77),$H77,IFERROR(TIMEVALUE($H77),VALUE($H77)))&gt;=100,INT(IF(ISNUMBER($H77),$H77,IFERROR(TIMEVALUE($H77),VALUE($H77)))/100)*60+MOD(IF(ISNUMBER($H77),$H77,IFERROR(TIMEVALUE($H77),VALUE($H77))),100),IF(IF(ISNUMBER($H77),$H77,IFERROR(TIMEVALUE($H77),VALUE($H77)))&gt;=1,ROUND(IF(ISNUMBER($H77),$H77,IFERROR(TIMEVALUE($H77),VALUE($H77)))*60,0),ROUND(MOD(IF(ISNUMBER($H77),$H77,IFERROR(TIMEVALUE($H77),VALUE($H77))),1)*1440,0))),""))</f>
        <v/>
      </c>
      <c r="W77" s="52" t="str">
        <f aca="false">IF($I77="","",IFERROR(IF(IF(ISNUMBER($I77),$I77,IFERROR(TIMEVALUE($I77),VALUE($I77)))&gt;=100,INT(IF(ISNUMBER($I77),$I77,IFERROR(TIMEVALUE($I77),VALUE($I77)))/100)*60+MOD(IF(ISNUMBER($I77),$I77,IFERROR(TIMEVALUE($I77),VALUE($I77))),100),IF(IF(ISNUMBER($I77),$I77,IFERROR(TIMEVALUE($I77),VALUE($I77)))&gt;=1,ROUND(IF(ISNUMBER($I77),$I77,IFERROR(TIMEVALUE($I77),VALUE($I77)))*60,0),ROUND(MOD(IF(ISNUMBER($I77),$I77,IFERROR(TIMEVALUE($I77),VALUE($I77))),1)*1440,0))),""))</f>
        <v/>
      </c>
      <c r="X77" s="55" t="str">
        <f aca="false">IF($P77="","",IFERROR(IF(ISNUMBER($P77),IF($P77&gt;19000000,DATE(INT($P77/10000),MOD(INT($P77/100),100),MOD($P77,100)),INT($P77)),IF(LEN(SUBSTITUTE(SUBSTITUTE(SUBSTITUTE(TRIM($P77),"-",""),".",""),"/",""))=8,DATE(VALUE(LEFT(SUBSTITUTE(SUBSTITUTE(SUBSTITUTE(TRIM($P77),"-",""),".",""),"/",""),4)),VALUE(MID(SUBSTITUTE(SUBSTITUTE(SUBSTITUTE(TRIM($P77),"-",""),".",""),"/",""),5,2)),VALUE(RIGHT(SUBSTITUTE(SUBSTITUTE(SUBSTITUTE(TRIM($P77),"-",""),".",""),"/",""),2))),DATEVALUE($P77))),""))</f>
        <v/>
      </c>
      <c r="Y77" s="56" t="str">
        <f aca="false">IF($M77="","",IFERROR(INDEX(강사DB!$D$4:$D$53,MATCH($M77,강사DB!$A$4:$A$53,0)),""))</f>
        <v/>
      </c>
      <c r="Z77" s="56" t="str">
        <f aca="false">IF($B77&lt;&gt;"결제완료","",IF(OR($Y77="",$J77=""),"",$Y77*$J77+MAX(0,N($K77)-1)*설정!$J$7))</f>
        <v/>
      </c>
      <c r="AA77" s="56" t="str">
        <f aca="false">IF(AND($D77&lt;&gt;"",$B77="결제완료"),N($N77),"")</f>
        <v/>
      </c>
      <c r="AB77" s="45" t="str">
        <f aca="false">IF($D77="","",IF($F77&lt;&gt;"",$F77,$D77)&amp;IF($B77="상담중"," (상담)",""))</f>
        <v/>
      </c>
      <c r="AC77" s="45" t="n">
        <f aca="false">IF(AND($D77&lt;&gt;"",OR($B77="결제완료",$B77="상담중")),1,0)</f>
        <v>0</v>
      </c>
      <c r="AD77" s="45" t="n">
        <f aca="false">IF(OR($Z77="",$U77=""),0,IFERROR(IF(COUNTIFS(INDEX(g_grid,0,2*MATCH($M77,강사DB!$A$4:$A$15,0)),"&lt;&gt;",g_s,"&lt;="&amp;$U77,g_e,"&gt;="&amp;$U77)&gt;0,1,0),0))</f>
        <v>0</v>
      </c>
      <c r="AE77" s="48"/>
      <c r="AF77" s="56" t="str">
        <f aca="false">IF(AND($D77&lt;&gt;"",$B77="결제완료",$T77="대여"),설정!$J$5,"")</f>
        <v/>
      </c>
      <c r="AG77" s="54" t="str">
        <f aca="false">IF($D77="","",IF(AND($E77="",$R77=""),$AB77,"☎ "&amp;IF($E77="","-",$E77)&amp;IF($R77&lt;&gt;"","  ※ "&amp;$R77,"")&amp;IF($B77="상담중"," (상담)","")))</f>
        <v/>
      </c>
      <c r="AH77" s="56" t="str">
        <f aca="false">IF(AND($D77&lt;&gt;"",$B77="결제완료",$O77="스마트스토어"),ROUND(N($N77)*설정!$J$6,0),"")</f>
        <v/>
      </c>
      <c r="AI77" s="54" t="str">
        <f aca="false">IF($D77="","",ROW())</f>
        <v/>
      </c>
      <c r="AJ77" s="54" t="n">
        <f aca="false">IF(OR($AC77&lt;&gt;1,$M77=""),0,IF(ISNUMBER(SEARCH("퇴사",IFERROR(INDEX(강사DB!$G$4:$G$53,MATCH($M77,강사DB!$A$4:$A$53,0)),""))),1,0))</f>
        <v>0</v>
      </c>
    </row>
    <row r="78" customFormat="false" ht="15" hidden="false" customHeight="false" outlineLevel="0" collapsed="false">
      <c r="A78" s="45" t="str">
        <f aca="false">IF($D78="","",COUNTA($D$5:$D78))</f>
        <v/>
      </c>
      <c r="B78" s="46"/>
      <c r="C78" s="47"/>
      <c r="D78" s="48"/>
      <c r="E78" s="48"/>
      <c r="F78" s="49"/>
      <c r="G78" s="47"/>
      <c r="H78" s="50"/>
      <c r="I78" s="50"/>
      <c r="J78" s="51" t="str">
        <f aca="false">IF(OR($V78="",$W78=""),"",ROUND(($W78-$V78)/60,2))</f>
        <v/>
      </c>
      <c r="K78" s="52" t="str">
        <f aca="false">IF($F78="","",LEN($F78)-LEN(SUBSTITUTE($F78,",",""))+1)</f>
        <v/>
      </c>
      <c r="L78" s="45" t="str">
        <f aca="false">IF($K78="","","1:"&amp;$K78)</f>
        <v/>
      </c>
      <c r="M78" s="46"/>
      <c r="N78" s="53"/>
      <c r="O78" s="46"/>
      <c r="P78" s="47"/>
      <c r="Q78" s="48"/>
      <c r="R78" s="49"/>
      <c r="S78" s="54" t="str">
        <f aca="false">IF(OR($AC78=0,$U78="",$M78="",$V78="",$W78=""),"",IF(COUNTIFS(m_teacher,$M78,m_date,$U78,m_active,1,m_start,"&lt;"&amp;$W78,m_end,"&gt;"&amp;$V78)&gt;1,"충돌",""))</f>
        <v/>
      </c>
      <c r="T78" s="48"/>
      <c r="U78" s="55" t="str">
        <f aca="false">IF($G78="","",IFERROR(IF(ISNUMBER($G78),IF($G78&gt;19000000,DATE(INT($G78/10000),MOD(INT($G78/100),100),MOD($G78,100)),INT($G78)),IF(LEN(SUBSTITUTE(SUBSTITUTE(SUBSTITUTE(TRIM($G78),"-",""),".",""),"/",""))=8,DATE(VALUE(LEFT(SUBSTITUTE(SUBSTITUTE(SUBSTITUTE(TRIM($G78),"-",""),".",""),"/",""),4)),VALUE(MID(SUBSTITUTE(SUBSTITUTE(SUBSTITUTE(TRIM($G78),"-",""),".",""),"/",""),5,2)),VALUE(RIGHT(SUBSTITUTE(SUBSTITUTE(SUBSTITUTE(TRIM($G78),"-",""),".",""),"/",""),2))),DATEVALUE($G78))),""))</f>
        <v/>
      </c>
      <c r="V78" s="52" t="str">
        <f aca="false">IF($H78="","",IFERROR(IF(IF(ISNUMBER($H78),$H78,IFERROR(TIMEVALUE($H78),VALUE($H78)))&gt;=100,INT(IF(ISNUMBER($H78),$H78,IFERROR(TIMEVALUE($H78),VALUE($H78)))/100)*60+MOD(IF(ISNUMBER($H78),$H78,IFERROR(TIMEVALUE($H78),VALUE($H78))),100),IF(IF(ISNUMBER($H78),$H78,IFERROR(TIMEVALUE($H78),VALUE($H78)))&gt;=1,ROUND(IF(ISNUMBER($H78),$H78,IFERROR(TIMEVALUE($H78),VALUE($H78)))*60,0),ROUND(MOD(IF(ISNUMBER($H78),$H78,IFERROR(TIMEVALUE($H78),VALUE($H78))),1)*1440,0))),""))</f>
        <v/>
      </c>
      <c r="W78" s="52" t="str">
        <f aca="false">IF($I78="","",IFERROR(IF(IF(ISNUMBER($I78),$I78,IFERROR(TIMEVALUE($I78),VALUE($I78)))&gt;=100,INT(IF(ISNUMBER($I78),$I78,IFERROR(TIMEVALUE($I78),VALUE($I78)))/100)*60+MOD(IF(ISNUMBER($I78),$I78,IFERROR(TIMEVALUE($I78),VALUE($I78))),100),IF(IF(ISNUMBER($I78),$I78,IFERROR(TIMEVALUE($I78),VALUE($I78)))&gt;=1,ROUND(IF(ISNUMBER($I78),$I78,IFERROR(TIMEVALUE($I78),VALUE($I78)))*60,0),ROUND(MOD(IF(ISNUMBER($I78),$I78,IFERROR(TIMEVALUE($I78),VALUE($I78))),1)*1440,0))),""))</f>
        <v/>
      </c>
      <c r="X78" s="55" t="str">
        <f aca="false">IF($P78="","",IFERROR(IF(ISNUMBER($P78),IF($P78&gt;19000000,DATE(INT($P78/10000),MOD(INT($P78/100),100),MOD($P78,100)),INT($P78)),IF(LEN(SUBSTITUTE(SUBSTITUTE(SUBSTITUTE(TRIM($P78),"-",""),".",""),"/",""))=8,DATE(VALUE(LEFT(SUBSTITUTE(SUBSTITUTE(SUBSTITUTE(TRIM($P78),"-",""),".",""),"/",""),4)),VALUE(MID(SUBSTITUTE(SUBSTITUTE(SUBSTITUTE(TRIM($P78),"-",""),".",""),"/",""),5,2)),VALUE(RIGHT(SUBSTITUTE(SUBSTITUTE(SUBSTITUTE(TRIM($P78),"-",""),".",""),"/",""),2))),DATEVALUE($P78))),""))</f>
        <v/>
      </c>
      <c r="Y78" s="56" t="str">
        <f aca="false">IF($M78="","",IFERROR(INDEX(강사DB!$D$4:$D$53,MATCH($M78,강사DB!$A$4:$A$53,0)),""))</f>
        <v/>
      </c>
      <c r="Z78" s="56" t="str">
        <f aca="false">IF($B78&lt;&gt;"결제완료","",IF(OR($Y78="",$J78=""),"",$Y78*$J78+MAX(0,N($K78)-1)*설정!$J$7))</f>
        <v/>
      </c>
      <c r="AA78" s="56" t="str">
        <f aca="false">IF(AND($D78&lt;&gt;"",$B78="결제완료"),N($N78),"")</f>
        <v/>
      </c>
      <c r="AB78" s="45" t="str">
        <f aca="false">IF($D78="","",IF($F78&lt;&gt;"",$F78,$D78)&amp;IF($B78="상담중"," (상담)",""))</f>
        <v/>
      </c>
      <c r="AC78" s="45" t="n">
        <f aca="false">IF(AND($D78&lt;&gt;"",OR($B78="결제완료",$B78="상담중")),1,0)</f>
        <v>0</v>
      </c>
      <c r="AD78" s="45" t="n">
        <f aca="false">IF(OR($Z78="",$U78=""),0,IFERROR(IF(COUNTIFS(INDEX(g_grid,0,2*MATCH($M78,강사DB!$A$4:$A$15,0)),"&lt;&gt;",g_s,"&lt;="&amp;$U78,g_e,"&gt;="&amp;$U78)&gt;0,1,0),0))</f>
        <v>0</v>
      </c>
      <c r="AE78" s="48"/>
      <c r="AF78" s="56" t="str">
        <f aca="false">IF(AND($D78&lt;&gt;"",$B78="결제완료",$T78="대여"),설정!$J$5,"")</f>
        <v/>
      </c>
      <c r="AG78" s="54" t="str">
        <f aca="false">IF($D78="","",IF(AND($E78="",$R78=""),$AB78,"☎ "&amp;IF($E78="","-",$E78)&amp;IF($R78&lt;&gt;"","  ※ "&amp;$R78,"")&amp;IF($B78="상담중"," (상담)","")))</f>
        <v/>
      </c>
      <c r="AH78" s="56" t="str">
        <f aca="false">IF(AND($D78&lt;&gt;"",$B78="결제완료",$O78="스마트스토어"),ROUND(N($N78)*설정!$J$6,0),"")</f>
        <v/>
      </c>
      <c r="AI78" s="54" t="str">
        <f aca="false">IF($D78="","",ROW())</f>
        <v/>
      </c>
      <c r="AJ78" s="54" t="n">
        <f aca="false">IF(OR($AC78&lt;&gt;1,$M78=""),0,IF(ISNUMBER(SEARCH("퇴사",IFERROR(INDEX(강사DB!$G$4:$G$53,MATCH($M78,강사DB!$A$4:$A$53,0)),""))),1,0))</f>
        <v>0</v>
      </c>
    </row>
    <row r="79" customFormat="false" ht="15" hidden="false" customHeight="false" outlineLevel="0" collapsed="false">
      <c r="A79" s="45" t="str">
        <f aca="false">IF($D79="","",COUNTA($D$5:$D79))</f>
        <v/>
      </c>
      <c r="B79" s="46"/>
      <c r="C79" s="47"/>
      <c r="D79" s="48"/>
      <c r="E79" s="48"/>
      <c r="F79" s="49"/>
      <c r="G79" s="47"/>
      <c r="H79" s="50"/>
      <c r="I79" s="50"/>
      <c r="J79" s="51" t="str">
        <f aca="false">IF(OR($V79="",$W79=""),"",ROUND(($W79-$V79)/60,2))</f>
        <v/>
      </c>
      <c r="K79" s="52" t="str">
        <f aca="false">IF($F79="","",LEN($F79)-LEN(SUBSTITUTE($F79,",",""))+1)</f>
        <v/>
      </c>
      <c r="L79" s="45" t="str">
        <f aca="false">IF($K79="","","1:"&amp;$K79)</f>
        <v/>
      </c>
      <c r="M79" s="46"/>
      <c r="N79" s="53"/>
      <c r="O79" s="46"/>
      <c r="P79" s="47"/>
      <c r="Q79" s="48"/>
      <c r="R79" s="49"/>
      <c r="S79" s="54" t="str">
        <f aca="false">IF(OR($AC79=0,$U79="",$M79="",$V79="",$W79=""),"",IF(COUNTIFS(m_teacher,$M79,m_date,$U79,m_active,1,m_start,"&lt;"&amp;$W79,m_end,"&gt;"&amp;$V79)&gt;1,"충돌",""))</f>
        <v/>
      </c>
      <c r="T79" s="48"/>
      <c r="U79" s="55" t="str">
        <f aca="false">IF($G79="","",IFERROR(IF(ISNUMBER($G79),IF($G79&gt;19000000,DATE(INT($G79/10000),MOD(INT($G79/100),100),MOD($G79,100)),INT($G79)),IF(LEN(SUBSTITUTE(SUBSTITUTE(SUBSTITUTE(TRIM($G79),"-",""),".",""),"/",""))=8,DATE(VALUE(LEFT(SUBSTITUTE(SUBSTITUTE(SUBSTITUTE(TRIM($G79),"-",""),".",""),"/",""),4)),VALUE(MID(SUBSTITUTE(SUBSTITUTE(SUBSTITUTE(TRIM($G79),"-",""),".",""),"/",""),5,2)),VALUE(RIGHT(SUBSTITUTE(SUBSTITUTE(SUBSTITUTE(TRIM($G79),"-",""),".",""),"/",""),2))),DATEVALUE($G79))),""))</f>
        <v/>
      </c>
      <c r="V79" s="52" t="str">
        <f aca="false">IF($H79="","",IFERROR(IF(IF(ISNUMBER($H79),$H79,IFERROR(TIMEVALUE($H79),VALUE($H79)))&gt;=100,INT(IF(ISNUMBER($H79),$H79,IFERROR(TIMEVALUE($H79),VALUE($H79)))/100)*60+MOD(IF(ISNUMBER($H79),$H79,IFERROR(TIMEVALUE($H79),VALUE($H79))),100),IF(IF(ISNUMBER($H79),$H79,IFERROR(TIMEVALUE($H79),VALUE($H79)))&gt;=1,ROUND(IF(ISNUMBER($H79),$H79,IFERROR(TIMEVALUE($H79),VALUE($H79)))*60,0),ROUND(MOD(IF(ISNUMBER($H79),$H79,IFERROR(TIMEVALUE($H79),VALUE($H79))),1)*1440,0))),""))</f>
        <v/>
      </c>
      <c r="W79" s="52" t="str">
        <f aca="false">IF($I79="","",IFERROR(IF(IF(ISNUMBER($I79),$I79,IFERROR(TIMEVALUE($I79),VALUE($I79)))&gt;=100,INT(IF(ISNUMBER($I79),$I79,IFERROR(TIMEVALUE($I79),VALUE($I79)))/100)*60+MOD(IF(ISNUMBER($I79),$I79,IFERROR(TIMEVALUE($I79),VALUE($I79))),100),IF(IF(ISNUMBER($I79),$I79,IFERROR(TIMEVALUE($I79),VALUE($I79)))&gt;=1,ROUND(IF(ISNUMBER($I79),$I79,IFERROR(TIMEVALUE($I79),VALUE($I79)))*60,0),ROUND(MOD(IF(ISNUMBER($I79),$I79,IFERROR(TIMEVALUE($I79),VALUE($I79))),1)*1440,0))),""))</f>
        <v/>
      </c>
      <c r="X79" s="55" t="str">
        <f aca="false">IF($P79="","",IFERROR(IF(ISNUMBER($P79),IF($P79&gt;19000000,DATE(INT($P79/10000),MOD(INT($P79/100),100),MOD($P79,100)),INT($P79)),IF(LEN(SUBSTITUTE(SUBSTITUTE(SUBSTITUTE(TRIM($P79),"-",""),".",""),"/",""))=8,DATE(VALUE(LEFT(SUBSTITUTE(SUBSTITUTE(SUBSTITUTE(TRIM($P79),"-",""),".",""),"/",""),4)),VALUE(MID(SUBSTITUTE(SUBSTITUTE(SUBSTITUTE(TRIM($P79),"-",""),".",""),"/",""),5,2)),VALUE(RIGHT(SUBSTITUTE(SUBSTITUTE(SUBSTITUTE(TRIM($P79),"-",""),".",""),"/",""),2))),DATEVALUE($P79))),""))</f>
        <v/>
      </c>
      <c r="Y79" s="56" t="str">
        <f aca="false">IF($M79="","",IFERROR(INDEX(강사DB!$D$4:$D$53,MATCH($M79,강사DB!$A$4:$A$53,0)),""))</f>
        <v/>
      </c>
      <c r="Z79" s="56" t="str">
        <f aca="false">IF($B79&lt;&gt;"결제완료","",IF(OR($Y79="",$J79=""),"",$Y79*$J79+MAX(0,N($K79)-1)*설정!$J$7))</f>
        <v/>
      </c>
      <c r="AA79" s="56" t="str">
        <f aca="false">IF(AND($D79&lt;&gt;"",$B79="결제완료"),N($N79),"")</f>
        <v/>
      </c>
      <c r="AB79" s="45" t="str">
        <f aca="false">IF($D79="","",IF($F79&lt;&gt;"",$F79,$D79)&amp;IF($B79="상담중"," (상담)",""))</f>
        <v/>
      </c>
      <c r="AC79" s="45" t="n">
        <f aca="false">IF(AND($D79&lt;&gt;"",OR($B79="결제완료",$B79="상담중")),1,0)</f>
        <v>0</v>
      </c>
      <c r="AD79" s="45" t="n">
        <f aca="false">IF(OR($Z79="",$U79=""),0,IFERROR(IF(COUNTIFS(INDEX(g_grid,0,2*MATCH($M79,강사DB!$A$4:$A$15,0)),"&lt;&gt;",g_s,"&lt;="&amp;$U79,g_e,"&gt;="&amp;$U79)&gt;0,1,0),0))</f>
        <v>0</v>
      </c>
      <c r="AE79" s="48"/>
      <c r="AF79" s="56" t="str">
        <f aca="false">IF(AND($D79&lt;&gt;"",$B79="결제완료",$T79="대여"),설정!$J$5,"")</f>
        <v/>
      </c>
      <c r="AG79" s="54" t="str">
        <f aca="false">IF($D79="","",IF(AND($E79="",$R79=""),$AB79,"☎ "&amp;IF($E79="","-",$E79)&amp;IF($R79&lt;&gt;"","  ※ "&amp;$R79,"")&amp;IF($B79="상담중"," (상담)","")))</f>
        <v/>
      </c>
      <c r="AH79" s="56" t="str">
        <f aca="false">IF(AND($D79&lt;&gt;"",$B79="결제완료",$O79="스마트스토어"),ROUND(N($N79)*설정!$J$6,0),"")</f>
        <v/>
      </c>
      <c r="AI79" s="54" t="str">
        <f aca="false">IF($D79="","",ROW())</f>
        <v/>
      </c>
      <c r="AJ79" s="54" t="n">
        <f aca="false">IF(OR($AC79&lt;&gt;1,$M79=""),0,IF(ISNUMBER(SEARCH("퇴사",IFERROR(INDEX(강사DB!$G$4:$G$53,MATCH($M79,강사DB!$A$4:$A$53,0)),""))),1,0))</f>
        <v>0</v>
      </c>
    </row>
    <row r="80" customFormat="false" ht="15" hidden="false" customHeight="false" outlineLevel="0" collapsed="false">
      <c r="A80" s="45" t="str">
        <f aca="false">IF($D80="","",COUNTA($D$5:$D80))</f>
        <v/>
      </c>
      <c r="B80" s="46"/>
      <c r="C80" s="47"/>
      <c r="D80" s="48"/>
      <c r="E80" s="48"/>
      <c r="F80" s="49"/>
      <c r="G80" s="47"/>
      <c r="H80" s="50"/>
      <c r="I80" s="50"/>
      <c r="J80" s="51" t="str">
        <f aca="false">IF(OR($V80="",$W80=""),"",ROUND(($W80-$V80)/60,2))</f>
        <v/>
      </c>
      <c r="K80" s="52" t="str">
        <f aca="false">IF($F80="","",LEN($F80)-LEN(SUBSTITUTE($F80,",",""))+1)</f>
        <v/>
      </c>
      <c r="L80" s="45" t="str">
        <f aca="false">IF($K80="","","1:"&amp;$K80)</f>
        <v/>
      </c>
      <c r="M80" s="46"/>
      <c r="N80" s="53"/>
      <c r="O80" s="46"/>
      <c r="P80" s="47"/>
      <c r="Q80" s="48"/>
      <c r="R80" s="49"/>
      <c r="S80" s="54" t="str">
        <f aca="false">IF(OR($AC80=0,$U80="",$M80="",$V80="",$W80=""),"",IF(COUNTIFS(m_teacher,$M80,m_date,$U80,m_active,1,m_start,"&lt;"&amp;$W80,m_end,"&gt;"&amp;$V80)&gt;1,"충돌",""))</f>
        <v/>
      </c>
      <c r="T80" s="48"/>
      <c r="U80" s="55" t="str">
        <f aca="false">IF($G80="","",IFERROR(IF(ISNUMBER($G80),IF($G80&gt;19000000,DATE(INT($G80/10000),MOD(INT($G80/100),100),MOD($G80,100)),INT($G80)),IF(LEN(SUBSTITUTE(SUBSTITUTE(SUBSTITUTE(TRIM($G80),"-",""),".",""),"/",""))=8,DATE(VALUE(LEFT(SUBSTITUTE(SUBSTITUTE(SUBSTITUTE(TRIM($G80),"-",""),".",""),"/",""),4)),VALUE(MID(SUBSTITUTE(SUBSTITUTE(SUBSTITUTE(TRIM($G80),"-",""),".",""),"/",""),5,2)),VALUE(RIGHT(SUBSTITUTE(SUBSTITUTE(SUBSTITUTE(TRIM($G80),"-",""),".",""),"/",""),2))),DATEVALUE($G80))),""))</f>
        <v/>
      </c>
      <c r="V80" s="52" t="str">
        <f aca="false">IF($H80="","",IFERROR(IF(IF(ISNUMBER($H80),$H80,IFERROR(TIMEVALUE($H80),VALUE($H80)))&gt;=100,INT(IF(ISNUMBER($H80),$H80,IFERROR(TIMEVALUE($H80),VALUE($H80)))/100)*60+MOD(IF(ISNUMBER($H80),$H80,IFERROR(TIMEVALUE($H80),VALUE($H80))),100),IF(IF(ISNUMBER($H80),$H80,IFERROR(TIMEVALUE($H80),VALUE($H80)))&gt;=1,ROUND(IF(ISNUMBER($H80),$H80,IFERROR(TIMEVALUE($H80),VALUE($H80)))*60,0),ROUND(MOD(IF(ISNUMBER($H80),$H80,IFERROR(TIMEVALUE($H80),VALUE($H80))),1)*1440,0))),""))</f>
        <v/>
      </c>
      <c r="W80" s="52" t="str">
        <f aca="false">IF($I80="","",IFERROR(IF(IF(ISNUMBER($I80),$I80,IFERROR(TIMEVALUE($I80),VALUE($I80)))&gt;=100,INT(IF(ISNUMBER($I80),$I80,IFERROR(TIMEVALUE($I80),VALUE($I80)))/100)*60+MOD(IF(ISNUMBER($I80),$I80,IFERROR(TIMEVALUE($I80),VALUE($I80))),100),IF(IF(ISNUMBER($I80),$I80,IFERROR(TIMEVALUE($I80),VALUE($I80)))&gt;=1,ROUND(IF(ISNUMBER($I80),$I80,IFERROR(TIMEVALUE($I80),VALUE($I80)))*60,0),ROUND(MOD(IF(ISNUMBER($I80),$I80,IFERROR(TIMEVALUE($I80),VALUE($I80))),1)*1440,0))),""))</f>
        <v/>
      </c>
      <c r="X80" s="55" t="str">
        <f aca="false">IF($P80="","",IFERROR(IF(ISNUMBER($P80),IF($P80&gt;19000000,DATE(INT($P80/10000),MOD(INT($P80/100),100),MOD($P80,100)),INT($P80)),IF(LEN(SUBSTITUTE(SUBSTITUTE(SUBSTITUTE(TRIM($P80),"-",""),".",""),"/",""))=8,DATE(VALUE(LEFT(SUBSTITUTE(SUBSTITUTE(SUBSTITUTE(TRIM($P80),"-",""),".",""),"/",""),4)),VALUE(MID(SUBSTITUTE(SUBSTITUTE(SUBSTITUTE(TRIM($P80),"-",""),".",""),"/",""),5,2)),VALUE(RIGHT(SUBSTITUTE(SUBSTITUTE(SUBSTITUTE(TRIM($P80),"-",""),".",""),"/",""),2))),DATEVALUE($P80))),""))</f>
        <v/>
      </c>
      <c r="Y80" s="56" t="str">
        <f aca="false">IF($M80="","",IFERROR(INDEX(강사DB!$D$4:$D$53,MATCH($M80,강사DB!$A$4:$A$53,0)),""))</f>
        <v/>
      </c>
      <c r="Z80" s="56" t="str">
        <f aca="false">IF($B80&lt;&gt;"결제완료","",IF(OR($Y80="",$J80=""),"",$Y80*$J80+MAX(0,N($K80)-1)*설정!$J$7))</f>
        <v/>
      </c>
      <c r="AA80" s="56" t="str">
        <f aca="false">IF(AND($D80&lt;&gt;"",$B80="결제완료"),N($N80),"")</f>
        <v/>
      </c>
      <c r="AB80" s="45" t="str">
        <f aca="false">IF($D80="","",IF($F80&lt;&gt;"",$F80,$D80)&amp;IF($B80="상담중"," (상담)",""))</f>
        <v/>
      </c>
      <c r="AC80" s="45" t="n">
        <f aca="false">IF(AND($D80&lt;&gt;"",OR($B80="결제완료",$B80="상담중")),1,0)</f>
        <v>0</v>
      </c>
      <c r="AD80" s="45" t="n">
        <f aca="false">IF(OR($Z80="",$U80=""),0,IFERROR(IF(COUNTIFS(INDEX(g_grid,0,2*MATCH($M80,강사DB!$A$4:$A$15,0)),"&lt;&gt;",g_s,"&lt;="&amp;$U80,g_e,"&gt;="&amp;$U80)&gt;0,1,0),0))</f>
        <v>0</v>
      </c>
      <c r="AE80" s="48"/>
      <c r="AF80" s="56" t="str">
        <f aca="false">IF(AND($D80&lt;&gt;"",$B80="결제완료",$T80="대여"),설정!$J$5,"")</f>
        <v/>
      </c>
      <c r="AG80" s="54" t="str">
        <f aca="false">IF($D80="","",IF(AND($E80="",$R80=""),$AB80,"☎ "&amp;IF($E80="","-",$E80)&amp;IF($R80&lt;&gt;"","  ※ "&amp;$R80,"")&amp;IF($B80="상담중"," (상담)","")))</f>
        <v/>
      </c>
      <c r="AH80" s="56" t="str">
        <f aca="false">IF(AND($D80&lt;&gt;"",$B80="결제완료",$O80="스마트스토어"),ROUND(N($N80)*설정!$J$6,0),"")</f>
        <v/>
      </c>
      <c r="AI80" s="54" t="str">
        <f aca="false">IF($D80="","",ROW())</f>
        <v/>
      </c>
      <c r="AJ80" s="54" t="n">
        <f aca="false">IF(OR($AC80&lt;&gt;1,$M80=""),0,IF(ISNUMBER(SEARCH("퇴사",IFERROR(INDEX(강사DB!$G$4:$G$53,MATCH($M80,강사DB!$A$4:$A$53,0)),""))),1,0))</f>
        <v>0</v>
      </c>
    </row>
    <row r="81" customFormat="false" ht="15" hidden="false" customHeight="false" outlineLevel="0" collapsed="false">
      <c r="A81" s="45" t="str">
        <f aca="false">IF($D81="","",COUNTA($D$5:$D81))</f>
        <v/>
      </c>
      <c r="B81" s="46"/>
      <c r="C81" s="47"/>
      <c r="D81" s="48"/>
      <c r="E81" s="48"/>
      <c r="F81" s="49"/>
      <c r="G81" s="47"/>
      <c r="H81" s="50"/>
      <c r="I81" s="50"/>
      <c r="J81" s="51" t="str">
        <f aca="false">IF(OR($V81="",$W81=""),"",ROUND(($W81-$V81)/60,2))</f>
        <v/>
      </c>
      <c r="K81" s="52" t="str">
        <f aca="false">IF($F81="","",LEN($F81)-LEN(SUBSTITUTE($F81,",",""))+1)</f>
        <v/>
      </c>
      <c r="L81" s="45" t="str">
        <f aca="false">IF($K81="","","1:"&amp;$K81)</f>
        <v/>
      </c>
      <c r="M81" s="46"/>
      <c r="N81" s="53"/>
      <c r="O81" s="46"/>
      <c r="P81" s="47"/>
      <c r="Q81" s="48"/>
      <c r="R81" s="49"/>
      <c r="S81" s="54" t="str">
        <f aca="false">IF(OR($AC81=0,$U81="",$M81="",$V81="",$W81=""),"",IF(COUNTIFS(m_teacher,$M81,m_date,$U81,m_active,1,m_start,"&lt;"&amp;$W81,m_end,"&gt;"&amp;$V81)&gt;1,"충돌",""))</f>
        <v/>
      </c>
      <c r="T81" s="48"/>
      <c r="U81" s="55" t="str">
        <f aca="false">IF($G81="","",IFERROR(IF(ISNUMBER($G81),IF($G81&gt;19000000,DATE(INT($G81/10000),MOD(INT($G81/100),100),MOD($G81,100)),INT($G81)),IF(LEN(SUBSTITUTE(SUBSTITUTE(SUBSTITUTE(TRIM($G81),"-",""),".",""),"/",""))=8,DATE(VALUE(LEFT(SUBSTITUTE(SUBSTITUTE(SUBSTITUTE(TRIM($G81),"-",""),".",""),"/",""),4)),VALUE(MID(SUBSTITUTE(SUBSTITUTE(SUBSTITUTE(TRIM($G81),"-",""),".",""),"/",""),5,2)),VALUE(RIGHT(SUBSTITUTE(SUBSTITUTE(SUBSTITUTE(TRIM($G81),"-",""),".",""),"/",""),2))),DATEVALUE($G81))),""))</f>
        <v/>
      </c>
      <c r="V81" s="52" t="str">
        <f aca="false">IF($H81="","",IFERROR(IF(IF(ISNUMBER($H81),$H81,IFERROR(TIMEVALUE($H81),VALUE($H81)))&gt;=100,INT(IF(ISNUMBER($H81),$H81,IFERROR(TIMEVALUE($H81),VALUE($H81)))/100)*60+MOD(IF(ISNUMBER($H81),$H81,IFERROR(TIMEVALUE($H81),VALUE($H81))),100),IF(IF(ISNUMBER($H81),$H81,IFERROR(TIMEVALUE($H81),VALUE($H81)))&gt;=1,ROUND(IF(ISNUMBER($H81),$H81,IFERROR(TIMEVALUE($H81),VALUE($H81)))*60,0),ROUND(MOD(IF(ISNUMBER($H81),$H81,IFERROR(TIMEVALUE($H81),VALUE($H81))),1)*1440,0))),""))</f>
        <v/>
      </c>
      <c r="W81" s="52" t="str">
        <f aca="false">IF($I81="","",IFERROR(IF(IF(ISNUMBER($I81),$I81,IFERROR(TIMEVALUE($I81),VALUE($I81)))&gt;=100,INT(IF(ISNUMBER($I81),$I81,IFERROR(TIMEVALUE($I81),VALUE($I81)))/100)*60+MOD(IF(ISNUMBER($I81),$I81,IFERROR(TIMEVALUE($I81),VALUE($I81))),100),IF(IF(ISNUMBER($I81),$I81,IFERROR(TIMEVALUE($I81),VALUE($I81)))&gt;=1,ROUND(IF(ISNUMBER($I81),$I81,IFERROR(TIMEVALUE($I81),VALUE($I81)))*60,0),ROUND(MOD(IF(ISNUMBER($I81),$I81,IFERROR(TIMEVALUE($I81),VALUE($I81))),1)*1440,0))),""))</f>
        <v/>
      </c>
      <c r="X81" s="55" t="str">
        <f aca="false">IF($P81="","",IFERROR(IF(ISNUMBER($P81),IF($P81&gt;19000000,DATE(INT($P81/10000),MOD(INT($P81/100),100),MOD($P81,100)),INT($P81)),IF(LEN(SUBSTITUTE(SUBSTITUTE(SUBSTITUTE(TRIM($P81),"-",""),".",""),"/",""))=8,DATE(VALUE(LEFT(SUBSTITUTE(SUBSTITUTE(SUBSTITUTE(TRIM($P81),"-",""),".",""),"/",""),4)),VALUE(MID(SUBSTITUTE(SUBSTITUTE(SUBSTITUTE(TRIM($P81),"-",""),".",""),"/",""),5,2)),VALUE(RIGHT(SUBSTITUTE(SUBSTITUTE(SUBSTITUTE(TRIM($P81),"-",""),".",""),"/",""),2))),DATEVALUE($P81))),""))</f>
        <v/>
      </c>
      <c r="Y81" s="56" t="str">
        <f aca="false">IF($M81="","",IFERROR(INDEX(강사DB!$D$4:$D$53,MATCH($M81,강사DB!$A$4:$A$53,0)),""))</f>
        <v/>
      </c>
      <c r="Z81" s="56" t="str">
        <f aca="false">IF($B81&lt;&gt;"결제완료","",IF(OR($Y81="",$J81=""),"",$Y81*$J81+MAX(0,N($K81)-1)*설정!$J$7))</f>
        <v/>
      </c>
      <c r="AA81" s="56" t="str">
        <f aca="false">IF(AND($D81&lt;&gt;"",$B81="결제완료"),N($N81),"")</f>
        <v/>
      </c>
      <c r="AB81" s="45" t="str">
        <f aca="false">IF($D81="","",IF($F81&lt;&gt;"",$F81,$D81)&amp;IF($B81="상담중"," (상담)",""))</f>
        <v/>
      </c>
      <c r="AC81" s="45" t="n">
        <f aca="false">IF(AND($D81&lt;&gt;"",OR($B81="결제완료",$B81="상담중")),1,0)</f>
        <v>0</v>
      </c>
      <c r="AD81" s="45" t="n">
        <f aca="false">IF(OR($Z81="",$U81=""),0,IFERROR(IF(COUNTIFS(INDEX(g_grid,0,2*MATCH($M81,강사DB!$A$4:$A$15,0)),"&lt;&gt;",g_s,"&lt;="&amp;$U81,g_e,"&gt;="&amp;$U81)&gt;0,1,0),0))</f>
        <v>0</v>
      </c>
      <c r="AE81" s="48"/>
      <c r="AF81" s="56" t="str">
        <f aca="false">IF(AND($D81&lt;&gt;"",$B81="결제완료",$T81="대여"),설정!$J$5,"")</f>
        <v/>
      </c>
      <c r="AG81" s="54" t="str">
        <f aca="false">IF($D81="","",IF(AND($E81="",$R81=""),$AB81,"☎ "&amp;IF($E81="","-",$E81)&amp;IF($R81&lt;&gt;"","  ※ "&amp;$R81,"")&amp;IF($B81="상담중"," (상담)","")))</f>
        <v/>
      </c>
      <c r="AH81" s="56" t="str">
        <f aca="false">IF(AND($D81&lt;&gt;"",$B81="결제완료",$O81="스마트스토어"),ROUND(N($N81)*설정!$J$6,0),"")</f>
        <v/>
      </c>
      <c r="AI81" s="54" t="str">
        <f aca="false">IF($D81="","",ROW())</f>
        <v/>
      </c>
      <c r="AJ81" s="54" t="n">
        <f aca="false">IF(OR($AC81&lt;&gt;1,$M81=""),0,IF(ISNUMBER(SEARCH("퇴사",IFERROR(INDEX(강사DB!$G$4:$G$53,MATCH($M81,강사DB!$A$4:$A$53,0)),""))),1,0))</f>
        <v>0</v>
      </c>
    </row>
    <row r="82" customFormat="false" ht="15" hidden="false" customHeight="false" outlineLevel="0" collapsed="false">
      <c r="A82" s="45" t="str">
        <f aca="false">IF($D82="","",COUNTA($D$5:$D82))</f>
        <v/>
      </c>
      <c r="B82" s="46"/>
      <c r="C82" s="47"/>
      <c r="D82" s="48"/>
      <c r="E82" s="48"/>
      <c r="F82" s="49"/>
      <c r="G82" s="47"/>
      <c r="H82" s="50"/>
      <c r="I82" s="50"/>
      <c r="J82" s="51" t="str">
        <f aca="false">IF(OR($V82="",$W82=""),"",ROUND(($W82-$V82)/60,2))</f>
        <v/>
      </c>
      <c r="K82" s="52" t="str">
        <f aca="false">IF($F82="","",LEN($F82)-LEN(SUBSTITUTE($F82,",",""))+1)</f>
        <v/>
      </c>
      <c r="L82" s="45" t="str">
        <f aca="false">IF($K82="","","1:"&amp;$K82)</f>
        <v/>
      </c>
      <c r="M82" s="46"/>
      <c r="N82" s="53"/>
      <c r="O82" s="46"/>
      <c r="P82" s="47"/>
      <c r="Q82" s="48"/>
      <c r="R82" s="49"/>
      <c r="S82" s="54" t="str">
        <f aca="false">IF(OR($AC82=0,$U82="",$M82="",$V82="",$W82=""),"",IF(COUNTIFS(m_teacher,$M82,m_date,$U82,m_active,1,m_start,"&lt;"&amp;$W82,m_end,"&gt;"&amp;$V82)&gt;1,"충돌",""))</f>
        <v/>
      </c>
      <c r="T82" s="48"/>
      <c r="U82" s="55" t="str">
        <f aca="false">IF($G82="","",IFERROR(IF(ISNUMBER($G82),IF($G82&gt;19000000,DATE(INT($G82/10000),MOD(INT($G82/100),100),MOD($G82,100)),INT($G82)),IF(LEN(SUBSTITUTE(SUBSTITUTE(SUBSTITUTE(TRIM($G82),"-",""),".",""),"/",""))=8,DATE(VALUE(LEFT(SUBSTITUTE(SUBSTITUTE(SUBSTITUTE(TRIM($G82),"-",""),".",""),"/",""),4)),VALUE(MID(SUBSTITUTE(SUBSTITUTE(SUBSTITUTE(TRIM($G82),"-",""),".",""),"/",""),5,2)),VALUE(RIGHT(SUBSTITUTE(SUBSTITUTE(SUBSTITUTE(TRIM($G82),"-",""),".",""),"/",""),2))),DATEVALUE($G82))),""))</f>
        <v/>
      </c>
      <c r="V82" s="52" t="str">
        <f aca="false">IF($H82="","",IFERROR(IF(IF(ISNUMBER($H82),$H82,IFERROR(TIMEVALUE($H82),VALUE($H82)))&gt;=100,INT(IF(ISNUMBER($H82),$H82,IFERROR(TIMEVALUE($H82),VALUE($H82)))/100)*60+MOD(IF(ISNUMBER($H82),$H82,IFERROR(TIMEVALUE($H82),VALUE($H82))),100),IF(IF(ISNUMBER($H82),$H82,IFERROR(TIMEVALUE($H82),VALUE($H82)))&gt;=1,ROUND(IF(ISNUMBER($H82),$H82,IFERROR(TIMEVALUE($H82),VALUE($H82)))*60,0),ROUND(MOD(IF(ISNUMBER($H82),$H82,IFERROR(TIMEVALUE($H82),VALUE($H82))),1)*1440,0))),""))</f>
        <v/>
      </c>
      <c r="W82" s="52" t="str">
        <f aca="false">IF($I82="","",IFERROR(IF(IF(ISNUMBER($I82),$I82,IFERROR(TIMEVALUE($I82),VALUE($I82)))&gt;=100,INT(IF(ISNUMBER($I82),$I82,IFERROR(TIMEVALUE($I82),VALUE($I82)))/100)*60+MOD(IF(ISNUMBER($I82),$I82,IFERROR(TIMEVALUE($I82),VALUE($I82))),100),IF(IF(ISNUMBER($I82),$I82,IFERROR(TIMEVALUE($I82),VALUE($I82)))&gt;=1,ROUND(IF(ISNUMBER($I82),$I82,IFERROR(TIMEVALUE($I82),VALUE($I82)))*60,0),ROUND(MOD(IF(ISNUMBER($I82),$I82,IFERROR(TIMEVALUE($I82),VALUE($I82))),1)*1440,0))),""))</f>
        <v/>
      </c>
      <c r="X82" s="55" t="str">
        <f aca="false">IF($P82="","",IFERROR(IF(ISNUMBER($P82),IF($P82&gt;19000000,DATE(INT($P82/10000),MOD(INT($P82/100),100),MOD($P82,100)),INT($P82)),IF(LEN(SUBSTITUTE(SUBSTITUTE(SUBSTITUTE(TRIM($P82),"-",""),".",""),"/",""))=8,DATE(VALUE(LEFT(SUBSTITUTE(SUBSTITUTE(SUBSTITUTE(TRIM($P82),"-",""),".",""),"/",""),4)),VALUE(MID(SUBSTITUTE(SUBSTITUTE(SUBSTITUTE(TRIM($P82),"-",""),".",""),"/",""),5,2)),VALUE(RIGHT(SUBSTITUTE(SUBSTITUTE(SUBSTITUTE(TRIM($P82),"-",""),".",""),"/",""),2))),DATEVALUE($P82))),""))</f>
        <v/>
      </c>
      <c r="Y82" s="56" t="str">
        <f aca="false">IF($M82="","",IFERROR(INDEX(강사DB!$D$4:$D$53,MATCH($M82,강사DB!$A$4:$A$53,0)),""))</f>
        <v/>
      </c>
      <c r="Z82" s="56" t="str">
        <f aca="false">IF($B82&lt;&gt;"결제완료","",IF(OR($Y82="",$J82=""),"",$Y82*$J82+MAX(0,N($K82)-1)*설정!$J$7))</f>
        <v/>
      </c>
      <c r="AA82" s="56" t="str">
        <f aca="false">IF(AND($D82&lt;&gt;"",$B82="결제완료"),N($N82),"")</f>
        <v/>
      </c>
      <c r="AB82" s="45" t="str">
        <f aca="false">IF($D82="","",IF($F82&lt;&gt;"",$F82,$D82)&amp;IF($B82="상담중"," (상담)",""))</f>
        <v/>
      </c>
      <c r="AC82" s="45" t="n">
        <f aca="false">IF(AND($D82&lt;&gt;"",OR($B82="결제완료",$B82="상담중")),1,0)</f>
        <v>0</v>
      </c>
      <c r="AD82" s="45" t="n">
        <f aca="false">IF(OR($Z82="",$U82=""),0,IFERROR(IF(COUNTIFS(INDEX(g_grid,0,2*MATCH($M82,강사DB!$A$4:$A$15,0)),"&lt;&gt;",g_s,"&lt;="&amp;$U82,g_e,"&gt;="&amp;$U82)&gt;0,1,0),0))</f>
        <v>0</v>
      </c>
      <c r="AE82" s="48"/>
      <c r="AF82" s="56" t="str">
        <f aca="false">IF(AND($D82&lt;&gt;"",$B82="결제완료",$T82="대여"),설정!$J$5,"")</f>
        <v/>
      </c>
      <c r="AG82" s="54" t="str">
        <f aca="false">IF($D82="","",IF(AND($E82="",$R82=""),$AB82,"☎ "&amp;IF($E82="","-",$E82)&amp;IF($R82&lt;&gt;"","  ※ "&amp;$R82,"")&amp;IF($B82="상담중"," (상담)","")))</f>
        <v/>
      </c>
      <c r="AH82" s="56" t="str">
        <f aca="false">IF(AND($D82&lt;&gt;"",$B82="결제완료",$O82="스마트스토어"),ROUND(N($N82)*설정!$J$6,0),"")</f>
        <v/>
      </c>
      <c r="AI82" s="54" t="str">
        <f aca="false">IF($D82="","",ROW())</f>
        <v/>
      </c>
      <c r="AJ82" s="54" t="n">
        <f aca="false">IF(OR($AC82&lt;&gt;1,$M82=""),0,IF(ISNUMBER(SEARCH("퇴사",IFERROR(INDEX(강사DB!$G$4:$G$53,MATCH($M82,강사DB!$A$4:$A$53,0)),""))),1,0))</f>
        <v>0</v>
      </c>
    </row>
    <row r="83" customFormat="false" ht="15" hidden="false" customHeight="false" outlineLevel="0" collapsed="false">
      <c r="A83" s="45" t="str">
        <f aca="false">IF($D83="","",COUNTA($D$5:$D83))</f>
        <v/>
      </c>
      <c r="B83" s="46"/>
      <c r="C83" s="47"/>
      <c r="D83" s="48"/>
      <c r="E83" s="48"/>
      <c r="F83" s="49"/>
      <c r="G83" s="47"/>
      <c r="H83" s="50"/>
      <c r="I83" s="50"/>
      <c r="J83" s="51" t="str">
        <f aca="false">IF(OR($V83="",$W83=""),"",ROUND(($W83-$V83)/60,2))</f>
        <v/>
      </c>
      <c r="K83" s="52" t="str">
        <f aca="false">IF($F83="","",LEN($F83)-LEN(SUBSTITUTE($F83,",",""))+1)</f>
        <v/>
      </c>
      <c r="L83" s="45" t="str">
        <f aca="false">IF($K83="","","1:"&amp;$K83)</f>
        <v/>
      </c>
      <c r="M83" s="46"/>
      <c r="N83" s="53"/>
      <c r="O83" s="46"/>
      <c r="P83" s="47"/>
      <c r="Q83" s="48"/>
      <c r="R83" s="49"/>
      <c r="S83" s="54" t="str">
        <f aca="false">IF(OR($AC83=0,$U83="",$M83="",$V83="",$W83=""),"",IF(COUNTIFS(m_teacher,$M83,m_date,$U83,m_active,1,m_start,"&lt;"&amp;$W83,m_end,"&gt;"&amp;$V83)&gt;1,"충돌",""))</f>
        <v/>
      </c>
      <c r="T83" s="48"/>
      <c r="U83" s="55" t="str">
        <f aca="false">IF($G83="","",IFERROR(IF(ISNUMBER($G83),IF($G83&gt;19000000,DATE(INT($G83/10000),MOD(INT($G83/100),100),MOD($G83,100)),INT($G83)),IF(LEN(SUBSTITUTE(SUBSTITUTE(SUBSTITUTE(TRIM($G83),"-",""),".",""),"/",""))=8,DATE(VALUE(LEFT(SUBSTITUTE(SUBSTITUTE(SUBSTITUTE(TRIM($G83),"-",""),".",""),"/",""),4)),VALUE(MID(SUBSTITUTE(SUBSTITUTE(SUBSTITUTE(TRIM($G83),"-",""),".",""),"/",""),5,2)),VALUE(RIGHT(SUBSTITUTE(SUBSTITUTE(SUBSTITUTE(TRIM($G83),"-",""),".",""),"/",""),2))),DATEVALUE($G83))),""))</f>
        <v/>
      </c>
      <c r="V83" s="52" t="str">
        <f aca="false">IF($H83="","",IFERROR(IF(IF(ISNUMBER($H83),$H83,IFERROR(TIMEVALUE($H83),VALUE($H83)))&gt;=100,INT(IF(ISNUMBER($H83),$H83,IFERROR(TIMEVALUE($H83),VALUE($H83)))/100)*60+MOD(IF(ISNUMBER($H83),$H83,IFERROR(TIMEVALUE($H83),VALUE($H83))),100),IF(IF(ISNUMBER($H83),$H83,IFERROR(TIMEVALUE($H83),VALUE($H83)))&gt;=1,ROUND(IF(ISNUMBER($H83),$H83,IFERROR(TIMEVALUE($H83),VALUE($H83)))*60,0),ROUND(MOD(IF(ISNUMBER($H83),$H83,IFERROR(TIMEVALUE($H83),VALUE($H83))),1)*1440,0))),""))</f>
        <v/>
      </c>
      <c r="W83" s="52" t="str">
        <f aca="false">IF($I83="","",IFERROR(IF(IF(ISNUMBER($I83),$I83,IFERROR(TIMEVALUE($I83),VALUE($I83)))&gt;=100,INT(IF(ISNUMBER($I83),$I83,IFERROR(TIMEVALUE($I83),VALUE($I83)))/100)*60+MOD(IF(ISNUMBER($I83),$I83,IFERROR(TIMEVALUE($I83),VALUE($I83))),100),IF(IF(ISNUMBER($I83),$I83,IFERROR(TIMEVALUE($I83),VALUE($I83)))&gt;=1,ROUND(IF(ISNUMBER($I83),$I83,IFERROR(TIMEVALUE($I83),VALUE($I83)))*60,0),ROUND(MOD(IF(ISNUMBER($I83),$I83,IFERROR(TIMEVALUE($I83),VALUE($I83))),1)*1440,0))),""))</f>
        <v/>
      </c>
      <c r="X83" s="55" t="str">
        <f aca="false">IF($P83="","",IFERROR(IF(ISNUMBER($P83),IF($P83&gt;19000000,DATE(INT($P83/10000),MOD(INT($P83/100),100),MOD($P83,100)),INT($P83)),IF(LEN(SUBSTITUTE(SUBSTITUTE(SUBSTITUTE(TRIM($P83),"-",""),".",""),"/",""))=8,DATE(VALUE(LEFT(SUBSTITUTE(SUBSTITUTE(SUBSTITUTE(TRIM($P83),"-",""),".",""),"/",""),4)),VALUE(MID(SUBSTITUTE(SUBSTITUTE(SUBSTITUTE(TRIM($P83),"-",""),".",""),"/",""),5,2)),VALUE(RIGHT(SUBSTITUTE(SUBSTITUTE(SUBSTITUTE(TRIM($P83),"-",""),".",""),"/",""),2))),DATEVALUE($P83))),""))</f>
        <v/>
      </c>
      <c r="Y83" s="56" t="str">
        <f aca="false">IF($M83="","",IFERROR(INDEX(강사DB!$D$4:$D$53,MATCH($M83,강사DB!$A$4:$A$53,0)),""))</f>
        <v/>
      </c>
      <c r="Z83" s="56" t="str">
        <f aca="false">IF($B83&lt;&gt;"결제완료","",IF(OR($Y83="",$J83=""),"",$Y83*$J83+MAX(0,N($K83)-1)*설정!$J$7))</f>
        <v/>
      </c>
      <c r="AA83" s="56" t="str">
        <f aca="false">IF(AND($D83&lt;&gt;"",$B83="결제완료"),N($N83),"")</f>
        <v/>
      </c>
      <c r="AB83" s="45" t="str">
        <f aca="false">IF($D83="","",IF($F83&lt;&gt;"",$F83,$D83)&amp;IF($B83="상담중"," (상담)",""))</f>
        <v/>
      </c>
      <c r="AC83" s="45" t="n">
        <f aca="false">IF(AND($D83&lt;&gt;"",OR($B83="결제완료",$B83="상담중")),1,0)</f>
        <v>0</v>
      </c>
      <c r="AD83" s="45" t="n">
        <f aca="false">IF(OR($Z83="",$U83=""),0,IFERROR(IF(COUNTIFS(INDEX(g_grid,0,2*MATCH($M83,강사DB!$A$4:$A$15,0)),"&lt;&gt;",g_s,"&lt;="&amp;$U83,g_e,"&gt;="&amp;$U83)&gt;0,1,0),0))</f>
        <v>0</v>
      </c>
      <c r="AE83" s="48"/>
      <c r="AF83" s="56" t="str">
        <f aca="false">IF(AND($D83&lt;&gt;"",$B83="결제완료",$T83="대여"),설정!$J$5,"")</f>
        <v/>
      </c>
      <c r="AG83" s="54" t="str">
        <f aca="false">IF($D83="","",IF(AND($E83="",$R83=""),$AB83,"☎ "&amp;IF($E83="","-",$E83)&amp;IF($R83&lt;&gt;"","  ※ "&amp;$R83,"")&amp;IF($B83="상담중"," (상담)","")))</f>
        <v/>
      </c>
      <c r="AH83" s="56" t="str">
        <f aca="false">IF(AND($D83&lt;&gt;"",$B83="결제완료",$O83="스마트스토어"),ROUND(N($N83)*설정!$J$6,0),"")</f>
        <v/>
      </c>
      <c r="AI83" s="54" t="str">
        <f aca="false">IF($D83="","",ROW())</f>
        <v/>
      </c>
      <c r="AJ83" s="54" t="n">
        <f aca="false">IF(OR($AC83&lt;&gt;1,$M83=""),0,IF(ISNUMBER(SEARCH("퇴사",IFERROR(INDEX(강사DB!$G$4:$G$53,MATCH($M83,강사DB!$A$4:$A$53,0)),""))),1,0))</f>
        <v>0</v>
      </c>
    </row>
    <row r="84" customFormat="false" ht="15" hidden="false" customHeight="false" outlineLevel="0" collapsed="false">
      <c r="A84" s="45" t="str">
        <f aca="false">IF($D84="","",COUNTA($D$5:$D84))</f>
        <v/>
      </c>
      <c r="B84" s="46"/>
      <c r="C84" s="47"/>
      <c r="D84" s="48"/>
      <c r="E84" s="48"/>
      <c r="F84" s="49"/>
      <c r="G84" s="47"/>
      <c r="H84" s="50"/>
      <c r="I84" s="50"/>
      <c r="J84" s="51" t="str">
        <f aca="false">IF(OR($V84="",$W84=""),"",ROUND(($W84-$V84)/60,2))</f>
        <v/>
      </c>
      <c r="K84" s="52" t="str">
        <f aca="false">IF($F84="","",LEN($F84)-LEN(SUBSTITUTE($F84,",",""))+1)</f>
        <v/>
      </c>
      <c r="L84" s="45" t="str">
        <f aca="false">IF($K84="","","1:"&amp;$K84)</f>
        <v/>
      </c>
      <c r="M84" s="46"/>
      <c r="N84" s="53"/>
      <c r="O84" s="46"/>
      <c r="P84" s="47"/>
      <c r="Q84" s="48"/>
      <c r="R84" s="49"/>
      <c r="S84" s="54" t="str">
        <f aca="false">IF(OR($AC84=0,$U84="",$M84="",$V84="",$W84=""),"",IF(COUNTIFS(m_teacher,$M84,m_date,$U84,m_active,1,m_start,"&lt;"&amp;$W84,m_end,"&gt;"&amp;$V84)&gt;1,"충돌",""))</f>
        <v/>
      </c>
      <c r="T84" s="48"/>
      <c r="U84" s="55" t="str">
        <f aca="false">IF($G84="","",IFERROR(IF(ISNUMBER($G84),IF($G84&gt;19000000,DATE(INT($G84/10000),MOD(INT($G84/100),100),MOD($G84,100)),INT($G84)),IF(LEN(SUBSTITUTE(SUBSTITUTE(SUBSTITUTE(TRIM($G84),"-",""),".",""),"/",""))=8,DATE(VALUE(LEFT(SUBSTITUTE(SUBSTITUTE(SUBSTITUTE(TRIM($G84),"-",""),".",""),"/",""),4)),VALUE(MID(SUBSTITUTE(SUBSTITUTE(SUBSTITUTE(TRIM($G84),"-",""),".",""),"/",""),5,2)),VALUE(RIGHT(SUBSTITUTE(SUBSTITUTE(SUBSTITUTE(TRIM($G84),"-",""),".",""),"/",""),2))),DATEVALUE($G84))),""))</f>
        <v/>
      </c>
      <c r="V84" s="52" t="str">
        <f aca="false">IF($H84="","",IFERROR(IF(IF(ISNUMBER($H84),$H84,IFERROR(TIMEVALUE($H84),VALUE($H84)))&gt;=100,INT(IF(ISNUMBER($H84),$H84,IFERROR(TIMEVALUE($H84),VALUE($H84)))/100)*60+MOD(IF(ISNUMBER($H84),$H84,IFERROR(TIMEVALUE($H84),VALUE($H84))),100),IF(IF(ISNUMBER($H84),$H84,IFERROR(TIMEVALUE($H84),VALUE($H84)))&gt;=1,ROUND(IF(ISNUMBER($H84),$H84,IFERROR(TIMEVALUE($H84),VALUE($H84)))*60,0),ROUND(MOD(IF(ISNUMBER($H84),$H84,IFERROR(TIMEVALUE($H84),VALUE($H84))),1)*1440,0))),""))</f>
        <v/>
      </c>
      <c r="W84" s="52" t="str">
        <f aca="false">IF($I84="","",IFERROR(IF(IF(ISNUMBER($I84),$I84,IFERROR(TIMEVALUE($I84),VALUE($I84)))&gt;=100,INT(IF(ISNUMBER($I84),$I84,IFERROR(TIMEVALUE($I84),VALUE($I84)))/100)*60+MOD(IF(ISNUMBER($I84),$I84,IFERROR(TIMEVALUE($I84),VALUE($I84))),100),IF(IF(ISNUMBER($I84),$I84,IFERROR(TIMEVALUE($I84),VALUE($I84)))&gt;=1,ROUND(IF(ISNUMBER($I84),$I84,IFERROR(TIMEVALUE($I84),VALUE($I84)))*60,0),ROUND(MOD(IF(ISNUMBER($I84),$I84,IFERROR(TIMEVALUE($I84),VALUE($I84))),1)*1440,0))),""))</f>
        <v/>
      </c>
      <c r="X84" s="55" t="str">
        <f aca="false">IF($P84="","",IFERROR(IF(ISNUMBER($P84),IF($P84&gt;19000000,DATE(INT($P84/10000),MOD(INT($P84/100),100),MOD($P84,100)),INT($P84)),IF(LEN(SUBSTITUTE(SUBSTITUTE(SUBSTITUTE(TRIM($P84),"-",""),".",""),"/",""))=8,DATE(VALUE(LEFT(SUBSTITUTE(SUBSTITUTE(SUBSTITUTE(TRIM($P84),"-",""),".",""),"/",""),4)),VALUE(MID(SUBSTITUTE(SUBSTITUTE(SUBSTITUTE(TRIM($P84),"-",""),".",""),"/",""),5,2)),VALUE(RIGHT(SUBSTITUTE(SUBSTITUTE(SUBSTITUTE(TRIM($P84),"-",""),".",""),"/",""),2))),DATEVALUE($P84))),""))</f>
        <v/>
      </c>
      <c r="Y84" s="56" t="str">
        <f aca="false">IF($M84="","",IFERROR(INDEX(강사DB!$D$4:$D$53,MATCH($M84,강사DB!$A$4:$A$53,0)),""))</f>
        <v/>
      </c>
      <c r="Z84" s="56" t="str">
        <f aca="false">IF($B84&lt;&gt;"결제완료","",IF(OR($Y84="",$J84=""),"",$Y84*$J84+MAX(0,N($K84)-1)*설정!$J$7))</f>
        <v/>
      </c>
      <c r="AA84" s="56" t="str">
        <f aca="false">IF(AND($D84&lt;&gt;"",$B84="결제완료"),N($N84),"")</f>
        <v/>
      </c>
      <c r="AB84" s="45" t="str">
        <f aca="false">IF($D84="","",IF($F84&lt;&gt;"",$F84,$D84)&amp;IF($B84="상담중"," (상담)",""))</f>
        <v/>
      </c>
      <c r="AC84" s="45" t="n">
        <f aca="false">IF(AND($D84&lt;&gt;"",OR($B84="결제완료",$B84="상담중")),1,0)</f>
        <v>0</v>
      </c>
      <c r="AD84" s="45" t="n">
        <f aca="false">IF(OR($Z84="",$U84=""),0,IFERROR(IF(COUNTIFS(INDEX(g_grid,0,2*MATCH($M84,강사DB!$A$4:$A$15,0)),"&lt;&gt;",g_s,"&lt;="&amp;$U84,g_e,"&gt;="&amp;$U84)&gt;0,1,0),0))</f>
        <v>0</v>
      </c>
      <c r="AE84" s="48"/>
      <c r="AF84" s="56" t="str">
        <f aca="false">IF(AND($D84&lt;&gt;"",$B84="결제완료",$T84="대여"),설정!$J$5,"")</f>
        <v/>
      </c>
      <c r="AG84" s="54" t="str">
        <f aca="false">IF($D84="","",IF(AND($E84="",$R84=""),$AB84,"☎ "&amp;IF($E84="","-",$E84)&amp;IF($R84&lt;&gt;"","  ※ "&amp;$R84,"")&amp;IF($B84="상담중"," (상담)","")))</f>
        <v/>
      </c>
      <c r="AH84" s="56" t="str">
        <f aca="false">IF(AND($D84&lt;&gt;"",$B84="결제완료",$O84="스마트스토어"),ROUND(N($N84)*설정!$J$6,0),"")</f>
        <v/>
      </c>
      <c r="AI84" s="54" t="str">
        <f aca="false">IF($D84="","",ROW())</f>
        <v/>
      </c>
      <c r="AJ84" s="54" t="n">
        <f aca="false">IF(OR($AC84&lt;&gt;1,$M84=""),0,IF(ISNUMBER(SEARCH("퇴사",IFERROR(INDEX(강사DB!$G$4:$G$53,MATCH($M84,강사DB!$A$4:$A$53,0)),""))),1,0))</f>
        <v>0</v>
      </c>
    </row>
    <row r="85" customFormat="false" ht="15" hidden="false" customHeight="false" outlineLevel="0" collapsed="false">
      <c r="A85" s="45" t="str">
        <f aca="false">IF($D85="","",COUNTA($D$5:$D85))</f>
        <v/>
      </c>
      <c r="B85" s="46"/>
      <c r="C85" s="47"/>
      <c r="D85" s="48"/>
      <c r="E85" s="48"/>
      <c r="F85" s="49"/>
      <c r="G85" s="47"/>
      <c r="H85" s="50"/>
      <c r="I85" s="50"/>
      <c r="J85" s="51" t="str">
        <f aca="false">IF(OR($V85="",$W85=""),"",ROUND(($W85-$V85)/60,2))</f>
        <v/>
      </c>
      <c r="K85" s="52" t="str">
        <f aca="false">IF($F85="","",LEN($F85)-LEN(SUBSTITUTE($F85,",",""))+1)</f>
        <v/>
      </c>
      <c r="L85" s="45" t="str">
        <f aca="false">IF($K85="","","1:"&amp;$K85)</f>
        <v/>
      </c>
      <c r="M85" s="46"/>
      <c r="N85" s="53"/>
      <c r="O85" s="46"/>
      <c r="P85" s="47"/>
      <c r="Q85" s="48"/>
      <c r="R85" s="49"/>
      <c r="S85" s="54" t="str">
        <f aca="false">IF(OR($AC85=0,$U85="",$M85="",$V85="",$W85=""),"",IF(COUNTIFS(m_teacher,$M85,m_date,$U85,m_active,1,m_start,"&lt;"&amp;$W85,m_end,"&gt;"&amp;$V85)&gt;1,"충돌",""))</f>
        <v/>
      </c>
      <c r="T85" s="48"/>
      <c r="U85" s="55" t="str">
        <f aca="false">IF($G85="","",IFERROR(IF(ISNUMBER($G85),IF($G85&gt;19000000,DATE(INT($G85/10000),MOD(INT($G85/100),100),MOD($G85,100)),INT($G85)),IF(LEN(SUBSTITUTE(SUBSTITUTE(SUBSTITUTE(TRIM($G85),"-",""),".",""),"/",""))=8,DATE(VALUE(LEFT(SUBSTITUTE(SUBSTITUTE(SUBSTITUTE(TRIM($G85),"-",""),".",""),"/",""),4)),VALUE(MID(SUBSTITUTE(SUBSTITUTE(SUBSTITUTE(TRIM($G85),"-",""),".",""),"/",""),5,2)),VALUE(RIGHT(SUBSTITUTE(SUBSTITUTE(SUBSTITUTE(TRIM($G85),"-",""),".",""),"/",""),2))),DATEVALUE($G85))),""))</f>
        <v/>
      </c>
      <c r="V85" s="52" t="str">
        <f aca="false">IF($H85="","",IFERROR(IF(IF(ISNUMBER($H85),$H85,IFERROR(TIMEVALUE($H85),VALUE($H85)))&gt;=100,INT(IF(ISNUMBER($H85),$H85,IFERROR(TIMEVALUE($H85),VALUE($H85)))/100)*60+MOD(IF(ISNUMBER($H85),$H85,IFERROR(TIMEVALUE($H85),VALUE($H85))),100),IF(IF(ISNUMBER($H85),$H85,IFERROR(TIMEVALUE($H85),VALUE($H85)))&gt;=1,ROUND(IF(ISNUMBER($H85),$H85,IFERROR(TIMEVALUE($H85),VALUE($H85)))*60,0),ROUND(MOD(IF(ISNUMBER($H85),$H85,IFERROR(TIMEVALUE($H85),VALUE($H85))),1)*1440,0))),""))</f>
        <v/>
      </c>
      <c r="W85" s="52" t="str">
        <f aca="false">IF($I85="","",IFERROR(IF(IF(ISNUMBER($I85),$I85,IFERROR(TIMEVALUE($I85),VALUE($I85)))&gt;=100,INT(IF(ISNUMBER($I85),$I85,IFERROR(TIMEVALUE($I85),VALUE($I85)))/100)*60+MOD(IF(ISNUMBER($I85),$I85,IFERROR(TIMEVALUE($I85),VALUE($I85))),100),IF(IF(ISNUMBER($I85),$I85,IFERROR(TIMEVALUE($I85),VALUE($I85)))&gt;=1,ROUND(IF(ISNUMBER($I85),$I85,IFERROR(TIMEVALUE($I85),VALUE($I85)))*60,0),ROUND(MOD(IF(ISNUMBER($I85),$I85,IFERROR(TIMEVALUE($I85),VALUE($I85))),1)*1440,0))),""))</f>
        <v/>
      </c>
      <c r="X85" s="55" t="str">
        <f aca="false">IF($P85="","",IFERROR(IF(ISNUMBER($P85),IF($P85&gt;19000000,DATE(INT($P85/10000),MOD(INT($P85/100),100),MOD($P85,100)),INT($P85)),IF(LEN(SUBSTITUTE(SUBSTITUTE(SUBSTITUTE(TRIM($P85),"-",""),".",""),"/",""))=8,DATE(VALUE(LEFT(SUBSTITUTE(SUBSTITUTE(SUBSTITUTE(TRIM($P85),"-",""),".",""),"/",""),4)),VALUE(MID(SUBSTITUTE(SUBSTITUTE(SUBSTITUTE(TRIM($P85),"-",""),".",""),"/",""),5,2)),VALUE(RIGHT(SUBSTITUTE(SUBSTITUTE(SUBSTITUTE(TRIM($P85),"-",""),".",""),"/",""),2))),DATEVALUE($P85))),""))</f>
        <v/>
      </c>
      <c r="Y85" s="56" t="str">
        <f aca="false">IF($M85="","",IFERROR(INDEX(강사DB!$D$4:$D$53,MATCH($M85,강사DB!$A$4:$A$53,0)),""))</f>
        <v/>
      </c>
      <c r="Z85" s="56" t="str">
        <f aca="false">IF($B85&lt;&gt;"결제완료","",IF(OR($Y85="",$J85=""),"",$Y85*$J85+MAX(0,N($K85)-1)*설정!$J$7))</f>
        <v/>
      </c>
      <c r="AA85" s="56" t="str">
        <f aca="false">IF(AND($D85&lt;&gt;"",$B85="결제완료"),N($N85),"")</f>
        <v/>
      </c>
      <c r="AB85" s="45" t="str">
        <f aca="false">IF($D85="","",IF($F85&lt;&gt;"",$F85,$D85)&amp;IF($B85="상담중"," (상담)",""))</f>
        <v/>
      </c>
      <c r="AC85" s="45" t="n">
        <f aca="false">IF(AND($D85&lt;&gt;"",OR($B85="결제완료",$B85="상담중")),1,0)</f>
        <v>0</v>
      </c>
      <c r="AD85" s="45" t="n">
        <f aca="false">IF(OR($Z85="",$U85=""),0,IFERROR(IF(COUNTIFS(INDEX(g_grid,0,2*MATCH($M85,강사DB!$A$4:$A$15,0)),"&lt;&gt;",g_s,"&lt;="&amp;$U85,g_e,"&gt;="&amp;$U85)&gt;0,1,0),0))</f>
        <v>0</v>
      </c>
      <c r="AE85" s="48"/>
      <c r="AF85" s="56" t="str">
        <f aca="false">IF(AND($D85&lt;&gt;"",$B85="결제완료",$T85="대여"),설정!$J$5,"")</f>
        <v/>
      </c>
      <c r="AG85" s="54" t="str">
        <f aca="false">IF($D85="","",IF(AND($E85="",$R85=""),$AB85,"☎ "&amp;IF($E85="","-",$E85)&amp;IF($R85&lt;&gt;"","  ※ "&amp;$R85,"")&amp;IF($B85="상담중"," (상담)","")))</f>
        <v/>
      </c>
      <c r="AH85" s="56" t="str">
        <f aca="false">IF(AND($D85&lt;&gt;"",$B85="결제완료",$O85="스마트스토어"),ROUND(N($N85)*설정!$J$6,0),"")</f>
        <v/>
      </c>
      <c r="AI85" s="54" t="str">
        <f aca="false">IF($D85="","",ROW())</f>
        <v/>
      </c>
      <c r="AJ85" s="54" t="n">
        <f aca="false">IF(OR($AC85&lt;&gt;1,$M85=""),0,IF(ISNUMBER(SEARCH("퇴사",IFERROR(INDEX(강사DB!$G$4:$G$53,MATCH($M85,강사DB!$A$4:$A$53,0)),""))),1,0))</f>
        <v>0</v>
      </c>
    </row>
    <row r="86" customFormat="false" ht="15" hidden="false" customHeight="false" outlineLevel="0" collapsed="false">
      <c r="A86" s="45" t="str">
        <f aca="false">IF($D86="","",COUNTA($D$5:$D86))</f>
        <v/>
      </c>
      <c r="B86" s="46"/>
      <c r="C86" s="47"/>
      <c r="D86" s="48"/>
      <c r="E86" s="48"/>
      <c r="F86" s="49"/>
      <c r="G86" s="47"/>
      <c r="H86" s="50"/>
      <c r="I86" s="50"/>
      <c r="J86" s="51" t="str">
        <f aca="false">IF(OR($V86="",$W86=""),"",ROUND(($W86-$V86)/60,2))</f>
        <v/>
      </c>
      <c r="K86" s="52" t="str">
        <f aca="false">IF($F86="","",LEN($F86)-LEN(SUBSTITUTE($F86,",",""))+1)</f>
        <v/>
      </c>
      <c r="L86" s="45" t="str">
        <f aca="false">IF($K86="","","1:"&amp;$K86)</f>
        <v/>
      </c>
      <c r="M86" s="46"/>
      <c r="N86" s="53"/>
      <c r="O86" s="46"/>
      <c r="P86" s="47"/>
      <c r="Q86" s="48"/>
      <c r="R86" s="49"/>
      <c r="S86" s="54" t="str">
        <f aca="false">IF(OR($AC86=0,$U86="",$M86="",$V86="",$W86=""),"",IF(COUNTIFS(m_teacher,$M86,m_date,$U86,m_active,1,m_start,"&lt;"&amp;$W86,m_end,"&gt;"&amp;$V86)&gt;1,"충돌",""))</f>
        <v/>
      </c>
      <c r="T86" s="48"/>
      <c r="U86" s="55" t="str">
        <f aca="false">IF($G86="","",IFERROR(IF(ISNUMBER($G86),IF($G86&gt;19000000,DATE(INT($G86/10000),MOD(INT($G86/100),100),MOD($G86,100)),INT($G86)),IF(LEN(SUBSTITUTE(SUBSTITUTE(SUBSTITUTE(TRIM($G86),"-",""),".",""),"/",""))=8,DATE(VALUE(LEFT(SUBSTITUTE(SUBSTITUTE(SUBSTITUTE(TRIM($G86),"-",""),".",""),"/",""),4)),VALUE(MID(SUBSTITUTE(SUBSTITUTE(SUBSTITUTE(TRIM($G86),"-",""),".",""),"/",""),5,2)),VALUE(RIGHT(SUBSTITUTE(SUBSTITUTE(SUBSTITUTE(TRIM($G86),"-",""),".",""),"/",""),2))),DATEVALUE($G86))),""))</f>
        <v/>
      </c>
      <c r="V86" s="52" t="str">
        <f aca="false">IF($H86="","",IFERROR(IF(IF(ISNUMBER($H86),$H86,IFERROR(TIMEVALUE($H86),VALUE($H86)))&gt;=100,INT(IF(ISNUMBER($H86),$H86,IFERROR(TIMEVALUE($H86),VALUE($H86)))/100)*60+MOD(IF(ISNUMBER($H86),$H86,IFERROR(TIMEVALUE($H86),VALUE($H86))),100),IF(IF(ISNUMBER($H86),$H86,IFERROR(TIMEVALUE($H86),VALUE($H86)))&gt;=1,ROUND(IF(ISNUMBER($H86),$H86,IFERROR(TIMEVALUE($H86),VALUE($H86)))*60,0),ROUND(MOD(IF(ISNUMBER($H86),$H86,IFERROR(TIMEVALUE($H86),VALUE($H86))),1)*1440,0))),""))</f>
        <v/>
      </c>
      <c r="W86" s="52" t="str">
        <f aca="false">IF($I86="","",IFERROR(IF(IF(ISNUMBER($I86),$I86,IFERROR(TIMEVALUE($I86),VALUE($I86)))&gt;=100,INT(IF(ISNUMBER($I86),$I86,IFERROR(TIMEVALUE($I86),VALUE($I86)))/100)*60+MOD(IF(ISNUMBER($I86),$I86,IFERROR(TIMEVALUE($I86),VALUE($I86))),100),IF(IF(ISNUMBER($I86),$I86,IFERROR(TIMEVALUE($I86),VALUE($I86)))&gt;=1,ROUND(IF(ISNUMBER($I86),$I86,IFERROR(TIMEVALUE($I86),VALUE($I86)))*60,0),ROUND(MOD(IF(ISNUMBER($I86),$I86,IFERROR(TIMEVALUE($I86),VALUE($I86))),1)*1440,0))),""))</f>
        <v/>
      </c>
      <c r="X86" s="55" t="str">
        <f aca="false">IF($P86="","",IFERROR(IF(ISNUMBER($P86),IF($P86&gt;19000000,DATE(INT($P86/10000),MOD(INT($P86/100),100),MOD($P86,100)),INT($P86)),IF(LEN(SUBSTITUTE(SUBSTITUTE(SUBSTITUTE(TRIM($P86),"-",""),".",""),"/",""))=8,DATE(VALUE(LEFT(SUBSTITUTE(SUBSTITUTE(SUBSTITUTE(TRIM($P86),"-",""),".",""),"/",""),4)),VALUE(MID(SUBSTITUTE(SUBSTITUTE(SUBSTITUTE(TRIM($P86),"-",""),".",""),"/",""),5,2)),VALUE(RIGHT(SUBSTITUTE(SUBSTITUTE(SUBSTITUTE(TRIM($P86),"-",""),".",""),"/",""),2))),DATEVALUE($P86))),""))</f>
        <v/>
      </c>
      <c r="Y86" s="56" t="str">
        <f aca="false">IF($M86="","",IFERROR(INDEX(강사DB!$D$4:$D$53,MATCH($M86,강사DB!$A$4:$A$53,0)),""))</f>
        <v/>
      </c>
      <c r="Z86" s="56" t="str">
        <f aca="false">IF($B86&lt;&gt;"결제완료","",IF(OR($Y86="",$J86=""),"",$Y86*$J86+MAX(0,N($K86)-1)*설정!$J$7))</f>
        <v/>
      </c>
      <c r="AA86" s="56" t="str">
        <f aca="false">IF(AND($D86&lt;&gt;"",$B86="결제완료"),N($N86),"")</f>
        <v/>
      </c>
      <c r="AB86" s="45" t="str">
        <f aca="false">IF($D86="","",IF($F86&lt;&gt;"",$F86,$D86)&amp;IF($B86="상담중"," (상담)",""))</f>
        <v/>
      </c>
      <c r="AC86" s="45" t="n">
        <f aca="false">IF(AND($D86&lt;&gt;"",OR($B86="결제완료",$B86="상담중")),1,0)</f>
        <v>0</v>
      </c>
      <c r="AD86" s="45" t="n">
        <f aca="false">IF(OR($Z86="",$U86=""),0,IFERROR(IF(COUNTIFS(INDEX(g_grid,0,2*MATCH($M86,강사DB!$A$4:$A$15,0)),"&lt;&gt;",g_s,"&lt;="&amp;$U86,g_e,"&gt;="&amp;$U86)&gt;0,1,0),0))</f>
        <v>0</v>
      </c>
      <c r="AE86" s="48"/>
      <c r="AF86" s="56" t="str">
        <f aca="false">IF(AND($D86&lt;&gt;"",$B86="결제완료",$T86="대여"),설정!$J$5,"")</f>
        <v/>
      </c>
      <c r="AG86" s="54" t="str">
        <f aca="false">IF($D86="","",IF(AND($E86="",$R86=""),$AB86,"☎ "&amp;IF($E86="","-",$E86)&amp;IF($R86&lt;&gt;"","  ※ "&amp;$R86,"")&amp;IF($B86="상담중"," (상담)","")))</f>
        <v/>
      </c>
      <c r="AH86" s="56" t="str">
        <f aca="false">IF(AND($D86&lt;&gt;"",$B86="결제완료",$O86="스마트스토어"),ROUND(N($N86)*설정!$J$6,0),"")</f>
        <v/>
      </c>
      <c r="AI86" s="54" t="str">
        <f aca="false">IF($D86="","",ROW())</f>
        <v/>
      </c>
      <c r="AJ86" s="54" t="n">
        <f aca="false">IF(OR($AC86&lt;&gt;1,$M86=""),0,IF(ISNUMBER(SEARCH("퇴사",IFERROR(INDEX(강사DB!$G$4:$G$53,MATCH($M86,강사DB!$A$4:$A$53,0)),""))),1,0))</f>
        <v>0</v>
      </c>
    </row>
    <row r="87" customFormat="false" ht="15" hidden="false" customHeight="false" outlineLevel="0" collapsed="false">
      <c r="A87" s="45" t="str">
        <f aca="false">IF($D87="","",COUNTA($D$5:$D87))</f>
        <v/>
      </c>
      <c r="B87" s="46"/>
      <c r="C87" s="47"/>
      <c r="D87" s="48"/>
      <c r="E87" s="48"/>
      <c r="F87" s="49"/>
      <c r="G87" s="47"/>
      <c r="H87" s="50"/>
      <c r="I87" s="50"/>
      <c r="J87" s="51" t="str">
        <f aca="false">IF(OR($V87="",$W87=""),"",ROUND(($W87-$V87)/60,2))</f>
        <v/>
      </c>
      <c r="K87" s="52" t="str">
        <f aca="false">IF($F87="","",LEN($F87)-LEN(SUBSTITUTE($F87,",",""))+1)</f>
        <v/>
      </c>
      <c r="L87" s="45" t="str">
        <f aca="false">IF($K87="","","1:"&amp;$K87)</f>
        <v/>
      </c>
      <c r="M87" s="46"/>
      <c r="N87" s="53"/>
      <c r="O87" s="46"/>
      <c r="P87" s="47"/>
      <c r="Q87" s="48"/>
      <c r="R87" s="49"/>
      <c r="S87" s="54" t="str">
        <f aca="false">IF(OR($AC87=0,$U87="",$M87="",$V87="",$W87=""),"",IF(COUNTIFS(m_teacher,$M87,m_date,$U87,m_active,1,m_start,"&lt;"&amp;$W87,m_end,"&gt;"&amp;$V87)&gt;1,"충돌",""))</f>
        <v/>
      </c>
      <c r="T87" s="48"/>
      <c r="U87" s="55" t="str">
        <f aca="false">IF($G87="","",IFERROR(IF(ISNUMBER($G87),IF($G87&gt;19000000,DATE(INT($G87/10000),MOD(INT($G87/100),100),MOD($G87,100)),INT($G87)),IF(LEN(SUBSTITUTE(SUBSTITUTE(SUBSTITUTE(TRIM($G87),"-",""),".",""),"/",""))=8,DATE(VALUE(LEFT(SUBSTITUTE(SUBSTITUTE(SUBSTITUTE(TRIM($G87),"-",""),".",""),"/",""),4)),VALUE(MID(SUBSTITUTE(SUBSTITUTE(SUBSTITUTE(TRIM($G87),"-",""),".",""),"/",""),5,2)),VALUE(RIGHT(SUBSTITUTE(SUBSTITUTE(SUBSTITUTE(TRIM($G87),"-",""),".",""),"/",""),2))),DATEVALUE($G87))),""))</f>
        <v/>
      </c>
      <c r="V87" s="52" t="str">
        <f aca="false">IF($H87="","",IFERROR(IF(IF(ISNUMBER($H87),$H87,IFERROR(TIMEVALUE($H87),VALUE($H87)))&gt;=100,INT(IF(ISNUMBER($H87),$H87,IFERROR(TIMEVALUE($H87),VALUE($H87)))/100)*60+MOD(IF(ISNUMBER($H87),$H87,IFERROR(TIMEVALUE($H87),VALUE($H87))),100),IF(IF(ISNUMBER($H87),$H87,IFERROR(TIMEVALUE($H87),VALUE($H87)))&gt;=1,ROUND(IF(ISNUMBER($H87),$H87,IFERROR(TIMEVALUE($H87),VALUE($H87)))*60,0),ROUND(MOD(IF(ISNUMBER($H87),$H87,IFERROR(TIMEVALUE($H87),VALUE($H87))),1)*1440,0))),""))</f>
        <v/>
      </c>
      <c r="W87" s="52" t="str">
        <f aca="false">IF($I87="","",IFERROR(IF(IF(ISNUMBER($I87),$I87,IFERROR(TIMEVALUE($I87),VALUE($I87)))&gt;=100,INT(IF(ISNUMBER($I87),$I87,IFERROR(TIMEVALUE($I87),VALUE($I87)))/100)*60+MOD(IF(ISNUMBER($I87),$I87,IFERROR(TIMEVALUE($I87),VALUE($I87))),100),IF(IF(ISNUMBER($I87),$I87,IFERROR(TIMEVALUE($I87),VALUE($I87)))&gt;=1,ROUND(IF(ISNUMBER($I87),$I87,IFERROR(TIMEVALUE($I87),VALUE($I87)))*60,0),ROUND(MOD(IF(ISNUMBER($I87),$I87,IFERROR(TIMEVALUE($I87),VALUE($I87))),1)*1440,0))),""))</f>
        <v/>
      </c>
      <c r="X87" s="55" t="str">
        <f aca="false">IF($P87="","",IFERROR(IF(ISNUMBER($P87),IF($P87&gt;19000000,DATE(INT($P87/10000),MOD(INT($P87/100),100),MOD($P87,100)),INT($P87)),IF(LEN(SUBSTITUTE(SUBSTITUTE(SUBSTITUTE(TRIM($P87),"-",""),".",""),"/",""))=8,DATE(VALUE(LEFT(SUBSTITUTE(SUBSTITUTE(SUBSTITUTE(TRIM($P87),"-",""),".",""),"/",""),4)),VALUE(MID(SUBSTITUTE(SUBSTITUTE(SUBSTITUTE(TRIM($P87),"-",""),".",""),"/",""),5,2)),VALUE(RIGHT(SUBSTITUTE(SUBSTITUTE(SUBSTITUTE(TRIM($P87),"-",""),".",""),"/",""),2))),DATEVALUE($P87))),""))</f>
        <v/>
      </c>
      <c r="Y87" s="56" t="str">
        <f aca="false">IF($M87="","",IFERROR(INDEX(강사DB!$D$4:$D$53,MATCH($M87,강사DB!$A$4:$A$53,0)),""))</f>
        <v/>
      </c>
      <c r="Z87" s="56" t="str">
        <f aca="false">IF($B87&lt;&gt;"결제완료","",IF(OR($Y87="",$J87=""),"",$Y87*$J87+MAX(0,N($K87)-1)*설정!$J$7))</f>
        <v/>
      </c>
      <c r="AA87" s="56" t="str">
        <f aca="false">IF(AND($D87&lt;&gt;"",$B87="결제완료"),N($N87),"")</f>
        <v/>
      </c>
      <c r="AB87" s="45" t="str">
        <f aca="false">IF($D87="","",IF($F87&lt;&gt;"",$F87,$D87)&amp;IF($B87="상담중"," (상담)",""))</f>
        <v/>
      </c>
      <c r="AC87" s="45" t="n">
        <f aca="false">IF(AND($D87&lt;&gt;"",OR($B87="결제완료",$B87="상담중")),1,0)</f>
        <v>0</v>
      </c>
      <c r="AD87" s="45" t="n">
        <f aca="false">IF(OR($Z87="",$U87=""),0,IFERROR(IF(COUNTIFS(INDEX(g_grid,0,2*MATCH($M87,강사DB!$A$4:$A$15,0)),"&lt;&gt;",g_s,"&lt;="&amp;$U87,g_e,"&gt;="&amp;$U87)&gt;0,1,0),0))</f>
        <v>0</v>
      </c>
      <c r="AE87" s="48"/>
      <c r="AF87" s="56" t="str">
        <f aca="false">IF(AND($D87&lt;&gt;"",$B87="결제완료",$T87="대여"),설정!$J$5,"")</f>
        <v/>
      </c>
      <c r="AG87" s="54" t="str">
        <f aca="false">IF($D87="","",IF(AND($E87="",$R87=""),$AB87,"☎ "&amp;IF($E87="","-",$E87)&amp;IF($R87&lt;&gt;"","  ※ "&amp;$R87,"")&amp;IF($B87="상담중"," (상담)","")))</f>
        <v/>
      </c>
      <c r="AH87" s="56" t="str">
        <f aca="false">IF(AND($D87&lt;&gt;"",$B87="결제완료",$O87="스마트스토어"),ROUND(N($N87)*설정!$J$6,0),"")</f>
        <v/>
      </c>
      <c r="AI87" s="54" t="str">
        <f aca="false">IF($D87="","",ROW())</f>
        <v/>
      </c>
      <c r="AJ87" s="54" t="n">
        <f aca="false">IF(OR($AC87&lt;&gt;1,$M87=""),0,IF(ISNUMBER(SEARCH("퇴사",IFERROR(INDEX(강사DB!$G$4:$G$53,MATCH($M87,강사DB!$A$4:$A$53,0)),""))),1,0))</f>
        <v>0</v>
      </c>
    </row>
    <row r="88" customFormat="false" ht="15" hidden="false" customHeight="false" outlineLevel="0" collapsed="false">
      <c r="A88" s="45" t="str">
        <f aca="false">IF($D88="","",COUNTA($D$5:$D88))</f>
        <v/>
      </c>
      <c r="B88" s="46"/>
      <c r="C88" s="47"/>
      <c r="D88" s="48"/>
      <c r="E88" s="48"/>
      <c r="F88" s="49"/>
      <c r="G88" s="47"/>
      <c r="H88" s="50"/>
      <c r="I88" s="50"/>
      <c r="J88" s="51" t="str">
        <f aca="false">IF(OR($V88="",$W88=""),"",ROUND(($W88-$V88)/60,2))</f>
        <v/>
      </c>
      <c r="K88" s="52" t="str">
        <f aca="false">IF($F88="","",LEN($F88)-LEN(SUBSTITUTE($F88,",",""))+1)</f>
        <v/>
      </c>
      <c r="L88" s="45" t="str">
        <f aca="false">IF($K88="","","1:"&amp;$K88)</f>
        <v/>
      </c>
      <c r="M88" s="46"/>
      <c r="N88" s="53"/>
      <c r="O88" s="46"/>
      <c r="P88" s="47"/>
      <c r="Q88" s="48"/>
      <c r="R88" s="49"/>
      <c r="S88" s="54" t="str">
        <f aca="false">IF(OR($AC88=0,$U88="",$M88="",$V88="",$W88=""),"",IF(COUNTIFS(m_teacher,$M88,m_date,$U88,m_active,1,m_start,"&lt;"&amp;$W88,m_end,"&gt;"&amp;$V88)&gt;1,"충돌",""))</f>
        <v/>
      </c>
      <c r="T88" s="48"/>
      <c r="U88" s="55" t="str">
        <f aca="false">IF($G88="","",IFERROR(IF(ISNUMBER($G88),IF($G88&gt;19000000,DATE(INT($G88/10000),MOD(INT($G88/100),100),MOD($G88,100)),INT($G88)),IF(LEN(SUBSTITUTE(SUBSTITUTE(SUBSTITUTE(TRIM($G88),"-",""),".",""),"/",""))=8,DATE(VALUE(LEFT(SUBSTITUTE(SUBSTITUTE(SUBSTITUTE(TRIM($G88),"-",""),".",""),"/",""),4)),VALUE(MID(SUBSTITUTE(SUBSTITUTE(SUBSTITUTE(TRIM($G88),"-",""),".",""),"/",""),5,2)),VALUE(RIGHT(SUBSTITUTE(SUBSTITUTE(SUBSTITUTE(TRIM($G88),"-",""),".",""),"/",""),2))),DATEVALUE($G88))),""))</f>
        <v/>
      </c>
      <c r="V88" s="52" t="str">
        <f aca="false">IF($H88="","",IFERROR(IF(IF(ISNUMBER($H88),$H88,IFERROR(TIMEVALUE($H88),VALUE($H88)))&gt;=100,INT(IF(ISNUMBER($H88),$H88,IFERROR(TIMEVALUE($H88),VALUE($H88)))/100)*60+MOD(IF(ISNUMBER($H88),$H88,IFERROR(TIMEVALUE($H88),VALUE($H88))),100),IF(IF(ISNUMBER($H88),$H88,IFERROR(TIMEVALUE($H88),VALUE($H88)))&gt;=1,ROUND(IF(ISNUMBER($H88),$H88,IFERROR(TIMEVALUE($H88),VALUE($H88)))*60,0),ROUND(MOD(IF(ISNUMBER($H88),$H88,IFERROR(TIMEVALUE($H88),VALUE($H88))),1)*1440,0))),""))</f>
        <v/>
      </c>
      <c r="W88" s="52" t="str">
        <f aca="false">IF($I88="","",IFERROR(IF(IF(ISNUMBER($I88),$I88,IFERROR(TIMEVALUE($I88),VALUE($I88)))&gt;=100,INT(IF(ISNUMBER($I88),$I88,IFERROR(TIMEVALUE($I88),VALUE($I88)))/100)*60+MOD(IF(ISNUMBER($I88),$I88,IFERROR(TIMEVALUE($I88),VALUE($I88))),100),IF(IF(ISNUMBER($I88),$I88,IFERROR(TIMEVALUE($I88),VALUE($I88)))&gt;=1,ROUND(IF(ISNUMBER($I88),$I88,IFERROR(TIMEVALUE($I88),VALUE($I88)))*60,0),ROUND(MOD(IF(ISNUMBER($I88),$I88,IFERROR(TIMEVALUE($I88),VALUE($I88))),1)*1440,0))),""))</f>
        <v/>
      </c>
      <c r="X88" s="55" t="str">
        <f aca="false">IF($P88="","",IFERROR(IF(ISNUMBER($P88),IF($P88&gt;19000000,DATE(INT($P88/10000),MOD(INT($P88/100),100),MOD($P88,100)),INT($P88)),IF(LEN(SUBSTITUTE(SUBSTITUTE(SUBSTITUTE(TRIM($P88),"-",""),".",""),"/",""))=8,DATE(VALUE(LEFT(SUBSTITUTE(SUBSTITUTE(SUBSTITUTE(TRIM($P88),"-",""),".",""),"/",""),4)),VALUE(MID(SUBSTITUTE(SUBSTITUTE(SUBSTITUTE(TRIM($P88),"-",""),".",""),"/",""),5,2)),VALUE(RIGHT(SUBSTITUTE(SUBSTITUTE(SUBSTITUTE(TRIM($P88),"-",""),".",""),"/",""),2))),DATEVALUE($P88))),""))</f>
        <v/>
      </c>
      <c r="Y88" s="56" t="str">
        <f aca="false">IF($M88="","",IFERROR(INDEX(강사DB!$D$4:$D$53,MATCH($M88,강사DB!$A$4:$A$53,0)),""))</f>
        <v/>
      </c>
      <c r="Z88" s="56" t="str">
        <f aca="false">IF($B88&lt;&gt;"결제완료","",IF(OR($Y88="",$J88=""),"",$Y88*$J88+MAX(0,N($K88)-1)*설정!$J$7))</f>
        <v/>
      </c>
      <c r="AA88" s="56" t="str">
        <f aca="false">IF(AND($D88&lt;&gt;"",$B88="결제완료"),N($N88),"")</f>
        <v/>
      </c>
      <c r="AB88" s="45" t="str">
        <f aca="false">IF($D88="","",IF($F88&lt;&gt;"",$F88,$D88)&amp;IF($B88="상담중"," (상담)",""))</f>
        <v/>
      </c>
      <c r="AC88" s="45" t="n">
        <f aca="false">IF(AND($D88&lt;&gt;"",OR($B88="결제완료",$B88="상담중")),1,0)</f>
        <v>0</v>
      </c>
      <c r="AD88" s="45" t="n">
        <f aca="false">IF(OR($Z88="",$U88=""),0,IFERROR(IF(COUNTIFS(INDEX(g_grid,0,2*MATCH($M88,강사DB!$A$4:$A$15,0)),"&lt;&gt;",g_s,"&lt;="&amp;$U88,g_e,"&gt;="&amp;$U88)&gt;0,1,0),0))</f>
        <v>0</v>
      </c>
      <c r="AE88" s="48"/>
      <c r="AF88" s="56" t="str">
        <f aca="false">IF(AND($D88&lt;&gt;"",$B88="결제완료",$T88="대여"),설정!$J$5,"")</f>
        <v/>
      </c>
      <c r="AG88" s="54" t="str">
        <f aca="false">IF($D88="","",IF(AND($E88="",$R88=""),$AB88,"☎ "&amp;IF($E88="","-",$E88)&amp;IF($R88&lt;&gt;"","  ※ "&amp;$R88,"")&amp;IF($B88="상담중"," (상담)","")))</f>
        <v/>
      </c>
      <c r="AH88" s="56" t="str">
        <f aca="false">IF(AND($D88&lt;&gt;"",$B88="결제완료",$O88="스마트스토어"),ROUND(N($N88)*설정!$J$6,0),"")</f>
        <v/>
      </c>
      <c r="AI88" s="54" t="str">
        <f aca="false">IF($D88="","",ROW())</f>
        <v/>
      </c>
      <c r="AJ88" s="54" t="n">
        <f aca="false">IF(OR($AC88&lt;&gt;1,$M88=""),0,IF(ISNUMBER(SEARCH("퇴사",IFERROR(INDEX(강사DB!$G$4:$G$53,MATCH($M88,강사DB!$A$4:$A$53,0)),""))),1,0))</f>
        <v>0</v>
      </c>
    </row>
    <row r="89" customFormat="false" ht="15" hidden="false" customHeight="false" outlineLevel="0" collapsed="false">
      <c r="A89" s="45" t="str">
        <f aca="false">IF($D89="","",COUNTA($D$5:$D89))</f>
        <v/>
      </c>
      <c r="B89" s="46"/>
      <c r="C89" s="47"/>
      <c r="D89" s="48"/>
      <c r="E89" s="48"/>
      <c r="F89" s="49"/>
      <c r="G89" s="47"/>
      <c r="H89" s="50"/>
      <c r="I89" s="50"/>
      <c r="J89" s="51" t="str">
        <f aca="false">IF(OR($V89="",$W89=""),"",ROUND(($W89-$V89)/60,2))</f>
        <v/>
      </c>
      <c r="K89" s="52" t="str">
        <f aca="false">IF($F89="","",LEN($F89)-LEN(SUBSTITUTE($F89,",",""))+1)</f>
        <v/>
      </c>
      <c r="L89" s="45" t="str">
        <f aca="false">IF($K89="","","1:"&amp;$K89)</f>
        <v/>
      </c>
      <c r="M89" s="46"/>
      <c r="N89" s="53"/>
      <c r="O89" s="46"/>
      <c r="P89" s="47"/>
      <c r="Q89" s="48"/>
      <c r="R89" s="49"/>
      <c r="S89" s="54" t="str">
        <f aca="false">IF(OR($AC89=0,$U89="",$M89="",$V89="",$W89=""),"",IF(COUNTIFS(m_teacher,$M89,m_date,$U89,m_active,1,m_start,"&lt;"&amp;$W89,m_end,"&gt;"&amp;$V89)&gt;1,"충돌",""))</f>
        <v/>
      </c>
      <c r="T89" s="48"/>
      <c r="U89" s="55" t="str">
        <f aca="false">IF($G89="","",IFERROR(IF(ISNUMBER($G89),IF($G89&gt;19000000,DATE(INT($G89/10000),MOD(INT($G89/100),100),MOD($G89,100)),INT($G89)),IF(LEN(SUBSTITUTE(SUBSTITUTE(SUBSTITUTE(TRIM($G89),"-",""),".",""),"/",""))=8,DATE(VALUE(LEFT(SUBSTITUTE(SUBSTITUTE(SUBSTITUTE(TRIM($G89),"-",""),".",""),"/",""),4)),VALUE(MID(SUBSTITUTE(SUBSTITUTE(SUBSTITUTE(TRIM($G89),"-",""),".",""),"/",""),5,2)),VALUE(RIGHT(SUBSTITUTE(SUBSTITUTE(SUBSTITUTE(TRIM($G89),"-",""),".",""),"/",""),2))),DATEVALUE($G89))),""))</f>
        <v/>
      </c>
      <c r="V89" s="52" t="str">
        <f aca="false">IF($H89="","",IFERROR(IF(IF(ISNUMBER($H89),$H89,IFERROR(TIMEVALUE($H89),VALUE($H89)))&gt;=100,INT(IF(ISNUMBER($H89),$H89,IFERROR(TIMEVALUE($H89),VALUE($H89)))/100)*60+MOD(IF(ISNUMBER($H89),$H89,IFERROR(TIMEVALUE($H89),VALUE($H89))),100),IF(IF(ISNUMBER($H89),$H89,IFERROR(TIMEVALUE($H89),VALUE($H89)))&gt;=1,ROUND(IF(ISNUMBER($H89),$H89,IFERROR(TIMEVALUE($H89),VALUE($H89)))*60,0),ROUND(MOD(IF(ISNUMBER($H89),$H89,IFERROR(TIMEVALUE($H89),VALUE($H89))),1)*1440,0))),""))</f>
        <v/>
      </c>
      <c r="W89" s="52" t="str">
        <f aca="false">IF($I89="","",IFERROR(IF(IF(ISNUMBER($I89),$I89,IFERROR(TIMEVALUE($I89),VALUE($I89)))&gt;=100,INT(IF(ISNUMBER($I89),$I89,IFERROR(TIMEVALUE($I89),VALUE($I89)))/100)*60+MOD(IF(ISNUMBER($I89),$I89,IFERROR(TIMEVALUE($I89),VALUE($I89))),100),IF(IF(ISNUMBER($I89),$I89,IFERROR(TIMEVALUE($I89),VALUE($I89)))&gt;=1,ROUND(IF(ISNUMBER($I89),$I89,IFERROR(TIMEVALUE($I89),VALUE($I89)))*60,0),ROUND(MOD(IF(ISNUMBER($I89),$I89,IFERROR(TIMEVALUE($I89),VALUE($I89))),1)*1440,0))),""))</f>
        <v/>
      </c>
      <c r="X89" s="55" t="str">
        <f aca="false">IF($P89="","",IFERROR(IF(ISNUMBER($P89),IF($P89&gt;19000000,DATE(INT($P89/10000),MOD(INT($P89/100),100),MOD($P89,100)),INT($P89)),IF(LEN(SUBSTITUTE(SUBSTITUTE(SUBSTITUTE(TRIM($P89),"-",""),".",""),"/",""))=8,DATE(VALUE(LEFT(SUBSTITUTE(SUBSTITUTE(SUBSTITUTE(TRIM($P89),"-",""),".",""),"/",""),4)),VALUE(MID(SUBSTITUTE(SUBSTITUTE(SUBSTITUTE(TRIM($P89),"-",""),".",""),"/",""),5,2)),VALUE(RIGHT(SUBSTITUTE(SUBSTITUTE(SUBSTITUTE(TRIM($P89),"-",""),".",""),"/",""),2))),DATEVALUE($P89))),""))</f>
        <v/>
      </c>
      <c r="Y89" s="56" t="str">
        <f aca="false">IF($M89="","",IFERROR(INDEX(강사DB!$D$4:$D$53,MATCH($M89,강사DB!$A$4:$A$53,0)),""))</f>
        <v/>
      </c>
      <c r="Z89" s="56" t="str">
        <f aca="false">IF($B89&lt;&gt;"결제완료","",IF(OR($Y89="",$J89=""),"",$Y89*$J89+MAX(0,N($K89)-1)*설정!$J$7))</f>
        <v/>
      </c>
      <c r="AA89" s="56" t="str">
        <f aca="false">IF(AND($D89&lt;&gt;"",$B89="결제완료"),N($N89),"")</f>
        <v/>
      </c>
      <c r="AB89" s="45" t="str">
        <f aca="false">IF($D89="","",IF($F89&lt;&gt;"",$F89,$D89)&amp;IF($B89="상담중"," (상담)",""))</f>
        <v/>
      </c>
      <c r="AC89" s="45" t="n">
        <f aca="false">IF(AND($D89&lt;&gt;"",OR($B89="결제완료",$B89="상담중")),1,0)</f>
        <v>0</v>
      </c>
      <c r="AD89" s="45" t="n">
        <f aca="false">IF(OR($Z89="",$U89=""),0,IFERROR(IF(COUNTIFS(INDEX(g_grid,0,2*MATCH($M89,강사DB!$A$4:$A$15,0)),"&lt;&gt;",g_s,"&lt;="&amp;$U89,g_e,"&gt;="&amp;$U89)&gt;0,1,0),0))</f>
        <v>0</v>
      </c>
      <c r="AE89" s="48"/>
      <c r="AF89" s="56" t="str">
        <f aca="false">IF(AND($D89&lt;&gt;"",$B89="결제완료",$T89="대여"),설정!$J$5,"")</f>
        <v/>
      </c>
      <c r="AG89" s="54" t="str">
        <f aca="false">IF($D89="","",IF(AND($E89="",$R89=""),$AB89,"☎ "&amp;IF($E89="","-",$E89)&amp;IF($R89&lt;&gt;"","  ※ "&amp;$R89,"")&amp;IF($B89="상담중"," (상담)","")))</f>
        <v/>
      </c>
      <c r="AH89" s="56" t="str">
        <f aca="false">IF(AND($D89&lt;&gt;"",$B89="결제완료",$O89="스마트스토어"),ROUND(N($N89)*설정!$J$6,0),"")</f>
        <v/>
      </c>
      <c r="AI89" s="54" t="str">
        <f aca="false">IF($D89="","",ROW())</f>
        <v/>
      </c>
      <c r="AJ89" s="54" t="n">
        <f aca="false">IF(OR($AC89&lt;&gt;1,$M89=""),0,IF(ISNUMBER(SEARCH("퇴사",IFERROR(INDEX(강사DB!$G$4:$G$53,MATCH($M89,강사DB!$A$4:$A$53,0)),""))),1,0))</f>
        <v>0</v>
      </c>
    </row>
    <row r="90" customFormat="false" ht="15" hidden="false" customHeight="false" outlineLevel="0" collapsed="false">
      <c r="A90" s="45" t="str">
        <f aca="false">IF($D90="","",COUNTA($D$5:$D90))</f>
        <v/>
      </c>
      <c r="B90" s="46"/>
      <c r="C90" s="47"/>
      <c r="D90" s="48"/>
      <c r="E90" s="48"/>
      <c r="F90" s="49"/>
      <c r="G90" s="47"/>
      <c r="H90" s="50"/>
      <c r="I90" s="50"/>
      <c r="J90" s="51" t="str">
        <f aca="false">IF(OR($V90="",$W90=""),"",ROUND(($W90-$V90)/60,2))</f>
        <v/>
      </c>
      <c r="K90" s="52" t="str">
        <f aca="false">IF($F90="","",LEN($F90)-LEN(SUBSTITUTE($F90,",",""))+1)</f>
        <v/>
      </c>
      <c r="L90" s="45" t="str">
        <f aca="false">IF($K90="","","1:"&amp;$K90)</f>
        <v/>
      </c>
      <c r="M90" s="46"/>
      <c r="N90" s="53"/>
      <c r="O90" s="46"/>
      <c r="P90" s="47"/>
      <c r="Q90" s="48"/>
      <c r="R90" s="49"/>
      <c r="S90" s="54" t="str">
        <f aca="false">IF(OR($AC90=0,$U90="",$M90="",$V90="",$W90=""),"",IF(COUNTIFS(m_teacher,$M90,m_date,$U90,m_active,1,m_start,"&lt;"&amp;$W90,m_end,"&gt;"&amp;$V90)&gt;1,"충돌",""))</f>
        <v/>
      </c>
      <c r="T90" s="48"/>
      <c r="U90" s="55" t="str">
        <f aca="false">IF($G90="","",IFERROR(IF(ISNUMBER($G90),IF($G90&gt;19000000,DATE(INT($G90/10000),MOD(INT($G90/100),100),MOD($G90,100)),INT($G90)),IF(LEN(SUBSTITUTE(SUBSTITUTE(SUBSTITUTE(TRIM($G90),"-",""),".",""),"/",""))=8,DATE(VALUE(LEFT(SUBSTITUTE(SUBSTITUTE(SUBSTITUTE(TRIM($G90),"-",""),".",""),"/",""),4)),VALUE(MID(SUBSTITUTE(SUBSTITUTE(SUBSTITUTE(TRIM($G90),"-",""),".",""),"/",""),5,2)),VALUE(RIGHT(SUBSTITUTE(SUBSTITUTE(SUBSTITUTE(TRIM($G90),"-",""),".",""),"/",""),2))),DATEVALUE($G90))),""))</f>
        <v/>
      </c>
      <c r="V90" s="52" t="str">
        <f aca="false">IF($H90="","",IFERROR(IF(IF(ISNUMBER($H90),$H90,IFERROR(TIMEVALUE($H90),VALUE($H90)))&gt;=100,INT(IF(ISNUMBER($H90),$H90,IFERROR(TIMEVALUE($H90),VALUE($H90)))/100)*60+MOD(IF(ISNUMBER($H90),$H90,IFERROR(TIMEVALUE($H90),VALUE($H90))),100),IF(IF(ISNUMBER($H90),$H90,IFERROR(TIMEVALUE($H90),VALUE($H90)))&gt;=1,ROUND(IF(ISNUMBER($H90),$H90,IFERROR(TIMEVALUE($H90),VALUE($H90)))*60,0),ROUND(MOD(IF(ISNUMBER($H90),$H90,IFERROR(TIMEVALUE($H90),VALUE($H90))),1)*1440,0))),""))</f>
        <v/>
      </c>
      <c r="W90" s="52" t="str">
        <f aca="false">IF($I90="","",IFERROR(IF(IF(ISNUMBER($I90),$I90,IFERROR(TIMEVALUE($I90),VALUE($I90)))&gt;=100,INT(IF(ISNUMBER($I90),$I90,IFERROR(TIMEVALUE($I90),VALUE($I90)))/100)*60+MOD(IF(ISNUMBER($I90),$I90,IFERROR(TIMEVALUE($I90),VALUE($I90))),100),IF(IF(ISNUMBER($I90),$I90,IFERROR(TIMEVALUE($I90),VALUE($I90)))&gt;=1,ROUND(IF(ISNUMBER($I90),$I90,IFERROR(TIMEVALUE($I90),VALUE($I90)))*60,0),ROUND(MOD(IF(ISNUMBER($I90),$I90,IFERROR(TIMEVALUE($I90),VALUE($I90))),1)*1440,0))),""))</f>
        <v/>
      </c>
      <c r="X90" s="55" t="str">
        <f aca="false">IF($P90="","",IFERROR(IF(ISNUMBER($P90),IF($P90&gt;19000000,DATE(INT($P90/10000),MOD(INT($P90/100),100),MOD($P90,100)),INT($P90)),IF(LEN(SUBSTITUTE(SUBSTITUTE(SUBSTITUTE(TRIM($P90),"-",""),".",""),"/",""))=8,DATE(VALUE(LEFT(SUBSTITUTE(SUBSTITUTE(SUBSTITUTE(TRIM($P90),"-",""),".",""),"/",""),4)),VALUE(MID(SUBSTITUTE(SUBSTITUTE(SUBSTITUTE(TRIM($P90),"-",""),".",""),"/",""),5,2)),VALUE(RIGHT(SUBSTITUTE(SUBSTITUTE(SUBSTITUTE(TRIM($P90),"-",""),".",""),"/",""),2))),DATEVALUE($P90))),""))</f>
        <v/>
      </c>
      <c r="Y90" s="56" t="str">
        <f aca="false">IF($M90="","",IFERROR(INDEX(강사DB!$D$4:$D$53,MATCH($M90,강사DB!$A$4:$A$53,0)),""))</f>
        <v/>
      </c>
      <c r="Z90" s="56" t="str">
        <f aca="false">IF($B90&lt;&gt;"결제완료","",IF(OR($Y90="",$J90=""),"",$Y90*$J90+MAX(0,N($K90)-1)*설정!$J$7))</f>
        <v/>
      </c>
      <c r="AA90" s="56" t="str">
        <f aca="false">IF(AND($D90&lt;&gt;"",$B90="결제완료"),N($N90),"")</f>
        <v/>
      </c>
      <c r="AB90" s="45" t="str">
        <f aca="false">IF($D90="","",IF($F90&lt;&gt;"",$F90,$D90)&amp;IF($B90="상담중"," (상담)",""))</f>
        <v/>
      </c>
      <c r="AC90" s="45" t="n">
        <f aca="false">IF(AND($D90&lt;&gt;"",OR($B90="결제완료",$B90="상담중")),1,0)</f>
        <v>0</v>
      </c>
      <c r="AD90" s="45" t="n">
        <f aca="false">IF(OR($Z90="",$U90=""),0,IFERROR(IF(COUNTIFS(INDEX(g_grid,0,2*MATCH($M90,강사DB!$A$4:$A$15,0)),"&lt;&gt;",g_s,"&lt;="&amp;$U90,g_e,"&gt;="&amp;$U90)&gt;0,1,0),0))</f>
        <v>0</v>
      </c>
      <c r="AE90" s="48"/>
      <c r="AF90" s="56" t="str">
        <f aca="false">IF(AND($D90&lt;&gt;"",$B90="결제완료",$T90="대여"),설정!$J$5,"")</f>
        <v/>
      </c>
      <c r="AG90" s="54" t="str">
        <f aca="false">IF($D90="","",IF(AND($E90="",$R90=""),$AB90,"☎ "&amp;IF($E90="","-",$E90)&amp;IF($R90&lt;&gt;"","  ※ "&amp;$R90,"")&amp;IF($B90="상담중"," (상담)","")))</f>
        <v/>
      </c>
      <c r="AH90" s="56" t="str">
        <f aca="false">IF(AND($D90&lt;&gt;"",$B90="결제완료",$O90="스마트스토어"),ROUND(N($N90)*설정!$J$6,0),"")</f>
        <v/>
      </c>
      <c r="AI90" s="54" t="str">
        <f aca="false">IF($D90="","",ROW())</f>
        <v/>
      </c>
      <c r="AJ90" s="54" t="n">
        <f aca="false">IF(OR($AC90&lt;&gt;1,$M90=""),0,IF(ISNUMBER(SEARCH("퇴사",IFERROR(INDEX(강사DB!$G$4:$G$53,MATCH($M90,강사DB!$A$4:$A$53,0)),""))),1,0))</f>
        <v>0</v>
      </c>
    </row>
    <row r="91" customFormat="false" ht="15" hidden="false" customHeight="false" outlineLevel="0" collapsed="false">
      <c r="A91" s="45" t="str">
        <f aca="false">IF($D91="","",COUNTA($D$5:$D91))</f>
        <v/>
      </c>
      <c r="B91" s="46"/>
      <c r="C91" s="47"/>
      <c r="D91" s="48"/>
      <c r="E91" s="48"/>
      <c r="F91" s="49"/>
      <c r="G91" s="47"/>
      <c r="H91" s="50"/>
      <c r="I91" s="50"/>
      <c r="J91" s="51" t="str">
        <f aca="false">IF(OR($V91="",$W91=""),"",ROUND(($W91-$V91)/60,2))</f>
        <v/>
      </c>
      <c r="K91" s="52" t="str">
        <f aca="false">IF($F91="","",LEN($F91)-LEN(SUBSTITUTE($F91,",",""))+1)</f>
        <v/>
      </c>
      <c r="L91" s="45" t="str">
        <f aca="false">IF($K91="","","1:"&amp;$K91)</f>
        <v/>
      </c>
      <c r="M91" s="46"/>
      <c r="N91" s="53"/>
      <c r="O91" s="46"/>
      <c r="P91" s="47"/>
      <c r="Q91" s="48"/>
      <c r="R91" s="49"/>
      <c r="S91" s="54" t="str">
        <f aca="false">IF(OR($AC91=0,$U91="",$M91="",$V91="",$W91=""),"",IF(COUNTIFS(m_teacher,$M91,m_date,$U91,m_active,1,m_start,"&lt;"&amp;$W91,m_end,"&gt;"&amp;$V91)&gt;1,"충돌",""))</f>
        <v/>
      </c>
      <c r="T91" s="48"/>
      <c r="U91" s="55" t="str">
        <f aca="false">IF($G91="","",IFERROR(IF(ISNUMBER($G91),IF($G91&gt;19000000,DATE(INT($G91/10000),MOD(INT($G91/100),100),MOD($G91,100)),INT($G91)),IF(LEN(SUBSTITUTE(SUBSTITUTE(SUBSTITUTE(TRIM($G91),"-",""),".",""),"/",""))=8,DATE(VALUE(LEFT(SUBSTITUTE(SUBSTITUTE(SUBSTITUTE(TRIM($G91),"-",""),".",""),"/",""),4)),VALUE(MID(SUBSTITUTE(SUBSTITUTE(SUBSTITUTE(TRIM($G91),"-",""),".",""),"/",""),5,2)),VALUE(RIGHT(SUBSTITUTE(SUBSTITUTE(SUBSTITUTE(TRIM($G91),"-",""),".",""),"/",""),2))),DATEVALUE($G91))),""))</f>
        <v/>
      </c>
      <c r="V91" s="52" t="str">
        <f aca="false">IF($H91="","",IFERROR(IF(IF(ISNUMBER($H91),$H91,IFERROR(TIMEVALUE($H91),VALUE($H91)))&gt;=100,INT(IF(ISNUMBER($H91),$H91,IFERROR(TIMEVALUE($H91),VALUE($H91)))/100)*60+MOD(IF(ISNUMBER($H91),$H91,IFERROR(TIMEVALUE($H91),VALUE($H91))),100),IF(IF(ISNUMBER($H91),$H91,IFERROR(TIMEVALUE($H91),VALUE($H91)))&gt;=1,ROUND(IF(ISNUMBER($H91),$H91,IFERROR(TIMEVALUE($H91),VALUE($H91)))*60,0),ROUND(MOD(IF(ISNUMBER($H91),$H91,IFERROR(TIMEVALUE($H91),VALUE($H91))),1)*1440,0))),""))</f>
        <v/>
      </c>
      <c r="W91" s="52" t="str">
        <f aca="false">IF($I91="","",IFERROR(IF(IF(ISNUMBER($I91),$I91,IFERROR(TIMEVALUE($I91),VALUE($I91)))&gt;=100,INT(IF(ISNUMBER($I91),$I91,IFERROR(TIMEVALUE($I91),VALUE($I91)))/100)*60+MOD(IF(ISNUMBER($I91),$I91,IFERROR(TIMEVALUE($I91),VALUE($I91))),100),IF(IF(ISNUMBER($I91),$I91,IFERROR(TIMEVALUE($I91),VALUE($I91)))&gt;=1,ROUND(IF(ISNUMBER($I91),$I91,IFERROR(TIMEVALUE($I91),VALUE($I91)))*60,0),ROUND(MOD(IF(ISNUMBER($I91),$I91,IFERROR(TIMEVALUE($I91),VALUE($I91))),1)*1440,0))),""))</f>
        <v/>
      </c>
      <c r="X91" s="55" t="str">
        <f aca="false">IF($P91="","",IFERROR(IF(ISNUMBER($P91),IF($P91&gt;19000000,DATE(INT($P91/10000),MOD(INT($P91/100),100),MOD($P91,100)),INT($P91)),IF(LEN(SUBSTITUTE(SUBSTITUTE(SUBSTITUTE(TRIM($P91),"-",""),".",""),"/",""))=8,DATE(VALUE(LEFT(SUBSTITUTE(SUBSTITUTE(SUBSTITUTE(TRIM($P91),"-",""),".",""),"/",""),4)),VALUE(MID(SUBSTITUTE(SUBSTITUTE(SUBSTITUTE(TRIM($P91),"-",""),".",""),"/",""),5,2)),VALUE(RIGHT(SUBSTITUTE(SUBSTITUTE(SUBSTITUTE(TRIM($P91),"-",""),".",""),"/",""),2))),DATEVALUE($P91))),""))</f>
        <v/>
      </c>
      <c r="Y91" s="56" t="str">
        <f aca="false">IF($M91="","",IFERROR(INDEX(강사DB!$D$4:$D$53,MATCH($M91,강사DB!$A$4:$A$53,0)),""))</f>
        <v/>
      </c>
      <c r="Z91" s="56" t="str">
        <f aca="false">IF($B91&lt;&gt;"결제완료","",IF(OR($Y91="",$J91=""),"",$Y91*$J91+MAX(0,N($K91)-1)*설정!$J$7))</f>
        <v/>
      </c>
      <c r="AA91" s="56" t="str">
        <f aca="false">IF(AND($D91&lt;&gt;"",$B91="결제완료"),N($N91),"")</f>
        <v/>
      </c>
      <c r="AB91" s="45" t="str">
        <f aca="false">IF($D91="","",IF($F91&lt;&gt;"",$F91,$D91)&amp;IF($B91="상담중"," (상담)",""))</f>
        <v/>
      </c>
      <c r="AC91" s="45" t="n">
        <f aca="false">IF(AND($D91&lt;&gt;"",OR($B91="결제완료",$B91="상담중")),1,0)</f>
        <v>0</v>
      </c>
      <c r="AD91" s="45" t="n">
        <f aca="false">IF(OR($Z91="",$U91=""),0,IFERROR(IF(COUNTIFS(INDEX(g_grid,0,2*MATCH($M91,강사DB!$A$4:$A$15,0)),"&lt;&gt;",g_s,"&lt;="&amp;$U91,g_e,"&gt;="&amp;$U91)&gt;0,1,0),0))</f>
        <v>0</v>
      </c>
      <c r="AE91" s="48"/>
      <c r="AF91" s="56" t="str">
        <f aca="false">IF(AND($D91&lt;&gt;"",$B91="결제완료",$T91="대여"),설정!$J$5,"")</f>
        <v/>
      </c>
      <c r="AG91" s="54" t="str">
        <f aca="false">IF($D91="","",IF(AND($E91="",$R91=""),$AB91,"☎ "&amp;IF($E91="","-",$E91)&amp;IF($R91&lt;&gt;"","  ※ "&amp;$R91,"")&amp;IF($B91="상담중"," (상담)","")))</f>
        <v/>
      </c>
      <c r="AH91" s="56" t="str">
        <f aca="false">IF(AND($D91&lt;&gt;"",$B91="결제완료",$O91="스마트스토어"),ROUND(N($N91)*설정!$J$6,0),"")</f>
        <v/>
      </c>
      <c r="AI91" s="54" t="str">
        <f aca="false">IF($D91="","",ROW())</f>
        <v/>
      </c>
      <c r="AJ91" s="54" t="n">
        <f aca="false">IF(OR($AC91&lt;&gt;1,$M91=""),0,IF(ISNUMBER(SEARCH("퇴사",IFERROR(INDEX(강사DB!$G$4:$G$53,MATCH($M91,강사DB!$A$4:$A$53,0)),""))),1,0))</f>
        <v>0</v>
      </c>
    </row>
    <row r="92" customFormat="false" ht="15" hidden="false" customHeight="false" outlineLevel="0" collapsed="false">
      <c r="A92" s="45" t="str">
        <f aca="false">IF($D92="","",COUNTA($D$5:$D92))</f>
        <v/>
      </c>
      <c r="B92" s="46"/>
      <c r="C92" s="47"/>
      <c r="D92" s="48"/>
      <c r="E92" s="48"/>
      <c r="F92" s="49"/>
      <c r="G92" s="47"/>
      <c r="H92" s="50"/>
      <c r="I92" s="50"/>
      <c r="J92" s="51" t="str">
        <f aca="false">IF(OR($V92="",$W92=""),"",ROUND(($W92-$V92)/60,2))</f>
        <v/>
      </c>
      <c r="K92" s="52" t="str">
        <f aca="false">IF($F92="","",LEN($F92)-LEN(SUBSTITUTE($F92,",",""))+1)</f>
        <v/>
      </c>
      <c r="L92" s="45" t="str">
        <f aca="false">IF($K92="","","1:"&amp;$K92)</f>
        <v/>
      </c>
      <c r="M92" s="46"/>
      <c r="N92" s="53"/>
      <c r="O92" s="46"/>
      <c r="P92" s="47"/>
      <c r="Q92" s="48"/>
      <c r="R92" s="49"/>
      <c r="S92" s="54" t="str">
        <f aca="false">IF(OR($AC92=0,$U92="",$M92="",$V92="",$W92=""),"",IF(COUNTIFS(m_teacher,$M92,m_date,$U92,m_active,1,m_start,"&lt;"&amp;$W92,m_end,"&gt;"&amp;$V92)&gt;1,"충돌",""))</f>
        <v/>
      </c>
      <c r="T92" s="48"/>
      <c r="U92" s="55" t="str">
        <f aca="false">IF($G92="","",IFERROR(IF(ISNUMBER($G92),IF($G92&gt;19000000,DATE(INT($G92/10000),MOD(INT($G92/100),100),MOD($G92,100)),INT($G92)),IF(LEN(SUBSTITUTE(SUBSTITUTE(SUBSTITUTE(TRIM($G92),"-",""),".",""),"/",""))=8,DATE(VALUE(LEFT(SUBSTITUTE(SUBSTITUTE(SUBSTITUTE(TRIM($G92),"-",""),".",""),"/",""),4)),VALUE(MID(SUBSTITUTE(SUBSTITUTE(SUBSTITUTE(TRIM($G92),"-",""),".",""),"/",""),5,2)),VALUE(RIGHT(SUBSTITUTE(SUBSTITUTE(SUBSTITUTE(TRIM($G92),"-",""),".",""),"/",""),2))),DATEVALUE($G92))),""))</f>
        <v/>
      </c>
      <c r="V92" s="52" t="str">
        <f aca="false">IF($H92="","",IFERROR(IF(IF(ISNUMBER($H92),$H92,IFERROR(TIMEVALUE($H92),VALUE($H92)))&gt;=100,INT(IF(ISNUMBER($H92),$H92,IFERROR(TIMEVALUE($H92),VALUE($H92)))/100)*60+MOD(IF(ISNUMBER($H92),$H92,IFERROR(TIMEVALUE($H92),VALUE($H92))),100),IF(IF(ISNUMBER($H92),$H92,IFERROR(TIMEVALUE($H92),VALUE($H92)))&gt;=1,ROUND(IF(ISNUMBER($H92),$H92,IFERROR(TIMEVALUE($H92),VALUE($H92)))*60,0),ROUND(MOD(IF(ISNUMBER($H92),$H92,IFERROR(TIMEVALUE($H92),VALUE($H92))),1)*1440,0))),""))</f>
        <v/>
      </c>
      <c r="W92" s="52" t="str">
        <f aca="false">IF($I92="","",IFERROR(IF(IF(ISNUMBER($I92),$I92,IFERROR(TIMEVALUE($I92),VALUE($I92)))&gt;=100,INT(IF(ISNUMBER($I92),$I92,IFERROR(TIMEVALUE($I92),VALUE($I92)))/100)*60+MOD(IF(ISNUMBER($I92),$I92,IFERROR(TIMEVALUE($I92),VALUE($I92))),100),IF(IF(ISNUMBER($I92),$I92,IFERROR(TIMEVALUE($I92),VALUE($I92)))&gt;=1,ROUND(IF(ISNUMBER($I92),$I92,IFERROR(TIMEVALUE($I92),VALUE($I92)))*60,0),ROUND(MOD(IF(ISNUMBER($I92),$I92,IFERROR(TIMEVALUE($I92),VALUE($I92))),1)*1440,0))),""))</f>
        <v/>
      </c>
      <c r="X92" s="55" t="str">
        <f aca="false">IF($P92="","",IFERROR(IF(ISNUMBER($P92),IF($P92&gt;19000000,DATE(INT($P92/10000),MOD(INT($P92/100),100),MOD($P92,100)),INT($P92)),IF(LEN(SUBSTITUTE(SUBSTITUTE(SUBSTITUTE(TRIM($P92),"-",""),".",""),"/",""))=8,DATE(VALUE(LEFT(SUBSTITUTE(SUBSTITUTE(SUBSTITUTE(TRIM($P92),"-",""),".",""),"/",""),4)),VALUE(MID(SUBSTITUTE(SUBSTITUTE(SUBSTITUTE(TRIM($P92),"-",""),".",""),"/",""),5,2)),VALUE(RIGHT(SUBSTITUTE(SUBSTITUTE(SUBSTITUTE(TRIM($P92),"-",""),".",""),"/",""),2))),DATEVALUE($P92))),""))</f>
        <v/>
      </c>
      <c r="Y92" s="56" t="str">
        <f aca="false">IF($M92="","",IFERROR(INDEX(강사DB!$D$4:$D$53,MATCH($M92,강사DB!$A$4:$A$53,0)),""))</f>
        <v/>
      </c>
      <c r="Z92" s="56" t="str">
        <f aca="false">IF($B92&lt;&gt;"결제완료","",IF(OR($Y92="",$J92=""),"",$Y92*$J92+MAX(0,N($K92)-1)*설정!$J$7))</f>
        <v/>
      </c>
      <c r="AA92" s="56" t="str">
        <f aca="false">IF(AND($D92&lt;&gt;"",$B92="결제완료"),N($N92),"")</f>
        <v/>
      </c>
      <c r="AB92" s="45" t="str">
        <f aca="false">IF($D92="","",IF($F92&lt;&gt;"",$F92,$D92)&amp;IF($B92="상담중"," (상담)",""))</f>
        <v/>
      </c>
      <c r="AC92" s="45" t="n">
        <f aca="false">IF(AND($D92&lt;&gt;"",OR($B92="결제완료",$B92="상담중")),1,0)</f>
        <v>0</v>
      </c>
      <c r="AD92" s="45" t="n">
        <f aca="false">IF(OR($Z92="",$U92=""),0,IFERROR(IF(COUNTIFS(INDEX(g_grid,0,2*MATCH($M92,강사DB!$A$4:$A$15,0)),"&lt;&gt;",g_s,"&lt;="&amp;$U92,g_e,"&gt;="&amp;$U92)&gt;0,1,0),0))</f>
        <v>0</v>
      </c>
      <c r="AE92" s="48"/>
      <c r="AF92" s="56" t="str">
        <f aca="false">IF(AND($D92&lt;&gt;"",$B92="결제완료",$T92="대여"),설정!$J$5,"")</f>
        <v/>
      </c>
      <c r="AG92" s="54" t="str">
        <f aca="false">IF($D92="","",IF(AND($E92="",$R92=""),$AB92,"☎ "&amp;IF($E92="","-",$E92)&amp;IF($R92&lt;&gt;"","  ※ "&amp;$R92,"")&amp;IF($B92="상담중"," (상담)","")))</f>
        <v/>
      </c>
      <c r="AH92" s="56" t="str">
        <f aca="false">IF(AND($D92&lt;&gt;"",$B92="결제완료",$O92="스마트스토어"),ROUND(N($N92)*설정!$J$6,0),"")</f>
        <v/>
      </c>
      <c r="AI92" s="54" t="str">
        <f aca="false">IF($D92="","",ROW())</f>
        <v/>
      </c>
      <c r="AJ92" s="54" t="n">
        <f aca="false">IF(OR($AC92&lt;&gt;1,$M92=""),0,IF(ISNUMBER(SEARCH("퇴사",IFERROR(INDEX(강사DB!$G$4:$G$53,MATCH($M92,강사DB!$A$4:$A$53,0)),""))),1,0))</f>
        <v>0</v>
      </c>
    </row>
    <row r="93" customFormat="false" ht="15" hidden="false" customHeight="false" outlineLevel="0" collapsed="false">
      <c r="A93" s="45" t="str">
        <f aca="false">IF($D93="","",COUNTA($D$5:$D93))</f>
        <v/>
      </c>
      <c r="B93" s="46"/>
      <c r="C93" s="47"/>
      <c r="D93" s="48"/>
      <c r="E93" s="48"/>
      <c r="F93" s="49"/>
      <c r="G93" s="47"/>
      <c r="H93" s="50"/>
      <c r="I93" s="50"/>
      <c r="J93" s="51" t="str">
        <f aca="false">IF(OR($V93="",$W93=""),"",ROUND(($W93-$V93)/60,2))</f>
        <v/>
      </c>
      <c r="K93" s="52" t="str">
        <f aca="false">IF($F93="","",LEN($F93)-LEN(SUBSTITUTE($F93,",",""))+1)</f>
        <v/>
      </c>
      <c r="L93" s="45" t="str">
        <f aca="false">IF($K93="","","1:"&amp;$K93)</f>
        <v/>
      </c>
      <c r="M93" s="46"/>
      <c r="N93" s="53"/>
      <c r="O93" s="46"/>
      <c r="P93" s="47"/>
      <c r="Q93" s="48"/>
      <c r="R93" s="49"/>
      <c r="S93" s="54" t="str">
        <f aca="false">IF(OR($AC93=0,$U93="",$M93="",$V93="",$W93=""),"",IF(COUNTIFS(m_teacher,$M93,m_date,$U93,m_active,1,m_start,"&lt;"&amp;$W93,m_end,"&gt;"&amp;$V93)&gt;1,"충돌",""))</f>
        <v/>
      </c>
      <c r="T93" s="48"/>
      <c r="U93" s="55" t="str">
        <f aca="false">IF($G93="","",IFERROR(IF(ISNUMBER($G93),IF($G93&gt;19000000,DATE(INT($G93/10000),MOD(INT($G93/100),100),MOD($G93,100)),INT($G93)),IF(LEN(SUBSTITUTE(SUBSTITUTE(SUBSTITUTE(TRIM($G93),"-",""),".",""),"/",""))=8,DATE(VALUE(LEFT(SUBSTITUTE(SUBSTITUTE(SUBSTITUTE(TRIM($G93),"-",""),".",""),"/",""),4)),VALUE(MID(SUBSTITUTE(SUBSTITUTE(SUBSTITUTE(TRIM($G93),"-",""),".",""),"/",""),5,2)),VALUE(RIGHT(SUBSTITUTE(SUBSTITUTE(SUBSTITUTE(TRIM($G93),"-",""),".",""),"/",""),2))),DATEVALUE($G93))),""))</f>
        <v/>
      </c>
      <c r="V93" s="52" t="str">
        <f aca="false">IF($H93="","",IFERROR(IF(IF(ISNUMBER($H93),$H93,IFERROR(TIMEVALUE($H93),VALUE($H93)))&gt;=100,INT(IF(ISNUMBER($H93),$H93,IFERROR(TIMEVALUE($H93),VALUE($H93)))/100)*60+MOD(IF(ISNUMBER($H93),$H93,IFERROR(TIMEVALUE($H93),VALUE($H93))),100),IF(IF(ISNUMBER($H93),$H93,IFERROR(TIMEVALUE($H93),VALUE($H93)))&gt;=1,ROUND(IF(ISNUMBER($H93),$H93,IFERROR(TIMEVALUE($H93),VALUE($H93)))*60,0),ROUND(MOD(IF(ISNUMBER($H93),$H93,IFERROR(TIMEVALUE($H93),VALUE($H93))),1)*1440,0))),""))</f>
        <v/>
      </c>
      <c r="W93" s="52" t="str">
        <f aca="false">IF($I93="","",IFERROR(IF(IF(ISNUMBER($I93),$I93,IFERROR(TIMEVALUE($I93),VALUE($I93)))&gt;=100,INT(IF(ISNUMBER($I93),$I93,IFERROR(TIMEVALUE($I93),VALUE($I93)))/100)*60+MOD(IF(ISNUMBER($I93),$I93,IFERROR(TIMEVALUE($I93),VALUE($I93))),100),IF(IF(ISNUMBER($I93),$I93,IFERROR(TIMEVALUE($I93),VALUE($I93)))&gt;=1,ROUND(IF(ISNUMBER($I93),$I93,IFERROR(TIMEVALUE($I93),VALUE($I93)))*60,0),ROUND(MOD(IF(ISNUMBER($I93),$I93,IFERROR(TIMEVALUE($I93),VALUE($I93))),1)*1440,0))),""))</f>
        <v/>
      </c>
      <c r="X93" s="55" t="str">
        <f aca="false">IF($P93="","",IFERROR(IF(ISNUMBER($P93),IF($P93&gt;19000000,DATE(INT($P93/10000),MOD(INT($P93/100),100),MOD($P93,100)),INT($P93)),IF(LEN(SUBSTITUTE(SUBSTITUTE(SUBSTITUTE(TRIM($P93),"-",""),".",""),"/",""))=8,DATE(VALUE(LEFT(SUBSTITUTE(SUBSTITUTE(SUBSTITUTE(TRIM($P93),"-",""),".",""),"/",""),4)),VALUE(MID(SUBSTITUTE(SUBSTITUTE(SUBSTITUTE(TRIM($P93),"-",""),".",""),"/",""),5,2)),VALUE(RIGHT(SUBSTITUTE(SUBSTITUTE(SUBSTITUTE(TRIM($P93),"-",""),".",""),"/",""),2))),DATEVALUE($P93))),""))</f>
        <v/>
      </c>
      <c r="Y93" s="56" t="str">
        <f aca="false">IF($M93="","",IFERROR(INDEX(강사DB!$D$4:$D$53,MATCH($M93,강사DB!$A$4:$A$53,0)),""))</f>
        <v/>
      </c>
      <c r="Z93" s="56" t="str">
        <f aca="false">IF($B93&lt;&gt;"결제완료","",IF(OR($Y93="",$J93=""),"",$Y93*$J93+MAX(0,N($K93)-1)*설정!$J$7))</f>
        <v/>
      </c>
      <c r="AA93" s="56" t="str">
        <f aca="false">IF(AND($D93&lt;&gt;"",$B93="결제완료"),N($N93),"")</f>
        <v/>
      </c>
      <c r="AB93" s="45" t="str">
        <f aca="false">IF($D93="","",IF($F93&lt;&gt;"",$F93,$D93)&amp;IF($B93="상담중"," (상담)",""))</f>
        <v/>
      </c>
      <c r="AC93" s="45" t="n">
        <f aca="false">IF(AND($D93&lt;&gt;"",OR($B93="결제완료",$B93="상담중")),1,0)</f>
        <v>0</v>
      </c>
      <c r="AD93" s="45" t="n">
        <f aca="false">IF(OR($Z93="",$U93=""),0,IFERROR(IF(COUNTIFS(INDEX(g_grid,0,2*MATCH($M93,강사DB!$A$4:$A$15,0)),"&lt;&gt;",g_s,"&lt;="&amp;$U93,g_e,"&gt;="&amp;$U93)&gt;0,1,0),0))</f>
        <v>0</v>
      </c>
      <c r="AE93" s="48"/>
      <c r="AF93" s="56" t="str">
        <f aca="false">IF(AND($D93&lt;&gt;"",$B93="결제완료",$T93="대여"),설정!$J$5,"")</f>
        <v/>
      </c>
      <c r="AG93" s="54" t="str">
        <f aca="false">IF($D93="","",IF(AND($E93="",$R93=""),$AB93,"☎ "&amp;IF($E93="","-",$E93)&amp;IF($R93&lt;&gt;"","  ※ "&amp;$R93,"")&amp;IF($B93="상담중"," (상담)","")))</f>
        <v/>
      </c>
      <c r="AH93" s="56" t="str">
        <f aca="false">IF(AND($D93&lt;&gt;"",$B93="결제완료",$O93="스마트스토어"),ROUND(N($N93)*설정!$J$6,0),"")</f>
        <v/>
      </c>
      <c r="AI93" s="54" t="str">
        <f aca="false">IF($D93="","",ROW())</f>
        <v/>
      </c>
      <c r="AJ93" s="54" t="n">
        <f aca="false">IF(OR($AC93&lt;&gt;1,$M93=""),0,IF(ISNUMBER(SEARCH("퇴사",IFERROR(INDEX(강사DB!$G$4:$G$53,MATCH($M93,강사DB!$A$4:$A$53,0)),""))),1,0))</f>
        <v>0</v>
      </c>
    </row>
    <row r="94" customFormat="false" ht="15" hidden="false" customHeight="false" outlineLevel="0" collapsed="false">
      <c r="A94" s="45" t="str">
        <f aca="false">IF($D94="","",COUNTA($D$5:$D94))</f>
        <v/>
      </c>
      <c r="B94" s="46"/>
      <c r="C94" s="47"/>
      <c r="D94" s="48"/>
      <c r="E94" s="48"/>
      <c r="F94" s="49"/>
      <c r="G94" s="47"/>
      <c r="H94" s="50"/>
      <c r="I94" s="50"/>
      <c r="J94" s="51" t="str">
        <f aca="false">IF(OR($V94="",$W94=""),"",ROUND(($W94-$V94)/60,2))</f>
        <v/>
      </c>
      <c r="K94" s="52" t="str">
        <f aca="false">IF($F94="","",LEN($F94)-LEN(SUBSTITUTE($F94,",",""))+1)</f>
        <v/>
      </c>
      <c r="L94" s="45" t="str">
        <f aca="false">IF($K94="","","1:"&amp;$K94)</f>
        <v/>
      </c>
      <c r="M94" s="46"/>
      <c r="N94" s="53"/>
      <c r="O94" s="46"/>
      <c r="P94" s="47"/>
      <c r="Q94" s="48"/>
      <c r="R94" s="49"/>
      <c r="S94" s="54" t="str">
        <f aca="false">IF(OR($AC94=0,$U94="",$M94="",$V94="",$W94=""),"",IF(COUNTIFS(m_teacher,$M94,m_date,$U94,m_active,1,m_start,"&lt;"&amp;$W94,m_end,"&gt;"&amp;$V94)&gt;1,"충돌",""))</f>
        <v/>
      </c>
      <c r="T94" s="48"/>
      <c r="U94" s="55" t="str">
        <f aca="false">IF($G94="","",IFERROR(IF(ISNUMBER($G94),IF($G94&gt;19000000,DATE(INT($G94/10000),MOD(INT($G94/100),100),MOD($G94,100)),INT($G94)),IF(LEN(SUBSTITUTE(SUBSTITUTE(SUBSTITUTE(TRIM($G94),"-",""),".",""),"/",""))=8,DATE(VALUE(LEFT(SUBSTITUTE(SUBSTITUTE(SUBSTITUTE(TRIM($G94),"-",""),".",""),"/",""),4)),VALUE(MID(SUBSTITUTE(SUBSTITUTE(SUBSTITUTE(TRIM($G94),"-",""),".",""),"/",""),5,2)),VALUE(RIGHT(SUBSTITUTE(SUBSTITUTE(SUBSTITUTE(TRIM($G94),"-",""),".",""),"/",""),2))),DATEVALUE($G94))),""))</f>
        <v/>
      </c>
      <c r="V94" s="52" t="str">
        <f aca="false">IF($H94="","",IFERROR(IF(IF(ISNUMBER($H94),$H94,IFERROR(TIMEVALUE($H94),VALUE($H94)))&gt;=100,INT(IF(ISNUMBER($H94),$H94,IFERROR(TIMEVALUE($H94),VALUE($H94)))/100)*60+MOD(IF(ISNUMBER($H94),$H94,IFERROR(TIMEVALUE($H94),VALUE($H94))),100),IF(IF(ISNUMBER($H94),$H94,IFERROR(TIMEVALUE($H94),VALUE($H94)))&gt;=1,ROUND(IF(ISNUMBER($H94),$H94,IFERROR(TIMEVALUE($H94),VALUE($H94)))*60,0),ROUND(MOD(IF(ISNUMBER($H94),$H94,IFERROR(TIMEVALUE($H94),VALUE($H94))),1)*1440,0))),""))</f>
        <v/>
      </c>
      <c r="W94" s="52" t="str">
        <f aca="false">IF($I94="","",IFERROR(IF(IF(ISNUMBER($I94),$I94,IFERROR(TIMEVALUE($I94),VALUE($I94)))&gt;=100,INT(IF(ISNUMBER($I94),$I94,IFERROR(TIMEVALUE($I94),VALUE($I94)))/100)*60+MOD(IF(ISNUMBER($I94),$I94,IFERROR(TIMEVALUE($I94),VALUE($I94))),100),IF(IF(ISNUMBER($I94),$I94,IFERROR(TIMEVALUE($I94),VALUE($I94)))&gt;=1,ROUND(IF(ISNUMBER($I94),$I94,IFERROR(TIMEVALUE($I94),VALUE($I94)))*60,0),ROUND(MOD(IF(ISNUMBER($I94),$I94,IFERROR(TIMEVALUE($I94),VALUE($I94))),1)*1440,0))),""))</f>
        <v/>
      </c>
      <c r="X94" s="55" t="str">
        <f aca="false">IF($P94="","",IFERROR(IF(ISNUMBER($P94),IF($P94&gt;19000000,DATE(INT($P94/10000),MOD(INT($P94/100),100),MOD($P94,100)),INT($P94)),IF(LEN(SUBSTITUTE(SUBSTITUTE(SUBSTITUTE(TRIM($P94),"-",""),".",""),"/",""))=8,DATE(VALUE(LEFT(SUBSTITUTE(SUBSTITUTE(SUBSTITUTE(TRIM($P94),"-",""),".",""),"/",""),4)),VALUE(MID(SUBSTITUTE(SUBSTITUTE(SUBSTITUTE(TRIM($P94),"-",""),".",""),"/",""),5,2)),VALUE(RIGHT(SUBSTITUTE(SUBSTITUTE(SUBSTITUTE(TRIM($P94),"-",""),".",""),"/",""),2))),DATEVALUE($P94))),""))</f>
        <v/>
      </c>
      <c r="Y94" s="56" t="str">
        <f aca="false">IF($M94="","",IFERROR(INDEX(강사DB!$D$4:$D$53,MATCH($M94,강사DB!$A$4:$A$53,0)),""))</f>
        <v/>
      </c>
      <c r="Z94" s="56" t="str">
        <f aca="false">IF($B94&lt;&gt;"결제완료","",IF(OR($Y94="",$J94=""),"",$Y94*$J94+MAX(0,N($K94)-1)*설정!$J$7))</f>
        <v/>
      </c>
      <c r="AA94" s="56" t="str">
        <f aca="false">IF(AND($D94&lt;&gt;"",$B94="결제완료"),N($N94),"")</f>
        <v/>
      </c>
      <c r="AB94" s="45" t="str">
        <f aca="false">IF($D94="","",IF($F94&lt;&gt;"",$F94,$D94)&amp;IF($B94="상담중"," (상담)",""))</f>
        <v/>
      </c>
      <c r="AC94" s="45" t="n">
        <f aca="false">IF(AND($D94&lt;&gt;"",OR($B94="결제완료",$B94="상담중")),1,0)</f>
        <v>0</v>
      </c>
      <c r="AD94" s="45" t="n">
        <f aca="false">IF(OR($Z94="",$U94=""),0,IFERROR(IF(COUNTIFS(INDEX(g_grid,0,2*MATCH($M94,강사DB!$A$4:$A$15,0)),"&lt;&gt;",g_s,"&lt;="&amp;$U94,g_e,"&gt;="&amp;$U94)&gt;0,1,0),0))</f>
        <v>0</v>
      </c>
      <c r="AE94" s="48"/>
      <c r="AF94" s="56" t="str">
        <f aca="false">IF(AND($D94&lt;&gt;"",$B94="결제완료",$T94="대여"),설정!$J$5,"")</f>
        <v/>
      </c>
      <c r="AG94" s="54" t="str">
        <f aca="false">IF($D94="","",IF(AND($E94="",$R94=""),$AB94,"☎ "&amp;IF($E94="","-",$E94)&amp;IF($R94&lt;&gt;"","  ※ "&amp;$R94,"")&amp;IF($B94="상담중"," (상담)","")))</f>
        <v/>
      </c>
      <c r="AH94" s="56" t="str">
        <f aca="false">IF(AND($D94&lt;&gt;"",$B94="결제완료",$O94="스마트스토어"),ROUND(N($N94)*설정!$J$6,0),"")</f>
        <v/>
      </c>
      <c r="AI94" s="54" t="str">
        <f aca="false">IF($D94="","",ROW())</f>
        <v/>
      </c>
      <c r="AJ94" s="54" t="n">
        <f aca="false">IF(OR($AC94&lt;&gt;1,$M94=""),0,IF(ISNUMBER(SEARCH("퇴사",IFERROR(INDEX(강사DB!$G$4:$G$53,MATCH($M94,강사DB!$A$4:$A$53,0)),""))),1,0))</f>
        <v>0</v>
      </c>
    </row>
    <row r="95" customFormat="false" ht="15" hidden="false" customHeight="false" outlineLevel="0" collapsed="false">
      <c r="A95" s="45" t="str">
        <f aca="false">IF($D95="","",COUNTA($D$5:$D95))</f>
        <v/>
      </c>
      <c r="B95" s="46"/>
      <c r="C95" s="47"/>
      <c r="D95" s="48"/>
      <c r="E95" s="48"/>
      <c r="F95" s="49"/>
      <c r="G95" s="47"/>
      <c r="H95" s="50"/>
      <c r="I95" s="50"/>
      <c r="J95" s="51" t="str">
        <f aca="false">IF(OR($V95="",$W95=""),"",ROUND(($W95-$V95)/60,2))</f>
        <v/>
      </c>
      <c r="K95" s="52" t="str">
        <f aca="false">IF($F95="","",LEN($F95)-LEN(SUBSTITUTE($F95,",",""))+1)</f>
        <v/>
      </c>
      <c r="L95" s="45" t="str">
        <f aca="false">IF($K95="","","1:"&amp;$K95)</f>
        <v/>
      </c>
      <c r="M95" s="46"/>
      <c r="N95" s="53"/>
      <c r="O95" s="46"/>
      <c r="P95" s="47"/>
      <c r="Q95" s="48"/>
      <c r="R95" s="49"/>
      <c r="S95" s="54" t="str">
        <f aca="false">IF(OR($AC95=0,$U95="",$M95="",$V95="",$W95=""),"",IF(COUNTIFS(m_teacher,$M95,m_date,$U95,m_active,1,m_start,"&lt;"&amp;$W95,m_end,"&gt;"&amp;$V95)&gt;1,"충돌",""))</f>
        <v/>
      </c>
      <c r="T95" s="48"/>
      <c r="U95" s="55" t="str">
        <f aca="false">IF($G95="","",IFERROR(IF(ISNUMBER($G95),IF($G95&gt;19000000,DATE(INT($G95/10000),MOD(INT($G95/100),100),MOD($G95,100)),INT($G95)),IF(LEN(SUBSTITUTE(SUBSTITUTE(SUBSTITUTE(TRIM($G95),"-",""),".",""),"/",""))=8,DATE(VALUE(LEFT(SUBSTITUTE(SUBSTITUTE(SUBSTITUTE(TRIM($G95),"-",""),".",""),"/",""),4)),VALUE(MID(SUBSTITUTE(SUBSTITUTE(SUBSTITUTE(TRIM($G95),"-",""),".",""),"/",""),5,2)),VALUE(RIGHT(SUBSTITUTE(SUBSTITUTE(SUBSTITUTE(TRIM($G95),"-",""),".",""),"/",""),2))),DATEVALUE($G95))),""))</f>
        <v/>
      </c>
      <c r="V95" s="52" t="str">
        <f aca="false">IF($H95="","",IFERROR(IF(IF(ISNUMBER($H95),$H95,IFERROR(TIMEVALUE($H95),VALUE($H95)))&gt;=100,INT(IF(ISNUMBER($H95),$H95,IFERROR(TIMEVALUE($H95),VALUE($H95)))/100)*60+MOD(IF(ISNUMBER($H95),$H95,IFERROR(TIMEVALUE($H95),VALUE($H95))),100),IF(IF(ISNUMBER($H95),$H95,IFERROR(TIMEVALUE($H95),VALUE($H95)))&gt;=1,ROUND(IF(ISNUMBER($H95),$H95,IFERROR(TIMEVALUE($H95),VALUE($H95)))*60,0),ROUND(MOD(IF(ISNUMBER($H95),$H95,IFERROR(TIMEVALUE($H95),VALUE($H95))),1)*1440,0))),""))</f>
        <v/>
      </c>
      <c r="W95" s="52" t="str">
        <f aca="false">IF($I95="","",IFERROR(IF(IF(ISNUMBER($I95),$I95,IFERROR(TIMEVALUE($I95),VALUE($I95)))&gt;=100,INT(IF(ISNUMBER($I95),$I95,IFERROR(TIMEVALUE($I95),VALUE($I95)))/100)*60+MOD(IF(ISNUMBER($I95),$I95,IFERROR(TIMEVALUE($I95),VALUE($I95))),100),IF(IF(ISNUMBER($I95),$I95,IFERROR(TIMEVALUE($I95),VALUE($I95)))&gt;=1,ROUND(IF(ISNUMBER($I95),$I95,IFERROR(TIMEVALUE($I95),VALUE($I95)))*60,0),ROUND(MOD(IF(ISNUMBER($I95),$I95,IFERROR(TIMEVALUE($I95),VALUE($I95))),1)*1440,0))),""))</f>
        <v/>
      </c>
      <c r="X95" s="55" t="str">
        <f aca="false">IF($P95="","",IFERROR(IF(ISNUMBER($P95),IF($P95&gt;19000000,DATE(INT($P95/10000),MOD(INT($P95/100),100),MOD($P95,100)),INT($P95)),IF(LEN(SUBSTITUTE(SUBSTITUTE(SUBSTITUTE(TRIM($P95),"-",""),".",""),"/",""))=8,DATE(VALUE(LEFT(SUBSTITUTE(SUBSTITUTE(SUBSTITUTE(TRIM($P95),"-",""),".",""),"/",""),4)),VALUE(MID(SUBSTITUTE(SUBSTITUTE(SUBSTITUTE(TRIM($P95),"-",""),".",""),"/",""),5,2)),VALUE(RIGHT(SUBSTITUTE(SUBSTITUTE(SUBSTITUTE(TRIM($P95),"-",""),".",""),"/",""),2))),DATEVALUE($P95))),""))</f>
        <v/>
      </c>
      <c r="Y95" s="56" t="str">
        <f aca="false">IF($M95="","",IFERROR(INDEX(강사DB!$D$4:$D$53,MATCH($M95,강사DB!$A$4:$A$53,0)),""))</f>
        <v/>
      </c>
      <c r="Z95" s="56" t="str">
        <f aca="false">IF($B95&lt;&gt;"결제완료","",IF(OR($Y95="",$J95=""),"",$Y95*$J95+MAX(0,N($K95)-1)*설정!$J$7))</f>
        <v/>
      </c>
      <c r="AA95" s="56" t="str">
        <f aca="false">IF(AND($D95&lt;&gt;"",$B95="결제완료"),N($N95),"")</f>
        <v/>
      </c>
      <c r="AB95" s="45" t="str">
        <f aca="false">IF($D95="","",IF($F95&lt;&gt;"",$F95,$D95)&amp;IF($B95="상담중"," (상담)",""))</f>
        <v/>
      </c>
      <c r="AC95" s="45" t="n">
        <f aca="false">IF(AND($D95&lt;&gt;"",OR($B95="결제완료",$B95="상담중")),1,0)</f>
        <v>0</v>
      </c>
      <c r="AD95" s="45" t="n">
        <f aca="false">IF(OR($Z95="",$U95=""),0,IFERROR(IF(COUNTIFS(INDEX(g_grid,0,2*MATCH($M95,강사DB!$A$4:$A$15,0)),"&lt;&gt;",g_s,"&lt;="&amp;$U95,g_e,"&gt;="&amp;$U95)&gt;0,1,0),0))</f>
        <v>0</v>
      </c>
      <c r="AE95" s="48"/>
      <c r="AF95" s="56" t="str">
        <f aca="false">IF(AND($D95&lt;&gt;"",$B95="결제완료",$T95="대여"),설정!$J$5,"")</f>
        <v/>
      </c>
      <c r="AG95" s="54" t="str">
        <f aca="false">IF($D95="","",IF(AND($E95="",$R95=""),$AB95,"☎ "&amp;IF($E95="","-",$E95)&amp;IF($R95&lt;&gt;"","  ※ "&amp;$R95,"")&amp;IF($B95="상담중"," (상담)","")))</f>
        <v/>
      </c>
      <c r="AH95" s="56" t="str">
        <f aca="false">IF(AND($D95&lt;&gt;"",$B95="결제완료",$O95="스마트스토어"),ROUND(N($N95)*설정!$J$6,0),"")</f>
        <v/>
      </c>
      <c r="AI95" s="54" t="str">
        <f aca="false">IF($D95="","",ROW())</f>
        <v/>
      </c>
      <c r="AJ95" s="54" t="n">
        <f aca="false">IF(OR($AC95&lt;&gt;1,$M95=""),0,IF(ISNUMBER(SEARCH("퇴사",IFERROR(INDEX(강사DB!$G$4:$G$53,MATCH($M95,강사DB!$A$4:$A$53,0)),""))),1,0))</f>
        <v>0</v>
      </c>
    </row>
    <row r="96" customFormat="false" ht="15" hidden="false" customHeight="false" outlineLevel="0" collapsed="false">
      <c r="A96" s="45" t="str">
        <f aca="false">IF($D96="","",COUNTA($D$5:$D96))</f>
        <v/>
      </c>
      <c r="B96" s="46"/>
      <c r="C96" s="47"/>
      <c r="D96" s="48"/>
      <c r="E96" s="48"/>
      <c r="F96" s="49"/>
      <c r="G96" s="47"/>
      <c r="H96" s="50"/>
      <c r="I96" s="50"/>
      <c r="J96" s="51" t="str">
        <f aca="false">IF(OR($V96="",$W96=""),"",ROUND(($W96-$V96)/60,2))</f>
        <v/>
      </c>
      <c r="K96" s="52" t="str">
        <f aca="false">IF($F96="","",LEN($F96)-LEN(SUBSTITUTE($F96,",",""))+1)</f>
        <v/>
      </c>
      <c r="L96" s="45" t="str">
        <f aca="false">IF($K96="","","1:"&amp;$K96)</f>
        <v/>
      </c>
      <c r="M96" s="46"/>
      <c r="N96" s="53"/>
      <c r="O96" s="46"/>
      <c r="P96" s="47"/>
      <c r="Q96" s="48"/>
      <c r="R96" s="49"/>
      <c r="S96" s="54" t="str">
        <f aca="false">IF(OR($AC96=0,$U96="",$M96="",$V96="",$W96=""),"",IF(COUNTIFS(m_teacher,$M96,m_date,$U96,m_active,1,m_start,"&lt;"&amp;$W96,m_end,"&gt;"&amp;$V96)&gt;1,"충돌",""))</f>
        <v/>
      </c>
      <c r="T96" s="48"/>
      <c r="U96" s="55" t="str">
        <f aca="false">IF($G96="","",IFERROR(IF(ISNUMBER($G96),IF($G96&gt;19000000,DATE(INT($G96/10000),MOD(INT($G96/100),100),MOD($G96,100)),INT($G96)),IF(LEN(SUBSTITUTE(SUBSTITUTE(SUBSTITUTE(TRIM($G96),"-",""),".",""),"/",""))=8,DATE(VALUE(LEFT(SUBSTITUTE(SUBSTITUTE(SUBSTITUTE(TRIM($G96),"-",""),".",""),"/",""),4)),VALUE(MID(SUBSTITUTE(SUBSTITUTE(SUBSTITUTE(TRIM($G96),"-",""),".",""),"/",""),5,2)),VALUE(RIGHT(SUBSTITUTE(SUBSTITUTE(SUBSTITUTE(TRIM($G96),"-",""),".",""),"/",""),2))),DATEVALUE($G96))),""))</f>
        <v/>
      </c>
      <c r="V96" s="52" t="str">
        <f aca="false">IF($H96="","",IFERROR(IF(IF(ISNUMBER($H96),$H96,IFERROR(TIMEVALUE($H96),VALUE($H96)))&gt;=100,INT(IF(ISNUMBER($H96),$H96,IFERROR(TIMEVALUE($H96),VALUE($H96)))/100)*60+MOD(IF(ISNUMBER($H96),$H96,IFERROR(TIMEVALUE($H96),VALUE($H96))),100),IF(IF(ISNUMBER($H96),$H96,IFERROR(TIMEVALUE($H96),VALUE($H96)))&gt;=1,ROUND(IF(ISNUMBER($H96),$H96,IFERROR(TIMEVALUE($H96),VALUE($H96)))*60,0),ROUND(MOD(IF(ISNUMBER($H96),$H96,IFERROR(TIMEVALUE($H96),VALUE($H96))),1)*1440,0))),""))</f>
        <v/>
      </c>
      <c r="W96" s="52" t="str">
        <f aca="false">IF($I96="","",IFERROR(IF(IF(ISNUMBER($I96),$I96,IFERROR(TIMEVALUE($I96),VALUE($I96)))&gt;=100,INT(IF(ISNUMBER($I96),$I96,IFERROR(TIMEVALUE($I96),VALUE($I96)))/100)*60+MOD(IF(ISNUMBER($I96),$I96,IFERROR(TIMEVALUE($I96),VALUE($I96))),100),IF(IF(ISNUMBER($I96),$I96,IFERROR(TIMEVALUE($I96),VALUE($I96)))&gt;=1,ROUND(IF(ISNUMBER($I96),$I96,IFERROR(TIMEVALUE($I96),VALUE($I96)))*60,0),ROUND(MOD(IF(ISNUMBER($I96),$I96,IFERROR(TIMEVALUE($I96),VALUE($I96))),1)*1440,0))),""))</f>
        <v/>
      </c>
      <c r="X96" s="55" t="str">
        <f aca="false">IF($P96="","",IFERROR(IF(ISNUMBER($P96),IF($P96&gt;19000000,DATE(INT($P96/10000),MOD(INT($P96/100),100),MOD($P96,100)),INT($P96)),IF(LEN(SUBSTITUTE(SUBSTITUTE(SUBSTITUTE(TRIM($P96),"-",""),".",""),"/",""))=8,DATE(VALUE(LEFT(SUBSTITUTE(SUBSTITUTE(SUBSTITUTE(TRIM($P96),"-",""),".",""),"/",""),4)),VALUE(MID(SUBSTITUTE(SUBSTITUTE(SUBSTITUTE(TRIM($P96),"-",""),".",""),"/",""),5,2)),VALUE(RIGHT(SUBSTITUTE(SUBSTITUTE(SUBSTITUTE(TRIM($P96),"-",""),".",""),"/",""),2))),DATEVALUE($P96))),""))</f>
        <v/>
      </c>
      <c r="Y96" s="56" t="str">
        <f aca="false">IF($M96="","",IFERROR(INDEX(강사DB!$D$4:$D$53,MATCH($M96,강사DB!$A$4:$A$53,0)),""))</f>
        <v/>
      </c>
      <c r="Z96" s="56" t="str">
        <f aca="false">IF($B96&lt;&gt;"결제완료","",IF(OR($Y96="",$J96=""),"",$Y96*$J96+MAX(0,N($K96)-1)*설정!$J$7))</f>
        <v/>
      </c>
      <c r="AA96" s="56" t="str">
        <f aca="false">IF(AND($D96&lt;&gt;"",$B96="결제완료"),N($N96),"")</f>
        <v/>
      </c>
      <c r="AB96" s="45" t="str">
        <f aca="false">IF($D96="","",IF($F96&lt;&gt;"",$F96,$D96)&amp;IF($B96="상담중"," (상담)",""))</f>
        <v/>
      </c>
      <c r="AC96" s="45" t="n">
        <f aca="false">IF(AND($D96&lt;&gt;"",OR($B96="결제완료",$B96="상담중")),1,0)</f>
        <v>0</v>
      </c>
      <c r="AD96" s="45" t="n">
        <f aca="false">IF(OR($Z96="",$U96=""),0,IFERROR(IF(COUNTIFS(INDEX(g_grid,0,2*MATCH($M96,강사DB!$A$4:$A$15,0)),"&lt;&gt;",g_s,"&lt;="&amp;$U96,g_e,"&gt;="&amp;$U96)&gt;0,1,0),0))</f>
        <v>0</v>
      </c>
      <c r="AE96" s="48"/>
      <c r="AF96" s="56" t="str">
        <f aca="false">IF(AND($D96&lt;&gt;"",$B96="결제완료",$T96="대여"),설정!$J$5,"")</f>
        <v/>
      </c>
      <c r="AG96" s="54" t="str">
        <f aca="false">IF($D96="","",IF(AND($E96="",$R96=""),$AB96,"☎ "&amp;IF($E96="","-",$E96)&amp;IF($R96&lt;&gt;"","  ※ "&amp;$R96,"")&amp;IF($B96="상담중"," (상담)","")))</f>
        <v/>
      </c>
      <c r="AH96" s="56" t="str">
        <f aca="false">IF(AND($D96&lt;&gt;"",$B96="결제완료",$O96="스마트스토어"),ROUND(N($N96)*설정!$J$6,0),"")</f>
        <v/>
      </c>
      <c r="AI96" s="54" t="str">
        <f aca="false">IF($D96="","",ROW())</f>
        <v/>
      </c>
      <c r="AJ96" s="54" t="n">
        <f aca="false">IF(OR($AC96&lt;&gt;1,$M96=""),0,IF(ISNUMBER(SEARCH("퇴사",IFERROR(INDEX(강사DB!$G$4:$G$53,MATCH($M96,강사DB!$A$4:$A$53,0)),""))),1,0))</f>
        <v>0</v>
      </c>
    </row>
    <row r="97" customFormat="false" ht="15" hidden="false" customHeight="false" outlineLevel="0" collapsed="false">
      <c r="A97" s="45" t="str">
        <f aca="false">IF($D97="","",COUNTA($D$5:$D97))</f>
        <v/>
      </c>
      <c r="B97" s="46"/>
      <c r="C97" s="47"/>
      <c r="D97" s="48"/>
      <c r="E97" s="48"/>
      <c r="F97" s="49"/>
      <c r="G97" s="47"/>
      <c r="H97" s="50"/>
      <c r="I97" s="50"/>
      <c r="J97" s="51" t="str">
        <f aca="false">IF(OR($V97="",$W97=""),"",ROUND(($W97-$V97)/60,2))</f>
        <v/>
      </c>
      <c r="K97" s="52" t="str">
        <f aca="false">IF($F97="","",LEN($F97)-LEN(SUBSTITUTE($F97,",",""))+1)</f>
        <v/>
      </c>
      <c r="L97" s="45" t="str">
        <f aca="false">IF($K97="","","1:"&amp;$K97)</f>
        <v/>
      </c>
      <c r="M97" s="46"/>
      <c r="N97" s="53"/>
      <c r="O97" s="46"/>
      <c r="P97" s="47"/>
      <c r="Q97" s="48"/>
      <c r="R97" s="49"/>
      <c r="S97" s="54" t="str">
        <f aca="false">IF(OR($AC97=0,$U97="",$M97="",$V97="",$W97=""),"",IF(COUNTIFS(m_teacher,$M97,m_date,$U97,m_active,1,m_start,"&lt;"&amp;$W97,m_end,"&gt;"&amp;$V97)&gt;1,"충돌",""))</f>
        <v/>
      </c>
      <c r="T97" s="48"/>
      <c r="U97" s="55" t="str">
        <f aca="false">IF($G97="","",IFERROR(IF(ISNUMBER($G97),IF($G97&gt;19000000,DATE(INT($G97/10000),MOD(INT($G97/100),100),MOD($G97,100)),INT($G97)),IF(LEN(SUBSTITUTE(SUBSTITUTE(SUBSTITUTE(TRIM($G97),"-",""),".",""),"/",""))=8,DATE(VALUE(LEFT(SUBSTITUTE(SUBSTITUTE(SUBSTITUTE(TRIM($G97),"-",""),".",""),"/",""),4)),VALUE(MID(SUBSTITUTE(SUBSTITUTE(SUBSTITUTE(TRIM($G97),"-",""),".",""),"/",""),5,2)),VALUE(RIGHT(SUBSTITUTE(SUBSTITUTE(SUBSTITUTE(TRIM($G97),"-",""),".",""),"/",""),2))),DATEVALUE($G97))),""))</f>
        <v/>
      </c>
      <c r="V97" s="52" t="str">
        <f aca="false">IF($H97="","",IFERROR(IF(IF(ISNUMBER($H97),$H97,IFERROR(TIMEVALUE($H97),VALUE($H97)))&gt;=100,INT(IF(ISNUMBER($H97),$H97,IFERROR(TIMEVALUE($H97),VALUE($H97)))/100)*60+MOD(IF(ISNUMBER($H97),$H97,IFERROR(TIMEVALUE($H97),VALUE($H97))),100),IF(IF(ISNUMBER($H97),$H97,IFERROR(TIMEVALUE($H97),VALUE($H97)))&gt;=1,ROUND(IF(ISNUMBER($H97),$H97,IFERROR(TIMEVALUE($H97),VALUE($H97)))*60,0),ROUND(MOD(IF(ISNUMBER($H97),$H97,IFERROR(TIMEVALUE($H97),VALUE($H97))),1)*1440,0))),""))</f>
        <v/>
      </c>
      <c r="W97" s="52" t="str">
        <f aca="false">IF($I97="","",IFERROR(IF(IF(ISNUMBER($I97),$I97,IFERROR(TIMEVALUE($I97),VALUE($I97)))&gt;=100,INT(IF(ISNUMBER($I97),$I97,IFERROR(TIMEVALUE($I97),VALUE($I97)))/100)*60+MOD(IF(ISNUMBER($I97),$I97,IFERROR(TIMEVALUE($I97),VALUE($I97))),100),IF(IF(ISNUMBER($I97),$I97,IFERROR(TIMEVALUE($I97),VALUE($I97)))&gt;=1,ROUND(IF(ISNUMBER($I97),$I97,IFERROR(TIMEVALUE($I97),VALUE($I97)))*60,0),ROUND(MOD(IF(ISNUMBER($I97),$I97,IFERROR(TIMEVALUE($I97),VALUE($I97))),1)*1440,0))),""))</f>
        <v/>
      </c>
      <c r="X97" s="55" t="str">
        <f aca="false">IF($P97="","",IFERROR(IF(ISNUMBER($P97),IF($P97&gt;19000000,DATE(INT($P97/10000),MOD(INT($P97/100),100),MOD($P97,100)),INT($P97)),IF(LEN(SUBSTITUTE(SUBSTITUTE(SUBSTITUTE(TRIM($P97),"-",""),".",""),"/",""))=8,DATE(VALUE(LEFT(SUBSTITUTE(SUBSTITUTE(SUBSTITUTE(TRIM($P97),"-",""),".",""),"/",""),4)),VALUE(MID(SUBSTITUTE(SUBSTITUTE(SUBSTITUTE(TRIM($P97),"-",""),".",""),"/",""),5,2)),VALUE(RIGHT(SUBSTITUTE(SUBSTITUTE(SUBSTITUTE(TRIM($P97),"-",""),".",""),"/",""),2))),DATEVALUE($P97))),""))</f>
        <v/>
      </c>
      <c r="Y97" s="56" t="str">
        <f aca="false">IF($M97="","",IFERROR(INDEX(강사DB!$D$4:$D$53,MATCH($M97,강사DB!$A$4:$A$53,0)),""))</f>
        <v/>
      </c>
      <c r="Z97" s="56" t="str">
        <f aca="false">IF($B97&lt;&gt;"결제완료","",IF(OR($Y97="",$J97=""),"",$Y97*$J97+MAX(0,N($K97)-1)*설정!$J$7))</f>
        <v/>
      </c>
      <c r="AA97" s="56" t="str">
        <f aca="false">IF(AND($D97&lt;&gt;"",$B97="결제완료"),N($N97),"")</f>
        <v/>
      </c>
      <c r="AB97" s="45" t="str">
        <f aca="false">IF($D97="","",IF($F97&lt;&gt;"",$F97,$D97)&amp;IF($B97="상담중"," (상담)",""))</f>
        <v/>
      </c>
      <c r="AC97" s="45" t="n">
        <f aca="false">IF(AND($D97&lt;&gt;"",OR($B97="결제완료",$B97="상담중")),1,0)</f>
        <v>0</v>
      </c>
      <c r="AD97" s="45" t="n">
        <f aca="false">IF(OR($Z97="",$U97=""),0,IFERROR(IF(COUNTIFS(INDEX(g_grid,0,2*MATCH($M97,강사DB!$A$4:$A$15,0)),"&lt;&gt;",g_s,"&lt;="&amp;$U97,g_e,"&gt;="&amp;$U97)&gt;0,1,0),0))</f>
        <v>0</v>
      </c>
      <c r="AE97" s="48"/>
      <c r="AF97" s="56" t="str">
        <f aca="false">IF(AND($D97&lt;&gt;"",$B97="결제완료",$T97="대여"),설정!$J$5,"")</f>
        <v/>
      </c>
      <c r="AG97" s="54" t="str">
        <f aca="false">IF($D97="","",IF(AND($E97="",$R97=""),$AB97,"☎ "&amp;IF($E97="","-",$E97)&amp;IF($R97&lt;&gt;"","  ※ "&amp;$R97,"")&amp;IF($B97="상담중"," (상담)","")))</f>
        <v/>
      </c>
      <c r="AH97" s="56" t="str">
        <f aca="false">IF(AND($D97&lt;&gt;"",$B97="결제완료",$O97="스마트스토어"),ROUND(N($N97)*설정!$J$6,0),"")</f>
        <v/>
      </c>
      <c r="AI97" s="54" t="str">
        <f aca="false">IF($D97="","",ROW())</f>
        <v/>
      </c>
      <c r="AJ97" s="54" t="n">
        <f aca="false">IF(OR($AC97&lt;&gt;1,$M97=""),0,IF(ISNUMBER(SEARCH("퇴사",IFERROR(INDEX(강사DB!$G$4:$G$53,MATCH($M97,강사DB!$A$4:$A$53,0)),""))),1,0))</f>
        <v>0</v>
      </c>
    </row>
    <row r="98" customFormat="false" ht="15" hidden="false" customHeight="false" outlineLevel="0" collapsed="false">
      <c r="A98" s="45" t="str">
        <f aca="false">IF($D98="","",COUNTA($D$5:$D98))</f>
        <v/>
      </c>
      <c r="B98" s="46"/>
      <c r="C98" s="47"/>
      <c r="D98" s="48"/>
      <c r="E98" s="48"/>
      <c r="F98" s="49"/>
      <c r="G98" s="47"/>
      <c r="H98" s="50"/>
      <c r="I98" s="50"/>
      <c r="J98" s="51" t="str">
        <f aca="false">IF(OR($V98="",$W98=""),"",ROUND(($W98-$V98)/60,2))</f>
        <v/>
      </c>
      <c r="K98" s="52" t="str">
        <f aca="false">IF($F98="","",LEN($F98)-LEN(SUBSTITUTE($F98,",",""))+1)</f>
        <v/>
      </c>
      <c r="L98" s="45" t="str">
        <f aca="false">IF($K98="","","1:"&amp;$K98)</f>
        <v/>
      </c>
      <c r="M98" s="46"/>
      <c r="N98" s="53"/>
      <c r="O98" s="46"/>
      <c r="P98" s="47"/>
      <c r="Q98" s="48"/>
      <c r="R98" s="49"/>
      <c r="S98" s="54" t="str">
        <f aca="false">IF(OR($AC98=0,$U98="",$M98="",$V98="",$W98=""),"",IF(COUNTIFS(m_teacher,$M98,m_date,$U98,m_active,1,m_start,"&lt;"&amp;$W98,m_end,"&gt;"&amp;$V98)&gt;1,"충돌",""))</f>
        <v/>
      </c>
      <c r="T98" s="48"/>
      <c r="U98" s="55" t="str">
        <f aca="false">IF($G98="","",IFERROR(IF(ISNUMBER($G98),IF($G98&gt;19000000,DATE(INT($G98/10000),MOD(INT($G98/100),100),MOD($G98,100)),INT($G98)),IF(LEN(SUBSTITUTE(SUBSTITUTE(SUBSTITUTE(TRIM($G98),"-",""),".",""),"/",""))=8,DATE(VALUE(LEFT(SUBSTITUTE(SUBSTITUTE(SUBSTITUTE(TRIM($G98),"-",""),".",""),"/",""),4)),VALUE(MID(SUBSTITUTE(SUBSTITUTE(SUBSTITUTE(TRIM($G98),"-",""),".",""),"/",""),5,2)),VALUE(RIGHT(SUBSTITUTE(SUBSTITUTE(SUBSTITUTE(TRIM($G98),"-",""),".",""),"/",""),2))),DATEVALUE($G98))),""))</f>
        <v/>
      </c>
      <c r="V98" s="52" t="str">
        <f aca="false">IF($H98="","",IFERROR(IF(IF(ISNUMBER($H98),$H98,IFERROR(TIMEVALUE($H98),VALUE($H98)))&gt;=100,INT(IF(ISNUMBER($H98),$H98,IFERROR(TIMEVALUE($H98),VALUE($H98)))/100)*60+MOD(IF(ISNUMBER($H98),$H98,IFERROR(TIMEVALUE($H98),VALUE($H98))),100),IF(IF(ISNUMBER($H98),$H98,IFERROR(TIMEVALUE($H98),VALUE($H98)))&gt;=1,ROUND(IF(ISNUMBER($H98),$H98,IFERROR(TIMEVALUE($H98),VALUE($H98)))*60,0),ROUND(MOD(IF(ISNUMBER($H98),$H98,IFERROR(TIMEVALUE($H98),VALUE($H98))),1)*1440,0))),""))</f>
        <v/>
      </c>
      <c r="W98" s="52" t="str">
        <f aca="false">IF($I98="","",IFERROR(IF(IF(ISNUMBER($I98),$I98,IFERROR(TIMEVALUE($I98),VALUE($I98)))&gt;=100,INT(IF(ISNUMBER($I98),$I98,IFERROR(TIMEVALUE($I98),VALUE($I98)))/100)*60+MOD(IF(ISNUMBER($I98),$I98,IFERROR(TIMEVALUE($I98),VALUE($I98))),100),IF(IF(ISNUMBER($I98),$I98,IFERROR(TIMEVALUE($I98),VALUE($I98)))&gt;=1,ROUND(IF(ISNUMBER($I98),$I98,IFERROR(TIMEVALUE($I98),VALUE($I98)))*60,0),ROUND(MOD(IF(ISNUMBER($I98),$I98,IFERROR(TIMEVALUE($I98),VALUE($I98))),1)*1440,0))),""))</f>
        <v/>
      </c>
      <c r="X98" s="55" t="str">
        <f aca="false">IF($P98="","",IFERROR(IF(ISNUMBER($P98),IF($P98&gt;19000000,DATE(INT($P98/10000),MOD(INT($P98/100),100),MOD($P98,100)),INT($P98)),IF(LEN(SUBSTITUTE(SUBSTITUTE(SUBSTITUTE(TRIM($P98),"-",""),".",""),"/",""))=8,DATE(VALUE(LEFT(SUBSTITUTE(SUBSTITUTE(SUBSTITUTE(TRIM($P98),"-",""),".",""),"/",""),4)),VALUE(MID(SUBSTITUTE(SUBSTITUTE(SUBSTITUTE(TRIM($P98),"-",""),".",""),"/",""),5,2)),VALUE(RIGHT(SUBSTITUTE(SUBSTITUTE(SUBSTITUTE(TRIM($P98),"-",""),".",""),"/",""),2))),DATEVALUE($P98))),""))</f>
        <v/>
      </c>
      <c r="Y98" s="56" t="str">
        <f aca="false">IF($M98="","",IFERROR(INDEX(강사DB!$D$4:$D$53,MATCH($M98,강사DB!$A$4:$A$53,0)),""))</f>
        <v/>
      </c>
      <c r="Z98" s="56" t="str">
        <f aca="false">IF($B98&lt;&gt;"결제완료","",IF(OR($Y98="",$J98=""),"",$Y98*$J98+MAX(0,N($K98)-1)*설정!$J$7))</f>
        <v/>
      </c>
      <c r="AA98" s="56" t="str">
        <f aca="false">IF(AND($D98&lt;&gt;"",$B98="결제완료"),N($N98),"")</f>
        <v/>
      </c>
      <c r="AB98" s="45" t="str">
        <f aca="false">IF($D98="","",IF($F98&lt;&gt;"",$F98,$D98)&amp;IF($B98="상담중"," (상담)",""))</f>
        <v/>
      </c>
      <c r="AC98" s="45" t="n">
        <f aca="false">IF(AND($D98&lt;&gt;"",OR($B98="결제완료",$B98="상담중")),1,0)</f>
        <v>0</v>
      </c>
      <c r="AD98" s="45" t="n">
        <f aca="false">IF(OR($Z98="",$U98=""),0,IFERROR(IF(COUNTIFS(INDEX(g_grid,0,2*MATCH($M98,강사DB!$A$4:$A$15,0)),"&lt;&gt;",g_s,"&lt;="&amp;$U98,g_e,"&gt;="&amp;$U98)&gt;0,1,0),0))</f>
        <v>0</v>
      </c>
      <c r="AE98" s="48"/>
      <c r="AF98" s="56" t="str">
        <f aca="false">IF(AND($D98&lt;&gt;"",$B98="결제완료",$T98="대여"),설정!$J$5,"")</f>
        <v/>
      </c>
      <c r="AG98" s="54" t="str">
        <f aca="false">IF($D98="","",IF(AND($E98="",$R98=""),$AB98,"☎ "&amp;IF($E98="","-",$E98)&amp;IF($R98&lt;&gt;"","  ※ "&amp;$R98,"")&amp;IF($B98="상담중"," (상담)","")))</f>
        <v/>
      </c>
      <c r="AH98" s="56" t="str">
        <f aca="false">IF(AND($D98&lt;&gt;"",$B98="결제완료",$O98="스마트스토어"),ROUND(N($N98)*설정!$J$6,0),"")</f>
        <v/>
      </c>
      <c r="AI98" s="54" t="str">
        <f aca="false">IF($D98="","",ROW())</f>
        <v/>
      </c>
      <c r="AJ98" s="54" t="n">
        <f aca="false">IF(OR($AC98&lt;&gt;1,$M98=""),0,IF(ISNUMBER(SEARCH("퇴사",IFERROR(INDEX(강사DB!$G$4:$G$53,MATCH($M98,강사DB!$A$4:$A$53,0)),""))),1,0))</f>
        <v>0</v>
      </c>
    </row>
    <row r="99" customFormat="false" ht="15" hidden="false" customHeight="false" outlineLevel="0" collapsed="false">
      <c r="A99" s="45" t="str">
        <f aca="false">IF($D99="","",COUNTA($D$5:$D99))</f>
        <v/>
      </c>
      <c r="B99" s="46"/>
      <c r="C99" s="47"/>
      <c r="D99" s="48"/>
      <c r="E99" s="48"/>
      <c r="F99" s="49"/>
      <c r="G99" s="47"/>
      <c r="H99" s="50"/>
      <c r="I99" s="50"/>
      <c r="J99" s="51" t="str">
        <f aca="false">IF(OR($V99="",$W99=""),"",ROUND(($W99-$V99)/60,2))</f>
        <v/>
      </c>
      <c r="K99" s="52" t="str">
        <f aca="false">IF($F99="","",LEN($F99)-LEN(SUBSTITUTE($F99,",",""))+1)</f>
        <v/>
      </c>
      <c r="L99" s="45" t="str">
        <f aca="false">IF($K99="","","1:"&amp;$K99)</f>
        <v/>
      </c>
      <c r="M99" s="46"/>
      <c r="N99" s="53"/>
      <c r="O99" s="46"/>
      <c r="P99" s="47"/>
      <c r="Q99" s="48"/>
      <c r="R99" s="49"/>
      <c r="S99" s="54" t="str">
        <f aca="false">IF(OR($AC99=0,$U99="",$M99="",$V99="",$W99=""),"",IF(COUNTIFS(m_teacher,$M99,m_date,$U99,m_active,1,m_start,"&lt;"&amp;$W99,m_end,"&gt;"&amp;$V99)&gt;1,"충돌",""))</f>
        <v/>
      </c>
      <c r="T99" s="48"/>
      <c r="U99" s="55" t="str">
        <f aca="false">IF($G99="","",IFERROR(IF(ISNUMBER($G99),IF($G99&gt;19000000,DATE(INT($G99/10000),MOD(INT($G99/100),100),MOD($G99,100)),INT($G99)),IF(LEN(SUBSTITUTE(SUBSTITUTE(SUBSTITUTE(TRIM($G99),"-",""),".",""),"/",""))=8,DATE(VALUE(LEFT(SUBSTITUTE(SUBSTITUTE(SUBSTITUTE(TRIM($G99),"-",""),".",""),"/",""),4)),VALUE(MID(SUBSTITUTE(SUBSTITUTE(SUBSTITUTE(TRIM($G99),"-",""),".",""),"/",""),5,2)),VALUE(RIGHT(SUBSTITUTE(SUBSTITUTE(SUBSTITUTE(TRIM($G99),"-",""),".",""),"/",""),2))),DATEVALUE($G99))),""))</f>
        <v/>
      </c>
      <c r="V99" s="52" t="str">
        <f aca="false">IF($H99="","",IFERROR(IF(IF(ISNUMBER($H99),$H99,IFERROR(TIMEVALUE($H99),VALUE($H99)))&gt;=100,INT(IF(ISNUMBER($H99),$H99,IFERROR(TIMEVALUE($H99),VALUE($H99)))/100)*60+MOD(IF(ISNUMBER($H99),$H99,IFERROR(TIMEVALUE($H99),VALUE($H99))),100),IF(IF(ISNUMBER($H99),$H99,IFERROR(TIMEVALUE($H99),VALUE($H99)))&gt;=1,ROUND(IF(ISNUMBER($H99),$H99,IFERROR(TIMEVALUE($H99),VALUE($H99)))*60,0),ROUND(MOD(IF(ISNUMBER($H99),$H99,IFERROR(TIMEVALUE($H99),VALUE($H99))),1)*1440,0))),""))</f>
        <v/>
      </c>
      <c r="W99" s="52" t="str">
        <f aca="false">IF($I99="","",IFERROR(IF(IF(ISNUMBER($I99),$I99,IFERROR(TIMEVALUE($I99),VALUE($I99)))&gt;=100,INT(IF(ISNUMBER($I99),$I99,IFERROR(TIMEVALUE($I99),VALUE($I99)))/100)*60+MOD(IF(ISNUMBER($I99),$I99,IFERROR(TIMEVALUE($I99),VALUE($I99))),100),IF(IF(ISNUMBER($I99),$I99,IFERROR(TIMEVALUE($I99),VALUE($I99)))&gt;=1,ROUND(IF(ISNUMBER($I99),$I99,IFERROR(TIMEVALUE($I99),VALUE($I99)))*60,0),ROUND(MOD(IF(ISNUMBER($I99),$I99,IFERROR(TIMEVALUE($I99),VALUE($I99))),1)*1440,0))),""))</f>
        <v/>
      </c>
      <c r="X99" s="55" t="str">
        <f aca="false">IF($P99="","",IFERROR(IF(ISNUMBER($P99),IF($P99&gt;19000000,DATE(INT($P99/10000),MOD(INT($P99/100),100),MOD($P99,100)),INT($P99)),IF(LEN(SUBSTITUTE(SUBSTITUTE(SUBSTITUTE(TRIM($P99),"-",""),".",""),"/",""))=8,DATE(VALUE(LEFT(SUBSTITUTE(SUBSTITUTE(SUBSTITUTE(TRIM($P99),"-",""),".",""),"/",""),4)),VALUE(MID(SUBSTITUTE(SUBSTITUTE(SUBSTITUTE(TRIM($P99),"-",""),".",""),"/",""),5,2)),VALUE(RIGHT(SUBSTITUTE(SUBSTITUTE(SUBSTITUTE(TRIM($P99),"-",""),".",""),"/",""),2))),DATEVALUE($P99))),""))</f>
        <v/>
      </c>
      <c r="Y99" s="56" t="str">
        <f aca="false">IF($M99="","",IFERROR(INDEX(강사DB!$D$4:$D$53,MATCH($M99,강사DB!$A$4:$A$53,0)),""))</f>
        <v/>
      </c>
      <c r="Z99" s="56" t="str">
        <f aca="false">IF($B99&lt;&gt;"결제완료","",IF(OR($Y99="",$J99=""),"",$Y99*$J99+MAX(0,N($K99)-1)*설정!$J$7))</f>
        <v/>
      </c>
      <c r="AA99" s="56" t="str">
        <f aca="false">IF(AND($D99&lt;&gt;"",$B99="결제완료"),N($N99),"")</f>
        <v/>
      </c>
      <c r="AB99" s="45" t="str">
        <f aca="false">IF($D99="","",IF($F99&lt;&gt;"",$F99,$D99)&amp;IF($B99="상담중"," (상담)",""))</f>
        <v/>
      </c>
      <c r="AC99" s="45" t="n">
        <f aca="false">IF(AND($D99&lt;&gt;"",OR($B99="결제완료",$B99="상담중")),1,0)</f>
        <v>0</v>
      </c>
      <c r="AD99" s="45" t="n">
        <f aca="false">IF(OR($Z99="",$U99=""),0,IFERROR(IF(COUNTIFS(INDEX(g_grid,0,2*MATCH($M99,강사DB!$A$4:$A$15,0)),"&lt;&gt;",g_s,"&lt;="&amp;$U99,g_e,"&gt;="&amp;$U99)&gt;0,1,0),0))</f>
        <v>0</v>
      </c>
      <c r="AE99" s="48"/>
      <c r="AF99" s="56" t="str">
        <f aca="false">IF(AND($D99&lt;&gt;"",$B99="결제완료",$T99="대여"),설정!$J$5,"")</f>
        <v/>
      </c>
      <c r="AG99" s="54" t="str">
        <f aca="false">IF($D99="","",IF(AND($E99="",$R99=""),$AB99,"☎ "&amp;IF($E99="","-",$E99)&amp;IF($R99&lt;&gt;"","  ※ "&amp;$R99,"")&amp;IF($B99="상담중"," (상담)","")))</f>
        <v/>
      </c>
      <c r="AH99" s="56" t="str">
        <f aca="false">IF(AND($D99&lt;&gt;"",$B99="결제완료",$O99="스마트스토어"),ROUND(N($N99)*설정!$J$6,0),"")</f>
        <v/>
      </c>
      <c r="AI99" s="54" t="str">
        <f aca="false">IF($D99="","",ROW())</f>
        <v/>
      </c>
      <c r="AJ99" s="54" t="n">
        <f aca="false">IF(OR($AC99&lt;&gt;1,$M99=""),0,IF(ISNUMBER(SEARCH("퇴사",IFERROR(INDEX(강사DB!$G$4:$G$53,MATCH($M99,강사DB!$A$4:$A$53,0)),""))),1,0))</f>
        <v>0</v>
      </c>
    </row>
    <row r="100" customFormat="false" ht="15" hidden="false" customHeight="false" outlineLevel="0" collapsed="false">
      <c r="A100" s="45" t="str">
        <f aca="false">IF($D100="","",COUNTA($D$5:$D100))</f>
        <v/>
      </c>
      <c r="B100" s="46"/>
      <c r="C100" s="47"/>
      <c r="D100" s="48"/>
      <c r="E100" s="48"/>
      <c r="F100" s="49"/>
      <c r="G100" s="47"/>
      <c r="H100" s="50"/>
      <c r="I100" s="50"/>
      <c r="J100" s="51" t="str">
        <f aca="false">IF(OR($V100="",$W100=""),"",ROUND(($W100-$V100)/60,2))</f>
        <v/>
      </c>
      <c r="K100" s="52" t="str">
        <f aca="false">IF($F100="","",LEN($F100)-LEN(SUBSTITUTE($F100,",",""))+1)</f>
        <v/>
      </c>
      <c r="L100" s="45" t="str">
        <f aca="false">IF($K100="","","1:"&amp;$K100)</f>
        <v/>
      </c>
      <c r="M100" s="46"/>
      <c r="N100" s="53"/>
      <c r="O100" s="46"/>
      <c r="P100" s="47"/>
      <c r="Q100" s="48"/>
      <c r="R100" s="49"/>
      <c r="S100" s="54" t="str">
        <f aca="false">IF(OR($AC100=0,$U100="",$M100="",$V100="",$W100=""),"",IF(COUNTIFS(m_teacher,$M100,m_date,$U100,m_active,1,m_start,"&lt;"&amp;$W100,m_end,"&gt;"&amp;$V100)&gt;1,"충돌",""))</f>
        <v/>
      </c>
      <c r="T100" s="48"/>
      <c r="U100" s="55" t="str">
        <f aca="false">IF($G100="","",IFERROR(IF(ISNUMBER($G100),IF($G100&gt;19000000,DATE(INT($G100/10000),MOD(INT($G100/100),100),MOD($G100,100)),INT($G100)),IF(LEN(SUBSTITUTE(SUBSTITUTE(SUBSTITUTE(TRIM($G100),"-",""),".",""),"/",""))=8,DATE(VALUE(LEFT(SUBSTITUTE(SUBSTITUTE(SUBSTITUTE(TRIM($G100),"-",""),".",""),"/",""),4)),VALUE(MID(SUBSTITUTE(SUBSTITUTE(SUBSTITUTE(TRIM($G100),"-",""),".",""),"/",""),5,2)),VALUE(RIGHT(SUBSTITUTE(SUBSTITUTE(SUBSTITUTE(TRIM($G100),"-",""),".",""),"/",""),2))),DATEVALUE($G100))),""))</f>
        <v/>
      </c>
      <c r="V100" s="52" t="str">
        <f aca="false">IF($H100="","",IFERROR(IF(IF(ISNUMBER($H100),$H100,IFERROR(TIMEVALUE($H100),VALUE($H100)))&gt;=100,INT(IF(ISNUMBER($H100),$H100,IFERROR(TIMEVALUE($H100),VALUE($H100)))/100)*60+MOD(IF(ISNUMBER($H100),$H100,IFERROR(TIMEVALUE($H100),VALUE($H100))),100),IF(IF(ISNUMBER($H100),$H100,IFERROR(TIMEVALUE($H100),VALUE($H100)))&gt;=1,ROUND(IF(ISNUMBER($H100),$H100,IFERROR(TIMEVALUE($H100),VALUE($H100)))*60,0),ROUND(MOD(IF(ISNUMBER($H100),$H100,IFERROR(TIMEVALUE($H100),VALUE($H100))),1)*1440,0))),""))</f>
        <v/>
      </c>
      <c r="W100" s="52" t="str">
        <f aca="false">IF($I100="","",IFERROR(IF(IF(ISNUMBER($I100),$I100,IFERROR(TIMEVALUE($I100),VALUE($I100)))&gt;=100,INT(IF(ISNUMBER($I100),$I100,IFERROR(TIMEVALUE($I100),VALUE($I100)))/100)*60+MOD(IF(ISNUMBER($I100),$I100,IFERROR(TIMEVALUE($I100),VALUE($I100))),100),IF(IF(ISNUMBER($I100),$I100,IFERROR(TIMEVALUE($I100),VALUE($I100)))&gt;=1,ROUND(IF(ISNUMBER($I100),$I100,IFERROR(TIMEVALUE($I100),VALUE($I100)))*60,0),ROUND(MOD(IF(ISNUMBER($I100),$I100,IFERROR(TIMEVALUE($I100),VALUE($I100))),1)*1440,0))),""))</f>
        <v/>
      </c>
      <c r="X100" s="55" t="str">
        <f aca="false">IF($P100="","",IFERROR(IF(ISNUMBER($P100),IF($P100&gt;19000000,DATE(INT($P100/10000),MOD(INT($P100/100),100),MOD($P100,100)),INT($P100)),IF(LEN(SUBSTITUTE(SUBSTITUTE(SUBSTITUTE(TRIM($P100),"-",""),".",""),"/",""))=8,DATE(VALUE(LEFT(SUBSTITUTE(SUBSTITUTE(SUBSTITUTE(TRIM($P100),"-",""),".",""),"/",""),4)),VALUE(MID(SUBSTITUTE(SUBSTITUTE(SUBSTITUTE(TRIM($P100),"-",""),".",""),"/",""),5,2)),VALUE(RIGHT(SUBSTITUTE(SUBSTITUTE(SUBSTITUTE(TRIM($P100),"-",""),".",""),"/",""),2))),DATEVALUE($P100))),""))</f>
        <v/>
      </c>
      <c r="Y100" s="56" t="str">
        <f aca="false">IF($M100="","",IFERROR(INDEX(강사DB!$D$4:$D$53,MATCH($M100,강사DB!$A$4:$A$53,0)),""))</f>
        <v/>
      </c>
      <c r="Z100" s="56" t="str">
        <f aca="false">IF($B100&lt;&gt;"결제완료","",IF(OR($Y100="",$J100=""),"",$Y100*$J100+MAX(0,N($K100)-1)*설정!$J$7))</f>
        <v/>
      </c>
      <c r="AA100" s="56" t="str">
        <f aca="false">IF(AND($D100&lt;&gt;"",$B100="결제완료"),N($N100),"")</f>
        <v/>
      </c>
      <c r="AB100" s="45" t="str">
        <f aca="false">IF($D100="","",IF($F100&lt;&gt;"",$F100,$D100)&amp;IF($B100="상담중"," (상담)",""))</f>
        <v/>
      </c>
      <c r="AC100" s="45" t="n">
        <f aca="false">IF(AND($D100&lt;&gt;"",OR($B100="결제완료",$B100="상담중")),1,0)</f>
        <v>0</v>
      </c>
      <c r="AD100" s="45" t="n">
        <f aca="false">IF(OR($Z100="",$U100=""),0,IFERROR(IF(COUNTIFS(INDEX(g_grid,0,2*MATCH($M100,강사DB!$A$4:$A$15,0)),"&lt;&gt;",g_s,"&lt;="&amp;$U100,g_e,"&gt;="&amp;$U100)&gt;0,1,0),0))</f>
        <v>0</v>
      </c>
      <c r="AE100" s="48"/>
      <c r="AF100" s="56" t="str">
        <f aca="false">IF(AND($D100&lt;&gt;"",$B100="결제완료",$T100="대여"),설정!$J$5,"")</f>
        <v/>
      </c>
      <c r="AG100" s="54" t="str">
        <f aca="false">IF($D100="","",IF(AND($E100="",$R100=""),$AB100,"☎ "&amp;IF($E100="","-",$E100)&amp;IF($R100&lt;&gt;"","  ※ "&amp;$R100,"")&amp;IF($B100="상담중"," (상담)","")))</f>
        <v/>
      </c>
      <c r="AH100" s="56" t="str">
        <f aca="false">IF(AND($D100&lt;&gt;"",$B100="결제완료",$O100="스마트스토어"),ROUND(N($N100)*설정!$J$6,0),"")</f>
        <v/>
      </c>
      <c r="AI100" s="54" t="str">
        <f aca="false">IF($D100="","",ROW())</f>
        <v/>
      </c>
      <c r="AJ100" s="54" t="n">
        <f aca="false">IF(OR($AC100&lt;&gt;1,$M100=""),0,IF(ISNUMBER(SEARCH("퇴사",IFERROR(INDEX(강사DB!$G$4:$G$53,MATCH($M100,강사DB!$A$4:$A$53,0)),""))),1,0))</f>
        <v>0</v>
      </c>
    </row>
    <row r="101" customFormat="false" ht="15" hidden="false" customHeight="false" outlineLevel="0" collapsed="false">
      <c r="A101" s="45" t="str">
        <f aca="false">IF($D101="","",COUNTA($D$5:$D101))</f>
        <v/>
      </c>
      <c r="B101" s="46"/>
      <c r="C101" s="47"/>
      <c r="D101" s="48"/>
      <c r="E101" s="48"/>
      <c r="F101" s="49"/>
      <c r="G101" s="47"/>
      <c r="H101" s="50"/>
      <c r="I101" s="50"/>
      <c r="J101" s="51" t="str">
        <f aca="false">IF(OR($V101="",$W101=""),"",ROUND(($W101-$V101)/60,2))</f>
        <v/>
      </c>
      <c r="K101" s="52" t="str">
        <f aca="false">IF($F101="","",LEN($F101)-LEN(SUBSTITUTE($F101,",",""))+1)</f>
        <v/>
      </c>
      <c r="L101" s="45" t="str">
        <f aca="false">IF($K101="","","1:"&amp;$K101)</f>
        <v/>
      </c>
      <c r="M101" s="46"/>
      <c r="N101" s="53"/>
      <c r="O101" s="46"/>
      <c r="P101" s="47"/>
      <c r="Q101" s="48"/>
      <c r="R101" s="49"/>
      <c r="S101" s="54" t="str">
        <f aca="false">IF(OR($AC101=0,$U101="",$M101="",$V101="",$W101=""),"",IF(COUNTIFS(m_teacher,$M101,m_date,$U101,m_active,1,m_start,"&lt;"&amp;$W101,m_end,"&gt;"&amp;$V101)&gt;1,"충돌",""))</f>
        <v/>
      </c>
      <c r="T101" s="48"/>
      <c r="U101" s="55" t="str">
        <f aca="false">IF($G101="","",IFERROR(IF(ISNUMBER($G101),IF($G101&gt;19000000,DATE(INT($G101/10000),MOD(INT($G101/100),100),MOD($G101,100)),INT($G101)),IF(LEN(SUBSTITUTE(SUBSTITUTE(SUBSTITUTE(TRIM($G101),"-",""),".",""),"/",""))=8,DATE(VALUE(LEFT(SUBSTITUTE(SUBSTITUTE(SUBSTITUTE(TRIM($G101),"-",""),".",""),"/",""),4)),VALUE(MID(SUBSTITUTE(SUBSTITUTE(SUBSTITUTE(TRIM($G101),"-",""),".",""),"/",""),5,2)),VALUE(RIGHT(SUBSTITUTE(SUBSTITUTE(SUBSTITUTE(TRIM($G101),"-",""),".",""),"/",""),2))),DATEVALUE($G101))),""))</f>
        <v/>
      </c>
      <c r="V101" s="52" t="str">
        <f aca="false">IF($H101="","",IFERROR(IF(IF(ISNUMBER($H101),$H101,IFERROR(TIMEVALUE($H101),VALUE($H101)))&gt;=100,INT(IF(ISNUMBER($H101),$H101,IFERROR(TIMEVALUE($H101),VALUE($H101)))/100)*60+MOD(IF(ISNUMBER($H101),$H101,IFERROR(TIMEVALUE($H101),VALUE($H101))),100),IF(IF(ISNUMBER($H101),$H101,IFERROR(TIMEVALUE($H101),VALUE($H101)))&gt;=1,ROUND(IF(ISNUMBER($H101),$H101,IFERROR(TIMEVALUE($H101),VALUE($H101)))*60,0),ROUND(MOD(IF(ISNUMBER($H101),$H101,IFERROR(TIMEVALUE($H101),VALUE($H101))),1)*1440,0))),""))</f>
        <v/>
      </c>
      <c r="W101" s="52" t="str">
        <f aca="false">IF($I101="","",IFERROR(IF(IF(ISNUMBER($I101),$I101,IFERROR(TIMEVALUE($I101),VALUE($I101)))&gt;=100,INT(IF(ISNUMBER($I101),$I101,IFERROR(TIMEVALUE($I101),VALUE($I101)))/100)*60+MOD(IF(ISNUMBER($I101),$I101,IFERROR(TIMEVALUE($I101),VALUE($I101))),100),IF(IF(ISNUMBER($I101),$I101,IFERROR(TIMEVALUE($I101),VALUE($I101)))&gt;=1,ROUND(IF(ISNUMBER($I101),$I101,IFERROR(TIMEVALUE($I101),VALUE($I101)))*60,0),ROUND(MOD(IF(ISNUMBER($I101),$I101,IFERROR(TIMEVALUE($I101),VALUE($I101))),1)*1440,0))),""))</f>
        <v/>
      </c>
      <c r="X101" s="55" t="str">
        <f aca="false">IF($P101="","",IFERROR(IF(ISNUMBER($P101),IF($P101&gt;19000000,DATE(INT($P101/10000),MOD(INT($P101/100),100),MOD($P101,100)),INT($P101)),IF(LEN(SUBSTITUTE(SUBSTITUTE(SUBSTITUTE(TRIM($P101),"-",""),".",""),"/",""))=8,DATE(VALUE(LEFT(SUBSTITUTE(SUBSTITUTE(SUBSTITUTE(TRIM($P101),"-",""),".",""),"/",""),4)),VALUE(MID(SUBSTITUTE(SUBSTITUTE(SUBSTITUTE(TRIM($P101),"-",""),".",""),"/",""),5,2)),VALUE(RIGHT(SUBSTITUTE(SUBSTITUTE(SUBSTITUTE(TRIM($P101),"-",""),".",""),"/",""),2))),DATEVALUE($P101))),""))</f>
        <v/>
      </c>
      <c r="Y101" s="56" t="str">
        <f aca="false">IF($M101="","",IFERROR(INDEX(강사DB!$D$4:$D$53,MATCH($M101,강사DB!$A$4:$A$53,0)),""))</f>
        <v/>
      </c>
      <c r="Z101" s="56" t="str">
        <f aca="false">IF($B101&lt;&gt;"결제완료","",IF(OR($Y101="",$J101=""),"",$Y101*$J101+MAX(0,N($K101)-1)*설정!$J$7))</f>
        <v/>
      </c>
      <c r="AA101" s="56" t="str">
        <f aca="false">IF(AND($D101&lt;&gt;"",$B101="결제완료"),N($N101),"")</f>
        <v/>
      </c>
      <c r="AB101" s="45" t="str">
        <f aca="false">IF($D101="","",IF($F101&lt;&gt;"",$F101,$D101)&amp;IF($B101="상담중"," (상담)",""))</f>
        <v/>
      </c>
      <c r="AC101" s="45" t="n">
        <f aca="false">IF(AND($D101&lt;&gt;"",OR($B101="결제완료",$B101="상담중")),1,0)</f>
        <v>0</v>
      </c>
      <c r="AD101" s="45" t="n">
        <f aca="false">IF(OR($Z101="",$U101=""),0,IFERROR(IF(COUNTIFS(INDEX(g_grid,0,2*MATCH($M101,강사DB!$A$4:$A$15,0)),"&lt;&gt;",g_s,"&lt;="&amp;$U101,g_e,"&gt;="&amp;$U101)&gt;0,1,0),0))</f>
        <v>0</v>
      </c>
      <c r="AE101" s="48"/>
      <c r="AF101" s="56" t="str">
        <f aca="false">IF(AND($D101&lt;&gt;"",$B101="결제완료",$T101="대여"),설정!$J$5,"")</f>
        <v/>
      </c>
      <c r="AG101" s="54" t="str">
        <f aca="false">IF($D101="","",IF(AND($E101="",$R101=""),$AB101,"☎ "&amp;IF($E101="","-",$E101)&amp;IF($R101&lt;&gt;"","  ※ "&amp;$R101,"")&amp;IF($B101="상담중"," (상담)","")))</f>
        <v/>
      </c>
      <c r="AH101" s="56" t="str">
        <f aca="false">IF(AND($D101&lt;&gt;"",$B101="결제완료",$O101="스마트스토어"),ROUND(N($N101)*설정!$J$6,0),"")</f>
        <v/>
      </c>
      <c r="AI101" s="54" t="str">
        <f aca="false">IF($D101="","",ROW())</f>
        <v/>
      </c>
      <c r="AJ101" s="54" t="n">
        <f aca="false">IF(OR($AC101&lt;&gt;1,$M101=""),0,IF(ISNUMBER(SEARCH("퇴사",IFERROR(INDEX(강사DB!$G$4:$G$53,MATCH($M101,강사DB!$A$4:$A$53,0)),""))),1,0))</f>
        <v>0</v>
      </c>
    </row>
    <row r="102" customFormat="false" ht="15" hidden="false" customHeight="false" outlineLevel="0" collapsed="false">
      <c r="A102" s="45" t="str">
        <f aca="false">IF($D102="","",COUNTA($D$5:$D102))</f>
        <v/>
      </c>
      <c r="B102" s="46"/>
      <c r="C102" s="47"/>
      <c r="D102" s="48"/>
      <c r="E102" s="48"/>
      <c r="F102" s="49"/>
      <c r="G102" s="47"/>
      <c r="H102" s="50"/>
      <c r="I102" s="50"/>
      <c r="J102" s="51" t="str">
        <f aca="false">IF(OR($V102="",$W102=""),"",ROUND(($W102-$V102)/60,2))</f>
        <v/>
      </c>
      <c r="K102" s="52" t="str">
        <f aca="false">IF($F102="","",LEN($F102)-LEN(SUBSTITUTE($F102,",",""))+1)</f>
        <v/>
      </c>
      <c r="L102" s="45" t="str">
        <f aca="false">IF($K102="","","1:"&amp;$K102)</f>
        <v/>
      </c>
      <c r="M102" s="46"/>
      <c r="N102" s="53"/>
      <c r="O102" s="46"/>
      <c r="P102" s="47"/>
      <c r="Q102" s="48"/>
      <c r="R102" s="49"/>
      <c r="S102" s="54" t="str">
        <f aca="false">IF(OR($AC102=0,$U102="",$M102="",$V102="",$W102=""),"",IF(COUNTIFS(m_teacher,$M102,m_date,$U102,m_active,1,m_start,"&lt;"&amp;$W102,m_end,"&gt;"&amp;$V102)&gt;1,"충돌",""))</f>
        <v/>
      </c>
      <c r="T102" s="48"/>
      <c r="U102" s="55" t="str">
        <f aca="false">IF($G102="","",IFERROR(IF(ISNUMBER($G102),IF($G102&gt;19000000,DATE(INT($G102/10000),MOD(INT($G102/100),100),MOD($G102,100)),INT($G102)),IF(LEN(SUBSTITUTE(SUBSTITUTE(SUBSTITUTE(TRIM($G102),"-",""),".",""),"/",""))=8,DATE(VALUE(LEFT(SUBSTITUTE(SUBSTITUTE(SUBSTITUTE(TRIM($G102),"-",""),".",""),"/",""),4)),VALUE(MID(SUBSTITUTE(SUBSTITUTE(SUBSTITUTE(TRIM($G102),"-",""),".",""),"/",""),5,2)),VALUE(RIGHT(SUBSTITUTE(SUBSTITUTE(SUBSTITUTE(TRIM($G102),"-",""),".",""),"/",""),2))),DATEVALUE($G102))),""))</f>
        <v/>
      </c>
      <c r="V102" s="52" t="str">
        <f aca="false">IF($H102="","",IFERROR(IF(IF(ISNUMBER($H102),$H102,IFERROR(TIMEVALUE($H102),VALUE($H102)))&gt;=100,INT(IF(ISNUMBER($H102),$H102,IFERROR(TIMEVALUE($H102),VALUE($H102)))/100)*60+MOD(IF(ISNUMBER($H102),$H102,IFERROR(TIMEVALUE($H102),VALUE($H102))),100),IF(IF(ISNUMBER($H102),$H102,IFERROR(TIMEVALUE($H102),VALUE($H102)))&gt;=1,ROUND(IF(ISNUMBER($H102),$H102,IFERROR(TIMEVALUE($H102),VALUE($H102)))*60,0),ROUND(MOD(IF(ISNUMBER($H102),$H102,IFERROR(TIMEVALUE($H102),VALUE($H102))),1)*1440,0))),""))</f>
        <v/>
      </c>
      <c r="W102" s="52" t="str">
        <f aca="false">IF($I102="","",IFERROR(IF(IF(ISNUMBER($I102),$I102,IFERROR(TIMEVALUE($I102),VALUE($I102)))&gt;=100,INT(IF(ISNUMBER($I102),$I102,IFERROR(TIMEVALUE($I102),VALUE($I102)))/100)*60+MOD(IF(ISNUMBER($I102),$I102,IFERROR(TIMEVALUE($I102),VALUE($I102))),100),IF(IF(ISNUMBER($I102),$I102,IFERROR(TIMEVALUE($I102),VALUE($I102)))&gt;=1,ROUND(IF(ISNUMBER($I102),$I102,IFERROR(TIMEVALUE($I102),VALUE($I102)))*60,0),ROUND(MOD(IF(ISNUMBER($I102),$I102,IFERROR(TIMEVALUE($I102),VALUE($I102))),1)*1440,0))),""))</f>
        <v/>
      </c>
      <c r="X102" s="55" t="str">
        <f aca="false">IF($P102="","",IFERROR(IF(ISNUMBER($P102),IF($P102&gt;19000000,DATE(INT($P102/10000),MOD(INT($P102/100),100),MOD($P102,100)),INT($P102)),IF(LEN(SUBSTITUTE(SUBSTITUTE(SUBSTITUTE(TRIM($P102),"-",""),".",""),"/",""))=8,DATE(VALUE(LEFT(SUBSTITUTE(SUBSTITUTE(SUBSTITUTE(TRIM($P102),"-",""),".",""),"/",""),4)),VALUE(MID(SUBSTITUTE(SUBSTITUTE(SUBSTITUTE(TRIM($P102),"-",""),".",""),"/",""),5,2)),VALUE(RIGHT(SUBSTITUTE(SUBSTITUTE(SUBSTITUTE(TRIM($P102),"-",""),".",""),"/",""),2))),DATEVALUE($P102))),""))</f>
        <v/>
      </c>
      <c r="Y102" s="56" t="str">
        <f aca="false">IF($M102="","",IFERROR(INDEX(강사DB!$D$4:$D$53,MATCH($M102,강사DB!$A$4:$A$53,0)),""))</f>
        <v/>
      </c>
      <c r="Z102" s="56" t="str">
        <f aca="false">IF($B102&lt;&gt;"결제완료","",IF(OR($Y102="",$J102=""),"",$Y102*$J102+MAX(0,N($K102)-1)*설정!$J$7))</f>
        <v/>
      </c>
      <c r="AA102" s="56" t="str">
        <f aca="false">IF(AND($D102&lt;&gt;"",$B102="결제완료"),N($N102),"")</f>
        <v/>
      </c>
      <c r="AB102" s="45" t="str">
        <f aca="false">IF($D102="","",IF($F102&lt;&gt;"",$F102,$D102)&amp;IF($B102="상담중"," (상담)",""))</f>
        <v/>
      </c>
      <c r="AC102" s="45" t="n">
        <f aca="false">IF(AND($D102&lt;&gt;"",OR($B102="결제완료",$B102="상담중")),1,0)</f>
        <v>0</v>
      </c>
      <c r="AD102" s="45" t="n">
        <f aca="false">IF(OR($Z102="",$U102=""),0,IFERROR(IF(COUNTIFS(INDEX(g_grid,0,2*MATCH($M102,강사DB!$A$4:$A$15,0)),"&lt;&gt;",g_s,"&lt;="&amp;$U102,g_e,"&gt;="&amp;$U102)&gt;0,1,0),0))</f>
        <v>0</v>
      </c>
      <c r="AE102" s="48"/>
      <c r="AF102" s="56" t="str">
        <f aca="false">IF(AND($D102&lt;&gt;"",$B102="결제완료",$T102="대여"),설정!$J$5,"")</f>
        <v/>
      </c>
      <c r="AG102" s="54" t="str">
        <f aca="false">IF($D102="","",IF(AND($E102="",$R102=""),$AB102,"☎ "&amp;IF($E102="","-",$E102)&amp;IF($R102&lt;&gt;"","  ※ "&amp;$R102,"")&amp;IF($B102="상담중"," (상담)","")))</f>
        <v/>
      </c>
      <c r="AH102" s="56" t="str">
        <f aca="false">IF(AND($D102&lt;&gt;"",$B102="결제완료",$O102="스마트스토어"),ROUND(N($N102)*설정!$J$6,0),"")</f>
        <v/>
      </c>
      <c r="AI102" s="54" t="str">
        <f aca="false">IF($D102="","",ROW())</f>
        <v/>
      </c>
      <c r="AJ102" s="54" t="n">
        <f aca="false">IF(OR($AC102&lt;&gt;1,$M102=""),0,IF(ISNUMBER(SEARCH("퇴사",IFERROR(INDEX(강사DB!$G$4:$G$53,MATCH($M102,강사DB!$A$4:$A$53,0)),""))),1,0))</f>
        <v>0</v>
      </c>
    </row>
    <row r="103" customFormat="false" ht="15" hidden="false" customHeight="false" outlineLevel="0" collapsed="false">
      <c r="A103" s="45" t="str">
        <f aca="false">IF($D103="","",COUNTA($D$5:$D103))</f>
        <v/>
      </c>
      <c r="B103" s="46"/>
      <c r="C103" s="47"/>
      <c r="D103" s="48"/>
      <c r="E103" s="48"/>
      <c r="F103" s="49"/>
      <c r="G103" s="47"/>
      <c r="H103" s="50"/>
      <c r="I103" s="50"/>
      <c r="J103" s="51" t="str">
        <f aca="false">IF(OR($V103="",$W103=""),"",ROUND(($W103-$V103)/60,2))</f>
        <v/>
      </c>
      <c r="K103" s="52" t="str">
        <f aca="false">IF($F103="","",LEN($F103)-LEN(SUBSTITUTE($F103,",",""))+1)</f>
        <v/>
      </c>
      <c r="L103" s="45" t="str">
        <f aca="false">IF($K103="","","1:"&amp;$K103)</f>
        <v/>
      </c>
      <c r="M103" s="46"/>
      <c r="N103" s="53"/>
      <c r="O103" s="46"/>
      <c r="P103" s="47"/>
      <c r="Q103" s="48"/>
      <c r="R103" s="49"/>
      <c r="S103" s="54" t="str">
        <f aca="false">IF(OR($AC103=0,$U103="",$M103="",$V103="",$W103=""),"",IF(COUNTIFS(m_teacher,$M103,m_date,$U103,m_active,1,m_start,"&lt;"&amp;$W103,m_end,"&gt;"&amp;$V103)&gt;1,"충돌",""))</f>
        <v/>
      </c>
      <c r="T103" s="48"/>
      <c r="U103" s="55" t="str">
        <f aca="false">IF($G103="","",IFERROR(IF(ISNUMBER($G103),IF($G103&gt;19000000,DATE(INT($G103/10000),MOD(INT($G103/100),100),MOD($G103,100)),INT($G103)),IF(LEN(SUBSTITUTE(SUBSTITUTE(SUBSTITUTE(TRIM($G103),"-",""),".",""),"/",""))=8,DATE(VALUE(LEFT(SUBSTITUTE(SUBSTITUTE(SUBSTITUTE(TRIM($G103),"-",""),".",""),"/",""),4)),VALUE(MID(SUBSTITUTE(SUBSTITUTE(SUBSTITUTE(TRIM($G103),"-",""),".",""),"/",""),5,2)),VALUE(RIGHT(SUBSTITUTE(SUBSTITUTE(SUBSTITUTE(TRIM($G103),"-",""),".",""),"/",""),2))),DATEVALUE($G103))),""))</f>
        <v/>
      </c>
      <c r="V103" s="52" t="str">
        <f aca="false">IF($H103="","",IFERROR(IF(IF(ISNUMBER($H103),$H103,IFERROR(TIMEVALUE($H103),VALUE($H103)))&gt;=100,INT(IF(ISNUMBER($H103),$H103,IFERROR(TIMEVALUE($H103),VALUE($H103)))/100)*60+MOD(IF(ISNUMBER($H103),$H103,IFERROR(TIMEVALUE($H103),VALUE($H103))),100),IF(IF(ISNUMBER($H103),$H103,IFERROR(TIMEVALUE($H103),VALUE($H103)))&gt;=1,ROUND(IF(ISNUMBER($H103),$H103,IFERROR(TIMEVALUE($H103),VALUE($H103)))*60,0),ROUND(MOD(IF(ISNUMBER($H103),$H103,IFERROR(TIMEVALUE($H103),VALUE($H103))),1)*1440,0))),""))</f>
        <v/>
      </c>
      <c r="W103" s="52" t="str">
        <f aca="false">IF($I103="","",IFERROR(IF(IF(ISNUMBER($I103),$I103,IFERROR(TIMEVALUE($I103),VALUE($I103)))&gt;=100,INT(IF(ISNUMBER($I103),$I103,IFERROR(TIMEVALUE($I103),VALUE($I103)))/100)*60+MOD(IF(ISNUMBER($I103),$I103,IFERROR(TIMEVALUE($I103),VALUE($I103))),100),IF(IF(ISNUMBER($I103),$I103,IFERROR(TIMEVALUE($I103),VALUE($I103)))&gt;=1,ROUND(IF(ISNUMBER($I103),$I103,IFERROR(TIMEVALUE($I103),VALUE($I103)))*60,0),ROUND(MOD(IF(ISNUMBER($I103),$I103,IFERROR(TIMEVALUE($I103),VALUE($I103))),1)*1440,0))),""))</f>
        <v/>
      </c>
      <c r="X103" s="55" t="str">
        <f aca="false">IF($P103="","",IFERROR(IF(ISNUMBER($P103),IF($P103&gt;19000000,DATE(INT($P103/10000),MOD(INT($P103/100),100),MOD($P103,100)),INT($P103)),IF(LEN(SUBSTITUTE(SUBSTITUTE(SUBSTITUTE(TRIM($P103),"-",""),".",""),"/",""))=8,DATE(VALUE(LEFT(SUBSTITUTE(SUBSTITUTE(SUBSTITUTE(TRIM($P103),"-",""),".",""),"/",""),4)),VALUE(MID(SUBSTITUTE(SUBSTITUTE(SUBSTITUTE(TRIM($P103),"-",""),".",""),"/",""),5,2)),VALUE(RIGHT(SUBSTITUTE(SUBSTITUTE(SUBSTITUTE(TRIM($P103),"-",""),".",""),"/",""),2))),DATEVALUE($P103))),""))</f>
        <v/>
      </c>
      <c r="Y103" s="56" t="str">
        <f aca="false">IF($M103="","",IFERROR(INDEX(강사DB!$D$4:$D$53,MATCH($M103,강사DB!$A$4:$A$53,0)),""))</f>
        <v/>
      </c>
      <c r="Z103" s="56" t="str">
        <f aca="false">IF($B103&lt;&gt;"결제완료","",IF(OR($Y103="",$J103=""),"",$Y103*$J103+MAX(0,N($K103)-1)*설정!$J$7))</f>
        <v/>
      </c>
      <c r="AA103" s="56" t="str">
        <f aca="false">IF(AND($D103&lt;&gt;"",$B103="결제완료"),N($N103),"")</f>
        <v/>
      </c>
      <c r="AB103" s="45" t="str">
        <f aca="false">IF($D103="","",IF($F103&lt;&gt;"",$F103,$D103)&amp;IF($B103="상담중"," (상담)",""))</f>
        <v/>
      </c>
      <c r="AC103" s="45" t="n">
        <f aca="false">IF(AND($D103&lt;&gt;"",OR($B103="결제완료",$B103="상담중")),1,0)</f>
        <v>0</v>
      </c>
      <c r="AD103" s="45" t="n">
        <f aca="false">IF(OR($Z103="",$U103=""),0,IFERROR(IF(COUNTIFS(INDEX(g_grid,0,2*MATCH($M103,강사DB!$A$4:$A$15,0)),"&lt;&gt;",g_s,"&lt;="&amp;$U103,g_e,"&gt;="&amp;$U103)&gt;0,1,0),0))</f>
        <v>0</v>
      </c>
      <c r="AE103" s="48"/>
      <c r="AF103" s="56" t="str">
        <f aca="false">IF(AND($D103&lt;&gt;"",$B103="결제완료",$T103="대여"),설정!$J$5,"")</f>
        <v/>
      </c>
      <c r="AG103" s="54" t="str">
        <f aca="false">IF($D103="","",IF(AND($E103="",$R103=""),$AB103,"☎ "&amp;IF($E103="","-",$E103)&amp;IF($R103&lt;&gt;"","  ※ "&amp;$R103,"")&amp;IF($B103="상담중"," (상담)","")))</f>
        <v/>
      </c>
      <c r="AH103" s="56" t="str">
        <f aca="false">IF(AND($D103&lt;&gt;"",$B103="결제완료",$O103="스마트스토어"),ROUND(N($N103)*설정!$J$6,0),"")</f>
        <v/>
      </c>
      <c r="AI103" s="54" t="str">
        <f aca="false">IF($D103="","",ROW())</f>
        <v/>
      </c>
      <c r="AJ103" s="54" t="n">
        <f aca="false">IF(OR($AC103&lt;&gt;1,$M103=""),0,IF(ISNUMBER(SEARCH("퇴사",IFERROR(INDEX(강사DB!$G$4:$G$53,MATCH($M103,강사DB!$A$4:$A$53,0)),""))),1,0))</f>
        <v>0</v>
      </c>
    </row>
    <row r="104" customFormat="false" ht="15" hidden="false" customHeight="false" outlineLevel="0" collapsed="false">
      <c r="A104" s="45" t="str">
        <f aca="false">IF($D104="","",COUNTA($D$5:$D104))</f>
        <v/>
      </c>
      <c r="B104" s="46"/>
      <c r="C104" s="47"/>
      <c r="D104" s="48"/>
      <c r="E104" s="48"/>
      <c r="F104" s="49"/>
      <c r="G104" s="47"/>
      <c r="H104" s="50"/>
      <c r="I104" s="50"/>
      <c r="J104" s="51" t="str">
        <f aca="false">IF(OR($V104="",$W104=""),"",ROUND(($W104-$V104)/60,2))</f>
        <v/>
      </c>
      <c r="K104" s="52" t="str">
        <f aca="false">IF($F104="","",LEN($F104)-LEN(SUBSTITUTE($F104,",",""))+1)</f>
        <v/>
      </c>
      <c r="L104" s="45" t="str">
        <f aca="false">IF($K104="","","1:"&amp;$K104)</f>
        <v/>
      </c>
      <c r="M104" s="46"/>
      <c r="N104" s="53"/>
      <c r="O104" s="46"/>
      <c r="P104" s="47"/>
      <c r="Q104" s="48"/>
      <c r="R104" s="49"/>
      <c r="S104" s="54" t="str">
        <f aca="false">IF(OR($AC104=0,$U104="",$M104="",$V104="",$W104=""),"",IF(COUNTIFS(m_teacher,$M104,m_date,$U104,m_active,1,m_start,"&lt;"&amp;$W104,m_end,"&gt;"&amp;$V104)&gt;1,"충돌",""))</f>
        <v/>
      </c>
      <c r="T104" s="48"/>
      <c r="U104" s="55" t="str">
        <f aca="false">IF($G104="","",IFERROR(IF(ISNUMBER($G104),IF($G104&gt;19000000,DATE(INT($G104/10000),MOD(INT($G104/100),100),MOD($G104,100)),INT($G104)),IF(LEN(SUBSTITUTE(SUBSTITUTE(SUBSTITUTE(TRIM($G104),"-",""),".",""),"/",""))=8,DATE(VALUE(LEFT(SUBSTITUTE(SUBSTITUTE(SUBSTITUTE(TRIM($G104),"-",""),".",""),"/",""),4)),VALUE(MID(SUBSTITUTE(SUBSTITUTE(SUBSTITUTE(TRIM($G104),"-",""),".",""),"/",""),5,2)),VALUE(RIGHT(SUBSTITUTE(SUBSTITUTE(SUBSTITUTE(TRIM($G104),"-",""),".",""),"/",""),2))),DATEVALUE($G104))),""))</f>
        <v/>
      </c>
      <c r="V104" s="52" t="str">
        <f aca="false">IF($H104="","",IFERROR(IF(IF(ISNUMBER($H104),$H104,IFERROR(TIMEVALUE($H104),VALUE($H104)))&gt;=100,INT(IF(ISNUMBER($H104),$H104,IFERROR(TIMEVALUE($H104),VALUE($H104)))/100)*60+MOD(IF(ISNUMBER($H104),$H104,IFERROR(TIMEVALUE($H104),VALUE($H104))),100),IF(IF(ISNUMBER($H104),$H104,IFERROR(TIMEVALUE($H104),VALUE($H104)))&gt;=1,ROUND(IF(ISNUMBER($H104),$H104,IFERROR(TIMEVALUE($H104),VALUE($H104)))*60,0),ROUND(MOD(IF(ISNUMBER($H104),$H104,IFERROR(TIMEVALUE($H104),VALUE($H104))),1)*1440,0))),""))</f>
        <v/>
      </c>
      <c r="W104" s="52" t="str">
        <f aca="false">IF($I104="","",IFERROR(IF(IF(ISNUMBER($I104),$I104,IFERROR(TIMEVALUE($I104),VALUE($I104)))&gt;=100,INT(IF(ISNUMBER($I104),$I104,IFERROR(TIMEVALUE($I104),VALUE($I104)))/100)*60+MOD(IF(ISNUMBER($I104),$I104,IFERROR(TIMEVALUE($I104),VALUE($I104))),100),IF(IF(ISNUMBER($I104),$I104,IFERROR(TIMEVALUE($I104),VALUE($I104)))&gt;=1,ROUND(IF(ISNUMBER($I104),$I104,IFERROR(TIMEVALUE($I104),VALUE($I104)))*60,0),ROUND(MOD(IF(ISNUMBER($I104),$I104,IFERROR(TIMEVALUE($I104),VALUE($I104))),1)*1440,0))),""))</f>
        <v/>
      </c>
      <c r="X104" s="55" t="str">
        <f aca="false">IF($P104="","",IFERROR(IF(ISNUMBER($P104),IF($P104&gt;19000000,DATE(INT($P104/10000),MOD(INT($P104/100),100),MOD($P104,100)),INT($P104)),IF(LEN(SUBSTITUTE(SUBSTITUTE(SUBSTITUTE(TRIM($P104),"-",""),".",""),"/",""))=8,DATE(VALUE(LEFT(SUBSTITUTE(SUBSTITUTE(SUBSTITUTE(TRIM($P104),"-",""),".",""),"/",""),4)),VALUE(MID(SUBSTITUTE(SUBSTITUTE(SUBSTITUTE(TRIM($P104),"-",""),".",""),"/",""),5,2)),VALUE(RIGHT(SUBSTITUTE(SUBSTITUTE(SUBSTITUTE(TRIM($P104),"-",""),".",""),"/",""),2))),DATEVALUE($P104))),""))</f>
        <v/>
      </c>
      <c r="Y104" s="56" t="str">
        <f aca="false">IF($M104="","",IFERROR(INDEX(강사DB!$D$4:$D$53,MATCH($M104,강사DB!$A$4:$A$53,0)),""))</f>
        <v/>
      </c>
      <c r="Z104" s="56" t="str">
        <f aca="false">IF($B104&lt;&gt;"결제완료","",IF(OR($Y104="",$J104=""),"",$Y104*$J104+MAX(0,N($K104)-1)*설정!$J$7))</f>
        <v/>
      </c>
      <c r="AA104" s="56" t="str">
        <f aca="false">IF(AND($D104&lt;&gt;"",$B104="결제완료"),N($N104),"")</f>
        <v/>
      </c>
      <c r="AB104" s="45" t="str">
        <f aca="false">IF($D104="","",IF($F104&lt;&gt;"",$F104,$D104)&amp;IF($B104="상담중"," (상담)",""))</f>
        <v/>
      </c>
      <c r="AC104" s="45" t="n">
        <f aca="false">IF(AND($D104&lt;&gt;"",OR($B104="결제완료",$B104="상담중")),1,0)</f>
        <v>0</v>
      </c>
      <c r="AD104" s="45" t="n">
        <f aca="false">IF(OR($Z104="",$U104=""),0,IFERROR(IF(COUNTIFS(INDEX(g_grid,0,2*MATCH($M104,강사DB!$A$4:$A$15,0)),"&lt;&gt;",g_s,"&lt;="&amp;$U104,g_e,"&gt;="&amp;$U104)&gt;0,1,0),0))</f>
        <v>0</v>
      </c>
      <c r="AE104" s="48"/>
      <c r="AF104" s="56" t="str">
        <f aca="false">IF(AND($D104&lt;&gt;"",$B104="결제완료",$T104="대여"),설정!$J$5,"")</f>
        <v/>
      </c>
      <c r="AG104" s="54" t="str">
        <f aca="false">IF($D104="","",IF(AND($E104="",$R104=""),$AB104,"☎ "&amp;IF($E104="","-",$E104)&amp;IF($R104&lt;&gt;"","  ※ "&amp;$R104,"")&amp;IF($B104="상담중"," (상담)","")))</f>
        <v/>
      </c>
      <c r="AH104" s="56" t="str">
        <f aca="false">IF(AND($D104&lt;&gt;"",$B104="결제완료",$O104="스마트스토어"),ROUND(N($N104)*설정!$J$6,0),"")</f>
        <v/>
      </c>
      <c r="AI104" s="54" t="str">
        <f aca="false">IF($D104="","",ROW())</f>
        <v/>
      </c>
      <c r="AJ104" s="54" t="n">
        <f aca="false">IF(OR($AC104&lt;&gt;1,$M104=""),0,IF(ISNUMBER(SEARCH("퇴사",IFERROR(INDEX(강사DB!$G$4:$G$53,MATCH($M104,강사DB!$A$4:$A$53,0)),""))),1,0))</f>
        <v>0</v>
      </c>
    </row>
    <row r="105" customFormat="false" ht="15" hidden="false" customHeight="false" outlineLevel="0" collapsed="false">
      <c r="A105" s="45" t="str">
        <f aca="false">IF($D105="","",COUNTA($D$5:$D105))</f>
        <v/>
      </c>
      <c r="B105" s="46"/>
      <c r="C105" s="47"/>
      <c r="D105" s="48"/>
      <c r="E105" s="48"/>
      <c r="F105" s="49"/>
      <c r="G105" s="47"/>
      <c r="H105" s="50"/>
      <c r="I105" s="50"/>
      <c r="J105" s="51" t="str">
        <f aca="false">IF(OR($V105="",$W105=""),"",ROUND(($W105-$V105)/60,2))</f>
        <v/>
      </c>
      <c r="K105" s="52" t="str">
        <f aca="false">IF($F105="","",LEN($F105)-LEN(SUBSTITUTE($F105,",",""))+1)</f>
        <v/>
      </c>
      <c r="L105" s="45" t="str">
        <f aca="false">IF($K105="","","1:"&amp;$K105)</f>
        <v/>
      </c>
      <c r="M105" s="46"/>
      <c r="N105" s="53"/>
      <c r="O105" s="46"/>
      <c r="P105" s="47"/>
      <c r="Q105" s="48"/>
      <c r="R105" s="49"/>
      <c r="S105" s="54" t="str">
        <f aca="false">IF(OR($AC105=0,$U105="",$M105="",$V105="",$W105=""),"",IF(COUNTIFS(m_teacher,$M105,m_date,$U105,m_active,1,m_start,"&lt;"&amp;$W105,m_end,"&gt;"&amp;$V105)&gt;1,"충돌",""))</f>
        <v/>
      </c>
      <c r="T105" s="48"/>
      <c r="U105" s="55" t="str">
        <f aca="false">IF($G105="","",IFERROR(IF(ISNUMBER($G105),IF($G105&gt;19000000,DATE(INT($G105/10000),MOD(INT($G105/100),100),MOD($G105,100)),INT($G105)),IF(LEN(SUBSTITUTE(SUBSTITUTE(SUBSTITUTE(TRIM($G105),"-",""),".",""),"/",""))=8,DATE(VALUE(LEFT(SUBSTITUTE(SUBSTITUTE(SUBSTITUTE(TRIM($G105),"-",""),".",""),"/",""),4)),VALUE(MID(SUBSTITUTE(SUBSTITUTE(SUBSTITUTE(TRIM($G105),"-",""),".",""),"/",""),5,2)),VALUE(RIGHT(SUBSTITUTE(SUBSTITUTE(SUBSTITUTE(TRIM($G105),"-",""),".",""),"/",""),2))),DATEVALUE($G105))),""))</f>
        <v/>
      </c>
      <c r="V105" s="52" t="str">
        <f aca="false">IF($H105="","",IFERROR(IF(IF(ISNUMBER($H105),$H105,IFERROR(TIMEVALUE($H105),VALUE($H105)))&gt;=100,INT(IF(ISNUMBER($H105),$H105,IFERROR(TIMEVALUE($H105),VALUE($H105)))/100)*60+MOD(IF(ISNUMBER($H105),$H105,IFERROR(TIMEVALUE($H105),VALUE($H105))),100),IF(IF(ISNUMBER($H105),$H105,IFERROR(TIMEVALUE($H105),VALUE($H105)))&gt;=1,ROUND(IF(ISNUMBER($H105),$H105,IFERROR(TIMEVALUE($H105),VALUE($H105)))*60,0),ROUND(MOD(IF(ISNUMBER($H105),$H105,IFERROR(TIMEVALUE($H105),VALUE($H105))),1)*1440,0))),""))</f>
        <v/>
      </c>
      <c r="W105" s="52" t="str">
        <f aca="false">IF($I105="","",IFERROR(IF(IF(ISNUMBER($I105),$I105,IFERROR(TIMEVALUE($I105),VALUE($I105)))&gt;=100,INT(IF(ISNUMBER($I105),$I105,IFERROR(TIMEVALUE($I105),VALUE($I105)))/100)*60+MOD(IF(ISNUMBER($I105),$I105,IFERROR(TIMEVALUE($I105),VALUE($I105))),100),IF(IF(ISNUMBER($I105),$I105,IFERROR(TIMEVALUE($I105),VALUE($I105)))&gt;=1,ROUND(IF(ISNUMBER($I105),$I105,IFERROR(TIMEVALUE($I105),VALUE($I105)))*60,0),ROUND(MOD(IF(ISNUMBER($I105),$I105,IFERROR(TIMEVALUE($I105),VALUE($I105))),1)*1440,0))),""))</f>
        <v/>
      </c>
      <c r="X105" s="55" t="str">
        <f aca="false">IF($P105="","",IFERROR(IF(ISNUMBER($P105),IF($P105&gt;19000000,DATE(INT($P105/10000),MOD(INT($P105/100),100),MOD($P105,100)),INT($P105)),IF(LEN(SUBSTITUTE(SUBSTITUTE(SUBSTITUTE(TRIM($P105),"-",""),".",""),"/",""))=8,DATE(VALUE(LEFT(SUBSTITUTE(SUBSTITUTE(SUBSTITUTE(TRIM($P105),"-",""),".",""),"/",""),4)),VALUE(MID(SUBSTITUTE(SUBSTITUTE(SUBSTITUTE(TRIM($P105),"-",""),".",""),"/",""),5,2)),VALUE(RIGHT(SUBSTITUTE(SUBSTITUTE(SUBSTITUTE(TRIM($P105),"-",""),".",""),"/",""),2))),DATEVALUE($P105))),""))</f>
        <v/>
      </c>
      <c r="Y105" s="56" t="str">
        <f aca="false">IF($M105="","",IFERROR(INDEX(강사DB!$D$4:$D$53,MATCH($M105,강사DB!$A$4:$A$53,0)),""))</f>
        <v/>
      </c>
      <c r="Z105" s="56" t="str">
        <f aca="false">IF($B105&lt;&gt;"결제완료","",IF(OR($Y105="",$J105=""),"",$Y105*$J105+MAX(0,N($K105)-1)*설정!$J$7))</f>
        <v/>
      </c>
      <c r="AA105" s="56" t="str">
        <f aca="false">IF(AND($D105&lt;&gt;"",$B105="결제완료"),N($N105),"")</f>
        <v/>
      </c>
      <c r="AB105" s="45" t="str">
        <f aca="false">IF($D105="","",IF($F105&lt;&gt;"",$F105,$D105)&amp;IF($B105="상담중"," (상담)",""))</f>
        <v/>
      </c>
      <c r="AC105" s="45" t="n">
        <f aca="false">IF(AND($D105&lt;&gt;"",OR($B105="결제완료",$B105="상담중")),1,0)</f>
        <v>0</v>
      </c>
      <c r="AD105" s="45" t="n">
        <f aca="false">IF(OR($Z105="",$U105=""),0,IFERROR(IF(COUNTIFS(INDEX(g_grid,0,2*MATCH($M105,강사DB!$A$4:$A$15,0)),"&lt;&gt;",g_s,"&lt;="&amp;$U105,g_e,"&gt;="&amp;$U105)&gt;0,1,0),0))</f>
        <v>0</v>
      </c>
      <c r="AE105" s="48"/>
      <c r="AF105" s="56" t="str">
        <f aca="false">IF(AND($D105&lt;&gt;"",$B105="결제완료",$T105="대여"),설정!$J$5,"")</f>
        <v/>
      </c>
      <c r="AG105" s="54" t="str">
        <f aca="false">IF($D105="","",IF(AND($E105="",$R105=""),$AB105,"☎ "&amp;IF($E105="","-",$E105)&amp;IF($R105&lt;&gt;"","  ※ "&amp;$R105,"")&amp;IF($B105="상담중"," (상담)","")))</f>
        <v/>
      </c>
      <c r="AH105" s="56" t="str">
        <f aca="false">IF(AND($D105&lt;&gt;"",$B105="결제완료",$O105="스마트스토어"),ROUND(N($N105)*설정!$J$6,0),"")</f>
        <v/>
      </c>
      <c r="AI105" s="54" t="str">
        <f aca="false">IF($D105="","",ROW())</f>
        <v/>
      </c>
      <c r="AJ105" s="54" t="n">
        <f aca="false">IF(OR($AC105&lt;&gt;1,$M105=""),0,IF(ISNUMBER(SEARCH("퇴사",IFERROR(INDEX(강사DB!$G$4:$G$53,MATCH($M105,강사DB!$A$4:$A$53,0)),""))),1,0))</f>
        <v>0</v>
      </c>
    </row>
    <row r="106" customFormat="false" ht="15" hidden="false" customHeight="false" outlineLevel="0" collapsed="false">
      <c r="A106" s="45" t="str">
        <f aca="false">IF($D106="","",COUNTA($D$5:$D106))</f>
        <v/>
      </c>
      <c r="B106" s="46"/>
      <c r="C106" s="47"/>
      <c r="D106" s="48"/>
      <c r="E106" s="48"/>
      <c r="F106" s="49"/>
      <c r="G106" s="47"/>
      <c r="H106" s="50"/>
      <c r="I106" s="50"/>
      <c r="J106" s="51" t="str">
        <f aca="false">IF(OR($V106="",$W106=""),"",ROUND(($W106-$V106)/60,2))</f>
        <v/>
      </c>
      <c r="K106" s="52" t="str">
        <f aca="false">IF($F106="","",LEN($F106)-LEN(SUBSTITUTE($F106,",",""))+1)</f>
        <v/>
      </c>
      <c r="L106" s="45" t="str">
        <f aca="false">IF($K106="","","1:"&amp;$K106)</f>
        <v/>
      </c>
      <c r="M106" s="46"/>
      <c r="N106" s="53"/>
      <c r="O106" s="46"/>
      <c r="P106" s="47"/>
      <c r="Q106" s="48"/>
      <c r="R106" s="49"/>
      <c r="S106" s="54" t="str">
        <f aca="false">IF(OR($AC106=0,$U106="",$M106="",$V106="",$W106=""),"",IF(COUNTIFS(m_teacher,$M106,m_date,$U106,m_active,1,m_start,"&lt;"&amp;$W106,m_end,"&gt;"&amp;$V106)&gt;1,"충돌",""))</f>
        <v/>
      </c>
      <c r="T106" s="48"/>
      <c r="U106" s="55" t="str">
        <f aca="false">IF($G106="","",IFERROR(IF(ISNUMBER($G106),IF($G106&gt;19000000,DATE(INT($G106/10000),MOD(INT($G106/100),100),MOD($G106,100)),INT($G106)),IF(LEN(SUBSTITUTE(SUBSTITUTE(SUBSTITUTE(TRIM($G106),"-",""),".",""),"/",""))=8,DATE(VALUE(LEFT(SUBSTITUTE(SUBSTITUTE(SUBSTITUTE(TRIM($G106),"-",""),".",""),"/",""),4)),VALUE(MID(SUBSTITUTE(SUBSTITUTE(SUBSTITUTE(TRIM($G106),"-",""),".",""),"/",""),5,2)),VALUE(RIGHT(SUBSTITUTE(SUBSTITUTE(SUBSTITUTE(TRIM($G106),"-",""),".",""),"/",""),2))),DATEVALUE($G106))),""))</f>
        <v/>
      </c>
      <c r="V106" s="52" t="str">
        <f aca="false">IF($H106="","",IFERROR(IF(IF(ISNUMBER($H106),$H106,IFERROR(TIMEVALUE($H106),VALUE($H106)))&gt;=100,INT(IF(ISNUMBER($H106),$H106,IFERROR(TIMEVALUE($H106),VALUE($H106)))/100)*60+MOD(IF(ISNUMBER($H106),$H106,IFERROR(TIMEVALUE($H106),VALUE($H106))),100),IF(IF(ISNUMBER($H106),$H106,IFERROR(TIMEVALUE($H106),VALUE($H106)))&gt;=1,ROUND(IF(ISNUMBER($H106),$H106,IFERROR(TIMEVALUE($H106),VALUE($H106)))*60,0),ROUND(MOD(IF(ISNUMBER($H106),$H106,IFERROR(TIMEVALUE($H106),VALUE($H106))),1)*1440,0))),""))</f>
        <v/>
      </c>
      <c r="W106" s="52" t="str">
        <f aca="false">IF($I106="","",IFERROR(IF(IF(ISNUMBER($I106),$I106,IFERROR(TIMEVALUE($I106),VALUE($I106)))&gt;=100,INT(IF(ISNUMBER($I106),$I106,IFERROR(TIMEVALUE($I106),VALUE($I106)))/100)*60+MOD(IF(ISNUMBER($I106),$I106,IFERROR(TIMEVALUE($I106),VALUE($I106))),100),IF(IF(ISNUMBER($I106),$I106,IFERROR(TIMEVALUE($I106),VALUE($I106)))&gt;=1,ROUND(IF(ISNUMBER($I106),$I106,IFERROR(TIMEVALUE($I106),VALUE($I106)))*60,0),ROUND(MOD(IF(ISNUMBER($I106),$I106,IFERROR(TIMEVALUE($I106),VALUE($I106))),1)*1440,0))),""))</f>
        <v/>
      </c>
      <c r="X106" s="55" t="str">
        <f aca="false">IF($P106="","",IFERROR(IF(ISNUMBER($P106),IF($P106&gt;19000000,DATE(INT($P106/10000),MOD(INT($P106/100),100),MOD($P106,100)),INT($P106)),IF(LEN(SUBSTITUTE(SUBSTITUTE(SUBSTITUTE(TRIM($P106),"-",""),".",""),"/",""))=8,DATE(VALUE(LEFT(SUBSTITUTE(SUBSTITUTE(SUBSTITUTE(TRIM($P106),"-",""),".",""),"/",""),4)),VALUE(MID(SUBSTITUTE(SUBSTITUTE(SUBSTITUTE(TRIM($P106),"-",""),".",""),"/",""),5,2)),VALUE(RIGHT(SUBSTITUTE(SUBSTITUTE(SUBSTITUTE(TRIM($P106),"-",""),".",""),"/",""),2))),DATEVALUE($P106))),""))</f>
        <v/>
      </c>
      <c r="Y106" s="56" t="str">
        <f aca="false">IF($M106="","",IFERROR(INDEX(강사DB!$D$4:$D$53,MATCH($M106,강사DB!$A$4:$A$53,0)),""))</f>
        <v/>
      </c>
      <c r="Z106" s="56" t="str">
        <f aca="false">IF($B106&lt;&gt;"결제완료","",IF(OR($Y106="",$J106=""),"",$Y106*$J106+MAX(0,N($K106)-1)*설정!$J$7))</f>
        <v/>
      </c>
      <c r="AA106" s="56" t="str">
        <f aca="false">IF(AND($D106&lt;&gt;"",$B106="결제완료"),N($N106),"")</f>
        <v/>
      </c>
      <c r="AB106" s="45" t="str">
        <f aca="false">IF($D106="","",IF($F106&lt;&gt;"",$F106,$D106)&amp;IF($B106="상담중"," (상담)",""))</f>
        <v/>
      </c>
      <c r="AC106" s="45" t="n">
        <f aca="false">IF(AND($D106&lt;&gt;"",OR($B106="결제완료",$B106="상담중")),1,0)</f>
        <v>0</v>
      </c>
      <c r="AD106" s="45" t="n">
        <f aca="false">IF(OR($Z106="",$U106=""),0,IFERROR(IF(COUNTIFS(INDEX(g_grid,0,2*MATCH($M106,강사DB!$A$4:$A$15,0)),"&lt;&gt;",g_s,"&lt;="&amp;$U106,g_e,"&gt;="&amp;$U106)&gt;0,1,0),0))</f>
        <v>0</v>
      </c>
      <c r="AE106" s="48"/>
      <c r="AF106" s="56" t="str">
        <f aca="false">IF(AND($D106&lt;&gt;"",$B106="결제완료",$T106="대여"),설정!$J$5,"")</f>
        <v/>
      </c>
      <c r="AG106" s="54" t="str">
        <f aca="false">IF($D106="","",IF(AND($E106="",$R106=""),$AB106,"☎ "&amp;IF($E106="","-",$E106)&amp;IF($R106&lt;&gt;"","  ※ "&amp;$R106,"")&amp;IF($B106="상담중"," (상담)","")))</f>
        <v/>
      </c>
      <c r="AH106" s="56" t="str">
        <f aca="false">IF(AND($D106&lt;&gt;"",$B106="결제완료",$O106="스마트스토어"),ROUND(N($N106)*설정!$J$6,0),"")</f>
        <v/>
      </c>
      <c r="AI106" s="54" t="str">
        <f aca="false">IF($D106="","",ROW())</f>
        <v/>
      </c>
      <c r="AJ106" s="54" t="n">
        <f aca="false">IF(OR($AC106&lt;&gt;1,$M106=""),0,IF(ISNUMBER(SEARCH("퇴사",IFERROR(INDEX(강사DB!$G$4:$G$53,MATCH($M106,강사DB!$A$4:$A$53,0)),""))),1,0))</f>
        <v>0</v>
      </c>
    </row>
    <row r="107" customFormat="false" ht="15" hidden="false" customHeight="false" outlineLevel="0" collapsed="false">
      <c r="A107" s="45" t="str">
        <f aca="false">IF($D107="","",COUNTA($D$5:$D107))</f>
        <v/>
      </c>
      <c r="B107" s="46"/>
      <c r="C107" s="47"/>
      <c r="D107" s="48"/>
      <c r="E107" s="48"/>
      <c r="F107" s="49"/>
      <c r="G107" s="47"/>
      <c r="H107" s="50"/>
      <c r="I107" s="50"/>
      <c r="J107" s="51" t="str">
        <f aca="false">IF(OR($V107="",$W107=""),"",ROUND(($W107-$V107)/60,2))</f>
        <v/>
      </c>
      <c r="K107" s="52" t="str">
        <f aca="false">IF($F107="","",LEN($F107)-LEN(SUBSTITUTE($F107,",",""))+1)</f>
        <v/>
      </c>
      <c r="L107" s="45" t="str">
        <f aca="false">IF($K107="","","1:"&amp;$K107)</f>
        <v/>
      </c>
      <c r="M107" s="46"/>
      <c r="N107" s="53"/>
      <c r="O107" s="46"/>
      <c r="P107" s="47"/>
      <c r="Q107" s="48"/>
      <c r="R107" s="49"/>
      <c r="S107" s="54" t="str">
        <f aca="false">IF(OR($AC107=0,$U107="",$M107="",$V107="",$W107=""),"",IF(COUNTIFS(m_teacher,$M107,m_date,$U107,m_active,1,m_start,"&lt;"&amp;$W107,m_end,"&gt;"&amp;$V107)&gt;1,"충돌",""))</f>
        <v/>
      </c>
      <c r="T107" s="48"/>
      <c r="U107" s="55" t="str">
        <f aca="false">IF($G107="","",IFERROR(IF(ISNUMBER($G107),IF($G107&gt;19000000,DATE(INT($G107/10000),MOD(INT($G107/100),100),MOD($G107,100)),INT($G107)),IF(LEN(SUBSTITUTE(SUBSTITUTE(SUBSTITUTE(TRIM($G107),"-",""),".",""),"/",""))=8,DATE(VALUE(LEFT(SUBSTITUTE(SUBSTITUTE(SUBSTITUTE(TRIM($G107),"-",""),".",""),"/",""),4)),VALUE(MID(SUBSTITUTE(SUBSTITUTE(SUBSTITUTE(TRIM($G107),"-",""),".",""),"/",""),5,2)),VALUE(RIGHT(SUBSTITUTE(SUBSTITUTE(SUBSTITUTE(TRIM($G107),"-",""),".",""),"/",""),2))),DATEVALUE($G107))),""))</f>
        <v/>
      </c>
      <c r="V107" s="52" t="str">
        <f aca="false">IF($H107="","",IFERROR(IF(IF(ISNUMBER($H107),$H107,IFERROR(TIMEVALUE($H107),VALUE($H107)))&gt;=100,INT(IF(ISNUMBER($H107),$H107,IFERROR(TIMEVALUE($H107),VALUE($H107)))/100)*60+MOD(IF(ISNUMBER($H107),$H107,IFERROR(TIMEVALUE($H107),VALUE($H107))),100),IF(IF(ISNUMBER($H107),$H107,IFERROR(TIMEVALUE($H107),VALUE($H107)))&gt;=1,ROUND(IF(ISNUMBER($H107),$H107,IFERROR(TIMEVALUE($H107),VALUE($H107)))*60,0),ROUND(MOD(IF(ISNUMBER($H107),$H107,IFERROR(TIMEVALUE($H107),VALUE($H107))),1)*1440,0))),""))</f>
        <v/>
      </c>
      <c r="W107" s="52" t="str">
        <f aca="false">IF($I107="","",IFERROR(IF(IF(ISNUMBER($I107),$I107,IFERROR(TIMEVALUE($I107),VALUE($I107)))&gt;=100,INT(IF(ISNUMBER($I107),$I107,IFERROR(TIMEVALUE($I107),VALUE($I107)))/100)*60+MOD(IF(ISNUMBER($I107),$I107,IFERROR(TIMEVALUE($I107),VALUE($I107))),100),IF(IF(ISNUMBER($I107),$I107,IFERROR(TIMEVALUE($I107),VALUE($I107)))&gt;=1,ROUND(IF(ISNUMBER($I107),$I107,IFERROR(TIMEVALUE($I107),VALUE($I107)))*60,0),ROUND(MOD(IF(ISNUMBER($I107),$I107,IFERROR(TIMEVALUE($I107),VALUE($I107))),1)*1440,0))),""))</f>
        <v/>
      </c>
      <c r="X107" s="55" t="str">
        <f aca="false">IF($P107="","",IFERROR(IF(ISNUMBER($P107),IF($P107&gt;19000000,DATE(INT($P107/10000),MOD(INT($P107/100),100),MOD($P107,100)),INT($P107)),IF(LEN(SUBSTITUTE(SUBSTITUTE(SUBSTITUTE(TRIM($P107),"-",""),".",""),"/",""))=8,DATE(VALUE(LEFT(SUBSTITUTE(SUBSTITUTE(SUBSTITUTE(TRIM($P107),"-",""),".",""),"/",""),4)),VALUE(MID(SUBSTITUTE(SUBSTITUTE(SUBSTITUTE(TRIM($P107),"-",""),".",""),"/",""),5,2)),VALUE(RIGHT(SUBSTITUTE(SUBSTITUTE(SUBSTITUTE(TRIM($P107),"-",""),".",""),"/",""),2))),DATEVALUE($P107))),""))</f>
        <v/>
      </c>
      <c r="Y107" s="56" t="str">
        <f aca="false">IF($M107="","",IFERROR(INDEX(강사DB!$D$4:$D$53,MATCH($M107,강사DB!$A$4:$A$53,0)),""))</f>
        <v/>
      </c>
      <c r="Z107" s="56" t="str">
        <f aca="false">IF($B107&lt;&gt;"결제완료","",IF(OR($Y107="",$J107=""),"",$Y107*$J107+MAX(0,N($K107)-1)*설정!$J$7))</f>
        <v/>
      </c>
      <c r="AA107" s="56" t="str">
        <f aca="false">IF(AND($D107&lt;&gt;"",$B107="결제완료"),N($N107),"")</f>
        <v/>
      </c>
      <c r="AB107" s="45" t="str">
        <f aca="false">IF($D107="","",IF($F107&lt;&gt;"",$F107,$D107)&amp;IF($B107="상담중"," (상담)",""))</f>
        <v/>
      </c>
      <c r="AC107" s="45" t="n">
        <f aca="false">IF(AND($D107&lt;&gt;"",OR($B107="결제완료",$B107="상담중")),1,0)</f>
        <v>0</v>
      </c>
      <c r="AD107" s="45" t="n">
        <f aca="false">IF(OR($Z107="",$U107=""),0,IFERROR(IF(COUNTIFS(INDEX(g_grid,0,2*MATCH($M107,강사DB!$A$4:$A$15,0)),"&lt;&gt;",g_s,"&lt;="&amp;$U107,g_e,"&gt;="&amp;$U107)&gt;0,1,0),0))</f>
        <v>0</v>
      </c>
      <c r="AE107" s="48"/>
      <c r="AF107" s="56" t="str">
        <f aca="false">IF(AND($D107&lt;&gt;"",$B107="결제완료",$T107="대여"),설정!$J$5,"")</f>
        <v/>
      </c>
      <c r="AG107" s="54" t="str">
        <f aca="false">IF($D107="","",IF(AND($E107="",$R107=""),$AB107,"☎ "&amp;IF($E107="","-",$E107)&amp;IF($R107&lt;&gt;"","  ※ "&amp;$R107,"")&amp;IF($B107="상담중"," (상담)","")))</f>
        <v/>
      </c>
      <c r="AH107" s="56" t="str">
        <f aca="false">IF(AND($D107&lt;&gt;"",$B107="결제완료",$O107="스마트스토어"),ROUND(N($N107)*설정!$J$6,0),"")</f>
        <v/>
      </c>
      <c r="AI107" s="54" t="str">
        <f aca="false">IF($D107="","",ROW())</f>
        <v/>
      </c>
      <c r="AJ107" s="54" t="n">
        <f aca="false">IF(OR($AC107&lt;&gt;1,$M107=""),0,IF(ISNUMBER(SEARCH("퇴사",IFERROR(INDEX(강사DB!$G$4:$G$53,MATCH($M107,강사DB!$A$4:$A$53,0)),""))),1,0))</f>
        <v>0</v>
      </c>
    </row>
    <row r="108" customFormat="false" ht="15" hidden="false" customHeight="false" outlineLevel="0" collapsed="false">
      <c r="A108" s="45" t="str">
        <f aca="false">IF($D108="","",COUNTA($D$5:$D108))</f>
        <v/>
      </c>
      <c r="B108" s="46"/>
      <c r="C108" s="47"/>
      <c r="D108" s="48"/>
      <c r="E108" s="48"/>
      <c r="F108" s="49"/>
      <c r="G108" s="47"/>
      <c r="H108" s="50"/>
      <c r="I108" s="50"/>
      <c r="J108" s="51" t="str">
        <f aca="false">IF(OR($V108="",$W108=""),"",ROUND(($W108-$V108)/60,2))</f>
        <v/>
      </c>
      <c r="K108" s="52" t="str">
        <f aca="false">IF($F108="","",LEN($F108)-LEN(SUBSTITUTE($F108,",",""))+1)</f>
        <v/>
      </c>
      <c r="L108" s="45" t="str">
        <f aca="false">IF($K108="","","1:"&amp;$K108)</f>
        <v/>
      </c>
      <c r="M108" s="46"/>
      <c r="N108" s="53"/>
      <c r="O108" s="46"/>
      <c r="P108" s="47"/>
      <c r="Q108" s="48"/>
      <c r="R108" s="49"/>
      <c r="S108" s="54" t="str">
        <f aca="false">IF(OR($AC108=0,$U108="",$M108="",$V108="",$W108=""),"",IF(COUNTIFS(m_teacher,$M108,m_date,$U108,m_active,1,m_start,"&lt;"&amp;$W108,m_end,"&gt;"&amp;$V108)&gt;1,"충돌",""))</f>
        <v/>
      </c>
      <c r="T108" s="48"/>
      <c r="U108" s="55" t="str">
        <f aca="false">IF($G108="","",IFERROR(IF(ISNUMBER($G108),IF($G108&gt;19000000,DATE(INT($G108/10000),MOD(INT($G108/100),100),MOD($G108,100)),INT($G108)),IF(LEN(SUBSTITUTE(SUBSTITUTE(SUBSTITUTE(TRIM($G108),"-",""),".",""),"/",""))=8,DATE(VALUE(LEFT(SUBSTITUTE(SUBSTITUTE(SUBSTITUTE(TRIM($G108),"-",""),".",""),"/",""),4)),VALUE(MID(SUBSTITUTE(SUBSTITUTE(SUBSTITUTE(TRIM($G108),"-",""),".",""),"/",""),5,2)),VALUE(RIGHT(SUBSTITUTE(SUBSTITUTE(SUBSTITUTE(TRIM($G108),"-",""),".",""),"/",""),2))),DATEVALUE($G108))),""))</f>
        <v/>
      </c>
      <c r="V108" s="52" t="str">
        <f aca="false">IF($H108="","",IFERROR(IF(IF(ISNUMBER($H108),$H108,IFERROR(TIMEVALUE($H108),VALUE($H108)))&gt;=100,INT(IF(ISNUMBER($H108),$H108,IFERROR(TIMEVALUE($H108),VALUE($H108)))/100)*60+MOD(IF(ISNUMBER($H108),$H108,IFERROR(TIMEVALUE($H108),VALUE($H108))),100),IF(IF(ISNUMBER($H108),$H108,IFERROR(TIMEVALUE($H108),VALUE($H108)))&gt;=1,ROUND(IF(ISNUMBER($H108),$H108,IFERROR(TIMEVALUE($H108),VALUE($H108)))*60,0),ROUND(MOD(IF(ISNUMBER($H108),$H108,IFERROR(TIMEVALUE($H108),VALUE($H108))),1)*1440,0))),""))</f>
        <v/>
      </c>
      <c r="W108" s="52" t="str">
        <f aca="false">IF($I108="","",IFERROR(IF(IF(ISNUMBER($I108),$I108,IFERROR(TIMEVALUE($I108),VALUE($I108)))&gt;=100,INT(IF(ISNUMBER($I108),$I108,IFERROR(TIMEVALUE($I108),VALUE($I108)))/100)*60+MOD(IF(ISNUMBER($I108),$I108,IFERROR(TIMEVALUE($I108),VALUE($I108))),100),IF(IF(ISNUMBER($I108),$I108,IFERROR(TIMEVALUE($I108),VALUE($I108)))&gt;=1,ROUND(IF(ISNUMBER($I108),$I108,IFERROR(TIMEVALUE($I108),VALUE($I108)))*60,0),ROUND(MOD(IF(ISNUMBER($I108),$I108,IFERROR(TIMEVALUE($I108),VALUE($I108))),1)*1440,0))),""))</f>
        <v/>
      </c>
      <c r="X108" s="55" t="str">
        <f aca="false">IF($P108="","",IFERROR(IF(ISNUMBER($P108),IF($P108&gt;19000000,DATE(INT($P108/10000),MOD(INT($P108/100),100),MOD($P108,100)),INT($P108)),IF(LEN(SUBSTITUTE(SUBSTITUTE(SUBSTITUTE(TRIM($P108),"-",""),".",""),"/",""))=8,DATE(VALUE(LEFT(SUBSTITUTE(SUBSTITUTE(SUBSTITUTE(TRIM($P108),"-",""),".",""),"/",""),4)),VALUE(MID(SUBSTITUTE(SUBSTITUTE(SUBSTITUTE(TRIM($P108),"-",""),".",""),"/",""),5,2)),VALUE(RIGHT(SUBSTITUTE(SUBSTITUTE(SUBSTITUTE(TRIM($P108),"-",""),".",""),"/",""),2))),DATEVALUE($P108))),""))</f>
        <v/>
      </c>
      <c r="Y108" s="56" t="str">
        <f aca="false">IF($M108="","",IFERROR(INDEX(강사DB!$D$4:$D$53,MATCH($M108,강사DB!$A$4:$A$53,0)),""))</f>
        <v/>
      </c>
      <c r="Z108" s="56" t="str">
        <f aca="false">IF($B108&lt;&gt;"결제완료","",IF(OR($Y108="",$J108=""),"",$Y108*$J108+MAX(0,N($K108)-1)*설정!$J$7))</f>
        <v/>
      </c>
      <c r="AA108" s="56" t="str">
        <f aca="false">IF(AND($D108&lt;&gt;"",$B108="결제완료"),N($N108),"")</f>
        <v/>
      </c>
      <c r="AB108" s="45" t="str">
        <f aca="false">IF($D108="","",IF($F108&lt;&gt;"",$F108,$D108)&amp;IF($B108="상담중"," (상담)",""))</f>
        <v/>
      </c>
      <c r="AC108" s="45" t="n">
        <f aca="false">IF(AND($D108&lt;&gt;"",OR($B108="결제완료",$B108="상담중")),1,0)</f>
        <v>0</v>
      </c>
      <c r="AD108" s="45" t="n">
        <f aca="false">IF(OR($Z108="",$U108=""),0,IFERROR(IF(COUNTIFS(INDEX(g_grid,0,2*MATCH($M108,강사DB!$A$4:$A$15,0)),"&lt;&gt;",g_s,"&lt;="&amp;$U108,g_e,"&gt;="&amp;$U108)&gt;0,1,0),0))</f>
        <v>0</v>
      </c>
      <c r="AE108" s="48"/>
      <c r="AF108" s="56" t="str">
        <f aca="false">IF(AND($D108&lt;&gt;"",$B108="결제완료",$T108="대여"),설정!$J$5,"")</f>
        <v/>
      </c>
      <c r="AG108" s="54" t="str">
        <f aca="false">IF($D108="","",IF(AND($E108="",$R108=""),$AB108,"☎ "&amp;IF($E108="","-",$E108)&amp;IF($R108&lt;&gt;"","  ※ "&amp;$R108,"")&amp;IF($B108="상담중"," (상담)","")))</f>
        <v/>
      </c>
      <c r="AH108" s="56" t="str">
        <f aca="false">IF(AND($D108&lt;&gt;"",$B108="결제완료",$O108="스마트스토어"),ROUND(N($N108)*설정!$J$6,0),"")</f>
        <v/>
      </c>
      <c r="AI108" s="54" t="str">
        <f aca="false">IF($D108="","",ROW())</f>
        <v/>
      </c>
      <c r="AJ108" s="54" t="n">
        <f aca="false">IF(OR($AC108&lt;&gt;1,$M108=""),0,IF(ISNUMBER(SEARCH("퇴사",IFERROR(INDEX(강사DB!$G$4:$G$53,MATCH($M108,강사DB!$A$4:$A$53,0)),""))),1,0))</f>
        <v>0</v>
      </c>
    </row>
    <row r="109" customFormat="false" ht="15" hidden="false" customHeight="false" outlineLevel="0" collapsed="false">
      <c r="A109" s="45" t="str">
        <f aca="false">IF($D109="","",COUNTA($D$5:$D109))</f>
        <v/>
      </c>
      <c r="B109" s="46"/>
      <c r="C109" s="47"/>
      <c r="D109" s="48"/>
      <c r="E109" s="48"/>
      <c r="F109" s="49"/>
      <c r="G109" s="47"/>
      <c r="H109" s="50"/>
      <c r="I109" s="50"/>
      <c r="J109" s="51" t="str">
        <f aca="false">IF(OR($V109="",$W109=""),"",ROUND(($W109-$V109)/60,2))</f>
        <v/>
      </c>
      <c r="K109" s="52" t="str">
        <f aca="false">IF($F109="","",LEN($F109)-LEN(SUBSTITUTE($F109,",",""))+1)</f>
        <v/>
      </c>
      <c r="L109" s="45" t="str">
        <f aca="false">IF($K109="","","1:"&amp;$K109)</f>
        <v/>
      </c>
      <c r="M109" s="46"/>
      <c r="N109" s="53"/>
      <c r="O109" s="46"/>
      <c r="P109" s="47"/>
      <c r="Q109" s="48"/>
      <c r="R109" s="49"/>
      <c r="S109" s="54" t="str">
        <f aca="false">IF(OR($AC109=0,$U109="",$M109="",$V109="",$W109=""),"",IF(COUNTIFS(m_teacher,$M109,m_date,$U109,m_active,1,m_start,"&lt;"&amp;$W109,m_end,"&gt;"&amp;$V109)&gt;1,"충돌",""))</f>
        <v/>
      </c>
      <c r="T109" s="48"/>
      <c r="U109" s="55" t="str">
        <f aca="false">IF($G109="","",IFERROR(IF(ISNUMBER($G109),IF($G109&gt;19000000,DATE(INT($G109/10000),MOD(INT($G109/100),100),MOD($G109,100)),INT($G109)),IF(LEN(SUBSTITUTE(SUBSTITUTE(SUBSTITUTE(TRIM($G109),"-",""),".",""),"/",""))=8,DATE(VALUE(LEFT(SUBSTITUTE(SUBSTITUTE(SUBSTITUTE(TRIM($G109),"-",""),".",""),"/",""),4)),VALUE(MID(SUBSTITUTE(SUBSTITUTE(SUBSTITUTE(TRIM($G109),"-",""),".",""),"/",""),5,2)),VALUE(RIGHT(SUBSTITUTE(SUBSTITUTE(SUBSTITUTE(TRIM($G109),"-",""),".",""),"/",""),2))),DATEVALUE($G109))),""))</f>
        <v/>
      </c>
      <c r="V109" s="52" t="str">
        <f aca="false">IF($H109="","",IFERROR(IF(IF(ISNUMBER($H109),$H109,IFERROR(TIMEVALUE($H109),VALUE($H109)))&gt;=100,INT(IF(ISNUMBER($H109),$H109,IFERROR(TIMEVALUE($H109),VALUE($H109)))/100)*60+MOD(IF(ISNUMBER($H109),$H109,IFERROR(TIMEVALUE($H109),VALUE($H109))),100),IF(IF(ISNUMBER($H109),$H109,IFERROR(TIMEVALUE($H109),VALUE($H109)))&gt;=1,ROUND(IF(ISNUMBER($H109),$H109,IFERROR(TIMEVALUE($H109),VALUE($H109)))*60,0),ROUND(MOD(IF(ISNUMBER($H109),$H109,IFERROR(TIMEVALUE($H109),VALUE($H109))),1)*1440,0))),""))</f>
        <v/>
      </c>
      <c r="W109" s="52" t="str">
        <f aca="false">IF($I109="","",IFERROR(IF(IF(ISNUMBER($I109),$I109,IFERROR(TIMEVALUE($I109),VALUE($I109)))&gt;=100,INT(IF(ISNUMBER($I109),$I109,IFERROR(TIMEVALUE($I109),VALUE($I109)))/100)*60+MOD(IF(ISNUMBER($I109),$I109,IFERROR(TIMEVALUE($I109),VALUE($I109))),100),IF(IF(ISNUMBER($I109),$I109,IFERROR(TIMEVALUE($I109),VALUE($I109)))&gt;=1,ROUND(IF(ISNUMBER($I109),$I109,IFERROR(TIMEVALUE($I109),VALUE($I109)))*60,0),ROUND(MOD(IF(ISNUMBER($I109),$I109,IFERROR(TIMEVALUE($I109),VALUE($I109))),1)*1440,0))),""))</f>
        <v/>
      </c>
      <c r="X109" s="55" t="str">
        <f aca="false">IF($P109="","",IFERROR(IF(ISNUMBER($P109),IF($P109&gt;19000000,DATE(INT($P109/10000),MOD(INT($P109/100),100),MOD($P109,100)),INT($P109)),IF(LEN(SUBSTITUTE(SUBSTITUTE(SUBSTITUTE(TRIM($P109),"-",""),".",""),"/",""))=8,DATE(VALUE(LEFT(SUBSTITUTE(SUBSTITUTE(SUBSTITUTE(TRIM($P109),"-",""),".",""),"/",""),4)),VALUE(MID(SUBSTITUTE(SUBSTITUTE(SUBSTITUTE(TRIM($P109),"-",""),".",""),"/",""),5,2)),VALUE(RIGHT(SUBSTITUTE(SUBSTITUTE(SUBSTITUTE(TRIM($P109),"-",""),".",""),"/",""),2))),DATEVALUE($P109))),""))</f>
        <v/>
      </c>
      <c r="Y109" s="56" t="str">
        <f aca="false">IF($M109="","",IFERROR(INDEX(강사DB!$D$4:$D$53,MATCH($M109,강사DB!$A$4:$A$53,0)),""))</f>
        <v/>
      </c>
      <c r="Z109" s="56" t="str">
        <f aca="false">IF($B109&lt;&gt;"결제완료","",IF(OR($Y109="",$J109=""),"",$Y109*$J109+MAX(0,N($K109)-1)*설정!$J$7))</f>
        <v/>
      </c>
      <c r="AA109" s="56" t="str">
        <f aca="false">IF(AND($D109&lt;&gt;"",$B109="결제완료"),N($N109),"")</f>
        <v/>
      </c>
      <c r="AB109" s="45" t="str">
        <f aca="false">IF($D109="","",IF($F109&lt;&gt;"",$F109,$D109)&amp;IF($B109="상담중"," (상담)",""))</f>
        <v/>
      </c>
      <c r="AC109" s="45" t="n">
        <f aca="false">IF(AND($D109&lt;&gt;"",OR($B109="결제완료",$B109="상담중")),1,0)</f>
        <v>0</v>
      </c>
      <c r="AD109" s="45" t="n">
        <f aca="false">IF(OR($Z109="",$U109=""),0,IFERROR(IF(COUNTIFS(INDEX(g_grid,0,2*MATCH($M109,강사DB!$A$4:$A$15,0)),"&lt;&gt;",g_s,"&lt;="&amp;$U109,g_e,"&gt;="&amp;$U109)&gt;0,1,0),0))</f>
        <v>0</v>
      </c>
      <c r="AE109" s="48"/>
      <c r="AF109" s="56" t="str">
        <f aca="false">IF(AND($D109&lt;&gt;"",$B109="결제완료",$T109="대여"),설정!$J$5,"")</f>
        <v/>
      </c>
      <c r="AG109" s="54" t="str">
        <f aca="false">IF($D109="","",IF(AND($E109="",$R109=""),$AB109,"☎ "&amp;IF($E109="","-",$E109)&amp;IF($R109&lt;&gt;"","  ※ "&amp;$R109,"")&amp;IF($B109="상담중"," (상담)","")))</f>
        <v/>
      </c>
      <c r="AH109" s="56" t="str">
        <f aca="false">IF(AND($D109&lt;&gt;"",$B109="결제완료",$O109="스마트스토어"),ROUND(N($N109)*설정!$J$6,0),"")</f>
        <v/>
      </c>
      <c r="AI109" s="54" t="str">
        <f aca="false">IF($D109="","",ROW())</f>
        <v/>
      </c>
      <c r="AJ109" s="54" t="n">
        <f aca="false">IF(OR($AC109&lt;&gt;1,$M109=""),0,IF(ISNUMBER(SEARCH("퇴사",IFERROR(INDEX(강사DB!$G$4:$G$53,MATCH($M109,강사DB!$A$4:$A$53,0)),""))),1,0))</f>
        <v>0</v>
      </c>
    </row>
    <row r="110" customFormat="false" ht="15" hidden="false" customHeight="false" outlineLevel="0" collapsed="false">
      <c r="A110" s="45" t="str">
        <f aca="false">IF($D110="","",COUNTA($D$5:$D110))</f>
        <v/>
      </c>
      <c r="B110" s="46"/>
      <c r="C110" s="47"/>
      <c r="D110" s="48"/>
      <c r="E110" s="48"/>
      <c r="F110" s="49"/>
      <c r="G110" s="47"/>
      <c r="H110" s="50"/>
      <c r="I110" s="50"/>
      <c r="J110" s="51" t="str">
        <f aca="false">IF(OR($V110="",$W110=""),"",ROUND(($W110-$V110)/60,2))</f>
        <v/>
      </c>
      <c r="K110" s="52" t="str">
        <f aca="false">IF($F110="","",LEN($F110)-LEN(SUBSTITUTE($F110,",",""))+1)</f>
        <v/>
      </c>
      <c r="L110" s="45" t="str">
        <f aca="false">IF($K110="","","1:"&amp;$K110)</f>
        <v/>
      </c>
      <c r="M110" s="46"/>
      <c r="N110" s="53"/>
      <c r="O110" s="46"/>
      <c r="P110" s="47"/>
      <c r="Q110" s="48"/>
      <c r="R110" s="49"/>
      <c r="S110" s="54" t="str">
        <f aca="false">IF(OR($AC110=0,$U110="",$M110="",$V110="",$W110=""),"",IF(COUNTIFS(m_teacher,$M110,m_date,$U110,m_active,1,m_start,"&lt;"&amp;$W110,m_end,"&gt;"&amp;$V110)&gt;1,"충돌",""))</f>
        <v/>
      </c>
      <c r="T110" s="48"/>
      <c r="U110" s="55" t="str">
        <f aca="false">IF($G110="","",IFERROR(IF(ISNUMBER($G110),IF($G110&gt;19000000,DATE(INT($G110/10000),MOD(INT($G110/100),100),MOD($G110,100)),INT($G110)),IF(LEN(SUBSTITUTE(SUBSTITUTE(SUBSTITUTE(TRIM($G110),"-",""),".",""),"/",""))=8,DATE(VALUE(LEFT(SUBSTITUTE(SUBSTITUTE(SUBSTITUTE(TRIM($G110),"-",""),".",""),"/",""),4)),VALUE(MID(SUBSTITUTE(SUBSTITUTE(SUBSTITUTE(TRIM($G110),"-",""),".",""),"/",""),5,2)),VALUE(RIGHT(SUBSTITUTE(SUBSTITUTE(SUBSTITUTE(TRIM($G110),"-",""),".",""),"/",""),2))),DATEVALUE($G110))),""))</f>
        <v/>
      </c>
      <c r="V110" s="52" t="str">
        <f aca="false">IF($H110="","",IFERROR(IF(IF(ISNUMBER($H110),$H110,IFERROR(TIMEVALUE($H110),VALUE($H110)))&gt;=100,INT(IF(ISNUMBER($H110),$H110,IFERROR(TIMEVALUE($H110),VALUE($H110)))/100)*60+MOD(IF(ISNUMBER($H110),$H110,IFERROR(TIMEVALUE($H110),VALUE($H110))),100),IF(IF(ISNUMBER($H110),$H110,IFERROR(TIMEVALUE($H110),VALUE($H110)))&gt;=1,ROUND(IF(ISNUMBER($H110),$H110,IFERROR(TIMEVALUE($H110),VALUE($H110)))*60,0),ROUND(MOD(IF(ISNUMBER($H110),$H110,IFERROR(TIMEVALUE($H110),VALUE($H110))),1)*1440,0))),""))</f>
        <v/>
      </c>
      <c r="W110" s="52" t="str">
        <f aca="false">IF($I110="","",IFERROR(IF(IF(ISNUMBER($I110),$I110,IFERROR(TIMEVALUE($I110),VALUE($I110)))&gt;=100,INT(IF(ISNUMBER($I110),$I110,IFERROR(TIMEVALUE($I110),VALUE($I110)))/100)*60+MOD(IF(ISNUMBER($I110),$I110,IFERROR(TIMEVALUE($I110),VALUE($I110))),100),IF(IF(ISNUMBER($I110),$I110,IFERROR(TIMEVALUE($I110),VALUE($I110)))&gt;=1,ROUND(IF(ISNUMBER($I110),$I110,IFERROR(TIMEVALUE($I110),VALUE($I110)))*60,0),ROUND(MOD(IF(ISNUMBER($I110),$I110,IFERROR(TIMEVALUE($I110),VALUE($I110))),1)*1440,0))),""))</f>
        <v/>
      </c>
      <c r="X110" s="55" t="str">
        <f aca="false">IF($P110="","",IFERROR(IF(ISNUMBER($P110),IF($P110&gt;19000000,DATE(INT($P110/10000),MOD(INT($P110/100),100),MOD($P110,100)),INT($P110)),IF(LEN(SUBSTITUTE(SUBSTITUTE(SUBSTITUTE(TRIM($P110),"-",""),".",""),"/",""))=8,DATE(VALUE(LEFT(SUBSTITUTE(SUBSTITUTE(SUBSTITUTE(TRIM($P110),"-",""),".",""),"/",""),4)),VALUE(MID(SUBSTITUTE(SUBSTITUTE(SUBSTITUTE(TRIM($P110),"-",""),".",""),"/",""),5,2)),VALUE(RIGHT(SUBSTITUTE(SUBSTITUTE(SUBSTITUTE(TRIM($P110),"-",""),".",""),"/",""),2))),DATEVALUE($P110))),""))</f>
        <v/>
      </c>
      <c r="Y110" s="56" t="str">
        <f aca="false">IF($M110="","",IFERROR(INDEX(강사DB!$D$4:$D$53,MATCH($M110,강사DB!$A$4:$A$53,0)),""))</f>
        <v/>
      </c>
      <c r="Z110" s="56" t="str">
        <f aca="false">IF($B110&lt;&gt;"결제완료","",IF(OR($Y110="",$J110=""),"",$Y110*$J110+MAX(0,N($K110)-1)*설정!$J$7))</f>
        <v/>
      </c>
      <c r="AA110" s="56" t="str">
        <f aca="false">IF(AND($D110&lt;&gt;"",$B110="결제완료"),N($N110),"")</f>
        <v/>
      </c>
      <c r="AB110" s="45" t="str">
        <f aca="false">IF($D110="","",IF($F110&lt;&gt;"",$F110,$D110)&amp;IF($B110="상담중"," (상담)",""))</f>
        <v/>
      </c>
      <c r="AC110" s="45" t="n">
        <f aca="false">IF(AND($D110&lt;&gt;"",OR($B110="결제완료",$B110="상담중")),1,0)</f>
        <v>0</v>
      </c>
      <c r="AD110" s="45" t="n">
        <f aca="false">IF(OR($Z110="",$U110=""),0,IFERROR(IF(COUNTIFS(INDEX(g_grid,0,2*MATCH($M110,강사DB!$A$4:$A$15,0)),"&lt;&gt;",g_s,"&lt;="&amp;$U110,g_e,"&gt;="&amp;$U110)&gt;0,1,0),0))</f>
        <v>0</v>
      </c>
      <c r="AE110" s="48"/>
      <c r="AF110" s="56" t="str">
        <f aca="false">IF(AND($D110&lt;&gt;"",$B110="결제완료",$T110="대여"),설정!$J$5,"")</f>
        <v/>
      </c>
      <c r="AG110" s="54" t="str">
        <f aca="false">IF($D110="","",IF(AND($E110="",$R110=""),$AB110,"☎ "&amp;IF($E110="","-",$E110)&amp;IF($R110&lt;&gt;"","  ※ "&amp;$R110,"")&amp;IF($B110="상담중"," (상담)","")))</f>
        <v/>
      </c>
      <c r="AH110" s="56" t="str">
        <f aca="false">IF(AND($D110&lt;&gt;"",$B110="결제완료",$O110="스마트스토어"),ROUND(N($N110)*설정!$J$6,0),"")</f>
        <v/>
      </c>
      <c r="AI110" s="54" t="str">
        <f aca="false">IF($D110="","",ROW())</f>
        <v/>
      </c>
      <c r="AJ110" s="54" t="n">
        <f aca="false">IF(OR($AC110&lt;&gt;1,$M110=""),0,IF(ISNUMBER(SEARCH("퇴사",IFERROR(INDEX(강사DB!$G$4:$G$53,MATCH($M110,강사DB!$A$4:$A$53,0)),""))),1,0))</f>
        <v>0</v>
      </c>
    </row>
    <row r="111" customFormat="false" ht="15" hidden="false" customHeight="false" outlineLevel="0" collapsed="false">
      <c r="A111" s="45" t="str">
        <f aca="false">IF($D111="","",COUNTA($D$5:$D111))</f>
        <v/>
      </c>
      <c r="B111" s="46"/>
      <c r="C111" s="47"/>
      <c r="D111" s="48"/>
      <c r="E111" s="48"/>
      <c r="F111" s="49"/>
      <c r="G111" s="47"/>
      <c r="H111" s="50"/>
      <c r="I111" s="50"/>
      <c r="J111" s="51" t="str">
        <f aca="false">IF(OR($V111="",$W111=""),"",ROUND(($W111-$V111)/60,2))</f>
        <v/>
      </c>
      <c r="K111" s="52" t="str">
        <f aca="false">IF($F111="","",LEN($F111)-LEN(SUBSTITUTE($F111,",",""))+1)</f>
        <v/>
      </c>
      <c r="L111" s="45" t="str">
        <f aca="false">IF($K111="","","1:"&amp;$K111)</f>
        <v/>
      </c>
      <c r="M111" s="46"/>
      <c r="N111" s="53"/>
      <c r="O111" s="46"/>
      <c r="P111" s="47"/>
      <c r="Q111" s="48"/>
      <c r="R111" s="49"/>
      <c r="S111" s="54" t="str">
        <f aca="false">IF(OR($AC111=0,$U111="",$M111="",$V111="",$W111=""),"",IF(COUNTIFS(m_teacher,$M111,m_date,$U111,m_active,1,m_start,"&lt;"&amp;$W111,m_end,"&gt;"&amp;$V111)&gt;1,"충돌",""))</f>
        <v/>
      </c>
      <c r="T111" s="48"/>
      <c r="U111" s="55" t="str">
        <f aca="false">IF($G111="","",IFERROR(IF(ISNUMBER($G111),IF($G111&gt;19000000,DATE(INT($G111/10000),MOD(INT($G111/100),100),MOD($G111,100)),INT($G111)),IF(LEN(SUBSTITUTE(SUBSTITUTE(SUBSTITUTE(TRIM($G111),"-",""),".",""),"/",""))=8,DATE(VALUE(LEFT(SUBSTITUTE(SUBSTITUTE(SUBSTITUTE(TRIM($G111),"-",""),".",""),"/",""),4)),VALUE(MID(SUBSTITUTE(SUBSTITUTE(SUBSTITUTE(TRIM($G111),"-",""),".",""),"/",""),5,2)),VALUE(RIGHT(SUBSTITUTE(SUBSTITUTE(SUBSTITUTE(TRIM($G111),"-",""),".",""),"/",""),2))),DATEVALUE($G111))),""))</f>
        <v/>
      </c>
      <c r="V111" s="52" t="str">
        <f aca="false">IF($H111="","",IFERROR(IF(IF(ISNUMBER($H111),$H111,IFERROR(TIMEVALUE($H111),VALUE($H111)))&gt;=100,INT(IF(ISNUMBER($H111),$H111,IFERROR(TIMEVALUE($H111),VALUE($H111)))/100)*60+MOD(IF(ISNUMBER($H111),$H111,IFERROR(TIMEVALUE($H111),VALUE($H111))),100),IF(IF(ISNUMBER($H111),$H111,IFERROR(TIMEVALUE($H111),VALUE($H111)))&gt;=1,ROUND(IF(ISNUMBER($H111),$H111,IFERROR(TIMEVALUE($H111),VALUE($H111)))*60,0),ROUND(MOD(IF(ISNUMBER($H111),$H111,IFERROR(TIMEVALUE($H111),VALUE($H111))),1)*1440,0))),""))</f>
        <v/>
      </c>
      <c r="W111" s="52" t="str">
        <f aca="false">IF($I111="","",IFERROR(IF(IF(ISNUMBER($I111),$I111,IFERROR(TIMEVALUE($I111),VALUE($I111)))&gt;=100,INT(IF(ISNUMBER($I111),$I111,IFERROR(TIMEVALUE($I111),VALUE($I111)))/100)*60+MOD(IF(ISNUMBER($I111),$I111,IFERROR(TIMEVALUE($I111),VALUE($I111))),100),IF(IF(ISNUMBER($I111),$I111,IFERROR(TIMEVALUE($I111),VALUE($I111)))&gt;=1,ROUND(IF(ISNUMBER($I111),$I111,IFERROR(TIMEVALUE($I111),VALUE($I111)))*60,0),ROUND(MOD(IF(ISNUMBER($I111),$I111,IFERROR(TIMEVALUE($I111),VALUE($I111))),1)*1440,0))),""))</f>
        <v/>
      </c>
      <c r="X111" s="55" t="str">
        <f aca="false">IF($P111="","",IFERROR(IF(ISNUMBER($P111),IF($P111&gt;19000000,DATE(INT($P111/10000),MOD(INT($P111/100),100),MOD($P111,100)),INT($P111)),IF(LEN(SUBSTITUTE(SUBSTITUTE(SUBSTITUTE(TRIM($P111),"-",""),".",""),"/",""))=8,DATE(VALUE(LEFT(SUBSTITUTE(SUBSTITUTE(SUBSTITUTE(TRIM($P111),"-",""),".",""),"/",""),4)),VALUE(MID(SUBSTITUTE(SUBSTITUTE(SUBSTITUTE(TRIM($P111),"-",""),".",""),"/",""),5,2)),VALUE(RIGHT(SUBSTITUTE(SUBSTITUTE(SUBSTITUTE(TRIM($P111),"-",""),".",""),"/",""),2))),DATEVALUE($P111))),""))</f>
        <v/>
      </c>
      <c r="Y111" s="56" t="str">
        <f aca="false">IF($M111="","",IFERROR(INDEX(강사DB!$D$4:$D$53,MATCH($M111,강사DB!$A$4:$A$53,0)),""))</f>
        <v/>
      </c>
      <c r="Z111" s="56" t="str">
        <f aca="false">IF($B111&lt;&gt;"결제완료","",IF(OR($Y111="",$J111=""),"",$Y111*$J111+MAX(0,N($K111)-1)*설정!$J$7))</f>
        <v/>
      </c>
      <c r="AA111" s="56" t="str">
        <f aca="false">IF(AND($D111&lt;&gt;"",$B111="결제완료"),N($N111),"")</f>
        <v/>
      </c>
      <c r="AB111" s="45" t="str">
        <f aca="false">IF($D111="","",IF($F111&lt;&gt;"",$F111,$D111)&amp;IF($B111="상담중"," (상담)",""))</f>
        <v/>
      </c>
      <c r="AC111" s="45" t="n">
        <f aca="false">IF(AND($D111&lt;&gt;"",OR($B111="결제완료",$B111="상담중")),1,0)</f>
        <v>0</v>
      </c>
      <c r="AD111" s="45" t="n">
        <f aca="false">IF(OR($Z111="",$U111=""),0,IFERROR(IF(COUNTIFS(INDEX(g_grid,0,2*MATCH($M111,강사DB!$A$4:$A$15,0)),"&lt;&gt;",g_s,"&lt;="&amp;$U111,g_e,"&gt;="&amp;$U111)&gt;0,1,0),0))</f>
        <v>0</v>
      </c>
      <c r="AE111" s="48"/>
      <c r="AF111" s="56" t="str">
        <f aca="false">IF(AND($D111&lt;&gt;"",$B111="결제완료",$T111="대여"),설정!$J$5,"")</f>
        <v/>
      </c>
      <c r="AG111" s="54" t="str">
        <f aca="false">IF($D111="","",IF(AND($E111="",$R111=""),$AB111,"☎ "&amp;IF($E111="","-",$E111)&amp;IF($R111&lt;&gt;"","  ※ "&amp;$R111,"")&amp;IF($B111="상담중"," (상담)","")))</f>
        <v/>
      </c>
      <c r="AH111" s="56" t="str">
        <f aca="false">IF(AND($D111&lt;&gt;"",$B111="결제완료",$O111="스마트스토어"),ROUND(N($N111)*설정!$J$6,0),"")</f>
        <v/>
      </c>
      <c r="AI111" s="54" t="str">
        <f aca="false">IF($D111="","",ROW())</f>
        <v/>
      </c>
      <c r="AJ111" s="54" t="n">
        <f aca="false">IF(OR($AC111&lt;&gt;1,$M111=""),0,IF(ISNUMBER(SEARCH("퇴사",IFERROR(INDEX(강사DB!$G$4:$G$53,MATCH($M111,강사DB!$A$4:$A$53,0)),""))),1,0))</f>
        <v>0</v>
      </c>
    </row>
    <row r="112" customFormat="false" ht="15" hidden="false" customHeight="false" outlineLevel="0" collapsed="false">
      <c r="A112" s="45" t="str">
        <f aca="false">IF($D112="","",COUNTA($D$5:$D112))</f>
        <v/>
      </c>
      <c r="B112" s="46"/>
      <c r="C112" s="47"/>
      <c r="D112" s="48"/>
      <c r="E112" s="48"/>
      <c r="F112" s="49"/>
      <c r="G112" s="47"/>
      <c r="H112" s="50"/>
      <c r="I112" s="50"/>
      <c r="J112" s="51" t="str">
        <f aca="false">IF(OR($V112="",$W112=""),"",ROUND(($W112-$V112)/60,2))</f>
        <v/>
      </c>
      <c r="K112" s="52" t="str">
        <f aca="false">IF($F112="","",LEN($F112)-LEN(SUBSTITUTE($F112,",",""))+1)</f>
        <v/>
      </c>
      <c r="L112" s="45" t="str">
        <f aca="false">IF($K112="","","1:"&amp;$K112)</f>
        <v/>
      </c>
      <c r="M112" s="46"/>
      <c r="N112" s="53"/>
      <c r="O112" s="46"/>
      <c r="P112" s="47"/>
      <c r="Q112" s="48"/>
      <c r="R112" s="49"/>
      <c r="S112" s="54" t="str">
        <f aca="false">IF(OR($AC112=0,$U112="",$M112="",$V112="",$W112=""),"",IF(COUNTIFS(m_teacher,$M112,m_date,$U112,m_active,1,m_start,"&lt;"&amp;$W112,m_end,"&gt;"&amp;$V112)&gt;1,"충돌",""))</f>
        <v/>
      </c>
      <c r="T112" s="48"/>
      <c r="U112" s="55" t="str">
        <f aca="false">IF($G112="","",IFERROR(IF(ISNUMBER($G112),IF($G112&gt;19000000,DATE(INT($G112/10000),MOD(INT($G112/100),100),MOD($G112,100)),INT($G112)),IF(LEN(SUBSTITUTE(SUBSTITUTE(SUBSTITUTE(TRIM($G112),"-",""),".",""),"/",""))=8,DATE(VALUE(LEFT(SUBSTITUTE(SUBSTITUTE(SUBSTITUTE(TRIM($G112),"-",""),".",""),"/",""),4)),VALUE(MID(SUBSTITUTE(SUBSTITUTE(SUBSTITUTE(TRIM($G112),"-",""),".",""),"/",""),5,2)),VALUE(RIGHT(SUBSTITUTE(SUBSTITUTE(SUBSTITUTE(TRIM($G112),"-",""),".",""),"/",""),2))),DATEVALUE($G112))),""))</f>
        <v/>
      </c>
      <c r="V112" s="52" t="str">
        <f aca="false">IF($H112="","",IFERROR(IF(IF(ISNUMBER($H112),$H112,IFERROR(TIMEVALUE($H112),VALUE($H112)))&gt;=100,INT(IF(ISNUMBER($H112),$H112,IFERROR(TIMEVALUE($H112),VALUE($H112)))/100)*60+MOD(IF(ISNUMBER($H112),$H112,IFERROR(TIMEVALUE($H112),VALUE($H112))),100),IF(IF(ISNUMBER($H112),$H112,IFERROR(TIMEVALUE($H112),VALUE($H112)))&gt;=1,ROUND(IF(ISNUMBER($H112),$H112,IFERROR(TIMEVALUE($H112),VALUE($H112)))*60,0),ROUND(MOD(IF(ISNUMBER($H112),$H112,IFERROR(TIMEVALUE($H112),VALUE($H112))),1)*1440,0))),""))</f>
        <v/>
      </c>
      <c r="W112" s="52" t="str">
        <f aca="false">IF($I112="","",IFERROR(IF(IF(ISNUMBER($I112),$I112,IFERROR(TIMEVALUE($I112),VALUE($I112)))&gt;=100,INT(IF(ISNUMBER($I112),$I112,IFERROR(TIMEVALUE($I112),VALUE($I112)))/100)*60+MOD(IF(ISNUMBER($I112),$I112,IFERROR(TIMEVALUE($I112),VALUE($I112))),100),IF(IF(ISNUMBER($I112),$I112,IFERROR(TIMEVALUE($I112),VALUE($I112)))&gt;=1,ROUND(IF(ISNUMBER($I112),$I112,IFERROR(TIMEVALUE($I112),VALUE($I112)))*60,0),ROUND(MOD(IF(ISNUMBER($I112),$I112,IFERROR(TIMEVALUE($I112),VALUE($I112))),1)*1440,0))),""))</f>
        <v/>
      </c>
      <c r="X112" s="55" t="str">
        <f aca="false">IF($P112="","",IFERROR(IF(ISNUMBER($P112),IF($P112&gt;19000000,DATE(INT($P112/10000),MOD(INT($P112/100),100),MOD($P112,100)),INT($P112)),IF(LEN(SUBSTITUTE(SUBSTITUTE(SUBSTITUTE(TRIM($P112),"-",""),".",""),"/",""))=8,DATE(VALUE(LEFT(SUBSTITUTE(SUBSTITUTE(SUBSTITUTE(TRIM($P112),"-",""),".",""),"/",""),4)),VALUE(MID(SUBSTITUTE(SUBSTITUTE(SUBSTITUTE(TRIM($P112),"-",""),".",""),"/",""),5,2)),VALUE(RIGHT(SUBSTITUTE(SUBSTITUTE(SUBSTITUTE(TRIM($P112),"-",""),".",""),"/",""),2))),DATEVALUE($P112))),""))</f>
        <v/>
      </c>
      <c r="Y112" s="56" t="str">
        <f aca="false">IF($M112="","",IFERROR(INDEX(강사DB!$D$4:$D$53,MATCH($M112,강사DB!$A$4:$A$53,0)),""))</f>
        <v/>
      </c>
      <c r="Z112" s="56" t="str">
        <f aca="false">IF($B112&lt;&gt;"결제완료","",IF(OR($Y112="",$J112=""),"",$Y112*$J112+MAX(0,N($K112)-1)*설정!$J$7))</f>
        <v/>
      </c>
      <c r="AA112" s="56" t="str">
        <f aca="false">IF(AND($D112&lt;&gt;"",$B112="결제완료"),N($N112),"")</f>
        <v/>
      </c>
      <c r="AB112" s="45" t="str">
        <f aca="false">IF($D112="","",IF($F112&lt;&gt;"",$F112,$D112)&amp;IF($B112="상담중"," (상담)",""))</f>
        <v/>
      </c>
      <c r="AC112" s="45" t="n">
        <f aca="false">IF(AND($D112&lt;&gt;"",OR($B112="결제완료",$B112="상담중")),1,0)</f>
        <v>0</v>
      </c>
      <c r="AD112" s="45" t="n">
        <f aca="false">IF(OR($Z112="",$U112=""),0,IFERROR(IF(COUNTIFS(INDEX(g_grid,0,2*MATCH($M112,강사DB!$A$4:$A$15,0)),"&lt;&gt;",g_s,"&lt;="&amp;$U112,g_e,"&gt;="&amp;$U112)&gt;0,1,0),0))</f>
        <v>0</v>
      </c>
      <c r="AE112" s="48"/>
      <c r="AF112" s="56" t="str">
        <f aca="false">IF(AND($D112&lt;&gt;"",$B112="결제완료",$T112="대여"),설정!$J$5,"")</f>
        <v/>
      </c>
      <c r="AG112" s="54" t="str">
        <f aca="false">IF($D112="","",IF(AND($E112="",$R112=""),$AB112,"☎ "&amp;IF($E112="","-",$E112)&amp;IF($R112&lt;&gt;"","  ※ "&amp;$R112,"")&amp;IF($B112="상담중"," (상담)","")))</f>
        <v/>
      </c>
      <c r="AH112" s="56" t="str">
        <f aca="false">IF(AND($D112&lt;&gt;"",$B112="결제완료",$O112="스마트스토어"),ROUND(N($N112)*설정!$J$6,0),"")</f>
        <v/>
      </c>
      <c r="AI112" s="54" t="str">
        <f aca="false">IF($D112="","",ROW())</f>
        <v/>
      </c>
      <c r="AJ112" s="54" t="n">
        <f aca="false">IF(OR($AC112&lt;&gt;1,$M112=""),0,IF(ISNUMBER(SEARCH("퇴사",IFERROR(INDEX(강사DB!$G$4:$G$53,MATCH($M112,강사DB!$A$4:$A$53,0)),""))),1,0))</f>
        <v>0</v>
      </c>
    </row>
    <row r="113" customFormat="false" ht="15" hidden="false" customHeight="false" outlineLevel="0" collapsed="false">
      <c r="A113" s="45" t="str">
        <f aca="false">IF($D113="","",COUNTA($D$5:$D113))</f>
        <v/>
      </c>
      <c r="B113" s="46"/>
      <c r="C113" s="47"/>
      <c r="D113" s="48"/>
      <c r="E113" s="48"/>
      <c r="F113" s="49"/>
      <c r="G113" s="47"/>
      <c r="H113" s="50"/>
      <c r="I113" s="50"/>
      <c r="J113" s="51" t="str">
        <f aca="false">IF(OR($V113="",$W113=""),"",ROUND(($W113-$V113)/60,2))</f>
        <v/>
      </c>
      <c r="K113" s="52" t="str">
        <f aca="false">IF($F113="","",LEN($F113)-LEN(SUBSTITUTE($F113,",",""))+1)</f>
        <v/>
      </c>
      <c r="L113" s="45" t="str">
        <f aca="false">IF($K113="","","1:"&amp;$K113)</f>
        <v/>
      </c>
      <c r="M113" s="46"/>
      <c r="N113" s="53"/>
      <c r="O113" s="46"/>
      <c r="P113" s="47"/>
      <c r="Q113" s="48"/>
      <c r="R113" s="49"/>
      <c r="S113" s="54" t="str">
        <f aca="false">IF(OR($AC113=0,$U113="",$M113="",$V113="",$W113=""),"",IF(COUNTIFS(m_teacher,$M113,m_date,$U113,m_active,1,m_start,"&lt;"&amp;$W113,m_end,"&gt;"&amp;$V113)&gt;1,"충돌",""))</f>
        <v/>
      </c>
      <c r="T113" s="48"/>
      <c r="U113" s="55" t="str">
        <f aca="false">IF($G113="","",IFERROR(IF(ISNUMBER($G113),IF($G113&gt;19000000,DATE(INT($G113/10000),MOD(INT($G113/100),100),MOD($G113,100)),INT($G113)),IF(LEN(SUBSTITUTE(SUBSTITUTE(SUBSTITUTE(TRIM($G113),"-",""),".",""),"/",""))=8,DATE(VALUE(LEFT(SUBSTITUTE(SUBSTITUTE(SUBSTITUTE(TRIM($G113),"-",""),".",""),"/",""),4)),VALUE(MID(SUBSTITUTE(SUBSTITUTE(SUBSTITUTE(TRIM($G113),"-",""),".",""),"/",""),5,2)),VALUE(RIGHT(SUBSTITUTE(SUBSTITUTE(SUBSTITUTE(TRIM($G113),"-",""),".",""),"/",""),2))),DATEVALUE($G113))),""))</f>
        <v/>
      </c>
      <c r="V113" s="52" t="str">
        <f aca="false">IF($H113="","",IFERROR(IF(IF(ISNUMBER($H113),$H113,IFERROR(TIMEVALUE($H113),VALUE($H113)))&gt;=100,INT(IF(ISNUMBER($H113),$H113,IFERROR(TIMEVALUE($H113),VALUE($H113)))/100)*60+MOD(IF(ISNUMBER($H113),$H113,IFERROR(TIMEVALUE($H113),VALUE($H113))),100),IF(IF(ISNUMBER($H113),$H113,IFERROR(TIMEVALUE($H113),VALUE($H113)))&gt;=1,ROUND(IF(ISNUMBER($H113),$H113,IFERROR(TIMEVALUE($H113),VALUE($H113)))*60,0),ROUND(MOD(IF(ISNUMBER($H113),$H113,IFERROR(TIMEVALUE($H113),VALUE($H113))),1)*1440,0))),""))</f>
        <v/>
      </c>
      <c r="W113" s="52" t="str">
        <f aca="false">IF($I113="","",IFERROR(IF(IF(ISNUMBER($I113),$I113,IFERROR(TIMEVALUE($I113),VALUE($I113)))&gt;=100,INT(IF(ISNUMBER($I113),$I113,IFERROR(TIMEVALUE($I113),VALUE($I113)))/100)*60+MOD(IF(ISNUMBER($I113),$I113,IFERROR(TIMEVALUE($I113),VALUE($I113))),100),IF(IF(ISNUMBER($I113),$I113,IFERROR(TIMEVALUE($I113),VALUE($I113)))&gt;=1,ROUND(IF(ISNUMBER($I113),$I113,IFERROR(TIMEVALUE($I113),VALUE($I113)))*60,0),ROUND(MOD(IF(ISNUMBER($I113),$I113,IFERROR(TIMEVALUE($I113),VALUE($I113))),1)*1440,0))),""))</f>
        <v/>
      </c>
      <c r="X113" s="55" t="str">
        <f aca="false">IF($P113="","",IFERROR(IF(ISNUMBER($P113),IF($P113&gt;19000000,DATE(INT($P113/10000),MOD(INT($P113/100),100),MOD($P113,100)),INT($P113)),IF(LEN(SUBSTITUTE(SUBSTITUTE(SUBSTITUTE(TRIM($P113),"-",""),".",""),"/",""))=8,DATE(VALUE(LEFT(SUBSTITUTE(SUBSTITUTE(SUBSTITUTE(TRIM($P113),"-",""),".",""),"/",""),4)),VALUE(MID(SUBSTITUTE(SUBSTITUTE(SUBSTITUTE(TRIM($P113),"-",""),".",""),"/",""),5,2)),VALUE(RIGHT(SUBSTITUTE(SUBSTITUTE(SUBSTITUTE(TRIM($P113),"-",""),".",""),"/",""),2))),DATEVALUE($P113))),""))</f>
        <v/>
      </c>
      <c r="Y113" s="56" t="str">
        <f aca="false">IF($M113="","",IFERROR(INDEX(강사DB!$D$4:$D$53,MATCH($M113,강사DB!$A$4:$A$53,0)),""))</f>
        <v/>
      </c>
      <c r="Z113" s="56" t="str">
        <f aca="false">IF($B113&lt;&gt;"결제완료","",IF(OR($Y113="",$J113=""),"",$Y113*$J113+MAX(0,N($K113)-1)*설정!$J$7))</f>
        <v/>
      </c>
      <c r="AA113" s="56" t="str">
        <f aca="false">IF(AND($D113&lt;&gt;"",$B113="결제완료"),N($N113),"")</f>
        <v/>
      </c>
      <c r="AB113" s="45" t="str">
        <f aca="false">IF($D113="","",IF($F113&lt;&gt;"",$F113,$D113)&amp;IF($B113="상담중"," (상담)",""))</f>
        <v/>
      </c>
      <c r="AC113" s="45" t="n">
        <f aca="false">IF(AND($D113&lt;&gt;"",OR($B113="결제완료",$B113="상담중")),1,0)</f>
        <v>0</v>
      </c>
      <c r="AD113" s="45" t="n">
        <f aca="false">IF(OR($Z113="",$U113=""),0,IFERROR(IF(COUNTIFS(INDEX(g_grid,0,2*MATCH($M113,강사DB!$A$4:$A$15,0)),"&lt;&gt;",g_s,"&lt;="&amp;$U113,g_e,"&gt;="&amp;$U113)&gt;0,1,0),0))</f>
        <v>0</v>
      </c>
      <c r="AE113" s="48"/>
      <c r="AF113" s="56" t="str">
        <f aca="false">IF(AND($D113&lt;&gt;"",$B113="결제완료",$T113="대여"),설정!$J$5,"")</f>
        <v/>
      </c>
      <c r="AG113" s="54" t="str">
        <f aca="false">IF($D113="","",IF(AND($E113="",$R113=""),$AB113,"☎ "&amp;IF($E113="","-",$E113)&amp;IF($R113&lt;&gt;"","  ※ "&amp;$R113,"")&amp;IF($B113="상담중"," (상담)","")))</f>
        <v/>
      </c>
      <c r="AH113" s="56" t="str">
        <f aca="false">IF(AND($D113&lt;&gt;"",$B113="결제완료",$O113="스마트스토어"),ROUND(N($N113)*설정!$J$6,0),"")</f>
        <v/>
      </c>
      <c r="AI113" s="54" t="str">
        <f aca="false">IF($D113="","",ROW())</f>
        <v/>
      </c>
      <c r="AJ113" s="54" t="n">
        <f aca="false">IF(OR($AC113&lt;&gt;1,$M113=""),0,IF(ISNUMBER(SEARCH("퇴사",IFERROR(INDEX(강사DB!$G$4:$G$53,MATCH($M113,강사DB!$A$4:$A$53,0)),""))),1,0))</f>
        <v>0</v>
      </c>
    </row>
    <row r="114" customFormat="false" ht="15" hidden="false" customHeight="false" outlineLevel="0" collapsed="false">
      <c r="A114" s="45" t="str">
        <f aca="false">IF($D114="","",COUNTA($D$5:$D114))</f>
        <v/>
      </c>
      <c r="B114" s="46"/>
      <c r="C114" s="47"/>
      <c r="D114" s="48"/>
      <c r="E114" s="48"/>
      <c r="F114" s="49"/>
      <c r="G114" s="47"/>
      <c r="H114" s="50"/>
      <c r="I114" s="50"/>
      <c r="J114" s="51" t="str">
        <f aca="false">IF(OR($V114="",$W114=""),"",ROUND(($W114-$V114)/60,2))</f>
        <v/>
      </c>
      <c r="K114" s="52" t="str">
        <f aca="false">IF($F114="","",LEN($F114)-LEN(SUBSTITUTE($F114,",",""))+1)</f>
        <v/>
      </c>
      <c r="L114" s="45" t="str">
        <f aca="false">IF($K114="","","1:"&amp;$K114)</f>
        <v/>
      </c>
      <c r="M114" s="46"/>
      <c r="N114" s="53"/>
      <c r="O114" s="46"/>
      <c r="P114" s="47"/>
      <c r="Q114" s="48"/>
      <c r="R114" s="49"/>
      <c r="S114" s="54" t="str">
        <f aca="false">IF(OR($AC114=0,$U114="",$M114="",$V114="",$W114=""),"",IF(COUNTIFS(m_teacher,$M114,m_date,$U114,m_active,1,m_start,"&lt;"&amp;$W114,m_end,"&gt;"&amp;$V114)&gt;1,"충돌",""))</f>
        <v/>
      </c>
      <c r="T114" s="48"/>
      <c r="U114" s="55" t="str">
        <f aca="false">IF($G114="","",IFERROR(IF(ISNUMBER($G114),IF($G114&gt;19000000,DATE(INT($G114/10000),MOD(INT($G114/100),100),MOD($G114,100)),INT($G114)),IF(LEN(SUBSTITUTE(SUBSTITUTE(SUBSTITUTE(TRIM($G114),"-",""),".",""),"/",""))=8,DATE(VALUE(LEFT(SUBSTITUTE(SUBSTITUTE(SUBSTITUTE(TRIM($G114),"-",""),".",""),"/",""),4)),VALUE(MID(SUBSTITUTE(SUBSTITUTE(SUBSTITUTE(TRIM($G114),"-",""),".",""),"/",""),5,2)),VALUE(RIGHT(SUBSTITUTE(SUBSTITUTE(SUBSTITUTE(TRIM($G114),"-",""),".",""),"/",""),2))),DATEVALUE($G114))),""))</f>
        <v/>
      </c>
      <c r="V114" s="52" t="str">
        <f aca="false">IF($H114="","",IFERROR(IF(IF(ISNUMBER($H114),$H114,IFERROR(TIMEVALUE($H114),VALUE($H114)))&gt;=100,INT(IF(ISNUMBER($H114),$H114,IFERROR(TIMEVALUE($H114),VALUE($H114)))/100)*60+MOD(IF(ISNUMBER($H114),$H114,IFERROR(TIMEVALUE($H114),VALUE($H114))),100),IF(IF(ISNUMBER($H114),$H114,IFERROR(TIMEVALUE($H114),VALUE($H114)))&gt;=1,ROUND(IF(ISNUMBER($H114),$H114,IFERROR(TIMEVALUE($H114),VALUE($H114)))*60,0),ROUND(MOD(IF(ISNUMBER($H114),$H114,IFERROR(TIMEVALUE($H114),VALUE($H114))),1)*1440,0))),""))</f>
        <v/>
      </c>
      <c r="W114" s="52" t="str">
        <f aca="false">IF($I114="","",IFERROR(IF(IF(ISNUMBER($I114),$I114,IFERROR(TIMEVALUE($I114),VALUE($I114)))&gt;=100,INT(IF(ISNUMBER($I114),$I114,IFERROR(TIMEVALUE($I114),VALUE($I114)))/100)*60+MOD(IF(ISNUMBER($I114),$I114,IFERROR(TIMEVALUE($I114),VALUE($I114))),100),IF(IF(ISNUMBER($I114),$I114,IFERROR(TIMEVALUE($I114),VALUE($I114)))&gt;=1,ROUND(IF(ISNUMBER($I114),$I114,IFERROR(TIMEVALUE($I114),VALUE($I114)))*60,0),ROUND(MOD(IF(ISNUMBER($I114),$I114,IFERROR(TIMEVALUE($I114),VALUE($I114))),1)*1440,0))),""))</f>
        <v/>
      </c>
      <c r="X114" s="55" t="str">
        <f aca="false">IF($P114="","",IFERROR(IF(ISNUMBER($P114),IF($P114&gt;19000000,DATE(INT($P114/10000),MOD(INT($P114/100),100),MOD($P114,100)),INT($P114)),IF(LEN(SUBSTITUTE(SUBSTITUTE(SUBSTITUTE(TRIM($P114),"-",""),".",""),"/",""))=8,DATE(VALUE(LEFT(SUBSTITUTE(SUBSTITUTE(SUBSTITUTE(TRIM($P114),"-",""),".",""),"/",""),4)),VALUE(MID(SUBSTITUTE(SUBSTITUTE(SUBSTITUTE(TRIM($P114),"-",""),".",""),"/",""),5,2)),VALUE(RIGHT(SUBSTITUTE(SUBSTITUTE(SUBSTITUTE(TRIM($P114),"-",""),".",""),"/",""),2))),DATEVALUE($P114))),""))</f>
        <v/>
      </c>
      <c r="Y114" s="56" t="str">
        <f aca="false">IF($M114="","",IFERROR(INDEX(강사DB!$D$4:$D$53,MATCH($M114,강사DB!$A$4:$A$53,0)),""))</f>
        <v/>
      </c>
      <c r="Z114" s="56" t="str">
        <f aca="false">IF($B114&lt;&gt;"결제완료","",IF(OR($Y114="",$J114=""),"",$Y114*$J114+MAX(0,N($K114)-1)*설정!$J$7))</f>
        <v/>
      </c>
      <c r="AA114" s="56" t="str">
        <f aca="false">IF(AND($D114&lt;&gt;"",$B114="결제완료"),N($N114),"")</f>
        <v/>
      </c>
      <c r="AB114" s="45" t="str">
        <f aca="false">IF($D114="","",IF($F114&lt;&gt;"",$F114,$D114)&amp;IF($B114="상담중"," (상담)",""))</f>
        <v/>
      </c>
      <c r="AC114" s="45" t="n">
        <f aca="false">IF(AND($D114&lt;&gt;"",OR($B114="결제완료",$B114="상담중")),1,0)</f>
        <v>0</v>
      </c>
      <c r="AD114" s="45" t="n">
        <f aca="false">IF(OR($Z114="",$U114=""),0,IFERROR(IF(COUNTIFS(INDEX(g_grid,0,2*MATCH($M114,강사DB!$A$4:$A$15,0)),"&lt;&gt;",g_s,"&lt;="&amp;$U114,g_e,"&gt;="&amp;$U114)&gt;0,1,0),0))</f>
        <v>0</v>
      </c>
      <c r="AE114" s="48"/>
      <c r="AF114" s="56" t="str">
        <f aca="false">IF(AND($D114&lt;&gt;"",$B114="결제완료",$T114="대여"),설정!$J$5,"")</f>
        <v/>
      </c>
      <c r="AG114" s="54" t="str">
        <f aca="false">IF($D114="","",IF(AND($E114="",$R114=""),$AB114,"☎ "&amp;IF($E114="","-",$E114)&amp;IF($R114&lt;&gt;"","  ※ "&amp;$R114,"")&amp;IF($B114="상담중"," (상담)","")))</f>
        <v/>
      </c>
      <c r="AH114" s="56" t="str">
        <f aca="false">IF(AND($D114&lt;&gt;"",$B114="결제완료",$O114="스마트스토어"),ROUND(N($N114)*설정!$J$6,0),"")</f>
        <v/>
      </c>
      <c r="AI114" s="54" t="str">
        <f aca="false">IF($D114="","",ROW())</f>
        <v/>
      </c>
      <c r="AJ114" s="54" t="n">
        <f aca="false">IF(OR($AC114&lt;&gt;1,$M114=""),0,IF(ISNUMBER(SEARCH("퇴사",IFERROR(INDEX(강사DB!$G$4:$G$53,MATCH($M114,강사DB!$A$4:$A$53,0)),""))),1,0))</f>
        <v>0</v>
      </c>
    </row>
    <row r="115" customFormat="false" ht="15" hidden="false" customHeight="false" outlineLevel="0" collapsed="false">
      <c r="A115" s="45" t="str">
        <f aca="false">IF($D115="","",COUNTA($D$5:$D115))</f>
        <v/>
      </c>
      <c r="B115" s="46"/>
      <c r="C115" s="47"/>
      <c r="D115" s="48"/>
      <c r="E115" s="48"/>
      <c r="F115" s="49"/>
      <c r="G115" s="47"/>
      <c r="H115" s="50"/>
      <c r="I115" s="50"/>
      <c r="J115" s="51" t="str">
        <f aca="false">IF(OR($V115="",$W115=""),"",ROUND(($W115-$V115)/60,2))</f>
        <v/>
      </c>
      <c r="K115" s="52" t="str">
        <f aca="false">IF($F115="","",LEN($F115)-LEN(SUBSTITUTE($F115,",",""))+1)</f>
        <v/>
      </c>
      <c r="L115" s="45" t="str">
        <f aca="false">IF($K115="","","1:"&amp;$K115)</f>
        <v/>
      </c>
      <c r="M115" s="46"/>
      <c r="N115" s="53"/>
      <c r="O115" s="46"/>
      <c r="P115" s="47"/>
      <c r="Q115" s="48"/>
      <c r="R115" s="49"/>
      <c r="S115" s="54" t="str">
        <f aca="false">IF(OR($AC115=0,$U115="",$M115="",$V115="",$W115=""),"",IF(COUNTIFS(m_teacher,$M115,m_date,$U115,m_active,1,m_start,"&lt;"&amp;$W115,m_end,"&gt;"&amp;$V115)&gt;1,"충돌",""))</f>
        <v/>
      </c>
      <c r="T115" s="48"/>
      <c r="U115" s="55" t="str">
        <f aca="false">IF($G115="","",IFERROR(IF(ISNUMBER($G115),IF($G115&gt;19000000,DATE(INT($G115/10000),MOD(INT($G115/100),100),MOD($G115,100)),INT($G115)),IF(LEN(SUBSTITUTE(SUBSTITUTE(SUBSTITUTE(TRIM($G115),"-",""),".",""),"/",""))=8,DATE(VALUE(LEFT(SUBSTITUTE(SUBSTITUTE(SUBSTITUTE(TRIM($G115),"-",""),".",""),"/",""),4)),VALUE(MID(SUBSTITUTE(SUBSTITUTE(SUBSTITUTE(TRIM($G115),"-",""),".",""),"/",""),5,2)),VALUE(RIGHT(SUBSTITUTE(SUBSTITUTE(SUBSTITUTE(TRIM($G115),"-",""),".",""),"/",""),2))),DATEVALUE($G115))),""))</f>
        <v/>
      </c>
      <c r="V115" s="52" t="str">
        <f aca="false">IF($H115="","",IFERROR(IF(IF(ISNUMBER($H115),$H115,IFERROR(TIMEVALUE($H115),VALUE($H115)))&gt;=100,INT(IF(ISNUMBER($H115),$H115,IFERROR(TIMEVALUE($H115),VALUE($H115)))/100)*60+MOD(IF(ISNUMBER($H115),$H115,IFERROR(TIMEVALUE($H115),VALUE($H115))),100),IF(IF(ISNUMBER($H115),$H115,IFERROR(TIMEVALUE($H115),VALUE($H115)))&gt;=1,ROUND(IF(ISNUMBER($H115),$H115,IFERROR(TIMEVALUE($H115),VALUE($H115)))*60,0),ROUND(MOD(IF(ISNUMBER($H115),$H115,IFERROR(TIMEVALUE($H115),VALUE($H115))),1)*1440,0))),""))</f>
        <v/>
      </c>
      <c r="W115" s="52" t="str">
        <f aca="false">IF($I115="","",IFERROR(IF(IF(ISNUMBER($I115),$I115,IFERROR(TIMEVALUE($I115),VALUE($I115)))&gt;=100,INT(IF(ISNUMBER($I115),$I115,IFERROR(TIMEVALUE($I115),VALUE($I115)))/100)*60+MOD(IF(ISNUMBER($I115),$I115,IFERROR(TIMEVALUE($I115),VALUE($I115))),100),IF(IF(ISNUMBER($I115),$I115,IFERROR(TIMEVALUE($I115),VALUE($I115)))&gt;=1,ROUND(IF(ISNUMBER($I115),$I115,IFERROR(TIMEVALUE($I115),VALUE($I115)))*60,0),ROUND(MOD(IF(ISNUMBER($I115),$I115,IFERROR(TIMEVALUE($I115),VALUE($I115))),1)*1440,0))),""))</f>
        <v/>
      </c>
      <c r="X115" s="55" t="str">
        <f aca="false">IF($P115="","",IFERROR(IF(ISNUMBER($P115),IF($P115&gt;19000000,DATE(INT($P115/10000),MOD(INT($P115/100),100),MOD($P115,100)),INT($P115)),IF(LEN(SUBSTITUTE(SUBSTITUTE(SUBSTITUTE(TRIM($P115),"-",""),".",""),"/",""))=8,DATE(VALUE(LEFT(SUBSTITUTE(SUBSTITUTE(SUBSTITUTE(TRIM($P115),"-",""),".",""),"/",""),4)),VALUE(MID(SUBSTITUTE(SUBSTITUTE(SUBSTITUTE(TRIM($P115),"-",""),".",""),"/",""),5,2)),VALUE(RIGHT(SUBSTITUTE(SUBSTITUTE(SUBSTITUTE(TRIM($P115),"-",""),".",""),"/",""),2))),DATEVALUE($P115))),""))</f>
        <v/>
      </c>
      <c r="Y115" s="56" t="str">
        <f aca="false">IF($M115="","",IFERROR(INDEX(강사DB!$D$4:$D$53,MATCH($M115,강사DB!$A$4:$A$53,0)),""))</f>
        <v/>
      </c>
      <c r="Z115" s="56" t="str">
        <f aca="false">IF($B115&lt;&gt;"결제완료","",IF(OR($Y115="",$J115=""),"",$Y115*$J115+MAX(0,N($K115)-1)*설정!$J$7))</f>
        <v/>
      </c>
      <c r="AA115" s="56" t="str">
        <f aca="false">IF(AND($D115&lt;&gt;"",$B115="결제완료"),N($N115),"")</f>
        <v/>
      </c>
      <c r="AB115" s="45" t="str">
        <f aca="false">IF($D115="","",IF($F115&lt;&gt;"",$F115,$D115)&amp;IF($B115="상담중"," (상담)",""))</f>
        <v/>
      </c>
      <c r="AC115" s="45" t="n">
        <f aca="false">IF(AND($D115&lt;&gt;"",OR($B115="결제완료",$B115="상담중")),1,0)</f>
        <v>0</v>
      </c>
      <c r="AD115" s="45" t="n">
        <f aca="false">IF(OR($Z115="",$U115=""),0,IFERROR(IF(COUNTIFS(INDEX(g_grid,0,2*MATCH($M115,강사DB!$A$4:$A$15,0)),"&lt;&gt;",g_s,"&lt;="&amp;$U115,g_e,"&gt;="&amp;$U115)&gt;0,1,0),0))</f>
        <v>0</v>
      </c>
      <c r="AE115" s="48"/>
      <c r="AF115" s="56" t="str">
        <f aca="false">IF(AND($D115&lt;&gt;"",$B115="결제완료",$T115="대여"),설정!$J$5,"")</f>
        <v/>
      </c>
      <c r="AG115" s="54" t="str">
        <f aca="false">IF($D115="","",IF(AND($E115="",$R115=""),$AB115,"☎ "&amp;IF($E115="","-",$E115)&amp;IF($R115&lt;&gt;"","  ※ "&amp;$R115,"")&amp;IF($B115="상담중"," (상담)","")))</f>
        <v/>
      </c>
      <c r="AH115" s="56" t="str">
        <f aca="false">IF(AND($D115&lt;&gt;"",$B115="결제완료",$O115="스마트스토어"),ROUND(N($N115)*설정!$J$6,0),"")</f>
        <v/>
      </c>
      <c r="AI115" s="54" t="str">
        <f aca="false">IF($D115="","",ROW())</f>
        <v/>
      </c>
      <c r="AJ115" s="54" t="n">
        <f aca="false">IF(OR($AC115&lt;&gt;1,$M115=""),0,IF(ISNUMBER(SEARCH("퇴사",IFERROR(INDEX(강사DB!$G$4:$G$53,MATCH($M115,강사DB!$A$4:$A$53,0)),""))),1,0))</f>
        <v>0</v>
      </c>
    </row>
    <row r="116" customFormat="false" ht="15" hidden="false" customHeight="false" outlineLevel="0" collapsed="false">
      <c r="A116" s="45" t="str">
        <f aca="false">IF($D116="","",COUNTA($D$5:$D116))</f>
        <v/>
      </c>
      <c r="B116" s="46"/>
      <c r="C116" s="47"/>
      <c r="D116" s="48"/>
      <c r="E116" s="48"/>
      <c r="F116" s="49"/>
      <c r="G116" s="47"/>
      <c r="H116" s="50"/>
      <c r="I116" s="50"/>
      <c r="J116" s="51" t="str">
        <f aca="false">IF(OR($V116="",$W116=""),"",ROUND(($W116-$V116)/60,2))</f>
        <v/>
      </c>
      <c r="K116" s="52" t="str">
        <f aca="false">IF($F116="","",LEN($F116)-LEN(SUBSTITUTE($F116,",",""))+1)</f>
        <v/>
      </c>
      <c r="L116" s="45" t="str">
        <f aca="false">IF($K116="","","1:"&amp;$K116)</f>
        <v/>
      </c>
      <c r="M116" s="46"/>
      <c r="N116" s="53"/>
      <c r="O116" s="46"/>
      <c r="P116" s="47"/>
      <c r="Q116" s="48"/>
      <c r="R116" s="49"/>
      <c r="S116" s="54" t="str">
        <f aca="false">IF(OR($AC116=0,$U116="",$M116="",$V116="",$W116=""),"",IF(COUNTIFS(m_teacher,$M116,m_date,$U116,m_active,1,m_start,"&lt;"&amp;$W116,m_end,"&gt;"&amp;$V116)&gt;1,"충돌",""))</f>
        <v/>
      </c>
      <c r="T116" s="48"/>
      <c r="U116" s="55" t="str">
        <f aca="false">IF($G116="","",IFERROR(IF(ISNUMBER($G116),IF($G116&gt;19000000,DATE(INT($G116/10000),MOD(INT($G116/100),100),MOD($G116,100)),INT($G116)),IF(LEN(SUBSTITUTE(SUBSTITUTE(SUBSTITUTE(TRIM($G116),"-",""),".",""),"/",""))=8,DATE(VALUE(LEFT(SUBSTITUTE(SUBSTITUTE(SUBSTITUTE(TRIM($G116),"-",""),".",""),"/",""),4)),VALUE(MID(SUBSTITUTE(SUBSTITUTE(SUBSTITUTE(TRIM($G116),"-",""),".",""),"/",""),5,2)),VALUE(RIGHT(SUBSTITUTE(SUBSTITUTE(SUBSTITUTE(TRIM($G116),"-",""),".",""),"/",""),2))),DATEVALUE($G116))),""))</f>
        <v/>
      </c>
      <c r="V116" s="52" t="str">
        <f aca="false">IF($H116="","",IFERROR(IF(IF(ISNUMBER($H116),$H116,IFERROR(TIMEVALUE($H116),VALUE($H116)))&gt;=100,INT(IF(ISNUMBER($H116),$H116,IFERROR(TIMEVALUE($H116),VALUE($H116)))/100)*60+MOD(IF(ISNUMBER($H116),$H116,IFERROR(TIMEVALUE($H116),VALUE($H116))),100),IF(IF(ISNUMBER($H116),$H116,IFERROR(TIMEVALUE($H116),VALUE($H116)))&gt;=1,ROUND(IF(ISNUMBER($H116),$H116,IFERROR(TIMEVALUE($H116),VALUE($H116)))*60,0),ROUND(MOD(IF(ISNUMBER($H116),$H116,IFERROR(TIMEVALUE($H116),VALUE($H116))),1)*1440,0))),""))</f>
        <v/>
      </c>
      <c r="W116" s="52" t="str">
        <f aca="false">IF($I116="","",IFERROR(IF(IF(ISNUMBER($I116),$I116,IFERROR(TIMEVALUE($I116),VALUE($I116)))&gt;=100,INT(IF(ISNUMBER($I116),$I116,IFERROR(TIMEVALUE($I116),VALUE($I116)))/100)*60+MOD(IF(ISNUMBER($I116),$I116,IFERROR(TIMEVALUE($I116),VALUE($I116))),100),IF(IF(ISNUMBER($I116),$I116,IFERROR(TIMEVALUE($I116),VALUE($I116)))&gt;=1,ROUND(IF(ISNUMBER($I116),$I116,IFERROR(TIMEVALUE($I116),VALUE($I116)))*60,0),ROUND(MOD(IF(ISNUMBER($I116),$I116,IFERROR(TIMEVALUE($I116),VALUE($I116))),1)*1440,0))),""))</f>
        <v/>
      </c>
      <c r="X116" s="55" t="str">
        <f aca="false">IF($P116="","",IFERROR(IF(ISNUMBER($P116),IF($P116&gt;19000000,DATE(INT($P116/10000),MOD(INT($P116/100),100),MOD($P116,100)),INT($P116)),IF(LEN(SUBSTITUTE(SUBSTITUTE(SUBSTITUTE(TRIM($P116),"-",""),".",""),"/",""))=8,DATE(VALUE(LEFT(SUBSTITUTE(SUBSTITUTE(SUBSTITUTE(TRIM($P116),"-",""),".",""),"/",""),4)),VALUE(MID(SUBSTITUTE(SUBSTITUTE(SUBSTITUTE(TRIM($P116),"-",""),".",""),"/",""),5,2)),VALUE(RIGHT(SUBSTITUTE(SUBSTITUTE(SUBSTITUTE(TRIM($P116),"-",""),".",""),"/",""),2))),DATEVALUE($P116))),""))</f>
        <v/>
      </c>
      <c r="Y116" s="56" t="str">
        <f aca="false">IF($M116="","",IFERROR(INDEX(강사DB!$D$4:$D$53,MATCH($M116,강사DB!$A$4:$A$53,0)),""))</f>
        <v/>
      </c>
      <c r="Z116" s="56" t="str">
        <f aca="false">IF($B116&lt;&gt;"결제완료","",IF(OR($Y116="",$J116=""),"",$Y116*$J116+MAX(0,N($K116)-1)*설정!$J$7))</f>
        <v/>
      </c>
      <c r="AA116" s="56" t="str">
        <f aca="false">IF(AND($D116&lt;&gt;"",$B116="결제완료"),N($N116),"")</f>
        <v/>
      </c>
      <c r="AB116" s="45" t="str">
        <f aca="false">IF($D116="","",IF($F116&lt;&gt;"",$F116,$D116)&amp;IF($B116="상담중"," (상담)",""))</f>
        <v/>
      </c>
      <c r="AC116" s="45" t="n">
        <f aca="false">IF(AND($D116&lt;&gt;"",OR($B116="결제완료",$B116="상담중")),1,0)</f>
        <v>0</v>
      </c>
      <c r="AD116" s="45" t="n">
        <f aca="false">IF(OR($Z116="",$U116=""),0,IFERROR(IF(COUNTIFS(INDEX(g_grid,0,2*MATCH($M116,강사DB!$A$4:$A$15,0)),"&lt;&gt;",g_s,"&lt;="&amp;$U116,g_e,"&gt;="&amp;$U116)&gt;0,1,0),0))</f>
        <v>0</v>
      </c>
      <c r="AE116" s="48"/>
      <c r="AF116" s="56" t="str">
        <f aca="false">IF(AND($D116&lt;&gt;"",$B116="결제완료",$T116="대여"),설정!$J$5,"")</f>
        <v/>
      </c>
      <c r="AG116" s="54" t="str">
        <f aca="false">IF($D116="","",IF(AND($E116="",$R116=""),$AB116,"☎ "&amp;IF($E116="","-",$E116)&amp;IF($R116&lt;&gt;"","  ※ "&amp;$R116,"")&amp;IF($B116="상담중"," (상담)","")))</f>
        <v/>
      </c>
      <c r="AH116" s="56" t="str">
        <f aca="false">IF(AND($D116&lt;&gt;"",$B116="결제완료",$O116="스마트스토어"),ROUND(N($N116)*설정!$J$6,0),"")</f>
        <v/>
      </c>
      <c r="AI116" s="54" t="str">
        <f aca="false">IF($D116="","",ROW())</f>
        <v/>
      </c>
      <c r="AJ116" s="54" t="n">
        <f aca="false">IF(OR($AC116&lt;&gt;1,$M116=""),0,IF(ISNUMBER(SEARCH("퇴사",IFERROR(INDEX(강사DB!$G$4:$G$53,MATCH($M116,강사DB!$A$4:$A$53,0)),""))),1,0))</f>
        <v>0</v>
      </c>
    </row>
    <row r="117" customFormat="false" ht="15" hidden="false" customHeight="false" outlineLevel="0" collapsed="false">
      <c r="A117" s="45" t="str">
        <f aca="false">IF($D117="","",COUNTA($D$5:$D117))</f>
        <v/>
      </c>
      <c r="B117" s="46"/>
      <c r="C117" s="47"/>
      <c r="D117" s="48"/>
      <c r="E117" s="48"/>
      <c r="F117" s="49"/>
      <c r="G117" s="47"/>
      <c r="H117" s="50"/>
      <c r="I117" s="50"/>
      <c r="J117" s="51" t="str">
        <f aca="false">IF(OR($V117="",$W117=""),"",ROUND(($W117-$V117)/60,2))</f>
        <v/>
      </c>
      <c r="K117" s="52" t="str">
        <f aca="false">IF($F117="","",LEN($F117)-LEN(SUBSTITUTE($F117,",",""))+1)</f>
        <v/>
      </c>
      <c r="L117" s="45" t="str">
        <f aca="false">IF($K117="","","1:"&amp;$K117)</f>
        <v/>
      </c>
      <c r="M117" s="46"/>
      <c r="N117" s="53"/>
      <c r="O117" s="46"/>
      <c r="P117" s="47"/>
      <c r="Q117" s="48"/>
      <c r="R117" s="49"/>
      <c r="S117" s="54" t="str">
        <f aca="false">IF(OR($AC117=0,$U117="",$M117="",$V117="",$W117=""),"",IF(COUNTIFS(m_teacher,$M117,m_date,$U117,m_active,1,m_start,"&lt;"&amp;$W117,m_end,"&gt;"&amp;$V117)&gt;1,"충돌",""))</f>
        <v/>
      </c>
      <c r="T117" s="48"/>
      <c r="U117" s="55" t="str">
        <f aca="false">IF($G117="","",IFERROR(IF(ISNUMBER($G117),IF($G117&gt;19000000,DATE(INT($G117/10000),MOD(INT($G117/100),100),MOD($G117,100)),INT($G117)),IF(LEN(SUBSTITUTE(SUBSTITUTE(SUBSTITUTE(TRIM($G117),"-",""),".",""),"/",""))=8,DATE(VALUE(LEFT(SUBSTITUTE(SUBSTITUTE(SUBSTITUTE(TRIM($G117),"-",""),".",""),"/",""),4)),VALUE(MID(SUBSTITUTE(SUBSTITUTE(SUBSTITUTE(TRIM($G117),"-",""),".",""),"/",""),5,2)),VALUE(RIGHT(SUBSTITUTE(SUBSTITUTE(SUBSTITUTE(TRIM($G117),"-",""),".",""),"/",""),2))),DATEVALUE($G117))),""))</f>
        <v/>
      </c>
      <c r="V117" s="52" t="str">
        <f aca="false">IF($H117="","",IFERROR(IF(IF(ISNUMBER($H117),$H117,IFERROR(TIMEVALUE($H117),VALUE($H117)))&gt;=100,INT(IF(ISNUMBER($H117),$H117,IFERROR(TIMEVALUE($H117),VALUE($H117)))/100)*60+MOD(IF(ISNUMBER($H117),$H117,IFERROR(TIMEVALUE($H117),VALUE($H117))),100),IF(IF(ISNUMBER($H117),$H117,IFERROR(TIMEVALUE($H117),VALUE($H117)))&gt;=1,ROUND(IF(ISNUMBER($H117),$H117,IFERROR(TIMEVALUE($H117),VALUE($H117)))*60,0),ROUND(MOD(IF(ISNUMBER($H117),$H117,IFERROR(TIMEVALUE($H117),VALUE($H117))),1)*1440,0))),""))</f>
        <v/>
      </c>
      <c r="W117" s="52" t="str">
        <f aca="false">IF($I117="","",IFERROR(IF(IF(ISNUMBER($I117),$I117,IFERROR(TIMEVALUE($I117),VALUE($I117)))&gt;=100,INT(IF(ISNUMBER($I117),$I117,IFERROR(TIMEVALUE($I117),VALUE($I117)))/100)*60+MOD(IF(ISNUMBER($I117),$I117,IFERROR(TIMEVALUE($I117),VALUE($I117))),100),IF(IF(ISNUMBER($I117),$I117,IFERROR(TIMEVALUE($I117),VALUE($I117)))&gt;=1,ROUND(IF(ISNUMBER($I117),$I117,IFERROR(TIMEVALUE($I117),VALUE($I117)))*60,0),ROUND(MOD(IF(ISNUMBER($I117),$I117,IFERROR(TIMEVALUE($I117),VALUE($I117))),1)*1440,0))),""))</f>
        <v/>
      </c>
      <c r="X117" s="55" t="str">
        <f aca="false">IF($P117="","",IFERROR(IF(ISNUMBER($P117),IF($P117&gt;19000000,DATE(INT($P117/10000),MOD(INT($P117/100),100),MOD($P117,100)),INT($P117)),IF(LEN(SUBSTITUTE(SUBSTITUTE(SUBSTITUTE(TRIM($P117),"-",""),".",""),"/",""))=8,DATE(VALUE(LEFT(SUBSTITUTE(SUBSTITUTE(SUBSTITUTE(TRIM($P117),"-",""),".",""),"/",""),4)),VALUE(MID(SUBSTITUTE(SUBSTITUTE(SUBSTITUTE(TRIM($P117),"-",""),".",""),"/",""),5,2)),VALUE(RIGHT(SUBSTITUTE(SUBSTITUTE(SUBSTITUTE(TRIM($P117),"-",""),".",""),"/",""),2))),DATEVALUE($P117))),""))</f>
        <v/>
      </c>
      <c r="Y117" s="56" t="str">
        <f aca="false">IF($M117="","",IFERROR(INDEX(강사DB!$D$4:$D$53,MATCH($M117,강사DB!$A$4:$A$53,0)),""))</f>
        <v/>
      </c>
      <c r="Z117" s="56" t="str">
        <f aca="false">IF($B117&lt;&gt;"결제완료","",IF(OR($Y117="",$J117=""),"",$Y117*$J117+MAX(0,N($K117)-1)*설정!$J$7))</f>
        <v/>
      </c>
      <c r="AA117" s="56" t="str">
        <f aca="false">IF(AND($D117&lt;&gt;"",$B117="결제완료"),N($N117),"")</f>
        <v/>
      </c>
      <c r="AB117" s="45" t="str">
        <f aca="false">IF($D117="","",IF($F117&lt;&gt;"",$F117,$D117)&amp;IF($B117="상담중"," (상담)",""))</f>
        <v/>
      </c>
      <c r="AC117" s="45" t="n">
        <f aca="false">IF(AND($D117&lt;&gt;"",OR($B117="결제완료",$B117="상담중")),1,0)</f>
        <v>0</v>
      </c>
      <c r="AD117" s="45" t="n">
        <f aca="false">IF(OR($Z117="",$U117=""),0,IFERROR(IF(COUNTIFS(INDEX(g_grid,0,2*MATCH($M117,강사DB!$A$4:$A$15,0)),"&lt;&gt;",g_s,"&lt;="&amp;$U117,g_e,"&gt;="&amp;$U117)&gt;0,1,0),0))</f>
        <v>0</v>
      </c>
      <c r="AE117" s="48"/>
      <c r="AF117" s="56" t="str">
        <f aca="false">IF(AND($D117&lt;&gt;"",$B117="결제완료",$T117="대여"),설정!$J$5,"")</f>
        <v/>
      </c>
      <c r="AG117" s="54" t="str">
        <f aca="false">IF($D117="","",IF(AND($E117="",$R117=""),$AB117,"☎ "&amp;IF($E117="","-",$E117)&amp;IF($R117&lt;&gt;"","  ※ "&amp;$R117,"")&amp;IF($B117="상담중"," (상담)","")))</f>
        <v/>
      </c>
      <c r="AH117" s="56" t="str">
        <f aca="false">IF(AND($D117&lt;&gt;"",$B117="결제완료",$O117="스마트스토어"),ROUND(N($N117)*설정!$J$6,0),"")</f>
        <v/>
      </c>
      <c r="AI117" s="54" t="str">
        <f aca="false">IF($D117="","",ROW())</f>
        <v/>
      </c>
      <c r="AJ117" s="54" t="n">
        <f aca="false">IF(OR($AC117&lt;&gt;1,$M117=""),0,IF(ISNUMBER(SEARCH("퇴사",IFERROR(INDEX(강사DB!$G$4:$G$53,MATCH($M117,강사DB!$A$4:$A$53,0)),""))),1,0))</f>
        <v>0</v>
      </c>
    </row>
    <row r="118" customFormat="false" ht="15" hidden="false" customHeight="false" outlineLevel="0" collapsed="false">
      <c r="A118" s="45" t="str">
        <f aca="false">IF($D118="","",COUNTA($D$5:$D118))</f>
        <v/>
      </c>
      <c r="B118" s="46"/>
      <c r="C118" s="47"/>
      <c r="D118" s="48"/>
      <c r="E118" s="48"/>
      <c r="F118" s="49"/>
      <c r="G118" s="47"/>
      <c r="H118" s="50"/>
      <c r="I118" s="50"/>
      <c r="J118" s="51" t="str">
        <f aca="false">IF(OR($V118="",$W118=""),"",ROUND(($W118-$V118)/60,2))</f>
        <v/>
      </c>
      <c r="K118" s="52" t="str">
        <f aca="false">IF($F118="","",LEN($F118)-LEN(SUBSTITUTE($F118,",",""))+1)</f>
        <v/>
      </c>
      <c r="L118" s="45" t="str">
        <f aca="false">IF($K118="","","1:"&amp;$K118)</f>
        <v/>
      </c>
      <c r="M118" s="46"/>
      <c r="N118" s="53"/>
      <c r="O118" s="46"/>
      <c r="P118" s="47"/>
      <c r="Q118" s="48"/>
      <c r="R118" s="49"/>
      <c r="S118" s="54" t="str">
        <f aca="false">IF(OR($AC118=0,$U118="",$M118="",$V118="",$W118=""),"",IF(COUNTIFS(m_teacher,$M118,m_date,$U118,m_active,1,m_start,"&lt;"&amp;$W118,m_end,"&gt;"&amp;$V118)&gt;1,"충돌",""))</f>
        <v/>
      </c>
      <c r="T118" s="48"/>
      <c r="U118" s="55" t="str">
        <f aca="false">IF($G118="","",IFERROR(IF(ISNUMBER($G118),IF($G118&gt;19000000,DATE(INT($G118/10000),MOD(INT($G118/100),100),MOD($G118,100)),INT($G118)),IF(LEN(SUBSTITUTE(SUBSTITUTE(SUBSTITUTE(TRIM($G118),"-",""),".",""),"/",""))=8,DATE(VALUE(LEFT(SUBSTITUTE(SUBSTITUTE(SUBSTITUTE(TRIM($G118),"-",""),".",""),"/",""),4)),VALUE(MID(SUBSTITUTE(SUBSTITUTE(SUBSTITUTE(TRIM($G118),"-",""),".",""),"/",""),5,2)),VALUE(RIGHT(SUBSTITUTE(SUBSTITUTE(SUBSTITUTE(TRIM($G118),"-",""),".",""),"/",""),2))),DATEVALUE($G118))),""))</f>
        <v/>
      </c>
      <c r="V118" s="52" t="str">
        <f aca="false">IF($H118="","",IFERROR(IF(IF(ISNUMBER($H118),$H118,IFERROR(TIMEVALUE($H118),VALUE($H118)))&gt;=100,INT(IF(ISNUMBER($H118),$H118,IFERROR(TIMEVALUE($H118),VALUE($H118)))/100)*60+MOD(IF(ISNUMBER($H118),$H118,IFERROR(TIMEVALUE($H118),VALUE($H118))),100),IF(IF(ISNUMBER($H118),$H118,IFERROR(TIMEVALUE($H118),VALUE($H118)))&gt;=1,ROUND(IF(ISNUMBER($H118),$H118,IFERROR(TIMEVALUE($H118),VALUE($H118)))*60,0),ROUND(MOD(IF(ISNUMBER($H118),$H118,IFERROR(TIMEVALUE($H118),VALUE($H118))),1)*1440,0))),""))</f>
        <v/>
      </c>
      <c r="W118" s="52" t="str">
        <f aca="false">IF($I118="","",IFERROR(IF(IF(ISNUMBER($I118),$I118,IFERROR(TIMEVALUE($I118),VALUE($I118)))&gt;=100,INT(IF(ISNUMBER($I118),$I118,IFERROR(TIMEVALUE($I118),VALUE($I118)))/100)*60+MOD(IF(ISNUMBER($I118),$I118,IFERROR(TIMEVALUE($I118),VALUE($I118))),100),IF(IF(ISNUMBER($I118),$I118,IFERROR(TIMEVALUE($I118),VALUE($I118)))&gt;=1,ROUND(IF(ISNUMBER($I118),$I118,IFERROR(TIMEVALUE($I118),VALUE($I118)))*60,0),ROUND(MOD(IF(ISNUMBER($I118),$I118,IFERROR(TIMEVALUE($I118),VALUE($I118))),1)*1440,0))),""))</f>
        <v/>
      </c>
      <c r="X118" s="55" t="str">
        <f aca="false">IF($P118="","",IFERROR(IF(ISNUMBER($P118),IF($P118&gt;19000000,DATE(INT($P118/10000),MOD(INT($P118/100),100),MOD($P118,100)),INT($P118)),IF(LEN(SUBSTITUTE(SUBSTITUTE(SUBSTITUTE(TRIM($P118),"-",""),".",""),"/",""))=8,DATE(VALUE(LEFT(SUBSTITUTE(SUBSTITUTE(SUBSTITUTE(TRIM($P118),"-",""),".",""),"/",""),4)),VALUE(MID(SUBSTITUTE(SUBSTITUTE(SUBSTITUTE(TRIM($P118),"-",""),".",""),"/",""),5,2)),VALUE(RIGHT(SUBSTITUTE(SUBSTITUTE(SUBSTITUTE(TRIM($P118),"-",""),".",""),"/",""),2))),DATEVALUE($P118))),""))</f>
        <v/>
      </c>
      <c r="Y118" s="56" t="str">
        <f aca="false">IF($M118="","",IFERROR(INDEX(강사DB!$D$4:$D$53,MATCH($M118,강사DB!$A$4:$A$53,0)),""))</f>
        <v/>
      </c>
      <c r="Z118" s="56" t="str">
        <f aca="false">IF($B118&lt;&gt;"결제완료","",IF(OR($Y118="",$J118=""),"",$Y118*$J118+MAX(0,N($K118)-1)*설정!$J$7))</f>
        <v/>
      </c>
      <c r="AA118" s="56" t="str">
        <f aca="false">IF(AND($D118&lt;&gt;"",$B118="결제완료"),N($N118),"")</f>
        <v/>
      </c>
      <c r="AB118" s="45" t="str">
        <f aca="false">IF($D118="","",IF($F118&lt;&gt;"",$F118,$D118)&amp;IF($B118="상담중"," (상담)",""))</f>
        <v/>
      </c>
      <c r="AC118" s="45" t="n">
        <f aca="false">IF(AND($D118&lt;&gt;"",OR($B118="결제완료",$B118="상담중")),1,0)</f>
        <v>0</v>
      </c>
      <c r="AD118" s="45" t="n">
        <f aca="false">IF(OR($Z118="",$U118=""),0,IFERROR(IF(COUNTIFS(INDEX(g_grid,0,2*MATCH($M118,강사DB!$A$4:$A$15,0)),"&lt;&gt;",g_s,"&lt;="&amp;$U118,g_e,"&gt;="&amp;$U118)&gt;0,1,0),0))</f>
        <v>0</v>
      </c>
      <c r="AE118" s="48"/>
      <c r="AF118" s="56" t="str">
        <f aca="false">IF(AND($D118&lt;&gt;"",$B118="결제완료",$T118="대여"),설정!$J$5,"")</f>
        <v/>
      </c>
      <c r="AG118" s="54" t="str">
        <f aca="false">IF($D118="","",IF(AND($E118="",$R118=""),$AB118,"☎ "&amp;IF($E118="","-",$E118)&amp;IF($R118&lt;&gt;"","  ※ "&amp;$R118,"")&amp;IF($B118="상담중"," (상담)","")))</f>
        <v/>
      </c>
      <c r="AH118" s="56" t="str">
        <f aca="false">IF(AND($D118&lt;&gt;"",$B118="결제완료",$O118="스마트스토어"),ROUND(N($N118)*설정!$J$6,0),"")</f>
        <v/>
      </c>
      <c r="AI118" s="54" t="str">
        <f aca="false">IF($D118="","",ROW())</f>
        <v/>
      </c>
      <c r="AJ118" s="54" t="n">
        <f aca="false">IF(OR($AC118&lt;&gt;1,$M118=""),0,IF(ISNUMBER(SEARCH("퇴사",IFERROR(INDEX(강사DB!$G$4:$G$53,MATCH($M118,강사DB!$A$4:$A$53,0)),""))),1,0))</f>
        <v>0</v>
      </c>
    </row>
    <row r="119" customFormat="false" ht="15" hidden="false" customHeight="false" outlineLevel="0" collapsed="false">
      <c r="A119" s="45" t="str">
        <f aca="false">IF($D119="","",COUNTA($D$5:$D119))</f>
        <v/>
      </c>
      <c r="B119" s="46"/>
      <c r="C119" s="47"/>
      <c r="D119" s="48"/>
      <c r="E119" s="48"/>
      <c r="F119" s="49"/>
      <c r="G119" s="47"/>
      <c r="H119" s="50"/>
      <c r="I119" s="50"/>
      <c r="J119" s="51" t="str">
        <f aca="false">IF(OR($V119="",$W119=""),"",ROUND(($W119-$V119)/60,2))</f>
        <v/>
      </c>
      <c r="K119" s="52" t="str">
        <f aca="false">IF($F119="","",LEN($F119)-LEN(SUBSTITUTE($F119,",",""))+1)</f>
        <v/>
      </c>
      <c r="L119" s="45" t="str">
        <f aca="false">IF($K119="","","1:"&amp;$K119)</f>
        <v/>
      </c>
      <c r="M119" s="46"/>
      <c r="N119" s="53"/>
      <c r="O119" s="46"/>
      <c r="P119" s="47"/>
      <c r="Q119" s="48"/>
      <c r="R119" s="49"/>
      <c r="S119" s="54" t="str">
        <f aca="false">IF(OR($AC119=0,$U119="",$M119="",$V119="",$W119=""),"",IF(COUNTIFS(m_teacher,$M119,m_date,$U119,m_active,1,m_start,"&lt;"&amp;$W119,m_end,"&gt;"&amp;$V119)&gt;1,"충돌",""))</f>
        <v/>
      </c>
      <c r="T119" s="48"/>
      <c r="U119" s="55" t="str">
        <f aca="false">IF($G119="","",IFERROR(IF(ISNUMBER($G119),IF($G119&gt;19000000,DATE(INT($G119/10000),MOD(INT($G119/100),100),MOD($G119,100)),INT($G119)),IF(LEN(SUBSTITUTE(SUBSTITUTE(SUBSTITUTE(TRIM($G119),"-",""),".",""),"/",""))=8,DATE(VALUE(LEFT(SUBSTITUTE(SUBSTITUTE(SUBSTITUTE(TRIM($G119),"-",""),".",""),"/",""),4)),VALUE(MID(SUBSTITUTE(SUBSTITUTE(SUBSTITUTE(TRIM($G119),"-",""),".",""),"/",""),5,2)),VALUE(RIGHT(SUBSTITUTE(SUBSTITUTE(SUBSTITUTE(TRIM($G119),"-",""),".",""),"/",""),2))),DATEVALUE($G119))),""))</f>
        <v/>
      </c>
      <c r="V119" s="52" t="str">
        <f aca="false">IF($H119="","",IFERROR(IF(IF(ISNUMBER($H119),$H119,IFERROR(TIMEVALUE($H119),VALUE($H119)))&gt;=100,INT(IF(ISNUMBER($H119),$H119,IFERROR(TIMEVALUE($H119),VALUE($H119)))/100)*60+MOD(IF(ISNUMBER($H119),$H119,IFERROR(TIMEVALUE($H119),VALUE($H119))),100),IF(IF(ISNUMBER($H119),$H119,IFERROR(TIMEVALUE($H119),VALUE($H119)))&gt;=1,ROUND(IF(ISNUMBER($H119),$H119,IFERROR(TIMEVALUE($H119),VALUE($H119)))*60,0),ROUND(MOD(IF(ISNUMBER($H119),$H119,IFERROR(TIMEVALUE($H119),VALUE($H119))),1)*1440,0))),""))</f>
        <v/>
      </c>
      <c r="W119" s="52" t="str">
        <f aca="false">IF($I119="","",IFERROR(IF(IF(ISNUMBER($I119),$I119,IFERROR(TIMEVALUE($I119),VALUE($I119)))&gt;=100,INT(IF(ISNUMBER($I119),$I119,IFERROR(TIMEVALUE($I119),VALUE($I119)))/100)*60+MOD(IF(ISNUMBER($I119),$I119,IFERROR(TIMEVALUE($I119),VALUE($I119))),100),IF(IF(ISNUMBER($I119),$I119,IFERROR(TIMEVALUE($I119),VALUE($I119)))&gt;=1,ROUND(IF(ISNUMBER($I119),$I119,IFERROR(TIMEVALUE($I119),VALUE($I119)))*60,0),ROUND(MOD(IF(ISNUMBER($I119),$I119,IFERROR(TIMEVALUE($I119),VALUE($I119))),1)*1440,0))),""))</f>
        <v/>
      </c>
      <c r="X119" s="55" t="str">
        <f aca="false">IF($P119="","",IFERROR(IF(ISNUMBER($P119),IF($P119&gt;19000000,DATE(INT($P119/10000),MOD(INT($P119/100),100),MOD($P119,100)),INT($P119)),IF(LEN(SUBSTITUTE(SUBSTITUTE(SUBSTITUTE(TRIM($P119),"-",""),".",""),"/",""))=8,DATE(VALUE(LEFT(SUBSTITUTE(SUBSTITUTE(SUBSTITUTE(TRIM($P119),"-",""),".",""),"/",""),4)),VALUE(MID(SUBSTITUTE(SUBSTITUTE(SUBSTITUTE(TRIM($P119),"-",""),".",""),"/",""),5,2)),VALUE(RIGHT(SUBSTITUTE(SUBSTITUTE(SUBSTITUTE(TRIM($P119),"-",""),".",""),"/",""),2))),DATEVALUE($P119))),""))</f>
        <v/>
      </c>
      <c r="Y119" s="56" t="str">
        <f aca="false">IF($M119="","",IFERROR(INDEX(강사DB!$D$4:$D$53,MATCH($M119,강사DB!$A$4:$A$53,0)),""))</f>
        <v/>
      </c>
      <c r="Z119" s="56" t="str">
        <f aca="false">IF($B119&lt;&gt;"결제완료","",IF(OR($Y119="",$J119=""),"",$Y119*$J119+MAX(0,N($K119)-1)*설정!$J$7))</f>
        <v/>
      </c>
      <c r="AA119" s="56" t="str">
        <f aca="false">IF(AND($D119&lt;&gt;"",$B119="결제완료"),N($N119),"")</f>
        <v/>
      </c>
      <c r="AB119" s="45" t="str">
        <f aca="false">IF($D119="","",IF($F119&lt;&gt;"",$F119,$D119)&amp;IF($B119="상담중"," (상담)",""))</f>
        <v/>
      </c>
      <c r="AC119" s="45" t="n">
        <f aca="false">IF(AND($D119&lt;&gt;"",OR($B119="결제완료",$B119="상담중")),1,0)</f>
        <v>0</v>
      </c>
      <c r="AD119" s="45" t="n">
        <f aca="false">IF(OR($Z119="",$U119=""),0,IFERROR(IF(COUNTIFS(INDEX(g_grid,0,2*MATCH($M119,강사DB!$A$4:$A$15,0)),"&lt;&gt;",g_s,"&lt;="&amp;$U119,g_e,"&gt;="&amp;$U119)&gt;0,1,0),0))</f>
        <v>0</v>
      </c>
      <c r="AE119" s="48"/>
      <c r="AF119" s="56" t="str">
        <f aca="false">IF(AND($D119&lt;&gt;"",$B119="결제완료",$T119="대여"),설정!$J$5,"")</f>
        <v/>
      </c>
      <c r="AG119" s="54" t="str">
        <f aca="false">IF($D119="","",IF(AND($E119="",$R119=""),$AB119,"☎ "&amp;IF($E119="","-",$E119)&amp;IF($R119&lt;&gt;"","  ※ "&amp;$R119,"")&amp;IF($B119="상담중"," (상담)","")))</f>
        <v/>
      </c>
      <c r="AH119" s="56" t="str">
        <f aca="false">IF(AND($D119&lt;&gt;"",$B119="결제완료",$O119="스마트스토어"),ROUND(N($N119)*설정!$J$6,0),"")</f>
        <v/>
      </c>
      <c r="AI119" s="54" t="str">
        <f aca="false">IF($D119="","",ROW())</f>
        <v/>
      </c>
      <c r="AJ119" s="54" t="n">
        <f aca="false">IF(OR($AC119&lt;&gt;1,$M119=""),0,IF(ISNUMBER(SEARCH("퇴사",IFERROR(INDEX(강사DB!$G$4:$G$53,MATCH($M119,강사DB!$A$4:$A$53,0)),""))),1,0))</f>
        <v>0</v>
      </c>
    </row>
    <row r="120" customFormat="false" ht="15" hidden="false" customHeight="false" outlineLevel="0" collapsed="false">
      <c r="A120" s="45" t="str">
        <f aca="false">IF($D120="","",COUNTA($D$5:$D120))</f>
        <v/>
      </c>
      <c r="B120" s="46"/>
      <c r="C120" s="47"/>
      <c r="D120" s="48"/>
      <c r="E120" s="48"/>
      <c r="F120" s="49"/>
      <c r="G120" s="47"/>
      <c r="H120" s="50"/>
      <c r="I120" s="50"/>
      <c r="J120" s="51" t="str">
        <f aca="false">IF(OR($V120="",$W120=""),"",ROUND(($W120-$V120)/60,2))</f>
        <v/>
      </c>
      <c r="K120" s="52" t="str">
        <f aca="false">IF($F120="","",LEN($F120)-LEN(SUBSTITUTE($F120,",",""))+1)</f>
        <v/>
      </c>
      <c r="L120" s="45" t="str">
        <f aca="false">IF($K120="","","1:"&amp;$K120)</f>
        <v/>
      </c>
      <c r="M120" s="46"/>
      <c r="N120" s="53"/>
      <c r="O120" s="46"/>
      <c r="P120" s="47"/>
      <c r="Q120" s="48"/>
      <c r="R120" s="49"/>
      <c r="S120" s="54" t="str">
        <f aca="false">IF(OR($AC120=0,$U120="",$M120="",$V120="",$W120=""),"",IF(COUNTIFS(m_teacher,$M120,m_date,$U120,m_active,1,m_start,"&lt;"&amp;$W120,m_end,"&gt;"&amp;$V120)&gt;1,"충돌",""))</f>
        <v/>
      </c>
      <c r="T120" s="48"/>
      <c r="U120" s="55" t="str">
        <f aca="false">IF($G120="","",IFERROR(IF(ISNUMBER($G120),IF($G120&gt;19000000,DATE(INT($G120/10000),MOD(INT($G120/100),100),MOD($G120,100)),INT($G120)),IF(LEN(SUBSTITUTE(SUBSTITUTE(SUBSTITUTE(TRIM($G120),"-",""),".",""),"/",""))=8,DATE(VALUE(LEFT(SUBSTITUTE(SUBSTITUTE(SUBSTITUTE(TRIM($G120),"-",""),".",""),"/",""),4)),VALUE(MID(SUBSTITUTE(SUBSTITUTE(SUBSTITUTE(TRIM($G120),"-",""),".",""),"/",""),5,2)),VALUE(RIGHT(SUBSTITUTE(SUBSTITUTE(SUBSTITUTE(TRIM($G120),"-",""),".",""),"/",""),2))),DATEVALUE($G120))),""))</f>
        <v/>
      </c>
      <c r="V120" s="52" t="str">
        <f aca="false">IF($H120="","",IFERROR(IF(IF(ISNUMBER($H120),$H120,IFERROR(TIMEVALUE($H120),VALUE($H120)))&gt;=100,INT(IF(ISNUMBER($H120),$H120,IFERROR(TIMEVALUE($H120),VALUE($H120)))/100)*60+MOD(IF(ISNUMBER($H120),$H120,IFERROR(TIMEVALUE($H120),VALUE($H120))),100),IF(IF(ISNUMBER($H120),$H120,IFERROR(TIMEVALUE($H120),VALUE($H120)))&gt;=1,ROUND(IF(ISNUMBER($H120),$H120,IFERROR(TIMEVALUE($H120),VALUE($H120)))*60,0),ROUND(MOD(IF(ISNUMBER($H120),$H120,IFERROR(TIMEVALUE($H120),VALUE($H120))),1)*1440,0))),""))</f>
        <v/>
      </c>
      <c r="W120" s="52" t="str">
        <f aca="false">IF($I120="","",IFERROR(IF(IF(ISNUMBER($I120),$I120,IFERROR(TIMEVALUE($I120),VALUE($I120)))&gt;=100,INT(IF(ISNUMBER($I120),$I120,IFERROR(TIMEVALUE($I120),VALUE($I120)))/100)*60+MOD(IF(ISNUMBER($I120),$I120,IFERROR(TIMEVALUE($I120),VALUE($I120))),100),IF(IF(ISNUMBER($I120),$I120,IFERROR(TIMEVALUE($I120),VALUE($I120)))&gt;=1,ROUND(IF(ISNUMBER($I120),$I120,IFERROR(TIMEVALUE($I120),VALUE($I120)))*60,0),ROUND(MOD(IF(ISNUMBER($I120),$I120,IFERROR(TIMEVALUE($I120),VALUE($I120))),1)*1440,0))),""))</f>
        <v/>
      </c>
      <c r="X120" s="55" t="str">
        <f aca="false">IF($P120="","",IFERROR(IF(ISNUMBER($P120),IF($P120&gt;19000000,DATE(INT($P120/10000),MOD(INT($P120/100),100),MOD($P120,100)),INT($P120)),IF(LEN(SUBSTITUTE(SUBSTITUTE(SUBSTITUTE(TRIM($P120),"-",""),".",""),"/",""))=8,DATE(VALUE(LEFT(SUBSTITUTE(SUBSTITUTE(SUBSTITUTE(TRIM($P120),"-",""),".",""),"/",""),4)),VALUE(MID(SUBSTITUTE(SUBSTITUTE(SUBSTITUTE(TRIM($P120),"-",""),".",""),"/",""),5,2)),VALUE(RIGHT(SUBSTITUTE(SUBSTITUTE(SUBSTITUTE(TRIM($P120),"-",""),".",""),"/",""),2))),DATEVALUE($P120))),""))</f>
        <v/>
      </c>
      <c r="Y120" s="56" t="str">
        <f aca="false">IF($M120="","",IFERROR(INDEX(강사DB!$D$4:$D$53,MATCH($M120,강사DB!$A$4:$A$53,0)),""))</f>
        <v/>
      </c>
      <c r="Z120" s="56" t="str">
        <f aca="false">IF($B120&lt;&gt;"결제완료","",IF(OR($Y120="",$J120=""),"",$Y120*$J120+MAX(0,N($K120)-1)*설정!$J$7))</f>
        <v/>
      </c>
      <c r="AA120" s="56" t="str">
        <f aca="false">IF(AND($D120&lt;&gt;"",$B120="결제완료"),N($N120),"")</f>
        <v/>
      </c>
      <c r="AB120" s="45" t="str">
        <f aca="false">IF($D120="","",IF($F120&lt;&gt;"",$F120,$D120)&amp;IF($B120="상담중"," (상담)",""))</f>
        <v/>
      </c>
      <c r="AC120" s="45" t="n">
        <f aca="false">IF(AND($D120&lt;&gt;"",OR($B120="결제완료",$B120="상담중")),1,0)</f>
        <v>0</v>
      </c>
      <c r="AD120" s="45" t="n">
        <f aca="false">IF(OR($Z120="",$U120=""),0,IFERROR(IF(COUNTIFS(INDEX(g_grid,0,2*MATCH($M120,강사DB!$A$4:$A$15,0)),"&lt;&gt;",g_s,"&lt;="&amp;$U120,g_e,"&gt;="&amp;$U120)&gt;0,1,0),0))</f>
        <v>0</v>
      </c>
      <c r="AE120" s="48"/>
      <c r="AF120" s="56" t="str">
        <f aca="false">IF(AND($D120&lt;&gt;"",$B120="결제완료",$T120="대여"),설정!$J$5,"")</f>
        <v/>
      </c>
      <c r="AG120" s="54" t="str">
        <f aca="false">IF($D120="","",IF(AND($E120="",$R120=""),$AB120,"☎ "&amp;IF($E120="","-",$E120)&amp;IF($R120&lt;&gt;"","  ※ "&amp;$R120,"")&amp;IF($B120="상담중"," (상담)","")))</f>
        <v/>
      </c>
      <c r="AH120" s="56" t="str">
        <f aca="false">IF(AND($D120&lt;&gt;"",$B120="결제완료",$O120="스마트스토어"),ROUND(N($N120)*설정!$J$6,0),"")</f>
        <v/>
      </c>
      <c r="AI120" s="54" t="str">
        <f aca="false">IF($D120="","",ROW())</f>
        <v/>
      </c>
      <c r="AJ120" s="54" t="n">
        <f aca="false">IF(OR($AC120&lt;&gt;1,$M120=""),0,IF(ISNUMBER(SEARCH("퇴사",IFERROR(INDEX(강사DB!$G$4:$G$53,MATCH($M120,강사DB!$A$4:$A$53,0)),""))),1,0))</f>
        <v>0</v>
      </c>
    </row>
    <row r="121" customFormat="false" ht="15" hidden="false" customHeight="false" outlineLevel="0" collapsed="false">
      <c r="A121" s="45" t="str">
        <f aca="false">IF($D121="","",COUNTA($D$5:$D121))</f>
        <v/>
      </c>
      <c r="B121" s="46"/>
      <c r="C121" s="47"/>
      <c r="D121" s="48"/>
      <c r="E121" s="48"/>
      <c r="F121" s="49"/>
      <c r="G121" s="47"/>
      <c r="H121" s="50"/>
      <c r="I121" s="50"/>
      <c r="J121" s="51" t="str">
        <f aca="false">IF(OR($V121="",$W121=""),"",ROUND(($W121-$V121)/60,2))</f>
        <v/>
      </c>
      <c r="K121" s="52" t="str">
        <f aca="false">IF($F121="","",LEN($F121)-LEN(SUBSTITUTE($F121,",",""))+1)</f>
        <v/>
      </c>
      <c r="L121" s="45" t="str">
        <f aca="false">IF($K121="","","1:"&amp;$K121)</f>
        <v/>
      </c>
      <c r="M121" s="46"/>
      <c r="N121" s="53"/>
      <c r="O121" s="46"/>
      <c r="P121" s="47"/>
      <c r="Q121" s="48"/>
      <c r="R121" s="49"/>
      <c r="S121" s="54" t="str">
        <f aca="false">IF(OR($AC121=0,$U121="",$M121="",$V121="",$W121=""),"",IF(COUNTIFS(m_teacher,$M121,m_date,$U121,m_active,1,m_start,"&lt;"&amp;$W121,m_end,"&gt;"&amp;$V121)&gt;1,"충돌",""))</f>
        <v/>
      </c>
      <c r="T121" s="48"/>
      <c r="U121" s="55" t="str">
        <f aca="false">IF($G121="","",IFERROR(IF(ISNUMBER($G121),IF($G121&gt;19000000,DATE(INT($G121/10000),MOD(INT($G121/100),100),MOD($G121,100)),INT($G121)),IF(LEN(SUBSTITUTE(SUBSTITUTE(SUBSTITUTE(TRIM($G121),"-",""),".",""),"/",""))=8,DATE(VALUE(LEFT(SUBSTITUTE(SUBSTITUTE(SUBSTITUTE(TRIM($G121),"-",""),".",""),"/",""),4)),VALUE(MID(SUBSTITUTE(SUBSTITUTE(SUBSTITUTE(TRIM($G121),"-",""),".",""),"/",""),5,2)),VALUE(RIGHT(SUBSTITUTE(SUBSTITUTE(SUBSTITUTE(TRIM($G121),"-",""),".",""),"/",""),2))),DATEVALUE($G121))),""))</f>
        <v/>
      </c>
      <c r="V121" s="52" t="str">
        <f aca="false">IF($H121="","",IFERROR(IF(IF(ISNUMBER($H121),$H121,IFERROR(TIMEVALUE($H121),VALUE($H121)))&gt;=100,INT(IF(ISNUMBER($H121),$H121,IFERROR(TIMEVALUE($H121),VALUE($H121)))/100)*60+MOD(IF(ISNUMBER($H121),$H121,IFERROR(TIMEVALUE($H121),VALUE($H121))),100),IF(IF(ISNUMBER($H121),$H121,IFERROR(TIMEVALUE($H121),VALUE($H121)))&gt;=1,ROUND(IF(ISNUMBER($H121),$H121,IFERROR(TIMEVALUE($H121),VALUE($H121)))*60,0),ROUND(MOD(IF(ISNUMBER($H121),$H121,IFERROR(TIMEVALUE($H121),VALUE($H121))),1)*1440,0))),""))</f>
        <v/>
      </c>
      <c r="W121" s="52" t="str">
        <f aca="false">IF($I121="","",IFERROR(IF(IF(ISNUMBER($I121),$I121,IFERROR(TIMEVALUE($I121),VALUE($I121)))&gt;=100,INT(IF(ISNUMBER($I121),$I121,IFERROR(TIMEVALUE($I121),VALUE($I121)))/100)*60+MOD(IF(ISNUMBER($I121),$I121,IFERROR(TIMEVALUE($I121),VALUE($I121))),100),IF(IF(ISNUMBER($I121),$I121,IFERROR(TIMEVALUE($I121),VALUE($I121)))&gt;=1,ROUND(IF(ISNUMBER($I121),$I121,IFERROR(TIMEVALUE($I121),VALUE($I121)))*60,0),ROUND(MOD(IF(ISNUMBER($I121),$I121,IFERROR(TIMEVALUE($I121),VALUE($I121))),1)*1440,0))),""))</f>
        <v/>
      </c>
      <c r="X121" s="55" t="str">
        <f aca="false">IF($P121="","",IFERROR(IF(ISNUMBER($P121),IF($P121&gt;19000000,DATE(INT($P121/10000),MOD(INT($P121/100),100),MOD($P121,100)),INT($P121)),IF(LEN(SUBSTITUTE(SUBSTITUTE(SUBSTITUTE(TRIM($P121),"-",""),".",""),"/",""))=8,DATE(VALUE(LEFT(SUBSTITUTE(SUBSTITUTE(SUBSTITUTE(TRIM($P121),"-",""),".",""),"/",""),4)),VALUE(MID(SUBSTITUTE(SUBSTITUTE(SUBSTITUTE(TRIM($P121),"-",""),".",""),"/",""),5,2)),VALUE(RIGHT(SUBSTITUTE(SUBSTITUTE(SUBSTITUTE(TRIM($P121),"-",""),".",""),"/",""),2))),DATEVALUE($P121))),""))</f>
        <v/>
      </c>
      <c r="Y121" s="56" t="str">
        <f aca="false">IF($M121="","",IFERROR(INDEX(강사DB!$D$4:$D$53,MATCH($M121,강사DB!$A$4:$A$53,0)),""))</f>
        <v/>
      </c>
      <c r="Z121" s="56" t="str">
        <f aca="false">IF($B121&lt;&gt;"결제완료","",IF(OR($Y121="",$J121=""),"",$Y121*$J121+MAX(0,N($K121)-1)*설정!$J$7))</f>
        <v/>
      </c>
      <c r="AA121" s="56" t="str">
        <f aca="false">IF(AND($D121&lt;&gt;"",$B121="결제완료"),N($N121),"")</f>
        <v/>
      </c>
      <c r="AB121" s="45" t="str">
        <f aca="false">IF($D121="","",IF($F121&lt;&gt;"",$F121,$D121)&amp;IF($B121="상담중"," (상담)",""))</f>
        <v/>
      </c>
      <c r="AC121" s="45" t="n">
        <f aca="false">IF(AND($D121&lt;&gt;"",OR($B121="결제완료",$B121="상담중")),1,0)</f>
        <v>0</v>
      </c>
      <c r="AD121" s="45" t="n">
        <f aca="false">IF(OR($Z121="",$U121=""),0,IFERROR(IF(COUNTIFS(INDEX(g_grid,0,2*MATCH($M121,강사DB!$A$4:$A$15,0)),"&lt;&gt;",g_s,"&lt;="&amp;$U121,g_e,"&gt;="&amp;$U121)&gt;0,1,0),0))</f>
        <v>0</v>
      </c>
      <c r="AE121" s="48"/>
      <c r="AF121" s="56" t="str">
        <f aca="false">IF(AND($D121&lt;&gt;"",$B121="결제완료",$T121="대여"),설정!$J$5,"")</f>
        <v/>
      </c>
      <c r="AG121" s="54" t="str">
        <f aca="false">IF($D121="","",IF(AND($E121="",$R121=""),$AB121,"☎ "&amp;IF($E121="","-",$E121)&amp;IF($R121&lt;&gt;"","  ※ "&amp;$R121,"")&amp;IF($B121="상담중"," (상담)","")))</f>
        <v/>
      </c>
      <c r="AH121" s="56" t="str">
        <f aca="false">IF(AND($D121&lt;&gt;"",$B121="결제완료",$O121="스마트스토어"),ROUND(N($N121)*설정!$J$6,0),"")</f>
        <v/>
      </c>
      <c r="AI121" s="54" t="str">
        <f aca="false">IF($D121="","",ROW())</f>
        <v/>
      </c>
      <c r="AJ121" s="54" t="n">
        <f aca="false">IF(OR($AC121&lt;&gt;1,$M121=""),0,IF(ISNUMBER(SEARCH("퇴사",IFERROR(INDEX(강사DB!$G$4:$G$53,MATCH($M121,강사DB!$A$4:$A$53,0)),""))),1,0))</f>
        <v>0</v>
      </c>
    </row>
    <row r="122" customFormat="false" ht="15" hidden="false" customHeight="false" outlineLevel="0" collapsed="false">
      <c r="A122" s="45" t="str">
        <f aca="false">IF($D122="","",COUNTA($D$5:$D122))</f>
        <v/>
      </c>
      <c r="B122" s="46"/>
      <c r="C122" s="47"/>
      <c r="D122" s="48"/>
      <c r="E122" s="48"/>
      <c r="F122" s="49"/>
      <c r="G122" s="47"/>
      <c r="H122" s="50"/>
      <c r="I122" s="50"/>
      <c r="J122" s="51" t="str">
        <f aca="false">IF(OR($V122="",$W122=""),"",ROUND(($W122-$V122)/60,2))</f>
        <v/>
      </c>
      <c r="K122" s="52" t="str">
        <f aca="false">IF($F122="","",LEN($F122)-LEN(SUBSTITUTE($F122,",",""))+1)</f>
        <v/>
      </c>
      <c r="L122" s="45" t="str">
        <f aca="false">IF($K122="","","1:"&amp;$K122)</f>
        <v/>
      </c>
      <c r="M122" s="46"/>
      <c r="N122" s="53"/>
      <c r="O122" s="46"/>
      <c r="P122" s="47"/>
      <c r="Q122" s="48"/>
      <c r="R122" s="49"/>
      <c r="S122" s="54" t="str">
        <f aca="false">IF(OR($AC122=0,$U122="",$M122="",$V122="",$W122=""),"",IF(COUNTIFS(m_teacher,$M122,m_date,$U122,m_active,1,m_start,"&lt;"&amp;$W122,m_end,"&gt;"&amp;$V122)&gt;1,"충돌",""))</f>
        <v/>
      </c>
      <c r="T122" s="48"/>
      <c r="U122" s="55" t="str">
        <f aca="false">IF($G122="","",IFERROR(IF(ISNUMBER($G122),IF($G122&gt;19000000,DATE(INT($G122/10000),MOD(INT($G122/100),100),MOD($G122,100)),INT($G122)),IF(LEN(SUBSTITUTE(SUBSTITUTE(SUBSTITUTE(TRIM($G122),"-",""),".",""),"/",""))=8,DATE(VALUE(LEFT(SUBSTITUTE(SUBSTITUTE(SUBSTITUTE(TRIM($G122),"-",""),".",""),"/",""),4)),VALUE(MID(SUBSTITUTE(SUBSTITUTE(SUBSTITUTE(TRIM($G122),"-",""),".",""),"/",""),5,2)),VALUE(RIGHT(SUBSTITUTE(SUBSTITUTE(SUBSTITUTE(TRIM($G122),"-",""),".",""),"/",""),2))),DATEVALUE($G122))),""))</f>
        <v/>
      </c>
      <c r="V122" s="52" t="str">
        <f aca="false">IF($H122="","",IFERROR(IF(IF(ISNUMBER($H122),$H122,IFERROR(TIMEVALUE($H122),VALUE($H122)))&gt;=100,INT(IF(ISNUMBER($H122),$H122,IFERROR(TIMEVALUE($H122),VALUE($H122)))/100)*60+MOD(IF(ISNUMBER($H122),$H122,IFERROR(TIMEVALUE($H122),VALUE($H122))),100),IF(IF(ISNUMBER($H122),$H122,IFERROR(TIMEVALUE($H122),VALUE($H122)))&gt;=1,ROUND(IF(ISNUMBER($H122),$H122,IFERROR(TIMEVALUE($H122),VALUE($H122)))*60,0),ROUND(MOD(IF(ISNUMBER($H122),$H122,IFERROR(TIMEVALUE($H122),VALUE($H122))),1)*1440,0))),""))</f>
        <v/>
      </c>
      <c r="W122" s="52" t="str">
        <f aca="false">IF($I122="","",IFERROR(IF(IF(ISNUMBER($I122),$I122,IFERROR(TIMEVALUE($I122),VALUE($I122)))&gt;=100,INT(IF(ISNUMBER($I122),$I122,IFERROR(TIMEVALUE($I122),VALUE($I122)))/100)*60+MOD(IF(ISNUMBER($I122),$I122,IFERROR(TIMEVALUE($I122),VALUE($I122))),100),IF(IF(ISNUMBER($I122),$I122,IFERROR(TIMEVALUE($I122),VALUE($I122)))&gt;=1,ROUND(IF(ISNUMBER($I122),$I122,IFERROR(TIMEVALUE($I122),VALUE($I122)))*60,0),ROUND(MOD(IF(ISNUMBER($I122),$I122,IFERROR(TIMEVALUE($I122),VALUE($I122))),1)*1440,0))),""))</f>
        <v/>
      </c>
      <c r="X122" s="55" t="str">
        <f aca="false">IF($P122="","",IFERROR(IF(ISNUMBER($P122),IF($P122&gt;19000000,DATE(INT($P122/10000),MOD(INT($P122/100),100),MOD($P122,100)),INT($P122)),IF(LEN(SUBSTITUTE(SUBSTITUTE(SUBSTITUTE(TRIM($P122),"-",""),".",""),"/",""))=8,DATE(VALUE(LEFT(SUBSTITUTE(SUBSTITUTE(SUBSTITUTE(TRIM($P122),"-",""),".",""),"/",""),4)),VALUE(MID(SUBSTITUTE(SUBSTITUTE(SUBSTITUTE(TRIM($P122),"-",""),".",""),"/",""),5,2)),VALUE(RIGHT(SUBSTITUTE(SUBSTITUTE(SUBSTITUTE(TRIM($P122),"-",""),".",""),"/",""),2))),DATEVALUE($P122))),""))</f>
        <v/>
      </c>
      <c r="Y122" s="56" t="str">
        <f aca="false">IF($M122="","",IFERROR(INDEX(강사DB!$D$4:$D$53,MATCH($M122,강사DB!$A$4:$A$53,0)),""))</f>
        <v/>
      </c>
      <c r="Z122" s="56" t="str">
        <f aca="false">IF($B122&lt;&gt;"결제완료","",IF(OR($Y122="",$J122=""),"",$Y122*$J122+MAX(0,N($K122)-1)*설정!$J$7))</f>
        <v/>
      </c>
      <c r="AA122" s="56" t="str">
        <f aca="false">IF(AND($D122&lt;&gt;"",$B122="결제완료"),N($N122),"")</f>
        <v/>
      </c>
      <c r="AB122" s="45" t="str">
        <f aca="false">IF($D122="","",IF($F122&lt;&gt;"",$F122,$D122)&amp;IF($B122="상담중"," (상담)",""))</f>
        <v/>
      </c>
      <c r="AC122" s="45" t="n">
        <f aca="false">IF(AND($D122&lt;&gt;"",OR($B122="결제완료",$B122="상담중")),1,0)</f>
        <v>0</v>
      </c>
      <c r="AD122" s="45" t="n">
        <f aca="false">IF(OR($Z122="",$U122=""),0,IFERROR(IF(COUNTIFS(INDEX(g_grid,0,2*MATCH($M122,강사DB!$A$4:$A$15,0)),"&lt;&gt;",g_s,"&lt;="&amp;$U122,g_e,"&gt;="&amp;$U122)&gt;0,1,0),0))</f>
        <v>0</v>
      </c>
      <c r="AE122" s="48"/>
      <c r="AF122" s="56" t="str">
        <f aca="false">IF(AND($D122&lt;&gt;"",$B122="결제완료",$T122="대여"),설정!$J$5,"")</f>
        <v/>
      </c>
      <c r="AG122" s="54" t="str">
        <f aca="false">IF($D122="","",IF(AND($E122="",$R122=""),$AB122,"☎ "&amp;IF($E122="","-",$E122)&amp;IF($R122&lt;&gt;"","  ※ "&amp;$R122,"")&amp;IF($B122="상담중"," (상담)","")))</f>
        <v/>
      </c>
      <c r="AH122" s="56" t="str">
        <f aca="false">IF(AND($D122&lt;&gt;"",$B122="결제완료",$O122="스마트스토어"),ROUND(N($N122)*설정!$J$6,0),"")</f>
        <v/>
      </c>
      <c r="AI122" s="54" t="str">
        <f aca="false">IF($D122="","",ROW())</f>
        <v/>
      </c>
      <c r="AJ122" s="54" t="n">
        <f aca="false">IF(OR($AC122&lt;&gt;1,$M122=""),0,IF(ISNUMBER(SEARCH("퇴사",IFERROR(INDEX(강사DB!$G$4:$G$53,MATCH($M122,강사DB!$A$4:$A$53,0)),""))),1,0))</f>
        <v>0</v>
      </c>
    </row>
    <row r="123" customFormat="false" ht="15" hidden="false" customHeight="false" outlineLevel="0" collapsed="false">
      <c r="A123" s="45" t="str">
        <f aca="false">IF($D123="","",COUNTA($D$5:$D123))</f>
        <v/>
      </c>
      <c r="B123" s="46"/>
      <c r="C123" s="47"/>
      <c r="D123" s="48"/>
      <c r="E123" s="48"/>
      <c r="F123" s="49"/>
      <c r="G123" s="47"/>
      <c r="H123" s="50"/>
      <c r="I123" s="50"/>
      <c r="J123" s="51" t="str">
        <f aca="false">IF(OR($V123="",$W123=""),"",ROUND(($W123-$V123)/60,2))</f>
        <v/>
      </c>
      <c r="K123" s="52" t="str">
        <f aca="false">IF($F123="","",LEN($F123)-LEN(SUBSTITUTE($F123,",",""))+1)</f>
        <v/>
      </c>
      <c r="L123" s="45" t="str">
        <f aca="false">IF($K123="","","1:"&amp;$K123)</f>
        <v/>
      </c>
      <c r="M123" s="46"/>
      <c r="N123" s="53"/>
      <c r="O123" s="46"/>
      <c r="P123" s="47"/>
      <c r="Q123" s="48"/>
      <c r="R123" s="49"/>
      <c r="S123" s="54" t="str">
        <f aca="false">IF(OR($AC123=0,$U123="",$M123="",$V123="",$W123=""),"",IF(COUNTIFS(m_teacher,$M123,m_date,$U123,m_active,1,m_start,"&lt;"&amp;$W123,m_end,"&gt;"&amp;$V123)&gt;1,"충돌",""))</f>
        <v/>
      </c>
      <c r="T123" s="48"/>
      <c r="U123" s="55" t="str">
        <f aca="false">IF($G123="","",IFERROR(IF(ISNUMBER($G123),IF($G123&gt;19000000,DATE(INT($G123/10000),MOD(INT($G123/100),100),MOD($G123,100)),INT($G123)),IF(LEN(SUBSTITUTE(SUBSTITUTE(SUBSTITUTE(TRIM($G123),"-",""),".",""),"/",""))=8,DATE(VALUE(LEFT(SUBSTITUTE(SUBSTITUTE(SUBSTITUTE(TRIM($G123),"-",""),".",""),"/",""),4)),VALUE(MID(SUBSTITUTE(SUBSTITUTE(SUBSTITUTE(TRIM($G123),"-",""),".",""),"/",""),5,2)),VALUE(RIGHT(SUBSTITUTE(SUBSTITUTE(SUBSTITUTE(TRIM($G123),"-",""),".",""),"/",""),2))),DATEVALUE($G123))),""))</f>
        <v/>
      </c>
      <c r="V123" s="52" t="str">
        <f aca="false">IF($H123="","",IFERROR(IF(IF(ISNUMBER($H123),$H123,IFERROR(TIMEVALUE($H123),VALUE($H123)))&gt;=100,INT(IF(ISNUMBER($H123),$H123,IFERROR(TIMEVALUE($H123),VALUE($H123)))/100)*60+MOD(IF(ISNUMBER($H123),$H123,IFERROR(TIMEVALUE($H123),VALUE($H123))),100),IF(IF(ISNUMBER($H123),$H123,IFERROR(TIMEVALUE($H123),VALUE($H123)))&gt;=1,ROUND(IF(ISNUMBER($H123),$H123,IFERROR(TIMEVALUE($H123),VALUE($H123)))*60,0),ROUND(MOD(IF(ISNUMBER($H123),$H123,IFERROR(TIMEVALUE($H123),VALUE($H123))),1)*1440,0))),""))</f>
        <v/>
      </c>
      <c r="W123" s="52" t="str">
        <f aca="false">IF($I123="","",IFERROR(IF(IF(ISNUMBER($I123),$I123,IFERROR(TIMEVALUE($I123),VALUE($I123)))&gt;=100,INT(IF(ISNUMBER($I123),$I123,IFERROR(TIMEVALUE($I123),VALUE($I123)))/100)*60+MOD(IF(ISNUMBER($I123),$I123,IFERROR(TIMEVALUE($I123),VALUE($I123))),100),IF(IF(ISNUMBER($I123),$I123,IFERROR(TIMEVALUE($I123),VALUE($I123)))&gt;=1,ROUND(IF(ISNUMBER($I123),$I123,IFERROR(TIMEVALUE($I123),VALUE($I123)))*60,0),ROUND(MOD(IF(ISNUMBER($I123),$I123,IFERROR(TIMEVALUE($I123),VALUE($I123))),1)*1440,0))),""))</f>
        <v/>
      </c>
      <c r="X123" s="55" t="str">
        <f aca="false">IF($P123="","",IFERROR(IF(ISNUMBER($P123),IF($P123&gt;19000000,DATE(INT($P123/10000),MOD(INT($P123/100),100),MOD($P123,100)),INT($P123)),IF(LEN(SUBSTITUTE(SUBSTITUTE(SUBSTITUTE(TRIM($P123),"-",""),".",""),"/",""))=8,DATE(VALUE(LEFT(SUBSTITUTE(SUBSTITUTE(SUBSTITUTE(TRIM($P123),"-",""),".",""),"/",""),4)),VALUE(MID(SUBSTITUTE(SUBSTITUTE(SUBSTITUTE(TRIM($P123),"-",""),".",""),"/",""),5,2)),VALUE(RIGHT(SUBSTITUTE(SUBSTITUTE(SUBSTITUTE(TRIM($P123),"-",""),".",""),"/",""),2))),DATEVALUE($P123))),""))</f>
        <v/>
      </c>
      <c r="Y123" s="56" t="str">
        <f aca="false">IF($M123="","",IFERROR(INDEX(강사DB!$D$4:$D$53,MATCH($M123,강사DB!$A$4:$A$53,0)),""))</f>
        <v/>
      </c>
      <c r="Z123" s="56" t="str">
        <f aca="false">IF($B123&lt;&gt;"결제완료","",IF(OR($Y123="",$J123=""),"",$Y123*$J123+MAX(0,N($K123)-1)*설정!$J$7))</f>
        <v/>
      </c>
      <c r="AA123" s="56" t="str">
        <f aca="false">IF(AND($D123&lt;&gt;"",$B123="결제완료"),N($N123),"")</f>
        <v/>
      </c>
      <c r="AB123" s="45" t="str">
        <f aca="false">IF($D123="","",IF($F123&lt;&gt;"",$F123,$D123)&amp;IF($B123="상담중"," (상담)",""))</f>
        <v/>
      </c>
      <c r="AC123" s="45" t="n">
        <f aca="false">IF(AND($D123&lt;&gt;"",OR($B123="결제완료",$B123="상담중")),1,0)</f>
        <v>0</v>
      </c>
      <c r="AD123" s="45" t="n">
        <f aca="false">IF(OR($Z123="",$U123=""),0,IFERROR(IF(COUNTIFS(INDEX(g_grid,0,2*MATCH($M123,강사DB!$A$4:$A$15,0)),"&lt;&gt;",g_s,"&lt;="&amp;$U123,g_e,"&gt;="&amp;$U123)&gt;0,1,0),0))</f>
        <v>0</v>
      </c>
      <c r="AE123" s="48"/>
      <c r="AF123" s="56" t="str">
        <f aca="false">IF(AND($D123&lt;&gt;"",$B123="결제완료",$T123="대여"),설정!$J$5,"")</f>
        <v/>
      </c>
      <c r="AG123" s="54" t="str">
        <f aca="false">IF($D123="","",IF(AND($E123="",$R123=""),$AB123,"☎ "&amp;IF($E123="","-",$E123)&amp;IF($R123&lt;&gt;"","  ※ "&amp;$R123,"")&amp;IF($B123="상담중"," (상담)","")))</f>
        <v/>
      </c>
      <c r="AH123" s="56" t="str">
        <f aca="false">IF(AND($D123&lt;&gt;"",$B123="결제완료",$O123="스마트스토어"),ROUND(N($N123)*설정!$J$6,0),"")</f>
        <v/>
      </c>
      <c r="AI123" s="54" t="str">
        <f aca="false">IF($D123="","",ROW())</f>
        <v/>
      </c>
      <c r="AJ123" s="54" t="n">
        <f aca="false">IF(OR($AC123&lt;&gt;1,$M123=""),0,IF(ISNUMBER(SEARCH("퇴사",IFERROR(INDEX(강사DB!$G$4:$G$53,MATCH($M123,강사DB!$A$4:$A$53,0)),""))),1,0))</f>
        <v>0</v>
      </c>
    </row>
    <row r="124" customFormat="false" ht="15" hidden="false" customHeight="false" outlineLevel="0" collapsed="false">
      <c r="A124" s="45" t="str">
        <f aca="false">IF($D124="","",COUNTA($D$5:$D124))</f>
        <v/>
      </c>
      <c r="B124" s="46"/>
      <c r="C124" s="47"/>
      <c r="D124" s="48"/>
      <c r="E124" s="48"/>
      <c r="F124" s="49"/>
      <c r="G124" s="47"/>
      <c r="H124" s="50"/>
      <c r="I124" s="50"/>
      <c r="J124" s="51" t="str">
        <f aca="false">IF(OR($V124="",$W124=""),"",ROUND(($W124-$V124)/60,2))</f>
        <v/>
      </c>
      <c r="K124" s="52" t="str">
        <f aca="false">IF($F124="","",LEN($F124)-LEN(SUBSTITUTE($F124,",",""))+1)</f>
        <v/>
      </c>
      <c r="L124" s="45" t="str">
        <f aca="false">IF($K124="","","1:"&amp;$K124)</f>
        <v/>
      </c>
      <c r="M124" s="46"/>
      <c r="N124" s="53"/>
      <c r="O124" s="46"/>
      <c r="P124" s="47"/>
      <c r="Q124" s="48"/>
      <c r="R124" s="49"/>
      <c r="S124" s="54" t="str">
        <f aca="false">IF(OR($AC124=0,$U124="",$M124="",$V124="",$W124=""),"",IF(COUNTIFS(m_teacher,$M124,m_date,$U124,m_active,1,m_start,"&lt;"&amp;$W124,m_end,"&gt;"&amp;$V124)&gt;1,"충돌",""))</f>
        <v/>
      </c>
      <c r="T124" s="48"/>
      <c r="U124" s="55" t="str">
        <f aca="false">IF($G124="","",IFERROR(IF(ISNUMBER($G124),IF($G124&gt;19000000,DATE(INT($G124/10000),MOD(INT($G124/100),100),MOD($G124,100)),INT($G124)),IF(LEN(SUBSTITUTE(SUBSTITUTE(SUBSTITUTE(TRIM($G124),"-",""),".",""),"/",""))=8,DATE(VALUE(LEFT(SUBSTITUTE(SUBSTITUTE(SUBSTITUTE(TRIM($G124),"-",""),".",""),"/",""),4)),VALUE(MID(SUBSTITUTE(SUBSTITUTE(SUBSTITUTE(TRIM($G124),"-",""),".",""),"/",""),5,2)),VALUE(RIGHT(SUBSTITUTE(SUBSTITUTE(SUBSTITUTE(TRIM($G124),"-",""),".",""),"/",""),2))),DATEVALUE($G124))),""))</f>
        <v/>
      </c>
      <c r="V124" s="52" t="str">
        <f aca="false">IF($H124="","",IFERROR(IF(IF(ISNUMBER($H124),$H124,IFERROR(TIMEVALUE($H124),VALUE($H124)))&gt;=100,INT(IF(ISNUMBER($H124),$H124,IFERROR(TIMEVALUE($H124),VALUE($H124)))/100)*60+MOD(IF(ISNUMBER($H124),$H124,IFERROR(TIMEVALUE($H124),VALUE($H124))),100),IF(IF(ISNUMBER($H124),$H124,IFERROR(TIMEVALUE($H124),VALUE($H124)))&gt;=1,ROUND(IF(ISNUMBER($H124),$H124,IFERROR(TIMEVALUE($H124),VALUE($H124)))*60,0),ROUND(MOD(IF(ISNUMBER($H124),$H124,IFERROR(TIMEVALUE($H124),VALUE($H124))),1)*1440,0))),""))</f>
        <v/>
      </c>
      <c r="W124" s="52" t="str">
        <f aca="false">IF($I124="","",IFERROR(IF(IF(ISNUMBER($I124),$I124,IFERROR(TIMEVALUE($I124),VALUE($I124)))&gt;=100,INT(IF(ISNUMBER($I124),$I124,IFERROR(TIMEVALUE($I124),VALUE($I124)))/100)*60+MOD(IF(ISNUMBER($I124),$I124,IFERROR(TIMEVALUE($I124),VALUE($I124))),100),IF(IF(ISNUMBER($I124),$I124,IFERROR(TIMEVALUE($I124),VALUE($I124)))&gt;=1,ROUND(IF(ISNUMBER($I124),$I124,IFERROR(TIMEVALUE($I124),VALUE($I124)))*60,0),ROUND(MOD(IF(ISNUMBER($I124),$I124,IFERROR(TIMEVALUE($I124),VALUE($I124))),1)*1440,0))),""))</f>
        <v/>
      </c>
      <c r="X124" s="55" t="str">
        <f aca="false">IF($P124="","",IFERROR(IF(ISNUMBER($P124),IF($P124&gt;19000000,DATE(INT($P124/10000),MOD(INT($P124/100),100),MOD($P124,100)),INT($P124)),IF(LEN(SUBSTITUTE(SUBSTITUTE(SUBSTITUTE(TRIM($P124),"-",""),".",""),"/",""))=8,DATE(VALUE(LEFT(SUBSTITUTE(SUBSTITUTE(SUBSTITUTE(TRIM($P124),"-",""),".",""),"/",""),4)),VALUE(MID(SUBSTITUTE(SUBSTITUTE(SUBSTITUTE(TRIM($P124),"-",""),".",""),"/",""),5,2)),VALUE(RIGHT(SUBSTITUTE(SUBSTITUTE(SUBSTITUTE(TRIM($P124),"-",""),".",""),"/",""),2))),DATEVALUE($P124))),""))</f>
        <v/>
      </c>
      <c r="Y124" s="56" t="str">
        <f aca="false">IF($M124="","",IFERROR(INDEX(강사DB!$D$4:$D$53,MATCH($M124,강사DB!$A$4:$A$53,0)),""))</f>
        <v/>
      </c>
      <c r="Z124" s="56" t="str">
        <f aca="false">IF($B124&lt;&gt;"결제완료","",IF(OR($Y124="",$J124=""),"",$Y124*$J124+MAX(0,N($K124)-1)*설정!$J$7))</f>
        <v/>
      </c>
      <c r="AA124" s="56" t="str">
        <f aca="false">IF(AND($D124&lt;&gt;"",$B124="결제완료"),N($N124),"")</f>
        <v/>
      </c>
      <c r="AB124" s="45" t="str">
        <f aca="false">IF($D124="","",IF($F124&lt;&gt;"",$F124,$D124)&amp;IF($B124="상담중"," (상담)",""))</f>
        <v/>
      </c>
      <c r="AC124" s="45" t="n">
        <f aca="false">IF(AND($D124&lt;&gt;"",OR($B124="결제완료",$B124="상담중")),1,0)</f>
        <v>0</v>
      </c>
      <c r="AD124" s="45" t="n">
        <f aca="false">IF(OR($Z124="",$U124=""),0,IFERROR(IF(COUNTIFS(INDEX(g_grid,0,2*MATCH($M124,강사DB!$A$4:$A$15,0)),"&lt;&gt;",g_s,"&lt;="&amp;$U124,g_e,"&gt;="&amp;$U124)&gt;0,1,0),0))</f>
        <v>0</v>
      </c>
      <c r="AE124" s="48"/>
      <c r="AF124" s="56" t="str">
        <f aca="false">IF(AND($D124&lt;&gt;"",$B124="결제완료",$T124="대여"),설정!$J$5,"")</f>
        <v/>
      </c>
      <c r="AG124" s="54" t="str">
        <f aca="false">IF($D124="","",IF(AND($E124="",$R124=""),$AB124,"☎ "&amp;IF($E124="","-",$E124)&amp;IF($R124&lt;&gt;"","  ※ "&amp;$R124,"")&amp;IF($B124="상담중"," (상담)","")))</f>
        <v/>
      </c>
      <c r="AH124" s="56" t="str">
        <f aca="false">IF(AND($D124&lt;&gt;"",$B124="결제완료",$O124="스마트스토어"),ROUND(N($N124)*설정!$J$6,0),"")</f>
        <v/>
      </c>
      <c r="AI124" s="54" t="str">
        <f aca="false">IF($D124="","",ROW())</f>
        <v/>
      </c>
      <c r="AJ124" s="54" t="n">
        <f aca="false">IF(OR($AC124&lt;&gt;1,$M124=""),0,IF(ISNUMBER(SEARCH("퇴사",IFERROR(INDEX(강사DB!$G$4:$G$53,MATCH($M124,강사DB!$A$4:$A$53,0)),""))),1,0))</f>
        <v>0</v>
      </c>
    </row>
    <row r="125" customFormat="false" ht="15" hidden="false" customHeight="false" outlineLevel="0" collapsed="false">
      <c r="A125" s="45" t="str">
        <f aca="false">IF($D125="","",COUNTA($D$5:$D125))</f>
        <v/>
      </c>
      <c r="B125" s="46"/>
      <c r="C125" s="47"/>
      <c r="D125" s="48"/>
      <c r="E125" s="48"/>
      <c r="F125" s="49"/>
      <c r="G125" s="47"/>
      <c r="H125" s="50"/>
      <c r="I125" s="50"/>
      <c r="J125" s="51" t="str">
        <f aca="false">IF(OR($V125="",$W125=""),"",ROUND(($W125-$V125)/60,2))</f>
        <v/>
      </c>
      <c r="K125" s="52" t="str">
        <f aca="false">IF($F125="","",LEN($F125)-LEN(SUBSTITUTE($F125,",",""))+1)</f>
        <v/>
      </c>
      <c r="L125" s="45" t="str">
        <f aca="false">IF($K125="","","1:"&amp;$K125)</f>
        <v/>
      </c>
      <c r="M125" s="46"/>
      <c r="N125" s="53"/>
      <c r="O125" s="46"/>
      <c r="P125" s="47"/>
      <c r="Q125" s="48"/>
      <c r="R125" s="49"/>
      <c r="S125" s="54" t="str">
        <f aca="false">IF(OR($AC125=0,$U125="",$M125="",$V125="",$W125=""),"",IF(COUNTIFS(m_teacher,$M125,m_date,$U125,m_active,1,m_start,"&lt;"&amp;$W125,m_end,"&gt;"&amp;$V125)&gt;1,"충돌",""))</f>
        <v/>
      </c>
      <c r="T125" s="48"/>
      <c r="U125" s="55" t="str">
        <f aca="false">IF($G125="","",IFERROR(IF(ISNUMBER($G125),IF($G125&gt;19000000,DATE(INT($G125/10000),MOD(INT($G125/100),100),MOD($G125,100)),INT($G125)),IF(LEN(SUBSTITUTE(SUBSTITUTE(SUBSTITUTE(TRIM($G125),"-",""),".",""),"/",""))=8,DATE(VALUE(LEFT(SUBSTITUTE(SUBSTITUTE(SUBSTITUTE(TRIM($G125),"-",""),".",""),"/",""),4)),VALUE(MID(SUBSTITUTE(SUBSTITUTE(SUBSTITUTE(TRIM($G125),"-",""),".",""),"/",""),5,2)),VALUE(RIGHT(SUBSTITUTE(SUBSTITUTE(SUBSTITUTE(TRIM($G125),"-",""),".",""),"/",""),2))),DATEVALUE($G125))),""))</f>
        <v/>
      </c>
      <c r="V125" s="52" t="str">
        <f aca="false">IF($H125="","",IFERROR(IF(IF(ISNUMBER($H125),$H125,IFERROR(TIMEVALUE($H125),VALUE($H125)))&gt;=100,INT(IF(ISNUMBER($H125),$H125,IFERROR(TIMEVALUE($H125),VALUE($H125)))/100)*60+MOD(IF(ISNUMBER($H125),$H125,IFERROR(TIMEVALUE($H125),VALUE($H125))),100),IF(IF(ISNUMBER($H125),$H125,IFERROR(TIMEVALUE($H125),VALUE($H125)))&gt;=1,ROUND(IF(ISNUMBER($H125),$H125,IFERROR(TIMEVALUE($H125),VALUE($H125)))*60,0),ROUND(MOD(IF(ISNUMBER($H125),$H125,IFERROR(TIMEVALUE($H125),VALUE($H125))),1)*1440,0))),""))</f>
        <v/>
      </c>
      <c r="W125" s="52" t="str">
        <f aca="false">IF($I125="","",IFERROR(IF(IF(ISNUMBER($I125),$I125,IFERROR(TIMEVALUE($I125),VALUE($I125)))&gt;=100,INT(IF(ISNUMBER($I125),$I125,IFERROR(TIMEVALUE($I125),VALUE($I125)))/100)*60+MOD(IF(ISNUMBER($I125),$I125,IFERROR(TIMEVALUE($I125),VALUE($I125))),100),IF(IF(ISNUMBER($I125),$I125,IFERROR(TIMEVALUE($I125),VALUE($I125)))&gt;=1,ROUND(IF(ISNUMBER($I125),$I125,IFERROR(TIMEVALUE($I125),VALUE($I125)))*60,0),ROUND(MOD(IF(ISNUMBER($I125),$I125,IFERROR(TIMEVALUE($I125),VALUE($I125))),1)*1440,0))),""))</f>
        <v/>
      </c>
      <c r="X125" s="55" t="str">
        <f aca="false">IF($P125="","",IFERROR(IF(ISNUMBER($P125),IF($P125&gt;19000000,DATE(INT($P125/10000),MOD(INT($P125/100),100),MOD($P125,100)),INT($P125)),IF(LEN(SUBSTITUTE(SUBSTITUTE(SUBSTITUTE(TRIM($P125),"-",""),".",""),"/",""))=8,DATE(VALUE(LEFT(SUBSTITUTE(SUBSTITUTE(SUBSTITUTE(TRIM($P125),"-",""),".",""),"/",""),4)),VALUE(MID(SUBSTITUTE(SUBSTITUTE(SUBSTITUTE(TRIM($P125),"-",""),".",""),"/",""),5,2)),VALUE(RIGHT(SUBSTITUTE(SUBSTITUTE(SUBSTITUTE(TRIM($P125),"-",""),".",""),"/",""),2))),DATEVALUE($P125))),""))</f>
        <v/>
      </c>
      <c r="Y125" s="56" t="str">
        <f aca="false">IF($M125="","",IFERROR(INDEX(강사DB!$D$4:$D$53,MATCH($M125,강사DB!$A$4:$A$53,0)),""))</f>
        <v/>
      </c>
      <c r="Z125" s="56" t="str">
        <f aca="false">IF($B125&lt;&gt;"결제완료","",IF(OR($Y125="",$J125=""),"",$Y125*$J125+MAX(0,N($K125)-1)*설정!$J$7))</f>
        <v/>
      </c>
      <c r="AA125" s="56" t="str">
        <f aca="false">IF(AND($D125&lt;&gt;"",$B125="결제완료"),N($N125),"")</f>
        <v/>
      </c>
      <c r="AB125" s="45" t="str">
        <f aca="false">IF($D125="","",IF($F125&lt;&gt;"",$F125,$D125)&amp;IF($B125="상담중"," (상담)",""))</f>
        <v/>
      </c>
      <c r="AC125" s="45" t="n">
        <f aca="false">IF(AND($D125&lt;&gt;"",OR($B125="결제완료",$B125="상담중")),1,0)</f>
        <v>0</v>
      </c>
      <c r="AD125" s="45" t="n">
        <f aca="false">IF(OR($Z125="",$U125=""),0,IFERROR(IF(COUNTIFS(INDEX(g_grid,0,2*MATCH($M125,강사DB!$A$4:$A$15,0)),"&lt;&gt;",g_s,"&lt;="&amp;$U125,g_e,"&gt;="&amp;$U125)&gt;0,1,0),0))</f>
        <v>0</v>
      </c>
      <c r="AE125" s="48"/>
      <c r="AF125" s="56" t="str">
        <f aca="false">IF(AND($D125&lt;&gt;"",$B125="결제완료",$T125="대여"),설정!$J$5,"")</f>
        <v/>
      </c>
      <c r="AG125" s="54" t="str">
        <f aca="false">IF($D125="","",IF(AND($E125="",$R125=""),$AB125,"☎ "&amp;IF($E125="","-",$E125)&amp;IF($R125&lt;&gt;"","  ※ "&amp;$R125,"")&amp;IF($B125="상담중"," (상담)","")))</f>
        <v/>
      </c>
      <c r="AH125" s="56" t="str">
        <f aca="false">IF(AND($D125&lt;&gt;"",$B125="결제완료",$O125="스마트스토어"),ROUND(N($N125)*설정!$J$6,0),"")</f>
        <v/>
      </c>
      <c r="AI125" s="54" t="str">
        <f aca="false">IF($D125="","",ROW())</f>
        <v/>
      </c>
      <c r="AJ125" s="54" t="n">
        <f aca="false">IF(OR($AC125&lt;&gt;1,$M125=""),0,IF(ISNUMBER(SEARCH("퇴사",IFERROR(INDEX(강사DB!$G$4:$G$53,MATCH($M125,강사DB!$A$4:$A$53,0)),""))),1,0))</f>
        <v>0</v>
      </c>
    </row>
    <row r="126" customFormat="false" ht="15" hidden="false" customHeight="false" outlineLevel="0" collapsed="false">
      <c r="A126" s="45" t="str">
        <f aca="false">IF($D126="","",COUNTA($D$5:$D126))</f>
        <v/>
      </c>
      <c r="B126" s="46"/>
      <c r="C126" s="47"/>
      <c r="D126" s="48"/>
      <c r="E126" s="48"/>
      <c r="F126" s="49"/>
      <c r="G126" s="47"/>
      <c r="H126" s="50"/>
      <c r="I126" s="50"/>
      <c r="J126" s="51" t="str">
        <f aca="false">IF(OR($V126="",$W126=""),"",ROUND(($W126-$V126)/60,2))</f>
        <v/>
      </c>
      <c r="K126" s="52" t="str">
        <f aca="false">IF($F126="","",LEN($F126)-LEN(SUBSTITUTE($F126,",",""))+1)</f>
        <v/>
      </c>
      <c r="L126" s="45" t="str">
        <f aca="false">IF($K126="","","1:"&amp;$K126)</f>
        <v/>
      </c>
      <c r="M126" s="46"/>
      <c r="N126" s="53"/>
      <c r="O126" s="46"/>
      <c r="P126" s="47"/>
      <c r="Q126" s="48"/>
      <c r="R126" s="49"/>
      <c r="S126" s="54" t="str">
        <f aca="false">IF(OR($AC126=0,$U126="",$M126="",$V126="",$W126=""),"",IF(COUNTIFS(m_teacher,$M126,m_date,$U126,m_active,1,m_start,"&lt;"&amp;$W126,m_end,"&gt;"&amp;$V126)&gt;1,"충돌",""))</f>
        <v/>
      </c>
      <c r="T126" s="48"/>
      <c r="U126" s="55" t="str">
        <f aca="false">IF($G126="","",IFERROR(IF(ISNUMBER($G126),IF($G126&gt;19000000,DATE(INT($G126/10000),MOD(INT($G126/100),100),MOD($G126,100)),INT($G126)),IF(LEN(SUBSTITUTE(SUBSTITUTE(SUBSTITUTE(TRIM($G126),"-",""),".",""),"/",""))=8,DATE(VALUE(LEFT(SUBSTITUTE(SUBSTITUTE(SUBSTITUTE(TRIM($G126),"-",""),".",""),"/",""),4)),VALUE(MID(SUBSTITUTE(SUBSTITUTE(SUBSTITUTE(TRIM($G126),"-",""),".",""),"/",""),5,2)),VALUE(RIGHT(SUBSTITUTE(SUBSTITUTE(SUBSTITUTE(TRIM($G126),"-",""),".",""),"/",""),2))),DATEVALUE($G126))),""))</f>
        <v/>
      </c>
      <c r="V126" s="52" t="str">
        <f aca="false">IF($H126="","",IFERROR(IF(IF(ISNUMBER($H126),$H126,IFERROR(TIMEVALUE($H126),VALUE($H126)))&gt;=100,INT(IF(ISNUMBER($H126),$H126,IFERROR(TIMEVALUE($H126),VALUE($H126)))/100)*60+MOD(IF(ISNUMBER($H126),$H126,IFERROR(TIMEVALUE($H126),VALUE($H126))),100),IF(IF(ISNUMBER($H126),$H126,IFERROR(TIMEVALUE($H126),VALUE($H126)))&gt;=1,ROUND(IF(ISNUMBER($H126),$H126,IFERROR(TIMEVALUE($H126),VALUE($H126)))*60,0),ROUND(MOD(IF(ISNUMBER($H126),$H126,IFERROR(TIMEVALUE($H126),VALUE($H126))),1)*1440,0))),""))</f>
        <v/>
      </c>
      <c r="W126" s="52" t="str">
        <f aca="false">IF($I126="","",IFERROR(IF(IF(ISNUMBER($I126),$I126,IFERROR(TIMEVALUE($I126),VALUE($I126)))&gt;=100,INT(IF(ISNUMBER($I126),$I126,IFERROR(TIMEVALUE($I126),VALUE($I126)))/100)*60+MOD(IF(ISNUMBER($I126),$I126,IFERROR(TIMEVALUE($I126),VALUE($I126))),100),IF(IF(ISNUMBER($I126),$I126,IFERROR(TIMEVALUE($I126),VALUE($I126)))&gt;=1,ROUND(IF(ISNUMBER($I126),$I126,IFERROR(TIMEVALUE($I126),VALUE($I126)))*60,0),ROUND(MOD(IF(ISNUMBER($I126),$I126,IFERROR(TIMEVALUE($I126),VALUE($I126))),1)*1440,0))),""))</f>
        <v/>
      </c>
      <c r="X126" s="55" t="str">
        <f aca="false">IF($P126="","",IFERROR(IF(ISNUMBER($P126),IF($P126&gt;19000000,DATE(INT($P126/10000),MOD(INT($P126/100),100),MOD($P126,100)),INT($P126)),IF(LEN(SUBSTITUTE(SUBSTITUTE(SUBSTITUTE(TRIM($P126),"-",""),".",""),"/",""))=8,DATE(VALUE(LEFT(SUBSTITUTE(SUBSTITUTE(SUBSTITUTE(TRIM($P126),"-",""),".",""),"/",""),4)),VALUE(MID(SUBSTITUTE(SUBSTITUTE(SUBSTITUTE(TRIM($P126),"-",""),".",""),"/",""),5,2)),VALUE(RIGHT(SUBSTITUTE(SUBSTITUTE(SUBSTITUTE(TRIM($P126),"-",""),".",""),"/",""),2))),DATEVALUE($P126))),""))</f>
        <v/>
      </c>
      <c r="Y126" s="56" t="str">
        <f aca="false">IF($M126="","",IFERROR(INDEX(강사DB!$D$4:$D$53,MATCH($M126,강사DB!$A$4:$A$53,0)),""))</f>
        <v/>
      </c>
      <c r="Z126" s="56" t="str">
        <f aca="false">IF($B126&lt;&gt;"결제완료","",IF(OR($Y126="",$J126=""),"",$Y126*$J126+MAX(0,N($K126)-1)*설정!$J$7))</f>
        <v/>
      </c>
      <c r="AA126" s="56" t="str">
        <f aca="false">IF(AND($D126&lt;&gt;"",$B126="결제완료"),N($N126),"")</f>
        <v/>
      </c>
      <c r="AB126" s="45" t="str">
        <f aca="false">IF($D126="","",IF($F126&lt;&gt;"",$F126,$D126)&amp;IF($B126="상담중"," (상담)",""))</f>
        <v/>
      </c>
      <c r="AC126" s="45" t="n">
        <f aca="false">IF(AND($D126&lt;&gt;"",OR($B126="결제완료",$B126="상담중")),1,0)</f>
        <v>0</v>
      </c>
      <c r="AD126" s="45" t="n">
        <f aca="false">IF(OR($Z126="",$U126=""),0,IFERROR(IF(COUNTIFS(INDEX(g_grid,0,2*MATCH($M126,강사DB!$A$4:$A$15,0)),"&lt;&gt;",g_s,"&lt;="&amp;$U126,g_e,"&gt;="&amp;$U126)&gt;0,1,0),0))</f>
        <v>0</v>
      </c>
      <c r="AE126" s="48"/>
      <c r="AF126" s="56" t="str">
        <f aca="false">IF(AND($D126&lt;&gt;"",$B126="결제완료",$T126="대여"),설정!$J$5,"")</f>
        <v/>
      </c>
      <c r="AG126" s="54" t="str">
        <f aca="false">IF($D126="","",IF(AND($E126="",$R126=""),$AB126,"☎ "&amp;IF($E126="","-",$E126)&amp;IF($R126&lt;&gt;"","  ※ "&amp;$R126,"")&amp;IF($B126="상담중"," (상담)","")))</f>
        <v/>
      </c>
      <c r="AH126" s="56" t="str">
        <f aca="false">IF(AND($D126&lt;&gt;"",$B126="결제완료",$O126="스마트스토어"),ROUND(N($N126)*설정!$J$6,0),"")</f>
        <v/>
      </c>
      <c r="AI126" s="54" t="str">
        <f aca="false">IF($D126="","",ROW())</f>
        <v/>
      </c>
      <c r="AJ126" s="54" t="n">
        <f aca="false">IF(OR($AC126&lt;&gt;1,$M126=""),0,IF(ISNUMBER(SEARCH("퇴사",IFERROR(INDEX(강사DB!$G$4:$G$53,MATCH($M126,강사DB!$A$4:$A$53,0)),""))),1,0))</f>
        <v>0</v>
      </c>
    </row>
    <row r="127" customFormat="false" ht="15" hidden="false" customHeight="false" outlineLevel="0" collapsed="false">
      <c r="A127" s="45" t="str">
        <f aca="false">IF($D127="","",COUNTA($D$5:$D127))</f>
        <v/>
      </c>
      <c r="B127" s="46"/>
      <c r="C127" s="47"/>
      <c r="D127" s="48"/>
      <c r="E127" s="48"/>
      <c r="F127" s="49"/>
      <c r="G127" s="47"/>
      <c r="H127" s="50"/>
      <c r="I127" s="50"/>
      <c r="J127" s="51" t="str">
        <f aca="false">IF(OR($V127="",$W127=""),"",ROUND(($W127-$V127)/60,2))</f>
        <v/>
      </c>
      <c r="K127" s="52" t="str">
        <f aca="false">IF($F127="","",LEN($F127)-LEN(SUBSTITUTE($F127,",",""))+1)</f>
        <v/>
      </c>
      <c r="L127" s="45" t="str">
        <f aca="false">IF($K127="","","1:"&amp;$K127)</f>
        <v/>
      </c>
      <c r="M127" s="46"/>
      <c r="N127" s="53"/>
      <c r="O127" s="46"/>
      <c r="P127" s="47"/>
      <c r="Q127" s="48"/>
      <c r="R127" s="49"/>
      <c r="S127" s="54" t="str">
        <f aca="false">IF(OR($AC127=0,$U127="",$M127="",$V127="",$W127=""),"",IF(COUNTIFS(m_teacher,$M127,m_date,$U127,m_active,1,m_start,"&lt;"&amp;$W127,m_end,"&gt;"&amp;$V127)&gt;1,"충돌",""))</f>
        <v/>
      </c>
      <c r="T127" s="48"/>
      <c r="U127" s="55" t="str">
        <f aca="false">IF($G127="","",IFERROR(IF(ISNUMBER($G127),IF($G127&gt;19000000,DATE(INT($G127/10000),MOD(INT($G127/100),100),MOD($G127,100)),INT($G127)),IF(LEN(SUBSTITUTE(SUBSTITUTE(SUBSTITUTE(TRIM($G127),"-",""),".",""),"/",""))=8,DATE(VALUE(LEFT(SUBSTITUTE(SUBSTITUTE(SUBSTITUTE(TRIM($G127),"-",""),".",""),"/",""),4)),VALUE(MID(SUBSTITUTE(SUBSTITUTE(SUBSTITUTE(TRIM($G127),"-",""),".",""),"/",""),5,2)),VALUE(RIGHT(SUBSTITUTE(SUBSTITUTE(SUBSTITUTE(TRIM($G127),"-",""),".",""),"/",""),2))),DATEVALUE($G127))),""))</f>
        <v/>
      </c>
      <c r="V127" s="52" t="str">
        <f aca="false">IF($H127="","",IFERROR(IF(IF(ISNUMBER($H127),$H127,IFERROR(TIMEVALUE($H127),VALUE($H127)))&gt;=100,INT(IF(ISNUMBER($H127),$H127,IFERROR(TIMEVALUE($H127),VALUE($H127)))/100)*60+MOD(IF(ISNUMBER($H127),$H127,IFERROR(TIMEVALUE($H127),VALUE($H127))),100),IF(IF(ISNUMBER($H127),$H127,IFERROR(TIMEVALUE($H127),VALUE($H127)))&gt;=1,ROUND(IF(ISNUMBER($H127),$H127,IFERROR(TIMEVALUE($H127),VALUE($H127)))*60,0),ROUND(MOD(IF(ISNUMBER($H127),$H127,IFERROR(TIMEVALUE($H127),VALUE($H127))),1)*1440,0))),""))</f>
        <v/>
      </c>
      <c r="W127" s="52" t="str">
        <f aca="false">IF($I127="","",IFERROR(IF(IF(ISNUMBER($I127),$I127,IFERROR(TIMEVALUE($I127),VALUE($I127)))&gt;=100,INT(IF(ISNUMBER($I127),$I127,IFERROR(TIMEVALUE($I127),VALUE($I127)))/100)*60+MOD(IF(ISNUMBER($I127),$I127,IFERROR(TIMEVALUE($I127),VALUE($I127))),100),IF(IF(ISNUMBER($I127),$I127,IFERROR(TIMEVALUE($I127),VALUE($I127)))&gt;=1,ROUND(IF(ISNUMBER($I127),$I127,IFERROR(TIMEVALUE($I127),VALUE($I127)))*60,0),ROUND(MOD(IF(ISNUMBER($I127),$I127,IFERROR(TIMEVALUE($I127),VALUE($I127))),1)*1440,0))),""))</f>
        <v/>
      </c>
      <c r="X127" s="55" t="str">
        <f aca="false">IF($P127="","",IFERROR(IF(ISNUMBER($P127),IF($P127&gt;19000000,DATE(INT($P127/10000),MOD(INT($P127/100),100),MOD($P127,100)),INT($P127)),IF(LEN(SUBSTITUTE(SUBSTITUTE(SUBSTITUTE(TRIM($P127),"-",""),".",""),"/",""))=8,DATE(VALUE(LEFT(SUBSTITUTE(SUBSTITUTE(SUBSTITUTE(TRIM($P127),"-",""),".",""),"/",""),4)),VALUE(MID(SUBSTITUTE(SUBSTITUTE(SUBSTITUTE(TRIM($P127),"-",""),".",""),"/",""),5,2)),VALUE(RIGHT(SUBSTITUTE(SUBSTITUTE(SUBSTITUTE(TRIM($P127),"-",""),".",""),"/",""),2))),DATEVALUE($P127))),""))</f>
        <v/>
      </c>
      <c r="Y127" s="56" t="str">
        <f aca="false">IF($M127="","",IFERROR(INDEX(강사DB!$D$4:$D$53,MATCH($M127,강사DB!$A$4:$A$53,0)),""))</f>
        <v/>
      </c>
      <c r="Z127" s="56" t="str">
        <f aca="false">IF($B127&lt;&gt;"결제완료","",IF(OR($Y127="",$J127=""),"",$Y127*$J127+MAX(0,N($K127)-1)*설정!$J$7))</f>
        <v/>
      </c>
      <c r="AA127" s="56" t="str">
        <f aca="false">IF(AND($D127&lt;&gt;"",$B127="결제완료"),N($N127),"")</f>
        <v/>
      </c>
      <c r="AB127" s="45" t="str">
        <f aca="false">IF($D127="","",IF($F127&lt;&gt;"",$F127,$D127)&amp;IF($B127="상담중"," (상담)",""))</f>
        <v/>
      </c>
      <c r="AC127" s="45" t="n">
        <f aca="false">IF(AND($D127&lt;&gt;"",OR($B127="결제완료",$B127="상담중")),1,0)</f>
        <v>0</v>
      </c>
      <c r="AD127" s="45" t="n">
        <f aca="false">IF(OR($Z127="",$U127=""),0,IFERROR(IF(COUNTIFS(INDEX(g_grid,0,2*MATCH($M127,강사DB!$A$4:$A$15,0)),"&lt;&gt;",g_s,"&lt;="&amp;$U127,g_e,"&gt;="&amp;$U127)&gt;0,1,0),0))</f>
        <v>0</v>
      </c>
      <c r="AE127" s="48"/>
      <c r="AF127" s="56" t="str">
        <f aca="false">IF(AND($D127&lt;&gt;"",$B127="결제완료",$T127="대여"),설정!$J$5,"")</f>
        <v/>
      </c>
      <c r="AG127" s="54" t="str">
        <f aca="false">IF($D127="","",IF(AND($E127="",$R127=""),$AB127,"☎ "&amp;IF($E127="","-",$E127)&amp;IF($R127&lt;&gt;"","  ※ "&amp;$R127,"")&amp;IF($B127="상담중"," (상담)","")))</f>
        <v/>
      </c>
      <c r="AH127" s="56" t="str">
        <f aca="false">IF(AND($D127&lt;&gt;"",$B127="결제완료",$O127="스마트스토어"),ROUND(N($N127)*설정!$J$6,0),"")</f>
        <v/>
      </c>
      <c r="AI127" s="54" t="str">
        <f aca="false">IF($D127="","",ROW())</f>
        <v/>
      </c>
      <c r="AJ127" s="54" t="n">
        <f aca="false">IF(OR($AC127&lt;&gt;1,$M127=""),0,IF(ISNUMBER(SEARCH("퇴사",IFERROR(INDEX(강사DB!$G$4:$G$53,MATCH($M127,강사DB!$A$4:$A$53,0)),""))),1,0))</f>
        <v>0</v>
      </c>
    </row>
    <row r="128" customFormat="false" ht="15" hidden="false" customHeight="false" outlineLevel="0" collapsed="false">
      <c r="A128" s="45" t="str">
        <f aca="false">IF($D128="","",COUNTA($D$5:$D128))</f>
        <v/>
      </c>
      <c r="B128" s="46"/>
      <c r="C128" s="47"/>
      <c r="D128" s="48"/>
      <c r="E128" s="48"/>
      <c r="F128" s="49"/>
      <c r="G128" s="47"/>
      <c r="H128" s="50"/>
      <c r="I128" s="50"/>
      <c r="J128" s="51" t="str">
        <f aca="false">IF(OR($V128="",$W128=""),"",ROUND(($W128-$V128)/60,2))</f>
        <v/>
      </c>
      <c r="K128" s="52" t="str">
        <f aca="false">IF($F128="","",LEN($F128)-LEN(SUBSTITUTE($F128,",",""))+1)</f>
        <v/>
      </c>
      <c r="L128" s="45" t="str">
        <f aca="false">IF($K128="","","1:"&amp;$K128)</f>
        <v/>
      </c>
      <c r="M128" s="46"/>
      <c r="N128" s="53"/>
      <c r="O128" s="46"/>
      <c r="P128" s="47"/>
      <c r="Q128" s="48"/>
      <c r="R128" s="49"/>
      <c r="S128" s="54" t="str">
        <f aca="false">IF(OR($AC128=0,$U128="",$M128="",$V128="",$W128=""),"",IF(COUNTIFS(m_teacher,$M128,m_date,$U128,m_active,1,m_start,"&lt;"&amp;$W128,m_end,"&gt;"&amp;$V128)&gt;1,"충돌",""))</f>
        <v/>
      </c>
      <c r="T128" s="48"/>
      <c r="U128" s="55" t="str">
        <f aca="false">IF($G128="","",IFERROR(IF(ISNUMBER($G128),IF($G128&gt;19000000,DATE(INT($G128/10000),MOD(INT($G128/100),100),MOD($G128,100)),INT($G128)),IF(LEN(SUBSTITUTE(SUBSTITUTE(SUBSTITUTE(TRIM($G128),"-",""),".",""),"/",""))=8,DATE(VALUE(LEFT(SUBSTITUTE(SUBSTITUTE(SUBSTITUTE(TRIM($G128),"-",""),".",""),"/",""),4)),VALUE(MID(SUBSTITUTE(SUBSTITUTE(SUBSTITUTE(TRIM($G128),"-",""),".",""),"/",""),5,2)),VALUE(RIGHT(SUBSTITUTE(SUBSTITUTE(SUBSTITUTE(TRIM($G128),"-",""),".",""),"/",""),2))),DATEVALUE($G128))),""))</f>
        <v/>
      </c>
      <c r="V128" s="52" t="str">
        <f aca="false">IF($H128="","",IFERROR(IF(IF(ISNUMBER($H128),$H128,IFERROR(TIMEVALUE($H128),VALUE($H128)))&gt;=100,INT(IF(ISNUMBER($H128),$H128,IFERROR(TIMEVALUE($H128),VALUE($H128)))/100)*60+MOD(IF(ISNUMBER($H128),$H128,IFERROR(TIMEVALUE($H128),VALUE($H128))),100),IF(IF(ISNUMBER($H128),$H128,IFERROR(TIMEVALUE($H128),VALUE($H128)))&gt;=1,ROUND(IF(ISNUMBER($H128),$H128,IFERROR(TIMEVALUE($H128),VALUE($H128)))*60,0),ROUND(MOD(IF(ISNUMBER($H128),$H128,IFERROR(TIMEVALUE($H128),VALUE($H128))),1)*1440,0))),""))</f>
        <v/>
      </c>
      <c r="W128" s="52" t="str">
        <f aca="false">IF($I128="","",IFERROR(IF(IF(ISNUMBER($I128),$I128,IFERROR(TIMEVALUE($I128),VALUE($I128)))&gt;=100,INT(IF(ISNUMBER($I128),$I128,IFERROR(TIMEVALUE($I128),VALUE($I128)))/100)*60+MOD(IF(ISNUMBER($I128),$I128,IFERROR(TIMEVALUE($I128),VALUE($I128))),100),IF(IF(ISNUMBER($I128),$I128,IFERROR(TIMEVALUE($I128),VALUE($I128)))&gt;=1,ROUND(IF(ISNUMBER($I128),$I128,IFERROR(TIMEVALUE($I128),VALUE($I128)))*60,0),ROUND(MOD(IF(ISNUMBER($I128),$I128,IFERROR(TIMEVALUE($I128),VALUE($I128))),1)*1440,0))),""))</f>
        <v/>
      </c>
      <c r="X128" s="55" t="str">
        <f aca="false">IF($P128="","",IFERROR(IF(ISNUMBER($P128),IF($P128&gt;19000000,DATE(INT($P128/10000),MOD(INT($P128/100),100),MOD($P128,100)),INT($P128)),IF(LEN(SUBSTITUTE(SUBSTITUTE(SUBSTITUTE(TRIM($P128),"-",""),".",""),"/",""))=8,DATE(VALUE(LEFT(SUBSTITUTE(SUBSTITUTE(SUBSTITUTE(TRIM($P128),"-",""),".",""),"/",""),4)),VALUE(MID(SUBSTITUTE(SUBSTITUTE(SUBSTITUTE(TRIM($P128),"-",""),".",""),"/",""),5,2)),VALUE(RIGHT(SUBSTITUTE(SUBSTITUTE(SUBSTITUTE(TRIM($P128),"-",""),".",""),"/",""),2))),DATEVALUE($P128))),""))</f>
        <v/>
      </c>
      <c r="Y128" s="56" t="str">
        <f aca="false">IF($M128="","",IFERROR(INDEX(강사DB!$D$4:$D$53,MATCH($M128,강사DB!$A$4:$A$53,0)),""))</f>
        <v/>
      </c>
      <c r="Z128" s="56" t="str">
        <f aca="false">IF($B128&lt;&gt;"결제완료","",IF(OR($Y128="",$J128=""),"",$Y128*$J128+MAX(0,N($K128)-1)*설정!$J$7))</f>
        <v/>
      </c>
      <c r="AA128" s="56" t="str">
        <f aca="false">IF(AND($D128&lt;&gt;"",$B128="결제완료"),N($N128),"")</f>
        <v/>
      </c>
      <c r="AB128" s="45" t="str">
        <f aca="false">IF($D128="","",IF($F128&lt;&gt;"",$F128,$D128)&amp;IF($B128="상담중"," (상담)",""))</f>
        <v/>
      </c>
      <c r="AC128" s="45" t="n">
        <f aca="false">IF(AND($D128&lt;&gt;"",OR($B128="결제완료",$B128="상담중")),1,0)</f>
        <v>0</v>
      </c>
      <c r="AD128" s="45" t="n">
        <f aca="false">IF(OR($Z128="",$U128=""),0,IFERROR(IF(COUNTIFS(INDEX(g_grid,0,2*MATCH($M128,강사DB!$A$4:$A$15,0)),"&lt;&gt;",g_s,"&lt;="&amp;$U128,g_e,"&gt;="&amp;$U128)&gt;0,1,0),0))</f>
        <v>0</v>
      </c>
      <c r="AE128" s="48"/>
      <c r="AF128" s="56" t="str">
        <f aca="false">IF(AND($D128&lt;&gt;"",$B128="결제완료",$T128="대여"),설정!$J$5,"")</f>
        <v/>
      </c>
      <c r="AG128" s="54" t="str">
        <f aca="false">IF($D128="","",IF(AND($E128="",$R128=""),$AB128,"☎ "&amp;IF($E128="","-",$E128)&amp;IF($R128&lt;&gt;"","  ※ "&amp;$R128,"")&amp;IF($B128="상담중"," (상담)","")))</f>
        <v/>
      </c>
      <c r="AH128" s="56" t="str">
        <f aca="false">IF(AND($D128&lt;&gt;"",$B128="결제완료",$O128="스마트스토어"),ROUND(N($N128)*설정!$J$6,0),"")</f>
        <v/>
      </c>
      <c r="AI128" s="54" t="str">
        <f aca="false">IF($D128="","",ROW())</f>
        <v/>
      </c>
      <c r="AJ128" s="54" t="n">
        <f aca="false">IF(OR($AC128&lt;&gt;1,$M128=""),0,IF(ISNUMBER(SEARCH("퇴사",IFERROR(INDEX(강사DB!$G$4:$G$53,MATCH($M128,강사DB!$A$4:$A$53,0)),""))),1,0))</f>
        <v>0</v>
      </c>
    </row>
    <row r="129" customFormat="false" ht="15" hidden="false" customHeight="false" outlineLevel="0" collapsed="false">
      <c r="A129" s="45" t="str">
        <f aca="false">IF($D129="","",COUNTA($D$5:$D129))</f>
        <v/>
      </c>
      <c r="B129" s="46"/>
      <c r="C129" s="47"/>
      <c r="D129" s="48"/>
      <c r="E129" s="48"/>
      <c r="F129" s="49"/>
      <c r="G129" s="47"/>
      <c r="H129" s="50"/>
      <c r="I129" s="50"/>
      <c r="J129" s="51" t="str">
        <f aca="false">IF(OR($V129="",$W129=""),"",ROUND(($W129-$V129)/60,2))</f>
        <v/>
      </c>
      <c r="K129" s="52" t="str">
        <f aca="false">IF($F129="","",LEN($F129)-LEN(SUBSTITUTE($F129,",",""))+1)</f>
        <v/>
      </c>
      <c r="L129" s="45" t="str">
        <f aca="false">IF($K129="","","1:"&amp;$K129)</f>
        <v/>
      </c>
      <c r="M129" s="46"/>
      <c r="N129" s="53"/>
      <c r="O129" s="46"/>
      <c r="P129" s="47"/>
      <c r="Q129" s="48"/>
      <c r="R129" s="49"/>
      <c r="S129" s="54" t="str">
        <f aca="false">IF(OR($AC129=0,$U129="",$M129="",$V129="",$W129=""),"",IF(COUNTIFS(m_teacher,$M129,m_date,$U129,m_active,1,m_start,"&lt;"&amp;$W129,m_end,"&gt;"&amp;$V129)&gt;1,"충돌",""))</f>
        <v/>
      </c>
      <c r="T129" s="48"/>
      <c r="U129" s="55" t="str">
        <f aca="false">IF($G129="","",IFERROR(IF(ISNUMBER($G129),IF($G129&gt;19000000,DATE(INT($G129/10000),MOD(INT($G129/100),100),MOD($G129,100)),INT($G129)),IF(LEN(SUBSTITUTE(SUBSTITUTE(SUBSTITUTE(TRIM($G129),"-",""),".",""),"/",""))=8,DATE(VALUE(LEFT(SUBSTITUTE(SUBSTITUTE(SUBSTITUTE(TRIM($G129),"-",""),".",""),"/",""),4)),VALUE(MID(SUBSTITUTE(SUBSTITUTE(SUBSTITUTE(TRIM($G129),"-",""),".",""),"/",""),5,2)),VALUE(RIGHT(SUBSTITUTE(SUBSTITUTE(SUBSTITUTE(TRIM($G129),"-",""),".",""),"/",""),2))),DATEVALUE($G129))),""))</f>
        <v/>
      </c>
      <c r="V129" s="52" t="str">
        <f aca="false">IF($H129="","",IFERROR(IF(IF(ISNUMBER($H129),$H129,IFERROR(TIMEVALUE($H129),VALUE($H129)))&gt;=100,INT(IF(ISNUMBER($H129),$H129,IFERROR(TIMEVALUE($H129),VALUE($H129)))/100)*60+MOD(IF(ISNUMBER($H129),$H129,IFERROR(TIMEVALUE($H129),VALUE($H129))),100),IF(IF(ISNUMBER($H129),$H129,IFERROR(TIMEVALUE($H129),VALUE($H129)))&gt;=1,ROUND(IF(ISNUMBER($H129),$H129,IFERROR(TIMEVALUE($H129),VALUE($H129)))*60,0),ROUND(MOD(IF(ISNUMBER($H129),$H129,IFERROR(TIMEVALUE($H129),VALUE($H129))),1)*1440,0))),""))</f>
        <v/>
      </c>
      <c r="W129" s="52" t="str">
        <f aca="false">IF($I129="","",IFERROR(IF(IF(ISNUMBER($I129),$I129,IFERROR(TIMEVALUE($I129),VALUE($I129)))&gt;=100,INT(IF(ISNUMBER($I129),$I129,IFERROR(TIMEVALUE($I129),VALUE($I129)))/100)*60+MOD(IF(ISNUMBER($I129),$I129,IFERROR(TIMEVALUE($I129),VALUE($I129))),100),IF(IF(ISNUMBER($I129),$I129,IFERROR(TIMEVALUE($I129),VALUE($I129)))&gt;=1,ROUND(IF(ISNUMBER($I129),$I129,IFERROR(TIMEVALUE($I129),VALUE($I129)))*60,0),ROUND(MOD(IF(ISNUMBER($I129),$I129,IFERROR(TIMEVALUE($I129),VALUE($I129))),1)*1440,0))),""))</f>
        <v/>
      </c>
      <c r="X129" s="55" t="str">
        <f aca="false">IF($P129="","",IFERROR(IF(ISNUMBER($P129),IF($P129&gt;19000000,DATE(INT($P129/10000),MOD(INT($P129/100),100),MOD($P129,100)),INT($P129)),IF(LEN(SUBSTITUTE(SUBSTITUTE(SUBSTITUTE(TRIM($P129),"-",""),".",""),"/",""))=8,DATE(VALUE(LEFT(SUBSTITUTE(SUBSTITUTE(SUBSTITUTE(TRIM($P129),"-",""),".",""),"/",""),4)),VALUE(MID(SUBSTITUTE(SUBSTITUTE(SUBSTITUTE(TRIM($P129),"-",""),".",""),"/",""),5,2)),VALUE(RIGHT(SUBSTITUTE(SUBSTITUTE(SUBSTITUTE(TRIM($P129),"-",""),".",""),"/",""),2))),DATEVALUE($P129))),""))</f>
        <v/>
      </c>
      <c r="Y129" s="56" t="str">
        <f aca="false">IF($M129="","",IFERROR(INDEX(강사DB!$D$4:$D$53,MATCH($M129,강사DB!$A$4:$A$53,0)),""))</f>
        <v/>
      </c>
      <c r="Z129" s="56" t="str">
        <f aca="false">IF($B129&lt;&gt;"결제완료","",IF(OR($Y129="",$J129=""),"",$Y129*$J129+MAX(0,N($K129)-1)*설정!$J$7))</f>
        <v/>
      </c>
      <c r="AA129" s="56" t="str">
        <f aca="false">IF(AND($D129&lt;&gt;"",$B129="결제완료"),N($N129),"")</f>
        <v/>
      </c>
      <c r="AB129" s="45" t="str">
        <f aca="false">IF($D129="","",IF($F129&lt;&gt;"",$F129,$D129)&amp;IF($B129="상담중"," (상담)",""))</f>
        <v/>
      </c>
      <c r="AC129" s="45" t="n">
        <f aca="false">IF(AND($D129&lt;&gt;"",OR($B129="결제완료",$B129="상담중")),1,0)</f>
        <v>0</v>
      </c>
      <c r="AD129" s="45" t="n">
        <f aca="false">IF(OR($Z129="",$U129=""),0,IFERROR(IF(COUNTIFS(INDEX(g_grid,0,2*MATCH($M129,강사DB!$A$4:$A$15,0)),"&lt;&gt;",g_s,"&lt;="&amp;$U129,g_e,"&gt;="&amp;$U129)&gt;0,1,0),0))</f>
        <v>0</v>
      </c>
      <c r="AE129" s="48"/>
      <c r="AF129" s="56" t="str">
        <f aca="false">IF(AND($D129&lt;&gt;"",$B129="결제완료",$T129="대여"),설정!$J$5,"")</f>
        <v/>
      </c>
      <c r="AG129" s="54" t="str">
        <f aca="false">IF($D129="","",IF(AND($E129="",$R129=""),$AB129,"☎ "&amp;IF($E129="","-",$E129)&amp;IF($R129&lt;&gt;"","  ※ "&amp;$R129,"")&amp;IF($B129="상담중"," (상담)","")))</f>
        <v/>
      </c>
      <c r="AH129" s="56" t="str">
        <f aca="false">IF(AND($D129&lt;&gt;"",$B129="결제완료",$O129="스마트스토어"),ROUND(N($N129)*설정!$J$6,0),"")</f>
        <v/>
      </c>
      <c r="AI129" s="54" t="str">
        <f aca="false">IF($D129="","",ROW())</f>
        <v/>
      </c>
      <c r="AJ129" s="54" t="n">
        <f aca="false">IF(OR($AC129&lt;&gt;1,$M129=""),0,IF(ISNUMBER(SEARCH("퇴사",IFERROR(INDEX(강사DB!$G$4:$G$53,MATCH($M129,강사DB!$A$4:$A$53,0)),""))),1,0))</f>
        <v>0</v>
      </c>
    </row>
    <row r="130" customFormat="false" ht="15" hidden="false" customHeight="false" outlineLevel="0" collapsed="false">
      <c r="A130" s="45" t="str">
        <f aca="false">IF($D130="","",COUNTA($D$5:$D130))</f>
        <v/>
      </c>
      <c r="B130" s="46"/>
      <c r="C130" s="47"/>
      <c r="D130" s="48"/>
      <c r="E130" s="48"/>
      <c r="F130" s="49"/>
      <c r="G130" s="47"/>
      <c r="H130" s="50"/>
      <c r="I130" s="50"/>
      <c r="J130" s="51" t="str">
        <f aca="false">IF(OR($V130="",$W130=""),"",ROUND(($W130-$V130)/60,2))</f>
        <v/>
      </c>
      <c r="K130" s="52" t="str">
        <f aca="false">IF($F130="","",LEN($F130)-LEN(SUBSTITUTE($F130,",",""))+1)</f>
        <v/>
      </c>
      <c r="L130" s="45" t="str">
        <f aca="false">IF($K130="","","1:"&amp;$K130)</f>
        <v/>
      </c>
      <c r="M130" s="46"/>
      <c r="N130" s="53"/>
      <c r="O130" s="46"/>
      <c r="P130" s="47"/>
      <c r="Q130" s="48"/>
      <c r="R130" s="49"/>
      <c r="S130" s="54" t="str">
        <f aca="false">IF(OR($AC130=0,$U130="",$M130="",$V130="",$W130=""),"",IF(COUNTIFS(m_teacher,$M130,m_date,$U130,m_active,1,m_start,"&lt;"&amp;$W130,m_end,"&gt;"&amp;$V130)&gt;1,"충돌",""))</f>
        <v/>
      </c>
      <c r="T130" s="48"/>
      <c r="U130" s="55" t="str">
        <f aca="false">IF($G130="","",IFERROR(IF(ISNUMBER($G130),IF($G130&gt;19000000,DATE(INT($G130/10000),MOD(INT($G130/100),100),MOD($G130,100)),INT($G130)),IF(LEN(SUBSTITUTE(SUBSTITUTE(SUBSTITUTE(TRIM($G130),"-",""),".",""),"/",""))=8,DATE(VALUE(LEFT(SUBSTITUTE(SUBSTITUTE(SUBSTITUTE(TRIM($G130),"-",""),".",""),"/",""),4)),VALUE(MID(SUBSTITUTE(SUBSTITUTE(SUBSTITUTE(TRIM($G130),"-",""),".",""),"/",""),5,2)),VALUE(RIGHT(SUBSTITUTE(SUBSTITUTE(SUBSTITUTE(TRIM($G130),"-",""),".",""),"/",""),2))),DATEVALUE($G130))),""))</f>
        <v/>
      </c>
      <c r="V130" s="52" t="str">
        <f aca="false">IF($H130="","",IFERROR(IF(IF(ISNUMBER($H130),$H130,IFERROR(TIMEVALUE($H130),VALUE($H130)))&gt;=100,INT(IF(ISNUMBER($H130),$H130,IFERROR(TIMEVALUE($H130),VALUE($H130)))/100)*60+MOD(IF(ISNUMBER($H130),$H130,IFERROR(TIMEVALUE($H130),VALUE($H130))),100),IF(IF(ISNUMBER($H130),$H130,IFERROR(TIMEVALUE($H130),VALUE($H130)))&gt;=1,ROUND(IF(ISNUMBER($H130),$H130,IFERROR(TIMEVALUE($H130),VALUE($H130)))*60,0),ROUND(MOD(IF(ISNUMBER($H130),$H130,IFERROR(TIMEVALUE($H130),VALUE($H130))),1)*1440,0))),""))</f>
        <v/>
      </c>
      <c r="W130" s="52" t="str">
        <f aca="false">IF($I130="","",IFERROR(IF(IF(ISNUMBER($I130),$I130,IFERROR(TIMEVALUE($I130),VALUE($I130)))&gt;=100,INT(IF(ISNUMBER($I130),$I130,IFERROR(TIMEVALUE($I130),VALUE($I130)))/100)*60+MOD(IF(ISNUMBER($I130),$I130,IFERROR(TIMEVALUE($I130),VALUE($I130))),100),IF(IF(ISNUMBER($I130),$I130,IFERROR(TIMEVALUE($I130),VALUE($I130)))&gt;=1,ROUND(IF(ISNUMBER($I130),$I130,IFERROR(TIMEVALUE($I130),VALUE($I130)))*60,0),ROUND(MOD(IF(ISNUMBER($I130),$I130,IFERROR(TIMEVALUE($I130),VALUE($I130))),1)*1440,0))),""))</f>
        <v/>
      </c>
      <c r="X130" s="55" t="str">
        <f aca="false">IF($P130="","",IFERROR(IF(ISNUMBER($P130),IF($P130&gt;19000000,DATE(INT($P130/10000),MOD(INT($P130/100),100),MOD($P130,100)),INT($P130)),IF(LEN(SUBSTITUTE(SUBSTITUTE(SUBSTITUTE(TRIM($P130),"-",""),".",""),"/",""))=8,DATE(VALUE(LEFT(SUBSTITUTE(SUBSTITUTE(SUBSTITUTE(TRIM($P130),"-",""),".",""),"/",""),4)),VALUE(MID(SUBSTITUTE(SUBSTITUTE(SUBSTITUTE(TRIM($P130),"-",""),".",""),"/",""),5,2)),VALUE(RIGHT(SUBSTITUTE(SUBSTITUTE(SUBSTITUTE(TRIM($P130),"-",""),".",""),"/",""),2))),DATEVALUE($P130))),""))</f>
        <v/>
      </c>
      <c r="Y130" s="56" t="str">
        <f aca="false">IF($M130="","",IFERROR(INDEX(강사DB!$D$4:$D$53,MATCH($M130,강사DB!$A$4:$A$53,0)),""))</f>
        <v/>
      </c>
      <c r="Z130" s="56" t="str">
        <f aca="false">IF($B130&lt;&gt;"결제완료","",IF(OR($Y130="",$J130=""),"",$Y130*$J130+MAX(0,N($K130)-1)*설정!$J$7))</f>
        <v/>
      </c>
      <c r="AA130" s="56" t="str">
        <f aca="false">IF(AND($D130&lt;&gt;"",$B130="결제완료"),N($N130),"")</f>
        <v/>
      </c>
      <c r="AB130" s="45" t="str">
        <f aca="false">IF($D130="","",IF($F130&lt;&gt;"",$F130,$D130)&amp;IF($B130="상담중"," (상담)",""))</f>
        <v/>
      </c>
      <c r="AC130" s="45" t="n">
        <f aca="false">IF(AND($D130&lt;&gt;"",OR($B130="결제완료",$B130="상담중")),1,0)</f>
        <v>0</v>
      </c>
      <c r="AD130" s="45" t="n">
        <f aca="false">IF(OR($Z130="",$U130=""),0,IFERROR(IF(COUNTIFS(INDEX(g_grid,0,2*MATCH($M130,강사DB!$A$4:$A$15,0)),"&lt;&gt;",g_s,"&lt;="&amp;$U130,g_e,"&gt;="&amp;$U130)&gt;0,1,0),0))</f>
        <v>0</v>
      </c>
      <c r="AE130" s="48"/>
      <c r="AF130" s="56" t="str">
        <f aca="false">IF(AND($D130&lt;&gt;"",$B130="결제완료",$T130="대여"),설정!$J$5,"")</f>
        <v/>
      </c>
      <c r="AG130" s="54" t="str">
        <f aca="false">IF($D130="","",IF(AND($E130="",$R130=""),$AB130,"☎ "&amp;IF($E130="","-",$E130)&amp;IF($R130&lt;&gt;"","  ※ "&amp;$R130,"")&amp;IF($B130="상담중"," (상담)","")))</f>
        <v/>
      </c>
      <c r="AH130" s="56" t="str">
        <f aca="false">IF(AND($D130&lt;&gt;"",$B130="결제완료",$O130="스마트스토어"),ROUND(N($N130)*설정!$J$6,0),"")</f>
        <v/>
      </c>
      <c r="AI130" s="54" t="str">
        <f aca="false">IF($D130="","",ROW())</f>
        <v/>
      </c>
      <c r="AJ130" s="54" t="n">
        <f aca="false">IF(OR($AC130&lt;&gt;1,$M130=""),0,IF(ISNUMBER(SEARCH("퇴사",IFERROR(INDEX(강사DB!$G$4:$G$53,MATCH($M130,강사DB!$A$4:$A$53,0)),""))),1,0))</f>
        <v>0</v>
      </c>
    </row>
    <row r="131" customFormat="false" ht="15" hidden="false" customHeight="false" outlineLevel="0" collapsed="false">
      <c r="A131" s="45" t="str">
        <f aca="false">IF($D131="","",COUNTA($D$5:$D131))</f>
        <v/>
      </c>
      <c r="B131" s="46"/>
      <c r="C131" s="47"/>
      <c r="D131" s="48"/>
      <c r="E131" s="48"/>
      <c r="F131" s="49"/>
      <c r="G131" s="47"/>
      <c r="H131" s="50"/>
      <c r="I131" s="50"/>
      <c r="J131" s="51" t="str">
        <f aca="false">IF(OR($V131="",$W131=""),"",ROUND(($W131-$V131)/60,2))</f>
        <v/>
      </c>
      <c r="K131" s="52" t="str">
        <f aca="false">IF($F131="","",LEN($F131)-LEN(SUBSTITUTE($F131,",",""))+1)</f>
        <v/>
      </c>
      <c r="L131" s="45" t="str">
        <f aca="false">IF($K131="","","1:"&amp;$K131)</f>
        <v/>
      </c>
      <c r="M131" s="46"/>
      <c r="N131" s="53"/>
      <c r="O131" s="46"/>
      <c r="P131" s="47"/>
      <c r="Q131" s="48"/>
      <c r="R131" s="49"/>
      <c r="S131" s="54" t="str">
        <f aca="false">IF(OR($AC131=0,$U131="",$M131="",$V131="",$W131=""),"",IF(COUNTIFS(m_teacher,$M131,m_date,$U131,m_active,1,m_start,"&lt;"&amp;$W131,m_end,"&gt;"&amp;$V131)&gt;1,"충돌",""))</f>
        <v/>
      </c>
      <c r="T131" s="48"/>
      <c r="U131" s="55" t="str">
        <f aca="false">IF($G131="","",IFERROR(IF(ISNUMBER($G131),IF($G131&gt;19000000,DATE(INT($G131/10000),MOD(INT($G131/100),100),MOD($G131,100)),INT($G131)),IF(LEN(SUBSTITUTE(SUBSTITUTE(SUBSTITUTE(TRIM($G131),"-",""),".",""),"/",""))=8,DATE(VALUE(LEFT(SUBSTITUTE(SUBSTITUTE(SUBSTITUTE(TRIM($G131),"-",""),".",""),"/",""),4)),VALUE(MID(SUBSTITUTE(SUBSTITUTE(SUBSTITUTE(TRIM($G131),"-",""),".",""),"/",""),5,2)),VALUE(RIGHT(SUBSTITUTE(SUBSTITUTE(SUBSTITUTE(TRIM($G131),"-",""),".",""),"/",""),2))),DATEVALUE($G131))),""))</f>
        <v/>
      </c>
      <c r="V131" s="52" t="str">
        <f aca="false">IF($H131="","",IFERROR(IF(IF(ISNUMBER($H131),$H131,IFERROR(TIMEVALUE($H131),VALUE($H131)))&gt;=100,INT(IF(ISNUMBER($H131),$H131,IFERROR(TIMEVALUE($H131),VALUE($H131)))/100)*60+MOD(IF(ISNUMBER($H131),$H131,IFERROR(TIMEVALUE($H131),VALUE($H131))),100),IF(IF(ISNUMBER($H131),$H131,IFERROR(TIMEVALUE($H131),VALUE($H131)))&gt;=1,ROUND(IF(ISNUMBER($H131),$H131,IFERROR(TIMEVALUE($H131),VALUE($H131)))*60,0),ROUND(MOD(IF(ISNUMBER($H131),$H131,IFERROR(TIMEVALUE($H131),VALUE($H131))),1)*1440,0))),""))</f>
        <v/>
      </c>
      <c r="W131" s="52" t="str">
        <f aca="false">IF($I131="","",IFERROR(IF(IF(ISNUMBER($I131),$I131,IFERROR(TIMEVALUE($I131),VALUE($I131)))&gt;=100,INT(IF(ISNUMBER($I131),$I131,IFERROR(TIMEVALUE($I131),VALUE($I131)))/100)*60+MOD(IF(ISNUMBER($I131),$I131,IFERROR(TIMEVALUE($I131),VALUE($I131))),100),IF(IF(ISNUMBER($I131),$I131,IFERROR(TIMEVALUE($I131),VALUE($I131)))&gt;=1,ROUND(IF(ISNUMBER($I131),$I131,IFERROR(TIMEVALUE($I131),VALUE($I131)))*60,0),ROUND(MOD(IF(ISNUMBER($I131),$I131,IFERROR(TIMEVALUE($I131),VALUE($I131))),1)*1440,0))),""))</f>
        <v/>
      </c>
      <c r="X131" s="55" t="str">
        <f aca="false">IF($P131="","",IFERROR(IF(ISNUMBER($P131),IF($P131&gt;19000000,DATE(INT($P131/10000),MOD(INT($P131/100),100),MOD($P131,100)),INT($P131)),IF(LEN(SUBSTITUTE(SUBSTITUTE(SUBSTITUTE(TRIM($P131),"-",""),".",""),"/",""))=8,DATE(VALUE(LEFT(SUBSTITUTE(SUBSTITUTE(SUBSTITUTE(TRIM($P131),"-",""),".",""),"/",""),4)),VALUE(MID(SUBSTITUTE(SUBSTITUTE(SUBSTITUTE(TRIM($P131),"-",""),".",""),"/",""),5,2)),VALUE(RIGHT(SUBSTITUTE(SUBSTITUTE(SUBSTITUTE(TRIM($P131),"-",""),".",""),"/",""),2))),DATEVALUE($P131))),""))</f>
        <v/>
      </c>
      <c r="Y131" s="56" t="str">
        <f aca="false">IF($M131="","",IFERROR(INDEX(강사DB!$D$4:$D$53,MATCH($M131,강사DB!$A$4:$A$53,0)),""))</f>
        <v/>
      </c>
      <c r="Z131" s="56" t="str">
        <f aca="false">IF($B131&lt;&gt;"결제완료","",IF(OR($Y131="",$J131=""),"",$Y131*$J131+MAX(0,N($K131)-1)*설정!$J$7))</f>
        <v/>
      </c>
      <c r="AA131" s="56" t="str">
        <f aca="false">IF(AND($D131&lt;&gt;"",$B131="결제완료"),N($N131),"")</f>
        <v/>
      </c>
      <c r="AB131" s="45" t="str">
        <f aca="false">IF($D131="","",IF($F131&lt;&gt;"",$F131,$D131)&amp;IF($B131="상담중"," (상담)",""))</f>
        <v/>
      </c>
      <c r="AC131" s="45" t="n">
        <f aca="false">IF(AND($D131&lt;&gt;"",OR($B131="결제완료",$B131="상담중")),1,0)</f>
        <v>0</v>
      </c>
      <c r="AD131" s="45" t="n">
        <f aca="false">IF(OR($Z131="",$U131=""),0,IFERROR(IF(COUNTIFS(INDEX(g_grid,0,2*MATCH($M131,강사DB!$A$4:$A$15,0)),"&lt;&gt;",g_s,"&lt;="&amp;$U131,g_e,"&gt;="&amp;$U131)&gt;0,1,0),0))</f>
        <v>0</v>
      </c>
      <c r="AE131" s="48"/>
      <c r="AF131" s="56" t="str">
        <f aca="false">IF(AND($D131&lt;&gt;"",$B131="결제완료",$T131="대여"),설정!$J$5,"")</f>
        <v/>
      </c>
      <c r="AG131" s="54" t="str">
        <f aca="false">IF($D131="","",IF(AND($E131="",$R131=""),$AB131,"☎ "&amp;IF($E131="","-",$E131)&amp;IF($R131&lt;&gt;"","  ※ "&amp;$R131,"")&amp;IF($B131="상담중"," (상담)","")))</f>
        <v/>
      </c>
      <c r="AH131" s="56" t="str">
        <f aca="false">IF(AND($D131&lt;&gt;"",$B131="결제완료",$O131="스마트스토어"),ROUND(N($N131)*설정!$J$6,0),"")</f>
        <v/>
      </c>
      <c r="AI131" s="54" t="str">
        <f aca="false">IF($D131="","",ROW())</f>
        <v/>
      </c>
      <c r="AJ131" s="54" t="n">
        <f aca="false">IF(OR($AC131&lt;&gt;1,$M131=""),0,IF(ISNUMBER(SEARCH("퇴사",IFERROR(INDEX(강사DB!$G$4:$G$53,MATCH($M131,강사DB!$A$4:$A$53,0)),""))),1,0))</f>
        <v>0</v>
      </c>
    </row>
    <row r="132" customFormat="false" ht="15" hidden="false" customHeight="false" outlineLevel="0" collapsed="false">
      <c r="A132" s="45" t="str">
        <f aca="false">IF($D132="","",COUNTA($D$5:$D132))</f>
        <v/>
      </c>
      <c r="B132" s="46"/>
      <c r="C132" s="47"/>
      <c r="D132" s="48"/>
      <c r="E132" s="48"/>
      <c r="F132" s="49"/>
      <c r="G132" s="47"/>
      <c r="H132" s="50"/>
      <c r="I132" s="50"/>
      <c r="J132" s="51" t="str">
        <f aca="false">IF(OR($V132="",$W132=""),"",ROUND(($W132-$V132)/60,2))</f>
        <v/>
      </c>
      <c r="K132" s="52" t="str">
        <f aca="false">IF($F132="","",LEN($F132)-LEN(SUBSTITUTE($F132,",",""))+1)</f>
        <v/>
      </c>
      <c r="L132" s="45" t="str">
        <f aca="false">IF($K132="","","1:"&amp;$K132)</f>
        <v/>
      </c>
      <c r="M132" s="46"/>
      <c r="N132" s="53"/>
      <c r="O132" s="46"/>
      <c r="P132" s="47"/>
      <c r="Q132" s="48"/>
      <c r="R132" s="49"/>
      <c r="S132" s="54" t="str">
        <f aca="false">IF(OR($AC132=0,$U132="",$M132="",$V132="",$W132=""),"",IF(COUNTIFS(m_teacher,$M132,m_date,$U132,m_active,1,m_start,"&lt;"&amp;$W132,m_end,"&gt;"&amp;$V132)&gt;1,"충돌",""))</f>
        <v/>
      </c>
      <c r="T132" s="48"/>
      <c r="U132" s="55" t="str">
        <f aca="false">IF($G132="","",IFERROR(IF(ISNUMBER($G132),IF($G132&gt;19000000,DATE(INT($G132/10000),MOD(INT($G132/100),100),MOD($G132,100)),INT($G132)),IF(LEN(SUBSTITUTE(SUBSTITUTE(SUBSTITUTE(TRIM($G132),"-",""),".",""),"/",""))=8,DATE(VALUE(LEFT(SUBSTITUTE(SUBSTITUTE(SUBSTITUTE(TRIM($G132),"-",""),".",""),"/",""),4)),VALUE(MID(SUBSTITUTE(SUBSTITUTE(SUBSTITUTE(TRIM($G132),"-",""),".",""),"/",""),5,2)),VALUE(RIGHT(SUBSTITUTE(SUBSTITUTE(SUBSTITUTE(TRIM($G132),"-",""),".",""),"/",""),2))),DATEVALUE($G132))),""))</f>
        <v/>
      </c>
      <c r="V132" s="52" t="str">
        <f aca="false">IF($H132="","",IFERROR(IF(IF(ISNUMBER($H132),$H132,IFERROR(TIMEVALUE($H132),VALUE($H132)))&gt;=100,INT(IF(ISNUMBER($H132),$H132,IFERROR(TIMEVALUE($H132),VALUE($H132)))/100)*60+MOD(IF(ISNUMBER($H132),$H132,IFERROR(TIMEVALUE($H132),VALUE($H132))),100),IF(IF(ISNUMBER($H132),$H132,IFERROR(TIMEVALUE($H132),VALUE($H132)))&gt;=1,ROUND(IF(ISNUMBER($H132),$H132,IFERROR(TIMEVALUE($H132),VALUE($H132)))*60,0),ROUND(MOD(IF(ISNUMBER($H132),$H132,IFERROR(TIMEVALUE($H132),VALUE($H132))),1)*1440,0))),""))</f>
        <v/>
      </c>
      <c r="W132" s="52" t="str">
        <f aca="false">IF($I132="","",IFERROR(IF(IF(ISNUMBER($I132),$I132,IFERROR(TIMEVALUE($I132),VALUE($I132)))&gt;=100,INT(IF(ISNUMBER($I132),$I132,IFERROR(TIMEVALUE($I132),VALUE($I132)))/100)*60+MOD(IF(ISNUMBER($I132),$I132,IFERROR(TIMEVALUE($I132),VALUE($I132))),100),IF(IF(ISNUMBER($I132),$I132,IFERROR(TIMEVALUE($I132),VALUE($I132)))&gt;=1,ROUND(IF(ISNUMBER($I132),$I132,IFERROR(TIMEVALUE($I132),VALUE($I132)))*60,0),ROUND(MOD(IF(ISNUMBER($I132),$I132,IFERROR(TIMEVALUE($I132),VALUE($I132))),1)*1440,0))),""))</f>
        <v/>
      </c>
      <c r="X132" s="55" t="str">
        <f aca="false">IF($P132="","",IFERROR(IF(ISNUMBER($P132),IF($P132&gt;19000000,DATE(INT($P132/10000),MOD(INT($P132/100),100),MOD($P132,100)),INT($P132)),IF(LEN(SUBSTITUTE(SUBSTITUTE(SUBSTITUTE(TRIM($P132),"-",""),".",""),"/",""))=8,DATE(VALUE(LEFT(SUBSTITUTE(SUBSTITUTE(SUBSTITUTE(TRIM($P132),"-",""),".",""),"/",""),4)),VALUE(MID(SUBSTITUTE(SUBSTITUTE(SUBSTITUTE(TRIM($P132),"-",""),".",""),"/",""),5,2)),VALUE(RIGHT(SUBSTITUTE(SUBSTITUTE(SUBSTITUTE(TRIM($P132),"-",""),".",""),"/",""),2))),DATEVALUE($P132))),""))</f>
        <v/>
      </c>
      <c r="Y132" s="56" t="str">
        <f aca="false">IF($M132="","",IFERROR(INDEX(강사DB!$D$4:$D$53,MATCH($M132,강사DB!$A$4:$A$53,0)),""))</f>
        <v/>
      </c>
      <c r="Z132" s="56" t="str">
        <f aca="false">IF($B132&lt;&gt;"결제완료","",IF(OR($Y132="",$J132=""),"",$Y132*$J132+MAX(0,N($K132)-1)*설정!$J$7))</f>
        <v/>
      </c>
      <c r="AA132" s="56" t="str">
        <f aca="false">IF(AND($D132&lt;&gt;"",$B132="결제완료"),N($N132),"")</f>
        <v/>
      </c>
      <c r="AB132" s="45" t="str">
        <f aca="false">IF($D132="","",IF($F132&lt;&gt;"",$F132,$D132)&amp;IF($B132="상담중"," (상담)",""))</f>
        <v/>
      </c>
      <c r="AC132" s="45" t="n">
        <f aca="false">IF(AND($D132&lt;&gt;"",OR($B132="결제완료",$B132="상담중")),1,0)</f>
        <v>0</v>
      </c>
      <c r="AD132" s="45" t="n">
        <f aca="false">IF(OR($Z132="",$U132=""),0,IFERROR(IF(COUNTIFS(INDEX(g_grid,0,2*MATCH($M132,강사DB!$A$4:$A$15,0)),"&lt;&gt;",g_s,"&lt;="&amp;$U132,g_e,"&gt;="&amp;$U132)&gt;0,1,0),0))</f>
        <v>0</v>
      </c>
      <c r="AE132" s="48"/>
      <c r="AF132" s="56" t="str">
        <f aca="false">IF(AND($D132&lt;&gt;"",$B132="결제완료",$T132="대여"),설정!$J$5,"")</f>
        <v/>
      </c>
      <c r="AG132" s="54" t="str">
        <f aca="false">IF($D132="","",IF(AND($E132="",$R132=""),$AB132,"☎ "&amp;IF($E132="","-",$E132)&amp;IF($R132&lt;&gt;"","  ※ "&amp;$R132,"")&amp;IF($B132="상담중"," (상담)","")))</f>
        <v/>
      </c>
      <c r="AH132" s="56" t="str">
        <f aca="false">IF(AND($D132&lt;&gt;"",$B132="결제완료",$O132="스마트스토어"),ROUND(N($N132)*설정!$J$6,0),"")</f>
        <v/>
      </c>
      <c r="AI132" s="54" t="str">
        <f aca="false">IF($D132="","",ROW())</f>
        <v/>
      </c>
      <c r="AJ132" s="54" t="n">
        <f aca="false">IF(OR($AC132&lt;&gt;1,$M132=""),0,IF(ISNUMBER(SEARCH("퇴사",IFERROR(INDEX(강사DB!$G$4:$G$53,MATCH($M132,강사DB!$A$4:$A$53,0)),""))),1,0))</f>
        <v>0</v>
      </c>
    </row>
    <row r="133" customFormat="false" ht="15" hidden="false" customHeight="false" outlineLevel="0" collapsed="false">
      <c r="A133" s="45" t="str">
        <f aca="false">IF($D133="","",COUNTA($D$5:$D133))</f>
        <v/>
      </c>
      <c r="B133" s="46"/>
      <c r="C133" s="47"/>
      <c r="D133" s="48"/>
      <c r="E133" s="48"/>
      <c r="F133" s="49"/>
      <c r="G133" s="47"/>
      <c r="H133" s="50"/>
      <c r="I133" s="50"/>
      <c r="J133" s="51" t="str">
        <f aca="false">IF(OR($V133="",$W133=""),"",ROUND(($W133-$V133)/60,2))</f>
        <v/>
      </c>
      <c r="K133" s="52" t="str">
        <f aca="false">IF($F133="","",LEN($F133)-LEN(SUBSTITUTE($F133,",",""))+1)</f>
        <v/>
      </c>
      <c r="L133" s="45" t="str">
        <f aca="false">IF($K133="","","1:"&amp;$K133)</f>
        <v/>
      </c>
      <c r="M133" s="46"/>
      <c r="N133" s="53"/>
      <c r="O133" s="46"/>
      <c r="P133" s="47"/>
      <c r="Q133" s="48"/>
      <c r="R133" s="49"/>
      <c r="S133" s="54" t="str">
        <f aca="false">IF(OR($AC133=0,$U133="",$M133="",$V133="",$W133=""),"",IF(COUNTIFS(m_teacher,$M133,m_date,$U133,m_active,1,m_start,"&lt;"&amp;$W133,m_end,"&gt;"&amp;$V133)&gt;1,"충돌",""))</f>
        <v/>
      </c>
      <c r="T133" s="48"/>
      <c r="U133" s="55" t="str">
        <f aca="false">IF($G133="","",IFERROR(IF(ISNUMBER($G133),IF($G133&gt;19000000,DATE(INT($G133/10000),MOD(INT($G133/100),100),MOD($G133,100)),INT($G133)),IF(LEN(SUBSTITUTE(SUBSTITUTE(SUBSTITUTE(TRIM($G133),"-",""),".",""),"/",""))=8,DATE(VALUE(LEFT(SUBSTITUTE(SUBSTITUTE(SUBSTITUTE(TRIM($G133),"-",""),".",""),"/",""),4)),VALUE(MID(SUBSTITUTE(SUBSTITUTE(SUBSTITUTE(TRIM($G133),"-",""),".",""),"/",""),5,2)),VALUE(RIGHT(SUBSTITUTE(SUBSTITUTE(SUBSTITUTE(TRIM($G133),"-",""),".",""),"/",""),2))),DATEVALUE($G133))),""))</f>
        <v/>
      </c>
      <c r="V133" s="52" t="str">
        <f aca="false">IF($H133="","",IFERROR(IF(IF(ISNUMBER($H133),$H133,IFERROR(TIMEVALUE($H133),VALUE($H133)))&gt;=100,INT(IF(ISNUMBER($H133),$H133,IFERROR(TIMEVALUE($H133),VALUE($H133)))/100)*60+MOD(IF(ISNUMBER($H133),$H133,IFERROR(TIMEVALUE($H133),VALUE($H133))),100),IF(IF(ISNUMBER($H133),$H133,IFERROR(TIMEVALUE($H133),VALUE($H133)))&gt;=1,ROUND(IF(ISNUMBER($H133),$H133,IFERROR(TIMEVALUE($H133),VALUE($H133)))*60,0),ROUND(MOD(IF(ISNUMBER($H133),$H133,IFERROR(TIMEVALUE($H133),VALUE($H133))),1)*1440,0))),""))</f>
        <v/>
      </c>
      <c r="W133" s="52" t="str">
        <f aca="false">IF($I133="","",IFERROR(IF(IF(ISNUMBER($I133),$I133,IFERROR(TIMEVALUE($I133),VALUE($I133)))&gt;=100,INT(IF(ISNUMBER($I133),$I133,IFERROR(TIMEVALUE($I133),VALUE($I133)))/100)*60+MOD(IF(ISNUMBER($I133),$I133,IFERROR(TIMEVALUE($I133),VALUE($I133))),100),IF(IF(ISNUMBER($I133),$I133,IFERROR(TIMEVALUE($I133),VALUE($I133)))&gt;=1,ROUND(IF(ISNUMBER($I133),$I133,IFERROR(TIMEVALUE($I133),VALUE($I133)))*60,0),ROUND(MOD(IF(ISNUMBER($I133),$I133,IFERROR(TIMEVALUE($I133),VALUE($I133))),1)*1440,0))),""))</f>
        <v/>
      </c>
      <c r="X133" s="55" t="str">
        <f aca="false">IF($P133="","",IFERROR(IF(ISNUMBER($P133),IF($P133&gt;19000000,DATE(INT($P133/10000),MOD(INT($P133/100),100),MOD($P133,100)),INT($P133)),IF(LEN(SUBSTITUTE(SUBSTITUTE(SUBSTITUTE(TRIM($P133),"-",""),".",""),"/",""))=8,DATE(VALUE(LEFT(SUBSTITUTE(SUBSTITUTE(SUBSTITUTE(TRIM($P133),"-",""),".",""),"/",""),4)),VALUE(MID(SUBSTITUTE(SUBSTITUTE(SUBSTITUTE(TRIM($P133),"-",""),".",""),"/",""),5,2)),VALUE(RIGHT(SUBSTITUTE(SUBSTITUTE(SUBSTITUTE(TRIM($P133),"-",""),".",""),"/",""),2))),DATEVALUE($P133))),""))</f>
        <v/>
      </c>
      <c r="Y133" s="56" t="str">
        <f aca="false">IF($M133="","",IFERROR(INDEX(강사DB!$D$4:$D$53,MATCH($M133,강사DB!$A$4:$A$53,0)),""))</f>
        <v/>
      </c>
      <c r="Z133" s="56" t="str">
        <f aca="false">IF($B133&lt;&gt;"결제완료","",IF(OR($Y133="",$J133=""),"",$Y133*$J133+MAX(0,N($K133)-1)*설정!$J$7))</f>
        <v/>
      </c>
      <c r="AA133" s="56" t="str">
        <f aca="false">IF(AND($D133&lt;&gt;"",$B133="결제완료"),N($N133),"")</f>
        <v/>
      </c>
      <c r="AB133" s="45" t="str">
        <f aca="false">IF($D133="","",IF($F133&lt;&gt;"",$F133,$D133)&amp;IF($B133="상담중"," (상담)",""))</f>
        <v/>
      </c>
      <c r="AC133" s="45" t="n">
        <f aca="false">IF(AND($D133&lt;&gt;"",OR($B133="결제완료",$B133="상담중")),1,0)</f>
        <v>0</v>
      </c>
      <c r="AD133" s="45" t="n">
        <f aca="false">IF(OR($Z133="",$U133=""),0,IFERROR(IF(COUNTIFS(INDEX(g_grid,0,2*MATCH($M133,강사DB!$A$4:$A$15,0)),"&lt;&gt;",g_s,"&lt;="&amp;$U133,g_e,"&gt;="&amp;$U133)&gt;0,1,0),0))</f>
        <v>0</v>
      </c>
      <c r="AE133" s="48"/>
      <c r="AF133" s="56" t="str">
        <f aca="false">IF(AND($D133&lt;&gt;"",$B133="결제완료",$T133="대여"),설정!$J$5,"")</f>
        <v/>
      </c>
      <c r="AG133" s="54" t="str">
        <f aca="false">IF($D133="","",IF(AND($E133="",$R133=""),$AB133,"☎ "&amp;IF($E133="","-",$E133)&amp;IF($R133&lt;&gt;"","  ※ "&amp;$R133,"")&amp;IF($B133="상담중"," (상담)","")))</f>
        <v/>
      </c>
      <c r="AH133" s="56" t="str">
        <f aca="false">IF(AND($D133&lt;&gt;"",$B133="결제완료",$O133="스마트스토어"),ROUND(N($N133)*설정!$J$6,0),"")</f>
        <v/>
      </c>
      <c r="AI133" s="54" t="str">
        <f aca="false">IF($D133="","",ROW())</f>
        <v/>
      </c>
      <c r="AJ133" s="54" t="n">
        <f aca="false">IF(OR($AC133&lt;&gt;1,$M133=""),0,IF(ISNUMBER(SEARCH("퇴사",IFERROR(INDEX(강사DB!$G$4:$G$53,MATCH($M133,강사DB!$A$4:$A$53,0)),""))),1,0))</f>
        <v>0</v>
      </c>
    </row>
    <row r="134" customFormat="false" ht="15" hidden="false" customHeight="false" outlineLevel="0" collapsed="false">
      <c r="A134" s="45" t="str">
        <f aca="false">IF($D134="","",COUNTA($D$5:$D134))</f>
        <v/>
      </c>
      <c r="B134" s="46"/>
      <c r="C134" s="47"/>
      <c r="D134" s="48"/>
      <c r="E134" s="48"/>
      <c r="F134" s="49"/>
      <c r="G134" s="47"/>
      <c r="H134" s="50"/>
      <c r="I134" s="50"/>
      <c r="J134" s="51" t="str">
        <f aca="false">IF(OR($V134="",$W134=""),"",ROUND(($W134-$V134)/60,2))</f>
        <v/>
      </c>
      <c r="K134" s="52" t="str">
        <f aca="false">IF($F134="","",LEN($F134)-LEN(SUBSTITUTE($F134,",",""))+1)</f>
        <v/>
      </c>
      <c r="L134" s="45" t="str">
        <f aca="false">IF($K134="","","1:"&amp;$K134)</f>
        <v/>
      </c>
      <c r="M134" s="46"/>
      <c r="N134" s="53"/>
      <c r="O134" s="46"/>
      <c r="P134" s="47"/>
      <c r="Q134" s="48"/>
      <c r="R134" s="49"/>
      <c r="S134" s="54" t="str">
        <f aca="false">IF(OR($AC134=0,$U134="",$M134="",$V134="",$W134=""),"",IF(COUNTIFS(m_teacher,$M134,m_date,$U134,m_active,1,m_start,"&lt;"&amp;$W134,m_end,"&gt;"&amp;$V134)&gt;1,"충돌",""))</f>
        <v/>
      </c>
      <c r="T134" s="48"/>
      <c r="U134" s="55" t="str">
        <f aca="false">IF($G134="","",IFERROR(IF(ISNUMBER($G134),IF($G134&gt;19000000,DATE(INT($G134/10000),MOD(INT($G134/100),100),MOD($G134,100)),INT($G134)),IF(LEN(SUBSTITUTE(SUBSTITUTE(SUBSTITUTE(TRIM($G134),"-",""),".",""),"/",""))=8,DATE(VALUE(LEFT(SUBSTITUTE(SUBSTITUTE(SUBSTITUTE(TRIM($G134),"-",""),".",""),"/",""),4)),VALUE(MID(SUBSTITUTE(SUBSTITUTE(SUBSTITUTE(TRIM($G134),"-",""),".",""),"/",""),5,2)),VALUE(RIGHT(SUBSTITUTE(SUBSTITUTE(SUBSTITUTE(TRIM($G134),"-",""),".",""),"/",""),2))),DATEVALUE($G134))),""))</f>
        <v/>
      </c>
      <c r="V134" s="52" t="str">
        <f aca="false">IF($H134="","",IFERROR(IF(IF(ISNUMBER($H134),$H134,IFERROR(TIMEVALUE($H134),VALUE($H134)))&gt;=100,INT(IF(ISNUMBER($H134),$H134,IFERROR(TIMEVALUE($H134),VALUE($H134)))/100)*60+MOD(IF(ISNUMBER($H134),$H134,IFERROR(TIMEVALUE($H134),VALUE($H134))),100),IF(IF(ISNUMBER($H134),$H134,IFERROR(TIMEVALUE($H134),VALUE($H134)))&gt;=1,ROUND(IF(ISNUMBER($H134),$H134,IFERROR(TIMEVALUE($H134),VALUE($H134)))*60,0),ROUND(MOD(IF(ISNUMBER($H134),$H134,IFERROR(TIMEVALUE($H134),VALUE($H134))),1)*1440,0))),""))</f>
        <v/>
      </c>
      <c r="W134" s="52" t="str">
        <f aca="false">IF($I134="","",IFERROR(IF(IF(ISNUMBER($I134),$I134,IFERROR(TIMEVALUE($I134),VALUE($I134)))&gt;=100,INT(IF(ISNUMBER($I134),$I134,IFERROR(TIMEVALUE($I134),VALUE($I134)))/100)*60+MOD(IF(ISNUMBER($I134),$I134,IFERROR(TIMEVALUE($I134),VALUE($I134))),100),IF(IF(ISNUMBER($I134),$I134,IFERROR(TIMEVALUE($I134),VALUE($I134)))&gt;=1,ROUND(IF(ISNUMBER($I134),$I134,IFERROR(TIMEVALUE($I134),VALUE($I134)))*60,0),ROUND(MOD(IF(ISNUMBER($I134),$I134,IFERROR(TIMEVALUE($I134),VALUE($I134))),1)*1440,0))),""))</f>
        <v/>
      </c>
      <c r="X134" s="55" t="str">
        <f aca="false">IF($P134="","",IFERROR(IF(ISNUMBER($P134),IF($P134&gt;19000000,DATE(INT($P134/10000),MOD(INT($P134/100),100),MOD($P134,100)),INT($P134)),IF(LEN(SUBSTITUTE(SUBSTITUTE(SUBSTITUTE(TRIM($P134),"-",""),".",""),"/",""))=8,DATE(VALUE(LEFT(SUBSTITUTE(SUBSTITUTE(SUBSTITUTE(TRIM($P134),"-",""),".",""),"/",""),4)),VALUE(MID(SUBSTITUTE(SUBSTITUTE(SUBSTITUTE(TRIM($P134),"-",""),".",""),"/",""),5,2)),VALUE(RIGHT(SUBSTITUTE(SUBSTITUTE(SUBSTITUTE(TRIM($P134),"-",""),".",""),"/",""),2))),DATEVALUE($P134))),""))</f>
        <v/>
      </c>
      <c r="Y134" s="56" t="str">
        <f aca="false">IF($M134="","",IFERROR(INDEX(강사DB!$D$4:$D$53,MATCH($M134,강사DB!$A$4:$A$53,0)),""))</f>
        <v/>
      </c>
      <c r="Z134" s="56" t="str">
        <f aca="false">IF($B134&lt;&gt;"결제완료","",IF(OR($Y134="",$J134=""),"",$Y134*$J134+MAX(0,N($K134)-1)*설정!$J$7))</f>
        <v/>
      </c>
      <c r="AA134" s="56" t="str">
        <f aca="false">IF(AND($D134&lt;&gt;"",$B134="결제완료"),N($N134),"")</f>
        <v/>
      </c>
      <c r="AB134" s="45" t="str">
        <f aca="false">IF($D134="","",IF($F134&lt;&gt;"",$F134,$D134)&amp;IF($B134="상담중"," (상담)",""))</f>
        <v/>
      </c>
      <c r="AC134" s="45" t="n">
        <f aca="false">IF(AND($D134&lt;&gt;"",OR($B134="결제완료",$B134="상담중")),1,0)</f>
        <v>0</v>
      </c>
      <c r="AD134" s="45" t="n">
        <f aca="false">IF(OR($Z134="",$U134=""),0,IFERROR(IF(COUNTIFS(INDEX(g_grid,0,2*MATCH($M134,강사DB!$A$4:$A$15,0)),"&lt;&gt;",g_s,"&lt;="&amp;$U134,g_e,"&gt;="&amp;$U134)&gt;0,1,0),0))</f>
        <v>0</v>
      </c>
      <c r="AE134" s="48"/>
      <c r="AF134" s="56" t="str">
        <f aca="false">IF(AND($D134&lt;&gt;"",$B134="결제완료",$T134="대여"),설정!$J$5,"")</f>
        <v/>
      </c>
      <c r="AG134" s="54" t="str">
        <f aca="false">IF($D134="","",IF(AND($E134="",$R134=""),$AB134,"☎ "&amp;IF($E134="","-",$E134)&amp;IF($R134&lt;&gt;"","  ※ "&amp;$R134,"")&amp;IF($B134="상담중"," (상담)","")))</f>
        <v/>
      </c>
      <c r="AH134" s="56" t="str">
        <f aca="false">IF(AND($D134&lt;&gt;"",$B134="결제완료",$O134="스마트스토어"),ROUND(N($N134)*설정!$J$6,0),"")</f>
        <v/>
      </c>
      <c r="AI134" s="54" t="str">
        <f aca="false">IF($D134="","",ROW())</f>
        <v/>
      </c>
      <c r="AJ134" s="54" t="n">
        <f aca="false">IF(OR($AC134&lt;&gt;1,$M134=""),0,IF(ISNUMBER(SEARCH("퇴사",IFERROR(INDEX(강사DB!$G$4:$G$53,MATCH($M134,강사DB!$A$4:$A$53,0)),""))),1,0))</f>
        <v>0</v>
      </c>
    </row>
    <row r="135" customFormat="false" ht="15" hidden="false" customHeight="false" outlineLevel="0" collapsed="false">
      <c r="A135" s="45" t="str">
        <f aca="false">IF($D135="","",COUNTA($D$5:$D135))</f>
        <v/>
      </c>
      <c r="B135" s="46"/>
      <c r="C135" s="47"/>
      <c r="D135" s="48"/>
      <c r="E135" s="48"/>
      <c r="F135" s="49"/>
      <c r="G135" s="47"/>
      <c r="H135" s="50"/>
      <c r="I135" s="50"/>
      <c r="J135" s="51" t="str">
        <f aca="false">IF(OR($V135="",$W135=""),"",ROUND(($W135-$V135)/60,2))</f>
        <v/>
      </c>
      <c r="K135" s="52" t="str">
        <f aca="false">IF($F135="","",LEN($F135)-LEN(SUBSTITUTE($F135,",",""))+1)</f>
        <v/>
      </c>
      <c r="L135" s="45" t="str">
        <f aca="false">IF($K135="","","1:"&amp;$K135)</f>
        <v/>
      </c>
      <c r="M135" s="46"/>
      <c r="N135" s="53"/>
      <c r="O135" s="46"/>
      <c r="P135" s="47"/>
      <c r="Q135" s="48"/>
      <c r="R135" s="49"/>
      <c r="S135" s="54" t="str">
        <f aca="false">IF(OR($AC135=0,$U135="",$M135="",$V135="",$W135=""),"",IF(COUNTIFS(m_teacher,$M135,m_date,$U135,m_active,1,m_start,"&lt;"&amp;$W135,m_end,"&gt;"&amp;$V135)&gt;1,"충돌",""))</f>
        <v/>
      </c>
      <c r="T135" s="48"/>
      <c r="U135" s="55" t="str">
        <f aca="false">IF($G135="","",IFERROR(IF(ISNUMBER($G135),IF($G135&gt;19000000,DATE(INT($G135/10000),MOD(INT($G135/100),100),MOD($G135,100)),INT($G135)),IF(LEN(SUBSTITUTE(SUBSTITUTE(SUBSTITUTE(TRIM($G135),"-",""),".",""),"/",""))=8,DATE(VALUE(LEFT(SUBSTITUTE(SUBSTITUTE(SUBSTITUTE(TRIM($G135),"-",""),".",""),"/",""),4)),VALUE(MID(SUBSTITUTE(SUBSTITUTE(SUBSTITUTE(TRIM($G135),"-",""),".",""),"/",""),5,2)),VALUE(RIGHT(SUBSTITUTE(SUBSTITUTE(SUBSTITUTE(TRIM($G135),"-",""),".",""),"/",""),2))),DATEVALUE($G135))),""))</f>
        <v/>
      </c>
      <c r="V135" s="52" t="str">
        <f aca="false">IF($H135="","",IFERROR(IF(IF(ISNUMBER($H135),$H135,IFERROR(TIMEVALUE($H135),VALUE($H135)))&gt;=100,INT(IF(ISNUMBER($H135),$H135,IFERROR(TIMEVALUE($H135),VALUE($H135)))/100)*60+MOD(IF(ISNUMBER($H135),$H135,IFERROR(TIMEVALUE($H135),VALUE($H135))),100),IF(IF(ISNUMBER($H135),$H135,IFERROR(TIMEVALUE($H135),VALUE($H135)))&gt;=1,ROUND(IF(ISNUMBER($H135),$H135,IFERROR(TIMEVALUE($H135),VALUE($H135)))*60,0),ROUND(MOD(IF(ISNUMBER($H135),$H135,IFERROR(TIMEVALUE($H135),VALUE($H135))),1)*1440,0))),""))</f>
        <v/>
      </c>
      <c r="W135" s="52" t="str">
        <f aca="false">IF($I135="","",IFERROR(IF(IF(ISNUMBER($I135),$I135,IFERROR(TIMEVALUE($I135),VALUE($I135)))&gt;=100,INT(IF(ISNUMBER($I135),$I135,IFERROR(TIMEVALUE($I135),VALUE($I135)))/100)*60+MOD(IF(ISNUMBER($I135),$I135,IFERROR(TIMEVALUE($I135),VALUE($I135))),100),IF(IF(ISNUMBER($I135),$I135,IFERROR(TIMEVALUE($I135),VALUE($I135)))&gt;=1,ROUND(IF(ISNUMBER($I135),$I135,IFERROR(TIMEVALUE($I135),VALUE($I135)))*60,0),ROUND(MOD(IF(ISNUMBER($I135),$I135,IFERROR(TIMEVALUE($I135),VALUE($I135))),1)*1440,0))),""))</f>
        <v/>
      </c>
      <c r="X135" s="55" t="str">
        <f aca="false">IF($P135="","",IFERROR(IF(ISNUMBER($P135),IF($P135&gt;19000000,DATE(INT($P135/10000),MOD(INT($P135/100),100),MOD($P135,100)),INT($P135)),IF(LEN(SUBSTITUTE(SUBSTITUTE(SUBSTITUTE(TRIM($P135),"-",""),".",""),"/",""))=8,DATE(VALUE(LEFT(SUBSTITUTE(SUBSTITUTE(SUBSTITUTE(TRIM($P135),"-",""),".",""),"/",""),4)),VALUE(MID(SUBSTITUTE(SUBSTITUTE(SUBSTITUTE(TRIM($P135),"-",""),".",""),"/",""),5,2)),VALUE(RIGHT(SUBSTITUTE(SUBSTITUTE(SUBSTITUTE(TRIM($P135),"-",""),".",""),"/",""),2))),DATEVALUE($P135))),""))</f>
        <v/>
      </c>
      <c r="Y135" s="56" t="str">
        <f aca="false">IF($M135="","",IFERROR(INDEX(강사DB!$D$4:$D$53,MATCH($M135,강사DB!$A$4:$A$53,0)),""))</f>
        <v/>
      </c>
      <c r="Z135" s="56" t="str">
        <f aca="false">IF($B135&lt;&gt;"결제완료","",IF(OR($Y135="",$J135=""),"",$Y135*$J135+MAX(0,N($K135)-1)*설정!$J$7))</f>
        <v/>
      </c>
      <c r="AA135" s="56" t="str">
        <f aca="false">IF(AND($D135&lt;&gt;"",$B135="결제완료"),N($N135),"")</f>
        <v/>
      </c>
      <c r="AB135" s="45" t="str">
        <f aca="false">IF($D135="","",IF($F135&lt;&gt;"",$F135,$D135)&amp;IF($B135="상담중"," (상담)",""))</f>
        <v/>
      </c>
      <c r="AC135" s="45" t="n">
        <f aca="false">IF(AND($D135&lt;&gt;"",OR($B135="결제완료",$B135="상담중")),1,0)</f>
        <v>0</v>
      </c>
      <c r="AD135" s="45" t="n">
        <f aca="false">IF(OR($Z135="",$U135=""),0,IFERROR(IF(COUNTIFS(INDEX(g_grid,0,2*MATCH($M135,강사DB!$A$4:$A$15,0)),"&lt;&gt;",g_s,"&lt;="&amp;$U135,g_e,"&gt;="&amp;$U135)&gt;0,1,0),0))</f>
        <v>0</v>
      </c>
      <c r="AE135" s="48"/>
      <c r="AF135" s="56" t="str">
        <f aca="false">IF(AND($D135&lt;&gt;"",$B135="결제완료",$T135="대여"),설정!$J$5,"")</f>
        <v/>
      </c>
      <c r="AG135" s="54" t="str">
        <f aca="false">IF($D135="","",IF(AND($E135="",$R135=""),$AB135,"☎ "&amp;IF($E135="","-",$E135)&amp;IF($R135&lt;&gt;"","  ※ "&amp;$R135,"")&amp;IF($B135="상담중"," (상담)","")))</f>
        <v/>
      </c>
      <c r="AH135" s="56" t="str">
        <f aca="false">IF(AND($D135&lt;&gt;"",$B135="결제완료",$O135="스마트스토어"),ROUND(N($N135)*설정!$J$6,0),"")</f>
        <v/>
      </c>
      <c r="AI135" s="54" t="str">
        <f aca="false">IF($D135="","",ROW())</f>
        <v/>
      </c>
      <c r="AJ135" s="54" t="n">
        <f aca="false">IF(OR($AC135&lt;&gt;1,$M135=""),0,IF(ISNUMBER(SEARCH("퇴사",IFERROR(INDEX(강사DB!$G$4:$G$53,MATCH($M135,강사DB!$A$4:$A$53,0)),""))),1,0))</f>
        <v>0</v>
      </c>
    </row>
    <row r="136" customFormat="false" ht="15" hidden="false" customHeight="false" outlineLevel="0" collapsed="false">
      <c r="A136" s="45" t="str">
        <f aca="false">IF($D136="","",COUNTA($D$5:$D136))</f>
        <v/>
      </c>
      <c r="B136" s="46"/>
      <c r="C136" s="47"/>
      <c r="D136" s="48"/>
      <c r="E136" s="48"/>
      <c r="F136" s="49"/>
      <c r="G136" s="47"/>
      <c r="H136" s="50"/>
      <c r="I136" s="50"/>
      <c r="J136" s="51" t="str">
        <f aca="false">IF(OR($V136="",$W136=""),"",ROUND(($W136-$V136)/60,2))</f>
        <v/>
      </c>
      <c r="K136" s="52" t="str">
        <f aca="false">IF($F136="","",LEN($F136)-LEN(SUBSTITUTE($F136,",",""))+1)</f>
        <v/>
      </c>
      <c r="L136" s="45" t="str">
        <f aca="false">IF($K136="","","1:"&amp;$K136)</f>
        <v/>
      </c>
      <c r="M136" s="46"/>
      <c r="N136" s="53"/>
      <c r="O136" s="46"/>
      <c r="P136" s="47"/>
      <c r="Q136" s="48"/>
      <c r="R136" s="49"/>
      <c r="S136" s="54" t="str">
        <f aca="false">IF(OR($AC136=0,$U136="",$M136="",$V136="",$W136=""),"",IF(COUNTIFS(m_teacher,$M136,m_date,$U136,m_active,1,m_start,"&lt;"&amp;$W136,m_end,"&gt;"&amp;$V136)&gt;1,"충돌",""))</f>
        <v/>
      </c>
      <c r="T136" s="48"/>
      <c r="U136" s="55" t="str">
        <f aca="false">IF($G136="","",IFERROR(IF(ISNUMBER($G136),IF($G136&gt;19000000,DATE(INT($G136/10000),MOD(INT($G136/100),100),MOD($G136,100)),INT($G136)),IF(LEN(SUBSTITUTE(SUBSTITUTE(SUBSTITUTE(TRIM($G136),"-",""),".",""),"/",""))=8,DATE(VALUE(LEFT(SUBSTITUTE(SUBSTITUTE(SUBSTITUTE(TRIM($G136),"-",""),".",""),"/",""),4)),VALUE(MID(SUBSTITUTE(SUBSTITUTE(SUBSTITUTE(TRIM($G136),"-",""),".",""),"/",""),5,2)),VALUE(RIGHT(SUBSTITUTE(SUBSTITUTE(SUBSTITUTE(TRIM($G136),"-",""),".",""),"/",""),2))),DATEVALUE($G136))),""))</f>
        <v/>
      </c>
      <c r="V136" s="52" t="str">
        <f aca="false">IF($H136="","",IFERROR(IF(IF(ISNUMBER($H136),$H136,IFERROR(TIMEVALUE($H136),VALUE($H136)))&gt;=100,INT(IF(ISNUMBER($H136),$H136,IFERROR(TIMEVALUE($H136),VALUE($H136)))/100)*60+MOD(IF(ISNUMBER($H136),$H136,IFERROR(TIMEVALUE($H136),VALUE($H136))),100),IF(IF(ISNUMBER($H136),$H136,IFERROR(TIMEVALUE($H136),VALUE($H136)))&gt;=1,ROUND(IF(ISNUMBER($H136),$H136,IFERROR(TIMEVALUE($H136),VALUE($H136)))*60,0),ROUND(MOD(IF(ISNUMBER($H136),$H136,IFERROR(TIMEVALUE($H136),VALUE($H136))),1)*1440,0))),""))</f>
        <v/>
      </c>
      <c r="W136" s="52" t="str">
        <f aca="false">IF($I136="","",IFERROR(IF(IF(ISNUMBER($I136),$I136,IFERROR(TIMEVALUE($I136),VALUE($I136)))&gt;=100,INT(IF(ISNUMBER($I136),$I136,IFERROR(TIMEVALUE($I136),VALUE($I136)))/100)*60+MOD(IF(ISNUMBER($I136),$I136,IFERROR(TIMEVALUE($I136),VALUE($I136))),100),IF(IF(ISNUMBER($I136),$I136,IFERROR(TIMEVALUE($I136),VALUE($I136)))&gt;=1,ROUND(IF(ISNUMBER($I136),$I136,IFERROR(TIMEVALUE($I136),VALUE($I136)))*60,0),ROUND(MOD(IF(ISNUMBER($I136),$I136,IFERROR(TIMEVALUE($I136),VALUE($I136))),1)*1440,0))),""))</f>
        <v/>
      </c>
      <c r="X136" s="55" t="str">
        <f aca="false">IF($P136="","",IFERROR(IF(ISNUMBER($P136),IF($P136&gt;19000000,DATE(INT($P136/10000),MOD(INT($P136/100),100),MOD($P136,100)),INT($P136)),IF(LEN(SUBSTITUTE(SUBSTITUTE(SUBSTITUTE(TRIM($P136),"-",""),".",""),"/",""))=8,DATE(VALUE(LEFT(SUBSTITUTE(SUBSTITUTE(SUBSTITUTE(TRIM($P136),"-",""),".",""),"/",""),4)),VALUE(MID(SUBSTITUTE(SUBSTITUTE(SUBSTITUTE(TRIM($P136),"-",""),".",""),"/",""),5,2)),VALUE(RIGHT(SUBSTITUTE(SUBSTITUTE(SUBSTITUTE(TRIM($P136),"-",""),".",""),"/",""),2))),DATEVALUE($P136))),""))</f>
        <v/>
      </c>
      <c r="Y136" s="56" t="str">
        <f aca="false">IF($M136="","",IFERROR(INDEX(강사DB!$D$4:$D$53,MATCH($M136,강사DB!$A$4:$A$53,0)),""))</f>
        <v/>
      </c>
      <c r="Z136" s="56" t="str">
        <f aca="false">IF($B136&lt;&gt;"결제완료","",IF(OR($Y136="",$J136=""),"",$Y136*$J136+MAX(0,N($K136)-1)*설정!$J$7))</f>
        <v/>
      </c>
      <c r="AA136" s="56" t="str">
        <f aca="false">IF(AND($D136&lt;&gt;"",$B136="결제완료"),N($N136),"")</f>
        <v/>
      </c>
      <c r="AB136" s="45" t="str">
        <f aca="false">IF($D136="","",IF($F136&lt;&gt;"",$F136,$D136)&amp;IF($B136="상담중"," (상담)",""))</f>
        <v/>
      </c>
      <c r="AC136" s="45" t="n">
        <f aca="false">IF(AND($D136&lt;&gt;"",OR($B136="결제완료",$B136="상담중")),1,0)</f>
        <v>0</v>
      </c>
      <c r="AD136" s="45" t="n">
        <f aca="false">IF(OR($Z136="",$U136=""),0,IFERROR(IF(COUNTIFS(INDEX(g_grid,0,2*MATCH($M136,강사DB!$A$4:$A$15,0)),"&lt;&gt;",g_s,"&lt;="&amp;$U136,g_e,"&gt;="&amp;$U136)&gt;0,1,0),0))</f>
        <v>0</v>
      </c>
      <c r="AE136" s="48"/>
      <c r="AF136" s="56" t="str">
        <f aca="false">IF(AND($D136&lt;&gt;"",$B136="결제완료",$T136="대여"),설정!$J$5,"")</f>
        <v/>
      </c>
      <c r="AG136" s="54" t="str">
        <f aca="false">IF($D136="","",IF(AND($E136="",$R136=""),$AB136,"☎ "&amp;IF($E136="","-",$E136)&amp;IF($R136&lt;&gt;"","  ※ "&amp;$R136,"")&amp;IF($B136="상담중"," (상담)","")))</f>
        <v/>
      </c>
      <c r="AH136" s="56" t="str">
        <f aca="false">IF(AND($D136&lt;&gt;"",$B136="결제완료",$O136="스마트스토어"),ROUND(N($N136)*설정!$J$6,0),"")</f>
        <v/>
      </c>
      <c r="AI136" s="54" t="str">
        <f aca="false">IF($D136="","",ROW())</f>
        <v/>
      </c>
      <c r="AJ136" s="54" t="n">
        <f aca="false">IF(OR($AC136&lt;&gt;1,$M136=""),0,IF(ISNUMBER(SEARCH("퇴사",IFERROR(INDEX(강사DB!$G$4:$G$53,MATCH($M136,강사DB!$A$4:$A$53,0)),""))),1,0))</f>
        <v>0</v>
      </c>
    </row>
    <row r="137" customFormat="false" ht="15" hidden="false" customHeight="false" outlineLevel="0" collapsed="false">
      <c r="A137" s="45" t="str">
        <f aca="false">IF($D137="","",COUNTA($D$5:$D137))</f>
        <v/>
      </c>
      <c r="B137" s="46"/>
      <c r="C137" s="47"/>
      <c r="D137" s="48"/>
      <c r="E137" s="48"/>
      <c r="F137" s="49"/>
      <c r="G137" s="47"/>
      <c r="H137" s="50"/>
      <c r="I137" s="50"/>
      <c r="J137" s="51" t="str">
        <f aca="false">IF(OR($V137="",$W137=""),"",ROUND(($W137-$V137)/60,2))</f>
        <v/>
      </c>
      <c r="K137" s="52" t="str">
        <f aca="false">IF($F137="","",LEN($F137)-LEN(SUBSTITUTE($F137,",",""))+1)</f>
        <v/>
      </c>
      <c r="L137" s="45" t="str">
        <f aca="false">IF($K137="","","1:"&amp;$K137)</f>
        <v/>
      </c>
      <c r="M137" s="46"/>
      <c r="N137" s="53"/>
      <c r="O137" s="46"/>
      <c r="P137" s="47"/>
      <c r="Q137" s="48"/>
      <c r="R137" s="49"/>
      <c r="S137" s="54" t="str">
        <f aca="false">IF(OR($AC137=0,$U137="",$M137="",$V137="",$W137=""),"",IF(COUNTIFS(m_teacher,$M137,m_date,$U137,m_active,1,m_start,"&lt;"&amp;$W137,m_end,"&gt;"&amp;$V137)&gt;1,"충돌",""))</f>
        <v/>
      </c>
      <c r="T137" s="48"/>
      <c r="U137" s="55" t="str">
        <f aca="false">IF($G137="","",IFERROR(IF(ISNUMBER($G137),IF($G137&gt;19000000,DATE(INT($G137/10000),MOD(INT($G137/100),100),MOD($G137,100)),INT($G137)),IF(LEN(SUBSTITUTE(SUBSTITUTE(SUBSTITUTE(TRIM($G137),"-",""),".",""),"/",""))=8,DATE(VALUE(LEFT(SUBSTITUTE(SUBSTITUTE(SUBSTITUTE(TRIM($G137),"-",""),".",""),"/",""),4)),VALUE(MID(SUBSTITUTE(SUBSTITUTE(SUBSTITUTE(TRIM($G137),"-",""),".",""),"/",""),5,2)),VALUE(RIGHT(SUBSTITUTE(SUBSTITUTE(SUBSTITUTE(TRIM($G137),"-",""),".",""),"/",""),2))),DATEVALUE($G137))),""))</f>
        <v/>
      </c>
      <c r="V137" s="52" t="str">
        <f aca="false">IF($H137="","",IFERROR(IF(IF(ISNUMBER($H137),$H137,IFERROR(TIMEVALUE($H137),VALUE($H137)))&gt;=100,INT(IF(ISNUMBER($H137),$H137,IFERROR(TIMEVALUE($H137),VALUE($H137)))/100)*60+MOD(IF(ISNUMBER($H137),$H137,IFERROR(TIMEVALUE($H137),VALUE($H137))),100),IF(IF(ISNUMBER($H137),$H137,IFERROR(TIMEVALUE($H137),VALUE($H137)))&gt;=1,ROUND(IF(ISNUMBER($H137),$H137,IFERROR(TIMEVALUE($H137),VALUE($H137)))*60,0),ROUND(MOD(IF(ISNUMBER($H137),$H137,IFERROR(TIMEVALUE($H137),VALUE($H137))),1)*1440,0))),""))</f>
        <v/>
      </c>
      <c r="W137" s="52" t="str">
        <f aca="false">IF($I137="","",IFERROR(IF(IF(ISNUMBER($I137),$I137,IFERROR(TIMEVALUE($I137),VALUE($I137)))&gt;=100,INT(IF(ISNUMBER($I137),$I137,IFERROR(TIMEVALUE($I137),VALUE($I137)))/100)*60+MOD(IF(ISNUMBER($I137),$I137,IFERROR(TIMEVALUE($I137),VALUE($I137))),100),IF(IF(ISNUMBER($I137),$I137,IFERROR(TIMEVALUE($I137),VALUE($I137)))&gt;=1,ROUND(IF(ISNUMBER($I137),$I137,IFERROR(TIMEVALUE($I137),VALUE($I137)))*60,0),ROUND(MOD(IF(ISNUMBER($I137),$I137,IFERROR(TIMEVALUE($I137),VALUE($I137))),1)*1440,0))),""))</f>
        <v/>
      </c>
      <c r="X137" s="55" t="str">
        <f aca="false">IF($P137="","",IFERROR(IF(ISNUMBER($P137),IF($P137&gt;19000000,DATE(INT($P137/10000),MOD(INT($P137/100),100),MOD($P137,100)),INT($P137)),IF(LEN(SUBSTITUTE(SUBSTITUTE(SUBSTITUTE(TRIM($P137),"-",""),".",""),"/",""))=8,DATE(VALUE(LEFT(SUBSTITUTE(SUBSTITUTE(SUBSTITUTE(TRIM($P137),"-",""),".",""),"/",""),4)),VALUE(MID(SUBSTITUTE(SUBSTITUTE(SUBSTITUTE(TRIM($P137),"-",""),".",""),"/",""),5,2)),VALUE(RIGHT(SUBSTITUTE(SUBSTITUTE(SUBSTITUTE(TRIM($P137),"-",""),".",""),"/",""),2))),DATEVALUE($P137))),""))</f>
        <v/>
      </c>
      <c r="Y137" s="56" t="str">
        <f aca="false">IF($M137="","",IFERROR(INDEX(강사DB!$D$4:$D$53,MATCH($M137,강사DB!$A$4:$A$53,0)),""))</f>
        <v/>
      </c>
      <c r="Z137" s="56" t="str">
        <f aca="false">IF($B137&lt;&gt;"결제완료","",IF(OR($Y137="",$J137=""),"",$Y137*$J137+MAX(0,N($K137)-1)*설정!$J$7))</f>
        <v/>
      </c>
      <c r="AA137" s="56" t="str">
        <f aca="false">IF(AND($D137&lt;&gt;"",$B137="결제완료"),N($N137),"")</f>
        <v/>
      </c>
      <c r="AB137" s="45" t="str">
        <f aca="false">IF($D137="","",IF($F137&lt;&gt;"",$F137,$D137)&amp;IF($B137="상담중"," (상담)",""))</f>
        <v/>
      </c>
      <c r="AC137" s="45" t="n">
        <f aca="false">IF(AND($D137&lt;&gt;"",OR($B137="결제완료",$B137="상담중")),1,0)</f>
        <v>0</v>
      </c>
      <c r="AD137" s="45" t="n">
        <f aca="false">IF(OR($Z137="",$U137=""),0,IFERROR(IF(COUNTIFS(INDEX(g_grid,0,2*MATCH($M137,강사DB!$A$4:$A$15,0)),"&lt;&gt;",g_s,"&lt;="&amp;$U137,g_e,"&gt;="&amp;$U137)&gt;0,1,0),0))</f>
        <v>0</v>
      </c>
      <c r="AE137" s="48"/>
      <c r="AF137" s="56" t="str">
        <f aca="false">IF(AND($D137&lt;&gt;"",$B137="결제완료",$T137="대여"),설정!$J$5,"")</f>
        <v/>
      </c>
      <c r="AG137" s="54" t="str">
        <f aca="false">IF($D137="","",IF(AND($E137="",$R137=""),$AB137,"☎ "&amp;IF($E137="","-",$E137)&amp;IF($R137&lt;&gt;"","  ※ "&amp;$R137,"")&amp;IF($B137="상담중"," (상담)","")))</f>
        <v/>
      </c>
      <c r="AH137" s="56" t="str">
        <f aca="false">IF(AND($D137&lt;&gt;"",$B137="결제완료",$O137="스마트스토어"),ROUND(N($N137)*설정!$J$6,0),"")</f>
        <v/>
      </c>
      <c r="AI137" s="54" t="str">
        <f aca="false">IF($D137="","",ROW())</f>
        <v/>
      </c>
      <c r="AJ137" s="54" t="n">
        <f aca="false">IF(OR($AC137&lt;&gt;1,$M137=""),0,IF(ISNUMBER(SEARCH("퇴사",IFERROR(INDEX(강사DB!$G$4:$G$53,MATCH($M137,강사DB!$A$4:$A$53,0)),""))),1,0))</f>
        <v>0</v>
      </c>
    </row>
    <row r="138" customFormat="false" ht="15" hidden="false" customHeight="false" outlineLevel="0" collapsed="false">
      <c r="A138" s="45" t="str">
        <f aca="false">IF($D138="","",COUNTA($D$5:$D138))</f>
        <v/>
      </c>
      <c r="B138" s="46"/>
      <c r="C138" s="47"/>
      <c r="D138" s="48"/>
      <c r="E138" s="48"/>
      <c r="F138" s="49"/>
      <c r="G138" s="47"/>
      <c r="H138" s="50"/>
      <c r="I138" s="50"/>
      <c r="J138" s="51" t="str">
        <f aca="false">IF(OR($V138="",$W138=""),"",ROUND(($W138-$V138)/60,2))</f>
        <v/>
      </c>
      <c r="K138" s="52" t="str">
        <f aca="false">IF($F138="","",LEN($F138)-LEN(SUBSTITUTE($F138,",",""))+1)</f>
        <v/>
      </c>
      <c r="L138" s="45" t="str">
        <f aca="false">IF($K138="","","1:"&amp;$K138)</f>
        <v/>
      </c>
      <c r="M138" s="46"/>
      <c r="N138" s="53"/>
      <c r="O138" s="46"/>
      <c r="P138" s="47"/>
      <c r="Q138" s="48"/>
      <c r="R138" s="49"/>
      <c r="S138" s="54" t="str">
        <f aca="false">IF(OR($AC138=0,$U138="",$M138="",$V138="",$W138=""),"",IF(COUNTIFS(m_teacher,$M138,m_date,$U138,m_active,1,m_start,"&lt;"&amp;$W138,m_end,"&gt;"&amp;$V138)&gt;1,"충돌",""))</f>
        <v/>
      </c>
      <c r="T138" s="48"/>
      <c r="U138" s="55" t="str">
        <f aca="false">IF($G138="","",IFERROR(IF(ISNUMBER($G138),IF($G138&gt;19000000,DATE(INT($G138/10000),MOD(INT($G138/100),100),MOD($G138,100)),INT($G138)),IF(LEN(SUBSTITUTE(SUBSTITUTE(SUBSTITUTE(TRIM($G138),"-",""),".",""),"/",""))=8,DATE(VALUE(LEFT(SUBSTITUTE(SUBSTITUTE(SUBSTITUTE(TRIM($G138),"-",""),".",""),"/",""),4)),VALUE(MID(SUBSTITUTE(SUBSTITUTE(SUBSTITUTE(TRIM($G138),"-",""),".",""),"/",""),5,2)),VALUE(RIGHT(SUBSTITUTE(SUBSTITUTE(SUBSTITUTE(TRIM($G138),"-",""),".",""),"/",""),2))),DATEVALUE($G138))),""))</f>
        <v/>
      </c>
      <c r="V138" s="52" t="str">
        <f aca="false">IF($H138="","",IFERROR(IF(IF(ISNUMBER($H138),$H138,IFERROR(TIMEVALUE($H138),VALUE($H138)))&gt;=100,INT(IF(ISNUMBER($H138),$H138,IFERROR(TIMEVALUE($H138),VALUE($H138)))/100)*60+MOD(IF(ISNUMBER($H138),$H138,IFERROR(TIMEVALUE($H138),VALUE($H138))),100),IF(IF(ISNUMBER($H138),$H138,IFERROR(TIMEVALUE($H138),VALUE($H138)))&gt;=1,ROUND(IF(ISNUMBER($H138),$H138,IFERROR(TIMEVALUE($H138),VALUE($H138)))*60,0),ROUND(MOD(IF(ISNUMBER($H138),$H138,IFERROR(TIMEVALUE($H138),VALUE($H138))),1)*1440,0))),""))</f>
        <v/>
      </c>
      <c r="W138" s="52" t="str">
        <f aca="false">IF($I138="","",IFERROR(IF(IF(ISNUMBER($I138),$I138,IFERROR(TIMEVALUE($I138),VALUE($I138)))&gt;=100,INT(IF(ISNUMBER($I138),$I138,IFERROR(TIMEVALUE($I138),VALUE($I138)))/100)*60+MOD(IF(ISNUMBER($I138),$I138,IFERROR(TIMEVALUE($I138),VALUE($I138))),100),IF(IF(ISNUMBER($I138),$I138,IFERROR(TIMEVALUE($I138),VALUE($I138)))&gt;=1,ROUND(IF(ISNUMBER($I138),$I138,IFERROR(TIMEVALUE($I138),VALUE($I138)))*60,0),ROUND(MOD(IF(ISNUMBER($I138),$I138,IFERROR(TIMEVALUE($I138),VALUE($I138))),1)*1440,0))),""))</f>
        <v/>
      </c>
      <c r="X138" s="55" t="str">
        <f aca="false">IF($P138="","",IFERROR(IF(ISNUMBER($P138),IF($P138&gt;19000000,DATE(INT($P138/10000),MOD(INT($P138/100),100),MOD($P138,100)),INT($P138)),IF(LEN(SUBSTITUTE(SUBSTITUTE(SUBSTITUTE(TRIM($P138),"-",""),".",""),"/",""))=8,DATE(VALUE(LEFT(SUBSTITUTE(SUBSTITUTE(SUBSTITUTE(TRIM($P138),"-",""),".",""),"/",""),4)),VALUE(MID(SUBSTITUTE(SUBSTITUTE(SUBSTITUTE(TRIM($P138),"-",""),".",""),"/",""),5,2)),VALUE(RIGHT(SUBSTITUTE(SUBSTITUTE(SUBSTITUTE(TRIM($P138),"-",""),".",""),"/",""),2))),DATEVALUE($P138))),""))</f>
        <v/>
      </c>
      <c r="Y138" s="56" t="str">
        <f aca="false">IF($M138="","",IFERROR(INDEX(강사DB!$D$4:$D$53,MATCH($M138,강사DB!$A$4:$A$53,0)),""))</f>
        <v/>
      </c>
      <c r="Z138" s="56" t="str">
        <f aca="false">IF($B138&lt;&gt;"결제완료","",IF(OR($Y138="",$J138=""),"",$Y138*$J138+MAX(0,N($K138)-1)*설정!$J$7))</f>
        <v/>
      </c>
      <c r="AA138" s="56" t="str">
        <f aca="false">IF(AND($D138&lt;&gt;"",$B138="결제완료"),N($N138),"")</f>
        <v/>
      </c>
      <c r="AB138" s="45" t="str">
        <f aca="false">IF($D138="","",IF($F138&lt;&gt;"",$F138,$D138)&amp;IF($B138="상담중"," (상담)",""))</f>
        <v/>
      </c>
      <c r="AC138" s="45" t="n">
        <f aca="false">IF(AND($D138&lt;&gt;"",OR($B138="결제완료",$B138="상담중")),1,0)</f>
        <v>0</v>
      </c>
      <c r="AD138" s="45" t="n">
        <f aca="false">IF(OR($Z138="",$U138=""),0,IFERROR(IF(COUNTIFS(INDEX(g_grid,0,2*MATCH($M138,강사DB!$A$4:$A$15,0)),"&lt;&gt;",g_s,"&lt;="&amp;$U138,g_e,"&gt;="&amp;$U138)&gt;0,1,0),0))</f>
        <v>0</v>
      </c>
      <c r="AE138" s="48"/>
      <c r="AF138" s="56" t="str">
        <f aca="false">IF(AND($D138&lt;&gt;"",$B138="결제완료",$T138="대여"),설정!$J$5,"")</f>
        <v/>
      </c>
      <c r="AG138" s="54" t="str">
        <f aca="false">IF($D138="","",IF(AND($E138="",$R138=""),$AB138,"☎ "&amp;IF($E138="","-",$E138)&amp;IF($R138&lt;&gt;"","  ※ "&amp;$R138,"")&amp;IF($B138="상담중"," (상담)","")))</f>
        <v/>
      </c>
      <c r="AH138" s="56" t="str">
        <f aca="false">IF(AND($D138&lt;&gt;"",$B138="결제완료",$O138="스마트스토어"),ROUND(N($N138)*설정!$J$6,0),"")</f>
        <v/>
      </c>
      <c r="AI138" s="54" t="str">
        <f aca="false">IF($D138="","",ROW())</f>
        <v/>
      </c>
      <c r="AJ138" s="54" t="n">
        <f aca="false">IF(OR($AC138&lt;&gt;1,$M138=""),0,IF(ISNUMBER(SEARCH("퇴사",IFERROR(INDEX(강사DB!$G$4:$G$53,MATCH($M138,강사DB!$A$4:$A$53,0)),""))),1,0))</f>
        <v>0</v>
      </c>
    </row>
    <row r="139" customFormat="false" ht="15" hidden="false" customHeight="false" outlineLevel="0" collapsed="false">
      <c r="A139" s="45" t="str">
        <f aca="false">IF($D139="","",COUNTA($D$5:$D139))</f>
        <v/>
      </c>
      <c r="B139" s="46"/>
      <c r="C139" s="47"/>
      <c r="D139" s="48"/>
      <c r="E139" s="48"/>
      <c r="F139" s="49"/>
      <c r="G139" s="47"/>
      <c r="H139" s="50"/>
      <c r="I139" s="50"/>
      <c r="J139" s="51" t="str">
        <f aca="false">IF(OR($V139="",$W139=""),"",ROUND(($W139-$V139)/60,2))</f>
        <v/>
      </c>
      <c r="K139" s="52" t="str">
        <f aca="false">IF($F139="","",LEN($F139)-LEN(SUBSTITUTE($F139,",",""))+1)</f>
        <v/>
      </c>
      <c r="L139" s="45" t="str">
        <f aca="false">IF($K139="","","1:"&amp;$K139)</f>
        <v/>
      </c>
      <c r="M139" s="46"/>
      <c r="N139" s="53"/>
      <c r="O139" s="46"/>
      <c r="P139" s="47"/>
      <c r="Q139" s="48"/>
      <c r="R139" s="49"/>
      <c r="S139" s="54" t="str">
        <f aca="false">IF(OR($AC139=0,$U139="",$M139="",$V139="",$W139=""),"",IF(COUNTIFS(m_teacher,$M139,m_date,$U139,m_active,1,m_start,"&lt;"&amp;$W139,m_end,"&gt;"&amp;$V139)&gt;1,"충돌",""))</f>
        <v/>
      </c>
      <c r="T139" s="48"/>
      <c r="U139" s="55" t="str">
        <f aca="false">IF($G139="","",IFERROR(IF(ISNUMBER($G139),IF($G139&gt;19000000,DATE(INT($G139/10000),MOD(INT($G139/100),100),MOD($G139,100)),INT($G139)),IF(LEN(SUBSTITUTE(SUBSTITUTE(SUBSTITUTE(TRIM($G139),"-",""),".",""),"/",""))=8,DATE(VALUE(LEFT(SUBSTITUTE(SUBSTITUTE(SUBSTITUTE(TRIM($G139),"-",""),".",""),"/",""),4)),VALUE(MID(SUBSTITUTE(SUBSTITUTE(SUBSTITUTE(TRIM($G139),"-",""),".",""),"/",""),5,2)),VALUE(RIGHT(SUBSTITUTE(SUBSTITUTE(SUBSTITUTE(TRIM($G139),"-",""),".",""),"/",""),2))),DATEVALUE($G139))),""))</f>
        <v/>
      </c>
      <c r="V139" s="52" t="str">
        <f aca="false">IF($H139="","",IFERROR(IF(IF(ISNUMBER($H139),$H139,IFERROR(TIMEVALUE($H139),VALUE($H139)))&gt;=100,INT(IF(ISNUMBER($H139),$H139,IFERROR(TIMEVALUE($H139),VALUE($H139)))/100)*60+MOD(IF(ISNUMBER($H139),$H139,IFERROR(TIMEVALUE($H139),VALUE($H139))),100),IF(IF(ISNUMBER($H139),$H139,IFERROR(TIMEVALUE($H139),VALUE($H139)))&gt;=1,ROUND(IF(ISNUMBER($H139),$H139,IFERROR(TIMEVALUE($H139),VALUE($H139)))*60,0),ROUND(MOD(IF(ISNUMBER($H139),$H139,IFERROR(TIMEVALUE($H139),VALUE($H139))),1)*1440,0))),""))</f>
        <v/>
      </c>
      <c r="W139" s="52" t="str">
        <f aca="false">IF($I139="","",IFERROR(IF(IF(ISNUMBER($I139),$I139,IFERROR(TIMEVALUE($I139),VALUE($I139)))&gt;=100,INT(IF(ISNUMBER($I139),$I139,IFERROR(TIMEVALUE($I139),VALUE($I139)))/100)*60+MOD(IF(ISNUMBER($I139),$I139,IFERROR(TIMEVALUE($I139),VALUE($I139))),100),IF(IF(ISNUMBER($I139),$I139,IFERROR(TIMEVALUE($I139),VALUE($I139)))&gt;=1,ROUND(IF(ISNUMBER($I139),$I139,IFERROR(TIMEVALUE($I139),VALUE($I139)))*60,0),ROUND(MOD(IF(ISNUMBER($I139),$I139,IFERROR(TIMEVALUE($I139),VALUE($I139))),1)*1440,0))),""))</f>
        <v/>
      </c>
      <c r="X139" s="55" t="str">
        <f aca="false">IF($P139="","",IFERROR(IF(ISNUMBER($P139),IF($P139&gt;19000000,DATE(INT($P139/10000),MOD(INT($P139/100),100),MOD($P139,100)),INT($P139)),IF(LEN(SUBSTITUTE(SUBSTITUTE(SUBSTITUTE(TRIM($P139),"-",""),".",""),"/",""))=8,DATE(VALUE(LEFT(SUBSTITUTE(SUBSTITUTE(SUBSTITUTE(TRIM($P139),"-",""),".",""),"/",""),4)),VALUE(MID(SUBSTITUTE(SUBSTITUTE(SUBSTITUTE(TRIM($P139),"-",""),".",""),"/",""),5,2)),VALUE(RIGHT(SUBSTITUTE(SUBSTITUTE(SUBSTITUTE(TRIM($P139),"-",""),".",""),"/",""),2))),DATEVALUE($P139))),""))</f>
        <v/>
      </c>
      <c r="Y139" s="56" t="str">
        <f aca="false">IF($M139="","",IFERROR(INDEX(강사DB!$D$4:$D$53,MATCH($M139,강사DB!$A$4:$A$53,0)),""))</f>
        <v/>
      </c>
      <c r="Z139" s="56" t="str">
        <f aca="false">IF($B139&lt;&gt;"결제완료","",IF(OR($Y139="",$J139=""),"",$Y139*$J139+MAX(0,N($K139)-1)*설정!$J$7))</f>
        <v/>
      </c>
      <c r="AA139" s="56" t="str">
        <f aca="false">IF(AND($D139&lt;&gt;"",$B139="결제완료"),N($N139),"")</f>
        <v/>
      </c>
      <c r="AB139" s="45" t="str">
        <f aca="false">IF($D139="","",IF($F139&lt;&gt;"",$F139,$D139)&amp;IF($B139="상담중"," (상담)",""))</f>
        <v/>
      </c>
      <c r="AC139" s="45" t="n">
        <f aca="false">IF(AND($D139&lt;&gt;"",OR($B139="결제완료",$B139="상담중")),1,0)</f>
        <v>0</v>
      </c>
      <c r="AD139" s="45" t="n">
        <f aca="false">IF(OR($Z139="",$U139=""),0,IFERROR(IF(COUNTIFS(INDEX(g_grid,0,2*MATCH($M139,강사DB!$A$4:$A$15,0)),"&lt;&gt;",g_s,"&lt;="&amp;$U139,g_e,"&gt;="&amp;$U139)&gt;0,1,0),0))</f>
        <v>0</v>
      </c>
      <c r="AE139" s="48"/>
      <c r="AF139" s="56" t="str">
        <f aca="false">IF(AND($D139&lt;&gt;"",$B139="결제완료",$T139="대여"),설정!$J$5,"")</f>
        <v/>
      </c>
      <c r="AG139" s="54" t="str">
        <f aca="false">IF($D139="","",IF(AND($E139="",$R139=""),$AB139,"☎ "&amp;IF($E139="","-",$E139)&amp;IF($R139&lt;&gt;"","  ※ "&amp;$R139,"")&amp;IF($B139="상담중"," (상담)","")))</f>
        <v/>
      </c>
      <c r="AH139" s="56" t="str">
        <f aca="false">IF(AND($D139&lt;&gt;"",$B139="결제완료",$O139="스마트스토어"),ROUND(N($N139)*설정!$J$6,0),"")</f>
        <v/>
      </c>
      <c r="AI139" s="54" t="str">
        <f aca="false">IF($D139="","",ROW())</f>
        <v/>
      </c>
      <c r="AJ139" s="54" t="n">
        <f aca="false">IF(OR($AC139&lt;&gt;1,$M139=""),0,IF(ISNUMBER(SEARCH("퇴사",IFERROR(INDEX(강사DB!$G$4:$G$53,MATCH($M139,강사DB!$A$4:$A$53,0)),""))),1,0))</f>
        <v>0</v>
      </c>
    </row>
    <row r="140" customFormat="false" ht="15" hidden="false" customHeight="false" outlineLevel="0" collapsed="false">
      <c r="A140" s="45" t="str">
        <f aca="false">IF($D140="","",COUNTA($D$5:$D140))</f>
        <v/>
      </c>
      <c r="B140" s="46"/>
      <c r="C140" s="47"/>
      <c r="D140" s="48"/>
      <c r="E140" s="48"/>
      <c r="F140" s="49"/>
      <c r="G140" s="47"/>
      <c r="H140" s="50"/>
      <c r="I140" s="50"/>
      <c r="J140" s="51" t="str">
        <f aca="false">IF(OR($V140="",$W140=""),"",ROUND(($W140-$V140)/60,2))</f>
        <v/>
      </c>
      <c r="K140" s="52" t="str">
        <f aca="false">IF($F140="","",LEN($F140)-LEN(SUBSTITUTE($F140,",",""))+1)</f>
        <v/>
      </c>
      <c r="L140" s="45" t="str">
        <f aca="false">IF($K140="","","1:"&amp;$K140)</f>
        <v/>
      </c>
      <c r="M140" s="46"/>
      <c r="N140" s="53"/>
      <c r="O140" s="46"/>
      <c r="P140" s="47"/>
      <c r="Q140" s="48"/>
      <c r="R140" s="49"/>
      <c r="S140" s="54" t="str">
        <f aca="false">IF(OR($AC140=0,$U140="",$M140="",$V140="",$W140=""),"",IF(COUNTIFS(m_teacher,$M140,m_date,$U140,m_active,1,m_start,"&lt;"&amp;$W140,m_end,"&gt;"&amp;$V140)&gt;1,"충돌",""))</f>
        <v/>
      </c>
      <c r="T140" s="48"/>
      <c r="U140" s="55" t="str">
        <f aca="false">IF($G140="","",IFERROR(IF(ISNUMBER($G140),IF($G140&gt;19000000,DATE(INT($G140/10000),MOD(INT($G140/100),100),MOD($G140,100)),INT($G140)),IF(LEN(SUBSTITUTE(SUBSTITUTE(SUBSTITUTE(TRIM($G140),"-",""),".",""),"/",""))=8,DATE(VALUE(LEFT(SUBSTITUTE(SUBSTITUTE(SUBSTITUTE(TRIM($G140),"-",""),".",""),"/",""),4)),VALUE(MID(SUBSTITUTE(SUBSTITUTE(SUBSTITUTE(TRIM($G140),"-",""),".",""),"/",""),5,2)),VALUE(RIGHT(SUBSTITUTE(SUBSTITUTE(SUBSTITUTE(TRIM($G140),"-",""),".",""),"/",""),2))),DATEVALUE($G140))),""))</f>
        <v/>
      </c>
      <c r="V140" s="52" t="str">
        <f aca="false">IF($H140="","",IFERROR(IF(IF(ISNUMBER($H140),$H140,IFERROR(TIMEVALUE($H140),VALUE($H140)))&gt;=100,INT(IF(ISNUMBER($H140),$H140,IFERROR(TIMEVALUE($H140),VALUE($H140)))/100)*60+MOD(IF(ISNUMBER($H140),$H140,IFERROR(TIMEVALUE($H140),VALUE($H140))),100),IF(IF(ISNUMBER($H140),$H140,IFERROR(TIMEVALUE($H140),VALUE($H140)))&gt;=1,ROUND(IF(ISNUMBER($H140),$H140,IFERROR(TIMEVALUE($H140),VALUE($H140)))*60,0),ROUND(MOD(IF(ISNUMBER($H140),$H140,IFERROR(TIMEVALUE($H140),VALUE($H140))),1)*1440,0))),""))</f>
        <v/>
      </c>
      <c r="W140" s="52" t="str">
        <f aca="false">IF($I140="","",IFERROR(IF(IF(ISNUMBER($I140),$I140,IFERROR(TIMEVALUE($I140),VALUE($I140)))&gt;=100,INT(IF(ISNUMBER($I140),$I140,IFERROR(TIMEVALUE($I140),VALUE($I140)))/100)*60+MOD(IF(ISNUMBER($I140),$I140,IFERROR(TIMEVALUE($I140),VALUE($I140))),100),IF(IF(ISNUMBER($I140),$I140,IFERROR(TIMEVALUE($I140),VALUE($I140)))&gt;=1,ROUND(IF(ISNUMBER($I140),$I140,IFERROR(TIMEVALUE($I140),VALUE($I140)))*60,0),ROUND(MOD(IF(ISNUMBER($I140),$I140,IFERROR(TIMEVALUE($I140),VALUE($I140))),1)*1440,0))),""))</f>
        <v/>
      </c>
      <c r="X140" s="55" t="str">
        <f aca="false">IF($P140="","",IFERROR(IF(ISNUMBER($P140),IF($P140&gt;19000000,DATE(INT($P140/10000),MOD(INT($P140/100),100),MOD($P140,100)),INT($P140)),IF(LEN(SUBSTITUTE(SUBSTITUTE(SUBSTITUTE(TRIM($P140),"-",""),".",""),"/",""))=8,DATE(VALUE(LEFT(SUBSTITUTE(SUBSTITUTE(SUBSTITUTE(TRIM($P140),"-",""),".",""),"/",""),4)),VALUE(MID(SUBSTITUTE(SUBSTITUTE(SUBSTITUTE(TRIM($P140),"-",""),".",""),"/",""),5,2)),VALUE(RIGHT(SUBSTITUTE(SUBSTITUTE(SUBSTITUTE(TRIM($P140),"-",""),".",""),"/",""),2))),DATEVALUE($P140))),""))</f>
        <v/>
      </c>
      <c r="Y140" s="56" t="str">
        <f aca="false">IF($M140="","",IFERROR(INDEX(강사DB!$D$4:$D$53,MATCH($M140,강사DB!$A$4:$A$53,0)),""))</f>
        <v/>
      </c>
      <c r="Z140" s="56" t="str">
        <f aca="false">IF($B140&lt;&gt;"결제완료","",IF(OR($Y140="",$J140=""),"",$Y140*$J140+MAX(0,N($K140)-1)*설정!$J$7))</f>
        <v/>
      </c>
      <c r="AA140" s="56" t="str">
        <f aca="false">IF(AND($D140&lt;&gt;"",$B140="결제완료"),N($N140),"")</f>
        <v/>
      </c>
      <c r="AB140" s="45" t="str">
        <f aca="false">IF($D140="","",IF($F140&lt;&gt;"",$F140,$D140)&amp;IF($B140="상담중"," (상담)",""))</f>
        <v/>
      </c>
      <c r="AC140" s="45" t="n">
        <f aca="false">IF(AND($D140&lt;&gt;"",OR($B140="결제완료",$B140="상담중")),1,0)</f>
        <v>0</v>
      </c>
      <c r="AD140" s="45" t="n">
        <f aca="false">IF(OR($Z140="",$U140=""),0,IFERROR(IF(COUNTIFS(INDEX(g_grid,0,2*MATCH($M140,강사DB!$A$4:$A$15,0)),"&lt;&gt;",g_s,"&lt;="&amp;$U140,g_e,"&gt;="&amp;$U140)&gt;0,1,0),0))</f>
        <v>0</v>
      </c>
      <c r="AE140" s="48"/>
      <c r="AF140" s="56" t="str">
        <f aca="false">IF(AND($D140&lt;&gt;"",$B140="결제완료",$T140="대여"),설정!$J$5,"")</f>
        <v/>
      </c>
      <c r="AG140" s="54" t="str">
        <f aca="false">IF($D140="","",IF(AND($E140="",$R140=""),$AB140,"☎ "&amp;IF($E140="","-",$E140)&amp;IF($R140&lt;&gt;"","  ※ "&amp;$R140,"")&amp;IF($B140="상담중"," (상담)","")))</f>
        <v/>
      </c>
      <c r="AH140" s="56" t="str">
        <f aca="false">IF(AND($D140&lt;&gt;"",$B140="결제완료",$O140="스마트스토어"),ROUND(N($N140)*설정!$J$6,0),"")</f>
        <v/>
      </c>
      <c r="AI140" s="54" t="str">
        <f aca="false">IF($D140="","",ROW())</f>
        <v/>
      </c>
      <c r="AJ140" s="54" t="n">
        <f aca="false">IF(OR($AC140&lt;&gt;1,$M140=""),0,IF(ISNUMBER(SEARCH("퇴사",IFERROR(INDEX(강사DB!$G$4:$G$53,MATCH($M140,강사DB!$A$4:$A$53,0)),""))),1,0))</f>
        <v>0</v>
      </c>
    </row>
    <row r="141" customFormat="false" ht="15" hidden="false" customHeight="false" outlineLevel="0" collapsed="false">
      <c r="A141" s="45" t="str">
        <f aca="false">IF($D141="","",COUNTA($D$5:$D141))</f>
        <v/>
      </c>
      <c r="B141" s="46"/>
      <c r="C141" s="47"/>
      <c r="D141" s="48"/>
      <c r="E141" s="48"/>
      <c r="F141" s="49"/>
      <c r="G141" s="47"/>
      <c r="H141" s="50"/>
      <c r="I141" s="50"/>
      <c r="J141" s="51" t="str">
        <f aca="false">IF(OR($V141="",$W141=""),"",ROUND(($W141-$V141)/60,2))</f>
        <v/>
      </c>
      <c r="K141" s="52" t="str">
        <f aca="false">IF($F141="","",LEN($F141)-LEN(SUBSTITUTE($F141,",",""))+1)</f>
        <v/>
      </c>
      <c r="L141" s="45" t="str">
        <f aca="false">IF($K141="","","1:"&amp;$K141)</f>
        <v/>
      </c>
      <c r="M141" s="46"/>
      <c r="N141" s="53"/>
      <c r="O141" s="46"/>
      <c r="P141" s="47"/>
      <c r="Q141" s="48"/>
      <c r="R141" s="49"/>
      <c r="S141" s="54" t="str">
        <f aca="false">IF(OR($AC141=0,$U141="",$M141="",$V141="",$W141=""),"",IF(COUNTIFS(m_teacher,$M141,m_date,$U141,m_active,1,m_start,"&lt;"&amp;$W141,m_end,"&gt;"&amp;$V141)&gt;1,"충돌",""))</f>
        <v/>
      </c>
      <c r="T141" s="48"/>
      <c r="U141" s="55" t="str">
        <f aca="false">IF($G141="","",IFERROR(IF(ISNUMBER($G141),IF($G141&gt;19000000,DATE(INT($G141/10000),MOD(INT($G141/100),100),MOD($G141,100)),INT($G141)),IF(LEN(SUBSTITUTE(SUBSTITUTE(SUBSTITUTE(TRIM($G141),"-",""),".",""),"/",""))=8,DATE(VALUE(LEFT(SUBSTITUTE(SUBSTITUTE(SUBSTITUTE(TRIM($G141),"-",""),".",""),"/",""),4)),VALUE(MID(SUBSTITUTE(SUBSTITUTE(SUBSTITUTE(TRIM($G141),"-",""),".",""),"/",""),5,2)),VALUE(RIGHT(SUBSTITUTE(SUBSTITUTE(SUBSTITUTE(TRIM($G141),"-",""),".",""),"/",""),2))),DATEVALUE($G141))),""))</f>
        <v/>
      </c>
      <c r="V141" s="52" t="str">
        <f aca="false">IF($H141="","",IFERROR(IF(IF(ISNUMBER($H141),$H141,IFERROR(TIMEVALUE($H141),VALUE($H141)))&gt;=100,INT(IF(ISNUMBER($H141),$H141,IFERROR(TIMEVALUE($H141),VALUE($H141)))/100)*60+MOD(IF(ISNUMBER($H141),$H141,IFERROR(TIMEVALUE($H141),VALUE($H141))),100),IF(IF(ISNUMBER($H141),$H141,IFERROR(TIMEVALUE($H141),VALUE($H141)))&gt;=1,ROUND(IF(ISNUMBER($H141),$H141,IFERROR(TIMEVALUE($H141),VALUE($H141)))*60,0),ROUND(MOD(IF(ISNUMBER($H141),$H141,IFERROR(TIMEVALUE($H141),VALUE($H141))),1)*1440,0))),""))</f>
        <v/>
      </c>
      <c r="W141" s="52" t="str">
        <f aca="false">IF($I141="","",IFERROR(IF(IF(ISNUMBER($I141),$I141,IFERROR(TIMEVALUE($I141),VALUE($I141)))&gt;=100,INT(IF(ISNUMBER($I141),$I141,IFERROR(TIMEVALUE($I141),VALUE($I141)))/100)*60+MOD(IF(ISNUMBER($I141),$I141,IFERROR(TIMEVALUE($I141),VALUE($I141))),100),IF(IF(ISNUMBER($I141),$I141,IFERROR(TIMEVALUE($I141),VALUE($I141)))&gt;=1,ROUND(IF(ISNUMBER($I141),$I141,IFERROR(TIMEVALUE($I141),VALUE($I141)))*60,0),ROUND(MOD(IF(ISNUMBER($I141),$I141,IFERROR(TIMEVALUE($I141),VALUE($I141))),1)*1440,0))),""))</f>
        <v/>
      </c>
      <c r="X141" s="55" t="str">
        <f aca="false">IF($P141="","",IFERROR(IF(ISNUMBER($P141),IF($P141&gt;19000000,DATE(INT($P141/10000),MOD(INT($P141/100),100),MOD($P141,100)),INT($P141)),IF(LEN(SUBSTITUTE(SUBSTITUTE(SUBSTITUTE(TRIM($P141),"-",""),".",""),"/",""))=8,DATE(VALUE(LEFT(SUBSTITUTE(SUBSTITUTE(SUBSTITUTE(TRIM($P141),"-",""),".",""),"/",""),4)),VALUE(MID(SUBSTITUTE(SUBSTITUTE(SUBSTITUTE(TRIM($P141),"-",""),".",""),"/",""),5,2)),VALUE(RIGHT(SUBSTITUTE(SUBSTITUTE(SUBSTITUTE(TRIM($P141),"-",""),".",""),"/",""),2))),DATEVALUE($P141))),""))</f>
        <v/>
      </c>
      <c r="Y141" s="56" t="str">
        <f aca="false">IF($M141="","",IFERROR(INDEX(강사DB!$D$4:$D$53,MATCH($M141,강사DB!$A$4:$A$53,0)),""))</f>
        <v/>
      </c>
      <c r="Z141" s="56" t="str">
        <f aca="false">IF($B141&lt;&gt;"결제완료","",IF(OR($Y141="",$J141=""),"",$Y141*$J141+MAX(0,N($K141)-1)*설정!$J$7))</f>
        <v/>
      </c>
      <c r="AA141" s="56" t="str">
        <f aca="false">IF(AND($D141&lt;&gt;"",$B141="결제완료"),N($N141),"")</f>
        <v/>
      </c>
      <c r="AB141" s="45" t="str">
        <f aca="false">IF($D141="","",IF($F141&lt;&gt;"",$F141,$D141)&amp;IF($B141="상담중"," (상담)",""))</f>
        <v/>
      </c>
      <c r="AC141" s="45" t="n">
        <f aca="false">IF(AND($D141&lt;&gt;"",OR($B141="결제완료",$B141="상담중")),1,0)</f>
        <v>0</v>
      </c>
      <c r="AD141" s="45" t="n">
        <f aca="false">IF(OR($Z141="",$U141=""),0,IFERROR(IF(COUNTIFS(INDEX(g_grid,0,2*MATCH($M141,강사DB!$A$4:$A$15,0)),"&lt;&gt;",g_s,"&lt;="&amp;$U141,g_e,"&gt;="&amp;$U141)&gt;0,1,0),0))</f>
        <v>0</v>
      </c>
      <c r="AE141" s="48"/>
      <c r="AF141" s="56" t="str">
        <f aca="false">IF(AND($D141&lt;&gt;"",$B141="결제완료",$T141="대여"),설정!$J$5,"")</f>
        <v/>
      </c>
      <c r="AG141" s="54" t="str">
        <f aca="false">IF($D141="","",IF(AND($E141="",$R141=""),$AB141,"☎ "&amp;IF($E141="","-",$E141)&amp;IF($R141&lt;&gt;"","  ※ "&amp;$R141,"")&amp;IF($B141="상담중"," (상담)","")))</f>
        <v/>
      </c>
      <c r="AH141" s="56" t="str">
        <f aca="false">IF(AND($D141&lt;&gt;"",$B141="결제완료",$O141="스마트스토어"),ROUND(N($N141)*설정!$J$6,0),"")</f>
        <v/>
      </c>
      <c r="AI141" s="54" t="str">
        <f aca="false">IF($D141="","",ROW())</f>
        <v/>
      </c>
      <c r="AJ141" s="54" t="n">
        <f aca="false">IF(OR($AC141&lt;&gt;1,$M141=""),0,IF(ISNUMBER(SEARCH("퇴사",IFERROR(INDEX(강사DB!$G$4:$G$53,MATCH($M141,강사DB!$A$4:$A$53,0)),""))),1,0))</f>
        <v>0</v>
      </c>
    </row>
    <row r="142" customFormat="false" ht="15" hidden="false" customHeight="false" outlineLevel="0" collapsed="false">
      <c r="A142" s="45" t="str">
        <f aca="false">IF($D142="","",COUNTA($D$5:$D142))</f>
        <v/>
      </c>
      <c r="B142" s="46"/>
      <c r="C142" s="47"/>
      <c r="D142" s="48"/>
      <c r="E142" s="48"/>
      <c r="F142" s="49"/>
      <c r="G142" s="47"/>
      <c r="H142" s="50"/>
      <c r="I142" s="50"/>
      <c r="J142" s="51" t="str">
        <f aca="false">IF(OR($V142="",$W142=""),"",ROUND(($W142-$V142)/60,2))</f>
        <v/>
      </c>
      <c r="K142" s="52" t="str">
        <f aca="false">IF($F142="","",LEN($F142)-LEN(SUBSTITUTE($F142,",",""))+1)</f>
        <v/>
      </c>
      <c r="L142" s="45" t="str">
        <f aca="false">IF($K142="","","1:"&amp;$K142)</f>
        <v/>
      </c>
      <c r="M142" s="46"/>
      <c r="N142" s="53"/>
      <c r="O142" s="46"/>
      <c r="P142" s="47"/>
      <c r="Q142" s="48"/>
      <c r="R142" s="49"/>
      <c r="S142" s="54" t="str">
        <f aca="false">IF(OR($AC142=0,$U142="",$M142="",$V142="",$W142=""),"",IF(COUNTIFS(m_teacher,$M142,m_date,$U142,m_active,1,m_start,"&lt;"&amp;$W142,m_end,"&gt;"&amp;$V142)&gt;1,"충돌",""))</f>
        <v/>
      </c>
      <c r="T142" s="48"/>
      <c r="U142" s="55" t="str">
        <f aca="false">IF($G142="","",IFERROR(IF(ISNUMBER($G142),IF($G142&gt;19000000,DATE(INT($G142/10000),MOD(INT($G142/100),100),MOD($G142,100)),INT($G142)),IF(LEN(SUBSTITUTE(SUBSTITUTE(SUBSTITUTE(TRIM($G142),"-",""),".",""),"/",""))=8,DATE(VALUE(LEFT(SUBSTITUTE(SUBSTITUTE(SUBSTITUTE(TRIM($G142),"-",""),".",""),"/",""),4)),VALUE(MID(SUBSTITUTE(SUBSTITUTE(SUBSTITUTE(TRIM($G142),"-",""),".",""),"/",""),5,2)),VALUE(RIGHT(SUBSTITUTE(SUBSTITUTE(SUBSTITUTE(TRIM($G142),"-",""),".",""),"/",""),2))),DATEVALUE($G142))),""))</f>
        <v/>
      </c>
      <c r="V142" s="52" t="str">
        <f aca="false">IF($H142="","",IFERROR(IF(IF(ISNUMBER($H142),$H142,IFERROR(TIMEVALUE($H142),VALUE($H142)))&gt;=100,INT(IF(ISNUMBER($H142),$H142,IFERROR(TIMEVALUE($H142),VALUE($H142)))/100)*60+MOD(IF(ISNUMBER($H142),$H142,IFERROR(TIMEVALUE($H142),VALUE($H142))),100),IF(IF(ISNUMBER($H142),$H142,IFERROR(TIMEVALUE($H142),VALUE($H142)))&gt;=1,ROUND(IF(ISNUMBER($H142),$H142,IFERROR(TIMEVALUE($H142),VALUE($H142)))*60,0),ROUND(MOD(IF(ISNUMBER($H142),$H142,IFERROR(TIMEVALUE($H142),VALUE($H142))),1)*1440,0))),""))</f>
        <v/>
      </c>
      <c r="W142" s="52" t="str">
        <f aca="false">IF($I142="","",IFERROR(IF(IF(ISNUMBER($I142),$I142,IFERROR(TIMEVALUE($I142),VALUE($I142)))&gt;=100,INT(IF(ISNUMBER($I142),$I142,IFERROR(TIMEVALUE($I142),VALUE($I142)))/100)*60+MOD(IF(ISNUMBER($I142),$I142,IFERROR(TIMEVALUE($I142),VALUE($I142))),100),IF(IF(ISNUMBER($I142),$I142,IFERROR(TIMEVALUE($I142),VALUE($I142)))&gt;=1,ROUND(IF(ISNUMBER($I142),$I142,IFERROR(TIMEVALUE($I142),VALUE($I142)))*60,0),ROUND(MOD(IF(ISNUMBER($I142),$I142,IFERROR(TIMEVALUE($I142),VALUE($I142))),1)*1440,0))),""))</f>
        <v/>
      </c>
      <c r="X142" s="55" t="str">
        <f aca="false">IF($P142="","",IFERROR(IF(ISNUMBER($P142),IF($P142&gt;19000000,DATE(INT($P142/10000),MOD(INT($P142/100),100),MOD($P142,100)),INT($P142)),IF(LEN(SUBSTITUTE(SUBSTITUTE(SUBSTITUTE(TRIM($P142),"-",""),".",""),"/",""))=8,DATE(VALUE(LEFT(SUBSTITUTE(SUBSTITUTE(SUBSTITUTE(TRIM($P142),"-",""),".",""),"/",""),4)),VALUE(MID(SUBSTITUTE(SUBSTITUTE(SUBSTITUTE(TRIM($P142),"-",""),".",""),"/",""),5,2)),VALUE(RIGHT(SUBSTITUTE(SUBSTITUTE(SUBSTITUTE(TRIM($P142),"-",""),".",""),"/",""),2))),DATEVALUE($P142))),""))</f>
        <v/>
      </c>
      <c r="Y142" s="56" t="str">
        <f aca="false">IF($M142="","",IFERROR(INDEX(강사DB!$D$4:$D$53,MATCH($M142,강사DB!$A$4:$A$53,0)),""))</f>
        <v/>
      </c>
      <c r="Z142" s="56" t="str">
        <f aca="false">IF($B142&lt;&gt;"결제완료","",IF(OR($Y142="",$J142=""),"",$Y142*$J142+MAX(0,N($K142)-1)*설정!$J$7))</f>
        <v/>
      </c>
      <c r="AA142" s="56" t="str">
        <f aca="false">IF(AND($D142&lt;&gt;"",$B142="결제완료"),N($N142),"")</f>
        <v/>
      </c>
      <c r="AB142" s="45" t="str">
        <f aca="false">IF($D142="","",IF($F142&lt;&gt;"",$F142,$D142)&amp;IF($B142="상담중"," (상담)",""))</f>
        <v/>
      </c>
      <c r="AC142" s="45" t="n">
        <f aca="false">IF(AND($D142&lt;&gt;"",OR($B142="결제완료",$B142="상담중")),1,0)</f>
        <v>0</v>
      </c>
      <c r="AD142" s="45" t="n">
        <f aca="false">IF(OR($Z142="",$U142=""),0,IFERROR(IF(COUNTIFS(INDEX(g_grid,0,2*MATCH($M142,강사DB!$A$4:$A$15,0)),"&lt;&gt;",g_s,"&lt;="&amp;$U142,g_e,"&gt;="&amp;$U142)&gt;0,1,0),0))</f>
        <v>0</v>
      </c>
      <c r="AE142" s="48"/>
      <c r="AF142" s="56" t="str">
        <f aca="false">IF(AND($D142&lt;&gt;"",$B142="결제완료",$T142="대여"),설정!$J$5,"")</f>
        <v/>
      </c>
      <c r="AG142" s="54" t="str">
        <f aca="false">IF($D142="","",IF(AND($E142="",$R142=""),$AB142,"☎ "&amp;IF($E142="","-",$E142)&amp;IF($R142&lt;&gt;"","  ※ "&amp;$R142,"")&amp;IF($B142="상담중"," (상담)","")))</f>
        <v/>
      </c>
      <c r="AH142" s="56" t="str">
        <f aca="false">IF(AND($D142&lt;&gt;"",$B142="결제완료",$O142="스마트스토어"),ROUND(N($N142)*설정!$J$6,0),"")</f>
        <v/>
      </c>
      <c r="AI142" s="54" t="str">
        <f aca="false">IF($D142="","",ROW())</f>
        <v/>
      </c>
      <c r="AJ142" s="54" t="n">
        <f aca="false">IF(OR($AC142&lt;&gt;1,$M142=""),0,IF(ISNUMBER(SEARCH("퇴사",IFERROR(INDEX(강사DB!$G$4:$G$53,MATCH($M142,강사DB!$A$4:$A$53,0)),""))),1,0))</f>
        <v>0</v>
      </c>
    </row>
    <row r="143" customFormat="false" ht="15" hidden="false" customHeight="false" outlineLevel="0" collapsed="false">
      <c r="A143" s="45" t="str">
        <f aca="false">IF($D143="","",COUNTA($D$5:$D143))</f>
        <v/>
      </c>
      <c r="B143" s="46"/>
      <c r="C143" s="47"/>
      <c r="D143" s="48"/>
      <c r="E143" s="48"/>
      <c r="F143" s="49"/>
      <c r="G143" s="47"/>
      <c r="H143" s="50"/>
      <c r="I143" s="50"/>
      <c r="J143" s="51" t="str">
        <f aca="false">IF(OR($V143="",$W143=""),"",ROUND(($W143-$V143)/60,2))</f>
        <v/>
      </c>
      <c r="K143" s="52" t="str">
        <f aca="false">IF($F143="","",LEN($F143)-LEN(SUBSTITUTE($F143,",",""))+1)</f>
        <v/>
      </c>
      <c r="L143" s="45" t="str">
        <f aca="false">IF($K143="","","1:"&amp;$K143)</f>
        <v/>
      </c>
      <c r="M143" s="46"/>
      <c r="N143" s="53"/>
      <c r="O143" s="46"/>
      <c r="P143" s="47"/>
      <c r="Q143" s="48"/>
      <c r="R143" s="49"/>
      <c r="S143" s="54" t="str">
        <f aca="false">IF(OR($AC143=0,$U143="",$M143="",$V143="",$W143=""),"",IF(COUNTIFS(m_teacher,$M143,m_date,$U143,m_active,1,m_start,"&lt;"&amp;$W143,m_end,"&gt;"&amp;$V143)&gt;1,"충돌",""))</f>
        <v/>
      </c>
      <c r="T143" s="48"/>
      <c r="U143" s="55" t="str">
        <f aca="false">IF($G143="","",IFERROR(IF(ISNUMBER($G143),IF($G143&gt;19000000,DATE(INT($G143/10000),MOD(INT($G143/100),100),MOD($G143,100)),INT($G143)),IF(LEN(SUBSTITUTE(SUBSTITUTE(SUBSTITUTE(TRIM($G143),"-",""),".",""),"/",""))=8,DATE(VALUE(LEFT(SUBSTITUTE(SUBSTITUTE(SUBSTITUTE(TRIM($G143),"-",""),".",""),"/",""),4)),VALUE(MID(SUBSTITUTE(SUBSTITUTE(SUBSTITUTE(TRIM($G143),"-",""),".",""),"/",""),5,2)),VALUE(RIGHT(SUBSTITUTE(SUBSTITUTE(SUBSTITUTE(TRIM($G143),"-",""),".",""),"/",""),2))),DATEVALUE($G143))),""))</f>
        <v/>
      </c>
      <c r="V143" s="52" t="str">
        <f aca="false">IF($H143="","",IFERROR(IF(IF(ISNUMBER($H143),$H143,IFERROR(TIMEVALUE($H143),VALUE($H143)))&gt;=100,INT(IF(ISNUMBER($H143),$H143,IFERROR(TIMEVALUE($H143),VALUE($H143)))/100)*60+MOD(IF(ISNUMBER($H143),$H143,IFERROR(TIMEVALUE($H143),VALUE($H143))),100),IF(IF(ISNUMBER($H143),$H143,IFERROR(TIMEVALUE($H143),VALUE($H143)))&gt;=1,ROUND(IF(ISNUMBER($H143),$H143,IFERROR(TIMEVALUE($H143),VALUE($H143)))*60,0),ROUND(MOD(IF(ISNUMBER($H143),$H143,IFERROR(TIMEVALUE($H143),VALUE($H143))),1)*1440,0))),""))</f>
        <v/>
      </c>
      <c r="W143" s="52" t="str">
        <f aca="false">IF($I143="","",IFERROR(IF(IF(ISNUMBER($I143),$I143,IFERROR(TIMEVALUE($I143),VALUE($I143)))&gt;=100,INT(IF(ISNUMBER($I143),$I143,IFERROR(TIMEVALUE($I143),VALUE($I143)))/100)*60+MOD(IF(ISNUMBER($I143),$I143,IFERROR(TIMEVALUE($I143),VALUE($I143))),100),IF(IF(ISNUMBER($I143),$I143,IFERROR(TIMEVALUE($I143),VALUE($I143)))&gt;=1,ROUND(IF(ISNUMBER($I143),$I143,IFERROR(TIMEVALUE($I143),VALUE($I143)))*60,0),ROUND(MOD(IF(ISNUMBER($I143),$I143,IFERROR(TIMEVALUE($I143),VALUE($I143))),1)*1440,0))),""))</f>
        <v/>
      </c>
      <c r="X143" s="55" t="str">
        <f aca="false">IF($P143="","",IFERROR(IF(ISNUMBER($P143),IF($P143&gt;19000000,DATE(INT($P143/10000),MOD(INT($P143/100),100),MOD($P143,100)),INT($P143)),IF(LEN(SUBSTITUTE(SUBSTITUTE(SUBSTITUTE(TRIM($P143),"-",""),".",""),"/",""))=8,DATE(VALUE(LEFT(SUBSTITUTE(SUBSTITUTE(SUBSTITUTE(TRIM($P143),"-",""),".",""),"/",""),4)),VALUE(MID(SUBSTITUTE(SUBSTITUTE(SUBSTITUTE(TRIM($P143),"-",""),".",""),"/",""),5,2)),VALUE(RIGHT(SUBSTITUTE(SUBSTITUTE(SUBSTITUTE(TRIM($P143),"-",""),".",""),"/",""),2))),DATEVALUE($P143))),""))</f>
        <v/>
      </c>
      <c r="Y143" s="56" t="str">
        <f aca="false">IF($M143="","",IFERROR(INDEX(강사DB!$D$4:$D$53,MATCH($M143,강사DB!$A$4:$A$53,0)),""))</f>
        <v/>
      </c>
      <c r="Z143" s="56" t="str">
        <f aca="false">IF($B143&lt;&gt;"결제완료","",IF(OR($Y143="",$J143=""),"",$Y143*$J143+MAX(0,N($K143)-1)*설정!$J$7))</f>
        <v/>
      </c>
      <c r="AA143" s="56" t="str">
        <f aca="false">IF(AND($D143&lt;&gt;"",$B143="결제완료"),N($N143),"")</f>
        <v/>
      </c>
      <c r="AB143" s="45" t="str">
        <f aca="false">IF($D143="","",IF($F143&lt;&gt;"",$F143,$D143)&amp;IF($B143="상담중"," (상담)",""))</f>
        <v/>
      </c>
      <c r="AC143" s="45" t="n">
        <f aca="false">IF(AND($D143&lt;&gt;"",OR($B143="결제완료",$B143="상담중")),1,0)</f>
        <v>0</v>
      </c>
      <c r="AD143" s="45" t="n">
        <f aca="false">IF(OR($Z143="",$U143=""),0,IFERROR(IF(COUNTIFS(INDEX(g_grid,0,2*MATCH($M143,강사DB!$A$4:$A$15,0)),"&lt;&gt;",g_s,"&lt;="&amp;$U143,g_e,"&gt;="&amp;$U143)&gt;0,1,0),0))</f>
        <v>0</v>
      </c>
      <c r="AE143" s="48"/>
      <c r="AF143" s="56" t="str">
        <f aca="false">IF(AND($D143&lt;&gt;"",$B143="결제완료",$T143="대여"),설정!$J$5,"")</f>
        <v/>
      </c>
      <c r="AG143" s="54" t="str">
        <f aca="false">IF($D143="","",IF(AND($E143="",$R143=""),$AB143,"☎ "&amp;IF($E143="","-",$E143)&amp;IF($R143&lt;&gt;"","  ※ "&amp;$R143,"")&amp;IF($B143="상담중"," (상담)","")))</f>
        <v/>
      </c>
      <c r="AH143" s="56" t="str">
        <f aca="false">IF(AND($D143&lt;&gt;"",$B143="결제완료",$O143="스마트스토어"),ROUND(N($N143)*설정!$J$6,0),"")</f>
        <v/>
      </c>
      <c r="AI143" s="54" t="str">
        <f aca="false">IF($D143="","",ROW())</f>
        <v/>
      </c>
      <c r="AJ143" s="54" t="n">
        <f aca="false">IF(OR($AC143&lt;&gt;1,$M143=""),0,IF(ISNUMBER(SEARCH("퇴사",IFERROR(INDEX(강사DB!$G$4:$G$53,MATCH($M143,강사DB!$A$4:$A$53,0)),""))),1,0))</f>
        <v>0</v>
      </c>
    </row>
    <row r="144" customFormat="false" ht="15" hidden="false" customHeight="false" outlineLevel="0" collapsed="false">
      <c r="A144" s="45" t="str">
        <f aca="false">IF($D144="","",COUNTA($D$5:$D144))</f>
        <v/>
      </c>
      <c r="B144" s="46"/>
      <c r="C144" s="47"/>
      <c r="D144" s="48"/>
      <c r="E144" s="48"/>
      <c r="F144" s="49"/>
      <c r="G144" s="47"/>
      <c r="H144" s="50"/>
      <c r="I144" s="50"/>
      <c r="J144" s="51" t="str">
        <f aca="false">IF(OR($V144="",$W144=""),"",ROUND(($W144-$V144)/60,2))</f>
        <v/>
      </c>
      <c r="K144" s="52" t="str">
        <f aca="false">IF($F144="","",LEN($F144)-LEN(SUBSTITUTE($F144,",",""))+1)</f>
        <v/>
      </c>
      <c r="L144" s="45" t="str">
        <f aca="false">IF($K144="","","1:"&amp;$K144)</f>
        <v/>
      </c>
      <c r="M144" s="46"/>
      <c r="N144" s="53"/>
      <c r="O144" s="46"/>
      <c r="P144" s="47"/>
      <c r="Q144" s="48"/>
      <c r="R144" s="49"/>
      <c r="S144" s="54" t="str">
        <f aca="false">IF(OR($AC144=0,$U144="",$M144="",$V144="",$W144=""),"",IF(COUNTIFS(m_teacher,$M144,m_date,$U144,m_active,1,m_start,"&lt;"&amp;$W144,m_end,"&gt;"&amp;$V144)&gt;1,"충돌",""))</f>
        <v/>
      </c>
      <c r="T144" s="48"/>
      <c r="U144" s="55" t="str">
        <f aca="false">IF($G144="","",IFERROR(IF(ISNUMBER($G144),IF($G144&gt;19000000,DATE(INT($G144/10000),MOD(INT($G144/100),100),MOD($G144,100)),INT($G144)),IF(LEN(SUBSTITUTE(SUBSTITUTE(SUBSTITUTE(TRIM($G144),"-",""),".",""),"/",""))=8,DATE(VALUE(LEFT(SUBSTITUTE(SUBSTITUTE(SUBSTITUTE(TRIM($G144),"-",""),".",""),"/",""),4)),VALUE(MID(SUBSTITUTE(SUBSTITUTE(SUBSTITUTE(TRIM($G144),"-",""),".",""),"/",""),5,2)),VALUE(RIGHT(SUBSTITUTE(SUBSTITUTE(SUBSTITUTE(TRIM($G144),"-",""),".",""),"/",""),2))),DATEVALUE($G144))),""))</f>
        <v/>
      </c>
      <c r="V144" s="52" t="str">
        <f aca="false">IF($H144="","",IFERROR(IF(IF(ISNUMBER($H144),$H144,IFERROR(TIMEVALUE($H144),VALUE($H144)))&gt;=100,INT(IF(ISNUMBER($H144),$H144,IFERROR(TIMEVALUE($H144),VALUE($H144)))/100)*60+MOD(IF(ISNUMBER($H144),$H144,IFERROR(TIMEVALUE($H144),VALUE($H144))),100),IF(IF(ISNUMBER($H144),$H144,IFERROR(TIMEVALUE($H144),VALUE($H144)))&gt;=1,ROUND(IF(ISNUMBER($H144),$H144,IFERROR(TIMEVALUE($H144),VALUE($H144)))*60,0),ROUND(MOD(IF(ISNUMBER($H144),$H144,IFERROR(TIMEVALUE($H144),VALUE($H144))),1)*1440,0))),""))</f>
        <v/>
      </c>
      <c r="W144" s="52" t="str">
        <f aca="false">IF($I144="","",IFERROR(IF(IF(ISNUMBER($I144),$I144,IFERROR(TIMEVALUE($I144),VALUE($I144)))&gt;=100,INT(IF(ISNUMBER($I144),$I144,IFERROR(TIMEVALUE($I144),VALUE($I144)))/100)*60+MOD(IF(ISNUMBER($I144),$I144,IFERROR(TIMEVALUE($I144),VALUE($I144))),100),IF(IF(ISNUMBER($I144),$I144,IFERROR(TIMEVALUE($I144),VALUE($I144)))&gt;=1,ROUND(IF(ISNUMBER($I144),$I144,IFERROR(TIMEVALUE($I144),VALUE($I144)))*60,0),ROUND(MOD(IF(ISNUMBER($I144),$I144,IFERROR(TIMEVALUE($I144),VALUE($I144))),1)*1440,0))),""))</f>
        <v/>
      </c>
      <c r="X144" s="55" t="str">
        <f aca="false">IF($P144="","",IFERROR(IF(ISNUMBER($P144),IF($P144&gt;19000000,DATE(INT($P144/10000),MOD(INT($P144/100),100),MOD($P144,100)),INT($P144)),IF(LEN(SUBSTITUTE(SUBSTITUTE(SUBSTITUTE(TRIM($P144),"-",""),".",""),"/",""))=8,DATE(VALUE(LEFT(SUBSTITUTE(SUBSTITUTE(SUBSTITUTE(TRIM($P144),"-",""),".",""),"/",""),4)),VALUE(MID(SUBSTITUTE(SUBSTITUTE(SUBSTITUTE(TRIM($P144),"-",""),".",""),"/",""),5,2)),VALUE(RIGHT(SUBSTITUTE(SUBSTITUTE(SUBSTITUTE(TRIM($P144),"-",""),".",""),"/",""),2))),DATEVALUE($P144))),""))</f>
        <v/>
      </c>
      <c r="Y144" s="56" t="str">
        <f aca="false">IF($M144="","",IFERROR(INDEX(강사DB!$D$4:$D$53,MATCH($M144,강사DB!$A$4:$A$53,0)),""))</f>
        <v/>
      </c>
      <c r="Z144" s="56" t="str">
        <f aca="false">IF($B144&lt;&gt;"결제완료","",IF(OR($Y144="",$J144=""),"",$Y144*$J144+MAX(0,N($K144)-1)*설정!$J$7))</f>
        <v/>
      </c>
      <c r="AA144" s="56" t="str">
        <f aca="false">IF(AND($D144&lt;&gt;"",$B144="결제완료"),N($N144),"")</f>
        <v/>
      </c>
      <c r="AB144" s="45" t="str">
        <f aca="false">IF($D144="","",IF($F144&lt;&gt;"",$F144,$D144)&amp;IF($B144="상담중"," (상담)",""))</f>
        <v/>
      </c>
      <c r="AC144" s="45" t="n">
        <f aca="false">IF(AND($D144&lt;&gt;"",OR($B144="결제완료",$B144="상담중")),1,0)</f>
        <v>0</v>
      </c>
      <c r="AD144" s="45" t="n">
        <f aca="false">IF(OR($Z144="",$U144=""),0,IFERROR(IF(COUNTIFS(INDEX(g_grid,0,2*MATCH($M144,강사DB!$A$4:$A$15,0)),"&lt;&gt;",g_s,"&lt;="&amp;$U144,g_e,"&gt;="&amp;$U144)&gt;0,1,0),0))</f>
        <v>0</v>
      </c>
      <c r="AE144" s="48"/>
      <c r="AF144" s="56" t="str">
        <f aca="false">IF(AND($D144&lt;&gt;"",$B144="결제완료",$T144="대여"),설정!$J$5,"")</f>
        <v/>
      </c>
      <c r="AG144" s="54" t="str">
        <f aca="false">IF($D144="","",IF(AND($E144="",$R144=""),$AB144,"☎ "&amp;IF($E144="","-",$E144)&amp;IF($R144&lt;&gt;"","  ※ "&amp;$R144,"")&amp;IF($B144="상담중"," (상담)","")))</f>
        <v/>
      </c>
      <c r="AH144" s="56" t="str">
        <f aca="false">IF(AND($D144&lt;&gt;"",$B144="결제완료",$O144="스마트스토어"),ROUND(N($N144)*설정!$J$6,0),"")</f>
        <v/>
      </c>
      <c r="AI144" s="54" t="str">
        <f aca="false">IF($D144="","",ROW())</f>
        <v/>
      </c>
      <c r="AJ144" s="54" t="n">
        <f aca="false">IF(OR($AC144&lt;&gt;1,$M144=""),0,IF(ISNUMBER(SEARCH("퇴사",IFERROR(INDEX(강사DB!$G$4:$G$53,MATCH($M144,강사DB!$A$4:$A$53,0)),""))),1,0))</f>
        <v>0</v>
      </c>
    </row>
    <row r="145" customFormat="false" ht="15" hidden="false" customHeight="false" outlineLevel="0" collapsed="false">
      <c r="A145" s="45" t="str">
        <f aca="false">IF($D145="","",COUNTA($D$5:$D145))</f>
        <v/>
      </c>
      <c r="B145" s="46"/>
      <c r="C145" s="47"/>
      <c r="D145" s="48"/>
      <c r="E145" s="48"/>
      <c r="F145" s="49"/>
      <c r="G145" s="47"/>
      <c r="H145" s="50"/>
      <c r="I145" s="50"/>
      <c r="J145" s="51" t="str">
        <f aca="false">IF(OR($V145="",$W145=""),"",ROUND(($W145-$V145)/60,2))</f>
        <v/>
      </c>
      <c r="K145" s="52" t="str">
        <f aca="false">IF($F145="","",LEN($F145)-LEN(SUBSTITUTE($F145,",",""))+1)</f>
        <v/>
      </c>
      <c r="L145" s="45" t="str">
        <f aca="false">IF($K145="","","1:"&amp;$K145)</f>
        <v/>
      </c>
      <c r="M145" s="46"/>
      <c r="N145" s="53"/>
      <c r="O145" s="46"/>
      <c r="P145" s="47"/>
      <c r="Q145" s="48"/>
      <c r="R145" s="49"/>
      <c r="S145" s="54" t="str">
        <f aca="false">IF(OR($AC145=0,$U145="",$M145="",$V145="",$W145=""),"",IF(COUNTIFS(m_teacher,$M145,m_date,$U145,m_active,1,m_start,"&lt;"&amp;$W145,m_end,"&gt;"&amp;$V145)&gt;1,"충돌",""))</f>
        <v/>
      </c>
      <c r="T145" s="48"/>
      <c r="U145" s="55" t="str">
        <f aca="false">IF($G145="","",IFERROR(IF(ISNUMBER($G145),IF($G145&gt;19000000,DATE(INT($G145/10000),MOD(INT($G145/100),100),MOD($G145,100)),INT($G145)),IF(LEN(SUBSTITUTE(SUBSTITUTE(SUBSTITUTE(TRIM($G145),"-",""),".",""),"/",""))=8,DATE(VALUE(LEFT(SUBSTITUTE(SUBSTITUTE(SUBSTITUTE(TRIM($G145),"-",""),".",""),"/",""),4)),VALUE(MID(SUBSTITUTE(SUBSTITUTE(SUBSTITUTE(TRIM($G145),"-",""),".",""),"/",""),5,2)),VALUE(RIGHT(SUBSTITUTE(SUBSTITUTE(SUBSTITUTE(TRIM($G145),"-",""),".",""),"/",""),2))),DATEVALUE($G145))),""))</f>
        <v/>
      </c>
      <c r="V145" s="52" t="str">
        <f aca="false">IF($H145="","",IFERROR(IF(IF(ISNUMBER($H145),$H145,IFERROR(TIMEVALUE($H145),VALUE($H145)))&gt;=100,INT(IF(ISNUMBER($H145),$H145,IFERROR(TIMEVALUE($H145),VALUE($H145)))/100)*60+MOD(IF(ISNUMBER($H145),$H145,IFERROR(TIMEVALUE($H145),VALUE($H145))),100),IF(IF(ISNUMBER($H145),$H145,IFERROR(TIMEVALUE($H145),VALUE($H145)))&gt;=1,ROUND(IF(ISNUMBER($H145),$H145,IFERROR(TIMEVALUE($H145),VALUE($H145)))*60,0),ROUND(MOD(IF(ISNUMBER($H145),$H145,IFERROR(TIMEVALUE($H145),VALUE($H145))),1)*1440,0))),""))</f>
        <v/>
      </c>
      <c r="W145" s="52" t="str">
        <f aca="false">IF($I145="","",IFERROR(IF(IF(ISNUMBER($I145),$I145,IFERROR(TIMEVALUE($I145),VALUE($I145)))&gt;=100,INT(IF(ISNUMBER($I145),$I145,IFERROR(TIMEVALUE($I145),VALUE($I145)))/100)*60+MOD(IF(ISNUMBER($I145),$I145,IFERROR(TIMEVALUE($I145),VALUE($I145))),100),IF(IF(ISNUMBER($I145),$I145,IFERROR(TIMEVALUE($I145),VALUE($I145)))&gt;=1,ROUND(IF(ISNUMBER($I145),$I145,IFERROR(TIMEVALUE($I145),VALUE($I145)))*60,0),ROUND(MOD(IF(ISNUMBER($I145),$I145,IFERROR(TIMEVALUE($I145),VALUE($I145))),1)*1440,0))),""))</f>
        <v/>
      </c>
      <c r="X145" s="55" t="str">
        <f aca="false">IF($P145="","",IFERROR(IF(ISNUMBER($P145),IF($P145&gt;19000000,DATE(INT($P145/10000),MOD(INT($P145/100),100),MOD($P145,100)),INT($P145)),IF(LEN(SUBSTITUTE(SUBSTITUTE(SUBSTITUTE(TRIM($P145),"-",""),".",""),"/",""))=8,DATE(VALUE(LEFT(SUBSTITUTE(SUBSTITUTE(SUBSTITUTE(TRIM($P145),"-",""),".",""),"/",""),4)),VALUE(MID(SUBSTITUTE(SUBSTITUTE(SUBSTITUTE(TRIM($P145),"-",""),".",""),"/",""),5,2)),VALUE(RIGHT(SUBSTITUTE(SUBSTITUTE(SUBSTITUTE(TRIM($P145),"-",""),".",""),"/",""),2))),DATEVALUE($P145))),""))</f>
        <v/>
      </c>
      <c r="Y145" s="56" t="str">
        <f aca="false">IF($M145="","",IFERROR(INDEX(강사DB!$D$4:$D$53,MATCH($M145,강사DB!$A$4:$A$53,0)),""))</f>
        <v/>
      </c>
      <c r="Z145" s="56" t="str">
        <f aca="false">IF($B145&lt;&gt;"결제완료","",IF(OR($Y145="",$J145=""),"",$Y145*$J145+MAX(0,N($K145)-1)*설정!$J$7))</f>
        <v/>
      </c>
      <c r="AA145" s="56" t="str">
        <f aca="false">IF(AND($D145&lt;&gt;"",$B145="결제완료"),N($N145),"")</f>
        <v/>
      </c>
      <c r="AB145" s="45" t="str">
        <f aca="false">IF($D145="","",IF($F145&lt;&gt;"",$F145,$D145)&amp;IF($B145="상담중"," (상담)",""))</f>
        <v/>
      </c>
      <c r="AC145" s="45" t="n">
        <f aca="false">IF(AND($D145&lt;&gt;"",OR($B145="결제완료",$B145="상담중")),1,0)</f>
        <v>0</v>
      </c>
      <c r="AD145" s="45" t="n">
        <f aca="false">IF(OR($Z145="",$U145=""),0,IFERROR(IF(COUNTIFS(INDEX(g_grid,0,2*MATCH($M145,강사DB!$A$4:$A$15,0)),"&lt;&gt;",g_s,"&lt;="&amp;$U145,g_e,"&gt;="&amp;$U145)&gt;0,1,0),0))</f>
        <v>0</v>
      </c>
      <c r="AE145" s="48"/>
      <c r="AF145" s="56" t="str">
        <f aca="false">IF(AND($D145&lt;&gt;"",$B145="결제완료",$T145="대여"),설정!$J$5,"")</f>
        <v/>
      </c>
      <c r="AG145" s="54" t="str">
        <f aca="false">IF($D145="","",IF(AND($E145="",$R145=""),$AB145,"☎ "&amp;IF($E145="","-",$E145)&amp;IF($R145&lt;&gt;"","  ※ "&amp;$R145,"")&amp;IF($B145="상담중"," (상담)","")))</f>
        <v/>
      </c>
      <c r="AH145" s="56" t="str">
        <f aca="false">IF(AND($D145&lt;&gt;"",$B145="결제완료",$O145="스마트스토어"),ROUND(N($N145)*설정!$J$6,0),"")</f>
        <v/>
      </c>
      <c r="AI145" s="54" t="str">
        <f aca="false">IF($D145="","",ROW())</f>
        <v/>
      </c>
      <c r="AJ145" s="54" t="n">
        <f aca="false">IF(OR($AC145&lt;&gt;1,$M145=""),0,IF(ISNUMBER(SEARCH("퇴사",IFERROR(INDEX(강사DB!$G$4:$G$53,MATCH($M145,강사DB!$A$4:$A$53,0)),""))),1,0))</f>
        <v>0</v>
      </c>
    </row>
    <row r="146" customFormat="false" ht="15" hidden="false" customHeight="false" outlineLevel="0" collapsed="false">
      <c r="A146" s="45" t="str">
        <f aca="false">IF($D146="","",COUNTA($D$5:$D146))</f>
        <v/>
      </c>
      <c r="B146" s="46"/>
      <c r="C146" s="47"/>
      <c r="D146" s="48"/>
      <c r="E146" s="48"/>
      <c r="F146" s="49"/>
      <c r="G146" s="47"/>
      <c r="H146" s="50"/>
      <c r="I146" s="50"/>
      <c r="J146" s="51" t="str">
        <f aca="false">IF(OR($V146="",$W146=""),"",ROUND(($W146-$V146)/60,2))</f>
        <v/>
      </c>
      <c r="K146" s="52" t="str">
        <f aca="false">IF($F146="","",LEN($F146)-LEN(SUBSTITUTE($F146,",",""))+1)</f>
        <v/>
      </c>
      <c r="L146" s="45" t="str">
        <f aca="false">IF($K146="","","1:"&amp;$K146)</f>
        <v/>
      </c>
      <c r="M146" s="46"/>
      <c r="N146" s="53"/>
      <c r="O146" s="46"/>
      <c r="P146" s="47"/>
      <c r="Q146" s="48"/>
      <c r="R146" s="49"/>
      <c r="S146" s="54" t="str">
        <f aca="false">IF(OR($AC146=0,$U146="",$M146="",$V146="",$W146=""),"",IF(COUNTIFS(m_teacher,$M146,m_date,$U146,m_active,1,m_start,"&lt;"&amp;$W146,m_end,"&gt;"&amp;$V146)&gt;1,"충돌",""))</f>
        <v/>
      </c>
      <c r="T146" s="48"/>
      <c r="U146" s="55" t="str">
        <f aca="false">IF($G146="","",IFERROR(IF(ISNUMBER($G146),IF($G146&gt;19000000,DATE(INT($G146/10000),MOD(INT($G146/100),100),MOD($G146,100)),INT($G146)),IF(LEN(SUBSTITUTE(SUBSTITUTE(SUBSTITUTE(TRIM($G146),"-",""),".",""),"/",""))=8,DATE(VALUE(LEFT(SUBSTITUTE(SUBSTITUTE(SUBSTITUTE(TRIM($G146),"-",""),".",""),"/",""),4)),VALUE(MID(SUBSTITUTE(SUBSTITUTE(SUBSTITUTE(TRIM($G146),"-",""),".",""),"/",""),5,2)),VALUE(RIGHT(SUBSTITUTE(SUBSTITUTE(SUBSTITUTE(TRIM($G146),"-",""),".",""),"/",""),2))),DATEVALUE($G146))),""))</f>
        <v/>
      </c>
      <c r="V146" s="52" t="str">
        <f aca="false">IF($H146="","",IFERROR(IF(IF(ISNUMBER($H146),$H146,IFERROR(TIMEVALUE($H146),VALUE($H146)))&gt;=100,INT(IF(ISNUMBER($H146),$H146,IFERROR(TIMEVALUE($H146),VALUE($H146)))/100)*60+MOD(IF(ISNUMBER($H146),$H146,IFERROR(TIMEVALUE($H146),VALUE($H146))),100),IF(IF(ISNUMBER($H146),$H146,IFERROR(TIMEVALUE($H146),VALUE($H146)))&gt;=1,ROUND(IF(ISNUMBER($H146),$H146,IFERROR(TIMEVALUE($H146),VALUE($H146)))*60,0),ROUND(MOD(IF(ISNUMBER($H146),$H146,IFERROR(TIMEVALUE($H146),VALUE($H146))),1)*1440,0))),""))</f>
        <v/>
      </c>
      <c r="W146" s="52" t="str">
        <f aca="false">IF($I146="","",IFERROR(IF(IF(ISNUMBER($I146),$I146,IFERROR(TIMEVALUE($I146),VALUE($I146)))&gt;=100,INT(IF(ISNUMBER($I146),$I146,IFERROR(TIMEVALUE($I146),VALUE($I146)))/100)*60+MOD(IF(ISNUMBER($I146),$I146,IFERROR(TIMEVALUE($I146),VALUE($I146))),100),IF(IF(ISNUMBER($I146),$I146,IFERROR(TIMEVALUE($I146),VALUE($I146)))&gt;=1,ROUND(IF(ISNUMBER($I146),$I146,IFERROR(TIMEVALUE($I146),VALUE($I146)))*60,0),ROUND(MOD(IF(ISNUMBER($I146),$I146,IFERROR(TIMEVALUE($I146),VALUE($I146))),1)*1440,0))),""))</f>
        <v/>
      </c>
      <c r="X146" s="55" t="str">
        <f aca="false">IF($P146="","",IFERROR(IF(ISNUMBER($P146),IF($P146&gt;19000000,DATE(INT($P146/10000),MOD(INT($P146/100),100),MOD($P146,100)),INT($P146)),IF(LEN(SUBSTITUTE(SUBSTITUTE(SUBSTITUTE(TRIM($P146),"-",""),".",""),"/",""))=8,DATE(VALUE(LEFT(SUBSTITUTE(SUBSTITUTE(SUBSTITUTE(TRIM($P146),"-",""),".",""),"/",""),4)),VALUE(MID(SUBSTITUTE(SUBSTITUTE(SUBSTITUTE(TRIM($P146),"-",""),".",""),"/",""),5,2)),VALUE(RIGHT(SUBSTITUTE(SUBSTITUTE(SUBSTITUTE(TRIM($P146),"-",""),".",""),"/",""),2))),DATEVALUE($P146))),""))</f>
        <v/>
      </c>
      <c r="Y146" s="56" t="str">
        <f aca="false">IF($M146="","",IFERROR(INDEX(강사DB!$D$4:$D$53,MATCH($M146,강사DB!$A$4:$A$53,0)),""))</f>
        <v/>
      </c>
      <c r="Z146" s="56" t="str">
        <f aca="false">IF($B146&lt;&gt;"결제완료","",IF(OR($Y146="",$J146=""),"",$Y146*$J146+MAX(0,N($K146)-1)*설정!$J$7))</f>
        <v/>
      </c>
      <c r="AA146" s="56" t="str">
        <f aca="false">IF(AND($D146&lt;&gt;"",$B146="결제완료"),N($N146),"")</f>
        <v/>
      </c>
      <c r="AB146" s="45" t="str">
        <f aca="false">IF($D146="","",IF($F146&lt;&gt;"",$F146,$D146)&amp;IF($B146="상담중"," (상담)",""))</f>
        <v/>
      </c>
      <c r="AC146" s="45" t="n">
        <f aca="false">IF(AND($D146&lt;&gt;"",OR($B146="결제완료",$B146="상담중")),1,0)</f>
        <v>0</v>
      </c>
      <c r="AD146" s="45" t="n">
        <f aca="false">IF(OR($Z146="",$U146=""),0,IFERROR(IF(COUNTIFS(INDEX(g_grid,0,2*MATCH($M146,강사DB!$A$4:$A$15,0)),"&lt;&gt;",g_s,"&lt;="&amp;$U146,g_e,"&gt;="&amp;$U146)&gt;0,1,0),0))</f>
        <v>0</v>
      </c>
      <c r="AE146" s="48"/>
      <c r="AF146" s="56" t="str">
        <f aca="false">IF(AND($D146&lt;&gt;"",$B146="결제완료",$T146="대여"),설정!$J$5,"")</f>
        <v/>
      </c>
      <c r="AG146" s="54" t="str">
        <f aca="false">IF($D146="","",IF(AND($E146="",$R146=""),$AB146,"☎ "&amp;IF($E146="","-",$E146)&amp;IF($R146&lt;&gt;"","  ※ "&amp;$R146,"")&amp;IF($B146="상담중"," (상담)","")))</f>
        <v/>
      </c>
      <c r="AH146" s="56" t="str">
        <f aca="false">IF(AND($D146&lt;&gt;"",$B146="결제완료",$O146="스마트스토어"),ROUND(N($N146)*설정!$J$6,0),"")</f>
        <v/>
      </c>
      <c r="AI146" s="54" t="str">
        <f aca="false">IF($D146="","",ROW())</f>
        <v/>
      </c>
      <c r="AJ146" s="54" t="n">
        <f aca="false">IF(OR($AC146&lt;&gt;1,$M146=""),0,IF(ISNUMBER(SEARCH("퇴사",IFERROR(INDEX(강사DB!$G$4:$G$53,MATCH($M146,강사DB!$A$4:$A$53,0)),""))),1,0))</f>
        <v>0</v>
      </c>
    </row>
    <row r="147" customFormat="false" ht="15" hidden="false" customHeight="false" outlineLevel="0" collapsed="false">
      <c r="A147" s="45" t="str">
        <f aca="false">IF($D147="","",COUNTA($D$5:$D147))</f>
        <v/>
      </c>
      <c r="B147" s="46"/>
      <c r="C147" s="47"/>
      <c r="D147" s="48"/>
      <c r="E147" s="48"/>
      <c r="F147" s="49"/>
      <c r="G147" s="47"/>
      <c r="H147" s="50"/>
      <c r="I147" s="50"/>
      <c r="J147" s="51" t="str">
        <f aca="false">IF(OR($V147="",$W147=""),"",ROUND(($W147-$V147)/60,2))</f>
        <v/>
      </c>
      <c r="K147" s="52" t="str">
        <f aca="false">IF($F147="","",LEN($F147)-LEN(SUBSTITUTE($F147,",",""))+1)</f>
        <v/>
      </c>
      <c r="L147" s="45" t="str">
        <f aca="false">IF($K147="","","1:"&amp;$K147)</f>
        <v/>
      </c>
      <c r="M147" s="46"/>
      <c r="N147" s="53"/>
      <c r="O147" s="46"/>
      <c r="P147" s="47"/>
      <c r="Q147" s="48"/>
      <c r="R147" s="49"/>
      <c r="S147" s="54" t="str">
        <f aca="false">IF(OR($AC147=0,$U147="",$M147="",$V147="",$W147=""),"",IF(COUNTIFS(m_teacher,$M147,m_date,$U147,m_active,1,m_start,"&lt;"&amp;$W147,m_end,"&gt;"&amp;$V147)&gt;1,"충돌",""))</f>
        <v/>
      </c>
      <c r="T147" s="48"/>
      <c r="U147" s="55" t="str">
        <f aca="false">IF($G147="","",IFERROR(IF(ISNUMBER($G147),IF($G147&gt;19000000,DATE(INT($G147/10000),MOD(INT($G147/100),100),MOD($G147,100)),INT($G147)),IF(LEN(SUBSTITUTE(SUBSTITUTE(SUBSTITUTE(TRIM($G147),"-",""),".",""),"/",""))=8,DATE(VALUE(LEFT(SUBSTITUTE(SUBSTITUTE(SUBSTITUTE(TRIM($G147),"-",""),".",""),"/",""),4)),VALUE(MID(SUBSTITUTE(SUBSTITUTE(SUBSTITUTE(TRIM($G147),"-",""),".",""),"/",""),5,2)),VALUE(RIGHT(SUBSTITUTE(SUBSTITUTE(SUBSTITUTE(TRIM($G147),"-",""),".",""),"/",""),2))),DATEVALUE($G147))),""))</f>
        <v/>
      </c>
      <c r="V147" s="52" t="str">
        <f aca="false">IF($H147="","",IFERROR(IF(IF(ISNUMBER($H147),$H147,IFERROR(TIMEVALUE($H147),VALUE($H147)))&gt;=100,INT(IF(ISNUMBER($H147),$H147,IFERROR(TIMEVALUE($H147),VALUE($H147)))/100)*60+MOD(IF(ISNUMBER($H147),$H147,IFERROR(TIMEVALUE($H147),VALUE($H147))),100),IF(IF(ISNUMBER($H147),$H147,IFERROR(TIMEVALUE($H147),VALUE($H147)))&gt;=1,ROUND(IF(ISNUMBER($H147),$H147,IFERROR(TIMEVALUE($H147),VALUE($H147)))*60,0),ROUND(MOD(IF(ISNUMBER($H147),$H147,IFERROR(TIMEVALUE($H147),VALUE($H147))),1)*1440,0))),""))</f>
        <v/>
      </c>
      <c r="W147" s="52" t="str">
        <f aca="false">IF($I147="","",IFERROR(IF(IF(ISNUMBER($I147),$I147,IFERROR(TIMEVALUE($I147),VALUE($I147)))&gt;=100,INT(IF(ISNUMBER($I147),$I147,IFERROR(TIMEVALUE($I147),VALUE($I147)))/100)*60+MOD(IF(ISNUMBER($I147),$I147,IFERROR(TIMEVALUE($I147),VALUE($I147))),100),IF(IF(ISNUMBER($I147),$I147,IFERROR(TIMEVALUE($I147),VALUE($I147)))&gt;=1,ROUND(IF(ISNUMBER($I147),$I147,IFERROR(TIMEVALUE($I147),VALUE($I147)))*60,0),ROUND(MOD(IF(ISNUMBER($I147),$I147,IFERROR(TIMEVALUE($I147),VALUE($I147))),1)*1440,0))),""))</f>
        <v/>
      </c>
      <c r="X147" s="55" t="str">
        <f aca="false">IF($P147="","",IFERROR(IF(ISNUMBER($P147),IF($P147&gt;19000000,DATE(INT($P147/10000),MOD(INT($P147/100),100),MOD($P147,100)),INT($P147)),IF(LEN(SUBSTITUTE(SUBSTITUTE(SUBSTITUTE(TRIM($P147),"-",""),".",""),"/",""))=8,DATE(VALUE(LEFT(SUBSTITUTE(SUBSTITUTE(SUBSTITUTE(TRIM($P147),"-",""),".",""),"/",""),4)),VALUE(MID(SUBSTITUTE(SUBSTITUTE(SUBSTITUTE(TRIM($P147),"-",""),".",""),"/",""),5,2)),VALUE(RIGHT(SUBSTITUTE(SUBSTITUTE(SUBSTITUTE(TRIM($P147),"-",""),".",""),"/",""),2))),DATEVALUE($P147))),""))</f>
        <v/>
      </c>
      <c r="Y147" s="56" t="str">
        <f aca="false">IF($M147="","",IFERROR(INDEX(강사DB!$D$4:$D$53,MATCH($M147,강사DB!$A$4:$A$53,0)),""))</f>
        <v/>
      </c>
      <c r="Z147" s="56" t="str">
        <f aca="false">IF($B147&lt;&gt;"결제완료","",IF(OR($Y147="",$J147=""),"",$Y147*$J147+MAX(0,N($K147)-1)*설정!$J$7))</f>
        <v/>
      </c>
      <c r="AA147" s="56" t="str">
        <f aca="false">IF(AND($D147&lt;&gt;"",$B147="결제완료"),N($N147),"")</f>
        <v/>
      </c>
      <c r="AB147" s="45" t="str">
        <f aca="false">IF($D147="","",IF($F147&lt;&gt;"",$F147,$D147)&amp;IF($B147="상담중"," (상담)",""))</f>
        <v/>
      </c>
      <c r="AC147" s="45" t="n">
        <f aca="false">IF(AND($D147&lt;&gt;"",OR($B147="결제완료",$B147="상담중")),1,0)</f>
        <v>0</v>
      </c>
      <c r="AD147" s="45" t="n">
        <f aca="false">IF(OR($Z147="",$U147=""),0,IFERROR(IF(COUNTIFS(INDEX(g_grid,0,2*MATCH($M147,강사DB!$A$4:$A$15,0)),"&lt;&gt;",g_s,"&lt;="&amp;$U147,g_e,"&gt;="&amp;$U147)&gt;0,1,0),0))</f>
        <v>0</v>
      </c>
      <c r="AE147" s="48"/>
      <c r="AF147" s="56" t="str">
        <f aca="false">IF(AND($D147&lt;&gt;"",$B147="결제완료",$T147="대여"),설정!$J$5,"")</f>
        <v/>
      </c>
      <c r="AG147" s="54" t="str">
        <f aca="false">IF($D147="","",IF(AND($E147="",$R147=""),$AB147,"☎ "&amp;IF($E147="","-",$E147)&amp;IF($R147&lt;&gt;"","  ※ "&amp;$R147,"")&amp;IF($B147="상담중"," (상담)","")))</f>
        <v/>
      </c>
      <c r="AH147" s="56" t="str">
        <f aca="false">IF(AND($D147&lt;&gt;"",$B147="결제완료",$O147="스마트스토어"),ROUND(N($N147)*설정!$J$6,0),"")</f>
        <v/>
      </c>
      <c r="AI147" s="54" t="str">
        <f aca="false">IF($D147="","",ROW())</f>
        <v/>
      </c>
      <c r="AJ147" s="54" t="n">
        <f aca="false">IF(OR($AC147&lt;&gt;1,$M147=""),0,IF(ISNUMBER(SEARCH("퇴사",IFERROR(INDEX(강사DB!$G$4:$G$53,MATCH($M147,강사DB!$A$4:$A$53,0)),""))),1,0))</f>
        <v>0</v>
      </c>
    </row>
    <row r="148" customFormat="false" ht="15" hidden="false" customHeight="false" outlineLevel="0" collapsed="false">
      <c r="A148" s="45" t="str">
        <f aca="false">IF($D148="","",COUNTA($D$5:$D148))</f>
        <v/>
      </c>
      <c r="B148" s="46"/>
      <c r="C148" s="47"/>
      <c r="D148" s="48"/>
      <c r="E148" s="48"/>
      <c r="F148" s="49"/>
      <c r="G148" s="47"/>
      <c r="H148" s="50"/>
      <c r="I148" s="50"/>
      <c r="J148" s="51" t="str">
        <f aca="false">IF(OR($V148="",$W148=""),"",ROUND(($W148-$V148)/60,2))</f>
        <v/>
      </c>
      <c r="K148" s="52" t="str">
        <f aca="false">IF($F148="","",LEN($F148)-LEN(SUBSTITUTE($F148,",",""))+1)</f>
        <v/>
      </c>
      <c r="L148" s="45" t="str">
        <f aca="false">IF($K148="","","1:"&amp;$K148)</f>
        <v/>
      </c>
      <c r="M148" s="46"/>
      <c r="N148" s="53"/>
      <c r="O148" s="46"/>
      <c r="P148" s="47"/>
      <c r="Q148" s="48"/>
      <c r="R148" s="49"/>
      <c r="S148" s="54" t="str">
        <f aca="false">IF(OR($AC148=0,$U148="",$M148="",$V148="",$W148=""),"",IF(COUNTIFS(m_teacher,$M148,m_date,$U148,m_active,1,m_start,"&lt;"&amp;$W148,m_end,"&gt;"&amp;$V148)&gt;1,"충돌",""))</f>
        <v/>
      </c>
      <c r="T148" s="48"/>
      <c r="U148" s="55" t="str">
        <f aca="false">IF($G148="","",IFERROR(IF(ISNUMBER($G148),IF($G148&gt;19000000,DATE(INT($G148/10000),MOD(INT($G148/100),100),MOD($G148,100)),INT($G148)),IF(LEN(SUBSTITUTE(SUBSTITUTE(SUBSTITUTE(TRIM($G148),"-",""),".",""),"/",""))=8,DATE(VALUE(LEFT(SUBSTITUTE(SUBSTITUTE(SUBSTITUTE(TRIM($G148),"-",""),".",""),"/",""),4)),VALUE(MID(SUBSTITUTE(SUBSTITUTE(SUBSTITUTE(TRIM($G148),"-",""),".",""),"/",""),5,2)),VALUE(RIGHT(SUBSTITUTE(SUBSTITUTE(SUBSTITUTE(TRIM($G148),"-",""),".",""),"/",""),2))),DATEVALUE($G148))),""))</f>
        <v/>
      </c>
      <c r="V148" s="52" t="str">
        <f aca="false">IF($H148="","",IFERROR(IF(IF(ISNUMBER($H148),$H148,IFERROR(TIMEVALUE($H148),VALUE($H148)))&gt;=100,INT(IF(ISNUMBER($H148),$H148,IFERROR(TIMEVALUE($H148),VALUE($H148)))/100)*60+MOD(IF(ISNUMBER($H148),$H148,IFERROR(TIMEVALUE($H148),VALUE($H148))),100),IF(IF(ISNUMBER($H148),$H148,IFERROR(TIMEVALUE($H148),VALUE($H148)))&gt;=1,ROUND(IF(ISNUMBER($H148),$H148,IFERROR(TIMEVALUE($H148),VALUE($H148)))*60,0),ROUND(MOD(IF(ISNUMBER($H148),$H148,IFERROR(TIMEVALUE($H148),VALUE($H148))),1)*1440,0))),""))</f>
        <v/>
      </c>
      <c r="W148" s="52" t="str">
        <f aca="false">IF($I148="","",IFERROR(IF(IF(ISNUMBER($I148),$I148,IFERROR(TIMEVALUE($I148),VALUE($I148)))&gt;=100,INT(IF(ISNUMBER($I148),$I148,IFERROR(TIMEVALUE($I148),VALUE($I148)))/100)*60+MOD(IF(ISNUMBER($I148),$I148,IFERROR(TIMEVALUE($I148),VALUE($I148))),100),IF(IF(ISNUMBER($I148),$I148,IFERROR(TIMEVALUE($I148),VALUE($I148)))&gt;=1,ROUND(IF(ISNUMBER($I148),$I148,IFERROR(TIMEVALUE($I148),VALUE($I148)))*60,0),ROUND(MOD(IF(ISNUMBER($I148),$I148,IFERROR(TIMEVALUE($I148),VALUE($I148))),1)*1440,0))),""))</f>
        <v/>
      </c>
      <c r="X148" s="55" t="str">
        <f aca="false">IF($P148="","",IFERROR(IF(ISNUMBER($P148),IF($P148&gt;19000000,DATE(INT($P148/10000),MOD(INT($P148/100),100),MOD($P148,100)),INT($P148)),IF(LEN(SUBSTITUTE(SUBSTITUTE(SUBSTITUTE(TRIM($P148),"-",""),".",""),"/",""))=8,DATE(VALUE(LEFT(SUBSTITUTE(SUBSTITUTE(SUBSTITUTE(TRIM($P148),"-",""),".",""),"/",""),4)),VALUE(MID(SUBSTITUTE(SUBSTITUTE(SUBSTITUTE(TRIM($P148),"-",""),".",""),"/",""),5,2)),VALUE(RIGHT(SUBSTITUTE(SUBSTITUTE(SUBSTITUTE(TRIM($P148),"-",""),".",""),"/",""),2))),DATEVALUE($P148))),""))</f>
        <v/>
      </c>
      <c r="Y148" s="56" t="str">
        <f aca="false">IF($M148="","",IFERROR(INDEX(강사DB!$D$4:$D$53,MATCH($M148,강사DB!$A$4:$A$53,0)),""))</f>
        <v/>
      </c>
      <c r="Z148" s="56" t="str">
        <f aca="false">IF($B148&lt;&gt;"결제완료","",IF(OR($Y148="",$J148=""),"",$Y148*$J148+MAX(0,N($K148)-1)*설정!$J$7))</f>
        <v/>
      </c>
      <c r="AA148" s="56" t="str">
        <f aca="false">IF(AND($D148&lt;&gt;"",$B148="결제완료"),N($N148),"")</f>
        <v/>
      </c>
      <c r="AB148" s="45" t="str">
        <f aca="false">IF($D148="","",IF($F148&lt;&gt;"",$F148,$D148)&amp;IF($B148="상담중"," (상담)",""))</f>
        <v/>
      </c>
      <c r="AC148" s="45" t="n">
        <f aca="false">IF(AND($D148&lt;&gt;"",OR($B148="결제완료",$B148="상담중")),1,0)</f>
        <v>0</v>
      </c>
      <c r="AD148" s="45" t="n">
        <f aca="false">IF(OR($Z148="",$U148=""),0,IFERROR(IF(COUNTIFS(INDEX(g_grid,0,2*MATCH($M148,강사DB!$A$4:$A$15,0)),"&lt;&gt;",g_s,"&lt;="&amp;$U148,g_e,"&gt;="&amp;$U148)&gt;0,1,0),0))</f>
        <v>0</v>
      </c>
      <c r="AE148" s="48"/>
      <c r="AF148" s="56" t="str">
        <f aca="false">IF(AND($D148&lt;&gt;"",$B148="결제완료",$T148="대여"),설정!$J$5,"")</f>
        <v/>
      </c>
      <c r="AG148" s="54" t="str">
        <f aca="false">IF($D148="","",IF(AND($E148="",$R148=""),$AB148,"☎ "&amp;IF($E148="","-",$E148)&amp;IF($R148&lt;&gt;"","  ※ "&amp;$R148,"")&amp;IF($B148="상담중"," (상담)","")))</f>
        <v/>
      </c>
      <c r="AH148" s="56" t="str">
        <f aca="false">IF(AND($D148&lt;&gt;"",$B148="결제완료",$O148="스마트스토어"),ROUND(N($N148)*설정!$J$6,0),"")</f>
        <v/>
      </c>
      <c r="AI148" s="54" t="str">
        <f aca="false">IF($D148="","",ROW())</f>
        <v/>
      </c>
      <c r="AJ148" s="54" t="n">
        <f aca="false">IF(OR($AC148&lt;&gt;1,$M148=""),0,IF(ISNUMBER(SEARCH("퇴사",IFERROR(INDEX(강사DB!$G$4:$G$53,MATCH($M148,강사DB!$A$4:$A$53,0)),""))),1,0))</f>
        <v>0</v>
      </c>
    </row>
    <row r="149" customFormat="false" ht="15" hidden="false" customHeight="false" outlineLevel="0" collapsed="false">
      <c r="A149" s="45" t="str">
        <f aca="false">IF($D149="","",COUNTA($D$5:$D149))</f>
        <v/>
      </c>
      <c r="B149" s="46"/>
      <c r="C149" s="47"/>
      <c r="D149" s="48"/>
      <c r="E149" s="48"/>
      <c r="F149" s="49"/>
      <c r="G149" s="47"/>
      <c r="H149" s="50"/>
      <c r="I149" s="50"/>
      <c r="J149" s="51" t="str">
        <f aca="false">IF(OR($V149="",$W149=""),"",ROUND(($W149-$V149)/60,2))</f>
        <v/>
      </c>
      <c r="K149" s="52" t="str">
        <f aca="false">IF($F149="","",LEN($F149)-LEN(SUBSTITUTE($F149,",",""))+1)</f>
        <v/>
      </c>
      <c r="L149" s="45" t="str">
        <f aca="false">IF($K149="","","1:"&amp;$K149)</f>
        <v/>
      </c>
      <c r="M149" s="46"/>
      <c r="N149" s="53"/>
      <c r="O149" s="46"/>
      <c r="P149" s="47"/>
      <c r="Q149" s="48"/>
      <c r="R149" s="49"/>
      <c r="S149" s="54" t="str">
        <f aca="false">IF(OR($AC149=0,$U149="",$M149="",$V149="",$W149=""),"",IF(COUNTIFS(m_teacher,$M149,m_date,$U149,m_active,1,m_start,"&lt;"&amp;$W149,m_end,"&gt;"&amp;$V149)&gt;1,"충돌",""))</f>
        <v/>
      </c>
      <c r="T149" s="48"/>
      <c r="U149" s="55" t="str">
        <f aca="false">IF($G149="","",IFERROR(IF(ISNUMBER($G149),IF($G149&gt;19000000,DATE(INT($G149/10000),MOD(INT($G149/100),100),MOD($G149,100)),INT($G149)),IF(LEN(SUBSTITUTE(SUBSTITUTE(SUBSTITUTE(TRIM($G149),"-",""),".",""),"/",""))=8,DATE(VALUE(LEFT(SUBSTITUTE(SUBSTITUTE(SUBSTITUTE(TRIM($G149),"-",""),".",""),"/",""),4)),VALUE(MID(SUBSTITUTE(SUBSTITUTE(SUBSTITUTE(TRIM($G149),"-",""),".",""),"/",""),5,2)),VALUE(RIGHT(SUBSTITUTE(SUBSTITUTE(SUBSTITUTE(TRIM($G149),"-",""),".",""),"/",""),2))),DATEVALUE($G149))),""))</f>
        <v/>
      </c>
      <c r="V149" s="52" t="str">
        <f aca="false">IF($H149="","",IFERROR(IF(IF(ISNUMBER($H149),$H149,IFERROR(TIMEVALUE($H149),VALUE($H149)))&gt;=100,INT(IF(ISNUMBER($H149),$H149,IFERROR(TIMEVALUE($H149),VALUE($H149)))/100)*60+MOD(IF(ISNUMBER($H149),$H149,IFERROR(TIMEVALUE($H149),VALUE($H149))),100),IF(IF(ISNUMBER($H149),$H149,IFERROR(TIMEVALUE($H149),VALUE($H149)))&gt;=1,ROUND(IF(ISNUMBER($H149),$H149,IFERROR(TIMEVALUE($H149),VALUE($H149)))*60,0),ROUND(MOD(IF(ISNUMBER($H149),$H149,IFERROR(TIMEVALUE($H149),VALUE($H149))),1)*1440,0))),""))</f>
        <v/>
      </c>
      <c r="W149" s="52" t="str">
        <f aca="false">IF($I149="","",IFERROR(IF(IF(ISNUMBER($I149),$I149,IFERROR(TIMEVALUE($I149),VALUE($I149)))&gt;=100,INT(IF(ISNUMBER($I149),$I149,IFERROR(TIMEVALUE($I149),VALUE($I149)))/100)*60+MOD(IF(ISNUMBER($I149),$I149,IFERROR(TIMEVALUE($I149),VALUE($I149))),100),IF(IF(ISNUMBER($I149),$I149,IFERROR(TIMEVALUE($I149),VALUE($I149)))&gt;=1,ROUND(IF(ISNUMBER($I149),$I149,IFERROR(TIMEVALUE($I149),VALUE($I149)))*60,0),ROUND(MOD(IF(ISNUMBER($I149),$I149,IFERROR(TIMEVALUE($I149),VALUE($I149))),1)*1440,0))),""))</f>
        <v/>
      </c>
      <c r="X149" s="55" t="str">
        <f aca="false">IF($P149="","",IFERROR(IF(ISNUMBER($P149),IF($P149&gt;19000000,DATE(INT($P149/10000),MOD(INT($P149/100),100),MOD($P149,100)),INT($P149)),IF(LEN(SUBSTITUTE(SUBSTITUTE(SUBSTITUTE(TRIM($P149),"-",""),".",""),"/",""))=8,DATE(VALUE(LEFT(SUBSTITUTE(SUBSTITUTE(SUBSTITUTE(TRIM($P149),"-",""),".",""),"/",""),4)),VALUE(MID(SUBSTITUTE(SUBSTITUTE(SUBSTITUTE(TRIM($P149),"-",""),".",""),"/",""),5,2)),VALUE(RIGHT(SUBSTITUTE(SUBSTITUTE(SUBSTITUTE(TRIM($P149),"-",""),".",""),"/",""),2))),DATEVALUE($P149))),""))</f>
        <v/>
      </c>
      <c r="Y149" s="56" t="str">
        <f aca="false">IF($M149="","",IFERROR(INDEX(강사DB!$D$4:$D$53,MATCH($M149,강사DB!$A$4:$A$53,0)),""))</f>
        <v/>
      </c>
      <c r="Z149" s="56" t="str">
        <f aca="false">IF($B149&lt;&gt;"결제완료","",IF(OR($Y149="",$J149=""),"",$Y149*$J149+MAX(0,N($K149)-1)*설정!$J$7))</f>
        <v/>
      </c>
      <c r="AA149" s="56" t="str">
        <f aca="false">IF(AND($D149&lt;&gt;"",$B149="결제완료"),N($N149),"")</f>
        <v/>
      </c>
      <c r="AB149" s="45" t="str">
        <f aca="false">IF($D149="","",IF($F149&lt;&gt;"",$F149,$D149)&amp;IF($B149="상담중"," (상담)",""))</f>
        <v/>
      </c>
      <c r="AC149" s="45" t="n">
        <f aca="false">IF(AND($D149&lt;&gt;"",OR($B149="결제완료",$B149="상담중")),1,0)</f>
        <v>0</v>
      </c>
      <c r="AD149" s="45" t="n">
        <f aca="false">IF(OR($Z149="",$U149=""),0,IFERROR(IF(COUNTIFS(INDEX(g_grid,0,2*MATCH($M149,강사DB!$A$4:$A$15,0)),"&lt;&gt;",g_s,"&lt;="&amp;$U149,g_e,"&gt;="&amp;$U149)&gt;0,1,0),0))</f>
        <v>0</v>
      </c>
      <c r="AE149" s="48"/>
      <c r="AF149" s="56" t="str">
        <f aca="false">IF(AND($D149&lt;&gt;"",$B149="결제완료",$T149="대여"),설정!$J$5,"")</f>
        <v/>
      </c>
      <c r="AG149" s="54" t="str">
        <f aca="false">IF($D149="","",IF(AND($E149="",$R149=""),$AB149,"☎ "&amp;IF($E149="","-",$E149)&amp;IF($R149&lt;&gt;"","  ※ "&amp;$R149,"")&amp;IF($B149="상담중"," (상담)","")))</f>
        <v/>
      </c>
      <c r="AH149" s="56" t="str">
        <f aca="false">IF(AND($D149&lt;&gt;"",$B149="결제완료",$O149="스마트스토어"),ROUND(N($N149)*설정!$J$6,0),"")</f>
        <v/>
      </c>
      <c r="AI149" s="54" t="str">
        <f aca="false">IF($D149="","",ROW())</f>
        <v/>
      </c>
      <c r="AJ149" s="54" t="n">
        <f aca="false">IF(OR($AC149&lt;&gt;1,$M149=""),0,IF(ISNUMBER(SEARCH("퇴사",IFERROR(INDEX(강사DB!$G$4:$G$53,MATCH($M149,강사DB!$A$4:$A$53,0)),""))),1,0))</f>
        <v>0</v>
      </c>
    </row>
    <row r="150" customFormat="false" ht="15" hidden="false" customHeight="false" outlineLevel="0" collapsed="false">
      <c r="A150" s="45" t="str">
        <f aca="false">IF($D150="","",COUNTA($D$5:$D150))</f>
        <v/>
      </c>
      <c r="B150" s="46"/>
      <c r="C150" s="47"/>
      <c r="D150" s="48"/>
      <c r="E150" s="48"/>
      <c r="F150" s="49"/>
      <c r="G150" s="47"/>
      <c r="H150" s="50"/>
      <c r="I150" s="50"/>
      <c r="J150" s="51" t="str">
        <f aca="false">IF(OR($V150="",$W150=""),"",ROUND(($W150-$V150)/60,2))</f>
        <v/>
      </c>
      <c r="K150" s="52" t="str">
        <f aca="false">IF($F150="","",LEN($F150)-LEN(SUBSTITUTE($F150,",",""))+1)</f>
        <v/>
      </c>
      <c r="L150" s="45" t="str">
        <f aca="false">IF($K150="","","1:"&amp;$K150)</f>
        <v/>
      </c>
      <c r="M150" s="46"/>
      <c r="N150" s="53"/>
      <c r="O150" s="46"/>
      <c r="P150" s="47"/>
      <c r="Q150" s="48"/>
      <c r="R150" s="49"/>
      <c r="S150" s="54" t="str">
        <f aca="false">IF(OR($AC150=0,$U150="",$M150="",$V150="",$W150=""),"",IF(COUNTIFS(m_teacher,$M150,m_date,$U150,m_active,1,m_start,"&lt;"&amp;$W150,m_end,"&gt;"&amp;$V150)&gt;1,"충돌",""))</f>
        <v/>
      </c>
      <c r="T150" s="48"/>
      <c r="U150" s="55" t="str">
        <f aca="false">IF($G150="","",IFERROR(IF(ISNUMBER($G150),IF($G150&gt;19000000,DATE(INT($G150/10000),MOD(INT($G150/100),100),MOD($G150,100)),INT($G150)),IF(LEN(SUBSTITUTE(SUBSTITUTE(SUBSTITUTE(TRIM($G150),"-",""),".",""),"/",""))=8,DATE(VALUE(LEFT(SUBSTITUTE(SUBSTITUTE(SUBSTITUTE(TRIM($G150),"-",""),".",""),"/",""),4)),VALUE(MID(SUBSTITUTE(SUBSTITUTE(SUBSTITUTE(TRIM($G150),"-",""),".",""),"/",""),5,2)),VALUE(RIGHT(SUBSTITUTE(SUBSTITUTE(SUBSTITUTE(TRIM($G150),"-",""),".",""),"/",""),2))),DATEVALUE($G150))),""))</f>
        <v/>
      </c>
      <c r="V150" s="52" t="str">
        <f aca="false">IF($H150="","",IFERROR(IF(IF(ISNUMBER($H150),$H150,IFERROR(TIMEVALUE($H150),VALUE($H150)))&gt;=100,INT(IF(ISNUMBER($H150),$H150,IFERROR(TIMEVALUE($H150),VALUE($H150)))/100)*60+MOD(IF(ISNUMBER($H150),$H150,IFERROR(TIMEVALUE($H150),VALUE($H150))),100),IF(IF(ISNUMBER($H150),$H150,IFERROR(TIMEVALUE($H150),VALUE($H150)))&gt;=1,ROUND(IF(ISNUMBER($H150),$H150,IFERROR(TIMEVALUE($H150),VALUE($H150)))*60,0),ROUND(MOD(IF(ISNUMBER($H150),$H150,IFERROR(TIMEVALUE($H150),VALUE($H150))),1)*1440,0))),""))</f>
        <v/>
      </c>
      <c r="W150" s="52" t="str">
        <f aca="false">IF($I150="","",IFERROR(IF(IF(ISNUMBER($I150),$I150,IFERROR(TIMEVALUE($I150),VALUE($I150)))&gt;=100,INT(IF(ISNUMBER($I150),$I150,IFERROR(TIMEVALUE($I150),VALUE($I150)))/100)*60+MOD(IF(ISNUMBER($I150),$I150,IFERROR(TIMEVALUE($I150),VALUE($I150))),100),IF(IF(ISNUMBER($I150),$I150,IFERROR(TIMEVALUE($I150),VALUE($I150)))&gt;=1,ROUND(IF(ISNUMBER($I150),$I150,IFERROR(TIMEVALUE($I150),VALUE($I150)))*60,0),ROUND(MOD(IF(ISNUMBER($I150),$I150,IFERROR(TIMEVALUE($I150),VALUE($I150))),1)*1440,0))),""))</f>
        <v/>
      </c>
      <c r="X150" s="55" t="str">
        <f aca="false">IF($P150="","",IFERROR(IF(ISNUMBER($P150),IF($P150&gt;19000000,DATE(INT($P150/10000),MOD(INT($P150/100),100),MOD($P150,100)),INT($P150)),IF(LEN(SUBSTITUTE(SUBSTITUTE(SUBSTITUTE(TRIM($P150),"-",""),".",""),"/",""))=8,DATE(VALUE(LEFT(SUBSTITUTE(SUBSTITUTE(SUBSTITUTE(TRIM($P150),"-",""),".",""),"/",""),4)),VALUE(MID(SUBSTITUTE(SUBSTITUTE(SUBSTITUTE(TRIM($P150),"-",""),".",""),"/",""),5,2)),VALUE(RIGHT(SUBSTITUTE(SUBSTITUTE(SUBSTITUTE(TRIM($P150),"-",""),".",""),"/",""),2))),DATEVALUE($P150))),""))</f>
        <v/>
      </c>
      <c r="Y150" s="56" t="str">
        <f aca="false">IF($M150="","",IFERROR(INDEX(강사DB!$D$4:$D$53,MATCH($M150,강사DB!$A$4:$A$53,0)),""))</f>
        <v/>
      </c>
      <c r="Z150" s="56" t="str">
        <f aca="false">IF($B150&lt;&gt;"결제완료","",IF(OR($Y150="",$J150=""),"",$Y150*$J150+MAX(0,N($K150)-1)*설정!$J$7))</f>
        <v/>
      </c>
      <c r="AA150" s="56" t="str">
        <f aca="false">IF(AND($D150&lt;&gt;"",$B150="결제완료"),N($N150),"")</f>
        <v/>
      </c>
      <c r="AB150" s="45" t="str">
        <f aca="false">IF($D150="","",IF($F150&lt;&gt;"",$F150,$D150)&amp;IF($B150="상담중"," (상담)",""))</f>
        <v/>
      </c>
      <c r="AC150" s="45" t="n">
        <f aca="false">IF(AND($D150&lt;&gt;"",OR($B150="결제완료",$B150="상담중")),1,0)</f>
        <v>0</v>
      </c>
      <c r="AD150" s="45" t="n">
        <f aca="false">IF(OR($Z150="",$U150=""),0,IFERROR(IF(COUNTIFS(INDEX(g_grid,0,2*MATCH($M150,강사DB!$A$4:$A$15,0)),"&lt;&gt;",g_s,"&lt;="&amp;$U150,g_e,"&gt;="&amp;$U150)&gt;0,1,0),0))</f>
        <v>0</v>
      </c>
      <c r="AE150" s="48"/>
      <c r="AF150" s="56" t="str">
        <f aca="false">IF(AND($D150&lt;&gt;"",$B150="결제완료",$T150="대여"),설정!$J$5,"")</f>
        <v/>
      </c>
      <c r="AG150" s="54" t="str">
        <f aca="false">IF($D150="","",IF(AND($E150="",$R150=""),$AB150,"☎ "&amp;IF($E150="","-",$E150)&amp;IF($R150&lt;&gt;"","  ※ "&amp;$R150,"")&amp;IF($B150="상담중"," (상담)","")))</f>
        <v/>
      </c>
      <c r="AH150" s="56" t="str">
        <f aca="false">IF(AND($D150&lt;&gt;"",$B150="결제완료",$O150="스마트스토어"),ROUND(N($N150)*설정!$J$6,0),"")</f>
        <v/>
      </c>
      <c r="AI150" s="54" t="str">
        <f aca="false">IF($D150="","",ROW())</f>
        <v/>
      </c>
      <c r="AJ150" s="54" t="n">
        <f aca="false">IF(OR($AC150&lt;&gt;1,$M150=""),0,IF(ISNUMBER(SEARCH("퇴사",IFERROR(INDEX(강사DB!$G$4:$G$53,MATCH($M150,강사DB!$A$4:$A$53,0)),""))),1,0))</f>
        <v>0</v>
      </c>
    </row>
    <row r="151" customFormat="false" ht="15" hidden="false" customHeight="false" outlineLevel="0" collapsed="false">
      <c r="A151" s="45" t="str">
        <f aca="false">IF($D151="","",COUNTA($D$5:$D151))</f>
        <v/>
      </c>
      <c r="B151" s="46"/>
      <c r="C151" s="47"/>
      <c r="D151" s="48"/>
      <c r="E151" s="48"/>
      <c r="F151" s="49"/>
      <c r="G151" s="47"/>
      <c r="H151" s="50"/>
      <c r="I151" s="50"/>
      <c r="J151" s="51" t="str">
        <f aca="false">IF(OR($V151="",$W151=""),"",ROUND(($W151-$V151)/60,2))</f>
        <v/>
      </c>
      <c r="K151" s="52" t="str">
        <f aca="false">IF($F151="","",LEN($F151)-LEN(SUBSTITUTE($F151,",",""))+1)</f>
        <v/>
      </c>
      <c r="L151" s="45" t="str">
        <f aca="false">IF($K151="","","1:"&amp;$K151)</f>
        <v/>
      </c>
      <c r="M151" s="46"/>
      <c r="N151" s="53"/>
      <c r="O151" s="46"/>
      <c r="P151" s="47"/>
      <c r="Q151" s="48"/>
      <c r="R151" s="49"/>
      <c r="S151" s="54" t="str">
        <f aca="false">IF(OR($AC151=0,$U151="",$M151="",$V151="",$W151=""),"",IF(COUNTIFS(m_teacher,$M151,m_date,$U151,m_active,1,m_start,"&lt;"&amp;$W151,m_end,"&gt;"&amp;$V151)&gt;1,"충돌",""))</f>
        <v/>
      </c>
      <c r="T151" s="48"/>
      <c r="U151" s="55" t="str">
        <f aca="false">IF($G151="","",IFERROR(IF(ISNUMBER($G151),IF($G151&gt;19000000,DATE(INT($G151/10000),MOD(INT($G151/100),100),MOD($G151,100)),INT($G151)),IF(LEN(SUBSTITUTE(SUBSTITUTE(SUBSTITUTE(TRIM($G151),"-",""),".",""),"/",""))=8,DATE(VALUE(LEFT(SUBSTITUTE(SUBSTITUTE(SUBSTITUTE(TRIM($G151),"-",""),".",""),"/",""),4)),VALUE(MID(SUBSTITUTE(SUBSTITUTE(SUBSTITUTE(TRIM($G151),"-",""),".",""),"/",""),5,2)),VALUE(RIGHT(SUBSTITUTE(SUBSTITUTE(SUBSTITUTE(TRIM($G151),"-",""),".",""),"/",""),2))),DATEVALUE($G151))),""))</f>
        <v/>
      </c>
      <c r="V151" s="52" t="str">
        <f aca="false">IF($H151="","",IFERROR(IF(IF(ISNUMBER($H151),$H151,IFERROR(TIMEVALUE($H151),VALUE($H151)))&gt;=100,INT(IF(ISNUMBER($H151),$H151,IFERROR(TIMEVALUE($H151),VALUE($H151)))/100)*60+MOD(IF(ISNUMBER($H151),$H151,IFERROR(TIMEVALUE($H151),VALUE($H151))),100),IF(IF(ISNUMBER($H151),$H151,IFERROR(TIMEVALUE($H151),VALUE($H151)))&gt;=1,ROUND(IF(ISNUMBER($H151),$H151,IFERROR(TIMEVALUE($H151),VALUE($H151)))*60,0),ROUND(MOD(IF(ISNUMBER($H151),$H151,IFERROR(TIMEVALUE($H151),VALUE($H151))),1)*1440,0))),""))</f>
        <v/>
      </c>
      <c r="W151" s="52" t="str">
        <f aca="false">IF($I151="","",IFERROR(IF(IF(ISNUMBER($I151),$I151,IFERROR(TIMEVALUE($I151),VALUE($I151)))&gt;=100,INT(IF(ISNUMBER($I151),$I151,IFERROR(TIMEVALUE($I151),VALUE($I151)))/100)*60+MOD(IF(ISNUMBER($I151),$I151,IFERROR(TIMEVALUE($I151),VALUE($I151))),100),IF(IF(ISNUMBER($I151),$I151,IFERROR(TIMEVALUE($I151),VALUE($I151)))&gt;=1,ROUND(IF(ISNUMBER($I151),$I151,IFERROR(TIMEVALUE($I151),VALUE($I151)))*60,0),ROUND(MOD(IF(ISNUMBER($I151),$I151,IFERROR(TIMEVALUE($I151),VALUE($I151))),1)*1440,0))),""))</f>
        <v/>
      </c>
      <c r="X151" s="55" t="str">
        <f aca="false">IF($P151="","",IFERROR(IF(ISNUMBER($P151),IF($P151&gt;19000000,DATE(INT($P151/10000),MOD(INT($P151/100),100),MOD($P151,100)),INT($P151)),IF(LEN(SUBSTITUTE(SUBSTITUTE(SUBSTITUTE(TRIM($P151),"-",""),".",""),"/",""))=8,DATE(VALUE(LEFT(SUBSTITUTE(SUBSTITUTE(SUBSTITUTE(TRIM($P151),"-",""),".",""),"/",""),4)),VALUE(MID(SUBSTITUTE(SUBSTITUTE(SUBSTITUTE(TRIM($P151),"-",""),".",""),"/",""),5,2)),VALUE(RIGHT(SUBSTITUTE(SUBSTITUTE(SUBSTITUTE(TRIM($P151),"-",""),".",""),"/",""),2))),DATEVALUE($P151))),""))</f>
        <v/>
      </c>
      <c r="Y151" s="56" t="str">
        <f aca="false">IF($M151="","",IFERROR(INDEX(강사DB!$D$4:$D$53,MATCH($M151,강사DB!$A$4:$A$53,0)),""))</f>
        <v/>
      </c>
      <c r="Z151" s="56" t="str">
        <f aca="false">IF($B151&lt;&gt;"결제완료","",IF(OR($Y151="",$J151=""),"",$Y151*$J151+MAX(0,N($K151)-1)*설정!$J$7))</f>
        <v/>
      </c>
      <c r="AA151" s="56" t="str">
        <f aca="false">IF(AND($D151&lt;&gt;"",$B151="결제완료"),N($N151),"")</f>
        <v/>
      </c>
      <c r="AB151" s="45" t="str">
        <f aca="false">IF($D151="","",IF($F151&lt;&gt;"",$F151,$D151)&amp;IF($B151="상담중"," (상담)",""))</f>
        <v/>
      </c>
      <c r="AC151" s="45" t="n">
        <f aca="false">IF(AND($D151&lt;&gt;"",OR($B151="결제완료",$B151="상담중")),1,0)</f>
        <v>0</v>
      </c>
      <c r="AD151" s="45" t="n">
        <f aca="false">IF(OR($Z151="",$U151=""),0,IFERROR(IF(COUNTIFS(INDEX(g_grid,0,2*MATCH($M151,강사DB!$A$4:$A$15,0)),"&lt;&gt;",g_s,"&lt;="&amp;$U151,g_e,"&gt;="&amp;$U151)&gt;0,1,0),0))</f>
        <v>0</v>
      </c>
      <c r="AE151" s="48"/>
      <c r="AF151" s="56" t="str">
        <f aca="false">IF(AND($D151&lt;&gt;"",$B151="결제완료",$T151="대여"),설정!$J$5,"")</f>
        <v/>
      </c>
      <c r="AG151" s="54" t="str">
        <f aca="false">IF($D151="","",IF(AND($E151="",$R151=""),$AB151,"☎ "&amp;IF($E151="","-",$E151)&amp;IF($R151&lt;&gt;"","  ※ "&amp;$R151,"")&amp;IF($B151="상담중"," (상담)","")))</f>
        <v/>
      </c>
      <c r="AH151" s="56" t="str">
        <f aca="false">IF(AND($D151&lt;&gt;"",$B151="결제완료",$O151="스마트스토어"),ROUND(N($N151)*설정!$J$6,0),"")</f>
        <v/>
      </c>
      <c r="AI151" s="54" t="str">
        <f aca="false">IF($D151="","",ROW())</f>
        <v/>
      </c>
      <c r="AJ151" s="54" t="n">
        <f aca="false">IF(OR($AC151&lt;&gt;1,$M151=""),0,IF(ISNUMBER(SEARCH("퇴사",IFERROR(INDEX(강사DB!$G$4:$G$53,MATCH($M151,강사DB!$A$4:$A$53,0)),""))),1,0))</f>
        <v>0</v>
      </c>
    </row>
    <row r="152" customFormat="false" ht="15" hidden="false" customHeight="false" outlineLevel="0" collapsed="false">
      <c r="A152" s="45" t="str">
        <f aca="false">IF($D152="","",COUNTA($D$5:$D152))</f>
        <v/>
      </c>
      <c r="B152" s="46"/>
      <c r="C152" s="47"/>
      <c r="D152" s="48"/>
      <c r="E152" s="48"/>
      <c r="F152" s="49"/>
      <c r="G152" s="47"/>
      <c r="H152" s="50"/>
      <c r="I152" s="50"/>
      <c r="J152" s="51" t="str">
        <f aca="false">IF(OR($V152="",$W152=""),"",ROUND(($W152-$V152)/60,2))</f>
        <v/>
      </c>
      <c r="K152" s="52" t="str">
        <f aca="false">IF($F152="","",LEN($F152)-LEN(SUBSTITUTE($F152,",",""))+1)</f>
        <v/>
      </c>
      <c r="L152" s="45" t="str">
        <f aca="false">IF($K152="","","1:"&amp;$K152)</f>
        <v/>
      </c>
      <c r="M152" s="46"/>
      <c r="N152" s="53"/>
      <c r="O152" s="46"/>
      <c r="P152" s="47"/>
      <c r="Q152" s="48"/>
      <c r="R152" s="49"/>
      <c r="S152" s="54" t="str">
        <f aca="false">IF(OR($AC152=0,$U152="",$M152="",$V152="",$W152=""),"",IF(COUNTIFS(m_teacher,$M152,m_date,$U152,m_active,1,m_start,"&lt;"&amp;$W152,m_end,"&gt;"&amp;$V152)&gt;1,"충돌",""))</f>
        <v/>
      </c>
      <c r="T152" s="48"/>
      <c r="U152" s="55" t="str">
        <f aca="false">IF($G152="","",IFERROR(IF(ISNUMBER($G152),IF($G152&gt;19000000,DATE(INT($G152/10000),MOD(INT($G152/100),100),MOD($G152,100)),INT($G152)),IF(LEN(SUBSTITUTE(SUBSTITUTE(SUBSTITUTE(TRIM($G152),"-",""),".",""),"/",""))=8,DATE(VALUE(LEFT(SUBSTITUTE(SUBSTITUTE(SUBSTITUTE(TRIM($G152),"-",""),".",""),"/",""),4)),VALUE(MID(SUBSTITUTE(SUBSTITUTE(SUBSTITUTE(TRIM($G152),"-",""),".",""),"/",""),5,2)),VALUE(RIGHT(SUBSTITUTE(SUBSTITUTE(SUBSTITUTE(TRIM($G152),"-",""),".",""),"/",""),2))),DATEVALUE($G152))),""))</f>
        <v/>
      </c>
      <c r="V152" s="52" t="str">
        <f aca="false">IF($H152="","",IFERROR(IF(IF(ISNUMBER($H152),$H152,IFERROR(TIMEVALUE($H152),VALUE($H152)))&gt;=100,INT(IF(ISNUMBER($H152),$H152,IFERROR(TIMEVALUE($H152),VALUE($H152)))/100)*60+MOD(IF(ISNUMBER($H152),$H152,IFERROR(TIMEVALUE($H152),VALUE($H152))),100),IF(IF(ISNUMBER($H152),$H152,IFERROR(TIMEVALUE($H152),VALUE($H152)))&gt;=1,ROUND(IF(ISNUMBER($H152),$H152,IFERROR(TIMEVALUE($H152),VALUE($H152)))*60,0),ROUND(MOD(IF(ISNUMBER($H152),$H152,IFERROR(TIMEVALUE($H152),VALUE($H152))),1)*1440,0))),""))</f>
        <v/>
      </c>
      <c r="W152" s="52" t="str">
        <f aca="false">IF($I152="","",IFERROR(IF(IF(ISNUMBER($I152),$I152,IFERROR(TIMEVALUE($I152),VALUE($I152)))&gt;=100,INT(IF(ISNUMBER($I152),$I152,IFERROR(TIMEVALUE($I152),VALUE($I152)))/100)*60+MOD(IF(ISNUMBER($I152),$I152,IFERROR(TIMEVALUE($I152),VALUE($I152))),100),IF(IF(ISNUMBER($I152),$I152,IFERROR(TIMEVALUE($I152),VALUE($I152)))&gt;=1,ROUND(IF(ISNUMBER($I152),$I152,IFERROR(TIMEVALUE($I152),VALUE($I152)))*60,0),ROUND(MOD(IF(ISNUMBER($I152),$I152,IFERROR(TIMEVALUE($I152),VALUE($I152))),1)*1440,0))),""))</f>
        <v/>
      </c>
      <c r="X152" s="55" t="str">
        <f aca="false">IF($P152="","",IFERROR(IF(ISNUMBER($P152),IF($P152&gt;19000000,DATE(INT($P152/10000),MOD(INT($P152/100),100),MOD($P152,100)),INT($P152)),IF(LEN(SUBSTITUTE(SUBSTITUTE(SUBSTITUTE(TRIM($P152),"-",""),".",""),"/",""))=8,DATE(VALUE(LEFT(SUBSTITUTE(SUBSTITUTE(SUBSTITUTE(TRIM($P152),"-",""),".",""),"/",""),4)),VALUE(MID(SUBSTITUTE(SUBSTITUTE(SUBSTITUTE(TRIM($P152),"-",""),".",""),"/",""),5,2)),VALUE(RIGHT(SUBSTITUTE(SUBSTITUTE(SUBSTITUTE(TRIM($P152),"-",""),".",""),"/",""),2))),DATEVALUE($P152))),""))</f>
        <v/>
      </c>
      <c r="Y152" s="56" t="str">
        <f aca="false">IF($M152="","",IFERROR(INDEX(강사DB!$D$4:$D$53,MATCH($M152,강사DB!$A$4:$A$53,0)),""))</f>
        <v/>
      </c>
      <c r="Z152" s="56" t="str">
        <f aca="false">IF($B152&lt;&gt;"결제완료","",IF(OR($Y152="",$J152=""),"",$Y152*$J152+MAX(0,N($K152)-1)*설정!$J$7))</f>
        <v/>
      </c>
      <c r="AA152" s="56" t="str">
        <f aca="false">IF(AND($D152&lt;&gt;"",$B152="결제완료"),N($N152),"")</f>
        <v/>
      </c>
      <c r="AB152" s="45" t="str">
        <f aca="false">IF($D152="","",IF($F152&lt;&gt;"",$F152,$D152)&amp;IF($B152="상담중"," (상담)",""))</f>
        <v/>
      </c>
      <c r="AC152" s="45" t="n">
        <f aca="false">IF(AND($D152&lt;&gt;"",OR($B152="결제완료",$B152="상담중")),1,0)</f>
        <v>0</v>
      </c>
      <c r="AD152" s="45" t="n">
        <f aca="false">IF(OR($Z152="",$U152=""),0,IFERROR(IF(COUNTIFS(INDEX(g_grid,0,2*MATCH($M152,강사DB!$A$4:$A$15,0)),"&lt;&gt;",g_s,"&lt;="&amp;$U152,g_e,"&gt;="&amp;$U152)&gt;0,1,0),0))</f>
        <v>0</v>
      </c>
      <c r="AE152" s="48"/>
      <c r="AF152" s="56" t="str">
        <f aca="false">IF(AND($D152&lt;&gt;"",$B152="결제완료",$T152="대여"),설정!$J$5,"")</f>
        <v/>
      </c>
      <c r="AG152" s="54" t="str">
        <f aca="false">IF($D152="","",IF(AND($E152="",$R152=""),$AB152,"☎ "&amp;IF($E152="","-",$E152)&amp;IF($R152&lt;&gt;"","  ※ "&amp;$R152,"")&amp;IF($B152="상담중"," (상담)","")))</f>
        <v/>
      </c>
      <c r="AH152" s="56" t="str">
        <f aca="false">IF(AND($D152&lt;&gt;"",$B152="결제완료",$O152="스마트스토어"),ROUND(N($N152)*설정!$J$6,0),"")</f>
        <v/>
      </c>
      <c r="AI152" s="54" t="str">
        <f aca="false">IF($D152="","",ROW())</f>
        <v/>
      </c>
      <c r="AJ152" s="54" t="n">
        <f aca="false">IF(OR($AC152&lt;&gt;1,$M152=""),0,IF(ISNUMBER(SEARCH("퇴사",IFERROR(INDEX(강사DB!$G$4:$G$53,MATCH($M152,강사DB!$A$4:$A$53,0)),""))),1,0))</f>
        <v>0</v>
      </c>
    </row>
    <row r="153" customFormat="false" ht="15" hidden="false" customHeight="false" outlineLevel="0" collapsed="false">
      <c r="A153" s="45" t="str">
        <f aca="false">IF($D153="","",COUNTA($D$5:$D153))</f>
        <v/>
      </c>
      <c r="B153" s="46"/>
      <c r="C153" s="47"/>
      <c r="D153" s="48"/>
      <c r="E153" s="48"/>
      <c r="F153" s="49"/>
      <c r="G153" s="47"/>
      <c r="H153" s="50"/>
      <c r="I153" s="50"/>
      <c r="J153" s="51" t="str">
        <f aca="false">IF(OR($V153="",$W153=""),"",ROUND(($W153-$V153)/60,2))</f>
        <v/>
      </c>
      <c r="K153" s="52" t="str">
        <f aca="false">IF($F153="","",LEN($F153)-LEN(SUBSTITUTE($F153,",",""))+1)</f>
        <v/>
      </c>
      <c r="L153" s="45" t="str">
        <f aca="false">IF($K153="","","1:"&amp;$K153)</f>
        <v/>
      </c>
      <c r="M153" s="46"/>
      <c r="N153" s="53"/>
      <c r="O153" s="46"/>
      <c r="P153" s="47"/>
      <c r="Q153" s="48"/>
      <c r="R153" s="49"/>
      <c r="S153" s="54" t="str">
        <f aca="false">IF(OR($AC153=0,$U153="",$M153="",$V153="",$W153=""),"",IF(COUNTIFS(m_teacher,$M153,m_date,$U153,m_active,1,m_start,"&lt;"&amp;$W153,m_end,"&gt;"&amp;$V153)&gt;1,"충돌",""))</f>
        <v/>
      </c>
      <c r="T153" s="48"/>
      <c r="U153" s="55" t="str">
        <f aca="false">IF($G153="","",IFERROR(IF(ISNUMBER($G153),IF($G153&gt;19000000,DATE(INT($G153/10000),MOD(INT($G153/100),100),MOD($G153,100)),INT($G153)),IF(LEN(SUBSTITUTE(SUBSTITUTE(SUBSTITUTE(TRIM($G153),"-",""),".",""),"/",""))=8,DATE(VALUE(LEFT(SUBSTITUTE(SUBSTITUTE(SUBSTITUTE(TRIM($G153),"-",""),".",""),"/",""),4)),VALUE(MID(SUBSTITUTE(SUBSTITUTE(SUBSTITUTE(TRIM($G153),"-",""),".",""),"/",""),5,2)),VALUE(RIGHT(SUBSTITUTE(SUBSTITUTE(SUBSTITUTE(TRIM($G153),"-",""),".",""),"/",""),2))),DATEVALUE($G153))),""))</f>
        <v/>
      </c>
      <c r="V153" s="52" t="str">
        <f aca="false">IF($H153="","",IFERROR(IF(IF(ISNUMBER($H153),$H153,IFERROR(TIMEVALUE($H153),VALUE($H153)))&gt;=100,INT(IF(ISNUMBER($H153),$H153,IFERROR(TIMEVALUE($H153),VALUE($H153)))/100)*60+MOD(IF(ISNUMBER($H153),$H153,IFERROR(TIMEVALUE($H153),VALUE($H153))),100),IF(IF(ISNUMBER($H153),$H153,IFERROR(TIMEVALUE($H153),VALUE($H153)))&gt;=1,ROUND(IF(ISNUMBER($H153),$H153,IFERROR(TIMEVALUE($H153),VALUE($H153)))*60,0),ROUND(MOD(IF(ISNUMBER($H153),$H153,IFERROR(TIMEVALUE($H153),VALUE($H153))),1)*1440,0))),""))</f>
        <v/>
      </c>
      <c r="W153" s="52" t="str">
        <f aca="false">IF($I153="","",IFERROR(IF(IF(ISNUMBER($I153),$I153,IFERROR(TIMEVALUE($I153),VALUE($I153)))&gt;=100,INT(IF(ISNUMBER($I153),$I153,IFERROR(TIMEVALUE($I153),VALUE($I153)))/100)*60+MOD(IF(ISNUMBER($I153),$I153,IFERROR(TIMEVALUE($I153),VALUE($I153))),100),IF(IF(ISNUMBER($I153),$I153,IFERROR(TIMEVALUE($I153),VALUE($I153)))&gt;=1,ROUND(IF(ISNUMBER($I153),$I153,IFERROR(TIMEVALUE($I153),VALUE($I153)))*60,0),ROUND(MOD(IF(ISNUMBER($I153),$I153,IFERROR(TIMEVALUE($I153),VALUE($I153))),1)*1440,0))),""))</f>
        <v/>
      </c>
      <c r="X153" s="55" t="str">
        <f aca="false">IF($P153="","",IFERROR(IF(ISNUMBER($P153),IF($P153&gt;19000000,DATE(INT($P153/10000),MOD(INT($P153/100),100),MOD($P153,100)),INT($P153)),IF(LEN(SUBSTITUTE(SUBSTITUTE(SUBSTITUTE(TRIM($P153),"-",""),".",""),"/",""))=8,DATE(VALUE(LEFT(SUBSTITUTE(SUBSTITUTE(SUBSTITUTE(TRIM($P153),"-",""),".",""),"/",""),4)),VALUE(MID(SUBSTITUTE(SUBSTITUTE(SUBSTITUTE(TRIM($P153),"-",""),".",""),"/",""),5,2)),VALUE(RIGHT(SUBSTITUTE(SUBSTITUTE(SUBSTITUTE(TRIM($P153),"-",""),".",""),"/",""),2))),DATEVALUE($P153))),""))</f>
        <v/>
      </c>
      <c r="Y153" s="56" t="str">
        <f aca="false">IF($M153="","",IFERROR(INDEX(강사DB!$D$4:$D$53,MATCH($M153,강사DB!$A$4:$A$53,0)),""))</f>
        <v/>
      </c>
      <c r="Z153" s="56" t="str">
        <f aca="false">IF($B153&lt;&gt;"결제완료","",IF(OR($Y153="",$J153=""),"",$Y153*$J153+MAX(0,N($K153)-1)*설정!$J$7))</f>
        <v/>
      </c>
      <c r="AA153" s="56" t="str">
        <f aca="false">IF(AND($D153&lt;&gt;"",$B153="결제완료"),N($N153),"")</f>
        <v/>
      </c>
      <c r="AB153" s="45" t="str">
        <f aca="false">IF($D153="","",IF($F153&lt;&gt;"",$F153,$D153)&amp;IF($B153="상담중"," (상담)",""))</f>
        <v/>
      </c>
      <c r="AC153" s="45" t="n">
        <f aca="false">IF(AND($D153&lt;&gt;"",OR($B153="결제완료",$B153="상담중")),1,0)</f>
        <v>0</v>
      </c>
      <c r="AD153" s="45" t="n">
        <f aca="false">IF(OR($Z153="",$U153=""),0,IFERROR(IF(COUNTIFS(INDEX(g_grid,0,2*MATCH($M153,강사DB!$A$4:$A$15,0)),"&lt;&gt;",g_s,"&lt;="&amp;$U153,g_e,"&gt;="&amp;$U153)&gt;0,1,0),0))</f>
        <v>0</v>
      </c>
      <c r="AE153" s="48"/>
      <c r="AF153" s="56" t="str">
        <f aca="false">IF(AND($D153&lt;&gt;"",$B153="결제완료",$T153="대여"),설정!$J$5,"")</f>
        <v/>
      </c>
      <c r="AG153" s="54" t="str">
        <f aca="false">IF($D153="","",IF(AND($E153="",$R153=""),$AB153,"☎ "&amp;IF($E153="","-",$E153)&amp;IF($R153&lt;&gt;"","  ※ "&amp;$R153,"")&amp;IF($B153="상담중"," (상담)","")))</f>
        <v/>
      </c>
      <c r="AH153" s="56" t="str">
        <f aca="false">IF(AND($D153&lt;&gt;"",$B153="결제완료",$O153="스마트스토어"),ROUND(N($N153)*설정!$J$6,0),"")</f>
        <v/>
      </c>
      <c r="AI153" s="54" t="str">
        <f aca="false">IF($D153="","",ROW())</f>
        <v/>
      </c>
      <c r="AJ153" s="54" t="n">
        <f aca="false">IF(OR($AC153&lt;&gt;1,$M153=""),0,IF(ISNUMBER(SEARCH("퇴사",IFERROR(INDEX(강사DB!$G$4:$G$53,MATCH($M153,강사DB!$A$4:$A$53,0)),""))),1,0))</f>
        <v>0</v>
      </c>
    </row>
    <row r="154" customFormat="false" ht="15" hidden="false" customHeight="false" outlineLevel="0" collapsed="false">
      <c r="A154" s="45" t="str">
        <f aca="false">IF($D154="","",COUNTA($D$5:$D154))</f>
        <v/>
      </c>
      <c r="B154" s="46"/>
      <c r="C154" s="47"/>
      <c r="D154" s="48"/>
      <c r="E154" s="48"/>
      <c r="F154" s="49"/>
      <c r="G154" s="47"/>
      <c r="H154" s="50"/>
      <c r="I154" s="50"/>
      <c r="J154" s="51" t="str">
        <f aca="false">IF(OR($V154="",$W154=""),"",ROUND(($W154-$V154)/60,2))</f>
        <v/>
      </c>
      <c r="K154" s="52" t="str">
        <f aca="false">IF($F154="","",LEN($F154)-LEN(SUBSTITUTE($F154,",",""))+1)</f>
        <v/>
      </c>
      <c r="L154" s="45" t="str">
        <f aca="false">IF($K154="","","1:"&amp;$K154)</f>
        <v/>
      </c>
      <c r="M154" s="46"/>
      <c r="N154" s="53"/>
      <c r="O154" s="46"/>
      <c r="P154" s="47"/>
      <c r="Q154" s="48"/>
      <c r="R154" s="49"/>
      <c r="S154" s="54" t="str">
        <f aca="false">IF(OR($AC154=0,$U154="",$M154="",$V154="",$W154=""),"",IF(COUNTIFS(m_teacher,$M154,m_date,$U154,m_active,1,m_start,"&lt;"&amp;$W154,m_end,"&gt;"&amp;$V154)&gt;1,"충돌",""))</f>
        <v/>
      </c>
      <c r="T154" s="48"/>
      <c r="U154" s="55" t="str">
        <f aca="false">IF($G154="","",IFERROR(IF(ISNUMBER($G154),IF($G154&gt;19000000,DATE(INT($G154/10000),MOD(INT($G154/100),100),MOD($G154,100)),INT($G154)),IF(LEN(SUBSTITUTE(SUBSTITUTE(SUBSTITUTE(TRIM($G154),"-",""),".",""),"/",""))=8,DATE(VALUE(LEFT(SUBSTITUTE(SUBSTITUTE(SUBSTITUTE(TRIM($G154),"-",""),".",""),"/",""),4)),VALUE(MID(SUBSTITUTE(SUBSTITUTE(SUBSTITUTE(TRIM($G154),"-",""),".",""),"/",""),5,2)),VALUE(RIGHT(SUBSTITUTE(SUBSTITUTE(SUBSTITUTE(TRIM($G154),"-",""),".",""),"/",""),2))),DATEVALUE($G154))),""))</f>
        <v/>
      </c>
      <c r="V154" s="52" t="str">
        <f aca="false">IF($H154="","",IFERROR(IF(IF(ISNUMBER($H154),$H154,IFERROR(TIMEVALUE($H154),VALUE($H154)))&gt;=100,INT(IF(ISNUMBER($H154),$H154,IFERROR(TIMEVALUE($H154),VALUE($H154)))/100)*60+MOD(IF(ISNUMBER($H154),$H154,IFERROR(TIMEVALUE($H154),VALUE($H154))),100),IF(IF(ISNUMBER($H154),$H154,IFERROR(TIMEVALUE($H154),VALUE($H154)))&gt;=1,ROUND(IF(ISNUMBER($H154),$H154,IFERROR(TIMEVALUE($H154),VALUE($H154)))*60,0),ROUND(MOD(IF(ISNUMBER($H154),$H154,IFERROR(TIMEVALUE($H154),VALUE($H154))),1)*1440,0))),""))</f>
        <v/>
      </c>
      <c r="W154" s="52" t="str">
        <f aca="false">IF($I154="","",IFERROR(IF(IF(ISNUMBER($I154),$I154,IFERROR(TIMEVALUE($I154),VALUE($I154)))&gt;=100,INT(IF(ISNUMBER($I154),$I154,IFERROR(TIMEVALUE($I154),VALUE($I154)))/100)*60+MOD(IF(ISNUMBER($I154),$I154,IFERROR(TIMEVALUE($I154),VALUE($I154))),100),IF(IF(ISNUMBER($I154),$I154,IFERROR(TIMEVALUE($I154),VALUE($I154)))&gt;=1,ROUND(IF(ISNUMBER($I154),$I154,IFERROR(TIMEVALUE($I154),VALUE($I154)))*60,0),ROUND(MOD(IF(ISNUMBER($I154),$I154,IFERROR(TIMEVALUE($I154),VALUE($I154))),1)*1440,0))),""))</f>
        <v/>
      </c>
      <c r="X154" s="55" t="str">
        <f aca="false">IF($P154="","",IFERROR(IF(ISNUMBER($P154),IF($P154&gt;19000000,DATE(INT($P154/10000),MOD(INT($P154/100),100),MOD($P154,100)),INT($P154)),IF(LEN(SUBSTITUTE(SUBSTITUTE(SUBSTITUTE(TRIM($P154),"-",""),".",""),"/",""))=8,DATE(VALUE(LEFT(SUBSTITUTE(SUBSTITUTE(SUBSTITUTE(TRIM($P154),"-",""),".",""),"/",""),4)),VALUE(MID(SUBSTITUTE(SUBSTITUTE(SUBSTITUTE(TRIM($P154),"-",""),".",""),"/",""),5,2)),VALUE(RIGHT(SUBSTITUTE(SUBSTITUTE(SUBSTITUTE(TRIM($P154),"-",""),".",""),"/",""),2))),DATEVALUE($P154))),""))</f>
        <v/>
      </c>
      <c r="Y154" s="56" t="str">
        <f aca="false">IF($M154="","",IFERROR(INDEX(강사DB!$D$4:$D$53,MATCH($M154,강사DB!$A$4:$A$53,0)),""))</f>
        <v/>
      </c>
      <c r="Z154" s="56" t="str">
        <f aca="false">IF($B154&lt;&gt;"결제완료","",IF(OR($Y154="",$J154=""),"",$Y154*$J154+MAX(0,N($K154)-1)*설정!$J$7))</f>
        <v/>
      </c>
      <c r="AA154" s="56" t="str">
        <f aca="false">IF(AND($D154&lt;&gt;"",$B154="결제완료"),N($N154),"")</f>
        <v/>
      </c>
      <c r="AB154" s="45" t="str">
        <f aca="false">IF($D154="","",IF($F154&lt;&gt;"",$F154,$D154)&amp;IF($B154="상담중"," (상담)",""))</f>
        <v/>
      </c>
      <c r="AC154" s="45" t="n">
        <f aca="false">IF(AND($D154&lt;&gt;"",OR($B154="결제완료",$B154="상담중")),1,0)</f>
        <v>0</v>
      </c>
      <c r="AD154" s="45" t="n">
        <f aca="false">IF(OR($Z154="",$U154=""),0,IFERROR(IF(COUNTIFS(INDEX(g_grid,0,2*MATCH($M154,강사DB!$A$4:$A$15,0)),"&lt;&gt;",g_s,"&lt;="&amp;$U154,g_e,"&gt;="&amp;$U154)&gt;0,1,0),0))</f>
        <v>0</v>
      </c>
      <c r="AE154" s="48"/>
      <c r="AF154" s="56" t="str">
        <f aca="false">IF(AND($D154&lt;&gt;"",$B154="결제완료",$T154="대여"),설정!$J$5,"")</f>
        <v/>
      </c>
      <c r="AG154" s="54" t="str">
        <f aca="false">IF($D154="","",IF(AND($E154="",$R154=""),$AB154,"☎ "&amp;IF($E154="","-",$E154)&amp;IF($R154&lt;&gt;"","  ※ "&amp;$R154,"")&amp;IF($B154="상담중"," (상담)","")))</f>
        <v/>
      </c>
      <c r="AH154" s="56" t="str">
        <f aca="false">IF(AND($D154&lt;&gt;"",$B154="결제완료",$O154="스마트스토어"),ROUND(N($N154)*설정!$J$6,0),"")</f>
        <v/>
      </c>
      <c r="AI154" s="54" t="str">
        <f aca="false">IF($D154="","",ROW())</f>
        <v/>
      </c>
      <c r="AJ154" s="54" t="n">
        <f aca="false">IF(OR($AC154&lt;&gt;1,$M154=""),0,IF(ISNUMBER(SEARCH("퇴사",IFERROR(INDEX(강사DB!$G$4:$G$53,MATCH($M154,강사DB!$A$4:$A$53,0)),""))),1,0))</f>
        <v>0</v>
      </c>
    </row>
    <row r="155" customFormat="false" ht="15" hidden="false" customHeight="false" outlineLevel="0" collapsed="false">
      <c r="A155" s="45" t="str">
        <f aca="false">IF($D155="","",COUNTA($D$5:$D155))</f>
        <v/>
      </c>
      <c r="B155" s="46"/>
      <c r="C155" s="47"/>
      <c r="D155" s="48"/>
      <c r="E155" s="48"/>
      <c r="F155" s="49"/>
      <c r="G155" s="47"/>
      <c r="H155" s="50"/>
      <c r="I155" s="50"/>
      <c r="J155" s="51" t="str">
        <f aca="false">IF(OR($V155="",$W155=""),"",ROUND(($W155-$V155)/60,2))</f>
        <v/>
      </c>
      <c r="K155" s="52" t="str">
        <f aca="false">IF($F155="","",LEN($F155)-LEN(SUBSTITUTE($F155,",",""))+1)</f>
        <v/>
      </c>
      <c r="L155" s="45" t="str">
        <f aca="false">IF($K155="","","1:"&amp;$K155)</f>
        <v/>
      </c>
      <c r="M155" s="46"/>
      <c r="N155" s="53"/>
      <c r="O155" s="46"/>
      <c r="P155" s="47"/>
      <c r="Q155" s="48"/>
      <c r="R155" s="49"/>
      <c r="S155" s="54" t="str">
        <f aca="false">IF(OR($AC155=0,$U155="",$M155="",$V155="",$W155=""),"",IF(COUNTIFS(m_teacher,$M155,m_date,$U155,m_active,1,m_start,"&lt;"&amp;$W155,m_end,"&gt;"&amp;$V155)&gt;1,"충돌",""))</f>
        <v/>
      </c>
      <c r="T155" s="48"/>
      <c r="U155" s="55" t="str">
        <f aca="false">IF($G155="","",IFERROR(IF(ISNUMBER($G155),IF($G155&gt;19000000,DATE(INT($G155/10000),MOD(INT($G155/100),100),MOD($G155,100)),INT($G155)),IF(LEN(SUBSTITUTE(SUBSTITUTE(SUBSTITUTE(TRIM($G155),"-",""),".",""),"/",""))=8,DATE(VALUE(LEFT(SUBSTITUTE(SUBSTITUTE(SUBSTITUTE(TRIM($G155),"-",""),".",""),"/",""),4)),VALUE(MID(SUBSTITUTE(SUBSTITUTE(SUBSTITUTE(TRIM($G155),"-",""),".",""),"/",""),5,2)),VALUE(RIGHT(SUBSTITUTE(SUBSTITUTE(SUBSTITUTE(TRIM($G155),"-",""),".",""),"/",""),2))),DATEVALUE($G155))),""))</f>
        <v/>
      </c>
      <c r="V155" s="52" t="str">
        <f aca="false">IF($H155="","",IFERROR(IF(IF(ISNUMBER($H155),$H155,IFERROR(TIMEVALUE($H155),VALUE($H155)))&gt;=100,INT(IF(ISNUMBER($H155),$H155,IFERROR(TIMEVALUE($H155),VALUE($H155)))/100)*60+MOD(IF(ISNUMBER($H155),$H155,IFERROR(TIMEVALUE($H155),VALUE($H155))),100),IF(IF(ISNUMBER($H155),$H155,IFERROR(TIMEVALUE($H155),VALUE($H155)))&gt;=1,ROUND(IF(ISNUMBER($H155),$H155,IFERROR(TIMEVALUE($H155),VALUE($H155)))*60,0),ROUND(MOD(IF(ISNUMBER($H155),$H155,IFERROR(TIMEVALUE($H155),VALUE($H155))),1)*1440,0))),""))</f>
        <v/>
      </c>
      <c r="W155" s="52" t="str">
        <f aca="false">IF($I155="","",IFERROR(IF(IF(ISNUMBER($I155),$I155,IFERROR(TIMEVALUE($I155),VALUE($I155)))&gt;=100,INT(IF(ISNUMBER($I155),$I155,IFERROR(TIMEVALUE($I155),VALUE($I155)))/100)*60+MOD(IF(ISNUMBER($I155),$I155,IFERROR(TIMEVALUE($I155),VALUE($I155))),100),IF(IF(ISNUMBER($I155),$I155,IFERROR(TIMEVALUE($I155),VALUE($I155)))&gt;=1,ROUND(IF(ISNUMBER($I155),$I155,IFERROR(TIMEVALUE($I155),VALUE($I155)))*60,0),ROUND(MOD(IF(ISNUMBER($I155),$I155,IFERROR(TIMEVALUE($I155),VALUE($I155))),1)*1440,0))),""))</f>
        <v/>
      </c>
      <c r="X155" s="55" t="str">
        <f aca="false">IF($P155="","",IFERROR(IF(ISNUMBER($P155),IF($P155&gt;19000000,DATE(INT($P155/10000),MOD(INT($P155/100),100),MOD($P155,100)),INT($P155)),IF(LEN(SUBSTITUTE(SUBSTITUTE(SUBSTITUTE(TRIM($P155),"-",""),".",""),"/",""))=8,DATE(VALUE(LEFT(SUBSTITUTE(SUBSTITUTE(SUBSTITUTE(TRIM($P155),"-",""),".",""),"/",""),4)),VALUE(MID(SUBSTITUTE(SUBSTITUTE(SUBSTITUTE(TRIM($P155),"-",""),".",""),"/",""),5,2)),VALUE(RIGHT(SUBSTITUTE(SUBSTITUTE(SUBSTITUTE(TRIM($P155),"-",""),".",""),"/",""),2))),DATEVALUE($P155))),""))</f>
        <v/>
      </c>
      <c r="Y155" s="56" t="str">
        <f aca="false">IF($M155="","",IFERROR(INDEX(강사DB!$D$4:$D$53,MATCH($M155,강사DB!$A$4:$A$53,0)),""))</f>
        <v/>
      </c>
      <c r="Z155" s="56" t="str">
        <f aca="false">IF($B155&lt;&gt;"결제완료","",IF(OR($Y155="",$J155=""),"",$Y155*$J155+MAX(0,N($K155)-1)*설정!$J$7))</f>
        <v/>
      </c>
      <c r="AA155" s="56" t="str">
        <f aca="false">IF(AND($D155&lt;&gt;"",$B155="결제완료"),N($N155),"")</f>
        <v/>
      </c>
      <c r="AB155" s="45" t="str">
        <f aca="false">IF($D155="","",IF($F155&lt;&gt;"",$F155,$D155)&amp;IF($B155="상담중"," (상담)",""))</f>
        <v/>
      </c>
      <c r="AC155" s="45" t="n">
        <f aca="false">IF(AND($D155&lt;&gt;"",OR($B155="결제완료",$B155="상담중")),1,0)</f>
        <v>0</v>
      </c>
      <c r="AD155" s="45" t="n">
        <f aca="false">IF(OR($Z155="",$U155=""),0,IFERROR(IF(COUNTIFS(INDEX(g_grid,0,2*MATCH($M155,강사DB!$A$4:$A$15,0)),"&lt;&gt;",g_s,"&lt;="&amp;$U155,g_e,"&gt;="&amp;$U155)&gt;0,1,0),0))</f>
        <v>0</v>
      </c>
      <c r="AE155" s="48"/>
      <c r="AF155" s="56" t="str">
        <f aca="false">IF(AND($D155&lt;&gt;"",$B155="결제완료",$T155="대여"),설정!$J$5,"")</f>
        <v/>
      </c>
      <c r="AG155" s="54" t="str">
        <f aca="false">IF($D155="","",IF(AND($E155="",$R155=""),$AB155,"☎ "&amp;IF($E155="","-",$E155)&amp;IF($R155&lt;&gt;"","  ※ "&amp;$R155,"")&amp;IF($B155="상담중"," (상담)","")))</f>
        <v/>
      </c>
      <c r="AH155" s="56" t="str">
        <f aca="false">IF(AND($D155&lt;&gt;"",$B155="결제완료",$O155="스마트스토어"),ROUND(N($N155)*설정!$J$6,0),"")</f>
        <v/>
      </c>
      <c r="AI155" s="54" t="str">
        <f aca="false">IF($D155="","",ROW())</f>
        <v/>
      </c>
      <c r="AJ155" s="54" t="n">
        <f aca="false">IF(OR($AC155&lt;&gt;1,$M155=""),0,IF(ISNUMBER(SEARCH("퇴사",IFERROR(INDEX(강사DB!$G$4:$G$53,MATCH($M155,강사DB!$A$4:$A$53,0)),""))),1,0))</f>
        <v>0</v>
      </c>
    </row>
    <row r="156" customFormat="false" ht="15" hidden="false" customHeight="false" outlineLevel="0" collapsed="false">
      <c r="A156" s="45" t="str">
        <f aca="false">IF($D156="","",COUNTA($D$5:$D156))</f>
        <v/>
      </c>
      <c r="B156" s="46"/>
      <c r="C156" s="47"/>
      <c r="D156" s="48"/>
      <c r="E156" s="48"/>
      <c r="F156" s="49"/>
      <c r="G156" s="47"/>
      <c r="H156" s="50"/>
      <c r="I156" s="50"/>
      <c r="J156" s="51" t="str">
        <f aca="false">IF(OR($V156="",$W156=""),"",ROUND(($W156-$V156)/60,2))</f>
        <v/>
      </c>
      <c r="K156" s="52" t="str">
        <f aca="false">IF($F156="","",LEN($F156)-LEN(SUBSTITUTE($F156,",",""))+1)</f>
        <v/>
      </c>
      <c r="L156" s="45" t="str">
        <f aca="false">IF($K156="","","1:"&amp;$K156)</f>
        <v/>
      </c>
      <c r="M156" s="46"/>
      <c r="N156" s="53"/>
      <c r="O156" s="46"/>
      <c r="P156" s="47"/>
      <c r="Q156" s="48"/>
      <c r="R156" s="49"/>
      <c r="S156" s="54" t="str">
        <f aca="false">IF(OR($AC156=0,$U156="",$M156="",$V156="",$W156=""),"",IF(COUNTIFS(m_teacher,$M156,m_date,$U156,m_active,1,m_start,"&lt;"&amp;$W156,m_end,"&gt;"&amp;$V156)&gt;1,"충돌",""))</f>
        <v/>
      </c>
      <c r="T156" s="48"/>
      <c r="U156" s="55" t="str">
        <f aca="false">IF($G156="","",IFERROR(IF(ISNUMBER($G156),IF($G156&gt;19000000,DATE(INT($G156/10000),MOD(INT($G156/100),100),MOD($G156,100)),INT($G156)),IF(LEN(SUBSTITUTE(SUBSTITUTE(SUBSTITUTE(TRIM($G156),"-",""),".",""),"/",""))=8,DATE(VALUE(LEFT(SUBSTITUTE(SUBSTITUTE(SUBSTITUTE(TRIM($G156),"-",""),".",""),"/",""),4)),VALUE(MID(SUBSTITUTE(SUBSTITUTE(SUBSTITUTE(TRIM($G156),"-",""),".",""),"/",""),5,2)),VALUE(RIGHT(SUBSTITUTE(SUBSTITUTE(SUBSTITUTE(TRIM($G156),"-",""),".",""),"/",""),2))),DATEVALUE($G156))),""))</f>
        <v/>
      </c>
      <c r="V156" s="52" t="str">
        <f aca="false">IF($H156="","",IFERROR(IF(IF(ISNUMBER($H156),$H156,IFERROR(TIMEVALUE($H156),VALUE($H156)))&gt;=100,INT(IF(ISNUMBER($H156),$H156,IFERROR(TIMEVALUE($H156),VALUE($H156)))/100)*60+MOD(IF(ISNUMBER($H156),$H156,IFERROR(TIMEVALUE($H156),VALUE($H156))),100),IF(IF(ISNUMBER($H156),$H156,IFERROR(TIMEVALUE($H156),VALUE($H156)))&gt;=1,ROUND(IF(ISNUMBER($H156),$H156,IFERROR(TIMEVALUE($H156),VALUE($H156)))*60,0),ROUND(MOD(IF(ISNUMBER($H156),$H156,IFERROR(TIMEVALUE($H156),VALUE($H156))),1)*1440,0))),""))</f>
        <v/>
      </c>
      <c r="W156" s="52" t="str">
        <f aca="false">IF($I156="","",IFERROR(IF(IF(ISNUMBER($I156),$I156,IFERROR(TIMEVALUE($I156),VALUE($I156)))&gt;=100,INT(IF(ISNUMBER($I156),$I156,IFERROR(TIMEVALUE($I156),VALUE($I156)))/100)*60+MOD(IF(ISNUMBER($I156),$I156,IFERROR(TIMEVALUE($I156),VALUE($I156))),100),IF(IF(ISNUMBER($I156),$I156,IFERROR(TIMEVALUE($I156),VALUE($I156)))&gt;=1,ROUND(IF(ISNUMBER($I156),$I156,IFERROR(TIMEVALUE($I156),VALUE($I156)))*60,0),ROUND(MOD(IF(ISNUMBER($I156),$I156,IFERROR(TIMEVALUE($I156),VALUE($I156))),1)*1440,0))),""))</f>
        <v/>
      </c>
      <c r="X156" s="55" t="str">
        <f aca="false">IF($P156="","",IFERROR(IF(ISNUMBER($P156),IF($P156&gt;19000000,DATE(INT($P156/10000),MOD(INT($P156/100),100),MOD($P156,100)),INT($P156)),IF(LEN(SUBSTITUTE(SUBSTITUTE(SUBSTITUTE(TRIM($P156),"-",""),".",""),"/",""))=8,DATE(VALUE(LEFT(SUBSTITUTE(SUBSTITUTE(SUBSTITUTE(TRIM($P156),"-",""),".",""),"/",""),4)),VALUE(MID(SUBSTITUTE(SUBSTITUTE(SUBSTITUTE(TRIM($P156),"-",""),".",""),"/",""),5,2)),VALUE(RIGHT(SUBSTITUTE(SUBSTITUTE(SUBSTITUTE(TRIM($P156),"-",""),".",""),"/",""),2))),DATEVALUE($P156))),""))</f>
        <v/>
      </c>
      <c r="Y156" s="56" t="str">
        <f aca="false">IF($M156="","",IFERROR(INDEX(강사DB!$D$4:$D$53,MATCH($M156,강사DB!$A$4:$A$53,0)),""))</f>
        <v/>
      </c>
      <c r="Z156" s="56" t="str">
        <f aca="false">IF($B156&lt;&gt;"결제완료","",IF(OR($Y156="",$J156=""),"",$Y156*$J156+MAX(0,N($K156)-1)*설정!$J$7))</f>
        <v/>
      </c>
      <c r="AA156" s="56" t="str">
        <f aca="false">IF(AND($D156&lt;&gt;"",$B156="결제완료"),N($N156),"")</f>
        <v/>
      </c>
      <c r="AB156" s="45" t="str">
        <f aca="false">IF($D156="","",IF($F156&lt;&gt;"",$F156,$D156)&amp;IF($B156="상담중"," (상담)",""))</f>
        <v/>
      </c>
      <c r="AC156" s="45" t="n">
        <f aca="false">IF(AND($D156&lt;&gt;"",OR($B156="결제완료",$B156="상담중")),1,0)</f>
        <v>0</v>
      </c>
      <c r="AD156" s="45" t="n">
        <f aca="false">IF(OR($Z156="",$U156=""),0,IFERROR(IF(COUNTIFS(INDEX(g_grid,0,2*MATCH($M156,강사DB!$A$4:$A$15,0)),"&lt;&gt;",g_s,"&lt;="&amp;$U156,g_e,"&gt;="&amp;$U156)&gt;0,1,0),0))</f>
        <v>0</v>
      </c>
      <c r="AE156" s="48"/>
      <c r="AF156" s="56" t="str">
        <f aca="false">IF(AND($D156&lt;&gt;"",$B156="결제완료",$T156="대여"),설정!$J$5,"")</f>
        <v/>
      </c>
      <c r="AG156" s="54" t="str">
        <f aca="false">IF($D156="","",IF(AND($E156="",$R156=""),$AB156,"☎ "&amp;IF($E156="","-",$E156)&amp;IF($R156&lt;&gt;"","  ※ "&amp;$R156,"")&amp;IF($B156="상담중"," (상담)","")))</f>
        <v/>
      </c>
      <c r="AH156" s="56" t="str">
        <f aca="false">IF(AND($D156&lt;&gt;"",$B156="결제완료",$O156="스마트스토어"),ROUND(N($N156)*설정!$J$6,0),"")</f>
        <v/>
      </c>
      <c r="AI156" s="54" t="str">
        <f aca="false">IF($D156="","",ROW())</f>
        <v/>
      </c>
      <c r="AJ156" s="54" t="n">
        <f aca="false">IF(OR($AC156&lt;&gt;1,$M156=""),0,IF(ISNUMBER(SEARCH("퇴사",IFERROR(INDEX(강사DB!$G$4:$G$53,MATCH($M156,강사DB!$A$4:$A$53,0)),""))),1,0))</f>
        <v>0</v>
      </c>
    </row>
    <row r="157" customFormat="false" ht="15" hidden="false" customHeight="false" outlineLevel="0" collapsed="false">
      <c r="A157" s="45" t="str">
        <f aca="false">IF($D157="","",COUNTA($D$5:$D157))</f>
        <v/>
      </c>
      <c r="B157" s="46"/>
      <c r="C157" s="47"/>
      <c r="D157" s="48"/>
      <c r="E157" s="48"/>
      <c r="F157" s="49"/>
      <c r="G157" s="47"/>
      <c r="H157" s="50"/>
      <c r="I157" s="50"/>
      <c r="J157" s="51" t="str">
        <f aca="false">IF(OR($V157="",$W157=""),"",ROUND(($W157-$V157)/60,2))</f>
        <v/>
      </c>
      <c r="K157" s="52" t="str">
        <f aca="false">IF($F157="","",LEN($F157)-LEN(SUBSTITUTE($F157,",",""))+1)</f>
        <v/>
      </c>
      <c r="L157" s="45" t="str">
        <f aca="false">IF($K157="","","1:"&amp;$K157)</f>
        <v/>
      </c>
      <c r="M157" s="46"/>
      <c r="N157" s="53"/>
      <c r="O157" s="46"/>
      <c r="P157" s="47"/>
      <c r="Q157" s="48"/>
      <c r="R157" s="49"/>
      <c r="S157" s="54" t="str">
        <f aca="false">IF(OR($AC157=0,$U157="",$M157="",$V157="",$W157=""),"",IF(COUNTIFS(m_teacher,$M157,m_date,$U157,m_active,1,m_start,"&lt;"&amp;$W157,m_end,"&gt;"&amp;$V157)&gt;1,"충돌",""))</f>
        <v/>
      </c>
      <c r="T157" s="48"/>
      <c r="U157" s="55" t="str">
        <f aca="false">IF($G157="","",IFERROR(IF(ISNUMBER($G157),IF($G157&gt;19000000,DATE(INT($G157/10000),MOD(INT($G157/100),100),MOD($G157,100)),INT($G157)),IF(LEN(SUBSTITUTE(SUBSTITUTE(SUBSTITUTE(TRIM($G157),"-",""),".",""),"/",""))=8,DATE(VALUE(LEFT(SUBSTITUTE(SUBSTITUTE(SUBSTITUTE(TRIM($G157),"-",""),".",""),"/",""),4)),VALUE(MID(SUBSTITUTE(SUBSTITUTE(SUBSTITUTE(TRIM($G157),"-",""),".",""),"/",""),5,2)),VALUE(RIGHT(SUBSTITUTE(SUBSTITUTE(SUBSTITUTE(TRIM($G157),"-",""),".",""),"/",""),2))),DATEVALUE($G157))),""))</f>
        <v/>
      </c>
      <c r="V157" s="52" t="str">
        <f aca="false">IF($H157="","",IFERROR(IF(IF(ISNUMBER($H157),$H157,IFERROR(TIMEVALUE($H157),VALUE($H157)))&gt;=100,INT(IF(ISNUMBER($H157),$H157,IFERROR(TIMEVALUE($H157),VALUE($H157)))/100)*60+MOD(IF(ISNUMBER($H157),$H157,IFERROR(TIMEVALUE($H157),VALUE($H157))),100),IF(IF(ISNUMBER($H157),$H157,IFERROR(TIMEVALUE($H157),VALUE($H157)))&gt;=1,ROUND(IF(ISNUMBER($H157),$H157,IFERROR(TIMEVALUE($H157),VALUE($H157)))*60,0),ROUND(MOD(IF(ISNUMBER($H157),$H157,IFERROR(TIMEVALUE($H157),VALUE($H157))),1)*1440,0))),""))</f>
        <v/>
      </c>
      <c r="W157" s="52" t="str">
        <f aca="false">IF($I157="","",IFERROR(IF(IF(ISNUMBER($I157),$I157,IFERROR(TIMEVALUE($I157),VALUE($I157)))&gt;=100,INT(IF(ISNUMBER($I157),$I157,IFERROR(TIMEVALUE($I157),VALUE($I157)))/100)*60+MOD(IF(ISNUMBER($I157),$I157,IFERROR(TIMEVALUE($I157),VALUE($I157))),100),IF(IF(ISNUMBER($I157),$I157,IFERROR(TIMEVALUE($I157),VALUE($I157)))&gt;=1,ROUND(IF(ISNUMBER($I157),$I157,IFERROR(TIMEVALUE($I157),VALUE($I157)))*60,0),ROUND(MOD(IF(ISNUMBER($I157),$I157,IFERROR(TIMEVALUE($I157),VALUE($I157))),1)*1440,0))),""))</f>
        <v/>
      </c>
      <c r="X157" s="55" t="str">
        <f aca="false">IF($P157="","",IFERROR(IF(ISNUMBER($P157),IF($P157&gt;19000000,DATE(INT($P157/10000),MOD(INT($P157/100),100),MOD($P157,100)),INT($P157)),IF(LEN(SUBSTITUTE(SUBSTITUTE(SUBSTITUTE(TRIM($P157),"-",""),".",""),"/",""))=8,DATE(VALUE(LEFT(SUBSTITUTE(SUBSTITUTE(SUBSTITUTE(TRIM($P157),"-",""),".",""),"/",""),4)),VALUE(MID(SUBSTITUTE(SUBSTITUTE(SUBSTITUTE(TRIM($P157),"-",""),".",""),"/",""),5,2)),VALUE(RIGHT(SUBSTITUTE(SUBSTITUTE(SUBSTITUTE(TRIM($P157),"-",""),".",""),"/",""),2))),DATEVALUE($P157))),""))</f>
        <v/>
      </c>
      <c r="Y157" s="56" t="str">
        <f aca="false">IF($M157="","",IFERROR(INDEX(강사DB!$D$4:$D$53,MATCH($M157,강사DB!$A$4:$A$53,0)),""))</f>
        <v/>
      </c>
      <c r="Z157" s="56" t="str">
        <f aca="false">IF($B157&lt;&gt;"결제완료","",IF(OR($Y157="",$J157=""),"",$Y157*$J157+MAX(0,N($K157)-1)*설정!$J$7))</f>
        <v/>
      </c>
      <c r="AA157" s="56" t="str">
        <f aca="false">IF(AND($D157&lt;&gt;"",$B157="결제완료"),N($N157),"")</f>
        <v/>
      </c>
      <c r="AB157" s="45" t="str">
        <f aca="false">IF($D157="","",IF($F157&lt;&gt;"",$F157,$D157)&amp;IF($B157="상담중"," (상담)",""))</f>
        <v/>
      </c>
      <c r="AC157" s="45" t="n">
        <f aca="false">IF(AND($D157&lt;&gt;"",OR($B157="결제완료",$B157="상담중")),1,0)</f>
        <v>0</v>
      </c>
      <c r="AD157" s="45" t="n">
        <f aca="false">IF(OR($Z157="",$U157=""),0,IFERROR(IF(COUNTIFS(INDEX(g_grid,0,2*MATCH($M157,강사DB!$A$4:$A$15,0)),"&lt;&gt;",g_s,"&lt;="&amp;$U157,g_e,"&gt;="&amp;$U157)&gt;0,1,0),0))</f>
        <v>0</v>
      </c>
      <c r="AE157" s="48"/>
      <c r="AF157" s="56" t="str">
        <f aca="false">IF(AND($D157&lt;&gt;"",$B157="결제완료",$T157="대여"),설정!$J$5,"")</f>
        <v/>
      </c>
      <c r="AG157" s="54" t="str">
        <f aca="false">IF($D157="","",IF(AND($E157="",$R157=""),$AB157,"☎ "&amp;IF($E157="","-",$E157)&amp;IF($R157&lt;&gt;"","  ※ "&amp;$R157,"")&amp;IF($B157="상담중"," (상담)","")))</f>
        <v/>
      </c>
      <c r="AH157" s="56" t="str">
        <f aca="false">IF(AND($D157&lt;&gt;"",$B157="결제완료",$O157="스마트스토어"),ROUND(N($N157)*설정!$J$6,0),"")</f>
        <v/>
      </c>
      <c r="AI157" s="54" t="str">
        <f aca="false">IF($D157="","",ROW())</f>
        <v/>
      </c>
      <c r="AJ157" s="54" t="n">
        <f aca="false">IF(OR($AC157&lt;&gt;1,$M157=""),0,IF(ISNUMBER(SEARCH("퇴사",IFERROR(INDEX(강사DB!$G$4:$G$53,MATCH($M157,강사DB!$A$4:$A$53,0)),""))),1,0))</f>
        <v>0</v>
      </c>
    </row>
    <row r="158" customFormat="false" ht="15" hidden="false" customHeight="false" outlineLevel="0" collapsed="false">
      <c r="A158" s="45" t="str">
        <f aca="false">IF($D158="","",COUNTA($D$5:$D158))</f>
        <v/>
      </c>
      <c r="B158" s="46"/>
      <c r="C158" s="47"/>
      <c r="D158" s="48"/>
      <c r="E158" s="48"/>
      <c r="F158" s="49"/>
      <c r="G158" s="47"/>
      <c r="H158" s="50"/>
      <c r="I158" s="50"/>
      <c r="J158" s="51" t="str">
        <f aca="false">IF(OR($V158="",$W158=""),"",ROUND(($W158-$V158)/60,2))</f>
        <v/>
      </c>
      <c r="K158" s="52" t="str">
        <f aca="false">IF($F158="","",LEN($F158)-LEN(SUBSTITUTE($F158,",",""))+1)</f>
        <v/>
      </c>
      <c r="L158" s="45" t="str">
        <f aca="false">IF($K158="","","1:"&amp;$K158)</f>
        <v/>
      </c>
      <c r="M158" s="46"/>
      <c r="N158" s="53"/>
      <c r="O158" s="46"/>
      <c r="P158" s="47"/>
      <c r="Q158" s="48"/>
      <c r="R158" s="49"/>
      <c r="S158" s="54" t="str">
        <f aca="false">IF(OR($AC158=0,$U158="",$M158="",$V158="",$W158=""),"",IF(COUNTIFS(m_teacher,$M158,m_date,$U158,m_active,1,m_start,"&lt;"&amp;$W158,m_end,"&gt;"&amp;$V158)&gt;1,"충돌",""))</f>
        <v/>
      </c>
      <c r="T158" s="48"/>
      <c r="U158" s="55" t="str">
        <f aca="false">IF($G158="","",IFERROR(IF(ISNUMBER($G158),IF($G158&gt;19000000,DATE(INT($G158/10000),MOD(INT($G158/100),100),MOD($G158,100)),INT($G158)),IF(LEN(SUBSTITUTE(SUBSTITUTE(SUBSTITUTE(TRIM($G158),"-",""),".",""),"/",""))=8,DATE(VALUE(LEFT(SUBSTITUTE(SUBSTITUTE(SUBSTITUTE(TRIM($G158),"-",""),".",""),"/",""),4)),VALUE(MID(SUBSTITUTE(SUBSTITUTE(SUBSTITUTE(TRIM($G158),"-",""),".",""),"/",""),5,2)),VALUE(RIGHT(SUBSTITUTE(SUBSTITUTE(SUBSTITUTE(TRIM($G158),"-",""),".",""),"/",""),2))),DATEVALUE($G158))),""))</f>
        <v/>
      </c>
      <c r="V158" s="52" t="str">
        <f aca="false">IF($H158="","",IFERROR(IF(IF(ISNUMBER($H158),$H158,IFERROR(TIMEVALUE($H158),VALUE($H158)))&gt;=100,INT(IF(ISNUMBER($H158),$H158,IFERROR(TIMEVALUE($H158),VALUE($H158)))/100)*60+MOD(IF(ISNUMBER($H158),$H158,IFERROR(TIMEVALUE($H158),VALUE($H158))),100),IF(IF(ISNUMBER($H158),$H158,IFERROR(TIMEVALUE($H158),VALUE($H158)))&gt;=1,ROUND(IF(ISNUMBER($H158),$H158,IFERROR(TIMEVALUE($H158),VALUE($H158)))*60,0),ROUND(MOD(IF(ISNUMBER($H158),$H158,IFERROR(TIMEVALUE($H158),VALUE($H158))),1)*1440,0))),""))</f>
        <v/>
      </c>
      <c r="W158" s="52" t="str">
        <f aca="false">IF($I158="","",IFERROR(IF(IF(ISNUMBER($I158),$I158,IFERROR(TIMEVALUE($I158),VALUE($I158)))&gt;=100,INT(IF(ISNUMBER($I158),$I158,IFERROR(TIMEVALUE($I158),VALUE($I158)))/100)*60+MOD(IF(ISNUMBER($I158),$I158,IFERROR(TIMEVALUE($I158),VALUE($I158))),100),IF(IF(ISNUMBER($I158),$I158,IFERROR(TIMEVALUE($I158),VALUE($I158)))&gt;=1,ROUND(IF(ISNUMBER($I158),$I158,IFERROR(TIMEVALUE($I158),VALUE($I158)))*60,0),ROUND(MOD(IF(ISNUMBER($I158),$I158,IFERROR(TIMEVALUE($I158),VALUE($I158))),1)*1440,0))),""))</f>
        <v/>
      </c>
      <c r="X158" s="55" t="str">
        <f aca="false">IF($P158="","",IFERROR(IF(ISNUMBER($P158),IF($P158&gt;19000000,DATE(INT($P158/10000),MOD(INT($P158/100),100),MOD($P158,100)),INT($P158)),IF(LEN(SUBSTITUTE(SUBSTITUTE(SUBSTITUTE(TRIM($P158),"-",""),".",""),"/",""))=8,DATE(VALUE(LEFT(SUBSTITUTE(SUBSTITUTE(SUBSTITUTE(TRIM($P158),"-",""),".",""),"/",""),4)),VALUE(MID(SUBSTITUTE(SUBSTITUTE(SUBSTITUTE(TRIM($P158),"-",""),".",""),"/",""),5,2)),VALUE(RIGHT(SUBSTITUTE(SUBSTITUTE(SUBSTITUTE(TRIM($P158),"-",""),".",""),"/",""),2))),DATEVALUE($P158))),""))</f>
        <v/>
      </c>
      <c r="Y158" s="56" t="str">
        <f aca="false">IF($M158="","",IFERROR(INDEX(강사DB!$D$4:$D$53,MATCH($M158,강사DB!$A$4:$A$53,0)),""))</f>
        <v/>
      </c>
      <c r="Z158" s="56" t="str">
        <f aca="false">IF($B158&lt;&gt;"결제완료","",IF(OR($Y158="",$J158=""),"",$Y158*$J158+MAX(0,N($K158)-1)*설정!$J$7))</f>
        <v/>
      </c>
      <c r="AA158" s="56" t="str">
        <f aca="false">IF(AND($D158&lt;&gt;"",$B158="결제완료"),N($N158),"")</f>
        <v/>
      </c>
      <c r="AB158" s="45" t="str">
        <f aca="false">IF($D158="","",IF($F158&lt;&gt;"",$F158,$D158)&amp;IF($B158="상담중"," (상담)",""))</f>
        <v/>
      </c>
      <c r="AC158" s="45" t="n">
        <f aca="false">IF(AND($D158&lt;&gt;"",OR($B158="결제완료",$B158="상담중")),1,0)</f>
        <v>0</v>
      </c>
      <c r="AD158" s="45" t="n">
        <f aca="false">IF(OR($Z158="",$U158=""),0,IFERROR(IF(COUNTIFS(INDEX(g_grid,0,2*MATCH($M158,강사DB!$A$4:$A$15,0)),"&lt;&gt;",g_s,"&lt;="&amp;$U158,g_e,"&gt;="&amp;$U158)&gt;0,1,0),0))</f>
        <v>0</v>
      </c>
      <c r="AE158" s="48"/>
      <c r="AF158" s="56" t="str">
        <f aca="false">IF(AND($D158&lt;&gt;"",$B158="결제완료",$T158="대여"),설정!$J$5,"")</f>
        <v/>
      </c>
      <c r="AG158" s="54" t="str">
        <f aca="false">IF($D158="","",IF(AND($E158="",$R158=""),$AB158,"☎ "&amp;IF($E158="","-",$E158)&amp;IF($R158&lt;&gt;"","  ※ "&amp;$R158,"")&amp;IF($B158="상담중"," (상담)","")))</f>
        <v/>
      </c>
      <c r="AH158" s="56" t="str">
        <f aca="false">IF(AND($D158&lt;&gt;"",$B158="결제완료",$O158="스마트스토어"),ROUND(N($N158)*설정!$J$6,0),"")</f>
        <v/>
      </c>
      <c r="AI158" s="54" t="str">
        <f aca="false">IF($D158="","",ROW())</f>
        <v/>
      </c>
      <c r="AJ158" s="54" t="n">
        <f aca="false">IF(OR($AC158&lt;&gt;1,$M158=""),0,IF(ISNUMBER(SEARCH("퇴사",IFERROR(INDEX(강사DB!$G$4:$G$53,MATCH($M158,강사DB!$A$4:$A$53,0)),""))),1,0))</f>
        <v>0</v>
      </c>
    </row>
    <row r="159" customFormat="false" ht="15" hidden="false" customHeight="false" outlineLevel="0" collapsed="false">
      <c r="A159" s="45" t="str">
        <f aca="false">IF($D159="","",COUNTA($D$5:$D159))</f>
        <v/>
      </c>
      <c r="B159" s="46"/>
      <c r="C159" s="47"/>
      <c r="D159" s="48"/>
      <c r="E159" s="48"/>
      <c r="F159" s="49"/>
      <c r="G159" s="47"/>
      <c r="H159" s="50"/>
      <c r="I159" s="50"/>
      <c r="J159" s="51" t="str">
        <f aca="false">IF(OR($V159="",$W159=""),"",ROUND(($W159-$V159)/60,2))</f>
        <v/>
      </c>
      <c r="K159" s="52" t="str">
        <f aca="false">IF($F159="","",LEN($F159)-LEN(SUBSTITUTE($F159,",",""))+1)</f>
        <v/>
      </c>
      <c r="L159" s="45" t="str">
        <f aca="false">IF($K159="","","1:"&amp;$K159)</f>
        <v/>
      </c>
      <c r="M159" s="46"/>
      <c r="N159" s="53"/>
      <c r="O159" s="46"/>
      <c r="P159" s="47"/>
      <c r="Q159" s="48"/>
      <c r="R159" s="49"/>
      <c r="S159" s="54" t="str">
        <f aca="false">IF(OR($AC159=0,$U159="",$M159="",$V159="",$W159=""),"",IF(COUNTIFS(m_teacher,$M159,m_date,$U159,m_active,1,m_start,"&lt;"&amp;$W159,m_end,"&gt;"&amp;$V159)&gt;1,"충돌",""))</f>
        <v/>
      </c>
      <c r="T159" s="48"/>
      <c r="U159" s="55" t="str">
        <f aca="false">IF($G159="","",IFERROR(IF(ISNUMBER($G159),IF($G159&gt;19000000,DATE(INT($G159/10000),MOD(INT($G159/100),100),MOD($G159,100)),INT($G159)),IF(LEN(SUBSTITUTE(SUBSTITUTE(SUBSTITUTE(TRIM($G159),"-",""),".",""),"/",""))=8,DATE(VALUE(LEFT(SUBSTITUTE(SUBSTITUTE(SUBSTITUTE(TRIM($G159),"-",""),".",""),"/",""),4)),VALUE(MID(SUBSTITUTE(SUBSTITUTE(SUBSTITUTE(TRIM($G159),"-",""),".",""),"/",""),5,2)),VALUE(RIGHT(SUBSTITUTE(SUBSTITUTE(SUBSTITUTE(TRIM($G159),"-",""),".",""),"/",""),2))),DATEVALUE($G159))),""))</f>
        <v/>
      </c>
      <c r="V159" s="52" t="str">
        <f aca="false">IF($H159="","",IFERROR(IF(IF(ISNUMBER($H159),$H159,IFERROR(TIMEVALUE($H159),VALUE($H159)))&gt;=100,INT(IF(ISNUMBER($H159),$H159,IFERROR(TIMEVALUE($H159),VALUE($H159)))/100)*60+MOD(IF(ISNUMBER($H159),$H159,IFERROR(TIMEVALUE($H159),VALUE($H159))),100),IF(IF(ISNUMBER($H159),$H159,IFERROR(TIMEVALUE($H159),VALUE($H159)))&gt;=1,ROUND(IF(ISNUMBER($H159),$H159,IFERROR(TIMEVALUE($H159),VALUE($H159)))*60,0),ROUND(MOD(IF(ISNUMBER($H159),$H159,IFERROR(TIMEVALUE($H159),VALUE($H159))),1)*1440,0))),""))</f>
        <v/>
      </c>
      <c r="W159" s="52" t="str">
        <f aca="false">IF($I159="","",IFERROR(IF(IF(ISNUMBER($I159),$I159,IFERROR(TIMEVALUE($I159),VALUE($I159)))&gt;=100,INT(IF(ISNUMBER($I159),$I159,IFERROR(TIMEVALUE($I159),VALUE($I159)))/100)*60+MOD(IF(ISNUMBER($I159),$I159,IFERROR(TIMEVALUE($I159),VALUE($I159))),100),IF(IF(ISNUMBER($I159),$I159,IFERROR(TIMEVALUE($I159),VALUE($I159)))&gt;=1,ROUND(IF(ISNUMBER($I159),$I159,IFERROR(TIMEVALUE($I159),VALUE($I159)))*60,0),ROUND(MOD(IF(ISNUMBER($I159),$I159,IFERROR(TIMEVALUE($I159),VALUE($I159))),1)*1440,0))),""))</f>
        <v/>
      </c>
      <c r="X159" s="55" t="str">
        <f aca="false">IF($P159="","",IFERROR(IF(ISNUMBER($P159),IF($P159&gt;19000000,DATE(INT($P159/10000),MOD(INT($P159/100),100),MOD($P159,100)),INT($P159)),IF(LEN(SUBSTITUTE(SUBSTITUTE(SUBSTITUTE(TRIM($P159),"-",""),".",""),"/",""))=8,DATE(VALUE(LEFT(SUBSTITUTE(SUBSTITUTE(SUBSTITUTE(TRIM($P159),"-",""),".",""),"/",""),4)),VALUE(MID(SUBSTITUTE(SUBSTITUTE(SUBSTITUTE(TRIM($P159),"-",""),".",""),"/",""),5,2)),VALUE(RIGHT(SUBSTITUTE(SUBSTITUTE(SUBSTITUTE(TRIM($P159),"-",""),".",""),"/",""),2))),DATEVALUE($P159))),""))</f>
        <v/>
      </c>
      <c r="Y159" s="56" t="str">
        <f aca="false">IF($M159="","",IFERROR(INDEX(강사DB!$D$4:$D$53,MATCH($M159,강사DB!$A$4:$A$53,0)),""))</f>
        <v/>
      </c>
      <c r="Z159" s="56" t="str">
        <f aca="false">IF($B159&lt;&gt;"결제완료","",IF(OR($Y159="",$J159=""),"",$Y159*$J159+MAX(0,N($K159)-1)*설정!$J$7))</f>
        <v/>
      </c>
      <c r="AA159" s="56" t="str">
        <f aca="false">IF(AND($D159&lt;&gt;"",$B159="결제완료"),N($N159),"")</f>
        <v/>
      </c>
      <c r="AB159" s="45" t="str">
        <f aca="false">IF($D159="","",IF($F159&lt;&gt;"",$F159,$D159)&amp;IF($B159="상담중"," (상담)",""))</f>
        <v/>
      </c>
      <c r="AC159" s="45" t="n">
        <f aca="false">IF(AND($D159&lt;&gt;"",OR($B159="결제완료",$B159="상담중")),1,0)</f>
        <v>0</v>
      </c>
      <c r="AD159" s="45" t="n">
        <f aca="false">IF(OR($Z159="",$U159=""),0,IFERROR(IF(COUNTIFS(INDEX(g_grid,0,2*MATCH($M159,강사DB!$A$4:$A$15,0)),"&lt;&gt;",g_s,"&lt;="&amp;$U159,g_e,"&gt;="&amp;$U159)&gt;0,1,0),0))</f>
        <v>0</v>
      </c>
      <c r="AE159" s="48"/>
      <c r="AF159" s="56" t="str">
        <f aca="false">IF(AND($D159&lt;&gt;"",$B159="결제완료",$T159="대여"),설정!$J$5,"")</f>
        <v/>
      </c>
      <c r="AG159" s="54" t="str">
        <f aca="false">IF($D159="","",IF(AND($E159="",$R159=""),$AB159,"☎ "&amp;IF($E159="","-",$E159)&amp;IF($R159&lt;&gt;"","  ※ "&amp;$R159,"")&amp;IF($B159="상담중"," (상담)","")))</f>
        <v/>
      </c>
      <c r="AH159" s="56" t="str">
        <f aca="false">IF(AND($D159&lt;&gt;"",$B159="결제완료",$O159="스마트스토어"),ROUND(N($N159)*설정!$J$6,0),"")</f>
        <v/>
      </c>
      <c r="AI159" s="54" t="str">
        <f aca="false">IF($D159="","",ROW())</f>
        <v/>
      </c>
      <c r="AJ159" s="54" t="n">
        <f aca="false">IF(OR($AC159&lt;&gt;1,$M159=""),0,IF(ISNUMBER(SEARCH("퇴사",IFERROR(INDEX(강사DB!$G$4:$G$53,MATCH($M159,강사DB!$A$4:$A$53,0)),""))),1,0))</f>
        <v>0</v>
      </c>
    </row>
    <row r="160" customFormat="false" ht="15" hidden="false" customHeight="false" outlineLevel="0" collapsed="false">
      <c r="A160" s="45" t="str">
        <f aca="false">IF($D160="","",COUNTA($D$5:$D160))</f>
        <v/>
      </c>
      <c r="B160" s="46"/>
      <c r="C160" s="47"/>
      <c r="D160" s="48"/>
      <c r="E160" s="48"/>
      <c r="F160" s="49"/>
      <c r="G160" s="47"/>
      <c r="H160" s="50"/>
      <c r="I160" s="50"/>
      <c r="J160" s="51" t="str">
        <f aca="false">IF(OR($V160="",$W160=""),"",ROUND(($W160-$V160)/60,2))</f>
        <v/>
      </c>
      <c r="K160" s="52" t="str">
        <f aca="false">IF($F160="","",LEN($F160)-LEN(SUBSTITUTE($F160,",",""))+1)</f>
        <v/>
      </c>
      <c r="L160" s="45" t="str">
        <f aca="false">IF($K160="","","1:"&amp;$K160)</f>
        <v/>
      </c>
      <c r="M160" s="46"/>
      <c r="N160" s="53"/>
      <c r="O160" s="46"/>
      <c r="P160" s="47"/>
      <c r="Q160" s="48"/>
      <c r="R160" s="49"/>
      <c r="S160" s="54" t="str">
        <f aca="false">IF(OR($AC160=0,$U160="",$M160="",$V160="",$W160=""),"",IF(COUNTIFS(m_teacher,$M160,m_date,$U160,m_active,1,m_start,"&lt;"&amp;$W160,m_end,"&gt;"&amp;$V160)&gt;1,"충돌",""))</f>
        <v/>
      </c>
      <c r="T160" s="48"/>
      <c r="U160" s="55" t="str">
        <f aca="false">IF($G160="","",IFERROR(IF(ISNUMBER($G160),IF($G160&gt;19000000,DATE(INT($G160/10000),MOD(INT($G160/100),100),MOD($G160,100)),INT($G160)),IF(LEN(SUBSTITUTE(SUBSTITUTE(SUBSTITUTE(TRIM($G160),"-",""),".",""),"/",""))=8,DATE(VALUE(LEFT(SUBSTITUTE(SUBSTITUTE(SUBSTITUTE(TRIM($G160),"-",""),".",""),"/",""),4)),VALUE(MID(SUBSTITUTE(SUBSTITUTE(SUBSTITUTE(TRIM($G160),"-",""),".",""),"/",""),5,2)),VALUE(RIGHT(SUBSTITUTE(SUBSTITUTE(SUBSTITUTE(TRIM($G160),"-",""),".",""),"/",""),2))),DATEVALUE($G160))),""))</f>
        <v/>
      </c>
      <c r="V160" s="52" t="str">
        <f aca="false">IF($H160="","",IFERROR(IF(IF(ISNUMBER($H160),$H160,IFERROR(TIMEVALUE($H160),VALUE($H160)))&gt;=100,INT(IF(ISNUMBER($H160),$H160,IFERROR(TIMEVALUE($H160),VALUE($H160)))/100)*60+MOD(IF(ISNUMBER($H160),$H160,IFERROR(TIMEVALUE($H160),VALUE($H160))),100),IF(IF(ISNUMBER($H160),$H160,IFERROR(TIMEVALUE($H160),VALUE($H160)))&gt;=1,ROUND(IF(ISNUMBER($H160),$H160,IFERROR(TIMEVALUE($H160),VALUE($H160)))*60,0),ROUND(MOD(IF(ISNUMBER($H160),$H160,IFERROR(TIMEVALUE($H160),VALUE($H160))),1)*1440,0))),""))</f>
        <v/>
      </c>
      <c r="W160" s="52" t="str">
        <f aca="false">IF($I160="","",IFERROR(IF(IF(ISNUMBER($I160),$I160,IFERROR(TIMEVALUE($I160),VALUE($I160)))&gt;=100,INT(IF(ISNUMBER($I160),$I160,IFERROR(TIMEVALUE($I160),VALUE($I160)))/100)*60+MOD(IF(ISNUMBER($I160),$I160,IFERROR(TIMEVALUE($I160),VALUE($I160))),100),IF(IF(ISNUMBER($I160),$I160,IFERROR(TIMEVALUE($I160),VALUE($I160)))&gt;=1,ROUND(IF(ISNUMBER($I160),$I160,IFERROR(TIMEVALUE($I160),VALUE($I160)))*60,0),ROUND(MOD(IF(ISNUMBER($I160),$I160,IFERROR(TIMEVALUE($I160),VALUE($I160))),1)*1440,0))),""))</f>
        <v/>
      </c>
      <c r="X160" s="55" t="str">
        <f aca="false">IF($P160="","",IFERROR(IF(ISNUMBER($P160),IF($P160&gt;19000000,DATE(INT($P160/10000),MOD(INT($P160/100),100),MOD($P160,100)),INT($P160)),IF(LEN(SUBSTITUTE(SUBSTITUTE(SUBSTITUTE(TRIM($P160),"-",""),".",""),"/",""))=8,DATE(VALUE(LEFT(SUBSTITUTE(SUBSTITUTE(SUBSTITUTE(TRIM($P160),"-",""),".",""),"/",""),4)),VALUE(MID(SUBSTITUTE(SUBSTITUTE(SUBSTITUTE(TRIM($P160),"-",""),".",""),"/",""),5,2)),VALUE(RIGHT(SUBSTITUTE(SUBSTITUTE(SUBSTITUTE(TRIM($P160),"-",""),".",""),"/",""),2))),DATEVALUE($P160))),""))</f>
        <v/>
      </c>
      <c r="Y160" s="56" t="str">
        <f aca="false">IF($M160="","",IFERROR(INDEX(강사DB!$D$4:$D$53,MATCH($M160,강사DB!$A$4:$A$53,0)),""))</f>
        <v/>
      </c>
      <c r="Z160" s="56" t="str">
        <f aca="false">IF($B160&lt;&gt;"결제완료","",IF(OR($Y160="",$J160=""),"",$Y160*$J160+MAX(0,N($K160)-1)*설정!$J$7))</f>
        <v/>
      </c>
      <c r="AA160" s="56" t="str">
        <f aca="false">IF(AND($D160&lt;&gt;"",$B160="결제완료"),N($N160),"")</f>
        <v/>
      </c>
      <c r="AB160" s="45" t="str">
        <f aca="false">IF($D160="","",IF($F160&lt;&gt;"",$F160,$D160)&amp;IF($B160="상담중"," (상담)",""))</f>
        <v/>
      </c>
      <c r="AC160" s="45" t="n">
        <f aca="false">IF(AND($D160&lt;&gt;"",OR($B160="결제완료",$B160="상담중")),1,0)</f>
        <v>0</v>
      </c>
      <c r="AD160" s="45" t="n">
        <f aca="false">IF(OR($Z160="",$U160=""),0,IFERROR(IF(COUNTIFS(INDEX(g_grid,0,2*MATCH($M160,강사DB!$A$4:$A$15,0)),"&lt;&gt;",g_s,"&lt;="&amp;$U160,g_e,"&gt;="&amp;$U160)&gt;0,1,0),0))</f>
        <v>0</v>
      </c>
      <c r="AE160" s="48"/>
      <c r="AF160" s="56" t="str">
        <f aca="false">IF(AND($D160&lt;&gt;"",$B160="결제완료",$T160="대여"),설정!$J$5,"")</f>
        <v/>
      </c>
      <c r="AG160" s="54" t="str">
        <f aca="false">IF($D160="","",IF(AND($E160="",$R160=""),$AB160,"☎ "&amp;IF($E160="","-",$E160)&amp;IF($R160&lt;&gt;"","  ※ "&amp;$R160,"")&amp;IF($B160="상담중"," (상담)","")))</f>
        <v/>
      </c>
      <c r="AH160" s="56" t="str">
        <f aca="false">IF(AND($D160&lt;&gt;"",$B160="결제완료",$O160="스마트스토어"),ROUND(N($N160)*설정!$J$6,0),"")</f>
        <v/>
      </c>
      <c r="AI160" s="54" t="str">
        <f aca="false">IF($D160="","",ROW())</f>
        <v/>
      </c>
      <c r="AJ160" s="54" t="n">
        <f aca="false">IF(OR($AC160&lt;&gt;1,$M160=""),0,IF(ISNUMBER(SEARCH("퇴사",IFERROR(INDEX(강사DB!$G$4:$G$53,MATCH($M160,강사DB!$A$4:$A$53,0)),""))),1,0))</f>
        <v>0</v>
      </c>
    </row>
    <row r="161" customFormat="false" ht="15" hidden="false" customHeight="false" outlineLevel="0" collapsed="false">
      <c r="A161" s="45" t="str">
        <f aca="false">IF($D161="","",COUNTA($D$5:$D161))</f>
        <v/>
      </c>
      <c r="B161" s="46"/>
      <c r="C161" s="47"/>
      <c r="D161" s="48"/>
      <c r="E161" s="48"/>
      <c r="F161" s="49"/>
      <c r="G161" s="47"/>
      <c r="H161" s="50"/>
      <c r="I161" s="50"/>
      <c r="J161" s="51" t="str">
        <f aca="false">IF(OR($V161="",$W161=""),"",ROUND(($W161-$V161)/60,2))</f>
        <v/>
      </c>
      <c r="K161" s="52" t="str">
        <f aca="false">IF($F161="","",LEN($F161)-LEN(SUBSTITUTE($F161,",",""))+1)</f>
        <v/>
      </c>
      <c r="L161" s="45" t="str">
        <f aca="false">IF($K161="","","1:"&amp;$K161)</f>
        <v/>
      </c>
      <c r="M161" s="46"/>
      <c r="N161" s="53"/>
      <c r="O161" s="46"/>
      <c r="P161" s="47"/>
      <c r="Q161" s="48"/>
      <c r="R161" s="49"/>
      <c r="S161" s="54" t="str">
        <f aca="false">IF(OR($AC161=0,$U161="",$M161="",$V161="",$W161=""),"",IF(COUNTIFS(m_teacher,$M161,m_date,$U161,m_active,1,m_start,"&lt;"&amp;$W161,m_end,"&gt;"&amp;$V161)&gt;1,"충돌",""))</f>
        <v/>
      </c>
      <c r="T161" s="48"/>
      <c r="U161" s="55" t="str">
        <f aca="false">IF($G161="","",IFERROR(IF(ISNUMBER($G161),IF($G161&gt;19000000,DATE(INT($G161/10000),MOD(INT($G161/100),100),MOD($G161,100)),INT($G161)),IF(LEN(SUBSTITUTE(SUBSTITUTE(SUBSTITUTE(TRIM($G161),"-",""),".",""),"/",""))=8,DATE(VALUE(LEFT(SUBSTITUTE(SUBSTITUTE(SUBSTITUTE(TRIM($G161),"-",""),".",""),"/",""),4)),VALUE(MID(SUBSTITUTE(SUBSTITUTE(SUBSTITUTE(TRIM($G161),"-",""),".",""),"/",""),5,2)),VALUE(RIGHT(SUBSTITUTE(SUBSTITUTE(SUBSTITUTE(TRIM($G161),"-",""),".",""),"/",""),2))),DATEVALUE($G161))),""))</f>
        <v/>
      </c>
      <c r="V161" s="52" t="str">
        <f aca="false">IF($H161="","",IFERROR(IF(IF(ISNUMBER($H161),$H161,IFERROR(TIMEVALUE($H161),VALUE($H161)))&gt;=100,INT(IF(ISNUMBER($H161),$H161,IFERROR(TIMEVALUE($H161),VALUE($H161)))/100)*60+MOD(IF(ISNUMBER($H161),$H161,IFERROR(TIMEVALUE($H161),VALUE($H161))),100),IF(IF(ISNUMBER($H161),$H161,IFERROR(TIMEVALUE($H161),VALUE($H161)))&gt;=1,ROUND(IF(ISNUMBER($H161),$H161,IFERROR(TIMEVALUE($H161),VALUE($H161)))*60,0),ROUND(MOD(IF(ISNUMBER($H161),$H161,IFERROR(TIMEVALUE($H161),VALUE($H161))),1)*1440,0))),""))</f>
        <v/>
      </c>
      <c r="W161" s="52" t="str">
        <f aca="false">IF($I161="","",IFERROR(IF(IF(ISNUMBER($I161),$I161,IFERROR(TIMEVALUE($I161),VALUE($I161)))&gt;=100,INT(IF(ISNUMBER($I161),$I161,IFERROR(TIMEVALUE($I161),VALUE($I161)))/100)*60+MOD(IF(ISNUMBER($I161),$I161,IFERROR(TIMEVALUE($I161),VALUE($I161))),100),IF(IF(ISNUMBER($I161),$I161,IFERROR(TIMEVALUE($I161),VALUE($I161)))&gt;=1,ROUND(IF(ISNUMBER($I161),$I161,IFERROR(TIMEVALUE($I161),VALUE($I161)))*60,0),ROUND(MOD(IF(ISNUMBER($I161),$I161,IFERROR(TIMEVALUE($I161),VALUE($I161))),1)*1440,0))),""))</f>
        <v/>
      </c>
      <c r="X161" s="55" t="str">
        <f aca="false">IF($P161="","",IFERROR(IF(ISNUMBER($P161),IF($P161&gt;19000000,DATE(INT($P161/10000),MOD(INT($P161/100),100),MOD($P161,100)),INT($P161)),IF(LEN(SUBSTITUTE(SUBSTITUTE(SUBSTITUTE(TRIM($P161),"-",""),".",""),"/",""))=8,DATE(VALUE(LEFT(SUBSTITUTE(SUBSTITUTE(SUBSTITUTE(TRIM($P161),"-",""),".",""),"/",""),4)),VALUE(MID(SUBSTITUTE(SUBSTITUTE(SUBSTITUTE(TRIM($P161),"-",""),".",""),"/",""),5,2)),VALUE(RIGHT(SUBSTITUTE(SUBSTITUTE(SUBSTITUTE(TRIM($P161),"-",""),".",""),"/",""),2))),DATEVALUE($P161))),""))</f>
        <v/>
      </c>
      <c r="Y161" s="56" t="str">
        <f aca="false">IF($M161="","",IFERROR(INDEX(강사DB!$D$4:$D$53,MATCH($M161,강사DB!$A$4:$A$53,0)),""))</f>
        <v/>
      </c>
      <c r="Z161" s="56" t="str">
        <f aca="false">IF($B161&lt;&gt;"결제완료","",IF(OR($Y161="",$J161=""),"",$Y161*$J161+MAX(0,N($K161)-1)*설정!$J$7))</f>
        <v/>
      </c>
      <c r="AA161" s="56" t="str">
        <f aca="false">IF(AND($D161&lt;&gt;"",$B161="결제완료"),N($N161),"")</f>
        <v/>
      </c>
      <c r="AB161" s="45" t="str">
        <f aca="false">IF($D161="","",IF($F161&lt;&gt;"",$F161,$D161)&amp;IF($B161="상담중"," (상담)",""))</f>
        <v/>
      </c>
      <c r="AC161" s="45" t="n">
        <f aca="false">IF(AND($D161&lt;&gt;"",OR($B161="결제완료",$B161="상담중")),1,0)</f>
        <v>0</v>
      </c>
      <c r="AD161" s="45" t="n">
        <f aca="false">IF(OR($Z161="",$U161=""),0,IFERROR(IF(COUNTIFS(INDEX(g_grid,0,2*MATCH($M161,강사DB!$A$4:$A$15,0)),"&lt;&gt;",g_s,"&lt;="&amp;$U161,g_e,"&gt;="&amp;$U161)&gt;0,1,0),0))</f>
        <v>0</v>
      </c>
      <c r="AE161" s="48"/>
      <c r="AF161" s="56" t="str">
        <f aca="false">IF(AND($D161&lt;&gt;"",$B161="결제완료",$T161="대여"),설정!$J$5,"")</f>
        <v/>
      </c>
      <c r="AG161" s="54" t="str">
        <f aca="false">IF($D161="","",IF(AND($E161="",$R161=""),$AB161,"☎ "&amp;IF($E161="","-",$E161)&amp;IF($R161&lt;&gt;"","  ※ "&amp;$R161,"")&amp;IF($B161="상담중"," (상담)","")))</f>
        <v/>
      </c>
      <c r="AH161" s="56" t="str">
        <f aca="false">IF(AND($D161&lt;&gt;"",$B161="결제완료",$O161="스마트스토어"),ROUND(N($N161)*설정!$J$6,0),"")</f>
        <v/>
      </c>
      <c r="AI161" s="54" t="str">
        <f aca="false">IF($D161="","",ROW())</f>
        <v/>
      </c>
      <c r="AJ161" s="54" t="n">
        <f aca="false">IF(OR($AC161&lt;&gt;1,$M161=""),0,IF(ISNUMBER(SEARCH("퇴사",IFERROR(INDEX(강사DB!$G$4:$G$53,MATCH($M161,강사DB!$A$4:$A$53,0)),""))),1,0))</f>
        <v>0</v>
      </c>
    </row>
    <row r="162" customFormat="false" ht="15" hidden="false" customHeight="false" outlineLevel="0" collapsed="false">
      <c r="A162" s="45" t="str">
        <f aca="false">IF($D162="","",COUNTA($D$5:$D162))</f>
        <v/>
      </c>
      <c r="B162" s="46"/>
      <c r="C162" s="47"/>
      <c r="D162" s="48"/>
      <c r="E162" s="48"/>
      <c r="F162" s="49"/>
      <c r="G162" s="47"/>
      <c r="H162" s="50"/>
      <c r="I162" s="50"/>
      <c r="J162" s="51" t="str">
        <f aca="false">IF(OR($V162="",$W162=""),"",ROUND(($W162-$V162)/60,2))</f>
        <v/>
      </c>
      <c r="K162" s="52" t="str">
        <f aca="false">IF($F162="","",LEN($F162)-LEN(SUBSTITUTE($F162,",",""))+1)</f>
        <v/>
      </c>
      <c r="L162" s="45" t="str">
        <f aca="false">IF($K162="","","1:"&amp;$K162)</f>
        <v/>
      </c>
      <c r="M162" s="46"/>
      <c r="N162" s="53"/>
      <c r="O162" s="46"/>
      <c r="P162" s="47"/>
      <c r="Q162" s="48"/>
      <c r="R162" s="49"/>
      <c r="S162" s="54" t="str">
        <f aca="false">IF(OR($AC162=0,$U162="",$M162="",$V162="",$W162=""),"",IF(COUNTIFS(m_teacher,$M162,m_date,$U162,m_active,1,m_start,"&lt;"&amp;$W162,m_end,"&gt;"&amp;$V162)&gt;1,"충돌",""))</f>
        <v/>
      </c>
      <c r="T162" s="48"/>
      <c r="U162" s="55" t="str">
        <f aca="false">IF($G162="","",IFERROR(IF(ISNUMBER($G162),IF($G162&gt;19000000,DATE(INT($G162/10000),MOD(INT($G162/100),100),MOD($G162,100)),INT($G162)),IF(LEN(SUBSTITUTE(SUBSTITUTE(SUBSTITUTE(TRIM($G162),"-",""),".",""),"/",""))=8,DATE(VALUE(LEFT(SUBSTITUTE(SUBSTITUTE(SUBSTITUTE(TRIM($G162),"-",""),".",""),"/",""),4)),VALUE(MID(SUBSTITUTE(SUBSTITUTE(SUBSTITUTE(TRIM($G162),"-",""),".",""),"/",""),5,2)),VALUE(RIGHT(SUBSTITUTE(SUBSTITUTE(SUBSTITUTE(TRIM($G162),"-",""),".",""),"/",""),2))),DATEVALUE($G162))),""))</f>
        <v/>
      </c>
      <c r="V162" s="52" t="str">
        <f aca="false">IF($H162="","",IFERROR(IF(IF(ISNUMBER($H162),$H162,IFERROR(TIMEVALUE($H162),VALUE($H162)))&gt;=100,INT(IF(ISNUMBER($H162),$H162,IFERROR(TIMEVALUE($H162),VALUE($H162)))/100)*60+MOD(IF(ISNUMBER($H162),$H162,IFERROR(TIMEVALUE($H162),VALUE($H162))),100),IF(IF(ISNUMBER($H162),$H162,IFERROR(TIMEVALUE($H162),VALUE($H162)))&gt;=1,ROUND(IF(ISNUMBER($H162),$H162,IFERROR(TIMEVALUE($H162),VALUE($H162)))*60,0),ROUND(MOD(IF(ISNUMBER($H162),$H162,IFERROR(TIMEVALUE($H162),VALUE($H162))),1)*1440,0))),""))</f>
        <v/>
      </c>
      <c r="W162" s="52" t="str">
        <f aca="false">IF($I162="","",IFERROR(IF(IF(ISNUMBER($I162),$I162,IFERROR(TIMEVALUE($I162),VALUE($I162)))&gt;=100,INT(IF(ISNUMBER($I162),$I162,IFERROR(TIMEVALUE($I162),VALUE($I162)))/100)*60+MOD(IF(ISNUMBER($I162),$I162,IFERROR(TIMEVALUE($I162),VALUE($I162))),100),IF(IF(ISNUMBER($I162),$I162,IFERROR(TIMEVALUE($I162),VALUE($I162)))&gt;=1,ROUND(IF(ISNUMBER($I162),$I162,IFERROR(TIMEVALUE($I162),VALUE($I162)))*60,0),ROUND(MOD(IF(ISNUMBER($I162),$I162,IFERROR(TIMEVALUE($I162),VALUE($I162))),1)*1440,0))),""))</f>
        <v/>
      </c>
      <c r="X162" s="55" t="str">
        <f aca="false">IF($P162="","",IFERROR(IF(ISNUMBER($P162),IF($P162&gt;19000000,DATE(INT($P162/10000),MOD(INT($P162/100),100),MOD($P162,100)),INT($P162)),IF(LEN(SUBSTITUTE(SUBSTITUTE(SUBSTITUTE(TRIM($P162),"-",""),".",""),"/",""))=8,DATE(VALUE(LEFT(SUBSTITUTE(SUBSTITUTE(SUBSTITUTE(TRIM($P162),"-",""),".",""),"/",""),4)),VALUE(MID(SUBSTITUTE(SUBSTITUTE(SUBSTITUTE(TRIM($P162),"-",""),".",""),"/",""),5,2)),VALUE(RIGHT(SUBSTITUTE(SUBSTITUTE(SUBSTITUTE(TRIM($P162),"-",""),".",""),"/",""),2))),DATEVALUE($P162))),""))</f>
        <v/>
      </c>
      <c r="Y162" s="56" t="str">
        <f aca="false">IF($M162="","",IFERROR(INDEX(강사DB!$D$4:$D$53,MATCH($M162,강사DB!$A$4:$A$53,0)),""))</f>
        <v/>
      </c>
      <c r="Z162" s="56" t="str">
        <f aca="false">IF($B162&lt;&gt;"결제완료","",IF(OR($Y162="",$J162=""),"",$Y162*$J162+MAX(0,N($K162)-1)*설정!$J$7))</f>
        <v/>
      </c>
      <c r="AA162" s="56" t="str">
        <f aca="false">IF(AND($D162&lt;&gt;"",$B162="결제완료"),N($N162),"")</f>
        <v/>
      </c>
      <c r="AB162" s="45" t="str">
        <f aca="false">IF($D162="","",IF($F162&lt;&gt;"",$F162,$D162)&amp;IF($B162="상담중"," (상담)",""))</f>
        <v/>
      </c>
      <c r="AC162" s="45" t="n">
        <f aca="false">IF(AND($D162&lt;&gt;"",OR($B162="결제완료",$B162="상담중")),1,0)</f>
        <v>0</v>
      </c>
      <c r="AD162" s="45" t="n">
        <f aca="false">IF(OR($Z162="",$U162=""),0,IFERROR(IF(COUNTIFS(INDEX(g_grid,0,2*MATCH($M162,강사DB!$A$4:$A$15,0)),"&lt;&gt;",g_s,"&lt;="&amp;$U162,g_e,"&gt;="&amp;$U162)&gt;0,1,0),0))</f>
        <v>0</v>
      </c>
      <c r="AE162" s="48"/>
      <c r="AF162" s="56" t="str">
        <f aca="false">IF(AND($D162&lt;&gt;"",$B162="결제완료",$T162="대여"),설정!$J$5,"")</f>
        <v/>
      </c>
      <c r="AG162" s="54" t="str">
        <f aca="false">IF($D162="","",IF(AND($E162="",$R162=""),$AB162,"☎ "&amp;IF($E162="","-",$E162)&amp;IF($R162&lt;&gt;"","  ※ "&amp;$R162,"")&amp;IF($B162="상담중"," (상담)","")))</f>
        <v/>
      </c>
      <c r="AH162" s="56" t="str">
        <f aca="false">IF(AND($D162&lt;&gt;"",$B162="결제완료",$O162="스마트스토어"),ROUND(N($N162)*설정!$J$6,0),"")</f>
        <v/>
      </c>
      <c r="AI162" s="54" t="str">
        <f aca="false">IF($D162="","",ROW())</f>
        <v/>
      </c>
      <c r="AJ162" s="54" t="n">
        <f aca="false">IF(OR($AC162&lt;&gt;1,$M162=""),0,IF(ISNUMBER(SEARCH("퇴사",IFERROR(INDEX(강사DB!$G$4:$G$53,MATCH($M162,강사DB!$A$4:$A$53,0)),""))),1,0))</f>
        <v>0</v>
      </c>
    </row>
    <row r="163" customFormat="false" ht="15" hidden="false" customHeight="false" outlineLevel="0" collapsed="false">
      <c r="A163" s="45" t="str">
        <f aca="false">IF($D163="","",COUNTA($D$5:$D163))</f>
        <v/>
      </c>
      <c r="B163" s="46"/>
      <c r="C163" s="47"/>
      <c r="D163" s="48"/>
      <c r="E163" s="48"/>
      <c r="F163" s="49"/>
      <c r="G163" s="47"/>
      <c r="H163" s="50"/>
      <c r="I163" s="50"/>
      <c r="J163" s="51" t="str">
        <f aca="false">IF(OR($V163="",$W163=""),"",ROUND(($W163-$V163)/60,2))</f>
        <v/>
      </c>
      <c r="K163" s="52" t="str">
        <f aca="false">IF($F163="","",LEN($F163)-LEN(SUBSTITUTE($F163,",",""))+1)</f>
        <v/>
      </c>
      <c r="L163" s="45" t="str">
        <f aca="false">IF($K163="","","1:"&amp;$K163)</f>
        <v/>
      </c>
      <c r="M163" s="46"/>
      <c r="N163" s="53"/>
      <c r="O163" s="46"/>
      <c r="P163" s="47"/>
      <c r="Q163" s="48"/>
      <c r="R163" s="49"/>
      <c r="S163" s="54" t="str">
        <f aca="false">IF(OR($AC163=0,$U163="",$M163="",$V163="",$W163=""),"",IF(COUNTIFS(m_teacher,$M163,m_date,$U163,m_active,1,m_start,"&lt;"&amp;$W163,m_end,"&gt;"&amp;$V163)&gt;1,"충돌",""))</f>
        <v/>
      </c>
      <c r="T163" s="48"/>
      <c r="U163" s="55" t="str">
        <f aca="false">IF($G163="","",IFERROR(IF(ISNUMBER($G163),IF($G163&gt;19000000,DATE(INT($G163/10000),MOD(INT($G163/100),100),MOD($G163,100)),INT($G163)),IF(LEN(SUBSTITUTE(SUBSTITUTE(SUBSTITUTE(TRIM($G163),"-",""),".",""),"/",""))=8,DATE(VALUE(LEFT(SUBSTITUTE(SUBSTITUTE(SUBSTITUTE(TRIM($G163),"-",""),".",""),"/",""),4)),VALUE(MID(SUBSTITUTE(SUBSTITUTE(SUBSTITUTE(TRIM($G163),"-",""),".",""),"/",""),5,2)),VALUE(RIGHT(SUBSTITUTE(SUBSTITUTE(SUBSTITUTE(TRIM($G163),"-",""),".",""),"/",""),2))),DATEVALUE($G163))),""))</f>
        <v/>
      </c>
      <c r="V163" s="52" t="str">
        <f aca="false">IF($H163="","",IFERROR(IF(IF(ISNUMBER($H163),$H163,IFERROR(TIMEVALUE($H163),VALUE($H163)))&gt;=100,INT(IF(ISNUMBER($H163),$H163,IFERROR(TIMEVALUE($H163),VALUE($H163)))/100)*60+MOD(IF(ISNUMBER($H163),$H163,IFERROR(TIMEVALUE($H163),VALUE($H163))),100),IF(IF(ISNUMBER($H163),$H163,IFERROR(TIMEVALUE($H163),VALUE($H163)))&gt;=1,ROUND(IF(ISNUMBER($H163),$H163,IFERROR(TIMEVALUE($H163),VALUE($H163)))*60,0),ROUND(MOD(IF(ISNUMBER($H163),$H163,IFERROR(TIMEVALUE($H163),VALUE($H163))),1)*1440,0))),""))</f>
        <v/>
      </c>
      <c r="W163" s="52" t="str">
        <f aca="false">IF($I163="","",IFERROR(IF(IF(ISNUMBER($I163),$I163,IFERROR(TIMEVALUE($I163),VALUE($I163)))&gt;=100,INT(IF(ISNUMBER($I163),$I163,IFERROR(TIMEVALUE($I163),VALUE($I163)))/100)*60+MOD(IF(ISNUMBER($I163),$I163,IFERROR(TIMEVALUE($I163),VALUE($I163))),100),IF(IF(ISNUMBER($I163),$I163,IFERROR(TIMEVALUE($I163),VALUE($I163)))&gt;=1,ROUND(IF(ISNUMBER($I163),$I163,IFERROR(TIMEVALUE($I163),VALUE($I163)))*60,0),ROUND(MOD(IF(ISNUMBER($I163),$I163,IFERROR(TIMEVALUE($I163),VALUE($I163))),1)*1440,0))),""))</f>
        <v/>
      </c>
      <c r="X163" s="55" t="str">
        <f aca="false">IF($P163="","",IFERROR(IF(ISNUMBER($P163),IF($P163&gt;19000000,DATE(INT($P163/10000),MOD(INT($P163/100),100),MOD($P163,100)),INT($P163)),IF(LEN(SUBSTITUTE(SUBSTITUTE(SUBSTITUTE(TRIM($P163),"-",""),".",""),"/",""))=8,DATE(VALUE(LEFT(SUBSTITUTE(SUBSTITUTE(SUBSTITUTE(TRIM($P163),"-",""),".",""),"/",""),4)),VALUE(MID(SUBSTITUTE(SUBSTITUTE(SUBSTITUTE(TRIM($P163),"-",""),".",""),"/",""),5,2)),VALUE(RIGHT(SUBSTITUTE(SUBSTITUTE(SUBSTITUTE(TRIM($P163),"-",""),".",""),"/",""),2))),DATEVALUE($P163))),""))</f>
        <v/>
      </c>
      <c r="Y163" s="56" t="str">
        <f aca="false">IF($M163="","",IFERROR(INDEX(강사DB!$D$4:$D$53,MATCH($M163,강사DB!$A$4:$A$53,0)),""))</f>
        <v/>
      </c>
      <c r="Z163" s="56" t="str">
        <f aca="false">IF($B163&lt;&gt;"결제완료","",IF(OR($Y163="",$J163=""),"",$Y163*$J163+MAX(0,N($K163)-1)*설정!$J$7))</f>
        <v/>
      </c>
      <c r="AA163" s="56" t="str">
        <f aca="false">IF(AND($D163&lt;&gt;"",$B163="결제완료"),N($N163),"")</f>
        <v/>
      </c>
      <c r="AB163" s="45" t="str">
        <f aca="false">IF($D163="","",IF($F163&lt;&gt;"",$F163,$D163)&amp;IF($B163="상담중"," (상담)",""))</f>
        <v/>
      </c>
      <c r="AC163" s="45" t="n">
        <f aca="false">IF(AND($D163&lt;&gt;"",OR($B163="결제완료",$B163="상담중")),1,0)</f>
        <v>0</v>
      </c>
      <c r="AD163" s="45" t="n">
        <f aca="false">IF(OR($Z163="",$U163=""),0,IFERROR(IF(COUNTIFS(INDEX(g_grid,0,2*MATCH($M163,강사DB!$A$4:$A$15,0)),"&lt;&gt;",g_s,"&lt;="&amp;$U163,g_e,"&gt;="&amp;$U163)&gt;0,1,0),0))</f>
        <v>0</v>
      </c>
      <c r="AE163" s="48"/>
      <c r="AF163" s="56" t="str">
        <f aca="false">IF(AND($D163&lt;&gt;"",$B163="결제완료",$T163="대여"),설정!$J$5,"")</f>
        <v/>
      </c>
      <c r="AG163" s="54" t="str">
        <f aca="false">IF($D163="","",IF(AND($E163="",$R163=""),$AB163,"☎ "&amp;IF($E163="","-",$E163)&amp;IF($R163&lt;&gt;"","  ※ "&amp;$R163,"")&amp;IF($B163="상담중"," (상담)","")))</f>
        <v/>
      </c>
      <c r="AH163" s="56" t="str">
        <f aca="false">IF(AND($D163&lt;&gt;"",$B163="결제완료",$O163="스마트스토어"),ROUND(N($N163)*설정!$J$6,0),"")</f>
        <v/>
      </c>
      <c r="AI163" s="54" t="str">
        <f aca="false">IF($D163="","",ROW())</f>
        <v/>
      </c>
      <c r="AJ163" s="54" t="n">
        <f aca="false">IF(OR($AC163&lt;&gt;1,$M163=""),0,IF(ISNUMBER(SEARCH("퇴사",IFERROR(INDEX(강사DB!$G$4:$G$53,MATCH($M163,강사DB!$A$4:$A$53,0)),""))),1,0))</f>
        <v>0</v>
      </c>
    </row>
    <row r="164" customFormat="false" ht="15" hidden="false" customHeight="false" outlineLevel="0" collapsed="false">
      <c r="A164" s="45" t="str">
        <f aca="false">IF($D164="","",COUNTA($D$5:$D164))</f>
        <v/>
      </c>
      <c r="B164" s="46"/>
      <c r="C164" s="47"/>
      <c r="D164" s="48"/>
      <c r="E164" s="48"/>
      <c r="F164" s="49"/>
      <c r="G164" s="47"/>
      <c r="H164" s="50"/>
      <c r="I164" s="50"/>
      <c r="J164" s="51" t="str">
        <f aca="false">IF(OR($V164="",$W164=""),"",ROUND(($W164-$V164)/60,2))</f>
        <v/>
      </c>
      <c r="K164" s="52" t="str">
        <f aca="false">IF($F164="","",LEN($F164)-LEN(SUBSTITUTE($F164,",",""))+1)</f>
        <v/>
      </c>
      <c r="L164" s="45" t="str">
        <f aca="false">IF($K164="","","1:"&amp;$K164)</f>
        <v/>
      </c>
      <c r="M164" s="46"/>
      <c r="N164" s="53"/>
      <c r="O164" s="46"/>
      <c r="P164" s="47"/>
      <c r="Q164" s="48"/>
      <c r="R164" s="49"/>
      <c r="S164" s="54" t="str">
        <f aca="false">IF(OR($AC164=0,$U164="",$M164="",$V164="",$W164=""),"",IF(COUNTIFS(m_teacher,$M164,m_date,$U164,m_active,1,m_start,"&lt;"&amp;$W164,m_end,"&gt;"&amp;$V164)&gt;1,"충돌",""))</f>
        <v/>
      </c>
      <c r="T164" s="48"/>
      <c r="U164" s="55" t="str">
        <f aca="false">IF($G164="","",IFERROR(IF(ISNUMBER($G164),IF($G164&gt;19000000,DATE(INT($G164/10000),MOD(INT($G164/100),100),MOD($G164,100)),INT($G164)),IF(LEN(SUBSTITUTE(SUBSTITUTE(SUBSTITUTE(TRIM($G164),"-",""),".",""),"/",""))=8,DATE(VALUE(LEFT(SUBSTITUTE(SUBSTITUTE(SUBSTITUTE(TRIM($G164),"-",""),".",""),"/",""),4)),VALUE(MID(SUBSTITUTE(SUBSTITUTE(SUBSTITUTE(TRIM($G164),"-",""),".",""),"/",""),5,2)),VALUE(RIGHT(SUBSTITUTE(SUBSTITUTE(SUBSTITUTE(TRIM($G164),"-",""),".",""),"/",""),2))),DATEVALUE($G164))),""))</f>
        <v/>
      </c>
      <c r="V164" s="52" t="str">
        <f aca="false">IF($H164="","",IFERROR(IF(IF(ISNUMBER($H164),$H164,IFERROR(TIMEVALUE($H164),VALUE($H164)))&gt;=100,INT(IF(ISNUMBER($H164),$H164,IFERROR(TIMEVALUE($H164),VALUE($H164)))/100)*60+MOD(IF(ISNUMBER($H164),$H164,IFERROR(TIMEVALUE($H164),VALUE($H164))),100),IF(IF(ISNUMBER($H164),$H164,IFERROR(TIMEVALUE($H164),VALUE($H164)))&gt;=1,ROUND(IF(ISNUMBER($H164),$H164,IFERROR(TIMEVALUE($H164),VALUE($H164)))*60,0),ROUND(MOD(IF(ISNUMBER($H164),$H164,IFERROR(TIMEVALUE($H164),VALUE($H164))),1)*1440,0))),""))</f>
        <v/>
      </c>
      <c r="W164" s="52" t="str">
        <f aca="false">IF($I164="","",IFERROR(IF(IF(ISNUMBER($I164),$I164,IFERROR(TIMEVALUE($I164),VALUE($I164)))&gt;=100,INT(IF(ISNUMBER($I164),$I164,IFERROR(TIMEVALUE($I164),VALUE($I164)))/100)*60+MOD(IF(ISNUMBER($I164),$I164,IFERROR(TIMEVALUE($I164),VALUE($I164))),100),IF(IF(ISNUMBER($I164),$I164,IFERROR(TIMEVALUE($I164),VALUE($I164)))&gt;=1,ROUND(IF(ISNUMBER($I164),$I164,IFERROR(TIMEVALUE($I164),VALUE($I164)))*60,0),ROUND(MOD(IF(ISNUMBER($I164),$I164,IFERROR(TIMEVALUE($I164),VALUE($I164))),1)*1440,0))),""))</f>
        <v/>
      </c>
      <c r="X164" s="55" t="str">
        <f aca="false">IF($P164="","",IFERROR(IF(ISNUMBER($P164),IF($P164&gt;19000000,DATE(INT($P164/10000),MOD(INT($P164/100),100),MOD($P164,100)),INT($P164)),IF(LEN(SUBSTITUTE(SUBSTITUTE(SUBSTITUTE(TRIM($P164),"-",""),".",""),"/",""))=8,DATE(VALUE(LEFT(SUBSTITUTE(SUBSTITUTE(SUBSTITUTE(TRIM($P164),"-",""),".",""),"/",""),4)),VALUE(MID(SUBSTITUTE(SUBSTITUTE(SUBSTITUTE(TRIM($P164),"-",""),".",""),"/",""),5,2)),VALUE(RIGHT(SUBSTITUTE(SUBSTITUTE(SUBSTITUTE(TRIM($P164),"-",""),".",""),"/",""),2))),DATEVALUE($P164))),""))</f>
        <v/>
      </c>
      <c r="Y164" s="56" t="str">
        <f aca="false">IF($M164="","",IFERROR(INDEX(강사DB!$D$4:$D$53,MATCH($M164,강사DB!$A$4:$A$53,0)),""))</f>
        <v/>
      </c>
      <c r="Z164" s="56" t="str">
        <f aca="false">IF($B164&lt;&gt;"결제완료","",IF(OR($Y164="",$J164=""),"",$Y164*$J164+MAX(0,N($K164)-1)*설정!$J$7))</f>
        <v/>
      </c>
      <c r="AA164" s="56" t="str">
        <f aca="false">IF(AND($D164&lt;&gt;"",$B164="결제완료"),N($N164),"")</f>
        <v/>
      </c>
      <c r="AB164" s="45" t="str">
        <f aca="false">IF($D164="","",IF($F164&lt;&gt;"",$F164,$D164)&amp;IF($B164="상담중"," (상담)",""))</f>
        <v/>
      </c>
      <c r="AC164" s="45" t="n">
        <f aca="false">IF(AND($D164&lt;&gt;"",OR($B164="결제완료",$B164="상담중")),1,0)</f>
        <v>0</v>
      </c>
      <c r="AD164" s="45" t="n">
        <f aca="false">IF(OR($Z164="",$U164=""),0,IFERROR(IF(COUNTIFS(INDEX(g_grid,0,2*MATCH($M164,강사DB!$A$4:$A$15,0)),"&lt;&gt;",g_s,"&lt;="&amp;$U164,g_e,"&gt;="&amp;$U164)&gt;0,1,0),0))</f>
        <v>0</v>
      </c>
      <c r="AE164" s="48"/>
      <c r="AF164" s="56" t="str">
        <f aca="false">IF(AND($D164&lt;&gt;"",$B164="결제완료",$T164="대여"),설정!$J$5,"")</f>
        <v/>
      </c>
      <c r="AG164" s="54" t="str">
        <f aca="false">IF($D164="","",IF(AND($E164="",$R164=""),$AB164,"☎ "&amp;IF($E164="","-",$E164)&amp;IF($R164&lt;&gt;"","  ※ "&amp;$R164,"")&amp;IF($B164="상담중"," (상담)","")))</f>
        <v/>
      </c>
      <c r="AH164" s="56" t="str">
        <f aca="false">IF(AND($D164&lt;&gt;"",$B164="결제완료",$O164="스마트스토어"),ROUND(N($N164)*설정!$J$6,0),"")</f>
        <v/>
      </c>
      <c r="AI164" s="54" t="str">
        <f aca="false">IF($D164="","",ROW())</f>
        <v/>
      </c>
      <c r="AJ164" s="54" t="n">
        <f aca="false">IF(OR($AC164&lt;&gt;1,$M164=""),0,IF(ISNUMBER(SEARCH("퇴사",IFERROR(INDEX(강사DB!$G$4:$G$53,MATCH($M164,강사DB!$A$4:$A$53,0)),""))),1,0))</f>
        <v>0</v>
      </c>
    </row>
    <row r="165" customFormat="false" ht="15" hidden="false" customHeight="false" outlineLevel="0" collapsed="false">
      <c r="A165" s="45" t="str">
        <f aca="false">IF($D165="","",COUNTA($D$5:$D165))</f>
        <v/>
      </c>
      <c r="B165" s="46"/>
      <c r="C165" s="47"/>
      <c r="D165" s="48"/>
      <c r="E165" s="48"/>
      <c r="F165" s="49"/>
      <c r="G165" s="47"/>
      <c r="H165" s="50"/>
      <c r="I165" s="50"/>
      <c r="J165" s="51" t="str">
        <f aca="false">IF(OR($V165="",$W165=""),"",ROUND(($W165-$V165)/60,2))</f>
        <v/>
      </c>
      <c r="K165" s="52" t="str">
        <f aca="false">IF($F165="","",LEN($F165)-LEN(SUBSTITUTE($F165,",",""))+1)</f>
        <v/>
      </c>
      <c r="L165" s="45" t="str">
        <f aca="false">IF($K165="","","1:"&amp;$K165)</f>
        <v/>
      </c>
      <c r="M165" s="46"/>
      <c r="N165" s="53"/>
      <c r="O165" s="46"/>
      <c r="P165" s="47"/>
      <c r="Q165" s="48"/>
      <c r="R165" s="49"/>
      <c r="S165" s="54" t="str">
        <f aca="false">IF(OR($AC165=0,$U165="",$M165="",$V165="",$W165=""),"",IF(COUNTIFS(m_teacher,$M165,m_date,$U165,m_active,1,m_start,"&lt;"&amp;$W165,m_end,"&gt;"&amp;$V165)&gt;1,"충돌",""))</f>
        <v/>
      </c>
      <c r="T165" s="48"/>
      <c r="U165" s="55" t="str">
        <f aca="false">IF($G165="","",IFERROR(IF(ISNUMBER($G165),IF($G165&gt;19000000,DATE(INT($G165/10000),MOD(INT($G165/100),100),MOD($G165,100)),INT($G165)),IF(LEN(SUBSTITUTE(SUBSTITUTE(SUBSTITUTE(TRIM($G165),"-",""),".",""),"/",""))=8,DATE(VALUE(LEFT(SUBSTITUTE(SUBSTITUTE(SUBSTITUTE(TRIM($G165),"-",""),".",""),"/",""),4)),VALUE(MID(SUBSTITUTE(SUBSTITUTE(SUBSTITUTE(TRIM($G165),"-",""),".",""),"/",""),5,2)),VALUE(RIGHT(SUBSTITUTE(SUBSTITUTE(SUBSTITUTE(TRIM($G165),"-",""),".",""),"/",""),2))),DATEVALUE($G165))),""))</f>
        <v/>
      </c>
      <c r="V165" s="52" t="str">
        <f aca="false">IF($H165="","",IFERROR(IF(IF(ISNUMBER($H165),$H165,IFERROR(TIMEVALUE($H165),VALUE($H165)))&gt;=100,INT(IF(ISNUMBER($H165),$H165,IFERROR(TIMEVALUE($H165),VALUE($H165)))/100)*60+MOD(IF(ISNUMBER($H165),$H165,IFERROR(TIMEVALUE($H165),VALUE($H165))),100),IF(IF(ISNUMBER($H165),$H165,IFERROR(TIMEVALUE($H165),VALUE($H165)))&gt;=1,ROUND(IF(ISNUMBER($H165),$H165,IFERROR(TIMEVALUE($H165),VALUE($H165)))*60,0),ROUND(MOD(IF(ISNUMBER($H165),$H165,IFERROR(TIMEVALUE($H165),VALUE($H165))),1)*1440,0))),""))</f>
        <v/>
      </c>
      <c r="W165" s="52" t="str">
        <f aca="false">IF($I165="","",IFERROR(IF(IF(ISNUMBER($I165),$I165,IFERROR(TIMEVALUE($I165),VALUE($I165)))&gt;=100,INT(IF(ISNUMBER($I165),$I165,IFERROR(TIMEVALUE($I165),VALUE($I165)))/100)*60+MOD(IF(ISNUMBER($I165),$I165,IFERROR(TIMEVALUE($I165),VALUE($I165))),100),IF(IF(ISNUMBER($I165),$I165,IFERROR(TIMEVALUE($I165),VALUE($I165)))&gt;=1,ROUND(IF(ISNUMBER($I165),$I165,IFERROR(TIMEVALUE($I165),VALUE($I165)))*60,0),ROUND(MOD(IF(ISNUMBER($I165),$I165,IFERROR(TIMEVALUE($I165),VALUE($I165))),1)*1440,0))),""))</f>
        <v/>
      </c>
      <c r="X165" s="55" t="str">
        <f aca="false">IF($P165="","",IFERROR(IF(ISNUMBER($P165),IF($P165&gt;19000000,DATE(INT($P165/10000),MOD(INT($P165/100),100),MOD($P165,100)),INT($P165)),IF(LEN(SUBSTITUTE(SUBSTITUTE(SUBSTITUTE(TRIM($P165),"-",""),".",""),"/",""))=8,DATE(VALUE(LEFT(SUBSTITUTE(SUBSTITUTE(SUBSTITUTE(TRIM($P165),"-",""),".",""),"/",""),4)),VALUE(MID(SUBSTITUTE(SUBSTITUTE(SUBSTITUTE(TRIM($P165),"-",""),".",""),"/",""),5,2)),VALUE(RIGHT(SUBSTITUTE(SUBSTITUTE(SUBSTITUTE(TRIM($P165),"-",""),".",""),"/",""),2))),DATEVALUE($P165))),""))</f>
        <v/>
      </c>
      <c r="Y165" s="56" t="str">
        <f aca="false">IF($M165="","",IFERROR(INDEX(강사DB!$D$4:$D$53,MATCH($M165,강사DB!$A$4:$A$53,0)),""))</f>
        <v/>
      </c>
      <c r="Z165" s="56" t="str">
        <f aca="false">IF($B165&lt;&gt;"결제완료","",IF(OR($Y165="",$J165=""),"",$Y165*$J165+MAX(0,N($K165)-1)*설정!$J$7))</f>
        <v/>
      </c>
      <c r="AA165" s="56" t="str">
        <f aca="false">IF(AND($D165&lt;&gt;"",$B165="결제완료"),N($N165),"")</f>
        <v/>
      </c>
      <c r="AB165" s="45" t="str">
        <f aca="false">IF($D165="","",IF($F165&lt;&gt;"",$F165,$D165)&amp;IF($B165="상담중"," (상담)",""))</f>
        <v/>
      </c>
      <c r="AC165" s="45" t="n">
        <f aca="false">IF(AND($D165&lt;&gt;"",OR($B165="결제완료",$B165="상담중")),1,0)</f>
        <v>0</v>
      </c>
      <c r="AD165" s="45" t="n">
        <f aca="false">IF(OR($Z165="",$U165=""),0,IFERROR(IF(COUNTIFS(INDEX(g_grid,0,2*MATCH($M165,강사DB!$A$4:$A$15,0)),"&lt;&gt;",g_s,"&lt;="&amp;$U165,g_e,"&gt;="&amp;$U165)&gt;0,1,0),0))</f>
        <v>0</v>
      </c>
      <c r="AE165" s="48"/>
      <c r="AF165" s="56" t="str">
        <f aca="false">IF(AND($D165&lt;&gt;"",$B165="결제완료",$T165="대여"),설정!$J$5,"")</f>
        <v/>
      </c>
      <c r="AG165" s="54" t="str">
        <f aca="false">IF($D165="","",IF(AND($E165="",$R165=""),$AB165,"☎ "&amp;IF($E165="","-",$E165)&amp;IF($R165&lt;&gt;"","  ※ "&amp;$R165,"")&amp;IF($B165="상담중"," (상담)","")))</f>
        <v/>
      </c>
      <c r="AH165" s="56" t="str">
        <f aca="false">IF(AND($D165&lt;&gt;"",$B165="결제완료",$O165="스마트스토어"),ROUND(N($N165)*설정!$J$6,0),"")</f>
        <v/>
      </c>
      <c r="AI165" s="54" t="str">
        <f aca="false">IF($D165="","",ROW())</f>
        <v/>
      </c>
      <c r="AJ165" s="54" t="n">
        <f aca="false">IF(OR($AC165&lt;&gt;1,$M165=""),0,IF(ISNUMBER(SEARCH("퇴사",IFERROR(INDEX(강사DB!$G$4:$G$53,MATCH($M165,강사DB!$A$4:$A$53,0)),""))),1,0))</f>
        <v>0</v>
      </c>
    </row>
    <row r="166" customFormat="false" ht="15" hidden="false" customHeight="false" outlineLevel="0" collapsed="false">
      <c r="A166" s="45" t="str">
        <f aca="false">IF($D166="","",COUNTA($D$5:$D166))</f>
        <v/>
      </c>
      <c r="B166" s="46"/>
      <c r="C166" s="47"/>
      <c r="D166" s="48"/>
      <c r="E166" s="48"/>
      <c r="F166" s="49"/>
      <c r="G166" s="47"/>
      <c r="H166" s="50"/>
      <c r="I166" s="50"/>
      <c r="J166" s="51" t="str">
        <f aca="false">IF(OR($V166="",$W166=""),"",ROUND(($W166-$V166)/60,2))</f>
        <v/>
      </c>
      <c r="K166" s="52" t="str">
        <f aca="false">IF($F166="","",LEN($F166)-LEN(SUBSTITUTE($F166,",",""))+1)</f>
        <v/>
      </c>
      <c r="L166" s="45" t="str">
        <f aca="false">IF($K166="","","1:"&amp;$K166)</f>
        <v/>
      </c>
      <c r="M166" s="46"/>
      <c r="N166" s="53"/>
      <c r="O166" s="46"/>
      <c r="P166" s="47"/>
      <c r="Q166" s="48"/>
      <c r="R166" s="49"/>
      <c r="S166" s="54" t="str">
        <f aca="false">IF(OR($AC166=0,$U166="",$M166="",$V166="",$W166=""),"",IF(COUNTIFS(m_teacher,$M166,m_date,$U166,m_active,1,m_start,"&lt;"&amp;$W166,m_end,"&gt;"&amp;$V166)&gt;1,"충돌",""))</f>
        <v/>
      </c>
      <c r="T166" s="48"/>
      <c r="U166" s="55" t="str">
        <f aca="false">IF($G166="","",IFERROR(IF(ISNUMBER($G166),IF($G166&gt;19000000,DATE(INT($G166/10000),MOD(INT($G166/100),100),MOD($G166,100)),INT($G166)),IF(LEN(SUBSTITUTE(SUBSTITUTE(SUBSTITUTE(TRIM($G166),"-",""),".",""),"/",""))=8,DATE(VALUE(LEFT(SUBSTITUTE(SUBSTITUTE(SUBSTITUTE(TRIM($G166),"-",""),".",""),"/",""),4)),VALUE(MID(SUBSTITUTE(SUBSTITUTE(SUBSTITUTE(TRIM($G166),"-",""),".",""),"/",""),5,2)),VALUE(RIGHT(SUBSTITUTE(SUBSTITUTE(SUBSTITUTE(TRIM($G166),"-",""),".",""),"/",""),2))),DATEVALUE($G166))),""))</f>
        <v/>
      </c>
      <c r="V166" s="52" t="str">
        <f aca="false">IF($H166="","",IFERROR(IF(IF(ISNUMBER($H166),$H166,IFERROR(TIMEVALUE($H166),VALUE($H166)))&gt;=100,INT(IF(ISNUMBER($H166),$H166,IFERROR(TIMEVALUE($H166),VALUE($H166)))/100)*60+MOD(IF(ISNUMBER($H166),$H166,IFERROR(TIMEVALUE($H166),VALUE($H166))),100),IF(IF(ISNUMBER($H166),$H166,IFERROR(TIMEVALUE($H166),VALUE($H166)))&gt;=1,ROUND(IF(ISNUMBER($H166),$H166,IFERROR(TIMEVALUE($H166),VALUE($H166)))*60,0),ROUND(MOD(IF(ISNUMBER($H166),$H166,IFERROR(TIMEVALUE($H166),VALUE($H166))),1)*1440,0))),""))</f>
        <v/>
      </c>
      <c r="W166" s="52" t="str">
        <f aca="false">IF($I166="","",IFERROR(IF(IF(ISNUMBER($I166),$I166,IFERROR(TIMEVALUE($I166),VALUE($I166)))&gt;=100,INT(IF(ISNUMBER($I166),$I166,IFERROR(TIMEVALUE($I166),VALUE($I166)))/100)*60+MOD(IF(ISNUMBER($I166),$I166,IFERROR(TIMEVALUE($I166),VALUE($I166))),100),IF(IF(ISNUMBER($I166),$I166,IFERROR(TIMEVALUE($I166),VALUE($I166)))&gt;=1,ROUND(IF(ISNUMBER($I166),$I166,IFERROR(TIMEVALUE($I166),VALUE($I166)))*60,0),ROUND(MOD(IF(ISNUMBER($I166),$I166,IFERROR(TIMEVALUE($I166),VALUE($I166))),1)*1440,0))),""))</f>
        <v/>
      </c>
      <c r="X166" s="55" t="str">
        <f aca="false">IF($P166="","",IFERROR(IF(ISNUMBER($P166),IF($P166&gt;19000000,DATE(INT($P166/10000),MOD(INT($P166/100),100),MOD($P166,100)),INT($P166)),IF(LEN(SUBSTITUTE(SUBSTITUTE(SUBSTITUTE(TRIM($P166),"-",""),".",""),"/",""))=8,DATE(VALUE(LEFT(SUBSTITUTE(SUBSTITUTE(SUBSTITUTE(TRIM($P166),"-",""),".",""),"/",""),4)),VALUE(MID(SUBSTITUTE(SUBSTITUTE(SUBSTITUTE(TRIM($P166),"-",""),".",""),"/",""),5,2)),VALUE(RIGHT(SUBSTITUTE(SUBSTITUTE(SUBSTITUTE(TRIM($P166),"-",""),".",""),"/",""),2))),DATEVALUE($P166))),""))</f>
        <v/>
      </c>
      <c r="Y166" s="56" t="str">
        <f aca="false">IF($M166="","",IFERROR(INDEX(강사DB!$D$4:$D$53,MATCH($M166,강사DB!$A$4:$A$53,0)),""))</f>
        <v/>
      </c>
      <c r="Z166" s="56" t="str">
        <f aca="false">IF($B166&lt;&gt;"결제완료","",IF(OR($Y166="",$J166=""),"",$Y166*$J166+MAX(0,N($K166)-1)*설정!$J$7))</f>
        <v/>
      </c>
      <c r="AA166" s="56" t="str">
        <f aca="false">IF(AND($D166&lt;&gt;"",$B166="결제완료"),N($N166),"")</f>
        <v/>
      </c>
      <c r="AB166" s="45" t="str">
        <f aca="false">IF($D166="","",IF($F166&lt;&gt;"",$F166,$D166)&amp;IF($B166="상담중"," (상담)",""))</f>
        <v/>
      </c>
      <c r="AC166" s="45" t="n">
        <f aca="false">IF(AND($D166&lt;&gt;"",OR($B166="결제완료",$B166="상담중")),1,0)</f>
        <v>0</v>
      </c>
      <c r="AD166" s="45" t="n">
        <f aca="false">IF(OR($Z166="",$U166=""),0,IFERROR(IF(COUNTIFS(INDEX(g_grid,0,2*MATCH($M166,강사DB!$A$4:$A$15,0)),"&lt;&gt;",g_s,"&lt;="&amp;$U166,g_e,"&gt;="&amp;$U166)&gt;0,1,0),0))</f>
        <v>0</v>
      </c>
      <c r="AE166" s="48"/>
      <c r="AF166" s="56" t="str">
        <f aca="false">IF(AND($D166&lt;&gt;"",$B166="결제완료",$T166="대여"),설정!$J$5,"")</f>
        <v/>
      </c>
      <c r="AG166" s="54" t="str">
        <f aca="false">IF($D166="","",IF(AND($E166="",$R166=""),$AB166,"☎ "&amp;IF($E166="","-",$E166)&amp;IF($R166&lt;&gt;"","  ※ "&amp;$R166,"")&amp;IF($B166="상담중"," (상담)","")))</f>
        <v/>
      </c>
      <c r="AH166" s="56" t="str">
        <f aca="false">IF(AND($D166&lt;&gt;"",$B166="결제완료",$O166="스마트스토어"),ROUND(N($N166)*설정!$J$6,0),"")</f>
        <v/>
      </c>
      <c r="AI166" s="54" t="str">
        <f aca="false">IF($D166="","",ROW())</f>
        <v/>
      </c>
      <c r="AJ166" s="54" t="n">
        <f aca="false">IF(OR($AC166&lt;&gt;1,$M166=""),0,IF(ISNUMBER(SEARCH("퇴사",IFERROR(INDEX(강사DB!$G$4:$G$53,MATCH($M166,강사DB!$A$4:$A$53,0)),""))),1,0))</f>
        <v>0</v>
      </c>
    </row>
    <row r="167" customFormat="false" ht="15" hidden="false" customHeight="false" outlineLevel="0" collapsed="false">
      <c r="A167" s="45" t="str">
        <f aca="false">IF($D167="","",COUNTA($D$5:$D167))</f>
        <v/>
      </c>
      <c r="B167" s="46"/>
      <c r="C167" s="47"/>
      <c r="D167" s="48"/>
      <c r="E167" s="48"/>
      <c r="F167" s="49"/>
      <c r="G167" s="47"/>
      <c r="H167" s="50"/>
      <c r="I167" s="50"/>
      <c r="J167" s="51" t="str">
        <f aca="false">IF(OR($V167="",$W167=""),"",ROUND(($W167-$V167)/60,2))</f>
        <v/>
      </c>
      <c r="K167" s="52" t="str">
        <f aca="false">IF($F167="","",LEN($F167)-LEN(SUBSTITUTE($F167,",",""))+1)</f>
        <v/>
      </c>
      <c r="L167" s="45" t="str">
        <f aca="false">IF($K167="","","1:"&amp;$K167)</f>
        <v/>
      </c>
      <c r="M167" s="46"/>
      <c r="N167" s="53"/>
      <c r="O167" s="46"/>
      <c r="P167" s="47"/>
      <c r="Q167" s="48"/>
      <c r="R167" s="49"/>
      <c r="S167" s="54" t="str">
        <f aca="false">IF(OR($AC167=0,$U167="",$M167="",$V167="",$W167=""),"",IF(COUNTIFS(m_teacher,$M167,m_date,$U167,m_active,1,m_start,"&lt;"&amp;$W167,m_end,"&gt;"&amp;$V167)&gt;1,"충돌",""))</f>
        <v/>
      </c>
      <c r="T167" s="48"/>
      <c r="U167" s="55" t="str">
        <f aca="false">IF($G167="","",IFERROR(IF(ISNUMBER($G167),IF($G167&gt;19000000,DATE(INT($G167/10000),MOD(INT($G167/100),100),MOD($G167,100)),INT($G167)),IF(LEN(SUBSTITUTE(SUBSTITUTE(SUBSTITUTE(TRIM($G167),"-",""),".",""),"/",""))=8,DATE(VALUE(LEFT(SUBSTITUTE(SUBSTITUTE(SUBSTITUTE(TRIM($G167),"-",""),".",""),"/",""),4)),VALUE(MID(SUBSTITUTE(SUBSTITUTE(SUBSTITUTE(TRIM($G167),"-",""),".",""),"/",""),5,2)),VALUE(RIGHT(SUBSTITUTE(SUBSTITUTE(SUBSTITUTE(TRIM($G167),"-",""),".",""),"/",""),2))),DATEVALUE($G167))),""))</f>
        <v/>
      </c>
      <c r="V167" s="52" t="str">
        <f aca="false">IF($H167="","",IFERROR(IF(IF(ISNUMBER($H167),$H167,IFERROR(TIMEVALUE($H167),VALUE($H167)))&gt;=100,INT(IF(ISNUMBER($H167),$H167,IFERROR(TIMEVALUE($H167),VALUE($H167)))/100)*60+MOD(IF(ISNUMBER($H167),$H167,IFERROR(TIMEVALUE($H167),VALUE($H167))),100),IF(IF(ISNUMBER($H167),$H167,IFERROR(TIMEVALUE($H167),VALUE($H167)))&gt;=1,ROUND(IF(ISNUMBER($H167),$H167,IFERROR(TIMEVALUE($H167),VALUE($H167)))*60,0),ROUND(MOD(IF(ISNUMBER($H167),$H167,IFERROR(TIMEVALUE($H167),VALUE($H167))),1)*1440,0))),""))</f>
        <v/>
      </c>
      <c r="W167" s="52" t="str">
        <f aca="false">IF($I167="","",IFERROR(IF(IF(ISNUMBER($I167),$I167,IFERROR(TIMEVALUE($I167),VALUE($I167)))&gt;=100,INT(IF(ISNUMBER($I167),$I167,IFERROR(TIMEVALUE($I167),VALUE($I167)))/100)*60+MOD(IF(ISNUMBER($I167),$I167,IFERROR(TIMEVALUE($I167),VALUE($I167))),100),IF(IF(ISNUMBER($I167),$I167,IFERROR(TIMEVALUE($I167),VALUE($I167)))&gt;=1,ROUND(IF(ISNUMBER($I167),$I167,IFERROR(TIMEVALUE($I167),VALUE($I167)))*60,0),ROUND(MOD(IF(ISNUMBER($I167),$I167,IFERROR(TIMEVALUE($I167),VALUE($I167))),1)*1440,0))),""))</f>
        <v/>
      </c>
      <c r="X167" s="55" t="str">
        <f aca="false">IF($P167="","",IFERROR(IF(ISNUMBER($P167),IF($P167&gt;19000000,DATE(INT($P167/10000),MOD(INT($P167/100),100),MOD($P167,100)),INT($P167)),IF(LEN(SUBSTITUTE(SUBSTITUTE(SUBSTITUTE(TRIM($P167),"-",""),".",""),"/",""))=8,DATE(VALUE(LEFT(SUBSTITUTE(SUBSTITUTE(SUBSTITUTE(TRIM($P167),"-",""),".",""),"/",""),4)),VALUE(MID(SUBSTITUTE(SUBSTITUTE(SUBSTITUTE(TRIM($P167),"-",""),".",""),"/",""),5,2)),VALUE(RIGHT(SUBSTITUTE(SUBSTITUTE(SUBSTITUTE(TRIM($P167),"-",""),".",""),"/",""),2))),DATEVALUE($P167))),""))</f>
        <v/>
      </c>
      <c r="Y167" s="56" t="str">
        <f aca="false">IF($M167="","",IFERROR(INDEX(강사DB!$D$4:$D$53,MATCH($M167,강사DB!$A$4:$A$53,0)),""))</f>
        <v/>
      </c>
      <c r="Z167" s="56" t="str">
        <f aca="false">IF($B167&lt;&gt;"결제완료","",IF(OR($Y167="",$J167=""),"",$Y167*$J167+MAX(0,N($K167)-1)*설정!$J$7))</f>
        <v/>
      </c>
      <c r="AA167" s="56" t="str">
        <f aca="false">IF(AND($D167&lt;&gt;"",$B167="결제완료"),N($N167),"")</f>
        <v/>
      </c>
      <c r="AB167" s="45" t="str">
        <f aca="false">IF($D167="","",IF($F167&lt;&gt;"",$F167,$D167)&amp;IF($B167="상담중"," (상담)",""))</f>
        <v/>
      </c>
      <c r="AC167" s="45" t="n">
        <f aca="false">IF(AND($D167&lt;&gt;"",OR($B167="결제완료",$B167="상담중")),1,0)</f>
        <v>0</v>
      </c>
      <c r="AD167" s="45" t="n">
        <f aca="false">IF(OR($Z167="",$U167=""),0,IFERROR(IF(COUNTIFS(INDEX(g_grid,0,2*MATCH($M167,강사DB!$A$4:$A$15,0)),"&lt;&gt;",g_s,"&lt;="&amp;$U167,g_e,"&gt;="&amp;$U167)&gt;0,1,0),0))</f>
        <v>0</v>
      </c>
      <c r="AE167" s="48"/>
      <c r="AF167" s="56" t="str">
        <f aca="false">IF(AND($D167&lt;&gt;"",$B167="결제완료",$T167="대여"),설정!$J$5,"")</f>
        <v/>
      </c>
      <c r="AG167" s="54" t="str">
        <f aca="false">IF($D167="","",IF(AND($E167="",$R167=""),$AB167,"☎ "&amp;IF($E167="","-",$E167)&amp;IF($R167&lt;&gt;"","  ※ "&amp;$R167,"")&amp;IF($B167="상담중"," (상담)","")))</f>
        <v/>
      </c>
      <c r="AH167" s="56" t="str">
        <f aca="false">IF(AND($D167&lt;&gt;"",$B167="결제완료",$O167="스마트스토어"),ROUND(N($N167)*설정!$J$6,0),"")</f>
        <v/>
      </c>
      <c r="AI167" s="54" t="str">
        <f aca="false">IF($D167="","",ROW())</f>
        <v/>
      </c>
      <c r="AJ167" s="54" t="n">
        <f aca="false">IF(OR($AC167&lt;&gt;1,$M167=""),0,IF(ISNUMBER(SEARCH("퇴사",IFERROR(INDEX(강사DB!$G$4:$G$53,MATCH($M167,강사DB!$A$4:$A$53,0)),""))),1,0))</f>
        <v>0</v>
      </c>
    </row>
    <row r="168" customFormat="false" ht="15" hidden="false" customHeight="false" outlineLevel="0" collapsed="false">
      <c r="A168" s="45" t="str">
        <f aca="false">IF($D168="","",COUNTA($D$5:$D168))</f>
        <v/>
      </c>
      <c r="B168" s="46"/>
      <c r="C168" s="47"/>
      <c r="D168" s="48"/>
      <c r="E168" s="48"/>
      <c r="F168" s="49"/>
      <c r="G168" s="47"/>
      <c r="H168" s="50"/>
      <c r="I168" s="50"/>
      <c r="J168" s="51" t="str">
        <f aca="false">IF(OR($V168="",$W168=""),"",ROUND(($W168-$V168)/60,2))</f>
        <v/>
      </c>
      <c r="K168" s="52" t="str">
        <f aca="false">IF($F168="","",LEN($F168)-LEN(SUBSTITUTE($F168,",",""))+1)</f>
        <v/>
      </c>
      <c r="L168" s="45" t="str">
        <f aca="false">IF($K168="","","1:"&amp;$K168)</f>
        <v/>
      </c>
      <c r="M168" s="46"/>
      <c r="N168" s="53"/>
      <c r="O168" s="46"/>
      <c r="P168" s="47"/>
      <c r="Q168" s="48"/>
      <c r="R168" s="49"/>
      <c r="S168" s="54" t="str">
        <f aca="false">IF(OR($AC168=0,$U168="",$M168="",$V168="",$W168=""),"",IF(COUNTIFS(m_teacher,$M168,m_date,$U168,m_active,1,m_start,"&lt;"&amp;$W168,m_end,"&gt;"&amp;$V168)&gt;1,"충돌",""))</f>
        <v/>
      </c>
      <c r="T168" s="48"/>
      <c r="U168" s="55" t="str">
        <f aca="false">IF($G168="","",IFERROR(IF(ISNUMBER($G168),IF($G168&gt;19000000,DATE(INT($G168/10000),MOD(INT($G168/100),100),MOD($G168,100)),INT($G168)),IF(LEN(SUBSTITUTE(SUBSTITUTE(SUBSTITUTE(TRIM($G168),"-",""),".",""),"/",""))=8,DATE(VALUE(LEFT(SUBSTITUTE(SUBSTITUTE(SUBSTITUTE(TRIM($G168),"-",""),".",""),"/",""),4)),VALUE(MID(SUBSTITUTE(SUBSTITUTE(SUBSTITUTE(TRIM($G168),"-",""),".",""),"/",""),5,2)),VALUE(RIGHT(SUBSTITUTE(SUBSTITUTE(SUBSTITUTE(TRIM($G168),"-",""),".",""),"/",""),2))),DATEVALUE($G168))),""))</f>
        <v/>
      </c>
      <c r="V168" s="52" t="str">
        <f aca="false">IF($H168="","",IFERROR(IF(IF(ISNUMBER($H168),$H168,IFERROR(TIMEVALUE($H168),VALUE($H168)))&gt;=100,INT(IF(ISNUMBER($H168),$H168,IFERROR(TIMEVALUE($H168),VALUE($H168)))/100)*60+MOD(IF(ISNUMBER($H168),$H168,IFERROR(TIMEVALUE($H168),VALUE($H168))),100),IF(IF(ISNUMBER($H168),$H168,IFERROR(TIMEVALUE($H168),VALUE($H168)))&gt;=1,ROUND(IF(ISNUMBER($H168),$H168,IFERROR(TIMEVALUE($H168),VALUE($H168)))*60,0),ROUND(MOD(IF(ISNUMBER($H168),$H168,IFERROR(TIMEVALUE($H168),VALUE($H168))),1)*1440,0))),""))</f>
        <v/>
      </c>
      <c r="W168" s="52" t="str">
        <f aca="false">IF($I168="","",IFERROR(IF(IF(ISNUMBER($I168),$I168,IFERROR(TIMEVALUE($I168),VALUE($I168)))&gt;=100,INT(IF(ISNUMBER($I168),$I168,IFERROR(TIMEVALUE($I168),VALUE($I168)))/100)*60+MOD(IF(ISNUMBER($I168),$I168,IFERROR(TIMEVALUE($I168),VALUE($I168))),100),IF(IF(ISNUMBER($I168),$I168,IFERROR(TIMEVALUE($I168),VALUE($I168)))&gt;=1,ROUND(IF(ISNUMBER($I168),$I168,IFERROR(TIMEVALUE($I168),VALUE($I168)))*60,0),ROUND(MOD(IF(ISNUMBER($I168),$I168,IFERROR(TIMEVALUE($I168),VALUE($I168))),1)*1440,0))),""))</f>
        <v/>
      </c>
      <c r="X168" s="55" t="str">
        <f aca="false">IF($P168="","",IFERROR(IF(ISNUMBER($P168),IF($P168&gt;19000000,DATE(INT($P168/10000),MOD(INT($P168/100),100),MOD($P168,100)),INT($P168)),IF(LEN(SUBSTITUTE(SUBSTITUTE(SUBSTITUTE(TRIM($P168),"-",""),".",""),"/",""))=8,DATE(VALUE(LEFT(SUBSTITUTE(SUBSTITUTE(SUBSTITUTE(TRIM($P168),"-",""),".",""),"/",""),4)),VALUE(MID(SUBSTITUTE(SUBSTITUTE(SUBSTITUTE(TRIM($P168),"-",""),".",""),"/",""),5,2)),VALUE(RIGHT(SUBSTITUTE(SUBSTITUTE(SUBSTITUTE(TRIM($P168),"-",""),".",""),"/",""),2))),DATEVALUE($P168))),""))</f>
        <v/>
      </c>
      <c r="Y168" s="56" t="str">
        <f aca="false">IF($M168="","",IFERROR(INDEX(강사DB!$D$4:$D$53,MATCH($M168,강사DB!$A$4:$A$53,0)),""))</f>
        <v/>
      </c>
      <c r="Z168" s="56" t="str">
        <f aca="false">IF($B168&lt;&gt;"결제완료","",IF(OR($Y168="",$J168=""),"",$Y168*$J168+MAX(0,N($K168)-1)*설정!$J$7))</f>
        <v/>
      </c>
      <c r="AA168" s="56" t="str">
        <f aca="false">IF(AND($D168&lt;&gt;"",$B168="결제완료"),N($N168),"")</f>
        <v/>
      </c>
      <c r="AB168" s="45" t="str">
        <f aca="false">IF($D168="","",IF($F168&lt;&gt;"",$F168,$D168)&amp;IF($B168="상담중"," (상담)",""))</f>
        <v/>
      </c>
      <c r="AC168" s="45" t="n">
        <f aca="false">IF(AND($D168&lt;&gt;"",OR($B168="결제완료",$B168="상담중")),1,0)</f>
        <v>0</v>
      </c>
      <c r="AD168" s="45" t="n">
        <f aca="false">IF(OR($Z168="",$U168=""),0,IFERROR(IF(COUNTIFS(INDEX(g_grid,0,2*MATCH($M168,강사DB!$A$4:$A$15,0)),"&lt;&gt;",g_s,"&lt;="&amp;$U168,g_e,"&gt;="&amp;$U168)&gt;0,1,0),0))</f>
        <v>0</v>
      </c>
      <c r="AE168" s="48"/>
      <c r="AF168" s="56" t="str">
        <f aca="false">IF(AND($D168&lt;&gt;"",$B168="결제완료",$T168="대여"),설정!$J$5,"")</f>
        <v/>
      </c>
      <c r="AG168" s="54" t="str">
        <f aca="false">IF($D168="","",IF(AND($E168="",$R168=""),$AB168,"☎ "&amp;IF($E168="","-",$E168)&amp;IF($R168&lt;&gt;"","  ※ "&amp;$R168,"")&amp;IF($B168="상담중"," (상담)","")))</f>
        <v/>
      </c>
      <c r="AH168" s="56" t="str">
        <f aca="false">IF(AND($D168&lt;&gt;"",$B168="결제완료",$O168="스마트스토어"),ROUND(N($N168)*설정!$J$6,0),"")</f>
        <v/>
      </c>
      <c r="AI168" s="54" t="str">
        <f aca="false">IF($D168="","",ROW())</f>
        <v/>
      </c>
      <c r="AJ168" s="54" t="n">
        <f aca="false">IF(OR($AC168&lt;&gt;1,$M168=""),0,IF(ISNUMBER(SEARCH("퇴사",IFERROR(INDEX(강사DB!$G$4:$G$53,MATCH($M168,강사DB!$A$4:$A$53,0)),""))),1,0))</f>
        <v>0</v>
      </c>
    </row>
    <row r="169" customFormat="false" ht="15" hidden="false" customHeight="false" outlineLevel="0" collapsed="false">
      <c r="A169" s="45" t="str">
        <f aca="false">IF($D169="","",COUNTA($D$5:$D169))</f>
        <v/>
      </c>
      <c r="B169" s="46"/>
      <c r="C169" s="47"/>
      <c r="D169" s="48"/>
      <c r="E169" s="48"/>
      <c r="F169" s="49"/>
      <c r="G169" s="47"/>
      <c r="H169" s="50"/>
      <c r="I169" s="50"/>
      <c r="J169" s="51" t="str">
        <f aca="false">IF(OR($V169="",$W169=""),"",ROUND(($W169-$V169)/60,2))</f>
        <v/>
      </c>
      <c r="K169" s="52" t="str">
        <f aca="false">IF($F169="","",LEN($F169)-LEN(SUBSTITUTE($F169,",",""))+1)</f>
        <v/>
      </c>
      <c r="L169" s="45" t="str">
        <f aca="false">IF($K169="","","1:"&amp;$K169)</f>
        <v/>
      </c>
      <c r="M169" s="46"/>
      <c r="N169" s="53"/>
      <c r="O169" s="46"/>
      <c r="P169" s="47"/>
      <c r="Q169" s="48"/>
      <c r="R169" s="49"/>
      <c r="S169" s="54" t="str">
        <f aca="false">IF(OR($AC169=0,$U169="",$M169="",$V169="",$W169=""),"",IF(COUNTIFS(m_teacher,$M169,m_date,$U169,m_active,1,m_start,"&lt;"&amp;$W169,m_end,"&gt;"&amp;$V169)&gt;1,"충돌",""))</f>
        <v/>
      </c>
      <c r="T169" s="48"/>
      <c r="U169" s="55" t="str">
        <f aca="false">IF($G169="","",IFERROR(IF(ISNUMBER($G169),IF($G169&gt;19000000,DATE(INT($G169/10000),MOD(INT($G169/100),100),MOD($G169,100)),INT($G169)),IF(LEN(SUBSTITUTE(SUBSTITUTE(SUBSTITUTE(TRIM($G169),"-",""),".",""),"/",""))=8,DATE(VALUE(LEFT(SUBSTITUTE(SUBSTITUTE(SUBSTITUTE(TRIM($G169),"-",""),".",""),"/",""),4)),VALUE(MID(SUBSTITUTE(SUBSTITUTE(SUBSTITUTE(TRIM($G169),"-",""),".",""),"/",""),5,2)),VALUE(RIGHT(SUBSTITUTE(SUBSTITUTE(SUBSTITUTE(TRIM($G169),"-",""),".",""),"/",""),2))),DATEVALUE($G169))),""))</f>
        <v/>
      </c>
      <c r="V169" s="52" t="str">
        <f aca="false">IF($H169="","",IFERROR(IF(IF(ISNUMBER($H169),$H169,IFERROR(TIMEVALUE($H169),VALUE($H169)))&gt;=100,INT(IF(ISNUMBER($H169),$H169,IFERROR(TIMEVALUE($H169),VALUE($H169)))/100)*60+MOD(IF(ISNUMBER($H169),$H169,IFERROR(TIMEVALUE($H169),VALUE($H169))),100),IF(IF(ISNUMBER($H169),$H169,IFERROR(TIMEVALUE($H169),VALUE($H169)))&gt;=1,ROUND(IF(ISNUMBER($H169),$H169,IFERROR(TIMEVALUE($H169),VALUE($H169)))*60,0),ROUND(MOD(IF(ISNUMBER($H169),$H169,IFERROR(TIMEVALUE($H169),VALUE($H169))),1)*1440,0))),""))</f>
        <v/>
      </c>
      <c r="W169" s="52" t="str">
        <f aca="false">IF($I169="","",IFERROR(IF(IF(ISNUMBER($I169),$I169,IFERROR(TIMEVALUE($I169),VALUE($I169)))&gt;=100,INT(IF(ISNUMBER($I169),$I169,IFERROR(TIMEVALUE($I169),VALUE($I169)))/100)*60+MOD(IF(ISNUMBER($I169),$I169,IFERROR(TIMEVALUE($I169),VALUE($I169))),100),IF(IF(ISNUMBER($I169),$I169,IFERROR(TIMEVALUE($I169),VALUE($I169)))&gt;=1,ROUND(IF(ISNUMBER($I169),$I169,IFERROR(TIMEVALUE($I169),VALUE($I169)))*60,0),ROUND(MOD(IF(ISNUMBER($I169),$I169,IFERROR(TIMEVALUE($I169),VALUE($I169))),1)*1440,0))),""))</f>
        <v/>
      </c>
      <c r="X169" s="55" t="str">
        <f aca="false">IF($P169="","",IFERROR(IF(ISNUMBER($P169),IF($P169&gt;19000000,DATE(INT($P169/10000),MOD(INT($P169/100),100),MOD($P169,100)),INT($P169)),IF(LEN(SUBSTITUTE(SUBSTITUTE(SUBSTITUTE(TRIM($P169),"-",""),".",""),"/",""))=8,DATE(VALUE(LEFT(SUBSTITUTE(SUBSTITUTE(SUBSTITUTE(TRIM($P169),"-",""),".",""),"/",""),4)),VALUE(MID(SUBSTITUTE(SUBSTITUTE(SUBSTITUTE(TRIM($P169),"-",""),".",""),"/",""),5,2)),VALUE(RIGHT(SUBSTITUTE(SUBSTITUTE(SUBSTITUTE(TRIM($P169),"-",""),".",""),"/",""),2))),DATEVALUE($P169))),""))</f>
        <v/>
      </c>
      <c r="Y169" s="56" t="str">
        <f aca="false">IF($M169="","",IFERROR(INDEX(강사DB!$D$4:$D$53,MATCH($M169,강사DB!$A$4:$A$53,0)),""))</f>
        <v/>
      </c>
      <c r="Z169" s="56" t="str">
        <f aca="false">IF($B169&lt;&gt;"결제완료","",IF(OR($Y169="",$J169=""),"",$Y169*$J169+MAX(0,N($K169)-1)*설정!$J$7))</f>
        <v/>
      </c>
      <c r="AA169" s="56" t="str">
        <f aca="false">IF(AND($D169&lt;&gt;"",$B169="결제완료"),N($N169),"")</f>
        <v/>
      </c>
      <c r="AB169" s="45" t="str">
        <f aca="false">IF($D169="","",IF($F169&lt;&gt;"",$F169,$D169)&amp;IF($B169="상담중"," (상담)",""))</f>
        <v/>
      </c>
      <c r="AC169" s="45" t="n">
        <f aca="false">IF(AND($D169&lt;&gt;"",OR($B169="결제완료",$B169="상담중")),1,0)</f>
        <v>0</v>
      </c>
      <c r="AD169" s="45" t="n">
        <f aca="false">IF(OR($Z169="",$U169=""),0,IFERROR(IF(COUNTIFS(INDEX(g_grid,0,2*MATCH($M169,강사DB!$A$4:$A$15,0)),"&lt;&gt;",g_s,"&lt;="&amp;$U169,g_e,"&gt;="&amp;$U169)&gt;0,1,0),0))</f>
        <v>0</v>
      </c>
      <c r="AE169" s="48"/>
      <c r="AF169" s="56" t="str">
        <f aca="false">IF(AND($D169&lt;&gt;"",$B169="결제완료",$T169="대여"),설정!$J$5,"")</f>
        <v/>
      </c>
      <c r="AG169" s="54" t="str">
        <f aca="false">IF($D169="","",IF(AND($E169="",$R169=""),$AB169,"☎ "&amp;IF($E169="","-",$E169)&amp;IF($R169&lt;&gt;"","  ※ "&amp;$R169,"")&amp;IF($B169="상담중"," (상담)","")))</f>
        <v/>
      </c>
      <c r="AH169" s="56" t="str">
        <f aca="false">IF(AND($D169&lt;&gt;"",$B169="결제완료",$O169="스마트스토어"),ROUND(N($N169)*설정!$J$6,0),"")</f>
        <v/>
      </c>
      <c r="AI169" s="54" t="str">
        <f aca="false">IF($D169="","",ROW())</f>
        <v/>
      </c>
      <c r="AJ169" s="54" t="n">
        <f aca="false">IF(OR($AC169&lt;&gt;1,$M169=""),0,IF(ISNUMBER(SEARCH("퇴사",IFERROR(INDEX(강사DB!$G$4:$G$53,MATCH($M169,강사DB!$A$4:$A$53,0)),""))),1,0))</f>
        <v>0</v>
      </c>
    </row>
    <row r="170" customFormat="false" ht="15" hidden="false" customHeight="false" outlineLevel="0" collapsed="false">
      <c r="A170" s="45" t="str">
        <f aca="false">IF($D170="","",COUNTA($D$5:$D170))</f>
        <v/>
      </c>
      <c r="B170" s="46"/>
      <c r="C170" s="47"/>
      <c r="D170" s="48"/>
      <c r="E170" s="48"/>
      <c r="F170" s="49"/>
      <c r="G170" s="47"/>
      <c r="H170" s="50"/>
      <c r="I170" s="50"/>
      <c r="J170" s="51" t="str">
        <f aca="false">IF(OR($V170="",$W170=""),"",ROUND(($W170-$V170)/60,2))</f>
        <v/>
      </c>
      <c r="K170" s="52" t="str">
        <f aca="false">IF($F170="","",LEN($F170)-LEN(SUBSTITUTE($F170,",",""))+1)</f>
        <v/>
      </c>
      <c r="L170" s="45" t="str">
        <f aca="false">IF($K170="","","1:"&amp;$K170)</f>
        <v/>
      </c>
      <c r="M170" s="46"/>
      <c r="N170" s="53"/>
      <c r="O170" s="46"/>
      <c r="P170" s="47"/>
      <c r="Q170" s="48"/>
      <c r="R170" s="49"/>
      <c r="S170" s="54" t="str">
        <f aca="false">IF(OR($AC170=0,$U170="",$M170="",$V170="",$W170=""),"",IF(COUNTIFS(m_teacher,$M170,m_date,$U170,m_active,1,m_start,"&lt;"&amp;$W170,m_end,"&gt;"&amp;$V170)&gt;1,"충돌",""))</f>
        <v/>
      </c>
      <c r="T170" s="48"/>
      <c r="U170" s="55" t="str">
        <f aca="false">IF($G170="","",IFERROR(IF(ISNUMBER($G170),IF($G170&gt;19000000,DATE(INT($G170/10000),MOD(INT($G170/100),100),MOD($G170,100)),INT($G170)),IF(LEN(SUBSTITUTE(SUBSTITUTE(SUBSTITUTE(TRIM($G170),"-",""),".",""),"/",""))=8,DATE(VALUE(LEFT(SUBSTITUTE(SUBSTITUTE(SUBSTITUTE(TRIM($G170),"-",""),".",""),"/",""),4)),VALUE(MID(SUBSTITUTE(SUBSTITUTE(SUBSTITUTE(TRIM($G170),"-",""),".",""),"/",""),5,2)),VALUE(RIGHT(SUBSTITUTE(SUBSTITUTE(SUBSTITUTE(TRIM($G170),"-",""),".",""),"/",""),2))),DATEVALUE($G170))),""))</f>
        <v/>
      </c>
      <c r="V170" s="52" t="str">
        <f aca="false">IF($H170="","",IFERROR(IF(IF(ISNUMBER($H170),$H170,IFERROR(TIMEVALUE($H170),VALUE($H170)))&gt;=100,INT(IF(ISNUMBER($H170),$H170,IFERROR(TIMEVALUE($H170),VALUE($H170)))/100)*60+MOD(IF(ISNUMBER($H170),$H170,IFERROR(TIMEVALUE($H170),VALUE($H170))),100),IF(IF(ISNUMBER($H170),$H170,IFERROR(TIMEVALUE($H170),VALUE($H170)))&gt;=1,ROUND(IF(ISNUMBER($H170),$H170,IFERROR(TIMEVALUE($H170),VALUE($H170)))*60,0),ROUND(MOD(IF(ISNUMBER($H170),$H170,IFERROR(TIMEVALUE($H170),VALUE($H170))),1)*1440,0))),""))</f>
        <v/>
      </c>
      <c r="W170" s="52" t="str">
        <f aca="false">IF($I170="","",IFERROR(IF(IF(ISNUMBER($I170),$I170,IFERROR(TIMEVALUE($I170),VALUE($I170)))&gt;=100,INT(IF(ISNUMBER($I170),$I170,IFERROR(TIMEVALUE($I170),VALUE($I170)))/100)*60+MOD(IF(ISNUMBER($I170),$I170,IFERROR(TIMEVALUE($I170),VALUE($I170))),100),IF(IF(ISNUMBER($I170),$I170,IFERROR(TIMEVALUE($I170),VALUE($I170)))&gt;=1,ROUND(IF(ISNUMBER($I170),$I170,IFERROR(TIMEVALUE($I170),VALUE($I170)))*60,0),ROUND(MOD(IF(ISNUMBER($I170),$I170,IFERROR(TIMEVALUE($I170),VALUE($I170))),1)*1440,0))),""))</f>
        <v/>
      </c>
      <c r="X170" s="55" t="str">
        <f aca="false">IF($P170="","",IFERROR(IF(ISNUMBER($P170),IF($P170&gt;19000000,DATE(INT($P170/10000),MOD(INT($P170/100),100),MOD($P170,100)),INT($P170)),IF(LEN(SUBSTITUTE(SUBSTITUTE(SUBSTITUTE(TRIM($P170),"-",""),".",""),"/",""))=8,DATE(VALUE(LEFT(SUBSTITUTE(SUBSTITUTE(SUBSTITUTE(TRIM($P170),"-",""),".",""),"/",""),4)),VALUE(MID(SUBSTITUTE(SUBSTITUTE(SUBSTITUTE(TRIM($P170),"-",""),".",""),"/",""),5,2)),VALUE(RIGHT(SUBSTITUTE(SUBSTITUTE(SUBSTITUTE(TRIM($P170),"-",""),".",""),"/",""),2))),DATEVALUE($P170))),""))</f>
        <v/>
      </c>
      <c r="Y170" s="56" t="str">
        <f aca="false">IF($M170="","",IFERROR(INDEX(강사DB!$D$4:$D$53,MATCH($M170,강사DB!$A$4:$A$53,0)),""))</f>
        <v/>
      </c>
      <c r="Z170" s="56" t="str">
        <f aca="false">IF($B170&lt;&gt;"결제완료","",IF(OR($Y170="",$J170=""),"",$Y170*$J170+MAX(0,N($K170)-1)*설정!$J$7))</f>
        <v/>
      </c>
      <c r="AA170" s="56" t="str">
        <f aca="false">IF(AND($D170&lt;&gt;"",$B170="결제완료"),N($N170),"")</f>
        <v/>
      </c>
      <c r="AB170" s="45" t="str">
        <f aca="false">IF($D170="","",IF($F170&lt;&gt;"",$F170,$D170)&amp;IF($B170="상담중"," (상담)",""))</f>
        <v/>
      </c>
      <c r="AC170" s="45" t="n">
        <f aca="false">IF(AND($D170&lt;&gt;"",OR($B170="결제완료",$B170="상담중")),1,0)</f>
        <v>0</v>
      </c>
      <c r="AD170" s="45" t="n">
        <f aca="false">IF(OR($Z170="",$U170=""),0,IFERROR(IF(COUNTIFS(INDEX(g_grid,0,2*MATCH($M170,강사DB!$A$4:$A$15,0)),"&lt;&gt;",g_s,"&lt;="&amp;$U170,g_e,"&gt;="&amp;$U170)&gt;0,1,0),0))</f>
        <v>0</v>
      </c>
      <c r="AE170" s="48"/>
      <c r="AF170" s="56" t="str">
        <f aca="false">IF(AND($D170&lt;&gt;"",$B170="결제완료",$T170="대여"),설정!$J$5,"")</f>
        <v/>
      </c>
      <c r="AG170" s="54" t="str">
        <f aca="false">IF($D170="","",IF(AND($E170="",$R170=""),$AB170,"☎ "&amp;IF($E170="","-",$E170)&amp;IF($R170&lt;&gt;"","  ※ "&amp;$R170,"")&amp;IF($B170="상담중"," (상담)","")))</f>
        <v/>
      </c>
      <c r="AH170" s="56" t="str">
        <f aca="false">IF(AND($D170&lt;&gt;"",$B170="결제완료",$O170="스마트스토어"),ROUND(N($N170)*설정!$J$6,0),"")</f>
        <v/>
      </c>
      <c r="AI170" s="54" t="str">
        <f aca="false">IF($D170="","",ROW())</f>
        <v/>
      </c>
      <c r="AJ170" s="54" t="n">
        <f aca="false">IF(OR($AC170&lt;&gt;1,$M170=""),0,IF(ISNUMBER(SEARCH("퇴사",IFERROR(INDEX(강사DB!$G$4:$G$53,MATCH($M170,강사DB!$A$4:$A$53,0)),""))),1,0))</f>
        <v>0</v>
      </c>
    </row>
    <row r="171" customFormat="false" ht="15" hidden="false" customHeight="false" outlineLevel="0" collapsed="false">
      <c r="A171" s="45" t="str">
        <f aca="false">IF($D171="","",COUNTA($D$5:$D171))</f>
        <v/>
      </c>
      <c r="B171" s="46"/>
      <c r="C171" s="47"/>
      <c r="D171" s="48"/>
      <c r="E171" s="48"/>
      <c r="F171" s="49"/>
      <c r="G171" s="47"/>
      <c r="H171" s="50"/>
      <c r="I171" s="50"/>
      <c r="J171" s="51" t="str">
        <f aca="false">IF(OR($V171="",$W171=""),"",ROUND(($W171-$V171)/60,2))</f>
        <v/>
      </c>
      <c r="K171" s="52" t="str">
        <f aca="false">IF($F171="","",LEN($F171)-LEN(SUBSTITUTE($F171,",",""))+1)</f>
        <v/>
      </c>
      <c r="L171" s="45" t="str">
        <f aca="false">IF($K171="","","1:"&amp;$K171)</f>
        <v/>
      </c>
      <c r="M171" s="46"/>
      <c r="N171" s="53"/>
      <c r="O171" s="46"/>
      <c r="P171" s="47"/>
      <c r="Q171" s="48"/>
      <c r="R171" s="49"/>
      <c r="S171" s="54" t="str">
        <f aca="false">IF(OR($AC171=0,$U171="",$M171="",$V171="",$W171=""),"",IF(COUNTIFS(m_teacher,$M171,m_date,$U171,m_active,1,m_start,"&lt;"&amp;$W171,m_end,"&gt;"&amp;$V171)&gt;1,"충돌",""))</f>
        <v/>
      </c>
      <c r="T171" s="48"/>
      <c r="U171" s="55" t="str">
        <f aca="false">IF($G171="","",IFERROR(IF(ISNUMBER($G171),IF($G171&gt;19000000,DATE(INT($G171/10000),MOD(INT($G171/100),100),MOD($G171,100)),INT($G171)),IF(LEN(SUBSTITUTE(SUBSTITUTE(SUBSTITUTE(TRIM($G171),"-",""),".",""),"/",""))=8,DATE(VALUE(LEFT(SUBSTITUTE(SUBSTITUTE(SUBSTITUTE(TRIM($G171),"-",""),".",""),"/",""),4)),VALUE(MID(SUBSTITUTE(SUBSTITUTE(SUBSTITUTE(TRIM($G171),"-",""),".",""),"/",""),5,2)),VALUE(RIGHT(SUBSTITUTE(SUBSTITUTE(SUBSTITUTE(TRIM($G171),"-",""),".",""),"/",""),2))),DATEVALUE($G171))),""))</f>
        <v/>
      </c>
      <c r="V171" s="52" t="str">
        <f aca="false">IF($H171="","",IFERROR(IF(IF(ISNUMBER($H171),$H171,IFERROR(TIMEVALUE($H171),VALUE($H171)))&gt;=100,INT(IF(ISNUMBER($H171),$H171,IFERROR(TIMEVALUE($H171),VALUE($H171)))/100)*60+MOD(IF(ISNUMBER($H171),$H171,IFERROR(TIMEVALUE($H171),VALUE($H171))),100),IF(IF(ISNUMBER($H171),$H171,IFERROR(TIMEVALUE($H171),VALUE($H171)))&gt;=1,ROUND(IF(ISNUMBER($H171),$H171,IFERROR(TIMEVALUE($H171),VALUE($H171)))*60,0),ROUND(MOD(IF(ISNUMBER($H171),$H171,IFERROR(TIMEVALUE($H171),VALUE($H171))),1)*1440,0))),""))</f>
        <v/>
      </c>
      <c r="W171" s="52" t="str">
        <f aca="false">IF($I171="","",IFERROR(IF(IF(ISNUMBER($I171),$I171,IFERROR(TIMEVALUE($I171),VALUE($I171)))&gt;=100,INT(IF(ISNUMBER($I171),$I171,IFERROR(TIMEVALUE($I171),VALUE($I171)))/100)*60+MOD(IF(ISNUMBER($I171),$I171,IFERROR(TIMEVALUE($I171),VALUE($I171))),100),IF(IF(ISNUMBER($I171),$I171,IFERROR(TIMEVALUE($I171),VALUE($I171)))&gt;=1,ROUND(IF(ISNUMBER($I171),$I171,IFERROR(TIMEVALUE($I171),VALUE($I171)))*60,0),ROUND(MOD(IF(ISNUMBER($I171),$I171,IFERROR(TIMEVALUE($I171),VALUE($I171))),1)*1440,0))),""))</f>
        <v/>
      </c>
      <c r="X171" s="55" t="str">
        <f aca="false">IF($P171="","",IFERROR(IF(ISNUMBER($P171),IF($P171&gt;19000000,DATE(INT($P171/10000),MOD(INT($P171/100),100),MOD($P171,100)),INT($P171)),IF(LEN(SUBSTITUTE(SUBSTITUTE(SUBSTITUTE(TRIM($P171),"-",""),".",""),"/",""))=8,DATE(VALUE(LEFT(SUBSTITUTE(SUBSTITUTE(SUBSTITUTE(TRIM($P171),"-",""),".",""),"/",""),4)),VALUE(MID(SUBSTITUTE(SUBSTITUTE(SUBSTITUTE(TRIM($P171),"-",""),".",""),"/",""),5,2)),VALUE(RIGHT(SUBSTITUTE(SUBSTITUTE(SUBSTITUTE(TRIM($P171),"-",""),".",""),"/",""),2))),DATEVALUE($P171))),""))</f>
        <v/>
      </c>
      <c r="Y171" s="56" t="str">
        <f aca="false">IF($M171="","",IFERROR(INDEX(강사DB!$D$4:$D$53,MATCH($M171,강사DB!$A$4:$A$53,0)),""))</f>
        <v/>
      </c>
      <c r="Z171" s="56" t="str">
        <f aca="false">IF($B171&lt;&gt;"결제완료","",IF(OR($Y171="",$J171=""),"",$Y171*$J171+MAX(0,N($K171)-1)*설정!$J$7))</f>
        <v/>
      </c>
      <c r="AA171" s="56" t="str">
        <f aca="false">IF(AND($D171&lt;&gt;"",$B171="결제완료"),N($N171),"")</f>
        <v/>
      </c>
      <c r="AB171" s="45" t="str">
        <f aca="false">IF($D171="","",IF($F171&lt;&gt;"",$F171,$D171)&amp;IF($B171="상담중"," (상담)",""))</f>
        <v/>
      </c>
      <c r="AC171" s="45" t="n">
        <f aca="false">IF(AND($D171&lt;&gt;"",OR($B171="결제완료",$B171="상담중")),1,0)</f>
        <v>0</v>
      </c>
      <c r="AD171" s="45" t="n">
        <f aca="false">IF(OR($Z171="",$U171=""),0,IFERROR(IF(COUNTIFS(INDEX(g_grid,0,2*MATCH($M171,강사DB!$A$4:$A$15,0)),"&lt;&gt;",g_s,"&lt;="&amp;$U171,g_e,"&gt;="&amp;$U171)&gt;0,1,0),0))</f>
        <v>0</v>
      </c>
      <c r="AE171" s="48"/>
      <c r="AF171" s="56" t="str">
        <f aca="false">IF(AND($D171&lt;&gt;"",$B171="결제완료",$T171="대여"),설정!$J$5,"")</f>
        <v/>
      </c>
      <c r="AG171" s="54" t="str">
        <f aca="false">IF($D171="","",IF(AND($E171="",$R171=""),$AB171,"☎ "&amp;IF($E171="","-",$E171)&amp;IF($R171&lt;&gt;"","  ※ "&amp;$R171,"")&amp;IF($B171="상담중"," (상담)","")))</f>
        <v/>
      </c>
      <c r="AH171" s="56" t="str">
        <f aca="false">IF(AND($D171&lt;&gt;"",$B171="결제완료",$O171="스마트스토어"),ROUND(N($N171)*설정!$J$6,0),"")</f>
        <v/>
      </c>
      <c r="AI171" s="54" t="str">
        <f aca="false">IF($D171="","",ROW())</f>
        <v/>
      </c>
      <c r="AJ171" s="54" t="n">
        <f aca="false">IF(OR($AC171&lt;&gt;1,$M171=""),0,IF(ISNUMBER(SEARCH("퇴사",IFERROR(INDEX(강사DB!$G$4:$G$53,MATCH($M171,강사DB!$A$4:$A$53,0)),""))),1,0))</f>
        <v>0</v>
      </c>
    </row>
    <row r="172" customFormat="false" ht="15" hidden="false" customHeight="false" outlineLevel="0" collapsed="false">
      <c r="A172" s="45" t="str">
        <f aca="false">IF($D172="","",COUNTA($D$5:$D172))</f>
        <v/>
      </c>
      <c r="B172" s="46"/>
      <c r="C172" s="47"/>
      <c r="D172" s="48"/>
      <c r="E172" s="48"/>
      <c r="F172" s="49"/>
      <c r="G172" s="47"/>
      <c r="H172" s="50"/>
      <c r="I172" s="50"/>
      <c r="J172" s="51" t="str">
        <f aca="false">IF(OR($V172="",$W172=""),"",ROUND(($W172-$V172)/60,2))</f>
        <v/>
      </c>
      <c r="K172" s="52" t="str">
        <f aca="false">IF($F172="","",LEN($F172)-LEN(SUBSTITUTE($F172,",",""))+1)</f>
        <v/>
      </c>
      <c r="L172" s="45" t="str">
        <f aca="false">IF($K172="","","1:"&amp;$K172)</f>
        <v/>
      </c>
      <c r="M172" s="46"/>
      <c r="N172" s="53"/>
      <c r="O172" s="46"/>
      <c r="P172" s="47"/>
      <c r="Q172" s="48"/>
      <c r="R172" s="49"/>
      <c r="S172" s="54" t="str">
        <f aca="false">IF(OR($AC172=0,$U172="",$M172="",$V172="",$W172=""),"",IF(COUNTIFS(m_teacher,$M172,m_date,$U172,m_active,1,m_start,"&lt;"&amp;$W172,m_end,"&gt;"&amp;$V172)&gt;1,"충돌",""))</f>
        <v/>
      </c>
      <c r="T172" s="48"/>
      <c r="U172" s="55" t="str">
        <f aca="false">IF($G172="","",IFERROR(IF(ISNUMBER($G172),IF($G172&gt;19000000,DATE(INT($G172/10000),MOD(INT($G172/100),100),MOD($G172,100)),INT($G172)),IF(LEN(SUBSTITUTE(SUBSTITUTE(SUBSTITUTE(TRIM($G172),"-",""),".",""),"/",""))=8,DATE(VALUE(LEFT(SUBSTITUTE(SUBSTITUTE(SUBSTITUTE(TRIM($G172),"-",""),".",""),"/",""),4)),VALUE(MID(SUBSTITUTE(SUBSTITUTE(SUBSTITUTE(TRIM($G172),"-",""),".",""),"/",""),5,2)),VALUE(RIGHT(SUBSTITUTE(SUBSTITUTE(SUBSTITUTE(TRIM($G172),"-",""),".",""),"/",""),2))),DATEVALUE($G172))),""))</f>
        <v/>
      </c>
      <c r="V172" s="52" t="str">
        <f aca="false">IF($H172="","",IFERROR(IF(IF(ISNUMBER($H172),$H172,IFERROR(TIMEVALUE($H172),VALUE($H172)))&gt;=100,INT(IF(ISNUMBER($H172),$H172,IFERROR(TIMEVALUE($H172),VALUE($H172)))/100)*60+MOD(IF(ISNUMBER($H172),$H172,IFERROR(TIMEVALUE($H172),VALUE($H172))),100),IF(IF(ISNUMBER($H172),$H172,IFERROR(TIMEVALUE($H172),VALUE($H172)))&gt;=1,ROUND(IF(ISNUMBER($H172),$H172,IFERROR(TIMEVALUE($H172),VALUE($H172)))*60,0),ROUND(MOD(IF(ISNUMBER($H172),$H172,IFERROR(TIMEVALUE($H172),VALUE($H172))),1)*1440,0))),""))</f>
        <v/>
      </c>
      <c r="W172" s="52" t="str">
        <f aca="false">IF($I172="","",IFERROR(IF(IF(ISNUMBER($I172),$I172,IFERROR(TIMEVALUE($I172),VALUE($I172)))&gt;=100,INT(IF(ISNUMBER($I172),$I172,IFERROR(TIMEVALUE($I172),VALUE($I172)))/100)*60+MOD(IF(ISNUMBER($I172),$I172,IFERROR(TIMEVALUE($I172),VALUE($I172))),100),IF(IF(ISNUMBER($I172),$I172,IFERROR(TIMEVALUE($I172),VALUE($I172)))&gt;=1,ROUND(IF(ISNUMBER($I172),$I172,IFERROR(TIMEVALUE($I172),VALUE($I172)))*60,0),ROUND(MOD(IF(ISNUMBER($I172),$I172,IFERROR(TIMEVALUE($I172),VALUE($I172))),1)*1440,0))),""))</f>
        <v/>
      </c>
      <c r="X172" s="55" t="str">
        <f aca="false">IF($P172="","",IFERROR(IF(ISNUMBER($P172),IF($P172&gt;19000000,DATE(INT($P172/10000),MOD(INT($P172/100),100),MOD($P172,100)),INT($P172)),IF(LEN(SUBSTITUTE(SUBSTITUTE(SUBSTITUTE(TRIM($P172),"-",""),".",""),"/",""))=8,DATE(VALUE(LEFT(SUBSTITUTE(SUBSTITUTE(SUBSTITUTE(TRIM($P172),"-",""),".",""),"/",""),4)),VALUE(MID(SUBSTITUTE(SUBSTITUTE(SUBSTITUTE(TRIM($P172),"-",""),".",""),"/",""),5,2)),VALUE(RIGHT(SUBSTITUTE(SUBSTITUTE(SUBSTITUTE(TRIM($P172),"-",""),".",""),"/",""),2))),DATEVALUE($P172))),""))</f>
        <v/>
      </c>
      <c r="Y172" s="56" t="str">
        <f aca="false">IF($M172="","",IFERROR(INDEX(강사DB!$D$4:$D$53,MATCH($M172,강사DB!$A$4:$A$53,0)),""))</f>
        <v/>
      </c>
      <c r="Z172" s="56" t="str">
        <f aca="false">IF($B172&lt;&gt;"결제완료","",IF(OR($Y172="",$J172=""),"",$Y172*$J172+MAX(0,N($K172)-1)*설정!$J$7))</f>
        <v/>
      </c>
      <c r="AA172" s="56" t="str">
        <f aca="false">IF(AND($D172&lt;&gt;"",$B172="결제완료"),N($N172),"")</f>
        <v/>
      </c>
      <c r="AB172" s="45" t="str">
        <f aca="false">IF($D172="","",IF($F172&lt;&gt;"",$F172,$D172)&amp;IF($B172="상담중"," (상담)",""))</f>
        <v/>
      </c>
      <c r="AC172" s="45" t="n">
        <f aca="false">IF(AND($D172&lt;&gt;"",OR($B172="결제완료",$B172="상담중")),1,0)</f>
        <v>0</v>
      </c>
      <c r="AD172" s="45" t="n">
        <f aca="false">IF(OR($Z172="",$U172=""),0,IFERROR(IF(COUNTIFS(INDEX(g_grid,0,2*MATCH($M172,강사DB!$A$4:$A$15,0)),"&lt;&gt;",g_s,"&lt;="&amp;$U172,g_e,"&gt;="&amp;$U172)&gt;0,1,0),0))</f>
        <v>0</v>
      </c>
      <c r="AE172" s="48"/>
      <c r="AF172" s="56" t="str">
        <f aca="false">IF(AND($D172&lt;&gt;"",$B172="결제완료",$T172="대여"),설정!$J$5,"")</f>
        <v/>
      </c>
      <c r="AG172" s="54" t="str">
        <f aca="false">IF($D172="","",IF(AND($E172="",$R172=""),$AB172,"☎ "&amp;IF($E172="","-",$E172)&amp;IF($R172&lt;&gt;"","  ※ "&amp;$R172,"")&amp;IF($B172="상담중"," (상담)","")))</f>
        <v/>
      </c>
      <c r="AH172" s="56" t="str">
        <f aca="false">IF(AND($D172&lt;&gt;"",$B172="결제완료",$O172="스마트스토어"),ROUND(N($N172)*설정!$J$6,0),"")</f>
        <v/>
      </c>
      <c r="AI172" s="54" t="str">
        <f aca="false">IF($D172="","",ROW())</f>
        <v/>
      </c>
      <c r="AJ172" s="54" t="n">
        <f aca="false">IF(OR($AC172&lt;&gt;1,$M172=""),0,IF(ISNUMBER(SEARCH("퇴사",IFERROR(INDEX(강사DB!$G$4:$G$53,MATCH($M172,강사DB!$A$4:$A$53,0)),""))),1,0))</f>
        <v>0</v>
      </c>
    </row>
    <row r="173" customFormat="false" ht="15" hidden="false" customHeight="false" outlineLevel="0" collapsed="false">
      <c r="A173" s="45" t="str">
        <f aca="false">IF($D173="","",COUNTA($D$5:$D173))</f>
        <v/>
      </c>
      <c r="B173" s="46"/>
      <c r="C173" s="47"/>
      <c r="D173" s="48"/>
      <c r="E173" s="48"/>
      <c r="F173" s="49"/>
      <c r="G173" s="47"/>
      <c r="H173" s="50"/>
      <c r="I173" s="50"/>
      <c r="J173" s="51" t="str">
        <f aca="false">IF(OR($V173="",$W173=""),"",ROUND(($W173-$V173)/60,2))</f>
        <v/>
      </c>
      <c r="K173" s="52" t="str">
        <f aca="false">IF($F173="","",LEN($F173)-LEN(SUBSTITUTE($F173,",",""))+1)</f>
        <v/>
      </c>
      <c r="L173" s="45" t="str">
        <f aca="false">IF($K173="","","1:"&amp;$K173)</f>
        <v/>
      </c>
      <c r="M173" s="46"/>
      <c r="N173" s="53"/>
      <c r="O173" s="46"/>
      <c r="P173" s="47"/>
      <c r="Q173" s="48"/>
      <c r="R173" s="49"/>
      <c r="S173" s="54" t="str">
        <f aca="false">IF(OR($AC173=0,$U173="",$M173="",$V173="",$W173=""),"",IF(COUNTIFS(m_teacher,$M173,m_date,$U173,m_active,1,m_start,"&lt;"&amp;$W173,m_end,"&gt;"&amp;$V173)&gt;1,"충돌",""))</f>
        <v/>
      </c>
      <c r="T173" s="48"/>
      <c r="U173" s="55" t="str">
        <f aca="false">IF($G173="","",IFERROR(IF(ISNUMBER($G173),IF($G173&gt;19000000,DATE(INT($G173/10000),MOD(INT($G173/100),100),MOD($G173,100)),INT($G173)),IF(LEN(SUBSTITUTE(SUBSTITUTE(SUBSTITUTE(TRIM($G173),"-",""),".",""),"/",""))=8,DATE(VALUE(LEFT(SUBSTITUTE(SUBSTITUTE(SUBSTITUTE(TRIM($G173),"-",""),".",""),"/",""),4)),VALUE(MID(SUBSTITUTE(SUBSTITUTE(SUBSTITUTE(TRIM($G173),"-",""),".",""),"/",""),5,2)),VALUE(RIGHT(SUBSTITUTE(SUBSTITUTE(SUBSTITUTE(TRIM($G173),"-",""),".",""),"/",""),2))),DATEVALUE($G173))),""))</f>
        <v/>
      </c>
      <c r="V173" s="52" t="str">
        <f aca="false">IF($H173="","",IFERROR(IF(IF(ISNUMBER($H173),$H173,IFERROR(TIMEVALUE($H173),VALUE($H173)))&gt;=100,INT(IF(ISNUMBER($H173),$H173,IFERROR(TIMEVALUE($H173),VALUE($H173)))/100)*60+MOD(IF(ISNUMBER($H173),$H173,IFERROR(TIMEVALUE($H173),VALUE($H173))),100),IF(IF(ISNUMBER($H173),$H173,IFERROR(TIMEVALUE($H173),VALUE($H173)))&gt;=1,ROUND(IF(ISNUMBER($H173),$H173,IFERROR(TIMEVALUE($H173),VALUE($H173)))*60,0),ROUND(MOD(IF(ISNUMBER($H173),$H173,IFERROR(TIMEVALUE($H173),VALUE($H173))),1)*1440,0))),""))</f>
        <v/>
      </c>
      <c r="W173" s="52" t="str">
        <f aca="false">IF($I173="","",IFERROR(IF(IF(ISNUMBER($I173),$I173,IFERROR(TIMEVALUE($I173),VALUE($I173)))&gt;=100,INT(IF(ISNUMBER($I173),$I173,IFERROR(TIMEVALUE($I173),VALUE($I173)))/100)*60+MOD(IF(ISNUMBER($I173),$I173,IFERROR(TIMEVALUE($I173),VALUE($I173))),100),IF(IF(ISNUMBER($I173),$I173,IFERROR(TIMEVALUE($I173),VALUE($I173)))&gt;=1,ROUND(IF(ISNUMBER($I173),$I173,IFERROR(TIMEVALUE($I173),VALUE($I173)))*60,0),ROUND(MOD(IF(ISNUMBER($I173),$I173,IFERROR(TIMEVALUE($I173),VALUE($I173))),1)*1440,0))),""))</f>
        <v/>
      </c>
      <c r="X173" s="55" t="str">
        <f aca="false">IF($P173="","",IFERROR(IF(ISNUMBER($P173),IF($P173&gt;19000000,DATE(INT($P173/10000),MOD(INT($P173/100),100),MOD($P173,100)),INT($P173)),IF(LEN(SUBSTITUTE(SUBSTITUTE(SUBSTITUTE(TRIM($P173),"-",""),".",""),"/",""))=8,DATE(VALUE(LEFT(SUBSTITUTE(SUBSTITUTE(SUBSTITUTE(TRIM($P173),"-",""),".",""),"/",""),4)),VALUE(MID(SUBSTITUTE(SUBSTITUTE(SUBSTITUTE(TRIM($P173),"-",""),".",""),"/",""),5,2)),VALUE(RIGHT(SUBSTITUTE(SUBSTITUTE(SUBSTITUTE(TRIM($P173),"-",""),".",""),"/",""),2))),DATEVALUE($P173))),""))</f>
        <v/>
      </c>
      <c r="Y173" s="56" t="str">
        <f aca="false">IF($M173="","",IFERROR(INDEX(강사DB!$D$4:$D$53,MATCH($M173,강사DB!$A$4:$A$53,0)),""))</f>
        <v/>
      </c>
      <c r="Z173" s="56" t="str">
        <f aca="false">IF($B173&lt;&gt;"결제완료","",IF(OR($Y173="",$J173=""),"",$Y173*$J173+MAX(0,N($K173)-1)*설정!$J$7))</f>
        <v/>
      </c>
      <c r="AA173" s="56" t="str">
        <f aca="false">IF(AND($D173&lt;&gt;"",$B173="결제완료"),N($N173),"")</f>
        <v/>
      </c>
      <c r="AB173" s="45" t="str">
        <f aca="false">IF($D173="","",IF($F173&lt;&gt;"",$F173,$D173)&amp;IF($B173="상담중"," (상담)",""))</f>
        <v/>
      </c>
      <c r="AC173" s="45" t="n">
        <f aca="false">IF(AND($D173&lt;&gt;"",OR($B173="결제완료",$B173="상담중")),1,0)</f>
        <v>0</v>
      </c>
      <c r="AD173" s="45" t="n">
        <f aca="false">IF(OR($Z173="",$U173=""),0,IFERROR(IF(COUNTIFS(INDEX(g_grid,0,2*MATCH($M173,강사DB!$A$4:$A$15,0)),"&lt;&gt;",g_s,"&lt;="&amp;$U173,g_e,"&gt;="&amp;$U173)&gt;0,1,0),0))</f>
        <v>0</v>
      </c>
      <c r="AE173" s="48"/>
      <c r="AF173" s="56" t="str">
        <f aca="false">IF(AND($D173&lt;&gt;"",$B173="결제완료",$T173="대여"),설정!$J$5,"")</f>
        <v/>
      </c>
      <c r="AG173" s="54" t="str">
        <f aca="false">IF($D173="","",IF(AND($E173="",$R173=""),$AB173,"☎ "&amp;IF($E173="","-",$E173)&amp;IF($R173&lt;&gt;"","  ※ "&amp;$R173,"")&amp;IF($B173="상담중"," (상담)","")))</f>
        <v/>
      </c>
      <c r="AH173" s="56" t="str">
        <f aca="false">IF(AND($D173&lt;&gt;"",$B173="결제완료",$O173="스마트스토어"),ROUND(N($N173)*설정!$J$6,0),"")</f>
        <v/>
      </c>
      <c r="AI173" s="54" t="str">
        <f aca="false">IF($D173="","",ROW())</f>
        <v/>
      </c>
      <c r="AJ173" s="54" t="n">
        <f aca="false">IF(OR($AC173&lt;&gt;1,$M173=""),0,IF(ISNUMBER(SEARCH("퇴사",IFERROR(INDEX(강사DB!$G$4:$G$53,MATCH($M173,강사DB!$A$4:$A$53,0)),""))),1,0))</f>
        <v>0</v>
      </c>
    </row>
    <row r="174" customFormat="false" ht="15" hidden="false" customHeight="false" outlineLevel="0" collapsed="false">
      <c r="A174" s="45" t="str">
        <f aca="false">IF($D174="","",COUNTA($D$5:$D174))</f>
        <v/>
      </c>
      <c r="B174" s="46"/>
      <c r="C174" s="47"/>
      <c r="D174" s="48"/>
      <c r="E174" s="48"/>
      <c r="F174" s="49"/>
      <c r="G174" s="47"/>
      <c r="H174" s="50"/>
      <c r="I174" s="50"/>
      <c r="J174" s="51" t="str">
        <f aca="false">IF(OR($V174="",$W174=""),"",ROUND(($W174-$V174)/60,2))</f>
        <v/>
      </c>
      <c r="K174" s="52" t="str">
        <f aca="false">IF($F174="","",LEN($F174)-LEN(SUBSTITUTE($F174,",",""))+1)</f>
        <v/>
      </c>
      <c r="L174" s="45" t="str">
        <f aca="false">IF($K174="","","1:"&amp;$K174)</f>
        <v/>
      </c>
      <c r="M174" s="46"/>
      <c r="N174" s="53"/>
      <c r="O174" s="46"/>
      <c r="P174" s="47"/>
      <c r="Q174" s="48"/>
      <c r="R174" s="49"/>
      <c r="S174" s="54" t="str">
        <f aca="false">IF(OR($AC174=0,$U174="",$M174="",$V174="",$W174=""),"",IF(COUNTIFS(m_teacher,$M174,m_date,$U174,m_active,1,m_start,"&lt;"&amp;$W174,m_end,"&gt;"&amp;$V174)&gt;1,"충돌",""))</f>
        <v/>
      </c>
      <c r="T174" s="48"/>
      <c r="U174" s="55" t="str">
        <f aca="false">IF($G174="","",IFERROR(IF(ISNUMBER($G174),IF($G174&gt;19000000,DATE(INT($G174/10000),MOD(INT($G174/100),100),MOD($G174,100)),INT($G174)),IF(LEN(SUBSTITUTE(SUBSTITUTE(SUBSTITUTE(TRIM($G174),"-",""),".",""),"/",""))=8,DATE(VALUE(LEFT(SUBSTITUTE(SUBSTITUTE(SUBSTITUTE(TRIM($G174),"-",""),".",""),"/",""),4)),VALUE(MID(SUBSTITUTE(SUBSTITUTE(SUBSTITUTE(TRIM($G174),"-",""),".",""),"/",""),5,2)),VALUE(RIGHT(SUBSTITUTE(SUBSTITUTE(SUBSTITUTE(TRIM($G174),"-",""),".",""),"/",""),2))),DATEVALUE($G174))),""))</f>
        <v/>
      </c>
      <c r="V174" s="52" t="str">
        <f aca="false">IF($H174="","",IFERROR(IF(IF(ISNUMBER($H174),$H174,IFERROR(TIMEVALUE($H174),VALUE($H174)))&gt;=100,INT(IF(ISNUMBER($H174),$H174,IFERROR(TIMEVALUE($H174),VALUE($H174)))/100)*60+MOD(IF(ISNUMBER($H174),$H174,IFERROR(TIMEVALUE($H174),VALUE($H174))),100),IF(IF(ISNUMBER($H174),$H174,IFERROR(TIMEVALUE($H174),VALUE($H174)))&gt;=1,ROUND(IF(ISNUMBER($H174),$H174,IFERROR(TIMEVALUE($H174),VALUE($H174)))*60,0),ROUND(MOD(IF(ISNUMBER($H174),$H174,IFERROR(TIMEVALUE($H174),VALUE($H174))),1)*1440,0))),""))</f>
        <v/>
      </c>
      <c r="W174" s="52" t="str">
        <f aca="false">IF($I174="","",IFERROR(IF(IF(ISNUMBER($I174),$I174,IFERROR(TIMEVALUE($I174),VALUE($I174)))&gt;=100,INT(IF(ISNUMBER($I174),$I174,IFERROR(TIMEVALUE($I174),VALUE($I174)))/100)*60+MOD(IF(ISNUMBER($I174),$I174,IFERROR(TIMEVALUE($I174),VALUE($I174))),100),IF(IF(ISNUMBER($I174),$I174,IFERROR(TIMEVALUE($I174),VALUE($I174)))&gt;=1,ROUND(IF(ISNUMBER($I174),$I174,IFERROR(TIMEVALUE($I174),VALUE($I174)))*60,0),ROUND(MOD(IF(ISNUMBER($I174),$I174,IFERROR(TIMEVALUE($I174),VALUE($I174))),1)*1440,0))),""))</f>
        <v/>
      </c>
      <c r="X174" s="55" t="str">
        <f aca="false">IF($P174="","",IFERROR(IF(ISNUMBER($P174),IF($P174&gt;19000000,DATE(INT($P174/10000),MOD(INT($P174/100),100),MOD($P174,100)),INT($P174)),IF(LEN(SUBSTITUTE(SUBSTITUTE(SUBSTITUTE(TRIM($P174),"-",""),".",""),"/",""))=8,DATE(VALUE(LEFT(SUBSTITUTE(SUBSTITUTE(SUBSTITUTE(TRIM($P174),"-",""),".",""),"/",""),4)),VALUE(MID(SUBSTITUTE(SUBSTITUTE(SUBSTITUTE(TRIM($P174),"-",""),".",""),"/",""),5,2)),VALUE(RIGHT(SUBSTITUTE(SUBSTITUTE(SUBSTITUTE(TRIM($P174),"-",""),".",""),"/",""),2))),DATEVALUE($P174))),""))</f>
        <v/>
      </c>
      <c r="Y174" s="56" t="str">
        <f aca="false">IF($M174="","",IFERROR(INDEX(강사DB!$D$4:$D$53,MATCH($M174,강사DB!$A$4:$A$53,0)),""))</f>
        <v/>
      </c>
      <c r="Z174" s="56" t="str">
        <f aca="false">IF($B174&lt;&gt;"결제완료","",IF(OR($Y174="",$J174=""),"",$Y174*$J174+MAX(0,N($K174)-1)*설정!$J$7))</f>
        <v/>
      </c>
      <c r="AA174" s="56" t="str">
        <f aca="false">IF(AND($D174&lt;&gt;"",$B174="결제완료"),N($N174),"")</f>
        <v/>
      </c>
      <c r="AB174" s="45" t="str">
        <f aca="false">IF($D174="","",IF($F174&lt;&gt;"",$F174,$D174)&amp;IF($B174="상담중"," (상담)",""))</f>
        <v/>
      </c>
      <c r="AC174" s="45" t="n">
        <f aca="false">IF(AND($D174&lt;&gt;"",OR($B174="결제완료",$B174="상담중")),1,0)</f>
        <v>0</v>
      </c>
      <c r="AD174" s="45" t="n">
        <f aca="false">IF(OR($Z174="",$U174=""),0,IFERROR(IF(COUNTIFS(INDEX(g_grid,0,2*MATCH($M174,강사DB!$A$4:$A$15,0)),"&lt;&gt;",g_s,"&lt;="&amp;$U174,g_e,"&gt;="&amp;$U174)&gt;0,1,0),0))</f>
        <v>0</v>
      </c>
      <c r="AE174" s="48"/>
      <c r="AF174" s="56" t="str">
        <f aca="false">IF(AND($D174&lt;&gt;"",$B174="결제완료",$T174="대여"),설정!$J$5,"")</f>
        <v/>
      </c>
      <c r="AG174" s="54" t="str">
        <f aca="false">IF($D174="","",IF(AND($E174="",$R174=""),$AB174,"☎ "&amp;IF($E174="","-",$E174)&amp;IF($R174&lt;&gt;"","  ※ "&amp;$R174,"")&amp;IF($B174="상담중"," (상담)","")))</f>
        <v/>
      </c>
      <c r="AH174" s="56" t="str">
        <f aca="false">IF(AND($D174&lt;&gt;"",$B174="결제완료",$O174="스마트스토어"),ROUND(N($N174)*설정!$J$6,0),"")</f>
        <v/>
      </c>
      <c r="AI174" s="54" t="str">
        <f aca="false">IF($D174="","",ROW())</f>
        <v/>
      </c>
      <c r="AJ174" s="54" t="n">
        <f aca="false">IF(OR($AC174&lt;&gt;1,$M174=""),0,IF(ISNUMBER(SEARCH("퇴사",IFERROR(INDEX(강사DB!$G$4:$G$53,MATCH($M174,강사DB!$A$4:$A$53,0)),""))),1,0))</f>
        <v>0</v>
      </c>
    </row>
    <row r="175" customFormat="false" ht="15" hidden="false" customHeight="false" outlineLevel="0" collapsed="false">
      <c r="A175" s="45" t="str">
        <f aca="false">IF($D175="","",COUNTA($D$5:$D175))</f>
        <v/>
      </c>
      <c r="B175" s="46"/>
      <c r="C175" s="47"/>
      <c r="D175" s="48"/>
      <c r="E175" s="48"/>
      <c r="F175" s="49"/>
      <c r="G175" s="47"/>
      <c r="H175" s="50"/>
      <c r="I175" s="50"/>
      <c r="J175" s="51" t="str">
        <f aca="false">IF(OR($V175="",$W175=""),"",ROUND(($W175-$V175)/60,2))</f>
        <v/>
      </c>
      <c r="K175" s="52" t="str">
        <f aca="false">IF($F175="","",LEN($F175)-LEN(SUBSTITUTE($F175,",",""))+1)</f>
        <v/>
      </c>
      <c r="L175" s="45" t="str">
        <f aca="false">IF($K175="","","1:"&amp;$K175)</f>
        <v/>
      </c>
      <c r="M175" s="46"/>
      <c r="N175" s="53"/>
      <c r="O175" s="46"/>
      <c r="P175" s="47"/>
      <c r="Q175" s="48"/>
      <c r="R175" s="49"/>
      <c r="S175" s="54" t="str">
        <f aca="false">IF(OR($AC175=0,$U175="",$M175="",$V175="",$W175=""),"",IF(COUNTIFS(m_teacher,$M175,m_date,$U175,m_active,1,m_start,"&lt;"&amp;$W175,m_end,"&gt;"&amp;$V175)&gt;1,"충돌",""))</f>
        <v/>
      </c>
      <c r="T175" s="48"/>
      <c r="U175" s="55" t="str">
        <f aca="false">IF($G175="","",IFERROR(IF(ISNUMBER($G175),IF($G175&gt;19000000,DATE(INT($G175/10000),MOD(INT($G175/100),100),MOD($G175,100)),INT($G175)),IF(LEN(SUBSTITUTE(SUBSTITUTE(SUBSTITUTE(TRIM($G175),"-",""),".",""),"/",""))=8,DATE(VALUE(LEFT(SUBSTITUTE(SUBSTITUTE(SUBSTITUTE(TRIM($G175),"-",""),".",""),"/",""),4)),VALUE(MID(SUBSTITUTE(SUBSTITUTE(SUBSTITUTE(TRIM($G175),"-",""),".",""),"/",""),5,2)),VALUE(RIGHT(SUBSTITUTE(SUBSTITUTE(SUBSTITUTE(TRIM($G175),"-",""),".",""),"/",""),2))),DATEVALUE($G175))),""))</f>
        <v/>
      </c>
      <c r="V175" s="52" t="str">
        <f aca="false">IF($H175="","",IFERROR(IF(IF(ISNUMBER($H175),$H175,IFERROR(TIMEVALUE($H175),VALUE($H175)))&gt;=100,INT(IF(ISNUMBER($H175),$H175,IFERROR(TIMEVALUE($H175),VALUE($H175)))/100)*60+MOD(IF(ISNUMBER($H175),$H175,IFERROR(TIMEVALUE($H175),VALUE($H175))),100),IF(IF(ISNUMBER($H175),$H175,IFERROR(TIMEVALUE($H175),VALUE($H175)))&gt;=1,ROUND(IF(ISNUMBER($H175),$H175,IFERROR(TIMEVALUE($H175),VALUE($H175)))*60,0),ROUND(MOD(IF(ISNUMBER($H175),$H175,IFERROR(TIMEVALUE($H175),VALUE($H175))),1)*1440,0))),""))</f>
        <v/>
      </c>
      <c r="W175" s="52" t="str">
        <f aca="false">IF($I175="","",IFERROR(IF(IF(ISNUMBER($I175),$I175,IFERROR(TIMEVALUE($I175),VALUE($I175)))&gt;=100,INT(IF(ISNUMBER($I175),$I175,IFERROR(TIMEVALUE($I175),VALUE($I175)))/100)*60+MOD(IF(ISNUMBER($I175),$I175,IFERROR(TIMEVALUE($I175),VALUE($I175))),100),IF(IF(ISNUMBER($I175),$I175,IFERROR(TIMEVALUE($I175),VALUE($I175)))&gt;=1,ROUND(IF(ISNUMBER($I175),$I175,IFERROR(TIMEVALUE($I175),VALUE($I175)))*60,0),ROUND(MOD(IF(ISNUMBER($I175),$I175,IFERROR(TIMEVALUE($I175),VALUE($I175))),1)*1440,0))),""))</f>
        <v/>
      </c>
      <c r="X175" s="55" t="str">
        <f aca="false">IF($P175="","",IFERROR(IF(ISNUMBER($P175),IF($P175&gt;19000000,DATE(INT($P175/10000),MOD(INT($P175/100),100),MOD($P175,100)),INT($P175)),IF(LEN(SUBSTITUTE(SUBSTITUTE(SUBSTITUTE(TRIM($P175),"-",""),".",""),"/",""))=8,DATE(VALUE(LEFT(SUBSTITUTE(SUBSTITUTE(SUBSTITUTE(TRIM($P175),"-",""),".",""),"/",""),4)),VALUE(MID(SUBSTITUTE(SUBSTITUTE(SUBSTITUTE(TRIM($P175),"-",""),".",""),"/",""),5,2)),VALUE(RIGHT(SUBSTITUTE(SUBSTITUTE(SUBSTITUTE(TRIM($P175),"-",""),".",""),"/",""),2))),DATEVALUE($P175))),""))</f>
        <v/>
      </c>
      <c r="Y175" s="56" t="str">
        <f aca="false">IF($M175="","",IFERROR(INDEX(강사DB!$D$4:$D$53,MATCH($M175,강사DB!$A$4:$A$53,0)),""))</f>
        <v/>
      </c>
      <c r="Z175" s="56" t="str">
        <f aca="false">IF($B175&lt;&gt;"결제완료","",IF(OR($Y175="",$J175=""),"",$Y175*$J175+MAX(0,N($K175)-1)*설정!$J$7))</f>
        <v/>
      </c>
      <c r="AA175" s="56" t="str">
        <f aca="false">IF(AND($D175&lt;&gt;"",$B175="결제완료"),N($N175),"")</f>
        <v/>
      </c>
      <c r="AB175" s="45" t="str">
        <f aca="false">IF($D175="","",IF($F175&lt;&gt;"",$F175,$D175)&amp;IF($B175="상담중"," (상담)",""))</f>
        <v/>
      </c>
      <c r="AC175" s="45" t="n">
        <f aca="false">IF(AND($D175&lt;&gt;"",OR($B175="결제완료",$B175="상담중")),1,0)</f>
        <v>0</v>
      </c>
      <c r="AD175" s="45" t="n">
        <f aca="false">IF(OR($Z175="",$U175=""),0,IFERROR(IF(COUNTIFS(INDEX(g_grid,0,2*MATCH($M175,강사DB!$A$4:$A$15,0)),"&lt;&gt;",g_s,"&lt;="&amp;$U175,g_e,"&gt;="&amp;$U175)&gt;0,1,0),0))</f>
        <v>0</v>
      </c>
      <c r="AE175" s="48"/>
      <c r="AF175" s="56" t="str">
        <f aca="false">IF(AND($D175&lt;&gt;"",$B175="결제완료",$T175="대여"),설정!$J$5,"")</f>
        <v/>
      </c>
      <c r="AG175" s="54" t="str">
        <f aca="false">IF($D175="","",IF(AND($E175="",$R175=""),$AB175,"☎ "&amp;IF($E175="","-",$E175)&amp;IF($R175&lt;&gt;"","  ※ "&amp;$R175,"")&amp;IF($B175="상담중"," (상담)","")))</f>
        <v/>
      </c>
      <c r="AH175" s="56" t="str">
        <f aca="false">IF(AND($D175&lt;&gt;"",$B175="결제완료",$O175="스마트스토어"),ROUND(N($N175)*설정!$J$6,0),"")</f>
        <v/>
      </c>
      <c r="AI175" s="54" t="str">
        <f aca="false">IF($D175="","",ROW())</f>
        <v/>
      </c>
      <c r="AJ175" s="54" t="n">
        <f aca="false">IF(OR($AC175&lt;&gt;1,$M175=""),0,IF(ISNUMBER(SEARCH("퇴사",IFERROR(INDEX(강사DB!$G$4:$G$53,MATCH($M175,강사DB!$A$4:$A$53,0)),""))),1,0))</f>
        <v>0</v>
      </c>
    </row>
    <row r="176" customFormat="false" ht="15" hidden="false" customHeight="false" outlineLevel="0" collapsed="false">
      <c r="A176" s="45" t="str">
        <f aca="false">IF($D176="","",COUNTA($D$5:$D176))</f>
        <v/>
      </c>
      <c r="B176" s="46"/>
      <c r="C176" s="47"/>
      <c r="D176" s="48"/>
      <c r="E176" s="48"/>
      <c r="F176" s="49"/>
      <c r="G176" s="47"/>
      <c r="H176" s="50"/>
      <c r="I176" s="50"/>
      <c r="J176" s="51" t="str">
        <f aca="false">IF(OR($V176="",$W176=""),"",ROUND(($W176-$V176)/60,2))</f>
        <v/>
      </c>
      <c r="K176" s="52" t="str">
        <f aca="false">IF($F176="","",LEN($F176)-LEN(SUBSTITUTE($F176,",",""))+1)</f>
        <v/>
      </c>
      <c r="L176" s="45" t="str">
        <f aca="false">IF($K176="","","1:"&amp;$K176)</f>
        <v/>
      </c>
      <c r="M176" s="46"/>
      <c r="N176" s="53"/>
      <c r="O176" s="46"/>
      <c r="P176" s="47"/>
      <c r="Q176" s="48"/>
      <c r="R176" s="49"/>
      <c r="S176" s="54" t="str">
        <f aca="false">IF(OR($AC176=0,$U176="",$M176="",$V176="",$W176=""),"",IF(COUNTIFS(m_teacher,$M176,m_date,$U176,m_active,1,m_start,"&lt;"&amp;$W176,m_end,"&gt;"&amp;$V176)&gt;1,"충돌",""))</f>
        <v/>
      </c>
      <c r="T176" s="48"/>
      <c r="U176" s="55" t="str">
        <f aca="false">IF($G176="","",IFERROR(IF(ISNUMBER($G176),IF($G176&gt;19000000,DATE(INT($G176/10000),MOD(INT($G176/100),100),MOD($G176,100)),INT($G176)),IF(LEN(SUBSTITUTE(SUBSTITUTE(SUBSTITUTE(TRIM($G176),"-",""),".",""),"/",""))=8,DATE(VALUE(LEFT(SUBSTITUTE(SUBSTITUTE(SUBSTITUTE(TRIM($G176),"-",""),".",""),"/",""),4)),VALUE(MID(SUBSTITUTE(SUBSTITUTE(SUBSTITUTE(TRIM($G176),"-",""),".",""),"/",""),5,2)),VALUE(RIGHT(SUBSTITUTE(SUBSTITUTE(SUBSTITUTE(TRIM($G176),"-",""),".",""),"/",""),2))),DATEVALUE($G176))),""))</f>
        <v/>
      </c>
      <c r="V176" s="52" t="str">
        <f aca="false">IF($H176="","",IFERROR(IF(IF(ISNUMBER($H176),$H176,IFERROR(TIMEVALUE($H176),VALUE($H176)))&gt;=100,INT(IF(ISNUMBER($H176),$H176,IFERROR(TIMEVALUE($H176),VALUE($H176)))/100)*60+MOD(IF(ISNUMBER($H176),$H176,IFERROR(TIMEVALUE($H176),VALUE($H176))),100),IF(IF(ISNUMBER($H176),$H176,IFERROR(TIMEVALUE($H176),VALUE($H176)))&gt;=1,ROUND(IF(ISNUMBER($H176),$H176,IFERROR(TIMEVALUE($H176),VALUE($H176)))*60,0),ROUND(MOD(IF(ISNUMBER($H176),$H176,IFERROR(TIMEVALUE($H176),VALUE($H176))),1)*1440,0))),""))</f>
        <v/>
      </c>
      <c r="W176" s="52" t="str">
        <f aca="false">IF($I176="","",IFERROR(IF(IF(ISNUMBER($I176),$I176,IFERROR(TIMEVALUE($I176),VALUE($I176)))&gt;=100,INT(IF(ISNUMBER($I176),$I176,IFERROR(TIMEVALUE($I176),VALUE($I176)))/100)*60+MOD(IF(ISNUMBER($I176),$I176,IFERROR(TIMEVALUE($I176),VALUE($I176))),100),IF(IF(ISNUMBER($I176),$I176,IFERROR(TIMEVALUE($I176),VALUE($I176)))&gt;=1,ROUND(IF(ISNUMBER($I176),$I176,IFERROR(TIMEVALUE($I176),VALUE($I176)))*60,0),ROUND(MOD(IF(ISNUMBER($I176),$I176,IFERROR(TIMEVALUE($I176),VALUE($I176))),1)*1440,0))),""))</f>
        <v/>
      </c>
      <c r="X176" s="55" t="str">
        <f aca="false">IF($P176="","",IFERROR(IF(ISNUMBER($P176),IF($P176&gt;19000000,DATE(INT($P176/10000),MOD(INT($P176/100),100),MOD($P176,100)),INT($P176)),IF(LEN(SUBSTITUTE(SUBSTITUTE(SUBSTITUTE(TRIM($P176),"-",""),".",""),"/",""))=8,DATE(VALUE(LEFT(SUBSTITUTE(SUBSTITUTE(SUBSTITUTE(TRIM($P176),"-",""),".",""),"/",""),4)),VALUE(MID(SUBSTITUTE(SUBSTITUTE(SUBSTITUTE(TRIM($P176),"-",""),".",""),"/",""),5,2)),VALUE(RIGHT(SUBSTITUTE(SUBSTITUTE(SUBSTITUTE(TRIM($P176),"-",""),".",""),"/",""),2))),DATEVALUE($P176))),""))</f>
        <v/>
      </c>
      <c r="Y176" s="56" t="str">
        <f aca="false">IF($M176="","",IFERROR(INDEX(강사DB!$D$4:$D$53,MATCH($M176,강사DB!$A$4:$A$53,0)),""))</f>
        <v/>
      </c>
      <c r="Z176" s="56" t="str">
        <f aca="false">IF($B176&lt;&gt;"결제완료","",IF(OR($Y176="",$J176=""),"",$Y176*$J176+MAX(0,N($K176)-1)*설정!$J$7))</f>
        <v/>
      </c>
      <c r="AA176" s="56" t="str">
        <f aca="false">IF(AND($D176&lt;&gt;"",$B176="결제완료"),N($N176),"")</f>
        <v/>
      </c>
      <c r="AB176" s="45" t="str">
        <f aca="false">IF($D176="","",IF($F176&lt;&gt;"",$F176,$D176)&amp;IF($B176="상담중"," (상담)",""))</f>
        <v/>
      </c>
      <c r="AC176" s="45" t="n">
        <f aca="false">IF(AND($D176&lt;&gt;"",OR($B176="결제완료",$B176="상담중")),1,0)</f>
        <v>0</v>
      </c>
      <c r="AD176" s="45" t="n">
        <f aca="false">IF(OR($Z176="",$U176=""),0,IFERROR(IF(COUNTIFS(INDEX(g_grid,0,2*MATCH($M176,강사DB!$A$4:$A$15,0)),"&lt;&gt;",g_s,"&lt;="&amp;$U176,g_e,"&gt;="&amp;$U176)&gt;0,1,0),0))</f>
        <v>0</v>
      </c>
      <c r="AE176" s="48"/>
      <c r="AF176" s="56" t="str">
        <f aca="false">IF(AND($D176&lt;&gt;"",$B176="결제완료",$T176="대여"),설정!$J$5,"")</f>
        <v/>
      </c>
      <c r="AG176" s="54" t="str">
        <f aca="false">IF($D176="","",IF(AND($E176="",$R176=""),$AB176,"☎ "&amp;IF($E176="","-",$E176)&amp;IF($R176&lt;&gt;"","  ※ "&amp;$R176,"")&amp;IF($B176="상담중"," (상담)","")))</f>
        <v/>
      </c>
      <c r="AH176" s="56" t="str">
        <f aca="false">IF(AND($D176&lt;&gt;"",$B176="결제완료",$O176="스마트스토어"),ROUND(N($N176)*설정!$J$6,0),"")</f>
        <v/>
      </c>
      <c r="AI176" s="54" t="str">
        <f aca="false">IF($D176="","",ROW())</f>
        <v/>
      </c>
      <c r="AJ176" s="54" t="n">
        <f aca="false">IF(OR($AC176&lt;&gt;1,$M176=""),0,IF(ISNUMBER(SEARCH("퇴사",IFERROR(INDEX(강사DB!$G$4:$G$53,MATCH($M176,강사DB!$A$4:$A$53,0)),""))),1,0))</f>
        <v>0</v>
      </c>
    </row>
    <row r="177" customFormat="false" ht="15" hidden="false" customHeight="false" outlineLevel="0" collapsed="false">
      <c r="A177" s="45" t="str">
        <f aca="false">IF($D177="","",COUNTA($D$5:$D177))</f>
        <v/>
      </c>
      <c r="B177" s="46"/>
      <c r="C177" s="47"/>
      <c r="D177" s="48"/>
      <c r="E177" s="48"/>
      <c r="F177" s="49"/>
      <c r="G177" s="47"/>
      <c r="H177" s="50"/>
      <c r="I177" s="50"/>
      <c r="J177" s="51" t="str">
        <f aca="false">IF(OR($V177="",$W177=""),"",ROUND(($W177-$V177)/60,2))</f>
        <v/>
      </c>
      <c r="K177" s="52" t="str">
        <f aca="false">IF($F177="","",LEN($F177)-LEN(SUBSTITUTE($F177,",",""))+1)</f>
        <v/>
      </c>
      <c r="L177" s="45" t="str">
        <f aca="false">IF($K177="","","1:"&amp;$K177)</f>
        <v/>
      </c>
      <c r="M177" s="46"/>
      <c r="N177" s="53"/>
      <c r="O177" s="46"/>
      <c r="P177" s="47"/>
      <c r="Q177" s="48"/>
      <c r="R177" s="49"/>
      <c r="S177" s="54" t="str">
        <f aca="false">IF(OR($AC177=0,$U177="",$M177="",$V177="",$W177=""),"",IF(COUNTIFS(m_teacher,$M177,m_date,$U177,m_active,1,m_start,"&lt;"&amp;$W177,m_end,"&gt;"&amp;$V177)&gt;1,"충돌",""))</f>
        <v/>
      </c>
      <c r="T177" s="48"/>
      <c r="U177" s="55" t="str">
        <f aca="false">IF($G177="","",IFERROR(IF(ISNUMBER($G177),IF($G177&gt;19000000,DATE(INT($G177/10000),MOD(INT($G177/100),100),MOD($G177,100)),INT($G177)),IF(LEN(SUBSTITUTE(SUBSTITUTE(SUBSTITUTE(TRIM($G177),"-",""),".",""),"/",""))=8,DATE(VALUE(LEFT(SUBSTITUTE(SUBSTITUTE(SUBSTITUTE(TRIM($G177),"-",""),".",""),"/",""),4)),VALUE(MID(SUBSTITUTE(SUBSTITUTE(SUBSTITUTE(TRIM($G177),"-",""),".",""),"/",""),5,2)),VALUE(RIGHT(SUBSTITUTE(SUBSTITUTE(SUBSTITUTE(TRIM($G177),"-",""),".",""),"/",""),2))),DATEVALUE($G177))),""))</f>
        <v/>
      </c>
      <c r="V177" s="52" t="str">
        <f aca="false">IF($H177="","",IFERROR(IF(IF(ISNUMBER($H177),$H177,IFERROR(TIMEVALUE($H177),VALUE($H177)))&gt;=100,INT(IF(ISNUMBER($H177),$H177,IFERROR(TIMEVALUE($H177),VALUE($H177)))/100)*60+MOD(IF(ISNUMBER($H177),$H177,IFERROR(TIMEVALUE($H177),VALUE($H177))),100),IF(IF(ISNUMBER($H177),$H177,IFERROR(TIMEVALUE($H177),VALUE($H177)))&gt;=1,ROUND(IF(ISNUMBER($H177),$H177,IFERROR(TIMEVALUE($H177),VALUE($H177)))*60,0),ROUND(MOD(IF(ISNUMBER($H177),$H177,IFERROR(TIMEVALUE($H177),VALUE($H177))),1)*1440,0))),""))</f>
        <v/>
      </c>
      <c r="W177" s="52" t="str">
        <f aca="false">IF($I177="","",IFERROR(IF(IF(ISNUMBER($I177),$I177,IFERROR(TIMEVALUE($I177),VALUE($I177)))&gt;=100,INT(IF(ISNUMBER($I177),$I177,IFERROR(TIMEVALUE($I177),VALUE($I177)))/100)*60+MOD(IF(ISNUMBER($I177),$I177,IFERROR(TIMEVALUE($I177),VALUE($I177))),100),IF(IF(ISNUMBER($I177),$I177,IFERROR(TIMEVALUE($I177),VALUE($I177)))&gt;=1,ROUND(IF(ISNUMBER($I177),$I177,IFERROR(TIMEVALUE($I177),VALUE($I177)))*60,0),ROUND(MOD(IF(ISNUMBER($I177),$I177,IFERROR(TIMEVALUE($I177),VALUE($I177))),1)*1440,0))),""))</f>
        <v/>
      </c>
      <c r="X177" s="55" t="str">
        <f aca="false">IF($P177="","",IFERROR(IF(ISNUMBER($P177),IF($P177&gt;19000000,DATE(INT($P177/10000),MOD(INT($P177/100),100),MOD($P177,100)),INT($P177)),IF(LEN(SUBSTITUTE(SUBSTITUTE(SUBSTITUTE(TRIM($P177),"-",""),".",""),"/",""))=8,DATE(VALUE(LEFT(SUBSTITUTE(SUBSTITUTE(SUBSTITUTE(TRIM($P177),"-",""),".",""),"/",""),4)),VALUE(MID(SUBSTITUTE(SUBSTITUTE(SUBSTITUTE(TRIM($P177),"-",""),".",""),"/",""),5,2)),VALUE(RIGHT(SUBSTITUTE(SUBSTITUTE(SUBSTITUTE(TRIM($P177),"-",""),".",""),"/",""),2))),DATEVALUE($P177))),""))</f>
        <v/>
      </c>
      <c r="Y177" s="56" t="str">
        <f aca="false">IF($M177="","",IFERROR(INDEX(강사DB!$D$4:$D$53,MATCH($M177,강사DB!$A$4:$A$53,0)),""))</f>
        <v/>
      </c>
      <c r="Z177" s="56" t="str">
        <f aca="false">IF($B177&lt;&gt;"결제완료","",IF(OR($Y177="",$J177=""),"",$Y177*$J177+MAX(0,N($K177)-1)*설정!$J$7))</f>
        <v/>
      </c>
      <c r="AA177" s="56" t="str">
        <f aca="false">IF(AND($D177&lt;&gt;"",$B177="결제완료"),N($N177),"")</f>
        <v/>
      </c>
      <c r="AB177" s="45" t="str">
        <f aca="false">IF($D177="","",IF($F177&lt;&gt;"",$F177,$D177)&amp;IF($B177="상담중"," (상담)",""))</f>
        <v/>
      </c>
      <c r="AC177" s="45" t="n">
        <f aca="false">IF(AND($D177&lt;&gt;"",OR($B177="결제완료",$B177="상담중")),1,0)</f>
        <v>0</v>
      </c>
      <c r="AD177" s="45" t="n">
        <f aca="false">IF(OR($Z177="",$U177=""),0,IFERROR(IF(COUNTIFS(INDEX(g_grid,0,2*MATCH($M177,강사DB!$A$4:$A$15,0)),"&lt;&gt;",g_s,"&lt;="&amp;$U177,g_e,"&gt;="&amp;$U177)&gt;0,1,0),0))</f>
        <v>0</v>
      </c>
      <c r="AE177" s="48"/>
      <c r="AF177" s="56" t="str">
        <f aca="false">IF(AND($D177&lt;&gt;"",$B177="결제완료",$T177="대여"),설정!$J$5,"")</f>
        <v/>
      </c>
      <c r="AG177" s="54" t="str">
        <f aca="false">IF($D177="","",IF(AND($E177="",$R177=""),$AB177,"☎ "&amp;IF($E177="","-",$E177)&amp;IF($R177&lt;&gt;"","  ※ "&amp;$R177,"")&amp;IF($B177="상담중"," (상담)","")))</f>
        <v/>
      </c>
      <c r="AH177" s="56" t="str">
        <f aca="false">IF(AND($D177&lt;&gt;"",$B177="결제완료",$O177="스마트스토어"),ROUND(N($N177)*설정!$J$6,0),"")</f>
        <v/>
      </c>
      <c r="AI177" s="54" t="str">
        <f aca="false">IF($D177="","",ROW())</f>
        <v/>
      </c>
      <c r="AJ177" s="54" t="n">
        <f aca="false">IF(OR($AC177&lt;&gt;1,$M177=""),0,IF(ISNUMBER(SEARCH("퇴사",IFERROR(INDEX(강사DB!$G$4:$G$53,MATCH($M177,강사DB!$A$4:$A$53,0)),""))),1,0))</f>
        <v>0</v>
      </c>
    </row>
    <row r="178" customFormat="false" ht="15" hidden="false" customHeight="false" outlineLevel="0" collapsed="false">
      <c r="A178" s="45" t="str">
        <f aca="false">IF($D178="","",COUNTA($D$5:$D178))</f>
        <v/>
      </c>
      <c r="B178" s="46"/>
      <c r="C178" s="47"/>
      <c r="D178" s="48"/>
      <c r="E178" s="48"/>
      <c r="F178" s="49"/>
      <c r="G178" s="47"/>
      <c r="H178" s="50"/>
      <c r="I178" s="50"/>
      <c r="J178" s="51" t="str">
        <f aca="false">IF(OR($V178="",$W178=""),"",ROUND(($W178-$V178)/60,2))</f>
        <v/>
      </c>
      <c r="K178" s="52" t="str">
        <f aca="false">IF($F178="","",LEN($F178)-LEN(SUBSTITUTE($F178,",",""))+1)</f>
        <v/>
      </c>
      <c r="L178" s="45" t="str">
        <f aca="false">IF($K178="","","1:"&amp;$K178)</f>
        <v/>
      </c>
      <c r="M178" s="46"/>
      <c r="N178" s="53"/>
      <c r="O178" s="46"/>
      <c r="P178" s="47"/>
      <c r="Q178" s="48"/>
      <c r="R178" s="49"/>
      <c r="S178" s="54" t="str">
        <f aca="false">IF(OR($AC178=0,$U178="",$M178="",$V178="",$W178=""),"",IF(COUNTIFS(m_teacher,$M178,m_date,$U178,m_active,1,m_start,"&lt;"&amp;$W178,m_end,"&gt;"&amp;$V178)&gt;1,"충돌",""))</f>
        <v/>
      </c>
      <c r="T178" s="48"/>
      <c r="U178" s="55" t="str">
        <f aca="false">IF($G178="","",IFERROR(IF(ISNUMBER($G178),IF($G178&gt;19000000,DATE(INT($G178/10000),MOD(INT($G178/100),100),MOD($G178,100)),INT($G178)),IF(LEN(SUBSTITUTE(SUBSTITUTE(SUBSTITUTE(TRIM($G178),"-",""),".",""),"/",""))=8,DATE(VALUE(LEFT(SUBSTITUTE(SUBSTITUTE(SUBSTITUTE(TRIM($G178),"-",""),".",""),"/",""),4)),VALUE(MID(SUBSTITUTE(SUBSTITUTE(SUBSTITUTE(TRIM($G178),"-",""),".",""),"/",""),5,2)),VALUE(RIGHT(SUBSTITUTE(SUBSTITUTE(SUBSTITUTE(TRIM($G178),"-",""),".",""),"/",""),2))),DATEVALUE($G178))),""))</f>
        <v/>
      </c>
      <c r="V178" s="52" t="str">
        <f aca="false">IF($H178="","",IFERROR(IF(IF(ISNUMBER($H178),$H178,IFERROR(TIMEVALUE($H178),VALUE($H178)))&gt;=100,INT(IF(ISNUMBER($H178),$H178,IFERROR(TIMEVALUE($H178),VALUE($H178)))/100)*60+MOD(IF(ISNUMBER($H178),$H178,IFERROR(TIMEVALUE($H178),VALUE($H178))),100),IF(IF(ISNUMBER($H178),$H178,IFERROR(TIMEVALUE($H178),VALUE($H178)))&gt;=1,ROUND(IF(ISNUMBER($H178),$H178,IFERROR(TIMEVALUE($H178),VALUE($H178)))*60,0),ROUND(MOD(IF(ISNUMBER($H178),$H178,IFERROR(TIMEVALUE($H178),VALUE($H178))),1)*1440,0))),""))</f>
        <v/>
      </c>
      <c r="W178" s="52" t="str">
        <f aca="false">IF($I178="","",IFERROR(IF(IF(ISNUMBER($I178),$I178,IFERROR(TIMEVALUE($I178),VALUE($I178)))&gt;=100,INT(IF(ISNUMBER($I178),$I178,IFERROR(TIMEVALUE($I178),VALUE($I178)))/100)*60+MOD(IF(ISNUMBER($I178),$I178,IFERROR(TIMEVALUE($I178),VALUE($I178))),100),IF(IF(ISNUMBER($I178),$I178,IFERROR(TIMEVALUE($I178),VALUE($I178)))&gt;=1,ROUND(IF(ISNUMBER($I178),$I178,IFERROR(TIMEVALUE($I178),VALUE($I178)))*60,0),ROUND(MOD(IF(ISNUMBER($I178),$I178,IFERROR(TIMEVALUE($I178),VALUE($I178))),1)*1440,0))),""))</f>
        <v/>
      </c>
      <c r="X178" s="55" t="str">
        <f aca="false">IF($P178="","",IFERROR(IF(ISNUMBER($P178),IF($P178&gt;19000000,DATE(INT($P178/10000),MOD(INT($P178/100),100),MOD($P178,100)),INT($P178)),IF(LEN(SUBSTITUTE(SUBSTITUTE(SUBSTITUTE(TRIM($P178),"-",""),".",""),"/",""))=8,DATE(VALUE(LEFT(SUBSTITUTE(SUBSTITUTE(SUBSTITUTE(TRIM($P178),"-",""),".",""),"/",""),4)),VALUE(MID(SUBSTITUTE(SUBSTITUTE(SUBSTITUTE(TRIM($P178),"-",""),".",""),"/",""),5,2)),VALUE(RIGHT(SUBSTITUTE(SUBSTITUTE(SUBSTITUTE(TRIM($P178),"-",""),".",""),"/",""),2))),DATEVALUE($P178))),""))</f>
        <v/>
      </c>
      <c r="Y178" s="56" t="str">
        <f aca="false">IF($M178="","",IFERROR(INDEX(강사DB!$D$4:$D$53,MATCH($M178,강사DB!$A$4:$A$53,0)),""))</f>
        <v/>
      </c>
      <c r="Z178" s="56" t="str">
        <f aca="false">IF($B178&lt;&gt;"결제완료","",IF(OR($Y178="",$J178=""),"",$Y178*$J178+MAX(0,N($K178)-1)*설정!$J$7))</f>
        <v/>
      </c>
      <c r="AA178" s="56" t="str">
        <f aca="false">IF(AND($D178&lt;&gt;"",$B178="결제완료"),N($N178),"")</f>
        <v/>
      </c>
      <c r="AB178" s="45" t="str">
        <f aca="false">IF($D178="","",IF($F178&lt;&gt;"",$F178,$D178)&amp;IF($B178="상담중"," (상담)",""))</f>
        <v/>
      </c>
      <c r="AC178" s="45" t="n">
        <f aca="false">IF(AND($D178&lt;&gt;"",OR($B178="결제완료",$B178="상담중")),1,0)</f>
        <v>0</v>
      </c>
      <c r="AD178" s="45" t="n">
        <f aca="false">IF(OR($Z178="",$U178=""),0,IFERROR(IF(COUNTIFS(INDEX(g_grid,0,2*MATCH($M178,강사DB!$A$4:$A$15,0)),"&lt;&gt;",g_s,"&lt;="&amp;$U178,g_e,"&gt;="&amp;$U178)&gt;0,1,0),0))</f>
        <v>0</v>
      </c>
      <c r="AE178" s="48"/>
      <c r="AF178" s="56" t="str">
        <f aca="false">IF(AND($D178&lt;&gt;"",$B178="결제완료",$T178="대여"),설정!$J$5,"")</f>
        <v/>
      </c>
      <c r="AG178" s="54" t="str">
        <f aca="false">IF($D178="","",IF(AND($E178="",$R178=""),$AB178,"☎ "&amp;IF($E178="","-",$E178)&amp;IF($R178&lt;&gt;"","  ※ "&amp;$R178,"")&amp;IF($B178="상담중"," (상담)","")))</f>
        <v/>
      </c>
      <c r="AH178" s="56" t="str">
        <f aca="false">IF(AND($D178&lt;&gt;"",$B178="결제완료",$O178="스마트스토어"),ROUND(N($N178)*설정!$J$6,0),"")</f>
        <v/>
      </c>
      <c r="AI178" s="54" t="str">
        <f aca="false">IF($D178="","",ROW())</f>
        <v/>
      </c>
      <c r="AJ178" s="54" t="n">
        <f aca="false">IF(OR($AC178&lt;&gt;1,$M178=""),0,IF(ISNUMBER(SEARCH("퇴사",IFERROR(INDEX(강사DB!$G$4:$G$53,MATCH($M178,강사DB!$A$4:$A$53,0)),""))),1,0))</f>
        <v>0</v>
      </c>
    </row>
    <row r="179" customFormat="false" ht="15" hidden="false" customHeight="false" outlineLevel="0" collapsed="false">
      <c r="A179" s="45" t="str">
        <f aca="false">IF($D179="","",COUNTA($D$5:$D179))</f>
        <v/>
      </c>
      <c r="B179" s="46"/>
      <c r="C179" s="47"/>
      <c r="D179" s="48"/>
      <c r="E179" s="48"/>
      <c r="F179" s="49"/>
      <c r="G179" s="47"/>
      <c r="H179" s="50"/>
      <c r="I179" s="50"/>
      <c r="J179" s="51" t="str">
        <f aca="false">IF(OR($V179="",$W179=""),"",ROUND(($W179-$V179)/60,2))</f>
        <v/>
      </c>
      <c r="K179" s="52" t="str">
        <f aca="false">IF($F179="","",LEN($F179)-LEN(SUBSTITUTE($F179,",",""))+1)</f>
        <v/>
      </c>
      <c r="L179" s="45" t="str">
        <f aca="false">IF($K179="","","1:"&amp;$K179)</f>
        <v/>
      </c>
      <c r="M179" s="46"/>
      <c r="N179" s="53"/>
      <c r="O179" s="46"/>
      <c r="P179" s="47"/>
      <c r="Q179" s="48"/>
      <c r="R179" s="49"/>
      <c r="S179" s="54" t="str">
        <f aca="false">IF(OR($AC179=0,$U179="",$M179="",$V179="",$W179=""),"",IF(COUNTIFS(m_teacher,$M179,m_date,$U179,m_active,1,m_start,"&lt;"&amp;$W179,m_end,"&gt;"&amp;$V179)&gt;1,"충돌",""))</f>
        <v/>
      </c>
      <c r="T179" s="48"/>
      <c r="U179" s="55" t="str">
        <f aca="false">IF($G179="","",IFERROR(IF(ISNUMBER($G179),IF($G179&gt;19000000,DATE(INT($G179/10000),MOD(INT($G179/100),100),MOD($G179,100)),INT($G179)),IF(LEN(SUBSTITUTE(SUBSTITUTE(SUBSTITUTE(TRIM($G179),"-",""),".",""),"/",""))=8,DATE(VALUE(LEFT(SUBSTITUTE(SUBSTITUTE(SUBSTITUTE(TRIM($G179),"-",""),".",""),"/",""),4)),VALUE(MID(SUBSTITUTE(SUBSTITUTE(SUBSTITUTE(TRIM($G179),"-",""),".",""),"/",""),5,2)),VALUE(RIGHT(SUBSTITUTE(SUBSTITUTE(SUBSTITUTE(TRIM($G179),"-",""),".",""),"/",""),2))),DATEVALUE($G179))),""))</f>
        <v/>
      </c>
      <c r="V179" s="52" t="str">
        <f aca="false">IF($H179="","",IFERROR(IF(IF(ISNUMBER($H179),$H179,IFERROR(TIMEVALUE($H179),VALUE($H179)))&gt;=100,INT(IF(ISNUMBER($H179),$H179,IFERROR(TIMEVALUE($H179),VALUE($H179)))/100)*60+MOD(IF(ISNUMBER($H179),$H179,IFERROR(TIMEVALUE($H179),VALUE($H179))),100),IF(IF(ISNUMBER($H179),$H179,IFERROR(TIMEVALUE($H179),VALUE($H179)))&gt;=1,ROUND(IF(ISNUMBER($H179),$H179,IFERROR(TIMEVALUE($H179),VALUE($H179)))*60,0),ROUND(MOD(IF(ISNUMBER($H179),$H179,IFERROR(TIMEVALUE($H179),VALUE($H179))),1)*1440,0))),""))</f>
        <v/>
      </c>
      <c r="W179" s="52" t="str">
        <f aca="false">IF($I179="","",IFERROR(IF(IF(ISNUMBER($I179),$I179,IFERROR(TIMEVALUE($I179),VALUE($I179)))&gt;=100,INT(IF(ISNUMBER($I179),$I179,IFERROR(TIMEVALUE($I179),VALUE($I179)))/100)*60+MOD(IF(ISNUMBER($I179),$I179,IFERROR(TIMEVALUE($I179),VALUE($I179))),100),IF(IF(ISNUMBER($I179),$I179,IFERROR(TIMEVALUE($I179),VALUE($I179)))&gt;=1,ROUND(IF(ISNUMBER($I179),$I179,IFERROR(TIMEVALUE($I179),VALUE($I179)))*60,0),ROUND(MOD(IF(ISNUMBER($I179),$I179,IFERROR(TIMEVALUE($I179),VALUE($I179))),1)*1440,0))),""))</f>
        <v/>
      </c>
      <c r="X179" s="55" t="str">
        <f aca="false">IF($P179="","",IFERROR(IF(ISNUMBER($P179),IF($P179&gt;19000000,DATE(INT($P179/10000),MOD(INT($P179/100),100),MOD($P179,100)),INT($P179)),IF(LEN(SUBSTITUTE(SUBSTITUTE(SUBSTITUTE(TRIM($P179),"-",""),".",""),"/",""))=8,DATE(VALUE(LEFT(SUBSTITUTE(SUBSTITUTE(SUBSTITUTE(TRIM($P179),"-",""),".",""),"/",""),4)),VALUE(MID(SUBSTITUTE(SUBSTITUTE(SUBSTITUTE(TRIM($P179),"-",""),".",""),"/",""),5,2)),VALUE(RIGHT(SUBSTITUTE(SUBSTITUTE(SUBSTITUTE(TRIM($P179),"-",""),".",""),"/",""),2))),DATEVALUE($P179))),""))</f>
        <v/>
      </c>
      <c r="Y179" s="56" t="str">
        <f aca="false">IF($M179="","",IFERROR(INDEX(강사DB!$D$4:$D$53,MATCH($M179,강사DB!$A$4:$A$53,0)),""))</f>
        <v/>
      </c>
      <c r="Z179" s="56" t="str">
        <f aca="false">IF($B179&lt;&gt;"결제완료","",IF(OR($Y179="",$J179=""),"",$Y179*$J179+MAX(0,N($K179)-1)*설정!$J$7))</f>
        <v/>
      </c>
      <c r="AA179" s="56" t="str">
        <f aca="false">IF(AND($D179&lt;&gt;"",$B179="결제완료"),N($N179),"")</f>
        <v/>
      </c>
      <c r="AB179" s="45" t="str">
        <f aca="false">IF($D179="","",IF($F179&lt;&gt;"",$F179,$D179)&amp;IF($B179="상담중"," (상담)",""))</f>
        <v/>
      </c>
      <c r="AC179" s="45" t="n">
        <f aca="false">IF(AND($D179&lt;&gt;"",OR($B179="결제완료",$B179="상담중")),1,0)</f>
        <v>0</v>
      </c>
      <c r="AD179" s="45" t="n">
        <f aca="false">IF(OR($Z179="",$U179=""),0,IFERROR(IF(COUNTIFS(INDEX(g_grid,0,2*MATCH($M179,강사DB!$A$4:$A$15,0)),"&lt;&gt;",g_s,"&lt;="&amp;$U179,g_e,"&gt;="&amp;$U179)&gt;0,1,0),0))</f>
        <v>0</v>
      </c>
      <c r="AE179" s="48"/>
      <c r="AF179" s="56" t="str">
        <f aca="false">IF(AND($D179&lt;&gt;"",$B179="결제완료",$T179="대여"),설정!$J$5,"")</f>
        <v/>
      </c>
      <c r="AG179" s="54" t="str">
        <f aca="false">IF($D179="","",IF(AND($E179="",$R179=""),$AB179,"☎ "&amp;IF($E179="","-",$E179)&amp;IF($R179&lt;&gt;"","  ※ "&amp;$R179,"")&amp;IF($B179="상담중"," (상담)","")))</f>
        <v/>
      </c>
      <c r="AH179" s="56" t="str">
        <f aca="false">IF(AND($D179&lt;&gt;"",$B179="결제완료",$O179="스마트스토어"),ROUND(N($N179)*설정!$J$6,0),"")</f>
        <v/>
      </c>
      <c r="AI179" s="54" t="str">
        <f aca="false">IF($D179="","",ROW())</f>
        <v/>
      </c>
      <c r="AJ179" s="54" t="n">
        <f aca="false">IF(OR($AC179&lt;&gt;1,$M179=""),0,IF(ISNUMBER(SEARCH("퇴사",IFERROR(INDEX(강사DB!$G$4:$G$53,MATCH($M179,강사DB!$A$4:$A$53,0)),""))),1,0))</f>
        <v>0</v>
      </c>
    </row>
    <row r="180" customFormat="false" ht="15" hidden="false" customHeight="false" outlineLevel="0" collapsed="false">
      <c r="A180" s="45" t="str">
        <f aca="false">IF($D180="","",COUNTA($D$5:$D180))</f>
        <v/>
      </c>
      <c r="B180" s="46"/>
      <c r="C180" s="47"/>
      <c r="D180" s="48"/>
      <c r="E180" s="48"/>
      <c r="F180" s="49"/>
      <c r="G180" s="47"/>
      <c r="H180" s="50"/>
      <c r="I180" s="50"/>
      <c r="J180" s="51" t="str">
        <f aca="false">IF(OR($V180="",$W180=""),"",ROUND(($W180-$V180)/60,2))</f>
        <v/>
      </c>
      <c r="K180" s="52" t="str">
        <f aca="false">IF($F180="","",LEN($F180)-LEN(SUBSTITUTE($F180,",",""))+1)</f>
        <v/>
      </c>
      <c r="L180" s="45" t="str">
        <f aca="false">IF($K180="","","1:"&amp;$K180)</f>
        <v/>
      </c>
      <c r="M180" s="46"/>
      <c r="N180" s="53"/>
      <c r="O180" s="46"/>
      <c r="P180" s="47"/>
      <c r="Q180" s="48"/>
      <c r="R180" s="49"/>
      <c r="S180" s="54" t="str">
        <f aca="false">IF(OR($AC180=0,$U180="",$M180="",$V180="",$W180=""),"",IF(COUNTIFS(m_teacher,$M180,m_date,$U180,m_active,1,m_start,"&lt;"&amp;$W180,m_end,"&gt;"&amp;$V180)&gt;1,"충돌",""))</f>
        <v/>
      </c>
      <c r="T180" s="48"/>
      <c r="U180" s="55" t="str">
        <f aca="false">IF($G180="","",IFERROR(IF(ISNUMBER($G180),IF($G180&gt;19000000,DATE(INT($G180/10000),MOD(INT($G180/100),100),MOD($G180,100)),INT($G180)),IF(LEN(SUBSTITUTE(SUBSTITUTE(SUBSTITUTE(TRIM($G180),"-",""),".",""),"/",""))=8,DATE(VALUE(LEFT(SUBSTITUTE(SUBSTITUTE(SUBSTITUTE(TRIM($G180),"-",""),".",""),"/",""),4)),VALUE(MID(SUBSTITUTE(SUBSTITUTE(SUBSTITUTE(TRIM($G180),"-",""),".",""),"/",""),5,2)),VALUE(RIGHT(SUBSTITUTE(SUBSTITUTE(SUBSTITUTE(TRIM($G180),"-",""),".",""),"/",""),2))),DATEVALUE($G180))),""))</f>
        <v/>
      </c>
      <c r="V180" s="52" t="str">
        <f aca="false">IF($H180="","",IFERROR(IF(IF(ISNUMBER($H180),$H180,IFERROR(TIMEVALUE($H180),VALUE($H180)))&gt;=100,INT(IF(ISNUMBER($H180),$H180,IFERROR(TIMEVALUE($H180),VALUE($H180)))/100)*60+MOD(IF(ISNUMBER($H180),$H180,IFERROR(TIMEVALUE($H180),VALUE($H180))),100),IF(IF(ISNUMBER($H180),$H180,IFERROR(TIMEVALUE($H180),VALUE($H180)))&gt;=1,ROUND(IF(ISNUMBER($H180),$H180,IFERROR(TIMEVALUE($H180),VALUE($H180)))*60,0),ROUND(MOD(IF(ISNUMBER($H180),$H180,IFERROR(TIMEVALUE($H180),VALUE($H180))),1)*1440,0))),""))</f>
        <v/>
      </c>
      <c r="W180" s="52" t="str">
        <f aca="false">IF($I180="","",IFERROR(IF(IF(ISNUMBER($I180),$I180,IFERROR(TIMEVALUE($I180),VALUE($I180)))&gt;=100,INT(IF(ISNUMBER($I180),$I180,IFERROR(TIMEVALUE($I180),VALUE($I180)))/100)*60+MOD(IF(ISNUMBER($I180),$I180,IFERROR(TIMEVALUE($I180),VALUE($I180))),100),IF(IF(ISNUMBER($I180),$I180,IFERROR(TIMEVALUE($I180),VALUE($I180)))&gt;=1,ROUND(IF(ISNUMBER($I180),$I180,IFERROR(TIMEVALUE($I180),VALUE($I180)))*60,0),ROUND(MOD(IF(ISNUMBER($I180),$I180,IFERROR(TIMEVALUE($I180),VALUE($I180))),1)*1440,0))),""))</f>
        <v/>
      </c>
      <c r="X180" s="55" t="str">
        <f aca="false">IF($P180="","",IFERROR(IF(ISNUMBER($P180),IF($P180&gt;19000000,DATE(INT($P180/10000),MOD(INT($P180/100),100),MOD($P180,100)),INT($P180)),IF(LEN(SUBSTITUTE(SUBSTITUTE(SUBSTITUTE(TRIM($P180),"-",""),".",""),"/",""))=8,DATE(VALUE(LEFT(SUBSTITUTE(SUBSTITUTE(SUBSTITUTE(TRIM($P180),"-",""),".",""),"/",""),4)),VALUE(MID(SUBSTITUTE(SUBSTITUTE(SUBSTITUTE(TRIM($P180),"-",""),".",""),"/",""),5,2)),VALUE(RIGHT(SUBSTITUTE(SUBSTITUTE(SUBSTITUTE(TRIM($P180),"-",""),".",""),"/",""),2))),DATEVALUE($P180))),""))</f>
        <v/>
      </c>
      <c r="Y180" s="56" t="str">
        <f aca="false">IF($M180="","",IFERROR(INDEX(강사DB!$D$4:$D$53,MATCH($M180,강사DB!$A$4:$A$53,0)),""))</f>
        <v/>
      </c>
      <c r="Z180" s="56" t="str">
        <f aca="false">IF($B180&lt;&gt;"결제완료","",IF(OR($Y180="",$J180=""),"",$Y180*$J180+MAX(0,N($K180)-1)*설정!$J$7))</f>
        <v/>
      </c>
      <c r="AA180" s="56" t="str">
        <f aca="false">IF(AND($D180&lt;&gt;"",$B180="결제완료"),N($N180),"")</f>
        <v/>
      </c>
      <c r="AB180" s="45" t="str">
        <f aca="false">IF($D180="","",IF($F180&lt;&gt;"",$F180,$D180)&amp;IF($B180="상담중"," (상담)",""))</f>
        <v/>
      </c>
      <c r="AC180" s="45" t="n">
        <f aca="false">IF(AND($D180&lt;&gt;"",OR($B180="결제완료",$B180="상담중")),1,0)</f>
        <v>0</v>
      </c>
      <c r="AD180" s="45" t="n">
        <f aca="false">IF(OR($Z180="",$U180=""),0,IFERROR(IF(COUNTIFS(INDEX(g_grid,0,2*MATCH($M180,강사DB!$A$4:$A$15,0)),"&lt;&gt;",g_s,"&lt;="&amp;$U180,g_e,"&gt;="&amp;$U180)&gt;0,1,0),0))</f>
        <v>0</v>
      </c>
      <c r="AE180" s="48"/>
      <c r="AF180" s="56" t="str">
        <f aca="false">IF(AND($D180&lt;&gt;"",$B180="결제완료",$T180="대여"),설정!$J$5,"")</f>
        <v/>
      </c>
      <c r="AG180" s="54" t="str">
        <f aca="false">IF($D180="","",IF(AND($E180="",$R180=""),$AB180,"☎ "&amp;IF($E180="","-",$E180)&amp;IF($R180&lt;&gt;"","  ※ "&amp;$R180,"")&amp;IF($B180="상담중"," (상담)","")))</f>
        <v/>
      </c>
      <c r="AH180" s="56" t="str">
        <f aca="false">IF(AND($D180&lt;&gt;"",$B180="결제완료",$O180="스마트스토어"),ROUND(N($N180)*설정!$J$6,0),"")</f>
        <v/>
      </c>
      <c r="AI180" s="54" t="str">
        <f aca="false">IF($D180="","",ROW())</f>
        <v/>
      </c>
      <c r="AJ180" s="54" t="n">
        <f aca="false">IF(OR($AC180&lt;&gt;1,$M180=""),0,IF(ISNUMBER(SEARCH("퇴사",IFERROR(INDEX(강사DB!$G$4:$G$53,MATCH($M180,강사DB!$A$4:$A$53,0)),""))),1,0))</f>
        <v>0</v>
      </c>
    </row>
    <row r="181" customFormat="false" ht="15" hidden="false" customHeight="false" outlineLevel="0" collapsed="false">
      <c r="A181" s="45" t="str">
        <f aca="false">IF($D181="","",COUNTA($D$5:$D181))</f>
        <v/>
      </c>
      <c r="B181" s="46"/>
      <c r="C181" s="47"/>
      <c r="D181" s="48"/>
      <c r="E181" s="48"/>
      <c r="F181" s="49"/>
      <c r="G181" s="47"/>
      <c r="H181" s="50"/>
      <c r="I181" s="50"/>
      <c r="J181" s="51" t="str">
        <f aca="false">IF(OR($V181="",$W181=""),"",ROUND(($W181-$V181)/60,2))</f>
        <v/>
      </c>
      <c r="K181" s="52" t="str">
        <f aca="false">IF($F181="","",LEN($F181)-LEN(SUBSTITUTE($F181,",",""))+1)</f>
        <v/>
      </c>
      <c r="L181" s="45" t="str">
        <f aca="false">IF($K181="","","1:"&amp;$K181)</f>
        <v/>
      </c>
      <c r="M181" s="46"/>
      <c r="N181" s="53"/>
      <c r="O181" s="46"/>
      <c r="P181" s="47"/>
      <c r="Q181" s="48"/>
      <c r="R181" s="49"/>
      <c r="S181" s="54" t="str">
        <f aca="false">IF(OR($AC181=0,$U181="",$M181="",$V181="",$W181=""),"",IF(COUNTIFS(m_teacher,$M181,m_date,$U181,m_active,1,m_start,"&lt;"&amp;$W181,m_end,"&gt;"&amp;$V181)&gt;1,"충돌",""))</f>
        <v/>
      </c>
      <c r="T181" s="48"/>
      <c r="U181" s="55" t="str">
        <f aca="false">IF($G181="","",IFERROR(IF(ISNUMBER($G181),IF($G181&gt;19000000,DATE(INT($G181/10000),MOD(INT($G181/100),100),MOD($G181,100)),INT($G181)),IF(LEN(SUBSTITUTE(SUBSTITUTE(SUBSTITUTE(TRIM($G181),"-",""),".",""),"/",""))=8,DATE(VALUE(LEFT(SUBSTITUTE(SUBSTITUTE(SUBSTITUTE(TRIM($G181),"-",""),".",""),"/",""),4)),VALUE(MID(SUBSTITUTE(SUBSTITUTE(SUBSTITUTE(TRIM($G181),"-",""),".",""),"/",""),5,2)),VALUE(RIGHT(SUBSTITUTE(SUBSTITUTE(SUBSTITUTE(TRIM($G181),"-",""),".",""),"/",""),2))),DATEVALUE($G181))),""))</f>
        <v/>
      </c>
      <c r="V181" s="52" t="str">
        <f aca="false">IF($H181="","",IFERROR(IF(IF(ISNUMBER($H181),$H181,IFERROR(TIMEVALUE($H181),VALUE($H181)))&gt;=100,INT(IF(ISNUMBER($H181),$H181,IFERROR(TIMEVALUE($H181),VALUE($H181)))/100)*60+MOD(IF(ISNUMBER($H181),$H181,IFERROR(TIMEVALUE($H181),VALUE($H181))),100),IF(IF(ISNUMBER($H181),$H181,IFERROR(TIMEVALUE($H181),VALUE($H181)))&gt;=1,ROUND(IF(ISNUMBER($H181),$H181,IFERROR(TIMEVALUE($H181),VALUE($H181)))*60,0),ROUND(MOD(IF(ISNUMBER($H181),$H181,IFERROR(TIMEVALUE($H181),VALUE($H181))),1)*1440,0))),""))</f>
        <v/>
      </c>
      <c r="W181" s="52" t="str">
        <f aca="false">IF($I181="","",IFERROR(IF(IF(ISNUMBER($I181),$I181,IFERROR(TIMEVALUE($I181),VALUE($I181)))&gt;=100,INT(IF(ISNUMBER($I181),$I181,IFERROR(TIMEVALUE($I181),VALUE($I181)))/100)*60+MOD(IF(ISNUMBER($I181),$I181,IFERROR(TIMEVALUE($I181),VALUE($I181))),100),IF(IF(ISNUMBER($I181),$I181,IFERROR(TIMEVALUE($I181),VALUE($I181)))&gt;=1,ROUND(IF(ISNUMBER($I181),$I181,IFERROR(TIMEVALUE($I181),VALUE($I181)))*60,0),ROUND(MOD(IF(ISNUMBER($I181),$I181,IFERROR(TIMEVALUE($I181),VALUE($I181))),1)*1440,0))),""))</f>
        <v/>
      </c>
      <c r="X181" s="55" t="str">
        <f aca="false">IF($P181="","",IFERROR(IF(ISNUMBER($P181),IF($P181&gt;19000000,DATE(INT($P181/10000),MOD(INT($P181/100),100),MOD($P181,100)),INT($P181)),IF(LEN(SUBSTITUTE(SUBSTITUTE(SUBSTITUTE(TRIM($P181),"-",""),".",""),"/",""))=8,DATE(VALUE(LEFT(SUBSTITUTE(SUBSTITUTE(SUBSTITUTE(TRIM($P181),"-",""),".",""),"/",""),4)),VALUE(MID(SUBSTITUTE(SUBSTITUTE(SUBSTITUTE(TRIM($P181),"-",""),".",""),"/",""),5,2)),VALUE(RIGHT(SUBSTITUTE(SUBSTITUTE(SUBSTITUTE(TRIM($P181),"-",""),".",""),"/",""),2))),DATEVALUE($P181))),""))</f>
        <v/>
      </c>
      <c r="Y181" s="56" t="str">
        <f aca="false">IF($M181="","",IFERROR(INDEX(강사DB!$D$4:$D$53,MATCH($M181,강사DB!$A$4:$A$53,0)),""))</f>
        <v/>
      </c>
      <c r="Z181" s="56" t="str">
        <f aca="false">IF($B181&lt;&gt;"결제완료","",IF(OR($Y181="",$J181=""),"",$Y181*$J181+MAX(0,N($K181)-1)*설정!$J$7))</f>
        <v/>
      </c>
      <c r="AA181" s="56" t="str">
        <f aca="false">IF(AND($D181&lt;&gt;"",$B181="결제완료"),N($N181),"")</f>
        <v/>
      </c>
      <c r="AB181" s="45" t="str">
        <f aca="false">IF($D181="","",IF($F181&lt;&gt;"",$F181,$D181)&amp;IF($B181="상담중"," (상담)",""))</f>
        <v/>
      </c>
      <c r="AC181" s="45" t="n">
        <f aca="false">IF(AND($D181&lt;&gt;"",OR($B181="결제완료",$B181="상담중")),1,0)</f>
        <v>0</v>
      </c>
      <c r="AD181" s="45" t="n">
        <f aca="false">IF(OR($Z181="",$U181=""),0,IFERROR(IF(COUNTIFS(INDEX(g_grid,0,2*MATCH($M181,강사DB!$A$4:$A$15,0)),"&lt;&gt;",g_s,"&lt;="&amp;$U181,g_e,"&gt;="&amp;$U181)&gt;0,1,0),0))</f>
        <v>0</v>
      </c>
      <c r="AE181" s="48"/>
      <c r="AF181" s="56" t="str">
        <f aca="false">IF(AND($D181&lt;&gt;"",$B181="결제완료",$T181="대여"),설정!$J$5,"")</f>
        <v/>
      </c>
      <c r="AG181" s="54" t="str">
        <f aca="false">IF($D181="","",IF(AND($E181="",$R181=""),$AB181,"☎ "&amp;IF($E181="","-",$E181)&amp;IF($R181&lt;&gt;"","  ※ "&amp;$R181,"")&amp;IF($B181="상담중"," (상담)","")))</f>
        <v/>
      </c>
      <c r="AH181" s="56" t="str">
        <f aca="false">IF(AND($D181&lt;&gt;"",$B181="결제완료",$O181="스마트스토어"),ROUND(N($N181)*설정!$J$6,0),"")</f>
        <v/>
      </c>
      <c r="AI181" s="54" t="str">
        <f aca="false">IF($D181="","",ROW())</f>
        <v/>
      </c>
      <c r="AJ181" s="54" t="n">
        <f aca="false">IF(OR($AC181&lt;&gt;1,$M181=""),0,IF(ISNUMBER(SEARCH("퇴사",IFERROR(INDEX(강사DB!$G$4:$G$53,MATCH($M181,강사DB!$A$4:$A$53,0)),""))),1,0))</f>
        <v>0</v>
      </c>
    </row>
    <row r="182" customFormat="false" ht="15" hidden="false" customHeight="false" outlineLevel="0" collapsed="false">
      <c r="A182" s="45" t="str">
        <f aca="false">IF($D182="","",COUNTA($D$5:$D182))</f>
        <v/>
      </c>
      <c r="B182" s="46"/>
      <c r="C182" s="47"/>
      <c r="D182" s="48"/>
      <c r="E182" s="48"/>
      <c r="F182" s="49"/>
      <c r="G182" s="47"/>
      <c r="H182" s="50"/>
      <c r="I182" s="50"/>
      <c r="J182" s="51" t="str">
        <f aca="false">IF(OR($V182="",$W182=""),"",ROUND(($W182-$V182)/60,2))</f>
        <v/>
      </c>
      <c r="K182" s="52" t="str">
        <f aca="false">IF($F182="","",LEN($F182)-LEN(SUBSTITUTE($F182,",",""))+1)</f>
        <v/>
      </c>
      <c r="L182" s="45" t="str">
        <f aca="false">IF($K182="","","1:"&amp;$K182)</f>
        <v/>
      </c>
      <c r="M182" s="46"/>
      <c r="N182" s="53"/>
      <c r="O182" s="46"/>
      <c r="P182" s="47"/>
      <c r="Q182" s="48"/>
      <c r="R182" s="49"/>
      <c r="S182" s="54" t="str">
        <f aca="false">IF(OR($AC182=0,$U182="",$M182="",$V182="",$W182=""),"",IF(COUNTIFS(m_teacher,$M182,m_date,$U182,m_active,1,m_start,"&lt;"&amp;$W182,m_end,"&gt;"&amp;$V182)&gt;1,"충돌",""))</f>
        <v/>
      </c>
      <c r="T182" s="48"/>
      <c r="U182" s="55" t="str">
        <f aca="false">IF($G182="","",IFERROR(IF(ISNUMBER($G182),IF($G182&gt;19000000,DATE(INT($G182/10000),MOD(INT($G182/100),100),MOD($G182,100)),INT($G182)),IF(LEN(SUBSTITUTE(SUBSTITUTE(SUBSTITUTE(TRIM($G182),"-",""),".",""),"/",""))=8,DATE(VALUE(LEFT(SUBSTITUTE(SUBSTITUTE(SUBSTITUTE(TRIM($G182),"-",""),".",""),"/",""),4)),VALUE(MID(SUBSTITUTE(SUBSTITUTE(SUBSTITUTE(TRIM($G182),"-",""),".",""),"/",""),5,2)),VALUE(RIGHT(SUBSTITUTE(SUBSTITUTE(SUBSTITUTE(TRIM($G182),"-",""),".",""),"/",""),2))),DATEVALUE($G182))),""))</f>
        <v/>
      </c>
      <c r="V182" s="52" t="str">
        <f aca="false">IF($H182="","",IFERROR(IF(IF(ISNUMBER($H182),$H182,IFERROR(TIMEVALUE($H182),VALUE($H182)))&gt;=100,INT(IF(ISNUMBER($H182),$H182,IFERROR(TIMEVALUE($H182),VALUE($H182)))/100)*60+MOD(IF(ISNUMBER($H182),$H182,IFERROR(TIMEVALUE($H182),VALUE($H182))),100),IF(IF(ISNUMBER($H182),$H182,IFERROR(TIMEVALUE($H182),VALUE($H182)))&gt;=1,ROUND(IF(ISNUMBER($H182),$H182,IFERROR(TIMEVALUE($H182),VALUE($H182)))*60,0),ROUND(MOD(IF(ISNUMBER($H182),$H182,IFERROR(TIMEVALUE($H182),VALUE($H182))),1)*1440,0))),""))</f>
        <v/>
      </c>
      <c r="W182" s="52" t="str">
        <f aca="false">IF($I182="","",IFERROR(IF(IF(ISNUMBER($I182),$I182,IFERROR(TIMEVALUE($I182),VALUE($I182)))&gt;=100,INT(IF(ISNUMBER($I182),$I182,IFERROR(TIMEVALUE($I182),VALUE($I182)))/100)*60+MOD(IF(ISNUMBER($I182),$I182,IFERROR(TIMEVALUE($I182),VALUE($I182))),100),IF(IF(ISNUMBER($I182),$I182,IFERROR(TIMEVALUE($I182),VALUE($I182)))&gt;=1,ROUND(IF(ISNUMBER($I182),$I182,IFERROR(TIMEVALUE($I182),VALUE($I182)))*60,0),ROUND(MOD(IF(ISNUMBER($I182),$I182,IFERROR(TIMEVALUE($I182),VALUE($I182))),1)*1440,0))),""))</f>
        <v/>
      </c>
      <c r="X182" s="55" t="str">
        <f aca="false">IF($P182="","",IFERROR(IF(ISNUMBER($P182),IF($P182&gt;19000000,DATE(INT($P182/10000),MOD(INT($P182/100),100),MOD($P182,100)),INT($P182)),IF(LEN(SUBSTITUTE(SUBSTITUTE(SUBSTITUTE(TRIM($P182),"-",""),".",""),"/",""))=8,DATE(VALUE(LEFT(SUBSTITUTE(SUBSTITUTE(SUBSTITUTE(TRIM($P182),"-",""),".",""),"/",""),4)),VALUE(MID(SUBSTITUTE(SUBSTITUTE(SUBSTITUTE(TRIM($P182),"-",""),".",""),"/",""),5,2)),VALUE(RIGHT(SUBSTITUTE(SUBSTITUTE(SUBSTITUTE(TRIM($P182),"-",""),".",""),"/",""),2))),DATEVALUE($P182))),""))</f>
        <v/>
      </c>
      <c r="Y182" s="56" t="str">
        <f aca="false">IF($M182="","",IFERROR(INDEX(강사DB!$D$4:$D$53,MATCH($M182,강사DB!$A$4:$A$53,0)),""))</f>
        <v/>
      </c>
      <c r="Z182" s="56" t="str">
        <f aca="false">IF($B182&lt;&gt;"결제완료","",IF(OR($Y182="",$J182=""),"",$Y182*$J182+MAX(0,N($K182)-1)*설정!$J$7))</f>
        <v/>
      </c>
      <c r="AA182" s="56" t="str">
        <f aca="false">IF(AND($D182&lt;&gt;"",$B182="결제완료"),N($N182),"")</f>
        <v/>
      </c>
      <c r="AB182" s="45" t="str">
        <f aca="false">IF($D182="","",IF($F182&lt;&gt;"",$F182,$D182)&amp;IF($B182="상담중"," (상담)",""))</f>
        <v/>
      </c>
      <c r="AC182" s="45" t="n">
        <f aca="false">IF(AND($D182&lt;&gt;"",OR($B182="결제완료",$B182="상담중")),1,0)</f>
        <v>0</v>
      </c>
      <c r="AD182" s="45" t="n">
        <f aca="false">IF(OR($Z182="",$U182=""),0,IFERROR(IF(COUNTIFS(INDEX(g_grid,0,2*MATCH($M182,강사DB!$A$4:$A$15,0)),"&lt;&gt;",g_s,"&lt;="&amp;$U182,g_e,"&gt;="&amp;$U182)&gt;0,1,0),0))</f>
        <v>0</v>
      </c>
      <c r="AE182" s="48"/>
      <c r="AF182" s="56" t="str">
        <f aca="false">IF(AND($D182&lt;&gt;"",$B182="결제완료",$T182="대여"),설정!$J$5,"")</f>
        <v/>
      </c>
      <c r="AG182" s="54" t="str">
        <f aca="false">IF($D182="","",IF(AND($E182="",$R182=""),$AB182,"☎ "&amp;IF($E182="","-",$E182)&amp;IF($R182&lt;&gt;"","  ※ "&amp;$R182,"")&amp;IF($B182="상담중"," (상담)","")))</f>
        <v/>
      </c>
      <c r="AH182" s="56" t="str">
        <f aca="false">IF(AND($D182&lt;&gt;"",$B182="결제완료",$O182="스마트스토어"),ROUND(N($N182)*설정!$J$6,0),"")</f>
        <v/>
      </c>
      <c r="AI182" s="54" t="str">
        <f aca="false">IF($D182="","",ROW())</f>
        <v/>
      </c>
      <c r="AJ182" s="54" t="n">
        <f aca="false">IF(OR($AC182&lt;&gt;1,$M182=""),0,IF(ISNUMBER(SEARCH("퇴사",IFERROR(INDEX(강사DB!$G$4:$G$53,MATCH($M182,강사DB!$A$4:$A$53,0)),""))),1,0))</f>
        <v>0</v>
      </c>
    </row>
    <row r="183" customFormat="false" ht="15" hidden="false" customHeight="false" outlineLevel="0" collapsed="false">
      <c r="A183" s="45" t="str">
        <f aca="false">IF($D183="","",COUNTA($D$5:$D183))</f>
        <v/>
      </c>
      <c r="B183" s="46"/>
      <c r="C183" s="47"/>
      <c r="D183" s="48"/>
      <c r="E183" s="48"/>
      <c r="F183" s="49"/>
      <c r="G183" s="47"/>
      <c r="H183" s="50"/>
      <c r="I183" s="50"/>
      <c r="J183" s="51" t="str">
        <f aca="false">IF(OR($V183="",$W183=""),"",ROUND(($W183-$V183)/60,2))</f>
        <v/>
      </c>
      <c r="K183" s="52" t="str">
        <f aca="false">IF($F183="","",LEN($F183)-LEN(SUBSTITUTE($F183,",",""))+1)</f>
        <v/>
      </c>
      <c r="L183" s="45" t="str">
        <f aca="false">IF($K183="","","1:"&amp;$K183)</f>
        <v/>
      </c>
      <c r="M183" s="46"/>
      <c r="N183" s="53"/>
      <c r="O183" s="46"/>
      <c r="P183" s="47"/>
      <c r="Q183" s="48"/>
      <c r="R183" s="49"/>
      <c r="S183" s="54" t="str">
        <f aca="false">IF(OR($AC183=0,$U183="",$M183="",$V183="",$W183=""),"",IF(COUNTIFS(m_teacher,$M183,m_date,$U183,m_active,1,m_start,"&lt;"&amp;$W183,m_end,"&gt;"&amp;$V183)&gt;1,"충돌",""))</f>
        <v/>
      </c>
      <c r="T183" s="48"/>
      <c r="U183" s="55" t="str">
        <f aca="false">IF($G183="","",IFERROR(IF(ISNUMBER($G183),IF($G183&gt;19000000,DATE(INT($G183/10000),MOD(INT($G183/100),100),MOD($G183,100)),INT($G183)),IF(LEN(SUBSTITUTE(SUBSTITUTE(SUBSTITUTE(TRIM($G183),"-",""),".",""),"/",""))=8,DATE(VALUE(LEFT(SUBSTITUTE(SUBSTITUTE(SUBSTITUTE(TRIM($G183),"-",""),".",""),"/",""),4)),VALUE(MID(SUBSTITUTE(SUBSTITUTE(SUBSTITUTE(TRIM($G183),"-",""),".",""),"/",""),5,2)),VALUE(RIGHT(SUBSTITUTE(SUBSTITUTE(SUBSTITUTE(TRIM($G183),"-",""),".",""),"/",""),2))),DATEVALUE($G183))),""))</f>
        <v/>
      </c>
      <c r="V183" s="52" t="str">
        <f aca="false">IF($H183="","",IFERROR(IF(IF(ISNUMBER($H183),$H183,IFERROR(TIMEVALUE($H183),VALUE($H183)))&gt;=100,INT(IF(ISNUMBER($H183),$H183,IFERROR(TIMEVALUE($H183),VALUE($H183)))/100)*60+MOD(IF(ISNUMBER($H183),$H183,IFERROR(TIMEVALUE($H183),VALUE($H183))),100),IF(IF(ISNUMBER($H183),$H183,IFERROR(TIMEVALUE($H183),VALUE($H183)))&gt;=1,ROUND(IF(ISNUMBER($H183),$H183,IFERROR(TIMEVALUE($H183),VALUE($H183)))*60,0),ROUND(MOD(IF(ISNUMBER($H183),$H183,IFERROR(TIMEVALUE($H183),VALUE($H183))),1)*1440,0))),""))</f>
        <v/>
      </c>
      <c r="W183" s="52" t="str">
        <f aca="false">IF($I183="","",IFERROR(IF(IF(ISNUMBER($I183),$I183,IFERROR(TIMEVALUE($I183),VALUE($I183)))&gt;=100,INT(IF(ISNUMBER($I183),$I183,IFERROR(TIMEVALUE($I183),VALUE($I183)))/100)*60+MOD(IF(ISNUMBER($I183),$I183,IFERROR(TIMEVALUE($I183),VALUE($I183))),100),IF(IF(ISNUMBER($I183),$I183,IFERROR(TIMEVALUE($I183),VALUE($I183)))&gt;=1,ROUND(IF(ISNUMBER($I183),$I183,IFERROR(TIMEVALUE($I183),VALUE($I183)))*60,0),ROUND(MOD(IF(ISNUMBER($I183),$I183,IFERROR(TIMEVALUE($I183),VALUE($I183))),1)*1440,0))),""))</f>
        <v/>
      </c>
      <c r="X183" s="55" t="str">
        <f aca="false">IF($P183="","",IFERROR(IF(ISNUMBER($P183),IF($P183&gt;19000000,DATE(INT($P183/10000),MOD(INT($P183/100),100),MOD($P183,100)),INT($P183)),IF(LEN(SUBSTITUTE(SUBSTITUTE(SUBSTITUTE(TRIM($P183),"-",""),".",""),"/",""))=8,DATE(VALUE(LEFT(SUBSTITUTE(SUBSTITUTE(SUBSTITUTE(TRIM($P183),"-",""),".",""),"/",""),4)),VALUE(MID(SUBSTITUTE(SUBSTITUTE(SUBSTITUTE(TRIM($P183),"-",""),".",""),"/",""),5,2)),VALUE(RIGHT(SUBSTITUTE(SUBSTITUTE(SUBSTITUTE(TRIM($P183),"-",""),".",""),"/",""),2))),DATEVALUE($P183))),""))</f>
        <v/>
      </c>
      <c r="Y183" s="56" t="str">
        <f aca="false">IF($M183="","",IFERROR(INDEX(강사DB!$D$4:$D$53,MATCH($M183,강사DB!$A$4:$A$53,0)),""))</f>
        <v/>
      </c>
      <c r="Z183" s="56" t="str">
        <f aca="false">IF($B183&lt;&gt;"결제완료","",IF(OR($Y183="",$J183=""),"",$Y183*$J183+MAX(0,N($K183)-1)*설정!$J$7))</f>
        <v/>
      </c>
      <c r="AA183" s="56" t="str">
        <f aca="false">IF(AND($D183&lt;&gt;"",$B183="결제완료"),N($N183),"")</f>
        <v/>
      </c>
      <c r="AB183" s="45" t="str">
        <f aca="false">IF($D183="","",IF($F183&lt;&gt;"",$F183,$D183)&amp;IF($B183="상담중"," (상담)",""))</f>
        <v/>
      </c>
      <c r="AC183" s="45" t="n">
        <f aca="false">IF(AND($D183&lt;&gt;"",OR($B183="결제완료",$B183="상담중")),1,0)</f>
        <v>0</v>
      </c>
      <c r="AD183" s="45" t="n">
        <f aca="false">IF(OR($Z183="",$U183=""),0,IFERROR(IF(COUNTIFS(INDEX(g_grid,0,2*MATCH($M183,강사DB!$A$4:$A$15,0)),"&lt;&gt;",g_s,"&lt;="&amp;$U183,g_e,"&gt;="&amp;$U183)&gt;0,1,0),0))</f>
        <v>0</v>
      </c>
      <c r="AE183" s="48"/>
      <c r="AF183" s="56" t="str">
        <f aca="false">IF(AND($D183&lt;&gt;"",$B183="결제완료",$T183="대여"),설정!$J$5,"")</f>
        <v/>
      </c>
      <c r="AG183" s="54" t="str">
        <f aca="false">IF($D183="","",IF(AND($E183="",$R183=""),$AB183,"☎ "&amp;IF($E183="","-",$E183)&amp;IF($R183&lt;&gt;"","  ※ "&amp;$R183,"")&amp;IF($B183="상담중"," (상담)","")))</f>
        <v/>
      </c>
      <c r="AH183" s="56" t="str">
        <f aca="false">IF(AND($D183&lt;&gt;"",$B183="결제완료",$O183="스마트스토어"),ROUND(N($N183)*설정!$J$6,0),"")</f>
        <v/>
      </c>
      <c r="AI183" s="54" t="str">
        <f aca="false">IF($D183="","",ROW())</f>
        <v/>
      </c>
      <c r="AJ183" s="54" t="n">
        <f aca="false">IF(OR($AC183&lt;&gt;1,$M183=""),0,IF(ISNUMBER(SEARCH("퇴사",IFERROR(INDEX(강사DB!$G$4:$G$53,MATCH($M183,강사DB!$A$4:$A$53,0)),""))),1,0))</f>
        <v>0</v>
      </c>
    </row>
    <row r="184" customFormat="false" ht="15" hidden="false" customHeight="false" outlineLevel="0" collapsed="false">
      <c r="A184" s="45" t="str">
        <f aca="false">IF($D184="","",COUNTA($D$5:$D184))</f>
        <v/>
      </c>
      <c r="B184" s="46"/>
      <c r="C184" s="47"/>
      <c r="D184" s="48"/>
      <c r="E184" s="48"/>
      <c r="F184" s="49"/>
      <c r="G184" s="47"/>
      <c r="H184" s="50"/>
      <c r="I184" s="50"/>
      <c r="J184" s="51" t="str">
        <f aca="false">IF(OR($V184="",$W184=""),"",ROUND(($W184-$V184)/60,2))</f>
        <v/>
      </c>
      <c r="K184" s="52" t="str">
        <f aca="false">IF($F184="","",LEN($F184)-LEN(SUBSTITUTE($F184,",",""))+1)</f>
        <v/>
      </c>
      <c r="L184" s="45" t="str">
        <f aca="false">IF($K184="","","1:"&amp;$K184)</f>
        <v/>
      </c>
      <c r="M184" s="46"/>
      <c r="N184" s="53"/>
      <c r="O184" s="46"/>
      <c r="P184" s="47"/>
      <c r="Q184" s="48"/>
      <c r="R184" s="49"/>
      <c r="S184" s="54" t="str">
        <f aca="false">IF(OR($AC184=0,$U184="",$M184="",$V184="",$W184=""),"",IF(COUNTIFS(m_teacher,$M184,m_date,$U184,m_active,1,m_start,"&lt;"&amp;$W184,m_end,"&gt;"&amp;$V184)&gt;1,"충돌",""))</f>
        <v/>
      </c>
      <c r="T184" s="48"/>
      <c r="U184" s="55" t="str">
        <f aca="false">IF($G184="","",IFERROR(IF(ISNUMBER($G184),IF($G184&gt;19000000,DATE(INT($G184/10000),MOD(INT($G184/100),100),MOD($G184,100)),INT($G184)),IF(LEN(SUBSTITUTE(SUBSTITUTE(SUBSTITUTE(TRIM($G184),"-",""),".",""),"/",""))=8,DATE(VALUE(LEFT(SUBSTITUTE(SUBSTITUTE(SUBSTITUTE(TRIM($G184),"-",""),".",""),"/",""),4)),VALUE(MID(SUBSTITUTE(SUBSTITUTE(SUBSTITUTE(TRIM($G184),"-",""),".",""),"/",""),5,2)),VALUE(RIGHT(SUBSTITUTE(SUBSTITUTE(SUBSTITUTE(TRIM($G184),"-",""),".",""),"/",""),2))),DATEVALUE($G184))),""))</f>
        <v/>
      </c>
      <c r="V184" s="52" t="str">
        <f aca="false">IF($H184="","",IFERROR(IF(IF(ISNUMBER($H184),$H184,IFERROR(TIMEVALUE($H184),VALUE($H184)))&gt;=100,INT(IF(ISNUMBER($H184),$H184,IFERROR(TIMEVALUE($H184),VALUE($H184)))/100)*60+MOD(IF(ISNUMBER($H184),$H184,IFERROR(TIMEVALUE($H184),VALUE($H184))),100),IF(IF(ISNUMBER($H184),$H184,IFERROR(TIMEVALUE($H184),VALUE($H184)))&gt;=1,ROUND(IF(ISNUMBER($H184),$H184,IFERROR(TIMEVALUE($H184),VALUE($H184)))*60,0),ROUND(MOD(IF(ISNUMBER($H184),$H184,IFERROR(TIMEVALUE($H184),VALUE($H184))),1)*1440,0))),""))</f>
        <v/>
      </c>
      <c r="W184" s="52" t="str">
        <f aca="false">IF($I184="","",IFERROR(IF(IF(ISNUMBER($I184),$I184,IFERROR(TIMEVALUE($I184),VALUE($I184)))&gt;=100,INT(IF(ISNUMBER($I184),$I184,IFERROR(TIMEVALUE($I184),VALUE($I184)))/100)*60+MOD(IF(ISNUMBER($I184),$I184,IFERROR(TIMEVALUE($I184),VALUE($I184))),100),IF(IF(ISNUMBER($I184),$I184,IFERROR(TIMEVALUE($I184),VALUE($I184)))&gt;=1,ROUND(IF(ISNUMBER($I184),$I184,IFERROR(TIMEVALUE($I184),VALUE($I184)))*60,0),ROUND(MOD(IF(ISNUMBER($I184),$I184,IFERROR(TIMEVALUE($I184),VALUE($I184))),1)*1440,0))),""))</f>
        <v/>
      </c>
      <c r="X184" s="55" t="str">
        <f aca="false">IF($P184="","",IFERROR(IF(ISNUMBER($P184),IF($P184&gt;19000000,DATE(INT($P184/10000),MOD(INT($P184/100),100),MOD($P184,100)),INT($P184)),IF(LEN(SUBSTITUTE(SUBSTITUTE(SUBSTITUTE(TRIM($P184),"-",""),".",""),"/",""))=8,DATE(VALUE(LEFT(SUBSTITUTE(SUBSTITUTE(SUBSTITUTE(TRIM($P184),"-",""),".",""),"/",""),4)),VALUE(MID(SUBSTITUTE(SUBSTITUTE(SUBSTITUTE(TRIM($P184),"-",""),".",""),"/",""),5,2)),VALUE(RIGHT(SUBSTITUTE(SUBSTITUTE(SUBSTITUTE(TRIM($P184),"-",""),".",""),"/",""),2))),DATEVALUE($P184))),""))</f>
        <v/>
      </c>
      <c r="Y184" s="56" t="str">
        <f aca="false">IF($M184="","",IFERROR(INDEX(강사DB!$D$4:$D$53,MATCH($M184,강사DB!$A$4:$A$53,0)),""))</f>
        <v/>
      </c>
      <c r="Z184" s="56" t="str">
        <f aca="false">IF($B184&lt;&gt;"결제완료","",IF(OR($Y184="",$J184=""),"",$Y184*$J184+MAX(0,N($K184)-1)*설정!$J$7))</f>
        <v/>
      </c>
      <c r="AA184" s="56" t="str">
        <f aca="false">IF(AND($D184&lt;&gt;"",$B184="결제완료"),N($N184),"")</f>
        <v/>
      </c>
      <c r="AB184" s="45" t="str">
        <f aca="false">IF($D184="","",IF($F184&lt;&gt;"",$F184,$D184)&amp;IF($B184="상담중"," (상담)",""))</f>
        <v/>
      </c>
      <c r="AC184" s="45" t="n">
        <f aca="false">IF(AND($D184&lt;&gt;"",OR($B184="결제완료",$B184="상담중")),1,0)</f>
        <v>0</v>
      </c>
      <c r="AD184" s="45" t="n">
        <f aca="false">IF(OR($Z184="",$U184=""),0,IFERROR(IF(COUNTIFS(INDEX(g_grid,0,2*MATCH($M184,강사DB!$A$4:$A$15,0)),"&lt;&gt;",g_s,"&lt;="&amp;$U184,g_e,"&gt;="&amp;$U184)&gt;0,1,0),0))</f>
        <v>0</v>
      </c>
      <c r="AE184" s="48"/>
      <c r="AF184" s="56" t="str">
        <f aca="false">IF(AND($D184&lt;&gt;"",$B184="결제완료",$T184="대여"),설정!$J$5,"")</f>
        <v/>
      </c>
      <c r="AG184" s="54" t="str">
        <f aca="false">IF($D184="","",IF(AND($E184="",$R184=""),$AB184,"☎ "&amp;IF($E184="","-",$E184)&amp;IF($R184&lt;&gt;"","  ※ "&amp;$R184,"")&amp;IF($B184="상담중"," (상담)","")))</f>
        <v/>
      </c>
      <c r="AH184" s="56" t="str">
        <f aca="false">IF(AND($D184&lt;&gt;"",$B184="결제완료",$O184="스마트스토어"),ROUND(N($N184)*설정!$J$6,0),"")</f>
        <v/>
      </c>
      <c r="AI184" s="54" t="str">
        <f aca="false">IF($D184="","",ROW())</f>
        <v/>
      </c>
      <c r="AJ184" s="54" t="n">
        <f aca="false">IF(OR($AC184&lt;&gt;1,$M184=""),0,IF(ISNUMBER(SEARCH("퇴사",IFERROR(INDEX(강사DB!$G$4:$G$53,MATCH($M184,강사DB!$A$4:$A$53,0)),""))),1,0))</f>
        <v>0</v>
      </c>
    </row>
    <row r="185" customFormat="false" ht="15" hidden="false" customHeight="false" outlineLevel="0" collapsed="false">
      <c r="A185" s="45" t="str">
        <f aca="false">IF($D185="","",COUNTA($D$5:$D185))</f>
        <v/>
      </c>
      <c r="B185" s="46"/>
      <c r="C185" s="47"/>
      <c r="D185" s="48"/>
      <c r="E185" s="48"/>
      <c r="F185" s="49"/>
      <c r="G185" s="47"/>
      <c r="H185" s="50"/>
      <c r="I185" s="50"/>
      <c r="J185" s="51" t="str">
        <f aca="false">IF(OR($V185="",$W185=""),"",ROUND(($W185-$V185)/60,2))</f>
        <v/>
      </c>
      <c r="K185" s="52" t="str">
        <f aca="false">IF($F185="","",LEN($F185)-LEN(SUBSTITUTE($F185,",",""))+1)</f>
        <v/>
      </c>
      <c r="L185" s="45" t="str">
        <f aca="false">IF($K185="","","1:"&amp;$K185)</f>
        <v/>
      </c>
      <c r="M185" s="46"/>
      <c r="N185" s="53"/>
      <c r="O185" s="46"/>
      <c r="P185" s="47"/>
      <c r="Q185" s="48"/>
      <c r="R185" s="49"/>
      <c r="S185" s="54" t="str">
        <f aca="false">IF(OR($AC185=0,$U185="",$M185="",$V185="",$W185=""),"",IF(COUNTIFS(m_teacher,$M185,m_date,$U185,m_active,1,m_start,"&lt;"&amp;$W185,m_end,"&gt;"&amp;$V185)&gt;1,"충돌",""))</f>
        <v/>
      </c>
      <c r="T185" s="48"/>
      <c r="U185" s="55" t="str">
        <f aca="false">IF($G185="","",IFERROR(IF(ISNUMBER($G185),IF($G185&gt;19000000,DATE(INT($G185/10000),MOD(INT($G185/100),100),MOD($G185,100)),INT($G185)),IF(LEN(SUBSTITUTE(SUBSTITUTE(SUBSTITUTE(TRIM($G185),"-",""),".",""),"/",""))=8,DATE(VALUE(LEFT(SUBSTITUTE(SUBSTITUTE(SUBSTITUTE(TRIM($G185),"-",""),".",""),"/",""),4)),VALUE(MID(SUBSTITUTE(SUBSTITUTE(SUBSTITUTE(TRIM($G185),"-",""),".",""),"/",""),5,2)),VALUE(RIGHT(SUBSTITUTE(SUBSTITUTE(SUBSTITUTE(TRIM($G185),"-",""),".",""),"/",""),2))),DATEVALUE($G185))),""))</f>
        <v/>
      </c>
      <c r="V185" s="52" t="str">
        <f aca="false">IF($H185="","",IFERROR(IF(IF(ISNUMBER($H185),$H185,IFERROR(TIMEVALUE($H185),VALUE($H185)))&gt;=100,INT(IF(ISNUMBER($H185),$H185,IFERROR(TIMEVALUE($H185),VALUE($H185)))/100)*60+MOD(IF(ISNUMBER($H185),$H185,IFERROR(TIMEVALUE($H185),VALUE($H185))),100),IF(IF(ISNUMBER($H185),$H185,IFERROR(TIMEVALUE($H185),VALUE($H185)))&gt;=1,ROUND(IF(ISNUMBER($H185),$H185,IFERROR(TIMEVALUE($H185),VALUE($H185)))*60,0),ROUND(MOD(IF(ISNUMBER($H185),$H185,IFERROR(TIMEVALUE($H185),VALUE($H185))),1)*1440,0))),""))</f>
        <v/>
      </c>
      <c r="W185" s="52" t="str">
        <f aca="false">IF($I185="","",IFERROR(IF(IF(ISNUMBER($I185),$I185,IFERROR(TIMEVALUE($I185),VALUE($I185)))&gt;=100,INT(IF(ISNUMBER($I185),$I185,IFERROR(TIMEVALUE($I185),VALUE($I185)))/100)*60+MOD(IF(ISNUMBER($I185),$I185,IFERROR(TIMEVALUE($I185),VALUE($I185))),100),IF(IF(ISNUMBER($I185),$I185,IFERROR(TIMEVALUE($I185),VALUE($I185)))&gt;=1,ROUND(IF(ISNUMBER($I185),$I185,IFERROR(TIMEVALUE($I185),VALUE($I185)))*60,0),ROUND(MOD(IF(ISNUMBER($I185),$I185,IFERROR(TIMEVALUE($I185),VALUE($I185))),1)*1440,0))),""))</f>
        <v/>
      </c>
      <c r="X185" s="55" t="str">
        <f aca="false">IF($P185="","",IFERROR(IF(ISNUMBER($P185),IF($P185&gt;19000000,DATE(INT($P185/10000),MOD(INT($P185/100),100),MOD($P185,100)),INT($P185)),IF(LEN(SUBSTITUTE(SUBSTITUTE(SUBSTITUTE(TRIM($P185),"-",""),".",""),"/",""))=8,DATE(VALUE(LEFT(SUBSTITUTE(SUBSTITUTE(SUBSTITUTE(TRIM($P185),"-",""),".",""),"/",""),4)),VALUE(MID(SUBSTITUTE(SUBSTITUTE(SUBSTITUTE(TRIM($P185),"-",""),".",""),"/",""),5,2)),VALUE(RIGHT(SUBSTITUTE(SUBSTITUTE(SUBSTITUTE(TRIM($P185),"-",""),".",""),"/",""),2))),DATEVALUE($P185))),""))</f>
        <v/>
      </c>
      <c r="Y185" s="56" t="str">
        <f aca="false">IF($M185="","",IFERROR(INDEX(강사DB!$D$4:$D$53,MATCH($M185,강사DB!$A$4:$A$53,0)),""))</f>
        <v/>
      </c>
      <c r="Z185" s="56" t="str">
        <f aca="false">IF($B185&lt;&gt;"결제완료","",IF(OR($Y185="",$J185=""),"",$Y185*$J185+MAX(0,N($K185)-1)*설정!$J$7))</f>
        <v/>
      </c>
      <c r="AA185" s="56" t="str">
        <f aca="false">IF(AND($D185&lt;&gt;"",$B185="결제완료"),N($N185),"")</f>
        <v/>
      </c>
      <c r="AB185" s="45" t="str">
        <f aca="false">IF($D185="","",IF($F185&lt;&gt;"",$F185,$D185)&amp;IF($B185="상담중"," (상담)",""))</f>
        <v/>
      </c>
      <c r="AC185" s="45" t="n">
        <f aca="false">IF(AND($D185&lt;&gt;"",OR($B185="결제완료",$B185="상담중")),1,0)</f>
        <v>0</v>
      </c>
      <c r="AD185" s="45" t="n">
        <f aca="false">IF(OR($Z185="",$U185=""),0,IFERROR(IF(COUNTIFS(INDEX(g_grid,0,2*MATCH($M185,강사DB!$A$4:$A$15,0)),"&lt;&gt;",g_s,"&lt;="&amp;$U185,g_e,"&gt;="&amp;$U185)&gt;0,1,0),0))</f>
        <v>0</v>
      </c>
      <c r="AE185" s="48"/>
      <c r="AF185" s="56" t="str">
        <f aca="false">IF(AND($D185&lt;&gt;"",$B185="결제완료",$T185="대여"),설정!$J$5,"")</f>
        <v/>
      </c>
      <c r="AG185" s="54" t="str">
        <f aca="false">IF($D185="","",IF(AND($E185="",$R185=""),$AB185,"☎ "&amp;IF($E185="","-",$E185)&amp;IF($R185&lt;&gt;"","  ※ "&amp;$R185,"")&amp;IF($B185="상담중"," (상담)","")))</f>
        <v/>
      </c>
      <c r="AH185" s="56" t="str">
        <f aca="false">IF(AND($D185&lt;&gt;"",$B185="결제완료",$O185="스마트스토어"),ROUND(N($N185)*설정!$J$6,0),"")</f>
        <v/>
      </c>
      <c r="AI185" s="54" t="str">
        <f aca="false">IF($D185="","",ROW())</f>
        <v/>
      </c>
      <c r="AJ185" s="54" t="n">
        <f aca="false">IF(OR($AC185&lt;&gt;1,$M185=""),0,IF(ISNUMBER(SEARCH("퇴사",IFERROR(INDEX(강사DB!$G$4:$G$53,MATCH($M185,강사DB!$A$4:$A$53,0)),""))),1,0))</f>
        <v>0</v>
      </c>
    </row>
    <row r="186" customFormat="false" ht="15" hidden="false" customHeight="false" outlineLevel="0" collapsed="false">
      <c r="A186" s="45" t="str">
        <f aca="false">IF($D186="","",COUNTA($D$5:$D186))</f>
        <v/>
      </c>
      <c r="B186" s="46"/>
      <c r="C186" s="47"/>
      <c r="D186" s="48"/>
      <c r="E186" s="48"/>
      <c r="F186" s="49"/>
      <c r="G186" s="47"/>
      <c r="H186" s="50"/>
      <c r="I186" s="50"/>
      <c r="J186" s="51" t="str">
        <f aca="false">IF(OR($V186="",$W186=""),"",ROUND(($W186-$V186)/60,2))</f>
        <v/>
      </c>
      <c r="K186" s="52" t="str">
        <f aca="false">IF($F186="","",LEN($F186)-LEN(SUBSTITUTE($F186,",",""))+1)</f>
        <v/>
      </c>
      <c r="L186" s="45" t="str">
        <f aca="false">IF($K186="","","1:"&amp;$K186)</f>
        <v/>
      </c>
      <c r="M186" s="46"/>
      <c r="N186" s="53"/>
      <c r="O186" s="46"/>
      <c r="P186" s="47"/>
      <c r="Q186" s="48"/>
      <c r="R186" s="49"/>
      <c r="S186" s="54" t="str">
        <f aca="false">IF(OR($AC186=0,$U186="",$M186="",$V186="",$W186=""),"",IF(COUNTIFS(m_teacher,$M186,m_date,$U186,m_active,1,m_start,"&lt;"&amp;$W186,m_end,"&gt;"&amp;$V186)&gt;1,"충돌",""))</f>
        <v/>
      </c>
      <c r="T186" s="48"/>
      <c r="U186" s="55" t="str">
        <f aca="false">IF($G186="","",IFERROR(IF(ISNUMBER($G186),IF($G186&gt;19000000,DATE(INT($G186/10000),MOD(INT($G186/100),100),MOD($G186,100)),INT($G186)),IF(LEN(SUBSTITUTE(SUBSTITUTE(SUBSTITUTE(TRIM($G186),"-",""),".",""),"/",""))=8,DATE(VALUE(LEFT(SUBSTITUTE(SUBSTITUTE(SUBSTITUTE(TRIM($G186),"-",""),".",""),"/",""),4)),VALUE(MID(SUBSTITUTE(SUBSTITUTE(SUBSTITUTE(TRIM($G186),"-",""),".",""),"/",""),5,2)),VALUE(RIGHT(SUBSTITUTE(SUBSTITUTE(SUBSTITUTE(TRIM($G186),"-",""),".",""),"/",""),2))),DATEVALUE($G186))),""))</f>
        <v/>
      </c>
      <c r="V186" s="52" t="str">
        <f aca="false">IF($H186="","",IFERROR(IF(IF(ISNUMBER($H186),$H186,IFERROR(TIMEVALUE($H186),VALUE($H186)))&gt;=100,INT(IF(ISNUMBER($H186),$H186,IFERROR(TIMEVALUE($H186),VALUE($H186)))/100)*60+MOD(IF(ISNUMBER($H186),$H186,IFERROR(TIMEVALUE($H186),VALUE($H186))),100),IF(IF(ISNUMBER($H186),$H186,IFERROR(TIMEVALUE($H186),VALUE($H186)))&gt;=1,ROUND(IF(ISNUMBER($H186),$H186,IFERROR(TIMEVALUE($H186),VALUE($H186)))*60,0),ROUND(MOD(IF(ISNUMBER($H186),$H186,IFERROR(TIMEVALUE($H186),VALUE($H186))),1)*1440,0))),""))</f>
        <v/>
      </c>
      <c r="W186" s="52" t="str">
        <f aca="false">IF($I186="","",IFERROR(IF(IF(ISNUMBER($I186),$I186,IFERROR(TIMEVALUE($I186),VALUE($I186)))&gt;=100,INT(IF(ISNUMBER($I186),$I186,IFERROR(TIMEVALUE($I186),VALUE($I186)))/100)*60+MOD(IF(ISNUMBER($I186),$I186,IFERROR(TIMEVALUE($I186),VALUE($I186))),100),IF(IF(ISNUMBER($I186),$I186,IFERROR(TIMEVALUE($I186),VALUE($I186)))&gt;=1,ROUND(IF(ISNUMBER($I186),$I186,IFERROR(TIMEVALUE($I186),VALUE($I186)))*60,0),ROUND(MOD(IF(ISNUMBER($I186),$I186,IFERROR(TIMEVALUE($I186),VALUE($I186))),1)*1440,0))),""))</f>
        <v/>
      </c>
      <c r="X186" s="55" t="str">
        <f aca="false">IF($P186="","",IFERROR(IF(ISNUMBER($P186),IF($P186&gt;19000000,DATE(INT($P186/10000),MOD(INT($P186/100),100),MOD($P186,100)),INT($P186)),IF(LEN(SUBSTITUTE(SUBSTITUTE(SUBSTITUTE(TRIM($P186),"-",""),".",""),"/",""))=8,DATE(VALUE(LEFT(SUBSTITUTE(SUBSTITUTE(SUBSTITUTE(TRIM($P186),"-",""),".",""),"/",""),4)),VALUE(MID(SUBSTITUTE(SUBSTITUTE(SUBSTITUTE(TRIM($P186),"-",""),".",""),"/",""),5,2)),VALUE(RIGHT(SUBSTITUTE(SUBSTITUTE(SUBSTITUTE(TRIM($P186),"-",""),".",""),"/",""),2))),DATEVALUE($P186))),""))</f>
        <v/>
      </c>
      <c r="Y186" s="56" t="str">
        <f aca="false">IF($M186="","",IFERROR(INDEX(강사DB!$D$4:$D$53,MATCH($M186,강사DB!$A$4:$A$53,0)),""))</f>
        <v/>
      </c>
      <c r="Z186" s="56" t="str">
        <f aca="false">IF($B186&lt;&gt;"결제완료","",IF(OR($Y186="",$J186=""),"",$Y186*$J186+MAX(0,N($K186)-1)*설정!$J$7))</f>
        <v/>
      </c>
      <c r="AA186" s="56" t="str">
        <f aca="false">IF(AND($D186&lt;&gt;"",$B186="결제완료"),N($N186),"")</f>
        <v/>
      </c>
      <c r="AB186" s="45" t="str">
        <f aca="false">IF($D186="","",IF($F186&lt;&gt;"",$F186,$D186)&amp;IF($B186="상담중"," (상담)",""))</f>
        <v/>
      </c>
      <c r="AC186" s="45" t="n">
        <f aca="false">IF(AND($D186&lt;&gt;"",OR($B186="결제완료",$B186="상담중")),1,0)</f>
        <v>0</v>
      </c>
      <c r="AD186" s="45" t="n">
        <f aca="false">IF(OR($Z186="",$U186=""),0,IFERROR(IF(COUNTIFS(INDEX(g_grid,0,2*MATCH($M186,강사DB!$A$4:$A$15,0)),"&lt;&gt;",g_s,"&lt;="&amp;$U186,g_e,"&gt;="&amp;$U186)&gt;0,1,0),0))</f>
        <v>0</v>
      </c>
      <c r="AE186" s="48"/>
      <c r="AF186" s="56" t="str">
        <f aca="false">IF(AND($D186&lt;&gt;"",$B186="결제완료",$T186="대여"),설정!$J$5,"")</f>
        <v/>
      </c>
      <c r="AG186" s="54" t="str">
        <f aca="false">IF($D186="","",IF(AND($E186="",$R186=""),$AB186,"☎ "&amp;IF($E186="","-",$E186)&amp;IF($R186&lt;&gt;"","  ※ "&amp;$R186,"")&amp;IF($B186="상담중"," (상담)","")))</f>
        <v/>
      </c>
      <c r="AH186" s="56" t="str">
        <f aca="false">IF(AND($D186&lt;&gt;"",$B186="결제완료",$O186="스마트스토어"),ROUND(N($N186)*설정!$J$6,0),"")</f>
        <v/>
      </c>
      <c r="AI186" s="54" t="str">
        <f aca="false">IF($D186="","",ROW())</f>
        <v/>
      </c>
      <c r="AJ186" s="54" t="n">
        <f aca="false">IF(OR($AC186&lt;&gt;1,$M186=""),0,IF(ISNUMBER(SEARCH("퇴사",IFERROR(INDEX(강사DB!$G$4:$G$53,MATCH($M186,강사DB!$A$4:$A$53,0)),""))),1,0))</f>
        <v>0</v>
      </c>
    </row>
    <row r="187" customFormat="false" ht="15" hidden="false" customHeight="false" outlineLevel="0" collapsed="false">
      <c r="A187" s="45" t="str">
        <f aca="false">IF($D187="","",COUNTA($D$5:$D187))</f>
        <v/>
      </c>
      <c r="B187" s="46"/>
      <c r="C187" s="47"/>
      <c r="D187" s="48"/>
      <c r="E187" s="48"/>
      <c r="F187" s="49"/>
      <c r="G187" s="47"/>
      <c r="H187" s="50"/>
      <c r="I187" s="50"/>
      <c r="J187" s="51" t="str">
        <f aca="false">IF(OR($V187="",$W187=""),"",ROUND(($W187-$V187)/60,2))</f>
        <v/>
      </c>
      <c r="K187" s="52" t="str">
        <f aca="false">IF($F187="","",LEN($F187)-LEN(SUBSTITUTE($F187,",",""))+1)</f>
        <v/>
      </c>
      <c r="L187" s="45" t="str">
        <f aca="false">IF($K187="","","1:"&amp;$K187)</f>
        <v/>
      </c>
      <c r="M187" s="46"/>
      <c r="N187" s="53"/>
      <c r="O187" s="46"/>
      <c r="P187" s="47"/>
      <c r="Q187" s="48"/>
      <c r="R187" s="49"/>
      <c r="S187" s="54" t="str">
        <f aca="false">IF(OR($AC187=0,$U187="",$M187="",$V187="",$W187=""),"",IF(COUNTIFS(m_teacher,$M187,m_date,$U187,m_active,1,m_start,"&lt;"&amp;$W187,m_end,"&gt;"&amp;$V187)&gt;1,"충돌",""))</f>
        <v/>
      </c>
      <c r="T187" s="48"/>
      <c r="U187" s="55" t="str">
        <f aca="false">IF($G187="","",IFERROR(IF(ISNUMBER($G187),IF($G187&gt;19000000,DATE(INT($G187/10000),MOD(INT($G187/100),100),MOD($G187,100)),INT($G187)),IF(LEN(SUBSTITUTE(SUBSTITUTE(SUBSTITUTE(TRIM($G187),"-",""),".",""),"/",""))=8,DATE(VALUE(LEFT(SUBSTITUTE(SUBSTITUTE(SUBSTITUTE(TRIM($G187),"-",""),".",""),"/",""),4)),VALUE(MID(SUBSTITUTE(SUBSTITUTE(SUBSTITUTE(TRIM($G187),"-",""),".",""),"/",""),5,2)),VALUE(RIGHT(SUBSTITUTE(SUBSTITUTE(SUBSTITUTE(TRIM($G187),"-",""),".",""),"/",""),2))),DATEVALUE($G187))),""))</f>
        <v/>
      </c>
      <c r="V187" s="52" t="str">
        <f aca="false">IF($H187="","",IFERROR(IF(IF(ISNUMBER($H187),$H187,IFERROR(TIMEVALUE($H187),VALUE($H187)))&gt;=100,INT(IF(ISNUMBER($H187),$H187,IFERROR(TIMEVALUE($H187),VALUE($H187)))/100)*60+MOD(IF(ISNUMBER($H187),$H187,IFERROR(TIMEVALUE($H187),VALUE($H187))),100),IF(IF(ISNUMBER($H187),$H187,IFERROR(TIMEVALUE($H187),VALUE($H187)))&gt;=1,ROUND(IF(ISNUMBER($H187),$H187,IFERROR(TIMEVALUE($H187),VALUE($H187)))*60,0),ROUND(MOD(IF(ISNUMBER($H187),$H187,IFERROR(TIMEVALUE($H187),VALUE($H187))),1)*1440,0))),""))</f>
        <v/>
      </c>
      <c r="W187" s="52" t="str">
        <f aca="false">IF($I187="","",IFERROR(IF(IF(ISNUMBER($I187),$I187,IFERROR(TIMEVALUE($I187),VALUE($I187)))&gt;=100,INT(IF(ISNUMBER($I187),$I187,IFERROR(TIMEVALUE($I187),VALUE($I187)))/100)*60+MOD(IF(ISNUMBER($I187),$I187,IFERROR(TIMEVALUE($I187),VALUE($I187))),100),IF(IF(ISNUMBER($I187),$I187,IFERROR(TIMEVALUE($I187),VALUE($I187)))&gt;=1,ROUND(IF(ISNUMBER($I187),$I187,IFERROR(TIMEVALUE($I187),VALUE($I187)))*60,0),ROUND(MOD(IF(ISNUMBER($I187),$I187,IFERROR(TIMEVALUE($I187),VALUE($I187))),1)*1440,0))),""))</f>
        <v/>
      </c>
      <c r="X187" s="55" t="str">
        <f aca="false">IF($P187="","",IFERROR(IF(ISNUMBER($P187),IF($P187&gt;19000000,DATE(INT($P187/10000),MOD(INT($P187/100),100),MOD($P187,100)),INT($P187)),IF(LEN(SUBSTITUTE(SUBSTITUTE(SUBSTITUTE(TRIM($P187),"-",""),".",""),"/",""))=8,DATE(VALUE(LEFT(SUBSTITUTE(SUBSTITUTE(SUBSTITUTE(TRIM($P187),"-",""),".",""),"/",""),4)),VALUE(MID(SUBSTITUTE(SUBSTITUTE(SUBSTITUTE(TRIM($P187),"-",""),".",""),"/",""),5,2)),VALUE(RIGHT(SUBSTITUTE(SUBSTITUTE(SUBSTITUTE(TRIM($P187),"-",""),".",""),"/",""),2))),DATEVALUE($P187))),""))</f>
        <v/>
      </c>
      <c r="Y187" s="56" t="str">
        <f aca="false">IF($M187="","",IFERROR(INDEX(강사DB!$D$4:$D$53,MATCH($M187,강사DB!$A$4:$A$53,0)),""))</f>
        <v/>
      </c>
      <c r="Z187" s="56" t="str">
        <f aca="false">IF($B187&lt;&gt;"결제완료","",IF(OR($Y187="",$J187=""),"",$Y187*$J187+MAX(0,N($K187)-1)*설정!$J$7))</f>
        <v/>
      </c>
      <c r="AA187" s="56" t="str">
        <f aca="false">IF(AND($D187&lt;&gt;"",$B187="결제완료"),N($N187),"")</f>
        <v/>
      </c>
      <c r="AB187" s="45" t="str">
        <f aca="false">IF($D187="","",IF($F187&lt;&gt;"",$F187,$D187)&amp;IF($B187="상담중"," (상담)",""))</f>
        <v/>
      </c>
      <c r="AC187" s="45" t="n">
        <f aca="false">IF(AND($D187&lt;&gt;"",OR($B187="결제완료",$B187="상담중")),1,0)</f>
        <v>0</v>
      </c>
      <c r="AD187" s="45" t="n">
        <f aca="false">IF(OR($Z187="",$U187=""),0,IFERROR(IF(COUNTIFS(INDEX(g_grid,0,2*MATCH($M187,강사DB!$A$4:$A$15,0)),"&lt;&gt;",g_s,"&lt;="&amp;$U187,g_e,"&gt;="&amp;$U187)&gt;0,1,0),0))</f>
        <v>0</v>
      </c>
      <c r="AE187" s="48"/>
      <c r="AF187" s="56" t="str">
        <f aca="false">IF(AND($D187&lt;&gt;"",$B187="결제완료",$T187="대여"),설정!$J$5,"")</f>
        <v/>
      </c>
      <c r="AG187" s="54" t="str">
        <f aca="false">IF($D187="","",IF(AND($E187="",$R187=""),$AB187,"☎ "&amp;IF($E187="","-",$E187)&amp;IF($R187&lt;&gt;"","  ※ "&amp;$R187,"")&amp;IF($B187="상담중"," (상담)","")))</f>
        <v/>
      </c>
      <c r="AH187" s="56" t="str">
        <f aca="false">IF(AND($D187&lt;&gt;"",$B187="결제완료",$O187="스마트스토어"),ROUND(N($N187)*설정!$J$6,0),"")</f>
        <v/>
      </c>
      <c r="AI187" s="54" t="str">
        <f aca="false">IF($D187="","",ROW())</f>
        <v/>
      </c>
      <c r="AJ187" s="54" t="n">
        <f aca="false">IF(OR($AC187&lt;&gt;1,$M187=""),0,IF(ISNUMBER(SEARCH("퇴사",IFERROR(INDEX(강사DB!$G$4:$G$53,MATCH($M187,강사DB!$A$4:$A$53,0)),""))),1,0))</f>
        <v>0</v>
      </c>
    </row>
    <row r="188" customFormat="false" ht="15" hidden="false" customHeight="false" outlineLevel="0" collapsed="false">
      <c r="A188" s="45" t="str">
        <f aca="false">IF($D188="","",COUNTA($D$5:$D188))</f>
        <v/>
      </c>
      <c r="B188" s="46"/>
      <c r="C188" s="47"/>
      <c r="D188" s="48"/>
      <c r="E188" s="48"/>
      <c r="F188" s="49"/>
      <c r="G188" s="47"/>
      <c r="H188" s="50"/>
      <c r="I188" s="50"/>
      <c r="J188" s="51" t="str">
        <f aca="false">IF(OR($V188="",$W188=""),"",ROUND(($W188-$V188)/60,2))</f>
        <v/>
      </c>
      <c r="K188" s="52" t="str">
        <f aca="false">IF($F188="","",LEN($F188)-LEN(SUBSTITUTE($F188,",",""))+1)</f>
        <v/>
      </c>
      <c r="L188" s="45" t="str">
        <f aca="false">IF($K188="","","1:"&amp;$K188)</f>
        <v/>
      </c>
      <c r="M188" s="46"/>
      <c r="N188" s="53"/>
      <c r="O188" s="46"/>
      <c r="P188" s="47"/>
      <c r="Q188" s="48"/>
      <c r="R188" s="49"/>
      <c r="S188" s="54" t="str">
        <f aca="false">IF(OR($AC188=0,$U188="",$M188="",$V188="",$W188=""),"",IF(COUNTIFS(m_teacher,$M188,m_date,$U188,m_active,1,m_start,"&lt;"&amp;$W188,m_end,"&gt;"&amp;$V188)&gt;1,"충돌",""))</f>
        <v/>
      </c>
      <c r="T188" s="48"/>
      <c r="U188" s="55" t="str">
        <f aca="false">IF($G188="","",IFERROR(IF(ISNUMBER($G188),IF($G188&gt;19000000,DATE(INT($G188/10000),MOD(INT($G188/100),100),MOD($G188,100)),INT($G188)),IF(LEN(SUBSTITUTE(SUBSTITUTE(SUBSTITUTE(TRIM($G188),"-",""),".",""),"/",""))=8,DATE(VALUE(LEFT(SUBSTITUTE(SUBSTITUTE(SUBSTITUTE(TRIM($G188),"-",""),".",""),"/",""),4)),VALUE(MID(SUBSTITUTE(SUBSTITUTE(SUBSTITUTE(TRIM($G188),"-",""),".",""),"/",""),5,2)),VALUE(RIGHT(SUBSTITUTE(SUBSTITUTE(SUBSTITUTE(TRIM($G188),"-",""),".",""),"/",""),2))),DATEVALUE($G188))),""))</f>
        <v/>
      </c>
      <c r="V188" s="52" t="str">
        <f aca="false">IF($H188="","",IFERROR(IF(IF(ISNUMBER($H188),$H188,IFERROR(TIMEVALUE($H188),VALUE($H188)))&gt;=100,INT(IF(ISNUMBER($H188),$H188,IFERROR(TIMEVALUE($H188),VALUE($H188)))/100)*60+MOD(IF(ISNUMBER($H188),$H188,IFERROR(TIMEVALUE($H188),VALUE($H188))),100),IF(IF(ISNUMBER($H188),$H188,IFERROR(TIMEVALUE($H188),VALUE($H188)))&gt;=1,ROUND(IF(ISNUMBER($H188),$H188,IFERROR(TIMEVALUE($H188),VALUE($H188)))*60,0),ROUND(MOD(IF(ISNUMBER($H188),$H188,IFERROR(TIMEVALUE($H188),VALUE($H188))),1)*1440,0))),""))</f>
        <v/>
      </c>
      <c r="W188" s="52" t="str">
        <f aca="false">IF($I188="","",IFERROR(IF(IF(ISNUMBER($I188),$I188,IFERROR(TIMEVALUE($I188),VALUE($I188)))&gt;=100,INT(IF(ISNUMBER($I188),$I188,IFERROR(TIMEVALUE($I188),VALUE($I188)))/100)*60+MOD(IF(ISNUMBER($I188),$I188,IFERROR(TIMEVALUE($I188),VALUE($I188))),100),IF(IF(ISNUMBER($I188),$I188,IFERROR(TIMEVALUE($I188),VALUE($I188)))&gt;=1,ROUND(IF(ISNUMBER($I188),$I188,IFERROR(TIMEVALUE($I188),VALUE($I188)))*60,0),ROUND(MOD(IF(ISNUMBER($I188),$I188,IFERROR(TIMEVALUE($I188),VALUE($I188))),1)*1440,0))),""))</f>
        <v/>
      </c>
      <c r="X188" s="55" t="str">
        <f aca="false">IF($P188="","",IFERROR(IF(ISNUMBER($P188),IF($P188&gt;19000000,DATE(INT($P188/10000),MOD(INT($P188/100),100),MOD($P188,100)),INT($P188)),IF(LEN(SUBSTITUTE(SUBSTITUTE(SUBSTITUTE(TRIM($P188),"-",""),".",""),"/",""))=8,DATE(VALUE(LEFT(SUBSTITUTE(SUBSTITUTE(SUBSTITUTE(TRIM($P188),"-",""),".",""),"/",""),4)),VALUE(MID(SUBSTITUTE(SUBSTITUTE(SUBSTITUTE(TRIM($P188),"-",""),".",""),"/",""),5,2)),VALUE(RIGHT(SUBSTITUTE(SUBSTITUTE(SUBSTITUTE(TRIM($P188),"-",""),".",""),"/",""),2))),DATEVALUE($P188))),""))</f>
        <v/>
      </c>
      <c r="Y188" s="56" t="str">
        <f aca="false">IF($M188="","",IFERROR(INDEX(강사DB!$D$4:$D$53,MATCH($M188,강사DB!$A$4:$A$53,0)),""))</f>
        <v/>
      </c>
      <c r="Z188" s="56" t="str">
        <f aca="false">IF($B188&lt;&gt;"결제완료","",IF(OR($Y188="",$J188=""),"",$Y188*$J188+MAX(0,N($K188)-1)*설정!$J$7))</f>
        <v/>
      </c>
      <c r="AA188" s="56" t="str">
        <f aca="false">IF(AND($D188&lt;&gt;"",$B188="결제완료"),N($N188),"")</f>
        <v/>
      </c>
      <c r="AB188" s="45" t="str">
        <f aca="false">IF($D188="","",IF($F188&lt;&gt;"",$F188,$D188)&amp;IF($B188="상담중"," (상담)",""))</f>
        <v/>
      </c>
      <c r="AC188" s="45" t="n">
        <f aca="false">IF(AND($D188&lt;&gt;"",OR($B188="결제완료",$B188="상담중")),1,0)</f>
        <v>0</v>
      </c>
      <c r="AD188" s="45" t="n">
        <f aca="false">IF(OR($Z188="",$U188=""),0,IFERROR(IF(COUNTIFS(INDEX(g_grid,0,2*MATCH($M188,강사DB!$A$4:$A$15,0)),"&lt;&gt;",g_s,"&lt;="&amp;$U188,g_e,"&gt;="&amp;$U188)&gt;0,1,0),0))</f>
        <v>0</v>
      </c>
      <c r="AE188" s="48"/>
      <c r="AF188" s="56" t="str">
        <f aca="false">IF(AND($D188&lt;&gt;"",$B188="결제완료",$T188="대여"),설정!$J$5,"")</f>
        <v/>
      </c>
      <c r="AG188" s="54" t="str">
        <f aca="false">IF($D188="","",IF(AND($E188="",$R188=""),$AB188,"☎ "&amp;IF($E188="","-",$E188)&amp;IF($R188&lt;&gt;"","  ※ "&amp;$R188,"")&amp;IF($B188="상담중"," (상담)","")))</f>
        <v/>
      </c>
      <c r="AH188" s="56" t="str">
        <f aca="false">IF(AND($D188&lt;&gt;"",$B188="결제완료",$O188="스마트스토어"),ROUND(N($N188)*설정!$J$6,0),"")</f>
        <v/>
      </c>
      <c r="AI188" s="54" t="str">
        <f aca="false">IF($D188="","",ROW())</f>
        <v/>
      </c>
      <c r="AJ188" s="54" t="n">
        <f aca="false">IF(OR($AC188&lt;&gt;1,$M188=""),0,IF(ISNUMBER(SEARCH("퇴사",IFERROR(INDEX(강사DB!$G$4:$G$53,MATCH($M188,강사DB!$A$4:$A$53,0)),""))),1,0))</f>
        <v>0</v>
      </c>
    </row>
    <row r="189" customFormat="false" ht="15" hidden="false" customHeight="false" outlineLevel="0" collapsed="false">
      <c r="A189" s="45" t="str">
        <f aca="false">IF($D189="","",COUNTA($D$5:$D189))</f>
        <v/>
      </c>
      <c r="B189" s="46"/>
      <c r="C189" s="47"/>
      <c r="D189" s="48"/>
      <c r="E189" s="48"/>
      <c r="F189" s="49"/>
      <c r="G189" s="47"/>
      <c r="H189" s="50"/>
      <c r="I189" s="50"/>
      <c r="J189" s="51" t="str">
        <f aca="false">IF(OR($V189="",$W189=""),"",ROUND(($W189-$V189)/60,2))</f>
        <v/>
      </c>
      <c r="K189" s="52" t="str">
        <f aca="false">IF($F189="","",LEN($F189)-LEN(SUBSTITUTE($F189,",",""))+1)</f>
        <v/>
      </c>
      <c r="L189" s="45" t="str">
        <f aca="false">IF($K189="","","1:"&amp;$K189)</f>
        <v/>
      </c>
      <c r="M189" s="46"/>
      <c r="N189" s="53"/>
      <c r="O189" s="46"/>
      <c r="P189" s="47"/>
      <c r="Q189" s="48"/>
      <c r="R189" s="49"/>
      <c r="S189" s="54" t="str">
        <f aca="false">IF(OR($AC189=0,$U189="",$M189="",$V189="",$W189=""),"",IF(COUNTIFS(m_teacher,$M189,m_date,$U189,m_active,1,m_start,"&lt;"&amp;$W189,m_end,"&gt;"&amp;$V189)&gt;1,"충돌",""))</f>
        <v/>
      </c>
      <c r="T189" s="48"/>
      <c r="U189" s="55" t="str">
        <f aca="false">IF($G189="","",IFERROR(IF(ISNUMBER($G189),IF($G189&gt;19000000,DATE(INT($G189/10000),MOD(INT($G189/100),100),MOD($G189,100)),INT($G189)),IF(LEN(SUBSTITUTE(SUBSTITUTE(SUBSTITUTE(TRIM($G189),"-",""),".",""),"/",""))=8,DATE(VALUE(LEFT(SUBSTITUTE(SUBSTITUTE(SUBSTITUTE(TRIM($G189),"-",""),".",""),"/",""),4)),VALUE(MID(SUBSTITUTE(SUBSTITUTE(SUBSTITUTE(TRIM($G189),"-",""),".",""),"/",""),5,2)),VALUE(RIGHT(SUBSTITUTE(SUBSTITUTE(SUBSTITUTE(TRIM($G189),"-",""),".",""),"/",""),2))),DATEVALUE($G189))),""))</f>
        <v/>
      </c>
      <c r="V189" s="52" t="str">
        <f aca="false">IF($H189="","",IFERROR(IF(IF(ISNUMBER($H189),$H189,IFERROR(TIMEVALUE($H189),VALUE($H189)))&gt;=100,INT(IF(ISNUMBER($H189),$H189,IFERROR(TIMEVALUE($H189),VALUE($H189)))/100)*60+MOD(IF(ISNUMBER($H189),$H189,IFERROR(TIMEVALUE($H189),VALUE($H189))),100),IF(IF(ISNUMBER($H189),$H189,IFERROR(TIMEVALUE($H189),VALUE($H189)))&gt;=1,ROUND(IF(ISNUMBER($H189),$H189,IFERROR(TIMEVALUE($H189),VALUE($H189)))*60,0),ROUND(MOD(IF(ISNUMBER($H189),$H189,IFERROR(TIMEVALUE($H189),VALUE($H189))),1)*1440,0))),""))</f>
        <v/>
      </c>
      <c r="W189" s="52" t="str">
        <f aca="false">IF($I189="","",IFERROR(IF(IF(ISNUMBER($I189),$I189,IFERROR(TIMEVALUE($I189),VALUE($I189)))&gt;=100,INT(IF(ISNUMBER($I189),$I189,IFERROR(TIMEVALUE($I189),VALUE($I189)))/100)*60+MOD(IF(ISNUMBER($I189),$I189,IFERROR(TIMEVALUE($I189),VALUE($I189))),100),IF(IF(ISNUMBER($I189),$I189,IFERROR(TIMEVALUE($I189),VALUE($I189)))&gt;=1,ROUND(IF(ISNUMBER($I189),$I189,IFERROR(TIMEVALUE($I189),VALUE($I189)))*60,0),ROUND(MOD(IF(ISNUMBER($I189),$I189,IFERROR(TIMEVALUE($I189),VALUE($I189))),1)*1440,0))),""))</f>
        <v/>
      </c>
      <c r="X189" s="55" t="str">
        <f aca="false">IF($P189="","",IFERROR(IF(ISNUMBER($P189),IF($P189&gt;19000000,DATE(INT($P189/10000),MOD(INT($P189/100),100),MOD($P189,100)),INT($P189)),IF(LEN(SUBSTITUTE(SUBSTITUTE(SUBSTITUTE(TRIM($P189),"-",""),".",""),"/",""))=8,DATE(VALUE(LEFT(SUBSTITUTE(SUBSTITUTE(SUBSTITUTE(TRIM($P189),"-",""),".",""),"/",""),4)),VALUE(MID(SUBSTITUTE(SUBSTITUTE(SUBSTITUTE(TRIM($P189),"-",""),".",""),"/",""),5,2)),VALUE(RIGHT(SUBSTITUTE(SUBSTITUTE(SUBSTITUTE(TRIM($P189),"-",""),".",""),"/",""),2))),DATEVALUE($P189))),""))</f>
        <v/>
      </c>
      <c r="Y189" s="56" t="str">
        <f aca="false">IF($M189="","",IFERROR(INDEX(강사DB!$D$4:$D$53,MATCH($M189,강사DB!$A$4:$A$53,0)),""))</f>
        <v/>
      </c>
      <c r="Z189" s="56" t="str">
        <f aca="false">IF($B189&lt;&gt;"결제완료","",IF(OR($Y189="",$J189=""),"",$Y189*$J189+MAX(0,N($K189)-1)*설정!$J$7))</f>
        <v/>
      </c>
      <c r="AA189" s="56" t="str">
        <f aca="false">IF(AND($D189&lt;&gt;"",$B189="결제완료"),N($N189),"")</f>
        <v/>
      </c>
      <c r="AB189" s="45" t="str">
        <f aca="false">IF($D189="","",IF($F189&lt;&gt;"",$F189,$D189)&amp;IF($B189="상담중"," (상담)",""))</f>
        <v/>
      </c>
      <c r="AC189" s="45" t="n">
        <f aca="false">IF(AND($D189&lt;&gt;"",OR($B189="결제완료",$B189="상담중")),1,0)</f>
        <v>0</v>
      </c>
      <c r="AD189" s="45" t="n">
        <f aca="false">IF(OR($Z189="",$U189=""),0,IFERROR(IF(COUNTIFS(INDEX(g_grid,0,2*MATCH($M189,강사DB!$A$4:$A$15,0)),"&lt;&gt;",g_s,"&lt;="&amp;$U189,g_e,"&gt;="&amp;$U189)&gt;0,1,0),0))</f>
        <v>0</v>
      </c>
      <c r="AE189" s="48"/>
      <c r="AF189" s="56" t="str">
        <f aca="false">IF(AND($D189&lt;&gt;"",$B189="결제완료",$T189="대여"),설정!$J$5,"")</f>
        <v/>
      </c>
      <c r="AG189" s="54" t="str">
        <f aca="false">IF($D189="","",IF(AND($E189="",$R189=""),$AB189,"☎ "&amp;IF($E189="","-",$E189)&amp;IF($R189&lt;&gt;"","  ※ "&amp;$R189,"")&amp;IF($B189="상담중"," (상담)","")))</f>
        <v/>
      </c>
      <c r="AH189" s="56" t="str">
        <f aca="false">IF(AND($D189&lt;&gt;"",$B189="결제완료",$O189="스마트스토어"),ROUND(N($N189)*설정!$J$6,0),"")</f>
        <v/>
      </c>
      <c r="AI189" s="54" t="str">
        <f aca="false">IF($D189="","",ROW())</f>
        <v/>
      </c>
      <c r="AJ189" s="54" t="n">
        <f aca="false">IF(OR($AC189&lt;&gt;1,$M189=""),0,IF(ISNUMBER(SEARCH("퇴사",IFERROR(INDEX(강사DB!$G$4:$G$53,MATCH($M189,강사DB!$A$4:$A$53,0)),""))),1,0))</f>
        <v>0</v>
      </c>
    </row>
    <row r="190" customFormat="false" ht="15" hidden="false" customHeight="false" outlineLevel="0" collapsed="false">
      <c r="A190" s="45" t="str">
        <f aca="false">IF($D190="","",COUNTA($D$5:$D190))</f>
        <v/>
      </c>
      <c r="B190" s="46"/>
      <c r="C190" s="47"/>
      <c r="D190" s="48"/>
      <c r="E190" s="48"/>
      <c r="F190" s="49"/>
      <c r="G190" s="47"/>
      <c r="H190" s="50"/>
      <c r="I190" s="50"/>
      <c r="J190" s="51" t="str">
        <f aca="false">IF(OR($V190="",$W190=""),"",ROUND(($W190-$V190)/60,2))</f>
        <v/>
      </c>
      <c r="K190" s="52" t="str">
        <f aca="false">IF($F190="","",LEN($F190)-LEN(SUBSTITUTE($F190,",",""))+1)</f>
        <v/>
      </c>
      <c r="L190" s="45" t="str">
        <f aca="false">IF($K190="","","1:"&amp;$K190)</f>
        <v/>
      </c>
      <c r="M190" s="46"/>
      <c r="N190" s="53"/>
      <c r="O190" s="46"/>
      <c r="P190" s="47"/>
      <c r="Q190" s="48"/>
      <c r="R190" s="49"/>
      <c r="S190" s="54" t="str">
        <f aca="false">IF(OR($AC190=0,$U190="",$M190="",$V190="",$W190=""),"",IF(COUNTIFS(m_teacher,$M190,m_date,$U190,m_active,1,m_start,"&lt;"&amp;$W190,m_end,"&gt;"&amp;$V190)&gt;1,"충돌",""))</f>
        <v/>
      </c>
      <c r="T190" s="48"/>
      <c r="U190" s="55" t="str">
        <f aca="false">IF($G190="","",IFERROR(IF(ISNUMBER($G190),IF($G190&gt;19000000,DATE(INT($G190/10000),MOD(INT($G190/100),100),MOD($G190,100)),INT($G190)),IF(LEN(SUBSTITUTE(SUBSTITUTE(SUBSTITUTE(TRIM($G190),"-",""),".",""),"/",""))=8,DATE(VALUE(LEFT(SUBSTITUTE(SUBSTITUTE(SUBSTITUTE(TRIM($G190),"-",""),".",""),"/",""),4)),VALUE(MID(SUBSTITUTE(SUBSTITUTE(SUBSTITUTE(TRIM($G190),"-",""),".",""),"/",""),5,2)),VALUE(RIGHT(SUBSTITUTE(SUBSTITUTE(SUBSTITUTE(TRIM($G190),"-",""),".",""),"/",""),2))),DATEVALUE($G190))),""))</f>
        <v/>
      </c>
      <c r="V190" s="52" t="str">
        <f aca="false">IF($H190="","",IFERROR(IF(IF(ISNUMBER($H190),$H190,IFERROR(TIMEVALUE($H190),VALUE($H190)))&gt;=100,INT(IF(ISNUMBER($H190),$H190,IFERROR(TIMEVALUE($H190),VALUE($H190)))/100)*60+MOD(IF(ISNUMBER($H190),$H190,IFERROR(TIMEVALUE($H190),VALUE($H190))),100),IF(IF(ISNUMBER($H190),$H190,IFERROR(TIMEVALUE($H190),VALUE($H190)))&gt;=1,ROUND(IF(ISNUMBER($H190),$H190,IFERROR(TIMEVALUE($H190),VALUE($H190)))*60,0),ROUND(MOD(IF(ISNUMBER($H190),$H190,IFERROR(TIMEVALUE($H190),VALUE($H190))),1)*1440,0))),""))</f>
        <v/>
      </c>
      <c r="W190" s="52" t="str">
        <f aca="false">IF($I190="","",IFERROR(IF(IF(ISNUMBER($I190),$I190,IFERROR(TIMEVALUE($I190),VALUE($I190)))&gt;=100,INT(IF(ISNUMBER($I190),$I190,IFERROR(TIMEVALUE($I190),VALUE($I190)))/100)*60+MOD(IF(ISNUMBER($I190),$I190,IFERROR(TIMEVALUE($I190),VALUE($I190))),100),IF(IF(ISNUMBER($I190),$I190,IFERROR(TIMEVALUE($I190),VALUE($I190)))&gt;=1,ROUND(IF(ISNUMBER($I190),$I190,IFERROR(TIMEVALUE($I190),VALUE($I190)))*60,0),ROUND(MOD(IF(ISNUMBER($I190),$I190,IFERROR(TIMEVALUE($I190),VALUE($I190))),1)*1440,0))),""))</f>
        <v/>
      </c>
      <c r="X190" s="55" t="str">
        <f aca="false">IF($P190="","",IFERROR(IF(ISNUMBER($P190),IF($P190&gt;19000000,DATE(INT($P190/10000),MOD(INT($P190/100),100),MOD($P190,100)),INT($P190)),IF(LEN(SUBSTITUTE(SUBSTITUTE(SUBSTITUTE(TRIM($P190),"-",""),".",""),"/",""))=8,DATE(VALUE(LEFT(SUBSTITUTE(SUBSTITUTE(SUBSTITUTE(TRIM($P190),"-",""),".",""),"/",""),4)),VALUE(MID(SUBSTITUTE(SUBSTITUTE(SUBSTITUTE(TRIM($P190),"-",""),".",""),"/",""),5,2)),VALUE(RIGHT(SUBSTITUTE(SUBSTITUTE(SUBSTITUTE(TRIM($P190),"-",""),".",""),"/",""),2))),DATEVALUE($P190))),""))</f>
        <v/>
      </c>
      <c r="Y190" s="56" t="str">
        <f aca="false">IF($M190="","",IFERROR(INDEX(강사DB!$D$4:$D$53,MATCH($M190,강사DB!$A$4:$A$53,0)),""))</f>
        <v/>
      </c>
      <c r="Z190" s="56" t="str">
        <f aca="false">IF($B190&lt;&gt;"결제완료","",IF(OR($Y190="",$J190=""),"",$Y190*$J190+MAX(0,N($K190)-1)*설정!$J$7))</f>
        <v/>
      </c>
      <c r="AA190" s="56" t="str">
        <f aca="false">IF(AND($D190&lt;&gt;"",$B190="결제완료"),N($N190),"")</f>
        <v/>
      </c>
      <c r="AB190" s="45" t="str">
        <f aca="false">IF($D190="","",IF($F190&lt;&gt;"",$F190,$D190)&amp;IF($B190="상담중"," (상담)",""))</f>
        <v/>
      </c>
      <c r="AC190" s="45" t="n">
        <f aca="false">IF(AND($D190&lt;&gt;"",OR($B190="결제완료",$B190="상담중")),1,0)</f>
        <v>0</v>
      </c>
      <c r="AD190" s="45" t="n">
        <f aca="false">IF(OR($Z190="",$U190=""),0,IFERROR(IF(COUNTIFS(INDEX(g_grid,0,2*MATCH($M190,강사DB!$A$4:$A$15,0)),"&lt;&gt;",g_s,"&lt;="&amp;$U190,g_e,"&gt;="&amp;$U190)&gt;0,1,0),0))</f>
        <v>0</v>
      </c>
      <c r="AE190" s="48"/>
      <c r="AF190" s="56" t="str">
        <f aca="false">IF(AND($D190&lt;&gt;"",$B190="결제완료",$T190="대여"),설정!$J$5,"")</f>
        <v/>
      </c>
      <c r="AG190" s="54" t="str">
        <f aca="false">IF($D190="","",IF(AND($E190="",$R190=""),$AB190,"☎ "&amp;IF($E190="","-",$E190)&amp;IF($R190&lt;&gt;"","  ※ "&amp;$R190,"")&amp;IF($B190="상담중"," (상담)","")))</f>
        <v/>
      </c>
      <c r="AH190" s="56" t="str">
        <f aca="false">IF(AND($D190&lt;&gt;"",$B190="결제완료",$O190="스마트스토어"),ROUND(N($N190)*설정!$J$6,0),"")</f>
        <v/>
      </c>
      <c r="AI190" s="54" t="str">
        <f aca="false">IF($D190="","",ROW())</f>
        <v/>
      </c>
      <c r="AJ190" s="54" t="n">
        <f aca="false">IF(OR($AC190&lt;&gt;1,$M190=""),0,IF(ISNUMBER(SEARCH("퇴사",IFERROR(INDEX(강사DB!$G$4:$G$53,MATCH($M190,강사DB!$A$4:$A$53,0)),""))),1,0))</f>
        <v>0</v>
      </c>
    </row>
    <row r="191" customFormat="false" ht="15" hidden="false" customHeight="false" outlineLevel="0" collapsed="false">
      <c r="A191" s="45" t="str">
        <f aca="false">IF($D191="","",COUNTA($D$5:$D191))</f>
        <v/>
      </c>
      <c r="B191" s="46"/>
      <c r="C191" s="47"/>
      <c r="D191" s="48"/>
      <c r="E191" s="48"/>
      <c r="F191" s="49"/>
      <c r="G191" s="47"/>
      <c r="H191" s="50"/>
      <c r="I191" s="50"/>
      <c r="J191" s="51" t="str">
        <f aca="false">IF(OR($V191="",$W191=""),"",ROUND(($W191-$V191)/60,2))</f>
        <v/>
      </c>
      <c r="K191" s="52" t="str">
        <f aca="false">IF($F191="","",LEN($F191)-LEN(SUBSTITUTE($F191,",",""))+1)</f>
        <v/>
      </c>
      <c r="L191" s="45" t="str">
        <f aca="false">IF($K191="","","1:"&amp;$K191)</f>
        <v/>
      </c>
      <c r="M191" s="46"/>
      <c r="N191" s="53"/>
      <c r="O191" s="46"/>
      <c r="P191" s="47"/>
      <c r="Q191" s="48"/>
      <c r="R191" s="49"/>
      <c r="S191" s="54" t="str">
        <f aca="false">IF(OR($AC191=0,$U191="",$M191="",$V191="",$W191=""),"",IF(COUNTIFS(m_teacher,$M191,m_date,$U191,m_active,1,m_start,"&lt;"&amp;$W191,m_end,"&gt;"&amp;$V191)&gt;1,"충돌",""))</f>
        <v/>
      </c>
      <c r="T191" s="48"/>
      <c r="U191" s="55" t="str">
        <f aca="false">IF($G191="","",IFERROR(IF(ISNUMBER($G191),IF($G191&gt;19000000,DATE(INT($G191/10000),MOD(INT($G191/100),100),MOD($G191,100)),INT($G191)),IF(LEN(SUBSTITUTE(SUBSTITUTE(SUBSTITUTE(TRIM($G191),"-",""),".",""),"/",""))=8,DATE(VALUE(LEFT(SUBSTITUTE(SUBSTITUTE(SUBSTITUTE(TRIM($G191),"-",""),".",""),"/",""),4)),VALUE(MID(SUBSTITUTE(SUBSTITUTE(SUBSTITUTE(TRIM($G191),"-",""),".",""),"/",""),5,2)),VALUE(RIGHT(SUBSTITUTE(SUBSTITUTE(SUBSTITUTE(TRIM($G191),"-",""),".",""),"/",""),2))),DATEVALUE($G191))),""))</f>
        <v/>
      </c>
      <c r="V191" s="52" t="str">
        <f aca="false">IF($H191="","",IFERROR(IF(IF(ISNUMBER($H191),$H191,IFERROR(TIMEVALUE($H191),VALUE($H191)))&gt;=100,INT(IF(ISNUMBER($H191),$H191,IFERROR(TIMEVALUE($H191),VALUE($H191)))/100)*60+MOD(IF(ISNUMBER($H191),$H191,IFERROR(TIMEVALUE($H191),VALUE($H191))),100),IF(IF(ISNUMBER($H191),$H191,IFERROR(TIMEVALUE($H191),VALUE($H191)))&gt;=1,ROUND(IF(ISNUMBER($H191),$H191,IFERROR(TIMEVALUE($H191),VALUE($H191)))*60,0),ROUND(MOD(IF(ISNUMBER($H191),$H191,IFERROR(TIMEVALUE($H191),VALUE($H191))),1)*1440,0))),""))</f>
        <v/>
      </c>
      <c r="W191" s="52" t="str">
        <f aca="false">IF($I191="","",IFERROR(IF(IF(ISNUMBER($I191),$I191,IFERROR(TIMEVALUE($I191),VALUE($I191)))&gt;=100,INT(IF(ISNUMBER($I191),$I191,IFERROR(TIMEVALUE($I191),VALUE($I191)))/100)*60+MOD(IF(ISNUMBER($I191),$I191,IFERROR(TIMEVALUE($I191),VALUE($I191))),100),IF(IF(ISNUMBER($I191),$I191,IFERROR(TIMEVALUE($I191),VALUE($I191)))&gt;=1,ROUND(IF(ISNUMBER($I191),$I191,IFERROR(TIMEVALUE($I191),VALUE($I191)))*60,0),ROUND(MOD(IF(ISNUMBER($I191),$I191,IFERROR(TIMEVALUE($I191),VALUE($I191))),1)*1440,0))),""))</f>
        <v/>
      </c>
      <c r="X191" s="55" t="str">
        <f aca="false">IF($P191="","",IFERROR(IF(ISNUMBER($P191),IF($P191&gt;19000000,DATE(INT($P191/10000),MOD(INT($P191/100),100),MOD($P191,100)),INT($P191)),IF(LEN(SUBSTITUTE(SUBSTITUTE(SUBSTITUTE(TRIM($P191),"-",""),".",""),"/",""))=8,DATE(VALUE(LEFT(SUBSTITUTE(SUBSTITUTE(SUBSTITUTE(TRIM($P191),"-",""),".",""),"/",""),4)),VALUE(MID(SUBSTITUTE(SUBSTITUTE(SUBSTITUTE(TRIM($P191),"-",""),".",""),"/",""),5,2)),VALUE(RIGHT(SUBSTITUTE(SUBSTITUTE(SUBSTITUTE(TRIM($P191),"-",""),".",""),"/",""),2))),DATEVALUE($P191))),""))</f>
        <v/>
      </c>
      <c r="Y191" s="56" t="str">
        <f aca="false">IF($M191="","",IFERROR(INDEX(강사DB!$D$4:$D$53,MATCH($M191,강사DB!$A$4:$A$53,0)),""))</f>
        <v/>
      </c>
      <c r="Z191" s="56" t="str">
        <f aca="false">IF($B191&lt;&gt;"결제완료","",IF(OR($Y191="",$J191=""),"",$Y191*$J191+MAX(0,N($K191)-1)*설정!$J$7))</f>
        <v/>
      </c>
      <c r="AA191" s="56" t="str">
        <f aca="false">IF(AND($D191&lt;&gt;"",$B191="결제완료"),N($N191),"")</f>
        <v/>
      </c>
      <c r="AB191" s="45" t="str">
        <f aca="false">IF($D191="","",IF($F191&lt;&gt;"",$F191,$D191)&amp;IF($B191="상담중"," (상담)",""))</f>
        <v/>
      </c>
      <c r="AC191" s="45" t="n">
        <f aca="false">IF(AND($D191&lt;&gt;"",OR($B191="결제완료",$B191="상담중")),1,0)</f>
        <v>0</v>
      </c>
      <c r="AD191" s="45" t="n">
        <f aca="false">IF(OR($Z191="",$U191=""),0,IFERROR(IF(COUNTIFS(INDEX(g_grid,0,2*MATCH($M191,강사DB!$A$4:$A$15,0)),"&lt;&gt;",g_s,"&lt;="&amp;$U191,g_e,"&gt;="&amp;$U191)&gt;0,1,0),0))</f>
        <v>0</v>
      </c>
      <c r="AE191" s="48"/>
      <c r="AF191" s="56" t="str">
        <f aca="false">IF(AND($D191&lt;&gt;"",$B191="결제완료",$T191="대여"),설정!$J$5,"")</f>
        <v/>
      </c>
      <c r="AG191" s="54" t="str">
        <f aca="false">IF($D191="","",IF(AND($E191="",$R191=""),$AB191,"☎ "&amp;IF($E191="","-",$E191)&amp;IF($R191&lt;&gt;"","  ※ "&amp;$R191,"")&amp;IF($B191="상담중"," (상담)","")))</f>
        <v/>
      </c>
      <c r="AH191" s="56" t="str">
        <f aca="false">IF(AND($D191&lt;&gt;"",$B191="결제완료",$O191="스마트스토어"),ROUND(N($N191)*설정!$J$6,0),"")</f>
        <v/>
      </c>
      <c r="AI191" s="54" t="str">
        <f aca="false">IF($D191="","",ROW())</f>
        <v/>
      </c>
      <c r="AJ191" s="54" t="n">
        <f aca="false">IF(OR($AC191&lt;&gt;1,$M191=""),0,IF(ISNUMBER(SEARCH("퇴사",IFERROR(INDEX(강사DB!$G$4:$G$53,MATCH($M191,강사DB!$A$4:$A$53,0)),""))),1,0))</f>
        <v>0</v>
      </c>
    </row>
    <row r="192" customFormat="false" ht="15" hidden="false" customHeight="false" outlineLevel="0" collapsed="false">
      <c r="A192" s="45" t="str">
        <f aca="false">IF($D192="","",COUNTA($D$5:$D192))</f>
        <v/>
      </c>
      <c r="B192" s="46"/>
      <c r="C192" s="47"/>
      <c r="D192" s="48"/>
      <c r="E192" s="48"/>
      <c r="F192" s="49"/>
      <c r="G192" s="47"/>
      <c r="H192" s="50"/>
      <c r="I192" s="50"/>
      <c r="J192" s="51" t="str">
        <f aca="false">IF(OR($V192="",$W192=""),"",ROUND(($W192-$V192)/60,2))</f>
        <v/>
      </c>
      <c r="K192" s="52" t="str">
        <f aca="false">IF($F192="","",LEN($F192)-LEN(SUBSTITUTE($F192,",",""))+1)</f>
        <v/>
      </c>
      <c r="L192" s="45" t="str">
        <f aca="false">IF($K192="","","1:"&amp;$K192)</f>
        <v/>
      </c>
      <c r="M192" s="46"/>
      <c r="N192" s="53"/>
      <c r="O192" s="46"/>
      <c r="P192" s="47"/>
      <c r="Q192" s="48"/>
      <c r="R192" s="49"/>
      <c r="S192" s="54" t="str">
        <f aca="false">IF(OR($AC192=0,$U192="",$M192="",$V192="",$W192=""),"",IF(COUNTIFS(m_teacher,$M192,m_date,$U192,m_active,1,m_start,"&lt;"&amp;$W192,m_end,"&gt;"&amp;$V192)&gt;1,"충돌",""))</f>
        <v/>
      </c>
      <c r="T192" s="48"/>
      <c r="U192" s="55" t="str">
        <f aca="false">IF($G192="","",IFERROR(IF(ISNUMBER($G192),IF($G192&gt;19000000,DATE(INT($G192/10000),MOD(INT($G192/100),100),MOD($G192,100)),INT($G192)),IF(LEN(SUBSTITUTE(SUBSTITUTE(SUBSTITUTE(TRIM($G192),"-",""),".",""),"/",""))=8,DATE(VALUE(LEFT(SUBSTITUTE(SUBSTITUTE(SUBSTITUTE(TRIM($G192),"-",""),".",""),"/",""),4)),VALUE(MID(SUBSTITUTE(SUBSTITUTE(SUBSTITUTE(TRIM($G192),"-",""),".",""),"/",""),5,2)),VALUE(RIGHT(SUBSTITUTE(SUBSTITUTE(SUBSTITUTE(TRIM($G192),"-",""),".",""),"/",""),2))),DATEVALUE($G192))),""))</f>
        <v/>
      </c>
      <c r="V192" s="52" t="str">
        <f aca="false">IF($H192="","",IFERROR(IF(IF(ISNUMBER($H192),$H192,IFERROR(TIMEVALUE($H192),VALUE($H192)))&gt;=100,INT(IF(ISNUMBER($H192),$H192,IFERROR(TIMEVALUE($H192),VALUE($H192)))/100)*60+MOD(IF(ISNUMBER($H192),$H192,IFERROR(TIMEVALUE($H192),VALUE($H192))),100),IF(IF(ISNUMBER($H192),$H192,IFERROR(TIMEVALUE($H192),VALUE($H192)))&gt;=1,ROUND(IF(ISNUMBER($H192),$H192,IFERROR(TIMEVALUE($H192),VALUE($H192)))*60,0),ROUND(MOD(IF(ISNUMBER($H192),$H192,IFERROR(TIMEVALUE($H192),VALUE($H192))),1)*1440,0))),""))</f>
        <v/>
      </c>
      <c r="W192" s="52" t="str">
        <f aca="false">IF($I192="","",IFERROR(IF(IF(ISNUMBER($I192),$I192,IFERROR(TIMEVALUE($I192),VALUE($I192)))&gt;=100,INT(IF(ISNUMBER($I192),$I192,IFERROR(TIMEVALUE($I192),VALUE($I192)))/100)*60+MOD(IF(ISNUMBER($I192),$I192,IFERROR(TIMEVALUE($I192),VALUE($I192))),100),IF(IF(ISNUMBER($I192),$I192,IFERROR(TIMEVALUE($I192),VALUE($I192)))&gt;=1,ROUND(IF(ISNUMBER($I192),$I192,IFERROR(TIMEVALUE($I192),VALUE($I192)))*60,0),ROUND(MOD(IF(ISNUMBER($I192),$I192,IFERROR(TIMEVALUE($I192),VALUE($I192))),1)*1440,0))),""))</f>
        <v/>
      </c>
      <c r="X192" s="55" t="str">
        <f aca="false">IF($P192="","",IFERROR(IF(ISNUMBER($P192),IF($P192&gt;19000000,DATE(INT($P192/10000),MOD(INT($P192/100),100),MOD($P192,100)),INT($P192)),IF(LEN(SUBSTITUTE(SUBSTITUTE(SUBSTITUTE(TRIM($P192),"-",""),".",""),"/",""))=8,DATE(VALUE(LEFT(SUBSTITUTE(SUBSTITUTE(SUBSTITUTE(TRIM($P192),"-",""),".",""),"/",""),4)),VALUE(MID(SUBSTITUTE(SUBSTITUTE(SUBSTITUTE(TRIM($P192),"-",""),".",""),"/",""),5,2)),VALUE(RIGHT(SUBSTITUTE(SUBSTITUTE(SUBSTITUTE(TRIM($P192),"-",""),".",""),"/",""),2))),DATEVALUE($P192))),""))</f>
        <v/>
      </c>
      <c r="Y192" s="56" t="str">
        <f aca="false">IF($M192="","",IFERROR(INDEX(강사DB!$D$4:$D$53,MATCH($M192,강사DB!$A$4:$A$53,0)),""))</f>
        <v/>
      </c>
      <c r="Z192" s="56" t="str">
        <f aca="false">IF($B192&lt;&gt;"결제완료","",IF(OR($Y192="",$J192=""),"",$Y192*$J192+MAX(0,N($K192)-1)*설정!$J$7))</f>
        <v/>
      </c>
      <c r="AA192" s="56" t="str">
        <f aca="false">IF(AND($D192&lt;&gt;"",$B192="결제완료"),N($N192),"")</f>
        <v/>
      </c>
      <c r="AB192" s="45" t="str">
        <f aca="false">IF($D192="","",IF($F192&lt;&gt;"",$F192,$D192)&amp;IF($B192="상담중"," (상담)",""))</f>
        <v/>
      </c>
      <c r="AC192" s="45" t="n">
        <f aca="false">IF(AND($D192&lt;&gt;"",OR($B192="결제완료",$B192="상담중")),1,0)</f>
        <v>0</v>
      </c>
      <c r="AD192" s="45" t="n">
        <f aca="false">IF(OR($Z192="",$U192=""),0,IFERROR(IF(COUNTIFS(INDEX(g_grid,0,2*MATCH($M192,강사DB!$A$4:$A$15,0)),"&lt;&gt;",g_s,"&lt;="&amp;$U192,g_e,"&gt;="&amp;$U192)&gt;0,1,0),0))</f>
        <v>0</v>
      </c>
      <c r="AE192" s="48"/>
      <c r="AF192" s="56" t="str">
        <f aca="false">IF(AND($D192&lt;&gt;"",$B192="결제완료",$T192="대여"),설정!$J$5,"")</f>
        <v/>
      </c>
      <c r="AG192" s="54" t="str">
        <f aca="false">IF($D192="","",IF(AND($E192="",$R192=""),$AB192,"☎ "&amp;IF($E192="","-",$E192)&amp;IF($R192&lt;&gt;"","  ※ "&amp;$R192,"")&amp;IF($B192="상담중"," (상담)","")))</f>
        <v/>
      </c>
      <c r="AH192" s="56" t="str">
        <f aca="false">IF(AND($D192&lt;&gt;"",$B192="결제완료",$O192="스마트스토어"),ROUND(N($N192)*설정!$J$6,0),"")</f>
        <v/>
      </c>
      <c r="AI192" s="54" t="str">
        <f aca="false">IF($D192="","",ROW())</f>
        <v/>
      </c>
      <c r="AJ192" s="54" t="n">
        <f aca="false">IF(OR($AC192&lt;&gt;1,$M192=""),0,IF(ISNUMBER(SEARCH("퇴사",IFERROR(INDEX(강사DB!$G$4:$G$53,MATCH($M192,강사DB!$A$4:$A$53,0)),""))),1,0))</f>
        <v>0</v>
      </c>
    </row>
    <row r="193" customFormat="false" ht="15" hidden="false" customHeight="false" outlineLevel="0" collapsed="false">
      <c r="A193" s="45" t="str">
        <f aca="false">IF($D193="","",COUNTA($D$5:$D193))</f>
        <v/>
      </c>
      <c r="B193" s="46"/>
      <c r="C193" s="47"/>
      <c r="D193" s="48"/>
      <c r="E193" s="48"/>
      <c r="F193" s="49"/>
      <c r="G193" s="47"/>
      <c r="H193" s="50"/>
      <c r="I193" s="50"/>
      <c r="J193" s="51" t="str">
        <f aca="false">IF(OR($V193="",$W193=""),"",ROUND(($W193-$V193)/60,2))</f>
        <v/>
      </c>
      <c r="K193" s="52" t="str">
        <f aca="false">IF($F193="","",LEN($F193)-LEN(SUBSTITUTE($F193,",",""))+1)</f>
        <v/>
      </c>
      <c r="L193" s="45" t="str">
        <f aca="false">IF($K193="","","1:"&amp;$K193)</f>
        <v/>
      </c>
      <c r="M193" s="46"/>
      <c r="N193" s="53"/>
      <c r="O193" s="46"/>
      <c r="P193" s="47"/>
      <c r="Q193" s="48"/>
      <c r="R193" s="49"/>
      <c r="S193" s="54" t="str">
        <f aca="false">IF(OR($AC193=0,$U193="",$M193="",$V193="",$W193=""),"",IF(COUNTIFS(m_teacher,$M193,m_date,$U193,m_active,1,m_start,"&lt;"&amp;$W193,m_end,"&gt;"&amp;$V193)&gt;1,"충돌",""))</f>
        <v/>
      </c>
      <c r="T193" s="48"/>
      <c r="U193" s="55" t="str">
        <f aca="false">IF($G193="","",IFERROR(IF(ISNUMBER($G193),IF($G193&gt;19000000,DATE(INT($G193/10000),MOD(INT($G193/100),100),MOD($G193,100)),INT($G193)),IF(LEN(SUBSTITUTE(SUBSTITUTE(SUBSTITUTE(TRIM($G193),"-",""),".",""),"/",""))=8,DATE(VALUE(LEFT(SUBSTITUTE(SUBSTITUTE(SUBSTITUTE(TRIM($G193),"-",""),".",""),"/",""),4)),VALUE(MID(SUBSTITUTE(SUBSTITUTE(SUBSTITUTE(TRIM($G193),"-",""),".",""),"/",""),5,2)),VALUE(RIGHT(SUBSTITUTE(SUBSTITUTE(SUBSTITUTE(TRIM($G193),"-",""),".",""),"/",""),2))),DATEVALUE($G193))),""))</f>
        <v/>
      </c>
      <c r="V193" s="52" t="str">
        <f aca="false">IF($H193="","",IFERROR(IF(IF(ISNUMBER($H193),$H193,IFERROR(TIMEVALUE($H193),VALUE($H193)))&gt;=100,INT(IF(ISNUMBER($H193),$H193,IFERROR(TIMEVALUE($H193),VALUE($H193)))/100)*60+MOD(IF(ISNUMBER($H193),$H193,IFERROR(TIMEVALUE($H193),VALUE($H193))),100),IF(IF(ISNUMBER($H193),$H193,IFERROR(TIMEVALUE($H193),VALUE($H193)))&gt;=1,ROUND(IF(ISNUMBER($H193),$H193,IFERROR(TIMEVALUE($H193),VALUE($H193)))*60,0),ROUND(MOD(IF(ISNUMBER($H193),$H193,IFERROR(TIMEVALUE($H193),VALUE($H193))),1)*1440,0))),""))</f>
        <v/>
      </c>
      <c r="W193" s="52" t="str">
        <f aca="false">IF($I193="","",IFERROR(IF(IF(ISNUMBER($I193),$I193,IFERROR(TIMEVALUE($I193),VALUE($I193)))&gt;=100,INT(IF(ISNUMBER($I193),$I193,IFERROR(TIMEVALUE($I193),VALUE($I193)))/100)*60+MOD(IF(ISNUMBER($I193),$I193,IFERROR(TIMEVALUE($I193),VALUE($I193))),100),IF(IF(ISNUMBER($I193),$I193,IFERROR(TIMEVALUE($I193),VALUE($I193)))&gt;=1,ROUND(IF(ISNUMBER($I193),$I193,IFERROR(TIMEVALUE($I193),VALUE($I193)))*60,0),ROUND(MOD(IF(ISNUMBER($I193),$I193,IFERROR(TIMEVALUE($I193),VALUE($I193))),1)*1440,0))),""))</f>
        <v/>
      </c>
      <c r="X193" s="55" t="str">
        <f aca="false">IF($P193="","",IFERROR(IF(ISNUMBER($P193),IF($P193&gt;19000000,DATE(INT($P193/10000),MOD(INT($P193/100),100),MOD($P193,100)),INT($P193)),IF(LEN(SUBSTITUTE(SUBSTITUTE(SUBSTITUTE(TRIM($P193),"-",""),".",""),"/",""))=8,DATE(VALUE(LEFT(SUBSTITUTE(SUBSTITUTE(SUBSTITUTE(TRIM($P193),"-",""),".",""),"/",""),4)),VALUE(MID(SUBSTITUTE(SUBSTITUTE(SUBSTITUTE(TRIM($P193),"-",""),".",""),"/",""),5,2)),VALUE(RIGHT(SUBSTITUTE(SUBSTITUTE(SUBSTITUTE(TRIM($P193),"-",""),".",""),"/",""),2))),DATEVALUE($P193))),""))</f>
        <v/>
      </c>
      <c r="Y193" s="56" t="str">
        <f aca="false">IF($M193="","",IFERROR(INDEX(강사DB!$D$4:$D$53,MATCH($M193,강사DB!$A$4:$A$53,0)),""))</f>
        <v/>
      </c>
      <c r="Z193" s="56" t="str">
        <f aca="false">IF($B193&lt;&gt;"결제완료","",IF(OR($Y193="",$J193=""),"",$Y193*$J193+MAX(0,N($K193)-1)*설정!$J$7))</f>
        <v/>
      </c>
      <c r="AA193" s="56" t="str">
        <f aca="false">IF(AND($D193&lt;&gt;"",$B193="결제완료"),N($N193),"")</f>
        <v/>
      </c>
      <c r="AB193" s="45" t="str">
        <f aca="false">IF($D193="","",IF($F193&lt;&gt;"",$F193,$D193)&amp;IF($B193="상담중"," (상담)",""))</f>
        <v/>
      </c>
      <c r="AC193" s="45" t="n">
        <f aca="false">IF(AND($D193&lt;&gt;"",OR($B193="결제완료",$B193="상담중")),1,0)</f>
        <v>0</v>
      </c>
      <c r="AD193" s="45" t="n">
        <f aca="false">IF(OR($Z193="",$U193=""),0,IFERROR(IF(COUNTIFS(INDEX(g_grid,0,2*MATCH($M193,강사DB!$A$4:$A$15,0)),"&lt;&gt;",g_s,"&lt;="&amp;$U193,g_e,"&gt;="&amp;$U193)&gt;0,1,0),0))</f>
        <v>0</v>
      </c>
      <c r="AE193" s="48"/>
      <c r="AF193" s="56" t="str">
        <f aca="false">IF(AND($D193&lt;&gt;"",$B193="결제완료",$T193="대여"),설정!$J$5,"")</f>
        <v/>
      </c>
      <c r="AG193" s="54" t="str">
        <f aca="false">IF($D193="","",IF(AND($E193="",$R193=""),$AB193,"☎ "&amp;IF($E193="","-",$E193)&amp;IF($R193&lt;&gt;"","  ※ "&amp;$R193,"")&amp;IF($B193="상담중"," (상담)","")))</f>
        <v/>
      </c>
      <c r="AH193" s="56" t="str">
        <f aca="false">IF(AND($D193&lt;&gt;"",$B193="결제완료",$O193="스마트스토어"),ROUND(N($N193)*설정!$J$6,0),"")</f>
        <v/>
      </c>
      <c r="AI193" s="54" t="str">
        <f aca="false">IF($D193="","",ROW())</f>
        <v/>
      </c>
      <c r="AJ193" s="54" t="n">
        <f aca="false">IF(OR($AC193&lt;&gt;1,$M193=""),0,IF(ISNUMBER(SEARCH("퇴사",IFERROR(INDEX(강사DB!$G$4:$G$53,MATCH($M193,강사DB!$A$4:$A$53,0)),""))),1,0))</f>
        <v>0</v>
      </c>
    </row>
    <row r="194" customFormat="false" ht="15" hidden="false" customHeight="false" outlineLevel="0" collapsed="false">
      <c r="A194" s="45" t="str">
        <f aca="false">IF($D194="","",COUNTA($D$5:$D194))</f>
        <v/>
      </c>
      <c r="B194" s="46"/>
      <c r="C194" s="47"/>
      <c r="D194" s="48"/>
      <c r="E194" s="48"/>
      <c r="F194" s="49"/>
      <c r="G194" s="47"/>
      <c r="H194" s="50"/>
      <c r="I194" s="50"/>
      <c r="J194" s="51" t="str">
        <f aca="false">IF(OR($V194="",$W194=""),"",ROUND(($W194-$V194)/60,2))</f>
        <v/>
      </c>
      <c r="K194" s="52" t="str">
        <f aca="false">IF($F194="","",LEN($F194)-LEN(SUBSTITUTE($F194,",",""))+1)</f>
        <v/>
      </c>
      <c r="L194" s="45" t="str">
        <f aca="false">IF($K194="","","1:"&amp;$K194)</f>
        <v/>
      </c>
      <c r="M194" s="46"/>
      <c r="N194" s="53"/>
      <c r="O194" s="46"/>
      <c r="P194" s="47"/>
      <c r="Q194" s="48"/>
      <c r="R194" s="49"/>
      <c r="S194" s="54" t="str">
        <f aca="false">IF(OR($AC194=0,$U194="",$M194="",$V194="",$W194=""),"",IF(COUNTIFS(m_teacher,$M194,m_date,$U194,m_active,1,m_start,"&lt;"&amp;$W194,m_end,"&gt;"&amp;$V194)&gt;1,"충돌",""))</f>
        <v/>
      </c>
      <c r="T194" s="48"/>
      <c r="U194" s="55" t="str">
        <f aca="false">IF($G194="","",IFERROR(IF(ISNUMBER($G194),IF($G194&gt;19000000,DATE(INT($G194/10000),MOD(INT($G194/100),100),MOD($G194,100)),INT($G194)),IF(LEN(SUBSTITUTE(SUBSTITUTE(SUBSTITUTE(TRIM($G194),"-",""),".",""),"/",""))=8,DATE(VALUE(LEFT(SUBSTITUTE(SUBSTITUTE(SUBSTITUTE(TRIM($G194),"-",""),".",""),"/",""),4)),VALUE(MID(SUBSTITUTE(SUBSTITUTE(SUBSTITUTE(TRIM($G194),"-",""),".",""),"/",""),5,2)),VALUE(RIGHT(SUBSTITUTE(SUBSTITUTE(SUBSTITUTE(TRIM($G194),"-",""),".",""),"/",""),2))),DATEVALUE($G194))),""))</f>
        <v/>
      </c>
      <c r="V194" s="52" t="str">
        <f aca="false">IF($H194="","",IFERROR(IF(IF(ISNUMBER($H194),$H194,IFERROR(TIMEVALUE($H194),VALUE($H194)))&gt;=100,INT(IF(ISNUMBER($H194),$H194,IFERROR(TIMEVALUE($H194),VALUE($H194)))/100)*60+MOD(IF(ISNUMBER($H194),$H194,IFERROR(TIMEVALUE($H194),VALUE($H194))),100),IF(IF(ISNUMBER($H194),$H194,IFERROR(TIMEVALUE($H194),VALUE($H194)))&gt;=1,ROUND(IF(ISNUMBER($H194),$H194,IFERROR(TIMEVALUE($H194),VALUE($H194)))*60,0),ROUND(MOD(IF(ISNUMBER($H194),$H194,IFERROR(TIMEVALUE($H194),VALUE($H194))),1)*1440,0))),""))</f>
        <v/>
      </c>
      <c r="W194" s="52" t="str">
        <f aca="false">IF($I194="","",IFERROR(IF(IF(ISNUMBER($I194),$I194,IFERROR(TIMEVALUE($I194),VALUE($I194)))&gt;=100,INT(IF(ISNUMBER($I194),$I194,IFERROR(TIMEVALUE($I194),VALUE($I194)))/100)*60+MOD(IF(ISNUMBER($I194),$I194,IFERROR(TIMEVALUE($I194),VALUE($I194))),100),IF(IF(ISNUMBER($I194),$I194,IFERROR(TIMEVALUE($I194),VALUE($I194)))&gt;=1,ROUND(IF(ISNUMBER($I194),$I194,IFERROR(TIMEVALUE($I194),VALUE($I194)))*60,0),ROUND(MOD(IF(ISNUMBER($I194),$I194,IFERROR(TIMEVALUE($I194),VALUE($I194))),1)*1440,0))),""))</f>
        <v/>
      </c>
      <c r="X194" s="55" t="str">
        <f aca="false">IF($P194="","",IFERROR(IF(ISNUMBER($P194),IF($P194&gt;19000000,DATE(INT($P194/10000),MOD(INT($P194/100),100),MOD($P194,100)),INT($P194)),IF(LEN(SUBSTITUTE(SUBSTITUTE(SUBSTITUTE(TRIM($P194),"-",""),".",""),"/",""))=8,DATE(VALUE(LEFT(SUBSTITUTE(SUBSTITUTE(SUBSTITUTE(TRIM($P194),"-",""),".",""),"/",""),4)),VALUE(MID(SUBSTITUTE(SUBSTITUTE(SUBSTITUTE(TRIM($P194),"-",""),".",""),"/",""),5,2)),VALUE(RIGHT(SUBSTITUTE(SUBSTITUTE(SUBSTITUTE(TRIM($P194),"-",""),".",""),"/",""),2))),DATEVALUE($P194))),""))</f>
        <v/>
      </c>
      <c r="Y194" s="56" t="str">
        <f aca="false">IF($M194="","",IFERROR(INDEX(강사DB!$D$4:$D$53,MATCH($M194,강사DB!$A$4:$A$53,0)),""))</f>
        <v/>
      </c>
      <c r="Z194" s="56" t="str">
        <f aca="false">IF($B194&lt;&gt;"결제완료","",IF(OR($Y194="",$J194=""),"",$Y194*$J194+MAX(0,N($K194)-1)*설정!$J$7))</f>
        <v/>
      </c>
      <c r="AA194" s="56" t="str">
        <f aca="false">IF(AND($D194&lt;&gt;"",$B194="결제완료"),N($N194),"")</f>
        <v/>
      </c>
      <c r="AB194" s="45" t="str">
        <f aca="false">IF($D194="","",IF($F194&lt;&gt;"",$F194,$D194)&amp;IF($B194="상담중"," (상담)",""))</f>
        <v/>
      </c>
      <c r="AC194" s="45" t="n">
        <f aca="false">IF(AND($D194&lt;&gt;"",OR($B194="결제완료",$B194="상담중")),1,0)</f>
        <v>0</v>
      </c>
      <c r="AD194" s="45" t="n">
        <f aca="false">IF(OR($Z194="",$U194=""),0,IFERROR(IF(COUNTIFS(INDEX(g_grid,0,2*MATCH($M194,강사DB!$A$4:$A$15,0)),"&lt;&gt;",g_s,"&lt;="&amp;$U194,g_e,"&gt;="&amp;$U194)&gt;0,1,0),0))</f>
        <v>0</v>
      </c>
      <c r="AE194" s="48"/>
      <c r="AF194" s="56" t="str">
        <f aca="false">IF(AND($D194&lt;&gt;"",$B194="결제완료",$T194="대여"),설정!$J$5,"")</f>
        <v/>
      </c>
      <c r="AG194" s="54" t="str">
        <f aca="false">IF($D194="","",IF(AND($E194="",$R194=""),$AB194,"☎ "&amp;IF($E194="","-",$E194)&amp;IF($R194&lt;&gt;"","  ※ "&amp;$R194,"")&amp;IF($B194="상담중"," (상담)","")))</f>
        <v/>
      </c>
      <c r="AH194" s="56" t="str">
        <f aca="false">IF(AND($D194&lt;&gt;"",$B194="결제완료",$O194="스마트스토어"),ROUND(N($N194)*설정!$J$6,0),"")</f>
        <v/>
      </c>
      <c r="AI194" s="54" t="str">
        <f aca="false">IF($D194="","",ROW())</f>
        <v/>
      </c>
      <c r="AJ194" s="54" t="n">
        <f aca="false">IF(OR($AC194&lt;&gt;1,$M194=""),0,IF(ISNUMBER(SEARCH("퇴사",IFERROR(INDEX(강사DB!$G$4:$G$53,MATCH($M194,강사DB!$A$4:$A$53,0)),""))),1,0))</f>
        <v>0</v>
      </c>
    </row>
    <row r="195" customFormat="false" ht="15" hidden="false" customHeight="false" outlineLevel="0" collapsed="false">
      <c r="A195" s="45" t="str">
        <f aca="false">IF($D195="","",COUNTA($D$5:$D195))</f>
        <v/>
      </c>
      <c r="B195" s="46"/>
      <c r="C195" s="47"/>
      <c r="D195" s="48"/>
      <c r="E195" s="48"/>
      <c r="F195" s="49"/>
      <c r="G195" s="47"/>
      <c r="H195" s="50"/>
      <c r="I195" s="50"/>
      <c r="J195" s="51" t="str">
        <f aca="false">IF(OR($V195="",$W195=""),"",ROUND(($W195-$V195)/60,2))</f>
        <v/>
      </c>
      <c r="K195" s="52" t="str">
        <f aca="false">IF($F195="","",LEN($F195)-LEN(SUBSTITUTE($F195,",",""))+1)</f>
        <v/>
      </c>
      <c r="L195" s="45" t="str">
        <f aca="false">IF($K195="","","1:"&amp;$K195)</f>
        <v/>
      </c>
      <c r="M195" s="46"/>
      <c r="N195" s="53"/>
      <c r="O195" s="46"/>
      <c r="P195" s="47"/>
      <c r="Q195" s="48"/>
      <c r="R195" s="49"/>
      <c r="S195" s="54" t="str">
        <f aca="false">IF(OR($AC195=0,$U195="",$M195="",$V195="",$W195=""),"",IF(COUNTIFS(m_teacher,$M195,m_date,$U195,m_active,1,m_start,"&lt;"&amp;$W195,m_end,"&gt;"&amp;$V195)&gt;1,"충돌",""))</f>
        <v/>
      </c>
      <c r="T195" s="48"/>
      <c r="U195" s="55" t="str">
        <f aca="false">IF($G195="","",IFERROR(IF(ISNUMBER($G195),IF($G195&gt;19000000,DATE(INT($G195/10000),MOD(INT($G195/100),100),MOD($G195,100)),INT($G195)),IF(LEN(SUBSTITUTE(SUBSTITUTE(SUBSTITUTE(TRIM($G195),"-",""),".",""),"/",""))=8,DATE(VALUE(LEFT(SUBSTITUTE(SUBSTITUTE(SUBSTITUTE(TRIM($G195),"-",""),".",""),"/",""),4)),VALUE(MID(SUBSTITUTE(SUBSTITUTE(SUBSTITUTE(TRIM($G195),"-",""),".",""),"/",""),5,2)),VALUE(RIGHT(SUBSTITUTE(SUBSTITUTE(SUBSTITUTE(TRIM($G195),"-",""),".",""),"/",""),2))),DATEVALUE($G195))),""))</f>
        <v/>
      </c>
      <c r="V195" s="52" t="str">
        <f aca="false">IF($H195="","",IFERROR(IF(IF(ISNUMBER($H195),$H195,IFERROR(TIMEVALUE($H195),VALUE($H195)))&gt;=100,INT(IF(ISNUMBER($H195),$H195,IFERROR(TIMEVALUE($H195),VALUE($H195)))/100)*60+MOD(IF(ISNUMBER($H195),$H195,IFERROR(TIMEVALUE($H195),VALUE($H195))),100),IF(IF(ISNUMBER($H195),$H195,IFERROR(TIMEVALUE($H195),VALUE($H195)))&gt;=1,ROUND(IF(ISNUMBER($H195),$H195,IFERROR(TIMEVALUE($H195),VALUE($H195)))*60,0),ROUND(MOD(IF(ISNUMBER($H195),$H195,IFERROR(TIMEVALUE($H195),VALUE($H195))),1)*1440,0))),""))</f>
        <v/>
      </c>
      <c r="W195" s="52" t="str">
        <f aca="false">IF($I195="","",IFERROR(IF(IF(ISNUMBER($I195),$I195,IFERROR(TIMEVALUE($I195),VALUE($I195)))&gt;=100,INT(IF(ISNUMBER($I195),$I195,IFERROR(TIMEVALUE($I195),VALUE($I195)))/100)*60+MOD(IF(ISNUMBER($I195),$I195,IFERROR(TIMEVALUE($I195),VALUE($I195))),100),IF(IF(ISNUMBER($I195),$I195,IFERROR(TIMEVALUE($I195),VALUE($I195)))&gt;=1,ROUND(IF(ISNUMBER($I195),$I195,IFERROR(TIMEVALUE($I195),VALUE($I195)))*60,0),ROUND(MOD(IF(ISNUMBER($I195),$I195,IFERROR(TIMEVALUE($I195),VALUE($I195))),1)*1440,0))),""))</f>
        <v/>
      </c>
      <c r="X195" s="55" t="str">
        <f aca="false">IF($P195="","",IFERROR(IF(ISNUMBER($P195),IF($P195&gt;19000000,DATE(INT($P195/10000),MOD(INT($P195/100),100),MOD($P195,100)),INT($P195)),IF(LEN(SUBSTITUTE(SUBSTITUTE(SUBSTITUTE(TRIM($P195),"-",""),".",""),"/",""))=8,DATE(VALUE(LEFT(SUBSTITUTE(SUBSTITUTE(SUBSTITUTE(TRIM($P195),"-",""),".",""),"/",""),4)),VALUE(MID(SUBSTITUTE(SUBSTITUTE(SUBSTITUTE(TRIM($P195),"-",""),".",""),"/",""),5,2)),VALUE(RIGHT(SUBSTITUTE(SUBSTITUTE(SUBSTITUTE(TRIM($P195),"-",""),".",""),"/",""),2))),DATEVALUE($P195))),""))</f>
        <v/>
      </c>
      <c r="Y195" s="56" t="str">
        <f aca="false">IF($M195="","",IFERROR(INDEX(강사DB!$D$4:$D$53,MATCH($M195,강사DB!$A$4:$A$53,0)),""))</f>
        <v/>
      </c>
      <c r="Z195" s="56" t="str">
        <f aca="false">IF($B195&lt;&gt;"결제완료","",IF(OR($Y195="",$J195=""),"",$Y195*$J195+MAX(0,N($K195)-1)*설정!$J$7))</f>
        <v/>
      </c>
      <c r="AA195" s="56" t="str">
        <f aca="false">IF(AND($D195&lt;&gt;"",$B195="결제완료"),N($N195),"")</f>
        <v/>
      </c>
      <c r="AB195" s="45" t="str">
        <f aca="false">IF($D195="","",IF($F195&lt;&gt;"",$F195,$D195)&amp;IF($B195="상담중"," (상담)",""))</f>
        <v/>
      </c>
      <c r="AC195" s="45" t="n">
        <f aca="false">IF(AND($D195&lt;&gt;"",OR($B195="결제완료",$B195="상담중")),1,0)</f>
        <v>0</v>
      </c>
      <c r="AD195" s="45" t="n">
        <f aca="false">IF(OR($Z195="",$U195=""),0,IFERROR(IF(COUNTIFS(INDEX(g_grid,0,2*MATCH($M195,강사DB!$A$4:$A$15,0)),"&lt;&gt;",g_s,"&lt;="&amp;$U195,g_e,"&gt;="&amp;$U195)&gt;0,1,0),0))</f>
        <v>0</v>
      </c>
      <c r="AE195" s="48"/>
      <c r="AF195" s="56" t="str">
        <f aca="false">IF(AND($D195&lt;&gt;"",$B195="결제완료",$T195="대여"),설정!$J$5,"")</f>
        <v/>
      </c>
      <c r="AG195" s="54" t="str">
        <f aca="false">IF($D195="","",IF(AND($E195="",$R195=""),$AB195,"☎ "&amp;IF($E195="","-",$E195)&amp;IF($R195&lt;&gt;"","  ※ "&amp;$R195,"")&amp;IF($B195="상담중"," (상담)","")))</f>
        <v/>
      </c>
      <c r="AH195" s="56" t="str">
        <f aca="false">IF(AND($D195&lt;&gt;"",$B195="결제완료",$O195="스마트스토어"),ROUND(N($N195)*설정!$J$6,0),"")</f>
        <v/>
      </c>
      <c r="AI195" s="54" t="str">
        <f aca="false">IF($D195="","",ROW())</f>
        <v/>
      </c>
      <c r="AJ195" s="54" t="n">
        <f aca="false">IF(OR($AC195&lt;&gt;1,$M195=""),0,IF(ISNUMBER(SEARCH("퇴사",IFERROR(INDEX(강사DB!$G$4:$G$53,MATCH($M195,강사DB!$A$4:$A$53,0)),""))),1,0))</f>
        <v>0</v>
      </c>
    </row>
    <row r="196" customFormat="false" ht="15" hidden="false" customHeight="false" outlineLevel="0" collapsed="false">
      <c r="A196" s="45" t="str">
        <f aca="false">IF($D196="","",COUNTA($D$5:$D196))</f>
        <v/>
      </c>
      <c r="B196" s="46"/>
      <c r="C196" s="47"/>
      <c r="D196" s="48"/>
      <c r="E196" s="48"/>
      <c r="F196" s="49"/>
      <c r="G196" s="47"/>
      <c r="H196" s="50"/>
      <c r="I196" s="50"/>
      <c r="J196" s="51" t="str">
        <f aca="false">IF(OR($V196="",$W196=""),"",ROUND(($W196-$V196)/60,2))</f>
        <v/>
      </c>
      <c r="K196" s="52" t="str">
        <f aca="false">IF($F196="","",LEN($F196)-LEN(SUBSTITUTE($F196,",",""))+1)</f>
        <v/>
      </c>
      <c r="L196" s="45" t="str">
        <f aca="false">IF($K196="","","1:"&amp;$K196)</f>
        <v/>
      </c>
      <c r="M196" s="46"/>
      <c r="N196" s="53"/>
      <c r="O196" s="46"/>
      <c r="P196" s="47"/>
      <c r="Q196" s="48"/>
      <c r="R196" s="49"/>
      <c r="S196" s="54" t="str">
        <f aca="false">IF(OR($AC196=0,$U196="",$M196="",$V196="",$W196=""),"",IF(COUNTIFS(m_teacher,$M196,m_date,$U196,m_active,1,m_start,"&lt;"&amp;$W196,m_end,"&gt;"&amp;$V196)&gt;1,"충돌",""))</f>
        <v/>
      </c>
      <c r="T196" s="48"/>
      <c r="U196" s="55" t="str">
        <f aca="false">IF($G196="","",IFERROR(IF(ISNUMBER($G196),IF($G196&gt;19000000,DATE(INT($G196/10000),MOD(INT($G196/100),100),MOD($G196,100)),INT($G196)),IF(LEN(SUBSTITUTE(SUBSTITUTE(SUBSTITUTE(TRIM($G196),"-",""),".",""),"/",""))=8,DATE(VALUE(LEFT(SUBSTITUTE(SUBSTITUTE(SUBSTITUTE(TRIM($G196),"-",""),".",""),"/",""),4)),VALUE(MID(SUBSTITUTE(SUBSTITUTE(SUBSTITUTE(TRIM($G196),"-",""),".",""),"/",""),5,2)),VALUE(RIGHT(SUBSTITUTE(SUBSTITUTE(SUBSTITUTE(TRIM($G196),"-",""),".",""),"/",""),2))),DATEVALUE($G196))),""))</f>
        <v/>
      </c>
      <c r="V196" s="52" t="str">
        <f aca="false">IF($H196="","",IFERROR(IF(IF(ISNUMBER($H196),$H196,IFERROR(TIMEVALUE($H196),VALUE($H196)))&gt;=100,INT(IF(ISNUMBER($H196),$H196,IFERROR(TIMEVALUE($H196),VALUE($H196)))/100)*60+MOD(IF(ISNUMBER($H196),$H196,IFERROR(TIMEVALUE($H196),VALUE($H196))),100),IF(IF(ISNUMBER($H196),$H196,IFERROR(TIMEVALUE($H196),VALUE($H196)))&gt;=1,ROUND(IF(ISNUMBER($H196),$H196,IFERROR(TIMEVALUE($H196),VALUE($H196)))*60,0),ROUND(MOD(IF(ISNUMBER($H196),$H196,IFERROR(TIMEVALUE($H196),VALUE($H196))),1)*1440,0))),""))</f>
        <v/>
      </c>
      <c r="W196" s="52" t="str">
        <f aca="false">IF($I196="","",IFERROR(IF(IF(ISNUMBER($I196),$I196,IFERROR(TIMEVALUE($I196),VALUE($I196)))&gt;=100,INT(IF(ISNUMBER($I196),$I196,IFERROR(TIMEVALUE($I196),VALUE($I196)))/100)*60+MOD(IF(ISNUMBER($I196),$I196,IFERROR(TIMEVALUE($I196),VALUE($I196))),100),IF(IF(ISNUMBER($I196),$I196,IFERROR(TIMEVALUE($I196),VALUE($I196)))&gt;=1,ROUND(IF(ISNUMBER($I196),$I196,IFERROR(TIMEVALUE($I196),VALUE($I196)))*60,0),ROUND(MOD(IF(ISNUMBER($I196),$I196,IFERROR(TIMEVALUE($I196),VALUE($I196))),1)*1440,0))),""))</f>
        <v/>
      </c>
      <c r="X196" s="55" t="str">
        <f aca="false">IF($P196="","",IFERROR(IF(ISNUMBER($P196),IF($P196&gt;19000000,DATE(INT($P196/10000),MOD(INT($P196/100),100),MOD($P196,100)),INT($P196)),IF(LEN(SUBSTITUTE(SUBSTITUTE(SUBSTITUTE(TRIM($P196),"-",""),".",""),"/",""))=8,DATE(VALUE(LEFT(SUBSTITUTE(SUBSTITUTE(SUBSTITUTE(TRIM($P196),"-",""),".",""),"/",""),4)),VALUE(MID(SUBSTITUTE(SUBSTITUTE(SUBSTITUTE(TRIM($P196),"-",""),".",""),"/",""),5,2)),VALUE(RIGHT(SUBSTITUTE(SUBSTITUTE(SUBSTITUTE(TRIM($P196),"-",""),".",""),"/",""),2))),DATEVALUE($P196))),""))</f>
        <v/>
      </c>
      <c r="Y196" s="56" t="str">
        <f aca="false">IF($M196="","",IFERROR(INDEX(강사DB!$D$4:$D$53,MATCH($M196,강사DB!$A$4:$A$53,0)),""))</f>
        <v/>
      </c>
      <c r="Z196" s="56" t="str">
        <f aca="false">IF($B196&lt;&gt;"결제완료","",IF(OR($Y196="",$J196=""),"",$Y196*$J196+MAX(0,N($K196)-1)*설정!$J$7))</f>
        <v/>
      </c>
      <c r="AA196" s="56" t="str">
        <f aca="false">IF(AND($D196&lt;&gt;"",$B196="결제완료"),N($N196),"")</f>
        <v/>
      </c>
      <c r="AB196" s="45" t="str">
        <f aca="false">IF($D196="","",IF($F196&lt;&gt;"",$F196,$D196)&amp;IF($B196="상담중"," (상담)",""))</f>
        <v/>
      </c>
      <c r="AC196" s="45" t="n">
        <f aca="false">IF(AND($D196&lt;&gt;"",OR($B196="결제완료",$B196="상담중")),1,0)</f>
        <v>0</v>
      </c>
      <c r="AD196" s="45" t="n">
        <f aca="false">IF(OR($Z196="",$U196=""),0,IFERROR(IF(COUNTIFS(INDEX(g_grid,0,2*MATCH($M196,강사DB!$A$4:$A$15,0)),"&lt;&gt;",g_s,"&lt;="&amp;$U196,g_e,"&gt;="&amp;$U196)&gt;0,1,0),0))</f>
        <v>0</v>
      </c>
      <c r="AE196" s="48"/>
      <c r="AF196" s="56" t="str">
        <f aca="false">IF(AND($D196&lt;&gt;"",$B196="결제완료",$T196="대여"),설정!$J$5,"")</f>
        <v/>
      </c>
      <c r="AG196" s="54" t="str">
        <f aca="false">IF($D196="","",IF(AND($E196="",$R196=""),$AB196,"☎ "&amp;IF($E196="","-",$E196)&amp;IF($R196&lt;&gt;"","  ※ "&amp;$R196,"")&amp;IF($B196="상담중"," (상담)","")))</f>
        <v/>
      </c>
      <c r="AH196" s="56" t="str">
        <f aca="false">IF(AND($D196&lt;&gt;"",$B196="결제완료",$O196="스마트스토어"),ROUND(N($N196)*설정!$J$6,0),"")</f>
        <v/>
      </c>
      <c r="AI196" s="54" t="str">
        <f aca="false">IF($D196="","",ROW())</f>
        <v/>
      </c>
      <c r="AJ196" s="54" t="n">
        <f aca="false">IF(OR($AC196&lt;&gt;1,$M196=""),0,IF(ISNUMBER(SEARCH("퇴사",IFERROR(INDEX(강사DB!$G$4:$G$53,MATCH($M196,강사DB!$A$4:$A$53,0)),""))),1,0))</f>
        <v>0</v>
      </c>
    </row>
    <row r="197" customFormat="false" ht="15" hidden="false" customHeight="false" outlineLevel="0" collapsed="false">
      <c r="A197" s="45" t="str">
        <f aca="false">IF($D197="","",COUNTA($D$5:$D197))</f>
        <v/>
      </c>
      <c r="B197" s="46"/>
      <c r="C197" s="47"/>
      <c r="D197" s="48"/>
      <c r="E197" s="48"/>
      <c r="F197" s="49"/>
      <c r="G197" s="47"/>
      <c r="H197" s="50"/>
      <c r="I197" s="50"/>
      <c r="J197" s="51" t="str">
        <f aca="false">IF(OR($V197="",$W197=""),"",ROUND(($W197-$V197)/60,2))</f>
        <v/>
      </c>
      <c r="K197" s="52" t="str">
        <f aca="false">IF($F197="","",LEN($F197)-LEN(SUBSTITUTE($F197,",",""))+1)</f>
        <v/>
      </c>
      <c r="L197" s="45" t="str">
        <f aca="false">IF($K197="","","1:"&amp;$K197)</f>
        <v/>
      </c>
      <c r="M197" s="46"/>
      <c r="N197" s="53"/>
      <c r="O197" s="46"/>
      <c r="P197" s="47"/>
      <c r="Q197" s="48"/>
      <c r="R197" s="49"/>
      <c r="S197" s="54" t="str">
        <f aca="false">IF(OR($AC197=0,$U197="",$M197="",$V197="",$W197=""),"",IF(COUNTIFS(m_teacher,$M197,m_date,$U197,m_active,1,m_start,"&lt;"&amp;$W197,m_end,"&gt;"&amp;$V197)&gt;1,"충돌",""))</f>
        <v/>
      </c>
      <c r="T197" s="48"/>
      <c r="U197" s="55" t="str">
        <f aca="false">IF($G197="","",IFERROR(IF(ISNUMBER($G197),IF($G197&gt;19000000,DATE(INT($G197/10000),MOD(INT($G197/100),100),MOD($G197,100)),INT($G197)),IF(LEN(SUBSTITUTE(SUBSTITUTE(SUBSTITUTE(TRIM($G197),"-",""),".",""),"/",""))=8,DATE(VALUE(LEFT(SUBSTITUTE(SUBSTITUTE(SUBSTITUTE(TRIM($G197),"-",""),".",""),"/",""),4)),VALUE(MID(SUBSTITUTE(SUBSTITUTE(SUBSTITUTE(TRIM($G197),"-",""),".",""),"/",""),5,2)),VALUE(RIGHT(SUBSTITUTE(SUBSTITUTE(SUBSTITUTE(TRIM($G197),"-",""),".",""),"/",""),2))),DATEVALUE($G197))),""))</f>
        <v/>
      </c>
      <c r="V197" s="52" t="str">
        <f aca="false">IF($H197="","",IFERROR(IF(IF(ISNUMBER($H197),$H197,IFERROR(TIMEVALUE($H197),VALUE($H197)))&gt;=100,INT(IF(ISNUMBER($H197),$H197,IFERROR(TIMEVALUE($H197),VALUE($H197)))/100)*60+MOD(IF(ISNUMBER($H197),$H197,IFERROR(TIMEVALUE($H197),VALUE($H197))),100),IF(IF(ISNUMBER($H197),$H197,IFERROR(TIMEVALUE($H197),VALUE($H197)))&gt;=1,ROUND(IF(ISNUMBER($H197),$H197,IFERROR(TIMEVALUE($H197),VALUE($H197)))*60,0),ROUND(MOD(IF(ISNUMBER($H197),$H197,IFERROR(TIMEVALUE($H197),VALUE($H197))),1)*1440,0))),""))</f>
        <v/>
      </c>
      <c r="W197" s="52" t="str">
        <f aca="false">IF($I197="","",IFERROR(IF(IF(ISNUMBER($I197),$I197,IFERROR(TIMEVALUE($I197),VALUE($I197)))&gt;=100,INT(IF(ISNUMBER($I197),$I197,IFERROR(TIMEVALUE($I197),VALUE($I197)))/100)*60+MOD(IF(ISNUMBER($I197),$I197,IFERROR(TIMEVALUE($I197),VALUE($I197))),100),IF(IF(ISNUMBER($I197),$I197,IFERROR(TIMEVALUE($I197),VALUE($I197)))&gt;=1,ROUND(IF(ISNUMBER($I197),$I197,IFERROR(TIMEVALUE($I197),VALUE($I197)))*60,0),ROUND(MOD(IF(ISNUMBER($I197),$I197,IFERROR(TIMEVALUE($I197),VALUE($I197))),1)*1440,0))),""))</f>
        <v/>
      </c>
      <c r="X197" s="55" t="str">
        <f aca="false">IF($P197="","",IFERROR(IF(ISNUMBER($P197),IF($P197&gt;19000000,DATE(INT($P197/10000),MOD(INT($P197/100),100),MOD($P197,100)),INT($P197)),IF(LEN(SUBSTITUTE(SUBSTITUTE(SUBSTITUTE(TRIM($P197),"-",""),".",""),"/",""))=8,DATE(VALUE(LEFT(SUBSTITUTE(SUBSTITUTE(SUBSTITUTE(TRIM($P197),"-",""),".",""),"/",""),4)),VALUE(MID(SUBSTITUTE(SUBSTITUTE(SUBSTITUTE(TRIM($P197),"-",""),".",""),"/",""),5,2)),VALUE(RIGHT(SUBSTITUTE(SUBSTITUTE(SUBSTITUTE(TRIM($P197),"-",""),".",""),"/",""),2))),DATEVALUE($P197))),""))</f>
        <v/>
      </c>
      <c r="Y197" s="56" t="str">
        <f aca="false">IF($M197="","",IFERROR(INDEX(강사DB!$D$4:$D$53,MATCH($M197,강사DB!$A$4:$A$53,0)),""))</f>
        <v/>
      </c>
      <c r="Z197" s="56" t="str">
        <f aca="false">IF($B197&lt;&gt;"결제완료","",IF(OR($Y197="",$J197=""),"",$Y197*$J197+MAX(0,N($K197)-1)*설정!$J$7))</f>
        <v/>
      </c>
      <c r="AA197" s="56" t="str">
        <f aca="false">IF(AND($D197&lt;&gt;"",$B197="결제완료"),N($N197),"")</f>
        <v/>
      </c>
      <c r="AB197" s="45" t="str">
        <f aca="false">IF($D197="","",IF($F197&lt;&gt;"",$F197,$D197)&amp;IF($B197="상담중"," (상담)",""))</f>
        <v/>
      </c>
      <c r="AC197" s="45" t="n">
        <f aca="false">IF(AND($D197&lt;&gt;"",OR($B197="결제완료",$B197="상담중")),1,0)</f>
        <v>0</v>
      </c>
      <c r="AD197" s="45" t="n">
        <f aca="false">IF(OR($Z197="",$U197=""),0,IFERROR(IF(COUNTIFS(INDEX(g_grid,0,2*MATCH($M197,강사DB!$A$4:$A$15,0)),"&lt;&gt;",g_s,"&lt;="&amp;$U197,g_e,"&gt;="&amp;$U197)&gt;0,1,0),0))</f>
        <v>0</v>
      </c>
      <c r="AE197" s="48"/>
      <c r="AF197" s="56" t="str">
        <f aca="false">IF(AND($D197&lt;&gt;"",$B197="결제완료",$T197="대여"),설정!$J$5,"")</f>
        <v/>
      </c>
      <c r="AG197" s="54" t="str">
        <f aca="false">IF($D197="","",IF(AND($E197="",$R197=""),$AB197,"☎ "&amp;IF($E197="","-",$E197)&amp;IF($R197&lt;&gt;"","  ※ "&amp;$R197,"")&amp;IF($B197="상담중"," (상담)","")))</f>
        <v/>
      </c>
      <c r="AH197" s="56" t="str">
        <f aca="false">IF(AND($D197&lt;&gt;"",$B197="결제완료",$O197="스마트스토어"),ROUND(N($N197)*설정!$J$6,0),"")</f>
        <v/>
      </c>
      <c r="AI197" s="54" t="str">
        <f aca="false">IF($D197="","",ROW())</f>
        <v/>
      </c>
      <c r="AJ197" s="54" t="n">
        <f aca="false">IF(OR($AC197&lt;&gt;1,$M197=""),0,IF(ISNUMBER(SEARCH("퇴사",IFERROR(INDEX(강사DB!$G$4:$G$53,MATCH($M197,강사DB!$A$4:$A$53,0)),""))),1,0))</f>
        <v>0</v>
      </c>
    </row>
    <row r="198" customFormat="false" ht="15" hidden="false" customHeight="false" outlineLevel="0" collapsed="false">
      <c r="A198" s="45" t="str">
        <f aca="false">IF($D198="","",COUNTA($D$5:$D198))</f>
        <v/>
      </c>
      <c r="B198" s="46"/>
      <c r="C198" s="47"/>
      <c r="D198" s="48"/>
      <c r="E198" s="48"/>
      <c r="F198" s="49"/>
      <c r="G198" s="47"/>
      <c r="H198" s="50"/>
      <c r="I198" s="50"/>
      <c r="J198" s="51" t="str">
        <f aca="false">IF(OR($V198="",$W198=""),"",ROUND(($W198-$V198)/60,2))</f>
        <v/>
      </c>
      <c r="K198" s="52" t="str">
        <f aca="false">IF($F198="","",LEN($F198)-LEN(SUBSTITUTE($F198,",",""))+1)</f>
        <v/>
      </c>
      <c r="L198" s="45" t="str">
        <f aca="false">IF($K198="","","1:"&amp;$K198)</f>
        <v/>
      </c>
      <c r="M198" s="46"/>
      <c r="N198" s="53"/>
      <c r="O198" s="46"/>
      <c r="P198" s="47"/>
      <c r="Q198" s="48"/>
      <c r="R198" s="49"/>
      <c r="S198" s="54" t="str">
        <f aca="false">IF(OR($AC198=0,$U198="",$M198="",$V198="",$W198=""),"",IF(COUNTIFS(m_teacher,$M198,m_date,$U198,m_active,1,m_start,"&lt;"&amp;$W198,m_end,"&gt;"&amp;$V198)&gt;1,"충돌",""))</f>
        <v/>
      </c>
      <c r="T198" s="48"/>
      <c r="U198" s="55" t="str">
        <f aca="false">IF($G198="","",IFERROR(IF(ISNUMBER($G198),IF($G198&gt;19000000,DATE(INT($G198/10000),MOD(INT($G198/100),100),MOD($G198,100)),INT($G198)),IF(LEN(SUBSTITUTE(SUBSTITUTE(SUBSTITUTE(TRIM($G198),"-",""),".",""),"/",""))=8,DATE(VALUE(LEFT(SUBSTITUTE(SUBSTITUTE(SUBSTITUTE(TRIM($G198),"-",""),".",""),"/",""),4)),VALUE(MID(SUBSTITUTE(SUBSTITUTE(SUBSTITUTE(TRIM($G198),"-",""),".",""),"/",""),5,2)),VALUE(RIGHT(SUBSTITUTE(SUBSTITUTE(SUBSTITUTE(TRIM($G198),"-",""),".",""),"/",""),2))),DATEVALUE($G198))),""))</f>
        <v/>
      </c>
      <c r="V198" s="52" t="str">
        <f aca="false">IF($H198="","",IFERROR(IF(IF(ISNUMBER($H198),$H198,IFERROR(TIMEVALUE($H198),VALUE($H198)))&gt;=100,INT(IF(ISNUMBER($H198),$H198,IFERROR(TIMEVALUE($H198),VALUE($H198)))/100)*60+MOD(IF(ISNUMBER($H198),$H198,IFERROR(TIMEVALUE($H198),VALUE($H198))),100),IF(IF(ISNUMBER($H198),$H198,IFERROR(TIMEVALUE($H198),VALUE($H198)))&gt;=1,ROUND(IF(ISNUMBER($H198),$H198,IFERROR(TIMEVALUE($H198),VALUE($H198)))*60,0),ROUND(MOD(IF(ISNUMBER($H198),$H198,IFERROR(TIMEVALUE($H198),VALUE($H198))),1)*1440,0))),""))</f>
        <v/>
      </c>
      <c r="W198" s="52" t="str">
        <f aca="false">IF($I198="","",IFERROR(IF(IF(ISNUMBER($I198),$I198,IFERROR(TIMEVALUE($I198),VALUE($I198)))&gt;=100,INT(IF(ISNUMBER($I198),$I198,IFERROR(TIMEVALUE($I198),VALUE($I198)))/100)*60+MOD(IF(ISNUMBER($I198),$I198,IFERROR(TIMEVALUE($I198),VALUE($I198))),100),IF(IF(ISNUMBER($I198),$I198,IFERROR(TIMEVALUE($I198),VALUE($I198)))&gt;=1,ROUND(IF(ISNUMBER($I198),$I198,IFERROR(TIMEVALUE($I198),VALUE($I198)))*60,0),ROUND(MOD(IF(ISNUMBER($I198),$I198,IFERROR(TIMEVALUE($I198),VALUE($I198))),1)*1440,0))),""))</f>
        <v/>
      </c>
      <c r="X198" s="55" t="str">
        <f aca="false">IF($P198="","",IFERROR(IF(ISNUMBER($P198),IF($P198&gt;19000000,DATE(INT($P198/10000),MOD(INT($P198/100),100),MOD($P198,100)),INT($P198)),IF(LEN(SUBSTITUTE(SUBSTITUTE(SUBSTITUTE(TRIM($P198),"-",""),".",""),"/",""))=8,DATE(VALUE(LEFT(SUBSTITUTE(SUBSTITUTE(SUBSTITUTE(TRIM($P198),"-",""),".",""),"/",""),4)),VALUE(MID(SUBSTITUTE(SUBSTITUTE(SUBSTITUTE(TRIM($P198),"-",""),".",""),"/",""),5,2)),VALUE(RIGHT(SUBSTITUTE(SUBSTITUTE(SUBSTITUTE(TRIM($P198),"-",""),".",""),"/",""),2))),DATEVALUE($P198))),""))</f>
        <v/>
      </c>
      <c r="Y198" s="56" t="str">
        <f aca="false">IF($M198="","",IFERROR(INDEX(강사DB!$D$4:$D$53,MATCH($M198,강사DB!$A$4:$A$53,0)),""))</f>
        <v/>
      </c>
      <c r="Z198" s="56" t="str">
        <f aca="false">IF($B198&lt;&gt;"결제완료","",IF(OR($Y198="",$J198=""),"",$Y198*$J198+MAX(0,N($K198)-1)*설정!$J$7))</f>
        <v/>
      </c>
      <c r="AA198" s="56" t="str">
        <f aca="false">IF(AND($D198&lt;&gt;"",$B198="결제완료"),N($N198),"")</f>
        <v/>
      </c>
      <c r="AB198" s="45" t="str">
        <f aca="false">IF($D198="","",IF($F198&lt;&gt;"",$F198,$D198)&amp;IF($B198="상담중"," (상담)",""))</f>
        <v/>
      </c>
      <c r="AC198" s="45" t="n">
        <f aca="false">IF(AND($D198&lt;&gt;"",OR($B198="결제완료",$B198="상담중")),1,0)</f>
        <v>0</v>
      </c>
      <c r="AD198" s="45" t="n">
        <f aca="false">IF(OR($Z198="",$U198=""),0,IFERROR(IF(COUNTIFS(INDEX(g_grid,0,2*MATCH($M198,강사DB!$A$4:$A$15,0)),"&lt;&gt;",g_s,"&lt;="&amp;$U198,g_e,"&gt;="&amp;$U198)&gt;0,1,0),0))</f>
        <v>0</v>
      </c>
      <c r="AE198" s="48"/>
      <c r="AF198" s="56" t="str">
        <f aca="false">IF(AND($D198&lt;&gt;"",$B198="결제완료",$T198="대여"),설정!$J$5,"")</f>
        <v/>
      </c>
      <c r="AG198" s="54" t="str">
        <f aca="false">IF($D198="","",IF(AND($E198="",$R198=""),$AB198,"☎ "&amp;IF($E198="","-",$E198)&amp;IF($R198&lt;&gt;"","  ※ "&amp;$R198,"")&amp;IF($B198="상담중"," (상담)","")))</f>
        <v/>
      </c>
      <c r="AH198" s="56" t="str">
        <f aca="false">IF(AND($D198&lt;&gt;"",$B198="결제완료",$O198="스마트스토어"),ROUND(N($N198)*설정!$J$6,0),"")</f>
        <v/>
      </c>
      <c r="AI198" s="54" t="str">
        <f aca="false">IF($D198="","",ROW())</f>
        <v/>
      </c>
      <c r="AJ198" s="54" t="n">
        <f aca="false">IF(OR($AC198&lt;&gt;1,$M198=""),0,IF(ISNUMBER(SEARCH("퇴사",IFERROR(INDEX(강사DB!$G$4:$G$53,MATCH($M198,강사DB!$A$4:$A$53,0)),""))),1,0))</f>
        <v>0</v>
      </c>
    </row>
    <row r="199" customFormat="false" ht="15" hidden="false" customHeight="false" outlineLevel="0" collapsed="false">
      <c r="A199" s="45" t="str">
        <f aca="false">IF($D199="","",COUNTA($D$5:$D199))</f>
        <v/>
      </c>
      <c r="B199" s="46"/>
      <c r="C199" s="47"/>
      <c r="D199" s="48"/>
      <c r="E199" s="48"/>
      <c r="F199" s="49"/>
      <c r="G199" s="47"/>
      <c r="H199" s="50"/>
      <c r="I199" s="50"/>
      <c r="J199" s="51" t="str">
        <f aca="false">IF(OR($V199="",$W199=""),"",ROUND(($W199-$V199)/60,2))</f>
        <v/>
      </c>
      <c r="K199" s="52" t="str">
        <f aca="false">IF($F199="","",LEN($F199)-LEN(SUBSTITUTE($F199,",",""))+1)</f>
        <v/>
      </c>
      <c r="L199" s="45" t="str">
        <f aca="false">IF($K199="","","1:"&amp;$K199)</f>
        <v/>
      </c>
      <c r="M199" s="46"/>
      <c r="N199" s="53"/>
      <c r="O199" s="46"/>
      <c r="P199" s="47"/>
      <c r="Q199" s="48"/>
      <c r="R199" s="49"/>
      <c r="S199" s="54" t="str">
        <f aca="false">IF(OR($AC199=0,$U199="",$M199="",$V199="",$W199=""),"",IF(COUNTIFS(m_teacher,$M199,m_date,$U199,m_active,1,m_start,"&lt;"&amp;$W199,m_end,"&gt;"&amp;$V199)&gt;1,"충돌",""))</f>
        <v/>
      </c>
      <c r="T199" s="48"/>
      <c r="U199" s="55" t="str">
        <f aca="false">IF($G199="","",IFERROR(IF(ISNUMBER($G199),IF($G199&gt;19000000,DATE(INT($G199/10000),MOD(INT($G199/100),100),MOD($G199,100)),INT($G199)),IF(LEN(SUBSTITUTE(SUBSTITUTE(SUBSTITUTE(TRIM($G199),"-",""),".",""),"/",""))=8,DATE(VALUE(LEFT(SUBSTITUTE(SUBSTITUTE(SUBSTITUTE(TRIM($G199),"-",""),".",""),"/",""),4)),VALUE(MID(SUBSTITUTE(SUBSTITUTE(SUBSTITUTE(TRIM($G199),"-",""),".",""),"/",""),5,2)),VALUE(RIGHT(SUBSTITUTE(SUBSTITUTE(SUBSTITUTE(TRIM($G199),"-",""),".",""),"/",""),2))),DATEVALUE($G199))),""))</f>
        <v/>
      </c>
      <c r="V199" s="52" t="str">
        <f aca="false">IF($H199="","",IFERROR(IF(IF(ISNUMBER($H199),$H199,IFERROR(TIMEVALUE($H199),VALUE($H199)))&gt;=100,INT(IF(ISNUMBER($H199),$H199,IFERROR(TIMEVALUE($H199),VALUE($H199)))/100)*60+MOD(IF(ISNUMBER($H199),$H199,IFERROR(TIMEVALUE($H199),VALUE($H199))),100),IF(IF(ISNUMBER($H199),$H199,IFERROR(TIMEVALUE($H199),VALUE($H199)))&gt;=1,ROUND(IF(ISNUMBER($H199),$H199,IFERROR(TIMEVALUE($H199),VALUE($H199)))*60,0),ROUND(MOD(IF(ISNUMBER($H199),$H199,IFERROR(TIMEVALUE($H199),VALUE($H199))),1)*1440,0))),""))</f>
        <v/>
      </c>
      <c r="W199" s="52" t="str">
        <f aca="false">IF($I199="","",IFERROR(IF(IF(ISNUMBER($I199),$I199,IFERROR(TIMEVALUE($I199),VALUE($I199)))&gt;=100,INT(IF(ISNUMBER($I199),$I199,IFERROR(TIMEVALUE($I199),VALUE($I199)))/100)*60+MOD(IF(ISNUMBER($I199),$I199,IFERROR(TIMEVALUE($I199),VALUE($I199))),100),IF(IF(ISNUMBER($I199),$I199,IFERROR(TIMEVALUE($I199),VALUE($I199)))&gt;=1,ROUND(IF(ISNUMBER($I199),$I199,IFERROR(TIMEVALUE($I199),VALUE($I199)))*60,0),ROUND(MOD(IF(ISNUMBER($I199),$I199,IFERROR(TIMEVALUE($I199),VALUE($I199))),1)*1440,0))),""))</f>
        <v/>
      </c>
      <c r="X199" s="55" t="str">
        <f aca="false">IF($P199="","",IFERROR(IF(ISNUMBER($P199),IF($P199&gt;19000000,DATE(INT($P199/10000),MOD(INT($P199/100),100),MOD($P199,100)),INT($P199)),IF(LEN(SUBSTITUTE(SUBSTITUTE(SUBSTITUTE(TRIM($P199),"-",""),".",""),"/",""))=8,DATE(VALUE(LEFT(SUBSTITUTE(SUBSTITUTE(SUBSTITUTE(TRIM($P199),"-",""),".",""),"/",""),4)),VALUE(MID(SUBSTITUTE(SUBSTITUTE(SUBSTITUTE(TRIM($P199),"-",""),".",""),"/",""),5,2)),VALUE(RIGHT(SUBSTITUTE(SUBSTITUTE(SUBSTITUTE(TRIM($P199),"-",""),".",""),"/",""),2))),DATEVALUE($P199))),""))</f>
        <v/>
      </c>
      <c r="Y199" s="56" t="str">
        <f aca="false">IF($M199="","",IFERROR(INDEX(강사DB!$D$4:$D$53,MATCH($M199,강사DB!$A$4:$A$53,0)),""))</f>
        <v/>
      </c>
      <c r="Z199" s="56" t="str">
        <f aca="false">IF($B199&lt;&gt;"결제완료","",IF(OR($Y199="",$J199=""),"",$Y199*$J199+MAX(0,N($K199)-1)*설정!$J$7))</f>
        <v/>
      </c>
      <c r="AA199" s="56" t="str">
        <f aca="false">IF(AND($D199&lt;&gt;"",$B199="결제완료"),N($N199),"")</f>
        <v/>
      </c>
      <c r="AB199" s="45" t="str">
        <f aca="false">IF($D199="","",IF($F199&lt;&gt;"",$F199,$D199)&amp;IF($B199="상담중"," (상담)",""))</f>
        <v/>
      </c>
      <c r="AC199" s="45" t="n">
        <f aca="false">IF(AND($D199&lt;&gt;"",OR($B199="결제완료",$B199="상담중")),1,0)</f>
        <v>0</v>
      </c>
      <c r="AD199" s="45" t="n">
        <f aca="false">IF(OR($Z199="",$U199=""),0,IFERROR(IF(COUNTIFS(INDEX(g_grid,0,2*MATCH($M199,강사DB!$A$4:$A$15,0)),"&lt;&gt;",g_s,"&lt;="&amp;$U199,g_e,"&gt;="&amp;$U199)&gt;0,1,0),0))</f>
        <v>0</v>
      </c>
      <c r="AE199" s="48"/>
      <c r="AF199" s="56" t="str">
        <f aca="false">IF(AND($D199&lt;&gt;"",$B199="결제완료",$T199="대여"),설정!$J$5,"")</f>
        <v/>
      </c>
      <c r="AG199" s="54" t="str">
        <f aca="false">IF($D199="","",IF(AND($E199="",$R199=""),$AB199,"☎ "&amp;IF($E199="","-",$E199)&amp;IF($R199&lt;&gt;"","  ※ "&amp;$R199,"")&amp;IF($B199="상담중"," (상담)","")))</f>
        <v/>
      </c>
      <c r="AH199" s="56" t="str">
        <f aca="false">IF(AND($D199&lt;&gt;"",$B199="결제완료",$O199="스마트스토어"),ROUND(N($N199)*설정!$J$6,0),"")</f>
        <v/>
      </c>
      <c r="AI199" s="54" t="str">
        <f aca="false">IF($D199="","",ROW())</f>
        <v/>
      </c>
      <c r="AJ199" s="54" t="n">
        <f aca="false">IF(OR($AC199&lt;&gt;1,$M199=""),0,IF(ISNUMBER(SEARCH("퇴사",IFERROR(INDEX(강사DB!$G$4:$G$53,MATCH($M199,강사DB!$A$4:$A$53,0)),""))),1,0))</f>
        <v>0</v>
      </c>
    </row>
    <row r="200" customFormat="false" ht="15" hidden="false" customHeight="false" outlineLevel="0" collapsed="false">
      <c r="A200" s="45" t="str">
        <f aca="false">IF($D200="","",COUNTA($D$5:$D200))</f>
        <v/>
      </c>
      <c r="B200" s="46"/>
      <c r="C200" s="47"/>
      <c r="D200" s="48"/>
      <c r="E200" s="48"/>
      <c r="F200" s="49"/>
      <c r="G200" s="47"/>
      <c r="H200" s="50"/>
      <c r="I200" s="50"/>
      <c r="J200" s="51" t="str">
        <f aca="false">IF(OR($V200="",$W200=""),"",ROUND(($W200-$V200)/60,2))</f>
        <v/>
      </c>
      <c r="K200" s="52" t="str">
        <f aca="false">IF($F200="","",LEN($F200)-LEN(SUBSTITUTE($F200,",",""))+1)</f>
        <v/>
      </c>
      <c r="L200" s="45" t="str">
        <f aca="false">IF($K200="","","1:"&amp;$K200)</f>
        <v/>
      </c>
      <c r="M200" s="46"/>
      <c r="N200" s="53"/>
      <c r="O200" s="46"/>
      <c r="P200" s="47"/>
      <c r="Q200" s="48"/>
      <c r="R200" s="49"/>
      <c r="S200" s="54" t="str">
        <f aca="false">IF(OR($AC200=0,$U200="",$M200="",$V200="",$W200=""),"",IF(COUNTIFS(m_teacher,$M200,m_date,$U200,m_active,1,m_start,"&lt;"&amp;$W200,m_end,"&gt;"&amp;$V200)&gt;1,"충돌",""))</f>
        <v/>
      </c>
      <c r="T200" s="48"/>
      <c r="U200" s="55" t="str">
        <f aca="false">IF($G200="","",IFERROR(IF(ISNUMBER($G200),IF($G200&gt;19000000,DATE(INT($G200/10000),MOD(INT($G200/100),100),MOD($G200,100)),INT($G200)),IF(LEN(SUBSTITUTE(SUBSTITUTE(SUBSTITUTE(TRIM($G200),"-",""),".",""),"/",""))=8,DATE(VALUE(LEFT(SUBSTITUTE(SUBSTITUTE(SUBSTITUTE(TRIM($G200),"-",""),".",""),"/",""),4)),VALUE(MID(SUBSTITUTE(SUBSTITUTE(SUBSTITUTE(TRIM($G200),"-",""),".",""),"/",""),5,2)),VALUE(RIGHT(SUBSTITUTE(SUBSTITUTE(SUBSTITUTE(TRIM($G200),"-",""),".",""),"/",""),2))),DATEVALUE($G200))),""))</f>
        <v/>
      </c>
      <c r="V200" s="52" t="str">
        <f aca="false">IF($H200="","",IFERROR(IF(IF(ISNUMBER($H200),$H200,IFERROR(TIMEVALUE($H200),VALUE($H200)))&gt;=100,INT(IF(ISNUMBER($H200),$H200,IFERROR(TIMEVALUE($H200),VALUE($H200)))/100)*60+MOD(IF(ISNUMBER($H200),$H200,IFERROR(TIMEVALUE($H200),VALUE($H200))),100),IF(IF(ISNUMBER($H200),$H200,IFERROR(TIMEVALUE($H200),VALUE($H200)))&gt;=1,ROUND(IF(ISNUMBER($H200),$H200,IFERROR(TIMEVALUE($H200),VALUE($H200)))*60,0),ROUND(MOD(IF(ISNUMBER($H200),$H200,IFERROR(TIMEVALUE($H200),VALUE($H200))),1)*1440,0))),""))</f>
        <v/>
      </c>
      <c r="W200" s="52" t="str">
        <f aca="false">IF($I200="","",IFERROR(IF(IF(ISNUMBER($I200),$I200,IFERROR(TIMEVALUE($I200),VALUE($I200)))&gt;=100,INT(IF(ISNUMBER($I200),$I200,IFERROR(TIMEVALUE($I200),VALUE($I200)))/100)*60+MOD(IF(ISNUMBER($I200),$I200,IFERROR(TIMEVALUE($I200),VALUE($I200))),100),IF(IF(ISNUMBER($I200),$I200,IFERROR(TIMEVALUE($I200),VALUE($I200)))&gt;=1,ROUND(IF(ISNUMBER($I200),$I200,IFERROR(TIMEVALUE($I200),VALUE($I200)))*60,0),ROUND(MOD(IF(ISNUMBER($I200),$I200,IFERROR(TIMEVALUE($I200),VALUE($I200))),1)*1440,0))),""))</f>
        <v/>
      </c>
      <c r="X200" s="55" t="str">
        <f aca="false">IF($P200="","",IFERROR(IF(ISNUMBER($P200),IF($P200&gt;19000000,DATE(INT($P200/10000),MOD(INT($P200/100),100),MOD($P200,100)),INT($P200)),IF(LEN(SUBSTITUTE(SUBSTITUTE(SUBSTITUTE(TRIM($P200),"-",""),".",""),"/",""))=8,DATE(VALUE(LEFT(SUBSTITUTE(SUBSTITUTE(SUBSTITUTE(TRIM($P200),"-",""),".",""),"/",""),4)),VALUE(MID(SUBSTITUTE(SUBSTITUTE(SUBSTITUTE(TRIM($P200),"-",""),".",""),"/",""),5,2)),VALUE(RIGHT(SUBSTITUTE(SUBSTITUTE(SUBSTITUTE(TRIM($P200),"-",""),".",""),"/",""),2))),DATEVALUE($P200))),""))</f>
        <v/>
      </c>
      <c r="Y200" s="56" t="str">
        <f aca="false">IF($M200="","",IFERROR(INDEX(강사DB!$D$4:$D$53,MATCH($M200,강사DB!$A$4:$A$53,0)),""))</f>
        <v/>
      </c>
      <c r="Z200" s="56" t="str">
        <f aca="false">IF($B200&lt;&gt;"결제완료","",IF(OR($Y200="",$J200=""),"",$Y200*$J200+MAX(0,N($K200)-1)*설정!$J$7))</f>
        <v/>
      </c>
      <c r="AA200" s="56" t="str">
        <f aca="false">IF(AND($D200&lt;&gt;"",$B200="결제완료"),N($N200),"")</f>
        <v/>
      </c>
      <c r="AB200" s="45" t="str">
        <f aca="false">IF($D200="","",IF($F200&lt;&gt;"",$F200,$D200)&amp;IF($B200="상담중"," (상담)",""))</f>
        <v/>
      </c>
      <c r="AC200" s="45" t="n">
        <f aca="false">IF(AND($D200&lt;&gt;"",OR($B200="결제완료",$B200="상담중")),1,0)</f>
        <v>0</v>
      </c>
      <c r="AD200" s="45" t="n">
        <f aca="false">IF(OR($Z200="",$U200=""),0,IFERROR(IF(COUNTIFS(INDEX(g_grid,0,2*MATCH($M200,강사DB!$A$4:$A$15,0)),"&lt;&gt;",g_s,"&lt;="&amp;$U200,g_e,"&gt;="&amp;$U200)&gt;0,1,0),0))</f>
        <v>0</v>
      </c>
      <c r="AE200" s="48"/>
      <c r="AF200" s="56" t="str">
        <f aca="false">IF(AND($D200&lt;&gt;"",$B200="결제완료",$T200="대여"),설정!$J$5,"")</f>
        <v/>
      </c>
      <c r="AG200" s="54" t="str">
        <f aca="false">IF($D200="","",IF(AND($E200="",$R200=""),$AB200,"☎ "&amp;IF($E200="","-",$E200)&amp;IF($R200&lt;&gt;"","  ※ "&amp;$R200,"")&amp;IF($B200="상담중"," (상담)","")))</f>
        <v/>
      </c>
      <c r="AH200" s="56" t="str">
        <f aca="false">IF(AND($D200&lt;&gt;"",$B200="결제완료",$O200="스마트스토어"),ROUND(N($N200)*설정!$J$6,0),"")</f>
        <v/>
      </c>
      <c r="AI200" s="54" t="str">
        <f aca="false">IF($D200="","",ROW())</f>
        <v/>
      </c>
      <c r="AJ200" s="54" t="n">
        <f aca="false">IF(OR($AC200&lt;&gt;1,$M200=""),0,IF(ISNUMBER(SEARCH("퇴사",IFERROR(INDEX(강사DB!$G$4:$G$53,MATCH($M200,강사DB!$A$4:$A$53,0)),""))),1,0))</f>
        <v>0</v>
      </c>
    </row>
    <row r="201" customFormat="false" ht="15" hidden="false" customHeight="false" outlineLevel="0" collapsed="false">
      <c r="A201" s="45" t="str">
        <f aca="false">IF($D201="","",COUNTA($D$5:$D201))</f>
        <v/>
      </c>
      <c r="B201" s="46"/>
      <c r="C201" s="47"/>
      <c r="D201" s="48"/>
      <c r="E201" s="48"/>
      <c r="F201" s="49"/>
      <c r="G201" s="47"/>
      <c r="H201" s="50"/>
      <c r="I201" s="50"/>
      <c r="J201" s="51" t="str">
        <f aca="false">IF(OR($V201="",$W201=""),"",ROUND(($W201-$V201)/60,2))</f>
        <v/>
      </c>
      <c r="K201" s="52" t="str">
        <f aca="false">IF($F201="","",LEN($F201)-LEN(SUBSTITUTE($F201,",",""))+1)</f>
        <v/>
      </c>
      <c r="L201" s="45" t="str">
        <f aca="false">IF($K201="","","1:"&amp;$K201)</f>
        <v/>
      </c>
      <c r="M201" s="46"/>
      <c r="N201" s="53"/>
      <c r="O201" s="46"/>
      <c r="P201" s="47"/>
      <c r="Q201" s="48"/>
      <c r="R201" s="49"/>
      <c r="S201" s="54" t="str">
        <f aca="false">IF(OR($AC201=0,$U201="",$M201="",$V201="",$W201=""),"",IF(COUNTIFS(m_teacher,$M201,m_date,$U201,m_active,1,m_start,"&lt;"&amp;$W201,m_end,"&gt;"&amp;$V201)&gt;1,"충돌",""))</f>
        <v/>
      </c>
      <c r="T201" s="48"/>
      <c r="U201" s="55" t="str">
        <f aca="false">IF($G201="","",IFERROR(IF(ISNUMBER($G201),IF($G201&gt;19000000,DATE(INT($G201/10000),MOD(INT($G201/100),100),MOD($G201,100)),INT($G201)),IF(LEN(SUBSTITUTE(SUBSTITUTE(SUBSTITUTE(TRIM($G201),"-",""),".",""),"/",""))=8,DATE(VALUE(LEFT(SUBSTITUTE(SUBSTITUTE(SUBSTITUTE(TRIM($G201),"-",""),".",""),"/",""),4)),VALUE(MID(SUBSTITUTE(SUBSTITUTE(SUBSTITUTE(TRIM($G201),"-",""),".",""),"/",""),5,2)),VALUE(RIGHT(SUBSTITUTE(SUBSTITUTE(SUBSTITUTE(TRIM($G201),"-",""),".",""),"/",""),2))),DATEVALUE($G201))),""))</f>
        <v/>
      </c>
      <c r="V201" s="52" t="str">
        <f aca="false">IF($H201="","",IFERROR(IF(IF(ISNUMBER($H201),$H201,IFERROR(TIMEVALUE($H201),VALUE($H201)))&gt;=100,INT(IF(ISNUMBER($H201),$H201,IFERROR(TIMEVALUE($H201),VALUE($H201)))/100)*60+MOD(IF(ISNUMBER($H201),$H201,IFERROR(TIMEVALUE($H201),VALUE($H201))),100),IF(IF(ISNUMBER($H201),$H201,IFERROR(TIMEVALUE($H201),VALUE($H201)))&gt;=1,ROUND(IF(ISNUMBER($H201),$H201,IFERROR(TIMEVALUE($H201),VALUE($H201)))*60,0),ROUND(MOD(IF(ISNUMBER($H201),$H201,IFERROR(TIMEVALUE($H201),VALUE($H201))),1)*1440,0))),""))</f>
        <v/>
      </c>
      <c r="W201" s="52" t="str">
        <f aca="false">IF($I201="","",IFERROR(IF(IF(ISNUMBER($I201),$I201,IFERROR(TIMEVALUE($I201),VALUE($I201)))&gt;=100,INT(IF(ISNUMBER($I201),$I201,IFERROR(TIMEVALUE($I201),VALUE($I201)))/100)*60+MOD(IF(ISNUMBER($I201),$I201,IFERROR(TIMEVALUE($I201),VALUE($I201))),100),IF(IF(ISNUMBER($I201),$I201,IFERROR(TIMEVALUE($I201),VALUE($I201)))&gt;=1,ROUND(IF(ISNUMBER($I201),$I201,IFERROR(TIMEVALUE($I201),VALUE($I201)))*60,0),ROUND(MOD(IF(ISNUMBER($I201),$I201,IFERROR(TIMEVALUE($I201),VALUE($I201))),1)*1440,0))),""))</f>
        <v/>
      </c>
      <c r="X201" s="55" t="str">
        <f aca="false">IF($P201="","",IFERROR(IF(ISNUMBER($P201),IF($P201&gt;19000000,DATE(INT($P201/10000),MOD(INT($P201/100),100),MOD($P201,100)),INT($P201)),IF(LEN(SUBSTITUTE(SUBSTITUTE(SUBSTITUTE(TRIM($P201),"-",""),".",""),"/",""))=8,DATE(VALUE(LEFT(SUBSTITUTE(SUBSTITUTE(SUBSTITUTE(TRIM($P201),"-",""),".",""),"/",""),4)),VALUE(MID(SUBSTITUTE(SUBSTITUTE(SUBSTITUTE(TRIM($P201),"-",""),".",""),"/",""),5,2)),VALUE(RIGHT(SUBSTITUTE(SUBSTITUTE(SUBSTITUTE(TRIM($P201),"-",""),".",""),"/",""),2))),DATEVALUE($P201))),""))</f>
        <v/>
      </c>
      <c r="Y201" s="56" t="str">
        <f aca="false">IF($M201="","",IFERROR(INDEX(강사DB!$D$4:$D$53,MATCH($M201,강사DB!$A$4:$A$53,0)),""))</f>
        <v/>
      </c>
      <c r="Z201" s="56" t="str">
        <f aca="false">IF($B201&lt;&gt;"결제완료","",IF(OR($Y201="",$J201=""),"",$Y201*$J201+MAX(0,N($K201)-1)*설정!$J$7))</f>
        <v/>
      </c>
      <c r="AA201" s="56" t="str">
        <f aca="false">IF(AND($D201&lt;&gt;"",$B201="결제완료"),N($N201),"")</f>
        <v/>
      </c>
      <c r="AB201" s="45" t="str">
        <f aca="false">IF($D201="","",IF($F201&lt;&gt;"",$F201,$D201)&amp;IF($B201="상담중"," (상담)",""))</f>
        <v/>
      </c>
      <c r="AC201" s="45" t="n">
        <f aca="false">IF(AND($D201&lt;&gt;"",OR($B201="결제완료",$B201="상담중")),1,0)</f>
        <v>0</v>
      </c>
      <c r="AD201" s="45" t="n">
        <f aca="false">IF(OR($Z201="",$U201=""),0,IFERROR(IF(COUNTIFS(INDEX(g_grid,0,2*MATCH($M201,강사DB!$A$4:$A$15,0)),"&lt;&gt;",g_s,"&lt;="&amp;$U201,g_e,"&gt;="&amp;$U201)&gt;0,1,0),0))</f>
        <v>0</v>
      </c>
      <c r="AE201" s="48"/>
      <c r="AF201" s="56" t="str">
        <f aca="false">IF(AND($D201&lt;&gt;"",$B201="결제완료",$T201="대여"),설정!$J$5,"")</f>
        <v/>
      </c>
      <c r="AG201" s="54" t="str">
        <f aca="false">IF($D201="","",IF(AND($E201="",$R201=""),$AB201,"☎ "&amp;IF($E201="","-",$E201)&amp;IF($R201&lt;&gt;"","  ※ "&amp;$R201,"")&amp;IF($B201="상담중"," (상담)","")))</f>
        <v/>
      </c>
      <c r="AH201" s="56" t="str">
        <f aca="false">IF(AND($D201&lt;&gt;"",$B201="결제완료",$O201="스마트스토어"),ROUND(N($N201)*설정!$J$6,0),"")</f>
        <v/>
      </c>
      <c r="AI201" s="54" t="str">
        <f aca="false">IF($D201="","",ROW())</f>
        <v/>
      </c>
      <c r="AJ201" s="54" t="n">
        <f aca="false">IF(OR($AC201&lt;&gt;1,$M201=""),0,IF(ISNUMBER(SEARCH("퇴사",IFERROR(INDEX(강사DB!$G$4:$G$53,MATCH($M201,강사DB!$A$4:$A$53,0)),""))),1,0))</f>
        <v>0</v>
      </c>
    </row>
    <row r="202" customFormat="false" ht="15" hidden="false" customHeight="false" outlineLevel="0" collapsed="false">
      <c r="A202" s="45" t="str">
        <f aca="false">IF($D202="","",COUNTA($D$5:$D202))</f>
        <v/>
      </c>
      <c r="B202" s="46"/>
      <c r="C202" s="47"/>
      <c r="D202" s="48"/>
      <c r="E202" s="48"/>
      <c r="F202" s="49"/>
      <c r="G202" s="47"/>
      <c r="H202" s="50"/>
      <c r="I202" s="50"/>
      <c r="J202" s="51" t="str">
        <f aca="false">IF(OR($V202="",$W202=""),"",ROUND(($W202-$V202)/60,2))</f>
        <v/>
      </c>
      <c r="K202" s="52" t="str">
        <f aca="false">IF($F202="","",LEN($F202)-LEN(SUBSTITUTE($F202,",",""))+1)</f>
        <v/>
      </c>
      <c r="L202" s="45" t="str">
        <f aca="false">IF($K202="","","1:"&amp;$K202)</f>
        <v/>
      </c>
      <c r="M202" s="46"/>
      <c r="N202" s="53"/>
      <c r="O202" s="46"/>
      <c r="P202" s="47"/>
      <c r="Q202" s="48"/>
      <c r="R202" s="49"/>
      <c r="S202" s="54" t="str">
        <f aca="false">IF(OR($AC202=0,$U202="",$M202="",$V202="",$W202=""),"",IF(COUNTIFS(m_teacher,$M202,m_date,$U202,m_active,1,m_start,"&lt;"&amp;$W202,m_end,"&gt;"&amp;$V202)&gt;1,"충돌",""))</f>
        <v/>
      </c>
      <c r="T202" s="48"/>
      <c r="U202" s="55" t="str">
        <f aca="false">IF($G202="","",IFERROR(IF(ISNUMBER($G202),IF($G202&gt;19000000,DATE(INT($G202/10000),MOD(INT($G202/100),100),MOD($G202,100)),INT($G202)),IF(LEN(SUBSTITUTE(SUBSTITUTE(SUBSTITUTE(TRIM($G202),"-",""),".",""),"/",""))=8,DATE(VALUE(LEFT(SUBSTITUTE(SUBSTITUTE(SUBSTITUTE(TRIM($G202),"-",""),".",""),"/",""),4)),VALUE(MID(SUBSTITUTE(SUBSTITUTE(SUBSTITUTE(TRIM($G202),"-",""),".",""),"/",""),5,2)),VALUE(RIGHT(SUBSTITUTE(SUBSTITUTE(SUBSTITUTE(TRIM($G202),"-",""),".",""),"/",""),2))),DATEVALUE($G202))),""))</f>
        <v/>
      </c>
      <c r="V202" s="52" t="str">
        <f aca="false">IF($H202="","",IFERROR(IF(IF(ISNUMBER($H202),$H202,IFERROR(TIMEVALUE($H202),VALUE($H202)))&gt;=100,INT(IF(ISNUMBER($H202),$H202,IFERROR(TIMEVALUE($H202),VALUE($H202)))/100)*60+MOD(IF(ISNUMBER($H202),$H202,IFERROR(TIMEVALUE($H202),VALUE($H202))),100),IF(IF(ISNUMBER($H202),$H202,IFERROR(TIMEVALUE($H202),VALUE($H202)))&gt;=1,ROUND(IF(ISNUMBER($H202),$H202,IFERROR(TIMEVALUE($H202),VALUE($H202)))*60,0),ROUND(MOD(IF(ISNUMBER($H202),$H202,IFERROR(TIMEVALUE($H202),VALUE($H202))),1)*1440,0))),""))</f>
        <v/>
      </c>
      <c r="W202" s="52" t="str">
        <f aca="false">IF($I202="","",IFERROR(IF(IF(ISNUMBER($I202),$I202,IFERROR(TIMEVALUE($I202),VALUE($I202)))&gt;=100,INT(IF(ISNUMBER($I202),$I202,IFERROR(TIMEVALUE($I202),VALUE($I202)))/100)*60+MOD(IF(ISNUMBER($I202),$I202,IFERROR(TIMEVALUE($I202),VALUE($I202))),100),IF(IF(ISNUMBER($I202),$I202,IFERROR(TIMEVALUE($I202),VALUE($I202)))&gt;=1,ROUND(IF(ISNUMBER($I202),$I202,IFERROR(TIMEVALUE($I202),VALUE($I202)))*60,0),ROUND(MOD(IF(ISNUMBER($I202),$I202,IFERROR(TIMEVALUE($I202),VALUE($I202))),1)*1440,0))),""))</f>
        <v/>
      </c>
      <c r="X202" s="55" t="str">
        <f aca="false">IF($P202="","",IFERROR(IF(ISNUMBER($P202),IF($P202&gt;19000000,DATE(INT($P202/10000),MOD(INT($P202/100),100),MOD($P202,100)),INT($P202)),IF(LEN(SUBSTITUTE(SUBSTITUTE(SUBSTITUTE(TRIM($P202),"-",""),".",""),"/",""))=8,DATE(VALUE(LEFT(SUBSTITUTE(SUBSTITUTE(SUBSTITUTE(TRIM($P202),"-",""),".",""),"/",""),4)),VALUE(MID(SUBSTITUTE(SUBSTITUTE(SUBSTITUTE(TRIM($P202),"-",""),".",""),"/",""),5,2)),VALUE(RIGHT(SUBSTITUTE(SUBSTITUTE(SUBSTITUTE(TRIM($P202),"-",""),".",""),"/",""),2))),DATEVALUE($P202))),""))</f>
        <v/>
      </c>
      <c r="Y202" s="56" t="str">
        <f aca="false">IF($M202="","",IFERROR(INDEX(강사DB!$D$4:$D$53,MATCH($M202,강사DB!$A$4:$A$53,0)),""))</f>
        <v/>
      </c>
      <c r="Z202" s="56" t="str">
        <f aca="false">IF($B202&lt;&gt;"결제완료","",IF(OR($Y202="",$J202=""),"",$Y202*$J202+MAX(0,N($K202)-1)*설정!$J$7))</f>
        <v/>
      </c>
      <c r="AA202" s="56" t="str">
        <f aca="false">IF(AND($D202&lt;&gt;"",$B202="결제완료"),N($N202),"")</f>
        <v/>
      </c>
      <c r="AB202" s="45" t="str">
        <f aca="false">IF($D202="","",IF($F202&lt;&gt;"",$F202,$D202)&amp;IF($B202="상담중"," (상담)",""))</f>
        <v/>
      </c>
      <c r="AC202" s="45" t="n">
        <f aca="false">IF(AND($D202&lt;&gt;"",OR($B202="결제완료",$B202="상담중")),1,0)</f>
        <v>0</v>
      </c>
      <c r="AD202" s="45" t="n">
        <f aca="false">IF(OR($Z202="",$U202=""),0,IFERROR(IF(COUNTIFS(INDEX(g_grid,0,2*MATCH($M202,강사DB!$A$4:$A$15,0)),"&lt;&gt;",g_s,"&lt;="&amp;$U202,g_e,"&gt;="&amp;$U202)&gt;0,1,0),0))</f>
        <v>0</v>
      </c>
      <c r="AE202" s="48"/>
      <c r="AF202" s="56" t="str">
        <f aca="false">IF(AND($D202&lt;&gt;"",$B202="결제완료",$T202="대여"),설정!$J$5,"")</f>
        <v/>
      </c>
      <c r="AG202" s="54" t="str">
        <f aca="false">IF($D202="","",IF(AND($E202="",$R202=""),$AB202,"☎ "&amp;IF($E202="","-",$E202)&amp;IF($R202&lt;&gt;"","  ※ "&amp;$R202,"")&amp;IF($B202="상담중"," (상담)","")))</f>
        <v/>
      </c>
      <c r="AH202" s="56" t="str">
        <f aca="false">IF(AND($D202&lt;&gt;"",$B202="결제완료",$O202="스마트스토어"),ROUND(N($N202)*설정!$J$6,0),"")</f>
        <v/>
      </c>
      <c r="AI202" s="54" t="str">
        <f aca="false">IF($D202="","",ROW())</f>
        <v/>
      </c>
      <c r="AJ202" s="54" t="n">
        <f aca="false">IF(OR($AC202&lt;&gt;1,$M202=""),0,IF(ISNUMBER(SEARCH("퇴사",IFERROR(INDEX(강사DB!$G$4:$G$53,MATCH($M202,강사DB!$A$4:$A$53,0)),""))),1,0))</f>
        <v>0</v>
      </c>
    </row>
    <row r="203" customFormat="false" ht="15" hidden="false" customHeight="false" outlineLevel="0" collapsed="false">
      <c r="A203" s="45" t="str">
        <f aca="false">IF($D203="","",COUNTA($D$5:$D203))</f>
        <v/>
      </c>
      <c r="B203" s="46"/>
      <c r="C203" s="47"/>
      <c r="D203" s="48"/>
      <c r="E203" s="48"/>
      <c r="F203" s="49"/>
      <c r="G203" s="47"/>
      <c r="H203" s="50"/>
      <c r="I203" s="50"/>
      <c r="J203" s="51" t="str">
        <f aca="false">IF(OR($V203="",$W203=""),"",ROUND(($W203-$V203)/60,2))</f>
        <v/>
      </c>
      <c r="K203" s="52" t="str">
        <f aca="false">IF($F203="","",LEN($F203)-LEN(SUBSTITUTE($F203,",",""))+1)</f>
        <v/>
      </c>
      <c r="L203" s="45" t="str">
        <f aca="false">IF($K203="","","1:"&amp;$K203)</f>
        <v/>
      </c>
      <c r="M203" s="46"/>
      <c r="N203" s="53"/>
      <c r="O203" s="46"/>
      <c r="P203" s="47"/>
      <c r="Q203" s="48"/>
      <c r="R203" s="49"/>
      <c r="S203" s="54" t="str">
        <f aca="false">IF(OR($AC203=0,$U203="",$M203="",$V203="",$W203=""),"",IF(COUNTIFS(m_teacher,$M203,m_date,$U203,m_active,1,m_start,"&lt;"&amp;$W203,m_end,"&gt;"&amp;$V203)&gt;1,"충돌",""))</f>
        <v/>
      </c>
      <c r="T203" s="48"/>
      <c r="U203" s="55" t="str">
        <f aca="false">IF($G203="","",IFERROR(IF(ISNUMBER($G203),IF($G203&gt;19000000,DATE(INT($G203/10000),MOD(INT($G203/100),100),MOD($G203,100)),INT($G203)),IF(LEN(SUBSTITUTE(SUBSTITUTE(SUBSTITUTE(TRIM($G203),"-",""),".",""),"/",""))=8,DATE(VALUE(LEFT(SUBSTITUTE(SUBSTITUTE(SUBSTITUTE(TRIM($G203),"-",""),".",""),"/",""),4)),VALUE(MID(SUBSTITUTE(SUBSTITUTE(SUBSTITUTE(TRIM($G203),"-",""),".",""),"/",""),5,2)),VALUE(RIGHT(SUBSTITUTE(SUBSTITUTE(SUBSTITUTE(TRIM($G203),"-",""),".",""),"/",""),2))),DATEVALUE($G203))),""))</f>
        <v/>
      </c>
      <c r="V203" s="52" t="str">
        <f aca="false">IF($H203="","",IFERROR(IF(IF(ISNUMBER($H203),$H203,IFERROR(TIMEVALUE($H203),VALUE($H203)))&gt;=100,INT(IF(ISNUMBER($H203),$H203,IFERROR(TIMEVALUE($H203),VALUE($H203)))/100)*60+MOD(IF(ISNUMBER($H203),$H203,IFERROR(TIMEVALUE($H203),VALUE($H203))),100),IF(IF(ISNUMBER($H203),$H203,IFERROR(TIMEVALUE($H203),VALUE($H203)))&gt;=1,ROUND(IF(ISNUMBER($H203),$H203,IFERROR(TIMEVALUE($H203),VALUE($H203)))*60,0),ROUND(MOD(IF(ISNUMBER($H203),$H203,IFERROR(TIMEVALUE($H203),VALUE($H203))),1)*1440,0))),""))</f>
        <v/>
      </c>
      <c r="W203" s="52" t="str">
        <f aca="false">IF($I203="","",IFERROR(IF(IF(ISNUMBER($I203),$I203,IFERROR(TIMEVALUE($I203),VALUE($I203)))&gt;=100,INT(IF(ISNUMBER($I203),$I203,IFERROR(TIMEVALUE($I203),VALUE($I203)))/100)*60+MOD(IF(ISNUMBER($I203),$I203,IFERROR(TIMEVALUE($I203),VALUE($I203))),100),IF(IF(ISNUMBER($I203),$I203,IFERROR(TIMEVALUE($I203),VALUE($I203)))&gt;=1,ROUND(IF(ISNUMBER($I203),$I203,IFERROR(TIMEVALUE($I203),VALUE($I203)))*60,0),ROUND(MOD(IF(ISNUMBER($I203),$I203,IFERROR(TIMEVALUE($I203),VALUE($I203))),1)*1440,0))),""))</f>
        <v/>
      </c>
      <c r="X203" s="55" t="str">
        <f aca="false">IF($P203="","",IFERROR(IF(ISNUMBER($P203),IF($P203&gt;19000000,DATE(INT($P203/10000),MOD(INT($P203/100),100),MOD($P203,100)),INT($P203)),IF(LEN(SUBSTITUTE(SUBSTITUTE(SUBSTITUTE(TRIM($P203),"-",""),".",""),"/",""))=8,DATE(VALUE(LEFT(SUBSTITUTE(SUBSTITUTE(SUBSTITUTE(TRIM($P203),"-",""),".",""),"/",""),4)),VALUE(MID(SUBSTITUTE(SUBSTITUTE(SUBSTITUTE(TRIM($P203),"-",""),".",""),"/",""),5,2)),VALUE(RIGHT(SUBSTITUTE(SUBSTITUTE(SUBSTITUTE(TRIM($P203),"-",""),".",""),"/",""),2))),DATEVALUE($P203))),""))</f>
        <v/>
      </c>
      <c r="Y203" s="56" t="str">
        <f aca="false">IF($M203="","",IFERROR(INDEX(강사DB!$D$4:$D$53,MATCH($M203,강사DB!$A$4:$A$53,0)),""))</f>
        <v/>
      </c>
      <c r="Z203" s="56" t="str">
        <f aca="false">IF($B203&lt;&gt;"결제완료","",IF(OR($Y203="",$J203=""),"",$Y203*$J203+MAX(0,N($K203)-1)*설정!$J$7))</f>
        <v/>
      </c>
      <c r="AA203" s="56" t="str">
        <f aca="false">IF(AND($D203&lt;&gt;"",$B203="결제완료"),N($N203),"")</f>
        <v/>
      </c>
      <c r="AB203" s="45" t="str">
        <f aca="false">IF($D203="","",IF($F203&lt;&gt;"",$F203,$D203)&amp;IF($B203="상담중"," (상담)",""))</f>
        <v/>
      </c>
      <c r="AC203" s="45" t="n">
        <f aca="false">IF(AND($D203&lt;&gt;"",OR($B203="결제완료",$B203="상담중")),1,0)</f>
        <v>0</v>
      </c>
      <c r="AD203" s="45" t="n">
        <f aca="false">IF(OR($Z203="",$U203=""),0,IFERROR(IF(COUNTIFS(INDEX(g_grid,0,2*MATCH($M203,강사DB!$A$4:$A$15,0)),"&lt;&gt;",g_s,"&lt;="&amp;$U203,g_e,"&gt;="&amp;$U203)&gt;0,1,0),0))</f>
        <v>0</v>
      </c>
      <c r="AE203" s="48"/>
      <c r="AF203" s="56" t="str">
        <f aca="false">IF(AND($D203&lt;&gt;"",$B203="결제완료",$T203="대여"),설정!$J$5,"")</f>
        <v/>
      </c>
      <c r="AG203" s="54" t="str">
        <f aca="false">IF($D203="","",IF(AND($E203="",$R203=""),$AB203,"☎ "&amp;IF($E203="","-",$E203)&amp;IF($R203&lt;&gt;"","  ※ "&amp;$R203,"")&amp;IF($B203="상담중"," (상담)","")))</f>
        <v/>
      </c>
      <c r="AH203" s="56" t="str">
        <f aca="false">IF(AND($D203&lt;&gt;"",$B203="결제완료",$O203="스마트스토어"),ROUND(N($N203)*설정!$J$6,0),"")</f>
        <v/>
      </c>
      <c r="AI203" s="54" t="str">
        <f aca="false">IF($D203="","",ROW())</f>
        <v/>
      </c>
      <c r="AJ203" s="54" t="n">
        <f aca="false">IF(OR($AC203&lt;&gt;1,$M203=""),0,IF(ISNUMBER(SEARCH("퇴사",IFERROR(INDEX(강사DB!$G$4:$G$53,MATCH($M203,강사DB!$A$4:$A$53,0)),""))),1,0))</f>
        <v>0</v>
      </c>
    </row>
    <row r="204" customFormat="false" ht="15" hidden="false" customHeight="false" outlineLevel="0" collapsed="false">
      <c r="A204" s="45" t="str">
        <f aca="false">IF($D204="","",COUNTA($D$5:$D204))</f>
        <v/>
      </c>
      <c r="B204" s="46"/>
      <c r="C204" s="47"/>
      <c r="D204" s="48"/>
      <c r="E204" s="48"/>
      <c r="F204" s="49"/>
      <c r="G204" s="47"/>
      <c r="H204" s="50"/>
      <c r="I204" s="50"/>
      <c r="J204" s="51" t="str">
        <f aca="false">IF(OR($V204="",$W204=""),"",ROUND(($W204-$V204)/60,2))</f>
        <v/>
      </c>
      <c r="K204" s="52" t="str">
        <f aca="false">IF($F204="","",LEN($F204)-LEN(SUBSTITUTE($F204,",",""))+1)</f>
        <v/>
      </c>
      <c r="L204" s="45" t="str">
        <f aca="false">IF($K204="","","1:"&amp;$K204)</f>
        <v/>
      </c>
      <c r="M204" s="46"/>
      <c r="N204" s="53"/>
      <c r="O204" s="46"/>
      <c r="P204" s="47"/>
      <c r="Q204" s="48"/>
      <c r="R204" s="49"/>
      <c r="S204" s="54" t="str">
        <f aca="false">IF(OR($AC204=0,$U204="",$M204="",$V204="",$W204=""),"",IF(COUNTIFS(m_teacher,$M204,m_date,$U204,m_active,1,m_start,"&lt;"&amp;$W204,m_end,"&gt;"&amp;$V204)&gt;1,"충돌",""))</f>
        <v/>
      </c>
      <c r="T204" s="48"/>
      <c r="U204" s="55" t="str">
        <f aca="false">IF($G204="","",IFERROR(IF(ISNUMBER($G204),IF($G204&gt;19000000,DATE(INT($G204/10000),MOD(INT($G204/100),100),MOD($G204,100)),INT($G204)),IF(LEN(SUBSTITUTE(SUBSTITUTE(SUBSTITUTE(TRIM($G204),"-",""),".",""),"/",""))=8,DATE(VALUE(LEFT(SUBSTITUTE(SUBSTITUTE(SUBSTITUTE(TRIM($G204),"-",""),".",""),"/",""),4)),VALUE(MID(SUBSTITUTE(SUBSTITUTE(SUBSTITUTE(TRIM($G204),"-",""),".",""),"/",""),5,2)),VALUE(RIGHT(SUBSTITUTE(SUBSTITUTE(SUBSTITUTE(TRIM($G204),"-",""),".",""),"/",""),2))),DATEVALUE($G204))),""))</f>
        <v/>
      </c>
      <c r="V204" s="52" t="str">
        <f aca="false">IF($H204="","",IFERROR(IF(IF(ISNUMBER($H204),$H204,IFERROR(TIMEVALUE($H204),VALUE($H204)))&gt;=100,INT(IF(ISNUMBER($H204),$H204,IFERROR(TIMEVALUE($H204),VALUE($H204)))/100)*60+MOD(IF(ISNUMBER($H204),$H204,IFERROR(TIMEVALUE($H204),VALUE($H204))),100),IF(IF(ISNUMBER($H204),$H204,IFERROR(TIMEVALUE($H204),VALUE($H204)))&gt;=1,ROUND(IF(ISNUMBER($H204),$H204,IFERROR(TIMEVALUE($H204),VALUE($H204)))*60,0),ROUND(MOD(IF(ISNUMBER($H204),$H204,IFERROR(TIMEVALUE($H204),VALUE($H204))),1)*1440,0))),""))</f>
        <v/>
      </c>
      <c r="W204" s="52" t="str">
        <f aca="false">IF($I204="","",IFERROR(IF(IF(ISNUMBER($I204),$I204,IFERROR(TIMEVALUE($I204),VALUE($I204)))&gt;=100,INT(IF(ISNUMBER($I204),$I204,IFERROR(TIMEVALUE($I204),VALUE($I204)))/100)*60+MOD(IF(ISNUMBER($I204),$I204,IFERROR(TIMEVALUE($I204),VALUE($I204))),100),IF(IF(ISNUMBER($I204),$I204,IFERROR(TIMEVALUE($I204),VALUE($I204)))&gt;=1,ROUND(IF(ISNUMBER($I204),$I204,IFERROR(TIMEVALUE($I204),VALUE($I204)))*60,0),ROUND(MOD(IF(ISNUMBER($I204),$I204,IFERROR(TIMEVALUE($I204),VALUE($I204))),1)*1440,0))),""))</f>
        <v/>
      </c>
      <c r="X204" s="55" t="str">
        <f aca="false">IF($P204="","",IFERROR(IF(ISNUMBER($P204),IF($P204&gt;19000000,DATE(INT($P204/10000),MOD(INT($P204/100),100),MOD($P204,100)),INT($P204)),IF(LEN(SUBSTITUTE(SUBSTITUTE(SUBSTITUTE(TRIM($P204),"-",""),".",""),"/",""))=8,DATE(VALUE(LEFT(SUBSTITUTE(SUBSTITUTE(SUBSTITUTE(TRIM($P204),"-",""),".",""),"/",""),4)),VALUE(MID(SUBSTITUTE(SUBSTITUTE(SUBSTITUTE(TRIM($P204),"-",""),".",""),"/",""),5,2)),VALUE(RIGHT(SUBSTITUTE(SUBSTITUTE(SUBSTITUTE(TRIM($P204),"-",""),".",""),"/",""),2))),DATEVALUE($P204))),""))</f>
        <v/>
      </c>
      <c r="Y204" s="56" t="str">
        <f aca="false">IF($M204="","",IFERROR(INDEX(강사DB!$D$4:$D$53,MATCH($M204,강사DB!$A$4:$A$53,0)),""))</f>
        <v/>
      </c>
      <c r="Z204" s="56" t="str">
        <f aca="false">IF($B204&lt;&gt;"결제완료","",IF(OR($Y204="",$J204=""),"",$Y204*$J204+MAX(0,N($K204)-1)*설정!$J$7))</f>
        <v/>
      </c>
      <c r="AA204" s="56" t="str">
        <f aca="false">IF(AND($D204&lt;&gt;"",$B204="결제완료"),N($N204),"")</f>
        <v/>
      </c>
      <c r="AB204" s="45" t="str">
        <f aca="false">IF($D204="","",IF($F204&lt;&gt;"",$F204,$D204)&amp;IF($B204="상담중"," (상담)",""))</f>
        <v/>
      </c>
      <c r="AC204" s="45" t="n">
        <f aca="false">IF(AND($D204&lt;&gt;"",OR($B204="결제완료",$B204="상담중")),1,0)</f>
        <v>0</v>
      </c>
      <c r="AD204" s="45" t="n">
        <f aca="false">IF(OR($Z204="",$U204=""),0,IFERROR(IF(COUNTIFS(INDEX(g_grid,0,2*MATCH($M204,강사DB!$A$4:$A$15,0)),"&lt;&gt;",g_s,"&lt;="&amp;$U204,g_e,"&gt;="&amp;$U204)&gt;0,1,0),0))</f>
        <v>0</v>
      </c>
      <c r="AE204" s="48"/>
      <c r="AF204" s="56" t="str">
        <f aca="false">IF(AND($D204&lt;&gt;"",$B204="결제완료",$T204="대여"),설정!$J$5,"")</f>
        <v/>
      </c>
      <c r="AG204" s="54" t="str">
        <f aca="false">IF($D204="","",IF(AND($E204="",$R204=""),$AB204,"☎ "&amp;IF($E204="","-",$E204)&amp;IF($R204&lt;&gt;"","  ※ "&amp;$R204,"")&amp;IF($B204="상담중"," (상담)","")))</f>
        <v/>
      </c>
      <c r="AH204" s="56" t="str">
        <f aca="false">IF(AND($D204&lt;&gt;"",$B204="결제완료",$O204="스마트스토어"),ROUND(N($N204)*설정!$J$6,0),"")</f>
        <v/>
      </c>
      <c r="AI204" s="54" t="str">
        <f aca="false">IF($D204="","",ROW())</f>
        <v/>
      </c>
      <c r="AJ204" s="54" t="n">
        <f aca="false">IF(OR($AC204&lt;&gt;1,$M204=""),0,IF(ISNUMBER(SEARCH("퇴사",IFERROR(INDEX(강사DB!$G$4:$G$53,MATCH($M204,강사DB!$A$4:$A$53,0)),""))),1,0))</f>
        <v>0</v>
      </c>
    </row>
    <row r="205" customFormat="false" ht="15" hidden="false" customHeight="false" outlineLevel="0" collapsed="false">
      <c r="A205" s="45" t="str">
        <f aca="false">IF($D205="","",COUNTA($D$5:$D205))</f>
        <v/>
      </c>
      <c r="B205" s="46"/>
      <c r="C205" s="47"/>
      <c r="D205" s="48"/>
      <c r="E205" s="48"/>
      <c r="F205" s="49"/>
      <c r="G205" s="47"/>
      <c r="H205" s="50"/>
      <c r="I205" s="50"/>
      <c r="J205" s="51" t="str">
        <f aca="false">IF(OR($V205="",$W205=""),"",ROUND(($W205-$V205)/60,2))</f>
        <v/>
      </c>
      <c r="K205" s="52" t="str">
        <f aca="false">IF($F205="","",LEN($F205)-LEN(SUBSTITUTE($F205,",",""))+1)</f>
        <v/>
      </c>
      <c r="L205" s="45" t="str">
        <f aca="false">IF($K205="","","1:"&amp;$K205)</f>
        <v/>
      </c>
      <c r="M205" s="46"/>
      <c r="N205" s="53"/>
      <c r="O205" s="46"/>
      <c r="P205" s="47"/>
      <c r="Q205" s="48"/>
      <c r="R205" s="49"/>
      <c r="S205" s="54" t="str">
        <f aca="false">IF(OR($AC205=0,$U205="",$M205="",$V205="",$W205=""),"",IF(COUNTIFS(m_teacher,$M205,m_date,$U205,m_active,1,m_start,"&lt;"&amp;$W205,m_end,"&gt;"&amp;$V205)&gt;1,"충돌",""))</f>
        <v/>
      </c>
      <c r="T205" s="48"/>
      <c r="U205" s="55" t="str">
        <f aca="false">IF($G205="","",IFERROR(IF(ISNUMBER($G205),IF($G205&gt;19000000,DATE(INT($G205/10000),MOD(INT($G205/100),100),MOD($G205,100)),INT($G205)),IF(LEN(SUBSTITUTE(SUBSTITUTE(SUBSTITUTE(TRIM($G205),"-",""),".",""),"/",""))=8,DATE(VALUE(LEFT(SUBSTITUTE(SUBSTITUTE(SUBSTITUTE(TRIM($G205),"-",""),".",""),"/",""),4)),VALUE(MID(SUBSTITUTE(SUBSTITUTE(SUBSTITUTE(TRIM($G205),"-",""),".",""),"/",""),5,2)),VALUE(RIGHT(SUBSTITUTE(SUBSTITUTE(SUBSTITUTE(TRIM($G205),"-",""),".",""),"/",""),2))),DATEVALUE($G205))),""))</f>
        <v/>
      </c>
      <c r="V205" s="52" t="str">
        <f aca="false">IF($H205="","",IFERROR(IF(IF(ISNUMBER($H205),$H205,IFERROR(TIMEVALUE($H205),VALUE($H205)))&gt;=100,INT(IF(ISNUMBER($H205),$H205,IFERROR(TIMEVALUE($H205),VALUE($H205)))/100)*60+MOD(IF(ISNUMBER($H205),$H205,IFERROR(TIMEVALUE($H205),VALUE($H205))),100),IF(IF(ISNUMBER($H205),$H205,IFERROR(TIMEVALUE($H205),VALUE($H205)))&gt;=1,ROUND(IF(ISNUMBER($H205),$H205,IFERROR(TIMEVALUE($H205),VALUE($H205)))*60,0),ROUND(MOD(IF(ISNUMBER($H205),$H205,IFERROR(TIMEVALUE($H205),VALUE($H205))),1)*1440,0))),""))</f>
        <v/>
      </c>
      <c r="W205" s="52" t="str">
        <f aca="false">IF($I205="","",IFERROR(IF(IF(ISNUMBER($I205),$I205,IFERROR(TIMEVALUE($I205),VALUE($I205)))&gt;=100,INT(IF(ISNUMBER($I205),$I205,IFERROR(TIMEVALUE($I205),VALUE($I205)))/100)*60+MOD(IF(ISNUMBER($I205),$I205,IFERROR(TIMEVALUE($I205),VALUE($I205))),100),IF(IF(ISNUMBER($I205),$I205,IFERROR(TIMEVALUE($I205),VALUE($I205)))&gt;=1,ROUND(IF(ISNUMBER($I205),$I205,IFERROR(TIMEVALUE($I205),VALUE($I205)))*60,0),ROUND(MOD(IF(ISNUMBER($I205),$I205,IFERROR(TIMEVALUE($I205),VALUE($I205))),1)*1440,0))),""))</f>
        <v/>
      </c>
      <c r="X205" s="55" t="str">
        <f aca="false">IF($P205="","",IFERROR(IF(ISNUMBER($P205),IF($P205&gt;19000000,DATE(INT($P205/10000),MOD(INT($P205/100),100),MOD($P205,100)),INT($P205)),IF(LEN(SUBSTITUTE(SUBSTITUTE(SUBSTITUTE(TRIM($P205),"-",""),".",""),"/",""))=8,DATE(VALUE(LEFT(SUBSTITUTE(SUBSTITUTE(SUBSTITUTE(TRIM($P205),"-",""),".",""),"/",""),4)),VALUE(MID(SUBSTITUTE(SUBSTITUTE(SUBSTITUTE(TRIM($P205),"-",""),".",""),"/",""),5,2)),VALUE(RIGHT(SUBSTITUTE(SUBSTITUTE(SUBSTITUTE(TRIM($P205),"-",""),".",""),"/",""),2))),DATEVALUE($P205))),""))</f>
        <v/>
      </c>
      <c r="Y205" s="56" t="str">
        <f aca="false">IF($M205="","",IFERROR(INDEX(강사DB!$D$4:$D$53,MATCH($M205,강사DB!$A$4:$A$53,0)),""))</f>
        <v/>
      </c>
      <c r="Z205" s="56" t="str">
        <f aca="false">IF($B205&lt;&gt;"결제완료","",IF(OR($Y205="",$J205=""),"",$Y205*$J205+MAX(0,N($K205)-1)*설정!$J$7))</f>
        <v/>
      </c>
      <c r="AA205" s="56" t="str">
        <f aca="false">IF(AND($D205&lt;&gt;"",$B205="결제완료"),N($N205),"")</f>
        <v/>
      </c>
      <c r="AB205" s="45" t="str">
        <f aca="false">IF($D205="","",IF($F205&lt;&gt;"",$F205,$D205)&amp;IF($B205="상담중"," (상담)",""))</f>
        <v/>
      </c>
      <c r="AC205" s="45" t="n">
        <f aca="false">IF(AND($D205&lt;&gt;"",OR($B205="결제완료",$B205="상담중")),1,0)</f>
        <v>0</v>
      </c>
      <c r="AD205" s="45" t="n">
        <f aca="false">IF(OR($Z205="",$U205=""),0,IFERROR(IF(COUNTIFS(INDEX(g_grid,0,2*MATCH($M205,강사DB!$A$4:$A$15,0)),"&lt;&gt;",g_s,"&lt;="&amp;$U205,g_e,"&gt;="&amp;$U205)&gt;0,1,0),0))</f>
        <v>0</v>
      </c>
      <c r="AE205" s="48"/>
      <c r="AF205" s="56" t="str">
        <f aca="false">IF(AND($D205&lt;&gt;"",$B205="결제완료",$T205="대여"),설정!$J$5,"")</f>
        <v/>
      </c>
      <c r="AG205" s="54" t="str">
        <f aca="false">IF($D205="","",IF(AND($E205="",$R205=""),$AB205,"☎ "&amp;IF($E205="","-",$E205)&amp;IF($R205&lt;&gt;"","  ※ "&amp;$R205,"")&amp;IF($B205="상담중"," (상담)","")))</f>
        <v/>
      </c>
      <c r="AH205" s="56" t="str">
        <f aca="false">IF(AND($D205&lt;&gt;"",$B205="결제완료",$O205="스마트스토어"),ROUND(N($N205)*설정!$J$6,0),"")</f>
        <v/>
      </c>
      <c r="AI205" s="54" t="str">
        <f aca="false">IF($D205="","",ROW())</f>
        <v/>
      </c>
      <c r="AJ205" s="54" t="n">
        <f aca="false">IF(OR($AC205&lt;&gt;1,$M205=""),0,IF(ISNUMBER(SEARCH("퇴사",IFERROR(INDEX(강사DB!$G$4:$G$53,MATCH($M205,강사DB!$A$4:$A$53,0)),""))),1,0))</f>
        <v>0</v>
      </c>
    </row>
    <row r="206" customFormat="false" ht="15" hidden="false" customHeight="false" outlineLevel="0" collapsed="false">
      <c r="A206" s="45" t="str">
        <f aca="false">IF($D206="","",COUNTA($D$5:$D206))</f>
        <v/>
      </c>
      <c r="B206" s="46"/>
      <c r="C206" s="47"/>
      <c r="D206" s="48"/>
      <c r="E206" s="48"/>
      <c r="F206" s="49"/>
      <c r="G206" s="47"/>
      <c r="H206" s="50"/>
      <c r="I206" s="50"/>
      <c r="J206" s="51" t="str">
        <f aca="false">IF(OR($V206="",$W206=""),"",ROUND(($W206-$V206)/60,2))</f>
        <v/>
      </c>
      <c r="K206" s="52" t="str">
        <f aca="false">IF($F206="","",LEN($F206)-LEN(SUBSTITUTE($F206,",",""))+1)</f>
        <v/>
      </c>
      <c r="L206" s="45" t="str">
        <f aca="false">IF($K206="","","1:"&amp;$K206)</f>
        <v/>
      </c>
      <c r="M206" s="46"/>
      <c r="N206" s="53"/>
      <c r="O206" s="46"/>
      <c r="P206" s="47"/>
      <c r="Q206" s="48"/>
      <c r="R206" s="49"/>
      <c r="S206" s="54" t="str">
        <f aca="false">IF(OR($AC206=0,$U206="",$M206="",$V206="",$W206=""),"",IF(COUNTIFS(m_teacher,$M206,m_date,$U206,m_active,1,m_start,"&lt;"&amp;$W206,m_end,"&gt;"&amp;$V206)&gt;1,"충돌",""))</f>
        <v/>
      </c>
      <c r="T206" s="48"/>
      <c r="U206" s="55" t="str">
        <f aca="false">IF($G206="","",IFERROR(IF(ISNUMBER($G206),IF($G206&gt;19000000,DATE(INT($G206/10000),MOD(INT($G206/100),100),MOD($G206,100)),INT($G206)),IF(LEN(SUBSTITUTE(SUBSTITUTE(SUBSTITUTE(TRIM($G206),"-",""),".",""),"/",""))=8,DATE(VALUE(LEFT(SUBSTITUTE(SUBSTITUTE(SUBSTITUTE(TRIM($G206),"-",""),".",""),"/",""),4)),VALUE(MID(SUBSTITUTE(SUBSTITUTE(SUBSTITUTE(TRIM($G206),"-",""),".",""),"/",""),5,2)),VALUE(RIGHT(SUBSTITUTE(SUBSTITUTE(SUBSTITUTE(TRIM($G206),"-",""),".",""),"/",""),2))),DATEVALUE($G206))),""))</f>
        <v/>
      </c>
      <c r="V206" s="52" t="str">
        <f aca="false">IF($H206="","",IFERROR(IF(IF(ISNUMBER($H206),$H206,IFERROR(TIMEVALUE($H206),VALUE($H206)))&gt;=100,INT(IF(ISNUMBER($H206),$H206,IFERROR(TIMEVALUE($H206),VALUE($H206)))/100)*60+MOD(IF(ISNUMBER($H206),$H206,IFERROR(TIMEVALUE($H206),VALUE($H206))),100),IF(IF(ISNUMBER($H206),$H206,IFERROR(TIMEVALUE($H206),VALUE($H206)))&gt;=1,ROUND(IF(ISNUMBER($H206),$H206,IFERROR(TIMEVALUE($H206),VALUE($H206)))*60,0),ROUND(MOD(IF(ISNUMBER($H206),$H206,IFERROR(TIMEVALUE($H206),VALUE($H206))),1)*1440,0))),""))</f>
        <v/>
      </c>
      <c r="W206" s="52" t="str">
        <f aca="false">IF($I206="","",IFERROR(IF(IF(ISNUMBER($I206),$I206,IFERROR(TIMEVALUE($I206),VALUE($I206)))&gt;=100,INT(IF(ISNUMBER($I206),$I206,IFERROR(TIMEVALUE($I206),VALUE($I206)))/100)*60+MOD(IF(ISNUMBER($I206),$I206,IFERROR(TIMEVALUE($I206),VALUE($I206))),100),IF(IF(ISNUMBER($I206),$I206,IFERROR(TIMEVALUE($I206),VALUE($I206)))&gt;=1,ROUND(IF(ISNUMBER($I206),$I206,IFERROR(TIMEVALUE($I206),VALUE($I206)))*60,0),ROUND(MOD(IF(ISNUMBER($I206),$I206,IFERROR(TIMEVALUE($I206),VALUE($I206))),1)*1440,0))),""))</f>
        <v/>
      </c>
      <c r="X206" s="55" t="str">
        <f aca="false">IF($P206="","",IFERROR(IF(ISNUMBER($P206),IF($P206&gt;19000000,DATE(INT($P206/10000),MOD(INT($P206/100),100),MOD($P206,100)),INT($P206)),IF(LEN(SUBSTITUTE(SUBSTITUTE(SUBSTITUTE(TRIM($P206),"-",""),".",""),"/",""))=8,DATE(VALUE(LEFT(SUBSTITUTE(SUBSTITUTE(SUBSTITUTE(TRIM($P206),"-",""),".",""),"/",""),4)),VALUE(MID(SUBSTITUTE(SUBSTITUTE(SUBSTITUTE(TRIM($P206),"-",""),".",""),"/",""),5,2)),VALUE(RIGHT(SUBSTITUTE(SUBSTITUTE(SUBSTITUTE(TRIM($P206),"-",""),".",""),"/",""),2))),DATEVALUE($P206))),""))</f>
        <v/>
      </c>
      <c r="Y206" s="56" t="str">
        <f aca="false">IF($M206="","",IFERROR(INDEX(강사DB!$D$4:$D$53,MATCH($M206,강사DB!$A$4:$A$53,0)),""))</f>
        <v/>
      </c>
      <c r="Z206" s="56" t="str">
        <f aca="false">IF($B206&lt;&gt;"결제완료","",IF(OR($Y206="",$J206=""),"",$Y206*$J206+MAX(0,N($K206)-1)*설정!$J$7))</f>
        <v/>
      </c>
      <c r="AA206" s="56" t="str">
        <f aca="false">IF(AND($D206&lt;&gt;"",$B206="결제완료"),N($N206),"")</f>
        <v/>
      </c>
      <c r="AB206" s="45" t="str">
        <f aca="false">IF($D206="","",IF($F206&lt;&gt;"",$F206,$D206)&amp;IF($B206="상담중"," (상담)",""))</f>
        <v/>
      </c>
      <c r="AC206" s="45" t="n">
        <f aca="false">IF(AND($D206&lt;&gt;"",OR($B206="결제완료",$B206="상담중")),1,0)</f>
        <v>0</v>
      </c>
      <c r="AD206" s="45" t="n">
        <f aca="false">IF(OR($Z206="",$U206=""),0,IFERROR(IF(COUNTIFS(INDEX(g_grid,0,2*MATCH($M206,강사DB!$A$4:$A$15,0)),"&lt;&gt;",g_s,"&lt;="&amp;$U206,g_e,"&gt;="&amp;$U206)&gt;0,1,0),0))</f>
        <v>0</v>
      </c>
      <c r="AE206" s="48"/>
      <c r="AF206" s="56" t="str">
        <f aca="false">IF(AND($D206&lt;&gt;"",$B206="결제완료",$T206="대여"),설정!$J$5,"")</f>
        <v/>
      </c>
      <c r="AG206" s="54" t="str">
        <f aca="false">IF($D206="","",IF(AND($E206="",$R206=""),$AB206,"☎ "&amp;IF($E206="","-",$E206)&amp;IF($R206&lt;&gt;"","  ※ "&amp;$R206,"")&amp;IF($B206="상담중"," (상담)","")))</f>
        <v/>
      </c>
      <c r="AH206" s="56" t="str">
        <f aca="false">IF(AND($D206&lt;&gt;"",$B206="결제완료",$O206="스마트스토어"),ROUND(N($N206)*설정!$J$6,0),"")</f>
        <v/>
      </c>
      <c r="AI206" s="54" t="str">
        <f aca="false">IF($D206="","",ROW())</f>
        <v/>
      </c>
      <c r="AJ206" s="54" t="n">
        <f aca="false">IF(OR($AC206&lt;&gt;1,$M206=""),0,IF(ISNUMBER(SEARCH("퇴사",IFERROR(INDEX(강사DB!$G$4:$G$53,MATCH($M206,강사DB!$A$4:$A$53,0)),""))),1,0))</f>
        <v>0</v>
      </c>
    </row>
    <row r="207" customFormat="false" ht="15" hidden="false" customHeight="false" outlineLevel="0" collapsed="false">
      <c r="A207" s="45" t="str">
        <f aca="false">IF($D207="","",COUNTA($D$5:$D207))</f>
        <v/>
      </c>
      <c r="B207" s="46"/>
      <c r="C207" s="47"/>
      <c r="D207" s="48"/>
      <c r="E207" s="48"/>
      <c r="F207" s="49"/>
      <c r="G207" s="47"/>
      <c r="H207" s="50"/>
      <c r="I207" s="50"/>
      <c r="J207" s="51" t="str">
        <f aca="false">IF(OR($V207="",$W207=""),"",ROUND(($W207-$V207)/60,2))</f>
        <v/>
      </c>
      <c r="K207" s="52" t="str">
        <f aca="false">IF($F207="","",LEN($F207)-LEN(SUBSTITUTE($F207,",",""))+1)</f>
        <v/>
      </c>
      <c r="L207" s="45" t="str">
        <f aca="false">IF($K207="","","1:"&amp;$K207)</f>
        <v/>
      </c>
      <c r="M207" s="46"/>
      <c r="N207" s="53"/>
      <c r="O207" s="46"/>
      <c r="P207" s="47"/>
      <c r="Q207" s="48"/>
      <c r="R207" s="49"/>
      <c r="S207" s="54" t="str">
        <f aca="false">IF(OR($AC207=0,$U207="",$M207="",$V207="",$W207=""),"",IF(COUNTIFS(m_teacher,$M207,m_date,$U207,m_active,1,m_start,"&lt;"&amp;$W207,m_end,"&gt;"&amp;$V207)&gt;1,"충돌",""))</f>
        <v/>
      </c>
      <c r="T207" s="48"/>
      <c r="U207" s="55" t="str">
        <f aca="false">IF($G207="","",IFERROR(IF(ISNUMBER($G207),IF($G207&gt;19000000,DATE(INT($G207/10000),MOD(INT($G207/100),100),MOD($G207,100)),INT($G207)),IF(LEN(SUBSTITUTE(SUBSTITUTE(SUBSTITUTE(TRIM($G207),"-",""),".",""),"/",""))=8,DATE(VALUE(LEFT(SUBSTITUTE(SUBSTITUTE(SUBSTITUTE(TRIM($G207),"-",""),".",""),"/",""),4)),VALUE(MID(SUBSTITUTE(SUBSTITUTE(SUBSTITUTE(TRIM($G207),"-",""),".",""),"/",""),5,2)),VALUE(RIGHT(SUBSTITUTE(SUBSTITUTE(SUBSTITUTE(TRIM($G207),"-",""),".",""),"/",""),2))),DATEVALUE($G207))),""))</f>
        <v/>
      </c>
      <c r="V207" s="52" t="str">
        <f aca="false">IF($H207="","",IFERROR(IF(IF(ISNUMBER($H207),$H207,IFERROR(TIMEVALUE($H207),VALUE($H207)))&gt;=100,INT(IF(ISNUMBER($H207),$H207,IFERROR(TIMEVALUE($H207),VALUE($H207)))/100)*60+MOD(IF(ISNUMBER($H207),$H207,IFERROR(TIMEVALUE($H207),VALUE($H207))),100),IF(IF(ISNUMBER($H207),$H207,IFERROR(TIMEVALUE($H207),VALUE($H207)))&gt;=1,ROUND(IF(ISNUMBER($H207),$H207,IFERROR(TIMEVALUE($H207),VALUE($H207)))*60,0),ROUND(MOD(IF(ISNUMBER($H207),$H207,IFERROR(TIMEVALUE($H207),VALUE($H207))),1)*1440,0))),""))</f>
        <v/>
      </c>
      <c r="W207" s="52" t="str">
        <f aca="false">IF($I207="","",IFERROR(IF(IF(ISNUMBER($I207),$I207,IFERROR(TIMEVALUE($I207),VALUE($I207)))&gt;=100,INT(IF(ISNUMBER($I207),$I207,IFERROR(TIMEVALUE($I207),VALUE($I207)))/100)*60+MOD(IF(ISNUMBER($I207),$I207,IFERROR(TIMEVALUE($I207),VALUE($I207))),100),IF(IF(ISNUMBER($I207),$I207,IFERROR(TIMEVALUE($I207),VALUE($I207)))&gt;=1,ROUND(IF(ISNUMBER($I207),$I207,IFERROR(TIMEVALUE($I207),VALUE($I207)))*60,0),ROUND(MOD(IF(ISNUMBER($I207),$I207,IFERROR(TIMEVALUE($I207),VALUE($I207))),1)*1440,0))),""))</f>
        <v/>
      </c>
      <c r="X207" s="55" t="str">
        <f aca="false">IF($P207="","",IFERROR(IF(ISNUMBER($P207),IF($P207&gt;19000000,DATE(INT($P207/10000),MOD(INT($P207/100),100),MOD($P207,100)),INT($P207)),IF(LEN(SUBSTITUTE(SUBSTITUTE(SUBSTITUTE(TRIM($P207),"-",""),".",""),"/",""))=8,DATE(VALUE(LEFT(SUBSTITUTE(SUBSTITUTE(SUBSTITUTE(TRIM($P207),"-",""),".",""),"/",""),4)),VALUE(MID(SUBSTITUTE(SUBSTITUTE(SUBSTITUTE(TRIM($P207),"-",""),".",""),"/",""),5,2)),VALUE(RIGHT(SUBSTITUTE(SUBSTITUTE(SUBSTITUTE(TRIM($P207),"-",""),".",""),"/",""),2))),DATEVALUE($P207))),""))</f>
        <v/>
      </c>
      <c r="Y207" s="56" t="str">
        <f aca="false">IF($M207="","",IFERROR(INDEX(강사DB!$D$4:$D$53,MATCH($M207,강사DB!$A$4:$A$53,0)),""))</f>
        <v/>
      </c>
      <c r="Z207" s="56" t="str">
        <f aca="false">IF($B207&lt;&gt;"결제완료","",IF(OR($Y207="",$J207=""),"",$Y207*$J207+MAX(0,N($K207)-1)*설정!$J$7))</f>
        <v/>
      </c>
      <c r="AA207" s="56" t="str">
        <f aca="false">IF(AND($D207&lt;&gt;"",$B207="결제완료"),N($N207),"")</f>
        <v/>
      </c>
      <c r="AB207" s="45" t="str">
        <f aca="false">IF($D207="","",IF($F207&lt;&gt;"",$F207,$D207)&amp;IF($B207="상담중"," (상담)",""))</f>
        <v/>
      </c>
      <c r="AC207" s="45" t="n">
        <f aca="false">IF(AND($D207&lt;&gt;"",OR($B207="결제완료",$B207="상담중")),1,0)</f>
        <v>0</v>
      </c>
      <c r="AD207" s="45" t="n">
        <f aca="false">IF(OR($Z207="",$U207=""),0,IFERROR(IF(COUNTIFS(INDEX(g_grid,0,2*MATCH($M207,강사DB!$A$4:$A$15,0)),"&lt;&gt;",g_s,"&lt;="&amp;$U207,g_e,"&gt;="&amp;$U207)&gt;0,1,0),0))</f>
        <v>0</v>
      </c>
      <c r="AE207" s="48"/>
      <c r="AF207" s="56" t="str">
        <f aca="false">IF(AND($D207&lt;&gt;"",$B207="결제완료",$T207="대여"),설정!$J$5,"")</f>
        <v/>
      </c>
      <c r="AG207" s="54" t="str">
        <f aca="false">IF($D207="","",IF(AND($E207="",$R207=""),$AB207,"☎ "&amp;IF($E207="","-",$E207)&amp;IF($R207&lt;&gt;"","  ※ "&amp;$R207,"")&amp;IF($B207="상담중"," (상담)","")))</f>
        <v/>
      </c>
      <c r="AH207" s="56" t="str">
        <f aca="false">IF(AND($D207&lt;&gt;"",$B207="결제완료",$O207="스마트스토어"),ROUND(N($N207)*설정!$J$6,0),"")</f>
        <v/>
      </c>
      <c r="AI207" s="54" t="str">
        <f aca="false">IF($D207="","",ROW())</f>
        <v/>
      </c>
      <c r="AJ207" s="54" t="n">
        <f aca="false">IF(OR($AC207&lt;&gt;1,$M207=""),0,IF(ISNUMBER(SEARCH("퇴사",IFERROR(INDEX(강사DB!$G$4:$G$53,MATCH($M207,강사DB!$A$4:$A$53,0)),""))),1,0))</f>
        <v>0</v>
      </c>
    </row>
    <row r="208" customFormat="false" ht="15" hidden="false" customHeight="false" outlineLevel="0" collapsed="false">
      <c r="A208" s="45" t="str">
        <f aca="false">IF($D208="","",COUNTA($D$5:$D208))</f>
        <v/>
      </c>
      <c r="B208" s="46"/>
      <c r="C208" s="47"/>
      <c r="D208" s="48"/>
      <c r="E208" s="48"/>
      <c r="F208" s="49"/>
      <c r="G208" s="47"/>
      <c r="H208" s="50"/>
      <c r="I208" s="50"/>
      <c r="J208" s="51" t="str">
        <f aca="false">IF(OR($V208="",$W208=""),"",ROUND(($W208-$V208)/60,2))</f>
        <v/>
      </c>
      <c r="K208" s="52" t="str">
        <f aca="false">IF($F208="","",LEN($F208)-LEN(SUBSTITUTE($F208,",",""))+1)</f>
        <v/>
      </c>
      <c r="L208" s="45" t="str">
        <f aca="false">IF($K208="","","1:"&amp;$K208)</f>
        <v/>
      </c>
      <c r="M208" s="46"/>
      <c r="N208" s="53"/>
      <c r="O208" s="46"/>
      <c r="P208" s="47"/>
      <c r="Q208" s="48"/>
      <c r="R208" s="49"/>
      <c r="S208" s="54" t="str">
        <f aca="false">IF(OR($AC208=0,$U208="",$M208="",$V208="",$W208=""),"",IF(COUNTIFS(m_teacher,$M208,m_date,$U208,m_active,1,m_start,"&lt;"&amp;$W208,m_end,"&gt;"&amp;$V208)&gt;1,"충돌",""))</f>
        <v/>
      </c>
      <c r="T208" s="48"/>
      <c r="U208" s="55" t="str">
        <f aca="false">IF($G208="","",IFERROR(IF(ISNUMBER($G208),IF($G208&gt;19000000,DATE(INT($G208/10000),MOD(INT($G208/100),100),MOD($G208,100)),INT($G208)),IF(LEN(SUBSTITUTE(SUBSTITUTE(SUBSTITUTE(TRIM($G208),"-",""),".",""),"/",""))=8,DATE(VALUE(LEFT(SUBSTITUTE(SUBSTITUTE(SUBSTITUTE(TRIM($G208),"-",""),".",""),"/",""),4)),VALUE(MID(SUBSTITUTE(SUBSTITUTE(SUBSTITUTE(TRIM($G208),"-",""),".",""),"/",""),5,2)),VALUE(RIGHT(SUBSTITUTE(SUBSTITUTE(SUBSTITUTE(TRIM($G208),"-",""),".",""),"/",""),2))),DATEVALUE($G208))),""))</f>
        <v/>
      </c>
      <c r="V208" s="52" t="str">
        <f aca="false">IF($H208="","",IFERROR(IF(IF(ISNUMBER($H208),$H208,IFERROR(TIMEVALUE($H208),VALUE($H208)))&gt;=100,INT(IF(ISNUMBER($H208),$H208,IFERROR(TIMEVALUE($H208),VALUE($H208)))/100)*60+MOD(IF(ISNUMBER($H208),$H208,IFERROR(TIMEVALUE($H208),VALUE($H208))),100),IF(IF(ISNUMBER($H208),$H208,IFERROR(TIMEVALUE($H208),VALUE($H208)))&gt;=1,ROUND(IF(ISNUMBER($H208),$H208,IFERROR(TIMEVALUE($H208),VALUE($H208)))*60,0),ROUND(MOD(IF(ISNUMBER($H208),$H208,IFERROR(TIMEVALUE($H208),VALUE($H208))),1)*1440,0))),""))</f>
        <v/>
      </c>
      <c r="W208" s="52" t="str">
        <f aca="false">IF($I208="","",IFERROR(IF(IF(ISNUMBER($I208),$I208,IFERROR(TIMEVALUE($I208),VALUE($I208)))&gt;=100,INT(IF(ISNUMBER($I208),$I208,IFERROR(TIMEVALUE($I208),VALUE($I208)))/100)*60+MOD(IF(ISNUMBER($I208),$I208,IFERROR(TIMEVALUE($I208),VALUE($I208))),100),IF(IF(ISNUMBER($I208),$I208,IFERROR(TIMEVALUE($I208),VALUE($I208)))&gt;=1,ROUND(IF(ISNUMBER($I208),$I208,IFERROR(TIMEVALUE($I208),VALUE($I208)))*60,0),ROUND(MOD(IF(ISNUMBER($I208),$I208,IFERROR(TIMEVALUE($I208),VALUE($I208))),1)*1440,0))),""))</f>
        <v/>
      </c>
      <c r="X208" s="55" t="str">
        <f aca="false">IF($P208="","",IFERROR(IF(ISNUMBER($P208),IF($P208&gt;19000000,DATE(INT($P208/10000),MOD(INT($P208/100),100),MOD($P208,100)),INT($P208)),IF(LEN(SUBSTITUTE(SUBSTITUTE(SUBSTITUTE(TRIM($P208),"-",""),".",""),"/",""))=8,DATE(VALUE(LEFT(SUBSTITUTE(SUBSTITUTE(SUBSTITUTE(TRIM($P208),"-",""),".",""),"/",""),4)),VALUE(MID(SUBSTITUTE(SUBSTITUTE(SUBSTITUTE(TRIM($P208),"-",""),".",""),"/",""),5,2)),VALUE(RIGHT(SUBSTITUTE(SUBSTITUTE(SUBSTITUTE(TRIM($P208),"-",""),".",""),"/",""),2))),DATEVALUE($P208))),""))</f>
        <v/>
      </c>
      <c r="Y208" s="56" t="str">
        <f aca="false">IF($M208="","",IFERROR(INDEX(강사DB!$D$4:$D$53,MATCH($M208,강사DB!$A$4:$A$53,0)),""))</f>
        <v/>
      </c>
      <c r="Z208" s="56" t="str">
        <f aca="false">IF($B208&lt;&gt;"결제완료","",IF(OR($Y208="",$J208=""),"",$Y208*$J208+MAX(0,N($K208)-1)*설정!$J$7))</f>
        <v/>
      </c>
      <c r="AA208" s="56" t="str">
        <f aca="false">IF(AND($D208&lt;&gt;"",$B208="결제완료"),N($N208),"")</f>
        <v/>
      </c>
      <c r="AB208" s="45" t="str">
        <f aca="false">IF($D208="","",IF($F208&lt;&gt;"",$F208,$D208)&amp;IF($B208="상담중"," (상담)",""))</f>
        <v/>
      </c>
      <c r="AC208" s="45" t="n">
        <f aca="false">IF(AND($D208&lt;&gt;"",OR($B208="결제완료",$B208="상담중")),1,0)</f>
        <v>0</v>
      </c>
      <c r="AD208" s="45" t="n">
        <f aca="false">IF(OR($Z208="",$U208=""),0,IFERROR(IF(COUNTIFS(INDEX(g_grid,0,2*MATCH($M208,강사DB!$A$4:$A$15,0)),"&lt;&gt;",g_s,"&lt;="&amp;$U208,g_e,"&gt;="&amp;$U208)&gt;0,1,0),0))</f>
        <v>0</v>
      </c>
      <c r="AE208" s="48"/>
      <c r="AF208" s="56" t="str">
        <f aca="false">IF(AND($D208&lt;&gt;"",$B208="결제완료",$T208="대여"),설정!$J$5,"")</f>
        <v/>
      </c>
      <c r="AG208" s="54" t="str">
        <f aca="false">IF($D208="","",IF(AND($E208="",$R208=""),$AB208,"☎ "&amp;IF($E208="","-",$E208)&amp;IF($R208&lt;&gt;"","  ※ "&amp;$R208,"")&amp;IF($B208="상담중"," (상담)","")))</f>
        <v/>
      </c>
      <c r="AH208" s="56" t="str">
        <f aca="false">IF(AND($D208&lt;&gt;"",$B208="결제완료",$O208="스마트스토어"),ROUND(N($N208)*설정!$J$6,0),"")</f>
        <v/>
      </c>
      <c r="AI208" s="54" t="str">
        <f aca="false">IF($D208="","",ROW())</f>
        <v/>
      </c>
      <c r="AJ208" s="54" t="n">
        <f aca="false">IF(OR($AC208&lt;&gt;1,$M208=""),0,IF(ISNUMBER(SEARCH("퇴사",IFERROR(INDEX(강사DB!$G$4:$G$53,MATCH($M208,강사DB!$A$4:$A$53,0)),""))),1,0))</f>
        <v>0</v>
      </c>
    </row>
    <row r="209" customFormat="false" ht="15" hidden="false" customHeight="false" outlineLevel="0" collapsed="false">
      <c r="A209" s="45" t="str">
        <f aca="false">IF($D209="","",COUNTA($D$5:$D209))</f>
        <v/>
      </c>
      <c r="B209" s="46"/>
      <c r="C209" s="47"/>
      <c r="D209" s="48"/>
      <c r="E209" s="48"/>
      <c r="F209" s="49"/>
      <c r="G209" s="47"/>
      <c r="H209" s="50"/>
      <c r="I209" s="50"/>
      <c r="J209" s="51" t="str">
        <f aca="false">IF(OR($V209="",$W209=""),"",ROUND(($W209-$V209)/60,2))</f>
        <v/>
      </c>
      <c r="K209" s="52" t="str">
        <f aca="false">IF($F209="","",LEN($F209)-LEN(SUBSTITUTE($F209,",",""))+1)</f>
        <v/>
      </c>
      <c r="L209" s="45" t="str">
        <f aca="false">IF($K209="","","1:"&amp;$K209)</f>
        <v/>
      </c>
      <c r="M209" s="46"/>
      <c r="N209" s="53"/>
      <c r="O209" s="46"/>
      <c r="P209" s="47"/>
      <c r="Q209" s="48"/>
      <c r="R209" s="49"/>
      <c r="S209" s="54" t="str">
        <f aca="false">IF(OR($AC209=0,$U209="",$M209="",$V209="",$W209=""),"",IF(COUNTIFS(m_teacher,$M209,m_date,$U209,m_active,1,m_start,"&lt;"&amp;$W209,m_end,"&gt;"&amp;$V209)&gt;1,"충돌",""))</f>
        <v/>
      </c>
      <c r="T209" s="48"/>
      <c r="U209" s="55" t="str">
        <f aca="false">IF($G209="","",IFERROR(IF(ISNUMBER($G209),IF($G209&gt;19000000,DATE(INT($G209/10000),MOD(INT($G209/100),100),MOD($G209,100)),INT($G209)),IF(LEN(SUBSTITUTE(SUBSTITUTE(SUBSTITUTE(TRIM($G209),"-",""),".",""),"/",""))=8,DATE(VALUE(LEFT(SUBSTITUTE(SUBSTITUTE(SUBSTITUTE(TRIM($G209),"-",""),".",""),"/",""),4)),VALUE(MID(SUBSTITUTE(SUBSTITUTE(SUBSTITUTE(TRIM($G209),"-",""),".",""),"/",""),5,2)),VALUE(RIGHT(SUBSTITUTE(SUBSTITUTE(SUBSTITUTE(TRIM($G209),"-",""),".",""),"/",""),2))),DATEVALUE($G209))),""))</f>
        <v/>
      </c>
      <c r="V209" s="52" t="str">
        <f aca="false">IF($H209="","",IFERROR(IF(IF(ISNUMBER($H209),$H209,IFERROR(TIMEVALUE($H209),VALUE($H209)))&gt;=100,INT(IF(ISNUMBER($H209),$H209,IFERROR(TIMEVALUE($H209),VALUE($H209)))/100)*60+MOD(IF(ISNUMBER($H209),$H209,IFERROR(TIMEVALUE($H209),VALUE($H209))),100),IF(IF(ISNUMBER($H209),$H209,IFERROR(TIMEVALUE($H209),VALUE($H209)))&gt;=1,ROUND(IF(ISNUMBER($H209),$H209,IFERROR(TIMEVALUE($H209),VALUE($H209)))*60,0),ROUND(MOD(IF(ISNUMBER($H209),$H209,IFERROR(TIMEVALUE($H209),VALUE($H209))),1)*1440,0))),""))</f>
        <v/>
      </c>
      <c r="W209" s="52" t="str">
        <f aca="false">IF($I209="","",IFERROR(IF(IF(ISNUMBER($I209),$I209,IFERROR(TIMEVALUE($I209),VALUE($I209)))&gt;=100,INT(IF(ISNUMBER($I209),$I209,IFERROR(TIMEVALUE($I209),VALUE($I209)))/100)*60+MOD(IF(ISNUMBER($I209),$I209,IFERROR(TIMEVALUE($I209),VALUE($I209))),100),IF(IF(ISNUMBER($I209),$I209,IFERROR(TIMEVALUE($I209),VALUE($I209)))&gt;=1,ROUND(IF(ISNUMBER($I209),$I209,IFERROR(TIMEVALUE($I209),VALUE($I209)))*60,0),ROUND(MOD(IF(ISNUMBER($I209),$I209,IFERROR(TIMEVALUE($I209),VALUE($I209))),1)*1440,0))),""))</f>
        <v/>
      </c>
      <c r="X209" s="55" t="str">
        <f aca="false">IF($P209="","",IFERROR(IF(ISNUMBER($P209),IF($P209&gt;19000000,DATE(INT($P209/10000),MOD(INT($P209/100),100),MOD($P209,100)),INT($P209)),IF(LEN(SUBSTITUTE(SUBSTITUTE(SUBSTITUTE(TRIM($P209),"-",""),".",""),"/",""))=8,DATE(VALUE(LEFT(SUBSTITUTE(SUBSTITUTE(SUBSTITUTE(TRIM($P209),"-",""),".",""),"/",""),4)),VALUE(MID(SUBSTITUTE(SUBSTITUTE(SUBSTITUTE(TRIM($P209),"-",""),".",""),"/",""),5,2)),VALUE(RIGHT(SUBSTITUTE(SUBSTITUTE(SUBSTITUTE(TRIM($P209),"-",""),".",""),"/",""),2))),DATEVALUE($P209))),""))</f>
        <v/>
      </c>
      <c r="Y209" s="56" t="str">
        <f aca="false">IF($M209="","",IFERROR(INDEX(강사DB!$D$4:$D$53,MATCH($M209,강사DB!$A$4:$A$53,0)),""))</f>
        <v/>
      </c>
      <c r="Z209" s="56" t="str">
        <f aca="false">IF($B209&lt;&gt;"결제완료","",IF(OR($Y209="",$J209=""),"",$Y209*$J209+MAX(0,N($K209)-1)*설정!$J$7))</f>
        <v/>
      </c>
      <c r="AA209" s="56" t="str">
        <f aca="false">IF(AND($D209&lt;&gt;"",$B209="결제완료"),N($N209),"")</f>
        <v/>
      </c>
      <c r="AB209" s="45" t="str">
        <f aca="false">IF($D209="","",IF($F209&lt;&gt;"",$F209,$D209)&amp;IF($B209="상담중"," (상담)",""))</f>
        <v/>
      </c>
      <c r="AC209" s="45" t="n">
        <f aca="false">IF(AND($D209&lt;&gt;"",OR($B209="결제완료",$B209="상담중")),1,0)</f>
        <v>0</v>
      </c>
      <c r="AD209" s="45" t="n">
        <f aca="false">IF(OR($Z209="",$U209=""),0,IFERROR(IF(COUNTIFS(INDEX(g_grid,0,2*MATCH($M209,강사DB!$A$4:$A$15,0)),"&lt;&gt;",g_s,"&lt;="&amp;$U209,g_e,"&gt;="&amp;$U209)&gt;0,1,0),0))</f>
        <v>0</v>
      </c>
      <c r="AE209" s="48"/>
      <c r="AF209" s="56" t="str">
        <f aca="false">IF(AND($D209&lt;&gt;"",$B209="결제완료",$T209="대여"),설정!$J$5,"")</f>
        <v/>
      </c>
      <c r="AG209" s="54" t="str">
        <f aca="false">IF($D209="","",IF(AND($E209="",$R209=""),$AB209,"☎ "&amp;IF($E209="","-",$E209)&amp;IF($R209&lt;&gt;"","  ※ "&amp;$R209,"")&amp;IF($B209="상담중"," (상담)","")))</f>
        <v/>
      </c>
      <c r="AH209" s="56" t="str">
        <f aca="false">IF(AND($D209&lt;&gt;"",$B209="결제완료",$O209="스마트스토어"),ROUND(N($N209)*설정!$J$6,0),"")</f>
        <v/>
      </c>
      <c r="AI209" s="54" t="str">
        <f aca="false">IF($D209="","",ROW())</f>
        <v/>
      </c>
      <c r="AJ209" s="54" t="n">
        <f aca="false">IF(OR($AC209&lt;&gt;1,$M209=""),0,IF(ISNUMBER(SEARCH("퇴사",IFERROR(INDEX(강사DB!$G$4:$G$53,MATCH($M209,강사DB!$A$4:$A$53,0)),""))),1,0))</f>
        <v>0</v>
      </c>
    </row>
    <row r="210" customFormat="false" ht="15" hidden="false" customHeight="false" outlineLevel="0" collapsed="false">
      <c r="A210" s="45" t="str">
        <f aca="false">IF($D210="","",COUNTA($D$5:$D210))</f>
        <v/>
      </c>
      <c r="B210" s="46"/>
      <c r="C210" s="47"/>
      <c r="D210" s="48"/>
      <c r="E210" s="48"/>
      <c r="F210" s="49"/>
      <c r="G210" s="47"/>
      <c r="H210" s="50"/>
      <c r="I210" s="50"/>
      <c r="J210" s="51" t="str">
        <f aca="false">IF(OR($V210="",$W210=""),"",ROUND(($W210-$V210)/60,2))</f>
        <v/>
      </c>
      <c r="K210" s="52" t="str">
        <f aca="false">IF($F210="","",LEN($F210)-LEN(SUBSTITUTE($F210,",",""))+1)</f>
        <v/>
      </c>
      <c r="L210" s="45" t="str">
        <f aca="false">IF($K210="","","1:"&amp;$K210)</f>
        <v/>
      </c>
      <c r="M210" s="46"/>
      <c r="N210" s="53"/>
      <c r="O210" s="46"/>
      <c r="P210" s="47"/>
      <c r="Q210" s="48"/>
      <c r="R210" s="49"/>
      <c r="S210" s="54" t="str">
        <f aca="false">IF(OR($AC210=0,$U210="",$M210="",$V210="",$W210=""),"",IF(COUNTIFS(m_teacher,$M210,m_date,$U210,m_active,1,m_start,"&lt;"&amp;$W210,m_end,"&gt;"&amp;$V210)&gt;1,"충돌",""))</f>
        <v/>
      </c>
      <c r="T210" s="48"/>
      <c r="U210" s="55" t="str">
        <f aca="false">IF($G210="","",IFERROR(IF(ISNUMBER($G210),IF($G210&gt;19000000,DATE(INT($G210/10000),MOD(INT($G210/100),100),MOD($G210,100)),INT($G210)),IF(LEN(SUBSTITUTE(SUBSTITUTE(SUBSTITUTE(TRIM($G210),"-",""),".",""),"/",""))=8,DATE(VALUE(LEFT(SUBSTITUTE(SUBSTITUTE(SUBSTITUTE(TRIM($G210),"-",""),".",""),"/",""),4)),VALUE(MID(SUBSTITUTE(SUBSTITUTE(SUBSTITUTE(TRIM($G210),"-",""),".",""),"/",""),5,2)),VALUE(RIGHT(SUBSTITUTE(SUBSTITUTE(SUBSTITUTE(TRIM($G210),"-",""),".",""),"/",""),2))),DATEVALUE($G210))),""))</f>
        <v/>
      </c>
      <c r="V210" s="52" t="str">
        <f aca="false">IF($H210="","",IFERROR(IF(IF(ISNUMBER($H210),$H210,IFERROR(TIMEVALUE($H210),VALUE($H210)))&gt;=100,INT(IF(ISNUMBER($H210),$H210,IFERROR(TIMEVALUE($H210),VALUE($H210)))/100)*60+MOD(IF(ISNUMBER($H210),$H210,IFERROR(TIMEVALUE($H210),VALUE($H210))),100),IF(IF(ISNUMBER($H210),$H210,IFERROR(TIMEVALUE($H210),VALUE($H210)))&gt;=1,ROUND(IF(ISNUMBER($H210),$H210,IFERROR(TIMEVALUE($H210),VALUE($H210)))*60,0),ROUND(MOD(IF(ISNUMBER($H210),$H210,IFERROR(TIMEVALUE($H210),VALUE($H210))),1)*1440,0))),""))</f>
        <v/>
      </c>
      <c r="W210" s="52" t="str">
        <f aca="false">IF($I210="","",IFERROR(IF(IF(ISNUMBER($I210),$I210,IFERROR(TIMEVALUE($I210),VALUE($I210)))&gt;=100,INT(IF(ISNUMBER($I210),$I210,IFERROR(TIMEVALUE($I210),VALUE($I210)))/100)*60+MOD(IF(ISNUMBER($I210),$I210,IFERROR(TIMEVALUE($I210),VALUE($I210))),100),IF(IF(ISNUMBER($I210),$I210,IFERROR(TIMEVALUE($I210),VALUE($I210)))&gt;=1,ROUND(IF(ISNUMBER($I210),$I210,IFERROR(TIMEVALUE($I210),VALUE($I210)))*60,0),ROUND(MOD(IF(ISNUMBER($I210),$I210,IFERROR(TIMEVALUE($I210),VALUE($I210))),1)*1440,0))),""))</f>
        <v/>
      </c>
      <c r="X210" s="55" t="str">
        <f aca="false">IF($P210="","",IFERROR(IF(ISNUMBER($P210),IF($P210&gt;19000000,DATE(INT($P210/10000),MOD(INT($P210/100),100),MOD($P210,100)),INT($P210)),IF(LEN(SUBSTITUTE(SUBSTITUTE(SUBSTITUTE(TRIM($P210),"-",""),".",""),"/",""))=8,DATE(VALUE(LEFT(SUBSTITUTE(SUBSTITUTE(SUBSTITUTE(TRIM($P210),"-",""),".",""),"/",""),4)),VALUE(MID(SUBSTITUTE(SUBSTITUTE(SUBSTITUTE(TRIM($P210),"-",""),".",""),"/",""),5,2)),VALUE(RIGHT(SUBSTITUTE(SUBSTITUTE(SUBSTITUTE(TRIM($P210),"-",""),".",""),"/",""),2))),DATEVALUE($P210))),""))</f>
        <v/>
      </c>
      <c r="Y210" s="56" t="str">
        <f aca="false">IF($M210="","",IFERROR(INDEX(강사DB!$D$4:$D$53,MATCH($M210,강사DB!$A$4:$A$53,0)),""))</f>
        <v/>
      </c>
      <c r="Z210" s="56" t="str">
        <f aca="false">IF($B210&lt;&gt;"결제완료","",IF(OR($Y210="",$J210=""),"",$Y210*$J210+MAX(0,N($K210)-1)*설정!$J$7))</f>
        <v/>
      </c>
      <c r="AA210" s="56" t="str">
        <f aca="false">IF(AND($D210&lt;&gt;"",$B210="결제완료"),N($N210),"")</f>
        <v/>
      </c>
      <c r="AB210" s="45" t="str">
        <f aca="false">IF($D210="","",IF($F210&lt;&gt;"",$F210,$D210)&amp;IF($B210="상담중"," (상담)",""))</f>
        <v/>
      </c>
      <c r="AC210" s="45" t="n">
        <f aca="false">IF(AND($D210&lt;&gt;"",OR($B210="결제완료",$B210="상담중")),1,0)</f>
        <v>0</v>
      </c>
      <c r="AD210" s="45" t="n">
        <f aca="false">IF(OR($Z210="",$U210=""),0,IFERROR(IF(COUNTIFS(INDEX(g_grid,0,2*MATCH($M210,강사DB!$A$4:$A$15,0)),"&lt;&gt;",g_s,"&lt;="&amp;$U210,g_e,"&gt;="&amp;$U210)&gt;0,1,0),0))</f>
        <v>0</v>
      </c>
      <c r="AE210" s="48"/>
      <c r="AF210" s="56" t="str">
        <f aca="false">IF(AND($D210&lt;&gt;"",$B210="결제완료",$T210="대여"),설정!$J$5,"")</f>
        <v/>
      </c>
      <c r="AG210" s="54" t="str">
        <f aca="false">IF($D210="","",IF(AND($E210="",$R210=""),$AB210,"☎ "&amp;IF($E210="","-",$E210)&amp;IF($R210&lt;&gt;"","  ※ "&amp;$R210,"")&amp;IF($B210="상담중"," (상담)","")))</f>
        <v/>
      </c>
      <c r="AH210" s="56" t="str">
        <f aca="false">IF(AND($D210&lt;&gt;"",$B210="결제완료",$O210="스마트스토어"),ROUND(N($N210)*설정!$J$6,0),"")</f>
        <v/>
      </c>
      <c r="AI210" s="54" t="str">
        <f aca="false">IF($D210="","",ROW())</f>
        <v/>
      </c>
      <c r="AJ210" s="54" t="n">
        <f aca="false">IF(OR($AC210&lt;&gt;1,$M210=""),0,IF(ISNUMBER(SEARCH("퇴사",IFERROR(INDEX(강사DB!$G$4:$G$53,MATCH($M210,강사DB!$A$4:$A$53,0)),""))),1,0))</f>
        <v>0</v>
      </c>
    </row>
    <row r="211" customFormat="false" ht="15" hidden="false" customHeight="false" outlineLevel="0" collapsed="false">
      <c r="A211" s="45" t="str">
        <f aca="false">IF($D211="","",COUNTA($D$5:$D211))</f>
        <v/>
      </c>
      <c r="B211" s="46"/>
      <c r="C211" s="47"/>
      <c r="D211" s="48"/>
      <c r="E211" s="48"/>
      <c r="F211" s="49"/>
      <c r="G211" s="47"/>
      <c r="H211" s="50"/>
      <c r="I211" s="50"/>
      <c r="J211" s="51" t="str">
        <f aca="false">IF(OR($V211="",$W211=""),"",ROUND(($W211-$V211)/60,2))</f>
        <v/>
      </c>
      <c r="K211" s="52" t="str">
        <f aca="false">IF($F211="","",LEN($F211)-LEN(SUBSTITUTE($F211,",",""))+1)</f>
        <v/>
      </c>
      <c r="L211" s="45" t="str">
        <f aca="false">IF($K211="","","1:"&amp;$K211)</f>
        <v/>
      </c>
      <c r="M211" s="46"/>
      <c r="N211" s="53"/>
      <c r="O211" s="46"/>
      <c r="P211" s="47"/>
      <c r="Q211" s="48"/>
      <c r="R211" s="49"/>
      <c r="S211" s="54" t="str">
        <f aca="false">IF(OR($AC211=0,$U211="",$M211="",$V211="",$W211=""),"",IF(COUNTIFS(m_teacher,$M211,m_date,$U211,m_active,1,m_start,"&lt;"&amp;$W211,m_end,"&gt;"&amp;$V211)&gt;1,"충돌",""))</f>
        <v/>
      </c>
      <c r="T211" s="48"/>
      <c r="U211" s="55" t="str">
        <f aca="false">IF($G211="","",IFERROR(IF(ISNUMBER($G211),IF($G211&gt;19000000,DATE(INT($G211/10000),MOD(INT($G211/100),100),MOD($G211,100)),INT($G211)),IF(LEN(SUBSTITUTE(SUBSTITUTE(SUBSTITUTE(TRIM($G211),"-",""),".",""),"/",""))=8,DATE(VALUE(LEFT(SUBSTITUTE(SUBSTITUTE(SUBSTITUTE(TRIM($G211),"-",""),".",""),"/",""),4)),VALUE(MID(SUBSTITUTE(SUBSTITUTE(SUBSTITUTE(TRIM($G211),"-",""),".",""),"/",""),5,2)),VALUE(RIGHT(SUBSTITUTE(SUBSTITUTE(SUBSTITUTE(TRIM($G211),"-",""),".",""),"/",""),2))),DATEVALUE($G211))),""))</f>
        <v/>
      </c>
      <c r="V211" s="52" t="str">
        <f aca="false">IF($H211="","",IFERROR(IF(IF(ISNUMBER($H211),$H211,IFERROR(TIMEVALUE($H211),VALUE($H211)))&gt;=100,INT(IF(ISNUMBER($H211),$H211,IFERROR(TIMEVALUE($H211),VALUE($H211)))/100)*60+MOD(IF(ISNUMBER($H211),$H211,IFERROR(TIMEVALUE($H211),VALUE($H211))),100),IF(IF(ISNUMBER($H211),$H211,IFERROR(TIMEVALUE($H211),VALUE($H211)))&gt;=1,ROUND(IF(ISNUMBER($H211),$H211,IFERROR(TIMEVALUE($H211),VALUE($H211)))*60,0),ROUND(MOD(IF(ISNUMBER($H211),$H211,IFERROR(TIMEVALUE($H211),VALUE($H211))),1)*1440,0))),""))</f>
        <v/>
      </c>
      <c r="W211" s="52" t="str">
        <f aca="false">IF($I211="","",IFERROR(IF(IF(ISNUMBER($I211),$I211,IFERROR(TIMEVALUE($I211),VALUE($I211)))&gt;=100,INT(IF(ISNUMBER($I211),$I211,IFERROR(TIMEVALUE($I211),VALUE($I211)))/100)*60+MOD(IF(ISNUMBER($I211),$I211,IFERROR(TIMEVALUE($I211),VALUE($I211))),100),IF(IF(ISNUMBER($I211),$I211,IFERROR(TIMEVALUE($I211),VALUE($I211)))&gt;=1,ROUND(IF(ISNUMBER($I211),$I211,IFERROR(TIMEVALUE($I211),VALUE($I211)))*60,0),ROUND(MOD(IF(ISNUMBER($I211),$I211,IFERROR(TIMEVALUE($I211),VALUE($I211))),1)*1440,0))),""))</f>
        <v/>
      </c>
      <c r="X211" s="55" t="str">
        <f aca="false">IF($P211="","",IFERROR(IF(ISNUMBER($P211),IF($P211&gt;19000000,DATE(INT($P211/10000),MOD(INT($P211/100),100),MOD($P211,100)),INT($P211)),IF(LEN(SUBSTITUTE(SUBSTITUTE(SUBSTITUTE(TRIM($P211),"-",""),".",""),"/",""))=8,DATE(VALUE(LEFT(SUBSTITUTE(SUBSTITUTE(SUBSTITUTE(TRIM($P211),"-",""),".",""),"/",""),4)),VALUE(MID(SUBSTITUTE(SUBSTITUTE(SUBSTITUTE(TRIM($P211),"-",""),".",""),"/",""),5,2)),VALUE(RIGHT(SUBSTITUTE(SUBSTITUTE(SUBSTITUTE(TRIM($P211),"-",""),".",""),"/",""),2))),DATEVALUE($P211))),""))</f>
        <v/>
      </c>
      <c r="Y211" s="56" t="str">
        <f aca="false">IF($M211="","",IFERROR(INDEX(강사DB!$D$4:$D$53,MATCH($M211,강사DB!$A$4:$A$53,0)),""))</f>
        <v/>
      </c>
      <c r="Z211" s="56" t="str">
        <f aca="false">IF($B211&lt;&gt;"결제완료","",IF(OR($Y211="",$J211=""),"",$Y211*$J211+MAX(0,N($K211)-1)*설정!$J$7))</f>
        <v/>
      </c>
      <c r="AA211" s="56" t="str">
        <f aca="false">IF(AND($D211&lt;&gt;"",$B211="결제완료"),N($N211),"")</f>
        <v/>
      </c>
      <c r="AB211" s="45" t="str">
        <f aca="false">IF($D211="","",IF($F211&lt;&gt;"",$F211,$D211)&amp;IF($B211="상담중"," (상담)",""))</f>
        <v/>
      </c>
      <c r="AC211" s="45" t="n">
        <f aca="false">IF(AND($D211&lt;&gt;"",OR($B211="결제완료",$B211="상담중")),1,0)</f>
        <v>0</v>
      </c>
      <c r="AD211" s="45" t="n">
        <f aca="false">IF(OR($Z211="",$U211=""),0,IFERROR(IF(COUNTIFS(INDEX(g_grid,0,2*MATCH($M211,강사DB!$A$4:$A$15,0)),"&lt;&gt;",g_s,"&lt;="&amp;$U211,g_e,"&gt;="&amp;$U211)&gt;0,1,0),0))</f>
        <v>0</v>
      </c>
      <c r="AE211" s="48"/>
      <c r="AF211" s="56" t="str">
        <f aca="false">IF(AND($D211&lt;&gt;"",$B211="결제완료",$T211="대여"),설정!$J$5,"")</f>
        <v/>
      </c>
      <c r="AG211" s="54" t="str">
        <f aca="false">IF($D211="","",IF(AND($E211="",$R211=""),$AB211,"☎ "&amp;IF($E211="","-",$E211)&amp;IF($R211&lt;&gt;"","  ※ "&amp;$R211,"")&amp;IF($B211="상담중"," (상담)","")))</f>
        <v/>
      </c>
      <c r="AH211" s="56" t="str">
        <f aca="false">IF(AND($D211&lt;&gt;"",$B211="결제완료",$O211="스마트스토어"),ROUND(N($N211)*설정!$J$6,0),"")</f>
        <v/>
      </c>
      <c r="AI211" s="54" t="str">
        <f aca="false">IF($D211="","",ROW())</f>
        <v/>
      </c>
      <c r="AJ211" s="54" t="n">
        <f aca="false">IF(OR($AC211&lt;&gt;1,$M211=""),0,IF(ISNUMBER(SEARCH("퇴사",IFERROR(INDEX(강사DB!$G$4:$G$53,MATCH($M211,강사DB!$A$4:$A$53,0)),""))),1,0))</f>
        <v>0</v>
      </c>
    </row>
    <row r="212" customFormat="false" ht="15" hidden="false" customHeight="false" outlineLevel="0" collapsed="false">
      <c r="A212" s="45" t="str">
        <f aca="false">IF($D212="","",COUNTA($D$5:$D212))</f>
        <v/>
      </c>
      <c r="B212" s="46"/>
      <c r="C212" s="47"/>
      <c r="D212" s="48"/>
      <c r="E212" s="48"/>
      <c r="F212" s="49"/>
      <c r="G212" s="47"/>
      <c r="H212" s="50"/>
      <c r="I212" s="50"/>
      <c r="J212" s="51" t="str">
        <f aca="false">IF(OR($V212="",$W212=""),"",ROUND(($W212-$V212)/60,2))</f>
        <v/>
      </c>
      <c r="K212" s="52" t="str">
        <f aca="false">IF($F212="","",LEN($F212)-LEN(SUBSTITUTE($F212,",",""))+1)</f>
        <v/>
      </c>
      <c r="L212" s="45" t="str">
        <f aca="false">IF($K212="","","1:"&amp;$K212)</f>
        <v/>
      </c>
      <c r="M212" s="46"/>
      <c r="N212" s="53"/>
      <c r="O212" s="46"/>
      <c r="P212" s="47"/>
      <c r="Q212" s="48"/>
      <c r="R212" s="49"/>
      <c r="S212" s="54" t="str">
        <f aca="false">IF(OR($AC212=0,$U212="",$M212="",$V212="",$W212=""),"",IF(COUNTIFS(m_teacher,$M212,m_date,$U212,m_active,1,m_start,"&lt;"&amp;$W212,m_end,"&gt;"&amp;$V212)&gt;1,"충돌",""))</f>
        <v/>
      </c>
      <c r="T212" s="48"/>
      <c r="U212" s="55" t="str">
        <f aca="false">IF($G212="","",IFERROR(IF(ISNUMBER($G212),IF($G212&gt;19000000,DATE(INT($G212/10000),MOD(INT($G212/100),100),MOD($G212,100)),INT($G212)),IF(LEN(SUBSTITUTE(SUBSTITUTE(SUBSTITUTE(TRIM($G212),"-",""),".",""),"/",""))=8,DATE(VALUE(LEFT(SUBSTITUTE(SUBSTITUTE(SUBSTITUTE(TRIM($G212),"-",""),".",""),"/",""),4)),VALUE(MID(SUBSTITUTE(SUBSTITUTE(SUBSTITUTE(TRIM($G212),"-",""),".",""),"/",""),5,2)),VALUE(RIGHT(SUBSTITUTE(SUBSTITUTE(SUBSTITUTE(TRIM($G212),"-",""),".",""),"/",""),2))),DATEVALUE($G212))),""))</f>
        <v/>
      </c>
      <c r="V212" s="52" t="str">
        <f aca="false">IF($H212="","",IFERROR(IF(IF(ISNUMBER($H212),$H212,IFERROR(TIMEVALUE($H212),VALUE($H212)))&gt;=100,INT(IF(ISNUMBER($H212),$H212,IFERROR(TIMEVALUE($H212),VALUE($H212)))/100)*60+MOD(IF(ISNUMBER($H212),$H212,IFERROR(TIMEVALUE($H212),VALUE($H212))),100),IF(IF(ISNUMBER($H212),$H212,IFERROR(TIMEVALUE($H212),VALUE($H212)))&gt;=1,ROUND(IF(ISNUMBER($H212),$H212,IFERROR(TIMEVALUE($H212),VALUE($H212)))*60,0),ROUND(MOD(IF(ISNUMBER($H212),$H212,IFERROR(TIMEVALUE($H212),VALUE($H212))),1)*1440,0))),""))</f>
        <v/>
      </c>
      <c r="W212" s="52" t="str">
        <f aca="false">IF($I212="","",IFERROR(IF(IF(ISNUMBER($I212),$I212,IFERROR(TIMEVALUE($I212),VALUE($I212)))&gt;=100,INT(IF(ISNUMBER($I212),$I212,IFERROR(TIMEVALUE($I212),VALUE($I212)))/100)*60+MOD(IF(ISNUMBER($I212),$I212,IFERROR(TIMEVALUE($I212),VALUE($I212))),100),IF(IF(ISNUMBER($I212),$I212,IFERROR(TIMEVALUE($I212),VALUE($I212)))&gt;=1,ROUND(IF(ISNUMBER($I212),$I212,IFERROR(TIMEVALUE($I212),VALUE($I212)))*60,0),ROUND(MOD(IF(ISNUMBER($I212),$I212,IFERROR(TIMEVALUE($I212),VALUE($I212))),1)*1440,0))),""))</f>
        <v/>
      </c>
      <c r="X212" s="55" t="str">
        <f aca="false">IF($P212="","",IFERROR(IF(ISNUMBER($P212),IF($P212&gt;19000000,DATE(INT($P212/10000),MOD(INT($P212/100),100),MOD($P212,100)),INT($P212)),IF(LEN(SUBSTITUTE(SUBSTITUTE(SUBSTITUTE(TRIM($P212),"-",""),".",""),"/",""))=8,DATE(VALUE(LEFT(SUBSTITUTE(SUBSTITUTE(SUBSTITUTE(TRIM($P212),"-",""),".",""),"/",""),4)),VALUE(MID(SUBSTITUTE(SUBSTITUTE(SUBSTITUTE(TRIM($P212),"-",""),".",""),"/",""),5,2)),VALUE(RIGHT(SUBSTITUTE(SUBSTITUTE(SUBSTITUTE(TRIM($P212),"-",""),".",""),"/",""),2))),DATEVALUE($P212))),""))</f>
        <v/>
      </c>
      <c r="Y212" s="56" t="str">
        <f aca="false">IF($M212="","",IFERROR(INDEX(강사DB!$D$4:$D$53,MATCH($M212,강사DB!$A$4:$A$53,0)),""))</f>
        <v/>
      </c>
      <c r="Z212" s="56" t="str">
        <f aca="false">IF($B212&lt;&gt;"결제완료","",IF(OR($Y212="",$J212=""),"",$Y212*$J212+MAX(0,N($K212)-1)*설정!$J$7))</f>
        <v/>
      </c>
      <c r="AA212" s="56" t="str">
        <f aca="false">IF(AND($D212&lt;&gt;"",$B212="결제완료"),N($N212),"")</f>
        <v/>
      </c>
      <c r="AB212" s="45" t="str">
        <f aca="false">IF($D212="","",IF($F212&lt;&gt;"",$F212,$D212)&amp;IF($B212="상담중"," (상담)",""))</f>
        <v/>
      </c>
      <c r="AC212" s="45" t="n">
        <f aca="false">IF(AND($D212&lt;&gt;"",OR($B212="결제완료",$B212="상담중")),1,0)</f>
        <v>0</v>
      </c>
      <c r="AD212" s="45" t="n">
        <f aca="false">IF(OR($Z212="",$U212=""),0,IFERROR(IF(COUNTIFS(INDEX(g_grid,0,2*MATCH($M212,강사DB!$A$4:$A$15,0)),"&lt;&gt;",g_s,"&lt;="&amp;$U212,g_e,"&gt;="&amp;$U212)&gt;0,1,0),0))</f>
        <v>0</v>
      </c>
      <c r="AE212" s="48"/>
      <c r="AF212" s="56" t="str">
        <f aca="false">IF(AND($D212&lt;&gt;"",$B212="결제완료",$T212="대여"),설정!$J$5,"")</f>
        <v/>
      </c>
      <c r="AG212" s="54" t="str">
        <f aca="false">IF($D212="","",IF(AND($E212="",$R212=""),$AB212,"☎ "&amp;IF($E212="","-",$E212)&amp;IF($R212&lt;&gt;"","  ※ "&amp;$R212,"")&amp;IF($B212="상담중"," (상담)","")))</f>
        <v/>
      </c>
      <c r="AH212" s="56" t="str">
        <f aca="false">IF(AND($D212&lt;&gt;"",$B212="결제완료",$O212="스마트스토어"),ROUND(N($N212)*설정!$J$6,0),"")</f>
        <v/>
      </c>
      <c r="AI212" s="54" t="str">
        <f aca="false">IF($D212="","",ROW())</f>
        <v/>
      </c>
      <c r="AJ212" s="54" t="n">
        <f aca="false">IF(OR($AC212&lt;&gt;1,$M212=""),0,IF(ISNUMBER(SEARCH("퇴사",IFERROR(INDEX(강사DB!$G$4:$G$53,MATCH($M212,강사DB!$A$4:$A$53,0)),""))),1,0))</f>
        <v>0</v>
      </c>
    </row>
    <row r="213" customFormat="false" ht="15" hidden="false" customHeight="false" outlineLevel="0" collapsed="false">
      <c r="A213" s="45" t="str">
        <f aca="false">IF($D213="","",COUNTA($D$5:$D213))</f>
        <v/>
      </c>
      <c r="B213" s="46"/>
      <c r="C213" s="47"/>
      <c r="D213" s="48"/>
      <c r="E213" s="48"/>
      <c r="F213" s="49"/>
      <c r="G213" s="47"/>
      <c r="H213" s="50"/>
      <c r="I213" s="50"/>
      <c r="J213" s="51" t="str">
        <f aca="false">IF(OR($V213="",$W213=""),"",ROUND(($W213-$V213)/60,2))</f>
        <v/>
      </c>
      <c r="K213" s="52" t="str">
        <f aca="false">IF($F213="","",LEN($F213)-LEN(SUBSTITUTE($F213,",",""))+1)</f>
        <v/>
      </c>
      <c r="L213" s="45" t="str">
        <f aca="false">IF($K213="","","1:"&amp;$K213)</f>
        <v/>
      </c>
      <c r="M213" s="46"/>
      <c r="N213" s="53"/>
      <c r="O213" s="46"/>
      <c r="P213" s="47"/>
      <c r="Q213" s="48"/>
      <c r="R213" s="49"/>
      <c r="S213" s="54" t="str">
        <f aca="false">IF(OR($AC213=0,$U213="",$M213="",$V213="",$W213=""),"",IF(COUNTIFS(m_teacher,$M213,m_date,$U213,m_active,1,m_start,"&lt;"&amp;$W213,m_end,"&gt;"&amp;$V213)&gt;1,"충돌",""))</f>
        <v/>
      </c>
      <c r="T213" s="48"/>
      <c r="U213" s="55" t="str">
        <f aca="false">IF($G213="","",IFERROR(IF(ISNUMBER($G213),IF($G213&gt;19000000,DATE(INT($G213/10000),MOD(INT($G213/100),100),MOD($G213,100)),INT($G213)),IF(LEN(SUBSTITUTE(SUBSTITUTE(SUBSTITUTE(TRIM($G213),"-",""),".",""),"/",""))=8,DATE(VALUE(LEFT(SUBSTITUTE(SUBSTITUTE(SUBSTITUTE(TRIM($G213),"-",""),".",""),"/",""),4)),VALUE(MID(SUBSTITUTE(SUBSTITUTE(SUBSTITUTE(TRIM($G213),"-",""),".",""),"/",""),5,2)),VALUE(RIGHT(SUBSTITUTE(SUBSTITUTE(SUBSTITUTE(TRIM($G213),"-",""),".",""),"/",""),2))),DATEVALUE($G213))),""))</f>
        <v/>
      </c>
      <c r="V213" s="52" t="str">
        <f aca="false">IF($H213="","",IFERROR(IF(IF(ISNUMBER($H213),$H213,IFERROR(TIMEVALUE($H213),VALUE($H213)))&gt;=100,INT(IF(ISNUMBER($H213),$H213,IFERROR(TIMEVALUE($H213),VALUE($H213)))/100)*60+MOD(IF(ISNUMBER($H213),$H213,IFERROR(TIMEVALUE($H213),VALUE($H213))),100),IF(IF(ISNUMBER($H213),$H213,IFERROR(TIMEVALUE($H213),VALUE($H213)))&gt;=1,ROUND(IF(ISNUMBER($H213),$H213,IFERROR(TIMEVALUE($H213),VALUE($H213)))*60,0),ROUND(MOD(IF(ISNUMBER($H213),$H213,IFERROR(TIMEVALUE($H213),VALUE($H213))),1)*1440,0))),""))</f>
        <v/>
      </c>
      <c r="W213" s="52" t="str">
        <f aca="false">IF($I213="","",IFERROR(IF(IF(ISNUMBER($I213),$I213,IFERROR(TIMEVALUE($I213),VALUE($I213)))&gt;=100,INT(IF(ISNUMBER($I213),$I213,IFERROR(TIMEVALUE($I213),VALUE($I213)))/100)*60+MOD(IF(ISNUMBER($I213),$I213,IFERROR(TIMEVALUE($I213),VALUE($I213))),100),IF(IF(ISNUMBER($I213),$I213,IFERROR(TIMEVALUE($I213),VALUE($I213)))&gt;=1,ROUND(IF(ISNUMBER($I213),$I213,IFERROR(TIMEVALUE($I213),VALUE($I213)))*60,0),ROUND(MOD(IF(ISNUMBER($I213),$I213,IFERROR(TIMEVALUE($I213),VALUE($I213))),1)*1440,0))),""))</f>
        <v/>
      </c>
      <c r="X213" s="55" t="str">
        <f aca="false">IF($P213="","",IFERROR(IF(ISNUMBER($P213),IF($P213&gt;19000000,DATE(INT($P213/10000),MOD(INT($P213/100),100),MOD($P213,100)),INT($P213)),IF(LEN(SUBSTITUTE(SUBSTITUTE(SUBSTITUTE(TRIM($P213),"-",""),".",""),"/",""))=8,DATE(VALUE(LEFT(SUBSTITUTE(SUBSTITUTE(SUBSTITUTE(TRIM($P213),"-",""),".",""),"/",""),4)),VALUE(MID(SUBSTITUTE(SUBSTITUTE(SUBSTITUTE(TRIM($P213),"-",""),".",""),"/",""),5,2)),VALUE(RIGHT(SUBSTITUTE(SUBSTITUTE(SUBSTITUTE(TRIM($P213),"-",""),".",""),"/",""),2))),DATEVALUE($P213))),""))</f>
        <v/>
      </c>
      <c r="Y213" s="56" t="str">
        <f aca="false">IF($M213="","",IFERROR(INDEX(강사DB!$D$4:$D$53,MATCH($M213,강사DB!$A$4:$A$53,0)),""))</f>
        <v/>
      </c>
      <c r="Z213" s="56" t="str">
        <f aca="false">IF($B213&lt;&gt;"결제완료","",IF(OR($Y213="",$J213=""),"",$Y213*$J213+MAX(0,N($K213)-1)*설정!$J$7))</f>
        <v/>
      </c>
      <c r="AA213" s="56" t="str">
        <f aca="false">IF(AND($D213&lt;&gt;"",$B213="결제완료"),N($N213),"")</f>
        <v/>
      </c>
      <c r="AB213" s="45" t="str">
        <f aca="false">IF($D213="","",IF($F213&lt;&gt;"",$F213,$D213)&amp;IF($B213="상담중"," (상담)",""))</f>
        <v/>
      </c>
      <c r="AC213" s="45" t="n">
        <f aca="false">IF(AND($D213&lt;&gt;"",OR($B213="결제완료",$B213="상담중")),1,0)</f>
        <v>0</v>
      </c>
      <c r="AD213" s="45" t="n">
        <f aca="false">IF(OR($Z213="",$U213=""),0,IFERROR(IF(COUNTIFS(INDEX(g_grid,0,2*MATCH($M213,강사DB!$A$4:$A$15,0)),"&lt;&gt;",g_s,"&lt;="&amp;$U213,g_e,"&gt;="&amp;$U213)&gt;0,1,0),0))</f>
        <v>0</v>
      </c>
      <c r="AE213" s="48"/>
      <c r="AF213" s="56" t="str">
        <f aca="false">IF(AND($D213&lt;&gt;"",$B213="결제완료",$T213="대여"),설정!$J$5,"")</f>
        <v/>
      </c>
      <c r="AG213" s="54" t="str">
        <f aca="false">IF($D213="","",IF(AND($E213="",$R213=""),$AB213,"☎ "&amp;IF($E213="","-",$E213)&amp;IF($R213&lt;&gt;"","  ※ "&amp;$R213,"")&amp;IF($B213="상담중"," (상담)","")))</f>
        <v/>
      </c>
      <c r="AH213" s="56" t="str">
        <f aca="false">IF(AND($D213&lt;&gt;"",$B213="결제완료",$O213="스마트스토어"),ROUND(N($N213)*설정!$J$6,0),"")</f>
        <v/>
      </c>
      <c r="AI213" s="54" t="str">
        <f aca="false">IF($D213="","",ROW())</f>
        <v/>
      </c>
      <c r="AJ213" s="54" t="n">
        <f aca="false">IF(OR($AC213&lt;&gt;1,$M213=""),0,IF(ISNUMBER(SEARCH("퇴사",IFERROR(INDEX(강사DB!$G$4:$G$53,MATCH($M213,강사DB!$A$4:$A$53,0)),""))),1,0))</f>
        <v>0</v>
      </c>
    </row>
    <row r="214" customFormat="false" ht="15" hidden="false" customHeight="false" outlineLevel="0" collapsed="false">
      <c r="A214" s="45" t="str">
        <f aca="false">IF($D214="","",COUNTA($D$5:$D214))</f>
        <v/>
      </c>
      <c r="B214" s="46"/>
      <c r="C214" s="47"/>
      <c r="D214" s="48"/>
      <c r="E214" s="48"/>
      <c r="F214" s="49"/>
      <c r="G214" s="47"/>
      <c r="H214" s="50"/>
      <c r="I214" s="50"/>
      <c r="J214" s="51" t="str">
        <f aca="false">IF(OR($V214="",$W214=""),"",ROUND(($W214-$V214)/60,2))</f>
        <v/>
      </c>
      <c r="K214" s="52" t="str">
        <f aca="false">IF($F214="","",LEN($F214)-LEN(SUBSTITUTE($F214,",",""))+1)</f>
        <v/>
      </c>
      <c r="L214" s="45" t="str">
        <f aca="false">IF($K214="","","1:"&amp;$K214)</f>
        <v/>
      </c>
      <c r="M214" s="46"/>
      <c r="N214" s="53"/>
      <c r="O214" s="46"/>
      <c r="P214" s="47"/>
      <c r="Q214" s="48"/>
      <c r="R214" s="49"/>
      <c r="S214" s="54" t="str">
        <f aca="false">IF(OR($AC214=0,$U214="",$M214="",$V214="",$W214=""),"",IF(COUNTIFS(m_teacher,$M214,m_date,$U214,m_active,1,m_start,"&lt;"&amp;$W214,m_end,"&gt;"&amp;$V214)&gt;1,"충돌",""))</f>
        <v/>
      </c>
      <c r="T214" s="48"/>
      <c r="U214" s="55" t="str">
        <f aca="false">IF($G214="","",IFERROR(IF(ISNUMBER($G214),IF($G214&gt;19000000,DATE(INT($G214/10000),MOD(INT($G214/100),100),MOD($G214,100)),INT($G214)),IF(LEN(SUBSTITUTE(SUBSTITUTE(SUBSTITUTE(TRIM($G214),"-",""),".",""),"/",""))=8,DATE(VALUE(LEFT(SUBSTITUTE(SUBSTITUTE(SUBSTITUTE(TRIM($G214),"-",""),".",""),"/",""),4)),VALUE(MID(SUBSTITUTE(SUBSTITUTE(SUBSTITUTE(TRIM($G214),"-",""),".",""),"/",""),5,2)),VALUE(RIGHT(SUBSTITUTE(SUBSTITUTE(SUBSTITUTE(TRIM($G214),"-",""),".",""),"/",""),2))),DATEVALUE($G214))),""))</f>
        <v/>
      </c>
      <c r="V214" s="52" t="str">
        <f aca="false">IF($H214="","",IFERROR(IF(IF(ISNUMBER($H214),$H214,IFERROR(TIMEVALUE($H214),VALUE($H214)))&gt;=100,INT(IF(ISNUMBER($H214),$H214,IFERROR(TIMEVALUE($H214),VALUE($H214)))/100)*60+MOD(IF(ISNUMBER($H214),$H214,IFERROR(TIMEVALUE($H214),VALUE($H214))),100),IF(IF(ISNUMBER($H214),$H214,IFERROR(TIMEVALUE($H214),VALUE($H214)))&gt;=1,ROUND(IF(ISNUMBER($H214),$H214,IFERROR(TIMEVALUE($H214),VALUE($H214)))*60,0),ROUND(MOD(IF(ISNUMBER($H214),$H214,IFERROR(TIMEVALUE($H214),VALUE($H214))),1)*1440,0))),""))</f>
        <v/>
      </c>
      <c r="W214" s="52" t="str">
        <f aca="false">IF($I214="","",IFERROR(IF(IF(ISNUMBER($I214),$I214,IFERROR(TIMEVALUE($I214),VALUE($I214)))&gt;=100,INT(IF(ISNUMBER($I214),$I214,IFERROR(TIMEVALUE($I214),VALUE($I214)))/100)*60+MOD(IF(ISNUMBER($I214),$I214,IFERROR(TIMEVALUE($I214),VALUE($I214))),100),IF(IF(ISNUMBER($I214),$I214,IFERROR(TIMEVALUE($I214),VALUE($I214)))&gt;=1,ROUND(IF(ISNUMBER($I214),$I214,IFERROR(TIMEVALUE($I214),VALUE($I214)))*60,0),ROUND(MOD(IF(ISNUMBER($I214),$I214,IFERROR(TIMEVALUE($I214),VALUE($I214))),1)*1440,0))),""))</f>
        <v/>
      </c>
      <c r="X214" s="55" t="str">
        <f aca="false">IF($P214="","",IFERROR(IF(ISNUMBER($P214),IF($P214&gt;19000000,DATE(INT($P214/10000),MOD(INT($P214/100),100),MOD($P214,100)),INT($P214)),IF(LEN(SUBSTITUTE(SUBSTITUTE(SUBSTITUTE(TRIM($P214),"-",""),".",""),"/",""))=8,DATE(VALUE(LEFT(SUBSTITUTE(SUBSTITUTE(SUBSTITUTE(TRIM($P214),"-",""),".",""),"/",""),4)),VALUE(MID(SUBSTITUTE(SUBSTITUTE(SUBSTITUTE(TRIM($P214),"-",""),".",""),"/",""),5,2)),VALUE(RIGHT(SUBSTITUTE(SUBSTITUTE(SUBSTITUTE(TRIM($P214),"-",""),".",""),"/",""),2))),DATEVALUE($P214))),""))</f>
        <v/>
      </c>
      <c r="Y214" s="56" t="str">
        <f aca="false">IF($M214="","",IFERROR(INDEX(강사DB!$D$4:$D$53,MATCH($M214,강사DB!$A$4:$A$53,0)),""))</f>
        <v/>
      </c>
      <c r="Z214" s="56" t="str">
        <f aca="false">IF($B214&lt;&gt;"결제완료","",IF(OR($Y214="",$J214=""),"",$Y214*$J214+MAX(0,N($K214)-1)*설정!$J$7))</f>
        <v/>
      </c>
      <c r="AA214" s="56" t="str">
        <f aca="false">IF(AND($D214&lt;&gt;"",$B214="결제완료"),N($N214),"")</f>
        <v/>
      </c>
      <c r="AB214" s="45" t="str">
        <f aca="false">IF($D214="","",IF($F214&lt;&gt;"",$F214,$D214)&amp;IF($B214="상담중"," (상담)",""))</f>
        <v/>
      </c>
      <c r="AC214" s="45" t="n">
        <f aca="false">IF(AND($D214&lt;&gt;"",OR($B214="결제완료",$B214="상담중")),1,0)</f>
        <v>0</v>
      </c>
      <c r="AD214" s="45" t="n">
        <f aca="false">IF(OR($Z214="",$U214=""),0,IFERROR(IF(COUNTIFS(INDEX(g_grid,0,2*MATCH($M214,강사DB!$A$4:$A$15,0)),"&lt;&gt;",g_s,"&lt;="&amp;$U214,g_e,"&gt;="&amp;$U214)&gt;0,1,0),0))</f>
        <v>0</v>
      </c>
      <c r="AE214" s="48"/>
      <c r="AF214" s="56" t="str">
        <f aca="false">IF(AND($D214&lt;&gt;"",$B214="결제완료",$T214="대여"),설정!$J$5,"")</f>
        <v/>
      </c>
      <c r="AG214" s="54" t="str">
        <f aca="false">IF($D214="","",IF(AND($E214="",$R214=""),$AB214,"☎ "&amp;IF($E214="","-",$E214)&amp;IF($R214&lt;&gt;"","  ※ "&amp;$R214,"")&amp;IF($B214="상담중"," (상담)","")))</f>
        <v/>
      </c>
      <c r="AH214" s="56" t="str">
        <f aca="false">IF(AND($D214&lt;&gt;"",$B214="결제완료",$O214="스마트스토어"),ROUND(N($N214)*설정!$J$6,0),"")</f>
        <v/>
      </c>
      <c r="AI214" s="54" t="str">
        <f aca="false">IF($D214="","",ROW())</f>
        <v/>
      </c>
      <c r="AJ214" s="54" t="n">
        <f aca="false">IF(OR($AC214&lt;&gt;1,$M214=""),0,IF(ISNUMBER(SEARCH("퇴사",IFERROR(INDEX(강사DB!$G$4:$G$53,MATCH($M214,강사DB!$A$4:$A$53,0)),""))),1,0))</f>
        <v>0</v>
      </c>
    </row>
    <row r="215" customFormat="false" ht="15" hidden="false" customHeight="false" outlineLevel="0" collapsed="false">
      <c r="A215" s="45" t="str">
        <f aca="false">IF($D215="","",COUNTA($D$5:$D215))</f>
        <v/>
      </c>
      <c r="B215" s="46"/>
      <c r="C215" s="47"/>
      <c r="D215" s="48"/>
      <c r="E215" s="48"/>
      <c r="F215" s="49"/>
      <c r="G215" s="47"/>
      <c r="H215" s="50"/>
      <c r="I215" s="50"/>
      <c r="J215" s="51" t="str">
        <f aca="false">IF(OR($V215="",$W215=""),"",ROUND(($W215-$V215)/60,2))</f>
        <v/>
      </c>
      <c r="K215" s="52" t="str">
        <f aca="false">IF($F215="","",LEN($F215)-LEN(SUBSTITUTE($F215,",",""))+1)</f>
        <v/>
      </c>
      <c r="L215" s="45" t="str">
        <f aca="false">IF($K215="","","1:"&amp;$K215)</f>
        <v/>
      </c>
      <c r="M215" s="46"/>
      <c r="N215" s="53"/>
      <c r="O215" s="46"/>
      <c r="P215" s="47"/>
      <c r="Q215" s="48"/>
      <c r="R215" s="49"/>
      <c r="S215" s="54" t="str">
        <f aca="false">IF(OR($AC215=0,$U215="",$M215="",$V215="",$W215=""),"",IF(COUNTIFS(m_teacher,$M215,m_date,$U215,m_active,1,m_start,"&lt;"&amp;$W215,m_end,"&gt;"&amp;$V215)&gt;1,"충돌",""))</f>
        <v/>
      </c>
      <c r="T215" s="48"/>
      <c r="U215" s="55" t="str">
        <f aca="false">IF($G215="","",IFERROR(IF(ISNUMBER($G215),IF($G215&gt;19000000,DATE(INT($G215/10000),MOD(INT($G215/100),100),MOD($G215,100)),INT($G215)),IF(LEN(SUBSTITUTE(SUBSTITUTE(SUBSTITUTE(TRIM($G215),"-",""),".",""),"/",""))=8,DATE(VALUE(LEFT(SUBSTITUTE(SUBSTITUTE(SUBSTITUTE(TRIM($G215),"-",""),".",""),"/",""),4)),VALUE(MID(SUBSTITUTE(SUBSTITUTE(SUBSTITUTE(TRIM($G215),"-",""),".",""),"/",""),5,2)),VALUE(RIGHT(SUBSTITUTE(SUBSTITUTE(SUBSTITUTE(TRIM($G215),"-",""),".",""),"/",""),2))),DATEVALUE($G215))),""))</f>
        <v/>
      </c>
      <c r="V215" s="52" t="str">
        <f aca="false">IF($H215="","",IFERROR(IF(IF(ISNUMBER($H215),$H215,IFERROR(TIMEVALUE($H215),VALUE($H215)))&gt;=100,INT(IF(ISNUMBER($H215),$H215,IFERROR(TIMEVALUE($H215),VALUE($H215)))/100)*60+MOD(IF(ISNUMBER($H215),$H215,IFERROR(TIMEVALUE($H215),VALUE($H215))),100),IF(IF(ISNUMBER($H215),$H215,IFERROR(TIMEVALUE($H215),VALUE($H215)))&gt;=1,ROUND(IF(ISNUMBER($H215),$H215,IFERROR(TIMEVALUE($H215),VALUE($H215)))*60,0),ROUND(MOD(IF(ISNUMBER($H215),$H215,IFERROR(TIMEVALUE($H215),VALUE($H215))),1)*1440,0))),""))</f>
        <v/>
      </c>
      <c r="W215" s="52" t="str">
        <f aca="false">IF($I215="","",IFERROR(IF(IF(ISNUMBER($I215),$I215,IFERROR(TIMEVALUE($I215),VALUE($I215)))&gt;=100,INT(IF(ISNUMBER($I215),$I215,IFERROR(TIMEVALUE($I215),VALUE($I215)))/100)*60+MOD(IF(ISNUMBER($I215),$I215,IFERROR(TIMEVALUE($I215),VALUE($I215))),100),IF(IF(ISNUMBER($I215),$I215,IFERROR(TIMEVALUE($I215),VALUE($I215)))&gt;=1,ROUND(IF(ISNUMBER($I215),$I215,IFERROR(TIMEVALUE($I215),VALUE($I215)))*60,0),ROUND(MOD(IF(ISNUMBER($I215),$I215,IFERROR(TIMEVALUE($I215),VALUE($I215))),1)*1440,0))),""))</f>
        <v/>
      </c>
      <c r="X215" s="55" t="str">
        <f aca="false">IF($P215="","",IFERROR(IF(ISNUMBER($P215),IF($P215&gt;19000000,DATE(INT($P215/10000),MOD(INT($P215/100),100),MOD($P215,100)),INT($P215)),IF(LEN(SUBSTITUTE(SUBSTITUTE(SUBSTITUTE(TRIM($P215),"-",""),".",""),"/",""))=8,DATE(VALUE(LEFT(SUBSTITUTE(SUBSTITUTE(SUBSTITUTE(TRIM($P215),"-",""),".",""),"/",""),4)),VALUE(MID(SUBSTITUTE(SUBSTITUTE(SUBSTITUTE(TRIM($P215),"-",""),".",""),"/",""),5,2)),VALUE(RIGHT(SUBSTITUTE(SUBSTITUTE(SUBSTITUTE(TRIM($P215),"-",""),".",""),"/",""),2))),DATEVALUE($P215))),""))</f>
        <v/>
      </c>
      <c r="Y215" s="56" t="str">
        <f aca="false">IF($M215="","",IFERROR(INDEX(강사DB!$D$4:$D$53,MATCH($M215,강사DB!$A$4:$A$53,0)),""))</f>
        <v/>
      </c>
      <c r="Z215" s="56" t="str">
        <f aca="false">IF($B215&lt;&gt;"결제완료","",IF(OR($Y215="",$J215=""),"",$Y215*$J215+MAX(0,N($K215)-1)*설정!$J$7))</f>
        <v/>
      </c>
      <c r="AA215" s="56" t="str">
        <f aca="false">IF(AND($D215&lt;&gt;"",$B215="결제완료"),N($N215),"")</f>
        <v/>
      </c>
      <c r="AB215" s="45" t="str">
        <f aca="false">IF($D215="","",IF($F215&lt;&gt;"",$F215,$D215)&amp;IF($B215="상담중"," (상담)",""))</f>
        <v/>
      </c>
      <c r="AC215" s="45" t="n">
        <f aca="false">IF(AND($D215&lt;&gt;"",OR($B215="결제완료",$B215="상담중")),1,0)</f>
        <v>0</v>
      </c>
      <c r="AD215" s="45" t="n">
        <f aca="false">IF(OR($Z215="",$U215=""),0,IFERROR(IF(COUNTIFS(INDEX(g_grid,0,2*MATCH($M215,강사DB!$A$4:$A$15,0)),"&lt;&gt;",g_s,"&lt;="&amp;$U215,g_e,"&gt;="&amp;$U215)&gt;0,1,0),0))</f>
        <v>0</v>
      </c>
      <c r="AE215" s="48"/>
      <c r="AF215" s="56" t="str">
        <f aca="false">IF(AND($D215&lt;&gt;"",$B215="결제완료",$T215="대여"),설정!$J$5,"")</f>
        <v/>
      </c>
      <c r="AG215" s="54" t="str">
        <f aca="false">IF($D215="","",IF(AND($E215="",$R215=""),$AB215,"☎ "&amp;IF($E215="","-",$E215)&amp;IF($R215&lt;&gt;"","  ※ "&amp;$R215,"")&amp;IF($B215="상담중"," (상담)","")))</f>
        <v/>
      </c>
      <c r="AH215" s="56" t="str">
        <f aca="false">IF(AND($D215&lt;&gt;"",$B215="결제완료",$O215="스마트스토어"),ROUND(N($N215)*설정!$J$6,0),"")</f>
        <v/>
      </c>
      <c r="AI215" s="54" t="str">
        <f aca="false">IF($D215="","",ROW())</f>
        <v/>
      </c>
      <c r="AJ215" s="54" t="n">
        <f aca="false">IF(OR($AC215&lt;&gt;1,$M215=""),0,IF(ISNUMBER(SEARCH("퇴사",IFERROR(INDEX(강사DB!$G$4:$G$53,MATCH($M215,강사DB!$A$4:$A$53,0)),""))),1,0))</f>
        <v>0</v>
      </c>
    </row>
    <row r="216" customFormat="false" ht="15" hidden="false" customHeight="false" outlineLevel="0" collapsed="false">
      <c r="A216" s="45" t="str">
        <f aca="false">IF($D216="","",COUNTA($D$5:$D216))</f>
        <v/>
      </c>
      <c r="B216" s="46"/>
      <c r="C216" s="47"/>
      <c r="D216" s="48"/>
      <c r="E216" s="48"/>
      <c r="F216" s="49"/>
      <c r="G216" s="47"/>
      <c r="H216" s="50"/>
      <c r="I216" s="50"/>
      <c r="J216" s="51" t="str">
        <f aca="false">IF(OR($V216="",$W216=""),"",ROUND(($W216-$V216)/60,2))</f>
        <v/>
      </c>
      <c r="K216" s="52" t="str">
        <f aca="false">IF($F216="","",LEN($F216)-LEN(SUBSTITUTE($F216,",",""))+1)</f>
        <v/>
      </c>
      <c r="L216" s="45" t="str">
        <f aca="false">IF($K216="","","1:"&amp;$K216)</f>
        <v/>
      </c>
      <c r="M216" s="46"/>
      <c r="N216" s="53"/>
      <c r="O216" s="46"/>
      <c r="P216" s="47"/>
      <c r="Q216" s="48"/>
      <c r="R216" s="49"/>
      <c r="S216" s="54" t="str">
        <f aca="false">IF(OR($AC216=0,$U216="",$M216="",$V216="",$W216=""),"",IF(COUNTIFS(m_teacher,$M216,m_date,$U216,m_active,1,m_start,"&lt;"&amp;$W216,m_end,"&gt;"&amp;$V216)&gt;1,"충돌",""))</f>
        <v/>
      </c>
      <c r="T216" s="48"/>
      <c r="U216" s="55" t="str">
        <f aca="false">IF($G216="","",IFERROR(IF(ISNUMBER($G216),IF($G216&gt;19000000,DATE(INT($G216/10000),MOD(INT($G216/100),100),MOD($G216,100)),INT($G216)),IF(LEN(SUBSTITUTE(SUBSTITUTE(SUBSTITUTE(TRIM($G216),"-",""),".",""),"/",""))=8,DATE(VALUE(LEFT(SUBSTITUTE(SUBSTITUTE(SUBSTITUTE(TRIM($G216),"-",""),".",""),"/",""),4)),VALUE(MID(SUBSTITUTE(SUBSTITUTE(SUBSTITUTE(TRIM($G216),"-",""),".",""),"/",""),5,2)),VALUE(RIGHT(SUBSTITUTE(SUBSTITUTE(SUBSTITUTE(TRIM($G216),"-",""),".",""),"/",""),2))),DATEVALUE($G216))),""))</f>
        <v/>
      </c>
      <c r="V216" s="52" t="str">
        <f aca="false">IF($H216="","",IFERROR(IF(IF(ISNUMBER($H216),$H216,IFERROR(TIMEVALUE($H216),VALUE($H216)))&gt;=100,INT(IF(ISNUMBER($H216),$H216,IFERROR(TIMEVALUE($H216),VALUE($H216)))/100)*60+MOD(IF(ISNUMBER($H216),$H216,IFERROR(TIMEVALUE($H216),VALUE($H216))),100),IF(IF(ISNUMBER($H216),$H216,IFERROR(TIMEVALUE($H216),VALUE($H216)))&gt;=1,ROUND(IF(ISNUMBER($H216),$H216,IFERROR(TIMEVALUE($H216),VALUE($H216)))*60,0),ROUND(MOD(IF(ISNUMBER($H216),$H216,IFERROR(TIMEVALUE($H216),VALUE($H216))),1)*1440,0))),""))</f>
        <v/>
      </c>
      <c r="W216" s="52" t="str">
        <f aca="false">IF($I216="","",IFERROR(IF(IF(ISNUMBER($I216),$I216,IFERROR(TIMEVALUE($I216),VALUE($I216)))&gt;=100,INT(IF(ISNUMBER($I216),$I216,IFERROR(TIMEVALUE($I216),VALUE($I216)))/100)*60+MOD(IF(ISNUMBER($I216),$I216,IFERROR(TIMEVALUE($I216),VALUE($I216))),100),IF(IF(ISNUMBER($I216),$I216,IFERROR(TIMEVALUE($I216),VALUE($I216)))&gt;=1,ROUND(IF(ISNUMBER($I216),$I216,IFERROR(TIMEVALUE($I216),VALUE($I216)))*60,0),ROUND(MOD(IF(ISNUMBER($I216),$I216,IFERROR(TIMEVALUE($I216),VALUE($I216))),1)*1440,0))),""))</f>
        <v/>
      </c>
      <c r="X216" s="55" t="str">
        <f aca="false">IF($P216="","",IFERROR(IF(ISNUMBER($P216),IF($P216&gt;19000000,DATE(INT($P216/10000),MOD(INT($P216/100),100),MOD($P216,100)),INT($P216)),IF(LEN(SUBSTITUTE(SUBSTITUTE(SUBSTITUTE(TRIM($P216),"-",""),".",""),"/",""))=8,DATE(VALUE(LEFT(SUBSTITUTE(SUBSTITUTE(SUBSTITUTE(TRIM($P216),"-",""),".",""),"/",""),4)),VALUE(MID(SUBSTITUTE(SUBSTITUTE(SUBSTITUTE(TRIM($P216),"-",""),".",""),"/",""),5,2)),VALUE(RIGHT(SUBSTITUTE(SUBSTITUTE(SUBSTITUTE(TRIM($P216),"-",""),".",""),"/",""),2))),DATEVALUE($P216))),""))</f>
        <v/>
      </c>
      <c r="Y216" s="56" t="str">
        <f aca="false">IF($M216="","",IFERROR(INDEX(강사DB!$D$4:$D$53,MATCH($M216,강사DB!$A$4:$A$53,0)),""))</f>
        <v/>
      </c>
      <c r="Z216" s="56" t="str">
        <f aca="false">IF($B216&lt;&gt;"결제완료","",IF(OR($Y216="",$J216=""),"",$Y216*$J216+MAX(0,N($K216)-1)*설정!$J$7))</f>
        <v/>
      </c>
      <c r="AA216" s="56" t="str">
        <f aca="false">IF(AND($D216&lt;&gt;"",$B216="결제완료"),N($N216),"")</f>
        <v/>
      </c>
      <c r="AB216" s="45" t="str">
        <f aca="false">IF($D216="","",IF($F216&lt;&gt;"",$F216,$D216)&amp;IF($B216="상담중"," (상담)",""))</f>
        <v/>
      </c>
      <c r="AC216" s="45" t="n">
        <f aca="false">IF(AND($D216&lt;&gt;"",OR($B216="결제완료",$B216="상담중")),1,0)</f>
        <v>0</v>
      </c>
      <c r="AD216" s="45" t="n">
        <f aca="false">IF(OR($Z216="",$U216=""),0,IFERROR(IF(COUNTIFS(INDEX(g_grid,0,2*MATCH($M216,강사DB!$A$4:$A$15,0)),"&lt;&gt;",g_s,"&lt;="&amp;$U216,g_e,"&gt;="&amp;$U216)&gt;0,1,0),0))</f>
        <v>0</v>
      </c>
      <c r="AE216" s="48"/>
      <c r="AF216" s="56" t="str">
        <f aca="false">IF(AND($D216&lt;&gt;"",$B216="결제완료",$T216="대여"),설정!$J$5,"")</f>
        <v/>
      </c>
      <c r="AG216" s="54" t="str">
        <f aca="false">IF($D216="","",IF(AND($E216="",$R216=""),$AB216,"☎ "&amp;IF($E216="","-",$E216)&amp;IF($R216&lt;&gt;"","  ※ "&amp;$R216,"")&amp;IF($B216="상담중"," (상담)","")))</f>
        <v/>
      </c>
      <c r="AH216" s="56" t="str">
        <f aca="false">IF(AND($D216&lt;&gt;"",$B216="결제완료",$O216="스마트스토어"),ROUND(N($N216)*설정!$J$6,0),"")</f>
        <v/>
      </c>
      <c r="AI216" s="54" t="str">
        <f aca="false">IF($D216="","",ROW())</f>
        <v/>
      </c>
      <c r="AJ216" s="54" t="n">
        <f aca="false">IF(OR($AC216&lt;&gt;1,$M216=""),0,IF(ISNUMBER(SEARCH("퇴사",IFERROR(INDEX(강사DB!$G$4:$G$53,MATCH($M216,강사DB!$A$4:$A$53,0)),""))),1,0))</f>
        <v>0</v>
      </c>
    </row>
    <row r="217" customFormat="false" ht="15" hidden="false" customHeight="false" outlineLevel="0" collapsed="false">
      <c r="A217" s="45" t="str">
        <f aca="false">IF($D217="","",COUNTA($D$5:$D217))</f>
        <v/>
      </c>
      <c r="B217" s="46"/>
      <c r="C217" s="47"/>
      <c r="D217" s="48"/>
      <c r="E217" s="48"/>
      <c r="F217" s="49"/>
      <c r="G217" s="47"/>
      <c r="H217" s="50"/>
      <c r="I217" s="50"/>
      <c r="J217" s="51" t="str">
        <f aca="false">IF(OR($V217="",$W217=""),"",ROUND(($W217-$V217)/60,2))</f>
        <v/>
      </c>
      <c r="K217" s="52" t="str">
        <f aca="false">IF($F217="","",LEN($F217)-LEN(SUBSTITUTE($F217,",",""))+1)</f>
        <v/>
      </c>
      <c r="L217" s="45" t="str">
        <f aca="false">IF($K217="","","1:"&amp;$K217)</f>
        <v/>
      </c>
      <c r="M217" s="46"/>
      <c r="N217" s="53"/>
      <c r="O217" s="46"/>
      <c r="P217" s="47"/>
      <c r="Q217" s="48"/>
      <c r="R217" s="49"/>
      <c r="S217" s="54" t="str">
        <f aca="false">IF(OR($AC217=0,$U217="",$M217="",$V217="",$W217=""),"",IF(COUNTIFS(m_teacher,$M217,m_date,$U217,m_active,1,m_start,"&lt;"&amp;$W217,m_end,"&gt;"&amp;$V217)&gt;1,"충돌",""))</f>
        <v/>
      </c>
      <c r="T217" s="48"/>
      <c r="U217" s="55" t="str">
        <f aca="false">IF($G217="","",IFERROR(IF(ISNUMBER($G217),IF($G217&gt;19000000,DATE(INT($G217/10000),MOD(INT($G217/100),100),MOD($G217,100)),INT($G217)),IF(LEN(SUBSTITUTE(SUBSTITUTE(SUBSTITUTE(TRIM($G217),"-",""),".",""),"/",""))=8,DATE(VALUE(LEFT(SUBSTITUTE(SUBSTITUTE(SUBSTITUTE(TRIM($G217),"-",""),".",""),"/",""),4)),VALUE(MID(SUBSTITUTE(SUBSTITUTE(SUBSTITUTE(TRIM($G217),"-",""),".",""),"/",""),5,2)),VALUE(RIGHT(SUBSTITUTE(SUBSTITUTE(SUBSTITUTE(TRIM($G217),"-",""),".",""),"/",""),2))),DATEVALUE($G217))),""))</f>
        <v/>
      </c>
      <c r="V217" s="52" t="str">
        <f aca="false">IF($H217="","",IFERROR(IF(IF(ISNUMBER($H217),$H217,IFERROR(TIMEVALUE($H217),VALUE($H217)))&gt;=100,INT(IF(ISNUMBER($H217),$H217,IFERROR(TIMEVALUE($H217),VALUE($H217)))/100)*60+MOD(IF(ISNUMBER($H217),$H217,IFERROR(TIMEVALUE($H217),VALUE($H217))),100),IF(IF(ISNUMBER($H217),$H217,IFERROR(TIMEVALUE($H217),VALUE($H217)))&gt;=1,ROUND(IF(ISNUMBER($H217),$H217,IFERROR(TIMEVALUE($H217),VALUE($H217)))*60,0),ROUND(MOD(IF(ISNUMBER($H217),$H217,IFERROR(TIMEVALUE($H217),VALUE($H217))),1)*1440,0))),""))</f>
        <v/>
      </c>
      <c r="W217" s="52" t="str">
        <f aca="false">IF($I217="","",IFERROR(IF(IF(ISNUMBER($I217),$I217,IFERROR(TIMEVALUE($I217),VALUE($I217)))&gt;=100,INT(IF(ISNUMBER($I217),$I217,IFERROR(TIMEVALUE($I217),VALUE($I217)))/100)*60+MOD(IF(ISNUMBER($I217),$I217,IFERROR(TIMEVALUE($I217),VALUE($I217))),100),IF(IF(ISNUMBER($I217),$I217,IFERROR(TIMEVALUE($I217),VALUE($I217)))&gt;=1,ROUND(IF(ISNUMBER($I217),$I217,IFERROR(TIMEVALUE($I217),VALUE($I217)))*60,0),ROUND(MOD(IF(ISNUMBER($I217),$I217,IFERROR(TIMEVALUE($I217),VALUE($I217))),1)*1440,0))),""))</f>
        <v/>
      </c>
      <c r="X217" s="55" t="str">
        <f aca="false">IF($P217="","",IFERROR(IF(ISNUMBER($P217),IF($P217&gt;19000000,DATE(INT($P217/10000),MOD(INT($P217/100),100),MOD($P217,100)),INT($P217)),IF(LEN(SUBSTITUTE(SUBSTITUTE(SUBSTITUTE(TRIM($P217),"-",""),".",""),"/",""))=8,DATE(VALUE(LEFT(SUBSTITUTE(SUBSTITUTE(SUBSTITUTE(TRIM($P217),"-",""),".",""),"/",""),4)),VALUE(MID(SUBSTITUTE(SUBSTITUTE(SUBSTITUTE(TRIM($P217),"-",""),".",""),"/",""),5,2)),VALUE(RIGHT(SUBSTITUTE(SUBSTITUTE(SUBSTITUTE(TRIM($P217),"-",""),".",""),"/",""),2))),DATEVALUE($P217))),""))</f>
        <v/>
      </c>
      <c r="Y217" s="56" t="str">
        <f aca="false">IF($M217="","",IFERROR(INDEX(강사DB!$D$4:$D$53,MATCH($M217,강사DB!$A$4:$A$53,0)),""))</f>
        <v/>
      </c>
      <c r="Z217" s="56" t="str">
        <f aca="false">IF($B217&lt;&gt;"결제완료","",IF(OR($Y217="",$J217=""),"",$Y217*$J217+MAX(0,N($K217)-1)*설정!$J$7))</f>
        <v/>
      </c>
      <c r="AA217" s="56" t="str">
        <f aca="false">IF(AND($D217&lt;&gt;"",$B217="결제완료"),N($N217),"")</f>
        <v/>
      </c>
      <c r="AB217" s="45" t="str">
        <f aca="false">IF($D217="","",IF($F217&lt;&gt;"",$F217,$D217)&amp;IF($B217="상담중"," (상담)",""))</f>
        <v/>
      </c>
      <c r="AC217" s="45" t="n">
        <f aca="false">IF(AND($D217&lt;&gt;"",OR($B217="결제완료",$B217="상담중")),1,0)</f>
        <v>0</v>
      </c>
      <c r="AD217" s="45" t="n">
        <f aca="false">IF(OR($Z217="",$U217=""),0,IFERROR(IF(COUNTIFS(INDEX(g_grid,0,2*MATCH($M217,강사DB!$A$4:$A$15,0)),"&lt;&gt;",g_s,"&lt;="&amp;$U217,g_e,"&gt;="&amp;$U217)&gt;0,1,0),0))</f>
        <v>0</v>
      </c>
      <c r="AE217" s="48"/>
      <c r="AF217" s="56" t="str">
        <f aca="false">IF(AND($D217&lt;&gt;"",$B217="결제완료",$T217="대여"),설정!$J$5,"")</f>
        <v/>
      </c>
      <c r="AG217" s="54" t="str">
        <f aca="false">IF($D217="","",IF(AND($E217="",$R217=""),$AB217,"☎ "&amp;IF($E217="","-",$E217)&amp;IF($R217&lt;&gt;"","  ※ "&amp;$R217,"")&amp;IF($B217="상담중"," (상담)","")))</f>
        <v/>
      </c>
      <c r="AH217" s="56" t="str">
        <f aca="false">IF(AND($D217&lt;&gt;"",$B217="결제완료",$O217="스마트스토어"),ROUND(N($N217)*설정!$J$6,0),"")</f>
        <v/>
      </c>
      <c r="AI217" s="54" t="str">
        <f aca="false">IF($D217="","",ROW())</f>
        <v/>
      </c>
      <c r="AJ217" s="54" t="n">
        <f aca="false">IF(OR($AC217&lt;&gt;1,$M217=""),0,IF(ISNUMBER(SEARCH("퇴사",IFERROR(INDEX(강사DB!$G$4:$G$53,MATCH($M217,강사DB!$A$4:$A$53,0)),""))),1,0))</f>
        <v>0</v>
      </c>
    </row>
    <row r="218" customFormat="false" ht="15" hidden="false" customHeight="false" outlineLevel="0" collapsed="false">
      <c r="A218" s="45" t="str">
        <f aca="false">IF($D218="","",COUNTA($D$5:$D218))</f>
        <v/>
      </c>
      <c r="B218" s="46"/>
      <c r="C218" s="47"/>
      <c r="D218" s="48"/>
      <c r="E218" s="48"/>
      <c r="F218" s="49"/>
      <c r="G218" s="47"/>
      <c r="H218" s="50"/>
      <c r="I218" s="50"/>
      <c r="J218" s="51" t="str">
        <f aca="false">IF(OR($V218="",$W218=""),"",ROUND(($W218-$V218)/60,2))</f>
        <v/>
      </c>
      <c r="K218" s="52" t="str">
        <f aca="false">IF($F218="","",LEN($F218)-LEN(SUBSTITUTE($F218,",",""))+1)</f>
        <v/>
      </c>
      <c r="L218" s="45" t="str">
        <f aca="false">IF($K218="","","1:"&amp;$K218)</f>
        <v/>
      </c>
      <c r="M218" s="46"/>
      <c r="N218" s="53"/>
      <c r="O218" s="46"/>
      <c r="P218" s="47"/>
      <c r="Q218" s="48"/>
      <c r="R218" s="49"/>
      <c r="S218" s="54" t="str">
        <f aca="false">IF(OR($AC218=0,$U218="",$M218="",$V218="",$W218=""),"",IF(COUNTIFS(m_teacher,$M218,m_date,$U218,m_active,1,m_start,"&lt;"&amp;$W218,m_end,"&gt;"&amp;$V218)&gt;1,"충돌",""))</f>
        <v/>
      </c>
      <c r="T218" s="48"/>
      <c r="U218" s="55" t="str">
        <f aca="false">IF($G218="","",IFERROR(IF(ISNUMBER($G218),IF($G218&gt;19000000,DATE(INT($G218/10000),MOD(INT($G218/100),100),MOD($G218,100)),INT($G218)),IF(LEN(SUBSTITUTE(SUBSTITUTE(SUBSTITUTE(TRIM($G218),"-",""),".",""),"/",""))=8,DATE(VALUE(LEFT(SUBSTITUTE(SUBSTITUTE(SUBSTITUTE(TRIM($G218),"-",""),".",""),"/",""),4)),VALUE(MID(SUBSTITUTE(SUBSTITUTE(SUBSTITUTE(TRIM($G218),"-",""),".",""),"/",""),5,2)),VALUE(RIGHT(SUBSTITUTE(SUBSTITUTE(SUBSTITUTE(TRIM($G218),"-",""),".",""),"/",""),2))),DATEVALUE($G218))),""))</f>
        <v/>
      </c>
      <c r="V218" s="52" t="str">
        <f aca="false">IF($H218="","",IFERROR(IF(IF(ISNUMBER($H218),$H218,IFERROR(TIMEVALUE($H218),VALUE($H218)))&gt;=100,INT(IF(ISNUMBER($H218),$H218,IFERROR(TIMEVALUE($H218),VALUE($H218)))/100)*60+MOD(IF(ISNUMBER($H218),$H218,IFERROR(TIMEVALUE($H218),VALUE($H218))),100),IF(IF(ISNUMBER($H218),$H218,IFERROR(TIMEVALUE($H218),VALUE($H218)))&gt;=1,ROUND(IF(ISNUMBER($H218),$H218,IFERROR(TIMEVALUE($H218),VALUE($H218)))*60,0),ROUND(MOD(IF(ISNUMBER($H218),$H218,IFERROR(TIMEVALUE($H218),VALUE($H218))),1)*1440,0))),""))</f>
        <v/>
      </c>
      <c r="W218" s="52" t="str">
        <f aca="false">IF($I218="","",IFERROR(IF(IF(ISNUMBER($I218),$I218,IFERROR(TIMEVALUE($I218),VALUE($I218)))&gt;=100,INT(IF(ISNUMBER($I218),$I218,IFERROR(TIMEVALUE($I218),VALUE($I218)))/100)*60+MOD(IF(ISNUMBER($I218),$I218,IFERROR(TIMEVALUE($I218),VALUE($I218))),100),IF(IF(ISNUMBER($I218),$I218,IFERROR(TIMEVALUE($I218),VALUE($I218)))&gt;=1,ROUND(IF(ISNUMBER($I218),$I218,IFERROR(TIMEVALUE($I218),VALUE($I218)))*60,0),ROUND(MOD(IF(ISNUMBER($I218),$I218,IFERROR(TIMEVALUE($I218),VALUE($I218))),1)*1440,0))),""))</f>
        <v/>
      </c>
      <c r="X218" s="55" t="str">
        <f aca="false">IF($P218="","",IFERROR(IF(ISNUMBER($P218),IF($P218&gt;19000000,DATE(INT($P218/10000),MOD(INT($P218/100),100),MOD($P218,100)),INT($P218)),IF(LEN(SUBSTITUTE(SUBSTITUTE(SUBSTITUTE(TRIM($P218),"-",""),".",""),"/",""))=8,DATE(VALUE(LEFT(SUBSTITUTE(SUBSTITUTE(SUBSTITUTE(TRIM($P218),"-",""),".",""),"/",""),4)),VALUE(MID(SUBSTITUTE(SUBSTITUTE(SUBSTITUTE(TRIM($P218),"-",""),".",""),"/",""),5,2)),VALUE(RIGHT(SUBSTITUTE(SUBSTITUTE(SUBSTITUTE(TRIM($P218),"-",""),".",""),"/",""),2))),DATEVALUE($P218))),""))</f>
        <v/>
      </c>
      <c r="Y218" s="56" t="str">
        <f aca="false">IF($M218="","",IFERROR(INDEX(강사DB!$D$4:$D$53,MATCH($M218,강사DB!$A$4:$A$53,0)),""))</f>
        <v/>
      </c>
      <c r="Z218" s="56" t="str">
        <f aca="false">IF($B218&lt;&gt;"결제완료","",IF(OR($Y218="",$J218=""),"",$Y218*$J218+MAX(0,N($K218)-1)*설정!$J$7))</f>
        <v/>
      </c>
      <c r="AA218" s="56" t="str">
        <f aca="false">IF(AND($D218&lt;&gt;"",$B218="결제완료"),N($N218),"")</f>
        <v/>
      </c>
      <c r="AB218" s="45" t="str">
        <f aca="false">IF($D218="","",IF($F218&lt;&gt;"",$F218,$D218)&amp;IF($B218="상담중"," (상담)",""))</f>
        <v/>
      </c>
      <c r="AC218" s="45" t="n">
        <f aca="false">IF(AND($D218&lt;&gt;"",OR($B218="결제완료",$B218="상담중")),1,0)</f>
        <v>0</v>
      </c>
      <c r="AD218" s="45" t="n">
        <f aca="false">IF(OR($Z218="",$U218=""),0,IFERROR(IF(COUNTIFS(INDEX(g_grid,0,2*MATCH($M218,강사DB!$A$4:$A$15,0)),"&lt;&gt;",g_s,"&lt;="&amp;$U218,g_e,"&gt;="&amp;$U218)&gt;0,1,0),0))</f>
        <v>0</v>
      </c>
      <c r="AE218" s="48"/>
      <c r="AF218" s="56" t="str">
        <f aca="false">IF(AND($D218&lt;&gt;"",$B218="결제완료",$T218="대여"),설정!$J$5,"")</f>
        <v/>
      </c>
      <c r="AG218" s="54" t="str">
        <f aca="false">IF($D218="","",IF(AND($E218="",$R218=""),$AB218,"☎ "&amp;IF($E218="","-",$E218)&amp;IF($R218&lt;&gt;"","  ※ "&amp;$R218,"")&amp;IF($B218="상담중"," (상담)","")))</f>
        <v/>
      </c>
      <c r="AH218" s="56" t="str">
        <f aca="false">IF(AND($D218&lt;&gt;"",$B218="결제완료",$O218="스마트스토어"),ROUND(N($N218)*설정!$J$6,0),"")</f>
        <v/>
      </c>
      <c r="AI218" s="54" t="str">
        <f aca="false">IF($D218="","",ROW())</f>
        <v/>
      </c>
      <c r="AJ218" s="54" t="n">
        <f aca="false">IF(OR($AC218&lt;&gt;1,$M218=""),0,IF(ISNUMBER(SEARCH("퇴사",IFERROR(INDEX(강사DB!$G$4:$G$53,MATCH($M218,강사DB!$A$4:$A$53,0)),""))),1,0))</f>
        <v>0</v>
      </c>
    </row>
    <row r="219" customFormat="false" ht="15" hidden="false" customHeight="false" outlineLevel="0" collapsed="false">
      <c r="A219" s="45" t="str">
        <f aca="false">IF($D219="","",COUNTA($D$5:$D219))</f>
        <v/>
      </c>
      <c r="B219" s="46"/>
      <c r="C219" s="47"/>
      <c r="D219" s="48"/>
      <c r="E219" s="48"/>
      <c r="F219" s="49"/>
      <c r="G219" s="47"/>
      <c r="H219" s="50"/>
      <c r="I219" s="50"/>
      <c r="J219" s="51" t="str">
        <f aca="false">IF(OR($V219="",$W219=""),"",ROUND(($W219-$V219)/60,2))</f>
        <v/>
      </c>
      <c r="K219" s="52" t="str">
        <f aca="false">IF($F219="","",LEN($F219)-LEN(SUBSTITUTE($F219,",",""))+1)</f>
        <v/>
      </c>
      <c r="L219" s="45" t="str">
        <f aca="false">IF($K219="","","1:"&amp;$K219)</f>
        <v/>
      </c>
      <c r="M219" s="46"/>
      <c r="N219" s="53"/>
      <c r="O219" s="46"/>
      <c r="P219" s="47"/>
      <c r="Q219" s="48"/>
      <c r="R219" s="49"/>
      <c r="S219" s="54" t="str">
        <f aca="false">IF(OR($AC219=0,$U219="",$M219="",$V219="",$W219=""),"",IF(COUNTIFS(m_teacher,$M219,m_date,$U219,m_active,1,m_start,"&lt;"&amp;$W219,m_end,"&gt;"&amp;$V219)&gt;1,"충돌",""))</f>
        <v/>
      </c>
      <c r="T219" s="48"/>
      <c r="U219" s="55" t="str">
        <f aca="false">IF($G219="","",IFERROR(IF(ISNUMBER($G219),IF($G219&gt;19000000,DATE(INT($G219/10000),MOD(INT($G219/100),100),MOD($G219,100)),INT($G219)),IF(LEN(SUBSTITUTE(SUBSTITUTE(SUBSTITUTE(TRIM($G219),"-",""),".",""),"/",""))=8,DATE(VALUE(LEFT(SUBSTITUTE(SUBSTITUTE(SUBSTITUTE(TRIM($G219),"-",""),".",""),"/",""),4)),VALUE(MID(SUBSTITUTE(SUBSTITUTE(SUBSTITUTE(TRIM($G219),"-",""),".",""),"/",""),5,2)),VALUE(RIGHT(SUBSTITUTE(SUBSTITUTE(SUBSTITUTE(TRIM($G219),"-",""),".",""),"/",""),2))),DATEVALUE($G219))),""))</f>
        <v/>
      </c>
      <c r="V219" s="52" t="str">
        <f aca="false">IF($H219="","",IFERROR(IF(IF(ISNUMBER($H219),$H219,IFERROR(TIMEVALUE($H219),VALUE($H219)))&gt;=100,INT(IF(ISNUMBER($H219),$H219,IFERROR(TIMEVALUE($H219),VALUE($H219)))/100)*60+MOD(IF(ISNUMBER($H219),$H219,IFERROR(TIMEVALUE($H219),VALUE($H219))),100),IF(IF(ISNUMBER($H219),$H219,IFERROR(TIMEVALUE($H219),VALUE($H219)))&gt;=1,ROUND(IF(ISNUMBER($H219),$H219,IFERROR(TIMEVALUE($H219),VALUE($H219)))*60,0),ROUND(MOD(IF(ISNUMBER($H219),$H219,IFERROR(TIMEVALUE($H219),VALUE($H219))),1)*1440,0))),""))</f>
        <v/>
      </c>
      <c r="W219" s="52" t="str">
        <f aca="false">IF($I219="","",IFERROR(IF(IF(ISNUMBER($I219),$I219,IFERROR(TIMEVALUE($I219),VALUE($I219)))&gt;=100,INT(IF(ISNUMBER($I219),$I219,IFERROR(TIMEVALUE($I219),VALUE($I219)))/100)*60+MOD(IF(ISNUMBER($I219),$I219,IFERROR(TIMEVALUE($I219),VALUE($I219))),100),IF(IF(ISNUMBER($I219),$I219,IFERROR(TIMEVALUE($I219),VALUE($I219)))&gt;=1,ROUND(IF(ISNUMBER($I219),$I219,IFERROR(TIMEVALUE($I219),VALUE($I219)))*60,0),ROUND(MOD(IF(ISNUMBER($I219),$I219,IFERROR(TIMEVALUE($I219),VALUE($I219))),1)*1440,0))),""))</f>
        <v/>
      </c>
      <c r="X219" s="55" t="str">
        <f aca="false">IF($P219="","",IFERROR(IF(ISNUMBER($P219),IF($P219&gt;19000000,DATE(INT($P219/10000),MOD(INT($P219/100),100),MOD($P219,100)),INT($P219)),IF(LEN(SUBSTITUTE(SUBSTITUTE(SUBSTITUTE(TRIM($P219),"-",""),".",""),"/",""))=8,DATE(VALUE(LEFT(SUBSTITUTE(SUBSTITUTE(SUBSTITUTE(TRIM($P219),"-",""),".",""),"/",""),4)),VALUE(MID(SUBSTITUTE(SUBSTITUTE(SUBSTITUTE(TRIM($P219),"-",""),".",""),"/",""),5,2)),VALUE(RIGHT(SUBSTITUTE(SUBSTITUTE(SUBSTITUTE(TRIM($P219),"-",""),".",""),"/",""),2))),DATEVALUE($P219))),""))</f>
        <v/>
      </c>
      <c r="Y219" s="56" t="str">
        <f aca="false">IF($M219="","",IFERROR(INDEX(강사DB!$D$4:$D$53,MATCH($M219,강사DB!$A$4:$A$53,0)),""))</f>
        <v/>
      </c>
      <c r="Z219" s="56" t="str">
        <f aca="false">IF($B219&lt;&gt;"결제완료","",IF(OR($Y219="",$J219=""),"",$Y219*$J219+MAX(0,N($K219)-1)*설정!$J$7))</f>
        <v/>
      </c>
      <c r="AA219" s="56" t="str">
        <f aca="false">IF(AND($D219&lt;&gt;"",$B219="결제완료"),N($N219),"")</f>
        <v/>
      </c>
      <c r="AB219" s="45" t="str">
        <f aca="false">IF($D219="","",IF($F219&lt;&gt;"",$F219,$D219)&amp;IF($B219="상담중"," (상담)",""))</f>
        <v/>
      </c>
      <c r="AC219" s="45" t="n">
        <f aca="false">IF(AND($D219&lt;&gt;"",OR($B219="결제완료",$B219="상담중")),1,0)</f>
        <v>0</v>
      </c>
      <c r="AD219" s="45" t="n">
        <f aca="false">IF(OR($Z219="",$U219=""),0,IFERROR(IF(COUNTIFS(INDEX(g_grid,0,2*MATCH($M219,강사DB!$A$4:$A$15,0)),"&lt;&gt;",g_s,"&lt;="&amp;$U219,g_e,"&gt;="&amp;$U219)&gt;0,1,0),0))</f>
        <v>0</v>
      </c>
      <c r="AE219" s="48"/>
      <c r="AF219" s="56" t="str">
        <f aca="false">IF(AND($D219&lt;&gt;"",$B219="결제완료",$T219="대여"),설정!$J$5,"")</f>
        <v/>
      </c>
      <c r="AG219" s="54" t="str">
        <f aca="false">IF($D219="","",IF(AND($E219="",$R219=""),$AB219,"☎ "&amp;IF($E219="","-",$E219)&amp;IF($R219&lt;&gt;"","  ※ "&amp;$R219,"")&amp;IF($B219="상담중"," (상담)","")))</f>
        <v/>
      </c>
      <c r="AH219" s="56" t="str">
        <f aca="false">IF(AND($D219&lt;&gt;"",$B219="결제완료",$O219="스마트스토어"),ROUND(N($N219)*설정!$J$6,0),"")</f>
        <v/>
      </c>
      <c r="AI219" s="54" t="str">
        <f aca="false">IF($D219="","",ROW())</f>
        <v/>
      </c>
      <c r="AJ219" s="54" t="n">
        <f aca="false">IF(OR($AC219&lt;&gt;1,$M219=""),0,IF(ISNUMBER(SEARCH("퇴사",IFERROR(INDEX(강사DB!$G$4:$G$53,MATCH($M219,강사DB!$A$4:$A$53,0)),""))),1,0))</f>
        <v>0</v>
      </c>
    </row>
    <row r="220" customFormat="false" ht="15" hidden="false" customHeight="false" outlineLevel="0" collapsed="false">
      <c r="A220" s="45" t="str">
        <f aca="false">IF($D220="","",COUNTA($D$5:$D220))</f>
        <v/>
      </c>
      <c r="B220" s="46"/>
      <c r="C220" s="47"/>
      <c r="D220" s="48"/>
      <c r="E220" s="48"/>
      <c r="F220" s="49"/>
      <c r="G220" s="47"/>
      <c r="H220" s="50"/>
      <c r="I220" s="50"/>
      <c r="J220" s="51" t="str">
        <f aca="false">IF(OR($V220="",$W220=""),"",ROUND(($W220-$V220)/60,2))</f>
        <v/>
      </c>
      <c r="K220" s="52" t="str">
        <f aca="false">IF($F220="","",LEN($F220)-LEN(SUBSTITUTE($F220,",",""))+1)</f>
        <v/>
      </c>
      <c r="L220" s="45" t="str">
        <f aca="false">IF($K220="","","1:"&amp;$K220)</f>
        <v/>
      </c>
      <c r="M220" s="46"/>
      <c r="N220" s="53"/>
      <c r="O220" s="46"/>
      <c r="P220" s="47"/>
      <c r="Q220" s="48"/>
      <c r="R220" s="49"/>
      <c r="S220" s="54" t="str">
        <f aca="false">IF(OR($AC220=0,$U220="",$M220="",$V220="",$W220=""),"",IF(COUNTIFS(m_teacher,$M220,m_date,$U220,m_active,1,m_start,"&lt;"&amp;$W220,m_end,"&gt;"&amp;$V220)&gt;1,"충돌",""))</f>
        <v/>
      </c>
      <c r="T220" s="48"/>
      <c r="U220" s="55" t="str">
        <f aca="false">IF($G220="","",IFERROR(IF(ISNUMBER($G220),IF($G220&gt;19000000,DATE(INT($G220/10000),MOD(INT($G220/100),100),MOD($G220,100)),INT($G220)),IF(LEN(SUBSTITUTE(SUBSTITUTE(SUBSTITUTE(TRIM($G220),"-",""),".",""),"/",""))=8,DATE(VALUE(LEFT(SUBSTITUTE(SUBSTITUTE(SUBSTITUTE(TRIM($G220),"-",""),".",""),"/",""),4)),VALUE(MID(SUBSTITUTE(SUBSTITUTE(SUBSTITUTE(TRIM($G220),"-",""),".",""),"/",""),5,2)),VALUE(RIGHT(SUBSTITUTE(SUBSTITUTE(SUBSTITUTE(TRIM($G220),"-",""),".",""),"/",""),2))),DATEVALUE($G220))),""))</f>
        <v/>
      </c>
      <c r="V220" s="52" t="str">
        <f aca="false">IF($H220="","",IFERROR(IF(IF(ISNUMBER($H220),$H220,IFERROR(TIMEVALUE($H220),VALUE($H220)))&gt;=100,INT(IF(ISNUMBER($H220),$H220,IFERROR(TIMEVALUE($H220),VALUE($H220)))/100)*60+MOD(IF(ISNUMBER($H220),$H220,IFERROR(TIMEVALUE($H220),VALUE($H220))),100),IF(IF(ISNUMBER($H220),$H220,IFERROR(TIMEVALUE($H220),VALUE($H220)))&gt;=1,ROUND(IF(ISNUMBER($H220),$H220,IFERROR(TIMEVALUE($H220),VALUE($H220)))*60,0),ROUND(MOD(IF(ISNUMBER($H220),$H220,IFERROR(TIMEVALUE($H220),VALUE($H220))),1)*1440,0))),""))</f>
        <v/>
      </c>
      <c r="W220" s="52" t="str">
        <f aca="false">IF($I220="","",IFERROR(IF(IF(ISNUMBER($I220),$I220,IFERROR(TIMEVALUE($I220),VALUE($I220)))&gt;=100,INT(IF(ISNUMBER($I220),$I220,IFERROR(TIMEVALUE($I220),VALUE($I220)))/100)*60+MOD(IF(ISNUMBER($I220),$I220,IFERROR(TIMEVALUE($I220),VALUE($I220))),100),IF(IF(ISNUMBER($I220),$I220,IFERROR(TIMEVALUE($I220),VALUE($I220)))&gt;=1,ROUND(IF(ISNUMBER($I220),$I220,IFERROR(TIMEVALUE($I220),VALUE($I220)))*60,0),ROUND(MOD(IF(ISNUMBER($I220),$I220,IFERROR(TIMEVALUE($I220),VALUE($I220))),1)*1440,0))),""))</f>
        <v/>
      </c>
      <c r="X220" s="55" t="str">
        <f aca="false">IF($P220="","",IFERROR(IF(ISNUMBER($P220),IF($P220&gt;19000000,DATE(INT($P220/10000),MOD(INT($P220/100),100),MOD($P220,100)),INT($P220)),IF(LEN(SUBSTITUTE(SUBSTITUTE(SUBSTITUTE(TRIM($P220),"-",""),".",""),"/",""))=8,DATE(VALUE(LEFT(SUBSTITUTE(SUBSTITUTE(SUBSTITUTE(TRIM($P220),"-",""),".",""),"/",""),4)),VALUE(MID(SUBSTITUTE(SUBSTITUTE(SUBSTITUTE(TRIM($P220),"-",""),".",""),"/",""),5,2)),VALUE(RIGHT(SUBSTITUTE(SUBSTITUTE(SUBSTITUTE(TRIM($P220),"-",""),".",""),"/",""),2))),DATEVALUE($P220))),""))</f>
        <v/>
      </c>
      <c r="Y220" s="56" t="str">
        <f aca="false">IF($M220="","",IFERROR(INDEX(강사DB!$D$4:$D$53,MATCH($M220,강사DB!$A$4:$A$53,0)),""))</f>
        <v/>
      </c>
      <c r="Z220" s="56" t="str">
        <f aca="false">IF($B220&lt;&gt;"결제완료","",IF(OR($Y220="",$J220=""),"",$Y220*$J220+MAX(0,N($K220)-1)*설정!$J$7))</f>
        <v/>
      </c>
      <c r="AA220" s="56" t="str">
        <f aca="false">IF(AND($D220&lt;&gt;"",$B220="결제완료"),N($N220),"")</f>
        <v/>
      </c>
      <c r="AB220" s="45" t="str">
        <f aca="false">IF($D220="","",IF($F220&lt;&gt;"",$F220,$D220)&amp;IF($B220="상담중"," (상담)",""))</f>
        <v/>
      </c>
      <c r="AC220" s="45" t="n">
        <f aca="false">IF(AND($D220&lt;&gt;"",OR($B220="결제완료",$B220="상담중")),1,0)</f>
        <v>0</v>
      </c>
      <c r="AD220" s="45" t="n">
        <f aca="false">IF(OR($Z220="",$U220=""),0,IFERROR(IF(COUNTIFS(INDEX(g_grid,0,2*MATCH($M220,강사DB!$A$4:$A$15,0)),"&lt;&gt;",g_s,"&lt;="&amp;$U220,g_e,"&gt;="&amp;$U220)&gt;0,1,0),0))</f>
        <v>0</v>
      </c>
      <c r="AE220" s="48"/>
      <c r="AF220" s="56" t="str">
        <f aca="false">IF(AND($D220&lt;&gt;"",$B220="결제완료",$T220="대여"),설정!$J$5,"")</f>
        <v/>
      </c>
      <c r="AG220" s="54" t="str">
        <f aca="false">IF($D220="","",IF(AND($E220="",$R220=""),$AB220,"☎ "&amp;IF($E220="","-",$E220)&amp;IF($R220&lt;&gt;"","  ※ "&amp;$R220,"")&amp;IF($B220="상담중"," (상담)","")))</f>
        <v/>
      </c>
      <c r="AH220" s="56" t="str">
        <f aca="false">IF(AND($D220&lt;&gt;"",$B220="결제완료",$O220="스마트스토어"),ROUND(N($N220)*설정!$J$6,0),"")</f>
        <v/>
      </c>
      <c r="AI220" s="54" t="str">
        <f aca="false">IF($D220="","",ROW())</f>
        <v/>
      </c>
      <c r="AJ220" s="54" t="n">
        <f aca="false">IF(OR($AC220&lt;&gt;1,$M220=""),0,IF(ISNUMBER(SEARCH("퇴사",IFERROR(INDEX(강사DB!$G$4:$G$53,MATCH($M220,강사DB!$A$4:$A$53,0)),""))),1,0))</f>
        <v>0</v>
      </c>
    </row>
    <row r="221" customFormat="false" ht="15" hidden="false" customHeight="false" outlineLevel="0" collapsed="false">
      <c r="A221" s="45" t="str">
        <f aca="false">IF($D221="","",COUNTA($D$5:$D221))</f>
        <v/>
      </c>
      <c r="B221" s="46"/>
      <c r="C221" s="47"/>
      <c r="D221" s="48"/>
      <c r="E221" s="48"/>
      <c r="F221" s="49"/>
      <c r="G221" s="47"/>
      <c r="H221" s="50"/>
      <c r="I221" s="50"/>
      <c r="J221" s="51" t="str">
        <f aca="false">IF(OR($V221="",$W221=""),"",ROUND(($W221-$V221)/60,2))</f>
        <v/>
      </c>
      <c r="K221" s="52" t="str">
        <f aca="false">IF($F221="","",LEN($F221)-LEN(SUBSTITUTE($F221,",",""))+1)</f>
        <v/>
      </c>
      <c r="L221" s="45" t="str">
        <f aca="false">IF($K221="","","1:"&amp;$K221)</f>
        <v/>
      </c>
      <c r="M221" s="46"/>
      <c r="N221" s="53"/>
      <c r="O221" s="46"/>
      <c r="P221" s="47"/>
      <c r="Q221" s="48"/>
      <c r="R221" s="49"/>
      <c r="S221" s="54" t="str">
        <f aca="false">IF(OR($AC221=0,$U221="",$M221="",$V221="",$W221=""),"",IF(COUNTIFS(m_teacher,$M221,m_date,$U221,m_active,1,m_start,"&lt;"&amp;$W221,m_end,"&gt;"&amp;$V221)&gt;1,"충돌",""))</f>
        <v/>
      </c>
      <c r="T221" s="48"/>
      <c r="U221" s="55" t="str">
        <f aca="false">IF($G221="","",IFERROR(IF(ISNUMBER($G221),IF($G221&gt;19000000,DATE(INT($G221/10000),MOD(INT($G221/100),100),MOD($G221,100)),INT($G221)),IF(LEN(SUBSTITUTE(SUBSTITUTE(SUBSTITUTE(TRIM($G221),"-",""),".",""),"/",""))=8,DATE(VALUE(LEFT(SUBSTITUTE(SUBSTITUTE(SUBSTITUTE(TRIM($G221),"-",""),".",""),"/",""),4)),VALUE(MID(SUBSTITUTE(SUBSTITUTE(SUBSTITUTE(TRIM($G221),"-",""),".",""),"/",""),5,2)),VALUE(RIGHT(SUBSTITUTE(SUBSTITUTE(SUBSTITUTE(TRIM($G221),"-",""),".",""),"/",""),2))),DATEVALUE($G221))),""))</f>
        <v/>
      </c>
      <c r="V221" s="52" t="str">
        <f aca="false">IF($H221="","",IFERROR(IF(IF(ISNUMBER($H221),$H221,IFERROR(TIMEVALUE($H221),VALUE($H221)))&gt;=100,INT(IF(ISNUMBER($H221),$H221,IFERROR(TIMEVALUE($H221),VALUE($H221)))/100)*60+MOD(IF(ISNUMBER($H221),$H221,IFERROR(TIMEVALUE($H221),VALUE($H221))),100),IF(IF(ISNUMBER($H221),$H221,IFERROR(TIMEVALUE($H221),VALUE($H221)))&gt;=1,ROUND(IF(ISNUMBER($H221),$H221,IFERROR(TIMEVALUE($H221),VALUE($H221)))*60,0),ROUND(MOD(IF(ISNUMBER($H221),$H221,IFERROR(TIMEVALUE($H221),VALUE($H221))),1)*1440,0))),""))</f>
        <v/>
      </c>
      <c r="W221" s="52" t="str">
        <f aca="false">IF($I221="","",IFERROR(IF(IF(ISNUMBER($I221),$I221,IFERROR(TIMEVALUE($I221),VALUE($I221)))&gt;=100,INT(IF(ISNUMBER($I221),$I221,IFERROR(TIMEVALUE($I221),VALUE($I221)))/100)*60+MOD(IF(ISNUMBER($I221),$I221,IFERROR(TIMEVALUE($I221),VALUE($I221))),100),IF(IF(ISNUMBER($I221),$I221,IFERROR(TIMEVALUE($I221),VALUE($I221)))&gt;=1,ROUND(IF(ISNUMBER($I221),$I221,IFERROR(TIMEVALUE($I221),VALUE($I221)))*60,0),ROUND(MOD(IF(ISNUMBER($I221),$I221,IFERROR(TIMEVALUE($I221),VALUE($I221))),1)*1440,0))),""))</f>
        <v/>
      </c>
      <c r="X221" s="55" t="str">
        <f aca="false">IF($P221="","",IFERROR(IF(ISNUMBER($P221),IF($P221&gt;19000000,DATE(INT($P221/10000),MOD(INT($P221/100),100),MOD($P221,100)),INT($P221)),IF(LEN(SUBSTITUTE(SUBSTITUTE(SUBSTITUTE(TRIM($P221),"-",""),".",""),"/",""))=8,DATE(VALUE(LEFT(SUBSTITUTE(SUBSTITUTE(SUBSTITUTE(TRIM($P221),"-",""),".",""),"/",""),4)),VALUE(MID(SUBSTITUTE(SUBSTITUTE(SUBSTITUTE(TRIM($P221),"-",""),".",""),"/",""),5,2)),VALUE(RIGHT(SUBSTITUTE(SUBSTITUTE(SUBSTITUTE(TRIM($P221),"-",""),".",""),"/",""),2))),DATEVALUE($P221))),""))</f>
        <v/>
      </c>
      <c r="Y221" s="56" t="str">
        <f aca="false">IF($M221="","",IFERROR(INDEX(강사DB!$D$4:$D$53,MATCH($M221,강사DB!$A$4:$A$53,0)),""))</f>
        <v/>
      </c>
      <c r="Z221" s="56" t="str">
        <f aca="false">IF($B221&lt;&gt;"결제완료","",IF(OR($Y221="",$J221=""),"",$Y221*$J221+MAX(0,N($K221)-1)*설정!$J$7))</f>
        <v/>
      </c>
      <c r="AA221" s="56" t="str">
        <f aca="false">IF(AND($D221&lt;&gt;"",$B221="결제완료"),N($N221),"")</f>
        <v/>
      </c>
      <c r="AB221" s="45" t="str">
        <f aca="false">IF($D221="","",IF($F221&lt;&gt;"",$F221,$D221)&amp;IF($B221="상담중"," (상담)",""))</f>
        <v/>
      </c>
      <c r="AC221" s="45" t="n">
        <f aca="false">IF(AND($D221&lt;&gt;"",OR($B221="결제완료",$B221="상담중")),1,0)</f>
        <v>0</v>
      </c>
      <c r="AD221" s="45" t="n">
        <f aca="false">IF(OR($Z221="",$U221=""),0,IFERROR(IF(COUNTIFS(INDEX(g_grid,0,2*MATCH($M221,강사DB!$A$4:$A$15,0)),"&lt;&gt;",g_s,"&lt;="&amp;$U221,g_e,"&gt;="&amp;$U221)&gt;0,1,0),0))</f>
        <v>0</v>
      </c>
      <c r="AE221" s="48"/>
      <c r="AF221" s="56" t="str">
        <f aca="false">IF(AND($D221&lt;&gt;"",$B221="결제완료",$T221="대여"),설정!$J$5,"")</f>
        <v/>
      </c>
      <c r="AG221" s="54" t="str">
        <f aca="false">IF($D221="","",IF(AND($E221="",$R221=""),$AB221,"☎ "&amp;IF($E221="","-",$E221)&amp;IF($R221&lt;&gt;"","  ※ "&amp;$R221,"")&amp;IF($B221="상담중"," (상담)","")))</f>
        <v/>
      </c>
      <c r="AH221" s="56" t="str">
        <f aca="false">IF(AND($D221&lt;&gt;"",$B221="결제완료",$O221="스마트스토어"),ROUND(N($N221)*설정!$J$6,0),"")</f>
        <v/>
      </c>
      <c r="AI221" s="54" t="str">
        <f aca="false">IF($D221="","",ROW())</f>
        <v/>
      </c>
      <c r="AJ221" s="54" t="n">
        <f aca="false">IF(OR($AC221&lt;&gt;1,$M221=""),0,IF(ISNUMBER(SEARCH("퇴사",IFERROR(INDEX(강사DB!$G$4:$G$53,MATCH($M221,강사DB!$A$4:$A$53,0)),""))),1,0))</f>
        <v>0</v>
      </c>
    </row>
    <row r="222" customFormat="false" ht="15" hidden="false" customHeight="false" outlineLevel="0" collapsed="false">
      <c r="A222" s="45" t="str">
        <f aca="false">IF($D222="","",COUNTA($D$5:$D222))</f>
        <v/>
      </c>
      <c r="B222" s="46"/>
      <c r="C222" s="47"/>
      <c r="D222" s="48"/>
      <c r="E222" s="48"/>
      <c r="F222" s="49"/>
      <c r="G222" s="47"/>
      <c r="H222" s="50"/>
      <c r="I222" s="50"/>
      <c r="J222" s="51" t="str">
        <f aca="false">IF(OR($V222="",$W222=""),"",ROUND(($W222-$V222)/60,2))</f>
        <v/>
      </c>
      <c r="K222" s="52" t="str">
        <f aca="false">IF($F222="","",LEN($F222)-LEN(SUBSTITUTE($F222,",",""))+1)</f>
        <v/>
      </c>
      <c r="L222" s="45" t="str">
        <f aca="false">IF($K222="","","1:"&amp;$K222)</f>
        <v/>
      </c>
      <c r="M222" s="46"/>
      <c r="N222" s="53"/>
      <c r="O222" s="46"/>
      <c r="P222" s="47"/>
      <c r="Q222" s="48"/>
      <c r="R222" s="49"/>
      <c r="S222" s="54" t="str">
        <f aca="false">IF(OR($AC222=0,$U222="",$M222="",$V222="",$W222=""),"",IF(COUNTIFS(m_teacher,$M222,m_date,$U222,m_active,1,m_start,"&lt;"&amp;$W222,m_end,"&gt;"&amp;$V222)&gt;1,"충돌",""))</f>
        <v/>
      </c>
      <c r="T222" s="48"/>
      <c r="U222" s="55" t="str">
        <f aca="false">IF($G222="","",IFERROR(IF(ISNUMBER($G222),IF($G222&gt;19000000,DATE(INT($G222/10000),MOD(INT($G222/100),100),MOD($G222,100)),INT($G222)),IF(LEN(SUBSTITUTE(SUBSTITUTE(SUBSTITUTE(TRIM($G222),"-",""),".",""),"/",""))=8,DATE(VALUE(LEFT(SUBSTITUTE(SUBSTITUTE(SUBSTITUTE(TRIM($G222),"-",""),".",""),"/",""),4)),VALUE(MID(SUBSTITUTE(SUBSTITUTE(SUBSTITUTE(TRIM($G222),"-",""),".",""),"/",""),5,2)),VALUE(RIGHT(SUBSTITUTE(SUBSTITUTE(SUBSTITUTE(TRIM($G222),"-",""),".",""),"/",""),2))),DATEVALUE($G222))),""))</f>
        <v/>
      </c>
      <c r="V222" s="52" t="str">
        <f aca="false">IF($H222="","",IFERROR(IF(IF(ISNUMBER($H222),$H222,IFERROR(TIMEVALUE($H222),VALUE($H222)))&gt;=100,INT(IF(ISNUMBER($H222),$H222,IFERROR(TIMEVALUE($H222),VALUE($H222)))/100)*60+MOD(IF(ISNUMBER($H222),$H222,IFERROR(TIMEVALUE($H222),VALUE($H222))),100),IF(IF(ISNUMBER($H222),$H222,IFERROR(TIMEVALUE($H222),VALUE($H222)))&gt;=1,ROUND(IF(ISNUMBER($H222),$H222,IFERROR(TIMEVALUE($H222),VALUE($H222)))*60,0),ROUND(MOD(IF(ISNUMBER($H222),$H222,IFERROR(TIMEVALUE($H222),VALUE($H222))),1)*1440,0))),""))</f>
        <v/>
      </c>
      <c r="W222" s="52" t="str">
        <f aca="false">IF($I222="","",IFERROR(IF(IF(ISNUMBER($I222),$I222,IFERROR(TIMEVALUE($I222),VALUE($I222)))&gt;=100,INT(IF(ISNUMBER($I222),$I222,IFERROR(TIMEVALUE($I222),VALUE($I222)))/100)*60+MOD(IF(ISNUMBER($I222),$I222,IFERROR(TIMEVALUE($I222),VALUE($I222))),100),IF(IF(ISNUMBER($I222),$I222,IFERROR(TIMEVALUE($I222),VALUE($I222)))&gt;=1,ROUND(IF(ISNUMBER($I222),$I222,IFERROR(TIMEVALUE($I222),VALUE($I222)))*60,0),ROUND(MOD(IF(ISNUMBER($I222),$I222,IFERROR(TIMEVALUE($I222),VALUE($I222))),1)*1440,0))),""))</f>
        <v/>
      </c>
      <c r="X222" s="55" t="str">
        <f aca="false">IF($P222="","",IFERROR(IF(ISNUMBER($P222),IF($P222&gt;19000000,DATE(INT($P222/10000),MOD(INT($P222/100),100),MOD($P222,100)),INT($P222)),IF(LEN(SUBSTITUTE(SUBSTITUTE(SUBSTITUTE(TRIM($P222),"-",""),".",""),"/",""))=8,DATE(VALUE(LEFT(SUBSTITUTE(SUBSTITUTE(SUBSTITUTE(TRIM($P222),"-",""),".",""),"/",""),4)),VALUE(MID(SUBSTITUTE(SUBSTITUTE(SUBSTITUTE(TRIM($P222),"-",""),".",""),"/",""),5,2)),VALUE(RIGHT(SUBSTITUTE(SUBSTITUTE(SUBSTITUTE(TRIM($P222),"-",""),".",""),"/",""),2))),DATEVALUE($P222))),""))</f>
        <v/>
      </c>
      <c r="Y222" s="56" t="str">
        <f aca="false">IF($M222="","",IFERROR(INDEX(강사DB!$D$4:$D$53,MATCH($M222,강사DB!$A$4:$A$53,0)),""))</f>
        <v/>
      </c>
      <c r="Z222" s="56" t="str">
        <f aca="false">IF($B222&lt;&gt;"결제완료","",IF(OR($Y222="",$J222=""),"",$Y222*$J222+MAX(0,N($K222)-1)*설정!$J$7))</f>
        <v/>
      </c>
      <c r="AA222" s="56" t="str">
        <f aca="false">IF(AND($D222&lt;&gt;"",$B222="결제완료"),N($N222),"")</f>
        <v/>
      </c>
      <c r="AB222" s="45" t="str">
        <f aca="false">IF($D222="","",IF($F222&lt;&gt;"",$F222,$D222)&amp;IF($B222="상담중"," (상담)",""))</f>
        <v/>
      </c>
      <c r="AC222" s="45" t="n">
        <f aca="false">IF(AND($D222&lt;&gt;"",OR($B222="결제완료",$B222="상담중")),1,0)</f>
        <v>0</v>
      </c>
      <c r="AD222" s="45" t="n">
        <f aca="false">IF(OR($Z222="",$U222=""),0,IFERROR(IF(COUNTIFS(INDEX(g_grid,0,2*MATCH($M222,강사DB!$A$4:$A$15,0)),"&lt;&gt;",g_s,"&lt;="&amp;$U222,g_e,"&gt;="&amp;$U222)&gt;0,1,0),0))</f>
        <v>0</v>
      </c>
      <c r="AE222" s="48"/>
      <c r="AF222" s="56" t="str">
        <f aca="false">IF(AND($D222&lt;&gt;"",$B222="결제완료",$T222="대여"),설정!$J$5,"")</f>
        <v/>
      </c>
      <c r="AG222" s="54" t="str">
        <f aca="false">IF($D222="","",IF(AND($E222="",$R222=""),$AB222,"☎ "&amp;IF($E222="","-",$E222)&amp;IF($R222&lt;&gt;"","  ※ "&amp;$R222,"")&amp;IF($B222="상담중"," (상담)","")))</f>
        <v/>
      </c>
      <c r="AH222" s="56" t="str">
        <f aca="false">IF(AND($D222&lt;&gt;"",$B222="결제완료",$O222="스마트스토어"),ROUND(N($N222)*설정!$J$6,0),"")</f>
        <v/>
      </c>
      <c r="AI222" s="54" t="str">
        <f aca="false">IF($D222="","",ROW())</f>
        <v/>
      </c>
      <c r="AJ222" s="54" t="n">
        <f aca="false">IF(OR($AC222&lt;&gt;1,$M222=""),0,IF(ISNUMBER(SEARCH("퇴사",IFERROR(INDEX(강사DB!$G$4:$G$53,MATCH($M222,강사DB!$A$4:$A$53,0)),""))),1,0))</f>
        <v>0</v>
      </c>
    </row>
    <row r="223" customFormat="false" ht="15" hidden="false" customHeight="false" outlineLevel="0" collapsed="false">
      <c r="A223" s="45" t="str">
        <f aca="false">IF($D223="","",COUNTA($D$5:$D223))</f>
        <v/>
      </c>
      <c r="B223" s="46"/>
      <c r="C223" s="47"/>
      <c r="D223" s="48"/>
      <c r="E223" s="48"/>
      <c r="F223" s="49"/>
      <c r="G223" s="47"/>
      <c r="H223" s="50"/>
      <c r="I223" s="50"/>
      <c r="J223" s="51" t="str">
        <f aca="false">IF(OR($V223="",$W223=""),"",ROUND(($W223-$V223)/60,2))</f>
        <v/>
      </c>
      <c r="K223" s="52" t="str">
        <f aca="false">IF($F223="","",LEN($F223)-LEN(SUBSTITUTE($F223,",",""))+1)</f>
        <v/>
      </c>
      <c r="L223" s="45" t="str">
        <f aca="false">IF($K223="","","1:"&amp;$K223)</f>
        <v/>
      </c>
      <c r="M223" s="46"/>
      <c r="N223" s="53"/>
      <c r="O223" s="46"/>
      <c r="P223" s="47"/>
      <c r="Q223" s="48"/>
      <c r="R223" s="49"/>
      <c r="S223" s="54" t="str">
        <f aca="false">IF(OR($AC223=0,$U223="",$M223="",$V223="",$W223=""),"",IF(COUNTIFS(m_teacher,$M223,m_date,$U223,m_active,1,m_start,"&lt;"&amp;$W223,m_end,"&gt;"&amp;$V223)&gt;1,"충돌",""))</f>
        <v/>
      </c>
      <c r="T223" s="48"/>
      <c r="U223" s="55" t="str">
        <f aca="false">IF($G223="","",IFERROR(IF(ISNUMBER($G223),IF($G223&gt;19000000,DATE(INT($G223/10000),MOD(INT($G223/100),100),MOD($G223,100)),INT($G223)),IF(LEN(SUBSTITUTE(SUBSTITUTE(SUBSTITUTE(TRIM($G223),"-",""),".",""),"/",""))=8,DATE(VALUE(LEFT(SUBSTITUTE(SUBSTITUTE(SUBSTITUTE(TRIM($G223),"-",""),".",""),"/",""),4)),VALUE(MID(SUBSTITUTE(SUBSTITUTE(SUBSTITUTE(TRIM($G223),"-",""),".",""),"/",""),5,2)),VALUE(RIGHT(SUBSTITUTE(SUBSTITUTE(SUBSTITUTE(TRIM($G223),"-",""),".",""),"/",""),2))),DATEVALUE($G223))),""))</f>
        <v/>
      </c>
      <c r="V223" s="52" t="str">
        <f aca="false">IF($H223="","",IFERROR(IF(IF(ISNUMBER($H223),$H223,IFERROR(TIMEVALUE($H223),VALUE($H223)))&gt;=100,INT(IF(ISNUMBER($H223),$H223,IFERROR(TIMEVALUE($H223),VALUE($H223)))/100)*60+MOD(IF(ISNUMBER($H223),$H223,IFERROR(TIMEVALUE($H223),VALUE($H223))),100),IF(IF(ISNUMBER($H223),$H223,IFERROR(TIMEVALUE($H223),VALUE($H223)))&gt;=1,ROUND(IF(ISNUMBER($H223),$H223,IFERROR(TIMEVALUE($H223),VALUE($H223)))*60,0),ROUND(MOD(IF(ISNUMBER($H223),$H223,IFERROR(TIMEVALUE($H223),VALUE($H223))),1)*1440,0))),""))</f>
        <v/>
      </c>
      <c r="W223" s="52" t="str">
        <f aca="false">IF($I223="","",IFERROR(IF(IF(ISNUMBER($I223),$I223,IFERROR(TIMEVALUE($I223),VALUE($I223)))&gt;=100,INT(IF(ISNUMBER($I223),$I223,IFERROR(TIMEVALUE($I223),VALUE($I223)))/100)*60+MOD(IF(ISNUMBER($I223),$I223,IFERROR(TIMEVALUE($I223),VALUE($I223))),100),IF(IF(ISNUMBER($I223),$I223,IFERROR(TIMEVALUE($I223),VALUE($I223)))&gt;=1,ROUND(IF(ISNUMBER($I223),$I223,IFERROR(TIMEVALUE($I223),VALUE($I223)))*60,0),ROUND(MOD(IF(ISNUMBER($I223),$I223,IFERROR(TIMEVALUE($I223),VALUE($I223))),1)*1440,0))),""))</f>
        <v/>
      </c>
      <c r="X223" s="55" t="str">
        <f aca="false">IF($P223="","",IFERROR(IF(ISNUMBER($P223),IF($P223&gt;19000000,DATE(INT($P223/10000),MOD(INT($P223/100),100),MOD($P223,100)),INT($P223)),IF(LEN(SUBSTITUTE(SUBSTITUTE(SUBSTITUTE(TRIM($P223),"-",""),".",""),"/",""))=8,DATE(VALUE(LEFT(SUBSTITUTE(SUBSTITUTE(SUBSTITUTE(TRIM($P223),"-",""),".",""),"/",""),4)),VALUE(MID(SUBSTITUTE(SUBSTITUTE(SUBSTITUTE(TRIM($P223),"-",""),".",""),"/",""),5,2)),VALUE(RIGHT(SUBSTITUTE(SUBSTITUTE(SUBSTITUTE(TRIM($P223),"-",""),".",""),"/",""),2))),DATEVALUE($P223))),""))</f>
        <v/>
      </c>
      <c r="Y223" s="56" t="str">
        <f aca="false">IF($M223="","",IFERROR(INDEX(강사DB!$D$4:$D$53,MATCH($M223,강사DB!$A$4:$A$53,0)),""))</f>
        <v/>
      </c>
      <c r="Z223" s="56" t="str">
        <f aca="false">IF($B223&lt;&gt;"결제완료","",IF(OR($Y223="",$J223=""),"",$Y223*$J223+MAX(0,N($K223)-1)*설정!$J$7))</f>
        <v/>
      </c>
      <c r="AA223" s="56" t="str">
        <f aca="false">IF(AND($D223&lt;&gt;"",$B223="결제완료"),N($N223),"")</f>
        <v/>
      </c>
      <c r="AB223" s="45" t="str">
        <f aca="false">IF($D223="","",IF($F223&lt;&gt;"",$F223,$D223)&amp;IF($B223="상담중"," (상담)",""))</f>
        <v/>
      </c>
      <c r="AC223" s="45" t="n">
        <f aca="false">IF(AND($D223&lt;&gt;"",OR($B223="결제완료",$B223="상담중")),1,0)</f>
        <v>0</v>
      </c>
      <c r="AD223" s="45" t="n">
        <f aca="false">IF(OR($Z223="",$U223=""),0,IFERROR(IF(COUNTIFS(INDEX(g_grid,0,2*MATCH($M223,강사DB!$A$4:$A$15,0)),"&lt;&gt;",g_s,"&lt;="&amp;$U223,g_e,"&gt;="&amp;$U223)&gt;0,1,0),0))</f>
        <v>0</v>
      </c>
      <c r="AE223" s="48"/>
      <c r="AF223" s="56" t="str">
        <f aca="false">IF(AND($D223&lt;&gt;"",$B223="결제완료",$T223="대여"),설정!$J$5,"")</f>
        <v/>
      </c>
      <c r="AG223" s="54" t="str">
        <f aca="false">IF($D223="","",IF(AND($E223="",$R223=""),$AB223,"☎ "&amp;IF($E223="","-",$E223)&amp;IF($R223&lt;&gt;"","  ※ "&amp;$R223,"")&amp;IF($B223="상담중"," (상담)","")))</f>
        <v/>
      </c>
      <c r="AH223" s="56" t="str">
        <f aca="false">IF(AND($D223&lt;&gt;"",$B223="결제완료",$O223="스마트스토어"),ROUND(N($N223)*설정!$J$6,0),"")</f>
        <v/>
      </c>
      <c r="AI223" s="54" t="str">
        <f aca="false">IF($D223="","",ROW())</f>
        <v/>
      </c>
      <c r="AJ223" s="54" t="n">
        <f aca="false">IF(OR($AC223&lt;&gt;1,$M223=""),0,IF(ISNUMBER(SEARCH("퇴사",IFERROR(INDEX(강사DB!$G$4:$G$53,MATCH($M223,강사DB!$A$4:$A$53,0)),""))),1,0))</f>
        <v>0</v>
      </c>
    </row>
    <row r="224" customFormat="false" ht="15" hidden="false" customHeight="false" outlineLevel="0" collapsed="false">
      <c r="A224" s="45" t="str">
        <f aca="false">IF($D224="","",COUNTA($D$5:$D224))</f>
        <v/>
      </c>
      <c r="B224" s="46"/>
      <c r="C224" s="47"/>
      <c r="D224" s="48"/>
      <c r="E224" s="48"/>
      <c r="F224" s="49"/>
      <c r="G224" s="47"/>
      <c r="H224" s="50"/>
      <c r="I224" s="50"/>
      <c r="J224" s="51" t="str">
        <f aca="false">IF(OR($V224="",$W224=""),"",ROUND(($W224-$V224)/60,2))</f>
        <v/>
      </c>
      <c r="K224" s="52" t="str">
        <f aca="false">IF($F224="","",LEN($F224)-LEN(SUBSTITUTE($F224,",",""))+1)</f>
        <v/>
      </c>
      <c r="L224" s="45" t="str">
        <f aca="false">IF($K224="","","1:"&amp;$K224)</f>
        <v/>
      </c>
      <c r="M224" s="46"/>
      <c r="N224" s="53"/>
      <c r="O224" s="46"/>
      <c r="P224" s="47"/>
      <c r="Q224" s="48"/>
      <c r="R224" s="49"/>
      <c r="S224" s="54" t="str">
        <f aca="false">IF(OR($AC224=0,$U224="",$M224="",$V224="",$W224=""),"",IF(COUNTIFS(m_teacher,$M224,m_date,$U224,m_active,1,m_start,"&lt;"&amp;$W224,m_end,"&gt;"&amp;$V224)&gt;1,"충돌",""))</f>
        <v/>
      </c>
      <c r="T224" s="48"/>
      <c r="U224" s="55" t="str">
        <f aca="false">IF($G224="","",IFERROR(IF(ISNUMBER($G224),IF($G224&gt;19000000,DATE(INT($G224/10000),MOD(INT($G224/100),100),MOD($G224,100)),INT($G224)),IF(LEN(SUBSTITUTE(SUBSTITUTE(SUBSTITUTE(TRIM($G224),"-",""),".",""),"/",""))=8,DATE(VALUE(LEFT(SUBSTITUTE(SUBSTITUTE(SUBSTITUTE(TRIM($G224),"-",""),".",""),"/",""),4)),VALUE(MID(SUBSTITUTE(SUBSTITUTE(SUBSTITUTE(TRIM($G224),"-",""),".",""),"/",""),5,2)),VALUE(RIGHT(SUBSTITUTE(SUBSTITUTE(SUBSTITUTE(TRIM($G224),"-",""),".",""),"/",""),2))),DATEVALUE($G224))),""))</f>
        <v/>
      </c>
      <c r="V224" s="52" t="str">
        <f aca="false">IF($H224="","",IFERROR(IF(IF(ISNUMBER($H224),$H224,IFERROR(TIMEVALUE($H224),VALUE($H224)))&gt;=100,INT(IF(ISNUMBER($H224),$H224,IFERROR(TIMEVALUE($H224),VALUE($H224)))/100)*60+MOD(IF(ISNUMBER($H224),$H224,IFERROR(TIMEVALUE($H224),VALUE($H224))),100),IF(IF(ISNUMBER($H224),$H224,IFERROR(TIMEVALUE($H224),VALUE($H224)))&gt;=1,ROUND(IF(ISNUMBER($H224),$H224,IFERROR(TIMEVALUE($H224),VALUE($H224)))*60,0),ROUND(MOD(IF(ISNUMBER($H224),$H224,IFERROR(TIMEVALUE($H224),VALUE($H224))),1)*1440,0))),""))</f>
        <v/>
      </c>
      <c r="W224" s="52" t="str">
        <f aca="false">IF($I224="","",IFERROR(IF(IF(ISNUMBER($I224),$I224,IFERROR(TIMEVALUE($I224),VALUE($I224)))&gt;=100,INT(IF(ISNUMBER($I224),$I224,IFERROR(TIMEVALUE($I224),VALUE($I224)))/100)*60+MOD(IF(ISNUMBER($I224),$I224,IFERROR(TIMEVALUE($I224),VALUE($I224))),100),IF(IF(ISNUMBER($I224),$I224,IFERROR(TIMEVALUE($I224),VALUE($I224)))&gt;=1,ROUND(IF(ISNUMBER($I224),$I224,IFERROR(TIMEVALUE($I224),VALUE($I224)))*60,0),ROUND(MOD(IF(ISNUMBER($I224),$I224,IFERROR(TIMEVALUE($I224),VALUE($I224))),1)*1440,0))),""))</f>
        <v/>
      </c>
      <c r="X224" s="55" t="str">
        <f aca="false">IF($P224="","",IFERROR(IF(ISNUMBER($P224),IF($P224&gt;19000000,DATE(INT($P224/10000),MOD(INT($P224/100),100),MOD($P224,100)),INT($P224)),IF(LEN(SUBSTITUTE(SUBSTITUTE(SUBSTITUTE(TRIM($P224),"-",""),".",""),"/",""))=8,DATE(VALUE(LEFT(SUBSTITUTE(SUBSTITUTE(SUBSTITUTE(TRIM($P224),"-",""),".",""),"/",""),4)),VALUE(MID(SUBSTITUTE(SUBSTITUTE(SUBSTITUTE(TRIM($P224),"-",""),".",""),"/",""),5,2)),VALUE(RIGHT(SUBSTITUTE(SUBSTITUTE(SUBSTITUTE(TRIM($P224),"-",""),".",""),"/",""),2))),DATEVALUE($P224))),""))</f>
        <v/>
      </c>
      <c r="Y224" s="56" t="str">
        <f aca="false">IF($M224="","",IFERROR(INDEX(강사DB!$D$4:$D$53,MATCH($M224,강사DB!$A$4:$A$53,0)),""))</f>
        <v/>
      </c>
      <c r="Z224" s="56" t="str">
        <f aca="false">IF($B224&lt;&gt;"결제완료","",IF(OR($Y224="",$J224=""),"",$Y224*$J224+MAX(0,N($K224)-1)*설정!$J$7))</f>
        <v/>
      </c>
      <c r="AA224" s="56" t="str">
        <f aca="false">IF(AND($D224&lt;&gt;"",$B224="결제완료"),N($N224),"")</f>
        <v/>
      </c>
      <c r="AB224" s="45" t="str">
        <f aca="false">IF($D224="","",IF($F224&lt;&gt;"",$F224,$D224)&amp;IF($B224="상담중"," (상담)",""))</f>
        <v/>
      </c>
      <c r="AC224" s="45" t="n">
        <f aca="false">IF(AND($D224&lt;&gt;"",OR($B224="결제완료",$B224="상담중")),1,0)</f>
        <v>0</v>
      </c>
      <c r="AD224" s="45" t="n">
        <f aca="false">IF(OR($Z224="",$U224=""),0,IFERROR(IF(COUNTIFS(INDEX(g_grid,0,2*MATCH($M224,강사DB!$A$4:$A$15,0)),"&lt;&gt;",g_s,"&lt;="&amp;$U224,g_e,"&gt;="&amp;$U224)&gt;0,1,0),0))</f>
        <v>0</v>
      </c>
      <c r="AE224" s="48"/>
      <c r="AF224" s="56" t="str">
        <f aca="false">IF(AND($D224&lt;&gt;"",$B224="결제완료",$T224="대여"),설정!$J$5,"")</f>
        <v/>
      </c>
      <c r="AG224" s="54" t="str">
        <f aca="false">IF($D224="","",IF(AND($E224="",$R224=""),$AB224,"☎ "&amp;IF($E224="","-",$E224)&amp;IF($R224&lt;&gt;"","  ※ "&amp;$R224,"")&amp;IF($B224="상담중"," (상담)","")))</f>
        <v/>
      </c>
      <c r="AH224" s="56" t="str">
        <f aca="false">IF(AND($D224&lt;&gt;"",$B224="결제완료",$O224="스마트스토어"),ROUND(N($N224)*설정!$J$6,0),"")</f>
        <v/>
      </c>
      <c r="AI224" s="54" t="str">
        <f aca="false">IF($D224="","",ROW())</f>
        <v/>
      </c>
      <c r="AJ224" s="54" t="n">
        <f aca="false">IF(OR($AC224&lt;&gt;1,$M224=""),0,IF(ISNUMBER(SEARCH("퇴사",IFERROR(INDEX(강사DB!$G$4:$G$53,MATCH($M224,강사DB!$A$4:$A$53,0)),""))),1,0))</f>
        <v>0</v>
      </c>
    </row>
    <row r="225" customFormat="false" ht="15" hidden="false" customHeight="false" outlineLevel="0" collapsed="false">
      <c r="A225" s="45" t="str">
        <f aca="false">IF($D225="","",COUNTA($D$5:$D225))</f>
        <v/>
      </c>
      <c r="B225" s="46"/>
      <c r="C225" s="47"/>
      <c r="D225" s="48"/>
      <c r="E225" s="48"/>
      <c r="F225" s="49"/>
      <c r="G225" s="47"/>
      <c r="H225" s="50"/>
      <c r="I225" s="50"/>
      <c r="J225" s="51" t="str">
        <f aca="false">IF(OR($V225="",$W225=""),"",ROUND(($W225-$V225)/60,2))</f>
        <v/>
      </c>
      <c r="K225" s="52" t="str">
        <f aca="false">IF($F225="","",LEN($F225)-LEN(SUBSTITUTE($F225,",",""))+1)</f>
        <v/>
      </c>
      <c r="L225" s="45" t="str">
        <f aca="false">IF($K225="","","1:"&amp;$K225)</f>
        <v/>
      </c>
      <c r="M225" s="46"/>
      <c r="N225" s="53"/>
      <c r="O225" s="46"/>
      <c r="P225" s="47"/>
      <c r="Q225" s="48"/>
      <c r="R225" s="49"/>
      <c r="S225" s="54" t="str">
        <f aca="false">IF(OR($AC225=0,$U225="",$M225="",$V225="",$W225=""),"",IF(COUNTIFS(m_teacher,$M225,m_date,$U225,m_active,1,m_start,"&lt;"&amp;$W225,m_end,"&gt;"&amp;$V225)&gt;1,"충돌",""))</f>
        <v/>
      </c>
      <c r="T225" s="48"/>
      <c r="U225" s="55" t="str">
        <f aca="false">IF($G225="","",IFERROR(IF(ISNUMBER($G225),IF($G225&gt;19000000,DATE(INT($G225/10000),MOD(INT($G225/100),100),MOD($G225,100)),INT($G225)),IF(LEN(SUBSTITUTE(SUBSTITUTE(SUBSTITUTE(TRIM($G225),"-",""),".",""),"/",""))=8,DATE(VALUE(LEFT(SUBSTITUTE(SUBSTITUTE(SUBSTITUTE(TRIM($G225),"-",""),".",""),"/",""),4)),VALUE(MID(SUBSTITUTE(SUBSTITUTE(SUBSTITUTE(TRIM($G225),"-",""),".",""),"/",""),5,2)),VALUE(RIGHT(SUBSTITUTE(SUBSTITUTE(SUBSTITUTE(TRIM($G225),"-",""),".",""),"/",""),2))),DATEVALUE($G225))),""))</f>
        <v/>
      </c>
      <c r="V225" s="52" t="str">
        <f aca="false">IF($H225="","",IFERROR(IF(IF(ISNUMBER($H225),$H225,IFERROR(TIMEVALUE($H225),VALUE($H225)))&gt;=100,INT(IF(ISNUMBER($H225),$H225,IFERROR(TIMEVALUE($H225),VALUE($H225)))/100)*60+MOD(IF(ISNUMBER($H225),$H225,IFERROR(TIMEVALUE($H225),VALUE($H225))),100),IF(IF(ISNUMBER($H225),$H225,IFERROR(TIMEVALUE($H225),VALUE($H225)))&gt;=1,ROUND(IF(ISNUMBER($H225),$H225,IFERROR(TIMEVALUE($H225),VALUE($H225)))*60,0),ROUND(MOD(IF(ISNUMBER($H225),$H225,IFERROR(TIMEVALUE($H225),VALUE($H225))),1)*1440,0))),""))</f>
        <v/>
      </c>
      <c r="W225" s="52" t="str">
        <f aca="false">IF($I225="","",IFERROR(IF(IF(ISNUMBER($I225),$I225,IFERROR(TIMEVALUE($I225),VALUE($I225)))&gt;=100,INT(IF(ISNUMBER($I225),$I225,IFERROR(TIMEVALUE($I225),VALUE($I225)))/100)*60+MOD(IF(ISNUMBER($I225),$I225,IFERROR(TIMEVALUE($I225),VALUE($I225))),100),IF(IF(ISNUMBER($I225),$I225,IFERROR(TIMEVALUE($I225),VALUE($I225)))&gt;=1,ROUND(IF(ISNUMBER($I225),$I225,IFERROR(TIMEVALUE($I225),VALUE($I225)))*60,0),ROUND(MOD(IF(ISNUMBER($I225),$I225,IFERROR(TIMEVALUE($I225),VALUE($I225))),1)*1440,0))),""))</f>
        <v/>
      </c>
      <c r="X225" s="55" t="str">
        <f aca="false">IF($P225="","",IFERROR(IF(ISNUMBER($P225),IF($P225&gt;19000000,DATE(INT($P225/10000),MOD(INT($P225/100),100),MOD($P225,100)),INT($P225)),IF(LEN(SUBSTITUTE(SUBSTITUTE(SUBSTITUTE(TRIM($P225),"-",""),".",""),"/",""))=8,DATE(VALUE(LEFT(SUBSTITUTE(SUBSTITUTE(SUBSTITUTE(TRIM($P225),"-",""),".",""),"/",""),4)),VALUE(MID(SUBSTITUTE(SUBSTITUTE(SUBSTITUTE(TRIM($P225),"-",""),".",""),"/",""),5,2)),VALUE(RIGHT(SUBSTITUTE(SUBSTITUTE(SUBSTITUTE(TRIM($P225),"-",""),".",""),"/",""),2))),DATEVALUE($P225))),""))</f>
        <v/>
      </c>
      <c r="Y225" s="56" t="str">
        <f aca="false">IF($M225="","",IFERROR(INDEX(강사DB!$D$4:$D$53,MATCH($M225,강사DB!$A$4:$A$53,0)),""))</f>
        <v/>
      </c>
      <c r="Z225" s="56" t="str">
        <f aca="false">IF($B225&lt;&gt;"결제완료","",IF(OR($Y225="",$J225=""),"",$Y225*$J225+MAX(0,N($K225)-1)*설정!$J$7))</f>
        <v/>
      </c>
      <c r="AA225" s="56" t="str">
        <f aca="false">IF(AND($D225&lt;&gt;"",$B225="결제완료"),N($N225),"")</f>
        <v/>
      </c>
      <c r="AB225" s="45" t="str">
        <f aca="false">IF($D225="","",IF($F225&lt;&gt;"",$F225,$D225)&amp;IF($B225="상담중"," (상담)",""))</f>
        <v/>
      </c>
      <c r="AC225" s="45" t="n">
        <f aca="false">IF(AND($D225&lt;&gt;"",OR($B225="결제완료",$B225="상담중")),1,0)</f>
        <v>0</v>
      </c>
      <c r="AD225" s="45" t="n">
        <f aca="false">IF(OR($Z225="",$U225=""),0,IFERROR(IF(COUNTIFS(INDEX(g_grid,0,2*MATCH($M225,강사DB!$A$4:$A$15,0)),"&lt;&gt;",g_s,"&lt;="&amp;$U225,g_e,"&gt;="&amp;$U225)&gt;0,1,0),0))</f>
        <v>0</v>
      </c>
      <c r="AE225" s="48"/>
      <c r="AF225" s="56" t="str">
        <f aca="false">IF(AND($D225&lt;&gt;"",$B225="결제완료",$T225="대여"),설정!$J$5,"")</f>
        <v/>
      </c>
      <c r="AG225" s="54" t="str">
        <f aca="false">IF($D225="","",IF(AND($E225="",$R225=""),$AB225,"☎ "&amp;IF($E225="","-",$E225)&amp;IF($R225&lt;&gt;"","  ※ "&amp;$R225,"")&amp;IF($B225="상담중"," (상담)","")))</f>
        <v/>
      </c>
      <c r="AH225" s="56" t="str">
        <f aca="false">IF(AND($D225&lt;&gt;"",$B225="결제완료",$O225="스마트스토어"),ROUND(N($N225)*설정!$J$6,0),"")</f>
        <v/>
      </c>
      <c r="AI225" s="54" t="str">
        <f aca="false">IF($D225="","",ROW())</f>
        <v/>
      </c>
      <c r="AJ225" s="54" t="n">
        <f aca="false">IF(OR($AC225&lt;&gt;1,$M225=""),0,IF(ISNUMBER(SEARCH("퇴사",IFERROR(INDEX(강사DB!$G$4:$G$53,MATCH($M225,강사DB!$A$4:$A$53,0)),""))),1,0))</f>
        <v>0</v>
      </c>
    </row>
    <row r="226" customFormat="false" ht="15" hidden="false" customHeight="false" outlineLevel="0" collapsed="false">
      <c r="A226" s="45" t="str">
        <f aca="false">IF($D226="","",COUNTA($D$5:$D226))</f>
        <v/>
      </c>
      <c r="B226" s="46"/>
      <c r="C226" s="47"/>
      <c r="D226" s="48"/>
      <c r="E226" s="48"/>
      <c r="F226" s="49"/>
      <c r="G226" s="47"/>
      <c r="H226" s="50"/>
      <c r="I226" s="50"/>
      <c r="J226" s="51" t="str">
        <f aca="false">IF(OR($V226="",$W226=""),"",ROUND(($W226-$V226)/60,2))</f>
        <v/>
      </c>
      <c r="K226" s="52" t="str">
        <f aca="false">IF($F226="","",LEN($F226)-LEN(SUBSTITUTE($F226,",",""))+1)</f>
        <v/>
      </c>
      <c r="L226" s="45" t="str">
        <f aca="false">IF($K226="","","1:"&amp;$K226)</f>
        <v/>
      </c>
      <c r="M226" s="46"/>
      <c r="N226" s="53"/>
      <c r="O226" s="46"/>
      <c r="P226" s="47"/>
      <c r="Q226" s="48"/>
      <c r="R226" s="49"/>
      <c r="S226" s="54" t="str">
        <f aca="false">IF(OR($AC226=0,$U226="",$M226="",$V226="",$W226=""),"",IF(COUNTIFS(m_teacher,$M226,m_date,$U226,m_active,1,m_start,"&lt;"&amp;$W226,m_end,"&gt;"&amp;$V226)&gt;1,"충돌",""))</f>
        <v/>
      </c>
      <c r="T226" s="48"/>
      <c r="U226" s="55" t="str">
        <f aca="false">IF($G226="","",IFERROR(IF(ISNUMBER($G226),IF($G226&gt;19000000,DATE(INT($G226/10000),MOD(INT($G226/100),100),MOD($G226,100)),INT($G226)),IF(LEN(SUBSTITUTE(SUBSTITUTE(SUBSTITUTE(TRIM($G226),"-",""),".",""),"/",""))=8,DATE(VALUE(LEFT(SUBSTITUTE(SUBSTITUTE(SUBSTITUTE(TRIM($G226),"-",""),".",""),"/",""),4)),VALUE(MID(SUBSTITUTE(SUBSTITUTE(SUBSTITUTE(TRIM($G226),"-",""),".",""),"/",""),5,2)),VALUE(RIGHT(SUBSTITUTE(SUBSTITUTE(SUBSTITUTE(TRIM($G226),"-",""),".",""),"/",""),2))),DATEVALUE($G226))),""))</f>
        <v/>
      </c>
      <c r="V226" s="52" t="str">
        <f aca="false">IF($H226="","",IFERROR(IF(IF(ISNUMBER($H226),$H226,IFERROR(TIMEVALUE($H226),VALUE($H226)))&gt;=100,INT(IF(ISNUMBER($H226),$H226,IFERROR(TIMEVALUE($H226),VALUE($H226)))/100)*60+MOD(IF(ISNUMBER($H226),$H226,IFERROR(TIMEVALUE($H226),VALUE($H226))),100),IF(IF(ISNUMBER($H226),$H226,IFERROR(TIMEVALUE($H226),VALUE($H226)))&gt;=1,ROUND(IF(ISNUMBER($H226),$H226,IFERROR(TIMEVALUE($H226),VALUE($H226)))*60,0),ROUND(MOD(IF(ISNUMBER($H226),$H226,IFERROR(TIMEVALUE($H226),VALUE($H226))),1)*1440,0))),""))</f>
        <v/>
      </c>
      <c r="W226" s="52" t="str">
        <f aca="false">IF($I226="","",IFERROR(IF(IF(ISNUMBER($I226),$I226,IFERROR(TIMEVALUE($I226),VALUE($I226)))&gt;=100,INT(IF(ISNUMBER($I226),$I226,IFERROR(TIMEVALUE($I226),VALUE($I226)))/100)*60+MOD(IF(ISNUMBER($I226),$I226,IFERROR(TIMEVALUE($I226),VALUE($I226))),100),IF(IF(ISNUMBER($I226),$I226,IFERROR(TIMEVALUE($I226),VALUE($I226)))&gt;=1,ROUND(IF(ISNUMBER($I226),$I226,IFERROR(TIMEVALUE($I226),VALUE($I226)))*60,0),ROUND(MOD(IF(ISNUMBER($I226),$I226,IFERROR(TIMEVALUE($I226),VALUE($I226))),1)*1440,0))),""))</f>
        <v/>
      </c>
      <c r="X226" s="55" t="str">
        <f aca="false">IF($P226="","",IFERROR(IF(ISNUMBER($P226),IF($P226&gt;19000000,DATE(INT($P226/10000),MOD(INT($P226/100),100),MOD($P226,100)),INT($P226)),IF(LEN(SUBSTITUTE(SUBSTITUTE(SUBSTITUTE(TRIM($P226),"-",""),".",""),"/",""))=8,DATE(VALUE(LEFT(SUBSTITUTE(SUBSTITUTE(SUBSTITUTE(TRIM($P226),"-",""),".",""),"/",""),4)),VALUE(MID(SUBSTITUTE(SUBSTITUTE(SUBSTITUTE(TRIM($P226),"-",""),".",""),"/",""),5,2)),VALUE(RIGHT(SUBSTITUTE(SUBSTITUTE(SUBSTITUTE(TRIM($P226),"-",""),".",""),"/",""),2))),DATEVALUE($P226))),""))</f>
        <v/>
      </c>
      <c r="Y226" s="56" t="str">
        <f aca="false">IF($M226="","",IFERROR(INDEX(강사DB!$D$4:$D$53,MATCH($M226,강사DB!$A$4:$A$53,0)),""))</f>
        <v/>
      </c>
      <c r="Z226" s="56" t="str">
        <f aca="false">IF($B226&lt;&gt;"결제완료","",IF(OR($Y226="",$J226=""),"",$Y226*$J226+MAX(0,N($K226)-1)*설정!$J$7))</f>
        <v/>
      </c>
      <c r="AA226" s="56" t="str">
        <f aca="false">IF(AND($D226&lt;&gt;"",$B226="결제완료"),N($N226),"")</f>
        <v/>
      </c>
      <c r="AB226" s="45" t="str">
        <f aca="false">IF($D226="","",IF($F226&lt;&gt;"",$F226,$D226)&amp;IF($B226="상담중"," (상담)",""))</f>
        <v/>
      </c>
      <c r="AC226" s="45" t="n">
        <f aca="false">IF(AND($D226&lt;&gt;"",OR($B226="결제완료",$B226="상담중")),1,0)</f>
        <v>0</v>
      </c>
      <c r="AD226" s="45" t="n">
        <f aca="false">IF(OR($Z226="",$U226=""),0,IFERROR(IF(COUNTIFS(INDEX(g_grid,0,2*MATCH($M226,강사DB!$A$4:$A$15,0)),"&lt;&gt;",g_s,"&lt;="&amp;$U226,g_e,"&gt;="&amp;$U226)&gt;0,1,0),0))</f>
        <v>0</v>
      </c>
      <c r="AE226" s="48"/>
      <c r="AF226" s="56" t="str">
        <f aca="false">IF(AND($D226&lt;&gt;"",$B226="결제완료",$T226="대여"),설정!$J$5,"")</f>
        <v/>
      </c>
      <c r="AG226" s="54" t="str">
        <f aca="false">IF($D226="","",IF(AND($E226="",$R226=""),$AB226,"☎ "&amp;IF($E226="","-",$E226)&amp;IF($R226&lt;&gt;"","  ※ "&amp;$R226,"")&amp;IF($B226="상담중"," (상담)","")))</f>
        <v/>
      </c>
      <c r="AH226" s="56" t="str">
        <f aca="false">IF(AND($D226&lt;&gt;"",$B226="결제완료",$O226="스마트스토어"),ROUND(N($N226)*설정!$J$6,0),"")</f>
        <v/>
      </c>
      <c r="AI226" s="54" t="str">
        <f aca="false">IF($D226="","",ROW())</f>
        <v/>
      </c>
      <c r="AJ226" s="54" t="n">
        <f aca="false">IF(OR($AC226&lt;&gt;1,$M226=""),0,IF(ISNUMBER(SEARCH("퇴사",IFERROR(INDEX(강사DB!$G$4:$G$53,MATCH($M226,강사DB!$A$4:$A$53,0)),""))),1,0))</f>
        <v>0</v>
      </c>
    </row>
    <row r="227" customFormat="false" ht="15" hidden="false" customHeight="false" outlineLevel="0" collapsed="false">
      <c r="A227" s="45" t="str">
        <f aca="false">IF($D227="","",COUNTA($D$5:$D227))</f>
        <v/>
      </c>
      <c r="B227" s="46"/>
      <c r="C227" s="47"/>
      <c r="D227" s="48"/>
      <c r="E227" s="48"/>
      <c r="F227" s="49"/>
      <c r="G227" s="47"/>
      <c r="H227" s="50"/>
      <c r="I227" s="50"/>
      <c r="J227" s="51" t="str">
        <f aca="false">IF(OR($V227="",$W227=""),"",ROUND(($W227-$V227)/60,2))</f>
        <v/>
      </c>
      <c r="K227" s="52" t="str">
        <f aca="false">IF($F227="","",LEN($F227)-LEN(SUBSTITUTE($F227,",",""))+1)</f>
        <v/>
      </c>
      <c r="L227" s="45" t="str">
        <f aca="false">IF($K227="","","1:"&amp;$K227)</f>
        <v/>
      </c>
      <c r="M227" s="46"/>
      <c r="N227" s="53"/>
      <c r="O227" s="46"/>
      <c r="P227" s="47"/>
      <c r="Q227" s="48"/>
      <c r="R227" s="49"/>
      <c r="S227" s="54" t="str">
        <f aca="false">IF(OR($AC227=0,$U227="",$M227="",$V227="",$W227=""),"",IF(COUNTIFS(m_teacher,$M227,m_date,$U227,m_active,1,m_start,"&lt;"&amp;$W227,m_end,"&gt;"&amp;$V227)&gt;1,"충돌",""))</f>
        <v/>
      </c>
      <c r="T227" s="48"/>
      <c r="U227" s="55" t="str">
        <f aca="false">IF($G227="","",IFERROR(IF(ISNUMBER($G227),IF($G227&gt;19000000,DATE(INT($G227/10000),MOD(INT($G227/100),100),MOD($G227,100)),INT($G227)),IF(LEN(SUBSTITUTE(SUBSTITUTE(SUBSTITUTE(TRIM($G227),"-",""),".",""),"/",""))=8,DATE(VALUE(LEFT(SUBSTITUTE(SUBSTITUTE(SUBSTITUTE(TRIM($G227),"-",""),".",""),"/",""),4)),VALUE(MID(SUBSTITUTE(SUBSTITUTE(SUBSTITUTE(TRIM($G227),"-",""),".",""),"/",""),5,2)),VALUE(RIGHT(SUBSTITUTE(SUBSTITUTE(SUBSTITUTE(TRIM($G227),"-",""),".",""),"/",""),2))),DATEVALUE($G227))),""))</f>
        <v/>
      </c>
      <c r="V227" s="52" t="str">
        <f aca="false">IF($H227="","",IFERROR(IF(IF(ISNUMBER($H227),$H227,IFERROR(TIMEVALUE($H227),VALUE($H227)))&gt;=100,INT(IF(ISNUMBER($H227),$H227,IFERROR(TIMEVALUE($H227),VALUE($H227)))/100)*60+MOD(IF(ISNUMBER($H227),$H227,IFERROR(TIMEVALUE($H227),VALUE($H227))),100),IF(IF(ISNUMBER($H227),$H227,IFERROR(TIMEVALUE($H227),VALUE($H227)))&gt;=1,ROUND(IF(ISNUMBER($H227),$H227,IFERROR(TIMEVALUE($H227),VALUE($H227)))*60,0),ROUND(MOD(IF(ISNUMBER($H227),$H227,IFERROR(TIMEVALUE($H227),VALUE($H227))),1)*1440,0))),""))</f>
        <v/>
      </c>
      <c r="W227" s="52" t="str">
        <f aca="false">IF($I227="","",IFERROR(IF(IF(ISNUMBER($I227),$I227,IFERROR(TIMEVALUE($I227),VALUE($I227)))&gt;=100,INT(IF(ISNUMBER($I227),$I227,IFERROR(TIMEVALUE($I227),VALUE($I227)))/100)*60+MOD(IF(ISNUMBER($I227),$I227,IFERROR(TIMEVALUE($I227),VALUE($I227))),100),IF(IF(ISNUMBER($I227),$I227,IFERROR(TIMEVALUE($I227),VALUE($I227)))&gt;=1,ROUND(IF(ISNUMBER($I227),$I227,IFERROR(TIMEVALUE($I227),VALUE($I227)))*60,0),ROUND(MOD(IF(ISNUMBER($I227),$I227,IFERROR(TIMEVALUE($I227),VALUE($I227))),1)*1440,0))),""))</f>
        <v/>
      </c>
      <c r="X227" s="55" t="str">
        <f aca="false">IF($P227="","",IFERROR(IF(ISNUMBER($P227),IF($P227&gt;19000000,DATE(INT($P227/10000),MOD(INT($P227/100),100),MOD($P227,100)),INT($P227)),IF(LEN(SUBSTITUTE(SUBSTITUTE(SUBSTITUTE(TRIM($P227),"-",""),".",""),"/",""))=8,DATE(VALUE(LEFT(SUBSTITUTE(SUBSTITUTE(SUBSTITUTE(TRIM($P227),"-",""),".",""),"/",""),4)),VALUE(MID(SUBSTITUTE(SUBSTITUTE(SUBSTITUTE(TRIM($P227),"-",""),".",""),"/",""),5,2)),VALUE(RIGHT(SUBSTITUTE(SUBSTITUTE(SUBSTITUTE(TRIM($P227),"-",""),".",""),"/",""),2))),DATEVALUE($P227))),""))</f>
        <v/>
      </c>
      <c r="Y227" s="56" t="str">
        <f aca="false">IF($M227="","",IFERROR(INDEX(강사DB!$D$4:$D$53,MATCH($M227,강사DB!$A$4:$A$53,0)),""))</f>
        <v/>
      </c>
      <c r="Z227" s="56" t="str">
        <f aca="false">IF($B227&lt;&gt;"결제완료","",IF(OR($Y227="",$J227=""),"",$Y227*$J227+MAX(0,N($K227)-1)*설정!$J$7))</f>
        <v/>
      </c>
      <c r="AA227" s="56" t="str">
        <f aca="false">IF(AND($D227&lt;&gt;"",$B227="결제완료"),N($N227),"")</f>
        <v/>
      </c>
      <c r="AB227" s="45" t="str">
        <f aca="false">IF($D227="","",IF($F227&lt;&gt;"",$F227,$D227)&amp;IF($B227="상담중"," (상담)",""))</f>
        <v/>
      </c>
      <c r="AC227" s="45" t="n">
        <f aca="false">IF(AND($D227&lt;&gt;"",OR($B227="결제완료",$B227="상담중")),1,0)</f>
        <v>0</v>
      </c>
      <c r="AD227" s="45" t="n">
        <f aca="false">IF(OR($Z227="",$U227=""),0,IFERROR(IF(COUNTIFS(INDEX(g_grid,0,2*MATCH($M227,강사DB!$A$4:$A$15,0)),"&lt;&gt;",g_s,"&lt;="&amp;$U227,g_e,"&gt;="&amp;$U227)&gt;0,1,0),0))</f>
        <v>0</v>
      </c>
      <c r="AE227" s="48"/>
      <c r="AF227" s="56" t="str">
        <f aca="false">IF(AND($D227&lt;&gt;"",$B227="결제완료",$T227="대여"),설정!$J$5,"")</f>
        <v/>
      </c>
      <c r="AG227" s="54" t="str">
        <f aca="false">IF($D227="","",IF(AND($E227="",$R227=""),$AB227,"☎ "&amp;IF($E227="","-",$E227)&amp;IF($R227&lt;&gt;"","  ※ "&amp;$R227,"")&amp;IF($B227="상담중"," (상담)","")))</f>
        <v/>
      </c>
      <c r="AH227" s="56" t="str">
        <f aca="false">IF(AND($D227&lt;&gt;"",$B227="결제완료",$O227="스마트스토어"),ROUND(N($N227)*설정!$J$6,0),"")</f>
        <v/>
      </c>
      <c r="AI227" s="54" t="str">
        <f aca="false">IF($D227="","",ROW())</f>
        <v/>
      </c>
      <c r="AJ227" s="54" t="n">
        <f aca="false">IF(OR($AC227&lt;&gt;1,$M227=""),0,IF(ISNUMBER(SEARCH("퇴사",IFERROR(INDEX(강사DB!$G$4:$G$53,MATCH($M227,강사DB!$A$4:$A$53,0)),""))),1,0))</f>
        <v>0</v>
      </c>
    </row>
    <row r="228" customFormat="false" ht="15" hidden="false" customHeight="false" outlineLevel="0" collapsed="false">
      <c r="A228" s="45" t="str">
        <f aca="false">IF($D228="","",COUNTA($D$5:$D228))</f>
        <v/>
      </c>
      <c r="B228" s="46"/>
      <c r="C228" s="47"/>
      <c r="D228" s="48"/>
      <c r="E228" s="48"/>
      <c r="F228" s="49"/>
      <c r="G228" s="47"/>
      <c r="H228" s="50"/>
      <c r="I228" s="50"/>
      <c r="J228" s="51" t="str">
        <f aca="false">IF(OR($V228="",$W228=""),"",ROUND(($W228-$V228)/60,2))</f>
        <v/>
      </c>
      <c r="K228" s="52" t="str">
        <f aca="false">IF($F228="","",LEN($F228)-LEN(SUBSTITUTE($F228,",",""))+1)</f>
        <v/>
      </c>
      <c r="L228" s="45" t="str">
        <f aca="false">IF($K228="","","1:"&amp;$K228)</f>
        <v/>
      </c>
      <c r="M228" s="46"/>
      <c r="N228" s="53"/>
      <c r="O228" s="46"/>
      <c r="P228" s="47"/>
      <c r="Q228" s="48"/>
      <c r="R228" s="49"/>
      <c r="S228" s="54" t="str">
        <f aca="false">IF(OR($AC228=0,$U228="",$M228="",$V228="",$W228=""),"",IF(COUNTIFS(m_teacher,$M228,m_date,$U228,m_active,1,m_start,"&lt;"&amp;$W228,m_end,"&gt;"&amp;$V228)&gt;1,"충돌",""))</f>
        <v/>
      </c>
      <c r="T228" s="48"/>
      <c r="U228" s="55" t="str">
        <f aca="false">IF($G228="","",IFERROR(IF(ISNUMBER($G228),IF($G228&gt;19000000,DATE(INT($G228/10000),MOD(INT($G228/100),100),MOD($G228,100)),INT($G228)),IF(LEN(SUBSTITUTE(SUBSTITUTE(SUBSTITUTE(TRIM($G228),"-",""),".",""),"/",""))=8,DATE(VALUE(LEFT(SUBSTITUTE(SUBSTITUTE(SUBSTITUTE(TRIM($G228),"-",""),".",""),"/",""),4)),VALUE(MID(SUBSTITUTE(SUBSTITUTE(SUBSTITUTE(TRIM($G228),"-",""),".",""),"/",""),5,2)),VALUE(RIGHT(SUBSTITUTE(SUBSTITUTE(SUBSTITUTE(TRIM($G228),"-",""),".",""),"/",""),2))),DATEVALUE($G228))),""))</f>
        <v/>
      </c>
      <c r="V228" s="52" t="str">
        <f aca="false">IF($H228="","",IFERROR(IF(IF(ISNUMBER($H228),$H228,IFERROR(TIMEVALUE($H228),VALUE($H228)))&gt;=100,INT(IF(ISNUMBER($H228),$H228,IFERROR(TIMEVALUE($H228),VALUE($H228)))/100)*60+MOD(IF(ISNUMBER($H228),$H228,IFERROR(TIMEVALUE($H228),VALUE($H228))),100),IF(IF(ISNUMBER($H228),$H228,IFERROR(TIMEVALUE($H228),VALUE($H228)))&gt;=1,ROUND(IF(ISNUMBER($H228),$H228,IFERROR(TIMEVALUE($H228),VALUE($H228)))*60,0),ROUND(MOD(IF(ISNUMBER($H228),$H228,IFERROR(TIMEVALUE($H228),VALUE($H228))),1)*1440,0))),""))</f>
        <v/>
      </c>
      <c r="W228" s="52" t="str">
        <f aca="false">IF($I228="","",IFERROR(IF(IF(ISNUMBER($I228),$I228,IFERROR(TIMEVALUE($I228),VALUE($I228)))&gt;=100,INT(IF(ISNUMBER($I228),$I228,IFERROR(TIMEVALUE($I228),VALUE($I228)))/100)*60+MOD(IF(ISNUMBER($I228),$I228,IFERROR(TIMEVALUE($I228),VALUE($I228))),100),IF(IF(ISNUMBER($I228),$I228,IFERROR(TIMEVALUE($I228),VALUE($I228)))&gt;=1,ROUND(IF(ISNUMBER($I228),$I228,IFERROR(TIMEVALUE($I228),VALUE($I228)))*60,0),ROUND(MOD(IF(ISNUMBER($I228),$I228,IFERROR(TIMEVALUE($I228),VALUE($I228))),1)*1440,0))),""))</f>
        <v/>
      </c>
      <c r="X228" s="55" t="str">
        <f aca="false">IF($P228="","",IFERROR(IF(ISNUMBER($P228),IF($P228&gt;19000000,DATE(INT($P228/10000),MOD(INT($P228/100),100),MOD($P228,100)),INT($P228)),IF(LEN(SUBSTITUTE(SUBSTITUTE(SUBSTITUTE(TRIM($P228),"-",""),".",""),"/",""))=8,DATE(VALUE(LEFT(SUBSTITUTE(SUBSTITUTE(SUBSTITUTE(TRIM($P228),"-",""),".",""),"/",""),4)),VALUE(MID(SUBSTITUTE(SUBSTITUTE(SUBSTITUTE(TRIM($P228),"-",""),".",""),"/",""),5,2)),VALUE(RIGHT(SUBSTITUTE(SUBSTITUTE(SUBSTITUTE(TRIM($P228),"-",""),".",""),"/",""),2))),DATEVALUE($P228))),""))</f>
        <v/>
      </c>
      <c r="Y228" s="56" t="str">
        <f aca="false">IF($M228="","",IFERROR(INDEX(강사DB!$D$4:$D$53,MATCH($M228,강사DB!$A$4:$A$53,0)),""))</f>
        <v/>
      </c>
      <c r="Z228" s="56" t="str">
        <f aca="false">IF($B228&lt;&gt;"결제완료","",IF(OR($Y228="",$J228=""),"",$Y228*$J228+MAX(0,N($K228)-1)*설정!$J$7))</f>
        <v/>
      </c>
      <c r="AA228" s="56" t="str">
        <f aca="false">IF(AND($D228&lt;&gt;"",$B228="결제완료"),N($N228),"")</f>
        <v/>
      </c>
      <c r="AB228" s="45" t="str">
        <f aca="false">IF($D228="","",IF($F228&lt;&gt;"",$F228,$D228)&amp;IF($B228="상담중"," (상담)",""))</f>
        <v/>
      </c>
      <c r="AC228" s="45" t="n">
        <f aca="false">IF(AND($D228&lt;&gt;"",OR($B228="결제완료",$B228="상담중")),1,0)</f>
        <v>0</v>
      </c>
      <c r="AD228" s="45" t="n">
        <f aca="false">IF(OR($Z228="",$U228=""),0,IFERROR(IF(COUNTIFS(INDEX(g_grid,0,2*MATCH($M228,강사DB!$A$4:$A$15,0)),"&lt;&gt;",g_s,"&lt;="&amp;$U228,g_e,"&gt;="&amp;$U228)&gt;0,1,0),0))</f>
        <v>0</v>
      </c>
      <c r="AE228" s="48"/>
      <c r="AF228" s="56" t="str">
        <f aca="false">IF(AND($D228&lt;&gt;"",$B228="결제완료",$T228="대여"),설정!$J$5,"")</f>
        <v/>
      </c>
      <c r="AG228" s="54" t="str">
        <f aca="false">IF($D228="","",IF(AND($E228="",$R228=""),$AB228,"☎ "&amp;IF($E228="","-",$E228)&amp;IF($R228&lt;&gt;"","  ※ "&amp;$R228,"")&amp;IF($B228="상담중"," (상담)","")))</f>
        <v/>
      </c>
      <c r="AH228" s="56" t="str">
        <f aca="false">IF(AND($D228&lt;&gt;"",$B228="결제완료",$O228="스마트스토어"),ROUND(N($N228)*설정!$J$6,0),"")</f>
        <v/>
      </c>
      <c r="AI228" s="54" t="str">
        <f aca="false">IF($D228="","",ROW())</f>
        <v/>
      </c>
      <c r="AJ228" s="54" t="n">
        <f aca="false">IF(OR($AC228&lt;&gt;1,$M228=""),0,IF(ISNUMBER(SEARCH("퇴사",IFERROR(INDEX(강사DB!$G$4:$G$53,MATCH($M228,강사DB!$A$4:$A$53,0)),""))),1,0))</f>
        <v>0</v>
      </c>
    </row>
    <row r="229" customFormat="false" ht="15" hidden="false" customHeight="false" outlineLevel="0" collapsed="false">
      <c r="A229" s="45" t="str">
        <f aca="false">IF($D229="","",COUNTA($D$5:$D229))</f>
        <v/>
      </c>
      <c r="B229" s="46"/>
      <c r="C229" s="47"/>
      <c r="D229" s="48"/>
      <c r="E229" s="48"/>
      <c r="F229" s="49"/>
      <c r="G229" s="47"/>
      <c r="H229" s="50"/>
      <c r="I229" s="50"/>
      <c r="J229" s="51" t="str">
        <f aca="false">IF(OR($V229="",$W229=""),"",ROUND(($W229-$V229)/60,2))</f>
        <v/>
      </c>
      <c r="K229" s="52" t="str">
        <f aca="false">IF($F229="","",LEN($F229)-LEN(SUBSTITUTE($F229,",",""))+1)</f>
        <v/>
      </c>
      <c r="L229" s="45" t="str">
        <f aca="false">IF($K229="","","1:"&amp;$K229)</f>
        <v/>
      </c>
      <c r="M229" s="46"/>
      <c r="N229" s="53"/>
      <c r="O229" s="46"/>
      <c r="P229" s="47"/>
      <c r="Q229" s="48"/>
      <c r="R229" s="49"/>
      <c r="S229" s="54" t="str">
        <f aca="false">IF(OR($AC229=0,$U229="",$M229="",$V229="",$W229=""),"",IF(COUNTIFS(m_teacher,$M229,m_date,$U229,m_active,1,m_start,"&lt;"&amp;$W229,m_end,"&gt;"&amp;$V229)&gt;1,"충돌",""))</f>
        <v/>
      </c>
      <c r="T229" s="48"/>
      <c r="U229" s="55" t="str">
        <f aca="false">IF($G229="","",IFERROR(IF(ISNUMBER($G229),IF($G229&gt;19000000,DATE(INT($G229/10000),MOD(INT($G229/100),100),MOD($G229,100)),INT($G229)),IF(LEN(SUBSTITUTE(SUBSTITUTE(SUBSTITUTE(TRIM($G229),"-",""),".",""),"/",""))=8,DATE(VALUE(LEFT(SUBSTITUTE(SUBSTITUTE(SUBSTITUTE(TRIM($G229),"-",""),".",""),"/",""),4)),VALUE(MID(SUBSTITUTE(SUBSTITUTE(SUBSTITUTE(TRIM($G229),"-",""),".",""),"/",""),5,2)),VALUE(RIGHT(SUBSTITUTE(SUBSTITUTE(SUBSTITUTE(TRIM($G229),"-",""),".",""),"/",""),2))),DATEVALUE($G229))),""))</f>
        <v/>
      </c>
      <c r="V229" s="52" t="str">
        <f aca="false">IF($H229="","",IFERROR(IF(IF(ISNUMBER($H229),$H229,IFERROR(TIMEVALUE($H229),VALUE($H229)))&gt;=100,INT(IF(ISNUMBER($H229),$H229,IFERROR(TIMEVALUE($H229),VALUE($H229)))/100)*60+MOD(IF(ISNUMBER($H229),$H229,IFERROR(TIMEVALUE($H229),VALUE($H229))),100),IF(IF(ISNUMBER($H229),$H229,IFERROR(TIMEVALUE($H229),VALUE($H229)))&gt;=1,ROUND(IF(ISNUMBER($H229),$H229,IFERROR(TIMEVALUE($H229),VALUE($H229)))*60,0),ROUND(MOD(IF(ISNUMBER($H229),$H229,IFERROR(TIMEVALUE($H229),VALUE($H229))),1)*1440,0))),""))</f>
        <v/>
      </c>
      <c r="W229" s="52" t="str">
        <f aca="false">IF($I229="","",IFERROR(IF(IF(ISNUMBER($I229),$I229,IFERROR(TIMEVALUE($I229),VALUE($I229)))&gt;=100,INT(IF(ISNUMBER($I229),$I229,IFERROR(TIMEVALUE($I229),VALUE($I229)))/100)*60+MOD(IF(ISNUMBER($I229),$I229,IFERROR(TIMEVALUE($I229),VALUE($I229))),100),IF(IF(ISNUMBER($I229),$I229,IFERROR(TIMEVALUE($I229),VALUE($I229)))&gt;=1,ROUND(IF(ISNUMBER($I229),$I229,IFERROR(TIMEVALUE($I229),VALUE($I229)))*60,0),ROUND(MOD(IF(ISNUMBER($I229),$I229,IFERROR(TIMEVALUE($I229),VALUE($I229))),1)*1440,0))),""))</f>
        <v/>
      </c>
      <c r="X229" s="55" t="str">
        <f aca="false">IF($P229="","",IFERROR(IF(ISNUMBER($P229),IF($P229&gt;19000000,DATE(INT($P229/10000),MOD(INT($P229/100),100),MOD($P229,100)),INT($P229)),IF(LEN(SUBSTITUTE(SUBSTITUTE(SUBSTITUTE(TRIM($P229),"-",""),".",""),"/",""))=8,DATE(VALUE(LEFT(SUBSTITUTE(SUBSTITUTE(SUBSTITUTE(TRIM($P229),"-",""),".",""),"/",""),4)),VALUE(MID(SUBSTITUTE(SUBSTITUTE(SUBSTITUTE(TRIM($P229),"-",""),".",""),"/",""),5,2)),VALUE(RIGHT(SUBSTITUTE(SUBSTITUTE(SUBSTITUTE(TRIM($P229),"-",""),".",""),"/",""),2))),DATEVALUE($P229))),""))</f>
        <v/>
      </c>
      <c r="Y229" s="56" t="str">
        <f aca="false">IF($M229="","",IFERROR(INDEX(강사DB!$D$4:$D$53,MATCH($M229,강사DB!$A$4:$A$53,0)),""))</f>
        <v/>
      </c>
      <c r="Z229" s="56" t="str">
        <f aca="false">IF($B229&lt;&gt;"결제완료","",IF(OR($Y229="",$J229=""),"",$Y229*$J229+MAX(0,N($K229)-1)*설정!$J$7))</f>
        <v/>
      </c>
      <c r="AA229" s="56" t="str">
        <f aca="false">IF(AND($D229&lt;&gt;"",$B229="결제완료"),N($N229),"")</f>
        <v/>
      </c>
      <c r="AB229" s="45" t="str">
        <f aca="false">IF($D229="","",IF($F229&lt;&gt;"",$F229,$D229)&amp;IF($B229="상담중"," (상담)",""))</f>
        <v/>
      </c>
      <c r="AC229" s="45" t="n">
        <f aca="false">IF(AND($D229&lt;&gt;"",OR($B229="결제완료",$B229="상담중")),1,0)</f>
        <v>0</v>
      </c>
      <c r="AD229" s="45" t="n">
        <f aca="false">IF(OR($Z229="",$U229=""),0,IFERROR(IF(COUNTIFS(INDEX(g_grid,0,2*MATCH($M229,강사DB!$A$4:$A$15,0)),"&lt;&gt;",g_s,"&lt;="&amp;$U229,g_e,"&gt;="&amp;$U229)&gt;0,1,0),0))</f>
        <v>0</v>
      </c>
      <c r="AE229" s="48"/>
      <c r="AF229" s="56" t="str">
        <f aca="false">IF(AND($D229&lt;&gt;"",$B229="결제완료",$T229="대여"),설정!$J$5,"")</f>
        <v/>
      </c>
      <c r="AG229" s="54" t="str">
        <f aca="false">IF($D229="","",IF(AND($E229="",$R229=""),$AB229,"☎ "&amp;IF($E229="","-",$E229)&amp;IF($R229&lt;&gt;"","  ※ "&amp;$R229,"")&amp;IF($B229="상담중"," (상담)","")))</f>
        <v/>
      </c>
      <c r="AH229" s="56" t="str">
        <f aca="false">IF(AND($D229&lt;&gt;"",$B229="결제완료",$O229="스마트스토어"),ROUND(N($N229)*설정!$J$6,0),"")</f>
        <v/>
      </c>
      <c r="AI229" s="54" t="str">
        <f aca="false">IF($D229="","",ROW())</f>
        <v/>
      </c>
      <c r="AJ229" s="54" t="n">
        <f aca="false">IF(OR($AC229&lt;&gt;1,$M229=""),0,IF(ISNUMBER(SEARCH("퇴사",IFERROR(INDEX(강사DB!$G$4:$G$53,MATCH($M229,강사DB!$A$4:$A$53,0)),""))),1,0))</f>
        <v>0</v>
      </c>
    </row>
    <row r="230" customFormat="false" ht="15" hidden="false" customHeight="false" outlineLevel="0" collapsed="false">
      <c r="A230" s="45" t="str">
        <f aca="false">IF($D230="","",COUNTA($D$5:$D230))</f>
        <v/>
      </c>
      <c r="B230" s="46"/>
      <c r="C230" s="47"/>
      <c r="D230" s="48"/>
      <c r="E230" s="48"/>
      <c r="F230" s="49"/>
      <c r="G230" s="47"/>
      <c r="H230" s="50"/>
      <c r="I230" s="50"/>
      <c r="J230" s="51" t="str">
        <f aca="false">IF(OR($V230="",$W230=""),"",ROUND(($W230-$V230)/60,2))</f>
        <v/>
      </c>
      <c r="K230" s="52" t="str">
        <f aca="false">IF($F230="","",LEN($F230)-LEN(SUBSTITUTE($F230,",",""))+1)</f>
        <v/>
      </c>
      <c r="L230" s="45" t="str">
        <f aca="false">IF($K230="","","1:"&amp;$K230)</f>
        <v/>
      </c>
      <c r="M230" s="46"/>
      <c r="N230" s="53"/>
      <c r="O230" s="46"/>
      <c r="P230" s="47"/>
      <c r="Q230" s="48"/>
      <c r="R230" s="49"/>
      <c r="S230" s="54" t="str">
        <f aca="false">IF(OR($AC230=0,$U230="",$M230="",$V230="",$W230=""),"",IF(COUNTIFS(m_teacher,$M230,m_date,$U230,m_active,1,m_start,"&lt;"&amp;$W230,m_end,"&gt;"&amp;$V230)&gt;1,"충돌",""))</f>
        <v/>
      </c>
      <c r="T230" s="48"/>
      <c r="U230" s="55" t="str">
        <f aca="false">IF($G230="","",IFERROR(IF(ISNUMBER($G230),IF($G230&gt;19000000,DATE(INT($G230/10000),MOD(INT($G230/100),100),MOD($G230,100)),INT($G230)),IF(LEN(SUBSTITUTE(SUBSTITUTE(SUBSTITUTE(TRIM($G230),"-",""),".",""),"/",""))=8,DATE(VALUE(LEFT(SUBSTITUTE(SUBSTITUTE(SUBSTITUTE(TRIM($G230),"-",""),".",""),"/",""),4)),VALUE(MID(SUBSTITUTE(SUBSTITUTE(SUBSTITUTE(TRIM($G230),"-",""),".",""),"/",""),5,2)),VALUE(RIGHT(SUBSTITUTE(SUBSTITUTE(SUBSTITUTE(TRIM($G230),"-",""),".",""),"/",""),2))),DATEVALUE($G230))),""))</f>
        <v/>
      </c>
      <c r="V230" s="52" t="str">
        <f aca="false">IF($H230="","",IFERROR(IF(IF(ISNUMBER($H230),$H230,IFERROR(TIMEVALUE($H230),VALUE($H230)))&gt;=100,INT(IF(ISNUMBER($H230),$H230,IFERROR(TIMEVALUE($H230),VALUE($H230)))/100)*60+MOD(IF(ISNUMBER($H230),$H230,IFERROR(TIMEVALUE($H230),VALUE($H230))),100),IF(IF(ISNUMBER($H230),$H230,IFERROR(TIMEVALUE($H230),VALUE($H230)))&gt;=1,ROUND(IF(ISNUMBER($H230),$H230,IFERROR(TIMEVALUE($H230),VALUE($H230)))*60,0),ROUND(MOD(IF(ISNUMBER($H230),$H230,IFERROR(TIMEVALUE($H230),VALUE($H230))),1)*1440,0))),""))</f>
        <v/>
      </c>
      <c r="W230" s="52" t="str">
        <f aca="false">IF($I230="","",IFERROR(IF(IF(ISNUMBER($I230),$I230,IFERROR(TIMEVALUE($I230),VALUE($I230)))&gt;=100,INT(IF(ISNUMBER($I230),$I230,IFERROR(TIMEVALUE($I230),VALUE($I230)))/100)*60+MOD(IF(ISNUMBER($I230),$I230,IFERROR(TIMEVALUE($I230),VALUE($I230))),100),IF(IF(ISNUMBER($I230),$I230,IFERROR(TIMEVALUE($I230),VALUE($I230)))&gt;=1,ROUND(IF(ISNUMBER($I230),$I230,IFERROR(TIMEVALUE($I230),VALUE($I230)))*60,0),ROUND(MOD(IF(ISNUMBER($I230),$I230,IFERROR(TIMEVALUE($I230),VALUE($I230))),1)*1440,0))),""))</f>
        <v/>
      </c>
      <c r="X230" s="55" t="str">
        <f aca="false">IF($P230="","",IFERROR(IF(ISNUMBER($P230),IF($P230&gt;19000000,DATE(INT($P230/10000),MOD(INT($P230/100),100),MOD($P230,100)),INT($P230)),IF(LEN(SUBSTITUTE(SUBSTITUTE(SUBSTITUTE(TRIM($P230),"-",""),".",""),"/",""))=8,DATE(VALUE(LEFT(SUBSTITUTE(SUBSTITUTE(SUBSTITUTE(TRIM($P230),"-",""),".",""),"/",""),4)),VALUE(MID(SUBSTITUTE(SUBSTITUTE(SUBSTITUTE(TRIM($P230),"-",""),".",""),"/",""),5,2)),VALUE(RIGHT(SUBSTITUTE(SUBSTITUTE(SUBSTITUTE(TRIM($P230),"-",""),".",""),"/",""),2))),DATEVALUE($P230))),""))</f>
        <v/>
      </c>
      <c r="Y230" s="56" t="str">
        <f aca="false">IF($M230="","",IFERROR(INDEX(강사DB!$D$4:$D$53,MATCH($M230,강사DB!$A$4:$A$53,0)),""))</f>
        <v/>
      </c>
      <c r="Z230" s="56" t="str">
        <f aca="false">IF($B230&lt;&gt;"결제완료","",IF(OR($Y230="",$J230=""),"",$Y230*$J230+MAX(0,N($K230)-1)*설정!$J$7))</f>
        <v/>
      </c>
      <c r="AA230" s="56" t="str">
        <f aca="false">IF(AND($D230&lt;&gt;"",$B230="결제완료"),N($N230),"")</f>
        <v/>
      </c>
      <c r="AB230" s="45" t="str">
        <f aca="false">IF($D230="","",IF($F230&lt;&gt;"",$F230,$D230)&amp;IF($B230="상담중"," (상담)",""))</f>
        <v/>
      </c>
      <c r="AC230" s="45" t="n">
        <f aca="false">IF(AND($D230&lt;&gt;"",OR($B230="결제완료",$B230="상담중")),1,0)</f>
        <v>0</v>
      </c>
      <c r="AD230" s="45" t="n">
        <f aca="false">IF(OR($Z230="",$U230=""),0,IFERROR(IF(COUNTIFS(INDEX(g_grid,0,2*MATCH($M230,강사DB!$A$4:$A$15,0)),"&lt;&gt;",g_s,"&lt;="&amp;$U230,g_e,"&gt;="&amp;$U230)&gt;0,1,0),0))</f>
        <v>0</v>
      </c>
      <c r="AE230" s="48"/>
      <c r="AF230" s="56" t="str">
        <f aca="false">IF(AND($D230&lt;&gt;"",$B230="결제완료",$T230="대여"),설정!$J$5,"")</f>
        <v/>
      </c>
      <c r="AG230" s="54" t="str">
        <f aca="false">IF($D230="","",IF(AND($E230="",$R230=""),$AB230,"☎ "&amp;IF($E230="","-",$E230)&amp;IF($R230&lt;&gt;"","  ※ "&amp;$R230,"")&amp;IF($B230="상담중"," (상담)","")))</f>
        <v/>
      </c>
      <c r="AH230" s="56" t="str">
        <f aca="false">IF(AND($D230&lt;&gt;"",$B230="결제완료",$O230="스마트스토어"),ROUND(N($N230)*설정!$J$6,0),"")</f>
        <v/>
      </c>
      <c r="AI230" s="54" t="str">
        <f aca="false">IF($D230="","",ROW())</f>
        <v/>
      </c>
      <c r="AJ230" s="54" t="n">
        <f aca="false">IF(OR($AC230&lt;&gt;1,$M230=""),0,IF(ISNUMBER(SEARCH("퇴사",IFERROR(INDEX(강사DB!$G$4:$G$53,MATCH($M230,강사DB!$A$4:$A$53,0)),""))),1,0))</f>
        <v>0</v>
      </c>
    </row>
    <row r="231" customFormat="false" ht="15" hidden="false" customHeight="false" outlineLevel="0" collapsed="false">
      <c r="A231" s="45" t="str">
        <f aca="false">IF($D231="","",COUNTA($D$5:$D231))</f>
        <v/>
      </c>
      <c r="B231" s="46"/>
      <c r="C231" s="47"/>
      <c r="D231" s="48"/>
      <c r="E231" s="48"/>
      <c r="F231" s="49"/>
      <c r="G231" s="47"/>
      <c r="H231" s="50"/>
      <c r="I231" s="50"/>
      <c r="J231" s="51" t="str">
        <f aca="false">IF(OR($V231="",$W231=""),"",ROUND(($W231-$V231)/60,2))</f>
        <v/>
      </c>
      <c r="K231" s="52" t="str">
        <f aca="false">IF($F231="","",LEN($F231)-LEN(SUBSTITUTE($F231,",",""))+1)</f>
        <v/>
      </c>
      <c r="L231" s="45" t="str">
        <f aca="false">IF($K231="","","1:"&amp;$K231)</f>
        <v/>
      </c>
      <c r="M231" s="46"/>
      <c r="N231" s="53"/>
      <c r="O231" s="46"/>
      <c r="P231" s="47"/>
      <c r="Q231" s="48"/>
      <c r="R231" s="49"/>
      <c r="S231" s="54" t="str">
        <f aca="false">IF(OR($AC231=0,$U231="",$M231="",$V231="",$W231=""),"",IF(COUNTIFS(m_teacher,$M231,m_date,$U231,m_active,1,m_start,"&lt;"&amp;$W231,m_end,"&gt;"&amp;$V231)&gt;1,"충돌",""))</f>
        <v/>
      </c>
      <c r="T231" s="48"/>
      <c r="U231" s="55" t="str">
        <f aca="false">IF($G231="","",IFERROR(IF(ISNUMBER($G231),IF($G231&gt;19000000,DATE(INT($G231/10000),MOD(INT($G231/100),100),MOD($G231,100)),INT($G231)),IF(LEN(SUBSTITUTE(SUBSTITUTE(SUBSTITUTE(TRIM($G231),"-",""),".",""),"/",""))=8,DATE(VALUE(LEFT(SUBSTITUTE(SUBSTITUTE(SUBSTITUTE(TRIM($G231),"-",""),".",""),"/",""),4)),VALUE(MID(SUBSTITUTE(SUBSTITUTE(SUBSTITUTE(TRIM($G231),"-",""),".",""),"/",""),5,2)),VALUE(RIGHT(SUBSTITUTE(SUBSTITUTE(SUBSTITUTE(TRIM($G231),"-",""),".",""),"/",""),2))),DATEVALUE($G231))),""))</f>
        <v/>
      </c>
      <c r="V231" s="52" t="str">
        <f aca="false">IF($H231="","",IFERROR(IF(IF(ISNUMBER($H231),$H231,IFERROR(TIMEVALUE($H231),VALUE($H231)))&gt;=100,INT(IF(ISNUMBER($H231),$H231,IFERROR(TIMEVALUE($H231),VALUE($H231)))/100)*60+MOD(IF(ISNUMBER($H231),$H231,IFERROR(TIMEVALUE($H231),VALUE($H231))),100),IF(IF(ISNUMBER($H231),$H231,IFERROR(TIMEVALUE($H231),VALUE($H231)))&gt;=1,ROUND(IF(ISNUMBER($H231),$H231,IFERROR(TIMEVALUE($H231),VALUE($H231)))*60,0),ROUND(MOD(IF(ISNUMBER($H231),$H231,IFERROR(TIMEVALUE($H231),VALUE($H231))),1)*1440,0))),""))</f>
        <v/>
      </c>
      <c r="W231" s="52" t="str">
        <f aca="false">IF($I231="","",IFERROR(IF(IF(ISNUMBER($I231),$I231,IFERROR(TIMEVALUE($I231),VALUE($I231)))&gt;=100,INT(IF(ISNUMBER($I231),$I231,IFERROR(TIMEVALUE($I231),VALUE($I231)))/100)*60+MOD(IF(ISNUMBER($I231),$I231,IFERROR(TIMEVALUE($I231),VALUE($I231))),100),IF(IF(ISNUMBER($I231),$I231,IFERROR(TIMEVALUE($I231),VALUE($I231)))&gt;=1,ROUND(IF(ISNUMBER($I231),$I231,IFERROR(TIMEVALUE($I231),VALUE($I231)))*60,0),ROUND(MOD(IF(ISNUMBER($I231),$I231,IFERROR(TIMEVALUE($I231),VALUE($I231))),1)*1440,0))),""))</f>
        <v/>
      </c>
      <c r="X231" s="55" t="str">
        <f aca="false">IF($P231="","",IFERROR(IF(ISNUMBER($P231),IF($P231&gt;19000000,DATE(INT($P231/10000),MOD(INT($P231/100),100),MOD($P231,100)),INT($P231)),IF(LEN(SUBSTITUTE(SUBSTITUTE(SUBSTITUTE(TRIM($P231),"-",""),".",""),"/",""))=8,DATE(VALUE(LEFT(SUBSTITUTE(SUBSTITUTE(SUBSTITUTE(TRIM($P231),"-",""),".",""),"/",""),4)),VALUE(MID(SUBSTITUTE(SUBSTITUTE(SUBSTITUTE(TRIM($P231),"-",""),".",""),"/",""),5,2)),VALUE(RIGHT(SUBSTITUTE(SUBSTITUTE(SUBSTITUTE(TRIM($P231),"-",""),".",""),"/",""),2))),DATEVALUE($P231))),""))</f>
        <v/>
      </c>
      <c r="Y231" s="56" t="str">
        <f aca="false">IF($M231="","",IFERROR(INDEX(강사DB!$D$4:$D$53,MATCH($M231,강사DB!$A$4:$A$53,0)),""))</f>
        <v/>
      </c>
      <c r="Z231" s="56" t="str">
        <f aca="false">IF($B231&lt;&gt;"결제완료","",IF(OR($Y231="",$J231=""),"",$Y231*$J231+MAX(0,N($K231)-1)*설정!$J$7))</f>
        <v/>
      </c>
      <c r="AA231" s="56" t="str">
        <f aca="false">IF(AND($D231&lt;&gt;"",$B231="결제완료"),N($N231),"")</f>
        <v/>
      </c>
      <c r="AB231" s="45" t="str">
        <f aca="false">IF($D231="","",IF($F231&lt;&gt;"",$F231,$D231)&amp;IF($B231="상담중"," (상담)",""))</f>
        <v/>
      </c>
      <c r="AC231" s="45" t="n">
        <f aca="false">IF(AND($D231&lt;&gt;"",OR($B231="결제완료",$B231="상담중")),1,0)</f>
        <v>0</v>
      </c>
      <c r="AD231" s="45" t="n">
        <f aca="false">IF(OR($Z231="",$U231=""),0,IFERROR(IF(COUNTIFS(INDEX(g_grid,0,2*MATCH($M231,강사DB!$A$4:$A$15,0)),"&lt;&gt;",g_s,"&lt;="&amp;$U231,g_e,"&gt;="&amp;$U231)&gt;0,1,0),0))</f>
        <v>0</v>
      </c>
      <c r="AE231" s="48"/>
      <c r="AF231" s="56" t="str">
        <f aca="false">IF(AND($D231&lt;&gt;"",$B231="결제완료",$T231="대여"),설정!$J$5,"")</f>
        <v/>
      </c>
      <c r="AG231" s="54" t="str">
        <f aca="false">IF($D231="","",IF(AND($E231="",$R231=""),$AB231,"☎ "&amp;IF($E231="","-",$E231)&amp;IF($R231&lt;&gt;"","  ※ "&amp;$R231,"")&amp;IF($B231="상담중"," (상담)","")))</f>
        <v/>
      </c>
      <c r="AH231" s="56" t="str">
        <f aca="false">IF(AND($D231&lt;&gt;"",$B231="결제완료",$O231="스마트스토어"),ROUND(N($N231)*설정!$J$6,0),"")</f>
        <v/>
      </c>
      <c r="AI231" s="54" t="str">
        <f aca="false">IF($D231="","",ROW())</f>
        <v/>
      </c>
      <c r="AJ231" s="54" t="n">
        <f aca="false">IF(OR($AC231&lt;&gt;1,$M231=""),0,IF(ISNUMBER(SEARCH("퇴사",IFERROR(INDEX(강사DB!$G$4:$G$53,MATCH($M231,강사DB!$A$4:$A$53,0)),""))),1,0))</f>
        <v>0</v>
      </c>
    </row>
    <row r="232" customFormat="false" ht="15" hidden="false" customHeight="false" outlineLevel="0" collapsed="false">
      <c r="A232" s="45" t="str">
        <f aca="false">IF($D232="","",COUNTA($D$5:$D232))</f>
        <v/>
      </c>
      <c r="B232" s="46"/>
      <c r="C232" s="47"/>
      <c r="D232" s="48"/>
      <c r="E232" s="48"/>
      <c r="F232" s="49"/>
      <c r="G232" s="47"/>
      <c r="H232" s="50"/>
      <c r="I232" s="50"/>
      <c r="J232" s="51" t="str">
        <f aca="false">IF(OR($V232="",$W232=""),"",ROUND(($W232-$V232)/60,2))</f>
        <v/>
      </c>
      <c r="K232" s="52" t="str">
        <f aca="false">IF($F232="","",LEN($F232)-LEN(SUBSTITUTE($F232,",",""))+1)</f>
        <v/>
      </c>
      <c r="L232" s="45" t="str">
        <f aca="false">IF($K232="","","1:"&amp;$K232)</f>
        <v/>
      </c>
      <c r="M232" s="46"/>
      <c r="N232" s="53"/>
      <c r="O232" s="46"/>
      <c r="P232" s="47"/>
      <c r="Q232" s="48"/>
      <c r="R232" s="49"/>
      <c r="S232" s="54" t="str">
        <f aca="false">IF(OR($AC232=0,$U232="",$M232="",$V232="",$W232=""),"",IF(COUNTIFS(m_teacher,$M232,m_date,$U232,m_active,1,m_start,"&lt;"&amp;$W232,m_end,"&gt;"&amp;$V232)&gt;1,"충돌",""))</f>
        <v/>
      </c>
      <c r="T232" s="48"/>
      <c r="U232" s="55" t="str">
        <f aca="false">IF($G232="","",IFERROR(IF(ISNUMBER($G232),IF($G232&gt;19000000,DATE(INT($G232/10000),MOD(INT($G232/100),100),MOD($G232,100)),INT($G232)),IF(LEN(SUBSTITUTE(SUBSTITUTE(SUBSTITUTE(TRIM($G232),"-",""),".",""),"/",""))=8,DATE(VALUE(LEFT(SUBSTITUTE(SUBSTITUTE(SUBSTITUTE(TRIM($G232),"-",""),".",""),"/",""),4)),VALUE(MID(SUBSTITUTE(SUBSTITUTE(SUBSTITUTE(TRIM($G232),"-",""),".",""),"/",""),5,2)),VALUE(RIGHT(SUBSTITUTE(SUBSTITUTE(SUBSTITUTE(TRIM($G232),"-",""),".",""),"/",""),2))),DATEVALUE($G232))),""))</f>
        <v/>
      </c>
      <c r="V232" s="52" t="str">
        <f aca="false">IF($H232="","",IFERROR(IF(IF(ISNUMBER($H232),$H232,IFERROR(TIMEVALUE($H232),VALUE($H232)))&gt;=100,INT(IF(ISNUMBER($H232),$H232,IFERROR(TIMEVALUE($H232),VALUE($H232)))/100)*60+MOD(IF(ISNUMBER($H232),$H232,IFERROR(TIMEVALUE($H232),VALUE($H232))),100),IF(IF(ISNUMBER($H232),$H232,IFERROR(TIMEVALUE($H232),VALUE($H232)))&gt;=1,ROUND(IF(ISNUMBER($H232),$H232,IFERROR(TIMEVALUE($H232),VALUE($H232)))*60,0),ROUND(MOD(IF(ISNUMBER($H232),$H232,IFERROR(TIMEVALUE($H232),VALUE($H232))),1)*1440,0))),""))</f>
        <v/>
      </c>
      <c r="W232" s="52" t="str">
        <f aca="false">IF($I232="","",IFERROR(IF(IF(ISNUMBER($I232),$I232,IFERROR(TIMEVALUE($I232),VALUE($I232)))&gt;=100,INT(IF(ISNUMBER($I232),$I232,IFERROR(TIMEVALUE($I232),VALUE($I232)))/100)*60+MOD(IF(ISNUMBER($I232),$I232,IFERROR(TIMEVALUE($I232),VALUE($I232))),100),IF(IF(ISNUMBER($I232),$I232,IFERROR(TIMEVALUE($I232),VALUE($I232)))&gt;=1,ROUND(IF(ISNUMBER($I232),$I232,IFERROR(TIMEVALUE($I232),VALUE($I232)))*60,0),ROUND(MOD(IF(ISNUMBER($I232),$I232,IFERROR(TIMEVALUE($I232),VALUE($I232))),1)*1440,0))),""))</f>
        <v/>
      </c>
      <c r="X232" s="55" t="str">
        <f aca="false">IF($P232="","",IFERROR(IF(ISNUMBER($P232),IF($P232&gt;19000000,DATE(INT($P232/10000),MOD(INT($P232/100),100),MOD($P232,100)),INT($P232)),IF(LEN(SUBSTITUTE(SUBSTITUTE(SUBSTITUTE(TRIM($P232),"-",""),".",""),"/",""))=8,DATE(VALUE(LEFT(SUBSTITUTE(SUBSTITUTE(SUBSTITUTE(TRIM($P232),"-",""),".",""),"/",""),4)),VALUE(MID(SUBSTITUTE(SUBSTITUTE(SUBSTITUTE(TRIM($P232),"-",""),".",""),"/",""),5,2)),VALUE(RIGHT(SUBSTITUTE(SUBSTITUTE(SUBSTITUTE(TRIM($P232),"-",""),".",""),"/",""),2))),DATEVALUE($P232))),""))</f>
        <v/>
      </c>
      <c r="Y232" s="56" t="str">
        <f aca="false">IF($M232="","",IFERROR(INDEX(강사DB!$D$4:$D$53,MATCH($M232,강사DB!$A$4:$A$53,0)),""))</f>
        <v/>
      </c>
      <c r="Z232" s="56" t="str">
        <f aca="false">IF($B232&lt;&gt;"결제완료","",IF(OR($Y232="",$J232=""),"",$Y232*$J232+MAX(0,N($K232)-1)*설정!$J$7))</f>
        <v/>
      </c>
      <c r="AA232" s="56" t="str">
        <f aca="false">IF(AND($D232&lt;&gt;"",$B232="결제완료"),N($N232),"")</f>
        <v/>
      </c>
      <c r="AB232" s="45" t="str">
        <f aca="false">IF($D232="","",IF($F232&lt;&gt;"",$F232,$D232)&amp;IF($B232="상담중"," (상담)",""))</f>
        <v/>
      </c>
      <c r="AC232" s="45" t="n">
        <f aca="false">IF(AND($D232&lt;&gt;"",OR($B232="결제완료",$B232="상담중")),1,0)</f>
        <v>0</v>
      </c>
      <c r="AD232" s="45" t="n">
        <f aca="false">IF(OR($Z232="",$U232=""),0,IFERROR(IF(COUNTIFS(INDEX(g_grid,0,2*MATCH($M232,강사DB!$A$4:$A$15,0)),"&lt;&gt;",g_s,"&lt;="&amp;$U232,g_e,"&gt;="&amp;$U232)&gt;0,1,0),0))</f>
        <v>0</v>
      </c>
      <c r="AE232" s="48"/>
      <c r="AF232" s="56" t="str">
        <f aca="false">IF(AND($D232&lt;&gt;"",$B232="결제완료",$T232="대여"),설정!$J$5,"")</f>
        <v/>
      </c>
      <c r="AG232" s="54" t="str">
        <f aca="false">IF($D232="","",IF(AND($E232="",$R232=""),$AB232,"☎ "&amp;IF($E232="","-",$E232)&amp;IF($R232&lt;&gt;"","  ※ "&amp;$R232,"")&amp;IF($B232="상담중"," (상담)","")))</f>
        <v/>
      </c>
      <c r="AH232" s="56" t="str">
        <f aca="false">IF(AND($D232&lt;&gt;"",$B232="결제완료",$O232="스마트스토어"),ROUND(N($N232)*설정!$J$6,0),"")</f>
        <v/>
      </c>
      <c r="AI232" s="54" t="str">
        <f aca="false">IF($D232="","",ROW())</f>
        <v/>
      </c>
      <c r="AJ232" s="54" t="n">
        <f aca="false">IF(OR($AC232&lt;&gt;1,$M232=""),0,IF(ISNUMBER(SEARCH("퇴사",IFERROR(INDEX(강사DB!$G$4:$G$53,MATCH($M232,강사DB!$A$4:$A$53,0)),""))),1,0))</f>
        <v>0</v>
      </c>
    </row>
    <row r="233" customFormat="false" ht="15" hidden="false" customHeight="false" outlineLevel="0" collapsed="false">
      <c r="A233" s="45" t="str">
        <f aca="false">IF($D233="","",COUNTA($D$5:$D233))</f>
        <v/>
      </c>
      <c r="B233" s="46"/>
      <c r="C233" s="47"/>
      <c r="D233" s="48"/>
      <c r="E233" s="48"/>
      <c r="F233" s="49"/>
      <c r="G233" s="47"/>
      <c r="H233" s="50"/>
      <c r="I233" s="50"/>
      <c r="J233" s="51" t="str">
        <f aca="false">IF(OR($V233="",$W233=""),"",ROUND(($W233-$V233)/60,2))</f>
        <v/>
      </c>
      <c r="K233" s="52" t="str">
        <f aca="false">IF($F233="","",LEN($F233)-LEN(SUBSTITUTE($F233,",",""))+1)</f>
        <v/>
      </c>
      <c r="L233" s="45" t="str">
        <f aca="false">IF($K233="","","1:"&amp;$K233)</f>
        <v/>
      </c>
      <c r="M233" s="46"/>
      <c r="N233" s="53"/>
      <c r="O233" s="46"/>
      <c r="P233" s="47"/>
      <c r="Q233" s="48"/>
      <c r="R233" s="49"/>
      <c r="S233" s="54" t="str">
        <f aca="false">IF(OR($AC233=0,$U233="",$M233="",$V233="",$W233=""),"",IF(COUNTIFS(m_teacher,$M233,m_date,$U233,m_active,1,m_start,"&lt;"&amp;$W233,m_end,"&gt;"&amp;$V233)&gt;1,"충돌",""))</f>
        <v/>
      </c>
      <c r="T233" s="48"/>
      <c r="U233" s="55" t="str">
        <f aca="false">IF($G233="","",IFERROR(IF(ISNUMBER($G233),IF($G233&gt;19000000,DATE(INT($G233/10000),MOD(INT($G233/100),100),MOD($G233,100)),INT($G233)),IF(LEN(SUBSTITUTE(SUBSTITUTE(SUBSTITUTE(TRIM($G233),"-",""),".",""),"/",""))=8,DATE(VALUE(LEFT(SUBSTITUTE(SUBSTITUTE(SUBSTITUTE(TRIM($G233),"-",""),".",""),"/",""),4)),VALUE(MID(SUBSTITUTE(SUBSTITUTE(SUBSTITUTE(TRIM($G233),"-",""),".",""),"/",""),5,2)),VALUE(RIGHT(SUBSTITUTE(SUBSTITUTE(SUBSTITUTE(TRIM($G233),"-",""),".",""),"/",""),2))),DATEVALUE($G233))),""))</f>
        <v/>
      </c>
      <c r="V233" s="52" t="str">
        <f aca="false">IF($H233="","",IFERROR(IF(IF(ISNUMBER($H233),$H233,IFERROR(TIMEVALUE($H233),VALUE($H233)))&gt;=100,INT(IF(ISNUMBER($H233),$H233,IFERROR(TIMEVALUE($H233),VALUE($H233)))/100)*60+MOD(IF(ISNUMBER($H233),$H233,IFERROR(TIMEVALUE($H233),VALUE($H233))),100),IF(IF(ISNUMBER($H233),$H233,IFERROR(TIMEVALUE($H233),VALUE($H233)))&gt;=1,ROUND(IF(ISNUMBER($H233),$H233,IFERROR(TIMEVALUE($H233),VALUE($H233)))*60,0),ROUND(MOD(IF(ISNUMBER($H233),$H233,IFERROR(TIMEVALUE($H233),VALUE($H233))),1)*1440,0))),""))</f>
        <v/>
      </c>
      <c r="W233" s="52" t="str">
        <f aca="false">IF($I233="","",IFERROR(IF(IF(ISNUMBER($I233),$I233,IFERROR(TIMEVALUE($I233),VALUE($I233)))&gt;=100,INT(IF(ISNUMBER($I233),$I233,IFERROR(TIMEVALUE($I233),VALUE($I233)))/100)*60+MOD(IF(ISNUMBER($I233),$I233,IFERROR(TIMEVALUE($I233),VALUE($I233))),100),IF(IF(ISNUMBER($I233),$I233,IFERROR(TIMEVALUE($I233),VALUE($I233)))&gt;=1,ROUND(IF(ISNUMBER($I233),$I233,IFERROR(TIMEVALUE($I233),VALUE($I233)))*60,0),ROUND(MOD(IF(ISNUMBER($I233),$I233,IFERROR(TIMEVALUE($I233),VALUE($I233))),1)*1440,0))),""))</f>
        <v/>
      </c>
      <c r="X233" s="55" t="str">
        <f aca="false">IF($P233="","",IFERROR(IF(ISNUMBER($P233),IF($P233&gt;19000000,DATE(INT($P233/10000),MOD(INT($P233/100),100),MOD($P233,100)),INT($P233)),IF(LEN(SUBSTITUTE(SUBSTITUTE(SUBSTITUTE(TRIM($P233),"-",""),".",""),"/",""))=8,DATE(VALUE(LEFT(SUBSTITUTE(SUBSTITUTE(SUBSTITUTE(TRIM($P233),"-",""),".",""),"/",""),4)),VALUE(MID(SUBSTITUTE(SUBSTITUTE(SUBSTITUTE(TRIM($P233),"-",""),".",""),"/",""),5,2)),VALUE(RIGHT(SUBSTITUTE(SUBSTITUTE(SUBSTITUTE(TRIM($P233),"-",""),".",""),"/",""),2))),DATEVALUE($P233))),""))</f>
        <v/>
      </c>
      <c r="Y233" s="56" t="str">
        <f aca="false">IF($M233="","",IFERROR(INDEX(강사DB!$D$4:$D$53,MATCH($M233,강사DB!$A$4:$A$53,0)),""))</f>
        <v/>
      </c>
      <c r="Z233" s="56" t="str">
        <f aca="false">IF($B233&lt;&gt;"결제완료","",IF(OR($Y233="",$J233=""),"",$Y233*$J233+MAX(0,N($K233)-1)*설정!$J$7))</f>
        <v/>
      </c>
      <c r="AA233" s="56" t="str">
        <f aca="false">IF(AND($D233&lt;&gt;"",$B233="결제완료"),N($N233),"")</f>
        <v/>
      </c>
      <c r="AB233" s="45" t="str">
        <f aca="false">IF($D233="","",IF($F233&lt;&gt;"",$F233,$D233)&amp;IF($B233="상담중"," (상담)",""))</f>
        <v/>
      </c>
      <c r="AC233" s="45" t="n">
        <f aca="false">IF(AND($D233&lt;&gt;"",OR($B233="결제완료",$B233="상담중")),1,0)</f>
        <v>0</v>
      </c>
      <c r="AD233" s="45" t="n">
        <f aca="false">IF(OR($Z233="",$U233=""),0,IFERROR(IF(COUNTIFS(INDEX(g_grid,0,2*MATCH($M233,강사DB!$A$4:$A$15,0)),"&lt;&gt;",g_s,"&lt;="&amp;$U233,g_e,"&gt;="&amp;$U233)&gt;0,1,0),0))</f>
        <v>0</v>
      </c>
      <c r="AE233" s="48"/>
      <c r="AF233" s="56" t="str">
        <f aca="false">IF(AND($D233&lt;&gt;"",$B233="결제완료",$T233="대여"),설정!$J$5,"")</f>
        <v/>
      </c>
      <c r="AG233" s="54" t="str">
        <f aca="false">IF($D233="","",IF(AND($E233="",$R233=""),$AB233,"☎ "&amp;IF($E233="","-",$E233)&amp;IF($R233&lt;&gt;"","  ※ "&amp;$R233,"")&amp;IF($B233="상담중"," (상담)","")))</f>
        <v/>
      </c>
      <c r="AH233" s="56" t="str">
        <f aca="false">IF(AND($D233&lt;&gt;"",$B233="결제완료",$O233="스마트스토어"),ROUND(N($N233)*설정!$J$6,0),"")</f>
        <v/>
      </c>
      <c r="AI233" s="54" t="str">
        <f aca="false">IF($D233="","",ROW())</f>
        <v/>
      </c>
      <c r="AJ233" s="54" t="n">
        <f aca="false">IF(OR($AC233&lt;&gt;1,$M233=""),0,IF(ISNUMBER(SEARCH("퇴사",IFERROR(INDEX(강사DB!$G$4:$G$53,MATCH($M233,강사DB!$A$4:$A$53,0)),""))),1,0))</f>
        <v>0</v>
      </c>
    </row>
    <row r="234" customFormat="false" ht="15" hidden="false" customHeight="false" outlineLevel="0" collapsed="false">
      <c r="A234" s="45" t="str">
        <f aca="false">IF($D234="","",COUNTA($D$5:$D234))</f>
        <v/>
      </c>
      <c r="B234" s="46"/>
      <c r="C234" s="47"/>
      <c r="D234" s="48"/>
      <c r="E234" s="48"/>
      <c r="F234" s="49"/>
      <c r="G234" s="47"/>
      <c r="H234" s="50"/>
      <c r="I234" s="50"/>
      <c r="J234" s="51" t="str">
        <f aca="false">IF(OR($V234="",$W234=""),"",ROUND(($W234-$V234)/60,2))</f>
        <v/>
      </c>
      <c r="K234" s="52" t="str">
        <f aca="false">IF($F234="","",LEN($F234)-LEN(SUBSTITUTE($F234,",",""))+1)</f>
        <v/>
      </c>
      <c r="L234" s="45" t="str">
        <f aca="false">IF($K234="","","1:"&amp;$K234)</f>
        <v/>
      </c>
      <c r="M234" s="46"/>
      <c r="N234" s="53"/>
      <c r="O234" s="46"/>
      <c r="P234" s="47"/>
      <c r="Q234" s="48"/>
      <c r="R234" s="49"/>
      <c r="S234" s="54" t="str">
        <f aca="false">IF(OR($AC234=0,$U234="",$M234="",$V234="",$W234=""),"",IF(COUNTIFS(m_teacher,$M234,m_date,$U234,m_active,1,m_start,"&lt;"&amp;$W234,m_end,"&gt;"&amp;$V234)&gt;1,"충돌",""))</f>
        <v/>
      </c>
      <c r="T234" s="48"/>
      <c r="U234" s="55" t="str">
        <f aca="false">IF($G234="","",IFERROR(IF(ISNUMBER($G234),IF($G234&gt;19000000,DATE(INT($G234/10000),MOD(INT($G234/100),100),MOD($G234,100)),INT($G234)),IF(LEN(SUBSTITUTE(SUBSTITUTE(SUBSTITUTE(TRIM($G234),"-",""),".",""),"/",""))=8,DATE(VALUE(LEFT(SUBSTITUTE(SUBSTITUTE(SUBSTITUTE(TRIM($G234),"-",""),".",""),"/",""),4)),VALUE(MID(SUBSTITUTE(SUBSTITUTE(SUBSTITUTE(TRIM($G234),"-",""),".",""),"/",""),5,2)),VALUE(RIGHT(SUBSTITUTE(SUBSTITUTE(SUBSTITUTE(TRIM($G234),"-",""),".",""),"/",""),2))),DATEVALUE($G234))),""))</f>
        <v/>
      </c>
      <c r="V234" s="52" t="str">
        <f aca="false">IF($H234="","",IFERROR(IF(IF(ISNUMBER($H234),$H234,IFERROR(TIMEVALUE($H234),VALUE($H234)))&gt;=100,INT(IF(ISNUMBER($H234),$H234,IFERROR(TIMEVALUE($H234),VALUE($H234)))/100)*60+MOD(IF(ISNUMBER($H234),$H234,IFERROR(TIMEVALUE($H234),VALUE($H234))),100),IF(IF(ISNUMBER($H234),$H234,IFERROR(TIMEVALUE($H234),VALUE($H234)))&gt;=1,ROUND(IF(ISNUMBER($H234),$H234,IFERROR(TIMEVALUE($H234),VALUE($H234)))*60,0),ROUND(MOD(IF(ISNUMBER($H234),$H234,IFERROR(TIMEVALUE($H234),VALUE($H234))),1)*1440,0))),""))</f>
        <v/>
      </c>
      <c r="W234" s="52" t="str">
        <f aca="false">IF($I234="","",IFERROR(IF(IF(ISNUMBER($I234),$I234,IFERROR(TIMEVALUE($I234),VALUE($I234)))&gt;=100,INT(IF(ISNUMBER($I234),$I234,IFERROR(TIMEVALUE($I234),VALUE($I234)))/100)*60+MOD(IF(ISNUMBER($I234),$I234,IFERROR(TIMEVALUE($I234),VALUE($I234))),100),IF(IF(ISNUMBER($I234),$I234,IFERROR(TIMEVALUE($I234),VALUE($I234)))&gt;=1,ROUND(IF(ISNUMBER($I234),$I234,IFERROR(TIMEVALUE($I234),VALUE($I234)))*60,0),ROUND(MOD(IF(ISNUMBER($I234),$I234,IFERROR(TIMEVALUE($I234),VALUE($I234))),1)*1440,0))),""))</f>
        <v/>
      </c>
      <c r="X234" s="55" t="str">
        <f aca="false">IF($P234="","",IFERROR(IF(ISNUMBER($P234),IF($P234&gt;19000000,DATE(INT($P234/10000),MOD(INT($P234/100),100),MOD($P234,100)),INT($P234)),IF(LEN(SUBSTITUTE(SUBSTITUTE(SUBSTITUTE(TRIM($P234),"-",""),".",""),"/",""))=8,DATE(VALUE(LEFT(SUBSTITUTE(SUBSTITUTE(SUBSTITUTE(TRIM($P234),"-",""),".",""),"/",""),4)),VALUE(MID(SUBSTITUTE(SUBSTITUTE(SUBSTITUTE(TRIM($P234),"-",""),".",""),"/",""),5,2)),VALUE(RIGHT(SUBSTITUTE(SUBSTITUTE(SUBSTITUTE(TRIM($P234),"-",""),".",""),"/",""),2))),DATEVALUE($P234))),""))</f>
        <v/>
      </c>
      <c r="Y234" s="56" t="str">
        <f aca="false">IF($M234="","",IFERROR(INDEX(강사DB!$D$4:$D$53,MATCH($M234,강사DB!$A$4:$A$53,0)),""))</f>
        <v/>
      </c>
      <c r="Z234" s="56" t="str">
        <f aca="false">IF($B234&lt;&gt;"결제완료","",IF(OR($Y234="",$J234=""),"",$Y234*$J234+MAX(0,N($K234)-1)*설정!$J$7))</f>
        <v/>
      </c>
      <c r="AA234" s="56" t="str">
        <f aca="false">IF(AND($D234&lt;&gt;"",$B234="결제완료"),N($N234),"")</f>
        <v/>
      </c>
      <c r="AB234" s="45" t="str">
        <f aca="false">IF($D234="","",IF($F234&lt;&gt;"",$F234,$D234)&amp;IF($B234="상담중"," (상담)",""))</f>
        <v/>
      </c>
      <c r="AC234" s="45" t="n">
        <f aca="false">IF(AND($D234&lt;&gt;"",OR($B234="결제완료",$B234="상담중")),1,0)</f>
        <v>0</v>
      </c>
      <c r="AD234" s="45" t="n">
        <f aca="false">IF(OR($Z234="",$U234=""),0,IFERROR(IF(COUNTIFS(INDEX(g_grid,0,2*MATCH($M234,강사DB!$A$4:$A$15,0)),"&lt;&gt;",g_s,"&lt;="&amp;$U234,g_e,"&gt;="&amp;$U234)&gt;0,1,0),0))</f>
        <v>0</v>
      </c>
      <c r="AE234" s="48"/>
      <c r="AF234" s="56" t="str">
        <f aca="false">IF(AND($D234&lt;&gt;"",$B234="결제완료",$T234="대여"),설정!$J$5,"")</f>
        <v/>
      </c>
      <c r="AG234" s="54" t="str">
        <f aca="false">IF($D234="","",IF(AND($E234="",$R234=""),$AB234,"☎ "&amp;IF($E234="","-",$E234)&amp;IF($R234&lt;&gt;"","  ※ "&amp;$R234,"")&amp;IF($B234="상담중"," (상담)","")))</f>
        <v/>
      </c>
      <c r="AH234" s="56" t="str">
        <f aca="false">IF(AND($D234&lt;&gt;"",$B234="결제완료",$O234="스마트스토어"),ROUND(N($N234)*설정!$J$6,0),"")</f>
        <v/>
      </c>
      <c r="AI234" s="54" t="str">
        <f aca="false">IF($D234="","",ROW())</f>
        <v/>
      </c>
      <c r="AJ234" s="54" t="n">
        <f aca="false">IF(OR($AC234&lt;&gt;1,$M234=""),0,IF(ISNUMBER(SEARCH("퇴사",IFERROR(INDEX(강사DB!$G$4:$G$53,MATCH($M234,강사DB!$A$4:$A$53,0)),""))),1,0))</f>
        <v>0</v>
      </c>
    </row>
    <row r="235" customFormat="false" ht="15" hidden="false" customHeight="false" outlineLevel="0" collapsed="false">
      <c r="A235" s="45" t="str">
        <f aca="false">IF($D235="","",COUNTA($D$5:$D235))</f>
        <v/>
      </c>
      <c r="B235" s="46"/>
      <c r="C235" s="47"/>
      <c r="D235" s="48"/>
      <c r="E235" s="48"/>
      <c r="F235" s="49"/>
      <c r="G235" s="47"/>
      <c r="H235" s="50"/>
      <c r="I235" s="50"/>
      <c r="J235" s="51" t="str">
        <f aca="false">IF(OR($V235="",$W235=""),"",ROUND(($W235-$V235)/60,2))</f>
        <v/>
      </c>
      <c r="K235" s="52" t="str">
        <f aca="false">IF($F235="","",LEN($F235)-LEN(SUBSTITUTE($F235,",",""))+1)</f>
        <v/>
      </c>
      <c r="L235" s="45" t="str">
        <f aca="false">IF($K235="","","1:"&amp;$K235)</f>
        <v/>
      </c>
      <c r="M235" s="46"/>
      <c r="N235" s="53"/>
      <c r="O235" s="46"/>
      <c r="P235" s="47"/>
      <c r="Q235" s="48"/>
      <c r="R235" s="49"/>
      <c r="S235" s="54" t="str">
        <f aca="false">IF(OR($AC235=0,$U235="",$M235="",$V235="",$W235=""),"",IF(COUNTIFS(m_teacher,$M235,m_date,$U235,m_active,1,m_start,"&lt;"&amp;$W235,m_end,"&gt;"&amp;$V235)&gt;1,"충돌",""))</f>
        <v/>
      </c>
      <c r="T235" s="48"/>
      <c r="U235" s="55" t="str">
        <f aca="false">IF($G235="","",IFERROR(IF(ISNUMBER($G235),IF($G235&gt;19000000,DATE(INT($G235/10000),MOD(INT($G235/100),100),MOD($G235,100)),INT($G235)),IF(LEN(SUBSTITUTE(SUBSTITUTE(SUBSTITUTE(TRIM($G235),"-",""),".",""),"/",""))=8,DATE(VALUE(LEFT(SUBSTITUTE(SUBSTITUTE(SUBSTITUTE(TRIM($G235),"-",""),".",""),"/",""),4)),VALUE(MID(SUBSTITUTE(SUBSTITUTE(SUBSTITUTE(TRIM($G235),"-",""),".",""),"/",""),5,2)),VALUE(RIGHT(SUBSTITUTE(SUBSTITUTE(SUBSTITUTE(TRIM($G235),"-",""),".",""),"/",""),2))),DATEVALUE($G235))),""))</f>
        <v/>
      </c>
      <c r="V235" s="52" t="str">
        <f aca="false">IF($H235="","",IFERROR(IF(IF(ISNUMBER($H235),$H235,IFERROR(TIMEVALUE($H235),VALUE($H235)))&gt;=100,INT(IF(ISNUMBER($H235),$H235,IFERROR(TIMEVALUE($H235),VALUE($H235)))/100)*60+MOD(IF(ISNUMBER($H235),$H235,IFERROR(TIMEVALUE($H235),VALUE($H235))),100),IF(IF(ISNUMBER($H235),$H235,IFERROR(TIMEVALUE($H235),VALUE($H235)))&gt;=1,ROUND(IF(ISNUMBER($H235),$H235,IFERROR(TIMEVALUE($H235),VALUE($H235)))*60,0),ROUND(MOD(IF(ISNUMBER($H235),$H235,IFERROR(TIMEVALUE($H235),VALUE($H235))),1)*1440,0))),""))</f>
        <v/>
      </c>
      <c r="W235" s="52" t="str">
        <f aca="false">IF($I235="","",IFERROR(IF(IF(ISNUMBER($I235),$I235,IFERROR(TIMEVALUE($I235),VALUE($I235)))&gt;=100,INT(IF(ISNUMBER($I235),$I235,IFERROR(TIMEVALUE($I235),VALUE($I235)))/100)*60+MOD(IF(ISNUMBER($I235),$I235,IFERROR(TIMEVALUE($I235),VALUE($I235))),100),IF(IF(ISNUMBER($I235),$I235,IFERROR(TIMEVALUE($I235),VALUE($I235)))&gt;=1,ROUND(IF(ISNUMBER($I235),$I235,IFERROR(TIMEVALUE($I235),VALUE($I235)))*60,0),ROUND(MOD(IF(ISNUMBER($I235),$I235,IFERROR(TIMEVALUE($I235),VALUE($I235))),1)*1440,0))),""))</f>
        <v/>
      </c>
      <c r="X235" s="55" t="str">
        <f aca="false">IF($P235="","",IFERROR(IF(ISNUMBER($P235),IF($P235&gt;19000000,DATE(INT($P235/10000),MOD(INT($P235/100),100),MOD($P235,100)),INT($P235)),IF(LEN(SUBSTITUTE(SUBSTITUTE(SUBSTITUTE(TRIM($P235),"-",""),".",""),"/",""))=8,DATE(VALUE(LEFT(SUBSTITUTE(SUBSTITUTE(SUBSTITUTE(TRIM($P235),"-",""),".",""),"/",""),4)),VALUE(MID(SUBSTITUTE(SUBSTITUTE(SUBSTITUTE(TRIM($P235),"-",""),".",""),"/",""),5,2)),VALUE(RIGHT(SUBSTITUTE(SUBSTITUTE(SUBSTITUTE(TRIM($P235),"-",""),".",""),"/",""),2))),DATEVALUE($P235))),""))</f>
        <v/>
      </c>
      <c r="Y235" s="56" t="str">
        <f aca="false">IF($M235="","",IFERROR(INDEX(강사DB!$D$4:$D$53,MATCH($M235,강사DB!$A$4:$A$53,0)),""))</f>
        <v/>
      </c>
      <c r="Z235" s="56" t="str">
        <f aca="false">IF($B235&lt;&gt;"결제완료","",IF(OR($Y235="",$J235=""),"",$Y235*$J235+MAX(0,N($K235)-1)*설정!$J$7))</f>
        <v/>
      </c>
      <c r="AA235" s="56" t="str">
        <f aca="false">IF(AND($D235&lt;&gt;"",$B235="결제완료"),N($N235),"")</f>
        <v/>
      </c>
      <c r="AB235" s="45" t="str">
        <f aca="false">IF($D235="","",IF($F235&lt;&gt;"",$F235,$D235)&amp;IF($B235="상담중"," (상담)",""))</f>
        <v/>
      </c>
      <c r="AC235" s="45" t="n">
        <f aca="false">IF(AND($D235&lt;&gt;"",OR($B235="결제완료",$B235="상담중")),1,0)</f>
        <v>0</v>
      </c>
      <c r="AD235" s="45" t="n">
        <f aca="false">IF(OR($Z235="",$U235=""),0,IFERROR(IF(COUNTIFS(INDEX(g_grid,0,2*MATCH($M235,강사DB!$A$4:$A$15,0)),"&lt;&gt;",g_s,"&lt;="&amp;$U235,g_e,"&gt;="&amp;$U235)&gt;0,1,0),0))</f>
        <v>0</v>
      </c>
      <c r="AE235" s="48"/>
      <c r="AF235" s="56" t="str">
        <f aca="false">IF(AND($D235&lt;&gt;"",$B235="결제완료",$T235="대여"),설정!$J$5,"")</f>
        <v/>
      </c>
      <c r="AG235" s="54" t="str">
        <f aca="false">IF($D235="","",IF(AND($E235="",$R235=""),$AB235,"☎ "&amp;IF($E235="","-",$E235)&amp;IF($R235&lt;&gt;"","  ※ "&amp;$R235,"")&amp;IF($B235="상담중"," (상담)","")))</f>
        <v/>
      </c>
      <c r="AH235" s="56" t="str">
        <f aca="false">IF(AND($D235&lt;&gt;"",$B235="결제완료",$O235="스마트스토어"),ROUND(N($N235)*설정!$J$6,0),"")</f>
        <v/>
      </c>
      <c r="AI235" s="54" t="str">
        <f aca="false">IF($D235="","",ROW())</f>
        <v/>
      </c>
      <c r="AJ235" s="54" t="n">
        <f aca="false">IF(OR($AC235&lt;&gt;1,$M235=""),0,IF(ISNUMBER(SEARCH("퇴사",IFERROR(INDEX(강사DB!$G$4:$G$53,MATCH($M235,강사DB!$A$4:$A$53,0)),""))),1,0))</f>
        <v>0</v>
      </c>
    </row>
    <row r="236" customFormat="false" ht="15" hidden="false" customHeight="false" outlineLevel="0" collapsed="false">
      <c r="A236" s="45" t="str">
        <f aca="false">IF($D236="","",COUNTA($D$5:$D236))</f>
        <v/>
      </c>
      <c r="B236" s="46"/>
      <c r="C236" s="47"/>
      <c r="D236" s="48"/>
      <c r="E236" s="48"/>
      <c r="F236" s="49"/>
      <c r="G236" s="47"/>
      <c r="H236" s="50"/>
      <c r="I236" s="50"/>
      <c r="J236" s="51" t="str">
        <f aca="false">IF(OR($V236="",$W236=""),"",ROUND(($W236-$V236)/60,2))</f>
        <v/>
      </c>
      <c r="K236" s="52" t="str">
        <f aca="false">IF($F236="","",LEN($F236)-LEN(SUBSTITUTE($F236,",",""))+1)</f>
        <v/>
      </c>
      <c r="L236" s="45" t="str">
        <f aca="false">IF($K236="","","1:"&amp;$K236)</f>
        <v/>
      </c>
      <c r="M236" s="46"/>
      <c r="N236" s="53"/>
      <c r="O236" s="46"/>
      <c r="P236" s="47"/>
      <c r="Q236" s="48"/>
      <c r="R236" s="49"/>
      <c r="S236" s="54" t="str">
        <f aca="false">IF(OR($AC236=0,$U236="",$M236="",$V236="",$W236=""),"",IF(COUNTIFS(m_teacher,$M236,m_date,$U236,m_active,1,m_start,"&lt;"&amp;$W236,m_end,"&gt;"&amp;$V236)&gt;1,"충돌",""))</f>
        <v/>
      </c>
      <c r="T236" s="48"/>
      <c r="U236" s="55" t="str">
        <f aca="false">IF($G236="","",IFERROR(IF(ISNUMBER($G236),IF($G236&gt;19000000,DATE(INT($G236/10000),MOD(INT($G236/100),100),MOD($G236,100)),INT($G236)),IF(LEN(SUBSTITUTE(SUBSTITUTE(SUBSTITUTE(TRIM($G236),"-",""),".",""),"/",""))=8,DATE(VALUE(LEFT(SUBSTITUTE(SUBSTITUTE(SUBSTITUTE(TRIM($G236),"-",""),".",""),"/",""),4)),VALUE(MID(SUBSTITUTE(SUBSTITUTE(SUBSTITUTE(TRIM($G236),"-",""),".",""),"/",""),5,2)),VALUE(RIGHT(SUBSTITUTE(SUBSTITUTE(SUBSTITUTE(TRIM($G236),"-",""),".",""),"/",""),2))),DATEVALUE($G236))),""))</f>
        <v/>
      </c>
      <c r="V236" s="52" t="str">
        <f aca="false">IF($H236="","",IFERROR(IF(IF(ISNUMBER($H236),$H236,IFERROR(TIMEVALUE($H236),VALUE($H236)))&gt;=100,INT(IF(ISNUMBER($H236),$H236,IFERROR(TIMEVALUE($H236),VALUE($H236)))/100)*60+MOD(IF(ISNUMBER($H236),$H236,IFERROR(TIMEVALUE($H236),VALUE($H236))),100),IF(IF(ISNUMBER($H236),$H236,IFERROR(TIMEVALUE($H236),VALUE($H236)))&gt;=1,ROUND(IF(ISNUMBER($H236),$H236,IFERROR(TIMEVALUE($H236),VALUE($H236)))*60,0),ROUND(MOD(IF(ISNUMBER($H236),$H236,IFERROR(TIMEVALUE($H236),VALUE($H236))),1)*1440,0))),""))</f>
        <v/>
      </c>
      <c r="W236" s="52" t="str">
        <f aca="false">IF($I236="","",IFERROR(IF(IF(ISNUMBER($I236),$I236,IFERROR(TIMEVALUE($I236),VALUE($I236)))&gt;=100,INT(IF(ISNUMBER($I236),$I236,IFERROR(TIMEVALUE($I236),VALUE($I236)))/100)*60+MOD(IF(ISNUMBER($I236),$I236,IFERROR(TIMEVALUE($I236),VALUE($I236))),100),IF(IF(ISNUMBER($I236),$I236,IFERROR(TIMEVALUE($I236),VALUE($I236)))&gt;=1,ROUND(IF(ISNUMBER($I236),$I236,IFERROR(TIMEVALUE($I236),VALUE($I236)))*60,0),ROUND(MOD(IF(ISNUMBER($I236),$I236,IFERROR(TIMEVALUE($I236),VALUE($I236))),1)*1440,0))),""))</f>
        <v/>
      </c>
      <c r="X236" s="55" t="str">
        <f aca="false">IF($P236="","",IFERROR(IF(ISNUMBER($P236),IF($P236&gt;19000000,DATE(INT($P236/10000),MOD(INT($P236/100),100),MOD($P236,100)),INT($P236)),IF(LEN(SUBSTITUTE(SUBSTITUTE(SUBSTITUTE(TRIM($P236),"-",""),".",""),"/",""))=8,DATE(VALUE(LEFT(SUBSTITUTE(SUBSTITUTE(SUBSTITUTE(TRIM($P236),"-",""),".",""),"/",""),4)),VALUE(MID(SUBSTITUTE(SUBSTITUTE(SUBSTITUTE(TRIM($P236),"-",""),".",""),"/",""),5,2)),VALUE(RIGHT(SUBSTITUTE(SUBSTITUTE(SUBSTITUTE(TRIM($P236),"-",""),".",""),"/",""),2))),DATEVALUE($P236))),""))</f>
        <v/>
      </c>
      <c r="Y236" s="56" t="str">
        <f aca="false">IF($M236="","",IFERROR(INDEX(강사DB!$D$4:$D$53,MATCH($M236,강사DB!$A$4:$A$53,0)),""))</f>
        <v/>
      </c>
      <c r="Z236" s="56" t="str">
        <f aca="false">IF($B236&lt;&gt;"결제완료","",IF(OR($Y236="",$J236=""),"",$Y236*$J236+MAX(0,N($K236)-1)*설정!$J$7))</f>
        <v/>
      </c>
      <c r="AA236" s="56" t="str">
        <f aca="false">IF(AND($D236&lt;&gt;"",$B236="결제완료"),N($N236),"")</f>
        <v/>
      </c>
      <c r="AB236" s="45" t="str">
        <f aca="false">IF($D236="","",IF($F236&lt;&gt;"",$F236,$D236)&amp;IF($B236="상담중"," (상담)",""))</f>
        <v/>
      </c>
      <c r="AC236" s="45" t="n">
        <f aca="false">IF(AND($D236&lt;&gt;"",OR($B236="결제완료",$B236="상담중")),1,0)</f>
        <v>0</v>
      </c>
      <c r="AD236" s="45" t="n">
        <f aca="false">IF(OR($Z236="",$U236=""),0,IFERROR(IF(COUNTIFS(INDEX(g_grid,0,2*MATCH($M236,강사DB!$A$4:$A$15,0)),"&lt;&gt;",g_s,"&lt;="&amp;$U236,g_e,"&gt;="&amp;$U236)&gt;0,1,0),0))</f>
        <v>0</v>
      </c>
      <c r="AE236" s="48"/>
      <c r="AF236" s="56" t="str">
        <f aca="false">IF(AND($D236&lt;&gt;"",$B236="결제완료",$T236="대여"),설정!$J$5,"")</f>
        <v/>
      </c>
      <c r="AG236" s="54" t="str">
        <f aca="false">IF($D236="","",IF(AND($E236="",$R236=""),$AB236,"☎ "&amp;IF($E236="","-",$E236)&amp;IF($R236&lt;&gt;"","  ※ "&amp;$R236,"")&amp;IF($B236="상담중"," (상담)","")))</f>
        <v/>
      </c>
      <c r="AH236" s="56" t="str">
        <f aca="false">IF(AND($D236&lt;&gt;"",$B236="결제완료",$O236="스마트스토어"),ROUND(N($N236)*설정!$J$6,0),"")</f>
        <v/>
      </c>
      <c r="AI236" s="54" t="str">
        <f aca="false">IF($D236="","",ROW())</f>
        <v/>
      </c>
      <c r="AJ236" s="54" t="n">
        <f aca="false">IF(OR($AC236&lt;&gt;1,$M236=""),0,IF(ISNUMBER(SEARCH("퇴사",IFERROR(INDEX(강사DB!$G$4:$G$53,MATCH($M236,강사DB!$A$4:$A$53,0)),""))),1,0))</f>
        <v>0</v>
      </c>
    </row>
    <row r="237" customFormat="false" ht="15" hidden="false" customHeight="false" outlineLevel="0" collapsed="false">
      <c r="A237" s="45" t="str">
        <f aca="false">IF($D237="","",COUNTA($D$5:$D237))</f>
        <v/>
      </c>
      <c r="B237" s="46"/>
      <c r="C237" s="47"/>
      <c r="D237" s="48"/>
      <c r="E237" s="48"/>
      <c r="F237" s="49"/>
      <c r="G237" s="47"/>
      <c r="H237" s="50"/>
      <c r="I237" s="50"/>
      <c r="J237" s="51" t="str">
        <f aca="false">IF(OR($V237="",$W237=""),"",ROUND(($W237-$V237)/60,2))</f>
        <v/>
      </c>
      <c r="K237" s="52" t="str">
        <f aca="false">IF($F237="","",LEN($F237)-LEN(SUBSTITUTE($F237,",",""))+1)</f>
        <v/>
      </c>
      <c r="L237" s="45" t="str">
        <f aca="false">IF($K237="","","1:"&amp;$K237)</f>
        <v/>
      </c>
      <c r="M237" s="46"/>
      <c r="N237" s="53"/>
      <c r="O237" s="46"/>
      <c r="P237" s="47"/>
      <c r="Q237" s="48"/>
      <c r="R237" s="49"/>
      <c r="S237" s="54" t="str">
        <f aca="false">IF(OR($AC237=0,$U237="",$M237="",$V237="",$W237=""),"",IF(COUNTIFS(m_teacher,$M237,m_date,$U237,m_active,1,m_start,"&lt;"&amp;$W237,m_end,"&gt;"&amp;$V237)&gt;1,"충돌",""))</f>
        <v/>
      </c>
      <c r="T237" s="48"/>
      <c r="U237" s="55" t="str">
        <f aca="false">IF($G237="","",IFERROR(IF(ISNUMBER($G237),IF($G237&gt;19000000,DATE(INT($G237/10000),MOD(INT($G237/100),100),MOD($G237,100)),INT($G237)),IF(LEN(SUBSTITUTE(SUBSTITUTE(SUBSTITUTE(TRIM($G237),"-",""),".",""),"/",""))=8,DATE(VALUE(LEFT(SUBSTITUTE(SUBSTITUTE(SUBSTITUTE(TRIM($G237),"-",""),".",""),"/",""),4)),VALUE(MID(SUBSTITUTE(SUBSTITUTE(SUBSTITUTE(TRIM($G237),"-",""),".",""),"/",""),5,2)),VALUE(RIGHT(SUBSTITUTE(SUBSTITUTE(SUBSTITUTE(TRIM($G237),"-",""),".",""),"/",""),2))),DATEVALUE($G237))),""))</f>
        <v/>
      </c>
      <c r="V237" s="52" t="str">
        <f aca="false">IF($H237="","",IFERROR(IF(IF(ISNUMBER($H237),$H237,IFERROR(TIMEVALUE($H237),VALUE($H237)))&gt;=100,INT(IF(ISNUMBER($H237),$H237,IFERROR(TIMEVALUE($H237),VALUE($H237)))/100)*60+MOD(IF(ISNUMBER($H237),$H237,IFERROR(TIMEVALUE($H237),VALUE($H237))),100),IF(IF(ISNUMBER($H237),$H237,IFERROR(TIMEVALUE($H237),VALUE($H237)))&gt;=1,ROUND(IF(ISNUMBER($H237),$H237,IFERROR(TIMEVALUE($H237),VALUE($H237)))*60,0),ROUND(MOD(IF(ISNUMBER($H237),$H237,IFERROR(TIMEVALUE($H237),VALUE($H237))),1)*1440,0))),""))</f>
        <v/>
      </c>
      <c r="W237" s="52" t="str">
        <f aca="false">IF($I237="","",IFERROR(IF(IF(ISNUMBER($I237),$I237,IFERROR(TIMEVALUE($I237),VALUE($I237)))&gt;=100,INT(IF(ISNUMBER($I237),$I237,IFERROR(TIMEVALUE($I237),VALUE($I237)))/100)*60+MOD(IF(ISNUMBER($I237),$I237,IFERROR(TIMEVALUE($I237),VALUE($I237))),100),IF(IF(ISNUMBER($I237),$I237,IFERROR(TIMEVALUE($I237),VALUE($I237)))&gt;=1,ROUND(IF(ISNUMBER($I237),$I237,IFERROR(TIMEVALUE($I237),VALUE($I237)))*60,0),ROUND(MOD(IF(ISNUMBER($I237),$I237,IFERROR(TIMEVALUE($I237),VALUE($I237))),1)*1440,0))),""))</f>
        <v/>
      </c>
      <c r="X237" s="55" t="str">
        <f aca="false">IF($P237="","",IFERROR(IF(ISNUMBER($P237),IF($P237&gt;19000000,DATE(INT($P237/10000),MOD(INT($P237/100),100),MOD($P237,100)),INT($P237)),IF(LEN(SUBSTITUTE(SUBSTITUTE(SUBSTITUTE(TRIM($P237),"-",""),".",""),"/",""))=8,DATE(VALUE(LEFT(SUBSTITUTE(SUBSTITUTE(SUBSTITUTE(TRIM($P237),"-",""),".",""),"/",""),4)),VALUE(MID(SUBSTITUTE(SUBSTITUTE(SUBSTITUTE(TRIM($P237),"-",""),".",""),"/",""),5,2)),VALUE(RIGHT(SUBSTITUTE(SUBSTITUTE(SUBSTITUTE(TRIM($P237),"-",""),".",""),"/",""),2))),DATEVALUE($P237))),""))</f>
        <v/>
      </c>
      <c r="Y237" s="56" t="str">
        <f aca="false">IF($M237="","",IFERROR(INDEX(강사DB!$D$4:$D$53,MATCH($M237,강사DB!$A$4:$A$53,0)),""))</f>
        <v/>
      </c>
      <c r="Z237" s="56" t="str">
        <f aca="false">IF($B237&lt;&gt;"결제완료","",IF(OR($Y237="",$J237=""),"",$Y237*$J237+MAX(0,N($K237)-1)*설정!$J$7))</f>
        <v/>
      </c>
      <c r="AA237" s="56" t="str">
        <f aca="false">IF(AND($D237&lt;&gt;"",$B237="결제완료"),N($N237),"")</f>
        <v/>
      </c>
      <c r="AB237" s="45" t="str">
        <f aca="false">IF($D237="","",IF($F237&lt;&gt;"",$F237,$D237)&amp;IF($B237="상담중"," (상담)",""))</f>
        <v/>
      </c>
      <c r="AC237" s="45" t="n">
        <f aca="false">IF(AND($D237&lt;&gt;"",OR($B237="결제완료",$B237="상담중")),1,0)</f>
        <v>0</v>
      </c>
      <c r="AD237" s="45" t="n">
        <f aca="false">IF(OR($Z237="",$U237=""),0,IFERROR(IF(COUNTIFS(INDEX(g_grid,0,2*MATCH($M237,강사DB!$A$4:$A$15,0)),"&lt;&gt;",g_s,"&lt;="&amp;$U237,g_e,"&gt;="&amp;$U237)&gt;0,1,0),0))</f>
        <v>0</v>
      </c>
      <c r="AE237" s="48"/>
      <c r="AF237" s="56" t="str">
        <f aca="false">IF(AND($D237&lt;&gt;"",$B237="결제완료",$T237="대여"),설정!$J$5,"")</f>
        <v/>
      </c>
      <c r="AG237" s="54" t="str">
        <f aca="false">IF($D237="","",IF(AND($E237="",$R237=""),$AB237,"☎ "&amp;IF($E237="","-",$E237)&amp;IF($R237&lt;&gt;"","  ※ "&amp;$R237,"")&amp;IF($B237="상담중"," (상담)","")))</f>
        <v/>
      </c>
      <c r="AH237" s="56" t="str">
        <f aca="false">IF(AND($D237&lt;&gt;"",$B237="결제완료",$O237="스마트스토어"),ROUND(N($N237)*설정!$J$6,0),"")</f>
        <v/>
      </c>
      <c r="AI237" s="54" t="str">
        <f aca="false">IF($D237="","",ROW())</f>
        <v/>
      </c>
      <c r="AJ237" s="54" t="n">
        <f aca="false">IF(OR($AC237&lt;&gt;1,$M237=""),0,IF(ISNUMBER(SEARCH("퇴사",IFERROR(INDEX(강사DB!$G$4:$G$53,MATCH($M237,강사DB!$A$4:$A$53,0)),""))),1,0))</f>
        <v>0</v>
      </c>
    </row>
    <row r="238" customFormat="false" ht="15" hidden="false" customHeight="false" outlineLevel="0" collapsed="false">
      <c r="A238" s="45" t="str">
        <f aca="false">IF($D238="","",COUNTA($D$5:$D238))</f>
        <v/>
      </c>
      <c r="B238" s="46"/>
      <c r="C238" s="47"/>
      <c r="D238" s="48"/>
      <c r="E238" s="48"/>
      <c r="F238" s="49"/>
      <c r="G238" s="47"/>
      <c r="H238" s="50"/>
      <c r="I238" s="50"/>
      <c r="J238" s="51" t="str">
        <f aca="false">IF(OR($V238="",$W238=""),"",ROUND(($W238-$V238)/60,2))</f>
        <v/>
      </c>
      <c r="K238" s="52" t="str">
        <f aca="false">IF($F238="","",LEN($F238)-LEN(SUBSTITUTE($F238,",",""))+1)</f>
        <v/>
      </c>
      <c r="L238" s="45" t="str">
        <f aca="false">IF($K238="","","1:"&amp;$K238)</f>
        <v/>
      </c>
      <c r="M238" s="46"/>
      <c r="N238" s="53"/>
      <c r="O238" s="46"/>
      <c r="P238" s="47"/>
      <c r="Q238" s="48"/>
      <c r="R238" s="49"/>
      <c r="S238" s="54" t="str">
        <f aca="false">IF(OR($AC238=0,$U238="",$M238="",$V238="",$W238=""),"",IF(COUNTIFS(m_teacher,$M238,m_date,$U238,m_active,1,m_start,"&lt;"&amp;$W238,m_end,"&gt;"&amp;$V238)&gt;1,"충돌",""))</f>
        <v/>
      </c>
      <c r="T238" s="48"/>
      <c r="U238" s="55" t="str">
        <f aca="false">IF($G238="","",IFERROR(IF(ISNUMBER($G238),IF($G238&gt;19000000,DATE(INT($G238/10000),MOD(INT($G238/100),100),MOD($G238,100)),INT($G238)),IF(LEN(SUBSTITUTE(SUBSTITUTE(SUBSTITUTE(TRIM($G238),"-",""),".",""),"/",""))=8,DATE(VALUE(LEFT(SUBSTITUTE(SUBSTITUTE(SUBSTITUTE(TRIM($G238),"-",""),".",""),"/",""),4)),VALUE(MID(SUBSTITUTE(SUBSTITUTE(SUBSTITUTE(TRIM($G238),"-",""),".",""),"/",""),5,2)),VALUE(RIGHT(SUBSTITUTE(SUBSTITUTE(SUBSTITUTE(TRIM($G238),"-",""),".",""),"/",""),2))),DATEVALUE($G238))),""))</f>
        <v/>
      </c>
      <c r="V238" s="52" t="str">
        <f aca="false">IF($H238="","",IFERROR(IF(IF(ISNUMBER($H238),$H238,IFERROR(TIMEVALUE($H238),VALUE($H238)))&gt;=100,INT(IF(ISNUMBER($H238),$H238,IFERROR(TIMEVALUE($H238),VALUE($H238)))/100)*60+MOD(IF(ISNUMBER($H238),$H238,IFERROR(TIMEVALUE($H238),VALUE($H238))),100),IF(IF(ISNUMBER($H238),$H238,IFERROR(TIMEVALUE($H238),VALUE($H238)))&gt;=1,ROUND(IF(ISNUMBER($H238),$H238,IFERROR(TIMEVALUE($H238),VALUE($H238)))*60,0),ROUND(MOD(IF(ISNUMBER($H238),$H238,IFERROR(TIMEVALUE($H238),VALUE($H238))),1)*1440,0))),""))</f>
        <v/>
      </c>
      <c r="W238" s="52" t="str">
        <f aca="false">IF($I238="","",IFERROR(IF(IF(ISNUMBER($I238),$I238,IFERROR(TIMEVALUE($I238),VALUE($I238)))&gt;=100,INT(IF(ISNUMBER($I238),$I238,IFERROR(TIMEVALUE($I238),VALUE($I238)))/100)*60+MOD(IF(ISNUMBER($I238),$I238,IFERROR(TIMEVALUE($I238),VALUE($I238))),100),IF(IF(ISNUMBER($I238),$I238,IFERROR(TIMEVALUE($I238),VALUE($I238)))&gt;=1,ROUND(IF(ISNUMBER($I238),$I238,IFERROR(TIMEVALUE($I238),VALUE($I238)))*60,0),ROUND(MOD(IF(ISNUMBER($I238),$I238,IFERROR(TIMEVALUE($I238),VALUE($I238))),1)*1440,0))),""))</f>
        <v/>
      </c>
      <c r="X238" s="55" t="str">
        <f aca="false">IF($P238="","",IFERROR(IF(ISNUMBER($P238),IF($P238&gt;19000000,DATE(INT($P238/10000),MOD(INT($P238/100),100),MOD($P238,100)),INT($P238)),IF(LEN(SUBSTITUTE(SUBSTITUTE(SUBSTITUTE(TRIM($P238),"-",""),".",""),"/",""))=8,DATE(VALUE(LEFT(SUBSTITUTE(SUBSTITUTE(SUBSTITUTE(TRIM($P238),"-",""),".",""),"/",""),4)),VALUE(MID(SUBSTITUTE(SUBSTITUTE(SUBSTITUTE(TRIM($P238),"-",""),".",""),"/",""),5,2)),VALUE(RIGHT(SUBSTITUTE(SUBSTITUTE(SUBSTITUTE(TRIM($P238),"-",""),".",""),"/",""),2))),DATEVALUE($P238))),""))</f>
        <v/>
      </c>
      <c r="Y238" s="56" t="str">
        <f aca="false">IF($M238="","",IFERROR(INDEX(강사DB!$D$4:$D$53,MATCH($M238,강사DB!$A$4:$A$53,0)),""))</f>
        <v/>
      </c>
      <c r="Z238" s="56" t="str">
        <f aca="false">IF($B238&lt;&gt;"결제완료","",IF(OR($Y238="",$J238=""),"",$Y238*$J238+MAX(0,N($K238)-1)*설정!$J$7))</f>
        <v/>
      </c>
      <c r="AA238" s="56" t="str">
        <f aca="false">IF(AND($D238&lt;&gt;"",$B238="결제완료"),N($N238),"")</f>
        <v/>
      </c>
      <c r="AB238" s="45" t="str">
        <f aca="false">IF($D238="","",IF($F238&lt;&gt;"",$F238,$D238)&amp;IF($B238="상담중"," (상담)",""))</f>
        <v/>
      </c>
      <c r="AC238" s="45" t="n">
        <f aca="false">IF(AND($D238&lt;&gt;"",OR($B238="결제완료",$B238="상담중")),1,0)</f>
        <v>0</v>
      </c>
      <c r="AD238" s="45" t="n">
        <f aca="false">IF(OR($Z238="",$U238=""),0,IFERROR(IF(COUNTIFS(INDEX(g_grid,0,2*MATCH($M238,강사DB!$A$4:$A$15,0)),"&lt;&gt;",g_s,"&lt;="&amp;$U238,g_e,"&gt;="&amp;$U238)&gt;0,1,0),0))</f>
        <v>0</v>
      </c>
      <c r="AE238" s="48"/>
      <c r="AF238" s="56" t="str">
        <f aca="false">IF(AND($D238&lt;&gt;"",$B238="결제완료",$T238="대여"),설정!$J$5,"")</f>
        <v/>
      </c>
      <c r="AG238" s="54" t="str">
        <f aca="false">IF($D238="","",IF(AND($E238="",$R238=""),$AB238,"☎ "&amp;IF($E238="","-",$E238)&amp;IF($R238&lt;&gt;"","  ※ "&amp;$R238,"")&amp;IF($B238="상담중"," (상담)","")))</f>
        <v/>
      </c>
      <c r="AH238" s="56" t="str">
        <f aca="false">IF(AND($D238&lt;&gt;"",$B238="결제완료",$O238="스마트스토어"),ROUND(N($N238)*설정!$J$6,0),"")</f>
        <v/>
      </c>
      <c r="AI238" s="54" t="str">
        <f aca="false">IF($D238="","",ROW())</f>
        <v/>
      </c>
      <c r="AJ238" s="54" t="n">
        <f aca="false">IF(OR($AC238&lt;&gt;1,$M238=""),0,IF(ISNUMBER(SEARCH("퇴사",IFERROR(INDEX(강사DB!$G$4:$G$53,MATCH($M238,강사DB!$A$4:$A$53,0)),""))),1,0))</f>
        <v>0</v>
      </c>
    </row>
    <row r="239" customFormat="false" ht="15" hidden="false" customHeight="false" outlineLevel="0" collapsed="false">
      <c r="A239" s="45" t="str">
        <f aca="false">IF($D239="","",COUNTA($D$5:$D239))</f>
        <v/>
      </c>
      <c r="B239" s="46"/>
      <c r="C239" s="47"/>
      <c r="D239" s="48"/>
      <c r="E239" s="48"/>
      <c r="F239" s="49"/>
      <c r="G239" s="47"/>
      <c r="H239" s="50"/>
      <c r="I239" s="50"/>
      <c r="J239" s="51" t="str">
        <f aca="false">IF(OR($V239="",$W239=""),"",ROUND(($W239-$V239)/60,2))</f>
        <v/>
      </c>
      <c r="K239" s="52" t="str">
        <f aca="false">IF($F239="","",LEN($F239)-LEN(SUBSTITUTE($F239,",",""))+1)</f>
        <v/>
      </c>
      <c r="L239" s="45" t="str">
        <f aca="false">IF($K239="","","1:"&amp;$K239)</f>
        <v/>
      </c>
      <c r="M239" s="46"/>
      <c r="N239" s="53"/>
      <c r="O239" s="46"/>
      <c r="P239" s="47"/>
      <c r="Q239" s="48"/>
      <c r="R239" s="49"/>
      <c r="S239" s="54" t="str">
        <f aca="false">IF(OR($AC239=0,$U239="",$M239="",$V239="",$W239=""),"",IF(COUNTIFS(m_teacher,$M239,m_date,$U239,m_active,1,m_start,"&lt;"&amp;$W239,m_end,"&gt;"&amp;$V239)&gt;1,"충돌",""))</f>
        <v/>
      </c>
      <c r="T239" s="48"/>
      <c r="U239" s="55" t="str">
        <f aca="false">IF($G239="","",IFERROR(IF(ISNUMBER($G239),IF($G239&gt;19000000,DATE(INT($G239/10000),MOD(INT($G239/100),100),MOD($G239,100)),INT($G239)),IF(LEN(SUBSTITUTE(SUBSTITUTE(SUBSTITUTE(TRIM($G239),"-",""),".",""),"/",""))=8,DATE(VALUE(LEFT(SUBSTITUTE(SUBSTITUTE(SUBSTITUTE(TRIM($G239),"-",""),".",""),"/",""),4)),VALUE(MID(SUBSTITUTE(SUBSTITUTE(SUBSTITUTE(TRIM($G239),"-",""),".",""),"/",""),5,2)),VALUE(RIGHT(SUBSTITUTE(SUBSTITUTE(SUBSTITUTE(TRIM($G239),"-",""),".",""),"/",""),2))),DATEVALUE($G239))),""))</f>
        <v/>
      </c>
      <c r="V239" s="52" t="str">
        <f aca="false">IF($H239="","",IFERROR(IF(IF(ISNUMBER($H239),$H239,IFERROR(TIMEVALUE($H239),VALUE($H239)))&gt;=100,INT(IF(ISNUMBER($H239),$H239,IFERROR(TIMEVALUE($H239),VALUE($H239)))/100)*60+MOD(IF(ISNUMBER($H239),$H239,IFERROR(TIMEVALUE($H239),VALUE($H239))),100),IF(IF(ISNUMBER($H239),$H239,IFERROR(TIMEVALUE($H239),VALUE($H239)))&gt;=1,ROUND(IF(ISNUMBER($H239),$H239,IFERROR(TIMEVALUE($H239),VALUE($H239)))*60,0),ROUND(MOD(IF(ISNUMBER($H239),$H239,IFERROR(TIMEVALUE($H239),VALUE($H239))),1)*1440,0))),""))</f>
        <v/>
      </c>
      <c r="W239" s="52" t="str">
        <f aca="false">IF($I239="","",IFERROR(IF(IF(ISNUMBER($I239),$I239,IFERROR(TIMEVALUE($I239),VALUE($I239)))&gt;=100,INT(IF(ISNUMBER($I239),$I239,IFERROR(TIMEVALUE($I239),VALUE($I239)))/100)*60+MOD(IF(ISNUMBER($I239),$I239,IFERROR(TIMEVALUE($I239),VALUE($I239))),100),IF(IF(ISNUMBER($I239),$I239,IFERROR(TIMEVALUE($I239),VALUE($I239)))&gt;=1,ROUND(IF(ISNUMBER($I239),$I239,IFERROR(TIMEVALUE($I239),VALUE($I239)))*60,0),ROUND(MOD(IF(ISNUMBER($I239),$I239,IFERROR(TIMEVALUE($I239),VALUE($I239))),1)*1440,0))),""))</f>
        <v/>
      </c>
      <c r="X239" s="55" t="str">
        <f aca="false">IF($P239="","",IFERROR(IF(ISNUMBER($P239),IF($P239&gt;19000000,DATE(INT($P239/10000),MOD(INT($P239/100),100),MOD($P239,100)),INT($P239)),IF(LEN(SUBSTITUTE(SUBSTITUTE(SUBSTITUTE(TRIM($P239),"-",""),".",""),"/",""))=8,DATE(VALUE(LEFT(SUBSTITUTE(SUBSTITUTE(SUBSTITUTE(TRIM($P239),"-",""),".",""),"/",""),4)),VALUE(MID(SUBSTITUTE(SUBSTITUTE(SUBSTITUTE(TRIM($P239),"-",""),".",""),"/",""),5,2)),VALUE(RIGHT(SUBSTITUTE(SUBSTITUTE(SUBSTITUTE(TRIM($P239),"-",""),".",""),"/",""),2))),DATEVALUE($P239))),""))</f>
        <v/>
      </c>
      <c r="Y239" s="56" t="str">
        <f aca="false">IF($M239="","",IFERROR(INDEX(강사DB!$D$4:$D$53,MATCH($M239,강사DB!$A$4:$A$53,0)),""))</f>
        <v/>
      </c>
      <c r="Z239" s="56" t="str">
        <f aca="false">IF($B239&lt;&gt;"결제완료","",IF(OR($Y239="",$J239=""),"",$Y239*$J239+MAX(0,N($K239)-1)*설정!$J$7))</f>
        <v/>
      </c>
      <c r="AA239" s="56" t="str">
        <f aca="false">IF(AND($D239&lt;&gt;"",$B239="결제완료"),N($N239),"")</f>
        <v/>
      </c>
      <c r="AB239" s="45" t="str">
        <f aca="false">IF($D239="","",IF($F239&lt;&gt;"",$F239,$D239)&amp;IF($B239="상담중"," (상담)",""))</f>
        <v/>
      </c>
      <c r="AC239" s="45" t="n">
        <f aca="false">IF(AND($D239&lt;&gt;"",OR($B239="결제완료",$B239="상담중")),1,0)</f>
        <v>0</v>
      </c>
      <c r="AD239" s="45" t="n">
        <f aca="false">IF(OR($Z239="",$U239=""),0,IFERROR(IF(COUNTIFS(INDEX(g_grid,0,2*MATCH($M239,강사DB!$A$4:$A$15,0)),"&lt;&gt;",g_s,"&lt;="&amp;$U239,g_e,"&gt;="&amp;$U239)&gt;0,1,0),0))</f>
        <v>0</v>
      </c>
      <c r="AE239" s="48"/>
      <c r="AF239" s="56" t="str">
        <f aca="false">IF(AND($D239&lt;&gt;"",$B239="결제완료",$T239="대여"),설정!$J$5,"")</f>
        <v/>
      </c>
      <c r="AG239" s="54" t="str">
        <f aca="false">IF($D239="","",IF(AND($E239="",$R239=""),$AB239,"☎ "&amp;IF($E239="","-",$E239)&amp;IF($R239&lt;&gt;"","  ※ "&amp;$R239,"")&amp;IF($B239="상담중"," (상담)","")))</f>
        <v/>
      </c>
      <c r="AH239" s="56" t="str">
        <f aca="false">IF(AND($D239&lt;&gt;"",$B239="결제완료",$O239="스마트스토어"),ROUND(N($N239)*설정!$J$6,0),"")</f>
        <v/>
      </c>
      <c r="AI239" s="54" t="str">
        <f aca="false">IF($D239="","",ROW())</f>
        <v/>
      </c>
      <c r="AJ239" s="54" t="n">
        <f aca="false">IF(OR($AC239&lt;&gt;1,$M239=""),0,IF(ISNUMBER(SEARCH("퇴사",IFERROR(INDEX(강사DB!$G$4:$G$53,MATCH($M239,강사DB!$A$4:$A$53,0)),""))),1,0))</f>
        <v>0</v>
      </c>
    </row>
    <row r="240" customFormat="false" ht="15" hidden="false" customHeight="false" outlineLevel="0" collapsed="false">
      <c r="A240" s="45" t="str">
        <f aca="false">IF($D240="","",COUNTA($D$5:$D240))</f>
        <v/>
      </c>
      <c r="B240" s="46"/>
      <c r="C240" s="47"/>
      <c r="D240" s="48"/>
      <c r="E240" s="48"/>
      <c r="F240" s="49"/>
      <c r="G240" s="47"/>
      <c r="H240" s="50"/>
      <c r="I240" s="50"/>
      <c r="J240" s="51" t="str">
        <f aca="false">IF(OR($V240="",$W240=""),"",ROUND(($W240-$V240)/60,2))</f>
        <v/>
      </c>
      <c r="K240" s="52" t="str">
        <f aca="false">IF($F240="","",LEN($F240)-LEN(SUBSTITUTE($F240,",",""))+1)</f>
        <v/>
      </c>
      <c r="L240" s="45" t="str">
        <f aca="false">IF($K240="","","1:"&amp;$K240)</f>
        <v/>
      </c>
      <c r="M240" s="46"/>
      <c r="N240" s="53"/>
      <c r="O240" s="46"/>
      <c r="P240" s="47"/>
      <c r="Q240" s="48"/>
      <c r="R240" s="49"/>
      <c r="S240" s="54" t="str">
        <f aca="false">IF(OR($AC240=0,$U240="",$M240="",$V240="",$W240=""),"",IF(COUNTIFS(m_teacher,$M240,m_date,$U240,m_active,1,m_start,"&lt;"&amp;$W240,m_end,"&gt;"&amp;$V240)&gt;1,"충돌",""))</f>
        <v/>
      </c>
      <c r="T240" s="48"/>
      <c r="U240" s="55" t="str">
        <f aca="false">IF($G240="","",IFERROR(IF(ISNUMBER($G240),IF($G240&gt;19000000,DATE(INT($G240/10000),MOD(INT($G240/100),100),MOD($G240,100)),INT($G240)),IF(LEN(SUBSTITUTE(SUBSTITUTE(SUBSTITUTE(TRIM($G240),"-",""),".",""),"/",""))=8,DATE(VALUE(LEFT(SUBSTITUTE(SUBSTITUTE(SUBSTITUTE(TRIM($G240),"-",""),".",""),"/",""),4)),VALUE(MID(SUBSTITUTE(SUBSTITUTE(SUBSTITUTE(TRIM($G240),"-",""),".",""),"/",""),5,2)),VALUE(RIGHT(SUBSTITUTE(SUBSTITUTE(SUBSTITUTE(TRIM($G240),"-",""),".",""),"/",""),2))),DATEVALUE($G240))),""))</f>
        <v/>
      </c>
      <c r="V240" s="52" t="str">
        <f aca="false">IF($H240="","",IFERROR(IF(IF(ISNUMBER($H240),$H240,IFERROR(TIMEVALUE($H240),VALUE($H240)))&gt;=100,INT(IF(ISNUMBER($H240),$H240,IFERROR(TIMEVALUE($H240),VALUE($H240)))/100)*60+MOD(IF(ISNUMBER($H240),$H240,IFERROR(TIMEVALUE($H240),VALUE($H240))),100),IF(IF(ISNUMBER($H240),$H240,IFERROR(TIMEVALUE($H240),VALUE($H240)))&gt;=1,ROUND(IF(ISNUMBER($H240),$H240,IFERROR(TIMEVALUE($H240),VALUE($H240)))*60,0),ROUND(MOD(IF(ISNUMBER($H240),$H240,IFERROR(TIMEVALUE($H240),VALUE($H240))),1)*1440,0))),""))</f>
        <v/>
      </c>
      <c r="W240" s="52" t="str">
        <f aca="false">IF($I240="","",IFERROR(IF(IF(ISNUMBER($I240),$I240,IFERROR(TIMEVALUE($I240),VALUE($I240)))&gt;=100,INT(IF(ISNUMBER($I240),$I240,IFERROR(TIMEVALUE($I240),VALUE($I240)))/100)*60+MOD(IF(ISNUMBER($I240),$I240,IFERROR(TIMEVALUE($I240),VALUE($I240))),100),IF(IF(ISNUMBER($I240),$I240,IFERROR(TIMEVALUE($I240),VALUE($I240)))&gt;=1,ROUND(IF(ISNUMBER($I240),$I240,IFERROR(TIMEVALUE($I240),VALUE($I240)))*60,0),ROUND(MOD(IF(ISNUMBER($I240),$I240,IFERROR(TIMEVALUE($I240),VALUE($I240))),1)*1440,0))),""))</f>
        <v/>
      </c>
      <c r="X240" s="55" t="str">
        <f aca="false">IF($P240="","",IFERROR(IF(ISNUMBER($P240),IF($P240&gt;19000000,DATE(INT($P240/10000),MOD(INT($P240/100),100),MOD($P240,100)),INT($P240)),IF(LEN(SUBSTITUTE(SUBSTITUTE(SUBSTITUTE(TRIM($P240),"-",""),".",""),"/",""))=8,DATE(VALUE(LEFT(SUBSTITUTE(SUBSTITUTE(SUBSTITUTE(TRIM($P240),"-",""),".",""),"/",""),4)),VALUE(MID(SUBSTITUTE(SUBSTITUTE(SUBSTITUTE(TRIM($P240),"-",""),".",""),"/",""),5,2)),VALUE(RIGHT(SUBSTITUTE(SUBSTITUTE(SUBSTITUTE(TRIM($P240),"-",""),".",""),"/",""),2))),DATEVALUE($P240))),""))</f>
        <v/>
      </c>
      <c r="Y240" s="56" t="str">
        <f aca="false">IF($M240="","",IFERROR(INDEX(강사DB!$D$4:$D$53,MATCH($M240,강사DB!$A$4:$A$53,0)),""))</f>
        <v/>
      </c>
      <c r="Z240" s="56" t="str">
        <f aca="false">IF($B240&lt;&gt;"결제완료","",IF(OR($Y240="",$J240=""),"",$Y240*$J240+MAX(0,N($K240)-1)*설정!$J$7))</f>
        <v/>
      </c>
      <c r="AA240" s="56" t="str">
        <f aca="false">IF(AND($D240&lt;&gt;"",$B240="결제완료"),N($N240),"")</f>
        <v/>
      </c>
      <c r="AB240" s="45" t="str">
        <f aca="false">IF($D240="","",IF($F240&lt;&gt;"",$F240,$D240)&amp;IF($B240="상담중"," (상담)",""))</f>
        <v/>
      </c>
      <c r="AC240" s="45" t="n">
        <f aca="false">IF(AND($D240&lt;&gt;"",OR($B240="결제완료",$B240="상담중")),1,0)</f>
        <v>0</v>
      </c>
      <c r="AD240" s="45" t="n">
        <f aca="false">IF(OR($Z240="",$U240=""),0,IFERROR(IF(COUNTIFS(INDEX(g_grid,0,2*MATCH($M240,강사DB!$A$4:$A$15,0)),"&lt;&gt;",g_s,"&lt;="&amp;$U240,g_e,"&gt;="&amp;$U240)&gt;0,1,0),0))</f>
        <v>0</v>
      </c>
      <c r="AE240" s="48"/>
      <c r="AF240" s="56" t="str">
        <f aca="false">IF(AND($D240&lt;&gt;"",$B240="결제완료",$T240="대여"),설정!$J$5,"")</f>
        <v/>
      </c>
      <c r="AG240" s="54" t="str">
        <f aca="false">IF($D240="","",IF(AND($E240="",$R240=""),$AB240,"☎ "&amp;IF($E240="","-",$E240)&amp;IF($R240&lt;&gt;"","  ※ "&amp;$R240,"")&amp;IF($B240="상담중"," (상담)","")))</f>
        <v/>
      </c>
      <c r="AH240" s="56" t="str">
        <f aca="false">IF(AND($D240&lt;&gt;"",$B240="결제완료",$O240="스마트스토어"),ROUND(N($N240)*설정!$J$6,0),"")</f>
        <v/>
      </c>
      <c r="AI240" s="54" t="str">
        <f aca="false">IF($D240="","",ROW())</f>
        <v/>
      </c>
      <c r="AJ240" s="54" t="n">
        <f aca="false">IF(OR($AC240&lt;&gt;1,$M240=""),0,IF(ISNUMBER(SEARCH("퇴사",IFERROR(INDEX(강사DB!$G$4:$G$53,MATCH($M240,강사DB!$A$4:$A$53,0)),""))),1,0))</f>
        <v>0</v>
      </c>
    </row>
    <row r="241" customFormat="false" ht="15" hidden="false" customHeight="false" outlineLevel="0" collapsed="false">
      <c r="A241" s="45" t="str">
        <f aca="false">IF($D241="","",COUNTA($D$5:$D241))</f>
        <v/>
      </c>
      <c r="B241" s="46"/>
      <c r="C241" s="47"/>
      <c r="D241" s="48"/>
      <c r="E241" s="48"/>
      <c r="F241" s="49"/>
      <c r="G241" s="47"/>
      <c r="H241" s="50"/>
      <c r="I241" s="50"/>
      <c r="J241" s="51" t="str">
        <f aca="false">IF(OR($V241="",$W241=""),"",ROUND(($W241-$V241)/60,2))</f>
        <v/>
      </c>
      <c r="K241" s="52" t="str">
        <f aca="false">IF($F241="","",LEN($F241)-LEN(SUBSTITUTE($F241,",",""))+1)</f>
        <v/>
      </c>
      <c r="L241" s="45" t="str">
        <f aca="false">IF($K241="","","1:"&amp;$K241)</f>
        <v/>
      </c>
      <c r="M241" s="46"/>
      <c r="N241" s="53"/>
      <c r="O241" s="46"/>
      <c r="P241" s="47"/>
      <c r="Q241" s="48"/>
      <c r="R241" s="49"/>
      <c r="S241" s="54" t="str">
        <f aca="false">IF(OR($AC241=0,$U241="",$M241="",$V241="",$W241=""),"",IF(COUNTIFS(m_teacher,$M241,m_date,$U241,m_active,1,m_start,"&lt;"&amp;$W241,m_end,"&gt;"&amp;$V241)&gt;1,"충돌",""))</f>
        <v/>
      </c>
      <c r="T241" s="48"/>
      <c r="U241" s="55" t="str">
        <f aca="false">IF($G241="","",IFERROR(IF(ISNUMBER($G241),IF($G241&gt;19000000,DATE(INT($G241/10000),MOD(INT($G241/100),100),MOD($G241,100)),INT($G241)),IF(LEN(SUBSTITUTE(SUBSTITUTE(SUBSTITUTE(TRIM($G241),"-",""),".",""),"/",""))=8,DATE(VALUE(LEFT(SUBSTITUTE(SUBSTITUTE(SUBSTITUTE(TRIM($G241),"-",""),".",""),"/",""),4)),VALUE(MID(SUBSTITUTE(SUBSTITUTE(SUBSTITUTE(TRIM($G241),"-",""),".",""),"/",""),5,2)),VALUE(RIGHT(SUBSTITUTE(SUBSTITUTE(SUBSTITUTE(TRIM($G241),"-",""),".",""),"/",""),2))),DATEVALUE($G241))),""))</f>
        <v/>
      </c>
      <c r="V241" s="52" t="str">
        <f aca="false">IF($H241="","",IFERROR(IF(IF(ISNUMBER($H241),$H241,IFERROR(TIMEVALUE($H241),VALUE($H241)))&gt;=100,INT(IF(ISNUMBER($H241),$H241,IFERROR(TIMEVALUE($H241),VALUE($H241)))/100)*60+MOD(IF(ISNUMBER($H241),$H241,IFERROR(TIMEVALUE($H241),VALUE($H241))),100),IF(IF(ISNUMBER($H241),$H241,IFERROR(TIMEVALUE($H241),VALUE($H241)))&gt;=1,ROUND(IF(ISNUMBER($H241),$H241,IFERROR(TIMEVALUE($H241),VALUE($H241)))*60,0),ROUND(MOD(IF(ISNUMBER($H241),$H241,IFERROR(TIMEVALUE($H241),VALUE($H241))),1)*1440,0))),""))</f>
        <v/>
      </c>
      <c r="W241" s="52" t="str">
        <f aca="false">IF($I241="","",IFERROR(IF(IF(ISNUMBER($I241),$I241,IFERROR(TIMEVALUE($I241),VALUE($I241)))&gt;=100,INT(IF(ISNUMBER($I241),$I241,IFERROR(TIMEVALUE($I241),VALUE($I241)))/100)*60+MOD(IF(ISNUMBER($I241),$I241,IFERROR(TIMEVALUE($I241),VALUE($I241))),100),IF(IF(ISNUMBER($I241),$I241,IFERROR(TIMEVALUE($I241),VALUE($I241)))&gt;=1,ROUND(IF(ISNUMBER($I241),$I241,IFERROR(TIMEVALUE($I241),VALUE($I241)))*60,0),ROUND(MOD(IF(ISNUMBER($I241),$I241,IFERROR(TIMEVALUE($I241),VALUE($I241))),1)*1440,0))),""))</f>
        <v/>
      </c>
      <c r="X241" s="55" t="str">
        <f aca="false">IF($P241="","",IFERROR(IF(ISNUMBER($P241),IF($P241&gt;19000000,DATE(INT($P241/10000),MOD(INT($P241/100),100),MOD($P241,100)),INT($P241)),IF(LEN(SUBSTITUTE(SUBSTITUTE(SUBSTITUTE(TRIM($P241),"-",""),".",""),"/",""))=8,DATE(VALUE(LEFT(SUBSTITUTE(SUBSTITUTE(SUBSTITUTE(TRIM($P241),"-",""),".",""),"/",""),4)),VALUE(MID(SUBSTITUTE(SUBSTITUTE(SUBSTITUTE(TRIM($P241),"-",""),".",""),"/",""),5,2)),VALUE(RIGHT(SUBSTITUTE(SUBSTITUTE(SUBSTITUTE(TRIM($P241),"-",""),".",""),"/",""),2))),DATEVALUE($P241))),""))</f>
        <v/>
      </c>
      <c r="Y241" s="56" t="str">
        <f aca="false">IF($M241="","",IFERROR(INDEX(강사DB!$D$4:$D$53,MATCH($M241,강사DB!$A$4:$A$53,0)),""))</f>
        <v/>
      </c>
      <c r="Z241" s="56" t="str">
        <f aca="false">IF($B241&lt;&gt;"결제완료","",IF(OR($Y241="",$J241=""),"",$Y241*$J241+MAX(0,N($K241)-1)*설정!$J$7))</f>
        <v/>
      </c>
      <c r="AA241" s="56" t="str">
        <f aca="false">IF(AND($D241&lt;&gt;"",$B241="결제완료"),N($N241),"")</f>
        <v/>
      </c>
      <c r="AB241" s="45" t="str">
        <f aca="false">IF($D241="","",IF($F241&lt;&gt;"",$F241,$D241)&amp;IF($B241="상담중"," (상담)",""))</f>
        <v/>
      </c>
      <c r="AC241" s="45" t="n">
        <f aca="false">IF(AND($D241&lt;&gt;"",OR($B241="결제완료",$B241="상담중")),1,0)</f>
        <v>0</v>
      </c>
      <c r="AD241" s="45" t="n">
        <f aca="false">IF(OR($Z241="",$U241=""),0,IFERROR(IF(COUNTIFS(INDEX(g_grid,0,2*MATCH($M241,강사DB!$A$4:$A$15,0)),"&lt;&gt;",g_s,"&lt;="&amp;$U241,g_e,"&gt;="&amp;$U241)&gt;0,1,0),0))</f>
        <v>0</v>
      </c>
      <c r="AE241" s="48"/>
      <c r="AF241" s="56" t="str">
        <f aca="false">IF(AND($D241&lt;&gt;"",$B241="결제완료",$T241="대여"),설정!$J$5,"")</f>
        <v/>
      </c>
      <c r="AG241" s="54" t="str">
        <f aca="false">IF($D241="","",IF(AND($E241="",$R241=""),$AB241,"☎ "&amp;IF($E241="","-",$E241)&amp;IF($R241&lt;&gt;"","  ※ "&amp;$R241,"")&amp;IF($B241="상담중"," (상담)","")))</f>
        <v/>
      </c>
      <c r="AH241" s="56" t="str">
        <f aca="false">IF(AND($D241&lt;&gt;"",$B241="결제완료",$O241="스마트스토어"),ROUND(N($N241)*설정!$J$6,0),"")</f>
        <v/>
      </c>
      <c r="AI241" s="54" t="str">
        <f aca="false">IF($D241="","",ROW())</f>
        <v/>
      </c>
      <c r="AJ241" s="54" t="n">
        <f aca="false">IF(OR($AC241&lt;&gt;1,$M241=""),0,IF(ISNUMBER(SEARCH("퇴사",IFERROR(INDEX(강사DB!$G$4:$G$53,MATCH($M241,강사DB!$A$4:$A$53,0)),""))),1,0))</f>
        <v>0</v>
      </c>
    </row>
    <row r="242" customFormat="false" ht="15" hidden="false" customHeight="false" outlineLevel="0" collapsed="false">
      <c r="A242" s="45" t="str">
        <f aca="false">IF($D242="","",COUNTA($D$5:$D242))</f>
        <v/>
      </c>
      <c r="B242" s="46"/>
      <c r="C242" s="47"/>
      <c r="D242" s="48"/>
      <c r="E242" s="48"/>
      <c r="F242" s="49"/>
      <c r="G242" s="47"/>
      <c r="H242" s="50"/>
      <c r="I242" s="50"/>
      <c r="J242" s="51" t="str">
        <f aca="false">IF(OR($V242="",$W242=""),"",ROUND(($W242-$V242)/60,2))</f>
        <v/>
      </c>
      <c r="K242" s="52" t="str">
        <f aca="false">IF($F242="","",LEN($F242)-LEN(SUBSTITUTE($F242,",",""))+1)</f>
        <v/>
      </c>
      <c r="L242" s="45" t="str">
        <f aca="false">IF($K242="","","1:"&amp;$K242)</f>
        <v/>
      </c>
      <c r="M242" s="46"/>
      <c r="N242" s="53"/>
      <c r="O242" s="46"/>
      <c r="P242" s="47"/>
      <c r="Q242" s="48"/>
      <c r="R242" s="49"/>
      <c r="S242" s="54" t="str">
        <f aca="false">IF(OR($AC242=0,$U242="",$M242="",$V242="",$W242=""),"",IF(COUNTIFS(m_teacher,$M242,m_date,$U242,m_active,1,m_start,"&lt;"&amp;$W242,m_end,"&gt;"&amp;$V242)&gt;1,"충돌",""))</f>
        <v/>
      </c>
      <c r="T242" s="48"/>
      <c r="U242" s="55" t="str">
        <f aca="false">IF($G242="","",IFERROR(IF(ISNUMBER($G242),IF($G242&gt;19000000,DATE(INT($G242/10000),MOD(INT($G242/100),100),MOD($G242,100)),INT($G242)),IF(LEN(SUBSTITUTE(SUBSTITUTE(SUBSTITUTE(TRIM($G242),"-",""),".",""),"/",""))=8,DATE(VALUE(LEFT(SUBSTITUTE(SUBSTITUTE(SUBSTITUTE(TRIM($G242),"-",""),".",""),"/",""),4)),VALUE(MID(SUBSTITUTE(SUBSTITUTE(SUBSTITUTE(TRIM($G242),"-",""),".",""),"/",""),5,2)),VALUE(RIGHT(SUBSTITUTE(SUBSTITUTE(SUBSTITUTE(TRIM($G242),"-",""),".",""),"/",""),2))),DATEVALUE($G242))),""))</f>
        <v/>
      </c>
      <c r="V242" s="52" t="str">
        <f aca="false">IF($H242="","",IFERROR(IF(IF(ISNUMBER($H242),$H242,IFERROR(TIMEVALUE($H242),VALUE($H242)))&gt;=100,INT(IF(ISNUMBER($H242),$H242,IFERROR(TIMEVALUE($H242),VALUE($H242)))/100)*60+MOD(IF(ISNUMBER($H242),$H242,IFERROR(TIMEVALUE($H242),VALUE($H242))),100),IF(IF(ISNUMBER($H242),$H242,IFERROR(TIMEVALUE($H242),VALUE($H242)))&gt;=1,ROUND(IF(ISNUMBER($H242),$H242,IFERROR(TIMEVALUE($H242),VALUE($H242)))*60,0),ROUND(MOD(IF(ISNUMBER($H242),$H242,IFERROR(TIMEVALUE($H242),VALUE($H242))),1)*1440,0))),""))</f>
        <v/>
      </c>
      <c r="W242" s="52" t="str">
        <f aca="false">IF($I242="","",IFERROR(IF(IF(ISNUMBER($I242),$I242,IFERROR(TIMEVALUE($I242),VALUE($I242)))&gt;=100,INT(IF(ISNUMBER($I242),$I242,IFERROR(TIMEVALUE($I242),VALUE($I242)))/100)*60+MOD(IF(ISNUMBER($I242),$I242,IFERROR(TIMEVALUE($I242),VALUE($I242))),100),IF(IF(ISNUMBER($I242),$I242,IFERROR(TIMEVALUE($I242),VALUE($I242)))&gt;=1,ROUND(IF(ISNUMBER($I242),$I242,IFERROR(TIMEVALUE($I242),VALUE($I242)))*60,0),ROUND(MOD(IF(ISNUMBER($I242),$I242,IFERROR(TIMEVALUE($I242),VALUE($I242))),1)*1440,0))),""))</f>
        <v/>
      </c>
      <c r="X242" s="55" t="str">
        <f aca="false">IF($P242="","",IFERROR(IF(ISNUMBER($P242),IF($P242&gt;19000000,DATE(INT($P242/10000),MOD(INT($P242/100),100),MOD($P242,100)),INT($P242)),IF(LEN(SUBSTITUTE(SUBSTITUTE(SUBSTITUTE(TRIM($P242),"-",""),".",""),"/",""))=8,DATE(VALUE(LEFT(SUBSTITUTE(SUBSTITUTE(SUBSTITUTE(TRIM($P242),"-",""),".",""),"/",""),4)),VALUE(MID(SUBSTITUTE(SUBSTITUTE(SUBSTITUTE(TRIM($P242),"-",""),".",""),"/",""),5,2)),VALUE(RIGHT(SUBSTITUTE(SUBSTITUTE(SUBSTITUTE(TRIM($P242),"-",""),".",""),"/",""),2))),DATEVALUE($P242))),""))</f>
        <v/>
      </c>
      <c r="Y242" s="56" t="str">
        <f aca="false">IF($M242="","",IFERROR(INDEX(강사DB!$D$4:$D$53,MATCH($M242,강사DB!$A$4:$A$53,0)),""))</f>
        <v/>
      </c>
      <c r="Z242" s="56" t="str">
        <f aca="false">IF($B242&lt;&gt;"결제완료","",IF(OR($Y242="",$J242=""),"",$Y242*$J242+MAX(0,N($K242)-1)*설정!$J$7))</f>
        <v/>
      </c>
      <c r="AA242" s="56" t="str">
        <f aca="false">IF(AND($D242&lt;&gt;"",$B242="결제완료"),N($N242),"")</f>
        <v/>
      </c>
      <c r="AB242" s="45" t="str">
        <f aca="false">IF($D242="","",IF($F242&lt;&gt;"",$F242,$D242)&amp;IF($B242="상담중"," (상담)",""))</f>
        <v/>
      </c>
      <c r="AC242" s="45" t="n">
        <f aca="false">IF(AND($D242&lt;&gt;"",OR($B242="결제완료",$B242="상담중")),1,0)</f>
        <v>0</v>
      </c>
      <c r="AD242" s="45" t="n">
        <f aca="false">IF(OR($Z242="",$U242=""),0,IFERROR(IF(COUNTIFS(INDEX(g_grid,0,2*MATCH($M242,강사DB!$A$4:$A$15,0)),"&lt;&gt;",g_s,"&lt;="&amp;$U242,g_e,"&gt;="&amp;$U242)&gt;0,1,0),0))</f>
        <v>0</v>
      </c>
      <c r="AE242" s="48"/>
      <c r="AF242" s="56" t="str">
        <f aca="false">IF(AND($D242&lt;&gt;"",$B242="결제완료",$T242="대여"),설정!$J$5,"")</f>
        <v/>
      </c>
      <c r="AG242" s="54" t="str">
        <f aca="false">IF($D242="","",IF(AND($E242="",$R242=""),$AB242,"☎ "&amp;IF($E242="","-",$E242)&amp;IF($R242&lt;&gt;"","  ※ "&amp;$R242,"")&amp;IF($B242="상담중"," (상담)","")))</f>
        <v/>
      </c>
      <c r="AH242" s="56" t="str">
        <f aca="false">IF(AND($D242&lt;&gt;"",$B242="결제완료",$O242="스마트스토어"),ROUND(N($N242)*설정!$J$6,0),"")</f>
        <v/>
      </c>
      <c r="AI242" s="54" t="str">
        <f aca="false">IF($D242="","",ROW())</f>
        <v/>
      </c>
      <c r="AJ242" s="54" t="n">
        <f aca="false">IF(OR($AC242&lt;&gt;1,$M242=""),0,IF(ISNUMBER(SEARCH("퇴사",IFERROR(INDEX(강사DB!$G$4:$G$53,MATCH($M242,강사DB!$A$4:$A$53,0)),""))),1,0))</f>
        <v>0</v>
      </c>
    </row>
    <row r="243" customFormat="false" ht="15" hidden="false" customHeight="false" outlineLevel="0" collapsed="false">
      <c r="A243" s="45" t="str">
        <f aca="false">IF($D243="","",COUNTA($D$5:$D243))</f>
        <v/>
      </c>
      <c r="B243" s="46"/>
      <c r="C243" s="47"/>
      <c r="D243" s="48"/>
      <c r="E243" s="48"/>
      <c r="F243" s="49"/>
      <c r="G243" s="47"/>
      <c r="H243" s="50"/>
      <c r="I243" s="50"/>
      <c r="J243" s="51" t="str">
        <f aca="false">IF(OR($V243="",$W243=""),"",ROUND(($W243-$V243)/60,2))</f>
        <v/>
      </c>
      <c r="K243" s="52" t="str">
        <f aca="false">IF($F243="","",LEN($F243)-LEN(SUBSTITUTE($F243,",",""))+1)</f>
        <v/>
      </c>
      <c r="L243" s="45" t="str">
        <f aca="false">IF($K243="","","1:"&amp;$K243)</f>
        <v/>
      </c>
      <c r="M243" s="46"/>
      <c r="N243" s="53"/>
      <c r="O243" s="46"/>
      <c r="P243" s="47"/>
      <c r="Q243" s="48"/>
      <c r="R243" s="49"/>
      <c r="S243" s="54" t="str">
        <f aca="false">IF(OR($AC243=0,$U243="",$M243="",$V243="",$W243=""),"",IF(COUNTIFS(m_teacher,$M243,m_date,$U243,m_active,1,m_start,"&lt;"&amp;$W243,m_end,"&gt;"&amp;$V243)&gt;1,"충돌",""))</f>
        <v/>
      </c>
      <c r="T243" s="48"/>
      <c r="U243" s="55" t="str">
        <f aca="false">IF($G243="","",IFERROR(IF(ISNUMBER($G243),IF($G243&gt;19000000,DATE(INT($G243/10000),MOD(INT($G243/100),100),MOD($G243,100)),INT($G243)),IF(LEN(SUBSTITUTE(SUBSTITUTE(SUBSTITUTE(TRIM($G243),"-",""),".",""),"/",""))=8,DATE(VALUE(LEFT(SUBSTITUTE(SUBSTITUTE(SUBSTITUTE(TRIM($G243),"-",""),".",""),"/",""),4)),VALUE(MID(SUBSTITUTE(SUBSTITUTE(SUBSTITUTE(TRIM($G243),"-",""),".",""),"/",""),5,2)),VALUE(RIGHT(SUBSTITUTE(SUBSTITUTE(SUBSTITUTE(TRIM($G243),"-",""),".",""),"/",""),2))),DATEVALUE($G243))),""))</f>
        <v/>
      </c>
      <c r="V243" s="52" t="str">
        <f aca="false">IF($H243="","",IFERROR(IF(IF(ISNUMBER($H243),$H243,IFERROR(TIMEVALUE($H243),VALUE($H243)))&gt;=100,INT(IF(ISNUMBER($H243),$H243,IFERROR(TIMEVALUE($H243),VALUE($H243)))/100)*60+MOD(IF(ISNUMBER($H243),$H243,IFERROR(TIMEVALUE($H243),VALUE($H243))),100),IF(IF(ISNUMBER($H243),$H243,IFERROR(TIMEVALUE($H243),VALUE($H243)))&gt;=1,ROUND(IF(ISNUMBER($H243),$H243,IFERROR(TIMEVALUE($H243),VALUE($H243)))*60,0),ROUND(MOD(IF(ISNUMBER($H243),$H243,IFERROR(TIMEVALUE($H243),VALUE($H243))),1)*1440,0))),""))</f>
        <v/>
      </c>
      <c r="W243" s="52" t="str">
        <f aca="false">IF($I243="","",IFERROR(IF(IF(ISNUMBER($I243),$I243,IFERROR(TIMEVALUE($I243),VALUE($I243)))&gt;=100,INT(IF(ISNUMBER($I243),$I243,IFERROR(TIMEVALUE($I243),VALUE($I243)))/100)*60+MOD(IF(ISNUMBER($I243),$I243,IFERROR(TIMEVALUE($I243),VALUE($I243))),100),IF(IF(ISNUMBER($I243),$I243,IFERROR(TIMEVALUE($I243),VALUE($I243)))&gt;=1,ROUND(IF(ISNUMBER($I243),$I243,IFERROR(TIMEVALUE($I243),VALUE($I243)))*60,0),ROUND(MOD(IF(ISNUMBER($I243),$I243,IFERROR(TIMEVALUE($I243),VALUE($I243))),1)*1440,0))),""))</f>
        <v/>
      </c>
      <c r="X243" s="55" t="str">
        <f aca="false">IF($P243="","",IFERROR(IF(ISNUMBER($P243),IF($P243&gt;19000000,DATE(INT($P243/10000),MOD(INT($P243/100),100),MOD($P243,100)),INT($P243)),IF(LEN(SUBSTITUTE(SUBSTITUTE(SUBSTITUTE(TRIM($P243),"-",""),".",""),"/",""))=8,DATE(VALUE(LEFT(SUBSTITUTE(SUBSTITUTE(SUBSTITUTE(TRIM($P243),"-",""),".",""),"/",""),4)),VALUE(MID(SUBSTITUTE(SUBSTITUTE(SUBSTITUTE(TRIM($P243),"-",""),".",""),"/",""),5,2)),VALUE(RIGHT(SUBSTITUTE(SUBSTITUTE(SUBSTITUTE(TRIM($P243),"-",""),".",""),"/",""),2))),DATEVALUE($P243))),""))</f>
        <v/>
      </c>
      <c r="Y243" s="56" t="str">
        <f aca="false">IF($M243="","",IFERROR(INDEX(강사DB!$D$4:$D$53,MATCH($M243,강사DB!$A$4:$A$53,0)),""))</f>
        <v/>
      </c>
      <c r="Z243" s="56" t="str">
        <f aca="false">IF($B243&lt;&gt;"결제완료","",IF(OR($Y243="",$J243=""),"",$Y243*$J243+MAX(0,N($K243)-1)*설정!$J$7))</f>
        <v/>
      </c>
      <c r="AA243" s="56" t="str">
        <f aca="false">IF(AND($D243&lt;&gt;"",$B243="결제완료"),N($N243),"")</f>
        <v/>
      </c>
      <c r="AB243" s="45" t="str">
        <f aca="false">IF($D243="","",IF($F243&lt;&gt;"",$F243,$D243)&amp;IF($B243="상담중"," (상담)",""))</f>
        <v/>
      </c>
      <c r="AC243" s="45" t="n">
        <f aca="false">IF(AND($D243&lt;&gt;"",OR($B243="결제완료",$B243="상담중")),1,0)</f>
        <v>0</v>
      </c>
      <c r="AD243" s="45" t="n">
        <f aca="false">IF(OR($Z243="",$U243=""),0,IFERROR(IF(COUNTIFS(INDEX(g_grid,0,2*MATCH($M243,강사DB!$A$4:$A$15,0)),"&lt;&gt;",g_s,"&lt;="&amp;$U243,g_e,"&gt;="&amp;$U243)&gt;0,1,0),0))</f>
        <v>0</v>
      </c>
      <c r="AE243" s="48"/>
      <c r="AF243" s="56" t="str">
        <f aca="false">IF(AND($D243&lt;&gt;"",$B243="결제완료",$T243="대여"),설정!$J$5,"")</f>
        <v/>
      </c>
      <c r="AG243" s="54" t="str">
        <f aca="false">IF($D243="","",IF(AND($E243="",$R243=""),$AB243,"☎ "&amp;IF($E243="","-",$E243)&amp;IF($R243&lt;&gt;"","  ※ "&amp;$R243,"")&amp;IF($B243="상담중"," (상담)","")))</f>
        <v/>
      </c>
      <c r="AH243" s="56" t="str">
        <f aca="false">IF(AND($D243&lt;&gt;"",$B243="결제완료",$O243="스마트스토어"),ROUND(N($N243)*설정!$J$6,0),"")</f>
        <v/>
      </c>
      <c r="AI243" s="54" t="str">
        <f aca="false">IF($D243="","",ROW())</f>
        <v/>
      </c>
      <c r="AJ243" s="54" t="n">
        <f aca="false">IF(OR($AC243&lt;&gt;1,$M243=""),0,IF(ISNUMBER(SEARCH("퇴사",IFERROR(INDEX(강사DB!$G$4:$G$53,MATCH($M243,강사DB!$A$4:$A$53,0)),""))),1,0))</f>
        <v>0</v>
      </c>
    </row>
    <row r="244" customFormat="false" ht="15" hidden="false" customHeight="false" outlineLevel="0" collapsed="false">
      <c r="A244" s="45" t="str">
        <f aca="false">IF($D244="","",COUNTA($D$5:$D244))</f>
        <v/>
      </c>
      <c r="B244" s="46"/>
      <c r="C244" s="47"/>
      <c r="D244" s="48"/>
      <c r="E244" s="48"/>
      <c r="F244" s="49"/>
      <c r="G244" s="47"/>
      <c r="H244" s="50"/>
      <c r="I244" s="50"/>
      <c r="J244" s="51" t="str">
        <f aca="false">IF(OR($V244="",$W244=""),"",ROUND(($W244-$V244)/60,2))</f>
        <v/>
      </c>
      <c r="K244" s="52" t="str">
        <f aca="false">IF($F244="","",LEN($F244)-LEN(SUBSTITUTE($F244,",",""))+1)</f>
        <v/>
      </c>
      <c r="L244" s="45" t="str">
        <f aca="false">IF($K244="","","1:"&amp;$K244)</f>
        <v/>
      </c>
      <c r="M244" s="46"/>
      <c r="N244" s="53"/>
      <c r="O244" s="46"/>
      <c r="P244" s="47"/>
      <c r="Q244" s="48"/>
      <c r="R244" s="49"/>
      <c r="S244" s="54" t="str">
        <f aca="false">IF(OR($AC244=0,$U244="",$M244="",$V244="",$W244=""),"",IF(COUNTIFS(m_teacher,$M244,m_date,$U244,m_active,1,m_start,"&lt;"&amp;$W244,m_end,"&gt;"&amp;$V244)&gt;1,"충돌",""))</f>
        <v/>
      </c>
      <c r="T244" s="48"/>
      <c r="U244" s="55" t="str">
        <f aca="false">IF($G244="","",IFERROR(IF(ISNUMBER($G244),IF($G244&gt;19000000,DATE(INT($G244/10000),MOD(INT($G244/100),100),MOD($G244,100)),INT($G244)),IF(LEN(SUBSTITUTE(SUBSTITUTE(SUBSTITUTE(TRIM($G244),"-",""),".",""),"/",""))=8,DATE(VALUE(LEFT(SUBSTITUTE(SUBSTITUTE(SUBSTITUTE(TRIM($G244),"-",""),".",""),"/",""),4)),VALUE(MID(SUBSTITUTE(SUBSTITUTE(SUBSTITUTE(TRIM($G244),"-",""),".",""),"/",""),5,2)),VALUE(RIGHT(SUBSTITUTE(SUBSTITUTE(SUBSTITUTE(TRIM($G244),"-",""),".",""),"/",""),2))),DATEVALUE($G244))),""))</f>
        <v/>
      </c>
      <c r="V244" s="52" t="str">
        <f aca="false">IF($H244="","",IFERROR(IF(IF(ISNUMBER($H244),$H244,IFERROR(TIMEVALUE($H244),VALUE($H244)))&gt;=100,INT(IF(ISNUMBER($H244),$H244,IFERROR(TIMEVALUE($H244),VALUE($H244)))/100)*60+MOD(IF(ISNUMBER($H244),$H244,IFERROR(TIMEVALUE($H244),VALUE($H244))),100),IF(IF(ISNUMBER($H244),$H244,IFERROR(TIMEVALUE($H244),VALUE($H244)))&gt;=1,ROUND(IF(ISNUMBER($H244),$H244,IFERROR(TIMEVALUE($H244),VALUE($H244)))*60,0),ROUND(MOD(IF(ISNUMBER($H244),$H244,IFERROR(TIMEVALUE($H244),VALUE($H244))),1)*1440,0))),""))</f>
        <v/>
      </c>
      <c r="W244" s="52" t="str">
        <f aca="false">IF($I244="","",IFERROR(IF(IF(ISNUMBER($I244),$I244,IFERROR(TIMEVALUE($I244),VALUE($I244)))&gt;=100,INT(IF(ISNUMBER($I244),$I244,IFERROR(TIMEVALUE($I244),VALUE($I244)))/100)*60+MOD(IF(ISNUMBER($I244),$I244,IFERROR(TIMEVALUE($I244),VALUE($I244))),100),IF(IF(ISNUMBER($I244),$I244,IFERROR(TIMEVALUE($I244),VALUE($I244)))&gt;=1,ROUND(IF(ISNUMBER($I244),$I244,IFERROR(TIMEVALUE($I244),VALUE($I244)))*60,0),ROUND(MOD(IF(ISNUMBER($I244),$I244,IFERROR(TIMEVALUE($I244),VALUE($I244))),1)*1440,0))),""))</f>
        <v/>
      </c>
      <c r="X244" s="55" t="str">
        <f aca="false">IF($P244="","",IFERROR(IF(ISNUMBER($P244),IF($P244&gt;19000000,DATE(INT($P244/10000),MOD(INT($P244/100),100),MOD($P244,100)),INT($P244)),IF(LEN(SUBSTITUTE(SUBSTITUTE(SUBSTITUTE(TRIM($P244),"-",""),".",""),"/",""))=8,DATE(VALUE(LEFT(SUBSTITUTE(SUBSTITUTE(SUBSTITUTE(TRIM($P244),"-",""),".",""),"/",""),4)),VALUE(MID(SUBSTITUTE(SUBSTITUTE(SUBSTITUTE(TRIM($P244),"-",""),".",""),"/",""),5,2)),VALUE(RIGHT(SUBSTITUTE(SUBSTITUTE(SUBSTITUTE(TRIM($P244),"-",""),".",""),"/",""),2))),DATEVALUE($P244))),""))</f>
        <v/>
      </c>
      <c r="Y244" s="56" t="str">
        <f aca="false">IF($M244="","",IFERROR(INDEX(강사DB!$D$4:$D$53,MATCH($M244,강사DB!$A$4:$A$53,0)),""))</f>
        <v/>
      </c>
      <c r="Z244" s="56" t="str">
        <f aca="false">IF($B244&lt;&gt;"결제완료","",IF(OR($Y244="",$J244=""),"",$Y244*$J244+MAX(0,N($K244)-1)*설정!$J$7))</f>
        <v/>
      </c>
      <c r="AA244" s="56" t="str">
        <f aca="false">IF(AND($D244&lt;&gt;"",$B244="결제완료"),N($N244),"")</f>
        <v/>
      </c>
      <c r="AB244" s="45" t="str">
        <f aca="false">IF($D244="","",IF($F244&lt;&gt;"",$F244,$D244)&amp;IF($B244="상담중"," (상담)",""))</f>
        <v/>
      </c>
      <c r="AC244" s="45" t="n">
        <f aca="false">IF(AND($D244&lt;&gt;"",OR($B244="결제완료",$B244="상담중")),1,0)</f>
        <v>0</v>
      </c>
      <c r="AD244" s="45" t="n">
        <f aca="false">IF(OR($Z244="",$U244=""),0,IFERROR(IF(COUNTIFS(INDEX(g_grid,0,2*MATCH($M244,강사DB!$A$4:$A$15,0)),"&lt;&gt;",g_s,"&lt;="&amp;$U244,g_e,"&gt;="&amp;$U244)&gt;0,1,0),0))</f>
        <v>0</v>
      </c>
      <c r="AE244" s="48"/>
      <c r="AF244" s="56" t="str">
        <f aca="false">IF(AND($D244&lt;&gt;"",$B244="결제완료",$T244="대여"),설정!$J$5,"")</f>
        <v/>
      </c>
      <c r="AG244" s="54" t="str">
        <f aca="false">IF($D244="","",IF(AND($E244="",$R244=""),$AB244,"☎ "&amp;IF($E244="","-",$E244)&amp;IF($R244&lt;&gt;"","  ※ "&amp;$R244,"")&amp;IF($B244="상담중"," (상담)","")))</f>
        <v/>
      </c>
      <c r="AH244" s="56" t="str">
        <f aca="false">IF(AND($D244&lt;&gt;"",$B244="결제완료",$O244="스마트스토어"),ROUND(N($N244)*설정!$J$6,0),"")</f>
        <v/>
      </c>
      <c r="AI244" s="54" t="str">
        <f aca="false">IF($D244="","",ROW())</f>
        <v/>
      </c>
      <c r="AJ244" s="54" t="n">
        <f aca="false">IF(OR($AC244&lt;&gt;1,$M244=""),0,IF(ISNUMBER(SEARCH("퇴사",IFERROR(INDEX(강사DB!$G$4:$G$53,MATCH($M244,강사DB!$A$4:$A$53,0)),""))),1,0))</f>
        <v>0</v>
      </c>
    </row>
    <row r="245" customFormat="false" ht="15" hidden="false" customHeight="false" outlineLevel="0" collapsed="false">
      <c r="A245" s="45" t="str">
        <f aca="false">IF($D245="","",COUNTA($D$5:$D245))</f>
        <v/>
      </c>
      <c r="B245" s="46"/>
      <c r="C245" s="47"/>
      <c r="D245" s="48"/>
      <c r="E245" s="48"/>
      <c r="F245" s="49"/>
      <c r="G245" s="47"/>
      <c r="H245" s="50"/>
      <c r="I245" s="50"/>
      <c r="J245" s="51" t="str">
        <f aca="false">IF(OR($V245="",$W245=""),"",ROUND(($W245-$V245)/60,2))</f>
        <v/>
      </c>
      <c r="K245" s="52" t="str">
        <f aca="false">IF($F245="","",LEN($F245)-LEN(SUBSTITUTE($F245,",",""))+1)</f>
        <v/>
      </c>
      <c r="L245" s="45" t="str">
        <f aca="false">IF($K245="","","1:"&amp;$K245)</f>
        <v/>
      </c>
      <c r="M245" s="46"/>
      <c r="N245" s="53"/>
      <c r="O245" s="46"/>
      <c r="P245" s="47"/>
      <c r="Q245" s="48"/>
      <c r="R245" s="49"/>
      <c r="S245" s="54" t="str">
        <f aca="false">IF(OR($AC245=0,$U245="",$M245="",$V245="",$W245=""),"",IF(COUNTIFS(m_teacher,$M245,m_date,$U245,m_active,1,m_start,"&lt;"&amp;$W245,m_end,"&gt;"&amp;$V245)&gt;1,"충돌",""))</f>
        <v/>
      </c>
      <c r="T245" s="48"/>
      <c r="U245" s="55" t="str">
        <f aca="false">IF($G245="","",IFERROR(IF(ISNUMBER($G245),IF($G245&gt;19000000,DATE(INT($G245/10000),MOD(INT($G245/100),100),MOD($G245,100)),INT($G245)),IF(LEN(SUBSTITUTE(SUBSTITUTE(SUBSTITUTE(TRIM($G245),"-",""),".",""),"/",""))=8,DATE(VALUE(LEFT(SUBSTITUTE(SUBSTITUTE(SUBSTITUTE(TRIM($G245),"-",""),".",""),"/",""),4)),VALUE(MID(SUBSTITUTE(SUBSTITUTE(SUBSTITUTE(TRIM($G245),"-",""),".",""),"/",""),5,2)),VALUE(RIGHT(SUBSTITUTE(SUBSTITUTE(SUBSTITUTE(TRIM($G245),"-",""),".",""),"/",""),2))),DATEVALUE($G245))),""))</f>
        <v/>
      </c>
      <c r="V245" s="52" t="str">
        <f aca="false">IF($H245="","",IFERROR(IF(IF(ISNUMBER($H245),$H245,IFERROR(TIMEVALUE($H245),VALUE($H245)))&gt;=100,INT(IF(ISNUMBER($H245),$H245,IFERROR(TIMEVALUE($H245),VALUE($H245)))/100)*60+MOD(IF(ISNUMBER($H245),$H245,IFERROR(TIMEVALUE($H245),VALUE($H245))),100),IF(IF(ISNUMBER($H245),$H245,IFERROR(TIMEVALUE($H245),VALUE($H245)))&gt;=1,ROUND(IF(ISNUMBER($H245),$H245,IFERROR(TIMEVALUE($H245),VALUE($H245)))*60,0),ROUND(MOD(IF(ISNUMBER($H245),$H245,IFERROR(TIMEVALUE($H245),VALUE($H245))),1)*1440,0))),""))</f>
        <v/>
      </c>
      <c r="W245" s="52" t="str">
        <f aca="false">IF($I245="","",IFERROR(IF(IF(ISNUMBER($I245),$I245,IFERROR(TIMEVALUE($I245),VALUE($I245)))&gt;=100,INT(IF(ISNUMBER($I245),$I245,IFERROR(TIMEVALUE($I245),VALUE($I245)))/100)*60+MOD(IF(ISNUMBER($I245),$I245,IFERROR(TIMEVALUE($I245),VALUE($I245))),100),IF(IF(ISNUMBER($I245),$I245,IFERROR(TIMEVALUE($I245),VALUE($I245)))&gt;=1,ROUND(IF(ISNUMBER($I245),$I245,IFERROR(TIMEVALUE($I245),VALUE($I245)))*60,0),ROUND(MOD(IF(ISNUMBER($I245),$I245,IFERROR(TIMEVALUE($I245),VALUE($I245))),1)*1440,0))),""))</f>
        <v/>
      </c>
      <c r="X245" s="55" t="str">
        <f aca="false">IF($P245="","",IFERROR(IF(ISNUMBER($P245),IF($P245&gt;19000000,DATE(INT($P245/10000),MOD(INT($P245/100),100),MOD($P245,100)),INT($P245)),IF(LEN(SUBSTITUTE(SUBSTITUTE(SUBSTITUTE(TRIM($P245),"-",""),".",""),"/",""))=8,DATE(VALUE(LEFT(SUBSTITUTE(SUBSTITUTE(SUBSTITUTE(TRIM($P245),"-",""),".",""),"/",""),4)),VALUE(MID(SUBSTITUTE(SUBSTITUTE(SUBSTITUTE(TRIM($P245),"-",""),".",""),"/",""),5,2)),VALUE(RIGHT(SUBSTITUTE(SUBSTITUTE(SUBSTITUTE(TRIM($P245),"-",""),".",""),"/",""),2))),DATEVALUE($P245))),""))</f>
        <v/>
      </c>
      <c r="Y245" s="56" t="str">
        <f aca="false">IF($M245="","",IFERROR(INDEX(강사DB!$D$4:$D$53,MATCH($M245,강사DB!$A$4:$A$53,0)),""))</f>
        <v/>
      </c>
      <c r="Z245" s="56" t="str">
        <f aca="false">IF($B245&lt;&gt;"결제완료","",IF(OR($Y245="",$J245=""),"",$Y245*$J245+MAX(0,N($K245)-1)*설정!$J$7))</f>
        <v/>
      </c>
      <c r="AA245" s="56" t="str">
        <f aca="false">IF(AND($D245&lt;&gt;"",$B245="결제완료"),N($N245),"")</f>
        <v/>
      </c>
      <c r="AB245" s="45" t="str">
        <f aca="false">IF($D245="","",IF($F245&lt;&gt;"",$F245,$D245)&amp;IF($B245="상담중"," (상담)",""))</f>
        <v/>
      </c>
      <c r="AC245" s="45" t="n">
        <f aca="false">IF(AND($D245&lt;&gt;"",OR($B245="결제완료",$B245="상담중")),1,0)</f>
        <v>0</v>
      </c>
      <c r="AD245" s="45" t="n">
        <f aca="false">IF(OR($Z245="",$U245=""),0,IFERROR(IF(COUNTIFS(INDEX(g_grid,0,2*MATCH($M245,강사DB!$A$4:$A$15,0)),"&lt;&gt;",g_s,"&lt;="&amp;$U245,g_e,"&gt;="&amp;$U245)&gt;0,1,0),0))</f>
        <v>0</v>
      </c>
      <c r="AE245" s="48"/>
      <c r="AF245" s="56" t="str">
        <f aca="false">IF(AND($D245&lt;&gt;"",$B245="결제완료",$T245="대여"),설정!$J$5,"")</f>
        <v/>
      </c>
      <c r="AG245" s="54" t="str">
        <f aca="false">IF($D245="","",IF(AND($E245="",$R245=""),$AB245,"☎ "&amp;IF($E245="","-",$E245)&amp;IF($R245&lt;&gt;"","  ※ "&amp;$R245,"")&amp;IF($B245="상담중"," (상담)","")))</f>
        <v/>
      </c>
      <c r="AH245" s="56" t="str">
        <f aca="false">IF(AND($D245&lt;&gt;"",$B245="결제완료",$O245="스마트스토어"),ROUND(N($N245)*설정!$J$6,0),"")</f>
        <v/>
      </c>
      <c r="AI245" s="54" t="str">
        <f aca="false">IF($D245="","",ROW())</f>
        <v/>
      </c>
      <c r="AJ245" s="54" t="n">
        <f aca="false">IF(OR($AC245&lt;&gt;1,$M245=""),0,IF(ISNUMBER(SEARCH("퇴사",IFERROR(INDEX(강사DB!$G$4:$G$53,MATCH($M245,강사DB!$A$4:$A$53,0)),""))),1,0))</f>
        <v>0</v>
      </c>
    </row>
    <row r="246" customFormat="false" ht="15" hidden="false" customHeight="false" outlineLevel="0" collapsed="false">
      <c r="A246" s="45" t="str">
        <f aca="false">IF($D246="","",COUNTA($D$5:$D246))</f>
        <v/>
      </c>
      <c r="B246" s="46"/>
      <c r="C246" s="47"/>
      <c r="D246" s="48"/>
      <c r="E246" s="48"/>
      <c r="F246" s="49"/>
      <c r="G246" s="47"/>
      <c r="H246" s="50"/>
      <c r="I246" s="50"/>
      <c r="J246" s="51" t="str">
        <f aca="false">IF(OR($V246="",$W246=""),"",ROUND(($W246-$V246)/60,2))</f>
        <v/>
      </c>
      <c r="K246" s="52" t="str">
        <f aca="false">IF($F246="","",LEN($F246)-LEN(SUBSTITUTE($F246,",",""))+1)</f>
        <v/>
      </c>
      <c r="L246" s="45" t="str">
        <f aca="false">IF($K246="","","1:"&amp;$K246)</f>
        <v/>
      </c>
      <c r="M246" s="46"/>
      <c r="N246" s="53"/>
      <c r="O246" s="46"/>
      <c r="P246" s="47"/>
      <c r="Q246" s="48"/>
      <c r="R246" s="49"/>
      <c r="S246" s="54" t="str">
        <f aca="false">IF(OR($AC246=0,$U246="",$M246="",$V246="",$W246=""),"",IF(COUNTIFS(m_teacher,$M246,m_date,$U246,m_active,1,m_start,"&lt;"&amp;$W246,m_end,"&gt;"&amp;$V246)&gt;1,"충돌",""))</f>
        <v/>
      </c>
      <c r="T246" s="48"/>
      <c r="U246" s="55" t="str">
        <f aca="false">IF($G246="","",IFERROR(IF(ISNUMBER($G246),IF($G246&gt;19000000,DATE(INT($G246/10000),MOD(INT($G246/100),100),MOD($G246,100)),INT($G246)),IF(LEN(SUBSTITUTE(SUBSTITUTE(SUBSTITUTE(TRIM($G246),"-",""),".",""),"/",""))=8,DATE(VALUE(LEFT(SUBSTITUTE(SUBSTITUTE(SUBSTITUTE(TRIM($G246),"-",""),".",""),"/",""),4)),VALUE(MID(SUBSTITUTE(SUBSTITUTE(SUBSTITUTE(TRIM($G246),"-",""),".",""),"/",""),5,2)),VALUE(RIGHT(SUBSTITUTE(SUBSTITUTE(SUBSTITUTE(TRIM($G246),"-",""),".",""),"/",""),2))),DATEVALUE($G246))),""))</f>
        <v/>
      </c>
      <c r="V246" s="52" t="str">
        <f aca="false">IF($H246="","",IFERROR(IF(IF(ISNUMBER($H246),$H246,IFERROR(TIMEVALUE($H246),VALUE($H246)))&gt;=100,INT(IF(ISNUMBER($H246),$H246,IFERROR(TIMEVALUE($H246),VALUE($H246)))/100)*60+MOD(IF(ISNUMBER($H246),$H246,IFERROR(TIMEVALUE($H246),VALUE($H246))),100),IF(IF(ISNUMBER($H246),$H246,IFERROR(TIMEVALUE($H246),VALUE($H246)))&gt;=1,ROUND(IF(ISNUMBER($H246),$H246,IFERROR(TIMEVALUE($H246),VALUE($H246)))*60,0),ROUND(MOD(IF(ISNUMBER($H246),$H246,IFERROR(TIMEVALUE($H246),VALUE($H246))),1)*1440,0))),""))</f>
        <v/>
      </c>
      <c r="W246" s="52" t="str">
        <f aca="false">IF($I246="","",IFERROR(IF(IF(ISNUMBER($I246),$I246,IFERROR(TIMEVALUE($I246),VALUE($I246)))&gt;=100,INT(IF(ISNUMBER($I246),$I246,IFERROR(TIMEVALUE($I246),VALUE($I246)))/100)*60+MOD(IF(ISNUMBER($I246),$I246,IFERROR(TIMEVALUE($I246),VALUE($I246))),100),IF(IF(ISNUMBER($I246),$I246,IFERROR(TIMEVALUE($I246),VALUE($I246)))&gt;=1,ROUND(IF(ISNUMBER($I246),$I246,IFERROR(TIMEVALUE($I246),VALUE($I246)))*60,0),ROUND(MOD(IF(ISNUMBER($I246),$I246,IFERROR(TIMEVALUE($I246),VALUE($I246))),1)*1440,0))),""))</f>
        <v/>
      </c>
      <c r="X246" s="55" t="str">
        <f aca="false">IF($P246="","",IFERROR(IF(ISNUMBER($P246),IF($P246&gt;19000000,DATE(INT($P246/10000),MOD(INT($P246/100),100),MOD($P246,100)),INT($P246)),IF(LEN(SUBSTITUTE(SUBSTITUTE(SUBSTITUTE(TRIM($P246),"-",""),".",""),"/",""))=8,DATE(VALUE(LEFT(SUBSTITUTE(SUBSTITUTE(SUBSTITUTE(TRIM($P246),"-",""),".",""),"/",""),4)),VALUE(MID(SUBSTITUTE(SUBSTITUTE(SUBSTITUTE(TRIM($P246),"-",""),".",""),"/",""),5,2)),VALUE(RIGHT(SUBSTITUTE(SUBSTITUTE(SUBSTITUTE(TRIM($P246),"-",""),".",""),"/",""),2))),DATEVALUE($P246))),""))</f>
        <v/>
      </c>
      <c r="Y246" s="56" t="str">
        <f aca="false">IF($M246="","",IFERROR(INDEX(강사DB!$D$4:$D$53,MATCH($M246,강사DB!$A$4:$A$53,0)),""))</f>
        <v/>
      </c>
      <c r="Z246" s="56" t="str">
        <f aca="false">IF($B246&lt;&gt;"결제완료","",IF(OR($Y246="",$J246=""),"",$Y246*$J246+MAX(0,N($K246)-1)*설정!$J$7))</f>
        <v/>
      </c>
      <c r="AA246" s="56" t="str">
        <f aca="false">IF(AND($D246&lt;&gt;"",$B246="결제완료"),N($N246),"")</f>
        <v/>
      </c>
      <c r="AB246" s="45" t="str">
        <f aca="false">IF($D246="","",IF($F246&lt;&gt;"",$F246,$D246)&amp;IF($B246="상담중"," (상담)",""))</f>
        <v/>
      </c>
      <c r="AC246" s="45" t="n">
        <f aca="false">IF(AND($D246&lt;&gt;"",OR($B246="결제완료",$B246="상담중")),1,0)</f>
        <v>0</v>
      </c>
      <c r="AD246" s="45" t="n">
        <f aca="false">IF(OR($Z246="",$U246=""),0,IFERROR(IF(COUNTIFS(INDEX(g_grid,0,2*MATCH($M246,강사DB!$A$4:$A$15,0)),"&lt;&gt;",g_s,"&lt;="&amp;$U246,g_e,"&gt;="&amp;$U246)&gt;0,1,0),0))</f>
        <v>0</v>
      </c>
      <c r="AE246" s="48"/>
      <c r="AF246" s="56" t="str">
        <f aca="false">IF(AND($D246&lt;&gt;"",$B246="결제완료",$T246="대여"),설정!$J$5,"")</f>
        <v/>
      </c>
      <c r="AG246" s="54" t="str">
        <f aca="false">IF($D246="","",IF(AND($E246="",$R246=""),$AB246,"☎ "&amp;IF($E246="","-",$E246)&amp;IF($R246&lt;&gt;"","  ※ "&amp;$R246,"")&amp;IF($B246="상담중"," (상담)","")))</f>
        <v/>
      </c>
      <c r="AH246" s="56" t="str">
        <f aca="false">IF(AND($D246&lt;&gt;"",$B246="결제완료",$O246="스마트스토어"),ROUND(N($N246)*설정!$J$6,0),"")</f>
        <v/>
      </c>
      <c r="AI246" s="54" t="str">
        <f aca="false">IF($D246="","",ROW())</f>
        <v/>
      </c>
      <c r="AJ246" s="54" t="n">
        <f aca="false">IF(OR($AC246&lt;&gt;1,$M246=""),0,IF(ISNUMBER(SEARCH("퇴사",IFERROR(INDEX(강사DB!$G$4:$G$53,MATCH($M246,강사DB!$A$4:$A$53,0)),""))),1,0))</f>
        <v>0</v>
      </c>
    </row>
    <row r="247" customFormat="false" ht="15" hidden="false" customHeight="false" outlineLevel="0" collapsed="false">
      <c r="A247" s="45" t="str">
        <f aca="false">IF($D247="","",COUNTA($D$5:$D247))</f>
        <v/>
      </c>
      <c r="B247" s="46"/>
      <c r="C247" s="47"/>
      <c r="D247" s="48"/>
      <c r="E247" s="48"/>
      <c r="F247" s="49"/>
      <c r="G247" s="47"/>
      <c r="H247" s="50"/>
      <c r="I247" s="50"/>
      <c r="J247" s="51" t="str">
        <f aca="false">IF(OR($V247="",$W247=""),"",ROUND(($W247-$V247)/60,2))</f>
        <v/>
      </c>
      <c r="K247" s="52" t="str">
        <f aca="false">IF($F247="","",LEN($F247)-LEN(SUBSTITUTE($F247,",",""))+1)</f>
        <v/>
      </c>
      <c r="L247" s="45" t="str">
        <f aca="false">IF($K247="","","1:"&amp;$K247)</f>
        <v/>
      </c>
      <c r="M247" s="46"/>
      <c r="N247" s="53"/>
      <c r="O247" s="46"/>
      <c r="P247" s="47"/>
      <c r="Q247" s="48"/>
      <c r="R247" s="49"/>
      <c r="S247" s="54" t="str">
        <f aca="false">IF(OR($AC247=0,$U247="",$M247="",$V247="",$W247=""),"",IF(COUNTIFS(m_teacher,$M247,m_date,$U247,m_active,1,m_start,"&lt;"&amp;$W247,m_end,"&gt;"&amp;$V247)&gt;1,"충돌",""))</f>
        <v/>
      </c>
      <c r="T247" s="48"/>
      <c r="U247" s="55" t="str">
        <f aca="false">IF($G247="","",IFERROR(IF(ISNUMBER($G247),IF($G247&gt;19000000,DATE(INT($G247/10000),MOD(INT($G247/100),100),MOD($G247,100)),INT($G247)),IF(LEN(SUBSTITUTE(SUBSTITUTE(SUBSTITUTE(TRIM($G247),"-",""),".",""),"/",""))=8,DATE(VALUE(LEFT(SUBSTITUTE(SUBSTITUTE(SUBSTITUTE(TRIM($G247),"-",""),".",""),"/",""),4)),VALUE(MID(SUBSTITUTE(SUBSTITUTE(SUBSTITUTE(TRIM($G247),"-",""),".",""),"/",""),5,2)),VALUE(RIGHT(SUBSTITUTE(SUBSTITUTE(SUBSTITUTE(TRIM($G247),"-",""),".",""),"/",""),2))),DATEVALUE($G247))),""))</f>
        <v/>
      </c>
      <c r="V247" s="52" t="str">
        <f aca="false">IF($H247="","",IFERROR(IF(IF(ISNUMBER($H247),$H247,IFERROR(TIMEVALUE($H247),VALUE($H247)))&gt;=100,INT(IF(ISNUMBER($H247),$H247,IFERROR(TIMEVALUE($H247),VALUE($H247)))/100)*60+MOD(IF(ISNUMBER($H247),$H247,IFERROR(TIMEVALUE($H247),VALUE($H247))),100),IF(IF(ISNUMBER($H247),$H247,IFERROR(TIMEVALUE($H247),VALUE($H247)))&gt;=1,ROUND(IF(ISNUMBER($H247),$H247,IFERROR(TIMEVALUE($H247),VALUE($H247)))*60,0),ROUND(MOD(IF(ISNUMBER($H247),$H247,IFERROR(TIMEVALUE($H247),VALUE($H247))),1)*1440,0))),""))</f>
        <v/>
      </c>
      <c r="W247" s="52" t="str">
        <f aca="false">IF($I247="","",IFERROR(IF(IF(ISNUMBER($I247),$I247,IFERROR(TIMEVALUE($I247),VALUE($I247)))&gt;=100,INT(IF(ISNUMBER($I247),$I247,IFERROR(TIMEVALUE($I247),VALUE($I247)))/100)*60+MOD(IF(ISNUMBER($I247),$I247,IFERROR(TIMEVALUE($I247),VALUE($I247))),100),IF(IF(ISNUMBER($I247),$I247,IFERROR(TIMEVALUE($I247),VALUE($I247)))&gt;=1,ROUND(IF(ISNUMBER($I247),$I247,IFERROR(TIMEVALUE($I247),VALUE($I247)))*60,0),ROUND(MOD(IF(ISNUMBER($I247),$I247,IFERROR(TIMEVALUE($I247),VALUE($I247))),1)*1440,0))),""))</f>
        <v/>
      </c>
      <c r="X247" s="55" t="str">
        <f aca="false">IF($P247="","",IFERROR(IF(ISNUMBER($P247),IF($P247&gt;19000000,DATE(INT($P247/10000),MOD(INT($P247/100),100),MOD($P247,100)),INT($P247)),IF(LEN(SUBSTITUTE(SUBSTITUTE(SUBSTITUTE(TRIM($P247),"-",""),".",""),"/",""))=8,DATE(VALUE(LEFT(SUBSTITUTE(SUBSTITUTE(SUBSTITUTE(TRIM($P247),"-",""),".",""),"/",""),4)),VALUE(MID(SUBSTITUTE(SUBSTITUTE(SUBSTITUTE(TRIM($P247),"-",""),".",""),"/",""),5,2)),VALUE(RIGHT(SUBSTITUTE(SUBSTITUTE(SUBSTITUTE(TRIM($P247),"-",""),".",""),"/",""),2))),DATEVALUE($P247))),""))</f>
        <v/>
      </c>
      <c r="Y247" s="56" t="str">
        <f aca="false">IF($M247="","",IFERROR(INDEX(강사DB!$D$4:$D$53,MATCH($M247,강사DB!$A$4:$A$53,0)),""))</f>
        <v/>
      </c>
      <c r="Z247" s="56" t="str">
        <f aca="false">IF($B247&lt;&gt;"결제완료","",IF(OR($Y247="",$J247=""),"",$Y247*$J247+MAX(0,N($K247)-1)*설정!$J$7))</f>
        <v/>
      </c>
      <c r="AA247" s="56" t="str">
        <f aca="false">IF(AND($D247&lt;&gt;"",$B247="결제완료"),N($N247),"")</f>
        <v/>
      </c>
      <c r="AB247" s="45" t="str">
        <f aca="false">IF($D247="","",IF($F247&lt;&gt;"",$F247,$D247)&amp;IF($B247="상담중"," (상담)",""))</f>
        <v/>
      </c>
      <c r="AC247" s="45" t="n">
        <f aca="false">IF(AND($D247&lt;&gt;"",OR($B247="결제완료",$B247="상담중")),1,0)</f>
        <v>0</v>
      </c>
      <c r="AD247" s="45" t="n">
        <f aca="false">IF(OR($Z247="",$U247=""),0,IFERROR(IF(COUNTIFS(INDEX(g_grid,0,2*MATCH($M247,강사DB!$A$4:$A$15,0)),"&lt;&gt;",g_s,"&lt;="&amp;$U247,g_e,"&gt;="&amp;$U247)&gt;0,1,0),0))</f>
        <v>0</v>
      </c>
      <c r="AE247" s="48"/>
      <c r="AF247" s="56" t="str">
        <f aca="false">IF(AND($D247&lt;&gt;"",$B247="결제완료",$T247="대여"),설정!$J$5,"")</f>
        <v/>
      </c>
      <c r="AG247" s="54" t="str">
        <f aca="false">IF($D247="","",IF(AND($E247="",$R247=""),$AB247,"☎ "&amp;IF($E247="","-",$E247)&amp;IF($R247&lt;&gt;"","  ※ "&amp;$R247,"")&amp;IF($B247="상담중"," (상담)","")))</f>
        <v/>
      </c>
      <c r="AH247" s="56" t="str">
        <f aca="false">IF(AND($D247&lt;&gt;"",$B247="결제완료",$O247="스마트스토어"),ROUND(N($N247)*설정!$J$6,0),"")</f>
        <v/>
      </c>
      <c r="AI247" s="54" t="str">
        <f aca="false">IF($D247="","",ROW())</f>
        <v/>
      </c>
      <c r="AJ247" s="54" t="n">
        <f aca="false">IF(OR($AC247&lt;&gt;1,$M247=""),0,IF(ISNUMBER(SEARCH("퇴사",IFERROR(INDEX(강사DB!$G$4:$G$53,MATCH($M247,강사DB!$A$4:$A$53,0)),""))),1,0))</f>
        <v>0</v>
      </c>
    </row>
    <row r="248" customFormat="false" ht="15" hidden="false" customHeight="false" outlineLevel="0" collapsed="false">
      <c r="A248" s="45" t="str">
        <f aca="false">IF($D248="","",COUNTA($D$5:$D248))</f>
        <v/>
      </c>
      <c r="B248" s="46"/>
      <c r="C248" s="47"/>
      <c r="D248" s="48"/>
      <c r="E248" s="48"/>
      <c r="F248" s="49"/>
      <c r="G248" s="47"/>
      <c r="H248" s="50"/>
      <c r="I248" s="50"/>
      <c r="J248" s="51" t="str">
        <f aca="false">IF(OR($V248="",$W248=""),"",ROUND(($W248-$V248)/60,2))</f>
        <v/>
      </c>
      <c r="K248" s="52" t="str">
        <f aca="false">IF($F248="","",LEN($F248)-LEN(SUBSTITUTE($F248,",",""))+1)</f>
        <v/>
      </c>
      <c r="L248" s="45" t="str">
        <f aca="false">IF($K248="","","1:"&amp;$K248)</f>
        <v/>
      </c>
      <c r="M248" s="46"/>
      <c r="N248" s="53"/>
      <c r="O248" s="46"/>
      <c r="P248" s="47"/>
      <c r="Q248" s="48"/>
      <c r="R248" s="49"/>
      <c r="S248" s="54" t="str">
        <f aca="false">IF(OR($AC248=0,$U248="",$M248="",$V248="",$W248=""),"",IF(COUNTIFS(m_teacher,$M248,m_date,$U248,m_active,1,m_start,"&lt;"&amp;$W248,m_end,"&gt;"&amp;$V248)&gt;1,"충돌",""))</f>
        <v/>
      </c>
      <c r="T248" s="48"/>
      <c r="U248" s="55" t="str">
        <f aca="false">IF($G248="","",IFERROR(IF(ISNUMBER($G248),IF($G248&gt;19000000,DATE(INT($G248/10000),MOD(INT($G248/100),100),MOD($G248,100)),INT($G248)),IF(LEN(SUBSTITUTE(SUBSTITUTE(SUBSTITUTE(TRIM($G248),"-",""),".",""),"/",""))=8,DATE(VALUE(LEFT(SUBSTITUTE(SUBSTITUTE(SUBSTITUTE(TRIM($G248),"-",""),".",""),"/",""),4)),VALUE(MID(SUBSTITUTE(SUBSTITUTE(SUBSTITUTE(TRIM($G248),"-",""),".",""),"/",""),5,2)),VALUE(RIGHT(SUBSTITUTE(SUBSTITUTE(SUBSTITUTE(TRIM($G248),"-",""),".",""),"/",""),2))),DATEVALUE($G248))),""))</f>
        <v/>
      </c>
      <c r="V248" s="52" t="str">
        <f aca="false">IF($H248="","",IFERROR(IF(IF(ISNUMBER($H248),$H248,IFERROR(TIMEVALUE($H248),VALUE($H248)))&gt;=100,INT(IF(ISNUMBER($H248),$H248,IFERROR(TIMEVALUE($H248),VALUE($H248)))/100)*60+MOD(IF(ISNUMBER($H248),$H248,IFERROR(TIMEVALUE($H248),VALUE($H248))),100),IF(IF(ISNUMBER($H248),$H248,IFERROR(TIMEVALUE($H248),VALUE($H248)))&gt;=1,ROUND(IF(ISNUMBER($H248),$H248,IFERROR(TIMEVALUE($H248),VALUE($H248)))*60,0),ROUND(MOD(IF(ISNUMBER($H248),$H248,IFERROR(TIMEVALUE($H248),VALUE($H248))),1)*1440,0))),""))</f>
        <v/>
      </c>
      <c r="W248" s="52" t="str">
        <f aca="false">IF($I248="","",IFERROR(IF(IF(ISNUMBER($I248),$I248,IFERROR(TIMEVALUE($I248),VALUE($I248)))&gt;=100,INT(IF(ISNUMBER($I248),$I248,IFERROR(TIMEVALUE($I248),VALUE($I248)))/100)*60+MOD(IF(ISNUMBER($I248),$I248,IFERROR(TIMEVALUE($I248),VALUE($I248))),100),IF(IF(ISNUMBER($I248),$I248,IFERROR(TIMEVALUE($I248),VALUE($I248)))&gt;=1,ROUND(IF(ISNUMBER($I248),$I248,IFERROR(TIMEVALUE($I248),VALUE($I248)))*60,0),ROUND(MOD(IF(ISNUMBER($I248),$I248,IFERROR(TIMEVALUE($I248),VALUE($I248))),1)*1440,0))),""))</f>
        <v/>
      </c>
      <c r="X248" s="55" t="str">
        <f aca="false">IF($P248="","",IFERROR(IF(ISNUMBER($P248),IF($P248&gt;19000000,DATE(INT($P248/10000),MOD(INT($P248/100),100),MOD($P248,100)),INT($P248)),IF(LEN(SUBSTITUTE(SUBSTITUTE(SUBSTITUTE(TRIM($P248),"-",""),".",""),"/",""))=8,DATE(VALUE(LEFT(SUBSTITUTE(SUBSTITUTE(SUBSTITUTE(TRIM($P248),"-",""),".",""),"/",""),4)),VALUE(MID(SUBSTITUTE(SUBSTITUTE(SUBSTITUTE(TRIM($P248),"-",""),".",""),"/",""),5,2)),VALUE(RIGHT(SUBSTITUTE(SUBSTITUTE(SUBSTITUTE(TRIM($P248),"-",""),".",""),"/",""),2))),DATEVALUE($P248))),""))</f>
        <v/>
      </c>
      <c r="Y248" s="56" t="str">
        <f aca="false">IF($M248="","",IFERROR(INDEX(강사DB!$D$4:$D$53,MATCH($M248,강사DB!$A$4:$A$53,0)),""))</f>
        <v/>
      </c>
      <c r="Z248" s="56" t="str">
        <f aca="false">IF($B248&lt;&gt;"결제완료","",IF(OR($Y248="",$J248=""),"",$Y248*$J248+MAX(0,N($K248)-1)*설정!$J$7))</f>
        <v/>
      </c>
      <c r="AA248" s="56" t="str">
        <f aca="false">IF(AND($D248&lt;&gt;"",$B248="결제완료"),N($N248),"")</f>
        <v/>
      </c>
      <c r="AB248" s="45" t="str">
        <f aca="false">IF($D248="","",IF($F248&lt;&gt;"",$F248,$D248)&amp;IF($B248="상담중"," (상담)",""))</f>
        <v/>
      </c>
      <c r="AC248" s="45" t="n">
        <f aca="false">IF(AND($D248&lt;&gt;"",OR($B248="결제완료",$B248="상담중")),1,0)</f>
        <v>0</v>
      </c>
      <c r="AD248" s="45" t="n">
        <f aca="false">IF(OR($Z248="",$U248=""),0,IFERROR(IF(COUNTIFS(INDEX(g_grid,0,2*MATCH($M248,강사DB!$A$4:$A$15,0)),"&lt;&gt;",g_s,"&lt;="&amp;$U248,g_e,"&gt;="&amp;$U248)&gt;0,1,0),0))</f>
        <v>0</v>
      </c>
      <c r="AE248" s="48"/>
      <c r="AF248" s="56" t="str">
        <f aca="false">IF(AND($D248&lt;&gt;"",$B248="결제완료",$T248="대여"),설정!$J$5,"")</f>
        <v/>
      </c>
      <c r="AG248" s="54" t="str">
        <f aca="false">IF($D248="","",IF(AND($E248="",$R248=""),$AB248,"☎ "&amp;IF($E248="","-",$E248)&amp;IF($R248&lt;&gt;"","  ※ "&amp;$R248,"")&amp;IF($B248="상담중"," (상담)","")))</f>
        <v/>
      </c>
      <c r="AH248" s="56" t="str">
        <f aca="false">IF(AND($D248&lt;&gt;"",$B248="결제완료",$O248="스마트스토어"),ROUND(N($N248)*설정!$J$6,0),"")</f>
        <v/>
      </c>
      <c r="AI248" s="54" t="str">
        <f aca="false">IF($D248="","",ROW())</f>
        <v/>
      </c>
      <c r="AJ248" s="54" t="n">
        <f aca="false">IF(OR($AC248&lt;&gt;1,$M248=""),0,IF(ISNUMBER(SEARCH("퇴사",IFERROR(INDEX(강사DB!$G$4:$G$53,MATCH($M248,강사DB!$A$4:$A$53,0)),""))),1,0))</f>
        <v>0</v>
      </c>
    </row>
    <row r="249" customFormat="false" ht="15" hidden="false" customHeight="false" outlineLevel="0" collapsed="false">
      <c r="A249" s="45" t="str">
        <f aca="false">IF($D249="","",COUNTA($D$5:$D249))</f>
        <v/>
      </c>
      <c r="B249" s="46"/>
      <c r="C249" s="47"/>
      <c r="D249" s="48"/>
      <c r="E249" s="48"/>
      <c r="F249" s="49"/>
      <c r="G249" s="47"/>
      <c r="H249" s="50"/>
      <c r="I249" s="50"/>
      <c r="J249" s="51" t="str">
        <f aca="false">IF(OR($V249="",$W249=""),"",ROUND(($W249-$V249)/60,2))</f>
        <v/>
      </c>
      <c r="K249" s="52" t="str">
        <f aca="false">IF($F249="","",LEN($F249)-LEN(SUBSTITUTE($F249,",",""))+1)</f>
        <v/>
      </c>
      <c r="L249" s="45" t="str">
        <f aca="false">IF($K249="","","1:"&amp;$K249)</f>
        <v/>
      </c>
      <c r="M249" s="46"/>
      <c r="N249" s="53"/>
      <c r="O249" s="46"/>
      <c r="P249" s="47"/>
      <c r="Q249" s="48"/>
      <c r="R249" s="49"/>
      <c r="S249" s="54" t="str">
        <f aca="false">IF(OR($AC249=0,$U249="",$M249="",$V249="",$W249=""),"",IF(COUNTIFS(m_teacher,$M249,m_date,$U249,m_active,1,m_start,"&lt;"&amp;$W249,m_end,"&gt;"&amp;$V249)&gt;1,"충돌",""))</f>
        <v/>
      </c>
      <c r="T249" s="48"/>
      <c r="U249" s="55" t="str">
        <f aca="false">IF($G249="","",IFERROR(IF(ISNUMBER($G249),IF($G249&gt;19000000,DATE(INT($G249/10000),MOD(INT($G249/100),100),MOD($G249,100)),INT($G249)),IF(LEN(SUBSTITUTE(SUBSTITUTE(SUBSTITUTE(TRIM($G249),"-",""),".",""),"/",""))=8,DATE(VALUE(LEFT(SUBSTITUTE(SUBSTITUTE(SUBSTITUTE(TRIM($G249),"-",""),".",""),"/",""),4)),VALUE(MID(SUBSTITUTE(SUBSTITUTE(SUBSTITUTE(TRIM($G249),"-",""),".",""),"/",""),5,2)),VALUE(RIGHT(SUBSTITUTE(SUBSTITUTE(SUBSTITUTE(TRIM($G249),"-",""),".",""),"/",""),2))),DATEVALUE($G249))),""))</f>
        <v/>
      </c>
      <c r="V249" s="52" t="str">
        <f aca="false">IF($H249="","",IFERROR(IF(IF(ISNUMBER($H249),$H249,IFERROR(TIMEVALUE($H249),VALUE($H249)))&gt;=100,INT(IF(ISNUMBER($H249),$H249,IFERROR(TIMEVALUE($H249),VALUE($H249)))/100)*60+MOD(IF(ISNUMBER($H249),$H249,IFERROR(TIMEVALUE($H249),VALUE($H249))),100),IF(IF(ISNUMBER($H249),$H249,IFERROR(TIMEVALUE($H249),VALUE($H249)))&gt;=1,ROUND(IF(ISNUMBER($H249),$H249,IFERROR(TIMEVALUE($H249),VALUE($H249)))*60,0),ROUND(MOD(IF(ISNUMBER($H249),$H249,IFERROR(TIMEVALUE($H249),VALUE($H249))),1)*1440,0))),""))</f>
        <v/>
      </c>
      <c r="W249" s="52" t="str">
        <f aca="false">IF($I249="","",IFERROR(IF(IF(ISNUMBER($I249),$I249,IFERROR(TIMEVALUE($I249),VALUE($I249)))&gt;=100,INT(IF(ISNUMBER($I249),$I249,IFERROR(TIMEVALUE($I249),VALUE($I249)))/100)*60+MOD(IF(ISNUMBER($I249),$I249,IFERROR(TIMEVALUE($I249),VALUE($I249))),100),IF(IF(ISNUMBER($I249),$I249,IFERROR(TIMEVALUE($I249),VALUE($I249)))&gt;=1,ROUND(IF(ISNUMBER($I249),$I249,IFERROR(TIMEVALUE($I249),VALUE($I249)))*60,0),ROUND(MOD(IF(ISNUMBER($I249),$I249,IFERROR(TIMEVALUE($I249),VALUE($I249))),1)*1440,0))),""))</f>
        <v/>
      </c>
      <c r="X249" s="55" t="str">
        <f aca="false">IF($P249="","",IFERROR(IF(ISNUMBER($P249),IF($P249&gt;19000000,DATE(INT($P249/10000),MOD(INT($P249/100),100),MOD($P249,100)),INT($P249)),IF(LEN(SUBSTITUTE(SUBSTITUTE(SUBSTITUTE(TRIM($P249),"-",""),".",""),"/",""))=8,DATE(VALUE(LEFT(SUBSTITUTE(SUBSTITUTE(SUBSTITUTE(TRIM($P249),"-",""),".",""),"/",""),4)),VALUE(MID(SUBSTITUTE(SUBSTITUTE(SUBSTITUTE(TRIM($P249),"-",""),".",""),"/",""),5,2)),VALUE(RIGHT(SUBSTITUTE(SUBSTITUTE(SUBSTITUTE(TRIM($P249),"-",""),".",""),"/",""),2))),DATEVALUE($P249))),""))</f>
        <v/>
      </c>
      <c r="Y249" s="56" t="str">
        <f aca="false">IF($M249="","",IFERROR(INDEX(강사DB!$D$4:$D$53,MATCH($M249,강사DB!$A$4:$A$53,0)),""))</f>
        <v/>
      </c>
      <c r="Z249" s="56" t="str">
        <f aca="false">IF($B249&lt;&gt;"결제완료","",IF(OR($Y249="",$J249=""),"",$Y249*$J249+MAX(0,N($K249)-1)*설정!$J$7))</f>
        <v/>
      </c>
      <c r="AA249" s="56" t="str">
        <f aca="false">IF(AND($D249&lt;&gt;"",$B249="결제완료"),N($N249),"")</f>
        <v/>
      </c>
      <c r="AB249" s="45" t="str">
        <f aca="false">IF($D249="","",IF($F249&lt;&gt;"",$F249,$D249)&amp;IF($B249="상담중"," (상담)",""))</f>
        <v/>
      </c>
      <c r="AC249" s="45" t="n">
        <f aca="false">IF(AND($D249&lt;&gt;"",OR($B249="결제완료",$B249="상담중")),1,0)</f>
        <v>0</v>
      </c>
      <c r="AD249" s="45" t="n">
        <f aca="false">IF(OR($Z249="",$U249=""),0,IFERROR(IF(COUNTIFS(INDEX(g_grid,0,2*MATCH($M249,강사DB!$A$4:$A$15,0)),"&lt;&gt;",g_s,"&lt;="&amp;$U249,g_e,"&gt;="&amp;$U249)&gt;0,1,0),0))</f>
        <v>0</v>
      </c>
      <c r="AE249" s="48"/>
      <c r="AF249" s="56" t="str">
        <f aca="false">IF(AND($D249&lt;&gt;"",$B249="결제완료",$T249="대여"),설정!$J$5,"")</f>
        <v/>
      </c>
      <c r="AG249" s="54" t="str">
        <f aca="false">IF($D249="","",IF(AND($E249="",$R249=""),$AB249,"☎ "&amp;IF($E249="","-",$E249)&amp;IF($R249&lt;&gt;"","  ※ "&amp;$R249,"")&amp;IF($B249="상담중"," (상담)","")))</f>
        <v/>
      </c>
      <c r="AH249" s="56" t="str">
        <f aca="false">IF(AND($D249&lt;&gt;"",$B249="결제완료",$O249="스마트스토어"),ROUND(N($N249)*설정!$J$6,0),"")</f>
        <v/>
      </c>
      <c r="AI249" s="54" t="str">
        <f aca="false">IF($D249="","",ROW())</f>
        <v/>
      </c>
      <c r="AJ249" s="54" t="n">
        <f aca="false">IF(OR($AC249&lt;&gt;1,$M249=""),0,IF(ISNUMBER(SEARCH("퇴사",IFERROR(INDEX(강사DB!$G$4:$G$53,MATCH($M249,강사DB!$A$4:$A$53,0)),""))),1,0))</f>
        <v>0</v>
      </c>
    </row>
    <row r="250" customFormat="false" ht="15" hidden="false" customHeight="false" outlineLevel="0" collapsed="false">
      <c r="A250" s="45" t="str">
        <f aca="false">IF($D250="","",COUNTA($D$5:$D250))</f>
        <v/>
      </c>
      <c r="B250" s="46"/>
      <c r="C250" s="47"/>
      <c r="D250" s="48"/>
      <c r="E250" s="48"/>
      <c r="F250" s="49"/>
      <c r="G250" s="47"/>
      <c r="H250" s="50"/>
      <c r="I250" s="50"/>
      <c r="J250" s="51" t="str">
        <f aca="false">IF(OR($V250="",$W250=""),"",ROUND(($W250-$V250)/60,2))</f>
        <v/>
      </c>
      <c r="K250" s="52" t="str">
        <f aca="false">IF($F250="","",LEN($F250)-LEN(SUBSTITUTE($F250,",",""))+1)</f>
        <v/>
      </c>
      <c r="L250" s="45" t="str">
        <f aca="false">IF($K250="","","1:"&amp;$K250)</f>
        <v/>
      </c>
      <c r="M250" s="46"/>
      <c r="N250" s="53"/>
      <c r="O250" s="46"/>
      <c r="P250" s="47"/>
      <c r="Q250" s="48"/>
      <c r="R250" s="49"/>
      <c r="S250" s="54" t="str">
        <f aca="false">IF(OR($AC250=0,$U250="",$M250="",$V250="",$W250=""),"",IF(COUNTIFS(m_teacher,$M250,m_date,$U250,m_active,1,m_start,"&lt;"&amp;$W250,m_end,"&gt;"&amp;$V250)&gt;1,"충돌",""))</f>
        <v/>
      </c>
      <c r="T250" s="48"/>
      <c r="U250" s="55" t="str">
        <f aca="false">IF($G250="","",IFERROR(IF(ISNUMBER($G250),IF($G250&gt;19000000,DATE(INT($G250/10000),MOD(INT($G250/100),100),MOD($G250,100)),INT($G250)),IF(LEN(SUBSTITUTE(SUBSTITUTE(SUBSTITUTE(TRIM($G250),"-",""),".",""),"/",""))=8,DATE(VALUE(LEFT(SUBSTITUTE(SUBSTITUTE(SUBSTITUTE(TRIM($G250),"-",""),".",""),"/",""),4)),VALUE(MID(SUBSTITUTE(SUBSTITUTE(SUBSTITUTE(TRIM($G250),"-",""),".",""),"/",""),5,2)),VALUE(RIGHT(SUBSTITUTE(SUBSTITUTE(SUBSTITUTE(TRIM($G250),"-",""),".",""),"/",""),2))),DATEVALUE($G250))),""))</f>
        <v/>
      </c>
      <c r="V250" s="52" t="str">
        <f aca="false">IF($H250="","",IFERROR(IF(IF(ISNUMBER($H250),$H250,IFERROR(TIMEVALUE($H250),VALUE($H250)))&gt;=100,INT(IF(ISNUMBER($H250),$H250,IFERROR(TIMEVALUE($H250),VALUE($H250)))/100)*60+MOD(IF(ISNUMBER($H250),$H250,IFERROR(TIMEVALUE($H250),VALUE($H250))),100),IF(IF(ISNUMBER($H250),$H250,IFERROR(TIMEVALUE($H250),VALUE($H250)))&gt;=1,ROUND(IF(ISNUMBER($H250),$H250,IFERROR(TIMEVALUE($H250),VALUE($H250)))*60,0),ROUND(MOD(IF(ISNUMBER($H250),$H250,IFERROR(TIMEVALUE($H250),VALUE($H250))),1)*1440,0))),""))</f>
        <v/>
      </c>
      <c r="W250" s="52" t="str">
        <f aca="false">IF($I250="","",IFERROR(IF(IF(ISNUMBER($I250),$I250,IFERROR(TIMEVALUE($I250),VALUE($I250)))&gt;=100,INT(IF(ISNUMBER($I250),$I250,IFERROR(TIMEVALUE($I250),VALUE($I250)))/100)*60+MOD(IF(ISNUMBER($I250),$I250,IFERROR(TIMEVALUE($I250),VALUE($I250))),100),IF(IF(ISNUMBER($I250),$I250,IFERROR(TIMEVALUE($I250),VALUE($I250)))&gt;=1,ROUND(IF(ISNUMBER($I250),$I250,IFERROR(TIMEVALUE($I250),VALUE($I250)))*60,0),ROUND(MOD(IF(ISNUMBER($I250),$I250,IFERROR(TIMEVALUE($I250),VALUE($I250))),1)*1440,0))),""))</f>
        <v/>
      </c>
      <c r="X250" s="55" t="str">
        <f aca="false">IF($P250="","",IFERROR(IF(ISNUMBER($P250),IF($P250&gt;19000000,DATE(INT($P250/10000),MOD(INT($P250/100),100),MOD($P250,100)),INT($P250)),IF(LEN(SUBSTITUTE(SUBSTITUTE(SUBSTITUTE(TRIM($P250),"-",""),".",""),"/",""))=8,DATE(VALUE(LEFT(SUBSTITUTE(SUBSTITUTE(SUBSTITUTE(TRIM($P250),"-",""),".",""),"/",""),4)),VALUE(MID(SUBSTITUTE(SUBSTITUTE(SUBSTITUTE(TRIM($P250),"-",""),".",""),"/",""),5,2)),VALUE(RIGHT(SUBSTITUTE(SUBSTITUTE(SUBSTITUTE(TRIM($P250),"-",""),".",""),"/",""),2))),DATEVALUE($P250))),""))</f>
        <v/>
      </c>
      <c r="Y250" s="56" t="str">
        <f aca="false">IF($M250="","",IFERROR(INDEX(강사DB!$D$4:$D$53,MATCH($M250,강사DB!$A$4:$A$53,0)),""))</f>
        <v/>
      </c>
      <c r="Z250" s="56" t="str">
        <f aca="false">IF($B250&lt;&gt;"결제완료","",IF(OR($Y250="",$J250=""),"",$Y250*$J250+MAX(0,N($K250)-1)*설정!$J$7))</f>
        <v/>
      </c>
      <c r="AA250" s="56" t="str">
        <f aca="false">IF(AND($D250&lt;&gt;"",$B250="결제완료"),N($N250),"")</f>
        <v/>
      </c>
      <c r="AB250" s="45" t="str">
        <f aca="false">IF($D250="","",IF($F250&lt;&gt;"",$F250,$D250)&amp;IF($B250="상담중"," (상담)",""))</f>
        <v/>
      </c>
      <c r="AC250" s="45" t="n">
        <f aca="false">IF(AND($D250&lt;&gt;"",OR($B250="결제완료",$B250="상담중")),1,0)</f>
        <v>0</v>
      </c>
      <c r="AD250" s="45" t="n">
        <f aca="false">IF(OR($Z250="",$U250=""),0,IFERROR(IF(COUNTIFS(INDEX(g_grid,0,2*MATCH($M250,강사DB!$A$4:$A$15,0)),"&lt;&gt;",g_s,"&lt;="&amp;$U250,g_e,"&gt;="&amp;$U250)&gt;0,1,0),0))</f>
        <v>0</v>
      </c>
      <c r="AE250" s="48"/>
      <c r="AF250" s="56" t="str">
        <f aca="false">IF(AND($D250&lt;&gt;"",$B250="결제완료",$T250="대여"),설정!$J$5,"")</f>
        <v/>
      </c>
      <c r="AG250" s="54" t="str">
        <f aca="false">IF($D250="","",IF(AND($E250="",$R250=""),$AB250,"☎ "&amp;IF($E250="","-",$E250)&amp;IF($R250&lt;&gt;"","  ※ "&amp;$R250,"")&amp;IF($B250="상담중"," (상담)","")))</f>
        <v/>
      </c>
      <c r="AH250" s="56" t="str">
        <f aca="false">IF(AND($D250&lt;&gt;"",$B250="결제완료",$O250="스마트스토어"),ROUND(N($N250)*설정!$J$6,0),"")</f>
        <v/>
      </c>
      <c r="AI250" s="54" t="str">
        <f aca="false">IF($D250="","",ROW())</f>
        <v/>
      </c>
      <c r="AJ250" s="54" t="n">
        <f aca="false">IF(OR($AC250&lt;&gt;1,$M250=""),0,IF(ISNUMBER(SEARCH("퇴사",IFERROR(INDEX(강사DB!$G$4:$G$53,MATCH($M250,강사DB!$A$4:$A$53,0)),""))),1,0))</f>
        <v>0</v>
      </c>
    </row>
    <row r="251" customFormat="false" ht="15" hidden="false" customHeight="false" outlineLevel="0" collapsed="false">
      <c r="A251" s="45" t="str">
        <f aca="false">IF($D251="","",COUNTA($D$5:$D251))</f>
        <v/>
      </c>
      <c r="B251" s="46"/>
      <c r="C251" s="47"/>
      <c r="D251" s="48"/>
      <c r="E251" s="48"/>
      <c r="F251" s="49"/>
      <c r="G251" s="47"/>
      <c r="H251" s="50"/>
      <c r="I251" s="50"/>
      <c r="J251" s="51" t="str">
        <f aca="false">IF(OR($V251="",$W251=""),"",ROUND(($W251-$V251)/60,2))</f>
        <v/>
      </c>
      <c r="K251" s="52" t="str">
        <f aca="false">IF($F251="","",LEN($F251)-LEN(SUBSTITUTE($F251,",",""))+1)</f>
        <v/>
      </c>
      <c r="L251" s="45" t="str">
        <f aca="false">IF($K251="","","1:"&amp;$K251)</f>
        <v/>
      </c>
      <c r="M251" s="46"/>
      <c r="N251" s="53"/>
      <c r="O251" s="46"/>
      <c r="P251" s="47"/>
      <c r="Q251" s="48"/>
      <c r="R251" s="49"/>
      <c r="S251" s="54" t="str">
        <f aca="false">IF(OR($AC251=0,$U251="",$M251="",$V251="",$W251=""),"",IF(COUNTIFS(m_teacher,$M251,m_date,$U251,m_active,1,m_start,"&lt;"&amp;$W251,m_end,"&gt;"&amp;$V251)&gt;1,"충돌",""))</f>
        <v/>
      </c>
      <c r="T251" s="48"/>
      <c r="U251" s="55" t="str">
        <f aca="false">IF($G251="","",IFERROR(IF(ISNUMBER($G251),IF($G251&gt;19000000,DATE(INT($G251/10000),MOD(INT($G251/100),100),MOD($G251,100)),INT($G251)),IF(LEN(SUBSTITUTE(SUBSTITUTE(SUBSTITUTE(TRIM($G251),"-",""),".",""),"/",""))=8,DATE(VALUE(LEFT(SUBSTITUTE(SUBSTITUTE(SUBSTITUTE(TRIM($G251),"-",""),".",""),"/",""),4)),VALUE(MID(SUBSTITUTE(SUBSTITUTE(SUBSTITUTE(TRIM($G251),"-",""),".",""),"/",""),5,2)),VALUE(RIGHT(SUBSTITUTE(SUBSTITUTE(SUBSTITUTE(TRIM($G251),"-",""),".",""),"/",""),2))),DATEVALUE($G251))),""))</f>
        <v/>
      </c>
      <c r="V251" s="52" t="str">
        <f aca="false">IF($H251="","",IFERROR(IF(IF(ISNUMBER($H251),$H251,IFERROR(TIMEVALUE($H251),VALUE($H251)))&gt;=100,INT(IF(ISNUMBER($H251),$H251,IFERROR(TIMEVALUE($H251),VALUE($H251)))/100)*60+MOD(IF(ISNUMBER($H251),$H251,IFERROR(TIMEVALUE($H251),VALUE($H251))),100),IF(IF(ISNUMBER($H251),$H251,IFERROR(TIMEVALUE($H251),VALUE($H251)))&gt;=1,ROUND(IF(ISNUMBER($H251),$H251,IFERROR(TIMEVALUE($H251),VALUE($H251)))*60,0),ROUND(MOD(IF(ISNUMBER($H251),$H251,IFERROR(TIMEVALUE($H251),VALUE($H251))),1)*1440,0))),""))</f>
        <v/>
      </c>
      <c r="W251" s="52" t="str">
        <f aca="false">IF($I251="","",IFERROR(IF(IF(ISNUMBER($I251),$I251,IFERROR(TIMEVALUE($I251),VALUE($I251)))&gt;=100,INT(IF(ISNUMBER($I251),$I251,IFERROR(TIMEVALUE($I251),VALUE($I251)))/100)*60+MOD(IF(ISNUMBER($I251),$I251,IFERROR(TIMEVALUE($I251),VALUE($I251))),100),IF(IF(ISNUMBER($I251),$I251,IFERROR(TIMEVALUE($I251),VALUE($I251)))&gt;=1,ROUND(IF(ISNUMBER($I251),$I251,IFERROR(TIMEVALUE($I251),VALUE($I251)))*60,0),ROUND(MOD(IF(ISNUMBER($I251),$I251,IFERROR(TIMEVALUE($I251),VALUE($I251))),1)*1440,0))),""))</f>
        <v/>
      </c>
      <c r="X251" s="55" t="str">
        <f aca="false">IF($P251="","",IFERROR(IF(ISNUMBER($P251),IF($P251&gt;19000000,DATE(INT($P251/10000),MOD(INT($P251/100),100),MOD($P251,100)),INT($P251)),IF(LEN(SUBSTITUTE(SUBSTITUTE(SUBSTITUTE(TRIM($P251),"-",""),".",""),"/",""))=8,DATE(VALUE(LEFT(SUBSTITUTE(SUBSTITUTE(SUBSTITUTE(TRIM($P251),"-",""),".",""),"/",""),4)),VALUE(MID(SUBSTITUTE(SUBSTITUTE(SUBSTITUTE(TRIM($P251),"-",""),".",""),"/",""),5,2)),VALUE(RIGHT(SUBSTITUTE(SUBSTITUTE(SUBSTITUTE(TRIM($P251),"-",""),".",""),"/",""),2))),DATEVALUE($P251))),""))</f>
        <v/>
      </c>
      <c r="Y251" s="56" t="str">
        <f aca="false">IF($M251="","",IFERROR(INDEX(강사DB!$D$4:$D$53,MATCH($M251,강사DB!$A$4:$A$53,0)),""))</f>
        <v/>
      </c>
      <c r="Z251" s="56" t="str">
        <f aca="false">IF($B251&lt;&gt;"결제완료","",IF(OR($Y251="",$J251=""),"",$Y251*$J251+MAX(0,N($K251)-1)*설정!$J$7))</f>
        <v/>
      </c>
      <c r="AA251" s="56" t="str">
        <f aca="false">IF(AND($D251&lt;&gt;"",$B251="결제완료"),N($N251),"")</f>
        <v/>
      </c>
      <c r="AB251" s="45" t="str">
        <f aca="false">IF($D251="","",IF($F251&lt;&gt;"",$F251,$D251)&amp;IF($B251="상담중"," (상담)",""))</f>
        <v/>
      </c>
      <c r="AC251" s="45" t="n">
        <f aca="false">IF(AND($D251&lt;&gt;"",OR($B251="결제완료",$B251="상담중")),1,0)</f>
        <v>0</v>
      </c>
      <c r="AD251" s="45" t="n">
        <f aca="false">IF(OR($Z251="",$U251=""),0,IFERROR(IF(COUNTIFS(INDEX(g_grid,0,2*MATCH($M251,강사DB!$A$4:$A$15,0)),"&lt;&gt;",g_s,"&lt;="&amp;$U251,g_e,"&gt;="&amp;$U251)&gt;0,1,0),0))</f>
        <v>0</v>
      </c>
      <c r="AE251" s="48"/>
      <c r="AF251" s="56" t="str">
        <f aca="false">IF(AND($D251&lt;&gt;"",$B251="결제완료",$T251="대여"),설정!$J$5,"")</f>
        <v/>
      </c>
      <c r="AG251" s="54" t="str">
        <f aca="false">IF($D251="","",IF(AND($E251="",$R251=""),$AB251,"☎ "&amp;IF($E251="","-",$E251)&amp;IF($R251&lt;&gt;"","  ※ "&amp;$R251,"")&amp;IF($B251="상담중"," (상담)","")))</f>
        <v/>
      </c>
      <c r="AH251" s="56" t="str">
        <f aca="false">IF(AND($D251&lt;&gt;"",$B251="결제완료",$O251="스마트스토어"),ROUND(N($N251)*설정!$J$6,0),"")</f>
        <v/>
      </c>
      <c r="AI251" s="54" t="str">
        <f aca="false">IF($D251="","",ROW())</f>
        <v/>
      </c>
      <c r="AJ251" s="54" t="n">
        <f aca="false">IF(OR($AC251&lt;&gt;1,$M251=""),0,IF(ISNUMBER(SEARCH("퇴사",IFERROR(INDEX(강사DB!$G$4:$G$53,MATCH($M251,강사DB!$A$4:$A$53,0)),""))),1,0))</f>
        <v>0</v>
      </c>
    </row>
    <row r="252" customFormat="false" ht="15" hidden="false" customHeight="false" outlineLevel="0" collapsed="false">
      <c r="A252" s="45" t="str">
        <f aca="false">IF($D252="","",COUNTA($D$5:$D252))</f>
        <v/>
      </c>
      <c r="B252" s="46"/>
      <c r="C252" s="47"/>
      <c r="D252" s="48"/>
      <c r="E252" s="48"/>
      <c r="F252" s="49"/>
      <c r="G252" s="47"/>
      <c r="H252" s="50"/>
      <c r="I252" s="50"/>
      <c r="J252" s="51" t="str">
        <f aca="false">IF(OR($V252="",$W252=""),"",ROUND(($W252-$V252)/60,2))</f>
        <v/>
      </c>
      <c r="K252" s="52" t="str">
        <f aca="false">IF($F252="","",LEN($F252)-LEN(SUBSTITUTE($F252,",",""))+1)</f>
        <v/>
      </c>
      <c r="L252" s="45" t="str">
        <f aca="false">IF($K252="","","1:"&amp;$K252)</f>
        <v/>
      </c>
      <c r="M252" s="46"/>
      <c r="N252" s="53"/>
      <c r="O252" s="46"/>
      <c r="P252" s="47"/>
      <c r="Q252" s="48"/>
      <c r="R252" s="49"/>
      <c r="S252" s="54" t="str">
        <f aca="false">IF(OR($AC252=0,$U252="",$M252="",$V252="",$W252=""),"",IF(COUNTIFS(m_teacher,$M252,m_date,$U252,m_active,1,m_start,"&lt;"&amp;$W252,m_end,"&gt;"&amp;$V252)&gt;1,"충돌",""))</f>
        <v/>
      </c>
      <c r="T252" s="48"/>
      <c r="U252" s="55" t="str">
        <f aca="false">IF($G252="","",IFERROR(IF(ISNUMBER($G252),IF($G252&gt;19000000,DATE(INT($G252/10000),MOD(INT($G252/100),100),MOD($G252,100)),INT($G252)),IF(LEN(SUBSTITUTE(SUBSTITUTE(SUBSTITUTE(TRIM($G252),"-",""),".",""),"/",""))=8,DATE(VALUE(LEFT(SUBSTITUTE(SUBSTITUTE(SUBSTITUTE(TRIM($G252),"-",""),".",""),"/",""),4)),VALUE(MID(SUBSTITUTE(SUBSTITUTE(SUBSTITUTE(TRIM($G252),"-",""),".",""),"/",""),5,2)),VALUE(RIGHT(SUBSTITUTE(SUBSTITUTE(SUBSTITUTE(TRIM($G252),"-",""),".",""),"/",""),2))),DATEVALUE($G252))),""))</f>
        <v/>
      </c>
      <c r="V252" s="52" t="str">
        <f aca="false">IF($H252="","",IFERROR(IF(IF(ISNUMBER($H252),$H252,IFERROR(TIMEVALUE($H252),VALUE($H252)))&gt;=100,INT(IF(ISNUMBER($H252),$H252,IFERROR(TIMEVALUE($H252),VALUE($H252)))/100)*60+MOD(IF(ISNUMBER($H252),$H252,IFERROR(TIMEVALUE($H252),VALUE($H252))),100),IF(IF(ISNUMBER($H252),$H252,IFERROR(TIMEVALUE($H252),VALUE($H252)))&gt;=1,ROUND(IF(ISNUMBER($H252),$H252,IFERROR(TIMEVALUE($H252),VALUE($H252)))*60,0),ROUND(MOD(IF(ISNUMBER($H252),$H252,IFERROR(TIMEVALUE($H252),VALUE($H252))),1)*1440,0))),""))</f>
        <v/>
      </c>
      <c r="W252" s="52" t="str">
        <f aca="false">IF($I252="","",IFERROR(IF(IF(ISNUMBER($I252),$I252,IFERROR(TIMEVALUE($I252),VALUE($I252)))&gt;=100,INT(IF(ISNUMBER($I252),$I252,IFERROR(TIMEVALUE($I252),VALUE($I252)))/100)*60+MOD(IF(ISNUMBER($I252),$I252,IFERROR(TIMEVALUE($I252),VALUE($I252))),100),IF(IF(ISNUMBER($I252),$I252,IFERROR(TIMEVALUE($I252),VALUE($I252)))&gt;=1,ROUND(IF(ISNUMBER($I252),$I252,IFERROR(TIMEVALUE($I252),VALUE($I252)))*60,0),ROUND(MOD(IF(ISNUMBER($I252),$I252,IFERROR(TIMEVALUE($I252),VALUE($I252))),1)*1440,0))),""))</f>
        <v/>
      </c>
      <c r="X252" s="55" t="str">
        <f aca="false">IF($P252="","",IFERROR(IF(ISNUMBER($P252),IF($P252&gt;19000000,DATE(INT($P252/10000),MOD(INT($P252/100),100),MOD($P252,100)),INT($P252)),IF(LEN(SUBSTITUTE(SUBSTITUTE(SUBSTITUTE(TRIM($P252),"-",""),".",""),"/",""))=8,DATE(VALUE(LEFT(SUBSTITUTE(SUBSTITUTE(SUBSTITUTE(TRIM($P252),"-",""),".",""),"/",""),4)),VALUE(MID(SUBSTITUTE(SUBSTITUTE(SUBSTITUTE(TRIM($P252),"-",""),".",""),"/",""),5,2)),VALUE(RIGHT(SUBSTITUTE(SUBSTITUTE(SUBSTITUTE(TRIM($P252),"-",""),".",""),"/",""),2))),DATEVALUE($P252))),""))</f>
        <v/>
      </c>
      <c r="Y252" s="56" t="str">
        <f aca="false">IF($M252="","",IFERROR(INDEX(강사DB!$D$4:$D$53,MATCH($M252,강사DB!$A$4:$A$53,0)),""))</f>
        <v/>
      </c>
      <c r="Z252" s="56" t="str">
        <f aca="false">IF($B252&lt;&gt;"결제완료","",IF(OR($Y252="",$J252=""),"",$Y252*$J252+MAX(0,N($K252)-1)*설정!$J$7))</f>
        <v/>
      </c>
      <c r="AA252" s="56" t="str">
        <f aca="false">IF(AND($D252&lt;&gt;"",$B252="결제완료"),N($N252),"")</f>
        <v/>
      </c>
      <c r="AB252" s="45" t="str">
        <f aca="false">IF($D252="","",IF($F252&lt;&gt;"",$F252,$D252)&amp;IF($B252="상담중"," (상담)",""))</f>
        <v/>
      </c>
      <c r="AC252" s="45" t="n">
        <f aca="false">IF(AND($D252&lt;&gt;"",OR($B252="결제완료",$B252="상담중")),1,0)</f>
        <v>0</v>
      </c>
      <c r="AD252" s="45" t="n">
        <f aca="false">IF(OR($Z252="",$U252=""),0,IFERROR(IF(COUNTIFS(INDEX(g_grid,0,2*MATCH($M252,강사DB!$A$4:$A$15,0)),"&lt;&gt;",g_s,"&lt;="&amp;$U252,g_e,"&gt;="&amp;$U252)&gt;0,1,0),0))</f>
        <v>0</v>
      </c>
      <c r="AE252" s="48"/>
      <c r="AF252" s="56" t="str">
        <f aca="false">IF(AND($D252&lt;&gt;"",$B252="결제완료",$T252="대여"),설정!$J$5,"")</f>
        <v/>
      </c>
      <c r="AG252" s="54" t="str">
        <f aca="false">IF($D252="","",IF(AND($E252="",$R252=""),$AB252,"☎ "&amp;IF($E252="","-",$E252)&amp;IF($R252&lt;&gt;"","  ※ "&amp;$R252,"")&amp;IF($B252="상담중"," (상담)","")))</f>
        <v/>
      </c>
      <c r="AH252" s="56" t="str">
        <f aca="false">IF(AND($D252&lt;&gt;"",$B252="결제완료",$O252="스마트스토어"),ROUND(N($N252)*설정!$J$6,0),"")</f>
        <v/>
      </c>
      <c r="AI252" s="54" t="str">
        <f aca="false">IF($D252="","",ROW())</f>
        <v/>
      </c>
      <c r="AJ252" s="54" t="n">
        <f aca="false">IF(OR($AC252&lt;&gt;1,$M252=""),0,IF(ISNUMBER(SEARCH("퇴사",IFERROR(INDEX(강사DB!$G$4:$G$53,MATCH($M252,강사DB!$A$4:$A$53,0)),""))),1,0))</f>
        <v>0</v>
      </c>
    </row>
    <row r="253" customFormat="false" ht="15" hidden="false" customHeight="false" outlineLevel="0" collapsed="false">
      <c r="A253" s="45" t="str">
        <f aca="false">IF($D253="","",COUNTA($D$5:$D253))</f>
        <v/>
      </c>
      <c r="B253" s="46"/>
      <c r="C253" s="47"/>
      <c r="D253" s="48"/>
      <c r="E253" s="48"/>
      <c r="F253" s="49"/>
      <c r="G253" s="47"/>
      <c r="H253" s="50"/>
      <c r="I253" s="50"/>
      <c r="J253" s="51" t="str">
        <f aca="false">IF(OR($V253="",$W253=""),"",ROUND(($W253-$V253)/60,2))</f>
        <v/>
      </c>
      <c r="K253" s="52" t="str">
        <f aca="false">IF($F253="","",LEN($F253)-LEN(SUBSTITUTE($F253,",",""))+1)</f>
        <v/>
      </c>
      <c r="L253" s="45" t="str">
        <f aca="false">IF($K253="","","1:"&amp;$K253)</f>
        <v/>
      </c>
      <c r="M253" s="46"/>
      <c r="N253" s="53"/>
      <c r="O253" s="46"/>
      <c r="P253" s="47"/>
      <c r="Q253" s="48"/>
      <c r="R253" s="49"/>
      <c r="S253" s="54" t="str">
        <f aca="false">IF(OR($AC253=0,$U253="",$M253="",$V253="",$W253=""),"",IF(COUNTIFS(m_teacher,$M253,m_date,$U253,m_active,1,m_start,"&lt;"&amp;$W253,m_end,"&gt;"&amp;$V253)&gt;1,"충돌",""))</f>
        <v/>
      </c>
      <c r="T253" s="48"/>
      <c r="U253" s="55" t="str">
        <f aca="false">IF($G253="","",IFERROR(IF(ISNUMBER($G253),IF($G253&gt;19000000,DATE(INT($G253/10000),MOD(INT($G253/100),100),MOD($G253,100)),INT($G253)),IF(LEN(SUBSTITUTE(SUBSTITUTE(SUBSTITUTE(TRIM($G253),"-",""),".",""),"/",""))=8,DATE(VALUE(LEFT(SUBSTITUTE(SUBSTITUTE(SUBSTITUTE(TRIM($G253),"-",""),".",""),"/",""),4)),VALUE(MID(SUBSTITUTE(SUBSTITUTE(SUBSTITUTE(TRIM($G253),"-",""),".",""),"/",""),5,2)),VALUE(RIGHT(SUBSTITUTE(SUBSTITUTE(SUBSTITUTE(TRIM($G253),"-",""),".",""),"/",""),2))),DATEVALUE($G253))),""))</f>
        <v/>
      </c>
      <c r="V253" s="52" t="str">
        <f aca="false">IF($H253="","",IFERROR(IF(IF(ISNUMBER($H253),$H253,IFERROR(TIMEVALUE($H253),VALUE($H253)))&gt;=100,INT(IF(ISNUMBER($H253),$H253,IFERROR(TIMEVALUE($H253),VALUE($H253)))/100)*60+MOD(IF(ISNUMBER($H253),$H253,IFERROR(TIMEVALUE($H253),VALUE($H253))),100),IF(IF(ISNUMBER($H253),$H253,IFERROR(TIMEVALUE($H253),VALUE($H253)))&gt;=1,ROUND(IF(ISNUMBER($H253),$H253,IFERROR(TIMEVALUE($H253),VALUE($H253)))*60,0),ROUND(MOD(IF(ISNUMBER($H253),$H253,IFERROR(TIMEVALUE($H253),VALUE($H253))),1)*1440,0))),""))</f>
        <v/>
      </c>
      <c r="W253" s="52" t="str">
        <f aca="false">IF($I253="","",IFERROR(IF(IF(ISNUMBER($I253),$I253,IFERROR(TIMEVALUE($I253),VALUE($I253)))&gt;=100,INT(IF(ISNUMBER($I253),$I253,IFERROR(TIMEVALUE($I253),VALUE($I253)))/100)*60+MOD(IF(ISNUMBER($I253),$I253,IFERROR(TIMEVALUE($I253),VALUE($I253))),100),IF(IF(ISNUMBER($I253),$I253,IFERROR(TIMEVALUE($I253),VALUE($I253)))&gt;=1,ROUND(IF(ISNUMBER($I253),$I253,IFERROR(TIMEVALUE($I253),VALUE($I253)))*60,0),ROUND(MOD(IF(ISNUMBER($I253),$I253,IFERROR(TIMEVALUE($I253),VALUE($I253))),1)*1440,0))),""))</f>
        <v/>
      </c>
      <c r="X253" s="55" t="str">
        <f aca="false">IF($P253="","",IFERROR(IF(ISNUMBER($P253),IF($P253&gt;19000000,DATE(INT($P253/10000),MOD(INT($P253/100),100),MOD($P253,100)),INT($P253)),IF(LEN(SUBSTITUTE(SUBSTITUTE(SUBSTITUTE(TRIM($P253),"-",""),".",""),"/",""))=8,DATE(VALUE(LEFT(SUBSTITUTE(SUBSTITUTE(SUBSTITUTE(TRIM($P253),"-",""),".",""),"/",""),4)),VALUE(MID(SUBSTITUTE(SUBSTITUTE(SUBSTITUTE(TRIM($P253),"-",""),".",""),"/",""),5,2)),VALUE(RIGHT(SUBSTITUTE(SUBSTITUTE(SUBSTITUTE(TRIM($P253),"-",""),".",""),"/",""),2))),DATEVALUE($P253))),""))</f>
        <v/>
      </c>
      <c r="Y253" s="56" t="str">
        <f aca="false">IF($M253="","",IFERROR(INDEX(강사DB!$D$4:$D$53,MATCH($M253,강사DB!$A$4:$A$53,0)),""))</f>
        <v/>
      </c>
      <c r="Z253" s="56" t="str">
        <f aca="false">IF($B253&lt;&gt;"결제완료","",IF(OR($Y253="",$J253=""),"",$Y253*$J253+MAX(0,N($K253)-1)*설정!$J$7))</f>
        <v/>
      </c>
      <c r="AA253" s="56" t="str">
        <f aca="false">IF(AND($D253&lt;&gt;"",$B253="결제완료"),N($N253),"")</f>
        <v/>
      </c>
      <c r="AB253" s="45" t="str">
        <f aca="false">IF($D253="","",IF($F253&lt;&gt;"",$F253,$D253)&amp;IF($B253="상담중"," (상담)",""))</f>
        <v/>
      </c>
      <c r="AC253" s="45" t="n">
        <f aca="false">IF(AND($D253&lt;&gt;"",OR($B253="결제완료",$B253="상담중")),1,0)</f>
        <v>0</v>
      </c>
      <c r="AD253" s="45" t="n">
        <f aca="false">IF(OR($Z253="",$U253=""),0,IFERROR(IF(COUNTIFS(INDEX(g_grid,0,2*MATCH($M253,강사DB!$A$4:$A$15,0)),"&lt;&gt;",g_s,"&lt;="&amp;$U253,g_e,"&gt;="&amp;$U253)&gt;0,1,0),0))</f>
        <v>0</v>
      </c>
      <c r="AE253" s="48"/>
      <c r="AF253" s="56" t="str">
        <f aca="false">IF(AND($D253&lt;&gt;"",$B253="결제완료",$T253="대여"),설정!$J$5,"")</f>
        <v/>
      </c>
      <c r="AG253" s="54" t="str">
        <f aca="false">IF($D253="","",IF(AND($E253="",$R253=""),$AB253,"☎ "&amp;IF($E253="","-",$E253)&amp;IF($R253&lt;&gt;"","  ※ "&amp;$R253,"")&amp;IF($B253="상담중"," (상담)","")))</f>
        <v/>
      </c>
      <c r="AH253" s="56" t="str">
        <f aca="false">IF(AND($D253&lt;&gt;"",$B253="결제완료",$O253="스마트스토어"),ROUND(N($N253)*설정!$J$6,0),"")</f>
        <v/>
      </c>
      <c r="AI253" s="54" t="str">
        <f aca="false">IF($D253="","",ROW())</f>
        <v/>
      </c>
      <c r="AJ253" s="54" t="n">
        <f aca="false">IF(OR($AC253&lt;&gt;1,$M253=""),0,IF(ISNUMBER(SEARCH("퇴사",IFERROR(INDEX(강사DB!$G$4:$G$53,MATCH($M253,강사DB!$A$4:$A$53,0)),""))),1,0))</f>
        <v>0</v>
      </c>
    </row>
    <row r="254" customFormat="false" ht="15" hidden="false" customHeight="false" outlineLevel="0" collapsed="false">
      <c r="A254" s="45" t="str">
        <f aca="false">IF($D254="","",COUNTA($D$5:$D254))</f>
        <v/>
      </c>
      <c r="B254" s="46"/>
      <c r="C254" s="47"/>
      <c r="D254" s="48"/>
      <c r="E254" s="48"/>
      <c r="F254" s="49"/>
      <c r="G254" s="47"/>
      <c r="H254" s="50"/>
      <c r="I254" s="50"/>
      <c r="J254" s="51" t="str">
        <f aca="false">IF(OR($V254="",$W254=""),"",ROUND(($W254-$V254)/60,2))</f>
        <v/>
      </c>
      <c r="K254" s="52" t="str">
        <f aca="false">IF($F254="","",LEN($F254)-LEN(SUBSTITUTE($F254,",",""))+1)</f>
        <v/>
      </c>
      <c r="L254" s="45" t="str">
        <f aca="false">IF($K254="","","1:"&amp;$K254)</f>
        <v/>
      </c>
      <c r="M254" s="46"/>
      <c r="N254" s="53"/>
      <c r="O254" s="46"/>
      <c r="P254" s="47"/>
      <c r="Q254" s="48"/>
      <c r="R254" s="49"/>
      <c r="S254" s="54" t="str">
        <f aca="false">IF(OR($AC254=0,$U254="",$M254="",$V254="",$W254=""),"",IF(COUNTIFS(m_teacher,$M254,m_date,$U254,m_active,1,m_start,"&lt;"&amp;$W254,m_end,"&gt;"&amp;$V254)&gt;1,"충돌",""))</f>
        <v/>
      </c>
      <c r="T254" s="48"/>
      <c r="U254" s="55" t="str">
        <f aca="false">IF($G254="","",IFERROR(IF(ISNUMBER($G254),IF($G254&gt;19000000,DATE(INT($G254/10000),MOD(INT($G254/100),100),MOD($G254,100)),INT($G254)),IF(LEN(SUBSTITUTE(SUBSTITUTE(SUBSTITUTE(TRIM($G254),"-",""),".",""),"/",""))=8,DATE(VALUE(LEFT(SUBSTITUTE(SUBSTITUTE(SUBSTITUTE(TRIM($G254),"-",""),".",""),"/",""),4)),VALUE(MID(SUBSTITUTE(SUBSTITUTE(SUBSTITUTE(TRIM($G254),"-",""),".",""),"/",""),5,2)),VALUE(RIGHT(SUBSTITUTE(SUBSTITUTE(SUBSTITUTE(TRIM($G254),"-",""),".",""),"/",""),2))),DATEVALUE($G254))),""))</f>
        <v/>
      </c>
      <c r="V254" s="52" t="str">
        <f aca="false">IF($H254="","",IFERROR(IF(IF(ISNUMBER($H254),$H254,IFERROR(TIMEVALUE($H254),VALUE($H254)))&gt;=100,INT(IF(ISNUMBER($H254),$H254,IFERROR(TIMEVALUE($H254),VALUE($H254)))/100)*60+MOD(IF(ISNUMBER($H254),$H254,IFERROR(TIMEVALUE($H254),VALUE($H254))),100),IF(IF(ISNUMBER($H254),$H254,IFERROR(TIMEVALUE($H254),VALUE($H254)))&gt;=1,ROUND(IF(ISNUMBER($H254),$H254,IFERROR(TIMEVALUE($H254),VALUE($H254)))*60,0),ROUND(MOD(IF(ISNUMBER($H254),$H254,IFERROR(TIMEVALUE($H254),VALUE($H254))),1)*1440,0))),""))</f>
        <v/>
      </c>
      <c r="W254" s="52" t="str">
        <f aca="false">IF($I254="","",IFERROR(IF(IF(ISNUMBER($I254),$I254,IFERROR(TIMEVALUE($I254),VALUE($I254)))&gt;=100,INT(IF(ISNUMBER($I254),$I254,IFERROR(TIMEVALUE($I254),VALUE($I254)))/100)*60+MOD(IF(ISNUMBER($I254),$I254,IFERROR(TIMEVALUE($I254),VALUE($I254))),100),IF(IF(ISNUMBER($I254),$I254,IFERROR(TIMEVALUE($I254),VALUE($I254)))&gt;=1,ROUND(IF(ISNUMBER($I254),$I254,IFERROR(TIMEVALUE($I254),VALUE($I254)))*60,0),ROUND(MOD(IF(ISNUMBER($I254),$I254,IFERROR(TIMEVALUE($I254),VALUE($I254))),1)*1440,0))),""))</f>
        <v/>
      </c>
      <c r="X254" s="55" t="str">
        <f aca="false">IF($P254="","",IFERROR(IF(ISNUMBER($P254),IF($P254&gt;19000000,DATE(INT($P254/10000),MOD(INT($P254/100),100),MOD($P254,100)),INT($P254)),IF(LEN(SUBSTITUTE(SUBSTITUTE(SUBSTITUTE(TRIM($P254),"-",""),".",""),"/",""))=8,DATE(VALUE(LEFT(SUBSTITUTE(SUBSTITUTE(SUBSTITUTE(TRIM($P254),"-",""),".",""),"/",""),4)),VALUE(MID(SUBSTITUTE(SUBSTITUTE(SUBSTITUTE(TRIM($P254),"-",""),".",""),"/",""),5,2)),VALUE(RIGHT(SUBSTITUTE(SUBSTITUTE(SUBSTITUTE(TRIM($P254),"-",""),".",""),"/",""),2))),DATEVALUE($P254))),""))</f>
        <v/>
      </c>
      <c r="Y254" s="56" t="str">
        <f aca="false">IF($M254="","",IFERROR(INDEX(강사DB!$D$4:$D$53,MATCH($M254,강사DB!$A$4:$A$53,0)),""))</f>
        <v/>
      </c>
      <c r="Z254" s="56" t="str">
        <f aca="false">IF($B254&lt;&gt;"결제완료","",IF(OR($Y254="",$J254=""),"",$Y254*$J254+MAX(0,N($K254)-1)*설정!$J$7))</f>
        <v/>
      </c>
      <c r="AA254" s="56" t="str">
        <f aca="false">IF(AND($D254&lt;&gt;"",$B254="결제완료"),N($N254),"")</f>
        <v/>
      </c>
      <c r="AB254" s="45" t="str">
        <f aca="false">IF($D254="","",IF($F254&lt;&gt;"",$F254,$D254)&amp;IF($B254="상담중"," (상담)",""))</f>
        <v/>
      </c>
      <c r="AC254" s="45" t="n">
        <f aca="false">IF(AND($D254&lt;&gt;"",OR($B254="결제완료",$B254="상담중")),1,0)</f>
        <v>0</v>
      </c>
      <c r="AD254" s="45" t="n">
        <f aca="false">IF(OR($Z254="",$U254=""),0,IFERROR(IF(COUNTIFS(INDEX(g_grid,0,2*MATCH($M254,강사DB!$A$4:$A$15,0)),"&lt;&gt;",g_s,"&lt;="&amp;$U254,g_e,"&gt;="&amp;$U254)&gt;0,1,0),0))</f>
        <v>0</v>
      </c>
      <c r="AE254" s="48"/>
      <c r="AF254" s="56" t="str">
        <f aca="false">IF(AND($D254&lt;&gt;"",$B254="결제완료",$T254="대여"),설정!$J$5,"")</f>
        <v/>
      </c>
      <c r="AG254" s="54" t="str">
        <f aca="false">IF($D254="","",IF(AND($E254="",$R254=""),$AB254,"☎ "&amp;IF($E254="","-",$E254)&amp;IF($R254&lt;&gt;"","  ※ "&amp;$R254,"")&amp;IF($B254="상담중"," (상담)","")))</f>
        <v/>
      </c>
      <c r="AH254" s="56" t="str">
        <f aca="false">IF(AND($D254&lt;&gt;"",$B254="결제완료",$O254="스마트스토어"),ROUND(N($N254)*설정!$J$6,0),"")</f>
        <v/>
      </c>
      <c r="AI254" s="54" t="str">
        <f aca="false">IF($D254="","",ROW())</f>
        <v/>
      </c>
      <c r="AJ254" s="54" t="n">
        <f aca="false">IF(OR($AC254&lt;&gt;1,$M254=""),0,IF(ISNUMBER(SEARCH("퇴사",IFERROR(INDEX(강사DB!$G$4:$G$53,MATCH($M254,강사DB!$A$4:$A$53,0)),""))),1,0))</f>
        <v>0</v>
      </c>
    </row>
    <row r="255" customFormat="false" ht="15" hidden="false" customHeight="false" outlineLevel="0" collapsed="false">
      <c r="A255" s="45" t="str">
        <f aca="false">IF($D255="","",COUNTA($D$5:$D255))</f>
        <v/>
      </c>
      <c r="B255" s="46"/>
      <c r="C255" s="47"/>
      <c r="D255" s="48"/>
      <c r="E255" s="48"/>
      <c r="F255" s="49"/>
      <c r="G255" s="47"/>
      <c r="H255" s="50"/>
      <c r="I255" s="50"/>
      <c r="J255" s="51" t="str">
        <f aca="false">IF(OR($V255="",$W255=""),"",ROUND(($W255-$V255)/60,2))</f>
        <v/>
      </c>
      <c r="K255" s="52" t="str">
        <f aca="false">IF($F255="","",LEN($F255)-LEN(SUBSTITUTE($F255,",",""))+1)</f>
        <v/>
      </c>
      <c r="L255" s="45" t="str">
        <f aca="false">IF($K255="","","1:"&amp;$K255)</f>
        <v/>
      </c>
      <c r="M255" s="46"/>
      <c r="N255" s="53"/>
      <c r="O255" s="46"/>
      <c r="P255" s="47"/>
      <c r="Q255" s="48"/>
      <c r="R255" s="49"/>
      <c r="S255" s="54" t="str">
        <f aca="false">IF(OR($AC255=0,$U255="",$M255="",$V255="",$W255=""),"",IF(COUNTIFS(m_teacher,$M255,m_date,$U255,m_active,1,m_start,"&lt;"&amp;$W255,m_end,"&gt;"&amp;$V255)&gt;1,"충돌",""))</f>
        <v/>
      </c>
      <c r="T255" s="48"/>
      <c r="U255" s="55" t="str">
        <f aca="false">IF($G255="","",IFERROR(IF(ISNUMBER($G255),IF($G255&gt;19000000,DATE(INT($G255/10000),MOD(INT($G255/100),100),MOD($G255,100)),INT($G255)),IF(LEN(SUBSTITUTE(SUBSTITUTE(SUBSTITUTE(TRIM($G255),"-",""),".",""),"/",""))=8,DATE(VALUE(LEFT(SUBSTITUTE(SUBSTITUTE(SUBSTITUTE(TRIM($G255),"-",""),".",""),"/",""),4)),VALUE(MID(SUBSTITUTE(SUBSTITUTE(SUBSTITUTE(TRIM($G255),"-",""),".",""),"/",""),5,2)),VALUE(RIGHT(SUBSTITUTE(SUBSTITUTE(SUBSTITUTE(TRIM($G255),"-",""),".",""),"/",""),2))),DATEVALUE($G255))),""))</f>
        <v/>
      </c>
      <c r="V255" s="52" t="str">
        <f aca="false">IF($H255="","",IFERROR(IF(IF(ISNUMBER($H255),$H255,IFERROR(TIMEVALUE($H255),VALUE($H255)))&gt;=100,INT(IF(ISNUMBER($H255),$H255,IFERROR(TIMEVALUE($H255),VALUE($H255)))/100)*60+MOD(IF(ISNUMBER($H255),$H255,IFERROR(TIMEVALUE($H255),VALUE($H255))),100),IF(IF(ISNUMBER($H255),$H255,IFERROR(TIMEVALUE($H255),VALUE($H255)))&gt;=1,ROUND(IF(ISNUMBER($H255),$H255,IFERROR(TIMEVALUE($H255),VALUE($H255)))*60,0),ROUND(MOD(IF(ISNUMBER($H255),$H255,IFERROR(TIMEVALUE($H255),VALUE($H255))),1)*1440,0))),""))</f>
        <v/>
      </c>
      <c r="W255" s="52" t="str">
        <f aca="false">IF($I255="","",IFERROR(IF(IF(ISNUMBER($I255),$I255,IFERROR(TIMEVALUE($I255),VALUE($I255)))&gt;=100,INT(IF(ISNUMBER($I255),$I255,IFERROR(TIMEVALUE($I255),VALUE($I255)))/100)*60+MOD(IF(ISNUMBER($I255),$I255,IFERROR(TIMEVALUE($I255),VALUE($I255))),100),IF(IF(ISNUMBER($I255),$I255,IFERROR(TIMEVALUE($I255),VALUE($I255)))&gt;=1,ROUND(IF(ISNUMBER($I255),$I255,IFERROR(TIMEVALUE($I255),VALUE($I255)))*60,0),ROUND(MOD(IF(ISNUMBER($I255),$I255,IFERROR(TIMEVALUE($I255),VALUE($I255))),1)*1440,0))),""))</f>
        <v/>
      </c>
      <c r="X255" s="55" t="str">
        <f aca="false">IF($P255="","",IFERROR(IF(ISNUMBER($P255),IF($P255&gt;19000000,DATE(INT($P255/10000),MOD(INT($P255/100),100),MOD($P255,100)),INT($P255)),IF(LEN(SUBSTITUTE(SUBSTITUTE(SUBSTITUTE(TRIM($P255),"-",""),".",""),"/",""))=8,DATE(VALUE(LEFT(SUBSTITUTE(SUBSTITUTE(SUBSTITUTE(TRIM($P255),"-",""),".",""),"/",""),4)),VALUE(MID(SUBSTITUTE(SUBSTITUTE(SUBSTITUTE(TRIM($P255),"-",""),".",""),"/",""),5,2)),VALUE(RIGHT(SUBSTITUTE(SUBSTITUTE(SUBSTITUTE(TRIM($P255),"-",""),".",""),"/",""),2))),DATEVALUE($P255))),""))</f>
        <v/>
      </c>
      <c r="Y255" s="56" t="str">
        <f aca="false">IF($M255="","",IFERROR(INDEX(강사DB!$D$4:$D$53,MATCH($M255,강사DB!$A$4:$A$53,0)),""))</f>
        <v/>
      </c>
      <c r="Z255" s="56" t="str">
        <f aca="false">IF($B255&lt;&gt;"결제완료","",IF(OR($Y255="",$J255=""),"",$Y255*$J255+MAX(0,N($K255)-1)*설정!$J$7))</f>
        <v/>
      </c>
      <c r="AA255" s="56" t="str">
        <f aca="false">IF(AND($D255&lt;&gt;"",$B255="결제완료"),N($N255),"")</f>
        <v/>
      </c>
      <c r="AB255" s="45" t="str">
        <f aca="false">IF($D255="","",IF($F255&lt;&gt;"",$F255,$D255)&amp;IF($B255="상담중"," (상담)",""))</f>
        <v/>
      </c>
      <c r="AC255" s="45" t="n">
        <f aca="false">IF(AND($D255&lt;&gt;"",OR($B255="결제완료",$B255="상담중")),1,0)</f>
        <v>0</v>
      </c>
      <c r="AD255" s="45" t="n">
        <f aca="false">IF(OR($Z255="",$U255=""),0,IFERROR(IF(COUNTIFS(INDEX(g_grid,0,2*MATCH($M255,강사DB!$A$4:$A$15,0)),"&lt;&gt;",g_s,"&lt;="&amp;$U255,g_e,"&gt;="&amp;$U255)&gt;0,1,0),0))</f>
        <v>0</v>
      </c>
      <c r="AE255" s="48"/>
      <c r="AF255" s="56" t="str">
        <f aca="false">IF(AND($D255&lt;&gt;"",$B255="결제완료",$T255="대여"),설정!$J$5,"")</f>
        <v/>
      </c>
      <c r="AG255" s="54" t="str">
        <f aca="false">IF($D255="","",IF(AND($E255="",$R255=""),$AB255,"☎ "&amp;IF($E255="","-",$E255)&amp;IF($R255&lt;&gt;"","  ※ "&amp;$R255,"")&amp;IF($B255="상담중"," (상담)","")))</f>
        <v/>
      </c>
      <c r="AH255" s="56" t="str">
        <f aca="false">IF(AND($D255&lt;&gt;"",$B255="결제완료",$O255="스마트스토어"),ROUND(N($N255)*설정!$J$6,0),"")</f>
        <v/>
      </c>
      <c r="AI255" s="54" t="str">
        <f aca="false">IF($D255="","",ROW())</f>
        <v/>
      </c>
      <c r="AJ255" s="54" t="n">
        <f aca="false">IF(OR($AC255&lt;&gt;1,$M255=""),0,IF(ISNUMBER(SEARCH("퇴사",IFERROR(INDEX(강사DB!$G$4:$G$53,MATCH($M255,강사DB!$A$4:$A$53,0)),""))),1,0))</f>
        <v>0</v>
      </c>
    </row>
    <row r="256" customFormat="false" ht="15" hidden="false" customHeight="false" outlineLevel="0" collapsed="false">
      <c r="A256" s="45" t="str">
        <f aca="false">IF($D256="","",COUNTA($D$5:$D256))</f>
        <v/>
      </c>
      <c r="B256" s="46"/>
      <c r="C256" s="47"/>
      <c r="D256" s="48"/>
      <c r="E256" s="48"/>
      <c r="F256" s="49"/>
      <c r="G256" s="47"/>
      <c r="H256" s="50"/>
      <c r="I256" s="50"/>
      <c r="J256" s="51" t="str">
        <f aca="false">IF(OR($V256="",$W256=""),"",ROUND(($W256-$V256)/60,2))</f>
        <v/>
      </c>
      <c r="K256" s="52" t="str">
        <f aca="false">IF($F256="","",LEN($F256)-LEN(SUBSTITUTE($F256,",",""))+1)</f>
        <v/>
      </c>
      <c r="L256" s="45" t="str">
        <f aca="false">IF($K256="","","1:"&amp;$K256)</f>
        <v/>
      </c>
      <c r="M256" s="46"/>
      <c r="N256" s="53"/>
      <c r="O256" s="46"/>
      <c r="P256" s="47"/>
      <c r="Q256" s="48"/>
      <c r="R256" s="49"/>
      <c r="S256" s="54" t="str">
        <f aca="false">IF(OR($AC256=0,$U256="",$M256="",$V256="",$W256=""),"",IF(COUNTIFS(m_teacher,$M256,m_date,$U256,m_active,1,m_start,"&lt;"&amp;$W256,m_end,"&gt;"&amp;$V256)&gt;1,"충돌",""))</f>
        <v/>
      </c>
      <c r="T256" s="48"/>
      <c r="U256" s="55" t="str">
        <f aca="false">IF($G256="","",IFERROR(IF(ISNUMBER($G256),IF($G256&gt;19000000,DATE(INT($G256/10000),MOD(INT($G256/100),100),MOD($G256,100)),INT($G256)),IF(LEN(SUBSTITUTE(SUBSTITUTE(SUBSTITUTE(TRIM($G256),"-",""),".",""),"/",""))=8,DATE(VALUE(LEFT(SUBSTITUTE(SUBSTITUTE(SUBSTITUTE(TRIM($G256),"-",""),".",""),"/",""),4)),VALUE(MID(SUBSTITUTE(SUBSTITUTE(SUBSTITUTE(TRIM($G256),"-",""),".",""),"/",""),5,2)),VALUE(RIGHT(SUBSTITUTE(SUBSTITUTE(SUBSTITUTE(TRIM($G256),"-",""),".",""),"/",""),2))),DATEVALUE($G256))),""))</f>
        <v/>
      </c>
      <c r="V256" s="52" t="str">
        <f aca="false">IF($H256="","",IFERROR(IF(IF(ISNUMBER($H256),$H256,IFERROR(TIMEVALUE($H256),VALUE($H256)))&gt;=100,INT(IF(ISNUMBER($H256),$H256,IFERROR(TIMEVALUE($H256),VALUE($H256)))/100)*60+MOD(IF(ISNUMBER($H256),$H256,IFERROR(TIMEVALUE($H256),VALUE($H256))),100),IF(IF(ISNUMBER($H256),$H256,IFERROR(TIMEVALUE($H256),VALUE($H256)))&gt;=1,ROUND(IF(ISNUMBER($H256),$H256,IFERROR(TIMEVALUE($H256),VALUE($H256)))*60,0),ROUND(MOD(IF(ISNUMBER($H256),$H256,IFERROR(TIMEVALUE($H256),VALUE($H256))),1)*1440,0))),""))</f>
        <v/>
      </c>
      <c r="W256" s="52" t="str">
        <f aca="false">IF($I256="","",IFERROR(IF(IF(ISNUMBER($I256),$I256,IFERROR(TIMEVALUE($I256),VALUE($I256)))&gt;=100,INT(IF(ISNUMBER($I256),$I256,IFERROR(TIMEVALUE($I256),VALUE($I256)))/100)*60+MOD(IF(ISNUMBER($I256),$I256,IFERROR(TIMEVALUE($I256),VALUE($I256))),100),IF(IF(ISNUMBER($I256),$I256,IFERROR(TIMEVALUE($I256),VALUE($I256)))&gt;=1,ROUND(IF(ISNUMBER($I256),$I256,IFERROR(TIMEVALUE($I256),VALUE($I256)))*60,0),ROUND(MOD(IF(ISNUMBER($I256),$I256,IFERROR(TIMEVALUE($I256),VALUE($I256))),1)*1440,0))),""))</f>
        <v/>
      </c>
      <c r="X256" s="55" t="str">
        <f aca="false">IF($P256="","",IFERROR(IF(ISNUMBER($P256),IF($P256&gt;19000000,DATE(INT($P256/10000),MOD(INT($P256/100),100),MOD($P256,100)),INT($P256)),IF(LEN(SUBSTITUTE(SUBSTITUTE(SUBSTITUTE(TRIM($P256),"-",""),".",""),"/",""))=8,DATE(VALUE(LEFT(SUBSTITUTE(SUBSTITUTE(SUBSTITUTE(TRIM($P256),"-",""),".",""),"/",""),4)),VALUE(MID(SUBSTITUTE(SUBSTITUTE(SUBSTITUTE(TRIM($P256),"-",""),".",""),"/",""),5,2)),VALUE(RIGHT(SUBSTITUTE(SUBSTITUTE(SUBSTITUTE(TRIM($P256),"-",""),".",""),"/",""),2))),DATEVALUE($P256))),""))</f>
        <v/>
      </c>
      <c r="Y256" s="56" t="str">
        <f aca="false">IF($M256="","",IFERROR(INDEX(강사DB!$D$4:$D$53,MATCH($M256,강사DB!$A$4:$A$53,0)),""))</f>
        <v/>
      </c>
      <c r="Z256" s="56" t="str">
        <f aca="false">IF($B256&lt;&gt;"결제완료","",IF(OR($Y256="",$J256=""),"",$Y256*$J256+MAX(0,N($K256)-1)*설정!$J$7))</f>
        <v/>
      </c>
      <c r="AA256" s="56" t="str">
        <f aca="false">IF(AND($D256&lt;&gt;"",$B256="결제완료"),N($N256),"")</f>
        <v/>
      </c>
      <c r="AB256" s="45" t="str">
        <f aca="false">IF($D256="","",IF($F256&lt;&gt;"",$F256,$D256)&amp;IF($B256="상담중"," (상담)",""))</f>
        <v/>
      </c>
      <c r="AC256" s="45" t="n">
        <f aca="false">IF(AND($D256&lt;&gt;"",OR($B256="결제완료",$B256="상담중")),1,0)</f>
        <v>0</v>
      </c>
      <c r="AD256" s="45" t="n">
        <f aca="false">IF(OR($Z256="",$U256=""),0,IFERROR(IF(COUNTIFS(INDEX(g_grid,0,2*MATCH($M256,강사DB!$A$4:$A$15,0)),"&lt;&gt;",g_s,"&lt;="&amp;$U256,g_e,"&gt;="&amp;$U256)&gt;0,1,0),0))</f>
        <v>0</v>
      </c>
      <c r="AE256" s="48"/>
      <c r="AF256" s="56" t="str">
        <f aca="false">IF(AND($D256&lt;&gt;"",$B256="결제완료",$T256="대여"),설정!$J$5,"")</f>
        <v/>
      </c>
      <c r="AG256" s="54" t="str">
        <f aca="false">IF($D256="","",IF(AND($E256="",$R256=""),$AB256,"☎ "&amp;IF($E256="","-",$E256)&amp;IF($R256&lt;&gt;"","  ※ "&amp;$R256,"")&amp;IF($B256="상담중"," (상담)","")))</f>
        <v/>
      </c>
      <c r="AH256" s="56" t="str">
        <f aca="false">IF(AND($D256&lt;&gt;"",$B256="결제완료",$O256="스마트스토어"),ROUND(N($N256)*설정!$J$6,0),"")</f>
        <v/>
      </c>
      <c r="AI256" s="54" t="str">
        <f aca="false">IF($D256="","",ROW())</f>
        <v/>
      </c>
      <c r="AJ256" s="54" t="n">
        <f aca="false">IF(OR($AC256&lt;&gt;1,$M256=""),0,IF(ISNUMBER(SEARCH("퇴사",IFERROR(INDEX(강사DB!$G$4:$G$53,MATCH($M256,강사DB!$A$4:$A$53,0)),""))),1,0))</f>
        <v>0</v>
      </c>
    </row>
    <row r="257" customFormat="false" ht="15" hidden="false" customHeight="false" outlineLevel="0" collapsed="false">
      <c r="A257" s="45" t="str">
        <f aca="false">IF($D257="","",COUNTA($D$5:$D257))</f>
        <v/>
      </c>
      <c r="B257" s="46"/>
      <c r="C257" s="47"/>
      <c r="D257" s="48"/>
      <c r="E257" s="48"/>
      <c r="F257" s="49"/>
      <c r="G257" s="47"/>
      <c r="H257" s="50"/>
      <c r="I257" s="50"/>
      <c r="J257" s="51" t="str">
        <f aca="false">IF(OR($V257="",$W257=""),"",ROUND(($W257-$V257)/60,2))</f>
        <v/>
      </c>
      <c r="K257" s="52" t="str">
        <f aca="false">IF($F257="","",LEN($F257)-LEN(SUBSTITUTE($F257,",",""))+1)</f>
        <v/>
      </c>
      <c r="L257" s="45" t="str">
        <f aca="false">IF($K257="","","1:"&amp;$K257)</f>
        <v/>
      </c>
      <c r="M257" s="46"/>
      <c r="N257" s="53"/>
      <c r="O257" s="46"/>
      <c r="P257" s="47"/>
      <c r="Q257" s="48"/>
      <c r="R257" s="49"/>
      <c r="S257" s="54" t="str">
        <f aca="false">IF(OR($AC257=0,$U257="",$M257="",$V257="",$W257=""),"",IF(COUNTIFS(m_teacher,$M257,m_date,$U257,m_active,1,m_start,"&lt;"&amp;$W257,m_end,"&gt;"&amp;$V257)&gt;1,"충돌",""))</f>
        <v/>
      </c>
      <c r="T257" s="48"/>
      <c r="U257" s="55" t="str">
        <f aca="false">IF($G257="","",IFERROR(IF(ISNUMBER($G257),IF($G257&gt;19000000,DATE(INT($G257/10000),MOD(INT($G257/100),100),MOD($G257,100)),INT($G257)),IF(LEN(SUBSTITUTE(SUBSTITUTE(SUBSTITUTE(TRIM($G257),"-",""),".",""),"/",""))=8,DATE(VALUE(LEFT(SUBSTITUTE(SUBSTITUTE(SUBSTITUTE(TRIM($G257),"-",""),".",""),"/",""),4)),VALUE(MID(SUBSTITUTE(SUBSTITUTE(SUBSTITUTE(TRIM($G257),"-",""),".",""),"/",""),5,2)),VALUE(RIGHT(SUBSTITUTE(SUBSTITUTE(SUBSTITUTE(TRIM($G257),"-",""),".",""),"/",""),2))),DATEVALUE($G257))),""))</f>
        <v/>
      </c>
      <c r="V257" s="52" t="str">
        <f aca="false">IF($H257="","",IFERROR(IF(IF(ISNUMBER($H257),$H257,IFERROR(TIMEVALUE($H257),VALUE($H257)))&gt;=100,INT(IF(ISNUMBER($H257),$H257,IFERROR(TIMEVALUE($H257),VALUE($H257)))/100)*60+MOD(IF(ISNUMBER($H257),$H257,IFERROR(TIMEVALUE($H257),VALUE($H257))),100),IF(IF(ISNUMBER($H257),$H257,IFERROR(TIMEVALUE($H257),VALUE($H257)))&gt;=1,ROUND(IF(ISNUMBER($H257),$H257,IFERROR(TIMEVALUE($H257),VALUE($H257)))*60,0),ROUND(MOD(IF(ISNUMBER($H257),$H257,IFERROR(TIMEVALUE($H257),VALUE($H257))),1)*1440,0))),""))</f>
        <v/>
      </c>
      <c r="W257" s="52" t="str">
        <f aca="false">IF($I257="","",IFERROR(IF(IF(ISNUMBER($I257),$I257,IFERROR(TIMEVALUE($I257),VALUE($I257)))&gt;=100,INT(IF(ISNUMBER($I257),$I257,IFERROR(TIMEVALUE($I257),VALUE($I257)))/100)*60+MOD(IF(ISNUMBER($I257),$I257,IFERROR(TIMEVALUE($I257),VALUE($I257))),100),IF(IF(ISNUMBER($I257),$I257,IFERROR(TIMEVALUE($I257),VALUE($I257)))&gt;=1,ROUND(IF(ISNUMBER($I257),$I257,IFERROR(TIMEVALUE($I257),VALUE($I257)))*60,0),ROUND(MOD(IF(ISNUMBER($I257),$I257,IFERROR(TIMEVALUE($I257),VALUE($I257))),1)*1440,0))),""))</f>
        <v/>
      </c>
      <c r="X257" s="55" t="str">
        <f aca="false">IF($P257="","",IFERROR(IF(ISNUMBER($P257),IF($P257&gt;19000000,DATE(INT($P257/10000),MOD(INT($P257/100),100),MOD($P257,100)),INT($P257)),IF(LEN(SUBSTITUTE(SUBSTITUTE(SUBSTITUTE(TRIM($P257),"-",""),".",""),"/",""))=8,DATE(VALUE(LEFT(SUBSTITUTE(SUBSTITUTE(SUBSTITUTE(TRIM($P257),"-",""),".",""),"/",""),4)),VALUE(MID(SUBSTITUTE(SUBSTITUTE(SUBSTITUTE(TRIM($P257),"-",""),".",""),"/",""),5,2)),VALUE(RIGHT(SUBSTITUTE(SUBSTITUTE(SUBSTITUTE(TRIM($P257),"-",""),".",""),"/",""),2))),DATEVALUE($P257))),""))</f>
        <v/>
      </c>
      <c r="Y257" s="56" t="str">
        <f aca="false">IF($M257="","",IFERROR(INDEX(강사DB!$D$4:$D$53,MATCH($M257,강사DB!$A$4:$A$53,0)),""))</f>
        <v/>
      </c>
      <c r="Z257" s="56" t="str">
        <f aca="false">IF($B257&lt;&gt;"결제완료","",IF(OR($Y257="",$J257=""),"",$Y257*$J257+MAX(0,N($K257)-1)*설정!$J$7))</f>
        <v/>
      </c>
      <c r="AA257" s="56" t="str">
        <f aca="false">IF(AND($D257&lt;&gt;"",$B257="결제완료"),N($N257),"")</f>
        <v/>
      </c>
      <c r="AB257" s="45" t="str">
        <f aca="false">IF($D257="","",IF($F257&lt;&gt;"",$F257,$D257)&amp;IF($B257="상담중"," (상담)",""))</f>
        <v/>
      </c>
      <c r="AC257" s="45" t="n">
        <f aca="false">IF(AND($D257&lt;&gt;"",OR($B257="결제완료",$B257="상담중")),1,0)</f>
        <v>0</v>
      </c>
      <c r="AD257" s="45" t="n">
        <f aca="false">IF(OR($Z257="",$U257=""),0,IFERROR(IF(COUNTIFS(INDEX(g_grid,0,2*MATCH($M257,강사DB!$A$4:$A$15,0)),"&lt;&gt;",g_s,"&lt;="&amp;$U257,g_e,"&gt;="&amp;$U257)&gt;0,1,0),0))</f>
        <v>0</v>
      </c>
      <c r="AE257" s="48"/>
      <c r="AF257" s="56" t="str">
        <f aca="false">IF(AND($D257&lt;&gt;"",$B257="결제완료",$T257="대여"),설정!$J$5,"")</f>
        <v/>
      </c>
      <c r="AG257" s="54" t="str">
        <f aca="false">IF($D257="","",IF(AND($E257="",$R257=""),$AB257,"☎ "&amp;IF($E257="","-",$E257)&amp;IF($R257&lt;&gt;"","  ※ "&amp;$R257,"")&amp;IF($B257="상담중"," (상담)","")))</f>
        <v/>
      </c>
      <c r="AH257" s="56" t="str">
        <f aca="false">IF(AND($D257&lt;&gt;"",$B257="결제완료",$O257="스마트스토어"),ROUND(N($N257)*설정!$J$6,0),"")</f>
        <v/>
      </c>
      <c r="AI257" s="54" t="str">
        <f aca="false">IF($D257="","",ROW())</f>
        <v/>
      </c>
      <c r="AJ257" s="54" t="n">
        <f aca="false">IF(OR($AC257&lt;&gt;1,$M257=""),0,IF(ISNUMBER(SEARCH("퇴사",IFERROR(INDEX(강사DB!$G$4:$G$53,MATCH($M257,강사DB!$A$4:$A$53,0)),""))),1,0))</f>
        <v>0</v>
      </c>
    </row>
    <row r="258" customFormat="false" ht="15" hidden="false" customHeight="false" outlineLevel="0" collapsed="false">
      <c r="A258" s="45" t="str">
        <f aca="false">IF($D258="","",COUNTA($D$5:$D258))</f>
        <v/>
      </c>
      <c r="B258" s="46"/>
      <c r="C258" s="47"/>
      <c r="D258" s="48"/>
      <c r="E258" s="48"/>
      <c r="F258" s="49"/>
      <c r="G258" s="47"/>
      <c r="H258" s="50"/>
      <c r="I258" s="50"/>
      <c r="J258" s="51" t="str">
        <f aca="false">IF(OR($V258="",$W258=""),"",ROUND(($W258-$V258)/60,2))</f>
        <v/>
      </c>
      <c r="K258" s="52" t="str">
        <f aca="false">IF($F258="","",LEN($F258)-LEN(SUBSTITUTE($F258,",",""))+1)</f>
        <v/>
      </c>
      <c r="L258" s="45" t="str">
        <f aca="false">IF($K258="","","1:"&amp;$K258)</f>
        <v/>
      </c>
      <c r="M258" s="46"/>
      <c r="N258" s="53"/>
      <c r="O258" s="46"/>
      <c r="P258" s="47"/>
      <c r="Q258" s="48"/>
      <c r="R258" s="49"/>
      <c r="S258" s="54" t="str">
        <f aca="false">IF(OR($AC258=0,$U258="",$M258="",$V258="",$W258=""),"",IF(COUNTIFS(m_teacher,$M258,m_date,$U258,m_active,1,m_start,"&lt;"&amp;$W258,m_end,"&gt;"&amp;$V258)&gt;1,"충돌",""))</f>
        <v/>
      </c>
      <c r="T258" s="48"/>
      <c r="U258" s="55" t="str">
        <f aca="false">IF($G258="","",IFERROR(IF(ISNUMBER($G258),IF($G258&gt;19000000,DATE(INT($G258/10000),MOD(INT($G258/100),100),MOD($G258,100)),INT($G258)),IF(LEN(SUBSTITUTE(SUBSTITUTE(SUBSTITUTE(TRIM($G258),"-",""),".",""),"/",""))=8,DATE(VALUE(LEFT(SUBSTITUTE(SUBSTITUTE(SUBSTITUTE(TRIM($G258),"-",""),".",""),"/",""),4)),VALUE(MID(SUBSTITUTE(SUBSTITUTE(SUBSTITUTE(TRIM($G258),"-",""),".",""),"/",""),5,2)),VALUE(RIGHT(SUBSTITUTE(SUBSTITUTE(SUBSTITUTE(TRIM($G258),"-",""),".",""),"/",""),2))),DATEVALUE($G258))),""))</f>
        <v/>
      </c>
      <c r="V258" s="52" t="str">
        <f aca="false">IF($H258="","",IFERROR(IF(IF(ISNUMBER($H258),$H258,IFERROR(TIMEVALUE($H258),VALUE($H258)))&gt;=100,INT(IF(ISNUMBER($H258),$H258,IFERROR(TIMEVALUE($H258),VALUE($H258)))/100)*60+MOD(IF(ISNUMBER($H258),$H258,IFERROR(TIMEVALUE($H258),VALUE($H258))),100),IF(IF(ISNUMBER($H258),$H258,IFERROR(TIMEVALUE($H258),VALUE($H258)))&gt;=1,ROUND(IF(ISNUMBER($H258),$H258,IFERROR(TIMEVALUE($H258),VALUE($H258)))*60,0),ROUND(MOD(IF(ISNUMBER($H258),$H258,IFERROR(TIMEVALUE($H258),VALUE($H258))),1)*1440,0))),""))</f>
        <v/>
      </c>
      <c r="W258" s="52" t="str">
        <f aca="false">IF($I258="","",IFERROR(IF(IF(ISNUMBER($I258),$I258,IFERROR(TIMEVALUE($I258),VALUE($I258)))&gt;=100,INT(IF(ISNUMBER($I258),$I258,IFERROR(TIMEVALUE($I258),VALUE($I258)))/100)*60+MOD(IF(ISNUMBER($I258),$I258,IFERROR(TIMEVALUE($I258),VALUE($I258))),100),IF(IF(ISNUMBER($I258),$I258,IFERROR(TIMEVALUE($I258),VALUE($I258)))&gt;=1,ROUND(IF(ISNUMBER($I258),$I258,IFERROR(TIMEVALUE($I258),VALUE($I258)))*60,0),ROUND(MOD(IF(ISNUMBER($I258),$I258,IFERROR(TIMEVALUE($I258),VALUE($I258))),1)*1440,0))),""))</f>
        <v/>
      </c>
      <c r="X258" s="55" t="str">
        <f aca="false">IF($P258="","",IFERROR(IF(ISNUMBER($P258),IF($P258&gt;19000000,DATE(INT($P258/10000),MOD(INT($P258/100),100),MOD($P258,100)),INT($P258)),IF(LEN(SUBSTITUTE(SUBSTITUTE(SUBSTITUTE(TRIM($P258),"-",""),".",""),"/",""))=8,DATE(VALUE(LEFT(SUBSTITUTE(SUBSTITUTE(SUBSTITUTE(TRIM($P258),"-",""),".",""),"/",""),4)),VALUE(MID(SUBSTITUTE(SUBSTITUTE(SUBSTITUTE(TRIM($P258),"-",""),".",""),"/",""),5,2)),VALUE(RIGHT(SUBSTITUTE(SUBSTITUTE(SUBSTITUTE(TRIM($P258),"-",""),".",""),"/",""),2))),DATEVALUE($P258))),""))</f>
        <v/>
      </c>
      <c r="Y258" s="56" t="str">
        <f aca="false">IF($M258="","",IFERROR(INDEX(강사DB!$D$4:$D$53,MATCH($M258,강사DB!$A$4:$A$53,0)),""))</f>
        <v/>
      </c>
      <c r="Z258" s="56" t="str">
        <f aca="false">IF($B258&lt;&gt;"결제완료","",IF(OR($Y258="",$J258=""),"",$Y258*$J258+MAX(0,N($K258)-1)*설정!$J$7))</f>
        <v/>
      </c>
      <c r="AA258" s="56" t="str">
        <f aca="false">IF(AND($D258&lt;&gt;"",$B258="결제완료"),N($N258),"")</f>
        <v/>
      </c>
      <c r="AB258" s="45" t="str">
        <f aca="false">IF($D258="","",IF($F258&lt;&gt;"",$F258,$D258)&amp;IF($B258="상담중"," (상담)",""))</f>
        <v/>
      </c>
      <c r="AC258" s="45" t="n">
        <f aca="false">IF(AND($D258&lt;&gt;"",OR($B258="결제완료",$B258="상담중")),1,0)</f>
        <v>0</v>
      </c>
      <c r="AD258" s="45" t="n">
        <f aca="false">IF(OR($Z258="",$U258=""),0,IFERROR(IF(COUNTIFS(INDEX(g_grid,0,2*MATCH($M258,강사DB!$A$4:$A$15,0)),"&lt;&gt;",g_s,"&lt;="&amp;$U258,g_e,"&gt;="&amp;$U258)&gt;0,1,0),0))</f>
        <v>0</v>
      </c>
      <c r="AE258" s="48"/>
      <c r="AF258" s="56" t="str">
        <f aca="false">IF(AND($D258&lt;&gt;"",$B258="결제완료",$T258="대여"),설정!$J$5,"")</f>
        <v/>
      </c>
      <c r="AG258" s="54" t="str">
        <f aca="false">IF($D258="","",IF(AND($E258="",$R258=""),$AB258,"☎ "&amp;IF($E258="","-",$E258)&amp;IF($R258&lt;&gt;"","  ※ "&amp;$R258,"")&amp;IF($B258="상담중"," (상담)","")))</f>
        <v/>
      </c>
      <c r="AH258" s="56" t="str">
        <f aca="false">IF(AND($D258&lt;&gt;"",$B258="결제완료",$O258="스마트스토어"),ROUND(N($N258)*설정!$J$6,0),"")</f>
        <v/>
      </c>
      <c r="AI258" s="54" t="str">
        <f aca="false">IF($D258="","",ROW())</f>
        <v/>
      </c>
      <c r="AJ258" s="54" t="n">
        <f aca="false">IF(OR($AC258&lt;&gt;1,$M258=""),0,IF(ISNUMBER(SEARCH("퇴사",IFERROR(INDEX(강사DB!$G$4:$G$53,MATCH($M258,강사DB!$A$4:$A$53,0)),""))),1,0))</f>
        <v>0</v>
      </c>
    </row>
    <row r="259" customFormat="false" ht="15" hidden="false" customHeight="false" outlineLevel="0" collapsed="false">
      <c r="A259" s="45" t="str">
        <f aca="false">IF($D259="","",COUNTA($D$5:$D259))</f>
        <v/>
      </c>
      <c r="B259" s="46"/>
      <c r="C259" s="47"/>
      <c r="D259" s="48"/>
      <c r="E259" s="48"/>
      <c r="F259" s="49"/>
      <c r="G259" s="47"/>
      <c r="H259" s="50"/>
      <c r="I259" s="50"/>
      <c r="J259" s="51" t="str">
        <f aca="false">IF(OR($V259="",$W259=""),"",ROUND(($W259-$V259)/60,2))</f>
        <v/>
      </c>
      <c r="K259" s="52" t="str">
        <f aca="false">IF($F259="","",LEN($F259)-LEN(SUBSTITUTE($F259,",",""))+1)</f>
        <v/>
      </c>
      <c r="L259" s="45" t="str">
        <f aca="false">IF($K259="","","1:"&amp;$K259)</f>
        <v/>
      </c>
      <c r="M259" s="46"/>
      <c r="N259" s="53"/>
      <c r="O259" s="46"/>
      <c r="P259" s="47"/>
      <c r="Q259" s="48"/>
      <c r="R259" s="49"/>
      <c r="S259" s="54" t="str">
        <f aca="false">IF(OR($AC259=0,$U259="",$M259="",$V259="",$W259=""),"",IF(COUNTIFS(m_teacher,$M259,m_date,$U259,m_active,1,m_start,"&lt;"&amp;$W259,m_end,"&gt;"&amp;$V259)&gt;1,"충돌",""))</f>
        <v/>
      </c>
      <c r="T259" s="48"/>
      <c r="U259" s="55" t="str">
        <f aca="false">IF($G259="","",IFERROR(IF(ISNUMBER($G259),IF($G259&gt;19000000,DATE(INT($G259/10000),MOD(INT($G259/100),100),MOD($G259,100)),INT($G259)),IF(LEN(SUBSTITUTE(SUBSTITUTE(SUBSTITUTE(TRIM($G259),"-",""),".",""),"/",""))=8,DATE(VALUE(LEFT(SUBSTITUTE(SUBSTITUTE(SUBSTITUTE(TRIM($G259),"-",""),".",""),"/",""),4)),VALUE(MID(SUBSTITUTE(SUBSTITUTE(SUBSTITUTE(TRIM($G259),"-",""),".",""),"/",""),5,2)),VALUE(RIGHT(SUBSTITUTE(SUBSTITUTE(SUBSTITUTE(TRIM($G259),"-",""),".",""),"/",""),2))),DATEVALUE($G259))),""))</f>
        <v/>
      </c>
      <c r="V259" s="52" t="str">
        <f aca="false">IF($H259="","",IFERROR(IF(IF(ISNUMBER($H259),$H259,IFERROR(TIMEVALUE($H259),VALUE($H259)))&gt;=100,INT(IF(ISNUMBER($H259),$H259,IFERROR(TIMEVALUE($H259),VALUE($H259)))/100)*60+MOD(IF(ISNUMBER($H259),$H259,IFERROR(TIMEVALUE($H259),VALUE($H259))),100),IF(IF(ISNUMBER($H259),$H259,IFERROR(TIMEVALUE($H259),VALUE($H259)))&gt;=1,ROUND(IF(ISNUMBER($H259),$H259,IFERROR(TIMEVALUE($H259),VALUE($H259)))*60,0),ROUND(MOD(IF(ISNUMBER($H259),$H259,IFERROR(TIMEVALUE($H259),VALUE($H259))),1)*1440,0))),""))</f>
        <v/>
      </c>
      <c r="W259" s="52" t="str">
        <f aca="false">IF($I259="","",IFERROR(IF(IF(ISNUMBER($I259),$I259,IFERROR(TIMEVALUE($I259),VALUE($I259)))&gt;=100,INT(IF(ISNUMBER($I259),$I259,IFERROR(TIMEVALUE($I259),VALUE($I259)))/100)*60+MOD(IF(ISNUMBER($I259),$I259,IFERROR(TIMEVALUE($I259),VALUE($I259))),100),IF(IF(ISNUMBER($I259),$I259,IFERROR(TIMEVALUE($I259),VALUE($I259)))&gt;=1,ROUND(IF(ISNUMBER($I259),$I259,IFERROR(TIMEVALUE($I259),VALUE($I259)))*60,0),ROUND(MOD(IF(ISNUMBER($I259),$I259,IFERROR(TIMEVALUE($I259),VALUE($I259))),1)*1440,0))),""))</f>
        <v/>
      </c>
      <c r="X259" s="55" t="str">
        <f aca="false">IF($P259="","",IFERROR(IF(ISNUMBER($P259),IF($P259&gt;19000000,DATE(INT($P259/10000),MOD(INT($P259/100),100),MOD($P259,100)),INT($P259)),IF(LEN(SUBSTITUTE(SUBSTITUTE(SUBSTITUTE(TRIM($P259),"-",""),".",""),"/",""))=8,DATE(VALUE(LEFT(SUBSTITUTE(SUBSTITUTE(SUBSTITUTE(TRIM($P259),"-",""),".",""),"/",""),4)),VALUE(MID(SUBSTITUTE(SUBSTITUTE(SUBSTITUTE(TRIM($P259),"-",""),".",""),"/",""),5,2)),VALUE(RIGHT(SUBSTITUTE(SUBSTITUTE(SUBSTITUTE(TRIM($P259),"-",""),".",""),"/",""),2))),DATEVALUE($P259))),""))</f>
        <v/>
      </c>
      <c r="Y259" s="56" t="str">
        <f aca="false">IF($M259="","",IFERROR(INDEX(강사DB!$D$4:$D$53,MATCH($M259,강사DB!$A$4:$A$53,0)),""))</f>
        <v/>
      </c>
      <c r="Z259" s="56" t="str">
        <f aca="false">IF($B259&lt;&gt;"결제완료","",IF(OR($Y259="",$J259=""),"",$Y259*$J259+MAX(0,N($K259)-1)*설정!$J$7))</f>
        <v/>
      </c>
      <c r="AA259" s="56" t="str">
        <f aca="false">IF(AND($D259&lt;&gt;"",$B259="결제완료"),N($N259),"")</f>
        <v/>
      </c>
      <c r="AB259" s="45" t="str">
        <f aca="false">IF($D259="","",IF($F259&lt;&gt;"",$F259,$D259)&amp;IF($B259="상담중"," (상담)",""))</f>
        <v/>
      </c>
      <c r="AC259" s="45" t="n">
        <f aca="false">IF(AND($D259&lt;&gt;"",OR($B259="결제완료",$B259="상담중")),1,0)</f>
        <v>0</v>
      </c>
      <c r="AD259" s="45" t="n">
        <f aca="false">IF(OR($Z259="",$U259=""),0,IFERROR(IF(COUNTIFS(INDEX(g_grid,0,2*MATCH($M259,강사DB!$A$4:$A$15,0)),"&lt;&gt;",g_s,"&lt;="&amp;$U259,g_e,"&gt;="&amp;$U259)&gt;0,1,0),0))</f>
        <v>0</v>
      </c>
      <c r="AE259" s="48"/>
      <c r="AF259" s="56" t="str">
        <f aca="false">IF(AND($D259&lt;&gt;"",$B259="결제완료",$T259="대여"),설정!$J$5,"")</f>
        <v/>
      </c>
      <c r="AG259" s="54" t="str">
        <f aca="false">IF($D259="","",IF(AND($E259="",$R259=""),$AB259,"☎ "&amp;IF($E259="","-",$E259)&amp;IF($R259&lt;&gt;"","  ※ "&amp;$R259,"")&amp;IF($B259="상담중"," (상담)","")))</f>
        <v/>
      </c>
      <c r="AH259" s="56" t="str">
        <f aca="false">IF(AND($D259&lt;&gt;"",$B259="결제완료",$O259="스마트스토어"),ROUND(N($N259)*설정!$J$6,0),"")</f>
        <v/>
      </c>
      <c r="AI259" s="54" t="str">
        <f aca="false">IF($D259="","",ROW())</f>
        <v/>
      </c>
      <c r="AJ259" s="54" t="n">
        <f aca="false">IF(OR($AC259&lt;&gt;1,$M259=""),0,IF(ISNUMBER(SEARCH("퇴사",IFERROR(INDEX(강사DB!$G$4:$G$53,MATCH($M259,강사DB!$A$4:$A$53,0)),""))),1,0))</f>
        <v>0</v>
      </c>
    </row>
    <row r="260" customFormat="false" ht="15" hidden="false" customHeight="false" outlineLevel="0" collapsed="false">
      <c r="A260" s="45" t="str">
        <f aca="false">IF($D260="","",COUNTA($D$5:$D260))</f>
        <v/>
      </c>
      <c r="B260" s="46"/>
      <c r="C260" s="47"/>
      <c r="D260" s="48"/>
      <c r="E260" s="48"/>
      <c r="F260" s="49"/>
      <c r="G260" s="47"/>
      <c r="H260" s="50"/>
      <c r="I260" s="50"/>
      <c r="J260" s="51" t="str">
        <f aca="false">IF(OR($V260="",$W260=""),"",ROUND(($W260-$V260)/60,2))</f>
        <v/>
      </c>
      <c r="K260" s="52" t="str">
        <f aca="false">IF($F260="","",LEN($F260)-LEN(SUBSTITUTE($F260,",",""))+1)</f>
        <v/>
      </c>
      <c r="L260" s="45" t="str">
        <f aca="false">IF($K260="","","1:"&amp;$K260)</f>
        <v/>
      </c>
      <c r="M260" s="46"/>
      <c r="N260" s="53"/>
      <c r="O260" s="46"/>
      <c r="P260" s="47"/>
      <c r="Q260" s="48"/>
      <c r="R260" s="49"/>
      <c r="S260" s="54" t="str">
        <f aca="false">IF(OR($AC260=0,$U260="",$M260="",$V260="",$W260=""),"",IF(COUNTIFS(m_teacher,$M260,m_date,$U260,m_active,1,m_start,"&lt;"&amp;$W260,m_end,"&gt;"&amp;$V260)&gt;1,"충돌",""))</f>
        <v/>
      </c>
      <c r="T260" s="48"/>
      <c r="U260" s="55" t="str">
        <f aca="false">IF($G260="","",IFERROR(IF(ISNUMBER($G260),IF($G260&gt;19000000,DATE(INT($G260/10000),MOD(INT($G260/100),100),MOD($G260,100)),INT($G260)),IF(LEN(SUBSTITUTE(SUBSTITUTE(SUBSTITUTE(TRIM($G260),"-",""),".",""),"/",""))=8,DATE(VALUE(LEFT(SUBSTITUTE(SUBSTITUTE(SUBSTITUTE(TRIM($G260),"-",""),".",""),"/",""),4)),VALUE(MID(SUBSTITUTE(SUBSTITUTE(SUBSTITUTE(TRIM($G260),"-",""),".",""),"/",""),5,2)),VALUE(RIGHT(SUBSTITUTE(SUBSTITUTE(SUBSTITUTE(TRIM($G260),"-",""),".",""),"/",""),2))),DATEVALUE($G260))),""))</f>
        <v/>
      </c>
      <c r="V260" s="52" t="str">
        <f aca="false">IF($H260="","",IFERROR(IF(IF(ISNUMBER($H260),$H260,IFERROR(TIMEVALUE($H260),VALUE($H260)))&gt;=100,INT(IF(ISNUMBER($H260),$H260,IFERROR(TIMEVALUE($H260),VALUE($H260)))/100)*60+MOD(IF(ISNUMBER($H260),$H260,IFERROR(TIMEVALUE($H260),VALUE($H260))),100),IF(IF(ISNUMBER($H260),$H260,IFERROR(TIMEVALUE($H260),VALUE($H260)))&gt;=1,ROUND(IF(ISNUMBER($H260),$H260,IFERROR(TIMEVALUE($H260),VALUE($H260)))*60,0),ROUND(MOD(IF(ISNUMBER($H260),$H260,IFERROR(TIMEVALUE($H260),VALUE($H260))),1)*1440,0))),""))</f>
        <v/>
      </c>
      <c r="W260" s="52" t="str">
        <f aca="false">IF($I260="","",IFERROR(IF(IF(ISNUMBER($I260),$I260,IFERROR(TIMEVALUE($I260),VALUE($I260)))&gt;=100,INT(IF(ISNUMBER($I260),$I260,IFERROR(TIMEVALUE($I260),VALUE($I260)))/100)*60+MOD(IF(ISNUMBER($I260),$I260,IFERROR(TIMEVALUE($I260),VALUE($I260))),100),IF(IF(ISNUMBER($I260),$I260,IFERROR(TIMEVALUE($I260),VALUE($I260)))&gt;=1,ROUND(IF(ISNUMBER($I260),$I260,IFERROR(TIMEVALUE($I260),VALUE($I260)))*60,0),ROUND(MOD(IF(ISNUMBER($I260),$I260,IFERROR(TIMEVALUE($I260),VALUE($I260))),1)*1440,0))),""))</f>
        <v/>
      </c>
      <c r="X260" s="55" t="str">
        <f aca="false">IF($P260="","",IFERROR(IF(ISNUMBER($P260),IF($P260&gt;19000000,DATE(INT($P260/10000),MOD(INT($P260/100),100),MOD($P260,100)),INT($P260)),IF(LEN(SUBSTITUTE(SUBSTITUTE(SUBSTITUTE(TRIM($P260),"-",""),".",""),"/",""))=8,DATE(VALUE(LEFT(SUBSTITUTE(SUBSTITUTE(SUBSTITUTE(TRIM($P260),"-",""),".",""),"/",""),4)),VALUE(MID(SUBSTITUTE(SUBSTITUTE(SUBSTITUTE(TRIM($P260),"-",""),".",""),"/",""),5,2)),VALUE(RIGHT(SUBSTITUTE(SUBSTITUTE(SUBSTITUTE(TRIM($P260),"-",""),".",""),"/",""),2))),DATEVALUE($P260))),""))</f>
        <v/>
      </c>
      <c r="Y260" s="56" t="str">
        <f aca="false">IF($M260="","",IFERROR(INDEX(강사DB!$D$4:$D$53,MATCH($M260,강사DB!$A$4:$A$53,0)),""))</f>
        <v/>
      </c>
      <c r="Z260" s="56" t="str">
        <f aca="false">IF($B260&lt;&gt;"결제완료","",IF(OR($Y260="",$J260=""),"",$Y260*$J260+MAX(0,N($K260)-1)*설정!$J$7))</f>
        <v/>
      </c>
      <c r="AA260" s="56" t="str">
        <f aca="false">IF(AND($D260&lt;&gt;"",$B260="결제완료"),N($N260),"")</f>
        <v/>
      </c>
      <c r="AB260" s="45" t="str">
        <f aca="false">IF($D260="","",IF($F260&lt;&gt;"",$F260,$D260)&amp;IF($B260="상담중"," (상담)",""))</f>
        <v/>
      </c>
      <c r="AC260" s="45" t="n">
        <f aca="false">IF(AND($D260&lt;&gt;"",OR($B260="결제완료",$B260="상담중")),1,0)</f>
        <v>0</v>
      </c>
      <c r="AD260" s="45" t="n">
        <f aca="false">IF(OR($Z260="",$U260=""),0,IFERROR(IF(COUNTIFS(INDEX(g_grid,0,2*MATCH($M260,강사DB!$A$4:$A$15,0)),"&lt;&gt;",g_s,"&lt;="&amp;$U260,g_e,"&gt;="&amp;$U260)&gt;0,1,0),0))</f>
        <v>0</v>
      </c>
      <c r="AE260" s="48"/>
      <c r="AF260" s="56" t="str">
        <f aca="false">IF(AND($D260&lt;&gt;"",$B260="결제완료",$T260="대여"),설정!$J$5,"")</f>
        <v/>
      </c>
      <c r="AG260" s="54" t="str">
        <f aca="false">IF($D260="","",IF(AND($E260="",$R260=""),$AB260,"☎ "&amp;IF($E260="","-",$E260)&amp;IF($R260&lt;&gt;"","  ※ "&amp;$R260,"")&amp;IF($B260="상담중"," (상담)","")))</f>
        <v/>
      </c>
      <c r="AH260" s="56" t="str">
        <f aca="false">IF(AND($D260&lt;&gt;"",$B260="결제완료",$O260="스마트스토어"),ROUND(N($N260)*설정!$J$6,0),"")</f>
        <v/>
      </c>
      <c r="AI260" s="54" t="str">
        <f aca="false">IF($D260="","",ROW())</f>
        <v/>
      </c>
      <c r="AJ260" s="54" t="n">
        <f aca="false">IF(OR($AC260&lt;&gt;1,$M260=""),0,IF(ISNUMBER(SEARCH("퇴사",IFERROR(INDEX(강사DB!$G$4:$G$53,MATCH($M260,강사DB!$A$4:$A$53,0)),""))),1,0))</f>
        <v>0</v>
      </c>
    </row>
    <row r="261" customFormat="false" ht="15" hidden="false" customHeight="false" outlineLevel="0" collapsed="false">
      <c r="A261" s="45" t="str">
        <f aca="false">IF($D261="","",COUNTA($D$5:$D261))</f>
        <v/>
      </c>
      <c r="B261" s="46"/>
      <c r="C261" s="47"/>
      <c r="D261" s="48"/>
      <c r="E261" s="48"/>
      <c r="F261" s="49"/>
      <c r="G261" s="47"/>
      <c r="H261" s="50"/>
      <c r="I261" s="50"/>
      <c r="J261" s="51" t="str">
        <f aca="false">IF(OR($V261="",$W261=""),"",ROUND(($W261-$V261)/60,2))</f>
        <v/>
      </c>
      <c r="K261" s="52" t="str">
        <f aca="false">IF($F261="","",LEN($F261)-LEN(SUBSTITUTE($F261,",",""))+1)</f>
        <v/>
      </c>
      <c r="L261" s="45" t="str">
        <f aca="false">IF($K261="","","1:"&amp;$K261)</f>
        <v/>
      </c>
      <c r="M261" s="46"/>
      <c r="N261" s="53"/>
      <c r="O261" s="46"/>
      <c r="P261" s="47"/>
      <c r="Q261" s="48"/>
      <c r="R261" s="49"/>
      <c r="S261" s="54" t="str">
        <f aca="false">IF(OR($AC261=0,$U261="",$M261="",$V261="",$W261=""),"",IF(COUNTIFS(m_teacher,$M261,m_date,$U261,m_active,1,m_start,"&lt;"&amp;$W261,m_end,"&gt;"&amp;$V261)&gt;1,"충돌",""))</f>
        <v/>
      </c>
      <c r="T261" s="48"/>
      <c r="U261" s="55" t="str">
        <f aca="false">IF($G261="","",IFERROR(IF(ISNUMBER($G261),IF($G261&gt;19000000,DATE(INT($G261/10000),MOD(INT($G261/100),100),MOD($G261,100)),INT($G261)),IF(LEN(SUBSTITUTE(SUBSTITUTE(SUBSTITUTE(TRIM($G261),"-",""),".",""),"/",""))=8,DATE(VALUE(LEFT(SUBSTITUTE(SUBSTITUTE(SUBSTITUTE(TRIM($G261),"-",""),".",""),"/",""),4)),VALUE(MID(SUBSTITUTE(SUBSTITUTE(SUBSTITUTE(TRIM($G261),"-",""),".",""),"/",""),5,2)),VALUE(RIGHT(SUBSTITUTE(SUBSTITUTE(SUBSTITUTE(TRIM($G261),"-",""),".",""),"/",""),2))),DATEVALUE($G261))),""))</f>
        <v/>
      </c>
      <c r="V261" s="52" t="str">
        <f aca="false">IF($H261="","",IFERROR(IF(IF(ISNUMBER($H261),$H261,IFERROR(TIMEVALUE($H261),VALUE($H261)))&gt;=100,INT(IF(ISNUMBER($H261),$H261,IFERROR(TIMEVALUE($H261),VALUE($H261)))/100)*60+MOD(IF(ISNUMBER($H261),$H261,IFERROR(TIMEVALUE($H261),VALUE($H261))),100),IF(IF(ISNUMBER($H261),$H261,IFERROR(TIMEVALUE($H261),VALUE($H261)))&gt;=1,ROUND(IF(ISNUMBER($H261),$H261,IFERROR(TIMEVALUE($H261),VALUE($H261)))*60,0),ROUND(MOD(IF(ISNUMBER($H261),$H261,IFERROR(TIMEVALUE($H261),VALUE($H261))),1)*1440,0))),""))</f>
        <v/>
      </c>
      <c r="W261" s="52" t="str">
        <f aca="false">IF($I261="","",IFERROR(IF(IF(ISNUMBER($I261),$I261,IFERROR(TIMEVALUE($I261),VALUE($I261)))&gt;=100,INT(IF(ISNUMBER($I261),$I261,IFERROR(TIMEVALUE($I261),VALUE($I261)))/100)*60+MOD(IF(ISNUMBER($I261),$I261,IFERROR(TIMEVALUE($I261),VALUE($I261))),100),IF(IF(ISNUMBER($I261),$I261,IFERROR(TIMEVALUE($I261),VALUE($I261)))&gt;=1,ROUND(IF(ISNUMBER($I261),$I261,IFERROR(TIMEVALUE($I261),VALUE($I261)))*60,0),ROUND(MOD(IF(ISNUMBER($I261),$I261,IFERROR(TIMEVALUE($I261),VALUE($I261))),1)*1440,0))),""))</f>
        <v/>
      </c>
      <c r="X261" s="55" t="str">
        <f aca="false">IF($P261="","",IFERROR(IF(ISNUMBER($P261),IF($P261&gt;19000000,DATE(INT($P261/10000),MOD(INT($P261/100),100),MOD($P261,100)),INT($P261)),IF(LEN(SUBSTITUTE(SUBSTITUTE(SUBSTITUTE(TRIM($P261),"-",""),".",""),"/",""))=8,DATE(VALUE(LEFT(SUBSTITUTE(SUBSTITUTE(SUBSTITUTE(TRIM($P261),"-",""),".",""),"/",""),4)),VALUE(MID(SUBSTITUTE(SUBSTITUTE(SUBSTITUTE(TRIM($P261),"-",""),".",""),"/",""),5,2)),VALUE(RIGHT(SUBSTITUTE(SUBSTITUTE(SUBSTITUTE(TRIM($P261),"-",""),".",""),"/",""),2))),DATEVALUE($P261))),""))</f>
        <v/>
      </c>
      <c r="Y261" s="56" t="str">
        <f aca="false">IF($M261="","",IFERROR(INDEX(강사DB!$D$4:$D$53,MATCH($M261,강사DB!$A$4:$A$53,0)),""))</f>
        <v/>
      </c>
      <c r="Z261" s="56" t="str">
        <f aca="false">IF($B261&lt;&gt;"결제완료","",IF(OR($Y261="",$J261=""),"",$Y261*$J261+MAX(0,N($K261)-1)*설정!$J$7))</f>
        <v/>
      </c>
      <c r="AA261" s="56" t="str">
        <f aca="false">IF(AND($D261&lt;&gt;"",$B261="결제완료"),N($N261),"")</f>
        <v/>
      </c>
      <c r="AB261" s="45" t="str">
        <f aca="false">IF($D261="","",IF($F261&lt;&gt;"",$F261,$D261)&amp;IF($B261="상담중"," (상담)",""))</f>
        <v/>
      </c>
      <c r="AC261" s="45" t="n">
        <f aca="false">IF(AND($D261&lt;&gt;"",OR($B261="결제완료",$B261="상담중")),1,0)</f>
        <v>0</v>
      </c>
      <c r="AD261" s="45" t="n">
        <f aca="false">IF(OR($Z261="",$U261=""),0,IFERROR(IF(COUNTIFS(INDEX(g_grid,0,2*MATCH($M261,강사DB!$A$4:$A$15,0)),"&lt;&gt;",g_s,"&lt;="&amp;$U261,g_e,"&gt;="&amp;$U261)&gt;0,1,0),0))</f>
        <v>0</v>
      </c>
      <c r="AE261" s="48"/>
      <c r="AF261" s="56" t="str">
        <f aca="false">IF(AND($D261&lt;&gt;"",$B261="결제완료",$T261="대여"),설정!$J$5,"")</f>
        <v/>
      </c>
      <c r="AG261" s="54" t="str">
        <f aca="false">IF($D261="","",IF(AND($E261="",$R261=""),$AB261,"☎ "&amp;IF($E261="","-",$E261)&amp;IF($R261&lt;&gt;"","  ※ "&amp;$R261,"")&amp;IF($B261="상담중"," (상담)","")))</f>
        <v/>
      </c>
      <c r="AH261" s="56" t="str">
        <f aca="false">IF(AND($D261&lt;&gt;"",$B261="결제완료",$O261="스마트스토어"),ROUND(N($N261)*설정!$J$6,0),"")</f>
        <v/>
      </c>
      <c r="AI261" s="54" t="str">
        <f aca="false">IF($D261="","",ROW())</f>
        <v/>
      </c>
      <c r="AJ261" s="54" t="n">
        <f aca="false">IF(OR($AC261&lt;&gt;1,$M261=""),0,IF(ISNUMBER(SEARCH("퇴사",IFERROR(INDEX(강사DB!$G$4:$G$53,MATCH($M261,강사DB!$A$4:$A$53,0)),""))),1,0))</f>
        <v>0</v>
      </c>
    </row>
    <row r="262" customFormat="false" ht="15" hidden="false" customHeight="false" outlineLevel="0" collapsed="false">
      <c r="A262" s="45" t="str">
        <f aca="false">IF($D262="","",COUNTA($D$5:$D262))</f>
        <v/>
      </c>
      <c r="B262" s="46"/>
      <c r="C262" s="47"/>
      <c r="D262" s="48"/>
      <c r="E262" s="48"/>
      <c r="F262" s="49"/>
      <c r="G262" s="47"/>
      <c r="H262" s="50"/>
      <c r="I262" s="50"/>
      <c r="J262" s="51" t="str">
        <f aca="false">IF(OR($V262="",$W262=""),"",ROUND(($W262-$V262)/60,2))</f>
        <v/>
      </c>
      <c r="K262" s="52" t="str">
        <f aca="false">IF($F262="","",LEN($F262)-LEN(SUBSTITUTE($F262,",",""))+1)</f>
        <v/>
      </c>
      <c r="L262" s="45" t="str">
        <f aca="false">IF($K262="","","1:"&amp;$K262)</f>
        <v/>
      </c>
      <c r="M262" s="46"/>
      <c r="N262" s="53"/>
      <c r="O262" s="46"/>
      <c r="P262" s="47"/>
      <c r="Q262" s="48"/>
      <c r="R262" s="49"/>
      <c r="S262" s="54" t="str">
        <f aca="false">IF(OR($AC262=0,$U262="",$M262="",$V262="",$W262=""),"",IF(COUNTIFS(m_teacher,$M262,m_date,$U262,m_active,1,m_start,"&lt;"&amp;$W262,m_end,"&gt;"&amp;$V262)&gt;1,"충돌",""))</f>
        <v/>
      </c>
      <c r="T262" s="48"/>
      <c r="U262" s="55" t="str">
        <f aca="false">IF($G262="","",IFERROR(IF(ISNUMBER($G262),IF($G262&gt;19000000,DATE(INT($G262/10000),MOD(INT($G262/100),100),MOD($G262,100)),INT($G262)),IF(LEN(SUBSTITUTE(SUBSTITUTE(SUBSTITUTE(TRIM($G262),"-",""),".",""),"/",""))=8,DATE(VALUE(LEFT(SUBSTITUTE(SUBSTITUTE(SUBSTITUTE(TRIM($G262),"-",""),".",""),"/",""),4)),VALUE(MID(SUBSTITUTE(SUBSTITUTE(SUBSTITUTE(TRIM($G262),"-",""),".",""),"/",""),5,2)),VALUE(RIGHT(SUBSTITUTE(SUBSTITUTE(SUBSTITUTE(TRIM($G262),"-",""),".",""),"/",""),2))),DATEVALUE($G262))),""))</f>
        <v/>
      </c>
      <c r="V262" s="52" t="str">
        <f aca="false">IF($H262="","",IFERROR(IF(IF(ISNUMBER($H262),$H262,IFERROR(TIMEVALUE($H262),VALUE($H262)))&gt;=100,INT(IF(ISNUMBER($H262),$H262,IFERROR(TIMEVALUE($H262),VALUE($H262)))/100)*60+MOD(IF(ISNUMBER($H262),$H262,IFERROR(TIMEVALUE($H262),VALUE($H262))),100),IF(IF(ISNUMBER($H262),$H262,IFERROR(TIMEVALUE($H262),VALUE($H262)))&gt;=1,ROUND(IF(ISNUMBER($H262),$H262,IFERROR(TIMEVALUE($H262),VALUE($H262)))*60,0),ROUND(MOD(IF(ISNUMBER($H262),$H262,IFERROR(TIMEVALUE($H262),VALUE($H262))),1)*1440,0))),""))</f>
        <v/>
      </c>
      <c r="W262" s="52" t="str">
        <f aca="false">IF($I262="","",IFERROR(IF(IF(ISNUMBER($I262),$I262,IFERROR(TIMEVALUE($I262),VALUE($I262)))&gt;=100,INT(IF(ISNUMBER($I262),$I262,IFERROR(TIMEVALUE($I262),VALUE($I262)))/100)*60+MOD(IF(ISNUMBER($I262),$I262,IFERROR(TIMEVALUE($I262),VALUE($I262))),100),IF(IF(ISNUMBER($I262),$I262,IFERROR(TIMEVALUE($I262),VALUE($I262)))&gt;=1,ROUND(IF(ISNUMBER($I262),$I262,IFERROR(TIMEVALUE($I262),VALUE($I262)))*60,0),ROUND(MOD(IF(ISNUMBER($I262),$I262,IFERROR(TIMEVALUE($I262),VALUE($I262))),1)*1440,0))),""))</f>
        <v/>
      </c>
      <c r="X262" s="55" t="str">
        <f aca="false">IF($P262="","",IFERROR(IF(ISNUMBER($P262),IF($P262&gt;19000000,DATE(INT($P262/10000),MOD(INT($P262/100),100),MOD($P262,100)),INT($P262)),IF(LEN(SUBSTITUTE(SUBSTITUTE(SUBSTITUTE(TRIM($P262),"-",""),".",""),"/",""))=8,DATE(VALUE(LEFT(SUBSTITUTE(SUBSTITUTE(SUBSTITUTE(TRIM($P262),"-",""),".",""),"/",""),4)),VALUE(MID(SUBSTITUTE(SUBSTITUTE(SUBSTITUTE(TRIM($P262),"-",""),".",""),"/",""),5,2)),VALUE(RIGHT(SUBSTITUTE(SUBSTITUTE(SUBSTITUTE(TRIM($P262),"-",""),".",""),"/",""),2))),DATEVALUE($P262))),""))</f>
        <v/>
      </c>
      <c r="Y262" s="56" t="str">
        <f aca="false">IF($M262="","",IFERROR(INDEX(강사DB!$D$4:$D$53,MATCH($M262,강사DB!$A$4:$A$53,0)),""))</f>
        <v/>
      </c>
      <c r="Z262" s="56" t="str">
        <f aca="false">IF($B262&lt;&gt;"결제완료","",IF(OR($Y262="",$J262=""),"",$Y262*$J262+MAX(0,N($K262)-1)*설정!$J$7))</f>
        <v/>
      </c>
      <c r="AA262" s="56" t="str">
        <f aca="false">IF(AND($D262&lt;&gt;"",$B262="결제완료"),N($N262),"")</f>
        <v/>
      </c>
      <c r="AB262" s="45" t="str">
        <f aca="false">IF($D262="","",IF($F262&lt;&gt;"",$F262,$D262)&amp;IF($B262="상담중"," (상담)",""))</f>
        <v/>
      </c>
      <c r="AC262" s="45" t="n">
        <f aca="false">IF(AND($D262&lt;&gt;"",OR($B262="결제완료",$B262="상담중")),1,0)</f>
        <v>0</v>
      </c>
      <c r="AD262" s="45" t="n">
        <f aca="false">IF(OR($Z262="",$U262=""),0,IFERROR(IF(COUNTIFS(INDEX(g_grid,0,2*MATCH($M262,강사DB!$A$4:$A$15,0)),"&lt;&gt;",g_s,"&lt;="&amp;$U262,g_e,"&gt;="&amp;$U262)&gt;0,1,0),0))</f>
        <v>0</v>
      </c>
      <c r="AE262" s="48"/>
      <c r="AF262" s="56" t="str">
        <f aca="false">IF(AND($D262&lt;&gt;"",$B262="결제완료",$T262="대여"),설정!$J$5,"")</f>
        <v/>
      </c>
      <c r="AG262" s="54" t="str">
        <f aca="false">IF($D262="","",IF(AND($E262="",$R262=""),$AB262,"☎ "&amp;IF($E262="","-",$E262)&amp;IF($R262&lt;&gt;"","  ※ "&amp;$R262,"")&amp;IF($B262="상담중"," (상담)","")))</f>
        <v/>
      </c>
      <c r="AH262" s="56" t="str">
        <f aca="false">IF(AND($D262&lt;&gt;"",$B262="결제완료",$O262="스마트스토어"),ROUND(N($N262)*설정!$J$6,0),"")</f>
        <v/>
      </c>
      <c r="AI262" s="54" t="str">
        <f aca="false">IF($D262="","",ROW())</f>
        <v/>
      </c>
      <c r="AJ262" s="54" t="n">
        <f aca="false">IF(OR($AC262&lt;&gt;1,$M262=""),0,IF(ISNUMBER(SEARCH("퇴사",IFERROR(INDEX(강사DB!$G$4:$G$53,MATCH($M262,강사DB!$A$4:$A$53,0)),""))),1,0))</f>
        <v>0</v>
      </c>
    </row>
    <row r="263" customFormat="false" ht="15" hidden="false" customHeight="false" outlineLevel="0" collapsed="false">
      <c r="A263" s="45" t="str">
        <f aca="false">IF($D263="","",COUNTA($D$5:$D263))</f>
        <v/>
      </c>
      <c r="B263" s="46"/>
      <c r="C263" s="47"/>
      <c r="D263" s="48"/>
      <c r="E263" s="48"/>
      <c r="F263" s="49"/>
      <c r="G263" s="47"/>
      <c r="H263" s="50"/>
      <c r="I263" s="50"/>
      <c r="J263" s="51" t="str">
        <f aca="false">IF(OR($V263="",$W263=""),"",ROUND(($W263-$V263)/60,2))</f>
        <v/>
      </c>
      <c r="K263" s="52" t="str">
        <f aca="false">IF($F263="","",LEN($F263)-LEN(SUBSTITUTE($F263,",",""))+1)</f>
        <v/>
      </c>
      <c r="L263" s="45" t="str">
        <f aca="false">IF($K263="","","1:"&amp;$K263)</f>
        <v/>
      </c>
      <c r="M263" s="46"/>
      <c r="N263" s="53"/>
      <c r="O263" s="46"/>
      <c r="P263" s="47"/>
      <c r="Q263" s="48"/>
      <c r="R263" s="49"/>
      <c r="S263" s="54" t="str">
        <f aca="false">IF(OR($AC263=0,$U263="",$M263="",$V263="",$W263=""),"",IF(COUNTIFS(m_teacher,$M263,m_date,$U263,m_active,1,m_start,"&lt;"&amp;$W263,m_end,"&gt;"&amp;$V263)&gt;1,"충돌",""))</f>
        <v/>
      </c>
      <c r="T263" s="48"/>
      <c r="U263" s="55" t="str">
        <f aca="false">IF($G263="","",IFERROR(IF(ISNUMBER($G263),IF($G263&gt;19000000,DATE(INT($G263/10000),MOD(INT($G263/100),100),MOD($G263,100)),INT($G263)),IF(LEN(SUBSTITUTE(SUBSTITUTE(SUBSTITUTE(TRIM($G263),"-",""),".",""),"/",""))=8,DATE(VALUE(LEFT(SUBSTITUTE(SUBSTITUTE(SUBSTITUTE(TRIM($G263),"-",""),".",""),"/",""),4)),VALUE(MID(SUBSTITUTE(SUBSTITUTE(SUBSTITUTE(TRIM($G263),"-",""),".",""),"/",""),5,2)),VALUE(RIGHT(SUBSTITUTE(SUBSTITUTE(SUBSTITUTE(TRIM($G263),"-",""),".",""),"/",""),2))),DATEVALUE($G263))),""))</f>
        <v/>
      </c>
      <c r="V263" s="52" t="str">
        <f aca="false">IF($H263="","",IFERROR(IF(IF(ISNUMBER($H263),$H263,IFERROR(TIMEVALUE($H263),VALUE($H263)))&gt;=100,INT(IF(ISNUMBER($H263),$H263,IFERROR(TIMEVALUE($H263),VALUE($H263)))/100)*60+MOD(IF(ISNUMBER($H263),$H263,IFERROR(TIMEVALUE($H263),VALUE($H263))),100),IF(IF(ISNUMBER($H263),$H263,IFERROR(TIMEVALUE($H263),VALUE($H263)))&gt;=1,ROUND(IF(ISNUMBER($H263),$H263,IFERROR(TIMEVALUE($H263),VALUE($H263)))*60,0),ROUND(MOD(IF(ISNUMBER($H263),$H263,IFERROR(TIMEVALUE($H263),VALUE($H263))),1)*1440,0))),""))</f>
        <v/>
      </c>
      <c r="W263" s="52" t="str">
        <f aca="false">IF($I263="","",IFERROR(IF(IF(ISNUMBER($I263),$I263,IFERROR(TIMEVALUE($I263),VALUE($I263)))&gt;=100,INT(IF(ISNUMBER($I263),$I263,IFERROR(TIMEVALUE($I263),VALUE($I263)))/100)*60+MOD(IF(ISNUMBER($I263),$I263,IFERROR(TIMEVALUE($I263),VALUE($I263))),100),IF(IF(ISNUMBER($I263),$I263,IFERROR(TIMEVALUE($I263),VALUE($I263)))&gt;=1,ROUND(IF(ISNUMBER($I263),$I263,IFERROR(TIMEVALUE($I263),VALUE($I263)))*60,0),ROUND(MOD(IF(ISNUMBER($I263),$I263,IFERROR(TIMEVALUE($I263),VALUE($I263))),1)*1440,0))),""))</f>
        <v/>
      </c>
      <c r="X263" s="55" t="str">
        <f aca="false">IF($P263="","",IFERROR(IF(ISNUMBER($P263),IF($P263&gt;19000000,DATE(INT($P263/10000),MOD(INT($P263/100),100),MOD($P263,100)),INT($P263)),IF(LEN(SUBSTITUTE(SUBSTITUTE(SUBSTITUTE(TRIM($P263),"-",""),".",""),"/",""))=8,DATE(VALUE(LEFT(SUBSTITUTE(SUBSTITUTE(SUBSTITUTE(TRIM($P263),"-",""),".",""),"/",""),4)),VALUE(MID(SUBSTITUTE(SUBSTITUTE(SUBSTITUTE(TRIM($P263),"-",""),".",""),"/",""),5,2)),VALUE(RIGHT(SUBSTITUTE(SUBSTITUTE(SUBSTITUTE(TRIM($P263),"-",""),".",""),"/",""),2))),DATEVALUE($P263))),""))</f>
        <v/>
      </c>
      <c r="Y263" s="56" t="str">
        <f aca="false">IF($M263="","",IFERROR(INDEX(강사DB!$D$4:$D$53,MATCH($M263,강사DB!$A$4:$A$53,0)),""))</f>
        <v/>
      </c>
      <c r="Z263" s="56" t="str">
        <f aca="false">IF($B263&lt;&gt;"결제완료","",IF(OR($Y263="",$J263=""),"",$Y263*$J263+MAX(0,N($K263)-1)*설정!$J$7))</f>
        <v/>
      </c>
      <c r="AA263" s="56" t="str">
        <f aca="false">IF(AND($D263&lt;&gt;"",$B263="결제완료"),N($N263),"")</f>
        <v/>
      </c>
      <c r="AB263" s="45" t="str">
        <f aca="false">IF($D263="","",IF($F263&lt;&gt;"",$F263,$D263)&amp;IF($B263="상담중"," (상담)",""))</f>
        <v/>
      </c>
      <c r="AC263" s="45" t="n">
        <f aca="false">IF(AND($D263&lt;&gt;"",OR($B263="결제완료",$B263="상담중")),1,0)</f>
        <v>0</v>
      </c>
      <c r="AD263" s="45" t="n">
        <f aca="false">IF(OR($Z263="",$U263=""),0,IFERROR(IF(COUNTIFS(INDEX(g_grid,0,2*MATCH($M263,강사DB!$A$4:$A$15,0)),"&lt;&gt;",g_s,"&lt;="&amp;$U263,g_e,"&gt;="&amp;$U263)&gt;0,1,0),0))</f>
        <v>0</v>
      </c>
      <c r="AE263" s="48"/>
      <c r="AF263" s="56" t="str">
        <f aca="false">IF(AND($D263&lt;&gt;"",$B263="결제완료",$T263="대여"),설정!$J$5,"")</f>
        <v/>
      </c>
      <c r="AG263" s="54" t="str">
        <f aca="false">IF($D263="","",IF(AND($E263="",$R263=""),$AB263,"☎ "&amp;IF($E263="","-",$E263)&amp;IF($R263&lt;&gt;"","  ※ "&amp;$R263,"")&amp;IF($B263="상담중"," (상담)","")))</f>
        <v/>
      </c>
      <c r="AH263" s="56" t="str">
        <f aca="false">IF(AND($D263&lt;&gt;"",$B263="결제완료",$O263="스마트스토어"),ROUND(N($N263)*설정!$J$6,0),"")</f>
        <v/>
      </c>
      <c r="AI263" s="54" t="str">
        <f aca="false">IF($D263="","",ROW())</f>
        <v/>
      </c>
      <c r="AJ263" s="54" t="n">
        <f aca="false">IF(OR($AC263&lt;&gt;1,$M263=""),0,IF(ISNUMBER(SEARCH("퇴사",IFERROR(INDEX(강사DB!$G$4:$G$53,MATCH($M263,강사DB!$A$4:$A$53,0)),""))),1,0))</f>
        <v>0</v>
      </c>
    </row>
    <row r="264" customFormat="false" ht="15" hidden="false" customHeight="false" outlineLevel="0" collapsed="false">
      <c r="A264" s="45" t="str">
        <f aca="false">IF($D264="","",COUNTA($D$5:$D264))</f>
        <v/>
      </c>
      <c r="B264" s="46"/>
      <c r="C264" s="47"/>
      <c r="D264" s="48"/>
      <c r="E264" s="48"/>
      <c r="F264" s="49"/>
      <c r="G264" s="47"/>
      <c r="H264" s="50"/>
      <c r="I264" s="50"/>
      <c r="J264" s="51" t="str">
        <f aca="false">IF(OR($V264="",$W264=""),"",ROUND(($W264-$V264)/60,2))</f>
        <v/>
      </c>
      <c r="K264" s="52" t="str">
        <f aca="false">IF($F264="","",LEN($F264)-LEN(SUBSTITUTE($F264,",",""))+1)</f>
        <v/>
      </c>
      <c r="L264" s="45" t="str">
        <f aca="false">IF($K264="","","1:"&amp;$K264)</f>
        <v/>
      </c>
      <c r="M264" s="46"/>
      <c r="N264" s="53"/>
      <c r="O264" s="46"/>
      <c r="P264" s="47"/>
      <c r="Q264" s="48"/>
      <c r="R264" s="49"/>
      <c r="S264" s="54" t="str">
        <f aca="false">IF(OR($AC264=0,$U264="",$M264="",$V264="",$W264=""),"",IF(COUNTIFS(m_teacher,$M264,m_date,$U264,m_active,1,m_start,"&lt;"&amp;$W264,m_end,"&gt;"&amp;$V264)&gt;1,"충돌",""))</f>
        <v/>
      </c>
      <c r="T264" s="48"/>
      <c r="U264" s="55" t="str">
        <f aca="false">IF($G264="","",IFERROR(IF(ISNUMBER($G264),IF($G264&gt;19000000,DATE(INT($G264/10000),MOD(INT($G264/100),100),MOD($G264,100)),INT($G264)),IF(LEN(SUBSTITUTE(SUBSTITUTE(SUBSTITUTE(TRIM($G264),"-",""),".",""),"/",""))=8,DATE(VALUE(LEFT(SUBSTITUTE(SUBSTITUTE(SUBSTITUTE(TRIM($G264),"-",""),".",""),"/",""),4)),VALUE(MID(SUBSTITUTE(SUBSTITUTE(SUBSTITUTE(TRIM($G264),"-",""),".",""),"/",""),5,2)),VALUE(RIGHT(SUBSTITUTE(SUBSTITUTE(SUBSTITUTE(TRIM($G264),"-",""),".",""),"/",""),2))),DATEVALUE($G264))),""))</f>
        <v/>
      </c>
      <c r="V264" s="52" t="str">
        <f aca="false">IF($H264="","",IFERROR(IF(IF(ISNUMBER($H264),$H264,IFERROR(TIMEVALUE($H264),VALUE($H264)))&gt;=100,INT(IF(ISNUMBER($H264),$H264,IFERROR(TIMEVALUE($H264),VALUE($H264)))/100)*60+MOD(IF(ISNUMBER($H264),$H264,IFERROR(TIMEVALUE($H264),VALUE($H264))),100),IF(IF(ISNUMBER($H264),$H264,IFERROR(TIMEVALUE($H264),VALUE($H264)))&gt;=1,ROUND(IF(ISNUMBER($H264),$H264,IFERROR(TIMEVALUE($H264),VALUE($H264)))*60,0),ROUND(MOD(IF(ISNUMBER($H264),$H264,IFERROR(TIMEVALUE($H264),VALUE($H264))),1)*1440,0))),""))</f>
        <v/>
      </c>
      <c r="W264" s="52" t="str">
        <f aca="false">IF($I264="","",IFERROR(IF(IF(ISNUMBER($I264),$I264,IFERROR(TIMEVALUE($I264),VALUE($I264)))&gt;=100,INT(IF(ISNUMBER($I264),$I264,IFERROR(TIMEVALUE($I264),VALUE($I264)))/100)*60+MOD(IF(ISNUMBER($I264),$I264,IFERROR(TIMEVALUE($I264),VALUE($I264))),100),IF(IF(ISNUMBER($I264),$I264,IFERROR(TIMEVALUE($I264),VALUE($I264)))&gt;=1,ROUND(IF(ISNUMBER($I264),$I264,IFERROR(TIMEVALUE($I264),VALUE($I264)))*60,0),ROUND(MOD(IF(ISNUMBER($I264),$I264,IFERROR(TIMEVALUE($I264),VALUE($I264))),1)*1440,0))),""))</f>
        <v/>
      </c>
      <c r="X264" s="55" t="str">
        <f aca="false">IF($P264="","",IFERROR(IF(ISNUMBER($P264),IF($P264&gt;19000000,DATE(INT($P264/10000),MOD(INT($P264/100),100),MOD($P264,100)),INT($P264)),IF(LEN(SUBSTITUTE(SUBSTITUTE(SUBSTITUTE(TRIM($P264),"-",""),".",""),"/",""))=8,DATE(VALUE(LEFT(SUBSTITUTE(SUBSTITUTE(SUBSTITUTE(TRIM($P264),"-",""),".",""),"/",""),4)),VALUE(MID(SUBSTITUTE(SUBSTITUTE(SUBSTITUTE(TRIM($P264),"-",""),".",""),"/",""),5,2)),VALUE(RIGHT(SUBSTITUTE(SUBSTITUTE(SUBSTITUTE(TRIM($P264),"-",""),".",""),"/",""),2))),DATEVALUE($P264))),""))</f>
        <v/>
      </c>
      <c r="Y264" s="56" t="str">
        <f aca="false">IF($M264="","",IFERROR(INDEX(강사DB!$D$4:$D$53,MATCH($M264,강사DB!$A$4:$A$53,0)),""))</f>
        <v/>
      </c>
      <c r="Z264" s="56" t="str">
        <f aca="false">IF($B264&lt;&gt;"결제완료","",IF(OR($Y264="",$J264=""),"",$Y264*$J264+MAX(0,N($K264)-1)*설정!$J$7))</f>
        <v/>
      </c>
      <c r="AA264" s="56" t="str">
        <f aca="false">IF(AND($D264&lt;&gt;"",$B264="결제완료"),N($N264),"")</f>
        <v/>
      </c>
      <c r="AB264" s="45" t="str">
        <f aca="false">IF($D264="","",IF($F264&lt;&gt;"",$F264,$D264)&amp;IF($B264="상담중"," (상담)",""))</f>
        <v/>
      </c>
      <c r="AC264" s="45" t="n">
        <f aca="false">IF(AND($D264&lt;&gt;"",OR($B264="결제완료",$B264="상담중")),1,0)</f>
        <v>0</v>
      </c>
      <c r="AD264" s="45" t="n">
        <f aca="false">IF(OR($Z264="",$U264=""),0,IFERROR(IF(COUNTIFS(INDEX(g_grid,0,2*MATCH($M264,강사DB!$A$4:$A$15,0)),"&lt;&gt;",g_s,"&lt;="&amp;$U264,g_e,"&gt;="&amp;$U264)&gt;0,1,0),0))</f>
        <v>0</v>
      </c>
      <c r="AE264" s="48"/>
      <c r="AF264" s="56" t="str">
        <f aca="false">IF(AND($D264&lt;&gt;"",$B264="결제완료",$T264="대여"),설정!$J$5,"")</f>
        <v/>
      </c>
      <c r="AG264" s="54" t="str">
        <f aca="false">IF($D264="","",IF(AND($E264="",$R264=""),$AB264,"☎ "&amp;IF($E264="","-",$E264)&amp;IF($R264&lt;&gt;"","  ※ "&amp;$R264,"")&amp;IF($B264="상담중"," (상담)","")))</f>
        <v/>
      </c>
      <c r="AH264" s="56" t="str">
        <f aca="false">IF(AND($D264&lt;&gt;"",$B264="결제완료",$O264="스마트스토어"),ROUND(N($N264)*설정!$J$6,0),"")</f>
        <v/>
      </c>
      <c r="AI264" s="54" t="str">
        <f aca="false">IF($D264="","",ROW())</f>
        <v/>
      </c>
      <c r="AJ264" s="54" t="n">
        <f aca="false">IF(OR($AC264&lt;&gt;1,$M264=""),0,IF(ISNUMBER(SEARCH("퇴사",IFERROR(INDEX(강사DB!$G$4:$G$53,MATCH($M264,강사DB!$A$4:$A$53,0)),""))),1,0))</f>
        <v>0</v>
      </c>
    </row>
    <row r="265" customFormat="false" ht="15" hidden="false" customHeight="false" outlineLevel="0" collapsed="false">
      <c r="A265" s="45" t="str">
        <f aca="false">IF($D265="","",COUNTA($D$5:$D265))</f>
        <v/>
      </c>
      <c r="B265" s="46"/>
      <c r="C265" s="47"/>
      <c r="D265" s="48"/>
      <c r="E265" s="48"/>
      <c r="F265" s="49"/>
      <c r="G265" s="47"/>
      <c r="H265" s="50"/>
      <c r="I265" s="50"/>
      <c r="J265" s="51" t="str">
        <f aca="false">IF(OR($V265="",$W265=""),"",ROUND(($W265-$V265)/60,2))</f>
        <v/>
      </c>
      <c r="K265" s="52" t="str">
        <f aca="false">IF($F265="","",LEN($F265)-LEN(SUBSTITUTE($F265,",",""))+1)</f>
        <v/>
      </c>
      <c r="L265" s="45" t="str">
        <f aca="false">IF($K265="","","1:"&amp;$K265)</f>
        <v/>
      </c>
      <c r="M265" s="46"/>
      <c r="N265" s="53"/>
      <c r="O265" s="46"/>
      <c r="P265" s="47"/>
      <c r="Q265" s="48"/>
      <c r="R265" s="49"/>
      <c r="S265" s="54" t="str">
        <f aca="false">IF(OR($AC265=0,$U265="",$M265="",$V265="",$W265=""),"",IF(COUNTIFS(m_teacher,$M265,m_date,$U265,m_active,1,m_start,"&lt;"&amp;$W265,m_end,"&gt;"&amp;$V265)&gt;1,"충돌",""))</f>
        <v/>
      </c>
      <c r="T265" s="48"/>
      <c r="U265" s="55" t="str">
        <f aca="false">IF($G265="","",IFERROR(IF(ISNUMBER($G265),IF($G265&gt;19000000,DATE(INT($G265/10000),MOD(INT($G265/100),100),MOD($G265,100)),INT($G265)),IF(LEN(SUBSTITUTE(SUBSTITUTE(SUBSTITUTE(TRIM($G265),"-",""),".",""),"/",""))=8,DATE(VALUE(LEFT(SUBSTITUTE(SUBSTITUTE(SUBSTITUTE(TRIM($G265),"-",""),".",""),"/",""),4)),VALUE(MID(SUBSTITUTE(SUBSTITUTE(SUBSTITUTE(TRIM($G265),"-",""),".",""),"/",""),5,2)),VALUE(RIGHT(SUBSTITUTE(SUBSTITUTE(SUBSTITUTE(TRIM($G265),"-",""),".",""),"/",""),2))),DATEVALUE($G265))),""))</f>
        <v/>
      </c>
      <c r="V265" s="52" t="str">
        <f aca="false">IF($H265="","",IFERROR(IF(IF(ISNUMBER($H265),$H265,IFERROR(TIMEVALUE($H265),VALUE($H265)))&gt;=100,INT(IF(ISNUMBER($H265),$H265,IFERROR(TIMEVALUE($H265),VALUE($H265)))/100)*60+MOD(IF(ISNUMBER($H265),$H265,IFERROR(TIMEVALUE($H265),VALUE($H265))),100),IF(IF(ISNUMBER($H265),$H265,IFERROR(TIMEVALUE($H265),VALUE($H265)))&gt;=1,ROUND(IF(ISNUMBER($H265),$H265,IFERROR(TIMEVALUE($H265),VALUE($H265)))*60,0),ROUND(MOD(IF(ISNUMBER($H265),$H265,IFERROR(TIMEVALUE($H265),VALUE($H265))),1)*1440,0))),""))</f>
        <v/>
      </c>
      <c r="W265" s="52" t="str">
        <f aca="false">IF($I265="","",IFERROR(IF(IF(ISNUMBER($I265),$I265,IFERROR(TIMEVALUE($I265),VALUE($I265)))&gt;=100,INT(IF(ISNUMBER($I265),$I265,IFERROR(TIMEVALUE($I265),VALUE($I265)))/100)*60+MOD(IF(ISNUMBER($I265),$I265,IFERROR(TIMEVALUE($I265),VALUE($I265))),100),IF(IF(ISNUMBER($I265),$I265,IFERROR(TIMEVALUE($I265),VALUE($I265)))&gt;=1,ROUND(IF(ISNUMBER($I265),$I265,IFERROR(TIMEVALUE($I265),VALUE($I265)))*60,0),ROUND(MOD(IF(ISNUMBER($I265),$I265,IFERROR(TIMEVALUE($I265),VALUE($I265))),1)*1440,0))),""))</f>
        <v/>
      </c>
      <c r="X265" s="55" t="str">
        <f aca="false">IF($P265="","",IFERROR(IF(ISNUMBER($P265),IF($P265&gt;19000000,DATE(INT($P265/10000),MOD(INT($P265/100),100),MOD($P265,100)),INT($P265)),IF(LEN(SUBSTITUTE(SUBSTITUTE(SUBSTITUTE(TRIM($P265),"-",""),".",""),"/",""))=8,DATE(VALUE(LEFT(SUBSTITUTE(SUBSTITUTE(SUBSTITUTE(TRIM($P265),"-",""),".",""),"/",""),4)),VALUE(MID(SUBSTITUTE(SUBSTITUTE(SUBSTITUTE(TRIM($P265),"-",""),".",""),"/",""),5,2)),VALUE(RIGHT(SUBSTITUTE(SUBSTITUTE(SUBSTITUTE(TRIM($P265),"-",""),".",""),"/",""),2))),DATEVALUE($P265))),""))</f>
        <v/>
      </c>
      <c r="Y265" s="56" t="str">
        <f aca="false">IF($M265="","",IFERROR(INDEX(강사DB!$D$4:$D$53,MATCH($M265,강사DB!$A$4:$A$53,0)),""))</f>
        <v/>
      </c>
      <c r="Z265" s="56" t="str">
        <f aca="false">IF($B265&lt;&gt;"결제완료","",IF(OR($Y265="",$J265=""),"",$Y265*$J265+MAX(0,N($K265)-1)*설정!$J$7))</f>
        <v/>
      </c>
      <c r="AA265" s="56" t="str">
        <f aca="false">IF(AND($D265&lt;&gt;"",$B265="결제완료"),N($N265),"")</f>
        <v/>
      </c>
      <c r="AB265" s="45" t="str">
        <f aca="false">IF($D265="","",IF($F265&lt;&gt;"",$F265,$D265)&amp;IF($B265="상담중"," (상담)",""))</f>
        <v/>
      </c>
      <c r="AC265" s="45" t="n">
        <f aca="false">IF(AND($D265&lt;&gt;"",OR($B265="결제완료",$B265="상담중")),1,0)</f>
        <v>0</v>
      </c>
      <c r="AD265" s="45" t="n">
        <f aca="false">IF(OR($Z265="",$U265=""),0,IFERROR(IF(COUNTIFS(INDEX(g_grid,0,2*MATCH($M265,강사DB!$A$4:$A$15,0)),"&lt;&gt;",g_s,"&lt;="&amp;$U265,g_e,"&gt;="&amp;$U265)&gt;0,1,0),0))</f>
        <v>0</v>
      </c>
      <c r="AE265" s="48"/>
      <c r="AF265" s="56" t="str">
        <f aca="false">IF(AND($D265&lt;&gt;"",$B265="결제완료",$T265="대여"),설정!$J$5,"")</f>
        <v/>
      </c>
      <c r="AG265" s="54" t="str">
        <f aca="false">IF($D265="","",IF(AND($E265="",$R265=""),$AB265,"☎ "&amp;IF($E265="","-",$E265)&amp;IF($R265&lt;&gt;"","  ※ "&amp;$R265,"")&amp;IF($B265="상담중"," (상담)","")))</f>
        <v/>
      </c>
      <c r="AH265" s="56" t="str">
        <f aca="false">IF(AND($D265&lt;&gt;"",$B265="결제완료",$O265="스마트스토어"),ROUND(N($N265)*설정!$J$6,0),"")</f>
        <v/>
      </c>
      <c r="AI265" s="54" t="str">
        <f aca="false">IF($D265="","",ROW())</f>
        <v/>
      </c>
      <c r="AJ265" s="54" t="n">
        <f aca="false">IF(OR($AC265&lt;&gt;1,$M265=""),0,IF(ISNUMBER(SEARCH("퇴사",IFERROR(INDEX(강사DB!$G$4:$G$53,MATCH($M265,강사DB!$A$4:$A$53,0)),""))),1,0))</f>
        <v>0</v>
      </c>
    </row>
    <row r="266" customFormat="false" ht="15" hidden="false" customHeight="false" outlineLevel="0" collapsed="false">
      <c r="A266" s="45" t="str">
        <f aca="false">IF($D266="","",COUNTA($D$5:$D266))</f>
        <v/>
      </c>
      <c r="B266" s="46"/>
      <c r="C266" s="47"/>
      <c r="D266" s="48"/>
      <c r="E266" s="48"/>
      <c r="F266" s="49"/>
      <c r="G266" s="47"/>
      <c r="H266" s="50"/>
      <c r="I266" s="50"/>
      <c r="J266" s="51" t="str">
        <f aca="false">IF(OR($V266="",$W266=""),"",ROUND(($W266-$V266)/60,2))</f>
        <v/>
      </c>
      <c r="K266" s="52" t="str">
        <f aca="false">IF($F266="","",LEN($F266)-LEN(SUBSTITUTE($F266,",",""))+1)</f>
        <v/>
      </c>
      <c r="L266" s="45" t="str">
        <f aca="false">IF($K266="","","1:"&amp;$K266)</f>
        <v/>
      </c>
      <c r="M266" s="46"/>
      <c r="N266" s="53"/>
      <c r="O266" s="46"/>
      <c r="P266" s="47"/>
      <c r="Q266" s="48"/>
      <c r="R266" s="49"/>
      <c r="S266" s="54" t="str">
        <f aca="false">IF(OR($AC266=0,$U266="",$M266="",$V266="",$W266=""),"",IF(COUNTIFS(m_teacher,$M266,m_date,$U266,m_active,1,m_start,"&lt;"&amp;$W266,m_end,"&gt;"&amp;$V266)&gt;1,"충돌",""))</f>
        <v/>
      </c>
      <c r="T266" s="48"/>
      <c r="U266" s="55" t="str">
        <f aca="false">IF($G266="","",IFERROR(IF(ISNUMBER($G266),IF($G266&gt;19000000,DATE(INT($G266/10000),MOD(INT($G266/100),100),MOD($G266,100)),INT($G266)),IF(LEN(SUBSTITUTE(SUBSTITUTE(SUBSTITUTE(TRIM($G266),"-",""),".",""),"/",""))=8,DATE(VALUE(LEFT(SUBSTITUTE(SUBSTITUTE(SUBSTITUTE(TRIM($G266),"-",""),".",""),"/",""),4)),VALUE(MID(SUBSTITUTE(SUBSTITUTE(SUBSTITUTE(TRIM($G266),"-",""),".",""),"/",""),5,2)),VALUE(RIGHT(SUBSTITUTE(SUBSTITUTE(SUBSTITUTE(TRIM($G266),"-",""),".",""),"/",""),2))),DATEVALUE($G266))),""))</f>
        <v/>
      </c>
      <c r="V266" s="52" t="str">
        <f aca="false">IF($H266="","",IFERROR(IF(IF(ISNUMBER($H266),$H266,IFERROR(TIMEVALUE($H266),VALUE($H266)))&gt;=100,INT(IF(ISNUMBER($H266),$H266,IFERROR(TIMEVALUE($H266),VALUE($H266)))/100)*60+MOD(IF(ISNUMBER($H266),$H266,IFERROR(TIMEVALUE($H266),VALUE($H266))),100),IF(IF(ISNUMBER($H266),$H266,IFERROR(TIMEVALUE($H266),VALUE($H266)))&gt;=1,ROUND(IF(ISNUMBER($H266),$H266,IFERROR(TIMEVALUE($H266),VALUE($H266)))*60,0),ROUND(MOD(IF(ISNUMBER($H266),$H266,IFERROR(TIMEVALUE($H266),VALUE($H266))),1)*1440,0))),""))</f>
        <v/>
      </c>
      <c r="W266" s="52" t="str">
        <f aca="false">IF($I266="","",IFERROR(IF(IF(ISNUMBER($I266),$I266,IFERROR(TIMEVALUE($I266),VALUE($I266)))&gt;=100,INT(IF(ISNUMBER($I266),$I266,IFERROR(TIMEVALUE($I266),VALUE($I266)))/100)*60+MOD(IF(ISNUMBER($I266),$I266,IFERROR(TIMEVALUE($I266),VALUE($I266))),100),IF(IF(ISNUMBER($I266),$I266,IFERROR(TIMEVALUE($I266),VALUE($I266)))&gt;=1,ROUND(IF(ISNUMBER($I266),$I266,IFERROR(TIMEVALUE($I266),VALUE($I266)))*60,0),ROUND(MOD(IF(ISNUMBER($I266),$I266,IFERROR(TIMEVALUE($I266),VALUE($I266))),1)*1440,0))),""))</f>
        <v/>
      </c>
      <c r="X266" s="55" t="str">
        <f aca="false">IF($P266="","",IFERROR(IF(ISNUMBER($P266),IF($P266&gt;19000000,DATE(INT($P266/10000),MOD(INT($P266/100),100),MOD($P266,100)),INT($P266)),IF(LEN(SUBSTITUTE(SUBSTITUTE(SUBSTITUTE(TRIM($P266),"-",""),".",""),"/",""))=8,DATE(VALUE(LEFT(SUBSTITUTE(SUBSTITUTE(SUBSTITUTE(TRIM($P266),"-",""),".",""),"/",""),4)),VALUE(MID(SUBSTITUTE(SUBSTITUTE(SUBSTITUTE(TRIM($P266),"-",""),".",""),"/",""),5,2)),VALUE(RIGHT(SUBSTITUTE(SUBSTITUTE(SUBSTITUTE(TRIM($P266),"-",""),".",""),"/",""),2))),DATEVALUE($P266))),""))</f>
        <v/>
      </c>
      <c r="Y266" s="56" t="str">
        <f aca="false">IF($M266="","",IFERROR(INDEX(강사DB!$D$4:$D$53,MATCH($M266,강사DB!$A$4:$A$53,0)),""))</f>
        <v/>
      </c>
      <c r="Z266" s="56" t="str">
        <f aca="false">IF($B266&lt;&gt;"결제완료","",IF(OR($Y266="",$J266=""),"",$Y266*$J266+MAX(0,N($K266)-1)*설정!$J$7))</f>
        <v/>
      </c>
      <c r="AA266" s="56" t="str">
        <f aca="false">IF(AND($D266&lt;&gt;"",$B266="결제완료"),N($N266),"")</f>
        <v/>
      </c>
      <c r="AB266" s="45" t="str">
        <f aca="false">IF($D266="","",IF($F266&lt;&gt;"",$F266,$D266)&amp;IF($B266="상담중"," (상담)",""))</f>
        <v/>
      </c>
      <c r="AC266" s="45" t="n">
        <f aca="false">IF(AND($D266&lt;&gt;"",OR($B266="결제완료",$B266="상담중")),1,0)</f>
        <v>0</v>
      </c>
      <c r="AD266" s="45" t="n">
        <f aca="false">IF(OR($Z266="",$U266=""),0,IFERROR(IF(COUNTIFS(INDEX(g_grid,0,2*MATCH($M266,강사DB!$A$4:$A$15,0)),"&lt;&gt;",g_s,"&lt;="&amp;$U266,g_e,"&gt;="&amp;$U266)&gt;0,1,0),0))</f>
        <v>0</v>
      </c>
      <c r="AE266" s="48"/>
      <c r="AF266" s="56" t="str">
        <f aca="false">IF(AND($D266&lt;&gt;"",$B266="결제완료",$T266="대여"),설정!$J$5,"")</f>
        <v/>
      </c>
      <c r="AG266" s="54" t="str">
        <f aca="false">IF($D266="","",IF(AND($E266="",$R266=""),$AB266,"☎ "&amp;IF($E266="","-",$E266)&amp;IF($R266&lt;&gt;"","  ※ "&amp;$R266,"")&amp;IF($B266="상담중"," (상담)","")))</f>
        <v/>
      </c>
      <c r="AH266" s="56" t="str">
        <f aca="false">IF(AND($D266&lt;&gt;"",$B266="결제완료",$O266="스마트스토어"),ROUND(N($N266)*설정!$J$6,0),"")</f>
        <v/>
      </c>
      <c r="AI266" s="54" t="str">
        <f aca="false">IF($D266="","",ROW())</f>
        <v/>
      </c>
      <c r="AJ266" s="54" t="n">
        <f aca="false">IF(OR($AC266&lt;&gt;1,$M266=""),0,IF(ISNUMBER(SEARCH("퇴사",IFERROR(INDEX(강사DB!$G$4:$G$53,MATCH($M266,강사DB!$A$4:$A$53,0)),""))),1,0))</f>
        <v>0</v>
      </c>
    </row>
    <row r="267" customFormat="false" ht="15" hidden="false" customHeight="false" outlineLevel="0" collapsed="false">
      <c r="A267" s="45" t="str">
        <f aca="false">IF($D267="","",COUNTA($D$5:$D267))</f>
        <v/>
      </c>
      <c r="B267" s="46"/>
      <c r="C267" s="47"/>
      <c r="D267" s="48"/>
      <c r="E267" s="48"/>
      <c r="F267" s="49"/>
      <c r="G267" s="47"/>
      <c r="H267" s="50"/>
      <c r="I267" s="50"/>
      <c r="J267" s="51" t="str">
        <f aca="false">IF(OR($V267="",$W267=""),"",ROUND(($W267-$V267)/60,2))</f>
        <v/>
      </c>
      <c r="K267" s="52" t="str">
        <f aca="false">IF($F267="","",LEN($F267)-LEN(SUBSTITUTE($F267,",",""))+1)</f>
        <v/>
      </c>
      <c r="L267" s="45" t="str">
        <f aca="false">IF($K267="","","1:"&amp;$K267)</f>
        <v/>
      </c>
      <c r="M267" s="46"/>
      <c r="N267" s="53"/>
      <c r="O267" s="46"/>
      <c r="P267" s="47"/>
      <c r="Q267" s="48"/>
      <c r="R267" s="49"/>
      <c r="S267" s="54" t="str">
        <f aca="false">IF(OR($AC267=0,$U267="",$M267="",$V267="",$W267=""),"",IF(COUNTIFS(m_teacher,$M267,m_date,$U267,m_active,1,m_start,"&lt;"&amp;$W267,m_end,"&gt;"&amp;$V267)&gt;1,"충돌",""))</f>
        <v/>
      </c>
      <c r="T267" s="48"/>
      <c r="U267" s="55" t="str">
        <f aca="false">IF($G267="","",IFERROR(IF(ISNUMBER($G267),IF($G267&gt;19000000,DATE(INT($G267/10000),MOD(INT($G267/100),100),MOD($G267,100)),INT($G267)),IF(LEN(SUBSTITUTE(SUBSTITUTE(SUBSTITUTE(TRIM($G267),"-",""),".",""),"/",""))=8,DATE(VALUE(LEFT(SUBSTITUTE(SUBSTITUTE(SUBSTITUTE(TRIM($G267),"-",""),".",""),"/",""),4)),VALUE(MID(SUBSTITUTE(SUBSTITUTE(SUBSTITUTE(TRIM($G267),"-",""),".",""),"/",""),5,2)),VALUE(RIGHT(SUBSTITUTE(SUBSTITUTE(SUBSTITUTE(TRIM($G267),"-",""),".",""),"/",""),2))),DATEVALUE($G267))),""))</f>
        <v/>
      </c>
      <c r="V267" s="52" t="str">
        <f aca="false">IF($H267="","",IFERROR(IF(IF(ISNUMBER($H267),$H267,IFERROR(TIMEVALUE($H267),VALUE($H267)))&gt;=100,INT(IF(ISNUMBER($H267),$H267,IFERROR(TIMEVALUE($H267),VALUE($H267)))/100)*60+MOD(IF(ISNUMBER($H267),$H267,IFERROR(TIMEVALUE($H267),VALUE($H267))),100),IF(IF(ISNUMBER($H267),$H267,IFERROR(TIMEVALUE($H267),VALUE($H267)))&gt;=1,ROUND(IF(ISNUMBER($H267),$H267,IFERROR(TIMEVALUE($H267),VALUE($H267)))*60,0),ROUND(MOD(IF(ISNUMBER($H267),$H267,IFERROR(TIMEVALUE($H267),VALUE($H267))),1)*1440,0))),""))</f>
        <v/>
      </c>
      <c r="W267" s="52" t="str">
        <f aca="false">IF($I267="","",IFERROR(IF(IF(ISNUMBER($I267),$I267,IFERROR(TIMEVALUE($I267),VALUE($I267)))&gt;=100,INT(IF(ISNUMBER($I267),$I267,IFERROR(TIMEVALUE($I267),VALUE($I267)))/100)*60+MOD(IF(ISNUMBER($I267),$I267,IFERROR(TIMEVALUE($I267),VALUE($I267))),100),IF(IF(ISNUMBER($I267),$I267,IFERROR(TIMEVALUE($I267),VALUE($I267)))&gt;=1,ROUND(IF(ISNUMBER($I267),$I267,IFERROR(TIMEVALUE($I267),VALUE($I267)))*60,0),ROUND(MOD(IF(ISNUMBER($I267),$I267,IFERROR(TIMEVALUE($I267),VALUE($I267))),1)*1440,0))),""))</f>
        <v/>
      </c>
      <c r="X267" s="55" t="str">
        <f aca="false">IF($P267="","",IFERROR(IF(ISNUMBER($P267),IF($P267&gt;19000000,DATE(INT($P267/10000),MOD(INT($P267/100),100),MOD($P267,100)),INT($P267)),IF(LEN(SUBSTITUTE(SUBSTITUTE(SUBSTITUTE(TRIM($P267),"-",""),".",""),"/",""))=8,DATE(VALUE(LEFT(SUBSTITUTE(SUBSTITUTE(SUBSTITUTE(TRIM($P267),"-",""),".",""),"/",""),4)),VALUE(MID(SUBSTITUTE(SUBSTITUTE(SUBSTITUTE(TRIM($P267),"-",""),".",""),"/",""),5,2)),VALUE(RIGHT(SUBSTITUTE(SUBSTITUTE(SUBSTITUTE(TRIM($P267),"-",""),".",""),"/",""),2))),DATEVALUE($P267))),""))</f>
        <v/>
      </c>
      <c r="Y267" s="56" t="str">
        <f aca="false">IF($M267="","",IFERROR(INDEX(강사DB!$D$4:$D$53,MATCH($M267,강사DB!$A$4:$A$53,0)),""))</f>
        <v/>
      </c>
      <c r="Z267" s="56" t="str">
        <f aca="false">IF($B267&lt;&gt;"결제완료","",IF(OR($Y267="",$J267=""),"",$Y267*$J267+MAX(0,N($K267)-1)*설정!$J$7))</f>
        <v/>
      </c>
      <c r="AA267" s="56" t="str">
        <f aca="false">IF(AND($D267&lt;&gt;"",$B267="결제완료"),N($N267),"")</f>
        <v/>
      </c>
      <c r="AB267" s="45" t="str">
        <f aca="false">IF($D267="","",IF($F267&lt;&gt;"",$F267,$D267)&amp;IF($B267="상담중"," (상담)",""))</f>
        <v/>
      </c>
      <c r="AC267" s="45" t="n">
        <f aca="false">IF(AND($D267&lt;&gt;"",OR($B267="결제완료",$B267="상담중")),1,0)</f>
        <v>0</v>
      </c>
      <c r="AD267" s="45" t="n">
        <f aca="false">IF(OR($Z267="",$U267=""),0,IFERROR(IF(COUNTIFS(INDEX(g_grid,0,2*MATCH($M267,강사DB!$A$4:$A$15,0)),"&lt;&gt;",g_s,"&lt;="&amp;$U267,g_e,"&gt;="&amp;$U267)&gt;0,1,0),0))</f>
        <v>0</v>
      </c>
      <c r="AE267" s="48"/>
      <c r="AF267" s="56" t="str">
        <f aca="false">IF(AND($D267&lt;&gt;"",$B267="결제완료",$T267="대여"),설정!$J$5,"")</f>
        <v/>
      </c>
      <c r="AG267" s="54" t="str">
        <f aca="false">IF($D267="","",IF(AND($E267="",$R267=""),$AB267,"☎ "&amp;IF($E267="","-",$E267)&amp;IF($R267&lt;&gt;"","  ※ "&amp;$R267,"")&amp;IF($B267="상담중"," (상담)","")))</f>
        <v/>
      </c>
      <c r="AH267" s="56" t="str">
        <f aca="false">IF(AND($D267&lt;&gt;"",$B267="결제완료",$O267="스마트스토어"),ROUND(N($N267)*설정!$J$6,0),"")</f>
        <v/>
      </c>
      <c r="AI267" s="54" t="str">
        <f aca="false">IF($D267="","",ROW())</f>
        <v/>
      </c>
      <c r="AJ267" s="54" t="n">
        <f aca="false">IF(OR($AC267&lt;&gt;1,$M267=""),0,IF(ISNUMBER(SEARCH("퇴사",IFERROR(INDEX(강사DB!$G$4:$G$53,MATCH($M267,강사DB!$A$4:$A$53,0)),""))),1,0))</f>
        <v>0</v>
      </c>
    </row>
    <row r="268" customFormat="false" ht="15" hidden="false" customHeight="false" outlineLevel="0" collapsed="false">
      <c r="A268" s="45" t="str">
        <f aca="false">IF($D268="","",COUNTA($D$5:$D268))</f>
        <v/>
      </c>
      <c r="B268" s="46"/>
      <c r="C268" s="47"/>
      <c r="D268" s="48"/>
      <c r="E268" s="48"/>
      <c r="F268" s="49"/>
      <c r="G268" s="47"/>
      <c r="H268" s="50"/>
      <c r="I268" s="50"/>
      <c r="J268" s="51" t="str">
        <f aca="false">IF(OR($V268="",$W268=""),"",ROUND(($W268-$V268)/60,2))</f>
        <v/>
      </c>
      <c r="K268" s="52" t="str">
        <f aca="false">IF($F268="","",LEN($F268)-LEN(SUBSTITUTE($F268,",",""))+1)</f>
        <v/>
      </c>
      <c r="L268" s="45" t="str">
        <f aca="false">IF($K268="","","1:"&amp;$K268)</f>
        <v/>
      </c>
      <c r="M268" s="46"/>
      <c r="N268" s="53"/>
      <c r="O268" s="46"/>
      <c r="P268" s="47"/>
      <c r="Q268" s="48"/>
      <c r="R268" s="49"/>
      <c r="S268" s="54" t="str">
        <f aca="false">IF(OR($AC268=0,$U268="",$M268="",$V268="",$W268=""),"",IF(COUNTIFS(m_teacher,$M268,m_date,$U268,m_active,1,m_start,"&lt;"&amp;$W268,m_end,"&gt;"&amp;$V268)&gt;1,"충돌",""))</f>
        <v/>
      </c>
      <c r="T268" s="48"/>
      <c r="U268" s="55" t="str">
        <f aca="false">IF($G268="","",IFERROR(IF(ISNUMBER($G268),IF($G268&gt;19000000,DATE(INT($G268/10000),MOD(INT($G268/100),100),MOD($G268,100)),INT($G268)),IF(LEN(SUBSTITUTE(SUBSTITUTE(SUBSTITUTE(TRIM($G268),"-",""),".",""),"/",""))=8,DATE(VALUE(LEFT(SUBSTITUTE(SUBSTITUTE(SUBSTITUTE(TRIM($G268),"-",""),".",""),"/",""),4)),VALUE(MID(SUBSTITUTE(SUBSTITUTE(SUBSTITUTE(TRIM($G268),"-",""),".",""),"/",""),5,2)),VALUE(RIGHT(SUBSTITUTE(SUBSTITUTE(SUBSTITUTE(TRIM($G268),"-",""),".",""),"/",""),2))),DATEVALUE($G268))),""))</f>
        <v/>
      </c>
      <c r="V268" s="52" t="str">
        <f aca="false">IF($H268="","",IFERROR(IF(IF(ISNUMBER($H268),$H268,IFERROR(TIMEVALUE($H268),VALUE($H268)))&gt;=100,INT(IF(ISNUMBER($H268),$H268,IFERROR(TIMEVALUE($H268),VALUE($H268)))/100)*60+MOD(IF(ISNUMBER($H268),$H268,IFERROR(TIMEVALUE($H268),VALUE($H268))),100),IF(IF(ISNUMBER($H268),$H268,IFERROR(TIMEVALUE($H268),VALUE($H268)))&gt;=1,ROUND(IF(ISNUMBER($H268),$H268,IFERROR(TIMEVALUE($H268),VALUE($H268)))*60,0),ROUND(MOD(IF(ISNUMBER($H268),$H268,IFERROR(TIMEVALUE($H268),VALUE($H268))),1)*1440,0))),""))</f>
        <v/>
      </c>
      <c r="W268" s="52" t="str">
        <f aca="false">IF($I268="","",IFERROR(IF(IF(ISNUMBER($I268),$I268,IFERROR(TIMEVALUE($I268),VALUE($I268)))&gt;=100,INT(IF(ISNUMBER($I268),$I268,IFERROR(TIMEVALUE($I268),VALUE($I268)))/100)*60+MOD(IF(ISNUMBER($I268),$I268,IFERROR(TIMEVALUE($I268),VALUE($I268))),100),IF(IF(ISNUMBER($I268),$I268,IFERROR(TIMEVALUE($I268),VALUE($I268)))&gt;=1,ROUND(IF(ISNUMBER($I268),$I268,IFERROR(TIMEVALUE($I268),VALUE($I268)))*60,0),ROUND(MOD(IF(ISNUMBER($I268),$I268,IFERROR(TIMEVALUE($I268),VALUE($I268))),1)*1440,0))),""))</f>
        <v/>
      </c>
      <c r="X268" s="55" t="str">
        <f aca="false">IF($P268="","",IFERROR(IF(ISNUMBER($P268),IF($P268&gt;19000000,DATE(INT($P268/10000),MOD(INT($P268/100),100),MOD($P268,100)),INT($P268)),IF(LEN(SUBSTITUTE(SUBSTITUTE(SUBSTITUTE(TRIM($P268),"-",""),".",""),"/",""))=8,DATE(VALUE(LEFT(SUBSTITUTE(SUBSTITUTE(SUBSTITUTE(TRIM($P268),"-",""),".",""),"/",""),4)),VALUE(MID(SUBSTITUTE(SUBSTITUTE(SUBSTITUTE(TRIM($P268),"-",""),".",""),"/",""),5,2)),VALUE(RIGHT(SUBSTITUTE(SUBSTITUTE(SUBSTITUTE(TRIM($P268),"-",""),".",""),"/",""),2))),DATEVALUE($P268))),""))</f>
        <v/>
      </c>
      <c r="Y268" s="56" t="str">
        <f aca="false">IF($M268="","",IFERROR(INDEX(강사DB!$D$4:$D$53,MATCH($M268,강사DB!$A$4:$A$53,0)),""))</f>
        <v/>
      </c>
      <c r="Z268" s="56" t="str">
        <f aca="false">IF($B268&lt;&gt;"결제완료","",IF(OR($Y268="",$J268=""),"",$Y268*$J268+MAX(0,N($K268)-1)*설정!$J$7))</f>
        <v/>
      </c>
      <c r="AA268" s="56" t="str">
        <f aca="false">IF(AND($D268&lt;&gt;"",$B268="결제완료"),N($N268),"")</f>
        <v/>
      </c>
      <c r="AB268" s="45" t="str">
        <f aca="false">IF($D268="","",IF($F268&lt;&gt;"",$F268,$D268)&amp;IF($B268="상담중"," (상담)",""))</f>
        <v/>
      </c>
      <c r="AC268" s="45" t="n">
        <f aca="false">IF(AND($D268&lt;&gt;"",OR($B268="결제완료",$B268="상담중")),1,0)</f>
        <v>0</v>
      </c>
      <c r="AD268" s="45" t="n">
        <f aca="false">IF(OR($Z268="",$U268=""),0,IFERROR(IF(COUNTIFS(INDEX(g_grid,0,2*MATCH($M268,강사DB!$A$4:$A$15,0)),"&lt;&gt;",g_s,"&lt;="&amp;$U268,g_e,"&gt;="&amp;$U268)&gt;0,1,0),0))</f>
        <v>0</v>
      </c>
      <c r="AE268" s="48"/>
      <c r="AF268" s="56" t="str">
        <f aca="false">IF(AND($D268&lt;&gt;"",$B268="결제완료",$T268="대여"),설정!$J$5,"")</f>
        <v/>
      </c>
      <c r="AG268" s="54" t="str">
        <f aca="false">IF($D268="","",IF(AND($E268="",$R268=""),$AB268,"☎ "&amp;IF($E268="","-",$E268)&amp;IF($R268&lt;&gt;"","  ※ "&amp;$R268,"")&amp;IF($B268="상담중"," (상담)","")))</f>
        <v/>
      </c>
      <c r="AH268" s="56" t="str">
        <f aca="false">IF(AND($D268&lt;&gt;"",$B268="결제완료",$O268="스마트스토어"),ROUND(N($N268)*설정!$J$6,0),"")</f>
        <v/>
      </c>
      <c r="AI268" s="54" t="str">
        <f aca="false">IF($D268="","",ROW())</f>
        <v/>
      </c>
      <c r="AJ268" s="54" t="n">
        <f aca="false">IF(OR($AC268&lt;&gt;1,$M268=""),0,IF(ISNUMBER(SEARCH("퇴사",IFERROR(INDEX(강사DB!$G$4:$G$53,MATCH($M268,강사DB!$A$4:$A$53,0)),""))),1,0))</f>
        <v>0</v>
      </c>
    </row>
    <row r="269" customFormat="false" ht="15" hidden="false" customHeight="false" outlineLevel="0" collapsed="false">
      <c r="A269" s="45" t="str">
        <f aca="false">IF($D269="","",COUNTA($D$5:$D269))</f>
        <v/>
      </c>
      <c r="B269" s="46"/>
      <c r="C269" s="47"/>
      <c r="D269" s="48"/>
      <c r="E269" s="48"/>
      <c r="F269" s="49"/>
      <c r="G269" s="47"/>
      <c r="H269" s="50"/>
      <c r="I269" s="50"/>
      <c r="J269" s="51" t="str">
        <f aca="false">IF(OR($V269="",$W269=""),"",ROUND(($W269-$V269)/60,2))</f>
        <v/>
      </c>
      <c r="K269" s="52" t="str">
        <f aca="false">IF($F269="","",LEN($F269)-LEN(SUBSTITUTE($F269,",",""))+1)</f>
        <v/>
      </c>
      <c r="L269" s="45" t="str">
        <f aca="false">IF($K269="","","1:"&amp;$K269)</f>
        <v/>
      </c>
      <c r="M269" s="46"/>
      <c r="N269" s="53"/>
      <c r="O269" s="46"/>
      <c r="P269" s="47"/>
      <c r="Q269" s="48"/>
      <c r="R269" s="49"/>
      <c r="S269" s="54" t="str">
        <f aca="false">IF(OR($AC269=0,$U269="",$M269="",$V269="",$W269=""),"",IF(COUNTIFS(m_teacher,$M269,m_date,$U269,m_active,1,m_start,"&lt;"&amp;$W269,m_end,"&gt;"&amp;$V269)&gt;1,"충돌",""))</f>
        <v/>
      </c>
      <c r="T269" s="48"/>
      <c r="U269" s="55" t="str">
        <f aca="false">IF($G269="","",IFERROR(IF(ISNUMBER($G269),IF($G269&gt;19000000,DATE(INT($G269/10000),MOD(INT($G269/100),100),MOD($G269,100)),INT($G269)),IF(LEN(SUBSTITUTE(SUBSTITUTE(SUBSTITUTE(TRIM($G269),"-",""),".",""),"/",""))=8,DATE(VALUE(LEFT(SUBSTITUTE(SUBSTITUTE(SUBSTITUTE(TRIM($G269),"-",""),".",""),"/",""),4)),VALUE(MID(SUBSTITUTE(SUBSTITUTE(SUBSTITUTE(TRIM($G269),"-",""),".",""),"/",""),5,2)),VALUE(RIGHT(SUBSTITUTE(SUBSTITUTE(SUBSTITUTE(TRIM($G269),"-",""),".",""),"/",""),2))),DATEVALUE($G269))),""))</f>
        <v/>
      </c>
      <c r="V269" s="52" t="str">
        <f aca="false">IF($H269="","",IFERROR(IF(IF(ISNUMBER($H269),$H269,IFERROR(TIMEVALUE($H269),VALUE($H269)))&gt;=100,INT(IF(ISNUMBER($H269),$H269,IFERROR(TIMEVALUE($H269),VALUE($H269)))/100)*60+MOD(IF(ISNUMBER($H269),$H269,IFERROR(TIMEVALUE($H269),VALUE($H269))),100),IF(IF(ISNUMBER($H269),$H269,IFERROR(TIMEVALUE($H269),VALUE($H269)))&gt;=1,ROUND(IF(ISNUMBER($H269),$H269,IFERROR(TIMEVALUE($H269),VALUE($H269)))*60,0),ROUND(MOD(IF(ISNUMBER($H269),$H269,IFERROR(TIMEVALUE($H269),VALUE($H269))),1)*1440,0))),""))</f>
        <v/>
      </c>
      <c r="W269" s="52" t="str">
        <f aca="false">IF($I269="","",IFERROR(IF(IF(ISNUMBER($I269),$I269,IFERROR(TIMEVALUE($I269),VALUE($I269)))&gt;=100,INT(IF(ISNUMBER($I269),$I269,IFERROR(TIMEVALUE($I269),VALUE($I269)))/100)*60+MOD(IF(ISNUMBER($I269),$I269,IFERROR(TIMEVALUE($I269),VALUE($I269))),100),IF(IF(ISNUMBER($I269),$I269,IFERROR(TIMEVALUE($I269),VALUE($I269)))&gt;=1,ROUND(IF(ISNUMBER($I269),$I269,IFERROR(TIMEVALUE($I269),VALUE($I269)))*60,0),ROUND(MOD(IF(ISNUMBER($I269),$I269,IFERROR(TIMEVALUE($I269),VALUE($I269))),1)*1440,0))),""))</f>
        <v/>
      </c>
      <c r="X269" s="55" t="str">
        <f aca="false">IF($P269="","",IFERROR(IF(ISNUMBER($P269),IF($P269&gt;19000000,DATE(INT($P269/10000),MOD(INT($P269/100),100),MOD($P269,100)),INT($P269)),IF(LEN(SUBSTITUTE(SUBSTITUTE(SUBSTITUTE(TRIM($P269),"-",""),".",""),"/",""))=8,DATE(VALUE(LEFT(SUBSTITUTE(SUBSTITUTE(SUBSTITUTE(TRIM($P269),"-",""),".",""),"/",""),4)),VALUE(MID(SUBSTITUTE(SUBSTITUTE(SUBSTITUTE(TRIM($P269),"-",""),".",""),"/",""),5,2)),VALUE(RIGHT(SUBSTITUTE(SUBSTITUTE(SUBSTITUTE(TRIM($P269),"-",""),".",""),"/",""),2))),DATEVALUE($P269))),""))</f>
        <v/>
      </c>
      <c r="Y269" s="56" t="str">
        <f aca="false">IF($M269="","",IFERROR(INDEX(강사DB!$D$4:$D$53,MATCH($M269,강사DB!$A$4:$A$53,0)),""))</f>
        <v/>
      </c>
      <c r="Z269" s="56" t="str">
        <f aca="false">IF($B269&lt;&gt;"결제완료","",IF(OR($Y269="",$J269=""),"",$Y269*$J269+MAX(0,N($K269)-1)*설정!$J$7))</f>
        <v/>
      </c>
      <c r="AA269" s="56" t="str">
        <f aca="false">IF(AND($D269&lt;&gt;"",$B269="결제완료"),N($N269),"")</f>
        <v/>
      </c>
      <c r="AB269" s="45" t="str">
        <f aca="false">IF($D269="","",IF($F269&lt;&gt;"",$F269,$D269)&amp;IF($B269="상담중"," (상담)",""))</f>
        <v/>
      </c>
      <c r="AC269" s="45" t="n">
        <f aca="false">IF(AND($D269&lt;&gt;"",OR($B269="결제완료",$B269="상담중")),1,0)</f>
        <v>0</v>
      </c>
      <c r="AD269" s="45" t="n">
        <f aca="false">IF(OR($Z269="",$U269=""),0,IFERROR(IF(COUNTIFS(INDEX(g_grid,0,2*MATCH($M269,강사DB!$A$4:$A$15,0)),"&lt;&gt;",g_s,"&lt;="&amp;$U269,g_e,"&gt;="&amp;$U269)&gt;0,1,0),0))</f>
        <v>0</v>
      </c>
      <c r="AE269" s="48"/>
      <c r="AF269" s="56" t="str">
        <f aca="false">IF(AND($D269&lt;&gt;"",$B269="결제완료",$T269="대여"),설정!$J$5,"")</f>
        <v/>
      </c>
      <c r="AG269" s="54" t="str">
        <f aca="false">IF($D269="","",IF(AND($E269="",$R269=""),$AB269,"☎ "&amp;IF($E269="","-",$E269)&amp;IF($R269&lt;&gt;"","  ※ "&amp;$R269,"")&amp;IF($B269="상담중"," (상담)","")))</f>
        <v/>
      </c>
      <c r="AH269" s="56" t="str">
        <f aca="false">IF(AND($D269&lt;&gt;"",$B269="결제완료",$O269="스마트스토어"),ROUND(N($N269)*설정!$J$6,0),"")</f>
        <v/>
      </c>
      <c r="AI269" s="54" t="str">
        <f aca="false">IF($D269="","",ROW())</f>
        <v/>
      </c>
      <c r="AJ269" s="54" t="n">
        <f aca="false">IF(OR($AC269&lt;&gt;1,$M269=""),0,IF(ISNUMBER(SEARCH("퇴사",IFERROR(INDEX(강사DB!$G$4:$G$53,MATCH($M269,강사DB!$A$4:$A$53,0)),""))),1,0))</f>
        <v>0</v>
      </c>
    </row>
    <row r="270" customFormat="false" ht="15" hidden="false" customHeight="false" outlineLevel="0" collapsed="false">
      <c r="A270" s="45" t="str">
        <f aca="false">IF($D270="","",COUNTA($D$5:$D270))</f>
        <v/>
      </c>
      <c r="B270" s="46"/>
      <c r="C270" s="47"/>
      <c r="D270" s="48"/>
      <c r="E270" s="48"/>
      <c r="F270" s="49"/>
      <c r="G270" s="47"/>
      <c r="H270" s="50"/>
      <c r="I270" s="50"/>
      <c r="J270" s="51" t="str">
        <f aca="false">IF(OR($V270="",$W270=""),"",ROUND(($W270-$V270)/60,2))</f>
        <v/>
      </c>
      <c r="K270" s="52" t="str">
        <f aca="false">IF($F270="","",LEN($F270)-LEN(SUBSTITUTE($F270,",",""))+1)</f>
        <v/>
      </c>
      <c r="L270" s="45" t="str">
        <f aca="false">IF($K270="","","1:"&amp;$K270)</f>
        <v/>
      </c>
      <c r="M270" s="46"/>
      <c r="N270" s="53"/>
      <c r="O270" s="46"/>
      <c r="P270" s="47"/>
      <c r="Q270" s="48"/>
      <c r="R270" s="49"/>
      <c r="S270" s="54" t="str">
        <f aca="false">IF(OR($AC270=0,$U270="",$M270="",$V270="",$W270=""),"",IF(COUNTIFS(m_teacher,$M270,m_date,$U270,m_active,1,m_start,"&lt;"&amp;$W270,m_end,"&gt;"&amp;$V270)&gt;1,"충돌",""))</f>
        <v/>
      </c>
      <c r="T270" s="48"/>
      <c r="U270" s="55" t="str">
        <f aca="false">IF($G270="","",IFERROR(IF(ISNUMBER($G270),IF($G270&gt;19000000,DATE(INT($G270/10000),MOD(INT($G270/100),100),MOD($G270,100)),INT($G270)),IF(LEN(SUBSTITUTE(SUBSTITUTE(SUBSTITUTE(TRIM($G270),"-",""),".",""),"/",""))=8,DATE(VALUE(LEFT(SUBSTITUTE(SUBSTITUTE(SUBSTITUTE(TRIM($G270),"-",""),".",""),"/",""),4)),VALUE(MID(SUBSTITUTE(SUBSTITUTE(SUBSTITUTE(TRIM($G270),"-",""),".",""),"/",""),5,2)),VALUE(RIGHT(SUBSTITUTE(SUBSTITUTE(SUBSTITUTE(TRIM($G270),"-",""),".",""),"/",""),2))),DATEVALUE($G270))),""))</f>
        <v/>
      </c>
      <c r="V270" s="52" t="str">
        <f aca="false">IF($H270="","",IFERROR(IF(IF(ISNUMBER($H270),$H270,IFERROR(TIMEVALUE($H270),VALUE($H270)))&gt;=100,INT(IF(ISNUMBER($H270),$H270,IFERROR(TIMEVALUE($H270),VALUE($H270)))/100)*60+MOD(IF(ISNUMBER($H270),$H270,IFERROR(TIMEVALUE($H270),VALUE($H270))),100),IF(IF(ISNUMBER($H270),$H270,IFERROR(TIMEVALUE($H270),VALUE($H270)))&gt;=1,ROUND(IF(ISNUMBER($H270),$H270,IFERROR(TIMEVALUE($H270),VALUE($H270)))*60,0),ROUND(MOD(IF(ISNUMBER($H270),$H270,IFERROR(TIMEVALUE($H270),VALUE($H270))),1)*1440,0))),""))</f>
        <v/>
      </c>
      <c r="W270" s="52" t="str">
        <f aca="false">IF($I270="","",IFERROR(IF(IF(ISNUMBER($I270),$I270,IFERROR(TIMEVALUE($I270),VALUE($I270)))&gt;=100,INT(IF(ISNUMBER($I270),$I270,IFERROR(TIMEVALUE($I270),VALUE($I270)))/100)*60+MOD(IF(ISNUMBER($I270),$I270,IFERROR(TIMEVALUE($I270),VALUE($I270))),100),IF(IF(ISNUMBER($I270),$I270,IFERROR(TIMEVALUE($I270),VALUE($I270)))&gt;=1,ROUND(IF(ISNUMBER($I270),$I270,IFERROR(TIMEVALUE($I270),VALUE($I270)))*60,0),ROUND(MOD(IF(ISNUMBER($I270),$I270,IFERROR(TIMEVALUE($I270),VALUE($I270))),1)*1440,0))),""))</f>
        <v/>
      </c>
      <c r="X270" s="55" t="str">
        <f aca="false">IF($P270="","",IFERROR(IF(ISNUMBER($P270),IF($P270&gt;19000000,DATE(INT($P270/10000),MOD(INT($P270/100),100),MOD($P270,100)),INT($P270)),IF(LEN(SUBSTITUTE(SUBSTITUTE(SUBSTITUTE(TRIM($P270),"-",""),".",""),"/",""))=8,DATE(VALUE(LEFT(SUBSTITUTE(SUBSTITUTE(SUBSTITUTE(TRIM($P270),"-",""),".",""),"/",""),4)),VALUE(MID(SUBSTITUTE(SUBSTITUTE(SUBSTITUTE(TRIM($P270),"-",""),".",""),"/",""),5,2)),VALUE(RIGHT(SUBSTITUTE(SUBSTITUTE(SUBSTITUTE(TRIM($P270),"-",""),".",""),"/",""),2))),DATEVALUE($P270))),""))</f>
        <v/>
      </c>
      <c r="Y270" s="56" t="str">
        <f aca="false">IF($M270="","",IFERROR(INDEX(강사DB!$D$4:$D$53,MATCH($M270,강사DB!$A$4:$A$53,0)),""))</f>
        <v/>
      </c>
      <c r="Z270" s="56" t="str">
        <f aca="false">IF($B270&lt;&gt;"결제완료","",IF(OR($Y270="",$J270=""),"",$Y270*$J270+MAX(0,N($K270)-1)*설정!$J$7))</f>
        <v/>
      </c>
      <c r="AA270" s="56" t="str">
        <f aca="false">IF(AND($D270&lt;&gt;"",$B270="결제완료"),N($N270),"")</f>
        <v/>
      </c>
      <c r="AB270" s="45" t="str">
        <f aca="false">IF($D270="","",IF($F270&lt;&gt;"",$F270,$D270)&amp;IF($B270="상담중"," (상담)",""))</f>
        <v/>
      </c>
      <c r="AC270" s="45" t="n">
        <f aca="false">IF(AND($D270&lt;&gt;"",OR($B270="결제완료",$B270="상담중")),1,0)</f>
        <v>0</v>
      </c>
      <c r="AD270" s="45" t="n">
        <f aca="false">IF(OR($Z270="",$U270=""),0,IFERROR(IF(COUNTIFS(INDEX(g_grid,0,2*MATCH($M270,강사DB!$A$4:$A$15,0)),"&lt;&gt;",g_s,"&lt;="&amp;$U270,g_e,"&gt;="&amp;$U270)&gt;0,1,0),0))</f>
        <v>0</v>
      </c>
      <c r="AE270" s="48"/>
      <c r="AF270" s="56" t="str">
        <f aca="false">IF(AND($D270&lt;&gt;"",$B270="결제완료",$T270="대여"),설정!$J$5,"")</f>
        <v/>
      </c>
      <c r="AG270" s="54" t="str">
        <f aca="false">IF($D270="","",IF(AND($E270="",$R270=""),$AB270,"☎ "&amp;IF($E270="","-",$E270)&amp;IF($R270&lt;&gt;"","  ※ "&amp;$R270,"")&amp;IF($B270="상담중"," (상담)","")))</f>
        <v/>
      </c>
      <c r="AH270" s="56" t="str">
        <f aca="false">IF(AND($D270&lt;&gt;"",$B270="결제완료",$O270="스마트스토어"),ROUND(N($N270)*설정!$J$6,0),"")</f>
        <v/>
      </c>
      <c r="AI270" s="54" t="str">
        <f aca="false">IF($D270="","",ROW())</f>
        <v/>
      </c>
      <c r="AJ270" s="54" t="n">
        <f aca="false">IF(OR($AC270&lt;&gt;1,$M270=""),0,IF(ISNUMBER(SEARCH("퇴사",IFERROR(INDEX(강사DB!$G$4:$G$53,MATCH($M270,강사DB!$A$4:$A$53,0)),""))),1,0))</f>
        <v>0</v>
      </c>
    </row>
    <row r="271" customFormat="false" ht="15" hidden="false" customHeight="false" outlineLevel="0" collapsed="false">
      <c r="A271" s="45" t="str">
        <f aca="false">IF($D271="","",COUNTA($D$5:$D271))</f>
        <v/>
      </c>
      <c r="B271" s="46"/>
      <c r="C271" s="47"/>
      <c r="D271" s="48"/>
      <c r="E271" s="48"/>
      <c r="F271" s="49"/>
      <c r="G271" s="47"/>
      <c r="H271" s="50"/>
      <c r="I271" s="50"/>
      <c r="J271" s="51" t="str">
        <f aca="false">IF(OR($V271="",$W271=""),"",ROUND(($W271-$V271)/60,2))</f>
        <v/>
      </c>
      <c r="K271" s="52" t="str">
        <f aca="false">IF($F271="","",LEN($F271)-LEN(SUBSTITUTE($F271,",",""))+1)</f>
        <v/>
      </c>
      <c r="L271" s="45" t="str">
        <f aca="false">IF($K271="","","1:"&amp;$K271)</f>
        <v/>
      </c>
      <c r="M271" s="46"/>
      <c r="N271" s="53"/>
      <c r="O271" s="46"/>
      <c r="P271" s="47"/>
      <c r="Q271" s="48"/>
      <c r="R271" s="49"/>
      <c r="S271" s="54" t="str">
        <f aca="false">IF(OR($AC271=0,$U271="",$M271="",$V271="",$W271=""),"",IF(COUNTIFS(m_teacher,$M271,m_date,$U271,m_active,1,m_start,"&lt;"&amp;$W271,m_end,"&gt;"&amp;$V271)&gt;1,"충돌",""))</f>
        <v/>
      </c>
      <c r="T271" s="48"/>
      <c r="U271" s="55" t="str">
        <f aca="false">IF($G271="","",IFERROR(IF(ISNUMBER($G271),IF($G271&gt;19000000,DATE(INT($G271/10000),MOD(INT($G271/100),100),MOD($G271,100)),INT($G271)),IF(LEN(SUBSTITUTE(SUBSTITUTE(SUBSTITUTE(TRIM($G271),"-",""),".",""),"/",""))=8,DATE(VALUE(LEFT(SUBSTITUTE(SUBSTITUTE(SUBSTITUTE(TRIM($G271),"-",""),".",""),"/",""),4)),VALUE(MID(SUBSTITUTE(SUBSTITUTE(SUBSTITUTE(TRIM($G271),"-",""),".",""),"/",""),5,2)),VALUE(RIGHT(SUBSTITUTE(SUBSTITUTE(SUBSTITUTE(TRIM($G271),"-",""),".",""),"/",""),2))),DATEVALUE($G271))),""))</f>
        <v/>
      </c>
      <c r="V271" s="52" t="str">
        <f aca="false">IF($H271="","",IFERROR(IF(IF(ISNUMBER($H271),$H271,IFERROR(TIMEVALUE($H271),VALUE($H271)))&gt;=100,INT(IF(ISNUMBER($H271),$H271,IFERROR(TIMEVALUE($H271),VALUE($H271)))/100)*60+MOD(IF(ISNUMBER($H271),$H271,IFERROR(TIMEVALUE($H271),VALUE($H271))),100),IF(IF(ISNUMBER($H271),$H271,IFERROR(TIMEVALUE($H271),VALUE($H271)))&gt;=1,ROUND(IF(ISNUMBER($H271),$H271,IFERROR(TIMEVALUE($H271),VALUE($H271)))*60,0),ROUND(MOD(IF(ISNUMBER($H271),$H271,IFERROR(TIMEVALUE($H271),VALUE($H271))),1)*1440,0))),""))</f>
        <v/>
      </c>
      <c r="W271" s="52" t="str">
        <f aca="false">IF($I271="","",IFERROR(IF(IF(ISNUMBER($I271),$I271,IFERROR(TIMEVALUE($I271),VALUE($I271)))&gt;=100,INT(IF(ISNUMBER($I271),$I271,IFERROR(TIMEVALUE($I271),VALUE($I271)))/100)*60+MOD(IF(ISNUMBER($I271),$I271,IFERROR(TIMEVALUE($I271),VALUE($I271))),100),IF(IF(ISNUMBER($I271),$I271,IFERROR(TIMEVALUE($I271),VALUE($I271)))&gt;=1,ROUND(IF(ISNUMBER($I271),$I271,IFERROR(TIMEVALUE($I271),VALUE($I271)))*60,0),ROUND(MOD(IF(ISNUMBER($I271),$I271,IFERROR(TIMEVALUE($I271),VALUE($I271))),1)*1440,0))),""))</f>
        <v/>
      </c>
      <c r="X271" s="55" t="str">
        <f aca="false">IF($P271="","",IFERROR(IF(ISNUMBER($P271),IF($P271&gt;19000000,DATE(INT($P271/10000),MOD(INT($P271/100),100),MOD($P271,100)),INT($P271)),IF(LEN(SUBSTITUTE(SUBSTITUTE(SUBSTITUTE(TRIM($P271),"-",""),".",""),"/",""))=8,DATE(VALUE(LEFT(SUBSTITUTE(SUBSTITUTE(SUBSTITUTE(TRIM($P271),"-",""),".",""),"/",""),4)),VALUE(MID(SUBSTITUTE(SUBSTITUTE(SUBSTITUTE(TRIM($P271),"-",""),".",""),"/",""),5,2)),VALUE(RIGHT(SUBSTITUTE(SUBSTITUTE(SUBSTITUTE(TRIM($P271),"-",""),".",""),"/",""),2))),DATEVALUE($P271))),""))</f>
        <v/>
      </c>
      <c r="Y271" s="56" t="str">
        <f aca="false">IF($M271="","",IFERROR(INDEX(강사DB!$D$4:$D$53,MATCH($M271,강사DB!$A$4:$A$53,0)),""))</f>
        <v/>
      </c>
      <c r="Z271" s="56" t="str">
        <f aca="false">IF($B271&lt;&gt;"결제완료","",IF(OR($Y271="",$J271=""),"",$Y271*$J271+MAX(0,N($K271)-1)*설정!$J$7))</f>
        <v/>
      </c>
      <c r="AA271" s="56" t="str">
        <f aca="false">IF(AND($D271&lt;&gt;"",$B271="결제완료"),N($N271),"")</f>
        <v/>
      </c>
      <c r="AB271" s="45" t="str">
        <f aca="false">IF($D271="","",IF($F271&lt;&gt;"",$F271,$D271)&amp;IF($B271="상담중"," (상담)",""))</f>
        <v/>
      </c>
      <c r="AC271" s="45" t="n">
        <f aca="false">IF(AND($D271&lt;&gt;"",OR($B271="결제완료",$B271="상담중")),1,0)</f>
        <v>0</v>
      </c>
      <c r="AD271" s="45" t="n">
        <f aca="false">IF(OR($Z271="",$U271=""),0,IFERROR(IF(COUNTIFS(INDEX(g_grid,0,2*MATCH($M271,강사DB!$A$4:$A$15,0)),"&lt;&gt;",g_s,"&lt;="&amp;$U271,g_e,"&gt;="&amp;$U271)&gt;0,1,0),0))</f>
        <v>0</v>
      </c>
      <c r="AE271" s="48"/>
      <c r="AF271" s="56" t="str">
        <f aca="false">IF(AND($D271&lt;&gt;"",$B271="결제완료",$T271="대여"),설정!$J$5,"")</f>
        <v/>
      </c>
      <c r="AG271" s="54" t="str">
        <f aca="false">IF($D271="","",IF(AND($E271="",$R271=""),$AB271,"☎ "&amp;IF($E271="","-",$E271)&amp;IF($R271&lt;&gt;"","  ※ "&amp;$R271,"")&amp;IF($B271="상담중"," (상담)","")))</f>
        <v/>
      </c>
      <c r="AH271" s="56" t="str">
        <f aca="false">IF(AND($D271&lt;&gt;"",$B271="결제완료",$O271="스마트스토어"),ROUND(N($N271)*설정!$J$6,0),"")</f>
        <v/>
      </c>
      <c r="AI271" s="54" t="str">
        <f aca="false">IF($D271="","",ROW())</f>
        <v/>
      </c>
      <c r="AJ271" s="54" t="n">
        <f aca="false">IF(OR($AC271&lt;&gt;1,$M271=""),0,IF(ISNUMBER(SEARCH("퇴사",IFERROR(INDEX(강사DB!$G$4:$G$53,MATCH($M271,강사DB!$A$4:$A$53,0)),""))),1,0))</f>
        <v>0</v>
      </c>
    </row>
    <row r="272" customFormat="false" ht="15" hidden="false" customHeight="false" outlineLevel="0" collapsed="false">
      <c r="A272" s="45" t="str">
        <f aca="false">IF($D272="","",COUNTA($D$5:$D272))</f>
        <v/>
      </c>
      <c r="B272" s="46"/>
      <c r="C272" s="47"/>
      <c r="D272" s="48"/>
      <c r="E272" s="48"/>
      <c r="F272" s="49"/>
      <c r="G272" s="47"/>
      <c r="H272" s="50"/>
      <c r="I272" s="50"/>
      <c r="J272" s="51" t="str">
        <f aca="false">IF(OR($V272="",$W272=""),"",ROUND(($W272-$V272)/60,2))</f>
        <v/>
      </c>
      <c r="K272" s="52" t="str">
        <f aca="false">IF($F272="","",LEN($F272)-LEN(SUBSTITUTE($F272,",",""))+1)</f>
        <v/>
      </c>
      <c r="L272" s="45" t="str">
        <f aca="false">IF($K272="","","1:"&amp;$K272)</f>
        <v/>
      </c>
      <c r="M272" s="46"/>
      <c r="N272" s="53"/>
      <c r="O272" s="46"/>
      <c r="P272" s="47"/>
      <c r="Q272" s="48"/>
      <c r="R272" s="49"/>
      <c r="S272" s="54" t="str">
        <f aca="false">IF(OR($AC272=0,$U272="",$M272="",$V272="",$W272=""),"",IF(COUNTIFS(m_teacher,$M272,m_date,$U272,m_active,1,m_start,"&lt;"&amp;$W272,m_end,"&gt;"&amp;$V272)&gt;1,"충돌",""))</f>
        <v/>
      </c>
      <c r="T272" s="48"/>
      <c r="U272" s="55" t="str">
        <f aca="false">IF($G272="","",IFERROR(IF(ISNUMBER($G272),IF($G272&gt;19000000,DATE(INT($G272/10000),MOD(INT($G272/100),100),MOD($G272,100)),INT($G272)),IF(LEN(SUBSTITUTE(SUBSTITUTE(SUBSTITUTE(TRIM($G272),"-",""),".",""),"/",""))=8,DATE(VALUE(LEFT(SUBSTITUTE(SUBSTITUTE(SUBSTITUTE(TRIM($G272),"-",""),".",""),"/",""),4)),VALUE(MID(SUBSTITUTE(SUBSTITUTE(SUBSTITUTE(TRIM($G272),"-",""),".",""),"/",""),5,2)),VALUE(RIGHT(SUBSTITUTE(SUBSTITUTE(SUBSTITUTE(TRIM($G272),"-",""),".",""),"/",""),2))),DATEVALUE($G272))),""))</f>
        <v/>
      </c>
      <c r="V272" s="52" t="str">
        <f aca="false">IF($H272="","",IFERROR(IF(IF(ISNUMBER($H272),$H272,IFERROR(TIMEVALUE($H272),VALUE($H272)))&gt;=100,INT(IF(ISNUMBER($H272),$H272,IFERROR(TIMEVALUE($H272),VALUE($H272)))/100)*60+MOD(IF(ISNUMBER($H272),$H272,IFERROR(TIMEVALUE($H272),VALUE($H272))),100),IF(IF(ISNUMBER($H272),$H272,IFERROR(TIMEVALUE($H272),VALUE($H272)))&gt;=1,ROUND(IF(ISNUMBER($H272),$H272,IFERROR(TIMEVALUE($H272),VALUE($H272)))*60,0),ROUND(MOD(IF(ISNUMBER($H272),$H272,IFERROR(TIMEVALUE($H272),VALUE($H272))),1)*1440,0))),""))</f>
        <v/>
      </c>
      <c r="W272" s="52" t="str">
        <f aca="false">IF($I272="","",IFERROR(IF(IF(ISNUMBER($I272),$I272,IFERROR(TIMEVALUE($I272),VALUE($I272)))&gt;=100,INT(IF(ISNUMBER($I272),$I272,IFERROR(TIMEVALUE($I272),VALUE($I272)))/100)*60+MOD(IF(ISNUMBER($I272),$I272,IFERROR(TIMEVALUE($I272),VALUE($I272))),100),IF(IF(ISNUMBER($I272),$I272,IFERROR(TIMEVALUE($I272),VALUE($I272)))&gt;=1,ROUND(IF(ISNUMBER($I272),$I272,IFERROR(TIMEVALUE($I272),VALUE($I272)))*60,0),ROUND(MOD(IF(ISNUMBER($I272),$I272,IFERROR(TIMEVALUE($I272),VALUE($I272))),1)*1440,0))),""))</f>
        <v/>
      </c>
      <c r="X272" s="55" t="str">
        <f aca="false">IF($P272="","",IFERROR(IF(ISNUMBER($P272),IF($P272&gt;19000000,DATE(INT($P272/10000),MOD(INT($P272/100),100),MOD($P272,100)),INT($P272)),IF(LEN(SUBSTITUTE(SUBSTITUTE(SUBSTITUTE(TRIM($P272),"-",""),".",""),"/",""))=8,DATE(VALUE(LEFT(SUBSTITUTE(SUBSTITUTE(SUBSTITUTE(TRIM($P272),"-",""),".",""),"/",""),4)),VALUE(MID(SUBSTITUTE(SUBSTITUTE(SUBSTITUTE(TRIM($P272),"-",""),".",""),"/",""),5,2)),VALUE(RIGHT(SUBSTITUTE(SUBSTITUTE(SUBSTITUTE(TRIM($P272),"-",""),".",""),"/",""),2))),DATEVALUE($P272))),""))</f>
        <v/>
      </c>
      <c r="Y272" s="56" t="str">
        <f aca="false">IF($M272="","",IFERROR(INDEX(강사DB!$D$4:$D$53,MATCH($M272,강사DB!$A$4:$A$53,0)),""))</f>
        <v/>
      </c>
      <c r="Z272" s="56" t="str">
        <f aca="false">IF($B272&lt;&gt;"결제완료","",IF(OR($Y272="",$J272=""),"",$Y272*$J272+MAX(0,N($K272)-1)*설정!$J$7))</f>
        <v/>
      </c>
      <c r="AA272" s="56" t="str">
        <f aca="false">IF(AND($D272&lt;&gt;"",$B272="결제완료"),N($N272),"")</f>
        <v/>
      </c>
      <c r="AB272" s="45" t="str">
        <f aca="false">IF($D272="","",IF($F272&lt;&gt;"",$F272,$D272)&amp;IF($B272="상담중"," (상담)",""))</f>
        <v/>
      </c>
      <c r="AC272" s="45" t="n">
        <f aca="false">IF(AND($D272&lt;&gt;"",OR($B272="결제완료",$B272="상담중")),1,0)</f>
        <v>0</v>
      </c>
      <c r="AD272" s="45" t="n">
        <f aca="false">IF(OR($Z272="",$U272=""),0,IFERROR(IF(COUNTIFS(INDEX(g_grid,0,2*MATCH($M272,강사DB!$A$4:$A$15,0)),"&lt;&gt;",g_s,"&lt;="&amp;$U272,g_e,"&gt;="&amp;$U272)&gt;0,1,0),0))</f>
        <v>0</v>
      </c>
      <c r="AE272" s="48"/>
      <c r="AF272" s="56" t="str">
        <f aca="false">IF(AND($D272&lt;&gt;"",$B272="결제완료",$T272="대여"),설정!$J$5,"")</f>
        <v/>
      </c>
      <c r="AG272" s="54" t="str">
        <f aca="false">IF($D272="","",IF(AND($E272="",$R272=""),$AB272,"☎ "&amp;IF($E272="","-",$E272)&amp;IF($R272&lt;&gt;"","  ※ "&amp;$R272,"")&amp;IF($B272="상담중"," (상담)","")))</f>
        <v/>
      </c>
      <c r="AH272" s="56" t="str">
        <f aca="false">IF(AND($D272&lt;&gt;"",$B272="결제완료",$O272="스마트스토어"),ROUND(N($N272)*설정!$J$6,0),"")</f>
        <v/>
      </c>
      <c r="AI272" s="54" t="str">
        <f aca="false">IF($D272="","",ROW())</f>
        <v/>
      </c>
      <c r="AJ272" s="54" t="n">
        <f aca="false">IF(OR($AC272&lt;&gt;1,$M272=""),0,IF(ISNUMBER(SEARCH("퇴사",IFERROR(INDEX(강사DB!$G$4:$G$53,MATCH($M272,강사DB!$A$4:$A$53,0)),""))),1,0))</f>
        <v>0</v>
      </c>
    </row>
    <row r="273" customFormat="false" ht="15" hidden="false" customHeight="false" outlineLevel="0" collapsed="false">
      <c r="A273" s="45" t="str">
        <f aca="false">IF($D273="","",COUNTA($D$5:$D273))</f>
        <v/>
      </c>
      <c r="B273" s="46"/>
      <c r="C273" s="47"/>
      <c r="D273" s="48"/>
      <c r="E273" s="48"/>
      <c r="F273" s="49"/>
      <c r="G273" s="47"/>
      <c r="H273" s="50"/>
      <c r="I273" s="50"/>
      <c r="J273" s="51" t="str">
        <f aca="false">IF(OR($V273="",$W273=""),"",ROUND(($W273-$V273)/60,2))</f>
        <v/>
      </c>
      <c r="K273" s="52" t="str">
        <f aca="false">IF($F273="","",LEN($F273)-LEN(SUBSTITUTE($F273,",",""))+1)</f>
        <v/>
      </c>
      <c r="L273" s="45" t="str">
        <f aca="false">IF($K273="","","1:"&amp;$K273)</f>
        <v/>
      </c>
      <c r="M273" s="46"/>
      <c r="N273" s="53"/>
      <c r="O273" s="46"/>
      <c r="P273" s="47"/>
      <c r="Q273" s="48"/>
      <c r="R273" s="49"/>
      <c r="S273" s="54" t="str">
        <f aca="false">IF(OR($AC273=0,$U273="",$M273="",$V273="",$W273=""),"",IF(COUNTIFS(m_teacher,$M273,m_date,$U273,m_active,1,m_start,"&lt;"&amp;$W273,m_end,"&gt;"&amp;$V273)&gt;1,"충돌",""))</f>
        <v/>
      </c>
      <c r="T273" s="48"/>
      <c r="U273" s="55" t="str">
        <f aca="false">IF($G273="","",IFERROR(IF(ISNUMBER($G273),IF($G273&gt;19000000,DATE(INT($G273/10000),MOD(INT($G273/100),100),MOD($G273,100)),INT($G273)),IF(LEN(SUBSTITUTE(SUBSTITUTE(SUBSTITUTE(TRIM($G273),"-",""),".",""),"/",""))=8,DATE(VALUE(LEFT(SUBSTITUTE(SUBSTITUTE(SUBSTITUTE(TRIM($G273),"-",""),".",""),"/",""),4)),VALUE(MID(SUBSTITUTE(SUBSTITUTE(SUBSTITUTE(TRIM($G273),"-",""),".",""),"/",""),5,2)),VALUE(RIGHT(SUBSTITUTE(SUBSTITUTE(SUBSTITUTE(TRIM($G273),"-",""),".",""),"/",""),2))),DATEVALUE($G273))),""))</f>
        <v/>
      </c>
      <c r="V273" s="52" t="str">
        <f aca="false">IF($H273="","",IFERROR(IF(IF(ISNUMBER($H273),$H273,IFERROR(TIMEVALUE($H273),VALUE($H273)))&gt;=100,INT(IF(ISNUMBER($H273),$H273,IFERROR(TIMEVALUE($H273),VALUE($H273)))/100)*60+MOD(IF(ISNUMBER($H273),$H273,IFERROR(TIMEVALUE($H273),VALUE($H273))),100),IF(IF(ISNUMBER($H273),$H273,IFERROR(TIMEVALUE($H273),VALUE($H273)))&gt;=1,ROUND(IF(ISNUMBER($H273),$H273,IFERROR(TIMEVALUE($H273),VALUE($H273)))*60,0),ROUND(MOD(IF(ISNUMBER($H273),$H273,IFERROR(TIMEVALUE($H273),VALUE($H273))),1)*1440,0))),""))</f>
        <v/>
      </c>
      <c r="W273" s="52" t="str">
        <f aca="false">IF($I273="","",IFERROR(IF(IF(ISNUMBER($I273),$I273,IFERROR(TIMEVALUE($I273),VALUE($I273)))&gt;=100,INT(IF(ISNUMBER($I273),$I273,IFERROR(TIMEVALUE($I273),VALUE($I273)))/100)*60+MOD(IF(ISNUMBER($I273),$I273,IFERROR(TIMEVALUE($I273),VALUE($I273))),100),IF(IF(ISNUMBER($I273),$I273,IFERROR(TIMEVALUE($I273),VALUE($I273)))&gt;=1,ROUND(IF(ISNUMBER($I273),$I273,IFERROR(TIMEVALUE($I273),VALUE($I273)))*60,0),ROUND(MOD(IF(ISNUMBER($I273),$I273,IFERROR(TIMEVALUE($I273),VALUE($I273))),1)*1440,0))),""))</f>
        <v/>
      </c>
      <c r="X273" s="55" t="str">
        <f aca="false">IF($P273="","",IFERROR(IF(ISNUMBER($P273),IF($P273&gt;19000000,DATE(INT($P273/10000),MOD(INT($P273/100),100),MOD($P273,100)),INT($P273)),IF(LEN(SUBSTITUTE(SUBSTITUTE(SUBSTITUTE(TRIM($P273),"-",""),".",""),"/",""))=8,DATE(VALUE(LEFT(SUBSTITUTE(SUBSTITUTE(SUBSTITUTE(TRIM($P273),"-",""),".",""),"/",""),4)),VALUE(MID(SUBSTITUTE(SUBSTITUTE(SUBSTITUTE(TRIM($P273),"-",""),".",""),"/",""),5,2)),VALUE(RIGHT(SUBSTITUTE(SUBSTITUTE(SUBSTITUTE(TRIM($P273),"-",""),".",""),"/",""),2))),DATEVALUE($P273))),""))</f>
        <v/>
      </c>
      <c r="Y273" s="56" t="str">
        <f aca="false">IF($M273="","",IFERROR(INDEX(강사DB!$D$4:$D$53,MATCH($M273,강사DB!$A$4:$A$53,0)),""))</f>
        <v/>
      </c>
      <c r="Z273" s="56" t="str">
        <f aca="false">IF($B273&lt;&gt;"결제완료","",IF(OR($Y273="",$J273=""),"",$Y273*$J273+MAX(0,N($K273)-1)*설정!$J$7))</f>
        <v/>
      </c>
      <c r="AA273" s="56" t="str">
        <f aca="false">IF(AND($D273&lt;&gt;"",$B273="결제완료"),N($N273),"")</f>
        <v/>
      </c>
      <c r="AB273" s="45" t="str">
        <f aca="false">IF($D273="","",IF($F273&lt;&gt;"",$F273,$D273)&amp;IF($B273="상담중"," (상담)",""))</f>
        <v/>
      </c>
      <c r="AC273" s="45" t="n">
        <f aca="false">IF(AND($D273&lt;&gt;"",OR($B273="결제완료",$B273="상담중")),1,0)</f>
        <v>0</v>
      </c>
      <c r="AD273" s="45" t="n">
        <f aca="false">IF(OR($Z273="",$U273=""),0,IFERROR(IF(COUNTIFS(INDEX(g_grid,0,2*MATCH($M273,강사DB!$A$4:$A$15,0)),"&lt;&gt;",g_s,"&lt;="&amp;$U273,g_e,"&gt;="&amp;$U273)&gt;0,1,0),0))</f>
        <v>0</v>
      </c>
      <c r="AE273" s="48"/>
      <c r="AF273" s="56" t="str">
        <f aca="false">IF(AND($D273&lt;&gt;"",$B273="결제완료",$T273="대여"),설정!$J$5,"")</f>
        <v/>
      </c>
      <c r="AG273" s="54" t="str">
        <f aca="false">IF($D273="","",IF(AND($E273="",$R273=""),$AB273,"☎ "&amp;IF($E273="","-",$E273)&amp;IF($R273&lt;&gt;"","  ※ "&amp;$R273,"")&amp;IF($B273="상담중"," (상담)","")))</f>
        <v/>
      </c>
      <c r="AH273" s="56" t="str">
        <f aca="false">IF(AND($D273&lt;&gt;"",$B273="결제완료",$O273="스마트스토어"),ROUND(N($N273)*설정!$J$6,0),"")</f>
        <v/>
      </c>
      <c r="AI273" s="54" t="str">
        <f aca="false">IF($D273="","",ROW())</f>
        <v/>
      </c>
      <c r="AJ273" s="54" t="n">
        <f aca="false">IF(OR($AC273&lt;&gt;1,$M273=""),0,IF(ISNUMBER(SEARCH("퇴사",IFERROR(INDEX(강사DB!$G$4:$G$53,MATCH($M273,강사DB!$A$4:$A$53,0)),""))),1,0))</f>
        <v>0</v>
      </c>
    </row>
    <row r="274" customFormat="false" ht="15" hidden="false" customHeight="false" outlineLevel="0" collapsed="false">
      <c r="A274" s="45" t="str">
        <f aca="false">IF($D274="","",COUNTA($D$5:$D274))</f>
        <v/>
      </c>
      <c r="B274" s="46"/>
      <c r="C274" s="47"/>
      <c r="D274" s="48"/>
      <c r="E274" s="48"/>
      <c r="F274" s="49"/>
      <c r="G274" s="47"/>
      <c r="H274" s="50"/>
      <c r="I274" s="50"/>
      <c r="J274" s="51" t="str">
        <f aca="false">IF(OR($V274="",$W274=""),"",ROUND(($W274-$V274)/60,2))</f>
        <v/>
      </c>
      <c r="K274" s="52" t="str">
        <f aca="false">IF($F274="","",LEN($F274)-LEN(SUBSTITUTE($F274,",",""))+1)</f>
        <v/>
      </c>
      <c r="L274" s="45" t="str">
        <f aca="false">IF($K274="","","1:"&amp;$K274)</f>
        <v/>
      </c>
      <c r="M274" s="46"/>
      <c r="N274" s="53"/>
      <c r="O274" s="46"/>
      <c r="P274" s="47"/>
      <c r="Q274" s="48"/>
      <c r="R274" s="49"/>
      <c r="S274" s="54" t="str">
        <f aca="false">IF(OR($AC274=0,$U274="",$M274="",$V274="",$W274=""),"",IF(COUNTIFS(m_teacher,$M274,m_date,$U274,m_active,1,m_start,"&lt;"&amp;$W274,m_end,"&gt;"&amp;$V274)&gt;1,"충돌",""))</f>
        <v/>
      </c>
      <c r="T274" s="48"/>
      <c r="U274" s="55" t="str">
        <f aca="false">IF($G274="","",IFERROR(IF(ISNUMBER($G274),IF($G274&gt;19000000,DATE(INT($G274/10000),MOD(INT($G274/100),100),MOD($G274,100)),INT($G274)),IF(LEN(SUBSTITUTE(SUBSTITUTE(SUBSTITUTE(TRIM($G274),"-",""),".",""),"/",""))=8,DATE(VALUE(LEFT(SUBSTITUTE(SUBSTITUTE(SUBSTITUTE(TRIM($G274),"-",""),".",""),"/",""),4)),VALUE(MID(SUBSTITUTE(SUBSTITUTE(SUBSTITUTE(TRIM($G274),"-",""),".",""),"/",""),5,2)),VALUE(RIGHT(SUBSTITUTE(SUBSTITUTE(SUBSTITUTE(TRIM($G274),"-",""),".",""),"/",""),2))),DATEVALUE($G274))),""))</f>
        <v/>
      </c>
      <c r="V274" s="52" t="str">
        <f aca="false">IF($H274="","",IFERROR(IF(IF(ISNUMBER($H274),$H274,IFERROR(TIMEVALUE($H274),VALUE($H274)))&gt;=100,INT(IF(ISNUMBER($H274),$H274,IFERROR(TIMEVALUE($H274),VALUE($H274)))/100)*60+MOD(IF(ISNUMBER($H274),$H274,IFERROR(TIMEVALUE($H274),VALUE($H274))),100),IF(IF(ISNUMBER($H274),$H274,IFERROR(TIMEVALUE($H274),VALUE($H274)))&gt;=1,ROUND(IF(ISNUMBER($H274),$H274,IFERROR(TIMEVALUE($H274),VALUE($H274)))*60,0),ROUND(MOD(IF(ISNUMBER($H274),$H274,IFERROR(TIMEVALUE($H274),VALUE($H274))),1)*1440,0))),""))</f>
        <v/>
      </c>
      <c r="W274" s="52" t="str">
        <f aca="false">IF($I274="","",IFERROR(IF(IF(ISNUMBER($I274),$I274,IFERROR(TIMEVALUE($I274),VALUE($I274)))&gt;=100,INT(IF(ISNUMBER($I274),$I274,IFERROR(TIMEVALUE($I274),VALUE($I274)))/100)*60+MOD(IF(ISNUMBER($I274),$I274,IFERROR(TIMEVALUE($I274),VALUE($I274))),100),IF(IF(ISNUMBER($I274),$I274,IFERROR(TIMEVALUE($I274),VALUE($I274)))&gt;=1,ROUND(IF(ISNUMBER($I274),$I274,IFERROR(TIMEVALUE($I274),VALUE($I274)))*60,0),ROUND(MOD(IF(ISNUMBER($I274),$I274,IFERROR(TIMEVALUE($I274),VALUE($I274))),1)*1440,0))),""))</f>
        <v/>
      </c>
      <c r="X274" s="55" t="str">
        <f aca="false">IF($P274="","",IFERROR(IF(ISNUMBER($P274),IF($P274&gt;19000000,DATE(INT($P274/10000),MOD(INT($P274/100),100),MOD($P274,100)),INT($P274)),IF(LEN(SUBSTITUTE(SUBSTITUTE(SUBSTITUTE(TRIM($P274),"-",""),".",""),"/",""))=8,DATE(VALUE(LEFT(SUBSTITUTE(SUBSTITUTE(SUBSTITUTE(TRIM($P274),"-",""),".",""),"/",""),4)),VALUE(MID(SUBSTITUTE(SUBSTITUTE(SUBSTITUTE(TRIM($P274),"-",""),".",""),"/",""),5,2)),VALUE(RIGHT(SUBSTITUTE(SUBSTITUTE(SUBSTITUTE(TRIM($P274),"-",""),".",""),"/",""),2))),DATEVALUE($P274))),""))</f>
        <v/>
      </c>
      <c r="Y274" s="56" t="str">
        <f aca="false">IF($M274="","",IFERROR(INDEX(강사DB!$D$4:$D$53,MATCH($M274,강사DB!$A$4:$A$53,0)),""))</f>
        <v/>
      </c>
      <c r="Z274" s="56" t="str">
        <f aca="false">IF($B274&lt;&gt;"결제완료","",IF(OR($Y274="",$J274=""),"",$Y274*$J274+MAX(0,N($K274)-1)*설정!$J$7))</f>
        <v/>
      </c>
      <c r="AA274" s="56" t="str">
        <f aca="false">IF(AND($D274&lt;&gt;"",$B274="결제완료"),N($N274),"")</f>
        <v/>
      </c>
      <c r="AB274" s="45" t="str">
        <f aca="false">IF($D274="","",IF($F274&lt;&gt;"",$F274,$D274)&amp;IF($B274="상담중"," (상담)",""))</f>
        <v/>
      </c>
      <c r="AC274" s="45" t="n">
        <f aca="false">IF(AND($D274&lt;&gt;"",OR($B274="결제완료",$B274="상담중")),1,0)</f>
        <v>0</v>
      </c>
      <c r="AD274" s="45" t="n">
        <f aca="false">IF(OR($Z274="",$U274=""),0,IFERROR(IF(COUNTIFS(INDEX(g_grid,0,2*MATCH($M274,강사DB!$A$4:$A$15,0)),"&lt;&gt;",g_s,"&lt;="&amp;$U274,g_e,"&gt;="&amp;$U274)&gt;0,1,0),0))</f>
        <v>0</v>
      </c>
      <c r="AE274" s="48"/>
      <c r="AF274" s="56" t="str">
        <f aca="false">IF(AND($D274&lt;&gt;"",$B274="결제완료",$T274="대여"),설정!$J$5,"")</f>
        <v/>
      </c>
      <c r="AG274" s="54" t="str">
        <f aca="false">IF($D274="","",IF(AND($E274="",$R274=""),$AB274,"☎ "&amp;IF($E274="","-",$E274)&amp;IF($R274&lt;&gt;"","  ※ "&amp;$R274,"")&amp;IF($B274="상담중"," (상담)","")))</f>
        <v/>
      </c>
      <c r="AH274" s="56" t="str">
        <f aca="false">IF(AND($D274&lt;&gt;"",$B274="결제완료",$O274="스마트스토어"),ROUND(N($N274)*설정!$J$6,0),"")</f>
        <v/>
      </c>
      <c r="AI274" s="54" t="str">
        <f aca="false">IF($D274="","",ROW())</f>
        <v/>
      </c>
      <c r="AJ274" s="54" t="n">
        <f aca="false">IF(OR($AC274&lt;&gt;1,$M274=""),0,IF(ISNUMBER(SEARCH("퇴사",IFERROR(INDEX(강사DB!$G$4:$G$53,MATCH($M274,강사DB!$A$4:$A$53,0)),""))),1,0))</f>
        <v>0</v>
      </c>
    </row>
    <row r="275" customFormat="false" ht="15" hidden="false" customHeight="false" outlineLevel="0" collapsed="false">
      <c r="A275" s="45" t="str">
        <f aca="false">IF($D275="","",COUNTA($D$5:$D275))</f>
        <v/>
      </c>
      <c r="B275" s="46"/>
      <c r="C275" s="47"/>
      <c r="D275" s="48"/>
      <c r="E275" s="48"/>
      <c r="F275" s="49"/>
      <c r="G275" s="47"/>
      <c r="H275" s="50"/>
      <c r="I275" s="50"/>
      <c r="J275" s="51" t="str">
        <f aca="false">IF(OR($V275="",$W275=""),"",ROUND(($W275-$V275)/60,2))</f>
        <v/>
      </c>
      <c r="K275" s="52" t="str">
        <f aca="false">IF($F275="","",LEN($F275)-LEN(SUBSTITUTE($F275,",",""))+1)</f>
        <v/>
      </c>
      <c r="L275" s="45" t="str">
        <f aca="false">IF($K275="","","1:"&amp;$K275)</f>
        <v/>
      </c>
      <c r="M275" s="46"/>
      <c r="N275" s="53"/>
      <c r="O275" s="46"/>
      <c r="P275" s="47"/>
      <c r="Q275" s="48"/>
      <c r="R275" s="49"/>
      <c r="S275" s="54" t="str">
        <f aca="false">IF(OR($AC275=0,$U275="",$M275="",$V275="",$W275=""),"",IF(COUNTIFS(m_teacher,$M275,m_date,$U275,m_active,1,m_start,"&lt;"&amp;$W275,m_end,"&gt;"&amp;$V275)&gt;1,"충돌",""))</f>
        <v/>
      </c>
      <c r="T275" s="48"/>
      <c r="U275" s="55" t="str">
        <f aca="false">IF($G275="","",IFERROR(IF(ISNUMBER($G275),IF($G275&gt;19000000,DATE(INT($G275/10000),MOD(INT($G275/100),100),MOD($G275,100)),INT($G275)),IF(LEN(SUBSTITUTE(SUBSTITUTE(SUBSTITUTE(TRIM($G275),"-",""),".",""),"/",""))=8,DATE(VALUE(LEFT(SUBSTITUTE(SUBSTITUTE(SUBSTITUTE(TRIM($G275),"-",""),".",""),"/",""),4)),VALUE(MID(SUBSTITUTE(SUBSTITUTE(SUBSTITUTE(TRIM($G275),"-",""),".",""),"/",""),5,2)),VALUE(RIGHT(SUBSTITUTE(SUBSTITUTE(SUBSTITUTE(TRIM($G275),"-",""),".",""),"/",""),2))),DATEVALUE($G275))),""))</f>
        <v/>
      </c>
      <c r="V275" s="52" t="str">
        <f aca="false">IF($H275="","",IFERROR(IF(IF(ISNUMBER($H275),$H275,IFERROR(TIMEVALUE($H275),VALUE($H275)))&gt;=100,INT(IF(ISNUMBER($H275),$H275,IFERROR(TIMEVALUE($H275),VALUE($H275)))/100)*60+MOD(IF(ISNUMBER($H275),$H275,IFERROR(TIMEVALUE($H275),VALUE($H275))),100),IF(IF(ISNUMBER($H275),$H275,IFERROR(TIMEVALUE($H275),VALUE($H275)))&gt;=1,ROUND(IF(ISNUMBER($H275),$H275,IFERROR(TIMEVALUE($H275),VALUE($H275)))*60,0),ROUND(MOD(IF(ISNUMBER($H275),$H275,IFERROR(TIMEVALUE($H275),VALUE($H275))),1)*1440,0))),""))</f>
        <v/>
      </c>
      <c r="W275" s="52" t="str">
        <f aca="false">IF($I275="","",IFERROR(IF(IF(ISNUMBER($I275),$I275,IFERROR(TIMEVALUE($I275),VALUE($I275)))&gt;=100,INT(IF(ISNUMBER($I275),$I275,IFERROR(TIMEVALUE($I275),VALUE($I275)))/100)*60+MOD(IF(ISNUMBER($I275),$I275,IFERROR(TIMEVALUE($I275),VALUE($I275))),100),IF(IF(ISNUMBER($I275),$I275,IFERROR(TIMEVALUE($I275),VALUE($I275)))&gt;=1,ROUND(IF(ISNUMBER($I275),$I275,IFERROR(TIMEVALUE($I275),VALUE($I275)))*60,0),ROUND(MOD(IF(ISNUMBER($I275),$I275,IFERROR(TIMEVALUE($I275),VALUE($I275))),1)*1440,0))),""))</f>
        <v/>
      </c>
      <c r="X275" s="55" t="str">
        <f aca="false">IF($P275="","",IFERROR(IF(ISNUMBER($P275),IF($P275&gt;19000000,DATE(INT($P275/10000),MOD(INT($P275/100),100),MOD($P275,100)),INT($P275)),IF(LEN(SUBSTITUTE(SUBSTITUTE(SUBSTITUTE(TRIM($P275),"-",""),".",""),"/",""))=8,DATE(VALUE(LEFT(SUBSTITUTE(SUBSTITUTE(SUBSTITUTE(TRIM($P275),"-",""),".",""),"/",""),4)),VALUE(MID(SUBSTITUTE(SUBSTITUTE(SUBSTITUTE(TRIM($P275),"-",""),".",""),"/",""),5,2)),VALUE(RIGHT(SUBSTITUTE(SUBSTITUTE(SUBSTITUTE(TRIM($P275),"-",""),".",""),"/",""),2))),DATEVALUE($P275))),""))</f>
        <v/>
      </c>
      <c r="Y275" s="56" t="str">
        <f aca="false">IF($M275="","",IFERROR(INDEX(강사DB!$D$4:$D$53,MATCH($M275,강사DB!$A$4:$A$53,0)),""))</f>
        <v/>
      </c>
      <c r="Z275" s="56" t="str">
        <f aca="false">IF($B275&lt;&gt;"결제완료","",IF(OR($Y275="",$J275=""),"",$Y275*$J275+MAX(0,N($K275)-1)*설정!$J$7))</f>
        <v/>
      </c>
      <c r="AA275" s="56" t="str">
        <f aca="false">IF(AND($D275&lt;&gt;"",$B275="결제완료"),N($N275),"")</f>
        <v/>
      </c>
      <c r="AB275" s="45" t="str">
        <f aca="false">IF($D275="","",IF($F275&lt;&gt;"",$F275,$D275)&amp;IF($B275="상담중"," (상담)",""))</f>
        <v/>
      </c>
      <c r="AC275" s="45" t="n">
        <f aca="false">IF(AND($D275&lt;&gt;"",OR($B275="결제완료",$B275="상담중")),1,0)</f>
        <v>0</v>
      </c>
      <c r="AD275" s="45" t="n">
        <f aca="false">IF(OR($Z275="",$U275=""),0,IFERROR(IF(COUNTIFS(INDEX(g_grid,0,2*MATCH($M275,강사DB!$A$4:$A$15,0)),"&lt;&gt;",g_s,"&lt;="&amp;$U275,g_e,"&gt;="&amp;$U275)&gt;0,1,0),0))</f>
        <v>0</v>
      </c>
      <c r="AE275" s="48"/>
      <c r="AF275" s="56" t="str">
        <f aca="false">IF(AND($D275&lt;&gt;"",$B275="결제완료",$T275="대여"),설정!$J$5,"")</f>
        <v/>
      </c>
      <c r="AG275" s="54" t="str">
        <f aca="false">IF($D275="","",IF(AND($E275="",$R275=""),$AB275,"☎ "&amp;IF($E275="","-",$E275)&amp;IF($R275&lt;&gt;"","  ※ "&amp;$R275,"")&amp;IF($B275="상담중"," (상담)","")))</f>
        <v/>
      </c>
      <c r="AH275" s="56" t="str">
        <f aca="false">IF(AND($D275&lt;&gt;"",$B275="결제완료",$O275="스마트스토어"),ROUND(N($N275)*설정!$J$6,0),"")</f>
        <v/>
      </c>
      <c r="AI275" s="54" t="str">
        <f aca="false">IF($D275="","",ROW())</f>
        <v/>
      </c>
      <c r="AJ275" s="54" t="n">
        <f aca="false">IF(OR($AC275&lt;&gt;1,$M275=""),0,IF(ISNUMBER(SEARCH("퇴사",IFERROR(INDEX(강사DB!$G$4:$G$53,MATCH($M275,강사DB!$A$4:$A$53,0)),""))),1,0))</f>
        <v>0</v>
      </c>
    </row>
    <row r="276" customFormat="false" ht="15" hidden="false" customHeight="false" outlineLevel="0" collapsed="false">
      <c r="A276" s="45" t="str">
        <f aca="false">IF($D276="","",COUNTA($D$5:$D276))</f>
        <v/>
      </c>
      <c r="B276" s="46"/>
      <c r="C276" s="47"/>
      <c r="D276" s="48"/>
      <c r="E276" s="48"/>
      <c r="F276" s="49"/>
      <c r="G276" s="47"/>
      <c r="H276" s="50"/>
      <c r="I276" s="50"/>
      <c r="J276" s="51" t="str">
        <f aca="false">IF(OR($V276="",$W276=""),"",ROUND(($W276-$V276)/60,2))</f>
        <v/>
      </c>
      <c r="K276" s="52" t="str">
        <f aca="false">IF($F276="","",LEN($F276)-LEN(SUBSTITUTE($F276,",",""))+1)</f>
        <v/>
      </c>
      <c r="L276" s="45" t="str">
        <f aca="false">IF($K276="","","1:"&amp;$K276)</f>
        <v/>
      </c>
      <c r="M276" s="46"/>
      <c r="N276" s="53"/>
      <c r="O276" s="46"/>
      <c r="P276" s="47"/>
      <c r="Q276" s="48"/>
      <c r="R276" s="49"/>
      <c r="S276" s="54" t="str">
        <f aca="false">IF(OR($AC276=0,$U276="",$M276="",$V276="",$W276=""),"",IF(COUNTIFS(m_teacher,$M276,m_date,$U276,m_active,1,m_start,"&lt;"&amp;$W276,m_end,"&gt;"&amp;$V276)&gt;1,"충돌",""))</f>
        <v/>
      </c>
      <c r="T276" s="48"/>
      <c r="U276" s="55" t="str">
        <f aca="false">IF($G276="","",IFERROR(IF(ISNUMBER($G276),IF($G276&gt;19000000,DATE(INT($G276/10000),MOD(INT($G276/100),100),MOD($G276,100)),INT($G276)),IF(LEN(SUBSTITUTE(SUBSTITUTE(SUBSTITUTE(TRIM($G276),"-",""),".",""),"/",""))=8,DATE(VALUE(LEFT(SUBSTITUTE(SUBSTITUTE(SUBSTITUTE(TRIM($G276),"-",""),".",""),"/",""),4)),VALUE(MID(SUBSTITUTE(SUBSTITUTE(SUBSTITUTE(TRIM($G276),"-",""),".",""),"/",""),5,2)),VALUE(RIGHT(SUBSTITUTE(SUBSTITUTE(SUBSTITUTE(TRIM($G276),"-",""),".",""),"/",""),2))),DATEVALUE($G276))),""))</f>
        <v/>
      </c>
      <c r="V276" s="52" t="str">
        <f aca="false">IF($H276="","",IFERROR(IF(IF(ISNUMBER($H276),$H276,IFERROR(TIMEVALUE($H276),VALUE($H276)))&gt;=100,INT(IF(ISNUMBER($H276),$H276,IFERROR(TIMEVALUE($H276),VALUE($H276)))/100)*60+MOD(IF(ISNUMBER($H276),$H276,IFERROR(TIMEVALUE($H276),VALUE($H276))),100),IF(IF(ISNUMBER($H276),$H276,IFERROR(TIMEVALUE($H276),VALUE($H276)))&gt;=1,ROUND(IF(ISNUMBER($H276),$H276,IFERROR(TIMEVALUE($H276),VALUE($H276)))*60,0),ROUND(MOD(IF(ISNUMBER($H276),$H276,IFERROR(TIMEVALUE($H276),VALUE($H276))),1)*1440,0))),""))</f>
        <v/>
      </c>
      <c r="W276" s="52" t="str">
        <f aca="false">IF($I276="","",IFERROR(IF(IF(ISNUMBER($I276),$I276,IFERROR(TIMEVALUE($I276),VALUE($I276)))&gt;=100,INT(IF(ISNUMBER($I276),$I276,IFERROR(TIMEVALUE($I276),VALUE($I276)))/100)*60+MOD(IF(ISNUMBER($I276),$I276,IFERROR(TIMEVALUE($I276),VALUE($I276))),100),IF(IF(ISNUMBER($I276),$I276,IFERROR(TIMEVALUE($I276),VALUE($I276)))&gt;=1,ROUND(IF(ISNUMBER($I276),$I276,IFERROR(TIMEVALUE($I276),VALUE($I276)))*60,0),ROUND(MOD(IF(ISNUMBER($I276),$I276,IFERROR(TIMEVALUE($I276),VALUE($I276))),1)*1440,0))),""))</f>
        <v/>
      </c>
      <c r="X276" s="55" t="str">
        <f aca="false">IF($P276="","",IFERROR(IF(ISNUMBER($P276),IF($P276&gt;19000000,DATE(INT($P276/10000),MOD(INT($P276/100),100),MOD($P276,100)),INT($P276)),IF(LEN(SUBSTITUTE(SUBSTITUTE(SUBSTITUTE(TRIM($P276),"-",""),".",""),"/",""))=8,DATE(VALUE(LEFT(SUBSTITUTE(SUBSTITUTE(SUBSTITUTE(TRIM($P276),"-",""),".",""),"/",""),4)),VALUE(MID(SUBSTITUTE(SUBSTITUTE(SUBSTITUTE(TRIM($P276),"-",""),".",""),"/",""),5,2)),VALUE(RIGHT(SUBSTITUTE(SUBSTITUTE(SUBSTITUTE(TRIM($P276),"-",""),".",""),"/",""),2))),DATEVALUE($P276))),""))</f>
        <v/>
      </c>
      <c r="Y276" s="56" t="str">
        <f aca="false">IF($M276="","",IFERROR(INDEX(강사DB!$D$4:$D$53,MATCH($M276,강사DB!$A$4:$A$53,0)),""))</f>
        <v/>
      </c>
      <c r="Z276" s="56" t="str">
        <f aca="false">IF($B276&lt;&gt;"결제완료","",IF(OR($Y276="",$J276=""),"",$Y276*$J276+MAX(0,N($K276)-1)*설정!$J$7))</f>
        <v/>
      </c>
      <c r="AA276" s="56" t="str">
        <f aca="false">IF(AND($D276&lt;&gt;"",$B276="결제완료"),N($N276),"")</f>
        <v/>
      </c>
      <c r="AB276" s="45" t="str">
        <f aca="false">IF($D276="","",IF($F276&lt;&gt;"",$F276,$D276)&amp;IF($B276="상담중"," (상담)",""))</f>
        <v/>
      </c>
      <c r="AC276" s="45" t="n">
        <f aca="false">IF(AND($D276&lt;&gt;"",OR($B276="결제완료",$B276="상담중")),1,0)</f>
        <v>0</v>
      </c>
      <c r="AD276" s="45" t="n">
        <f aca="false">IF(OR($Z276="",$U276=""),0,IFERROR(IF(COUNTIFS(INDEX(g_grid,0,2*MATCH($M276,강사DB!$A$4:$A$15,0)),"&lt;&gt;",g_s,"&lt;="&amp;$U276,g_e,"&gt;="&amp;$U276)&gt;0,1,0),0))</f>
        <v>0</v>
      </c>
      <c r="AE276" s="48"/>
      <c r="AF276" s="56" t="str">
        <f aca="false">IF(AND($D276&lt;&gt;"",$B276="결제완료",$T276="대여"),설정!$J$5,"")</f>
        <v/>
      </c>
      <c r="AG276" s="54" t="str">
        <f aca="false">IF($D276="","",IF(AND($E276="",$R276=""),$AB276,"☎ "&amp;IF($E276="","-",$E276)&amp;IF($R276&lt;&gt;"","  ※ "&amp;$R276,"")&amp;IF($B276="상담중"," (상담)","")))</f>
        <v/>
      </c>
      <c r="AH276" s="56" t="str">
        <f aca="false">IF(AND($D276&lt;&gt;"",$B276="결제완료",$O276="스마트스토어"),ROUND(N($N276)*설정!$J$6,0),"")</f>
        <v/>
      </c>
      <c r="AI276" s="54" t="str">
        <f aca="false">IF($D276="","",ROW())</f>
        <v/>
      </c>
      <c r="AJ276" s="54" t="n">
        <f aca="false">IF(OR($AC276&lt;&gt;1,$M276=""),0,IF(ISNUMBER(SEARCH("퇴사",IFERROR(INDEX(강사DB!$G$4:$G$53,MATCH($M276,강사DB!$A$4:$A$53,0)),""))),1,0))</f>
        <v>0</v>
      </c>
    </row>
    <row r="277" customFormat="false" ht="15" hidden="false" customHeight="false" outlineLevel="0" collapsed="false">
      <c r="A277" s="45" t="str">
        <f aca="false">IF($D277="","",COUNTA($D$5:$D277))</f>
        <v/>
      </c>
      <c r="B277" s="46"/>
      <c r="C277" s="47"/>
      <c r="D277" s="48"/>
      <c r="E277" s="48"/>
      <c r="F277" s="49"/>
      <c r="G277" s="47"/>
      <c r="H277" s="50"/>
      <c r="I277" s="50"/>
      <c r="J277" s="51" t="str">
        <f aca="false">IF(OR($V277="",$W277=""),"",ROUND(($W277-$V277)/60,2))</f>
        <v/>
      </c>
      <c r="K277" s="52" t="str">
        <f aca="false">IF($F277="","",LEN($F277)-LEN(SUBSTITUTE($F277,",",""))+1)</f>
        <v/>
      </c>
      <c r="L277" s="45" t="str">
        <f aca="false">IF($K277="","","1:"&amp;$K277)</f>
        <v/>
      </c>
      <c r="M277" s="46"/>
      <c r="N277" s="53"/>
      <c r="O277" s="46"/>
      <c r="P277" s="47"/>
      <c r="Q277" s="48"/>
      <c r="R277" s="49"/>
      <c r="S277" s="54" t="str">
        <f aca="false">IF(OR($AC277=0,$U277="",$M277="",$V277="",$W277=""),"",IF(COUNTIFS(m_teacher,$M277,m_date,$U277,m_active,1,m_start,"&lt;"&amp;$W277,m_end,"&gt;"&amp;$V277)&gt;1,"충돌",""))</f>
        <v/>
      </c>
      <c r="T277" s="48"/>
      <c r="U277" s="55" t="str">
        <f aca="false">IF($G277="","",IFERROR(IF(ISNUMBER($G277),IF($G277&gt;19000000,DATE(INT($G277/10000),MOD(INT($G277/100),100),MOD($G277,100)),INT($G277)),IF(LEN(SUBSTITUTE(SUBSTITUTE(SUBSTITUTE(TRIM($G277),"-",""),".",""),"/",""))=8,DATE(VALUE(LEFT(SUBSTITUTE(SUBSTITUTE(SUBSTITUTE(TRIM($G277),"-",""),".",""),"/",""),4)),VALUE(MID(SUBSTITUTE(SUBSTITUTE(SUBSTITUTE(TRIM($G277),"-",""),".",""),"/",""),5,2)),VALUE(RIGHT(SUBSTITUTE(SUBSTITUTE(SUBSTITUTE(TRIM($G277),"-",""),".",""),"/",""),2))),DATEVALUE($G277))),""))</f>
        <v/>
      </c>
      <c r="V277" s="52" t="str">
        <f aca="false">IF($H277="","",IFERROR(IF(IF(ISNUMBER($H277),$H277,IFERROR(TIMEVALUE($H277),VALUE($H277)))&gt;=100,INT(IF(ISNUMBER($H277),$H277,IFERROR(TIMEVALUE($H277),VALUE($H277)))/100)*60+MOD(IF(ISNUMBER($H277),$H277,IFERROR(TIMEVALUE($H277),VALUE($H277))),100),IF(IF(ISNUMBER($H277),$H277,IFERROR(TIMEVALUE($H277),VALUE($H277)))&gt;=1,ROUND(IF(ISNUMBER($H277),$H277,IFERROR(TIMEVALUE($H277),VALUE($H277)))*60,0),ROUND(MOD(IF(ISNUMBER($H277),$H277,IFERROR(TIMEVALUE($H277),VALUE($H277))),1)*1440,0))),""))</f>
        <v/>
      </c>
      <c r="W277" s="52" t="str">
        <f aca="false">IF($I277="","",IFERROR(IF(IF(ISNUMBER($I277),$I277,IFERROR(TIMEVALUE($I277),VALUE($I277)))&gt;=100,INT(IF(ISNUMBER($I277),$I277,IFERROR(TIMEVALUE($I277),VALUE($I277)))/100)*60+MOD(IF(ISNUMBER($I277),$I277,IFERROR(TIMEVALUE($I277),VALUE($I277))),100),IF(IF(ISNUMBER($I277),$I277,IFERROR(TIMEVALUE($I277),VALUE($I277)))&gt;=1,ROUND(IF(ISNUMBER($I277),$I277,IFERROR(TIMEVALUE($I277),VALUE($I277)))*60,0),ROUND(MOD(IF(ISNUMBER($I277),$I277,IFERROR(TIMEVALUE($I277),VALUE($I277))),1)*1440,0))),""))</f>
        <v/>
      </c>
      <c r="X277" s="55" t="str">
        <f aca="false">IF($P277="","",IFERROR(IF(ISNUMBER($P277),IF($P277&gt;19000000,DATE(INT($P277/10000),MOD(INT($P277/100),100),MOD($P277,100)),INT($P277)),IF(LEN(SUBSTITUTE(SUBSTITUTE(SUBSTITUTE(TRIM($P277),"-",""),".",""),"/",""))=8,DATE(VALUE(LEFT(SUBSTITUTE(SUBSTITUTE(SUBSTITUTE(TRIM($P277),"-",""),".",""),"/",""),4)),VALUE(MID(SUBSTITUTE(SUBSTITUTE(SUBSTITUTE(TRIM($P277),"-",""),".",""),"/",""),5,2)),VALUE(RIGHT(SUBSTITUTE(SUBSTITUTE(SUBSTITUTE(TRIM($P277),"-",""),".",""),"/",""),2))),DATEVALUE($P277))),""))</f>
        <v/>
      </c>
      <c r="Y277" s="56" t="str">
        <f aca="false">IF($M277="","",IFERROR(INDEX(강사DB!$D$4:$D$53,MATCH($M277,강사DB!$A$4:$A$53,0)),""))</f>
        <v/>
      </c>
      <c r="Z277" s="56" t="str">
        <f aca="false">IF($B277&lt;&gt;"결제완료","",IF(OR($Y277="",$J277=""),"",$Y277*$J277+MAX(0,N($K277)-1)*설정!$J$7))</f>
        <v/>
      </c>
      <c r="AA277" s="56" t="str">
        <f aca="false">IF(AND($D277&lt;&gt;"",$B277="결제완료"),N($N277),"")</f>
        <v/>
      </c>
      <c r="AB277" s="45" t="str">
        <f aca="false">IF($D277="","",IF($F277&lt;&gt;"",$F277,$D277)&amp;IF($B277="상담중"," (상담)",""))</f>
        <v/>
      </c>
      <c r="AC277" s="45" t="n">
        <f aca="false">IF(AND($D277&lt;&gt;"",OR($B277="결제완료",$B277="상담중")),1,0)</f>
        <v>0</v>
      </c>
      <c r="AD277" s="45" t="n">
        <f aca="false">IF(OR($Z277="",$U277=""),0,IFERROR(IF(COUNTIFS(INDEX(g_grid,0,2*MATCH($M277,강사DB!$A$4:$A$15,0)),"&lt;&gt;",g_s,"&lt;="&amp;$U277,g_e,"&gt;="&amp;$U277)&gt;0,1,0),0))</f>
        <v>0</v>
      </c>
      <c r="AE277" s="48"/>
      <c r="AF277" s="56" t="str">
        <f aca="false">IF(AND($D277&lt;&gt;"",$B277="결제완료",$T277="대여"),설정!$J$5,"")</f>
        <v/>
      </c>
      <c r="AG277" s="54" t="str">
        <f aca="false">IF($D277="","",IF(AND($E277="",$R277=""),$AB277,"☎ "&amp;IF($E277="","-",$E277)&amp;IF($R277&lt;&gt;"","  ※ "&amp;$R277,"")&amp;IF($B277="상담중"," (상담)","")))</f>
        <v/>
      </c>
      <c r="AH277" s="56" t="str">
        <f aca="false">IF(AND($D277&lt;&gt;"",$B277="결제완료",$O277="스마트스토어"),ROUND(N($N277)*설정!$J$6,0),"")</f>
        <v/>
      </c>
      <c r="AI277" s="54" t="str">
        <f aca="false">IF($D277="","",ROW())</f>
        <v/>
      </c>
      <c r="AJ277" s="54" t="n">
        <f aca="false">IF(OR($AC277&lt;&gt;1,$M277=""),0,IF(ISNUMBER(SEARCH("퇴사",IFERROR(INDEX(강사DB!$G$4:$G$53,MATCH($M277,강사DB!$A$4:$A$53,0)),""))),1,0))</f>
        <v>0</v>
      </c>
    </row>
    <row r="278" customFormat="false" ht="15" hidden="false" customHeight="false" outlineLevel="0" collapsed="false">
      <c r="A278" s="45" t="str">
        <f aca="false">IF($D278="","",COUNTA($D$5:$D278))</f>
        <v/>
      </c>
      <c r="B278" s="46"/>
      <c r="C278" s="47"/>
      <c r="D278" s="48"/>
      <c r="E278" s="48"/>
      <c r="F278" s="49"/>
      <c r="G278" s="47"/>
      <c r="H278" s="50"/>
      <c r="I278" s="50"/>
      <c r="J278" s="51" t="str">
        <f aca="false">IF(OR($V278="",$W278=""),"",ROUND(($W278-$V278)/60,2))</f>
        <v/>
      </c>
      <c r="K278" s="52" t="str">
        <f aca="false">IF($F278="","",LEN($F278)-LEN(SUBSTITUTE($F278,",",""))+1)</f>
        <v/>
      </c>
      <c r="L278" s="45" t="str">
        <f aca="false">IF($K278="","","1:"&amp;$K278)</f>
        <v/>
      </c>
      <c r="M278" s="46"/>
      <c r="N278" s="53"/>
      <c r="O278" s="46"/>
      <c r="P278" s="47"/>
      <c r="Q278" s="48"/>
      <c r="R278" s="49"/>
      <c r="S278" s="54" t="str">
        <f aca="false">IF(OR($AC278=0,$U278="",$M278="",$V278="",$W278=""),"",IF(COUNTIFS(m_teacher,$M278,m_date,$U278,m_active,1,m_start,"&lt;"&amp;$W278,m_end,"&gt;"&amp;$V278)&gt;1,"충돌",""))</f>
        <v/>
      </c>
      <c r="T278" s="48"/>
      <c r="U278" s="55" t="str">
        <f aca="false">IF($G278="","",IFERROR(IF(ISNUMBER($G278),IF($G278&gt;19000000,DATE(INT($G278/10000),MOD(INT($G278/100),100),MOD($G278,100)),INT($G278)),IF(LEN(SUBSTITUTE(SUBSTITUTE(SUBSTITUTE(TRIM($G278),"-",""),".",""),"/",""))=8,DATE(VALUE(LEFT(SUBSTITUTE(SUBSTITUTE(SUBSTITUTE(TRIM($G278),"-",""),".",""),"/",""),4)),VALUE(MID(SUBSTITUTE(SUBSTITUTE(SUBSTITUTE(TRIM($G278),"-",""),".",""),"/",""),5,2)),VALUE(RIGHT(SUBSTITUTE(SUBSTITUTE(SUBSTITUTE(TRIM($G278),"-",""),".",""),"/",""),2))),DATEVALUE($G278))),""))</f>
        <v/>
      </c>
      <c r="V278" s="52" t="str">
        <f aca="false">IF($H278="","",IFERROR(IF(IF(ISNUMBER($H278),$H278,IFERROR(TIMEVALUE($H278),VALUE($H278)))&gt;=100,INT(IF(ISNUMBER($H278),$H278,IFERROR(TIMEVALUE($H278),VALUE($H278)))/100)*60+MOD(IF(ISNUMBER($H278),$H278,IFERROR(TIMEVALUE($H278),VALUE($H278))),100),IF(IF(ISNUMBER($H278),$H278,IFERROR(TIMEVALUE($H278),VALUE($H278)))&gt;=1,ROUND(IF(ISNUMBER($H278),$H278,IFERROR(TIMEVALUE($H278),VALUE($H278)))*60,0),ROUND(MOD(IF(ISNUMBER($H278),$H278,IFERROR(TIMEVALUE($H278),VALUE($H278))),1)*1440,0))),""))</f>
        <v/>
      </c>
      <c r="W278" s="52" t="str">
        <f aca="false">IF($I278="","",IFERROR(IF(IF(ISNUMBER($I278),$I278,IFERROR(TIMEVALUE($I278),VALUE($I278)))&gt;=100,INT(IF(ISNUMBER($I278),$I278,IFERROR(TIMEVALUE($I278),VALUE($I278)))/100)*60+MOD(IF(ISNUMBER($I278),$I278,IFERROR(TIMEVALUE($I278),VALUE($I278))),100),IF(IF(ISNUMBER($I278),$I278,IFERROR(TIMEVALUE($I278),VALUE($I278)))&gt;=1,ROUND(IF(ISNUMBER($I278),$I278,IFERROR(TIMEVALUE($I278),VALUE($I278)))*60,0),ROUND(MOD(IF(ISNUMBER($I278),$I278,IFERROR(TIMEVALUE($I278),VALUE($I278))),1)*1440,0))),""))</f>
        <v/>
      </c>
      <c r="X278" s="55" t="str">
        <f aca="false">IF($P278="","",IFERROR(IF(ISNUMBER($P278),IF($P278&gt;19000000,DATE(INT($P278/10000),MOD(INT($P278/100),100),MOD($P278,100)),INT($P278)),IF(LEN(SUBSTITUTE(SUBSTITUTE(SUBSTITUTE(TRIM($P278),"-",""),".",""),"/",""))=8,DATE(VALUE(LEFT(SUBSTITUTE(SUBSTITUTE(SUBSTITUTE(TRIM($P278),"-",""),".",""),"/",""),4)),VALUE(MID(SUBSTITUTE(SUBSTITUTE(SUBSTITUTE(TRIM($P278),"-",""),".",""),"/",""),5,2)),VALUE(RIGHT(SUBSTITUTE(SUBSTITUTE(SUBSTITUTE(TRIM($P278),"-",""),".",""),"/",""),2))),DATEVALUE($P278))),""))</f>
        <v/>
      </c>
      <c r="Y278" s="56" t="str">
        <f aca="false">IF($M278="","",IFERROR(INDEX(강사DB!$D$4:$D$53,MATCH($M278,강사DB!$A$4:$A$53,0)),""))</f>
        <v/>
      </c>
      <c r="Z278" s="56" t="str">
        <f aca="false">IF($B278&lt;&gt;"결제완료","",IF(OR($Y278="",$J278=""),"",$Y278*$J278+MAX(0,N($K278)-1)*설정!$J$7))</f>
        <v/>
      </c>
      <c r="AA278" s="56" t="str">
        <f aca="false">IF(AND($D278&lt;&gt;"",$B278="결제완료"),N($N278),"")</f>
        <v/>
      </c>
      <c r="AB278" s="45" t="str">
        <f aca="false">IF($D278="","",IF($F278&lt;&gt;"",$F278,$D278)&amp;IF($B278="상담중"," (상담)",""))</f>
        <v/>
      </c>
      <c r="AC278" s="45" t="n">
        <f aca="false">IF(AND($D278&lt;&gt;"",OR($B278="결제완료",$B278="상담중")),1,0)</f>
        <v>0</v>
      </c>
      <c r="AD278" s="45" t="n">
        <f aca="false">IF(OR($Z278="",$U278=""),0,IFERROR(IF(COUNTIFS(INDEX(g_grid,0,2*MATCH($M278,강사DB!$A$4:$A$15,0)),"&lt;&gt;",g_s,"&lt;="&amp;$U278,g_e,"&gt;="&amp;$U278)&gt;0,1,0),0))</f>
        <v>0</v>
      </c>
      <c r="AE278" s="48"/>
      <c r="AF278" s="56" t="str">
        <f aca="false">IF(AND($D278&lt;&gt;"",$B278="결제완료",$T278="대여"),설정!$J$5,"")</f>
        <v/>
      </c>
      <c r="AG278" s="54" t="str">
        <f aca="false">IF($D278="","",IF(AND($E278="",$R278=""),$AB278,"☎ "&amp;IF($E278="","-",$E278)&amp;IF($R278&lt;&gt;"","  ※ "&amp;$R278,"")&amp;IF($B278="상담중"," (상담)","")))</f>
        <v/>
      </c>
      <c r="AH278" s="56" t="str">
        <f aca="false">IF(AND($D278&lt;&gt;"",$B278="결제완료",$O278="스마트스토어"),ROUND(N($N278)*설정!$J$6,0),"")</f>
        <v/>
      </c>
      <c r="AI278" s="54" t="str">
        <f aca="false">IF($D278="","",ROW())</f>
        <v/>
      </c>
      <c r="AJ278" s="54" t="n">
        <f aca="false">IF(OR($AC278&lt;&gt;1,$M278=""),0,IF(ISNUMBER(SEARCH("퇴사",IFERROR(INDEX(강사DB!$G$4:$G$53,MATCH($M278,강사DB!$A$4:$A$53,0)),""))),1,0))</f>
        <v>0</v>
      </c>
    </row>
    <row r="279" customFormat="false" ht="15" hidden="false" customHeight="false" outlineLevel="0" collapsed="false">
      <c r="A279" s="45" t="str">
        <f aca="false">IF($D279="","",COUNTA($D$5:$D279))</f>
        <v/>
      </c>
      <c r="B279" s="46"/>
      <c r="C279" s="47"/>
      <c r="D279" s="48"/>
      <c r="E279" s="48"/>
      <c r="F279" s="49"/>
      <c r="G279" s="47"/>
      <c r="H279" s="50"/>
      <c r="I279" s="50"/>
      <c r="J279" s="51" t="str">
        <f aca="false">IF(OR($V279="",$W279=""),"",ROUND(($W279-$V279)/60,2))</f>
        <v/>
      </c>
      <c r="K279" s="52" t="str">
        <f aca="false">IF($F279="","",LEN($F279)-LEN(SUBSTITUTE($F279,",",""))+1)</f>
        <v/>
      </c>
      <c r="L279" s="45" t="str">
        <f aca="false">IF($K279="","","1:"&amp;$K279)</f>
        <v/>
      </c>
      <c r="M279" s="46"/>
      <c r="N279" s="53"/>
      <c r="O279" s="46"/>
      <c r="P279" s="47"/>
      <c r="Q279" s="48"/>
      <c r="R279" s="49"/>
      <c r="S279" s="54" t="str">
        <f aca="false">IF(OR($AC279=0,$U279="",$M279="",$V279="",$W279=""),"",IF(COUNTIFS(m_teacher,$M279,m_date,$U279,m_active,1,m_start,"&lt;"&amp;$W279,m_end,"&gt;"&amp;$V279)&gt;1,"충돌",""))</f>
        <v/>
      </c>
      <c r="T279" s="48"/>
      <c r="U279" s="55" t="str">
        <f aca="false">IF($G279="","",IFERROR(IF(ISNUMBER($G279),IF($G279&gt;19000000,DATE(INT($G279/10000),MOD(INT($G279/100),100),MOD($G279,100)),INT($G279)),IF(LEN(SUBSTITUTE(SUBSTITUTE(SUBSTITUTE(TRIM($G279),"-",""),".",""),"/",""))=8,DATE(VALUE(LEFT(SUBSTITUTE(SUBSTITUTE(SUBSTITUTE(TRIM($G279),"-",""),".",""),"/",""),4)),VALUE(MID(SUBSTITUTE(SUBSTITUTE(SUBSTITUTE(TRIM($G279),"-",""),".",""),"/",""),5,2)),VALUE(RIGHT(SUBSTITUTE(SUBSTITUTE(SUBSTITUTE(TRIM($G279),"-",""),".",""),"/",""),2))),DATEVALUE($G279))),""))</f>
        <v/>
      </c>
      <c r="V279" s="52" t="str">
        <f aca="false">IF($H279="","",IFERROR(IF(IF(ISNUMBER($H279),$H279,IFERROR(TIMEVALUE($H279),VALUE($H279)))&gt;=100,INT(IF(ISNUMBER($H279),$H279,IFERROR(TIMEVALUE($H279),VALUE($H279)))/100)*60+MOD(IF(ISNUMBER($H279),$H279,IFERROR(TIMEVALUE($H279),VALUE($H279))),100),IF(IF(ISNUMBER($H279),$H279,IFERROR(TIMEVALUE($H279),VALUE($H279)))&gt;=1,ROUND(IF(ISNUMBER($H279),$H279,IFERROR(TIMEVALUE($H279),VALUE($H279)))*60,0),ROUND(MOD(IF(ISNUMBER($H279),$H279,IFERROR(TIMEVALUE($H279),VALUE($H279))),1)*1440,0))),""))</f>
        <v/>
      </c>
      <c r="W279" s="52" t="str">
        <f aca="false">IF($I279="","",IFERROR(IF(IF(ISNUMBER($I279),$I279,IFERROR(TIMEVALUE($I279),VALUE($I279)))&gt;=100,INT(IF(ISNUMBER($I279),$I279,IFERROR(TIMEVALUE($I279),VALUE($I279)))/100)*60+MOD(IF(ISNUMBER($I279),$I279,IFERROR(TIMEVALUE($I279),VALUE($I279))),100),IF(IF(ISNUMBER($I279),$I279,IFERROR(TIMEVALUE($I279),VALUE($I279)))&gt;=1,ROUND(IF(ISNUMBER($I279),$I279,IFERROR(TIMEVALUE($I279),VALUE($I279)))*60,0),ROUND(MOD(IF(ISNUMBER($I279),$I279,IFERROR(TIMEVALUE($I279),VALUE($I279))),1)*1440,0))),""))</f>
        <v/>
      </c>
      <c r="X279" s="55" t="str">
        <f aca="false">IF($P279="","",IFERROR(IF(ISNUMBER($P279),IF($P279&gt;19000000,DATE(INT($P279/10000),MOD(INT($P279/100),100),MOD($P279,100)),INT($P279)),IF(LEN(SUBSTITUTE(SUBSTITUTE(SUBSTITUTE(TRIM($P279),"-",""),".",""),"/",""))=8,DATE(VALUE(LEFT(SUBSTITUTE(SUBSTITUTE(SUBSTITUTE(TRIM($P279),"-",""),".",""),"/",""),4)),VALUE(MID(SUBSTITUTE(SUBSTITUTE(SUBSTITUTE(TRIM($P279),"-",""),".",""),"/",""),5,2)),VALUE(RIGHT(SUBSTITUTE(SUBSTITUTE(SUBSTITUTE(TRIM($P279),"-",""),".",""),"/",""),2))),DATEVALUE($P279))),""))</f>
        <v/>
      </c>
      <c r="Y279" s="56" t="str">
        <f aca="false">IF($M279="","",IFERROR(INDEX(강사DB!$D$4:$D$53,MATCH($M279,강사DB!$A$4:$A$53,0)),""))</f>
        <v/>
      </c>
      <c r="Z279" s="56" t="str">
        <f aca="false">IF($B279&lt;&gt;"결제완료","",IF(OR($Y279="",$J279=""),"",$Y279*$J279+MAX(0,N($K279)-1)*설정!$J$7))</f>
        <v/>
      </c>
      <c r="AA279" s="56" t="str">
        <f aca="false">IF(AND($D279&lt;&gt;"",$B279="결제완료"),N($N279),"")</f>
        <v/>
      </c>
      <c r="AB279" s="45" t="str">
        <f aca="false">IF($D279="","",IF($F279&lt;&gt;"",$F279,$D279)&amp;IF($B279="상담중"," (상담)",""))</f>
        <v/>
      </c>
      <c r="AC279" s="45" t="n">
        <f aca="false">IF(AND($D279&lt;&gt;"",OR($B279="결제완료",$B279="상담중")),1,0)</f>
        <v>0</v>
      </c>
      <c r="AD279" s="45" t="n">
        <f aca="false">IF(OR($Z279="",$U279=""),0,IFERROR(IF(COUNTIFS(INDEX(g_grid,0,2*MATCH($M279,강사DB!$A$4:$A$15,0)),"&lt;&gt;",g_s,"&lt;="&amp;$U279,g_e,"&gt;="&amp;$U279)&gt;0,1,0),0))</f>
        <v>0</v>
      </c>
      <c r="AE279" s="48"/>
      <c r="AF279" s="56" t="str">
        <f aca="false">IF(AND($D279&lt;&gt;"",$B279="결제완료",$T279="대여"),설정!$J$5,"")</f>
        <v/>
      </c>
      <c r="AG279" s="54" t="str">
        <f aca="false">IF($D279="","",IF(AND($E279="",$R279=""),$AB279,"☎ "&amp;IF($E279="","-",$E279)&amp;IF($R279&lt;&gt;"","  ※ "&amp;$R279,"")&amp;IF($B279="상담중"," (상담)","")))</f>
        <v/>
      </c>
      <c r="AH279" s="56" t="str">
        <f aca="false">IF(AND($D279&lt;&gt;"",$B279="결제완료",$O279="스마트스토어"),ROUND(N($N279)*설정!$J$6,0),"")</f>
        <v/>
      </c>
      <c r="AI279" s="54" t="str">
        <f aca="false">IF($D279="","",ROW())</f>
        <v/>
      </c>
      <c r="AJ279" s="54" t="n">
        <f aca="false">IF(OR($AC279&lt;&gt;1,$M279=""),0,IF(ISNUMBER(SEARCH("퇴사",IFERROR(INDEX(강사DB!$G$4:$G$53,MATCH($M279,강사DB!$A$4:$A$53,0)),""))),1,0))</f>
        <v>0</v>
      </c>
    </row>
    <row r="280" customFormat="false" ht="15" hidden="false" customHeight="false" outlineLevel="0" collapsed="false">
      <c r="A280" s="45" t="str">
        <f aca="false">IF($D280="","",COUNTA($D$5:$D280))</f>
        <v/>
      </c>
      <c r="B280" s="46"/>
      <c r="C280" s="47"/>
      <c r="D280" s="48"/>
      <c r="E280" s="48"/>
      <c r="F280" s="49"/>
      <c r="G280" s="47"/>
      <c r="H280" s="50"/>
      <c r="I280" s="50"/>
      <c r="J280" s="51" t="str">
        <f aca="false">IF(OR($V280="",$W280=""),"",ROUND(($W280-$V280)/60,2))</f>
        <v/>
      </c>
      <c r="K280" s="52" t="str">
        <f aca="false">IF($F280="","",LEN($F280)-LEN(SUBSTITUTE($F280,",",""))+1)</f>
        <v/>
      </c>
      <c r="L280" s="45" t="str">
        <f aca="false">IF($K280="","","1:"&amp;$K280)</f>
        <v/>
      </c>
      <c r="M280" s="46"/>
      <c r="N280" s="53"/>
      <c r="O280" s="46"/>
      <c r="P280" s="47"/>
      <c r="Q280" s="48"/>
      <c r="R280" s="49"/>
      <c r="S280" s="54" t="str">
        <f aca="false">IF(OR($AC280=0,$U280="",$M280="",$V280="",$W280=""),"",IF(COUNTIFS(m_teacher,$M280,m_date,$U280,m_active,1,m_start,"&lt;"&amp;$W280,m_end,"&gt;"&amp;$V280)&gt;1,"충돌",""))</f>
        <v/>
      </c>
      <c r="T280" s="48"/>
      <c r="U280" s="55" t="str">
        <f aca="false">IF($G280="","",IFERROR(IF(ISNUMBER($G280),IF($G280&gt;19000000,DATE(INT($G280/10000),MOD(INT($G280/100),100),MOD($G280,100)),INT($G280)),IF(LEN(SUBSTITUTE(SUBSTITUTE(SUBSTITUTE(TRIM($G280),"-",""),".",""),"/",""))=8,DATE(VALUE(LEFT(SUBSTITUTE(SUBSTITUTE(SUBSTITUTE(TRIM($G280),"-",""),".",""),"/",""),4)),VALUE(MID(SUBSTITUTE(SUBSTITUTE(SUBSTITUTE(TRIM($G280),"-",""),".",""),"/",""),5,2)),VALUE(RIGHT(SUBSTITUTE(SUBSTITUTE(SUBSTITUTE(TRIM($G280),"-",""),".",""),"/",""),2))),DATEVALUE($G280))),""))</f>
        <v/>
      </c>
      <c r="V280" s="52" t="str">
        <f aca="false">IF($H280="","",IFERROR(IF(IF(ISNUMBER($H280),$H280,IFERROR(TIMEVALUE($H280),VALUE($H280)))&gt;=100,INT(IF(ISNUMBER($H280),$H280,IFERROR(TIMEVALUE($H280),VALUE($H280)))/100)*60+MOD(IF(ISNUMBER($H280),$H280,IFERROR(TIMEVALUE($H280),VALUE($H280))),100),IF(IF(ISNUMBER($H280),$H280,IFERROR(TIMEVALUE($H280),VALUE($H280)))&gt;=1,ROUND(IF(ISNUMBER($H280),$H280,IFERROR(TIMEVALUE($H280),VALUE($H280)))*60,0),ROUND(MOD(IF(ISNUMBER($H280),$H280,IFERROR(TIMEVALUE($H280),VALUE($H280))),1)*1440,0))),""))</f>
        <v/>
      </c>
      <c r="W280" s="52" t="str">
        <f aca="false">IF($I280="","",IFERROR(IF(IF(ISNUMBER($I280),$I280,IFERROR(TIMEVALUE($I280),VALUE($I280)))&gt;=100,INT(IF(ISNUMBER($I280),$I280,IFERROR(TIMEVALUE($I280),VALUE($I280)))/100)*60+MOD(IF(ISNUMBER($I280),$I280,IFERROR(TIMEVALUE($I280),VALUE($I280))),100),IF(IF(ISNUMBER($I280),$I280,IFERROR(TIMEVALUE($I280),VALUE($I280)))&gt;=1,ROUND(IF(ISNUMBER($I280),$I280,IFERROR(TIMEVALUE($I280),VALUE($I280)))*60,0),ROUND(MOD(IF(ISNUMBER($I280),$I280,IFERROR(TIMEVALUE($I280),VALUE($I280))),1)*1440,0))),""))</f>
        <v/>
      </c>
      <c r="X280" s="55" t="str">
        <f aca="false">IF($P280="","",IFERROR(IF(ISNUMBER($P280),IF($P280&gt;19000000,DATE(INT($P280/10000),MOD(INT($P280/100),100),MOD($P280,100)),INT($P280)),IF(LEN(SUBSTITUTE(SUBSTITUTE(SUBSTITUTE(TRIM($P280),"-",""),".",""),"/",""))=8,DATE(VALUE(LEFT(SUBSTITUTE(SUBSTITUTE(SUBSTITUTE(TRIM($P280),"-",""),".",""),"/",""),4)),VALUE(MID(SUBSTITUTE(SUBSTITUTE(SUBSTITUTE(TRIM($P280),"-",""),".",""),"/",""),5,2)),VALUE(RIGHT(SUBSTITUTE(SUBSTITUTE(SUBSTITUTE(TRIM($P280),"-",""),".",""),"/",""),2))),DATEVALUE($P280))),""))</f>
        <v/>
      </c>
      <c r="Y280" s="56" t="str">
        <f aca="false">IF($M280="","",IFERROR(INDEX(강사DB!$D$4:$D$53,MATCH($M280,강사DB!$A$4:$A$53,0)),""))</f>
        <v/>
      </c>
      <c r="Z280" s="56" t="str">
        <f aca="false">IF($B280&lt;&gt;"결제완료","",IF(OR($Y280="",$J280=""),"",$Y280*$J280+MAX(0,N($K280)-1)*설정!$J$7))</f>
        <v/>
      </c>
      <c r="AA280" s="56" t="str">
        <f aca="false">IF(AND($D280&lt;&gt;"",$B280="결제완료"),N($N280),"")</f>
        <v/>
      </c>
      <c r="AB280" s="45" t="str">
        <f aca="false">IF($D280="","",IF($F280&lt;&gt;"",$F280,$D280)&amp;IF($B280="상담중"," (상담)",""))</f>
        <v/>
      </c>
      <c r="AC280" s="45" t="n">
        <f aca="false">IF(AND($D280&lt;&gt;"",OR($B280="결제완료",$B280="상담중")),1,0)</f>
        <v>0</v>
      </c>
      <c r="AD280" s="45" t="n">
        <f aca="false">IF(OR($Z280="",$U280=""),0,IFERROR(IF(COUNTIFS(INDEX(g_grid,0,2*MATCH($M280,강사DB!$A$4:$A$15,0)),"&lt;&gt;",g_s,"&lt;="&amp;$U280,g_e,"&gt;="&amp;$U280)&gt;0,1,0),0))</f>
        <v>0</v>
      </c>
      <c r="AE280" s="48"/>
      <c r="AF280" s="56" t="str">
        <f aca="false">IF(AND($D280&lt;&gt;"",$B280="결제완료",$T280="대여"),설정!$J$5,"")</f>
        <v/>
      </c>
      <c r="AG280" s="54" t="str">
        <f aca="false">IF($D280="","",IF(AND($E280="",$R280=""),$AB280,"☎ "&amp;IF($E280="","-",$E280)&amp;IF($R280&lt;&gt;"","  ※ "&amp;$R280,"")&amp;IF($B280="상담중"," (상담)","")))</f>
        <v/>
      </c>
      <c r="AH280" s="56" t="str">
        <f aca="false">IF(AND($D280&lt;&gt;"",$B280="결제완료",$O280="스마트스토어"),ROUND(N($N280)*설정!$J$6,0),"")</f>
        <v/>
      </c>
      <c r="AI280" s="54" t="str">
        <f aca="false">IF($D280="","",ROW())</f>
        <v/>
      </c>
      <c r="AJ280" s="54" t="n">
        <f aca="false">IF(OR($AC280&lt;&gt;1,$M280=""),0,IF(ISNUMBER(SEARCH("퇴사",IFERROR(INDEX(강사DB!$G$4:$G$53,MATCH($M280,강사DB!$A$4:$A$53,0)),""))),1,0))</f>
        <v>0</v>
      </c>
    </row>
    <row r="281" customFormat="false" ht="15" hidden="false" customHeight="false" outlineLevel="0" collapsed="false">
      <c r="A281" s="45" t="str">
        <f aca="false">IF($D281="","",COUNTA($D$5:$D281))</f>
        <v/>
      </c>
      <c r="B281" s="46"/>
      <c r="C281" s="47"/>
      <c r="D281" s="48"/>
      <c r="E281" s="48"/>
      <c r="F281" s="49"/>
      <c r="G281" s="47"/>
      <c r="H281" s="50"/>
      <c r="I281" s="50"/>
      <c r="J281" s="51" t="str">
        <f aca="false">IF(OR($V281="",$W281=""),"",ROUND(($W281-$V281)/60,2))</f>
        <v/>
      </c>
      <c r="K281" s="52" t="str">
        <f aca="false">IF($F281="","",LEN($F281)-LEN(SUBSTITUTE($F281,",",""))+1)</f>
        <v/>
      </c>
      <c r="L281" s="45" t="str">
        <f aca="false">IF($K281="","","1:"&amp;$K281)</f>
        <v/>
      </c>
      <c r="M281" s="46"/>
      <c r="N281" s="53"/>
      <c r="O281" s="46"/>
      <c r="P281" s="47"/>
      <c r="Q281" s="48"/>
      <c r="R281" s="49"/>
      <c r="S281" s="54" t="str">
        <f aca="false">IF(OR($AC281=0,$U281="",$M281="",$V281="",$W281=""),"",IF(COUNTIFS(m_teacher,$M281,m_date,$U281,m_active,1,m_start,"&lt;"&amp;$W281,m_end,"&gt;"&amp;$V281)&gt;1,"충돌",""))</f>
        <v/>
      </c>
      <c r="T281" s="48"/>
      <c r="U281" s="55" t="str">
        <f aca="false">IF($G281="","",IFERROR(IF(ISNUMBER($G281),IF($G281&gt;19000000,DATE(INT($G281/10000),MOD(INT($G281/100),100),MOD($G281,100)),INT($G281)),IF(LEN(SUBSTITUTE(SUBSTITUTE(SUBSTITUTE(TRIM($G281),"-",""),".",""),"/",""))=8,DATE(VALUE(LEFT(SUBSTITUTE(SUBSTITUTE(SUBSTITUTE(TRIM($G281),"-",""),".",""),"/",""),4)),VALUE(MID(SUBSTITUTE(SUBSTITUTE(SUBSTITUTE(TRIM($G281),"-",""),".",""),"/",""),5,2)),VALUE(RIGHT(SUBSTITUTE(SUBSTITUTE(SUBSTITUTE(TRIM($G281),"-",""),".",""),"/",""),2))),DATEVALUE($G281))),""))</f>
        <v/>
      </c>
      <c r="V281" s="52" t="str">
        <f aca="false">IF($H281="","",IFERROR(IF(IF(ISNUMBER($H281),$H281,IFERROR(TIMEVALUE($H281),VALUE($H281)))&gt;=100,INT(IF(ISNUMBER($H281),$H281,IFERROR(TIMEVALUE($H281),VALUE($H281)))/100)*60+MOD(IF(ISNUMBER($H281),$H281,IFERROR(TIMEVALUE($H281),VALUE($H281))),100),IF(IF(ISNUMBER($H281),$H281,IFERROR(TIMEVALUE($H281),VALUE($H281)))&gt;=1,ROUND(IF(ISNUMBER($H281),$H281,IFERROR(TIMEVALUE($H281),VALUE($H281)))*60,0),ROUND(MOD(IF(ISNUMBER($H281),$H281,IFERROR(TIMEVALUE($H281),VALUE($H281))),1)*1440,0))),""))</f>
        <v/>
      </c>
      <c r="W281" s="52" t="str">
        <f aca="false">IF($I281="","",IFERROR(IF(IF(ISNUMBER($I281),$I281,IFERROR(TIMEVALUE($I281),VALUE($I281)))&gt;=100,INT(IF(ISNUMBER($I281),$I281,IFERROR(TIMEVALUE($I281),VALUE($I281)))/100)*60+MOD(IF(ISNUMBER($I281),$I281,IFERROR(TIMEVALUE($I281),VALUE($I281))),100),IF(IF(ISNUMBER($I281),$I281,IFERROR(TIMEVALUE($I281),VALUE($I281)))&gt;=1,ROUND(IF(ISNUMBER($I281),$I281,IFERROR(TIMEVALUE($I281),VALUE($I281)))*60,0),ROUND(MOD(IF(ISNUMBER($I281),$I281,IFERROR(TIMEVALUE($I281),VALUE($I281))),1)*1440,0))),""))</f>
        <v/>
      </c>
      <c r="X281" s="55" t="str">
        <f aca="false">IF($P281="","",IFERROR(IF(ISNUMBER($P281),IF($P281&gt;19000000,DATE(INT($P281/10000),MOD(INT($P281/100),100),MOD($P281,100)),INT($P281)),IF(LEN(SUBSTITUTE(SUBSTITUTE(SUBSTITUTE(TRIM($P281),"-",""),".",""),"/",""))=8,DATE(VALUE(LEFT(SUBSTITUTE(SUBSTITUTE(SUBSTITUTE(TRIM($P281),"-",""),".",""),"/",""),4)),VALUE(MID(SUBSTITUTE(SUBSTITUTE(SUBSTITUTE(TRIM($P281),"-",""),".",""),"/",""),5,2)),VALUE(RIGHT(SUBSTITUTE(SUBSTITUTE(SUBSTITUTE(TRIM($P281),"-",""),".",""),"/",""),2))),DATEVALUE($P281))),""))</f>
        <v/>
      </c>
      <c r="Y281" s="56" t="str">
        <f aca="false">IF($M281="","",IFERROR(INDEX(강사DB!$D$4:$D$53,MATCH($M281,강사DB!$A$4:$A$53,0)),""))</f>
        <v/>
      </c>
      <c r="Z281" s="56" t="str">
        <f aca="false">IF($B281&lt;&gt;"결제완료","",IF(OR($Y281="",$J281=""),"",$Y281*$J281+MAX(0,N($K281)-1)*설정!$J$7))</f>
        <v/>
      </c>
      <c r="AA281" s="56" t="str">
        <f aca="false">IF(AND($D281&lt;&gt;"",$B281="결제완료"),N($N281),"")</f>
        <v/>
      </c>
      <c r="AB281" s="45" t="str">
        <f aca="false">IF($D281="","",IF($F281&lt;&gt;"",$F281,$D281)&amp;IF($B281="상담중"," (상담)",""))</f>
        <v/>
      </c>
      <c r="AC281" s="45" t="n">
        <f aca="false">IF(AND($D281&lt;&gt;"",OR($B281="결제완료",$B281="상담중")),1,0)</f>
        <v>0</v>
      </c>
      <c r="AD281" s="45" t="n">
        <f aca="false">IF(OR($Z281="",$U281=""),0,IFERROR(IF(COUNTIFS(INDEX(g_grid,0,2*MATCH($M281,강사DB!$A$4:$A$15,0)),"&lt;&gt;",g_s,"&lt;="&amp;$U281,g_e,"&gt;="&amp;$U281)&gt;0,1,0),0))</f>
        <v>0</v>
      </c>
      <c r="AE281" s="48"/>
      <c r="AF281" s="56" t="str">
        <f aca="false">IF(AND($D281&lt;&gt;"",$B281="결제완료",$T281="대여"),설정!$J$5,"")</f>
        <v/>
      </c>
      <c r="AG281" s="54" t="str">
        <f aca="false">IF($D281="","",IF(AND($E281="",$R281=""),$AB281,"☎ "&amp;IF($E281="","-",$E281)&amp;IF($R281&lt;&gt;"","  ※ "&amp;$R281,"")&amp;IF($B281="상담중"," (상담)","")))</f>
        <v/>
      </c>
      <c r="AH281" s="56" t="str">
        <f aca="false">IF(AND($D281&lt;&gt;"",$B281="결제완료",$O281="스마트스토어"),ROUND(N($N281)*설정!$J$6,0),"")</f>
        <v/>
      </c>
      <c r="AI281" s="54" t="str">
        <f aca="false">IF($D281="","",ROW())</f>
        <v/>
      </c>
      <c r="AJ281" s="54" t="n">
        <f aca="false">IF(OR($AC281&lt;&gt;1,$M281=""),0,IF(ISNUMBER(SEARCH("퇴사",IFERROR(INDEX(강사DB!$G$4:$G$53,MATCH($M281,강사DB!$A$4:$A$53,0)),""))),1,0))</f>
        <v>0</v>
      </c>
    </row>
    <row r="282" customFormat="false" ht="15" hidden="false" customHeight="false" outlineLevel="0" collapsed="false">
      <c r="A282" s="45" t="str">
        <f aca="false">IF($D282="","",COUNTA($D$5:$D282))</f>
        <v/>
      </c>
      <c r="B282" s="46"/>
      <c r="C282" s="47"/>
      <c r="D282" s="48"/>
      <c r="E282" s="48"/>
      <c r="F282" s="49"/>
      <c r="G282" s="47"/>
      <c r="H282" s="50"/>
      <c r="I282" s="50"/>
      <c r="J282" s="51" t="str">
        <f aca="false">IF(OR($V282="",$W282=""),"",ROUND(($W282-$V282)/60,2))</f>
        <v/>
      </c>
      <c r="K282" s="52" t="str">
        <f aca="false">IF($F282="","",LEN($F282)-LEN(SUBSTITUTE($F282,",",""))+1)</f>
        <v/>
      </c>
      <c r="L282" s="45" t="str">
        <f aca="false">IF($K282="","","1:"&amp;$K282)</f>
        <v/>
      </c>
      <c r="M282" s="46"/>
      <c r="N282" s="53"/>
      <c r="O282" s="46"/>
      <c r="P282" s="47"/>
      <c r="Q282" s="48"/>
      <c r="R282" s="49"/>
      <c r="S282" s="54" t="str">
        <f aca="false">IF(OR($AC282=0,$U282="",$M282="",$V282="",$W282=""),"",IF(COUNTIFS(m_teacher,$M282,m_date,$U282,m_active,1,m_start,"&lt;"&amp;$W282,m_end,"&gt;"&amp;$V282)&gt;1,"충돌",""))</f>
        <v/>
      </c>
      <c r="T282" s="48"/>
      <c r="U282" s="55" t="str">
        <f aca="false">IF($G282="","",IFERROR(IF(ISNUMBER($G282),IF($G282&gt;19000000,DATE(INT($G282/10000),MOD(INT($G282/100),100),MOD($G282,100)),INT($G282)),IF(LEN(SUBSTITUTE(SUBSTITUTE(SUBSTITUTE(TRIM($G282),"-",""),".",""),"/",""))=8,DATE(VALUE(LEFT(SUBSTITUTE(SUBSTITUTE(SUBSTITUTE(TRIM($G282),"-",""),".",""),"/",""),4)),VALUE(MID(SUBSTITUTE(SUBSTITUTE(SUBSTITUTE(TRIM($G282),"-",""),".",""),"/",""),5,2)),VALUE(RIGHT(SUBSTITUTE(SUBSTITUTE(SUBSTITUTE(TRIM($G282),"-",""),".",""),"/",""),2))),DATEVALUE($G282))),""))</f>
        <v/>
      </c>
      <c r="V282" s="52" t="str">
        <f aca="false">IF($H282="","",IFERROR(IF(IF(ISNUMBER($H282),$H282,IFERROR(TIMEVALUE($H282),VALUE($H282)))&gt;=100,INT(IF(ISNUMBER($H282),$H282,IFERROR(TIMEVALUE($H282),VALUE($H282)))/100)*60+MOD(IF(ISNUMBER($H282),$H282,IFERROR(TIMEVALUE($H282),VALUE($H282))),100),IF(IF(ISNUMBER($H282),$H282,IFERROR(TIMEVALUE($H282),VALUE($H282)))&gt;=1,ROUND(IF(ISNUMBER($H282),$H282,IFERROR(TIMEVALUE($H282),VALUE($H282)))*60,0),ROUND(MOD(IF(ISNUMBER($H282),$H282,IFERROR(TIMEVALUE($H282),VALUE($H282))),1)*1440,0))),""))</f>
        <v/>
      </c>
      <c r="W282" s="52" t="str">
        <f aca="false">IF($I282="","",IFERROR(IF(IF(ISNUMBER($I282),$I282,IFERROR(TIMEVALUE($I282),VALUE($I282)))&gt;=100,INT(IF(ISNUMBER($I282),$I282,IFERROR(TIMEVALUE($I282),VALUE($I282)))/100)*60+MOD(IF(ISNUMBER($I282),$I282,IFERROR(TIMEVALUE($I282),VALUE($I282))),100),IF(IF(ISNUMBER($I282),$I282,IFERROR(TIMEVALUE($I282),VALUE($I282)))&gt;=1,ROUND(IF(ISNUMBER($I282),$I282,IFERROR(TIMEVALUE($I282),VALUE($I282)))*60,0),ROUND(MOD(IF(ISNUMBER($I282),$I282,IFERROR(TIMEVALUE($I282),VALUE($I282))),1)*1440,0))),""))</f>
        <v/>
      </c>
      <c r="X282" s="55" t="str">
        <f aca="false">IF($P282="","",IFERROR(IF(ISNUMBER($P282),IF($P282&gt;19000000,DATE(INT($P282/10000),MOD(INT($P282/100),100),MOD($P282,100)),INT($P282)),IF(LEN(SUBSTITUTE(SUBSTITUTE(SUBSTITUTE(TRIM($P282),"-",""),".",""),"/",""))=8,DATE(VALUE(LEFT(SUBSTITUTE(SUBSTITUTE(SUBSTITUTE(TRIM($P282),"-",""),".",""),"/",""),4)),VALUE(MID(SUBSTITUTE(SUBSTITUTE(SUBSTITUTE(TRIM($P282),"-",""),".",""),"/",""),5,2)),VALUE(RIGHT(SUBSTITUTE(SUBSTITUTE(SUBSTITUTE(TRIM($P282),"-",""),".",""),"/",""),2))),DATEVALUE($P282))),""))</f>
        <v/>
      </c>
      <c r="Y282" s="56" t="str">
        <f aca="false">IF($M282="","",IFERROR(INDEX(강사DB!$D$4:$D$53,MATCH($M282,강사DB!$A$4:$A$53,0)),""))</f>
        <v/>
      </c>
      <c r="Z282" s="56" t="str">
        <f aca="false">IF($B282&lt;&gt;"결제완료","",IF(OR($Y282="",$J282=""),"",$Y282*$J282+MAX(0,N($K282)-1)*설정!$J$7))</f>
        <v/>
      </c>
      <c r="AA282" s="56" t="str">
        <f aca="false">IF(AND($D282&lt;&gt;"",$B282="결제완료"),N($N282),"")</f>
        <v/>
      </c>
      <c r="AB282" s="45" t="str">
        <f aca="false">IF($D282="","",IF($F282&lt;&gt;"",$F282,$D282)&amp;IF($B282="상담중"," (상담)",""))</f>
        <v/>
      </c>
      <c r="AC282" s="45" t="n">
        <f aca="false">IF(AND($D282&lt;&gt;"",OR($B282="결제완료",$B282="상담중")),1,0)</f>
        <v>0</v>
      </c>
      <c r="AD282" s="45" t="n">
        <f aca="false">IF(OR($Z282="",$U282=""),0,IFERROR(IF(COUNTIFS(INDEX(g_grid,0,2*MATCH($M282,강사DB!$A$4:$A$15,0)),"&lt;&gt;",g_s,"&lt;="&amp;$U282,g_e,"&gt;="&amp;$U282)&gt;0,1,0),0))</f>
        <v>0</v>
      </c>
      <c r="AE282" s="48"/>
      <c r="AF282" s="56" t="str">
        <f aca="false">IF(AND($D282&lt;&gt;"",$B282="결제완료",$T282="대여"),설정!$J$5,"")</f>
        <v/>
      </c>
      <c r="AG282" s="54" t="str">
        <f aca="false">IF($D282="","",IF(AND($E282="",$R282=""),$AB282,"☎ "&amp;IF($E282="","-",$E282)&amp;IF($R282&lt;&gt;"","  ※ "&amp;$R282,"")&amp;IF($B282="상담중"," (상담)","")))</f>
        <v/>
      </c>
      <c r="AH282" s="56" t="str">
        <f aca="false">IF(AND($D282&lt;&gt;"",$B282="결제완료",$O282="스마트스토어"),ROUND(N($N282)*설정!$J$6,0),"")</f>
        <v/>
      </c>
      <c r="AI282" s="54" t="str">
        <f aca="false">IF($D282="","",ROW())</f>
        <v/>
      </c>
      <c r="AJ282" s="54" t="n">
        <f aca="false">IF(OR($AC282&lt;&gt;1,$M282=""),0,IF(ISNUMBER(SEARCH("퇴사",IFERROR(INDEX(강사DB!$G$4:$G$53,MATCH($M282,강사DB!$A$4:$A$53,0)),""))),1,0))</f>
        <v>0</v>
      </c>
    </row>
    <row r="283" customFormat="false" ht="15" hidden="false" customHeight="false" outlineLevel="0" collapsed="false">
      <c r="A283" s="45" t="str">
        <f aca="false">IF($D283="","",COUNTA($D$5:$D283))</f>
        <v/>
      </c>
      <c r="B283" s="46"/>
      <c r="C283" s="47"/>
      <c r="D283" s="48"/>
      <c r="E283" s="48"/>
      <c r="F283" s="49"/>
      <c r="G283" s="47"/>
      <c r="H283" s="50"/>
      <c r="I283" s="50"/>
      <c r="J283" s="51" t="str">
        <f aca="false">IF(OR($V283="",$W283=""),"",ROUND(($W283-$V283)/60,2))</f>
        <v/>
      </c>
      <c r="K283" s="52" t="str">
        <f aca="false">IF($F283="","",LEN($F283)-LEN(SUBSTITUTE($F283,",",""))+1)</f>
        <v/>
      </c>
      <c r="L283" s="45" t="str">
        <f aca="false">IF($K283="","","1:"&amp;$K283)</f>
        <v/>
      </c>
      <c r="M283" s="46"/>
      <c r="N283" s="53"/>
      <c r="O283" s="46"/>
      <c r="P283" s="47"/>
      <c r="Q283" s="48"/>
      <c r="R283" s="49"/>
      <c r="S283" s="54" t="str">
        <f aca="false">IF(OR($AC283=0,$U283="",$M283="",$V283="",$W283=""),"",IF(COUNTIFS(m_teacher,$M283,m_date,$U283,m_active,1,m_start,"&lt;"&amp;$W283,m_end,"&gt;"&amp;$V283)&gt;1,"충돌",""))</f>
        <v/>
      </c>
      <c r="T283" s="48"/>
      <c r="U283" s="55" t="str">
        <f aca="false">IF($G283="","",IFERROR(IF(ISNUMBER($G283),IF($G283&gt;19000000,DATE(INT($G283/10000),MOD(INT($G283/100),100),MOD($G283,100)),INT($G283)),IF(LEN(SUBSTITUTE(SUBSTITUTE(SUBSTITUTE(TRIM($G283),"-",""),".",""),"/",""))=8,DATE(VALUE(LEFT(SUBSTITUTE(SUBSTITUTE(SUBSTITUTE(TRIM($G283),"-",""),".",""),"/",""),4)),VALUE(MID(SUBSTITUTE(SUBSTITUTE(SUBSTITUTE(TRIM($G283),"-",""),".",""),"/",""),5,2)),VALUE(RIGHT(SUBSTITUTE(SUBSTITUTE(SUBSTITUTE(TRIM($G283),"-",""),".",""),"/",""),2))),DATEVALUE($G283))),""))</f>
        <v/>
      </c>
      <c r="V283" s="52" t="str">
        <f aca="false">IF($H283="","",IFERROR(IF(IF(ISNUMBER($H283),$H283,IFERROR(TIMEVALUE($H283),VALUE($H283)))&gt;=100,INT(IF(ISNUMBER($H283),$H283,IFERROR(TIMEVALUE($H283),VALUE($H283)))/100)*60+MOD(IF(ISNUMBER($H283),$H283,IFERROR(TIMEVALUE($H283),VALUE($H283))),100),IF(IF(ISNUMBER($H283),$H283,IFERROR(TIMEVALUE($H283),VALUE($H283)))&gt;=1,ROUND(IF(ISNUMBER($H283),$H283,IFERROR(TIMEVALUE($H283),VALUE($H283)))*60,0),ROUND(MOD(IF(ISNUMBER($H283),$H283,IFERROR(TIMEVALUE($H283),VALUE($H283))),1)*1440,0))),""))</f>
        <v/>
      </c>
      <c r="W283" s="52" t="str">
        <f aca="false">IF($I283="","",IFERROR(IF(IF(ISNUMBER($I283),$I283,IFERROR(TIMEVALUE($I283),VALUE($I283)))&gt;=100,INT(IF(ISNUMBER($I283),$I283,IFERROR(TIMEVALUE($I283),VALUE($I283)))/100)*60+MOD(IF(ISNUMBER($I283),$I283,IFERROR(TIMEVALUE($I283),VALUE($I283))),100),IF(IF(ISNUMBER($I283),$I283,IFERROR(TIMEVALUE($I283),VALUE($I283)))&gt;=1,ROUND(IF(ISNUMBER($I283),$I283,IFERROR(TIMEVALUE($I283),VALUE($I283)))*60,0),ROUND(MOD(IF(ISNUMBER($I283),$I283,IFERROR(TIMEVALUE($I283),VALUE($I283))),1)*1440,0))),""))</f>
        <v/>
      </c>
      <c r="X283" s="55" t="str">
        <f aca="false">IF($P283="","",IFERROR(IF(ISNUMBER($P283),IF($P283&gt;19000000,DATE(INT($P283/10000),MOD(INT($P283/100),100),MOD($P283,100)),INT($P283)),IF(LEN(SUBSTITUTE(SUBSTITUTE(SUBSTITUTE(TRIM($P283),"-",""),".",""),"/",""))=8,DATE(VALUE(LEFT(SUBSTITUTE(SUBSTITUTE(SUBSTITUTE(TRIM($P283),"-",""),".",""),"/",""),4)),VALUE(MID(SUBSTITUTE(SUBSTITUTE(SUBSTITUTE(TRIM($P283),"-",""),".",""),"/",""),5,2)),VALUE(RIGHT(SUBSTITUTE(SUBSTITUTE(SUBSTITUTE(TRIM($P283),"-",""),".",""),"/",""),2))),DATEVALUE($P283))),""))</f>
        <v/>
      </c>
      <c r="Y283" s="56" t="str">
        <f aca="false">IF($M283="","",IFERROR(INDEX(강사DB!$D$4:$D$53,MATCH($M283,강사DB!$A$4:$A$53,0)),""))</f>
        <v/>
      </c>
      <c r="Z283" s="56" t="str">
        <f aca="false">IF($B283&lt;&gt;"결제완료","",IF(OR($Y283="",$J283=""),"",$Y283*$J283+MAX(0,N($K283)-1)*설정!$J$7))</f>
        <v/>
      </c>
      <c r="AA283" s="56" t="str">
        <f aca="false">IF(AND($D283&lt;&gt;"",$B283="결제완료"),N($N283),"")</f>
        <v/>
      </c>
      <c r="AB283" s="45" t="str">
        <f aca="false">IF($D283="","",IF($F283&lt;&gt;"",$F283,$D283)&amp;IF($B283="상담중"," (상담)",""))</f>
        <v/>
      </c>
      <c r="AC283" s="45" t="n">
        <f aca="false">IF(AND($D283&lt;&gt;"",OR($B283="결제완료",$B283="상담중")),1,0)</f>
        <v>0</v>
      </c>
      <c r="AD283" s="45" t="n">
        <f aca="false">IF(OR($Z283="",$U283=""),0,IFERROR(IF(COUNTIFS(INDEX(g_grid,0,2*MATCH($M283,강사DB!$A$4:$A$15,0)),"&lt;&gt;",g_s,"&lt;="&amp;$U283,g_e,"&gt;="&amp;$U283)&gt;0,1,0),0))</f>
        <v>0</v>
      </c>
      <c r="AE283" s="48"/>
      <c r="AF283" s="56" t="str">
        <f aca="false">IF(AND($D283&lt;&gt;"",$B283="결제완료",$T283="대여"),설정!$J$5,"")</f>
        <v/>
      </c>
      <c r="AG283" s="54" t="str">
        <f aca="false">IF($D283="","",IF(AND($E283="",$R283=""),$AB283,"☎ "&amp;IF($E283="","-",$E283)&amp;IF($R283&lt;&gt;"","  ※ "&amp;$R283,"")&amp;IF($B283="상담중"," (상담)","")))</f>
        <v/>
      </c>
      <c r="AH283" s="56" t="str">
        <f aca="false">IF(AND($D283&lt;&gt;"",$B283="결제완료",$O283="스마트스토어"),ROUND(N($N283)*설정!$J$6,0),"")</f>
        <v/>
      </c>
      <c r="AI283" s="54" t="str">
        <f aca="false">IF($D283="","",ROW())</f>
        <v/>
      </c>
      <c r="AJ283" s="54" t="n">
        <f aca="false">IF(OR($AC283&lt;&gt;1,$M283=""),0,IF(ISNUMBER(SEARCH("퇴사",IFERROR(INDEX(강사DB!$G$4:$G$53,MATCH($M283,강사DB!$A$4:$A$53,0)),""))),1,0))</f>
        <v>0</v>
      </c>
    </row>
    <row r="284" customFormat="false" ht="15" hidden="false" customHeight="false" outlineLevel="0" collapsed="false">
      <c r="A284" s="45" t="str">
        <f aca="false">IF($D284="","",COUNTA($D$5:$D284))</f>
        <v/>
      </c>
      <c r="B284" s="46"/>
      <c r="C284" s="47"/>
      <c r="D284" s="48"/>
      <c r="E284" s="48"/>
      <c r="F284" s="49"/>
      <c r="G284" s="47"/>
      <c r="H284" s="50"/>
      <c r="I284" s="50"/>
      <c r="J284" s="51" t="str">
        <f aca="false">IF(OR($V284="",$W284=""),"",ROUND(($W284-$V284)/60,2))</f>
        <v/>
      </c>
      <c r="K284" s="52" t="str">
        <f aca="false">IF($F284="","",LEN($F284)-LEN(SUBSTITUTE($F284,",",""))+1)</f>
        <v/>
      </c>
      <c r="L284" s="45" t="str">
        <f aca="false">IF($K284="","","1:"&amp;$K284)</f>
        <v/>
      </c>
      <c r="M284" s="46"/>
      <c r="N284" s="53"/>
      <c r="O284" s="46"/>
      <c r="P284" s="47"/>
      <c r="Q284" s="48"/>
      <c r="R284" s="49"/>
      <c r="S284" s="54" t="str">
        <f aca="false">IF(OR($AC284=0,$U284="",$M284="",$V284="",$W284=""),"",IF(COUNTIFS(m_teacher,$M284,m_date,$U284,m_active,1,m_start,"&lt;"&amp;$W284,m_end,"&gt;"&amp;$V284)&gt;1,"충돌",""))</f>
        <v/>
      </c>
      <c r="T284" s="48"/>
      <c r="U284" s="55" t="str">
        <f aca="false">IF($G284="","",IFERROR(IF(ISNUMBER($G284),IF($G284&gt;19000000,DATE(INT($G284/10000),MOD(INT($G284/100),100),MOD($G284,100)),INT($G284)),IF(LEN(SUBSTITUTE(SUBSTITUTE(SUBSTITUTE(TRIM($G284),"-",""),".",""),"/",""))=8,DATE(VALUE(LEFT(SUBSTITUTE(SUBSTITUTE(SUBSTITUTE(TRIM($G284),"-",""),".",""),"/",""),4)),VALUE(MID(SUBSTITUTE(SUBSTITUTE(SUBSTITUTE(TRIM($G284),"-",""),".",""),"/",""),5,2)),VALUE(RIGHT(SUBSTITUTE(SUBSTITUTE(SUBSTITUTE(TRIM($G284),"-",""),".",""),"/",""),2))),DATEVALUE($G284))),""))</f>
        <v/>
      </c>
      <c r="V284" s="52" t="str">
        <f aca="false">IF($H284="","",IFERROR(IF(IF(ISNUMBER($H284),$H284,IFERROR(TIMEVALUE($H284),VALUE($H284)))&gt;=100,INT(IF(ISNUMBER($H284),$H284,IFERROR(TIMEVALUE($H284),VALUE($H284)))/100)*60+MOD(IF(ISNUMBER($H284),$H284,IFERROR(TIMEVALUE($H284),VALUE($H284))),100),IF(IF(ISNUMBER($H284),$H284,IFERROR(TIMEVALUE($H284),VALUE($H284)))&gt;=1,ROUND(IF(ISNUMBER($H284),$H284,IFERROR(TIMEVALUE($H284),VALUE($H284)))*60,0),ROUND(MOD(IF(ISNUMBER($H284),$H284,IFERROR(TIMEVALUE($H284),VALUE($H284))),1)*1440,0))),""))</f>
        <v/>
      </c>
      <c r="W284" s="52" t="str">
        <f aca="false">IF($I284="","",IFERROR(IF(IF(ISNUMBER($I284),$I284,IFERROR(TIMEVALUE($I284),VALUE($I284)))&gt;=100,INT(IF(ISNUMBER($I284),$I284,IFERROR(TIMEVALUE($I284),VALUE($I284)))/100)*60+MOD(IF(ISNUMBER($I284),$I284,IFERROR(TIMEVALUE($I284),VALUE($I284))),100),IF(IF(ISNUMBER($I284),$I284,IFERROR(TIMEVALUE($I284),VALUE($I284)))&gt;=1,ROUND(IF(ISNUMBER($I284),$I284,IFERROR(TIMEVALUE($I284),VALUE($I284)))*60,0),ROUND(MOD(IF(ISNUMBER($I284),$I284,IFERROR(TIMEVALUE($I284),VALUE($I284))),1)*1440,0))),""))</f>
        <v/>
      </c>
      <c r="X284" s="55" t="str">
        <f aca="false">IF($P284="","",IFERROR(IF(ISNUMBER($P284),IF($P284&gt;19000000,DATE(INT($P284/10000),MOD(INT($P284/100),100),MOD($P284,100)),INT($P284)),IF(LEN(SUBSTITUTE(SUBSTITUTE(SUBSTITUTE(TRIM($P284),"-",""),".",""),"/",""))=8,DATE(VALUE(LEFT(SUBSTITUTE(SUBSTITUTE(SUBSTITUTE(TRIM($P284),"-",""),".",""),"/",""),4)),VALUE(MID(SUBSTITUTE(SUBSTITUTE(SUBSTITUTE(TRIM($P284),"-",""),".",""),"/",""),5,2)),VALUE(RIGHT(SUBSTITUTE(SUBSTITUTE(SUBSTITUTE(TRIM($P284),"-",""),".",""),"/",""),2))),DATEVALUE($P284))),""))</f>
        <v/>
      </c>
      <c r="Y284" s="56" t="str">
        <f aca="false">IF($M284="","",IFERROR(INDEX(강사DB!$D$4:$D$53,MATCH($M284,강사DB!$A$4:$A$53,0)),""))</f>
        <v/>
      </c>
      <c r="Z284" s="56" t="str">
        <f aca="false">IF($B284&lt;&gt;"결제완료","",IF(OR($Y284="",$J284=""),"",$Y284*$J284+MAX(0,N($K284)-1)*설정!$J$7))</f>
        <v/>
      </c>
      <c r="AA284" s="56" t="str">
        <f aca="false">IF(AND($D284&lt;&gt;"",$B284="결제완료"),N($N284),"")</f>
        <v/>
      </c>
      <c r="AB284" s="45" t="str">
        <f aca="false">IF($D284="","",IF($F284&lt;&gt;"",$F284,$D284)&amp;IF($B284="상담중"," (상담)",""))</f>
        <v/>
      </c>
      <c r="AC284" s="45" t="n">
        <f aca="false">IF(AND($D284&lt;&gt;"",OR($B284="결제완료",$B284="상담중")),1,0)</f>
        <v>0</v>
      </c>
      <c r="AD284" s="45" t="n">
        <f aca="false">IF(OR($Z284="",$U284=""),0,IFERROR(IF(COUNTIFS(INDEX(g_grid,0,2*MATCH($M284,강사DB!$A$4:$A$15,0)),"&lt;&gt;",g_s,"&lt;="&amp;$U284,g_e,"&gt;="&amp;$U284)&gt;0,1,0),0))</f>
        <v>0</v>
      </c>
      <c r="AE284" s="48"/>
      <c r="AF284" s="56" t="str">
        <f aca="false">IF(AND($D284&lt;&gt;"",$B284="결제완료",$T284="대여"),설정!$J$5,"")</f>
        <v/>
      </c>
      <c r="AG284" s="54" t="str">
        <f aca="false">IF($D284="","",IF(AND($E284="",$R284=""),$AB284,"☎ "&amp;IF($E284="","-",$E284)&amp;IF($R284&lt;&gt;"","  ※ "&amp;$R284,"")&amp;IF($B284="상담중"," (상담)","")))</f>
        <v/>
      </c>
      <c r="AH284" s="56" t="str">
        <f aca="false">IF(AND($D284&lt;&gt;"",$B284="결제완료",$O284="스마트스토어"),ROUND(N($N284)*설정!$J$6,0),"")</f>
        <v/>
      </c>
      <c r="AI284" s="54" t="str">
        <f aca="false">IF($D284="","",ROW())</f>
        <v/>
      </c>
      <c r="AJ284" s="54" t="n">
        <f aca="false">IF(OR($AC284&lt;&gt;1,$M284=""),0,IF(ISNUMBER(SEARCH("퇴사",IFERROR(INDEX(강사DB!$G$4:$G$53,MATCH($M284,강사DB!$A$4:$A$53,0)),""))),1,0))</f>
        <v>0</v>
      </c>
    </row>
    <row r="285" customFormat="false" ht="15" hidden="false" customHeight="false" outlineLevel="0" collapsed="false">
      <c r="A285" s="45" t="str">
        <f aca="false">IF($D285="","",COUNTA($D$5:$D285))</f>
        <v/>
      </c>
      <c r="B285" s="46"/>
      <c r="C285" s="47"/>
      <c r="D285" s="48"/>
      <c r="E285" s="48"/>
      <c r="F285" s="49"/>
      <c r="G285" s="47"/>
      <c r="H285" s="50"/>
      <c r="I285" s="50"/>
      <c r="J285" s="51" t="str">
        <f aca="false">IF(OR($V285="",$W285=""),"",ROUND(($W285-$V285)/60,2))</f>
        <v/>
      </c>
      <c r="K285" s="52" t="str">
        <f aca="false">IF($F285="","",LEN($F285)-LEN(SUBSTITUTE($F285,",",""))+1)</f>
        <v/>
      </c>
      <c r="L285" s="45" t="str">
        <f aca="false">IF($K285="","","1:"&amp;$K285)</f>
        <v/>
      </c>
      <c r="M285" s="46"/>
      <c r="N285" s="53"/>
      <c r="O285" s="46"/>
      <c r="P285" s="47"/>
      <c r="Q285" s="48"/>
      <c r="R285" s="49"/>
      <c r="S285" s="54" t="str">
        <f aca="false">IF(OR($AC285=0,$U285="",$M285="",$V285="",$W285=""),"",IF(COUNTIFS(m_teacher,$M285,m_date,$U285,m_active,1,m_start,"&lt;"&amp;$W285,m_end,"&gt;"&amp;$V285)&gt;1,"충돌",""))</f>
        <v/>
      </c>
      <c r="T285" s="48"/>
      <c r="U285" s="55" t="str">
        <f aca="false">IF($G285="","",IFERROR(IF(ISNUMBER($G285),IF($G285&gt;19000000,DATE(INT($G285/10000),MOD(INT($G285/100),100),MOD($G285,100)),INT($G285)),IF(LEN(SUBSTITUTE(SUBSTITUTE(SUBSTITUTE(TRIM($G285),"-",""),".",""),"/",""))=8,DATE(VALUE(LEFT(SUBSTITUTE(SUBSTITUTE(SUBSTITUTE(TRIM($G285),"-",""),".",""),"/",""),4)),VALUE(MID(SUBSTITUTE(SUBSTITUTE(SUBSTITUTE(TRIM($G285),"-",""),".",""),"/",""),5,2)),VALUE(RIGHT(SUBSTITUTE(SUBSTITUTE(SUBSTITUTE(TRIM($G285),"-",""),".",""),"/",""),2))),DATEVALUE($G285))),""))</f>
        <v/>
      </c>
      <c r="V285" s="52" t="str">
        <f aca="false">IF($H285="","",IFERROR(IF(IF(ISNUMBER($H285),$H285,IFERROR(TIMEVALUE($H285),VALUE($H285)))&gt;=100,INT(IF(ISNUMBER($H285),$H285,IFERROR(TIMEVALUE($H285),VALUE($H285)))/100)*60+MOD(IF(ISNUMBER($H285),$H285,IFERROR(TIMEVALUE($H285),VALUE($H285))),100),IF(IF(ISNUMBER($H285),$H285,IFERROR(TIMEVALUE($H285),VALUE($H285)))&gt;=1,ROUND(IF(ISNUMBER($H285),$H285,IFERROR(TIMEVALUE($H285),VALUE($H285)))*60,0),ROUND(MOD(IF(ISNUMBER($H285),$H285,IFERROR(TIMEVALUE($H285),VALUE($H285))),1)*1440,0))),""))</f>
        <v/>
      </c>
      <c r="W285" s="52" t="str">
        <f aca="false">IF($I285="","",IFERROR(IF(IF(ISNUMBER($I285),$I285,IFERROR(TIMEVALUE($I285),VALUE($I285)))&gt;=100,INT(IF(ISNUMBER($I285),$I285,IFERROR(TIMEVALUE($I285),VALUE($I285)))/100)*60+MOD(IF(ISNUMBER($I285),$I285,IFERROR(TIMEVALUE($I285),VALUE($I285))),100),IF(IF(ISNUMBER($I285),$I285,IFERROR(TIMEVALUE($I285),VALUE($I285)))&gt;=1,ROUND(IF(ISNUMBER($I285),$I285,IFERROR(TIMEVALUE($I285),VALUE($I285)))*60,0),ROUND(MOD(IF(ISNUMBER($I285),$I285,IFERROR(TIMEVALUE($I285),VALUE($I285))),1)*1440,0))),""))</f>
        <v/>
      </c>
      <c r="X285" s="55" t="str">
        <f aca="false">IF($P285="","",IFERROR(IF(ISNUMBER($P285),IF($P285&gt;19000000,DATE(INT($P285/10000),MOD(INT($P285/100),100),MOD($P285,100)),INT($P285)),IF(LEN(SUBSTITUTE(SUBSTITUTE(SUBSTITUTE(TRIM($P285),"-",""),".",""),"/",""))=8,DATE(VALUE(LEFT(SUBSTITUTE(SUBSTITUTE(SUBSTITUTE(TRIM($P285),"-",""),".",""),"/",""),4)),VALUE(MID(SUBSTITUTE(SUBSTITUTE(SUBSTITUTE(TRIM($P285),"-",""),".",""),"/",""),5,2)),VALUE(RIGHT(SUBSTITUTE(SUBSTITUTE(SUBSTITUTE(TRIM($P285),"-",""),".",""),"/",""),2))),DATEVALUE($P285))),""))</f>
        <v/>
      </c>
      <c r="Y285" s="56" t="str">
        <f aca="false">IF($M285="","",IFERROR(INDEX(강사DB!$D$4:$D$53,MATCH($M285,강사DB!$A$4:$A$53,0)),""))</f>
        <v/>
      </c>
      <c r="Z285" s="56" t="str">
        <f aca="false">IF($B285&lt;&gt;"결제완료","",IF(OR($Y285="",$J285=""),"",$Y285*$J285+MAX(0,N($K285)-1)*설정!$J$7))</f>
        <v/>
      </c>
      <c r="AA285" s="56" t="str">
        <f aca="false">IF(AND($D285&lt;&gt;"",$B285="결제완료"),N($N285),"")</f>
        <v/>
      </c>
      <c r="AB285" s="45" t="str">
        <f aca="false">IF($D285="","",IF($F285&lt;&gt;"",$F285,$D285)&amp;IF($B285="상담중"," (상담)",""))</f>
        <v/>
      </c>
      <c r="AC285" s="45" t="n">
        <f aca="false">IF(AND($D285&lt;&gt;"",OR($B285="결제완료",$B285="상담중")),1,0)</f>
        <v>0</v>
      </c>
      <c r="AD285" s="45" t="n">
        <f aca="false">IF(OR($Z285="",$U285=""),0,IFERROR(IF(COUNTIFS(INDEX(g_grid,0,2*MATCH($M285,강사DB!$A$4:$A$15,0)),"&lt;&gt;",g_s,"&lt;="&amp;$U285,g_e,"&gt;="&amp;$U285)&gt;0,1,0),0))</f>
        <v>0</v>
      </c>
      <c r="AE285" s="48"/>
      <c r="AF285" s="56" t="str">
        <f aca="false">IF(AND($D285&lt;&gt;"",$B285="결제완료",$T285="대여"),설정!$J$5,"")</f>
        <v/>
      </c>
      <c r="AG285" s="54" t="str">
        <f aca="false">IF($D285="","",IF(AND($E285="",$R285=""),$AB285,"☎ "&amp;IF($E285="","-",$E285)&amp;IF($R285&lt;&gt;"","  ※ "&amp;$R285,"")&amp;IF($B285="상담중"," (상담)","")))</f>
        <v/>
      </c>
      <c r="AH285" s="56" t="str">
        <f aca="false">IF(AND($D285&lt;&gt;"",$B285="결제완료",$O285="스마트스토어"),ROUND(N($N285)*설정!$J$6,0),"")</f>
        <v/>
      </c>
      <c r="AI285" s="54" t="str">
        <f aca="false">IF($D285="","",ROW())</f>
        <v/>
      </c>
      <c r="AJ285" s="54" t="n">
        <f aca="false">IF(OR($AC285&lt;&gt;1,$M285=""),0,IF(ISNUMBER(SEARCH("퇴사",IFERROR(INDEX(강사DB!$G$4:$G$53,MATCH($M285,강사DB!$A$4:$A$53,0)),""))),1,0))</f>
        <v>0</v>
      </c>
    </row>
    <row r="286" customFormat="false" ht="15" hidden="false" customHeight="false" outlineLevel="0" collapsed="false">
      <c r="A286" s="45" t="str">
        <f aca="false">IF($D286="","",COUNTA($D$5:$D286))</f>
        <v/>
      </c>
      <c r="B286" s="46"/>
      <c r="C286" s="47"/>
      <c r="D286" s="48"/>
      <c r="E286" s="48"/>
      <c r="F286" s="49"/>
      <c r="G286" s="47"/>
      <c r="H286" s="50"/>
      <c r="I286" s="50"/>
      <c r="J286" s="51" t="str">
        <f aca="false">IF(OR($V286="",$W286=""),"",ROUND(($W286-$V286)/60,2))</f>
        <v/>
      </c>
      <c r="K286" s="52" t="str">
        <f aca="false">IF($F286="","",LEN($F286)-LEN(SUBSTITUTE($F286,",",""))+1)</f>
        <v/>
      </c>
      <c r="L286" s="45" t="str">
        <f aca="false">IF($K286="","","1:"&amp;$K286)</f>
        <v/>
      </c>
      <c r="M286" s="46"/>
      <c r="N286" s="53"/>
      <c r="O286" s="46"/>
      <c r="P286" s="47"/>
      <c r="Q286" s="48"/>
      <c r="R286" s="49"/>
      <c r="S286" s="54" t="str">
        <f aca="false">IF(OR($AC286=0,$U286="",$M286="",$V286="",$W286=""),"",IF(COUNTIFS(m_teacher,$M286,m_date,$U286,m_active,1,m_start,"&lt;"&amp;$W286,m_end,"&gt;"&amp;$V286)&gt;1,"충돌",""))</f>
        <v/>
      </c>
      <c r="T286" s="48"/>
      <c r="U286" s="55" t="str">
        <f aca="false">IF($G286="","",IFERROR(IF(ISNUMBER($G286),IF($G286&gt;19000000,DATE(INT($G286/10000),MOD(INT($G286/100),100),MOD($G286,100)),INT($G286)),IF(LEN(SUBSTITUTE(SUBSTITUTE(SUBSTITUTE(TRIM($G286),"-",""),".",""),"/",""))=8,DATE(VALUE(LEFT(SUBSTITUTE(SUBSTITUTE(SUBSTITUTE(TRIM($G286),"-",""),".",""),"/",""),4)),VALUE(MID(SUBSTITUTE(SUBSTITUTE(SUBSTITUTE(TRIM($G286),"-",""),".",""),"/",""),5,2)),VALUE(RIGHT(SUBSTITUTE(SUBSTITUTE(SUBSTITUTE(TRIM($G286),"-",""),".",""),"/",""),2))),DATEVALUE($G286))),""))</f>
        <v/>
      </c>
      <c r="V286" s="52" t="str">
        <f aca="false">IF($H286="","",IFERROR(IF(IF(ISNUMBER($H286),$H286,IFERROR(TIMEVALUE($H286),VALUE($H286)))&gt;=100,INT(IF(ISNUMBER($H286),$H286,IFERROR(TIMEVALUE($H286),VALUE($H286)))/100)*60+MOD(IF(ISNUMBER($H286),$H286,IFERROR(TIMEVALUE($H286),VALUE($H286))),100),IF(IF(ISNUMBER($H286),$H286,IFERROR(TIMEVALUE($H286),VALUE($H286)))&gt;=1,ROUND(IF(ISNUMBER($H286),$H286,IFERROR(TIMEVALUE($H286),VALUE($H286)))*60,0),ROUND(MOD(IF(ISNUMBER($H286),$H286,IFERROR(TIMEVALUE($H286),VALUE($H286))),1)*1440,0))),""))</f>
        <v/>
      </c>
      <c r="W286" s="52" t="str">
        <f aca="false">IF($I286="","",IFERROR(IF(IF(ISNUMBER($I286),$I286,IFERROR(TIMEVALUE($I286),VALUE($I286)))&gt;=100,INT(IF(ISNUMBER($I286),$I286,IFERROR(TIMEVALUE($I286),VALUE($I286)))/100)*60+MOD(IF(ISNUMBER($I286),$I286,IFERROR(TIMEVALUE($I286),VALUE($I286))),100),IF(IF(ISNUMBER($I286),$I286,IFERROR(TIMEVALUE($I286),VALUE($I286)))&gt;=1,ROUND(IF(ISNUMBER($I286),$I286,IFERROR(TIMEVALUE($I286),VALUE($I286)))*60,0),ROUND(MOD(IF(ISNUMBER($I286),$I286,IFERROR(TIMEVALUE($I286),VALUE($I286))),1)*1440,0))),""))</f>
        <v/>
      </c>
      <c r="X286" s="55" t="str">
        <f aca="false">IF($P286="","",IFERROR(IF(ISNUMBER($P286),IF($P286&gt;19000000,DATE(INT($P286/10000),MOD(INT($P286/100),100),MOD($P286,100)),INT($P286)),IF(LEN(SUBSTITUTE(SUBSTITUTE(SUBSTITUTE(TRIM($P286),"-",""),".",""),"/",""))=8,DATE(VALUE(LEFT(SUBSTITUTE(SUBSTITUTE(SUBSTITUTE(TRIM($P286),"-",""),".",""),"/",""),4)),VALUE(MID(SUBSTITUTE(SUBSTITUTE(SUBSTITUTE(TRIM($P286),"-",""),".",""),"/",""),5,2)),VALUE(RIGHT(SUBSTITUTE(SUBSTITUTE(SUBSTITUTE(TRIM($P286),"-",""),".",""),"/",""),2))),DATEVALUE($P286))),""))</f>
        <v/>
      </c>
      <c r="Y286" s="56" t="str">
        <f aca="false">IF($M286="","",IFERROR(INDEX(강사DB!$D$4:$D$53,MATCH($M286,강사DB!$A$4:$A$53,0)),""))</f>
        <v/>
      </c>
      <c r="Z286" s="56" t="str">
        <f aca="false">IF($B286&lt;&gt;"결제완료","",IF(OR($Y286="",$J286=""),"",$Y286*$J286+MAX(0,N($K286)-1)*설정!$J$7))</f>
        <v/>
      </c>
      <c r="AA286" s="56" t="str">
        <f aca="false">IF(AND($D286&lt;&gt;"",$B286="결제완료"),N($N286),"")</f>
        <v/>
      </c>
      <c r="AB286" s="45" t="str">
        <f aca="false">IF($D286="","",IF($F286&lt;&gt;"",$F286,$D286)&amp;IF($B286="상담중"," (상담)",""))</f>
        <v/>
      </c>
      <c r="AC286" s="45" t="n">
        <f aca="false">IF(AND($D286&lt;&gt;"",OR($B286="결제완료",$B286="상담중")),1,0)</f>
        <v>0</v>
      </c>
      <c r="AD286" s="45" t="n">
        <f aca="false">IF(OR($Z286="",$U286=""),0,IFERROR(IF(COUNTIFS(INDEX(g_grid,0,2*MATCH($M286,강사DB!$A$4:$A$15,0)),"&lt;&gt;",g_s,"&lt;="&amp;$U286,g_e,"&gt;="&amp;$U286)&gt;0,1,0),0))</f>
        <v>0</v>
      </c>
      <c r="AE286" s="48"/>
      <c r="AF286" s="56" t="str">
        <f aca="false">IF(AND($D286&lt;&gt;"",$B286="결제완료",$T286="대여"),설정!$J$5,"")</f>
        <v/>
      </c>
      <c r="AG286" s="54" t="str">
        <f aca="false">IF($D286="","",IF(AND($E286="",$R286=""),$AB286,"☎ "&amp;IF($E286="","-",$E286)&amp;IF($R286&lt;&gt;"","  ※ "&amp;$R286,"")&amp;IF($B286="상담중"," (상담)","")))</f>
        <v/>
      </c>
      <c r="AH286" s="56" t="str">
        <f aca="false">IF(AND($D286&lt;&gt;"",$B286="결제완료",$O286="스마트스토어"),ROUND(N($N286)*설정!$J$6,0),"")</f>
        <v/>
      </c>
      <c r="AI286" s="54" t="str">
        <f aca="false">IF($D286="","",ROW())</f>
        <v/>
      </c>
      <c r="AJ286" s="54" t="n">
        <f aca="false">IF(OR($AC286&lt;&gt;1,$M286=""),0,IF(ISNUMBER(SEARCH("퇴사",IFERROR(INDEX(강사DB!$G$4:$G$53,MATCH($M286,강사DB!$A$4:$A$53,0)),""))),1,0))</f>
        <v>0</v>
      </c>
    </row>
    <row r="287" customFormat="false" ht="15" hidden="false" customHeight="false" outlineLevel="0" collapsed="false">
      <c r="A287" s="45" t="str">
        <f aca="false">IF($D287="","",COUNTA($D$5:$D287))</f>
        <v/>
      </c>
      <c r="B287" s="46"/>
      <c r="C287" s="47"/>
      <c r="D287" s="48"/>
      <c r="E287" s="48"/>
      <c r="F287" s="49"/>
      <c r="G287" s="47"/>
      <c r="H287" s="50"/>
      <c r="I287" s="50"/>
      <c r="J287" s="51" t="str">
        <f aca="false">IF(OR($V287="",$W287=""),"",ROUND(($W287-$V287)/60,2))</f>
        <v/>
      </c>
      <c r="K287" s="52" t="str">
        <f aca="false">IF($F287="","",LEN($F287)-LEN(SUBSTITUTE($F287,",",""))+1)</f>
        <v/>
      </c>
      <c r="L287" s="45" t="str">
        <f aca="false">IF($K287="","","1:"&amp;$K287)</f>
        <v/>
      </c>
      <c r="M287" s="46"/>
      <c r="N287" s="53"/>
      <c r="O287" s="46"/>
      <c r="P287" s="47"/>
      <c r="Q287" s="48"/>
      <c r="R287" s="49"/>
      <c r="S287" s="54" t="str">
        <f aca="false">IF(OR($AC287=0,$U287="",$M287="",$V287="",$W287=""),"",IF(COUNTIFS(m_teacher,$M287,m_date,$U287,m_active,1,m_start,"&lt;"&amp;$W287,m_end,"&gt;"&amp;$V287)&gt;1,"충돌",""))</f>
        <v/>
      </c>
      <c r="T287" s="48"/>
      <c r="U287" s="55" t="str">
        <f aca="false">IF($G287="","",IFERROR(IF(ISNUMBER($G287),IF($G287&gt;19000000,DATE(INT($G287/10000),MOD(INT($G287/100),100),MOD($G287,100)),INT($G287)),IF(LEN(SUBSTITUTE(SUBSTITUTE(SUBSTITUTE(TRIM($G287),"-",""),".",""),"/",""))=8,DATE(VALUE(LEFT(SUBSTITUTE(SUBSTITUTE(SUBSTITUTE(TRIM($G287),"-",""),".",""),"/",""),4)),VALUE(MID(SUBSTITUTE(SUBSTITUTE(SUBSTITUTE(TRIM($G287),"-",""),".",""),"/",""),5,2)),VALUE(RIGHT(SUBSTITUTE(SUBSTITUTE(SUBSTITUTE(TRIM($G287),"-",""),".",""),"/",""),2))),DATEVALUE($G287))),""))</f>
        <v/>
      </c>
      <c r="V287" s="52" t="str">
        <f aca="false">IF($H287="","",IFERROR(IF(IF(ISNUMBER($H287),$H287,IFERROR(TIMEVALUE($H287),VALUE($H287)))&gt;=100,INT(IF(ISNUMBER($H287),$H287,IFERROR(TIMEVALUE($H287),VALUE($H287)))/100)*60+MOD(IF(ISNUMBER($H287),$H287,IFERROR(TIMEVALUE($H287),VALUE($H287))),100),IF(IF(ISNUMBER($H287),$H287,IFERROR(TIMEVALUE($H287),VALUE($H287)))&gt;=1,ROUND(IF(ISNUMBER($H287),$H287,IFERROR(TIMEVALUE($H287),VALUE($H287)))*60,0),ROUND(MOD(IF(ISNUMBER($H287),$H287,IFERROR(TIMEVALUE($H287),VALUE($H287))),1)*1440,0))),""))</f>
        <v/>
      </c>
      <c r="W287" s="52" t="str">
        <f aca="false">IF($I287="","",IFERROR(IF(IF(ISNUMBER($I287),$I287,IFERROR(TIMEVALUE($I287),VALUE($I287)))&gt;=100,INT(IF(ISNUMBER($I287),$I287,IFERROR(TIMEVALUE($I287),VALUE($I287)))/100)*60+MOD(IF(ISNUMBER($I287),$I287,IFERROR(TIMEVALUE($I287),VALUE($I287))),100),IF(IF(ISNUMBER($I287),$I287,IFERROR(TIMEVALUE($I287),VALUE($I287)))&gt;=1,ROUND(IF(ISNUMBER($I287),$I287,IFERROR(TIMEVALUE($I287),VALUE($I287)))*60,0),ROUND(MOD(IF(ISNUMBER($I287),$I287,IFERROR(TIMEVALUE($I287),VALUE($I287))),1)*1440,0))),""))</f>
        <v/>
      </c>
      <c r="X287" s="55" t="str">
        <f aca="false">IF($P287="","",IFERROR(IF(ISNUMBER($P287),IF($P287&gt;19000000,DATE(INT($P287/10000),MOD(INT($P287/100),100),MOD($P287,100)),INT($P287)),IF(LEN(SUBSTITUTE(SUBSTITUTE(SUBSTITUTE(TRIM($P287),"-",""),".",""),"/",""))=8,DATE(VALUE(LEFT(SUBSTITUTE(SUBSTITUTE(SUBSTITUTE(TRIM($P287),"-",""),".",""),"/",""),4)),VALUE(MID(SUBSTITUTE(SUBSTITUTE(SUBSTITUTE(TRIM($P287),"-",""),".",""),"/",""),5,2)),VALUE(RIGHT(SUBSTITUTE(SUBSTITUTE(SUBSTITUTE(TRIM($P287),"-",""),".",""),"/",""),2))),DATEVALUE($P287))),""))</f>
        <v/>
      </c>
      <c r="Y287" s="56" t="str">
        <f aca="false">IF($M287="","",IFERROR(INDEX(강사DB!$D$4:$D$53,MATCH($M287,강사DB!$A$4:$A$53,0)),""))</f>
        <v/>
      </c>
      <c r="Z287" s="56" t="str">
        <f aca="false">IF($B287&lt;&gt;"결제완료","",IF(OR($Y287="",$J287=""),"",$Y287*$J287+MAX(0,N($K287)-1)*설정!$J$7))</f>
        <v/>
      </c>
      <c r="AA287" s="56" t="str">
        <f aca="false">IF(AND($D287&lt;&gt;"",$B287="결제완료"),N($N287),"")</f>
        <v/>
      </c>
      <c r="AB287" s="45" t="str">
        <f aca="false">IF($D287="","",IF($F287&lt;&gt;"",$F287,$D287)&amp;IF($B287="상담중"," (상담)",""))</f>
        <v/>
      </c>
      <c r="AC287" s="45" t="n">
        <f aca="false">IF(AND($D287&lt;&gt;"",OR($B287="결제완료",$B287="상담중")),1,0)</f>
        <v>0</v>
      </c>
      <c r="AD287" s="45" t="n">
        <f aca="false">IF(OR($Z287="",$U287=""),0,IFERROR(IF(COUNTIFS(INDEX(g_grid,0,2*MATCH($M287,강사DB!$A$4:$A$15,0)),"&lt;&gt;",g_s,"&lt;="&amp;$U287,g_e,"&gt;="&amp;$U287)&gt;0,1,0),0))</f>
        <v>0</v>
      </c>
      <c r="AE287" s="48"/>
      <c r="AF287" s="56" t="str">
        <f aca="false">IF(AND($D287&lt;&gt;"",$B287="결제완료",$T287="대여"),설정!$J$5,"")</f>
        <v/>
      </c>
      <c r="AG287" s="54" t="str">
        <f aca="false">IF($D287="","",IF(AND($E287="",$R287=""),$AB287,"☎ "&amp;IF($E287="","-",$E287)&amp;IF($R287&lt;&gt;"","  ※ "&amp;$R287,"")&amp;IF($B287="상담중"," (상담)","")))</f>
        <v/>
      </c>
      <c r="AH287" s="56" t="str">
        <f aca="false">IF(AND($D287&lt;&gt;"",$B287="결제완료",$O287="스마트스토어"),ROUND(N($N287)*설정!$J$6,0),"")</f>
        <v/>
      </c>
      <c r="AI287" s="54" t="str">
        <f aca="false">IF($D287="","",ROW())</f>
        <v/>
      </c>
      <c r="AJ287" s="54" t="n">
        <f aca="false">IF(OR($AC287&lt;&gt;1,$M287=""),0,IF(ISNUMBER(SEARCH("퇴사",IFERROR(INDEX(강사DB!$G$4:$G$53,MATCH($M287,강사DB!$A$4:$A$53,0)),""))),1,0))</f>
        <v>0</v>
      </c>
    </row>
    <row r="288" customFormat="false" ht="15" hidden="false" customHeight="false" outlineLevel="0" collapsed="false">
      <c r="A288" s="45" t="str">
        <f aca="false">IF($D288="","",COUNTA($D$5:$D288))</f>
        <v/>
      </c>
      <c r="B288" s="46"/>
      <c r="C288" s="47"/>
      <c r="D288" s="48"/>
      <c r="E288" s="48"/>
      <c r="F288" s="49"/>
      <c r="G288" s="47"/>
      <c r="H288" s="50"/>
      <c r="I288" s="50"/>
      <c r="J288" s="51" t="str">
        <f aca="false">IF(OR($V288="",$W288=""),"",ROUND(($W288-$V288)/60,2))</f>
        <v/>
      </c>
      <c r="K288" s="52" t="str">
        <f aca="false">IF($F288="","",LEN($F288)-LEN(SUBSTITUTE($F288,",",""))+1)</f>
        <v/>
      </c>
      <c r="L288" s="45" t="str">
        <f aca="false">IF($K288="","","1:"&amp;$K288)</f>
        <v/>
      </c>
      <c r="M288" s="46"/>
      <c r="N288" s="53"/>
      <c r="O288" s="46"/>
      <c r="P288" s="47"/>
      <c r="Q288" s="48"/>
      <c r="R288" s="49"/>
      <c r="S288" s="54" t="str">
        <f aca="false">IF(OR($AC288=0,$U288="",$M288="",$V288="",$W288=""),"",IF(COUNTIFS(m_teacher,$M288,m_date,$U288,m_active,1,m_start,"&lt;"&amp;$W288,m_end,"&gt;"&amp;$V288)&gt;1,"충돌",""))</f>
        <v/>
      </c>
      <c r="T288" s="48"/>
      <c r="U288" s="55" t="str">
        <f aca="false">IF($G288="","",IFERROR(IF(ISNUMBER($G288),IF($G288&gt;19000000,DATE(INT($G288/10000),MOD(INT($G288/100),100),MOD($G288,100)),INT($G288)),IF(LEN(SUBSTITUTE(SUBSTITUTE(SUBSTITUTE(TRIM($G288),"-",""),".",""),"/",""))=8,DATE(VALUE(LEFT(SUBSTITUTE(SUBSTITUTE(SUBSTITUTE(TRIM($G288),"-",""),".",""),"/",""),4)),VALUE(MID(SUBSTITUTE(SUBSTITUTE(SUBSTITUTE(TRIM($G288),"-",""),".",""),"/",""),5,2)),VALUE(RIGHT(SUBSTITUTE(SUBSTITUTE(SUBSTITUTE(TRIM($G288),"-",""),".",""),"/",""),2))),DATEVALUE($G288))),""))</f>
        <v/>
      </c>
      <c r="V288" s="52" t="str">
        <f aca="false">IF($H288="","",IFERROR(IF(IF(ISNUMBER($H288),$H288,IFERROR(TIMEVALUE($H288),VALUE($H288)))&gt;=100,INT(IF(ISNUMBER($H288),$H288,IFERROR(TIMEVALUE($H288),VALUE($H288)))/100)*60+MOD(IF(ISNUMBER($H288),$H288,IFERROR(TIMEVALUE($H288),VALUE($H288))),100),IF(IF(ISNUMBER($H288),$H288,IFERROR(TIMEVALUE($H288),VALUE($H288)))&gt;=1,ROUND(IF(ISNUMBER($H288),$H288,IFERROR(TIMEVALUE($H288),VALUE($H288)))*60,0),ROUND(MOD(IF(ISNUMBER($H288),$H288,IFERROR(TIMEVALUE($H288),VALUE($H288))),1)*1440,0))),""))</f>
        <v/>
      </c>
      <c r="W288" s="52" t="str">
        <f aca="false">IF($I288="","",IFERROR(IF(IF(ISNUMBER($I288),$I288,IFERROR(TIMEVALUE($I288),VALUE($I288)))&gt;=100,INT(IF(ISNUMBER($I288),$I288,IFERROR(TIMEVALUE($I288),VALUE($I288)))/100)*60+MOD(IF(ISNUMBER($I288),$I288,IFERROR(TIMEVALUE($I288),VALUE($I288))),100),IF(IF(ISNUMBER($I288),$I288,IFERROR(TIMEVALUE($I288),VALUE($I288)))&gt;=1,ROUND(IF(ISNUMBER($I288),$I288,IFERROR(TIMEVALUE($I288),VALUE($I288)))*60,0),ROUND(MOD(IF(ISNUMBER($I288),$I288,IFERROR(TIMEVALUE($I288),VALUE($I288))),1)*1440,0))),""))</f>
        <v/>
      </c>
      <c r="X288" s="55" t="str">
        <f aca="false">IF($P288="","",IFERROR(IF(ISNUMBER($P288),IF($P288&gt;19000000,DATE(INT($P288/10000),MOD(INT($P288/100),100),MOD($P288,100)),INT($P288)),IF(LEN(SUBSTITUTE(SUBSTITUTE(SUBSTITUTE(TRIM($P288),"-",""),".",""),"/",""))=8,DATE(VALUE(LEFT(SUBSTITUTE(SUBSTITUTE(SUBSTITUTE(TRIM($P288),"-",""),".",""),"/",""),4)),VALUE(MID(SUBSTITUTE(SUBSTITUTE(SUBSTITUTE(TRIM($P288),"-",""),".",""),"/",""),5,2)),VALUE(RIGHT(SUBSTITUTE(SUBSTITUTE(SUBSTITUTE(TRIM($P288),"-",""),".",""),"/",""),2))),DATEVALUE($P288))),""))</f>
        <v/>
      </c>
      <c r="Y288" s="56" t="str">
        <f aca="false">IF($M288="","",IFERROR(INDEX(강사DB!$D$4:$D$53,MATCH($M288,강사DB!$A$4:$A$53,0)),""))</f>
        <v/>
      </c>
      <c r="Z288" s="56" t="str">
        <f aca="false">IF($B288&lt;&gt;"결제완료","",IF(OR($Y288="",$J288=""),"",$Y288*$J288+MAX(0,N($K288)-1)*설정!$J$7))</f>
        <v/>
      </c>
      <c r="AA288" s="56" t="str">
        <f aca="false">IF(AND($D288&lt;&gt;"",$B288="결제완료"),N($N288),"")</f>
        <v/>
      </c>
      <c r="AB288" s="45" t="str">
        <f aca="false">IF($D288="","",IF($F288&lt;&gt;"",$F288,$D288)&amp;IF($B288="상담중"," (상담)",""))</f>
        <v/>
      </c>
      <c r="AC288" s="45" t="n">
        <f aca="false">IF(AND($D288&lt;&gt;"",OR($B288="결제완료",$B288="상담중")),1,0)</f>
        <v>0</v>
      </c>
      <c r="AD288" s="45" t="n">
        <f aca="false">IF(OR($Z288="",$U288=""),0,IFERROR(IF(COUNTIFS(INDEX(g_grid,0,2*MATCH($M288,강사DB!$A$4:$A$15,0)),"&lt;&gt;",g_s,"&lt;="&amp;$U288,g_e,"&gt;="&amp;$U288)&gt;0,1,0),0))</f>
        <v>0</v>
      </c>
      <c r="AE288" s="48"/>
      <c r="AF288" s="56" t="str">
        <f aca="false">IF(AND($D288&lt;&gt;"",$B288="결제완료",$T288="대여"),설정!$J$5,"")</f>
        <v/>
      </c>
      <c r="AG288" s="54" t="str">
        <f aca="false">IF($D288="","",IF(AND($E288="",$R288=""),$AB288,"☎ "&amp;IF($E288="","-",$E288)&amp;IF($R288&lt;&gt;"","  ※ "&amp;$R288,"")&amp;IF($B288="상담중"," (상담)","")))</f>
        <v/>
      </c>
      <c r="AH288" s="56" t="str">
        <f aca="false">IF(AND($D288&lt;&gt;"",$B288="결제완료",$O288="스마트스토어"),ROUND(N($N288)*설정!$J$6,0),"")</f>
        <v/>
      </c>
      <c r="AI288" s="54" t="str">
        <f aca="false">IF($D288="","",ROW())</f>
        <v/>
      </c>
      <c r="AJ288" s="54" t="n">
        <f aca="false">IF(OR($AC288&lt;&gt;1,$M288=""),0,IF(ISNUMBER(SEARCH("퇴사",IFERROR(INDEX(강사DB!$G$4:$G$53,MATCH($M288,강사DB!$A$4:$A$53,0)),""))),1,0))</f>
        <v>0</v>
      </c>
    </row>
    <row r="289" customFormat="false" ht="15" hidden="false" customHeight="false" outlineLevel="0" collapsed="false">
      <c r="A289" s="45" t="str">
        <f aca="false">IF($D289="","",COUNTA($D$5:$D289))</f>
        <v/>
      </c>
      <c r="B289" s="46"/>
      <c r="C289" s="47"/>
      <c r="D289" s="48"/>
      <c r="E289" s="48"/>
      <c r="F289" s="49"/>
      <c r="G289" s="47"/>
      <c r="H289" s="50"/>
      <c r="I289" s="50"/>
      <c r="J289" s="51" t="str">
        <f aca="false">IF(OR($V289="",$W289=""),"",ROUND(($W289-$V289)/60,2))</f>
        <v/>
      </c>
      <c r="K289" s="52" t="str">
        <f aca="false">IF($F289="","",LEN($F289)-LEN(SUBSTITUTE($F289,",",""))+1)</f>
        <v/>
      </c>
      <c r="L289" s="45" t="str">
        <f aca="false">IF($K289="","","1:"&amp;$K289)</f>
        <v/>
      </c>
      <c r="M289" s="46"/>
      <c r="N289" s="53"/>
      <c r="O289" s="46"/>
      <c r="P289" s="47"/>
      <c r="Q289" s="48"/>
      <c r="R289" s="49"/>
      <c r="S289" s="54" t="str">
        <f aca="false">IF(OR($AC289=0,$U289="",$M289="",$V289="",$W289=""),"",IF(COUNTIFS(m_teacher,$M289,m_date,$U289,m_active,1,m_start,"&lt;"&amp;$W289,m_end,"&gt;"&amp;$V289)&gt;1,"충돌",""))</f>
        <v/>
      </c>
      <c r="T289" s="48"/>
      <c r="U289" s="55" t="str">
        <f aca="false">IF($G289="","",IFERROR(IF(ISNUMBER($G289),IF($G289&gt;19000000,DATE(INT($G289/10000),MOD(INT($G289/100),100),MOD($G289,100)),INT($G289)),IF(LEN(SUBSTITUTE(SUBSTITUTE(SUBSTITUTE(TRIM($G289),"-",""),".",""),"/",""))=8,DATE(VALUE(LEFT(SUBSTITUTE(SUBSTITUTE(SUBSTITUTE(TRIM($G289),"-",""),".",""),"/",""),4)),VALUE(MID(SUBSTITUTE(SUBSTITUTE(SUBSTITUTE(TRIM($G289),"-",""),".",""),"/",""),5,2)),VALUE(RIGHT(SUBSTITUTE(SUBSTITUTE(SUBSTITUTE(TRIM($G289),"-",""),".",""),"/",""),2))),DATEVALUE($G289))),""))</f>
        <v/>
      </c>
      <c r="V289" s="52" t="str">
        <f aca="false">IF($H289="","",IFERROR(IF(IF(ISNUMBER($H289),$H289,IFERROR(TIMEVALUE($H289),VALUE($H289)))&gt;=100,INT(IF(ISNUMBER($H289),$H289,IFERROR(TIMEVALUE($H289),VALUE($H289)))/100)*60+MOD(IF(ISNUMBER($H289),$H289,IFERROR(TIMEVALUE($H289),VALUE($H289))),100),IF(IF(ISNUMBER($H289),$H289,IFERROR(TIMEVALUE($H289),VALUE($H289)))&gt;=1,ROUND(IF(ISNUMBER($H289),$H289,IFERROR(TIMEVALUE($H289),VALUE($H289)))*60,0),ROUND(MOD(IF(ISNUMBER($H289),$H289,IFERROR(TIMEVALUE($H289),VALUE($H289))),1)*1440,0))),""))</f>
        <v/>
      </c>
      <c r="W289" s="52" t="str">
        <f aca="false">IF($I289="","",IFERROR(IF(IF(ISNUMBER($I289),$I289,IFERROR(TIMEVALUE($I289),VALUE($I289)))&gt;=100,INT(IF(ISNUMBER($I289),$I289,IFERROR(TIMEVALUE($I289),VALUE($I289)))/100)*60+MOD(IF(ISNUMBER($I289),$I289,IFERROR(TIMEVALUE($I289),VALUE($I289))),100),IF(IF(ISNUMBER($I289),$I289,IFERROR(TIMEVALUE($I289),VALUE($I289)))&gt;=1,ROUND(IF(ISNUMBER($I289),$I289,IFERROR(TIMEVALUE($I289),VALUE($I289)))*60,0),ROUND(MOD(IF(ISNUMBER($I289),$I289,IFERROR(TIMEVALUE($I289),VALUE($I289))),1)*1440,0))),""))</f>
        <v/>
      </c>
      <c r="X289" s="55" t="str">
        <f aca="false">IF($P289="","",IFERROR(IF(ISNUMBER($P289),IF($P289&gt;19000000,DATE(INT($P289/10000),MOD(INT($P289/100),100),MOD($P289,100)),INT($P289)),IF(LEN(SUBSTITUTE(SUBSTITUTE(SUBSTITUTE(TRIM($P289),"-",""),".",""),"/",""))=8,DATE(VALUE(LEFT(SUBSTITUTE(SUBSTITUTE(SUBSTITUTE(TRIM($P289),"-",""),".",""),"/",""),4)),VALUE(MID(SUBSTITUTE(SUBSTITUTE(SUBSTITUTE(TRIM($P289),"-",""),".",""),"/",""),5,2)),VALUE(RIGHT(SUBSTITUTE(SUBSTITUTE(SUBSTITUTE(TRIM($P289),"-",""),".",""),"/",""),2))),DATEVALUE($P289))),""))</f>
        <v/>
      </c>
      <c r="Y289" s="56" t="str">
        <f aca="false">IF($M289="","",IFERROR(INDEX(강사DB!$D$4:$D$53,MATCH($M289,강사DB!$A$4:$A$53,0)),""))</f>
        <v/>
      </c>
      <c r="Z289" s="56" t="str">
        <f aca="false">IF($B289&lt;&gt;"결제완료","",IF(OR($Y289="",$J289=""),"",$Y289*$J289+MAX(0,N($K289)-1)*설정!$J$7))</f>
        <v/>
      </c>
      <c r="AA289" s="56" t="str">
        <f aca="false">IF(AND($D289&lt;&gt;"",$B289="결제완료"),N($N289),"")</f>
        <v/>
      </c>
      <c r="AB289" s="45" t="str">
        <f aca="false">IF($D289="","",IF($F289&lt;&gt;"",$F289,$D289)&amp;IF($B289="상담중"," (상담)",""))</f>
        <v/>
      </c>
      <c r="AC289" s="45" t="n">
        <f aca="false">IF(AND($D289&lt;&gt;"",OR($B289="결제완료",$B289="상담중")),1,0)</f>
        <v>0</v>
      </c>
      <c r="AD289" s="45" t="n">
        <f aca="false">IF(OR($Z289="",$U289=""),0,IFERROR(IF(COUNTIFS(INDEX(g_grid,0,2*MATCH($M289,강사DB!$A$4:$A$15,0)),"&lt;&gt;",g_s,"&lt;="&amp;$U289,g_e,"&gt;="&amp;$U289)&gt;0,1,0),0))</f>
        <v>0</v>
      </c>
      <c r="AE289" s="48"/>
      <c r="AF289" s="56" t="str">
        <f aca="false">IF(AND($D289&lt;&gt;"",$B289="결제완료",$T289="대여"),설정!$J$5,"")</f>
        <v/>
      </c>
      <c r="AG289" s="54" t="str">
        <f aca="false">IF($D289="","",IF(AND($E289="",$R289=""),$AB289,"☎ "&amp;IF($E289="","-",$E289)&amp;IF($R289&lt;&gt;"","  ※ "&amp;$R289,"")&amp;IF($B289="상담중"," (상담)","")))</f>
        <v/>
      </c>
      <c r="AH289" s="56" t="str">
        <f aca="false">IF(AND($D289&lt;&gt;"",$B289="결제완료",$O289="스마트스토어"),ROUND(N($N289)*설정!$J$6,0),"")</f>
        <v/>
      </c>
      <c r="AI289" s="54" t="str">
        <f aca="false">IF($D289="","",ROW())</f>
        <v/>
      </c>
      <c r="AJ289" s="54" t="n">
        <f aca="false">IF(OR($AC289&lt;&gt;1,$M289=""),0,IF(ISNUMBER(SEARCH("퇴사",IFERROR(INDEX(강사DB!$G$4:$G$53,MATCH($M289,강사DB!$A$4:$A$53,0)),""))),1,0))</f>
        <v>0</v>
      </c>
    </row>
    <row r="290" customFormat="false" ht="15" hidden="false" customHeight="false" outlineLevel="0" collapsed="false">
      <c r="A290" s="45" t="str">
        <f aca="false">IF($D290="","",COUNTA($D$5:$D290))</f>
        <v/>
      </c>
      <c r="B290" s="46"/>
      <c r="C290" s="47"/>
      <c r="D290" s="48"/>
      <c r="E290" s="48"/>
      <c r="F290" s="49"/>
      <c r="G290" s="47"/>
      <c r="H290" s="50"/>
      <c r="I290" s="50"/>
      <c r="J290" s="51" t="str">
        <f aca="false">IF(OR($V290="",$W290=""),"",ROUND(($W290-$V290)/60,2))</f>
        <v/>
      </c>
      <c r="K290" s="52" t="str">
        <f aca="false">IF($F290="","",LEN($F290)-LEN(SUBSTITUTE($F290,",",""))+1)</f>
        <v/>
      </c>
      <c r="L290" s="45" t="str">
        <f aca="false">IF($K290="","","1:"&amp;$K290)</f>
        <v/>
      </c>
      <c r="M290" s="46"/>
      <c r="N290" s="53"/>
      <c r="O290" s="46"/>
      <c r="P290" s="47"/>
      <c r="Q290" s="48"/>
      <c r="R290" s="49"/>
      <c r="S290" s="54" t="str">
        <f aca="false">IF(OR($AC290=0,$U290="",$M290="",$V290="",$W290=""),"",IF(COUNTIFS(m_teacher,$M290,m_date,$U290,m_active,1,m_start,"&lt;"&amp;$W290,m_end,"&gt;"&amp;$V290)&gt;1,"충돌",""))</f>
        <v/>
      </c>
      <c r="T290" s="48"/>
      <c r="U290" s="55" t="str">
        <f aca="false">IF($G290="","",IFERROR(IF(ISNUMBER($G290),IF($G290&gt;19000000,DATE(INT($G290/10000),MOD(INT($G290/100),100),MOD($G290,100)),INT($G290)),IF(LEN(SUBSTITUTE(SUBSTITUTE(SUBSTITUTE(TRIM($G290),"-",""),".",""),"/",""))=8,DATE(VALUE(LEFT(SUBSTITUTE(SUBSTITUTE(SUBSTITUTE(TRIM($G290),"-",""),".",""),"/",""),4)),VALUE(MID(SUBSTITUTE(SUBSTITUTE(SUBSTITUTE(TRIM($G290),"-",""),".",""),"/",""),5,2)),VALUE(RIGHT(SUBSTITUTE(SUBSTITUTE(SUBSTITUTE(TRIM($G290),"-",""),".",""),"/",""),2))),DATEVALUE($G290))),""))</f>
        <v/>
      </c>
      <c r="V290" s="52" t="str">
        <f aca="false">IF($H290="","",IFERROR(IF(IF(ISNUMBER($H290),$H290,IFERROR(TIMEVALUE($H290),VALUE($H290)))&gt;=100,INT(IF(ISNUMBER($H290),$H290,IFERROR(TIMEVALUE($H290),VALUE($H290)))/100)*60+MOD(IF(ISNUMBER($H290),$H290,IFERROR(TIMEVALUE($H290),VALUE($H290))),100),IF(IF(ISNUMBER($H290),$H290,IFERROR(TIMEVALUE($H290),VALUE($H290)))&gt;=1,ROUND(IF(ISNUMBER($H290),$H290,IFERROR(TIMEVALUE($H290),VALUE($H290)))*60,0),ROUND(MOD(IF(ISNUMBER($H290),$H290,IFERROR(TIMEVALUE($H290),VALUE($H290))),1)*1440,0))),""))</f>
        <v/>
      </c>
      <c r="W290" s="52" t="str">
        <f aca="false">IF($I290="","",IFERROR(IF(IF(ISNUMBER($I290),$I290,IFERROR(TIMEVALUE($I290),VALUE($I290)))&gt;=100,INT(IF(ISNUMBER($I290),$I290,IFERROR(TIMEVALUE($I290),VALUE($I290)))/100)*60+MOD(IF(ISNUMBER($I290),$I290,IFERROR(TIMEVALUE($I290),VALUE($I290))),100),IF(IF(ISNUMBER($I290),$I290,IFERROR(TIMEVALUE($I290),VALUE($I290)))&gt;=1,ROUND(IF(ISNUMBER($I290),$I290,IFERROR(TIMEVALUE($I290),VALUE($I290)))*60,0),ROUND(MOD(IF(ISNUMBER($I290),$I290,IFERROR(TIMEVALUE($I290),VALUE($I290))),1)*1440,0))),""))</f>
        <v/>
      </c>
      <c r="X290" s="55" t="str">
        <f aca="false">IF($P290="","",IFERROR(IF(ISNUMBER($P290),IF($P290&gt;19000000,DATE(INT($P290/10000),MOD(INT($P290/100),100),MOD($P290,100)),INT($P290)),IF(LEN(SUBSTITUTE(SUBSTITUTE(SUBSTITUTE(TRIM($P290),"-",""),".",""),"/",""))=8,DATE(VALUE(LEFT(SUBSTITUTE(SUBSTITUTE(SUBSTITUTE(TRIM($P290),"-",""),".",""),"/",""),4)),VALUE(MID(SUBSTITUTE(SUBSTITUTE(SUBSTITUTE(TRIM($P290),"-",""),".",""),"/",""),5,2)),VALUE(RIGHT(SUBSTITUTE(SUBSTITUTE(SUBSTITUTE(TRIM($P290),"-",""),".",""),"/",""),2))),DATEVALUE($P290))),""))</f>
        <v/>
      </c>
      <c r="Y290" s="56" t="str">
        <f aca="false">IF($M290="","",IFERROR(INDEX(강사DB!$D$4:$D$53,MATCH($M290,강사DB!$A$4:$A$53,0)),""))</f>
        <v/>
      </c>
      <c r="Z290" s="56" t="str">
        <f aca="false">IF($B290&lt;&gt;"결제완료","",IF(OR($Y290="",$J290=""),"",$Y290*$J290+MAX(0,N($K290)-1)*설정!$J$7))</f>
        <v/>
      </c>
      <c r="AA290" s="56" t="str">
        <f aca="false">IF(AND($D290&lt;&gt;"",$B290="결제완료"),N($N290),"")</f>
        <v/>
      </c>
      <c r="AB290" s="45" t="str">
        <f aca="false">IF($D290="","",IF($F290&lt;&gt;"",$F290,$D290)&amp;IF($B290="상담중"," (상담)",""))</f>
        <v/>
      </c>
      <c r="AC290" s="45" t="n">
        <f aca="false">IF(AND($D290&lt;&gt;"",OR($B290="결제완료",$B290="상담중")),1,0)</f>
        <v>0</v>
      </c>
      <c r="AD290" s="45" t="n">
        <f aca="false">IF(OR($Z290="",$U290=""),0,IFERROR(IF(COUNTIFS(INDEX(g_grid,0,2*MATCH($M290,강사DB!$A$4:$A$15,0)),"&lt;&gt;",g_s,"&lt;="&amp;$U290,g_e,"&gt;="&amp;$U290)&gt;0,1,0),0))</f>
        <v>0</v>
      </c>
      <c r="AE290" s="48"/>
      <c r="AF290" s="56" t="str">
        <f aca="false">IF(AND($D290&lt;&gt;"",$B290="결제완료",$T290="대여"),설정!$J$5,"")</f>
        <v/>
      </c>
      <c r="AG290" s="54" t="str">
        <f aca="false">IF($D290="","",IF(AND($E290="",$R290=""),$AB290,"☎ "&amp;IF($E290="","-",$E290)&amp;IF($R290&lt;&gt;"","  ※ "&amp;$R290,"")&amp;IF($B290="상담중"," (상담)","")))</f>
        <v/>
      </c>
      <c r="AH290" s="56" t="str">
        <f aca="false">IF(AND($D290&lt;&gt;"",$B290="결제완료",$O290="스마트스토어"),ROUND(N($N290)*설정!$J$6,0),"")</f>
        <v/>
      </c>
      <c r="AI290" s="54" t="str">
        <f aca="false">IF($D290="","",ROW())</f>
        <v/>
      </c>
      <c r="AJ290" s="54" t="n">
        <f aca="false">IF(OR($AC290&lt;&gt;1,$M290=""),0,IF(ISNUMBER(SEARCH("퇴사",IFERROR(INDEX(강사DB!$G$4:$G$53,MATCH($M290,강사DB!$A$4:$A$53,0)),""))),1,0))</f>
        <v>0</v>
      </c>
    </row>
    <row r="291" customFormat="false" ht="15" hidden="false" customHeight="false" outlineLevel="0" collapsed="false">
      <c r="A291" s="45" t="str">
        <f aca="false">IF($D291="","",COUNTA($D$5:$D291))</f>
        <v/>
      </c>
      <c r="B291" s="46"/>
      <c r="C291" s="47"/>
      <c r="D291" s="48"/>
      <c r="E291" s="48"/>
      <c r="F291" s="49"/>
      <c r="G291" s="47"/>
      <c r="H291" s="50"/>
      <c r="I291" s="50"/>
      <c r="J291" s="51" t="str">
        <f aca="false">IF(OR($V291="",$W291=""),"",ROUND(($W291-$V291)/60,2))</f>
        <v/>
      </c>
      <c r="K291" s="52" t="str">
        <f aca="false">IF($F291="","",LEN($F291)-LEN(SUBSTITUTE($F291,",",""))+1)</f>
        <v/>
      </c>
      <c r="L291" s="45" t="str">
        <f aca="false">IF($K291="","","1:"&amp;$K291)</f>
        <v/>
      </c>
      <c r="M291" s="46"/>
      <c r="N291" s="53"/>
      <c r="O291" s="46"/>
      <c r="P291" s="47"/>
      <c r="Q291" s="48"/>
      <c r="R291" s="49"/>
      <c r="S291" s="54" t="str">
        <f aca="false">IF(OR($AC291=0,$U291="",$M291="",$V291="",$W291=""),"",IF(COUNTIFS(m_teacher,$M291,m_date,$U291,m_active,1,m_start,"&lt;"&amp;$W291,m_end,"&gt;"&amp;$V291)&gt;1,"충돌",""))</f>
        <v/>
      </c>
      <c r="T291" s="48"/>
      <c r="U291" s="55" t="str">
        <f aca="false">IF($G291="","",IFERROR(IF(ISNUMBER($G291),IF($G291&gt;19000000,DATE(INT($G291/10000),MOD(INT($G291/100),100),MOD($G291,100)),INT($G291)),IF(LEN(SUBSTITUTE(SUBSTITUTE(SUBSTITUTE(TRIM($G291),"-",""),".",""),"/",""))=8,DATE(VALUE(LEFT(SUBSTITUTE(SUBSTITUTE(SUBSTITUTE(TRIM($G291),"-",""),".",""),"/",""),4)),VALUE(MID(SUBSTITUTE(SUBSTITUTE(SUBSTITUTE(TRIM($G291),"-",""),".",""),"/",""),5,2)),VALUE(RIGHT(SUBSTITUTE(SUBSTITUTE(SUBSTITUTE(TRIM($G291),"-",""),".",""),"/",""),2))),DATEVALUE($G291))),""))</f>
        <v/>
      </c>
      <c r="V291" s="52" t="str">
        <f aca="false">IF($H291="","",IFERROR(IF(IF(ISNUMBER($H291),$H291,IFERROR(TIMEVALUE($H291),VALUE($H291)))&gt;=100,INT(IF(ISNUMBER($H291),$H291,IFERROR(TIMEVALUE($H291),VALUE($H291)))/100)*60+MOD(IF(ISNUMBER($H291),$H291,IFERROR(TIMEVALUE($H291),VALUE($H291))),100),IF(IF(ISNUMBER($H291),$H291,IFERROR(TIMEVALUE($H291),VALUE($H291)))&gt;=1,ROUND(IF(ISNUMBER($H291),$H291,IFERROR(TIMEVALUE($H291),VALUE($H291)))*60,0),ROUND(MOD(IF(ISNUMBER($H291),$H291,IFERROR(TIMEVALUE($H291),VALUE($H291))),1)*1440,0))),""))</f>
        <v/>
      </c>
      <c r="W291" s="52" t="str">
        <f aca="false">IF($I291="","",IFERROR(IF(IF(ISNUMBER($I291),$I291,IFERROR(TIMEVALUE($I291),VALUE($I291)))&gt;=100,INT(IF(ISNUMBER($I291),$I291,IFERROR(TIMEVALUE($I291),VALUE($I291)))/100)*60+MOD(IF(ISNUMBER($I291),$I291,IFERROR(TIMEVALUE($I291),VALUE($I291))),100),IF(IF(ISNUMBER($I291),$I291,IFERROR(TIMEVALUE($I291),VALUE($I291)))&gt;=1,ROUND(IF(ISNUMBER($I291),$I291,IFERROR(TIMEVALUE($I291),VALUE($I291)))*60,0),ROUND(MOD(IF(ISNUMBER($I291),$I291,IFERROR(TIMEVALUE($I291),VALUE($I291))),1)*1440,0))),""))</f>
        <v/>
      </c>
      <c r="X291" s="55" t="str">
        <f aca="false">IF($P291="","",IFERROR(IF(ISNUMBER($P291),IF($P291&gt;19000000,DATE(INT($P291/10000),MOD(INT($P291/100),100),MOD($P291,100)),INT($P291)),IF(LEN(SUBSTITUTE(SUBSTITUTE(SUBSTITUTE(TRIM($P291),"-",""),".",""),"/",""))=8,DATE(VALUE(LEFT(SUBSTITUTE(SUBSTITUTE(SUBSTITUTE(TRIM($P291),"-",""),".",""),"/",""),4)),VALUE(MID(SUBSTITUTE(SUBSTITUTE(SUBSTITUTE(TRIM($P291),"-",""),".",""),"/",""),5,2)),VALUE(RIGHT(SUBSTITUTE(SUBSTITUTE(SUBSTITUTE(TRIM($P291),"-",""),".",""),"/",""),2))),DATEVALUE($P291))),""))</f>
        <v/>
      </c>
      <c r="Y291" s="56" t="str">
        <f aca="false">IF($M291="","",IFERROR(INDEX(강사DB!$D$4:$D$53,MATCH($M291,강사DB!$A$4:$A$53,0)),""))</f>
        <v/>
      </c>
      <c r="Z291" s="56" t="str">
        <f aca="false">IF($B291&lt;&gt;"결제완료","",IF(OR($Y291="",$J291=""),"",$Y291*$J291+MAX(0,N($K291)-1)*설정!$J$7))</f>
        <v/>
      </c>
      <c r="AA291" s="56" t="str">
        <f aca="false">IF(AND($D291&lt;&gt;"",$B291="결제완료"),N($N291),"")</f>
        <v/>
      </c>
      <c r="AB291" s="45" t="str">
        <f aca="false">IF($D291="","",IF($F291&lt;&gt;"",$F291,$D291)&amp;IF($B291="상담중"," (상담)",""))</f>
        <v/>
      </c>
      <c r="AC291" s="45" t="n">
        <f aca="false">IF(AND($D291&lt;&gt;"",OR($B291="결제완료",$B291="상담중")),1,0)</f>
        <v>0</v>
      </c>
      <c r="AD291" s="45" t="n">
        <f aca="false">IF(OR($Z291="",$U291=""),0,IFERROR(IF(COUNTIFS(INDEX(g_grid,0,2*MATCH($M291,강사DB!$A$4:$A$15,0)),"&lt;&gt;",g_s,"&lt;="&amp;$U291,g_e,"&gt;="&amp;$U291)&gt;0,1,0),0))</f>
        <v>0</v>
      </c>
      <c r="AE291" s="48"/>
      <c r="AF291" s="56" t="str">
        <f aca="false">IF(AND($D291&lt;&gt;"",$B291="결제완료",$T291="대여"),설정!$J$5,"")</f>
        <v/>
      </c>
      <c r="AG291" s="54" t="str">
        <f aca="false">IF($D291="","",IF(AND($E291="",$R291=""),$AB291,"☎ "&amp;IF($E291="","-",$E291)&amp;IF($R291&lt;&gt;"","  ※ "&amp;$R291,"")&amp;IF($B291="상담중"," (상담)","")))</f>
        <v/>
      </c>
      <c r="AH291" s="56" t="str">
        <f aca="false">IF(AND($D291&lt;&gt;"",$B291="결제완료",$O291="스마트스토어"),ROUND(N($N291)*설정!$J$6,0),"")</f>
        <v/>
      </c>
      <c r="AI291" s="54" t="str">
        <f aca="false">IF($D291="","",ROW())</f>
        <v/>
      </c>
      <c r="AJ291" s="54" t="n">
        <f aca="false">IF(OR($AC291&lt;&gt;1,$M291=""),0,IF(ISNUMBER(SEARCH("퇴사",IFERROR(INDEX(강사DB!$G$4:$G$53,MATCH($M291,강사DB!$A$4:$A$53,0)),""))),1,0))</f>
        <v>0</v>
      </c>
    </row>
    <row r="292" customFormat="false" ht="15" hidden="false" customHeight="false" outlineLevel="0" collapsed="false">
      <c r="A292" s="45" t="str">
        <f aca="false">IF($D292="","",COUNTA($D$5:$D292))</f>
        <v/>
      </c>
      <c r="B292" s="46"/>
      <c r="C292" s="47"/>
      <c r="D292" s="48"/>
      <c r="E292" s="48"/>
      <c r="F292" s="49"/>
      <c r="G292" s="47"/>
      <c r="H292" s="50"/>
      <c r="I292" s="50"/>
      <c r="J292" s="51" t="str">
        <f aca="false">IF(OR($V292="",$W292=""),"",ROUND(($W292-$V292)/60,2))</f>
        <v/>
      </c>
      <c r="K292" s="52" t="str">
        <f aca="false">IF($F292="","",LEN($F292)-LEN(SUBSTITUTE($F292,",",""))+1)</f>
        <v/>
      </c>
      <c r="L292" s="45" t="str">
        <f aca="false">IF($K292="","","1:"&amp;$K292)</f>
        <v/>
      </c>
      <c r="M292" s="46"/>
      <c r="N292" s="53"/>
      <c r="O292" s="46"/>
      <c r="P292" s="47"/>
      <c r="Q292" s="48"/>
      <c r="R292" s="49"/>
      <c r="S292" s="54" t="str">
        <f aca="false">IF(OR($AC292=0,$U292="",$M292="",$V292="",$W292=""),"",IF(COUNTIFS(m_teacher,$M292,m_date,$U292,m_active,1,m_start,"&lt;"&amp;$W292,m_end,"&gt;"&amp;$V292)&gt;1,"충돌",""))</f>
        <v/>
      </c>
      <c r="T292" s="48"/>
      <c r="U292" s="55" t="str">
        <f aca="false">IF($G292="","",IFERROR(IF(ISNUMBER($G292),IF($G292&gt;19000000,DATE(INT($G292/10000),MOD(INT($G292/100),100),MOD($G292,100)),INT($G292)),IF(LEN(SUBSTITUTE(SUBSTITUTE(SUBSTITUTE(TRIM($G292),"-",""),".",""),"/",""))=8,DATE(VALUE(LEFT(SUBSTITUTE(SUBSTITUTE(SUBSTITUTE(TRIM($G292),"-",""),".",""),"/",""),4)),VALUE(MID(SUBSTITUTE(SUBSTITUTE(SUBSTITUTE(TRIM($G292),"-",""),".",""),"/",""),5,2)),VALUE(RIGHT(SUBSTITUTE(SUBSTITUTE(SUBSTITUTE(TRIM($G292),"-",""),".",""),"/",""),2))),DATEVALUE($G292))),""))</f>
        <v/>
      </c>
      <c r="V292" s="52" t="str">
        <f aca="false">IF($H292="","",IFERROR(IF(IF(ISNUMBER($H292),$H292,IFERROR(TIMEVALUE($H292),VALUE($H292)))&gt;=100,INT(IF(ISNUMBER($H292),$H292,IFERROR(TIMEVALUE($H292),VALUE($H292)))/100)*60+MOD(IF(ISNUMBER($H292),$H292,IFERROR(TIMEVALUE($H292),VALUE($H292))),100),IF(IF(ISNUMBER($H292),$H292,IFERROR(TIMEVALUE($H292),VALUE($H292)))&gt;=1,ROUND(IF(ISNUMBER($H292),$H292,IFERROR(TIMEVALUE($H292),VALUE($H292)))*60,0),ROUND(MOD(IF(ISNUMBER($H292),$H292,IFERROR(TIMEVALUE($H292),VALUE($H292))),1)*1440,0))),""))</f>
        <v/>
      </c>
      <c r="W292" s="52" t="str">
        <f aca="false">IF($I292="","",IFERROR(IF(IF(ISNUMBER($I292),$I292,IFERROR(TIMEVALUE($I292),VALUE($I292)))&gt;=100,INT(IF(ISNUMBER($I292),$I292,IFERROR(TIMEVALUE($I292),VALUE($I292)))/100)*60+MOD(IF(ISNUMBER($I292),$I292,IFERROR(TIMEVALUE($I292),VALUE($I292))),100),IF(IF(ISNUMBER($I292),$I292,IFERROR(TIMEVALUE($I292),VALUE($I292)))&gt;=1,ROUND(IF(ISNUMBER($I292),$I292,IFERROR(TIMEVALUE($I292),VALUE($I292)))*60,0),ROUND(MOD(IF(ISNUMBER($I292),$I292,IFERROR(TIMEVALUE($I292),VALUE($I292))),1)*1440,0))),""))</f>
        <v/>
      </c>
      <c r="X292" s="55" t="str">
        <f aca="false">IF($P292="","",IFERROR(IF(ISNUMBER($P292),IF($P292&gt;19000000,DATE(INT($P292/10000),MOD(INT($P292/100),100),MOD($P292,100)),INT($P292)),IF(LEN(SUBSTITUTE(SUBSTITUTE(SUBSTITUTE(TRIM($P292),"-",""),".",""),"/",""))=8,DATE(VALUE(LEFT(SUBSTITUTE(SUBSTITUTE(SUBSTITUTE(TRIM($P292),"-",""),".",""),"/",""),4)),VALUE(MID(SUBSTITUTE(SUBSTITUTE(SUBSTITUTE(TRIM($P292),"-",""),".",""),"/",""),5,2)),VALUE(RIGHT(SUBSTITUTE(SUBSTITUTE(SUBSTITUTE(TRIM($P292),"-",""),".",""),"/",""),2))),DATEVALUE($P292))),""))</f>
        <v/>
      </c>
      <c r="Y292" s="56" t="str">
        <f aca="false">IF($M292="","",IFERROR(INDEX(강사DB!$D$4:$D$53,MATCH($M292,강사DB!$A$4:$A$53,0)),""))</f>
        <v/>
      </c>
      <c r="Z292" s="56" t="str">
        <f aca="false">IF($B292&lt;&gt;"결제완료","",IF(OR($Y292="",$J292=""),"",$Y292*$J292+MAX(0,N($K292)-1)*설정!$J$7))</f>
        <v/>
      </c>
      <c r="AA292" s="56" t="str">
        <f aca="false">IF(AND($D292&lt;&gt;"",$B292="결제완료"),N($N292),"")</f>
        <v/>
      </c>
      <c r="AB292" s="45" t="str">
        <f aca="false">IF($D292="","",IF($F292&lt;&gt;"",$F292,$D292)&amp;IF($B292="상담중"," (상담)",""))</f>
        <v/>
      </c>
      <c r="AC292" s="45" t="n">
        <f aca="false">IF(AND($D292&lt;&gt;"",OR($B292="결제완료",$B292="상담중")),1,0)</f>
        <v>0</v>
      </c>
      <c r="AD292" s="45" t="n">
        <f aca="false">IF(OR($Z292="",$U292=""),0,IFERROR(IF(COUNTIFS(INDEX(g_grid,0,2*MATCH($M292,강사DB!$A$4:$A$15,0)),"&lt;&gt;",g_s,"&lt;="&amp;$U292,g_e,"&gt;="&amp;$U292)&gt;0,1,0),0))</f>
        <v>0</v>
      </c>
      <c r="AE292" s="48"/>
      <c r="AF292" s="56" t="str">
        <f aca="false">IF(AND($D292&lt;&gt;"",$B292="결제완료",$T292="대여"),설정!$J$5,"")</f>
        <v/>
      </c>
      <c r="AG292" s="54" t="str">
        <f aca="false">IF($D292="","",IF(AND($E292="",$R292=""),$AB292,"☎ "&amp;IF($E292="","-",$E292)&amp;IF($R292&lt;&gt;"","  ※ "&amp;$R292,"")&amp;IF($B292="상담중"," (상담)","")))</f>
        <v/>
      </c>
      <c r="AH292" s="56" t="str">
        <f aca="false">IF(AND($D292&lt;&gt;"",$B292="결제완료",$O292="스마트스토어"),ROUND(N($N292)*설정!$J$6,0),"")</f>
        <v/>
      </c>
      <c r="AI292" s="54" t="str">
        <f aca="false">IF($D292="","",ROW())</f>
        <v/>
      </c>
      <c r="AJ292" s="54" t="n">
        <f aca="false">IF(OR($AC292&lt;&gt;1,$M292=""),0,IF(ISNUMBER(SEARCH("퇴사",IFERROR(INDEX(강사DB!$G$4:$G$53,MATCH($M292,강사DB!$A$4:$A$53,0)),""))),1,0))</f>
        <v>0</v>
      </c>
    </row>
    <row r="293" customFormat="false" ht="15" hidden="false" customHeight="false" outlineLevel="0" collapsed="false">
      <c r="A293" s="45" t="str">
        <f aca="false">IF($D293="","",COUNTA($D$5:$D293))</f>
        <v/>
      </c>
      <c r="B293" s="46"/>
      <c r="C293" s="47"/>
      <c r="D293" s="48"/>
      <c r="E293" s="48"/>
      <c r="F293" s="49"/>
      <c r="G293" s="47"/>
      <c r="H293" s="50"/>
      <c r="I293" s="50"/>
      <c r="J293" s="51" t="str">
        <f aca="false">IF(OR($V293="",$W293=""),"",ROUND(($W293-$V293)/60,2))</f>
        <v/>
      </c>
      <c r="K293" s="52" t="str">
        <f aca="false">IF($F293="","",LEN($F293)-LEN(SUBSTITUTE($F293,",",""))+1)</f>
        <v/>
      </c>
      <c r="L293" s="45" t="str">
        <f aca="false">IF($K293="","","1:"&amp;$K293)</f>
        <v/>
      </c>
      <c r="M293" s="46"/>
      <c r="N293" s="53"/>
      <c r="O293" s="46"/>
      <c r="P293" s="47"/>
      <c r="Q293" s="48"/>
      <c r="R293" s="49"/>
      <c r="S293" s="54" t="str">
        <f aca="false">IF(OR($AC293=0,$U293="",$M293="",$V293="",$W293=""),"",IF(COUNTIFS(m_teacher,$M293,m_date,$U293,m_active,1,m_start,"&lt;"&amp;$W293,m_end,"&gt;"&amp;$V293)&gt;1,"충돌",""))</f>
        <v/>
      </c>
      <c r="T293" s="48"/>
      <c r="U293" s="55" t="str">
        <f aca="false">IF($G293="","",IFERROR(IF(ISNUMBER($G293),IF($G293&gt;19000000,DATE(INT($G293/10000),MOD(INT($G293/100),100),MOD($G293,100)),INT($G293)),IF(LEN(SUBSTITUTE(SUBSTITUTE(SUBSTITUTE(TRIM($G293),"-",""),".",""),"/",""))=8,DATE(VALUE(LEFT(SUBSTITUTE(SUBSTITUTE(SUBSTITUTE(TRIM($G293),"-",""),".",""),"/",""),4)),VALUE(MID(SUBSTITUTE(SUBSTITUTE(SUBSTITUTE(TRIM($G293),"-",""),".",""),"/",""),5,2)),VALUE(RIGHT(SUBSTITUTE(SUBSTITUTE(SUBSTITUTE(TRIM($G293),"-",""),".",""),"/",""),2))),DATEVALUE($G293))),""))</f>
        <v/>
      </c>
      <c r="V293" s="52" t="str">
        <f aca="false">IF($H293="","",IFERROR(IF(IF(ISNUMBER($H293),$H293,IFERROR(TIMEVALUE($H293),VALUE($H293)))&gt;=100,INT(IF(ISNUMBER($H293),$H293,IFERROR(TIMEVALUE($H293),VALUE($H293)))/100)*60+MOD(IF(ISNUMBER($H293),$H293,IFERROR(TIMEVALUE($H293),VALUE($H293))),100),IF(IF(ISNUMBER($H293),$H293,IFERROR(TIMEVALUE($H293),VALUE($H293)))&gt;=1,ROUND(IF(ISNUMBER($H293),$H293,IFERROR(TIMEVALUE($H293),VALUE($H293)))*60,0),ROUND(MOD(IF(ISNUMBER($H293),$H293,IFERROR(TIMEVALUE($H293),VALUE($H293))),1)*1440,0))),""))</f>
        <v/>
      </c>
      <c r="W293" s="52" t="str">
        <f aca="false">IF($I293="","",IFERROR(IF(IF(ISNUMBER($I293),$I293,IFERROR(TIMEVALUE($I293),VALUE($I293)))&gt;=100,INT(IF(ISNUMBER($I293),$I293,IFERROR(TIMEVALUE($I293),VALUE($I293)))/100)*60+MOD(IF(ISNUMBER($I293),$I293,IFERROR(TIMEVALUE($I293),VALUE($I293))),100),IF(IF(ISNUMBER($I293),$I293,IFERROR(TIMEVALUE($I293),VALUE($I293)))&gt;=1,ROUND(IF(ISNUMBER($I293),$I293,IFERROR(TIMEVALUE($I293),VALUE($I293)))*60,0),ROUND(MOD(IF(ISNUMBER($I293),$I293,IFERROR(TIMEVALUE($I293),VALUE($I293))),1)*1440,0))),""))</f>
        <v/>
      </c>
      <c r="X293" s="55" t="str">
        <f aca="false">IF($P293="","",IFERROR(IF(ISNUMBER($P293),IF($P293&gt;19000000,DATE(INT($P293/10000),MOD(INT($P293/100),100),MOD($P293,100)),INT($P293)),IF(LEN(SUBSTITUTE(SUBSTITUTE(SUBSTITUTE(TRIM($P293),"-",""),".",""),"/",""))=8,DATE(VALUE(LEFT(SUBSTITUTE(SUBSTITUTE(SUBSTITUTE(TRIM($P293),"-",""),".",""),"/",""),4)),VALUE(MID(SUBSTITUTE(SUBSTITUTE(SUBSTITUTE(TRIM($P293),"-",""),".",""),"/",""),5,2)),VALUE(RIGHT(SUBSTITUTE(SUBSTITUTE(SUBSTITUTE(TRIM($P293),"-",""),".",""),"/",""),2))),DATEVALUE($P293))),""))</f>
        <v/>
      </c>
      <c r="Y293" s="56" t="str">
        <f aca="false">IF($M293="","",IFERROR(INDEX(강사DB!$D$4:$D$53,MATCH($M293,강사DB!$A$4:$A$53,0)),""))</f>
        <v/>
      </c>
      <c r="Z293" s="56" t="str">
        <f aca="false">IF($B293&lt;&gt;"결제완료","",IF(OR($Y293="",$J293=""),"",$Y293*$J293+MAX(0,N($K293)-1)*설정!$J$7))</f>
        <v/>
      </c>
      <c r="AA293" s="56" t="str">
        <f aca="false">IF(AND($D293&lt;&gt;"",$B293="결제완료"),N($N293),"")</f>
        <v/>
      </c>
      <c r="AB293" s="45" t="str">
        <f aca="false">IF($D293="","",IF($F293&lt;&gt;"",$F293,$D293)&amp;IF($B293="상담중"," (상담)",""))</f>
        <v/>
      </c>
      <c r="AC293" s="45" t="n">
        <f aca="false">IF(AND($D293&lt;&gt;"",OR($B293="결제완료",$B293="상담중")),1,0)</f>
        <v>0</v>
      </c>
      <c r="AD293" s="45" t="n">
        <f aca="false">IF(OR($Z293="",$U293=""),0,IFERROR(IF(COUNTIFS(INDEX(g_grid,0,2*MATCH($M293,강사DB!$A$4:$A$15,0)),"&lt;&gt;",g_s,"&lt;="&amp;$U293,g_e,"&gt;="&amp;$U293)&gt;0,1,0),0))</f>
        <v>0</v>
      </c>
      <c r="AE293" s="48"/>
      <c r="AF293" s="56" t="str">
        <f aca="false">IF(AND($D293&lt;&gt;"",$B293="결제완료",$T293="대여"),설정!$J$5,"")</f>
        <v/>
      </c>
      <c r="AG293" s="54" t="str">
        <f aca="false">IF($D293="","",IF(AND($E293="",$R293=""),$AB293,"☎ "&amp;IF($E293="","-",$E293)&amp;IF($R293&lt;&gt;"","  ※ "&amp;$R293,"")&amp;IF($B293="상담중"," (상담)","")))</f>
        <v/>
      </c>
      <c r="AH293" s="56" t="str">
        <f aca="false">IF(AND($D293&lt;&gt;"",$B293="결제완료",$O293="스마트스토어"),ROUND(N($N293)*설정!$J$6,0),"")</f>
        <v/>
      </c>
      <c r="AI293" s="54" t="str">
        <f aca="false">IF($D293="","",ROW())</f>
        <v/>
      </c>
      <c r="AJ293" s="54" t="n">
        <f aca="false">IF(OR($AC293&lt;&gt;1,$M293=""),0,IF(ISNUMBER(SEARCH("퇴사",IFERROR(INDEX(강사DB!$G$4:$G$53,MATCH($M293,강사DB!$A$4:$A$53,0)),""))),1,0))</f>
        <v>0</v>
      </c>
    </row>
    <row r="294" customFormat="false" ht="15" hidden="false" customHeight="false" outlineLevel="0" collapsed="false">
      <c r="A294" s="45" t="str">
        <f aca="false">IF($D294="","",COUNTA($D$5:$D294))</f>
        <v/>
      </c>
      <c r="B294" s="46"/>
      <c r="C294" s="47"/>
      <c r="D294" s="48"/>
      <c r="E294" s="48"/>
      <c r="F294" s="49"/>
      <c r="G294" s="47"/>
      <c r="H294" s="50"/>
      <c r="I294" s="50"/>
      <c r="J294" s="51" t="str">
        <f aca="false">IF(OR($V294="",$W294=""),"",ROUND(($W294-$V294)/60,2))</f>
        <v/>
      </c>
      <c r="K294" s="52" t="str">
        <f aca="false">IF($F294="","",LEN($F294)-LEN(SUBSTITUTE($F294,",",""))+1)</f>
        <v/>
      </c>
      <c r="L294" s="45" t="str">
        <f aca="false">IF($K294="","","1:"&amp;$K294)</f>
        <v/>
      </c>
      <c r="M294" s="46"/>
      <c r="N294" s="53"/>
      <c r="O294" s="46"/>
      <c r="P294" s="47"/>
      <c r="Q294" s="48"/>
      <c r="R294" s="49"/>
      <c r="S294" s="54" t="str">
        <f aca="false">IF(OR($AC294=0,$U294="",$M294="",$V294="",$W294=""),"",IF(COUNTIFS(m_teacher,$M294,m_date,$U294,m_active,1,m_start,"&lt;"&amp;$W294,m_end,"&gt;"&amp;$V294)&gt;1,"충돌",""))</f>
        <v/>
      </c>
      <c r="T294" s="48"/>
      <c r="U294" s="55" t="str">
        <f aca="false">IF($G294="","",IFERROR(IF(ISNUMBER($G294),IF($G294&gt;19000000,DATE(INT($G294/10000),MOD(INT($G294/100),100),MOD($G294,100)),INT($G294)),IF(LEN(SUBSTITUTE(SUBSTITUTE(SUBSTITUTE(TRIM($G294),"-",""),".",""),"/",""))=8,DATE(VALUE(LEFT(SUBSTITUTE(SUBSTITUTE(SUBSTITUTE(TRIM($G294),"-",""),".",""),"/",""),4)),VALUE(MID(SUBSTITUTE(SUBSTITUTE(SUBSTITUTE(TRIM($G294),"-",""),".",""),"/",""),5,2)),VALUE(RIGHT(SUBSTITUTE(SUBSTITUTE(SUBSTITUTE(TRIM($G294),"-",""),".",""),"/",""),2))),DATEVALUE($G294))),""))</f>
        <v/>
      </c>
      <c r="V294" s="52" t="str">
        <f aca="false">IF($H294="","",IFERROR(IF(IF(ISNUMBER($H294),$H294,IFERROR(TIMEVALUE($H294),VALUE($H294)))&gt;=100,INT(IF(ISNUMBER($H294),$H294,IFERROR(TIMEVALUE($H294),VALUE($H294)))/100)*60+MOD(IF(ISNUMBER($H294),$H294,IFERROR(TIMEVALUE($H294),VALUE($H294))),100),IF(IF(ISNUMBER($H294),$H294,IFERROR(TIMEVALUE($H294),VALUE($H294)))&gt;=1,ROUND(IF(ISNUMBER($H294),$H294,IFERROR(TIMEVALUE($H294),VALUE($H294)))*60,0),ROUND(MOD(IF(ISNUMBER($H294),$H294,IFERROR(TIMEVALUE($H294),VALUE($H294))),1)*1440,0))),""))</f>
        <v/>
      </c>
      <c r="W294" s="52" t="str">
        <f aca="false">IF($I294="","",IFERROR(IF(IF(ISNUMBER($I294),$I294,IFERROR(TIMEVALUE($I294),VALUE($I294)))&gt;=100,INT(IF(ISNUMBER($I294),$I294,IFERROR(TIMEVALUE($I294),VALUE($I294)))/100)*60+MOD(IF(ISNUMBER($I294),$I294,IFERROR(TIMEVALUE($I294),VALUE($I294))),100),IF(IF(ISNUMBER($I294),$I294,IFERROR(TIMEVALUE($I294),VALUE($I294)))&gt;=1,ROUND(IF(ISNUMBER($I294),$I294,IFERROR(TIMEVALUE($I294),VALUE($I294)))*60,0),ROUND(MOD(IF(ISNUMBER($I294),$I294,IFERROR(TIMEVALUE($I294),VALUE($I294))),1)*1440,0))),""))</f>
        <v/>
      </c>
      <c r="X294" s="55" t="str">
        <f aca="false">IF($P294="","",IFERROR(IF(ISNUMBER($P294),IF($P294&gt;19000000,DATE(INT($P294/10000),MOD(INT($P294/100),100),MOD($P294,100)),INT($P294)),IF(LEN(SUBSTITUTE(SUBSTITUTE(SUBSTITUTE(TRIM($P294),"-",""),".",""),"/",""))=8,DATE(VALUE(LEFT(SUBSTITUTE(SUBSTITUTE(SUBSTITUTE(TRIM($P294),"-",""),".",""),"/",""),4)),VALUE(MID(SUBSTITUTE(SUBSTITUTE(SUBSTITUTE(TRIM($P294),"-",""),".",""),"/",""),5,2)),VALUE(RIGHT(SUBSTITUTE(SUBSTITUTE(SUBSTITUTE(TRIM($P294),"-",""),".",""),"/",""),2))),DATEVALUE($P294))),""))</f>
        <v/>
      </c>
      <c r="Y294" s="56" t="str">
        <f aca="false">IF($M294="","",IFERROR(INDEX(강사DB!$D$4:$D$53,MATCH($M294,강사DB!$A$4:$A$53,0)),""))</f>
        <v/>
      </c>
      <c r="Z294" s="56" t="str">
        <f aca="false">IF($B294&lt;&gt;"결제완료","",IF(OR($Y294="",$J294=""),"",$Y294*$J294+MAX(0,N($K294)-1)*설정!$J$7))</f>
        <v/>
      </c>
      <c r="AA294" s="56" t="str">
        <f aca="false">IF(AND($D294&lt;&gt;"",$B294="결제완료"),N($N294),"")</f>
        <v/>
      </c>
      <c r="AB294" s="45" t="str">
        <f aca="false">IF($D294="","",IF($F294&lt;&gt;"",$F294,$D294)&amp;IF($B294="상담중"," (상담)",""))</f>
        <v/>
      </c>
      <c r="AC294" s="45" t="n">
        <f aca="false">IF(AND($D294&lt;&gt;"",OR($B294="결제완료",$B294="상담중")),1,0)</f>
        <v>0</v>
      </c>
      <c r="AD294" s="45" t="n">
        <f aca="false">IF(OR($Z294="",$U294=""),0,IFERROR(IF(COUNTIFS(INDEX(g_grid,0,2*MATCH($M294,강사DB!$A$4:$A$15,0)),"&lt;&gt;",g_s,"&lt;="&amp;$U294,g_e,"&gt;="&amp;$U294)&gt;0,1,0),0))</f>
        <v>0</v>
      </c>
      <c r="AE294" s="48"/>
      <c r="AF294" s="56" t="str">
        <f aca="false">IF(AND($D294&lt;&gt;"",$B294="결제완료",$T294="대여"),설정!$J$5,"")</f>
        <v/>
      </c>
      <c r="AG294" s="54" t="str">
        <f aca="false">IF($D294="","",IF(AND($E294="",$R294=""),$AB294,"☎ "&amp;IF($E294="","-",$E294)&amp;IF($R294&lt;&gt;"","  ※ "&amp;$R294,"")&amp;IF($B294="상담중"," (상담)","")))</f>
        <v/>
      </c>
      <c r="AH294" s="56" t="str">
        <f aca="false">IF(AND($D294&lt;&gt;"",$B294="결제완료",$O294="스마트스토어"),ROUND(N($N294)*설정!$J$6,0),"")</f>
        <v/>
      </c>
      <c r="AI294" s="54" t="str">
        <f aca="false">IF($D294="","",ROW())</f>
        <v/>
      </c>
      <c r="AJ294" s="54" t="n">
        <f aca="false">IF(OR($AC294&lt;&gt;1,$M294=""),0,IF(ISNUMBER(SEARCH("퇴사",IFERROR(INDEX(강사DB!$G$4:$G$53,MATCH($M294,강사DB!$A$4:$A$53,0)),""))),1,0))</f>
        <v>0</v>
      </c>
    </row>
    <row r="295" customFormat="false" ht="15" hidden="false" customHeight="false" outlineLevel="0" collapsed="false">
      <c r="A295" s="45" t="str">
        <f aca="false">IF($D295="","",COUNTA($D$5:$D295))</f>
        <v/>
      </c>
      <c r="B295" s="46"/>
      <c r="C295" s="47"/>
      <c r="D295" s="48"/>
      <c r="E295" s="48"/>
      <c r="F295" s="49"/>
      <c r="G295" s="47"/>
      <c r="H295" s="50"/>
      <c r="I295" s="50"/>
      <c r="J295" s="51" t="str">
        <f aca="false">IF(OR($V295="",$W295=""),"",ROUND(($W295-$V295)/60,2))</f>
        <v/>
      </c>
      <c r="K295" s="52" t="str">
        <f aca="false">IF($F295="","",LEN($F295)-LEN(SUBSTITUTE($F295,",",""))+1)</f>
        <v/>
      </c>
      <c r="L295" s="45" t="str">
        <f aca="false">IF($K295="","","1:"&amp;$K295)</f>
        <v/>
      </c>
      <c r="M295" s="46"/>
      <c r="N295" s="53"/>
      <c r="O295" s="46"/>
      <c r="P295" s="47"/>
      <c r="Q295" s="48"/>
      <c r="R295" s="49"/>
      <c r="S295" s="54" t="str">
        <f aca="false">IF(OR($AC295=0,$U295="",$M295="",$V295="",$W295=""),"",IF(COUNTIFS(m_teacher,$M295,m_date,$U295,m_active,1,m_start,"&lt;"&amp;$W295,m_end,"&gt;"&amp;$V295)&gt;1,"충돌",""))</f>
        <v/>
      </c>
      <c r="T295" s="48"/>
      <c r="U295" s="55" t="str">
        <f aca="false">IF($G295="","",IFERROR(IF(ISNUMBER($G295),IF($G295&gt;19000000,DATE(INT($G295/10000),MOD(INT($G295/100),100),MOD($G295,100)),INT($G295)),IF(LEN(SUBSTITUTE(SUBSTITUTE(SUBSTITUTE(TRIM($G295),"-",""),".",""),"/",""))=8,DATE(VALUE(LEFT(SUBSTITUTE(SUBSTITUTE(SUBSTITUTE(TRIM($G295),"-",""),".",""),"/",""),4)),VALUE(MID(SUBSTITUTE(SUBSTITUTE(SUBSTITUTE(TRIM($G295),"-",""),".",""),"/",""),5,2)),VALUE(RIGHT(SUBSTITUTE(SUBSTITUTE(SUBSTITUTE(TRIM($G295),"-",""),".",""),"/",""),2))),DATEVALUE($G295))),""))</f>
        <v/>
      </c>
      <c r="V295" s="52" t="str">
        <f aca="false">IF($H295="","",IFERROR(IF(IF(ISNUMBER($H295),$H295,IFERROR(TIMEVALUE($H295),VALUE($H295)))&gt;=100,INT(IF(ISNUMBER($H295),$H295,IFERROR(TIMEVALUE($H295),VALUE($H295)))/100)*60+MOD(IF(ISNUMBER($H295),$H295,IFERROR(TIMEVALUE($H295),VALUE($H295))),100),IF(IF(ISNUMBER($H295),$H295,IFERROR(TIMEVALUE($H295),VALUE($H295)))&gt;=1,ROUND(IF(ISNUMBER($H295),$H295,IFERROR(TIMEVALUE($H295),VALUE($H295)))*60,0),ROUND(MOD(IF(ISNUMBER($H295),$H295,IFERROR(TIMEVALUE($H295),VALUE($H295))),1)*1440,0))),""))</f>
        <v/>
      </c>
      <c r="W295" s="52" t="str">
        <f aca="false">IF($I295="","",IFERROR(IF(IF(ISNUMBER($I295),$I295,IFERROR(TIMEVALUE($I295),VALUE($I295)))&gt;=100,INT(IF(ISNUMBER($I295),$I295,IFERROR(TIMEVALUE($I295),VALUE($I295)))/100)*60+MOD(IF(ISNUMBER($I295),$I295,IFERROR(TIMEVALUE($I295),VALUE($I295))),100),IF(IF(ISNUMBER($I295),$I295,IFERROR(TIMEVALUE($I295),VALUE($I295)))&gt;=1,ROUND(IF(ISNUMBER($I295),$I295,IFERROR(TIMEVALUE($I295),VALUE($I295)))*60,0),ROUND(MOD(IF(ISNUMBER($I295),$I295,IFERROR(TIMEVALUE($I295),VALUE($I295))),1)*1440,0))),""))</f>
        <v/>
      </c>
      <c r="X295" s="55" t="str">
        <f aca="false">IF($P295="","",IFERROR(IF(ISNUMBER($P295),IF($P295&gt;19000000,DATE(INT($P295/10000),MOD(INT($P295/100),100),MOD($P295,100)),INT($P295)),IF(LEN(SUBSTITUTE(SUBSTITUTE(SUBSTITUTE(TRIM($P295),"-",""),".",""),"/",""))=8,DATE(VALUE(LEFT(SUBSTITUTE(SUBSTITUTE(SUBSTITUTE(TRIM($P295),"-",""),".",""),"/",""),4)),VALUE(MID(SUBSTITUTE(SUBSTITUTE(SUBSTITUTE(TRIM($P295),"-",""),".",""),"/",""),5,2)),VALUE(RIGHT(SUBSTITUTE(SUBSTITUTE(SUBSTITUTE(TRIM($P295),"-",""),".",""),"/",""),2))),DATEVALUE($P295))),""))</f>
        <v/>
      </c>
      <c r="Y295" s="56" t="str">
        <f aca="false">IF($M295="","",IFERROR(INDEX(강사DB!$D$4:$D$53,MATCH($M295,강사DB!$A$4:$A$53,0)),""))</f>
        <v/>
      </c>
      <c r="Z295" s="56" t="str">
        <f aca="false">IF($B295&lt;&gt;"결제완료","",IF(OR($Y295="",$J295=""),"",$Y295*$J295+MAX(0,N($K295)-1)*설정!$J$7))</f>
        <v/>
      </c>
      <c r="AA295" s="56" t="str">
        <f aca="false">IF(AND($D295&lt;&gt;"",$B295="결제완료"),N($N295),"")</f>
        <v/>
      </c>
      <c r="AB295" s="45" t="str">
        <f aca="false">IF($D295="","",IF($F295&lt;&gt;"",$F295,$D295)&amp;IF($B295="상담중"," (상담)",""))</f>
        <v/>
      </c>
      <c r="AC295" s="45" t="n">
        <f aca="false">IF(AND($D295&lt;&gt;"",OR($B295="결제완료",$B295="상담중")),1,0)</f>
        <v>0</v>
      </c>
      <c r="AD295" s="45" t="n">
        <f aca="false">IF(OR($Z295="",$U295=""),0,IFERROR(IF(COUNTIFS(INDEX(g_grid,0,2*MATCH($M295,강사DB!$A$4:$A$15,0)),"&lt;&gt;",g_s,"&lt;="&amp;$U295,g_e,"&gt;="&amp;$U295)&gt;0,1,0),0))</f>
        <v>0</v>
      </c>
      <c r="AE295" s="48"/>
      <c r="AF295" s="56" t="str">
        <f aca="false">IF(AND($D295&lt;&gt;"",$B295="결제완료",$T295="대여"),설정!$J$5,"")</f>
        <v/>
      </c>
      <c r="AG295" s="54" t="str">
        <f aca="false">IF($D295="","",IF(AND($E295="",$R295=""),$AB295,"☎ "&amp;IF($E295="","-",$E295)&amp;IF($R295&lt;&gt;"","  ※ "&amp;$R295,"")&amp;IF($B295="상담중"," (상담)","")))</f>
        <v/>
      </c>
      <c r="AH295" s="56" t="str">
        <f aca="false">IF(AND($D295&lt;&gt;"",$B295="결제완료",$O295="스마트스토어"),ROUND(N($N295)*설정!$J$6,0),"")</f>
        <v/>
      </c>
      <c r="AI295" s="54" t="str">
        <f aca="false">IF($D295="","",ROW())</f>
        <v/>
      </c>
      <c r="AJ295" s="54" t="n">
        <f aca="false">IF(OR($AC295&lt;&gt;1,$M295=""),0,IF(ISNUMBER(SEARCH("퇴사",IFERROR(INDEX(강사DB!$G$4:$G$53,MATCH($M295,강사DB!$A$4:$A$53,0)),""))),1,0))</f>
        <v>0</v>
      </c>
    </row>
    <row r="296" customFormat="false" ht="15" hidden="false" customHeight="false" outlineLevel="0" collapsed="false">
      <c r="A296" s="45" t="str">
        <f aca="false">IF($D296="","",COUNTA($D$5:$D296))</f>
        <v/>
      </c>
      <c r="B296" s="46"/>
      <c r="C296" s="47"/>
      <c r="D296" s="48"/>
      <c r="E296" s="48"/>
      <c r="F296" s="49"/>
      <c r="G296" s="47"/>
      <c r="H296" s="50"/>
      <c r="I296" s="50"/>
      <c r="J296" s="51" t="str">
        <f aca="false">IF(OR($V296="",$W296=""),"",ROUND(($W296-$V296)/60,2))</f>
        <v/>
      </c>
      <c r="K296" s="52" t="str">
        <f aca="false">IF($F296="","",LEN($F296)-LEN(SUBSTITUTE($F296,",",""))+1)</f>
        <v/>
      </c>
      <c r="L296" s="45" t="str">
        <f aca="false">IF($K296="","","1:"&amp;$K296)</f>
        <v/>
      </c>
      <c r="M296" s="46"/>
      <c r="N296" s="53"/>
      <c r="O296" s="46"/>
      <c r="P296" s="47"/>
      <c r="Q296" s="48"/>
      <c r="R296" s="49"/>
      <c r="S296" s="54" t="str">
        <f aca="false">IF(OR($AC296=0,$U296="",$M296="",$V296="",$W296=""),"",IF(COUNTIFS(m_teacher,$M296,m_date,$U296,m_active,1,m_start,"&lt;"&amp;$W296,m_end,"&gt;"&amp;$V296)&gt;1,"충돌",""))</f>
        <v/>
      </c>
      <c r="T296" s="48"/>
      <c r="U296" s="55" t="str">
        <f aca="false">IF($G296="","",IFERROR(IF(ISNUMBER($G296),IF($G296&gt;19000000,DATE(INT($G296/10000),MOD(INT($G296/100),100),MOD($G296,100)),INT($G296)),IF(LEN(SUBSTITUTE(SUBSTITUTE(SUBSTITUTE(TRIM($G296),"-",""),".",""),"/",""))=8,DATE(VALUE(LEFT(SUBSTITUTE(SUBSTITUTE(SUBSTITUTE(TRIM($G296),"-",""),".",""),"/",""),4)),VALUE(MID(SUBSTITUTE(SUBSTITUTE(SUBSTITUTE(TRIM($G296),"-",""),".",""),"/",""),5,2)),VALUE(RIGHT(SUBSTITUTE(SUBSTITUTE(SUBSTITUTE(TRIM($G296),"-",""),".",""),"/",""),2))),DATEVALUE($G296))),""))</f>
        <v/>
      </c>
      <c r="V296" s="52" t="str">
        <f aca="false">IF($H296="","",IFERROR(IF(IF(ISNUMBER($H296),$H296,IFERROR(TIMEVALUE($H296),VALUE($H296)))&gt;=100,INT(IF(ISNUMBER($H296),$H296,IFERROR(TIMEVALUE($H296),VALUE($H296)))/100)*60+MOD(IF(ISNUMBER($H296),$H296,IFERROR(TIMEVALUE($H296),VALUE($H296))),100),IF(IF(ISNUMBER($H296),$H296,IFERROR(TIMEVALUE($H296),VALUE($H296)))&gt;=1,ROUND(IF(ISNUMBER($H296),$H296,IFERROR(TIMEVALUE($H296),VALUE($H296)))*60,0),ROUND(MOD(IF(ISNUMBER($H296),$H296,IFERROR(TIMEVALUE($H296),VALUE($H296))),1)*1440,0))),""))</f>
        <v/>
      </c>
      <c r="W296" s="52" t="str">
        <f aca="false">IF($I296="","",IFERROR(IF(IF(ISNUMBER($I296),$I296,IFERROR(TIMEVALUE($I296),VALUE($I296)))&gt;=100,INT(IF(ISNUMBER($I296),$I296,IFERROR(TIMEVALUE($I296),VALUE($I296)))/100)*60+MOD(IF(ISNUMBER($I296),$I296,IFERROR(TIMEVALUE($I296),VALUE($I296))),100),IF(IF(ISNUMBER($I296),$I296,IFERROR(TIMEVALUE($I296),VALUE($I296)))&gt;=1,ROUND(IF(ISNUMBER($I296),$I296,IFERROR(TIMEVALUE($I296),VALUE($I296)))*60,0),ROUND(MOD(IF(ISNUMBER($I296),$I296,IFERROR(TIMEVALUE($I296),VALUE($I296))),1)*1440,0))),""))</f>
        <v/>
      </c>
      <c r="X296" s="55" t="str">
        <f aca="false">IF($P296="","",IFERROR(IF(ISNUMBER($P296),IF($P296&gt;19000000,DATE(INT($P296/10000),MOD(INT($P296/100),100),MOD($P296,100)),INT($P296)),IF(LEN(SUBSTITUTE(SUBSTITUTE(SUBSTITUTE(TRIM($P296),"-",""),".",""),"/",""))=8,DATE(VALUE(LEFT(SUBSTITUTE(SUBSTITUTE(SUBSTITUTE(TRIM($P296),"-",""),".",""),"/",""),4)),VALUE(MID(SUBSTITUTE(SUBSTITUTE(SUBSTITUTE(TRIM($P296),"-",""),".",""),"/",""),5,2)),VALUE(RIGHT(SUBSTITUTE(SUBSTITUTE(SUBSTITUTE(TRIM($P296),"-",""),".",""),"/",""),2))),DATEVALUE($P296))),""))</f>
        <v/>
      </c>
      <c r="Y296" s="56" t="str">
        <f aca="false">IF($M296="","",IFERROR(INDEX(강사DB!$D$4:$D$53,MATCH($M296,강사DB!$A$4:$A$53,0)),""))</f>
        <v/>
      </c>
      <c r="Z296" s="56" t="str">
        <f aca="false">IF($B296&lt;&gt;"결제완료","",IF(OR($Y296="",$J296=""),"",$Y296*$J296+MAX(0,N($K296)-1)*설정!$J$7))</f>
        <v/>
      </c>
      <c r="AA296" s="56" t="str">
        <f aca="false">IF(AND($D296&lt;&gt;"",$B296="결제완료"),N($N296),"")</f>
        <v/>
      </c>
      <c r="AB296" s="45" t="str">
        <f aca="false">IF($D296="","",IF($F296&lt;&gt;"",$F296,$D296)&amp;IF($B296="상담중"," (상담)",""))</f>
        <v/>
      </c>
      <c r="AC296" s="45" t="n">
        <f aca="false">IF(AND($D296&lt;&gt;"",OR($B296="결제완료",$B296="상담중")),1,0)</f>
        <v>0</v>
      </c>
      <c r="AD296" s="45" t="n">
        <f aca="false">IF(OR($Z296="",$U296=""),0,IFERROR(IF(COUNTIFS(INDEX(g_grid,0,2*MATCH($M296,강사DB!$A$4:$A$15,0)),"&lt;&gt;",g_s,"&lt;="&amp;$U296,g_e,"&gt;="&amp;$U296)&gt;0,1,0),0))</f>
        <v>0</v>
      </c>
      <c r="AE296" s="48"/>
      <c r="AF296" s="56" t="str">
        <f aca="false">IF(AND($D296&lt;&gt;"",$B296="결제완료",$T296="대여"),설정!$J$5,"")</f>
        <v/>
      </c>
      <c r="AG296" s="54" t="str">
        <f aca="false">IF($D296="","",IF(AND($E296="",$R296=""),$AB296,"☎ "&amp;IF($E296="","-",$E296)&amp;IF($R296&lt;&gt;"","  ※ "&amp;$R296,"")&amp;IF($B296="상담중"," (상담)","")))</f>
        <v/>
      </c>
      <c r="AH296" s="56" t="str">
        <f aca="false">IF(AND($D296&lt;&gt;"",$B296="결제완료",$O296="스마트스토어"),ROUND(N($N296)*설정!$J$6,0),"")</f>
        <v/>
      </c>
      <c r="AI296" s="54" t="str">
        <f aca="false">IF($D296="","",ROW())</f>
        <v/>
      </c>
      <c r="AJ296" s="54" t="n">
        <f aca="false">IF(OR($AC296&lt;&gt;1,$M296=""),0,IF(ISNUMBER(SEARCH("퇴사",IFERROR(INDEX(강사DB!$G$4:$G$53,MATCH($M296,강사DB!$A$4:$A$53,0)),""))),1,0))</f>
        <v>0</v>
      </c>
    </row>
    <row r="297" customFormat="false" ht="15" hidden="false" customHeight="false" outlineLevel="0" collapsed="false">
      <c r="A297" s="45" t="str">
        <f aca="false">IF($D297="","",COUNTA($D$5:$D297))</f>
        <v/>
      </c>
      <c r="B297" s="46"/>
      <c r="C297" s="47"/>
      <c r="D297" s="48"/>
      <c r="E297" s="48"/>
      <c r="F297" s="49"/>
      <c r="G297" s="47"/>
      <c r="H297" s="50"/>
      <c r="I297" s="50"/>
      <c r="J297" s="51" t="str">
        <f aca="false">IF(OR($V297="",$W297=""),"",ROUND(($W297-$V297)/60,2))</f>
        <v/>
      </c>
      <c r="K297" s="52" t="str">
        <f aca="false">IF($F297="","",LEN($F297)-LEN(SUBSTITUTE($F297,",",""))+1)</f>
        <v/>
      </c>
      <c r="L297" s="45" t="str">
        <f aca="false">IF($K297="","","1:"&amp;$K297)</f>
        <v/>
      </c>
      <c r="M297" s="46"/>
      <c r="N297" s="53"/>
      <c r="O297" s="46"/>
      <c r="P297" s="47"/>
      <c r="Q297" s="48"/>
      <c r="R297" s="49"/>
      <c r="S297" s="54" t="str">
        <f aca="false">IF(OR($AC297=0,$U297="",$M297="",$V297="",$W297=""),"",IF(COUNTIFS(m_teacher,$M297,m_date,$U297,m_active,1,m_start,"&lt;"&amp;$W297,m_end,"&gt;"&amp;$V297)&gt;1,"충돌",""))</f>
        <v/>
      </c>
      <c r="T297" s="48"/>
      <c r="U297" s="55" t="str">
        <f aca="false">IF($G297="","",IFERROR(IF(ISNUMBER($G297),IF($G297&gt;19000000,DATE(INT($G297/10000),MOD(INT($G297/100),100),MOD($G297,100)),INT($G297)),IF(LEN(SUBSTITUTE(SUBSTITUTE(SUBSTITUTE(TRIM($G297),"-",""),".",""),"/",""))=8,DATE(VALUE(LEFT(SUBSTITUTE(SUBSTITUTE(SUBSTITUTE(TRIM($G297),"-",""),".",""),"/",""),4)),VALUE(MID(SUBSTITUTE(SUBSTITUTE(SUBSTITUTE(TRIM($G297),"-",""),".",""),"/",""),5,2)),VALUE(RIGHT(SUBSTITUTE(SUBSTITUTE(SUBSTITUTE(TRIM($G297),"-",""),".",""),"/",""),2))),DATEVALUE($G297))),""))</f>
        <v/>
      </c>
      <c r="V297" s="52" t="str">
        <f aca="false">IF($H297="","",IFERROR(IF(IF(ISNUMBER($H297),$H297,IFERROR(TIMEVALUE($H297),VALUE($H297)))&gt;=100,INT(IF(ISNUMBER($H297),$H297,IFERROR(TIMEVALUE($H297),VALUE($H297)))/100)*60+MOD(IF(ISNUMBER($H297),$H297,IFERROR(TIMEVALUE($H297),VALUE($H297))),100),IF(IF(ISNUMBER($H297),$H297,IFERROR(TIMEVALUE($H297),VALUE($H297)))&gt;=1,ROUND(IF(ISNUMBER($H297),$H297,IFERROR(TIMEVALUE($H297),VALUE($H297)))*60,0),ROUND(MOD(IF(ISNUMBER($H297),$H297,IFERROR(TIMEVALUE($H297),VALUE($H297))),1)*1440,0))),""))</f>
        <v/>
      </c>
      <c r="W297" s="52" t="str">
        <f aca="false">IF($I297="","",IFERROR(IF(IF(ISNUMBER($I297),$I297,IFERROR(TIMEVALUE($I297),VALUE($I297)))&gt;=100,INT(IF(ISNUMBER($I297),$I297,IFERROR(TIMEVALUE($I297),VALUE($I297)))/100)*60+MOD(IF(ISNUMBER($I297),$I297,IFERROR(TIMEVALUE($I297),VALUE($I297))),100),IF(IF(ISNUMBER($I297),$I297,IFERROR(TIMEVALUE($I297),VALUE($I297)))&gt;=1,ROUND(IF(ISNUMBER($I297),$I297,IFERROR(TIMEVALUE($I297),VALUE($I297)))*60,0),ROUND(MOD(IF(ISNUMBER($I297),$I297,IFERROR(TIMEVALUE($I297),VALUE($I297))),1)*1440,0))),""))</f>
        <v/>
      </c>
      <c r="X297" s="55" t="str">
        <f aca="false">IF($P297="","",IFERROR(IF(ISNUMBER($P297),IF($P297&gt;19000000,DATE(INT($P297/10000),MOD(INT($P297/100),100),MOD($P297,100)),INT($P297)),IF(LEN(SUBSTITUTE(SUBSTITUTE(SUBSTITUTE(TRIM($P297),"-",""),".",""),"/",""))=8,DATE(VALUE(LEFT(SUBSTITUTE(SUBSTITUTE(SUBSTITUTE(TRIM($P297),"-",""),".",""),"/",""),4)),VALUE(MID(SUBSTITUTE(SUBSTITUTE(SUBSTITUTE(TRIM($P297),"-",""),".",""),"/",""),5,2)),VALUE(RIGHT(SUBSTITUTE(SUBSTITUTE(SUBSTITUTE(TRIM($P297),"-",""),".",""),"/",""),2))),DATEVALUE($P297))),""))</f>
        <v/>
      </c>
      <c r="Y297" s="56" t="str">
        <f aca="false">IF($M297="","",IFERROR(INDEX(강사DB!$D$4:$D$53,MATCH($M297,강사DB!$A$4:$A$53,0)),""))</f>
        <v/>
      </c>
      <c r="Z297" s="56" t="str">
        <f aca="false">IF($B297&lt;&gt;"결제완료","",IF(OR($Y297="",$J297=""),"",$Y297*$J297+MAX(0,N($K297)-1)*설정!$J$7))</f>
        <v/>
      </c>
      <c r="AA297" s="56" t="str">
        <f aca="false">IF(AND($D297&lt;&gt;"",$B297="결제완료"),N($N297),"")</f>
        <v/>
      </c>
      <c r="AB297" s="45" t="str">
        <f aca="false">IF($D297="","",IF($F297&lt;&gt;"",$F297,$D297)&amp;IF($B297="상담중"," (상담)",""))</f>
        <v/>
      </c>
      <c r="AC297" s="45" t="n">
        <f aca="false">IF(AND($D297&lt;&gt;"",OR($B297="결제완료",$B297="상담중")),1,0)</f>
        <v>0</v>
      </c>
      <c r="AD297" s="45" t="n">
        <f aca="false">IF(OR($Z297="",$U297=""),0,IFERROR(IF(COUNTIFS(INDEX(g_grid,0,2*MATCH($M297,강사DB!$A$4:$A$15,0)),"&lt;&gt;",g_s,"&lt;="&amp;$U297,g_e,"&gt;="&amp;$U297)&gt;0,1,0),0))</f>
        <v>0</v>
      </c>
      <c r="AE297" s="48"/>
      <c r="AF297" s="56" t="str">
        <f aca="false">IF(AND($D297&lt;&gt;"",$B297="결제완료",$T297="대여"),설정!$J$5,"")</f>
        <v/>
      </c>
      <c r="AG297" s="54" t="str">
        <f aca="false">IF($D297="","",IF(AND($E297="",$R297=""),$AB297,"☎ "&amp;IF($E297="","-",$E297)&amp;IF($R297&lt;&gt;"","  ※ "&amp;$R297,"")&amp;IF($B297="상담중"," (상담)","")))</f>
        <v/>
      </c>
      <c r="AH297" s="56" t="str">
        <f aca="false">IF(AND($D297&lt;&gt;"",$B297="결제완료",$O297="스마트스토어"),ROUND(N($N297)*설정!$J$6,0),"")</f>
        <v/>
      </c>
      <c r="AI297" s="54" t="str">
        <f aca="false">IF($D297="","",ROW())</f>
        <v/>
      </c>
      <c r="AJ297" s="54" t="n">
        <f aca="false">IF(OR($AC297&lt;&gt;1,$M297=""),0,IF(ISNUMBER(SEARCH("퇴사",IFERROR(INDEX(강사DB!$G$4:$G$53,MATCH($M297,강사DB!$A$4:$A$53,0)),""))),1,0))</f>
        <v>0</v>
      </c>
    </row>
    <row r="298" customFormat="false" ht="15" hidden="false" customHeight="false" outlineLevel="0" collapsed="false">
      <c r="A298" s="45" t="str">
        <f aca="false">IF($D298="","",COUNTA($D$5:$D298))</f>
        <v/>
      </c>
      <c r="B298" s="46"/>
      <c r="C298" s="47"/>
      <c r="D298" s="48"/>
      <c r="E298" s="48"/>
      <c r="F298" s="49"/>
      <c r="G298" s="47"/>
      <c r="H298" s="50"/>
      <c r="I298" s="50"/>
      <c r="J298" s="51" t="str">
        <f aca="false">IF(OR($V298="",$W298=""),"",ROUND(($W298-$V298)/60,2))</f>
        <v/>
      </c>
      <c r="K298" s="52" t="str">
        <f aca="false">IF($F298="","",LEN($F298)-LEN(SUBSTITUTE($F298,",",""))+1)</f>
        <v/>
      </c>
      <c r="L298" s="45" t="str">
        <f aca="false">IF($K298="","","1:"&amp;$K298)</f>
        <v/>
      </c>
      <c r="M298" s="46"/>
      <c r="N298" s="53"/>
      <c r="O298" s="46"/>
      <c r="P298" s="47"/>
      <c r="Q298" s="48"/>
      <c r="R298" s="49"/>
      <c r="S298" s="54" t="str">
        <f aca="false">IF(OR($AC298=0,$U298="",$M298="",$V298="",$W298=""),"",IF(COUNTIFS(m_teacher,$M298,m_date,$U298,m_active,1,m_start,"&lt;"&amp;$W298,m_end,"&gt;"&amp;$V298)&gt;1,"충돌",""))</f>
        <v/>
      </c>
      <c r="T298" s="48"/>
      <c r="U298" s="55" t="str">
        <f aca="false">IF($G298="","",IFERROR(IF(ISNUMBER($G298),IF($G298&gt;19000000,DATE(INT($G298/10000),MOD(INT($G298/100),100),MOD($G298,100)),INT($G298)),IF(LEN(SUBSTITUTE(SUBSTITUTE(SUBSTITUTE(TRIM($G298),"-",""),".",""),"/",""))=8,DATE(VALUE(LEFT(SUBSTITUTE(SUBSTITUTE(SUBSTITUTE(TRIM($G298),"-",""),".",""),"/",""),4)),VALUE(MID(SUBSTITUTE(SUBSTITUTE(SUBSTITUTE(TRIM($G298),"-",""),".",""),"/",""),5,2)),VALUE(RIGHT(SUBSTITUTE(SUBSTITUTE(SUBSTITUTE(TRIM($G298),"-",""),".",""),"/",""),2))),DATEVALUE($G298))),""))</f>
        <v/>
      </c>
      <c r="V298" s="52" t="str">
        <f aca="false">IF($H298="","",IFERROR(IF(IF(ISNUMBER($H298),$H298,IFERROR(TIMEVALUE($H298),VALUE($H298)))&gt;=100,INT(IF(ISNUMBER($H298),$H298,IFERROR(TIMEVALUE($H298),VALUE($H298)))/100)*60+MOD(IF(ISNUMBER($H298),$H298,IFERROR(TIMEVALUE($H298),VALUE($H298))),100),IF(IF(ISNUMBER($H298),$H298,IFERROR(TIMEVALUE($H298),VALUE($H298)))&gt;=1,ROUND(IF(ISNUMBER($H298),$H298,IFERROR(TIMEVALUE($H298),VALUE($H298)))*60,0),ROUND(MOD(IF(ISNUMBER($H298),$H298,IFERROR(TIMEVALUE($H298),VALUE($H298))),1)*1440,0))),""))</f>
        <v/>
      </c>
      <c r="W298" s="52" t="str">
        <f aca="false">IF($I298="","",IFERROR(IF(IF(ISNUMBER($I298),$I298,IFERROR(TIMEVALUE($I298),VALUE($I298)))&gt;=100,INT(IF(ISNUMBER($I298),$I298,IFERROR(TIMEVALUE($I298),VALUE($I298)))/100)*60+MOD(IF(ISNUMBER($I298),$I298,IFERROR(TIMEVALUE($I298),VALUE($I298))),100),IF(IF(ISNUMBER($I298),$I298,IFERROR(TIMEVALUE($I298),VALUE($I298)))&gt;=1,ROUND(IF(ISNUMBER($I298),$I298,IFERROR(TIMEVALUE($I298),VALUE($I298)))*60,0),ROUND(MOD(IF(ISNUMBER($I298),$I298,IFERROR(TIMEVALUE($I298),VALUE($I298))),1)*1440,0))),""))</f>
        <v/>
      </c>
      <c r="X298" s="55" t="str">
        <f aca="false">IF($P298="","",IFERROR(IF(ISNUMBER($P298),IF($P298&gt;19000000,DATE(INT($P298/10000),MOD(INT($P298/100),100),MOD($P298,100)),INT($P298)),IF(LEN(SUBSTITUTE(SUBSTITUTE(SUBSTITUTE(TRIM($P298),"-",""),".",""),"/",""))=8,DATE(VALUE(LEFT(SUBSTITUTE(SUBSTITUTE(SUBSTITUTE(TRIM($P298),"-",""),".",""),"/",""),4)),VALUE(MID(SUBSTITUTE(SUBSTITUTE(SUBSTITUTE(TRIM($P298),"-",""),".",""),"/",""),5,2)),VALUE(RIGHT(SUBSTITUTE(SUBSTITUTE(SUBSTITUTE(TRIM($P298),"-",""),".",""),"/",""),2))),DATEVALUE($P298))),""))</f>
        <v/>
      </c>
      <c r="Y298" s="56" t="str">
        <f aca="false">IF($M298="","",IFERROR(INDEX(강사DB!$D$4:$D$53,MATCH($M298,강사DB!$A$4:$A$53,0)),""))</f>
        <v/>
      </c>
      <c r="Z298" s="56" t="str">
        <f aca="false">IF($B298&lt;&gt;"결제완료","",IF(OR($Y298="",$J298=""),"",$Y298*$J298+MAX(0,N($K298)-1)*설정!$J$7))</f>
        <v/>
      </c>
      <c r="AA298" s="56" t="str">
        <f aca="false">IF(AND($D298&lt;&gt;"",$B298="결제완료"),N($N298),"")</f>
        <v/>
      </c>
      <c r="AB298" s="45" t="str">
        <f aca="false">IF($D298="","",IF($F298&lt;&gt;"",$F298,$D298)&amp;IF($B298="상담중"," (상담)",""))</f>
        <v/>
      </c>
      <c r="AC298" s="45" t="n">
        <f aca="false">IF(AND($D298&lt;&gt;"",OR($B298="결제완료",$B298="상담중")),1,0)</f>
        <v>0</v>
      </c>
      <c r="AD298" s="45" t="n">
        <f aca="false">IF(OR($Z298="",$U298=""),0,IFERROR(IF(COUNTIFS(INDEX(g_grid,0,2*MATCH($M298,강사DB!$A$4:$A$15,0)),"&lt;&gt;",g_s,"&lt;="&amp;$U298,g_e,"&gt;="&amp;$U298)&gt;0,1,0),0))</f>
        <v>0</v>
      </c>
      <c r="AE298" s="48"/>
      <c r="AF298" s="56" t="str">
        <f aca="false">IF(AND($D298&lt;&gt;"",$B298="결제완료",$T298="대여"),설정!$J$5,"")</f>
        <v/>
      </c>
      <c r="AG298" s="54" t="str">
        <f aca="false">IF($D298="","",IF(AND($E298="",$R298=""),$AB298,"☎ "&amp;IF($E298="","-",$E298)&amp;IF($R298&lt;&gt;"","  ※ "&amp;$R298,"")&amp;IF($B298="상담중"," (상담)","")))</f>
        <v/>
      </c>
      <c r="AH298" s="56" t="str">
        <f aca="false">IF(AND($D298&lt;&gt;"",$B298="결제완료",$O298="스마트스토어"),ROUND(N($N298)*설정!$J$6,0),"")</f>
        <v/>
      </c>
      <c r="AI298" s="54" t="str">
        <f aca="false">IF($D298="","",ROW())</f>
        <v/>
      </c>
      <c r="AJ298" s="54" t="n">
        <f aca="false">IF(OR($AC298&lt;&gt;1,$M298=""),0,IF(ISNUMBER(SEARCH("퇴사",IFERROR(INDEX(강사DB!$G$4:$G$53,MATCH($M298,강사DB!$A$4:$A$53,0)),""))),1,0))</f>
        <v>0</v>
      </c>
    </row>
    <row r="299" customFormat="false" ht="15" hidden="false" customHeight="false" outlineLevel="0" collapsed="false">
      <c r="A299" s="45" t="str">
        <f aca="false">IF($D299="","",COUNTA($D$5:$D299))</f>
        <v/>
      </c>
      <c r="B299" s="46"/>
      <c r="C299" s="47"/>
      <c r="D299" s="48"/>
      <c r="E299" s="48"/>
      <c r="F299" s="49"/>
      <c r="G299" s="47"/>
      <c r="H299" s="50"/>
      <c r="I299" s="50"/>
      <c r="J299" s="51" t="str">
        <f aca="false">IF(OR($V299="",$W299=""),"",ROUND(($W299-$V299)/60,2))</f>
        <v/>
      </c>
      <c r="K299" s="52" t="str">
        <f aca="false">IF($F299="","",LEN($F299)-LEN(SUBSTITUTE($F299,",",""))+1)</f>
        <v/>
      </c>
      <c r="L299" s="45" t="str">
        <f aca="false">IF($K299="","","1:"&amp;$K299)</f>
        <v/>
      </c>
      <c r="M299" s="46"/>
      <c r="N299" s="53"/>
      <c r="O299" s="46"/>
      <c r="P299" s="47"/>
      <c r="Q299" s="48"/>
      <c r="R299" s="49"/>
      <c r="S299" s="54" t="str">
        <f aca="false">IF(OR($AC299=0,$U299="",$M299="",$V299="",$W299=""),"",IF(COUNTIFS(m_teacher,$M299,m_date,$U299,m_active,1,m_start,"&lt;"&amp;$W299,m_end,"&gt;"&amp;$V299)&gt;1,"충돌",""))</f>
        <v/>
      </c>
      <c r="T299" s="48"/>
      <c r="U299" s="55" t="str">
        <f aca="false">IF($G299="","",IFERROR(IF(ISNUMBER($G299),IF($G299&gt;19000000,DATE(INT($G299/10000),MOD(INT($G299/100),100),MOD($G299,100)),INT($G299)),IF(LEN(SUBSTITUTE(SUBSTITUTE(SUBSTITUTE(TRIM($G299),"-",""),".",""),"/",""))=8,DATE(VALUE(LEFT(SUBSTITUTE(SUBSTITUTE(SUBSTITUTE(TRIM($G299),"-",""),".",""),"/",""),4)),VALUE(MID(SUBSTITUTE(SUBSTITUTE(SUBSTITUTE(TRIM($G299),"-",""),".",""),"/",""),5,2)),VALUE(RIGHT(SUBSTITUTE(SUBSTITUTE(SUBSTITUTE(TRIM($G299),"-",""),".",""),"/",""),2))),DATEVALUE($G299))),""))</f>
        <v/>
      </c>
      <c r="V299" s="52" t="str">
        <f aca="false">IF($H299="","",IFERROR(IF(IF(ISNUMBER($H299),$H299,IFERROR(TIMEVALUE($H299),VALUE($H299)))&gt;=100,INT(IF(ISNUMBER($H299),$H299,IFERROR(TIMEVALUE($H299),VALUE($H299)))/100)*60+MOD(IF(ISNUMBER($H299),$H299,IFERROR(TIMEVALUE($H299),VALUE($H299))),100),IF(IF(ISNUMBER($H299),$H299,IFERROR(TIMEVALUE($H299),VALUE($H299)))&gt;=1,ROUND(IF(ISNUMBER($H299),$H299,IFERROR(TIMEVALUE($H299),VALUE($H299)))*60,0),ROUND(MOD(IF(ISNUMBER($H299),$H299,IFERROR(TIMEVALUE($H299),VALUE($H299))),1)*1440,0))),""))</f>
        <v/>
      </c>
      <c r="W299" s="52" t="str">
        <f aca="false">IF($I299="","",IFERROR(IF(IF(ISNUMBER($I299),$I299,IFERROR(TIMEVALUE($I299),VALUE($I299)))&gt;=100,INT(IF(ISNUMBER($I299),$I299,IFERROR(TIMEVALUE($I299),VALUE($I299)))/100)*60+MOD(IF(ISNUMBER($I299),$I299,IFERROR(TIMEVALUE($I299),VALUE($I299))),100),IF(IF(ISNUMBER($I299),$I299,IFERROR(TIMEVALUE($I299),VALUE($I299)))&gt;=1,ROUND(IF(ISNUMBER($I299),$I299,IFERROR(TIMEVALUE($I299),VALUE($I299)))*60,0),ROUND(MOD(IF(ISNUMBER($I299),$I299,IFERROR(TIMEVALUE($I299),VALUE($I299))),1)*1440,0))),""))</f>
        <v/>
      </c>
      <c r="X299" s="55" t="str">
        <f aca="false">IF($P299="","",IFERROR(IF(ISNUMBER($P299),IF($P299&gt;19000000,DATE(INT($P299/10000),MOD(INT($P299/100),100),MOD($P299,100)),INT($P299)),IF(LEN(SUBSTITUTE(SUBSTITUTE(SUBSTITUTE(TRIM($P299),"-",""),".",""),"/",""))=8,DATE(VALUE(LEFT(SUBSTITUTE(SUBSTITUTE(SUBSTITUTE(TRIM($P299),"-",""),".",""),"/",""),4)),VALUE(MID(SUBSTITUTE(SUBSTITUTE(SUBSTITUTE(TRIM($P299),"-",""),".",""),"/",""),5,2)),VALUE(RIGHT(SUBSTITUTE(SUBSTITUTE(SUBSTITUTE(TRIM($P299),"-",""),".",""),"/",""),2))),DATEVALUE($P299))),""))</f>
        <v/>
      </c>
      <c r="Y299" s="56" t="str">
        <f aca="false">IF($M299="","",IFERROR(INDEX(강사DB!$D$4:$D$53,MATCH($M299,강사DB!$A$4:$A$53,0)),""))</f>
        <v/>
      </c>
      <c r="Z299" s="56" t="str">
        <f aca="false">IF($B299&lt;&gt;"결제완료","",IF(OR($Y299="",$J299=""),"",$Y299*$J299+MAX(0,N($K299)-1)*설정!$J$7))</f>
        <v/>
      </c>
      <c r="AA299" s="56" t="str">
        <f aca="false">IF(AND($D299&lt;&gt;"",$B299="결제완료"),N($N299),"")</f>
        <v/>
      </c>
      <c r="AB299" s="45" t="str">
        <f aca="false">IF($D299="","",IF($F299&lt;&gt;"",$F299,$D299)&amp;IF($B299="상담중"," (상담)",""))</f>
        <v/>
      </c>
      <c r="AC299" s="45" t="n">
        <f aca="false">IF(AND($D299&lt;&gt;"",OR($B299="결제완료",$B299="상담중")),1,0)</f>
        <v>0</v>
      </c>
      <c r="AD299" s="45" t="n">
        <f aca="false">IF(OR($Z299="",$U299=""),0,IFERROR(IF(COUNTIFS(INDEX(g_grid,0,2*MATCH($M299,강사DB!$A$4:$A$15,0)),"&lt;&gt;",g_s,"&lt;="&amp;$U299,g_e,"&gt;="&amp;$U299)&gt;0,1,0),0))</f>
        <v>0</v>
      </c>
      <c r="AE299" s="48"/>
      <c r="AF299" s="56" t="str">
        <f aca="false">IF(AND($D299&lt;&gt;"",$B299="결제완료",$T299="대여"),설정!$J$5,"")</f>
        <v/>
      </c>
      <c r="AG299" s="54" t="str">
        <f aca="false">IF($D299="","",IF(AND($E299="",$R299=""),$AB299,"☎ "&amp;IF($E299="","-",$E299)&amp;IF($R299&lt;&gt;"","  ※ "&amp;$R299,"")&amp;IF($B299="상담중"," (상담)","")))</f>
        <v/>
      </c>
      <c r="AH299" s="56" t="str">
        <f aca="false">IF(AND($D299&lt;&gt;"",$B299="결제완료",$O299="스마트스토어"),ROUND(N($N299)*설정!$J$6,0),"")</f>
        <v/>
      </c>
      <c r="AI299" s="54" t="str">
        <f aca="false">IF($D299="","",ROW())</f>
        <v/>
      </c>
      <c r="AJ299" s="54" t="n">
        <f aca="false">IF(OR($AC299&lt;&gt;1,$M299=""),0,IF(ISNUMBER(SEARCH("퇴사",IFERROR(INDEX(강사DB!$G$4:$G$53,MATCH($M299,강사DB!$A$4:$A$53,0)),""))),1,0))</f>
        <v>0</v>
      </c>
    </row>
    <row r="300" customFormat="false" ht="15" hidden="false" customHeight="false" outlineLevel="0" collapsed="false">
      <c r="A300" s="45" t="str">
        <f aca="false">IF($D300="","",COUNTA($D$5:$D300))</f>
        <v/>
      </c>
      <c r="B300" s="46"/>
      <c r="C300" s="47"/>
      <c r="D300" s="48"/>
      <c r="E300" s="48"/>
      <c r="F300" s="49"/>
      <c r="G300" s="47"/>
      <c r="H300" s="50"/>
      <c r="I300" s="50"/>
      <c r="J300" s="51" t="str">
        <f aca="false">IF(OR($V300="",$W300=""),"",ROUND(($W300-$V300)/60,2))</f>
        <v/>
      </c>
      <c r="K300" s="52" t="str">
        <f aca="false">IF($F300="","",LEN($F300)-LEN(SUBSTITUTE($F300,",",""))+1)</f>
        <v/>
      </c>
      <c r="L300" s="45" t="str">
        <f aca="false">IF($K300="","","1:"&amp;$K300)</f>
        <v/>
      </c>
      <c r="M300" s="46"/>
      <c r="N300" s="53"/>
      <c r="O300" s="46"/>
      <c r="P300" s="47"/>
      <c r="Q300" s="48"/>
      <c r="R300" s="49"/>
      <c r="S300" s="54" t="str">
        <f aca="false">IF(OR($AC300=0,$U300="",$M300="",$V300="",$W300=""),"",IF(COUNTIFS(m_teacher,$M300,m_date,$U300,m_active,1,m_start,"&lt;"&amp;$W300,m_end,"&gt;"&amp;$V300)&gt;1,"충돌",""))</f>
        <v/>
      </c>
      <c r="T300" s="48"/>
      <c r="U300" s="55" t="str">
        <f aca="false">IF($G300="","",IFERROR(IF(ISNUMBER($G300),IF($G300&gt;19000000,DATE(INT($G300/10000),MOD(INT($G300/100),100),MOD($G300,100)),INT($G300)),IF(LEN(SUBSTITUTE(SUBSTITUTE(SUBSTITUTE(TRIM($G300),"-",""),".",""),"/",""))=8,DATE(VALUE(LEFT(SUBSTITUTE(SUBSTITUTE(SUBSTITUTE(TRIM($G300),"-",""),".",""),"/",""),4)),VALUE(MID(SUBSTITUTE(SUBSTITUTE(SUBSTITUTE(TRIM($G300),"-",""),".",""),"/",""),5,2)),VALUE(RIGHT(SUBSTITUTE(SUBSTITUTE(SUBSTITUTE(TRIM($G300),"-",""),".",""),"/",""),2))),DATEVALUE($G300))),""))</f>
        <v/>
      </c>
      <c r="V300" s="52" t="str">
        <f aca="false">IF($H300="","",IFERROR(IF(IF(ISNUMBER($H300),$H300,IFERROR(TIMEVALUE($H300),VALUE($H300)))&gt;=100,INT(IF(ISNUMBER($H300),$H300,IFERROR(TIMEVALUE($H300),VALUE($H300)))/100)*60+MOD(IF(ISNUMBER($H300),$H300,IFERROR(TIMEVALUE($H300),VALUE($H300))),100),IF(IF(ISNUMBER($H300),$H300,IFERROR(TIMEVALUE($H300),VALUE($H300)))&gt;=1,ROUND(IF(ISNUMBER($H300),$H300,IFERROR(TIMEVALUE($H300),VALUE($H300)))*60,0),ROUND(MOD(IF(ISNUMBER($H300),$H300,IFERROR(TIMEVALUE($H300),VALUE($H300))),1)*1440,0))),""))</f>
        <v/>
      </c>
      <c r="W300" s="52" t="str">
        <f aca="false">IF($I300="","",IFERROR(IF(IF(ISNUMBER($I300),$I300,IFERROR(TIMEVALUE($I300),VALUE($I300)))&gt;=100,INT(IF(ISNUMBER($I300),$I300,IFERROR(TIMEVALUE($I300),VALUE($I300)))/100)*60+MOD(IF(ISNUMBER($I300),$I300,IFERROR(TIMEVALUE($I300),VALUE($I300))),100),IF(IF(ISNUMBER($I300),$I300,IFERROR(TIMEVALUE($I300),VALUE($I300)))&gt;=1,ROUND(IF(ISNUMBER($I300),$I300,IFERROR(TIMEVALUE($I300),VALUE($I300)))*60,0),ROUND(MOD(IF(ISNUMBER($I300),$I300,IFERROR(TIMEVALUE($I300),VALUE($I300))),1)*1440,0))),""))</f>
        <v/>
      </c>
      <c r="X300" s="55" t="str">
        <f aca="false">IF($P300="","",IFERROR(IF(ISNUMBER($P300),IF($P300&gt;19000000,DATE(INT($P300/10000),MOD(INT($P300/100),100),MOD($P300,100)),INT($P300)),IF(LEN(SUBSTITUTE(SUBSTITUTE(SUBSTITUTE(TRIM($P300),"-",""),".",""),"/",""))=8,DATE(VALUE(LEFT(SUBSTITUTE(SUBSTITUTE(SUBSTITUTE(TRIM($P300),"-",""),".",""),"/",""),4)),VALUE(MID(SUBSTITUTE(SUBSTITUTE(SUBSTITUTE(TRIM($P300),"-",""),".",""),"/",""),5,2)),VALUE(RIGHT(SUBSTITUTE(SUBSTITUTE(SUBSTITUTE(TRIM($P300),"-",""),".",""),"/",""),2))),DATEVALUE($P300))),""))</f>
        <v/>
      </c>
      <c r="Y300" s="56" t="str">
        <f aca="false">IF($M300="","",IFERROR(INDEX(강사DB!$D$4:$D$53,MATCH($M300,강사DB!$A$4:$A$53,0)),""))</f>
        <v/>
      </c>
      <c r="Z300" s="56" t="str">
        <f aca="false">IF($B300&lt;&gt;"결제완료","",IF(OR($Y300="",$J300=""),"",$Y300*$J300+MAX(0,N($K300)-1)*설정!$J$7))</f>
        <v/>
      </c>
      <c r="AA300" s="56" t="str">
        <f aca="false">IF(AND($D300&lt;&gt;"",$B300="결제완료"),N($N300),"")</f>
        <v/>
      </c>
      <c r="AB300" s="45" t="str">
        <f aca="false">IF($D300="","",IF($F300&lt;&gt;"",$F300,$D300)&amp;IF($B300="상담중"," (상담)",""))</f>
        <v/>
      </c>
      <c r="AC300" s="45" t="n">
        <f aca="false">IF(AND($D300&lt;&gt;"",OR($B300="결제완료",$B300="상담중")),1,0)</f>
        <v>0</v>
      </c>
      <c r="AD300" s="45" t="n">
        <f aca="false">IF(OR($Z300="",$U300=""),0,IFERROR(IF(COUNTIFS(INDEX(g_grid,0,2*MATCH($M300,강사DB!$A$4:$A$15,0)),"&lt;&gt;",g_s,"&lt;="&amp;$U300,g_e,"&gt;="&amp;$U300)&gt;0,1,0),0))</f>
        <v>0</v>
      </c>
      <c r="AE300" s="48"/>
      <c r="AF300" s="56" t="str">
        <f aca="false">IF(AND($D300&lt;&gt;"",$B300="결제완료",$T300="대여"),설정!$J$5,"")</f>
        <v/>
      </c>
      <c r="AG300" s="54" t="str">
        <f aca="false">IF($D300="","",IF(AND($E300="",$R300=""),$AB300,"☎ "&amp;IF($E300="","-",$E300)&amp;IF($R300&lt;&gt;"","  ※ "&amp;$R300,"")&amp;IF($B300="상담중"," (상담)","")))</f>
        <v/>
      </c>
      <c r="AH300" s="56" t="str">
        <f aca="false">IF(AND($D300&lt;&gt;"",$B300="결제완료",$O300="스마트스토어"),ROUND(N($N300)*설정!$J$6,0),"")</f>
        <v/>
      </c>
      <c r="AI300" s="54" t="str">
        <f aca="false">IF($D300="","",ROW())</f>
        <v/>
      </c>
      <c r="AJ300" s="54" t="n">
        <f aca="false">IF(OR($AC300&lt;&gt;1,$M300=""),0,IF(ISNUMBER(SEARCH("퇴사",IFERROR(INDEX(강사DB!$G$4:$G$53,MATCH($M300,강사DB!$A$4:$A$53,0)),""))),1,0))</f>
        <v>0</v>
      </c>
    </row>
    <row r="301" customFormat="false" ht="15" hidden="false" customHeight="false" outlineLevel="0" collapsed="false">
      <c r="A301" s="45" t="str">
        <f aca="false">IF($D301="","",COUNTA($D$5:$D301))</f>
        <v/>
      </c>
      <c r="B301" s="46"/>
      <c r="C301" s="47"/>
      <c r="D301" s="48"/>
      <c r="E301" s="48"/>
      <c r="F301" s="49"/>
      <c r="G301" s="47"/>
      <c r="H301" s="50"/>
      <c r="I301" s="50"/>
      <c r="J301" s="51" t="str">
        <f aca="false">IF(OR($V301="",$W301=""),"",ROUND(($W301-$V301)/60,2))</f>
        <v/>
      </c>
      <c r="K301" s="52" t="str">
        <f aca="false">IF($F301="","",LEN($F301)-LEN(SUBSTITUTE($F301,",",""))+1)</f>
        <v/>
      </c>
      <c r="L301" s="45" t="str">
        <f aca="false">IF($K301="","","1:"&amp;$K301)</f>
        <v/>
      </c>
      <c r="M301" s="46"/>
      <c r="N301" s="53"/>
      <c r="O301" s="46"/>
      <c r="P301" s="47"/>
      <c r="Q301" s="48"/>
      <c r="R301" s="49"/>
      <c r="S301" s="54" t="str">
        <f aca="false">IF(OR($AC301=0,$U301="",$M301="",$V301="",$W301=""),"",IF(COUNTIFS(m_teacher,$M301,m_date,$U301,m_active,1,m_start,"&lt;"&amp;$W301,m_end,"&gt;"&amp;$V301)&gt;1,"충돌",""))</f>
        <v/>
      </c>
      <c r="T301" s="48"/>
      <c r="U301" s="55" t="str">
        <f aca="false">IF($G301="","",IFERROR(IF(ISNUMBER($G301),IF($G301&gt;19000000,DATE(INT($G301/10000),MOD(INT($G301/100),100),MOD($G301,100)),INT($G301)),IF(LEN(SUBSTITUTE(SUBSTITUTE(SUBSTITUTE(TRIM($G301),"-",""),".",""),"/",""))=8,DATE(VALUE(LEFT(SUBSTITUTE(SUBSTITUTE(SUBSTITUTE(TRIM($G301),"-",""),".",""),"/",""),4)),VALUE(MID(SUBSTITUTE(SUBSTITUTE(SUBSTITUTE(TRIM($G301),"-",""),".",""),"/",""),5,2)),VALUE(RIGHT(SUBSTITUTE(SUBSTITUTE(SUBSTITUTE(TRIM($G301),"-",""),".",""),"/",""),2))),DATEVALUE($G301))),""))</f>
        <v/>
      </c>
      <c r="V301" s="52" t="str">
        <f aca="false">IF($H301="","",IFERROR(IF(IF(ISNUMBER($H301),$H301,IFERROR(TIMEVALUE($H301),VALUE($H301)))&gt;=100,INT(IF(ISNUMBER($H301),$H301,IFERROR(TIMEVALUE($H301),VALUE($H301)))/100)*60+MOD(IF(ISNUMBER($H301),$H301,IFERROR(TIMEVALUE($H301),VALUE($H301))),100),IF(IF(ISNUMBER($H301),$H301,IFERROR(TIMEVALUE($H301),VALUE($H301)))&gt;=1,ROUND(IF(ISNUMBER($H301),$H301,IFERROR(TIMEVALUE($H301),VALUE($H301)))*60,0),ROUND(MOD(IF(ISNUMBER($H301),$H301,IFERROR(TIMEVALUE($H301),VALUE($H301))),1)*1440,0))),""))</f>
        <v/>
      </c>
      <c r="W301" s="52" t="str">
        <f aca="false">IF($I301="","",IFERROR(IF(IF(ISNUMBER($I301),$I301,IFERROR(TIMEVALUE($I301),VALUE($I301)))&gt;=100,INT(IF(ISNUMBER($I301),$I301,IFERROR(TIMEVALUE($I301),VALUE($I301)))/100)*60+MOD(IF(ISNUMBER($I301),$I301,IFERROR(TIMEVALUE($I301),VALUE($I301))),100),IF(IF(ISNUMBER($I301),$I301,IFERROR(TIMEVALUE($I301),VALUE($I301)))&gt;=1,ROUND(IF(ISNUMBER($I301),$I301,IFERROR(TIMEVALUE($I301),VALUE($I301)))*60,0),ROUND(MOD(IF(ISNUMBER($I301),$I301,IFERROR(TIMEVALUE($I301),VALUE($I301))),1)*1440,0))),""))</f>
        <v/>
      </c>
      <c r="X301" s="55" t="str">
        <f aca="false">IF($P301="","",IFERROR(IF(ISNUMBER($P301),IF($P301&gt;19000000,DATE(INT($P301/10000),MOD(INT($P301/100),100),MOD($P301,100)),INT($P301)),IF(LEN(SUBSTITUTE(SUBSTITUTE(SUBSTITUTE(TRIM($P301),"-",""),".",""),"/",""))=8,DATE(VALUE(LEFT(SUBSTITUTE(SUBSTITUTE(SUBSTITUTE(TRIM($P301),"-",""),".",""),"/",""),4)),VALUE(MID(SUBSTITUTE(SUBSTITUTE(SUBSTITUTE(TRIM($P301),"-",""),".",""),"/",""),5,2)),VALUE(RIGHT(SUBSTITUTE(SUBSTITUTE(SUBSTITUTE(TRIM($P301),"-",""),".",""),"/",""),2))),DATEVALUE($P301))),""))</f>
        <v/>
      </c>
      <c r="Y301" s="56" t="str">
        <f aca="false">IF($M301="","",IFERROR(INDEX(강사DB!$D$4:$D$53,MATCH($M301,강사DB!$A$4:$A$53,0)),""))</f>
        <v/>
      </c>
      <c r="Z301" s="56" t="str">
        <f aca="false">IF($B301&lt;&gt;"결제완료","",IF(OR($Y301="",$J301=""),"",$Y301*$J301+MAX(0,N($K301)-1)*설정!$J$7))</f>
        <v/>
      </c>
      <c r="AA301" s="56" t="str">
        <f aca="false">IF(AND($D301&lt;&gt;"",$B301="결제완료"),N($N301),"")</f>
        <v/>
      </c>
      <c r="AB301" s="45" t="str">
        <f aca="false">IF($D301="","",IF($F301&lt;&gt;"",$F301,$D301)&amp;IF($B301="상담중"," (상담)",""))</f>
        <v/>
      </c>
      <c r="AC301" s="45" t="n">
        <f aca="false">IF(AND($D301&lt;&gt;"",OR($B301="결제완료",$B301="상담중")),1,0)</f>
        <v>0</v>
      </c>
      <c r="AD301" s="45" t="n">
        <f aca="false">IF(OR($Z301="",$U301=""),0,IFERROR(IF(COUNTIFS(INDEX(g_grid,0,2*MATCH($M301,강사DB!$A$4:$A$15,0)),"&lt;&gt;",g_s,"&lt;="&amp;$U301,g_e,"&gt;="&amp;$U301)&gt;0,1,0),0))</f>
        <v>0</v>
      </c>
      <c r="AE301" s="48"/>
      <c r="AF301" s="56" t="str">
        <f aca="false">IF(AND($D301&lt;&gt;"",$B301="결제완료",$T301="대여"),설정!$J$5,"")</f>
        <v/>
      </c>
      <c r="AG301" s="54" t="str">
        <f aca="false">IF($D301="","",IF(AND($E301="",$R301=""),$AB301,"☎ "&amp;IF($E301="","-",$E301)&amp;IF($R301&lt;&gt;"","  ※ "&amp;$R301,"")&amp;IF($B301="상담중"," (상담)","")))</f>
        <v/>
      </c>
      <c r="AH301" s="56" t="str">
        <f aca="false">IF(AND($D301&lt;&gt;"",$B301="결제완료",$O301="스마트스토어"),ROUND(N($N301)*설정!$J$6,0),"")</f>
        <v/>
      </c>
      <c r="AI301" s="54" t="str">
        <f aca="false">IF($D301="","",ROW())</f>
        <v/>
      </c>
      <c r="AJ301" s="54" t="n">
        <f aca="false">IF(OR($AC301&lt;&gt;1,$M301=""),0,IF(ISNUMBER(SEARCH("퇴사",IFERROR(INDEX(강사DB!$G$4:$G$53,MATCH($M301,강사DB!$A$4:$A$53,0)),""))),1,0))</f>
        <v>0</v>
      </c>
    </row>
    <row r="302" customFormat="false" ht="15" hidden="false" customHeight="false" outlineLevel="0" collapsed="false">
      <c r="A302" s="45" t="str">
        <f aca="false">IF($D302="","",COUNTA($D$5:$D302))</f>
        <v/>
      </c>
      <c r="B302" s="46"/>
      <c r="C302" s="47"/>
      <c r="D302" s="48"/>
      <c r="E302" s="48"/>
      <c r="F302" s="49"/>
      <c r="G302" s="47"/>
      <c r="H302" s="50"/>
      <c r="I302" s="50"/>
      <c r="J302" s="51" t="str">
        <f aca="false">IF(OR($V302="",$W302=""),"",ROUND(($W302-$V302)/60,2))</f>
        <v/>
      </c>
      <c r="K302" s="52" t="str">
        <f aca="false">IF($F302="","",LEN($F302)-LEN(SUBSTITUTE($F302,",",""))+1)</f>
        <v/>
      </c>
      <c r="L302" s="45" t="str">
        <f aca="false">IF($K302="","","1:"&amp;$K302)</f>
        <v/>
      </c>
      <c r="M302" s="46"/>
      <c r="N302" s="53"/>
      <c r="O302" s="46"/>
      <c r="P302" s="47"/>
      <c r="Q302" s="48"/>
      <c r="R302" s="49"/>
      <c r="S302" s="54" t="str">
        <f aca="false">IF(OR($AC302=0,$U302="",$M302="",$V302="",$W302=""),"",IF(COUNTIFS(m_teacher,$M302,m_date,$U302,m_active,1,m_start,"&lt;"&amp;$W302,m_end,"&gt;"&amp;$V302)&gt;1,"충돌",""))</f>
        <v/>
      </c>
      <c r="T302" s="48"/>
      <c r="U302" s="55" t="str">
        <f aca="false">IF($G302="","",IFERROR(IF(ISNUMBER($G302),IF($G302&gt;19000000,DATE(INT($G302/10000),MOD(INT($G302/100),100),MOD($G302,100)),INT($G302)),IF(LEN(SUBSTITUTE(SUBSTITUTE(SUBSTITUTE(TRIM($G302),"-",""),".",""),"/",""))=8,DATE(VALUE(LEFT(SUBSTITUTE(SUBSTITUTE(SUBSTITUTE(TRIM($G302),"-",""),".",""),"/",""),4)),VALUE(MID(SUBSTITUTE(SUBSTITUTE(SUBSTITUTE(TRIM($G302),"-",""),".",""),"/",""),5,2)),VALUE(RIGHT(SUBSTITUTE(SUBSTITUTE(SUBSTITUTE(TRIM($G302),"-",""),".",""),"/",""),2))),DATEVALUE($G302))),""))</f>
        <v/>
      </c>
      <c r="V302" s="52" t="str">
        <f aca="false">IF($H302="","",IFERROR(IF(IF(ISNUMBER($H302),$H302,IFERROR(TIMEVALUE($H302),VALUE($H302)))&gt;=100,INT(IF(ISNUMBER($H302),$H302,IFERROR(TIMEVALUE($H302),VALUE($H302)))/100)*60+MOD(IF(ISNUMBER($H302),$H302,IFERROR(TIMEVALUE($H302),VALUE($H302))),100),IF(IF(ISNUMBER($H302),$H302,IFERROR(TIMEVALUE($H302),VALUE($H302)))&gt;=1,ROUND(IF(ISNUMBER($H302),$H302,IFERROR(TIMEVALUE($H302),VALUE($H302)))*60,0),ROUND(MOD(IF(ISNUMBER($H302),$H302,IFERROR(TIMEVALUE($H302),VALUE($H302))),1)*1440,0))),""))</f>
        <v/>
      </c>
      <c r="W302" s="52" t="str">
        <f aca="false">IF($I302="","",IFERROR(IF(IF(ISNUMBER($I302),$I302,IFERROR(TIMEVALUE($I302),VALUE($I302)))&gt;=100,INT(IF(ISNUMBER($I302),$I302,IFERROR(TIMEVALUE($I302),VALUE($I302)))/100)*60+MOD(IF(ISNUMBER($I302),$I302,IFERROR(TIMEVALUE($I302),VALUE($I302))),100),IF(IF(ISNUMBER($I302),$I302,IFERROR(TIMEVALUE($I302),VALUE($I302)))&gt;=1,ROUND(IF(ISNUMBER($I302),$I302,IFERROR(TIMEVALUE($I302),VALUE($I302)))*60,0),ROUND(MOD(IF(ISNUMBER($I302),$I302,IFERROR(TIMEVALUE($I302),VALUE($I302))),1)*1440,0))),""))</f>
        <v/>
      </c>
      <c r="X302" s="55" t="str">
        <f aca="false">IF($P302="","",IFERROR(IF(ISNUMBER($P302),IF($P302&gt;19000000,DATE(INT($P302/10000),MOD(INT($P302/100),100),MOD($P302,100)),INT($P302)),IF(LEN(SUBSTITUTE(SUBSTITUTE(SUBSTITUTE(TRIM($P302),"-",""),".",""),"/",""))=8,DATE(VALUE(LEFT(SUBSTITUTE(SUBSTITUTE(SUBSTITUTE(TRIM($P302),"-",""),".",""),"/",""),4)),VALUE(MID(SUBSTITUTE(SUBSTITUTE(SUBSTITUTE(TRIM($P302),"-",""),".",""),"/",""),5,2)),VALUE(RIGHT(SUBSTITUTE(SUBSTITUTE(SUBSTITUTE(TRIM($P302),"-",""),".",""),"/",""),2))),DATEVALUE($P302))),""))</f>
        <v/>
      </c>
      <c r="Y302" s="56" t="str">
        <f aca="false">IF($M302="","",IFERROR(INDEX(강사DB!$D$4:$D$53,MATCH($M302,강사DB!$A$4:$A$53,0)),""))</f>
        <v/>
      </c>
      <c r="Z302" s="56" t="str">
        <f aca="false">IF($B302&lt;&gt;"결제완료","",IF(OR($Y302="",$J302=""),"",$Y302*$J302+MAX(0,N($K302)-1)*설정!$J$7))</f>
        <v/>
      </c>
      <c r="AA302" s="56" t="str">
        <f aca="false">IF(AND($D302&lt;&gt;"",$B302="결제완료"),N($N302),"")</f>
        <v/>
      </c>
      <c r="AB302" s="45" t="str">
        <f aca="false">IF($D302="","",IF($F302&lt;&gt;"",$F302,$D302)&amp;IF($B302="상담중"," (상담)",""))</f>
        <v/>
      </c>
      <c r="AC302" s="45" t="n">
        <f aca="false">IF(AND($D302&lt;&gt;"",OR($B302="결제완료",$B302="상담중")),1,0)</f>
        <v>0</v>
      </c>
      <c r="AD302" s="45" t="n">
        <f aca="false">IF(OR($Z302="",$U302=""),0,IFERROR(IF(COUNTIFS(INDEX(g_grid,0,2*MATCH($M302,강사DB!$A$4:$A$15,0)),"&lt;&gt;",g_s,"&lt;="&amp;$U302,g_e,"&gt;="&amp;$U302)&gt;0,1,0),0))</f>
        <v>0</v>
      </c>
      <c r="AE302" s="48"/>
      <c r="AF302" s="56" t="str">
        <f aca="false">IF(AND($D302&lt;&gt;"",$B302="결제완료",$T302="대여"),설정!$J$5,"")</f>
        <v/>
      </c>
      <c r="AG302" s="54" t="str">
        <f aca="false">IF($D302="","",IF(AND($E302="",$R302=""),$AB302,"☎ "&amp;IF($E302="","-",$E302)&amp;IF($R302&lt;&gt;"","  ※ "&amp;$R302,"")&amp;IF($B302="상담중"," (상담)","")))</f>
        <v/>
      </c>
      <c r="AH302" s="56" t="str">
        <f aca="false">IF(AND($D302&lt;&gt;"",$B302="결제완료",$O302="스마트스토어"),ROUND(N($N302)*설정!$J$6,0),"")</f>
        <v/>
      </c>
      <c r="AI302" s="54" t="str">
        <f aca="false">IF($D302="","",ROW())</f>
        <v/>
      </c>
      <c r="AJ302" s="54" t="n">
        <f aca="false">IF(OR($AC302&lt;&gt;1,$M302=""),0,IF(ISNUMBER(SEARCH("퇴사",IFERROR(INDEX(강사DB!$G$4:$G$53,MATCH($M302,강사DB!$A$4:$A$53,0)),""))),1,0))</f>
        <v>0</v>
      </c>
    </row>
    <row r="303" customFormat="false" ht="15" hidden="false" customHeight="false" outlineLevel="0" collapsed="false">
      <c r="A303" s="45" t="str">
        <f aca="false">IF($D303="","",COUNTA($D$5:$D303))</f>
        <v/>
      </c>
      <c r="B303" s="46"/>
      <c r="C303" s="47"/>
      <c r="D303" s="48"/>
      <c r="E303" s="48"/>
      <c r="F303" s="49"/>
      <c r="G303" s="47"/>
      <c r="H303" s="50"/>
      <c r="I303" s="50"/>
      <c r="J303" s="51" t="str">
        <f aca="false">IF(OR($V303="",$W303=""),"",ROUND(($W303-$V303)/60,2))</f>
        <v/>
      </c>
      <c r="K303" s="52" t="str">
        <f aca="false">IF($F303="","",LEN($F303)-LEN(SUBSTITUTE($F303,",",""))+1)</f>
        <v/>
      </c>
      <c r="L303" s="45" t="str">
        <f aca="false">IF($K303="","","1:"&amp;$K303)</f>
        <v/>
      </c>
      <c r="M303" s="46"/>
      <c r="N303" s="53"/>
      <c r="O303" s="46"/>
      <c r="P303" s="47"/>
      <c r="Q303" s="48"/>
      <c r="R303" s="49"/>
      <c r="S303" s="54" t="str">
        <f aca="false">IF(OR($AC303=0,$U303="",$M303="",$V303="",$W303=""),"",IF(COUNTIFS(m_teacher,$M303,m_date,$U303,m_active,1,m_start,"&lt;"&amp;$W303,m_end,"&gt;"&amp;$V303)&gt;1,"충돌",""))</f>
        <v/>
      </c>
      <c r="T303" s="48"/>
      <c r="U303" s="55" t="str">
        <f aca="false">IF($G303="","",IFERROR(IF(ISNUMBER($G303),IF($G303&gt;19000000,DATE(INT($G303/10000),MOD(INT($G303/100),100),MOD($G303,100)),INT($G303)),IF(LEN(SUBSTITUTE(SUBSTITUTE(SUBSTITUTE(TRIM($G303),"-",""),".",""),"/",""))=8,DATE(VALUE(LEFT(SUBSTITUTE(SUBSTITUTE(SUBSTITUTE(TRIM($G303),"-",""),".",""),"/",""),4)),VALUE(MID(SUBSTITUTE(SUBSTITUTE(SUBSTITUTE(TRIM($G303),"-",""),".",""),"/",""),5,2)),VALUE(RIGHT(SUBSTITUTE(SUBSTITUTE(SUBSTITUTE(TRIM($G303),"-",""),".",""),"/",""),2))),DATEVALUE($G303))),""))</f>
        <v/>
      </c>
      <c r="V303" s="52" t="str">
        <f aca="false">IF($H303="","",IFERROR(IF(IF(ISNUMBER($H303),$H303,IFERROR(TIMEVALUE($H303),VALUE($H303)))&gt;=100,INT(IF(ISNUMBER($H303),$H303,IFERROR(TIMEVALUE($H303),VALUE($H303)))/100)*60+MOD(IF(ISNUMBER($H303),$H303,IFERROR(TIMEVALUE($H303),VALUE($H303))),100),IF(IF(ISNUMBER($H303),$H303,IFERROR(TIMEVALUE($H303),VALUE($H303)))&gt;=1,ROUND(IF(ISNUMBER($H303),$H303,IFERROR(TIMEVALUE($H303),VALUE($H303)))*60,0),ROUND(MOD(IF(ISNUMBER($H303),$H303,IFERROR(TIMEVALUE($H303),VALUE($H303))),1)*1440,0))),""))</f>
        <v/>
      </c>
      <c r="W303" s="52" t="str">
        <f aca="false">IF($I303="","",IFERROR(IF(IF(ISNUMBER($I303),$I303,IFERROR(TIMEVALUE($I303),VALUE($I303)))&gt;=100,INT(IF(ISNUMBER($I303),$I303,IFERROR(TIMEVALUE($I303),VALUE($I303)))/100)*60+MOD(IF(ISNUMBER($I303),$I303,IFERROR(TIMEVALUE($I303),VALUE($I303))),100),IF(IF(ISNUMBER($I303),$I303,IFERROR(TIMEVALUE($I303),VALUE($I303)))&gt;=1,ROUND(IF(ISNUMBER($I303),$I303,IFERROR(TIMEVALUE($I303),VALUE($I303)))*60,0),ROUND(MOD(IF(ISNUMBER($I303),$I303,IFERROR(TIMEVALUE($I303),VALUE($I303))),1)*1440,0))),""))</f>
        <v/>
      </c>
      <c r="X303" s="55" t="str">
        <f aca="false">IF($P303="","",IFERROR(IF(ISNUMBER($P303),IF($P303&gt;19000000,DATE(INT($P303/10000),MOD(INT($P303/100),100),MOD($P303,100)),INT($P303)),IF(LEN(SUBSTITUTE(SUBSTITUTE(SUBSTITUTE(TRIM($P303),"-",""),".",""),"/",""))=8,DATE(VALUE(LEFT(SUBSTITUTE(SUBSTITUTE(SUBSTITUTE(TRIM($P303),"-",""),".",""),"/",""),4)),VALUE(MID(SUBSTITUTE(SUBSTITUTE(SUBSTITUTE(TRIM($P303),"-",""),".",""),"/",""),5,2)),VALUE(RIGHT(SUBSTITUTE(SUBSTITUTE(SUBSTITUTE(TRIM($P303),"-",""),".",""),"/",""),2))),DATEVALUE($P303))),""))</f>
        <v/>
      </c>
      <c r="Y303" s="56" t="str">
        <f aca="false">IF($M303="","",IFERROR(INDEX(강사DB!$D$4:$D$53,MATCH($M303,강사DB!$A$4:$A$53,0)),""))</f>
        <v/>
      </c>
      <c r="Z303" s="56" t="str">
        <f aca="false">IF($B303&lt;&gt;"결제완료","",IF(OR($Y303="",$J303=""),"",$Y303*$J303+MAX(0,N($K303)-1)*설정!$J$7))</f>
        <v/>
      </c>
      <c r="AA303" s="56" t="str">
        <f aca="false">IF(AND($D303&lt;&gt;"",$B303="결제완료"),N($N303),"")</f>
        <v/>
      </c>
      <c r="AB303" s="45" t="str">
        <f aca="false">IF($D303="","",IF($F303&lt;&gt;"",$F303,$D303)&amp;IF($B303="상담중"," (상담)",""))</f>
        <v/>
      </c>
      <c r="AC303" s="45" t="n">
        <f aca="false">IF(AND($D303&lt;&gt;"",OR($B303="결제완료",$B303="상담중")),1,0)</f>
        <v>0</v>
      </c>
      <c r="AD303" s="45" t="n">
        <f aca="false">IF(OR($Z303="",$U303=""),0,IFERROR(IF(COUNTIFS(INDEX(g_grid,0,2*MATCH($M303,강사DB!$A$4:$A$15,0)),"&lt;&gt;",g_s,"&lt;="&amp;$U303,g_e,"&gt;="&amp;$U303)&gt;0,1,0),0))</f>
        <v>0</v>
      </c>
      <c r="AE303" s="48"/>
      <c r="AF303" s="56" t="str">
        <f aca="false">IF(AND($D303&lt;&gt;"",$B303="결제완료",$T303="대여"),설정!$J$5,"")</f>
        <v/>
      </c>
      <c r="AG303" s="54" t="str">
        <f aca="false">IF($D303="","",IF(AND($E303="",$R303=""),$AB303,"☎ "&amp;IF($E303="","-",$E303)&amp;IF($R303&lt;&gt;"","  ※ "&amp;$R303,"")&amp;IF($B303="상담중"," (상담)","")))</f>
        <v/>
      </c>
      <c r="AH303" s="56" t="str">
        <f aca="false">IF(AND($D303&lt;&gt;"",$B303="결제완료",$O303="스마트스토어"),ROUND(N($N303)*설정!$J$6,0),"")</f>
        <v/>
      </c>
      <c r="AI303" s="54" t="str">
        <f aca="false">IF($D303="","",ROW())</f>
        <v/>
      </c>
      <c r="AJ303" s="54" t="n">
        <f aca="false">IF(OR($AC303&lt;&gt;1,$M303=""),0,IF(ISNUMBER(SEARCH("퇴사",IFERROR(INDEX(강사DB!$G$4:$G$53,MATCH($M303,강사DB!$A$4:$A$53,0)),""))),1,0))</f>
        <v>0</v>
      </c>
    </row>
    <row r="304" customFormat="false" ht="15" hidden="false" customHeight="false" outlineLevel="0" collapsed="false">
      <c r="A304" s="45" t="str">
        <f aca="false">IF($D304="","",COUNTA($D$5:$D304))</f>
        <v/>
      </c>
      <c r="B304" s="46"/>
      <c r="C304" s="47"/>
      <c r="D304" s="48"/>
      <c r="E304" s="48"/>
      <c r="F304" s="49"/>
      <c r="G304" s="47"/>
      <c r="H304" s="50"/>
      <c r="I304" s="50"/>
      <c r="J304" s="51" t="str">
        <f aca="false">IF(OR($V304="",$W304=""),"",ROUND(($W304-$V304)/60,2))</f>
        <v/>
      </c>
      <c r="K304" s="52" t="str">
        <f aca="false">IF($F304="","",LEN($F304)-LEN(SUBSTITUTE($F304,",",""))+1)</f>
        <v/>
      </c>
      <c r="L304" s="45" t="str">
        <f aca="false">IF($K304="","","1:"&amp;$K304)</f>
        <v/>
      </c>
      <c r="M304" s="46"/>
      <c r="N304" s="53"/>
      <c r="O304" s="46"/>
      <c r="P304" s="47"/>
      <c r="Q304" s="48"/>
      <c r="R304" s="49"/>
      <c r="S304" s="54" t="str">
        <f aca="false">IF(OR($AC304=0,$U304="",$M304="",$V304="",$W304=""),"",IF(COUNTIFS(m_teacher,$M304,m_date,$U304,m_active,1,m_start,"&lt;"&amp;$W304,m_end,"&gt;"&amp;$V304)&gt;1,"충돌",""))</f>
        <v/>
      </c>
      <c r="T304" s="48"/>
      <c r="U304" s="55" t="str">
        <f aca="false">IF($G304="","",IFERROR(IF(ISNUMBER($G304),IF($G304&gt;19000000,DATE(INT($G304/10000),MOD(INT($G304/100),100),MOD($G304,100)),INT($G304)),IF(LEN(SUBSTITUTE(SUBSTITUTE(SUBSTITUTE(TRIM($G304),"-",""),".",""),"/",""))=8,DATE(VALUE(LEFT(SUBSTITUTE(SUBSTITUTE(SUBSTITUTE(TRIM($G304),"-",""),".",""),"/",""),4)),VALUE(MID(SUBSTITUTE(SUBSTITUTE(SUBSTITUTE(TRIM($G304),"-",""),".",""),"/",""),5,2)),VALUE(RIGHT(SUBSTITUTE(SUBSTITUTE(SUBSTITUTE(TRIM($G304),"-",""),".",""),"/",""),2))),DATEVALUE($G304))),""))</f>
        <v/>
      </c>
      <c r="V304" s="52" t="str">
        <f aca="false">IF($H304="","",IFERROR(IF(IF(ISNUMBER($H304),$H304,IFERROR(TIMEVALUE($H304),VALUE($H304)))&gt;=100,INT(IF(ISNUMBER($H304),$H304,IFERROR(TIMEVALUE($H304),VALUE($H304)))/100)*60+MOD(IF(ISNUMBER($H304),$H304,IFERROR(TIMEVALUE($H304),VALUE($H304))),100),IF(IF(ISNUMBER($H304),$H304,IFERROR(TIMEVALUE($H304),VALUE($H304)))&gt;=1,ROUND(IF(ISNUMBER($H304),$H304,IFERROR(TIMEVALUE($H304),VALUE($H304)))*60,0),ROUND(MOD(IF(ISNUMBER($H304),$H304,IFERROR(TIMEVALUE($H304),VALUE($H304))),1)*1440,0))),""))</f>
        <v/>
      </c>
      <c r="W304" s="52" t="str">
        <f aca="false">IF($I304="","",IFERROR(IF(IF(ISNUMBER($I304),$I304,IFERROR(TIMEVALUE($I304),VALUE($I304)))&gt;=100,INT(IF(ISNUMBER($I304),$I304,IFERROR(TIMEVALUE($I304),VALUE($I304)))/100)*60+MOD(IF(ISNUMBER($I304),$I304,IFERROR(TIMEVALUE($I304),VALUE($I304))),100),IF(IF(ISNUMBER($I304),$I304,IFERROR(TIMEVALUE($I304),VALUE($I304)))&gt;=1,ROUND(IF(ISNUMBER($I304),$I304,IFERROR(TIMEVALUE($I304),VALUE($I304)))*60,0),ROUND(MOD(IF(ISNUMBER($I304),$I304,IFERROR(TIMEVALUE($I304),VALUE($I304))),1)*1440,0))),""))</f>
        <v/>
      </c>
      <c r="X304" s="55" t="str">
        <f aca="false">IF($P304="","",IFERROR(IF(ISNUMBER($P304),IF($P304&gt;19000000,DATE(INT($P304/10000),MOD(INT($P304/100),100),MOD($P304,100)),INT($P304)),IF(LEN(SUBSTITUTE(SUBSTITUTE(SUBSTITUTE(TRIM($P304),"-",""),".",""),"/",""))=8,DATE(VALUE(LEFT(SUBSTITUTE(SUBSTITUTE(SUBSTITUTE(TRIM($P304),"-",""),".",""),"/",""),4)),VALUE(MID(SUBSTITUTE(SUBSTITUTE(SUBSTITUTE(TRIM($P304),"-",""),".",""),"/",""),5,2)),VALUE(RIGHT(SUBSTITUTE(SUBSTITUTE(SUBSTITUTE(TRIM($P304),"-",""),".",""),"/",""),2))),DATEVALUE($P304))),""))</f>
        <v/>
      </c>
      <c r="Y304" s="56" t="str">
        <f aca="false">IF($M304="","",IFERROR(INDEX(강사DB!$D$4:$D$53,MATCH($M304,강사DB!$A$4:$A$53,0)),""))</f>
        <v/>
      </c>
      <c r="Z304" s="56" t="str">
        <f aca="false">IF($B304&lt;&gt;"결제완료","",IF(OR($Y304="",$J304=""),"",$Y304*$J304+MAX(0,N($K304)-1)*설정!$J$7))</f>
        <v/>
      </c>
      <c r="AA304" s="56" t="str">
        <f aca="false">IF(AND($D304&lt;&gt;"",$B304="결제완료"),N($N304),"")</f>
        <v/>
      </c>
      <c r="AB304" s="45" t="str">
        <f aca="false">IF($D304="","",IF($F304&lt;&gt;"",$F304,$D304)&amp;IF($B304="상담중"," (상담)",""))</f>
        <v/>
      </c>
      <c r="AC304" s="45" t="n">
        <f aca="false">IF(AND($D304&lt;&gt;"",OR($B304="결제완료",$B304="상담중")),1,0)</f>
        <v>0</v>
      </c>
      <c r="AD304" s="45" t="n">
        <f aca="false">IF(OR($Z304="",$U304=""),0,IFERROR(IF(COUNTIFS(INDEX(g_grid,0,2*MATCH($M304,강사DB!$A$4:$A$15,0)),"&lt;&gt;",g_s,"&lt;="&amp;$U304,g_e,"&gt;="&amp;$U304)&gt;0,1,0),0))</f>
        <v>0</v>
      </c>
      <c r="AE304" s="48"/>
      <c r="AF304" s="56" t="str">
        <f aca="false">IF(AND($D304&lt;&gt;"",$B304="결제완료",$T304="대여"),설정!$J$5,"")</f>
        <v/>
      </c>
      <c r="AG304" s="54" t="str">
        <f aca="false">IF($D304="","",IF(AND($E304="",$R304=""),$AB304,"☎ "&amp;IF($E304="","-",$E304)&amp;IF($R304&lt;&gt;"","  ※ "&amp;$R304,"")&amp;IF($B304="상담중"," (상담)","")))</f>
        <v/>
      </c>
      <c r="AH304" s="56" t="str">
        <f aca="false">IF(AND($D304&lt;&gt;"",$B304="결제완료",$O304="스마트스토어"),ROUND(N($N304)*설정!$J$6,0),"")</f>
        <v/>
      </c>
      <c r="AI304" s="54" t="str">
        <f aca="false">IF($D304="","",ROW())</f>
        <v/>
      </c>
      <c r="AJ304" s="54" t="n">
        <f aca="false">IF(OR($AC304&lt;&gt;1,$M304=""),0,IF(ISNUMBER(SEARCH("퇴사",IFERROR(INDEX(강사DB!$G$4:$G$53,MATCH($M304,강사DB!$A$4:$A$53,0)),""))),1,0))</f>
        <v>0</v>
      </c>
    </row>
    <row r="305" customFormat="false" ht="15" hidden="false" customHeight="false" outlineLevel="0" collapsed="false">
      <c r="A305" s="45" t="str">
        <f aca="false">IF($D305="","",COUNTA($D$5:$D305))</f>
        <v/>
      </c>
      <c r="B305" s="46"/>
      <c r="C305" s="47"/>
      <c r="D305" s="48"/>
      <c r="E305" s="48"/>
      <c r="F305" s="49"/>
      <c r="G305" s="47"/>
      <c r="H305" s="50"/>
      <c r="I305" s="50"/>
      <c r="J305" s="51" t="str">
        <f aca="false">IF(OR($V305="",$W305=""),"",ROUND(($W305-$V305)/60,2))</f>
        <v/>
      </c>
      <c r="K305" s="52" t="str">
        <f aca="false">IF($F305="","",LEN($F305)-LEN(SUBSTITUTE($F305,",",""))+1)</f>
        <v/>
      </c>
      <c r="L305" s="45" t="str">
        <f aca="false">IF($K305="","","1:"&amp;$K305)</f>
        <v/>
      </c>
      <c r="M305" s="46"/>
      <c r="N305" s="53"/>
      <c r="O305" s="46"/>
      <c r="P305" s="47"/>
      <c r="Q305" s="48"/>
      <c r="R305" s="49"/>
      <c r="S305" s="54" t="str">
        <f aca="false">IF(OR($AC305=0,$U305="",$M305="",$V305="",$W305=""),"",IF(COUNTIFS(m_teacher,$M305,m_date,$U305,m_active,1,m_start,"&lt;"&amp;$W305,m_end,"&gt;"&amp;$V305)&gt;1,"충돌",""))</f>
        <v/>
      </c>
      <c r="T305" s="48"/>
      <c r="U305" s="55" t="str">
        <f aca="false">IF($G305="","",IFERROR(IF(ISNUMBER($G305),IF($G305&gt;19000000,DATE(INT($G305/10000),MOD(INT($G305/100),100),MOD($G305,100)),INT($G305)),IF(LEN(SUBSTITUTE(SUBSTITUTE(SUBSTITUTE(TRIM($G305),"-",""),".",""),"/",""))=8,DATE(VALUE(LEFT(SUBSTITUTE(SUBSTITUTE(SUBSTITUTE(TRIM($G305),"-",""),".",""),"/",""),4)),VALUE(MID(SUBSTITUTE(SUBSTITUTE(SUBSTITUTE(TRIM($G305),"-",""),".",""),"/",""),5,2)),VALUE(RIGHT(SUBSTITUTE(SUBSTITUTE(SUBSTITUTE(TRIM($G305),"-",""),".",""),"/",""),2))),DATEVALUE($G305))),""))</f>
        <v/>
      </c>
      <c r="V305" s="52" t="str">
        <f aca="false">IF($H305="","",IFERROR(IF(IF(ISNUMBER($H305),$H305,IFERROR(TIMEVALUE($H305),VALUE($H305)))&gt;=100,INT(IF(ISNUMBER($H305),$H305,IFERROR(TIMEVALUE($H305),VALUE($H305)))/100)*60+MOD(IF(ISNUMBER($H305),$H305,IFERROR(TIMEVALUE($H305),VALUE($H305))),100),IF(IF(ISNUMBER($H305),$H305,IFERROR(TIMEVALUE($H305),VALUE($H305)))&gt;=1,ROUND(IF(ISNUMBER($H305),$H305,IFERROR(TIMEVALUE($H305),VALUE($H305)))*60,0),ROUND(MOD(IF(ISNUMBER($H305),$H305,IFERROR(TIMEVALUE($H305),VALUE($H305))),1)*1440,0))),""))</f>
        <v/>
      </c>
      <c r="W305" s="52" t="str">
        <f aca="false">IF($I305="","",IFERROR(IF(IF(ISNUMBER($I305),$I305,IFERROR(TIMEVALUE($I305),VALUE($I305)))&gt;=100,INT(IF(ISNUMBER($I305),$I305,IFERROR(TIMEVALUE($I305),VALUE($I305)))/100)*60+MOD(IF(ISNUMBER($I305),$I305,IFERROR(TIMEVALUE($I305),VALUE($I305))),100),IF(IF(ISNUMBER($I305),$I305,IFERROR(TIMEVALUE($I305),VALUE($I305)))&gt;=1,ROUND(IF(ISNUMBER($I305),$I305,IFERROR(TIMEVALUE($I305),VALUE($I305)))*60,0),ROUND(MOD(IF(ISNUMBER($I305),$I305,IFERROR(TIMEVALUE($I305),VALUE($I305))),1)*1440,0))),""))</f>
        <v/>
      </c>
      <c r="X305" s="55" t="str">
        <f aca="false">IF($P305="","",IFERROR(IF(ISNUMBER($P305),IF($P305&gt;19000000,DATE(INT($P305/10000),MOD(INT($P305/100),100),MOD($P305,100)),INT($P305)),IF(LEN(SUBSTITUTE(SUBSTITUTE(SUBSTITUTE(TRIM($P305),"-",""),".",""),"/",""))=8,DATE(VALUE(LEFT(SUBSTITUTE(SUBSTITUTE(SUBSTITUTE(TRIM($P305),"-",""),".",""),"/",""),4)),VALUE(MID(SUBSTITUTE(SUBSTITUTE(SUBSTITUTE(TRIM($P305),"-",""),".",""),"/",""),5,2)),VALUE(RIGHT(SUBSTITUTE(SUBSTITUTE(SUBSTITUTE(TRIM($P305),"-",""),".",""),"/",""),2))),DATEVALUE($P305))),""))</f>
        <v/>
      </c>
      <c r="Y305" s="56" t="str">
        <f aca="false">IF($M305="","",IFERROR(INDEX(강사DB!$D$4:$D$53,MATCH($M305,강사DB!$A$4:$A$53,0)),""))</f>
        <v/>
      </c>
      <c r="Z305" s="56" t="str">
        <f aca="false">IF($B305&lt;&gt;"결제완료","",IF(OR($Y305="",$J305=""),"",$Y305*$J305+MAX(0,N($K305)-1)*설정!$J$7))</f>
        <v/>
      </c>
      <c r="AA305" s="56" t="str">
        <f aca="false">IF(AND($D305&lt;&gt;"",$B305="결제완료"),N($N305),"")</f>
        <v/>
      </c>
      <c r="AB305" s="45" t="str">
        <f aca="false">IF($D305="","",IF($F305&lt;&gt;"",$F305,$D305)&amp;IF($B305="상담중"," (상담)",""))</f>
        <v/>
      </c>
      <c r="AC305" s="45" t="n">
        <f aca="false">IF(AND($D305&lt;&gt;"",OR($B305="결제완료",$B305="상담중")),1,0)</f>
        <v>0</v>
      </c>
      <c r="AD305" s="45" t="n">
        <f aca="false">IF(OR($Z305="",$U305=""),0,IFERROR(IF(COUNTIFS(INDEX(g_grid,0,2*MATCH($M305,강사DB!$A$4:$A$15,0)),"&lt;&gt;",g_s,"&lt;="&amp;$U305,g_e,"&gt;="&amp;$U305)&gt;0,1,0),0))</f>
        <v>0</v>
      </c>
      <c r="AE305" s="48"/>
      <c r="AF305" s="56" t="str">
        <f aca="false">IF(AND($D305&lt;&gt;"",$B305="결제완료",$T305="대여"),설정!$J$5,"")</f>
        <v/>
      </c>
      <c r="AG305" s="54" t="str">
        <f aca="false">IF($D305="","",IF(AND($E305="",$R305=""),$AB305,"☎ "&amp;IF($E305="","-",$E305)&amp;IF($R305&lt;&gt;"","  ※ "&amp;$R305,"")&amp;IF($B305="상담중"," (상담)","")))</f>
        <v/>
      </c>
      <c r="AH305" s="56" t="str">
        <f aca="false">IF(AND($D305&lt;&gt;"",$B305="결제완료",$O305="스마트스토어"),ROUND(N($N305)*설정!$J$6,0),"")</f>
        <v/>
      </c>
      <c r="AI305" s="54" t="str">
        <f aca="false">IF($D305="","",ROW())</f>
        <v/>
      </c>
      <c r="AJ305" s="54" t="n">
        <f aca="false">IF(OR($AC305&lt;&gt;1,$M305=""),0,IF(ISNUMBER(SEARCH("퇴사",IFERROR(INDEX(강사DB!$G$4:$G$53,MATCH($M305,강사DB!$A$4:$A$53,0)),""))),1,0))</f>
        <v>0</v>
      </c>
    </row>
    <row r="306" customFormat="false" ht="15" hidden="false" customHeight="false" outlineLevel="0" collapsed="false">
      <c r="A306" s="45" t="str">
        <f aca="false">IF($D306="","",COUNTA($D$5:$D306))</f>
        <v/>
      </c>
      <c r="B306" s="46"/>
      <c r="C306" s="47"/>
      <c r="D306" s="48"/>
      <c r="E306" s="48"/>
      <c r="F306" s="49"/>
      <c r="G306" s="47"/>
      <c r="H306" s="50"/>
      <c r="I306" s="50"/>
      <c r="J306" s="51" t="str">
        <f aca="false">IF(OR($V306="",$W306=""),"",ROUND(($W306-$V306)/60,2))</f>
        <v/>
      </c>
      <c r="K306" s="52" t="str">
        <f aca="false">IF($F306="","",LEN($F306)-LEN(SUBSTITUTE($F306,",",""))+1)</f>
        <v/>
      </c>
      <c r="L306" s="45" t="str">
        <f aca="false">IF($K306="","","1:"&amp;$K306)</f>
        <v/>
      </c>
      <c r="M306" s="46"/>
      <c r="N306" s="53"/>
      <c r="O306" s="46"/>
      <c r="P306" s="47"/>
      <c r="Q306" s="48"/>
      <c r="R306" s="49"/>
      <c r="S306" s="54" t="str">
        <f aca="false">IF(OR($AC306=0,$U306="",$M306="",$V306="",$W306=""),"",IF(COUNTIFS(m_teacher,$M306,m_date,$U306,m_active,1,m_start,"&lt;"&amp;$W306,m_end,"&gt;"&amp;$V306)&gt;1,"충돌",""))</f>
        <v/>
      </c>
      <c r="T306" s="48"/>
      <c r="U306" s="55" t="str">
        <f aca="false">IF($G306="","",IFERROR(IF(ISNUMBER($G306),IF($G306&gt;19000000,DATE(INT($G306/10000),MOD(INT($G306/100),100),MOD($G306,100)),INT($G306)),IF(LEN(SUBSTITUTE(SUBSTITUTE(SUBSTITUTE(TRIM($G306),"-",""),".",""),"/",""))=8,DATE(VALUE(LEFT(SUBSTITUTE(SUBSTITUTE(SUBSTITUTE(TRIM($G306),"-",""),".",""),"/",""),4)),VALUE(MID(SUBSTITUTE(SUBSTITUTE(SUBSTITUTE(TRIM($G306),"-",""),".",""),"/",""),5,2)),VALUE(RIGHT(SUBSTITUTE(SUBSTITUTE(SUBSTITUTE(TRIM($G306),"-",""),".",""),"/",""),2))),DATEVALUE($G306))),""))</f>
        <v/>
      </c>
      <c r="V306" s="52" t="str">
        <f aca="false">IF($H306="","",IFERROR(IF(IF(ISNUMBER($H306),$H306,IFERROR(TIMEVALUE($H306),VALUE($H306)))&gt;=100,INT(IF(ISNUMBER($H306),$H306,IFERROR(TIMEVALUE($H306),VALUE($H306)))/100)*60+MOD(IF(ISNUMBER($H306),$H306,IFERROR(TIMEVALUE($H306),VALUE($H306))),100),IF(IF(ISNUMBER($H306),$H306,IFERROR(TIMEVALUE($H306),VALUE($H306)))&gt;=1,ROUND(IF(ISNUMBER($H306),$H306,IFERROR(TIMEVALUE($H306),VALUE($H306)))*60,0),ROUND(MOD(IF(ISNUMBER($H306),$H306,IFERROR(TIMEVALUE($H306),VALUE($H306))),1)*1440,0))),""))</f>
        <v/>
      </c>
      <c r="W306" s="52" t="str">
        <f aca="false">IF($I306="","",IFERROR(IF(IF(ISNUMBER($I306),$I306,IFERROR(TIMEVALUE($I306),VALUE($I306)))&gt;=100,INT(IF(ISNUMBER($I306),$I306,IFERROR(TIMEVALUE($I306),VALUE($I306)))/100)*60+MOD(IF(ISNUMBER($I306),$I306,IFERROR(TIMEVALUE($I306),VALUE($I306))),100),IF(IF(ISNUMBER($I306),$I306,IFERROR(TIMEVALUE($I306),VALUE($I306)))&gt;=1,ROUND(IF(ISNUMBER($I306),$I306,IFERROR(TIMEVALUE($I306),VALUE($I306)))*60,0),ROUND(MOD(IF(ISNUMBER($I306),$I306,IFERROR(TIMEVALUE($I306),VALUE($I306))),1)*1440,0))),""))</f>
        <v/>
      </c>
      <c r="X306" s="55" t="str">
        <f aca="false">IF($P306="","",IFERROR(IF(ISNUMBER($P306),IF($P306&gt;19000000,DATE(INT($P306/10000),MOD(INT($P306/100),100),MOD($P306,100)),INT($P306)),IF(LEN(SUBSTITUTE(SUBSTITUTE(SUBSTITUTE(TRIM($P306),"-",""),".",""),"/",""))=8,DATE(VALUE(LEFT(SUBSTITUTE(SUBSTITUTE(SUBSTITUTE(TRIM($P306),"-",""),".",""),"/",""),4)),VALUE(MID(SUBSTITUTE(SUBSTITUTE(SUBSTITUTE(TRIM($P306),"-",""),".",""),"/",""),5,2)),VALUE(RIGHT(SUBSTITUTE(SUBSTITUTE(SUBSTITUTE(TRIM($P306),"-",""),".",""),"/",""),2))),DATEVALUE($P306))),""))</f>
        <v/>
      </c>
      <c r="Y306" s="56" t="str">
        <f aca="false">IF($M306="","",IFERROR(INDEX(강사DB!$D$4:$D$53,MATCH($M306,강사DB!$A$4:$A$53,0)),""))</f>
        <v/>
      </c>
      <c r="Z306" s="56" t="str">
        <f aca="false">IF($B306&lt;&gt;"결제완료","",IF(OR($Y306="",$J306=""),"",$Y306*$J306+MAX(0,N($K306)-1)*설정!$J$7))</f>
        <v/>
      </c>
      <c r="AA306" s="56" t="str">
        <f aca="false">IF(AND($D306&lt;&gt;"",$B306="결제완료"),N($N306),"")</f>
        <v/>
      </c>
      <c r="AB306" s="45" t="str">
        <f aca="false">IF($D306="","",IF($F306&lt;&gt;"",$F306,$D306)&amp;IF($B306="상담중"," (상담)",""))</f>
        <v/>
      </c>
      <c r="AC306" s="45" t="n">
        <f aca="false">IF(AND($D306&lt;&gt;"",OR($B306="결제완료",$B306="상담중")),1,0)</f>
        <v>0</v>
      </c>
      <c r="AD306" s="45" t="n">
        <f aca="false">IF(OR($Z306="",$U306=""),0,IFERROR(IF(COUNTIFS(INDEX(g_grid,0,2*MATCH($M306,강사DB!$A$4:$A$15,0)),"&lt;&gt;",g_s,"&lt;="&amp;$U306,g_e,"&gt;="&amp;$U306)&gt;0,1,0),0))</f>
        <v>0</v>
      </c>
      <c r="AE306" s="48"/>
      <c r="AF306" s="56" t="str">
        <f aca="false">IF(AND($D306&lt;&gt;"",$B306="결제완료",$T306="대여"),설정!$J$5,"")</f>
        <v/>
      </c>
      <c r="AG306" s="54" t="str">
        <f aca="false">IF($D306="","",IF(AND($E306="",$R306=""),$AB306,"☎ "&amp;IF($E306="","-",$E306)&amp;IF($R306&lt;&gt;"","  ※ "&amp;$R306,"")&amp;IF($B306="상담중"," (상담)","")))</f>
        <v/>
      </c>
      <c r="AH306" s="56" t="str">
        <f aca="false">IF(AND($D306&lt;&gt;"",$B306="결제완료",$O306="스마트스토어"),ROUND(N($N306)*설정!$J$6,0),"")</f>
        <v/>
      </c>
      <c r="AI306" s="54" t="str">
        <f aca="false">IF($D306="","",ROW())</f>
        <v/>
      </c>
      <c r="AJ306" s="54" t="n">
        <f aca="false">IF(OR($AC306&lt;&gt;1,$M306=""),0,IF(ISNUMBER(SEARCH("퇴사",IFERROR(INDEX(강사DB!$G$4:$G$53,MATCH($M306,강사DB!$A$4:$A$53,0)),""))),1,0))</f>
        <v>0</v>
      </c>
    </row>
    <row r="307" customFormat="false" ht="15" hidden="false" customHeight="false" outlineLevel="0" collapsed="false">
      <c r="A307" s="45" t="str">
        <f aca="false">IF($D307="","",COUNTA($D$5:$D307))</f>
        <v/>
      </c>
      <c r="B307" s="46"/>
      <c r="C307" s="47"/>
      <c r="D307" s="48"/>
      <c r="E307" s="48"/>
      <c r="F307" s="49"/>
      <c r="G307" s="47"/>
      <c r="H307" s="50"/>
      <c r="I307" s="50"/>
      <c r="J307" s="51" t="str">
        <f aca="false">IF(OR($V307="",$W307=""),"",ROUND(($W307-$V307)/60,2))</f>
        <v/>
      </c>
      <c r="K307" s="52" t="str">
        <f aca="false">IF($F307="","",LEN($F307)-LEN(SUBSTITUTE($F307,",",""))+1)</f>
        <v/>
      </c>
      <c r="L307" s="45" t="str">
        <f aca="false">IF($K307="","","1:"&amp;$K307)</f>
        <v/>
      </c>
      <c r="M307" s="46"/>
      <c r="N307" s="53"/>
      <c r="O307" s="46"/>
      <c r="P307" s="47"/>
      <c r="Q307" s="48"/>
      <c r="R307" s="49"/>
      <c r="S307" s="54" t="str">
        <f aca="false">IF(OR($AC307=0,$U307="",$M307="",$V307="",$W307=""),"",IF(COUNTIFS(m_teacher,$M307,m_date,$U307,m_active,1,m_start,"&lt;"&amp;$W307,m_end,"&gt;"&amp;$V307)&gt;1,"충돌",""))</f>
        <v/>
      </c>
      <c r="T307" s="48"/>
      <c r="U307" s="55" t="str">
        <f aca="false">IF($G307="","",IFERROR(IF(ISNUMBER($G307),IF($G307&gt;19000000,DATE(INT($G307/10000),MOD(INT($G307/100),100),MOD($G307,100)),INT($G307)),IF(LEN(SUBSTITUTE(SUBSTITUTE(SUBSTITUTE(TRIM($G307),"-",""),".",""),"/",""))=8,DATE(VALUE(LEFT(SUBSTITUTE(SUBSTITUTE(SUBSTITUTE(TRIM($G307),"-",""),".",""),"/",""),4)),VALUE(MID(SUBSTITUTE(SUBSTITUTE(SUBSTITUTE(TRIM($G307),"-",""),".",""),"/",""),5,2)),VALUE(RIGHT(SUBSTITUTE(SUBSTITUTE(SUBSTITUTE(TRIM($G307),"-",""),".",""),"/",""),2))),DATEVALUE($G307))),""))</f>
        <v/>
      </c>
      <c r="V307" s="52" t="str">
        <f aca="false">IF($H307="","",IFERROR(IF(IF(ISNUMBER($H307),$H307,IFERROR(TIMEVALUE($H307),VALUE($H307)))&gt;=100,INT(IF(ISNUMBER($H307),$H307,IFERROR(TIMEVALUE($H307),VALUE($H307)))/100)*60+MOD(IF(ISNUMBER($H307),$H307,IFERROR(TIMEVALUE($H307),VALUE($H307))),100),IF(IF(ISNUMBER($H307),$H307,IFERROR(TIMEVALUE($H307),VALUE($H307)))&gt;=1,ROUND(IF(ISNUMBER($H307),$H307,IFERROR(TIMEVALUE($H307),VALUE($H307)))*60,0),ROUND(MOD(IF(ISNUMBER($H307),$H307,IFERROR(TIMEVALUE($H307),VALUE($H307))),1)*1440,0))),""))</f>
        <v/>
      </c>
      <c r="W307" s="52" t="str">
        <f aca="false">IF($I307="","",IFERROR(IF(IF(ISNUMBER($I307),$I307,IFERROR(TIMEVALUE($I307),VALUE($I307)))&gt;=100,INT(IF(ISNUMBER($I307),$I307,IFERROR(TIMEVALUE($I307),VALUE($I307)))/100)*60+MOD(IF(ISNUMBER($I307),$I307,IFERROR(TIMEVALUE($I307),VALUE($I307))),100),IF(IF(ISNUMBER($I307),$I307,IFERROR(TIMEVALUE($I307),VALUE($I307)))&gt;=1,ROUND(IF(ISNUMBER($I307),$I307,IFERROR(TIMEVALUE($I307),VALUE($I307)))*60,0),ROUND(MOD(IF(ISNUMBER($I307),$I307,IFERROR(TIMEVALUE($I307),VALUE($I307))),1)*1440,0))),""))</f>
        <v/>
      </c>
      <c r="X307" s="55" t="str">
        <f aca="false">IF($P307="","",IFERROR(IF(ISNUMBER($P307),IF($P307&gt;19000000,DATE(INT($P307/10000),MOD(INT($P307/100),100),MOD($P307,100)),INT($P307)),IF(LEN(SUBSTITUTE(SUBSTITUTE(SUBSTITUTE(TRIM($P307),"-",""),".",""),"/",""))=8,DATE(VALUE(LEFT(SUBSTITUTE(SUBSTITUTE(SUBSTITUTE(TRIM($P307),"-",""),".",""),"/",""),4)),VALUE(MID(SUBSTITUTE(SUBSTITUTE(SUBSTITUTE(TRIM($P307),"-",""),".",""),"/",""),5,2)),VALUE(RIGHT(SUBSTITUTE(SUBSTITUTE(SUBSTITUTE(TRIM($P307),"-",""),".",""),"/",""),2))),DATEVALUE($P307))),""))</f>
        <v/>
      </c>
      <c r="Y307" s="56" t="str">
        <f aca="false">IF($M307="","",IFERROR(INDEX(강사DB!$D$4:$D$53,MATCH($M307,강사DB!$A$4:$A$53,0)),""))</f>
        <v/>
      </c>
      <c r="Z307" s="56" t="str">
        <f aca="false">IF($B307&lt;&gt;"결제완료","",IF(OR($Y307="",$J307=""),"",$Y307*$J307+MAX(0,N($K307)-1)*설정!$J$7))</f>
        <v/>
      </c>
      <c r="AA307" s="56" t="str">
        <f aca="false">IF(AND($D307&lt;&gt;"",$B307="결제완료"),N($N307),"")</f>
        <v/>
      </c>
      <c r="AB307" s="45" t="str">
        <f aca="false">IF($D307="","",IF($F307&lt;&gt;"",$F307,$D307)&amp;IF($B307="상담중"," (상담)",""))</f>
        <v/>
      </c>
      <c r="AC307" s="45" t="n">
        <f aca="false">IF(AND($D307&lt;&gt;"",OR($B307="결제완료",$B307="상담중")),1,0)</f>
        <v>0</v>
      </c>
      <c r="AD307" s="45" t="n">
        <f aca="false">IF(OR($Z307="",$U307=""),0,IFERROR(IF(COUNTIFS(INDEX(g_grid,0,2*MATCH($M307,강사DB!$A$4:$A$15,0)),"&lt;&gt;",g_s,"&lt;="&amp;$U307,g_e,"&gt;="&amp;$U307)&gt;0,1,0),0))</f>
        <v>0</v>
      </c>
      <c r="AE307" s="48"/>
      <c r="AF307" s="56" t="str">
        <f aca="false">IF(AND($D307&lt;&gt;"",$B307="결제완료",$T307="대여"),설정!$J$5,"")</f>
        <v/>
      </c>
      <c r="AG307" s="54" t="str">
        <f aca="false">IF($D307="","",IF(AND($E307="",$R307=""),$AB307,"☎ "&amp;IF($E307="","-",$E307)&amp;IF($R307&lt;&gt;"","  ※ "&amp;$R307,"")&amp;IF($B307="상담중"," (상담)","")))</f>
        <v/>
      </c>
      <c r="AH307" s="56" t="str">
        <f aca="false">IF(AND($D307&lt;&gt;"",$B307="결제완료",$O307="스마트스토어"),ROUND(N($N307)*설정!$J$6,0),"")</f>
        <v/>
      </c>
      <c r="AI307" s="54" t="str">
        <f aca="false">IF($D307="","",ROW())</f>
        <v/>
      </c>
      <c r="AJ307" s="54" t="n">
        <f aca="false">IF(OR($AC307&lt;&gt;1,$M307=""),0,IF(ISNUMBER(SEARCH("퇴사",IFERROR(INDEX(강사DB!$G$4:$G$53,MATCH($M307,강사DB!$A$4:$A$53,0)),""))),1,0))</f>
        <v>0</v>
      </c>
    </row>
    <row r="308" customFormat="false" ht="15" hidden="false" customHeight="false" outlineLevel="0" collapsed="false">
      <c r="A308" s="45" t="str">
        <f aca="false">IF($D308="","",COUNTA($D$5:$D308))</f>
        <v/>
      </c>
      <c r="B308" s="46"/>
      <c r="C308" s="47"/>
      <c r="D308" s="48"/>
      <c r="E308" s="48"/>
      <c r="F308" s="49"/>
      <c r="G308" s="47"/>
      <c r="H308" s="50"/>
      <c r="I308" s="50"/>
      <c r="J308" s="51" t="str">
        <f aca="false">IF(OR($V308="",$W308=""),"",ROUND(($W308-$V308)/60,2))</f>
        <v/>
      </c>
      <c r="K308" s="52" t="str">
        <f aca="false">IF($F308="","",LEN($F308)-LEN(SUBSTITUTE($F308,",",""))+1)</f>
        <v/>
      </c>
      <c r="L308" s="45" t="str">
        <f aca="false">IF($K308="","","1:"&amp;$K308)</f>
        <v/>
      </c>
      <c r="M308" s="46"/>
      <c r="N308" s="53"/>
      <c r="O308" s="46"/>
      <c r="P308" s="47"/>
      <c r="Q308" s="48"/>
      <c r="R308" s="49"/>
      <c r="S308" s="54" t="str">
        <f aca="false">IF(OR($AC308=0,$U308="",$M308="",$V308="",$W308=""),"",IF(COUNTIFS(m_teacher,$M308,m_date,$U308,m_active,1,m_start,"&lt;"&amp;$W308,m_end,"&gt;"&amp;$V308)&gt;1,"충돌",""))</f>
        <v/>
      </c>
      <c r="T308" s="48"/>
      <c r="U308" s="55" t="str">
        <f aca="false">IF($G308="","",IFERROR(IF(ISNUMBER($G308),IF($G308&gt;19000000,DATE(INT($G308/10000),MOD(INT($G308/100),100),MOD($G308,100)),INT($G308)),IF(LEN(SUBSTITUTE(SUBSTITUTE(SUBSTITUTE(TRIM($G308),"-",""),".",""),"/",""))=8,DATE(VALUE(LEFT(SUBSTITUTE(SUBSTITUTE(SUBSTITUTE(TRIM($G308),"-",""),".",""),"/",""),4)),VALUE(MID(SUBSTITUTE(SUBSTITUTE(SUBSTITUTE(TRIM($G308),"-",""),".",""),"/",""),5,2)),VALUE(RIGHT(SUBSTITUTE(SUBSTITUTE(SUBSTITUTE(TRIM($G308),"-",""),".",""),"/",""),2))),DATEVALUE($G308))),""))</f>
        <v/>
      </c>
      <c r="V308" s="52" t="str">
        <f aca="false">IF($H308="","",IFERROR(IF(IF(ISNUMBER($H308),$H308,IFERROR(TIMEVALUE($H308),VALUE($H308)))&gt;=100,INT(IF(ISNUMBER($H308),$H308,IFERROR(TIMEVALUE($H308),VALUE($H308)))/100)*60+MOD(IF(ISNUMBER($H308),$H308,IFERROR(TIMEVALUE($H308),VALUE($H308))),100),IF(IF(ISNUMBER($H308),$H308,IFERROR(TIMEVALUE($H308),VALUE($H308)))&gt;=1,ROUND(IF(ISNUMBER($H308),$H308,IFERROR(TIMEVALUE($H308),VALUE($H308)))*60,0),ROUND(MOD(IF(ISNUMBER($H308),$H308,IFERROR(TIMEVALUE($H308),VALUE($H308))),1)*1440,0))),""))</f>
        <v/>
      </c>
      <c r="W308" s="52" t="str">
        <f aca="false">IF($I308="","",IFERROR(IF(IF(ISNUMBER($I308),$I308,IFERROR(TIMEVALUE($I308),VALUE($I308)))&gt;=100,INT(IF(ISNUMBER($I308),$I308,IFERROR(TIMEVALUE($I308),VALUE($I308)))/100)*60+MOD(IF(ISNUMBER($I308),$I308,IFERROR(TIMEVALUE($I308),VALUE($I308))),100),IF(IF(ISNUMBER($I308),$I308,IFERROR(TIMEVALUE($I308),VALUE($I308)))&gt;=1,ROUND(IF(ISNUMBER($I308),$I308,IFERROR(TIMEVALUE($I308),VALUE($I308)))*60,0),ROUND(MOD(IF(ISNUMBER($I308),$I308,IFERROR(TIMEVALUE($I308),VALUE($I308))),1)*1440,0))),""))</f>
        <v/>
      </c>
      <c r="X308" s="55" t="str">
        <f aca="false">IF($P308="","",IFERROR(IF(ISNUMBER($P308),IF($P308&gt;19000000,DATE(INT($P308/10000),MOD(INT($P308/100),100),MOD($P308,100)),INT($P308)),IF(LEN(SUBSTITUTE(SUBSTITUTE(SUBSTITUTE(TRIM($P308),"-",""),".",""),"/",""))=8,DATE(VALUE(LEFT(SUBSTITUTE(SUBSTITUTE(SUBSTITUTE(TRIM($P308),"-",""),".",""),"/",""),4)),VALUE(MID(SUBSTITUTE(SUBSTITUTE(SUBSTITUTE(TRIM($P308),"-",""),".",""),"/",""),5,2)),VALUE(RIGHT(SUBSTITUTE(SUBSTITUTE(SUBSTITUTE(TRIM($P308),"-",""),".",""),"/",""),2))),DATEVALUE($P308))),""))</f>
        <v/>
      </c>
      <c r="Y308" s="56" t="str">
        <f aca="false">IF($M308="","",IFERROR(INDEX(강사DB!$D$4:$D$53,MATCH($M308,강사DB!$A$4:$A$53,0)),""))</f>
        <v/>
      </c>
      <c r="Z308" s="56" t="str">
        <f aca="false">IF($B308&lt;&gt;"결제완료","",IF(OR($Y308="",$J308=""),"",$Y308*$J308+MAX(0,N($K308)-1)*설정!$J$7))</f>
        <v/>
      </c>
      <c r="AA308" s="56" t="str">
        <f aca="false">IF(AND($D308&lt;&gt;"",$B308="결제완료"),N($N308),"")</f>
        <v/>
      </c>
      <c r="AB308" s="45" t="str">
        <f aca="false">IF($D308="","",IF($F308&lt;&gt;"",$F308,$D308)&amp;IF($B308="상담중"," (상담)",""))</f>
        <v/>
      </c>
      <c r="AC308" s="45" t="n">
        <f aca="false">IF(AND($D308&lt;&gt;"",OR($B308="결제완료",$B308="상담중")),1,0)</f>
        <v>0</v>
      </c>
      <c r="AD308" s="45" t="n">
        <f aca="false">IF(OR($Z308="",$U308=""),0,IFERROR(IF(COUNTIFS(INDEX(g_grid,0,2*MATCH($M308,강사DB!$A$4:$A$15,0)),"&lt;&gt;",g_s,"&lt;="&amp;$U308,g_e,"&gt;="&amp;$U308)&gt;0,1,0),0))</f>
        <v>0</v>
      </c>
      <c r="AE308" s="48"/>
      <c r="AF308" s="56" t="str">
        <f aca="false">IF(AND($D308&lt;&gt;"",$B308="결제완료",$T308="대여"),설정!$J$5,"")</f>
        <v/>
      </c>
      <c r="AG308" s="54" t="str">
        <f aca="false">IF($D308="","",IF(AND($E308="",$R308=""),$AB308,"☎ "&amp;IF($E308="","-",$E308)&amp;IF($R308&lt;&gt;"","  ※ "&amp;$R308,"")&amp;IF($B308="상담중"," (상담)","")))</f>
        <v/>
      </c>
      <c r="AH308" s="56" t="str">
        <f aca="false">IF(AND($D308&lt;&gt;"",$B308="결제완료",$O308="스마트스토어"),ROUND(N($N308)*설정!$J$6,0),"")</f>
        <v/>
      </c>
      <c r="AI308" s="54" t="str">
        <f aca="false">IF($D308="","",ROW())</f>
        <v/>
      </c>
      <c r="AJ308" s="54" t="n">
        <f aca="false">IF(OR($AC308&lt;&gt;1,$M308=""),0,IF(ISNUMBER(SEARCH("퇴사",IFERROR(INDEX(강사DB!$G$4:$G$53,MATCH($M308,강사DB!$A$4:$A$53,0)),""))),1,0))</f>
        <v>0</v>
      </c>
    </row>
    <row r="309" customFormat="false" ht="15" hidden="false" customHeight="false" outlineLevel="0" collapsed="false">
      <c r="A309" s="45" t="str">
        <f aca="false">IF($D309="","",COUNTA($D$5:$D309))</f>
        <v/>
      </c>
      <c r="B309" s="46"/>
      <c r="C309" s="47"/>
      <c r="D309" s="48"/>
      <c r="E309" s="48"/>
      <c r="F309" s="49"/>
      <c r="G309" s="47"/>
      <c r="H309" s="50"/>
      <c r="I309" s="50"/>
      <c r="J309" s="51" t="str">
        <f aca="false">IF(OR($V309="",$W309=""),"",ROUND(($W309-$V309)/60,2))</f>
        <v/>
      </c>
      <c r="K309" s="52" t="str">
        <f aca="false">IF($F309="","",LEN($F309)-LEN(SUBSTITUTE($F309,",",""))+1)</f>
        <v/>
      </c>
      <c r="L309" s="45" t="str">
        <f aca="false">IF($K309="","","1:"&amp;$K309)</f>
        <v/>
      </c>
      <c r="M309" s="46"/>
      <c r="N309" s="53"/>
      <c r="O309" s="46"/>
      <c r="P309" s="47"/>
      <c r="Q309" s="48"/>
      <c r="R309" s="49"/>
      <c r="S309" s="54" t="str">
        <f aca="false">IF(OR($AC309=0,$U309="",$M309="",$V309="",$W309=""),"",IF(COUNTIFS(m_teacher,$M309,m_date,$U309,m_active,1,m_start,"&lt;"&amp;$W309,m_end,"&gt;"&amp;$V309)&gt;1,"충돌",""))</f>
        <v/>
      </c>
      <c r="T309" s="48"/>
      <c r="U309" s="55" t="str">
        <f aca="false">IF($G309="","",IFERROR(IF(ISNUMBER($G309),IF($G309&gt;19000000,DATE(INT($G309/10000),MOD(INT($G309/100),100),MOD($G309,100)),INT($G309)),IF(LEN(SUBSTITUTE(SUBSTITUTE(SUBSTITUTE(TRIM($G309),"-",""),".",""),"/",""))=8,DATE(VALUE(LEFT(SUBSTITUTE(SUBSTITUTE(SUBSTITUTE(TRIM($G309),"-",""),".",""),"/",""),4)),VALUE(MID(SUBSTITUTE(SUBSTITUTE(SUBSTITUTE(TRIM($G309),"-",""),".",""),"/",""),5,2)),VALUE(RIGHT(SUBSTITUTE(SUBSTITUTE(SUBSTITUTE(TRIM($G309),"-",""),".",""),"/",""),2))),DATEVALUE($G309))),""))</f>
        <v/>
      </c>
      <c r="V309" s="52" t="str">
        <f aca="false">IF($H309="","",IFERROR(IF(IF(ISNUMBER($H309),$H309,IFERROR(TIMEVALUE($H309),VALUE($H309)))&gt;=100,INT(IF(ISNUMBER($H309),$H309,IFERROR(TIMEVALUE($H309),VALUE($H309)))/100)*60+MOD(IF(ISNUMBER($H309),$H309,IFERROR(TIMEVALUE($H309),VALUE($H309))),100),IF(IF(ISNUMBER($H309),$H309,IFERROR(TIMEVALUE($H309),VALUE($H309)))&gt;=1,ROUND(IF(ISNUMBER($H309),$H309,IFERROR(TIMEVALUE($H309),VALUE($H309)))*60,0),ROUND(MOD(IF(ISNUMBER($H309),$H309,IFERROR(TIMEVALUE($H309),VALUE($H309))),1)*1440,0))),""))</f>
        <v/>
      </c>
      <c r="W309" s="52" t="str">
        <f aca="false">IF($I309="","",IFERROR(IF(IF(ISNUMBER($I309),$I309,IFERROR(TIMEVALUE($I309),VALUE($I309)))&gt;=100,INT(IF(ISNUMBER($I309),$I309,IFERROR(TIMEVALUE($I309),VALUE($I309)))/100)*60+MOD(IF(ISNUMBER($I309),$I309,IFERROR(TIMEVALUE($I309),VALUE($I309))),100),IF(IF(ISNUMBER($I309),$I309,IFERROR(TIMEVALUE($I309),VALUE($I309)))&gt;=1,ROUND(IF(ISNUMBER($I309),$I309,IFERROR(TIMEVALUE($I309),VALUE($I309)))*60,0),ROUND(MOD(IF(ISNUMBER($I309),$I309,IFERROR(TIMEVALUE($I309),VALUE($I309))),1)*1440,0))),""))</f>
        <v/>
      </c>
      <c r="X309" s="55" t="str">
        <f aca="false">IF($P309="","",IFERROR(IF(ISNUMBER($P309),IF($P309&gt;19000000,DATE(INT($P309/10000),MOD(INT($P309/100),100),MOD($P309,100)),INT($P309)),IF(LEN(SUBSTITUTE(SUBSTITUTE(SUBSTITUTE(TRIM($P309),"-",""),".",""),"/",""))=8,DATE(VALUE(LEFT(SUBSTITUTE(SUBSTITUTE(SUBSTITUTE(TRIM($P309),"-",""),".",""),"/",""),4)),VALUE(MID(SUBSTITUTE(SUBSTITUTE(SUBSTITUTE(TRIM($P309),"-",""),".",""),"/",""),5,2)),VALUE(RIGHT(SUBSTITUTE(SUBSTITUTE(SUBSTITUTE(TRIM($P309),"-",""),".",""),"/",""),2))),DATEVALUE($P309))),""))</f>
        <v/>
      </c>
      <c r="Y309" s="56" t="str">
        <f aca="false">IF($M309="","",IFERROR(INDEX(강사DB!$D$4:$D$53,MATCH($M309,강사DB!$A$4:$A$53,0)),""))</f>
        <v/>
      </c>
      <c r="Z309" s="56" t="str">
        <f aca="false">IF($B309&lt;&gt;"결제완료","",IF(OR($Y309="",$J309=""),"",$Y309*$J309+MAX(0,N($K309)-1)*설정!$J$7))</f>
        <v/>
      </c>
      <c r="AA309" s="56" t="str">
        <f aca="false">IF(AND($D309&lt;&gt;"",$B309="결제완료"),N($N309),"")</f>
        <v/>
      </c>
      <c r="AB309" s="45" t="str">
        <f aca="false">IF($D309="","",IF($F309&lt;&gt;"",$F309,$D309)&amp;IF($B309="상담중"," (상담)",""))</f>
        <v/>
      </c>
      <c r="AC309" s="45" t="n">
        <f aca="false">IF(AND($D309&lt;&gt;"",OR($B309="결제완료",$B309="상담중")),1,0)</f>
        <v>0</v>
      </c>
      <c r="AD309" s="45" t="n">
        <f aca="false">IF(OR($Z309="",$U309=""),0,IFERROR(IF(COUNTIFS(INDEX(g_grid,0,2*MATCH($M309,강사DB!$A$4:$A$15,0)),"&lt;&gt;",g_s,"&lt;="&amp;$U309,g_e,"&gt;="&amp;$U309)&gt;0,1,0),0))</f>
        <v>0</v>
      </c>
      <c r="AE309" s="48"/>
      <c r="AF309" s="56" t="str">
        <f aca="false">IF(AND($D309&lt;&gt;"",$B309="결제완료",$T309="대여"),설정!$J$5,"")</f>
        <v/>
      </c>
      <c r="AG309" s="54" t="str">
        <f aca="false">IF($D309="","",IF(AND($E309="",$R309=""),$AB309,"☎ "&amp;IF($E309="","-",$E309)&amp;IF($R309&lt;&gt;"","  ※ "&amp;$R309,"")&amp;IF($B309="상담중"," (상담)","")))</f>
        <v/>
      </c>
      <c r="AH309" s="56" t="str">
        <f aca="false">IF(AND($D309&lt;&gt;"",$B309="결제완료",$O309="스마트스토어"),ROUND(N($N309)*설정!$J$6,0),"")</f>
        <v/>
      </c>
      <c r="AI309" s="54" t="str">
        <f aca="false">IF($D309="","",ROW())</f>
        <v/>
      </c>
      <c r="AJ309" s="54" t="n">
        <f aca="false">IF(OR($AC309&lt;&gt;1,$M309=""),0,IF(ISNUMBER(SEARCH("퇴사",IFERROR(INDEX(강사DB!$G$4:$G$53,MATCH($M309,강사DB!$A$4:$A$53,0)),""))),1,0))</f>
        <v>0</v>
      </c>
    </row>
    <row r="310" customFormat="false" ht="15" hidden="false" customHeight="false" outlineLevel="0" collapsed="false">
      <c r="A310" s="45" t="str">
        <f aca="false">IF($D310="","",COUNTA($D$5:$D310))</f>
        <v/>
      </c>
      <c r="B310" s="46"/>
      <c r="C310" s="47"/>
      <c r="D310" s="48"/>
      <c r="E310" s="48"/>
      <c r="F310" s="49"/>
      <c r="G310" s="47"/>
      <c r="H310" s="50"/>
      <c r="I310" s="50"/>
      <c r="J310" s="51" t="str">
        <f aca="false">IF(OR($V310="",$W310=""),"",ROUND(($W310-$V310)/60,2))</f>
        <v/>
      </c>
      <c r="K310" s="52" t="str">
        <f aca="false">IF($F310="","",LEN($F310)-LEN(SUBSTITUTE($F310,",",""))+1)</f>
        <v/>
      </c>
      <c r="L310" s="45" t="str">
        <f aca="false">IF($K310="","","1:"&amp;$K310)</f>
        <v/>
      </c>
      <c r="M310" s="46"/>
      <c r="N310" s="53"/>
      <c r="O310" s="46"/>
      <c r="P310" s="47"/>
      <c r="Q310" s="48"/>
      <c r="R310" s="49"/>
      <c r="S310" s="54" t="str">
        <f aca="false">IF(OR($AC310=0,$U310="",$M310="",$V310="",$W310=""),"",IF(COUNTIFS(m_teacher,$M310,m_date,$U310,m_active,1,m_start,"&lt;"&amp;$W310,m_end,"&gt;"&amp;$V310)&gt;1,"충돌",""))</f>
        <v/>
      </c>
      <c r="T310" s="48"/>
      <c r="U310" s="55" t="str">
        <f aca="false">IF($G310="","",IFERROR(IF(ISNUMBER($G310),IF($G310&gt;19000000,DATE(INT($G310/10000),MOD(INT($G310/100),100),MOD($G310,100)),INT($G310)),IF(LEN(SUBSTITUTE(SUBSTITUTE(SUBSTITUTE(TRIM($G310),"-",""),".",""),"/",""))=8,DATE(VALUE(LEFT(SUBSTITUTE(SUBSTITUTE(SUBSTITUTE(TRIM($G310),"-",""),".",""),"/",""),4)),VALUE(MID(SUBSTITUTE(SUBSTITUTE(SUBSTITUTE(TRIM($G310),"-",""),".",""),"/",""),5,2)),VALUE(RIGHT(SUBSTITUTE(SUBSTITUTE(SUBSTITUTE(TRIM($G310),"-",""),".",""),"/",""),2))),DATEVALUE($G310))),""))</f>
        <v/>
      </c>
      <c r="V310" s="52" t="str">
        <f aca="false">IF($H310="","",IFERROR(IF(IF(ISNUMBER($H310),$H310,IFERROR(TIMEVALUE($H310),VALUE($H310)))&gt;=100,INT(IF(ISNUMBER($H310),$H310,IFERROR(TIMEVALUE($H310),VALUE($H310)))/100)*60+MOD(IF(ISNUMBER($H310),$H310,IFERROR(TIMEVALUE($H310),VALUE($H310))),100),IF(IF(ISNUMBER($H310),$H310,IFERROR(TIMEVALUE($H310),VALUE($H310)))&gt;=1,ROUND(IF(ISNUMBER($H310),$H310,IFERROR(TIMEVALUE($H310),VALUE($H310)))*60,0),ROUND(MOD(IF(ISNUMBER($H310),$H310,IFERROR(TIMEVALUE($H310),VALUE($H310))),1)*1440,0))),""))</f>
        <v/>
      </c>
      <c r="W310" s="52" t="str">
        <f aca="false">IF($I310="","",IFERROR(IF(IF(ISNUMBER($I310),$I310,IFERROR(TIMEVALUE($I310),VALUE($I310)))&gt;=100,INT(IF(ISNUMBER($I310),$I310,IFERROR(TIMEVALUE($I310),VALUE($I310)))/100)*60+MOD(IF(ISNUMBER($I310),$I310,IFERROR(TIMEVALUE($I310),VALUE($I310))),100),IF(IF(ISNUMBER($I310),$I310,IFERROR(TIMEVALUE($I310),VALUE($I310)))&gt;=1,ROUND(IF(ISNUMBER($I310),$I310,IFERROR(TIMEVALUE($I310),VALUE($I310)))*60,0),ROUND(MOD(IF(ISNUMBER($I310),$I310,IFERROR(TIMEVALUE($I310),VALUE($I310))),1)*1440,0))),""))</f>
        <v/>
      </c>
      <c r="X310" s="55" t="str">
        <f aca="false">IF($P310="","",IFERROR(IF(ISNUMBER($P310),IF($P310&gt;19000000,DATE(INT($P310/10000),MOD(INT($P310/100),100),MOD($P310,100)),INT($P310)),IF(LEN(SUBSTITUTE(SUBSTITUTE(SUBSTITUTE(TRIM($P310),"-",""),".",""),"/",""))=8,DATE(VALUE(LEFT(SUBSTITUTE(SUBSTITUTE(SUBSTITUTE(TRIM($P310),"-",""),".",""),"/",""),4)),VALUE(MID(SUBSTITUTE(SUBSTITUTE(SUBSTITUTE(TRIM($P310),"-",""),".",""),"/",""),5,2)),VALUE(RIGHT(SUBSTITUTE(SUBSTITUTE(SUBSTITUTE(TRIM($P310),"-",""),".",""),"/",""),2))),DATEVALUE($P310))),""))</f>
        <v/>
      </c>
      <c r="Y310" s="56" t="str">
        <f aca="false">IF($M310="","",IFERROR(INDEX(강사DB!$D$4:$D$53,MATCH($M310,강사DB!$A$4:$A$53,0)),""))</f>
        <v/>
      </c>
      <c r="Z310" s="56" t="str">
        <f aca="false">IF($B310&lt;&gt;"결제완료","",IF(OR($Y310="",$J310=""),"",$Y310*$J310+MAX(0,N($K310)-1)*설정!$J$7))</f>
        <v/>
      </c>
      <c r="AA310" s="56" t="str">
        <f aca="false">IF(AND($D310&lt;&gt;"",$B310="결제완료"),N($N310),"")</f>
        <v/>
      </c>
      <c r="AB310" s="45" t="str">
        <f aca="false">IF($D310="","",IF($F310&lt;&gt;"",$F310,$D310)&amp;IF($B310="상담중"," (상담)",""))</f>
        <v/>
      </c>
      <c r="AC310" s="45" t="n">
        <f aca="false">IF(AND($D310&lt;&gt;"",OR($B310="결제완료",$B310="상담중")),1,0)</f>
        <v>0</v>
      </c>
      <c r="AD310" s="45" t="n">
        <f aca="false">IF(OR($Z310="",$U310=""),0,IFERROR(IF(COUNTIFS(INDEX(g_grid,0,2*MATCH($M310,강사DB!$A$4:$A$15,0)),"&lt;&gt;",g_s,"&lt;="&amp;$U310,g_e,"&gt;="&amp;$U310)&gt;0,1,0),0))</f>
        <v>0</v>
      </c>
      <c r="AE310" s="48"/>
      <c r="AF310" s="56" t="str">
        <f aca="false">IF(AND($D310&lt;&gt;"",$B310="결제완료",$T310="대여"),설정!$J$5,"")</f>
        <v/>
      </c>
      <c r="AG310" s="54" t="str">
        <f aca="false">IF($D310="","",IF(AND($E310="",$R310=""),$AB310,"☎ "&amp;IF($E310="","-",$E310)&amp;IF($R310&lt;&gt;"","  ※ "&amp;$R310,"")&amp;IF($B310="상담중"," (상담)","")))</f>
        <v/>
      </c>
      <c r="AH310" s="56" t="str">
        <f aca="false">IF(AND($D310&lt;&gt;"",$B310="결제완료",$O310="스마트스토어"),ROUND(N($N310)*설정!$J$6,0),"")</f>
        <v/>
      </c>
      <c r="AI310" s="54" t="str">
        <f aca="false">IF($D310="","",ROW())</f>
        <v/>
      </c>
      <c r="AJ310" s="54" t="n">
        <f aca="false">IF(OR($AC310&lt;&gt;1,$M310=""),0,IF(ISNUMBER(SEARCH("퇴사",IFERROR(INDEX(강사DB!$G$4:$G$53,MATCH($M310,강사DB!$A$4:$A$53,0)),""))),1,0))</f>
        <v>0</v>
      </c>
    </row>
    <row r="311" customFormat="false" ht="15" hidden="false" customHeight="false" outlineLevel="0" collapsed="false">
      <c r="A311" s="45" t="str">
        <f aca="false">IF($D311="","",COUNTA($D$5:$D311))</f>
        <v/>
      </c>
      <c r="B311" s="46"/>
      <c r="C311" s="47"/>
      <c r="D311" s="48"/>
      <c r="E311" s="48"/>
      <c r="F311" s="49"/>
      <c r="G311" s="47"/>
      <c r="H311" s="50"/>
      <c r="I311" s="50"/>
      <c r="J311" s="51" t="str">
        <f aca="false">IF(OR($V311="",$W311=""),"",ROUND(($W311-$V311)/60,2))</f>
        <v/>
      </c>
      <c r="K311" s="52" t="str">
        <f aca="false">IF($F311="","",LEN($F311)-LEN(SUBSTITUTE($F311,",",""))+1)</f>
        <v/>
      </c>
      <c r="L311" s="45" t="str">
        <f aca="false">IF($K311="","","1:"&amp;$K311)</f>
        <v/>
      </c>
      <c r="M311" s="46"/>
      <c r="N311" s="53"/>
      <c r="O311" s="46"/>
      <c r="P311" s="47"/>
      <c r="Q311" s="48"/>
      <c r="R311" s="49"/>
      <c r="S311" s="54" t="str">
        <f aca="false">IF(OR($AC311=0,$U311="",$M311="",$V311="",$W311=""),"",IF(COUNTIFS(m_teacher,$M311,m_date,$U311,m_active,1,m_start,"&lt;"&amp;$W311,m_end,"&gt;"&amp;$V311)&gt;1,"충돌",""))</f>
        <v/>
      </c>
      <c r="T311" s="48"/>
      <c r="U311" s="55" t="str">
        <f aca="false">IF($G311="","",IFERROR(IF(ISNUMBER($G311),IF($G311&gt;19000000,DATE(INT($G311/10000),MOD(INT($G311/100),100),MOD($G311,100)),INT($G311)),IF(LEN(SUBSTITUTE(SUBSTITUTE(SUBSTITUTE(TRIM($G311),"-",""),".",""),"/",""))=8,DATE(VALUE(LEFT(SUBSTITUTE(SUBSTITUTE(SUBSTITUTE(TRIM($G311),"-",""),".",""),"/",""),4)),VALUE(MID(SUBSTITUTE(SUBSTITUTE(SUBSTITUTE(TRIM($G311),"-",""),".",""),"/",""),5,2)),VALUE(RIGHT(SUBSTITUTE(SUBSTITUTE(SUBSTITUTE(TRIM($G311),"-",""),".",""),"/",""),2))),DATEVALUE($G311))),""))</f>
        <v/>
      </c>
      <c r="V311" s="52" t="str">
        <f aca="false">IF($H311="","",IFERROR(IF(IF(ISNUMBER($H311),$H311,IFERROR(TIMEVALUE($H311),VALUE($H311)))&gt;=100,INT(IF(ISNUMBER($H311),$H311,IFERROR(TIMEVALUE($H311),VALUE($H311)))/100)*60+MOD(IF(ISNUMBER($H311),$H311,IFERROR(TIMEVALUE($H311),VALUE($H311))),100),IF(IF(ISNUMBER($H311),$H311,IFERROR(TIMEVALUE($H311),VALUE($H311)))&gt;=1,ROUND(IF(ISNUMBER($H311),$H311,IFERROR(TIMEVALUE($H311),VALUE($H311)))*60,0),ROUND(MOD(IF(ISNUMBER($H311),$H311,IFERROR(TIMEVALUE($H311),VALUE($H311))),1)*1440,0))),""))</f>
        <v/>
      </c>
      <c r="W311" s="52" t="str">
        <f aca="false">IF($I311="","",IFERROR(IF(IF(ISNUMBER($I311),$I311,IFERROR(TIMEVALUE($I311),VALUE($I311)))&gt;=100,INT(IF(ISNUMBER($I311),$I311,IFERROR(TIMEVALUE($I311),VALUE($I311)))/100)*60+MOD(IF(ISNUMBER($I311),$I311,IFERROR(TIMEVALUE($I311),VALUE($I311))),100),IF(IF(ISNUMBER($I311),$I311,IFERROR(TIMEVALUE($I311),VALUE($I311)))&gt;=1,ROUND(IF(ISNUMBER($I311),$I311,IFERROR(TIMEVALUE($I311),VALUE($I311)))*60,0),ROUND(MOD(IF(ISNUMBER($I311),$I311,IFERROR(TIMEVALUE($I311),VALUE($I311))),1)*1440,0))),""))</f>
        <v/>
      </c>
      <c r="X311" s="55" t="str">
        <f aca="false">IF($P311="","",IFERROR(IF(ISNUMBER($P311),IF($P311&gt;19000000,DATE(INT($P311/10000),MOD(INT($P311/100),100),MOD($P311,100)),INT($P311)),IF(LEN(SUBSTITUTE(SUBSTITUTE(SUBSTITUTE(TRIM($P311),"-",""),".",""),"/",""))=8,DATE(VALUE(LEFT(SUBSTITUTE(SUBSTITUTE(SUBSTITUTE(TRIM($P311),"-",""),".",""),"/",""),4)),VALUE(MID(SUBSTITUTE(SUBSTITUTE(SUBSTITUTE(TRIM($P311),"-",""),".",""),"/",""),5,2)),VALUE(RIGHT(SUBSTITUTE(SUBSTITUTE(SUBSTITUTE(TRIM($P311),"-",""),".",""),"/",""),2))),DATEVALUE($P311))),""))</f>
        <v/>
      </c>
      <c r="Y311" s="56" t="str">
        <f aca="false">IF($M311="","",IFERROR(INDEX(강사DB!$D$4:$D$53,MATCH($M311,강사DB!$A$4:$A$53,0)),""))</f>
        <v/>
      </c>
      <c r="Z311" s="56" t="str">
        <f aca="false">IF($B311&lt;&gt;"결제완료","",IF(OR($Y311="",$J311=""),"",$Y311*$J311+MAX(0,N($K311)-1)*설정!$J$7))</f>
        <v/>
      </c>
      <c r="AA311" s="56" t="str">
        <f aca="false">IF(AND($D311&lt;&gt;"",$B311="결제완료"),N($N311),"")</f>
        <v/>
      </c>
      <c r="AB311" s="45" t="str">
        <f aca="false">IF($D311="","",IF($F311&lt;&gt;"",$F311,$D311)&amp;IF($B311="상담중"," (상담)",""))</f>
        <v/>
      </c>
      <c r="AC311" s="45" t="n">
        <f aca="false">IF(AND($D311&lt;&gt;"",OR($B311="결제완료",$B311="상담중")),1,0)</f>
        <v>0</v>
      </c>
      <c r="AD311" s="45" t="n">
        <f aca="false">IF(OR($Z311="",$U311=""),0,IFERROR(IF(COUNTIFS(INDEX(g_grid,0,2*MATCH($M311,강사DB!$A$4:$A$15,0)),"&lt;&gt;",g_s,"&lt;="&amp;$U311,g_e,"&gt;="&amp;$U311)&gt;0,1,0),0))</f>
        <v>0</v>
      </c>
      <c r="AE311" s="48"/>
      <c r="AF311" s="56" t="str">
        <f aca="false">IF(AND($D311&lt;&gt;"",$B311="결제완료",$T311="대여"),설정!$J$5,"")</f>
        <v/>
      </c>
      <c r="AG311" s="54" t="str">
        <f aca="false">IF($D311="","",IF(AND($E311="",$R311=""),$AB311,"☎ "&amp;IF($E311="","-",$E311)&amp;IF($R311&lt;&gt;"","  ※ "&amp;$R311,"")&amp;IF($B311="상담중"," (상담)","")))</f>
        <v/>
      </c>
      <c r="AH311" s="56" t="str">
        <f aca="false">IF(AND($D311&lt;&gt;"",$B311="결제완료",$O311="스마트스토어"),ROUND(N($N311)*설정!$J$6,0),"")</f>
        <v/>
      </c>
      <c r="AI311" s="54" t="str">
        <f aca="false">IF($D311="","",ROW())</f>
        <v/>
      </c>
      <c r="AJ311" s="54" t="n">
        <f aca="false">IF(OR($AC311&lt;&gt;1,$M311=""),0,IF(ISNUMBER(SEARCH("퇴사",IFERROR(INDEX(강사DB!$G$4:$G$53,MATCH($M311,강사DB!$A$4:$A$53,0)),""))),1,0))</f>
        <v>0</v>
      </c>
    </row>
    <row r="312" customFormat="false" ht="15" hidden="false" customHeight="false" outlineLevel="0" collapsed="false">
      <c r="A312" s="45" t="str">
        <f aca="false">IF($D312="","",COUNTA($D$5:$D312))</f>
        <v/>
      </c>
      <c r="B312" s="46"/>
      <c r="C312" s="47"/>
      <c r="D312" s="48"/>
      <c r="E312" s="48"/>
      <c r="F312" s="49"/>
      <c r="G312" s="47"/>
      <c r="H312" s="50"/>
      <c r="I312" s="50"/>
      <c r="J312" s="51" t="str">
        <f aca="false">IF(OR($V312="",$W312=""),"",ROUND(($W312-$V312)/60,2))</f>
        <v/>
      </c>
      <c r="K312" s="52" t="str">
        <f aca="false">IF($F312="","",LEN($F312)-LEN(SUBSTITUTE($F312,",",""))+1)</f>
        <v/>
      </c>
      <c r="L312" s="45" t="str">
        <f aca="false">IF($K312="","","1:"&amp;$K312)</f>
        <v/>
      </c>
      <c r="M312" s="46"/>
      <c r="N312" s="53"/>
      <c r="O312" s="46"/>
      <c r="P312" s="47"/>
      <c r="Q312" s="48"/>
      <c r="R312" s="49"/>
      <c r="S312" s="54" t="str">
        <f aca="false">IF(OR($AC312=0,$U312="",$M312="",$V312="",$W312=""),"",IF(COUNTIFS(m_teacher,$M312,m_date,$U312,m_active,1,m_start,"&lt;"&amp;$W312,m_end,"&gt;"&amp;$V312)&gt;1,"충돌",""))</f>
        <v/>
      </c>
      <c r="T312" s="48"/>
      <c r="U312" s="55" t="str">
        <f aca="false">IF($G312="","",IFERROR(IF(ISNUMBER($G312),IF($G312&gt;19000000,DATE(INT($G312/10000),MOD(INT($G312/100),100),MOD($G312,100)),INT($G312)),IF(LEN(SUBSTITUTE(SUBSTITUTE(SUBSTITUTE(TRIM($G312),"-",""),".",""),"/",""))=8,DATE(VALUE(LEFT(SUBSTITUTE(SUBSTITUTE(SUBSTITUTE(TRIM($G312),"-",""),".",""),"/",""),4)),VALUE(MID(SUBSTITUTE(SUBSTITUTE(SUBSTITUTE(TRIM($G312),"-",""),".",""),"/",""),5,2)),VALUE(RIGHT(SUBSTITUTE(SUBSTITUTE(SUBSTITUTE(TRIM($G312),"-",""),".",""),"/",""),2))),DATEVALUE($G312))),""))</f>
        <v/>
      </c>
      <c r="V312" s="52" t="str">
        <f aca="false">IF($H312="","",IFERROR(IF(IF(ISNUMBER($H312),$H312,IFERROR(TIMEVALUE($H312),VALUE($H312)))&gt;=100,INT(IF(ISNUMBER($H312),$H312,IFERROR(TIMEVALUE($H312),VALUE($H312)))/100)*60+MOD(IF(ISNUMBER($H312),$H312,IFERROR(TIMEVALUE($H312),VALUE($H312))),100),IF(IF(ISNUMBER($H312),$H312,IFERROR(TIMEVALUE($H312),VALUE($H312)))&gt;=1,ROUND(IF(ISNUMBER($H312),$H312,IFERROR(TIMEVALUE($H312),VALUE($H312)))*60,0),ROUND(MOD(IF(ISNUMBER($H312),$H312,IFERROR(TIMEVALUE($H312),VALUE($H312))),1)*1440,0))),""))</f>
        <v/>
      </c>
      <c r="W312" s="52" t="str">
        <f aca="false">IF($I312="","",IFERROR(IF(IF(ISNUMBER($I312),$I312,IFERROR(TIMEVALUE($I312),VALUE($I312)))&gt;=100,INT(IF(ISNUMBER($I312),$I312,IFERROR(TIMEVALUE($I312),VALUE($I312)))/100)*60+MOD(IF(ISNUMBER($I312),$I312,IFERROR(TIMEVALUE($I312),VALUE($I312))),100),IF(IF(ISNUMBER($I312),$I312,IFERROR(TIMEVALUE($I312),VALUE($I312)))&gt;=1,ROUND(IF(ISNUMBER($I312),$I312,IFERROR(TIMEVALUE($I312),VALUE($I312)))*60,0),ROUND(MOD(IF(ISNUMBER($I312),$I312,IFERROR(TIMEVALUE($I312),VALUE($I312))),1)*1440,0))),""))</f>
        <v/>
      </c>
      <c r="X312" s="55" t="str">
        <f aca="false">IF($P312="","",IFERROR(IF(ISNUMBER($P312),IF($P312&gt;19000000,DATE(INT($P312/10000),MOD(INT($P312/100),100),MOD($P312,100)),INT($P312)),IF(LEN(SUBSTITUTE(SUBSTITUTE(SUBSTITUTE(TRIM($P312),"-",""),".",""),"/",""))=8,DATE(VALUE(LEFT(SUBSTITUTE(SUBSTITUTE(SUBSTITUTE(TRIM($P312),"-",""),".",""),"/",""),4)),VALUE(MID(SUBSTITUTE(SUBSTITUTE(SUBSTITUTE(TRIM($P312),"-",""),".",""),"/",""),5,2)),VALUE(RIGHT(SUBSTITUTE(SUBSTITUTE(SUBSTITUTE(TRIM($P312),"-",""),".",""),"/",""),2))),DATEVALUE($P312))),""))</f>
        <v/>
      </c>
      <c r="Y312" s="56" t="str">
        <f aca="false">IF($M312="","",IFERROR(INDEX(강사DB!$D$4:$D$53,MATCH($M312,강사DB!$A$4:$A$53,0)),""))</f>
        <v/>
      </c>
      <c r="Z312" s="56" t="str">
        <f aca="false">IF($B312&lt;&gt;"결제완료","",IF(OR($Y312="",$J312=""),"",$Y312*$J312+MAX(0,N($K312)-1)*설정!$J$7))</f>
        <v/>
      </c>
      <c r="AA312" s="56" t="str">
        <f aca="false">IF(AND($D312&lt;&gt;"",$B312="결제완료"),N($N312),"")</f>
        <v/>
      </c>
      <c r="AB312" s="45" t="str">
        <f aca="false">IF($D312="","",IF($F312&lt;&gt;"",$F312,$D312)&amp;IF($B312="상담중"," (상담)",""))</f>
        <v/>
      </c>
      <c r="AC312" s="45" t="n">
        <f aca="false">IF(AND($D312&lt;&gt;"",OR($B312="결제완료",$B312="상담중")),1,0)</f>
        <v>0</v>
      </c>
      <c r="AD312" s="45" t="n">
        <f aca="false">IF(OR($Z312="",$U312=""),0,IFERROR(IF(COUNTIFS(INDEX(g_grid,0,2*MATCH($M312,강사DB!$A$4:$A$15,0)),"&lt;&gt;",g_s,"&lt;="&amp;$U312,g_e,"&gt;="&amp;$U312)&gt;0,1,0),0))</f>
        <v>0</v>
      </c>
      <c r="AE312" s="48"/>
      <c r="AF312" s="56" t="str">
        <f aca="false">IF(AND($D312&lt;&gt;"",$B312="결제완료",$T312="대여"),설정!$J$5,"")</f>
        <v/>
      </c>
      <c r="AG312" s="54" t="str">
        <f aca="false">IF($D312="","",IF(AND($E312="",$R312=""),$AB312,"☎ "&amp;IF($E312="","-",$E312)&amp;IF($R312&lt;&gt;"","  ※ "&amp;$R312,"")&amp;IF($B312="상담중"," (상담)","")))</f>
        <v/>
      </c>
      <c r="AH312" s="56" t="str">
        <f aca="false">IF(AND($D312&lt;&gt;"",$B312="결제완료",$O312="스마트스토어"),ROUND(N($N312)*설정!$J$6,0),"")</f>
        <v/>
      </c>
      <c r="AI312" s="54" t="str">
        <f aca="false">IF($D312="","",ROW())</f>
        <v/>
      </c>
      <c r="AJ312" s="54" t="n">
        <f aca="false">IF(OR($AC312&lt;&gt;1,$M312=""),0,IF(ISNUMBER(SEARCH("퇴사",IFERROR(INDEX(강사DB!$G$4:$G$53,MATCH($M312,강사DB!$A$4:$A$53,0)),""))),1,0))</f>
        <v>0</v>
      </c>
    </row>
    <row r="313" customFormat="false" ht="15" hidden="false" customHeight="false" outlineLevel="0" collapsed="false">
      <c r="A313" s="45" t="str">
        <f aca="false">IF($D313="","",COUNTA($D$5:$D313))</f>
        <v/>
      </c>
      <c r="B313" s="46"/>
      <c r="C313" s="47"/>
      <c r="D313" s="48"/>
      <c r="E313" s="48"/>
      <c r="F313" s="49"/>
      <c r="G313" s="47"/>
      <c r="H313" s="50"/>
      <c r="I313" s="50"/>
      <c r="J313" s="51" t="str">
        <f aca="false">IF(OR($V313="",$W313=""),"",ROUND(($W313-$V313)/60,2))</f>
        <v/>
      </c>
      <c r="K313" s="52" t="str">
        <f aca="false">IF($F313="","",LEN($F313)-LEN(SUBSTITUTE($F313,",",""))+1)</f>
        <v/>
      </c>
      <c r="L313" s="45" t="str">
        <f aca="false">IF($K313="","","1:"&amp;$K313)</f>
        <v/>
      </c>
      <c r="M313" s="46"/>
      <c r="N313" s="53"/>
      <c r="O313" s="46"/>
      <c r="P313" s="47"/>
      <c r="Q313" s="48"/>
      <c r="R313" s="49"/>
      <c r="S313" s="54" t="str">
        <f aca="false">IF(OR($AC313=0,$U313="",$M313="",$V313="",$W313=""),"",IF(COUNTIFS(m_teacher,$M313,m_date,$U313,m_active,1,m_start,"&lt;"&amp;$W313,m_end,"&gt;"&amp;$V313)&gt;1,"충돌",""))</f>
        <v/>
      </c>
      <c r="T313" s="48"/>
      <c r="U313" s="55" t="str">
        <f aca="false">IF($G313="","",IFERROR(IF(ISNUMBER($G313),IF($G313&gt;19000000,DATE(INT($G313/10000),MOD(INT($G313/100),100),MOD($G313,100)),INT($G313)),IF(LEN(SUBSTITUTE(SUBSTITUTE(SUBSTITUTE(TRIM($G313),"-",""),".",""),"/",""))=8,DATE(VALUE(LEFT(SUBSTITUTE(SUBSTITUTE(SUBSTITUTE(TRIM($G313),"-",""),".",""),"/",""),4)),VALUE(MID(SUBSTITUTE(SUBSTITUTE(SUBSTITUTE(TRIM($G313),"-",""),".",""),"/",""),5,2)),VALUE(RIGHT(SUBSTITUTE(SUBSTITUTE(SUBSTITUTE(TRIM($G313),"-",""),".",""),"/",""),2))),DATEVALUE($G313))),""))</f>
        <v/>
      </c>
      <c r="V313" s="52" t="str">
        <f aca="false">IF($H313="","",IFERROR(IF(IF(ISNUMBER($H313),$H313,IFERROR(TIMEVALUE($H313),VALUE($H313)))&gt;=100,INT(IF(ISNUMBER($H313),$H313,IFERROR(TIMEVALUE($H313),VALUE($H313)))/100)*60+MOD(IF(ISNUMBER($H313),$H313,IFERROR(TIMEVALUE($H313),VALUE($H313))),100),IF(IF(ISNUMBER($H313),$H313,IFERROR(TIMEVALUE($H313),VALUE($H313)))&gt;=1,ROUND(IF(ISNUMBER($H313),$H313,IFERROR(TIMEVALUE($H313),VALUE($H313)))*60,0),ROUND(MOD(IF(ISNUMBER($H313),$H313,IFERROR(TIMEVALUE($H313),VALUE($H313))),1)*1440,0))),""))</f>
        <v/>
      </c>
      <c r="W313" s="52" t="str">
        <f aca="false">IF($I313="","",IFERROR(IF(IF(ISNUMBER($I313),$I313,IFERROR(TIMEVALUE($I313),VALUE($I313)))&gt;=100,INT(IF(ISNUMBER($I313),$I313,IFERROR(TIMEVALUE($I313),VALUE($I313)))/100)*60+MOD(IF(ISNUMBER($I313),$I313,IFERROR(TIMEVALUE($I313),VALUE($I313))),100),IF(IF(ISNUMBER($I313),$I313,IFERROR(TIMEVALUE($I313),VALUE($I313)))&gt;=1,ROUND(IF(ISNUMBER($I313),$I313,IFERROR(TIMEVALUE($I313),VALUE($I313)))*60,0),ROUND(MOD(IF(ISNUMBER($I313),$I313,IFERROR(TIMEVALUE($I313),VALUE($I313))),1)*1440,0))),""))</f>
        <v/>
      </c>
      <c r="X313" s="55" t="str">
        <f aca="false">IF($P313="","",IFERROR(IF(ISNUMBER($P313),IF($P313&gt;19000000,DATE(INT($P313/10000),MOD(INT($P313/100),100),MOD($P313,100)),INT($P313)),IF(LEN(SUBSTITUTE(SUBSTITUTE(SUBSTITUTE(TRIM($P313),"-",""),".",""),"/",""))=8,DATE(VALUE(LEFT(SUBSTITUTE(SUBSTITUTE(SUBSTITUTE(TRIM($P313),"-",""),".",""),"/",""),4)),VALUE(MID(SUBSTITUTE(SUBSTITUTE(SUBSTITUTE(TRIM($P313),"-",""),".",""),"/",""),5,2)),VALUE(RIGHT(SUBSTITUTE(SUBSTITUTE(SUBSTITUTE(TRIM($P313),"-",""),".",""),"/",""),2))),DATEVALUE($P313))),""))</f>
        <v/>
      </c>
      <c r="Y313" s="56" t="str">
        <f aca="false">IF($M313="","",IFERROR(INDEX(강사DB!$D$4:$D$53,MATCH($M313,강사DB!$A$4:$A$53,0)),""))</f>
        <v/>
      </c>
      <c r="Z313" s="56" t="str">
        <f aca="false">IF($B313&lt;&gt;"결제완료","",IF(OR($Y313="",$J313=""),"",$Y313*$J313+MAX(0,N($K313)-1)*설정!$J$7))</f>
        <v/>
      </c>
      <c r="AA313" s="56" t="str">
        <f aca="false">IF(AND($D313&lt;&gt;"",$B313="결제완료"),N($N313),"")</f>
        <v/>
      </c>
      <c r="AB313" s="45" t="str">
        <f aca="false">IF($D313="","",IF($F313&lt;&gt;"",$F313,$D313)&amp;IF($B313="상담중"," (상담)",""))</f>
        <v/>
      </c>
      <c r="AC313" s="45" t="n">
        <f aca="false">IF(AND($D313&lt;&gt;"",OR($B313="결제완료",$B313="상담중")),1,0)</f>
        <v>0</v>
      </c>
      <c r="AD313" s="45" t="n">
        <f aca="false">IF(OR($Z313="",$U313=""),0,IFERROR(IF(COUNTIFS(INDEX(g_grid,0,2*MATCH($M313,강사DB!$A$4:$A$15,0)),"&lt;&gt;",g_s,"&lt;="&amp;$U313,g_e,"&gt;="&amp;$U313)&gt;0,1,0),0))</f>
        <v>0</v>
      </c>
      <c r="AE313" s="48"/>
      <c r="AF313" s="56" t="str">
        <f aca="false">IF(AND($D313&lt;&gt;"",$B313="결제완료",$T313="대여"),설정!$J$5,"")</f>
        <v/>
      </c>
      <c r="AG313" s="54" t="str">
        <f aca="false">IF($D313="","",IF(AND($E313="",$R313=""),$AB313,"☎ "&amp;IF($E313="","-",$E313)&amp;IF($R313&lt;&gt;"","  ※ "&amp;$R313,"")&amp;IF($B313="상담중"," (상담)","")))</f>
        <v/>
      </c>
      <c r="AH313" s="56" t="str">
        <f aca="false">IF(AND($D313&lt;&gt;"",$B313="결제완료",$O313="스마트스토어"),ROUND(N($N313)*설정!$J$6,0),"")</f>
        <v/>
      </c>
      <c r="AI313" s="54" t="str">
        <f aca="false">IF($D313="","",ROW())</f>
        <v/>
      </c>
      <c r="AJ313" s="54" t="n">
        <f aca="false">IF(OR($AC313&lt;&gt;1,$M313=""),0,IF(ISNUMBER(SEARCH("퇴사",IFERROR(INDEX(강사DB!$G$4:$G$53,MATCH($M313,강사DB!$A$4:$A$53,0)),""))),1,0))</f>
        <v>0</v>
      </c>
    </row>
    <row r="314" customFormat="false" ht="15" hidden="false" customHeight="false" outlineLevel="0" collapsed="false">
      <c r="A314" s="45" t="str">
        <f aca="false">IF($D314="","",COUNTA($D$5:$D314))</f>
        <v/>
      </c>
      <c r="B314" s="46"/>
      <c r="C314" s="47"/>
      <c r="D314" s="48"/>
      <c r="E314" s="48"/>
      <c r="F314" s="49"/>
      <c r="G314" s="47"/>
      <c r="H314" s="50"/>
      <c r="I314" s="50"/>
      <c r="J314" s="51" t="str">
        <f aca="false">IF(OR($V314="",$W314=""),"",ROUND(($W314-$V314)/60,2))</f>
        <v/>
      </c>
      <c r="K314" s="52" t="str">
        <f aca="false">IF($F314="","",LEN($F314)-LEN(SUBSTITUTE($F314,",",""))+1)</f>
        <v/>
      </c>
      <c r="L314" s="45" t="str">
        <f aca="false">IF($K314="","","1:"&amp;$K314)</f>
        <v/>
      </c>
      <c r="M314" s="46"/>
      <c r="N314" s="53"/>
      <c r="O314" s="46"/>
      <c r="P314" s="47"/>
      <c r="Q314" s="48"/>
      <c r="R314" s="49"/>
      <c r="S314" s="54" t="str">
        <f aca="false">IF(OR($AC314=0,$U314="",$M314="",$V314="",$W314=""),"",IF(COUNTIFS(m_teacher,$M314,m_date,$U314,m_active,1,m_start,"&lt;"&amp;$W314,m_end,"&gt;"&amp;$V314)&gt;1,"충돌",""))</f>
        <v/>
      </c>
      <c r="T314" s="48"/>
      <c r="U314" s="55" t="str">
        <f aca="false">IF($G314="","",IFERROR(IF(ISNUMBER($G314),IF($G314&gt;19000000,DATE(INT($G314/10000),MOD(INT($G314/100),100),MOD($G314,100)),INT($G314)),IF(LEN(SUBSTITUTE(SUBSTITUTE(SUBSTITUTE(TRIM($G314),"-",""),".",""),"/",""))=8,DATE(VALUE(LEFT(SUBSTITUTE(SUBSTITUTE(SUBSTITUTE(TRIM($G314),"-",""),".",""),"/",""),4)),VALUE(MID(SUBSTITUTE(SUBSTITUTE(SUBSTITUTE(TRIM($G314),"-",""),".",""),"/",""),5,2)),VALUE(RIGHT(SUBSTITUTE(SUBSTITUTE(SUBSTITUTE(TRIM($G314),"-",""),".",""),"/",""),2))),DATEVALUE($G314))),""))</f>
        <v/>
      </c>
      <c r="V314" s="52" t="str">
        <f aca="false">IF($H314="","",IFERROR(IF(IF(ISNUMBER($H314),$H314,IFERROR(TIMEVALUE($H314),VALUE($H314)))&gt;=100,INT(IF(ISNUMBER($H314),$H314,IFERROR(TIMEVALUE($H314),VALUE($H314)))/100)*60+MOD(IF(ISNUMBER($H314),$H314,IFERROR(TIMEVALUE($H314),VALUE($H314))),100),IF(IF(ISNUMBER($H314),$H314,IFERROR(TIMEVALUE($H314),VALUE($H314)))&gt;=1,ROUND(IF(ISNUMBER($H314),$H314,IFERROR(TIMEVALUE($H314),VALUE($H314)))*60,0),ROUND(MOD(IF(ISNUMBER($H314),$H314,IFERROR(TIMEVALUE($H314),VALUE($H314))),1)*1440,0))),""))</f>
        <v/>
      </c>
      <c r="W314" s="52" t="str">
        <f aca="false">IF($I314="","",IFERROR(IF(IF(ISNUMBER($I314),$I314,IFERROR(TIMEVALUE($I314),VALUE($I314)))&gt;=100,INT(IF(ISNUMBER($I314),$I314,IFERROR(TIMEVALUE($I314),VALUE($I314)))/100)*60+MOD(IF(ISNUMBER($I314),$I314,IFERROR(TIMEVALUE($I314),VALUE($I314))),100),IF(IF(ISNUMBER($I314),$I314,IFERROR(TIMEVALUE($I314),VALUE($I314)))&gt;=1,ROUND(IF(ISNUMBER($I314),$I314,IFERROR(TIMEVALUE($I314),VALUE($I314)))*60,0),ROUND(MOD(IF(ISNUMBER($I314),$I314,IFERROR(TIMEVALUE($I314),VALUE($I314))),1)*1440,0))),""))</f>
        <v/>
      </c>
      <c r="X314" s="55" t="str">
        <f aca="false">IF($P314="","",IFERROR(IF(ISNUMBER($P314),IF($P314&gt;19000000,DATE(INT($P314/10000),MOD(INT($P314/100),100),MOD($P314,100)),INT($P314)),IF(LEN(SUBSTITUTE(SUBSTITUTE(SUBSTITUTE(TRIM($P314),"-",""),".",""),"/",""))=8,DATE(VALUE(LEFT(SUBSTITUTE(SUBSTITUTE(SUBSTITUTE(TRIM($P314),"-",""),".",""),"/",""),4)),VALUE(MID(SUBSTITUTE(SUBSTITUTE(SUBSTITUTE(TRIM($P314),"-",""),".",""),"/",""),5,2)),VALUE(RIGHT(SUBSTITUTE(SUBSTITUTE(SUBSTITUTE(TRIM($P314),"-",""),".",""),"/",""),2))),DATEVALUE($P314))),""))</f>
        <v/>
      </c>
      <c r="Y314" s="56" t="str">
        <f aca="false">IF($M314="","",IFERROR(INDEX(강사DB!$D$4:$D$53,MATCH($M314,강사DB!$A$4:$A$53,0)),""))</f>
        <v/>
      </c>
      <c r="Z314" s="56" t="str">
        <f aca="false">IF($B314&lt;&gt;"결제완료","",IF(OR($Y314="",$J314=""),"",$Y314*$J314+MAX(0,N($K314)-1)*설정!$J$7))</f>
        <v/>
      </c>
      <c r="AA314" s="56" t="str">
        <f aca="false">IF(AND($D314&lt;&gt;"",$B314="결제완료"),N($N314),"")</f>
        <v/>
      </c>
      <c r="AB314" s="45" t="str">
        <f aca="false">IF($D314="","",IF($F314&lt;&gt;"",$F314,$D314)&amp;IF($B314="상담중"," (상담)",""))</f>
        <v/>
      </c>
      <c r="AC314" s="45" t="n">
        <f aca="false">IF(AND($D314&lt;&gt;"",OR($B314="결제완료",$B314="상담중")),1,0)</f>
        <v>0</v>
      </c>
      <c r="AD314" s="45" t="n">
        <f aca="false">IF(OR($Z314="",$U314=""),0,IFERROR(IF(COUNTIFS(INDEX(g_grid,0,2*MATCH($M314,강사DB!$A$4:$A$15,0)),"&lt;&gt;",g_s,"&lt;="&amp;$U314,g_e,"&gt;="&amp;$U314)&gt;0,1,0),0))</f>
        <v>0</v>
      </c>
      <c r="AE314" s="48"/>
      <c r="AF314" s="56" t="str">
        <f aca="false">IF(AND($D314&lt;&gt;"",$B314="결제완료",$T314="대여"),설정!$J$5,"")</f>
        <v/>
      </c>
      <c r="AG314" s="54" t="str">
        <f aca="false">IF($D314="","",IF(AND($E314="",$R314=""),$AB314,"☎ "&amp;IF($E314="","-",$E314)&amp;IF($R314&lt;&gt;"","  ※ "&amp;$R314,"")&amp;IF($B314="상담중"," (상담)","")))</f>
        <v/>
      </c>
      <c r="AH314" s="56" t="str">
        <f aca="false">IF(AND($D314&lt;&gt;"",$B314="결제완료",$O314="스마트스토어"),ROUND(N($N314)*설정!$J$6,0),"")</f>
        <v/>
      </c>
      <c r="AI314" s="54" t="str">
        <f aca="false">IF($D314="","",ROW())</f>
        <v/>
      </c>
      <c r="AJ314" s="54" t="n">
        <f aca="false">IF(OR($AC314&lt;&gt;1,$M314=""),0,IF(ISNUMBER(SEARCH("퇴사",IFERROR(INDEX(강사DB!$G$4:$G$53,MATCH($M314,강사DB!$A$4:$A$53,0)),""))),1,0))</f>
        <v>0</v>
      </c>
    </row>
    <row r="315" customFormat="false" ht="15" hidden="false" customHeight="false" outlineLevel="0" collapsed="false">
      <c r="A315" s="45" t="str">
        <f aca="false">IF($D315="","",COUNTA($D$5:$D315))</f>
        <v/>
      </c>
      <c r="B315" s="46"/>
      <c r="C315" s="47"/>
      <c r="D315" s="48"/>
      <c r="E315" s="48"/>
      <c r="F315" s="49"/>
      <c r="G315" s="47"/>
      <c r="H315" s="50"/>
      <c r="I315" s="50"/>
      <c r="J315" s="51" t="str">
        <f aca="false">IF(OR($V315="",$W315=""),"",ROUND(($W315-$V315)/60,2))</f>
        <v/>
      </c>
      <c r="K315" s="52" t="str">
        <f aca="false">IF($F315="","",LEN($F315)-LEN(SUBSTITUTE($F315,",",""))+1)</f>
        <v/>
      </c>
      <c r="L315" s="45" t="str">
        <f aca="false">IF($K315="","","1:"&amp;$K315)</f>
        <v/>
      </c>
      <c r="M315" s="46"/>
      <c r="N315" s="53"/>
      <c r="O315" s="46"/>
      <c r="P315" s="47"/>
      <c r="Q315" s="48"/>
      <c r="R315" s="49"/>
      <c r="S315" s="54" t="str">
        <f aca="false">IF(OR($AC315=0,$U315="",$M315="",$V315="",$W315=""),"",IF(COUNTIFS(m_teacher,$M315,m_date,$U315,m_active,1,m_start,"&lt;"&amp;$W315,m_end,"&gt;"&amp;$V315)&gt;1,"충돌",""))</f>
        <v/>
      </c>
      <c r="T315" s="48"/>
      <c r="U315" s="55" t="str">
        <f aca="false">IF($G315="","",IFERROR(IF(ISNUMBER($G315),IF($G315&gt;19000000,DATE(INT($G315/10000),MOD(INT($G315/100),100),MOD($G315,100)),INT($G315)),IF(LEN(SUBSTITUTE(SUBSTITUTE(SUBSTITUTE(TRIM($G315),"-",""),".",""),"/",""))=8,DATE(VALUE(LEFT(SUBSTITUTE(SUBSTITUTE(SUBSTITUTE(TRIM($G315),"-",""),".",""),"/",""),4)),VALUE(MID(SUBSTITUTE(SUBSTITUTE(SUBSTITUTE(TRIM($G315),"-",""),".",""),"/",""),5,2)),VALUE(RIGHT(SUBSTITUTE(SUBSTITUTE(SUBSTITUTE(TRIM($G315),"-",""),".",""),"/",""),2))),DATEVALUE($G315))),""))</f>
        <v/>
      </c>
      <c r="V315" s="52" t="str">
        <f aca="false">IF($H315="","",IFERROR(IF(IF(ISNUMBER($H315),$H315,IFERROR(TIMEVALUE($H315),VALUE($H315)))&gt;=100,INT(IF(ISNUMBER($H315),$H315,IFERROR(TIMEVALUE($H315),VALUE($H315)))/100)*60+MOD(IF(ISNUMBER($H315),$H315,IFERROR(TIMEVALUE($H315),VALUE($H315))),100),IF(IF(ISNUMBER($H315),$H315,IFERROR(TIMEVALUE($H315),VALUE($H315)))&gt;=1,ROUND(IF(ISNUMBER($H315),$H315,IFERROR(TIMEVALUE($H315),VALUE($H315)))*60,0),ROUND(MOD(IF(ISNUMBER($H315),$H315,IFERROR(TIMEVALUE($H315),VALUE($H315))),1)*1440,0))),""))</f>
        <v/>
      </c>
      <c r="W315" s="52" t="str">
        <f aca="false">IF($I315="","",IFERROR(IF(IF(ISNUMBER($I315),$I315,IFERROR(TIMEVALUE($I315),VALUE($I315)))&gt;=100,INT(IF(ISNUMBER($I315),$I315,IFERROR(TIMEVALUE($I315),VALUE($I315)))/100)*60+MOD(IF(ISNUMBER($I315),$I315,IFERROR(TIMEVALUE($I315),VALUE($I315))),100),IF(IF(ISNUMBER($I315),$I315,IFERROR(TIMEVALUE($I315),VALUE($I315)))&gt;=1,ROUND(IF(ISNUMBER($I315),$I315,IFERROR(TIMEVALUE($I315),VALUE($I315)))*60,0),ROUND(MOD(IF(ISNUMBER($I315),$I315,IFERROR(TIMEVALUE($I315),VALUE($I315))),1)*1440,0))),""))</f>
        <v/>
      </c>
      <c r="X315" s="55" t="str">
        <f aca="false">IF($P315="","",IFERROR(IF(ISNUMBER($P315),IF($P315&gt;19000000,DATE(INT($P315/10000),MOD(INT($P315/100),100),MOD($P315,100)),INT($P315)),IF(LEN(SUBSTITUTE(SUBSTITUTE(SUBSTITUTE(TRIM($P315),"-",""),".",""),"/",""))=8,DATE(VALUE(LEFT(SUBSTITUTE(SUBSTITUTE(SUBSTITUTE(TRIM($P315),"-",""),".",""),"/",""),4)),VALUE(MID(SUBSTITUTE(SUBSTITUTE(SUBSTITUTE(TRIM($P315),"-",""),".",""),"/",""),5,2)),VALUE(RIGHT(SUBSTITUTE(SUBSTITUTE(SUBSTITUTE(TRIM($P315),"-",""),".",""),"/",""),2))),DATEVALUE($P315))),""))</f>
        <v/>
      </c>
      <c r="Y315" s="56" t="str">
        <f aca="false">IF($M315="","",IFERROR(INDEX(강사DB!$D$4:$D$53,MATCH($M315,강사DB!$A$4:$A$53,0)),""))</f>
        <v/>
      </c>
      <c r="Z315" s="56" t="str">
        <f aca="false">IF($B315&lt;&gt;"결제완료","",IF(OR($Y315="",$J315=""),"",$Y315*$J315+MAX(0,N($K315)-1)*설정!$J$7))</f>
        <v/>
      </c>
      <c r="AA315" s="56" t="str">
        <f aca="false">IF(AND($D315&lt;&gt;"",$B315="결제완료"),N($N315),"")</f>
        <v/>
      </c>
      <c r="AB315" s="45" t="str">
        <f aca="false">IF($D315="","",IF($F315&lt;&gt;"",$F315,$D315)&amp;IF($B315="상담중"," (상담)",""))</f>
        <v/>
      </c>
      <c r="AC315" s="45" t="n">
        <f aca="false">IF(AND($D315&lt;&gt;"",OR($B315="결제완료",$B315="상담중")),1,0)</f>
        <v>0</v>
      </c>
      <c r="AD315" s="45" t="n">
        <f aca="false">IF(OR($Z315="",$U315=""),0,IFERROR(IF(COUNTIFS(INDEX(g_grid,0,2*MATCH($M315,강사DB!$A$4:$A$15,0)),"&lt;&gt;",g_s,"&lt;="&amp;$U315,g_e,"&gt;="&amp;$U315)&gt;0,1,0),0))</f>
        <v>0</v>
      </c>
      <c r="AE315" s="48"/>
      <c r="AF315" s="56" t="str">
        <f aca="false">IF(AND($D315&lt;&gt;"",$B315="결제완료",$T315="대여"),설정!$J$5,"")</f>
        <v/>
      </c>
      <c r="AG315" s="54" t="str">
        <f aca="false">IF($D315="","",IF(AND($E315="",$R315=""),$AB315,"☎ "&amp;IF($E315="","-",$E315)&amp;IF($R315&lt;&gt;"","  ※ "&amp;$R315,"")&amp;IF($B315="상담중"," (상담)","")))</f>
        <v/>
      </c>
      <c r="AH315" s="56" t="str">
        <f aca="false">IF(AND($D315&lt;&gt;"",$B315="결제완료",$O315="스마트스토어"),ROUND(N($N315)*설정!$J$6,0),"")</f>
        <v/>
      </c>
      <c r="AI315" s="54" t="str">
        <f aca="false">IF($D315="","",ROW())</f>
        <v/>
      </c>
      <c r="AJ315" s="54" t="n">
        <f aca="false">IF(OR($AC315&lt;&gt;1,$M315=""),0,IF(ISNUMBER(SEARCH("퇴사",IFERROR(INDEX(강사DB!$G$4:$G$53,MATCH($M315,강사DB!$A$4:$A$53,0)),""))),1,0))</f>
        <v>0</v>
      </c>
    </row>
    <row r="316" customFormat="false" ht="15" hidden="false" customHeight="false" outlineLevel="0" collapsed="false">
      <c r="A316" s="45" t="str">
        <f aca="false">IF($D316="","",COUNTA($D$5:$D316))</f>
        <v/>
      </c>
      <c r="B316" s="46"/>
      <c r="C316" s="47"/>
      <c r="D316" s="48"/>
      <c r="E316" s="48"/>
      <c r="F316" s="49"/>
      <c r="G316" s="47"/>
      <c r="H316" s="50"/>
      <c r="I316" s="50"/>
      <c r="J316" s="51" t="str">
        <f aca="false">IF(OR($V316="",$W316=""),"",ROUND(($W316-$V316)/60,2))</f>
        <v/>
      </c>
      <c r="K316" s="52" t="str">
        <f aca="false">IF($F316="","",LEN($F316)-LEN(SUBSTITUTE($F316,",",""))+1)</f>
        <v/>
      </c>
      <c r="L316" s="45" t="str">
        <f aca="false">IF($K316="","","1:"&amp;$K316)</f>
        <v/>
      </c>
      <c r="M316" s="46"/>
      <c r="N316" s="53"/>
      <c r="O316" s="46"/>
      <c r="P316" s="47"/>
      <c r="Q316" s="48"/>
      <c r="R316" s="49"/>
      <c r="S316" s="54" t="str">
        <f aca="false">IF(OR($AC316=0,$U316="",$M316="",$V316="",$W316=""),"",IF(COUNTIFS(m_teacher,$M316,m_date,$U316,m_active,1,m_start,"&lt;"&amp;$W316,m_end,"&gt;"&amp;$V316)&gt;1,"충돌",""))</f>
        <v/>
      </c>
      <c r="T316" s="48"/>
      <c r="U316" s="55" t="str">
        <f aca="false">IF($G316="","",IFERROR(IF(ISNUMBER($G316),IF($G316&gt;19000000,DATE(INT($G316/10000),MOD(INT($G316/100),100),MOD($G316,100)),INT($G316)),IF(LEN(SUBSTITUTE(SUBSTITUTE(SUBSTITUTE(TRIM($G316),"-",""),".",""),"/",""))=8,DATE(VALUE(LEFT(SUBSTITUTE(SUBSTITUTE(SUBSTITUTE(TRIM($G316),"-",""),".",""),"/",""),4)),VALUE(MID(SUBSTITUTE(SUBSTITUTE(SUBSTITUTE(TRIM($G316),"-",""),".",""),"/",""),5,2)),VALUE(RIGHT(SUBSTITUTE(SUBSTITUTE(SUBSTITUTE(TRIM($G316),"-",""),".",""),"/",""),2))),DATEVALUE($G316))),""))</f>
        <v/>
      </c>
      <c r="V316" s="52" t="str">
        <f aca="false">IF($H316="","",IFERROR(IF(IF(ISNUMBER($H316),$H316,IFERROR(TIMEVALUE($H316),VALUE($H316)))&gt;=100,INT(IF(ISNUMBER($H316),$H316,IFERROR(TIMEVALUE($H316),VALUE($H316)))/100)*60+MOD(IF(ISNUMBER($H316),$H316,IFERROR(TIMEVALUE($H316),VALUE($H316))),100),IF(IF(ISNUMBER($H316),$H316,IFERROR(TIMEVALUE($H316),VALUE($H316)))&gt;=1,ROUND(IF(ISNUMBER($H316),$H316,IFERROR(TIMEVALUE($H316),VALUE($H316)))*60,0),ROUND(MOD(IF(ISNUMBER($H316),$H316,IFERROR(TIMEVALUE($H316),VALUE($H316))),1)*1440,0))),""))</f>
        <v/>
      </c>
      <c r="W316" s="52" t="str">
        <f aca="false">IF($I316="","",IFERROR(IF(IF(ISNUMBER($I316),$I316,IFERROR(TIMEVALUE($I316),VALUE($I316)))&gt;=100,INT(IF(ISNUMBER($I316),$I316,IFERROR(TIMEVALUE($I316),VALUE($I316)))/100)*60+MOD(IF(ISNUMBER($I316),$I316,IFERROR(TIMEVALUE($I316),VALUE($I316))),100),IF(IF(ISNUMBER($I316),$I316,IFERROR(TIMEVALUE($I316),VALUE($I316)))&gt;=1,ROUND(IF(ISNUMBER($I316),$I316,IFERROR(TIMEVALUE($I316),VALUE($I316)))*60,0),ROUND(MOD(IF(ISNUMBER($I316),$I316,IFERROR(TIMEVALUE($I316),VALUE($I316))),1)*1440,0))),""))</f>
        <v/>
      </c>
      <c r="X316" s="55" t="str">
        <f aca="false">IF($P316="","",IFERROR(IF(ISNUMBER($P316),IF($P316&gt;19000000,DATE(INT($P316/10000),MOD(INT($P316/100),100),MOD($P316,100)),INT($P316)),IF(LEN(SUBSTITUTE(SUBSTITUTE(SUBSTITUTE(TRIM($P316),"-",""),".",""),"/",""))=8,DATE(VALUE(LEFT(SUBSTITUTE(SUBSTITUTE(SUBSTITUTE(TRIM($P316),"-",""),".",""),"/",""),4)),VALUE(MID(SUBSTITUTE(SUBSTITUTE(SUBSTITUTE(TRIM($P316),"-",""),".",""),"/",""),5,2)),VALUE(RIGHT(SUBSTITUTE(SUBSTITUTE(SUBSTITUTE(TRIM($P316),"-",""),".",""),"/",""),2))),DATEVALUE($P316))),""))</f>
        <v/>
      </c>
      <c r="Y316" s="56" t="str">
        <f aca="false">IF($M316="","",IFERROR(INDEX(강사DB!$D$4:$D$53,MATCH($M316,강사DB!$A$4:$A$53,0)),""))</f>
        <v/>
      </c>
      <c r="Z316" s="56" t="str">
        <f aca="false">IF($B316&lt;&gt;"결제완료","",IF(OR($Y316="",$J316=""),"",$Y316*$J316+MAX(0,N($K316)-1)*설정!$J$7))</f>
        <v/>
      </c>
      <c r="AA316" s="56" t="str">
        <f aca="false">IF(AND($D316&lt;&gt;"",$B316="결제완료"),N($N316),"")</f>
        <v/>
      </c>
      <c r="AB316" s="45" t="str">
        <f aca="false">IF($D316="","",IF($F316&lt;&gt;"",$F316,$D316)&amp;IF($B316="상담중"," (상담)",""))</f>
        <v/>
      </c>
      <c r="AC316" s="45" t="n">
        <f aca="false">IF(AND($D316&lt;&gt;"",OR($B316="결제완료",$B316="상담중")),1,0)</f>
        <v>0</v>
      </c>
      <c r="AD316" s="45" t="n">
        <f aca="false">IF(OR($Z316="",$U316=""),0,IFERROR(IF(COUNTIFS(INDEX(g_grid,0,2*MATCH($M316,강사DB!$A$4:$A$15,0)),"&lt;&gt;",g_s,"&lt;="&amp;$U316,g_e,"&gt;="&amp;$U316)&gt;0,1,0),0))</f>
        <v>0</v>
      </c>
      <c r="AE316" s="48"/>
      <c r="AF316" s="56" t="str">
        <f aca="false">IF(AND($D316&lt;&gt;"",$B316="결제완료",$T316="대여"),설정!$J$5,"")</f>
        <v/>
      </c>
      <c r="AG316" s="54" t="str">
        <f aca="false">IF($D316="","",IF(AND($E316="",$R316=""),$AB316,"☎ "&amp;IF($E316="","-",$E316)&amp;IF($R316&lt;&gt;"","  ※ "&amp;$R316,"")&amp;IF($B316="상담중"," (상담)","")))</f>
        <v/>
      </c>
      <c r="AH316" s="56" t="str">
        <f aca="false">IF(AND($D316&lt;&gt;"",$B316="결제완료",$O316="스마트스토어"),ROUND(N($N316)*설정!$J$6,0),"")</f>
        <v/>
      </c>
      <c r="AI316" s="54" t="str">
        <f aca="false">IF($D316="","",ROW())</f>
        <v/>
      </c>
      <c r="AJ316" s="54" t="n">
        <f aca="false">IF(OR($AC316&lt;&gt;1,$M316=""),0,IF(ISNUMBER(SEARCH("퇴사",IFERROR(INDEX(강사DB!$G$4:$G$53,MATCH($M316,강사DB!$A$4:$A$53,0)),""))),1,0))</f>
        <v>0</v>
      </c>
    </row>
    <row r="317" customFormat="false" ht="15" hidden="false" customHeight="false" outlineLevel="0" collapsed="false">
      <c r="A317" s="45" t="str">
        <f aca="false">IF($D317="","",COUNTA($D$5:$D317))</f>
        <v/>
      </c>
      <c r="B317" s="46"/>
      <c r="C317" s="47"/>
      <c r="D317" s="48"/>
      <c r="E317" s="48"/>
      <c r="F317" s="49"/>
      <c r="G317" s="47"/>
      <c r="H317" s="50"/>
      <c r="I317" s="50"/>
      <c r="J317" s="51" t="str">
        <f aca="false">IF(OR($V317="",$W317=""),"",ROUND(($W317-$V317)/60,2))</f>
        <v/>
      </c>
      <c r="K317" s="52" t="str">
        <f aca="false">IF($F317="","",LEN($F317)-LEN(SUBSTITUTE($F317,",",""))+1)</f>
        <v/>
      </c>
      <c r="L317" s="45" t="str">
        <f aca="false">IF($K317="","","1:"&amp;$K317)</f>
        <v/>
      </c>
      <c r="M317" s="46"/>
      <c r="N317" s="53"/>
      <c r="O317" s="46"/>
      <c r="P317" s="47"/>
      <c r="Q317" s="48"/>
      <c r="R317" s="49"/>
      <c r="S317" s="54" t="str">
        <f aca="false">IF(OR($AC317=0,$U317="",$M317="",$V317="",$W317=""),"",IF(COUNTIFS(m_teacher,$M317,m_date,$U317,m_active,1,m_start,"&lt;"&amp;$W317,m_end,"&gt;"&amp;$V317)&gt;1,"충돌",""))</f>
        <v/>
      </c>
      <c r="T317" s="48"/>
      <c r="U317" s="55" t="str">
        <f aca="false">IF($G317="","",IFERROR(IF(ISNUMBER($G317),IF($G317&gt;19000000,DATE(INT($G317/10000),MOD(INT($G317/100),100),MOD($G317,100)),INT($G317)),IF(LEN(SUBSTITUTE(SUBSTITUTE(SUBSTITUTE(TRIM($G317),"-",""),".",""),"/",""))=8,DATE(VALUE(LEFT(SUBSTITUTE(SUBSTITUTE(SUBSTITUTE(TRIM($G317),"-",""),".",""),"/",""),4)),VALUE(MID(SUBSTITUTE(SUBSTITUTE(SUBSTITUTE(TRIM($G317),"-",""),".",""),"/",""),5,2)),VALUE(RIGHT(SUBSTITUTE(SUBSTITUTE(SUBSTITUTE(TRIM($G317),"-",""),".",""),"/",""),2))),DATEVALUE($G317))),""))</f>
        <v/>
      </c>
      <c r="V317" s="52" t="str">
        <f aca="false">IF($H317="","",IFERROR(IF(IF(ISNUMBER($H317),$H317,IFERROR(TIMEVALUE($H317),VALUE($H317)))&gt;=100,INT(IF(ISNUMBER($H317),$H317,IFERROR(TIMEVALUE($H317),VALUE($H317)))/100)*60+MOD(IF(ISNUMBER($H317),$H317,IFERROR(TIMEVALUE($H317),VALUE($H317))),100),IF(IF(ISNUMBER($H317),$H317,IFERROR(TIMEVALUE($H317),VALUE($H317)))&gt;=1,ROUND(IF(ISNUMBER($H317),$H317,IFERROR(TIMEVALUE($H317),VALUE($H317)))*60,0),ROUND(MOD(IF(ISNUMBER($H317),$H317,IFERROR(TIMEVALUE($H317),VALUE($H317))),1)*1440,0))),""))</f>
        <v/>
      </c>
      <c r="W317" s="52" t="str">
        <f aca="false">IF($I317="","",IFERROR(IF(IF(ISNUMBER($I317),$I317,IFERROR(TIMEVALUE($I317),VALUE($I317)))&gt;=100,INT(IF(ISNUMBER($I317),$I317,IFERROR(TIMEVALUE($I317),VALUE($I317)))/100)*60+MOD(IF(ISNUMBER($I317),$I317,IFERROR(TIMEVALUE($I317),VALUE($I317))),100),IF(IF(ISNUMBER($I317),$I317,IFERROR(TIMEVALUE($I317),VALUE($I317)))&gt;=1,ROUND(IF(ISNUMBER($I317),$I317,IFERROR(TIMEVALUE($I317),VALUE($I317)))*60,0),ROUND(MOD(IF(ISNUMBER($I317),$I317,IFERROR(TIMEVALUE($I317),VALUE($I317))),1)*1440,0))),""))</f>
        <v/>
      </c>
      <c r="X317" s="55" t="str">
        <f aca="false">IF($P317="","",IFERROR(IF(ISNUMBER($P317),IF($P317&gt;19000000,DATE(INT($P317/10000),MOD(INT($P317/100),100),MOD($P317,100)),INT($P317)),IF(LEN(SUBSTITUTE(SUBSTITUTE(SUBSTITUTE(TRIM($P317),"-",""),".",""),"/",""))=8,DATE(VALUE(LEFT(SUBSTITUTE(SUBSTITUTE(SUBSTITUTE(TRIM($P317),"-",""),".",""),"/",""),4)),VALUE(MID(SUBSTITUTE(SUBSTITUTE(SUBSTITUTE(TRIM($P317),"-",""),".",""),"/",""),5,2)),VALUE(RIGHT(SUBSTITUTE(SUBSTITUTE(SUBSTITUTE(TRIM($P317),"-",""),".",""),"/",""),2))),DATEVALUE($P317))),""))</f>
        <v/>
      </c>
      <c r="Y317" s="56" t="str">
        <f aca="false">IF($M317="","",IFERROR(INDEX(강사DB!$D$4:$D$53,MATCH($M317,강사DB!$A$4:$A$53,0)),""))</f>
        <v/>
      </c>
      <c r="Z317" s="56" t="str">
        <f aca="false">IF($B317&lt;&gt;"결제완료","",IF(OR($Y317="",$J317=""),"",$Y317*$J317+MAX(0,N($K317)-1)*설정!$J$7))</f>
        <v/>
      </c>
      <c r="AA317" s="56" t="str">
        <f aca="false">IF(AND($D317&lt;&gt;"",$B317="결제완료"),N($N317),"")</f>
        <v/>
      </c>
      <c r="AB317" s="45" t="str">
        <f aca="false">IF($D317="","",IF($F317&lt;&gt;"",$F317,$D317)&amp;IF($B317="상담중"," (상담)",""))</f>
        <v/>
      </c>
      <c r="AC317" s="45" t="n">
        <f aca="false">IF(AND($D317&lt;&gt;"",OR($B317="결제완료",$B317="상담중")),1,0)</f>
        <v>0</v>
      </c>
      <c r="AD317" s="45" t="n">
        <f aca="false">IF(OR($Z317="",$U317=""),0,IFERROR(IF(COUNTIFS(INDEX(g_grid,0,2*MATCH($M317,강사DB!$A$4:$A$15,0)),"&lt;&gt;",g_s,"&lt;="&amp;$U317,g_e,"&gt;="&amp;$U317)&gt;0,1,0),0))</f>
        <v>0</v>
      </c>
      <c r="AE317" s="48"/>
      <c r="AF317" s="56" t="str">
        <f aca="false">IF(AND($D317&lt;&gt;"",$B317="결제완료",$T317="대여"),설정!$J$5,"")</f>
        <v/>
      </c>
      <c r="AG317" s="54" t="str">
        <f aca="false">IF($D317="","",IF(AND($E317="",$R317=""),$AB317,"☎ "&amp;IF($E317="","-",$E317)&amp;IF($R317&lt;&gt;"","  ※ "&amp;$R317,"")&amp;IF($B317="상담중"," (상담)","")))</f>
        <v/>
      </c>
      <c r="AH317" s="56" t="str">
        <f aca="false">IF(AND($D317&lt;&gt;"",$B317="결제완료",$O317="스마트스토어"),ROUND(N($N317)*설정!$J$6,0),"")</f>
        <v/>
      </c>
      <c r="AI317" s="54" t="str">
        <f aca="false">IF($D317="","",ROW())</f>
        <v/>
      </c>
      <c r="AJ317" s="54" t="n">
        <f aca="false">IF(OR($AC317&lt;&gt;1,$M317=""),0,IF(ISNUMBER(SEARCH("퇴사",IFERROR(INDEX(강사DB!$G$4:$G$53,MATCH($M317,강사DB!$A$4:$A$53,0)),""))),1,0))</f>
        <v>0</v>
      </c>
    </row>
    <row r="318" customFormat="false" ht="15" hidden="false" customHeight="false" outlineLevel="0" collapsed="false">
      <c r="A318" s="45" t="str">
        <f aca="false">IF($D318="","",COUNTA($D$5:$D318))</f>
        <v/>
      </c>
      <c r="B318" s="46"/>
      <c r="C318" s="47"/>
      <c r="D318" s="48"/>
      <c r="E318" s="48"/>
      <c r="F318" s="49"/>
      <c r="G318" s="47"/>
      <c r="H318" s="50"/>
      <c r="I318" s="50"/>
      <c r="J318" s="51" t="str">
        <f aca="false">IF(OR($V318="",$W318=""),"",ROUND(($W318-$V318)/60,2))</f>
        <v/>
      </c>
      <c r="K318" s="52" t="str">
        <f aca="false">IF($F318="","",LEN($F318)-LEN(SUBSTITUTE($F318,",",""))+1)</f>
        <v/>
      </c>
      <c r="L318" s="45" t="str">
        <f aca="false">IF($K318="","","1:"&amp;$K318)</f>
        <v/>
      </c>
      <c r="M318" s="46"/>
      <c r="N318" s="53"/>
      <c r="O318" s="46"/>
      <c r="P318" s="47"/>
      <c r="Q318" s="48"/>
      <c r="R318" s="49"/>
      <c r="S318" s="54" t="str">
        <f aca="false">IF(OR($AC318=0,$U318="",$M318="",$V318="",$W318=""),"",IF(COUNTIFS(m_teacher,$M318,m_date,$U318,m_active,1,m_start,"&lt;"&amp;$W318,m_end,"&gt;"&amp;$V318)&gt;1,"충돌",""))</f>
        <v/>
      </c>
      <c r="T318" s="48"/>
      <c r="U318" s="55" t="str">
        <f aca="false">IF($G318="","",IFERROR(IF(ISNUMBER($G318),IF($G318&gt;19000000,DATE(INT($G318/10000),MOD(INT($G318/100),100),MOD($G318,100)),INT($G318)),IF(LEN(SUBSTITUTE(SUBSTITUTE(SUBSTITUTE(TRIM($G318),"-",""),".",""),"/",""))=8,DATE(VALUE(LEFT(SUBSTITUTE(SUBSTITUTE(SUBSTITUTE(TRIM($G318),"-",""),".",""),"/",""),4)),VALUE(MID(SUBSTITUTE(SUBSTITUTE(SUBSTITUTE(TRIM($G318),"-",""),".",""),"/",""),5,2)),VALUE(RIGHT(SUBSTITUTE(SUBSTITUTE(SUBSTITUTE(TRIM($G318),"-",""),".",""),"/",""),2))),DATEVALUE($G318))),""))</f>
        <v/>
      </c>
      <c r="V318" s="52" t="str">
        <f aca="false">IF($H318="","",IFERROR(IF(IF(ISNUMBER($H318),$H318,IFERROR(TIMEVALUE($H318),VALUE($H318)))&gt;=100,INT(IF(ISNUMBER($H318),$H318,IFERROR(TIMEVALUE($H318),VALUE($H318)))/100)*60+MOD(IF(ISNUMBER($H318),$H318,IFERROR(TIMEVALUE($H318),VALUE($H318))),100),IF(IF(ISNUMBER($H318),$H318,IFERROR(TIMEVALUE($H318),VALUE($H318)))&gt;=1,ROUND(IF(ISNUMBER($H318),$H318,IFERROR(TIMEVALUE($H318),VALUE($H318)))*60,0),ROUND(MOD(IF(ISNUMBER($H318),$H318,IFERROR(TIMEVALUE($H318),VALUE($H318))),1)*1440,0))),""))</f>
        <v/>
      </c>
      <c r="W318" s="52" t="str">
        <f aca="false">IF($I318="","",IFERROR(IF(IF(ISNUMBER($I318),$I318,IFERROR(TIMEVALUE($I318),VALUE($I318)))&gt;=100,INT(IF(ISNUMBER($I318),$I318,IFERROR(TIMEVALUE($I318),VALUE($I318)))/100)*60+MOD(IF(ISNUMBER($I318),$I318,IFERROR(TIMEVALUE($I318),VALUE($I318))),100),IF(IF(ISNUMBER($I318),$I318,IFERROR(TIMEVALUE($I318),VALUE($I318)))&gt;=1,ROUND(IF(ISNUMBER($I318),$I318,IFERROR(TIMEVALUE($I318),VALUE($I318)))*60,0),ROUND(MOD(IF(ISNUMBER($I318),$I318,IFERROR(TIMEVALUE($I318),VALUE($I318))),1)*1440,0))),""))</f>
        <v/>
      </c>
      <c r="X318" s="55" t="str">
        <f aca="false">IF($P318="","",IFERROR(IF(ISNUMBER($P318),IF($P318&gt;19000000,DATE(INT($P318/10000),MOD(INT($P318/100),100),MOD($P318,100)),INT($P318)),IF(LEN(SUBSTITUTE(SUBSTITUTE(SUBSTITUTE(TRIM($P318),"-",""),".",""),"/",""))=8,DATE(VALUE(LEFT(SUBSTITUTE(SUBSTITUTE(SUBSTITUTE(TRIM($P318),"-",""),".",""),"/",""),4)),VALUE(MID(SUBSTITUTE(SUBSTITUTE(SUBSTITUTE(TRIM($P318),"-",""),".",""),"/",""),5,2)),VALUE(RIGHT(SUBSTITUTE(SUBSTITUTE(SUBSTITUTE(TRIM($P318),"-",""),".",""),"/",""),2))),DATEVALUE($P318))),""))</f>
        <v/>
      </c>
      <c r="Y318" s="56" t="str">
        <f aca="false">IF($M318="","",IFERROR(INDEX(강사DB!$D$4:$D$53,MATCH($M318,강사DB!$A$4:$A$53,0)),""))</f>
        <v/>
      </c>
      <c r="Z318" s="56" t="str">
        <f aca="false">IF($B318&lt;&gt;"결제완료","",IF(OR($Y318="",$J318=""),"",$Y318*$J318+MAX(0,N($K318)-1)*설정!$J$7))</f>
        <v/>
      </c>
      <c r="AA318" s="56" t="str">
        <f aca="false">IF(AND($D318&lt;&gt;"",$B318="결제완료"),N($N318),"")</f>
        <v/>
      </c>
      <c r="AB318" s="45" t="str">
        <f aca="false">IF($D318="","",IF($F318&lt;&gt;"",$F318,$D318)&amp;IF($B318="상담중"," (상담)",""))</f>
        <v/>
      </c>
      <c r="AC318" s="45" t="n">
        <f aca="false">IF(AND($D318&lt;&gt;"",OR($B318="결제완료",$B318="상담중")),1,0)</f>
        <v>0</v>
      </c>
      <c r="AD318" s="45" t="n">
        <f aca="false">IF(OR($Z318="",$U318=""),0,IFERROR(IF(COUNTIFS(INDEX(g_grid,0,2*MATCH($M318,강사DB!$A$4:$A$15,0)),"&lt;&gt;",g_s,"&lt;="&amp;$U318,g_e,"&gt;="&amp;$U318)&gt;0,1,0),0))</f>
        <v>0</v>
      </c>
      <c r="AE318" s="48"/>
      <c r="AF318" s="56" t="str">
        <f aca="false">IF(AND($D318&lt;&gt;"",$B318="결제완료",$T318="대여"),설정!$J$5,"")</f>
        <v/>
      </c>
      <c r="AG318" s="54" t="str">
        <f aca="false">IF($D318="","",IF(AND($E318="",$R318=""),$AB318,"☎ "&amp;IF($E318="","-",$E318)&amp;IF($R318&lt;&gt;"","  ※ "&amp;$R318,"")&amp;IF($B318="상담중"," (상담)","")))</f>
        <v/>
      </c>
      <c r="AH318" s="56" t="str">
        <f aca="false">IF(AND($D318&lt;&gt;"",$B318="결제완료",$O318="스마트스토어"),ROUND(N($N318)*설정!$J$6,0),"")</f>
        <v/>
      </c>
      <c r="AI318" s="54" t="str">
        <f aca="false">IF($D318="","",ROW())</f>
        <v/>
      </c>
      <c r="AJ318" s="54" t="n">
        <f aca="false">IF(OR($AC318&lt;&gt;1,$M318=""),0,IF(ISNUMBER(SEARCH("퇴사",IFERROR(INDEX(강사DB!$G$4:$G$53,MATCH($M318,강사DB!$A$4:$A$53,0)),""))),1,0))</f>
        <v>0</v>
      </c>
    </row>
    <row r="319" customFormat="false" ht="15" hidden="false" customHeight="false" outlineLevel="0" collapsed="false">
      <c r="A319" s="45" t="str">
        <f aca="false">IF($D319="","",COUNTA($D$5:$D319))</f>
        <v/>
      </c>
      <c r="B319" s="46"/>
      <c r="C319" s="47"/>
      <c r="D319" s="48"/>
      <c r="E319" s="48"/>
      <c r="F319" s="49"/>
      <c r="G319" s="47"/>
      <c r="H319" s="50"/>
      <c r="I319" s="50"/>
      <c r="J319" s="51" t="str">
        <f aca="false">IF(OR($V319="",$W319=""),"",ROUND(($W319-$V319)/60,2))</f>
        <v/>
      </c>
      <c r="K319" s="52" t="str">
        <f aca="false">IF($F319="","",LEN($F319)-LEN(SUBSTITUTE($F319,",",""))+1)</f>
        <v/>
      </c>
      <c r="L319" s="45" t="str">
        <f aca="false">IF($K319="","","1:"&amp;$K319)</f>
        <v/>
      </c>
      <c r="M319" s="46"/>
      <c r="N319" s="53"/>
      <c r="O319" s="46"/>
      <c r="P319" s="47"/>
      <c r="Q319" s="48"/>
      <c r="R319" s="49"/>
      <c r="S319" s="54" t="str">
        <f aca="false">IF(OR($AC319=0,$U319="",$M319="",$V319="",$W319=""),"",IF(COUNTIFS(m_teacher,$M319,m_date,$U319,m_active,1,m_start,"&lt;"&amp;$W319,m_end,"&gt;"&amp;$V319)&gt;1,"충돌",""))</f>
        <v/>
      </c>
      <c r="T319" s="48"/>
      <c r="U319" s="55" t="str">
        <f aca="false">IF($G319="","",IFERROR(IF(ISNUMBER($G319),IF($G319&gt;19000000,DATE(INT($G319/10000),MOD(INT($G319/100),100),MOD($G319,100)),INT($G319)),IF(LEN(SUBSTITUTE(SUBSTITUTE(SUBSTITUTE(TRIM($G319),"-",""),".",""),"/",""))=8,DATE(VALUE(LEFT(SUBSTITUTE(SUBSTITUTE(SUBSTITUTE(TRIM($G319),"-",""),".",""),"/",""),4)),VALUE(MID(SUBSTITUTE(SUBSTITUTE(SUBSTITUTE(TRIM($G319),"-",""),".",""),"/",""),5,2)),VALUE(RIGHT(SUBSTITUTE(SUBSTITUTE(SUBSTITUTE(TRIM($G319),"-",""),".",""),"/",""),2))),DATEVALUE($G319))),""))</f>
        <v/>
      </c>
      <c r="V319" s="52" t="str">
        <f aca="false">IF($H319="","",IFERROR(IF(IF(ISNUMBER($H319),$H319,IFERROR(TIMEVALUE($H319),VALUE($H319)))&gt;=100,INT(IF(ISNUMBER($H319),$H319,IFERROR(TIMEVALUE($H319),VALUE($H319)))/100)*60+MOD(IF(ISNUMBER($H319),$H319,IFERROR(TIMEVALUE($H319),VALUE($H319))),100),IF(IF(ISNUMBER($H319),$H319,IFERROR(TIMEVALUE($H319),VALUE($H319)))&gt;=1,ROUND(IF(ISNUMBER($H319),$H319,IFERROR(TIMEVALUE($H319),VALUE($H319)))*60,0),ROUND(MOD(IF(ISNUMBER($H319),$H319,IFERROR(TIMEVALUE($H319),VALUE($H319))),1)*1440,0))),""))</f>
        <v/>
      </c>
      <c r="W319" s="52" t="str">
        <f aca="false">IF($I319="","",IFERROR(IF(IF(ISNUMBER($I319),$I319,IFERROR(TIMEVALUE($I319),VALUE($I319)))&gt;=100,INT(IF(ISNUMBER($I319),$I319,IFERROR(TIMEVALUE($I319),VALUE($I319)))/100)*60+MOD(IF(ISNUMBER($I319),$I319,IFERROR(TIMEVALUE($I319),VALUE($I319))),100),IF(IF(ISNUMBER($I319),$I319,IFERROR(TIMEVALUE($I319),VALUE($I319)))&gt;=1,ROUND(IF(ISNUMBER($I319),$I319,IFERROR(TIMEVALUE($I319),VALUE($I319)))*60,0),ROUND(MOD(IF(ISNUMBER($I319),$I319,IFERROR(TIMEVALUE($I319),VALUE($I319))),1)*1440,0))),""))</f>
        <v/>
      </c>
      <c r="X319" s="55" t="str">
        <f aca="false">IF($P319="","",IFERROR(IF(ISNUMBER($P319),IF($P319&gt;19000000,DATE(INT($P319/10000),MOD(INT($P319/100),100),MOD($P319,100)),INT($P319)),IF(LEN(SUBSTITUTE(SUBSTITUTE(SUBSTITUTE(TRIM($P319),"-",""),".",""),"/",""))=8,DATE(VALUE(LEFT(SUBSTITUTE(SUBSTITUTE(SUBSTITUTE(TRIM($P319),"-",""),".",""),"/",""),4)),VALUE(MID(SUBSTITUTE(SUBSTITUTE(SUBSTITUTE(TRIM($P319),"-",""),".",""),"/",""),5,2)),VALUE(RIGHT(SUBSTITUTE(SUBSTITUTE(SUBSTITUTE(TRIM($P319),"-",""),".",""),"/",""),2))),DATEVALUE($P319))),""))</f>
        <v/>
      </c>
      <c r="Y319" s="56" t="str">
        <f aca="false">IF($M319="","",IFERROR(INDEX(강사DB!$D$4:$D$53,MATCH($M319,강사DB!$A$4:$A$53,0)),""))</f>
        <v/>
      </c>
      <c r="Z319" s="56" t="str">
        <f aca="false">IF($B319&lt;&gt;"결제완료","",IF(OR($Y319="",$J319=""),"",$Y319*$J319+MAX(0,N($K319)-1)*설정!$J$7))</f>
        <v/>
      </c>
      <c r="AA319" s="56" t="str">
        <f aca="false">IF(AND($D319&lt;&gt;"",$B319="결제완료"),N($N319),"")</f>
        <v/>
      </c>
      <c r="AB319" s="45" t="str">
        <f aca="false">IF($D319="","",IF($F319&lt;&gt;"",$F319,$D319)&amp;IF($B319="상담중"," (상담)",""))</f>
        <v/>
      </c>
      <c r="AC319" s="45" t="n">
        <f aca="false">IF(AND($D319&lt;&gt;"",OR($B319="결제완료",$B319="상담중")),1,0)</f>
        <v>0</v>
      </c>
      <c r="AD319" s="45" t="n">
        <f aca="false">IF(OR($Z319="",$U319=""),0,IFERROR(IF(COUNTIFS(INDEX(g_grid,0,2*MATCH($M319,강사DB!$A$4:$A$15,0)),"&lt;&gt;",g_s,"&lt;="&amp;$U319,g_e,"&gt;="&amp;$U319)&gt;0,1,0),0))</f>
        <v>0</v>
      </c>
      <c r="AE319" s="48"/>
      <c r="AF319" s="56" t="str">
        <f aca="false">IF(AND($D319&lt;&gt;"",$B319="결제완료",$T319="대여"),설정!$J$5,"")</f>
        <v/>
      </c>
      <c r="AG319" s="54" t="str">
        <f aca="false">IF($D319="","",IF(AND($E319="",$R319=""),$AB319,"☎ "&amp;IF($E319="","-",$E319)&amp;IF($R319&lt;&gt;"","  ※ "&amp;$R319,"")&amp;IF($B319="상담중"," (상담)","")))</f>
        <v/>
      </c>
      <c r="AH319" s="56" t="str">
        <f aca="false">IF(AND($D319&lt;&gt;"",$B319="결제완료",$O319="스마트스토어"),ROUND(N($N319)*설정!$J$6,0),"")</f>
        <v/>
      </c>
      <c r="AI319" s="54" t="str">
        <f aca="false">IF($D319="","",ROW())</f>
        <v/>
      </c>
      <c r="AJ319" s="54" t="n">
        <f aca="false">IF(OR($AC319&lt;&gt;1,$M319=""),0,IF(ISNUMBER(SEARCH("퇴사",IFERROR(INDEX(강사DB!$G$4:$G$53,MATCH($M319,강사DB!$A$4:$A$53,0)),""))),1,0))</f>
        <v>0</v>
      </c>
    </row>
    <row r="320" customFormat="false" ht="15" hidden="false" customHeight="false" outlineLevel="0" collapsed="false">
      <c r="A320" s="45" t="str">
        <f aca="false">IF($D320="","",COUNTA($D$5:$D320))</f>
        <v/>
      </c>
      <c r="B320" s="46"/>
      <c r="C320" s="47"/>
      <c r="D320" s="48"/>
      <c r="E320" s="48"/>
      <c r="F320" s="49"/>
      <c r="G320" s="47"/>
      <c r="H320" s="50"/>
      <c r="I320" s="50"/>
      <c r="J320" s="51" t="str">
        <f aca="false">IF(OR($V320="",$W320=""),"",ROUND(($W320-$V320)/60,2))</f>
        <v/>
      </c>
      <c r="K320" s="52" t="str">
        <f aca="false">IF($F320="","",LEN($F320)-LEN(SUBSTITUTE($F320,",",""))+1)</f>
        <v/>
      </c>
      <c r="L320" s="45" t="str">
        <f aca="false">IF($K320="","","1:"&amp;$K320)</f>
        <v/>
      </c>
      <c r="M320" s="46"/>
      <c r="N320" s="53"/>
      <c r="O320" s="46"/>
      <c r="P320" s="47"/>
      <c r="Q320" s="48"/>
      <c r="R320" s="49"/>
      <c r="S320" s="54" t="str">
        <f aca="false">IF(OR($AC320=0,$U320="",$M320="",$V320="",$W320=""),"",IF(COUNTIFS(m_teacher,$M320,m_date,$U320,m_active,1,m_start,"&lt;"&amp;$W320,m_end,"&gt;"&amp;$V320)&gt;1,"충돌",""))</f>
        <v/>
      </c>
      <c r="T320" s="48"/>
      <c r="U320" s="55" t="str">
        <f aca="false">IF($G320="","",IFERROR(IF(ISNUMBER($G320),IF($G320&gt;19000000,DATE(INT($G320/10000),MOD(INT($G320/100),100),MOD($G320,100)),INT($G320)),IF(LEN(SUBSTITUTE(SUBSTITUTE(SUBSTITUTE(TRIM($G320),"-",""),".",""),"/",""))=8,DATE(VALUE(LEFT(SUBSTITUTE(SUBSTITUTE(SUBSTITUTE(TRIM($G320),"-",""),".",""),"/",""),4)),VALUE(MID(SUBSTITUTE(SUBSTITUTE(SUBSTITUTE(TRIM($G320),"-",""),".",""),"/",""),5,2)),VALUE(RIGHT(SUBSTITUTE(SUBSTITUTE(SUBSTITUTE(TRIM($G320),"-",""),".",""),"/",""),2))),DATEVALUE($G320))),""))</f>
        <v/>
      </c>
      <c r="V320" s="52" t="str">
        <f aca="false">IF($H320="","",IFERROR(IF(IF(ISNUMBER($H320),$H320,IFERROR(TIMEVALUE($H320),VALUE($H320)))&gt;=100,INT(IF(ISNUMBER($H320),$H320,IFERROR(TIMEVALUE($H320),VALUE($H320)))/100)*60+MOD(IF(ISNUMBER($H320),$H320,IFERROR(TIMEVALUE($H320),VALUE($H320))),100),IF(IF(ISNUMBER($H320),$H320,IFERROR(TIMEVALUE($H320),VALUE($H320)))&gt;=1,ROUND(IF(ISNUMBER($H320),$H320,IFERROR(TIMEVALUE($H320),VALUE($H320)))*60,0),ROUND(MOD(IF(ISNUMBER($H320),$H320,IFERROR(TIMEVALUE($H320),VALUE($H320))),1)*1440,0))),""))</f>
        <v/>
      </c>
      <c r="W320" s="52" t="str">
        <f aca="false">IF($I320="","",IFERROR(IF(IF(ISNUMBER($I320),$I320,IFERROR(TIMEVALUE($I320),VALUE($I320)))&gt;=100,INT(IF(ISNUMBER($I320),$I320,IFERROR(TIMEVALUE($I320),VALUE($I320)))/100)*60+MOD(IF(ISNUMBER($I320),$I320,IFERROR(TIMEVALUE($I320),VALUE($I320))),100),IF(IF(ISNUMBER($I320),$I320,IFERROR(TIMEVALUE($I320),VALUE($I320)))&gt;=1,ROUND(IF(ISNUMBER($I320),$I320,IFERROR(TIMEVALUE($I320),VALUE($I320)))*60,0),ROUND(MOD(IF(ISNUMBER($I320),$I320,IFERROR(TIMEVALUE($I320),VALUE($I320))),1)*1440,0))),""))</f>
        <v/>
      </c>
      <c r="X320" s="55" t="str">
        <f aca="false">IF($P320="","",IFERROR(IF(ISNUMBER($P320),IF($P320&gt;19000000,DATE(INT($P320/10000),MOD(INT($P320/100),100),MOD($P320,100)),INT($P320)),IF(LEN(SUBSTITUTE(SUBSTITUTE(SUBSTITUTE(TRIM($P320),"-",""),".",""),"/",""))=8,DATE(VALUE(LEFT(SUBSTITUTE(SUBSTITUTE(SUBSTITUTE(TRIM($P320),"-",""),".",""),"/",""),4)),VALUE(MID(SUBSTITUTE(SUBSTITUTE(SUBSTITUTE(TRIM($P320),"-",""),".",""),"/",""),5,2)),VALUE(RIGHT(SUBSTITUTE(SUBSTITUTE(SUBSTITUTE(TRIM($P320),"-",""),".",""),"/",""),2))),DATEVALUE($P320))),""))</f>
        <v/>
      </c>
      <c r="Y320" s="56" t="str">
        <f aca="false">IF($M320="","",IFERROR(INDEX(강사DB!$D$4:$D$53,MATCH($M320,강사DB!$A$4:$A$53,0)),""))</f>
        <v/>
      </c>
      <c r="Z320" s="56" t="str">
        <f aca="false">IF($B320&lt;&gt;"결제완료","",IF(OR($Y320="",$J320=""),"",$Y320*$J320+MAX(0,N($K320)-1)*설정!$J$7))</f>
        <v/>
      </c>
      <c r="AA320" s="56" t="str">
        <f aca="false">IF(AND($D320&lt;&gt;"",$B320="결제완료"),N($N320),"")</f>
        <v/>
      </c>
      <c r="AB320" s="45" t="str">
        <f aca="false">IF($D320="","",IF($F320&lt;&gt;"",$F320,$D320)&amp;IF($B320="상담중"," (상담)",""))</f>
        <v/>
      </c>
      <c r="AC320" s="45" t="n">
        <f aca="false">IF(AND($D320&lt;&gt;"",OR($B320="결제완료",$B320="상담중")),1,0)</f>
        <v>0</v>
      </c>
      <c r="AD320" s="45" t="n">
        <f aca="false">IF(OR($Z320="",$U320=""),0,IFERROR(IF(COUNTIFS(INDEX(g_grid,0,2*MATCH($M320,강사DB!$A$4:$A$15,0)),"&lt;&gt;",g_s,"&lt;="&amp;$U320,g_e,"&gt;="&amp;$U320)&gt;0,1,0),0))</f>
        <v>0</v>
      </c>
      <c r="AE320" s="48"/>
      <c r="AF320" s="56" t="str">
        <f aca="false">IF(AND($D320&lt;&gt;"",$B320="결제완료",$T320="대여"),설정!$J$5,"")</f>
        <v/>
      </c>
      <c r="AG320" s="54" t="str">
        <f aca="false">IF($D320="","",IF(AND($E320="",$R320=""),$AB320,"☎ "&amp;IF($E320="","-",$E320)&amp;IF($R320&lt;&gt;"","  ※ "&amp;$R320,"")&amp;IF($B320="상담중"," (상담)","")))</f>
        <v/>
      </c>
      <c r="AH320" s="56" t="str">
        <f aca="false">IF(AND($D320&lt;&gt;"",$B320="결제완료",$O320="스마트스토어"),ROUND(N($N320)*설정!$J$6,0),"")</f>
        <v/>
      </c>
      <c r="AI320" s="54" t="str">
        <f aca="false">IF($D320="","",ROW())</f>
        <v/>
      </c>
      <c r="AJ320" s="54" t="n">
        <f aca="false">IF(OR($AC320&lt;&gt;1,$M320=""),0,IF(ISNUMBER(SEARCH("퇴사",IFERROR(INDEX(강사DB!$G$4:$G$53,MATCH($M320,강사DB!$A$4:$A$53,0)),""))),1,0))</f>
        <v>0</v>
      </c>
    </row>
    <row r="321" customFormat="false" ht="15" hidden="false" customHeight="false" outlineLevel="0" collapsed="false">
      <c r="A321" s="45" t="str">
        <f aca="false">IF($D321="","",COUNTA($D$5:$D321))</f>
        <v/>
      </c>
      <c r="B321" s="46"/>
      <c r="C321" s="47"/>
      <c r="D321" s="48"/>
      <c r="E321" s="48"/>
      <c r="F321" s="49"/>
      <c r="G321" s="47"/>
      <c r="H321" s="50"/>
      <c r="I321" s="50"/>
      <c r="J321" s="51" t="str">
        <f aca="false">IF(OR($V321="",$W321=""),"",ROUND(($W321-$V321)/60,2))</f>
        <v/>
      </c>
      <c r="K321" s="52" t="str">
        <f aca="false">IF($F321="","",LEN($F321)-LEN(SUBSTITUTE($F321,",",""))+1)</f>
        <v/>
      </c>
      <c r="L321" s="45" t="str">
        <f aca="false">IF($K321="","","1:"&amp;$K321)</f>
        <v/>
      </c>
      <c r="M321" s="46"/>
      <c r="N321" s="53"/>
      <c r="O321" s="46"/>
      <c r="P321" s="47"/>
      <c r="Q321" s="48"/>
      <c r="R321" s="49"/>
      <c r="S321" s="54" t="str">
        <f aca="false">IF(OR($AC321=0,$U321="",$M321="",$V321="",$W321=""),"",IF(COUNTIFS(m_teacher,$M321,m_date,$U321,m_active,1,m_start,"&lt;"&amp;$W321,m_end,"&gt;"&amp;$V321)&gt;1,"충돌",""))</f>
        <v/>
      </c>
      <c r="T321" s="48"/>
      <c r="U321" s="55" t="str">
        <f aca="false">IF($G321="","",IFERROR(IF(ISNUMBER($G321),IF($G321&gt;19000000,DATE(INT($G321/10000),MOD(INT($G321/100),100),MOD($G321,100)),INT($G321)),IF(LEN(SUBSTITUTE(SUBSTITUTE(SUBSTITUTE(TRIM($G321),"-",""),".",""),"/",""))=8,DATE(VALUE(LEFT(SUBSTITUTE(SUBSTITUTE(SUBSTITUTE(TRIM($G321),"-",""),".",""),"/",""),4)),VALUE(MID(SUBSTITUTE(SUBSTITUTE(SUBSTITUTE(TRIM($G321),"-",""),".",""),"/",""),5,2)),VALUE(RIGHT(SUBSTITUTE(SUBSTITUTE(SUBSTITUTE(TRIM($G321),"-",""),".",""),"/",""),2))),DATEVALUE($G321))),""))</f>
        <v/>
      </c>
      <c r="V321" s="52" t="str">
        <f aca="false">IF($H321="","",IFERROR(IF(IF(ISNUMBER($H321),$H321,IFERROR(TIMEVALUE($H321),VALUE($H321)))&gt;=100,INT(IF(ISNUMBER($H321),$H321,IFERROR(TIMEVALUE($H321),VALUE($H321)))/100)*60+MOD(IF(ISNUMBER($H321),$H321,IFERROR(TIMEVALUE($H321),VALUE($H321))),100),IF(IF(ISNUMBER($H321),$H321,IFERROR(TIMEVALUE($H321),VALUE($H321)))&gt;=1,ROUND(IF(ISNUMBER($H321),$H321,IFERROR(TIMEVALUE($H321),VALUE($H321)))*60,0),ROUND(MOD(IF(ISNUMBER($H321),$H321,IFERROR(TIMEVALUE($H321),VALUE($H321))),1)*1440,0))),""))</f>
        <v/>
      </c>
      <c r="W321" s="52" t="str">
        <f aca="false">IF($I321="","",IFERROR(IF(IF(ISNUMBER($I321),$I321,IFERROR(TIMEVALUE($I321),VALUE($I321)))&gt;=100,INT(IF(ISNUMBER($I321),$I321,IFERROR(TIMEVALUE($I321),VALUE($I321)))/100)*60+MOD(IF(ISNUMBER($I321),$I321,IFERROR(TIMEVALUE($I321),VALUE($I321))),100),IF(IF(ISNUMBER($I321),$I321,IFERROR(TIMEVALUE($I321),VALUE($I321)))&gt;=1,ROUND(IF(ISNUMBER($I321),$I321,IFERROR(TIMEVALUE($I321),VALUE($I321)))*60,0),ROUND(MOD(IF(ISNUMBER($I321),$I321,IFERROR(TIMEVALUE($I321),VALUE($I321))),1)*1440,0))),""))</f>
        <v/>
      </c>
      <c r="X321" s="55" t="str">
        <f aca="false">IF($P321="","",IFERROR(IF(ISNUMBER($P321),IF($P321&gt;19000000,DATE(INT($P321/10000),MOD(INT($P321/100),100),MOD($P321,100)),INT($P321)),IF(LEN(SUBSTITUTE(SUBSTITUTE(SUBSTITUTE(TRIM($P321),"-",""),".",""),"/",""))=8,DATE(VALUE(LEFT(SUBSTITUTE(SUBSTITUTE(SUBSTITUTE(TRIM($P321),"-",""),".",""),"/",""),4)),VALUE(MID(SUBSTITUTE(SUBSTITUTE(SUBSTITUTE(TRIM($P321),"-",""),".",""),"/",""),5,2)),VALUE(RIGHT(SUBSTITUTE(SUBSTITUTE(SUBSTITUTE(TRIM($P321),"-",""),".",""),"/",""),2))),DATEVALUE($P321))),""))</f>
        <v/>
      </c>
      <c r="Y321" s="56" t="str">
        <f aca="false">IF($M321="","",IFERROR(INDEX(강사DB!$D$4:$D$53,MATCH($M321,강사DB!$A$4:$A$53,0)),""))</f>
        <v/>
      </c>
      <c r="Z321" s="56" t="str">
        <f aca="false">IF($B321&lt;&gt;"결제완료","",IF(OR($Y321="",$J321=""),"",$Y321*$J321+MAX(0,N($K321)-1)*설정!$J$7))</f>
        <v/>
      </c>
      <c r="AA321" s="56" t="str">
        <f aca="false">IF(AND($D321&lt;&gt;"",$B321="결제완료"),N($N321),"")</f>
        <v/>
      </c>
      <c r="AB321" s="45" t="str">
        <f aca="false">IF($D321="","",IF($F321&lt;&gt;"",$F321,$D321)&amp;IF($B321="상담중"," (상담)",""))</f>
        <v/>
      </c>
      <c r="AC321" s="45" t="n">
        <f aca="false">IF(AND($D321&lt;&gt;"",OR($B321="결제완료",$B321="상담중")),1,0)</f>
        <v>0</v>
      </c>
      <c r="AD321" s="45" t="n">
        <f aca="false">IF(OR($Z321="",$U321=""),0,IFERROR(IF(COUNTIFS(INDEX(g_grid,0,2*MATCH($M321,강사DB!$A$4:$A$15,0)),"&lt;&gt;",g_s,"&lt;="&amp;$U321,g_e,"&gt;="&amp;$U321)&gt;0,1,0),0))</f>
        <v>0</v>
      </c>
      <c r="AE321" s="48"/>
      <c r="AF321" s="56" t="str">
        <f aca="false">IF(AND($D321&lt;&gt;"",$B321="결제완료",$T321="대여"),설정!$J$5,"")</f>
        <v/>
      </c>
      <c r="AG321" s="54" t="str">
        <f aca="false">IF($D321="","",IF(AND($E321="",$R321=""),$AB321,"☎ "&amp;IF($E321="","-",$E321)&amp;IF($R321&lt;&gt;"","  ※ "&amp;$R321,"")&amp;IF($B321="상담중"," (상담)","")))</f>
        <v/>
      </c>
      <c r="AH321" s="56" t="str">
        <f aca="false">IF(AND($D321&lt;&gt;"",$B321="결제완료",$O321="스마트스토어"),ROUND(N($N321)*설정!$J$6,0),"")</f>
        <v/>
      </c>
      <c r="AI321" s="54" t="str">
        <f aca="false">IF($D321="","",ROW())</f>
        <v/>
      </c>
      <c r="AJ321" s="54" t="n">
        <f aca="false">IF(OR($AC321&lt;&gt;1,$M321=""),0,IF(ISNUMBER(SEARCH("퇴사",IFERROR(INDEX(강사DB!$G$4:$G$53,MATCH($M321,강사DB!$A$4:$A$53,0)),""))),1,0))</f>
        <v>0</v>
      </c>
    </row>
    <row r="322" customFormat="false" ht="15" hidden="false" customHeight="false" outlineLevel="0" collapsed="false">
      <c r="A322" s="45" t="str">
        <f aca="false">IF($D322="","",COUNTA($D$5:$D322))</f>
        <v/>
      </c>
      <c r="B322" s="46"/>
      <c r="C322" s="47"/>
      <c r="D322" s="48"/>
      <c r="E322" s="48"/>
      <c r="F322" s="49"/>
      <c r="G322" s="47"/>
      <c r="H322" s="50"/>
      <c r="I322" s="50"/>
      <c r="J322" s="51" t="str">
        <f aca="false">IF(OR($V322="",$W322=""),"",ROUND(($W322-$V322)/60,2))</f>
        <v/>
      </c>
      <c r="K322" s="52" t="str">
        <f aca="false">IF($F322="","",LEN($F322)-LEN(SUBSTITUTE($F322,",",""))+1)</f>
        <v/>
      </c>
      <c r="L322" s="45" t="str">
        <f aca="false">IF($K322="","","1:"&amp;$K322)</f>
        <v/>
      </c>
      <c r="M322" s="46"/>
      <c r="N322" s="53"/>
      <c r="O322" s="46"/>
      <c r="P322" s="47"/>
      <c r="Q322" s="48"/>
      <c r="R322" s="49"/>
      <c r="S322" s="54" t="str">
        <f aca="false">IF(OR($AC322=0,$U322="",$M322="",$V322="",$W322=""),"",IF(COUNTIFS(m_teacher,$M322,m_date,$U322,m_active,1,m_start,"&lt;"&amp;$W322,m_end,"&gt;"&amp;$V322)&gt;1,"충돌",""))</f>
        <v/>
      </c>
      <c r="T322" s="48"/>
      <c r="U322" s="55" t="str">
        <f aca="false">IF($G322="","",IFERROR(IF(ISNUMBER($G322),IF($G322&gt;19000000,DATE(INT($G322/10000),MOD(INT($G322/100),100),MOD($G322,100)),INT($G322)),IF(LEN(SUBSTITUTE(SUBSTITUTE(SUBSTITUTE(TRIM($G322),"-",""),".",""),"/",""))=8,DATE(VALUE(LEFT(SUBSTITUTE(SUBSTITUTE(SUBSTITUTE(TRIM($G322),"-",""),".",""),"/",""),4)),VALUE(MID(SUBSTITUTE(SUBSTITUTE(SUBSTITUTE(TRIM($G322),"-",""),".",""),"/",""),5,2)),VALUE(RIGHT(SUBSTITUTE(SUBSTITUTE(SUBSTITUTE(TRIM($G322),"-",""),".",""),"/",""),2))),DATEVALUE($G322))),""))</f>
        <v/>
      </c>
      <c r="V322" s="52" t="str">
        <f aca="false">IF($H322="","",IFERROR(IF(IF(ISNUMBER($H322),$H322,IFERROR(TIMEVALUE($H322),VALUE($H322)))&gt;=100,INT(IF(ISNUMBER($H322),$H322,IFERROR(TIMEVALUE($H322),VALUE($H322)))/100)*60+MOD(IF(ISNUMBER($H322),$H322,IFERROR(TIMEVALUE($H322),VALUE($H322))),100),IF(IF(ISNUMBER($H322),$H322,IFERROR(TIMEVALUE($H322),VALUE($H322)))&gt;=1,ROUND(IF(ISNUMBER($H322),$H322,IFERROR(TIMEVALUE($H322),VALUE($H322)))*60,0),ROUND(MOD(IF(ISNUMBER($H322),$H322,IFERROR(TIMEVALUE($H322),VALUE($H322))),1)*1440,0))),""))</f>
        <v/>
      </c>
      <c r="W322" s="52" t="str">
        <f aca="false">IF($I322="","",IFERROR(IF(IF(ISNUMBER($I322),$I322,IFERROR(TIMEVALUE($I322),VALUE($I322)))&gt;=100,INT(IF(ISNUMBER($I322),$I322,IFERROR(TIMEVALUE($I322),VALUE($I322)))/100)*60+MOD(IF(ISNUMBER($I322),$I322,IFERROR(TIMEVALUE($I322),VALUE($I322))),100),IF(IF(ISNUMBER($I322),$I322,IFERROR(TIMEVALUE($I322),VALUE($I322)))&gt;=1,ROUND(IF(ISNUMBER($I322),$I322,IFERROR(TIMEVALUE($I322),VALUE($I322)))*60,0),ROUND(MOD(IF(ISNUMBER($I322),$I322,IFERROR(TIMEVALUE($I322),VALUE($I322))),1)*1440,0))),""))</f>
        <v/>
      </c>
      <c r="X322" s="55" t="str">
        <f aca="false">IF($P322="","",IFERROR(IF(ISNUMBER($P322),IF($P322&gt;19000000,DATE(INT($P322/10000),MOD(INT($P322/100),100),MOD($P322,100)),INT($P322)),IF(LEN(SUBSTITUTE(SUBSTITUTE(SUBSTITUTE(TRIM($P322),"-",""),".",""),"/",""))=8,DATE(VALUE(LEFT(SUBSTITUTE(SUBSTITUTE(SUBSTITUTE(TRIM($P322),"-",""),".",""),"/",""),4)),VALUE(MID(SUBSTITUTE(SUBSTITUTE(SUBSTITUTE(TRIM($P322),"-",""),".",""),"/",""),5,2)),VALUE(RIGHT(SUBSTITUTE(SUBSTITUTE(SUBSTITUTE(TRIM($P322),"-",""),".",""),"/",""),2))),DATEVALUE($P322))),""))</f>
        <v/>
      </c>
      <c r="Y322" s="56" t="str">
        <f aca="false">IF($M322="","",IFERROR(INDEX(강사DB!$D$4:$D$53,MATCH($M322,강사DB!$A$4:$A$53,0)),""))</f>
        <v/>
      </c>
      <c r="Z322" s="56" t="str">
        <f aca="false">IF($B322&lt;&gt;"결제완료","",IF(OR($Y322="",$J322=""),"",$Y322*$J322+MAX(0,N($K322)-1)*설정!$J$7))</f>
        <v/>
      </c>
      <c r="AA322" s="56" t="str">
        <f aca="false">IF(AND($D322&lt;&gt;"",$B322="결제완료"),N($N322),"")</f>
        <v/>
      </c>
      <c r="AB322" s="45" t="str">
        <f aca="false">IF($D322="","",IF($F322&lt;&gt;"",$F322,$D322)&amp;IF($B322="상담중"," (상담)",""))</f>
        <v/>
      </c>
      <c r="AC322" s="45" t="n">
        <f aca="false">IF(AND($D322&lt;&gt;"",OR($B322="결제완료",$B322="상담중")),1,0)</f>
        <v>0</v>
      </c>
      <c r="AD322" s="45" t="n">
        <f aca="false">IF(OR($Z322="",$U322=""),0,IFERROR(IF(COUNTIFS(INDEX(g_grid,0,2*MATCH($M322,강사DB!$A$4:$A$15,0)),"&lt;&gt;",g_s,"&lt;="&amp;$U322,g_e,"&gt;="&amp;$U322)&gt;0,1,0),0))</f>
        <v>0</v>
      </c>
      <c r="AE322" s="48"/>
      <c r="AF322" s="56" t="str">
        <f aca="false">IF(AND($D322&lt;&gt;"",$B322="결제완료",$T322="대여"),설정!$J$5,"")</f>
        <v/>
      </c>
      <c r="AG322" s="54" t="str">
        <f aca="false">IF($D322="","",IF(AND($E322="",$R322=""),$AB322,"☎ "&amp;IF($E322="","-",$E322)&amp;IF($R322&lt;&gt;"","  ※ "&amp;$R322,"")&amp;IF($B322="상담중"," (상담)","")))</f>
        <v/>
      </c>
      <c r="AH322" s="56" t="str">
        <f aca="false">IF(AND($D322&lt;&gt;"",$B322="결제완료",$O322="스마트스토어"),ROUND(N($N322)*설정!$J$6,0),"")</f>
        <v/>
      </c>
      <c r="AI322" s="54" t="str">
        <f aca="false">IF($D322="","",ROW())</f>
        <v/>
      </c>
      <c r="AJ322" s="54" t="n">
        <f aca="false">IF(OR($AC322&lt;&gt;1,$M322=""),0,IF(ISNUMBER(SEARCH("퇴사",IFERROR(INDEX(강사DB!$G$4:$G$53,MATCH($M322,강사DB!$A$4:$A$53,0)),""))),1,0))</f>
        <v>0</v>
      </c>
    </row>
    <row r="323" customFormat="false" ht="15" hidden="false" customHeight="false" outlineLevel="0" collapsed="false">
      <c r="A323" s="45" t="str">
        <f aca="false">IF($D323="","",COUNTA($D$5:$D323))</f>
        <v/>
      </c>
      <c r="B323" s="46"/>
      <c r="C323" s="47"/>
      <c r="D323" s="48"/>
      <c r="E323" s="48"/>
      <c r="F323" s="49"/>
      <c r="G323" s="47"/>
      <c r="H323" s="50"/>
      <c r="I323" s="50"/>
      <c r="J323" s="51" t="str">
        <f aca="false">IF(OR($V323="",$W323=""),"",ROUND(($W323-$V323)/60,2))</f>
        <v/>
      </c>
      <c r="K323" s="52" t="str">
        <f aca="false">IF($F323="","",LEN($F323)-LEN(SUBSTITUTE($F323,",",""))+1)</f>
        <v/>
      </c>
      <c r="L323" s="45" t="str">
        <f aca="false">IF($K323="","","1:"&amp;$K323)</f>
        <v/>
      </c>
      <c r="M323" s="46"/>
      <c r="N323" s="53"/>
      <c r="O323" s="46"/>
      <c r="P323" s="47"/>
      <c r="Q323" s="48"/>
      <c r="R323" s="49"/>
      <c r="S323" s="54" t="str">
        <f aca="false">IF(OR($AC323=0,$U323="",$M323="",$V323="",$W323=""),"",IF(COUNTIFS(m_teacher,$M323,m_date,$U323,m_active,1,m_start,"&lt;"&amp;$W323,m_end,"&gt;"&amp;$V323)&gt;1,"충돌",""))</f>
        <v/>
      </c>
      <c r="T323" s="48"/>
      <c r="U323" s="55" t="str">
        <f aca="false">IF($G323="","",IFERROR(IF(ISNUMBER($G323),IF($G323&gt;19000000,DATE(INT($G323/10000),MOD(INT($G323/100),100),MOD($G323,100)),INT($G323)),IF(LEN(SUBSTITUTE(SUBSTITUTE(SUBSTITUTE(TRIM($G323),"-",""),".",""),"/",""))=8,DATE(VALUE(LEFT(SUBSTITUTE(SUBSTITUTE(SUBSTITUTE(TRIM($G323),"-",""),".",""),"/",""),4)),VALUE(MID(SUBSTITUTE(SUBSTITUTE(SUBSTITUTE(TRIM($G323),"-",""),".",""),"/",""),5,2)),VALUE(RIGHT(SUBSTITUTE(SUBSTITUTE(SUBSTITUTE(TRIM($G323),"-",""),".",""),"/",""),2))),DATEVALUE($G323))),""))</f>
        <v/>
      </c>
      <c r="V323" s="52" t="str">
        <f aca="false">IF($H323="","",IFERROR(IF(IF(ISNUMBER($H323),$H323,IFERROR(TIMEVALUE($H323),VALUE($H323)))&gt;=100,INT(IF(ISNUMBER($H323),$H323,IFERROR(TIMEVALUE($H323),VALUE($H323)))/100)*60+MOD(IF(ISNUMBER($H323),$H323,IFERROR(TIMEVALUE($H323),VALUE($H323))),100),IF(IF(ISNUMBER($H323),$H323,IFERROR(TIMEVALUE($H323),VALUE($H323)))&gt;=1,ROUND(IF(ISNUMBER($H323),$H323,IFERROR(TIMEVALUE($H323),VALUE($H323)))*60,0),ROUND(MOD(IF(ISNUMBER($H323),$H323,IFERROR(TIMEVALUE($H323),VALUE($H323))),1)*1440,0))),""))</f>
        <v/>
      </c>
      <c r="W323" s="52" t="str">
        <f aca="false">IF($I323="","",IFERROR(IF(IF(ISNUMBER($I323),$I323,IFERROR(TIMEVALUE($I323),VALUE($I323)))&gt;=100,INT(IF(ISNUMBER($I323),$I323,IFERROR(TIMEVALUE($I323),VALUE($I323)))/100)*60+MOD(IF(ISNUMBER($I323),$I323,IFERROR(TIMEVALUE($I323),VALUE($I323))),100),IF(IF(ISNUMBER($I323),$I323,IFERROR(TIMEVALUE($I323),VALUE($I323)))&gt;=1,ROUND(IF(ISNUMBER($I323),$I323,IFERROR(TIMEVALUE($I323),VALUE($I323)))*60,0),ROUND(MOD(IF(ISNUMBER($I323),$I323,IFERROR(TIMEVALUE($I323),VALUE($I323))),1)*1440,0))),""))</f>
        <v/>
      </c>
      <c r="X323" s="55" t="str">
        <f aca="false">IF($P323="","",IFERROR(IF(ISNUMBER($P323),IF($P323&gt;19000000,DATE(INT($P323/10000),MOD(INT($P323/100),100),MOD($P323,100)),INT($P323)),IF(LEN(SUBSTITUTE(SUBSTITUTE(SUBSTITUTE(TRIM($P323),"-",""),".",""),"/",""))=8,DATE(VALUE(LEFT(SUBSTITUTE(SUBSTITUTE(SUBSTITUTE(TRIM($P323),"-",""),".",""),"/",""),4)),VALUE(MID(SUBSTITUTE(SUBSTITUTE(SUBSTITUTE(TRIM($P323),"-",""),".",""),"/",""),5,2)),VALUE(RIGHT(SUBSTITUTE(SUBSTITUTE(SUBSTITUTE(TRIM($P323),"-",""),".",""),"/",""),2))),DATEVALUE($P323))),""))</f>
        <v/>
      </c>
      <c r="Y323" s="56" t="str">
        <f aca="false">IF($M323="","",IFERROR(INDEX(강사DB!$D$4:$D$53,MATCH($M323,강사DB!$A$4:$A$53,0)),""))</f>
        <v/>
      </c>
      <c r="Z323" s="56" t="str">
        <f aca="false">IF($B323&lt;&gt;"결제완료","",IF(OR($Y323="",$J323=""),"",$Y323*$J323+MAX(0,N($K323)-1)*설정!$J$7))</f>
        <v/>
      </c>
      <c r="AA323" s="56" t="str">
        <f aca="false">IF(AND($D323&lt;&gt;"",$B323="결제완료"),N($N323),"")</f>
        <v/>
      </c>
      <c r="AB323" s="45" t="str">
        <f aca="false">IF($D323="","",IF($F323&lt;&gt;"",$F323,$D323)&amp;IF($B323="상담중"," (상담)",""))</f>
        <v/>
      </c>
      <c r="AC323" s="45" t="n">
        <f aca="false">IF(AND($D323&lt;&gt;"",OR($B323="결제완료",$B323="상담중")),1,0)</f>
        <v>0</v>
      </c>
      <c r="AD323" s="45" t="n">
        <f aca="false">IF(OR($Z323="",$U323=""),0,IFERROR(IF(COUNTIFS(INDEX(g_grid,0,2*MATCH($M323,강사DB!$A$4:$A$15,0)),"&lt;&gt;",g_s,"&lt;="&amp;$U323,g_e,"&gt;="&amp;$U323)&gt;0,1,0),0))</f>
        <v>0</v>
      </c>
      <c r="AE323" s="48"/>
      <c r="AF323" s="56" t="str">
        <f aca="false">IF(AND($D323&lt;&gt;"",$B323="결제완료",$T323="대여"),설정!$J$5,"")</f>
        <v/>
      </c>
      <c r="AG323" s="54" t="str">
        <f aca="false">IF($D323="","",IF(AND($E323="",$R323=""),$AB323,"☎ "&amp;IF($E323="","-",$E323)&amp;IF($R323&lt;&gt;"","  ※ "&amp;$R323,"")&amp;IF($B323="상담중"," (상담)","")))</f>
        <v/>
      </c>
      <c r="AH323" s="56" t="str">
        <f aca="false">IF(AND($D323&lt;&gt;"",$B323="결제완료",$O323="스마트스토어"),ROUND(N($N323)*설정!$J$6,0),"")</f>
        <v/>
      </c>
      <c r="AI323" s="54" t="str">
        <f aca="false">IF($D323="","",ROW())</f>
        <v/>
      </c>
      <c r="AJ323" s="54" t="n">
        <f aca="false">IF(OR($AC323&lt;&gt;1,$M323=""),0,IF(ISNUMBER(SEARCH("퇴사",IFERROR(INDEX(강사DB!$G$4:$G$53,MATCH($M323,강사DB!$A$4:$A$53,0)),""))),1,0))</f>
        <v>0</v>
      </c>
    </row>
    <row r="324" customFormat="false" ht="15" hidden="false" customHeight="false" outlineLevel="0" collapsed="false">
      <c r="A324" s="45" t="str">
        <f aca="false">IF($D324="","",COUNTA($D$5:$D324))</f>
        <v/>
      </c>
      <c r="B324" s="46"/>
      <c r="C324" s="47"/>
      <c r="D324" s="48"/>
      <c r="E324" s="48"/>
      <c r="F324" s="49"/>
      <c r="G324" s="47"/>
      <c r="H324" s="50"/>
      <c r="I324" s="50"/>
      <c r="J324" s="51" t="str">
        <f aca="false">IF(OR($V324="",$W324=""),"",ROUND(($W324-$V324)/60,2))</f>
        <v/>
      </c>
      <c r="K324" s="52" t="str">
        <f aca="false">IF($F324="","",LEN($F324)-LEN(SUBSTITUTE($F324,",",""))+1)</f>
        <v/>
      </c>
      <c r="L324" s="45" t="str">
        <f aca="false">IF($K324="","","1:"&amp;$K324)</f>
        <v/>
      </c>
      <c r="M324" s="46"/>
      <c r="N324" s="53"/>
      <c r="O324" s="46"/>
      <c r="P324" s="47"/>
      <c r="Q324" s="48"/>
      <c r="R324" s="49"/>
      <c r="S324" s="54" t="str">
        <f aca="false">IF(OR($AC324=0,$U324="",$M324="",$V324="",$W324=""),"",IF(COUNTIFS(m_teacher,$M324,m_date,$U324,m_active,1,m_start,"&lt;"&amp;$W324,m_end,"&gt;"&amp;$V324)&gt;1,"충돌",""))</f>
        <v/>
      </c>
      <c r="T324" s="48"/>
      <c r="U324" s="55" t="str">
        <f aca="false">IF($G324="","",IFERROR(IF(ISNUMBER($G324),IF($G324&gt;19000000,DATE(INT($G324/10000),MOD(INT($G324/100),100),MOD($G324,100)),INT($G324)),IF(LEN(SUBSTITUTE(SUBSTITUTE(SUBSTITUTE(TRIM($G324),"-",""),".",""),"/",""))=8,DATE(VALUE(LEFT(SUBSTITUTE(SUBSTITUTE(SUBSTITUTE(TRIM($G324),"-",""),".",""),"/",""),4)),VALUE(MID(SUBSTITUTE(SUBSTITUTE(SUBSTITUTE(TRIM($G324),"-",""),".",""),"/",""),5,2)),VALUE(RIGHT(SUBSTITUTE(SUBSTITUTE(SUBSTITUTE(TRIM($G324),"-",""),".",""),"/",""),2))),DATEVALUE($G324))),""))</f>
        <v/>
      </c>
      <c r="V324" s="52" t="str">
        <f aca="false">IF($H324="","",IFERROR(IF(IF(ISNUMBER($H324),$H324,IFERROR(TIMEVALUE($H324),VALUE($H324)))&gt;=100,INT(IF(ISNUMBER($H324),$H324,IFERROR(TIMEVALUE($H324),VALUE($H324)))/100)*60+MOD(IF(ISNUMBER($H324),$H324,IFERROR(TIMEVALUE($H324),VALUE($H324))),100),IF(IF(ISNUMBER($H324),$H324,IFERROR(TIMEVALUE($H324),VALUE($H324)))&gt;=1,ROUND(IF(ISNUMBER($H324),$H324,IFERROR(TIMEVALUE($H324),VALUE($H324)))*60,0),ROUND(MOD(IF(ISNUMBER($H324),$H324,IFERROR(TIMEVALUE($H324),VALUE($H324))),1)*1440,0))),""))</f>
        <v/>
      </c>
      <c r="W324" s="52" t="str">
        <f aca="false">IF($I324="","",IFERROR(IF(IF(ISNUMBER($I324),$I324,IFERROR(TIMEVALUE($I324),VALUE($I324)))&gt;=100,INT(IF(ISNUMBER($I324),$I324,IFERROR(TIMEVALUE($I324),VALUE($I324)))/100)*60+MOD(IF(ISNUMBER($I324),$I324,IFERROR(TIMEVALUE($I324),VALUE($I324))),100),IF(IF(ISNUMBER($I324),$I324,IFERROR(TIMEVALUE($I324),VALUE($I324)))&gt;=1,ROUND(IF(ISNUMBER($I324),$I324,IFERROR(TIMEVALUE($I324),VALUE($I324)))*60,0),ROUND(MOD(IF(ISNUMBER($I324),$I324,IFERROR(TIMEVALUE($I324),VALUE($I324))),1)*1440,0))),""))</f>
        <v/>
      </c>
      <c r="X324" s="55" t="str">
        <f aca="false">IF($P324="","",IFERROR(IF(ISNUMBER($P324),IF($P324&gt;19000000,DATE(INT($P324/10000),MOD(INT($P324/100),100),MOD($P324,100)),INT($P324)),IF(LEN(SUBSTITUTE(SUBSTITUTE(SUBSTITUTE(TRIM($P324),"-",""),".",""),"/",""))=8,DATE(VALUE(LEFT(SUBSTITUTE(SUBSTITUTE(SUBSTITUTE(TRIM($P324),"-",""),".",""),"/",""),4)),VALUE(MID(SUBSTITUTE(SUBSTITUTE(SUBSTITUTE(TRIM($P324),"-",""),".",""),"/",""),5,2)),VALUE(RIGHT(SUBSTITUTE(SUBSTITUTE(SUBSTITUTE(TRIM($P324),"-",""),".",""),"/",""),2))),DATEVALUE($P324))),""))</f>
        <v/>
      </c>
      <c r="Y324" s="56" t="str">
        <f aca="false">IF($M324="","",IFERROR(INDEX(강사DB!$D$4:$D$53,MATCH($M324,강사DB!$A$4:$A$53,0)),""))</f>
        <v/>
      </c>
      <c r="Z324" s="56" t="str">
        <f aca="false">IF($B324&lt;&gt;"결제완료","",IF(OR($Y324="",$J324=""),"",$Y324*$J324+MAX(0,N($K324)-1)*설정!$J$7))</f>
        <v/>
      </c>
      <c r="AA324" s="56" t="str">
        <f aca="false">IF(AND($D324&lt;&gt;"",$B324="결제완료"),N($N324),"")</f>
        <v/>
      </c>
      <c r="AB324" s="45" t="str">
        <f aca="false">IF($D324="","",IF($F324&lt;&gt;"",$F324,$D324)&amp;IF($B324="상담중"," (상담)",""))</f>
        <v/>
      </c>
      <c r="AC324" s="45" t="n">
        <f aca="false">IF(AND($D324&lt;&gt;"",OR($B324="결제완료",$B324="상담중")),1,0)</f>
        <v>0</v>
      </c>
      <c r="AD324" s="45" t="n">
        <f aca="false">IF(OR($Z324="",$U324=""),0,IFERROR(IF(COUNTIFS(INDEX(g_grid,0,2*MATCH($M324,강사DB!$A$4:$A$15,0)),"&lt;&gt;",g_s,"&lt;="&amp;$U324,g_e,"&gt;="&amp;$U324)&gt;0,1,0),0))</f>
        <v>0</v>
      </c>
      <c r="AE324" s="48"/>
      <c r="AF324" s="56" t="str">
        <f aca="false">IF(AND($D324&lt;&gt;"",$B324="결제완료",$T324="대여"),설정!$J$5,"")</f>
        <v/>
      </c>
      <c r="AG324" s="54" t="str">
        <f aca="false">IF($D324="","",IF(AND($E324="",$R324=""),$AB324,"☎ "&amp;IF($E324="","-",$E324)&amp;IF($R324&lt;&gt;"","  ※ "&amp;$R324,"")&amp;IF($B324="상담중"," (상담)","")))</f>
        <v/>
      </c>
      <c r="AH324" s="56" t="str">
        <f aca="false">IF(AND($D324&lt;&gt;"",$B324="결제완료",$O324="스마트스토어"),ROUND(N($N324)*설정!$J$6,0),"")</f>
        <v/>
      </c>
      <c r="AI324" s="54" t="str">
        <f aca="false">IF($D324="","",ROW())</f>
        <v/>
      </c>
      <c r="AJ324" s="54" t="n">
        <f aca="false">IF(OR($AC324&lt;&gt;1,$M324=""),0,IF(ISNUMBER(SEARCH("퇴사",IFERROR(INDEX(강사DB!$G$4:$G$53,MATCH($M324,강사DB!$A$4:$A$53,0)),""))),1,0))</f>
        <v>0</v>
      </c>
    </row>
    <row r="325" customFormat="false" ht="15" hidden="false" customHeight="false" outlineLevel="0" collapsed="false">
      <c r="A325" s="45" t="str">
        <f aca="false">IF($D325="","",COUNTA($D$5:$D325))</f>
        <v/>
      </c>
      <c r="B325" s="46"/>
      <c r="C325" s="47"/>
      <c r="D325" s="48"/>
      <c r="E325" s="48"/>
      <c r="F325" s="49"/>
      <c r="G325" s="47"/>
      <c r="H325" s="50"/>
      <c r="I325" s="50"/>
      <c r="J325" s="51" t="str">
        <f aca="false">IF(OR($V325="",$W325=""),"",ROUND(($W325-$V325)/60,2))</f>
        <v/>
      </c>
      <c r="K325" s="52" t="str">
        <f aca="false">IF($F325="","",LEN($F325)-LEN(SUBSTITUTE($F325,",",""))+1)</f>
        <v/>
      </c>
      <c r="L325" s="45" t="str">
        <f aca="false">IF($K325="","","1:"&amp;$K325)</f>
        <v/>
      </c>
      <c r="M325" s="46"/>
      <c r="N325" s="53"/>
      <c r="O325" s="46"/>
      <c r="P325" s="47"/>
      <c r="Q325" s="48"/>
      <c r="R325" s="49"/>
      <c r="S325" s="54" t="str">
        <f aca="false">IF(OR($AC325=0,$U325="",$M325="",$V325="",$W325=""),"",IF(COUNTIFS(m_teacher,$M325,m_date,$U325,m_active,1,m_start,"&lt;"&amp;$W325,m_end,"&gt;"&amp;$V325)&gt;1,"충돌",""))</f>
        <v/>
      </c>
      <c r="T325" s="48"/>
      <c r="U325" s="55" t="str">
        <f aca="false">IF($G325="","",IFERROR(IF(ISNUMBER($G325),IF($G325&gt;19000000,DATE(INT($G325/10000),MOD(INT($G325/100),100),MOD($G325,100)),INT($G325)),IF(LEN(SUBSTITUTE(SUBSTITUTE(SUBSTITUTE(TRIM($G325),"-",""),".",""),"/",""))=8,DATE(VALUE(LEFT(SUBSTITUTE(SUBSTITUTE(SUBSTITUTE(TRIM($G325),"-",""),".",""),"/",""),4)),VALUE(MID(SUBSTITUTE(SUBSTITUTE(SUBSTITUTE(TRIM($G325),"-",""),".",""),"/",""),5,2)),VALUE(RIGHT(SUBSTITUTE(SUBSTITUTE(SUBSTITUTE(TRIM($G325),"-",""),".",""),"/",""),2))),DATEVALUE($G325))),""))</f>
        <v/>
      </c>
      <c r="V325" s="52" t="str">
        <f aca="false">IF($H325="","",IFERROR(IF(IF(ISNUMBER($H325),$H325,IFERROR(TIMEVALUE($H325),VALUE($H325)))&gt;=100,INT(IF(ISNUMBER($H325),$H325,IFERROR(TIMEVALUE($H325),VALUE($H325)))/100)*60+MOD(IF(ISNUMBER($H325),$H325,IFERROR(TIMEVALUE($H325),VALUE($H325))),100),IF(IF(ISNUMBER($H325),$H325,IFERROR(TIMEVALUE($H325),VALUE($H325)))&gt;=1,ROUND(IF(ISNUMBER($H325),$H325,IFERROR(TIMEVALUE($H325),VALUE($H325)))*60,0),ROUND(MOD(IF(ISNUMBER($H325),$H325,IFERROR(TIMEVALUE($H325),VALUE($H325))),1)*1440,0))),""))</f>
        <v/>
      </c>
      <c r="W325" s="52" t="str">
        <f aca="false">IF($I325="","",IFERROR(IF(IF(ISNUMBER($I325),$I325,IFERROR(TIMEVALUE($I325),VALUE($I325)))&gt;=100,INT(IF(ISNUMBER($I325),$I325,IFERROR(TIMEVALUE($I325),VALUE($I325)))/100)*60+MOD(IF(ISNUMBER($I325),$I325,IFERROR(TIMEVALUE($I325),VALUE($I325))),100),IF(IF(ISNUMBER($I325),$I325,IFERROR(TIMEVALUE($I325),VALUE($I325)))&gt;=1,ROUND(IF(ISNUMBER($I325),$I325,IFERROR(TIMEVALUE($I325),VALUE($I325)))*60,0),ROUND(MOD(IF(ISNUMBER($I325),$I325,IFERROR(TIMEVALUE($I325),VALUE($I325))),1)*1440,0))),""))</f>
        <v/>
      </c>
      <c r="X325" s="55" t="str">
        <f aca="false">IF($P325="","",IFERROR(IF(ISNUMBER($P325),IF($P325&gt;19000000,DATE(INT($P325/10000),MOD(INT($P325/100),100),MOD($P325,100)),INT($P325)),IF(LEN(SUBSTITUTE(SUBSTITUTE(SUBSTITUTE(TRIM($P325),"-",""),".",""),"/",""))=8,DATE(VALUE(LEFT(SUBSTITUTE(SUBSTITUTE(SUBSTITUTE(TRIM($P325),"-",""),".",""),"/",""),4)),VALUE(MID(SUBSTITUTE(SUBSTITUTE(SUBSTITUTE(TRIM($P325),"-",""),".",""),"/",""),5,2)),VALUE(RIGHT(SUBSTITUTE(SUBSTITUTE(SUBSTITUTE(TRIM($P325),"-",""),".",""),"/",""),2))),DATEVALUE($P325))),""))</f>
        <v/>
      </c>
      <c r="Y325" s="56" t="str">
        <f aca="false">IF($M325="","",IFERROR(INDEX(강사DB!$D$4:$D$53,MATCH($M325,강사DB!$A$4:$A$53,0)),""))</f>
        <v/>
      </c>
      <c r="Z325" s="56" t="str">
        <f aca="false">IF($B325&lt;&gt;"결제완료","",IF(OR($Y325="",$J325=""),"",$Y325*$J325+MAX(0,N($K325)-1)*설정!$J$7))</f>
        <v/>
      </c>
      <c r="AA325" s="56" t="str">
        <f aca="false">IF(AND($D325&lt;&gt;"",$B325="결제완료"),N($N325),"")</f>
        <v/>
      </c>
      <c r="AB325" s="45" t="str">
        <f aca="false">IF($D325="","",IF($F325&lt;&gt;"",$F325,$D325)&amp;IF($B325="상담중"," (상담)",""))</f>
        <v/>
      </c>
      <c r="AC325" s="45" t="n">
        <f aca="false">IF(AND($D325&lt;&gt;"",OR($B325="결제완료",$B325="상담중")),1,0)</f>
        <v>0</v>
      </c>
      <c r="AD325" s="45" t="n">
        <f aca="false">IF(OR($Z325="",$U325=""),0,IFERROR(IF(COUNTIFS(INDEX(g_grid,0,2*MATCH($M325,강사DB!$A$4:$A$15,0)),"&lt;&gt;",g_s,"&lt;="&amp;$U325,g_e,"&gt;="&amp;$U325)&gt;0,1,0),0))</f>
        <v>0</v>
      </c>
      <c r="AE325" s="48"/>
      <c r="AF325" s="56" t="str">
        <f aca="false">IF(AND($D325&lt;&gt;"",$B325="결제완료",$T325="대여"),설정!$J$5,"")</f>
        <v/>
      </c>
      <c r="AG325" s="54" t="str">
        <f aca="false">IF($D325="","",IF(AND($E325="",$R325=""),$AB325,"☎ "&amp;IF($E325="","-",$E325)&amp;IF($R325&lt;&gt;"","  ※ "&amp;$R325,"")&amp;IF($B325="상담중"," (상담)","")))</f>
        <v/>
      </c>
      <c r="AH325" s="56" t="str">
        <f aca="false">IF(AND($D325&lt;&gt;"",$B325="결제완료",$O325="스마트스토어"),ROUND(N($N325)*설정!$J$6,0),"")</f>
        <v/>
      </c>
      <c r="AI325" s="54" t="str">
        <f aca="false">IF($D325="","",ROW())</f>
        <v/>
      </c>
      <c r="AJ325" s="54" t="n">
        <f aca="false">IF(OR($AC325&lt;&gt;1,$M325=""),0,IF(ISNUMBER(SEARCH("퇴사",IFERROR(INDEX(강사DB!$G$4:$G$53,MATCH($M325,강사DB!$A$4:$A$53,0)),""))),1,0))</f>
        <v>0</v>
      </c>
    </row>
    <row r="326" customFormat="false" ht="15" hidden="false" customHeight="false" outlineLevel="0" collapsed="false">
      <c r="A326" s="45" t="str">
        <f aca="false">IF($D326="","",COUNTA($D$5:$D326))</f>
        <v/>
      </c>
      <c r="B326" s="46"/>
      <c r="C326" s="47"/>
      <c r="D326" s="48"/>
      <c r="E326" s="48"/>
      <c r="F326" s="49"/>
      <c r="G326" s="47"/>
      <c r="H326" s="50"/>
      <c r="I326" s="50"/>
      <c r="J326" s="51" t="str">
        <f aca="false">IF(OR($V326="",$W326=""),"",ROUND(($W326-$V326)/60,2))</f>
        <v/>
      </c>
      <c r="K326" s="52" t="str">
        <f aca="false">IF($F326="","",LEN($F326)-LEN(SUBSTITUTE($F326,",",""))+1)</f>
        <v/>
      </c>
      <c r="L326" s="45" t="str">
        <f aca="false">IF($K326="","","1:"&amp;$K326)</f>
        <v/>
      </c>
      <c r="M326" s="46"/>
      <c r="N326" s="53"/>
      <c r="O326" s="46"/>
      <c r="P326" s="47"/>
      <c r="Q326" s="48"/>
      <c r="R326" s="49"/>
      <c r="S326" s="54" t="str">
        <f aca="false">IF(OR($AC326=0,$U326="",$M326="",$V326="",$W326=""),"",IF(COUNTIFS(m_teacher,$M326,m_date,$U326,m_active,1,m_start,"&lt;"&amp;$W326,m_end,"&gt;"&amp;$V326)&gt;1,"충돌",""))</f>
        <v/>
      </c>
      <c r="T326" s="48"/>
      <c r="U326" s="55" t="str">
        <f aca="false">IF($G326="","",IFERROR(IF(ISNUMBER($G326),IF($G326&gt;19000000,DATE(INT($G326/10000),MOD(INT($G326/100),100),MOD($G326,100)),INT($G326)),IF(LEN(SUBSTITUTE(SUBSTITUTE(SUBSTITUTE(TRIM($G326),"-",""),".",""),"/",""))=8,DATE(VALUE(LEFT(SUBSTITUTE(SUBSTITUTE(SUBSTITUTE(TRIM($G326),"-",""),".",""),"/",""),4)),VALUE(MID(SUBSTITUTE(SUBSTITUTE(SUBSTITUTE(TRIM($G326),"-",""),".",""),"/",""),5,2)),VALUE(RIGHT(SUBSTITUTE(SUBSTITUTE(SUBSTITUTE(TRIM($G326),"-",""),".",""),"/",""),2))),DATEVALUE($G326))),""))</f>
        <v/>
      </c>
      <c r="V326" s="52" t="str">
        <f aca="false">IF($H326="","",IFERROR(IF(IF(ISNUMBER($H326),$H326,IFERROR(TIMEVALUE($H326),VALUE($H326)))&gt;=100,INT(IF(ISNUMBER($H326),$H326,IFERROR(TIMEVALUE($H326),VALUE($H326)))/100)*60+MOD(IF(ISNUMBER($H326),$H326,IFERROR(TIMEVALUE($H326),VALUE($H326))),100),IF(IF(ISNUMBER($H326),$H326,IFERROR(TIMEVALUE($H326),VALUE($H326)))&gt;=1,ROUND(IF(ISNUMBER($H326),$H326,IFERROR(TIMEVALUE($H326),VALUE($H326)))*60,0),ROUND(MOD(IF(ISNUMBER($H326),$H326,IFERROR(TIMEVALUE($H326),VALUE($H326))),1)*1440,0))),""))</f>
        <v/>
      </c>
      <c r="W326" s="52" t="str">
        <f aca="false">IF($I326="","",IFERROR(IF(IF(ISNUMBER($I326),$I326,IFERROR(TIMEVALUE($I326),VALUE($I326)))&gt;=100,INT(IF(ISNUMBER($I326),$I326,IFERROR(TIMEVALUE($I326),VALUE($I326)))/100)*60+MOD(IF(ISNUMBER($I326),$I326,IFERROR(TIMEVALUE($I326),VALUE($I326))),100),IF(IF(ISNUMBER($I326),$I326,IFERROR(TIMEVALUE($I326),VALUE($I326)))&gt;=1,ROUND(IF(ISNUMBER($I326),$I326,IFERROR(TIMEVALUE($I326),VALUE($I326)))*60,0),ROUND(MOD(IF(ISNUMBER($I326),$I326,IFERROR(TIMEVALUE($I326),VALUE($I326))),1)*1440,0))),""))</f>
        <v/>
      </c>
      <c r="X326" s="55" t="str">
        <f aca="false">IF($P326="","",IFERROR(IF(ISNUMBER($P326),IF($P326&gt;19000000,DATE(INT($P326/10000),MOD(INT($P326/100),100),MOD($P326,100)),INT($P326)),IF(LEN(SUBSTITUTE(SUBSTITUTE(SUBSTITUTE(TRIM($P326),"-",""),".",""),"/",""))=8,DATE(VALUE(LEFT(SUBSTITUTE(SUBSTITUTE(SUBSTITUTE(TRIM($P326),"-",""),".",""),"/",""),4)),VALUE(MID(SUBSTITUTE(SUBSTITUTE(SUBSTITUTE(TRIM($P326),"-",""),".",""),"/",""),5,2)),VALUE(RIGHT(SUBSTITUTE(SUBSTITUTE(SUBSTITUTE(TRIM($P326),"-",""),".",""),"/",""),2))),DATEVALUE($P326))),""))</f>
        <v/>
      </c>
      <c r="Y326" s="56" t="str">
        <f aca="false">IF($M326="","",IFERROR(INDEX(강사DB!$D$4:$D$53,MATCH($M326,강사DB!$A$4:$A$53,0)),""))</f>
        <v/>
      </c>
      <c r="Z326" s="56" t="str">
        <f aca="false">IF($B326&lt;&gt;"결제완료","",IF(OR($Y326="",$J326=""),"",$Y326*$J326+MAX(0,N($K326)-1)*설정!$J$7))</f>
        <v/>
      </c>
      <c r="AA326" s="56" t="str">
        <f aca="false">IF(AND($D326&lt;&gt;"",$B326="결제완료"),N($N326),"")</f>
        <v/>
      </c>
      <c r="AB326" s="45" t="str">
        <f aca="false">IF($D326="","",IF($F326&lt;&gt;"",$F326,$D326)&amp;IF($B326="상담중"," (상담)",""))</f>
        <v/>
      </c>
      <c r="AC326" s="45" t="n">
        <f aca="false">IF(AND($D326&lt;&gt;"",OR($B326="결제완료",$B326="상담중")),1,0)</f>
        <v>0</v>
      </c>
      <c r="AD326" s="45" t="n">
        <f aca="false">IF(OR($Z326="",$U326=""),0,IFERROR(IF(COUNTIFS(INDEX(g_grid,0,2*MATCH($M326,강사DB!$A$4:$A$15,0)),"&lt;&gt;",g_s,"&lt;="&amp;$U326,g_e,"&gt;="&amp;$U326)&gt;0,1,0),0))</f>
        <v>0</v>
      </c>
      <c r="AE326" s="48"/>
      <c r="AF326" s="56" t="str">
        <f aca="false">IF(AND($D326&lt;&gt;"",$B326="결제완료",$T326="대여"),설정!$J$5,"")</f>
        <v/>
      </c>
      <c r="AG326" s="54" t="str">
        <f aca="false">IF($D326="","",IF(AND($E326="",$R326=""),$AB326,"☎ "&amp;IF($E326="","-",$E326)&amp;IF($R326&lt;&gt;"","  ※ "&amp;$R326,"")&amp;IF($B326="상담중"," (상담)","")))</f>
        <v/>
      </c>
      <c r="AH326" s="56" t="str">
        <f aca="false">IF(AND($D326&lt;&gt;"",$B326="결제완료",$O326="스마트스토어"),ROUND(N($N326)*설정!$J$6,0),"")</f>
        <v/>
      </c>
      <c r="AI326" s="54" t="str">
        <f aca="false">IF($D326="","",ROW())</f>
        <v/>
      </c>
      <c r="AJ326" s="54" t="n">
        <f aca="false">IF(OR($AC326&lt;&gt;1,$M326=""),0,IF(ISNUMBER(SEARCH("퇴사",IFERROR(INDEX(강사DB!$G$4:$G$53,MATCH($M326,강사DB!$A$4:$A$53,0)),""))),1,0))</f>
        <v>0</v>
      </c>
    </row>
    <row r="327" customFormat="false" ht="15" hidden="false" customHeight="false" outlineLevel="0" collapsed="false">
      <c r="A327" s="45" t="str">
        <f aca="false">IF($D327="","",COUNTA($D$5:$D327))</f>
        <v/>
      </c>
      <c r="B327" s="46"/>
      <c r="C327" s="47"/>
      <c r="D327" s="48"/>
      <c r="E327" s="48"/>
      <c r="F327" s="49"/>
      <c r="G327" s="47"/>
      <c r="H327" s="50"/>
      <c r="I327" s="50"/>
      <c r="J327" s="51" t="str">
        <f aca="false">IF(OR($V327="",$W327=""),"",ROUND(($W327-$V327)/60,2))</f>
        <v/>
      </c>
      <c r="K327" s="52" t="str">
        <f aca="false">IF($F327="","",LEN($F327)-LEN(SUBSTITUTE($F327,",",""))+1)</f>
        <v/>
      </c>
      <c r="L327" s="45" t="str">
        <f aca="false">IF($K327="","","1:"&amp;$K327)</f>
        <v/>
      </c>
      <c r="M327" s="46"/>
      <c r="N327" s="53"/>
      <c r="O327" s="46"/>
      <c r="P327" s="47"/>
      <c r="Q327" s="48"/>
      <c r="R327" s="49"/>
      <c r="S327" s="54" t="str">
        <f aca="false">IF(OR($AC327=0,$U327="",$M327="",$V327="",$W327=""),"",IF(COUNTIFS(m_teacher,$M327,m_date,$U327,m_active,1,m_start,"&lt;"&amp;$W327,m_end,"&gt;"&amp;$V327)&gt;1,"충돌",""))</f>
        <v/>
      </c>
      <c r="T327" s="48"/>
      <c r="U327" s="55" t="str">
        <f aca="false">IF($G327="","",IFERROR(IF(ISNUMBER($G327),IF($G327&gt;19000000,DATE(INT($G327/10000),MOD(INT($G327/100),100),MOD($G327,100)),INT($G327)),IF(LEN(SUBSTITUTE(SUBSTITUTE(SUBSTITUTE(TRIM($G327),"-",""),".",""),"/",""))=8,DATE(VALUE(LEFT(SUBSTITUTE(SUBSTITUTE(SUBSTITUTE(TRIM($G327),"-",""),".",""),"/",""),4)),VALUE(MID(SUBSTITUTE(SUBSTITUTE(SUBSTITUTE(TRIM($G327),"-",""),".",""),"/",""),5,2)),VALUE(RIGHT(SUBSTITUTE(SUBSTITUTE(SUBSTITUTE(TRIM($G327),"-",""),".",""),"/",""),2))),DATEVALUE($G327))),""))</f>
        <v/>
      </c>
      <c r="V327" s="52" t="str">
        <f aca="false">IF($H327="","",IFERROR(IF(IF(ISNUMBER($H327),$H327,IFERROR(TIMEVALUE($H327),VALUE($H327)))&gt;=100,INT(IF(ISNUMBER($H327),$H327,IFERROR(TIMEVALUE($H327),VALUE($H327)))/100)*60+MOD(IF(ISNUMBER($H327),$H327,IFERROR(TIMEVALUE($H327),VALUE($H327))),100),IF(IF(ISNUMBER($H327),$H327,IFERROR(TIMEVALUE($H327),VALUE($H327)))&gt;=1,ROUND(IF(ISNUMBER($H327),$H327,IFERROR(TIMEVALUE($H327),VALUE($H327)))*60,0),ROUND(MOD(IF(ISNUMBER($H327),$H327,IFERROR(TIMEVALUE($H327),VALUE($H327))),1)*1440,0))),""))</f>
        <v/>
      </c>
      <c r="W327" s="52" t="str">
        <f aca="false">IF($I327="","",IFERROR(IF(IF(ISNUMBER($I327),$I327,IFERROR(TIMEVALUE($I327),VALUE($I327)))&gt;=100,INT(IF(ISNUMBER($I327),$I327,IFERROR(TIMEVALUE($I327),VALUE($I327)))/100)*60+MOD(IF(ISNUMBER($I327),$I327,IFERROR(TIMEVALUE($I327),VALUE($I327))),100),IF(IF(ISNUMBER($I327),$I327,IFERROR(TIMEVALUE($I327),VALUE($I327)))&gt;=1,ROUND(IF(ISNUMBER($I327),$I327,IFERROR(TIMEVALUE($I327),VALUE($I327)))*60,0),ROUND(MOD(IF(ISNUMBER($I327),$I327,IFERROR(TIMEVALUE($I327),VALUE($I327))),1)*1440,0))),""))</f>
        <v/>
      </c>
      <c r="X327" s="55" t="str">
        <f aca="false">IF($P327="","",IFERROR(IF(ISNUMBER($P327),IF($P327&gt;19000000,DATE(INT($P327/10000),MOD(INT($P327/100),100),MOD($P327,100)),INT($P327)),IF(LEN(SUBSTITUTE(SUBSTITUTE(SUBSTITUTE(TRIM($P327),"-",""),".",""),"/",""))=8,DATE(VALUE(LEFT(SUBSTITUTE(SUBSTITUTE(SUBSTITUTE(TRIM($P327),"-",""),".",""),"/",""),4)),VALUE(MID(SUBSTITUTE(SUBSTITUTE(SUBSTITUTE(TRIM($P327),"-",""),".",""),"/",""),5,2)),VALUE(RIGHT(SUBSTITUTE(SUBSTITUTE(SUBSTITUTE(TRIM($P327),"-",""),".",""),"/",""),2))),DATEVALUE($P327))),""))</f>
        <v/>
      </c>
      <c r="Y327" s="56" t="str">
        <f aca="false">IF($M327="","",IFERROR(INDEX(강사DB!$D$4:$D$53,MATCH($M327,강사DB!$A$4:$A$53,0)),""))</f>
        <v/>
      </c>
      <c r="Z327" s="56" t="str">
        <f aca="false">IF($B327&lt;&gt;"결제완료","",IF(OR($Y327="",$J327=""),"",$Y327*$J327+MAX(0,N($K327)-1)*설정!$J$7))</f>
        <v/>
      </c>
      <c r="AA327" s="56" t="str">
        <f aca="false">IF(AND($D327&lt;&gt;"",$B327="결제완료"),N($N327),"")</f>
        <v/>
      </c>
      <c r="AB327" s="45" t="str">
        <f aca="false">IF($D327="","",IF($F327&lt;&gt;"",$F327,$D327)&amp;IF($B327="상담중"," (상담)",""))</f>
        <v/>
      </c>
      <c r="AC327" s="45" t="n">
        <f aca="false">IF(AND($D327&lt;&gt;"",OR($B327="결제완료",$B327="상담중")),1,0)</f>
        <v>0</v>
      </c>
      <c r="AD327" s="45" t="n">
        <f aca="false">IF(OR($Z327="",$U327=""),0,IFERROR(IF(COUNTIFS(INDEX(g_grid,0,2*MATCH($M327,강사DB!$A$4:$A$15,0)),"&lt;&gt;",g_s,"&lt;="&amp;$U327,g_e,"&gt;="&amp;$U327)&gt;0,1,0),0))</f>
        <v>0</v>
      </c>
      <c r="AE327" s="48"/>
      <c r="AF327" s="56" t="str">
        <f aca="false">IF(AND($D327&lt;&gt;"",$B327="결제완료",$T327="대여"),설정!$J$5,"")</f>
        <v/>
      </c>
      <c r="AG327" s="54" t="str">
        <f aca="false">IF($D327="","",IF(AND($E327="",$R327=""),$AB327,"☎ "&amp;IF($E327="","-",$E327)&amp;IF($R327&lt;&gt;"","  ※ "&amp;$R327,"")&amp;IF($B327="상담중"," (상담)","")))</f>
        <v/>
      </c>
      <c r="AH327" s="56" t="str">
        <f aca="false">IF(AND($D327&lt;&gt;"",$B327="결제완료",$O327="스마트스토어"),ROUND(N($N327)*설정!$J$6,0),"")</f>
        <v/>
      </c>
      <c r="AI327" s="54" t="str">
        <f aca="false">IF($D327="","",ROW())</f>
        <v/>
      </c>
      <c r="AJ327" s="54" t="n">
        <f aca="false">IF(OR($AC327&lt;&gt;1,$M327=""),0,IF(ISNUMBER(SEARCH("퇴사",IFERROR(INDEX(강사DB!$G$4:$G$53,MATCH($M327,강사DB!$A$4:$A$53,0)),""))),1,0))</f>
        <v>0</v>
      </c>
    </row>
    <row r="328" customFormat="false" ht="15" hidden="false" customHeight="false" outlineLevel="0" collapsed="false">
      <c r="A328" s="45" t="str">
        <f aca="false">IF($D328="","",COUNTA($D$5:$D328))</f>
        <v/>
      </c>
      <c r="B328" s="46"/>
      <c r="C328" s="47"/>
      <c r="D328" s="48"/>
      <c r="E328" s="48"/>
      <c r="F328" s="49"/>
      <c r="G328" s="47"/>
      <c r="H328" s="50"/>
      <c r="I328" s="50"/>
      <c r="J328" s="51" t="str">
        <f aca="false">IF(OR($V328="",$W328=""),"",ROUND(($W328-$V328)/60,2))</f>
        <v/>
      </c>
      <c r="K328" s="52" t="str">
        <f aca="false">IF($F328="","",LEN($F328)-LEN(SUBSTITUTE($F328,",",""))+1)</f>
        <v/>
      </c>
      <c r="L328" s="45" t="str">
        <f aca="false">IF($K328="","","1:"&amp;$K328)</f>
        <v/>
      </c>
      <c r="M328" s="46"/>
      <c r="N328" s="53"/>
      <c r="O328" s="46"/>
      <c r="P328" s="47"/>
      <c r="Q328" s="48"/>
      <c r="R328" s="49"/>
      <c r="S328" s="54" t="str">
        <f aca="false">IF(OR($AC328=0,$U328="",$M328="",$V328="",$W328=""),"",IF(COUNTIFS(m_teacher,$M328,m_date,$U328,m_active,1,m_start,"&lt;"&amp;$W328,m_end,"&gt;"&amp;$V328)&gt;1,"충돌",""))</f>
        <v/>
      </c>
      <c r="T328" s="48"/>
      <c r="U328" s="55" t="str">
        <f aca="false">IF($G328="","",IFERROR(IF(ISNUMBER($G328),IF($G328&gt;19000000,DATE(INT($G328/10000),MOD(INT($G328/100),100),MOD($G328,100)),INT($G328)),IF(LEN(SUBSTITUTE(SUBSTITUTE(SUBSTITUTE(TRIM($G328),"-",""),".",""),"/",""))=8,DATE(VALUE(LEFT(SUBSTITUTE(SUBSTITUTE(SUBSTITUTE(TRIM($G328),"-",""),".",""),"/",""),4)),VALUE(MID(SUBSTITUTE(SUBSTITUTE(SUBSTITUTE(TRIM($G328),"-",""),".",""),"/",""),5,2)),VALUE(RIGHT(SUBSTITUTE(SUBSTITUTE(SUBSTITUTE(TRIM($G328),"-",""),".",""),"/",""),2))),DATEVALUE($G328))),""))</f>
        <v/>
      </c>
      <c r="V328" s="52" t="str">
        <f aca="false">IF($H328="","",IFERROR(IF(IF(ISNUMBER($H328),$H328,IFERROR(TIMEVALUE($H328),VALUE($H328)))&gt;=100,INT(IF(ISNUMBER($H328),$H328,IFERROR(TIMEVALUE($H328),VALUE($H328)))/100)*60+MOD(IF(ISNUMBER($H328),$H328,IFERROR(TIMEVALUE($H328),VALUE($H328))),100),IF(IF(ISNUMBER($H328),$H328,IFERROR(TIMEVALUE($H328),VALUE($H328)))&gt;=1,ROUND(IF(ISNUMBER($H328),$H328,IFERROR(TIMEVALUE($H328),VALUE($H328)))*60,0),ROUND(MOD(IF(ISNUMBER($H328),$H328,IFERROR(TIMEVALUE($H328),VALUE($H328))),1)*1440,0))),""))</f>
        <v/>
      </c>
      <c r="W328" s="52" t="str">
        <f aca="false">IF($I328="","",IFERROR(IF(IF(ISNUMBER($I328),$I328,IFERROR(TIMEVALUE($I328),VALUE($I328)))&gt;=100,INT(IF(ISNUMBER($I328),$I328,IFERROR(TIMEVALUE($I328),VALUE($I328)))/100)*60+MOD(IF(ISNUMBER($I328),$I328,IFERROR(TIMEVALUE($I328),VALUE($I328))),100),IF(IF(ISNUMBER($I328),$I328,IFERROR(TIMEVALUE($I328),VALUE($I328)))&gt;=1,ROUND(IF(ISNUMBER($I328),$I328,IFERROR(TIMEVALUE($I328),VALUE($I328)))*60,0),ROUND(MOD(IF(ISNUMBER($I328),$I328,IFERROR(TIMEVALUE($I328),VALUE($I328))),1)*1440,0))),""))</f>
        <v/>
      </c>
      <c r="X328" s="55" t="str">
        <f aca="false">IF($P328="","",IFERROR(IF(ISNUMBER($P328),IF($P328&gt;19000000,DATE(INT($P328/10000),MOD(INT($P328/100),100),MOD($P328,100)),INT($P328)),IF(LEN(SUBSTITUTE(SUBSTITUTE(SUBSTITUTE(TRIM($P328),"-",""),".",""),"/",""))=8,DATE(VALUE(LEFT(SUBSTITUTE(SUBSTITUTE(SUBSTITUTE(TRIM($P328),"-",""),".",""),"/",""),4)),VALUE(MID(SUBSTITUTE(SUBSTITUTE(SUBSTITUTE(TRIM($P328),"-",""),".",""),"/",""),5,2)),VALUE(RIGHT(SUBSTITUTE(SUBSTITUTE(SUBSTITUTE(TRIM($P328),"-",""),".",""),"/",""),2))),DATEVALUE($P328))),""))</f>
        <v/>
      </c>
      <c r="Y328" s="56" t="str">
        <f aca="false">IF($M328="","",IFERROR(INDEX(강사DB!$D$4:$D$53,MATCH($M328,강사DB!$A$4:$A$53,0)),""))</f>
        <v/>
      </c>
      <c r="Z328" s="56" t="str">
        <f aca="false">IF($B328&lt;&gt;"결제완료","",IF(OR($Y328="",$J328=""),"",$Y328*$J328+MAX(0,N($K328)-1)*설정!$J$7))</f>
        <v/>
      </c>
      <c r="AA328" s="56" t="str">
        <f aca="false">IF(AND($D328&lt;&gt;"",$B328="결제완료"),N($N328),"")</f>
        <v/>
      </c>
      <c r="AB328" s="45" t="str">
        <f aca="false">IF($D328="","",IF($F328&lt;&gt;"",$F328,$D328)&amp;IF($B328="상담중"," (상담)",""))</f>
        <v/>
      </c>
      <c r="AC328" s="45" t="n">
        <f aca="false">IF(AND($D328&lt;&gt;"",OR($B328="결제완료",$B328="상담중")),1,0)</f>
        <v>0</v>
      </c>
      <c r="AD328" s="45" t="n">
        <f aca="false">IF(OR($Z328="",$U328=""),0,IFERROR(IF(COUNTIFS(INDEX(g_grid,0,2*MATCH($M328,강사DB!$A$4:$A$15,0)),"&lt;&gt;",g_s,"&lt;="&amp;$U328,g_e,"&gt;="&amp;$U328)&gt;0,1,0),0))</f>
        <v>0</v>
      </c>
      <c r="AE328" s="48"/>
      <c r="AF328" s="56" t="str">
        <f aca="false">IF(AND($D328&lt;&gt;"",$B328="결제완료",$T328="대여"),설정!$J$5,"")</f>
        <v/>
      </c>
      <c r="AG328" s="54" t="str">
        <f aca="false">IF($D328="","",IF(AND($E328="",$R328=""),$AB328,"☎ "&amp;IF($E328="","-",$E328)&amp;IF($R328&lt;&gt;"","  ※ "&amp;$R328,"")&amp;IF($B328="상담중"," (상담)","")))</f>
        <v/>
      </c>
      <c r="AH328" s="56" t="str">
        <f aca="false">IF(AND($D328&lt;&gt;"",$B328="결제완료",$O328="스마트스토어"),ROUND(N($N328)*설정!$J$6,0),"")</f>
        <v/>
      </c>
      <c r="AI328" s="54" t="str">
        <f aca="false">IF($D328="","",ROW())</f>
        <v/>
      </c>
      <c r="AJ328" s="54" t="n">
        <f aca="false">IF(OR($AC328&lt;&gt;1,$M328=""),0,IF(ISNUMBER(SEARCH("퇴사",IFERROR(INDEX(강사DB!$G$4:$G$53,MATCH($M328,강사DB!$A$4:$A$53,0)),""))),1,0))</f>
        <v>0</v>
      </c>
    </row>
    <row r="329" customFormat="false" ht="15" hidden="false" customHeight="false" outlineLevel="0" collapsed="false">
      <c r="A329" s="45" t="str">
        <f aca="false">IF($D329="","",COUNTA($D$5:$D329))</f>
        <v/>
      </c>
      <c r="B329" s="46"/>
      <c r="C329" s="47"/>
      <c r="D329" s="48"/>
      <c r="E329" s="48"/>
      <c r="F329" s="49"/>
      <c r="G329" s="47"/>
      <c r="H329" s="50"/>
      <c r="I329" s="50"/>
      <c r="J329" s="51" t="str">
        <f aca="false">IF(OR($V329="",$W329=""),"",ROUND(($W329-$V329)/60,2))</f>
        <v/>
      </c>
      <c r="K329" s="52" t="str">
        <f aca="false">IF($F329="","",LEN($F329)-LEN(SUBSTITUTE($F329,",",""))+1)</f>
        <v/>
      </c>
      <c r="L329" s="45" t="str">
        <f aca="false">IF($K329="","","1:"&amp;$K329)</f>
        <v/>
      </c>
      <c r="M329" s="46"/>
      <c r="N329" s="53"/>
      <c r="O329" s="46"/>
      <c r="P329" s="47"/>
      <c r="Q329" s="48"/>
      <c r="R329" s="49"/>
      <c r="S329" s="54" t="str">
        <f aca="false">IF(OR($AC329=0,$U329="",$M329="",$V329="",$W329=""),"",IF(COUNTIFS(m_teacher,$M329,m_date,$U329,m_active,1,m_start,"&lt;"&amp;$W329,m_end,"&gt;"&amp;$V329)&gt;1,"충돌",""))</f>
        <v/>
      </c>
      <c r="T329" s="48"/>
      <c r="U329" s="55" t="str">
        <f aca="false">IF($G329="","",IFERROR(IF(ISNUMBER($G329),IF($G329&gt;19000000,DATE(INT($G329/10000),MOD(INT($G329/100),100),MOD($G329,100)),INT($G329)),IF(LEN(SUBSTITUTE(SUBSTITUTE(SUBSTITUTE(TRIM($G329),"-",""),".",""),"/",""))=8,DATE(VALUE(LEFT(SUBSTITUTE(SUBSTITUTE(SUBSTITUTE(TRIM($G329),"-",""),".",""),"/",""),4)),VALUE(MID(SUBSTITUTE(SUBSTITUTE(SUBSTITUTE(TRIM($G329),"-",""),".",""),"/",""),5,2)),VALUE(RIGHT(SUBSTITUTE(SUBSTITUTE(SUBSTITUTE(TRIM($G329),"-",""),".",""),"/",""),2))),DATEVALUE($G329))),""))</f>
        <v/>
      </c>
      <c r="V329" s="52" t="str">
        <f aca="false">IF($H329="","",IFERROR(IF(IF(ISNUMBER($H329),$H329,IFERROR(TIMEVALUE($H329),VALUE($H329)))&gt;=100,INT(IF(ISNUMBER($H329),$H329,IFERROR(TIMEVALUE($H329),VALUE($H329)))/100)*60+MOD(IF(ISNUMBER($H329),$H329,IFERROR(TIMEVALUE($H329),VALUE($H329))),100),IF(IF(ISNUMBER($H329),$H329,IFERROR(TIMEVALUE($H329),VALUE($H329)))&gt;=1,ROUND(IF(ISNUMBER($H329),$H329,IFERROR(TIMEVALUE($H329),VALUE($H329)))*60,0),ROUND(MOD(IF(ISNUMBER($H329),$H329,IFERROR(TIMEVALUE($H329),VALUE($H329))),1)*1440,0))),""))</f>
        <v/>
      </c>
      <c r="W329" s="52" t="str">
        <f aca="false">IF($I329="","",IFERROR(IF(IF(ISNUMBER($I329),$I329,IFERROR(TIMEVALUE($I329),VALUE($I329)))&gt;=100,INT(IF(ISNUMBER($I329),$I329,IFERROR(TIMEVALUE($I329),VALUE($I329)))/100)*60+MOD(IF(ISNUMBER($I329),$I329,IFERROR(TIMEVALUE($I329),VALUE($I329))),100),IF(IF(ISNUMBER($I329),$I329,IFERROR(TIMEVALUE($I329),VALUE($I329)))&gt;=1,ROUND(IF(ISNUMBER($I329),$I329,IFERROR(TIMEVALUE($I329),VALUE($I329)))*60,0),ROUND(MOD(IF(ISNUMBER($I329),$I329,IFERROR(TIMEVALUE($I329),VALUE($I329))),1)*1440,0))),""))</f>
        <v/>
      </c>
      <c r="X329" s="55" t="str">
        <f aca="false">IF($P329="","",IFERROR(IF(ISNUMBER($P329),IF($P329&gt;19000000,DATE(INT($P329/10000),MOD(INT($P329/100),100),MOD($P329,100)),INT($P329)),IF(LEN(SUBSTITUTE(SUBSTITUTE(SUBSTITUTE(TRIM($P329),"-",""),".",""),"/",""))=8,DATE(VALUE(LEFT(SUBSTITUTE(SUBSTITUTE(SUBSTITUTE(TRIM($P329),"-",""),".",""),"/",""),4)),VALUE(MID(SUBSTITUTE(SUBSTITUTE(SUBSTITUTE(TRIM($P329),"-",""),".",""),"/",""),5,2)),VALUE(RIGHT(SUBSTITUTE(SUBSTITUTE(SUBSTITUTE(TRIM($P329),"-",""),".",""),"/",""),2))),DATEVALUE($P329))),""))</f>
        <v/>
      </c>
      <c r="Y329" s="56" t="str">
        <f aca="false">IF($M329="","",IFERROR(INDEX(강사DB!$D$4:$D$53,MATCH($M329,강사DB!$A$4:$A$53,0)),""))</f>
        <v/>
      </c>
      <c r="Z329" s="56" t="str">
        <f aca="false">IF($B329&lt;&gt;"결제완료","",IF(OR($Y329="",$J329=""),"",$Y329*$J329+MAX(0,N($K329)-1)*설정!$J$7))</f>
        <v/>
      </c>
      <c r="AA329" s="56" t="str">
        <f aca="false">IF(AND($D329&lt;&gt;"",$B329="결제완료"),N($N329),"")</f>
        <v/>
      </c>
      <c r="AB329" s="45" t="str">
        <f aca="false">IF($D329="","",IF($F329&lt;&gt;"",$F329,$D329)&amp;IF($B329="상담중"," (상담)",""))</f>
        <v/>
      </c>
      <c r="AC329" s="45" t="n">
        <f aca="false">IF(AND($D329&lt;&gt;"",OR($B329="결제완료",$B329="상담중")),1,0)</f>
        <v>0</v>
      </c>
      <c r="AD329" s="45" t="n">
        <f aca="false">IF(OR($Z329="",$U329=""),0,IFERROR(IF(COUNTIFS(INDEX(g_grid,0,2*MATCH($M329,강사DB!$A$4:$A$15,0)),"&lt;&gt;",g_s,"&lt;="&amp;$U329,g_e,"&gt;="&amp;$U329)&gt;0,1,0),0))</f>
        <v>0</v>
      </c>
      <c r="AE329" s="48"/>
      <c r="AF329" s="56" t="str">
        <f aca="false">IF(AND($D329&lt;&gt;"",$B329="결제완료",$T329="대여"),설정!$J$5,"")</f>
        <v/>
      </c>
      <c r="AG329" s="54" t="str">
        <f aca="false">IF($D329="","",IF(AND($E329="",$R329=""),$AB329,"☎ "&amp;IF($E329="","-",$E329)&amp;IF($R329&lt;&gt;"","  ※ "&amp;$R329,"")&amp;IF($B329="상담중"," (상담)","")))</f>
        <v/>
      </c>
      <c r="AH329" s="56" t="str">
        <f aca="false">IF(AND($D329&lt;&gt;"",$B329="결제완료",$O329="스마트스토어"),ROUND(N($N329)*설정!$J$6,0),"")</f>
        <v/>
      </c>
      <c r="AI329" s="54" t="str">
        <f aca="false">IF($D329="","",ROW())</f>
        <v/>
      </c>
      <c r="AJ329" s="54" t="n">
        <f aca="false">IF(OR($AC329&lt;&gt;1,$M329=""),0,IF(ISNUMBER(SEARCH("퇴사",IFERROR(INDEX(강사DB!$G$4:$G$53,MATCH($M329,강사DB!$A$4:$A$53,0)),""))),1,0))</f>
        <v>0</v>
      </c>
    </row>
    <row r="330" customFormat="false" ht="15" hidden="false" customHeight="false" outlineLevel="0" collapsed="false">
      <c r="A330" s="45" t="str">
        <f aca="false">IF($D330="","",COUNTA($D$5:$D330))</f>
        <v/>
      </c>
      <c r="B330" s="46"/>
      <c r="C330" s="47"/>
      <c r="D330" s="48"/>
      <c r="E330" s="48"/>
      <c r="F330" s="49"/>
      <c r="G330" s="47"/>
      <c r="H330" s="50"/>
      <c r="I330" s="50"/>
      <c r="J330" s="51" t="str">
        <f aca="false">IF(OR($V330="",$W330=""),"",ROUND(($W330-$V330)/60,2))</f>
        <v/>
      </c>
      <c r="K330" s="52" t="str">
        <f aca="false">IF($F330="","",LEN($F330)-LEN(SUBSTITUTE($F330,",",""))+1)</f>
        <v/>
      </c>
      <c r="L330" s="45" t="str">
        <f aca="false">IF($K330="","","1:"&amp;$K330)</f>
        <v/>
      </c>
      <c r="M330" s="46"/>
      <c r="N330" s="53"/>
      <c r="O330" s="46"/>
      <c r="P330" s="47"/>
      <c r="Q330" s="48"/>
      <c r="R330" s="49"/>
      <c r="S330" s="54" t="str">
        <f aca="false">IF(OR($AC330=0,$U330="",$M330="",$V330="",$W330=""),"",IF(COUNTIFS(m_teacher,$M330,m_date,$U330,m_active,1,m_start,"&lt;"&amp;$W330,m_end,"&gt;"&amp;$V330)&gt;1,"충돌",""))</f>
        <v/>
      </c>
      <c r="T330" s="48"/>
      <c r="U330" s="55" t="str">
        <f aca="false">IF($G330="","",IFERROR(IF(ISNUMBER($G330),IF($G330&gt;19000000,DATE(INT($G330/10000),MOD(INT($G330/100),100),MOD($G330,100)),INT($G330)),IF(LEN(SUBSTITUTE(SUBSTITUTE(SUBSTITUTE(TRIM($G330),"-",""),".",""),"/",""))=8,DATE(VALUE(LEFT(SUBSTITUTE(SUBSTITUTE(SUBSTITUTE(TRIM($G330),"-",""),".",""),"/",""),4)),VALUE(MID(SUBSTITUTE(SUBSTITUTE(SUBSTITUTE(TRIM($G330),"-",""),".",""),"/",""),5,2)),VALUE(RIGHT(SUBSTITUTE(SUBSTITUTE(SUBSTITUTE(TRIM($G330),"-",""),".",""),"/",""),2))),DATEVALUE($G330))),""))</f>
        <v/>
      </c>
      <c r="V330" s="52" t="str">
        <f aca="false">IF($H330="","",IFERROR(IF(IF(ISNUMBER($H330),$H330,IFERROR(TIMEVALUE($H330),VALUE($H330)))&gt;=100,INT(IF(ISNUMBER($H330),$H330,IFERROR(TIMEVALUE($H330),VALUE($H330)))/100)*60+MOD(IF(ISNUMBER($H330),$H330,IFERROR(TIMEVALUE($H330),VALUE($H330))),100),IF(IF(ISNUMBER($H330),$H330,IFERROR(TIMEVALUE($H330),VALUE($H330)))&gt;=1,ROUND(IF(ISNUMBER($H330),$H330,IFERROR(TIMEVALUE($H330),VALUE($H330)))*60,0),ROUND(MOD(IF(ISNUMBER($H330),$H330,IFERROR(TIMEVALUE($H330),VALUE($H330))),1)*1440,0))),""))</f>
        <v/>
      </c>
      <c r="W330" s="52" t="str">
        <f aca="false">IF($I330="","",IFERROR(IF(IF(ISNUMBER($I330),$I330,IFERROR(TIMEVALUE($I330),VALUE($I330)))&gt;=100,INT(IF(ISNUMBER($I330),$I330,IFERROR(TIMEVALUE($I330),VALUE($I330)))/100)*60+MOD(IF(ISNUMBER($I330),$I330,IFERROR(TIMEVALUE($I330),VALUE($I330))),100),IF(IF(ISNUMBER($I330),$I330,IFERROR(TIMEVALUE($I330),VALUE($I330)))&gt;=1,ROUND(IF(ISNUMBER($I330),$I330,IFERROR(TIMEVALUE($I330),VALUE($I330)))*60,0),ROUND(MOD(IF(ISNUMBER($I330),$I330,IFERROR(TIMEVALUE($I330),VALUE($I330))),1)*1440,0))),""))</f>
        <v/>
      </c>
      <c r="X330" s="55" t="str">
        <f aca="false">IF($P330="","",IFERROR(IF(ISNUMBER($P330),IF($P330&gt;19000000,DATE(INT($P330/10000),MOD(INT($P330/100),100),MOD($P330,100)),INT($P330)),IF(LEN(SUBSTITUTE(SUBSTITUTE(SUBSTITUTE(TRIM($P330),"-",""),".",""),"/",""))=8,DATE(VALUE(LEFT(SUBSTITUTE(SUBSTITUTE(SUBSTITUTE(TRIM($P330),"-",""),".",""),"/",""),4)),VALUE(MID(SUBSTITUTE(SUBSTITUTE(SUBSTITUTE(TRIM($P330),"-",""),".",""),"/",""),5,2)),VALUE(RIGHT(SUBSTITUTE(SUBSTITUTE(SUBSTITUTE(TRIM($P330),"-",""),".",""),"/",""),2))),DATEVALUE($P330))),""))</f>
        <v/>
      </c>
      <c r="Y330" s="56" t="str">
        <f aca="false">IF($M330="","",IFERROR(INDEX(강사DB!$D$4:$D$53,MATCH($M330,강사DB!$A$4:$A$53,0)),""))</f>
        <v/>
      </c>
      <c r="Z330" s="56" t="str">
        <f aca="false">IF($B330&lt;&gt;"결제완료","",IF(OR($Y330="",$J330=""),"",$Y330*$J330+MAX(0,N($K330)-1)*설정!$J$7))</f>
        <v/>
      </c>
      <c r="AA330" s="56" t="str">
        <f aca="false">IF(AND($D330&lt;&gt;"",$B330="결제완료"),N($N330),"")</f>
        <v/>
      </c>
      <c r="AB330" s="45" t="str">
        <f aca="false">IF($D330="","",IF($F330&lt;&gt;"",$F330,$D330)&amp;IF($B330="상담중"," (상담)",""))</f>
        <v/>
      </c>
      <c r="AC330" s="45" t="n">
        <f aca="false">IF(AND($D330&lt;&gt;"",OR($B330="결제완료",$B330="상담중")),1,0)</f>
        <v>0</v>
      </c>
      <c r="AD330" s="45" t="n">
        <f aca="false">IF(OR($Z330="",$U330=""),0,IFERROR(IF(COUNTIFS(INDEX(g_grid,0,2*MATCH($M330,강사DB!$A$4:$A$15,0)),"&lt;&gt;",g_s,"&lt;="&amp;$U330,g_e,"&gt;="&amp;$U330)&gt;0,1,0),0))</f>
        <v>0</v>
      </c>
      <c r="AE330" s="48"/>
      <c r="AF330" s="56" t="str">
        <f aca="false">IF(AND($D330&lt;&gt;"",$B330="결제완료",$T330="대여"),설정!$J$5,"")</f>
        <v/>
      </c>
      <c r="AG330" s="54" t="str">
        <f aca="false">IF($D330="","",IF(AND($E330="",$R330=""),$AB330,"☎ "&amp;IF($E330="","-",$E330)&amp;IF($R330&lt;&gt;"","  ※ "&amp;$R330,"")&amp;IF($B330="상담중"," (상담)","")))</f>
        <v/>
      </c>
      <c r="AH330" s="56" t="str">
        <f aca="false">IF(AND($D330&lt;&gt;"",$B330="결제완료",$O330="스마트스토어"),ROUND(N($N330)*설정!$J$6,0),"")</f>
        <v/>
      </c>
      <c r="AI330" s="54" t="str">
        <f aca="false">IF($D330="","",ROW())</f>
        <v/>
      </c>
      <c r="AJ330" s="54" t="n">
        <f aca="false">IF(OR($AC330&lt;&gt;1,$M330=""),0,IF(ISNUMBER(SEARCH("퇴사",IFERROR(INDEX(강사DB!$G$4:$G$53,MATCH($M330,강사DB!$A$4:$A$53,0)),""))),1,0))</f>
        <v>0</v>
      </c>
    </row>
    <row r="331" customFormat="false" ht="15" hidden="false" customHeight="false" outlineLevel="0" collapsed="false">
      <c r="A331" s="45" t="str">
        <f aca="false">IF($D331="","",COUNTA($D$5:$D331))</f>
        <v/>
      </c>
      <c r="B331" s="46"/>
      <c r="C331" s="47"/>
      <c r="D331" s="48"/>
      <c r="E331" s="48"/>
      <c r="F331" s="49"/>
      <c r="G331" s="47"/>
      <c r="H331" s="50"/>
      <c r="I331" s="50"/>
      <c r="J331" s="51" t="str">
        <f aca="false">IF(OR($V331="",$W331=""),"",ROUND(($W331-$V331)/60,2))</f>
        <v/>
      </c>
      <c r="K331" s="52" t="str">
        <f aca="false">IF($F331="","",LEN($F331)-LEN(SUBSTITUTE($F331,",",""))+1)</f>
        <v/>
      </c>
      <c r="L331" s="45" t="str">
        <f aca="false">IF($K331="","","1:"&amp;$K331)</f>
        <v/>
      </c>
      <c r="M331" s="46"/>
      <c r="N331" s="53"/>
      <c r="O331" s="46"/>
      <c r="P331" s="47"/>
      <c r="Q331" s="48"/>
      <c r="R331" s="49"/>
      <c r="S331" s="54" t="str">
        <f aca="false">IF(OR($AC331=0,$U331="",$M331="",$V331="",$W331=""),"",IF(COUNTIFS(m_teacher,$M331,m_date,$U331,m_active,1,m_start,"&lt;"&amp;$W331,m_end,"&gt;"&amp;$V331)&gt;1,"충돌",""))</f>
        <v/>
      </c>
      <c r="T331" s="48"/>
      <c r="U331" s="55" t="str">
        <f aca="false">IF($G331="","",IFERROR(IF(ISNUMBER($G331),IF($G331&gt;19000000,DATE(INT($G331/10000),MOD(INT($G331/100),100),MOD($G331,100)),INT($G331)),IF(LEN(SUBSTITUTE(SUBSTITUTE(SUBSTITUTE(TRIM($G331),"-",""),".",""),"/",""))=8,DATE(VALUE(LEFT(SUBSTITUTE(SUBSTITUTE(SUBSTITUTE(TRIM($G331),"-",""),".",""),"/",""),4)),VALUE(MID(SUBSTITUTE(SUBSTITUTE(SUBSTITUTE(TRIM($G331),"-",""),".",""),"/",""),5,2)),VALUE(RIGHT(SUBSTITUTE(SUBSTITUTE(SUBSTITUTE(TRIM($G331),"-",""),".",""),"/",""),2))),DATEVALUE($G331))),""))</f>
        <v/>
      </c>
      <c r="V331" s="52" t="str">
        <f aca="false">IF($H331="","",IFERROR(IF(IF(ISNUMBER($H331),$H331,IFERROR(TIMEVALUE($H331),VALUE($H331)))&gt;=100,INT(IF(ISNUMBER($H331),$H331,IFERROR(TIMEVALUE($H331),VALUE($H331)))/100)*60+MOD(IF(ISNUMBER($H331),$H331,IFERROR(TIMEVALUE($H331),VALUE($H331))),100),IF(IF(ISNUMBER($H331),$H331,IFERROR(TIMEVALUE($H331),VALUE($H331)))&gt;=1,ROUND(IF(ISNUMBER($H331),$H331,IFERROR(TIMEVALUE($H331),VALUE($H331)))*60,0),ROUND(MOD(IF(ISNUMBER($H331),$H331,IFERROR(TIMEVALUE($H331),VALUE($H331))),1)*1440,0))),""))</f>
        <v/>
      </c>
      <c r="W331" s="52" t="str">
        <f aca="false">IF($I331="","",IFERROR(IF(IF(ISNUMBER($I331),$I331,IFERROR(TIMEVALUE($I331),VALUE($I331)))&gt;=100,INT(IF(ISNUMBER($I331),$I331,IFERROR(TIMEVALUE($I331),VALUE($I331)))/100)*60+MOD(IF(ISNUMBER($I331),$I331,IFERROR(TIMEVALUE($I331),VALUE($I331))),100),IF(IF(ISNUMBER($I331),$I331,IFERROR(TIMEVALUE($I331),VALUE($I331)))&gt;=1,ROUND(IF(ISNUMBER($I331),$I331,IFERROR(TIMEVALUE($I331),VALUE($I331)))*60,0),ROUND(MOD(IF(ISNUMBER($I331),$I331,IFERROR(TIMEVALUE($I331),VALUE($I331))),1)*1440,0))),""))</f>
        <v/>
      </c>
      <c r="X331" s="55" t="str">
        <f aca="false">IF($P331="","",IFERROR(IF(ISNUMBER($P331),IF($P331&gt;19000000,DATE(INT($P331/10000),MOD(INT($P331/100),100),MOD($P331,100)),INT($P331)),IF(LEN(SUBSTITUTE(SUBSTITUTE(SUBSTITUTE(TRIM($P331),"-",""),".",""),"/",""))=8,DATE(VALUE(LEFT(SUBSTITUTE(SUBSTITUTE(SUBSTITUTE(TRIM($P331),"-",""),".",""),"/",""),4)),VALUE(MID(SUBSTITUTE(SUBSTITUTE(SUBSTITUTE(TRIM($P331),"-",""),".",""),"/",""),5,2)),VALUE(RIGHT(SUBSTITUTE(SUBSTITUTE(SUBSTITUTE(TRIM($P331),"-",""),".",""),"/",""),2))),DATEVALUE($P331))),""))</f>
        <v/>
      </c>
      <c r="Y331" s="56" t="str">
        <f aca="false">IF($M331="","",IFERROR(INDEX(강사DB!$D$4:$D$53,MATCH($M331,강사DB!$A$4:$A$53,0)),""))</f>
        <v/>
      </c>
      <c r="Z331" s="56" t="str">
        <f aca="false">IF($B331&lt;&gt;"결제완료","",IF(OR($Y331="",$J331=""),"",$Y331*$J331+MAX(0,N($K331)-1)*설정!$J$7))</f>
        <v/>
      </c>
      <c r="AA331" s="56" t="str">
        <f aca="false">IF(AND($D331&lt;&gt;"",$B331="결제완료"),N($N331),"")</f>
        <v/>
      </c>
      <c r="AB331" s="45" t="str">
        <f aca="false">IF($D331="","",IF($F331&lt;&gt;"",$F331,$D331)&amp;IF($B331="상담중"," (상담)",""))</f>
        <v/>
      </c>
      <c r="AC331" s="45" t="n">
        <f aca="false">IF(AND($D331&lt;&gt;"",OR($B331="결제완료",$B331="상담중")),1,0)</f>
        <v>0</v>
      </c>
      <c r="AD331" s="45" t="n">
        <f aca="false">IF(OR($Z331="",$U331=""),0,IFERROR(IF(COUNTIFS(INDEX(g_grid,0,2*MATCH($M331,강사DB!$A$4:$A$15,0)),"&lt;&gt;",g_s,"&lt;="&amp;$U331,g_e,"&gt;="&amp;$U331)&gt;0,1,0),0))</f>
        <v>0</v>
      </c>
      <c r="AE331" s="48"/>
      <c r="AF331" s="56" t="str">
        <f aca="false">IF(AND($D331&lt;&gt;"",$B331="결제완료",$T331="대여"),설정!$J$5,"")</f>
        <v/>
      </c>
      <c r="AG331" s="54" t="str">
        <f aca="false">IF($D331="","",IF(AND($E331="",$R331=""),$AB331,"☎ "&amp;IF($E331="","-",$E331)&amp;IF($R331&lt;&gt;"","  ※ "&amp;$R331,"")&amp;IF($B331="상담중"," (상담)","")))</f>
        <v/>
      </c>
      <c r="AH331" s="56" t="str">
        <f aca="false">IF(AND($D331&lt;&gt;"",$B331="결제완료",$O331="스마트스토어"),ROUND(N($N331)*설정!$J$6,0),"")</f>
        <v/>
      </c>
      <c r="AI331" s="54" t="str">
        <f aca="false">IF($D331="","",ROW())</f>
        <v/>
      </c>
      <c r="AJ331" s="54" t="n">
        <f aca="false">IF(OR($AC331&lt;&gt;1,$M331=""),0,IF(ISNUMBER(SEARCH("퇴사",IFERROR(INDEX(강사DB!$G$4:$G$53,MATCH($M331,강사DB!$A$4:$A$53,0)),""))),1,0))</f>
        <v>0</v>
      </c>
    </row>
    <row r="332" customFormat="false" ht="15" hidden="false" customHeight="false" outlineLevel="0" collapsed="false">
      <c r="A332" s="45" t="str">
        <f aca="false">IF($D332="","",COUNTA($D$5:$D332))</f>
        <v/>
      </c>
      <c r="B332" s="46"/>
      <c r="C332" s="47"/>
      <c r="D332" s="48"/>
      <c r="E332" s="48"/>
      <c r="F332" s="49"/>
      <c r="G332" s="47"/>
      <c r="H332" s="50"/>
      <c r="I332" s="50"/>
      <c r="J332" s="51" t="str">
        <f aca="false">IF(OR($V332="",$W332=""),"",ROUND(($W332-$V332)/60,2))</f>
        <v/>
      </c>
      <c r="K332" s="52" t="str">
        <f aca="false">IF($F332="","",LEN($F332)-LEN(SUBSTITUTE($F332,",",""))+1)</f>
        <v/>
      </c>
      <c r="L332" s="45" t="str">
        <f aca="false">IF($K332="","","1:"&amp;$K332)</f>
        <v/>
      </c>
      <c r="M332" s="46"/>
      <c r="N332" s="53"/>
      <c r="O332" s="46"/>
      <c r="P332" s="47"/>
      <c r="Q332" s="48"/>
      <c r="R332" s="49"/>
      <c r="S332" s="54" t="str">
        <f aca="false">IF(OR($AC332=0,$U332="",$M332="",$V332="",$W332=""),"",IF(COUNTIFS(m_teacher,$M332,m_date,$U332,m_active,1,m_start,"&lt;"&amp;$W332,m_end,"&gt;"&amp;$V332)&gt;1,"충돌",""))</f>
        <v/>
      </c>
      <c r="T332" s="48"/>
      <c r="U332" s="55" t="str">
        <f aca="false">IF($G332="","",IFERROR(IF(ISNUMBER($G332),IF($G332&gt;19000000,DATE(INT($G332/10000),MOD(INT($G332/100),100),MOD($G332,100)),INT($G332)),IF(LEN(SUBSTITUTE(SUBSTITUTE(SUBSTITUTE(TRIM($G332),"-",""),".",""),"/",""))=8,DATE(VALUE(LEFT(SUBSTITUTE(SUBSTITUTE(SUBSTITUTE(TRIM($G332),"-",""),".",""),"/",""),4)),VALUE(MID(SUBSTITUTE(SUBSTITUTE(SUBSTITUTE(TRIM($G332),"-",""),".",""),"/",""),5,2)),VALUE(RIGHT(SUBSTITUTE(SUBSTITUTE(SUBSTITUTE(TRIM($G332),"-",""),".",""),"/",""),2))),DATEVALUE($G332))),""))</f>
        <v/>
      </c>
      <c r="V332" s="52" t="str">
        <f aca="false">IF($H332="","",IFERROR(IF(IF(ISNUMBER($H332),$H332,IFERROR(TIMEVALUE($H332),VALUE($H332)))&gt;=100,INT(IF(ISNUMBER($H332),$H332,IFERROR(TIMEVALUE($H332),VALUE($H332)))/100)*60+MOD(IF(ISNUMBER($H332),$H332,IFERROR(TIMEVALUE($H332),VALUE($H332))),100),IF(IF(ISNUMBER($H332),$H332,IFERROR(TIMEVALUE($H332),VALUE($H332)))&gt;=1,ROUND(IF(ISNUMBER($H332),$H332,IFERROR(TIMEVALUE($H332),VALUE($H332)))*60,0),ROUND(MOD(IF(ISNUMBER($H332),$H332,IFERROR(TIMEVALUE($H332),VALUE($H332))),1)*1440,0))),""))</f>
        <v/>
      </c>
      <c r="W332" s="52" t="str">
        <f aca="false">IF($I332="","",IFERROR(IF(IF(ISNUMBER($I332),$I332,IFERROR(TIMEVALUE($I332),VALUE($I332)))&gt;=100,INT(IF(ISNUMBER($I332),$I332,IFERROR(TIMEVALUE($I332),VALUE($I332)))/100)*60+MOD(IF(ISNUMBER($I332),$I332,IFERROR(TIMEVALUE($I332),VALUE($I332))),100),IF(IF(ISNUMBER($I332),$I332,IFERROR(TIMEVALUE($I332),VALUE($I332)))&gt;=1,ROUND(IF(ISNUMBER($I332),$I332,IFERROR(TIMEVALUE($I332),VALUE($I332)))*60,0),ROUND(MOD(IF(ISNUMBER($I332),$I332,IFERROR(TIMEVALUE($I332),VALUE($I332))),1)*1440,0))),""))</f>
        <v/>
      </c>
      <c r="X332" s="55" t="str">
        <f aca="false">IF($P332="","",IFERROR(IF(ISNUMBER($P332),IF($P332&gt;19000000,DATE(INT($P332/10000),MOD(INT($P332/100),100),MOD($P332,100)),INT($P332)),IF(LEN(SUBSTITUTE(SUBSTITUTE(SUBSTITUTE(TRIM($P332),"-",""),".",""),"/",""))=8,DATE(VALUE(LEFT(SUBSTITUTE(SUBSTITUTE(SUBSTITUTE(TRIM($P332),"-",""),".",""),"/",""),4)),VALUE(MID(SUBSTITUTE(SUBSTITUTE(SUBSTITUTE(TRIM($P332),"-",""),".",""),"/",""),5,2)),VALUE(RIGHT(SUBSTITUTE(SUBSTITUTE(SUBSTITUTE(TRIM($P332),"-",""),".",""),"/",""),2))),DATEVALUE($P332))),""))</f>
        <v/>
      </c>
      <c r="Y332" s="56" t="str">
        <f aca="false">IF($M332="","",IFERROR(INDEX(강사DB!$D$4:$D$53,MATCH($M332,강사DB!$A$4:$A$53,0)),""))</f>
        <v/>
      </c>
      <c r="Z332" s="56" t="str">
        <f aca="false">IF($B332&lt;&gt;"결제완료","",IF(OR($Y332="",$J332=""),"",$Y332*$J332+MAX(0,N($K332)-1)*설정!$J$7))</f>
        <v/>
      </c>
      <c r="AA332" s="56" t="str">
        <f aca="false">IF(AND($D332&lt;&gt;"",$B332="결제완료"),N($N332),"")</f>
        <v/>
      </c>
      <c r="AB332" s="45" t="str">
        <f aca="false">IF($D332="","",IF($F332&lt;&gt;"",$F332,$D332)&amp;IF($B332="상담중"," (상담)",""))</f>
        <v/>
      </c>
      <c r="AC332" s="45" t="n">
        <f aca="false">IF(AND($D332&lt;&gt;"",OR($B332="결제완료",$B332="상담중")),1,0)</f>
        <v>0</v>
      </c>
      <c r="AD332" s="45" t="n">
        <f aca="false">IF(OR($Z332="",$U332=""),0,IFERROR(IF(COUNTIFS(INDEX(g_grid,0,2*MATCH($M332,강사DB!$A$4:$A$15,0)),"&lt;&gt;",g_s,"&lt;="&amp;$U332,g_e,"&gt;="&amp;$U332)&gt;0,1,0),0))</f>
        <v>0</v>
      </c>
      <c r="AE332" s="48"/>
      <c r="AF332" s="56" t="str">
        <f aca="false">IF(AND($D332&lt;&gt;"",$B332="결제완료",$T332="대여"),설정!$J$5,"")</f>
        <v/>
      </c>
      <c r="AG332" s="54" t="str">
        <f aca="false">IF($D332="","",IF(AND($E332="",$R332=""),$AB332,"☎ "&amp;IF($E332="","-",$E332)&amp;IF($R332&lt;&gt;"","  ※ "&amp;$R332,"")&amp;IF($B332="상담중"," (상담)","")))</f>
        <v/>
      </c>
      <c r="AH332" s="56" t="str">
        <f aca="false">IF(AND($D332&lt;&gt;"",$B332="결제완료",$O332="스마트스토어"),ROUND(N($N332)*설정!$J$6,0),"")</f>
        <v/>
      </c>
      <c r="AI332" s="54" t="str">
        <f aca="false">IF($D332="","",ROW())</f>
        <v/>
      </c>
      <c r="AJ332" s="54" t="n">
        <f aca="false">IF(OR($AC332&lt;&gt;1,$M332=""),0,IF(ISNUMBER(SEARCH("퇴사",IFERROR(INDEX(강사DB!$G$4:$G$53,MATCH($M332,강사DB!$A$4:$A$53,0)),""))),1,0))</f>
        <v>0</v>
      </c>
    </row>
    <row r="333" customFormat="false" ht="15" hidden="false" customHeight="false" outlineLevel="0" collapsed="false">
      <c r="A333" s="45" t="str">
        <f aca="false">IF($D333="","",COUNTA($D$5:$D333))</f>
        <v/>
      </c>
      <c r="B333" s="46"/>
      <c r="C333" s="47"/>
      <c r="D333" s="48"/>
      <c r="E333" s="48"/>
      <c r="F333" s="49"/>
      <c r="G333" s="47"/>
      <c r="H333" s="50"/>
      <c r="I333" s="50"/>
      <c r="J333" s="51" t="str">
        <f aca="false">IF(OR($V333="",$W333=""),"",ROUND(($W333-$V333)/60,2))</f>
        <v/>
      </c>
      <c r="K333" s="52" t="str">
        <f aca="false">IF($F333="","",LEN($F333)-LEN(SUBSTITUTE($F333,",",""))+1)</f>
        <v/>
      </c>
      <c r="L333" s="45" t="str">
        <f aca="false">IF($K333="","","1:"&amp;$K333)</f>
        <v/>
      </c>
      <c r="M333" s="46"/>
      <c r="N333" s="53"/>
      <c r="O333" s="46"/>
      <c r="P333" s="47"/>
      <c r="Q333" s="48"/>
      <c r="R333" s="49"/>
      <c r="S333" s="54" t="str">
        <f aca="false">IF(OR($AC333=0,$U333="",$M333="",$V333="",$W333=""),"",IF(COUNTIFS(m_teacher,$M333,m_date,$U333,m_active,1,m_start,"&lt;"&amp;$W333,m_end,"&gt;"&amp;$V333)&gt;1,"충돌",""))</f>
        <v/>
      </c>
      <c r="T333" s="48"/>
      <c r="U333" s="55" t="str">
        <f aca="false">IF($G333="","",IFERROR(IF(ISNUMBER($G333),IF($G333&gt;19000000,DATE(INT($G333/10000),MOD(INT($G333/100),100),MOD($G333,100)),INT($G333)),IF(LEN(SUBSTITUTE(SUBSTITUTE(SUBSTITUTE(TRIM($G333),"-",""),".",""),"/",""))=8,DATE(VALUE(LEFT(SUBSTITUTE(SUBSTITUTE(SUBSTITUTE(TRIM($G333),"-",""),".",""),"/",""),4)),VALUE(MID(SUBSTITUTE(SUBSTITUTE(SUBSTITUTE(TRIM($G333),"-",""),".",""),"/",""),5,2)),VALUE(RIGHT(SUBSTITUTE(SUBSTITUTE(SUBSTITUTE(TRIM($G333),"-",""),".",""),"/",""),2))),DATEVALUE($G333))),""))</f>
        <v/>
      </c>
      <c r="V333" s="52" t="str">
        <f aca="false">IF($H333="","",IFERROR(IF(IF(ISNUMBER($H333),$H333,IFERROR(TIMEVALUE($H333),VALUE($H333)))&gt;=100,INT(IF(ISNUMBER($H333),$H333,IFERROR(TIMEVALUE($H333),VALUE($H333)))/100)*60+MOD(IF(ISNUMBER($H333),$H333,IFERROR(TIMEVALUE($H333),VALUE($H333))),100),IF(IF(ISNUMBER($H333),$H333,IFERROR(TIMEVALUE($H333),VALUE($H333)))&gt;=1,ROUND(IF(ISNUMBER($H333),$H333,IFERROR(TIMEVALUE($H333),VALUE($H333)))*60,0),ROUND(MOD(IF(ISNUMBER($H333),$H333,IFERROR(TIMEVALUE($H333),VALUE($H333))),1)*1440,0))),""))</f>
        <v/>
      </c>
      <c r="W333" s="52" t="str">
        <f aca="false">IF($I333="","",IFERROR(IF(IF(ISNUMBER($I333),$I333,IFERROR(TIMEVALUE($I333),VALUE($I333)))&gt;=100,INT(IF(ISNUMBER($I333),$I333,IFERROR(TIMEVALUE($I333),VALUE($I333)))/100)*60+MOD(IF(ISNUMBER($I333),$I333,IFERROR(TIMEVALUE($I333),VALUE($I333))),100),IF(IF(ISNUMBER($I333),$I333,IFERROR(TIMEVALUE($I333),VALUE($I333)))&gt;=1,ROUND(IF(ISNUMBER($I333),$I333,IFERROR(TIMEVALUE($I333),VALUE($I333)))*60,0),ROUND(MOD(IF(ISNUMBER($I333),$I333,IFERROR(TIMEVALUE($I333),VALUE($I333))),1)*1440,0))),""))</f>
        <v/>
      </c>
      <c r="X333" s="55" t="str">
        <f aca="false">IF($P333="","",IFERROR(IF(ISNUMBER($P333),IF($P333&gt;19000000,DATE(INT($P333/10000),MOD(INT($P333/100),100),MOD($P333,100)),INT($P333)),IF(LEN(SUBSTITUTE(SUBSTITUTE(SUBSTITUTE(TRIM($P333),"-",""),".",""),"/",""))=8,DATE(VALUE(LEFT(SUBSTITUTE(SUBSTITUTE(SUBSTITUTE(TRIM($P333),"-",""),".",""),"/",""),4)),VALUE(MID(SUBSTITUTE(SUBSTITUTE(SUBSTITUTE(TRIM($P333),"-",""),".",""),"/",""),5,2)),VALUE(RIGHT(SUBSTITUTE(SUBSTITUTE(SUBSTITUTE(TRIM($P333),"-",""),".",""),"/",""),2))),DATEVALUE($P333))),""))</f>
        <v/>
      </c>
      <c r="Y333" s="56" t="str">
        <f aca="false">IF($M333="","",IFERROR(INDEX(강사DB!$D$4:$D$53,MATCH($M333,강사DB!$A$4:$A$53,0)),""))</f>
        <v/>
      </c>
      <c r="Z333" s="56" t="str">
        <f aca="false">IF($B333&lt;&gt;"결제완료","",IF(OR($Y333="",$J333=""),"",$Y333*$J333+MAX(0,N($K333)-1)*설정!$J$7))</f>
        <v/>
      </c>
      <c r="AA333" s="56" t="str">
        <f aca="false">IF(AND($D333&lt;&gt;"",$B333="결제완료"),N($N333),"")</f>
        <v/>
      </c>
      <c r="AB333" s="45" t="str">
        <f aca="false">IF($D333="","",IF($F333&lt;&gt;"",$F333,$D333)&amp;IF($B333="상담중"," (상담)",""))</f>
        <v/>
      </c>
      <c r="AC333" s="45" t="n">
        <f aca="false">IF(AND($D333&lt;&gt;"",OR($B333="결제완료",$B333="상담중")),1,0)</f>
        <v>0</v>
      </c>
      <c r="AD333" s="45" t="n">
        <f aca="false">IF(OR($Z333="",$U333=""),0,IFERROR(IF(COUNTIFS(INDEX(g_grid,0,2*MATCH($M333,강사DB!$A$4:$A$15,0)),"&lt;&gt;",g_s,"&lt;="&amp;$U333,g_e,"&gt;="&amp;$U333)&gt;0,1,0),0))</f>
        <v>0</v>
      </c>
      <c r="AE333" s="48"/>
      <c r="AF333" s="56" t="str">
        <f aca="false">IF(AND($D333&lt;&gt;"",$B333="결제완료",$T333="대여"),설정!$J$5,"")</f>
        <v/>
      </c>
      <c r="AG333" s="54" t="str">
        <f aca="false">IF($D333="","",IF(AND($E333="",$R333=""),$AB333,"☎ "&amp;IF($E333="","-",$E333)&amp;IF($R333&lt;&gt;"","  ※ "&amp;$R333,"")&amp;IF($B333="상담중"," (상담)","")))</f>
        <v/>
      </c>
      <c r="AH333" s="56" t="str">
        <f aca="false">IF(AND($D333&lt;&gt;"",$B333="결제완료",$O333="스마트스토어"),ROUND(N($N333)*설정!$J$6,0),"")</f>
        <v/>
      </c>
      <c r="AI333" s="54" t="str">
        <f aca="false">IF($D333="","",ROW())</f>
        <v/>
      </c>
      <c r="AJ333" s="54" t="n">
        <f aca="false">IF(OR($AC333&lt;&gt;1,$M333=""),0,IF(ISNUMBER(SEARCH("퇴사",IFERROR(INDEX(강사DB!$G$4:$G$53,MATCH($M333,강사DB!$A$4:$A$53,0)),""))),1,0))</f>
        <v>0</v>
      </c>
    </row>
    <row r="334" customFormat="false" ht="15" hidden="false" customHeight="false" outlineLevel="0" collapsed="false">
      <c r="A334" s="45" t="str">
        <f aca="false">IF($D334="","",COUNTA($D$5:$D334))</f>
        <v/>
      </c>
      <c r="B334" s="46"/>
      <c r="C334" s="47"/>
      <c r="D334" s="48"/>
      <c r="E334" s="48"/>
      <c r="F334" s="49"/>
      <c r="G334" s="47"/>
      <c r="H334" s="50"/>
      <c r="I334" s="50"/>
      <c r="J334" s="51" t="str">
        <f aca="false">IF(OR($V334="",$W334=""),"",ROUND(($W334-$V334)/60,2))</f>
        <v/>
      </c>
      <c r="K334" s="52" t="str">
        <f aca="false">IF($F334="","",LEN($F334)-LEN(SUBSTITUTE($F334,",",""))+1)</f>
        <v/>
      </c>
      <c r="L334" s="45" t="str">
        <f aca="false">IF($K334="","","1:"&amp;$K334)</f>
        <v/>
      </c>
      <c r="M334" s="46"/>
      <c r="N334" s="53"/>
      <c r="O334" s="46"/>
      <c r="P334" s="47"/>
      <c r="Q334" s="48"/>
      <c r="R334" s="49"/>
      <c r="S334" s="54" t="str">
        <f aca="false">IF(OR($AC334=0,$U334="",$M334="",$V334="",$W334=""),"",IF(COUNTIFS(m_teacher,$M334,m_date,$U334,m_active,1,m_start,"&lt;"&amp;$W334,m_end,"&gt;"&amp;$V334)&gt;1,"충돌",""))</f>
        <v/>
      </c>
      <c r="T334" s="48"/>
      <c r="U334" s="55" t="str">
        <f aca="false">IF($G334="","",IFERROR(IF(ISNUMBER($G334),IF($G334&gt;19000000,DATE(INT($G334/10000),MOD(INT($G334/100),100),MOD($G334,100)),INT($G334)),IF(LEN(SUBSTITUTE(SUBSTITUTE(SUBSTITUTE(TRIM($G334),"-",""),".",""),"/",""))=8,DATE(VALUE(LEFT(SUBSTITUTE(SUBSTITUTE(SUBSTITUTE(TRIM($G334),"-",""),".",""),"/",""),4)),VALUE(MID(SUBSTITUTE(SUBSTITUTE(SUBSTITUTE(TRIM($G334),"-",""),".",""),"/",""),5,2)),VALUE(RIGHT(SUBSTITUTE(SUBSTITUTE(SUBSTITUTE(TRIM($G334),"-",""),".",""),"/",""),2))),DATEVALUE($G334))),""))</f>
        <v/>
      </c>
      <c r="V334" s="52" t="str">
        <f aca="false">IF($H334="","",IFERROR(IF(IF(ISNUMBER($H334),$H334,IFERROR(TIMEVALUE($H334),VALUE($H334)))&gt;=100,INT(IF(ISNUMBER($H334),$H334,IFERROR(TIMEVALUE($H334),VALUE($H334)))/100)*60+MOD(IF(ISNUMBER($H334),$H334,IFERROR(TIMEVALUE($H334),VALUE($H334))),100),IF(IF(ISNUMBER($H334),$H334,IFERROR(TIMEVALUE($H334),VALUE($H334)))&gt;=1,ROUND(IF(ISNUMBER($H334),$H334,IFERROR(TIMEVALUE($H334),VALUE($H334)))*60,0),ROUND(MOD(IF(ISNUMBER($H334),$H334,IFERROR(TIMEVALUE($H334),VALUE($H334))),1)*1440,0))),""))</f>
        <v/>
      </c>
      <c r="W334" s="52" t="str">
        <f aca="false">IF($I334="","",IFERROR(IF(IF(ISNUMBER($I334),$I334,IFERROR(TIMEVALUE($I334),VALUE($I334)))&gt;=100,INT(IF(ISNUMBER($I334),$I334,IFERROR(TIMEVALUE($I334),VALUE($I334)))/100)*60+MOD(IF(ISNUMBER($I334),$I334,IFERROR(TIMEVALUE($I334),VALUE($I334))),100),IF(IF(ISNUMBER($I334),$I334,IFERROR(TIMEVALUE($I334),VALUE($I334)))&gt;=1,ROUND(IF(ISNUMBER($I334),$I334,IFERROR(TIMEVALUE($I334),VALUE($I334)))*60,0),ROUND(MOD(IF(ISNUMBER($I334),$I334,IFERROR(TIMEVALUE($I334),VALUE($I334))),1)*1440,0))),""))</f>
        <v/>
      </c>
      <c r="X334" s="55" t="str">
        <f aca="false">IF($P334="","",IFERROR(IF(ISNUMBER($P334),IF($P334&gt;19000000,DATE(INT($P334/10000),MOD(INT($P334/100),100),MOD($P334,100)),INT($P334)),IF(LEN(SUBSTITUTE(SUBSTITUTE(SUBSTITUTE(TRIM($P334),"-",""),".",""),"/",""))=8,DATE(VALUE(LEFT(SUBSTITUTE(SUBSTITUTE(SUBSTITUTE(TRIM($P334),"-",""),".",""),"/",""),4)),VALUE(MID(SUBSTITUTE(SUBSTITUTE(SUBSTITUTE(TRIM($P334),"-",""),".",""),"/",""),5,2)),VALUE(RIGHT(SUBSTITUTE(SUBSTITUTE(SUBSTITUTE(TRIM($P334),"-",""),".",""),"/",""),2))),DATEVALUE($P334))),""))</f>
        <v/>
      </c>
      <c r="Y334" s="56" t="str">
        <f aca="false">IF($M334="","",IFERROR(INDEX(강사DB!$D$4:$D$53,MATCH($M334,강사DB!$A$4:$A$53,0)),""))</f>
        <v/>
      </c>
      <c r="Z334" s="56" t="str">
        <f aca="false">IF($B334&lt;&gt;"결제완료","",IF(OR($Y334="",$J334=""),"",$Y334*$J334+MAX(0,N($K334)-1)*설정!$J$7))</f>
        <v/>
      </c>
      <c r="AA334" s="56" t="str">
        <f aca="false">IF(AND($D334&lt;&gt;"",$B334="결제완료"),N($N334),"")</f>
        <v/>
      </c>
      <c r="AB334" s="45" t="str">
        <f aca="false">IF($D334="","",IF($F334&lt;&gt;"",$F334,$D334)&amp;IF($B334="상담중"," (상담)",""))</f>
        <v/>
      </c>
      <c r="AC334" s="45" t="n">
        <f aca="false">IF(AND($D334&lt;&gt;"",OR($B334="결제완료",$B334="상담중")),1,0)</f>
        <v>0</v>
      </c>
      <c r="AD334" s="45" t="n">
        <f aca="false">IF(OR($Z334="",$U334=""),0,IFERROR(IF(COUNTIFS(INDEX(g_grid,0,2*MATCH($M334,강사DB!$A$4:$A$15,0)),"&lt;&gt;",g_s,"&lt;="&amp;$U334,g_e,"&gt;="&amp;$U334)&gt;0,1,0),0))</f>
        <v>0</v>
      </c>
      <c r="AE334" s="48"/>
      <c r="AF334" s="56" t="str">
        <f aca="false">IF(AND($D334&lt;&gt;"",$B334="결제완료",$T334="대여"),설정!$J$5,"")</f>
        <v/>
      </c>
      <c r="AG334" s="54" t="str">
        <f aca="false">IF($D334="","",IF(AND($E334="",$R334=""),$AB334,"☎ "&amp;IF($E334="","-",$E334)&amp;IF($R334&lt;&gt;"","  ※ "&amp;$R334,"")&amp;IF($B334="상담중"," (상담)","")))</f>
        <v/>
      </c>
      <c r="AH334" s="56" t="str">
        <f aca="false">IF(AND($D334&lt;&gt;"",$B334="결제완료",$O334="스마트스토어"),ROUND(N($N334)*설정!$J$6,0),"")</f>
        <v/>
      </c>
      <c r="AI334" s="54" t="str">
        <f aca="false">IF($D334="","",ROW())</f>
        <v/>
      </c>
      <c r="AJ334" s="54" t="n">
        <f aca="false">IF(OR($AC334&lt;&gt;1,$M334=""),0,IF(ISNUMBER(SEARCH("퇴사",IFERROR(INDEX(강사DB!$G$4:$G$53,MATCH($M334,강사DB!$A$4:$A$53,0)),""))),1,0))</f>
        <v>0</v>
      </c>
    </row>
    <row r="335" customFormat="false" ht="15" hidden="false" customHeight="false" outlineLevel="0" collapsed="false">
      <c r="A335" s="45" t="str">
        <f aca="false">IF($D335="","",COUNTA($D$5:$D335))</f>
        <v/>
      </c>
      <c r="B335" s="46"/>
      <c r="C335" s="47"/>
      <c r="D335" s="48"/>
      <c r="E335" s="48"/>
      <c r="F335" s="49"/>
      <c r="G335" s="47"/>
      <c r="H335" s="50"/>
      <c r="I335" s="50"/>
      <c r="J335" s="51" t="str">
        <f aca="false">IF(OR($V335="",$W335=""),"",ROUND(($W335-$V335)/60,2))</f>
        <v/>
      </c>
      <c r="K335" s="52" t="str">
        <f aca="false">IF($F335="","",LEN($F335)-LEN(SUBSTITUTE($F335,",",""))+1)</f>
        <v/>
      </c>
      <c r="L335" s="45" t="str">
        <f aca="false">IF($K335="","","1:"&amp;$K335)</f>
        <v/>
      </c>
      <c r="M335" s="46"/>
      <c r="N335" s="53"/>
      <c r="O335" s="46"/>
      <c r="P335" s="47"/>
      <c r="Q335" s="48"/>
      <c r="R335" s="49"/>
      <c r="S335" s="54" t="str">
        <f aca="false">IF(OR($AC335=0,$U335="",$M335="",$V335="",$W335=""),"",IF(COUNTIFS(m_teacher,$M335,m_date,$U335,m_active,1,m_start,"&lt;"&amp;$W335,m_end,"&gt;"&amp;$V335)&gt;1,"충돌",""))</f>
        <v/>
      </c>
      <c r="T335" s="48"/>
      <c r="U335" s="55" t="str">
        <f aca="false">IF($G335="","",IFERROR(IF(ISNUMBER($G335),IF($G335&gt;19000000,DATE(INT($G335/10000),MOD(INT($G335/100),100),MOD($G335,100)),INT($G335)),IF(LEN(SUBSTITUTE(SUBSTITUTE(SUBSTITUTE(TRIM($G335),"-",""),".",""),"/",""))=8,DATE(VALUE(LEFT(SUBSTITUTE(SUBSTITUTE(SUBSTITUTE(TRIM($G335),"-",""),".",""),"/",""),4)),VALUE(MID(SUBSTITUTE(SUBSTITUTE(SUBSTITUTE(TRIM($G335),"-",""),".",""),"/",""),5,2)),VALUE(RIGHT(SUBSTITUTE(SUBSTITUTE(SUBSTITUTE(TRIM($G335),"-",""),".",""),"/",""),2))),DATEVALUE($G335))),""))</f>
        <v/>
      </c>
      <c r="V335" s="52" t="str">
        <f aca="false">IF($H335="","",IFERROR(IF(IF(ISNUMBER($H335),$H335,IFERROR(TIMEVALUE($H335),VALUE($H335)))&gt;=100,INT(IF(ISNUMBER($H335),$H335,IFERROR(TIMEVALUE($H335),VALUE($H335)))/100)*60+MOD(IF(ISNUMBER($H335),$H335,IFERROR(TIMEVALUE($H335),VALUE($H335))),100),IF(IF(ISNUMBER($H335),$H335,IFERROR(TIMEVALUE($H335),VALUE($H335)))&gt;=1,ROUND(IF(ISNUMBER($H335),$H335,IFERROR(TIMEVALUE($H335),VALUE($H335)))*60,0),ROUND(MOD(IF(ISNUMBER($H335),$H335,IFERROR(TIMEVALUE($H335),VALUE($H335))),1)*1440,0))),""))</f>
        <v/>
      </c>
      <c r="W335" s="52" t="str">
        <f aca="false">IF($I335="","",IFERROR(IF(IF(ISNUMBER($I335),$I335,IFERROR(TIMEVALUE($I335),VALUE($I335)))&gt;=100,INT(IF(ISNUMBER($I335),$I335,IFERROR(TIMEVALUE($I335),VALUE($I335)))/100)*60+MOD(IF(ISNUMBER($I335),$I335,IFERROR(TIMEVALUE($I335),VALUE($I335))),100),IF(IF(ISNUMBER($I335),$I335,IFERROR(TIMEVALUE($I335),VALUE($I335)))&gt;=1,ROUND(IF(ISNUMBER($I335),$I335,IFERROR(TIMEVALUE($I335),VALUE($I335)))*60,0),ROUND(MOD(IF(ISNUMBER($I335),$I335,IFERROR(TIMEVALUE($I335),VALUE($I335))),1)*1440,0))),""))</f>
        <v/>
      </c>
      <c r="X335" s="55" t="str">
        <f aca="false">IF($P335="","",IFERROR(IF(ISNUMBER($P335),IF($P335&gt;19000000,DATE(INT($P335/10000),MOD(INT($P335/100),100),MOD($P335,100)),INT($P335)),IF(LEN(SUBSTITUTE(SUBSTITUTE(SUBSTITUTE(TRIM($P335),"-",""),".",""),"/",""))=8,DATE(VALUE(LEFT(SUBSTITUTE(SUBSTITUTE(SUBSTITUTE(TRIM($P335),"-",""),".",""),"/",""),4)),VALUE(MID(SUBSTITUTE(SUBSTITUTE(SUBSTITUTE(TRIM($P335),"-",""),".",""),"/",""),5,2)),VALUE(RIGHT(SUBSTITUTE(SUBSTITUTE(SUBSTITUTE(TRIM($P335),"-",""),".",""),"/",""),2))),DATEVALUE($P335))),""))</f>
        <v/>
      </c>
      <c r="Y335" s="56" t="str">
        <f aca="false">IF($M335="","",IFERROR(INDEX(강사DB!$D$4:$D$53,MATCH($M335,강사DB!$A$4:$A$53,0)),""))</f>
        <v/>
      </c>
      <c r="Z335" s="56" t="str">
        <f aca="false">IF($B335&lt;&gt;"결제완료","",IF(OR($Y335="",$J335=""),"",$Y335*$J335+MAX(0,N($K335)-1)*설정!$J$7))</f>
        <v/>
      </c>
      <c r="AA335" s="56" t="str">
        <f aca="false">IF(AND($D335&lt;&gt;"",$B335="결제완료"),N($N335),"")</f>
        <v/>
      </c>
      <c r="AB335" s="45" t="str">
        <f aca="false">IF($D335="","",IF($F335&lt;&gt;"",$F335,$D335)&amp;IF($B335="상담중"," (상담)",""))</f>
        <v/>
      </c>
      <c r="AC335" s="45" t="n">
        <f aca="false">IF(AND($D335&lt;&gt;"",OR($B335="결제완료",$B335="상담중")),1,0)</f>
        <v>0</v>
      </c>
      <c r="AD335" s="45" t="n">
        <f aca="false">IF(OR($Z335="",$U335=""),0,IFERROR(IF(COUNTIFS(INDEX(g_grid,0,2*MATCH($M335,강사DB!$A$4:$A$15,0)),"&lt;&gt;",g_s,"&lt;="&amp;$U335,g_e,"&gt;="&amp;$U335)&gt;0,1,0),0))</f>
        <v>0</v>
      </c>
      <c r="AE335" s="48"/>
      <c r="AF335" s="56" t="str">
        <f aca="false">IF(AND($D335&lt;&gt;"",$B335="결제완료",$T335="대여"),설정!$J$5,"")</f>
        <v/>
      </c>
      <c r="AG335" s="54" t="str">
        <f aca="false">IF($D335="","",IF(AND($E335="",$R335=""),$AB335,"☎ "&amp;IF($E335="","-",$E335)&amp;IF($R335&lt;&gt;"","  ※ "&amp;$R335,"")&amp;IF($B335="상담중"," (상담)","")))</f>
        <v/>
      </c>
      <c r="AH335" s="56" t="str">
        <f aca="false">IF(AND($D335&lt;&gt;"",$B335="결제완료",$O335="스마트스토어"),ROUND(N($N335)*설정!$J$6,0),"")</f>
        <v/>
      </c>
      <c r="AI335" s="54" t="str">
        <f aca="false">IF($D335="","",ROW())</f>
        <v/>
      </c>
      <c r="AJ335" s="54" t="n">
        <f aca="false">IF(OR($AC335&lt;&gt;1,$M335=""),0,IF(ISNUMBER(SEARCH("퇴사",IFERROR(INDEX(강사DB!$G$4:$G$53,MATCH($M335,강사DB!$A$4:$A$53,0)),""))),1,0))</f>
        <v>0</v>
      </c>
    </row>
    <row r="336" customFormat="false" ht="15" hidden="false" customHeight="false" outlineLevel="0" collapsed="false">
      <c r="A336" s="45" t="str">
        <f aca="false">IF($D336="","",COUNTA($D$5:$D336))</f>
        <v/>
      </c>
      <c r="B336" s="46"/>
      <c r="C336" s="47"/>
      <c r="D336" s="48"/>
      <c r="E336" s="48"/>
      <c r="F336" s="49"/>
      <c r="G336" s="47"/>
      <c r="H336" s="50"/>
      <c r="I336" s="50"/>
      <c r="J336" s="51" t="str">
        <f aca="false">IF(OR($V336="",$W336=""),"",ROUND(($W336-$V336)/60,2))</f>
        <v/>
      </c>
      <c r="K336" s="52" t="str">
        <f aca="false">IF($F336="","",LEN($F336)-LEN(SUBSTITUTE($F336,",",""))+1)</f>
        <v/>
      </c>
      <c r="L336" s="45" t="str">
        <f aca="false">IF($K336="","","1:"&amp;$K336)</f>
        <v/>
      </c>
      <c r="M336" s="46"/>
      <c r="N336" s="53"/>
      <c r="O336" s="46"/>
      <c r="P336" s="47"/>
      <c r="Q336" s="48"/>
      <c r="R336" s="49"/>
      <c r="S336" s="54" t="str">
        <f aca="false">IF(OR($AC336=0,$U336="",$M336="",$V336="",$W336=""),"",IF(COUNTIFS(m_teacher,$M336,m_date,$U336,m_active,1,m_start,"&lt;"&amp;$W336,m_end,"&gt;"&amp;$V336)&gt;1,"충돌",""))</f>
        <v/>
      </c>
      <c r="T336" s="48"/>
      <c r="U336" s="55" t="str">
        <f aca="false">IF($G336="","",IFERROR(IF(ISNUMBER($G336),IF($G336&gt;19000000,DATE(INT($G336/10000),MOD(INT($G336/100),100),MOD($G336,100)),INT($G336)),IF(LEN(SUBSTITUTE(SUBSTITUTE(SUBSTITUTE(TRIM($G336),"-",""),".",""),"/",""))=8,DATE(VALUE(LEFT(SUBSTITUTE(SUBSTITUTE(SUBSTITUTE(TRIM($G336),"-",""),".",""),"/",""),4)),VALUE(MID(SUBSTITUTE(SUBSTITUTE(SUBSTITUTE(TRIM($G336),"-",""),".",""),"/",""),5,2)),VALUE(RIGHT(SUBSTITUTE(SUBSTITUTE(SUBSTITUTE(TRIM($G336),"-",""),".",""),"/",""),2))),DATEVALUE($G336))),""))</f>
        <v/>
      </c>
      <c r="V336" s="52" t="str">
        <f aca="false">IF($H336="","",IFERROR(IF(IF(ISNUMBER($H336),$H336,IFERROR(TIMEVALUE($H336),VALUE($H336)))&gt;=100,INT(IF(ISNUMBER($H336),$H336,IFERROR(TIMEVALUE($H336),VALUE($H336)))/100)*60+MOD(IF(ISNUMBER($H336),$H336,IFERROR(TIMEVALUE($H336),VALUE($H336))),100),IF(IF(ISNUMBER($H336),$H336,IFERROR(TIMEVALUE($H336),VALUE($H336)))&gt;=1,ROUND(IF(ISNUMBER($H336),$H336,IFERROR(TIMEVALUE($H336),VALUE($H336)))*60,0),ROUND(MOD(IF(ISNUMBER($H336),$H336,IFERROR(TIMEVALUE($H336),VALUE($H336))),1)*1440,0))),""))</f>
        <v/>
      </c>
      <c r="W336" s="52" t="str">
        <f aca="false">IF($I336="","",IFERROR(IF(IF(ISNUMBER($I336),$I336,IFERROR(TIMEVALUE($I336),VALUE($I336)))&gt;=100,INT(IF(ISNUMBER($I336),$I336,IFERROR(TIMEVALUE($I336),VALUE($I336)))/100)*60+MOD(IF(ISNUMBER($I336),$I336,IFERROR(TIMEVALUE($I336),VALUE($I336))),100),IF(IF(ISNUMBER($I336),$I336,IFERROR(TIMEVALUE($I336),VALUE($I336)))&gt;=1,ROUND(IF(ISNUMBER($I336),$I336,IFERROR(TIMEVALUE($I336),VALUE($I336)))*60,0),ROUND(MOD(IF(ISNUMBER($I336),$I336,IFERROR(TIMEVALUE($I336),VALUE($I336))),1)*1440,0))),""))</f>
        <v/>
      </c>
      <c r="X336" s="55" t="str">
        <f aca="false">IF($P336="","",IFERROR(IF(ISNUMBER($P336),IF($P336&gt;19000000,DATE(INT($P336/10000),MOD(INT($P336/100),100),MOD($P336,100)),INT($P336)),IF(LEN(SUBSTITUTE(SUBSTITUTE(SUBSTITUTE(TRIM($P336),"-",""),".",""),"/",""))=8,DATE(VALUE(LEFT(SUBSTITUTE(SUBSTITUTE(SUBSTITUTE(TRIM($P336),"-",""),".",""),"/",""),4)),VALUE(MID(SUBSTITUTE(SUBSTITUTE(SUBSTITUTE(TRIM($P336),"-",""),".",""),"/",""),5,2)),VALUE(RIGHT(SUBSTITUTE(SUBSTITUTE(SUBSTITUTE(TRIM($P336),"-",""),".",""),"/",""),2))),DATEVALUE($P336))),""))</f>
        <v/>
      </c>
      <c r="Y336" s="56" t="str">
        <f aca="false">IF($M336="","",IFERROR(INDEX(강사DB!$D$4:$D$53,MATCH($M336,강사DB!$A$4:$A$53,0)),""))</f>
        <v/>
      </c>
      <c r="Z336" s="56" t="str">
        <f aca="false">IF($B336&lt;&gt;"결제완료","",IF(OR($Y336="",$J336=""),"",$Y336*$J336+MAX(0,N($K336)-1)*설정!$J$7))</f>
        <v/>
      </c>
      <c r="AA336" s="56" t="str">
        <f aca="false">IF(AND($D336&lt;&gt;"",$B336="결제완료"),N($N336),"")</f>
        <v/>
      </c>
      <c r="AB336" s="45" t="str">
        <f aca="false">IF($D336="","",IF($F336&lt;&gt;"",$F336,$D336)&amp;IF($B336="상담중"," (상담)",""))</f>
        <v/>
      </c>
      <c r="AC336" s="45" t="n">
        <f aca="false">IF(AND($D336&lt;&gt;"",OR($B336="결제완료",$B336="상담중")),1,0)</f>
        <v>0</v>
      </c>
      <c r="AD336" s="45" t="n">
        <f aca="false">IF(OR($Z336="",$U336=""),0,IFERROR(IF(COUNTIFS(INDEX(g_grid,0,2*MATCH($M336,강사DB!$A$4:$A$15,0)),"&lt;&gt;",g_s,"&lt;="&amp;$U336,g_e,"&gt;="&amp;$U336)&gt;0,1,0),0))</f>
        <v>0</v>
      </c>
      <c r="AE336" s="48"/>
      <c r="AF336" s="56" t="str">
        <f aca="false">IF(AND($D336&lt;&gt;"",$B336="결제완료",$T336="대여"),설정!$J$5,"")</f>
        <v/>
      </c>
      <c r="AG336" s="54" t="str">
        <f aca="false">IF($D336="","",IF(AND($E336="",$R336=""),$AB336,"☎ "&amp;IF($E336="","-",$E336)&amp;IF($R336&lt;&gt;"","  ※ "&amp;$R336,"")&amp;IF($B336="상담중"," (상담)","")))</f>
        <v/>
      </c>
      <c r="AH336" s="56" t="str">
        <f aca="false">IF(AND($D336&lt;&gt;"",$B336="결제완료",$O336="스마트스토어"),ROUND(N($N336)*설정!$J$6,0),"")</f>
        <v/>
      </c>
      <c r="AI336" s="54" t="str">
        <f aca="false">IF($D336="","",ROW())</f>
        <v/>
      </c>
      <c r="AJ336" s="54" t="n">
        <f aca="false">IF(OR($AC336&lt;&gt;1,$M336=""),0,IF(ISNUMBER(SEARCH("퇴사",IFERROR(INDEX(강사DB!$G$4:$G$53,MATCH($M336,강사DB!$A$4:$A$53,0)),""))),1,0))</f>
        <v>0</v>
      </c>
    </row>
    <row r="337" customFormat="false" ht="15" hidden="false" customHeight="false" outlineLevel="0" collapsed="false">
      <c r="A337" s="45" t="str">
        <f aca="false">IF($D337="","",COUNTA($D$5:$D337))</f>
        <v/>
      </c>
      <c r="B337" s="46"/>
      <c r="C337" s="47"/>
      <c r="D337" s="48"/>
      <c r="E337" s="48"/>
      <c r="F337" s="49"/>
      <c r="G337" s="47"/>
      <c r="H337" s="50"/>
      <c r="I337" s="50"/>
      <c r="J337" s="51" t="str">
        <f aca="false">IF(OR($V337="",$W337=""),"",ROUND(($W337-$V337)/60,2))</f>
        <v/>
      </c>
      <c r="K337" s="52" t="str">
        <f aca="false">IF($F337="","",LEN($F337)-LEN(SUBSTITUTE($F337,",",""))+1)</f>
        <v/>
      </c>
      <c r="L337" s="45" t="str">
        <f aca="false">IF($K337="","","1:"&amp;$K337)</f>
        <v/>
      </c>
      <c r="M337" s="46"/>
      <c r="N337" s="53"/>
      <c r="O337" s="46"/>
      <c r="P337" s="47"/>
      <c r="Q337" s="48"/>
      <c r="R337" s="49"/>
      <c r="S337" s="54" t="str">
        <f aca="false">IF(OR($AC337=0,$U337="",$M337="",$V337="",$W337=""),"",IF(COUNTIFS(m_teacher,$M337,m_date,$U337,m_active,1,m_start,"&lt;"&amp;$W337,m_end,"&gt;"&amp;$V337)&gt;1,"충돌",""))</f>
        <v/>
      </c>
      <c r="T337" s="48"/>
      <c r="U337" s="55" t="str">
        <f aca="false">IF($G337="","",IFERROR(IF(ISNUMBER($G337),IF($G337&gt;19000000,DATE(INT($G337/10000),MOD(INT($G337/100),100),MOD($G337,100)),INT($G337)),IF(LEN(SUBSTITUTE(SUBSTITUTE(SUBSTITUTE(TRIM($G337),"-",""),".",""),"/",""))=8,DATE(VALUE(LEFT(SUBSTITUTE(SUBSTITUTE(SUBSTITUTE(TRIM($G337),"-",""),".",""),"/",""),4)),VALUE(MID(SUBSTITUTE(SUBSTITUTE(SUBSTITUTE(TRIM($G337),"-",""),".",""),"/",""),5,2)),VALUE(RIGHT(SUBSTITUTE(SUBSTITUTE(SUBSTITUTE(TRIM($G337),"-",""),".",""),"/",""),2))),DATEVALUE($G337))),""))</f>
        <v/>
      </c>
      <c r="V337" s="52" t="str">
        <f aca="false">IF($H337="","",IFERROR(IF(IF(ISNUMBER($H337),$H337,IFERROR(TIMEVALUE($H337),VALUE($H337)))&gt;=100,INT(IF(ISNUMBER($H337),$H337,IFERROR(TIMEVALUE($H337),VALUE($H337)))/100)*60+MOD(IF(ISNUMBER($H337),$H337,IFERROR(TIMEVALUE($H337),VALUE($H337))),100),IF(IF(ISNUMBER($H337),$H337,IFERROR(TIMEVALUE($H337),VALUE($H337)))&gt;=1,ROUND(IF(ISNUMBER($H337),$H337,IFERROR(TIMEVALUE($H337),VALUE($H337)))*60,0),ROUND(MOD(IF(ISNUMBER($H337),$H337,IFERROR(TIMEVALUE($H337),VALUE($H337))),1)*1440,0))),""))</f>
        <v/>
      </c>
      <c r="W337" s="52" t="str">
        <f aca="false">IF($I337="","",IFERROR(IF(IF(ISNUMBER($I337),$I337,IFERROR(TIMEVALUE($I337),VALUE($I337)))&gt;=100,INT(IF(ISNUMBER($I337),$I337,IFERROR(TIMEVALUE($I337),VALUE($I337)))/100)*60+MOD(IF(ISNUMBER($I337),$I337,IFERROR(TIMEVALUE($I337),VALUE($I337))),100),IF(IF(ISNUMBER($I337),$I337,IFERROR(TIMEVALUE($I337),VALUE($I337)))&gt;=1,ROUND(IF(ISNUMBER($I337),$I337,IFERROR(TIMEVALUE($I337),VALUE($I337)))*60,0),ROUND(MOD(IF(ISNUMBER($I337),$I337,IFERROR(TIMEVALUE($I337),VALUE($I337))),1)*1440,0))),""))</f>
        <v/>
      </c>
      <c r="X337" s="55" t="str">
        <f aca="false">IF($P337="","",IFERROR(IF(ISNUMBER($P337),IF($P337&gt;19000000,DATE(INT($P337/10000),MOD(INT($P337/100),100),MOD($P337,100)),INT($P337)),IF(LEN(SUBSTITUTE(SUBSTITUTE(SUBSTITUTE(TRIM($P337),"-",""),".",""),"/",""))=8,DATE(VALUE(LEFT(SUBSTITUTE(SUBSTITUTE(SUBSTITUTE(TRIM($P337),"-",""),".",""),"/",""),4)),VALUE(MID(SUBSTITUTE(SUBSTITUTE(SUBSTITUTE(TRIM($P337),"-",""),".",""),"/",""),5,2)),VALUE(RIGHT(SUBSTITUTE(SUBSTITUTE(SUBSTITUTE(TRIM($P337),"-",""),".",""),"/",""),2))),DATEVALUE($P337))),""))</f>
        <v/>
      </c>
      <c r="Y337" s="56" t="str">
        <f aca="false">IF($M337="","",IFERROR(INDEX(강사DB!$D$4:$D$53,MATCH($M337,강사DB!$A$4:$A$53,0)),""))</f>
        <v/>
      </c>
      <c r="Z337" s="56" t="str">
        <f aca="false">IF($B337&lt;&gt;"결제완료","",IF(OR($Y337="",$J337=""),"",$Y337*$J337+MAX(0,N($K337)-1)*설정!$J$7))</f>
        <v/>
      </c>
      <c r="AA337" s="56" t="str">
        <f aca="false">IF(AND($D337&lt;&gt;"",$B337="결제완료"),N($N337),"")</f>
        <v/>
      </c>
      <c r="AB337" s="45" t="str">
        <f aca="false">IF($D337="","",IF($F337&lt;&gt;"",$F337,$D337)&amp;IF($B337="상담중"," (상담)",""))</f>
        <v/>
      </c>
      <c r="AC337" s="45" t="n">
        <f aca="false">IF(AND($D337&lt;&gt;"",OR($B337="결제완료",$B337="상담중")),1,0)</f>
        <v>0</v>
      </c>
      <c r="AD337" s="45" t="n">
        <f aca="false">IF(OR($Z337="",$U337=""),0,IFERROR(IF(COUNTIFS(INDEX(g_grid,0,2*MATCH($M337,강사DB!$A$4:$A$15,0)),"&lt;&gt;",g_s,"&lt;="&amp;$U337,g_e,"&gt;="&amp;$U337)&gt;0,1,0),0))</f>
        <v>0</v>
      </c>
      <c r="AE337" s="48"/>
      <c r="AF337" s="56" t="str">
        <f aca="false">IF(AND($D337&lt;&gt;"",$B337="결제완료",$T337="대여"),설정!$J$5,"")</f>
        <v/>
      </c>
      <c r="AG337" s="54" t="str">
        <f aca="false">IF($D337="","",IF(AND($E337="",$R337=""),$AB337,"☎ "&amp;IF($E337="","-",$E337)&amp;IF($R337&lt;&gt;"","  ※ "&amp;$R337,"")&amp;IF($B337="상담중"," (상담)","")))</f>
        <v/>
      </c>
      <c r="AH337" s="56" t="str">
        <f aca="false">IF(AND($D337&lt;&gt;"",$B337="결제완료",$O337="스마트스토어"),ROUND(N($N337)*설정!$J$6,0),"")</f>
        <v/>
      </c>
      <c r="AI337" s="54" t="str">
        <f aca="false">IF($D337="","",ROW())</f>
        <v/>
      </c>
      <c r="AJ337" s="54" t="n">
        <f aca="false">IF(OR($AC337&lt;&gt;1,$M337=""),0,IF(ISNUMBER(SEARCH("퇴사",IFERROR(INDEX(강사DB!$G$4:$G$53,MATCH($M337,강사DB!$A$4:$A$53,0)),""))),1,0))</f>
        <v>0</v>
      </c>
    </row>
    <row r="338" customFormat="false" ht="15" hidden="false" customHeight="false" outlineLevel="0" collapsed="false">
      <c r="A338" s="45" t="str">
        <f aca="false">IF($D338="","",COUNTA($D$5:$D338))</f>
        <v/>
      </c>
      <c r="B338" s="46"/>
      <c r="C338" s="47"/>
      <c r="D338" s="48"/>
      <c r="E338" s="48"/>
      <c r="F338" s="49"/>
      <c r="G338" s="47"/>
      <c r="H338" s="50"/>
      <c r="I338" s="50"/>
      <c r="J338" s="51" t="str">
        <f aca="false">IF(OR($V338="",$W338=""),"",ROUND(($W338-$V338)/60,2))</f>
        <v/>
      </c>
      <c r="K338" s="52" t="str">
        <f aca="false">IF($F338="","",LEN($F338)-LEN(SUBSTITUTE($F338,",",""))+1)</f>
        <v/>
      </c>
      <c r="L338" s="45" t="str">
        <f aca="false">IF($K338="","","1:"&amp;$K338)</f>
        <v/>
      </c>
      <c r="M338" s="46"/>
      <c r="N338" s="53"/>
      <c r="O338" s="46"/>
      <c r="P338" s="47"/>
      <c r="Q338" s="48"/>
      <c r="R338" s="49"/>
      <c r="S338" s="54" t="str">
        <f aca="false">IF(OR($AC338=0,$U338="",$M338="",$V338="",$W338=""),"",IF(COUNTIFS(m_teacher,$M338,m_date,$U338,m_active,1,m_start,"&lt;"&amp;$W338,m_end,"&gt;"&amp;$V338)&gt;1,"충돌",""))</f>
        <v/>
      </c>
      <c r="T338" s="48"/>
      <c r="U338" s="55" t="str">
        <f aca="false">IF($G338="","",IFERROR(IF(ISNUMBER($G338),IF($G338&gt;19000000,DATE(INT($G338/10000),MOD(INT($G338/100),100),MOD($G338,100)),INT($G338)),IF(LEN(SUBSTITUTE(SUBSTITUTE(SUBSTITUTE(TRIM($G338),"-",""),".",""),"/",""))=8,DATE(VALUE(LEFT(SUBSTITUTE(SUBSTITUTE(SUBSTITUTE(TRIM($G338),"-",""),".",""),"/",""),4)),VALUE(MID(SUBSTITUTE(SUBSTITUTE(SUBSTITUTE(TRIM($G338),"-",""),".",""),"/",""),5,2)),VALUE(RIGHT(SUBSTITUTE(SUBSTITUTE(SUBSTITUTE(TRIM($G338),"-",""),".",""),"/",""),2))),DATEVALUE($G338))),""))</f>
        <v/>
      </c>
      <c r="V338" s="52" t="str">
        <f aca="false">IF($H338="","",IFERROR(IF(IF(ISNUMBER($H338),$H338,IFERROR(TIMEVALUE($H338),VALUE($H338)))&gt;=100,INT(IF(ISNUMBER($H338),$H338,IFERROR(TIMEVALUE($H338),VALUE($H338)))/100)*60+MOD(IF(ISNUMBER($H338),$H338,IFERROR(TIMEVALUE($H338),VALUE($H338))),100),IF(IF(ISNUMBER($H338),$H338,IFERROR(TIMEVALUE($H338),VALUE($H338)))&gt;=1,ROUND(IF(ISNUMBER($H338),$H338,IFERROR(TIMEVALUE($H338),VALUE($H338)))*60,0),ROUND(MOD(IF(ISNUMBER($H338),$H338,IFERROR(TIMEVALUE($H338),VALUE($H338))),1)*1440,0))),""))</f>
        <v/>
      </c>
      <c r="W338" s="52" t="str">
        <f aca="false">IF($I338="","",IFERROR(IF(IF(ISNUMBER($I338),$I338,IFERROR(TIMEVALUE($I338),VALUE($I338)))&gt;=100,INT(IF(ISNUMBER($I338),$I338,IFERROR(TIMEVALUE($I338),VALUE($I338)))/100)*60+MOD(IF(ISNUMBER($I338),$I338,IFERROR(TIMEVALUE($I338),VALUE($I338))),100),IF(IF(ISNUMBER($I338),$I338,IFERROR(TIMEVALUE($I338),VALUE($I338)))&gt;=1,ROUND(IF(ISNUMBER($I338),$I338,IFERROR(TIMEVALUE($I338),VALUE($I338)))*60,0),ROUND(MOD(IF(ISNUMBER($I338),$I338,IFERROR(TIMEVALUE($I338),VALUE($I338))),1)*1440,0))),""))</f>
        <v/>
      </c>
      <c r="X338" s="55" t="str">
        <f aca="false">IF($P338="","",IFERROR(IF(ISNUMBER($P338),IF($P338&gt;19000000,DATE(INT($P338/10000),MOD(INT($P338/100),100),MOD($P338,100)),INT($P338)),IF(LEN(SUBSTITUTE(SUBSTITUTE(SUBSTITUTE(TRIM($P338),"-",""),".",""),"/",""))=8,DATE(VALUE(LEFT(SUBSTITUTE(SUBSTITUTE(SUBSTITUTE(TRIM($P338),"-",""),".",""),"/",""),4)),VALUE(MID(SUBSTITUTE(SUBSTITUTE(SUBSTITUTE(TRIM($P338),"-",""),".",""),"/",""),5,2)),VALUE(RIGHT(SUBSTITUTE(SUBSTITUTE(SUBSTITUTE(TRIM($P338),"-",""),".",""),"/",""),2))),DATEVALUE($P338))),""))</f>
        <v/>
      </c>
      <c r="Y338" s="56" t="str">
        <f aca="false">IF($M338="","",IFERROR(INDEX(강사DB!$D$4:$D$53,MATCH($M338,강사DB!$A$4:$A$53,0)),""))</f>
        <v/>
      </c>
      <c r="Z338" s="56" t="str">
        <f aca="false">IF($B338&lt;&gt;"결제완료","",IF(OR($Y338="",$J338=""),"",$Y338*$J338+MAX(0,N($K338)-1)*설정!$J$7))</f>
        <v/>
      </c>
      <c r="AA338" s="56" t="str">
        <f aca="false">IF(AND($D338&lt;&gt;"",$B338="결제완료"),N($N338),"")</f>
        <v/>
      </c>
      <c r="AB338" s="45" t="str">
        <f aca="false">IF($D338="","",IF($F338&lt;&gt;"",$F338,$D338)&amp;IF($B338="상담중"," (상담)",""))</f>
        <v/>
      </c>
      <c r="AC338" s="45" t="n">
        <f aca="false">IF(AND($D338&lt;&gt;"",OR($B338="결제완료",$B338="상담중")),1,0)</f>
        <v>0</v>
      </c>
      <c r="AD338" s="45" t="n">
        <f aca="false">IF(OR($Z338="",$U338=""),0,IFERROR(IF(COUNTIFS(INDEX(g_grid,0,2*MATCH($M338,강사DB!$A$4:$A$15,0)),"&lt;&gt;",g_s,"&lt;="&amp;$U338,g_e,"&gt;="&amp;$U338)&gt;0,1,0),0))</f>
        <v>0</v>
      </c>
      <c r="AE338" s="48"/>
      <c r="AF338" s="56" t="str">
        <f aca="false">IF(AND($D338&lt;&gt;"",$B338="결제완료",$T338="대여"),설정!$J$5,"")</f>
        <v/>
      </c>
      <c r="AG338" s="54" t="str">
        <f aca="false">IF($D338="","",IF(AND($E338="",$R338=""),$AB338,"☎ "&amp;IF($E338="","-",$E338)&amp;IF($R338&lt;&gt;"","  ※ "&amp;$R338,"")&amp;IF($B338="상담중"," (상담)","")))</f>
        <v/>
      </c>
      <c r="AH338" s="56" t="str">
        <f aca="false">IF(AND($D338&lt;&gt;"",$B338="결제완료",$O338="스마트스토어"),ROUND(N($N338)*설정!$J$6,0),"")</f>
        <v/>
      </c>
      <c r="AI338" s="54" t="str">
        <f aca="false">IF($D338="","",ROW())</f>
        <v/>
      </c>
      <c r="AJ338" s="54" t="n">
        <f aca="false">IF(OR($AC338&lt;&gt;1,$M338=""),0,IF(ISNUMBER(SEARCH("퇴사",IFERROR(INDEX(강사DB!$G$4:$G$53,MATCH($M338,강사DB!$A$4:$A$53,0)),""))),1,0))</f>
        <v>0</v>
      </c>
    </row>
    <row r="339" customFormat="false" ht="15" hidden="false" customHeight="false" outlineLevel="0" collapsed="false">
      <c r="A339" s="45" t="str">
        <f aca="false">IF($D339="","",COUNTA($D$5:$D339))</f>
        <v/>
      </c>
      <c r="B339" s="46"/>
      <c r="C339" s="47"/>
      <c r="D339" s="48"/>
      <c r="E339" s="48"/>
      <c r="F339" s="49"/>
      <c r="G339" s="47"/>
      <c r="H339" s="50"/>
      <c r="I339" s="50"/>
      <c r="J339" s="51" t="str">
        <f aca="false">IF(OR($V339="",$W339=""),"",ROUND(($W339-$V339)/60,2))</f>
        <v/>
      </c>
      <c r="K339" s="52" t="str">
        <f aca="false">IF($F339="","",LEN($F339)-LEN(SUBSTITUTE($F339,",",""))+1)</f>
        <v/>
      </c>
      <c r="L339" s="45" t="str">
        <f aca="false">IF($K339="","","1:"&amp;$K339)</f>
        <v/>
      </c>
      <c r="M339" s="46"/>
      <c r="N339" s="53"/>
      <c r="O339" s="46"/>
      <c r="P339" s="47"/>
      <c r="Q339" s="48"/>
      <c r="R339" s="49"/>
      <c r="S339" s="54" t="str">
        <f aca="false">IF(OR($AC339=0,$U339="",$M339="",$V339="",$W339=""),"",IF(COUNTIFS(m_teacher,$M339,m_date,$U339,m_active,1,m_start,"&lt;"&amp;$W339,m_end,"&gt;"&amp;$V339)&gt;1,"충돌",""))</f>
        <v/>
      </c>
      <c r="T339" s="48"/>
      <c r="U339" s="55" t="str">
        <f aca="false">IF($G339="","",IFERROR(IF(ISNUMBER($G339),IF($G339&gt;19000000,DATE(INT($G339/10000),MOD(INT($G339/100),100),MOD($G339,100)),INT($G339)),IF(LEN(SUBSTITUTE(SUBSTITUTE(SUBSTITUTE(TRIM($G339),"-",""),".",""),"/",""))=8,DATE(VALUE(LEFT(SUBSTITUTE(SUBSTITUTE(SUBSTITUTE(TRIM($G339),"-",""),".",""),"/",""),4)),VALUE(MID(SUBSTITUTE(SUBSTITUTE(SUBSTITUTE(TRIM($G339),"-",""),".",""),"/",""),5,2)),VALUE(RIGHT(SUBSTITUTE(SUBSTITUTE(SUBSTITUTE(TRIM($G339),"-",""),".",""),"/",""),2))),DATEVALUE($G339))),""))</f>
        <v/>
      </c>
      <c r="V339" s="52" t="str">
        <f aca="false">IF($H339="","",IFERROR(IF(IF(ISNUMBER($H339),$H339,IFERROR(TIMEVALUE($H339),VALUE($H339)))&gt;=100,INT(IF(ISNUMBER($H339),$H339,IFERROR(TIMEVALUE($H339),VALUE($H339)))/100)*60+MOD(IF(ISNUMBER($H339),$H339,IFERROR(TIMEVALUE($H339),VALUE($H339))),100),IF(IF(ISNUMBER($H339),$H339,IFERROR(TIMEVALUE($H339),VALUE($H339)))&gt;=1,ROUND(IF(ISNUMBER($H339),$H339,IFERROR(TIMEVALUE($H339),VALUE($H339)))*60,0),ROUND(MOD(IF(ISNUMBER($H339),$H339,IFERROR(TIMEVALUE($H339),VALUE($H339))),1)*1440,0))),""))</f>
        <v/>
      </c>
      <c r="W339" s="52" t="str">
        <f aca="false">IF($I339="","",IFERROR(IF(IF(ISNUMBER($I339),$I339,IFERROR(TIMEVALUE($I339),VALUE($I339)))&gt;=100,INT(IF(ISNUMBER($I339),$I339,IFERROR(TIMEVALUE($I339),VALUE($I339)))/100)*60+MOD(IF(ISNUMBER($I339),$I339,IFERROR(TIMEVALUE($I339),VALUE($I339))),100),IF(IF(ISNUMBER($I339),$I339,IFERROR(TIMEVALUE($I339),VALUE($I339)))&gt;=1,ROUND(IF(ISNUMBER($I339),$I339,IFERROR(TIMEVALUE($I339),VALUE($I339)))*60,0),ROUND(MOD(IF(ISNUMBER($I339),$I339,IFERROR(TIMEVALUE($I339),VALUE($I339))),1)*1440,0))),""))</f>
        <v/>
      </c>
      <c r="X339" s="55" t="str">
        <f aca="false">IF($P339="","",IFERROR(IF(ISNUMBER($P339),IF($P339&gt;19000000,DATE(INT($P339/10000),MOD(INT($P339/100),100),MOD($P339,100)),INT($P339)),IF(LEN(SUBSTITUTE(SUBSTITUTE(SUBSTITUTE(TRIM($P339),"-",""),".",""),"/",""))=8,DATE(VALUE(LEFT(SUBSTITUTE(SUBSTITUTE(SUBSTITUTE(TRIM($P339),"-",""),".",""),"/",""),4)),VALUE(MID(SUBSTITUTE(SUBSTITUTE(SUBSTITUTE(TRIM($P339),"-",""),".",""),"/",""),5,2)),VALUE(RIGHT(SUBSTITUTE(SUBSTITUTE(SUBSTITUTE(TRIM($P339),"-",""),".",""),"/",""),2))),DATEVALUE($P339))),""))</f>
        <v/>
      </c>
      <c r="Y339" s="56" t="str">
        <f aca="false">IF($M339="","",IFERROR(INDEX(강사DB!$D$4:$D$53,MATCH($M339,강사DB!$A$4:$A$53,0)),""))</f>
        <v/>
      </c>
      <c r="Z339" s="56" t="str">
        <f aca="false">IF($B339&lt;&gt;"결제완료","",IF(OR($Y339="",$J339=""),"",$Y339*$J339+MAX(0,N($K339)-1)*설정!$J$7))</f>
        <v/>
      </c>
      <c r="AA339" s="56" t="str">
        <f aca="false">IF(AND($D339&lt;&gt;"",$B339="결제완료"),N($N339),"")</f>
        <v/>
      </c>
      <c r="AB339" s="45" t="str">
        <f aca="false">IF($D339="","",IF($F339&lt;&gt;"",$F339,$D339)&amp;IF($B339="상담중"," (상담)",""))</f>
        <v/>
      </c>
      <c r="AC339" s="45" t="n">
        <f aca="false">IF(AND($D339&lt;&gt;"",OR($B339="결제완료",$B339="상담중")),1,0)</f>
        <v>0</v>
      </c>
      <c r="AD339" s="45" t="n">
        <f aca="false">IF(OR($Z339="",$U339=""),0,IFERROR(IF(COUNTIFS(INDEX(g_grid,0,2*MATCH($M339,강사DB!$A$4:$A$15,0)),"&lt;&gt;",g_s,"&lt;="&amp;$U339,g_e,"&gt;="&amp;$U339)&gt;0,1,0),0))</f>
        <v>0</v>
      </c>
      <c r="AE339" s="48"/>
      <c r="AF339" s="56" t="str">
        <f aca="false">IF(AND($D339&lt;&gt;"",$B339="결제완료",$T339="대여"),설정!$J$5,"")</f>
        <v/>
      </c>
      <c r="AG339" s="54" t="str">
        <f aca="false">IF($D339="","",IF(AND($E339="",$R339=""),$AB339,"☎ "&amp;IF($E339="","-",$E339)&amp;IF($R339&lt;&gt;"","  ※ "&amp;$R339,"")&amp;IF($B339="상담중"," (상담)","")))</f>
        <v/>
      </c>
      <c r="AH339" s="56" t="str">
        <f aca="false">IF(AND($D339&lt;&gt;"",$B339="결제완료",$O339="스마트스토어"),ROUND(N($N339)*설정!$J$6,0),"")</f>
        <v/>
      </c>
      <c r="AI339" s="54" t="str">
        <f aca="false">IF($D339="","",ROW())</f>
        <v/>
      </c>
      <c r="AJ339" s="54" t="n">
        <f aca="false">IF(OR($AC339&lt;&gt;1,$M339=""),0,IF(ISNUMBER(SEARCH("퇴사",IFERROR(INDEX(강사DB!$G$4:$G$53,MATCH($M339,강사DB!$A$4:$A$53,0)),""))),1,0))</f>
        <v>0</v>
      </c>
    </row>
    <row r="340" customFormat="false" ht="15" hidden="false" customHeight="false" outlineLevel="0" collapsed="false">
      <c r="A340" s="45" t="str">
        <f aca="false">IF($D340="","",COUNTA($D$5:$D340))</f>
        <v/>
      </c>
      <c r="B340" s="46"/>
      <c r="C340" s="47"/>
      <c r="D340" s="48"/>
      <c r="E340" s="48"/>
      <c r="F340" s="49"/>
      <c r="G340" s="47"/>
      <c r="H340" s="50"/>
      <c r="I340" s="50"/>
      <c r="J340" s="51" t="str">
        <f aca="false">IF(OR($V340="",$W340=""),"",ROUND(($W340-$V340)/60,2))</f>
        <v/>
      </c>
      <c r="K340" s="52" t="str">
        <f aca="false">IF($F340="","",LEN($F340)-LEN(SUBSTITUTE($F340,",",""))+1)</f>
        <v/>
      </c>
      <c r="L340" s="45" t="str">
        <f aca="false">IF($K340="","","1:"&amp;$K340)</f>
        <v/>
      </c>
      <c r="M340" s="46"/>
      <c r="N340" s="53"/>
      <c r="O340" s="46"/>
      <c r="P340" s="47"/>
      <c r="Q340" s="48"/>
      <c r="R340" s="49"/>
      <c r="S340" s="54" t="str">
        <f aca="false">IF(OR($AC340=0,$U340="",$M340="",$V340="",$W340=""),"",IF(COUNTIFS(m_teacher,$M340,m_date,$U340,m_active,1,m_start,"&lt;"&amp;$W340,m_end,"&gt;"&amp;$V340)&gt;1,"충돌",""))</f>
        <v/>
      </c>
      <c r="T340" s="48"/>
      <c r="U340" s="55" t="str">
        <f aca="false">IF($G340="","",IFERROR(IF(ISNUMBER($G340),IF($G340&gt;19000000,DATE(INT($G340/10000),MOD(INT($G340/100),100),MOD($G340,100)),INT($G340)),IF(LEN(SUBSTITUTE(SUBSTITUTE(SUBSTITUTE(TRIM($G340),"-",""),".",""),"/",""))=8,DATE(VALUE(LEFT(SUBSTITUTE(SUBSTITUTE(SUBSTITUTE(TRIM($G340),"-",""),".",""),"/",""),4)),VALUE(MID(SUBSTITUTE(SUBSTITUTE(SUBSTITUTE(TRIM($G340),"-",""),".",""),"/",""),5,2)),VALUE(RIGHT(SUBSTITUTE(SUBSTITUTE(SUBSTITUTE(TRIM($G340),"-",""),".",""),"/",""),2))),DATEVALUE($G340))),""))</f>
        <v/>
      </c>
      <c r="V340" s="52" t="str">
        <f aca="false">IF($H340="","",IFERROR(IF(IF(ISNUMBER($H340),$H340,IFERROR(TIMEVALUE($H340),VALUE($H340)))&gt;=100,INT(IF(ISNUMBER($H340),$H340,IFERROR(TIMEVALUE($H340),VALUE($H340)))/100)*60+MOD(IF(ISNUMBER($H340),$H340,IFERROR(TIMEVALUE($H340),VALUE($H340))),100),IF(IF(ISNUMBER($H340),$H340,IFERROR(TIMEVALUE($H340),VALUE($H340)))&gt;=1,ROUND(IF(ISNUMBER($H340),$H340,IFERROR(TIMEVALUE($H340),VALUE($H340)))*60,0),ROUND(MOD(IF(ISNUMBER($H340),$H340,IFERROR(TIMEVALUE($H340),VALUE($H340))),1)*1440,0))),""))</f>
        <v/>
      </c>
      <c r="W340" s="52" t="str">
        <f aca="false">IF($I340="","",IFERROR(IF(IF(ISNUMBER($I340),$I340,IFERROR(TIMEVALUE($I340),VALUE($I340)))&gt;=100,INT(IF(ISNUMBER($I340),$I340,IFERROR(TIMEVALUE($I340),VALUE($I340)))/100)*60+MOD(IF(ISNUMBER($I340),$I340,IFERROR(TIMEVALUE($I340),VALUE($I340))),100),IF(IF(ISNUMBER($I340),$I340,IFERROR(TIMEVALUE($I340),VALUE($I340)))&gt;=1,ROUND(IF(ISNUMBER($I340),$I340,IFERROR(TIMEVALUE($I340),VALUE($I340)))*60,0),ROUND(MOD(IF(ISNUMBER($I340),$I340,IFERROR(TIMEVALUE($I340),VALUE($I340))),1)*1440,0))),""))</f>
        <v/>
      </c>
      <c r="X340" s="55" t="str">
        <f aca="false">IF($P340="","",IFERROR(IF(ISNUMBER($P340),IF($P340&gt;19000000,DATE(INT($P340/10000),MOD(INT($P340/100),100),MOD($P340,100)),INT($P340)),IF(LEN(SUBSTITUTE(SUBSTITUTE(SUBSTITUTE(TRIM($P340),"-",""),".",""),"/",""))=8,DATE(VALUE(LEFT(SUBSTITUTE(SUBSTITUTE(SUBSTITUTE(TRIM($P340),"-",""),".",""),"/",""),4)),VALUE(MID(SUBSTITUTE(SUBSTITUTE(SUBSTITUTE(TRIM($P340),"-",""),".",""),"/",""),5,2)),VALUE(RIGHT(SUBSTITUTE(SUBSTITUTE(SUBSTITUTE(TRIM($P340),"-",""),".",""),"/",""),2))),DATEVALUE($P340))),""))</f>
        <v/>
      </c>
      <c r="Y340" s="56" t="str">
        <f aca="false">IF($M340="","",IFERROR(INDEX(강사DB!$D$4:$D$53,MATCH($M340,강사DB!$A$4:$A$53,0)),""))</f>
        <v/>
      </c>
      <c r="Z340" s="56" t="str">
        <f aca="false">IF($B340&lt;&gt;"결제완료","",IF(OR($Y340="",$J340=""),"",$Y340*$J340+MAX(0,N($K340)-1)*설정!$J$7))</f>
        <v/>
      </c>
      <c r="AA340" s="56" t="str">
        <f aca="false">IF(AND($D340&lt;&gt;"",$B340="결제완료"),N($N340),"")</f>
        <v/>
      </c>
      <c r="AB340" s="45" t="str">
        <f aca="false">IF($D340="","",IF($F340&lt;&gt;"",$F340,$D340)&amp;IF($B340="상담중"," (상담)",""))</f>
        <v/>
      </c>
      <c r="AC340" s="45" t="n">
        <f aca="false">IF(AND($D340&lt;&gt;"",OR($B340="결제완료",$B340="상담중")),1,0)</f>
        <v>0</v>
      </c>
      <c r="AD340" s="45" t="n">
        <f aca="false">IF(OR($Z340="",$U340=""),0,IFERROR(IF(COUNTIFS(INDEX(g_grid,0,2*MATCH($M340,강사DB!$A$4:$A$15,0)),"&lt;&gt;",g_s,"&lt;="&amp;$U340,g_e,"&gt;="&amp;$U340)&gt;0,1,0),0))</f>
        <v>0</v>
      </c>
      <c r="AE340" s="48"/>
      <c r="AF340" s="56" t="str">
        <f aca="false">IF(AND($D340&lt;&gt;"",$B340="결제완료",$T340="대여"),설정!$J$5,"")</f>
        <v/>
      </c>
      <c r="AG340" s="54" t="str">
        <f aca="false">IF($D340="","",IF(AND($E340="",$R340=""),$AB340,"☎ "&amp;IF($E340="","-",$E340)&amp;IF($R340&lt;&gt;"","  ※ "&amp;$R340,"")&amp;IF($B340="상담중"," (상담)","")))</f>
        <v/>
      </c>
      <c r="AH340" s="56" t="str">
        <f aca="false">IF(AND($D340&lt;&gt;"",$B340="결제완료",$O340="스마트스토어"),ROUND(N($N340)*설정!$J$6,0),"")</f>
        <v/>
      </c>
      <c r="AI340" s="54" t="str">
        <f aca="false">IF($D340="","",ROW())</f>
        <v/>
      </c>
      <c r="AJ340" s="54" t="n">
        <f aca="false">IF(OR($AC340&lt;&gt;1,$M340=""),0,IF(ISNUMBER(SEARCH("퇴사",IFERROR(INDEX(강사DB!$G$4:$G$53,MATCH($M340,강사DB!$A$4:$A$53,0)),""))),1,0))</f>
        <v>0</v>
      </c>
    </row>
    <row r="341" customFormat="false" ht="15" hidden="false" customHeight="false" outlineLevel="0" collapsed="false">
      <c r="A341" s="45" t="str">
        <f aca="false">IF($D341="","",COUNTA($D$5:$D341))</f>
        <v/>
      </c>
      <c r="B341" s="46"/>
      <c r="C341" s="47"/>
      <c r="D341" s="48"/>
      <c r="E341" s="48"/>
      <c r="F341" s="49"/>
      <c r="G341" s="47"/>
      <c r="H341" s="50"/>
      <c r="I341" s="50"/>
      <c r="J341" s="51" t="str">
        <f aca="false">IF(OR($V341="",$W341=""),"",ROUND(($W341-$V341)/60,2))</f>
        <v/>
      </c>
      <c r="K341" s="52" t="str">
        <f aca="false">IF($F341="","",LEN($F341)-LEN(SUBSTITUTE($F341,",",""))+1)</f>
        <v/>
      </c>
      <c r="L341" s="45" t="str">
        <f aca="false">IF($K341="","","1:"&amp;$K341)</f>
        <v/>
      </c>
      <c r="M341" s="46"/>
      <c r="N341" s="53"/>
      <c r="O341" s="46"/>
      <c r="P341" s="47"/>
      <c r="Q341" s="48"/>
      <c r="R341" s="49"/>
      <c r="S341" s="54" t="str">
        <f aca="false">IF(OR($AC341=0,$U341="",$M341="",$V341="",$W341=""),"",IF(COUNTIFS(m_teacher,$M341,m_date,$U341,m_active,1,m_start,"&lt;"&amp;$W341,m_end,"&gt;"&amp;$V341)&gt;1,"충돌",""))</f>
        <v/>
      </c>
      <c r="T341" s="48"/>
      <c r="U341" s="55" t="str">
        <f aca="false">IF($G341="","",IFERROR(IF(ISNUMBER($G341),IF($G341&gt;19000000,DATE(INT($G341/10000),MOD(INT($G341/100),100),MOD($G341,100)),INT($G341)),IF(LEN(SUBSTITUTE(SUBSTITUTE(SUBSTITUTE(TRIM($G341),"-",""),".",""),"/",""))=8,DATE(VALUE(LEFT(SUBSTITUTE(SUBSTITUTE(SUBSTITUTE(TRIM($G341),"-",""),".",""),"/",""),4)),VALUE(MID(SUBSTITUTE(SUBSTITUTE(SUBSTITUTE(TRIM($G341),"-",""),".",""),"/",""),5,2)),VALUE(RIGHT(SUBSTITUTE(SUBSTITUTE(SUBSTITUTE(TRIM($G341),"-",""),".",""),"/",""),2))),DATEVALUE($G341))),""))</f>
        <v/>
      </c>
      <c r="V341" s="52" t="str">
        <f aca="false">IF($H341="","",IFERROR(IF(IF(ISNUMBER($H341),$H341,IFERROR(TIMEVALUE($H341),VALUE($H341)))&gt;=100,INT(IF(ISNUMBER($H341),$H341,IFERROR(TIMEVALUE($H341),VALUE($H341)))/100)*60+MOD(IF(ISNUMBER($H341),$H341,IFERROR(TIMEVALUE($H341),VALUE($H341))),100),IF(IF(ISNUMBER($H341),$H341,IFERROR(TIMEVALUE($H341),VALUE($H341)))&gt;=1,ROUND(IF(ISNUMBER($H341),$H341,IFERROR(TIMEVALUE($H341),VALUE($H341)))*60,0),ROUND(MOD(IF(ISNUMBER($H341),$H341,IFERROR(TIMEVALUE($H341),VALUE($H341))),1)*1440,0))),""))</f>
        <v/>
      </c>
      <c r="W341" s="52" t="str">
        <f aca="false">IF($I341="","",IFERROR(IF(IF(ISNUMBER($I341),$I341,IFERROR(TIMEVALUE($I341),VALUE($I341)))&gt;=100,INT(IF(ISNUMBER($I341),$I341,IFERROR(TIMEVALUE($I341),VALUE($I341)))/100)*60+MOD(IF(ISNUMBER($I341),$I341,IFERROR(TIMEVALUE($I341),VALUE($I341))),100),IF(IF(ISNUMBER($I341),$I341,IFERROR(TIMEVALUE($I341),VALUE($I341)))&gt;=1,ROUND(IF(ISNUMBER($I341),$I341,IFERROR(TIMEVALUE($I341),VALUE($I341)))*60,0),ROUND(MOD(IF(ISNUMBER($I341),$I341,IFERROR(TIMEVALUE($I341),VALUE($I341))),1)*1440,0))),""))</f>
        <v/>
      </c>
      <c r="X341" s="55" t="str">
        <f aca="false">IF($P341="","",IFERROR(IF(ISNUMBER($P341),IF($P341&gt;19000000,DATE(INT($P341/10000),MOD(INT($P341/100),100),MOD($P341,100)),INT($P341)),IF(LEN(SUBSTITUTE(SUBSTITUTE(SUBSTITUTE(TRIM($P341),"-",""),".",""),"/",""))=8,DATE(VALUE(LEFT(SUBSTITUTE(SUBSTITUTE(SUBSTITUTE(TRIM($P341),"-",""),".",""),"/",""),4)),VALUE(MID(SUBSTITUTE(SUBSTITUTE(SUBSTITUTE(TRIM($P341),"-",""),".",""),"/",""),5,2)),VALUE(RIGHT(SUBSTITUTE(SUBSTITUTE(SUBSTITUTE(TRIM($P341),"-",""),".",""),"/",""),2))),DATEVALUE($P341))),""))</f>
        <v/>
      </c>
      <c r="Y341" s="56" t="str">
        <f aca="false">IF($M341="","",IFERROR(INDEX(강사DB!$D$4:$D$53,MATCH($M341,강사DB!$A$4:$A$53,0)),""))</f>
        <v/>
      </c>
      <c r="Z341" s="56" t="str">
        <f aca="false">IF($B341&lt;&gt;"결제완료","",IF(OR($Y341="",$J341=""),"",$Y341*$J341+MAX(0,N($K341)-1)*설정!$J$7))</f>
        <v/>
      </c>
      <c r="AA341" s="56" t="str">
        <f aca="false">IF(AND($D341&lt;&gt;"",$B341="결제완료"),N($N341),"")</f>
        <v/>
      </c>
      <c r="AB341" s="45" t="str">
        <f aca="false">IF($D341="","",IF($F341&lt;&gt;"",$F341,$D341)&amp;IF($B341="상담중"," (상담)",""))</f>
        <v/>
      </c>
      <c r="AC341" s="45" t="n">
        <f aca="false">IF(AND($D341&lt;&gt;"",OR($B341="결제완료",$B341="상담중")),1,0)</f>
        <v>0</v>
      </c>
      <c r="AD341" s="45" t="n">
        <f aca="false">IF(OR($Z341="",$U341=""),0,IFERROR(IF(COUNTIFS(INDEX(g_grid,0,2*MATCH($M341,강사DB!$A$4:$A$15,0)),"&lt;&gt;",g_s,"&lt;="&amp;$U341,g_e,"&gt;="&amp;$U341)&gt;0,1,0),0))</f>
        <v>0</v>
      </c>
      <c r="AE341" s="48"/>
      <c r="AF341" s="56" t="str">
        <f aca="false">IF(AND($D341&lt;&gt;"",$B341="결제완료",$T341="대여"),설정!$J$5,"")</f>
        <v/>
      </c>
      <c r="AG341" s="54" t="str">
        <f aca="false">IF($D341="","",IF(AND($E341="",$R341=""),$AB341,"☎ "&amp;IF($E341="","-",$E341)&amp;IF($R341&lt;&gt;"","  ※ "&amp;$R341,"")&amp;IF($B341="상담중"," (상담)","")))</f>
        <v/>
      </c>
      <c r="AH341" s="56" t="str">
        <f aca="false">IF(AND($D341&lt;&gt;"",$B341="결제완료",$O341="스마트스토어"),ROUND(N($N341)*설정!$J$6,0),"")</f>
        <v/>
      </c>
      <c r="AI341" s="54" t="str">
        <f aca="false">IF($D341="","",ROW())</f>
        <v/>
      </c>
      <c r="AJ341" s="54" t="n">
        <f aca="false">IF(OR($AC341&lt;&gt;1,$M341=""),0,IF(ISNUMBER(SEARCH("퇴사",IFERROR(INDEX(강사DB!$G$4:$G$53,MATCH($M341,강사DB!$A$4:$A$53,0)),""))),1,0))</f>
        <v>0</v>
      </c>
    </row>
    <row r="342" customFormat="false" ht="15" hidden="false" customHeight="false" outlineLevel="0" collapsed="false">
      <c r="A342" s="45" t="str">
        <f aca="false">IF($D342="","",COUNTA($D$5:$D342))</f>
        <v/>
      </c>
      <c r="B342" s="46"/>
      <c r="C342" s="47"/>
      <c r="D342" s="48"/>
      <c r="E342" s="48"/>
      <c r="F342" s="49"/>
      <c r="G342" s="47"/>
      <c r="H342" s="50"/>
      <c r="I342" s="50"/>
      <c r="J342" s="51" t="str">
        <f aca="false">IF(OR($V342="",$W342=""),"",ROUND(($W342-$V342)/60,2))</f>
        <v/>
      </c>
      <c r="K342" s="52" t="str">
        <f aca="false">IF($F342="","",LEN($F342)-LEN(SUBSTITUTE($F342,",",""))+1)</f>
        <v/>
      </c>
      <c r="L342" s="45" t="str">
        <f aca="false">IF($K342="","","1:"&amp;$K342)</f>
        <v/>
      </c>
      <c r="M342" s="46"/>
      <c r="N342" s="53"/>
      <c r="O342" s="46"/>
      <c r="P342" s="47"/>
      <c r="Q342" s="48"/>
      <c r="R342" s="49"/>
      <c r="S342" s="54" t="str">
        <f aca="false">IF(OR($AC342=0,$U342="",$M342="",$V342="",$W342=""),"",IF(COUNTIFS(m_teacher,$M342,m_date,$U342,m_active,1,m_start,"&lt;"&amp;$W342,m_end,"&gt;"&amp;$V342)&gt;1,"충돌",""))</f>
        <v/>
      </c>
      <c r="T342" s="48"/>
      <c r="U342" s="55" t="str">
        <f aca="false">IF($G342="","",IFERROR(IF(ISNUMBER($G342),IF($G342&gt;19000000,DATE(INT($G342/10000),MOD(INT($G342/100),100),MOD($G342,100)),INT($G342)),IF(LEN(SUBSTITUTE(SUBSTITUTE(SUBSTITUTE(TRIM($G342),"-",""),".",""),"/",""))=8,DATE(VALUE(LEFT(SUBSTITUTE(SUBSTITUTE(SUBSTITUTE(TRIM($G342),"-",""),".",""),"/",""),4)),VALUE(MID(SUBSTITUTE(SUBSTITUTE(SUBSTITUTE(TRIM($G342),"-",""),".",""),"/",""),5,2)),VALUE(RIGHT(SUBSTITUTE(SUBSTITUTE(SUBSTITUTE(TRIM($G342),"-",""),".",""),"/",""),2))),DATEVALUE($G342))),""))</f>
        <v/>
      </c>
      <c r="V342" s="52" t="str">
        <f aca="false">IF($H342="","",IFERROR(IF(IF(ISNUMBER($H342),$H342,IFERROR(TIMEVALUE($H342),VALUE($H342)))&gt;=100,INT(IF(ISNUMBER($H342),$H342,IFERROR(TIMEVALUE($H342),VALUE($H342)))/100)*60+MOD(IF(ISNUMBER($H342),$H342,IFERROR(TIMEVALUE($H342),VALUE($H342))),100),IF(IF(ISNUMBER($H342),$H342,IFERROR(TIMEVALUE($H342),VALUE($H342)))&gt;=1,ROUND(IF(ISNUMBER($H342),$H342,IFERROR(TIMEVALUE($H342),VALUE($H342)))*60,0),ROUND(MOD(IF(ISNUMBER($H342),$H342,IFERROR(TIMEVALUE($H342),VALUE($H342))),1)*1440,0))),""))</f>
        <v/>
      </c>
      <c r="W342" s="52" t="str">
        <f aca="false">IF($I342="","",IFERROR(IF(IF(ISNUMBER($I342),$I342,IFERROR(TIMEVALUE($I342),VALUE($I342)))&gt;=100,INT(IF(ISNUMBER($I342),$I342,IFERROR(TIMEVALUE($I342),VALUE($I342)))/100)*60+MOD(IF(ISNUMBER($I342),$I342,IFERROR(TIMEVALUE($I342),VALUE($I342))),100),IF(IF(ISNUMBER($I342),$I342,IFERROR(TIMEVALUE($I342),VALUE($I342)))&gt;=1,ROUND(IF(ISNUMBER($I342),$I342,IFERROR(TIMEVALUE($I342),VALUE($I342)))*60,0),ROUND(MOD(IF(ISNUMBER($I342),$I342,IFERROR(TIMEVALUE($I342),VALUE($I342))),1)*1440,0))),""))</f>
        <v/>
      </c>
      <c r="X342" s="55" t="str">
        <f aca="false">IF($P342="","",IFERROR(IF(ISNUMBER($P342),IF($P342&gt;19000000,DATE(INT($P342/10000),MOD(INT($P342/100),100),MOD($P342,100)),INT($P342)),IF(LEN(SUBSTITUTE(SUBSTITUTE(SUBSTITUTE(TRIM($P342),"-",""),".",""),"/",""))=8,DATE(VALUE(LEFT(SUBSTITUTE(SUBSTITUTE(SUBSTITUTE(TRIM($P342),"-",""),".",""),"/",""),4)),VALUE(MID(SUBSTITUTE(SUBSTITUTE(SUBSTITUTE(TRIM($P342),"-",""),".",""),"/",""),5,2)),VALUE(RIGHT(SUBSTITUTE(SUBSTITUTE(SUBSTITUTE(TRIM($P342),"-",""),".",""),"/",""),2))),DATEVALUE($P342))),""))</f>
        <v/>
      </c>
      <c r="Y342" s="56" t="str">
        <f aca="false">IF($M342="","",IFERROR(INDEX(강사DB!$D$4:$D$53,MATCH($M342,강사DB!$A$4:$A$53,0)),""))</f>
        <v/>
      </c>
      <c r="Z342" s="56" t="str">
        <f aca="false">IF($B342&lt;&gt;"결제완료","",IF(OR($Y342="",$J342=""),"",$Y342*$J342+MAX(0,N($K342)-1)*설정!$J$7))</f>
        <v/>
      </c>
      <c r="AA342" s="56" t="str">
        <f aca="false">IF(AND($D342&lt;&gt;"",$B342="결제완료"),N($N342),"")</f>
        <v/>
      </c>
      <c r="AB342" s="45" t="str">
        <f aca="false">IF($D342="","",IF($F342&lt;&gt;"",$F342,$D342)&amp;IF($B342="상담중"," (상담)",""))</f>
        <v/>
      </c>
      <c r="AC342" s="45" t="n">
        <f aca="false">IF(AND($D342&lt;&gt;"",OR($B342="결제완료",$B342="상담중")),1,0)</f>
        <v>0</v>
      </c>
      <c r="AD342" s="45" t="n">
        <f aca="false">IF(OR($Z342="",$U342=""),0,IFERROR(IF(COUNTIFS(INDEX(g_grid,0,2*MATCH($M342,강사DB!$A$4:$A$15,0)),"&lt;&gt;",g_s,"&lt;="&amp;$U342,g_e,"&gt;="&amp;$U342)&gt;0,1,0),0))</f>
        <v>0</v>
      </c>
      <c r="AE342" s="48"/>
      <c r="AF342" s="56" t="str">
        <f aca="false">IF(AND($D342&lt;&gt;"",$B342="결제완료",$T342="대여"),설정!$J$5,"")</f>
        <v/>
      </c>
      <c r="AG342" s="54" t="str">
        <f aca="false">IF($D342="","",IF(AND($E342="",$R342=""),$AB342,"☎ "&amp;IF($E342="","-",$E342)&amp;IF($R342&lt;&gt;"","  ※ "&amp;$R342,"")&amp;IF($B342="상담중"," (상담)","")))</f>
        <v/>
      </c>
      <c r="AH342" s="56" t="str">
        <f aca="false">IF(AND($D342&lt;&gt;"",$B342="결제완료",$O342="스마트스토어"),ROUND(N($N342)*설정!$J$6,0),"")</f>
        <v/>
      </c>
      <c r="AI342" s="54" t="str">
        <f aca="false">IF($D342="","",ROW())</f>
        <v/>
      </c>
      <c r="AJ342" s="54" t="n">
        <f aca="false">IF(OR($AC342&lt;&gt;1,$M342=""),0,IF(ISNUMBER(SEARCH("퇴사",IFERROR(INDEX(강사DB!$G$4:$G$53,MATCH($M342,강사DB!$A$4:$A$53,0)),""))),1,0))</f>
        <v>0</v>
      </c>
    </row>
    <row r="343" customFormat="false" ht="15" hidden="false" customHeight="false" outlineLevel="0" collapsed="false">
      <c r="A343" s="45" t="str">
        <f aca="false">IF($D343="","",COUNTA($D$5:$D343))</f>
        <v/>
      </c>
      <c r="B343" s="46"/>
      <c r="C343" s="47"/>
      <c r="D343" s="48"/>
      <c r="E343" s="48"/>
      <c r="F343" s="49"/>
      <c r="G343" s="47"/>
      <c r="H343" s="50"/>
      <c r="I343" s="50"/>
      <c r="J343" s="51" t="str">
        <f aca="false">IF(OR($V343="",$W343=""),"",ROUND(($W343-$V343)/60,2))</f>
        <v/>
      </c>
      <c r="K343" s="52" t="str">
        <f aca="false">IF($F343="","",LEN($F343)-LEN(SUBSTITUTE($F343,",",""))+1)</f>
        <v/>
      </c>
      <c r="L343" s="45" t="str">
        <f aca="false">IF($K343="","","1:"&amp;$K343)</f>
        <v/>
      </c>
      <c r="M343" s="46"/>
      <c r="N343" s="53"/>
      <c r="O343" s="46"/>
      <c r="P343" s="47"/>
      <c r="Q343" s="48"/>
      <c r="R343" s="49"/>
      <c r="S343" s="54" t="str">
        <f aca="false">IF(OR($AC343=0,$U343="",$M343="",$V343="",$W343=""),"",IF(COUNTIFS(m_teacher,$M343,m_date,$U343,m_active,1,m_start,"&lt;"&amp;$W343,m_end,"&gt;"&amp;$V343)&gt;1,"충돌",""))</f>
        <v/>
      </c>
      <c r="T343" s="48"/>
      <c r="U343" s="55" t="str">
        <f aca="false">IF($G343="","",IFERROR(IF(ISNUMBER($G343),IF($G343&gt;19000000,DATE(INT($G343/10000),MOD(INT($G343/100),100),MOD($G343,100)),INT($G343)),IF(LEN(SUBSTITUTE(SUBSTITUTE(SUBSTITUTE(TRIM($G343),"-",""),".",""),"/",""))=8,DATE(VALUE(LEFT(SUBSTITUTE(SUBSTITUTE(SUBSTITUTE(TRIM($G343),"-",""),".",""),"/",""),4)),VALUE(MID(SUBSTITUTE(SUBSTITUTE(SUBSTITUTE(TRIM($G343),"-",""),".",""),"/",""),5,2)),VALUE(RIGHT(SUBSTITUTE(SUBSTITUTE(SUBSTITUTE(TRIM($G343),"-",""),".",""),"/",""),2))),DATEVALUE($G343))),""))</f>
        <v/>
      </c>
      <c r="V343" s="52" t="str">
        <f aca="false">IF($H343="","",IFERROR(IF(IF(ISNUMBER($H343),$H343,IFERROR(TIMEVALUE($H343),VALUE($H343)))&gt;=100,INT(IF(ISNUMBER($H343),$H343,IFERROR(TIMEVALUE($H343),VALUE($H343)))/100)*60+MOD(IF(ISNUMBER($H343),$H343,IFERROR(TIMEVALUE($H343),VALUE($H343))),100),IF(IF(ISNUMBER($H343),$H343,IFERROR(TIMEVALUE($H343),VALUE($H343)))&gt;=1,ROUND(IF(ISNUMBER($H343),$H343,IFERROR(TIMEVALUE($H343),VALUE($H343)))*60,0),ROUND(MOD(IF(ISNUMBER($H343),$H343,IFERROR(TIMEVALUE($H343),VALUE($H343))),1)*1440,0))),""))</f>
        <v/>
      </c>
      <c r="W343" s="52" t="str">
        <f aca="false">IF($I343="","",IFERROR(IF(IF(ISNUMBER($I343),$I343,IFERROR(TIMEVALUE($I343),VALUE($I343)))&gt;=100,INT(IF(ISNUMBER($I343),$I343,IFERROR(TIMEVALUE($I343),VALUE($I343)))/100)*60+MOD(IF(ISNUMBER($I343),$I343,IFERROR(TIMEVALUE($I343),VALUE($I343))),100),IF(IF(ISNUMBER($I343),$I343,IFERROR(TIMEVALUE($I343),VALUE($I343)))&gt;=1,ROUND(IF(ISNUMBER($I343),$I343,IFERROR(TIMEVALUE($I343),VALUE($I343)))*60,0),ROUND(MOD(IF(ISNUMBER($I343),$I343,IFERROR(TIMEVALUE($I343),VALUE($I343))),1)*1440,0))),""))</f>
        <v/>
      </c>
      <c r="X343" s="55" t="str">
        <f aca="false">IF($P343="","",IFERROR(IF(ISNUMBER($P343),IF($P343&gt;19000000,DATE(INT($P343/10000),MOD(INT($P343/100),100),MOD($P343,100)),INT($P343)),IF(LEN(SUBSTITUTE(SUBSTITUTE(SUBSTITUTE(TRIM($P343),"-",""),".",""),"/",""))=8,DATE(VALUE(LEFT(SUBSTITUTE(SUBSTITUTE(SUBSTITUTE(TRIM($P343),"-",""),".",""),"/",""),4)),VALUE(MID(SUBSTITUTE(SUBSTITUTE(SUBSTITUTE(TRIM($P343),"-",""),".",""),"/",""),5,2)),VALUE(RIGHT(SUBSTITUTE(SUBSTITUTE(SUBSTITUTE(TRIM($P343),"-",""),".",""),"/",""),2))),DATEVALUE($P343))),""))</f>
        <v/>
      </c>
      <c r="Y343" s="56" t="str">
        <f aca="false">IF($M343="","",IFERROR(INDEX(강사DB!$D$4:$D$53,MATCH($M343,강사DB!$A$4:$A$53,0)),""))</f>
        <v/>
      </c>
      <c r="Z343" s="56" t="str">
        <f aca="false">IF($B343&lt;&gt;"결제완료","",IF(OR($Y343="",$J343=""),"",$Y343*$J343+MAX(0,N($K343)-1)*설정!$J$7))</f>
        <v/>
      </c>
      <c r="AA343" s="56" t="str">
        <f aca="false">IF(AND($D343&lt;&gt;"",$B343="결제완료"),N($N343),"")</f>
        <v/>
      </c>
      <c r="AB343" s="45" t="str">
        <f aca="false">IF($D343="","",IF($F343&lt;&gt;"",$F343,$D343)&amp;IF($B343="상담중"," (상담)",""))</f>
        <v/>
      </c>
      <c r="AC343" s="45" t="n">
        <f aca="false">IF(AND($D343&lt;&gt;"",OR($B343="결제완료",$B343="상담중")),1,0)</f>
        <v>0</v>
      </c>
      <c r="AD343" s="45" t="n">
        <f aca="false">IF(OR($Z343="",$U343=""),0,IFERROR(IF(COUNTIFS(INDEX(g_grid,0,2*MATCH($M343,강사DB!$A$4:$A$15,0)),"&lt;&gt;",g_s,"&lt;="&amp;$U343,g_e,"&gt;="&amp;$U343)&gt;0,1,0),0))</f>
        <v>0</v>
      </c>
      <c r="AE343" s="48"/>
      <c r="AF343" s="56" t="str">
        <f aca="false">IF(AND($D343&lt;&gt;"",$B343="결제완료",$T343="대여"),설정!$J$5,"")</f>
        <v/>
      </c>
      <c r="AG343" s="54" t="str">
        <f aca="false">IF($D343="","",IF(AND($E343="",$R343=""),$AB343,"☎ "&amp;IF($E343="","-",$E343)&amp;IF($R343&lt;&gt;"","  ※ "&amp;$R343,"")&amp;IF($B343="상담중"," (상담)","")))</f>
        <v/>
      </c>
      <c r="AH343" s="56" t="str">
        <f aca="false">IF(AND($D343&lt;&gt;"",$B343="결제완료",$O343="스마트스토어"),ROUND(N($N343)*설정!$J$6,0),"")</f>
        <v/>
      </c>
      <c r="AI343" s="54" t="str">
        <f aca="false">IF($D343="","",ROW())</f>
        <v/>
      </c>
      <c r="AJ343" s="54" t="n">
        <f aca="false">IF(OR($AC343&lt;&gt;1,$M343=""),0,IF(ISNUMBER(SEARCH("퇴사",IFERROR(INDEX(강사DB!$G$4:$G$53,MATCH($M343,강사DB!$A$4:$A$53,0)),""))),1,0))</f>
        <v>0</v>
      </c>
    </row>
    <row r="344" customFormat="false" ht="15" hidden="false" customHeight="false" outlineLevel="0" collapsed="false">
      <c r="A344" s="45" t="str">
        <f aca="false">IF($D344="","",COUNTA($D$5:$D344))</f>
        <v/>
      </c>
      <c r="B344" s="46"/>
      <c r="C344" s="47"/>
      <c r="D344" s="48"/>
      <c r="E344" s="48"/>
      <c r="F344" s="49"/>
      <c r="G344" s="47"/>
      <c r="H344" s="50"/>
      <c r="I344" s="50"/>
      <c r="J344" s="51" t="str">
        <f aca="false">IF(OR($V344="",$W344=""),"",ROUND(($W344-$V344)/60,2))</f>
        <v/>
      </c>
      <c r="K344" s="52" t="str">
        <f aca="false">IF($F344="","",LEN($F344)-LEN(SUBSTITUTE($F344,",",""))+1)</f>
        <v/>
      </c>
      <c r="L344" s="45" t="str">
        <f aca="false">IF($K344="","","1:"&amp;$K344)</f>
        <v/>
      </c>
      <c r="M344" s="46"/>
      <c r="N344" s="53"/>
      <c r="O344" s="46"/>
      <c r="P344" s="47"/>
      <c r="Q344" s="48"/>
      <c r="R344" s="49"/>
      <c r="S344" s="54" t="str">
        <f aca="false">IF(OR($AC344=0,$U344="",$M344="",$V344="",$W344=""),"",IF(COUNTIFS(m_teacher,$M344,m_date,$U344,m_active,1,m_start,"&lt;"&amp;$W344,m_end,"&gt;"&amp;$V344)&gt;1,"충돌",""))</f>
        <v/>
      </c>
      <c r="T344" s="48"/>
      <c r="U344" s="55" t="str">
        <f aca="false">IF($G344="","",IFERROR(IF(ISNUMBER($G344),IF($G344&gt;19000000,DATE(INT($G344/10000),MOD(INT($G344/100),100),MOD($G344,100)),INT($G344)),IF(LEN(SUBSTITUTE(SUBSTITUTE(SUBSTITUTE(TRIM($G344),"-",""),".",""),"/",""))=8,DATE(VALUE(LEFT(SUBSTITUTE(SUBSTITUTE(SUBSTITUTE(TRIM($G344),"-",""),".",""),"/",""),4)),VALUE(MID(SUBSTITUTE(SUBSTITUTE(SUBSTITUTE(TRIM($G344),"-",""),".",""),"/",""),5,2)),VALUE(RIGHT(SUBSTITUTE(SUBSTITUTE(SUBSTITUTE(TRIM($G344),"-",""),".",""),"/",""),2))),DATEVALUE($G344))),""))</f>
        <v/>
      </c>
      <c r="V344" s="52" t="str">
        <f aca="false">IF($H344="","",IFERROR(IF(IF(ISNUMBER($H344),$H344,IFERROR(TIMEVALUE($H344),VALUE($H344)))&gt;=100,INT(IF(ISNUMBER($H344),$H344,IFERROR(TIMEVALUE($H344),VALUE($H344)))/100)*60+MOD(IF(ISNUMBER($H344),$H344,IFERROR(TIMEVALUE($H344),VALUE($H344))),100),IF(IF(ISNUMBER($H344),$H344,IFERROR(TIMEVALUE($H344),VALUE($H344)))&gt;=1,ROUND(IF(ISNUMBER($H344),$H344,IFERROR(TIMEVALUE($H344),VALUE($H344)))*60,0),ROUND(MOD(IF(ISNUMBER($H344),$H344,IFERROR(TIMEVALUE($H344),VALUE($H344))),1)*1440,0))),""))</f>
        <v/>
      </c>
      <c r="W344" s="52" t="str">
        <f aca="false">IF($I344="","",IFERROR(IF(IF(ISNUMBER($I344),$I344,IFERROR(TIMEVALUE($I344),VALUE($I344)))&gt;=100,INT(IF(ISNUMBER($I344),$I344,IFERROR(TIMEVALUE($I344),VALUE($I344)))/100)*60+MOD(IF(ISNUMBER($I344),$I344,IFERROR(TIMEVALUE($I344),VALUE($I344))),100),IF(IF(ISNUMBER($I344),$I344,IFERROR(TIMEVALUE($I344),VALUE($I344)))&gt;=1,ROUND(IF(ISNUMBER($I344),$I344,IFERROR(TIMEVALUE($I344),VALUE($I344)))*60,0),ROUND(MOD(IF(ISNUMBER($I344),$I344,IFERROR(TIMEVALUE($I344),VALUE($I344))),1)*1440,0))),""))</f>
        <v/>
      </c>
      <c r="X344" s="55" t="str">
        <f aca="false">IF($P344="","",IFERROR(IF(ISNUMBER($P344),IF($P344&gt;19000000,DATE(INT($P344/10000),MOD(INT($P344/100),100),MOD($P344,100)),INT($P344)),IF(LEN(SUBSTITUTE(SUBSTITUTE(SUBSTITUTE(TRIM($P344),"-",""),".",""),"/",""))=8,DATE(VALUE(LEFT(SUBSTITUTE(SUBSTITUTE(SUBSTITUTE(TRIM($P344),"-",""),".",""),"/",""),4)),VALUE(MID(SUBSTITUTE(SUBSTITUTE(SUBSTITUTE(TRIM($P344),"-",""),".",""),"/",""),5,2)),VALUE(RIGHT(SUBSTITUTE(SUBSTITUTE(SUBSTITUTE(TRIM($P344),"-",""),".",""),"/",""),2))),DATEVALUE($P344))),""))</f>
        <v/>
      </c>
      <c r="Y344" s="56" t="str">
        <f aca="false">IF($M344="","",IFERROR(INDEX(강사DB!$D$4:$D$53,MATCH($M344,강사DB!$A$4:$A$53,0)),""))</f>
        <v/>
      </c>
      <c r="Z344" s="56" t="str">
        <f aca="false">IF($B344&lt;&gt;"결제완료","",IF(OR($Y344="",$J344=""),"",$Y344*$J344+MAX(0,N($K344)-1)*설정!$J$7))</f>
        <v/>
      </c>
      <c r="AA344" s="56" t="str">
        <f aca="false">IF(AND($D344&lt;&gt;"",$B344="결제완료"),N($N344),"")</f>
        <v/>
      </c>
      <c r="AB344" s="45" t="str">
        <f aca="false">IF($D344="","",IF($F344&lt;&gt;"",$F344,$D344)&amp;IF($B344="상담중"," (상담)",""))</f>
        <v/>
      </c>
      <c r="AC344" s="45" t="n">
        <f aca="false">IF(AND($D344&lt;&gt;"",OR($B344="결제완료",$B344="상담중")),1,0)</f>
        <v>0</v>
      </c>
      <c r="AD344" s="45" t="n">
        <f aca="false">IF(OR($Z344="",$U344=""),0,IFERROR(IF(COUNTIFS(INDEX(g_grid,0,2*MATCH($M344,강사DB!$A$4:$A$15,0)),"&lt;&gt;",g_s,"&lt;="&amp;$U344,g_e,"&gt;="&amp;$U344)&gt;0,1,0),0))</f>
        <v>0</v>
      </c>
      <c r="AE344" s="48"/>
      <c r="AF344" s="56" t="str">
        <f aca="false">IF(AND($D344&lt;&gt;"",$B344="결제완료",$T344="대여"),설정!$J$5,"")</f>
        <v/>
      </c>
      <c r="AG344" s="54" t="str">
        <f aca="false">IF($D344="","",IF(AND($E344="",$R344=""),$AB344,"☎ "&amp;IF($E344="","-",$E344)&amp;IF($R344&lt;&gt;"","  ※ "&amp;$R344,"")&amp;IF($B344="상담중"," (상담)","")))</f>
        <v/>
      </c>
      <c r="AH344" s="56" t="str">
        <f aca="false">IF(AND($D344&lt;&gt;"",$B344="결제완료",$O344="스마트스토어"),ROUND(N($N344)*설정!$J$6,0),"")</f>
        <v/>
      </c>
      <c r="AI344" s="54" t="str">
        <f aca="false">IF($D344="","",ROW())</f>
        <v/>
      </c>
      <c r="AJ344" s="54" t="n">
        <f aca="false">IF(OR($AC344&lt;&gt;1,$M344=""),0,IF(ISNUMBER(SEARCH("퇴사",IFERROR(INDEX(강사DB!$G$4:$G$53,MATCH($M344,강사DB!$A$4:$A$53,0)),""))),1,0))</f>
        <v>0</v>
      </c>
    </row>
    <row r="345" customFormat="false" ht="15" hidden="false" customHeight="false" outlineLevel="0" collapsed="false">
      <c r="A345" s="45" t="str">
        <f aca="false">IF($D345="","",COUNTA($D$5:$D345))</f>
        <v/>
      </c>
      <c r="B345" s="46"/>
      <c r="C345" s="47"/>
      <c r="D345" s="48"/>
      <c r="E345" s="48"/>
      <c r="F345" s="49"/>
      <c r="G345" s="47"/>
      <c r="H345" s="50"/>
      <c r="I345" s="50"/>
      <c r="J345" s="51" t="str">
        <f aca="false">IF(OR($V345="",$W345=""),"",ROUND(($W345-$V345)/60,2))</f>
        <v/>
      </c>
      <c r="K345" s="52" t="str">
        <f aca="false">IF($F345="","",LEN($F345)-LEN(SUBSTITUTE($F345,",",""))+1)</f>
        <v/>
      </c>
      <c r="L345" s="45" t="str">
        <f aca="false">IF($K345="","","1:"&amp;$K345)</f>
        <v/>
      </c>
      <c r="M345" s="46"/>
      <c r="N345" s="53"/>
      <c r="O345" s="46"/>
      <c r="P345" s="47"/>
      <c r="Q345" s="48"/>
      <c r="R345" s="49"/>
      <c r="S345" s="54" t="str">
        <f aca="false">IF(OR($AC345=0,$U345="",$M345="",$V345="",$W345=""),"",IF(COUNTIFS(m_teacher,$M345,m_date,$U345,m_active,1,m_start,"&lt;"&amp;$W345,m_end,"&gt;"&amp;$V345)&gt;1,"충돌",""))</f>
        <v/>
      </c>
      <c r="T345" s="48"/>
      <c r="U345" s="55" t="str">
        <f aca="false">IF($G345="","",IFERROR(IF(ISNUMBER($G345),IF($G345&gt;19000000,DATE(INT($G345/10000),MOD(INT($G345/100),100),MOD($G345,100)),INT($G345)),IF(LEN(SUBSTITUTE(SUBSTITUTE(SUBSTITUTE(TRIM($G345),"-",""),".",""),"/",""))=8,DATE(VALUE(LEFT(SUBSTITUTE(SUBSTITUTE(SUBSTITUTE(TRIM($G345),"-",""),".",""),"/",""),4)),VALUE(MID(SUBSTITUTE(SUBSTITUTE(SUBSTITUTE(TRIM($G345),"-",""),".",""),"/",""),5,2)),VALUE(RIGHT(SUBSTITUTE(SUBSTITUTE(SUBSTITUTE(TRIM($G345),"-",""),".",""),"/",""),2))),DATEVALUE($G345))),""))</f>
        <v/>
      </c>
      <c r="V345" s="52" t="str">
        <f aca="false">IF($H345="","",IFERROR(IF(IF(ISNUMBER($H345),$H345,IFERROR(TIMEVALUE($H345),VALUE($H345)))&gt;=100,INT(IF(ISNUMBER($H345),$H345,IFERROR(TIMEVALUE($H345),VALUE($H345)))/100)*60+MOD(IF(ISNUMBER($H345),$H345,IFERROR(TIMEVALUE($H345),VALUE($H345))),100),IF(IF(ISNUMBER($H345),$H345,IFERROR(TIMEVALUE($H345),VALUE($H345)))&gt;=1,ROUND(IF(ISNUMBER($H345),$H345,IFERROR(TIMEVALUE($H345),VALUE($H345)))*60,0),ROUND(MOD(IF(ISNUMBER($H345),$H345,IFERROR(TIMEVALUE($H345),VALUE($H345))),1)*1440,0))),""))</f>
        <v/>
      </c>
      <c r="W345" s="52" t="str">
        <f aca="false">IF($I345="","",IFERROR(IF(IF(ISNUMBER($I345),$I345,IFERROR(TIMEVALUE($I345),VALUE($I345)))&gt;=100,INT(IF(ISNUMBER($I345),$I345,IFERROR(TIMEVALUE($I345),VALUE($I345)))/100)*60+MOD(IF(ISNUMBER($I345),$I345,IFERROR(TIMEVALUE($I345),VALUE($I345))),100),IF(IF(ISNUMBER($I345),$I345,IFERROR(TIMEVALUE($I345),VALUE($I345)))&gt;=1,ROUND(IF(ISNUMBER($I345),$I345,IFERROR(TIMEVALUE($I345),VALUE($I345)))*60,0),ROUND(MOD(IF(ISNUMBER($I345),$I345,IFERROR(TIMEVALUE($I345),VALUE($I345))),1)*1440,0))),""))</f>
        <v/>
      </c>
      <c r="X345" s="55" t="str">
        <f aca="false">IF($P345="","",IFERROR(IF(ISNUMBER($P345),IF($P345&gt;19000000,DATE(INT($P345/10000),MOD(INT($P345/100),100),MOD($P345,100)),INT($P345)),IF(LEN(SUBSTITUTE(SUBSTITUTE(SUBSTITUTE(TRIM($P345),"-",""),".",""),"/",""))=8,DATE(VALUE(LEFT(SUBSTITUTE(SUBSTITUTE(SUBSTITUTE(TRIM($P345),"-",""),".",""),"/",""),4)),VALUE(MID(SUBSTITUTE(SUBSTITUTE(SUBSTITUTE(TRIM($P345),"-",""),".",""),"/",""),5,2)),VALUE(RIGHT(SUBSTITUTE(SUBSTITUTE(SUBSTITUTE(TRIM($P345),"-",""),".",""),"/",""),2))),DATEVALUE($P345))),""))</f>
        <v/>
      </c>
      <c r="Y345" s="56" t="str">
        <f aca="false">IF($M345="","",IFERROR(INDEX(강사DB!$D$4:$D$53,MATCH($M345,강사DB!$A$4:$A$53,0)),""))</f>
        <v/>
      </c>
      <c r="Z345" s="56" t="str">
        <f aca="false">IF($B345&lt;&gt;"결제완료","",IF(OR($Y345="",$J345=""),"",$Y345*$J345+MAX(0,N($K345)-1)*설정!$J$7))</f>
        <v/>
      </c>
      <c r="AA345" s="56" t="str">
        <f aca="false">IF(AND($D345&lt;&gt;"",$B345="결제완료"),N($N345),"")</f>
        <v/>
      </c>
      <c r="AB345" s="45" t="str">
        <f aca="false">IF($D345="","",IF($F345&lt;&gt;"",$F345,$D345)&amp;IF($B345="상담중"," (상담)",""))</f>
        <v/>
      </c>
      <c r="AC345" s="45" t="n">
        <f aca="false">IF(AND($D345&lt;&gt;"",OR($B345="결제완료",$B345="상담중")),1,0)</f>
        <v>0</v>
      </c>
      <c r="AD345" s="45" t="n">
        <f aca="false">IF(OR($Z345="",$U345=""),0,IFERROR(IF(COUNTIFS(INDEX(g_grid,0,2*MATCH($M345,강사DB!$A$4:$A$15,0)),"&lt;&gt;",g_s,"&lt;="&amp;$U345,g_e,"&gt;="&amp;$U345)&gt;0,1,0),0))</f>
        <v>0</v>
      </c>
      <c r="AE345" s="48"/>
      <c r="AF345" s="56" t="str">
        <f aca="false">IF(AND($D345&lt;&gt;"",$B345="결제완료",$T345="대여"),설정!$J$5,"")</f>
        <v/>
      </c>
      <c r="AG345" s="54" t="str">
        <f aca="false">IF($D345="","",IF(AND($E345="",$R345=""),$AB345,"☎ "&amp;IF($E345="","-",$E345)&amp;IF($R345&lt;&gt;"","  ※ "&amp;$R345,"")&amp;IF($B345="상담중"," (상담)","")))</f>
        <v/>
      </c>
      <c r="AH345" s="56" t="str">
        <f aca="false">IF(AND($D345&lt;&gt;"",$B345="결제완료",$O345="스마트스토어"),ROUND(N($N345)*설정!$J$6,0),"")</f>
        <v/>
      </c>
      <c r="AI345" s="54" t="str">
        <f aca="false">IF($D345="","",ROW())</f>
        <v/>
      </c>
      <c r="AJ345" s="54" t="n">
        <f aca="false">IF(OR($AC345&lt;&gt;1,$M345=""),0,IF(ISNUMBER(SEARCH("퇴사",IFERROR(INDEX(강사DB!$G$4:$G$53,MATCH($M345,강사DB!$A$4:$A$53,0)),""))),1,0))</f>
        <v>0</v>
      </c>
    </row>
    <row r="346" customFormat="false" ht="15" hidden="false" customHeight="false" outlineLevel="0" collapsed="false">
      <c r="A346" s="45" t="str">
        <f aca="false">IF($D346="","",COUNTA($D$5:$D346))</f>
        <v/>
      </c>
      <c r="B346" s="46"/>
      <c r="C346" s="47"/>
      <c r="D346" s="48"/>
      <c r="E346" s="48"/>
      <c r="F346" s="49"/>
      <c r="G346" s="47"/>
      <c r="H346" s="50"/>
      <c r="I346" s="50"/>
      <c r="J346" s="51" t="str">
        <f aca="false">IF(OR($V346="",$W346=""),"",ROUND(($W346-$V346)/60,2))</f>
        <v/>
      </c>
      <c r="K346" s="52" t="str">
        <f aca="false">IF($F346="","",LEN($F346)-LEN(SUBSTITUTE($F346,",",""))+1)</f>
        <v/>
      </c>
      <c r="L346" s="45" t="str">
        <f aca="false">IF($K346="","","1:"&amp;$K346)</f>
        <v/>
      </c>
      <c r="M346" s="46"/>
      <c r="N346" s="53"/>
      <c r="O346" s="46"/>
      <c r="P346" s="47"/>
      <c r="Q346" s="48"/>
      <c r="R346" s="49"/>
      <c r="S346" s="54" t="str">
        <f aca="false">IF(OR($AC346=0,$U346="",$M346="",$V346="",$W346=""),"",IF(COUNTIFS(m_teacher,$M346,m_date,$U346,m_active,1,m_start,"&lt;"&amp;$W346,m_end,"&gt;"&amp;$V346)&gt;1,"충돌",""))</f>
        <v/>
      </c>
      <c r="T346" s="48"/>
      <c r="U346" s="55" t="str">
        <f aca="false">IF($G346="","",IFERROR(IF(ISNUMBER($G346),IF($G346&gt;19000000,DATE(INT($G346/10000),MOD(INT($G346/100),100),MOD($G346,100)),INT($G346)),IF(LEN(SUBSTITUTE(SUBSTITUTE(SUBSTITUTE(TRIM($G346),"-",""),".",""),"/",""))=8,DATE(VALUE(LEFT(SUBSTITUTE(SUBSTITUTE(SUBSTITUTE(TRIM($G346),"-",""),".",""),"/",""),4)),VALUE(MID(SUBSTITUTE(SUBSTITUTE(SUBSTITUTE(TRIM($G346),"-",""),".",""),"/",""),5,2)),VALUE(RIGHT(SUBSTITUTE(SUBSTITUTE(SUBSTITUTE(TRIM($G346),"-",""),".",""),"/",""),2))),DATEVALUE($G346))),""))</f>
        <v/>
      </c>
      <c r="V346" s="52" t="str">
        <f aca="false">IF($H346="","",IFERROR(IF(IF(ISNUMBER($H346),$H346,IFERROR(TIMEVALUE($H346),VALUE($H346)))&gt;=100,INT(IF(ISNUMBER($H346),$H346,IFERROR(TIMEVALUE($H346),VALUE($H346)))/100)*60+MOD(IF(ISNUMBER($H346),$H346,IFERROR(TIMEVALUE($H346),VALUE($H346))),100),IF(IF(ISNUMBER($H346),$H346,IFERROR(TIMEVALUE($H346),VALUE($H346)))&gt;=1,ROUND(IF(ISNUMBER($H346),$H346,IFERROR(TIMEVALUE($H346),VALUE($H346)))*60,0),ROUND(MOD(IF(ISNUMBER($H346),$H346,IFERROR(TIMEVALUE($H346),VALUE($H346))),1)*1440,0))),""))</f>
        <v/>
      </c>
      <c r="W346" s="52" t="str">
        <f aca="false">IF($I346="","",IFERROR(IF(IF(ISNUMBER($I346),$I346,IFERROR(TIMEVALUE($I346),VALUE($I346)))&gt;=100,INT(IF(ISNUMBER($I346),$I346,IFERROR(TIMEVALUE($I346),VALUE($I346)))/100)*60+MOD(IF(ISNUMBER($I346),$I346,IFERROR(TIMEVALUE($I346),VALUE($I346))),100),IF(IF(ISNUMBER($I346),$I346,IFERROR(TIMEVALUE($I346),VALUE($I346)))&gt;=1,ROUND(IF(ISNUMBER($I346),$I346,IFERROR(TIMEVALUE($I346),VALUE($I346)))*60,0),ROUND(MOD(IF(ISNUMBER($I346),$I346,IFERROR(TIMEVALUE($I346),VALUE($I346))),1)*1440,0))),""))</f>
        <v/>
      </c>
      <c r="X346" s="55" t="str">
        <f aca="false">IF($P346="","",IFERROR(IF(ISNUMBER($P346),IF($P346&gt;19000000,DATE(INT($P346/10000),MOD(INT($P346/100),100),MOD($P346,100)),INT($P346)),IF(LEN(SUBSTITUTE(SUBSTITUTE(SUBSTITUTE(TRIM($P346),"-",""),".",""),"/",""))=8,DATE(VALUE(LEFT(SUBSTITUTE(SUBSTITUTE(SUBSTITUTE(TRIM($P346),"-",""),".",""),"/",""),4)),VALUE(MID(SUBSTITUTE(SUBSTITUTE(SUBSTITUTE(TRIM($P346),"-",""),".",""),"/",""),5,2)),VALUE(RIGHT(SUBSTITUTE(SUBSTITUTE(SUBSTITUTE(TRIM($P346),"-",""),".",""),"/",""),2))),DATEVALUE($P346))),""))</f>
        <v/>
      </c>
      <c r="Y346" s="56" t="str">
        <f aca="false">IF($M346="","",IFERROR(INDEX(강사DB!$D$4:$D$53,MATCH($M346,강사DB!$A$4:$A$53,0)),""))</f>
        <v/>
      </c>
      <c r="Z346" s="56" t="str">
        <f aca="false">IF($B346&lt;&gt;"결제완료","",IF(OR($Y346="",$J346=""),"",$Y346*$J346+MAX(0,N($K346)-1)*설정!$J$7))</f>
        <v/>
      </c>
      <c r="AA346" s="56" t="str">
        <f aca="false">IF(AND($D346&lt;&gt;"",$B346="결제완료"),N($N346),"")</f>
        <v/>
      </c>
      <c r="AB346" s="45" t="str">
        <f aca="false">IF($D346="","",IF($F346&lt;&gt;"",$F346,$D346)&amp;IF($B346="상담중"," (상담)",""))</f>
        <v/>
      </c>
      <c r="AC346" s="45" t="n">
        <f aca="false">IF(AND($D346&lt;&gt;"",OR($B346="결제완료",$B346="상담중")),1,0)</f>
        <v>0</v>
      </c>
      <c r="AD346" s="45" t="n">
        <f aca="false">IF(OR($Z346="",$U346=""),0,IFERROR(IF(COUNTIFS(INDEX(g_grid,0,2*MATCH($M346,강사DB!$A$4:$A$15,0)),"&lt;&gt;",g_s,"&lt;="&amp;$U346,g_e,"&gt;="&amp;$U346)&gt;0,1,0),0))</f>
        <v>0</v>
      </c>
      <c r="AE346" s="48"/>
      <c r="AF346" s="56" t="str">
        <f aca="false">IF(AND($D346&lt;&gt;"",$B346="결제완료",$T346="대여"),설정!$J$5,"")</f>
        <v/>
      </c>
      <c r="AG346" s="54" t="str">
        <f aca="false">IF($D346="","",IF(AND($E346="",$R346=""),$AB346,"☎ "&amp;IF($E346="","-",$E346)&amp;IF($R346&lt;&gt;"","  ※ "&amp;$R346,"")&amp;IF($B346="상담중"," (상담)","")))</f>
        <v/>
      </c>
      <c r="AH346" s="56" t="str">
        <f aca="false">IF(AND($D346&lt;&gt;"",$B346="결제완료",$O346="스마트스토어"),ROUND(N($N346)*설정!$J$6,0),"")</f>
        <v/>
      </c>
      <c r="AI346" s="54" t="str">
        <f aca="false">IF($D346="","",ROW())</f>
        <v/>
      </c>
      <c r="AJ346" s="54" t="n">
        <f aca="false">IF(OR($AC346&lt;&gt;1,$M346=""),0,IF(ISNUMBER(SEARCH("퇴사",IFERROR(INDEX(강사DB!$G$4:$G$53,MATCH($M346,강사DB!$A$4:$A$53,0)),""))),1,0))</f>
        <v>0</v>
      </c>
    </row>
    <row r="347" customFormat="false" ht="15" hidden="false" customHeight="false" outlineLevel="0" collapsed="false">
      <c r="A347" s="45" t="str">
        <f aca="false">IF($D347="","",COUNTA($D$5:$D347))</f>
        <v/>
      </c>
      <c r="B347" s="46"/>
      <c r="C347" s="47"/>
      <c r="D347" s="48"/>
      <c r="E347" s="48"/>
      <c r="F347" s="49"/>
      <c r="G347" s="47"/>
      <c r="H347" s="50"/>
      <c r="I347" s="50"/>
      <c r="J347" s="51" t="str">
        <f aca="false">IF(OR($V347="",$W347=""),"",ROUND(($W347-$V347)/60,2))</f>
        <v/>
      </c>
      <c r="K347" s="52" t="str">
        <f aca="false">IF($F347="","",LEN($F347)-LEN(SUBSTITUTE($F347,",",""))+1)</f>
        <v/>
      </c>
      <c r="L347" s="45" t="str">
        <f aca="false">IF($K347="","","1:"&amp;$K347)</f>
        <v/>
      </c>
      <c r="M347" s="46"/>
      <c r="N347" s="53"/>
      <c r="O347" s="46"/>
      <c r="P347" s="47"/>
      <c r="Q347" s="48"/>
      <c r="R347" s="49"/>
      <c r="S347" s="54" t="str">
        <f aca="false">IF(OR($AC347=0,$U347="",$M347="",$V347="",$W347=""),"",IF(COUNTIFS(m_teacher,$M347,m_date,$U347,m_active,1,m_start,"&lt;"&amp;$W347,m_end,"&gt;"&amp;$V347)&gt;1,"충돌",""))</f>
        <v/>
      </c>
      <c r="T347" s="48"/>
      <c r="U347" s="55" t="str">
        <f aca="false">IF($G347="","",IFERROR(IF(ISNUMBER($G347),IF($G347&gt;19000000,DATE(INT($G347/10000),MOD(INT($G347/100),100),MOD($G347,100)),INT($G347)),IF(LEN(SUBSTITUTE(SUBSTITUTE(SUBSTITUTE(TRIM($G347),"-",""),".",""),"/",""))=8,DATE(VALUE(LEFT(SUBSTITUTE(SUBSTITUTE(SUBSTITUTE(TRIM($G347),"-",""),".",""),"/",""),4)),VALUE(MID(SUBSTITUTE(SUBSTITUTE(SUBSTITUTE(TRIM($G347),"-",""),".",""),"/",""),5,2)),VALUE(RIGHT(SUBSTITUTE(SUBSTITUTE(SUBSTITUTE(TRIM($G347),"-",""),".",""),"/",""),2))),DATEVALUE($G347))),""))</f>
        <v/>
      </c>
      <c r="V347" s="52" t="str">
        <f aca="false">IF($H347="","",IFERROR(IF(IF(ISNUMBER($H347),$H347,IFERROR(TIMEVALUE($H347),VALUE($H347)))&gt;=100,INT(IF(ISNUMBER($H347),$H347,IFERROR(TIMEVALUE($H347),VALUE($H347)))/100)*60+MOD(IF(ISNUMBER($H347),$H347,IFERROR(TIMEVALUE($H347),VALUE($H347))),100),IF(IF(ISNUMBER($H347),$H347,IFERROR(TIMEVALUE($H347),VALUE($H347)))&gt;=1,ROUND(IF(ISNUMBER($H347),$H347,IFERROR(TIMEVALUE($H347),VALUE($H347)))*60,0),ROUND(MOD(IF(ISNUMBER($H347),$H347,IFERROR(TIMEVALUE($H347),VALUE($H347))),1)*1440,0))),""))</f>
        <v/>
      </c>
      <c r="W347" s="52" t="str">
        <f aca="false">IF($I347="","",IFERROR(IF(IF(ISNUMBER($I347),$I347,IFERROR(TIMEVALUE($I347),VALUE($I347)))&gt;=100,INT(IF(ISNUMBER($I347),$I347,IFERROR(TIMEVALUE($I347),VALUE($I347)))/100)*60+MOD(IF(ISNUMBER($I347),$I347,IFERROR(TIMEVALUE($I347),VALUE($I347))),100),IF(IF(ISNUMBER($I347),$I347,IFERROR(TIMEVALUE($I347),VALUE($I347)))&gt;=1,ROUND(IF(ISNUMBER($I347),$I347,IFERROR(TIMEVALUE($I347),VALUE($I347)))*60,0),ROUND(MOD(IF(ISNUMBER($I347),$I347,IFERROR(TIMEVALUE($I347),VALUE($I347))),1)*1440,0))),""))</f>
        <v/>
      </c>
      <c r="X347" s="55" t="str">
        <f aca="false">IF($P347="","",IFERROR(IF(ISNUMBER($P347),IF($P347&gt;19000000,DATE(INT($P347/10000),MOD(INT($P347/100),100),MOD($P347,100)),INT($P347)),IF(LEN(SUBSTITUTE(SUBSTITUTE(SUBSTITUTE(TRIM($P347),"-",""),".",""),"/",""))=8,DATE(VALUE(LEFT(SUBSTITUTE(SUBSTITUTE(SUBSTITUTE(TRIM($P347),"-",""),".",""),"/",""),4)),VALUE(MID(SUBSTITUTE(SUBSTITUTE(SUBSTITUTE(TRIM($P347),"-",""),".",""),"/",""),5,2)),VALUE(RIGHT(SUBSTITUTE(SUBSTITUTE(SUBSTITUTE(TRIM($P347),"-",""),".",""),"/",""),2))),DATEVALUE($P347))),""))</f>
        <v/>
      </c>
      <c r="Y347" s="56" t="str">
        <f aca="false">IF($M347="","",IFERROR(INDEX(강사DB!$D$4:$D$53,MATCH($M347,강사DB!$A$4:$A$53,0)),""))</f>
        <v/>
      </c>
      <c r="Z347" s="56" t="str">
        <f aca="false">IF($B347&lt;&gt;"결제완료","",IF(OR($Y347="",$J347=""),"",$Y347*$J347+MAX(0,N($K347)-1)*설정!$J$7))</f>
        <v/>
      </c>
      <c r="AA347" s="56" t="str">
        <f aca="false">IF(AND($D347&lt;&gt;"",$B347="결제완료"),N($N347),"")</f>
        <v/>
      </c>
      <c r="AB347" s="45" t="str">
        <f aca="false">IF($D347="","",IF($F347&lt;&gt;"",$F347,$D347)&amp;IF($B347="상담중"," (상담)",""))</f>
        <v/>
      </c>
      <c r="AC347" s="45" t="n">
        <f aca="false">IF(AND($D347&lt;&gt;"",OR($B347="결제완료",$B347="상담중")),1,0)</f>
        <v>0</v>
      </c>
      <c r="AD347" s="45" t="n">
        <f aca="false">IF(OR($Z347="",$U347=""),0,IFERROR(IF(COUNTIFS(INDEX(g_grid,0,2*MATCH($M347,강사DB!$A$4:$A$15,0)),"&lt;&gt;",g_s,"&lt;="&amp;$U347,g_e,"&gt;="&amp;$U347)&gt;0,1,0),0))</f>
        <v>0</v>
      </c>
      <c r="AE347" s="48"/>
      <c r="AF347" s="56" t="str">
        <f aca="false">IF(AND($D347&lt;&gt;"",$B347="결제완료",$T347="대여"),설정!$J$5,"")</f>
        <v/>
      </c>
      <c r="AG347" s="54" t="str">
        <f aca="false">IF($D347="","",IF(AND($E347="",$R347=""),$AB347,"☎ "&amp;IF($E347="","-",$E347)&amp;IF($R347&lt;&gt;"","  ※ "&amp;$R347,"")&amp;IF($B347="상담중"," (상담)","")))</f>
        <v/>
      </c>
      <c r="AH347" s="56" t="str">
        <f aca="false">IF(AND($D347&lt;&gt;"",$B347="결제완료",$O347="스마트스토어"),ROUND(N($N347)*설정!$J$6,0),"")</f>
        <v/>
      </c>
      <c r="AI347" s="54" t="str">
        <f aca="false">IF($D347="","",ROW())</f>
        <v/>
      </c>
      <c r="AJ347" s="54" t="n">
        <f aca="false">IF(OR($AC347&lt;&gt;1,$M347=""),0,IF(ISNUMBER(SEARCH("퇴사",IFERROR(INDEX(강사DB!$G$4:$G$53,MATCH($M347,강사DB!$A$4:$A$53,0)),""))),1,0))</f>
        <v>0</v>
      </c>
    </row>
    <row r="348" customFormat="false" ht="15" hidden="false" customHeight="false" outlineLevel="0" collapsed="false">
      <c r="A348" s="45" t="str">
        <f aca="false">IF($D348="","",COUNTA($D$5:$D348))</f>
        <v/>
      </c>
      <c r="B348" s="46"/>
      <c r="C348" s="47"/>
      <c r="D348" s="48"/>
      <c r="E348" s="48"/>
      <c r="F348" s="49"/>
      <c r="G348" s="47"/>
      <c r="H348" s="50"/>
      <c r="I348" s="50"/>
      <c r="J348" s="51" t="str">
        <f aca="false">IF(OR($V348="",$W348=""),"",ROUND(($W348-$V348)/60,2))</f>
        <v/>
      </c>
      <c r="K348" s="52" t="str">
        <f aca="false">IF($F348="","",LEN($F348)-LEN(SUBSTITUTE($F348,",",""))+1)</f>
        <v/>
      </c>
      <c r="L348" s="45" t="str">
        <f aca="false">IF($K348="","","1:"&amp;$K348)</f>
        <v/>
      </c>
      <c r="M348" s="46"/>
      <c r="N348" s="53"/>
      <c r="O348" s="46"/>
      <c r="P348" s="47"/>
      <c r="Q348" s="48"/>
      <c r="R348" s="49"/>
      <c r="S348" s="54" t="str">
        <f aca="false">IF(OR($AC348=0,$U348="",$M348="",$V348="",$W348=""),"",IF(COUNTIFS(m_teacher,$M348,m_date,$U348,m_active,1,m_start,"&lt;"&amp;$W348,m_end,"&gt;"&amp;$V348)&gt;1,"충돌",""))</f>
        <v/>
      </c>
      <c r="T348" s="48"/>
      <c r="U348" s="55" t="str">
        <f aca="false">IF($G348="","",IFERROR(IF(ISNUMBER($G348),IF($G348&gt;19000000,DATE(INT($G348/10000),MOD(INT($G348/100),100),MOD($G348,100)),INT($G348)),IF(LEN(SUBSTITUTE(SUBSTITUTE(SUBSTITUTE(TRIM($G348),"-",""),".",""),"/",""))=8,DATE(VALUE(LEFT(SUBSTITUTE(SUBSTITUTE(SUBSTITUTE(TRIM($G348),"-",""),".",""),"/",""),4)),VALUE(MID(SUBSTITUTE(SUBSTITUTE(SUBSTITUTE(TRIM($G348),"-",""),".",""),"/",""),5,2)),VALUE(RIGHT(SUBSTITUTE(SUBSTITUTE(SUBSTITUTE(TRIM($G348),"-",""),".",""),"/",""),2))),DATEVALUE($G348))),""))</f>
        <v/>
      </c>
      <c r="V348" s="52" t="str">
        <f aca="false">IF($H348="","",IFERROR(IF(IF(ISNUMBER($H348),$H348,IFERROR(TIMEVALUE($H348),VALUE($H348)))&gt;=100,INT(IF(ISNUMBER($H348),$H348,IFERROR(TIMEVALUE($H348),VALUE($H348)))/100)*60+MOD(IF(ISNUMBER($H348),$H348,IFERROR(TIMEVALUE($H348),VALUE($H348))),100),IF(IF(ISNUMBER($H348),$H348,IFERROR(TIMEVALUE($H348),VALUE($H348)))&gt;=1,ROUND(IF(ISNUMBER($H348),$H348,IFERROR(TIMEVALUE($H348),VALUE($H348)))*60,0),ROUND(MOD(IF(ISNUMBER($H348),$H348,IFERROR(TIMEVALUE($H348),VALUE($H348))),1)*1440,0))),""))</f>
        <v/>
      </c>
      <c r="W348" s="52" t="str">
        <f aca="false">IF($I348="","",IFERROR(IF(IF(ISNUMBER($I348),$I348,IFERROR(TIMEVALUE($I348),VALUE($I348)))&gt;=100,INT(IF(ISNUMBER($I348),$I348,IFERROR(TIMEVALUE($I348),VALUE($I348)))/100)*60+MOD(IF(ISNUMBER($I348),$I348,IFERROR(TIMEVALUE($I348),VALUE($I348))),100),IF(IF(ISNUMBER($I348),$I348,IFERROR(TIMEVALUE($I348),VALUE($I348)))&gt;=1,ROUND(IF(ISNUMBER($I348),$I348,IFERROR(TIMEVALUE($I348),VALUE($I348)))*60,0),ROUND(MOD(IF(ISNUMBER($I348),$I348,IFERROR(TIMEVALUE($I348),VALUE($I348))),1)*1440,0))),""))</f>
        <v/>
      </c>
      <c r="X348" s="55" t="str">
        <f aca="false">IF($P348="","",IFERROR(IF(ISNUMBER($P348),IF($P348&gt;19000000,DATE(INT($P348/10000),MOD(INT($P348/100),100),MOD($P348,100)),INT($P348)),IF(LEN(SUBSTITUTE(SUBSTITUTE(SUBSTITUTE(TRIM($P348),"-",""),".",""),"/",""))=8,DATE(VALUE(LEFT(SUBSTITUTE(SUBSTITUTE(SUBSTITUTE(TRIM($P348),"-",""),".",""),"/",""),4)),VALUE(MID(SUBSTITUTE(SUBSTITUTE(SUBSTITUTE(TRIM($P348),"-",""),".",""),"/",""),5,2)),VALUE(RIGHT(SUBSTITUTE(SUBSTITUTE(SUBSTITUTE(TRIM($P348),"-",""),".",""),"/",""),2))),DATEVALUE($P348))),""))</f>
        <v/>
      </c>
      <c r="Y348" s="56" t="str">
        <f aca="false">IF($M348="","",IFERROR(INDEX(강사DB!$D$4:$D$53,MATCH($M348,강사DB!$A$4:$A$53,0)),""))</f>
        <v/>
      </c>
      <c r="Z348" s="56" t="str">
        <f aca="false">IF($B348&lt;&gt;"결제완료","",IF(OR($Y348="",$J348=""),"",$Y348*$J348+MAX(0,N($K348)-1)*설정!$J$7))</f>
        <v/>
      </c>
      <c r="AA348" s="56" t="str">
        <f aca="false">IF(AND($D348&lt;&gt;"",$B348="결제완료"),N($N348),"")</f>
        <v/>
      </c>
      <c r="AB348" s="45" t="str">
        <f aca="false">IF($D348="","",IF($F348&lt;&gt;"",$F348,$D348)&amp;IF($B348="상담중"," (상담)",""))</f>
        <v/>
      </c>
      <c r="AC348" s="45" t="n">
        <f aca="false">IF(AND($D348&lt;&gt;"",OR($B348="결제완료",$B348="상담중")),1,0)</f>
        <v>0</v>
      </c>
      <c r="AD348" s="45" t="n">
        <f aca="false">IF(OR($Z348="",$U348=""),0,IFERROR(IF(COUNTIFS(INDEX(g_grid,0,2*MATCH($M348,강사DB!$A$4:$A$15,0)),"&lt;&gt;",g_s,"&lt;="&amp;$U348,g_e,"&gt;="&amp;$U348)&gt;0,1,0),0))</f>
        <v>0</v>
      </c>
      <c r="AE348" s="48"/>
      <c r="AF348" s="56" t="str">
        <f aca="false">IF(AND($D348&lt;&gt;"",$B348="결제완료",$T348="대여"),설정!$J$5,"")</f>
        <v/>
      </c>
      <c r="AG348" s="54" t="str">
        <f aca="false">IF($D348="","",IF(AND($E348="",$R348=""),$AB348,"☎ "&amp;IF($E348="","-",$E348)&amp;IF($R348&lt;&gt;"","  ※ "&amp;$R348,"")&amp;IF($B348="상담중"," (상담)","")))</f>
        <v/>
      </c>
      <c r="AH348" s="56" t="str">
        <f aca="false">IF(AND($D348&lt;&gt;"",$B348="결제완료",$O348="스마트스토어"),ROUND(N($N348)*설정!$J$6,0),"")</f>
        <v/>
      </c>
      <c r="AI348" s="54" t="str">
        <f aca="false">IF($D348="","",ROW())</f>
        <v/>
      </c>
      <c r="AJ348" s="54" t="n">
        <f aca="false">IF(OR($AC348&lt;&gt;1,$M348=""),0,IF(ISNUMBER(SEARCH("퇴사",IFERROR(INDEX(강사DB!$G$4:$G$53,MATCH($M348,강사DB!$A$4:$A$53,0)),""))),1,0))</f>
        <v>0</v>
      </c>
    </row>
    <row r="349" customFormat="false" ht="15" hidden="false" customHeight="false" outlineLevel="0" collapsed="false">
      <c r="A349" s="45" t="str">
        <f aca="false">IF($D349="","",COUNTA($D$5:$D349))</f>
        <v/>
      </c>
      <c r="B349" s="46"/>
      <c r="C349" s="47"/>
      <c r="D349" s="48"/>
      <c r="E349" s="48"/>
      <c r="F349" s="49"/>
      <c r="G349" s="47"/>
      <c r="H349" s="50"/>
      <c r="I349" s="50"/>
      <c r="J349" s="51" t="str">
        <f aca="false">IF(OR($V349="",$W349=""),"",ROUND(($W349-$V349)/60,2))</f>
        <v/>
      </c>
      <c r="K349" s="52" t="str">
        <f aca="false">IF($F349="","",LEN($F349)-LEN(SUBSTITUTE($F349,",",""))+1)</f>
        <v/>
      </c>
      <c r="L349" s="45" t="str">
        <f aca="false">IF($K349="","","1:"&amp;$K349)</f>
        <v/>
      </c>
      <c r="M349" s="46"/>
      <c r="N349" s="53"/>
      <c r="O349" s="46"/>
      <c r="P349" s="47"/>
      <c r="Q349" s="48"/>
      <c r="R349" s="49"/>
      <c r="S349" s="54" t="str">
        <f aca="false">IF(OR($AC349=0,$U349="",$M349="",$V349="",$W349=""),"",IF(COUNTIFS(m_teacher,$M349,m_date,$U349,m_active,1,m_start,"&lt;"&amp;$W349,m_end,"&gt;"&amp;$V349)&gt;1,"충돌",""))</f>
        <v/>
      </c>
      <c r="T349" s="48"/>
      <c r="U349" s="55" t="str">
        <f aca="false">IF($G349="","",IFERROR(IF(ISNUMBER($G349),IF($G349&gt;19000000,DATE(INT($G349/10000),MOD(INT($G349/100),100),MOD($G349,100)),INT($G349)),IF(LEN(SUBSTITUTE(SUBSTITUTE(SUBSTITUTE(TRIM($G349),"-",""),".",""),"/",""))=8,DATE(VALUE(LEFT(SUBSTITUTE(SUBSTITUTE(SUBSTITUTE(TRIM($G349),"-",""),".",""),"/",""),4)),VALUE(MID(SUBSTITUTE(SUBSTITUTE(SUBSTITUTE(TRIM($G349),"-",""),".",""),"/",""),5,2)),VALUE(RIGHT(SUBSTITUTE(SUBSTITUTE(SUBSTITUTE(TRIM($G349),"-",""),".",""),"/",""),2))),DATEVALUE($G349))),""))</f>
        <v/>
      </c>
      <c r="V349" s="52" t="str">
        <f aca="false">IF($H349="","",IFERROR(IF(IF(ISNUMBER($H349),$H349,IFERROR(TIMEVALUE($H349),VALUE($H349)))&gt;=100,INT(IF(ISNUMBER($H349),$H349,IFERROR(TIMEVALUE($H349),VALUE($H349)))/100)*60+MOD(IF(ISNUMBER($H349),$H349,IFERROR(TIMEVALUE($H349),VALUE($H349))),100),IF(IF(ISNUMBER($H349),$H349,IFERROR(TIMEVALUE($H349),VALUE($H349)))&gt;=1,ROUND(IF(ISNUMBER($H349),$H349,IFERROR(TIMEVALUE($H349),VALUE($H349)))*60,0),ROUND(MOD(IF(ISNUMBER($H349),$H349,IFERROR(TIMEVALUE($H349),VALUE($H349))),1)*1440,0))),""))</f>
        <v/>
      </c>
      <c r="W349" s="52" t="str">
        <f aca="false">IF($I349="","",IFERROR(IF(IF(ISNUMBER($I349),$I349,IFERROR(TIMEVALUE($I349),VALUE($I349)))&gt;=100,INT(IF(ISNUMBER($I349),$I349,IFERROR(TIMEVALUE($I349),VALUE($I349)))/100)*60+MOD(IF(ISNUMBER($I349),$I349,IFERROR(TIMEVALUE($I349),VALUE($I349))),100),IF(IF(ISNUMBER($I349),$I349,IFERROR(TIMEVALUE($I349),VALUE($I349)))&gt;=1,ROUND(IF(ISNUMBER($I349),$I349,IFERROR(TIMEVALUE($I349),VALUE($I349)))*60,0),ROUND(MOD(IF(ISNUMBER($I349),$I349,IFERROR(TIMEVALUE($I349),VALUE($I349))),1)*1440,0))),""))</f>
        <v/>
      </c>
      <c r="X349" s="55" t="str">
        <f aca="false">IF($P349="","",IFERROR(IF(ISNUMBER($P349),IF($P349&gt;19000000,DATE(INT($P349/10000),MOD(INT($P349/100),100),MOD($P349,100)),INT($P349)),IF(LEN(SUBSTITUTE(SUBSTITUTE(SUBSTITUTE(TRIM($P349),"-",""),".",""),"/",""))=8,DATE(VALUE(LEFT(SUBSTITUTE(SUBSTITUTE(SUBSTITUTE(TRIM($P349),"-",""),".",""),"/",""),4)),VALUE(MID(SUBSTITUTE(SUBSTITUTE(SUBSTITUTE(TRIM($P349),"-",""),".",""),"/",""),5,2)),VALUE(RIGHT(SUBSTITUTE(SUBSTITUTE(SUBSTITUTE(TRIM($P349),"-",""),".",""),"/",""),2))),DATEVALUE($P349))),""))</f>
        <v/>
      </c>
      <c r="Y349" s="56" t="str">
        <f aca="false">IF($M349="","",IFERROR(INDEX(강사DB!$D$4:$D$53,MATCH($M349,강사DB!$A$4:$A$53,0)),""))</f>
        <v/>
      </c>
      <c r="Z349" s="56" t="str">
        <f aca="false">IF($B349&lt;&gt;"결제완료","",IF(OR($Y349="",$J349=""),"",$Y349*$J349+MAX(0,N($K349)-1)*설정!$J$7))</f>
        <v/>
      </c>
      <c r="AA349" s="56" t="str">
        <f aca="false">IF(AND($D349&lt;&gt;"",$B349="결제완료"),N($N349),"")</f>
        <v/>
      </c>
      <c r="AB349" s="45" t="str">
        <f aca="false">IF($D349="","",IF($F349&lt;&gt;"",$F349,$D349)&amp;IF($B349="상담중"," (상담)",""))</f>
        <v/>
      </c>
      <c r="AC349" s="45" t="n">
        <f aca="false">IF(AND($D349&lt;&gt;"",OR($B349="결제완료",$B349="상담중")),1,0)</f>
        <v>0</v>
      </c>
      <c r="AD349" s="45" t="n">
        <f aca="false">IF(OR($Z349="",$U349=""),0,IFERROR(IF(COUNTIFS(INDEX(g_grid,0,2*MATCH($M349,강사DB!$A$4:$A$15,0)),"&lt;&gt;",g_s,"&lt;="&amp;$U349,g_e,"&gt;="&amp;$U349)&gt;0,1,0),0))</f>
        <v>0</v>
      </c>
      <c r="AE349" s="48"/>
      <c r="AF349" s="56" t="str">
        <f aca="false">IF(AND($D349&lt;&gt;"",$B349="결제완료",$T349="대여"),설정!$J$5,"")</f>
        <v/>
      </c>
      <c r="AG349" s="54" t="str">
        <f aca="false">IF($D349="","",IF(AND($E349="",$R349=""),$AB349,"☎ "&amp;IF($E349="","-",$E349)&amp;IF($R349&lt;&gt;"","  ※ "&amp;$R349,"")&amp;IF($B349="상담중"," (상담)","")))</f>
        <v/>
      </c>
      <c r="AH349" s="56" t="str">
        <f aca="false">IF(AND($D349&lt;&gt;"",$B349="결제완료",$O349="스마트스토어"),ROUND(N($N349)*설정!$J$6,0),"")</f>
        <v/>
      </c>
      <c r="AI349" s="54" t="str">
        <f aca="false">IF($D349="","",ROW())</f>
        <v/>
      </c>
      <c r="AJ349" s="54" t="n">
        <f aca="false">IF(OR($AC349&lt;&gt;1,$M349=""),0,IF(ISNUMBER(SEARCH("퇴사",IFERROR(INDEX(강사DB!$G$4:$G$53,MATCH($M349,강사DB!$A$4:$A$53,0)),""))),1,0))</f>
        <v>0</v>
      </c>
    </row>
    <row r="350" customFormat="false" ht="15" hidden="false" customHeight="false" outlineLevel="0" collapsed="false">
      <c r="A350" s="45" t="str">
        <f aca="false">IF($D350="","",COUNTA($D$5:$D350))</f>
        <v/>
      </c>
      <c r="B350" s="46"/>
      <c r="C350" s="47"/>
      <c r="D350" s="48"/>
      <c r="E350" s="48"/>
      <c r="F350" s="49"/>
      <c r="G350" s="47"/>
      <c r="H350" s="50"/>
      <c r="I350" s="50"/>
      <c r="J350" s="51" t="str">
        <f aca="false">IF(OR($V350="",$W350=""),"",ROUND(($W350-$V350)/60,2))</f>
        <v/>
      </c>
      <c r="K350" s="52" t="str">
        <f aca="false">IF($F350="","",LEN($F350)-LEN(SUBSTITUTE($F350,",",""))+1)</f>
        <v/>
      </c>
      <c r="L350" s="45" t="str">
        <f aca="false">IF($K350="","","1:"&amp;$K350)</f>
        <v/>
      </c>
      <c r="M350" s="46"/>
      <c r="N350" s="53"/>
      <c r="O350" s="46"/>
      <c r="P350" s="47"/>
      <c r="Q350" s="48"/>
      <c r="R350" s="49"/>
      <c r="S350" s="54" t="str">
        <f aca="false">IF(OR($AC350=0,$U350="",$M350="",$V350="",$W350=""),"",IF(COUNTIFS(m_teacher,$M350,m_date,$U350,m_active,1,m_start,"&lt;"&amp;$W350,m_end,"&gt;"&amp;$V350)&gt;1,"충돌",""))</f>
        <v/>
      </c>
      <c r="T350" s="48"/>
      <c r="U350" s="55" t="str">
        <f aca="false">IF($G350="","",IFERROR(IF(ISNUMBER($G350),IF($G350&gt;19000000,DATE(INT($G350/10000),MOD(INT($G350/100),100),MOD($G350,100)),INT($G350)),IF(LEN(SUBSTITUTE(SUBSTITUTE(SUBSTITUTE(TRIM($G350),"-",""),".",""),"/",""))=8,DATE(VALUE(LEFT(SUBSTITUTE(SUBSTITUTE(SUBSTITUTE(TRIM($G350),"-",""),".",""),"/",""),4)),VALUE(MID(SUBSTITUTE(SUBSTITUTE(SUBSTITUTE(TRIM($G350),"-",""),".",""),"/",""),5,2)),VALUE(RIGHT(SUBSTITUTE(SUBSTITUTE(SUBSTITUTE(TRIM($G350),"-",""),".",""),"/",""),2))),DATEVALUE($G350))),""))</f>
        <v/>
      </c>
      <c r="V350" s="52" t="str">
        <f aca="false">IF($H350="","",IFERROR(IF(IF(ISNUMBER($H350),$H350,IFERROR(TIMEVALUE($H350),VALUE($H350)))&gt;=100,INT(IF(ISNUMBER($H350),$H350,IFERROR(TIMEVALUE($H350),VALUE($H350)))/100)*60+MOD(IF(ISNUMBER($H350),$H350,IFERROR(TIMEVALUE($H350),VALUE($H350))),100),IF(IF(ISNUMBER($H350),$H350,IFERROR(TIMEVALUE($H350),VALUE($H350)))&gt;=1,ROUND(IF(ISNUMBER($H350),$H350,IFERROR(TIMEVALUE($H350),VALUE($H350)))*60,0),ROUND(MOD(IF(ISNUMBER($H350),$H350,IFERROR(TIMEVALUE($H350),VALUE($H350))),1)*1440,0))),""))</f>
        <v/>
      </c>
      <c r="W350" s="52" t="str">
        <f aca="false">IF($I350="","",IFERROR(IF(IF(ISNUMBER($I350),$I350,IFERROR(TIMEVALUE($I350),VALUE($I350)))&gt;=100,INT(IF(ISNUMBER($I350),$I350,IFERROR(TIMEVALUE($I350),VALUE($I350)))/100)*60+MOD(IF(ISNUMBER($I350),$I350,IFERROR(TIMEVALUE($I350),VALUE($I350))),100),IF(IF(ISNUMBER($I350),$I350,IFERROR(TIMEVALUE($I350),VALUE($I350)))&gt;=1,ROUND(IF(ISNUMBER($I350),$I350,IFERROR(TIMEVALUE($I350),VALUE($I350)))*60,0),ROUND(MOD(IF(ISNUMBER($I350),$I350,IFERROR(TIMEVALUE($I350),VALUE($I350))),1)*1440,0))),""))</f>
        <v/>
      </c>
      <c r="X350" s="55" t="str">
        <f aca="false">IF($P350="","",IFERROR(IF(ISNUMBER($P350),IF($P350&gt;19000000,DATE(INT($P350/10000),MOD(INT($P350/100),100),MOD($P350,100)),INT($P350)),IF(LEN(SUBSTITUTE(SUBSTITUTE(SUBSTITUTE(TRIM($P350),"-",""),".",""),"/",""))=8,DATE(VALUE(LEFT(SUBSTITUTE(SUBSTITUTE(SUBSTITUTE(TRIM($P350),"-",""),".",""),"/",""),4)),VALUE(MID(SUBSTITUTE(SUBSTITUTE(SUBSTITUTE(TRIM($P350),"-",""),".",""),"/",""),5,2)),VALUE(RIGHT(SUBSTITUTE(SUBSTITUTE(SUBSTITUTE(TRIM($P350),"-",""),".",""),"/",""),2))),DATEVALUE($P350))),""))</f>
        <v/>
      </c>
      <c r="Y350" s="56" t="str">
        <f aca="false">IF($M350="","",IFERROR(INDEX(강사DB!$D$4:$D$53,MATCH($M350,강사DB!$A$4:$A$53,0)),""))</f>
        <v/>
      </c>
      <c r="Z350" s="56" t="str">
        <f aca="false">IF($B350&lt;&gt;"결제완료","",IF(OR($Y350="",$J350=""),"",$Y350*$J350+MAX(0,N($K350)-1)*설정!$J$7))</f>
        <v/>
      </c>
      <c r="AA350" s="56" t="str">
        <f aca="false">IF(AND($D350&lt;&gt;"",$B350="결제완료"),N($N350),"")</f>
        <v/>
      </c>
      <c r="AB350" s="45" t="str">
        <f aca="false">IF($D350="","",IF($F350&lt;&gt;"",$F350,$D350)&amp;IF($B350="상담중"," (상담)",""))</f>
        <v/>
      </c>
      <c r="AC350" s="45" t="n">
        <f aca="false">IF(AND($D350&lt;&gt;"",OR($B350="결제완료",$B350="상담중")),1,0)</f>
        <v>0</v>
      </c>
      <c r="AD350" s="45" t="n">
        <f aca="false">IF(OR($Z350="",$U350=""),0,IFERROR(IF(COUNTIFS(INDEX(g_grid,0,2*MATCH($M350,강사DB!$A$4:$A$15,0)),"&lt;&gt;",g_s,"&lt;="&amp;$U350,g_e,"&gt;="&amp;$U350)&gt;0,1,0),0))</f>
        <v>0</v>
      </c>
      <c r="AE350" s="48"/>
      <c r="AF350" s="56" t="str">
        <f aca="false">IF(AND($D350&lt;&gt;"",$B350="결제완료",$T350="대여"),설정!$J$5,"")</f>
        <v/>
      </c>
      <c r="AG350" s="54" t="str">
        <f aca="false">IF($D350="","",IF(AND($E350="",$R350=""),$AB350,"☎ "&amp;IF($E350="","-",$E350)&amp;IF($R350&lt;&gt;"","  ※ "&amp;$R350,"")&amp;IF($B350="상담중"," (상담)","")))</f>
        <v/>
      </c>
      <c r="AH350" s="56" t="str">
        <f aca="false">IF(AND($D350&lt;&gt;"",$B350="결제완료",$O350="스마트스토어"),ROUND(N($N350)*설정!$J$6,0),"")</f>
        <v/>
      </c>
      <c r="AI350" s="54" t="str">
        <f aca="false">IF($D350="","",ROW())</f>
        <v/>
      </c>
      <c r="AJ350" s="54" t="n">
        <f aca="false">IF(OR($AC350&lt;&gt;1,$M350=""),0,IF(ISNUMBER(SEARCH("퇴사",IFERROR(INDEX(강사DB!$G$4:$G$53,MATCH($M350,강사DB!$A$4:$A$53,0)),""))),1,0))</f>
        <v>0</v>
      </c>
    </row>
    <row r="351" customFormat="false" ht="15" hidden="false" customHeight="false" outlineLevel="0" collapsed="false">
      <c r="A351" s="45" t="str">
        <f aca="false">IF($D351="","",COUNTA($D$5:$D351))</f>
        <v/>
      </c>
      <c r="B351" s="46"/>
      <c r="C351" s="47"/>
      <c r="D351" s="48"/>
      <c r="E351" s="48"/>
      <c r="F351" s="49"/>
      <c r="G351" s="47"/>
      <c r="H351" s="50"/>
      <c r="I351" s="50"/>
      <c r="J351" s="51" t="str">
        <f aca="false">IF(OR($V351="",$W351=""),"",ROUND(($W351-$V351)/60,2))</f>
        <v/>
      </c>
      <c r="K351" s="52" t="str">
        <f aca="false">IF($F351="","",LEN($F351)-LEN(SUBSTITUTE($F351,",",""))+1)</f>
        <v/>
      </c>
      <c r="L351" s="45" t="str">
        <f aca="false">IF($K351="","","1:"&amp;$K351)</f>
        <v/>
      </c>
      <c r="M351" s="46"/>
      <c r="N351" s="53"/>
      <c r="O351" s="46"/>
      <c r="P351" s="47"/>
      <c r="Q351" s="48"/>
      <c r="R351" s="49"/>
      <c r="S351" s="54" t="str">
        <f aca="false">IF(OR($AC351=0,$U351="",$M351="",$V351="",$W351=""),"",IF(COUNTIFS(m_teacher,$M351,m_date,$U351,m_active,1,m_start,"&lt;"&amp;$W351,m_end,"&gt;"&amp;$V351)&gt;1,"충돌",""))</f>
        <v/>
      </c>
      <c r="T351" s="48"/>
      <c r="U351" s="55" t="str">
        <f aca="false">IF($G351="","",IFERROR(IF(ISNUMBER($G351),IF($G351&gt;19000000,DATE(INT($G351/10000),MOD(INT($G351/100),100),MOD($G351,100)),INT($G351)),IF(LEN(SUBSTITUTE(SUBSTITUTE(SUBSTITUTE(TRIM($G351),"-",""),".",""),"/",""))=8,DATE(VALUE(LEFT(SUBSTITUTE(SUBSTITUTE(SUBSTITUTE(TRIM($G351),"-",""),".",""),"/",""),4)),VALUE(MID(SUBSTITUTE(SUBSTITUTE(SUBSTITUTE(TRIM($G351),"-",""),".",""),"/",""),5,2)),VALUE(RIGHT(SUBSTITUTE(SUBSTITUTE(SUBSTITUTE(TRIM($G351),"-",""),".",""),"/",""),2))),DATEVALUE($G351))),""))</f>
        <v/>
      </c>
      <c r="V351" s="52" t="str">
        <f aca="false">IF($H351="","",IFERROR(IF(IF(ISNUMBER($H351),$H351,IFERROR(TIMEVALUE($H351),VALUE($H351)))&gt;=100,INT(IF(ISNUMBER($H351),$H351,IFERROR(TIMEVALUE($H351),VALUE($H351)))/100)*60+MOD(IF(ISNUMBER($H351),$H351,IFERROR(TIMEVALUE($H351),VALUE($H351))),100),IF(IF(ISNUMBER($H351),$H351,IFERROR(TIMEVALUE($H351),VALUE($H351)))&gt;=1,ROUND(IF(ISNUMBER($H351),$H351,IFERROR(TIMEVALUE($H351),VALUE($H351)))*60,0),ROUND(MOD(IF(ISNUMBER($H351),$H351,IFERROR(TIMEVALUE($H351),VALUE($H351))),1)*1440,0))),""))</f>
        <v/>
      </c>
      <c r="W351" s="52" t="str">
        <f aca="false">IF($I351="","",IFERROR(IF(IF(ISNUMBER($I351),$I351,IFERROR(TIMEVALUE($I351),VALUE($I351)))&gt;=100,INT(IF(ISNUMBER($I351),$I351,IFERROR(TIMEVALUE($I351),VALUE($I351)))/100)*60+MOD(IF(ISNUMBER($I351),$I351,IFERROR(TIMEVALUE($I351),VALUE($I351))),100),IF(IF(ISNUMBER($I351),$I351,IFERROR(TIMEVALUE($I351),VALUE($I351)))&gt;=1,ROUND(IF(ISNUMBER($I351),$I351,IFERROR(TIMEVALUE($I351),VALUE($I351)))*60,0),ROUND(MOD(IF(ISNUMBER($I351),$I351,IFERROR(TIMEVALUE($I351),VALUE($I351))),1)*1440,0))),""))</f>
        <v/>
      </c>
      <c r="X351" s="55" t="str">
        <f aca="false">IF($P351="","",IFERROR(IF(ISNUMBER($P351),IF($P351&gt;19000000,DATE(INT($P351/10000),MOD(INT($P351/100),100),MOD($P351,100)),INT($P351)),IF(LEN(SUBSTITUTE(SUBSTITUTE(SUBSTITUTE(TRIM($P351),"-",""),".",""),"/",""))=8,DATE(VALUE(LEFT(SUBSTITUTE(SUBSTITUTE(SUBSTITUTE(TRIM($P351),"-",""),".",""),"/",""),4)),VALUE(MID(SUBSTITUTE(SUBSTITUTE(SUBSTITUTE(TRIM($P351),"-",""),".",""),"/",""),5,2)),VALUE(RIGHT(SUBSTITUTE(SUBSTITUTE(SUBSTITUTE(TRIM($P351),"-",""),".",""),"/",""),2))),DATEVALUE($P351))),""))</f>
        <v/>
      </c>
      <c r="Y351" s="56" t="str">
        <f aca="false">IF($M351="","",IFERROR(INDEX(강사DB!$D$4:$D$53,MATCH($M351,강사DB!$A$4:$A$53,0)),""))</f>
        <v/>
      </c>
      <c r="Z351" s="56" t="str">
        <f aca="false">IF($B351&lt;&gt;"결제완료","",IF(OR($Y351="",$J351=""),"",$Y351*$J351+MAX(0,N($K351)-1)*설정!$J$7))</f>
        <v/>
      </c>
      <c r="AA351" s="56" t="str">
        <f aca="false">IF(AND($D351&lt;&gt;"",$B351="결제완료"),N($N351),"")</f>
        <v/>
      </c>
      <c r="AB351" s="45" t="str">
        <f aca="false">IF($D351="","",IF($F351&lt;&gt;"",$F351,$D351)&amp;IF($B351="상담중"," (상담)",""))</f>
        <v/>
      </c>
      <c r="AC351" s="45" t="n">
        <f aca="false">IF(AND($D351&lt;&gt;"",OR($B351="결제완료",$B351="상담중")),1,0)</f>
        <v>0</v>
      </c>
      <c r="AD351" s="45" t="n">
        <f aca="false">IF(OR($Z351="",$U351=""),0,IFERROR(IF(COUNTIFS(INDEX(g_grid,0,2*MATCH($M351,강사DB!$A$4:$A$15,0)),"&lt;&gt;",g_s,"&lt;="&amp;$U351,g_e,"&gt;="&amp;$U351)&gt;0,1,0),0))</f>
        <v>0</v>
      </c>
      <c r="AE351" s="48"/>
      <c r="AF351" s="56" t="str">
        <f aca="false">IF(AND($D351&lt;&gt;"",$B351="결제완료",$T351="대여"),설정!$J$5,"")</f>
        <v/>
      </c>
      <c r="AG351" s="54" t="str">
        <f aca="false">IF($D351="","",IF(AND($E351="",$R351=""),$AB351,"☎ "&amp;IF($E351="","-",$E351)&amp;IF($R351&lt;&gt;"","  ※ "&amp;$R351,"")&amp;IF($B351="상담중"," (상담)","")))</f>
        <v/>
      </c>
      <c r="AH351" s="56" t="str">
        <f aca="false">IF(AND($D351&lt;&gt;"",$B351="결제완료",$O351="스마트스토어"),ROUND(N($N351)*설정!$J$6,0),"")</f>
        <v/>
      </c>
      <c r="AI351" s="54" t="str">
        <f aca="false">IF($D351="","",ROW())</f>
        <v/>
      </c>
      <c r="AJ351" s="54" t="n">
        <f aca="false">IF(OR($AC351&lt;&gt;1,$M351=""),0,IF(ISNUMBER(SEARCH("퇴사",IFERROR(INDEX(강사DB!$G$4:$G$53,MATCH($M351,강사DB!$A$4:$A$53,0)),""))),1,0))</f>
        <v>0</v>
      </c>
    </row>
    <row r="352" customFormat="false" ht="15" hidden="false" customHeight="false" outlineLevel="0" collapsed="false">
      <c r="A352" s="45" t="str">
        <f aca="false">IF($D352="","",COUNTA($D$5:$D352))</f>
        <v/>
      </c>
      <c r="B352" s="46"/>
      <c r="C352" s="47"/>
      <c r="D352" s="48"/>
      <c r="E352" s="48"/>
      <c r="F352" s="49"/>
      <c r="G352" s="47"/>
      <c r="H352" s="50"/>
      <c r="I352" s="50"/>
      <c r="J352" s="51" t="str">
        <f aca="false">IF(OR($V352="",$W352=""),"",ROUND(($W352-$V352)/60,2))</f>
        <v/>
      </c>
      <c r="K352" s="52" t="str">
        <f aca="false">IF($F352="","",LEN($F352)-LEN(SUBSTITUTE($F352,",",""))+1)</f>
        <v/>
      </c>
      <c r="L352" s="45" t="str">
        <f aca="false">IF($K352="","","1:"&amp;$K352)</f>
        <v/>
      </c>
      <c r="M352" s="46"/>
      <c r="N352" s="53"/>
      <c r="O352" s="46"/>
      <c r="P352" s="47"/>
      <c r="Q352" s="48"/>
      <c r="R352" s="49"/>
      <c r="S352" s="54" t="str">
        <f aca="false">IF(OR($AC352=0,$U352="",$M352="",$V352="",$W352=""),"",IF(COUNTIFS(m_teacher,$M352,m_date,$U352,m_active,1,m_start,"&lt;"&amp;$W352,m_end,"&gt;"&amp;$V352)&gt;1,"충돌",""))</f>
        <v/>
      </c>
      <c r="T352" s="48"/>
      <c r="U352" s="55" t="str">
        <f aca="false">IF($G352="","",IFERROR(IF(ISNUMBER($G352),IF($G352&gt;19000000,DATE(INT($G352/10000),MOD(INT($G352/100),100),MOD($G352,100)),INT($G352)),IF(LEN(SUBSTITUTE(SUBSTITUTE(SUBSTITUTE(TRIM($G352),"-",""),".",""),"/",""))=8,DATE(VALUE(LEFT(SUBSTITUTE(SUBSTITUTE(SUBSTITUTE(TRIM($G352),"-",""),".",""),"/",""),4)),VALUE(MID(SUBSTITUTE(SUBSTITUTE(SUBSTITUTE(TRIM($G352),"-",""),".",""),"/",""),5,2)),VALUE(RIGHT(SUBSTITUTE(SUBSTITUTE(SUBSTITUTE(TRIM($G352),"-",""),".",""),"/",""),2))),DATEVALUE($G352))),""))</f>
        <v/>
      </c>
      <c r="V352" s="52" t="str">
        <f aca="false">IF($H352="","",IFERROR(IF(IF(ISNUMBER($H352),$H352,IFERROR(TIMEVALUE($H352),VALUE($H352)))&gt;=100,INT(IF(ISNUMBER($H352),$H352,IFERROR(TIMEVALUE($H352),VALUE($H352)))/100)*60+MOD(IF(ISNUMBER($H352),$H352,IFERROR(TIMEVALUE($H352),VALUE($H352))),100),IF(IF(ISNUMBER($H352),$H352,IFERROR(TIMEVALUE($H352),VALUE($H352)))&gt;=1,ROUND(IF(ISNUMBER($H352),$H352,IFERROR(TIMEVALUE($H352),VALUE($H352)))*60,0),ROUND(MOD(IF(ISNUMBER($H352),$H352,IFERROR(TIMEVALUE($H352),VALUE($H352))),1)*1440,0))),""))</f>
        <v/>
      </c>
      <c r="W352" s="52" t="str">
        <f aca="false">IF($I352="","",IFERROR(IF(IF(ISNUMBER($I352),$I352,IFERROR(TIMEVALUE($I352),VALUE($I352)))&gt;=100,INT(IF(ISNUMBER($I352),$I352,IFERROR(TIMEVALUE($I352),VALUE($I352)))/100)*60+MOD(IF(ISNUMBER($I352),$I352,IFERROR(TIMEVALUE($I352),VALUE($I352))),100),IF(IF(ISNUMBER($I352),$I352,IFERROR(TIMEVALUE($I352),VALUE($I352)))&gt;=1,ROUND(IF(ISNUMBER($I352),$I352,IFERROR(TIMEVALUE($I352),VALUE($I352)))*60,0),ROUND(MOD(IF(ISNUMBER($I352),$I352,IFERROR(TIMEVALUE($I352),VALUE($I352))),1)*1440,0))),""))</f>
        <v/>
      </c>
      <c r="X352" s="55" t="str">
        <f aca="false">IF($P352="","",IFERROR(IF(ISNUMBER($P352),IF($P352&gt;19000000,DATE(INT($P352/10000),MOD(INT($P352/100),100),MOD($P352,100)),INT($P352)),IF(LEN(SUBSTITUTE(SUBSTITUTE(SUBSTITUTE(TRIM($P352),"-",""),".",""),"/",""))=8,DATE(VALUE(LEFT(SUBSTITUTE(SUBSTITUTE(SUBSTITUTE(TRIM($P352),"-",""),".",""),"/",""),4)),VALUE(MID(SUBSTITUTE(SUBSTITUTE(SUBSTITUTE(TRIM($P352),"-",""),".",""),"/",""),5,2)),VALUE(RIGHT(SUBSTITUTE(SUBSTITUTE(SUBSTITUTE(TRIM($P352),"-",""),".",""),"/",""),2))),DATEVALUE($P352))),""))</f>
        <v/>
      </c>
      <c r="Y352" s="56" t="str">
        <f aca="false">IF($M352="","",IFERROR(INDEX(강사DB!$D$4:$D$53,MATCH($M352,강사DB!$A$4:$A$53,0)),""))</f>
        <v/>
      </c>
      <c r="Z352" s="56" t="str">
        <f aca="false">IF($B352&lt;&gt;"결제완료","",IF(OR($Y352="",$J352=""),"",$Y352*$J352+MAX(0,N($K352)-1)*설정!$J$7))</f>
        <v/>
      </c>
      <c r="AA352" s="56" t="str">
        <f aca="false">IF(AND($D352&lt;&gt;"",$B352="결제완료"),N($N352),"")</f>
        <v/>
      </c>
      <c r="AB352" s="45" t="str">
        <f aca="false">IF($D352="","",IF($F352&lt;&gt;"",$F352,$D352)&amp;IF($B352="상담중"," (상담)",""))</f>
        <v/>
      </c>
      <c r="AC352" s="45" t="n">
        <f aca="false">IF(AND($D352&lt;&gt;"",OR($B352="결제완료",$B352="상담중")),1,0)</f>
        <v>0</v>
      </c>
      <c r="AD352" s="45" t="n">
        <f aca="false">IF(OR($Z352="",$U352=""),0,IFERROR(IF(COUNTIFS(INDEX(g_grid,0,2*MATCH($M352,강사DB!$A$4:$A$15,0)),"&lt;&gt;",g_s,"&lt;="&amp;$U352,g_e,"&gt;="&amp;$U352)&gt;0,1,0),0))</f>
        <v>0</v>
      </c>
      <c r="AE352" s="48"/>
      <c r="AF352" s="56" t="str">
        <f aca="false">IF(AND($D352&lt;&gt;"",$B352="결제완료",$T352="대여"),설정!$J$5,"")</f>
        <v/>
      </c>
      <c r="AG352" s="54" t="str">
        <f aca="false">IF($D352="","",IF(AND($E352="",$R352=""),$AB352,"☎ "&amp;IF($E352="","-",$E352)&amp;IF($R352&lt;&gt;"","  ※ "&amp;$R352,"")&amp;IF($B352="상담중"," (상담)","")))</f>
        <v/>
      </c>
      <c r="AH352" s="56" t="str">
        <f aca="false">IF(AND($D352&lt;&gt;"",$B352="결제완료",$O352="스마트스토어"),ROUND(N($N352)*설정!$J$6,0),"")</f>
        <v/>
      </c>
      <c r="AI352" s="54" t="str">
        <f aca="false">IF($D352="","",ROW())</f>
        <v/>
      </c>
      <c r="AJ352" s="54" t="n">
        <f aca="false">IF(OR($AC352&lt;&gt;1,$M352=""),0,IF(ISNUMBER(SEARCH("퇴사",IFERROR(INDEX(강사DB!$G$4:$G$53,MATCH($M352,강사DB!$A$4:$A$53,0)),""))),1,0))</f>
        <v>0</v>
      </c>
    </row>
    <row r="353" customFormat="false" ht="15" hidden="false" customHeight="false" outlineLevel="0" collapsed="false">
      <c r="A353" s="45" t="str">
        <f aca="false">IF($D353="","",COUNTA($D$5:$D353))</f>
        <v/>
      </c>
      <c r="B353" s="46"/>
      <c r="C353" s="47"/>
      <c r="D353" s="48"/>
      <c r="E353" s="48"/>
      <c r="F353" s="49"/>
      <c r="G353" s="47"/>
      <c r="H353" s="50"/>
      <c r="I353" s="50"/>
      <c r="J353" s="51" t="str">
        <f aca="false">IF(OR($V353="",$W353=""),"",ROUND(($W353-$V353)/60,2))</f>
        <v/>
      </c>
      <c r="K353" s="52" t="str">
        <f aca="false">IF($F353="","",LEN($F353)-LEN(SUBSTITUTE($F353,",",""))+1)</f>
        <v/>
      </c>
      <c r="L353" s="45" t="str">
        <f aca="false">IF($K353="","","1:"&amp;$K353)</f>
        <v/>
      </c>
      <c r="M353" s="46"/>
      <c r="N353" s="53"/>
      <c r="O353" s="46"/>
      <c r="P353" s="47"/>
      <c r="Q353" s="48"/>
      <c r="R353" s="49"/>
      <c r="S353" s="54" t="str">
        <f aca="false">IF(OR($AC353=0,$U353="",$M353="",$V353="",$W353=""),"",IF(COUNTIFS(m_teacher,$M353,m_date,$U353,m_active,1,m_start,"&lt;"&amp;$W353,m_end,"&gt;"&amp;$V353)&gt;1,"충돌",""))</f>
        <v/>
      </c>
      <c r="T353" s="48"/>
      <c r="U353" s="55" t="str">
        <f aca="false">IF($G353="","",IFERROR(IF(ISNUMBER($G353),IF($G353&gt;19000000,DATE(INT($G353/10000),MOD(INT($G353/100),100),MOD($G353,100)),INT($G353)),IF(LEN(SUBSTITUTE(SUBSTITUTE(SUBSTITUTE(TRIM($G353),"-",""),".",""),"/",""))=8,DATE(VALUE(LEFT(SUBSTITUTE(SUBSTITUTE(SUBSTITUTE(TRIM($G353),"-",""),".",""),"/",""),4)),VALUE(MID(SUBSTITUTE(SUBSTITUTE(SUBSTITUTE(TRIM($G353),"-",""),".",""),"/",""),5,2)),VALUE(RIGHT(SUBSTITUTE(SUBSTITUTE(SUBSTITUTE(TRIM($G353),"-",""),".",""),"/",""),2))),DATEVALUE($G353))),""))</f>
        <v/>
      </c>
      <c r="V353" s="52" t="str">
        <f aca="false">IF($H353="","",IFERROR(IF(IF(ISNUMBER($H353),$H353,IFERROR(TIMEVALUE($H353),VALUE($H353)))&gt;=100,INT(IF(ISNUMBER($H353),$H353,IFERROR(TIMEVALUE($H353),VALUE($H353)))/100)*60+MOD(IF(ISNUMBER($H353),$H353,IFERROR(TIMEVALUE($H353),VALUE($H353))),100),IF(IF(ISNUMBER($H353),$H353,IFERROR(TIMEVALUE($H353),VALUE($H353)))&gt;=1,ROUND(IF(ISNUMBER($H353),$H353,IFERROR(TIMEVALUE($H353),VALUE($H353)))*60,0),ROUND(MOD(IF(ISNUMBER($H353),$H353,IFERROR(TIMEVALUE($H353),VALUE($H353))),1)*1440,0))),""))</f>
        <v/>
      </c>
      <c r="W353" s="52" t="str">
        <f aca="false">IF($I353="","",IFERROR(IF(IF(ISNUMBER($I353),$I353,IFERROR(TIMEVALUE($I353),VALUE($I353)))&gt;=100,INT(IF(ISNUMBER($I353),$I353,IFERROR(TIMEVALUE($I353),VALUE($I353)))/100)*60+MOD(IF(ISNUMBER($I353),$I353,IFERROR(TIMEVALUE($I353),VALUE($I353))),100),IF(IF(ISNUMBER($I353),$I353,IFERROR(TIMEVALUE($I353),VALUE($I353)))&gt;=1,ROUND(IF(ISNUMBER($I353),$I353,IFERROR(TIMEVALUE($I353),VALUE($I353)))*60,0),ROUND(MOD(IF(ISNUMBER($I353),$I353,IFERROR(TIMEVALUE($I353),VALUE($I353))),1)*1440,0))),""))</f>
        <v/>
      </c>
      <c r="X353" s="55" t="str">
        <f aca="false">IF($P353="","",IFERROR(IF(ISNUMBER($P353),IF($P353&gt;19000000,DATE(INT($P353/10000),MOD(INT($P353/100),100),MOD($P353,100)),INT($P353)),IF(LEN(SUBSTITUTE(SUBSTITUTE(SUBSTITUTE(TRIM($P353),"-",""),".",""),"/",""))=8,DATE(VALUE(LEFT(SUBSTITUTE(SUBSTITUTE(SUBSTITUTE(TRIM($P353),"-",""),".",""),"/",""),4)),VALUE(MID(SUBSTITUTE(SUBSTITUTE(SUBSTITUTE(TRIM($P353),"-",""),".",""),"/",""),5,2)),VALUE(RIGHT(SUBSTITUTE(SUBSTITUTE(SUBSTITUTE(TRIM($P353),"-",""),".",""),"/",""),2))),DATEVALUE($P353))),""))</f>
        <v/>
      </c>
      <c r="Y353" s="56" t="str">
        <f aca="false">IF($M353="","",IFERROR(INDEX(강사DB!$D$4:$D$53,MATCH($M353,강사DB!$A$4:$A$53,0)),""))</f>
        <v/>
      </c>
      <c r="Z353" s="56" t="str">
        <f aca="false">IF($B353&lt;&gt;"결제완료","",IF(OR($Y353="",$J353=""),"",$Y353*$J353+MAX(0,N($K353)-1)*설정!$J$7))</f>
        <v/>
      </c>
      <c r="AA353" s="56" t="str">
        <f aca="false">IF(AND($D353&lt;&gt;"",$B353="결제완료"),N($N353),"")</f>
        <v/>
      </c>
      <c r="AB353" s="45" t="str">
        <f aca="false">IF($D353="","",IF($F353&lt;&gt;"",$F353,$D353)&amp;IF($B353="상담중"," (상담)",""))</f>
        <v/>
      </c>
      <c r="AC353" s="45" t="n">
        <f aca="false">IF(AND($D353&lt;&gt;"",OR($B353="결제완료",$B353="상담중")),1,0)</f>
        <v>0</v>
      </c>
      <c r="AD353" s="45" t="n">
        <f aca="false">IF(OR($Z353="",$U353=""),0,IFERROR(IF(COUNTIFS(INDEX(g_grid,0,2*MATCH($M353,강사DB!$A$4:$A$15,0)),"&lt;&gt;",g_s,"&lt;="&amp;$U353,g_e,"&gt;="&amp;$U353)&gt;0,1,0),0))</f>
        <v>0</v>
      </c>
      <c r="AE353" s="48"/>
      <c r="AF353" s="56" t="str">
        <f aca="false">IF(AND($D353&lt;&gt;"",$B353="결제완료",$T353="대여"),설정!$J$5,"")</f>
        <v/>
      </c>
      <c r="AG353" s="54" t="str">
        <f aca="false">IF($D353="","",IF(AND($E353="",$R353=""),$AB353,"☎ "&amp;IF($E353="","-",$E353)&amp;IF($R353&lt;&gt;"","  ※ "&amp;$R353,"")&amp;IF($B353="상담중"," (상담)","")))</f>
        <v/>
      </c>
      <c r="AH353" s="56" t="str">
        <f aca="false">IF(AND($D353&lt;&gt;"",$B353="결제완료",$O353="스마트스토어"),ROUND(N($N353)*설정!$J$6,0),"")</f>
        <v/>
      </c>
      <c r="AI353" s="54" t="str">
        <f aca="false">IF($D353="","",ROW())</f>
        <v/>
      </c>
      <c r="AJ353" s="54" t="n">
        <f aca="false">IF(OR($AC353&lt;&gt;1,$M353=""),0,IF(ISNUMBER(SEARCH("퇴사",IFERROR(INDEX(강사DB!$G$4:$G$53,MATCH($M353,강사DB!$A$4:$A$53,0)),""))),1,0))</f>
        <v>0</v>
      </c>
    </row>
    <row r="354" customFormat="false" ht="15" hidden="false" customHeight="false" outlineLevel="0" collapsed="false">
      <c r="A354" s="45" t="str">
        <f aca="false">IF($D354="","",COUNTA($D$5:$D354))</f>
        <v/>
      </c>
      <c r="B354" s="46"/>
      <c r="C354" s="47"/>
      <c r="D354" s="48"/>
      <c r="E354" s="48"/>
      <c r="F354" s="49"/>
      <c r="G354" s="47"/>
      <c r="H354" s="50"/>
      <c r="I354" s="50"/>
      <c r="J354" s="51" t="str">
        <f aca="false">IF(OR($V354="",$W354=""),"",ROUND(($W354-$V354)/60,2))</f>
        <v/>
      </c>
      <c r="K354" s="52" t="str">
        <f aca="false">IF($F354="","",LEN($F354)-LEN(SUBSTITUTE($F354,",",""))+1)</f>
        <v/>
      </c>
      <c r="L354" s="45" t="str">
        <f aca="false">IF($K354="","","1:"&amp;$K354)</f>
        <v/>
      </c>
      <c r="M354" s="46"/>
      <c r="N354" s="53"/>
      <c r="O354" s="46"/>
      <c r="P354" s="47"/>
      <c r="Q354" s="48"/>
      <c r="R354" s="49"/>
      <c r="S354" s="54" t="str">
        <f aca="false">IF(OR($AC354=0,$U354="",$M354="",$V354="",$W354=""),"",IF(COUNTIFS(m_teacher,$M354,m_date,$U354,m_active,1,m_start,"&lt;"&amp;$W354,m_end,"&gt;"&amp;$V354)&gt;1,"충돌",""))</f>
        <v/>
      </c>
      <c r="T354" s="48"/>
      <c r="U354" s="55" t="str">
        <f aca="false">IF($G354="","",IFERROR(IF(ISNUMBER($G354),IF($G354&gt;19000000,DATE(INT($G354/10000),MOD(INT($G354/100),100),MOD($G354,100)),INT($G354)),IF(LEN(SUBSTITUTE(SUBSTITUTE(SUBSTITUTE(TRIM($G354),"-",""),".",""),"/",""))=8,DATE(VALUE(LEFT(SUBSTITUTE(SUBSTITUTE(SUBSTITUTE(TRIM($G354),"-",""),".",""),"/",""),4)),VALUE(MID(SUBSTITUTE(SUBSTITUTE(SUBSTITUTE(TRIM($G354),"-",""),".",""),"/",""),5,2)),VALUE(RIGHT(SUBSTITUTE(SUBSTITUTE(SUBSTITUTE(TRIM($G354),"-",""),".",""),"/",""),2))),DATEVALUE($G354))),""))</f>
        <v/>
      </c>
      <c r="V354" s="52" t="str">
        <f aca="false">IF($H354="","",IFERROR(IF(IF(ISNUMBER($H354),$H354,IFERROR(TIMEVALUE($H354),VALUE($H354)))&gt;=100,INT(IF(ISNUMBER($H354),$H354,IFERROR(TIMEVALUE($H354),VALUE($H354)))/100)*60+MOD(IF(ISNUMBER($H354),$H354,IFERROR(TIMEVALUE($H354),VALUE($H354))),100),IF(IF(ISNUMBER($H354),$H354,IFERROR(TIMEVALUE($H354),VALUE($H354)))&gt;=1,ROUND(IF(ISNUMBER($H354),$H354,IFERROR(TIMEVALUE($H354),VALUE($H354)))*60,0),ROUND(MOD(IF(ISNUMBER($H354),$H354,IFERROR(TIMEVALUE($H354),VALUE($H354))),1)*1440,0))),""))</f>
        <v/>
      </c>
      <c r="W354" s="52" t="str">
        <f aca="false">IF($I354="","",IFERROR(IF(IF(ISNUMBER($I354),$I354,IFERROR(TIMEVALUE($I354),VALUE($I354)))&gt;=100,INT(IF(ISNUMBER($I354),$I354,IFERROR(TIMEVALUE($I354),VALUE($I354)))/100)*60+MOD(IF(ISNUMBER($I354),$I354,IFERROR(TIMEVALUE($I354),VALUE($I354))),100),IF(IF(ISNUMBER($I354),$I354,IFERROR(TIMEVALUE($I354),VALUE($I354)))&gt;=1,ROUND(IF(ISNUMBER($I354),$I354,IFERROR(TIMEVALUE($I354),VALUE($I354)))*60,0),ROUND(MOD(IF(ISNUMBER($I354),$I354,IFERROR(TIMEVALUE($I354),VALUE($I354))),1)*1440,0))),""))</f>
        <v/>
      </c>
      <c r="X354" s="55" t="str">
        <f aca="false">IF($P354="","",IFERROR(IF(ISNUMBER($P354),IF($P354&gt;19000000,DATE(INT($P354/10000),MOD(INT($P354/100),100),MOD($P354,100)),INT($P354)),IF(LEN(SUBSTITUTE(SUBSTITUTE(SUBSTITUTE(TRIM($P354),"-",""),".",""),"/",""))=8,DATE(VALUE(LEFT(SUBSTITUTE(SUBSTITUTE(SUBSTITUTE(TRIM($P354),"-",""),".",""),"/",""),4)),VALUE(MID(SUBSTITUTE(SUBSTITUTE(SUBSTITUTE(TRIM($P354),"-",""),".",""),"/",""),5,2)),VALUE(RIGHT(SUBSTITUTE(SUBSTITUTE(SUBSTITUTE(TRIM($P354),"-",""),".",""),"/",""),2))),DATEVALUE($P354))),""))</f>
        <v/>
      </c>
      <c r="Y354" s="56" t="str">
        <f aca="false">IF($M354="","",IFERROR(INDEX(강사DB!$D$4:$D$53,MATCH($M354,강사DB!$A$4:$A$53,0)),""))</f>
        <v/>
      </c>
      <c r="Z354" s="56" t="str">
        <f aca="false">IF($B354&lt;&gt;"결제완료","",IF(OR($Y354="",$J354=""),"",$Y354*$J354+MAX(0,N($K354)-1)*설정!$J$7))</f>
        <v/>
      </c>
      <c r="AA354" s="56" t="str">
        <f aca="false">IF(AND($D354&lt;&gt;"",$B354="결제완료"),N($N354),"")</f>
        <v/>
      </c>
      <c r="AB354" s="45" t="str">
        <f aca="false">IF($D354="","",IF($F354&lt;&gt;"",$F354,$D354)&amp;IF($B354="상담중"," (상담)",""))</f>
        <v/>
      </c>
      <c r="AC354" s="45" t="n">
        <f aca="false">IF(AND($D354&lt;&gt;"",OR($B354="결제완료",$B354="상담중")),1,0)</f>
        <v>0</v>
      </c>
      <c r="AD354" s="45" t="n">
        <f aca="false">IF(OR($Z354="",$U354=""),0,IFERROR(IF(COUNTIFS(INDEX(g_grid,0,2*MATCH($M354,강사DB!$A$4:$A$15,0)),"&lt;&gt;",g_s,"&lt;="&amp;$U354,g_e,"&gt;="&amp;$U354)&gt;0,1,0),0))</f>
        <v>0</v>
      </c>
      <c r="AE354" s="48"/>
      <c r="AF354" s="56" t="str">
        <f aca="false">IF(AND($D354&lt;&gt;"",$B354="결제완료",$T354="대여"),설정!$J$5,"")</f>
        <v/>
      </c>
      <c r="AG354" s="54" t="str">
        <f aca="false">IF($D354="","",IF(AND($E354="",$R354=""),$AB354,"☎ "&amp;IF($E354="","-",$E354)&amp;IF($R354&lt;&gt;"","  ※ "&amp;$R354,"")&amp;IF($B354="상담중"," (상담)","")))</f>
        <v/>
      </c>
      <c r="AH354" s="56" t="str">
        <f aca="false">IF(AND($D354&lt;&gt;"",$B354="결제완료",$O354="스마트스토어"),ROUND(N($N354)*설정!$J$6,0),"")</f>
        <v/>
      </c>
      <c r="AI354" s="54" t="str">
        <f aca="false">IF($D354="","",ROW())</f>
        <v/>
      </c>
      <c r="AJ354" s="54" t="n">
        <f aca="false">IF(OR($AC354&lt;&gt;1,$M354=""),0,IF(ISNUMBER(SEARCH("퇴사",IFERROR(INDEX(강사DB!$G$4:$G$53,MATCH($M354,강사DB!$A$4:$A$53,0)),""))),1,0))</f>
        <v>0</v>
      </c>
    </row>
    <row r="355" customFormat="false" ht="15" hidden="false" customHeight="false" outlineLevel="0" collapsed="false">
      <c r="A355" s="45" t="str">
        <f aca="false">IF($D355="","",COUNTA($D$5:$D355))</f>
        <v/>
      </c>
      <c r="B355" s="46"/>
      <c r="C355" s="47"/>
      <c r="D355" s="48"/>
      <c r="E355" s="48"/>
      <c r="F355" s="49"/>
      <c r="G355" s="47"/>
      <c r="H355" s="50"/>
      <c r="I355" s="50"/>
      <c r="J355" s="51" t="str">
        <f aca="false">IF(OR($V355="",$W355=""),"",ROUND(($W355-$V355)/60,2))</f>
        <v/>
      </c>
      <c r="K355" s="52" t="str">
        <f aca="false">IF($F355="","",LEN($F355)-LEN(SUBSTITUTE($F355,",",""))+1)</f>
        <v/>
      </c>
      <c r="L355" s="45" t="str">
        <f aca="false">IF($K355="","","1:"&amp;$K355)</f>
        <v/>
      </c>
      <c r="M355" s="46"/>
      <c r="N355" s="53"/>
      <c r="O355" s="46"/>
      <c r="P355" s="47"/>
      <c r="Q355" s="48"/>
      <c r="R355" s="49"/>
      <c r="S355" s="54" t="str">
        <f aca="false">IF(OR($AC355=0,$U355="",$M355="",$V355="",$W355=""),"",IF(COUNTIFS(m_teacher,$M355,m_date,$U355,m_active,1,m_start,"&lt;"&amp;$W355,m_end,"&gt;"&amp;$V355)&gt;1,"충돌",""))</f>
        <v/>
      </c>
      <c r="T355" s="48"/>
      <c r="U355" s="55" t="str">
        <f aca="false">IF($G355="","",IFERROR(IF(ISNUMBER($G355),IF($G355&gt;19000000,DATE(INT($G355/10000),MOD(INT($G355/100),100),MOD($G355,100)),INT($G355)),IF(LEN(SUBSTITUTE(SUBSTITUTE(SUBSTITUTE(TRIM($G355),"-",""),".",""),"/",""))=8,DATE(VALUE(LEFT(SUBSTITUTE(SUBSTITUTE(SUBSTITUTE(TRIM($G355),"-",""),".",""),"/",""),4)),VALUE(MID(SUBSTITUTE(SUBSTITUTE(SUBSTITUTE(TRIM($G355),"-",""),".",""),"/",""),5,2)),VALUE(RIGHT(SUBSTITUTE(SUBSTITUTE(SUBSTITUTE(TRIM($G355),"-",""),".",""),"/",""),2))),DATEVALUE($G355))),""))</f>
        <v/>
      </c>
      <c r="V355" s="52" t="str">
        <f aca="false">IF($H355="","",IFERROR(IF(IF(ISNUMBER($H355),$H355,IFERROR(TIMEVALUE($H355),VALUE($H355)))&gt;=100,INT(IF(ISNUMBER($H355),$H355,IFERROR(TIMEVALUE($H355),VALUE($H355)))/100)*60+MOD(IF(ISNUMBER($H355),$H355,IFERROR(TIMEVALUE($H355),VALUE($H355))),100),IF(IF(ISNUMBER($H355),$H355,IFERROR(TIMEVALUE($H355),VALUE($H355)))&gt;=1,ROUND(IF(ISNUMBER($H355),$H355,IFERROR(TIMEVALUE($H355),VALUE($H355)))*60,0),ROUND(MOD(IF(ISNUMBER($H355),$H355,IFERROR(TIMEVALUE($H355),VALUE($H355))),1)*1440,0))),""))</f>
        <v/>
      </c>
      <c r="W355" s="52" t="str">
        <f aca="false">IF($I355="","",IFERROR(IF(IF(ISNUMBER($I355),$I355,IFERROR(TIMEVALUE($I355),VALUE($I355)))&gt;=100,INT(IF(ISNUMBER($I355),$I355,IFERROR(TIMEVALUE($I355),VALUE($I355)))/100)*60+MOD(IF(ISNUMBER($I355),$I355,IFERROR(TIMEVALUE($I355),VALUE($I355))),100),IF(IF(ISNUMBER($I355),$I355,IFERROR(TIMEVALUE($I355),VALUE($I355)))&gt;=1,ROUND(IF(ISNUMBER($I355),$I355,IFERROR(TIMEVALUE($I355),VALUE($I355)))*60,0),ROUND(MOD(IF(ISNUMBER($I355),$I355,IFERROR(TIMEVALUE($I355),VALUE($I355))),1)*1440,0))),""))</f>
        <v/>
      </c>
      <c r="X355" s="55" t="str">
        <f aca="false">IF($P355="","",IFERROR(IF(ISNUMBER($P355),IF($P355&gt;19000000,DATE(INT($P355/10000),MOD(INT($P355/100),100),MOD($P355,100)),INT($P355)),IF(LEN(SUBSTITUTE(SUBSTITUTE(SUBSTITUTE(TRIM($P355),"-",""),".",""),"/",""))=8,DATE(VALUE(LEFT(SUBSTITUTE(SUBSTITUTE(SUBSTITUTE(TRIM($P355),"-",""),".",""),"/",""),4)),VALUE(MID(SUBSTITUTE(SUBSTITUTE(SUBSTITUTE(TRIM($P355),"-",""),".",""),"/",""),5,2)),VALUE(RIGHT(SUBSTITUTE(SUBSTITUTE(SUBSTITUTE(TRIM($P355),"-",""),".",""),"/",""),2))),DATEVALUE($P355))),""))</f>
        <v/>
      </c>
      <c r="Y355" s="56" t="str">
        <f aca="false">IF($M355="","",IFERROR(INDEX(강사DB!$D$4:$D$53,MATCH($M355,강사DB!$A$4:$A$53,0)),""))</f>
        <v/>
      </c>
      <c r="Z355" s="56" t="str">
        <f aca="false">IF($B355&lt;&gt;"결제완료","",IF(OR($Y355="",$J355=""),"",$Y355*$J355+MAX(0,N($K355)-1)*설정!$J$7))</f>
        <v/>
      </c>
      <c r="AA355" s="56" t="str">
        <f aca="false">IF(AND($D355&lt;&gt;"",$B355="결제완료"),N($N355),"")</f>
        <v/>
      </c>
      <c r="AB355" s="45" t="str">
        <f aca="false">IF($D355="","",IF($F355&lt;&gt;"",$F355,$D355)&amp;IF($B355="상담중"," (상담)",""))</f>
        <v/>
      </c>
      <c r="AC355" s="45" t="n">
        <f aca="false">IF(AND($D355&lt;&gt;"",OR($B355="결제완료",$B355="상담중")),1,0)</f>
        <v>0</v>
      </c>
      <c r="AD355" s="45" t="n">
        <f aca="false">IF(OR($Z355="",$U355=""),0,IFERROR(IF(COUNTIFS(INDEX(g_grid,0,2*MATCH($M355,강사DB!$A$4:$A$15,0)),"&lt;&gt;",g_s,"&lt;="&amp;$U355,g_e,"&gt;="&amp;$U355)&gt;0,1,0),0))</f>
        <v>0</v>
      </c>
      <c r="AE355" s="48"/>
      <c r="AF355" s="56" t="str">
        <f aca="false">IF(AND($D355&lt;&gt;"",$B355="결제완료",$T355="대여"),설정!$J$5,"")</f>
        <v/>
      </c>
      <c r="AG355" s="54" t="str">
        <f aca="false">IF($D355="","",IF(AND($E355="",$R355=""),$AB355,"☎ "&amp;IF($E355="","-",$E355)&amp;IF($R355&lt;&gt;"","  ※ "&amp;$R355,"")&amp;IF($B355="상담중"," (상담)","")))</f>
        <v/>
      </c>
      <c r="AH355" s="56" t="str">
        <f aca="false">IF(AND($D355&lt;&gt;"",$B355="결제완료",$O355="스마트스토어"),ROUND(N($N355)*설정!$J$6,0),"")</f>
        <v/>
      </c>
      <c r="AI355" s="54" t="str">
        <f aca="false">IF($D355="","",ROW())</f>
        <v/>
      </c>
      <c r="AJ355" s="54" t="n">
        <f aca="false">IF(OR($AC355&lt;&gt;1,$M355=""),0,IF(ISNUMBER(SEARCH("퇴사",IFERROR(INDEX(강사DB!$G$4:$G$53,MATCH($M355,강사DB!$A$4:$A$53,0)),""))),1,0))</f>
        <v>0</v>
      </c>
    </row>
    <row r="356" customFormat="false" ht="15" hidden="false" customHeight="false" outlineLevel="0" collapsed="false">
      <c r="A356" s="45" t="str">
        <f aca="false">IF($D356="","",COUNTA($D$5:$D356))</f>
        <v/>
      </c>
      <c r="B356" s="46"/>
      <c r="C356" s="47"/>
      <c r="D356" s="48"/>
      <c r="E356" s="48"/>
      <c r="F356" s="49"/>
      <c r="G356" s="47"/>
      <c r="H356" s="50"/>
      <c r="I356" s="50"/>
      <c r="J356" s="51" t="str">
        <f aca="false">IF(OR($V356="",$W356=""),"",ROUND(($W356-$V356)/60,2))</f>
        <v/>
      </c>
      <c r="K356" s="52" t="str">
        <f aca="false">IF($F356="","",LEN($F356)-LEN(SUBSTITUTE($F356,",",""))+1)</f>
        <v/>
      </c>
      <c r="L356" s="45" t="str">
        <f aca="false">IF($K356="","","1:"&amp;$K356)</f>
        <v/>
      </c>
      <c r="M356" s="46"/>
      <c r="N356" s="53"/>
      <c r="O356" s="46"/>
      <c r="P356" s="47"/>
      <c r="Q356" s="48"/>
      <c r="R356" s="49"/>
      <c r="S356" s="54" t="str">
        <f aca="false">IF(OR($AC356=0,$U356="",$M356="",$V356="",$W356=""),"",IF(COUNTIFS(m_teacher,$M356,m_date,$U356,m_active,1,m_start,"&lt;"&amp;$W356,m_end,"&gt;"&amp;$V356)&gt;1,"충돌",""))</f>
        <v/>
      </c>
      <c r="T356" s="48"/>
      <c r="U356" s="55" t="str">
        <f aca="false">IF($G356="","",IFERROR(IF(ISNUMBER($G356),IF($G356&gt;19000000,DATE(INT($G356/10000),MOD(INT($G356/100),100),MOD($G356,100)),INT($G356)),IF(LEN(SUBSTITUTE(SUBSTITUTE(SUBSTITUTE(TRIM($G356),"-",""),".",""),"/",""))=8,DATE(VALUE(LEFT(SUBSTITUTE(SUBSTITUTE(SUBSTITUTE(TRIM($G356),"-",""),".",""),"/",""),4)),VALUE(MID(SUBSTITUTE(SUBSTITUTE(SUBSTITUTE(TRIM($G356),"-",""),".",""),"/",""),5,2)),VALUE(RIGHT(SUBSTITUTE(SUBSTITUTE(SUBSTITUTE(TRIM($G356),"-",""),".",""),"/",""),2))),DATEVALUE($G356))),""))</f>
        <v/>
      </c>
      <c r="V356" s="52" t="str">
        <f aca="false">IF($H356="","",IFERROR(IF(IF(ISNUMBER($H356),$H356,IFERROR(TIMEVALUE($H356),VALUE($H356)))&gt;=100,INT(IF(ISNUMBER($H356),$H356,IFERROR(TIMEVALUE($H356),VALUE($H356)))/100)*60+MOD(IF(ISNUMBER($H356),$H356,IFERROR(TIMEVALUE($H356),VALUE($H356))),100),IF(IF(ISNUMBER($H356),$H356,IFERROR(TIMEVALUE($H356),VALUE($H356)))&gt;=1,ROUND(IF(ISNUMBER($H356),$H356,IFERROR(TIMEVALUE($H356),VALUE($H356)))*60,0),ROUND(MOD(IF(ISNUMBER($H356),$H356,IFERROR(TIMEVALUE($H356),VALUE($H356))),1)*1440,0))),""))</f>
        <v/>
      </c>
      <c r="W356" s="52" t="str">
        <f aca="false">IF($I356="","",IFERROR(IF(IF(ISNUMBER($I356),$I356,IFERROR(TIMEVALUE($I356),VALUE($I356)))&gt;=100,INT(IF(ISNUMBER($I356),$I356,IFERROR(TIMEVALUE($I356),VALUE($I356)))/100)*60+MOD(IF(ISNUMBER($I356),$I356,IFERROR(TIMEVALUE($I356),VALUE($I356))),100),IF(IF(ISNUMBER($I356),$I356,IFERROR(TIMEVALUE($I356),VALUE($I356)))&gt;=1,ROUND(IF(ISNUMBER($I356),$I356,IFERROR(TIMEVALUE($I356),VALUE($I356)))*60,0),ROUND(MOD(IF(ISNUMBER($I356),$I356,IFERROR(TIMEVALUE($I356),VALUE($I356))),1)*1440,0))),""))</f>
        <v/>
      </c>
      <c r="X356" s="55" t="str">
        <f aca="false">IF($P356="","",IFERROR(IF(ISNUMBER($P356),IF($P356&gt;19000000,DATE(INT($P356/10000),MOD(INT($P356/100),100),MOD($P356,100)),INT($P356)),IF(LEN(SUBSTITUTE(SUBSTITUTE(SUBSTITUTE(TRIM($P356),"-",""),".",""),"/",""))=8,DATE(VALUE(LEFT(SUBSTITUTE(SUBSTITUTE(SUBSTITUTE(TRIM($P356),"-",""),".",""),"/",""),4)),VALUE(MID(SUBSTITUTE(SUBSTITUTE(SUBSTITUTE(TRIM($P356),"-",""),".",""),"/",""),5,2)),VALUE(RIGHT(SUBSTITUTE(SUBSTITUTE(SUBSTITUTE(TRIM($P356),"-",""),".",""),"/",""),2))),DATEVALUE($P356))),""))</f>
        <v/>
      </c>
      <c r="Y356" s="56" t="str">
        <f aca="false">IF($M356="","",IFERROR(INDEX(강사DB!$D$4:$D$53,MATCH($M356,강사DB!$A$4:$A$53,0)),""))</f>
        <v/>
      </c>
      <c r="Z356" s="56" t="str">
        <f aca="false">IF($B356&lt;&gt;"결제완료","",IF(OR($Y356="",$J356=""),"",$Y356*$J356+MAX(0,N($K356)-1)*설정!$J$7))</f>
        <v/>
      </c>
      <c r="AA356" s="56" t="str">
        <f aca="false">IF(AND($D356&lt;&gt;"",$B356="결제완료"),N($N356),"")</f>
        <v/>
      </c>
      <c r="AB356" s="45" t="str">
        <f aca="false">IF($D356="","",IF($F356&lt;&gt;"",$F356,$D356)&amp;IF($B356="상담중"," (상담)",""))</f>
        <v/>
      </c>
      <c r="AC356" s="45" t="n">
        <f aca="false">IF(AND($D356&lt;&gt;"",OR($B356="결제완료",$B356="상담중")),1,0)</f>
        <v>0</v>
      </c>
      <c r="AD356" s="45" t="n">
        <f aca="false">IF(OR($Z356="",$U356=""),0,IFERROR(IF(COUNTIFS(INDEX(g_grid,0,2*MATCH($M356,강사DB!$A$4:$A$15,0)),"&lt;&gt;",g_s,"&lt;="&amp;$U356,g_e,"&gt;="&amp;$U356)&gt;0,1,0),0))</f>
        <v>0</v>
      </c>
      <c r="AE356" s="48"/>
      <c r="AF356" s="56" t="str">
        <f aca="false">IF(AND($D356&lt;&gt;"",$B356="결제완료",$T356="대여"),설정!$J$5,"")</f>
        <v/>
      </c>
      <c r="AG356" s="54" t="str">
        <f aca="false">IF($D356="","",IF(AND($E356="",$R356=""),$AB356,"☎ "&amp;IF($E356="","-",$E356)&amp;IF($R356&lt;&gt;"","  ※ "&amp;$R356,"")&amp;IF($B356="상담중"," (상담)","")))</f>
        <v/>
      </c>
      <c r="AH356" s="56" t="str">
        <f aca="false">IF(AND($D356&lt;&gt;"",$B356="결제완료",$O356="스마트스토어"),ROUND(N($N356)*설정!$J$6,0),"")</f>
        <v/>
      </c>
      <c r="AI356" s="54" t="str">
        <f aca="false">IF($D356="","",ROW())</f>
        <v/>
      </c>
      <c r="AJ356" s="54" t="n">
        <f aca="false">IF(OR($AC356&lt;&gt;1,$M356=""),0,IF(ISNUMBER(SEARCH("퇴사",IFERROR(INDEX(강사DB!$G$4:$G$53,MATCH($M356,강사DB!$A$4:$A$53,0)),""))),1,0))</f>
        <v>0</v>
      </c>
    </row>
    <row r="357" customFormat="false" ht="15" hidden="false" customHeight="false" outlineLevel="0" collapsed="false">
      <c r="A357" s="45" t="str">
        <f aca="false">IF($D357="","",COUNTA($D$5:$D357))</f>
        <v/>
      </c>
      <c r="B357" s="46"/>
      <c r="C357" s="47"/>
      <c r="D357" s="48"/>
      <c r="E357" s="48"/>
      <c r="F357" s="49"/>
      <c r="G357" s="47"/>
      <c r="H357" s="50"/>
      <c r="I357" s="50"/>
      <c r="J357" s="51" t="str">
        <f aca="false">IF(OR($V357="",$W357=""),"",ROUND(($W357-$V357)/60,2))</f>
        <v/>
      </c>
      <c r="K357" s="52" t="str">
        <f aca="false">IF($F357="","",LEN($F357)-LEN(SUBSTITUTE($F357,",",""))+1)</f>
        <v/>
      </c>
      <c r="L357" s="45" t="str">
        <f aca="false">IF($K357="","","1:"&amp;$K357)</f>
        <v/>
      </c>
      <c r="M357" s="46"/>
      <c r="N357" s="53"/>
      <c r="O357" s="46"/>
      <c r="P357" s="47"/>
      <c r="Q357" s="48"/>
      <c r="R357" s="49"/>
      <c r="S357" s="54" t="str">
        <f aca="false">IF(OR($AC357=0,$U357="",$M357="",$V357="",$W357=""),"",IF(COUNTIFS(m_teacher,$M357,m_date,$U357,m_active,1,m_start,"&lt;"&amp;$W357,m_end,"&gt;"&amp;$V357)&gt;1,"충돌",""))</f>
        <v/>
      </c>
      <c r="T357" s="48"/>
      <c r="U357" s="55" t="str">
        <f aca="false">IF($G357="","",IFERROR(IF(ISNUMBER($G357),IF($G357&gt;19000000,DATE(INT($G357/10000),MOD(INT($G357/100),100),MOD($G357,100)),INT($G357)),IF(LEN(SUBSTITUTE(SUBSTITUTE(SUBSTITUTE(TRIM($G357),"-",""),".",""),"/",""))=8,DATE(VALUE(LEFT(SUBSTITUTE(SUBSTITUTE(SUBSTITUTE(TRIM($G357),"-",""),".",""),"/",""),4)),VALUE(MID(SUBSTITUTE(SUBSTITUTE(SUBSTITUTE(TRIM($G357),"-",""),".",""),"/",""),5,2)),VALUE(RIGHT(SUBSTITUTE(SUBSTITUTE(SUBSTITUTE(TRIM($G357),"-",""),".",""),"/",""),2))),DATEVALUE($G357))),""))</f>
        <v/>
      </c>
      <c r="V357" s="52" t="str">
        <f aca="false">IF($H357="","",IFERROR(IF(IF(ISNUMBER($H357),$H357,IFERROR(TIMEVALUE($H357),VALUE($H357)))&gt;=100,INT(IF(ISNUMBER($H357),$H357,IFERROR(TIMEVALUE($H357),VALUE($H357)))/100)*60+MOD(IF(ISNUMBER($H357),$H357,IFERROR(TIMEVALUE($H357),VALUE($H357))),100),IF(IF(ISNUMBER($H357),$H357,IFERROR(TIMEVALUE($H357),VALUE($H357)))&gt;=1,ROUND(IF(ISNUMBER($H357),$H357,IFERROR(TIMEVALUE($H357),VALUE($H357)))*60,0),ROUND(MOD(IF(ISNUMBER($H357),$H357,IFERROR(TIMEVALUE($H357),VALUE($H357))),1)*1440,0))),""))</f>
        <v/>
      </c>
      <c r="W357" s="52" t="str">
        <f aca="false">IF($I357="","",IFERROR(IF(IF(ISNUMBER($I357),$I357,IFERROR(TIMEVALUE($I357),VALUE($I357)))&gt;=100,INT(IF(ISNUMBER($I357),$I357,IFERROR(TIMEVALUE($I357),VALUE($I357)))/100)*60+MOD(IF(ISNUMBER($I357),$I357,IFERROR(TIMEVALUE($I357),VALUE($I357))),100),IF(IF(ISNUMBER($I357),$I357,IFERROR(TIMEVALUE($I357),VALUE($I357)))&gt;=1,ROUND(IF(ISNUMBER($I357),$I357,IFERROR(TIMEVALUE($I357),VALUE($I357)))*60,0),ROUND(MOD(IF(ISNUMBER($I357),$I357,IFERROR(TIMEVALUE($I357),VALUE($I357))),1)*1440,0))),""))</f>
        <v/>
      </c>
      <c r="X357" s="55" t="str">
        <f aca="false">IF($P357="","",IFERROR(IF(ISNUMBER($P357),IF($P357&gt;19000000,DATE(INT($P357/10000),MOD(INT($P357/100),100),MOD($P357,100)),INT($P357)),IF(LEN(SUBSTITUTE(SUBSTITUTE(SUBSTITUTE(TRIM($P357),"-",""),".",""),"/",""))=8,DATE(VALUE(LEFT(SUBSTITUTE(SUBSTITUTE(SUBSTITUTE(TRIM($P357),"-",""),".",""),"/",""),4)),VALUE(MID(SUBSTITUTE(SUBSTITUTE(SUBSTITUTE(TRIM($P357),"-",""),".",""),"/",""),5,2)),VALUE(RIGHT(SUBSTITUTE(SUBSTITUTE(SUBSTITUTE(TRIM($P357),"-",""),".",""),"/",""),2))),DATEVALUE($P357))),""))</f>
        <v/>
      </c>
      <c r="Y357" s="56" t="str">
        <f aca="false">IF($M357="","",IFERROR(INDEX(강사DB!$D$4:$D$53,MATCH($M357,강사DB!$A$4:$A$53,0)),""))</f>
        <v/>
      </c>
      <c r="Z357" s="56" t="str">
        <f aca="false">IF($B357&lt;&gt;"결제완료","",IF(OR($Y357="",$J357=""),"",$Y357*$J357+MAX(0,N($K357)-1)*설정!$J$7))</f>
        <v/>
      </c>
      <c r="AA357" s="56" t="str">
        <f aca="false">IF(AND($D357&lt;&gt;"",$B357="결제완료"),N($N357),"")</f>
        <v/>
      </c>
      <c r="AB357" s="45" t="str">
        <f aca="false">IF($D357="","",IF($F357&lt;&gt;"",$F357,$D357)&amp;IF($B357="상담중"," (상담)",""))</f>
        <v/>
      </c>
      <c r="AC357" s="45" t="n">
        <f aca="false">IF(AND($D357&lt;&gt;"",OR($B357="결제완료",$B357="상담중")),1,0)</f>
        <v>0</v>
      </c>
      <c r="AD357" s="45" t="n">
        <f aca="false">IF(OR($Z357="",$U357=""),0,IFERROR(IF(COUNTIFS(INDEX(g_grid,0,2*MATCH($M357,강사DB!$A$4:$A$15,0)),"&lt;&gt;",g_s,"&lt;="&amp;$U357,g_e,"&gt;="&amp;$U357)&gt;0,1,0),0))</f>
        <v>0</v>
      </c>
      <c r="AE357" s="48"/>
      <c r="AF357" s="56" t="str">
        <f aca="false">IF(AND($D357&lt;&gt;"",$B357="결제완료",$T357="대여"),설정!$J$5,"")</f>
        <v/>
      </c>
      <c r="AG357" s="54" t="str">
        <f aca="false">IF($D357="","",IF(AND($E357="",$R357=""),$AB357,"☎ "&amp;IF($E357="","-",$E357)&amp;IF($R357&lt;&gt;"","  ※ "&amp;$R357,"")&amp;IF($B357="상담중"," (상담)","")))</f>
        <v/>
      </c>
      <c r="AH357" s="56" t="str">
        <f aca="false">IF(AND($D357&lt;&gt;"",$B357="결제완료",$O357="스마트스토어"),ROUND(N($N357)*설정!$J$6,0),"")</f>
        <v/>
      </c>
      <c r="AI357" s="54" t="str">
        <f aca="false">IF($D357="","",ROW())</f>
        <v/>
      </c>
      <c r="AJ357" s="54" t="n">
        <f aca="false">IF(OR($AC357&lt;&gt;1,$M357=""),0,IF(ISNUMBER(SEARCH("퇴사",IFERROR(INDEX(강사DB!$G$4:$G$53,MATCH($M357,강사DB!$A$4:$A$53,0)),""))),1,0))</f>
        <v>0</v>
      </c>
    </row>
    <row r="358" customFormat="false" ht="15" hidden="false" customHeight="false" outlineLevel="0" collapsed="false">
      <c r="A358" s="45" t="str">
        <f aca="false">IF($D358="","",COUNTA($D$5:$D358))</f>
        <v/>
      </c>
      <c r="B358" s="46"/>
      <c r="C358" s="47"/>
      <c r="D358" s="48"/>
      <c r="E358" s="48"/>
      <c r="F358" s="49"/>
      <c r="G358" s="47"/>
      <c r="H358" s="50"/>
      <c r="I358" s="50"/>
      <c r="J358" s="51" t="str">
        <f aca="false">IF(OR($V358="",$W358=""),"",ROUND(($W358-$V358)/60,2))</f>
        <v/>
      </c>
      <c r="K358" s="52" t="str">
        <f aca="false">IF($F358="","",LEN($F358)-LEN(SUBSTITUTE($F358,",",""))+1)</f>
        <v/>
      </c>
      <c r="L358" s="45" t="str">
        <f aca="false">IF($K358="","","1:"&amp;$K358)</f>
        <v/>
      </c>
      <c r="M358" s="46"/>
      <c r="N358" s="53"/>
      <c r="O358" s="46"/>
      <c r="P358" s="47"/>
      <c r="Q358" s="48"/>
      <c r="R358" s="49"/>
      <c r="S358" s="54" t="str">
        <f aca="false">IF(OR($AC358=0,$U358="",$M358="",$V358="",$W358=""),"",IF(COUNTIFS(m_teacher,$M358,m_date,$U358,m_active,1,m_start,"&lt;"&amp;$W358,m_end,"&gt;"&amp;$V358)&gt;1,"충돌",""))</f>
        <v/>
      </c>
      <c r="T358" s="48"/>
      <c r="U358" s="55" t="str">
        <f aca="false">IF($G358="","",IFERROR(IF(ISNUMBER($G358),IF($G358&gt;19000000,DATE(INT($G358/10000),MOD(INT($G358/100),100),MOD($G358,100)),INT($G358)),IF(LEN(SUBSTITUTE(SUBSTITUTE(SUBSTITUTE(TRIM($G358),"-",""),".",""),"/",""))=8,DATE(VALUE(LEFT(SUBSTITUTE(SUBSTITUTE(SUBSTITUTE(TRIM($G358),"-",""),".",""),"/",""),4)),VALUE(MID(SUBSTITUTE(SUBSTITUTE(SUBSTITUTE(TRIM($G358),"-",""),".",""),"/",""),5,2)),VALUE(RIGHT(SUBSTITUTE(SUBSTITUTE(SUBSTITUTE(TRIM($G358),"-",""),".",""),"/",""),2))),DATEVALUE($G358))),""))</f>
        <v/>
      </c>
      <c r="V358" s="52" t="str">
        <f aca="false">IF($H358="","",IFERROR(IF(IF(ISNUMBER($H358),$H358,IFERROR(TIMEVALUE($H358),VALUE($H358)))&gt;=100,INT(IF(ISNUMBER($H358),$H358,IFERROR(TIMEVALUE($H358),VALUE($H358)))/100)*60+MOD(IF(ISNUMBER($H358),$H358,IFERROR(TIMEVALUE($H358),VALUE($H358))),100),IF(IF(ISNUMBER($H358),$H358,IFERROR(TIMEVALUE($H358),VALUE($H358)))&gt;=1,ROUND(IF(ISNUMBER($H358),$H358,IFERROR(TIMEVALUE($H358),VALUE($H358)))*60,0),ROUND(MOD(IF(ISNUMBER($H358),$H358,IFERROR(TIMEVALUE($H358),VALUE($H358))),1)*1440,0))),""))</f>
        <v/>
      </c>
      <c r="W358" s="52" t="str">
        <f aca="false">IF($I358="","",IFERROR(IF(IF(ISNUMBER($I358),$I358,IFERROR(TIMEVALUE($I358),VALUE($I358)))&gt;=100,INT(IF(ISNUMBER($I358),$I358,IFERROR(TIMEVALUE($I358),VALUE($I358)))/100)*60+MOD(IF(ISNUMBER($I358),$I358,IFERROR(TIMEVALUE($I358),VALUE($I358))),100),IF(IF(ISNUMBER($I358),$I358,IFERROR(TIMEVALUE($I358),VALUE($I358)))&gt;=1,ROUND(IF(ISNUMBER($I358),$I358,IFERROR(TIMEVALUE($I358),VALUE($I358)))*60,0),ROUND(MOD(IF(ISNUMBER($I358),$I358,IFERROR(TIMEVALUE($I358),VALUE($I358))),1)*1440,0))),""))</f>
        <v/>
      </c>
      <c r="X358" s="55" t="str">
        <f aca="false">IF($P358="","",IFERROR(IF(ISNUMBER($P358),IF($P358&gt;19000000,DATE(INT($P358/10000),MOD(INT($P358/100),100),MOD($P358,100)),INT($P358)),IF(LEN(SUBSTITUTE(SUBSTITUTE(SUBSTITUTE(TRIM($P358),"-",""),".",""),"/",""))=8,DATE(VALUE(LEFT(SUBSTITUTE(SUBSTITUTE(SUBSTITUTE(TRIM($P358),"-",""),".",""),"/",""),4)),VALUE(MID(SUBSTITUTE(SUBSTITUTE(SUBSTITUTE(TRIM($P358),"-",""),".",""),"/",""),5,2)),VALUE(RIGHT(SUBSTITUTE(SUBSTITUTE(SUBSTITUTE(TRIM($P358),"-",""),".",""),"/",""),2))),DATEVALUE($P358))),""))</f>
        <v/>
      </c>
      <c r="Y358" s="56" t="str">
        <f aca="false">IF($M358="","",IFERROR(INDEX(강사DB!$D$4:$D$53,MATCH($M358,강사DB!$A$4:$A$53,0)),""))</f>
        <v/>
      </c>
      <c r="Z358" s="56" t="str">
        <f aca="false">IF($B358&lt;&gt;"결제완료","",IF(OR($Y358="",$J358=""),"",$Y358*$J358+MAX(0,N($K358)-1)*설정!$J$7))</f>
        <v/>
      </c>
      <c r="AA358" s="56" t="str">
        <f aca="false">IF(AND($D358&lt;&gt;"",$B358="결제완료"),N($N358),"")</f>
        <v/>
      </c>
      <c r="AB358" s="45" t="str">
        <f aca="false">IF($D358="","",IF($F358&lt;&gt;"",$F358,$D358)&amp;IF($B358="상담중"," (상담)",""))</f>
        <v/>
      </c>
      <c r="AC358" s="45" t="n">
        <f aca="false">IF(AND($D358&lt;&gt;"",OR($B358="결제완료",$B358="상담중")),1,0)</f>
        <v>0</v>
      </c>
      <c r="AD358" s="45" t="n">
        <f aca="false">IF(OR($Z358="",$U358=""),0,IFERROR(IF(COUNTIFS(INDEX(g_grid,0,2*MATCH($M358,강사DB!$A$4:$A$15,0)),"&lt;&gt;",g_s,"&lt;="&amp;$U358,g_e,"&gt;="&amp;$U358)&gt;0,1,0),0))</f>
        <v>0</v>
      </c>
      <c r="AE358" s="48"/>
      <c r="AF358" s="56" t="str">
        <f aca="false">IF(AND($D358&lt;&gt;"",$B358="결제완료",$T358="대여"),설정!$J$5,"")</f>
        <v/>
      </c>
      <c r="AG358" s="54" t="str">
        <f aca="false">IF($D358="","",IF(AND($E358="",$R358=""),$AB358,"☎ "&amp;IF($E358="","-",$E358)&amp;IF($R358&lt;&gt;"","  ※ "&amp;$R358,"")&amp;IF($B358="상담중"," (상담)","")))</f>
        <v/>
      </c>
      <c r="AH358" s="56" t="str">
        <f aca="false">IF(AND($D358&lt;&gt;"",$B358="결제완료",$O358="스마트스토어"),ROUND(N($N358)*설정!$J$6,0),"")</f>
        <v/>
      </c>
      <c r="AI358" s="54" t="str">
        <f aca="false">IF($D358="","",ROW())</f>
        <v/>
      </c>
      <c r="AJ358" s="54" t="n">
        <f aca="false">IF(OR($AC358&lt;&gt;1,$M358=""),0,IF(ISNUMBER(SEARCH("퇴사",IFERROR(INDEX(강사DB!$G$4:$G$53,MATCH($M358,강사DB!$A$4:$A$53,0)),""))),1,0))</f>
        <v>0</v>
      </c>
    </row>
    <row r="359" customFormat="false" ht="15" hidden="false" customHeight="false" outlineLevel="0" collapsed="false">
      <c r="A359" s="45" t="str">
        <f aca="false">IF($D359="","",COUNTA($D$5:$D359))</f>
        <v/>
      </c>
      <c r="B359" s="46"/>
      <c r="C359" s="47"/>
      <c r="D359" s="48"/>
      <c r="E359" s="48"/>
      <c r="F359" s="49"/>
      <c r="G359" s="47"/>
      <c r="H359" s="50"/>
      <c r="I359" s="50"/>
      <c r="J359" s="51" t="str">
        <f aca="false">IF(OR($V359="",$W359=""),"",ROUND(($W359-$V359)/60,2))</f>
        <v/>
      </c>
      <c r="K359" s="52" t="str">
        <f aca="false">IF($F359="","",LEN($F359)-LEN(SUBSTITUTE($F359,",",""))+1)</f>
        <v/>
      </c>
      <c r="L359" s="45" t="str">
        <f aca="false">IF($K359="","","1:"&amp;$K359)</f>
        <v/>
      </c>
      <c r="M359" s="46"/>
      <c r="N359" s="53"/>
      <c r="O359" s="46"/>
      <c r="P359" s="47"/>
      <c r="Q359" s="48"/>
      <c r="R359" s="49"/>
      <c r="S359" s="54" t="str">
        <f aca="false">IF(OR($AC359=0,$U359="",$M359="",$V359="",$W359=""),"",IF(COUNTIFS(m_teacher,$M359,m_date,$U359,m_active,1,m_start,"&lt;"&amp;$W359,m_end,"&gt;"&amp;$V359)&gt;1,"충돌",""))</f>
        <v/>
      </c>
      <c r="T359" s="48"/>
      <c r="U359" s="55" t="str">
        <f aca="false">IF($G359="","",IFERROR(IF(ISNUMBER($G359),IF($G359&gt;19000000,DATE(INT($G359/10000),MOD(INT($G359/100),100),MOD($G359,100)),INT($G359)),IF(LEN(SUBSTITUTE(SUBSTITUTE(SUBSTITUTE(TRIM($G359),"-",""),".",""),"/",""))=8,DATE(VALUE(LEFT(SUBSTITUTE(SUBSTITUTE(SUBSTITUTE(TRIM($G359),"-",""),".",""),"/",""),4)),VALUE(MID(SUBSTITUTE(SUBSTITUTE(SUBSTITUTE(TRIM($G359),"-",""),".",""),"/",""),5,2)),VALUE(RIGHT(SUBSTITUTE(SUBSTITUTE(SUBSTITUTE(TRIM($G359),"-",""),".",""),"/",""),2))),DATEVALUE($G359))),""))</f>
        <v/>
      </c>
      <c r="V359" s="52" t="str">
        <f aca="false">IF($H359="","",IFERROR(IF(IF(ISNUMBER($H359),$H359,IFERROR(TIMEVALUE($H359),VALUE($H359)))&gt;=100,INT(IF(ISNUMBER($H359),$H359,IFERROR(TIMEVALUE($H359),VALUE($H359)))/100)*60+MOD(IF(ISNUMBER($H359),$H359,IFERROR(TIMEVALUE($H359),VALUE($H359))),100),IF(IF(ISNUMBER($H359),$H359,IFERROR(TIMEVALUE($H359),VALUE($H359)))&gt;=1,ROUND(IF(ISNUMBER($H359),$H359,IFERROR(TIMEVALUE($H359),VALUE($H359)))*60,0),ROUND(MOD(IF(ISNUMBER($H359),$H359,IFERROR(TIMEVALUE($H359),VALUE($H359))),1)*1440,0))),""))</f>
        <v/>
      </c>
      <c r="W359" s="52" t="str">
        <f aca="false">IF($I359="","",IFERROR(IF(IF(ISNUMBER($I359),$I359,IFERROR(TIMEVALUE($I359),VALUE($I359)))&gt;=100,INT(IF(ISNUMBER($I359),$I359,IFERROR(TIMEVALUE($I359),VALUE($I359)))/100)*60+MOD(IF(ISNUMBER($I359),$I359,IFERROR(TIMEVALUE($I359),VALUE($I359))),100),IF(IF(ISNUMBER($I359),$I359,IFERROR(TIMEVALUE($I359),VALUE($I359)))&gt;=1,ROUND(IF(ISNUMBER($I359),$I359,IFERROR(TIMEVALUE($I359),VALUE($I359)))*60,0),ROUND(MOD(IF(ISNUMBER($I359),$I359,IFERROR(TIMEVALUE($I359),VALUE($I359))),1)*1440,0))),""))</f>
        <v/>
      </c>
      <c r="X359" s="55" t="str">
        <f aca="false">IF($P359="","",IFERROR(IF(ISNUMBER($P359),IF($P359&gt;19000000,DATE(INT($P359/10000),MOD(INT($P359/100),100),MOD($P359,100)),INT($P359)),IF(LEN(SUBSTITUTE(SUBSTITUTE(SUBSTITUTE(TRIM($P359),"-",""),".",""),"/",""))=8,DATE(VALUE(LEFT(SUBSTITUTE(SUBSTITUTE(SUBSTITUTE(TRIM($P359),"-",""),".",""),"/",""),4)),VALUE(MID(SUBSTITUTE(SUBSTITUTE(SUBSTITUTE(TRIM($P359),"-",""),".",""),"/",""),5,2)),VALUE(RIGHT(SUBSTITUTE(SUBSTITUTE(SUBSTITUTE(TRIM($P359),"-",""),".",""),"/",""),2))),DATEVALUE($P359))),""))</f>
        <v/>
      </c>
      <c r="Y359" s="56" t="str">
        <f aca="false">IF($M359="","",IFERROR(INDEX(강사DB!$D$4:$D$53,MATCH($M359,강사DB!$A$4:$A$53,0)),""))</f>
        <v/>
      </c>
      <c r="Z359" s="56" t="str">
        <f aca="false">IF($B359&lt;&gt;"결제완료","",IF(OR($Y359="",$J359=""),"",$Y359*$J359+MAX(0,N($K359)-1)*설정!$J$7))</f>
        <v/>
      </c>
      <c r="AA359" s="56" t="str">
        <f aca="false">IF(AND($D359&lt;&gt;"",$B359="결제완료"),N($N359),"")</f>
        <v/>
      </c>
      <c r="AB359" s="45" t="str">
        <f aca="false">IF($D359="","",IF($F359&lt;&gt;"",$F359,$D359)&amp;IF($B359="상담중"," (상담)",""))</f>
        <v/>
      </c>
      <c r="AC359" s="45" t="n">
        <f aca="false">IF(AND($D359&lt;&gt;"",OR($B359="결제완료",$B359="상담중")),1,0)</f>
        <v>0</v>
      </c>
      <c r="AD359" s="45" t="n">
        <f aca="false">IF(OR($Z359="",$U359=""),0,IFERROR(IF(COUNTIFS(INDEX(g_grid,0,2*MATCH($M359,강사DB!$A$4:$A$15,0)),"&lt;&gt;",g_s,"&lt;="&amp;$U359,g_e,"&gt;="&amp;$U359)&gt;0,1,0),0))</f>
        <v>0</v>
      </c>
      <c r="AE359" s="48"/>
      <c r="AF359" s="56" t="str">
        <f aca="false">IF(AND($D359&lt;&gt;"",$B359="결제완료",$T359="대여"),설정!$J$5,"")</f>
        <v/>
      </c>
      <c r="AG359" s="54" t="str">
        <f aca="false">IF($D359="","",IF(AND($E359="",$R359=""),$AB359,"☎ "&amp;IF($E359="","-",$E359)&amp;IF($R359&lt;&gt;"","  ※ "&amp;$R359,"")&amp;IF($B359="상담중"," (상담)","")))</f>
        <v/>
      </c>
      <c r="AH359" s="56" t="str">
        <f aca="false">IF(AND($D359&lt;&gt;"",$B359="결제완료",$O359="스마트스토어"),ROUND(N($N359)*설정!$J$6,0),"")</f>
        <v/>
      </c>
      <c r="AI359" s="54" t="str">
        <f aca="false">IF($D359="","",ROW())</f>
        <v/>
      </c>
      <c r="AJ359" s="54" t="n">
        <f aca="false">IF(OR($AC359&lt;&gt;1,$M359=""),0,IF(ISNUMBER(SEARCH("퇴사",IFERROR(INDEX(강사DB!$G$4:$G$53,MATCH($M359,강사DB!$A$4:$A$53,0)),""))),1,0))</f>
        <v>0</v>
      </c>
    </row>
    <row r="360" customFormat="false" ht="15" hidden="false" customHeight="false" outlineLevel="0" collapsed="false">
      <c r="A360" s="45" t="str">
        <f aca="false">IF($D360="","",COUNTA($D$5:$D360))</f>
        <v/>
      </c>
      <c r="B360" s="46"/>
      <c r="C360" s="47"/>
      <c r="D360" s="48"/>
      <c r="E360" s="48"/>
      <c r="F360" s="49"/>
      <c r="G360" s="47"/>
      <c r="H360" s="50"/>
      <c r="I360" s="50"/>
      <c r="J360" s="51" t="str">
        <f aca="false">IF(OR($V360="",$W360=""),"",ROUND(($W360-$V360)/60,2))</f>
        <v/>
      </c>
      <c r="K360" s="52" t="str">
        <f aca="false">IF($F360="","",LEN($F360)-LEN(SUBSTITUTE($F360,",",""))+1)</f>
        <v/>
      </c>
      <c r="L360" s="45" t="str">
        <f aca="false">IF($K360="","","1:"&amp;$K360)</f>
        <v/>
      </c>
      <c r="M360" s="46"/>
      <c r="N360" s="53"/>
      <c r="O360" s="46"/>
      <c r="P360" s="47"/>
      <c r="Q360" s="48"/>
      <c r="R360" s="49"/>
      <c r="S360" s="54" t="str">
        <f aca="false">IF(OR($AC360=0,$U360="",$M360="",$V360="",$W360=""),"",IF(COUNTIFS(m_teacher,$M360,m_date,$U360,m_active,1,m_start,"&lt;"&amp;$W360,m_end,"&gt;"&amp;$V360)&gt;1,"충돌",""))</f>
        <v/>
      </c>
      <c r="T360" s="48"/>
      <c r="U360" s="55" t="str">
        <f aca="false">IF($G360="","",IFERROR(IF(ISNUMBER($G360),IF($G360&gt;19000000,DATE(INT($G360/10000),MOD(INT($G360/100),100),MOD($G360,100)),INT($G360)),IF(LEN(SUBSTITUTE(SUBSTITUTE(SUBSTITUTE(TRIM($G360),"-",""),".",""),"/",""))=8,DATE(VALUE(LEFT(SUBSTITUTE(SUBSTITUTE(SUBSTITUTE(TRIM($G360),"-",""),".",""),"/",""),4)),VALUE(MID(SUBSTITUTE(SUBSTITUTE(SUBSTITUTE(TRIM($G360),"-",""),".",""),"/",""),5,2)),VALUE(RIGHT(SUBSTITUTE(SUBSTITUTE(SUBSTITUTE(TRIM($G360),"-",""),".",""),"/",""),2))),DATEVALUE($G360))),""))</f>
        <v/>
      </c>
      <c r="V360" s="52" t="str">
        <f aca="false">IF($H360="","",IFERROR(IF(IF(ISNUMBER($H360),$H360,IFERROR(TIMEVALUE($H360),VALUE($H360)))&gt;=100,INT(IF(ISNUMBER($H360),$H360,IFERROR(TIMEVALUE($H360),VALUE($H360)))/100)*60+MOD(IF(ISNUMBER($H360),$H360,IFERROR(TIMEVALUE($H360),VALUE($H360))),100),IF(IF(ISNUMBER($H360),$H360,IFERROR(TIMEVALUE($H360),VALUE($H360)))&gt;=1,ROUND(IF(ISNUMBER($H360),$H360,IFERROR(TIMEVALUE($H360),VALUE($H360)))*60,0),ROUND(MOD(IF(ISNUMBER($H360),$H360,IFERROR(TIMEVALUE($H360),VALUE($H360))),1)*1440,0))),""))</f>
        <v/>
      </c>
      <c r="W360" s="52" t="str">
        <f aca="false">IF($I360="","",IFERROR(IF(IF(ISNUMBER($I360),$I360,IFERROR(TIMEVALUE($I360),VALUE($I360)))&gt;=100,INT(IF(ISNUMBER($I360),$I360,IFERROR(TIMEVALUE($I360),VALUE($I360)))/100)*60+MOD(IF(ISNUMBER($I360),$I360,IFERROR(TIMEVALUE($I360),VALUE($I360))),100),IF(IF(ISNUMBER($I360),$I360,IFERROR(TIMEVALUE($I360),VALUE($I360)))&gt;=1,ROUND(IF(ISNUMBER($I360),$I360,IFERROR(TIMEVALUE($I360),VALUE($I360)))*60,0),ROUND(MOD(IF(ISNUMBER($I360),$I360,IFERROR(TIMEVALUE($I360),VALUE($I360))),1)*1440,0))),""))</f>
        <v/>
      </c>
      <c r="X360" s="55" t="str">
        <f aca="false">IF($P360="","",IFERROR(IF(ISNUMBER($P360),IF($P360&gt;19000000,DATE(INT($P360/10000),MOD(INT($P360/100),100),MOD($P360,100)),INT($P360)),IF(LEN(SUBSTITUTE(SUBSTITUTE(SUBSTITUTE(TRIM($P360),"-",""),".",""),"/",""))=8,DATE(VALUE(LEFT(SUBSTITUTE(SUBSTITUTE(SUBSTITUTE(TRIM($P360),"-",""),".",""),"/",""),4)),VALUE(MID(SUBSTITUTE(SUBSTITUTE(SUBSTITUTE(TRIM($P360),"-",""),".",""),"/",""),5,2)),VALUE(RIGHT(SUBSTITUTE(SUBSTITUTE(SUBSTITUTE(TRIM($P360),"-",""),".",""),"/",""),2))),DATEVALUE($P360))),""))</f>
        <v/>
      </c>
      <c r="Y360" s="56" t="str">
        <f aca="false">IF($M360="","",IFERROR(INDEX(강사DB!$D$4:$D$53,MATCH($M360,강사DB!$A$4:$A$53,0)),""))</f>
        <v/>
      </c>
      <c r="Z360" s="56" t="str">
        <f aca="false">IF($B360&lt;&gt;"결제완료","",IF(OR($Y360="",$J360=""),"",$Y360*$J360+MAX(0,N($K360)-1)*설정!$J$7))</f>
        <v/>
      </c>
      <c r="AA360" s="56" t="str">
        <f aca="false">IF(AND($D360&lt;&gt;"",$B360="결제완료"),N($N360),"")</f>
        <v/>
      </c>
      <c r="AB360" s="45" t="str">
        <f aca="false">IF($D360="","",IF($F360&lt;&gt;"",$F360,$D360)&amp;IF($B360="상담중"," (상담)",""))</f>
        <v/>
      </c>
      <c r="AC360" s="45" t="n">
        <f aca="false">IF(AND($D360&lt;&gt;"",OR($B360="결제완료",$B360="상담중")),1,0)</f>
        <v>0</v>
      </c>
      <c r="AD360" s="45" t="n">
        <f aca="false">IF(OR($Z360="",$U360=""),0,IFERROR(IF(COUNTIFS(INDEX(g_grid,0,2*MATCH($M360,강사DB!$A$4:$A$15,0)),"&lt;&gt;",g_s,"&lt;="&amp;$U360,g_e,"&gt;="&amp;$U360)&gt;0,1,0),0))</f>
        <v>0</v>
      </c>
      <c r="AE360" s="48"/>
      <c r="AF360" s="56" t="str">
        <f aca="false">IF(AND($D360&lt;&gt;"",$B360="결제완료",$T360="대여"),설정!$J$5,"")</f>
        <v/>
      </c>
      <c r="AG360" s="54" t="str">
        <f aca="false">IF($D360="","",IF(AND($E360="",$R360=""),$AB360,"☎ "&amp;IF($E360="","-",$E360)&amp;IF($R360&lt;&gt;"","  ※ "&amp;$R360,"")&amp;IF($B360="상담중"," (상담)","")))</f>
        <v/>
      </c>
      <c r="AH360" s="56" t="str">
        <f aca="false">IF(AND($D360&lt;&gt;"",$B360="결제완료",$O360="스마트스토어"),ROUND(N($N360)*설정!$J$6,0),"")</f>
        <v/>
      </c>
      <c r="AI360" s="54" t="str">
        <f aca="false">IF($D360="","",ROW())</f>
        <v/>
      </c>
      <c r="AJ360" s="54" t="n">
        <f aca="false">IF(OR($AC360&lt;&gt;1,$M360=""),0,IF(ISNUMBER(SEARCH("퇴사",IFERROR(INDEX(강사DB!$G$4:$G$53,MATCH($M360,강사DB!$A$4:$A$53,0)),""))),1,0))</f>
        <v>0</v>
      </c>
    </row>
    <row r="361" customFormat="false" ht="15" hidden="false" customHeight="false" outlineLevel="0" collapsed="false">
      <c r="A361" s="45" t="str">
        <f aca="false">IF($D361="","",COUNTA($D$5:$D361))</f>
        <v/>
      </c>
      <c r="B361" s="46"/>
      <c r="C361" s="47"/>
      <c r="D361" s="48"/>
      <c r="E361" s="48"/>
      <c r="F361" s="49"/>
      <c r="G361" s="47"/>
      <c r="H361" s="50"/>
      <c r="I361" s="50"/>
      <c r="J361" s="51" t="str">
        <f aca="false">IF(OR($V361="",$W361=""),"",ROUND(($W361-$V361)/60,2))</f>
        <v/>
      </c>
      <c r="K361" s="52" t="str">
        <f aca="false">IF($F361="","",LEN($F361)-LEN(SUBSTITUTE($F361,",",""))+1)</f>
        <v/>
      </c>
      <c r="L361" s="45" t="str">
        <f aca="false">IF($K361="","","1:"&amp;$K361)</f>
        <v/>
      </c>
      <c r="M361" s="46"/>
      <c r="N361" s="53"/>
      <c r="O361" s="46"/>
      <c r="P361" s="47"/>
      <c r="Q361" s="48"/>
      <c r="R361" s="49"/>
      <c r="S361" s="54" t="str">
        <f aca="false">IF(OR($AC361=0,$U361="",$M361="",$V361="",$W361=""),"",IF(COUNTIFS(m_teacher,$M361,m_date,$U361,m_active,1,m_start,"&lt;"&amp;$W361,m_end,"&gt;"&amp;$V361)&gt;1,"충돌",""))</f>
        <v/>
      </c>
      <c r="T361" s="48"/>
      <c r="U361" s="55" t="str">
        <f aca="false">IF($G361="","",IFERROR(IF(ISNUMBER($G361),IF($G361&gt;19000000,DATE(INT($G361/10000),MOD(INT($G361/100),100),MOD($G361,100)),INT($G361)),IF(LEN(SUBSTITUTE(SUBSTITUTE(SUBSTITUTE(TRIM($G361),"-",""),".",""),"/",""))=8,DATE(VALUE(LEFT(SUBSTITUTE(SUBSTITUTE(SUBSTITUTE(TRIM($G361),"-",""),".",""),"/",""),4)),VALUE(MID(SUBSTITUTE(SUBSTITUTE(SUBSTITUTE(TRIM($G361),"-",""),".",""),"/",""),5,2)),VALUE(RIGHT(SUBSTITUTE(SUBSTITUTE(SUBSTITUTE(TRIM($G361),"-",""),".",""),"/",""),2))),DATEVALUE($G361))),""))</f>
        <v/>
      </c>
      <c r="V361" s="52" t="str">
        <f aca="false">IF($H361="","",IFERROR(IF(IF(ISNUMBER($H361),$H361,IFERROR(TIMEVALUE($H361),VALUE($H361)))&gt;=100,INT(IF(ISNUMBER($H361),$H361,IFERROR(TIMEVALUE($H361),VALUE($H361)))/100)*60+MOD(IF(ISNUMBER($H361),$H361,IFERROR(TIMEVALUE($H361),VALUE($H361))),100),IF(IF(ISNUMBER($H361),$H361,IFERROR(TIMEVALUE($H361),VALUE($H361)))&gt;=1,ROUND(IF(ISNUMBER($H361),$H361,IFERROR(TIMEVALUE($H361),VALUE($H361)))*60,0),ROUND(MOD(IF(ISNUMBER($H361),$H361,IFERROR(TIMEVALUE($H361),VALUE($H361))),1)*1440,0))),""))</f>
        <v/>
      </c>
      <c r="W361" s="52" t="str">
        <f aca="false">IF($I361="","",IFERROR(IF(IF(ISNUMBER($I361),$I361,IFERROR(TIMEVALUE($I361),VALUE($I361)))&gt;=100,INT(IF(ISNUMBER($I361),$I361,IFERROR(TIMEVALUE($I361),VALUE($I361)))/100)*60+MOD(IF(ISNUMBER($I361),$I361,IFERROR(TIMEVALUE($I361),VALUE($I361))),100),IF(IF(ISNUMBER($I361),$I361,IFERROR(TIMEVALUE($I361),VALUE($I361)))&gt;=1,ROUND(IF(ISNUMBER($I361),$I361,IFERROR(TIMEVALUE($I361),VALUE($I361)))*60,0),ROUND(MOD(IF(ISNUMBER($I361),$I361,IFERROR(TIMEVALUE($I361),VALUE($I361))),1)*1440,0))),""))</f>
        <v/>
      </c>
      <c r="X361" s="55" t="str">
        <f aca="false">IF($P361="","",IFERROR(IF(ISNUMBER($P361),IF($P361&gt;19000000,DATE(INT($P361/10000),MOD(INT($P361/100),100),MOD($P361,100)),INT($P361)),IF(LEN(SUBSTITUTE(SUBSTITUTE(SUBSTITUTE(TRIM($P361),"-",""),".",""),"/",""))=8,DATE(VALUE(LEFT(SUBSTITUTE(SUBSTITUTE(SUBSTITUTE(TRIM($P361),"-",""),".",""),"/",""),4)),VALUE(MID(SUBSTITUTE(SUBSTITUTE(SUBSTITUTE(TRIM($P361),"-",""),".",""),"/",""),5,2)),VALUE(RIGHT(SUBSTITUTE(SUBSTITUTE(SUBSTITUTE(TRIM($P361),"-",""),".",""),"/",""),2))),DATEVALUE($P361))),""))</f>
        <v/>
      </c>
      <c r="Y361" s="56" t="str">
        <f aca="false">IF($M361="","",IFERROR(INDEX(강사DB!$D$4:$D$53,MATCH($M361,강사DB!$A$4:$A$53,0)),""))</f>
        <v/>
      </c>
      <c r="Z361" s="56" t="str">
        <f aca="false">IF($B361&lt;&gt;"결제완료","",IF(OR($Y361="",$J361=""),"",$Y361*$J361+MAX(0,N($K361)-1)*설정!$J$7))</f>
        <v/>
      </c>
      <c r="AA361" s="56" t="str">
        <f aca="false">IF(AND($D361&lt;&gt;"",$B361="결제완료"),N($N361),"")</f>
        <v/>
      </c>
      <c r="AB361" s="45" t="str">
        <f aca="false">IF($D361="","",IF($F361&lt;&gt;"",$F361,$D361)&amp;IF($B361="상담중"," (상담)",""))</f>
        <v/>
      </c>
      <c r="AC361" s="45" t="n">
        <f aca="false">IF(AND($D361&lt;&gt;"",OR($B361="결제완료",$B361="상담중")),1,0)</f>
        <v>0</v>
      </c>
      <c r="AD361" s="45" t="n">
        <f aca="false">IF(OR($Z361="",$U361=""),0,IFERROR(IF(COUNTIFS(INDEX(g_grid,0,2*MATCH($M361,강사DB!$A$4:$A$15,0)),"&lt;&gt;",g_s,"&lt;="&amp;$U361,g_e,"&gt;="&amp;$U361)&gt;0,1,0),0))</f>
        <v>0</v>
      </c>
      <c r="AE361" s="48"/>
      <c r="AF361" s="56" t="str">
        <f aca="false">IF(AND($D361&lt;&gt;"",$B361="결제완료",$T361="대여"),설정!$J$5,"")</f>
        <v/>
      </c>
      <c r="AG361" s="54" t="str">
        <f aca="false">IF($D361="","",IF(AND($E361="",$R361=""),$AB361,"☎ "&amp;IF($E361="","-",$E361)&amp;IF($R361&lt;&gt;"","  ※ "&amp;$R361,"")&amp;IF($B361="상담중"," (상담)","")))</f>
        <v/>
      </c>
      <c r="AH361" s="56" t="str">
        <f aca="false">IF(AND($D361&lt;&gt;"",$B361="결제완료",$O361="스마트스토어"),ROUND(N($N361)*설정!$J$6,0),"")</f>
        <v/>
      </c>
      <c r="AI361" s="54" t="str">
        <f aca="false">IF($D361="","",ROW())</f>
        <v/>
      </c>
      <c r="AJ361" s="54" t="n">
        <f aca="false">IF(OR($AC361&lt;&gt;1,$M361=""),0,IF(ISNUMBER(SEARCH("퇴사",IFERROR(INDEX(강사DB!$G$4:$G$53,MATCH($M361,강사DB!$A$4:$A$53,0)),""))),1,0))</f>
        <v>0</v>
      </c>
    </row>
    <row r="362" customFormat="false" ht="15" hidden="false" customHeight="false" outlineLevel="0" collapsed="false">
      <c r="A362" s="45" t="str">
        <f aca="false">IF($D362="","",COUNTA($D$5:$D362))</f>
        <v/>
      </c>
      <c r="B362" s="46"/>
      <c r="C362" s="47"/>
      <c r="D362" s="48"/>
      <c r="E362" s="48"/>
      <c r="F362" s="49"/>
      <c r="G362" s="47"/>
      <c r="H362" s="50"/>
      <c r="I362" s="50"/>
      <c r="J362" s="51" t="str">
        <f aca="false">IF(OR($V362="",$W362=""),"",ROUND(($W362-$V362)/60,2))</f>
        <v/>
      </c>
      <c r="K362" s="52" t="str">
        <f aca="false">IF($F362="","",LEN($F362)-LEN(SUBSTITUTE($F362,",",""))+1)</f>
        <v/>
      </c>
      <c r="L362" s="45" t="str">
        <f aca="false">IF($K362="","","1:"&amp;$K362)</f>
        <v/>
      </c>
      <c r="M362" s="46"/>
      <c r="N362" s="53"/>
      <c r="O362" s="46"/>
      <c r="P362" s="47"/>
      <c r="Q362" s="48"/>
      <c r="R362" s="49"/>
      <c r="S362" s="54" t="str">
        <f aca="false">IF(OR($AC362=0,$U362="",$M362="",$V362="",$W362=""),"",IF(COUNTIFS(m_teacher,$M362,m_date,$U362,m_active,1,m_start,"&lt;"&amp;$W362,m_end,"&gt;"&amp;$V362)&gt;1,"충돌",""))</f>
        <v/>
      </c>
      <c r="T362" s="48"/>
      <c r="U362" s="55" t="str">
        <f aca="false">IF($G362="","",IFERROR(IF(ISNUMBER($G362),IF($G362&gt;19000000,DATE(INT($G362/10000),MOD(INT($G362/100),100),MOD($G362,100)),INT($G362)),IF(LEN(SUBSTITUTE(SUBSTITUTE(SUBSTITUTE(TRIM($G362),"-",""),".",""),"/",""))=8,DATE(VALUE(LEFT(SUBSTITUTE(SUBSTITUTE(SUBSTITUTE(TRIM($G362),"-",""),".",""),"/",""),4)),VALUE(MID(SUBSTITUTE(SUBSTITUTE(SUBSTITUTE(TRIM($G362),"-",""),".",""),"/",""),5,2)),VALUE(RIGHT(SUBSTITUTE(SUBSTITUTE(SUBSTITUTE(TRIM($G362),"-",""),".",""),"/",""),2))),DATEVALUE($G362))),""))</f>
        <v/>
      </c>
      <c r="V362" s="52" t="str">
        <f aca="false">IF($H362="","",IFERROR(IF(IF(ISNUMBER($H362),$H362,IFERROR(TIMEVALUE($H362),VALUE($H362)))&gt;=100,INT(IF(ISNUMBER($H362),$H362,IFERROR(TIMEVALUE($H362),VALUE($H362)))/100)*60+MOD(IF(ISNUMBER($H362),$H362,IFERROR(TIMEVALUE($H362),VALUE($H362))),100),IF(IF(ISNUMBER($H362),$H362,IFERROR(TIMEVALUE($H362),VALUE($H362)))&gt;=1,ROUND(IF(ISNUMBER($H362),$H362,IFERROR(TIMEVALUE($H362),VALUE($H362)))*60,0),ROUND(MOD(IF(ISNUMBER($H362),$H362,IFERROR(TIMEVALUE($H362),VALUE($H362))),1)*1440,0))),""))</f>
        <v/>
      </c>
      <c r="W362" s="52" t="str">
        <f aca="false">IF($I362="","",IFERROR(IF(IF(ISNUMBER($I362),$I362,IFERROR(TIMEVALUE($I362),VALUE($I362)))&gt;=100,INT(IF(ISNUMBER($I362),$I362,IFERROR(TIMEVALUE($I362),VALUE($I362)))/100)*60+MOD(IF(ISNUMBER($I362),$I362,IFERROR(TIMEVALUE($I362),VALUE($I362))),100),IF(IF(ISNUMBER($I362),$I362,IFERROR(TIMEVALUE($I362),VALUE($I362)))&gt;=1,ROUND(IF(ISNUMBER($I362),$I362,IFERROR(TIMEVALUE($I362),VALUE($I362)))*60,0),ROUND(MOD(IF(ISNUMBER($I362),$I362,IFERROR(TIMEVALUE($I362),VALUE($I362))),1)*1440,0))),""))</f>
        <v/>
      </c>
      <c r="X362" s="55" t="str">
        <f aca="false">IF($P362="","",IFERROR(IF(ISNUMBER($P362),IF($P362&gt;19000000,DATE(INT($P362/10000),MOD(INT($P362/100),100),MOD($P362,100)),INT($P362)),IF(LEN(SUBSTITUTE(SUBSTITUTE(SUBSTITUTE(TRIM($P362),"-",""),".",""),"/",""))=8,DATE(VALUE(LEFT(SUBSTITUTE(SUBSTITUTE(SUBSTITUTE(TRIM($P362),"-",""),".",""),"/",""),4)),VALUE(MID(SUBSTITUTE(SUBSTITUTE(SUBSTITUTE(TRIM($P362),"-",""),".",""),"/",""),5,2)),VALUE(RIGHT(SUBSTITUTE(SUBSTITUTE(SUBSTITUTE(TRIM($P362),"-",""),".",""),"/",""),2))),DATEVALUE($P362))),""))</f>
        <v/>
      </c>
      <c r="Y362" s="56" t="str">
        <f aca="false">IF($M362="","",IFERROR(INDEX(강사DB!$D$4:$D$53,MATCH($M362,강사DB!$A$4:$A$53,0)),""))</f>
        <v/>
      </c>
      <c r="Z362" s="56" t="str">
        <f aca="false">IF($B362&lt;&gt;"결제완료","",IF(OR($Y362="",$J362=""),"",$Y362*$J362+MAX(0,N($K362)-1)*설정!$J$7))</f>
        <v/>
      </c>
      <c r="AA362" s="56" t="str">
        <f aca="false">IF(AND($D362&lt;&gt;"",$B362="결제완료"),N($N362),"")</f>
        <v/>
      </c>
      <c r="AB362" s="45" t="str">
        <f aca="false">IF($D362="","",IF($F362&lt;&gt;"",$F362,$D362)&amp;IF($B362="상담중"," (상담)",""))</f>
        <v/>
      </c>
      <c r="AC362" s="45" t="n">
        <f aca="false">IF(AND($D362&lt;&gt;"",OR($B362="결제완료",$B362="상담중")),1,0)</f>
        <v>0</v>
      </c>
      <c r="AD362" s="45" t="n">
        <f aca="false">IF(OR($Z362="",$U362=""),0,IFERROR(IF(COUNTIFS(INDEX(g_grid,0,2*MATCH($M362,강사DB!$A$4:$A$15,0)),"&lt;&gt;",g_s,"&lt;="&amp;$U362,g_e,"&gt;="&amp;$U362)&gt;0,1,0),0))</f>
        <v>0</v>
      </c>
      <c r="AE362" s="48"/>
      <c r="AF362" s="56" t="str">
        <f aca="false">IF(AND($D362&lt;&gt;"",$B362="결제완료",$T362="대여"),설정!$J$5,"")</f>
        <v/>
      </c>
      <c r="AG362" s="54" t="str">
        <f aca="false">IF($D362="","",IF(AND($E362="",$R362=""),$AB362,"☎ "&amp;IF($E362="","-",$E362)&amp;IF($R362&lt;&gt;"","  ※ "&amp;$R362,"")&amp;IF($B362="상담중"," (상담)","")))</f>
        <v/>
      </c>
      <c r="AH362" s="56" t="str">
        <f aca="false">IF(AND($D362&lt;&gt;"",$B362="결제완료",$O362="스마트스토어"),ROUND(N($N362)*설정!$J$6,0),"")</f>
        <v/>
      </c>
      <c r="AI362" s="54" t="str">
        <f aca="false">IF($D362="","",ROW())</f>
        <v/>
      </c>
      <c r="AJ362" s="54" t="n">
        <f aca="false">IF(OR($AC362&lt;&gt;1,$M362=""),0,IF(ISNUMBER(SEARCH("퇴사",IFERROR(INDEX(강사DB!$G$4:$G$53,MATCH($M362,강사DB!$A$4:$A$53,0)),""))),1,0))</f>
        <v>0</v>
      </c>
    </row>
    <row r="363" customFormat="false" ht="15" hidden="false" customHeight="false" outlineLevel="0" collapsed="false">
      <c r="A363" s="45" t="str">
        <f aca="false">IF($D363="","",COUNTA($D$5:$D363))</f>
        <v/>
      </c>
      <c r="B363" s="46"/>
      <c r="C363" s="47"/>
      <c r="D363" s="48"/>
      <c r="E363" s="48"/>
      <c r="F363" s="49"/>
      <c r="G363" s="47"/>
      <c r="H363" s="50"/>
      <c r="I363" s="50"/>
      <c r="J363" s="51" t="str">
        <f aca="false">IF(OR($V363="",$W363=""),"",ROUND(($W363-$V363)/60,2))</f>
        <v/>
      </c>
      <c r="K363" s="52" t="str">
        <f aca="false">IF($F363="","",LEN($F363)-LEN(SUBSTITUTE($F363,",",""))+1)</f>
        <v/>
      </c>
      <c r="L363" s="45" t="str">
        <f aca="false">IF($K363="","","1:"&amp;$K363)</f>
        <v/>
      </c>
      <c r="M363" s="46"/>
      <c r="N363" s="53"/>
      <c r="O363" s="46"/>
      <c r="P363" s="47"/>
      <c r="Q363" s="48"/>
      <c r="R363" s="49"/>
      <c r="S363" s="54" t="str">
        <f aca="false">IF(OR($AC363=0,$U363="",$M363="",$V363="",$W363=""),"",IF(COUNTIFS(m_teacher,$M363,m_date,$U363,m_active,1,m_start,"&lt;"&amp;$W363,m_end,"&gt;"&amp;$V363)&gt;1,"충돌",""))</f>
        <v/>
      </c>
      <c r="T363" s="48"/>
      <c r="U363" s="55" t="str">
        <f aca="false">IF($G363="","",IFERROR(IF(ISNUMBER($G363),IF($G363&gt;19000000,DATE(INT($G363/10000),MOD(INT($G363/100),100),MOD($G363,100)),INT($G363)),IF(LEN(SUBSTITUTE(SUBSTITUTE(SUBSTITUTE(TRIM($G363),"-",""),".",""),"/",""))=8,DATE(VALUE(LEFT(SUBSTITUTE(SUBSTITUTE(SUBSTITUTE(TRIM($G363),"-",""),".",""),"/",""),4)),VALUE(MID(SUBSTITUTE(SUBSTITUTE(SUBSTITUTE(TRIM($G363),"-",""),".",""),"/",""),5,2)),VALUE(RIGHT(SUBSTITUTE(SUBSTITUTE(SUBSTITUTE(TRIM($G363),"-",""),".",""),"/",""),2))),DATEVALUE($G363))),""))</f>
        <v/>
      </c>
      <c r="V363" s="52" t="str">
        <f aca="false">IF($H363="","",IFERROR(IF(IF(ISNUMBER($H363),$H363,IFERROR(TIMEVALUE($H363),VALUE($H363)))&gt;=100,INT(IF(ISNUMBER($H363),$H363,IFERROR(TIMEVALUE($H363),VALUE($H363)))/100)*60+MOD(IF(ISNUMBER($H363),$H363,IFERROR(TIMEVALUE($H363),VALUE($H363))),100),IF(IF(ISNUMBER($H363),$H363,IFERROR(TIMEVALUE($H363),VALUE($H363)))&gt;=1,ROUND(IF(ISNUMBER($H363),$H363,IFERROR(TIMEVALUE($H363),VALUE($H363)))*60,0),ROUND(MOD(IF(ISNUMBER($H363),$H363,IFERROR(TIMEVALUE($H363),VALUE($H363))),1)*1440,0))),""))</f>
        <v/>
      </c>
      <c r="W363" s="52" t="str">
        <f aca="false">IF($I363="","",IFERROR(IF(IF(ISNUMBER($I363),$I363,IFERROR(TIMEVALUE($I363),VALUE($I363)))&gt;=100,INT(IF(ISNUMBER($I363),$I363,IFERROR(TIMEVALUE($I363),VALUE($I363)))/100)*60+MOD(IF(ISNUMBER($I363),$I363,IFERROR(TIMEVALUE($I363),VALUE($I363))),100),IF(IF(ISNUMBER($I363),$I363,IFERROR(TIMEVALUE($I363),VALUE($I363)))&gt;=1,ROUND(IF(ISNUMBER($I363),$I363,IFERROR(TIMEVALUE($I363),VALUE($I363)))*60,0),ROUND(MOD(IF(ISNUMBER($I363),$I363,IFERROR(TIMEVALUE($I363),VALUE($I363))),1)*1440,0))),""))</f>
        <v/>
      </c>
      <c r="X363" s="55" t="str">
        <f aca="false">IF($P363="","",IFERROR(IF(ISNUMBER($P363),IF($P363&gt;19000000,DATE(INT($P363/10000),MOD(INT($P363/100),100),MOD($P363,100)),INT($P363)),IF(LEN(SUBSTITUTE(SUBSTITUTE(SUBSTITUTE(TRIM($P363),"-",""),".",""),"/",""))=8,DATE(VALUE(LEFT(SUBSTITUTE(SUBSTITUTE(SUBSTITUTE(TRIM($P363),"-",""),".",""),"/",""),4)),VALUE(MID(SUBSTITUTE(SUBSTITUTE(SUBSTITUTE(TRIM($P363),"-",""),".",""),"/",""),5,2)),VALUE(RIGHT(SUBSTITUTE(SUBSTITUTE(SUBSTITUTE(TRIM($P363),"-",""),".",""),"/",""),2))),DATEVALUE($P363))),""))</f>
        <v/>
      </c>
      <c r="Y363" s="56" t="str">
        <f aca="false">IF($M363="","",IFERROR(INDEX(강사DB!$D$4:$D$53,MATCH($M363,강사DB!$A$4:$A$53,0)),""))</f>
        <v/>
      </c>
      <c r="Z363" s="56" t="str">
        <f aca="false">IF($B363&lt;&gt;"결제완료","",IF(OR($Y363="",$J363=""),"",$Y363*$J363+MAX(0,N($K363)-1)*설정!$J$7))</f>
        <v/>
      </c>
      <c r="AA363" s="56" t="str">
        <f aca="false">IF(AND($D363&lt;&gt;"",$B363="결제완료"),N($N363),"")</f>
        <v/>
      </c>
      <c r="AB363" s="45" t="str">
        <f aca="false">IF($D363="","",IF($F363&lt;&gt;"",$F363,$D363)&amp;IF($B363="상담중"," (상담)",""))</f>
        <v/>
      </c>
      <c r="AC363" s="45" t="n">
        <f aca="false">IF(AND($D363&lt;&gt;"",OR($B363="결제완료",$B363="상담중")),1,0)</f>
        <v>0</v>
      </c>
      <c r="AD363" s="45" t="n">
        <f aca="false">IF(OR($Z363="",$U363=""),0,IFERROR(IF(COUNTIFS(INDEX(g_grid,0,2*MATCH($M363,강사DB!$A$4:$A$15,0)),"&lt;&gt;",g_s,"&lt;="&amp;$U363,g_e,"&gt;="&amp;$U363)&gt;0,1,0),0))</f>
        <v>0</v>
      </c>
      <c r="AE363" s="48"/>
      <c r="AF363" s="56" t="str">
        <f aca="false">IF(AND($D363&lt;&gt;"",$B363="결제완료",$T363="대여"),설정!$J$5,"")</f>
        <v/>
      </c>
      <c r="AG363" s="54" t="str">
        <f aca="false">IF($D363="","",IF(AND($E363="",$R363=""),$AB363,"☎ "&amp;IF($E363="","-",$E363)&amp;IF($R363&lt;&gt;"","  ※ "&amp;$R363,"")&amp;IF($B363="상담중"," (상담)","")))</f>
        <v/>
      </c>
      <c r="AH363" s="56" t="str">
        <f aca="false">IF(AND($D363&lt;&gt;"",$B363="결제완료",$O363="스마트스토어"),ROUND(N($N363)*설정!$J$6,0),"")</f>
        <v/>
      </c>
      <c r="AI363" s="54" t="str">
        <f aca="false">IF($D363="","",ROW())</f>
        <v/>
      </c>
      <c r="AJ363" s="54" t="n">
        <f aca="false">IF(OR($AC363&lt;&gt;1,$M363=""),0,IF(ISNUMBER(SEARCH("퇴사",IFERROR(INDEX(강사DB!$G$4:$G$53,MATCH($M363,강사DB!$A$4:$A$53,0)),""))),1,0))</f>
        <v>0</v>
      </c>
    </row>
    <row r="364" customFormat="false" ht="15" hidden="false" customHeight="false" outlineLevel="0" collapsed="false">
      <c r="A364" s="45" t="str">
        <f aca="false">IF($D364="","",COUNTA($D$5:$D364))</f>
        <v/>
      </c>
      <c r="B364" s="46"/>
      <c r="C364" s="47"/>
      <c r="D364" s="48"/>
      <c r="E364" s="48"/>
      <c r="F364" s="49"/>
      <c r="G364" s="47"/>
      <c r="H364" s="50"/>
      <c r="I364" s="50"/>
      <c r="J364" s="51" t="str">
        <f aca="false">IF(OR($V364="",$W364=""),"",ROUND(($W364-$V364)/60,2))</f>
        <v/>
      </c>
      <c r="K364" s="52" t="str">
        <f aca="false">IF($F364="","",LEN($F364)-LEN(SUBSTITUTE($F364,",",""))+1)</f>
        <v/>
      </c>
      <c r="L364" s="45" t="str">
        <f aca="false">IF($K364="","","1:"&amp;$K364)</f>
        <v/>
      </c>
      <c r="M364" s="46"/>
      <c r="N364" s="53"/>
      <c r="O364" s="46"/>
      <c r="P364" s="47"/>
      <c r="Q364" s="48"/>
      <c r="R364" s="49"/>
      <c r="S364" s="54" t="str">
        <f aca="false">IF(OR($AC364=0,$U364="",$M364="",$V364="",$W364=""),"",IF(COUNTIFS(m_teacher,$M364,m_date,$U364,m_active,1,m_start,"&lt;"&amp;$W364,m_end,"&gt;"&amp;$V364)&gt;1,"충돌",""))</f>
        <v/>
      </c>
      <c r="T364" s="48"/>
      <c r="U364" s="55" t="str">
        <f aca="false">IF($G364="","",IFERROR(IF(ISNUMBER($G364),IF($G364&gt;19000000,DATE(INT($G364/10000),MOD(INT($G364/100),100),MOD($G364,100)),INT($G364)),IF(LEN(SUBSTITUTE(SUBSTITUTE(SUBSTITUTE(TRIM($G364),"-",""),".",""),"/",""))=8,DATE(VALUE(LEFT(SUBSTITUTE(SUBSTITUTE(SUBSTITUTE(TRIM($G364),"-",""),".",""),"/",""),4)),VALUE(MID(SUBSTITUTE(SUBSTITUTE(SUBSTITUTE(TRIM($G364),"-",""),".",""),"/",""),5,2)),VALUE(RIGHT(SUBSTITUTE(SUBSTITUTE(SUBSTITUTE(TRIM($G364),"-",""),".",""),"/",""),2))),DATEVALUE($G364))),""))</f>
        <v/>
      </c>
      <c r="V364" s="52" t="str">
        <f aca="false">IF($H364="","",IFERROR(IF(IF(ISNUMBER($H364),$H364,IFERROR(TIMEVALUE($H364),VALUE($H364)))&gt;=100,INT(IF(ISNUMBER($H364),$H364,IFERROR(TIMEVALUE($H364),VALUE($H364)))/100)*60+MOD(IF(ISNUMBER($H364),$H364,IFERROR(TIMEVALUE($H364),VALUE($H364))),100),IF(IF(ISNUMBER($H364),$H364,IFERROR(TIMEVALUE($H364),VALUE($H364)))&gt;=1,ROUND(IF(ISNUMBER($H364),$H364,IFERROR(TIMEVALUE($H364),VALUE($H364)))*60,0),ROUND(MOD(IF(ISNUMBER($H364),$H364,IFERROR(TIMEVALUE($H364),VALUE($H364))),1)*1440,0))),""))</f>
        <v/>
      </c>
      <c r="W364" s="52" t="str">
        <f aca="false">IF($I364="","",IFERROR(IF(IF(ISNUMBER($I364),$I364,IFERROR(TIMEVALUE($I364),VALUE($I364)))&gt;=100,INT(IF(ISNUMBER($I364),$I364,IFERROR(TIMEVALUE($I364),VALUE($I364)))/100)*60+MOD(IF(ISNUMBER($I364),$I364,IFERROR(TIMEVALUE($I364),VALUE($I364))),100),IF(IF(ISNUMBER($I364),$I364,IFERROR(TIMEVALUE($I364),VALUE($I364)))&gt;=1,ROUND(IF(ISNUMBER($I364),$I364,IFERROR(TIMEVALUE($I364),VALUE($I364)))*60,0),ROUND(MOD(IF(ISNUMBER($I364),$I364,IFERROR(TIMEVALUE($I364),VALUE($I364))),1)*1440,0))),""))</f>
        <v/>
      </c>
      <c r="X364" s="55" t="str">
        <f aca="false">IF($P364="","",IFERROR(IF(ISNUMBER($P364),IF($P364&gt;19000000,DATE(INT($P364/10000),MOD(INT($P364/100),100),MOD($P364,100)),INT($P364)),IF(LEN(SUBSTITUTE(SUBSTITUTE(SUBSTITUTE(TRIM($P364),"-",""),".",""),"/",""))=8,DATE(VALUE(LEFT(SUBSTITUTE(SUBSTITUTE(SUBSTITUTE(TRIM($P364),"-",""),".",""),"/",""),4)),VALUE(MID(SUBSTITUTE(SUBSTITUTE(SUBSTITUTE(TRIM($P364),"-",""),".",""),"/",""),5,2)),VALUE(RIGHT(SUBSTITUTE(SUBSTITUTE(SUBSTITUTE(TRIM($P364),"-",""),".",""),"/",""),2))),DATEVALUE($P364))),""))</f>
        <v/>
      </c>
      <c r="Y364" s="56" t="str">
        <f aca="false">IF($M364="","",IFERROR(INDEX(강사DB!$D$4:$D$53,MATCH($M364,강사DB!$A$4:$A$53,0)),""))</f>
        <v/>
      </c>
      <c r="Z364" s="56" t="str">
        <f aca="false">IF($B364&lt;&gt;"결제완료","",IF(OR($Y364="",$J364=""),"",$Y364*$J364+MAX(0,N($K364)-1)*설정!$J$7))</f>
        <v/>
      </c>
      <c r="AA364" s="56" t="str">
        <f aca="false">IF(AND($D364&lt;&gt;"",$B364="결제완료"),N($N364),"")</f>
        <v/>
      </c>
      <c r="AB364" s="45" t="str">
        <f aca="false">IF($D364="","",IF($F364&lt;&gt;"",$F364,$D364)&amp;IF($B364="상담중"," (상담)",""))</f>
        <v/>
      </c>
      <c r="AC364" s="45" t="n">
        <f aca="false">IF(AND($D364&lt;&gt;"",OR($B364="결제완료",$B364="상담중")),1,0)</f>
        <v>0</v>
      </c>
      <c r="AD364" s="45" t="n">
        <f aca="false">IF(OR($Z364="",$U364=""),0,IFERROR(IF(COUNTIFS(INDEX(g_grid,0,2*MATCH($M364,강사DB!$A$4:$A$15,0)),"&lt;&gt;",g_s,"&lt;="&amp;$U364,g_e,"&gt;="&amp;$U364)&gt;0,1,0),0))</f>
        <v>0</v>
      </c>
      <c r="AE364" s="48"/>
      <c r="AF364" s="56" t="str">
        <f aca="false">IF(AND($D364&lt;&gt;"",$B364="결제완료",$T364="대여"),설정!$J$5,"")</f>
        <v/>
      </c>
      <c r="AG364" s="54" t="str">
        <f aca="false">IF($D364="","",IF(AND($E364="",$R364=""),$AB364,"☎ "&amp;IF($E364="","-",$E364)&amp;IF($R364&lt;&gt;"","  ※ "&amp;$R364,"")&amp;IF($B364="상담중"," (상담)","")))</f>
        <v/>
      </c>
      <c r="AH364" s="56" t="str">
        <f aca="false">IF(AND($D364&lt;&gt;"",$B364="결제완료",$O364="스마트스토어"),ROUND(N($N364)*설정!$J$6,0),"")</f>
        <v/>
      </c>
      <c r="AI364" s="54" t="str">
        <f aca="false">IF($D364="","",ROW())</f>
        <v/>
      </c>
      <c r="AJ364" s="54" t="n">
        <f aca="false">IF(OR($AC364&lt;&gt;1,$M364=""),0,IF(ISNUMBER(SEARCH("퇴사",IFERROR(INDEX(강사DB!$G$4:$G$53,MATCH($M364,강사DB!$A$4:$A$53,0)),""))),1,0))</f>
        <v>0</v>
      </c>
    </row>
    <row r="365" customFormat="false" ht="15" hidden="false" customHeight="false" outlineLevel="0" collapsed="false">
      <c r="A365" s="45" t="str">
        <f aca="false">IF($D365="","",COUNTA($D$5:$D365))</f>
        <v/>
      </c>
      <c r="B365" s="46"/>
      <c r="C365" s="47"/>
      <c r="D365" s="48"/>
      <c r="E365" s="48"/>
      <c r="F365" s="49"/>
      <c r="G365" s="47"/>
      <c r="H365" s="50"/>
      <c r="I365" s="50"/>
      <c r="J365" s="51" t="str">
        <f aca="false">IF(OR($V365="",$W365=""),"",ROUND(($W365-$V365)/60,2))</f>
        <v/>
      </c>
      <c r="K365" s="52" t="str">
        <f aca="false">IF($F365="","",LEN($F365)-LEN(SUBSTITUTE($F365,",",""))+1)</f>
        <v/>
      </c>
      <c r="L365" s="45" t="str">
        <f aca="false">IF($K365="","","1:"&amp;$K365)</f>
        <v/>
      </c>
      <c r="M365" s="46"/>
      <c r="N365" s="53"/>
      <c r="O365" s="46"/>
      <c r="P365" s="47"/>
      <c r="Q365" s="48"/>
      <c r="R365" s="49"/>
      <c r="S365" s="54" t="str">
        <f aca="false">IF(OR($AC365=0,$U365="",$M365="",$V365="",$W365=""),"",IF(COUNTIFS(m_teacher,$M365,m_date,$U365,m_active,1,m_start,"&lt;"&amp;$W365,m_end,"&gt;"&amp;$V365)&gt;1,"충돌",""))</f>
        <v/>
      </c>
      <c r="T365" s="48"/>
      <c r="U365" s="55" t="str">
        <f aca="false">IF($G365="","",IFERROR(IF(ISNUMBER($G365),IF($G365&gt;19000000,DATE(INT($G365/10000),MOD(INT($G365/100),100),MOD($G365,100)),INT($G365)),IF(LEN(SUBSTITUTE(SUBSTITUTE(SUBSTITUTE(TRIM($G365),"-",""),".",""),"/",""))=8,DATE(VALUE(LEFT(SUBSTITUTE(SUBSTITUTE(SUBSTITUTE(TRIM($G365),"-",""),".",""),"/",""),4)),VALUE(MID(SUBSTITUTE(SUBSTITUTE(SUBSTITUTE(TRIM($G365),"-",""),".",""),"/",""),5,2)),VALUE(RIGHT(SUBSTITUTE(SUBSTITUTE(SUBSTITUTE(TRIM($G365),"-",""),".",""),"/",""),2))),DATEVALUE($G365))),""))</f>
        <v/>
      </c>
      <c r="V365" s="52" t="str">
        <f aca="false">IF($H365="","",IFERROR(IF(IF(ISNUMBER($H365),$H365,IFERROR(TIMEVALUE($H365),VALUE($H365)))&gt;=100,INT(IF(ISNUMBER($H365),$H365,IFERROR(TIMEVALUE($H365),VALUE($H365)))/100)*60+MOD(IF(ISNUMBER($H365),$H365,IFERROR(TIMEVALUE($H365),VALUE($H365))),100),IF(IF(ISNUMBER($H365),$H365,IFERROR(TIMEVALUE($H365),VALUE($H365)))&gt;=1,ROUND(IF(ISNUMBER($H365),$H365,IFERROR(TIMEVALUE($H365),VALUE($H365)))*60,0),ROUND(MOD(IF(ISNUMBER($H365),$H365,IFERROR(TIMEVALUE($H365),VALUE($H365))),1)*1440,0))),""))</f>
        <v/>
      </c>
      <c r="W365" s="52" t="str">
        <f aca="false">IF($I365="","",IFERROR(IF(IF(ISNUMBER($I365),$I365,IFERROR(TIMEVALUE($I365),VALUE($I365)))&gt;=100,INT(IF(ISNUMBER($I365),$I365,IFERROR(TIMEVALUE($I365),VALUE($I365)))/100)*60+MOD(IF(ISNUMBER($I365),$I365,IFERROR(TIMEVALUE($I365),VALUE($I365))),100),IF(IF(ISNUMBER($I365),$I365,IFERROR(TIMEVALUE($I365),VALUE($I365)))&gt;=1,ROUND(IF(ISNUMBER($I365),$I365,IFERROR(TIMEVALUE($I365),VALUE($I365)))*60,0),ROUND(MOD(IF(ISNUMBER($I365),$I365,IFERROR(TIMEVALUE($I365),VALUE($I365))),1)*1440,0))),""))</f>
        <v/>
      </c>
      <c r="X365" s="55" t="str">
        <f aca="false">IF($P365="","",IFERROR(IF(ISNUMBER($P365),IF($P365&gt;19000000,DATE(INT($P365/10000),MOD(INT($P365/100),100),MOD($P365,100)),INT($P365)),IF(LEN(SUBSTITUTE(SUBSTITUTE(SUBSTITUTE(TRIM($P365),"-",""),".",""),"/",""))=8,DATE(VALUE(LEFT(SUBSTITUTE(SUBSTITUTE(SUBSTITUTE(TRIM($P365),"-",""),".",""),"/",""),4)),VALUE(MID(SUBSTITUTE(SUBSTITUTE(SUBSTITUTE(TRIM($P365),"-",""),".",""),"/",""),5,2)),VALUE(RIGHT(SUBSTITUTE(SUBSTITUTE(SUBSTITUTE(TRIM($P365),"-",""),".",""),"/",""),2))),DATEVALUE($P365))),""))</f>
        <v/>
      </c>
      <c r="Y365" s="56" t="str">
        <f aca="false">IF($M365="","",IFERROR(INDEX(강사DB!$D$4:$D$53,MATCH($M365,강사DB!$A$4:$A$53,0)),""))</f>
        <v/>
      </c>
      <c r="Z365" s="56" t="str">
        <f aca="false">IF($B365&lt;&gt;"결제완료","",IF(OR($Y365="",$J365=""),"",$Y365*$J365+MAX(0,N($K365)-1)*설정!$J$7))</f>
        <v/>
      </c>
      <c r="AA365" s="56" t="str">
        <f aca="false">IF(AND($D365&lt;&gt;"",$B365="결제완료"),N($N365),"")</f>
        <v/>
      </c>
      <c r="AB365" s="45" t="str">
        <f aca="false">IF($D365="","",IF($F365&lt;&gt;"",$F365,$D365)&amp;IF($B365="상담중"," (상담)",""))</f>
        <v/>
      </c>
      <c r="AC365" s="45" t="n">
        <f aca="false">IF(AND($D365&lt;&gt;"",OR($B365="결제완료",$B365="상담중")),1,0)</f>
        <v>0</v>
      </c>
      <c r="AD365" s="45" t="n">
        <f aca="false">IF(OR($Z365="",$U365=""),0,IFERROR(IF(COUNTIFS(INDEX(g_grid,0,2*MATCH($M365,강사DB!$A$4:$A$15,0)),"&lt;&gt;",g_s,"&lt;="&amp;$U365,g_e,"&gt;="&amp;$U365)&gt;0,1,0),0))</f>
        <v>0</v>
      </c>
      <c r="AE365" s="48"/>
      <c r="AF365" s="56" t="str">
        <f aca="false">IF(AND($D365&lt;&gt;"",$B365="결제완료",$T365="대여"),설정!$J$5,"")</f>
        <v/>
      </c>
      <c r="AG365" s="54" t="str">
        <f aca="false">IF($D365="","",IF(AND($E365="",$R365=""),$AB365,"☎ "&amp;IF($E365="","-",$E365)&amp;IF($R365&lt;&gt;"","  ※ "&amp;$R365,"")&amp;IF($B365="상담중"," (상담)","")))</f>
        <v/>
      </c>
      <c r="AH365" s="56" t="str">
        <f aca="false">IF(AND($D365&lt;&gt;"",$B365="결제완료",$O365="스마트스토어"),ROUND(N($N365)*설정!$J$6,0),"")</f>
        <v/>
      </c>
      <c r="AI365" s="54" t="str">
        <f aca="false">IF($D365="","",ROW())</f>
        <v/>
      </c>
      <c r="AJ365" s="54" t="n">
        <f aca="false">IF(OR($AC365&lt;&gt;1,$M365=""),0,IF(ISNUMBER(SEARCH("퇴사",IFERROR(INDEX(강사DB!$G$4:$G$53,MATCH($M365,강사DB!$A$4:$A$53,0)),""))),1,0))</f>
        <v>0</v>
      </c>
    </row>
    <row r="366" customFormat="false" ht="15" hidden="false" customHeight="false" outlineLevel="0" collapsed="false">
      <c r="A366" s="45" t="str">
        <f aca="false">IF($D366="","",COUNTA($D$5:$D366))</f>
        <v/>
      </c>
      <c r="B366" s="46"/>
      <c r="C366" s="47"/>
      <c r="D366" s="48"/>
      <c r="E366" s="48"/>
      <c r="F366" s="49"/>
      <c r="G366" s="47"/>
      <c r="H366" s="50"/>
      <c r="I366" s="50"/>
      <c r="J366" s="51" t="str">
        <f aca="false">IF(OR($V366="",$W366=""),"",ROUND(($W366-$V366)/60,2))</f>
        <v/>
      </c>
      <c r="K366" s="52" t="str">
        <f aca="false">IF($F366="","",LEN($F366)-LEN(SUBSTITUTE($F366,",",""))+1)</f>
        <v/>
      </c>
      <c r="L366" s="45" t="str">
        <f aca="false">IF($K366="","","1:"&amp;$K366)</f>
        <v/>
      </c>
      <c r="M366" s="46"/>
      <c r="N366" s="53"/>
      <c r="O366" s="46"/>
      <c r="P366" s="47"/>
      <c r="Q366" s="48"/>
      <c r="R366" s="49"/>
      <c r="S366" s="54" t="str">
        <f aca="false">IF(OR($AC366=0,$U366="",$M366="",$V366="",$W366=""),"",IF(COUNTIFS(m_teacher,$M366,m_date,$U366,m_active,1,m_start,"&lt;"&amp;$W366,m_end,"&gt;"&amp;$V366)&gt;1,"충돌",""))</f>
        <v/>
      </c>
      <c r="T366" s="48"/>
      <c r="U366" s="55" t="str">
        <f aca="false">IF($G366="","",IFERROR(IF(ISNUMBER($G366),IF($G366&gt;19000000,DATE(INT($G366/10000),MOD(INT($G366/100),100),MOD($G366,100)),INT($G366)),IF(LEN(SUBSTITUTE(SUBSTITUTE(SUBSTITUTE(TRIM($G366),"-",""),".",""),"/",""))=8,DATE(VALUE(LEFT(SUBSTITUTE(SUBSTITUTE(SUBSTITUTE(TRIM($G366),"-",""),".",""),"/",""),4)),VALUE(MID(SUBSTITUTE(SUBSTITUTE(SUBSTITUTE(TRIM($G366),"-",""),".",""),"/",""),5,2)),VALUE(RIGHT(SUBSTITUTE(SUBSTITUTE(SUBSTITUTE(TRIM($G366),"-",""),".",""),"/",""),2))),DATEVALUE($G366))),""))</f>
        <v/>
      </c>
      <c r="V366" s="52" t="str">
        <f aca="false">IF($H366="","",IFERROR(IF(IF(ISNUMBER($H366),$H366,IFERROR(TIMEVALUE($H366),VALUE($H366)))&gt;=100,INT(IF(ISNUMBER($H366),$H366,IFERROR(TIMEVALUE($H366),VALUE($H366)))/100)*60+MOD(IF(ISNUMBER($H366),$H366,IFERROR(TIMEVALUE($H366),VALUE($H366))),100),IF(IF(ISNUMBER($H366),$H366,IFERROR(TIMEVALUE($H366),VALUE($H366)))&gt;=1,ROUND(IF(ISNUMBER($H366),$H366,IFERROR(TIMEVALUE($H366),VALUE($H366)))*60,0),ROUND(MOD(IF(ISNUMBER($H366),$H366,IFERROR(TIMEVALUE($H366),VALUE($H366))),1)*1440,0))),""))</f>
        <v/>
      </c>
      <c r="W366" s="52" t="str">
        <f aca="false">IF($I366="","",IFERROR(IF(IF(ISNUMBER($I366),$I366,IFERROR(TIMEVALUE($I366),VALUE($I366)))&gt;=100,INT(IF(ISNUMBER($I366),$I366,IFERROR(TIMEVALUE($I366),VALUE($I366)))/100)*60+MOD(IF(ISNUMBER($I366),$I366,IFERROR(TIMEVALUE($I366),VALUE($I366))),100),IF(IF(ISNUMBER($I366),$I366,IFERROR(TIMEVALUE($I366),VALUE($I366)))&gt;=1,ROUND(IF(ISNUMBER($I366),$I366,IFERROR(TIMEVALUE($I366),VALUE($I366)))*60,0),ROUND(MOD(IF(ISNUMBER($I366),$I366,IFERROR(TIMEVALUE($I366),VALUE($I366))),1)*1440,0))),""))</f>
        <v/>
      </c>
      <c r="X366" s="55" t="str">
        <f aca="false">IF($P366="","",IFERROR(IF(ISNUMBER($P366),IF($P366&gt;19000000,DATE(INT($P366/10000),MOD(INT($P366/100),100),MOD($P366,100)),INT($P366)),IF(LEN(SUBSTITUTE(SUBSTITUTE(SUBSTITUTE(TRIM($P366),"-",""),".",""),"/",""))=8,DATE(VALUE(LEFT(SUBSTITUTE(SUBSTITUTE(SUBSTITUTE(TRIM($P366),"-",""),".",""),"/",""),4)),VALUE(MID(SUBSTITUTE(SUBSTITUTE(SUBSTITUTE(TRIM($P366),"-",""),".",""),"/",""),5,2)),VALUE(RIGHT(SUBSTITUTE(SUBSTITUTE(SUBSTITUTE(TRIM($P366),"-",""),".",""),"/",""),2))),DATEVALUE($P366))),""))</f>
        <v/>
      </c>
      <c r="Y366" s="56" t="str">
        <f aca="false">IF($M366="","",IFERROR(INDEX(강사DB!$D$4:$D$53,MATCH($M366,강사DB!$A$4:$A$53,0)),""))</f>
        <v/>
      </c>
      <c r="Z366" s="56" t="str">
        <f aca="false">IF($B366&lt;&gt;"결제완료","",IF(OR($Y366="",$J366=""),"",$Y366*$J366+MAX(0,N($K366)-1)*설정!$J$7))</f>
        <v/>
      </c>
      <c r="AA366" s="56" t="str">
        <f aca="false">IF(AND($D366&lt;&gt;"",$B366="결제완료"),N($N366),"")</f>
        <v/>
      </c>
      <c r="AB366" s="45" t="str">
        <f aca="false">IF($D366="","",IF($F366&lt;&gt;"",$F366,$D366)&amp;IF($B366="상담중"," (상담)",""))</f>
        <v/>
      </c>
      <c r="AC366" s="45" t="n">
        <f aca="false">IF(AND($D366&lt;&gt;"",OR($B366="결제완료",$B366="상담중")),1,0)</f>
        <v>0</v>
      </c>
      <c r="AD366" s="45" t="n">
        <f aca="false">IF(OR($Z366="",$U366=""),0,IFERROR(IF(COUNTIFS(INDEX(g_grid,0,2*MATCH($M366,강사DB!$A$4:$A$15,0)),"&lt;&gt;",g_s,"&lt;="&amp;$U366,g_e,"&gt;="&amp;$U366)&gt;0,1,0),0))</f>
        <v>0</v>
      </c>
      <c r="AE366" s="48"/>
      <c r="AF366" s="56" t="str">
        <f aca="false">IF(AND($D366&lt;&gt;"",$B366="결제완료",$T366="대여"),설정!$J$5,"")</f>
        <v/>
      </c>
      <c r="AG366" s="54" t="str">
        <f aca="false">IF($D366="","",IF(AND($E366="",$R366=""),$AB366,"☎ "&amp;IF($E366="","-",$E366)&amp;IF($R366&lt;&gt;"","  ※ "&amp;$R366,"")&amp;IF($B366="상담중"," (상담)","")))</f>
        <v/>
      </c>
      <c r="AH366" s="56" t="str">
        <f aca="false">IF(AND($D366&lt;&gt;"",$B366="결제완료",$O366="스마트스토어"),ROUND(N($N366)*설정!$J$6,0),"")</f>
        <v/>
      </c>
      <c r="AI366" s="54" t="str">
        <f aca="false">IF($D366="","",ROW())</f>
        <v/>
      </c>
      <c r="AJ366" s="54" t="n">
        <f aca="false">IF(OR($AC366&lt;&gt;1,$M366=""),0,IF(ISNUMBER(SEARCH("퇴사",IFERROR(INDEX(강사DB!$G$4:$G$53,MATCH($M366,강사DB!$A$4:$A$53,0)),""))),1,0))</f>
        <v>0</v>
      </c>
    </row>
    <row r="367" customFormat="false" ht="15" hidden="false" customHeight="false" outlineLevel="0" collapsed="false">
      <c r="A367" s="45" t="str">
        <f aca="false">IF($D367="","",COUNTA($D$5:$D367))</f>
        <v/>
      </c>
      <c r="B367" s="46"/>
      <c r="C367" s="47"/>
      <c r="D367" s="48"/>
      <c r="E367" s="48"/>
      <c r="F367" s="49"/>
      <c r="G367" s="47"/>
      <c r="H367" s="50"/>
      <c r="I367" s="50"/>
      <c r="J367" s="51" t="str">
        <f aca="false">IF(OR($V367="",$W367=""),"",ROUND(($W367-$V367)/60,2))</f>
        <v/>
      </c>
      <c r="K367" s="52" t="str">
        <f aca="false">IF($F367="","",LEN($F367)-LEN(SUBSTITUTE($F367,",",""))+1)</f>
        <v/>
      </c>
      <c r="L367" s="45" t="str">
        <f aca="false">IF($K367="","","1:"&amp;$K367)</f>
        <v/>
      </c>
      <c r="M367" s="46"/>
      <c r="N367" s="53"/>
      <c r="O367" s="46"/>
      <c r="P367" s="47"/>
      <c r="Q367" s="48"/>
      <c r="R367" s="49"/>
      <c r="S367" s="54" t="str">
        <f aca="false">IF(OR($AC367=0,$U367="",$M367="",$V367="",$W367=""),"",IF(COUNTIFS(m_teacher,$M367,m_date,$U367,m_active,1,m_start,"&lt;"&amp;$W367,m_end,"&gt;"&amp;$V367)&gt;1,"충돌",""))</f>
        <v/>
      </c>
      <c r="T367" s="48"/>
      <c r="U367" s="55" t="str">
        <f aca="false">IF($G367="","",IFERROR(IF(ISNUMBER($G367),IF($G367&gt;19000000,DATE(INT($G367/10000),MOD(INT($G367/100),100),MOD($G367,100)),INT($G367)),IF(LEN(SUBSTITUTE(SUBSTITUTE(SUBSTITUTE(TRIM($G367),"-",""),".",""),"/",""))=8,DATE(VALUE(LEFT(SUBSTITUTE(SUBSTITUTE(SUBSTITUTE(TRIM($G367),"-",""),".",""),"/",""),4)),VALUE(MID(SUBSTITUTE(SUBSTITUTE(SUBSTITUTE(TRIM($G367),"-",""),".",""),"/",""),5,2)),VALUE(RIGHT(SUBSTITUTE(SUBSTITUTE(SUBSTITUTE(TRIM($G367),"-",""),".",""),"/",""),2))),DATEVALUE($G367))),""))</f>
        <v/>
      </c>
      <c r="V367" s="52" t="str">
        <f aca="false">IF($H367="","",IFERROR(IF(IF(ISNUMBER($H367),$H367,IFERROR(TIMEVALUE($H367),VALUE($H367)))&gt;=100,INT(IF(ISNUMBER($H367),$H367,IFERROR(TIMEVALUE($H367),VALUE($H367)))/100)*60+MOD(IF(ISNUMBER($H367),$H367,IFERROR(TIMEVALUE($H367),VALUE($H367))),100),IF(IF(ISNUMBER($H367),$H367,IFERROR(TIMEVALUE($H367),VALUE($H367)))&gt;=1,ROUND(IF(ISNUMBER($H367),$H367,IFERROR(TIMEVALUE($H367),VALUE($H367)))*60,0),ROUND(MOD(IF(ISNUMBER($H367),$H367,IFERROR(TIMEVALUE($H367),VALUE($H367))),1)*1440,0))),""))</f>
        <v/>
      </c>
      <c r="W367" s="52" t="str">
        <f aca="false">IF($I367="","",IFERROR(IF(IF(ISNUMBER($I367),$I367,IFERROR(TIMEVALUE($I367),VALUE($I367)))&gt;=100,INT(IF(ISNUMBER($I367),$I367,IFERROR(TIMEVALUE($I367),VALUE($I367)))/100)*60+MOD(IF(ISNUMBER($I367),$I367,IFERROR(TIMEVALUE($I367),VALUE($I367))),100),IF(IF(ISNUMBER($I367),$I367,IFERROR(TIMEVALUE($I367),VALUE($I367)))&gt;=1,ROUND(IF(ISNUMBER($I367),$I367,IFERROR(TIMEVALUE($I367),VALUE($I367)))*60,0),ROUND(MOD(IF(ISNUMBER($I367),$I367,IFERROR(TIMEVALUE($I367),VALUE($I367))),1)*1440,0))),""))</f>
        <v/>
      </c>
      <c r="X367" s="55" t="str">
        <f aca="false">IF($P367="","",IFERROR(IF(ISNUMBER($P367),IF($P367&gt;19000000,DATE(INT($P367/10000),MOD(INT($P367/100),100),MOD($P367,100)),INT($P367)),IF(LEN(SUBSTITUTE(SUBSTITUTE(SUBSTITUTE(TRIM($P367),"-",""),".",""),"/",""))=8,DATE(VALUE(LEFT(SUBSTITUTE(SUBSTITUTE(SUBSTITUTE(TRIM($P367),"-",""),".",""),"/",""),4)),VALUE(MID(SUBSTITUTE(SUBSTITUTE(SUBSTITUTE(TRIM($P367),"-",""),".",""),"/",""),5,2)),VALUE(RIGHT(SUBSTITUTE(SUBSTITUTE(SUBSTITUTE(TRIM($P367),"-",""),".",""),"/",""),2))),DATEVALUE($P367))),""))</f>
        <v/>
      </c>
      <c r="Y367" s="56" t="str">
        <f aca="false">IF($M367="","",IFERROR(INDEX(강사DB!$D$4:$D$53,MATCH($M367,강사DB!$A$4:$A$53,0)),""))</f>
        <v/>
      </c>
      <c r="Z367" s="56" t="str">
        <f aca="false">IF($B367&lt;&gt;"결제완료","",IF(OR($Y367="",$J367=""),"",$Y367*$J367+MAX(0,N($K367)-1)*설정!$J$7))</f>
        <v/>
      </c>
      <c r="AA367" s="56" t="str">
        <f aca="false">IF(AND($D367&lt;&gt;"",$B367="결제완료"),N($N367),"")</f>
        <v/>
      </c>
      <c r="AB367" s="45" t="str">
        <f aca="false">IF($D367="","",IF($F367&lt;&gt;"",$F367,$D367)&amp;IF($B367="상담중"," (상담)",""))</f>
        <v/>
      </c>
      <c r="AC367" s="45" t="n">
        <f aca="false">IF(AND($D367&lt;&gt;"",OR($B367="결제완료",$B367="상담중")),1,0)</f>
        <v>0</v>
      </c>
      <c r="AD367" s="45" t="n">
        <f aca="false">IF(OR($Z367="",$U367=""),0,IFERROR(IF(COUNTIFS(INDEX(g_grid,0,2*MATCH($M367,강사DB!$A$4:$A$15,0)),"&lt;&gt;",g_s,"&lt;="&amp;$U367,g_e,"&gt;="&amp;$U367)&gt;0,1,0),0))</f>
        <v>0</v>
      </c>
      <c r="AE367" s="48"/>
      <c r="AF367" s="56" t="str">
        <f aca="false">IF(AND($D367&lt;&gt;"",$B367="결제완료",$T367="대여"),설정!$J$5,"")</f>
        <v/>
      </c>
      <c r="AG367" s="54" t="str">
        <f aca="false">IF($D367="","",IF(AND($E367="",$R367=""),$AB367,"☎ "&amp;IF($E367="","-",$E367)&amp;IF($R367&lt;&gt;"","  ※ "&amp;$R367,"")&amp;IF($B367="상담중"," (상담)","")))</f>
        <v/>
      </c>
      <c r="AH367" s="56" t="str">
        <f aca="false">IF(AND($D367&lt;&gt;"",$B367="결제완료",$O367="스마트스토어"),ROUND(N($N367)*설정!$J$6,0),"")</f>
        <v/>
      </c>
      <c r="AI367" s="54" t="str">
        <f aca="false">IF($D367="","",ROW())</f>
        <v/>
      </c>
      <c r="AJ367" s="54" t="n">
        <f aca="false">IF(OR($AC367&lt;&gt;1,$M367=""),0,IF(ISNUMBER(SEARCH("퇴사",IFERROR(INDEX(강사DB!$G$4:$G$53,MATCH($M367,강사DB!$A$4:$A$53,0)),""))),1,0))</f>
        <v>0</v>
      </c>
    </row>
    <row r="368" customFormat="false" ht="15" hidden="false" customHeight="false" outlineLevel="0" collapsed="false">
      <c r="A368" s="45" t="str">
        <f aca="false">IF($D368="","",COUNTA($D$5:$D368))</f>
        <v/>
      </c>
      <c r="B368" s="46"/>
      <c r="C368" s="47"/>
      <c r="D368" s="48"/>
      <c r="E368" s="48"/>
      <c r="F368" s="49"/>
      <c r="G368" s="47"/>
      <c r="H368" s="50"/>
      <c r="I368" s="50"/>
      <c r="J368" s="51" t="str">
        <f aca="false">IF(OR($V368="",$W368=""),"",ROUND(($W368-$V368)/60,2))</f>
        <v/>
      </c>
      <c r="K368" s="52" t="str">
        <f aca="false">IF($F368="","",LEN($F368)-LEN(SUBSTITUTE($F368,",",""))+1)</f>
        <v/>
      </c>
      <c r="L368" s="45" t="str">
        <f aca="false">IF($K368="","","1:"&amp;$K368)</f>
        <v/>
      </c>
      <c r="M368" s="46"/>
      <c r="N368" s="53"/>
      <c r="O368" s="46"/>
      <c r="P368" s="47"/>
      <c r="Q368" s="48"/>
      <c r="R368" s="49"/>
      <c r="S368" s="54" t="str">
        <f aca="false">IF(OR($AC368=0,$U368="",$M368="",$V368="",$W368=""),"",IF(COUNTIFS(m_teacher,$M368,m_date,$U368,m_active,1,m_start,"&lt;"&amp;$W368,m_end,"&gt;"&amp;$V368)&gt;1,"충돌",""))</f>
        <v/>
      </c>
      <c r="T368" s="48"/>
      <c r="U368" s="55" t="str">
        <f aca="false">IF($G368="","",IFERROR(IF(ISNUMBER($G368),IF($G368&gt;19000000,DATE(INT($G368/10000),MOD(INT($G368/100),100),MOD($G368,100)),INT($G368)),IF(LEN(SUBSTITUTE(SUBSTITUTE(SUBSTITUTE(TRIM($G368),"-",""),".",""),"/",""))=8,DATE(VALUE(LEFT(SUBSTITUTE(SUBSTITUTE(SUBSTITUTE(TRIM($G368),"-",""),".",""),"/",""),4)),VALUE(MID(SUBSTITUTE(SUBSTITUTE(SUBSTITUTE(TRIM($G368),"-",""),".",""),"/",""),5,2)),VALUE(RIGHT(SUBSTITUTE(SUBSTITUTE(SUBSTITUTE(TRIM($G368),"-",""),".",""),"/",""),2))),DATEVALUE($G368))),""))</f>
        <v/>
      </c>
      <c r="V368" s="52" t="str">
        <f aca="false">IF($H368="","",IFERROR(IF(IF(ISNUMBER($H368),$H368,IFERROR(TIMEVALUE($H368),VALUE($H368)))&gt;=100,INT(IF(ISNUMBER($H368),$H368,IFERROR(TIMEVALUE($H368),VALUE($H368)))/100)*60+MOD(IF(ISNUMBER($H368),$H368,IFERROR(TIMEVALUE($H368),VALUE($H368))),100),IF(IF(ISNUMBER($H368),$H368,IFERROR(TIMEVALUE($H368),VALUE($H368)))&gt;=1,ROUND(IF(ISNUMBER($H368),$H368,IFERROR(TIMEVALUE($H368),VALUE($H368)))*60,0),ROUND(MOD(IF(ISNUMBER($H368),$H368,IFERROR(TIMEVALUE($H368),VALUE($H368))),1)*1440,0))),""))</f>
        <v/>
      </c>
      <c r="W368" s="52" t="str">
        <f aca="false">IF($I368="","",IFERROR(IF(IF(ISNUMBER($I368),$I368,IFERROR(TIMEVALUE($I368),VALUE($I368)))&gt;=100,INT(IF(ISNUMBER($I368),$I368,IFERROR(TIMEVALUE($I368),VALUE($I368)))/100)*60+MOD(IF(ISNUMBER($I368),$I368,IFERROR(TIMEVALUE($I368),VALUE($I368))),100),IF(IF(ISNUMBER($I368),$I368,IFERROR(TIMEVALUE($I368),VALUE($I368)))&gt;=1,ROUND(IF(ISNUMBER($I368),$I368,IFERROR(TIMEVALUE($I368),VALUE($I368)))*60,0),ROUND(MOD(IF(ISNUMBER($I368),$I368,IFERROR(TIMEVALUE($I368),VALUE($I368))),1)*1440,0))),""))</f>
        <v/>
      </c>
      <c r="X368" s="55" t="str">
        <f aca="false">IF($P368="","",IFERROR(IF(ISNUMBER($P368),IF($P368&gt;19000000,DATE(INT($P368/10000),MOD(INT($P368/100),100),MOD($P368,100)),INT($P368)),IF(LEN(SUBSTITUTE(SUBSTITUTE(SUBSTITUTE(TRIM($P368),"-",""),".",""),"/",""))=8,DATE(VALUE(LEFT(SUBSTITUTE(SUBSTITUTE(SUBSTITUTE(TRIM($P368),"-",""),".",""),"/",""),4)),VALUE(MID(SUBSTITUTE(SUBSTITUTE(SUBSTITUTE(TRIM($P368),"-",""),".",""),"/",""),5,2)),VALUE(RIGHT(SUBSTITUTE(SUBSTITUTE(SUBSTITUTE(TRIM($P368),"-",""),".",""),"/",""),2))),DATEVALUE($P368))),""))</f>
        <v/>
      </c>
      <c r="Y368" s="56" t="str">
        <f aca="false">IF($M368="","",IFERROR(INDEX(강사DB!$D$4:$D$53,MATCH($M368,강사DB!$A$4:$A$53,0)),""))</f>
        <v/>
      </c>
      <c r="Z368" s="56" t="str">
        <f aca="false">IF($B368&lt;&gt;"결제완료","",IF(OR($Y368="",$J368=""),"",$Y368*$J368+MAX(0,N($K368)-1)*설정!$J$7))</f>
        <v/>
      </c>
      <c r="AA368" s="56" t="str">
        <f aca="false">IF(AND($D368&lt;&gt;"",$B368="결제완료"),N($N368),"")</f>
        <v/>
      </c>
      <c r="AB368" s="45" t="str">
        <f aca="false">IF($D368="","",IF($F368&lt;&gt;"",$F368,$D368)&amp;IF($B368="상담중"," (상담)",""))</f>
        <v/>
      </c>
      <c r="AC368" s="45" t="n">
        <f aca="false">IF(AND($D368&lt;&gt;"",OR($B368="결제완료",$B368="상담중")),1,0)</f>
        <v>0</v>
      </c>
      <c r="AD368" s="45" t="n">
        <f aca="false">IF(OR($Z368="",$U368=""),0,IFERROR(IF(COUNTIFS(INDEX(g_grid,0,2*MATCH($M368,강사DB!$A$4:$A$15,0)),"&lt;&gt;",g_s,"&lt;="&amp;$U368,g_e,"&gt;="&amp;$U368)&gt;0,1,0),0))</f>
        <v>0</v>
      </c>
      <c r="AE368" s="48"/>
      <c r="AF368" s="56" t="str">
        <f aca="false">IF(AND($D368&lt;&gt;"",$B368="결제완료",$T368="대여"),설정!$J$5,"")</f>
        <v/>
      </c>
      <c r="AG368" s="54" t="str">
        <f aca="false">IF($D368="","",IF(AND($E368="",$R368=""),$AB368,"☎ "&amp;IF($E368="","-",$E368)&amp;IF($R368&lt;&gt;"","  ※ "&amp;$R368,"")&amp;IF($B368="상담중"," (상담)","")))</f>
        <v/>
      </c>
      <c r="AH368" s="56" t="str">
        <f aca="false">IF(AND($D368&lt;&gt;"",$B368="결제완료",$O368="스마트스토어"),ROUND(N($N368)*설정!$J$6,0),"")</f>
        <v/>
      </c>
      <c r="AI368" s="54" t="str">
        <f aca="false">IF($D368="","",ROW())</f>
        <v/>
      </c>
      <c r="AJ368" s="54" t="n">
        <f aca="false">IF(OR($AC368&lt;&gt;1,$M368=""),0,IF(ISNUMBER(SEARCH("퇴사",IFERROR(INDEX(강사DB!$G$4:$G$53,MATCH($M368,강사DB!$A$4:$A$53,0)),""))),1,0))</f>
        <v>0</v>
      </c>
    </row>
    <row r="369" customFormat="false" ht="15" hidden="false" customHeight="false" outlineLevel="0" collapsed="false">
      <c r="A369" s="45" t="str">
        <f aca="false">IF($D369="","",COUNTA($D$5:$D369))</f>
        <v/>
      </c>
      <c r="B369" s="46"/>
      <c r="C369" s="47"/>
      <c r="D369" s="48"/>
      <c r="E369" s="48"/>
      <c r="F369" s="49"/>
      <c r="G369" s="47"/>
      <c r="H369" s="50"/>
      <c r="I369" s="50"/>
      <c r="J369" s="51" t="str">
        <f aca="false">IF(OR($V369="",$W369=""),"",ROUND(($W369-$V369)/60,2))</f>
        <v/>
      </c>
      <c r="K369" s="52" t="str">
        <f aca="false">IF($F369="","",LEN($F369)-LEN(SUBSTITUTE($F369,",",""))+1)</f>
        <v/>
      </c>
      <c r="L369" s="45" t="str">
        <f aca="false">IF($K369="","","1:"&amp;$K369)</f>
        <v/>
      </c>
      <c r="M369" s="46"/>
      <c r="N369" s="53"/>
      <c r="O369" s="46"/>
      <c r="P369" s="47"/>
      <c r="Q369" s="48"/>
      <c r="R369" s="49"/>
      <c r="S369" s="54" t="str">
        <f aca="false">IF(OR($AC369=0,$U369="",$M369="",$V369="",$W369=""),"",IF(COUNTIFS(m_teacher,$M369,m_date,$U369,m_active,1,m_start,"&lt;"&amp;$W369,m_end,"&gt;"&amp;$V369)&gt;1,"충돌",""))</f>
        <v/>
      </c>
      <c r="T369" s="48"/>
      <c r="U369" s="55" t="str">
        <f aca="false">IF($G369="","",IFERROR(IF(ISNUMBER($G369),IF($G369&gt;19000000,DATE(INT($G369/10000),MOD(INT($G369/100),100),MOD($G369,100)),INT($G369)),IF(LEN(SUBSTITUTE(SUBSTITUTE(SUBSTITUTE(TRIM($G369),"-",""),".",""),"/",""))=8,DATE(VALUE(LEFT(SUBSTITUTE(SUBSTITUTE(SUBSTITUTE(TRIM($G369),"-",""),".",""),"/",""),4)),VALUE(MID(SUBSTITUTE(SUBSTITUTE(SUBSTITUTE(TRIM($G369),"-",""),".",""),"/",""),5,2)),VALUE(RIGHT(SUBSTITUTE(SUBSTITUTE(SUBSTITUTE(TRIM($G369),"-",""),".",""),"/",""),2))),DATEVALUE($G369))),""))</f>
        <v/>
      </c>
      <c r="V369" s="52" t="str">
        <f aca="false">IF($H369="","",IFERROR(IF(IF(ISNUMBER($H369),$H369,IFERROR(TIMEVALUE($H369),VALUE($H369)))&gt;=100,INT(IF(ISNUMBER($H369),$H369,IFERROR(TIMEVALUE($H369),VALUE($H369)))/100)*60+MOD(IF(ISNUMBER($H369),$H369,IFERROR(TIMEVALUE($H369),VALUE($H369))),100),IF(IF(ISNUMBER($H369),$H369,IFERROR(TIMEVALUE($H369),VALUE($H369)))&gt;=1,ROUND(IF(ISNUMBER($H369),$H369,IFERROR(TIMEVALUE($H369),VALUE($H369)))*60,0),ROUND(MOD(IF(ISNUMBER($H369),$H369,IFERROR(TIMEVALUE($H369),VALUE($H369))),1)*1440,0))),""))</f>
        <v/>
      </c>
      <c r="W369" s="52" t="str">
        <f aca="false">IF($I369="","",IFERROR(IF(IF(ISNUMBER($I369),$I369,IFERROR(TIMEVALUE($I369),VALUE($I369)))&gt;=100,INT(IF(ISNUMBER($I369),$I369,IFERROR(TIMEVALUE($I369),VALUE($I369)))/100)*60+MOD(IF(ISNUMBER($I369),$I369,IFERROR(TIMEVALUE($I369),VALUE($I369))),100),IF(IF(ISNUMBER($I369),$I369,IFERROR(TIMEVALUE($I369),VALUE($I369)))&gt;=1,ROUND(IF(ISNUMBER($I369),$I369,IFERROR(TIMEVALUE($I369),VALUE($I369)))*60,0),ROUND(MOD(IF(ISNUMBER($I369),$I369,IFERROR(TIMEVALUE($I369),VALUE($I369))),1)*1440,0))),""))</f>
        <v/>
      </c>
      <c r="X369" s="55" t="str">
        <f aca="false">IF($P369="","",IFERROR(IF(ISNUMBER($P369),IF($P369&gt;19000000,DATE(INT($P369/10000),MOD(INT($P369/100),100),MOD($P369,100)),INT($P369)),IF(LEN(SUBSTITUTE(SUBSTITUTE(SUBSTITUTE(TRIM($P369),"-",""),".",""),"/",""))=8,DATE(VALUE(LEFT(SUBSTITUTE(SUBSTITUTE(SUBSTITUTE(TRIM($P369),"-",""),".",""),"/",""),4)),VALUE(MID(SUBSTITUTE(SUBSTITUTE(SUBSTITUTE(TRIM($P369),"-",""),".",""),"/",""),5,2)),VALUE(RIGHT(SUBSTITUTE(SUBSTITUTE(SUBSTITUTE(TRIM($P369),"-",""),".",""),"/",""),2))),DATEVALUE($P369))),""))</f>
        <v/>
      </c>
      <c r="Y369" s="56" t="str">
        <f aca="false">IF($M369="","",IFERROR(INDEX(강사DB!$D$4:$D$53,MATCH($M369,강사DB!$A$4:$A$53,0)),""))</f>
        <v/>
      </c>
      <c r="Z369" s="56" t="str">
        <f aca="false">IF($B369&lt;&gt;"결제완료","",IF(OR($Y369="",$J369=""),"",$Y369*$J369+MAX(0,N($K369)-1)*설정!$J$7))</f>
        <v/>
      </c>
      <c r="AA369" s="56" t="str">
        <f aca="false">IF(AND($D369&lt;&gt;"",$B369="결제완료"),N($N369),"")</f>
        <v/>
      </c>
      <c r="AB369" s="45" t="str">
        <f aca="false">IF($D369="","",IF($F369&lt;&gt;"",$F369,$D369)&amp;IF($B369="상담중"," (상담)",""))</f>
        <v/>
      </c>
      <c r="AC369" s="45" t="n">
        <f aca="false">IF(AND($D369&lt;&gt;"",OR($B369="결제완료",$B369="상담중")),1,0)</f>
        <v>0</v>
      </c>
      <c r="AD369" s="45" t="n">
        <f aca="false">IF(OR($Z369="",$U369=""),0,IFERROR(IF(COUNTIFS(INDEX(g_grid,0,2*MATCH($M369,강사DB!$A$4:$A$15,0)),"&lt;&gt;",g_s,"&lt;="&amp;$U369,g_e,"&gt;="&amp;$U369)&gt;0,1,0),0))</f>
        <v>0</v>
      </c>
      <c r="AE369" s="48"/>
      <c r="AF369" s="56" t="str">
        <f aca="false">IF(AND($D369&lt;&gt;"",$B369="결제완료",$T369="대여"),설정!$J$5,"")</f>
        <v/>
      </c>
      <c r="AG369" s="54" t="str">
        <f aca="false">IF($D369="","",IF(AND($E369="",$R369=""),$AB369,"☎ "&amp;IF($E369="","-",$E369)&amp;IF($R369&lt;&gt;"","  ※ "&amp;$R369,"")&amp;IF($B369="상담중"," (상담)","")))</f>
        <v/>
      </c>
      <c r="AH369" s="56" t="str">
        <f aca="false">IF(AND($D369&lt;&gt;"",$B369="결제완료",$O369="스마트스토어"),ROUND(N($N369)*설정!$J$6,0),"")</f>
        <v/>
      </c>
      <c r="AI369" s="54" t="str">
        <f aca="false">IF($D369="","",ROW())</f>
        <v/>
      </c>
      <c r="AJ369" s="54" t="n">
        <f aca="false">IF(OR($AC369&lt;&gt;1,$M369=""),0,IF(ISNUMBER(SEARCH("퇴사",IFERROR(INDEX(강사DB!$G$4:$G$53,MATCH($M369,강사DB!$A$4:$A$53,0)),""))),1,0))</f>
        <v>0</v>
      </c>
    </row>
    <row r="370" customFormat="false" ht="15" hidden="false" customHeight="false" outlineLevel="0" collapsed="false">
      <c r="A370" s="45" t="str">
        <f aca="false">IF($D370="","",COUNTA($D$5:$D370))</f>
        <v/>
      </c>
      <c r="B370" s="46"/>
      <c r="C370" s="47"/>
      <c r="D370" s="48"/>
      <c r="E370" s="48"/>
      <c r="F370" s="49"/>
      <c r="G370" s="47"/>
      <c r="H370" s="50"/>
      <c r="I370" s="50"/>
      <c r="J370" s="51" t="str">
        <f aca="false">IF(OR($V370="",$W370=""),"",ROUND(($W370-$V370)/60,2))</f>
        <v/>
      </c>
      <c r="K370" s="52" t="str">
        <f aca="false">IF($F370="","",LEN($F370)-LEN(SUBSTITUTE($F370,",",""))+1)</f>
        <v/>
      </c>
      <c r="L370" s="45" t="str">
        <f aca="false">IF($K370="","","1:"&amp;$K370)</f>
        <v/>
      </c>
      <c r="M370" s="46"/>
      <c r="N370" s="53"/>
      <c r="O370" s="46"/>
      <c r="P370" s="47"/>
      <c r="Q370" s="48"/>
      <c r="R370" s="49"/>
      <c r="S370" s="54" t="str">
        <f aca="false">IF(OR($AC370=0,$U370="",$M370="",$V370="",$W370=""),"",IF(COUNTIFS(m_teacher,$M370,m_date,$U370,m_active,1,m_start,"&lt;"&amp;$W370,m_end,"&gt;"&amp;$V370)&gt;1,"충돌",""))</f>
        <v/>
      </c>
      <c r="T370" s="48"/>
      <c r="U370" s="55" t="str">
        <f aca="false">IF($G370="","",IFERROR(IF(ISNUMBER($G370),IF($G370&gt;19000000,DATE(INT($G370/10000),MOD(INT($G370/100),100),MOD($G370,100)),INT($G370)),IF(LEN(SUBSTITUTE(SUBSTITUTE(SUBSTITUTE(TRIM($G370),"-",""),".",""),"/",""))=8,DATE(VALUE(LEFT(SUBSTITUTE(SUBSTITUTE(SUBSTITUTE(TRIM($G370),"-",""),".",""),"/",""),4)),VALUE(MID(SUBSTITUTE(SUBSTITUTE(SUBSTITUTE(TRIM($G370),"-",""),".",""),"/",""),5,2)),VALUE(RIGHT(SUBSTITUTE(SUBSTITUTE(SUBSTITUTE(TRIM($G370),"-",""),".",""),"/",""),2))),DATEVALUE($G370))),""))</f>
        <v/>
      </c>
      <c r="V370" s="52" t="str">
        <f aca="false">IF($H370="","",IFERROR(IF(IF(ISNUMBER($H370),$H370,IFERROR(TIMEVALUE($H370),VALUE($H370)))&gt;=100,INT(IF(ISNUMBER($H370),$H370,IFERROR(TIMEVALUE($H370),VALUE($H370)))/100)*60+MOD(IF(ISNUMBER($H370),$H370,IFERROR(TIMEVALUE($H370),VALUE($H370))),100),IF(IF(ISNUMBER($H370),$H370,IFERROR(TIMEVALUE($H370),VALUE($H370)))&gt;=1,ROUND(IF(ISNUMBER($H370),$H370,IFERROR(TIMEVALUE($H370),VALUE($H370)))*60,0),ROUND(MOD(IF(ISNUMBER($H370),$H370,IFERROR(TIMEVALUE($H370),VALUE($H370))),1)*1440,0))),""))</f>
        <v/>
      </c>
      <c r="W370" s="52" t="str">
        <f aca="false">IF($I370="","",IFERROR(IF(IF(ISNUMBER($I370),$I370,IFERROR(TIMEVALUE($I370),VALUE($I370)))&gt;=100,INT(IF(ISNUMBER($I370),$I370,IFERROR(TIMEVALUE($I370),VALUE($I370)))/100)*60+MOD(IF(ISNUMBER($I370),$I370,IFERROR(TIMEVALUE($I370),VALUE($I370))),100),IF(IF(ISNUMBER($I370),$I370,IFERROR(TIMEVALUE($I370),VALUE($I370)))&gt;=1,ROUND(IF(ISNUMBER($I370),$I370,IFERROR(TIMEVALUE($I370),VALUE($I370)))*60,0),ROUND(MOD(IF(ISNUMBER($I370),$I370,IFERROR(TIMEVALUE($I370),VALUE($I370))),1)*1440,0))),""))</f>
        <v/>
      </c>
      <c r="X370" s="55" t="str">
        <f aca="false">IF($P370="","",IFERROR(IF(ISNUMBER($P370),IF($P370&gt;19000000,DATE(INT($P370/10000),MOD(INT($P370/100),100),MOD($P370,100)),INT($P370)),IF(LEN(SUBSTITUTE(SUBSTITUTE(SUBSTITUTE(TRIM($P370),"-",""),".",""),"/",""))=8,DATE(VALUE(LEFT(SUBSTITUTE(SUBSTITUTE(SUBSTITUTE(TRIM($P370),"-",""),".",""),"/",""),4)),VALUE(MID(SUBSTITUTE(SUBSTITUTE(SUBSTITUTE(TRIM($P370),"-",""),".",""),"/",""),5,2)),VALUE(RIGHT(SUBSTITUTE(SUBSTITUTE(SUBSTITUTE(TRIM($P370),"-",""),".",""),"/",""),2))),DATEVALUE($P370))),""))</f>
        <v/>
      </c>
      <c r="Y370" s="56" t="str">
        <f aca="false">IF($M370="","",IFERROR(INDEX(강사DB!$D$4:$D$53,MATCH($M370,강사DB!$A$4:$A$53,0)),""))</f>
        <v/>
      </c>
      <c r="Z370" s="56" t="str">
        <f aca="false">IF($B370&lt;&gt;"결제완료","",IF(OR($Y370="",$J370=""),"",$Y370*$J370+MAX(0,N($K370)-1)*설정!$J$7))</f>
        <v/>
      </c>
      <c r="AA370" s="56" t="str">
        <f aca="false">IF(AND($D370&lt;&gt;"",$B370="결제완료"),N($N370),"")</f>
        <v/>
      </c>
      <c r="AB370" s="45" t="str">
        <f aca="false">IF($D370="","",IF($F370&lt;&gt;"",$F370,$D370)&amp;IF($B370="상담중"," (상담)",""))</f>
        <v/>
      </c>
      <c r="AC370" s="45" t="n">
        <f aca="false">IF(AND($D370&lt;&gt;"",OR($B370="결제완료",$B370="상담중")),1,0)</f>
        <v>0</v>
      </c>
      <c r="AD370" s="45" t="n">
        <f aca="false">IF(OR($Z370="",$U370=""),0,IFERROR(IF(COUNTIFS(INDEX(g_grid,0,2*MATCH($M370,강사DB!$A$4:$A$15,0)),"&lt;&gt;",g_s,"&lt;="&amp;$U370,g_e,"&gt;="&amp;$U370)&gt;0,1,0),0))</f>
        <v>0</v>
      </c>
      <c r="AE370" s="48"/>
      <c r="AF370" s="56" t="str">
        <f aca="false">IF(AND($D370&lt;&gt;"",$B370="결제완료",$T370="대여"),설정!$J$5,"")</f>
        <v/>
      </c>
      <c r="AG370" s="54" t="str">
        <f aca="false">IF($D370="","",IF(AND($E370="",$R370=""),$AB370,"☎ "&amp;IF($E370="","-",$E370)&amp;IF($R370&lt;&gt;"","  ※ "&amp;$R370,"")&amp;IF($B370="상담중"," (상담)","")))</f>
        <v/>
      </c>
      <c r="AH370" s="56" t="str">
        <f aca="false">IF(AND($D370&lt;&gt;"",$B370="결제완료",$O370="스마트스토어"),ROUND(N($N370)*설정!$J$6,0),"")</f>
        <v/>
      </c>
      <c r="AI370" s="54" t="str">
        <f aca="false">IF($D370="","",ROW())</f>
        <v/>
      </c>
      <c r="AJ370" s="54" t="n">
        <f aca="false">IF(OR($AC370&lt;&gt;1,$M370=""),0,IF(ISNUMBER(SEARCH("퇴사",IFERROR(INDEX(강사DB!$G$4:$G$53,MATCH($M370,강사DB!$A$4:$A$53,0)),""))),1,0))</f>
        <v>0</v>
      </c>
    </row>
    <row r="371" customFormat="false" ht="15" hidden="false" customHeight="false" outlineLevel="0" collapsed="false">
      <c r="A371" s="45" t="str">
        <f aca="false">IF($D371="","",COUNTA($D$5:$D371))</f>
        <v/>
      </c>
      <c r="B371" s="46"/>
      <c r="C371" s="47"/>
      <c r="D371" s="48"/>
      <c r="E371" s="48"/>
      <c r="F371" s="49"/>
      <c r="G371" s="47"/>
      <c r="H371" s="50"/>
      <c r="I371" s="50"/>
      <c r="J371" s="51" t="str">
        <f aca="false">IF(OR($V371="",$W371=""),"",ROUND(($W371-$V371)/60,2))</f>
        <v/>
      </c>
      <c r="K371" s="52" t="str">
        <f aca="false">IF($F371="","",LEN($F371)-LEN(SUBSTITUTE($F371,",",""))+1)</f>
        <v/>
      </c>
      <c r="L371" s="45" t="str">
        <f aca="false">IF($K371="","","1:"&amp;$K371)</f>
        <v/>
      </c>
      <c r="M371" s="46"/>
      <c r="N371" s="53"/>
      <c r="O371" s="46"/>
      <c r="P371" s="47"/>
      <c r="Q371" s="48"/>
      <c r="R371" s="49"/>
      <c r="S371" s="54" t="str">
        <f aca="false">IF(OR($AC371=0,$U371="",$M371="",$V371="",$W371=""),"",IF(COUNTIFS(m_teacher,$M371,m_date,$U371,m_active,1,m_start,"&lt;"&amp;$W371,m_end,"&gt;"&amp;$V371)&gt;1,"충돌",""))</f>
        <v/>
      </c>
      <c r="T371" s="48"/>
      <c r="U371" s="55" t="str">
        <f aca="false">IF($G371="","",IFERROR(IF(ISNUMBER($G371),IF($G371&gt;19000000,DATE(INT($G371/10000),MOD(INT($G371/100),100),MOD($G371,100)),INT($G371)),IF(LEN(SUBSTITUTE(SUBSTITUTE(SUBSTITUTE(TRIM($G371),"-",""),".",""),"/",""))=8,DATE(VALUE(LEFT(SUBSTITUTE(SUBSTITUTE(SUBSTITUTE(TRIM($G371),"-",""),".",""),"/",""),4)),VALUE(MID(SUBSTITUTE(SUBSTITUTE(SUBSTITUTE(TRIM($G371),"-",""),".",""),"/",""),5,2)),VALUE(RIGHT(SUBSTITUTE(SUBSTITUTE(SUBSTITUTE(TRIM($G371),"-",""),".",""),"/",""),2))),DATEVALUE($G371))),""))</f>
        <v/>
      </c>
      <c r="V371" s="52" t="str">
        <f aca="false">IF($H371="","",IFERROR(IF(IF(ISNUMBER($H371),$H371,IFERROR(TIMEVALUE($H371),VALUE($H371)))&gt;=100,INT(IF(ISNUMBER($H371),$H371,IFERROR(TIMEVALUE($H371),VALUE($H371)))/100)*60+MOD(IF(ISNUMBER($H371),$H371,IFERROR(TIMEVALUE($H371),VALUE($H371))),100),IF(IF(ISNUMBER($H371),$H371,IFERROR(TIMEVALUE($H371),VALUE($H371)))&gt;=1,ROUND(IF(ISNUMBER($H371),$H371,IFERROR(TIMEVALUE($H371),VALUE($H371)))*60,0),ROUND(MOD(IF(ISNUMBER($H371),$H371,IFERROR(TIMEVALUE($H371),VALUE($H371))),1)*1440,0))),""))</f>
        <v/>
      </c>
      <c r="W371" s="52" t="str">
        <f aca="false">IF($I371="","",IFERROR(IF(IF(ISNUMBER($I371),$I371,IFERROR(TIMEVALUE($I371),VALUE($I371)))&gt;=100,INT(IF(ISNUMBER($I371),$I371,IFERROR(TIMEVALUE($I371),VALUE($I371)))/100)*60+MOD(IF(ISNUMBER($I371),$I371,IFERROR(TIMEVALUE($I371),VALUE($I371))),100),IF(IF(ISNUMBER($I371),$I371,IFERROR(TIMEVALUE($I371),VALUE($I371)))&gt;=1,ROUND(IF(ISNUMBER($I371),$I371,IFERROR(TIMEVALUE($I371),VALUE($I371)))*60,0),ROUND(MOD(IF(ISNUMBER($I371),$I371,IFERROR(TIMEVALUE($I371),VALUE($I371))),1)*1440,0))),""))</f>
        <v/>
      </c>
      <c r="X371" s="55" t="str">
        <f aca="false">IF($P371="","",IFERROR(IF(ISNUMBER($P371),IF($P371&gt;19000000,DATE(INT($P371/10000),MOD(INT($P371/100),100),MOD($P371,100)),INT($P371)),IF(LEN(SUBSTITUTE(SUBSTITUTE(SUBSTITUTE(TRIM($P371),"-",""),".",""),"/",""))=8,DATE(VALUE(LEFT(SUBSTITUTE(SUBSTITUTE(SUBSTITUTE(TRIM($P371),"-",""),".",""),"/",""),4)),VALUE(MID(SUBSTITUTE(SUBSTITUTE(SUBSTITUTE(TRIM($P371),"-",""),".",""),"/",""),5,2)),VALUE(RIGHT(SUBSTITUTE(SUBSTITUTE(SUBSTITUTE(TRIM($P371),"-",""),".",""),"/",""),2))),DATEVALUE($P371))),""))</f>
        <v/>
      </c>
      <c r="Y371" s="56" t="str">
        <f aca="false">IF($M371="","",IFERROR(INDEX(강사DB!$D$4:$D$53,MATCH($M371,강사DB!$A$4:$A$53,0)),""))</f>
        <v/>
      </c>
      <c r="Z371" s="56" t="str">
        <f aca="false">IF($B371&lt;&gt;"결제완료","",IF(OR($Y371="",$J371=""),"",$Y371*$J371+MAX(0,N($K371)-1)*설정!$J$7))</f>
        <v/>
      </c>
      <c r="AA371" s="56" t="str">
        <f aca="false">IF(AND($D371&lt;&gt;"",$B371="결제완료"),N($N371),"")</f>
        <v/>
      </c>
      <c r="AB371" s="45" t="str">
        <f aca="false">IF($D371="","",IF($F371&lt;&gt;"",$F371,$D371)&amp;IF($B371="상담중"," (상담)",""))</f>
        <v/>
      </c>
      <c r="AC371" s="45" t="n">
        <f aca="false">IF(AND($D371&lt;&gt;"",OR($B371="결제완료",$B371="상담중")),1,0)</f>
        <v>0</v>
      </c>
      <c r="AD371" s="45" t="n">
        <f aca="false">IF(OR($Z371="",$U371=""),0,IFERROR(IF(COUNTIFS(INDEX(g_grid,0,2*MATCH($M371,강사DB!$A$4:$A$15,0)),"&lt;&gt;",g_s,"&lt;="&amp;$U371,g_e,"&gt;="&amp;$U371)&gt;0,1,0),0))</f>
        <v>0</v>
      </c>
      <c r="AE371" s="48"/>
      <c r="AF371" s="56" t="str">
        <f aca="false">IF(AND($D371&lt;&gt;"",$B371="결제완료",$T371="대여"),설정!$J$5,"")</f>
        <v/>
      </c>
      <c r="AG371" s="54" t="str">
        <f aca="false">IF($D371="","",IF(AND($E371="",$R371=""),$AB371,"☎ "&amp;IF($E371="","-",$E371)&amp;IF($R371&lt;&gt;"","  ※ "&amp;$R371,"")&amp;IF($B371="상담중"," (상담)","")))</f>
        <v/>
      </c>
      <c r="AH371" s="56" t="str">
        <f aca="false">IF(AND($D371&lt;&gt;"",$B371="결제완료",$O371="스마트스토어"),ROUND(N($N371)*설정!$J$6,0),"")</f>
        <v/>
      </c>
      <c r="AI371" s="54" t="str">
        <f aca="false">IF($D371="","",ROW())</f>
        <v/>
      </c>
      <c r="AJ371" s="54" t="n">
        <f aca="false">IF(OR($AC371&lt;&gt;1,$M371=""),0,IF(ISNUMBER(SEARCH("퇴사",IFERROR(INDEX(강사DB!$G$4:$G$53,MATCH($M371,강사DB!$A$4:$A$53,0)),""))),1,0))</f>
        <v>0</v>
      </c>
    </row>
    <row r="372" customFormat="false" ht="15" hidden="false" customHeight="false" outlineLevel="0" collapsed="false">
      <c r="A372" s="45" t="str">
        <f aca="false">IF($D372="","",COUNTA($D$5:$D372))</f>
        <v/>
      </c>
      <c r="B372" s="46"/>
      <c r="C372" s="47"/>
      <c r="D372" s="48"/>
      <c r="E372" s="48"/>
      <c r="F372" s="49"/>
      <c r="G372" s="47"/>
      <c r="H372" s="50"/>
      <c r="I372" s="50"/>
      <c r="J372" s="51" t="str">
        <f aca="false">IF(OR($V372="",$W372=""),"",ROUND(($W372-$V372)/60,2))</f>
        <v/>
      </c>
      <c r="K372" s="52" t="str">
        <f aca="false">IF($F372="","",LEN($F372)-LEN(SUBSTITUTE($F372,",",""))+1)</f>
        <v/>
      </c>
      <c r="L372" s="45" t="str">
        <f aca="false">IF($K372="","","1:"&amp;$K372)</f>
        <v/>
      </c>
      <c r="M372" s="46"/>
      <c r="N372" s="53"/>
      <c r="O372" s="46"/>
      <c r="P372" s="47"/>
      <c r="Q372" s="48"/>
      <c r="R372" s="49"/>
      <c r="S372" s="54" t="str">
        <f aca="false">IF(OR($AC372=0,$U372="",$M372="",$V372="",$W372=""),"",IF(COUNTIFS(m_teacher,$M372,m_date,$U372,m_active,1,m_start,"&lt;"&amp;$W372,m_end,"&gt;"&amp;$V372)&gt;1,"충돌",""))</f>
        <v/>
      </c>
      <c r="T372" s="48"/>
      <c r="U372" s="55" t="str">
        <f aca="false">IF($G372="","",IFERROR(IF(ISNUMBER($G372),IF($G372&gt;19000000,DATE(INT($G372/10000),MOD(INT($G372/100),100),MOD($G372,100)),INT($G372)),IF(LEN(SUBSTITUTE(SUBSTITUTE(SUBSTITUTE(TRIM($G372),"-",""),".",""),"/",""))=8,DATE(VALUE(LEFT(SUBSTITUTE(SUBSTITUTE(SUBSTITUTE(TRIM($G372),"-",""),".",""),"/",""),4)),VALUE(MID(SUBSTITUTE(SUBSTITUTE(SUBSTITUTE(TRIM($G372),"-",""),".",""),"/",""),5,2)),VALUE(RIGHT(SUBSTITUTE(SUBSTITUTE(SUBSTITUTE(TRIM($G372),"-",""),".",""),"/",""),2))),DATEVALUE($G372))),""))</f>
        <v/>
      </c>
      <c r="V372" s="52" t="str">
        <f aca="false">IF($H372="","",IFERROR(IF(IF(ISNUMBER($H372),$H372,IFERROR(TIMEVALUE($H372),VALUE($H372)))&gt;=100,INT(IF(ISNUMBER($H372),$H372,IFERROR(TIMEVALUE($H372),VALUE($H372)))/100)*60+MOD(IF(ISNUMBER($H372),$H372,IFERROR(TIMEVALUE($H372),VALUE($H372))),100),IF(IF(ISNUMBER($H372),$H372,IFERROR(TIMEVALUE($H372),VALUE($H372)))&gt;=1,ROUND(IF(ISNUMBER($H372),$H372,IFERROR(TIMEVALUE($H372),VALUE($H372)))*60,0),ROUND(MOD(IF(ISNUMBER($H372),$H372,IFERROR(TIMEVALUE($H372),VALUE($H372))),1)*1440,0))),""))</f>
        <v/>
      </c>
      <c r="W372" s="52" t="str">
        <f aca="false">IF($I372="","",IFERROR(IF(IF(ISNUMBER($I372),$I372,IFERROR(TIMEVALUE($I372),VALUE($I372)))&gt;=100,INT(IF(ISNUMBER($I372),$I372,IFERROR(TIMEVALUE($I372),VALUE($I372)))/100)*60+MOD(IF(ISNUMBER($I372),$I372,IFERROR(TIMEVALUE($I372),VALUE($I372))),100),IF(IF(ISNUMBER($I372),$I372,IFERROR(TIMEVALUE($I372),VALUE($I372)))&gt;=1,ROUND(IF(ISNUMBER($I372),$I372,IFERROR(TIMEVALUE($I372),VALUE($I372)))*60,0),ROUND(MOD(IF(ISNUMBER($I372),$I372,IFERROR(TIMEVALUE($I372),VALUE($I372))),1)*1440,0))),""))</f>
        <v/>
      </c>
      <c r="X372" s="55" t="str">
        <f aca="false">IF($P372="","",IFERROR(IF(ISNUMBER($P372),IF($P372&gt;19000000,DATE(INT($P372/10000),MOD(INT($P372/100),100),MOD($P372,100)),INT($P372)),IF(LEN(SUBSTITUTE(SUBSTITUTE(SUBSTITUTE(TRIM($P372),"-",""),".",""),"/",""))=8,DATE(VALUE(LEFT(SUBSTITUTE(SUBSTITUTE(SUBSTITUTE(TRIM($P372),"-",""),".",""),"/",""),4)),VALUE(MID(SUBSTITUTE(SUBSTITUTE(SUBSTITUTE(TRIM($P372),"-",""),".",""),"/",""),5,2)),VALUE(RIGHT(SUBSTITUTE(SUBSTITUTE(SUBSTITUTE(TRIM($P372),"-",""),".",""),"/",""),2))),DATEVALUE($P372))),""))</f>
        <v/>
      </c>
      <c r="Y372" s="56" t="str">
        <f aca="false">IF($M372="","",IFERROR(INDEX(강사DB!$D$4:$D$53,MATCH($M372,강사DB!$A$4:$A$53,0)),""))</f>
        <v/>
      </c>
      <c r="Z372" s="56" t="str">
        <f aca="false">IF($B372&lt;&gt;"결제완료","",IF(OR($Y372="",$J372=""),"",$Y372*$J372+MAX(0,N($K372)-1)*설정!$J$7))</f>
        <v/>
      </c>
      <c r="AA372" s="56" t="str">
        <f aca="false">IF(AND($D372&lt;&gt;"",$B372="결제완료"),N($N372),"")</f>
        <v/>
      </c>
      <c r="AB372" s="45" t="str">
        <f aca="false">IF($D372="","",IF($F372&lt;&gt;"",$F372,$D372)&amp;IF($B372="상담중"," (상담)",""))</f>
        <v/>
      </c>
      <c r="AC372" s="45" t="n">
        <f aca="false">IF(AND($D372&lt;&gt;"",OR($B372="결제완료",$B372="상담중")),1,0)</f>
        <v>0</v>
      </c>
      <c r="AD372" s="45" t="n">
        <f aca="false">IF(OR($Z372="",$U372=""),0,IFERROR(IF(COUNTIFS(INDEX(g_grid,0,2*MATCH($M372,강사DB!$A$4:$A$15,0)),"&lt;&gt;",g_s,"&lt;="&amp;$U372,g_e,"&gt;="&amp;$U372)&gt;0,1,0),0))</f>
        <v>0</v>
      </c>
      <c r="AE372" s="48"/>
      <c r="AF372" s="56" t="str">
        <f aca="false">IF(AND($D372&lt;&gt;"",$B372="결제완료",$T372="대여"),설정!$J$5,"")</f>
        <v/>
      </c>
      <c r="AG372" s="54" t="str">
        <f aca="false">IF($D372="","",IF(AND($E372="",$R372=""),$AB372,"☎ "&amp;IF($E372="","-",$E372)&amp;IF($R372&lt;&gt;"","  ※ "&amp;$R372,"")&amp;IF($B372="상담중"," (상담)","")))</f>
        <v/>
      </c>
      <c r="AH372" s="56" t="str">
        <f aca="false">IF(AND($D372&lt;&gt;"",$B372="결제완료",$O372="스마트스토어"),ROUND(N($N372)*설정!$J$6,0),"")</f>
        <v/>
      </c>
      <c r="AI372" s="54" t="str">
        <f aca="false">IF($D372="","",ROW())</f>
        <v/>
      </c>
      <c r="AJ372" s="54" t="n">
        <f aca="false">IF(OR($AC372&lt;&gt;1,$M372=""),0,IF(ISNUMBER(SEARCH("퇴사",IFERROR(INDEX(강사DB!$G$4:$G$53,MATCH($M372,강사DB!$A$4:$A$53,0)),""))),1,0))</f>
        <v>0</v>
      </c>
    </row>
    <row r="373" customFormat="false" ht="15" hidden="false" customHeight="false" outlineLevel="0" collapsed="false">
      <c r="A373" s="45" t="str">
        <f aca="false">IF($D373="","",COUNTA($D$5:$D373))</f>
        <v/>
      </c>
      <c r="B373" s="46"/>
      <c r="C373" s="47"/>
      <c r="D373" s="48"/>
      <c r="E373" s="48"/>
      <c r="F373" s="49"/>
      <c r="G373" s="47"/>
      <c r="H373" s="50"/>
      <c r="I373" s="50"/>
      <c r="J373" s="51" t="str">
        <f aca="false">IF(OR($V373="",$W373=""),"",ROUND(($W373-$V373)/60,2))</f>
        <v/>
      </c>
      <c r="K373" s="52" t="str">
        <f aca="false">IF($F373="","",LEN($F373)-LEN(SUBSTITUTE($F373,",",""))+1)</f>
        <v/>
      </c>
      <c r="L373" s="45" t="str">
        <f aca="false">IF($K373="","","1:"&amp;$K373)</f>
        <v/>
      </c>
      <c r="M373" s="46"/>
      <c r="N373" s="53"/>
      <c r="O373" s="46"/>
      <c r="P373" s="47"/>
      <c r="Q373" s="48"/>
      <c r="R373" s="49"/>
      <c r="S373" s="54" t="str">
        <f aca="false">IF(OR($AC373=0,$U373="",$M373="",$V373="",$W373=""),"",IF(COUNTIFS(m_teacher,$M373,m_date,$U373,m_active,1,m_start,"&lt;"&amp;$W373,m_end,"&gt;"&amp;$V373)&gt;1,"충돌",""))</f>
        <v/>
      </c>
      <c r="T373" s="48"/>
      <c r="U373" s="55" t="str">
        <f aca="false">IF($G373="","",IFERROR(IF(ISNUMBER($G373),IF($G373&gt;19000000,DATE(INT($G373/10000),MOD(INT($G373/100),100),MOD($G373,100)),INT($G373)),IF(LEN(SUBSTITUTE(SUBSTITUTE(SUBSTITUTE(TRIM($G373),"-",""),".",""),"/",""))=8,DATE(VALUE(LEFT(SUBSTITUTE(SUBSTITUTE(SUBSTITUTE(TRIM($G373),"-",""),".",""),"/",""),4)),VALUE(MID(SUBSTITUTE(SUBSTITUTE(SUBSTITUTE(TRIM($G373),"-",""),".",""),"/",""),5,2)),VALUE(RIGHT(SUBSTITUTE(SUBSTITUTE(SUBSTITUTE(TRIM($G373),"-",""),".",""),"/",""),2))),DATEVALUE($G373))),""))</f>
        <v/>
      </c>
      <c r="V373" s="52" t="str">
        <f aca="false">IF($H373="","",IFERROR(IF(IF(ISNUMBER($H373),$H373,IFERROR(TIMEVALUE($H373),VALUE($H373)))&gt;=100,INT(IF(ISNUMBER($H373),$H373,IFERROR(TIMEVALUE($H373),VALUE($H373)))/100)*60+MOD(IF(ISNUMBER($H373),$H373,IFERROR(TIMEVALUE($H373),VALUE($H373))),100),IF(IF(ISNUMBER($H373),$H373,IFERROR(TIMEVALUE($H373),VALUE($H373)))&gt;=1,ROUND(IF(ISNUMBER($H373),$H373,IFERROR(TIMEVALUE($H373),VALUE($H373)))*60,0),ROUND(MOD(IF(ISNUMBER($H373),$H373,IFERROR(TIMEVALUE($H373),VALUE($H373))),1)*1440,0))),""))</f>
        <v/>
      </c>
      <c r="W373" s="52" t="str">
        <f aca="false">IF($I373="","",IFERROR(IF(IF(ISNUMBER($I373),$I373,IFERROR(TIMEVALUE($I373),VALUE($I373)))&gt;=100,INT(IF(ISNUMBER($I373),$I373,IFERROR(TIMEVALUE($I373),VALUE($I373)))/100)*60+MOD(IF(ISNUMBER($I373),$I373,IFERROR(TIMEVALUE($I373),VALUE($I373))),100),IF(IF(ISNUMBER($I373),$I373,IFERROR(TIMEVALUE($I373),VALUE($I373)))&gt;=1,ROUND(IF(ISNUMBER($I373),$I373,IFERROR(TIMEVALUE($I373),VALUE($I373)))*60,0),ROUND(MOD(IF(ISNUMBER($I373),$I373,IFERROR(TIMEVALUE($I373),VALUE($I373))),1)*1440,0))),""))</f>
        <v/>
      </c>
      <c r="X373" s="55" t="str">
        <f aca="false">IF($P373="","",IFERROR(IF(ISNUMBER($P373),IF($P373&gt;19000000,DATE(INT($P373/10000),MOD(INT($P373/100),100),MOD($P373,100)),INT($P373)),IF(LEN(SUBSTITUTE(SUBSTITUTE(SUBSTITUTE(TRIM($P373),"-",""),".",""),"/",""))=8,DATE(VALUE(LEFT(SUBSTITUTE(SUBSTITUTE(SUBSTITUTE(TRIM($P373),"-",""),".",""),"/",""),4)),VALUE(MID(SUBSTITUTE(SUBSTITUTE(SUBSTITUTE(TRIM($P373),"-",""),".",""),"/",""),5,2)),VALUE(RIGHT(SUBSTITUTE(SUBSTITUTE(SUBSTITUTE(TRIM($P373),"-",""),".",""),"/",""),2))),DATEVALUE($P373))),""))</f>
        <v/>
      </c>
      <c r="Y373" s="56" t="str">
        <f aca="false">IF($M373="","",IFERROR(INDEX(강사DB!$D$4:$D$53,MATCH($M373,강사DB!$A$4:$A$53,0)),""))</f>
        <v/>
      </c>
      <c r="Z373" s="56" t="str">
        <f aca="false">IF($B373&lt;&gt;"결제완료","",IF(OR($Y373="",$J373=""),"",$Y373*$J373+MAX(0,N($K373)-1)*설정!$J$7))</f>
        <v/>
      </c>
      <c r="AA373" s="56" t="str">
        <f aca="false">IF(AND($D373&lt;&gt;"",$B373="결제완료"),N($N373),"")</f>
        <v/>
      </c>
      <c r="AB373" s="45" t="str">
        <f aca="false">IF($D373="","",IF($F373&lt;&gt;"",$F373,$D373)&amp;IF($B373="상담중"," (상담)",""))</f>
        <v/>
      </c>
      <c r="AC373" s="45" t="n">
        <f aca="false">IF(AND($D373&lt;&gt;"",OR($B373="결제완료",$B373="상담중")),1,0)</f>
        <v>0</v>
      </c>
      <c r="AD373" s="45" t="n">
        <f aca="false">IF(OR($Z373="",$U373=""),0,IFERROR(IF(COUNTIFS(INDEX(g_grid,0,2*MATCH($M373,강사DB!$A$4:$A$15,0)),"&lt;&gt;",g_s,"&lt;="&amp;$U373,g_e,"&gt;="&amp;$U373)&gt;0,1,0),0))</f>
        <v>0</v>
      </c>
      <c r="AE373" s="48"/>
      <c r="AF373" s="56" t="str">
        <f aca="false">IF(AND($D373&lt;&gt;"",$B373="결제완료",$T373="대여"),설정!$J$5,"")</f>
        <v/>
      </c>
      <c r="AG373" s="54" t="str">
        <f aca="false">IF($D373="","",IF(AND($E373="",$R373=""),$AB373,"☎ "&amp;IF($E373="","-",$E373)&amp;IF($R373&lt;&gt;"","  ※ "&amp;$R373,"")&amp;IF($B373="상담중"," (상담)","")))</f>
        <v/>
      </c>
      <c r="AH373" s="56" t="str">
        <f aca="false">IF(AND($D373&lt;&gt;"",$B373="결제완료",$O373="스마트스토어"),ROUND(N($N373)*설정!$J$6,0),"")</f>
        <v/>
      </c>
      <c r="AI373" s="54" t="str">
        <f aca="false">IF($D373="","",ROW())</f>
        <v/>
      </c>
      <c r="AJ373" s="54" t="n">
        <f aca="false">IF(OR($AC373&lt;&gt;1,$M373=""),0,IF(ISNUMBER(SEARCH("퇴사",IFERROR(INDEX(강사DB!$G$4:$G$53,MATCH($M373,강사DB!$A$4:$A$53,0)),""))),1,0))</f>
        <v>0</v>
      </c>
    </row>
    <row r="374" customFormat="false" ht="15" hidden="false" customHeight="false" outlineLevel="0" collapsed="false">
      <c r="A374" s="45" t="str">
        <f aca="false">IF($D374="","",COUNTA($D$5:$D374))</f>
        <v/>
      </c>
      <c r="B374" s="46"/>
      <c r="C374" s="47"/>
      <c r="D374" s="48"/>
      <c r="E374" s="48"/>
      <c r="F374" s="49"/>
      <c r="G374" s="47"/>
      <c r="H374" s="50"/>
      <c r="I374" s="50"/>
      <c r="J374" s="51" t="str">
        <f aca="false">IF(OR($V374="",$W374=""),"",ROUND(($W374-$V374)/60,2))</f>
        <v/>
      </c>
      <c r="K374" s="52" t="str">
        <f aca="false">IF($F374="","",LEN($F374)-LEN(SUBSTITUTE($F374,",",""))+1)</f>
        <v/>
      </c>
      <c r="L374" s="45" t="str">
        <f aca="false">IF($K374="","","1:"&amp;$K374)</f>
        <v/>
      </c>
      <c r="M374" s="46"/>
      <c r="N374" s="53"/>
      <c r="O374" s="46"/>
      <c r="P374" s="47"/>
      <c r="Q374" s="48"/>
      <c r="R374" s="49"/>
      <c r="S374" s="54" t="str">
        <f aca="false">IF(OR($AC374=0,$U374="",$M374="",$V374="",$W374=""),"",IF(COUNTIFS(m_teacher,$M374,m_date,$U374,m_active,1,m_start,"&lt;"&amp;$W374,m_end,"&gt;"&amp;$V374)&gt;1,"충돌",""))</f>
        <v/>
      </c>
      <c r="T374" s="48"/>
      <c r="U374" s="55" t="str">
        <f aca="false">IF($G374="","",IFERROR(IF(ISNUMBER($G374),IF($G374&gt;19000000,DATE(INT($G374/10000),MOD(INT($G374/100),100),MOD($G374,100)),INT($G374)),IF(LEN(SUBSTITUTE(SUBSTITUTE(SUBSTITUTE(TRIM($G374),"-",""),".",""),"/",""))=8,DATE(VALUE(LEFT(SUBSTITUTE(SUBSTITUTE(SUBSTITUTE(TRIM($G374),"-",""),".",""),"/",""),4)),VALUE(MID(SUBSTITUTE(SUBSTITUTE(SUBSTITUTE(TRIM($G374),"-",""),".",""),"/",""),5,2)),VALUE(RIGHT(SUBSTITUTE(SUBSTITUTE(SUBSTITUTE(TRIM($G374),"-",""),".",""),"/",""),2))),DATEVALUE($G374))),""))</f>
        <v/>
      </c>
      <c r="V374" s="52" t="str">
        <f aca="false">IF($H374="","",IFERROR(IF(IF(ISNUMBER($H374),$H374,IFERROR(TIMEVALUE($H374),VALUE($H374)))&gt;=100,INT(IF(ISNUMBER($H374),$H374,IFERROR(TIMEVALUE($H374),VALUE($H374)))/100)*60+MOD(IF(ISNUMBER($H374),$H374,IFERROR(TIMEVALUE($H374),VALUE($H374))),100),IF(IF(ISNUMBER($H374),$H374,IFERROR(TIMEVALUE($H374),VALUE($H374)))&gt;=1,ROUND(IF(ISNUMBER($H374),$H374,IFERROR(TIMEVALUE($H374),VALUE($H374)))*60,0),ROUND(MOD(IF(ISNUMBER($H374),$H374,IFERROR(TIMEVALUE($H374),VALUE($H374))),1)*1440,0))),""))</f>
        <v/>
      </c>
      <c r="W374" s="52" t="str">
        <f aca="false">IF($I374="","",IFERROR(IF(IF(ISNUMBER($I374),$I374,IFERROR(TIMEVALUE($I374),VALUE($I374)))&gt;=100,INT(IF(ISNUMBER($I374),$I374,IFERROR(TIMEVALUE($I374),VALUE($I374)))/100)*60+MOD(IF(ISNUMBER($I374),$I374,IFERROR(TIMEVALUE($I374),VALUE($I374))),100),IF(IF(ISNUMBER($I374),$I374,IFERROR(TIMEVALUE($I374),VALUE($I374)))&gt;=1,ROUND(IF(ISNUMBER($I374),$I374,IFERROR(TIMEVALUE($I374),VALUE($I374)))*60,0),ROUND(MOD(IF(ISNUMBER($I374),$I374,IFERROR(TIMEVALUE($I374),VALUE($I374))),1)*1440,0))),""))</f>
        <v/>
      </c>
      <c r="X374" s="55" t="str">
        <f aca="false">IF($P374="","",IFERROR(IF(ISNUMBER($P374),IF($P374&gt;19000000,DATE(INT($P374/10000),MOD(INT($P374/100),100),MOD($P374,100)),INT($P374)),IF(LEN(SUBSTITUTE(SUBSTITUTE(SUBSTITUTE(TRIM($P374),"-",""),".",""),"/",""))=8,DATE(VALUE(LEFT(SUBSTITUTE(SUBSTITUTE(SUBSTITUTE(TRIM($P374),"-",""),".",""),"/",""),4)),VALUE(MID(SUBSTITUTE(SUBSTITUTE(SUBSTITUTE(TRIM($P374),"-",""),".",""),"/",""),5,2)),VALUE(RIGHT(SUBSTITUTE(SUBSTITUTE(SUBSTITUTE(TRIM($P374),"-",""),".",""),"/",""),2))),DATEVALUE($P374))),""))</f>
        <v/>
      </c>
      <c r="Y374" s="56" t="str">
        <f aca="false">IF($M374="","",IFERROR(INDEX(강사DB!$D$4:$D$53,MATCH($M374,강사DB!$A$4:$A$53,0)),""))</f>
        <v/>
      </c>
      <c r="Z374" s="56" t="str">
        <f aca="false">IF($B374&lt;&gt;"결제완료","",IF(OR($Y374="",$J374=""),"",$Y374*$J374+MAX(0,N($K374)-1)*설정!$J$7))</f>
        <v/>
      </c>
      <c r="AA374" s="56" t="str">
        <f aca="false">IF(AND($D374&lt;&gt;"",$B374="결제완료"),N($N374),"")</f>
        <v/>
      </c>
      <c r="AB374" s="45" t="str">
        <f aca="false">IF($D374="","",IF($F374&lt;&gt;"",$F374,$D374)&amp;IF($B374="상담중"," (상담)",""))</f>
        <v/>
      </c>
      <c r="AC374" s="45" t="n">
        <f aca="false">IF(AND($D374&lt;&gt;"",OR($B374="결제완료",$B374="상담중")),1,0)</f>
        <v>0</v>
      </c>
      <c r="AD374" s="45" t="n">
        <f aca="false">IF(OR($Z374="",$U374=""),0,IFERROR(IF(COUNTIFS(INDEX(g_grid,0,2*MATCH($M374,강사DB!$A$4:$A$15,0)),"&lt;&gt;",g_s,"&lt;="&amp;$U374,g_e,"&gt;="&amp;$U374)&gt;0,1,0),0))</f>
        <v>0</v>
      </c>
      <c r="AE374" s="48"/>
      <c r="AF374" s="56" t="str">
        <f aca="false">IF(AND($D374&lt;&gt;"",$B374="결제완료",$T374="대여"),설정!$J$5,"")</f>
        <v/>
      </c>
      <c r="AG374" s="54" t="str">
        <f aca="false">IF($D374="","",IF(AND($E374="",$R374=""),$AB374,"☎ "&amp;IF($E374="","-",$E374)&amp;IF($R374&lt;&gt;"","  ※ "&amp;$R374,"")&amp;IF($B374="상담중"," (상담)","")))</f>
        <v/>
      </c>
      <c r="AH374" s="56" t="str">
        <f aca="false">IF(AND($D374&lt;&gt;"",$B374="결제완료",$O374="스마트스토어"),ROUND(N($N374)*설정!$J$6,0),"")</f>
        <v/>
      </c>
      <c r="AI374" s="54" t="str">
        <f aca="false">IF($D374="","",ROW())</f>
        <v/>
      </c>
      <c r="AJ374" s="54" t="n">
        <f aca="false">IF(OR($AC374&lt;&gt;1,$M374=""),0,IF(ISNUMBER(SEARCH("퇴사",IFERROR(INDEX(강사DB!$G$4:$G$53,MATCH($M374,강사DB!$A$4:$A$53,0)),""))),1,0))</f>
        <v>0</v>
      </c>
    </row>
    <row r="375" customFormat="false" ht="15" hidden="false" customHeight="false" outlineLevel="0" collapsed="false">
      <c r="A375" s="45" t="str">
        <f aca="false">IF($D375="","",COUNTA($D$5:$D375))</f>
        <v/>
      </c>
      <c r="B375" s="46"/>
      <c r="C375" s="47"/>
      <c r="D375" s="48"/>
      <c r="E375" s="48"/>
      <c r="F375" s="49"/>
      <c r="G375" s="47"/>
      <c r="H375" s="50"/>
      <c r="I375" s="50"/>
      <c r="J375" s="51" t="str">
        <f aca="false">IF(OR($V375="",$W375=""),"",ROUND(($W375-$V375)/60,2))</f>
        <v/>
      </c>
      <c r="K375" s="52" t="str">
        <f aca="false">IF($F375="","",LEN($F375)-LEN(SUBSTITUTE($F375,",",""))+1)</f>
        <v/>
      </c>
      <c r="L375" s="45" t="str">
        <f aca="false">IF($K375="","","1:"&amp;$K375)</f>
        <v/>
      </c>
      <c r="M375" s="46"/>
      <c r="N375" s="53"/>
      <c r="O375" s="46"/>
      <c r="P375" s="47"/>
      <c r="Q375" s="48"/>
      <c r="R375" s="49"/>
      <c r="S375" s="54" t="str">
        <f aca="false">IF(OR($AC375=0,$U375="",$M375="",$V375="",$W375=""),"",IF(COUNTIFS(m_teacher,$M375,m_date,$U375,m_active,1,m_start,"&lt;"&amp;$W375,m_end,"&gt;"&amp;$V375)&gt;1,"충돌",""))</f>
        <v/>
      </c>
      <c r="T375" s="48"/>
      <c r="U375" s="55" t="str">
        <f aca="false">IF($G375="","",IFERROR(IF(ISNUMBER($G375),IF($G375&gt;19000000,DATE(INT($G375/10000),MOD(INT($G375/100),100),MOD($G375,100)),INT($G375)),IF(LEN(SUBSTITUTE(SUBSTITUTE(SUBSTITUTE(TRIM($G375),"-",""),".",""),"/",""))=8,DATE(VALUE(LEFT(SUBSTITUTE(SUBSTITUTE(SUBSTITUTE(TRIM($G375),"-",""),".",""),"/",""),4)),VALUE(MID(SUBSTITUTE(SUBSTITUTE(SUBSTITUTE(TRIM($G375),"-",""),".",""),"/",""),5,2)),VALUE(RIGHT(SUBSTITUTE(SUBSTITUTE(SUBSTITUTE(TRIM($G375),"-",""),".",""),"/",""),2))),DATEVALUE($G375))),""))</f>
        <v/>
      </c>
      <c r="V375" s="52" t="str">
        <f aca="false">IF($H375="","",IFERROR(IF(IF(ISNUMBER($H375),$H375,IFERROR(TIMEVALUE($H375),VALUE($H375)))&gt;=100,INT(IF(ISNUMBER($H375),$H375,IFERROR(TIMEVALUE($H375),VALUE($H375)))/100)*60+MOD(IF(ISNUMBER($H375),$H375,IFERROR(TIMEVALUE($H375),VALUE($H375))),100),IF(IF(ISNUMBER($H375),$H375,IFERROR(TIMEVALUE($H375),VALUE($H375)))&gt;=1,ROUND(IF(ISNUMBER($H375),$H375,IFERROR(TIMEVALUE($H375),VALUE($H375)))*60,0),ROUND(MOD(IF(ISNUMBER($H375),$H375,IFERROR(TIMEVALUE($H375),VALUE($H375))),1)*1440,0))),""))</f>
        <v/>
      </c>
      <c r="W375" s="52" t="str">
        <f aca="false">IF($I375="","",IFERROR(IF(IF(ISNUMBER($I375),$I375,IFERROR(TIMEVALUE($I375),VALUE($I375)))&gt;=100,INT(IF(ISNUMBER($I375),$I375,IFERROR(TIMEVALUE($I375),VALUE($I375)))/100)*60+MOD(IF(ISNUMBER($I375),$I375,IFERROR(TIMEVALUE($I375),VALUE($I375))),100),IF(IF(ISNUMBER($I375),$I375,IFERROR(TIMEVALUE($I375),VALUE($I375)))&gt;=1,ROUND(IF(ISNUMBER($I375),$I375,IFERROR(TIMEVALUE($I375),VALUE($I375)))*60,0),ROUND(MOD(IF(ISNUMBER($I375),$I375,IFERROR(TIMEVALUE($I375),VALUE($I375))),1)*1440,0))),""))</f>
        <v/>
      </c>
      <c r="X375" s="55" t="str">
        <f aca="false">IF($P375="","",IFERROR(IF(ISNUMBER($P375),IF($P375&gt;19000000,DATE(INT($P375/10000),MOD(INT($P375/100),100),MOD($P375,100)),INT($P375)),IF(LEN(SUBSTITUTE(SUBSTITUTE(SUBSTITUTE(TRIM($P375),"-",""),".",""),"/",""))=8,DATE(VALUE(LEFT(SUBSTITUTE(SUBSTITUTE(SUBSTITUTE(TRIM($P375),"-",""),".",""),"/",""),4)),VALUE(MID(SUBSTITUTE(SUBSTITUTE(SUBSTITUTE(TRIM($P375),"-",""),".",""),"/",""),5,2)),VALUE(RIGHT(SUBSTITUTE(SUBSTITUTE(SUBSTITUTE(TRIM($P375),"-",""),".",""),"/",""),2))),DATEVALUE($P375))),""))</f>
        <v/>
      </c>
      <c r="Y375" s="56" t="str">
        <f aca="false">IF($M375="","",IFERROR(INDEX(강사DB!$D$4:$D$53,MATCH($M375,강사DB!$A$4:$A$53,0)),""))</f>
        <v/>
      </c>
      <c r="Z375" s="56" t="str">
        <f aca="false">IF($B375&lt;&gt;"결제완료","",IF(OR($Y375="",$J375=""),"",$Y375*$J375+MAX(0,N($K375)-1)*설정!$J$7))</f>
        <v/>
      </c>
      <c r="AA375" s="56" t="str">
        <f aca="false">IF(AND($D375&lt;&gt;"",$B375="결제완료"),N($N375),"")</f>
        <v/>
      </c>
      <c r="AB375" s="45" t="str">
        <f aca="false">IF($D375="","",IF($F375&lt;&gt;"",$F375,$D375)&amp;IF($B375="상담중"," (상담)",""))</f>
        <v/>
      </c>
      <c r="AC375" s="45" t="n">
        <f aca="false">IF(AND($D375&lt;&gt;"",OR($B375="결제완료",$B375="상담중")),1,0)</f>
        <v>0</v>
      </c>
      <c r="AD375" s="45" t="n">
        <f aca="false">IF(OR($Z375="",$U375=""),0,IFERROR(IF(COUNTIFS(INDEX(g_grid,0,2*MATCH($M375,강사DB!$A$4:$A$15,0)),"&lt;&gt;",g_s,"&lt;="&amp;$U375,g_e,"&gt;="&amp;$U375)&gt;0,1,0),0))</f>
        <v>0</v>
      </c>
      <c r="AE375" s="48"/>
      <c r="AF375" s="56" t="str">
        <f aca="false">IF(AND($D375&lt;&gt;"",$B375="결제완료",$T375="대여"),설정!$J$5,"")</f>
        <v/>
      </c>
      <c r="AG375" s="54" t="str">
        <f aca="false">IF($D375="","",IF(AND($E375="",$R375=""),$AB375,"☎ "&amp;IF($E375="","-",$E375)&amp;IF($R375&lt;&gt;"","  ※ "&amp;$R375,"")&amp;IF($B375="상담중"," (상담)","")))</f>
        <v/>
      </c>
      <c r="AH375" s="56" t="str">
        <f aca="false">IF(AND($D375&lt;&gt;"",$B375="결제완료",$O375="스마트스토어"),ROUND(N($N375)*설정!$J$6,0),"")</f>
        <v/>
      </c>
      <c r="AI375" s="54" t="str">
        <f aca="false">IF($D375="","",ROW())</f>
        <v/>
      </c>
      <c r="AJ375" s="54" t="n">
        <f aca="false">IF(OR($AC375&lt;&gt;1,$M375=""),0,IF(ISNUMBER(SEARCH("퇴사",IFERROR(INDEX(강사DB!$G$4:$G$53,MATCH($M375,강사DB!$A$4:$A$53,0)),""))),1,0))</f>
        <v>0</v>
      </c>
    </row>
    <row r="376" customFormat="false" ht="15" hidden="false" customHeight="false" outlineLevel="0" collapsed="false">
      <c r="A376" s="45" t="str">
        <f aca="false">IF($D376="","",COUNTA($D$5:$D376))</f>
        <v/>
      </c>
      <c r="B376" s="46"/>
      <c r="C376" s="47"/>
      <c r="D376" s="48"/>
      <c r="E376" s="48"/>
      <c r="F376" s="49"/>
      <c r="G376" s="47"/>
      <c r="H376" s="50"/>
      <c r="I376" s="50"/>
      <c r="J376" s="51" t="str">
        <f aca="false">IF(OR($V376="",$W376=""),"",ROUND(($W376-$V376)/60,2))</f>
        <v/>
      </c>
      <c r="K376" s="52" t="str">
        <f aca="false">IF($F376="","",LEN($F376)-LEN(SUBSTITUTE($F376,",",""))+1)</f>
        <v/>
      </c>
      <c r="L376" s="45" t="str">
        <f aca="false">IF($K376="","","1:"&amp;$K376)</f>
        <v/>
      </c>
      <c r="M376" s="46"/>
      <c r="N376" s="53"/>
      <c r="O376" s="46"/>
      <c r="P376" s="47"/>
      <c r="Q376" s="48"/>
      <c r="R376" s="49"/>
      <c r="S376" s="54" t="str">
        <f aca="false">IF(OR($AC376=0,$U376="",$M376="",$V376="",$W376=""),"",IF(COUNTIFS(m_teacher,$M376,m_date,$U376,m_active,1,m_start,"&lt;"&amp;$W376,m_end,"&gt;"&amp;$V376)&gt;1,"충돌",""))</f>
        <v/>
      </c>
      <c r="T376" s="48"/>
      <c r="U376" s="55" t="str">
        <f aca="false">IF($G376="","",IFERROR(IF(ISNUMBER($G376),IF($G376&gt;19000000,DATE(INT($G376/10000),MOD(INT($G376/100),100),MOD($G376,100)),INT($G376)),IF(LEN(SUBSTITUTE(SUBSTITUTE(SUBSTITUTE(TRIM($G376),"-",""),".",""),"/",""))=8,DATE(VALUE(LEFT(SUBSTITUTE(SUBSTITUTE(SUBSTITUTE(TRIM($G376),"-",""),".",""),"/",""),4)),VALUE(MID(SUBSTITUTE(SUBSTITUTE(SUBSTITUTE(TRIM($G376),"-",""),".",""),"/",""),5,2)),VALUE(RIGHT(SUBSTITUTE(SUBSTITUTE(SUBSTITUTE(TRIM($G376),"-",""),".",""),"/",""),2))),DATEVALUE($G376))),""))</f>
        <v/>
      </c>
      <c r="V376" s="52" t="str">
        <f aca="false">IF($H376="","",IFERROR(IF(IF(ISNUMBER($H376),$H376,IFERROR(TIMEVALUE($H376),VALUE($H376)))&gt;=100,INT(IF(ISNUMBER($H376),$H376,IFERROR(TIMEVALUE($H376),VALUE($H376)))/100)*60+MOD(IF(ISNUMBER($H376),$H376,IFERROR(TIMEVALUE($H376),VALUE($H376))),100),IF(IF(ISNUMBER($H376),$H376,IFERROR(TIMEVALUE($H376),VALUE($H376)))&gt;=1,ROUND(IF(ISNUMBER($H376),$H376,IFERROR(TIMEVALUE($H376),VALUE($H376)))*60,0),ROUND(MOD(IF(ISNUMBER($H376),$H376,IFERROR(TIMEVALUE($H376),VALUE($H376))),1)*1440,0))),""))</f>
        <v/>
      </c>
      <c r="W376" s="52" t="str">
        <f aca="false">IF($I376="","",IFERROR(IF(IF(ISNUMBER($I376),$I376,IFERROR(TIMEVALUE($I376),VALUE($I376)))&gt;=100,INT(IF(ISNUMBER($I376),$I376,IFERROR(TIMEVALUE($I376),VALUE($I376)))/100)*60+MOD(IF(ISNUMBER($I376),$I376,IFERROR(TIMEVALUE($I376),VALUE($I376))),100),IF(IF(ISNUMBER($I376),$I376,IFERROR(TIMEVALUE($I376),VALUE($I376)))&gt;=1,ROUND(IF(ISNUMBER($I376),$I376,IFERROR(TIMEVALUE($I376),VALUE($I376)))*60,0),ROUND(MOD(IF(ISNUMBER($I376),$I376,IFERROR(TIMEVALUE($I376),VALUE($I376))),1)*1440,0))),""))</f>
        <v/>
      </c>
      <c r="X376" s="55" t="str">
        <f aca="false">IF($P376="","",IFERROR(IF(ISNUMBER($P376),IF($P376&gt;19000000,DATE(INT($P376/10000),MOD(INT($P376/100),100),MOD($P376,100)),INT($P376)),IF(LEN(SUBSTITUTE(SUBSTITUTE(SUBSTITUTE(TRIM($P376),"-",""),".",""),"/",""))=8,DATE(VALUE(LEFT(SUBSTITUTE(SUBSTITUTE(SUBSTITUTE(TRIM($P376),"-",""),".",""),"/",""),4)),VALUE(MID(SUBSTITUTE(SUBSTITUTE(SUBSTITUTE(TRIM($P376),"-",""),".",""),"/",""),5,2)),VALUE(RIGHT(SUBSTITUTE(SUBSTITUTE(SUBSTITUTE(TRIM($P376),"-",""),".",""),"/",""),2))),DATEVALUE($P376))),""))</f>
        <v/>
      </c>
      <c r="Y376" s="56" t="str">
        <f aca="false">IF($M376="","",IFERROR(INDEX(강사DB!$D$4:$D$53,MATCH($M376,강사DB!$A$4:$A$53,0)),""))</f>
        <v/>
      </c>
      <c r="Z376" s="56" t="str">
        <f aca="false">IF($B376&lt;&gt;"결제완료","",IF(OR($Y376="",$J376=""),"",$Y376*$J376+MAX(0,N($K376)-1)*설정!$J$7))</f>
        <v/>
      </c>
      <c r="AA376" s="56" t="str">
        <f aca="false">IF(AND($D376&lt;&gt;"",$B376="결제완료"),N($N376),"")</f>
        <v/>
      </c>
      <c r="AB376" s="45" t="str">
        <f aca="false">IF($D376="","",IF($F376&lt;&gt;"",$F376,$D376)&amp;IF($B376="상담중"," (상담)",""))</f>
        <v/>
      </c>
      <c r="AC376" s="45" t="n">
        <f aca="false">IF(AND($D376&lt;&gt;"",OR($B376="결제완료",$B376="상담중")),1,0)</f>
        <v>0</v>
      </c>
      <c r="AD376" s="45" t="n">
        <f aca="false">IF(OR($Z376="",$U376=""),0,IFERROR(IF(COUNTIFS(INDEX(g_grid,0,2*MATCH($M376,강사DB!$A$4:$A$15,0)),"&lt;&gt;",g_s,"&lt;="&amp;$U376,g_e,"&gt;="&amp;$U376)&gt;0,1,0),0))</f>
        <v>0</v>
      </c>
      <c r="AE376" s="48"/>
      <c r="AF376" s="56" t="str">
        <f aca="false">IF(AND($D376&lt;&gt;"",$B376="결제완료",$T376="대여"),설정!$J$5,"")</f>
        <v/>
      </c>
      <c r="AG376" s="54" t="str">
        <f aca="false">IF($D376="","",IF(AND($E376="",$R376=""),$AB376,"☎ "&amp;IF($E376="","-",$E376)&amp;IF($R376&lt;&gt;"","  ※ "&amp;$R376,"")&amp;IF($B376="상담중"," (상담)","")))</f>
        <v/>
      </c>
      <c r="AH376" s="56" t="str">
        <f aca="false">IF(AND($D376&lt;&gt;"",$B376="결제완료",$O376="스마트스토어"),ROUND(N($N376)*설정!$J$6,0),"")</f>
        <v/>
      </c>
      <c r="AI376" s="54" t="str">
        <f aca="false">IF($D376="","",ROW())</f>
        <v/>
      </c>
      <c r="AJ376" s="54" t="n">
        <f aca="false">IF(OR($AC376&lt;&gt;1,$M376=""),0,IF(ISNUMBER(SEARCH("퇴사",IFERROR(INDEX(강사DB!$G$4:$G$53,MATCH($M376,강사DB!$A$4:$A$53,0)),""))),1,0))</f>
        <v>0</v>
      </c>
    </row>
    <row r="377" customFormat="false" ht="15" hidden="false" customHeight="false" outlineLevel="0" collapsed="false">
      <c r="A377" s="45" t="str">
        <f aca="false">IF($D377="","",COUNTA($D$5:$D377))</f>
        <v/>
      </c>
      <c r="B377" s="46"/>
      <c r="C377" s="47"/>
      <c r="D377" s="48"/>
      <c r="E377" s="48"/>
      <c r="F377" s="49"/>
      <c r="G377" s="47"/>
      <c r="H377" s="50"/>
      <c r="I377" s="50"/>
      <c r="J377" s="51" t="str">
        <f aca="false">IF(OR($V377="",$W377=""),"",ROUND(($W377-$V377)/60,2))</f>
        <v/>
      </c>
      <c r="K377" s="52" t="str">
        <f aca="false">IF($F377="","",LEN($F377)-LEN(SUBSTITUTE($F377,",",""))+1)</f>
        <v/>
      </c>
      <c r="L377" s="45" t="str">
        <f aca="false">IF($K377="","","1:"&amp;$K377)</f>
        <v/>
      </c>
      <c r="M377" s="46"/>
      <c r="N377" s="53"/>
      <c r="O377" s="46"/>
      <c r="P377" s="47"/>
      <c r="Q377" s="48"/>
      <c r="R377" s="49"/>
      <c r="S377" s="54" t="str">
        <f aca="false">IF(OR($AC377=0,$U377="",$M377="",$V377="",$W377=""),"",IF(COUNTIFS(m_teacher,$M377,m_date,$U377,m_active,1,m_start,"&lt;"&amp;$W377,m_end,"&gt;"&amp;$V377)&gt;1,"충돌",""))</f>
        <v/>
      </c>
      <c r="T377" s="48"/>
      <c r="U377" s="55" t="str">
        <f aca="false">IF($G377="","",IFERROR(IF(ISNUMBER($G377),IF($G377&gt;19000000,DATE(INT($G377/10000),MOD(INT($G377/100),100),MOD($G377,100)),INT($G377)),IF(LEN(SUBSTITUTE(SUBSTITUTE(SUBSTITUTE(TRIM($G377),"-",""),".",""),"/",""))=8,DATE(VALUE(LEFT(SUBSTITUTE(SUBSTITUTE(SUBSTITUTE(TRIM($G377),"-",""),".",""),"/",""),4)),VALUE(MID(SUBSTITUTE(SUBSTITUTE(SUBSTITUTE(TRIM($G377),"-",""),".",""),"/",""),5,2)),VALUE(RIGHT(SUBSTITUTE(SUBSTITUTE(SUBSTITUTE(TRIM($G377),"-",""),".",""),"/",""),2))),DATEVALUE($G377))),""))</f>
        <v/>
      </c>
      <c r="V377" s="52" t="str">
        <f aca="false">IF($H377="","",IFERROR(IF(IF(ISNUMBER($H377),$H377,IFERROR(TIMEVALUE($H377),VALUE($H377)))&gt;=100,INT(IF(ISNUMBER($H377),$H377,IFERROR(TIMEVALUE($H377),VALUE($H377)))/100)*60+MOD(IF(ISNUMBER($H377),$H377,IFERROR(TIMEVALUE($H377),VALUE($H377))),100),IF(IF(ISNUMBER($H377),$H377,IFERROR(TIMEVALUE($H377),VALUE($H377)))&gt;=1,ROUND(IF(ISNUMBER($H377),$H377,IFERROR(TIMEVALUE($H377),VALUE($H377)))*60,0),ROUND(MOD(IF(ISNUMBER($H377),$H377,IFERROR(TIMEVALUE($H377),VALUE($H377))),1)*1440,0))),""))</f>
        <v/>
      </c>
      <c r="W377" s="52" t="str">
        <f aca="false">IF($I377="","",IFERROR(IF(IF(ISNUMBER($I377),$I377,IFERROR(TIMEVALUE($I377),VALUE($I377)))&gt;=100,INT(IF(ISNUMBER($I377),$I377,IFERROR(TIMEVALUE($I377),VALUE($I377)))/100)*60+MOD(IF(ISNUMBER($I377),$I377,IFERROR(TIMEVALUE($I377),VALUE($I377))),100),IF(IF(ISNUMBER($I377),$I377,IFERROR(TIMEVALUE($I377),VALUE($I377)))&gt;=1,ROUND(IF(ISNUMBER($I377),$I377,IFERROR(TIMEVALUE($I377),VALUE($I377)))*60,0),ROUND(MOD(IF(ISNUMBER($I377),$I377,IFERROR(TIMEVALUE($I377),VALUE($I377))),1)*1440,0))),""))</f>
        <v/>
      </c>
      <c r="X377" s="55" t="str">
        <f aca="false">IF($P377="","",IFERROR(IF(ISNUMBER($P377),IF($P377&gt;19000000,DATE(INT($P377/10000),MOD(INT($P377/100),100),MOD($P377,100)),INT($P377)),IF(LEN(SUBSTITUTE(SUBSTITUTE(SUBSTITUTE(TRIM($P377),"-",""),".",""),"/",""))=8,DATE(VALUE(LEFT(SUBSTITUTE(SUBSTITUTE(SUBSTITUTE(TRIM($P377),"-",""),".",""),"/",""),4)),VALUE(MID(SUBSTITUTE(SUBSTITUTE(SUBSTITUTE(TRIM($P377),"-",""),".",""),"/",""),5,2)),VALUE(RIGHT(SUBSTITUTE(SUBSTITUTE(SUBSTITUTE(TRIM($P377),"-",""),".",""),"/",""),2))),DATEVALUE($P377))),""))</f>
        <v/>
      </c>
      <c r="Y377" s="56" t="str">
        <f aca="false">IF($M377="","",IFERROR(INDEX(강사DB!$D$4:$D$53,MATCH($M377,강사DB!$A$4:$A$53,0)),""))</f>
        <v/>
      </c>
      <c r="Z377" s="56" t="str">
        <f aca="false">IF($B377&lt;&gt;"결제완료","",IF(OR($Y377="",$J377=""),"",$Y377*$J377+MAX(0,N($K377)-1)*설정!$J$7))</f>
        <v/>
      </c>
      <c r="AA377" s="56" t="str">
        <f aca="false">IF(AND($D377&lt;&gt;"",$B377="결제완료"),N($N377),"")</f>
        <v/>
      </c>
      <c r="AB377" s="45" t="str">
        <f aca="false">IF($D377="","",IF($F377&lt;&gt;"",$F377,$D377)&amp;IF($B377="상담중"," (상담)",""))</f>
        <v/>
      </c>
      <c r="AC377" s="45" t="n">
        <f aca="false">IF(AND($D377&lt;&gt;"",OR($B377="결제완료",$B377="상담중")),1,0)</f>
        <v>0</v>
      </c>
      <c r="AD377" s="45" t="n">
        <f aca="false">IF(OR($Z377="",$U377=""),0,IFERROR(IF(COUNTIFS(INDEX(g_grid,0,2*MATCH($M377,강사DB!$A$4:$A$15,0)),"&lt;&gt;",g_s,"&lt;="&amp;$U377,g_e,"&gt;="&amp;$U377)&gt;0,1,0),0))</f>
        <v>0</v>
      </c>
      <c r="AE377" s="48"/>
      <c r="AF377" s="56" t="str">
        <f aca="false">IF(AND($D377&lt;&gt;"",$B377="결제완료",$T377="대여"),설정!$J$5,"")</f>
        <v/>
      </c>
      <c r="AG377" s="54" t="str">
        <f aca="false">IF($D377="","",IF(AND($E377="",$R377=""),$AB377,"☎ "&amp;IF($E377="","-",$E377)&amp;IF($R377&lt;&gt;"","  ※ "&amp;$R377,"")&amp;IF($B377="상담중"," (상담)","")))</f>
        <v/>
      </c>
      <c r="AH377" s="56" t="str">
        <f aca="false">IF(AND($D377&lt;&gt;"",$B377="결제완료",$O377="스마트스토어"),ROUND(N($N377)*설정!$J$6,0),"")</f>
        <v/>
      </c>
      <c r="AI377" s="54" t="str">
        <f aca="false">IF($D377="","",ROW())</f>
        <v/>
      </c>
      <c r="AJ377" s="54" t="n">
        <f aca="false">IF(OR($AC377&lt;&gt;1,$M377=""),0,IF(ISNUMBER(SEARCH("퇴사",IFERROR(INDEX(강사DB!$G$4:$G$53,MATCH($M377,강사DB!$A$4:$A$53,0)),""))),1,0))</f>
        <v>0</v>
      </c>
    </row>
    <row r="378" customFormat="false" ht="15" hidden="false" customHeight="false" outlineLevel="0" collapsed="false">
      <c r="A378" s="45" t="str">
        <f aca="false">IF($D378="","",COUNTA($D$5:$D378))</f>
        <v/>
      </c>
      <c r="B378" s="46"/>
      <c r="C378" s="47"/>
      <c r="D378" s="48"/>
      <c r="E378" s="48"/>
      <c r="F378" s="49"/>
      <c r="G378" s="47"/>
      <c r="H378" s="50"/>
      <c r="I378" s="50"/>
      <c r="J378" s="51" t="str">
        <f aca="false">IF(OR($V378="",$W378=""),"",ROUND(($W378-$V378)/60,2))</f>
        <v/>
      </c>
      <c r="K378" s="52" t="str">
        <f aca="false">IF($F378="","",LEN($F378)-LEN(SUBSTITUTE($F378,",",""))+1)</f>
        <v/>
      </c>
      <c r="L378" s="45" t="str">
        <f aca="false">IF($K378="","","1:"&amp;$K378)</f>
        <v/>
      </c>
      <c r="M378" s="46"/>
      <c r="N378" s="53"/>
      <c r="O378" s="46"/>
      <c r="P378" s="47"/>
      <c r="Q378" s="48"/>
      <c r="R378" s="49"/>
      <c r="S378" s="54" t="str">
        <f aca="false">IF(OR($AC378=0,$U378="",$M378="",$V378="",$W378=""),"",IF(COUNTIFS(m_teacher,$M378,m_date,$U378,m_active,1,m_start,"&lt;"&amp;$W378,m_end,"&gt;"&amp;$V378)&gt;1,"충돌",""))</f>
        <v/>
      </c>
      <c r="T378" s="48"/>
      <c r="U378" s="55" t="str">
        <f aca="false">IF($G378="","",IFERROR(IF(ISNUMBER($G378),IF($G378&gt;19000000,DATE(INT($G378/10000),MOD(INT($G378/100),100),MOD($G378,100)),INT($G378)),IF(LEN(SUBSTITUTE(SUBSTITUTE(SUBSTITUTE(TRIM($G378),"-",""),".",""),"/",""))=8,DATE(VALUE(LEFT(SUBSTITUTE(SUBSTITUTE(SUBSTITUTE(TRIM($G378),"-",""),".",""),"/",""),4)),VALUE(MID(SUBSTITUTE(SUBSTITUTE(SUBSTITUTE(TRIM($G378),"-",""),".",""),"/",""),5,2)),VALUE(RIGHT(SUBSTITUTE(SUBSTITUTE(SUBSTITUTE(TRIM($G378),"-",""),".",""),"/",""),2))),DATEVALUE($G378))),""))</f>
        <v/>
      </c>
      <c r="V378" s="52" t="str">
        <f aca="false">IF($H378="","",IFERROR(IF(IF(ISNUMBER($H378),$H378,IFERROR(TIMEVALUE($H378),VALUE($H378)))&gt;=100,INT(IF(ISNUMBER($H378),$H378,IFERROR(TIMEVALUE($H378),VALUE($H378)))/100)*60+MOD(IF(ISNUMBER($H378),$H378,IFERROR(TIMEVALUE($H378),VALUE($H378))),100),IF(IF(ISNUMBER($H378),$H378,IFERROR(TIMEVALUE($H378),VALUE($H378)))&gt;=1,ROUND(IF(ISNUMBER($H378),$H378,IFERROR(TIMEVALUE($H378),VALUE($H378)))*60,0),ROUND(MOD(IF(ISNUMBER($H378),$H378,IFERROR(TIMEVALUE($H378),VALUE($H378))),1)*1440,0))),""))</f>
        <v/>
      </c>
      <c r="W378" s="52" t="str">
        <f aca="false">IF($I378="","",IFERROR(IF(IF(ISNUMBER($I378),$I378,IFERROR(TIMEVALUE($I378),VALUE($I378)))&gt;=100,INT(IF(ISNUMBER($I378),$I378,IFERROR(TIMEVALUE($I378),VALUE($I378)))/100)*60+MOD(IF(ISNUMBER($I378),$I378,IFERROR(TIMEVALUE($I378),VALUE($I378))),100),IF(IF(ISNUMBER($I378),$I378,IFERROR(TIMEVALUE($I378),VALUE($I378)))&gt;=1,ROUND(IF(ISNUMBER($I378),$I378,IFERROR(TIMEVALUE($I378),VALUE($I378)))*60,0),ROUND(MOD(IF(ISNUMBER($I378),$I378,IFERROR(TIMEVALUE($I378),VALUE($I378))),1)*1440,0))),""))</f>
        <v/>
      </c>
      <c r="X378" s="55" t="str">
        <f aca="false">IF($P378="","",IFERROR(IF(ISNUMBER($P378),IF($P378&gt;19000000,DATE(INT($P378/10000),MOD(INT($P378/100),100),MOD($P378,100)),INT($P378)),IF(LEN(SUBSTITUTE(SUBSTITUTE(SUBSTITUTE(TRIM($P378),"-",""),".",""),"/",""))=8,DATE(VALUE(LEFT(SUBSTITUTE(SUBSTITUTE(SUBSTITUTE(TRIM($P378),"-",""),".",""),"/",""),4)),VALUE(MID(SUBSTITUTE(SUBSTITUTE(SUBSTITUTE(TRIM($P378),"-",""),".",""),"/",""),5,2)),VALUE(RIGHT(SUBSTITUTE(SUBSTITUTE(SUBSTITUTE(TRIM($P378),"-",""),".",""),"/",""),2))),DATEVALUE($P378))),""))</f>
        <v/>
      </c>
      <c r="Y378" s="56" t="str">
        <f aca="false">IF($M378="","",IFERROR(INDEX(강사DB!$D$4:$D$53,MATCH($M378,강사DB!$A$4:$A$53,0)),""))</f>
        <v/>
      </c>
      <c r="Z378" s="56" t="str">
        <f aca="false">IF($B378&lt;&gt;"결제완료","",IF(OR($Y378="",$J378=""),"",$Y378*$J378+MAX(0,N($K378)-1)*설정!$J$7))</f>
        <v/>
      </c>
      <c r="AA378" s="56" t="str">
        <f aca="false">IF(AND($D378&lt;&gt;"",$B378="결제완료"),N($N378),"")</f>
        <v/>
      </c>
      <c r="AB378" s="45" t="str">
        <f aca="false">IF($D378="","",IF($F378&lt;&gt;"",$F378,$D378)&amp;IF($B378="상담중"," (상담)",""))</f>
        <v/>
      </c>
      <c r="AC378" s="45" t="n">
        <f aca="false">IF(AND($D378&lt;&gt;"",OR($B378="결제완료",$B378="상담중")),1,0)</f>
        <v>0</v>
      </c>
      <c r="AD378" s="45" t="n">
        <f aca="false">IF(OR($Z378="",$U378=""),0,IFERROR(IF(COUNTIFS(INDEX(g_grid,0,2*MATCH($M378,강사DB!$A$4:$A$15,0)),"&lt;&gt;",g_s,"&lt;="&amp;$U378,g_e,"&gt;="&amp;$U378)&gt;0,1,0),0))</f>
        <v>0</v>
      </c>
      <c r="AE378" s="48"/>
      <c r="AF378" s="56" t="str">
        <f aca="false">IF(AND($D378&lt;&gt;"",$B378="결제완료",$T378="대여"),설정!$J$5,"")</f>
        <v/>
      </c>
      <c r="AG378" s="54" t="str">
        <f aca="false">IF($D378="","",IF(AND($E378="",$R378=""),$AB378,"☎ "&amp;IF($E378="","-",$E378)&amp;IF($R378&lt;&gt;"","  ※ "&amp;$R378,"")&amp;IF($B378="상담중"," (상담)","")))</f>
        <v/>
      </c>
      <c r="AH378" s="56" t="str">
        <f aca="false">IF(AND($D378&lt;&gt;"",$B378="결제완료",$O378="스마트스토어"),ROUND(N($N378)*설정!$J$6,0),"")</f>
        <v/>
      </c>
      <c r="AI378" s="54" t="str">
        <f aca="false">IF($D378="","",ROW())</f>
        <v/>
      </c>
      <c r="AJ378" s="54" t="n">
        <f aca="false">IF(OR($AC378&lt;&gt;1,$M378=""),0,IF(ISNUMBER(SEARCH("퇴사",IFERROR(INDEX(강사DB!$G$4:$G$53,MATCH($M378,강사DB!$A$4:$A$53,0)),""))),1,0))</f>
        <v>0</v>
      </c>
    </row>
    <row r="379" customFormat="false" ht="15" hidden="false" customHeight="false" outlineLevel="0" collapsed="false">
      <c r="A379" s="45" t="str">
        <f aca="false">IF($D379="","",COUNTA($D$5:$D379))</f>
        <v/>
      </c>
      <c r="B379" s="46"/>
      <c r="C379" s="47"/>
      <c r="D379" s="48"/>
      <c r="E379" s="48"/>
      <c r="F379" s="49"/>
      <c r="G379" s="47"/>
      <c r="H379" s="50"/>
      <c r="I379" s="50"/>
      <c r="J379" s="51" t="str">
        <f aca="false">IF(OR($V379="",$W379=""),"",ROUND(($W379-$V379)/60,2))</f>
        <v/>
      </c>
      <c r="K379" s="52" t="str">
        <f aca="false">IF($F379="","",LEN($F379)-LEN(SUBSTITUTE($F379,",",""))+1)</f>
        <v/>
      </c>
      <c r="L379" s="45" t="str">
        <f aca="false">IF($K379="","","1:"&amp;$K379)</f>
        <v/>
      </c>
      <c r="M379" s="46"/>
      <c r="N379" s="53"/>
      <c r="O379" s="46"/>
      <c r="P379" s="47"/>
      <c r="Q379" s="48"/>
      <c r="R379" s="49"/>
      <c r="S379" s="54" t="str">
        <f aca="false">IF(OR($AC379=0,$U379="",$M379="",$V379="",$W379=""),"",IF(COUNTIFS(m_teacher,$M379,m_date,$U379,m_active,1,m_start,"&lt;"&amp;$W379,m_end,"&gt;"&amp;$V379)&gt;1,"충돌",""))</f>
        <v/>
      </c>
      <c r="T379" s="48"/>
      <c r="U379" s="55" t="str">
        <f aca="false">IF($G379="","",IFERROR(IF(ISNUMBER($G379),IF($G379&gt;19000000,DATE(INT($G379/10000),MOD(INT($G379/100),100),MOD($G379,100)),INT($G379)),IF(LEN(SUBSTITUTE(SUBSTITUTE(SUBSTITUTE(TRIM($G379),"-",""),".",""),"/",""))=8,DATE(VALUE(LEFT(SUBSTITUTE(SUBSTITUTE(SUBSTITUTE(TRIM($G379),"-",""),".",""),"/",""),4)),VALUE(MID(SUBSTITUTE(SUBSTITUTE(SUBSTITUTE(TRIM($G379),"-",""),".",""),"/",""),5,2)),VALUE(RIGHT(SUBSTITUTE(SUBSTITUTE(SUBSTITUTE(TRIM($G379),"-",""),".",""),"/",""),2))),DATEVALUE($G379))),""))</f>
        <v/>
      </c>
      <c r="V379" s="52" t="str">
        <f aca="false">IF($H379="","",IFERROR(IF(IF(ISNUMBER($H379),$H379,IFERROR(TIMEVALUE($H379),VALUE($H379)))&gt;=100,INT(IF(ISNUMBER($H379),$H379,IFERROR(TIMEVALUE($H379),VALUE($H379)))/100)*60+MOD(IF(ISNUMBER($H379),$H379,IFERROR(TIMEVALUE($H379),VALUE($H379))),100),IF(IF(ISNUMBER($H379),$H379,IFERROR(TIMEVALUE($H379),VALUE($H379)))&gt;=1,ROUND(IF(ISNUMBER($H379),$H379,IFERROR(TIMEVALUE($H379),VALUE($H379)))*60,0),ROUND(MOD(IF(ISNUMBER($H379),$H379,IFERROR(TIMEVALUE($H379),VALUE($H379))),1)*1440,0))),""))</f>
        <v/>
      </c>
      <c r="W379" s="52" t="str">
        <f aca="false">IF($I379="","",IFERROR(IF(IF(ISNUMBER($I379),$I379,IFERROR(TIMEVALUE($I379),VALUE($I379)))&gt;=100,INT(IF(ISNUMBER($I379),$I379,IFERROR(TIMEVALUE($I379),VALUE($I379)))/100)*60+MOD(IF(ISNUMBER($I379),$I379,IFERROR(TIMEVALUE($I379),VALUE($I379))),100),IF(IF(ISNUMBER($I379),$I379,IFERROR(TIMEVALUE($I379),VALUE($I379)))&gt;=1,ROUND(IF(ISNUMBER($I379),$I379,IFERROR(TIMEVALUE($I379),VALUE($I379)))*60,0),ROUND(MOD(IF(ISNUMBER($I379),$I379,IFERROR(TIMEVALUE($I379),VALUE($I379))),1)*1440,0))),""))</f>
        <v/>
      </c>
      <c r="X379" s="55" t="str">
        <f aca="false">IF($P379="","",IFERROR(IF(ISNUMBER($P379),IF($P379&gt;19000000,DATE(INT($P379/10000),MOD(INT($P379/100),100),MOD($P379,100)),INT($P379)),IF(LEN(SUBSTITUTE(SUBSTITUTE(SUBSTITUTE(TRIM($P379),"-",""),".",""),"/",""))=8,DATE(VALUE(LEFT(SUBSTITUTE(SUBSTITUTE(SUBSTITUTE(TRIM($P379),"-",""),".",""),"/",""),4)),VALUE(MID(SUBSTITUTE(SUBSTITUTE(SUBSTITUTE(TRIM($P379),"-",""),".",""),"/",""),5,2)),VALUE(RIGHT(SUBSTITUTE(SUBSTITUTE(SUBSTITUTE(TRIM($P379),"-",""),".",""),"/",""),2))),DATEVALUE($P379))),""))</f>
        <v/>
      </c>
      <c r="Y379" s="56" t="str">
        <f aca="false">IF($M379="","",IFERROR(INDEX(강사DB!$D$4:$D$53,MATCH($M379,강사DB!$A$4:$A$53,0)),""))</f>
        <v/>
      </c>
      <c r="Z379" s="56" t="str">
        <f aca="false">IF($B379&lt;&gt;"결제완료","",IF(OR($Y379="",$J379=""),"",$Y379*$J379+MAX(0,N($K379)-1)*설정!$J$7))</f>
        <v/>
      </c>
      <c r="AA379" s="56" t="str">
        <f aca="false">IF(AND($D379&lt;&gt;"",$B379="결제완료"),N($N379),"")</f>
        <v/>
      </c>
      <c r="AB379" s="45" t="str">
        <f aca="false">IF($D379="","",IF($F379&lt;&gt;"",$F379,$D379)&amp;IF($B379="상담중"," (상담)",""))</f>
        <v/>
      </c>
      <c r="AC379" s="45" t="n">
        <f aca="false">IF(AND($D379&lt;&gt;"",OR($B379="결제완료",$B379="상담중")),1,0)</f>
        <v>0</v>
      </c>
      <c r="AD379" s="45" t="n">
        <f aca="false">IF(OR($Z379="",$U379=""),0,IFERROR(IF(COUNTIFS(INDEX(g_grid,0,2*MATCH($M379,강사DB!$A$4:$A$15,0)),"&lt;&gt;",g_s,"&lt;="&amp;$U379,g_e,"&gt;="&amp;$U379)&gt;0,1,0),0))</f>
        <v>0</v>
      </c>
      <c r="AE379" s="48"/>
      <c r="AF379" s="56" t="str">
        <f aca="false">IF(AND($D379&lt;&gt;"",$B379="결제완료",$T379="대여"),설정!$J$5,"")</f>
        <v/>
      </c>
      <c r="AG379" s="54" t="str">
        <f aca="false">IF($D379="","",IF(AND($E379="",$R379=""),$AB379,"☎ "&amp;IF($E379="","-",$E379)&amp;IF($R379&lt;&gt;"","  ※ "&amp;$R379,"")&amp;IF($B379="상담중"," (상담)","")))</f>
        <v/>
      </c>
      <c r="AH379" s="56" t="str">
        <f aca="false">IF(AND($D379&lt;&gt;"",$B379="결제완료",$O379="스마트스토어"),ROUND(N($N379)*설정!$J$6,0),"")</f>
        <v/>
      </c>
      <c r="AI379" s="54" t="str">
        <f aca="false">IF($D379="","",ROW())</f>
        <v/>
      </c>
      <c r="AJ379" s="54" t="n">
        <f aca="false">IF(OR($AC379&lt;&gt;1,$M379=""),0,IF(ISNUMBER(SEARCH("퇴사",IFERROR(INDEX(강사DB!$G$4:$G$53,MATCH($M379,강사DB!$A$4:$A$53,0)),""))),1,0))</f>
        <v>0</v>
      </c>
    </row>
    <row r="380" customFormat="false" ht="15" hidden="false" customHeight="false" outlineLevel="0" collapsed="false">
      <c r="A380" s="45" t="str">
        <f aca="false">IF($D380="","",COUNTA($D$5:$D380))</f>
        <v/>
      </c>
      <c r="B380" s="46"/>
      <c r="C380" s="47"/>
      <c r="D380" s="48"/>
      <c r="E380" s="48"/>
      <c r="F380" s="49"/>
      <c r="G380" s="47"/>
      <c r="H380" s="50"/>
      <c r="I380" s="50"/>
      <c r="J380" s="51" t="str">
        <f aca="false">IF(OR($V380="",$W380=""),"",ROUND(($W380-$V380)/60,2))</f>
        <v/>
      </c>
      <c r="K380" s="52" t="str">
        <f aca="false">IF($F380="","",LEN($F380)-LEN(SUBSTITUTE($F380,",",""))+1)</f>
        <v/>
      </c>
      <c r="L380" s="45" t="str">
        <f aca="false">IF($K380="","","1:"&amp;$K380)</f>
        <v/>
      </c>
      <c r="M380" s="46"/>
      <c r="N380" s="53"/>
      <c r="O380" s="46"/>
      <c r="P380" s="47"/>
      <c r="Q380" s="48"/>
      <c r="R380" s="49"/>
      <c r="S380" s="54" t="str">
        <f aca="false">IF(OR($AC380=0,$U380="",$M380="",$V380="",$W380=""),"",IF(COUNTIFS(m_teacher,$M380,m_date,$U380,m_active,1,m_start,"&lt;"&amp;$W380,m_end,"&gt;"&amp;$V380)&gt;1,"충돌",""))</f>
        <v/>
      </c>
      <c r="T380" s="48"/>
      <c r="U380" s="55" t="str">
        <f aca="false">IF($G380="","",IFERROR(IF(ISNUMBER($G380),IF($G380&gt;19000000,DATE(INT($G380/10000),MOD(INT($G380/100),100),MOD($G380,100)),INT($G380)),IF(LEN(SUBSTITUTE(SUBSTITUTE(SUBSTITUTE(TRIM($G380),"-",""),".",""),"/",""))=8,DATE(VALUE(LEFT(SUBSTITUTE(SUBSTITUTE(SUBSTITUTE(TRIM($G380),"-",""),".",""),"/",""),4)),VALUE(MID(SUBSTITUTE(SUBSTITUTE(SUBSTITUTE(TRIM($G380),"-",""),".",""),"/",""),5,2)),VALUE(RIGHT(SUBSTITUTE(SUBSTITUTE(SUBSTITUTE(TRIM($G380),"-",""),".",""),"/",""),2))),DATEVALUE($G380))),""))</f>
        <v/>
      </c>
      <c r="V380" s="52" t="str">
        <f aca="false">IF($H380="","",IFERROR(IF(IF(ISNUMBER($H380),$H380,IFERROR(TIMEVALUE($H380),VALUE($H380)))&gt;=100,INT(IF(ISNUMBER($H380),$H380,IFERROR(TIMEVALUE($H380),VALUE($H380)))/100)*60+MOD(IF(ISNUMBER($H380),$H380,IFERROR(TIMEVALUE($H380),VALUE($H380))),100),IF(IF(ISNUMBER($H380),$H380,IFERROR(TIMEVALUE($H380),VALUE($H380)))&gt;=1,ROUND(IF(ISNUMBER($H380),$H380,IFERROR(TIMEVALUE($H380),VALUE($H380)))*60,0),ROUND(MOD(IF(ISNUMBER($H380),$H380,IFERROR(TIMEVALUE($H380),VALUE($H380))),1)*1440,0))),""))</f>
        <v/>
      </c>
      <c r="W380" s="52" t="str">
        <f aca="false">IF($I380="","",IFERROR(IF(IF(ISNUMBER($I380),$I380,IFERROR(TIMEVALUE($I380),VALUE($I380)))&gt;=100,INT(IF(ISNUMBER($I380),$I380,IFERROR(TIMEVALUE($I380),VALUE($I380)))/100)*60+MOD(IF(ISNUMBER($I380),$I380,IFERROR(TIMEVALUE($I380),VALUE($I380))),100),IF(IF(ISNUMBER($I380),$I380,IFERROR(TIMEVALUE($I380),VALUE($I380)))&gt;=1,ROUND(IF(ISNUMBER($I380),$I380,IFERROR(TIMEVALUE($I380),VALUE($I380)))*60,0),ROUND(MOD(IF(ISNUMBER($I380),$I380,IFERROR(TIMEVALUE($I380),VALUE($I380))),1)*1440,0))),""))</f>
        <v/>
      </c>
      <c r="X380" s="55" t="str">
        <f aca="false">IF($P380="","",IFERROR(IF(ISNUMBER($P380),IF($P380&gt;19000000,DATE(INT($P380/10000),MOD(INT($P380/100),100),MOD($P380,100)),INT($P380)),IF(LEN(SUBSTITUTE(SUBSTITUTE(SUBSTITUTE(TRIM($P380),"-",""),".",""),"/",""))=8,DATE(VALUE(LEFT(SUBSTITUTE(SUBSTITUTE(SUBSTITUTE(TRIM($P380),"-",""),".",""),"/",""),4)),VALUE(MID(SUBSTITUTE(SUBSTITUTE(SUBSTITUTE(TRIM($P380),"-",""),".",""),"/",""),5,2)),VALUE(RIGHT(SUBSTITUTE(SUBSTITUTE(SUBSTITUTE(TRIM($P380),"-",""),".",""),"/",""),2))),DATEVALUE($P380))),""))</f>
        <v/>
      </c>
      <c r="Y380" s="56" t="str">
        <f aca="false">IF($M380="","",IFERROR(INDEX(강사DB!$D$4:$D$53,MATCH($M380,강사DB!$A$4:$A$53,0)),""))</f>
        <v/>
      </c>
      <c r="Z380" s="56" t="str">
        <f aca="false">IF($B380&lt;&gt;"결제완료","",IF(OR($Y380="",$J380=""),"",$Y380*$J380+MAX(0,N($K380)-1)*설정!$J$7))</f>
        <v/>
      </c>
      <c r="AA380" s="56" t="str">
        <f aca="false">IF(AND($D380&lt;&gt;"",$B380="결제완료"),N($N380),"")</f>
        <v/>
      </c>
      <c r="AB380" s="45" t="str">
        <f aca="false">IF($D380="","",IF($F380&lt;&gt;"",$F380,$D380)&amp;IF($B380="상담중"," (상담)",""))</f>
        <v/>
      </c>
      <c r="AC380" s="45" t="n">
        <f aca="false">IF(AND($D380&lt;&gt;"",OR($B380="결제완료",$B380="상담중")),1,0)</f>
        <v>0</v>
      </c>
      <c r="AD380" s="45" t="n">
        <f aca="false">IF(OR($Z380="",$U380=""),0,IFERROR(IF(COUNTIFS(INDEX(g_grid,0,2*MATCH($M380,강사DB!$A$4:$A$15,0)),"&lt;&gt;",g_s,"&lt;="&amp;$U380,g_e,"&gt;="&amp;$U380)&gt;0,1,0),0))</f>
        <v>0</v>
      </c>
      <c r="AE380" s="48"/>
      <c r="AF380" s="56" t="str">
        <f aca="false">IF(AND($D380&lt;&gt;"",$B380="결제완료",$T380="대여"),설정!$J$5,"")</f>
        <v/>
      </c>
      <c r="AG380" s="54" t="str">
        <f aca="false">IF($D380="","",IF(AND($E380="",$R380=""),$AB380,"☎ "&amp;IF($E380="","-",$E380)&amp;IF($R380&lt;&gt;"","  ※ "&amp;$R380,"")&amp;IF($B380="상담중"," (상담)","")))</f>
        <v/>
      </c>
      <c r="AH380" s="56" t="str">
        <f aca="false">IF(AND($D380&lt;&gt;"",$B380="결제완료",$O380="스마트스토어"),ROUND(N($N380)*설정!$J$6,0),"")</f>
        <v/>
      </c>
      <c r="AI380" s="54" t="str">
        <f aca="false">IF($D380="","",ROW())</f>
        <v/>
      </c>
      <c r="AJ380" s="54" t="n">
        <f aca="false">IF(OR($AC380&lt;&gt;1,$M380=""),0,IF(ISNUMBER(SEARCH("퇴사",IFERROR(INDEX(강사DB!$G$4:$G$53,MATCH($M380,강사DB!$A$4:$A$53,0)),""))),1,0))</f>
        <v>0</v>
      </c>
    </row>
    <row r="381" customFormat="false" ht="15" hidden="false" customHeight="false" outlineLevel="0" collapsed="false">
      <c r="A381" s="45" t="str">
        <f aca="false">IF($D381="","",COUNTA($D$5:$D381))</f>
        <v/>
      </c>
      <c r="B381" s="46"/>
      <c r="C381" s="47"/>
      <c r="D381" s="48"/>
      <c r="E381" s="48"/>
      <c r="F381" s="49"/>
      <c r="G381" s="47"/>
      <c r="H381" s="50"/>
      <c r="I381" s="50"/>
      <c r="J381" s="51" t="str">
        <f aca="false">IF(OR($V381="",$W381=""),"",ROUND(($W381-$V381)/60,2))</f>
        <v/>
      </c>
      <c r="K381" s="52" t="str">
        <f aca="false">IF($F381="","",LEN($F381)-LEN(SUBSTITUTE($F381,",",""))+1)</f>
        <v/>
      </c>
      <c r="L381" s="45" t="str">
        <f aca="false">IF($K381="","","1:"&amp;$K381)</f>
        <v/>
      </c>
      <c r="M381" s="46"/>
      <c r="N381" s="53"/>
      <c r="O381" s="46"/>
      <c r="P381" s="47"/>
      <c r="Q381" s="48"/>
      <c r="R381" s="49"/>
      <c r="S381" s="54" t="str">
        <f aca="false">IF(OR($AC381=0,$U381="",$M381="",$V381="",$W381=""),"",IF(COUNTIFS(m_teacher,$M381,m_date,$U381,m_active,1,m_start,"&lt;"&amp;$W381,m_end,"&gt;"&amp;$V381)&gt;1,"충돌",""))</f>
        <v/>
      </c>
      <c r="T381" s="48"/>
      <c r="U381" s="55" t="str">
        <f aca="false">IF($G381="","",IFERROR(IF(ISNUMBER($G381),IF($G381&gt;19000000,DATE(INT($G381/10000),MOD(INT($G381/100),100),MOD($G381,100)),INT($G381)),IF(LEN(SUBSTITUTE(SUBSTITUTE(SUBSTITUTE(TRIM($G381),"-",""),".",""),"/",""))=8,DATE(VALUE(LEFT(SUBSTITUTE(SUBSTITUTE(SUBSTITUTE(TRIM($G381),"-",""),".",""),"/",""),4)),VALUE(MID(SUBSTITUTE(SUBSTITUTE(SUBSTITUTE(TRIM($G381),"-",""),".",""),"/",""),5,2)),VALUE(RIGHT(SUBSTITUTE(SUBSTITUTE(SUBSTITUTE(TRIM($G381),"-",""),".",""),"/",""),2))),DATEVALUE($G381))),""))</f>
        <v/>
      </c>
      <c r="V381" s="52" t="str">
        <f aca="false">IF($H381="","",IFERROR(IF(IF(ISNUMBER($H381),$H381,IFERROR(TIMEVALUE($H381),VALUE($H381)))&gt;=100,INT(IF(ISNUMBER($H381),$H381,IFERROR(TIMEVALUE($H381),VALUE($H381)))/100)*60+MOD(IF(ISNUMBER($H381),$H381,IFERROR(TIMEVALUE($H381),VALUE($H381))),100),IF(IF(ISNUMBER($H381),$H381,IFERROR(TIMEVALUE($H381),VALUE($H381)))&gt;=1,ROUND(IF(ISNUMBER($H381),$H381,IFERROR(TIMEVALUE($H381),VALUE($H381)))*60,0),ROUND(MOD(IF(ISNUMBER($H381),$H381,IFERROR(TIMEVALUE($H381),VALUE($H381))),1)*1440,0))),""))</f>
        <v/>
      </c>
      <c r="W381" s="52" t="str">
        <f aca="false">IF($I381="","",IFERROR(IF(IF(ISNUMBER($I381),$I381,IFERROR(TIMEVALUE($I381),VALUE($I381)))&gt;=100,INT(IF(ISNUMBER($I381),$I381,IFERROR(TIMEVALUE($I381),VALUE($I381)))/100)*60+MOD(IF(ISNUMBER($I381),$I381,IFERROR(TIMEVALUE($I381),VALUE($I381))),100),IF(IF(ISNUMBER($I381),$I381,IFERROR(TIMEVALUE($I381),VALUE($I381)))&gt;=1,ROUND(IF(ISNUMBER($I381),$I381,IFERROR(TIMEVALUE($I381),VALUE($I381)))*60,0),ROUND(MOD(IF(ISNUMBER($I381),$I381,IFERROR(TIMEVALUE($I381),VALUE($I381))),1)*1440,0))),""))</f>
        <v/>
      </c>
      <c r="X381" s="55" t="str">
        <f aca="false">IF($P381="","",IFERROR(IF(ISNUMBER($P381),IF($P381&gt;19000000,DATE(INT($P381/10000),MOD(INT($P381/100),100),MOD($P381,100)),INT($P381)),IF(LEN(SUBSTITUTE(SUBSTITUTE(SUBSTITUTE(TRIM($P381),"-",""),".",""),"/",""))=8,DATE(VALUE(LEFT(SUBSTITUTE(SUBSTITUTE(SUBSTITUTE(TRIM($P381),"-",""),".",""),"/",""),4)),VALUE(MID(SUBSTITUTE(SUBSTITUTE(SUBSTITUTE(TRIM($P381),"-",""),".",""),"/",""),5,2)),VALUE(RIGHT(SUBSTITUTE(SUBSTITUTE(SUBSTITUTE(TRIM($P381),"-",""),".",""),"/",""),2))),DATEVALUE($P381))),""))</f>
        <v/>
      </c>
      <c r="Y381" s="56" t="str">
        <f aca="false">IF($M381="","",IFERROR(INDEX(강사DB!$D$4:$D$53,MATCH($M381,강사DB!$A$4:$A$53,0)),""))</f>
        <v/>
      </c>
      <c r="Z381" s="56" t="str">
        <f aca="false">IF($B381&lt;&gt;"결제완료","",IF(OR($Y381="",$J381=""),"",$Y381*$J381+MAX(0,N($K381)-1)*설정!$J$7))</f>
        <v/>
      </c>
      <c r="AA381" s="56" t="str">
        <f aca="false">IF(AND($D381&lt;&gt;"",$B381="결제완료"),N($N381),"")</f>
        <v/>
      </c>
      <c r="AB381" s="45" t="str">
        <f aca="false">IF($D381="","",IF($F381&lt;&gt;"",$F381,$D381)&amp;IF($B381="상담중"," (상담)",""))</f>
        <v/>
      </c>
      <c r="AC381" s="45" t="n">
        <f aca="false">IF(AND($D381&lt;&gt;"",OR($B381="결제완료",$B381="상담중")),1,0)</f>
        <v>0</v>
      </c>
      <c r="AD381" s="45" t="n">
        <f aca="false">IF(OR($Z381="",$U381=""),0,IFERROR(IF(COUNTIFS(INDEX(g_grid,0,2*MATCH($M381,강사DB!$A$4:$A$15,0)),"&lt;&gt;",g_s,"&lt;="&amp;$U381,g_e,"&gt;="&amp;$U381)&gt;0,1,0),0))</f>
        <v>0</v>
      </c>
      <c r="AE381" s="48"/>
      <c r="AF381" s="56" t="str">
        <f aca="false">IF(AND($D381&lt;&gt;"",$B381="결제완료",$T381="대여"),설정!$J$5,"")</f>
        <v/>
      </c>
      <c r="AG381" s="54" t="str">
        <f aca="false">IF($D381="","",IF(AND($E381="",$R381=""),$AB381,"☎ "&amp;IF($E381="","-",$E381)&amp;IF($R381&lt;&gt;"","  ※ "&amp;$R381,"")&amp;IF($B381="상담중"," (상담)","")))</f>
        <v/>
      </c>
      <c r="AH381" s="56" t="str">
        <f aca="false">IF(AND($D381&lt;&gt;"",$B381="결제완료",$O381="스마트스토어"),ROUND(N($N381)*설정!$J$6,0),"")</f>
        <v/>
      </c>
      <c r="AI381" s="54" t="str">
        <f aca="false">IF($D381="","",ROW())</f>
        <v/>
      </c>
      <c r="AJ381" s="54" t="n">
        <f aca="false">IF(OR($AC381&lt;&gt;1,$M381=""),0,IF(ISNUMBER(SEARCH("퇴사",IFERROR(INDEX(강사DB!$G$4:$G$53,MATCH($M381,강사DB!$A$4:$A$53,0)),""))),1,0))</f>
        <v>0</v>
      </c>
    </row>
    <row r="382" customFormat="false" ht="15" hidden="false" customHeight="false" outlineLevel="0" collapsed="false">
      <c r="A382" s="45" t="str">
        <f aca="false">IF($D382="","",COUNTA($D$5:$D382))</f>
        <v/>
      </c>
      <c r="B382" s="46"/>
      <c r="C382" s="47"/>
      <c r="D382" s="48"/>
      <c r="E382" s="48"/>
      <c r="F382" s="49"/>
      <c r="G382" s="47"/>
      <c r="H382" s="50"/>
      <c r="I382" s="50"/>
      <c r="J382" s="51" t="str">
        <f aca="false">IF(OR($V382="",$W382=""),"",ROUND(($W382-$V382)/60,2))</f>
        <v/>
      </c>
      <c r="K382" s="52" t="str">
        <f aca="false">IF($F382="","",LEN($F382)-LEN(SUBSTITUTE($F382,",",""))+1)</f>
        <v/>
      </c>
      <c r="L382" s="45" t="str">
        <f aca="false">IF($K382="","","1:"&amp;$K382)</f>
        <v/>
      </c>
      <c r="M382" s="46"/>
      <c r="N382" s="53"/>
      <c r="O382" s="46"/>
      <c r="P382" s="47"/>
      <c r="Q382" s="48"/>
      <c r="R382" s="49"/>
      <c r="S382" s="54" t="str">
        <f aca="false">IF(OR($AC382=0,$U382="",$M382="",$V382="",$W382=""),"",IF(COUNTIFS(m_teacher,$M382,m_date,$U382,m_active,1,m_start,"&lt;"&amp;$W382,m_end,"&gt;"&amp;$V382)&gt;1,"충돌",""))</f>
        <v/>
      </c>
      <c r="T382" s="48"/>
      <c r="U382" s="55" t="str">
        <f aca="false">IF($G382="","",IFERROR(IF(ISNUMBER($G382),IF($G382&gt;19000000,DATE(INT($G382/10000),MOD(INT($G382/100),100),MOD($G382,100)),INT($G382)),IF(LEN(SUBSTITUTE(SUBSTITUTE(SUBSTITUTE(TRIM($G382),"-",""),".",""),"/",""))=8,DATE(VALUE(LEFT(SUBSTITUTE(SUBSTITUTE(SUBSTITUTE(TRIM($G382),"-",""),".",""),"/",""),4)),VALUE(MID(SUBSTITUTE(SUBSTITUTE(SUBSTITUTE(TRIM($G382),"-",""),".",""),"/",""),5,2)),VALUE(RIGHT(SUBSTITUTE(SUBSTITUTE(SUBSTITUTE(TRIM($G382),"-",""),".",""),"/",""),2))),DATEVALUE($G382))),""))</f>
        <v/>
      </c>
      <c r="V382" s="52" t="str">
        <f aca="false">IF($H382="","",IFERROR(IF(IF(ISNUMBER($H382),$H382,IFERROR(TIMEVALUE($H382),VALUE($H382)))&gt;=100,INT(IF(ISNUMBER($H382),$H382,IFERROR(TIMEVALUE($H382),VALUE($H382)))/100)*60+MOD(IF(ISNUMBER($H382),$H382,IFERROR(TIMEVALUE($H382),VALUE($H382))),100),IF(IF(ISNUMBER($H382),$H382,IFERROR(TIMEVALUE($H382),VALUE($H382)))&gt;=1,ROUND(IF(ISNUMBER($H382),$H382,IFERROR(TIMEVALUE($H382),VALUE($H382)))*60,0),ROUND(MOD(IF(ISNUMBER($H382),$H382,IFERROR(TIMEVALUE($H382),VALUE($H382))),1)*1440,0))),""))</f>
        <v/>
      </c>
      <c r="W382" s="52" t="str">
        <f aca="false">IF($I382="","",IFERROR(IF(IF(ISNUMBER($I382),$I382,IFERROR(TIMEVALUE($I382),VALUE($I382)))&gt;=100,INT(IF(ISNUMBER($I382),$I382,IFERROR(TIMEVALUE($I382),VALUE($I382)))/100)*60+MOD(IF(ISNUMBER($I382),$I382,IFERROR(TIMEVALUE($I382),VALUE($I382))),100),IF(IF(ISNUMBER($I382),$I382,IFERROR(TIMEVALUE($I382),VALUE($I382)))&gt;=1,ROUND(IF(ISNUMBER($I382),$I382,IFERROR(TIMEVALUE($I382),VALUE($I382)))*60,0),ROUND(MOD(IF(ISNUMBER($I382),$I382,IFERROR(TIMEVALUE($I382),VALUE($I382))),1)*1440,0))),""))</f>
        <v/>
      </c>
      <c r="X382" s="55" t="str">
        <f aca="false">IF($P382="","",IFERROR(IF(ISNUMBER($P382),IF($P382&gt;19000000,DATE(INT($P382/10000),MOD(INT($P382/100),100),MOD($P382,100)),INT($P382)),IF(LEN(SUBSTITUTE(SUBSTITUTE(SUBSTITUTE(TRIM($P382),"-",""),".",""),"/",""))=8,DATE(VALUE(LEFT(SUBSTITUTE(SUBSTITUTE(SUBSTITUTE(TRIM($P382),"-",""),".",""),"/",""),4)),VALUE(MID(SUBSTITUTE(SUBSTITUTE(SUBSTITUTE(TRIM($P382),"-",""),".",""),"/",""),5,2)),VALUE(RIGHT(SUBSTITUTE(SUBSTITUTE(SUBSTITUTE(TRIM($P382),"-",""),".",""),"/",""),2))),DATEVALUE($P382))),""))</f>
        <v/>
      </c>
      <c r="Y382" s="56" t="str">
        <f aca="false">IF($M382="","",IFERROR(INDEX(강사DB!$D$4:$D$53,MATCH($M382,강사DB!$A$4:$A$53,0)),""))</f>
        <v/>
      </c>
      <c r="Z382" s="56" t="str">
        <f aca="false">IF($B382&lt;&gt;"결제완료","",IF(OR($Y382="",$J382=""),"",$Y382*$J382+MAX(0,N($K382)-1)*설정!$J$7))</f>
        <v/>
      </c>
      <c r="AA382" s="56" t="str">
        <f aca="false">IF(AND($D382&lt;&gt;"",$B382="결제완료"),N($N382),"")</f>
        <v/>
      </c>
      <c r="AB382" s="45" t="str">
        <f aca="false">IF($D382="","",IF($F382&lt;&gt;"",$F382,$D382)&amp;IF($B382="상담중"," (상담)",""))</f>
        <v/>
      </c>
      <c r="AC382" s="45" t="n">
        <f aca="false">IF(AND($D382&lt;&gt;"",OR($B382="결제완료",$B382="상담중")),1,0)</f>
        <v>0</v>
      </c>
      <c r="AD382" s="45" t="n">
        <f aca="false">IF(OR($Z382="",$U382=""),0,IFERROR(IF(COUNTIFS(INDEX(g_grid,0,2*MATCH($M382,강사DB!$A$4:$A$15,0)),"&lt;&gt;",g_s,"&lt;="&amp;$U382,g_e,"&gt;="&amp;$U382)&gt;0,1,0),0))</f>
        <v>0</v>
      </c>
      <c r="AE382" s="48"/>
      <c r="AF382" s="56" t="str">
        <f aca="false">IF(AND($D382&lt;&gt;"",$B382="결제완료",$T382="대여"),설정!$J$5,"")</f>
        <v/>
      </c>
      <c r="AG382" s="54" t="str">
        <f aca="false">IF($D382="","",IF(AND($E382="",$R382=""),$AB382,"☎ "&amp;IF($E382="","-",$E382)&amp;IF($R382&lt;&gt;"","  ※ "&amp;$R382,"")&amp;IF($B382="상담중"," (상담)","")))</f>
        <v/>
      </c>
      <c r="AH382" s="56" t="str">
        <f aca="false">IF(AND($D382&lt;&gt;"",$B382="결제완료",$O382="스마트스토어"),ROUND(N($N382)*설정!$J$6,0),"")</f>
        <v/>
      </c>
      <c r="AI382" s="54" t="str">
        <f aca="false">IF($D382="","",ROW())</f>
        <v/>
      </c>
      <c r="AJ382" s="54" t="n">
        <f aca="false">IF(OR($AC382&lt;&gt;1,$M382=""),0,IF(ISNUMBER(SEARCH("퇴사",IFERROR(INDEX(강사DB!$G$4:$G$53,MATCH($M382,강사DB!$A$4:$A$53,0)),""))),1,0))</f>
        <v>0</v>
      </c>
    </row>
    <row r="383" customFormat="false" ht="15" hidden="false" customHeight="false" outlineLevel="0" collapsed="false">
      <c r="A383" s="45" t="str">
        <f aca="false">IF($D383="","",COUNTA($D$5:$D383))</f>
        <v/>
      </c>
      <c r="B383" s="46"/>
      <c r="C383" s="47"/>
      <c r="D383" s="48"/>
      <c r="E383" s="48"/>
      <c r="F383" s="49"/>
      <c r="G383" s="47"/>
      <c r="H383" s="50"/>
      <c r="I383" s="50"/>
      <c r="J383" s="51" t="str">
        <f aca="false">IF(OR($V383="",$W383=""),"",ROUND(($W383-$V383)/60,2))</f>
        <v/>
      </c>
      <c r="K383" s="52" t="str">
        <f aca="false">IF($F383="","",LEN($F383)-LEN(SUBSTITUTE($F383,",",""))+1)</f>
        <v/>
      </c>
      <c r="L383" s="45" t="str">
        <f aca="false">IF($K383="","","1:"&amp;$K383)</f>
        <v/>
      </c>
      <c r="M383" s="46"/>
      <c r="N383" s="53"/>
      <c r="O383" s="46"/>
      <c r="P383" s="47"/>
      <c r="Q383" s="48"/>
      <c r="R383" s="49"/>
      <c r="S383" s="54" t="str">
        <f aca="false">IF(OR($AC383=0,$U383="",$M383="",$V383="",$W383=""),"",IF(COUNTIFS(m_teacher,$M383,m_date,$U383,m_active,1,m_start,"&lt;"&amp;$W383,m_end,"&gt;"&amp;$V383)&gt;1,"충돌",""))</f>
        <v/>
      </c>
      <c r="T383" s="48"/>
      <c r="U383" s="55" t="str">
        <f aca="false">IF($G383="","",IFERROR(IF(ISNUMBER($G383),IF($G383&gt;19000000,DATE(INT($G383/10000),MOD(INT($G383/100),100),MOD($G383,100)),INT($G383)),IF(LEN(SUBSTITUTE(SUBSTITUTE(SUBSTITUTE(TRIM($G383),"-",""),".",""),"/",""))=8,DATE(VALUE(LEFT(SUBSTITUTE(SUBSTITUTE(SUBSTITUTE(TRIM($G383),"-",""),".",""),"/",""),4)),VALUE(MID(SUBSTITUTE(SUBSTITUTE(SUBSTITUTE(TRIM($G383),"-",""),".",""),"/",""),5,2)),VALUE(RIGHT(SUBSTITUTE(SUBSTITUTE(SUBSTITUTE(TRIM($G383),"-",""),".",""),"/",""),2))),DATEVALUE($G383))),""))</f>
        <v/>
      </c>
      <c r="V383" s="52" t="str">
        <f aca="false">IF($H383="","",IFERROR(IF(IF(ISNUMBER($H383),$H383,IFERROR(TIMEVALUE($H383),VALUE($H383)))&gt;=100,INT(IF(ISNUMBER($H383),$H383,IFERROR(TIMEVALUE($H383),VALUE($H383)))/100)*60+MOD(IF(ISNUMBER($H383),$H383,IFERROR(TIMEVALUE($H383),VALUE($H383))),100),IF(IF(ISNUMBER($H383),$H383,IFERROR(TIMEVALUE($H383),VALUE($H383)))&gt;=1,ROUND(IF(ISNUMBER($H383),$H383,IFERROR(TIMEVALUE($H383),VALUE($H383)))*60,0),ROUND(MOD(IF(ISNUMBER($H383),$H383,IFERROR(TIMEVALUE($H383),VALUE($H383))),1)*1440,0))),""))</f>
        <v/>
      </c>
      <c r="W383" s="52" t="str">
        <f aca="false">IF($I383="","",IFERROR(IF(IF(ISNUMBER($I383),$I383,IFERROR(TIMEVALUE($I383),VALUE($I383)))&gt;=100,INT(IF(ISNUMBER($I383),$I383,IFERROR(TIMEVALUE($I383),VALUE($I383)))/100)*60+MOD(IF(ISNUMBER($I383),$I383,IFERROR(TIMEVALUE($I383),VALUE($I383))),100),IF(IF(ISNUMBER($I383),$I383,IFERROR(TIMEVALUE($I383),VALUE($I383)))&gt;=1,ROUND(IF(ISNUMBER($I383),$I383,IFERROR(TIMEVALUE($I383),VALUE($I383)))*60,0),ROUND(MOD(IF(ISNUMBER($I383),$I383,IFERROR(TIMEVALUE($I383),VALUE($I383))),1)*1440,0))),""))</f>
        <v/>
      </c>
      <c r="X383" s="55" t="str">
        <f aca="false">IF($P383="","",IFERROR(IF(ISNUMBER($P383),IF($P383&gt;19000000,DATE(INT($P383/10000),MOD(INT($P383/100),100),MOD($P383,100)),INT($P383)),IF(LEN(SUBSTITUTE(SUBSTITUTE(SUBSTITUTE(TRIM($P383),"-",""),".",""),"/",""))=8,DATE(VALUE(LEFT(SUBSTITUTE(SUBSTITUTE(SUBSTITUTE(TRIM($P383),"-",""),".",""),"/",""),4)),VALUE(MID(SUBSTITUTE(SUBSTITUTE(SUBSTITUTE(TRIM($P383),"-",""),".",""),"/",""),5,2)),VALUE(RIGHT(SUBSTITUTE(SUBSTITUTE(SUBSTITUTE(TRIM($P383),"-",""),".",""),"/",""),2))),DATEVALUE($P383))),""))</f>
        <v/>
      </c>
      <c r="Y383" s="56" t="str">
        <f aca="false">IF($M383="","",IFERROR(INDEX(강사DB!$D$4:$D$53,MATCH($M383,강사DB!$A$4:$A$53,0)),""))</f>
        <v/>
      </c>
      <c r="Z383" s="56" t="str">
        <f aca="false">IF($B383&lt;&gt;"결제완료","",IF(OR($Y383="",$J383=""),"",$Y383*$J383+MAX(0,N($K383)-1)*설정!$J$7))</f>
        <v/>
      </c>
      <c r="AA383" s="56" t="str">
        <f aca="false">IF(AND($D383&lt;&gt;"",$B383="결제완료"),N($N383),"")</f>
        <v/>
      </c>
      <c r="AB383" s="45" t="str">
        <f aca="false">IF($D383="","",IF($F383&lt;&gt;"",$F383,$D383)&amp;IF($B383="상담중"," (상담)",""))</f>
        <v/>
      </c>
      <c r="AC383" s="45" t="n">
        <f aca="false">IF(AND($D383&lt;&gt;"",OR($B383="결제완료",$B383="상담중")),1,0)</f>
        <v>0</v>
      </c>
      <c r="AD383" s="45" t="n">
        <f aca="false">IF(OR($Z383="",$U383=""),0,IFERROR(IF(COUNTIFS(INDEX(g_grid,0,2*MATCH($M383,강사DB!$A$4:$A$15,0)),"&lt;&gt;",g_s,"&lt;="&amp;$U383,g_e,"&gt;="&amp;$U383)&gt;0,1,0),0))</f>
        <v>0</v>
      </c>
      <c r="AE383" s="48"/>
      <c r="AF383" s="56" t="str">
        <f aca="false">IF(AND($D383&lt;&gt;"",$B383="결제완료",$T383="대여"),설정!$J$5,"")</f>
        <v/>
      </c>
      <c r="AG383" s="54" t="str">
        <f aca="false">IF($D383="","",IF(AND($E383="",$R383=""),$AB383,"☎ "&amp;IF($E383="","-",$E383)&amp;IF($R383&lt;&gt;"","  ※ "&amp;$R383,"")&amp;IF($B383="상담중"," (상담)","")))</f>
        <v/>
      </c>
      <c r="AH383" s="56" t="str">
        <f aca="false">IF(AND($D383&lt;&gt;"",$B383="결제완료",$O383="스마트스토어"),ROUND(N($N383)*설정!$J$6,0),"")</f>
        <v/>
      </c>
      <c r="AI383" s="54" t="str">
        <f aca="false">IF($D383="","",ROW())</f>
        <v/>
      </c>
      <c r="AJ383" s="54" t="n">
        <f aca="false">IF(OR($AC383&lt;&gt;1,$M383=""),0,IF(ISNUMBER(SEARCH("퇴사",IFERROR(INDEX(강사DB!$G$4:$G$53,MATCH($M383,강사DB!$A$4:$A$53,0)),""))),1,0))</f>
        <v>0</v>
      </c>
    </row>
    <row r="384" customFormat="false" ht="15" hidden="false" customHeight="false" outlineLevel="0" collapsed="false">
      <c r="A384" s="45" t="str">
        <f aca="false">IF($D384="","",COUNTA($D$5:$D384))</f>
        <v/>
      </c>
      <c r="B384" s="46"/>
      <c r="C384" s="47"/>
      <c r="D384" s="48"/>
      <c r="E384" s="48"/>
      <c r="F384" s="49"/>
      <c r="G384" s="47"/>
      <c r="H384" s="50"/>
      <c r="I384" s="50"/>
      <c r="J384" s="51" t="str">
        <f aca="false">IF(OR($V384="",$W384=""),"",ROUND(($W384-$V384)/60,2))</f>
        <v/>
      </c>
      <c r="K384" s="52" t="str">
        <f aca="false">IF($F384="","",LEN($F384)-LEN(SUBSTITUTE($F384,",",""))+1)</f>
        <v/>
      </c>
      <c r="L384" s="45" t="str">
        <f aca="false">IF($K384="","","1:"&amp;$K384)</f>
        <v/>
      </c>
      <c r="M384" s="46"/>
      <c r="N384" s="53"/>
      <c r="O384" s="46"/>
      <c r="P384" s="47"/>
      <c r="Q384" s="48"/>
      <c r="R384" s="49"/>
      <c r="S384" s="54" t="str">
        <f aca="false">IF(OR($AC384=0,$U384="",$M384="",$V384="",$W384=""),"",IF(COUNTIFS(m_teacher,$M384,m_date,$U384,m_active,1,m_start,"&lt;"&amp;$W384,m_end,"&gt;"&amp;$V384)&gt;1,"충돌",""))</f>
        <v/>
      </c>
      <c r="T384" s="48"/>
      <c r="U384" s="55" t="str">
        <f aca="false">IF($G384="","",IFERROR(IF(ISNUMBER($G384),IF($G384&gt;19000000,DATE(INT($G384/10000),MOD(INT($G384/100),100),MOD($G384,100)),INT($G384)),IF(LEN(SUBSTITUTE(SUBSTITUTE(SUBSTITUTE(TRIM($G384),"-",""),".",""),"/",""))=8,DATE(VALUE(LEFT(SUBSTITUTE(SUBSTITUTE(SUBSTITUTE(TRIM($G384),"-",""),".",""),"/",""),4)),VALUE(MID(SUBSTITUTE(SUBSTITUTE(SUBSTITUTE(TRIM($G384),"-",""),".",""),"/",""),5,2)),VALUE(RIGHT(SUBSTITUTE(SUBSTITUTE(SUBSTITUTE(TRIM($G384),"-",""),".",""),"/",""),2))),DATEVALUE($G384))),""))</f>
        <v/>
      </c>
      <c r="V384" s="52" t="str">
        <f aca="false">IF($H384="","",IFERROR(IF(IF(ISNUMBER($H384),$H384,IFERROR(TIMEVALUE($H384),VALUE($H384)))&gt;=100,INT(IF(ISNUMBER($H384),$H384,IFERROR(TIMEVALUE($H384),VALUE($H384)))/100)*60+MOD(IF(ISNUMBER($H384),$H384,IFERROR(TIMEVALUE($H384),VALUE($H384))),100),IF(IF(ISNUMBER($H384),$H384,IFERROR(TIMEVALUE($H384),VALUE($H384)))&gt;=1,ROUND(IF(ISNUMBER($H384),$H384,IFERROR(TIMEVALUE($H384),VALUE($H384)))*60,0),ROUND(MOD(IF(ISNUMBER($H384),$H384,IFERROR(TIMEVALUE($H384),VALUE($H384))),1)*1440,0))),""))</f>
        <v/>
      </c>
      <c r="W384" s="52" t="str">
        <f aca="false">IF($I384="","",IFERROR(IF(IF(ISNUMBER($I384),$I384,IFERROR(TIMEVALUE($I384),VALUE($I384)))&gt;=100,INT(IF(ISNUMBER($I384),$I384,IFERROR(TIMEVALUE($I384),VALUE($I384)))/100)*60+MOD(IF(ISNUMBER($I384),$I384,IFERROR(TIMEVALUE($I384),VALUE($I384))),100),IF(IF(ISNUMBER($I384),$I384,IFERROR(TIMEVALUE($I384),VALUE($I384)))&gt;=1,ROUND(IF(ISNUMBER($I384),$I384,IFERROR(TIMEVALUE($I384),VALUE($I384)))*60,0),ROUND(MOD(IF(ISNUMBER($I384),$I384,IFERROR(TIMEVALUE($I384),VALUE($I384))),1)*1440,0))),""))</f>
        <v/>
      </c>
      <c r="X384" s="55" t="str">
        <f aca="false">IF($P384="","",IFERROR(IF(ISNUMBER($P384),IF($P384&gt;19000000,DATE(INT($P384/10000),MOD(INT($P384/100),100),MOD($P384,100)),INT($P384)),IF(LEN(SUBSTITUTE(SUBSTITUTE(SUBSTITUTE(TRIM($P384),"-",""),".",""),"/",""))=8,DATE(VALUE(LEFT(SUBSTITUTE(SUBSTITUTE(SUBSTITUTE(TRIM($P384),"-",""),".",""),"/",""),4)),VALUE(MID(SUBSTITUTE(SUBSTITUTE(SUBSTITUTE(TRIM($P384),"-",""),".",""),"/",""),5,2)),VALUE(RIGHT(SUBSTITUTE(SUBSTITUTE(SUBSTITUTE(TRIM($P384),"-",""),".",""),"/",""),2))),DATEVALUE($P384))),""))</f>
        <v/>
      </c>
      <c r="Y384" s="56" t="str">
        <f aca="false">IF($M384="","",IFERROR(INDEX(강사DB!$D$4:$D$53,MATCH($M384,강사DB!$A$4:$A$53,0)),""))</f>
        <v/>
      </c>
      <c r="Z384" s="56" t="str">
        <f aca="false">IF($B384&lt;&gt;"결제완료","",IF(OR($Y384="",$J384=""),"",$Y384*$J384+MAX(0,N($K384)-1)*설정!$J$7))</f>
        <v/>
      </c>
      <c r="AA384" s="56" t="str">
        <f aca="false">IF(AND($D384&lt;&gt;"",$B384="결제완료"),N($N384),"")</f>
        <v/>
      </c>
      <c r="AB384" s="45" t="str">
        <f aca="false">IF($D384="","",IF($F384&lt;&gt;"",$F384,$D384)&amp;IF($B384="상담중"," (상담)",""))</f>
        <v/>
      </c>
      <c r="AC384" s="45" t="n">
        <f aca="false">IF(AND($D384&lt;&gt;"",OR($B384="결제완료",$B384="상담중")),1,0)</f>
        <v>0</v>
      </c>
      <c r="AD384" s="45" t="n">
        <f aca="false">IF(OR($Z384="",$U384=""),0,IFERROR(IF(COUNTIFS(INDEX(g_grid,0,2*MATCH($M384,강사DB!$A$4:$A$15,0)),"&lt;&gt;",g_s,"&lt;="&amp;$U384,g_e,"&gt;="&amp;$U384)&gt;0,1,0),0))</f>
        <v>0</v>
      </c>
      <c r="AE384" s="48"/>
      <c r="AF384" s="56" t="str">
        <f aca="false">IF(AND($D384&lt;&gt;"",$B384="결제완료",$T384="대여"),설정!$J$5,"")</f>
        <v/>
      </c>
      <c r="AG384" s="54" t="str">
        <f aca="false">IF($D384="","",IF(AND($E384="",$R384=""),$AB384,"☎ "&amp;IF($E384="","-",$E384)&amp;IF($R384&lt;&gt;"","  ※ "&amp;$R384,"")&amp;IF($B384="상담중"," (상담)","")))</f>
        <v/>
      </c>
      <c r="AH384" s="56" t="str">
        <f aca="false">IF(AND($D384&lt;&gt;"",$B384="결제완료",$O384="스마트스토어"),ROUND(N($N384)*설정!$J$6,0),"")</f>
        <v/>
      </c>
      <c r="AI384" s="54" t="str">
        <f aca="false">IF($D384="","",ROW())</f>
        <v/>
      </c>
      <c r="AJ384" s="54" t="n">
        <f aca="false">IF(OR($AC384&lt;&gt;1,$M384=""),0,IF(ISNUMBER(SEARCH("퇴사",IFERROR(INDEX(강사DB!$G$4:$G$53,MATCH($M384,강사DB!$A$4:$A$53,0)),""))),1,0))</f>
        <v>0</v>
      </c>
    </row>
    <row r="385" customFormat="false" ht="15" hidden="false" customHeight="false" outlineLevel="0" collapsed="false">
      <c r="A385" s="45" t="str">
        <f aca="false">IF($D385="","",COUNTA($D$5:$D385))</f>
        <v/>
      </c>
      <c r="B385" s="46"/>
      <c r="C385" s="47"/>
      <c r="D385" s="48"/>
      <c r="E385" s="48"/>
      <c r="F385" s="49"/>
      <c r="G385" s="47"/>
      <c r="H385" s="50"/>
      <c r="I385" s="50"/>
      <c r="J385" s="51" t="str">
        <f aca="false">IF(OR($V385="",$W385=""),"",ROUND(($W385-$V385)/60,2))</f>
        <v/>
      </c>
      <c r="K385" s="52" t="str">
        <f aca="false">IF($F385="","",LEN($F385)-LEN(SUBSTITUTE($F385,",",""))+1)</f>
        <v/>
      </c>
      <c r="L385" s="45" t="str">
        <f aca="false">IF($K385="","","1:"&amp;$K385)</f>
        <v/>
      </c>
      <c r="M385" s="46"/>
      <c r="N385" s="53"/>
      <c r="O385" s="46"/>
      <c r="P385" s="47"/>
      <c r="Q385" s="48"/>
      <c r="R385" s="49"/>
      <c r="S385" s="54" t="str">
        <f aca="false">IF(OR($AC385=0,$U385="",$M385="",$V385="",$W385=""),"",IF(COUNTIFS(m_teacher,$M385,m_date,$U385,m_active,1,m_start,"&lt;"&amp;$W385,m_end,"&gt;"&amp;$V385)&gt;1,"충돌",""))</f>
        <v/>
      </c>
      <c r="T385" s="48"/>
      <c r="U385" s="55" t="str">
        <f aca="false">IF($G385="","",IFERROR(IF(ISNUMBER($G385),IF($G385&gt;19000000,DATE(INT($G385/10000),MOD(INT($G385/100),100),MOD($G385,100)),INT($G385)),IF(LEN(SUBSTITUTE(SUBSTITUTE(SUBSTITUTE(TRIM($G385),"-",""),".",""),"/",""))=8,DATE(VALUE(LEFT(SUBSTITUTE(SUBSTITUTE(SUBSTITUTE(TRIM($G385),"-",""),".",""),"/",""),4)),VALUE(MID(SUBSTITUTE(SUBSTITUTE(SUBSTITUTE(TRIM($G385),"-",""),".",""),"/",""),5,2)),VALUE(RIGHT(SUBSTITUTE(SUBSTITUTE(SUBSTITUTE(TRIM($G385),"-",""),".",""),"/",""),2))),DATEVALUE($G385))),""))</f>
        <v/>
      </c>
      <c r="V385" s="52" t="str">
        <f aca="false">IF($H385="","",IFERROR(IF(IF(ISNUMBER($H385),$H385,IFERROR(TIMEVALUE($H385),VALUE($H385)))&gt;=100,INT(IF(ISNUMBER($H385),$H385,IFERROR(TIMEVALUE($H385),VALUE($H385)))/100)*60+MOD(IF(ISNUMBER($H385),$H385,IFERROR(TIMEVALUE($H385),VALUE($H385))),100),IF(IF(ISNUMBER($H385),$H385,IFERROR(TIMEVALUE($H385),VALUE($H385)))&gt;=1,ROUND(IF(ISNUMBER($H385),$H385,IFERROR(TIMEVALUE($H385),VALUE($H385)))*60,0),ROUND(MOD(IF(ISNUMBER($H385),$H385,IFERROR(TIMEVALUE($H385),VALUE($H385))),1)*1440,0))),""))</f>
        <v/>
      </c>
      <c r="W385" s="52" t="str">
        <f aca="false">IF($I385="","",IFERROR(IF(IF(ISNUMBER($I385),$I385,IFERROR(TIMEVALUE($I385),VALUE($I385)))&gt;=100,INT(IF(ISNUMBER($I385),$I385,IFERROR(TIMEVALUE($I385),VALUE($I385)))/100)*60+MOD(IF(ISNUMBER($I385),$I385,IFERROR(TIMEVALUE($I385),VALUE($I385))),100),IF(IF(ISNUMBER($I385),$I385,IFERROR(TIMEVALUE($I385),VALUE($I385)))&gt;=1,ROUND(IF(ISNUMBER($I385),$I385,IFERROR(TIMEVALUE($I385),VALUE($I385)))*60,0),ROUND(MOD(IF(ISNUMBER($I385),$I385,IFERROR(TIMEVALUE($I385),VALUE($I385))),1)*1440,0))),""))</f>
        <v/>
      </c>
      <c r="X385" s="55" t="str">
        <f aca="false">IF($P385="","",IFERROR(IF(ISNUMBER($P385),IF($P385&gt;19000000,DATE(INT($P385/10000),MOD(INT($P385/100),100),MOD($P385,100)),INT($P385)),IF(LEN(SUBSTITUTE(SUBSTITUTE(SUBSTITUTE(TRIM($P385),"-",""),".",""),"/",""))=8,DATE(VALUE(LEFT(SUBSTITUTE(SUBSTITUTE(SUBSTITUTE(TRIM($P385),"-",""),".",""),"/",""),4)),VALUE(MID(SUBSTITUTE(SUBSTITUTE(SUBSTITUTE(TRIM($P385),"-",""),".",""),"/",""),5,2)),VALUE(RIGHT(SUBSTITUTE(SUBSTITUTE(SUBSTITUTE(TRIM($P385),"-",""),".",""),"/",""),2))),DATEVALUE($P385))),""))</f>
        <v/>
      </c>
      <c r="Y385" s="56" t="str">
        <f aca="false">IF($M385="","",IFERROR(INDEX(강사DB!$D$4:$D$53,MATCH($M385,강사DB!$A$4:$A$53,0)),""))</f>
        <v/>
      </c>
      <c r="Z385" s="56" t="str">
        <f aca="false">IF($B385&lt;&gt;"결제완료","",IF(OR($Y385="",$J385=""),"",$Y385*$J385+MAX(0,N($K385)-1)*설정!$J$7))</f>
        <v/>
      </c>
      <c r="AA385" s="56" t="str">
        <f aca="false">IF(AND($D385&lt;&gt;"",$B385="결제완료"),N($N385),"")</f>
        <v/>
      </c>
      <c r="AB385" s="45" t="str">
        <f aca="false">IF($D385="","",IF($F385&lt;&gt;"",$F385,$D385)&amp;IF($B385="상담중"," (상담)",""))</f>
        <v/>
      </c>
      <c r="AC385" s="45" t="n">
        <f aca="false">IF(AND($D385&lt;&gt;"",OR($B385="결제완료",$B385="상담중")),1,0)</f>
        <v>0</v>
      </c>
      <c r="AD385" s="45" t="n">
        <f aca="false">IF(OR($Z385="",$U385=""),0,IFERROR(IF(COUNTIFS(INDEX(g_grid,0,2*MATCH($M385,강사DB!$A$4:$A$15,0)),"&lt;&gt;",g_s,"&lt;="&amp;$U385,g_e,"&gt;="&amp;$U385)&gt;0,1,0),0))</f>
        <v>0</v>
      </c>
      <c r="AE385" s="48"/>
      <c r="AF385" s="56" t="str">
        <f aca="false">IF(AND($D385&lt;&gt;"",$B385="결제완료",$T385="대여"),설정!$J$5,"")</f>
        <v/>
      </c>
      <c r="AG385" s="54" t="str">
        <f aca="false">IF($D385="","",IF(AND($E385="",$R385=""),$AB385,"☎ "&amp;IF($E385="","-",$E385)&amp;IF($R385&lt;&gt;"","  ※ "&amp;$R385,"")&amp;IF($B385="상담중"," (상담)","")))</f>
        <v/>
      </c>
      <c r="AH385" s="56" t="str">
        <f aca="false">IF(AND($D385&lt;&gt;"",$B385="결제완료",$O385="스마트스토어"),ROUND(N($N385)*설정!$J$6,0),"")</f>
        <v/>
      </c>
      <c r="AI385" s="54" t="str">
        <f aca="false">IF($D385="","",ROW())</f>
        <v/>
      </c>
      <c r="AJ385" s="54" t="n">
        <f aca="false">IF(OR($AC385&lt;&gt;1,$M385=""),0,IF(ISNUMBER(SEARCH("퇴사",IFERROR(INDEX(강사DB!$G$4:$G$53,MATCH($M385,강사DB!$A$4:$A$53,0)),""))),1,0))</f>
        <v>0</v>
      </c>
    </row>
    <row r="386" customFormat="false" ht="15" hidden="false" customHeight="false" outlineLevel="0" collapsed="false">
      <c r="A386" s="45" t="str">
        <f aca="false">IF($D386="","",COUNTA($D$5:$D386))</f>
        <v/>
      </c>
      <c r="B386" s="46"/>
      <c r="C386" s="47"/>
      <c r="D386" s="48"/>
      <c r="E386" s="48"/>
      <c r="F386" s="49"/>
      <c r="G386" s="47"/>
      <c r="H386" s="50"/>
      <c r="I386" s="50"/>
      <c r="J386" s="51" t="str">
        <f aca="false">IF(OR($V386="",$W386=""),"",ROUND(($W386-$V386)/60,2))</f>
        <v/>
      </c>
      <c r="K386" s="52" t="str">
        <f aca="false">IF($F386="","",LEN($F386)-LEN(SUBSTITUTE($F386,",",""))+1)</f>
        <v/>
      </c>
      <c r="L386" s="45" t="str">
        <f aca="false">IF($K386="","","1:"&amp;$K386)</f>
        <v/>
      </c>
      <c r="M386" s="46"/>
      <c r="N386" s="53"/>
      <c r="O386" s="46"/>
      <c r="P386" s="47"/>
      <c r="Q386" s="48"/>
      <c r="R386" s="49"/>
      <c r="S386" s="54" t="str">
        <f aca="false">IF(OR($AC386=0,$U386="",$M386="",$V386="",$W386=""),"",IF(COUNTIFS(m_teacher,$M386,m_date,$U386,m_active,1,m_start,"&lt;"&amp;$W386,m_end,"&gt;"&amp;$V386)&gt;1,"충돌",""))</f>
        <v/>
      </c>
      <c r="T386" s="48"/>
      <c r="U386" s="55" t="str">
        <f aca="false">IF($G386="","",IFERROR(IF(ISNUMBER($G386),IF($G386&gt;19000000,DATE(INT($G386/10000),MOD(INT($G386/100),100),MOD($G386,100)),INT($G386)),IF(LEN(SUBSTITUTE(SUBSTITUTE(SUBSTITUTE(TRIM($G386),"-",""),".",""),"/",""))=8,DATE(VALUE(LEFT(SUBSTITUTE(SUBSTITUTE(SUBSTITUTE(TRIM($G386),"-",""),".",""),"/",""),4)),VALUE(MID(SUBSTITUTE(SUBSTITUTE(SUBSTITUTE(TRIM($G386),"-",""),".",""),"/",""),5,2)),VALUE(RIGHT(SUBSTITUTE(SUBSTITUTE(SUBSTITUTE(TRIM($G386),"-",""),".",""),"/",""),2))),DATEVALUE($G386))),""))</f>
        <v/>
      </c>
      <c r="V386" s="52" t="str">
        <f aca="false">IF($H386="","",IFERROR(IF(IF(ISNUMBER($H386),$H386,IFERROR(TIMEVALUE($H386),VALUE($H386)))&gt;=100,INT(IF(ISNUMBER($H386),$H386,IFERROR(TIMEVALUE($H386),VALUE($H386)))/100)*60+MOD(IF(ISNUMBER($H386),$H386,IFERROR(TIMEVALUE($H386),VALUE($H386))),100),IF(IF(ISNUMBER($H386),$H386,IFERROR(TIMEVALUE($H386),VALUE($H386)))&gt;=1,ROUND(IF(ISNUMBER($H386),$H386,IFERROR(TIMEVALUE($H386),VALUE($H386)))*60,0),ROUND(MOD(IF(ISNUMBER($H386),$H386,IFERROR(TIMEVALUE($H386),VALUE($H386))),1)*1440,0))),""))</f>
        <v/>
      </c>
      <c r="W386" s="52" t="str">
        <f aca="false">IF($I386="","",IFERROR(IF(IF(ISNUMBER($I386),$I386,IFERROR(TIMEVALUE($I386),VALUE($I386)))&gt;=100,INT(IF(ISNUMBER($I386),$I386,IFERROR(TIMEVALUE($I386),VALUE($I386)))/100)*60+MOD(IF(ISNUMBER($I386),$I386,IFERROR(TIMEVALUE($I386),VALUE($I386))),100),IF(IF(ISNUMBER($I386),$I386,IFERROR(TIMEVALUE($I386),VALUE($I386)))&gt;=1,ROUND(IF(ISNUMBER($I386),$I386,IFERROR(TIMEVALUE($I386),VALUE($I386)))*60,0),ROUND(MOD(IF(ISNUMBER($I386),$I386,IFERROR(TIMEVALUE($I386),VALUE($I386))),1)*1440,0))),""))</f>
        <v/>
      </c>
      <c r="X386" s="55" t="str">
        <f aca="false">IF($P386="","",IFERROR(IF(ISNUMBER($P386),IF($P386&gt;19000000,DATE(INT($P386/10000),MOD(INT($P386/100),100),MOD($P386,100)),INT($P386)),IF(LEN(SUBSTITUTE(SUBSTITUTE(SUBSTITUTE(TRIM($P386),"-",""),".",""),"/",""))=8,DATE(VALUE(LEFT(SUBSTITUTE(SUBSTITUTE(SUBSTITUTE(TRIM($P386),"-",""),".",""),"/",""),4)),VALUE(MID(SUBSTITUTE(SUBSTITUTE(SUBSTITUTE(TRIM($P386),"-",""),".",""),"/",""),5,2)),VALUE(RIGHT(SUBSTITUTE(SUBSTITUTE(SUBSTITUTE(TRIM($P386),"-",""),".",""),"/",""),2))),DATEVALUE($P386))),""))</f>
        <v/>
      </c>
      <c r="Y386" s="56" t="str">
        <f aca="false">IF($M386="","",IFERROR(INDEX(강사DB!$D$4:$D$53,MATCH($M386,강사DB!$A$4:$A$53,0)),""))</f>
        <v/>
      </c>
      <c r="Z386" s="56" t="str">
        <f aca="false">IF($B386&lt;&gt;"결제완료","",IF(OR($Y386="",$J386=""),"",$Y386*$J386+MAX(0,N($K386)-1)*설정!$J$7))</f>
        <v/>
      </c>
      <c r="AA386" s="56" t="str">
        <f aca="false">IF(AND($D386&lt;&gt;"",$B386="결제완료"),N($N386),"")</f>
        <v/>
      </c>
      <c r="AB386" s="45" t="str">
        <f aca="false">IF($D386="","",IF($F386&lt;&gt;"",$F386,$D386)&amp;IF($B386="상담중"," (상담)",""))</f>
        <v/>
      </c>
      <c r="AC386" s="45" t="n">
        <f aca="false">IF(AND($D386&lt;&gt;"",OR($B386="결제완료",$B386="상담중")),1,0)</f>
        <v>0</v>
      </c>
      <c r="AD386" s="45" t="n">
        <f aca="false">IF(OR($Z386="",$U386=""),0,IFERROR(IF(COUNTIFS(INDEX(g_grid,0,2*MATCH($M386,강사DB!$A$4:$A$15,0)),"&lt;&gt;",g_s,"&lt;="&amp;$U386,g_e,"&gt;="&amp;$U386)&gt;0,1,0),0))</f>
        <v>0</v>
      </c>
      <c r="AE386" s="48"/>
      <c r="AF386" s="56" t="str">
        <f aca="false">IF(AND($D386&lt;&gt;"",$B386="결제완료",$T386="대여"),설정!$J$5,"")</f>
        <v/>
      </c>
      <c r="AG386" s="54" t="str">
        <f aca="false">IF($D386="","",IF(AND($E386="",$R386=""),$AB386,"☎ "&amp;IF($E386="","-",$E386)&amp;IF($R386&lt;&gt;"","  ※ "&amp;$R386,"")&amp;IF($B386="상담중"," (상담)","")))</f>
        <v/>
      </c>
      <c r="AH386" s="56" t="str">
        <f aca="false">IF(AND($D386&lt;&gt;"",$B386="결제완료",$O386="스마트스토어"),ROUND(N($N386)*설정!$J$6,0),"")</f>
        <v/>
      </c>
      <c r="AI386" s="54" t="str">
        <f aca="false">IF($D386="","",ROW())</f>
        <v/>
      </c>
      <c r="AJ386" s="54" t="n">
        <f aca="false">IF(OR($AC386&lt;&gt;1,$M386=""),0,IF(ISNUMBER(SEARCH("퇴사",IFERROR(INDEX(강사DB!$G$4:$G$53,MATCH($M386,강사DB!$A$4:$A$53,0)),""))),1,0))</f>
        <v>0</v>
      </c>
    </row>
    <row r="387" customFormat="false" ht="15" hidden="false" customHeight="false" outlineLevel="0" collapsed="false">
      <c r="A387" s="45" t="str">
        <f aca="false">IF($D387="","",COUNTA($D$5:$D387))</f>
        <v/>
      </c>
      <c r="B387" s="46"/>
      <c r="C387" s="47"/>
      <c r="D387" s="48"/>
      <c r="E387" s="48"/>
      <c r="F387" s="49"/>
      <c r="G387" s="47"/>
      <c r="H387" s="50"/>
      <c r="I387" s="50"/>
      <c r="J387" s="51" t="str">
        <f aca="false">IF(OR($V387="",$W387=""),"",ROUND(($W387-$V387)/60,2))</f>
        <v/>
      </c>
      <c r="K387" s="52" t="str">
        <f aca="false">IF($F387="","",LEN($F387)-LEN(SUBSTITUTE($F387,",",""))+1)</f>
        <v/>
      </c>
      <c r="L387" s="45" t="str">
        <f aca="false">IF($K387="","","1:"&amp;$K387)</f>
        <v/>
      </c>
      <c r="M387" s="46"/>
      <c r="N387" s="53"/>
      <c r="O387" s="46"/>
      <c r="P387" s="47"/>
      <c r="Q387" s="48"/>
      <c r="R387" s="49"/>
      <c r="S387" s="54" t="str">
        <f aca="false">IF(OR($AC387=0,$U387="",$M387="",$V387="",$W387=""),"",IF(COUNTIFS(m_teacher,$M387,m_date,$U387,m_active,1,m_start,"&lt;"&amp;$W387,m_end,"&gt;"&amp;$V387)&gt;1,"충돌",""))</f>
        <v/>
      </c>
      <c r="T387" s="48"/>
      <c r="U387" s="55" t="str">
        <f aca="false">IF($G387="","",IFERROR(IF(ISNUMBER($G387),IF($G387&gt;19000000,DATE(INT($G387/10000),MOD(INT($G387/100),100),MOD($G387,100)),INT($G387)),IF(LEN(SUBSTITUTE(SUBSTITUTE(SUBSTITUTE(TRIM($G387),"-",""),".",""),"/",""))=8,DATE(VALUE(LEFT(SUBSTITUTE(SUBSTITUTE(SUBSTITUTE(TRIM($G387),"-",""),".",""),"/",""),4)),VALUE(MID(SUBSTITUTE(SUBSTITUTE(SUBSTITUTE(TRIM($G387),"-",""),".",""),"/",""),5,2)),VALUE(RIGHT(SUBSTITUTE(SUBSTITUTE(SUBSTITUTE(TRIM($G387),"-",""),".",""),"/",""),2))),DATEVALUE($G387))),""))</f>
        <v/>
      </c>
      <c r="V387" s="52" t="str">
        <f aca="false">IF($H387="","",IFERROR(IF(IF(ISNUMBER($H387),$H387,IFERROR(TIMEVALUE($H387),VALUE($H387)))&gt;=100,INT(IF(ISNUMBER($H387),$H387,IFERROR(TIMEVALUE($H387),VALUE($H387)))/100)*60+MOD(IF(ISNUMBER($H387),$H387,IFERROR(TIMEVALUE($H387),VALUE($H387))),100),IF(IF(ISNUMBER($H387),$H387,IFERROR(TIMEVALUE($H387),VALUE($H387)))&gt;=1,ROUND(IF(ISNUMBER($H387),$H387,IFERROR(TIMEVALUE($H387),VALUE($H387)))*60,0),ROUND(MOD(IF(ISNUMBER($H387),$H387,IFERROR(TIMEVALUE($H387),VALUE($H387))),1)*1440,0))),""))</f>
        <v/>
      </c>
      <c r="W387" s="52" t="str">
        <f aca="false">IF($I387="","",IFERROR(IF(IF(ISNUMBER($I387),$I387,IFERROR(TIMEVALUE($I387),VALUE($I387)))&gt;=100,INT(IF(ISNUMBER($I387),$I387,IFERROR(TIMEVALUE($I387),VALUE($I387)))/100)*60+MOD(IF(ISNUMBER($I387),$I387,IFERROR(TIMEVALUE($I387),VALUE($I387))),100),IF(IF(ISNUMBER($I387),$I387,IFERROR(TIMEVALUE($I387),VALUE($I387)))&gt;=1,ROUND(IF(ISNUMBER($I387),$I387,IFERROR(TIMEVALUE($I387),VALUE($I387)))*60,0),ROUND(MOD(IF(ISNUMBER($I387),$I387,IFERROR(TIMEVALUE($I387),VALUE($I387))),1)*1440,0))),""))</f>
        <v/>
      </c>
      <c r="X387" s="55" t="str">
        <f aca="false">IF($P387="","",IFERROR(IF(ISNUMBER($P387),IF($P387&gt;19000000,DATE(INT($P387/10000),MOD(INT($P387/100),100),MOD($P387,100)),INT($P387)),IF(LEN(SUBSTITUTE(SUBSTITUTE(SUBSTITUTE(TRIM($P387),"-",""),".",""),"/",""))=8,DATE(VALUE(LEFT(SUBSTITUTE(SUBSTITUTE(SUBSTITUTE(TRIM($P387),"-",""),".",""),"/",""),4)),VALUE(MID(SUBSTITUTE(SUBSTITUTE(SUBSTITUTE(TRIM($P387),"-",""),".",""),"/",""),5,2)),VALUE(RIGHT(SUBSTITUTE(SUBSTITUTE(SUBSTITUTE(TRIM($P387),"-",""),".",""),"/",""),2))),DATEVALUE($P387))),""))</f>
        <v/>
      </c>
      <c r="Y387" s="56" t="str">
        <f aca="false">IF($M387="","",IFERROR(INDEX(강사DB!$D$4:$D$53,MATCH($M387,강사DB!$A$4:$A$53,0)),""))</f>
        <v/>
      </c>
      <c r="Z387" s="56" t="str">
        <f aca="false">IF($B387&lt;&gt;"결제완료","",IF(OR($Y387="",$J387=""),"",$Y387*$J387+MAX(0,N($K387)-1)*설정!$J$7))</f>
        <v/>
      </c>
      <c r="AA387" s="56" t="str">
        <f aca="false">IF(AND($D387&lt;&gt;"",$B387="결제완료"),N($N387),"")</f>
        <v/>
      </c>
      <c r="AB387" s="45" t="str">
        <f aca="false">IF($D387="","",IF($F387&lt;&gt;"",$F387,$D387)&amp;IF($B387="상담중"," (상담)",""))</f>
        <v/>
      </c>
      <c r="AC387" s="45" t="n">
        <f aca="false">IF(AND($D387&lt;&gt;"",OR($B387="결제완료",$B387="상담중")),1,0)</f>
        <v>0</v>
      </c>
      <c r="AD387" s="45" t="n">
        <f aca="false">IF(OR($Z387="",$U387=""),0,IFERROR(IF(COUNTIFS(INDEX(g_grid,0,2*MATCH($M387,강사DB!$A$4:$A$15,0)),"&lt;&gt;",g_s,"&lt;="&amp;$U387,g_e,"&gt;="&amp;$U387)&gt;0,1,0),0))</f>
        <v>0</v>
      </c>
      <c r="AE387" s="48"/>
      <c r="AF387" s="56" t="str">
        <f aca="false">IF(AND($D387&lt;&gt;"",$B387="결제완료",$T387="대여"),설정!$J$5,"")</f>
        <v/>
      </c>
      <c r="AG387" s="54" t="str">
        <f aca="false">IF($D387="","",IF(AND($E387="",$R387=""),$AB387,"☎ "&amp;IF($E387="","-",$E387)&amp;IF($R387&lt;&gt;"","  ※ "&amp;$R387,"")&amp;IF($B387="상담중"," (상담)","")))</f>
        <v/>
      </c>
      <c r="AH387" s="56" t="str">
        <f aca="false">IF(AND($D387&lt;&gt;"",$B387="결제완료",$O387="스마트스토어"),ROUND(N($N387)*설정!$J$6,0),"")</f>
        <v/>
      </c>
      <c r="AI387" s="54" t="str">
        <f aca="false">IF($D387="","",ROW())</f>
        <v/>
      </c>
      <c r="AJ387" s="54" t="n">
        <f aca="false">IF(OR($AC387&lt;&gt;1,$M387=""),0,IF(ISNUMBER(SEARCH("퇴사",IFERROR(INDEX(강사DB!$G$4:$G$53,MATCH($M387,강사DB!$A$4:$A$53,0)),""))),1,0))</f>
        <v>0</v>
      </c>
    </row>
    <row r="388" customFormat="false" ht="15" hidden="false" customHeight="false" outlineLevel="0" collapsed="false">
      <c r="A388" s="45" t="str">
        <f aca="false">IF($D388="","",COUNTA($D$5:$D388))</f>
        <v/>
      </c>
      <c r="B388" s="46"/>
      <c r="C388" s="47"/>
      <c r="D388" s="48"/>
      <c r="E388" s="48"/>
      <c r="F388" s="49"/>
      <c r="G388" s="47"/>
      <c r="H388" s="50"/>
      <c r="I388" s="50"/>
      <c r="J388" s="51" t="str">
        <f aca="false">IF(OR($V388="",$W388=""),"",ROUND(($W388-$V388)/60,2))</f>
        <v/>
      </c>
      <c r="K388" s="52" t="str">
        <f aca="false">IF($F388="","",LEN($F388)-LEN(SUBSTITUTE($F388,",",""))+1)</f>
        <v/>
      </c>
      <c r="L388" s="45" t="str">
        <f aca="false">IF($K388="","","1:"&amp;$K388)</f>
        <v/>
      </c>
      <c r="M388" s="46"/>
      <c r="N388" s="53"/>
      <c r="O388" s="46"/>
      <c r="P388" s="47"/>
      <c r="Q388" s="48"/>
      <c r="R388" s="49"/>
      <c r="S388" s="54" t="str">
        <f aca="false">IF(OR($AC388=0,$U388="",$M388="",$V388="",$W388=""),"",IF(COUNTIFS(m_teacher,$M388,m_date,$U388,m_active,1,m_start,"&lt;"&amp;$W388,m_end,"&gt;"&amp;$V388)&gt;1,"충돌",""))</f>
        <v/>
      </c>
      <c r="T388" s="48"/>
      <c r="U388" s="55" t="str">
        <f aca="false">IF($G388="","",IFERROR(IF(ISNUMBER($G388),IF($G388&gt;19000000,DATE(INT($G388/10000),MOD(INT($G388/100),100),MOD($G388,100)),INT($G388)),IF(LEN(SUBSTITUTE(SUBSTITUTE(SUBSTITUTE(TRIM($G388),"-",""),".",""),"/",""))=8,DATE(VALUE(LEFT(SUBSTITUTE(SUBSTITUTE(SUBSTITUTE(TRIM($G388),"-",""),".",""),"/",""),4)),VALUE(MID(SUBSTITUTE(SUBSTITUTE(SUBSTITUTE(TRIM($G388),"-",""),".",""),"/",""),5,2)),VALUE(RIGHT(SUBSTITUTE(SUBSTITUTE(SUBSTITUTE(TRIM($G388),"-",""),".",""),"/",""),2))),DATEVALUE($G388))),""))</f>
        <v/>
      </c>
      <c r="V388" s="52" t="str">
        <f aca="false">IF($H388="","",IFERROR(IF(IF(ISNUMBER($H388),$H388,IFERROR(TIMEVALUE($H388),VALUE($H388)))&gt;=100,INT(IF(ISNUMBER($H388),$H388,IFERROR(TIMEVALUE($H388),VALUE($H388)))/100)*60+MOD(IF(ISNUMBER($H388),$H388,IFERROR(TIMEVALUE($H388),VALUE($H388))),100),IF(IF(ISNUMBER($H388),$H388,IFERROR(TIMEVALUE($H388),VALUE($H388)))&gt;=1,ROUND(IF(ISNUMBER($H388),$H388,IFERROR(TIMEVALUE($H388),VALUE($H388)))*60,0),ROUND(MOD(IF(ISNUMBER($H388),$H388,IFERROR(TIMEVALUE($H388),VALUE($H388))),1)*1440,0))),""))</f>
        <v/>
      </c>
      <c r="W388" s="52" t="str">
        <f aca="false">IF($I388="","",IFERROR(IF(IF(ISNUMBER($I388),$I388,IFERROR(TIMEVALUE($I388),VALUE($I388)))&gt;=100,INT(IF(ISNUMBER($I388),$I388,IFERROR(TIMEVALUE($I388),VALUE($I388)))/100)*60+MOD(IF(ISNUMBER($I388),$I388,IFERROR(TIMEVALUE($I388),VALUE($I388))),100),IF(IF(ISNUMBER($I388),$I388,IFERROR(TIMEVALUE($I388),VALUE($I388)))&gt;=1,ROUND(IF(ISNUMBER($I388),$I388,IFERROR(TIMEVALUE($I388),VALUE($I388)))*60,0),ROUND(MOD(IF(ISNUMBER($I388),$I388,IFERROR(TIMEVALUE($I388),VALUE($I388))),1)*1440,0))),""))</f>
        <v/>
      </c>
      <c r="X388" s="55" t="str">
        <f aca="false">IF($P388="","",IFERROR(IF(ISNUMBER($P388),IF($P388&gt;19000000,DATE(INT($P388/10000),MOD(INT($P388/100),100),MOD($P388,100)),INT($P388)),IF(LEN(SUBSTITUTE(SUBSTITUTE(SUBSTITUTE(TRIM($P388),"-",""),".",""),"/",""))=8,DATE(VALUE(LEFT(SUBSTITUTE(SUBSTITUTE(SUBSTITUTE(TRIM($P388),"-",""),".",""),"/",""),4)),VALUE(MID(SUBSTITUTE(SUBSTITUTE(SUBSTITUTE(TRIM($P388),"-",""),".",""),"/",""),5,2)),VALUE(RIGHT(SUBSTITUTE(SUBSTITUTE(SUBSTITUTE(TRIM($P388),"-",""),".",""),"/",""),2))),DATEVALUE($P388))),""))</f>
        <v/>
      </c>
      <c r="Y388" s="56" t="str">
        <f aca="false">IF($M388="","",IFERROR(INDEX(강사DB!$D$4:$D$53,MATCH($M388,강사DB!$A$4:$A$53,0)),""))</f>
        <v/>
      </c>
      <c r="Z388" s="56" t="str">
        <f aca="false">IF($B388&lt;&gt;"결제완료","",IF(OR($Y388="",$J388=""),"",$Y388*$J388+MAX(0,N($K388)-1)*설정!$J$7))</f>
        <v/>
      </c>
      <c r="AA388" s="56" t="str">
        <f aca="false">IF(AND($D388&lt;&gt;"",$B388="결제완료"),N($N388),"")</f>
        <v/>
      </c>
      <c r="AB388" s="45" t="str">
        <f aca="false">IF($D388="","",IF($F388&lt;&gt;"",$F388,$D388)&amp;IF($B388="상담중"," (상담)",""))</f>
        <v/>
      </c>
      <c r="AC388" s="45" t="n">
        <f aca="false">IF(AND($D388&lt;&gt;"",OR($B388="결제완료",$B388="상담중")),1,0)</f>
        <v>0</v>
      </c>
      <c r="AD388" s="45" t="n">
        <f aca="false">IF(OR($Z388="",$U388=""),0,IFERROR(IF(COUNTIFS(INDEX(g_grid,0,2*MATCH($M388,강사DB!$A$4:$A$15,0)),"&lt;&gt;",g_s,"&lt;="&amp;$U388,g_e,"&gt;="&amp;$U388)&gt;0,1,0),0))</f>
        <v>0</v>
      </c>
      <c r="AE388" s="48"/>
      <c r="AF388" s="56" t="str">
        <f aca="false">IF(AND($D388&lt;&gt;"",$B388="결제완료",$T388="대여"),설정!$J$5,"")</f>
        <v/>
      </c>
      <c r="AG388" s="54" t="str">
        <f aca="false">IF($D388="","",IF(AND($E388="",$R388=""),$AB388,"☎ "&amp;IF($E388="","-",$E388)&amp;IF($R388&lt;&gt;"","  ※ "&amp;$R388,"")&amp;IF($B388="상담중"," (상담)","")))</f>
        <v/>
      </c>
      <c r="AH388" s="56" t="str">
        <f aca="false">IF(AND($D388&lt;&gt;"",$B388="결제완료",$O388="스마트스토어"),ROUND(N($N388)*설정!$J$6,0),"")</f>
        <v/>
      </c>
      <c r="AI388" s="54" t="str">
        <f aca="false">IF($D388="","",ROW())</f>
        <v/>
      </c>
      <c r="AJ388" s="54" t="n">
        <f aca="false">IF(OR($AC388&lt;&gt;1,$M388=""),0,IF(ISNUMBER(SEARCH("퇴사",IFERROR(INDEX(강사DB!$G$4:$G$53,MATCH($M388,강사DB!$A$4:$A$53,0)),""))),1,0))</f>
        <v>0</v>
      </c>
    </row>
    <row r="389" customFormat="false" ht="15" hidden="false" customHeight="false" outlineLevel="0" collapsed="false">
      <c r="A389" s="45" t="str">
        <f aca="false">IF($D389="","",COUNTA($D$5:$D389))</f>
        <v/>
      </c>
      <c r="B389" s="46"/>
      <c r="C389" s="47"/>
      <c r="D389" s="48"/>
      <c r="E389" s="48"/>
      <c r="F389" s="49"/>
      <c r="G389" s="47"/>
      <c r="H389" s="50"/>
      <c r="I389" s="50"/>
      <c r="J389" s="51" t="str">
        <f aca="false">IF(OR($V389="",$W389=""),"",ROUND(($W389-$V389)/60,2))</f>
        <v/>
      </c>
      <c r="K389" s="52" t="str">
        <f aca="false">IF($F389="","",LEN($F389)-LEN(SUBSTITUTE($F389,",",""))+1)</f>
        <v/>
      </c>
      <c r="L389" s="45" t="str">
        <f aca="false">IF($K389="","","1:"&amp;$K389)</f>
        <v/>
      </c>
      <c r="M389" s="46"/>
      <c r="N389" s="53"/>
      <c r="O389" s="46"/>
      <c r="P389" s="47"/>
      <c r="Q389" s="48"/>
      <c r="R389" s="49"/>
      <c r="S389" s="54" t="str">
        <f aca="false">IF(OR($AC389=0,$U389="",$M389="",$V389="",$W389=""),"",IF(COUNTIFS(m_teacher,$M389,m_date,$U389,m_active,1,m_start,"&lt;"&amp;$W389,m_end,"&gt;"&amp;$V389)&gt;1,"충돌",""))</f>
        <v/>
      </c>
      <c r="T389" s="48"/>
      <c r="U389" s="55" t="str">
        <f aca="false">IF($G389="","",IFERROR(IF(ISNUMBER($G389),IF($G389&gt;19000000,DATE(INT($G389/10000),MOD(INT($G389/100),100),MOD($G389,100)),INT($G389)),IF(LEN(SUBSTITUTE(SUBSTITUTE(SUBSTITUTE(TRIM($G389),"-",""),".",""),"/",""))=8,DATE(VALUE(LEFT(SUBSTITUTE(SUBSTITUTE(SUBSTITUTE(TRIM($G389),"-",""),".",""),"/",""),4)),VALUE(MID(SUBSTITUTE(SUBSTITUTE(SUBSTITUTE(TRIM($G389),"-",""),".",""),"/",""),5,2)),VALUE(RIGHT(SUBSTITUTE(SUBSTITUTE(SUBSTITUTE(TRIM($G389),"-",""),".",""),"/",""),2))),DATEVALUE($G389))),""))</f>
        <v/>
      </c>
      <c r="V389" s="52" t="str">
        <f aca="false">IF($H389="","",IFERROR(IF(IF(ISNUMBER($H389),$H389,IFERROR(TIMEVALUE($H389),VALUE($H389)))&gt;=100,INT(IF(ISNUMBER($H389),$H389,IFERROR(TIMEVALUE($H389),VALUE($H389)))/100)*60+MOD(IF(ISNUMBER($H389),$H389,IFERROR(TIMEVALUE($H389),VALUE($H389))),100),IF(IF(ISNUMBER($H389),$H389,IFERROR(TIMEVALUE($H389),VALUE($H389)))&gt;=1,ROUND(IF(ISNUMBER($H389),$H389,IFERROR(TIMEVALUE($H389),VALUE($H389)))*60,0),ROUND(MOD(IF(ISNUMBER($H389),$H389,IFERROR(TIMEVALUE($H389),VALUE($H389))),1)*1440,0))),""))</f>
        <v/>
      </c>
      <c r="W389" s="52" t="str">
        <f aca="false">IF($I389="","",IFERROR(IF(IF(ISNUMBER($I389),$I389,IFERROR(TIMEVALUE($I389),VALUE($I389)))&gt;=100,INT(IF(ISNUMBER($I389),$I389,IFERROR(TIMEVALUE($I389),VALUE($I389)))/100)*60+MOD(IF(ISNUMBER($I389),$I389,IFERROR(TIMEVALUE($I389),VALUE($I389))),100),IF(IF(ISNUMBER($I389),$I389,IFERROR(TIMEVALUE($I389),VALUE($I389)))&gt;=1,ROUND(IF(ISNUMBER($I389),$I389,IFERROR(TIMEVALUE($I389),VALUE($I389)))*60,0),ROUND(MOD(IF(ISNUMBER($I389),$I389,IFERROR(TIMEVALUE($I389),VALUE($I389))),1)*1440,0))),""))</f>
        <v/>
      </c>
      <c r="X389" s="55" t="str">
        <f aca="false">IF($P389="","",IFERROR(IF(ISNUMBER($P389),IF($P389&gt;19000000,DATE(INT($P389/10000),MOD(INT($P389/100),100),MOD($P389,100)),INT($P389)),IF(LEN(SUBSTITUTE(SUBSTITUTE(SUBSTITUTE(TRIM($P389),"-",""),".",""),"/",""))=8,DATE(VALUE(LEFT(SUBSTITUTE(SUBSTITUTE(SUBSTITUTE(TRIM($P389),"-",""),".",""),"/",""),4)),VALUE(MID(SUBSTITUTE(SUBSTITUTE(SUBSTITUTE(TRIM($P389),"-",""),".",""),"/",""),5,2)),VALUE(RIGHT(SUBSTITUTE(SUBSTITUTE(SUBSTITUTE(TRIM($P389),"-",""),".",""),"/",""),2))),DATEVALUE($P389))),""))</f>
        <v/>
      </c>
      <c r="Y389" s="56" t="str">
        <f aca="false">IF($M389="","",IFERROR(INDEX(강사DB!$D$4:$D$53,MATCH($M389,강사DB!$A$4:$A$53,0)),""))</f>
        <v/>
      </c>
      <c r="Z389" s="56" t="str">
        <f aca="false">IF($B389&lt;&gt;"결제완료","",IF(OR($Y389="",$J389=""),"",$Y389*$J389+MAX(0,N($K389)-1)*설정!$J$7))</f>
        <v/>
      </c>
      <c r="AA389" s="56" t="str">
        <f aca="false">IF(AND($D389&lt;&gt;"",$B389="결제완료"),N($N389),"")</f>
        <v/>
      </c>
      <c r="AB389" s="45" t="str">
        <f aca="false">IF($D389="","",IF($F389&lt;&gt;"",$F389,$D389)&amp;IF($B389="상담중"," (상담)",""))</f>
        <v/>
      </c>
      <c r="AC389" s="45" t="n">
        <f aca="false">IF(AND($D389&lt;&gt;"",OR($B389="결제완료",$B389="상담중")),1,0)</f>
        <v>0</v>
      </c>
      <c r="AD389" s="45" t="n">
        <f aca="false">IF(OR($Z389="",$U389=""),0,IFERROR(IF(COUNTIFS(INDEX(g_grid,0,2*MATCH($M389,강사DB!$A$4:$A$15,0)),"&lt;&gt;",g_s,"&lt;="&amp;$U389,g_e,"&gt;="&amp;$U389)&gt;0,1,0),0))</f>
        <v>0</v>
      </c>
      <c r="AE389" s="48"/>
      <c r="AF389" s="56" t="str">
        <f aca="false">IF(AND($D389&lt;&gt;"",$B389="결제완료",$T389="대여"),설정!$J$5,"")</f>
        <v/>
      </c>
      <c r="AG389" s="54" t="str">
        <f aca="false">IF($D389="","",IF(AND($E389="",$R389=""),$AB389,"☎ "&amp;IF($E389="","-",$E389)&amp;IF($R389&lt;&gt;"","  ※ "&amp;$R389,"")&amp;IF($B389="상담중"," (상담)","")))</f>
        <v/>
      </c>
      <c r="AH389" s="56" t="str">
        <f aca="false">IF(AND($D389&lt;&gt;"",$B389="결제완료",$O389="스마트스토어"),ROUND(N($N389)*설정!$J$6,0),"")</f>
        <v/>
      </c>
      <c r="AI389" s="54" t="str">
        <f aca="false">IF($D389="","",ROW())</f>
        <v/>
      </c>
      <c r="AJ389" s="54" t="n">
        <f aca="false">IF(OR($AC389&lt;&gt;1,$M389=""),0,IF(ISNUMBER(SEARCH("퇴사",IFERROR(INDEX(강사DB!$G$4:$G$53,MATCH($M389,강사DB!$A$4:$A$53,0)),""))),1,0))</f>
        <v>0</v>
      </c>
    </row>
    <row r="390" customFormat="false" ht="15" hidden="false" customHeight="false" outlineLevel="0" collapsed="false">
      <c r="A390" s="45" t="str">
        <f aca="false">IF($D390="","",COUNTA($D$5:$D390))</f>
        <v/>
      </c>
      <c r="B390" s="46"/>
      <c r="C390" s="47"/>
      <c r="D390" s="48"/>
      <c r="E390" s="48"/>
      <c r="F390" s="49"/>
      <c r="G390" s="47"/>
      <c r="H390" s="50"/>
      <c r="I390" s="50"/>
      <c r="J390" s="51" t="str">
        <f aca="false">IF(OR($V390="",$W390=""),"",ROUND(($W390-$V390)/60,2))</f>
        <v/>
      </c>
      <c r="K390" s="52" t="str">
        <f aca="false">IF($F390="","",LEN($F390)-LEN(SUBSTITUTE($F390,",",""))+1)</f>
        <v/>
      </c>
      <c r="L390" s="45" t="str">
        <f aca="false">IF($K390="","","1:"&amp;$K390)</f>
        <v/>
      </c>
      <c r="M390" s="46"/>
      <c r="N390" s="53"/>
      <c r="O390" s="46"/>
      <c r="P390" s="47"/>
      <c r="Q390" s="48"/>
      <c r="R390" s="49"/>
      <c r="S390" s="54" t="str">
        <f aca="false">IF(OR($AC390=0,$U390="",$M390="",$V390="",$W390=""),"",IF(COUNTIFS(m_teacher,$M390,m_date,$U390,m_active,1,m_start,"&lt;"&amp;$W390,m_end,"&gt;"&amp;$V390)&gt;1,"충돌",""))</f>
        <v/>
      </c>
      <c r="T390" s="48"/>
      <c r="U390" s="55" t="str">
        <f aca="false">IF($G390="","",IFERROR(IF(ISNUMBER($G390),IF($G390&gt;19000000,DATE(INT($G390/10000),MOD(INT($G390/100),100),MOD($G390,100)),INT($G390)),IF(LEN(SUBSTITUTE(SUBSTITUTE(SUBSTITUTE(TRIM($G390),"-",""),".",""),"/",""))=8,DATE(VALUE(LEFT(SUBSTITUTE(SUBSTITUTE(SUBSTITUTE(TRIM($G390),"-",""),".",""),"/",""),4)),VALUE(MID(SUBSTITUTE(SUBSTITUTE(SUBSTITUTE(TRIM($G390),"-",""),".",""),"/",""),5,2)),VALUE(RIGHT(SUBSTITUTE(SUBSTITUTE(SUBSTITUTE(TRIM($G390),"-",""),".",""),"/",""),2))),DATEVALUE($G390))),""))</f>
        <v/>
      </c>
      <c r="V390" s="52" t="str">
        <f aca="false">IF($H390="","",IFERROR(IF(IF(ISNUMBER($H390),$H390,IFERROR(TIMEVALUE($H390),VALUE($H390)))&gt;=100,INT(IF(ISNUMBER($H390),$H390,IFERROR(TIMEVALUE($H390),VALUE($H390)))/100)*60+MOD(IF(ISNUMBER($H390),$H390,IFERROR(TIMEVALUE($H390),VALUE($H390))),100),IF(IF(ISNUMBER($H390),$H390,IFERROR(TIMEVALUE($H390),VALUE($H390)))&gt;=1,ROUND(IF(ISNUMBER($H390),$H390,IFERROR(TIMEVALUE($H390),VALUE($H390)))*60,0),ROUND(MOD(IF(ISNUMBER($H390),$H390,IFERROR(TIMEVALUE($H390),VALUE($H390))),1)*1440,0))),""))</f>
        <v/>
      </c>
      <c r="W390" s="52" t="str">
        <f aca="false">IF($I390="","",IFERROR(IF(IF(ISNUMBER($I390),$I390,IFERROR(TIMEVALUE($I390),VALUE($I390)))&gt;=100,INT(IF(ISNUMBER($I390),$I390,IFERROR(TIMEVALUE($I390),VALUE($I390)))/100)*60+MOD(IF(ISNUMBER($I390),$I390,IFERROR(TIMEVALUE($I390),VALUE($I390))),100),IF(IF(ISNUMBER($I390),$I390,IFERROR(TIMEVALUE($I390),VALUE($I390)))&gt;=1,ROUND(IF(ISNUMBER($I390),$I390,IFERROR(TIMEVALUE($I390),VALUE($I390)))*60,0),ROUND(MOD(IF(ISNUMBER($I390),$I390,IFERROR(TIMEVALUE($I390),VALUE($I390))),1)*1440,0))),""))</f>
        <v/>
      </c>
      <c r="X390" s="55" t="str">
        <f aca="false">IF($P390="","",IFERROR(IF(ISNUMBER($P390),IF($P390&gt;19000000,DATE(INT($P390/10000),MOD(INT($P390/100),100),MOD($P390,100)),INT($P390)),IF(LEN(SUBSTITUTE(SUBSTITUTE(SUBSTITUTE(TRIM($P390),"-",""),".",""),"/",""))=8,DATE(VALUE(LEFT(SUBSTITUTE(SUBSTITUTE(SUBSTITUTE(TRIM($P390),"-",""),".",""),"/",""),4)),VALUE(MID(SUBSTITUTE(SUBSTITUTE(SUBSTITUTE(TRIM($P390),"-",""),".",""),"/",""),5,2)),VALUE(RIGHT(SUBSTITUTE(SUBSTITUTE(SUBSTITUTE(TRIM($P390),"-",""),".",""),"/",""),2))),DATEVALUE($P390))),""))</f>
        <v/>
      </c>
      <c r="Y390" s="56" t="str">
        <f aca="false">IF($M390="","",IFERROR(INDEX(강사DB!$D$4:$D$53,MATCH($M390,강사DB!$A$4:$A$53,0)),""))</f>
        <v/>
      </c>
      <c r="Z390" s="56" t="str">
        <f aca="false">IF($B390&lt;&gt;"결제완료","",IF(OR($Y390="",$J390=""),"",$Y390*$J390+MAX(0,N($K390)-1)*설정!$J$7))</f>
        <v/>
      </c>
      <c r="AA390" s="56" t="str">
        <f aca="false">IF(AND($D390&lt;&gt;"",$B390="결제완료"),N($N390),"")</f>
        <v/>
      </c>
      <c r="AB390" s="45" t="str">
        <f aca="false">IF($D390="","",IF($F390&lt;&gt;"",$F390,$D390)&amp;IF($B390="상담중"," (상담)",""))</f>
        <v/>
      </c>
      <c r="AC390" s="45" t="n">
        <f aca="false">IF(AND($D390&lt;&gt;"",OR($B390="결제완료",$B390="상담중")),1,0)</f>
        <v>0</v>
      </c>
      <c r="AD390" s="45" t="n">
        <f aca="false">IF(OR($Z390="",$U390=""),0,IFERROR(IF(COUNTIFS(INDEX(g_grid,0,2*MATCH($M390,강사DB!$A$4:$A$15,0)),"&lt;&gt;",g_s,"&lt;="&amp;$U390,g_e,"&gt;="&amp;$U390)&gt;0,1,0),0))</f>
        <v>0</v>
      </c>
      <c r="AE390" s="48"/>
      <c r="AF390" s="56" t="str">
        <f aca="false">IF(AND($D390&lt;&gt;"",$B390="결제완료",$T390="대여"),설정!$J$5,"")</f>
        <v/>
      </c>
      <c r="AG390" s="54" t="str">
        <f aca="false">IF($D390="","",IF(AND($E390="",$R390=""),$AB390,"☎ "&amp;IF($E390="","-",$E390)&amp;IF($R390&lt;&gt;"","  ※ "&amp;$R390,"")&amp;IF($B390="상담중"," (상담)","")))</f>
        <v/>
      </c>
      <c r="AH390" s="56" t="str">
        <f aca="false">IF(AND($D390&lt;&gt;"",$B390="결제완료",$O390="스마트스토어"),ROUND(N($N390)*설정!$J$6,0),"")</f>
        <v/>
      </c>
      <c r="AI390" s="54" t="str">
        <f aca="false">IF($D390="","",ROW())</f>
        <v/>
      </c>
      <c r="AJ390" s="54" t="n">
        <f aca="false">IF(OR($AC390&lt;&gt;1,$M390=""),0,IF(ISNUMBER(SEARCH("퇴사",IFERROR(INDEX(강사DB!$G$4:$G$53,MATCH($M390,강사DB!$A$4:$A$53,0)),""))),1,0))</f>
        <v>0</v>
      </c>
    </row>
    <row r="391" customFormat="false" ht="15" hidden="false" customHeight="false" outlineLevel="0" collapsed="false">
      <c r="A391" s="45" t="str">
        <f aca="false">IF($D391="","",COUNTA($D$5:$D391))</f>
        <v/>
      </c>
      <c r="B391" s="46"/>
      <c r="C391" s="47"/>
      <c r="D391" s="48"/>
      <c r="E391" s="48"/>
      <c r="F391" s="49"/>
      <c r="G391" s="47"/>
      <c r="H391" s="50"/>
      <c r="I391" s="50"/>
      <c r="J391" s="51" t="str">
        <f aca="false">IF(OR($V391="",$W391=""),"",ROUND(($W391-$V391)/60,2))</f>
        <v/>
      </c>
      <c r="K391" s="52" t="str">
        <f aca="false">IF($F391="","",LEN($F391)-LEN(SUBSTITUTE($F391,",",""))+1)</f>
        <v/>
      </c>
      <c r="L391" s="45" t="str">
        <f aca="false">IF($K391="","","1:"&amp;$K391)</f>
        <v/>
      </c>
      <c r="M391" s="46"/>
      <c r="N391" s="53"/>
      <c r="O391" s="46"/>
      <c r="P391" s="47"/>
      <c r="Q391" s="48"/>
      <c r="R391" s="49"/>
      <c r="S391" s="54" t="str">
        <f aca="false">IF(OR($AC391=0,$U391="",$M391="",$V391="",$W391=""),"",IF(COUNTIFS(m_teacher,$M391,m_date,$U391,m_active,1,m_start,"&lt;"&amp;$W391,m_end,"&gt;"&amp;$V391)&gt;1,"충돌",""))</f>
        <v/>
      </c>
      <c r="T391" s="48"/>
      <c r="U391" s="55" t="str">
        <f aca="false">IF($G391="","",IFERROR(IF(ISNUMBER($G391),IF($G391&gt;19000000,DATE(INT($G391/10000),MOD(INT($G391/100),100),MOD($G391,100)),INT($G391)),IF(LEN(SUBSTITUTE(SUBSTITUTE(SUBSTITUTE(TRIM($G391),"-",""),".",""),"/",""))=8,DATE(VALUE(LEFT(SUBSTITUTE(SUBSTITUTE(SUBSTITUTE(TRIM($G391),"-",""),".",""),"/",""),4)),VALUE(MID(SUBSTITUTE(SUBSTITUTE(SUBSTITUTE(TRIM($G391),"-",""),".",""),"/",""),5,2)),VALUE(RIGHT(SUBSTITUTE(SUBSTITUTE(SUBSTITUTE(TRIM($G391),"-",""),".",""),"/",""),2))),DATEVALUE($G391))),""))</f>
        <v/>
      </c>
      <c r="V391" s="52" t="str">
        <f aca="false">IF($H391="","",IFERROR(IF(IF(ISNUMBER($H391),$H391,IFERROR(TIMEVALUE($H391),VALUE($H391)))&gt;=100,INT(IF(ISNUMBER($H391),$H391,IFERROR(TIMEVALUE($H391),VALUE($H391)))/100)*60+MOD(IF(ISNUMBER($H391),$H391,IFERROR(TIMEVALUE($H391),VALUE($H391))),100),IF(IF(ISNUMBER($H391),$H391,IFERROR(TIMEVALUE($H391),VALUE($H391)))&gt;=1,ROUND(IF(ISNUMBER($H391),$H391,IFERROR(TIMEVALUE($H391),VALUE($H391)))*60,0),ROUND(MOD(IF(ISNUMBER($H391),$H391,IFERROR(TIMEVALUE($H391),VALUE($H391))),1)*1440,0))),""))</f>
        <v/>
      </c>
      <c r="W391" s="52" t="str">
        <f aca="false">IF($I391="","",IFERROR(IF(IF(ISNUMBER($I391),$I391,IFERROR(TIMEVALUE($I391),VALUE($I391)))&gt;=100,INT(IF(ISNUMBER($I391),$I391,IFERROR(TIMEVALUE($I391),VALUE($I391)))/100)*60+MOD(IF(ISNUMBER($I391),$I391,IFERROR(TIMEVALUE($I391),VALUE($I391))),100),IF(IF(ISNUMBER($I391),$I391,IFERROR(TIMEVALUE($I391),VALUE($I391)))&gt;=1,ROUND(IF(ISNUMBER($I391),$I391,IFERROR(TIMEVALUE($I391),VALUE($I391)))*60,0),ROUND(MOD(IF(ISNUMBER($I391),$I391,IFERROR(TIMEVALUE($I391),VALUE($I391))),1)*1440,0))),""))</f>
        <v/>
      </c>
      <c r="X391" s="55" t="str">
        <f aca="false">IF($P391="","",IFERROR(IF(ISNUMBER($P391),IF($P391&gt;19000000,DATE(INT($P391/10000),MOD(INT($P391/100),100),MOD($P391,100)),INT($P391)),IF(LEN(SUBSTITUTE(SUBSTITUTE(SUBSTITUTE(TRIM($P391),"-",""),".",""),"/",""))=8,DATE(VALUE(LEFT(SUBSTITUTE(SUBSTITUTE(SUBSTITUTE(TRIM($P391),"-",""),".",""),"/",""),4)),VALUE(MID(SUBSTITUTE(SUBSTITUTE(SUBSTITUTE(TRIM($P391),"-",""),".",""),"/",""),5,2)),VALUE(RIGHT(SUBSTITUTE(SUBSTITUTE(SUBSTITUTE(TRIM($P391),"-",""),".",""),"/",""),2))),DATEVALUE($P391))),""))</f>
        <v/>
      </c>
      <c r="Y391" s="56" t="str">
        <f aca="false">IF($M391="","",IFERROR(INDEX(강사DB!$D$4:$D$53,MATCH($M391,강사DB!$A$4:$A$53,0)),""))</f>
        <v/>
      </c>
      <c r="Z391" s="56" t="str">
        <f aca="false">IF($B391&lt;&gt;"결제완료","",IF(OR($Y391="",$J391=""),"",$Y391*$J391+MAX(0,N($K391)-1)*설정!$J$7))</f>
        <v/>
      </c>
      <c r="AA391" s="56" t="str">
        <f aca="false">IF(AND($D391&lt;&gt;"",$B391="결제완료"),N($N391),"")</f>
        <v/>
      </c>
      <c r="AB391" s="45" t="str">
        <f aca="false">IF($D391="","",IF($F391&lt;&gt;"",$F391,$D391)&amp;IF($B391="상담중"," (상담)",""))</f>
        <v/>
      </c>
      <c r="AC391" s="45" t="n">
        <f aca="false">IF(AND($D391&lt;&gt;"",OR($B391="결제완료",$B391="상담중")),1,0)</f>
        <v>0</v>
      </c>
      <c r="AD391" s="45" t="n">
        <f aca="false">IF(OR($Z391="",$U391=""),0,IFERROR(IF(COUNTIFS(INDEX(g_grid,0,2*MATCH($M391,강사DB!$A$4:$A$15,0)),"&lt;&gt;",g_s,"&lt;="&amp;$U391,g_e,"&gt;="&amp;$U391)&gt;0,1,0),0))</f>
        <v>0</v>
      </c>
      <c r="AE391" s="48"/>
      <c r="AF391" s="56" t="str">
        <f aca="false">IF(AND($D391&lt;&gt;"",$B391="결제완료",$T391="대여"),설정!$J$5,"")</f>
        <v/>
      </c>
      <c r="AG391" s="54" t="str">
        <f aca="false">IF($D391="","",IF(AND($E391="",$R391=""),$AB391,"☎ "&amp;IF($E391="","-",$E391)&amp;IF($R391&lt;&gt;"","  ※ "&amp;$R391,"")&amp;IF($B391="상담중"," (상담)","")))</f>
        <v/>
      </c>
      <c r="AH391" s="56" t="str">
        <f aca="false">IF(AND($D391&lt;&gt;"",$B391="결제완료",$O391="스마트스토어"),ROUND(N($N391)*설정!$J$6,0),"")</f>
        <v/>
      </c>
      <c r="AI391" s="54" t="str">
        <f aca="false">IF($D391="","",ROW())</f>
        <v/>
      </c>
      <c r="AJ391" s="54" t="n">
        <f aca="false">IF(OR($AC391&lt;&gt;1,$M391=""),0,IF(ISNUMBER(SEARCH("퇴사",IFERROR(INDEX(강사DB!$G$4:$G$53,MATCH($M391,강사DB!$A$4:$A$53,0)),""))),1,0))</f>
        <v>0</v>
      </c>
    </row>
    <row r="392" customFormat="false" ht="15" hidden="false" customHeight="false" outlineLevel="0" collapsed="false">
      <c r="A392" s="45" t="str">
        <f aca="false">IF($D392="","",COUNTA($D$5:$D392))</f>
        <v/>
      </c>
      <c r="B392" s="46"/>
      <c r="C392" s="47"/>
      <c r="D392" s="48"/>
      <c r="E392" s="48"/>
      <c r="F392" s="49"/>
      <c r="G392" s="47"/>
      <c r="H392" s="50"/>
      <c r="I392" s="50"/>
      <c r="J392" s="51" t="str">
        <f aca="false">IF(OR($V392="",$W392=""),"",ROUND(($W392-$V392)/60,2))</f>
        <v/>
      </c>
      <c r="K392" s="52" t="str">
        <f aca="false">IF($F392="","",LEN($F392)-LEN(SUBSTITUTE($F392,",",""))+1)</f>
        <v/>
      </c>
      <c r="L392" s="45" t="str">
        <f aca="false">IF($K392="","","1:"&amp;$K392)</f>
        <v/>
      </c>
      <c r="M392" s="46"/>
      <c r="N392" s="53"/>
      <c r="O392" s="46"/>
      <c r="P392" s="47"/>
      <c r="Q392" s="48"/>
      <c r="R392" s="49"/>
      <c r="S392" s="54" t="str">
        <f aca="false">IF(OR($AC392=0,$U392="",$M392="",$V392="",$W392=""),"",IF(COUNTIFS(m_teacher,$M392,m_date,$U392,m_active,1,m_start,"&lt;"&amp;$W392,m_end,"&gt;"&amp;$V392)&gt;1,"충돌",""))</f>
        <v/>
      </c>
      <c r="T392" s="48"/>
      <c r="U392" s="55" t="str">
        <f aca="false">IF($G392="","",IFERROR(IF(ISNUMBER($G392),IF($G392&gt;19000000,DATE(INT($G392/10000),MOD(INT($G392/100),100),MOD($G392,100)),INT($G392)),IF(LEN(SUBSTITUTE(SUBSTITUTE(SUBSTITUTE(TRIM($G392),"-",""),".",""),"/",""))=8,DATE(VALUE(LEFT(SUBSTITUTE(SUBSTITUTE(SUBSTITUTE(TRIM($G392),"-",""),".",""),"/",""),4)),VALUE(MID(SUBSTITUTE(SUBSTITUTE(SUBSTITUTE(TRIM($G392),"-",""),".",""),"/",""),5,2)),VALUE(RIGHT(SUBSTITUTE(SUBSTITUTE(SUBSTITUTE(TRIM($G392),"-",""),".",""),"/",""),2))),DATEVALUE($G392))),""))</f>
        <v/>
      </c>
      <c r="V392" s="52" t="str">
        <f aca="false">IF($H392="","",IFERROR(IF(IF(ISNUMBER($H392),$H392,IFERROR(TIMEVALUE($H392),VALUE($H392)))&gt;=100,INT(IF(ISNUMBER($H392),$H392,IFERROR(TIMEVALUE($H392),VALUE($H392)))/100)*60+MOD(IF(ISNUMBER($H392),$H392,IFERROR(TIMEVALUE($H392),VALUE($H392))),100),IF(IF(ISNUMBER($H392),$H392,IFERROR(TIMEVALUE($H392),VALUE($H392)))&gt;=1,ROUND(IF(ISNUMBER($H392),$H392,IFERROR(TIMEVALUE($H392),VALUE($H392)))*60,0),ROUND(MOD(IF(ISNUMBER($H392),$H392,IFERROR(TIMEVALUE($H392),VALUE($H392))),1)*1440,0))),""))</f>
        <v/>
      </c>
      <c r="W392" s="52" t="str">
        <f aca="false">IF($I392="","",IFERROR(IF(IF(ISNUMBER($I392),$I392,IFERROR(TIMEVALUE($I392),VALUE($I392)))&gt;=100,INT(IF(ISNUMBER($I392),$I392,IFERROR(TIMEVALUE($I392),VALUE($I392)))/100)*60+MOD(IF(ISNUMBER($I392),$I392,IFERROR(TIMEVALUE($I392),VALUE($I392))),100),IF(IF(ISNUMBER($I392),$I392,IFERROR(TIMEVALUE($I392),VALUE($I392)))&gt;=1,ROUND(IF(ISNUMBER($I392),$I392,IFERROR(TIMEVALUE($I392),VALUE($I392)))*60,0),ROUND(MOD(IF(ISNUMBER($I392),$I392,IFERROR(TIMEVALUE($I392),VALUE($I392))),1)*1440,0))),""))</f>
        <v/>
      </c>
      <c r="X392" s="55" t="str">
        <f aca="false">IF($P392="","",IFERROR(IF(ISNUMBER($P392),IF($P392&gt;19000000,DATE(INT($P392/10000),MOD(INT($P392/100),100),MOD($P392,100)),INT($P392)),IF(LEN(SUBSTITUTE(SUBSTITUTE(SUBSTITUTE(TRIM($P392),"-",""),".",""),"/",""))=8,DATE(VALUE(LEFT(SUBSTITUTE(SUBSTITUTE(SUBSTITUTE(TRIM($P392),"-",""),".",""),"/",""),4)),VALUE(MID(SUBSTITUTE(SUBSTITUTE(SUBSTITUTE(TRIM($P392),"-",""),".",""),"/",""),5,2)),VALUE(RIGHT(SUBSTITUTE(SUBSTITUTE(SUBSTITUTE(TRIM($P392),"-",""),".",""),"/",""),2))),DATEVALUE($P392))),""))</f>
        <v/>
      </c>
      <c r="Y392" s="56" t="str">
        <f aca="false">IF($M392="","",IFERROR(INDEX(강사DB!$D$4:$D$53,MATCH($M392,강사DB!$A$4:$A$53,0)),""))</f>
        <v/>
      </c>
      <c r="Z392" s="56" t="str">
        <f aca="false">IF($B392&lt;&gt;"결제완료","",IF(OR($Y392="",$J392=""),"",$Y392*$J392+MAX(0,N($K392)-1)*설정!$J$7))</f>
        <v/>
      </c>
      <c r="AA392" s="56" t="str">
        <f aca="false">IF(AND($D392&lt;&gt;"",$B392="결제완료"),N($N392),"")</f>
        <v/>
      </c>
      <c r="AB392" s="45" t="str">
        <f aca="false">IF($D392="","",IF($F392&lt;&gt;"",$F392,$D392)&amp;IF($B392="상담중"," (상담)",""))</f>
        <v/>
      </c>
      <c r="AC392" s="45" t="n">
        <f aca="false">IF(AND($D392&lt;&gt;"",OR($B392="결제완료",$B392="상담중")),1,0)</f>
        <v>0</v>
      </c>
      <c r="AD392" s="45" t="n">
        <f aca="false">IF(OR($Z392="",$U392=""),0,IFERROR(IF(COUNTIFS(INDEX(g_grid,0,2*MATCH($M392,강사DB!$A$4:$A$15,0)),"&lt;&gt;",g_s,"&lt;="&amp;$U392,g_e,"&gt;="&amp;$U392)&gt;0,1,0),0))</f>
        <v>0</v>
      </c>
      <c r="AE392" s="48"/>
      <c r="AF392" s="56" t="str">
        <f aca="false">IF(AND($D392&lt;&gt;"",$B392="결제완료",$T392="대여"),설정!$J$5,"")</f>
        <v/>
      </c>
      <c r="AG392" s="54" t="str">
        <f aca="false">IF($D392="","",IF(AND($E392="",$R392=""),$AB392,"☎ "&amp;IF($E392="","-",$E392)&amp;IF($R392&lt;&gt;"","  ※ "&amp;$R392,"")&amp;IF($B392="상담중"," (상담)","")))</f>
        <v/>
      </c>
      <c r="AH392" s="56" t="str">
        <f aca="false">IF(AND($D392&lt;&gt;"",$B392="결제완료",$O392="스마트스토어"),ROUND(N($N392)*설정!$J$6,0),"")</f>
        <v/>
      </c>
      <c r="AI392" s="54" t="str">
        <f aca="false">IF($D392="","",ROW())</f>
        <v/>
      </c>
      <c r="AJ392" s="54" t="n">
        <f aca="false">IF(OR($AC392&lt;&gt;1,$M392=""),0,IF(ISNUMBER(SEARCH("퇴사",IFERROR(INDEX(강사DB!$G$4:$G$53,MATCH($M392,강사DB!$A$4:$A$53,0)),""))),1,0))</f>
        <v>0</v>
      </c>
    </row>
    <row r="393" customFormat="false" ht="15" hidden="false" customHeight="false" outlineLevel="0" collapsed="false">
      <c r="A393" s="45" t="str">
        <f aca="false">IF($D393="","",COUNTA($D$5:$D393))</f>
        <v/>
      </c>
      <c r="B393" s="46"/>
      <c r="C393" s="47"/>
      <c r="D393" s="48"/>
      <c r="E393" s="48"/>
      <c r="F393" s="49"/>
      <c r="G393" s="47"/>
      <c r="H393" s="50"/>
      <c r="I393" s="50"/>
      <c r="J393" s="51" t="str">
        <f aca="false">IF(OR($V393="",$W393=""),"",ROUND(($W393-$V393)/60,2))</f>
        <v/>
      </c>
      <c r="K393" s="52" t="str">
        <f aca="false">IF($F393="","",LEN($F393)-LEN(SUBSTITUTE($F393,",",""))+1)</f>
        <v/>
      </c>
      <c r="L393" s="45" t="str">
        <f aca="false">IF($K393="","","1:"&amp;$K393)</f>
        <v/>
      </c>
      <c r="M393" s="46"/>
      <c r="N393" s="53"/>
      <c r="O393" s="46"/>
      <c r="P393" s="47"/>
      <c r="Q393" s="48"/>
      <c r="R393" s="49"/>
      <c r="S393" s="54" t="str">
        <f aca="false">IF(OR($AC393=0,$U393="",$M393="",$V393="",$W393=""),"",IF(COUNTIFS(m_teacher,$M393,m_date,$U393,m_active,1,m_start,"&lt;"&amp;$W393,m_end,"&gt;"&amp;$V393)&gt;1,"충돌",""))</f>
        <v/>
      </c>
      <c r="T393" s="48"/>
      <c r="U393" s="55" t="str">
        <f aca="false">IF($G393="","",IFERROR(IF(ISNUMBER($G393),IF($G393&gt;19000000,DATE(INT($G393/10000),MOD(INT($G393/100),100),MOD($G393,100)),INT($G393)),IF(LEN(SUBSTITUTE(SUBSTITUTE(SUBSTITUTE(TRIM($G393),"-",""),".",""),"/",""))=8,DATE(VALUE(LEFT(SUBSTITUTE(SUBSTITUTE(SUBSTITUTE(TRIM($G393),"-",""),".",""),"/",""),4)),VALUE(MID(SUBSTITUTE(SUBSTITUTE(SUBSTITUTE(TRIM($G393),"-",""),".",""),"/",""),5,2)),VALUE(RIGHT(SUBSTITUTE(SUBSTITUTE(SUBSTITUTE(TRIM($G393),"-",""),".",""),"/",""),2))),DATEVALUE($G393))),""))</f>
        <v/>
      </c>
      <c r="V393" s="52" t="str">
        <f aca="false">IF($H393="","",IFERROR(IF(IF(ISNUMBER($H393),$H393,IFERROR(TIMEVALUE($H393),VALUE($H393)))&gt;=100,INT(IF(ISNUMBER($H393),$H393,IFERROR(TIMEVALUE($H393),VALUE($H393)))/100)*60+MOD(IF(ISNUMBER($H393),$H393,IFERROR(TIMEVALUE($H393),VALUE($H393))),100),IF(IF(ISNUMBER($H393),$H393,IFERROR(TIMEVALUE($H393),VALUE($H393)))&gt;=1,ROUND(IF(ISNUMBER($H393),$H393,IFERROR(TIMEVALUE($H393),VALUE($H393)))*60,0),ROUND(MOD(IF(ISNUMBER($H393),$H393,IFERROR(TIMEVALUE($H393),VALUE($H393))),1)*1440,0))),""))</f>
        <v/>
      </c>
      <c r="W393" s="52" t="str">
        <f aca="false">IF($I393="","",IFERROR(IF(IF(ISNUMBER($I393),$I393,IFERROR(TIMEVALUE($I393),VALUE($I393)))&gt;=100,INT(IF(ISNUMBER($I393),$I393,IFERROR(TIMEVALUE($I393),VALUE($I393)))/100)*60+MOD(IF(ISNUMBER($I393),$I393,IFERROR(TIMEVALUE($I393),VALUE($I393))),100),IF(IF(ISNUMBER($I393),$I393,IFERROR(TIMEVALUE($I393),VALUE($I393)))&gt;=1,ROUND(IF(ISNUMBER($I393),$I393,IFERROR(TIMEVALUE($I393),VALUE($I393)))*60,0),ROUND(MOD(IF(ISNUMBER($I393),$I393,IFERROR(TIMEVALUE($I393),VALUE($I393))),1)*1440,0))),""))</f>
        <v/>
      </c>
      <c r="X393" s="55" t="str">
        <f aca="false">IF($P393="","",IFERROR(IF(ISNUMBER($P393),IF($P393&gt;19000000,DATE(INT($P393/10000),MOD(INT($P393/100),100),MOD($P393,100)),INT($P393)),IF(LEN(SUBSTITUTE(SUBSTITUTE(SUBSTITUTE(TRIM($P393),"-",""),".",""),"/",""))=8,DATE(VALUE(LEFT(SUBSTITUTE(SUBSTITUTE(SUBSTITUTE(TRIM($P393),"-",""),".",""),"/",""),4)),VALUE(MID(SUBSTITUTE(SUBSTITUTE(SUBSTITUTE(TRIM($P393),"-",""),".",""),"/",""),5,2)),VALUE(RIGHT(SUBSTITUTE(SUBSTITUTE(SUBSTITUTE(TRIM($P393),"-",""),".",""),"/",""),2))),DATEVALUE($P393))),""))</f>
        <v/>
      </c>
      <c r="Y393" s="56" t="str">
        <f aca="false">IF($M393="","",IFERROR(INDEX(강사DB!$D$4:$D$53,MATCH($M393,강사DB!$A$4:$A$53,0)),""))</f>
        <v/>
      </c>
      <c r="Z393" s="56" t="str">
        <f aca="false">IF($B393&lt;&gt;"결제완료","",IF(OR($Y393="",$J393=""),"",$Y393*$J393+MAX(0,N($K393)-1)*설정!$J$7))</f>
        <v/>
      </c>
      <c r="AA393" s="56" t="str">
        <f aca="false">IF(AND($D393&lt;&gt;"",$B393="결제완료"),N($N393),"")</f>
        <v/>
      </c>
      <c r="AB393" s="45" t="str">
        <f aca="false">IF($D393="","",IF($F393&lt;&gt;"",$F393,$D393)&amp;IF($B393="상담중"," (상담)",""))</f>
        <v/>
      </c>
      <c r="AC393" s="45" t="n">
        <f aca="false">IF(AND($D393&lt;&gt;"",OR($B393="결제완료",$B393="상담중")),1,0)</f>
        <v>0</v>
      </c>
      <c r="AD393" s="45" t="n">
        <f aca="false">IF(OR($Z393="",$U393=""),0,IFERROR(IF(COUNTIFS(INDEX(g_grid,0,2*MATCH($M393,강사DB!$A$4:$A$15,0)),"&lt;&gt;",g_s,"&lt;="&amp;$U393,g_e,"&gt;="&amp;$U393)&gt;0,1,0),0))</f>
        <v>0</v>
      </c>
      <c r="AE393" s="48"/>
      <c r="AF393" s="56" t="str">
        <f aca="false">IF(AND($D393&lt;&gt;"",$B393="결제완료",$T393="대여"),설정!$J$5,"")</f>
        <v/>
      </c>
      <c r="AG393" s="54" t="str">
        <f aca="false">IF($D393="","",IF(AND($E393="",$R393=""),$AB393,"☎ "&amp;IF($E393="","-",$E393)&amp;IF($R393&lt;&gt;"","  ※ "&amp;$R393,"")&amp;IF($B393="상담중"," (상담)","")))</f>
        <v/>
      </c>
      <c r="AH393" s="56" t="str">
        <f aca="false">IF(AND($D393&lt;&gt;"",$B393="결제완료",$O393="스마트스토어"),ROUND(N($N393)*설정!$J$6,0),"")</f>
        <v/>
      </c>
      <c r="AI393" s="54" t="str">
        <f aca="false">IF($D393="","",ROW())</f>
        <v/>
      </c>
      <c r="AJ393" s="54" t="n">
        <f aca="false">IF(OR($AC393&lt;&gt;1,$M393=""),0,IF(ISNUMBER(SEARCH("퇴사",IFERROR(INDEX(강사DB!$G$4:$G$53,MATCH($M393,강사DB!$A$4:$A$53,0)),""))),1,0))</f>
        <v>0</v>
      </c>
    </row>
    <row r="394" customFormat="false" ht="15" hidden="false" customHeight="false" outlineLevel="0" collapsed="false">
      <c r="A394" s="45" t="str">
        <f aca="false">IF($D394="","",COUNTA($D$5:$D394))</f>
        <v/>
      </c>
      <c r="B394" s="46"/>
      <c r="C394" s="47"/>
      <c r="D394" s="48"/>
      <c r="E394" s="48"/>
      <c r="F394" s="49"/>
      <c r="G394" s="47"/>
      <c r="H394" s="50"/>
      <c r="I394" s="50"/>
      <c r="J394" s="51" t="str">
        <f aca="false">IF(OR($V394="",$W394=""),"",ROUND(($W394-$V394)/60,2))</f>
        <v/>
      </c>
      <c r="K394" s="52" t="str">
        <f aca="false">IF($F394="","",LEN($F394)-LEN(SUBSTITUTE($F394,",",""))+1)</f>
        <v/>
      </c>
      <c r="L394" s="45" t="str">
        <f aca="false">IF($K394="","","1:"&amp;$K394)</f>
        <v/>
      </c>
      <c r="M394" s="46"/>
      <c r="N394" s="53"/>
      <c r="O394" s="46"/>
      <c r="P394" s="47"/>
      <c r="Q394" s="48"/>
      <c r="R394" s="49"/>
      <c r="S394" s="54" t="str">
        <f aca="false">IF(OR($AC394=0,$U394="",$M394="",$V394="",$W394=""),"",IF(COUNTIFS(m_teacher,$M394,m_date,$U394,m_active,1,m_start,"&lt;"&amp;$W394,m_end,"&gt;"&amp;$V394)&gt;1,"충돌",""))</f>
        <v/>
      </c>
      <c r="T394" s="48"/>
      <c r="U394" s="55" t="str">
        <f aca="false">IF($G394="","",IFERROR(IF(ISNUMBER($G394),IF($G394&gt;19000000,DATE(INT($G394/10000),MOD(INT($G394/100),100),MOD($G394,100)),INT($G394)),IF(LEN(SUBSTITUTE(SUBSTITUTE(SUBSTITUTE(TRIM($G394),"-",""),".",""),"/",""))=8,DATE(VALUE(LEFT(SUBSTITUTE(SUBSTITUTE(SUBSTITUTE(TRIM($G394),"-",""),".",""),"/",""),4)),VALUE(MID(SUBSTITUTE(SUBSTITUTE(SUBSTITUTE(TRIM($G394),"-",""),".",""),"/",""),5,2)),VALUE(RIGHT(SUBSTITUTE(SUBSTITUTE(SUBSTITUTE(TRIM($G394),"-",""),".",""),"/",""),2))),DATEVALUE($G394))),""))</f>
        <v/>
      </c>
      <c r="V394" s="52" t="str">
        <f aca="false">IF($H394="","",IFERROR(IF(IF(ISNUMBER($H394),$H394,IFERROR(TIMEVALUE($H394),VALUE($H394)))&gt;=100,INT(IF(ISNUMBER($H394),$H394,IFERROR(TIMEVALUE($H394),VALUE($H394)))/100)*60+MOD(IF(ISNUMBER($H394),$H394,IFERROR(TIMEVALUE($H394),VALUE($H394))),100),IF(IF(ISNUMBER($H394),$H394,IFERROR(TIMEVALUE($H394),VALUE($H394)))&gt;=1,ROUND(IF(ISNUMBER($H394),$H394,IFERROR(TIMEVALUE($H394),VALUE($H394)))*60,0),ROUND(MOD(IF(ISNUMBER($H394),$H394,IFERROR(TIMEVALUE($H394),VALUE($H394))),1)*1440,0))),""))</f>
        <v/>
      </c>
      <c r="W394" s="52" t="str">
        <f aca="false">IF($I394="","",IFERROR(IF(IF(ISNUMBER($I394),$I394,IFERROR(TIMEVALUE($I394),VALUE($I394)))&gt;=100,INT(IF(ISNUMBER($I394),$I394,IFERROR(TIMEVALUE($I394),VALUE($I394)))/100)*60+MOD(IF(ISNUMBER($I394),$I394,IFERROR(TIMEVALUE($I394),VALUE($I394))),100),IF(IF(ISNUMBER($I394),$I394,IFERROR(TIMEVALUE($I394),VALUE($I394)))&gt;=1,ROUND(IF(ISNUMBER($I394),$I394,IFERROR(TIMEVALUE($I394),VALUE($I394)))*60,0),ROUND(MOD(IF(ISNUMBER($I394),$I394,IFERROR(TIMEVALUE($I394),VALUE($I394))),1)*1440,0))),""))</f>
        <v/>
      </c>
      <c r="X394" s="55" t="str">
        <f aca="false">IF($P394="","",IFERROR(IF(ISNUMBER($P394),IF($P394&gt;19000000,DATE(INT($P394/10000),MOD(INT($P394/100),100),MOD($P394,100)),INT($P394)),IF(LEN(SUBSTITUTE(SUBSTITUTE(SUBSTITUTE(TRIM($P394),"-",""),".",""),"/",""))=8,DATE(VALUE(LEFT(SUBSTITUTE(SUBSTITUTE(SUBSTITUTE(TRIM($P394),"-",""),".",""),"/",""),4)),VALUE(MID(SUBSTITUTE(SUBSTITUTE(SUBSTITUTE(TRIM($P394),"-",""),".",""),"/",""),5,2)),VALUE(RIGHT(SUBSTITUTE(SUBSTITUTE(SUBSTITUTE(TRIM($P394),"-",""),".",""),"/",""),2))),DATEVALUE($P394))),""))</f>
        <v/>
      </c>
      <c r="Y394" s="56" t="str">
        <f aca="false">IF($M394="","",IFERROR(INDEX(강사DB!$D$4:$D$53,MATCH($M394,강사DB!$A$4:$A$53,0)),""))</f>
        <v/>
      </c>
      <c r="Z394" s="56" t="str">
        <f aca="false">IF($B394&lt;&gt;"결제완료","",IF(OR($Y394="",$J394=""),"",$Y394*$J394+MAX(0,N($K394)-1)*설정!$J$7))</f>
        <v/>
      </c>
      <c r="AA394" s="56" t="str">
        <f aca="false">IF(AND($D394&lt;&gt;"",$B394="결제완료"),N($N394),"")</f>
        <v/>
      </c>
      <c r="AB394" s="45" t="str">
        <f aca="false">IF($D394="","",IF($F394&lt;&gt;"",$F394,$D394)&amp;IF($B394="상담중"," (상담)",""))</f>
        <v/>
      </c>
      <c r="AC394" s="45" t="n">
        <f aca="false">IF(AND($D394&lt;&gt;"",OR($B394="결제완료",$B394="상담중")),1,0)</f>
        <v>0</v>
      </c>
      <c r="AD394" s="45" t="n">
        <f aca="false">IF(OR($Z394="",$U394=""),0,IFERROR(IF(COUNTIFS(INDEX(g_grid,0,2*MATCH($M394,강사DB!$A$4:$A$15,0)),"&lt;&gt;",g_s,"&lt;="&amp;$U394,g_e,"&gt;="&amp;$U394)&gt;0,1,0),0))</f>
        <v>0</v>
      </c>
      <c r="AE394" s="48"/>
      <c r="AF394" s="56" t="str">
        <f aca="false">IF(AND($D394&lt;&gt;"",$B394="결제완료",$T394="대여"),설정!$J$5,"")</f>
        <v/>
      </c>
      <c r="AG394" s="54" t="str">
        <f aca="false">IF($D394="","",IF(AND($E394="",$R394=""),$AB394,"☎ "&amp;IF($E394="","-",$E394)&amp;IF($R394&lt;&gt;"","  ※ "&amp;$R394,"")&amp;IF($B394="상담중"," (상담)","")))</f>
        <v/>
      </c>
      <c r="AH394" s="56" t="str">
        <f aca="false">IF(AND($D394&lt;&gt;"",$B394="결제완료",$O394="스마트스토어"),ROUND(N($N394)*설정!$J$6,0),"")</f>
        <v/>
      </c>
      <c r="AI394" s="54" t="str">
        <f aca="false">IF($D394="","",ROW())</f>
        <v/>
      </c>
      <c r="AJ394" s="54" t="n">
        <f aca="false">IF(OR($AC394&lt;&gt;1,$M394=""),0,IF(ISNUMBER(SEARCH("퇴사",IFERROR(INDEX(강사DB!$G$4:$G$53,MATCH($M394,강사DB!$A$4:$A$53,0)),""))),1,0))</f>
        <v>0</v>
      </c>
    </row>
    <row r="395" customFormat="false" ht="15" hidden="false" customHeight="false" outlineLevel="0" collapsed="false">
      <c r="A395" s="45" t="str">
        <f aca="false">IF($D395="","",COUNTA($D$5:$D395))</f>
        <v/>
      </c>
      <c r="B395" s="46"/>
      <c r="C395" s="47"/>
      <c r="D395" s="48"/>
      <c r="E395" s="48"/>
      <c r="F395" s="49"/>
      <c r="G395" s="47"/>
      <c r="H395" s="50"/>
      <c r="I395" s="50"/>
      <c r="J395" s="51" t="str">
        <f aca="false">IF(OR($V395="",$W395=""),"",ROUND(($W395-$V395)/60,2))</f>
        <v/>
      </c>
      <c r="K395" s="52" t="str">
        <f aca="false">IF($F395="","",LEN($F395)-LEN(SUBSTITUTE($F395,",",""))+1)</f>
        <v/>
      </c>
      <c r="L395" s="45" t="str">
        <f aca="false">IF($K395="","","1:"&amp;$K395)</f>
        <v/>
      </c>
      <c r="M395" s="46"/>
      <c r="N395" s="53"/>
      <c r="O395" s="46"/>
      <c r="P395" s="47"/>
      <c r="Q395" s="48"/>
      <c r="R395" s="49"/>
      <c r="S395" s="54" t="str">
        <f aca="false">IF(OR($AC395=0,$U395="",$M395="",$V395="",$W395=""),"",IF(COUNTIFS(m_teacher,$M395,m_date,$U395,m_active,1,m_start,"&lt;"&amp;$W395,m_end,"&gt;"&amp;$V395)&gt;1,"충돌",""))</f>
        <v/>
      </c>
      <c r="T395" s="48"/>
      <c r="U395" s="55" t="str">
        <f aca="false">IF($G395="","",IFERROR(IF(ISNUMBER($G395),IF($G395&gt;19000000,DATE(INT($G395/10000),MOD(INT($G395/100),100),MOD($G395,100)),INT($G395)),IF(LEN(SUBSTITUTE(SUBSTITUTE(SUBSTITUTE(TRIM($G395),"-",""),".",""),"/",""))=8,DATE(VALUE(LEFT(SUBSTITUTE(SUBSTITUTE(SUBSTITUTE(TRIM($G395),"-",""),".",""),"/",""),4)),VALUE(MID(SUBSTITUTE(SUBSTITUTE(SUBSTITUTE(TRIM($G395),"-",""),".",""),"/",""),5,2)),VALUE(RIGHT(SUBSTITUTE(SUBSTITUTE(SUBSTITUTE(TRIM($G395),"-",""),".",""),"/",""),2))),DATEVALUE($G395))),""))</f>
        <v/>
      </c>
      <c r="V395" s="52" t="str">
        <f aca="false">IF($H395="","",IFERROR(IF(IF(ISNUMBER($H395),$H395,IFERROR(TIMEVALUE($H395),VALUE($H395)))&gt;=100,INT(IF(ISNUMBER($H395),$H395,IFERROR(TIMEVALUE($H395),VALUE($H395)))/100)*60+MOD(IF(ISNUMBER($H395),$H395,IFERROR(TIMEVALUE($H395),VALUE($H395))),100),IF(IF(ISNUMBER($H395),$H395,IFERROR(TIMEVALUE($H395),VALUE($H395)))&gt;=1,ROUND(IF(ISNUMBER($H395),$H395,IFERROR(TIMEVALUE($H395),VALUE($H395)))*60,0),ROUND(MOD(IF(ISNUMBER($H395),$H395,IFERROR(TIMEVALUE($H395),VALUE($H395))),1)*1440,0))),""))</f>
        <v/>
      </c>
      <c r="W395" s="52" t="str">
        <f aca="false">IF($I395="","",IFERROR(IF(IF(ISNUMBER($I395),$I395,IFERROR(TIMEVALUE($I395),VALUE($I395)))&gt;=100,INT(IF(ISNUMBER($I395),$I395,IFERROR(TIMEVALUE($I395),VALUE($I395)))/100)*60+MOD(IF(ISNUMBER($I395),$I395,IFERROR(TIMEVALUE($I395),VALUE($I395))),100),IF(IF(ISNUMBER($I395),$I395,IFERROR(TIMEVALUE($I395),VALUE($I395)))&gt;=1,ROUND(IF(ISNUMBER($I395),$I395,IFERROR(TIMEVALUE($I395),VALUE($I395)))*60,0),ROUND(MOD(IF(ISNUMBER($I395),$I395,IFERROR(TIMEVALUE($I395),VALUE($I395))),1)*1440,0))),""))</f>
        <v/>
      </c>
      <c r="X395" s="55" t="str">
        <f aca="false">IF($P395="","",IFERROR(IF(ISNUMBER($P395),IF($P395&gt;19000000,DATE(INT($P395/10000),MOD(INT($P395/100),100),MOD($P395,100)),INT($P395)),IF(LEN(SUBSTITUTE(SUBSTITUTE(SUBSTITUTE(TRIM($P395),"-",""),".",""),"/",""))=8,DATE(VALUE(LEFT(SUBSTITUTE(SUBSTITUTE(SUBSTITUTE(TRIM($P395),"-",""),".",""),"/",""),4)),VALUE(MID(SUBSTITUTE(SUBSTITUTE(SUBSTITUTE(TRIM($P395),"-",""),".",""),"/",""),5,2)),VALUE(RIGHT(SUBSTITUTE(SUBSTITUTE(SUBSTITUTE(TRIM($P395),"-",""),".",""),"/",""),2))),DATEVALUE($P395))),""))</f>
        <v/>
      </c>
      <c r="Y395" s="56" t="str">
        <f aca="false">IF($M395="","",IFERROR(INDEX(강사DB!$D$4:$D$53,MATCH($M395,강사DB!$A$4:$A$53,0)),""))</f>
        <v/>
      </c>
      <c r="Z395" s="56" t="str">
        <f aca="false">IF($B395&lt;&gt;"결제완료","",IF(OR($Y395="",$J395=""),"",$Y395*$J395+MAX(0,N($K395)-1)*설정!$J$7))</f>
        <v/>
      </c>
      <c r="AA395" s="56" t="str">
        <f aca="false">IF(AND($D395&lt;&gt;"",$B395="결제완료"),N($N395),"")</f>
        <v/>
      </c>
      <c r="AB395" s="45" t="str">
        <f aca="false">IF($D395="","",IF($F395&lt;&gt;"",$F395,$D395)&amp;IF($B395="상담중"," (상담)",""))</f>
        <v/>
      </c>
      <c r="AC395" s="45" t="n">
        <f aca="false">IF(AND($D395&lt;&gt;"",OR($B395="결제완료",$B395="상담중")),1,0)</f>
        <v>0</v>
      </c>
      <c r="AD395" s="45" t="n">
        <f aca="false">IF(OR($Z395="",$U395=""),0,IFERROR(IF(COUNTIFS(INDEX(g_grid,0,2*MATCH($M395,강사DB!$A$4:$A$15,0)),"&lt;&gt;",g_s,"&lt;="&amp;$U395,g_e,"&gt;="&amp;$U395)&gt;0,1,0),0))</f>
        <v>0</v>
      </c>
      <c r="AE395" s="48"/>
      <c r="AF395" s="56" t="str">
        <f aca="false">IF(AND($D395&lt;&gt;"",$B395="결제완료",$T395="대여"),설정!$J$5,"")</f>
        <v/>
      </c>
      <c r="AG395" s="54" t="str">
        <f aca="false">IF($D395="","",IF(AND($E395="",$R395=""),$AB395,"☎ "&amp;IF($E395="","-",$E395)&amp;IF($R395&lt;&gt;"","  ※ "&amp;$R395,"")&amp;IF($B395="상담중"," (상담)","")))</f>
        <v/>
      </c>
      <c r="AH395" s="56" t="str">
        <f aca="false">IF(AND($D395&lt;&gt;"",$B395="결제완료",$O395="스마트스토어"),ROUND(N($N395)*설정!$J$6,0),"")</f>
        <v/>
      </c>
      <c r="AI395" s="54" t="str">
        <f aca="false">IF($D395="","",ROW())</f>
        <v/>
      </c>
      <c r="AJ395" s="54" t="n">
        <f aca="false">IF(OR($AC395&lt;&gt;1,$M395=""),0,IF(ISNUMBER(SEARCH("퇴사",IFERROR(INDEX(강사DB!$G$4:$G$53,MATCH($M395,강사DB!$A$4:$A$53,0)),""))),1,0))</f>
        <v>0</v>
      </c>
    </row>
    <row r="396" customFormat="false" ht="15" hidden="false" customHeight="false" outlineLevel="0" collapsed="false">
      <c r="A396" s="45" t="str">
        <f aca="false">IF($D396="","",COUNTA($D$5:$D396))</f>
        <v/>
      </c>
      <c r="B396" s="46"/>
      <c r="C396" s="47"/>
      <c r="D396" s="48"/>
      <c r="E396" s="48"/>
      <c r="F396" s="49"/>
      <c r="G396" s="47"/>
      <c r="H396" s="50"/>
      <c r="I396" s="50"/>
      <c r="J396" s="51" t="str">
        <f aca="false">IF(OR($V396="",$W396=""),"",ROUND(($W396-$V396)/60,2))</f>
        <v/>
      </c>
      <c r="K396" s="52" t="str">
        <f aca="false">IF($F396="","",LEN($F396)-LEN(SUBSTITUTE($F396,",",""))+1)</f>
        <v/>
      </c>
      <c r="L396" s="45" t="str">
        <f aca="false">IF($K396="","","1:"&amp;$K396)</f>
        <v/>
      </c>
      <c r="M396" s="46"/>
      <c r="N396" s="53"/>
      <c r="O396" s="46"/>
      <c r="P396" s="47"/>
      <c r="Q396" s="48"/>
      <c r="R396" s="49"/>
      <c r="S396" s="54" t="str">
        <f aca="false">IF(OR($AC396=0,$U396="",$M396="",$V396="",$W396=""),"",IF(COUNTIFS(m_teacher,$M396,m_date,$U396,m_active,1,m_start,"&lt;"&amp;$W396,m_end,"&gt;"&amp;$V396)&gt;1,"충돌",""))</f>
        <v/>
      </c>
      <c r="T396" s="48"/>
      <c r="U396" s="55" t="str">
        <f aca="false">IF($G396="","",IFERROR(IF(ISNUMBER($G396),IF($G396&gt;19000000,DATE(INT($G396/10000),MOD(INT($G396/100),100),MOD($G396,100)),INT($G396)),IF(LEN(SUBSTITUTE(SUBSTITUTE(SUBSTITUTE(TRIM($G396),"-",""),".",""),"/",""))=8,DATE(VALUE(LEFT(SUBSTITUTE(SUBSTITUTE(SUBSTITUTE(TRIM($G396),"-",""),".",""),"/",""),4)),VALUE(MID(SUBSTITUTE(SUBSTITUTE(SUBSTITUTE(TRIM($G396),"-",""),".",""),"/",""),5,2)),VALUE(RIGHT(SUBSTITUTE(SUBSTITUTE(SUBSTITUTE(TRIM($G396),"-",""),".",""),"/",""),2))),DATEVALUE($G396))),""))</f>
        <v/>
      </c>
      <c r="V396" s="52" t="str">
        <f aca="false">IF($H396="","",IFERROR(IF(IF(ISNUMBER($H396),$H396,IFERROR(TIMEVALUE($H396),VALUE($H396)))&gt;=100,INT(IF(ISNUMBER($H396),$H396,IFERROR(TIMEVALUE($H396),VALUE($H396)))/100)*60+MOD(IF(ISNUMBER($H396),$H396,IFERROR(TIMEVALUE($H396),VALUE($H396))),100),IF(IF(ISNUMBER($H396),$H396,IFERROR(TIMEVALUE($H396),VALUE($H396)))&gt;=1,ROUND(IF(ISNUMBER($H396),$H396,IFERROR(TIMEVALUE($H396),VALUE($H396)))*60,0),ROUND(MOD(IF(ISNUMBER($H396),$H396,IFERROR(TIMEVALUE($H396),VALUE($H396))),1)*1440,0))),""))</f>
        <v/>
      </c>
      <c r="W396" s="52" t="str">
        <f aca="false">IF($I396="","",IFERROR(IF(IF(ISNUMBER($I396),$I396,IFERROR(TIMEVALUE($I396),VALUE($I396)))&gt;=100,INT(IF(ISNUMBER($I396),$I396,IFERROR(TIMEVALUE($I396),VALUE($I396)))/100)*60+MOD(IF(ISNUMBER($I396),$I396,IFERROR(TIMEVALUE($I396),VALUE($I396))),100),IF(IF(ISNUMBER($I396),$I396,IFERROR(TIMEVALUE($I396),VALUE($I396)))&gt;=1,ROUND(IF(ISNUMBER($I396),$I396,IFERROR(TIMEVALUE($I396),VALUE($I396)))*60,0),ROUND(MOD(IF(ISNUMBER($I396),$I396,IFERROR(TIMEVALUE($I396),VALUE($I396))),1)*1440,0))),""))</f>
        <v/>
      </c>
      <c r="X396" s="55" t="str">
        <f aca="false">IF($P396="","",IFERROR(IF(ISNUMBER($P396),IF($P396&gt;19000000,DATE(INT($P396/10000),MOD(INT($P396/100),100),MOD($P396,100)),INT($P396)),IF(LEN(SUBSTITUTE(SUBSTITUTE(SUBSTITUTE(TRIM($P396),"-",""),".",""),"/",""))=8,DATE(VALUE(LEFT(SUBSTITUTE(SUBSTITUTE(SUBSTITUTE(TRIM($P396),"-",""),".",""),"/",""),4)),VALUE(MID(SUBSTITUTE(SUBSTITUTE(SUBSTITUTE(TRIM($P396),"-",""),".",""),"/",""),5,2)),VALUE(RIGHT(SUBSTITUTE(SUBSTITUTE(SUBSTITUTE(TRIM($P396),"-",""),".",""),"/",""),2))),DATEVALUE($P396))),""))</f>
        <v/>
      </c>
      <c r="Y396" s="56" t="str">
        <f aca="false">IF($M396="","",IFERROR(INDEX(강사DB!$D$4:$D$53,MATCH($M396,강사DB!$A$4:$A$53,0)),""))</f>
        <v/>
      </c>
      <c r="Z396" s="56" t="str">
        <f aca="false">IF($B396&lt;&gt;"결제완료","",IF(OR($Y396="",$J396=""),"",$Y396*$J396+MAX(0,N($K396)-1)*설정!$J$7))</f>
        <v/>
      </c>
      <c r="AA396" s="56" t="str">
        <f aca="false">IF(AND($D396&lt;&gt;"",$B396="결제완료"),N($N396),"")</f>
        <v/>
      </c>
      <c r="AB396" s="45" t="str">
        <f aca="false">IF($D396="","",IF($F396&lt;&gt;"",$F396,$D396)&amp;IF($B396="상담중"," (상담)",""))</f>
        <v/>
      </c>
      <c r="AC396" s="45" t="n">
        <f aca="false">IF(AND($D396&lt;&gt;"",OR($B396="결제완료",$B396="상담중")),1,0)</f>
        <v>0</v>
      </c>
      <c r="AD396" s="45" t="n">
        <f aca="false">IF(OR($Z396="",$U396=""),0,IFERROR(IF(COUNTIFS(INDEX(g_grid,0,2*MATCH($M396,강사DB!$A$4:$A$15,0)),"&lt;&gt;",g_s,"&lt;="&amp;$U396,g_e,"&gt;="&amp;$U396)&gt;0,1,0),0))</f>
        <v>0</v>
      </c>
      <c r="AE396" s="48"/>
      <c r="AF396" s="56" t="str">
        <f aca="false">IF(AND($D396&lt;&gt;"",$B396="결제완료",$T396="대여"),설정!$J$5,"")</f>
        <v/>
      </c>
      <c r="AG396" s="54" t="str">
        <f aca="false">IF($D396="","",IF(AND($E396="",$R396=""),$AB396,"☎ "&amp;IF($E396="","-",$E396)&amp;IF($R396&lt;&gt;"","  ※ "&amp;$R396,"")&amp;IF($B396="상담중"," (상담)","")))</f>
        <v/>
      </c>
      <c r="AH396" s="56" t="str">
        <f aca="false">IF(AND($D396&lt;&gt;"",$B396="결제완료",$O396="스마트스토어"),ROUND(N($N396)*설정!$J$6,0),"")</f>
        <v/>
      </c>
      <c r="AI396" s="54" t="str">
        <f aca="false">IF($D396="","",ROW())</f>
        <v/>
      </c>
      <c r="AJ396" s="54" t="n">
        <f aca="false">IF(OR($AC396&lt;&gt;1,$M396=""),0,IF(ISNUMBER(SEARCH("퇴사",IFERROR(INDEX(강사DB!$G$4:$G$53,MATCH($M396,강사DB!$A$4:$A$53,0)),""))),1,0))</f>
        <v>0</v>
      </c>
    </row>
    <row r="397" customFormat="false" ht="15" hidden="false" customHeight="false" outlineLevel="0" collapsed="false">
      <c r="A397" s="45" t="str">
        <f aca="false">IF($D397="","",COUNTA($D$5:$D397))</f>
        <v/>
      </c>
      <c r="B397" s="46"/>
      <c r="C397" s="47"/>
      <c r="D397" s="48"/>
      <c r="E397" s="48"/>
      <c r="F397" s="49"/>
      <c r="G397" s="47"/>
      <c r="H397" s="50"/>
      <c r="I397" s="50"/>
      <c r="J397" s="51" t="str">
        <f aca="false">IF(OR($V397="",$W397=""),"",ROUND(($W397-$V397)/60,2))</f>
        <v/>
      </c>
      <c r="K397" s="52" t="str">
        <f aca="false">IF($F397="","",LEN($F397)-LEN(SUBSTITUTE($F397,",",""))+1)</f>
        <v/>
      </c>
      <c r="L397" s="45" t="str">
        <f aca="false">IF($K397="","","1:"&amp;$K397)</f>
        <v/>
      </c>
      <c r="M397" s="46"/>
      <c r="N397" s="53"/>
      <c r="O397" s="46"/>
      <c r="P397" s="47"/>
      <c r="Q397" s="48"/>
      <c r="R397" s="49"/>
      <c r="S397" s="54" t="str">
        <f aca="false">IF(OR($AC397=0,$U397="",$M397="",$V397="",$W397=""),"",IF(COUNTIFS(m_teacher,$M397,m_date,$U397,m_active,1,m_start,"&lt;"&amp;$W397,m_end,"&gt;"&amp;$V397)&gt;1,"충돌",""))</f>
        <v/>
      </c>
      <c r="T397" s="48"/>
      <c r="U397" s="55" t="str">
        <f aca="false">IF($G397="","",IFERROR(IF(ISNUMBER($G397),IF($G397&gt;19000000,DATE(INT($G397/10000),MOD(INT($G397/100),100),MOD($G397,100)),INT($G397)),IF(LEN(SUBSTITUTE(SUBSTITUTE(SUBSTITUTE(TRIM($G397),"-",""),".",""),"/",""))=8,DATE(VALUE(LEFT(SUBSTITUTE(SUBSTITUTE(SUBSTITUTE(TRIM($G397),"-",""),".",""),"/",""),4)),VALUE(MID(SUBSTITUTE(SUBSTITUTE(SUBSTITUTE(TRIM($G397),"-",""),".",""),"/",""),5,2)),VALUE(RIGHT(SUBSTITUTE(SUBSTITUTE(SUBSTITUTE(TRIM($G397),"-",""),".",""),"/",""),2))),DATEVALUE($G397))),""))</f>
        <v/>
      </c>
      <c r="V397" s="52" t="str">
        <f aca="false">IF($H397="","",IFERROR(IF(IF(ISNUMBER($H397),$H397,IFERROR(TIMEVALUE($H397),VALUE($H397)))&gt;=100,INT(IF(ISNUMBER($H397),$H397,IFERROR(TIMEVALUE($H397),VALUE($H397)))/100)*60+MOD(IF(ISNUMBER($H397),$H397,IFERROR(TIMEVALUE($H397),VALUE($H397))),100),IF(IF(ISNUMBER($H397),$H397,IFERROR(TIMEVALUE($H397),VALUE($H397)))&gt;=1,ROUND(IF(ISNUMBER($H397),$H397,IFERROR(TIMEVALUE($H397),VALUE($H397)))*60,0),ROUND(MOD(IF(ISNUMBER($H397),$H397,IFERROR(TIMEVALUE($H397),VALUE($H397))),1)*1440,0))),""))</f>
        <v/>
      </c>
      <c r="W397" s="52" t="str">
        <f aca="false">IF($I397="","",IFERROR(IF(IF(ISNUMBER($I397),$I397,IFERROR(TIMEVALUE($I397),VALUE($I397)))&gt;=100,INT(IF(ISNUMBER($I397),$I397,IFERROR(TIMEVALUE($I397),VALUE($I397)))/100)*60+MOD(IF(ISNUMBER($I397),$I397,IFERROR(TIMEVALUE($I397),VALUE($I397))),100),IF(IF(ISNUMBER($I397),$I397,IFERROR(TIMEVALUE($I397),VALUE($I397)))&gt;=1,ROUND(IF(ISNUMBER($I397),$I397,IFERROR(TIMEVALUE($I397),VALUE($I397)))*60,0),ROUND(MOD(IF(ISNUMBER($I397),$I397,IFERROR(TIMEVALUE($I397),VALUE($I397))),1)*1440,0))),""))</f>
        <v/>
      </c>
      <c r="X397" s="55" t="str">
        <f aca="false">IF($P397="","",IFERROR(IF(ISNUMBER($P397),IF($P397&gt;19000000,DATE(INT($P397/10000),MOD(INT($P397/100),100),MOD($P397,100)),INT($P397)),IF(LEN(SUBSTITUTE(SUBSTITUTE(SUBSTITUTE(TRIM($P397),"-",""),".",""),"/",""))=8,DATE(VALUE(LEFT(SUBSTITUTE(SUBSTITUTE(SUBSTITUTE(TRIM($P397),"-",""),".",""),"/",""),4)),VALUE(MID(SUBSTITUTE(SUBSTITUTE(SUBSTITUTE(TRIM($P397),"-",""),".",""),"/",""),5,2)),VALUE(RIGHT(SUBSTITUTE(SUBSTITUTE(SUBSTITUTE(TRIM($P397),"-",""),".",""),"/",""),2))),DATEVALUE($P397))),""))</f>
        <v/>
      </c>
      <c r="Y397" s="56" t="str">
        <f aca="false">IF($M397="","",IFERROR(INDEX(강사DB!$D$4:$D$53,MATCH($M397,강사DB!$A$4:$A$53,0)),""))</f>
        <v/>
      </c>
      <c r="Z397" s="56" t="str">
        <f aca="false">IF($B397&lt;&gt;"결제완료","",IF(OR($Y397="",$J397=""),"",$Y397*$J397+MAX(0,N($K397)-1)*설정!$J$7))</f>
        <v/>
      </c>
      <c r="AA397" s="56" t="str">
        <f aca="false">IF(AND($D397&lt;&gt;"",$B397="결제완료"),N($N397),"")</f>
        <v/>
      </c>
      <c r="AB397" s="45" t="str">
        <f aca="false">IF($D397="","",IF($F397&lt;&gt;"",$F397,$D397)&amp;IF($B397="상담중"," (상담)",""))</f>
        <v/>
      </c>
      <c r="AC397" s="45" t="n">
        <f aca="false">IF(AND($D397&lt;&gt;"",OR($B397="결제완료",$B397="상담중")),1,0)</f>
        <v>0</v>
      </c>
      <c r="AD397" s="45" t="n">
        <f aca="false">IF(OR($Z397="",$U397=""),0,IFERROR(IF(COUNTIFS(INDEX(g_grid,0,2*MATCH($M397,강사DB!$A$4:$A$15,0)),"&lt;&gt;",g_s,"&lt;="&amp;$U397,g_e,"&gt;="&amp;$U397)&gt;0,1,0),0))</f>
        <v>0</v>
      </c>
      <c r="AE397" s="48"/>
      <c r="AF397" s="56" t="str">
        <f aca="false">IF(AND($D397&lt;&gt;"",$B397="결제완료",$T397="대여"),설정!$J$5,"")</f>
        <v/>
      </c>
      <c r="AG397" s="54" t="str">
        <f aca="false">IF($D397="","",IF(AND($E397="",$R397=""),$AB397,"☎ "&amp;IF($E397="","-",$E397)&amp;IF($R397&lt;&gt;"","  ※ "&amp;$R397,"")&amp;IF($B397="상담중"," (상담)","")))</f>
        <v/>
      </c>
      <c r="AH397" s="56" t="str">
        <f aca="false">IF(AND($D397&lt;&gt;"",$B397="결제완료",$O397="스마트스토어"),ROUND(N($N397)*설정!$J$6,0),"")</f>
        <v/>
      </c>
      <c r="AI397" s="54" t="str">
        <f aca="false">IF($D397="","",ROW())</f>
        <v/>
      </c>
      <c r="AJ397" s="54" t="n">
        <f aca="false">IF(OR($AC397&lt;&gt;1,$M397=""),0,IF(ISNUMBER(SEARCH("퇴사",IFERROR(INDEX(강사DB!$G$4:$G$53,MATCH($M397,강사DB!$A$4:$A$53,0)),""))),1,0))</f>
        <v>0</v>
      </c>
    </row>
    <row r="398" customFormat="false" ht="15" hidden="false" customHeight="false" outlineLevel="0" collapsed="false">
      <c r="A398" s="45" t="str">
        <f aca="false">IF($D398="","",COUNTA($D$5:$D398))</f>
        <v/>
      </c>
      <c r="B398" s="46"/>
      <c r="C398" s="47"/>
      <c r="D398" s="48"/>
      <c r="E398" s="48"/>
      <c r="F398" s="49"/>
      <c r="G398" s="47"/>
      <c r="H398" s="50"/>
      <c r="I398" s="50"/>
      <c r="J398" s="51" t="str">
        <f aca="false">IF(OR($V398="",$W398=""),"",ROUND(($W398-$V398)/60,2))</f>
        <v/>
      </c>
      <c r="K398" s="52" t="str">
        <f aca="false">IF($F398="","",LEN($F398)-LEN(SUBSTITUTE($F398,",",""))+1)</f>
        <v/>
      </c>
      <c r="L398" s="45" t="str">
        <f aca="false">IF($K398="","","1:"&amp;$K398)</f>
        <v/>
      </c>
      <c r="M398" s="46"/>
      <c r="N398" s="53"/>
      <c r="O398" s="46"/>
      <c r="P398" s="47"/>
      <c r="Q398" s="48"/>
      <c r="R398" s="49"/>
      <c r="S398" s="54" t="str">
        <f aca="false">IF(OR($AC398=0,$U398="",$M398="",$V398="",$W398=""),"",IF(COUNTIFS(m_teacher,$M398,m_date,$U398,m_active,1,m_start,"&lt;"&amp;$W398,m_end,"&gt;"&amp;$V398)&gt;1,"충돌",""))</f>
        <v/>
      </c>
      <c r="T398" s="48"/>
      <c r="U398" s="55" t="str">
        <f aca="false">IF($G398="","",IFERROR(IF(ISNUMBER($G398),IF($G398&gt;19000000,DATE(INT($G398/10000),MOD(INT($G398/100),100),MOD($G398,100)),INT($G398)),IF(LEN(SUBSTITUTE(SUBSTITUTE(SUBSTITUTE(TRIM($G398),"-",""),".",""),"/",""))=8,DATE(VALUE(LEFT(SUBSTITUTE(SUBSTITUTE(SUBSTITUTE(TRIM($G398),"-",""),".",""),"/",""),4)),VALUE(MID(SUBSTITUTE(SUBSTITUTE(SUBSTITUTE(TRIM($G398),"-",""),".",""),"/",""),5,2)),VALUE(RIGHT(SUBSTITUTE(SUBSTITUTE(SUBSTITUTE(TRIM($G398),"-",""),".",""),"/",""),2))),DATEVALUE($G398))),""))</f>
        <v/>
      </c>
      <c r="V398" s="52" t="str">
        <f aca="false">IF($H398="","",IFERROR(IF(IF(ISNUMBER($H398),$H398,IFERROR(TIMEVALUE($H398),VALUE($H398)))&gt;=100,INT(IF(ISNUMBER($H398),$H398,IFERROR(TIMEVALUE($H398),VALUE($H398)))/100)*60+MOD(IF(ISNUMBER($H398),$H398,IFERROR(TIMEVALUE($H398),VALUE($H398))),100),IF(IF(ISNUMBER($H398),$H398,IFERROR(TIMEVALUE($H398),VALUE($H398)))&gt;=1,ROUND(IF(ISNUMBER($H398),$H398,IFERROR(TIMEVALUE($H398),VALUE($H398)))*60,0),ROUND(MOD(IF(ISNUMBER($H398),$H398,IFERROR(TIMEVALUE($H398),VALUE($H398))),1)*1440,0))),""))</f>
        <v/>
      </c>
      <c r="W398" s="52" t="str">
        <f aca="false">IF($I398="","",IFERROR(IF(IF(ISNUMBER($I398),$I398,IFERROR(TIMEVALUE($I398),VALUE($I398)))&gt;=100,INT(IF(ISNUMBER($I398),$I398,IFERROR(TIMEVALUE($I398),VALUE($I398)))/100)*60+MOD(IF(ISNUMBER($I398),$I398,IFERROR(TIMEVALUE($I398),VALUE($I398))),100),IF(IF(ISNUMBER($I398),$I398,IFERROR(TIMEVALUE($I398),VALUE($I398)))&gt;=1,ROUND(IF(ISNUMBER($I398),$I398,IFERROR(TIMEVALUE($I398),VALUE($I398)))*60,0),ROUND(MOD(IF(ISNUMBER($I398),$I398,IFERROR(TIMEVALUE($I398),VALUE($I398))),1)*1440,0))),""))</f>
        <v/>
      </c>
      <c r="X398" s="55" t="str">
        <f aca="false">IF($P398="","",IFERROR(IF(ISNUMBER($P398),IF($P398&gt;19000000,DATE(INT($P398/10000),MOD(INT($P398/100),100),MOD($P398,100)),INT($P398)),IF(LEN(SUBSTITUTE(SUBSTITUTE(SUBSTITUTE(TRIM($P398),"-",""),".",""),"/",""))=8,DATE(VALUE(LEFT(SUBSTITUTE(SUBSTITUTE(SUBSTITUTE(TRIM($P398),"-",""),".",""),"/",""),4)),VALUE(MID(SUBSTITUTE(SUBSTITUTE(SUBSTITUTE(TRIM($P398),"-",""),".",""),"/",""),5,2)),VALUE(RIGHT(SUBSTITUTE(SUBSTITUTE(SUBSTITUTE(TRIM($P398),"-",""),".",""),"/",""),2))),DATEVALUE($P398))),""))</f>
        <v/>
      </c>
      <c r="Y398" s="56" t="str">
        <f aca="false">IF($M398="","",IFERROR(INDEX(강사DB!$D$4:$D$53,MATCH($M398,강사DB!$A$4:$A$53,0)),""))</f>
        <v/>
      </c>
      <c r="Z398" s="56" t="str">
        <f aca="false">IF($B398&lt;&gt;"결제완료","",IF(OR($Y398="",$J398=""),"",$Y398*$J398+MAX(0,N($K398)-1)*설정!$J$7))</f>
        <v/>
      </c>
      <c r="AA398" s="56" t="str">
        <f aca="false">IF(AND($D398&lt;&gt;"",$B398="결제완료"),N($N398),"")</f>
        <v/>
      </c>
      <c r="AB398" s="45" t="str">
        <f aca="false">IF($D398="","",IF($F398&lt;&gt;"",$F398,$D398)&amp;IF($B398="상담중"," (상담)",""))</f>
        <v/>
      </c>
      <c r="AC398" s="45" t="n">
        <f aca="false">IF(AND($D398&lt;&gt;"",OR($B398="결제완료",$B398="상담중")),1,0)</f>
        <v>0</v>
      </c>
      <c r="AD398" s="45" t="n">
        <f aca="false">IF(OR($Z398="",$U398=""),0,IFERROR(IF(COUNTIFS(INDEX(g_grid,0,2*MATCH($M398,강사DB!$A$4:$A$15,0)),"&lt;&gt;",g_s,"&lt;="&amp;$U398,g_e,"&gt;="&amp;$U398)&gt;0,1,0),0))</f>
        <v>0</v>
      </c>
      <c r="AE398" s="48"/>
      <c r="AF398" s="56" t="str">
        <f aca="false">IF(AND($D398&lt;&gt;"",$B398="결제완료",$T398="대여"),설정!$J$5,"")</f>
        <v/>
      </c>
      <c r="AG398" s="54" t="str">
        <f aca="false">IF($D398="","",IF(AND($E398="",$R398=""),$AB398,"☎ "&amp;IF($E398="","-",$E398)&amp;IF($R398&lt;&gt;"","  ※ "&amp;$R398,"")&amp;IF($B398="상담중"," (상담)","")))</f>
        <v/>
      </c>
      <c r="AH398" s="56" t="str">
        <f aca="false">IF(AND($D398&lt;&gt;"",$B398="결제완료",$O398="스마트스토어"),ROUND(N($N398)*설정!$J$6,0),"")</f>
        <v/>
      </c>
      <c r="AI398" s="54" t="str">
        <f aca="false">IF($D398="","",ROW())</f>
        <v/>
      </c>
      <c r="AJ398" s="54" t="n">
        <f aca="false">IF(OR($AC398&lt;&gt;1,$M398=""),0,IF(ISNUMBER(SEARCH("퇴사",IFERROR(INDEX(강사DB!$G$4:$G$53,MATCH($M398,강사DB!$A$4:$A$53,0)),""))),1,0))</f>
        <v>0</v>
      </c>
    </row>
    <row r="399" customFormat="false" ht="15" hidden="false" customHeight="false" outlineLevel="0" collapsed="false">
      <c r="A399" s="45" t="str">
        <f aca="false">IF($D399="","",COUNTA($D$5:$D399))</f>
        <v/>
      </c>
      <c r="B399" s="46"/>
      <c r="C399" s="47"/>
      <c r="D399" s="48"/>
      <c r="E399" s="48"/>
      <c r="F399" s="49"/>
      <c r="G399" s="47"/>
      <c r="H399" s="50"/>
      <c r="I399" s="50"/>
      <c r="J399" s="51" t="str">
        <f aca="false">IF(OR($V399="",$W399=""),"",ROUND(($W399-$V399)/60,2))</f>
        <v/>
      </c>
      <c r="K399" s="52" t="str">
        <f aca="false">IF($F399="","",LEN($F399)-LEN(SUBSTITUTE($F399,",",""))+1)</f>
        <v/>
      </c>
      <c r="L399" s="45" t="str">
        <f aca="false">IF($K399="","","1:"&amp;$K399)</f>
        <v/>
      </c>
      <c r="M399" s="46"/>
      <c r="N399" s="53"/>
      <c r="O399" s="46"/>
      <c r="P399" s="47"/>
      <c r="Q399" s="48"/>
      <c r="R399" s="49"/>
      <c r="S399" s="54" t="str">
        <f aca="false">IF(OR($AC399=0,$U399="",$M399="",$V399="",$W399=""),"",IF(COUNTIFS(m_teacher,$M399,m_date,$U399,m_active,1,m_start,"&lt;"&amp;$W399,m_end,"&gt;"&amp;$V399)&gt;1,"충돌",""))</f>
        <v/>
      </c>
      <c r="T399" s="48"/>
      <c r="U399" s="55" t="str">
        <f aca="false">IF($G399="","",IFERROR(IF(ISNUMBER($G399),IF($G399&gt;19000000,DATE(INT($G399/10000),MOD(INT($G399/100),100),MOD($G399,100)),INT($G399)),IF(LEN(SUBSTITUTE(SUBSTITUTE(SUBSTITUTE(TRIM($G399),"-",""),".",""),"/",""))=8,DATE(VALUE(LEFT(SUBSTITUTE(SUBSTITUTE(SUBSTITUTE(TRIM($G399),"-",""),".",""),"/",""),4)),VALUE(MID(SUBSTITUTE(SUBSTITUTE(SUBSTITUTE(TRIM($G399),"-",""),".",""),"/",""),5,2)),VALUE(RIGHT(SUBSTITUTE(SUBSTITUTE(SUBSTITUTE(TRIM($G399),"-",""),".",""),"/",""),2))),DATEVALUE($G399))),""))</f>
        <v/>
      </c>
      <c r="V399" s="52" t="str">
        <f aca="false">IF($H399="","",IFERROR(IF(IF(ISNUMBER($H399),$H399,IFERROR(TIMEVALUE($H399),VALUE($H399)))&gt;=100,INT(IF(ISNUMBER($H399),$H399,IFERROR(TIMEVALUE($H399),VALUE($H399)))/100)*60+MOD(IF(ISNUMBER($H399),$H399,IFERROR(TIMEVALUE($H399),VALUE($H399))),100),IF(IF(ISNUMBER($H399),$H399,IFERROR(TIMEVALUE($H399),VALUE($H399)))&gt;=1,ROUND(IF(ISNUMBER($H399),$H399,IFERROR(TIMEVALUE($H399),VALUE($H399)))*60,0),ROUND(MOD(IF(ISNUMBER($H399),$H399,IFERROR(TIMEVALUE($H399),VALUE($H399))),1)*1440,0))),""))</f>
        <v/>
      </c>
      <c r="W399" s="52" t="str">
        <f aca="false">IF($I399="","",IFERROR(IF(IF(ISNUMBER($I399),$I399,IFERROR(TIMEVALUE($I399),VALUE($I399)))&gt;=100,INT(IF(ISNUMBER($I399),$I399,IFERROR(TIMEVALUE($I399),VALUE($I399)))/100)*60+MOD(IF(ISNUMBER($I399),$I399,IFERROR(TIMEVALUE($I399),VALUE($I399))),100),IF(IF(ISNUMBER($I399),$I399,IFERROR(TIMEVALUE($I399),VALUE($I399)))&gt;=1,ROUND(IF(ISNUMBER($I399),$I399,IFERROR(TIMEVALUE($I399),VALUE($I399)))*60,0),ROUND(MOD(IF(ISNUMBER($I399),$I399,IFERROR(TIMEVALUE($I399),VALUE($I399))),1)*1440,0))),""))</f>
        <v/>
      </c>
      <c r="X399" s="55" t="str">
        <f aca="false">IF($P399="","",IFERROR(IF(ISNUMBER($P399),IF($P399&gt;19000000,DATE(INT($P399/10000),MOD(INT($P399/100),100),MOD($P399,100)),INT($P399)),IF(LEN(SUBSTITUTE(SUBSTITUTE(SUBSTITUTE(TRIM($P399),"-",""),".",""),"/",""))=8,DATE(VALUE(LEFT(SUBSTITUTE(SUBSTITUTE(SUBSTITUTE(TRIM($P399),"-",""),".",""),"/",""),4)),VALUE(MID(SUBSTITUTE(SUBSTITUTE(SUBSTITUTE(TRIM($P399),"-",""),".",""),"/",""),5,2)),VALUE(RIGHT(SUBSTITUTE(SUBSTITUTE(SUBSTITUTE(TRIM($P399),"-",""),".",""),"/",""),2))),DATEVALUE($P399))),""))</f>
        <v/>
      </c>
      <c r="Y399" s="56" t="str">
        <f aca="false">IF($M399="","",IFERROR(INDEX(강사DB!$D$4:$D$53,MATCH($M399,강사DB!$A$4:$A$53,0)),""))</f>
        <v/>
      </c>
      <c r="Z399" s="56" t="str">
        <f aca="false">IF($B399&lt;&gt;"결제완료","",IF(OR($Y399="",$J399=""),"",$Y399*$J399+MAX(0,N($K399)-1)*설정!$J$7))</f>
        <v/>
      </c>
      <c r="AA399" s="56" t="str">
        <f aca="false">IF(AND($D399&lt;&gt;"",$B399="결제완료"),N($N399),"")</f>
        <v/>
      </c>
      <c r="AB399" s="45" t="str">
        <f aca="false">IF($D399="","",IF($F399&lt;&gt;"",$F399,$D399)&amp;IF($B399="상담중"," (상담)",""))</f>
        <v/>
      </c>
      <c r="AC399" s="45" t="n">
        <f aca="false">IF(AND($D399&lt;&gt;"",OR($B399="결제완료",$B399="상담중")),1,0)</f>
        <v>0</v>
      </c>
      <c r="AD399" s="45" t="n">
        <f aca="false">IF(OR($Z399="",$U399=""),0,IFERROR(IF(COUNTIFS(INDEX(g_grid,0,2*MATCH($M399,강사DB!$A$4:$A$15,0)),"&lt;&gt;",g_s,"&lt;="&amp;$U399,g_e,"&gt;="&amp;$U399)&gt;0,1,0),0))</f>
        <v>0</v>
      </c>
      <c r="AE399" s="48"/>
      <c r="AF399" s="56" t="str">
        <f aca="false">IF(AND($D399&lt;&gt;"",$B399="결제완료",$T399="대여"),설정!$J$5,"")</f>
        <v/>
      </c>
      <c r="AG399" s="54" t="str">
        <f aca="false">IF($D399="","",IF(AND($E399="",$R399=""),$AB399,"☎ "&amp;IF($E399="","-",$E399)&amp;IF($R399&lt;&gt;"","  ※ "&amp;$R399,"")&amp;IF($B399="상담중"," (상담)","")))</f>
        <v/>
      </c>
      <c r="AH399" s="56" t="str">
        <f aca="false">IF(AND($D399&lt;&gt;"",$B399="결제완료",$O399="스마트스토어"),ROUND(N($N399)*설정!$J$6,0),"")</f>
        <v/>
      </c>
      <c r="AI399" s="54" t="str">
        <f aca="false">IF($D399="","",ROW())</f>
        <v/>
      </c>
      <c r="AJ399" s="54" t="n">
        <f aca="false">IF(OR($AC399&lt;&gt;1,$M399=""),0,IF(ISNUMBER(SEARCH("퇴사",IFERROR(INDEX(강사DB!$G$4:$G$53,MATCH($M399,강사DB!$A$4:$A$53,0)),""))),1,0))</f>
        <v>0</v>
      </c>
    </row>
    <row r="400" customFormat="false" ht="15" hidden="false" customHeight="false" outlineLevel="0" collapsed="false">
      <c r="A400" s="45" t="str">
        <f aca="false">IF($D400="","",COUNTA($D$5:$D400))</f>
        <v/>
      </c>
      <c r="B400" s="46"/>
      <c r="C400" s="47"/>
      <c r="D400" s="48"/>
      <c r="E400" s="48"/>
      <c r="F400" s="49"/>
      <c r="G400" s="47"/>
      <c r="H400" s="50"/>
      <c r="I400" s="50"/>
      <c r="J400" s="51" t="str">
        <f aca="false">IF(OR($V400="",$W400=""),"",ROUND(($W400-$V400)/60,2))</f>
        <v/>
      </c>
      <c r="K400" s="52" t="str">
        <f aca="false">IF($F400="","",LEN($F400)-LEN(SUBSTITUTE($F400,",",""))+1)</f>
        <v/>
      </c>
      <c r="L400" s="45" t="str">
        <f aca="false">IF($K400="","","1:"&amp;$K400)</f>
        <v/>
      </c>
      <c r="M400" s="46"/>
      <c r="N400" s="53"/>
      <c r="O400" s="46"/>
      <c r="P400" s="47"/>
      <c r="Q400" s="48"/>
      <c r="R400" s="49"/>
      <c r="S400" s="54" t="str">
        <f aca="false">IF(OR($AC400=0,$U400="",$M400="",$V400="",$W400=""),"",IF(COUNTIFS(m_teacher,$M400,m_date,$U400,m_active,1,m_start,"&lt;"&amp;$W400,m_end,"&gt;"&amp;$V400)&gt;1,"충돌",""))</f>
        <v/>
      </c>
      <c r="T400" s="48"/>
      <c r="U400" s="55" t="str">
        <f aca="false">IF($G400="","",IFERROR(IF(ISNUMBER($G400),IF($G400&gt;19000000,DATE(INT($G400/10000),MOD(INT($G400/100),100),MOD($G400,100)),INT($G400)),IF(LEN(SUBSTITUTE(SUBSTITUTE(SUBSTITUTE(TRIM($G400),"-",""),".",""),"/",""))=8,DATE(VALUE(LEFT(SUBSTITUTE(SUBSTITUTE(SUBSTITUTE(TRIM($G400),"-",""),".",""),"/",""),4)),VALUE(MID(SUBSTITUTE(SUBSTITUTE(SUBSTITUTE(TRIM($G400),"-",""),".",""),"/",""),5,2)),VALUE(RIGHT(SUBSTITUTE(SUBSTITUTE(SUBSTITUTE(TRIM($G400),"-",""),".",""),"/",""),2))),DATEVALUE($G400))),""))</f>
        <v/>
      </c>
      <c r="V400" s="52" t="str">
        <f aca="false">IF($H400="","",IFERROR(IF(IF(ISNUMBER($H400),$H400,IFERROR(TIMEVALUE($H400),VALUE($H400)))&gt;=100,INT(IF(ISNUMBER($H400),$H400,IFERROR(TIMEVALUE($H400),VALUE($H400)))/100)*60+MOD(IF(ISNUMBER($H400),$H400,IFERROR(TIMEVALUE($H400),VALUE($H400))),100),IF(IF(ISNUMBER($H400),$H400,IFERROR(TIMEVALUE($H400),VALUE($H400)))&gt;=1,ROUND(IF(ISNUMBER($H400),$H400,IFERROR(TIMEVALUE($H400),VALUE($H400)))*60,0),ROUND(MOD(IF(ISNUMBER($H400),$H400,IFERROR(TIMEVALUE($H400),VALUE($H400))),1)*1440,0))),""))</f>
        <v/>
      </c>
      <c r="W400" s="52" t="str">
        <f aca="false">IF($I400="","",IFERROR(IF(IF(ISNUMBER($I400),$I400,IFERROR(TIMEVALUE($I400),VALUE($I400)))&gt;=100,INT(IF(ISNUMBER($I400),$I400,IFERROR(TIMEVALUE($I400),VALUE($I400)))/100)*60+MOD(IF(ISNUMBER($I400),$I400,IFERROR(TIMEVALUE($I400),VALUE($I400))),100),IF(IF(ISNUMBER($I400),$I400,IFERROR(TIMEVALUE($I400),VALUE($I400)))&gt;=1,ROUND(IF(ISNUMBER($I400),$I400,IFERROR(TIMEVALUE($I400),VALUE($I400)))*60,0),ROUND(MOD(IF(ISNUMBER($I400),$I400,IFERROR(TIMEVALUE($I400),VALUE($I400))),1)*1440,0))),""))</f>
        <v/>
      </c>
      <c r="X400" s="55" t="str">
        <f aca="false">IF($P400="","",IFERROR(IF(ISNUMBER($P400),IF($P400&gt;19000000,DATE(INT($P400/10000),MOD(INT($P400/100),100),MOD($P400,100)),INT($P400)),IF(LEN(SUBSTITUTE(SUBSTITUTE(SUBSTITUTE(TRIM($P400),"-",""),".",""),"/",""))=8,DATE(VALUE(LEFT(SUBSTITUTE(SUBSTITUTE(SUBSTITUTE(TRIM($P400),"-",""),".",""),"/",""),4)),VALUE(MID(SUBSTITUTE(SUBSTITUTE(SUBSTITUTE(TRIM($P400),"-",""),".",""),"/",""),5,2)),VALUE(RIGHT(SUBSTITUTE(SUBSTITUTE(SUBSTITUTE(TRIM($P400),"-",""),".",""),"/",""),2))),DATEVALUE($P400))),""))</f>
        <v/>
      </c>
      <c r="Y400" s="56" t="str">
        <f aca="false">IF($M400="","",IFERROR(INDEX(강사DB!$D$4:$D$53,MATCH($M400,강사DB!$A$4:$A$53,0)),""))</f>
        <v/>
      </c>
      <c r="Z400" s="56" t="str">
        <f aca="false">IF($B400&lt;&gt;"결제완료","",IF(OR($Y400="",$J400=""),"",$Y400*$J400+MAX(0,N($K400)-1)*설정!$J$7))</f>
        <v/>
      </c>
      <c r="AA400" s="56" t="str">
        <f aca="false">IF(AND($D400&lt;&gt;"",$B400="결제완료"),N($N400),"")</f>
        <v/>
      </c>
      <c r="AB400" s="45" t="str">
        <f aca="false">IF($D400="","",IF($F400&lt;&gt;"",$F400,$D400)&amp;IF($B400="상담중"," (상담)",""))</f>
        <v/>
      </c>
      <c r="AC400" s="45" t="n">
        <f aca="false">IF(AND($D400&lt;&gt;"",OR($B400="결제완료",$B400="상담중")),1,0)</f>
        <v>0</v>
      </c>
      <c r="AD400" s="45" t="n">
        <f aca="false">IF(OR($Z400="",$U400=""),0,IFERROR(IF(COUNTIFS(INDEX(g_grid,0,2*MATCH($M400,강사DB!$A$4:$A$15,0)),"&lt;&gt;",g_s,"&lt;="&amp;$U400,g_e,"&gt;="&amp;$U400)&gt;0,1,0),0))</f>
        <v>0</v>
      </c>
      <c r="AE400" s="48"/>
      <c r="AF400" s="56" t="str">
        <f aca="false">IF(AND($D400&lt;&gt;"",$B400="결제완료",$T400="대여"),설정!$J$5,"")</f>
        <v/>
      </c>
      <c r="AG400" s="54" t="str">
        <f aca="false">IF($D400="","",IF(AND($E400="",$R400=""),$AB400,"☎ "&amp;IF($E400="","-",$E400)&amp;IF($R400&lt;&gt;"","  ※ "&amp;$R400,"")&amp;IF($B400="상담중"," (상담)","")))</f>
        <v/>
      </c>
      <c r="AH400" s="56" t="str">
        <f aca="false">IF(AND($D400&lt;&gt;"",$B400="결제완료",$O400="스마트스토어"),ROUND(N($N400)*설정!$J$6,0),"")</f>
        <v/>
      </c>
      <c r="AI400" s="54" t="str">
        <f aca="false">IF($D400="","",ROW())</f>
        <v/>
      </c>
      <c r="AJ400" s="54" t="n">
        <f aca="false">IF(OR($AC400&lt;&gt;1,$M400=""),0,IF(ISNUMBER(SEARCH("퇴사",IFERROR(INDEX(강사DB!$G$4:$G$53,MATCH($M400,강사DB!$A$4:$A$53,0)),""))),1,0))</f>
        <v>0</v>
      </c>
    </row>
    <row r="401" customFormat="false" ht="15" hidden="false" customHeight="false" outlineLevel="0" collapsed="false">
      <c r="A401" s="45" t="str">
        <f aca="false">IF($D401="","",COUNTA($D$5:$D401))</f>
        <v/>
      </c>
      <c r="B401" s="46"/>
      <c r="C401" s="47"/>
      <c r="D401" s="48"/>
      <c r="E401" s="48"/>
      <c r="F401" s="49"/>
      <c r="G401" s="47"/>
      <c r="H401" s="50"/>
      <c r="I401" s="50"/>
      <c r="J401" s="51" t="str">
        <f aca="false">IF(OR($V401="",$W401=""),"",ROUND(($W401-$V401)/60,2))</f>
        <v/>
      </c>
      <c r="K401" s="52" t="str">
        <f aca="false">IF($F401="","",LEN($F401)-LEN(SUBSTITUTE($F401,",",""))+1)</f>
        <v/>
      </c>
      <c r="L401" s="45" t="str">
        <f aca="false">IF($K401="","","1:"&amp;$K401)</f>
        <v/>
      </c>
      <c r="M401" s="46"/>
      <c r="N401" s="53"/>
      <c r="O401" s="46"/>
      <c r="P401" s="47"/>
      <c r="Q401" s="48"/>
      <c r="R401" s="49"/>
      <c r="S401" s="54" t="str">
        <f aca="false">IF(OR($AC401=0,$U401="",$M401="",$V401="",$W401=""),"",IF(COUNTIFS(m_teacher,$M401,m_date,$U401,m_active,1,m_start,"&lt;"&amp;$W401,m_end,"&gt;"&amp;$V401)&gt;1,"충돌",""))</f>
        <v/>
      </c>
      <c r="T401" s="48"/>
      <c r="U401" s="55" t="str">
        <f aca="false">IF($G401="","",IFERROR(IF(ISNUMBER($G401),IF($G401&gt;19000000,DATE(INT($G401/10000),MOD(INT($G401/100),100),MOD($G401,100)),INT($G401)),IF(LEN(SUBSTITUTE(SUBSTITUTE(SUBSTITUTE(TRIM($G401),"-",""),".",""),"/",""))=8,DATE(VALUE(LEFT(SUBSTITUTE(SUBSTITUTE(SUBSTITUTE(TRIM($G401),"-",""),".",""),"/",""),4)),VALUE(MID(SUBSTITUTE(SUBSTITUTE(SUBSTITUTE(TRIM($G401),"-",""),".",""),"/",""),5,2)),VALUE(RIGHT(SUBSTITUTE(SUBSTITUTE(SUBSTITUTE(TRIM($G401),"-",""),".",""),"/",""),2))),DATEVALUE($G401))),""))</f>
        <v/>
      </c>
      <c r="V401" s="52" t="str">
        <f aca="false">IF($H401="","",IFERROR(IF(IF(ISNUMBER($H401),$H401,IFERROR(TIMEVALUE($H401),VALUE($H401)))&gt;=100,INT(IF(ISNUMBER($H401),$H401,IFERROR(TIMEVALUE($H401),VALUE($H401)))/100)*60+MOD(IF(ISNUMBER($H401),$H401,IFERROR(TIMEVALUE($H401),VALUE($H401))),100),IF(IF(ISNUMBER($H401),$H401,IFERROR(TIMEVALUE($H401),VALUE($H401)))&gt;=1,ROUND(IF(ISNUMBER($H401),$H401,IFERROR(TIMEVALUE($H401),VALUE($H401)))*60,0),ROUND(MOD(IF(ISNUMBER($H401),$H401,IFERROR(TIMEVALUE($H401),VALUE($H401))),1)*1440,0))),""))</f>
        <v/>
      </c>
      <c r="W401" s="52" t="str">
        <f aca="false">IF($I401="","",IFERROR(IF(IF(ISNUMBER($I401),$I401,IFERROR(TIMEVALUE($I401),VALUE($I401)))&gt;=100,INT(IF(ISNUMBER($I401),$I401,IFERROR(TIMEVALUE($I401),VALUE($I401)))/100)*60+MOD(IF(ISNUMBER($I401),$I401,IFERROR(TIMEVALUE($I401),VALUE($I401))),100),IF(IF(ISNUMBER($I401),$I401,IFERROR(TIMEVALUE($I401),VALUE($I401)))&gt;=1,ROUND(IF(ISNUMBER($I401),$I401,IFERROR(TIMEVALUE($I401),VALUE($I401)))*60,0),ROUND(MOD(IF(ISNUMBER($I401),$I401,IFERROR(TIMEVALUE($I401),VALUE($I401))),1)*1440,0))),""))</f>
        <v/>
      </c>
      <c r="X401" s="55" t="str">
        <f aca="false">IF($P401="","",IFERROR(IF(ISNUMBER($P401),IF($P401&gt;19000000,DATE(INT($P401/10000),MOD(INT($P401/100),100),MOD($P401,100)),INT($P401)),IF(LEN(SUBSTITUTE(SUBSTITUTE(SUBSTITUTE(TRIM($P401),"-",""),".",""),"/",""))=8,DATE(VALUE(LEFT(SUBSTITUTE(SUBSTITUTE(SUBSTITUTE(TRIM($P401),"-",""),".",""),"/",""),4)),VALUE(MID(SUBSTITUTE(SUBSTITUTE(SUBSTITUTE(TRIM($P401),"-",""),".",""),"/",""),5,2)),VALUE(RIGHT(SUBSTITUTE(SUBSTITUTE(SUBSTITUTE(TRIM($P401),"-",""),".",""),"/",""),2))),DATEVALUE($P401))),""))</f>
        <v/>
      </c>
      <c r="Y401" s="56" t="str">
        <f aca="false">IF($M401="","",IFERROR(INDEX(강사DB!$D$4:$D$53,MATCH($M401,강사DB!$A$4:$A$53,0)),""))</f>
        <v/>
      </c>
      <c r="Z401" s="56" t="str">
        <f aca="false">IF($B401&lt;&gt;"결제완료","",IF(OR($Y401="",$J401=""),"",$Y401*$J401+MAX(0,N($K401)-1)*설정!$J$7))</f>
        <v/>
      </c>
      <c r="AA401" s="56" t="str">
        <f aca="false">IF(AND($D401&lt;&gt;"",$B401="결제완료"),N($N401),"")</f>
        <v/>
      </c>
      <c r="AB401" s="45" t="str">
        <f aca="false">IF($D401="","",IF($F401&lt;&gt;"",$F401,$D401)&amp;IF($B401="상담중"," (상담)",""))</f>
        <v/>
      </c>
      <c r="AC401" s="45" t="n">
        <f aca="false">IF(AND($D401&lt;&gt;"",OR($B401="결제완료",$B401="상담중")),1,0)</f>
        <v>0</v>
      </c>
      <c r="AD401" s="45" t="n">
        <f aca="false">IF(OR($Z401="",$U401=""),0,IFERROR(IF(COUNTIFS(INDEX(g_grid,0,2*MATCH($M401,강사DB!$A$4:$A$15,0)),"&lt;&gt;",g_s,"&lt;="&amp;$U401,g_e,"&gt;="&amp;$U401)&gt;0,1,0),0))</f>
        <v>0</v>
      </c>
      <c r="AE401" s="48"/>
      <c r="AF401" s="56" t="str">
        <f aca="false">IF(AND($D401&lt;&gt;"",$B401="결제완료",$T401="대여"),설정!$J$5,"")</f>
        <v/>
      </c>
      <c r="AG401" s="54" t="str">
        <f aca="false">IF($D401="","",IF(AND($E401="",$R401=""),$AB401,"☎ "&amp;IF($E401="","-",$E401)&amp;IF($R401&lt;&gt;"","  ※ "&amp;$R401,"")&amp;IF($B401="상담중"," (상담)","")))</f>
        <v/>
      </c>
      <c r="AH401" s="56" t="str">
        <f aca="false">IF(AND($D401&lt;&gt;"",$B401="결제완료",$O401="스마트스토어"),ROUND(N($N401)*설정!$J$6,0),"")</f>
        <v/>
      </c>
      <c r="AI401" s="54" t="str">
        <f aca="false">IF($D401="","",ROW())</f>
        <v/>
      </c>
      <c r="AJ401" s="54" t="n">
        <f aca="false">IF(OR($AC401&lt;&gt;1,$M401=""),0,IF(ISNUMBER(SEARCH("퇴사",IFERROR(INDEX(강사DB!$G$4:$G$53,MATCH($M401,강사DB!$A$4:$A$53,0)),""))),1,0))</f>
        <v>0</v>
      </c>
    </row>
    <row r="402" customFormat="false" ht="15" hidden="false" customHeight="false" outlineLevel="0" collapsed="false">
      <c r="A402" s="45" t="str">
        <f aca="false">IF($D402="","",COUNTA($D$5:$D402))</f>
        <v/>
      </c>
      <c r="B402" s="46"/>
      <c r="C402" s="47"/>
      <c r="D402" s="48"/>
      <c r="E402" s="48"/>
      <c r="F402" s="49"/>
      <c r="G402" s="47"/>
      <c r="H402" s="50"/>
      <c r="I402" s="50"/>
      <c r="J402" s="51" t="str">
        <f aca="false">IF(OR($V402="",$W402=""),"",ROUND(($W402-$V402)/60,2))</f>
        <v/>
      </c>
      <c r="K402" s="52" t="str">
        <f aca="false">IF($F402="","",LEN($F402)-LEN(SUBSTITUTE($F402,",",""))+1)</f>
        <v/>
      </c>
      <c r="L402" s="45" t="str">
        <f aca="false">IF($K402="","","1:"&amp;$K402)</f>
        <v/>
      </c>
      <c r="M402" s="46"/>
      <c r="N402" s="53"/>
      <c r="O402" s="46"/>
      <c r="P402" s="47"/>
      <c r="Q402" s="48"/>
      <c r="R402" s="49"/>
      <c r="S402" s="54" t="str">
        <f aca="false">IF(OR($AC402=0,$U402="",$M402="",$V402="",$W402=""),"",IF(COUNTIFS(m_teacher,$M402,m_date,$U402,m_active,1,m_start,"&lt;"&amp;$W402,m_end,"&gt;"&amp;$V402)&gt;1,"충돌",""))</f>
        <v/>
      </c>
      <c r="T402" s="48"/>
      <c r="U402" s="55" t="str">
        <f aca="false">IF($G402="","",IFERROR(IF(ISNUMBER($G402),IF($G402&gt;19000000,DATE(INT($G402/10000),MOD(INT($G402/100),100),MOD($G402,100)),INT($G402)),IF(LEN(SUBSTITUTE(SUBSTITUTE(SUBSTITUTE(TRIM($G402),"-",""),".",""),"/",""))=8,DATE(VALUE(LEFT(SUBSTITUTE(SUBSTITUTE(SUBSTITUTE(TRIM($G402),"-",""),".",""),"/",""),4)),VALUE(MID(SUBSTITUTE(SUBSTITUTE(SUBSTITUTE(TRIM($G402),"-",""),".",""),"/",""),5,2)),VALUE(RIGHT(SUBSTITUTE(SUBSTITUTE(SUBSTITUTE(TRIM($G402),"-",""),".",""),"/",""),2))),DATEVALUE($G402))),""))</f>
        <v/>
      </c>
      <c r="V402" s="52" t="str">
        <f aca="false">IF($H402="","",IFERROR(IF(IF(ISNUMBER($H402),$H402,IFERROR(TIMEVALUE($H402),VALUE($H402)))&gt;=100,INT(IF(ISNUMBER($H402),$H402,IFERROR(TIMEVALUE($H402),VALUE($H402)))/100)*60+MOD(IF(ISNUMBER($H402),$H402,IFERROR(TIMEVALUE($H402),VALUE($H402))),100),IF(IF(ISNUMBER($H402),$H402,IFERROR(TIMEVALUE($H402),VALUE($H402)))&gt;=1,ROUND(IF(ISNUMBER($H402),$H402,IFERROR(TIMEVALUE($H402),VALUE($H402)))*60,0),ROUND(MOD(IF(ISNUMBER($H402),$H402,IFERROR(TIMEVALUE($H402),VALUE($H402))),1)*1440,0))),""))</f>
        <v/>
      </c>
      <c r="W402" s="52" t="str">
        <f aca="false">IF($I402="","",IFERROR(IF(IF(ISNUMBER($I402),$I402,IFERROR(TIMEVALUE($I402),VALUE($I402)))&gt;=100,INT(IF(ISNUMBER($I402),$I402,IFERROR(TIMEVALUE($I402),VALUE($I402)))/100)*60+MOD(IF(ISNUMBER($I402),$I402,IFERROR(TIMEVALUE($I402),VALUE($I402))),100),IF(IF(ISNUMBER($I402),$I402,IFERROR(TIMEVALUE($I402),VALUE($I402)))&gt;=1,ROUND(IF(ISNUMBER($I402),$I402,IFERROR(TIMEVALUE($I402),VALUE($I402)))*60,0),ROUND(MOD(IF(ISNUMBER($I402),$I402,IFERROR(TIMEVALUE($I402),VALUE($I402))),1)*1440,0))),""))</f>
        <v/>
      </c>
      <c r="X402" s="55" t="str">
        <f aca="false">IF($P402="","",IFERROR(IF(ISNUMBER($P402),IF($P402&gt;19000000,DATE(INT($P402/10000),MOD(INT($P402/100),100),MOD($P402,100)),INT($P402)),IF(LEN(SUBSTITUTE(SUBSTITUTE(SUBSTITUTE(TRIM($P402),"-",""),".",""),"/",""))=8,DATE(VALUE(LEFT(SUBSTITUTE(SUBSTITUTE(SUBSTITUTE(TRIM($P402),"-",""),".",""),"/",""),4)),VALUE(MID(SUBSTITUTE(SUBSTITUTE(SUBSTITUTE(TRIM($P402),"-",""),".",""),"/",""),5,2)),VALUE(RIGHT(SUBSTITUTE(SUBSTITUTE(SUBSTITUTE(TRIM($P402),"-",""),".",""),"/",""),2))),DATEVALUE($P402))),""))</f>
        <v/>
      </c>
      <c r="Y402" s="56" t="str">
        <f aca="false">IF($M402="","",IFERROR(INDEX(강사DB!$D$4:$D$53,MATCH($M402,강사DB!$A$4:$A$53,0)),""))</f>
        <v/>
      </c>
      <c r="Z402" s="56" t="str">
        <f aca="false">IF($B402&lt;&gt;"결제완료","",IF(OR($Y402="",$J402=""),"",$Y402*$J402+MAX(0,N($K402)-1)*설정!$J$7))</f>
        <v/>
      </c>
      <c r="AA402" s="56" t="str">
        <f aca="false">IF(AND($D402&lt;&gt;"",$B402="결제완료"),N($N402),"")</f>
        <v/>
      </c>
      <c r="AB402" s="45" t="str">
        <f aca="false">IF($D402="","",IF($F402&lt;&gt;"",$F402,$D402)&amp;IF($B402="상담중"," (상담)",""))</f>
        <v/>
      </c>
      <c r="AC402" s="45" t="n">
        <f aca="false">IF(AND($D402&lt;&gt;"",OR($B402="결제완료",$B402="상담중")),1,0)</f>
        <v>0</v>
      </c>
      <c r="AD402" s="45" t="n">
        <f aca="false">IF(OR($Z402="",$U402=""),0,IFERROR(IF(COUNTIFS(INDEX(g_grid,0,2*MATCH($M402,강사DB!$A$4:$A$15,0)),"&lt;&gt;",g_s,"&lt;="&amp;$U402,g_e,"&gt;="&amp;$U402)&gt;0,1,0),0))</f>
        <v>0</v>
      </c>
      <c r="AE402" s="48"/>
      <c r="AF402" s="56" t="str">
        <f aca="false">IF(AND($D402&lt;&gt;"",$B402="결제완료",$T402="대여"),설정!$J$5,"")</f>
        <v/>
      </c>
      <c r="AG402" s="54" t="str">
        <f aca="false">IF($D402="","",IF(AND($E402="",$R402=""),$AB402,"☎ "&amp;IF($E402="","-",$E402)&amp;IF($R402&lt;&gt;"","  ※ "&amp;$R402,"")&amp;IF($B402="상담중"," (상담)","")))</f>
        <v/>
      </c>
      <c r="AH402" s="56" t="str">
        <f aca="false">IF(AND($D402&lt;&gt;"",$B402="결제완료",$O402="스마트스토어"),ROUND(N($N402)*설정!$J$6,0),"")</f>
        <v/>
      </c>
      <c r="AI402" s="54" t="str">
        <f aca="false">IF($D402="","",ROW())</f>
        <v/>
      </c>
      <c r="AJ402" s="54" t="n">
        <f aca="false">IF(OR($AC402&lt;&gt;1,$M402=""),0,IF(ISNUMBER(SEARCH("퇴사",IFERROR(INDEX(강사DB!$G$4:$G$53,MATCH($M402,강사DB!$A$4:$A$53,0)),""))),1,0))</f>
        <v>0</v>
      </c>
    </row>
    <row r="403" customFormat="false" ht="15" hidden="false" customHeight="false" outlineLevel="0" collapsed="false">
      <c r="A403" s="45" t="str">
        <f aca="false">IF($D403="","",COUNTA($D$5:$D403))</f>
        <v/>
      </c>
      <c r="B403" s="46"/>
      <c r="C403" s="47"/>
      <c r="D403" s="48"/>
      <c r="E403" s="48"/>
      <c r="F403" s="49"/>
      <c r="G403" s="47"/>
      <c r="H403" s="50"/>
      <c r="I403" s="50"/>
      <c r="J403" s="51" t="str">
        <f aca="false">IF(OR($V403="",$W403=""),"",ROUND(($W403-$V403)/60,2))</f>
        <v/>
      </c>
      <c r="K403" s="52" t="str">
        <f aca="false">IF($F403="","",LEN($F403)-LEN(SUBSTITUTE($F403,",",""))+1)</f>
        <v/>
      </c>
      <c r="L403" s="45" t="str">
        <f aca="false">IF($K403="","","1:"&amp;$K403)</f>
        <v/>
      </c>
      <c r="M403" s="46"/>
      <c r="N403" s="53"/>
      <c r="O403" s="46"/>
      <c r="P403" s="47"/>
      <c r="Q403" s="48"/>
      <c r="R403" s="49"/>
      <c r="S403" s="54" t="str">
        <f aca="false">IF(OR($AC403=0,$U403="",$M403="",$V403="",$W403=""),"",IF(COUNTIFS(m_teacher,$M403,m_date,$U403,m_active,1,m_start,"&lt;"&amp;$W403,m_end,"&gt;"&amp;$V403)&gt;1,"충돌",""))</f>
        <v/>
      </c>
      <c r="T403" s="48"/>
      <c r="U403" s="55" t="str">
        <f aca="false">IF($G403="","",IFERROR(IF(ISNUMBER($G403),IF($G403&gt;19000000,DATE(INT($G403/10000),MOD(INT($G403/100),100),MOD($G403,100)),INT($G403)),IF(LEN(SUBSTITUTE(SUBSTITUTE(SUBSTITUTE(TRIM($G403),"-",""),".",""),"/",""))=8,DATE(VALUE(LEFT(SUBSTITUTE(SUBSTITUTE(SUBSTITUTE(TRIM($G403),"-",""),".",""),"/",""),4)),VALUE(MID(SUBSTITUTE(SUBSTITUTE(SUBSTITUTE(TRIM($G403),"-",""),".",""),"/",""),5,2)),VALUE(RIGHT(SUBSTITUTE(SUBSTITUTE(SUBSTITUTE(TRIM($G403),"-",""),".",""),"/",""),2))),DATEVALUE($G403))),""))</f>
        <v/>
      </c>
      <c r="V403" s="52" t="str">
        <f aca="false">IF($H403="","",IFERROR(IF(IF(ISNUMBER($H403),$H403,IFERROR(TIMEVALUE($H403),VALUE($H403)))&gt;=100,INT(IF(ISNUMBER($H403),$H403,IFERROR(TIMEVALUE($H403),VALUE($H403)))/100)*60+MOD(IF(ISNUMBER($H403),$H403,IFERROR(TIMEVALUE($H403),VALUE($H403))),100),IF(IF(ISNUMBER($H403),$H403,IFERROR(TIMEVALUE($H403),VALUE($H403)))&gt;=1,ROUND(IF(ISNUMBER($H403),$H403,IFERROR(TIMEVALUE($H403),VALUE($H403)))*60,0),ROUND(MOD(IF(ISNUMBER($H403),$H403,IFERROR(TIMEVALUE($H403),VALUE($H403))),1)*1440,0))),""))</f>
        <v/>
      </c>
      <c r="W403" s="52" t="str">
        <f aca="false">IF($I403="","",IFERROR(IF(IF(ISNUMBER($I403),$I403,IFERROR(TIMEVALUE($I403),VALUE($I403)))&gt;=100,INT(IF(ISNUMBER($I403),$I403,IFERROR(TIMEVALUE($I403),VALUE($I403)))/100)*60+MOD(IF(ISNUMBER($I403),$I403,IFERROR(TIMEVALUE($I403),VALUE($I403))),100),IF(IF(ISNUMBER($I403),$I403,IFERROR(TIMEVALUE($I403),VALUE($I403)))&gt;=1,ROUND(IF(ISNUMBER($I403),$I403,IFERROR(TIMEVALUE($I403),VALUE($I403)))*60,0),ROUND(MOD(IF(ISNUMBER($I403),$I403,IFERROR(TIMEVALUE($I403),VALUE($I403))),1)*1440,0))),""))</f>
        <v/>
      </c>
      <c r="X403" s="55" t="str">
        <f aca="false">IF($P403="","",IFERROR(IF(ISNUMBER($P403),IF($P403&gt;19000000,DATE(INT($P403/10000),MOD(INT($P403/100),100),MOD($P403,100)),INT($P403)),IF(LEN(SUBSTITUTE(SUBSTITUTE(SUBSTITUTE(TRIM($P403),"-",""),".",""),"/",""))=8,DATE(VALUE(LEFT(SUBSTITUTE(SUBSTITUTE(SUBSTITUTE(TRIM($P403),"-",""),".",""),"/",""),4)),VALUE(MID(SUBSTITUTE(SUBSTITUTE(SUBSTITUTE(TRIM($P403),"-",""),".",""),"/",""),5,2)),VALUE(RIGHT(SUBSTITUTE(SUBSTITUTE(SUBSTITUTE(TRIM($P403),"-",""),".",""),"/",""),2))),DATEVALUE($P403))),""))</f>
        <v/>
      </c>
      <c r="Y403" s="56" t="str">
        <f aca="false">IF($M403="","",IFERROR(INDEX(강사DB!$D$4:$D$53,MATCH($M403,강사DB!$A$4:$A$53,0)),""))</f>
        <v/>
      </c>
      <c r="Z403" s="56" t="str">
        <f aca="false">IF($B403&lt;&gt;"결제완료","",IF(OR($Y403="",$J403=""),"",$Y403*$J403+MAX(0,N($K403)-1)*설정!$J$7))</f>
        <v/>
      </c>
      <c r="AA403" s="56" t="str">
        <f aca="false">IF(AND($D403&lt;&gt;"",$B403="결제완료"),N($N403),"")</f>
        <v/>
      </c>
      <c r="AB403" s="45" t="str">
        <f aca="false">IF($D403="","",IF($F403&lt;&gt;"",$F403,$D403)&amp;IF($B403="상담중"," (상담)",""))</f>
        <v/>
      </c>
      <c r="AC403" s="45" t="n">
        <f aca="false">IF(AND($D403&lt;&gt;"",OR($B403="결제완료",$B403="상담중")),1,0)</f>
        <v>0</v>
      </c>
      <c r="AD403" s="45" t="n">
        <f aca="false">IF(OR($Z403="",$U403=""),0,IFERROR(IF(COUNTIFS(INDEX(g_grid,0,2*MATCH($M403,강사DB!$A$4:$A$15,0)),"&lt;&gt;",g_s,"&lt;="&amp;$U403,g_e,"&gt;="&amp;$U403)&gt;0,1,0),0))</f>
        <v>0</v>
      </c>
      <c r="AE403" s="48"/>
      <c r="AF403" s="56" t="str">
        <f aca="false">IF(AND($D403&lt;&gt;"",$B403="결제완료",$T403="대여"),설정!$J$5,"")</f>
        <v/>
      </c>
      <c r="AG403" s="54" t="str">
        <f aca="false">IF($D403="","",IF(AND($E403="",$R403=""),$AB403,"☎ "&amp;IF($E403="","-",$E403)&amp;IF($R403&lt;&gt;"","  ※ "&amp;$R403,"")&amp;IF($B403="상담중"," (상담)","")))</f>
        <v/>
      </c>
      <c r="AH403" s="56" t="str">
        <f aca="false">IF(AND($D403&lt;&gt;"",$B403="결제완료",$O403="스마트스토어"),ROUND(N($N403)*설정!$J$6,0),"")</f>
        <v/>
      </c>
      <c r="AI403" s="54" t="str">
        <f aca="false">IF($D403="","",ROW())</f>
        <v/>
      </c>
      <c r="AJ403" s="54" t="n">
        <f aca="false">IF(OR($AC403&lt;&gt;1,$M403=""),0,IF(ISNUMBER(SEARCH("퇴사",IFERROR(INDEX(강사DB!$G$4:$G$53,MATCH($M403,강사DB!$A$4:$A$53,0)),""))),1,0))</f>
        <v>0</v>
      </c>
    </row>
    <row r="404" customFormat="false" ht="15" hidden="false" customHeight="false" outlineLevel="0" collapsed="false">
      <c r="A404" s="45" t="str">
        <f aca="false">IF($D404="","",COUNTA($D$5:$D404))</f>
        <v/>
      </c>
      <c r="B404" s="46"/>
      <c r="C404" s="47"/>
      <c r="D404" s="48"/>
      <c r="E404" s="48"/>
      <c r="F404" s="49"/>
      <c r="G404" s="47"/>
      <c r="H404" s="50"/>
      <c r="I404" s="50"/>
      <c r="J404" s="51" t="str">
        <f aca="false">IF(OR($V404="",$W404=""),"",ROUND(($W404-$V404)/60,2))</f>
        <v/>
      </c>
      <c r="K404" s="52" t="str">
        <f aca="false">IF($F404="","",LEN($F404)-LEN(SUBSTITUTE($F404,",",""))+1)</f>
        <v/>
      </c>
      <c r="L404" s="45" t="str">
        <f aca="false">IF($K404="","","1:"&amp;$K404)</f>
        <v/>
      </c>
      <c r="M404" s="46"/>
      <c r="N404" s="53"/>
      <c r="O404" s="46"/>
      <c r="P404" s="47"/>
      <c r="Q404" s="48"/>
      <c r="R404" s="49"/>
      <c r="S404" s="54" t="str">
        <f aca="false">IF(OR($AC404=0,$U404="",$M404="",$V404="",$W404=""),"",IF(COUNTIFS(m_teacher,$M404,m_date,$U404,m_active,1,m_start,"&lt;"&amp;$W404,m_end,"&gt;"&amp;$V404)&gt;1,"충돌",""))</f>
        <v/>
      </c>
      <c r="T404" s="48"/>
      <c r="U404" s="55" t="str">
        <f aca="false">IF($G404="","",IFERROR(IF(ISNUMBER($G404),IF($G404&gt;19000000,DATE(INT($G404/10000),MOD(INT($G404/100),100),MOD($G404,100)),INT($G404)),IF(LEN(SUBSTITUTE(SUBSTITUTE(SUBSTITUTE(TRIM($G404),"-",""),".",""),"/",""))=8,DATE(VALUE(LEFT(SUBSTITUTE(SUBSTITUTE(SUBSTITUTE(TRIM($G404),"-",""),".",""),"/",""),4)),VALUE(MID(SUBSTITUTE(SUBSTITUTE(SUBSTITUTE(TRIM($G404),"-",""),".",""),"/",""),5,2)),VALUE(RIGHT(SUBSTITUTE(SUBSTITUTE(SUBSTITUTE(TRIM($G404),"-",""),".",""),"/",""),2))),DATEVALUE($G404))),""))</f>
        <v/>
      </c>
      <c r="V404" s="52" t="str">
        <f aca="false">IF($H404="","",IFERROR(IF(IF(ISNUMBER($H404),$H404,IFERROR(TIMEVALUE($H404),VALUE($H404)))&gt;=100,INT(IF(ISNUMBER($H404),$H404,IFERROR(TIMEVALUE($H404),VALUE($H404)))/100)*60+MOD(IF(ISNUMBER($H404),$H404,IFERROR(TIMEVALUE($H404),VALUE($H404))),100),IF(IF(ISNUMBER($H404),$H404,IFERROR(TIMEVALUE($H404),VALUE($H404)))&gt;=1,ROUND(IF(ISNUMBER($H404),$H404,IFERROR(TIMEVALUE($H404),VALUE($H404)))*60,0),ROUND(MOD(IF(ISNUMBER($H404),$H404,IFERROR(TIMEVALUE($H404),VALUE($H404))),1)*1440,0))),""))</f>
        <v/>
      </c>
      <c r="W404" s="52" t="str">
        <f aca="false">IF($I404="","",IFERROR(IF(IF(ISNUMBER($I404),$I404,IFERROR(TIMEVALUE($I404),VALUE($I404)))&gt;=100,INT(IF(ISNUMBER($I404),$I404,IFERROR(TIMEVALUE($I404),VALUE($I404)))/100)*60+MOD(IF(ISNUMBER($I404),$I404,IFERROR(TIMEVALUE($I404),VALUE($I404))),100),IF(IF(ISNUMBER($I404),$I404,IFERROR(TIMEVALUE($I404),VALUE($I404)))&gt;=1,ROUND(IF(ISNUMBER($I404),$I404,IFERROR(TIMEVALUE($I404),VALUE($I404)))*60,0),ROUND(MOD(IF(ISNUMBER($I404),$I404,IFERROR(TIMEVALUE($I404),VALUE($I404))),1)*1440,0))),""))</f>
        <v/>
      </c>
      <c r="X404" s="55" t="str">
        <f aca="false">IF($P404="","",IFERROR(IF(ISNUMBER($P404),IF($P404&gt;19000000,DATE(INT($P404/10000),MOD(INT($P404/100),100),MOD($P404,100)),INT($P404)),IF(LEN(SUBSTITUTE(SUBSTITUTE(SUBSTITUTE(TRIM($P404),"-",""),".",""),"/",""))=8,DATE(VALUE(LEFT(SUBSTITUTE(SUBSTITUTE(SUBSTITUTE(TRIM($P404),"-",""),".",""),"/",""),4)),VALUE(MID(SUBSTITUTE(SUBSTITUTE(SUBSTITUTE(TRIM($P404),"-",""),".",""),"/",""),5,2)),VALUE(RIGHT(SUBSTITUTE(SUBSTITUTE(SUBSTITUTE(TRIM($P404),"-",""),".",""),"/",""),2))),DATEVALUE($P404))),""))</f>
        <v/>
      </c>
      <c r="Y404" s="56" t="str">
        <f aca="false">IF($M404="","",IFERROR(INDEX(강사DB!$D$4:$D$53,MATCH($M404,강사DB!$A$4:$A$53,0)),""))</f>
        <v/>
      </c>
      <c r="Z404" s="56" t="str">
        <f aca="false">IF($B404&lt;&gt;"결제완료","",IF(OR($Y404="",$J404=""),"",$Y404*$J404+MAX(0,N($K404)-1)*설정!$J$7))</f>
        <v/>
      </c>
      <c r="AA404" s="56" t="str">
        <f aca="false">IF(AND($D404&lt;&gt;"",$B404="결제완료"),N($N404),"")</f>
        <v/>
      </c>
      <c r="AB404" s="45" t="str">
        <f aca="false">IF($D404="","",IF($F404&lt;&gt;"",$F404,$D404)&amp;IF($B404="상담중"," (상담)",""))</f>
        <v/>
      </c>
      <c r="AC404" s="45" t="n">
        <f aca="false">IF(AND($D404&lt;&gt;"",OR($B404="결제완료",$B404="상담중")),1,0)</f>
        <v>0</v>
      </c>
      <c r="AD404" s="45" t="n">
        <f aca="false">IF(OR($Z404="",$U404=""),0,IFERROR(IF(COUNTIFS(INDEX(g_grid,0,2*MATCH($M404,강사DB!$A$4:$A$15,0)),"&lt;&gt;",g_s,"&lt;="&amp;$U404,g_e,"&gt;="&amp;$U404)&gt;0,1,0),0))</f>
        <v>0</v>
      </c>
      <c r="AE404" s="48"/>
      <c r="AF404" s="56" t="str">
        <f aca="false">IF(AND($D404&lt;&gt;"",$B404="결제완료",$T404="대여"),설정!$J$5,"")</f>
        <v/>
      </c>
      <c r="AG404" s="54" t="str">
        <f aca="false">IF($D404="","",IF(AND($E404="",$R404=""),$AB404,"☎ "&amp;IF($E404="","-",$E404)&amp;IF($R404&lt;&gt;"","  ※ "&amp;$R404,"")&amp;IF($B404="상담중"," (상담)","")))</f>
        <v/>
      </c>
      <c r="AH404" s="56" t="str">
        <f aca="false">IF(AND($D404&lt;&gt;"",$B404="결제완료",$O404="스마트스토어"),ROUND(N($N404)*설정!$J$6,0),"")</f>
        <v/>
      </c>
      <c r="AI404" s="54" t="str">
        <f aca="false">IF($D404="","",ROW())</f>
        <v/>
      </c>
      <c r="AJ404" s="54" t="n">
        <f aca="false">IF(OR($AC404&lt;&gt;1,$M404=""),0,IF(ISNUMBER(SEARCH("퇴사",IFERROR(INDEX(강사DB!$G$4:$G$53,MATCH($M404,강사DB!$A$4:$A$53,0)),""))),1,0))</f>
        <v>0</v>
      </c>
    </row>
    <row r="405" customFormat="false" ht="15" hidden="false" customHeight="false" outlineLevel="0" collapsed="false">
      <c r="A405" s="45" t="str">
        <f aca="false">IF($D405="","",COUNTA($D$5:$D405))</f>
        <v/>
      </c>
      <c r="B405" s="46"/>
      <c r="C405" s="47"/>
      <c r="D405" s="48"/>
      <c r="E405" s="48"/>
      <c r="F405" s="49"/>
      <c r="G405" s="47"/>
      <c r="H405" s="50"/>
      <c r="I405" s="50"/>
      <c r="J405" s="51" t="str">
        <f aca="false">IF(OR($V405="",$W405=""),"",ROUND(($W405-$V405)/60,2))</f>
        <v/>
      </c>
      <c r="K405" s="52" t="str">
        <f aca="false">IF($F405="","",LEN($F405)-LEN(SUBSTITUTE($F405,",",""))+1)</f>
        <v/>
      </c>
      <c r="L405" s="45" t="str">
        <f aca="false">IF($K405="","","1:"&amp;$K405)</f>
        <v/>
      </c>
      <c r="M405" s="46"/>
      <c r="N405" s="53"/>
      <c r="O405" s="46"/>
      <c r="P405" s="47"/>
      <c r="Q405" s="48"/>
      <c r="R405" s="49"/>
      <c r="S405" s="54" t="str">
        <f aca="false">IF(OR($AC405=0,$U405="",$M405="",$V405="",$W405=""),"",IF(COUNTIFS(m_teacher,$M405,m_date,$U405,m_active,1,m_start,"&lt;"&amp;$W405,m_end,"&gt;"&amp;$V405)&gt;1,"충돌",""))</f>
        <v/>
      </c>
      <c r="T405" s="48"/>
      <c r="U405" s="55" t="str">
        <f aca="false">IF($G405="","",IFERROR(IF(ISNUMBER($G405),IF($G405&gt;19000000,DATE(INT($G405/10000),MOD(INT($G405/100),100),MOD($G405,100)),INT($G405)),IF(LEN(SUBSTITUTE(SUBSTITUTE(SUBSTITUTE(TRIM($G405),"-",""),".",""),"/",""))=8,DATE(VALUE(LEFT(SUBSTITUTE(SUBSTITUTE(SUBSTITUTE(TRIM($G405),"-",""),".",""),"/",""),4)),VALUE(MID(SUBSTITUTE(SUBSTITUTE(SUBSTITUTE(TRIM($G405),"-",""),".",""),"/",""),5,2)),VALUE(RIGHT(SUBSTITUTE(SUBSTITUTE(SUBSTITUTE(TRIM($G405),"-",""),".",""),"/",""),2))),DATEVALUE($G405))),""))</f>
        <v/>
      </c>
      <c r="V405" s="52" t="str">
        <f aca="false">IF($H405="","",IFERROR(IF(IF(ISNUMBER($H405),$H405,IFERROR(TIMEVALUE($H405),VALUE($H405)))&gt;=100,INT(IF(ISNUMBER($H405),$H405,IFERROR(TIMEVALUE($H405),VALUE($H405)))/100)*60+MOD(IF(ISNUMBER($H405),$H405,IFERROR(TIMEVALUE($H405),VALUE($H405))),100),IF(IF(ISNUMBER($H405),$H405,IFERROR(TIMEVALUE($H405),VALUE($H405)))&gt;=1,ROUND(IF(ISNUMBER($H405),$H405,IFERROR(TIMEVALUE($H405),VALUE($H405)))*60,0),ROUND(MOD(IF(ISNUMBER($H405),$H405,IFERROR(TIMEVALUE($H405),VALUE($H405))),1)*1440,0))),""))</f>
        <v/>
      </c>
      <c r="W405" s="52" t="str">
        <f aca="false">IF($I405="","",IFERROR(IF(IF(ISNUMBER($I405),$I405,IFERROR(TIMEVALUE($I405),VALUE($I405)))&gt;=100,INT(IF(ISNUMBER($I405),$I405,IFERROR(TIMEVALUE($I405),VALUE($I405)))/100)*60+MOD(IF(ISNUMBER($I405),$I405,IFERROR(TIMEVALUE($I405),VALUE($I405))),100),IF(IF(ISNUMBER($I405),$I405,IFERROR(TIMEVALUE($I405),VALUE($I405)))&gt;=1,ROUND(IF(ISNUMBER($I405),$I405,IFERROR(TIMEVALUE($I405),VALUE($I405)))*60,0),ROUND(MOD(IF(ISNUMBER($I405),$I405,IFERROR(TIMEVALUE($I405),VALUE($I405))),1)*1440,0))),""))</f>
        <v/>
      </c>
      <c r="X405" s="55" t="str">
        <f aca="false">IF($P405="","",IFERROR(IF(ISNUMBER($P405),IF($P405&gt;19000000,DATE(INT($P405/10000),MOD(INT($P405/100),100),MOD($P405,100)),INT($P405)),IF(LEN(SUBSTITUTE(SUBSTITUTE(SUBSTITUTE(TRIM($P405),"-",""),".",""),"/",""))=8,DATE(VALUE(LEFT(SUBSTITUTE(SUBSTITUTE(SUBSTITUTE(TRIM($P405),"-",""),".",""),"/",""),4)),VALUE(MID(SUBSTITUTE(SUBSTITUTE(SUBSTITUTE(TRIM($P405),"-",""),".",""),"/",""),5,2)),VALUE(RIGHT(SUBSTITUTE(SUBSTITUTE(SUBSTITUTE(TRIM($P405),"-",""),".",""),"/",""),2))),DATEVALUE($P405))),""))</f>
        <v/>
      </c>
      <c r="Y405" s="56" t="str">
        <f aca="false">IF($M405="","",IFERROR(INDEX(강사DB!$D$4:$D$53,MATCH($M405,강사DB!$A$4:$A$53,0)),""))</f>
        <v/>
      </c>
      <c r="Z405" s="56" t="str">
        <f aca="false">IF($B405&lt;&gt;"결제완료","",IF(OR($Y405="",$J405=""),"",$Y405*$J405+MAX(0,N($K405)-1)*설정!$J$7))</f>
        <v/>
      </c>
      <c r="AA405" s="56" t="str">
        <f aca="false">IF(AND($D405&lt;&gt;"",$B405="결제완료"),N($N405),"")</f>
        <v/>
      </c>
      <c r="AB405" s="45" t="str">
        <f aca="false">IF($D405="","",IF($F405&lt;&gt;"",$F405,$D405)&amp;IF($B405="상담중"," (상담)",""))</f>
        <v/>
      </c>
      <c r="AC405" s="45" t="n">
        <f aca="false">IF(AND($D405&lt;&gt;"",OR($B405="결제완료",$B405="상담중")),1,0)</f>
        <v>0</v>
      </c>
      <c r="AD405" s="45" t="n">
        <f aca="false">IF(OR($Z405="",$U405=""),0,IFERROR(IF(COUNTIFS(INDEX(g_grid,0,2*MATCH($M405,강사DB!$A$4:$A$15,0)),"&lt;&gt;",g_s,"&lt;="&amp;$U405,g_e,"&gt;="&amp;$U405)&gt;0,1,0),0))</f>
        <v>0</v>
      </c>
      <c r="AE405" s="48"/>
      <c r="AF405" s="56" t="str">
        <f aca="false">IF(AND($D405&lt;&gt;"",$B405="결제완료",$T405="대여"),설정!$J$5,"")</f>
        <v/>
      </c>
      <c r="AG405" s="54" t="str">
        <f aca="false">IF($D405="","",IF(AND($E405="",$R405=""),$AB405,"☎ "&amp;IF($E405="","-",$E405)&amp;IF($R405&lt;&gt;"","  ※ "&amp;$R405,"")&amp;IF($B405="상담중"," (상담)","")))</f>
        <v/>
      </c>
      <c r="AH405" s="56" t="str">
        <f aca="false">IF(AND($D405&lt;&gt;"",$B405="결제완료",$O405="스마트스토어"),ROUND(N($N405)*설정!$J$6,0),"")</f>
        <v/>
      </c>
      <c r="AI405" s="54" t="str">
        <f aca="false">IF($D405="","",ROW())</f>
        <v/>
      </c>
      <c r="AJ405" s="54" t="n">
        <f aca="false">IF(OR($AC405&lt;&gt;1,$M405=""),0,IF(ISNUMBER(SEARCH("퇴사",IFERROR(INDEX(강사DB!$G$4:$G$53,MATCH($M405,강사DB!$A$4:$A$53,0)),""))),1,0))</f>
        <v>0</v>
      </c>
    </row>
    <row r="406" customFormat="false" ht="15" hidden="false" customHeight="false" outlineLevel="0" collapsed="false">
      <c r="A406" s="45" t="str">
        <f aca="false">IF($D406="","",COUNTA($D$5:$D406))</f>
        <v/>
      </c>
      <c r="B406" s="46"/>
      <c r="C406" s="47"/>
      <c r="D406" s="48"/>
      <c r="E406" s="48"/>
      <c r="F406" s="49"/>
      <c r="G406" s="47"/>
      <c r="H406" s="50"/>
      <c r="I406" s="50"/>
      <c r="J406" s="51" t="str">
        <f aca="false">IF(OR($V406="",$W406=""),"",ROUND(($W406-$V406)/60,2))</f>
        <v/>
      </c>
      <c r="K406" s="52" t="str">
        <f aca="false">IF($F406="","",LEN($F406)-LEN(SUBSTITUTE($F406,",",""))+1)</f>
        <v/>
      </c>
      <c r="L406" s="45" t="str">
        <f aca="false">IF($K406="","","1:"&amp;$K406)</f>
        <v/>
      </c>
      <c r="M406" s="46"/>
      <c r="N406" s="53"/>
      <c r="O406" s="46"/>
      <c r="P406" s="47"/>
      <c r="Q406" s="48"/>
      <c r="R406" s="49"/>
      <c r="S406" s="54" t="str">
        <f aca="false">IF(OR($AC406=0,$U406="",$M406="",$V406="",$W406=""),"",IF(COUNTIFS(m_teacher,$M406,m_date,$U406,m_active,1,m_start,"&lt;"&amp;$W406,m_end,"&gt;"&amp;$V406)&gt;1,"충돌",""))</f>
        <v/>
      </c>
      <c r="T406" s="48"/>
      <c r="U406" s="55" t="str">
        <f aca="false">IF($G406="","",IFERROR(IF(ISNUMBER($G406),IF($G406&gt;19000000,DATE(INT($G406/10000),MOD(INT($G406/100),100),MOD($G406,100)),INT($G406)),IF(LEN(SUBSTITUTE(SUBSTITUTE(SUBSTITUTE(TRIM($G406),"-",""),".",""),"/",""))=8,DATE(VALUE(LEFT(SUBSTITUTE(SUBSTITUTE(SUBSTITUTE(TRIM($G406),"-",""),".",""),"/",""),4)),VALUE(MID(SUBSTITUTE(SUBSTITUTE(SUBSTITUTE(TRIM($G406),"-",""),".",""),"/",""),5,2)),VALUE(RIGHT(SUBSTITUTE(SUBSTITUTE(SUBSTITUTE(TRIM($G406),"-",""),".",""),"/",""),2))),DATEVALUE($G406))),""))</f>
        <v/>
      </c>
      <c r="V406" s="52" t="str">
        <f aca="false">IF($H406="","",IFERROR(IF(IF(ISNUMBER($H406),$H406,IFERROR(TIMEVALUE($H406),VALUE($H406)))&gt;=100,INT(IF(ISNUMBER($H406),$H406,IFERROR(TIMEVALUE($H406),VALUE($H406)))/100)*60+MOD(IF(ISNUMBER($H406),$H406,IFERROR(TIMEVALUE($H406),VALUE($H406))),100),IF(IF(ISNUMBER($H406),$H406,IFERROR(TIMEVALUE($H406),VALUE($H406)))&gt;=1,ROUND(IF(ISNUMBER($H406),$H406,IFERROR(TIMEVALUE($H406),VALUE($H406)))*60,0),ROUND(MOD(IF(ISNUMBER($H406),$H406,IFERROR(TIMEVALUE($H406),VALUE($H406))),1)*1440,0))),""))</f>
        <v/>
      </c>
      <c r="W406" s="52" t="str">
        <f aca="false">IF($I406="","",IFERROR(IF(IF(ISNUMBER($I406),$I406,IFERROR(TIMEVALUE($I406),VALUE($I406)))&gt;=100,INT(IF(ISNUMBER($I406),$I406,IFERROR(TIMEVALUE($I406),VALUE($I406)))/100)*60+MOD(IF(ISNUMBER($I406),$I406,IFERROR(TIMEVALUE($I406),VALUE($I406))),100),IF(IF(ISNUMBER($I406),$I406,IFERROR(TIMEVALUE($I406),VALUE($I406)))&gt;=1,ROUND(IF(ISNUMBER($I406),$I406,IFERROR(TIMEVALUE($I406),VALUE($I406)))*60,0),ROUND(MOD(IF(ISNUMBER($I406),$I406,IFERROR(TIMEVALUE($I406),VALUE($I406))),1)*1440,0))),""))</f>
        <v/>
      </c>
      <c r="X406" s="55" t="str">
        <f aca="false">IF($P406="","",IFERROR(IF(ISNUMBER($P406),IF($P406&gt;19000000,DATE(INT($P406/10000),MOD(INT($P406/100),100),MOD($P406,100)),INT($P406)),IF(LEN(SUBSTITUTE(SUBSTITUTE(SUBSTITUTE(TRIM($P406),"-",""),".",""),"/",""))=8,DATE(VALUE(LEFT(SUBSTITUTE(SUBSTITUTE(SUBSTITUTE(TRIM($P406),"-",""),".",""),"/",""),4)),VALUE(MID(SUBSTITUTE(SUBSTITUTE(SUBSTITUTE(TRIM($P406),"-",""),".",""),"/",""),5,2)),VALUE(RIGHT(SUBSTITUTE(SUBSTITUTE(SUBSTITUTE(TRIM($P406),"-",""),".",""),"/",""),2))),DATEVALUE($P406))),""))</f>
        <v/>
      </c>
      <c r="Y406" s="56" t="str">
        <f aca="false">IF($M406="","",IFERROR(INDEX(강사DB!$D$4:$D$53,MATCH($M406,강사DB!$A$4:$A$53,0)),""))</f>
        <v/>
      </c>
      <c r="Z406" s="56" t="str">
        <f aca="false">IF($B406&lt;&gt;"결제완료","",IF(OR($Y406="",$J406=""),"",$Y406*$J406+MAX(0,N($K406)-1)*설정!$J$7))</f>
        <v/>
      </c>
      <c r="AA406" s="56" t="str">
        <f aca="false">IF(AND($D406&lt;&gt;"",$B406="결제완료"),N($N406),"")</f>
        <v/>
      </c>
      <c r="AB406" s="45" t="str">
        <f aca="false">IF($D406="","",IF($F406&lt;&gt;"",$F406,$D406)&amp;IF($B406="상담중"," (상담)",""))</f>
        <v/>
      </c>
      <c r="AC406" s="45" t="n">
        <f aca="false">IF(AND($D406&lt;&gt;"",OR($B406="결제완료",$B406="상담중")),1,0)</f>
        <v>0</v>
      </c>
      <c r="AD406" s="45" t="n">
        <f aca="false">IF(OR($Z406="",$U406=""),0,IFERROR(IF(COUNTIFS(INDEX(g_grid,0,2*MATCH($M406,강사DB!$A$4:$A$15,0)),"&lt;&gt;",g_s,"&lt;="&amp;$U406,g_e,"&gt;="&amp;$U406)&gt;0,1,0),0))</f>
        <v>0</v>
      </c>
      <c r="AE406" s="48"/>
      <c r="AF406" s="56" t="str">
        <f aca="false">IF(AND($D406&lt;&gt;"",$B406="결제완료",$T406="대여"),설정!$J$5,"")</f>
        <v/>
      </c>
      <c r="AG406" s="54" t="str">
        <f aca="false">IF($D406="","",IF(AND($E406="",$R406=""),$AB406,"☎ "&amp;IF($E406="","-",$E406)&amp;IF($R406&lt;&gt;"","  ※ "&amp;$R406,"")&amp;IF($B406="상담중"," (상담)","")))</f>
        <v/>
      </c>
      <c r="AH406" s="56" t="str">
        <f aca="false">IF(AND($D406&lt;&gt;"",$B406="결제완료",$O406="스마트스토어"),ROUND(N($N406)*설정!$J$6,0),"")</f>
        <v/>
      </c>
      <c r="AI406" s="54" t="str">
        <f aca="false">IF($D406="","",ROW())</f>
        <v/>
      </c>
      <c r="AJ406" s="54" t="n">
        <f aca="false">IF(OR($AC406&lt;&gt;1,$M406=""),0,IF(ISNUMBER(SEARCH("퇴사",IFERROR(INDEX(강사DB!$G$4:$G$53,MATCH($M406,강사DB!$A$4:$A$53,0)),""))),1,0))</f>
        <v>0</v>
      </c>
    </row>
    <row r="407" customFormat="false" ht="15" hidden="false" customHeight="false" outlineLevel="0" collapsed="false">
      <c r="A407" s="45" t="str">
        <f aca="false">IF($D407="","",COUNTA($D$5:$D407))</f>
        <v/>
      </c>
      <c r="B407" s="46"/>
      <c r="C407" s="47"/>
      <c r="D407" s="48"/>
      <c r="E407" s="48"/>
      <c r="F407" s="49"/>
      <c r="G407" s="47"/>
      <c r="H407" s="50"/>
      <c r="I407" s="50"/>
      <c r="J407" s="51" t="str">
        <f aca="false">IF(OR($V407="",$W407=""),"",ROUND(($W407-$V407)/60,2))</f>
        <v/>
      </c>
      <c r="K407" s="52" t="str">
        <f aca="false">IF($F407="","",LEN($F407)-LEN(SUBSTITUTE($F407,",",""))+1)</f>
        <v/>
      </c>
      <c r="L407" s="45" t="str">
        <f aca="false">IF($K407="","","1:"&amp;$K407)</f>
        <v/>
      </c>
      <c r="M407" s="46"/>
      <c r="N407" s="53"/>
      <c r="O407" s="46"/>
      <c r="P407" s="47"/>
      <c r="Q407" s="48"/>
      <c r="R407" s="49"/>
      <c r="S407" s="54" t="str">
        <f aca="false">IF(OR($AC407=0,$U407="",$M407="",$V407="",$W407=""),"",IF(COUNTIFS(m_teacher,$M407,m_date,$U407,m_active,1,m_start,"&lt;"&amp;$W407,m_end,"&gt;"&amp;$V407)&gt;1,"충돌",""))</f>
        <v/>
      </c>
      <c r="T407" s="48"/>
      <c r="U407" s="55" t="str">
        <f aca="false">IF($G407="","",IFERROR(IF(ISNUMBER($G407),IF($G407&gt;19000000,DATE(INT($G407/10000),MOD(INT($G407/100),100),MOD($G407,100)),INT($G407)),IF(LEN(SUBSTITUTE(SUBSTITUTE(SUBSTITUTE(TRIM($G407),"-",""),".",""),"/",""))=8,DATE(VALUE(LEFT(SUBSTITUTE(SUBSTITUTE(SUBSTITUTE(TRIM($G407),"-",""),".",""),"/",""),4)),VALUE(MID(SUBSTITUTE(SUBSTITUTE(SUBSTITUTE(TRIM($G407),"-",""),".",""),"/",""),5,2)),VALUE(RIGHT(SUBSTITUTE(SUBSTITUTE(SUBSTITUTE(TRIM($G407),"-",""),".",""),"/",""),2))),DATEVALUE($G407))),""))</f>
        <v/>
      </c>
      <c r="V407" s="52" t="str">
        <f aca="false">IF($H407="","",IFERROR(IF(IF(ISNUMBER($H407),$H407,IFERROR(TIMEVALUE($H407),VALUE($H407)))&gt;=100,INT(IF(ISNUMBER($H407),$H407,IFERROR(TIMEVALUE($H407),VALUE($H407)))/100)*60+MOD(IF(ISNUMBER($H407),$H407,IFERROR(TIMEVALUE($H407),VALUE($H407))),100),IF(IF(ISNUMBER($H407),$H407,IFERROR(TIMEVALUE($H407),VALUE($H407)))&gt;=1,ROUND(IF(ISNUMBER($H407),$H407,IFERROR(TIMEVALUE($H407),VALUE($H407)))*60,0),ROUND(MOD(IF(ISNUMBER($H407),$H407,IFERROR(TIMEVALUE($H407),VALUE($H407))),1)*1440,0))),""))</f>
        <v/>
      </c>
      <c r="W407" s="52" t="str">
        <f aca="false">IF($I407="","",IFERROR(IF(IF(ISNUMBER($I407),$I407,IFERROR(TIMEVALUE($I407),VALUE($I407)))&gt;=100,INT(IF(ISNUMBER($I407),$I407,IFERROR(TIMEVALUE($I407),VALUE($I407)))/100)*60+MOD(IF(ISNUMBER($I407),$I407,IFERROR(TIMEVALUE($I407),VALUE($I407))),100),IF(IF(ISNUMBER($I407),$I407,IFERROR(TIMEVALUE($I407),VALUE($I407)))&gt;=1,ROUND(IF(ISNUMBER($I407),$I407,IFERROR(TIMEVALUE($I407),VALUE($I407)))*60,0),ROUND(MOD(IF(ISNUMBER($I407),$I407,IFERROR(TIMEVALUE($I407),VALUE($I407))),1)*1440,0))),""))</f>
        <v/>
      </c>
      <c r="X407" s="55" t="str">
        <f aca="false">IF($P407="","",IFERROR(IF(ISNUMBER($P407),IF($P407&gt;19000000,DATE(INT($P407/10000),MOD(INT($P407/100),100),MOD($P407,100)),INT($P407)),IF(LEN(SUBSTITUTE(SUBSTITUTE(SUBSTITUTE(TRIM($P407),"-",""),".",""),"/",""))=8,DATE(VALUE(LEFT(SUBSTITUTE(SUBSTITUTE(SUBSTITUTE(TRIM($P407),"-",""),".",""),"/",""),4)),VALUE(MID(SUBSTITUTE(SUBSTITUTE(SUBSTITUTE(TRIM($P407),"-",""),".",""),"/",""),5,2)),VALUE(RIGHT(SUBSTITUTE(SUBSTITUTE(SUBSTITUTE(TRIM($P407),"-",""),".",""),"/",""),2))),DATEVALUE($P407))),""))</f>
        <v/>
      </c>
      <c r="Y407" s="56" t="str">
        <f aca="false">IF($M407="","",IFERROR(INDEX(강사DB!$D$4:$D$53,MATCH($M407,강사DB!$A$4:$A$53,0)),""))</f>
        <v/>
      </c>
      <c r="Z407" s="56" t="str">
        <f aca="false">IF($B407&lt;&gt;"결제완료","",IF(OR($Y407="",$J407=""),"",$Y407*$J407+MAX(0,N($K407)-1)*설정!$J$7))</f>
        <v/>
      </c>
      <c r="AA407" s="56" t="str">
        <f aca="false">IF(AND($D407&lt;&gt;"",$B407="결제완료"),N($N407),"")</f>
        <v/>
      </c>
      <c r="AB407" s="45" t="str">
        <f aca="false">IF($D407="","",IF($F407&lt;&gt;"",$F407,$D407)&amp;IF($B407="상담중"," (상담)",""))</f>
        <v/>
      </c>
      <c r="AC407" s="45" t="n">
        <f aca="false">IF(AND($D407&lt;&gt;"",OR($B407="결제완료",$B407="상담중")),1,0)</f>
        <v>0</v>
      </c>
      <c r="AD407" s="45" t="n">
        <f aca="false">IF(OR($Z407="",$U407=""),0,IFERROR(IF(COUNTIFS(INDEX(g_grid,0,2*MATCH($M407,강사DB!$A$4:$A$15,0)),"&lt;&gt;",g_s,"&lt;="&amp;$U407,g_e,"&gt;="&amp;$U407)&gt;0,1,0),0))</f>
        <v>0</v>
      </c>
      <c r="AE407" s="48"/>
      <c r="AF407" s="56" t="str">
        <f aca="false">IF(AND($D407&lt;&gt;"",$B407="결제완료",$T407="대여"),설정!$J$5,"")</f>
        <v/>
      </c>
      <c r="AG407" s="54" t="str">
        <f aca="false">IF($D407="","",IF(AND($E407="",$R407=""),$AB407,"☎ "&amp;IF($E407="","-",$E407)&amp;IF($R407&lt;&gt;"","  ※ "&amp;$R407,"")&amp;IF($B407="상담중"," (상담)","")))</f>
        <v/>
      </c>
      <c r="AH407" s="56" t="str">
        <f aca="false">IF(AND($D407&lt;&gt;"",$B407="결제완료",$O407="스마트스토어"),ROUND(N($N407)*설정!$J$6,0),"")</f>
        <v/>
      </c>
      <c r="AI407" s="54" t="str">
        <f aca="false">IF($D407="","",ROW())</f>
        <v/>
      </c>
      <c r="AJ407" s="54" t="n">
        <f aca="false">IF(OR($AC407&lt;&gt;1,$M407=""),0,IF(ISNUMBER(SEARCH("퇴사",IFERROR(INDEX(강사DB!$G$4:$G$53,MATCH($M407,강사DB!$A$4:$A$53,0)),""))),1,0))</f>
        <v>0</v>
      </c>
    </row>
    <row r="408" customFormat="false" ht="15" hidden="false" customHeight="false" outlineLevel="0" collapsed="false">
      <c r="A408" s="45" t="str">
        <f aca="false">IF($D408="","",COUNTA($D$5:$D408))</f>
        <v/>
      </c>
      <c r="B408" s="46"/>
      <c r="C408" s="47"/>
      <c r="D408" s="48"/>
      <c r="E408" s="48"/>
      <c r="F408" s="49"/>
      <c r="G408" s="47"/>
      <c r="H408" s="50"/>
      <c r="I408" s="50"/>
      <c r="J408" s="51" t="str">
        <f aca="false">IF(OR($V408="",$W408=""),"",ROUND(($W408-$V408)/60,2))</f>
        <v/>
      </c>
      <c r="K408" s="52" t="str">
        <f aca="false">IF($F408="","",LEN($F408)-LEN(SUBSTITUTE($F408,",",""))+1)</f>
        <v/>
      </c>
      <c r="L408" s="45" t="str">
        <f aca="false">IF($K408="","","1:"&amp;$K408)</f>
        <v/>
      </c>
      <c r="M408" s="46"/>
      <c r="N408" s="53"/>
      <c r="O408" s="46"/>
      <c r="P408" s="47"/>
      <c r="Q408" s="48"/>
      <c r="R408" s="49"/>
      <c r="S408" s="54" t="str">
        <f aca="false">IF(OR($AC408=0,$U408="",$M408="",$V408="",$W408=""),"",IF(COUNTIFS(m_teacher,$M408,m_date,$U408,m_active,1,m_start,"&lt;"&amp;$W408,m_end,"&gt;"&amp;$V408)&gt;1,"충돌",""))</f>
        <v/>
      </c>
      <c r="T408" s="48"/>
      <c r="U408" s="55" t="str">
        <f aca="false">IF($G408="","",IFERROR(IF(ISNUMBER($G408),IF($G408&gt;19000000,DATE(INT($G408/10000),MOD(INT($G408/100),100),MOD($G408,100)),INT($G408)),IF(LEN(SUBSTITUTE(SUBSTITUTE(SUBSTITUTE(TRIM($G408),"-",""),".",""),"/",""))=8,DATE(VALUE(LEFT(SUBSTITUTE(SUBSTITUTE(SUBSTITUTE(TRIM($G408),"-",""),".",""),"/",""),4)),VALUE(MID(SUBSTITUTE(SUBSTITUTE(SUBSTITUTE(TRIM($G408),"-",""),".",""),"/",""),5,2)),VALUE(RIGHT(SUBSTITUTE(SUBSTITUTE(SUBSTITUTE(TRIM($G408),"-",""),".",""),"/",""),2))),DATEVALUE($G408))),""))</f>
        <v/>
      </c>
      <c r="V408" s="52" t="str">
        <f aca="false">IF($H408="","",IFERROR(IF(IF(ISNUMBER($H408),$H408,IFERROR(TIMEVALUE($H408),VALUE($H408)))&gt;=100,INT(IF(ISNUMBER($H408),$H408,IFERROR(TIMEVALUE($H408),VALUE($H408)))/100)*60+MOD(IF(ISNUMBER($H408),$H408,IFERROR(TIMEVALUE($H408),VALUE($H408))),100),IF(IF(ISNUMBER($H408),$H408,IFERROR(TIMEVALUE($H408),VALUE($H408)))&gt;=1,ROUND(IF(ISNUMBER($H408),$H408,IFERROR(TIMEVALUE($H408),VALUE($H408)))*60,0),ROUND(MOD(IF(ISNUMBER($H408),$H408,IFERROR(TIMEVALUE($H408),VALUE($H408))),1)*1440,0))),""))</f>
        <v/>
      </c>
      <c r="W408" s="52" t="str">
        <f aca="false">IF($I408="","",IFERROR(IF(IF(ISNUMBER($I408),$I408,IFERROR(TIMEVALUE($I408),VALUE($I408)))&gt;=100,INT(IF(ISNUMBER($I408),$I408,IFERROR(TIMEVALUE($I408),VALUE($I408)))/100)*60+MOD(IF(ISNUMBER($I408),$I408,IFERROR(TIMEVALUE($I408),VALUE($I408))),100),IF(IF(ISNUMBER($I408),$I408,IFERROR(TIMEVALUE($I408),VALUE($I408)))&gt;=1,ROUND(IF(ISNUMBER($I408),$I408,IFERROR(TIMEVALUE($I408),VALUE($I408)))*60,0),ROUND(MOD(IF(ISNUMBER($I408),$I408,IFERROR(TIMEVALUE($I408),VALUE($I408))),1)*1440,0))),""))</f>
        <v/>
      </c>
      <c r="X408" s="55" t="str">
        <f aca="false">IF($P408="","",IFERROR(IF(ISNUMBER($P408),IF($P408&gt;19000000,DATE(INT($P408/10000),MOD(INT($P408/100),100),MOD($P408,100)),INT($P408)),IF(LEN(SUBSTITUTE(SUBSTITUTE(SUBSTITUTE(TRIM($P408),"-",""),".",""),"/",""))=8,DATE(VALUE(LEFT(SUBSTITUTE(SUBSTITUTE(SUBSTITUTE(TRIM($P408),"-",""),".",""),"/",""),4)),VALUE(MID(SUBSTITUTE(SUBSTITUTE(SUBSTITUTE(TRIM($P408),"-",""),".",""),"/",""),5,2)),VALUE(RIGHT(SUBSTITUTE(SUBSTITUTE(SUBSTITUTE(TRIM($P408),"-",""),".",""),"/",""),2))),DATEVALUE($P408))),""))</f>
        <v/>
      </c>
      <c r="Y408" s="56" t="str">
        <f aca="false">IF($M408="","",IFERROR(INDEX(강사DB!$D$4:$D$53,MATCH($M408,강사DB!$A$4:$A$53,0)),""))</f>
        <v/>
      </c>
      <c r="Z408" s="56" t="str">
        <f aca="false">IF($B408&lt;&gt;"결제완료","",IF(OR($Y408="",$J408=""),"",$Y408*$J408+MAX(0,N($K408)-1)*설정!$J$7))</f>
        <v/>
      </c>
      <c r="AA408" s="56" t="str">
        <f aca="false">IF(AND($D408&lt;&gt;"",$B408="결제완료"),N($N408),"")</f>
        <v/>
      </c>
      <c r="AB408" s="45" t="str">
        <f aca="false">IF($D408="","",IF($F408&lt;&gt;"",$F408,$D408)&amp;IF($B408="상담중"," (상담)",""))</f>
        <v/>
      </c>
      <c r="AC408" s="45" t="n">
        <f aca="false">IF(AND($D408&lt;&gt;"",OR($B408="결제완료",$B408="상담중")),1,0)</f>
        <v>0</v>
      </c>
      <c r="AD408" s="45" t="n">
        <f aca="false">IF(OR($Z408="",$U408=""),0,IFERROR(IF(COUNTIFS(INDEX(g_grid,0,2*MATCH($M408,강사DB!$A$4:$A$15,0)),"&lt;&gt;",g_s,"&lt;="&amp;$U408,g_e,"&gt;="&amp;$U408)&gt;0,1,0),0))</f>
        <v>0</v>
      </c>
      <c r="AE408" s="48"/>
      <c r="AF408" s="56" t="str">
        <f aca="false">IF(AND($D408&lt;&gt;"",$B408="결제완료",$T408="대여"),설정!$J$5,"")</f>
        <v/>
      </c>
      <c r="AG408" s="54" t="str">
        <f aca="false">IF($D408="","",IF(AND($E408="",$R408=""),$AB408,"☎ "&amp;IF($E408="","-",$E408)&amp;IF($R408&lt;&gt;"","  ※ "&amp;$R408,"")&amp;IF($B408="상담중"," (상담)","")))</f>
        <v/>
      </c>
      <c r="AH408" s="56" t="str">
        <f aca="false">IF(AND($D408&lt;&gt;"",$B408="결제완료",$O408="스마트스토어"),ROUND(N($N408)*설정!$J$6,0),"")</f>
        <v/>
      </c>
      <c r="AI408" s="54" t="str">
        <f aca="false">IF($D408="","",ROW())</f>
        <v/>
      </c>
      <c r="AJ408" s="54" t="n">
        <f aca="false">IF(OR($AC408&lt;&gt;1,$M408=""),0,IF(ISNUMBER(SEARCH("퇴사",IFERROR(INDEX(강사DB!$G$4:$G$53,MATCH($M408,강사DB!$A$4:$A$53,0)),""))),1,0))</f>
        <v>0</v>
      </c>
    </row>
    <row r="409" customFormat="false" ht="15" hidden="false" customHeight="false" outlineLevel="0" collapsed="false">
      <c r="A409" s="45" t="str">
        <f aca="false">IF($D409="","",COUNTA($D$5:$D409))</f>
        <v/>
      </c>
      <c r="B409" s="46"/>
      <c r="C409" s="47"/>
      <c r="D409" s="48"/>
      <c r="E409" s="48"/>
      <c r="F409" s="49"/>
      <c r="G409" s="47"/>
      <c r="H409" s="50"/>
      <c r="I409" s="50"/>
      <c r="J409" s="51" t="str">
        <f aca="false">IF(OR($V409="",$W409=""),"",ROUND(($W409-$V409)/60,2))</f>
        <v/>
      </c>
      <c r="K409" s="52" t="str">
        <f aca="false">IF($F409="","",LEN($F409)-LEN(SUBSTITUTE($F409,",",""))+1)</f>
        <v/>
      </c>
      <c r="L409" s="45" t="str">
        <f aca="false">IF($K409="","","1:"&amp;$K409)</f>
        <v/>
      </c>
      <c r="M409" s="46"/>
      <c r="N409" s="53"/>
      <c r="O409" s="46"/>
      <c r="P409" s="47"/>
      <c r="Q409" s="48"/>
      <c r="R409" s="49"/>
      <c r="S409" s="54" t="str">
        <f aca="false">IF(OR($AC409=0,$U409="",$M409="",$V409="",$W409=""),"",IF(COUNTIFS(m_teacher,$M409,m_date,$U409,m_active,1,m_start,"&lt;"&amp;$W409,m_end,"&gt;"&amp;$V409)&gt;1,"충돌",""))</f>
        <v/>
      </c>
      <c r="T409" s="48"/>
      <c r="U409" s="55" t="str">
        <f aca="false">IF($G409="","",IFERROR(IF(ISNUMBER($G409),IF($G409&gt;19000000,DATE(INT($G409/10000),MOD(INT($G409/100),100),MOD($G409,100)),INT($G409)),IF(LEN(SUBSTITUTE(SUBSTITUTE(SUBSTITUTE(TRIM($G409),"-",""),".",""),"/",""))=8,DATE(VALUE(LEFT(SUBSTITUTE(SUBSTITUTE(SUBSTITUTE(TRIM($G409),"-",""),".",""),"/",""),4)),VALUE(MID(SUBSTITUTE(SUBSTITUTE(SUBSTITUTE(TRIM($G409),"-",""),".",""),"/",""),5,2)),VALUE(RIGHT(SUBSTITUTE(SUBSTITUTE(SUBSTITUTE(TRIM($G409),"-",""),".",""),"/",""),2))),DATEVALUE($G409))),""))</f>
        <v/>
      </c>
      <c r="V409" s="52" t="str">
        <f aca="false">IF($H409="","",IFERROR(IF(IF(ISNUMBER($H409),$H409,IFERROR(TIMEVALUE($H409),VALUE($H409)))&gt;=100,INT(IF(ISNUMBER($H409),$H409,IFERROR(TIMEVALUE($H409),VALUE($H409)))/100)*60+MOD(IF(ISNUMBER($H409),$H409,IFERROR(TIMEVALUE($H409),VALUE($H409))),100),IF(IF(ISNUMBER($H409),$H409,IFERROR(TIMEVALUE($H409),VALUE($H409)))&gt;=1,ROUND(IF(ISNUMBER($H409),$H409,IFERROR(TIMEVALUE($H409),VALUE($H409)))*60,0),ROUND(MOD(IF(ISNUMBER($H409),$H409,IFERROR(TIMEVALUE($H409),VALUE($H409))),1)*1440,0))),""))</f>
        <v/>
      </c>
      <c r="W409" s="52" t="str">
        <f aca="false">IF($I409="","",IFERROR(IF(IF(ISNUMBER($I409),$I409,IFERROR(TIMEVALUE($I409),VALUE($I409)))&gt;=100,INT(IF(ISNUMBER($I409),$I409,IFERROR(TIMEVALUE($I409),VALUE($I409)))/100)*60+MOD(IF(ISNUMBER($I409),$I409,IFERROR(TIMEVALUE($I409),VALUE($I409))),100),IF(IF(ISNUMBER($I409),$I409,IFERROR(TIMEVALUE($I409),VALUE($I409)))&gt;=1,ROUND(IF(ISNUMBER($I409),$I409,IFERROR(TIMEVALUE($I409),VALUE($I409)))*60,0),ROUND(MOD(IF(ISNUMBER($I409),$I409,IFERROR(TIMEVALUE($I409),VALUE($I409))),1)*1440,0))),""))</f>
        <v/>
      </c>
      <c r="X409" s="55" t="str">
        <f aca="false">IF($P409="","",IFERROR(IF(ISNUMBER($P409),IF($P409&gt;19000000,DATE(INT($P409/10000),MOD(INT($P409/100),100),MOD($P409,100)),INT($P409)),IF(LEN(SUBSTITUTE(SUBSTITUTE(SUBSTITUTE(TRIM($P409),"-",""),".",""),"/",""))=8,DATE(VALUE(LEFT(SUBSTITUTE(SUBSTITUTE(SUBSTITUTE(TRIM($P409),"-",""),".",""),"/",""),4)),VALUE(MID(SUBSTITUTE(SUBSTITUTE(SUBSTITUTE(TRIM($P409),"-",""),".",""),"/",""),5,2)),VALUE(RIGHT(SUBSTITUTE(SUBSTITUTE(SUBSTITUTE(TRIM($P409),"-",""),".",""),"/",""),2))),DATEVALUE($P409))),""))</f>
        <v/>
      </c>
      <c r="Y409" s="56" t="str">
        <f aca="false">IF($M409="","",IFERROR(INDEX(강사DB!$D$4:$D$53,MATCH($M409,강사DB!$A$4:$A$53,0)),""))</f>
        <v/>
      </c>
      <c r="Z409" s="56" t="str">
        <f aca="false">IF($B409&lt;&gt;"결제완료","",IF(OR($Y409="",$J409=""),"",$Y409*$J409+MAX(0,N($K409)-1)*설정!$J$7))</f>
        <v/>
      </c>
      <c r="AA409" s="56" t="str">
        <f aca="false">IF(AND($D409&lt;&gt;"",$B409="결제완료"),N($N409),"")</f>
        <v/>
      </c>
      <c r="AB409" s="45" t="str">
        <f aca="false">IF($D409="","",IF($F409&lt;&gt;"",$F409,$D409)&amp;IF($B409="상담중"," (상담)",""))</f>
        <v/>
      </c>
      <c r="AC409" s="45" t="n">
        <f aca="false">IF(AND($D409&lt;&gt;"",OR($B409="결제완료",$B409="상담중")),1,0)</f>
        <v>0</v>
      </c>
      <c r="AD409" s="45" t="n">
        <f aca="false">IF(OR($Z409="",$U409=""),0,IFERROR(IF(COUNTIFS(INDEX(g_grid,0,2*MATCH($M409,강사DB!$A$4:$A$15,0)),"&lt;&gt;",g_s,"&lt;="&amp;$U409,g_e,"&gt;="&amp;$U409)&gt;0,1,0),0))</f>
        <v>0</v>
      </c>
      <c r="AE409" s="48"/>
      <c r="AF409" s="56" t="str">
        <f aca="false">IF(AND($D409&lt;&gt;"",$B409="결제완료",$T409="대여"),설정!$J$5,"")</f>
        <v/>
      </c>
      <c r="AG409" s="54" t="str">
        <f aca="false">IF($D409="","",IF(AND($E409="",$R409=""),$AB409,"☎ "&amp;IF($E409="","-",$E409)&amp;IF($R409&lt;&gt;"","  ※ "&amp;$R409,"")&amp;IF($B409="상담중"," (상담)","")))</f>
        <v/>
      </c>
      <c r="AH409" s="56" t="str">
        <f aca="false">IF(AND($D409&lt;&gt;"",$B409="결제완료",$O409="스마트스토어"),ROUND(N($N409)*설정!$J$6,0),"")</f>
        <v/>
      </c>
      <c r="AI409" s="54" t="str">
        <f aca="false">IF($D409="","",ROW())</f>
        <v/>
      </c>
      <c r="AJ409" s="54" t="n">
        <f aca="false">IF(OR($AC409&lt;&gt;1,$M409=""),0,IF(ISNUMBER(SEARCH("퇴사",IFERROR(INDEX(강사DB!$G$4:$G$53,MATCH($M409,강사DB!$A$4:$A$53,0)),""))),1,0))</f>
        <v>0</v>
      </c>
    </row>
    <row r="410" customFormat="false" ht="15" hidden="false" customHeight="false" outlineLevel="0" collapsed="false">
      <c r="A410" s="45" t="str">
        <f aca="false">IF($D410="","",COUNTA($D$5:$D410))</f>
        <v/>
      </c>
      <c r="B410" s="46"/>
      <c r="C410" s="47"/>
      <c r="D410" s="48"/>
      <c r="E410" s="48"/>
      <c r="F410" s="49"/>
      <c r="G410" s="47"/>
      <c r="H410" s="50"/>
      <c r="I410" s="50"/>
      <c r="J410" s="51" t="str">
        <f aca="false">IF(OR($V410="",$W410=""),"",ROUND(($W410-$V410)/60,2))</f>
        <v/>
      </c>
      <c r="K410" s="52" t="str">
        <f aca="false">IF($F410="","",LEN($F410)-LEN(SUBSTITUTE($F410,",",""))+1)</f>
        <v/>
      </c>
      <c r="L410" s="45" t="str">
        <f aca="false">IF($K410="","","1:"&amp;$K410)</f>
        <v/>
      </c>
      <c r="M410" s="46"/>
      <c r="N410" s="53"/>
      <c r="O410" s="46"/>
      <c r="P410" s="47"/>
      <c r="Q410" s="48"/>
      <c r="R410" s="49"/>
      <c r="S410" s="54" t="str">
        <f aca="false">IF(OR($AC410=0,$U410="",$M410="",$V410="",$W410=""),"",IF(COUNTIFS(m_teacher,$M410,m_date,$U410,m_active,1,m_start,"&lt;"&amp;$W410,m_end,"&gt;"&amp;$V410)&gt;1,"충돌",""))</f>
        <v/>
      </c>
      <c r="T410" s="48"/>
      <c r="U410" s="55" t="str">
        <f aca="false">IF($G410="","",IFERROR(IF(ISNUMBER($G410),IF($G410&gt;19000000,DATE(INT($G410/10000),MOD(INT($G410/100),100),MOD($G410,100)),INT($G410)),IF(LEN(SUBSTITUTE(SUBSTITUTE(SUBSTITUTE(TRIM($G410),"-",""),".",""),"/",""))=8,DATE(VALUE(LEFT(SUBSTITUTE(SUBSTITUTE(SUBSTITUTE(TRIM($G410),"-",""),".",""),"/",""),4)),VALUE(MID(SUBSTITUTE(SUBSTITUTE(SUBSTITUTE(TRIM($G410),"-",""),".",""),"/",""),5,2)),VALUE(RIGHT(SUBSTITUTE(SUBSTITUTE(SUBSTITUTE(TRIM($G410),"-",""),".",""),"/",""),2))),DATEVALUE($G410))),""))</f>
        <v/>
      </c>
      <c r="V410" s="52" t="str">
        <f aca="false">IF($H410="","",IFERROR(IF(IF(ISNUMBER($H410),$H410,IFERROR(TIMEVALUE($H410),VALUE($H410)))&gt;=100,INT(IF(ISNUMBER($H410),$H410,IFERROR(TIMEVALUE($H410),VALUE($H410)))/100)*60+MOD(IF(ISNUMBER($H410),$H410,IFERROR(TIMEVALUE($H410),VALUE($H410))),100),IF(IF(ISNUMBER($H410),$H410,IFERROR(TIMEVALUE($H410),VALUE($H410)))&gt;=1,ROUND(IF(ISNUMBER($H410),$H410,IFERROR(TIMEVALUE($H410),VALUE($H410)))*60,0),ROUND(MOD(IF(ISNUMBER($H410),$H410,IFERROR(TIMEVALUE($H410),VALUE($H410))),1)*1440,0))),""))</f>
        <v/>
      </c>
      <c r="W410" s="52" t="str">
        <f aca="false">IF($I410="","",IFERROR(IF(IF(ISNUMBER($I410),$I410,IFERROR(TIMEVALUE($I410),VALUE($I410)))&gt;=100,INT(IF(ISNUMBER($I410),$I410,IFERROR(TIMEVALUE($I410),VALUE($I410)))/100)*60+MOD(IF(ISNUMBER($I410),$I410,IFERROR(TIMEVALUE($I410),VALUE($I410))),100),IF(IF(ISNUMBER($I410),$I410,IFERROR(TIMEVALUE($I410),VALUE($I410)))&gt;=1,ROUND(IF(ISNUMBER($I410),$I410,IFERROR(TIMEVALUE($I410),VALUE($I410)))*60,0),ROUND(MOD(IF(ISNUMBER($I410),$I410,IFERROR(TIMEVALUE($I410),VALUE($I410))),1)*1440,0))),""))</f>
        <v/>
      </c>
      <c r="X410" s="55" t="str">
        <f aca="false">IF($P410="","",IFERROR(IF(ISNUMBER($P410),IF($P410&gt;19000000,DATE(INT($P410/10000),MOD(INT($P410/100),100),MOD($P410,100)),INT($P410)),IF(LEN(SUBSTITUTE(SUBSTITUTE(SUBSTITUTE(TRIM($P410),"-",""),".",""),"/",""))=8,DATE(VALUE(LEFT(SUBSTITUTE(SUBSTITUTE(SUBSTITUTE(TRIM($P410),"-",""),".",""),"/",""),4)),VALUE(MID(SUBSTITUTE(SUBSTITUTE(SUBSTITUTE(TRIM($P410),"-",""),".",""),"/",""),5,2)),VALUE(RIGHT(SUBSTITUTE(SUBSTITUTE(SUBSTITUTE(TRIM($P410),"-",""),".",""),"/",""),2))),DATEVALUE($P410))),""))</f>
        <v/>
      </c>
      <c r="Y410" s="56" t="str">
        <f aca="false">IF($M410="","",IFERROR(INDEX(강사DB!$D$4:$D$53,MATCH($M410,강사DB!$A$4:$A$53,0)),""))</f>
        <v/>
      </c>
      <c r="Z410" s="56" t="str">
        <f aca="false">IF($B410&lt;&gt;"결제완료","",IF(OR($Y410="",$J410=""),"",$Y410*$J410+MAX(0,N($K410)-1)*설정!$J$7))</f>
        <v/>
      </c>
      <c r="AA410" s="56" t="str">
        <f aca="false">IF(AND($D410&lt;&gt;"",$B410="결제완료"),N($N410),"")</f>
        <v/>
      </c>
      <c r="AB410" s="45" t="str">
        <f aca="false">IF($D410="","",IF($F410&lt;&gt;"",$F410,$D410)&amp;IF($B410="상담중"," (상담)",""))</f>
        <v/>
      </c>
      <c r="AC410" s="45" t="n">
        <f aca="false">IF(AND($D410&lt;&gt;"",OR($B410="결제완료",$B410="상담중")),1,0)</f>
        <v>0</v>
      </c>
      <c r="AD410" s="45" t="n">
        <f aca="false">IF(OR($Z410="",$U410=""),0,IFERROR(IF(COUNTIFS(INDEX(g_grid,0,2*MATCH($M410,강사DB!$A$4:$A$15,0)),"&lt;&gt;",g_s,"&lt;="&amp;$U410,g_e,"&gt;="&amp;$U410)&gt;0,1,0),0))</f>
        <v>0</v>
      </c>
      <c r="AE410" s="48"/>
      <c r="AF410" s="56" t="str">
        <f aca="false">IF(AND($D410&lt;&gt;"",$B410="결제완료",$T410="대여"),설정!$J$5,"")</f>
        <v/>
      </c>
      <c r="AG410" s="54" t="str">
        <f aca="false">IF($D410="","",IF(AND($E410="",$R410=""),$AB410,"☎ "&amp;IF($E410="","-",$E410)&amp;IF($R410&lt;&gt;"","  ※ "&amp;$R410,"")&amp;IF($B410="상담중"," (상담)","")))</f>
        <v/>
      </c>
      <c r="AH410" s="56" t="str">
        <f aca="false">IF(AND($D410&lt;&gt;"",$B410="결제완료",$O410="스마트스토어"),ROUND(N($N410)*설정!$J$6,0),"")</f>
        <v/>
      </c>
      <c r="AI410" s="54" t="str">
        <f aca="false">IF($D410="","",ROW())</f>
        <v/>
      </c>
      <c r="AJ410" s="54" t="n">
        <f aca="false">IF(OR($AC410&lt;&gt;1,$M410=""),0,IF(ISNUMBER(SEARCH("퇴사",IFERROR(INDEX(강사DB!$G$4:$G$53,MATCH($M410,강사DB!$A$4:$A$53,0)),""))),1,0))</f>
        <v>0</v>
      </c>
    </row>
    <row r="411" customFormat="false" ht="15" hidden="false" customHeight="false" outlineLevel="0" collapsed="false">
      <c r="A411" s="45" t="str">
        <f aca="false">IF($D411="","",COUNTA($D$5:$D411))</f>
        <v/>
      </c>
      <c r="B411" s="46"/>
      <c r="C411" s="47"/>
      <c r="D411" s="48"/>
      <c r="E411" s="48"/>
      <c r="F411" s="49"/>
      <c r="G411" s="47"/>
      <c r="H411" s="50"/>
      <c r="I411" s="50"/>
      <c r="J411" s="51" t="str">
        <f aca="false">IF(OR($V411="",$W411=""),"",ROUND(($W411-$V411)/60,2))</f>
        <v/>
      </c>
      <c r="K411" s="52" t="str">
        <f aca="false">IF($F411="","",LEN($F411)-LEN(SUBSTITUTE($F411,",",""))+1)</f>
        <v/>
      </c>
      <c r="L411" s="45" t="str">
        <f aca="false">IF($K411="","","1:"&amp;$K411)</f>
        <v/>
      </c>
      <c r="M411" s="46"/>
      <c r="N411" s="53"/>
      <c r="O411" s="46"/>
      <c r="P411" s="47"/>
      <c r="Q411" s="48"/>
      <c r="R411" s="49"/>
      <c r="S411" s="54" t="str">
        <f aca="false">IF(OR($AC411=0,$U411="",$M411="",$V411="",$W411=""),"",IF(COUNTIFS(m_teacher,$M411,m_date,$U411,m_active,1,m_start,"&lt;"&amp;$W411,m_end,"&gt;"&amp;$V411)&gt;1,"충돌",""))</f>
        <v/>
      </c>
      <c r="T411" s="48"/>
      <c r="U411" s="55" t="str">
        <f aca="false">IF($G411="","",IFERROR(IF(ISNUMBER($G411),IF($G411&gt;19000000,DATE(INT($G411/10000),MOD(INT($G411/100),100),MOD($G411,100)),INT($G411)),IF(LEN(SUBSTITUTE(SUBSTITUTE(SUBSTITUTE(TRIM($G411),"-",""),".",""),"/",""))=8,DATE(VALUE(LEFT(SUBSTITUTE(SUBSTITUTE(SUBSTITUTE(TRIM($G411),"-",""),".",""),"/",""),4)),VALUE(MID(SUBSTITUTE(SUBSTITUTE(SUBSTITUTE(TRIM($G411),"-",""),".",""),"/",""),5,2)),VALUE(RIGHT(SUBSTITUTE(SUBSTITUTE(SUBSTITUTE(TRIM($G411),"-",""),".",""),"/",""),2))),DATEVALUE($G411))),""))</f>
        <v/>
      </c>
      <c r="V411" s="52" t="str">
        <f aca="false">IF($H411="","",IFERROR(IF(IF(ISNUMBER($H411),$H411,IFERROR(TIMEVALUE($H411),VALUE($H411)))&gt;=100,INT(IF(ISNUMBER($H411),$H411,IFERROR(TIMEVALUE($H411),VALUE($H411)))/100)*60+MOD(IF(ISNUMBER($H411),$H411,IFERROR(TIMEVALUE($H411),VALUE($H411))),100),IF(IF(ISNUMBER($H411),$H411,IFERROR(TIMEVALUE($H411),VALUE($H411)))&gt;=1,ROUND(IF(ISNUMBER($H411),$H411,IFERROR(TIMEVALUE($H411),VALUE($H411)))*60,0),ROUND(MOD(IF(ISNUMBER($H411),$H411,IFERROR(TIMEVALUE($H411),VALUE($H411))),1)*1440,0))),""))</f>
        <v/>
      </c>
      <c r="W411" s="52" t="str">
        <f aca="false">IF($I411="","",IFERROR(IF(IF(ISNUMBER($I411),$I411,IFERROR(TIMEVALUE($I411),VALUE($I411)))&gt;=100,INT(IF(ISNUMBER($I411),$I411,IFERROR(TIMEVALUE($I411),VALUE($I411)))/100)*60+MOD(IF(ISNUMBER($I411),$I411,IFERROR(TIMEVALUE($I411),VALUE($I411))),100),IF(IF(ISNUMBER($I411),$I411,IFERROR(TIMEVALUE($I411),VALUE($I411)))&gt;=1,ROUND(IF(ISNUMBER($I411),$I411,IFERROR(TIMEVALUE($I411),VALUE($I411)))*60,0),ROUND(MOD(IF(ISNUMBER($I411),$I411,IFERROR(TIMEVALUE($I411),VALUE($I411))),1)*1440,0))),""))</f>
        <v/>
      </c>
      <c r="X411" s="55" t="str">
        <f aca="false">IF($P411="","",IFERROR(IF(ISNUMBER($P411),IF($P411&gt;19000000,DATE(INT($P411/10000),MOD(INT($P411/100),100),MOD($P411,100)),INT($P411)),IF(LEN(SUBSTITUTE(SUBSTITUTE(SUBSTITUTE(TRIM($P411),"-",""),".",""),"/",""))=8,DATE(VALUE(LEFT(SUBSTITUTE(SUBSTITUTE(SUBSTITUTE(TRIM($P411),"-",""),".",""),"/",""),4)),VALUE(MID(SUBSTITUTE(SUBSTITUTE(SUBSTITUTE(TRIM($P411),"-",""),".",""),"/",""),5,2)),VALUE(RIGHT(SUBSTITUTE(SUBSTITUTE(SUBSTITUTE(TRIM($P411),"-",""),".",""),"/",""),2))),DATEVALUE($P411))),""))</f>
        <v/>
      </c>
      <c r="Y411" s="56" t="str">
        <f aca="false">IF($M411="","",IFERROR(INDEX(강사DB!$D$4:$D$53,MATCH($M411,강사DB!$A$4:$A$53,0)),""))</f>
        <v/>
      </c>
      <c r="Z411" s="56" t="str">
        <f aca="false">IF($B411&lt;&gt;"결제완료","",IF(OR($Y411="",$J411=""),"",$Y411*$J411+MAX(0,N($K411)-1)*설정!$J$7))</f>
        <v/>
      </c>
      <c r="AA411" s="56" t="str">
        <f aca="false">IF(AND($D411&lt;&gt;"",$B411="결제완료"),N($N411),"")</f>
        <v/>
      </c>
      <c r="AB411" s="45" t="str">
        <f aca="false">IF($D411="","",IF($F411&lt;&gt;"",$F411,$D411)&amp;IF($B411="상담중"," (상담)",""))</f>
        <v/>
      </c>
      <c r="AC411" s="45" t="n">
        <f aca="false">IF(AND($D411&lt;&gt;"",OR($B411="결제완료",$B411="상담중")),1,0)</f>
        <v>0</v>
      </c>
      <c r="AD411" s="45" t="n">
        <f aca="false">IF(OR($Z411="",$U411=""),0,IFERROR(IF(COUNTIFS(INDEX(g_grid,0,2*MATCH($M411,강사DB!$A$4:$A$15,0)),"&lt;&gt;",g_s,"&lt;="&amp;$U411,g_e,"&gt;="&amp;$U411)&gt;0,1,0),0))</f>
        <v>0</v>
      </c>
      <c r="AE411" s="48"/>
      <c r="AF411" s="56" t="str">
        <f aca="false">IF(AND($D411&lt;&gt;"",$B411="결제완료",$T411="대여"),설정!$J$5,"")</f>
        <v/>
      </c>
      <c r="AG411" s="54" t="str">
        <f aca="false">IF($D411="","",IF(AND($E411="",$R411=""),$AB411,"☎ "&amp;IF($E411="","-",$E411)&amp;IF($R411&lt;&gt;"","  ※ "&amp;$R411,"")&amp;IF($B411="상담중"," (상담)","")))</f>
        <v/>
      </c>
      <c r="AH411" s="56" t="str">
        <f aca="false">IF(AND($D411&lt;&gt;"",$B411="결제완료",$O411="스마트스토어"),ROUND(N($N411)*설정!$J$6,0),"")</f>
        <v/>
      </c>
      <c r="AI411" s="54" t="str">
        <f aca="false">IF($D411="","",ROW())</f>
        <v/>
      </c>
      <c r="AJ411" s="54" t="n">
        <f aca="false">IF(OR($AC411&lt;&gt;1,$M411=""),0,IF(ISNUMBER(SEARCH("퇴사",IFERROR(INDEX(강사DB!$G$4:$G$53,MATCH($M411,강사DB!$A$4:$A$53,0)),""))),1,0))</f>
        <v>0</v>
      </c>
    </row>
    <row r="412" customFormat="false" ht="15" hidden="false" customHeight="false" outlineLevel="0" collapsed="false">
      <c r="A412" s="45" t="str">
        <f aca="false">IF($D412="","",COUNTA($D$5:$D412))</f>
        <v/>
      </c>
      <c r="B412" s="46"/>
      <c r="C412" s="47"/>
      <c r="D412" s="48"/>
      <c r="E412" s="48"/>
      <c r="F412" s="49"/>
      <c r="G412" s="47"/>
      <c r="H412" s="50"/>
      <c r="I412" s="50"/>
      <c r="J412" s="51" t="str">
        <f aca="false">IF(OR($V412="",$W412=""),"",ROUND(($W412-$V412)/60,2))</f>
        <v/>
      </c>
      <c r="K412" s="52" t="str">
        <f aca="false">IF($F412="","",LEN($F412)-LEN(SUBSTITUTE($F412,",",""))+1)</f>
        <v/>
      </c>
      <c r="L412" s="45" t="str">
        <f aca="false">IF($K412="","","1:"&amp;$K412)</f>
        <v/>
      </c>
      <c r="M412" s="46"/>
      <c r="N412" s="53"/>
      <c r="O412" s="46"/>
      <c r="P412" s="47"/>
      <c r="Q412" s="48"/>
      <c r="R412" s="49"/>
      <c r="S412" s="54" t="str">
        <f aca="false">IF(OR($AC412=0,$U412="",$M412="",$V412="",$W412=""),"",IF(COUNTIFS(m_teacher,$M412,m_date,$U412,m_active,1,m_start,"&lt;"&amp;$W412,m_end,"&gt;"&amp;$V412)&gt;1,"충돌",""))</f>
        <v/>
      </c>
      <c r="T412" s="48"/>
      <c r="U412" s="55" t="str">
        <f aca="false">IF($G412="","",IFERROR(IF(ISNUMBER($G412),IF($G412&gt;19000000,DATE(INT($G412/10000),MOD(INT($G412/100),100),MOD($G412,100)),INT($G412)),IF(LEN(SUBSTITUTE(SUBSTITUTE(SUBSTITUTE(TRIM($G412),"-",""),".",""),"/",""))=8,DATE(VALUE(LEFT(SUBSTITUTE(SUBSTITUTE(SUBSTITUTE(TRIM($G412),"-",""),".",""),"/",""),4)),VALUE(MID(SUBSTITUTE(SUBSTITUTE(SUBSTITUTE(TRIM($G412),"-",""),".",""),"/",""),5,2)),VALUE(RIGHT(SUBSTITUTE(SUBSTITUTE(SUBSTITUTE(TRIM($G412),"-",""),".",""),"/",""),2))),DATEVALUE($G412))),""))</f>
        <v/>
      </c>
      <c r="V412" s="52" t="str">
        <f aca="false">IF($H412="","",IFERROR(IF(IF(ISNUMBER($H412),$H412,IFERROR(TIMEVALUE($H412),VALUE($H412)))&gt;=100,INT(IF(ISNUMBER($H412),$H412,IFERROR(TIMEVALUE($H412),VALUE($H412)))/100)*60+MOD(IF(ISNUMBER($H412),$H412,IFERROR(TIMEVALUE($H412),VALUE($H412))),100),IF(IF(ISNUMBER($H412),$H412,IFERROR(TIMEVALUE($H412),VALUE($H412)))&gt;=1,ROUND(IF(ISNUMBER($H412),$H412,IFERROR(TIMEVALUE($H412),VALUE($H412)))*60,0),ROUND(MOD(IF(ISNUMBER($H412),$H412,IFERROR(TIMEVALUE($H412),VALUE($H412))),1)*1440,0))),""))</f>
        <v/>
      </c>
      <c r="W412" s="52" t="str">
        <f aca="false">IF($I412="","",IFERROR(IF(IF(ISNUMBER($I412),$I412,IFERROR(TIMEVALUE($I412),VALUE($I412)))&gt;=100,INT(IF(ISNUMBER($I412),$I412,IFERROR(TIMEVALUE($I412),VALUE($I412)))/100)*60+MOD(IF(ISNUMBER($I412),$I412,IFERROR(TIMEVALUE($I412),VALUE($I412))),100),IF(IF(ISNUMBER($I412),$I412,IFERROR(TIMEVALUE($I412),VALUE($I412)))&gt;=1,ROUND(IF(ISNUMBER($I412),$I412,IFERROR(TIMEVALUE($I412),VALUE($I412)))*60,0),ROUND(MOD(IF(ISNUMBER($I412),$I412,IFERROR(TIMEVALUE($I412),VALUE($I412))),1)*1440,0))),""))</f>
        <v/>
      </c>
      <c r="X412" s="55" t="str">
        <f aca="false">IF($P412="","",IFERROR(IF(ISNUMBER($P412),IF($P412&gt;19000000,DATE(INT($P412/10000),MOD(INT($P412/100),100),MOD($P412,100)),INT($P412)),IF(LEN(SUBSTITUTE(SUBSTITUTE(SUBSTITUTE(TRIM($P412),"-",""),".",""),"/",""))=8,DATE(VALUE(LEFT(SUBSTITUTE(SUBSTITUTE(SUBSTITUTE(TRIM($P412),"-",""),".",""),"/",""),4)),VALUE(MID(SUBSTITUTE(SUBSTITUTE(SUBSTITUTE(TRIM($P412),"-",""),".",""),"/",""),5,2)),VALUE(RIGHT(SUBSTITUTE(SUBSTITUTE(SUBSTITUTE(TRIM($P412),"-",""),".",""),"/",""),2))),DATEVALUE($P412))),""))</f>
        <v/>
      </c>
      <c r="Y412" s="56" t="str">
        <f aca="false">IF($M412="","",IFERROR(INDEX(강사DB!$D$4:$D$53,MATCH($M412,강사DB!$A$4:$A$53,0)),""))</f>
        <v/>
      </c>
      <c r="Z412" s="56" t="str">
        <f aca="false">IF($B412&lt;&gt;"결제완료","",IF(OR($Y412="",$J412=""),"",$Y412*$J412+MAX(0,N($K412)-1)*설정!$J$7))</f>
        <v/>
      </c>
      <c r="AA412" s="56" t="str">
        <f aca="false">IF(AND($D412&lt;&gt;"",$B412="결제완료"),N($N412),"")</f>
        <v/>
      </c>
      <c r="AB412" s="45" t="str">
        <f aca="false">IF($D412="","",IF($F412&lt;&gt;"",$F412,$D412)&amp;IF($B412="상담중"," (상담)",""))</f>
        <v/>
      </c>
      <c r="AC412" s="45" t="n">
        <f aca="false">IF(AND($D412&lt;&gt;"",OR($B412="결제완료",$B412="상담중")),1,0)</f>
        <v>0</v>
      </c>
      <c r="AD412" s="45" t="n">
        <f aca="false">IF(OR($Z412="",$U412=""),0,IFERROR(IF(COUNTIFS(INDEX(g_grid,0,2*MATCH($M412,강사DB!$A$4:$A$15,0)),"&lt;&gt;",g_s,"&lt;="&amp;$U412,g_e,"&gt;="&amp;$U412)&gt;0,1,0),0))</f>
        <v>0</v>
      </c>
      <c r="AE412" s="48"/>
      <c r="AF412" s="56" t="str">
        <f aca="false">IF(AND($D412&lt;&gt;"",$B412="결제완료",$T412="대여"),설정!$J$5,"")</f>
        <v/>
      </c>
      <c r="AG412" s="54" t="str">
        <f aca="false">IF($D412="","",IF(AND($E412="",$R412=""),$AB412,"☎ "&amp;IF($E412="","-",$E412)&amp;IF($R412&lt;&gt;"","  ※ "&amp;$R412,"")&amp;IF($B412="상담중"," (상담)","")))</f>
        <v/>
      </c>
      <c r="AH412" s="56" t="str">
        <f aca="false">IF(AND($D412&lt;&gt;"",$B412="결제완료",$O412="스마트스토어"),ROUND(N($N412)*설정!$J$6,0),"")</f>
        <v/>
      </c>
      <c r="AI412" s="54" t="str">
        <f aca="false">IF($D412="","",ROW())</f>
        <v/>
      </c>
      <c r="AJ412" s="54" t="n">
        <f aca="false">IF(OR($AC412&lt;&gt;1,$M412=""),0,IF(ISNUMBER(SEARCH("퇴사",IFERROR(INDEX(강사DB!$G$4:$G$53,MATCH($M412,강사DB!$A$4:$A$53,0)),""))),1,0))</f>
        <v>0</v>
      </c>
    </row>
    <row r="413" customFormat="false" ht="15" hidden="false" customHeight="false" outlineLevel="0" collapsed="false">
      <c r="A413" s="45" t="str">
        <f aca="false">IF($D413="","",COUNTA($D$5:$D413))</f>
        <v/>
      </c>
      <c r="B413" s="46"/>
      <c r="C413" s="47"/>
      <c r="D413" s="48"/>
      <c r="E413" s="48"/>
      <c r="F413" s="49"/>
      <c r="G413" s="47"/>
      <c r="H413" s="50"/>
      <c r="I413" s="50"/>
      <c r="J413" s="51" t="str">
        <f aca="false">IF(OR($V413="",$W413=""),"",ROUND(($W413-$V413)/60,2))</f>
        <v/>
      </c>
      <c r="K413" s="52" t="str">
        <f aca="false">IF($F413="","",LEN($F413)-LEN(SUBSTITUTE($F413,",",""))+1)</f>
        <v/>
      </c>
      <c r="L413" s="45" t="str">
        <f aca="false">IF($K413="","","1:"&amp;$K413)</f>
        <v/>
      </c>
      <c r="M413" s="46"/>
      <c r="N413" s="53"/>
      <c r="O413" s="46"/>
      <c r="P413" s="47"/>
      <c r="Q413" s="48"/>
      <c r="R413" s="49"/>
      <c r="S413" s="54" t="str">
        <f aca="false">IF(OR($AC413=0,$U413="",$M413="",$V413="",$W413=""),"",IF(COUNTIFS(m_teacher,$M413,m_date,$U413,m_active,1,m_start,"&lt;"&amp;$W413,m_end,"&gt;"&amp;$V413)&gt;1,"충돌",""))</f>
        <v/>
      </c>
      <c r="T413" s="48"/>
      <c r="U413" s="55" t="str">
        <f aca="false">IF($G413="","",IFERROR(IF(ISNUMBER($G413),IF($G413&gt;19000000,DATE(INT($G413/10000),MOD(INT($G413/100),100),MOD($G413,100)),INT($G413)),IF(LEN(SUBSTITUTE(SUBSTITUTE(SUBSTITUTE(TRIM($G413),"-",""),".",""),"/",""))=8,DATE(VALUE(LEFT(SUBSTITUTE(SUBSTITUTE(SUBSTITUTE(TRIM($G413),"-",""),".",""),"/",""),4)),VALUE(MID(SUBSTITUTE(SUBSTITUTE(SUBSTITUTE(TRIM($G413),"-",""),".",""),"/",""),5,2)),VALUE(RIGHT(SUBSTITUTE(SUBSTITUTE(SUBSTITUTE(TRIM($G413),"-",""),".",""),"/",""),2))),DATEVALUE($G413))),""))</f>
        <v/>
      </c>
      <c r="V413" s="52" t="str">
        <f aca="false">IF($H413="","",IFERROR(IF(IF(ISNUMBER($H413),$H413,IFERROR(TIMEVALUE($H413),VALUE($H413)))&gt;=100,INT(IF(ISNUMBER($H413),$H413,IFERROR(TIMEVALUE($H413),VALUE($H413)))/100)*60+MOD(IF(ISNUMBER($H413),$H413,IFERROR(TIMEVALUE($H413),VALUE($H413))),100),IF(IF(ISNUMBER($H413),$H413,IFERROR(TIMEVALUE($H413),VALUE($H413)))&gt;=1,ROUND(IF(ISNUMBER($H413),$H413,IFERROR(TIMEVALUE($H413),VALUE($H413)))*60,0),ROUND(MOD(IF(ISNUMBER($H413),$H413,IFERROR(TIMEVALUE($H413),VALUE($H413))),1)*1440,0))),""))</f>
        <v/>
      </c>
      <c r="W413" s="52" t="str">
        <f aca="false">IF($I413="","",IFERROR(IF(IF(ISNUMBER($I413),$I413,IFERROR(TIMEVALUE($I413),VALUE($I413)))&gt;=100,INT(IF(ISNUMBER($I413),$I413,IFERROR(TIMEVALUE($I413),VALUE($I413)))/100)*60+MOD(IF(ISNUMBER($I413),$I413,IFERROR(TIMEVALUE($I413),VALUE($I413))),100),IF(IF(ISNUMBER($I413),$I413,IFERROR(TIMEVALUE($I413),VALUE($I413)))&gt;=1,ROUND(IF(ISNUMBER($I413),$I413,IFERROR(TIMEVALUE($I413),VALUE($I413)))*60,0),ROUND(MOD(IF(ISNUMBER($I413),$I413,IFERROR(TIMEVALUE($I413),VALUE($I413))),1)*1440,0))),""))</f>
        <v/>
      </c>
      <c r="X413" s="55" t="str">
        <f aca="false">IF($P413="","",IFERROR(IF(ISNUMBER($P413),IF($P413&gt;19000000,DATE(INT($P413/10000),MOD(INT($P413/100),100),MOD($P413,100)),INT($P413)),IF(LEN(SUBSTITUTE(SUBSTITUTE(SUBSTITUTE(TRIM($P413),"-",""),".",""),"/",""))=8,DATE(VALUE(LEFT(SUBSTITUTE(SUBSTITUTE(SUBSTITUTE(TRIM($P413),"-",""),".",""),"/",""),4)),VALUE(MID(SUBSTITUTE(SUBSTITUTE(SUBSTITUTE(TRIM($P413),"-",""),".",""),"/",""),5,2)),VALUE(RIGHT(SUBSTITUTE(SUBSTITUTE(SUBSTITUTE(TRIM($P413),"-",""),".",""),"/",""),2))),DATEVALUE($P413))),""))</f>
        <v/>
      </c>
      <c r="Y413" s="56" t="str">
        <f aca="false">IF($M413="","",IFERROR(INDEX(강사DB!$D$4:$D$53,MATCH($M413,강사DB!$A$4:$A$53,0)),""))</f>
        <v/>
      </c>
      <c r="Z413" s="56" t="str">
        <f aca="false">IF($B413&lt;&gt;"결제완료","",IF(OR($Y413="",$J413=""),"",$Y413*$J413+MAX(0,N($K413)-1)*설정!$J$7))</f>
        <v/>
      </c>
      <c r="AA413" s="56" t="str">
        <f aca="false">IF(AND($D413&lt;&gt;"",$B413="결제완료"),N($N413),"")</f>
        <v/>
      </c>
      <c r="AB413" s="45" t="str">
        <f aca="false">IF($D413="","",IF($F413&lt;&gt;"",$F413,$D413)&amp;IF($B413="상담중"," (상담)",""))</f>
        <v/>
      </c>
      <c r="AC413" s="45" t="n">
        <f aca="false">IF(AND($D413&lt;&gt;"",OR($B413="결제완료",$B413="상담중")),1,0)</f>
        <v>0</v>
      </c>
      <c r="AD413" s="45" t="n">
        <f aca="false">IF(OR($Z413="",$U413=""),0,IFERROR(IF(COUNTIFS(INDEX(g_grid,0,2*MATCH($M413,강사DB!$A$4:$A$15,0)),"&lt;&gt;",g_s,"&lt;="&amp;$U413,g_e,"&gt;="&amp;$U413)&gt;0,1,0),0))</f>
        <v>0</v>
      </c>
      <c r="AE413" s="48"/>
      <c r="AF413" s="56" t="str">
        <f aca="false">IF(AND($D413&lt;&gt;"",$B413="결제완료",$T413="대여"),설정!$J$5,"")</f>
        <v/>
      </c>
      <c r="AG413" s="54" t="str">
        <f aca="false">IF($D413="","",IF(AND($E413="",$R413=""),$AB413,"☎ "&amp;IF($E413="","-",$E413)&amp;IF($R413&lt;&gt;"","  ※ "&amp;$R413,"")&amp;IF($B413="상담중"," (상담)","")))</f>
        <v/>
      </c>
      <c r="AH413" s="56" t="str">
        <f aca="false">IF(AND($D413&lt;&gt;"",$B413="결제완료",$O413="스마트스토어"),ROUND(N($N413)*설정!$J$6,0),"")</f>
        <v/>
      </c>
      <c r="AI413" s="54" t="str">
        <f aca="false">IF($D413="","",ROW())</f>
        <v/>
      </c>
      <c r="AJ413" s="54" t="n">
        <f aca="false">IF(OR($AC413&lt;&gt;1,$M413=""),0,IF(ISNUMBER(SEARCH("퇴사",IFERROR(INDEX(강사DB!$G$4:$G$53,MATCH($M413,강사DB!$A$4:$A$53,0)),""))),1,0))</f>
        <v>0</v>
      </c>
    </row>
    <row r="414" customFormat="false" ht="15" hidden="false" customHeight="false" outlineLevel="0" collapsed="false">
      <c r="A414" s="45" t="str">
        <f aca="false">IF($D414="","",COUNTA($D$5:$D414))</f>
        <v/>
      </c>
      <c r="B414" s="46"/>
      <c r="C414" s="47"/>
      <c r="D414" s="48"/>
      <c r="E414" s="48"/>
      <c r="F414" s="49"/>
      <c r="G414" s="47"/>
      <c r="H414" s="50"/>
      <c r="I414" s="50"/>
      <c r="J414" s="51" t="str">
        <f aca="false">IF(OR($V414="",$W414=""),"",ROUND(($W414-$V414)/60,2))</f>
        <v/>
      </c>
      <c r="K414" s="52" t="str">
        <f aca="false">IF($F414="","",LEN($F414)-LEN(SUBSTITUTE($F414,",",""))+1)</f>
        <v/>
      </c>
      <c r="L414" s="45" t="str">
        <f aca="false">IF($K414="","","1:"&amp;$K414)</f>
        <v/>
      </c>
      <c r="M414" s="46"/>
      <c r="N414" s="53"/>
      <c r="O414" s="46"/>
      <c r="P414" s="47"/>
      <c r="Q414" s="48"/>
      <c r="R414" s="49"/>
      <c r="S414" s="54" t="str">
        <f aca="false">IF(OR($AC414=0,$U414="",$M414="",$V414="",$W414=""),"",IF(COUNTIFS(m_teacher,$M414,m_date,$U414,m_active,1,m_start,"&lt;"&amp;$W414,m_end,"&gt;"&amp;$V414)&gt;1,"충돌",""))</f>
        <v/>
      </c>
      <c r="T414" s="48"/>
      <c r="U414" s="55" t="str">
        <f aca="false">IF($G414="","",IFERROR(IF(ISNUMBER($G414),IF($G414&gt;19000000,DATE(INT($G414/10000),MOD(INT($G414/100),100),MOD($G414,100)),INT($G414)),IF(LEN(SUBSTITUTE(SUBSTITUTE(SUBSTITUTE(TRIM($G414),"-",""),".",""),"/",""))=8,DATE(VALUE(LEFT(SUBSTITUTE(SUBSTITUTE(SUBSTITUTE(TRIM($G414),"-",""),".",""),"/",""),4)),VALUE(MID(SUBSTITUTE(SUBSTITUTE(SUBSTITUTE(TRIM($G414),"-",""),".",""),"/",""),5,2)),VALUE(RIGHT(SUBSTITUTE(SUBSTITUTE(SUBSTITUTE(TRIM($G414),"-",""),".",""),"/",""),2))),DATEVALUE($G414))),""))</f>
        <v/>
      </c>
      <c r="V414" s="52" t="str">
        <f aca="false">IF($H414="","",IFERROR(IF(IF(ISNUMBER($H414),$H414,IFERROR(TIMEVALUE($H414),VALUE($H414)))&gt;=100,INT(IF(ISNUMBER($H414),$H414,IFERROR(TIMEVALUE($H414),VALUE($H414)))/100)*60+MOD(IF(ISNUMBER($H414),$H414,IFERROR(TIMEVALUE($H414),VALUE($H414))),100),IF(IF(ISNUMBER($H414),$H414,IFERROR(TIMEVALUE($H414),VALUE($H414)))&gt;=1,ROUND(IF(ISNUMBER($H414),$H414,IFERROR(TIMEVALUE($H414),VALUE($H414)))*60,0),ROUND(MOD(IF(ISNUMBER($H414),$H414,IFERROR(TIMEVALUE($H414),VALUE($H414))),1)*1440,0))),""))</f>
        <v/>
      </c>
      <c r="W414" s="52" t="str">
        <f aca="false">IF($I414="","",IFERROR(IF(IF(ISNUMBER($I414),$I414,IFERROR(TIMEVALUE($I414),VALUE($I414)))&gt;=100,INT(IF(ISNUMBER($I414),$I414,IFERROR(TIMEVALUE($I414),VALUE($I414)))/100)*60+MOD(IF(ISNUMBER($I414),$I414,IFERROR(TIMEVALUE($I414),VALUE($I414))),100),IF(IF(ISNUMBER($I414),$I414,IFERROR(TIMEVALUE($I414),VALUE($I414)))&gt;=1,ROUND(IF(ISNUMBER($I414),$I414,IFERROR(TIMEVALUE($I414),VALUE($I414)))*60,0),ROUND(MOD(IF(ISNUMBER($I414),$I414,IFERROR(TIMEVALUE($I414),VALUE($I414))),1)*1440,0))),""))</f>
        <v/>
      </c>
      <c r="X414" s="55" t="str">
        <f aca="false">IF($P414="","",IFERROR(IF(ISNUMBER($P414),IF($P414&gt;19000000,DATE(INT($P414/10000),MOD(INT($P414/100),100),MOD($P414,100)),INT($P414)),IF(LEN(SUBSTITUTE(SUBSTITUTE(SUBSTITUTE(TRIM($P414),"-",""),".",""),"/",""))=8,DATE(VALUE(LEFT(SUBSTITUTE(SUBSTITUTE(SUBSTITUTE(TRIM($P414),"-",""),".",""),"/",""),4)),VALUE(MID(SUBSTITUTE(SUBSTITUTE(SUBSTITUTE(TRIM($P414),"-",""),".",""),"/",""),5,2)),VALUE(RIGHT(SUBSTITUTE(SUBSTITUTE(SUBSTITUTE(TRIM($P414),"-",""),".",""),"/",""),2))),DATEVALUE($P414))),""))</f>
        <v/>
      </c>
      <c r="Y414" s="56" t="str">
        <f aca="false">IF($M414="","",IFERROR(INDEX(강사DB!$D$4:$D$53,MATCH($M414,강사DB!$A$4:$A$53,0)),""))</f>
        <v/>
      </c>
      <c r="Z414" s="56" t="str">
        <f aca="false">IF($B414&lt;&gt;"결제완료","",IF(OR($Y414="",$J414=""),"",$Y414*$J414+MAX(0,N($K414)-1)*설정!$J$7))</f>
        <v/>
      </c>
      <c r="AA414" s="56" t="str">
        <f aca="false">IF(AND($D414&lt;&gt;"",$B414="결제완료"),N($N414),"")</f>
        <v/>
      </c>
      <c r="AB414" s="45" t="str">
        <f aca="false">IF($D414="","",IF($F414&lt;&gt;"",$F414,$D414)&amp;IF($B414="상담중"," (상담)",""))</f>
        <v/>
      </c>
      <c r="AC414" s="45" t="n">
        <f aca="false">IF(AND($D414&lt;&gt;"",OR($B414="결제완료",$B414="상담중")),1,0)</f>
        <v>0</v>
      </c>
      <c r="AD414" s="45" t="n">
        <f aca="false">IF(OR($Z414="",$U414=""),0,IFERROR(IF(COUNTIFS(INDEX(g_grid,0,2*MATCH($M414,강사DB!$A$4:$A$15,0)),"&lt;&gt;",g_s,"&lt;="&amp;$U414,g_e,"&gt;="&amp;$U414)&gt;0,1,0),0))</f>
        <v>0</v>
      </c>
      <c r="AE414" s="48"/>
      <c r="AF414" s="56" t="str">
        <f aca="false">IF(AND($D414&lt;&gt;"",$B414="결제완료",$T414="대여"),설정!$J$5,"")</f>
        <v/>
      </c>
      <c r="AG414" s="54" t="str">
        <f aca="false">IF($D414="","",IF(AND($E414="",$R414=""),$AB414,"☎ "&amp;IF($E414="","-",$E414)&amp;IF($R414&lt;&gt;"","  ※ "&amp;$R414,"")&amp;IF($B414="상담중"," (상담)","")))</f>
        <v/>
      </c>
      <c r="AH414" s="56" t="str">
        <f aca="false">IF(AND($D414&lt;&gt;"",$B414="결제완료",$O414="스마트스토어"),ROUND(N($N414)*설정!$J$6,0),"")</f>
        <v/>
      </c>
      <c r="AI414" s="54" t="str">
        <f aca="false">IF($D414="","",ROW())</f>
        <v/>
      </c>
      <c r="AJ414" s="54" t="n">
        <f aca="false">IF(OR($AC414&lt;&gt;1,$M414=""),0,IF(ISNUMBER(SEARCH("퇴사",IFERROR(INDEX(강사DB!$G$4:$G$53,MATCH($M414,강사DB!$A$4:$A$53,0)),""))),1,0))</f>
        <v>0</v>
      </c>
    </row>
    <row r="415" customFormat="false" ht="15" hidden="false" customHeight="false" outlineLevel="0" collapsed="false">
      <c r="A415" s="45" t="str">
        <f aca="false">IF($D415="","",COUNTA($D$5:$D415))</f>
        <v/>
      </c>
      <c r="B415" s="46"/>
      <c r="C415" s="47"/>
      <c r="D415" s="48"/>
      <c r="E415" s="48"/>
      <c r="F415" s="49"/>
      <c r="G415" s="47"/>
      <c r="H415" s="50"/>
      <c r="I415" s="50"/>
      <c r="J415" s="51" t="str">
        <f aca="false">IF(OR($V415="",$W415=""),"",ROUND(($W415-$V415)/60,2))</f>
        <v/>
      </c>
      <c r="K415" s="52" t="str">
        <f aca="false">IF($F415="","",LEN($F415)-LEN(SUBSTITUTE($F415,",",""))+1)</f>
        <v/>
      </c>
      <c r="L415" s="45" t="str">
        <f aca="false">IF($K415="","","1:"&amp;$K415)</f>
        <v/>
      </c>
      <c r="M415" s="46"/>
      <c r="N415" s="53"/>
      <c r="O415" s="46"/>
      <c r="P415" s="47"/>
      <c r="Q415" s="48"/>
      <c r="R415" s="49"/>
      <c r="S415" s="54" t="str">
        <f aca="false">IF(OR($AC415=0,$U415="",$M415="",$V415="",$W415=""),"",IF(COUNTIFS(m_teacher,$M415,m_date,$U415,m_active,1,m_start,"&lt;"&amp;$W415,m_end,"&gt;"&amp;$V415)&gt;1,"충돌",""))</f>
        <v/>
      </c>
      <c r="T415" s="48"/>
      <c r="U415" s="55" t="str">
        <f aca="false">IF($G415="","",IFERROR(IF(ISNUMBER($G415),IF($G415&gt;19000000,DATE(INT($G415/10000),MOD(INT($G415/100),100),MOD($G415,100)),INT($G415)),IF(LEN(SUBSTITUTE(SUBSTITUTE(SUBSTITUTE(TRIM($G415),"-",""),".",""),"/",""))=8,DATE(VALUE(LEFT(SUBSTITUTE(SUBSTITUTE(SUBSTITUTE(TRIM($G415),"-",""),".",""),"/",""),4)),VALUE(MID(SUBSTITUTE(SUBSTITUTE(SUBSTITUTE(TRIM($G415),"-",""),".",""),"/",""),5,2)),VALUE(RIGHT(SUBSTITUTE(SUBSTITUTE(SUBSTITUTE(TRIM($G415),"-",""),".",""),"/",""),2))),DATEVALUE($G415))),""))</f>
        <v/>
      </c>
      <c r="V415" s="52" t="str">
        <f aca="false">IF($H415="","",IFERROR(IF(IF(ISNUMBER($H415),$H415,IFERROR(TIMEVALUE($H415),VALUE($H415)))&gt;=100,INT(IF(ISNUMBER($H415),$H415,IFERROR(TIMEVALUE($H415),VALUE($H415)))/100)*60+MOD(IF(ISNUMBER($H415),$H415,IFERROR(TIMEVALUE($H415),VALUE($H415))),100),IF(IF(ISNUMBER($H415),$H415,IFERROR(TIMEVALUE($H415),VALUE($H415)))&gt;=1,ROUND(IF(ISNUMBER($H415),$H415,IFERROR(TIMEVALUE($H415),VALUE($H415)))*60,0),ROUND(MOD(IF(ISNUMBER($H415),$H415,IFERROR(TIMEVALUE($H415),VALUE($H415))),1)*1440,0))),""))</f>
        <v/>
      </c>
      <c r="W415" s="52" t="str">
        <f aca="false">IF($I415="","",IFERROR(IF(IF(ISNUMBER($I415),$I415,IFERROR(TIMEVALUE($I415),VALUE($I415)))&gt;=100,INT(IF(ISNUMBER($I415),$I415,IFERROR(TIMEVALUE($I415),VALUE($I415)))/100)*60+MOD(IF(ISNUMBER($I415),$I415,IFERROR(TIMEVALUE($I415),VALUE($I415))),100),IF(IF(ISNUMBER($I415),$I415,IFERROR(TIMEVALUE($I415),VALUE($I415)))&gt;=1,ROUND(IF(ISNUMBER($I415),$I415,IFERROR(TIMEVALUE($I415),VALUE($I415)))*60,0),ROUND(MOD(IF(ISNUMBER($I415),$I415,IFERROR(TIMEVALUE($I415),VALUE($I415))),1)*1440,0))),""))</f>
        <v/>
      </c>
      <c r="X415" s="55" t="str">
        <f aca="false">IF($P415="","",IFERROR(IF(ISNUMBER($P415),IF($P415&gt;19000000,DATE(INT($P415/10000),MOD(INT($P415/100),100),MOD($P415,100)),INT($P415)),IF(LEN(SUBSTITUTE(SUBSTITUTE(SUBSTITUTE(TRIM($P415),"-",""),".",""),"/",""))=8,DATE(VALUE(LEFT(SUBSTITUTE(SUBSTITUTE(SUBSTITUTE(TRIM($P415),"-",""),".",""),"/",""),4)),VALUE(MID(SUBSTITUTE(SUBSTITUTE(SUBSTITUTE(TRIM($P415),"-",""),".",""),"/",""),5,2)),VALUE(RIGHT(SUBSTITUTE(SUBSTITUTE(SUBSTITUTE(TRIM($P415),"-",""),".",""),"/",""),2))),DATEVALUE($P415))),""))</f>
        <v/>
      </c>
      <c r="Y415" s="56" t="str">
        <f aca="false">IF($M415="","",IFERROR(INDEX(강사DB!$D$4:$D$53,MATCH($M415,강사DB!$A$4:$A$53,0)),""))</f>
        <v/>
      </c>
      <c r="Z415" s="56" t="str">
        <f aca="false">IF($B415&lt;&gt;"결제완료","",IF(OR($Y415="",$J415=""),"",$Y415*$J415+MAX(0,N($K415)-1)*설정!$J$7))</f>
        <v/>
      </c>
      <c r="AA415" s="56" t="str">
        <f aca="false">IF(AND($D415&lt;&gt;"",$B415="결제완료"),N($N415),"")</f>
        <v/>
      </c>
      <c r="AB415" s="45" t="str">
        <f aca="false">IF($D415="","",IF($F415&lt;&gt;"",$F415,$D415)&amp;IF($B415="상담중"," (상담)",""))</f>
        <v/>
      </c>
      <c r="AC415" s="45" t="n">
        <f aca="false">IF(AND($D415&lt;&gt;"",OR($B415="결제완료",$B415="상담중")),1,0)</f>
        <v>0</v>
      </c>
      <c r="AD415" s="45" t="n">
        <f aca="false">IF(OR($Z415="",$U415=""),0,IFERROR(IF(COUNTIFS(INDEX(g_grid,0,2*MATCH($M415,강사DB!$A$4:$A$15,0)),"&lt;&gt;",g_s,"&lt;="&amp;$U415,g_e,"&gt;="&amp;$U415)&gt;0,1,0),0))</f>
        <v>0</v>
      </c>
      <c r="AE415" s="48"/>
      <c r="AF415" s="56" t="str">
        <f aca="false">IF(AND($D415&lt;&gt;"",$B415="결제완료",$T415="대여"),설정!$J$5,"")</f>
        <v/>
      </c>
      <c r="AG415" s="54" t="str">
        <f aca="false">IF($D415="","",IF(AND($E415="",$R415=""),$AB415,"☎ "&amp;IF($E415="","-",$E415)&amp;IF($R415&lt;&gt;"","  ※ "&amp;$R415,"")&amp;IF($B415="상담중"," (상담)","")))</f>
        <v/>
      </c>
      <c r="AH415" s="56" t="str">
        <f aca="false">IF(AND($D415&lt;&gt;"",$B415="결제완료",$O415="스마트스토어"),ROUND(N($N415)*설정!$J$6,0),"")</f>
        <v/>
      </c>
      <c r="AI415" s="54" t="str">
        <f aca="false">IF($D415="","",ROW())</f>
        <v/>
      </c>
      <c r="AJ415" s="54" t="n">
        <f aca="false">IF(OR($AC415&lt;&gt;1,$M415=""),0,IF(ISNUMBER(SEARCH("퇴사",IFERROR(INDEX(강사DB!$G$4:$G$53,MATCH($M415,강사DB!$A$4:$A$53,0)),""))),1,0))</f>
        <v>0</v>
      </c>
    </row>
    <row r="416" customFormat="false" ht="15" hidden="false" customHeight="false" outlineLevel="0" collapsed="false">
      <c r="A416" s="45" t="str">
        <f aca="false">IF($D416="","",COUNTA($D$5:$D416))</f>
        <v/>
      </c>
      <c r="B416" s="46"/>
      <c r="C416" s="47"/>
      <c r="D416" s="48"/>
      <c r="E416" s="48"/>
      <c r="F416" s="49"/>
      <c r="G416" s="47"/>
      <c r="H416" s="50"/>
      <c r="I416" s="50"/>
      <c r="J416" s="51" t="str">
        <f aca="false">IF(OR($V416="",$W416=""),"",ROUND(($W416-$V416)/60,2))</f>
        <v/>
      </c>
      <c r="K416" s="52" t="str">
        <f aca="false">IF($F416="","",LEN($F416)-LEN(SUBSTITUTE($F416,",",""))+1)</f>
        <v/>
      </c>
      <c r="L416" s="45" t="str">
        <f aca="false">IF($K416="","","1:"&amp;$K416)</f>
        <v/>
      </c>
      <c r="M416" s="46"/>
      <c r="N416" s="53"/>
      <c r="O416" s="46"/>
      <c r="P416" s="47"/>
      <c r="Q416" s="48"/>
      <c r="R416" s="49"/>
      <c r="S416" s="54" t="str">
        <f aca="false">IF(OR($AC416=0,$U416="",$M416="",$V416="",$W416=""),"",IF(COUNTIFS(m_teacher,$M416,m_date,$U416,m_active,1,m_start,"&lt;"&amp;$W416,m_end,"&gt;"&amp;$V416)&gt;1,"충돌",""))</f>
        <v/>
      </c>
      <c r="T416" s="48"/>
      <c r="U416" s="55" t="str">
        <f aca="false">IF($G416="","",IFERROR(IF(ISNUMBER($G416),IF($G416&gt;19000000,DATE(INT($G416/10000),MOD(INT($G416/100),100),MOD($G416,100)),INT($G416)),IF(LEN(SUBSTITUTE(SUBSTITUTE(SUBSTITUTE(TRIM($G416),"-",""),".",""),"/",""))=8,DATE(VALUE(LEFT(SUBSTITUTE(SUBSTITUTE(SUBSTITUTE(TRIM($G416),"-",""),".",""),"/",""),4)),VALUE(MID(SUBSTITUTE(SUBSTITUTE(SUBSTITUTE(TRIM($G416),"-",""),".",""),"/",""),5,2)),VALUE(RIGHT(SUBSTITUTE(SUBSTITUTE(SUBSTITUTE(TRIM($G416),"-",""),".",""),"/",""),2))),DATEVALUE($G416))),""))</f>
        <v/>
      </c>
      <c r="V416" s="52" t="str">
        <f aca="false">IF($H416="","",IFERROR(IF(IF(ISNUMBER($H416),$H416,IFERROR(TIMEVALUE($H416),VALUE($H416)))&gt;=100,INT(IF(ISNUMBER($H416),$H416,IFERROR(TIMEVALUE($H416),VALUE($H416)))/100)*60+MOD(IF(ISNUMBER($H416),$H416,IFERROR(TIMEVALUE($H416),VALUE($H416))),100),IF(IF(ISNUMBER($H416),$H416,IFERROR(TIMEVALUE($H416),VALUE($H416)))&gt;=1,ROUND(IF(ISNUMBER($H416),$H416,IFERROR(TIMEVALUE($H416),VALUE($H416)))*60,0),ROUND(MOD(IF(ISNUMBER($H416),$H416,IFERROR(TIMEVALUE($H416),VALUE($H416))),1)*1440,0))),""))</f>
        <v/>
      </c>
      <c r="W416" s="52" t="str">
        <f aca="false">IF($I416="","",IFERROR(IF(IF(ISNUMBER($I416),$I416,IFERROR(TIMEVALUE($I416),VALUE($I416)))&gt;=100,INT(IF(ISNUMBER($I416),$I416,IFERROR(TIMEVALUE($I416),VALUE($I416)))/100)*60+MOD(IF(ISNUMBER($I416),$I416,IFERROR(TIMEVALUE($I416),VALUE($I416))),100),IF(IF(ISNUMBER($I416),$I416,IFERROR(TIMEVALUE($I416),VALUE($I416)))&gt;=1,ROUND(IF(ISNUMBER($I416),$I416,IFERROR(TIMEVALUE($I416),VALUE($I416)))*60,0),ROUND(MOD(IF(ISNUMBER($I416),$I416,IFERROR(TIMEVALUE($I416),VALUE($I416))),1)*1440,0))),""))</f>
        <v/>
      </c>
      <c r="X416" s="55" t="str">
        <f aca="false">IF($P416="","",IFERROR(IF(ISNUMBER($P416),IF($P416&gt;19000000,DATE(INT($P416/10000),MOD(INT($P416/100),100),MOD($P416,100)),INT($P416)),IF(LEN(SUBSTITUTE(SUBSTITUTE(SUBSTITUTE(TRIM($P416),"-",""),".",""),"/",""))=8,DATE(VALUE(LEFT(SUBSTITUTE(SUBSTITUTE(SUBSTITUTE(TRIM($P416),"-",""),".",""),"/",""),4)),VALUE(MID(SUBSTITUTE(SUBSTITUTE(SUBSTITUTE(TRIM($P416),"-",""),".",""),"/",""),5,2)),VALUE(RIGHT(SUBSTITUTE(SUBSTITUTE(SUBSTITUTE(TRIM($P416),"-",""),".",""),"/",""),2))),DATEVALUE($P416))),""))</f>
        <v/>
      </c>
      <c r="Y416" s="56" t="str">
        <f aca="false">IF($M416="","",IFERROR(INDEX(강사DB!$D$4:$D$53,MATCH($M416,강사DB!$A$4:$A$53,0)),""))</f>
        <v/>
      </c>
      <c r="Z416" s="56" t="str">
        <f aca="false">IF($B416&lt;&gt;"결제완료","",IF(OR($Y416="",$J416=""),"",$Y416*$J416+MAX(0,N($K416)-1)*설정!$J$7))</f>
        <v/>
      </c>
      <c r="AA416" s="56" t="str">
        <f aca="false">IF(AND($D416&lt;&gt;"",$B416="결제완료"),N($N416),"")</f>
        <v/>
      </c>
      <c r="AB416" s="45" t="str">
        <f aca="false">IF($D416="","",IF($F416&lt;&gt;"",$F416,$D416)&amp;IF($B416="상담중"," (상담)",""))</f>
        <v/>
      </c>
      <c r="AC416" s="45" t="n">
        <f aca="false">IF(AND($D416&lt;&gt;"",OR($B416="결제완료",$B416="상담중")),1,0)</f>
        <v>0</v>
      </c>
      <c r="AD416" s="45" t="n">
        <f aca="false">IF(OR($Z416="",$U416=""),0,IFERROR(IF(COUNTIFS(INDEX(g_grid,0,2*MATCH($M416,강사DB!$A$4:$A$15,0)),"&lt;&gt;",g_s,"&lt;="&amp;$U416,g_e,"&gt;="&amp;$U416)&gt;0,1,0),0))</f>
        <v>0</v>
      </c>
      <c r="AE416" s="48"/>
      <c r="AF416" s="56" t="str">
        <f aca="false">IF(AND($D416&lt;&gt;"",$B416="결제완료",$T416="대여"),설정!$J$5,"")</f>
        <v/>
      </c>
      <c r="AG416" s="54" t="str">
        <f aca="false">IF($D416="","",IF(AND($E416="",$R416=""),$AB416,"☎ "&amp;IF($E416="","-",$E416)&amp;IF($R416&lt;&gt;"","  ※ "&amp;$R416,"")&amp;IF($B416="상담중"," (상담)","")))</f>
        <v/>
      </c>
      <c r="AH416" s="56" t="str">
        <f aca="false">IF(AND($D416&lt;&gt;"",$B416="결제완료",$O416="스마트스토어"),ROUND(N($N416)*설정!$J$6,0),"")</f>
        <v/>
      </c>
      <c r="AI416" s="54" t="str">
        <f aca="false">IF($D416="","",ROW())</f>
        <v/>
      </c>
      <c r="AJ416" s="54" t="n">
        <f aca="false">IF(OR($AC416&lt;&gt;1,$M416=""),0,IF(ISNUMBER(SEARCH("퇴사",IFERROR(INDEX(강사DB!$G$4:$G$53,MATCH($M416,강사DB!$A$4:$A$53,0)),""))),1,0))</f>
        <v>0</v>
      </c>
    </row>
    <row r="417" customFormat="false" ht="15" hidden="false" customHeight="false" outlineLevel="0" collapsed="false">
      <c r="A417" s="45" t="str">
        <f aca="false">IF($D417="","",COUNTA($D$5:$D417))</f>
        <v/>
      </c>
      <c r="B417" s="46"/>
      <c r="C417" s="47"/>
      <c r="D417" s="48"/>
      <c r="E417" s="48"/>
      <c r="F417" s="49"/>
      <c r="G417" s="47"/>
      <c r="H417" s="50"/>
      <c r="I417" s="50"/>
      <c r="J417" s="51" t="str">
        <f aca="false">IF(OR($V417="",$W417=""),"",ROUND(($W417-$V417)/60,2))</f>
        <v/>
      </c>
      <c r="K417" s="52" t="str">
        <f aca="false">IF($F417="","",LEN($F417)-LEN(SUBSTITUTE($F417,",",""))+1)</f>
        <v/>
      </c>
      <c r="L417" s="45" t="str">
        <f aca="false">IF($K417="","","1:"&amp;$K417)</f>
        <v/>
      </c>
      <c r="M417" s="46"/>
      <c r="N417" s="53"/>
      <c r="O417" s="46"/>
      <c r="P417" s="47"/>
      <c r="Q417" s="48"/>
      <c r="R417" s="49"/>
      <c r="S417" s="54" t="str">
        <f aca="false">IF(OR($AC417=0,$U417="",$M417="",$V417="",$W417=""),"",IF(COUNTIFS(m_teacher,$M417,m_date,$U417,m_active,1,m_start,"&lt;"&amp;$W417,m_end,"&gt;"&amp;$V417)&gt;1,"충돌",""))</f>
        <v/>
      </c>
      <c r="T417" s="48"/>
      <c r="U417" s="55" t="str">
        <f aca="false">IF($G417="","",IFERROR(IF(ISNUMBER($G417),IF($G417&gt;19000000,DATE(INT($G417/10000),MOD(INT($G417/100),100),MOD($G417,100)),INT($G417)),IF(LEN(SUBSTITUTE(SUBSTITUTE(SUBSTITUTE(TRIM($G417),"-",""),".",""),"/",""))=8,DATE(VALUE(LEFT(SUBSTITUTE(SUBSTITUTE(SUBSTITUTE(TRIM($G417),"-",""),".",""),"/",""),4)),VALUE(MID(SUBSTITUTE(SUBSTITUTE(SUBSTITUTE(TRIM($G417),"-",""),".",""),"/",""),5,2)),VALUE(RIGHT(SUBSTITUTE(SUBSTITUTE(SUBSTITUTE(TRIM($G417),"-",""),".",""),"/",""),2))),DATEVALUE($G417))),""))</f>
        <v/>
      </c>
      <c r="V417" s="52" t="str">
        <f aca="false">IF($H417="","",IFERROR(IF(IF(ISNUMBER($H417),$H417,IFERROR(TIMEVALUE($H417),VALUE($H417)))&gt;=100,INT(IF(ISNUMBER($H417),$H417,IFERROR(TIMEVALUE($H417),VALUE($H417)))/100)*60+MOD(IF(ISNUMBER($H417),$H417,IFERROR(TIMEVALUE($H417),VALUE($H417))),100),IF(IF(ISNUMBER($H417),$H417,IFERROR(TIMEVALUE($H417),VALUE($H417)))&gt;=1,ROUND(IF(ISNUMBER($H417),$H417,IFERROR(TIMEVALUE($H417),VALUE($H417)))*60,0),ROUND(MOD(IF(ISNUMBER($H417),$H417,IFERROR(TIMEVALUE($H417),VALUE($H417))),1)*1440,0))),""))</f>
        <v/>
      </c>
      <c r="W417" s="52" t="str">
        <f aca="false">IF($I417="","",IFERROR(IF(IF(ISNUMBER($I417),$I417,IFERROR(TIMEVALUE($I417),VALUE($I417)))&gt;=100,INT(IF(ISNUMBER($I417),$I417,IFERROR(TIMEVALUE($I417),VALUE($I417)))/100)*60+MOD(IF(ISNUMBER($I417),$I417,IFERROR(TIMEVALUE($I417),VALUE($I417))),100),IF(IF(ISNUMBER($I417),$I417,IFERROR(TIMEVALUE($I417),VALUE($I417)))&gt;=1,ROUND(IF(ISNUMBER($I417),$I417,IFERROR(TIMEVALUE($I417),VALUE($I417)))*60,0),ROUND(MOD(IF(ISNUMBER($I417),$I417,IFERROR(TIMEVALUE($I417),VALUE($I417))),1)*1440,0))),""))</f>
        <v/>
      </c>
      <c r="X417" s="55" t="str">
        <f aca="false">IF($P417="","",IFERROR(IF(ISNUMBER($P417),IF($P417&gt;19000000,DATE(INT($P417/10000),MOD(INT($P417/100),100),MOD($P417,100)),INT($P417)),IF(LEN(SUBSTITUTE(SUBSTITUTE(SUBSTITUTE(TRIM($P417),"-",""),".",""),"/",""))=8,DATE(VALUE(LEFT(SUBSTITUTE(SUBSTITUTE(SUBSTITUTE(TRIM($P417),"-",""),".",""),"/",""),4)),VALUE(MID(SUBSTITUTE(SUBSTITUTE(SUBSTITUTE(TRIM($P417),"-",""),".",""),"/",""),5,2)),VALUE(RIGHT(SUBSTITUTE(SUBSTITUTE(SUBSTITUTE(TRIM($P417),"-",""),".",""),"/",""),2))),DATEVALUE($P417))),""))</f>
        <v/>
      </c>
      <c r="Y417" s="56" t="str">
        <f aca="false">IF($M417="","",IFERROR(INDEX(강사DB!$D$4:$D$53,MATCH($M417,강사DB!$A$4:$A$53,0)),""))</f>
        <v/>
      </c>
      <c r="Z417" s="56" t="str">
        <f aca="false">IF($B417&lt;&gt;"결제완료","",IF(OR($Y417="",$J417=""),"",$Y417*$J417+MAX(0,N($K417)-1)*설정!$J$7))</f>
        <v/>
      </c>
      <c r="AA417" s="56" t="str">
        <f aca="false">IF(AND($D417&lt;&gt;"",$B417="결제완료"),N($N417),"")</f>
        <v/>
      </c>
      <c r="AB417" s="45" t="str">
        <f aca="false">IF($D417="","",IF($F417&lt;&gt;"",$F417,$D417)&amp;IF($B417="상담중"," (상담)",""))</f>
        <v/>
      </c>
      <c r="AC417" s="45" t="n">
        <f aca="false">IF(AND($D417&lt;&gt;"",OR($B417="결제완료",$B417="상담중")),1,0)</f>
        <v>0</v>
      </c>
      <c r="AD417" s="45" t="n">
        <f aca="false">IF(OR($Z417="",$U417=""),0,IFERROR(IF(COUNTIFS(INDEX(g_grid,0,2*MATCH($M417,강사DB!$A$4:$A$15,0)),"&lt;&gt;",g_s,"&lt;="&amp;$U417,g_e,"&gt;="&amp;$U417)&gt;0,1,0),0))</f>
        <v>0</v>
      </c>
      <c r="AE417" s="48"/>
      <c r="AF417" s="56" t="str">
        <f aca="false">IF(AND($D417&lt;&gt;"",$B417="결제완료",$T417="대여"),설정!$J$5,"")</f>
        <v/>
      </c>
      <c r="AG417" s="54" t="str">
        <f aca="false">IF($D417="","",IF(AND($E417="",$R417=""),$AB417,"☎ "&amp;IF($E417="","-",$E417)&amp;IF($R417&lt;&gt;"","  ※ "&amp;$R417,"")&amp;IF($B417="상담중"," (상담)","")))</f>
        <v/>
      </c>
      <c r="AH417" s="56" t="str">
        <f aca="false">IF(AND($D417&lt;&gt;"",$B417="결제완료",$O417="스마트스토어"),ROUND(N($N417)*설정!$J$6,0),"")</f>
        <v/>
      </c>
      <c r="AI417" s="54" t="str">
        <f aca="false">IF($D417="","",ROW())</f>
        <v/>
      </c>
      <c r="AJ417" s="54" t="n">
        <f aca="false">IF(OR($AC417&lt;&gt;1,$M417=""),0,IF(ISNUMBER(SEARCH("퇴사",IFERROR(INDEX(강사DB!$G$4:$G$53,MATCH($M417,강사DB!$A$4:$A$53,0)),""))),1,0))</f>
        <v>0</v>
      </c>
    </row>
    <row r="418" customFormat="false" ht="15" hidden="false" customHeight="false" outlineLevel="0" collapsed="false">
      <c r="A418" s="45" t="str">
        <f aca="false">IF($D418="","",COUNTA($D$5:$D418))</f>
        <v/>
      </c>
      <c r="B418" s="46"/>
      <c r="C418" s="47"/>
      <c r="D418" s="48"/>
      <c r="E418" s="48"/>
      <c r="F418" s="49"/>
      <c r="G418" s="47"/>
      <c r="H418" s="50"/>
      <c r="I418" s="50"/>
      <c r="J418" s="51" t="str">
        <f aca="false">IF(OR($V418="",$W418=""),"",ROUND(($W418-$V418)/60,2))</f>
        <v/>
      </c>
      <c r="K418" s="52" t="str">
        <f aca="false">IF($F418="","",LEN($F418)-LEN(SUBSTITUTE($F418,",",""))+1)</f>
        <v/>
      </c>
      <c r="L418" s="45" t="str">
        <f aca="false">IF($K418="","","1:"&amp;$K418)</f>
        <v/>
      </c>
      <c r="M418" s="46"/>
      <c r="N418" s="53"/>
      <c r="O418" s="46"/>
      <c r="P418" s="47"/>
      <c r="Q418" s="48"/>
      <c r="R418" s="49"/>
      <c r="S418" s="54" t="str">
        <f aca="false">IF(OR($AC418=0,$U418="",$M418="",$V418="",$W418=""),"",IF(COUNTIFS(m_teacher,$M418,m_date,$U418,m_active,1,m_start,"&lt;"&amp;$W418,m_end,"&gt;"&amp;$V418)&gt;1,"충돌",""))</f>
        <v/>
      </c>
      <c r="T418" s="48"/>
      <c r="U418" s="55" t="str">
        <f aca="false">IF($G418="","",IFERROR(IF(ISNUMBER($G418),IF($G418&gt;19000000,DATE(INT($G418/10000),MOD(INT($G418/100),100),MOD($G418,100)),INT($G418)),IF(LEN(SUBSTITUTE(SUBSTITUTE(SUBSTITUTE(TRIM($G418),"-",""),".",""),"/",""))=8,DATE(VALUE(LEFT(SUBSTITUTE(SUBSTITUTE(SUBSTITUTE(TRIM($G418),"-",""),".",""),"/",""),4)),VALUE(MID(SUBSTITUTE(SUBSTITUTE(SUBSTITUTE(TRIM($G418),"-",""),".",""),"/",""),5,2)),VALUE(RIGHT(SUBSTITUTE(SUBSTITUTE(SUBSTITUTE(TRIM($G418),"-",""),".",""),"/",""),2))),DATEVALUE($G418))),""))</f>
        <v/>
      </c>
      <c r="V418" s="52" t="str">
        <f aca="false">IF($H418="","",IFERROR(IF(IF(ISNUMBER($H418),$H418,IFERROR(TIMEVALUE($H418),VALUE($H418)))&gt;=100,INT(IF(ISNUMBER($H418),$H418,IFERROR(TIMEVALUE($H418),VALUE($H418)))/100)*60+MOD(IF(ISNUMBER($H418),$H418,IFERROR(TIMEVALUE($H418),VALUE($H418))),100),IF(IF(ISNUMBER($H418),$H418,IFERROR(TIMEVALUE($H418),VALUE($H418)))&gt;=1,ROUND(IF(ISNUMBER($H418),$H418,IFERROR(TIMEVALUE($H418),VALUE($H418)))*60,0),ROUND(MOD(IF(ISNUMBER($H418),$H418,IFERROR(TIMEVALUE($H418),VALUE($H418))),1)*1440,0))),""))</f>
        <v/>
      </c>
      <c r="W418" s="52" t="str">
        <f aca="false">IF($I418="","",IFERROR(IF(IF(ISNUMBER($I418),$I418,IFERROR(TIMEVALUE($I418),VALUE($I418)))&gt;=100,INT(IF(ISNUMBER($I418),$I418,IFERROR(TIMEVALUE($I418),VALUE($I418)))/100)*60+MOD(IF(ISNUMBER($I418),$I418,IFERROR(TIMEVALUE($I418),VALUE($I418))),100),IF(IF(ISNUMBER($I418),$I418,IFERROR(TIMEVALUE($I418),VALUE($I418)))&gt;=1,ROUND(IF(ISNUMBER($I418),$I418,IFERROR(TIMEVALUE($I418),VALUE($I418)))*60,0),ROUND(MOD(IF(ISNUMBER($I418),$I418,IFERROR(TIMEVALUE($I418),VALUE($I418))),1)*1440,0))),""))</f>
        <v/>
      </c>
      <c r="X418" s="55" t="str">
        <f aca="false">IF($P418="","",IFERROR(IF(ISNUMBER($P418),IF($P418&gt;19000000,DATE(INT($P418/10000),MOD(INT($P418/100),100),MOD($P418,100)),INT($P418)),IF(LEN(SUBSTITUTE(SUBSTITUTE(SUBSTITUTE(TRIM($P418),"-",""),".",""),"/",""))=8,DATE(VALUE(LEFT(SUBSTITUTE(SUBSTITUTE(SUBSTITUTE(TRIM($P418),"-",""),".",""),"/",""),4)),VALUE(MID(SUBSTITUTE(SUBSTITUTE(SUBSTITUTE(TRIM($P418),"-",""),".",""),"/",""),5,2)),VALUE(RIGHT(SUBSTITUTE(SUBSTITUTE(SUBSTITUTE(TRIM($P418),"-",""),".",""),"/",""),2))),DATEVALUE($P418))),""))</f>
        <v/>
      </c>
      <c r="Y418" s="56" t="str">
        <f aca="false">IF($M418="","",IFERROR(INDEX(강사DB!$D$4:$D$53,MATCH($M418,강사DB!$A$4:$A$53,0)),""))</f>
        <v/>
      </c>
      <c r="Z418" s="56" t="str">
        <f aca="false">IF($B418&lt;&gt;"결제완료","",IF(OR($Y418="",$J418=""),"",$Y418*$J418+MAX(0,N($K418)-1)*설정!$J$7))</f>
        <v/>
      </c>
      <c r="AA418" s="56" t="str">
        <f aca="false">IF(AND($D418&lt;&gt;"",$B418="결제완료"),N($N418),"")</f>
        <v/>
      </c>
      <c r="AB418" s="45" t="str">
        <f aca="false">IF($D418="","",IF($F418&lt;&gt;"",$F418,$D418)&amp;IF($B418="상담중"," (상담)",""))</f>
        <v/>
      </c>
      <c r="AC418" s="45" t="n">
        <f aca="false">IF(AND($D418&lt;&gt;"",OR($B418="결제완료",$B418="상담중")),1,0)</f>
        <v>0</v>
      </c>
      <c r="AD418" s="45" t="n">
        <f aca="false">IF(OR($Z418="",$U418=""),0,IFERROR(IF(COUNTIFS(INDEX(g_grid,0,2*MATCH($M418,강사DB!$A$4:$A$15,0)),"&lt;&gt;",g_s,"&lt;="&amp;$U418,g_e,"&gt;="&amp;$U418)&gt;0,1,0),0))</f>
        <v>0</v>
      </c>
      <c r="AE418" s="48"/>
      <c r="AF418" s="56" t="str">
        <f aca="false">IF(AND($D418&lt;&gt;"",$B418="결제완료",$T418="대여"),설정!$J$5,"")</f>
        <v/>
      </c>
      <c r="AG418" s="54" t="str">
        <f aca="false">IF($D418="","",IF(AND($E418="",$R418=""),$AB418,"☎ "&amp;IF($E418="","-",$E418)&amp;IF($R418&lt;&gt;"","  ※ "&amp;$R418,"")&amp;IF($B418="상담중"," (상담)","")))</f>
        <v/>
      </c>
      <c r="AH418" s="56" t="str">
        <f aca="false">IF(AND($D418&lt;&gt;"",$B418="결제완료",$O418="스마트스토어"),ROUND(N($N418)*설정!$J$6,0),"")</f>
        <v/>
      </c>
      <c r="AI418" s="54" t="str">
        <f aca="false">IF($D418="","",ROW())</f>
        <v/>
      </c>
      <c r="AJ418" s="54" t="n">
        <f aca="false">IF(OR($AC418&lt;&gt;1,$M418=""),0,IF(ISNUMBER(SEARCH("퇴사",IFERROR(INDEX(강사DB!$G$4:$G$53,MATCH($M418,강사DB!$A$4:$A$53,0)),""))),1,0))</f>
        <v>0</v>
      </c>
    </row>
    <row r="419" customFormat="false" ht="15" hidden="false" customHeight="false" outlineLevel="0" collapsed="false">
      <c r="A419" s="45" t="str">
        <f aca="false">IF($D419="","",COUNTA($D$5:$D419))</f>
        <v/>
      </c>
      <c r="B419" s="46"/>
      <c r="C419" s="47"/>
      <c r="D419" s="48"/>
      <c r="E419" s="48"/>
      <c r="F419" s="49"/>
      <c r="G419" s="47"/>
      <c r="H419" s="50"/>
      <c r="I419" s="50"/>
      <c r="J419" s="51" t="str">
        <f aca="false">IF(OR($V419="",$W419=""),"",ROUND(($W419-$V419)/60,2))</f>
        <v/>
      </c>
      <c r="K419" s="52" t="str">
        <f aca="false">IF($F419="","",LEN($F419)-LEN(SUBSTITUTE($F419,",",""))+1)</f>
        <v/>
      </c>
      <c r="L419" s="45" t="str">
        <f aca="false">IF($K419="","","1:"&amp;$K419)</f>
        <v/>
      </c>
      <c r="M419" s="46"/>
      <c r="N419" s="53"/>
      <c r="O419" s="46"/>
      <c r="P419" s="47"/>
      <c r="Q419" s="48"/>
      <c r="R419" s="49"/>
      <c r="S419" s="54" t="str">
        <f aca="false">IF(OR($AC419=0,$U419="",$M419="",$V419="",$W419=""),"",IF(COUNTIFS(m_teacher,$M419,m_date,$U419,m_active,1,m_start,"&lt;"&amp;$W419,m_end,"&gt;"&amp;$V419)&gt;1,"충돌",""))</f>
        <v/>
      </c>
      <c r="T419" s="48"/>
      <c r="U419" s="55" t="str">
        <f aca="false">IF($G419="","",IFERROR(IF(ISNUMBER($G419),IF($G419&gt;19000000,DATE(INT($G419/10000),MOD(INT($G419/100),100),MOD($G419,100)),INT($G419)),IF(LEN(SUBSTITUTE(SUBSTITUTE(SUBSTITUTE(TRIM($G419),"-",""),".",""),"/",""))=8,DATE(VALUE(LEFT(SUBSTITUTE(SUBSTITUTE(SUBSTITUTE(TRIM($G419),"-",""),".",""),"/",""),4)),VALUE(MID(SUBSTITUTE(SUBSTITUTE(SUBSTITUTE(TRIM($G419),"-",""),".",""),"/",""),5,2)),VALUE(RIGHT(SUBSTITUTE(SUBSTITUTE(SUBSTITUTE(TRIM($G419),"-",""),".",""),"/",""),2))),DATEVALUE($G419))),""))</f>
        <v/>
      </c>
      <c r="V419" s="52" t="str">
        <f aca="false">IF($H419="","",IFERROR(IF(IF(ISNUMBER($H419),$H419,IFERROR(TIMEVALUE($H419),VALUE($H419)))&gt;=100,INT(IF(ISNUMBER($H419),$H419,IFERROR(TIMEVALUE($H419),VALUE($H419)))/100)*60+MOD(IF(ISNUMBER($H419),$H419,IFERROR(TIMEVALUE($H419),VALUE($H419))),100),IF(IF(ISNUMBER($H419),$H419,IFERROR(TIMEVALUE($H419),VALUE($H419)))&gt;=1,ROUND(IF(ISNUMBER($H419),$H419,IFERROR(TIMEVALUE($H419),VALUE($H419)))*60,0),ROUND(MOD(IF(ISNUMBER($H419),$H419,IFERROR(TIMEVALUE($H419),VALUE($H419))),1)*1440,0))),""))</f>
        <v/>
      </c>
      <c r="W419" s="52" t="str">
        <f aca="false">IF($I419="","",IFERROR(IF(IF(ISNUMBER($I419),$I419,IFERROR(TIMEVALUE($I419),VALUE($I419)))&gt;=100,INT(IF(ISNUMBER($I419),$I419,IFERROR(TIMEVALUE($I419),VALUE($I419)))/100)*60+MOD(IF(ISNUMBER($I419),$I419,IFERROR(TIMEVALUE($I419),VALUE($I419))),100),IF(IF(ISNUMBER($I419),$I419,IFERROR(TIMEVALUE($I419),VALUE($I419)))&gt;=1,ROUND(IF(ISNUMBER($I419),$I419,IFERROR(TIMEVALUE($I419),VALUE($I419)))*60,0),ROUND(MOD(IF(ISNUMBER($I419),$I419,IFERROR(TIMEVALUE($I419),VALUE($I419))),1)*1440,0))),""))</f>
        <v/>
      </c>
      <c r="X419" s="55" t="str">
        <f aca="false">IF($P419="","",IFERROR(IF(ISNUMBER($P419),IF($P419&gt;19000000,DATE(INT($P419/10000),MOD(INT($P419/100),100),MOD($P419,100)),INT($P419)),IF(LEN(SUBSTITUTE(SUBSTITUTE(SUBSTITUTE(TRIM($P419),"-",""),".",""),"/",""))=8,DATE(VALUE(LEFT(SUBSTITUTE(SUBSTITUTE(SUBSTITUTE(TRIM($P419),"-",""),".",""),"/",""),4)),VALUE(MID(SUBSTITUTE(SUBSTITUTE(SUBSTITUTE(TRIM($P419),"-",""),".",""),"/",""),5,2)),VALUE(RIGHT(SUBSTITUTE(SUBSTITUTE(SUBSTITUTE(TRIM($P419),"-",""),".",""),"/",""),2))),DATEVALUE($P419))),""))</f>
        <v/>
      </c>
      <c r="Y419" s="56" t="str">
        <f aca="false">IF($M419="","",IFERROR(INDEX(강사DB!$D$4:$D$53,MATCH($M419,강사DB!$A$4:$A$53,0)),""))</f>
        <v/>
      </c>
      <c r="Z419" s="56" t="str">
        <f aca="false">IF($B419&lt;&gt;"결제완료","",IF(OR($Y419="",$J419=""),"",$Y419*$J419+MAX(0,N($K419)-1)*설정!$J$7))</f>
        <v/>
      </c>
      <c r="AA419" s="56" t="str">
        <f aca="false">IF(AND($D419&lt;&gt;"",$B419="결제완료"),N($N419),"")</f>
        <v/>
      </c>
      <c r="AB419" s="45" t="str">
        <f aca="false">IF($D419="","",IF($F419&lt;&gt;"",$F419,$D419)&amp;IF($B419="상담중"," (상담)",""))</f>
        <v/>
      </c>
      <c r="AC419" s="45" t="n">
        <f aca="false">IF(AND($D419&lt;&gt;"",OR($B419="결제완료",$B419="상담중")),1,0)</f>
        <v>0</v>
      </c>
      <c r="AD419" s="45" t="n">
        <f aca="false">IF(OR($Z419="",$U419=""),0,IFERROR(IF(COUNTIFS(INDEX(g_grid,0,2*MATCH($M419,강사DB!$A$4:$A$15,0)),"&lt;&gt;",g_s,"&lt;="&amp;$U419,g_e,"&gt;="&amp;$U419)&gt;0,1,0),0))</f>
        <v>0</v>
      </c>
      <c r="AE419" s="48"/>
      <c r="AF419" s="56" t="str">
        <f aca="false">IF(AND($D419&lt;&gt;"",$B419="결제완료",$T419="대여"),설정!$J$5,"")</f>
        <v/>
      </c>
      <c r="AG419" s="54" t="str">
        <f aca="false">IF($D419="","",IF(AND($E419="",$R419=""),$AB419,"☎ "&amp;IF($E419="","-",$E419)&amp;IF($R419&lt;&gt;"","  ※ "&amp;$R419,"")&amp;IF($B419="상담중"," (상담)","")))</f>
        <v/>
      </c>
      <c r="AH419" s="56" t="str">
        <f aca="false">IF(AND($D419&lt;&gt;"",$B419="결제완료",$O419="스마트스토어"),ROUND(N($N419)*설정!$J$6,0),"")</f>
        <v/>
      </c>
      <c r="AI419" s="54" t="str">
        <f aca="false">IF($D419="","",ROW())</f>
        <v/>
      </c>
      <c r="AJ419" s="54" t="n">
        <f aca="false">IF(OR($AC419&lt;&gt;1,$M419=""),0,IF(ISNUMBER(SEARCH("퇴사",IFERROR(INDEX(강사DB!$G$4:$G$53,MATCH($M419,강사DB!$A$4:$A$53,0)),""))),1,0))</f>
        <v>0</v>
      </c>
    </row>
    <row r="420" customFormat="false" ht="15" hidden="false" customHeight="false" outlineLevel="0" collapsed="false">
      <c r="A420" s="45" t="str">
        <f aca="false">IF($D420="","",COUNTA($D$5:$D420))</f>
        <v/>
      </c>
      <c r="B420" s="46"/>
      <c r="C420" s="47"/>
      <c r="D420" s="48"/>
      <c r="E420" s="48"/>
      <c r="F420" s="49"/>
      <c r="G420" s="47"/>
      <c r="H420" s="50"/>
      <c r="I420" s="50"/>
      <c r="J420" s="51" t="str">
        <f aca="false">IF(OR($V420="",$W420=""),"",ROUND(($W420-$V420)/60,2))</f>
        <v/>
      </c>
      <c r="K420" s="52" t="str">
        <f aca="false">IF($F420="","",LEN($F420)-LEN(SUBSTITUTE($F420,",",""))+1)</f>
        <v/>
      </c>
      <c r="L420" s="45" t="str">
        <f aca="false">IF($K420="","","1:"&amp;$K420)</f>
        <v/>
      </c>
      <c r="M420" s="46"/>
      <c r="N420" s="53"/>
      <c r="O420" s="46"/>
      <c r="P420" s="47"/>
      <c r="Q420" s="48"/>
      <c r="R420" s="49"/>
      <c r="S420" s="54" t="str">
        <f aca="false">IF(OR($AC420=0,$U420="",$M420="",$V420="",$W420=""),"",IF(COUNTIFS(m_teacher,$M420,m_date,$U420,m_active,1,m_start,"&lt;"&amp;$W420,m_end,"&gt;"&amp;$V420)&gt;1,"충돌",""))</f>
        <v/>
      </c>
      <c r="T420" s="48"/>
      <c r="U420" s="55" t="str">
        <f aca="false">IF($G420="","",IFERROR(IF(ISNUMBER($G420),IF($G420&gt;19000000,DATE(INT($G420/10000),MOD(INT($G420/100),100),MOD($G420,100)),INT($G420)),IF(LEN(SUBSTITUTE(SUBSTITUTE(SUBSTITUTE(TRIM($G420),"-",""),".",""),"/",""))=8,DATE(VALUE(LEFT(SUBSTITUTE(SUBSTITUTE(SUBSTITUTE(TRIM($G420),"-",""),".",""),"/",""),4)),VALUE(MID(SUBSTITUTE(SUBSTITUTE(SUBSTITUTE(TRIM($G420),"-",""),".",""),"/",""),5,2)),VALUE(RIGHT(SUBSTITUTE(SUBSTITUTE(SUBSTITUTE(TRIM($G420),"-",""),".",""),"/",""),2))),DATEVALUE($G420))),""))</f>
        <v/>
      </c>
      <c r="V420" s="52" t="str">
        <f aca="false">IF($H420="","",IFERROR(IF(IF(ISNUMBER($H420),$H420,IFERROR(TIMEVALUE($H420),VALUE($H420)))&gt;=100,INT(IF(ISNUMBER($H420),$H420,IFERROR(TIMEVALUE($H420),VALUE($H420)))/100)*60+MOD(IF(ISNUMBER($H420),$H420,IFERROR(TIMEVALUE($H420),VALUE($H420))),100),IF(IF(ISNUMBER($H420),$H420,IFERROR(TIMEVALUE($H420),VALUE($H420)))&gt;=1,ROUND(IF(ISNUMBER($H420),$H420,IFERROR(TIMEVALUE($H420),VALUE($H420)))*60,0),ROUND(MOD(IF(ISNUMBER($H420),$H420,IFERROR(TIMEVALUE($H420),VALUE($H420))),1)*1440,0))),""))</f>
        <v/>
      </c>
      <c r="W420" s="52" t="str">
        <f aca="false">IF($I420="","",IFERROR(IF(IF(ISNUMBER($I420),$I420,IFERROR(TIMEVALUE($I420),VALUE($I420)))&gt;=100,INT(IF(ISNUMBER($I420),$I420,IFERROR(TIMEVALUE($I420),VALUE($I420)))/100)*60+MOD(IF(ISNUMBER($I420),$I420,IFERROR(TIMEVALUE($I420),VALUE($I420))),100),IF(IF(ISNUMBER($I420),$I420,IFERROR(TIMEVALUE($I420),VALUE($I420)))&gt;=1,ROUND(IF(ISNUMBER($I420),$I420,IFERROR(TIMEVALUE($I420),VALUE($I420)))*60,0),ROUND(MOD(IF(ISNUMBER($I420),$I420,IFERROR(TIMEVALUE($I420),VALUE($I420))),1)*1440,0))),""))</f>
        <v/>
      </c>
      <c r="X420" s="55" t="str">
        <f aca="false">IF($P420="","",IFERROR(IF(ISNUMBER($P420),IF($P420&gt;19000000,DATE(INT($P420/10000),MOD(INT($P420/100),100),MOD($P420,100)),INT($P420)),IF(LEN(SUBSTITUTE(SUBSTITUTE(SUBSTITUTE(TRIM($P420),"-",""),".",""),"/",""))=8,DATE(VALUE(LEFT(SUBSTITUTE(SUBSTITUTE(SUBSTITUTE(TRIM($P420),"-",""),".",""),"/",""),4)),VALUE(MID(SUBSTITUTE(SUBSTITUTE(SUBSTITUTE(TRIM($P420),"-",""),".",""),"/",""),5,2)),VALUE(RIGHT(SUBSTITUTE(SUBSTITUTE(SUBSTITUTE(TRIM($P420),"-",""),".",""),"/",""),2))),DATEVALUE($P420))),""))</f>
        <v/>
      </c>
      <c r="Y420" s="56" t="str">
        <f aca="false">IF($M420="","",IFERROR(INDEX(강사DB!$D$4:$D$53,MATCH($M420,강사DB!$A$4:$A$53,0)),""))</f>
        <v/>
      </c>
      <c r="Z420" s="56" t="str">
        <f aca="false">IF($B420&lt;&gt;"결제완료","",IF(OR($Y420="",$J420=""),"",$Y420*$J420+MAX(0,N($K420)-1)*설정!$J$7))</f>
        <v/>
      </c>
      <c r="AA420" s="56" t="str">
        <f aca="false">IF(AND($D420&lt;&gt;"",$B420="결제완료"),N($N420),"")</f>
        <v/>
      </c>
      <c r="AB420" s="45" t="str">
        <f aca="false">IF($D420="","",IF($F420&lt;&gt;"",$F420,$D420)&amp;IF($B420="상담중"," (상담)",""))</f>
        <v/>
      </c>
      <c r="AC420" s="45" t="n">
        <f aca="false">IF(AND($D420&lt;&gt;"",OR($B420="결제완료",$B420="상담중")),1,0)</f>
        <v>0</v>
      </c>
      <c r="AD420" s="45" t="n">
        <f aca="false">IF(OR($Z420="",$U420=""),0,IFERROR(IF(COUNTIFS(INDEX(g_grid,0,2*MATCH($M420,강사DB!$A$4:$A$15,0)),"&lt;&gt;",g_s,"&lt;="&amp;$U420,g_e,"&gt;="&amp;$U420)&gt;0,1,0),0))</f>
        <v>0</v>
      </c>
      <c r="AE420" s="48"/>
      <c r="AF420" s="56" t="str">
        <f aca="false">IF(AND($D420&lt;&gt;"",$B420="결제완료",$T420="대여"),설정!$J$5,"")</f>
        <v/>
      </c>
      <c r="AG420" s="54" t="str">
        <f aca="false">IF($D420="","",IF(AND($E420="",$R420=""),$AB420,"☎ "&amp;IF($E420="","-",$E420)&amp;IF($R420&lt;&gt;"","  ※ "&amp;$R420,"")&amp;IF($B420="상담중"," (상담)","")))</f>
        <v/>
      </c>
      <c r="AH420" s="56" t="str">
        <f aca="false">IF(AND($D420&lt;&gt;"",$B420="결제완료",$O420="스마트스토어"),ROUND(N($N420)*설정!$J$6,0),"")</f>
        <v/>
      </c>
      <c r="AI420" s="54" t="str">
        <f aca="false">IF($D420="","",ROW())</f>
        <v/>
      </c>
      <c r="AJ420" s="54" t="n">
        <f aca="false">IF(OR($AC420&lt;&gt;1,$M420=""),0,IF(ISNUMBER(SEARCH("퇴사",IFERROR(INDEX(강사DB!$G$4:$G$53,MATCH($M420,강사DB!$A$4:$A$53,0)),""))),1,0))</f>
        <v>0</v>
      </c>
    </row>
    <row r="421" customFormat="false" ht="15" hidden="false" customHeight="false" outlineLevel="0" collapsed="false">
      <c r="A421" s="45" t="str">
        <f aca="false">IF($D421="","",COUNTA($D$5:$D421))</f>
        <v/>
      </c>
      <c r="B421" s="46"/>
      <c r="C421" s="47"/>
      <c r="D421" s="48"/>
      <c r="E421" s="48"/>
      <c r="F421" s="49"/>
      <c r="G421" s="47"/>
      <c r="H421" s="50"/>
      <c r="I421" s="50"/>
      <c r="J421" s="51" t="str">
        <f aca="false">IF(OR($V421="",$W421=""),"",ROUND(($W421-$V421)/60,2))</f>
        <v/>
      </c>
      <c r="K421" s="52" t="str">
        <f aca="false">IF($F421="","",LEN($F421)-LEN(SUBSTITUTE($F421,",",""))+1)</f>
        <v/>
      </c>
      <c r="L421" s="45" t="str">
        <f aca="false">IF($K421="","","1:"&amp;$K421)</f>
        <v/>
      </c>
      <c r="M421" s="46"/>
      <c r="N421" s="53"/>
      <c r="O421" s="46"/>
      <c r="P421" s="47"/>
      <c r="Q421" s="48"/>
      <c r="R421" s="49"/>
      <c r="S421" s="54" t="str">
        <f aca="false">IF(OR($AC421=0,$U421="",$M421="",$V421="",$W421=""),"",IF(COUNTIFS(m_teacher,$M421,m_date,$U421,m_active,1,m_start,"&lt;"&amp;$W421,m_end,"&gt;"&amp;$V421)&gt;1,"충돌",""))</f>
        <v/>
      </c>
      <c r="T421" s="48"/>
      <c r="U421" s="55" t="str">
        <f aca="false">IF($G421="","",IFERROR(IF(ISNUMBER($G421),IF($G421&gt;19000000,DATE(INT($G421/10000),MOD(INT($G421/100),100),MOD($G421,100)),INT($G421)),IF(LEN(SUBSTITUTE(SUBSTITUTE(SUBSTITUTE(TRIM($G421),"-",""),".",""),"/",""))=8,DATE(VALUE(LEFT(SUBSTITUTE(SUBSTITUTE(SUBSTITUTE(TRIM($G421),"-",""),".",""),"/",""),4)),VALUE(MID(SUBSTITUTE(SUBSTITUTE(SUBSTITUTE(TRIM($G421),"-",""),".",""),"/",""),5,2)),VALUE(RIGHT(SUBSTITUTE(SUBSTITUTE(SUBSTITUTE(TRIM($G421),"-",""),".",""),"/",""),2))),DATEVALUE($G421))),""))</f>
        <v/>
      </c>
      <c r="V421" s="52" t="str">
        <f aca="false">IF($H421="","",IFERROR(IF(IF(ISNUMBER($H421),$H421,IFERROR(TIMEVALUE($H421),VALUE($H421)))&gt;=100,INT(IF(ISNUMBER($H421),$H421,IFERROR(TIMEVALUE($H421),VALUE($H421)))/100)*60+MOD(IF(ISNUMBER($H421),$H421,IFERROR(TIMEVALUE($H421),VALUE($H421))),100),IF(IF(ISNUMBER($H421),$H421,IFERROR(TIMEVALUE($H421),VALUE($H421)))&gt;=1,ROUND(IF(ISNUMBER($H421),$H421,IFERROR(TIMEVALUE($H421),VALUE($H421)))*60,0),ROUND(MOD(IF(ISNUMBER($H421),$H421,IFERROR(TIMEVALUE($H421),VALUE($H421))),1)*1440,0))),""))</f>
        <v/>
      </c>
      <c r="W421" s="52" t="str">
        <f aca="false">IF($I421="","",IFERROR(IF(IF(ISNUMBER($I421),$I421,IFERROR(TIMEVALUE($I421),VALUE($I421)))&gt;=100,INT(IF(ISNUMBER($I421),$I421,IFERROR(TIMEVALUE($I421),VALUE($I421)))/100)*60+MOD(IF(ISNUMBER($I421),$I421,IFERROR(TIMEVALUE($I421),VALUE($I421))),100),IF(IF(ISNUMBER($I421),$I421,IFERROR(TIMEVALUE($I421),VALUE($I421)))&gt;=1,ROUND(IF(ISNUMBER($I421),$I421,IFERROR(TIMEVALUE($I421),VALUE($I421)))*60,0),ROUND(MOD(IF(ISNUMBER($I421),$I421,IFERROR(TIMEVALUE($I421),VALUE($I421))),1)*1440,0))),""))</f>
        <v/>
      </c>
      <c r="X421" s="55" t="str">
        <f aca="false">IF($P421="","",IFERROR(IF(ISNUMBER($P421),IF($P421&gt;19000000,DATE(INT($P421/10000),MOD(INT($P421/100),100),MOD($P421,100)),INT($P421)),IF(LEN(SUBSTITUTE(SUBSTITUTE(SUBSTITUTE(TRIM($P421),"-",""),".",""),"/",""))=8,DATE(VALUE(LEFT(SUBSTITUTE(SUBSTITUTE(SUBSTITUTE(TRIM($P421),"-",""),".",""),"/",""),4)),VALUE(MID(SUBSTITUTE(SUBSTITUTE(SUBSTITUTE(TRIM($P421),"-",""),".",""),"/",""),5,2)),VALUE(RIGHT(SUBSTITUTE(SUBSTITUTE(SUBSTITUTE(TRIM($P421),"-",""),".",""),"/",""),2))),DATEVALUE($P421))),""))</f>
        <v/>
      </c>
      <c r="Y421" s="56" t="str">
        <f aca="false">IF($M421="","",IFERROR(INDEX(강사DB!$D$4:$D$53,MATCH($M421,강사DB!$A$4:$A$53,0)),""))</f>
        <v/>
      </c>
      <c r="Z421" s="56" t="str">
        <f aca="false">IF($B421&lt;&gt;"결제완료","",IF(OR($Y421="",$J421=""),"",$Y421*$J421+MAX(0,N($K421)-1)*설정!$J$7))</f>
        <v/>
      </c>
      <c r="AA421" s="56" t="str">
        <f aca="false">IF(AND($D421&lt;&gt;"",$B421="결제완료"),N($N421),"")</f>
        <v/>
      </c>
      <c r="AB421" s="45" t="str">
        <f aca="false">IF($D421="","",IF($F421&lt;&gt;"",$F421,$D421)&amp;IF($B421="상담중"," (상담)",""))</f>
        <v/>
      </c>
      <c r="AC421" s="45" t="n">
        <f aca="false">IF(AND($D421&lt;&gt;"",OR($B421="결제완료",$B421="상담중")),1,0)</f>
        <v>0</v>
      </c>
      <c r="AD421" s="45" t="n">
        <f aca="false">IF(OR($Z421="",$U421=""),0,IFERROR(IF(COUNTIFS(INDEX(g_grid,0,2*MATCH($M421,강사DB!$A$4:$A$15,0)),"&lt;&gt;",g_s,"&lt;="&amp;$U421,g_e,"&gt;="&amp;$U421)&gt;0,1,0),0))</f>
        <v>0</v>
      </c>
      <c r="AE421" s="48"/>
      <c r="AF421" s="56" t="str">
        <f aca="false">IF(AND($D421&lt;&gt;"",$B421="결제완료",$T421="대여"),설정!$J$5,"")</f>
        <v/>
      </c>
      <c r="AG421" s="54" t="str">
        <f aca="false">IF($D421="","",IF(AND($E421="",$R421=""),$AB421,"☎ "&amp;IF($E421="","-",$E421)&amp;IF($R421&lt;&gt;"","  ※ "&amp;$R421,"")&amp;IF($B421="상담중"," (상담)","")))</f>
        <v/>
      </c>
      <c r="AH421" s="56" t="str">
        <f aca="false">IF(AND($D421&lt;&gt;"",$B421="결제완료",$O421="스마트스토어"),ROUND(N($N421)*설정!$J$6,0),"")</f>
        <v/>
      </c>
      <c r="AI421" s="54" t="str">
        <f aca="false">IF($D421="","",ROW())</f>
        <v/>
      </c>
      <c r="AJ421" s="54" t="n">
        <f aca="false">IF(OR($AC421&lt;&gt;1,$M421=""),0,IF(ISNUMBER(SEARCH("퇴사",IFERROR(INDEX(강사DB!$G$4:$G$53,MATCH($M421,강사DB!$A$4:$A$53,0)),""))),1,0))</f>
        <v>0</v>
      </c>
    </row>
    <row r="422" customFormat="false" ht="15" hidden="false" customHeight="false" outlineLevel="0" collapsed="false">
      <c r="A422" s="45" t="str">
        <f aca="false">IF($D422="","",COUNTA($D$5:$D422))</f>
        <v/>
      </c>
      <c r="B422" s="46"/>
      <c r="C422" s="47"/>
      <c r="D422" s="48"/>
      <c r="E422" s="48"/>
      <c r="F422" s="49"/>
      <c r="G422" s="47"/>
      <c r="H422" s="50"/>
      <c r="I422" s="50"/>
      <c r="J422" s="51" t="str">
        <f aca="false">IF(OR($V422="",$W422=""),"",ROUND(($W422-$V422)/60,2))</f>
        <v/>
      </c>
      <c r="K422" s="52" t="str">
        <f aca="false">IF($F422="","",LEN($F422)-LEN(SUBSTITUTE($F422,",",""))+1)</f>
        <v/>
      </c>
      <c r="L422" s="45" t="str">
        <f aca="false">IF($K422="","","1:"&amp;$K422)</f>
        <v/>
      </c>
      <c r="M422" s="46"/>
      <c r="N422" s="53"/>
      <c r="O422" s="46"/>
      <c r="P422" s="47"/>
      <c r="Q422" s="48"/>
      <c r="R422" s="49"/>
      <c r="S422" s="54" t="str">
        <f aca="false">IF(OR($AC422=0,$U422="",$M422="",$V422="",$W422=""),"",IF(COUNTIFS(m_teacher,$M422,m_date,$U422,m_active,1,m_start,"&lt;"&amp;$W422,m_end,"&gt;"&amp;$V422)&gt;1,"충돌",""))</f>
        <v/>
      </c>
      <c r="T422" s="48"/>
      <c r="U422" s="55" t="str">
        <f aca="false">IF($G422="","",IFERROR(IF(ISNUMBER($G422),IF($G422&gt;19000000,DATE(INT($G422/10000),MOD(INT($G422/100),100),MOD($G422,100)),INT($G422)),IF(LEN(SUBSTITUTE(SUBSTITUTE(SUBSTITUTE(TRIM($G422),"-",""),".",""),"/",""))=8,DATE(VALUE(LEFT(SUBSTITUTE(SUBSTITUTE(SUBSTITUTE(TRIM($G422),"-",""),".",""),"/",""),4)),VALUE(MID(SUBSTITUTE(SUBSTITUTE(SUBSTITUTE(TRIM($G422),"-",""),".",""),"/",""),5,2)),VALUE(RIGHT(SUBSTITUTE(SUBSTITUTE(SUBSTITUTE(TRIM($G422),"-",""),".",""),"/",""),2))),DATEVALUE($G422))),""))</f>
        <v/>
      </c>
      <c r="V422" s="52" t="str">
        <f aca="false">IF($H422="","",IFERROR(IF(IF(ISNUMBER($H422),$H422,IFERROR(TIMEVALUE($H422),VALUE($H422)))&gt;=100,INT(IF(ISNUMBER($H422),$H422,IFERROR(TIMEVALUE($H422),VALUE($H422)))/100)*60+MOD(IF(ISNUMBER($H422),$H422,IFERROR(TIMEVALUE($H422),VALUE($H422))),100),IF(IF(ISNUMBER($H422),$H422,IFERROR(TIMEVALUE($H422),VALUE($H422)))&gt;=1,ROUND(IF(ISNUMBER($H422),$H422,IFERROR(TIMEVALUE($H422),VALUE($H422)))*60,0),ROUND(MOD(IF(ISNUMBER($H422),$H422,IFERROR(TIMEVALUE($H422),VALUE($H422))),1)*1440,0))),""))</f>
        <v/>
      </c>
      <c r="W422" s="52" t="str">
        <f aca="false">IF($I422="","",IFERROR(IF(IF(ISNUMBER($I422),$I422,IFERROR(TIMEVALUE($I422),VALUE($I422)))&gt;=100,INT(IF(ISNUMBER($I422),$I422,IFERROR(TIMEVALUE($I422),VALUE($I422)))/100)*60+MOD(IF(ISNUMBER($I422),$I422,IFERROR(TIMEVALUE($I422),VALUE($I422))),100),IF(IF(ISNUMBER($I422),$I422,IFERROR(TIMEVALUE($I422),VALUE($I422)))&gt;=1,ROUND(IF(ISNUMBER($I422),$I422,IFERROR(TIMEVALUE($I422),VALUE($I422)))*60,0),ROUND(MOD(IF(ISNUMBER($I422),$I422,IFERROR(TIMEVALUE($I422),VALUE($I422))),1)*1440,0))),""))</f>
        <v/>
      </c>
      <c r="X422" s="55" t="str">
        <f aca="false">IF($P422="","",IFERROR(IF(ISNUMBER($P422),IF($P422&gt;19000000,DATE(INT($P422/10000),MOD(INT($P422/100),100),MOD($P422,100)),INT($P422)),IF(LEN(SUBSTITUTE(SUBSTITUTE(SUBSTITUTE(TRIM($P422),"-",""),".",""),"/",""))=8,DATE(VALUE(LEFT(SUBSTITUTE(SUBSTITUTE(SUBSTITUTE(TRIM($P422),"-",""),".",""),"/",""),4)),VALUE(MID(SUBSTITUTE(SUBSTITUTE(SUBSTITUTE(TRIM($P422),"-",""),".",""),"/",""),5,2)),VALUE(RIGHT(SUBSTITUTE(SUBSTITUTE(SUBSTITUTE(TRIM($P422),"-",""),".",""),"/",""),2))),DATEVALUE($P422))),""))</f>
        <v/>
      </c>
      <c r="Y422" s="56" t="str">
        <f aca="false">IF($M422="","",IFERROR(INDEX(강사DB!$D$4:$D$53,MATCH($M422,강사DB!$A$4:$A$53,0)),""))</f>
        <v/>
      </c>
      <c r="Z422" s="56" t="str">
        <f aca="false">IF($B422&lt;&gt;"결제완료","",IF(OR($Y422="",$J422=""),"",$Y422*$J422+MAX(0,N($K422)-1)*설정!$J$7))</f>
        <v/>
      </c>
      <c r="AA422" s="56" t="str">
        <f aca="false">IF(AND($D422&lt;&gt;"",$B422="결제완료"),N($N422),"")</f>
        <v/>
      </c>
      <c r="AB422" s="45" t="str">
        <f aca="false">IF($D422="","",IF($F422&lt;&gt;"",$F422,$D422)&amp;IF($B422="상담중"," (상담)",""))</f>
        <v/>
      </c>
      <c r="AC422" s="45" t="n">
        <f aca="false">IF(AND($D422&lt;&gt;"",OR($B422="결제완료",$B422="상담중")),1,0)</f>
        <v>0</v>
      </c>
      <c r="AD422" s="45" t="n">
        <f aca="false">IF(OR($Z422="",$U422=""),0,IFERROR(IF(COUNTIFS(INDEX(g_grid,0,2*MATCH($M422,강사DB!$A$4:$A$15,0)),"&lt;&gt;",g_s,"&lt;="&amp;$U422,g_e,"&gt;="&amp;$U422)&gt;0,1,0),0))</f>
        <v>0</v>
      </c>
      <c r="AE422" s="48"/>
      <c r="AF422" s="56" t="str">
        <f aca="false">IF(AND($D422&lt;&gt;"",$B422="결제완료",$T422="대여"),설정!$J$5,"")</f>
        <v/>
      </c>
      <c r="AG422" s="54" t="str">
        <f aca="false">IF($D422="","",IF(AND($E422="",$R422=""),$AB422,"☎ "&amp;IF($E422="","-",$E422)&amp;IF($R422&lt;&gt;"","  ※ "&amp;$R422,"")&amp;IF($B422="상담중"," (상담)","")))</f>
        <v/>
      </c>
      <c r="AH422" s="56" t="str">
        <f aca="false">IF(AND($D422&lt;&gt;"",$B422="결제완료",$O422="스마트스토어"),ROUND(N($N422)*설정!$J$6,0),"")</f>
        <v/>
      </c>
      <c r="AI422" s="54" t="str">
        <f aca="false">IF($D422="","",ROW())</f>
        <v/>
      </c>
      <c r="AJ422" s="54" t="n">
        <f aca="false">IF(OR($AC422&lt;&gt;1,$M422=""),0,IF(ISNUMBER(SEARCH("퇴사",IFERROR(INDEX(강사DB!$G$4:$G$53,MATCH($M422,강사DB!$A$4:$A$53,0)),""))),1,0))</f>
        <v>0</v>
      </c>
    </row>
    <row r="423" customFormat="false" ht="15" hidden="false" customHeight="false" outlineLevel="0" collapsed="false">
      <c r="A423" s="45" t="str">
        <f aca="false">IF($D423="","",COUNTA($D$5:$D423))</f>
        <v/>
      </c>
      <c r="B423" s="46"/>
      <c r="C423" s="47"/>
      <c r="D423" s="48"/>
      <c r="E423" s="48"/>
      <c r="F423" s="49"/>
      <c r="G423" s="47"/>
      <c r="H423" s="50"/>
      <c r="I423" s="50"/>
      <c r="J423" s="51" t="str">
        <f aca="false">IF(OR($V423="",$W423=""),"",ROUND(($W423-$V423)/60,2))</f>
        <v/>
      </c>
      <c r="K423" s="52" t="str">
        <f aca="false">IF($F423="","",LEN($F423)-LEN(SUBSTITUTE($F423,",",""))+1)</f>
        <v/>
      </c>
      <c r="L423" s="45" t="str">
        <f aca="false">IF($K423="","","1:"&amp;$K423)</f>
        <v/>
      </c>
      <c r="M423" s="46"/>
      <c r="N423" s="53"/>
      <c r="O423" s="46"/>
      <c r="P423" s="47"/>
      <c r="Q423" s="48"/>
      <c r="R423" s="49"/>
      <c r="S423" s="54" t="str">
        <f aca="false">IF(OR($AC423=0,$U423="",$M423="",$V423="",$W423=""),"",IF(COUNTIFS(m_teacher,$M423,m_date,$U423,m_active,1,m_start,"&lt;"&amp;$W423,m_end,"&gt;"&amp;$V423)&gt;1,"충돌",""))</f>
        <v/>
      </c>
      <c r="T423" s="48"/>
      <c r="U423" s="55" t="str">
        <f aca="false">IF($G423="","",IFERROR(IF(ISNUMBER($G423),IF($G423&gt;19000000,DATE(INT($G423/10000),MOD(INT($G423/100),100),MOD($G423,100)),INT($G423)),IF(LEN(SUBSTITUTE(SUBSTITUTE(SUBSTITUTE(TRIM($G423),"-",""),".",""),"/",""))=8,DATE(VALUE(LEFT(SUBSTITUTE(SUBSTITUTE(SUBSTITUTE(TRIM($G423),"-",""),".",""),"/",""),4)),VALUE(MID(SUBSTITUTE(SUBSTITUTE(SUBSTITUTE(TRIM($G423),"-",""),".",""),"/",""),5,2)),VALUE(RIGHT(SUBSTITUTE(SUBSTITUTE(SUBSTITUTE(TRIM($G423),"-",""),".",""),"/",""),2))),DATEVALUE($G423))),""))</f>
        <v/>
      </c>
      <c r="V423" s="52" t="str">
        <f aca="false">IF($H423="","",IFERROR(IF(IF(ISNUMBER($H423),$H423,IFERROR(TIMEVALUE($H423),VALUE($H423)))&gt;=100,INT(IF(ISNUMBER($H423),$H423,IFERROR(TIMEVALUE($H423),VALUE($H423)))/100)*60+MOD(IF(ISNUMBER($H423),$H423,IFERROR(TIMEVALUE($H423),VALUE($H423))),100),IF(IF(ISNUMBER($H423),$H423,IFERROR(TIMEVALUE($H423),VALUE($H423)))&gt;=1,ROUND(IF(ISNUMBER($H423),$H423,IFERROR(TIMEVALUE($H423),VALUE($H423)))*60,0),ROUND(MOD(IF(ISNUMBER($H423),$H423,IFERROR(TIMEVALUE($H423),VALUE($H423))),1)*1440,0))),""))</f>
        <v/>
      </c>
      <c r="W423" s="52" t="str">
        <f aca="false">IF($I423="","",IFERROR(IF(IF(ISNUMBER($I423),$I423,IFERROR(TIMEVALUE($I423),VALUE($I423)))&gt;=100,INT(IF(ISNUMBER($I423),$I423,IFERROR(TIMEVALUE($I423),VALUE($I423)))/100)*60+MOD(IF(ISNUMBER($I423),$I423,IFERROR(TIMEVALUE($I423),VALUE($I423))),100),IF(IF(ISNUMBER($I423),$I423,IFERROR(TIMEVALUE($I423),VALUE($I423)))&gt;=1,ROUND(IF(ISNUMBER($I423),$I423,IFERROR(TIMEVALUE($I423),VALUE($I423)))*60,0),ROUND(MOD(IF(ISNUMBER($I423),$I423,IFERROR(TIMEVALUE($I423),VALUE($I423))),1)*1440,0))),""))</f>
        <v/>
      </c>
      <c r="X423" s="55" t="str">
        <f aca="false">IF($P423="","",IFERROR(IF(ISNUMBER($P423),IF($P423&gt;19000000,DATE(INT($P423/10000),MOD(INT($P423/100),100),MOD($P423,100)),INT($P423)),IF(LEN(SUBSTITUTE(SUBSTITUTE(SUBSTITUTE(TRIM($P423),"-",""),".",""),"/",""))=8,DATE(VALUE(LEFT(SUBSTITUTE(SUBSTITUTE(SUBSTITUTE(TRIM($P423),"-",""),".",""),"/",""),4)),VALUE(MID(SUBSTITUTE(SUBSTITUTE(SUBSTITUTE(TRIM($P423),"-",""),".",""),"/",""),5,2)),VALUE(RIGHT(SUBSTITUTE(SUBSTITUTE(SUBSTITUTE(TRIM($P423),"-",""),".",""),"/",""),2))),DATEVALUE($P423))),""))</f>
        <v/>
      </c>
      <c r="Y423" s="56" t="str">
        <f aca="false">IF($M423="","",IFERROR(INDEX(강사DB!$D$4:$D$53,MATCH($M423,강사DB!$A$4:$A$53,0)),""))</f>
        <v/>
      </c>
      <c r="Z423" s="56" t="str">
        <f aca="false">IF($B423&lt;&gt;"결제완료","",IF(OR($Y423="",$J423=""),"",$Y423*$J423+MAX(0,N($K423)-1)*설정!$J$7))</f>
        <v/>
      </c>
      <c r="AA423" s="56" t="str">
        <f aca="false">IF(AND($D423&lt;&gt;"",$B423="결제완료"),N($N423),"")</f>
        <v/>
      </c>
      <c r="AB423" s="45" t="str">
        <f aca="false">IF($D423="","",IF($F423&lt;&gt;"",$F423,$D423)&amp;IF($B423="상담중"," (상담)",""))</f>
        <v/>
      </c>
      <c r="AC423" s="45" t="n">
        <f aca="false">IF(AND($D423&lt;&gt;"",OR($B423="결제완료",$B423="상담중")),1,0)</f>
        <v>0</v>
      </c>
      <c r="AD423" s="45" t="n">
        <f aca="false">IF(OR($Z423="",$U423=""),0,IFERROR(IF(COUNTIFS(INDEX(g_grid,0,2*MATCH($M423,강사DB!$A$4:$A$15,0)),"&lt;&gt;",g_s,"&lt;="&amp;$U423,g_e,"&gt;="&amp;$U423)&gt;0,1,0),0))</f>
        <v>0</v>
      </c>
      <c r="AE423" s="48"/>
      <c r="AF423" s="56" t="str">
        <f aca="false">IF(AND($D423&lt;&gt;"",$B423="결제완료",$T423="대여"),설정!$J$5,"")</f>
        <v/>
      </c>
      <c r="AG423" s="54" t="str">
        <f aca="false">IF($D423="","",IF(AND($E423="",$R423=""),$AB423,"☎ "&amp;IF($E423="","-",$E423)&amp;IF($R423&lt;&gt;"","  ※ "&amp;$R423,"")&amp;IF($B423="상담중"," (상담)","")))</f>
        <v/>
      </c>
      <c r="AH423" s="56" t="str">
        <f aca="false">IF(AND($D423&lt;&gt;"",$B423="결제완료",$O423="스마트스토어"),ROUND(N($N423)*설정!$J$6,0),"")</f>
        <v/>
      </c>
      <c r="AI423" s="54" t="str">
        <f aca="false">IF($D423="","",ROW())</f>
        <v/>
      </c>
      <c r="AJ423" s="54" t="n">
        <f aca="false">IF(OR($AC423&lt;&gt;1,$M423=""),0,IF(ISNUMBER(SEARCH("퇴사",IFERROR(INDEX(강사DB!$G$4:$G$53,MATCH($M423,강사DB!$A$4:$A$53,0)),""))),1,0))</f>
        <v>0</v>
      </c>
    </row>
    <row r="424" customFormat="false" ht="15" hidden="false" customHeight="false" outlineLevel="0" collapsed="false">
      <c r="A424" s="45" t="str">
        <f aca="false">IF($D424="","",COUNTA($D$5:$D424))</f>
        <v/>
      </c>
      <c r="B424" s="46"/>
      <c r="C424" s="47"/>
      <c r="D424" s="48"/>
      <c r="E424" s="48"/>
      <c r="F424" s="49"/>
      <c r="G424" s="47"/>
      <c r="H424" s="50"/>
      <c r="I424" s="50"/>
      <c r="J424" s="51" t="str">
        <f aca="false">IF(OR($V424="",$W424=""),"",ROUND(($W424-$V424)/60,2))</f>
        <v/>
      </c>
      <c r="K424" s="52" t="str">
        <f aca="false">IF($F424="","",LEN($F424)-LEN(SUBSTITUTE($F424,",",""))+1)</f>
        <v/>
      </c>
      <c r="L424" s="45" t="str">
        <f aca="false">IF($K424="","","1:"&amp;$K424)</f>
        <v/>
      </c>
      <c r="M424" s="46"/>
      <c r="N424" s="53"/>
      <c r="O424" s="46"/>
      <c r="P424" s="47"/>
      <c r="Q424" s="48"/>
      <c r="R424" s="49"/>
      <c r="S424" s="54" t="str">
        <f aca="false">IF(OR($AC424=0,$U424="",$M424="",$V424="",$W424=""),"",IF(COUNTIFS(m_teacher,$M424,m_date,$U424,m_active,1,m_start,"&lt;"&amp;$W424,m_end,"&gt;"&amp;$V424)&gt;1,"충돌",""))</f>
        <v/>
      </c>
      <c r="T424" s="48"/>
      <c r="U424" s="55" t="str">
        <f aca="false">IF($G424="","",IFERROR(IF(ISNUMBER($G424),IF($G424&gt;19000000,DATE(INT($G424/10000),MOD(INT($G424/100),100),MOD($G424,100)),INT($G424)),IF(LEN(SUBSTITUTE(SUBSTITUTE(SUBSTITUTE(TRIM($G424),"-",""),".",""),"/",""))=8,DATE(VALUE(LEFT(SUBSTITUTE(SUBSTITUTE(SUBSTITUTE(TRIM($G424),"-",""),".",""),"/",""),4)),VALUE(MID(SUBSTITUTE(SUBSTITUTE(SUBSTITUTE(TRIM($G424),"-",""),".",""),"/",""),5,2)),VALUE(RIGHT(SUBSTITUTE(SUBSTITUTE(SUBSTITUTE(TRIM($G424),"-",""),".",""),"/",""),2))),DATEVALUE($G424))),""))</f>
        <v/>
      </c>
      <c r="V424" s="52" t="str">
        <f aca="false">IF($H424="","",IFERROR(IF(IF(ISNUMBER($H424),$H424,IFERROR(TIMEVALUE($H424),VALUE($H424)))&gt;=100,INT(IF(ISNUMBER($H424),$H424,IFERROR(TIMEVALUE($H424),VALUE($H424)))/100)*60+MOD(IF(ISNUMBER($H424),$H424,IFERROR(TIMEVALUE($H424),VALUE($H424))),100),IF(IF(ISNUMBER($H424),$H424,IFERROR(TIMEVALUE($H424),VALUE($H424)))&gt;=1,ROUND(IF(ISNUMBER($H424),$H424,IFERROR(TIMEVALUE($H424),VALUE($H424)))*60,0),ROUND(MOD(IF(ISNUMBER($H424),$H424,IFERROR(TIMEVALUE($H424),VALUE($H424))),1)*1440,0))),""))</f>
        <v/>
      </c>
      <c r="W424" s="52" t="str">
        <f aca="false">IF($I424="","",IFERROR(IF(IF(ISNUMBER($I424),$I424,IFERROR(TIMEVALUE($I424),VALUE($I424)))&gt;=100,INT(IF(ISNUMBER($I424),$I424,IFERROR(TIMEVALUE($I424),VALUE($I424)))/100)*60+MOD(IF(ISNUMBER($I424),$I424,IFERROR(TIMEVALUE($I424),VALUE($I424))),100),IF(IF(ISNUMBER($I424),$I424,IFERROR(TIMEVALUE($I424),VALUE($I424)))&gt;=1,ROUND(IF(ISNUMBER($I424),$I424,IFERROR(TIMEVALUE($I424),VALUE($I424)))*60,0),ROUND(MOD(IF(ISNUMBER($I424),$I424,IFERROR(TIMEVALUE($I424),VALUE($I424))),1)*1440,0))),""))</f>
        <v/>
      </c>
      <c r="X424" s="55" t="str">
        <f aca="false">IF($P424="","",IFERROR(IF(ISNUMBER($P424),IF($P424&gt;19000000,DATE(INT($P424/10000),MOD(INT($P424/100),100),MOD($P424,100)),INT($P424)),IF(LEN(SUBSTITUTE(SUBSTITUTE(SUBSTITUTE(TRIM($P424),"-",""),".",""),"/",""))=8,DATE(VALUE(LEFT(SUBSTITUTE(SUBSTITUTE(SUBSTITUTE(TRIM($P424),"-",""),".",""),"/",""),4)),VALUE(MID(SUBSTITUTE(SUBSTITUTE(SUBSTITUTE(TRIM($P424),"-",""),".",""),"/",""),5,2)),VALUE(RIGHT(SUBSTITUTE(SUBSTITUTE(SUBSTITUTE(TRIM($P424),"-",""),".",""),"/",""),2))),DATEVALUE($P424))),""))</f>
        <v/>
      </c>
      <c r="Y424" s="56" t="str">
        <f aca="false">IF($M424="","",IFERROR(INDEX(강사DB!$D$4:$D$53,MATCH($M424,강사DB!$A$4:$A$53,0)),""))</f>
        <v/>
      </c>
      <c r="Z424" s="56" t="str">
        <f aca="false">IF($B424&lt;&gt;"결제완료","",IF(OR($Y424="",$J424=""),"",$Y424*$J424+MAX(0,N($K424)-1)*설정!$J$7))</f>
        <v/>
      </c>
      <c r="AA424" s="56" t="str">
        <f aca="false">IF(AND($D424&lt;&gt;"",$B424="결제완료"),N($N424),"")</f>
        <v/>
      </c>
      <c r="AB424" s="45" t="str">
        <f aca="false">IF($D424="","",IF($F424&lt;&gt;"",$F424,$D424)&amp;IF($B424="상담중"," (상담)",""))</f>
        <v/>
      </c>
      <c r="AC424" s="45" t="n">
        <f aca="false">IF(AND($D424&lt;&gt;"",OR($B424="결제완료",$B424="상담중")),1,0)</f>
        <v>0</v>
      </c>
      <c r="AD424" s="45" t="n">
        <f aca="false">IF(OR($Z424="",$U424=""),0,IFERROR(IF(COUNTIFS(INDEX(g_grid,0,2*MATCH($M424,강사DB!$A$4:$A$15,0)),"&lt;&gt;",g_s,"&lt;="&amp;$U424,g_e,"&gt;="&amp;$U424)&gt;0,1,0),0))</f>
        <v>0</v>
      </c>
      <c r="AE424" s="48"/>
      <c r="AF424" s="56" t="str">
        <f aca="false">IF(AND($D424&lt;&gt;"",$B424="결제완료",$T424="대여"),설정!$J$5,"")</f>
        <v/>
      </c>
      <c r="AG424" s="54" t="str">
        <f aca="false">IF($D424="","",IF(AND($E424="",$R424=""),$AB424,"☎ "&amp;IF($E424="","-",$E424)&amp;IF($R424&lt;&gt;"","  ※ "&amp;$R424,"")&amp;IF($B424="상담중"," (상담)","")))</f>
        <v/>
      </c>
      <c r="AH424" s="56" t="str">
        <f aca="false">IF(AND($D424&lt;&gt;"",$B424="결제완료",$O424="스마트스토어"),ROUND(N($N424)*설정!$J$6,0),"")</f>
        <v/>
      </c>
      <c r="AI424" s="54" t="str">
        <f aca="false">IF($D424="","",ROW())</f>
        <v/>
      </c>
      <c r="AJ424" s="54" t="n">
        <f aca="false">IF(OR($AC424&lt;&gt;1,$M424=""),0,IF(ISNUMBER(SEARCH("퇴사",IFERROR(INDEX(강사DB!$G$4:$G$53,MATCH($M424,강사DB!$A$4:$A$53,0)),""))),1,0))</f>
        <v>0</v>
      </c>
    </row>
    <row r="425" customFormat="false" ht="15" hidden="false" customHeight="false" outlineLevel="0" collapsed="false">
      <c r="A425" s="45" t="str">
        <f aca="false">IF($D425="","",COUNTA($D$5:$D425))</f>
        <v/>
      </c>
      <c r="B425" s="46"/>
      <c r="C425" s="47"/>
      <c r="D425" s="48"/>
      <c r="E425" s="48"/>
      <c r="F425" s="49"/>
      <c r="G425" s="47"/>
      <c r="H425" s="50"/>
      <c r="I425" s="50"/>
      <c r="J425" s="51" t="str">
        <f aca="false">IF(OR($V425="",$W425=""),"",ROUND(($W425-$V425)/60,2))</f>
        <v/>
      </c>
      <c r="K425" s="52" t="str">
        <f aca="false">IF($F425="","",LEN($F425)-LEN(SUBSTITUTE($F425,",",""))+1)</f>
        <v/>
      </c>
      <c r="L425" s="45" t="str">
        <f aca="false">IF($K425="","","1:"&amp;$K425)</f>
        <v/>
      </c>
      <c r="M425" s="46"/>
      <c r="N425" s="53"/>
      <c r="O425" s="46"/>
      <c r="P425" s="47"/>
      <c r="Q425" s="48"/>
      <c r="R425" s="49"/>
      <c r="S425" s="54" t="str">
        <f aca="false">IF(OR($AC425=0,$U425="",$M425="",$V425="",$W425=""),"",IF(COUNTIFS(m_teacher,$M425,m_date,$U425,m_active,1,m_start,"&lt;"&amp;$W425,m_end,"&gt;"&amp;$V425)&gt;1,"충돌",""))</f>
        <v/>
      </c>
      <c r="T425" s="48"/>
      <c r="U425" s="55" t="str">
        <f aca="false">IF($G425="","",IFERROR(IF(ISNUMBER($G425),IF($G425&gt;19000000,DATE(INT($G425/10000),MOD(INT($G425/100),100),MOD($G425,100)),INT($G425)),IF(LEN(SUBSTITUTE(SUBSTITUTE(SUBSTITUTE(TRIM($G425),"-",""),".",""),"/",""))=8,DATE(VALUE(LEFT(SUBSTITUTE(SUBSTITUTE(SUBSTITUTE(TRIM($G425),"-",""),".",""),"/",""),4)),VALUE(MID(SUBSTITUTE(SUBSTITUTE(SUBSTITUTE(TRIM($G425),"-",""),".",""),"/",""),5,2)),VALUE(RIGHT(SUBSTITUTE(SUBSTITUTE(SUBSTITUTE(TRIM($G425),"-",""),".",""),"/",""),2))),DATEVALUE($G425))),""))</f>
        <v/>
      </c>
      <c r="V425" s="52" t="str">
        <f aca="false">IF($H425="","",IFERROR(IF(IF(ISNUMBER($H425),$H425,IFERROR(TIMEVALUE($H425),VALUE($H425)))&gt;=100,INT(IF(ISNUMBER($H425),$H425,IFERROR(TIMEVALUE($H425),VALUE($H425)))/100)*60+MOD(IF(ISNUMBER($H425),$H425,IFERROR(TIMEVALUE($H425),VALUE($H425))),100),IF(IF(ISNUMBER($H425),$H425,IFERROR(TIMEVALUE($H425),VALUE($H425)))&gt;=1,ROUND(IF(ISNUMBER($H425),$H425,IFERROR(TIMEVALUE($H425),VALUE($H425)))*60,0),ROUND(MOD(IF(ISNUMBER($H425),$H425,IFERROR(TIMEVALUE($H425),VALUE($H425))),1)*1440,0))),""))</f>
        <v/>
      </c>
      <c r="W425" s="52" t="str">
        <f aca="false">IF($I425="","",IFERROR(IF(IF(ISNUMBER($I425),$I425,IFERROR(TIMEVALUE($I425),VALUE($I425)))&gt;=100,INT(IF(ISNUMBER($I425),$I425,IFERROR(TIMEVALUE($I425),VALUE($I425)))/100)*60+MOD(IF(ISNUMBER($I425),$I425,IFERROR(TIMEVALUE($I425),VALUE($I425))),100),IF(IF(ISNUMBER($I425),$I425,IFERROR(TIMEVALUE($I425),VALUE($I425)))&gt;=1,ROUND(IF(ISNUMBER($I425),$I425,IFERROR(TIMEVALUE($I425),VALUE($I425)))*60,0),ROUND(MOD(IF(ISNUMBER($I425),$I425,IFERROR(TIMEVALUE($I425),VALUE($I425))),1)*1440,0))),""))</f>
        <v/>
      </c>
      <c r="X425" s="55" t="str">
        <f aca="false">IF($P425="","",IFERROR(IF(ISNUMBER($P425),IF($P425&gt;19000000,DATE(INT($P425/10000),MOD(INT($P425/100),100),MOD($P425,100)),INT($P425)),IF(LEN(SUBSTITUTE(SUBSTITUTE(SUBSTITUTE(TRIM($P425),"-",""),".",""),"/",""))=8,DATE(VALUE(LEFT(SUBSTITUTE(SUBSTITUTE(SUBSTITUTE(TRIM($P425),"-",""),".",""),"/",""),4)),VALUE(MID(SUBSTITUTE(SUBSTITUTE(SUBSTITUTE(TRIM($P425),"-",""),".",""),"/",""),5,2)),VALUE(RIGHT(SUBSTITUTE(SUBSTITUTE(SUBSTITUTE(TRIM($P425),"-",""),".",""),"/",""),2))),DATEVALUE($P425))),""))</f>
        <v/>
      </c>
      <c r="Y425" s="56" t="str">
        <f aca="false">IF($M425="","",IFERROR(INDEX(강사DB!$D$4:$D$53,MATCH($M425,강사DB!$A$4:$A$53,0)),""))</f>
        <v/>
      </c>
      <c r="Z425" s="56" t="str">
        <f aca="false">IF($B425&lt;&gt;"결제완료","",IF(OR($Y425="",$J425=""),"",$Y425*$J425+MAX(0,N($K425)-1)*설정!$J$7))</f>
        <v/>
      </c>
      <c r="AA425" s="56" t="str">
        <f aca="false">IF(AND($D425&lt;&gt;"",$B425="결제완료"),N($N425),"")</f>
        <v/>
      </c>
      <c r="AB425" s="45" t="str">
        <f aca="false">IF($D425="","",IF($F425&lt;&gt;"",$F425,$D425)&amp;IF($B425="상담중"," (상담)",""))</f>
        <v/>
      </c>
      <c r="AC425" s="45" t="n">
        <f aca="false">IF(AND($D425&lt;&gt;"",OR($B425="결제완료",$B425="상담중")),1,0)</f>
        <v>0</v>
      </c>
      <c r="AD425" s="45" t="n">
        <f aca="false">IF(OR($Z425="",$U425=""),0,IFERROR(IF(COUNTIFS(INDEX(g_grid,0,2*MATCH($M425,강사DB!$A$4:$A$15,0)),"&lt;&gt;",g_s,"&lt;="&amp;$U425,g_e,"&gt;="&amp;$U425)&gt;0,1,0),0))</f>
        <v>0</v>
      </c>
      <c r="AE425" s="48"/>
      <c r="AF425" s="56" t="str">
        <f aca="false">IF(AND($D425&lt;&gt;"",$B425="결제완료",$T425="대여"),설정!$J$5,"")</f>
        <v/>
      </c>
      <c r="AG425" s="54" t="str">
        <f aca="false">IF($D425="","",IF(AND($E425="",$R425=""),$AB425,"☎ "&amp;IF($E425="","-",$E425)&amp;IF($R425&lt;&gt;"","  ※ "&amp;$R425,"")&amp;IF($B425="상담중"," (상담)","")))</f>
        <v/>
      </c>
      <c r="AH425" s="56" t="str">
        <f aca="false">IF(AND($D425&lt;&gt;"",$B425="결제완료",$O425="스마트스토어"),ROUND(N($N425)*설정!$J$6,0),"")</f>
        <v/>
      </c>
      <c r="AI425" s="54" t="str">
        <f aca="false">IF($D425="","",ROW())</f>
        <v/>
      </c>
      <c r="AJ425" s="54" t="n">
        <f aca="false">IF(OR($AC425&lt;&gt;1,$M425=""),0,IF(ISNUMBER(SEARCH("퇴사",IFERROR(INDEX(강사DB!$G$4:$G$53,MATCH($M425,강사DB!$A$4:$A$53,0)),""))),1,0))</f>
        <v>0</v>
      </c>
    </row>
    <row r="426" customFormat="false" ht="15" hidden="false" customHeight="false" outlineLevel="0" collapsed="false">
      <c r="A426" s="45" t="str">
        <f aca="false">IF($D426="","",COUNTA($D$5:$D426))</f>
        <v/>
      </c>
      <c r="B426" s="46"/>
      <c r="C426" s="47"/>
      <c r="D426" s="48"/>
      <c r="E426" s="48"/>
      <c r="F426" s="49"/>
      <c r="G426" s="47"/>
      <c r="H426" s="50"/>
      <c r="I426" s="50"/>
      <c r="J426" s="51" t="str">
        <f aca="false">IF(OR($V426="",$W426=""),"",ROUND(($W426-$V426)/60,2))</f>
        <v/>
      </c>
      <c r="K426" s="52" t="str">
        <f aca="false">IF($F426="","",LEN($F426)-LEN(SUBSTITUTE($F426,",",""))+1)</f>
        <v/>
      </c>
      <c r="L426" s="45" t="str">
        <f aca="false">IF($K426="","","1:"&amp;$K426)</f>
        <v/>
      </c>
      <c r="M426" s="46"/>
      <c r="N426" s="53"/>
      <c r="O426" s="46"/>
      <c r="P426" s="47"/>
      <c r="Q426" s="48"/>
      <c r="R426" s="49"/>
      <c r="S426" s="54" t="str">
        <f aca="false">IF(OR($AC426=0,$U426="",$M426="",$V426="",$W426=""),"",IF(COUNTIFS(m_teacher,$M426,m_date,$U426,m_active,1,m_start,"&lt;"&amp;$W426,m_end,"&gt;"&amp;$V426)&gt;1,"충돌",""))</f>
        <v/>
      </c>
      <c r="T426" s="48"/>
      <c r="U426" s="55" t="str">
        <f aca="false">IF($G426="","",IFERROR(IF(ISNUMBER($G426),IF($G426&gt;19000000,DATE(INT($G426/10000),MOD(INT($G426/100),100),MOD($G426,100)),INT($G426)),IF(LEN(SUBSTITUTE(SUBSTITUTE(SUBSTITUTE(TRIM($G426),"-",""),".",""),"/",""))=8,DATE(VALUE(LEFT(SUBSTITUTE(SUBSTITUTE(SUBSTITUTE(TRIM($G426),"-",""),".",""),"/",""),4)),VALUE(MID(SUBSTITUTE(SUBSTITUTE(SUBSTITUTE(TRIM($G426),"-",""),".",""),"/",""),5,2)),VALUE(RIGHT(SUBSTITUTE(SUBSTITUTE(SUBSTITUTE(TRIM($G426),"-",""),".",""),"/",""),2))),DATEVALUE($G426))),""))</f>
        <v/>
      </c>
      <c r="V426" s="52" t="str">
        <f aca="false">IF($H426="","",IFERROR(IF(IF(ISNUMBER($H426),$H426,IFERROR(TIMEVALUE($H426),VALUE($H426)))&gt;=100,INT(IF(ISNUMBER($H426),$H426,IFERROR(TIMEVALUE($H426),VALUE($H426)))/100)*60+MOD(IF(ISNUMBER($H426),$H426,IFERROR(TIMEVALUE($H426),VALUE($H426))),100),IF(IF(ISNUMBER($H426),$H426,IFERROR(TIMEVALUE($H426),VALUE($H426)))&gt;=1,ROUND(IF(ISNUMBER($H426),$H426,IFERROR(TIMEVALUE($H426),VALUE($H426)))*60,0),ROUND(MOD(IF(ISNUMBER($H426),$H426,IFERROR(TIMEVALUE($H426),VALUE($H426))),1)*1440,0))),""))</f>
        <v/>
      </c>
      <c r="W426" s="52" t="str">
        <f aca="false">IF($I426="","",IFERROR(IF(IF(ISNUMBER($I426),$I426,IFERROR(TIMEVALUE($I426),VALUE($I426)))&gt;=100,INT(IF(ISNUMBER($I426),$I426,IFERROR(TIMEVALUE($I426),VALUE($I426)))/100)*60+MOD(IF(ISNUMBER($I426),$I426,IFERROR(TIMEVALUE($I426),VALUE($I426))),100),IF(IF(ISNUMBER($I426),$I426,IFERROR(TIMEVALUE($I426),VALUE($I426)))&gt;=1,ROUND(IF(ISNUMBER($I426),$I426,IFERROR(TIMEVALUE($I426),VALUE($I426)))*60,0),ROUND(MOD(IF(ISNUMBER($I426),$I426,IFERROR(TIMEVALUE($I426),VALUE($I426))),1)*1440,0))),""))</f>
        <v/>
      </c>
      <c r="X426" s="55" t="str">
        <f aca="false">IF($P426="","",IFERROR(IF(ISNUMBER($P426),IF($P426&gt;19000000,DATE(INT($P426/10000),MOD(INT($P426/100),100),MOD($P426,100)),INT($P426)),IF(LEN(SUBSTITUTE(SUBSTITUTE(SUBSTITUTE(TRIM($P426),"-",""),".",""),"/",""))=8,DATE(VALUE(LEFT(SUBSTITUTE(SUBSTITUTE(SUBSTITUTE(TRIM($P426),"-",""),".",""),"/",""),4)),VALUE(MID(SUBSTITUTE(SUBSTITUTE(SUBSTITUTE(TRIM($P426),"-",""),".",""),"/",""),5,2)),VALUE(RIGHT(SUBSTITUTE(SUBSTITUTE(SUBSTITUTE(TRIM($P426),"-",""),".",""),"/",""),2))),DATEVALUE($P426))),""))</f>
        <v/>
      </c>
      <c r="Y426" s="56" t="str">
        <f aca="false">IF($M426="","",IFERROR(INDEX(강사DB!$D$4:$D$53,MATCH($M426,강사DB!$A$4:$A$53,0)),""))</f>
        <v/>
      </c>
      <c r="Z426" s="56" t="str">
        <f aca="false">IF($B426&lt;&gt;"결제완료","",IF(OR($Y426="",$J426=""),"",$Y426*$J426+MAX(0,N($K426)-1)*설정!$J$7))</f>
        <v/>
      </c>
      <c r="AA426" s="56" t="str">
        <f aca="false">IF(AND($D426&lt;&gt;"",$B426="결제완료"),N($N426),"")</f>
        <v/>
      </c>
      <c r="AB426" s="45" t="str">
        <f aca="false">IF($D426="","",IF($F426&lt;&gt;"",$F426,$D426)&amp;IF($B426="상담중"," (상담)",""))</f>
        <v/>
      </c>
      <c r="AC426" s="45" t="n">
        <f aca="false">IF(AND($D426&lt;&gt;"",OR($B426="결제완료",$B426="상담중")),1,0)</f>
        <v>0</v>
      </c>
      <c r="AD426" s="45" t="n">
        <f aca="false">IF(OR($Z426="",$U426=""),0,IFERROR(IF(COUNTIFS(INDEX(g_grid,0,2*MATCH($M426,강사DB!$A$4:$A$15,0)),"&lt;&gt;",g_s,"&lt;="&amp;$U426,g_e,"&gt;="&amp;$U426)&gt;0,1,0),0))</f>
        <v>0</v>
      </c>
      <c r="AE426" s="48"/>
      <c r="AF426" s="56" t="str">
        <f aca="false">IF(AND($D426&lt;&gt;"",$B426="결제완료",$T426="대여"),설정!$J$5,"")</f>
        <v/>
      </c>
      <c r="AG426" s="54" t="str">
        <f aca="false">IF($D426="","",IF(AND($E426="",$R426=""),$AB426,"☎ "&amp;IF($E426="","-",$E426)&amp;IF($R426&lt;&gt;"","  ※ "&amp;$R426,"")&amp;IF($B426="상담중"," (상담)","")))</f>
        <v/>
      </c>
      <c r="AH426" s="56" t="str">
        <f aca="false">IF(AND($D426&lt;&gt;"",$B426="결제완료",$O426="스마트스토어"),ROUND(N($N426)*설정!$J$6,0),"")</f>
        <v/>
      </c>
      <c r="AI426" s="54" t="str">
        <f aca="false">IF($D426="","",ROW())</f>
        <v/>
      </c>
      <c r="AJ426" s="54" t="n">
        <f aca="false">IF(OR($AC426&lt;&gt;1,$M426=""),0,IF(ISNUMBER(SEARCH("퇴사",IFERROR(INDEX(강사DB!$G$4:$G$53,MATCH($M426,강사DB!$A$4:$A$53,0)),""))),1,0))</f>
        <v>0</v>
      </c>
    </row>
    <row r="427" customFormat="false" ht="15" hidden="false" customHeight="false" outlineLevel="0" collapsed="false">
      <c r="A427" s="45" t="str">
        <f aca="false">IF($D427="","",COUNTA($D$5:$D427))</f>
        <v/>
      </c>
      <c r="B427" s="46"/>
      <c r="C427" s="47"/>
      <c r="D427" s="48"/>
      <c r="E427" s="48"/>
      <c r="F427" s="49"/>
      <c r="G427" s="47"/>
      <c r="H427" s="50"/>
      <c r="I427" s="50"/>
      <c r="J427" s="51" t="str">
        <f aca="false">IF(OR($V427="",$W427=""),"",ROUND(($W427-$V427)/60,2))</f>
        <v/>
      </c>
      <c r="K427" s="52" t="str">
        <f aca="false">IF($F427="","",LEN($F427)-LEN(SUBSTITUTE($F427,",",""))+1)</f>
        <v/>
      </c>
      <c r="L427" s="45" t="str">
        <f aca="false">IF($K427="","","1:"&amp;$K427)</f>
        <v/>
      </c>
      <c r="M427" s="46"/>
      <c r="N427" s="53"/>
      <c r="O427" s="46"/>
      <c r="P427" s="47"/>
      <c r="Q427" s="48"/>
      <c r="R427" s="49"/>
      <c r="S427" s="54" t="str">
        <f aca="false">IF(OR($AC427=0,$U427="",$M427="",$V427="",$W427=""),"",IF(COUNTIFS(m_teacher,$M427,m_date,$U427,m_active,1,m_start,"&lt;"&amp;$W427,m_end,"&gt;"&amp;$V427)&gt;1,"충돌",""))</f>
        <v/>
      </c>
      <c r="T427" s="48"/>
      <c r="U427" s="55" t="str">
        <f aca="false">IF($G427="","",IFERROR(IF(ISNUMBER($G427),IF($G427&gt;19000000,DATE(INT($G427/10000),MOD(INT($G427/100),100),MOD($G427,100)),INT($G427)),IF(LEN(SUBSTITUTE(SUBSTITUTE(SUBSTITUTE(TRIM($G427),"-",""),".",""),"/",""))=8,DATE(VALUE(LEFT(SUBSTITUTE(SUBSTITUTE(SUBSTITUTE(TRIM($G427),"-",""),".",""),"/",""),4)),VALUE(MID(SUBSTITUTE(SUBSTITUTE(SUBSTITUTE(TRIM($G427),"-",""),".",""),"/",""),5,2)),VALUE(RIGHT(SUBSTITUTE(SUBSTITUTE(SUBSTITUTE(TRIM($G427),"-",""),".",""),"/",""),2))),DATEVALUE($G427))),""))</f>
        <v/>
      </c>
      <c r="V427" s="52" t="str">
        <f aca="false">IF($H427="","",IFERROR(IF(IF(ISNUMBER($H427),$H427,IFERROR(TIMEVALUE($H427),VALUE($H427)))&gt;=100,INT(IF(ISNUMBER($H427),$H427,IFERROR(TIMEVALUE($H427),VALUE($H427)))/100)*60+MOD(IF(ISNUMBER($H427),$H427,IFERROR(TIMEVALUE($H427),VALUE($H427))),100),IF(IF(ISNUMBER($H427),$H427,IFERROR(TIMEVALUE($H427),VALUE($H427)))&gt;=1,ROUND(IF(ISNUMBER($H427),$H427,IFERROR(TIMEVALUE($H427),VALUE($H427)))*60,0),ROUND(MOD(IF(ISNUMBER($H427),$H427,IFERROR(TIMEVALUE($H427),VALUE($H427))),1)*1440,0))),""))</f>
        <v/>
      </c>
      <c r="W427" s="52" t="str">
        <f aca="false">IF($I427="","",IFERROR(IF(IF(ISNUMBER($I427),$I427,IFERROR(TIMEVALUE($I427),VALUE($I427)))&gt;=100,INT(IF(ISNUMBER($I427),$I427,IFERROR(TIMEVALUE($I427),VALUE($I427)))/100)*60+MOD(IF(ISNUMBER($I427),$I427,IFERROR(TIMEVALUE($I427),VALUE($I427))),100),IF(IF(ISNUMBER($I427),$I427,IFERROR(TIMEVALUE($I427),VALUE($I427)))&gt;=1,ROUND(IF(ISNUMBER($I427),$I427,IFERROR(TIMEVALUE($I427),VALUE($I427)))*60,0),ROUND(MOD(IF(ISNUMBER($I427),$I427,IFERROR(TIMEVALUE($I427),VALUE($I427))),1)*1440,0))),""))</f>
        <v/>
      </c>
      <c r="X427" s="55" t="str">
        <f aca="false">IF($P427="","",IFERROR(IF(ISNUMBER($P427),IF($P427&gt;19000000,DATE(INT($P427/10000),MOD(INT($P427/100),100),MOD($P427,100)),INT($P427)),IF(LEN(SUBSTITUTE(SUBSTITUTE(SUBSTITUTE(TRIM($P427),"-",""),".",""),"/",""))=8,DATE(VALUE(LEFT(SUBSTITUTE(SUBSTITUTE(SUBSTITUTE(TRIM($P427),"-",""),".",""),"/",""),4)),VALUE(MID(SUBSTITUTE(SUBSTITUTE(SUBSTITUTE(TRIM($P427),"-",""),".",""),"/",""),5,2)),VALUE(RIGHT(SUBSTITUTE(SUBSTITUTE(SUBSTITUTE(TRIM($P427),"-",""),".",""),"/",""),2))),DATEVALUE($P427))),""))</f>
        <v/>
      </c>
      <c r="Y427" s="56" t="str">
        <f aca="false">IF($M427="","",IFERROR(INDEX(강사DB!$D$4:$D$53,MATCH($M427,강사DB!$A$4:$A$53,0)),""))</f>
        <v/>
      </c>
      <c r="Z427" s="56" t="str">
        <f aca="false">IF($B427&lt;&gt;"결제완료","",IF(OR($Y427="",$J427=""),"",$Y427*$J427+MAX(0,N($K427)-1)*설정!$J$7))</f>
        <v/>
      </c>
      <c r="AA427" s="56" t="str">
        <f aca="false">IF(AND($D427&lt;&gt;"",$B427="결제완료"),N($N427),"")</f>
        <v/>
      </c>
      <c r="AB427" s="45" t="str">
        <f aca="false">IF($D427="","",IF($F427&lt;&gt;"",$F427,$D427)&amp;IF($B427="상담중"," (상담)",""))</f>
        <v/>
      </c>
      <c r="AC427" s="45" t="n">
        <f aca="false">IF(AND($D427&lt;&gt;"",OR($B427="결제완료",$B427="상담중")),1,0)</f>
        <v>0</v>
      </c>
      <c r="AD427" s="45" t="n">
        <f aca="false">IF(OR($Z427="",$U427=""),0,IFERROR(IF(COUNTIFS(INDEX(g_grid,0,2*MATCH($M427,강사DB!$A$4:$A$15,0)),"&lt;&gt;",g_s,"&lt;="&amp;$U427,g_e,"&gt;="&amp;$U427)&gt;0,1,0),0))</f>
        <v>0</v>
      </c>
      <c r="AE427" s="48"/>
      <c r="AF427" s="56" t="str">
        <f aca="false">IF(AND($D427&lt;&gt;"",$B427="결제완료",$T427="대여"),설정!$J$5,"")</f>
        <v/>
      </c>
      <c r="AG427" s="54" t="str">
        <f aca="false">IF($D427="","",IF(AND($E427="",$R427=""),$AB427,"☎ "&amp;IF($E427="","-",$E427)&amp;IF($R427&lt;&gt;"","  ※ "&amp;$R427,"")&amp;IF($B427="상담중"," (상담)","")))</f>
        <v/>
      </c>
      <c r="AH427" s="56" t="str">
        <f aca="false">IF(AND($D427&lt;&gt;"",$B427="결제완료",$O427="스마트스토어"),ROUND(N($N427)*설정!$J$6,0),"")</f>
        <v/>
      </c>
      <c r="AI427" s="54" t="str">
        <f aca="false">IF($D427="","",ROW())</f>
        <v/>
      </c>
      <c r="AJ427" s="54" t="n">
        <f aca="false">IF(OR($AC427&lt;&gt;1,$M427=""),0,IF(ISNUMBER(SEARCH("퇴사",IFERROR(INDEX(강사DB!$G$4:$G$53,MATCH($M427,강사DB!$A$4:$A$53,0)),""))),1,0))</f>
        <v>0</v>
      </c>
    </row>
    <row r="428" customFormat="false" ht="15" hidden="false" customHeight="false" outlineLevel="0" collapsed="false">
      <c r="A428" s="45" t="str">
        <f aca="false">IF($D428="","",COUNTA($D$5:$D428))</f>
        <v/>
      </c>
      <c r="B428" s="46"/>
      <c r="C428" s="47"/>
      <c r="D428" s="48"/>
      <c r="E428" s="48"/>
      <c r="F428" s="49"/>
      <c r="G428" s="47"/>
      <c r="H428" s="50"/>
      <c r="I428" s="50"/>
      <c r="J428" s="51" t="str">
        <f aca="false">IF(OR($V428="",$W428=""),"",ROUND(($W428-$V428)/60,2))</f>
        <v/>
      </c>
      <c r="K428" s="52" t="str">
        <f aca="false">IF($F428="","",LEN($F428)-LEN(SUBSTITUTE($F428,",",""))+1)</f>
        <v/>
      </c>
      <c r="L428" s="45" t="str">
        <f aca="false">IF($K428="","","1:"&amp;$K428)</f>
        <v/>
      </c>
      <c r="M428" s="46"/>
      <c r="N428" s="53"/>
      <c r="O428" s="46"/>
      <c r="P428" s="47"/>
      <c r="Q428" s="48"/>
      <c r="R428" s="49"/>
      <c r="S428" s="54" t="str">
        <f aca="false">IF(OR($AC428=0,$U428="",$M428="",$V428="",$W428=""),"",IF(COUNTIFS(m_teacher,$M428,m_date,$U428,m_active,1,m_start,"&lt;"&amp;$W428,m_end,"&gt;"&amp;$V428)&gt;1,"충돌",""))</f>
        <v/>
      </c>
      <c r="T428" s="48"/>
      <c r="U428" s="55" t="str">
        <f aca="false">IF($G428="","",IFERROR(IF(ISNUMBER($G428),IF($G428&gt;19000000,DATE(INT($G428/10000),MOD(INT($G428/100),100),MOD($G428,100)),INT($G428)),IF(LEN(SUBSTITUTE(SUBSTITUTE(SUBSTITUTE(TRIM($G428),"-",""),".",""),"/",""))=8,DATE(VALUE(LEFT(SUBSTITUTE(SUBSTITUTE(SUBSTITUTE(TRIM($G428),"-",""),".",""),"/",""),4)),VALUE(MID(SUBSTITUTE(SUBSTITUTE(SUBSTITUTE(TRIM($G428),"-",""),".",""),"/",""),5,2)),VALUE(RIGHT(SUBSTITUTE(SUBSTITUTE(SUBSTITUTE(TRIM($G428),"-",""),".",""),"/",""),2))),DATEVALUE($G428))),""))</f>
        <v/>
      </c>
      <c r="V428" s="52" t="str">
        <f aca="false">IF($H428="","",IFERROR(IF(IF(ISNUMBER($H428),$H428,IFERROR(TIMEVALUE($H428),VALUE($H428)))&gt;=100,INT(IF(ISNUMBER($H428),$H428,IFERROR(TIMEVALUE($H428),VALUE($H428)))/100)*60+MOD(IF(ISNUMBER($H428),$H428,IFERROR(TIMEVALUE($H428),VALUE($H428))),100),IF(IF(ISNUMBER($H428),$H428,IFERROR(TIMEVALUE($H428),VALUE($H428)))&gt;=1,ROUND(IF(ISNUMBER($H428),$H428,IFERROR(TIMEVALUE($H428),VALUE($H428)))*60,0),ROUND(MOD(IF(ISNUMBER($H428),$H428,IFERROR(TIMEVALUE($H428),VALUE($H428))),1)*1440,0))),""))</f>
        <v/>
      </c>
      <c r="W428" s="52" t="str">
        <f aca="false">IF($I428="","",IFERROR(IF(IF(ISNUMBER($I428),$I428,IFERROR(TIMEVALUE($I428),VALUE($I428)))&gt;=100,INT(IF(ISNUMBER($I428),$I428,IFERROR(TIMEVALUE($I428),VALUE($I428)))/100)*60+MOD(IF(ISNUMBER($I428),$I428,IFERROR(TIMEVALUE($I428),VALUE($I428))),100),IF(IF(ISNUMBER($I428),$I428,IFERROR(TIMEVALUE($I428),VALUE($I428)))&gt;=1,ROUND(IF(ISNUMBER($I428),$I428,IFERROR(TIMEVALUE($I428),VALUE($I428)))*60,0),ROUND(MOD(IF(ISNUMBER($I428),$I428,IFERROR(TIMEVALUE($I428),VALUE($I428))),1)*1440,0))),""))</f>
        <v/>
      </c>
      <c r="X428" s="55" t="str">
        <f aca="false">IF($P428="","",IFERROR(IF(ISNUMBER($P428),IF($P428&gt;19000000,DATE(INT($P428/10000),MOD(INT($P428/100),100),MOD($P428,100)),INT($P428)),IF(LEN(SUBSTITUTE(SUBSTITUTE(SUBSTITUTE(TRIM($P428),"-",""),".",""),"/",""))=8,DATE(VALUE(LEFT(SUBSTITUTE(SUBSTITUTE(SUBSTITUTE(TRIM($P428),"-",""),".",""),"/",""),4)),VALUE(MID(SUBSTITUTE(SUBSTITUTE(SUBSTITUTE(TRIM($P428),"-",""),".",""),"/",""),5,2)),VALUE(RIGHT(SUBSTITUTE(SUBSTITUTE(SUBSTITUTE(TRIM($P428),"-",""),".",""),"/",""),2))),DATEVALUE($P428))),""))</f>
        <v/>
      </c>
      <c r="Y428" s="56" t="str">
        <f aca="false">IF($M428="","",IFERROR(INDEX(강사DB!$D$4:$D$53,MATCH($M428,강사DB!$A$4:$A$53,0)),""))</f>
        <v/>
      </c>
      <c r="Z428" s="56" t="str">
        <f aca="false">IF($B428&lt;&gt;"결제완료","",IF(OR($Y428="",$J428=""),"",$Y428*$J428+MAX(0,N($K428)-1)*설정!$J$7))</f>
        <v/>
      </c>
      <c r="AA428" s="56" t="str">
        <f aca="false">IF(AND($D428&lt;&gt;"",$B428="결제완료"),N($N428),"")</f>
        <v/>
      </c>
      <c r="AB428" s="45" t="str">
        <f aca="false">IF($D428="","",IF($F428&lt;&gt;"",$F428,$D428)&amp;IF($B428="상담중"," (상담)",""))</f>
        <v/>
      </c>
      <c r="AC428" s="45" t="n">
        <f aca="false">IF(AND($D428&lt;&gt;"",OR($B428="결제완료",$B428="상담중")),1,0)</f>
        <v>0</v>
      </c>
      <c r="AD428" s="45" t="n">
        <f aca="false">IF(OR($Z428="",$U428=""),0,IFERROR(IF(COUNTIFS(INDEX(g_grid,0,2*MATCH($M428,강사DB!$A$4:$A$15,0)),"&lt;&gt;",g_s,"&lt;="&amp;$U428,g_e,"&gt;="&amp;$U428)&gt;0,1,0),0))</f>
        <v>0</v>
      </c>
      <c r="AE428" s="48"/>
      <c r="AF428" s="56" t="str">
        <f aca="false">IF(AND($D428&lt;&gt;"",$B428="결제완료",$T428="대여"),설정!$J$5,"")</f>
        <v/>
      </c>
      <c r="AG428" s="54" t="str">
        <f aca="false">IF($D428="","",IF(AND($E428="",$R428=""),$AB428,"☎ "&amp;IF($E428="","-",$E428)&amp;IF($R428&lt;&gt;"","  ※ "&amp;$R428,"")&amp;IF($B428="상담중"," (상담)","")))</f>
        <v/>
      </c>
      <c r="AH428" s="56" t="str">
        <f aca="false">IF(AND($D428&lt;&gt;"",$B428="결제완료",$O428="스마트스토어"),ROUND(N($N428)*설정!$J$6,0),"")</f>
        <v/>
      </c>
      <c r="AI428" s="54" t="str">
        <f aca="false">IF($D428="","",ROW())</f>
        <v/>
      </c>
      <c r="AJ428" s="54" t="n">
        <f aca="false">IF(OR($AC428&lt;&gt;1,$M428=""),0,IF(ISNUMBER(SEARCH("퇴사",IFERROR(INDEX(강사DB!$G$4:$G$53,MATCH($M428,강사DB!$A$4:$A$53,0)),""))),1,0))</f>
        <v>0</v>
      </c>
    </row>
    <row r="429" customFormat="false" ht="15" hidden="false" customHeight="false" outlineLevel="0" collapsed="false">
      <c r="A429" s="45" t="str">
        <f aca="false">IF($D429="","",COUNTA($D$5:$D429))</f>
        <v/>
      </c>
      <c r="B429" s="46"/>
      <c r="C429" s="47"/>
      <c r="D429" s="48"/>
      <c r="E429" s="48"/>
      <c r="F429" s="49"/>
      <c r="G429" s="47"/>
      <c r="H429" s="50"/>
      <c r="I429" s="50"/>
      <c r="J429" s="51" t="str">
        <f aca="false">IF(OR($V429="",$W429=""),"",ROUND(($W429-$V429)/60,2))</f>
        <v/>
      </c>
      <c r="K429" s="52" t="str">
        <f aca="false">IF($F429="","",LEN($F429)-LEN(SUBSTITUTE($F429,",",""))+1)</f>
        <v/>
      </c>
      <c r="L429" s="45" t="str">
        <f aca="false">IF($K429="","","1:"&amp;$K429)</f>
        <v/>
      </c>
      <c r="M429" s="46"/>
      <c r="N429" s="53"/>
      <c r="O429" s="46"/>
      <c r="P429" s="47"/>
      <c r="Q429" s="48"/>
      <c r="R429" s="49"/>
      <c r="S429" s="54" t="str">
        <f aca="false">IF(OR($AC429=0,$U429="",$M429="",$V429="",$W429=""),"",IF(COUNTIFS(m_teacher,$M429,m_date,$U429,m_active,1,m_start,"&lt;"&amp;$W429,m_end,"&gt;"&amp;$V429)&gt;1,"충돌",""))</f>
        <v/>
      </c>
      <c r="T429" s="48"/>
      <c r="U429" s="55" t="str">
        <f aca="false">IF($G429="","",IFERROR(IF(ISNUMBER($G429),IF($G429&gt;19000000,DATE(INT($G429/10000),MOD(INT($G429/100),100),MOD($G429,100)),INT($G429)),IF(LEN(SUBSTITUTE(SUBSTITUTE(SUBSTITUTE(TRIM($G429),"-",""),".",""),"/",""))=8,DATE(VALUE(LEFT(SUBSTITUTE(SUBSTITUTE(SUBSTITUTE(TRIM($G429),"-",""),".",""),"/",""),4)),VALUE(MID(SUBSTITUTE(SUBSTITUTE(SUBSTITUTE(TRIM($G429),"-",""),".",""),"/",""),5,2)),VALUE(RIGHT(SUBSTITUTE(SUBSTITUTE(SUBSTITUTE(TRIM($G429),"-",""),".",""),"/",""),2))),DATEVALUE($G429))),""))</f>
        <v/>
      </c>
      <c r="V429" s="52" t="str">
        <f aca="false">IF($H429="","",IFERROR(IF(IF(ISNUMBER($H429),$H429,IFERROR(TIMEVALUE($H429),VALUE($H429)))&gt;=100,INT(IF(ISNUMBER($H429),$H429,IFERROR(TIMEVALUE($H429),VALUE($H429)))/100)*60+MOD(IF(ISNUMBER($H429),$H429,IFERROR(TIMEVALUE($H429),VALUE($H429))),100),IF(IF(ISNUMBER($H429),$H429,IFERROR(TIMEVALUE($H429),VALUE($H429)))&gt;=1,ROUND(IF(ISNUMBER($H429),$H429,IFERROR(TIMEVALUE($H429),VALUE($H429)))*60,0),ROUND(MOD(IF(ISNUMBER($H429),$H429,IFERROR(TIMEVALUE($H429),VALUE($H429))),1)*1440,0))),""))</f>
        <v/>
      </c>
      <c r="W429" s="52" t="str">
        <f aca="false">IF($I429="","",IFERROR(IF(IF(ISNUMBER($I429),$I429,IFERROR(TIMEVALUE($I429),VALUE($I429)))&gt;=100,INT(IF(ISNUMBER($I429),$I429,IFERROR(TIMEVALUE($I429),VALUE($I429)))/100)*60+MOD(IF(ISNUMBER($I429),$I429,IFERROR(TIMEVALUE($I429),VALUE($I429))),100),IF(IF(ISNUMBER($I429),$I429,IFERROR(TIMEVALUE($I429),VALUE($I429)))&gt;=1,ROUND(IF(ISNUMBER($I429),$I429,IFERROR(TIMEVALUE($I429),VALUE($I429)))*60,0),ROUND(MOD(IF(ISNUMBER($I429),$I429,IFERROR(TIMEVALUE($I429),VALUE($I429))),1)*1440,0))),""))</f>
        <v/>
      </c>
      <c r="X429" s="55" t="str">
        <f aca="false">IF($P429="","",IFERROR(IF(ISNUMBER($P429),IF($P429&gt;19000000,DATE(INT($P429/10000),MOD(INT($P429/100),100),MOD($P429,100)),INT($P429)),IF(LEN(SUBSTITUTE(SUBSTITUTE(SUBSTITUTE(TRIM($P429),"-",""),".",""),"/",""))=8,DATE(VALUE(LEFT(SUBSTITUTE(SUBSTITUTE(SUBSTITUTE(TRIM($P429),"-",""),".",""),"/",""),4)),VALUE(MID(SUBSTITUTE(SUBSTITUTE(SUBSTITUTE(TRIM($P429),"-",""),".",""),"/",""),5,2)),VALUE(RIGHT(SUBSTITUTE(SUBSTITUTE(SUBSTITUTE(TRIM($P429),"-",""),".",""),"/",""),2))),DATEVALUE($P429))),""))</f>
        <v/>
      </c>
      <c r="Y429" s="56" t="str">
        <f aca="false">IF($M429="","",IFERROR(INDEX(강사DB!$D$4:$D$53,MATCH($M429,강사DB!$A$4:$A$53,0)),""))</f>
        <v/>
      </c>
      <c r="Z429" s="56" t="str">
        <f aca="false">IF($B429&lt;&gt;"결제완료","",IF(OR($Y429="",$J429=""),"",$Y429*$J429+MAX(0,N($K429)-1)*설정!$J$7))</f>
        <v/>
      </c>
      <c r="AA429" s="56" t="str">
        <f aca="false">IF(AND($D429&lt;&gt;"",$B429="결제완료"),N($N429),"")</f>
        <v/>
      </c>
      <c r="AB429" s="45" t="str">
        <f aca="false">IF($D429="","",IF($F429&lt;&gt;"",$F429,$D429)&amp;IF($B429="상담중"," (상담)",""))</f>
        <v/>
      </c>
      <c r="AC429" s="45" t="n">
        <f aca="false">IF(AND($D429&lt;&gt;"",OR($B429="결제완료",$B429="상담중")),1,0)</f>
        <v>0</v>
      </c>
      <c r="AD429" s="45" t="n">
        <f aca="false">IF(OR($Z429="",$U429=""),0,IFERROR(IF(COUNTIFS(INDEX(g_grid,0,2*MATCH($M429,강사DB!$A$4:$A$15,0)),"&lt;&gt;",g_s,"&lt;="&amp;$U429,g_e,"&gt;="&amp;$U429)&gt;0,1,0),0))</f>
        <v>0</v>
      </c>
      <c r="AE429" s="48"/>
      <c r="AF429" s="56" t="str">
        <f aca="false">IF(AND($D429&lt;&gt;"",$B429="결제완료",$T429="대여"),설정!$J$5,"")</f>
        <v/>
      </c>
      <c r="AG429" s="54" t="str">
        <f aca="false">IF($D429="","",IF(AND($E429="",$R429=""),$AB429,"☎ "&amp;IF($E429="","-",$E429)&amp;IF($R429&lt;&gt;"","  ※ "&amp;$R429,"")&amp;IF($B429="상담중"," (상담)","")))</f>
        <v/>
      </c>
      <c r="AH429" s="56" t="str">
        <f aca="false">IF(AND($D429&lt;&gt;"",$B429="결제완료",$O429="스마트스토어"),ROUND(N($N429)*설정!$J$6,0),"")</f>
        <v/>
      </c>
      <c r="AI429" s="54" t="str">
        <f aca="false">IF($D429="","",ROW())</f>
        <v/>
      </c>
      <c r="AJ429" s="54" t="n">
        <f aca="false">IF(OR($AC429&lt;&gt;1,$M429=""),0,IF(ISNUMBER(SEARCH("퇴사",IFERROR(INDEX(강사DB!$G$4:$G$53,MATCH($M429,강사DB!$A$4:$A$53,0)),""))),1,0))</f>
        <v>0</v>
      </c>
    </row>
    <row r="430" customFormat="false" ht="15" hidden="false" customHeight="false" outlineLevel="0" collapsed="false">
      <c r="A430" s="45" t="str">
        <f aca="false">IF($D430="","",COUNTA($D$5:$D430))</f>
        <v/>
      </c>
      <c r="B430" s="46"/>
      <c r="C430" s="47"/>
      <c r="D430" s="48"/>
      <c r="E430" s="48"/>
      <c r="F430" s="49"/>
      <c r="G430" s="47"/>
      <c r="H430" s="50"/>
      <c r="I430" s="50"/>
      <c r="J430" s="51" t="str">
        <f aca="false">IF(OR($V430="",$W430=""),"",ROUND(($W430-$V430)/60,2))</f>
        <v/>
      </c>
      <c r="K430" s="52" t="str">
        <f aca="false">IF($F430="","",LEN($F430)-LEN(SUBSTITUTE($F430,",",""))+1)</f>
        <v/>
      </c>
      <c r="L430" s="45" t="str">
        <f aca="false">IF($K430="","","1:"&amp;$K430)</f>
        <v/>
      </c>
      <c r="M430" s="46"/>
      <c r="N430" s="53"/>
      <c r="O430" s="46"/>
      <c r="P430" s="47"/>
      <c r="Q430" s="48"/>
      <c r="R430" s="49"/>
      <c r="S430" s="54" t="str">
        <f aca="false">IF(OR($AC430=0,$U430="",$M430="",$V430="",$W430=""),"",IF(COUNTIFS(m_teacher,$M430,m_date,$U430,m_active,1,m_start,"&lt;"&amp;$W430,m_end,"&gt;"&amp;$V430)&gt;1,"충돌",""))</f>
        <v/>
      </c>
      <c r="T430" s="48"/>
      <c r="U430" s="55" t="str">
        <f aca="false">IF($G430="","",IFERROR(IF(ISNUMBER($G430),IF($G430&gt;19000000,DATE(INT($G430/10000),MOD(INT($G430/100),100),MOD($G430,100)),INT($G430)),IF(LEN(SUBSTITUTE(SUBSTITUTE(SUBSTITUTE(TRIM($G430),"-",""),".",""),"/",""))=8,DATE(VALUE(LEFT(SUBSTITUTE(SUBSTITUTE(SUBSTITUTE(TRIM($G430),"-",""),".",""),"/",""),4)),VALUE(MID(SUBSTITUTE(SUBSTITUTE(SUBSTITUTE(TRIM($G430),"-",""),".",""),"/",""),5,2)),VALUE(RIGHT(SUBSTITUTE(SUBSTITUTE(SUBSTITUTE(TRIM($G430),"-",""),".",""),"/",""),2))),DATEVALUE($G430))),""))</f>
        <v/>
      </c>
      <c r="V430" s="52" t="str">
        <f aca="false">IF($H430="","",IFERROR(IF(IF(ISNUMBER($H430),$H430,IFERROR(TIMEVALUE($H430),VALUE($H430)))&gt;=100,INT(IF(ISNUMBER($H430),$H430,IFERROR(TIMEVALUE($H430),VALUE($H430)))/100)*60+MOD(IF(ISNUMBER($H430),$H430,IFERROR(TIMEVALUE($H430),VALUE($H430))),100),IF(IF(ISNUMBER($H430),$H430,IFERROR(TIMEVALUE($H430),VALUE($H430)))&gt;=1,ROUND(IF(ISNUMBER($H430),$H430,IFERROR(TIMEVALUE($H430),VALUE($H430)))*60,0),ROUND(MOD(IF(ISNUMBER($H430),$H430,IFERROR(TIMEVALUE($H430),VALUE($H430))),1)*1440,0))),""))</f>
        <v/>
      </c>
      <c r="W430" s="52" t="str">
        <f aca="false">IF($I430="","",IFERROR(IF(IF(ISNUMBER($I430),$I430,IFERROR(TIMEVALUE($I430),VALUE($I430)))&gt;=100,INT(IF(ISNUMBER($I430),$I430,IFERROR(TIMEVALUE($I430),VALUE($I430)))/100)*60+MOD(IF(ISNUMBER($I430),$I430,IFERROR(TIMEVALUE($I430),VALUE($I430))),100),IF(IF(ISNUMBER($I430),$I430,IFERROR(TIMEVALUE($I430),VALUE($I430)))&gt;=1,ROUND(IF(ISNUMBER($I430),$I430,IFERROR(TIMEVALUE($I430),VALUE($I430)))*60,0),ROUND(MOD(IF(ISNUMBER($I430),$I430,IFERROR(TIMEVALUE($I430),VALUE($I430))),1)*1440,0))),""))</f>
        <v/>
      </c>
      <c r="X430" s="55" t="str">
        <f aca="false">IF($P430="","",IFERROR(IF(ISNUMBER($P430),IF($P430&gt;19000000,DATE(INT($P430/10000),MOD(INT($P430/100),100),MOD($P430,100)),INT($P430)),IF(LEN(SUBSTITUTE(SUBSTITUTE(SUBSTITUTE(TRIM($P430),"-",""),".",""),"/",""))=8,DATE(VALUE(LEFT(SUBSTITUTE(SUBSTITUTE(SUBSTITUTE(TRIM($P430),"-",""),".",""),"/",""),4)),VALUE(MID(SUBSTITUTE(SUBSTITUTE(SUBSTITUTE(TRIM($P430),"-",""),".",""),"/",""),5,2)),VALUE(RIGHT(SUBSTITUTE(SUBSTITUTE(SUBSTITUTE(TRIM($P430),"-",""),".",""),"/",""),2))),DATEVALUE($P430))),""))</f>
        <v/>
      </c>
      <c r="Y430" s="56" t="str">
        <f aca="false">IF($M430="","",IFERROR(INDEX(강사DB!$D$4:$D$53,MATCH($M430,강사DB!$A$4:$A$53,0)),""))</f>
        <v/>
      </c>
      <c r="Z430" s="56" t="str">
        <f aca="false">IF($B430&lt;&gt;"결제완료","",IF(OR($Y430="",$J430=""),"",$Y430*$J430+MAX(0,N($K430)-1)*설정!$J$7))</f>
        <v/>
      </c>
      <c r="AA430" s="56" t="str">
        <f aca="false">IF(AND($D430&lt;&gt;"",$B430="결제완료"),N($N430),"")</f>
        <v/>
      </c>
      <c r="AB430" s="45" t="str">
        <f aca="false">IF($D430="","",IF($F430&lt;&gt;"",$F430,$D430)&amp;IF($B430="상담중"," (상담)",""))</f>
        <v/>
      </c>
      <c r="AC430" s="45" t="n">
        <f aca="false">IF(AND($D430&lt;&gt;"",OR($B430="결제완료",$B430="상담중")),1,0)</f>
        <v>0</v>
      </c>
      <c r="AD430" s="45" t="n">
        <f aca="false">IF(OR($Z430="",$U430=""),0,IFERROR(IF(COUNTIFS(INDEX(g_grid,0,2*MATCH($M430,강사DB!$A$4:$A$15,0)),"&lt;&gt;",g_s,"&lt;="&amp;$U430,g_e,"&gt;="&amp;$U430)&gt;0,1,0),0))</f>
        <v>0</v>
      </c>
      <c r="AE430" s="48"/>
      <c r="AF430" s="56" t="str">
        <f aca="false">IF(AND($D430&lt;&gt;"",$B430="결제완료",$T430="대여"),설정!$J$5,"")</f>
        <v/>
      </c>
      <c r="AG430" s="54" t="str">
        <f aca="false">IF($D430="","",IF(AND($E430="",$R430=""),$AB430,"☎ "&amp;IF($E430="","-",$E430)&amp;IF($R430&lt;&gt;"","  ※ "&amp;$R430,"")&amp;IF($B430="상담중"," (상담)","")))</f>
        <v/>
      </c>
      <c r="AH430" s="56" t="str">
        <f aca="false">IF(AND($D430&lt;&gt;"",$B430="결제완료",$O430="스마트스토어"),ROUND(N($N430)*설정!$J$6,0),"")</f>
        <v/>
      </c>
      <c r="AI430" s="54" t="str">
        <f aca="false">IF($D430="","",ROW())</f>
        <v/>
      </c>
      <c r="AJ430" s="54" t="n">
        <f aca="false">IF(OR($AC430&lt;&gt;1,$M430=""),0,IF(ISNUMBER(SEARCH("퇴사",IFERROR(INDEX(강사DB!$G$4:$G$53,MATCH($M430,강사DB!$A$4:$A$53,0)),""))),1,0))</f>
        <v>0</v>
      </c>
    </row>
    <row r="431" customFormat="false" ht="15" hidden="false" customHeight="false" outlineLevel="0" collapsed="false">
      <c r="A431" s="45" t="str">
        <f aca="false">IF($D431="","",COUNTA($D$5:$D431))</f>
        <v/>
      </c>
      <c r="B431" s="46"/>
      <c r="C431" s="47"/>
      <c r="D431" s="48"/>
      <c r="E431" s="48"/>
      <c r="F431" s="49"/>
      <c r="G431" s="47"/>
      <c r="H431" s="50"/>
      <c r="I431" s="50"/>
      <c r="J431" s="51" t="str">
        <f aca="false">IF(OR($V431="",$W431=""),"",ROUND(($W431-$V431)/60,2))</f>
        <v/>
      </c>
      <c r="K431" s="52" t="str">
        <f aca="false">IF($F431="","",LEN($F431)-LEN(SUBSTITUTE($F431,",",""))+1)</f>
        <v/>
      </c>
      <c r="L431" s="45" t="str">
        <f aca="false">IF($K431="","","1:"&amp;$K431)</f>
        <v/>
      </c>
      <c r="M431" s="46"/>
      <c r="N431" s="53"/>
      <c r="O431" s="46"/>
      <c r="P431" s="47"/>
      <c r="Q431" s="48"/>
      <c r="R431" s="49"/>
      <c r="S431" s="54" t="str">
        <f aca="false">IF(OR($AC431=0,$U431="",$M431="",$V431="",$W431=""),"",IF(COUNTIFS(m_teacher,$M431,m_date,$U431,m_active,1,m_start,"&lt;"&amp;$W431,m_end,"&gt;"&amp;$V431)&gt;1,"충돌",""))</f>
        <v/>
      </c>
      <c r="T431" s="48"/>
      <c r="U431" s="55" t="str">
        <f aca="false">IF($G431="","",IFERROR(IF(ISNUMBER($G431),IF($G431&gt;19000000,DATE(INT($G431/10000),MOD(INT($G431/100),100),MOD($G431,100)),INT($G431)),IF(LEN(SUBSTITUTE(SUBSTITUTE(SUBSTITUTE(TRIM($G431),"-",""),".",""),"/",""))=8,DATE(VALUE(LEFT(SUBSTITUTE(SUBSTITUTE(SUBSTITUTE(TRIM($G431),"-",""),".",""),"/",""),4)),VALUE(MID(SUBSTITUTE(SUBSTITUTE(SUBSTITUTE(TRIM($G431),"-",""),".",""),"/",""),5,2)),VALUE(RIGHT(SUBSTITUTE(SUBSTITUTE(SUBSTITUTE(TRIM($G431),"-",""),".",""),"/",""),2))),DATEVALUE($G431))),""))</f>
        <v/>
      </c>
      <c r="V431" s="52" t="str">
        <f aca="false">IF($H431="","",IFERROR(IF(IF(ISNUMBER($H431),$H431,IFERROR(TIMEVALUE($H431),VALUE($H431)))&gt;=100,INT(IF(ISNUMBER($H431),$H431,IFERROR(TIMEVALUE($H431),VALUE($H431)))/100)*60+MOD(IF(ISNUMBER($H431),$H431,IFERROR(TIMEVALUE($H431),VALUE($H431))),100),IF(IF(ISNUMBER($H431),$H431,IFERROR(TIMEVALUE($H431),VALUE($H431)))&gt;=1,ROUND(IF(ISNUMBER($H431),$H431,IFERROR(TIMEVALUE($H431),VALUE($H431)))*60,0),ROUND(MOD(IF(ISNUMBER($H431),$H431,IFERROR(TIMEVALUE($H431),VALUE($H431))),1)*1440,0))),""))</f>
        <v/>
      </c>
      <c r="W431" s="52" t="str">
        <f aca="false">IF($I431="","",IFERROR(IF(IF(ISNUMBER($I431),$I431,IFERROR(TIMEVALUE($I431),VALUE($I431)))&gt;=100,INT(IF(ISNUMBER($I431),$I431,IFERROR(TIMEVALUE($I431),VALUE($I431)))/100)*60+MOD(IF(ISNUMBER($I431),$I431,IFERROR(TIMEVALUE($I431),VALUE($I431))),100),IF(IF(ISNUMBER($I431),$I431,IFERROR(TIMEVALUE($I431),VALUE($I431)))&gt;=1,ROUND(IF(ISNUMBER($I431),$I431,IFERROR(TIMEVALUE($I431),VALUE($I431)))*60,0),ROUND(MOD(IF(ISNUMBER($I431),$I431,IFERROR(TIMEVALUE($I431),VALUE($I431))),1)*1440,0))),""))</f>
        <v/>
      </c>
      <c r="X431" s="55" t="str">
        <f aca="false">IF($P431="","",IFERROR(IF(ISNUMBER($P431),IF($P431&gt;19000000,DATE(INT($P431/10000),MOD(INT($P431/100),100),MOD($P431,100)),INT($P431)),IF(LEN(SUBSTITUTE(SUBSTITUTE(SUBSTITUTE(TRIM($P431),"-",""),".",""),"/",""))=8,DATE(VALUE(LEFT(SUBSTITUTE(SUBSTITUTE(SUBSTITUTE(TRIM($P431),"-",""),".",""),"/",""),4)),VALUE(MID(SUBSTITUTE(SUBSTITUTE(SUBSTITUTE(TRIM($P431),"-",""),".",""),"/",""),5,2)),VALUE(RIGHT(SUBSTITUTE(SUBSTITUTE(SUBSTITUTE(TRIM($P431),"-",""),".",""),"/",""),2))),DATEVALUE($P431))),""))</f>
        <v/>
      </c>
      <c r="Y431" s="56" t="str">
        <f aca="false">IF($M431="","",IFERROR(INDEX(강사DB!$D$4:$D$53,MATCH($M431,강사DB!$A$4:$A$53,0)),""))</f>
        <v/>
      </c>
      <c r="Z431" s="56" t="str">
        <f aca="false">IF($B431&lt;&gt;"결제완료","",IF(OR($Y431="",$J431=""),"",$Y431*$J431+MAX(0,N($K431)-1)*설정!$J$7))</f>
        <v/>
      </c>
      <c r="AA431" s="56" t="str">
        <f aca="false">IF(AND($D431&lt;&gt;"",$B431="결제완료"),N($N431),"")</f>
        <v/>
      </c>
      <c r="AB431" s="45" t="str">
        <f aca="false">IF($D431="","",IF($F431&lt;&gt;"",$F431,$D431)&amp;IF($B431="상담중"," (상담)",""))</f>
        <v/>
      </c>
      <c r="AC431" s="45" t="n">
        <f aca="false">IF(AND($D431&lt;&gt;"",OR($B431="결제완료",$B431="상담중")),1,0)</f>
        <v>0</v>
      </c>
      <c r="AD431" s="45" t="n">
        <f aca="false">IF(OR($Z431="",$U431=""),0,IFERROR(IF(COUNTIFS(INDEX(g_grid,0,2*MATCH($M431,강사DB!$A$4:$A$15,0)),"&lt;&gt;",g_s,"&lt;="&amp;$U431,g_e,"&gt;="&amp;$U431)&gt;0,1,0),0))</f>
        <v>0</v>
      </c>
      <c r="AE431" s="48"/>
      <c r="AF431" s="56" t="str">
        <f aca="false">IF(AND($D431&lt;&gt;"",$B431="결제완료",$T431="대여"),설정!$J$5,"")</f>
        <v/>
      </c>
      <c r="AG431" s="54" t="str">
        <f aca="false">IF($D431="","",IF(AND($E431="",$R431=""),$AB431,"☎ "&amp;IF($E431="","-",$E431)&amp;IF($R431&lt;&gt;"","  ※ "&amp;$R431,"")&amp;IF($B431="상담중"," (상담)","")))</f>
        <v/>
      </c>
      <c r="AH431" s="56" t="str">
        <f aca="false">IF(AND($D431&lt;&gt;"",$B431="결제완료",$O431="스마트스토어"),ROUND(N($N431)*설정!$J$6,0),"")</f>
        <v/>
      </c>
      <c r="AI431" s="54" t="str">
        <f aca="false">IF($D431="","",ROW())</f>
        <v/>
      </c>
      <c r="AJ431" s="54" t="n">
        <f aca="false">IF(OR($AC431&lt;&gt;1,$M431=""),0,IF(ISNUMBER(SEARCH("퇴사",IFERROR(INDEX(강사DB!$G$4:$G$53,MATCH($M431,강사DB!$A$4:$A$53,0)),""))),1,0))</f>
        <v>0</v>
      </c>
    </row>
    <row r="432" customFormat="false" ht="15" hidden="false" customHeight="false" outlineLevel="0" collapsed="false">
      <c r="A432" s="45" t="str">
        <f aca="false">IF($D432="","",COUNTA($D$5:$D432))</f>
        <v/>
      </c>
      <c r="B432" s="46"/>
      <c r="C432" s="47"/>
      <c r="D432" s="48"/>
      <c r="E432" s="48"/>
      <c r="F432" s="49"/>
      <c r="G432" s="47"/>
      <c r="H432" s="50"/>
      <c r="I432" s="50"/>
      <c r="J432" s="51" t="str">
        <f aca="false">IF(OR($V432="",$W432=""),"",ROUND(($W432-$V432)/60,2))</f>
        <v/>
      </c>
      <c r="K432" s="52" t="str">
        <f aca="false">IF($F432="","",LEN($F432)-LEN(SUBSTITUTE($F432,",",""))+1)</f>
        <v/>
      </c>
      <c r="L432" s="45" t="str">
        <f aca="false">IF($K432="","","1:"&amp;$K432)</f>
        <v/>
      </c>
      <c r="M432" s="46"/>
      <c r="N432" s="53"/>
      <c r="O432" s="46"/>
      <c r="P432" s="47"/>
      <c r="Q432" s="48"/>
      <c r="R432" s="49"/>
      <c r="S432" s="54" t="str">
        <f aca="false">IF(OR($AC432=0,$U432="",$M432="",$V432="",$W432=""),"",IF(COUNTIFS(m_teacher,$M432,m_date,$U432,m_active,1,m_start,"&lt;"&amp;$W432,m_end,"&gt;"&amp;$V432)&gt;1,"충돌",""))</f>
        <v/>
      </c>
      <c r="T432" s="48"/>
      <c r="U432" s="55" t="str">
        <f aca="false">IF($G432="","",IFERROR(IF(ISNUMBER($G432),IF($G432&gt;19000000,DATE(INT($G432/10000),MOD(INT($G432/100),100),MOD($G432,100)),INT($G432)),IF(LEN(SUBSTITUTE(SUBSTITUTE(SUBSTITUTE(TRIM($G432),"-",""),".",""),"/",""))=8,DATE(VALUE(LEFT(SUBSTITUTE(SUBSTITUTE(SUBSTITUTE(TRIM($G432),"-",""),".",""),"/",""),4)),VALUE(MID(SUBSTITUTE(SUBSTITUTE(SUBSTITUTE(TRIM($G432),"-",""),".",""),"/",""),5,2)),VALUE(RIGHT(SUBSTITUTE(SUBSTITUTE(SUBSTITUTE(TRIM($G432),"-",""),".",""),"/",""),2))),DATEVALUE($G432))),""))</f>
        <v/>
      </c>
      <c r="V432" s="52" t="str">
        <f aca="false">IF($H432="","",IFERROR(IF(IF(ISNUMBER($H432),$H432,IFERROR(TIMEVALUE($H432),VALUE($H432)))&gt;=100,INT(IF(ISNUMBER($H432),$H432,IFERROR(TIMEVALUE($H432),VALUE($H432)))/100)*60+MOD(IF(ISNUMBER($H432),$H432,IFERROR(TIMEVALUE($H432),VALUE($H432))),100),IF(IF(ISNUMBER($H432),$H432,IFERROR(TIMEVALUE($H432),VALUE($H432)))&gt;=1,ROUND(IF(ISNUMBER($H432),$H432,IFERROR(TIMEVALUE($H432),VALUE($H432)))*60,0),ROUND(MOD(IF(ISNUMBER($H432),$H432,IFERROR(TIMEVALUE($H432),VALUE($H432))),1)*1440,0))),""))</f>
        <v/>
      </c>
      <c r="W432" s="52" t="str">
        <f aca="false">IF($I432="","",IFERROR(IF(IF(ISNUMBER($I432),$I432,IFERROR(TIMEVALUE($I432),VALUE($I432)))&gt;=100,INT(IF(ISNUMBER($I432),$I432,IFERROR(TIMEVALUE($I432),VALUE($I432)))/100)*60+MOD(IF(ISNUMBER($I432),$I432,IFERROR(TIMEVALUE($I432),VALUE($I432))),100),IF(IF(ISNUMBER($I432),$I432,IFERROR(TIMEVALUE($I432),VALUE($I432)))&gt;=1,ROUND(IF(ISNUMBER($I432),$I432,IFERROR(TIMEVALUE($I432),VALUE($I432)))*60,0),ROUND(MOD(IF(ISNUMBER($I432),$I432,IFERROR(TIMEVALUE($I432),VALUE($I432))),1)*1440,0))),""))</f>
        <v/>
      </c>
      <c r="X432" s="55" t="str">
        <f aca="false">IF($P432="","",IFERROR(IF(ISNUMBER($P432),IF($P432&gt;19000000,DATE(INT($P432/10000),MOD(INT($P432/100),100),MOD($P432,100)),INT($P432)),IF(LEN(SUBSTITUTE(SUBSTITUTE(SUBSTITUTE(TRIM($P432),"-",""),".",""),"/",""))=8,DATE(VALUE(LEFT(SUBSTITUTE(SUBSTITUTE(SUBSTITUTE(TRIM($P432),"-",""),".",""),"/",""),4)),VALUE(MID(SUBSTITUTE(SUBSTITUTE(SUBSTITUTE(TRIM($P432),"-",""),".",""),"/",""),5,2)),VALUE(RIGHT(SUBSTITUTE(SUBSTITUTE(SUBSTITUTE(TRIM($P432),"-",""),".",""),"/",""),2))),DATEVALUE($P432))),""))</f>
        <v/>
      </c>
      <c r="Y432" s="56" t="str">
        <f aca="false">IF($M432="","",IFERROR(INDEX(강사DB!$D$4:$D$53,MATCH($M432,강사DB!$A$4:$A$53,0)),""))</f>
        <v/>
      </c>
      <c r="Z432" s="56" t="str">
        <f aca="false">IF($B432&lt;&gt;"결제완료","",IF(OR($Y432="",$J432=""),"",$Y432*$J432+MAX(0,N($K432)-1)*설정!$J$7))</f>
        <v/>
      </c>
      <c r="AA432" s="56" t="str">
        <f aca="false">IF(AND($D432&lt;&gt;"",$B432="결제완료"),N($N432),"")</f>
        <v/>
      </c>
      <c r="AB432" s="45" t="str">
        <f aca="false">IF($D432="","",IF($F432&lt;&gt;"",$F432,$D432)&amp;IF($B432="상담중"," (상담)",""))</f>
        <v/>
      </c>
      <c r="AC432" s="45" t="n">
        <f aca="false">IF(AND($D432&lt;&gt;"",OR($B432="결제완료",$B432="상담중")),1,0)</f>
        <v>0</v>
      </c>
      <c r="AD432" s="45" t="n">
        <f aca="false">IF(OR($Z432="",$U432=""),0,IFERROR(IF(COUNTIFS(INDEX(g_grid,0,2*MATCH($M432,강사DB!$A$4:$A$15,0)),"&lt;&gt;",g_s,"&lt;="&amp;$U432,g_e,"&gt;="&amp;$U432)&gt;0,1,0),0))</f>
        <v>0</v>
      </c>
      <c r="AE432" s="48"/>
      <c r="AF432" s="56" t="str">
        <f aca="false">IF(AND($D432&lt;&gt;"",$B432="결제완료",$T432="대여"),설정!$J$5,"")</f>
        <v/>
      </c>
      <c r="AG432" s="54" t="str">
        <f aca="false">IF($D432="","",IF(AND($E432="",$R432=""),$AB432,"☎ "&amp;IF($E432="","-",$E432)&amp;IF($R432&lt;&gt;"","  ※ "&amp;$R432,"")&amp;IF($B432="상담중"," (상담)","")))</f>
        <v/>
      </c>
      <c r="AH432" s="56" t="str">
        <f aca="false">IF(AND($D432&lt;&gt;"",$B432="결제완료",$O432="스마트스토어"),ROUND(N($N432)*설정!$J$6,0),"")</f>
        <v/>
      </c>
      <c r="AI432" s="54" t="str">
        <f aca="false">IF($D432="","",ROW())</f>
        <v/>
      </c>
      <c r="AJ432" s="54" t="n">
        <f aca="false">IF(OR($AC432&lt;&gt;1,$M432=""),0,IF(ISNUMBER(SEARCH("퇴사",IFERROR(INDEX(강사DB!$G$4:$G$53,MATCH($M432,강사DB!$A$4:$A$53,0)),""))),1,0))</f>
        <v>0</v>
      </c>
    </row>
    <row r="433" customFormat="false" ht="15" hidden="false" customHeight="false" outlineLevel="0" collapsed="false">
      <c r="A433" s="45" t="str">
        <f aca="false">IF($D433="","",COUNTA($D$5:$D433))</f>
        <v/>
      </c>
      <c r="B433" s="46"/>
      <c r="C433" s="47"/>
      <c r="D433" s="48"/>
      <c r="E433" s="48"/>
      <c r="F433" s="49"/>
      <c r="G433" s="47"/>
      <c r="H433" s="50"/>
      <c r="I433" s="50"/>
      <c r="J433" s="51" t="str">
        <f aca="false">IF(OR($V433="",$W433=""),"",ROUND(($W433-$V433)/60,2))</f>
        <v/>
      </c>
      <c r="K433" s="52" t="str">
        <f aca="false">IF($F433="","",LEN($F433)-LEN(SUBSTITUTE($F433,",",""))+1)</f>
        <v/>
      </c>
      <c r="L433" s="45" t="str">
        <f aca="false">IF($K433="","","1:"&amp;$K433)</f>
        <v/>
      </c>
      <c r="M433" s="46"/>
      <c r="N433" s="53"/>
      <c r="O433" s="46"/>
      <c r="P433" s="47"/>
      <c r="Q433" s="48"/>
      <c r="R433" s="49"/>
      <c r="S433" s="54" t="str">
        <f aca="false">IF(OR($AC433=0,$U433="",$M433="",$V433="",$W433=""),"",IF(COUNTIFS(m_teacher,$M433,m_date,$U433,m_active,1,m_start,"&lt;"&amp;$W433,m_end,"&gt;"&amp;$V433)&gt;1,"충돌",""))</f>
        <v/>
      </c>
      <c r="T433" s="48"/>
      <c r="U433" s="55" t="str">
        <f aca="false">IF($G433="","",IFERROR(IF(ISNUMBER($G433),IF($G433&gt;19000000,DATE(INT($G433/10000),MOD(INT($G433/100),100),MOD($G433,100)),INT($G433)),IF(LEN(SUBSTITUTE(SUBSTITUTE(SUBSTITUTE(TRIM($G433),"-",""),".",""),"/",""))=8,DATE(VALUE(LEFT(SUBSTITUTE(SUBSTITUTE(SUBSTITUTE(TRIM($G433),"-",""),".",""),"/",""),4)),VALUE(MID(SUBSTITUTE(SUBSTITUTE(SUBSTITUTE(TRIM($G433),"-",""),".",""),"/",""),5,2)),VALUE(RIGHT(SUBSTITUTE(SUBSTITUTE(SUBSTITUTE(TRIM($G433),"-",""),".",""),"/",""),2))),DATEVALUE($G433))),""))</f>
        <v/>
      </c>
      <c r="V433" s="52" t="str">
        <f aca="false">IF($H433="","",IFERROR(IF(IF(ISNUMBER($H433),$H433,IFERROR(TIMEVALUE($H433),VALUE($H433)))&gt;=100,INT(IF(ISNUMBER($H433),$H433,IFERROR(TIMEVALUE($H433),VALUE($H433)))/100)*60+MOD(IF(ISNUMBER($H433),$H433,IFERROR(TIMEVALUE($H433),VALUE($H433))),100),IF(IF(ISNUMBER($H433),$H433,IFERROR(TIMEVALUE($H433),VALUE($H433)))&gt;=1,ROUND(IF(ISNUMBER($H433),$H433,IFERROR(TIMEVALUE($H433),VALUE($H433)))*60,0),ROUND(MOD(IF(ISNUMBER($H433),$H433,IFERROR(TIMEVALUE($H433),VALUE($H433))),1)*1440,0))),""))</f>
        <v/>
      </c>
      <c r="W433" s="52" t="str">
        <f aca="false">IF($I433="","",IFERROR(IF(IF(ISNUMBER($I433),$I433,IFERROR(TIMEVALUE($I433),VALUE($I433)))&gt;=100,INT(IF(ISNUMBER($I433),$I433,IFERROR(TIMEVALUE($I433),VALUE($I433)))/100)*60+MOD(IF(ISNUMBER($I433),$I433,IFERROR(TIMEVALUE($I433),VALUE($I433))),100),IF(IF(ISNUMBER($I433),$I433,IFERROR(TIMEVALUE($I433),VALUE($I433)))&gt;=1,ROUND(IF(ISNUMBER($I433),$I433,IFERROR(TIMEVALUE($I433),VALUE($I433)))*60,0),ROUND(MOD(IF(ISNUMBER($I433),$I433,IFERROR(TIMEVALUE($I433),VALUE($I433))),1)*1440,0))),""))</f>
        <v/>
      </c>
      <c r="X433" s="55" t="str">
        <f aca="false">IF($P433="","",IFERROR(IF(ISNUMBER($P433),IF($P433&gt;19000000,DATE(INT($P433/10000),MOD(INT($P433/100),100),MOD($P433,100)),INT($P433)),IF(LEN(SUBSTITUTE(SUBSTITUTE(SUBSTITUTE(TRIM($P433),"-",""),".",""),"/",""))=8,DATE(VALUE(LEFT(SUBSTITUTE(SUBSTITUTE(SUBSTITUTE(TRIM($P433),"-",""),".",""),"/",""),4)),VALUE(MID(SUBSTITUTE(SUBSTITUTE(SUBSTITUTE(TRIM($P433),"-",""),".",""),"/",""),5,2)),VALUE(RIGHT(SUBSTITUTE(SUBSTITUTE(SUBSTITUTE(TRIM($P433),"-",""),".",""),"/",""),2))),DATEVALUE($P433))),""))</f>
        <v/>
      </c>
      <c r="Y433" s="56" t="str">
        <f aca="false">IF($M433="","",IFERROR(INDEX(강사DB!$D$4:$D$53,MATCH($M433,강사DB!$A$4:$A$53,0)),""))</f>
        <v/>
      </c>
      <c r="Z433" s="56" t="str">
        <f aca="false">IF($B433&lt;&gt;"결제완료","",IF(OR($Y433="",$J433=""),"",$Y433*$J433+MAX(0,N($K433)-1)*설정!$J$7))</f>
        <v/>
      </c>
      <c r="AA433" s="56" t="str">
        <f aca="false">IF(AND($D433&lt;&gt;"",$B433="결제완료"),N($N433),"")</f>
        <v/>
      </c>
      <c r="AB433" s="45" t="str">
        <f aca="false">IF($D433="","",IF($F433&lt;&gt;"",$F433,$D433)&amp;IF($B433="상담중"," (상담)",""))</f>
        <v/>
      </c>
      <c r="AC433" s="45" t="n">
        <f aca="false">IF(AND($D433&lt;&gt;"",OR($B433="결제완료",$B433="상담중")),1,0)</f>
        <v>0</v>
      </c>
      <c r="AD433" s="45" t="n">
        <f aca="false">IF(OR($Z433="",$U433=""),0,IFERROR(IF(COUNTIFS(INDEX(g_grid,0,2*MATCH($M433,강사DB!$A$4:$A$15,0)),"&lt;&gt;",g_s,"&lt;="&amp;$U433,g_e,"&gt;="&amp;$U433)&gt;0,1,0),0))</f>
        <v>0</v>
      </c>
      <c r="AE433" s="48"/>
      <c r="AF433" s="56" t="str">
        <f aca="false">IF(AND($D433&lt;&gt;"",$B433="결제완료",$T433="대여"),설정!$J$5,"")</f>
        <v/>
      </c>
      <c r="AG433" s="54" t="str">
        <f aca="false">IF($D433="","",IF(AND($E433="",$R433=""),$AB433,"☎ "&amp;IF($E433="","-",$E433)&amp;IF($R433&lt;&gt;"","  ※ "&amp;$R433,"")&amp;IF($B433="상담중"," (상담)","")))</f>
        <v/>
      </c>
      <c r="AH433" s="56" t="str">
        <f aca="false">IF(AND($D433&lt;&gt;"",$B433="결제완료",$O433="스마트스토어"),ROUND(N($N433)*설정!$J$6,0),"")</f>
        <v/>
      </c>
      <c r="AI433" s="54" t="str">
        <f aca="false">IF($D433="","",ROW())</f>
        <v/>
      </c>
      <c r="AJ433" s="54" t="n">
        <f aca="false">IF(OR($AC433&lt;&gt;1,$M433=""),0,IF(ISNUMBER(SEARCH("퇴사",IFERROR(INDEX(강사DB!$G$4:$G$53,MATCH($M433,강사DB!$A$4:$A$53,0)),""))),1,0))</f>
        <v>0</v>
      </c>
    </row>
    <row r="434" customFormat="false" ht="15" hidden="false" customHeight="false" outlineLevel="0" collapsed="false">
      <c r="A434" s="45" t="str">
        <f aca="false">IF($D434="","",COUNTA($D$5:$D434))</f>
        <v/>
      </c>
      <c r="B434" s="46"/>
      <c r="C434" s="47"/>
      <c r="D434" s="48"/>
      <c r="E434" s="48"/>
      <c r="F434" s="49"/>
      <c r="G434" s="47"/>
      <c r="H434" s="50"/>
      <c r="I434" s="50"/>
      <c r="J434" s="51" t="str">
        <f aca="false">IF(OR($V434="",$W434=""),"",ROUND(($W434-$V434)/60,2))</f>
        <v/>
      </c>
      <c r="K434" s="52" t="str">
        <f aca="false">IF($F434="","",LEN($F434)-LEN(SUBSTITUTE($F434,",",""))+1)</f>
        <v/>
      </c>
      <c r="L434" s="45" t="str">
        <f aca="false">IF($K434="","","1:"&amp;$K434)</f>
        <v/>
      </c>
      <c r="M434" s="46"/>
      <c r="N434" s="53"/>
      <c r="O434" s="46"/>
      <c r="P434" s="47"/>
      <c r="Q434" s="48"/>
      <c r="R434" s="49"/>
      <c r="S434" s="54" t="str">
        <f aca="false">IF(OR($AC434=0,$U434="",$M434="",$V434="",$W434=""),"",IF(COUNTIFS(m_teacher,$M434,m_date,$U434,m_active,1,m_start,"&lt;"&amp;$W434,m_end,"&gt;"&amp;$V434)&gt;1,"충돌",""))</f>
        <v/>
      </c>
      <c r="T434" s="48"/>
      <c r="U434" s="55" t="str">
        <f aca="false">IF($G434="","",IFERROR(IF(ISNUMBER($G434),IF($G434&gt;19000000,DATE(INT($G434/10000),MOD(INT($G434/100),100),MOD($G434,100)),INT($G434)),IF(LEN(SUBSTITUTE(SUBSTITUTE(SUBSTITUTE(TRIM($G434),"-",""),".",""),"/",""))=8,DATE(VALUE(LEFT(SUBSTITUTE(SUBSTITUTE(SUBSTITUTE(TRIM($G434),"-",""),".",""),"/",""),4)),VALUE(MID(SUBSTITUTE(SUBSTITUTE(SUBSTITUTE(TRIM($G434),"-",""),".",""),"/",""),5,2)),VALUE(RIGHT(SUBSTITUTE(SUBSTITUTE(SUBSTITUTE(TRIM($G434),"-",""),".",""),"/",""),2))),DATEVALUE($G434))),""))</f>
        <v/>
      </c>
      <c r="V434" s="52" t="str">
        <f aca="false">IF($H434="","",IFERROR(IF(IF(ISNUMBER($H434),$H434,IFERROR(TIMEVALUE($H434),VALUE($H434)))&gt;=100,INT(IF(ISNUMBER($H434),$H434,IFERROR(TIMEVALUE($H434),VALUE($H434)))/100)*60+MOD(IF(ISNUMBER($H434),$H434,IFERROR(TIMEVALUE($H434),VALUE($H434))),100),IF(IF(ISNUMBER($H434),$H434,IFERROR(TIMEVALUE($H434),VALUE($H434)))&gt;=1,ROUND(IF(ISNUMBER($H434),$H434,IFERROR(TIMEVALUE($H434),VALUE($H434)))*60,0),ROUND(MOD(IF(ISNUMBER($H434),$H434,IFERROR(TIMEVALUE($H434),VALUE($H434))),1)*1440,0))),""))</f>
        <v/>
      </c>
      <c r="W434" s="52" t="str">
        <f aca="false">IF($I434="","",IFERROR(IF(IF(ISNUMBER($I434),$I434,IFERROR(TIMEVALUE($I434),VALUE($I434)))&gt;=100,INT(IF(ISNUMBER($I434),$I434,IFERROR(TIMEVALUE($I434),VALUE($I434)))/100)*60+MOD(IF(ISNUMBER($I434),$I434,IFERROR(TIMEVALUE($I434),VALUE($I434))),100),IF(IF(ISNUMBER($I434),$I434,IFERROR(TIMEVALUE($I434),VALUE($I434)))&gt;=1,ROUND(IF(ISNUMBER($I434),$I434,IFERROR(TIMEVALUE($I434),VALUE($I434)))*60,0),ROUND(MOD(IF(ISNUMBER($I434),$I434,IFERROR(TIMEVALUE($I434),VALUE($I434))),1)*1440,0))),""))</f>
        <v/>
      </c>
      <c r="X434" s="55" t="str">
        <f aca="false">IF($P434="","",IFERROR(IF(ISNUMBER($P434),IF($P434&gt;19000000,DATE(INT($P434/10000),MOD(INT($P434/100),100),MOD($P434,100)),INT($P434)),IF(LEN(SUBSTITUTE(SUBSTITUTE(SUBSTITUTE(TRIM($P434),"-",""),".",""),"/",""))=8,DATE(VALUE(LEFT(SUBSTITUTE(SUBSTITUTE(SUBSTITUTE(TRIM($P434),"-",""),".",""),"/",""),4)),VALUE(MID(SUBSTITUTE(SUBSTITUTE(SUBSTITUTE(TRIM($P434),"-",""),".",""),"/",""),5,2)),VALUE(RIGHT(SUBSTITUTE(SUBSTITUTE(SUBSTITUTE(TRIM($P434),"-",""),".",""),"/",""),2))),DATEVALUE($P434))),""))</f>
        <v/>
      </c>
      <c r="Y434" s="56" t="str">
        <f aca="false">IF($M434="","",IFERROR(INDEX(강사DB!$D$4:$D$53,MATCH($M434,강사DB!$A$4:$A$53,0)),""))</f>
        <v/>
      </c>
      <c r="Z434" s="56" t="str">
        <f aca="false">IF($B434&lt;&gt;"결제완료","",IF(OR($Y434="",$J434=""),"",$Y434*$J434+MAX(0,N($K434)-1)*설정!$J$7))</f>
        <v/>
      </c>
      <c r="AA434" s="56" t="str">
        <f aca="false">IF(AND($D434&lt;&gt;"",$B434="결제완료"),N($N434),"")</f>
        <v/>
      </c>
      <c r="AB434" s="45" t="str">
        <f aca="false">IF($D434="","",IF($F434&lt;&gt;"",$F434,$D434)&amp;IF($B434="상담중"," (상담)",""))</f>
        <v/>
      </c>
      <c r="AC434" s="45" t="n">
        <f aca="false">IF(AND($D434&lt;&gt;"",OR($B434="결제완료",$B434="상담중")),1,0)</f>
        <v>0</v>
      </c>
      <c r="AD434" s="45" t="n">
        <f aca="false">IF(OR($Z434="",$U434=""),0,IFERROR(IF(COUNTIFS(INDEX(g_grid,0,2*MATCH($M434,강사DB!$A$4:$A$15,0)),"&lt;&gt;",g_s,"&lt;="&amp;$U434,g_e,"&gt;="&amp;$U434)&gt;0,1,0),0))</f>
        <v>0</v>
      </c>
      <c r="AE434" s="48"/>
      <c r="AF434" s="56" t="str">
        <f aca="false">IF(AND($D434&lt;&gt;"",$B434="결제완료",$T434="대여"),설정!$J$5,"")</f>
        <v/>
      </c>
      <c r="AG434" s="54" t="str">
        <f aca="false">IF($D434="","",IF(AND($E434="",$R434=""),$AB434,"☎ "&amp;IF($E434="","-",$E434)&amp;IF($R434&lt;&gt;"","  ※ "&amp;$R434,"")&amp;IF($B434="상담중"," (상담)","")))</f>
        <v/>
      </c>
      <c r="AH434" s="56" t="str">
        <f aca="false">IF(AND($D434&lt;&gt;"",$B434="결제완료",$O434="스마트스토어"),ROUND(N($N434)*설정!$J$6,0),"")</f>
        <v/>
      </c>
      <c r="AI434" s="54" t="str">
        <f aca="false">IF($D434="","",ROW())</f>
        <v/>
      </c>
      <c r="AJ434" s="54" t="n">
        <f aca="false">IF(OR($AC434&lt;&gt;1,$M434=""),0,IF(ISNUMBER(SEARCH("퇴사",IFERROR(INDEX(강사DB!$G$4:$G$53,MATCH($M434,강사DB!$A$4:$A$53,0)),""))),1,0))</f>
        <v>0</v>
      </c>
    </row>
    <row r="435" customFormat="false" ht="15" hidden="false" customHeight="false" outlineLevel="0" collapsed="false">
      <c r="A435" s="45" t="str">
        <f aca="false">IF($D435="","",COUNTA($D$5:$D435))</f>
        <v/>
      </c>
      <c r="B435" s="46"/>
      <c r="C435" s="47"/>
      <c r="D435" s="48"/>
      <c r="E435" s="48"/>
      <c r="F435" s="49"/>
      <c r="G435" s="47"/>
      <c r="H435" s="50"/>
      <c r="I435" s="50"/>
      <c r="J435" s="51" t="str">
        <f aca="false">IF(OR($V435="",$W435=""),"",ROUND(($W435-$V435)/60,2))</f>
        <v/>
      </c>
      <c r="K435" s="52" t="str">
        <f aca="false">IF($F435="","",LEN($F435)-LEN(SUBSTITUTE($F435,",",""))+1)</f>
        <v/>
      </c>
      <c r="L435" s="45" t="str">
        <f aca="false">IF($K435="","","1:"&amp;$K435)</f>
        <v/>
      </c>
      <c r="M435" s="46"/>
      <c r="N435" s="53"/>
      <c r="O435" s="46"/>
      <c r="P435" s="47"/>
      <c r="Q435" s="48"/>
      <c r="R435" s="49"/>
      <c r="S435" s="54" t="str">
        <f aca="false">IF(OR($AC435=0,$U435="",$M435="",$V435="",$W435=""),"",IF(COUNTIFS(m_teacher,$M435,m_date,$U435,m_active,1,m_start,"&lt;"&amp;$W435,m_end,"&gt;"&amp;$V435)&gt;1,"충돌",""))</f>
        <v/>
      </c>
      <c r="T435" s="48"/>
      <c r="U435" s="55" t="str">
        <f aca="false">IF($G435="","",IFERROR(IF(ISNUMBER($G435),IF($G435&gt;19000000,DATE(INT($G435/10000),MOD(INT($G435/100),100),MOD($G435,100)),INT($G435)),IF(LEN(SUBSTITUTE(SUBSTITUTE(SUBSTITUTE(TRIM($G435),"-",""),".",""),"/",""))=8,DATE(VALUE(LEFT(SUBSTITUTE(SUBSTITUTE(SUBSTITUTE(TRIM($G435),"-",""),".",""),"/",""),4)),VALUE(MID(SUBSTITUTE(SUBSTITUTE(SUBSTITUTE(TRIM($G435),"-",""),".",""),"/",""),5,2)),VALUE(RIGHT(SUBSTITUTE(SUBSTITUTE(SUBSTITUTE(TRIM($G435),"-",""),".",""),"/",""),2))),DATEVALUE($G435))),""))</f>
        <v/>
      </c>
      <c r="V435" s="52" t="str">
        <f aca="false">IF($H435="","",IFERROR(IF(IF(ISNUMBER($H435),$H435,IFERROR(TIMEVALUE($H435),VALUE($H435)))&gt;=100,INT(IF(ISNUMBER($H435),$H435,IFERROR(TIMEVALUE($H435),VALUE($H435)))/100)*60+MOD(IF(ISNUMBER($H435),$H435,IFERROR(TIMEVALUE($H435),VALUE($H435))),100),IF(IF(ISNUMBER($H435),$H435,IFERROR(TIMEVALUE($H435),VALUE($H435)))&gt;=1,ROUND(IF(ISNUMBER($H435),$H435,IFERROR(TIMEVALUE($H435),VALUE($H435)))*60,0),ROUND(MOD(IF(ISNUMBER($H435),$H435,IFERROR(TIMEVALUE($H435),VALUE($H435))),1)*1440,0))),""))</f>
        <v/>
      </c>
      <c r="W435" s="52" t="str">
        <f aca="false">IF($I435="","",IFERROR(IF(IF(ISNUMBER($I435),$I435,IFERROR(TIMEVALUE($I435),VALUE($I435)))&gt;=100,INT(IF(ISNUMBER($I435),$I435,IFERROR(TIMEVALUE($I435),VALUE($I435)))/100)*60+MOD(IF(ISNUMBER($I435),$I435,IFERROR(TIMEVALUE($I435),VALUE($I435))),100),IF(IF(ISNUMBER($I435),$I435,IFERROR(TIMEVALUE($I435),VALUE($I435)))&gt;=1,ROUND(IF(ISNUMBER($I435),$I435,IFERROR(TIMEVALUE($I435),VALUE($I435)))*60,0),ROUND(MOD(IF(ISNUMBER($I435),$I435,IFERROR(TIMEVALUE($I435),VALUE($I435))),1)*1440,0))),""))</f>
        <v/>
      </c>
      <c r="X435" s="55" t="str">
        <f aca="false">IF($P435="","",IFERROR(IF(ISNUMBER($P435),IF($P435&gt;19000000,DATE(INT($P435/10000),MOD(INT($P435/100),100),MOD($P435,100)),INT($P435)),IF(LEN(SUBSTITUTE(SUBSTITUTE(SUBSTITUTE(TRIM($P435),"-",""),".",""),"/",""))=8,DATE(VALUE(LEFT(SUBSTITUTE(SUBSTITUTE(SUBSTITUTE(TRIM($P435),"-",""),".",""),"/",""),4)),VALUE(MID(SUBSTITUTE(SUBSTITUTE(SUBSTITUTE(TRIM($P435),"-",""),".",""),"/",""),5,2)),VALUE(RIGHT(SUBSTITUTE(SUBSTITUTE(SUBSTITUTE(TRIM($P435),"-",""),".",""),"/",""),2))),DATEVALUE($P435))),""))</f>
        <v/>
      </c>
      <c r="Y435" s="56" t="str">
        <f aca="false">IF($M435="","",IFERROR(INDEX(강사DB!$D$4:$D$53,MATCH($M435,강사DB!$A$4:$A$53,0)),""))</f>
        <v/>
      </c>
      <c r="Z435" s="56" t="str">
        <f aca="false">IF($B435&lt;&gt;"결제완료","",IF(OR($Y435="",$J435=""),"",$Y435*$J435+MAX(0,N($K435)-1)*설정!$J$7))</f>
        <v/>
      </c>
      <c r="AA435" s="56" t="str">
        <f aca="false">IF(AND($D435&lt;&gt;"",$B435="결제완료"),N($N435),"")</f>
        <v/>
      </c>
      <c r="AB435" s="45" t="str">
        <f aca="false">IF($D435="","",IF($F435&lt;&gt;"",$F435,$D435)&amp;IF($B435="상담중"," (상담)",""))</f>
        <v/>
      </c>
      <c r="AC435" s="45" t="n">
        <f aca="false">IF(AND($D435&lt;&gt;"",OR($B435="결제완료",$B435="상담중")),1,0)</f>
        <v>0</v>
      </c>
      <c r="AD435" s="45" t="n">
        <f aca="false">IF(OR($Z435="",$U435=""),0,IFERROR(IF(COUNTIFS(INDEX(g_grid,0,2*MATCH($M435,강사DB!$A$4:$A$15,0)),"&lt;&gt;",g_s,"&lt;="&amp;$U435,g_e,"&gt;="&amp;$U435)&gt;0,1,0),0))</f>
        <v>0</v>
      </c>
      <c r="AE435" s="48"/>
      <c r="AF435" s="56" t="str">
        <f aca="false">IF(AND($D435&lt;&gt;"",$B435="결제완료",$T435="대여"),설정!$J$5,"")</f>
        <v/>
      </c>
      <c r="AG435" s="54" t="str">
        <f aca="false">IF($D435="","",IF(AND($E435="",$R435=""),$AB435,"☎ "&amp;IF($E435="","-",$E435)&amp;IF($R435&lt;&gt;"","  ※ "&amp;$R435,"")&amp;IF($B435="상담중"," (상담)","")))</f>
        <v/>
      </c>
      <c r="AH435" s="56" t="str">
        <f aca="false">IF(AND($D435&lt;&gt;"",$B435="결제완료",$O435="스마트스토어"),ROUND(N($N435)*설정!$J$6,0),"")</f>
        <v/>
      </c>
      <c r="AI435" s="54" t="str">
        <f aca="false">IF($D435="","",ROW())</f>
        <v/>
      </c>
      <c r="AJ435" s="54" t="n">
        <f aca="false">IF(OR($AC435&lt;&gt;1,$M435=""),0,IF(ISNUMBER(SEARCH("퇴사",IFERROR(INDEX(강사DB!$G$4:$G$53,MATCH($M435,강사DB!$A$4:$A$53,0)),""))),1,0))</f>
        <v>0</v>
      </c>
    </row>
    <row r="436" customFormat="false" ht="15" hidden="false" customHeight="false" outlineLevel="0" collapsed="false">
      <c r="A436" s="45" t="str">
        <f aca="false">IF($D436="","",COUNTA($D$5:$D436))</f>
        <v/>
      </c>
      <c r="B436" s="46"/>
      <c r="C436" s="47"/>
      <c r="D436" s="48"/>
      <c r="E436" s="48"/>
      <c r="F436" s="49"/>
      <c r="G436" s="47"/>
      <c r="H436" s="50"/>
      <c r="I436" s="50"/>
      <c r="J436" s="51" t="str">
        <f aca="false">IF(OR($V436="",$W436=""),"",ROUND(($W436-$V436)/60,2))</f>
        <v/>
      </c>
      <c r="K436" s="52" t="str">
        <f aca="false">IF($F436="","",LEN($F436)-LEN(SUBSTITUTE($F436,",",""))+1)</f>
        <v/>
      </c>
      <c r="L436" s="45" t="str">
        <f aca="false">IF($K436="","","1:"&amp;$K436)</f>
        <v/>
      </c>
      <c r="M436" s="46"/>
      <c r="N436" s="53"/>
      <c r="O436" s="46"/>
      <c r="P436" s="47"/>
      <c r="Q436" s="48"/>
      <c r="R436" s="49"/>
      <c r="S436" s="54" t="str">
        <f aca="false">IF(OR($AC436=0,$U436="",$M436="",$V436="",$W436=""),"",IF(COUNTIFS(m_teacher,$M436,m_date,$U436,m_active,1,m_start,"&lt;"&amp;$W436,m_end,"&gt;"&amp;$V436)&gt;1,"충돌",""))</f>
        <v/>
      </c>
      <c r="T436" s="48"/>
      <c r="U436" s="55" t="str">
        <f aca="false">IF($G436="","",IFERROR(IF(ISNUMBER($G436),IF($G436&gt;19000000,DATE(INT($G436/10000),MOD(INT($G436/100),100),MOD($G436,100)),INT($G436)),IF(LEN(SUBSTITUTE(SUBSTITUTE(SUBSTITUTE(TRIM($G436),"-",""),".",""),"/",""))=8,DATE(VALUE(LEFT(SUBSTITUTE(SUBSTITUTE(SUBSTITUTE(TRIM($G436),"-",""),".",""),"/",""),4)),VALUE(MID(SUBSTITUTE(SUBSTITUTE(SUBSTITUTE(TRIM($G436),"-",""),".",""),"/",""),5,2)),VALUE(RIGHT(SUBSTITUTE(SUBSTITUTE(SUBSTITUTE(TRIM($G436),"-",""),".",""),"/",""),2))),DATEVALUE($G436))),""))</f>
        <v/>
      </c>
      <c r="V436" s="52" t="str">
        <f aca="false">IF($H436="","",IFERROR(IF(IF(ISNUMBER($H436),$H436,IFERROR(TIMEVALUE($H436),VALUE($H436)))&gt;=100,INT(IF(ISNUMBER($H436),$H436,IFERROR(TIMEVALUE($H436),VALUE($H436)))/100)*60+MOD(IF(ISNUMBER($H436),$H436,IFERROR(TIMEVALUE($H436),VALUE($H436))),100),IF(IF(ISNUMBER($H436),$H436,IFERROR(TIMEVALUE($H436),VALUE($H436)))&gt;=1,ROUND(IF(ISNUMBER($H436),$H436,IFERROR(TIMEVALUE($H436),VALUE($H436)))*60,0),ROUND(MOD(IF(ISNUMBER($H436),$H436,IFERROR(TIMEVALUE($H436),VALUE($H436))),1)*1440,0))),""))</f>
        <v/>
      </c>
      <c r="W436" s="52" t="str">
        <f aca="false">IF($I436="","",IFERROR(IF(IF(ISNUMBER($I436),$I436,IFERROR(TIMEVALUE($I436),VALUE($I436)))&gt;=100,INT(IF(ISNUMBER($I436),$I436,IFERROR(TIMEVALUE($I436),VALUE($I436)))/100)*60+MOD(IF(ISNUMBER($I436),$I436,IFERROR(TIMEVALUE($I436),VALUE($I436))),100),IF(IF(ISNUMBER($I436),$I436,IFERROR(TIMEVALUE($I436),VALUE($I436)))&gt;=1,ROUND(IF(ISNUMBER($I436),$I436,IFERROR(TIMEVALUE($I436),VALUE($I436)))*60,0),ROUND(MOD(IF(ISNUMBER($I436),$I436,IFERROR(TIMEVALUE($I436),VALUE($I436))),1)*1440,0))),""))</f>
        <v/>
      </c>
      <c r="X436" s="55" t="str">
        <f aca="false">IF($P436="","",IFERROR(IF(ISNUMBER($P436),IF($P436&gt;19000000,DATE(INT($P436/10000),MOD(INT($P436/100),100),MOD($P436,100)),INT($P436)),IF(LEN(SUBSTITUTE(SUBSTITUTE(SUBSTITUTE(TRIM($P436),"-",""),".",""),"/",""))=8,DATE(VALUE(LEFT(SUBSTITUTE(SUBSTITUTE(SUBSTITUTE(TRIM($P436),"-",""),".",""),"/",""),4)),VALUE(MID(SUBSTITUTE(SUBSTITUTE(SUBSTITUTE(TRIM($P436),"-",""),".",""),"/",""),5,2)),VALUE(RIGHT(SUBSTITUTE(SUBSTITUTE(SUBSTITUTE(TRIM($P436),"-",""),".",""),"/",""),2))),DATEVALUE($P436))),""))</f>
        <v/>
      </c>
      <c r="Y436" s="56" t="str">
        <f aca="false">IF($M436="","",IFERROR(INDEX(강사DB!$D$4:$D$53,MATCH($M436,강사DB!$A$4:$A$53,0)),""))</f>
        <v/>
      </c>
      <c r="Z436" s="56" t="str">
        <f aca="false">IF($B436&lt;&gt;"결제완료","",IF(OR($Y436="",$J436=""),"",$Y436*$J436+MAX(0,N($K436)-1)*설정!$J$7))</f>
        <v/>
      </c>
      <c r="AA436" s="56" t="str">
        <f aca="false">IF(AND($D436&lt;&gt;"",$B436="결제완료"),N($N436),"")</f>
        <v/>
      </c>
      <c r="AB436" s="45" t="str">
        <f aca="false">IF($D436="","",IF($F436&lt;&gt;"",$F436,$D436)&amp;IF($B436="상담중"," (상담)",""))</f>
        <v/>
      </c>
      <c r="AC436" s="45" t="n">
        <f aca="false">IF(AND($D436&lt;&gt;"",OR($B436="결제완료",$B436="상담중")),1,0)</f>
        <v>0</v>
      </c>
      <c r="AD436" s="45" t="n">
        <f aca="false">IF(OR($Z436="",$U436=""),0,IFERROR(IF(COUNTIFS(INDEX(g_grid,0,2*MATCH($M436,강사DB!$A$4:$A$15,0)),"&lt;&gt;",g_s,"&lt;="&amp;$U436,g_e,"&gt;="&amp;$U436)&gt;0,1,0),0))</f>
        <v>0</v>
      </c>
      <c r="AE436" s="48"/>
      <c r="AF436" s="56" t="str">
        <f aca="false">IF(AND($D436&lt;&gt;"",$B436="결제완료",$T436="대여"),설정!$J$5,"")</f>
        <v/>
      </c>
      <c r="AG436" s="54" t="str">
        <f aca="false">IF($D436="","",IF(AND($E436="",$R436=""),$AB436,"☎ "&amp;IF($E436="","-",$E436)&amp;IF($R436&lt;&gt;"","  ※ "&amp;$R436,"")&amp;IF($B436="상담중"," (상담)","")))</f>
        <v/>
      </c>
      <c r="AH436" s="56" t="str">
        <f aca="false">IF(AND($D436&lt;&gt;"",$B436="결제완료",$O436="스마트스토어"),ROUND(N($N436)*설정!$J$6,0),"")</f>
        <v/>
      </c>
      <c r="AI436" s="54" t="str">
        <f aca="false">IF($D436="","",ROW())</f>
        <v/>
      </c>
      <c r="AJ436" s="54" t="n">
        <f aca="false">IF(OR($AC436&lt;&gt;1,$M436=""),0,IF(ISNUMBER(SEARCH("퇴사",IFERROR(INDEX(강사DB!$G$4:$G$53,MATCH($M436,강사DB!$A$4:$A$53,0)),""))),1,0))</f>
        <v>0</v>
      </c>
    </row>
    <row r="437" customFormat="false" ht="15" hidden="false" customHeight="false" outlineLevel="0" collapsed="false">
      <c r="A437" s="45" t="str">
        <f aca="false">IF($D437="","",COUNTA($D$5:$D437))</f>
        <v/>
      </c>
      <c r="B437" s="46"/>
      <c r="C437" s="47"/>
      <c r="D437" s="48"/>
      <c r="E437" s="48"/>
      <c r="F437" s="49"/>
      <c r="G437" s="47"/>
      <c r="H437" s="50"/>
      <c r="I437" s="50"/>
      <c r="J437" s="51" t="str">
        <f aca="false">IF(OR($V437="",$W437=""),"",ROUND(($W437-$V437)/60,2))</f>
        <v/>
      </c>
      <c r="K437" s="52" t="str">
        <f aca="false">IF($F437="","",LEN($F437)-LEN(SUBSTITUTE($F437,",",""))+1)</f>
        <v/>
      </c>
      <c r="L437" s="45" t="str">
        <f aca="false">IF($K437="","","1:"&amp;$K437)</f>
        <v/>
      </c>
      <c r="M437" s="46"/>
      <c r="N437" s="53"/>
      <c r="O437" s="46"/>
      <c r="P437" s="47"/>
      <c r="Q437" s="48"/>
      <c r="R437" s="49"/>
      <c r="S437" s="54" t="str">
        <f aca="false">IF(OR($AC437=0,$U437="",$M437="",$V437="",$W437=""),"",IF(COUNTIFS(m_teacher,$M437,m_date,$U437,m_active,1,m_start,"&lt;"&amp;$W437,m_end,"&gt;"&amp;$V437)&gt;1,"충돌",""))</f>
        <v/>
      </c>
      <c r="T437" s="48"/>
      <c r="U437" s="55" t="str">
        <f aca="false">IF($G437="","",IFERROR(IF(ISNUMBER($G437),IF($G437&gt;19000000,DATE(INT($G437/10000),MOD(INT($G437/100),100),MOD($G437,100)),INT($G437)),IF(LEN(SUBSTITUTE(SUBSTITUTE(SUBSTITUTE(TRIM($G437),"-",""),".",""),"/",""))=8,DATE(VALUE(LEFT(SUBSTITUTE(SUBSTITUTE(SUBSTITUTE(TRIM($G437),"-",""),".",""),"/",""),4)),VALUE(MID(SUBSTITUTE(SUBSTITUTE(SUBSTITUTE(TRIM($G437),"-",""),".",""),"/",""),5,2)),VALUE(RIGHT(SUBSTITUTE(SUBSTITUTE(SUBSTITUTE(TRIM($G437),"-",""),".",""),"/",""),2))),DATEVALUE($G437))),""))</f>
        <v/>
      </c>
      <c r="V437" s="52" t="str">
        <f aca="false">IF($H437="","",IFERROR(IF(IF(ISNUMBER($H437),$H437,IFERROR(TIMEVALUE($H437),VALUE($H437)))&gt;=100,INT(IF(ISNUMBER($H437),$H437,IFERROR(TIMEVALUE($H437),VALUE($H437)))/100)*60+MOD(IF(ISNUMBER($H437),$H437,IFERROR(TIMEVALUE($H437),VALUE($H437))),100),IF(IF(ISNUMBER($H437),$H437,IFERROR(TIMEVALUE($H437),VALUE($H437)))&gt;=1,ROUND(IF(ISNUMBER($H437),$H437,IFERROR(TIMEVALUE($H437),VALUE($H437)))*60,0),ROUND(MOD(IF(ISNUMBER($H437),$H437,IFERROR(TIMEVALUE($H437),VALUE($H437))),1)*1440,0))),""))</f>
        <v/>
      </c>
      <c r="W437" s="52" t="str">
        <f aca="false">IF($I437="","",IFERROR(IF(IF(ISNUMBER($I437),$I437,IFERROR(TIMEVALUE($I437),VALUE($I437)))&gt;=100,INT(IF(ISNUMBER($I437),$I437,IFERROR(TIMEVALUE($I437),VALUE($I437)))/100)*60+MOD(IF(ISNUMBER($I437),$I437,IFERROR(TIMEVALUE($I437),VALUE($I437))),100),IF(IF(ISNUMBER($I437),$I437,IFERROR(TIMEVALUE($I437),VALUE($I437)))&gt;=1,ROUND(IF(ISNUMBER($I437),$I437,IFERROR(TIMEVALUE($I437),VALUE($I437)))*60,0),ROUND(MOD(IF(ISNUMBER($I437),$I437,IFERROR(TIMEVALUE($I437),VALUE($I437))),1)*1440,0))),""))</f>
        <v/>
      </c>
      <c r="X437" s="55" t="str">
        <f aca="false">IF($P437="","",IFERROR(IF(ISNUMBER($P437),IF($P437&gt;19000000,DATE(INT($P437/10000),MOD(INT($P437/100),100),MOD($P437,100)),INT($P437)),IF(LEN(SUBSTITUTE(SUBSTITUTE(SUBSTITUTE(TRIM($P437),"-",""),".",""),"/",""))=8,DATE(VALUE(LEFT(SUBSTITUTE(SUBSTITUTE(SUBSTITUTE(TRIM($P437),"-",""),".",""),"/",""),4)),VALUE(MID(SUBSTITUTE(SUBSTITUTE(SUBSTITUTE(TRIM($P437),"-",""),".",""),"/",""),5,2)),VALUE(RIGHT(SUBSTITUTE(SUBSTITUTE(SUBSTITUTE(TRIM($P437),"-",""),".",""),"/",""),2))),DATEVALUE($P437))),""))</f>
        <v/>
      </c>
      <c r="Y437" s="56" t="str">
        <f aca="false">IF($M437="","",IFERROR(INDEX(강사DB!$D$4:$D$53,MATCH($M437,강사DB!$A$4:$A$53,0)),""))</f>
        <v/>
      </c>
      <c r="Z437" s="56" t="str">
        <f aca="false">IF($B437&lt;&gt;"결제완료","",IF(OR($Y437="",$J437=""),"",$Y437*$J437+MAX(0,N($K437)-1)*설정!$J$7))</f>
        <v/>
      </c>
      <c r="AA437" s="56" t="str">
        <f aca="false">IF(AND($D437&lt;&gt;"",$B437="결제완료"),N($N437),"")</f>
        <v/>
      </c>
      <c r="AB437" s="45" t="str">
        <f aca="false">IF($D437="","",IF($F437&lt;&gt;"",$F437,$D437)&amp;IF($B437="상담중"," (상담)",""))</f>
        <v/>
      </c>
      <c r="AC437" s="45" t="n">
        <f aca="false">IF(AND($D437&lt;&gt;"",OR($B437="결제완료",$B437="상담중")),1,0)</f>
        <v>0</v>
      </c>
      <c r="AD437" s="45" t="n">
        <f aca="false">IF(OR($Z437="",$U437=""),0,IFERROR(IF(COUNTIFS(INDEX(g_grid,0,2*MATCH($M437,강사DB!$A$4:$A$15,0)),"&lt;&gt;",g_s,"&lt;="&amp;$U437,g_e,"&gt;="&amp;$U437)&gt;0,1,0),0))</f>
        <v>0</v>
      </c>
      <c r="AE437" s="48"/>
      <c r="AF437" s="56" t="str">
        <f aca="false">IF(AND($D437&lt;&gt;"",$B437="결제완료",$T437="대여"),설정!$J$5,"")</f>
        <v/>
      </c>
      <c r="AG437" s="54" t="str">
        <f aca="false">IF($D437="","",IF(AND($E437="",$R437=""),$AB437,"☎ "&amp;IF($E437="","-",$E437)&amp;IF($R437&lt;&gt;"","  ※ "&amp;$R437,"")&amp;IF($B437="상담중"," (상담)","")))</f>
        <v/>
      </c>
      <c r="AH437" s="56" t="str">
        <f aca="false">IF(AND($D437&lt;&gt;"",$B437="결제완료",$O437="스마트스토어"),ROUND(N($N437)*설정!$J$6,0),"")</f>
        <v/>
      </c>
      <c r="AI437" s="54" t="str">
        <f aca="false">IF($D437="","",ROW())</f>
        <v/>
      </c>
      <c r="AJ437" s="54" t="n">
        <f aca="false">IF(OR($AC437&lt;&gt;1,$M437=""),0,IF(ISNUMBER(SEARCH("퇴사",IFERROR(INDEX(강사DB!$G$4:$G$53,MATCH($M437,강사DB!$A$4:$A$53,0)),""))),1,0))</f>
        <v>0</v>
      </c>
    </row>
    <row r="438" customFormat="false" ht="15" hidden="false" customHeight="false" outlineLevel="0" collapsed="false">
      <c r="A438" s="45" t="str">
        <f aca="false">IF($D438="","",COUNTA($D$5:$D438))</f>
        <v/>
      </c>
      <c r="B438" s="46"/>
      <c r="C438" s="47"/>
      <c r="D438" s="48"/>
      <c r="E438" s="48"/>
      <c r="F438" s="49"/>
      <c r="G438" s="47"/>
      <c r="H438" s="50"/>
      <c r="I438" s="50"/>
      <c r="J438" s="51" t="str">
        <f aca="false">IF(OR($V438="",$W438=""),"",ROUND(($W438-$V438)/60,2))</f>
        <v/>
      </c>
      <c r="K438" s="52" t="str">
        <f aca="false">IF($F438="","",LEN($F438)-LEN(SUBSTITUTE($F438,",",""))+1)</f>
        <v/>
      </c>
      <c r="L438" s="45" t="str">
        <f aca="false">IF($K438="","","1:"&amp;$K438)</f>
        <v/>
      </c>
      <c r="M438" s="46"/>
      <c r="N438" s="53"/>
      <c r="O438" s="46"/>
      <c r="P438" s="47"/>
      <c r="Q438" s="48"/>
      <c r="R438" s="49"/>
      <c r="S438" s="54" t="str">
        <f aca="false">IF(OR($AC438=0,$U438="",$M438="",$V438="",$W438=""),"",IF(COUNTIFS(m_teacher,$M438,m_date,$U438,m_active,1,m_start,"&lt;"&amp;$W438,m_end,"&gt;"&amp;$V438)&gt;1,"충돌",""))</f>
        <v/>
      </c>
      <c r="T438" s="48"/>
      <c r="U438" s="55" t="str">
        <f aca="false">IF($G438="","",IFERROR(IF(ISNUMBER($G438),IF($G438&gt;19000000,DATE(INT($G438/10000),MOD(INT($G438/100),100),MOD($G438,100)),INT($G438)),IF(LEN(SUBSTITUTE(SUBSTITUTE(SUBSTITUTE(TRIM($G438),"-",""),".",""),"/",""))=8,DATE(VALUE(LEFT(SUBSTITUTE(SUBSTITUTE(SUBSTITUTE(TRIM($G438),"-",""),".",""),"/",""),4)),VALUE(MID(SUBSTITUTE(SUBSTITUTE(SUBSTITUTE(TRIM($G438),"-",""),".",""),"/",""),5,2)),VALUE(RIGHT(SUBSTITUTE(SUBSTITUTE(SUBSTITUTE(TRIM($G438),"-",""),".",""),"/",""),2))),DATEVALUE($G438))),""))</f>
        <v/>
      </c>
      <c r="V438" s="52" t="str">
        <f aca="false">IF($H438="","",IFERROR(IF(IF(ISNUMBER($H438),$H438,IFERROR(TIMEVALUE($H438),VALUE($H438)))&gt;=100,INT(IF(ISNUMBER($H438),$H438,IFERROR(TIMEVALUE($H438),VALUE($H438)))/100)*60+MOD(IF(ISNUMBER($H438),$H438,IFERROR(TIMEVALUE($H438),VALUE($H438))),100),IF(IF(ISNUMBER($H438),$H438,IFERROR(TIMEVALUE($H438),VALUE($H438)))&gt;=1,ROUND(IF(ISNUMBER($H438),$H438,IFERROR(TIMEVALUE($H438),VALUE($H438)))*60,0),ROUND(MOD(IF(ISNUMBER($H438),$H438,IFERROR(TIMEVALUE($H438),VALUE($H438))),1)*1440,0))),""))</f>
        <v/>
      </c>
      <c r="W438" s="52" t="str">
        <f aca="false">IF($I438="","",IFERROR(IF(IF(ISNUMBER($I438),$I438,IFERROR(TIMEVALUE($I438),VALUE($I438)))&gt;=100,INT(IF(ISNUMBER($I438),$I438,IFERROR(TIMEVALUE($I438),VALUE($I438)))/100)*60+MOD(IF(ISNUMBER($I438),$I438,IFERROR(TIMEVALUE($I438),VALUE($I438))),100),IF(IF(ISNUMBER($I438),$I438,IFERROR(TIMEVALUE($I438),VALUE($I438)))&gt;=1,ROUND(IF(ISNUMBER($I438),$I438,IFERROR(TIMEVALUE($I438),VALUE($I438)))*60,0),ROUND(MOD(IF(ISNUMBER($I438),$I438,IFERROR(TIMEVALUE($I438),VALUE($I438))),1)*1440,0))),""))</f>
        <v/>
      </c>
      <c r="X438" s="55" t="str">
        <f aca="false">IF($P438="","",IFERROR(IF(ISNUMBER($P438),IF($P438&gt;19000000,DATE(INT($P438/10000),MOD(INT($P438/100),100),MOD($P438,100)),INT($P438)),IF(LEN(SUBSTITUTE(SUBSTITUTE(SUBSTITUTE(TRIM($P438),"-",""),".",""),"/",""))=8,DATE(VALUE(LEFT(SUBSTITUTE(SUBSTITUTE(SUBSTITUTE(TRIM($P438),"-",""),".",""),"/",""),4)),VALUE(MID(SUBSTITUTE(SUBSTITUTE(SUBSTITUTE(TRIM($P438),"-",""),".",""),"/",""),5,2)),VALUE(RIGHT(SUBSTITUTE(SUBSTITUTE(SUBSTITUTE(TRIM($P438),"-",""),".",""),"/",""),2))),DATEVALUE($P438))),""))</f>
        <v/>
      </c>
      <c r="Y438" s="56" t="str">
        <f aca="false">IF($M438="","",IFERROR(INDEX(강사DB!$D$4:$D$53,MATCH($M438,강사DB!$A$4:$A$53,0)),""))</f>
        <v/>
      </c>
      <c r="Z438" s="56" t="str">
        <f aca="false">IF($B438&lt;&gt;"결제완료","",IF(OR($Y438="",$J438=""),"",$Y438*$J438+MAX(0,N($K438)-1)*설정!$J$7))</f>
        <v/>
      </c>
      <c r="AA438" s="56" t="str">
        <f aca="false">IF(AND($D438&lt;&gt;"",$B438="결제완료"),N($N438),"")</f>
        <v/>
      </c>
      <c r="AB438" s="45" t="str">
        <f aca="false">IF($D438="","",IF($F438&lt;&gt;"",$F438,$D438)&amp;IF($B438="상담중"," (상담)",""))</f>
        <v/>
      </c>
      <c r="AC438" s="45" t="n">
        <f aca="false">IF(AND($D438&lt;&gt;"",OR($B438="결제완료",$B438="상담중")),1,0)</f>
        <v>0</v>
      </c>
      <c r="AD438" s="45" t="n">
        <f aca="false">IF(OR($Z438="",$U438=""),0,IFERROR(IF(COUNTIFS(INDEX(g_grid,0,2*MATCH($M438,강사DB!$A$4:$A$15,0)),"&lt;&gt;",g_s,"&lt;="&amp;$U438,g_e,"&gt;="&amp;$U438)&gt;0,1,0),0))</f>
        <v>0</v>
      </c>
      <c r="AE438" s="48"/>
      <c r="AF438" s="56" t="str">
        <f aca="false">IF(AND($D438&lt;&gt;"",$B438="결제완료",$T438="대여"),설정!$J$5,"")</f>
        <v/>
      </c>
      <c r="AG438" s="54" t="str">
        <f aca="false">IF($D438="","",IF(AND($E438="",$R438=""),$AB438,"☎ "&amp;IF($E438="","-",$E438)&amp;IF($R438&lt;&gt;"","  ※ "&amp;$R438,"")&amp;IF($B438="상담중"," (상담)","")))</f>
        <v/>
      </c>
      <c r="AH438" s="56" t="str">
        <f aca="false">IF(AND($D438&lt;&gt;"",$B438="결제완료",$O438="스마트스토어"),ROUND(N($N438)*설정!$J$6,0),"")</f>
        <v/>
      </c>
      <c r="AI438" s="54" t="str">
        <f aca="false">IF($D438="","",ROW())</f>
        <v/>
      </c>
      <c r="AJ438" s="54" t="n">
        <f aca="false">IF(OR($AC438&lt;&gt;1,$M438=""),0,IF(ISNUMBER(SEARCH("퇴사",IFERROR(INDEX(강사DB!$G$4:$G$53,MATCH($M438,강사DB!$A$4:$A$53,0)),""))),1,0))</f>
        <v>0</v>
      </c>
    </row>
    <row r="439" customFormat="false" ht="15" hidden="false" customHeight="false" outlineLevel="0" collapsed="false">
      <c r="A439" s="45" t="str">
        <f aca="false">IF($D439="","",COUNTA($D$5:$D439))</f>
        <v/>
      </c>
      <c r="B439" s="46"/>
      <c r="C439" s="47"/>
      <c r="D439" s="48"/>
      <c r="E439" s="48"/>
      <c r="F439" s="49"/>
      <c r="G439" s="47"/>
      <c r="H439" s="50"/>
      <c r="I439" s="50"/>
      <c r="J439" s="51" t="str">
        <f aca="false">IF(OR($V439="",$W439=""),"",ROUND(($W439-$V439)/60,2))</f>
        <v/>
      </c>
      <c r="K439" s="52" t="str">
        <f aca="false">IF($F439="","",LEN($F439)-LEN(SUBSTITUTE($F439,",",""))+1)</f>
        <v/>
      </c>
      <c r="L439" s="45" t="str">
        <f aca="false">IF($K439="","","1:"&amp;$K439)</f>
        <v/>
      </c>
      <c r="M439" s="46"/>
      <c r="N439" s="53"/>
      <c r="O439" s="46"/>
      <c r="P439" s="47"/>
      <c r="Q439" s="48"/>
      <c r="R439" s="49"/>
      <c r="S439" s="54" t="str">
        <f aca="false">IF(OR($AC439=0,$U439="",$M439="",$V439="",$W439=""),"",IF(COUNTIFS(m_teacher,$M439,m_date,$U439,m_active,1,m_start,"&lt;"&amp;$W439,m_end,"&gt;"&amp;$V439)&gt;1,"충돌",""))</f>
        <v/>
      </c>
      <c r="T439" s="48"/>
      <c r="U439" s="55" t="str">
        <f aca="false">IF($G439="","",IFERROR(IF(ISNUMBER($G439),IF($G439&gt;19000000,DATE(INT($G439/10000),MOD(INT($G439/100),100),MOD($G439,100)),INT($G439)),IF(LEN(SUBSTITUTE(SUBSTITUTE(SUBSTITUTE(TRIM($G439),"-",""),".",""),"/",""))=8,DATE(VALUE(LEFT(SUBSTITUTE(SUBSTITUTE(SUBSTITUTE(TRIM($G439),"-",""),".",""),"/",""),4)),VALUE(MID(SUBSTITUTE(SUBSTITUTE(SUBSTITUTE(TRIM($G439),"-",""),".",""),"/",""),5,2)),VALUE(RIGHT(SUBSTITUTE(SUBSTITUTE(SUBSTITUTE(TRIM($G439),"-",""),".",""),"/",""),2))),DATEVALUE($G439))),""))</f>
        <v/>
      </c>
      <c r="V439" s="52" t="str">
        <f aca="false">IF($H439="","",IFERROR(IF(IF(ISNUMBER($H439),$H439,IFERROR(TIMEVALUE($H439),VALUE($H439)))&gt;=100,INT(IF(ISNUMBER($H439),$H439,IFERROR(TIMEVALUE($H439),VALUE($H439)))/100)*60+MOD(IF(ISNUMBER($H439),$H439,IFERROR(TIMEVALUE($H439),VALUE($H439))),100),IF(IF(ISNUMBER($H439),$H439,IFERROR(TIMEVALUE($H439),VALUE($H439)))&gt;=1,ROUND(IF(ISNUMBER($H439),$H439,IFERROR(TIMEVALUE($H439),VALUE($H439)))*60,0),ROUND(MOD(IF(ISNUMBER($H439),$H439,IFERROR(TIMEVALUE($H439),VALUE($H439))),1)*1440,0))),""))</f>
        <v/>
      </c>
      <c r="W439" s="52" t="str">
        <f aca="false">IF($I439="","",IFERROR(IF(IF(ISNUMBER($I439),$I439,IFERROR(TIMEVALUE($I439),VALUE($I439)))&gt;=100,INT(IF(ISNUMBER($I439),$I439,IFERROR(TIMEVALUE($I439),VALUE($I439)))/100)*60+MOD(IF(ISNUMBER($I439),$I439,IFERROR(TIMEVALUE($I439),VALUE($I439))),100),IF(IF(ISNUMBER($I439),$I439,IFERROR(TIMEVALUE($I439),VALUE($I439)))&gt;=1,ROUND(IF(ISNUMBER($I439),$I439,IFERROR(TIMEVALUE($I439),VALUE($I439)))*60,0),ROUND(MOD(IF(ISNUMBER($I439),$I439,IFERROR(TIMEVALUE($I439),VALUE($I439))),1)*1440,0))),""))</f>
        <v/>
      </c>
      <c r="X439" s="55" t="str">
        <f aca="false">IF($P439="","",IFERROR(IF(ISNUMBER($P439),IF($P439&gt;19000000,DATE(INT($P439/10000),MOD(INT($P439/100),100),MOD($P439,100)),INT($P439)),IF(LEN(SUBSTITUTE(SUBSTITUTE(SUBSTITUTE(TRIM($P439),"-",""),".",""),"/",""))=8,DATE(VALUE(LEFT(SUBSTITUTE(SUBSTITUTE(SUBSTITUTE(TRIM($P439),"-",""),".",""),"/",""),4)),VALUE(MID(SUBSTITUTE(SUBSTITUTE(SUBSTITUTE(TRIM($P439),"-",""),".",""),"/",""),5,2)),VALUE(RIGHT(SUBSTITUTE(SUBSTITUTE(SUBSTITUTE(TRIM($P439),"-",""),".",""),"/",""),2))),DATEVALUE($P439))),""))</f>
        <v/>
      </c>
      <c r="Y439" s="56" t="str">
        <f aca="false">IF($M439="","",IFERROR(INDEX(강사DB!$D$4:$D$53,MATCH($M439,강사DB!$A$4:$A$53,0)),""))</f>
        <v/>
      </c>
      <c r="Z439" s="56" t="str">
        <f aca="false">IF($B439&lt;&gt;"결제완료","",IF(OR($Y439="",$J439=""),"",$Y439*$J439+MAX(0,N($K439)-1)*설정!$J$7))</f>
        <v/>
      </c>
      <c r="AA439" s="56" t="str">
        <f aca="false">IF(AND($D439&lt;&gt;"",$B439="결제완료"),N($N439),"")</f>
        <v/>
      </c>
      <c r="AB439" s="45" t="str">
        <f aca="false">IF($D439="","",IF($F439&lt;&gt;"",$F439,$D439)&amp;IF($B439="상담중"," (상담)",""))</f>
        <v/>
      </c>
      <c r="AC439" s="45" t="n">
        <f aca="false">IF(AND($D439&lt;&gt;"",OR($B439="결제완료",$B439="상담중")),1,0)</f>
        <v>0</v>
      </c>
      <c r="AD439" s="45" t="n">
        <f aca="false">IF(OR($Z439="",$U439=""),0,IFERROR(IF(COUNTIFS(INDEX(g_grid,0,2*MATCH($M439,강사DB!$A$4:$A$15,0)),"&lt;&gt;",g_s,"&lt;="&amp;$U439,g_e,"&gt;="&amp;$U439)&gt;0,1,0),0))</f>
        <v>0</v>
      </c>
      <c r="AE439" s="48"/>
      <c r="AF439" s="56" t="str">
        <f aca="false">IF(AND($D439&lt;&gt;"",$B439="결제완료",$T439="대여"),설정!$J$5,"")</f>
        <v/>
      </c>
      <c r="AG439" s="54" t="str">
        <f aca="false">IF($D439="","",IF(AND($E439="",$R439=""),$AB439,"☎ "&amp;IF($E439="","-",$E439)&amp;IF($R439&lt;&gt;"","  ※ "&amp;$R439,"")&amp;IF($B439="상담중"," (상담)","")))</f>
        <v/>
      </c>
      <c r="AH439" s="56" t="str">
        <f aca="false">IF(AND($D439&lt;&gt;"",$B439="결제완료",$O439="스마트스토어"),ROUND(N($N439)*설정!$J$6,0),"")</f>
        <v/>
      </c>
      <c r="AI439" s="54" t="str">
        <f aca="false">IF($D439="","",ROW())</f>
        <v/>
      </c>
      <c r="AJ439" s="54" t="n">
        <f aca="false">IF(OR($AC439&lt;&gt;1,$M439=""),0,IF(ISNUMBER(SEARCH("퇴사",IFERROR(INDEX(강사DB!$G$4:$G$53,MATCH($M439,강사DB!$A$4:$A$53,0)),""))),1,0))</f>
        <v>0</v>
      </c>
    </row>
    <row r="440" customFormat="false" ht="15" hidden="false" customHeight="false" outlineLevel="0" collapsed="false">
      <c r="A440" s="45" t="str">
        <f aca="false">IF($D440="","",COUNTA($D$5:$D440))</f>
        <v/>
      </c>
      <c r="B440" s="46"/>
      <c r="C440" s="47"/>
      <c r="D440" s="48"/>
      <c r="E440" s="48"/>
      <c r="F440" s="49"/>
      <c r="G440" s="47"/>
      <c r="H440" s="50"/>
      <c r="I440" s="50"/>
      <c r="J440" s="51" t="str">
        <f aca="false">IF(OR($V440="",$W440=""),"",ROUND(($W440-$V440)/60,2))</f>
        <v/>
      </c>
      <c r="K440" s="52" t="str">
        <f aca="false">IF($F440="","",LEN($F440)-LEN(SUBSTITUTE($F440,",",""))+1)</f>
        <v/>
      </c>
      <c r="L440" s="45" t="str">
        <f aca="false">IF($K440="","","1:"&amp;$K440)</f>
        <v/>
      </c>
      <c r="M440" s="46"/>
      <c r="N440" s="53"/>
      <c r="O440" s="46"/>
      <c r="P440" s="47"/>
      <c r="Q440" s="48"/>
      <c r="R440" s="49"/>
      <c r="S440" s="54" t="str">
        <f aca="false">IF(OR($AC440=0,$U440="",$M440="",$V440="",$W440=""),"",IF(COUNTIFS(m_teacher,$M440,m_date,$U440,m_active,1,m_start,"&lt;"&amp;$W440,m_end,"&gt;"&amp;$V440)&gt;1,"충돌",""))</f>
        <v/>
      </c>
      <c r="T440" s="48"/>
      <c r="U440" s="55" t="str">
        <f aca="false">IF($G440="","",IFERROR(IF(ISNUMBER($G440),IF($G440&gt;19000000,DATE(INT($G440/10000),MOD(INT($G440/100),100),MOD($G440,100)),INT($G440)),IF(LEN(SUBSTITUTE(SUBSTITUTE(SUBSTITUTE(TRIM($G440),"-",""),".",""),"/",""))=8,DATE(VALUE(LEFT(SUBSTITUTE(SUBSTITUTE(SUBSTITUTE(TRIM($G440),"-",""),".",""),"/",""),4)),VALUE(MID(SUBSTITUTE(SUBSTITUTE(SUBSTITUTE(TRIM($G440),"-",""),".",""),"/",""),5,2)),VALUE(RIGHT(SUBSTITUTE(SUBSTITUTE(SUBSTITUTE(TRIM($G440),"-",""),".",""),"/",""),2))),DATEVALUE($G440))),""))</f>
        <v/>
      </c>
      <c r="V440" s="52" t="str">
        <f aca="false">IF($H440="","",IFERROR(IF(IF(ISNUMBER($H440),$H440,IFERROR(TIMEVALUE($H440),VALUE($H440)))&gt;=100,INT(IF(ISNUMBER($H440),$H440,IFERROR(TIMEVALUE($H440),VALUE($H440)))/100)*60+MOD(IF(ISNUMBER($H440),$H440,IFERROR(TIMEVALUE($H440),VALUE($H440))),100),IF(IF(ISNUMBER($H440),$H440,IFERROR(TIMEVALUE($H440),VALUE($H440)))&gt;=1,ROUND(IF(ISNUMBER($H440),$H440,IFERROR(TIMEVALUE($H440),VALUE($H440)))*60,0),ROUND(MOD(IF(ISNUMBER($H440),$H440,IFERROR(TIMEVALUE($H440),VALUE($H440))),1)*1440,0))),""))</f>
        <v/>
      </c>
      <c r="W440" s="52" t="str">
        <f aca="false">IF($I440="","",IFERROR(IF(IF(ISNUMBER($I440),$I440,IFERROR(TIMEVALUE($I440),VALUE($I440)))&gt;=100,INT(IF(ISNUMBER($I440),$I440,IFERROR(TIMEVALUE($I440),VALUE($I440)))/100)*60+MOD(IF(ISNUMBER($I440),$I440,IFERROR(TIMEVALUE($I440),VALUE($I440))),100),IF(IF(ISNUMBER($I440),$I440,IFERROR(TIMEVALUE($I440),VALUE($I440)))&gt;=1,ROUND(IF(ISNUMBER($I440),$I440,IFERROR(TIMEVALUE($I440),VALUE($I440)))*60,0),ROUND(MOD(IF(ISNUMBER($I440),$I440,IFERROR(TIMEVALUE($I440),VALUE($I440))),1)*1440,0))),""))</f>
        <v/>
      </c>
      <c r="X440" s="55" t="str">
        <f aca="false">IF($P440="","",IFERROR(IF(ISNUMBER($P440),IF($P440&gt;19000000,DATE(INT($P440/10000),MOD(INT($P440/100),100),MOD($P440,100)),INT($P440)),IF(LEN(SUBSTITUTE(SUBSTITUTE(SUBSTITUTE(TRIM($P440),"-",""),".",""),"/",""))=8,DATE(VALUE(LEFT(SUBSTITUTE(SUBSTITUTE(SUBSTITUTE(TRIM($P440),"-",""),".",""),"/",""),4)),VALUE(MID(SUBSTITUTE(SUBSTITUTE(SUBSTITUTE(TRIM($P440),"-",""),".",""),"/",""),5,2)),VALUE(RIGHT(SUBSTITUTE(SUBSTITUTE(SUBSTITUTE(TRIM($P440),"-",""),".",""),"/",""),2))),DATEVALUE($P440))),""))</f>
        <v/>
      </c>
      <c r="Y440" s="56" t="str">
        <f aca="false">IF($M440="","",IFERROR(INDEX(강사DB!$D$4:$D$53,MATCH($M440,강사DB!$A$4:$A$53,0)),""))</f>
        <v/>
      </c>
      <c r="Z440" s="56" t="str">
        <f aca="false">IF($B440&lt;&gt;"결제완료","",IF(OR($Y440="",$J440=""),"",$Y440*$J440+MAX(0,N($K440)-1)*설정!$J$7))</f>
        <v/>
      </c>
      <c r="AA440" s="56" t="str">
        <f aca="false">IF(AND($D440&lt;&gt;"",$B440="결제완료"),N($N440),"")</f>
        <v/>
      </c>
      <c r="AB440" s="45" t="str">
        <f aca="false">IF($D440="","",IF($F440&lt;&gt;"",$F440,$D440)&amp;IF($B440="상담중"," (상담)",""))</f>
        <v/>
      </c>
      <c r="AC440" s="45" t="n">
        <f aca="false">IF(AND($D440&lt;&gt;"",OR($B440="결제완료",$B440="상담중")),1,0)</f>
        <v>0</v>
      </c>
      <c r="AD440" s="45" t="n">
        <f aca="false">IF(OR($Z440="",$U440=""),0,IFERROR(IF(COUNTIFS(INDEX(g_grid,0,2*MATCH($M440,강사DB!$A$4:$A$15,0)),"&lt;&gt;",g_s,"&lt;="&amp;$U440,g_e,"&gt;="&amp;$U440)&gt;0,1,0),0))</f>
        <v>0</v>
      </c>
      <c r="AE440" s="48"/>
      <c r="AF440" s="56" t="str">
        <f aca="false">IF(AND($D440&lt;&gt;"",$B440="결제완료",$T440="대여"),설정!$J$5,"")</f>
        <v/>
      </c>
      <c r="AG440" s="54" t="str">
        <f aca="false">IF($D440="","",IF(AND($E440="",$R440=""),$AB440,"☎ "&amp;IF($E440="","-",$E440)&amp;IF($R440&lt;&gt;"","  ※ "&amp;$R440,"")&amp;IF($B440="상담중"," (상담)","")))</f>
        <v/>
      </c>
      <c r="AH440" s="56" t="str">
        <f aca="false">IF(AND($D440&lt;&gt;"",$B440="결제완료",$O440="스마트스토어"),ROUND(N($N440)*설정!$J$6,0),"")</f>
        <v/>
      </c>
      <c r="AI440" s="54" t="str">
        <f aca="false">IF($D440="","",ROW())</f>
        <v/>
      </c>
      <c r="AJ440" s="54" t="n">
        <f aca="false">IF(OR($AC440&lt;&gt;1,$M440=""),0,IF(ISNUMBER(SEARCH("퇴사",IFERROR(INDEX(강사DB!$G$4:$G$53,MATCH($M440,강사DB!$A$4:$A$53,0)),""))),1,0))</f>
        <v>0</v>
      </c>
    </row>
    <row r="441" customFormat="false" ht="15" hidden="false" customHeight="false" outlineLevel="0" collapsed="false">
      <c r="A441" s="45" t="str">
        <f aca="false">IF($D441="","",COUNTA($D$5:$D441))</f>
        <v/>
      </c>
      <c r="B441" s="46"/>
      <c r="C441" s="47"/>
      <c r="D441" s="48"/>
      <c r="E441" s="48"/>
      <c r="F441" s="49"/>
      <c r="G441" s="47"/>
      <c r="H441" s="50"/>
      <c r="I441" s="50"/>
      <c r="J441" s="51" t="str">
        <f aca="false">IF(OR($V441="",$W441=""),"",ROUND(($W441-$V441)/60,2))</f>
        <v/>
      </c>
      <c r="K441" s="52" t="str">
        <f aca="false">IF($F441="","",LEN($F441)-LEN(SUBSTITUTE($F441,",",""))+1)</f>
        <v/>
      </c>
      <c r="L441" s="45" t="str">
        <f aca="false">IF($K441="","","1:"&amp;$K441)</f>
        <v/>
      </c>
      <c r="M441" s="46"/>
      <c r="N441" s="53"/>
      <c r="O441" s="46"/>
      <c r="P441" s="47"/>
      <c r="Q441" s="48"/>
      <c r="R441" s="49"/>
      <c r="S441" s="54" t="str">
        <f aca="false">IF(OR($AC441=0,$U441="",$M441="",$V441="",$W441=""),"",IF(COUNTIFS(m_teacher,$M441,m_date,$U441,m_active,1,m_start,"&lt;"&amp;$W441,m_end,"&gt;"&amp;$V441)&gt;1,"충돌",""))</f>
        <v/>
      </c>
      <c r="T441" s="48"/>
      <c r="U441" s="55" t="str">
        <f aca="false">IF($G441="","",IFERROR(IF(ISNUMBER($G441),IF($G441&gt;19000000,DATE(INT($G441/10000),MOD(INT($G441/100),100),MOD($G441,100)),INT($G441)),IF(LEN(SUBSTITUTE(SUBSTITUTE(SUBSTITUTE(TRIM($G441),"-",""),".",""),"/",""))=8,DATE(VALUE(LEFT(SUBSTITUTE(SUBSTITUTE(SUBSTITUTE(TRIM($G441),"-",""),".",""),"/",""),4)),VALUE(MID(SUBSTITUTE(SUBSTITUTE(SUBSTITUTE(TRIM($G441),"-",""),".",""),"/",""),5,2)),VALUE(RIGHT(SUBSTITUTE(SUBSTITUTE(SUBSTITUTE(TRIM($G441),"-",""),".",""),"/",""),2))),DATEVALUE($G441))),""))</f>
        <v/>
      </c>
      <c r="V441" s="52" t="str">
        <f aca="false">IF($H441="","",IFERROR(IF(IF(ISNUMBER($H441),$H441,IFERROR(TIMEVALUE($H441),VALUE($H441)))&gt;=100,INT(IF(ISNUMBER($H441),$H441,IFERROR(TIMEVALUE($H441),VALUE($H441)))/100)*60+MOD(IF(ISNUMBER($H441),$H441,IFERROR(TIMEVALUE($H441),VALUE($H441))),100),IF(IF(ISNUMBER($H441),$H441,IFERROR(TIMEVALUE($H441),VALUE($H441)))&gt;=1,ROUND(IF(ISNUMBER($H441),$H441,IFERROR(TIMEVALUE($H441),VALUE($H441)))*60,0),ROUND(MOD(IF(ISNUMBER($H441),$H441,IFERROR(TIMEVALUE($H441),VALUE($H441))),1)*1440,0))),""))</f>
        <v/>
      </c>
      <c r="W441" s="52" t="str">
        <f aca="false">IF($I441="","",IFERROR(IF(IF(ISNUMBER($I441),$I441,IFERROR(TIMEVALUE($I441),VALUE($I441)))&gt;=100,INT(IF(ISNUMBER($I441),$I441,IFERROR(TIMEVALUE($I441),VALUE($I441)))/100)*60+MOD(IF(ISNUMBER($I441),$I441,IFERROR(TIMEVALUE($I441),VALUE($I441))),100),IF(IF(ISNUMBER($I441),$I441,IFERROR(TIMEVALUE($I441),VALUE($I441)))&gt;=1,ROUND(IF(ISNUMBER($I441),$I441,IFERROR(TIMEVALUE($I441),VALUE($I441)))*60,0),ROUND(MOD(IF(ISNUMBER($I441),$I441,IFERROR(TIMEVALUE($I441),VALUE($I441))),1)*1440,0))),""))</f>
        <v/>
      </c>
      <c r="X441" s="55" t="str">
        <f aca="false">IF($P441="","",IFERROR(IF(ISNUMBER($P441),IF($P441&gt;19000000,DATE(INT($P441/10000),MOD(INT($P441/100),100),MOD($P441,100)),INT($P441)),IF(LEN(SUBSTITUTE(SUBSTITUTE(SUBSTITUTE(TRIM($P441),"-",""),".",""),"/",""))=8,DATE(VALUE(LEFT(SUBSTITUTE(SUBSTITUTE(SUBSTITUTE(TRIM($P441),"-",""),".",""),"/",""),4)),VALUE(MID(SUBSTITUTE(SUBSTITUTE(SUBSTITUTE(TRIM($P441),"-",""),".",""),"/",""),5,2)),VALUE(RIGHT(SUBSTITUTE(SUBSTITUTE(SUBSTITUTE(TRIM($P441),"-",""),".",""),"/",""),2))),DATEVALUE($P441))),""))</f>
        <v/>
      </c>
      <c r="Y441" s="56" t="str">
        <f aca="false">IF($M441="","",IFERROR(INDEX(강사DB!$D$4:$D$53,MATCH($M441,강사DB!$A$4:$A$53,0)),""))</f>
        <v/>
      </c>
      <c r="Z441" s="56" t="str">
        <f aca="false">IF($B441&lt;&gt;"결제완료","",IF(OR($Y441="",$J441=""),"",$Y441*$J441+MAX(0,N($K441)-1)*설정!$J$7))</f>
        <v/>
      </c>
      <c r="AA441" s="56" t="str">
        <f aca="false">IF(AND($D441&lt;&gt;"",$B441="결제완료"),N($N441),"")</f>
        <v/>
      </c>
      <c r="AB441" s="45" t="str">
        <f aca="false">IF($D441="","",IF($F441&lt;&gt;"",$F441,$D441)&amp;IF($B441="상담중"," (상담)",""))</f>
        <v/>
      </c>
      <c r="AC441" s="45" t="n">
        <f aca="false">IF(AND($D441&lt;&gt;"",OR($B441="결제완료",$B441="상담중")),1,0)</f>
        <v>0</v>
      </c>
      <c r="AD441" s="45" t="n">
        <f aca="false">IF(OR($Z441="",$U441=""),0,IFERROR(IF(COUNTIFS(INDEX(g_grid,0,2*MATCH($M441,강사DB!$A$4:$A$15,0)),"&lt;&gt;",g_s,"&lt;="&amp;$U441,g_e,"&gt;="&amp;$U441)&gt;0,1,0),0))</f>
        <v>0</v>
      </c>
      <c r="AE441" s="48"/>
      <c r="AF441" s="56" t="str">
        <f aca="false">IF(AND($D441&lt;&gt;"",$B441="결제완료",$T441="대여"),설정!$J$5,"")</f>
        <v/>
      </c>
      <c r="AG441" s="54" t="str">
        <f aca="false">IF($D441="","",IF(AND($E441="",$R441=""),$AB441,"☎ "&amp;IF($E441="","-",$E441)&amp;IF($R441&lt;&gt;"","  ※ "&amp;$R441,"")&amp;IF($B441="상담중"," (상담)","")))</f>
        <v/>
      </c>
      <c r="AH441" s="56" t="str">
        <f aca="false">IF(AND($D441&lt;&gt;"",$B441="결제완료",$O441="스마트스토어"),ROUND(N($N441)*설정!$J$6,0),"")</f>
        <v/>
      </c>
      <c r="AI441" s="54" t="str">
        <f aca="false">IF($D441="","",ROW())</f>
        <v/>
      </c>
      <c r="AJ441" s="54" t="n">
        <f aca="false">IF(OR($AC441&lt;&gt;1,$M441=""),0,IF(ISNUMBER(SEARCH("퇴사",IFERROR(INDEX(강사DB!$G$4:$G$53,MATCH($M441,강사DB!$A$4:$A$53,0)),""))),1,0))</f>
        <v>0</v>
      </c>
    </row>
    <row r="442" customFormat="false" ht="15" hidden="false" customHeight="false" outlineLevel="0" collapsed="false">
      <c r="A442" s="45" t="str">
        <f aca="false">IF($D442="","",COUNTA($D$5:$D442))</f>
        <v/>
      </c>
      <c r="B442" s="46"/>
      <c r="C442" s="47"/>
      <c r="D442" s="48"/>
      <c r="E442" s="48"/>
      <c r="F442" s="49"/>
      <c r="G442" s="47"/>
      <c r="H442" s="50"/>
      <c r="I442" s="50"/>
      <c r="J442" s="51" t="str">
        <f aca="false">IF(OR($V442="",$W442=""),"",ROUND(($W442-$V442)/60,2))</f>
        <v/>
      </c>
      <c r="K442" s="52" t="str">
        <f aca="false">IF($F442="","",LEN($F442)-LEN(SUBSTITUTE($F442,",",""))+1)</f>
        <v/>
      </c>
      <c r="L442" s="45" t="str">
        <f aca="false">IF($K442="","","1:"&amp;$K442)</f>
        <v/>
      </c>
      <c r="M442" s="46"/>
      <c r="N442" s="53"/>
      <c r="O442" s="46"/>
      <c r="P442" s="47"/>
      <c r="Q442" s="48"/>
      <c r="R442" s="49"/>
      <c r="S442" s="54" t="str">
        <f aca="false">IF(OR($AC442=0,$U442="",$M442="",$V442="",$W442=""),"",IF(COUNTIFS(m_teacher,$M442,m_date,$U442,m_active,1,m_start,"&lt;"&amp;$W442,m_end,"&gt;"&amp;$V442)&gt;1,"충돌",""))</f>
        <v/>
      </c>
      <c r="T442" s="48"/>
      <c r="U442" s="55" t="str">
        <f aca="false">IF($G442="","",IFERROR(IF(ISNUMBER($G442),IF($G442&gt;19000000,DATE(INT($G442/10000),MOD(INT($G442/100),100),MOD($G442,100)),INT($G442)),IF(LEN(SUBSTITUTE(SUBSTITUTE(SUBSTITUTE(TRIM($G442),"-",""),".",""),"/",""))=8,DATE(VALUE(LEFT(SUBSTITUTE(SUBSTITUTE(SUBSTITUTE(TRIM($G442),"-",""),".",""),"/",""),4)),VALUE(MID(SUBSTITUTE(SUBSTITUTE(SUBSTITUTE(TRIM($G442),"-",""),".",""),"/",""),5,2)),VALUE(RIGHT(SUBSTITUTE(SUBSTITUTE(SUBSTITUTE(TRIM($G442),"-",""),".",""),"/",""),2))),DATEVALUE($G442))),""))</f>
        <v/>
      </c>
      <c r="V442" s="52" t="str">
        <f aca="false">IF($H442="","",IFERROR(IF(IF(ISNUMBER($H442),$H442,IFERROR(TIMEVALUE($H442),VALUE($H442)))&gt;=100,INT(IF(ISNUMBER($H442),$H442,IFERROR(TIMEVALUE($H442),VALUE($H442)))/100)*60+MOD(IF(ISNUMBER($H442),$H442,IFERROR(TIMEVALUE($H442),VALUE($H442))),100),IF(IF(ISNUMBER($H442),$H442,IFERROR(TIMEVALUE($H442),VALUE($H442)))&gt;=1,ROUND(IF(ISNUMBER($H442),$H442,IFERROR(TIMEVALUE($H442),VALUE($H442)))*60,0),ROUND(MOD(IF(ISNUMBER($H442),$H442,IFERROR(TIMEVALUE($H442),VALUE($H442))),1)*1440,0))),""))</f>
        <v/>
      </c>
      <c r="W442" s="52" t="str">
        <f aca="false">IF($I442="","",IFERROR(IF(IF(ISNUMBER($I442),$I442,IFERROR(TIMEVALUE($I442),VALUE($I442)))&gt;=100,INT(IF(ISNUMBER($I442),$I442,IFERROR(TIMEVALUE($I442),VALUE($I442)))/100)*60+MOD(IF(ISNUMBER($I442),$I442,IFERROR(TIMEVALUE($I442),VALUE($I442))),100),IF(IF(ISNUMBER($I442),$I442,IFERROR(TIMEVALUE($I442),VALUE($I442)))&gt;=1,ROUND(IF(ISNUMBER($I442),$I442,IFERROR(TIMEVALUE($I442),VALUE($I442)))*60,0),ROUND(MOD(IF(ISNUMBER($I442),$I442,IFERROR(TIMEVALUE($I442),VALUE($I442))),1)*1440,0))),""))</f>
        <v/>
      </c>
      <c r="X442" s="55" t="str">
        <f aca="false">IF($P442="","",IFERROR(IF(ISNUMBER($P442),IF($P442&gt;19000000,DATE(INT($P442/10000),MOD(INT($P442/100),100),MOD($P442,100)),INT($P442)),IF(LEN(SUBSTITUTE(SUBSTITUTE(SUBSTITUTE(TRIM($P442),"-",""),".",""),"/",""))=8,DATE(VALUE(LEFT(SUBSTITUTE(SUBSTITUTE(SUBSTITUTE(TRIM($P442),"-",""),".",""),"/",""),4)),VALUE(MID(SUBSTITUTE(SUBSTITUTE(SUBSTITUTE(TRIM($P442),"-",""),".",""),"/",""),5,2)),VALUE(RIGHT(SUBSTITUTE(SUBSTITUTE(SUBSTITUTE(TRIM($P442),"-",""),".",""),"/",""),2))),DATEVALUE($P442))),""))</f>
        <v/>
      </c>
      <c r="Y442" s="56" t="str">
        <f aca="false">IF($M442="","",IFERROR(INDEX(강사DB!$D$4:$D$53,MATCH($M442,강사DB!$A$4:$A$53,0)),""))</f>
        <v/>
      </c>
      <c r="Z442" s="56" t="str">
        <f aca="false">IF($B442&lt;&gt;"결제완료","",IF(OR($Y442="",$J442=""),"",$Y442*$J442+MAX(0,N($K442)-1)*설정!$J$7))</f>
        <v/>
      </c>
      <c r="AA442" s="56" t="str">
        <f aca="false">IF(AND($D442&lt;&gt;"",$B442="결제완료"),N($N442),"")</f>
        <v/>
      </c>
      <c r="AB442" s="45" t="str">
        <f aca="false">IF($D442="","",IF($F442&lt;&gt;"",$F442,$D442)&amp;IF($B442="상담중"," (상담)",""))</f>
        <v/>
      </c>
      <c r="AC442" s="45" t="n">
        <f aca="false">IF(AND($D442&lt;&gt;"",OR($B442="결제완료",$B442="상담중")),1,0)</f>
        <v>0</v>
      </c>
      <c r="AD442" s="45" t="n">
        <f aca="false">IF(OR($Z442="",$U442=""),0,IFERROR(IF(COUNTIFS(INDEX(g_grid,0,2*MATCH($M442,강사DB!$A$4:$A$15,0)),"&lt;&gt;",g_s,"&lt;="&amp;$U442,g_e,"&gt;="&amp;$U442)&gt;0,1,0),0))</f>
        <v>0</v>
      </c>
      <c r="AE442" s="48"/>
      <c r="AF442" s="56" t="str">
        <f aca="false">IF(AND($D442&lt;&gt;"",$B442="결제완료",$T442="대여"),설정!$J$5,"")</f>
        <v/>
      </c>
      <c r="AG442" s="54" t="str">
        <f aca="false">IF($D442="","",IF(AND($E442="",$R442=""),$AB442,"☎ "&amp;IF($E442="","-",$E442)&amp;IF($R442&lt;&gt;"","  ※ "&amp;$R442,"")&amp;IF($B442="상담중"," (상담)","")))</f>
        <v/>
      </c>
      <c r="AH442" s="56" t="str">
        <f aca="false">IF(AND($D442&lt;&gt;"",$B442="결제완료",$O442="스마트스토어"),ROUND(N($N442)*설정!$J$6,0),"")</f>
        <v/>
      </c>
      <c r="AI442" s="54" t="str">
        <f aca="false">IF($D442="","",ROW())</f>
        <v/>
      </c>
      <c r="AJ442" s="54" t="n">
        <f aca="false">IF(OR($AC442&lt;&gt;1,$M442=""),0,IF(ISNUMBER(SEARCH("퇴사",IFERROR(INDEX(강사DB!$G$4:$G$53,MATCH($M442,강사DB!$A$4:$A$53,0)),""))),1,0))</f>
        <v>0</v>
      </c>
    </row>
    <row r="443" customFormat="false" ht="15" hidden="false" customHeight="false" outlineLevel="0" collapsed="false">
      <c r="A443" s="45" t="str">
        <f aca="false">IF($D443="","",COUNTA($D$5:$D443))</f>
        <v/>
      </c>
      <c r="B443" s="46"/>
      <c r="C443" s="47"/>
      <c r="D443" s="48"/>
      <c r="E443" s="48"/>
      <c r="F443" s="49"/>
      <c r="G443" s="47"/>
      <c r="H443" s="50"/>
      <c r="I443" s="50"/>
      <c r="J443" s="51" t="str">
        <f aca="false">IF(OR($V443="",$W443=""),"",ROUND(($W443-$V443)/60,2))</f>
        <v/>
      </c>
      <c r="K443" s="52" t="str">
        <f aca="false">IF($F443="","",LEN($F443)-LEN(SUBSTITUTE($F443,",",""))+1)</f>
        <v/>
      </c>
      <c r="L443" s="45" t="str">
        <f aca="false">IF($K443="","","1:"&amp;$K443)</f>
        <v/>
      </c>
      <c r="M443" s="46"/>
      <c r="N443" s="53"/>
      <c r="O443" s="46"/>
      <c r="P443" s="47"/>
      <c r="Q443" s="48"/>
      <c r="R443" s="49"/>
      <c r="S443" s="54" t="str">
        <f aca="false">IF(OR($AC443=0,$U443="",$M443="",$V443="",$W443=""),"",IF(COUNTIFS(m_teacher,$M443,m_date,$U443,m_active,1,m_start,"&lt;"&amp;$W443,m_end,"&gt;"&amp;$V443)&gt;1,"충돌",""))</f>
        <v/>
      </c>
      <c r="T443" s="48"/>
      <c r="U443" s="55" t="str">
        <f aca="false">IF($G443="","",IFERROR(IF(ISNUMBER($G443),IF($G443&gt;19000000,DATE(INT($G443/10000),MOD(INT($G443/100),100),MOD($G443,100)),INT($G443)),IF(LEN(SUBSTITUTE(SUBSTITUTE(SUBSTITUTE(TRIM($G443),"-",""),".",""),"/",""))=8,DATE(VALUE(LEFT(SUBSTITUTE(SUBSTITUTE(SUBSTITUTE(TRIM($G443),"-",""),".",""),"/",""),4)),VALUE(MID(SUBSTITUTE(SUBSTITUTE(SUBSTITUTE(TRIM($G443),"-",""),".",""),"/",""),5,2)),VALUE(RIGHT(SUBSTITUTE(SUBSTITUTE(SUBSTITUTE(TRIM($G443),"-",""),".",""),"/",""),2))),DATEVALUE($G443))),""))</f>
        <v/>
      </c>
      <c r="V443" s="52" t="str">
        <f aca="false">IF($H443="","",IFERROR(IF(IF(ISNUMBER($H443),$H443,IFERROR(TIMEVALUE($H443),VALUE($H443)))&gt;=100,INT(IF(ISNUMBER($H443),$H443,IFERROR(TIMEVALUE($H443),VALUE($H443)))/100)*60+MOD(IF(ISNUMBER($H443),$H443,IFERROR(TIMEVALUE($H443),VALUE($H443))),100),IF(IF(ISNUMBER($H443),$H443,IFERROR(TIMEVALUE($H443),VALUE($H443)))&gt;=1,ROUND(IF(ISNUMBER($H443),$H443,IFERROR(TIMEVALUE($H443),VALUE($H443)))*60,0),ROUND(MOD(IF(ISNUMBER($H443),$H443,IFERROR(TIMEVALUE($H443),VALUE($H443))),1)*1440,0))),""))</f>
        <v/>
      </c>
      <c r="W443" s="52" t="str">
        <f aca="false">IF($I443="","",IFERROR(IF(IF(ISNUMBER($I443),$I443,IFERROR(TIMEVALUE($I443),VALUE($I443)))&gt;=100,INT(IF(ISNUMBER($I443),$I443,IFERROR(TIMEVALUE($I443),VALUE($I443)))/100)*60+MOD(IF(ISNUMBER($I443),$I443,IFERROR(TIMEVALUE($I443),VALUE($I443))),100),IF(IF(ISNUMBER($I443),$I443,IFERROR(TIMEVALUE($I443),VALUE($I443)))&gt;=1,ROUND(IF(ISNUMBER($I443),$I443,IFERROR(TIMEVALUE($I443),VALUE($I443)))*60,0),ROUND(MOD(IF(ISNUMBER($I443),$I443,IFERROR(TIMEVALUE($I443),VALUE($I443))),1)*1440,0))),""))</f>
        <v/>
      </c>
      <c r="X443" s="55" t="str">
        <f aca="false">IF($P443="","",IFERROR(IF(ISNUMBER($P443),IF($P443&gt;19000000,DATE(INT($P443/10000),MOD(INT($P443/100),100),MOD($P443,100)),INT($P443)),IF(LEN(SUBSTITUTE(SUBSTITUTE(SUBSTITUTE(TRIM($P443),"-",""),".",""),"/",""))=8,DATE(VALUE(LEFT(SUBSTITUTE(SUBSTITUTE(SUBSTITUTE(TRIM($P443),"-",""),".",""),"/",""),4)),VALUE(MID(SUBSTITUTE(SUBSTITUTE(SUBSTITUTE(TRIM($P443),"-",""),".",""),"/",""),5,2)),VALUE(RIGHT(SUBSTITUTE(SUBSTITUTE(SUBSTITUTE(TRIM($P443),"-",""),".",""),"/",""),2))),DATEVALUE($P443))),""))</f>
        <v/>
      </c>
      <c r="Y443" s="56" t="str">
        <f aca="false">IF($M443="","",IFERROR(INDEX(강사DB!$D$4:$D$53,MATCH($M443,강사DB!$A$4:$A$53,0)),""))</f>
        <v/>
      </c>
      <c r="Z443" s="56" t="str">
        <f aca="false">IF($B443&lt;&gt;"결제완료","",IF(OR($Y443="",$J443=""),"",$Y443*$J443+MAX(0,N($K443)-1)*설정!$J$7))</f>
        <v/>
      </c>
      <c r="AA443" s="56" t="str">
        <f aca="false">IF(AND($D443&lt;&gt;"",$B443="결제완료"),N($N443),"")</f>
        <v/>
      </c>
      <c r="AB443" s="45" t="str">
        <f aca="false">IF($D443="","",IF($F443&lt;&gt;"",$F443,$D443)&amp;IF($B443="상담중"," (상담)",""))</f>
        <v/>
      </c>
      <c r="AC443" s="45" t="n">
        <f aca="false">IF(AND($D443&lt;&gt;"",OR($B443="결제완료",$B443="상담중")),1,0)</f>
        <v>0</v>
      </c>
      <c r="AD443" s="45" t="n">
        <f aca="false">IF(OR($Z443="",$U443=""),0,IFERROR(IF(COUNTIFS(INDEX(g_grid,0,2*MATCH($M443,강사DB!$A$4:$A$15,0)),"&lt;&gt;",g_s,"&lt;="&amp;$U443,g_e,"&gt;="&amp;$U443)&gt;0,1,0),0))</f>
        <v>0</v>
      </c>
      <c r="AE443" s="48"/>
      <c r="AF443" s="56" t="str">
        <f aca="false">IF(AND($D443&lt;&gt;"",$B443="결제완료",$T443="대여"),설정!$J$5,"")</f>
        <v/>
      </c>
      <c r="AG443" s="54" t="str">
        <f aca="false">IF($D443="","",IF(AND($E443="",$R443=""),$AB443,"☎ "&amp;IF($E443="","-",$E443)&amp;IF($R443&lt;&gt;"","  ※ "&amp;$R443,"")&amp;IF($B443="상담중"," (상담)","")))</f>
        <v/>
      </c>
      <c r="AH443" s="56" t="str">
        <f aca="false">IF(AND($D443&lt;&gt;"",$B443="결제완료",$O443="스마트스토어"),ROUND(N($N443)*설정!$J$6,0),"")</f>
        <v/>
      </c>
      <c r="AI443" s="54" t="str">
        <f aca="false">IF($D443="","",ROW())</f>
        <v/>
      </c>
      <c r="AJ443" s="54" t="n">
        <f aca="false">IF(OR($AC443&lt;&gt;1,$M443=""),0,IF(ISNUMBER(SEARCH("퇴사",IFERROR(INDEX(강사DB!$G$4:$G$53,MATCH($M443,강사DB!$A$4:$A$53,0)),""))),1,0))</f>
        <v>0</v>
      </c>
    </row>
    <row r="444" customFormat="false" ht="15" hidden="false" customHeight="false" outlineLevel="0" collapsed="false">
      <c r="A444" s="45" t="str">
        <f aca="false">IF($D444="","",COUNTA($D$5:$D444))</f>
        <v/>
      </c>
      <c r="B444" s="46"/>
      <c r="C444" s="47"/>
      <c r="D444" s="48"/>
      <c r="E444" s="48"/>
      <c r="F444" s="49"/>
      <c r="G444" s="47"/>
      <c r="H444" s="50"/>
      <c r="I444" s="50"/>
      <c r="J444" s="51" t="str">
        <f aca="false">IF(OR($V444="",$W444=""),"",ROUND(($W444-$V444)/60,2))</f>
        <v/>
      </c>
      <c r="K444" s="52" t="str">
        <f aca="false">IF($F444="","",LEN($F444)-LEN(SUBSTITUTE($F444,",",""))+1)</f>
        <v/>
      </c>
      <c r="L444" s="45" t="str">
        <f aca="false">IF($K444="","","1:"&amp;$K444)</f>
        <v/>
      </c>
      <c r="M444" s="46"/>
      <c r="N444" s="53"/>
      <c r="O444" s="46"/>
      <c r="P444" s="47"/>
      <c r="Q444" s="48"/>
      <c r="R444" s="49"/>
      <c r="S444" s="54" t="str">
        <f aca="false">IF(OR($AC444=0,$U444="",$M444="",$V444="",$W444=""),"",IF(COUNTIFS(m_teacher,$M444,m_date,$U444,m_active,1,m_start,"&lt;"&amp;$W444,m_end,"&gt;"&amp;$V444)&gt;1,"충돌",""))</f>
        <v/>
      </c>
      <c r="T444" s="48"/>
      <c r="U444" s="55" t="str">
        <f aca="false">IF($G444="","",IFERROR(IF(ISNUMBER($G444),IF($G444&gt;19000000,DATE(INT($G444/10000),MOD(INT($G444/100),100),MOD($G444,100)),INT($G444)),IF(LEN(SUBSTITUTE(SUBSTITUTE(SUBSTITUTE(TRIM($G444),"-",""),".",""),"/",""))=8,DATE(VALUE(LEFT(SUBSTITUTE(SUBSTITUTE(SUBSTITUTE(TRIM($G444),"-",""),".",""),"/",""),4)),VALUE(MID(SUBSTITUTE(SUBSTITUTE(SUBSTITUTE(TRIM($G444),"-",""),".",""),"/",""),5,2)),VALUE(RIGHT(SUBSTITUTE(SUBSTITUTE(SUBSTITUTE(TRIM($G444),"-",""),".",""),"/",""),2))),DATEVALUE($G444))),""))</f>
        <v/>
      </c>
      <c r="V444" s="52" t="str">
        <f aca="false">IF($H444="","",IFERROR(IF(IF(ISNUMBER($H444),$H444,IFERROR(TIMEVALUE($H444),VALUE($H444)))&gt;=100,INT(IF(ISNUMBER($H444),$H444,IFERROR(TIMEVALUE($H444),VALUE($H444)))/100)*60+MOD(IF(ISNUMBER($H444),$H444,IFERROR(TIMEVALUE($H444),VALUE($H444))),100),IF(IF(ISNUMBER($H444),$H444,IFERROR(TIMEVALUE($H444),VALUE($H444)))&gt;=1,ROUND(IF(ISNUMBER($H444),$H444,IFERROR(TIMEVALUE($H444),VALUE($H444)))*60,0),ROUND(MOD(IF(ISNUMBER($H444),$H444,IFERROR(TIMEVALUE($H444),VALUE($H444))),1)*1440,0))),""))</f>
        <v/>
      </c>
      <c r="W444" s="52" t="str">
        <f aca="false">IF($I444="","",IFERROR(IF(IF(ISNUMBER($I444),$I444,IFERROR(TIMEVALUE($I444),VALUE($I444)))&gt;=100,INT(IF(ISNUMBER($I444),$I444,IFERROR(TIMEVALUE($I444),VALUE($I444)))/100)*60+MOD(IF(ISNUMBER($I444),$I444,IFERROR(TIMEVALUE($I444),VALUE($I444))),100),IF(IF(ISNUMBER($I444),$I444,IFERROR(TIMEVALUE($I444),VALUE($I444)))&gt;=1,ROUND(IF(ISNUMBER($I444),$I444,IFERROR(TIMEVALUE($I444),VALUE($I444)))*60,0),ROUND(MOD(IF(ISNUMBER($I444),$I444,IFERROR(TIMEVALUE($I444),VALUE($I444))),1)*1440,0))),""))</f>
        <v/>
      </c>
      <c r="X444" s="55" t="str">
        <f aca="false">IF($P444="","",IFERROR(IF(ISNUMBER($P444),IF($P444&gt;19000000,DATE(INT($P444/10000),MOD(INT($P444/100),100),MOD($P444,100)),INT($P444)),IF(LEN(SUBSTITUTE(SUBSTITUTE(SUBSTITUTE(TRIM($P444),"-",""),".",""),"/",""))=8,DATE(VALUE(LEFT(SUBSTITUTE(SUBSTITUTE(SUBSTITUTE(TRIM($P444),"-",""),".",""),"/",""),4)),VALUE(MID(SUBSTITUTE(SUBSTITUTE(SUBSTITUTE(TRIM($P444),"-",""),".",""),"/",""),5,2)),VALUE(RIGHT(SUBSTITUTE(SUBSTITUTE(SUBSTITUTE(TRIM($P444),"-",""),".",""),"/",""),2))),DATEVALUE($P444))),""))</f>
        <v/>
      </c>
      <c r="Y444" s="56" t="str">
        <f aca="false">IF($M444="","",IFERROR(INDEX(강사DB!$D$4:$D$53,MATCH($M444,강사DB!$A$4:$A$53,0)),""))</f>
        <v/>
      </c>
      <c r="Z444" s="56" t="str">
        <f aca="false">IF($B444&lt;&gt;"결제완료","",IF(OR($Y444="",$J444=""),"",$Y444*$J444+MAX(0,N($K444)-1)*설정!$J$7))</f>
        <v/>
      </c>
      <c r="AA444" s="56" t="str">
        <f aca="false">IF(AND($D444&lt;&gt;"",$B444="결제완료"),N($N444),"")</f>
        <v/>
      </c>
      <c r="AB444" s="45" t="str">
        <f aca="false">IF($D444="","",IF($F444&lt;&gt;"",$F444,$D444)&amp;IF($B444="상담중"," (상담)",""))</f>
        <v/>
      </c>
      <c r="AC444" s="45" t="n">
        <f aca="false">IF(AND($D444&lt;&gt;"",OR($B444="결제완료",$B444="상담중")),1,0)</f>
        <v>0</v>
      </c>
      <c r="AD444" s="45" t="n">
        <f aca="false">IF(OR($Z444="",$U444=""),0,IFERROR(IF(COUNTIFS(INDEX(g_grid,0,2*MATCH($M444,강사DB!$A$4:$A$15,0)),"&lt;&gt;",g_s,"&lt;="&amp;$U444,g_e,"&gt;="&amp;$U444)&gt;0,1,0),0))</f>
        <v>0</v>
      </c>
      <c r="AE444" s="48"/>
      <c r="AF444" s="56" t="str">
        <f aca="false">IF(AND($D444&lt;&gt;"",$B444="결제완료",$T444="대여"),설정!$J$5,"")</f>
        <v/>
      </c>
      <c r="AG444" s="54" t="str">
        <f aca="false">IF($D444="","",IF(AND($E444="",$R444=""),$AB444,"☎ "&amp;IF($E444="","-",$E444)&amp;IF($R444&lt;&gt;"","  ※ "&amp;$R444,"")&amp;IF($B444="상담중"," (상담)","")))</f>
        <v/>
      </c>
      <c r="AH444" s="56" t="str">
        <f aca="false">IF(AND($D444&lt;&gt;"",$B444="결제완료",$O444="스마트스토어"),ROUND(N($N444)*설정!$J$6,0),"")</f>
        <v/>
      </c>
      <c r="AI444" s="54" t="str">
        <f aca="false">IF($D444="","",ROW())</f>
        <v/>
      </c>
      <c r="AJ444" s="54" t="n">
        <f aca="false">IF(OR($AC444&lt;&gt;1,$M444=""),0,IF(ISNUMBER(SEARCH("퇴사",IFERROR(INDEX(강사DB!$G$4:$G$53,MATCH($M444,강사DB!$A$4:$A$53,0)),""))),1,0))</f>
        <v>0</v>
      </c>
    </row>
    <row r="445" customFormat="false" ht="15" hidden="false" customHeight="false" outlineLevel="0" collapsed="false">
      <c r="A445" s="45" t="str">
        <f aca="false">IF($D445="","",COUNTA($D$5:$D445))</f>
        <v/>
      </c>
      <c r="B445" s="46"/>
      <c r="C445" s="47"/>
      <c r="D445" s="48"/>
      <c r="E445" s="48"/>
      <c r="F445" s="49"/>
      <c r="G445" s="47"/>
      <c r="H445" s="50"/>
      <c r="I445" s="50"/>
      <c r="J445" s="51" t="str">
        <f aca="false">IF(OR($V445="",$W445=""),"",ROUND(($W445-$V445)/60,2))</f>
        <v/>
      </c>
      <c r="K445" s="52" t="str">
        <f aca="false">IF($F445="","",LEN($F445)-LEN(SUBSTITUTE($F445,",",""))+1)</f>
        <v/>
      </c>
      <c r="L445" s="45" t="str">
        <f aca="false">IF($K445="","","1:"&amp;$K445)</f>
        <v/>
      </c>
      <c r="M445" s="46"/>
      <c r="N445" s="53"/>
      <c r="O445" s="46"/>
      <c r="P445" s="47"/>
      <c r="Q445" s="48"/>
      <c r="R445" s="49"/>
      <c r="S445" s="54" t="str">
        <f aca="false">IF(OR($AC445=0,$U445="",$M445="",$V445="",$W445=""),"",IF(COUNTIFS(m_teacher,$M445,m_date,$U445,m_active,1,m_start,"&lt;"&amp;$W445,m_end,"&gt;"&amp;$V445)&gt;1,"충돌",""))</f>
        <v/>
      </c>
      <c r="T445" s="48"/>
      <c r="U445" s="55" t="str">
        <f aca="false">IF($G445="","",IFERROR(IF(ISNUMBER($G445),IF($G445&gt;19000000,DATE(INT($G445/10000),MOD(INT($G445/100),100),MOD($G445,100)),INT($G445)),IF(LEN(SUBSTITUTE(SUBSTITUTE(SUBSTITUTE(TRIM($G445),"-",""),".",""),"/",""))=8,DATE(VALUE(LEFT(SUBSTITUTE(SUBSTITUTE(SUBSTITUTE(TRIM($G445),"-",""),".",""),"/",""),4)),VALUE(MID(SUBSTITUTE(SUBSTITUTE(SUBSTITUTE(TRIM($G445),"-",""),".",""),"/",""),5,2)),VALUE(RIGHT(SUBSTITUTE(SUBSTITUTE(SUBSTITUTE(TRIM($G445),"-",""),".",""),"/",""),2))),DATEVALUE($G445))),""))</f>
        <v/>
      </c>
      <c r="V445" s="52" t="str">
        <f aca="false">IF($H445="","",IFERROR(IF(IF(ISNUMBER($H445),$H445,IFERROR(TIMEVALUE($H445),VALUE($H445)))&gt;=100,INT(IF(ISNUMBER($H445),$H445,IFERROR(TIMEVALUE($H445),VALUE($H445)))/100)*60+MOD(IF(ISNUMBER($H445),$H445,IFERROR(TIMEVALUE($H445),VALUE($H445))),100),IF(IF(ISNUMBER($H445),$H445,IFERROR(TIMEVALUE($H445),VALUE($H445)))&gt;=1,ROUND(IF(ISNUMBER($H445),$H445,IFERROR(TIMEVALUE($H445),VALUE($H445)))*60,0),ROUND(MOD(IF(ISNUMBER($H445),$H445,IFERROR(TIMEVALUE($H445),VALUE($H445))),1)*1440,0))),""))</f>
        <v/>
      </c>
      <c r="W445" s="52" t="str">
        <f aca="false">IF($I445="","",IFERROR(IF(IF(ISNUMBER($I445),$I445,IFERROR(TIMEVALUE($I445),VALUE($I445)))&gt;=100,INT(IF(ISNUMBER($I445),$I445,IFERROR(TIMEVALUE($I445),VALUE($I445)))/100)*60+MOD(IF(ISNUMBER($I445),$I445,IFERROR(TIMEVALUE($I445),VALUE($I445))),100),IF(IF(ISNUMBER($I445),$I445,IFERROR(TIMEVALUE($I445),VALUE($I445)))&gt;=1,ROUND(IF(ISNUMBER($I445),$I445,IFERROR(TIMEVALUE($I445),VALUE($I445)))*60,0),ROUND(MOD(IF(ISNUMBER($I445),$I445,IFERROR(TIMEVALUE($I445),VALUE($I445))),1)*1440,0))),""))</f>
        <v/>
      </c>
      <c r="X445" s="55" t="str">
        <f aca="false">IF($P445="","",IFERROR(IF(ISNUMBER($P445),IF($P445&gt;19000000,DATE(INT($P445/10000),MOD(INT($P445/100),100),MOD($P445,100)),INT($P445)),IF(LEN(SUBSTITUTE(SUBSTITUTE(SUBSTITUTE(TRIM($P445),"-",""),".",""),"/",""))=8,DATE(VALUE(LEFT(SUBSTITUTE(SUBSTITUTE(SUBSTITUTE(TRIM($P445),"-",""),".",""),"/",""),4)),VALUE(MID(SUBSTITUTE(SUBSTITUTE(SUBSTITUTE(TRIM($P445),"-",""),".",""),"/",""),5,2)),VALUE(RIGHT(SUBSTITUTE(SUBSTITUTE(SUBSTITUTE(TRIM($P445),"-",""),".",""),"/",""),2))),DATEVALUE($P445))),""))</f>
        <v/>
      </c>
      <c r="Y445" s="56" t="str">
        <f aca="false">IF($M445="","",IFERROR(INDEX(강사DB!$D$4:$D$53,MATCH($M445,강사DB!$A$4:$A$53,0)),""))</f>
        <v/>
      </c>
      <c r="Z445" s="56" t="str">
        <f aca="false">IF($B445&lt;&gt;"결제완료","",IF(OR($Y445="",$J445=""),"",$Y445*$J445+MAX(0,N($K445)-1)*설정!$J$7))</f>
        <v/>
      </c>
      <c r="AA445" s="56" t="str">
        <f aca="false">IF(AND($D445&lt;&gt;"",$B445="결제완료"),N($N445),"")</f>
        <v/>
      </c>
      <c r="AB445" s="45" t="str">
        <f aca="false">IF($D445="","",IF($F445&lt;&gt;"",$F445,$D445)&amp;IF($B445="상담중"," (상담)",""))</f>
        <v/>
      </c>
      <c r="AC445" s="45" t="n">
        <f aca="false">IF(AND($D445&lt;&gt;"",OR($B445="결제완료",$B445="상담중")),1,0)</f>
        <v>0</v>
      </c>
      <c r="AD445" s="45" t="n">
        <f aca="false">IF(OR($Z445="",$U445=""),0,IFERROR(IF(COUNTIFS(INDEX(g_grid,0,2*MATCH($M445,강사DB!$A$4:$A$15,0)),"&lt;&gt;",g_s,"&lt;="&amp;$U445,g_e,"&gt;="&amp;$U445)&gt;0,1,0),0))</f>
        <v>0</v>
      </c>
      <c r="AE445" s="48"/>
      <c r="AF445" s="56" t="str">
        <f aca="false">IF(AND($D445&lt;&gt;"",$B445="결제완료",$T445="대여"),설정!$J$5,"")</f>
        <v/>
      </c>
      <c r="AG445" s="54" t="str">
        <f aca="false">IF($D445="","",IF(AND($E445="",$R445=""),$AB445,"☎ "&amp;IF($E445="","-",$E445)&amp;IF($R445&lt;&gt;"","  ※ "&amp;$R445,"")&amp;IF($B445="상담중"," (상담)","")))</f>
        <v/>
      </c>
      <c r="AH445" s="56" t="str">
        <f aca="false">IF(AND($D445&lt;&gt;"",$B445="결제완료",$O445="스마트스토어"),ROUND(N($N445)*설정!$J$6,0),"")</f>
        <v/>
      </c>
      <c r="AI445" s="54" t="str">
        <f aca="false">IF($D445="","",ROW())</f>
        <v/>
      </c>
      <c r="AJ445" s="54" t="n">
        <f aca="false">IF(OR($AC445&lt;&gt;1,$M445=""),0,IF(ISNUMBER(SEARCH("퇴사",IFERROR(INDEX(강사DB!$G$4:$G$53,MATCH($M445,강사DB!$A$4:$A$53,0)),""))),1,0))</f>
        <v>0</v>
      </c>
    </row>
    <row r="446" customFormat="false" ht="15" hidden="false" customHeight="false" outlineLevel="0" collapsed="false">
      <c r="A446" s="45" t="str">
        <f aca="false">IF($D446="","",COUNTA($D$5:$D446))</f>
        <v/>
      </c>
      <c r="B446" s="46"/>
      <c r="C446" s="47"/>
      <c r="D446" s="48"/>
      <c r="E446" s="48"/>
      <c r="F446" s="49"/>
      <c r="G446" s="47"/>
      <c r="H446" s="50"/>
      <c r="I446" s="50"/>
      <c r="J446" s="51" t="str">
        <f aca="false">IF(OR($V446="",$W446=""),"",ROUND(($W446-$V446)/60,2))</f>
        <v/>
      </c>
      <c r="K446" s="52" t="str">
        <f aca="false">IF($F446="","",LEN($F446)-LEN(SUBSTITUTE($F446,",",""))+1)</f>
        <v/>
      </c>
      <c r="L446" s="45" t="str">
        <f aca="false">IF($K446="","","1:"&amp;$K446)</f>
        <v/>
      </c>
      <c r="M446" s="46"/>
      <c r="N446" s="53"/>
      <c r="O446" s="46"/>
      <c r="P446" s="47"/>
      <c r="Q446" s="48"/>
      <c r="R446" s="49"/>
      <c r="S446" s="54" t="str">
        <f aca="false">IF(OR($AC446=0,$U446="",$M446="",$V446="",$W446=""),"",IF(COUNTIFS(m_teacher,$M446,m_date,$U446,m_active,1,m_start,"&lt;"&amp;$W446,m_end,"&gt;"&amp;$V446)&gt;1,"충돌",""))</f>
        <v/>
      </c>
      <c r="T446" s="48"/>
      <c r="U446" s="55" t="str">
        <f aca="false">IF($G446="","",IFERROR(IF(ISNUMBER($G446),IF($G446&gt;19000000,DATE(INT($G446/10000),MOD(INT($G446/100),100),MOD($G446,100)),INT($G446)),IF(LEN(SUBSTITUTE(SUBSTITUTE(SUBSTITUTE(TRIM($G446),"-",""),".",""),"/",""))=8,DATE(VALUE(LEFT(SUBSTITUTE(SUBSTITUTE(SUBSTITUTE(TRIM($G446),"-",""),".",""),"/",""),4)),VALUE(MID(SUBSTITUTE(SUBSTITUTE(SUBSTITUTE(TRIM($G446),"-",""),".",""),"/",""),5,2)),VALUE(RIGHT(SUBSTITUTE(SUBSTITUTE(SUBSTITUTE(TRIM($G446),"-",""),".",""),"/",""),2))),DATEVALUE($G446))),""))</f>
        <v/>
      </c>
      <c r="V446" s="52" t="str">
        <f aca="false">IF($H446="","",IFERROR(IF(IF(ISNUMBER($H446),$H446,IFERROR(TIMEVALUE($H446),VALUE($H446)))&gt;=100,INT(IF(ISNUMBER($H446),$H446,IFERROR(TIMEVALUE($H446),VALUE($H446)))/100)*60+MOD(IF(ISNUMBER($H446),$H446,IFERROR(TIMEVALUE($H446),VALUE($H446))),100),IF(IF(ISNUMBER($H446),$H446,IFERROR(TIMEVALUE($H446),VALUE($H446)))&gt;=1,ROUND(IF(ISNUMBER($H446),$H446,IFERROR(TIMEVALUE($H446),VALUE($H446)))*60,0),ROUND(MOD(IF(ISNUMBER($H446),$H446,IFERROR(TIMEVALUE($H446),VALUE($H446))),1)*1440,0))),""))</f>
        <v/>
      </c>
      <c r="W446" s="52" t="str">
        <f aca="false">IF($I446="","",IFERROR(IF(IF(ISNUMBER($I446),$I446,IFERROR(TIMEVALUE($I446),VALUE($I446)))&gt;=100,INT(IF(ISNUMBER($I446),$I446,IFERROR(TIMEVALUE($I446),VALUE($I446)))/100)*60+MOD(IF(ISNUMBER($I446),$I446,IFERROR(TIMEVALUE($I446),VALUE($I446))),100),IF(IF(ISNUMBER($I446),$I446,IFERROR(TIMEVALUE($I446),VALUE($I446)))&gt;=1,ROUND(IF(ISNUMBER($I446),$I446,IFERROR(TIMEVALUE($I446),VALUE($I446)))*60,0),ROUND(MOD(IF(ISNUMBER($I446),$I446,IFERROR(TIMEVALUE($I446),VALUE($I446))),1)*1440,0))),""))</f>
        <v/>
      </c>
      <c r="X446" s="55" t="str">
        <f aca="false">IF($P446="","",IFERROR(IF(ISNUMBER($P446),IF($P446&gt;19000000,DATE(INT($P446/10000),MOD(INT($P446/100),100),MOD($P446,100)),INT($P446)),IF(LEN(SUBSTITUTE(SUBSTITUTE(SUBSTITUTE(TRIM($P446),"-",""),".",""),"/",""))=8,DATE(VALUE(LEFT(SUBSTITUTE(SUBSTITUTE(SUBSTITUTE(TRIM($P446),"-",""),".",""),"/",""),4)),VALUE(MID(SUBSTITUTE(SUBSTITUTE(SUBSTITUTE(TRIM($P446),"-",""),".",""),"/",""),5,2)),VALUE(RIGHT(SUBSTITUTE(SUBSTITUTE(SUBSTITUTE(TRIM($P446),"-",""),".",""),"/",""),2))),DATEVALUE($P446))),""))</f>
        <v/>
      </c>
      <c r="Y446" s="56" t="str">
        <f aca="false">IF($M446="","",IFERROR(INDEX(강사DB!$D$4:$D$53,MATCH($M446,강사DB!$A$4:$A$53,0)),""))</f>
        <v/>
      </c>
      <c r="Z446" s="56" t="str">
        <f aca="false">IF($B446&lt;&gt;"결제완료","",IF(OR($Y446="",$J446=""),"",$Y446*$J446+MAX(0,N($K446)-1)*설정!$J$7))</f>
        <v/>
      </c>
      <c r="AA446" s="56" t="str">
        <f aca="false">IF(AND($D446&lt;&gt;"",$B446="결제완료"),N($N446),"")</f>
        <v/>
      </c>
      <c r="AB446" s="45" t="str">
        <f aca="false">IF($D446="","",IF($F446&lt;&gt;"",$F446,$D446)&amp;IF($B446="상담중"," (상담)",""))</f>
        <v/>
      </c>
      <c r="AC446" s="45" t="n">
        <f aca="false">IF(AND($D446&lt;&gt;"",OR($B446="결제완료",$B446="상담중")),1,0)</f>
        <v>0</v>
      </c>
      <c r="AD446" s="45" t="n">
        <f aca="false">IF(OR($Z446="",$U446=""),0,IFERROR(IF(COUNTIFS(INDEX(g_grid,0,2*MATCH($M446,강사DB!$A$4:$A$15,0)),"&lt;&gt;",g_s,"&lt;="&amp;$U446,g_e,"&gt;="&amp;$U446)&gt;0,1,0),0))</f>
        <v>0</v>
      </c>
      <c r="AE446" s="48"/>
      <c r="AF446" s="56" t="str">
        <f aca="false">IF(AND($D446&lt;&gt;"",$B446="결제완료",$T446="대여"),설정!$J$5,"")</f>
        <v/>
      </c>
      <c r="AG446" s="54" t="str">
        <f aca="false">IF($D446="","",IF(AND($E446="",$R446=""),$AB446,"☎ "&amp;IF($E446="","-",$E446)&amp;IF($R446&lt;&gt;"","  ※ "&amp;$R446,"")&amp;IF($B446="상담중"," (상담)","")))</f>
        <v/>
      </c>
      <c r="AH446" s="56" t="str">
        <f aca="false">IF(AND($D446&lt;&gt;"",$B446="결제완료",$O446="스마트스토어"),ROUND(N($N446)*설정!$J$6,0),"")</f>
        <v/>
      </c>
      <c r="AI446" s="54" t="str">
        <f aca="false">IF($D446="","",ROW())</f>
        <v/>
      </c>
      <c r="AJ446" s="54" t="n">
        <f aca="false">IF(OR($AC446&lt;&gt;1,$M446=""),0,IF(ISNUMBER(SEARCH("퇴사",IFERROR(INDEX(강사DB!$G$4:$G$53,MATCH($M446,강사DB!$A$4:$A$53,0)),""))),1,0))</f>
        <v>0</v>
      </c>
    </row>
    <row r="447" customFormat="false" ht="15" hidden="false" customHeight="false" outlineLevel="0" collapsed="false">
      <c r="A447" s="45" t="str">
        <f aca="false">IF($D447="","",COUNTA($D$5:$D447))</f>
        <v/>
      </c>
      <c r="B447" s="46"/>
      <c r="C447" s="47"/>
      <c r="D447" s="48"/>
      <c r="E447" s="48"/>
      <c r="F447" s="49"/>
      <c r="G447" s="47"/>
      <c r="H447" s="50"/>
      <c r="I447" s="50"/>
      <c r="J447" s="51" t="str">
        <f aca="false">IF(OR($V447="",$W447=""),"",ROUND(($W447-$V447)/60,2))</f>
        <v/>
      </c>
      <c r="K447" s="52" t="str">
        <f aca="false">IF($F447="","",LEN($F447)-LEN(SUBSTITUTE($F447,",",""))+1)</f>
        <v/>
      </c>
      <c r="L447" s="45" t="str">
        <f aca="false">IF($K447="","","1:"&amp;$K447)</f>
        <v/>
      </c>
      <c r="M447" s="46"/>
      <c r="N447" s="53"/>
      <c r="O447" s="46"/>
      <c r="P447" s="47"/>
      <c r="Q447" s="48"/>
      <c r="R447" s="49"/>
      <c r="S447" s="54" t="str">
        <f aca="false">IF(OR($AC447=0,$U447="",$M447="",$V447="",$W447=""),"",IF(COUNTIFS(m_teacher,$M447,m_date,$U447,m_active,1,m_start,"&lt;"&amp;$W447,m_end,"&gt;"&amp;$V447)&gt;1,"충돌",""))</f>
        <v/>
      </c>
      <c r="T447" s="48"/>
      <c r="U447" s="55" t="str">
        <f aca="false">IF($G447="","",IFERROR(IF(ISNUMBER($G447),IF($G447&gt;19000000,DATE(INT($G447/10000),MOD(INT($G447/100),100),MOD($G447,100)),INT($G447)),IF(LEN(SUBSTITUTE(SUBSTITUTE(SUBSTITUTE(TRIM($G447),"-",""),".",""),"/",""))=8,DATE(VALUE(LEFT(SUBSTITUTE(SUBSTITUTE(SUBSTITUTE(TRIM($G447),"-",""),".",""),"/",""),4)),VALUE(MID(SUBSTITUTE(SUBSTITUTE(SUBSTITUTE(TRIM($G447),"-",""),".",""),"/",""),5,2)),VALUE(RIGHT(SUBSTITUTE(SUBSTITUTE(SUBSTITUTE(TRIM($G447),"-",""),".",""),"/",""),2))),DATEVALUE($G447))),""))</f>
        <v/>
      </c>
      <c r="V447" s="52" t="str">
        <f aca="false">IF($H447="","",IFERROR(IF(IF(ISNUMBER($H447),$H447,IFERROR(TIMEVALUE($H447),VALUE($H447)))&gt;=100,INT(IF(ISNUMBER($H447),$H447,IFERROR(TIMEVALUE($H447),VALUE($H447)))/100)*60+MOD(IF(ISNUMBER($H447),$H447,IFERROR(TIMEVALUE($H447),VALUE($H447))),100),IF(IF(ISNUMBER($H447),$H447,IFERROR(TIMEVALUE($H447),VALUE($H447)))&gt;=1,ROUND(IF(ISNUMBER($H447),$H447,IFERROR(TIMEVALUE($H447),VALUE($H447)))*60,0),ROUND(MOD(IF(ISNUMBER($H447),$H447,IFERROR(TIMEVALUE($H447),VALUE($H447))),1)*1440,0))),""))</f>
        <v/>
      </c>
      <c r="W447" s="52" t="str">
        <f aca="false">IF($I447="","",IFERROR(IF(IF(ISNUMBER($I447),$I447,IFERROR(TIMEVALUE($I447),VALUE($I447)))&gt;=100,INT(IF(ISNUMBER($I447),$I447,IFERROR(TIMEVALUE($I447),VALUE($I447)))/100)*60+MOD(IF(ISNUMBER($I447),$I447,IFERROR(TIMEVALUE($I447),VALUE($I447))),100),IF(IF(ISNUMBER($I447),$I447,IFERROR(TIMEVALUE($I447),VALUE($I447)))&gt;=1,ROUND(IF(ISNUMBER($I447),$I447,IFERROR(TIMEVALUE($I447),VALUE($I447)))*60,0),ROUND(MOD(IF(ISNUMBER($I447),$I447,IFERROR(TIMEVALUE($I447),VALUE($I447))),1)*1440,0))),""))</f>
        <v/>
      </c>
      <c r="X447" s="55" t="str">
        <f aca="false">IF($P447="","",IFERROR(IF(ISNUMBER($P447),IF($P447&gt;19000000,DATE(INT($P447/10000),MOD(INT($P447/100),100),MOD($P447,100)),INT($P447)),IF(LEN(SUBSTITUTE(SUBSTITUTE(SUBSTITUTE(TRIM($P447),"-",""),".",""),"/",""))=8,DATE(VALUE(LEFT(SUBSTITUTE(SUBSTITUTE(SUBSTITUTE(TRIM($P447),"-",""),".",""),"/",""),4)),VALUE(MID(SUBSTITUTE(SUBSTITUTE(SUBSTITUTE(TRIM($P447),"-",""),".",""),"/",""),5,2)),VALUE(RIGHT(SUBSTITUTE(SUBSTITUTE(SUBSTITUTE(TRIM($P447),"-",""),".",""),"/",""),2))),DATEVALUE($P447))),""))</f>
        <v/>
      </c>
      <c r="Y447" s="56" t="str">
        <f aca="false">IF($M447="","",IFERROR(INDEX(강사DB!$D$4:$D$53,MATCH($M447,강사DB!$A$4:$A$53,0)),""))</f>
        <v/>
      </c>
      <c r="Z447" s="56" t="str">
        <f aca="false">IF($B447&lt;&gt;"결제완료","",IF(OR($Y447="",$J447=""),"",$Y447*$J447+MAX(0,N($K447)-1)*설정!$J$7))</f>
        <v/>
      </c>
      <c r="AA447" s="56" t="str">
        <f aca="false">IF(AND($D447&lt;&gt;"",$B447="결제완료"),N($N447),"")</f>
        <v/>
      </c>
      <c r="AB447" s="45" t="str">
        <f aca="false">IF($D447="","",IF($F447&lt;&gt;"",$F447,$D447)&amp;IF($B447="상담중"," (상담)",""))</f>
        <v/>
      </c>
      <c r="AC447" s="45" t="n">
        <f aca="false">IF(AND($D447&lt;&gt;"",OR($B447="결제완료",$B447="상담중")),1,0)</f>
        <v>0</v>
      </c>
      <c r="AD447" s="45" t="n">
        <f aca="false">IF(OR($Z447="",$U447=""),0,IFERROR(IF(COUNTIFS(INDEX(g_grid,0,2*MATCH($M447,강사DB!$A$4:$A$15,0)),"&lt;&gt;",g_s,"&lt;="&amp;$U447,g_e,"&gt;="&amp;$U447)&gt;0,1,0),0))</f>
        <v>0</v>
      </c>
      <c r="AE447" s="48"/>
      <c r="AF447" s="56" t="str">
        <f aca="false">IF(AND($D447&lt;&gt;"",$B447="결제완료",$T447="대여"),설정!$J$5,"")</f>
        <v/>
      </c>
      <c r="AG447" s="54" t="str">
        <f aca="false">IF($D447="","",IF(AND($E447="",$R447=""),$AB447,"☎ "&amp;IF($E447="","-",$E447)&amp;IF($R447&lt;&gt;"","  ※ "&amp;$R447,"")&amp;IF($B447="상담중"," (상담)","")))</f>
        <v/>
      </c>
      <c r="AH447" s="56" t="str">
        <f aca="false">IF(AND($D447&lt;&gt;"",$B447="결제완료",$O447="스마트스토어"),ROUND(N($N447)*설정!$J$6,0),"")</f>
        <v/>
      </c>
      <c r="AI447" s="54" t="str">
        <f aca="false">IF($D447="","",ROW())</f>
        <v/>
      </c>
      <c r="AJ447" s="54" t="n">
        <f aca="false">IF(OR($AC447&lt;&gt;1,$M447=""),0,IF(ISNUMBER(SEARCH("퇴사",IFERROR(INDEX(강사DB!$G$4:$G$53,MATCH($M447,강사DB!$A$4:$A$53,0)),""))),1,0))</f>
        <v>0</v>
      </c>
    </row>
    <row r="448" customFormat="false" ht="15" hidden="false" customHeight="false" outlineLevel="0" collapsed="false">
      <c r="A448" s="45" t="str">
        <f aca="false">IF($D448="","",COUNTA($D$5:$D448))</f>
        <v/>
      </c>
      <c r="B448" s="46"/>
      <c r="C448" s="47"/>
      <c r="D448" s="48"/>
      <c r="E448" s="48"/>
      <c r="F448" s="49"/>
      <c r="G448" s="47"/>
      <c r="H448" s="50"/>
      <c r="I448" s="50"/>
      <c r="J448" s="51" t="str">
        <f aca="false">IF(OR($V448="",$W448=""),"",ROUND(($W448-$V448)/60,2))</f>
        <v/>
      </c>
      <c r="K448" s="52" t="str">
        <f aca="false">IF($F448="","",LEN($F448)-LEN(SUBSTITUTE($F448,",",""))+1)</f>
        <v/>
      </c>
      <c r="L448" s="45" t="str">
        <f aca="false">IF($K448="","","1:"&amp;$K448)</f>
        <v/>
      </c>
      <c r="M448" s="46"/>
      <c r="N448" s="53"/>
      <c r="O448" s="46"/>
      <c r="P448" s="47"/>
      <c r="Q448" s="48"/>
      <c r="R448" s="49"/>
      <c r="S448" s="54" t="str">
        <f aca="false">IF(OR($AC448=0,$U448="",$M448="",$V448="",$W448=""),"",IF(COUNTIFS(m_teacher,$M448,m_date,$U448,m_active,1,m_start,"&lt;"&amp;$W448,m_end,"&gt;"&amp;$V448)&gt;1,"충돌",""))</f>
        <v/>
      </c>
      <c r="T448" s="48"/>
      <c r="U448" s="55" t="str">
        <f aca="false">IF($G448="","",IFERROR(IF(ISNUMBER($G448),IF($G448&gt;19000000,DATE(INT($G448/10000),MOD(INT($G448/100),100),MOD($G448,100)),INT($G448)),IF(LEN(SUBSTITUTE(SUBSTITUTE(SUBSTITUTE(TRIM($G448),"-",""),".",""),"/",""))=8,DATE(VALUE(LEFT(SUBSTITUTE(SUBSTITUTE(SUBSTITUTE(TRIM($G448),"-",""),".",""),"/",""),4)),VALUE(MID(SUBSTITUTE(SUBSTITUTE(SUBSTITUTE(TRIM($G448),"-",""),".",""),"/",""),5,2)),VALUE(RIGHT(SUBSTITUTE(SUBSTITUTE(SUBSTITUTE(TRIM($G448),"-",""),".",""),"/",""),2))),DATEVALUE($G448))),""))</f>
        <v/>
      </c>
      <c r="V448" s="52" t="str">
        <f aca="false">IF($H448="","",IFERROR(IF(IF(ISNUMBER($H448),$H448,IFERROR(TIMEVALUE($H448),VALUE($H448)))&gt;=100,INT(IF(ISNUMBER($H448),$H448,IFERROR(TIMEVALUE($H448),VALUE($H448)))/100)*60+MOD(IF(ISNUMBER($H448),$H448,IFERROR(TIMEVALUE($H448),VALUE($H448))),100),IF(IF(ISNUMBER($H448),$H448,IFERROR(TIMEVALUE($H448),VALUE($H448)))&gt;=1,ROUND(IF(ISNUMBER($H448),$H448,IFERROR(TIMEVALUE($H448),VALUE($H448)))*60,0),ROUND(MOD(IF(ISNUMBER($H448),$H448,IFERROR(TIMEVALUE($H448),VALUE($H448))),1)*1440,0))),""))</f>
        <v/>
      </c>
      <c r="W448" s="52" t="str">
        <f aca="false">IF($I448="","",IFERROR(IF(IF(ISNUMBER($I448),$I448,IFERROR(TIMEVALUE($I448),VALUE($I448)))&gt;=100,INT(IF(ISNUMBER($I448),$I448,IFERROR(TIMEVALUE($I448),VALUE($I448)))/100)*60+MOD(IF(ISNUMBER($I448),$I448,IFERROR(TIMEVALUE($I448),VALUE($I448))),100),IF(IF(ISNUMBER($I448),$I448,IFERROR(TIMEVALUE($I448),VALUE($I448)))&gt;=1,ROUND(IF(ISNUMBER($I448),$I448,IFERROR(TIMEVALUE($I448),VALUE($I448)))*60,0),ROUND(MOD(IF(ISNUMBER($I448),$I448,IFERROR(TIMEVALUE($I448),VALUE($I448))),1)*1440,0))),""))</f>
        <v/>
      </c>
      <c r="X448" s="55" t="str">
        <f aca="false">IF($P448="","",IFERROR(IF(ISNUMBER($P448),IF($P448&gt;19000000,DATE(INT($P448/10000),MOD(INT($P448/100),100),MOD($P448,100)),INT($P448)),IF(LEN(SUBSTITUTE(SUBSTITUTE(SUBSTITUTE(TRIM($P448),"-",""),".",""),"/",""))=8,DATE(VALUE(LEFT(SUBSTITUTE(SUBSTITUTE(SUBSTITUTE(TRIM($P448),"-",""),".",""),"/",""),4)),VALUE(MID(SUBSTITUTE(SUBSTITUTE(SUBSTITUTE(TRIM($P448),"-",""),".",""),"/",""),5,2)),VALUE(RIGHT(SUBSTITUTE(SUBSTITUTE(SUBSTITUTE(TRIM($P448),"-",""),".",""),"/",""),2))),DATEVALUE($P448))),""))</f>
        <v/>
      </c>
      <c r="Y448" s="56" t="str">
        <f aca="false">IF($M448="","",IFERROR(INDEX(강사DB!$D$4:$D$53,MATCH($M448,강사DB!$A$4:$A$53,0)),""))</f>
        <v/>
      </c>
      <c r="Z448" s="56" t="str">
        <f aca="false">IF($B448&lt;&gt;"결제완료","",IF(OR($Y448="",$J448=""),"",$Y448*$J448+MAX(0,N($K448)-1)*설정!$J$7))</f>
        <v/>
      </c>
      <c r="AA448" s="56" t="str">
        <f aca="false">IF(AND($D448&lt;&gt;"",$B448="결제완료"),N($N448),"")</f>
        <v/>
      </c>
      <c r="AB448" s="45" t="str">
        <f aca="false">IF($D448="","",IF($F448&lt;&gt;"",$F448,$D448)&amp;IF($B448="상담중"," (상담)",""))</f>
        <v/>
      </c>
      <c r="AC448" s="45" t="n">
        <f aca="false">IF(AND($D448&lt;&gt;"",OR($B448="결제완료",$B448="상담중")),1,0)</f>
        <v>0</v>
      </c>
      <c r="AD448" s="45" t="n">
        <f aca="false">IF(OR($Z448="",$U448=""),0,IFERROR(IF(COUNTIFS(INDEX(g_grid,0,2*MATCH($M448,강사DB!$A$4:$A$15,0)),"&lt;&gt;",g_s,"&lt;="&amp;$U448,g_e,"&gt;="&amp;$U448)&gt;0,1,0),0))</f>
        <v>0</v>
      </c>
      <c r="AE448" s="48"/>
      <c r="AF448" s="56" t="str">
        <f aca="false">IF(AND($D448&lt;&gt;"",$B448="결제완료",$T448="대여"),설정!$J$5,"")</f>
        <v/>
      </c>
      <c r="AG448" s="54" t="str">
        <f aca="false">IF($D448="","",IF(AND($E448="",$R448=""),$AB448,"☎ "&amp;IF($E448="","-",$E448)&amp;IF($R448&lt;&gt;"","  ※ "&amp;$R448,"")&amp;IF($B448="상담중"," (상담)","")))</f>
        <v/>
      </c>
      <c r="AH448" s="56" t="str">
        <f aca="false">IF(AND($D448&lt;&gt;"",$B448="결제완료",$O448="스마트스토어"),ROUND(N($N448)*설정!$J$6,0),"")</f>
        <v/>
      </c>
      <c r="AI448" s="54" t="str">
        <f aca="false">IF($D448="","",ROW())</f>
        <v/>
      </c>
      <c r="AJ448" s="54" t="n">
        <f aca="false">IF(OR($AC448&lt;&gt;1,$M448=""),0,IF(ISNUMBER(SEARCH("퇴사",IFERROR(INDEX(강사DB!$G$4:$G$53,MATCH($M448,강사DB!$A$4:$A$53,0)),""))),1,0))</f>
        <v>0</v>
      </c>
    </row>
    <row r="449" customFormat="false" ht="15" hidden="false" customHeight="false" outlineLevel="0" collapsed="false">
      <c r="A449" s="45" t="str">
        <f aca="false">IF($D449="","",COUNTA($D$5:$D449))</f>
        <v/>
      </c>
      <c r="B449" s="46"/>
      <c r="C449" s="47"/>
      <c r="D449" s="48"/>
      <c r="E449" s="48"/>
      <c r="F449" s="49"/>
      <c r="G449" s="47"/>
      <c r="H449" s="50"/>
      <c r="I449" s="50"/>
      <c r="J449" s="51" t="str">
        <f aca="false">IF(OR($V449="",$W449=""),"",ROUND(($W449-$V449)/60,2))</f>
        <v/>
      </c>
      <c r="K449" s="52" t="str">
        <f aca="false">IF($F449="","",LEN($F449)-LEN(SUBSTITUTE($F449,",",""))+1)</f>
        <v/>
      </c>
      <c r="L449" s="45" t="str">
        <f aca="false">IF($K449="","","1:"&amp;$K449)</f>
        <v/>
      </c>
      <c r="M449" s="46"/>
      <c r="N449" s="53"/>
      <c r="O449" s="46"/>
      <c r="P449" s="47"/>
      <c r="Q449" s="48"/>
      <c r="R449" s="49"/>
      <c r="S449" s="54" t="str">
        <f aca="false">IF(OR($AC449=0,$U449="",$M449="",$V449="",$W449=""),"",IF(COUNTIFS(m_teacher,$M449,m_date,$U449,m_active,1,m_start,"&lt;"&amp;$W449,m_end,"&gt;"&amp;$V449)&gt;1,"충돌",""))</f>
        <v/>
      </c>
      <c r="T449" s="48"/>
      <c r="U449" s="55" t="str">
        <f aca="false">IF($G449="","",IFERROR(IF(ISNUMBER($G449),IF($G449&gt;19000000,DATE(INT($G449/10000),MOD(INT($G449/100),100),MOD($G449,100)),INT($G449)),IF(LEN(SUBSTITUTE(SUBSTITUTE(SUBSTITUTE(TRIM($G449),"-",""),".",""),"/",""))=8,DATE(VALUE(LEFT(SUBSTITUTE(SUBSTITUTE(SUBSTITUTE(TRIM($G449),"-",""),".",""),"/",""),4)),VALUE(MID(SUBSTITUTE(SUBSTITUTE(SUBSTITUTE(TRIM($G449),"-",""),".",""),"/",""),5,2)),VALUE(RIGHT(SUBSTITUTE(SUBSTITUTE(SUBSTITUTE(TRIM($G449),"-",""),".",""),"/",""),2))),DATEVALUE($G449))),""))</f>
        <v/>
      </c>
      <c r="V449" s="52" t="str">
        <f aca="false">IF($H449="","",IFERROR(IF(IF(ISNUMBER($H449),$H449,IFERROR(TIMEVALUE($H449),VALUE($H449)))&gt;=100,INT(IF(ISNUMBER($H449),$H449,IFERROR(TIMEVALUE($H449),VALUE($H449)))/100)*60+MOD(IF(ISNUMBER($H449),$H449,IFERROR(TIMEVALUE($H449),VALUE($H449))),100),IF(IF(ISNUMBER($H449),$H449,IFERROR(TIMEVALUE($H449),VALUE($H449)))&gt;=1,ROUND(IF(ISNUMBER($H449),$H449,IFERROR(TIMEVALUE($H449),VALUE($H449)))*60,0),ROUND(MOD(IF(ISNUMBER($H449),$H449,IFERROR(TIMEVALUE($H449),VALUE($H449))),1)*1440,0))),""))</f>
        <v/>
      </c>
      <c r="W449" s="52" t="str">
        <f aca="false">IF($I449="","",IFERROR(IF(IF(ISNUMBER($I449),$I449,IFERROR(TIMEVALUE($I449),VALUE($I449)))&gt;=100,INT(IF(ISNUMBER($I449),$I449,IFERROR(TIMEVALUE($I449),VALUE($I449)))/100)*60+MOD(IF(ISNUMBER($I449),$I449,IFERROR(TIMEVALUE($I449),VALUE($I449))),100),IF(IF(ISNUMBER($I449),$I449,IFERROR(TIMEVALUE($I449),VALUE($I449)))&gt;=1,ROUND(IF(ISNUMBER($I449),$I449,IFERROR(TIMEVALUE($I449),VALUE($I449)))*60,0),ROUND(MOD(IF(ISNUMBER($I449),$I449,IFERROR(TIMEVALUE($I449),VALUE($I449))),1)*1440,0))),""))</f>
        <v/>
      </c>
      <c r="X449" s="55" t="str">
        <f aca="false">IF($P449="","",IFERROR(IF(ISNUMBER($P449),IF($P449&gt;19000000,DATE(INT($P449/10000),MOD(INT($P449/100),100),MOD($P449,100)),INT($P449)),IF(LEN(SUBSTITUTE(SUBSTITUTE(SUBSTITUTE(TRIM($P449),"-",""),".",""),"/",""))=8,DATE(VALUE(LEFT(SUBSTITUTE(SUBSTITUTE(SUBSTITUTE(TRIM($P449),"-",""),".",""),"/",""),4)),VALUE(MID(SUBSTITUTE(SUBSTITUTE(SUBSTITUTE(TRIM($P449),"-",""),".",""),"/",""),5,2)),VALUE(RIGHT(SUBSTITUTE(SUBSTITUTE(SUBSTITUTE(TRIM($P449),"-",""),".",""),"/",""),2))),DATEVALUE($P449))),""))</f>
        <v/>
      </c>
      <c r="Y449" s="56" t="str">
        <f aca="false">IF($M449="","",IFERROR(INDEX(강사DB!$D$4:$D$53,MATCH($M449,강사DB!$A$4:$A$53,0)),""))</f>
        <v/>
      </c>
      <c r="Z449" s="56" t="str">
        <f aca="false">IF($B449&lt;&gt;"결제완료","",IF(OR($Y449="",$J449=""),"",$Y449*$J449+MAX(0,N($K449)-1)*설정!$J$7))</f>
        <v/>
      </c>
      <c r="AA449" s="56" t="str">
        <f aca="false">IF(AND($D449&lt;&gt;"",$B449="결제완료"),N($N449),"")</f>
        <v/>
      </c>
      <c r="AB449" s="45" t="str">
        <f aca="false">IF($D449="","",IF($F449&lt;&gt;"",$F449,$D449)&amp;IF($B449="상담중"," (상담)",""))</f>
        <v/>
      </c>
      <c r="AC449" s="45" t="n">
        <f aca="false">IF(AND($D449&lt;&gt;"",OR($B449="결제완료",$B449="상담중")),1,0)</f>
        <v>0</v>
      </c>
      <c r="AD449" s="45" t="n">
        <f aca="false">IF(OR($Z449="",$U449=""),0,IFERROR(IF(COUNTIFS(INDEX(g_grid,0,2*MATCH($M449,강사DB!$A$4:$A$15,0)),"&lt;&gt;",g_s,"&lt;="&amp;$U449,g_e,"&gt;="&amp;$U449)&gt;0,1,0),0))</f>
        <v>0</v>
      </c>
      <c r="AE449" s="48"/>
      <c r="AF449" s="56" t="str">
        <f aca="false">IF(AND($D449&lt;&gt;"",$B449="결제완료",$T449="대여"),설정!$J$5,"")</f>
        <v/>
      </c>
      <c r="AG449" s="54" t="str">
        <f aca="false">IF($D449="","",IF(AND($E449="",$R449=""),$AB449,"☎ "&amp;IF($E449="","-",$E449)&amp;IF($R449&lt;&gt;"","  ※ "&amp;$R449,"")&amp;IF($B449="상담중"," (상담)","")))</f>
        <v/>
      </c>
      <c r="AH449" s="56" t="str">
        <f aca="false">IF(AND($D449&lt;&gt;"",$B449="결제완료",$O449="스마트스토어"),ROUND(N($N449)*설정!$J$6,0),"")</f>
        <v/>
      </c>
      <c r="AI449" s="54" t="str">
        <f aca="false">IF($D449="","",ROW())</f>
        <v/>
      </c>
      <c r="AJ449" s="54" t="n">
        <f aca="false">IF(OR($AC449&lt;&gt;1,$M449=""),0,IF(ISNUMBER(SEARCH("퇴사",IFERROR(INDEX(강사DB!$G$4:$G$53,MATCH($M449,강사DB!$A$4:$A$53,0)),""))),1,0))</f>
        <v>0</v>
      </c>
    </row>
    <row r="450" customFormat="false" ht="15" hidden="false" customHeight="false" outlineLevel="0" collapsed="false">
      <c r="A450" s="45" t="str">
        <f aca="false">IF($D450="","",COUNTA($D$5:$D450))</f>
        <v/>
      </c>
      <c r="B450" s="46"/>
      <c r="C450" s="47"/>
      <c r="D450" s="48"/>
      <c r="E450" s="48"/>
      <c r="F450" s="49"/>
      <c r="G450" s="47"/>
      <c r="H450" s="50"/>
      <c r="I450" s="50"/>
      <c r="J450" s="51" t="str">
        <f aca="false">IF(OR($V450="",$W450=""),"",ROUND(($W450-$V450)/60,2))</f>
        <v/>
      </c>
      <c r="K450" s="52" t="str">
        <f aca="false">IF($F450="","",LEN($F450)-LEN(SUBSTITUTE($F450,",",""))+1)</f>
        <v/>
      </c>
      <c r="L450" s="45" t="str">
        <f aca="false">IF($K450="","","1:"&amp;$K450)</f>
        <v/>
      </c>
      <c r="M450" s="46"/>
      <c r="N450" s="53"/>
      <c r="O450" s="46"/>
      <c r="P450" s="47"/>
      <c r="Q450" s="48"/>
      <c r="R450" s="49"/>
      <c r="S450" s="54" t="str">
        <f aca="false">IF(OR($AC450=0,$U450="",$M450="",$V450="",$W450=""),"",IF(COUNTIFS(m_teacher,$M450,m_date,$U450,m_active,1,m_start,"&lt;"&amp;$W450,m_end,"&gt;"&amp;$V450)&gt;1,"충돌",""))</f>
        <v/>
      </c>
      <c r="T450" s="48"/>
      <c r="U450" s="55" t="str">
        <f aca="false">IF($G450="","",IFERROR(IF(ISNUMBER($G450),IF($G450&gt;19000000,DATE(INT($G450/10000),MOD(INT($G450/100),100),MOD($G450,100)),INT($G450)),IF(LEN(SUBSTITUTE(SUBSTITUTE(SUBSTITUTE(TRIM($G450),"-",""),".",""),"/",""))=8,DATE(VALUE(LEFT(SUBSTITUTE(SUBSTITUTE(SUBSTITUTE(TRIM($G450),"-",""),".",""),"/",""),4)),VALUE(MID(SUBSTITUTE(SUBSTITUTE(SUBSTITUTE(TRIM($G450),"-",""),".",""),"/",""),5,2)),VALUE(RIGHT(SUBSTITUTE(SUBSTITUTE(SUBSTITUTE(TRIM($G450),"-",""),".",""),"/",""),2))),DATEVALUE($G450))),""))</f>
        <v/>
      </c>
      <c r="V450" s="52" t="str">
        <f aca="false">IF($H450="","",IFERROR(IF(IF(ISNUMBER($H450),$H450,IFERROR(TIMEVALUE($H450),VALUE($H450)))&gt;=100,INT(IF(ISNUMBER($H450),$H450,IFERROR(TIMEVALUE($H450),VALUE($H450)))/100)*60+MOD(IF(ISNUMBER($H450),$H450,IFERROR(TIMEVALUE($H450),VALUE($H450))),100),IF(IF(ISNUMBER($H450),$H450,IFERROR(TIMEVALUE($H450),VALUE($H450)))&gt;=1,ROUND(IF(ISNUMBER($H450),$H450,IFERROR(TIMEVALUE($H450),VALUE($H450)))*60,0),ROUND(MOD(IF(ISNUMBER($H450),$H450,IFERROR(TIMEVALUE($H450),VALUE($H450))),1)*1440,0))),""))</f>
        <v/>
      </c>
      <c r="W450" s="52" t="str">
        <f aca="false">IF($I450="","",IFERROR(IF(IF(ISNUMBER($I450),$I450,IFERROR(TIMEVALUE($I450),VALUE($I450)))&gt;=100,INT(IF(ISNUMBER($I450),$I450,IFERROR(TIMEVALUE($I450),VALUE($I450)))/100)*60+MOD(IF(ISNUMBER($I450),$I450,IFERROR(TIMEVALUE($I450),VALUE($I450))),100),IF(IF(ISNUMBER($I450),$I450,IFERROR(TIMEVALUE($I450),VALUE($I450)))&gt;=1,ROUND(IF(ISNUMBER($I450),$I450,IFERROR(TIMEVALUE($I450),VALUE($I450)))*60,0),ROUND(MOD(IF(ISNUMBER($I450),$I450,IFERROR(TIMEVALUE($I450),VALUE($I450))),1)*1440,0))),""))</f>
        <v/>
      </c>
      <c r="X450" s="55" t="str">
        <f aca="false">IF($P450="","",IFERROR(IF(ISNUMBER($P450),IF($P450&gt;19000000,DATE(INT($P450/10000),MOD(INT($P450/100),100),MOD($P450,100)),INT($P450)),IF(LEN(SUBSTITUTE(SUBSTITUTE(SUBSTITUTE(TRIM($P450),"-",""),".",""),"/",""))=8,DATE(VALUE(LEFT(SUBSTITUTE(SUBSTITUTE(SUBSTITUTE(TRIM($P450),"-",""),".",""),"/",""),4)),VALUE(MID(SUBSTITUTE(SUBSTITUTE(SUBSTITUTE(TRIM($P450),"-",""),".",""),"/",""),5,2)),VALUE(RIGHT(SUBSTITUTE(SUBSTITUTE(SUBSTITUTE(TRIM($P450),"-",""),".",""),"/",""),2))),DATEVALUE($P450))),""))</f>
        <v/>
      </c>
      <c r="Y450" s="56" t="str">
        <f aca="false">IF($M450="","",IFERROR(INDEX(강사DB!$D$4:$D$53,MATCH($M450,강사DB!$A$4:$A$53,0)),""))</f>
        <v/>
      </c>
      <c r="Z450" s="56" t="str">
        <f aca="false">IF($B450&lt;&gt;"결제완료","",IF(OR($Y450="",$J450=""),"",$Y450*$J450+MAX(0,N($K450)-1)*설정!$J$7))</f>
        <v/>
      </c>
      <c r="AA450" s="56" t="str">
        <f aca="false">IF(AND($D450&lt;&gt;"",$B450="결제완료"),N($N450),"")</f>
        <v/>
      </c>
      <c r="AB450" s="45" t="str">
        <f aca="false">IF($D450="","",IF($F450&lt;&gt;"",$F450,$D450)&amp;IF($B450="상담중"," (상담)",""))</f>
        <v/>
      </c>
      <c r="AC450" s="45" t="n">
        <f aca="false">IF(AND($D450&lt;&gt;"",OR($B450="결제완료",$B450="상담중")),1,0)</f>
        <v>0</v>
      </c>
      <c r="AD450" s="45" t="n">
        <f aca="false">IF(OR($Z450="",$U450=""),0,IFERROR(IF(COUNTIFS(INDEX(g_grid,0,2*MATCH($M450,강사DB!$A$4:$A$15,0)),"&lt;&gt;",g_s,"&lt;="&amp;$U450,g_e,"&gt;="&amp;$U450)&gt;0,1,0),0))</f>
        <v>0</v>
      </c>
      <c r="AE450" s="48"/>
      <c r="AF450" s="56" t="str">
        <f aca="false">IF(AND($D450&lt;&gt;"",$B450="결제완료",$T450="대여"),설정!$J$5,"")</f>
        <v/>
      </c>
      <c r="AG450" s="54" t="str">
        <f aca="false">IF($D450="","",IF(AND($E450="",$R450=""),$AB450,"☎ "&amp;IF($E450="","-",$E450)&amp;IF($R450&lt;&gt;"","  ※ "&amp;$R450,"")&amp;IF($B450="상담중"," (상담)","")))</f>
        <v/>
      </c>
      <c r="AH450" s="56" t="str">
        <f aca="false">IF(AND($D450&lt;&gt;"",$B450="결제완료",$O450="스마트스토어"),ROUND(N($N450)*설정!$J$6,0),"")</f>
        <v/>
      </c>
      <c r="AI450" s="54" t="str">
        <f aca="false">IF($D450="","",ROW())</f>
        <v/>
      </c>
      <c r="AJ450" s="54" t="n">
        <f aca="false">IF(OR($AC450&lt;&gt;1,$M450=""),0,IF(ISNUMBER(SEARCH("퇴사",IFERROR(INDEX(강사DB!$G$4:$G$53,MATCH($M450,강사DB!$A$4:$A$53,0)),""))),1,0))</f>
        <v>0</v>
      </c>
    </row>
    <row r="451" customFormat="false" ht="15" hidden="false" customHeight="false" outlineLevel="0" collapsed="false">
      <c r="A451" s="45" t="str">
        <f aca="false">IF($D451="","",COUNTA($D$5:$D451))</f>
        <v/>
      </c>
      <c r="B451" s="46"/>
      <c r="C451" s="47"/>
      <c r="D451" s="48"/>
      <c r="E451" s="48"/>
      <c r="F451" s="49"/>
      <c r="G451" s="47"/>
      <c r="H451" s="50"/>
      <c r="I451" s="50"/>
      <c r="J451" s="51" t="str">
        <f aca="false">IF(OR($V451="",$W451=""),"",ROUND(($W451-$V451)/60,2))</f>
        <v/>
      </c>
      <c r="K451" s="52" t="str">
        <f aca="false">IF($F451="","",LEN($F451)-LEN(SUBSTITUTE($F451,",",""))+1)</f>
        <v/>
      </c>
      <c r="L451" s="45" t="str">
        <f aca="false">IF($K451="","","1:"&amp;$K451)</f>
        <v/>
      </c>
      <c r="M451" s="46"/>
      <c r="N451" s="53"/>
      <c r="O451" s="46"/>
      <c r="P451" s="47"/>
      <c r="Q451" s="48"/>
      <c r="R451" s="49"/>
      <c r="S451" s="54" t="str">
        <f aca="false">IF(OR($AC451=0,$U451="",$M451="",$V451="",$W451=""),"",IF(COUNTIFS(m_teacher,$M451,m_date,$U451,m_active,1,m_start,"&lt;"&amp;$W451,m_end,"&gt;"&amp;$V451)&gt;1,"충돌",""))</f>
        <v/>
      </c>
      <c r="T451" s="48"/>
      <c r="U451" s="55" t="str">
        <f aca="false">IF($G451="","",IFERROR(IF(ISNUMBER($G451),IF($G451&gt;19000000,DATE(INT($G451/10000),MOD(INT($G451/100),100),MOD($G451,100)),INT($G451)),IF(LEN(SUBSTITUTE(SUBSTITUTE(SUBSTITUTE(TRIM($G451),"-",""),".",""),"/",""))=8,DATE(VALUE(LEFT(SUBSTITUTE(SUBSTITUTE(SUBSTITUTE(TRIM($G451),"-",""),".",""),"/",""),4)),VALUE(MID(SUBSTITUTE(SUBSTITUTE(SUBSTITUTE(TRIM($G451),"-",""),".",""),"/",""),5,2)),VALUE(RIGHT(SUBSTITUTE(SUBSTITUTE(SUBSTITUTE(TRIM($G451),"-",""),".",""),"/",""),2))),DATEVALUE($G451))),""))</f>
        <v/>
      </c>
      <c r="V451" s="52" t="str">
        <f aca="false">IF($H451="","",IFERROR(IF(IF(ISNUMBER($H451),$H451,IFERROR(TIMEVALUE($H451),VALUE($H451)))&gt;=100,INT(IF(ISNUMBER($H451),$H451,IFERROR(TIMEVALUE($H451),VALUE($H451)))/100)*60+MOD(IF(ISNUMBER($H451),$H451,IFERROR(TIMEVALUE($H451),VALUE($H451))),100),IF(IF(ISNUMBER($H451),$H451,IFERROR(TIMEVALUE($H451),VALUE($H451)))&gt;=1,ROUND(IF(ISNUMBER($H451),$H451,IFERROR(TIMEVALUE($H451),VALUE($H451)))*60,0),ROUND(MOD(IF(ISNUMBER($H451),$H451,IFERROR(TIMEVALUE($H451),VALUE($H451))),1)*1440,0))),""))</f>
        <v/>
      </c>
      <c r="W451" s="52" t="str">
        <f aca="false">IF($I451="","",IFERROR(IF(IF(ISNUMBER($I451),$I451,IFERROR(TIMEVALUE($I451),VALUE($I451)))&gt;=100,INT(IF(ISNUMBER($I451),$I451,IFERROR(TIMEVALUE($I451),VALUE($I451)))/100)*60+MOD(IF(ISNUMBER($I451),$I451,IFERROR(TIMEVALUE($I451),VALUE($I451))),100),IF(IF(ISNUMBER($I451),$I451,IFERROR(TIMEVALUE($I451),VALUE($I451)))&gt;=1,ROUND(IF(ISNUMBER($I451),$I451,IFERROR(TIMEVALUE($I451),VALUE($I451)))*60,0),ROUND(MOD(IF(ISNUMBER($I451),$I451,IFERROR(TIMEVALUE($I451),VALUE($I451))),1)*1440,0))),""))</f>
        <v/>
      </c>
      <c r="X451" s="55" t="str">
        <f aca="false">IF($P451="","",IFERROR(IF(ISNUMBER($P451),IF($P451&gt;19000000,DATE(INT($P451/10000),MOD(INT($P451/100),100),MOD($P451,100)),INT($P451)),IF(LEN(SUBSTITUTE(SUBSTITUTE(SUBSTITUTE(TRIM($P451),"-",""),".",""),"/",""))=8,DATE(VALUE(LEFT(SUBSTITUTE(SUBSTITUTE(SUBSTITUTE(TRIM($P451),"-",""),".",""),"/",""),4)),VALUE(MID(SUBSTITUTE(SUBSTITUTE(SUBSTITUTE(TRIM($P451),"-",""),".",""),"/",""),5,2)),VALUE(RIGHT(SUBSTITUTE(SUBSTITUTE(SUBSTITUTE(TRIM($P451),"-",""),".",""),"/",""),2))),DATEVALUE($P451))),""))</f>
        <v/>
      </c>
      <c r="Y451" s="56" t="str">
        <f aca="false">IF($M451="","",IFERROR(INDEX(강사DB!$D$4:$D$53,MATCH($M451,강사DB!$A$4:$A$53,0)),""))</f>
        <v/>
      </c>
      <c r="Z451" s="56" t="str">
        <f aca="false">IF($B451&lt;&gt;"결제완료","",IF(OR($Y451="",$J451=""),"",$Y451*$J451+MAX(0,N($K451)-1)*설정!$J$7))</f>
        <v/>
      </c>
      <c r="AA451" s="56" t="str">
        <f aca="false">IF(AND($D451&lt;&gt;"",$B451="결제완료"),N($N451),"")</f>
        <v/>
      </c>
      <c r="AB451" s="45" t="str">
        <f aca="false">IF($D451="","",IF($F451&lt;&gt;"",$F451,$D451)&amp;IF($B451="상담중"," (상담)",""))</f>
        <v/>
      </c>
      <c r="AC451" s="45" t="n">
        <f aca="false">IF(AND($D451&lt;&gt;"",OR($B451="결제완료",$B451="상담중")),1,0)</f>
        <v>0</v>
      </c>
      <c r="AD451" s="45" t="n">
        <f aca="false">IF(OR($Z451="",$U451=""),0,IFERROR(IF(COUNTIFS(INDEX(g_grid,0,2*MATCH($M451,강사DB!$A$4:$A$15,0)),"&lt;&gt;",g_s,"&lt;="&amp;$U451,g_e,"&gt;="&amp;$U451)&gt;0,1,0),0))</f>
        <v>0</v>
      </c>
      <c r="AE451" s="48"/>
      <c r="AF451" s="56" t="str">
        <f aca="false">IF(AND($D451&lt;&gt;"",$B451="결제완료",$T451="대여"),설정!$J$5,"")</f>
        <v/>
      </c>
      <c r="AG451" s="54" t="str">
        <f aca="false">IF($D451="","",IF(AND($E451="",$R451=""),$AB451,"☎ "&amp;IF($E451="","-",$E451)&amp;IF($R451&lt;&gt;"","  ※ "&amp;$R451,"")&amp;IF($B451="상담중"," (상담)","")))</f>
        <v/>
      </c>
      <c r="AH451" s="56" t="str">
        <f aca="false">IF(AND($D451&lt;&gt;"",$B451="결제완료",$O451="스마트스토어"),ROUND(N($N451)*설정!$J$6,0),"")</f>
        <v/>
      </c>
      <c r="AI451" s="54" t="str">
        <f aca="false">IF($D451="","",ROW())</f>
        <v/>
      </c>
      <c r="AJ451" s="54" t="n">
        <f aca="false">IF(OR($AC451&lt;&gt;1,$M451=""),0,IF(ISNUMBER(SEARCH("퇴사",IFERROR(INDEX(강사DB!$G$4:$G$53,MATCH($M451,강사DB!$A$4:$A$53,0)),""))),1,0))</f>
        <v>0</v>
      </c>
    </row>
    <row r="452" customFormat="false" ht="15" hidden="false" customHeight="false" outlineLevel="0" collapsed="false">
      <c r="A452" s="45" t="str">
        <f aca="false">IF($D452="","",COUNTA($D$5:$D452))</f>
        <v/>
      </c>
      <c r="B452" s="46"/>
      <c r="C452" s="47"/>
      <c r="D452" s="48"/>
      <c r="E452" s="48"/>
      <c r="F452" s="49"/>
      <c r="G452" s="47"/>
      <c r="H452" s="50"/>
      <c r="I452" s="50"/>
      <c r="J452" s="51" t="str">
        <f aca="false">IF(OR($V452="",$W452=""),"",ROUND(($W452-$V452)/60,2))</f>
        <v/>
      </c>
      <c r="K452" s="52" t="str">
        <f aca="false">IF($F452="","",LEN($F452)-LEN(SUBSTITUTE($F452,",",""))+1)</f>
        <v/>
      </c>
      <c r="L452" s="45" t="str">
        <f aca="false">IF($K452="","","1:"&amp;$K452)</f>
        <v/>
      </c>
      <c r="M452" s="46"/>
      <c r="N452" s="53"/>
      <c r="O452" s="46"/>
      <c r="P452" s="47"/>
      <c r="Q452" s="48"/>
      <c r="R452" s="49"/>
      <c r="S452" s="54" t="str">
        <f aca="false">IF(OR($AC452=0,$U452="",$M452="",$V452="",$W452=""),"",IF(COUNTIFS(m_teacher,$M452,m_date,$U452,m_active,1,m_start,"&lt;"&amp;$W452,m_end,"&gt;"&amp;$V452)&gt;1,"충돌",""))</f>
        <v/>
      </c>
      <c r="T452" s="48"/>
      <c r="U452" s="55" t="str">
        <f aca="false">IF($G452="","",IFERROR(IF(ISNUMBER($G452),IF($G452&gt;19000000,DATE(INT($G452/10000),MOD(INT($G452/100),100),MOD($G452,100)),INT($G452)),IF(LEN(SUBSTITUTE(SUBSTITUTE(SUBSTITUTE(TRIM($G452),"-",""),".",""),"/",""))=8,DATE(VALUE(LEFT(SUBSTITUTE(SUBSTITUTE(SUBSTITUTE(TRIM($G452),"-",""),".",""),"/",""),4)),VALUE(MID(SUBSTITUTE(SUBSTITUTE(SUBSTITUTE(TRIM($G452),"-",""),".",""),"/",""),5,2)),VALUE(RIGHT(SUBSTITUTE(SUBSTITUTE(SUBSTITUTE(TRIM($G452),"-",""),".",""),"/",""),2))),DATEVALUE($G452))),""))</f>
        <v/>
      </c>
      <c r="V452" s="52" t="str">
        <f aca="false">IF($H452="","",IFERROR(IF(IF(ISNUMBER($H452),$H452,IFERROR(TIMEVALUE($H452),VALUE($H452)))&gt;=100,INT(IF(ISNUMBER($H452),$H452,IFERROR(TIMEVALUE($H452),VALUE($H452)))/100)*60+MOD(IF(ISNUMBER($H452),$H452,IFERROR(TIMEVALUE($H452),VALUE($H452))),100),IF(IF(ISNUMBER($H452),$H452,IFERROR(TIMEVALUE($H452),VALUE($H452)))&gt;=1,ROUND(IF(ISNUMBER($H452),$H452,IFERROR(TIMEVALUE($H452),VALUE($H452)))*60,0),ROUND(MOD(IF(ISNUMBER($H452),$H452,IFERROR(TIMEVALUE($H452),VALUE($H452))),1)*1440,0))),""))</f>
        <v/>
      </c>
      <c r="W452" s="52" t="str">
        <f aca="false">IF($I452="","",IFERROR(IF(IF(ISNUMBER($I452),$I452,IFERROR(TIMEVALUE($I452),VALUE($I452)))&gt;=100,INT(IF(ISNUMBER($I452),$I452,IFERROR(TIMEVALUE($I452),VALUE($I452)))/100)*60+MOD(IF(ISNUMBER($I452),$I452,IFERROR(TIMEVALUE($I452),VALUE($I452))),100),IF(IF(ISNUMBER($I452),$I452,IFERROR(TIMEVALUE($I452),VALUE($I452)))&gt;=1,ROUND(IF(ISNUMBER($I452),$I452,IFERROR(TIMEVALUE($I452),VALUE($I452)))*60,0),ROUND(MOD(IF(ISNUMBER($I452),$I452,IFERROR(TIMEVALUE($I452),VALUE($I452))),1)*1440,0))),""))</f>
        <v/>
      </c>
      <c r="X452" s="55" t="str">
        <f aca="false">IF($P452="","",IFERROR(IF(ISNUMBER($P452),IF($P452&gt;19000000,DATE(INT($P452/10000),MOD(INT($P452/100),100),MOD($P452,100)),INT($P452)),IF(LEN(SUBSTITUTE(SUBSTITUTE(SUBSTITUTE(TRIM($P452),"-",""),".",""),"/",""))=8,DATE(VALUE(LEFT(SUBSTITUTE(SUBSTITUTE(SUBSTITUTE(TRIM($P452),"-",""),".",""),"/",""),4)),VALUE(MID(SUBSTITUTE(SUBSTITUTE(SUBSTITUTE(TRIM($P452),"-",""),".",""),"/",""),5,2)),VALUE(RIGHT(SUBSTITUTE(SUBSTITUTE(SUBSTITUTE(TRIM($P452),"-",""),".",""),"/",""),2))),DATEVALUE($P452))),""))</f>
        <v/>
      </c>
      <c r="Y452" s="56" t="str">
        <f aca="false">IF($M452="","",IFERROR(INDEX(강사DB!$D$4:$D$53,MATCH($M452,강사DB!$A$4:$A$53,0)),""))</f>
        <v/>
      </c>
      <c r="Z452" s="56" t="str">
        <f aca="false">IF($B452&lt;&gt;"결제완료","",IF(OR($Y452="",$J452=""),"",$Y452*$J452+MAX(0,N($K452)-1)*설정!$J$7))</f>
        <v/>
      </c>
      <c r="AA452" s="56" t="str">
        <f aca="false">IF(AND($D452&lt;&gt;"",$B452="결제완료"),N($N452),"")</f>
        <v/>
      </c>
      <c r="AB452" s="45" t="str">
        <f aca="false">IF($D452="","",IF($F452&lt;&gt;"",$F452,$D452)&amp;IF($B452="상담중"," (상담)",""))</f>
        <v/>
      </c>
      <c r="AC452" s="45" t="n">
        <f aca="false">IF(AND($D452&lt;&gt;"",OR($B452="결제완료",$B452="상담중")),1,0)</f>
        <v>0</v>
      </c>
      <c r="AD452" s="45" t="n">
        <f aca="false">IF(OR($Z452="",$U452=""),0,IFERROR(IF(COUNTIFS(INDEX(g_grid,0,2*MATCH($M452,강사DB!$A$4:$A$15,0)),"&lt;&gt;",g_s,"&lt;="&amp;$U452,g_e,"&gt;="&amp;$U452)&gt;0,1,0),0))</f>
        <v>0</v>
      </c>
      <c r="AE452" s="48"/>
      <c r="AF452" s="56" t="str">
        <f aca="false">IF(AND($D452&lt;&gt;"",$B452="결제완료",$T452="대여"),설정!$J$5,"")</f>
        <v/>
      </c>
      <c r="AG452" s="54" t="str">
        <f aca="false">IF($D452="","",IF(AND($E452="",$R452=""),$AB452,"☎ "&amp;IF($E452="","-",$E452)&amp;IF($R452&lt;&gt;"","  ※ "&amp;$R452,"")&amp;IF($B452="상담중"," (상담)","")))</f>
        <v/>
      </c>
      <c r="AH452" s="56" t="str">
        <f aca="false">IF(AND($D452&lt;&gt;"",$B452="결제완료",$O452="스마트스토어"),ROUND(N($N452)*설정!$J$6,0),"")</f>
        <v/>
      </c>
      <c r="AI452" s="54" t="str">
        <f aca="false">IF($D452="","",ROW())</f>
        <v/>
      </c>
      <c r="AJ452" s="54" t="n">
        <f aca="false">IF(OR($AC452&lt;&gt;1,$M452=""),0,IF(ISNUMBER(SEARCH("퇴사",IFERROR(INDEX(강사DB!$G$4:$G$53,MATCH($M452,강사DB!$A$4:$A$53,0)),""))),1,0))</f>
        <v>0</v>
      </c>
    </row>
    <row r="453" customFormat="false" ht="15" hidden="false" customHeight="false" outlineLevel="0" collapsed="false">
      <c r="A453" s="45" t="str">
        <f aca="false">IF($D453="","",COUNTA($D$5:$D453))</f>
        <v/>
      </c>
      <c r="B453" s="46"/>
      <c r="C453" s="47"/>
      <c r="D453" s="48"/>
      <c r="E453" s="48"/>
      <c r="F453" s="49"/>
      <c r="G453" s="47"/>
      <c r="H453" s="50"/>
      <c r="I453" s="50"/>
      <c r="J453" s="51" t="str">
        <f aca="false">IF(OR($V453="",$W453=""),"",ROUND(($W453-$V453)/60,2))</f>
        <v/>
      </c>
      <c r="K453" s="52" t="str">
        <f aca="false">IF($F453="","",LEN($F453)-LEN(SUBSTITUTE($F453,",",""))+1)</f>
        <v/>
      </c>
      <c r="L453" s="45" t="str">
        <f aca="false">IF($K453="","","1:"&amp;$K453)</f>
        <v/>
      </c>
      <c r="M453" s="46"/>
      <c r="N453" s="53"/>
      <c r="O453" s="46"/>
      <c r="P453" s="47"/>
      <c r="Q453" s="48"/>
      <c r="R453" s="49"/>
      <c r="S453" s="54" t="str">
        <f aca="false">IF(OR($AC453=0,$U453="",$M453="",$V453="",$W453=""),"",IF(COUNTIFS(m_teacher,$M453,m_date,$U453,m_active,1,m_start,"&lt;"&amp;$W453,m_end,"&gt;"&amp;$V453)&gt;1,"충돌",""))</f>
        <v/>
      </c>
      <c r="T453" s="48"/>
      <c r="U453" s="55" t="str">
        <f aca="false">IF($G453="","",IFERROR(IF(ISNUMBER($G453),IF($G453&gt;19000000,DATE(INT($G453/10000),MOD(INT($G453/100),100),MOD($G453,100)),INT($G453)),IF(LEN(SUBSTITUTE(SUBSTITUTE(SUBSTITUTE(TRIM($G453),"-",""),".",""),"/",""))=8,DATE(VALUE(LEFT(SUBSTITUTE(SUBSTITUTE(SUBSTITUTE(TRIM($G453),"-",""),".",""),"/",""),4)),VALUE(MID(SUBSTITUTE(SUBSTITUTE(SUBSTITUTE(TRIM($G453),"-",""),".",""),"/",""),5,2)),VALUE(RIGHT(SUBSTITUTE(SUBSTITUTE(SUBSTITUTE(TRIM($G453),"-",""),".",""),"/",""),2))),DATEVALUE($G453))),""))</f>
        <v/>
      </c>
      <c r="V453" s="52" t="str">
        <f aca="false">IF($H453="","",IFERROR(IF(IF(ISNUMBER($H453),$H453,IFERROR(TIMEVALUE($H453),VALUE($H453)))&gt;=100,INT(IF(ISNUMBER($H453),$H453,IFERROR(TIMEVALUE($H453),VALUE($H453)))/100)*60+MOD(IF(ISNUMBER($H453),$H453,IFERROR(TIMEVALUE($H453),VALUE($H453))),100),IF(IF(ISNUMBER($H453),$H453,IFERROR(TIMEVALUE($H453),VALUE($H453)))&gt;=1,ROUND(IF(ISNUMBER($H453),$H453,IFERROR(TIMEVALUE($H453),VALUE($H453)))*60,0),ROUND(MOD(IF(ISNUMBER($H453),$H453,IFERROR(TIMEVALUE($H453),VALUE($H453))),1)*1440,0))),""))</f>
        <v/>
      </c>
      <c r="W453" s="52" t="str">
        <f aca="false">IF($I453="","",IFERROR(IF(IF(ISNUMBER($I453),$I453,IFERROR(TIMEVALUE($I453),VALUE($I453)))&gt;=100,INT(IF(ISNUMBER($I453),$I453,IFERROR(TIMEVALUE($I453),VALUE($I453)))/100)*60+MOD(IF(ISNUMBER($I453),$I453,IFERROR(TIMEVALUE($I453),VALUE($I453))),100),IF(IF(ISNUMBER($I453),$I453,IFERROR(TIMEVALUE($I453),VALUE($I453)))&gt;=1,ROUND(IF(ISNUMBER($I453),$I453,IFERROR(TIMEVALUE($I453),VALUE($I453)))*60,0),ROUND(MOD(IF(ISNUMBER($I453),$I453,IFERROR(TIMEVALUE($I453),VALUE($I453))),1)*1440,0))),""))</f>
        <v/>
      </c>
      <c r="X453" s="55" t="str">
        <f aca="false">IF($P453="","",IFERROR(IF(ISNUMBER($P453),IF($P453&gt;19000000,DATE(INT($P453/10000),MOD(INT($P453/100),100),MOD($P453,100)),INT($P453)),IF(LEN(SUBSTITUTE(SUBSTITUTE(SUBSTITUTE(TRIM($P453),"-",""),".",""),"/",""))=8,DATE(VALUE(LEFT(SUBSTITUTE(SUBSTITUTE(SUBSTITUTE(TRIM($P453),"-",""),".",""),"/",""),4)),VALUE(MID(SUBSTITUTE(SUBSTITUTE(SUBSTITUTE(TRIM($P453),"-",""),".",""),"/",""),5,2)),VALUE(RIGHT(SUBSTITUTE(SUBSTITUTE(SUBSTITUTE(TRIM($P453),"-",""),".",""),"/",""),2))),DATEVALUE($P453))),""))</f>
        <v/>
      </c>
      <c r="Y453" s="56" t="str">
        <f aca="false">IF($M453="","",IFERROR(INDEX(강사DB!$D$4:$D$53,MATCH($M453,강사DB!$A$4:$A$53,0)),""))</f>
        <v/>
      </c>
      <c r="Z453" s="56" t="str">
        <f aca="false">IF($B453&lt;&gt;"결제완료","",IF(OR($Y453="",$J453=""),"",$Y453*$J453+MAX(0,N($K453)-1)*설정!$J$7))</f>
        <v/>
      </c>
      <c r="AA453" s="56" t="str">
        <f aca="false">IF(AND($D453&lt;&gt;"",$B453="결제완료"),N($N453),"")</f>
        <v/>
      </c>
      <c r="AB453" s="45" t="str">
        <f aca="false">IF($D453="","",IF($F453&lt;&gt;"",$F453,$D453)&amp;IF($B453="상담중"," (상담)",""))</f>
        <v/>
      </c>
      <c r="AC453" s="45" t="n">
        <f aca="false">IF(AND($D453&lt;&gt;"",OR($B453="결제완료",$B453="상담중")),1,0)</f>
        <v>0</v>
      </c>
      <c r="AD453" s="45" t="n">
        <f aca="false">IF(OR($Z453="",$U453=""),0,IFERROR(IF(COUNTIFS(INDEX(g_grid,0,2*MATCH($M453,강사DB!$A$4:$A$15,0)),"&lt;&gt;",g_s,"&lt;="&amp;$U453,g_e,"&gt;="&amp;$U453)&gt;0,1,0),0))</f>
        <v>0</v>
      </c>
      <c r="AE453" s="48"/>
      <c r="AF453" s="56" t="str">
        <f aca="false">IF(AND($D453&lt;&gt;"",$B453="결제완료",$T453="대여"),설정!$J$5,"")</f>
        <v/>
      </c>
      <c r="AG453" s="54" t="str">
        <f aca="false">IF($D453="","",IF(AND($E453="",$R453=""),$AB453,"☎ "&amp;IF($E453="","-",$E453)&amp;IF($R453&lt;&gt;"","  ※ "&amp;$R453,"")&amp;IF($B453="상담중"," (상담)","")))</f>
        <v/>
      </c>
      <c r="AH453" s="56" t="str">
        <f aca="false">IF(AND($D453&lt;&gt;"",$B453="결제완료",$O453="스마트스토어"),ROUND(N($N453)*설정!$J$6,0),"")</f>
        <v/>
      </c>
      <c r="AI453" s="54" t="str">
        <f aca="false">IF($D453="","",ROW())</f>
        <v/>
      </c>
      <c r="AJ453" s="54" t="n">
        <f aca="false">IF(OR($AC453&lt;&gt;1,$M453=""),0,IF(ISNUMBER(SEARCH("퇴사",IFERROR(INDEX(강사DB!$G$4:$G$53,MATCH($M453,강사DB!$A$4:$A$53,0)),""))),1,0))</f>
        <v>0</v>
      </c>
    </row>
    <row r="454" customFormat="false" ht="15" hidden="false" customHeight="false" outlineLevel="0" collapsed="false">
      <c r="A454" s="45" t="str">
        <f aca="false">IF($D454="","",COUNTA($D$5:$D454))</f>
        <v/>
      </c>
      <c r="B454" s="46"/>
      <c r="C454" s="47"/>
      <c r="D454" s="48"/>
      <c r="E454" s="48"/>
      <c r="F454" s="49"/>
      <c r="G454" s="47"/>
      <c r="H454" s="50"/>
      <c r="I454" s="50"/>
      <c r="J454" s="51" t="str">
        <f aca="false">IF(OR($V454="",$W454=""),"",ROUND(($W454-$V454)/60,2))</f>
        <v/>
      </c>
      <c r="K454" s="52" t="str">
        <f aca="false">IF($F454="","",LEN($F454)-LEN(SUBSTITUTE($F454,",",""))+1)</f>
        <v/>
      </c>
      <c r="L454" s="45" t="str">
        <f aca="false">IF($K454="","","1:"&amp;$K454)</f>
        <v/>
      </c>
      <c r="M454" s="46"/>
      <c r="N454" s="53"/>
      <c r="O454" s="46"/>
      <c r="P454" s="47"/>
      <c r="Q454" s="48"/>
      <c r="R454" s="49"/>
      <c r="S454" s="54" t="str">
        <f aca="false">IF(OR($AC454=0,$U454="",$M454="",$V454="",$W454=""),"",IF(COUNTIFS(m_teacher,$M454,m_date,$U454,m_active,1,m_start,"&lt;"&amp;$W454,m_end,"&gt;"&amp;$V454)&gt;1,"충돌",""))</f>
        <v/>
      </c>
      <c r="T454" s="48"/>
      <c r="U454" s="55" t="str">
        <f aca="false">IF($G454="","",IFERROR(IF(ISNUMBER($G454),IF($G454&gt;19000000,DATE(INT($G454/10000),MOD(INT($G454/100),100),MOD($G454,100)),INT($G454)),IF(LEN(SUBSTITUTE(SUBSTITUTE(SUBSTITUTE(TRIM($G454),"-",""),".",""),"/",""))=8,DATE(VALUE(LEFT(SUBSTITUTE(SUBSTITUTE(SUBSTITUTE(TRIM($G454),"-",""),".",""),"/",""),4)),VALUE(MID(SUBSTITUTE(SUBSTITUTE(SUBSTITUTE(TRIM($G454),"-",""),".",""),"/",""),5,2)),VALUE(RIGHT(SUBSTITUTE(SUBSTITUTE(SUBSTITUTE(TRIM($G454),"-",""),".",""),"/",""),2))),DATEVALUE($G454))),""))</f>
        <v/>
      </c>
      <c r="V454" s="52" t="str">
        <f aca="false">IF($H454="","",IFERROR(IF(IF(ISNUMBER($H454),$H454,IFERROR(TIMEVALUE($H454),VALUE($H454)))&gt;=100,INT(IF(ISNUMBER($H454),$H454,IFERROR(TIMEVALUE($H454),VALUE($H454)))/100)*60+MOD(IF(ISNUMBER($H454),$H454,IFERROR(TIMEVALUE($H454),VALUE($H454))),100),IF(IF(ISNUMBER($H454),$H454,IFERROR(TIMEVALUE($H454),VALUE($H454)))&gt;=1,ROUND(IF(ISNUMBER($H454),$H454,IFERROR(TIMEVALUE($H454),VALUE($H454)))*60,0),ROUND(MOD(IF(ISNUMBER($H454),$H454,IFERROR(TIMEVALUE($H454),VALUE($H454))),1)*1440,0))),""))</f>
        <v/>
      </c>
      <c r="W454" s="52" t="str">
        <f aca="false">IF($I454="","",IFERROR(IF(IF(ISNUMBER($I454),$I454,IFERROR(TIMEVALUE($I454),VALUE($I454)))&gt;=100,INT(IF(ISNUMBER($I454),$I454,IFERROR(TIMEVALUE($I454),VALUE($I454)))/100)*60+MOD(IF(ISNUMBER($I454),$I454,IFERROR(TIMEVALUE($I454),VALUE($I454))),100),IF(IF(ISNUMBER($I454),$I454,IFERROR(TIMEVALUE($I454),VALUE($I454)))&gt;=1,ROUND(IF(ISNUMBER($I454),$I454,IFERROR(TIMEVALUE($I454),VALUE($I454)))*60,0),ROUND(MOD(IF(ISNUMBER($I454),$I454,IFERROR(TIMEVALUE($I454),VALUE($I454))),1)*1440,0))),""))</f>
        <v/>
      </c>
      <c r="X454" s="55" t="str">
        <f aca="false">IF($P454="","",IFERROR(IF(ISNUMBER($P454),IF($P454&gt;19000000,DATE(INT($P454/10000),MOD(INT($P454/100),100),MOD($P454,100)),INT($P454)),IF(LEN(SUBSTITUTE(SUBSTITUTE(SUBSTITUTE(TRIM($P454),"-",""),".",""),"/",""))=8,DATE(VALUE(LEFT(SUBSTITUTE(SUBSTITUTE(SUBSTITUTE(TRIM($P454),"-",""),".",""),"/",""),4)),VALUE(MID(SUBSTITUTE(SUBSTITUTE(SUBSTITUTE(TRIM($P454),"-",""),".",""),"/",""),5,2)),VALUE(RIGHT(SUBSTITUTE(SUBSTITUTE(SUBSTITUTE(TRIM($P454),"-",""),".",""),"/",""),2))),DATEVALUE($P454))),""))</f>
        <v/>
      </c>
      <c r="Y454" s="56" t="str">
        <f aca="false">IF($M454="","",IFERROR(INDEX(강사DB!$D$4:$D$53,MATCH($M454,강사DB!$A$4:$A$53,0)),""))</f>
        <v/>
      </c>
      <c r="Z454" s="56" t="str">
        <f aca="false">IF($B454&lt;&gt;"결제완료","",IF(OR($Y454="",$J454=""),"",$Y454*$J454+MAX(0,N($K454)-1)*설정!$J$7))</f>
        <v/>
      </c>
      <c r="AA454" s="56" t="str">
        <f aca="false">IF(AND($D454&lt;&gt;"",$B454="결제완료"),N($N454),"")</f>
        <v/>
      </c>
      <c r="AB454" s="45" t="str">
        <f aca="false">IF($D454="","",IF($F454&lt;&gt;"",$F454,$D454)&amp;IF($B454="상담중"," (상담)",""))</f>
        <v/>
      </c>
      <c r="AC454" s="45" t="n">
        <f aca="false">IF(AND($D454&lt;&gt;"",OR($B454="결제완료",$B454="상담중")),1,0)</f>
        <v>0</v>
      </c>
      <c r="AD454" s="45" t="n">
        <f aca="false">IF(OR($Z454="",$U454=""),0,IFERROR(IF(COUNTIFS(INDEX(g_grid,0,2*MATCH($M454,강사DB!$A$4:$A$15,0)),"&lt;&gt;",g_s,"&lt;="&amp;$U454,g_e,"&gt;="&amp;$U454)&gt;0,1,0),0))</f>
        <v>0</v>
      </c>
      <c r="AE454" s="48"/>
      <c r="AF454" s="56" t="str">
        <f aca="false">IF(AND($D454&lt;&gt;"",$B454="결제완료",$T454="대여"),설정!$J$5,"")</f>
        <v/>
      </c>
      <c r="AG454" s="54" t="str">
        <f aca="false">IF($D454="","",IF(AND($E454="",$R454=""),$AB454,"☎ "&amp;IF($E454="","-",$E454)&amp;IF($R454&lt;&gt;"","  ※ "&amp;$R454,"")&amp;IF($B454="상담중"," (상담)","")))</f>
        <v/>
      </c>
      <c r="AH454" s="56" t="str">
        <f aca="false">IF(AND($D454&lt;&gt;"",$B454="결제완료",$O454="스마트스토어"),ROUND(N($N454)*설정!$J$6,0),"")</f>
        <v/>
      </c>
      <c r="AI454" s="54" t="str">
        <f aca="false">IF($D454="","",ROW())</f>
        <v/>
      </c>
      <c r="AJ454" s="54" t="n">
        <f aca="false">IF(OR($AC454&lt;&gt;1,$M454=""),0,IF(ISNUMBER(SEARCH("퇴사",IFERROR(INDEX(강사DB!$G$4:$G$53,MATCH($M454,강사DB!$A$4:$A$53,0)),""))),1,0))</f>
        <v>0</v>
      </c>
    </row>
    <row r="455" customFormat="false" ht="15" hidden="false" customHeight="false" outlineLevel="0" collapsed="false">
      <c r="A455" s="45" t="str">
        <f aca="false">IF($D455="","",COUNTA($D$5:$D455))</f>
        <v/>
      </c>
      <c r="B455" s="46"/>
      <c r="C455" s="47"/>
      <c r="D455" s="48"/>
      <c r="E455" s="48"/>
      <c r="F455" s="49"/>
      <c r="G455" s="47"/>
      <c r="H455" s="50"/>
      <c r="I455" s="50"/>
      <c r="J455" s="51" t="str">
        <f aca="false">IF(OR($V455="",$W455=""),"",ROUND(($W455-$V455)/60,2))</f>
        <v/>
      </c>
      <c r="K455" s="52" t="str">
        <f aca="false">IF($F455="","",LEN($F455)-LEN(SUBSTITUTE($F455,",",""))+1)</f>
        <v/>
      </c>
      <c r="L455" s="45" t="str">
        <f aca="false">IF($K455="","","1:"&amp;$K455)</f>
        <v/>
      </c>
      <c r="M455" s="46"/>
      <c r="N455" s="53"/>
      <c r="O455" s="46"/>
      <c r="P455" s="47"/>
      <c r="Q455" s="48"/>
      <c r="R455" s="49"/>
      <c r="S455" s="54" t="str">
        <f aca="false">IF(OR($AC455=0,$U455="",$M455="",$V455="",$W455=""),"",IF(COUNTIFS(m_teacher,$M455,m_date,$U455,m_active,1,m_start,"&lt;"&amp;$W455,m_end,"&gt;"&amp;$V455)&gt;1,"충돌",""))</f>
        <v/>
      </c>
      <c r="T455" s="48"/>
      <c r="U455" s="55" t="str">
        <f aca="false">IF($G455="","",IFERROR(IF(ISNUMBER($G455),IF($G455&gt;19000000,DATE(INT($G455/10000),MOD(INT($G455/100),100),MOD($G455,100)),INT($G455)),IF(LEN(SUBSTITUTE(SUBSTITUTE(SUBSTITUTE(TRIM($G455),"-",""),".",""),"/",""))=8,DATE(VALUE(LEFT(SUBSTITUTE(SUBSTITUTE(SUBSTITUTE(TRIM($G455),"-",""),".",""),"/",""),4)),VALUE(MID(SUBSTITUTE(SUBSTITUTE(SUBSTITUTE(TRIM($G455),"-",""),".",""),"/",""),5,2)),VALUE(RIGHT(SUBSTITUTE(SUBSTITUTE(SUBSTITUTE(TRIM($G455),"-",""),".",""),"/",""),2))),DATEVALUE($G455))),""))</f>
        <v/>
      </c>
      <c r="V455" s="52" t="str">
        <f aca="false">IF($H455="","",IFERROR(IF(IF(ISNUMBER($H455),$H455,IFERROR(TIMEVALUE($H455),VALUE($H455)))&gt;=100,INT(IF(ISNUMBER($H455),$H455,IFERROR(TIMEVALUE($H455),VALUE($H455)))/100)*60+MOD(IF(ISNUMBER($H455),$H455,IFERROR(TIMEVALUE($H455),VALUE($H455))),100),IF(IF(ISNUMBER($H455),$H455,IFERROR(TIMEVALUE($H455),VALUE($H455)))&gt;=1,ROUND(IF(ISNUMBER($H455),$H455,IFERROR(TIMEVALUE($H455),VALUE($H455)))*60,0),ROUND(MOD(IF(ISNUMBER($H455),$H455,IFERROR(TIMEVALUE($H455),VALUE($H455))),1)*1440,0))),""))</f>
        <v/>
      </c>
      <c r="W455" s="52" t="str">
        <f aca="false">IF($I455="","",IFERROR(IF(IF(ISNUMBER($I455),$I455,IFERROR(TIMEVALUE($I455),VALUE($I455)))&gt;=100,INT(IF(ISNUMBER($I455),$I455,IFERROR(TIMEVALUE($I455),VALUE($I455)))/100)*60+MOD(IF(ISNUMBER($I455),$I455,IFERROR(TIMEVALUE($I455),VALUE($I455))),100),IF(IF(ISNUMBER($I455),$I455,IFERROR(TIMEVALUE($I455),VALUE($I455)))&gt;=1,ROUND(IF(ISNUMBER($I455),$I455,IFERROR(TIMEVALUE($I455),VALUE($I455)))*60,0),ROUND(MOD(IF(ISNUMBER($I455),$I455,IFERROR(TIMEVALUE($I455),VALUE($I455))),1)*1440,0))),""))</f>
        <v/>
      </c>
      <c r="X455" s="55" t="str">
        <f aca="false">IF($P455="","",IFERROR(IF(ISNUMBER($P455),IF($P455&gt;19000000,DATE(INT($P455/10000),MOD(INT($P455/100),100),MOD($P455,100)),INT($P455)),IF(LEN(SUBSTITUTE(SUBSTITUTE(SUBSTITUTE(TRIM($P455),"-",""),".",""),"/",""))=8,DATE(VALUE(LEFT(SUBSTITUTE(SUBSTITUTE(SUBSTITUTE(TRIM($P455),"-",""),".",""),"/",""),4)),VALUE(MID(SUBSTITUTE(SUBSTITUTE(SUBSTITUTE(TRIM($P455),"-",""),".",""),"/",""),5,2)),VALUE(RIGHT(SUBSTITUTE(SUBSTITUTE(SUBSTITUTE(TRIM($P455),"-",""),".",""),"/",""),2))),DATEVALUE($P455))),""))</f>
        <v/>
      </c>
      <c r="Y455" s="56" t="str">
        <f aca="false">IF($M455="","",IFERROR(INDEX(강사DB!$D$4:$D$53,MATCH($M455,강사DB!$A$4:$A$53,0)),""))</f>
        <v/>
      </c>
      <c r="Z455" s="56" t="str">
        <f aca="false">IF($B455&lt;&gt;"결제완료","",IF(OR($Y455="",$J455=""),"",$Y455*$J455+MAX(0,N($K455)-1)*설정!$J$7))</f>
        <v/>
      </c>
      <c r="AA455" s="56" t="str">
        <f aca="false">IF(AND($D455&lt;&gt;"",$B455="결제완료"),N($N455),"")</f>
        <v/>
      </c>
      <c r="AB455" s="45" t="str">
        <f aca="false">IF($D455="","",IF($F455&lt;&gt;"",$F455,$D455)&amp;IF($B455="상담중"," (상담)",""))</f>
        <v/>
      </c>
      <c r="AC455" s="45" t="n">
        <f aca="false">IF(AND($D455&lt;&gt;"",OR($B455="결제완료",$B455="상담중")),1,0)</f>
        <v>0</v>
      </c>
      <c r="AD455" s="45" t="n">
        <f aca="false">IF(OR($Z455="",$U455=""),0,IFERROR(IF(COUNTIFS(INDEX(g_grid,0,2*MATCH($M455,강사DB!$A$4:$A$15,0)),"&lt;&gt;",g_s,"&lt;="&amp;$U455,g_e,"&gt;="&amp;$U455)&gt;0,1,0),0))</f>
        <v>0</v>
      </c>
      <c r="AE455" s="48"/>
      <c r="AF455" s="56" t="str">
        <f aca="false">IF(AND($D455&lt;&gt;"",$B455="결제완료",$T455="대여"),설정!$J$5,"")</f>
        <v/>
      </c>
      <c r="AG455" s="54" t="str">
        <f aca="false">IF($D455="","",IF(AND($E455="",$R455=""),$AB455,"☎ "&amp;IF($E455="","-",$E455)&amp;IF($R455&lt;&gt;"","  ※ "&amp;$R455,"")&amp;IF($B455="상담중"," (상담)","")))</f>
        <v/>
      </c>
      <c r="AH455" s="56" t="str">
        <f aca="false">IF(AND($D455&lt;&gt;"",$B455="결제완료",$O455="스마트스토어"),ROUND(N($N455)*설정!$J$6,0),"")</f>
        <v/>
      </c>
      <c r="AI455" s="54" t="str">
        <f aca="false">IF($D455="","",ROW())</f>
        <v/>
      </c>
      <c r="AJ455" s="54" t="n">
        <f aca="false">IF(OR($AC455&lt;&gt;1,$M455=""),0,IF(ISNUMBER(SEARCH("퇴사",IFERROR(INDEX(강사DB!$G$4:$G$53,MATCH($M455,강사DB!$A$4:$A$53,0)),""))),1,0))</f>
        <v>0</v>
      </c>
    </row>
    <row r="456" customFormat="false" ht="15" hidden="false" customHeight="false" outlineLevel="0" collapsed="false">
      <c r="A456" s="45" t="str">
        <f aca="false">IF($D456="","",COUNTA($D$5:$D456))</f>
        <v/>
      </c>
      <c r="B456" s="46"/>
      <c r="C456" s="47"/>
      <c r="D456" s="48"/>
      <c r="E456" s="48"/>
      <c r="F456" s="49"/>
      <c r="G456" s="47"/>
      <c r="H456" s="50"/>
      <c r="I456" s="50"/>
      <c r="J456" s="51" t="str">
        <f aca="false">IF(OR($V456="",$W456=""),"",ROUND(($W456-$V456)/60,2))</f>
        <v/>
      </c>
      <c r="K456" s="52" t="str">
        <f aca="false">IF($F456="","",LEN($F456)-LEN(SUBSTITUTE($F456,",",""))+1)</f>
        <v/>
      </c>
      <c r="L456" s="45" t="str">
        <f aca="false">IF($K456="","","1:"&amp;$K456)</f>
        <v/>
      </c>
      <c r="M456" s="46"/>
      <c r="N456" s="53"/>
      <c r="O456" s="46"/>
      <c r="P456" s="47"/>
      <c r="Q456" s="48"/>
      <c r="R456" s="49"/>
      <c r="S456" s="54" t="str">
        <f aca="false">IF(OR($AC456=0,$U456="",$M456="",$V456="",$W456=""),"",IF(COUNTIFS(m_teacher,$M456,m_date,$U456,m_active,1,m_start,"&lt;"&amp;$W456,m_end,"&gt;"&amp;$V456)&gt;1,"충돌",""))</f>
        <v/>
      </c>
      <c r="T456" s="48"/>
      <c r="U456" s="55" t="str">
        <f aca="false">IF($G456="","",IFERROR(IF(ISNUMBER($G456),IF($G456&gt;19000000,DATE(INT($G456/10000),MOD(INT($G456/100),100),MOD($G456,100)),INT($G456)),IF(LEN(SUBSTITUTE(SUBSTITUTE(SUBSTITUTE(TRIM($G456),"-",""),".",""),"/",""))=8,DATE(VALUE(LEFT(SUBSTITUTE(SUBSTITUTE(SUBSTITUTE(TRIM($G456),"-",""),".",""),"/",""),4)),VALUE(MID(SUBSTITUTE(SUBSTITUTE(SUBSTITUTE(TRIM($G456),"-",""),".",""),"/",""),5,2)),VALUE(RIGHT(SUBSTITUTE(SUBSTITUTE(SUBSTITUTE(TRIM($G456),"-",""),".",""),"/",""),2))),DATEVALUE($G456))),""))</f>
        <v/>
      </c>
      <c r="V456" s="52" t="str">
        <f aca="false">IF($H456="","",IFERROR(IF(IF(ISNUMBER($H456),$H456,IFERROR(TIMEVALUE($H456),VALUE($H456)))&gt;=100,INT(IF(ISNUMBER($H456),$H456,IFERROR(TIMEVALUE($H456),VALUE($H456)))/100)*60+MOD(IF(ISNUMBER($H456),$H456,IFERROR(TIMEVALUE($H456),VALUE($H456))),100),IF(IF(ISNUMBER($H456),$H456,IFERROR(TIMEVALUE($H456),VALUE($H456)))&gt;=1,ROUND(IF(ISNUMBER($H456),$H456,IFERROR(TIMEVALUE($H456),VALUE($H456)))*60,0),ROUND(MOD(IF(ISNUMBER($H456),$H456,IFERROR(TIMEVALUE($H456),VALUE($H456))),1)*1440,0))),""))</f>
        <v/>
      </c>
      <c r="W456" s="52" t="str">
        <f aca="false">IF($I456="","",IFERROR(IF(IF(ISNUMBER($I456),$I456,IFERROR(TIMEVALUE($I456),VALUE($I456)))&gt;=100,INT(IF(ISNUMBER($I456),$I456,IFERROR(TIMEVALUE($I456),VALUE($I456)))/100)*60+MOD(IF(ISNUMBER($I456),$I456,IFERROR(TIMEVALUE($I456),VALUE($I456))),100),IF(IF(ISNUMBER($I456),$I456,IFERROR(TIMEVALUE($I456),VALUE($I456)))&gt;=1,ROUND(IF(ISNUMBER($I456),$I456,IFERROR(TIMEVALUE($I456),VALUE($I456)))*60,0),ROUND(MOD(IF(ISNUMBER($I456),$I456,IFERROR(TIMEVALUE($I456),VALUE($I456))),1)*1440,0))),""))</f>
        <v/>
      </c>
      <c r="X456" s="55" t="str">
        <f aca="false">IF($P456="","",IFERROR(IF(ISNUMBER($P456),IF($P456&gt;19000000,DATE(INT($P456/10000),MOD(INT($P456/100),100),MOD($P456,100)),INT($P456)),IF(LEN(SUBSTITUTE(SUBSTITUTE(SUBSTITUTE(TRIM($P456),"-",""),".",""),"/",""))=8,DATE(VALUE(LEFT(SUBSTITUTE(SUBSTITUTE(SUBSTITUTE(TRIM($P456),"-",""),".",""),"/",""),4)),VALUE(MID(SUBSTITUTE(SUBSTITUTE(SUBSTITUTE(TRIM($P456),"-",""),".",""),"/",""),5,2)),VALUE(RIGHT(SUBSTITUTE(SUBSTITUTE(SUBSTITUTE(TRIM($P456),"-",""),".",""),"/",""),2))),DATEVALUE($P456))),""))</f>
        <v/>
      </c>
      <c r="Y456" s="56" t="str">
        <f aca="false">IF($M456="","",IFERROR(INDEX(강사DB!$D$4:$D$53,MATCH($M456,강사DB!$A$4:$A$53,0)),""))</f>
        <v/>
      </c>
      <c r="Z456" s="56" t="str">
        <f aca="false">IF($B456&lt;&gt;"결제완료","",IF(OR($Y456="",$J456=""),"",$Y456*$J456+MAX(0,N($K456)-1)*설정!$J$7))</f>
        <v/>
      </c>
      <c r="AA456" s="56" t="str">
        <f aca="false">IF(AND($D456&lt;&gt;"",$B456="결제완료"),N($N456),"")</f>
        <v/>
      </c>
      <c r="AB456" s="45" t="str">
        <f aca="false">IF($D456="","",IF($F456&lt;&gt;"",$F456,$D456)&amp;IF($B456="상담중"," (상담)",""))</f>
        <v/>
      </c>
      <c r="AC456" s="45" t="n">
        <f aca="false">IF(AND($D456&lt;&gt;"",OR($B456="결제완료",$B456="상담중")),1,0)</f>
        <v>0</v>
      </c>
      <c r="AD456" s="45" t="n">
        <f aca="false">IF(OR($Z456="",$U456=""),0,IFERROR(IF(COUNTIFS(INDEX(g_grid,0,2*MATCH($M456,강사DB!$A$4:$A$15,0)),"&lt;&gt;",g_s,"&lt;="&amp;$U456,g_e,"&gt;="&amp;$U456)&gt;0,1,0),0))</f>
        <v>0</v>
      </c>
      <c r="AE456" s="48"/>
      <c r="AF456" s="56" t="str">
        <f aca="false">IF(AND($D456&lt;&gt;"",$B456="결제완료",$T456="대여"),설정!$J$5,"")</f>
        <v/>
      </c>
      <c r="AG456" s="54" t="str">
        <f aca="false">IF($D456="","",IF(AND($E456="",$R456=""),$AB456,"☎ "&amp;IF($E456="","-",$E456)&amp;IF($R456&lt;&gt;"","  ※ "&amp;$R456,"")&amp;IF($B456="상담중"," (상담)","")))</f>
        <v/>
      </c>
      <c r="AH456" s="56" t="str">
        <f aca="false">IF(AND($D456&lt;&gt;"",$B456="결제완료",$O456="스마트스토어"),ROUND(N($N456)*설정!$J$6,0),"")</f>
        <v/>
      </c>
      <c r="AI456" s="54" t="str">
        <f aca="false">IF($D456="","",ROW())</f>
        <v/>
      </c>
      <c r="AJ456" s="54" t="n">
        <f aca="false">IF(OR($AC456&lt;&gt;1,$M456=""),0,IF(ISNUMBER(SEARCH("퇴사",IFERROR(INDEX(강사DB!$G$4:$G$53,MATCH($M456,강사DB!$A$4:$A$53,0)),""))),1,0))</f>
        <v>0</v>
      </c>
    </row>
    <row r="457" customFormat="false" ht="15" hidden="false" customHeight="false" outlineLevel="0" collapsed="false">
      <c r="A457" s="45" t="str">
        <f aca="false">IF($D457="","",COUNTA($D$5:$D457))</f>
        <v/>
      </c>
      <c r="B457" s="46"/>
      <c r="C457" s="47"/>
      <c r="D457" s="48"/>
      <c r="E457" s="48"/>
      <c r="F457" s="49"/>
      <c r="G457" s="47"/>
      <c r="H457" s="50"/>
      <c r="I457" s="50"/>
      <c r="J457" s="51" t="str">
        <f aca="false">IF(OR($V457="",$W457=""),"",ROUND(($W457-$V457)/60,2))</f>
        <v/>
      </c>
      <c r="K457" s="52" t="str">
        <f aca="false">IF($F457="","",LEN($F457)-LEN(SUBSTITUTE($F457,",",""))+1)</f>
        <v/>
      </c>
      <c r="L457" s="45" t="str">
        <f aca="false">IF($K457="","","1:"&amp;$K457)</f>
        <v/>
      </c>
      <c r="M457" s="46"/>
      <c r="N457" s="53"/>
      <c r="O457" s="46"/>
      <c r="P457" s="47"/>
      <c r="Q457" s="48"/>
      <c r="R457" s="49"/>
      <c r="S457" s="54" t="str">
        <f aca="false">IF(OR($AC457=0,$U457="",$M457="",$V457="",$W457=""),"",IF(COUNTIFS(m_teacher,$M457,m_date,$U457,m_active,1,m_start,"&lt;"&amp;$W457,m_end,"&gt;"&amp;$V457)&gt;1,"충돌",""))</f>
        <v/>
      </c>
      <c r="T457" s="48"/>
      <c r="U457" s="55" t="str">
        <f aca="false">IF($G457="","",IFERROR(IF(ISNUMBER($G457),IF($G457&gt;19000000,DATE(INT($G457/10000),MOD(INT($G457/100),100),MOD($G457,100)),INT($G457)),IF(LEN(SUBSTITUTE(SUBSTITUTE(SUBSTITUTE(TRIM($G457),"-",""),".",""),"/",""))=8,DATE(VALUE(LEFT(SUBSTITUTE(SUBSTITUTE(SUBSTITUTE(TRIM($G457),"-",""),".",""),"/",""),4)),VALUE(MID(SUBSTITUTE(SUBSTITUTE(SUBSTITUTE(TRIM($G457),"-",""),".",""),"/",""),5,2)),VALUE(RIGHT(SUBSTITUTE(SUBSTITUTE(SUBSTITUTE(TRIM($G457),"-",""),".",""),"/",""),2))),DATEVALUE($G457))),""))</f>
        <v/>
      </c>
      <c r="V457" s="52" t="str">
        <f aca="false">IF($H457="","",IFERROR(IF(IF(ISNUMBER($H457),$H457,IFERROR(TIMEVALUE($H457),VALUE($H457)))&gt;=100,INT(IF(ISNUMBER($H457),$H457,IFERROR(TIMEVALUE($H457),VALUE($H457)))/100)*60+MOD(IF(ISNUMBER($H457),$H457,IFERROR(TIMEVALUE($H457),VALUE($H457))),100),IF(IF(ISNUMBER($H457),$H457,IFERROR(TIMEVALUE($H457),VALUE($H457)))&gt;=1,ROUND(IF(ISNUMBER($H457),$H457,IFERROR(TIMEVALUE($H457),VALUE($H457)))*60,0),ROUND(MOD(IF(ISNUMBER($H457),$H457,IFERROR(TIMEVALUE($H457),VALUE($H457))),1)*1440,0))),""))</f>
        <v/>
      </c>
      <c r="W457" s="52" t="str">
        <f aca="false">IF($I457="","",IFERROR(IF(IF(ISNUMBER($I457),$I457,IFERROR(TIMEVALUE($I457),VALUE($I457)))&gt;=100,INT(IF(ISNUMBER($I457),$I457,IFERROR(TIMEVALUE($I457),VALUE($I457)))/100)*60+MOD(IF(ISNUMBER($I457),$I457,IFERROR(TIMEVALUE($I457),VALUE($I457))),100),IF(IF(ISNUMBER($I457),$I457,IFERROR(TIMEVALUE($I457),VALUE($I457)))&gt;=1,ROUND(IF(ISNUMBER($I457),$I457,IFERROR(TIMEVALUE($I457),VALUE($I457)))*60,0),ROUND(MOD(IF(ISNUMBER($I457),$I457,IFERROR(TIMEVALUE($I457),VALUE($I457))),1)*1440,0))),""))</f>
        <v/>
      </c>
      <c r="X457" s="55" t="str">
        <f aca="false">IF($P457="","",IFERROR(IF(ISNUMBER($P457),IF($P457&gt;19000000,DATE(INT($P457/10000),MOD(INT($P457/100),100),MOD($P457,100)),INT($P457)),IF(LEN(SUBSTITUTE(SUBSTITUTE(SUBSTITUTE(TRIM($P457),"-",""),".",""),"/",""))=8,DATE(VALUE(LEFT(SUBSTITUTE(SUBSTITUTE(SUBSTITUTE(TRIM($P457),"-",""),".",""),"/",""),4)),VALUE(MID(SUBSTITUTE(SUBSTITUTE(SUBSTITUTE(TRIM($P457),"-",""),".",""),"/",""),5,2)),VALUE(RIGHT(SUBSTITUTE(SUBSTITUTE(SUBSTITUTE(TRIM($P457),"-",""),".",""),"/",""),2))),DATEVALUE($P457))),""))</f>
        <v/>
      </c>
      <c r="Y457" s="56" t="str">
        <f aca="false">IF($M457="","",IFERROR(INDEX(강사DB!$D$4:$D$53,MATCH($M457,강사DB!$A$4:$A$53,0)),""))</f>
        <v/>
      </c>
      <c r="Z457" s="56" t="str">
        <f aca="false">IF($B457&lt;&gt;"결제완료","",IF(OR($Y457="",$J457=""),"",$Y457*$J457+MAX(0,N($K457)-1)*설정!$J$7))</f>
        <v/>
      </c>
      <c r="AA457" s="56" t="str">
        <f aca="false">IF(AND($D457&lt;&gt;"",$B457="결제완료"),N($N457),"")</f>
        <v/>
      </c>
      <c r="AB457" s="45" t="str">
        <f aca="false">IF($D457="","",IF($F457&lt;&gt;"",$F457,$D457)&amp;IF($B457="상담중"," (상담)",""))</f>
        <v/>
      </c>
      <c r="AC457" s="45" t="n">
        <f aca="false">IF(AND($D457&lt;&gt;"",OR($B457="결제완료",$B457="상담중")),1,0)</f>
        <v>0</v>
      </c>
      <c r="AD457" s="45" t="n">
        <f aca="false">IF(OR($Z457="",$U457=""),0,IFERROR(IF(COUNTIFS(INDEX(g_grid,0,2*MATCH($M457,강사DB!$A$4:$A$15,0)),"&lt;&gt;",g_s,"&lt;="&amp;$U457,g_e,"&gt;="&amp;$U457)&gt;0,1,0),0))</f>
        <v>0</v>
      </c>
      <c r="AE457" s="48"/>
      <c r="AF457" s="56" t="str">
        <f aca="false">IF(AND($D457&lt;&gt;"",$B457="결제완료",$T457="대여"),설정!$J$5,"")</f>
        <v/>
      </c>
      <c r="AG457" s="54" t="str">
        <f aca="false">IF($D457="","",IF(AND($E457="",$R457=""),$AB457,"☎ "&amp;IF($E457="","-",$E457)&amp;IF($R457&lt;&gt;"","  ※ "&amp;$R457,"")&amp;IF($B457="상담중"," (상담)","")))</f>
        <v/>
      </c>
      <c r="AH457" s="56" t="str">
        <f aca="false">IF(AND($D457&lt;&gt;"",$B457="결제완료",$O457="스마트스토어"),ROUND(N($N457)*설정!$J$6,0),"")</f>
        <v/>
      </c>
      <c r="AI457" s="54" t="str">
        <f aca="false">IF($D457="","",ROW())</f>
        <v/>
      </c>
      <c r="AJ457" s="54" t="n">
        <f aca="false">IF(OR($AC457&lt;&gt;1,$M457=""),0,IF(ISNUMBER(SEARCH("퇴사",IFERROR(INDEX(강사DB!$G$4:$G$53,MATCH($M457,강사DB!$A$4:$A$53,0)),""))),1,0))</f>
        <v>0</v>
      </c>
    </row>
    <row r="458" customFormat="false" ht="15" hidden="false" customHeight="false" outlineLevel="0" collapsed="false">
      <c r="A458" s="45" t="str">
        <f aca="false">IF($D458="","",COUNTA($D$5:$D458))</f>
        <v/>
      </c>
      <c r="B458" s="46"/>
      <c r="C458" s="47"/>
      <c r="D458" s="48"/>
      <c r="E458" s="48"/>
      <c r="F458" s="49"/>
      <c r="G458" s="47"/>
      <c r="H458" s="50"/>
      <c r="I458" s="50"/>
      <c r="J458" s="51" t="str">
        <f aca="false">IF(OR($V458="",$W458=""),"",ROUND(($W458-$V458)/60,2))</f>
        <v/>
      </c>
      <c r="K458" s="52" t="str">
        <f aca="false">IF($F458="","",LEN($F458)-LEN(SUBSTITUTE($F458,",",""))+1)</f>
        <v/>
      </c>
      <c r="L458" s="45" t="str">
        <f aca="false">IF($K458="","","1:"&amp;$K458)</f>
        <v/>
      </c>
      <c r="M458" s="46"/>
      <c r="N458" s="53"/>
      <c r="O458" s="46"/>
      <c r="P458" s="47"/>
      <c r="Q458" s="48"/>
      <c r="R458" s="49"/>
      <c r="S458" s="54" t="str">
        <f aca="false">IF(OR($AC458=0,$U458="",$M458="",$V458="",$W458=""),"",IF(COUNTIFS(m_teacher,$M458,m_date,$U458,m_active,1,m_start,"&lt;"&amp;$W458,m_end,"&gt;"&amp;$V458)&gt;1,"충돌",""))</f>
        <v/>
      </c>
      <c r="T458" s="48"/>
      <c r="U458" s="55" t="str">
        <f aca="false">IF($G458="","",IFERROR(IF(ISNUMBER($G458),IF($G458&gt;19000000,DATE(INT($G458/10000),MOD(INT($G458/100),100),MOD($G458,100)),INT($G458)),IF(LEN(SUBSTITUTE(SUBSTITUTE(SUBSTITUTE(TRIM($G458),"-",""),".",""),"/",""))=8,DATE(VALUE(LEFT(SUBSTITUTE(SUBSTITUTE(SUBSTITUTE(TRIM($G458),"-",""),".",""),"/",""),4)),VALUE(MID(SUBSTITUTE(SUBSTITUTE(SUBSTITUTE(TRIM($G458),"-",""),".",""),"/",""),5,2)),VALUE(RIGHT(SUBSTITUTE(SUBSTITUTE(SUBSTITUTE(TRIM($G458),"-",""),".",""),"/",""),2))),DATEVALUE($G458))),""))</f>
        <v/>
      </c>
      <c r="V458" s="52" t="str">
        <f aca="false">IF($H458="","",IFERROR(IF(IF(ISNUMBER($H458),$H458,IFERROR(TIMEVALUE($H458),VALUE($H458)))&gt;=100,INT(IF(ISNUMBER($H458),$H458,IFERROR(TIMEVALUE($H458),VALUE($H458)))/100)*60+MOD(IF(ISNUMBER($H458),$H458,IFERROR(TIMEVALUE($H458),VALUE($H458))),100),IF(IF(ISNUMBER($H458),$H458,IFERROR(TIMEVALUE($H458),VALUE($H458)))&gt;=1,ROUND(IF(ISNUMBER($H458),$H458,IFERROR(TIMEVALUE($H458),VALUE($H458)))*60,0),ROUND(MOD(IF(ISNUMBER($H458),$H458,IFERROR(TIMEVALUE($H458),VALUE($H458))),1)*1440,0))),""))</f>
        <v/>
      </c>
      <c r="W458" s="52" t="str">
        <f aca="false">IF($I458="","",IFERROR(IF(IF(ISNUMBER($I458),$I458,IFERROR(TIMEVALUE($I458),VALUE($I458)))&gt;=100,INT(IF(ISNUMBER($I458),$I458,IFERROR(TIMEVALUE($I458),VALUE($I458)))/100)*60+MOD(IF(ISNUMBER($I458),$I458,IFERROR(TIMEVALUE($I458),VALUE($I458))),100),IF(IF(ISNUMBER($I458),$I458,IFERROR(TIMEVALUE($I458),VALUE($I458)))&gt;=1,ROUND(IF(ISNUMBER($I458),$I458,IFERROR(TIMEVALUE($I458),VALUE($I458)))*60,0),ROUND(MOD(IF(ISNUMBER($I458),$I458,IFERROR(TIMEVALUE($I458),VALUE($I458))),1)*1440,0))),""))</f>
        <v/>
      </c>
      <c r="X458" s="55" t="str">
        <f aca="false">IF($P458="","",IFERROR(IF(ISNUMBER($P458),IF($P458&gt;19000000,DATE(INT($P458/10000),MOD(INT($P458/100),100),MOD($P458,100)),INT($P458)),IF(LEN(SUBSTITUTE(SUBSTITUTE(SUBSTITUTE(TRIM($P458),"-",""),".",""),"/",""))=8,DATE(VALUE(LEFT(SUBSTITUTE(SUBSTITUTE(SUBSTITUTE(TRIM($P458),"-",""),".",""),"/",""),4)),VALUE(MID(SUBSTITUTE(SUBSTITUTE(SUBSTITUTE(TRIM($P458),"-",""),".",""),"/",""),5,2)),VALUE(RIGHT(SUBSTITUTE(SUBSTITUTE(SUBSTITUTE(TRIM($P458),"-",""),".",""),"/",""),2))),DATEVALUE($P458))),""))</f>
        <v/>
      </c>
      <c r="Y458" s="56" t="str">
        <f aca="false">IF($M458="","",IFERROR(INDEX(강사DB!$D$4:$D$53,MATCH($M458,강사DB!$A$4:$A$53,0)),""))</f>
        <v/>
      </c>
      <c r="Z458" s="56" t="str">
        <f aca="false">IF($B458&lt;&gt;"결제완료","",IF(OR($Y458="",$J458=""),"",$Y458*$J458+MAX(0,N($K458)-1)*설정!$J$7))</f>
        <v/>
      </c>
      <c r="AA458" s="56" t="str">
        <f aca="false">IF(AND($D458&lt;&gt;"",$B458="결제완료"),N($N458),"")</f>
        <v/>
      </c>
      <c r="AB458" s="45" t="str">
        <f aca="false">IF($D458="","",IF($F458&lt;&gt;"",$F458,$D458)&amp;IF($B458="상담중"," (상담)",""))</f>
        <v/>
      </c>
      <c r="AC458" s="45" t="n">
        <f aca="false">IF(AND($D458&lt;&gt;"",OR($B458="결제완료",$B458="상담중")),1,0)</f>
        <v>0</v>
      </c>
      <c r="AD458" s="45" t="n">
        <f aca="false">IF(OR($Z458="",$U458=""),0,IFERROR(IF(COUNTIFS(INDEX(g_grid,0,2*MATCH($M458,강사DB!$A$4:$A$15,0)),"&lt;&gt;",g_s,"&lt;="&amp;$U458,g_e,"&gt;="&amp;$U458)&gt;0,1,0),0))</f>
        <v>0</v>
      </c>
      <c r="AE458" s="48"/>
      <c r="AF458" s="56" t="str">
        <f aca="false">IF(AND($D458&lt;&gt;"",$B458="결제완료",$T458="대여"),설정!$J$5,"")</f>
        <v/>
      </c>
      <c r="AG458" s="54" t="str">
        <f aca="false">IF($D458="","",IF(AND($E458="",$R458=""),$AB458,"☎ "&amp;IF($E458="","-",$E458)&amp;IF($R458&lt;&gt;"","  ※ "&amp;$R458,"")&amp;IF($B458="상담중"," (상담)","")))</f>
        <v/>
      </c>
      <c r="AH458" s="56" t="str">
        <f aca="false">IF(AND($D458&lt;&gt;"",$B458="결제완료",$O458="스마트스토어"),ROUND(N($N458)*설정!$J$6,0),"")</f>
        <v/>
      </c>
      <c r="AI458" s="54" t="str">
        <f aca="false">IF($D458="","",ROW())</f>
        <v/>
      </c>
      <c r="AJ458" s="54" t="n">
        <f aca="false">IF(OR($AC458&lt;&gt;1,$M458=""),0,IF(ISNUMBER(SEARCH("퇴사",IFERROR(INDEX(강사DB!$G$4:$G$53,MATCH($M458,강사DB!$A$4:$A$53,0)),""))),1,0))</f>
        <v>0</v>
      </c>
    </row>
    <row r="459" customFormat="false" ht="15" hidden="false" customHeight="false" outlineLevel="0" collapsed="false">
      <c r="A459" s="45" t="str">
        <f aca="false">IF($D459="","",COUNTA($D$5:$D459))</f>
        <v/>
      </c>
      <c r="B459" s="46"/>
      <c r="C459" s="47"/>
      <c r="D459" s="48"/>
      <c r="E459" s="48"/>
      <c r="F459" s="49"/>
      <c r="G459" s="47"/>
      <c r="H459" s="50"/>
      <c r="I459" s="50"/>
      <c r="J459" s="51" t="str">
        <f aca="false">IF(OR($V459="",$W459=""),"",ROUND(($W459-$V459)/60,2))</f>
        <v/>
      </c>
      <c r="K459" s="52" t="str">
        <f aca="false">IF($F459="","",LEN($F459)-LEN(SUBSTITUTE($F459,",",""))+1)</f>
        <v/>
      </c>
      <c r="L459" s="45" t="str">
        <f aca="false">IF($K459="","","1:"&amp;$K459)</f>
        <v/>
      </c>
      <c r="M459" s="46"/>
      <c r="N459" s="53"/>
      <c r="O459" s="46"/>
      <c r="P459" s="47"/>
      <c r="Q459" s="48"/>
      <c r="R459" s="49"/>
      <c r="S459" s="54" t="str">
        <f aca="false">IF(OR($AC459=0,$U459="",$M459="",$V459="",$W459=""),"",IF(COUNTIFS(m_teacher,$M459,m_date,$U459,m_active,1,m_start,"&lt;"&amp;$W459,m_end,"&gt;"&amp;$V459)&gt;1,"충돌",""))</f>
        <v/>
      </c>
      <c r="T459" s="48"/>
      <c r="U459" s="55" t="str">
        <f aca="false">IF($G459="","",IFERROR(IF(ISNUMBER($G459),IF($G459&gt;19000000,DATE(INT($G459/10000),MOD(INT($G459/100),100),MOD($G459,100)),INT($G459)),IF(LEN(SUBSTITUTE(SUBSTITUTE(SUBSTITUTE(TRIM($G459),"-",""),".",""),"/",""))=8,DATE(VALUE(LEFT(SUBSTITUTE(SUBSTITUTE(SUBSTITUTE(TRIM($G459),"-",""),".",""),"/",""),4)),VALUE(MID(SUBSTITUTE(SUBSTITUTE(SUBSTITUTE(TRIM($G459),"-",""),".",""),"/",""),5,2)),VALUE(RIGHT(SUBSTITUTE(SUBSTITUTE(SUBSTITUTE(TRIM($G459),"-",""),".",""),"/",""),2))),DATEVALUE($G459))),""))</f>
        <v/>
      </c>
      <c r="V459" s="52" t="str">
        <f aca="false">IF($H459="","",IFERROR(IF(IF(ISNUMBER($H459),$H459,IFERROR(TIMEVALUE($H459),VALUE($H459)))&gt;=100,INT(IF(ISNUMBER($H459),$H459,IFERROR(TIMEVALUE($H459),VALUE($H459)))/100)*60+MOD(IF(ISNUMBER($H459),$H459,IFERROR(TIMEVALUE($H459),VALUE($H459))),100),IF(IF(ISNUMBER($H459),$H459,IFERROR(TIMEVALUE($H459),VALUE($H459)))&gt;=1,ROUND(IF(ISNUMBER($H459),$H459,IFERROR(TIMEVALUE($H459),VALUE($H459)))*60,0),ROUND(MOD(IF(ISNUMBER($H459),$H459,IFERROR(TIMEVALUE($H459),VALUE($H459))),1)*1440,0))),""))</f>
        <v/>
      </c>
      <c r="W459" s="52" t="str">
        <f aca="false">IF($I459="","",IFERROR(IF(IF(ISNUMBER($I459),$I459,IFERROR(TIMEVALUE($I459),VALUE($I459)))&gt;=100,INT(IF(ISNUMBER($I459),$I459,IFERROR(TIMEVALUE($I459),VALUE($I459)))/100)*60+MOD(IF(ISNUMBER($I459),$I459,IFERROR(TIMEVALUE($I459),VALUE($I459))),100),IF(IF(ISNUMBER($I459),$I459,IFERROR(TIMEVALUE($I459),VALUE($I459)))&gt;=1,ROUND(IF(ISNUMBER($I459),$I459,IFERROR(TIMEVALUE($I459),VALUE($I459)))*60,0),ROUND(MOD(IF(ISNUMBER($I459),$I459,IFERROR(TIMEVALUE($I459),VALUE($I459))),1)*1440,0))),""))</f>
        <v/>
      </c>
      <c r="X459" s="55" t="str">
        <f aca="false">IF($P459="","",IFERROR(IF(ISNUMBER($P459),IF($P459&gt;19000000,DATE(INT($P459/10000),MOD(INT($P459/100),100),MOD($P459,100)),INT($P459)),IF(LEN(SUBSTITUTE(SUBSTITUTE(SUBSTITUTE(TRIM($P459),"-",""),".",""),"/",""))=8,DATE(VALUE(LEFT(SUBSTITUTE(SUBSTITUTE(SUBSTITUTE(TRIM($P459),"-",""),".",""),"/",""),4)),VALUE(MID(SUBSTITUTE(SUBSTITUTE(SUBSTITUTE(TRIM($P459),"-",""),".",""),"/",""),5,2)),VALUE(RIGHT(SUBSTITUTE(SUBSTITUTE(SUBSTITUTE(TRIM($P459),"-",""),".",""),"/",""),2))),DATEVALUE($P459))),""))</f>
        <v/>
      </c>
      <c r="Y459" s="56" t="str">
        <f aca="false">IF($M459="","",IFERROR(INDEX(강사DB!$D$4:$D$53,MATCH($M459,강사DB!$A$4:$A$53,0)),""))</f>
        <v/>
      </c>
      <c r="Z459" s="56" t="str">
        <f aca="false">IF($B459&lt;&gt;"결제완료","",IF(OR($Y459="",$J459=""),"",$Y459*$J459+MAX(0,N($K459)-1)*설정!$J$7))</f>
        <v/>
      </c>
      <c r="AA459" s="56" t="str">
        <f aca="false">IF(AND($D459&lt;&gt;"",$B459="결제완료"),N($N459),"")</f>
        <v/>
      </c>
      <c r="AB459" s="45" t="str">
        <f aca="false">IF($D459="","",IF($F459&lt;&gt;"",$F459,$D459)&amp;IF($B459="상담중"," (상담)",""))</f>
        <v/>
      </c>
      <c r="AC459" s="45" t="n">
        <f aca="false">IF(AND($D459&lt;&gt;"",OR($B459="결제완료",$B459="상담중")),1,0)</f>
        <v>0</v>
      </c>
      <c r="AD459" s="45" t="n">
        <f aca="false">IF(OR($Z459="",$U459=""),0,IFERROR(IF(COUNTIFS(INDEX(g_grid,0,2*MATCH($M459,강사DB!$A$4:$A$15,0)),"&lt;&gt;",g_s,"&lt;="&amp;$U459,g_e,"&gt;="&amp;$U459)&gt;0,1,0),0))</f>
        <v>0</v>
      </c>
      <c r="AE459" s="48"/>
      <c r="AF459" s="56" t="str">
        <f aca="false">IF(AND($D459&lt;&gt;"",$B459="결제완료",$T459="대여"),설정!$J$5,"")</f>
        <v/>
      </c>
      <c r="AG459" s="54" t="str">
        <f aca="false">IF($D459="","",IF(AND($E459="",$R459=""),$AB459,"☎ "&amp;IF($E459="","-",$E459)&amp;IF($R459&lt;&gt;"","  ※ "&amp;$R459,"")&amp;IF($B459="상담중"," (상담)","")))</f>
        <v/>
      </c>
      <c r="AH459" s="56" t="str">
        <f aca="false">IF(AND($D459&lt;&gt;"",$B459="결제완료",$O459="스마트스토어"),ROUND(N($N459)*설정!$J$6,0),"")</f>
        <v/>
      </c>
      <c r="AI459" s="54" t="str">
        <f aca="false">IF($D459="","",ROW())</f>
        <v/>
      </c>
      <c r="AJ459" s="54" t="n">
        <f aca="false">IF(OR($AC459&lt;&gt;1,$M459=""),0,IF(ISNUMBER(SEARCH("퇴사",IFERROR(INDEX(강사DB!$G$4:$G$53,MATCH($M459,강사DB!$A$4:$A$53,0)),""))),1,0))</f>
        <v>0</v>
      </c>
    </row>
    <row r="460" customFormat="false" ht="15" hidden="false" customHeight="false" outlineLevel="0" collapsed="false">
      <c r="A460" s="45" t="str">
        <f aca="false">IF($D460="","",COUNTA($D$5:$D460))</f>
        <v/>
      </c>
      <c r="B460" s="46"/>
      <c r="C460" s="47"/>
      <c r="D460" s="48"/>
      <c r="E460" s="48"/>
      <c r="F460" s="49"/>
      <c r="G460" s="47"/>
      <c r="H460" s="50"/>
      <c r="I460" s="50"/>
      <c r="J460" s="51" t="str">
        <f aca="false">IF(OR($V460="",$W460=""),"",ROUND(($W460-$V460)/60,2))</f>
        <v/>
      </c>
      <c r="K460" s="52" t="str">
        <f aca="false">IF($F460="","",LEN($F460)-LEN(SUBSTITUTE($F460,",",""))+1)</f>
        <v/>
      </c>
      <c r="L460" s="45" t="str">
        <f aca="false">IF($K460="","","1:"&amp;$K460)</f>
        <v/>
      </c>
      <c r="M460" s="46"/>
      <c r="N460" s="53"/>
      <c r="O460" s="46"/>
      <c r="P460" s="47"/>
      <c r="Q460" s="48"/>
      <c r="R460" s="49"/>
      <c r="S460" s="54" t="str">
        <f aca="false">IF(OR($AC460=0,$U460="",$M460="",$V460="",$W460=""),"",IF(COUNTIFS(m_teacher,$M460,m_date,$U460,m_active,1,m_start,"&lt;"&amp;$W460,m_end,"&gt;"&amp;$V460)&gt;1,"충돌",""))</f>
        <v/>
      </c>
      <c r="T460" s="48"/>
      <c r="U460" s="55" t="str">
        <f aca="false">IF($G460="","",IFERROR(IF(ISNUMBER($G460),IF($G460&gt;19000000,DATE(INT($G460/10000),MOD(INT($G460/100),100),MOD($G460,100)),INT($G460)),IF(LEN(SUBSTITUTE(SUBSTITUTE(SUBSTITUTE(TRIM($G460),"-",""),".",""),"/",""))=8,DATE(VALUE(LEFT(SUBSTITUTE(SUBSTITUTE(SUBSTITUTE(TRIM($G460),"-",""),".",""),"/",""),4)),VALUE(MID(SUBSTITUTE(SUBSTITUTE(SUBSTITUTE(TRIM($G460),"-",""),".",""),"/",""),5,2)),VALUE(RIGHT(SUBSTITUTE(SUBSTITUTE(SUBSTITUTE(TRIM($G460),"-",""),".",""),"/",""),2))),DATEVALUE($G460))),""))</f>
        <v/>
      </c>
      <c r="V460" s="52" t="str">
        <f aca="false">IF($H460="","",IFERROR(IF(IF(ISNUMBER($H460),$H460,IFERROR(TIMEVALUE($H460),VALUE($H460)))&gt;=100,INT(IF(ISNUMBER($H460),$H460,IFERROR(TIMEVALUE($H460),VALUE($H460)))/100)*60+MOD(IF(ISNUMBER($H460),$H460,IFERROR(TIMEVALUE($H460),VALUE($H460))),100),IF(IF(ISNUMBER($H460),$H460,IFERROR(TIMEVALUE($H460),VALUE($H460)))&gt;=1,ROUND(IF(ISNUMBER($H460),$H460,IFERROR(TIMEVALUE($H460),VALUE($H460)))*60,0),ROUND(MOD(IF(ISNUMBER($H460),$H460,IFERROR(TIMEVALUE($H460),VALUE($H460))),1)*1440,0))),""))</f>
        <v/>
      </c>
      <c r="W460" s="52" t="str">
        <f aca="false">IF($I460="","",IFERROR(IF(IF(ISNUMBER($I460),$I460,IFERROR(TIMEVALUE($I460),VALUE($I460)))&gt;=100,INT(IF(ISNUMBER($I460),$I460,IFERROR(TIMEVALUE($I460),VALUE($I460)))/100)*60+MOD(IF(ISNUMBER($I460),$I460,IFERROR(TIMEVALUE($I460),VALUE($I460))),100),IF(IF(ISNUMBER($I460),$I460,IFERROR(TIMEVALUE($I460),VALUE($I460)))&gt;=1,ROUND(IF(ISNUMBER($I460),$I460,IFERROR(TIMEVALUE($I460),VALUE($I460)))*60,0),ROUND(MOD(IF(ISNUMBER($I460),$I460,IFERROR(TIMEVALUE($I460),VALUE($I460))),1)*1440,0))),""))</f>
        <v/>
      </c>
      <c r="X460" s="55" t="str">
        <f aca="false">IF($P460="","",IFERROR(IF(ISNUMBER($P460),IF($P460&gt;19000000,DATE(INT($P460/10000),MOD(INT($P460/100),100),MOD($P460,100)),INT($P460)),IF(LEN(SUBSTITUTE(SUBSTITUTE(SUBSTITUTE(TRIM($P460),"-",""),".",""),"/",""))=8,DATE(VALUE(LEFT(SUBSTITUTE(SUBSTITUTE(SUBSTITUTE(TRIM($P460),"-",""),".",""),"/",""),4)),VALUE(MID(SUBSTITUTE(SUBSTITUTE(SUBSTITUTE(TRIM($P460),"-",""),".",""),"/",""),5,2)),VALUE(RIGHT(SUBSTITUTE(SUBSTITUTE(SUBSTITUTE(TRIM($P460),"-",""),".",""),"/",""),2))),DATEVALUE($P460))),""))</f>
        <v/>
      </c>
      <c r="Y460" s="56" t="str">
        <f aca="false">IF($M460="","",IFERROR(INDEX(강사DB!$D$4:$D$53,MATCH($M460,강사DB!$A$4:$A$53,0)),""))</f>
        <v/>
      </c>
      <c r="Z460" s="56" t="str">
        <f aca="false">IF($B460&lt;&gt;"결제완료","",IF(OR($Y460="",$J460=""),"",$Y460*$J460+MAX(0,N($K460)-1)*설정!$J$7))</f>
        <v/>
      </c>
      <c r="AA460" s="56" t="str">
        <f aca="false">IF(AND($D460&lt;&gt;"",$B460="결제완료"),N($N460),"")</f>
        <v/>
      </c>
      <c r="AB460" s="45" t="str">
        <f aca="false">IF($D460="","",IF($F460&lt;&gt;"",$F460,$D460)&amp;IF($B460="상담중"," (상담)",""))</f>
        <v/>
      </c>
      <c r="AC460" s="45" t="n">
        <f aca="false">IF(AND($D460&lt;&gt;"",OR($B460="결제완료",$B460="상담중")),1,0)</f>
        <v>0</v>
      </c>
      <c r="AD460" s="45" t="n">
        <f aca="false">IF(OR($Z460="",$U460=""),0,IFERROR(IF(COUNTIFS(INDEX(g_grid,0,2*MATCH($M460,강사DB!$A$4:$A$15,0)),"&lt;&gt;",g_s,"&lt;="&amp;$U460,g_e,"&gt;="&amp;$U460)&gt;0,1,0),0))</f>
        <v>0</v>
      </c>
      <c r="AE460" s="48"/>
      <c r="AF460" s="56" t="str">
        <f aca="false">IF(AND($D460&lt;&gt;"",$B460="결제완료",$T460="대여"),설정!$J$5,"")</f>
        <v/>
      </c>
      <c r="AG460" s="54" t="str">
        <f aca="false">IF($D460="","",IF(AND($E460="",$R460=""),$AB460,"☎ "&amp;IF($E460="","-",$E460)&amp;IF($R460&lt;&gt;"","  ※ "&amp;$R460,"")&amp;IF($B460="상담중"," (상담)","")))</f>
        <v/>
      </c>
      <c r="AH460" s="56" t="str">
        <f aca="false">IF(AND($D460&lt;&gt;"",$B460="결제완료",$O460="스마트스토어"),ROUND(N($N460)*설정!$J$6,0),"")</f>
        <v/>
      </c>
      <c r="AI460" s="54" t="str">
        <f aca="false">IF($D460="","",ROW())</f>
        <v/>
      </c>
      <c r="AJ460" s="54" t="n">
        <f aca="false">IF(OR($AC460&lt;&gt;1,$M460=""),0,IF(ISNUMBER(SEARCH("퇴사",IFERROR(INDEX(강사DB!$G$4:$G$53,MATCH($M460,강사DB!$A$4:$A$53,0)),""))),1,0))</f>
        <v>0</v>
      </c>
    </row>
    <row r="461" customFormat="false" ht="15" hidden="false" customHeight="false" outlineLevel="0" collapsed="false">
      <c r="A461" s="45" t="str">
        <f aca="false">IF($D461="","",COUNTA($D$5:$D461))</f>
        <v/>
      </c>
      <c r="B461" s="46"/>
      <c r="C461" s="47"/>
      <c r="D461" s="48"/>
      <c r="E461" s="48"/>
      <c r="F461" s="49"/>
      <c r="G461" s="47"/>
      <c r="H461" s="50"/>
      <c r="I461" s="50"/>
      <c r="J461" s="51" t="str">
        <f aca="false">IF(OR($V461="",$W461=""),"",ROUND(($W461-$V461)/60,2))</f>
        <v/>
      </c>
      <c r="K461" s="52" t="str">
        <f aca="false">IF($F461="","",LEN($F461)-LEN(SUBSTITUTE($F461,",",""))+1)</f>
        <v/>
      </c>
      <c r="L461" s="45" t="str">
        <f aca="false">IF($K461="","","1:"&amp;$K461)</f>
        <v/>
      </c>
      <c r="M461" s="46"/>
      <c r="N461" s="53"/>
      <c r="O461" s="46"/>
      <c r="P461" s="47"/>
      <c r="Q461" s="48"/>
      <c r="R461" s="49"/>
      <c r="S461" s="54" t="str">
        <f aca="false">IF(OR($AC461=0,$U461="",$M461="",$V461="",$W461=""),"",IF(COUNTIFS(m_teacher,$M461,m_date,$U461,m_active,1,m_start,"&lt;"&amp;$W461,m_end,"&gt;"&amp;$V461)&gt;1,"충돌",""))</f>
        <v/>
      </c>
      <c r="T461" s="48"/>
      <c r="U461" s="55" t="str">
        <f aca="false">IF($G461="","",IFERROR(IF(ISNUMBER($G461),IF($G461&gt;19000000,DATE(INT($G461/10000),MOD(INT($G461/100),100),MOD($G461,100)),INT($G461)),IF(LEN(SUBSTITUTE(SUBSTITUTE(SUBSTITUTE(TRIM($G461),"-",""),".",""),"/",""))=8,DATE(VALUE(LEFT(SUBSTITUTE(SUBSTITUTE(SUBSTITUTE(TRIM($G461),"-",""),".",""),"/",""),4)),VALUE(MID(SUBSTITUTE(SUBSTITUTE(SUBSTITUTE(TRIM($G461),"-",""),".",""),"/",""),5,2)),VALUE(RIGHT(SUBSTITUTE(SUBSTITUTE(SUBSTITUTE(TRIM($G461),"-",""),".",""),"/",""),2))),DATEVALUE($G461))),""))</f>
        <v/>
      </c>
      <c r="V461" s="52" t="str">
        <f aca="false">IF($H461="","",IFERROR(IF(IF(ISNUMBER($H461),$H461,IFERROR(TIMEVALUE($H461),VALUE($H461)))&gt;=100,INT(IF(ISNUMBER($H461),$H461,IFERROR(TIMEVALUE($H461),VALUE($H461)))/100)*60+MOD(IF(ISNUMBER($H461),$H461,IFERROR(TIMEVALUE($H461),VALUE($H461))),100),IF(IF(ISNUMBER($H461),$H461,IFERROR(TIMEVALUE($H461),VALUE($H461)))&gt;=1,ROUND(IF(ISNUMBER($H461),$H461,IFERROR(TIMEVALUE($H461),VALUE($H461)))*60,0),ROUND(MOD(IF(ISNUMBER($H461),$H461,IFERROR(TIMEVALUE($H461),VALUE($H461))),1)*1440,0))),""))</f>
        <v/>
      </c>
      <c r="W461" s="52" t="str">
        <f aca="false">IF($I461="","",IFERROR(IF(IF(ISNUMBER($I461),$I461,IFERROR(TIMEVALUE($I461),VALUE($I461)))&gt;=100,INT(IF(ISNUMBER($I461),$I461,IFERROR(TIMEVALUE($I461),VALUE($I461)))/100)*60+MOD(IF(ISNUMBER($I461),$I461,IFERROR(TIMEVALUE($I461),VALUE($I461))),100),IF(IF(ISNUMBER($I461),$I461,IFERROR(TIMEVALUE($I461),VALUE($I461)))&gt;=1,ROUND(IF(ISNUMBER($I461),$I461,IFERROR(TIMEVALUE($I461),VALUE($I461)))*60,0),ROUND(MOD(IF(ISNUMBER($I461),$I461,IFERROR(TIMEVALUE($I461),VALUE($I461))),1)*1440,0))),""))</f>
        <v/>
      </c>
      <c r="X461" s="55" t="str">
        <f aca="false">IF($P461="","",IFERROR(IF(ISNUMBER($P461),IF($P461&gt;19000000,DATE(INT($P461/10000),MOD(INT($P461/100),100),MOD($P461,100)),INT($P461)),IF(LEN(SUBSTITUTE(SUBSTITUTE(SUBSTITUTE(TRIM($P461),"-",""),".",""),"/",""))=8,DATE(VALUE(LEFT(SUBSTITUTE(SUBSTITUTE(SUBSTITUTE(TRIM($P461),"-",""),".",""),"/",""),4)),VALUE(MID(SUBSTITUTE(SUBSTITUTE(SUBSTITUTE(TRIM($P461),"-",""),".",""),"/",""),5,2)),VALUE(RIGHT(SUBSTITUTE(SUBSTITUTE(SUBSTITUTE(TRIM($P461),"-",""),".",""),"/",""),2))),DATEVALUE($P461))),""))</f>
        <v/>
      </c>
      <c r="Y461" s="56" t="str">
        <f aca="false">IF($M461="","",IFERROR(INDEX(강사DB!$D$4:$D$53,MATCH($M461,강사DB!$A$4:$A$53,0)),""))</f>
        <v/>
      </c>
      <c r="Z461" s="56" t="str">
        <f aca="false">IF($B461&lt;&gt;"결제완료","",IF(OR($Y461="",$J461=""),"",$Y461*$J461+MAX(0,N($K461)-1)*설정!$J$7))</f>
        <v/>
      </c>
      <c r="AA461" s="56" t="str">
        <f aca="false">IF(AND($D461&lt;&gt;"",$B461="결제완료"),N($N461),"")</f>
        <v/>
      </c>
      <c r="AB461" s="45" t="str">
        <f aca="false">IF($D461="","",IF($F461&lt;&gt;"",$F461,$D461)&amp;IF($B461="상담중"," (상담)",""))</f>
        <v/>
      </c>
      <c r="AC461" s="45" t="n">
        <f aca="false">IF(AND($D461&lt;&gt;"",OR($B461="결제완료",$B461="상담중")),1,0)</f>
        <v>0</v>
      </c>
      <c r="AD461" s="45" t="n">
        <f aca="false">IF(OR($Z461="",$U461=""),0,IFERROR(IF(COUNTIFS(INDEX(g_grid,0,2*MATCH($M461,강사DB!$A$4:$A$15,0)),"&lt;&gt;",g_s,"&lt;="&amp;$U461,g_e,"&gt;="&amp;$U461)&gt;0,1,0),0))</f>
        <v>0</v>
      </c>
      <c r="AE461" s="48"/>
      <c r="AF461" s="56" t="str">
        <f aca="false">IF(AND($D461&lt;&gt;"",$B461="결제완료",$T461="대여"),설정!$J$5,"")</f>
        <v/>
      </c>
      <c r="AG461" s="54" t="str">
        <f aca="false">IF($D461="","",IF(AND($E461="",$R461=""),$AB461,"☎ "&amp;IF($E461="","-",$E461)&amp;IF($R461&lt;&gt;"","  ※ "&amp;$R461,"")&amp;IF($B461="상담중"," (상담)","")))</f>
        <v/>
      </c>
      <c r="AH461" s="56" t="str">
        <f aca="false">IF(AND($D461&lt;&gt;"",$B461="결제완료",$O461="스마트스토어"),ROUND(N($N461)*설정!$J$6,0),"")</f>
        <v/>
      </c>
      <c r="AI461" s="54" t="str">
        <f aca="false">IF($D461="","",ROW())</f>
        <v/>
      </c>
      <c r="AJ461" s="54" t="n">
        <f aca="false">IF(OR($AC461&lt;&gt;1,$M461=""),0,IF(ISNUMBER(SEARCH("퇴사",IFERROR(INDEX(강사DB!$G$4:$G$53,MATCH($M461,강사DB!$A$4:$A$53,0)),""))),1,0))</f>
        <v>0</v>
      </c>
    </row>
    <row r="462" customFormat="false" ht="15" hidden="false" customHeight="false" outlineLevel="0" collapsed="false">
      <c r="A462" s="45" t="str">
        <f aca="false">IF($D462="","",COUNTA($D$5:$D462))</f>
        <v/>
      </c>
      <c r="B462" s="46"/>
      <c r="C462" s="47"/>
      <c r="D462" s="48"/>
      <c r="E462" s="48"/>
      <c r="F462" s="49"/>
      <c r="G462" s="47"/>
      <c r="H462" s="50"/>
      <c r="I462" s="50"/>
      <c r="J462" s="51" t="str">
        <f aca="false">IF(OR($V462="",$W462=""),"",ROUND(($W462-$V462)/60,2))</f>
        <v/>
      </c>
      <c r="K462" s="52" t="str">
        <f aca="false">IF($F462="","",LEN($F462)-LEN(SUBSTITUTE($F462,",",""))+1)</f>
        <v/>
      </c>
      <c r="L462" s="45" t="str">
        <f aca="false">IF($K462="","","1:"&amp;$K462)</f>
        <v/>
      </c>
      <c r="M462" s="46"/>
      <c r="N462" s="53"/>
      <c r="O462" s="46"/>
      <c r="P462" s="47"/>
      <c r="Q462" s="48"/>
      <c r="R462" s="49"/>
      <c r="S462" s="54" t="str">
        <f aca="false">IF(OR($AC462=0,$U462="",$M462="",$V462="",$W462=""),"",IF(COUNTIFS(m_teacher,$M462,m_date,$U462,m_active,1,m_start,"&lt;"&amp;$W462,m_end,"&gt;"&amp;$V462)&gt;1,"충돌",""))</f>
        <v/>
      </c>
      <c r="T462" s="48"/>
      <c r="U462" s="55" t="str">
        <f aca="false">IF($G462="","",IFERROR(IF(ISNUMBER($G462),IF($G462&gt;19000000,DATE(INT($G462/10000),MOD(INT($G462/100),100),MOD($G462,100)),INT($G462)),IF(LEN(SUBSTITUTE(SUBSTITUTE(SUBSTITUTE(TRIM($G462),"-",""),".",""),"/",""))=8,DATE(VALUE(LEFT(SUBSTITUTE(SUBSTITUTE(SUBSTITUTE(TRIM($G462),"-",""),".",""),"/",""),4)),VALUE(MID(SUBSTITUTE(SUBSTITUTE(SUBSTITUTE(TRIM($G462),"-",""),".",""),"/",""),5,2)),VALUE(RIGHT(SUBSTITUTE(SUBSTITUTE(SUBSTITUTE(TRIM($G462),"-",""),".",""),"/",""),2))),DATEVALUE($G462))),""))</f>
        <v/>
      </c>
      <c r="V462" s="52" t="str">
        <f aca="false">IF($H462="","",IFERROR(IF(IF(ISNUMBER($H462),$H462,IFERROR(TIMEVALUE($H462),VALUE($H462)))&gt;=100,INT(IF(ISNUMBER($H462),$H462,IFERROR(TIMEVALUE($H462),VALUE($H462)))/100)*60+MOD(IF(ISNUMBER($H462),$H462,IFERROR(TIMEVALUE($H462),VALUE($H462))),100),IF(IF(ISNUMBER($H462),$H462,IFERROR(TIMEVALUE($H462),VALUE($H462)))&gt;=1,ROUND(IF(ISNUMBER($H462),$H462,IFERROR(TIMEVALUE($H462),VALUE($H462)))*60,0),ROUND(MOD(IF(ISNUMBER($H462),$H462,IFERROR(TIMEVALUE($H462),VALUE($H462))),1)*1440,0))),""))</f>
        <v/>
      </c>
      <c r="W462" s="52" t="str">
        <f aca="false">IF($I462="","",IFERROR(IF(IF(ISNUMBER($I462),$I462,IFERROR(TIMEVALUE($I462),VALUE($I462)))&gt;=100,INT(IF(ISNUMBER($I462),$I462,IFERROR(TIMEVALUE($I462),VALUE($I462)))/100)*60+MOD(IF(ISNUMBER($I462),$I462,IFERROR(TIMEVALUE($I462),VALUE($I462))),100),IF(IF(ISNUMBER($I462),$I462,IFERROR(TIMEVALUE($I462),VALUE($I462)))&gt;=1,ROUND(IF(ISNUMBER($I462),$I462,IFERROR(TIMEVALUE($I462),VALUE($I462)))*60,0),ROUND(MOD(IF(ISNUMBER($I462),$I462,IFERROR(TIMEVALUE($I462),VALUE($I462))),1)*1440,0))),""))</f>
        <v/>
      </c>
      <c r="X462" s="55" t="str">
        <f aca="false">IF($P462="","",IFERROR(IF(ISNUMBER($P462),IF($P462&gt;19000000,DATE(INT($P462/10000),MOD(INT($P462/100),100),MOD($P462,100)),INT($P462)),IF(LEN(SUBSTITUTE(SUBSTITUTE(SUBSTITUTE(TRIM($P462),"-",""),".",""),"/",""))=8,DATE(VALUE(LEFT(SUBSTITUTE(SUBSTITUTE(SUBSTITUTE(TRIM($P462),"-",""),".",""),"/",""),4)),VALUE(MID(SUBSTITUTE(SUBSTITUTE(SUBSTITUTE(TRIM($P462),"-",""),".",""),"/",""),5,2)),VALUE(RIGHT(SUBSTITUTE(SUBSTITUTE(SUBSTITUTE(TRIM($P462),"-",""),".",""),"/",""),2))),DATEVALUE($P462))),""))</f>
        <v/>
      </c>
      <c r="Y462" s="56" t="str">
        <f aca="false">IF($M462="","",IFERROR(INDEX(강사DB!$D$4:$D$53,MATCH($M462,강사DB!$A$4:$A$53,0)),""))</f>
        <v/>
      </c>
      <c r="Z462" s="56" t="str">
        <f aca="false">IF($B462&lt;&gt;"결제완료","",IF(OR($Y462="",$J462=""),"",$Y462*$J462+MAX(0,N($K462)-1)*설정!$J$7))</f>
        <v/>
      </c>
      <c r="AA462" s="56" t="str">
        <f aca="false">IF(AND($D462&lt;&gt;"",$B462="결제완료"),N($N462),"")</f>
        <v/>
      </c>
      <c r="AB462" s="45" t="str">
        <f aca="false">IF($D462="","",IF($F462&lt;&gt;"",$F462,$D462)&amp;IF($B462="상담중"," (상담)",""))</f>
        <v/>
      </c>
      <c r="AC462" s="45" t="n">
        <f aca="false">IF(AND($D462&lt;&gt;"",OR($B462="결제완료",$B462="상담중")),1,0)</f>
        <v>0</v>
      </c>
      <c r="AD462" s="45" t="n">
        <f aca="false">IF(OR($Z462="",$U462=""),0,IFERROR(IF(COUNTIFS(INDEX(g_grid,0,2*MATCH($M462,강사DB!$A$4:$A$15,0)),"&lt;&gt;",g_s,"&lt;="&amp;$U462,g_e,"&gt;="&amp;$U462)&gt;0,1,0),0))</f>
        <v>0</v>
      </c>
      <c r="AE462" s="48"/>
      <c r="AF462" s="56" t="str">
        <f aca="false">IF(AND($D462&lt;&gt;"",$B462="결제완료",$T462="대여"),설정!$J$5,"")</f>
        <v/>
      </c>
      <c r="AG462" s="54" t="str">
        <f aca="false">IF($D462="","",IF(AND($E462="",$R462=""),$AB462,"☎ "&amp;IF($E462="","-",$E462)&amp;IF($R462&lt;&gt;"","  ※ "&amp;$R462,"")&amp;IF($B462="상담중"," (상담)","")))</f>
        <v/>
      </c>
      <c r="AH462" s="56" t="str">
        <f aca="false">IF(AND($D462&lt;&gt;"",$B462="결제완료",$O462="스마트스토어"),ROUND(N($N462)*설정!$J$6,0),"")</f>
        <v/>
      </c>
      <c r="AI462" s="54" t="str">
        <f aca="false">IF($D462="","",ROW())</f>
        <v/>
      </c>
      <c r="AJ462" s="54" t="n">
        <f aca="false">IF(OR($AC462&lt;&gt;1,$M462=""),0,IF(ISNUMBER(SEARCH("퇴사",IFERROR(INDEX(강사DB!$G$4:$G$53,MATCH($M462,강사DB!$A$4:$A$53,0)),""))),1,0))</f>
        <v>0</v>
      </c>
    </row>
    <row r="463" customFormat="false" ht="15" hidden="false" customHeight="false" outlineLevel="0" collapsed="false">
      <c r="A463" s="45" t="str">
        <f aca="false">IF($D463="","",COUNTA($D$5:$D463))</f>
        <v/>
      </c>
      <c r="B463" s="46"/>
      <c r="C463" s="47"/>
      <c r="D463" s="48"/>
      <c r="E463" s="48"/>
      <c r="F463" s="49"/>
      <c r="G463" s="47"/>
      <c r="H463" s="50"/>
      <c r="I463" s="50"/>
      <c r="J463" s="51" t="str">
        <f aca="false">IF(OR($V463="",$W463=""),"",ROUND(($W463-$V463)/60,2))</f>
        <v/>
      </c>
      <c r="K463" s="52" t="str">
        <f aca="false">IF($F463="","",LEN($F463)-LEN(SUBSTITUTE($F463,",",""))+1)</f>
        <v/>
      </c>
      <c r="L463" s="45" t="str">
        <f aca="false">IF($K463="","","1:"&amp;$K463)</f>
        <v/>
      </c>
      <c r="M463" s="46"/>
      <c r="N463" s="53"/>
      <c r="O463" s="46"/>
      <c r="P463" s="47"/>
      <c r="Q463" s="48"/>
      <c r="R463" s="49"/>
      <c r="S463" s="54" t="str">
        <f aca="false">IF(OR($AC463=0,$U463="",$M463="",$V463="",$W463=""),"",IF(COUNTIFS(m_teacher,$M463,m_date,$U463,m_active,1,m_start,"&lt;"&amp;$W463,m_end,"&gt;"&amp;$V463)&gt;1,"충돌",""))</f>
        <v/>
      </c>
      <c r="T463" s="48"/>
      <c r="U463" s="55" t="str">
        <f aca="false">IF($G463="","",IFERROR(IF(ISNUMBER($G463),IF($G463&gt;19000000,DATE(INT($G463/10000),MOD(INT($G463/100),100),MOD($G463,100)),INT($G463)),IF(LEN(SUBSTITUTE(SUBSTITUTE(SUBSTITUTE(TRIM($G463),"-",""),".",""),"/",""))=8,DATE(VALUE(LEFT(SUBSTITUTE(SUBSTITUTE(SUBSTITUTE(TRIM($G463),"-",""),".",""),"/",""),4)),VALUE(MID(SUBSTITUTE(SUBSTITUTE(SUBSTITUTE(TRIM($G463),"-",""),".",""),"/",""),5,2)),VALUE(RIGHT(SUBSTITUTE(SUBSTITUTE(SUBSTITUTE(TRIM($G463),"-",""),".",""),"/",""),2))),DATEVALUE($G463))),""))</f>
        <v/>
      </c>
      <c r="V463" s="52" t="str">
        <f aca="false">IF($H463="","",IFERROR(IF(IF(ISNUMBER($H463),$H463,IFERROR(TIMEVALUE($H463),VALUE($H463)))&gt;=100,INT(IF(ISNUMBER($H463),$H463,IFERROR(TIMEVALUE($H463),VALUE($H463)))/100)*60+MOD(IF(ISNUMBER($H463),$H463,IFERROR(TIMEVALUE($H463),VALUE($H463))),100),IF(IF(ISNUMBER($H463),$H463,IFERROR(TIMEVALUE($H463),VALUE($H463)))&gt;=1,ROUND(IF(ISNUMBER($H463),$H463,IFERROR(TIMEVALUE($H463),VALUE($H463)))*60,0),ROUND(MOD(IF(ISNUMBER($H463),$H463,IFERROR(TIMEVALUE($H463),VALUE($H463))),1)*1440,0))),""))</f>
        <v/>
      </c>
      <c r="W463" s="52" t="str">
        <f aca="false">IF($I463="","",IFERROR(IF(IF(ISNUMBER($I463),$I463,IFERROR(TIMEVALUE($I463),VALUE($I463)))&gt;=100,INT(IF(ISNUMBER($I463),$I463,IFERROR(TIMEVALUE($I463),VALUE($I463)))/100)*60+MOD(IF(ISNUMBER($I463),$I463,IFERROR(TIMEVALUE($I463),VALUE($I463))),100),IF(IF(ISNUMBER($I463),$I463,IFERROR(TIMEVALUE($I463),VALUE($I463)))&gt;=1,ROUND(IF(ISNUMBER($I463),$I463,IFERROR(TIMEVALUE($I463),VALUE($I463)))*60,0),ROUND(MOD(IF(ISNUMBER($I463),$I463,IFERROR(TIMEVALUE($I463),VALUE($I463))),1)*1440,0))),""))</f>
        <v/>
      </c>
      <c r="X463" s="55" t="str">
        <f aca="false">IF($P463="","",IFERROR(IF(ISNUMBER($P463),IF($P463&gt;19000000,DATE(INT($P463/10000),MOD(INT($P463/100),100),MOD($P463,100)),INT($P463)),IF(LEN(SUBSTITUTE(SUBSTITUTE(SUBSTITUTE(TRIM($P463),"-",""),".",""),"/",""))=8,DATE(VALUE(LEFT(SUBSTITUTE(SUBSTITUTE(SUBSTITUTE(TRIM($P463),"-",""),".",""),"/",""),4)),VALUE(MID(SUBSTITUTE(SUBSTITUTE(SUBSTITUTE(TRIM($P463),"-",""),".",""),"/",""),5,2)),VALUE(RIGHT(SUBSTITUTE(SUBSTITUTE(SUBSTITUTE(TRIM($P463),"-",""),".",""),"/",""),2))),DATEVALUE($P463))),""))</f>
        <v/>
      </c>
      <c r="Y463" s="56" t="str">
        <f aca="false">IF($M463="","",IFERROR(INDEX(강사DB!$D$4:$D$53,MATCH($M463,강사DB!$A$4:$A$53,0)),""))</f>
        <v/>
      </c>
      <c r="Z463" s="56" t="str">
        <f aca="false">IF($B463&lt;&gt;"결제완료","",IF(OR($Y463="",$J463=""),"",$Y463*$J463+MAX(0,N($K463)-1)*설정!$J$7))</f>
        <v/>
      </c>
      <c r="AA463" s="56" t="str">
        <f aca="false">IF(AND($D463&lt;&gt;"",$B463="결제완료"),N($N463),"")</f>
        <v/>
      </c>
      <c r="AB463" s="45" t="str">
        <f aca="false">IF($D463="","",IF($F463&lt;&gt;"",$F463,$D463)&amp;IF($B463="상담중"," (상담)",""))</f>
        <v/>
      </c>
      <c r="AC463" s="45" t="n">
        <f aca="false">IF(AND($D463&lt;&gt;"",OR($B463="결제완료",$B463="상담중")),1,0)</f>
        <v>0</v>
      </c>
      <c r="AD463" s="45" t="n">
        <f aca="false">IF(OR($Z463="",$U463=""),0,IFERROR(IF(COUNTIFS(INDEX(g_grid,0,2*MATCH($M463,강사DB!$A$4:$A$15,0)),"&lt;&gt;",g_s,"&lt;="&amp;$U463,g_e,"&gt;="&amp;$U463)&gt;0,1,0),0))</f>
        <v>0</v>
      </c>
      <c r="AE463" s="48"/>
      <c r="AF463" s="56" t="str">
        <f aca="false">IF(AND($D463&lt;&gt;"",$B463="결제완료",$T463="대여"),설정!$J$5,"")</f>
        <v/>
      </c>
      <c r="AG463" s="54" t="str">
        <f aca="false">IF($D463="","",IF(AND($E463="",$R463=""),$AB463,"☎ "&amp;IF($E463="","-",$E463)&amp;IF($R463&lt;&gt;"","  ※ "&amp;$R463,"")&amp;IF($B463="상담중"," (상담)","")))</f>
        <v/>
      </c>
      <c r="AH463" s="56" t="str">
        <f aca="false">IF(AND($D463&lt;&gt;"",$B463="결제완료",$O463="스마트스토어"),ROUND(N($N463)*설정!$J$6,0),"")</f>
        <v/>
      </c>
      <c r="AI463" s="54" t="str">
        <f aca="false">IF($D463="","",ROW())</f>
        <v/>
      </c>
      <c r="AJ463" s="54" t="n">
        <f aca="false">IF(OR($AC463&lt;&gt;1,$M463=""),0,IF(ISNUMBER(SEARCH("퇴사",IFERROR(INDEX(강사DB!$G$4:$G$53,MATCH($M463,강사DB!$A$4:$A$53,0)),""))),1,0))</f>
        <v>0</v>
      </c>
    </row>
    <row r="464" customFormat="false" ht="15" hidden="false" customHeight="false" outlineLevel="0" collapsed="false">
      <c r="A464" s="45" t="str">
        <f aca="false">IF($D464="","",COUNTA($D$5:$D464))</f>
        <v/>
      </c>
      <c r="B464" s="46"/>
      <c r="C464" s="47"/>
      <c r="D464" s="48"/>
      <c r="E464" s="48"/>
      <c r="F464" s="49"/>
      <c r="G464" s="47"/>
      <c r="H464" s="50"/>
      <c r="I464" s="50"/>
      <c r="J464" s="51" t="str">
        <f aca="false">IF(OR($V464="",$W464=""),"",ROUND(($W464-$V464)/60,2))</f>
        <v/>
      </c>
      <c r="K464" s="52" t="str">
        <f aca="false">IF($F464="","",LEN($F464)-LEN(SUBSTITUTE($F464,",",""))+1)</f>
        <v/>
      </c>
      <c r="L464" s="45" t="str">
        <f aca="false">IF($K464="","","1:"&amp;$K464)</f>
        <v/>
      </c>
      <c r="M464" s="46"/>
      <c r="N464" s="53"/>
      <c r="O464" s="46"/>
      <c r="P464" s="47"/>
      <c r="Q464" s="48"/>
      <c r="R464" s="49"/>
      <c r="S464" s="54" t="str">
        <f aca="false">IF(OR($AC464=0,$U464="",$M464="",$V464="",$W464=""),"",IF(COUNTIFS(m_teacher,$M464,m_date,$U464,m_active,1,m_start,"&lt;"&amp;$W464,m_end,"&gt;"&amp;$V464)&gt;1,"충돌",""))</f>
        <v/>
      </c>
      <c r="T464" s="48"/>
      <c r="U464" s="55" t="str">
        <f aca="false">IF($G464="","",IFERROR(IF(ISNUMBER($G464),IF($G464&gt;19000000,DATE(INT($G464/10000),MOD(INT($G464/100),100),MOD($G464,100)),INT($G464)),IF(LEN(SUBSTITUTE(SUBSTITUTE(SUBSTITUTE(TRIM($G464),"-",""),".",""),"/",""))=8,DATE(VALUE(LEFT(SUBSTITUTE(SUBSTITUTE(SUBSTITUTE(TRIM($G464),"-",""),".",""),"/",""),4)),VALUE(MID(SUBSTITUTE(SUBSTITUTE(SUBSTITUTE(TRIM($G464),"-",""),".",""),"/",""),5,2)),VALUE(RIGHT(SUBSTITUTE(SUBSTITUTE(SUBSTITUTE(TRIM($G464),"-",""),".",""),"/",""),2))),DATEVALUE($G464))),""))</f>
        <v/>
      </c>
      <c r="V464" s="52" t="str">
        <f aca="false">IF($H464="","",IFERROR(IF(IF(ISNUMBER($H464),$H464,IFERROR(TIMEVALUE($H464),VALUE($H464)))&gt;=100,INT(IF(ISNUMBER($H464),$H464,IFERROR(TIMEVALUE($H464),VALUE($H464)))/100)*60+MOD(IF(ISNUMBER($H464),$H464,IFERROR(TIMEVALUE($H464),VALUE($H464))),100),IF(IF(ISNUMBER($H464),$H464,IFERROR(TIMEVALUE($H464),VALUE($H464)))&gt;=1,ROUND(IF(ISNUMBER($H464),$H464,IFERROR(TIMEVALUE($H464),VALUE($H464)))*60,0),ROUND(MOD(IF(ISNUMBER($H464),$H464,IFERROR(TIMEVALUE($H464),VALUE($H464))),1)*1440,0))),""))</f>
        <v/>
      </c>
      <c r="W464" s="52" t="str">
        <f aca="false">IF($I464="","",IFERROR(IF(IF(ISNUMBER($I464),$I464,IFERROR(TIMEVALUE($I464),VALUE($I464)))&gt;=100,INT(IF(ISNUMBER($I464),$I464,IFERROR(TIMEVALUE($I464),VALUE($I464)))/100)*60+MOD(IF(ISNUMBER($I464),$I464,IFERROR(TIMEVALUE($I464),VALUE($I464))),100),IF(IF(ISNUMBER($I464),$I464,IFERROR(TIMEVALUE($I464),VALUE($I464)))&gt;=1,ROUND(IF(ISNUMBER($I464),$I464,IFERROR(TIMEVALUE($I464),VALUE($I464)))*60,0),ROUND(MOD(IF(ISNUMBER($I464),$I464,IFERROR(TIMEVALUE($I464),VALUE($I464))),1)*1440,0))),""))</f>
        <v/>
      </c>
      <c r="X464" s="55" t="str">
        <f aca="false">IF($P464="","",IFERROR(IF(ISNUMBER($P464),IF($P464&gt;19000000,DATE(INT($P464/10000),MOD(INT($P464/100),100),MOD($P464,100)),INT($P464)),IF(LEN(SUBSTITUTE(SUBSTITUTE(SUBSTITUTE(TRIM($P464),"-",""),".",""),"/",""))=8,DATE(VALUE(LEFT(SUBSTITUTE(SUBSTITUTE(SUBSTITUTE(TRIM($P464),"-",""),".",""),"/",""),4)),VALUE(MID(SUBSTITUTE(SUBSTITUTE(SUBSTITUTE(TRIM($P464),"-",""),".",""),"/",""),5,2)),VALUE(RIGHT(SUBSTITUTE(SUBSTITUTE(SUBSTITUTE(TRIM($P464),"-",""),".",""),"/",""),2))),DATEVALUE($P464))),""))</f>
        <v/>
      </c>
      <c r="Y464" s="56" t="str">
        <f aca="false">IF($M464="","",IFERROR(INDEX(강사DB!$D$4:$D$53,MATCH($M464,강사DB!$A$4:$A$53,0)),""))</f>
        <v/>
      </c>
      <c r="Z464" s="56" t="str">
        <f aca="false">IF($B464&lt;&gt;"결제완료","",IF(OR($Y464="",$J464=""),"",$Y464*$J464+MAX(0,N($K464)-1)*설정!$J$7))</f>
        <v/>
      </c>
      <c r="AA464" s="56" t="str">
        <f aca="false">IF(AND($D464&lt;&gt;"",$B464="결제완료"),N($N464),"")</f>
        <v/>
      </c>
      <c r="AB464" s="45" t="str">
        <f aca="false">IF($D464="","",IF($F464&lt;&gt;"",$F464,$D464)&amp;IF($B464="상담중"," (상담)",""))</f>
        <v/>
      </c>
      <c r="AC464" s="45" t="n">
        <f aca="false">IF(AND($D464&lt;&gt;"",OR($B464="결제완료",$B464="상담중")),1,0)</f>
        <v>0</v>
      </c>
      <c r="AD464" s="45" t="n">
        <f aca="false">IF(OR($Z464="",$U464=""),0,IFERROR(IF(COUNTIFS(INDEX(g_grid,0,2*MATCH($M464,강사DB!$A$4:$A$15,0)),"&lt;&gt;",g_s,"&lt;="&amp;$U464,g_e,"&gt;="&amp;$U464)&gt;0,1,0),0))</f>
        <v>0</v>
      </c>
      <c r="AE464" s="48"/>
      <c r="AF464" s="56" t="str">
        <f aca="false">IF(AND($D464&lt;&gt;"",$B464="결제완료",$T464="대여"),설정!$J$5,"")</f>
        <v/>
      </c>
      <c r="AG464" s="54" t="str">
        <f aca="false">IF($D464="","",IF(AND($E464="",$R464=""),$AB464,"☎ "&amp;IF($E464="","-",$E464)&amp;IF($R464&lt;&gt;"","  ※ "&amp;$R464,"")&amp;IF($B464="상담중"," (상담)","")))</f>
        <v/>
      </c>
      <c r="AH464" s="56" t="str">
        <f aca="false">IF(AND($D464&lt;&gt;"",$B464="결제완료",$O464="스마트스토어"),ROUND(N($N464)*설정!$J$6,0),"")</f>
        <v/>
      </c>
      <c r="AI464" s="54" t="str">
        <f aca="false">IF($D464="","",ROW())</f>
        <v/>
      </c>
      <c r="AJ464" s="54" t="n">
        <f aca="false">IF(OR($AC464&lt;&gt;1,$M464=""),0,IF(ISNUMBER(SEARCH("퇴사",IFERROR(INDEX(강사DB!$G$4:$G$53,MATCH($M464,강사DB!$A$4:$A$53,0)),""))),1,0))</f>
        <v>0</v>
      </c>
    </row>
    <row r="465" customFormat="false" ht="15" hidden="false" customHeight="false" outlineLevel="0" collapsed="false">
      <c r="A465" s="45" t="str">
        <f aca="false">IF($D465="","",COUNTA($D$5:$D465))</f>
        <v/>
      </c>
      <c r="B465" s="46"/>
      <c r="C465" s="47"/>
      <c r="D465" s="48"/>
      <c r="E465" s="48"/>
      <c r="F465" s="49"/>
      <c r="G465" s="47"/>
      <c r="H465" s="50"/>
      <c r="I465" s="50"/>
      <c r="J465" s="51" t="str">
        <f aca="false">IF(OR($V465="",$W465=""),"",ROUND(($W465-$V465)/60,2))</f>
        <v/>
      </c>
      <c r="K465" s="52" t="str">
        <f aca="false">IF($F465="","",LEN($F465)-LEN(SUBSTITUTE($F465,",",""))+1)</f>
        <v/>
      </c>
      <c r="L465" s="45" t="str">
        <f aca="false">IF($K465="","","1:"&amp;$K465)</f>
        <v/>
      </c>
      <c r="M465" s="46"/>
      <c r="N465" s="53"/>
      <c r="O465" s="46"/>
      <c r="P465" s="47"/>
      <c r="Q465" s="48"/>
      <c r="R465" s="49"/>
      <c r="S465" s="54" t="str">
        <f aca="false">IF(OR($AC465=0,$U465="",$M465="",$V465="",$W465=""),"",IF(COUNTIFS(m_teacher,$M465,m_date,$U465,m_active,1,m_start,"&lt;"&amp;$W465,m_end,"&gt;"&amp;$V465)&gt;1,"충돌",""))</f>
        <v/>
      </c>
      <c r="T465" s="48"/>
      <c r="U465" s="55" t="str">
        <f aca="false">IF($G465="","",IFERROR(IF(ISNUMBER($G465),IF($G465&gt;19000000,DATE(INT($G465/10000),MOD(INT($G465/100),100),MOD($G465,100)),INT($G465)),IF(LEN(SUBSTITUTE(SUBSTITUTE(SUBSTITUTE(TRIM($G465),"-",""),".",""),"/",""))=8,DATE(VALUE(LEFT(SUBSTITUTE(SUBSTITUTE(SUBSTITUTE(TRIM($G465),"-",""),".",""),"/",""),4)),VALUE(MID(SUBSTITUTE(SUBSTITUTE(SUBSTITUTE(TRIM($G465),"-",""),".",""),"/",""),5,2)),VALUE(RIGHT(SUBSTITUTE(SUBSTITUTE(SUBSTITUTE(TRIM($G465),"-",""),".",""),"/",""),2))),DATEVALUE($G465))),""))</f>
        <v/>
      </c>
      <c r="V465" s="52" t="str">
        <f aca="false">IF($H465="","",IFERROR(IF(IF(ISNUMBER($H465),$H465,IFERROR(TIMEVALUE($H465),VALUE($H465)))&gt;=100,INT(IF(ISNUMBER($H465),$H465,IFERROR(TIMEVALUE($H465),VALUE($H465)))/100)*60+MOD(IF(ISNUMBER($H465),$H465,IFERROR(TIMEVALUE($H465),VALUE($H465))),100),IF(IF(ISNUMBER($H465),$H465,IFERROR(TIMEVALUE($H465),VALUE($H465)))&gt;=1,ROUND(IF(ISNUMBER($H465),$H465,IFERROR(TIMEVALUE($H465),VALUE($H465)))*60,0),ROUND(MOD(IF(ISNUMBER($H465),$H465,IFERROR(TIMEVALUE($H465),VALUE($H465))),1)*1440,0))),""))</f>
        <v/>
      </c>
      <c r="W465" s="52" t="str">
        <f aca="false">IF($I465="","",IFERROR(IF(IF(ISNUMBER($I465),$I465,IFERROR(TIMEVALUE($I465),VALUE($I465)))&gt;=100,INT(IF(ISNUMBER($I465),$I465,IFERROR(TIMEVALUE($I465),VALUE($I465)))/100)*60+MOD(IF(ISNUMBER($I465),$I465,IFERROR(TIMEVALUE($I465),VALUE($I465))),100),IF(IF(ISNUMBER($I465),$I465,IFERROR(TIMEVALUE($I465),VALUE($I465)))&gt;=1,ROUND(IF(ISNUMBER($I465),$I465,IFERROR(TIMEVALUE($I465),VALUE($I465)))*60,0),ROUND(MOD(IF(ISNUMBER($I465),$I465,IFERROR(TIMEVALUE($I465),VALUE($I465))),1)*1440,0))),""))</f>
        <v/>
      </c>
      <c r="X465" s="55" t="str">
        <f aca="false">IF($P465="","",IFERROR(IF(ISNUMBER($P465),IF($P465&gt;19000000,DATE(INT($P465/10000),MOD(INT($P465/100),100),MOD($P465,100)),INT($P465)),IF(LEN(SUBSTITUTE(SUBSTITUTE(SUBSTITUTE(TRIM($P465),"-",""),".",""),"/",""))=8,DATE(VALUE(LEFT(SUBSTITUTE(SUBSTITUTE(SUBSTITUTE(TRIM($P465),"-",""),".",""),"/",""),4)),VALUE(MID(SUBSTITUTE(SUBSTITUTE(SUBSTITUTE(TRIM($P465),"-",""),".",""),"/",""),5,2)),VALUE(RIGHT(SUBSTITUTE(SUBSTITUTE(SUBSTITUTE(TRIM($P465),"-",""),".",""),"/",""),2))),DATEVALUE($P465))),""))</f>
        <v/>
      </c>
      <c r="Y465" s="56" t="str">
        <f aca="false">IF($M465="","",IFERROR(INDEX(강사DB!$D$4:$D$53,MATCH($M465,강사DB!$A$4:$A$53,0)),""))</f>
        <v/>
      </c>
      <c r="Z465" s="56" t="str">
        <f aca="false">IF($B465&lt;&gt;"결제완료","",IF(OR($Y465="",$J465=""),"",$Y465*$J465+MAX(0,N($K465)-1)*설정!$J$7))</f>
        <v/>
      </c>
      <c r="AA465" s="56" t="str">
        <f aca="false">IF(AND($D465&lt;&gt;"",$B465="결제완료"),N($N465),"")</f>
        <v/>
      </c>
      <c r="AB465" s="45" t="str">
        <f aca="false">IF($D465="","",IF($F465&lt;&gt;"",$F465,$D465)&amp;IF($B465="상담중"," (상담)",""))</f>
        <v/>
      </c>
      <c r="AC465" s="45" t="n">
        <f aca="false">IF(AND($D465&lt;&gt;"",OR($B465="결제완료",$B465="상담중")),1,0)</f>
        <v>0</v>
      </c>
      <c r="AD465" s="45" t="n">
        <f aca="false">IF(OR($Z465="",$U465=""),0,IFERROR(IF(COUNTIFS(INDEX(g_grid,0,2*MATCH($M465,강사DB!$A$4:$A$15,0)),"&lt;&gt;",g_s,"&lt;="&amp;$U465,g_e,"&gt;="&amp;$U465)&gt;0,1,0),0))</f>
        <v>0</v>
      </c>
      <c r="AE465" s="48"/>
      <c r="AF465" s="56" t="str">
        <f aca="false">IF(AND($D465&lt;&gt;"",$B465="결제완료",$T465="대여"),설정!$J$5,"")</f>
        <v/>
      </c>
      <c r="AG465" s="54" t="str">
        <f aca="false">IF($D465="","",IF(AND($E465="",$R465=""),$AB465,"☎ "&amp;IF($E465="","-",$E465)&amp;IF($R465&lt;&gt;"","  ※ "&amp;$R465,"")&amp;IF($B465="상담중"," (상담)","")))</f>
        <v/>
      </c>
      <c r="AH465" s="56" t="str">
        <f aca="false">IF(AND($D465&lt;&gt;"",$B465="결제완료",$O465="스마트스토어"),ROUND(N($N465)*설정!$J$6,0),"")</f>
        <v/>
      </c>
      <c r="AI465" s="54" t="str">
        <f aca="false">IF($D465="","",ROW())</f>
        <v/>
      </c>
      <c r="AJ465" s="54" t="n">
        <f aca="false">IF(OR($AC465&lt;&gt;1,$M465=""),0,IF(ISNUMBER(SEARCH("퇴사",IFERROR(INDEX(강사DB!$G$4:$G$53,MATCH($M465,강사DB!$A$4:$A$53,0)),""))),1,0))</f>
        <v>0</v>
      </c>
    </row>
    <row r="466" customFormat="false" ht="15" hidden="false" customHeight="false" outlineLevel="0" collapsed="false">
      <c r="A466" s="45" t="str">
        <f aca="false">IF($D466="","",COUNTA($D$5:$D466))</f>
        <v/>
      </c>
      <c r="B466" s="46"/>
      <c r="C466" s="47"/>
      <c r="D466" s="48"/>
      <c r="E466" s="48"/>
      <c r="F466" s="49"/>
      <c r="G466" s="47"/>
      <c r="H466" s="50"/>
      <c r="I466" s="50"/>
      <c r="J466" s="51" t="str">
        <f aca="false">IF(OR($V466="",$W466=""),"",ROUND(($W466-$V466)/60,2))</f>
        <v/>
      </c>
      <c r="K466" s="52" t="str">
        <f aca="false">IF($F466="","",LEN($F466)-LEN(SUBSTITUTE($F466,",",""))+1)</f>
        <v/>
      </c>
      <c r="L466" s="45" t="str">
        <f aca="false">IF($K466="","","1:"&amp;$K466)</f>
        <v/>
      </c>
      <c r="M466" s="46"/>
      <c r="N466" s="53"/>
      <c r="O466" s="46"/>
      <c r="P466" s="47"/>
      <c r="Q466" s="48"/>
      <c r="R466" s="49"/>
      <c r="S466" s="54" t="str">
        <f aca="false">IF(OR($AC466=0,$U466="",$M466="",$V466="",$W466=""),"",IF(COUNTIFS(m_teacher,$M466,m_date,$U466,m_active,1,m_start,"&lt;"&amp;$W466,m_end,"&gt;"&amp;$V466)&gt;1,"충돌",""))</f>
        <v/>
      </c>
      <c r="T466" s="48"/>
      <c r="U466" s="55" t="str">
        <f aca="false">IF($G466="","",IFERROR(IF(ISNUMBER($G466),IF($G466&gt;19000000,DATE(INT($G466/10000),MOD(INT($G466/100),100),MOD($G466,100)),INT($G466)),IF(LEN(SUBSTITUTE(SUBSTITUTE(SUBSTITUTE(TRIM($G466),"-",""),".",""),"/",""))=8,DATE(VALUE(LEFT(SUBSTITUTE(SUBSTITUTE(SUBSTITUTE(TRIM($G466),"-",""),".",""),"/",""),4)),VALUE(MID(SUBSTITUTE(SUBSTITUTE(SUBSTITUTE(TRIM($G466),"-",""),".",""),"/",""),5,2)),VALUE(RIGHT(SUBSTITUTE(SUBSTITUTE(SUBSTITUTE(TRIM($G466),"-",""),".",""),"/",""),2))),DATEVALUE($G466))),""))</f>
        <v/>
      </c>
      <c r="V466" s="52" t="str">
        <f aca="false">IF($H466="","",IFERROR(IF(IF(ISNUMBER($H466),$H466,IFERROR(TIMEVALUE($H466),VALUE($H466)))&gt;=100,INT(IF(ISNUMBER($H466),$H466,IFERROR(TIMEVALUE($H466),VALUE($H466)))/100)*60+MOD(IF(ISNUMBER($H466),$H466,IFERROR(TIMEVALUE($H466),VALUE($H466))),100),IF(IF(ISNUMBER($H466),$H466,IFERROR(TIMEVALUE($H466),VALUE($H466)))&gt;=1,ROUND(IF(ISNUMBER($H466),$H466,IFERROR(TIMEVALUE($H466),VALUE($H466)))*60,0),ROUND(MOD(IF(ISNUMBER($H466),$H466,IFERROR(TIMEVALUE($H466),VALUE($H466))),1)*1440,0))),""))</f>
        <v/>
      </c>
      <c r="W466" s="52" t="str">
        <f aca="false">IF($I466="","",IFERROR(IF(IF(ISNUMBER($I466),$I466,IFERROR(TIMEVALUE($I466),VALUE($I466)))&gt;=100,INT(IF(ISNUMBER($I466),$I466,IFERROR(TIMEVALUE($I466),VALUE($I466)))/100)*60+MOD(IF(ISNUMBER($I466),$I466,IFERROR(TIMEVALUE($I466),VALUE($I466))),100),IF(IF(ISNUMBER($I466),$I466,IFERROR(TIMEVALUE($I466),VALUE($I466)))&gt;=1,ROUND(IF(ISNUMBER($I466),$I466,IFERROR(TIMEVALUE($I466),VALUE($I466)))*60,0),ROUND(MOD(IF(ISNUMBER($I466),$I466,IFERROR(TIMEVALUE($I466),VALUE($I466))),1)*1440,0))),""))</f>
        <v/>
      </c>
      <c r="X466" s="55" t="str">
        <f aca="false">IF($P466="","",IFERROR(IF(ISNUMBER($P466),IF($P466&gt;19000000,DATE(INT($P466/10000),MOD(INT($P466/100),100),MOD($P466,100)),INT($P466)),IF(LEN(SUBSTITUTE(SUBSTITUTE(SUBSTITUTE(TRIM($P466),"-",""),".",""),"/",""))=8,DATE(VALUE(LEFT(SUBSTITUTE(SUBSTITUTE(SUBSTITUTE(TRIM($P466),"-",""),".",""),"/",""),4)),VALUE(MID(SUBSTITUTE(SUBSTITUTE(SUBSTITUTE(TRIM($P466),"-",""),".",""),"/",""),5,2)),VALUE(RIGHT(SUBSTITUTE(SUBSTITUTE(SUBSTITUTE(TRIM($P466),"-",""),".",""),"/",""),2))),DATEVALUE($P466))),""))</f>
        <v/>
      </c>
      <c r="Y466" s="56" t="str">
        <f aca="false">IF($M466="","",IFERROR(INDEX(강사DB!$D$4:$D$53,MATCH($M466,강사DB!$A$4:$A$53,0)),""))</f>
        <v/>
      </c>
      <c r="Z466" s="56" t="str">
        <f aca="false">IF($B466&lt;&gt;"결제완료","",IF(OR($Y466="",$J466=""),"",$Y466*$J466+MAX(0,N($K466)-1)*설정!$J$7))</f>
        <v/>
      </c>
      <c r="AA466" s="56" t="str">
        <f aca="false">IF(AND($D466&lt;&gt;"",$B466="결제완료"),N($N466),"")</f>
        <v/>
      </c>
      <c r="AB466" s="45" t="str">
        <f aca="false">IF($D466="","",IF($F466&lt;&gt;"",$F466,$D466)&amp;IF($B466="상담중"," (상담)",""))</f>
        <v/>
      </c>
      <c r="AC466" s="45" t="n">
        <f aca="false">IF(AND($D466&lt;&gt;"",OR($B466="결제완료",$B466="상담중")),1,0)</f>
        <v>0</v>
      </c>
      <c r="AD466" s="45" t="n">
        <f aca="false">IF(OR($Z466="",$U466=""),0,IFERROR(IF(COUNTIFS(INDEX(g_grid,0,2*MATCH($M466,강사DB!$A$4:$A$15,0)),"&lt;&gt;",g_s,"&lt;="&amp;$U466,g_e,"&gt;="&amp;$U466)&gt;0,1,0),0))</f>
        <v>0</v>
      </c>
      <c r="AE466" s="48"/>
      <c r="AF466" s="56" t="str">
        <f aca="false">IF(AND($D466&lt;&gt;"",$B466="결제완료",$T466="대여"),설정!$J$5,"")</f>
        <v/>
      </c>
      <c r="AG466" s="54" t="str">
        <f aca="false">IF($D466="","",IF(AND($E466="",$R466=""),$AB466,"☎ "&amp;IF($E466="","-",$E466)&amp;IF($R466&lt;&gt;"","  ※ "&amp;$R466,"")&amp;IF($B466="상담중"," (상담)","")))</f>
        <v/>
      </c>
      <c r="AH466" s="56" t="str">
        <f aca="false">IF(AND($D466&lt;&gt;"",$B466="결제완료",$O466="스마트스토어"),ROUND(N($N466)*설정!$J$6,0),"")</f>
        <v/>
      </c>
      <c r="AI466" s="54" t="str">
        <f aca="false">IF($D466="","",ROW())</f>
        <v/>
      </c>
      <c r="AJ466" s="54" t="n">
        <f aca="false">IF(OR($AC466&lt;&gt;1,$M466=""),0,IF(ISNUMBER(SEARCH("퇴사",IFERROR(INDEX(강사DB!$G$4:$G$53,MATCH($M466,강사DB!$A$4:$A$53,0)),""))),1,0))</f>
        <v>0</v>
      </c>
    </row>
    <row r="467" customFormat="false" ht="15" hidden="false" customHeight="false" outlineLevel="0" collapsed="false">
      <c r="A467" s="45" t="str">
        <f aca="false">IF($D467="","",COUNTA($D$5:$D467))</f>
        <v/>
      </c>
      <c r="B467" s="46"/>
      <c r="C467" s="47"/>
      <c r="D467" s="48"/>
      <c r="E467" s="48"/>
      <c r="F467" s="49"/>
      <c r="G467" s="47"/>
      <c r="H467" s="50"/>
      <c r="I467" s="50"/>
      <c r="J467" s="51" t="str">
        <f aca="false">IF(OR($V467="",$W467=""),"",ROUND(($W467-$V467)/60,2))</f>
        <v/>
      </c>
      <c r="K467" s="52" t="str">
        <f aca="false">IF($F467="","",LEN($F467)-LEN(SUBSTITUTE($F467,",",""))+1)</f>
        <v/>
      </c>
      <c r="L467" s="45" t="str">
        <f aca="false">IF($K467="","","1:"&amp;$K467)</f>
        <v/>
      </c>
      <c r="M467" s="46"/>
      <c r="N467" s="53"/>
      <c r="O467" s="46"/>
      <c r="P467" s="47"/>
      <c r="Q467" s="48"/>
      <c r="R467" s="49"/>
      <c r="S467" s="54" t="str">
        <f aca="false">IF(OR($AC467=0,$U467="",$M467="",$V467="",$W467=""),"",IF(COUNTIFS(m_teacher,$M467,m_date,$U467,m_active,1,m_start,"&lt;"&amp;$W467,m_end,"&gt;"&amp;$V467)&gt;1,"충돌",""))</f>
        <v/>
      </c>
      <c r="T467" s="48"/>
      <c r="U467" s="55" t="str">
        <f aca="false">IF($G467="","",IFERROR(IF(ISNUMBER($G467),IF($G467&gt;19000000,DATE(INT($G467/10000),MOD(INT($G467/100),100),MOD($G467,100)),INT($G467)),IF(LEN(SUBSTITUTE(SUBSTITUTE(SUBSTITUTE(TRIM($G467),"-",""),".",""),"/",""))=8,DATE(VALUE(LEFT(SUBSTITUTE(SUBSTITUTE(SUBSTITUTE(TRIM($G467),"-",""),".",""),"/",""),4)),VALUE(MID(SUBSTITUTE(SUBSTITUTE(SUBSTITUTE(TRIM($G467),"-",""),".",""),"/",""),5,2)),VALUE(RIGHT(SUBSTITUTE(SUBSTITUTE(SUBSTITUTE(TRIM($G467),"-",""),".",""),"/",""),2))),DATEVALUE($G467))),""))</f>
        <v/>
      </c>
      <c r="V467" s="52" t="str">
        <f aca="false">IF($H467="","",IFERROR(IF(IF(ISNUMBER($H467),$H467,IFERROR(TIMEVALUE($H467),VALUE($H467)))&gt;=100,INT(IF(ISNUMBER($H467),$H467,IFERROR(TIMEVALUE($H467),VALUE($H467)))/100)*60+MOD(IF(ISNUMBER($H467),$H467,IFERROR(TIMEVALUE($H467),VALUE($H467))),100),IF(IF(ISNUMBER($H467),$H467,IFERROR(TIMEVALUE($H467),VALUE($H467)))&gt;=1,ROUND(IF(ISNUMBER($H467),$H467,IFERROR(TIMEVALUE($H467),VALUE($H467)))*60,0),ROUND(MOD(IF(ISNUMBER($H467),$H467,IFERROR(TIMEVALUE($H467),VALUE($H467))),1)*1440,0))),""))</f>
        <v/>
      </c>
      <c r="W467" s="52" t="str">
        <f aca="false">IF($I467="","",IFERROR(IF(IF(ISNUMBER($I467),$I467,IFERROR(TIMEVALUE($I467),VALUE($I467)))&gt;=100,INT(IF(ISNUMBER($I467),$I467,IFERROR(TIMEVALUE($I467),VALUE($I467)))/100)*60+MOD(IF(ISNUMBER($I467),$I467,IFERROR(TIMEVALUE($I467),VALUE($I467))),100),IF(IF(ISNUMBER($I467),$I467,IFERROR(TIMEVALUE($I467),VALUE($I467)))&gt;=1,ROUND(IF(ISNUMBER($I467),$I467,IFERROR(TIMEVALUE($I467),VALUE($I467)))*60,0),ROUND(MOD(IF(ISNUMBER($I467),$I467,IFERROR(TIMEVALUE($I467),VALUE($I467))),1)*1440,0))),""))</f>
        <v/>
      </c>
      <c r="X467" s="55" t="str">
        <f aca="false">IF($P467="","",IFERROR(IF(ISNUMBER($P467),IF($P467&gt;19000000,DATE(INT($P467/10000),MOD(INT($P467/100),100),MOD($P467,100)),INT($P467)),IF(LEN(SUBSTITUTE(SUBSTITUTE(SUBSTITUTE(TRIM($P467),"-",""),".",""),"/",""))=8,DATE(VALUE(LEFT(SUBSTITUTE(SUBSTITUTE(SUBSTITUTE(TRIM($P467),"-",""),".",""),"/",""),4)),VALUE(MID(SUBSTITUTE(SUBSTITUTE(SUBSTITUTE(TRIM($P467),"-",""),".",""),"/",""),5,2)),VALUE(RIGHT(SUBSTITUTE(SUBSTITUTE(SUBSTITUTE(TRIM($P467),"-",""),".",""),"/",""),2))),DATEVALUE($P467))),""))</f>
        <v/>
      </c>
      <c r="Y467" s="56" t="str">
        <f aca="false">IF($M467="","",IFERROR(INDEX(강사DB!$D$4:$D$53,MATCH($M467,강사DB!$A$4:$A$53,0)),""))</f>
        <v/>
      </c>
      <c r="Z467" s="56" t="str">
        <f aca="false">IF($B467&lt;&gt;"결제완료","",IF(OR($Y467="",$J467=""),"",$Y467*$J467+MAX(0,N($K467)-1)*설정!$J$7))</f>
        <v/>
      </c>
      <c r="AA467" s="56" t="str">
        <f aca="false">IF(AND($D467&lt;&gt;"",$B467="결제완료"),N($N467),"")</f>
        <v/>
      </c>
      <c r="AB467" s="45" t="str">
        <f aca="false">IF($D467="","",IF($F467&lt;&gt;"",$F467,$D467)&amp;IF($B467="상담중"," (상담)",""))</f>
        <v/>
      </c>
      <c r="AC467" s="45" t="n">
        <f aca="false">IF(AND($D467&lt;&gt;"",OR($B467="결제완료",$B467="상담중")),1,0)</f>
        <v>0</v>
      </c>
      <c r="AD467" s="45" t="n">
        <f aca="false">IF(OR($Z467="",$U467=""),0,IFERROR(IF(COUNTIFS(INDEX(g_grid,0,2*MATCH($M467,강사DB!$A$4:$A$15,0)),"&lt;&gt;",g_s,"&lt;="&amp;$U467,g_e,"&gt;="&amp;$U467)&gt;0,1,0),0))</f>
        <v>0</v>
      </c>
      <c r="AE467" s="48"/>
      <c r="AF467" s="56" t="str">
        <f aca="false">IF(AND($D467&lt;&gt;"",$B467="결제완료",$T467="대여"),설정!$J$5,"")</f>
        <v/>
      </c>
      <c r="AG467" s="54" t="str">
        <f aca="false">IF($D467="","",IF(AND($E467="",$R467=""),$AB467,"☎ "&amp;IF($E467="","-",$E467)&amp;IF($R467&lt;&gt;"","  ※ "&amp;$R467,"")&amp;IF($B467="상담중"," (상담)","")))</f>
        <v/>
      </c>
      <c r="AH467" s="56" t="str">
        <f aca="false">IF(AND($D467&lt;&gt;"",$B467="결제완료",$O467="스마트스토어"),ROUND(N($N467)*설정!$J$6,0),"")</f>
        <v/>
      </c>
      <c r="AI467" s="54" t="str">
        <f aca="false">IF($D467="","",ROW())</f>
        <v/>
      </c>
      <c r="AJ467" s="54" t="n">
        <f aca="false">IF(OR($AC467&lt;&gt;1,$M467=""),0,IF(ISNUMBER(SEARCH("퇴사",IFERROR(INDEX(강사DB!$G$4:$G$53,MATCH($M467,강사DB!$A$4:$A$53,0)),""))),1,0))</f>
        <v>0</v>
      </c>
    </row>
    <row r="468" customFormat="false" ht="15" hidden="false" customHeight="false" outlineLevel="0" collapsed="false">
      <c r="A468" s="45" t="str">
        <f aca="false">IF($D468="","",COUNTA($D$5:$D468))</f>
        <v/>
      </c>
      <c r="B468" s="46"/>
      <c r="C468" s="47"/>
      <c r="D468" s="48"/>
      <c r="E468" s="48"/>
      <c r="F468" s="49"/>
      <c r="G468" s="47"/>
      <c r="H468" s="50"/>
      <c r="I468" s="50"/>
      <c r="J468" s="51" t="str">
        <f aca="false">IF(OR($V468="",$W468=""),"",ROUND(($W468-$V468)/60,2))</f>
        <v/>
      </c>
      <c r="K468" s="52" t="str">
        <f aca="false">IF($F468="","",LEN($F468)-LEN(SUBSTITUTE($F468,",",""))+1)</f>
        <v/>
      </c>
      <c r="L468" s="45" t="str">
        <f aca="false">IF($K468="","","1:"&amp;$K468)</f>
        <v/>
      </c>
      <c r="M468" s="46"/>
      <c r="N468" s="53"/>
      <c r="O468" s="46"/>
      <c r="P468" s="47"/>
      <c r="Q468" s="48"/>
      <c r="R468" s="49"/>
      <c r="S468" s="54" t="str">
        <f aca="false">IF(OR($AC468=0,$U468="",$M468="",$V468="",$W468=""),"",IF(COUNTIFS(m_teacher,$M468,m_date,$U468,m_active,1,m_start,"&lt;"&amp;$W468,m_end,"&gt;"&amp;$V468)&gt;1,"충돌",""))</f>
        <v/>
      </c>
      <c r="T468" s="48"/>
      <c r="U468" s="55" t="str">
        <f aca="false">IF($G468="","",IFERROR(IF(ISNUMBER($G468),IF($G468&gt;19000000,DATE(INT($G468/10000),MOD(INT($G468/100),100),MOD($G468,100)),INT($G468)),IF(LEN(SUBSTITUTE(SUBSTITUTE(SUBSTITUTE(TRIM($G468),"-",""),".",""),"/",""))=8,DATE(VALUE(LEFT(SUBSTITUTE(SUBSTITUTE(SUBSTITUTE(TRIM($G468),"-",""),".",""),"/",""),4)),VALUE(MID(SUBSTITUTE(SUBSTITUTE(SUBSTITUTE(TRIM($G468),"-",""),".",""),"/",""),5,2)),VALUE(RIGHT(SUBSTITUTE(SUBSTITUTE(SUBSTITUTE(TRIM($G468),"-",""),".",""),"/",""),2))),DATEVALUE($G468))),""))</f>
        <v/>
      </c>
      <c r="V468" s="52" t="str">
        <f aca="false">IF($H468="","",IFERROR(IF(IF(ISNUMBER($H468),$H468,IFERROR(TIMEVALUE($H468),VALUE($H468)))&gt;=100,INT(IF(ISNUMBER($H468),$H468,IFERROR(TIMEVALUE($H468),VALUE($H468)))/100)*60+MOD(IF(ISNUMBER($H468),$H468,IFERROR(TIMEVALUE($H468),VALUE($H468))),100),IF(IF(ISNUMBER($H468),$H468,IFERROR(TIMEVALUE($H468),VALUE($H468)))&gt;=1,ROUND(IF(ISNUMBER($H468),$H468,IFERROR(TIMEVALUE($H468),VALUE($H468)))*60,0),ROUND(MOD(IF(ISNUMBER($H468),$H468,IFERROR(TIMEVALUE($H468),VALUE($H468))),1)*1440,0))),""))</f>
        <v/>
      </c>
      <c r="W468" s="52" t="str">
        <f aca="false">IF($I468="","",IFERROR(IF(IF(ISNUMBER($I468),$I468,IFERROR(TIMEVALUE($I468),VALUE($I468)))&gt;=100,INT(IF(ISNUMBER($I468),$I468,IFERROR(TIMEVALUE($I468),VALUE($I468)))/100)*60+MOD(IF(ISNUMBER($I468),$I468,IFERROR(TIMEVALUE($I468),VALUE($I468))),100),IF(IF(ISNUMBER($I468),$I468,IFERROR(TIMEVALUE($I468),VALUE($I468)))&gt;=1,ROUND(IF(ISNUMBER($I468),$I468,IFERROR(TIMEVALUE($I468),VALUE($I468)))*60,0),ROUND(MOD(IF(ISNUMBER($I468),$I468,IFERROR(TIMEVALUE($I468),VALUE($I468))),1)*1440,0))),""))</f>
        <v/>
      </c>
      <c r="X468" s="55" t="str">
        <f aca="false">IF($P468="","",IFERROR(IF(ISNUMBER($P468),IF($P468&gt;19000000,DATE(INT($P468/10000),MOD(INT($P468/100),100),MOD($P468,100)),INT($P468)),IF(LEN(SUBSTITUTE(SUBSTITUTE(SUBSTITUTE(TRIM($P468),"-",""),".",""),"/",""))=8,DATE(VALUE(LEFT(SUBSTITUTE(SUBSTITUTE(SUBSTITUTE(TRIM($P468),"-",""),".",""),"/",""),4)),VALUE(MID(SUBSTITUTE(SUBSTITUTE(SUBSTITUTE(TRIM($P468),"-",""),".",""),"/",""),5,2)),VALUE(RIGHT(SUBSTITUTE(SUBSTITUTE(SUBSTITUTE(TRIM($P468),"-",""),".",""),"/",""),2))),DATEVALUE($P468))),""))</f>
        <v/>
      </c>
      <c r="Y468" s="56" t="str">
        <f aca="false">IF($M468="","",IFERROR(INDEX(강사DB!$D$4:$D$53,MATCH($M468,강사DB!$A$4:$A$53,0)),""))</f>
        <v/>
      </c>
      <c r="Z468" s="56" t="str">
        <f aca="false">IF($B468&lt;&gt;"결제완료","",IF(OR($Y468="",$J468=""),"",$Y468*$J468+MAX(0,N($K468)-1)*설정!$J$7))</f>
        <v/>
      </c>
      <c r="AA468" s="56" t="str">
        <f aca="false">IF(AND($D468&lt;&gt;"",$B468="결제완료"),N($N468),"")</f>
        <v/>
      </c>
      <c r="AB468" s="45" t="str">
        <f aca="false">IF($D468="","",IF($F468&lt;&gt;"",$F468,$D468)&amp;IF($B468="상담중"," (상담)",""))</f>
        <v/>
      </c>
      <c r="AC468" s="45" t="n">
        <f aca="false">IF(AND($D468&lt;&gt;"",OR($B468="결제완료",$B468="상담중")),1,0)</f>
        <v>0</v>
      </c>
      <c r="AD468" s="45" t="n">
        <f aca="false">IF(OR($Z468="",$U468=""),0,IFERROR(IF(COUNTIFS(INDEX(g_grid,0,2*MATCH($M468,강사DB!$A$4:$A$15,0)),"&lt;&gt;",g_s,"&lt;="&amp;$U468,g_e,"&gt;="&amp;$U468)&gt;0,1,0),0))</f>
        <v>0</v>
      </c>
      <c r="AE468" s="48"/>
      <c r="AF468" s="56" t="str">
        <f aca="false">IF(AND($D468&lt;&gt;"",$B468="결제완료",$T468="대여"),설정!$J$5,"")</f>
        <v/>
      </c>
      <c r="AG468" s="54" t="str">
        <f aca="false">IF($D468="","",IF(AND($E468="",$R468=""),$AB468,"☎ "&amp;IF($E468="","-",$E468)&amp;IF($R468&lt;&gt;"","  ※ "&amp;$R468,"")&amp;IF($B468="상담중"," (상담)","")))</f>
        <v/>
      </c>
      <c r="AH468" s="56" t="str">
        <f aca="false">IF(AND($D468&lt;&gt;"",$B468="결제완료",$O468="스마트스토어"),ROUND(N($N468)*설정!$J$6,0),"")</f>
        <v/>
      </c>
      <c r="AI468" s="54" t="str">
        <f aca="false">IF($D468="","",ROW())</f>
        <v/>
      </c>
      <c r="AJ468" s="54" t="n">
        <f aca="false">IF(OR($AC468&lt;&gt;1,$M468=""),0,IF(ISNUMBER(SEARCH("퇴사",IFERROR(INDEX(강사DB!$G$4:$G$53,MATCH($M468,강사DB!$A$4:$A$53,0)),""))),1,0))</f>
        <v>0</v>
      </c>
    </row>
    <row r="469" customFormat="false" ht="15" hidden="false" customHeight="false" outlineLevel="0" collapsed="false">
      <c r="A469" s="45" t="str">
        <f aca="false">IF($D469="","",COUNTA($D$5:$D469))</f>
        <v/>
      </c>
      <c r="B469" s="46"/>
      <c r="C469" s="47"/>
      <c r="D469" s="48"/>
      <c r="E469" s="48"/>
      <c r="F469" s="49"/>
      <c r="G469" s="47"/>
      <c r="H469" s="50"/>
      <c r="I469" s="50"/>
      <c r="J469" s="51" t="str">
        <f aca="false">IF(OR($V469="",$W469=""),"",ROUND(($W469-$V469)/60,2))</f>
        <v/>
      </c>
      <c r="K469" s="52" t="str">
        <f aca="false">IF($F469="","",LEN($F469)-LEN(SUBSTITUTE($F469,",",""))+1)</f>
        <v/>
      </c>
      <c r="L469" s="45" t="str">
        <f aca="false">IF($K469="","","1:"&amp;$K469)</f>
        <v/>
      </c>
      <c r="M469" s="46"/>
      <c r="N469" s="53"/>
      <c r="O469" s="46"/>
      <c r="P469" s="47"/>
      <c r="Q469" s="48"/>
      <c r="R469" s="49"/>
      <c r="S469" s="54" t="str">
        <f aca="false">IF(OR($AC469=0,$U469="",$M469="",$V469="",$W469=""),"",IF(COUNTIFS(m_teacher,$M469,m_date,$U469,m_active,1,m_start,"&lt;"&amp;$W469,m_end,"&gt;"&amp;$V469)&gt;1,"충돌",""))</f>
        <v/>
      </c>
      <c r="T469" s="48"/>
      <c r="U469" s="55" t="str">
        <f aca="false">IF($G469="","",IFERROR(IF(ISNUMBER($G469),IF($G469&gt;19000000,DATE(INT($G469/10000),MOD(INT($G469/100),100),MOD($G469,100)),INT($G469)),IF(LEN(SUBSTITUTE(SUBSTITUTE(SUBSTITUTE(TRIM($G469),"-",""),".",""),"/",""))=8,DATE(VALUE(LEFT(SUBSTITUTE(SUBSTITUTE(SUBSTITUTE(TRIM($G469),"-",""),".",""),"/",""),4)),VALUE(MID(SUBSTITUTE(SUBSTITUTE(SUBSTITUTE(TRIM($G469),"-",""),".",""),"/",""),5,2)),VALUE(RIGHT(SUBSTITUTE(SUBSTITUTE(SUBSTITUTE(TRIM($G469),"-",""),".",""),"/",""),2))),DATEVALUE($G469))),""))</f>
        <v/>
      </c>
      <c r="V469" s="52" t="str">
        <f aca="false">IF($H469="","",IFERROR(IF(IF(ISNUMBER($H469),$H469,IFERROR(TIMEVALUE($H469),VALUE($H469)))&gt;=100,INT(IF(ISNUMBER($H469),$H469,IFERROR(TIMEVALUE($H469),VALUE($H469)))/100)*60+MOD(IF(ISNUMBER($H469),$H469,IFERROR(TIMEVALUE($H469),VALUE($H469))),100),IF(IF(ISNUMBER($H469),$H469,IFERROR(TIMEVALUE($H469),VALUE($H469)))&gt;=1,ROUND(IF(ISNUMBER($H469),$H469,IFERROR(TIMEVALUE($H469),VALUE($H469)))*60,0),ROUND(MOD(IF(ISNUMBER($H469),$H469,IFERROR(TIMEVALUE($H469),VALUE($H469))),1)*1440,0))),""))</f>
        <v/>
      </c>
      <c r="W469" s="52" t="str">
        <f aca="false">IF($I469="","",IFERROR(IF(IF(ISNUMBER($I469),$I469,IFERROR(TIMEVALUE($I469),VALUE($I469)))&gt;=100,INT(IF(ISNUMBER($I469),$I469,IFERROR(TIMEVALUE($I469),VALUE($I469)))/100)*60+MOD(IF(ISNUMBER($I469),$I469,IFERROR(TIMEVALUE($I469),VALUE($I469))),100),IF(IF(ISNUMBER($I469),$I469,IFERROR(TIMEVALUE($I469),VALUE($I469)))&gt;=1,ROUND(IF(ISNUMBER($I469),$I469,IFERROR(TIMEVALUE($I469),VALUE($I469)))*60,0),ROUND(MOD(IF(ISNUMBER($I469),$I469,IFERROR(TIMEVALUE($I469),VALUE($I469))),1)*1440,0))),""))</f>
        <v/>
      </c>
      <c r="X469" s="55" t="str">
        <f aca="false">IF($P469="","",IFERROR(IF(ISNUMBER($P469),IF($P469&gt;19000000,DATE(INT($P469/10000),MOD(INT($P469/100),100),MOD($P469,100)),INT($P469)),IF(LEN(SUBSTITUTE(SUBSTITUTE(SUBSTITUTE(TRIM($P469),"-",""),".",""),"/",""))=8,DATE(VALUE(LEFT(SUBSTITUTE(SUBSTITUTE(SUBSTITUTE(TRIM($P469),"-",""),".",""),"/",""),4)),VALUE(MID(SUBSTITUTE(SUBSTITUTE(SUBSTITUTE(TRIM($P469),"-",""),".",""),"/",""),5,2)),VALUE(RIGHT(SUBSTITUTE(SUBSTITUTE(SUBSTITUTE(TRIM($P469),"-",""),".",""),"/",""),2))),DATEVALUE($P469))),""))</f>
        <v/>
      </c>
      <c r="Y469" s="56" t="str">
        <f aca="false">IF($M469="","",IFERROR(INDEX(강사DB!$D$4:$D$53,MATCH($M469,강사DB!$A$4:$A$53,0)),""))</f>
        <v/>
      </c>
      <c r="Z469" s="56" t="str">
        <f aca="false">IF($B469&lt;&gt;"결제완료","",IF(OR($Y469="",$J469=""),"",$Y469*$J469+MAX(0,N($K469)-1)*설정!$J$7))</f>
        <v/>
      </c>
      <c r="AA469" s="56" t="str">
        <f aca="false">IF(AND($D469&lt;&gt;"",$B469="결제완료"),N($N469),"")</f>
        <v/>
      </c>
      <c r="AB469" s="45" t="str">
        <f aca="false">IF($D469="","",IF($F469&lt;&gt;"",$F469,$D469)&amp;IF($B469="상담중"," (상담)",""))</f>
        <v/>
      </c>
      <c r="AC469" s="45" t="n">
        <f aca="false">IF(AND($D469&lt;&gt;"",OR($B469="결제완료",$B469="상담중")),1,0)</f>
        <v>0</v>
      </c>
      <c r="AD469" s="45" t="n">
        <f aca="false">IF(OR($Z469="",$U469=""),0,IFERROR(IF(COUNTIFS(INDEX(g_grid,0,2*MATCH($M469,강사DB!$A$4:$A$15,0)),"&lt;&gt;",g_s,"&lt;="&amp;$U469,g_e,"&gt;="&amp;$U469)&gt;0,1,0),0))</f>
        <v>0</v>
      </c>
      <c r="AE469" s="48"/>
      <c r="AF469" s="56" t="str">
        <f aca="false">IF(AND($D469&lt;&gt;"",$B469="결제완료",$T469="대여"),설정!$J$5,"")</f>
        <v/>
      </c>
      <c r="AG469" s="54" t="str">
        <f aca="false">IF($D469="","",IF(AND($E469="",$R469=""),$AB469,"☎ "&amp;IF($E469="","-",$E469)&amp;IF($R469&lt;&gt;"","  ※ "&amp;$R469,"")&amp;IF($B469="상담중"," (상담)","")))</f>
        <v/>
      </c>
      <c r="AH469" s="56" t="str">
        <f aca="false">IF(AND($D469&lt;&gt;"",$B469="결제완료",$O469="스마트스토어"),ROUND(N($N469)*설정!$J$6,0),"")</f>
        <v/>
      </c>
      <c r="AI469" s="54" t="str">
        <f aca="false">IF($D469="","",ROW())</f>
        <v/>
      </c>
      <c r="AJ469" s="54" t="n">
        <f aca="false">IF(OR($AC469&lt;&gt;1,$M469=""),0,IF(ISNUMBER(SEARCH("퇴사",IFERROR(INDEX(강사DB!$G$4:$G$53,MATCH($M469,강사DB!$A$4:$A$53,0)),""))),1,0))</f>
        <v>0</v>
      </c>
    </row>
    <row r="470" customFormat="false" ht="15" hidden="false" customHeight="false" outlineLevel="0" collapsed="false">
      <c r="A470" s="45" t="str">
        <f aca="false">IF($D470="","",COUNTA($D$5:$D470))</f>
        <v/>
      </c>
      <c r="B470" s="46"/>
      <c r="C470" s="47"/>
      <c r="D470" s="48"/>
      <c r="E470" s="48"/>
      <c r="F470" s="49"/>
      <c r="G470" s="47"/>
      <c r="H470" s="50"/>
      <c r="I470" s="50"/>
      <c r="J470" s="51" t="str">
        <f aca="false">IF(OR($V470="",$W470=""),"",ROUND(($W470-$V470)/60,2))</f>
        <v/>
      </c>
      <c r="K470" s="52" t="str">
        <f aca="false">IF($F470="","",LEN($F470)-LEN(SUBSTITUTE($F470,",",""))+1)</f>
        <v/>
      </c>
      <c r="L470" s="45" t="str">
        <f aca="false">IF($K470="","","1:"&amp;$K470)</f>
        <v/>
      </c>
      <c r="M470" s="46"/>
      <c r="N470" s="53"/>
      <c r="O470" s="46"/>
      <c r="P470" s="47"/>
      <c r="Q470" s="48"/>
      <c r="R470" s="49"/>
      <c r="S470" s="54" t="str">
        <f aca="false">IF(OR($AC470=0,$U470="",$M470="",$V470="",$W470=""),"",IF(COUNTIFS(m_teacher,$M470,m_date,$U470,m_active,1,m_start,"&lt;"&amp;$W470,m_end,"&gt;"&amp;$V470)&gt;1,"충돌",""))</f>
        <v/>
      </c>
      <c r="T470" s="48"/>
      <c r="U470" s="55" t="str">
        <f aca="false">IF($G470="","",IFERROR(IF(ISNUMBER($G470),IF($G470&gt;19000000,DATE(INT($G470/10000),MOD(INT($G470/100),100),MOD($G470,100)),INT($G470)),IF(LEN(SUBSTITUTE(SUBSTITUTE(SUBSTITUTE(TRIM($G470),"-",""),".",""),"/",""))=8,DATE(VALUE(LEFT(SUBSTITUTE(SUBSTITUTE(SUBSTITUTE(TRIM($G470),"-",""),".",""),"/",""),4)),VALUE(MID(SUBSTITUTE(SUBSTITUTE(SUBSTITUTE(TRIM($G470),"-",""),".",""),"/",""),5,2)),VALUE(RIGHT(SUBSTITUTE(SUBSTITUTE(SUBSTITUTE(TRIM($G470),"-",""),".",""),"/",""),2))),DATEVALUE($G470))),""))</f>
        <v/>
      </c>
      <c r="V470" s="52" t="str">
        <f aca="false">IF($H470="","",IFERROR(IF(IF(ISNUMBER($H470),$H470,IFERROR(TIMEVALUE($H470),VALUE($H470)))&gt;=100,INT(IF(ISNUMBER($H470),$H470,IFERROR(TIMEVALUE($H470),VALUE($H470)))/100)*60+MOD(IF(ISNUMBER($H470),$H470,IFERROR(TIMEVALUE($H470),VALUE($H470))),100),IF(IF(ISNUMBER($H470),$H470,IFERROR(TIMEVALUE($H470),VALUE($H470)))&gt;=1,ROUND(IF(ISNUMBER($H470),$H470,IFERROR(TIMEVALUE($H470),VALUE($H470)))*60,0),ROUND(MOD(IF(ISNUMBER($H470),$H470,IFERROR(TIMEVALUE($H470),VALUE($H470))),1)*1440,0))),""))</f>
        <v/>
      </c>
      <c r="W470" s="52" t="str">
        <f aca="false">IF($I470="","",IFERROR(IF(IF(ISNUMBER($I470),$I470,IFERROR(TIMEVALUE($I470),VALUE($I470)))&gt;=100,INT(IF(ISNUMBER($I470),$I470,IFERROR(TIMEVALUE($I470),VALUE($I470)))/100)*60+MOD(IF(ISNUMBER($I470),$I470,IFERROR(TIMEVALUE($I470),VALUE($I470))),100),IF(IF(ISNUMBER($I470),$I470,IFERROR(TIMEVALUE($I470),VALUE($I470)))&gt;=1,ROUND(IF(ISNUMBER($I470),$I470,IFERROR(TIMEVALUE($I470),VALUE($I470)))*60,0),ROUND(MOD(IF(ISNUMBER($I470),$I470,IFERROR(TIMEVALUE($I470),VALUE($I470))),1)*1440,0))),""))</f>
        <v/>
      </c>
      <c r="X470" s="55" t="str">
        <f aca="false">IF($P470="","",IFERROR(IF(ISNUMBER($P470),IF($P470&gt;19000000,DATE(INT($P470/10000),MOD(INT($P470/100),100),MOD($P470,100)),INT($P470)),IF(LEN(SUBSTITUTE(SUBSTITUTE(SUBSTITUTE(TRIM($P470),"-",""),".",""),"/",""))=8,DATE(VALUE(LEFT(SUBSTITUTE(SUBSTITUTE(SUBSTITUTE(TRIM($P470),"-",""),".",""),"/",""),4)),VALUE(MID(SUBSTITUTE(SUBSTITUTE(SUBSTITUTE(TRIM($P470),"-",""),".",""),"/",""),5,2)),VALUE(RIGHT(SUBSTITUTE(SUBSTITUTE(SUBSTITUTE(TRIM($P470),"-",""),".",""),"/",""),2))),DATEVALUE($P470))),""))</f>
        <v/>
      </c>
      <c r="Y470" s="56" t="str">
        <f aca="false">IF($M470="","",IFERROR(INDEX(강사DB!$D$4:$D$53,MATCH($M470,강사DB!$A$4:$A$53,0)),""))</f>
        <v/>
      </c>
      <c r="Z470" s="56" t="str">
        <f aca="false">IF($B470&lt;&gt;"결제완료","",IF(OR($Y470="",$J470=""),"",$Y470*$J470+MAX(0,N($K470)-1)*설정!$J$7))</f>
        <v/>
      </c>
      <c r="AA470" s="56" t="str">
        <f aca="false">IF(AND($D470&lt;&gt;"",$B470="결제완료"),N($N470),"")</f>
        <v/>
      </c>
      <c r="AB470" s="45" t="str">
        <f aca="false">IF($D470="","",IF($F470&lt;&gt;"",$F470,$D470)&amp;IF($B470="상담중"," (상담)",""))</f>
        <v/>
      </c>
      <c r="AC470" s="45" t="n">
        <f aca="false">IF(AND($D470&lt;&gt;"",OR($B470="결제완료",$B470="상담중")),1,0)</f>
        <v>0</v>
      </c>
      <c r="AD470" s="45" t="n">
        <f aca="false">IF(OR($Z470="",$U470=""),0,IFERROR(IF(COUNTIFS(INDEX(g_grid,0,2*MATCH($M470,강사DB!$A$4:$A$15,0)),"&lt;&gt;",g_s,"&lt;="&amp;$U470,g_e,"&gt;="&amp;$U470)&gt;0,1,0),0))</f>
        <v>0</v>
      </c>
      <c r="AE470" s="48"/>
      <c r="AF470" s="56" t="str">
        <f aca="false">IF(AND($D470&lt;&gt;"",$B470="결제완료",$T470="대여"),설정!$J$5,"")</f>
        <v/>
      </c>
      <c r="AG470" s="54" t="str">
        <f aca="false">IF($D470="","",IF(AND($E470="",$R470=""),$AB470,"☎ "&amp;IF($E470="","-",$E470)&amp;IF($R470&lt;&gt;"","  ※ "&amp;$R470,"")&amp;IF($B470="상담중"," (상담)","")))</f>
        <v/>
      </c>
      <c r="AH470" s="56" t="str">
        <f aca="false">IF(AND($D470&lt;&gt;"",$B470="결제완료",$O470="스마트스토어"),ROUND(N($N470)*설정!$J$6,0),"")</f>
        <v/>
      </c>
      <c r="AI470" s="54" t="str">
        <f aca="false">IF($D470="","",ROW())</f>
        <v/>
      </c>
      <c r="AJ470" s="54" t="n">
        <f aca="false">IF(OR($AC470&lt;&gt;1,$M470=""),0,IF(ISNUMBER(SEARCH("퇴사",IFERROR(INDEX(강사DB!$G$4:$G$53,MATCH($M470,강사DB!$A$4:$A$53,0)),""))),1,0))</f>
        <v>0</v>
      </c>
    </row>
    <row r="471" customFormat="false" ht="15" hidden="false" customHeight="false" outlineLevel="0" collapsed="false">
      <c r="A471" s="45" t="str">
        <f aca="false">IF($D471="","",COUNTA($D$5:$D471))</f>
        <v/>
      </c>
      <c r="B471" s="46"/>
      <c r="C471" s="47"/>
      <c r="D471" s="48"/>
      <c r="E471" s="48"/>
      <c r="F471" s="49"/>
      <c r="G471" s="47"/>
      <c r="H471" s="50"/>
      <c r="I471" s="50"/>
      <c r="J471" s="51" t="str">
        <f aca="false">IF(OR($V471="",$W471=""),"",ROUND(($W471-$V471)/60,2))</f>
        <v/>
      </c>
      <c r="K471" s="52" t="str">
        <f aca="false">IF($F471="","",LEN($F471)-LEN(SUBSTITUTE($F471,",",""))+1)</f>
        <v/>
      </c>
      <c r="L471" s="45" t="str">
        <f aca="false">IF($K471="","","1:"&amp;$K471)</f>
        <v/>
      </c>
      <c r="M471" s="46"/>
      <c r="N471" s="53"/>
      <c r="O471" s="46"/>
      <c r="P471" s="47"/>
      <c r="Q471" s="48"/>
      <c r="R471" s="49"/>
      <c r="S471" s="54" t="str">
        <f aca="false">IF(OR($AC471=0,$U471="",$M471="",$V471="",$W471=""),"",IF(COUNTIFS(m_teacher,$M471,m_date,$U471,m_active,1,m_start,"&lt;"&amp;$W471,m_end,"&gt;"&amp;$V471)&gt;1,"충돌",""))</f>
        <v/>
      </c>
      <c r="T471" s="48"/>
      <c r="U471" s="55" t="str">
        <f aca="false">IF($G471="","",IFERROR(IF(ISNUMBER($G471),IF($G471&gt;19000000,DATE(INT($G471/10000),MOD(INT($G471/100),100),MOD($G471,100)),INT($G471)),IF(LEN(SUBSTITUTE(SUBSTITUTE(SUBSTITUTE(TRIM($G471),"-",""),".",""),"/",""))=8,DATE(VALUE(LEFT(SUBSTITUTE(SUBSTITUTE(SUBSTITUTE(TRIM($G471),"-",""),".",""),"/",""),4)),VALUE(MID(SUBSTITUTE(SUBSTITUTE(SUBSTITUTE(TRIM($G471),"-",""),".",""),"/",""),5,2)),VALUE(RIGHT(SUBSTITUTE(SUBSTITUTE(SUBSTITUTE(TRIM($G471),"-",""),".",""),"/",""),2))),DATEVALUE($G471))),""))</f>
        <v/>
      </c>
      <c r="V471" s="52" t="str">
        <f aca="false">IF($H471="","",IFERROR(IF(IF(ISNUMBER($H471),$H471,IFERROR(TIMEVALUE($H471),VALUE($H471)))&gt;=100,INT(IF(ISNUMBER($H471),$H471,IFERROR(TIMEVALUE($H471),VALUE($H471)))/100)*60+MOD(IF(ISNUMBER($H471),$H471,IFERROR(TIMEVALUE($H471),VALUE($H471))),100),IF(IF(ISNUMBER($H471),$H471,IFERROR(TIMEVALUE($H471),VALUE($H471)))&gt;=1,ROUND(IF(ISNUMBER($H471),$H471,IFERROR(TIMEVALUE($H471),VALUE($H471)))*60,0),ROUND(MOD(IF(ISNUMBER($H471),$H471,IFERROR(TIMEVALUE($H471),VALUE($H471))),1)*1440,0))),""))</f>
        <v/>
      </c>
      <c r="W471" s="52" t="str">
        <f aca="false">IF($I471="","",IFERROR(IF(IF(ISNUMBER($I471),$I471,IFERROR(TIMEVALUE($I471),VALUE($I471)))&gt;=100,INT(IF(ISNUMBER($I471),$I471,IFERROR(TIMEVALUE($I471),VALUE($I471)))/100)*60+MOD(IF(ISNUMBER($I471),$I471,IFERROR(TIMEVALUE($I471),VALUE($I471))),100),IF(IF(ISNUMBER($I471),$I471,IFERROR(TIMEVALUE($I471),VALUE($I471)))&gt;=1,ROUND(IF(ISNUMBER($I471),$I471,IFERROR(TIMEVALUE($I471),VALUE($I471)))*60,0),ROUND(MOD(IF(ISNUMBER($I471),$I471,IFERROR(TIMEVALUE($I471),VALUE($I471))),1)*1440,0))),""))</f>
        <v/>
      </c>
      <c r="X471" s="55" t="str">
        <f aca="false">IF($P471="","",IFERROR(IF(ISNUMBER($P471),IF($P471&gt;19000000,DATE(INT($P471/10000),MOD(INT($P471/100),100),MOD($P471,100)),INT($P471)),IF(LEN(SUBSTITUTE(SUBSTITUTE(SUBSTITUTE(TRIM($P471),"-",""),".",""),"/",""))=8,DATE(VALUE(LEFT(SUBSTITUTE(SUBSTITUTE(SUBSTITUTE(TRIM($P471),"-",""),".",""),"/",""),4)),VALUE(MID(SUBSTITUTE(SUBSTITUTE(SUBSTITUTE(TRIM($P471),"-",""),".",""),"/",""),5,2)),VALUE(RIGHT(SUBSTITUTE(SUBSTITUTE(SUBSTITUTE(TRIM($P471),"-",""),".",""),"/",""),2))),DATEVALUE($P471))),""))</f>
        <v/>
      </c>
      <c r="Y471" s="56" t="str">
        <f aca="false">IF($M471="","",IFERROR(INDEX(강사DB!$D$4:$D$53,MATCH($M471,강사DB!$A$4:$A$53,0)),""))</f>
        <v/>
      </c>
      <c r="Z471" s="56" t="str">
        <f aca="false">IF($B471&lt;&gt;"결제완료","",IF(OR($Y471="",$J471=""),"",$Y471*$J471+MAX(0,N($K471)-1)*설정!$J$7))</f>
        <v/>
      </c>
      <c r="AA471" s="56" t="str">
        <f aca="false">IF(AND($D471&lt;&gt;"",$B471="결제완료"),N($N471),"")</f>
        <v/>
      </c>
      <c r="AB471" s="45" t="str">
        <f aca="false">IF($D471="","",IF($F471&lt;&gt;"",$F471,$D471)&amp;IF($B471="상담중"," (상담)",""))</f>
        <v/>
      </c>
      <c r="AC471" s="45" t="n">
        <f aca="false">IF(AND($D471&lt;&gt;"",OR($B471="결제완료",$B471="상담중")),1,0)</f>
        <v>0</v>
      </c>
      <c r="AD471" s="45" t="n">
        <f aca="false">IF(OR($Z471="",$U471=""),0,IFERROR(IF(COUNTIFS(INDEX(g_grid,0,2*MATCH($M471,강사DB!$A$4:$A$15,0)),"&lt;&gt;",g_s,"&lt;="&amp;$U471,g_e,"&gt;="&amp;$U471)&gt;0,1,0),0))</f>
        <v>0</v>
      </c>
      <c r="AE471" s="48"/>
      <c r="AF471" s="56" t="str">
        <f aca="false">IF(AND($D471&lt;&gt;"",$B471="결제완료",$T471="대여"),설정!$J$5,"")</f>
        <v/>
      </c>
      <c r="AG471" s="54" t="str">
        <f aca="false">IF($D471="","",IF(AND($E471="",$R471=""),$AB471,"☎ "&amp;IF($E471="","-",$E471)&amp;IF($R471&lt;&gt;"","  ※ "&amp;$R471,"")&amp;IF($B471="상담중"," (상담)","")))</f>
        <v/>
      </c>
      <c r="AH471" s="56" t="str">
        <f aca="false">IF(AND($D471&lt;&gt;"",$B471="결제완료",$O471="스마트스토어"),ROUND(N($N471)*설정!$J$6,0),"")</f>
        <v/>
      </c>
      <c r="AI471" s="54" t="str">
        <f aca="false">IF($D471="","",ROW())</f>
        <v/>
      </c>
      <c r="AJ471" s="54" t="n">
        <f aca="false">IF(OR($AC471&lt;&gt;1,$M471=""),0,IF(ISNUMBER(SEARCH("퇴사",IFERROR(INDEX(강사DB!$G$4:$G$53,MATCH($M471,강사DB!$A$4:$A$53,0)),""))),1,0))</f>
        <v>0</v>
      </c>
    </row>
    <row r="472" customFormat="false" ht="15" hidden="false" customHeight="false" outlineLevel="0" collapsed="false">
      <c r="A472" s="45" t="str">
        <f aca="false">IF($D472="","",COUNTA($D$5:$D472))</f>
        <v/>
      </c>
      <c r="B472" s="46"/>
      <c r="C472" s="47"/>
      <c r="D472" s="48"/>
      <c r="E472" s="48"/>
      <c r="F472" s="49"/>
      <c r="G472" s="47"/>
      <c r="H472" s="50"/>
      <c r="I472" s="50"/>
      <c r="J472" s="51" t="str">
        <f aca="false">IF(OR($V472="",$W472=""),"",ROUND(($W472-$V472)/60,2))</f>
        <v/>
      </c>
      <c r="K472" s="52" t="str">
        <f aca="false">IF($F472="","",LEN($F472)-LEN(SUBSTITUTE($F472,",",""))+1)</f>
        <v/>
      </c>
      <c r="L472" s="45" t="str">
        <f aca="false">IF($K472="","","1:"&amp;$K472)</f>
        <v/>
      </c>
      <c r="M472" s="46"/>
      <c r="N472" s="53"/>
      <c r="O472" s="46"/>
      <c r="P472" s="47"/>
      <c r="Q472" s="48"/>
      <c r="R472" s="49"/>
      <c r="S472" s="54" t="str">
        <f aca="false">IF(OR($AC472=0,$U472="",$M472="",$V472="",$W472=""),"",IF(COUNTIFS(m_teacher,$M472,m_date,$U472,m_active,1,m_start,"&lt;"&amp;$W472,m_end,"&gt;"&amp;$V472)&gt;1,"충돌",""))</f>
        <v/>
      </c>
      <c r="T472" s="48"/>
      <c r="U472" s="55" t="str">
        <f aca="false">IF($G472="","",IFERROR(IF(ISNUMBER($G472),IF($G472&gt;19000000,DATE(INT($G472/10000),MOD(INT($G472/100),100),MOD($G472,100)),INT($G472)),IF(LEN(SUBSTITUTE(SUBSTITUTE(SUBSTITUTE(TRIM($G472),"-",""),".",""),"/",""))=8,DATE(VALUE(LEFT(SUBSTITUTE(SUBSTITUTE(SUBSTITUTE(TRIM($G472),"-",""),".",""),"/",""),4)),VALUE(MID(SUBSTITUTE(SUBSTITUTE(SUBSTITUTE(TRIM($G472),"-",""),".",""),"/",""),5,2)),VALUE(RIGHT(SUBSTITUTE(SUBSTITUTE(SUBSTITUTE(TRIM($G472),"-",""),".",""),"/",""),2))),DATEVALUE($G472))),""))</f>
        <v/>
      </c>
      <c r="V472" s="52" t="str">
        <f aca="false">IF($H472="","",IFERROR(IF(IF(ISNUMBER($H472),$H472,IFERROR(TIMEVALUE($H472),VALUE($H472)))&gt;=100,INT(IF(ISNUMBER($H472),$H472,IFERROR(TIMEVALUE($H472),VALUE($H472)))/100)*60+MOD(IF(ISNUMBER($H472),$H472,IFERROR(TIMEVALUE($H472),VALUE($H472))),100),IF(IF(ISNUMBER($H472),$H472,IFERROR(TIMEVALUE($H472),VALUE($H472)))&gt;=1,ROUND(IF(ISNUMBER($H472),$H472,IFERROR(TIMEVALUE($H472),VALUE($H472)))*60,0),ROUND(MOD(IF(ISNUMBER($H472),$H472,IFERROR(TIMEVALUE($H472),VALUE($H472))),1)*1440,0))),""))</f>
        <v/>
      </c>
      <c r="W472" s="52" t="str">
        <f aca="false">IF($I472="","",IFERROR(IF(IF(ISNUMBER($I472),$I472,IFERROR(TIMEVALUE($I472),VALUE($I472)))&gt;=100,INT(IF(ISNUMBER($I472),$I472,IFERROR(TIMEVALUE($I472),VALUE($I472)))/100)*60+MOD(IF(ISNUMBER($I472),$I472,IFERROR(TIMEVALUE($I472),VALUE($I472))),100),IF(IF(ISNUMBER($I472),$I472,IFERROR(TIMEVALUE($I472),VALUE($I472)))&gt;=1,ROUND(IF(ISNUMBER($I472),$I472,IFERROR(TIMEVALUE($I472),VALUE($I472)))*60,0),ROUND(MOD(IF(ISNUMBER($I472),$I472,IFERROR(TIMEVALUE($I472),VALUE($I472))),1)*1440,0))),""))</f>
        <v/>
      </c>
      <c r="X472" s="55" t="str">
        <f aca="false">IF($P472="","",IFERROR(IF(ISNUMBER($P472),IF($P472&gt;19000000,DATE(INT($P472/10000),MOD(INT($P472/100),100),MOD($P472,100)),INT($P472)),IF(LEN(SUBSTITUTE(SUBSTITUTE(SUBSTITUTE(TRIM($P472),"-",""),".",""),"/",""))=8,DATE(VALUE(LEFT(SUBSTITUTE(SUBSTITUTE(SUBSTITUTE(TRIM($P472),"-",""),".",""),"/",""),4)),VALUE(MID(SUBSTITUTE(SUBSTITUTE(SUBSTITUTE(TRIM($P472),"-",""),".",""),"/",""),5,2)),VALUE(RIGHT(SUBSTITUTE(SUBSTITUTE(SUBSTITUTE(TRIM($P472),"-",""),".",""),"/",""),2))),DATEVALUE($P472))),""))</f>
        <v/>
      </c>
      <c r="Y472" s="56" t="str">
        <f aca="false">IF($M472="","",IFERROR(INDEX(강사DB!$D$4:$D$53,MATCH($M472,강사DB!$A$4:$A$53,0)),""))</f>
        <v/>
      </c>
      <c r="Z472" s="56" t="str">
        <f aca="false">IF($B472&lt;&gt;"결제완료","",IF(OR($Y472="",$J472=""),"",$Y472*$J472+MAX(0,N($K472)-1)*설정!$J$7))</f>
        <v/>
      </c>
      <c r="AA472" s="56" t="str">
        <f aca="false">IF(AND($D472&lt;&gt;"",$B472="결제완료"),N($N472),"")</f>
        <v/>
      </c>
      <c r="AB472" s="45" t="str">
        <f aca="false">IF($D472="","",IF($F472&lt;&gt;"",$F472,$D472)&amp;IF($B472="상담중"," (상담)",""))</f>
        <v/>
      </c>
      <c r="AC472" s="45" t="n">
        <f aca="false">IF(AND($D472&lt;&gt;"",OR($B472="결제완료",$B472="상담중")),1,0)</f>
        <v>0</v>
      </c>
      <c r="AD472" s="45" t="n">
        <f aca="false">IF(OR($Z472="",$U472=""),0,IFERROR(IF(COUNTIFS(INDEX(g_grid,0,2*MATCH($M472,강사DB!$A$4:$A$15,0)),"&lt;&gt;",g_s,"&lt;="&amp;$U472,g_e,"&gt;="&amp;$U472)&gt;0,1,0),0))</f>
        <v>0</v>
      </c>
      <c r="AE472" s="48"/>
      <c r="AF472" s="56" t="str">
        <f aca="false">IF(AND($D472&lt;&gt;"",$B472="결제완료",$T472="대여"),설정!$J$5,"")</f>
        <v/>
      </c>
      <c r="AG472" s="54" t="str">
        <f aca="false">IF($D472="","",IF(AND($E472="",$R472=""),$AB472,"☎ "&amp;IF($E472="","-",$E472)&amp;IF($R472&lt;&gt;"","  ※ "&amp;$R472,"")&amp;IF($B472="상담중"," (상담)","")))</f>
        <v/>
      </c>
      <c r="AH472" s="56" t="str">
        <f aca="false">IF(AND($D472&lt;&gt;"",$B472="결제완료",$O472="스마트스토어"),ROUND(N($N472)*설정!$J$6,0),"")</f>
        <v/>
      </c>
      <c r="AI472" s="54" t="str">
        <f aca="false">IF($D472="","",ROW())</f>
        <v/>
      </c>
      <c r="AJ472" s="54" t="n">
        <f aca="false">IF(OR($AC472&lt;&gt;1,$M472=""),0,IF(ISNUMBER(SEARCH("퇴사",IFERROR(INDEX(강사DB!$G$4:$G$53,MATCH($M472,강사DB!$A$4:$A$53,0)),""))),1,0))</f>
        <v>0</v>
      </c>
    </row>
    <row r="473" customFormat="false" ht="15" hidden="false" customHeight="false" outlineLevel="0" collapsed="false">
      <c r="A473" s="45" t="str">
        <f aca="false">IF($D473="","",COUNTA($D$5:$D473))</f>
        <v/>
      </c>
      <c r="B473" s="46"/>
      <c r="C473" s="47"/>
      <c r="D473" s="48"/>
      <c r="E473" s="48"/>
      <c r="F473" s="49"/>
      <c r="G473" s="47"/>
      <c r="H473" s="50"/>
      <c r="I473" s="50"/>
      <c r="J473" s="51" t="str">
        <f aca="false">IF(OR($V473="",$W473=""),"",ROUND(($W473-$V473)/60,2))</f>
        <v/>
      </c>
      <c r="K473" s="52" t="str">
        <f aca="false">IF($F473="","",LEN($F473)-LEN(SUBSTITUTE($F473,",",""))+1)</f>
        <v/>
      </c>
      <c r="L473" s="45" t="str">
        <f aca="false">IF($K473="","","1:"&amp;$K473)</f>
        <v/>
      </c>
      <c r="M473" s="46"/>
      <c r="N473" s="53"/>
      <c r="O473" s="46"/>
      <c r="P473" s="47"/>
      <c r="Q473" s="48"/>
      <c r="R473" s="49"/>
      <c r="S473" s="54" t="str">
        <f aca="false">IF(OR($AC473=0,$U473="",$M473="",$V473="",$W473=""),"",IF(COUNTIFS(m_teacher,$M473,m_date,$U473,m_active,1,m_start,"&lt;"&amp;$W473,m_end,"&gt;"&amp;$V473)&gt;1,"충돌",""))</f>
        <v/>
      </c>
      <c r="T473" s="48"/>
      <c r="U473" s="55" t="str">
        <f aca="false">IF($G473="","",IFERROR(IF(ISNUMBER($G473),IF($G473&gt;19000000,DATE(INT($G473/10000),MOD(INT($G473/100),100),MOD($G473,100)),INT($G473)),IF(LEN(SUBSTITUTE(SUBSTITUTE(SUBSTITUTE(TRIM($G473),"-",""),".",""),"/",""))=8,DATE(VALUE(LEFT(SUBSTITUTE(SUBSTITUTE(SUBSTITUTE(TRIM($G473),"-",""),".",""),"/",""),4)),VALUE(MID(SUBSTITUTE(SUBSTITUTE(SUBSTITUTE(TRIM($G473),"-",""),".",""),"/",""),5,2)),VALUE(RIGHT(SUBSTITUTE(SUBSTITUTE(SUBSTITUTE(TRIM($G473),"-",""),".",""),"/",""),2))),DATEVALUE($G473))),""))</f>
        <v/>
      </c>
      <c r="V473" s="52" t="str">
        <f aca="false">IF($H473="","",IFERROR(IF(IF(ISNUMBER($H473),$H473,IFERROR(TIMEVALUE($H473),VALUE($H473)))&gt;=100,INT(IF(ISNUMBER($H473),$H473,IFERROR(TIMEVALUE($H473),VALUE($H473)))/100)*60+MOD(IF(ISNUMBER($H473),$H473,IFERROR(TIMEVALUE($H473),VALUE($H473))),100),IF(IF(ISNUMBER($H473),$H473,IFERROR(TIMEVALUE($H473),VALUE($H473)))&gt;=1,ROUND(IF(ISNUMBER($H473),$H473,IFERROR(TIMEVALUE($H473),VALUE($H473)))*60,0),ROUND(MOD(IF(ISNUMBER($H473),$H473,IFERROR(TIMEVALUE($H473),VALUE($H473))),1)*1440,0))),""))</f>
        <v/>
      </c>
      <c r="W473" s="52" t="str">
        <f aca="false">IF($I473="","",IFERROR(IF(IF(ISNUMBER($I473),$I473,IFERROR(TIMEVALUE($I473),VALUE($I473)))&gt;=100,INT(IF(ISNUMBER($I473),$I473,IFERROR(TIMEVALUE($I473),VALUE($I473)))/100)*60+MOD(IF(ISNUMBER($I473),$I473,IFERROR(TIMEVALUE($I473),VALUE($I473))),100),IF(IF(ISNUMBER($I473),$I473,IFERROR(TIMEVALUE($I473),VALUE($I473)))&gt;=1,ROUND(IF(ISNUMBER($I473),$I473,IFERROR(TIMEVALUE($I473),VALUE($I473)))*60,0),ROUND(MOD(IF(ISNUMBER($I473),$I473,IFERROR(TIMEVALUE($I473),VALUE($I473))),1)*1440,0))),""))</f>
        <v/>
      </c>
      <c r="X473" s="55" t="str">
        <f aca="false">IF($P473="","",IFERROR(IF(ISNUMBER($P473),IF($P473&gt;19000000,DATE(INT($P473/10000),MOD(INT($P473/100),100),MOD($P473,100)),INT($P473)),IF(LEN(SUBSTITUTE(SUBSTITUTE(SUBSTITUTE(TRIM($P473),"-",""),".",""),"/",""))=8,DATE(VALUE(LEFT(SUBSTITUTE(SUBSTITUTE(SUBSTITUTE(TRIM($P473),"-",""),".",""),"/",""),4)),VALUE(MID(SUBSTITUTE(SUBSTITUTE(SUBSTITUTE(TRIM($P473),"-",""),".",""),"/",""),5,2)),VALUE(RIGHT(SUBSTITUTE(SUBSTITUTE(SUBSTITUTE(TRIM($P473),"-",""),".",""),"/",""),2))),DATEVALUE($P473))),""))</f>
        <v/>
      </c>
      <c r="Y473" s="56" t="str">
        <f aca="false">IF($M473="","",IFERROR(INDEX(강사DB!$D$4:$D$53,MATCH($M473,강사DB!$A$4:$A$53,0)),""))</f>
        <v/>
      </c>
      <c r="Z473" s="56" t="str">
        <f aca="false">IF($B473&lt;&gt;"결제완료","",IF(OR($Y473="",$J473=""),"",$Y473*$J473+MAX(0,N($K473)-1)*설정!$J$7))</f>
        <v/>
      </c>
      <c r="AA473" s="56" t="str">
        <f aca="false">IF(AND($D473&lt;&gt;"",$B473="결제완료"),N($N473),"")</f>
        <v/>
      </c>
      <c r="AB473" s="45" t="str">
        <f aca="false">IF($D473="","",IF($F473&lt;&gt;"",$F473,$D473)&amp;IF($B473="상담중"," (상담)",""))</f>
        <v/>
      </c>
      <c r="AC473" s="45" t="n">
        <f aca="false">IF(AND($D473&lt;&gt;"",OR($B473="결제완료",$B473="상담중")),1,0)</f>
        <v>0</v>
      </c>
      <c r="AD473" s="45" t="n">
        <f aca="false">IF(OR($Z473="",$U473=""),0,IFERROR(IF(COUNTIFS(INDEX(g_grid,0,2*MATCH($M473,강사DB!$A$4:$A$15,0)),"&lt;&gt;",g_s,"&lt;="&amp;$U473,g_e,"&gt;="&amp;$U473)&gt;0,1,0),0))</f>
        <v>0</v>
      </c>
      <c r="AE473" s="48"/>
      <c r="AF473" s="56" t="str">
        <f aca="false">IF(AND($D473&lt;&gt;"",$B473="결제완료",$T473="대여"),설정!$J$5,"")</f>
        <v/>
      </c>
      <c r="AG473" s="54" t="str">
        <f aca="false">IF($D473="","",IF(AND($E473="",$R473=""),$AB473,"☎ "&amp;IF($E473="","-",$E473)&amp;IF($R473&lt;&gt;"","  ※ "&amp;$R473,"")&amp;IF($B473="상담중"," (상담)","")))</f>
        <v/>
      </c>
      <c r="AH473" s="56" t="str">
        <f aca="false">IF(AND($D473&lt;&gt;"",$B473="결제완료",$O473="스마트스토어"),ROUND(N($N473)*설정!$J$6,0),"")</f>
        <v/>
      </c>
      <c r="AI473" s="54" t="str">
        <f aca="false">IF($D473="","",ROW())</f>
        <v/>
      </c>
      <c r="AJ473" s="54" t="n">
        <f aca="false">IF(OR($AC473&lt;&gt;1,$M473=""),0,IF(ISNUMBER(SEARCH("퇴사",IFERROR(INDEX(강사DB!$G$4:$G$53,MATCH($M473,강사DB!$A$4:$A$53,0)),""))),1,0))</f>
        <v>0</v>
      </c>
    </row>
    <row r="474" customFormat="false" ht="15" hidden="false" customHeight="false" outlineLevel="0" collapsed="false">
      <c r="A474" s="45" t="str">
        <f aca="false">IF($D474="","",COUNTA($D$5:$D474))</f>
        <v/>
      </c>
      <c r="B474" s="46"/>
      <c r="C474" s="47"/>
      <c r="D474" s="48"/>
      <c r="E474" s="48"/>
      <c r="F474" s="49"/>
      <c r="G474" s="47"/>
      <c r="H474" s="50"/>
      <c r="I474" s="50"/>
      <c r="J474" s="51" t="str">
        <f aca="false">IF(OR($V474="",$W474=""),"",ROUND(($W474-$V474)/60,2))</f>
        <v/>
      </c>
      <c r="K474" s="52" t="str">
        <f aca="false">IF($F474="","",LEN($F474)-LEN(SUBSTITUTE($F474,",",""))+1)</f>
        <v/>
      </c>
      <c r="L474" s="45" t="str">
        <f aca="false">IF($K474="","","1:"&amp;$K474)</f>
        <v/>
      </c>
      <c r="M474" s="46"/>
      <c r="N474" s="53"/>
      <c r="O474" s="46"/>
      <c r="P474" s="47"/>
      <c r="Q474" s="48"/>
      <c r="R474" s="49"/>
      <c r="S474" s="54" t="str">
        <f aca="false">IF(OR($AC474=0,$U474="",$M474="",$V474="",$W474=""),"",IF(COUNTIFS(m_teacher,$M474,m_date,$U474,m_active,1,m_start,"&lt;"&amp;$W474,m_end,"&gt;"&amp;$V474)&gt;1,"충돌",""))</f>
        <v/>
      </c>
      <c r="T474" s="48"/>
      <c r="U474" s="55" t="str">
        <f aca="false">IF($G474="","",IFERROR(IF(ISNUMBER($G474),IF($G474&gt;19000000,DATE(INT($G474/10000),MOD(INT($G474/100),100),MOD($G474,100)),INT($G474)),IF(LEN(SUBSTITUTE(SUBSTITUTE(SUBSTITUTE(TRIM($G474),"-",""),".",""),"/",""))=8,DATE(VALUE(LEFT(SUBSTITUTE(SUBSTITUTE(SUBSTITUTE(TRIM($G474),"-",""),".",""),"/",""),4)),VALUE(MID(SUBSTITUTE(SUBSTITUTE(SUBSTITUTE(TRIM($G474),"-",""),".",""),"/",""),5,2)),VALUE(RIGHT(SUBSTITUTE(SUBSTITUTE(SUBSTITUTE(TRIM($G474),"-",""),".",""),"/",""),2))),DATEVALUE($G474))),""))</f>
        <v/>
      </c>
      <c r="V474" s="52" t="str">
        <f aca="false">IF($H474="","",IFERROR(IF(IF(ISNUMBER($H474),$H474,IFERROR(TIMEVALUE($H474),VALUE($H474)))&gt;=100,INT(IF(ISNUMBER($H474),$H474,IFERROR(TIMEVALUE($H474),VALUE($H474)))/100)*60+MOD(IF(ISNUMBER($H474),$H474,IFERROR(TIMEVALUE($H474),VALUE($H474))),100),IF(IF(ISNUMBER($H474),$H474,IFERROR(TIMEVALUE($H474),VALUE($H474)))&gt;=1,ROUND(IF(ISNUMBER($H474),$H474,IFERROR(TIMEVALUE($H474),VALUE($H474)))*60,0),ROUND(MOD(IF(ISNUMBER($H474),$H474,IFERROR(TIMEVALUE($H474),VALUE($H474))),1)*1440,0))),""))</f>
        <v/>
      </c>
      <c r="W474" s="52" t="str">
        <f aca="false">IF($I474="","",IFERROR(IF(IF(ISNUMBER($I474),$I474,IFERROR(TIMEVALUE($I474),VALUE($I474)))&gt;=100,INT(IF(ISNUMBER($I474),$I474,IFERROR(TIMEVALUE($I474),VALUE($I474)))/100)*60+MOD(IF(ISNUMBER($I474),$I474,IFERROR(TIMEVALUE($I474),VALUE($I474))),100),IF(IF(ISNUMBER($I474),$I474,IFERROR(TIMEVALUE($I474),VALUE($I474)))&gt;=1,ROUND(IF(ISNUMBER($I474),$I474,IFERROR(TIMEVALUE($I474),VALUE($I474)))*60,0),ROUND(MOD(IF(ISNUMBER($I474),$I474,IFERROR(TIMEVALUE($I474),VALUE($I474))),1)*1440,0))),""))</f>
        <v/>
      </c>
      <c r="X474" s="55" t="str">
        <f aca="false">IF($P474="","",IFERROR(IF(ISNUMBER($P474),IF($P474&gt;19000000,DATE(INT($P474/10000),MOD(INT($P474/100),100),MOD($P474,100)),INT($P474)),IF(LEN(SUBSTITUTE(SUBSTITUTE(SUBSTITUTE(TRIM($P474),"-",""),".",""),"/",""))=8,DATE(VALUE(LEFT(SUBSTITUTE(SUBSTITUTE(SUBSTITUTE(TRIM($P474),"-",""),".",""),"/",""),4)),VALUE(MID(SUBSTITUTE(SUBSTITUTE(SUBSTITUTE(TRIM($P474),"-",""),".",""),"/",""),5,2)),VALUE(RIGHT(SUBSTITUTE(SUBSTITUTE(SUBSTITUTE(TRIM($P474),"-",""),".",""),"/",""),2))),DATEVALUE($P474))),""))</f>
        <v/>
      </c>
      <c r="Y474" s="56" t="str">
        <f aca="false">IF($M474="","",IFERROR(INDEX(강사DB!$D$4:$D$53,MATCH($M474,강사DB!$A$4:$A$53,0)),""))</f>
        <v/>
      </c>
      <c r="Z474" s="56" t="str">
        <f aca="false">IF($B474&lt;&gt;"결제완료","",IF(OR($Y474="",$J474=""),"",$Y474*$J474+MAX(0,N($K474)-1)*설정!$J$7))</f>
        <v/>
      </c>
      <c r="AA474" s="56" t="str">
        <f aca="false">IF(AND($D474&lt;&gt;"",$B474="결제완료"),N($N474),"")</f>
        <v/>
      </c>
      <c r="AB474" s="45" t="str">
        <f aca="false">IF($D474="","",IF($F474&lt;&gt;"",$F474,$D474)&amp;IF($B474="상담중"," (상담)",""))</f>
        <v/>
      </c>
      <c r="AC474" s="45" t="n">
        <f aca="false">IF(AND($D474&lt;&gt;"",OR($B474="결제완료",$B474="상담중")),1,0)</f>
        <v>0</v>
      </c>
      <c r="AD474" s="45" t="n">
        <f aca="false">IF(OR($Z474="",$U474=""),0,IFERROR(IF(COUNTIFS(INDEX(g_grid,0,2*MATCH($M474,강사DB!$A$4:$A$15,0)),"&lt;&gt;",g_s,"&lt;="&amp;$U474,g_e,"&gt;="&amp;$U474)&gt;0,1,0),0))</f>
        <v>0</v>
      </c>
      <c r="AE474" s="48"/>
      <c r="AF474" s="56" t="str">
        <f aca="false">IF(AND($D474&lt;&gt;"",$B474="결제완료",$T474="대여"),설정!$J$5,"")</f>
        <v/>
      </c>
      <c r="AG474" s="54" t="str">
        <f aca="false">IF($D474="","",IF(AND($E474="",$R474=""),$AB474,"☎ "&amp;IF($E474="","-",$E474)&amp;IF($R474&lt;&gt;"","  ※ "&amp;$R474,"")&amp;IF($B474="상담중"," (상담)","")))</f>
        <v/>
      </c>
      <c r="AH474" s="56" t="str">
        <f aca="false">IF(AND($D474&lt;&gt;"",$B474="결제완료",$O474="스마트스토어"),ROUND(N($N474)*설정!$J$6,0),"")</f>
        <v/>
      </c>
      <c r="AI474" s="54" t="str">
        <f aca="false">IF($D474="","",ROW())</f>
        <v/>
      </c>
      <c r="AJ474" s="54" t="n">
        <f aca="false">IF(OR($AC474&lt;&gt;1,$M474=""),0,IF(ISNUMBER(SEARCH("퇴사",IFERROR(INDEX(강사DB!$G$4:$G$53,MATCH($M474,강사DB!$A$4:$A$53,0)),""))),1,0))</f>
        <v>0</v>
      </c>
    </row>
    <row r="475" customFormat="false" ht="15" hidden="false" customHeight="false" outlineLevel="0" collapsed="false">
      <c r="A475" s="45" t="str">
        <f aca="false">IF($D475="","",COUNTA($D$5:$D475))</f>
        <v/>
      </c>
      <c r="B475" s="46"/>
      <c r="C475" s="47"/>
      <c r="D475" s="48"/>
      <c r="E475" s="48"/>
      <c r="F475" s="49"/>
      <c r="G475" s="47"/>
      <c r="H475" s="50"/>
      <c r="I475" s="50"/>
      <c r="J475" s="51" t="str">
        <f aca="false">IF(OR($V475="",$W475=""),"",ROUND(($W475-$V475)/60,2))</f>
        <v/>
      </c>
      <c r="K475" s="52" t="str">
        <f aca="false">IF($F475="","",LEN($F475)-LEN(SUBSTITUTE($F475,",",""))+1)</f>
        <v/>
      </c>
      <c r="L475" s="45" t="str">
        <f aca="false">IF($K475="","","1:"&amp;$K475)</f>
        <v/>
      </c>
      <c r="M475" s="46"/>
      <c r="N475" s="53"/>
      <c r="O475" s="46"/>
      <c r="P475" s="47"/>
      <c r="Q475" s="48"/>
      <c r="R475" s="49"/>
      <c r="S475" s="54" t="str">
        <f aca="false">IF(OR($AC475=0,$U475="",$M475="",$V475="",$W475=""),"",IF(COUNTIFS(m_teacher,$M475,m_date,$U475,m_active,1,m_start,"&lt;"&amp;$W475,m_end,"&gt;"&amp;$V475)&gt;1,"충돌",""))</f>
        <v/>
      </c>
      <c r="T475" s="48"/>
      <c r="U475" s="55" t="str">
        <f aca="false">IF($G475="","",IFERROR(IF(ISNUMBER($G475),IF($G475&gt;19000000,DATE(INT($G475/10000),MOD(INT($G475/100),100),MOD($G475,100)),INT($G475)),IF(LEN(SUBSTITUTE(SUBSTITUTE(SUBSTITUTE(TRIM($G475),"-",""),".",""),"/",""))=8,DATE(VALUE(LEFT(SUBSTITUTE(SUBSTITUTE(SUBSTITUTE(TRIM($G475),"-",""),".",""),"/",""),4)),VALUE(MID(SUBSTITUTE(SUBSTITUTE(SUBSTITUTE(TRIM($G475),"-",""),".",""),"/",""),5,2)),VALUE(RIGHT(SUBSTITUTE(SUBSTITUTE(SUBSTITUTE(TRIM($G475),"-",""),".",""),"/",""),2))),DATEVALUE($G475))),""))</f>
        <v/>
      </c>
      <c r="V475" s="52" t="str">
        <f aca="false">IF($H475="","",IFERROR(IF(IF(ISNUMBER($H475),$H475,IFERROR(TIMEVALUE($H475),VALUE($H475)))&gt;=100,INT(IF(ISNUMBER($H475),$H475,IFERROR(TIMEVALUE($H475),VALUE($H475)))/100)*60+MOD(IF(ISNUMBER($H475),$H475,IFERROR(TIMEVALUE($H475),VALUE($H475))),100),IF(IF(ISNUMBER($H475),$H475,IFERROR(TIMEVALUE($H475),VALUE($H475)))&gt;=1,ROUND(IF(ISNUMBER($H475),$H475,IFERROR(TIMEVALUE($H475),VALUE($H475)))*60,0),ROUND(MOD(IF(ISNUMBER($H475),$H475,IFERROR(TIMEVALUE($H475),VALUE($H475))),1)*1440,0))),""))</f>
        <v/>
      </c>
      <c r="W475" s="52" t="str">
        <f aca="false">IF($I475="","",IFERROR(IF(IF(ISNUMBER($I475),$I475,IFERROR(TIMEVALUE($I475),VALUE($I475)))&gt;=100,INT(IF(ISNUMBER($I475),$I475,IFERROR(TIMEVALUE($I475),VALUE($I475)))/100)*60+MOD(IF(ISNUMBER($I475),$I475,IFERROR(TIMEVALUE($I475),VALUE($I475))),100),IF(IF(ISNUMBER($I475),$I475,IFERROR(TIMEVALUE($I475),VALUE($I475)))&gt;=1,ROUND(IF(ISNUMBER($I475),$I475,IFERROR(TIMEVALUE($I475),VALUE($I475)))*60,0),ROUND(MOD(IF(ISNUMBER($I475),$I475,IFERROR(TIMEVALUE($I475),VALUE($I475))),1)*1440,0))),""))</f>
        <v/>
      </c>
      <c r="X475" s="55" t="str">
        <f aca="false">IF($P475="","",IFERROR(IF(ISNUMBER($P475),IF($P475&gt;19000000,DATE(INT($P475/10000),MOD(INT($P475/100),100),MOD($P475,100)),INT($P475)),IF(LEN(SUBSTITUTE(SUBSTITUTE(SUBSTITUTE(TRIM($P475),"-",""),".",""),"/",""))=8,DATE(VALUE(LEFT(SUBSTITUTE(SUBSTITUTE(SUBSTITUTE(TRIM($P475),"-",""),".",""),"/",""),4)),VALUE(MID(SUBSTITUTE(SUBSTITUTE(SUBSTITUTE(TRIM($P475),"-",""),".",""),"/",""),5,2)),VALUE(RIGHT(SUBSTITUTE(SUBSTITUTE(SUBSTITUTE(TRIM($P475),"-",""),".",""),"/",""),2))),DATEVALUE($P475))),""))</f>
        <v/>
      </c>
      <c r="Y475" s="56" t="str">
        <f aca="false">IF($M475="","",IFERROR(INDEX(강사DB!$D$4:$D$53,MATCH($M475,강사DB!$A$4:$A$53,0)),""))</f>
        <v/>
      </c>
      <c r="Z475" s="56" t="str">
        <f aca="false">IF($B475&lt;&gt;"결제완료","",IF(OR($Y475="",$J475=""),"",$Y475*$J475+MAX(0,N($K475)-1)*설정!$J$7))</f>
        <v/>
      </c>
      <c r="AA475" s="56" t="str">
        <f aca="false">IF(AND($D475&lt;&gt;"",$B475="결제완료"),N($N475),"")</f>
        <v/>
      </c>
      <c r="AB475" s="45" t="str">
        <f aca="false">IF($D475="","",IF($F475&lt;&gt;"",$F475,$D475)&amp;IF($B475="상담중"," (상담)",""))</f>
        <v/>
      </c>
      <c r="AC475" s="45" t="n">
        <f aca="false">IF(AND($D475&lt;&gt;"",OR($B475="결제완료",$B475="상담중")),1,0)</f>
        <v>0</v>
      </c>
      <c r="AD475" s="45" t="n">
        <f aca="false">IF(OR($Z475="",$U475=""),0,IFERROR(IF(COUNTIFS(INDEX(g_grid,0,2*MATCH($M475,강사DB!$A$4:$A$15,0)),"&lt;&gt;",g_s,"&lt;="&amp;$U475,g_e,"&gt;="&amp;$U475)&gt;0,1,0),0))</f>
        <v>0</v>
      </c>
      <c r="AE475" s="48"/>
      <c r="AF475" s="56" t="str">
        <f aca="false">IF(AND($D475&lt;&gt;"",$B475="결제완료",$T475="대여"),설정!$J$5,"")</f>
        <v/>
      </c>
      <c r="AG475" s="54" t="str">
        <f aca="false">IF($D475="","",IF(AND($E475="",$R475=""),$AB475,"☎ "&amp;IF($E475="","-",$E475)&amp;IF($R475&lt;&gt;"","  ※ "&amp;$R475,"")&amp;IF($B475="상담중"," (상담)","")))</f>
        <v/>
      </c>
      <c r="AH475" s="56" t="str">
        <f aca="false">IF(AND($D475&lt;&gt;"",$B475="결제완료",$O475="스마트스토어"),ROUND(N($N475)*설정!$J$6,0),"")</f>
        <v/>
      </c>
      <c r="AI475" s="54" t="str">
        <f aca="false">IF($D475="","",ROW())</f>
        <v/>
      </c>
      <c r="AJ475" s="54" t="n">
        <f aca="false">IF(OR($AC475&lt;&gt;1,$M475=""),0,IF(ISNUMBER(SEARCH("퇴사",IFERROR(INDEX(강사DB!$G$4:$G$53,MATCH($M475,강사DB!$A$4:$A$53,0)),""))),1,0))</f>
        <v>0</v>
      </c>
    </row>
    <row r="476" customFormat="false" ht="15" hidden="false" customHeight="false" outlineLevel="0" collapsed="false">
      <c r="A476" s="45" t="str">
        <f aca="false">IF($D476="","",COUNTA($D$5:$D476))</f>
        <v/>
      </c>
      <c r="B476" s="46"/>
      <c r="C476" s="47"/>
      <c r="D476" s="48"/>
      <c r="E476" s="48"/>
      <c r="F476" s="49"/>
      <c r="G476" s="47"/>
      <c r="H476" s="50"/>
      <c r="I476" s="50"/>
      <c r="J476" s="51" t="str">
        <f aca="false">IF(OR($V476="",$W476=""),"",ROUND(($W476-$V476)/60,2))</f>
        <v/>
      </c>
      <c r="K476" s="52" t="str">
        <f aca="false">IF($F476="","",LEN($F476)-LEN(SUBSTITUTE($F476,",",""))+1)</f>
        <v/>
      </c>
      <c r="L476" s="45" t="str">
        <f aca="false">IF($K476="","","1:"&amp;$K476)</f>
        <v/>
      </c>
      <c r="M476" s="46"/>
      <c r="N476" s="53"/>
      <c r="O476" s="46"/>
      <c r="P476" s="47"/>
      <c r="Q476" s="48"/>
      <c r="R476" s="49"/>
      <c r="S476" s="54" t="str">
        <f aca="false">IF(OR($AC476=0,$U476="",$M476="",$V476="",$W476=""),"",IF(COUNTIFS(m_teacher,$M476,m_date,$U476,m_active,1,m_start,"&lt;"&amp;$W476,m_end,"&gt;"&amp;$V476)&gt;1,"충돌",""))</f>
        <v/>
      </c>
      <c r="T476" s="48"/>
      <c r="U476" s="55" t="str">
        <f aca="false">IF($G476="","",IFERROR(IF(ISNUMBER($G476),IF($G476&gt;19000000,DATE(INT($G476/10000),MOD(INT($G476/100),100),MOD($G476,100)),INT($G476)),IF(LEN(SUBSTITUTE(SUBSTITUTE(SUBSTITUTE(TRIM($G476),"-",""),".",""),"/",""))=8,DATE(VALUE(LEFT(SUBSTITUTE(SUBSTITUTE(SUBSTITUTE(TRIM($G476),"-",""),".",""),"/",""),4)),VALUE(MID(SUBSTITUTE(SUBSTITUTE(SUBSTITUTE(TRIM($G476),"-",""),".",""),"/",""),5,2)),VALUE(RIGHT(SUBSTITUTE(SUBSTITUTE(SUBSTITUTE(TRIM($G476),"-",""),".",""),"/",""),2))),DATEVALUE($G476))),""))</f>
        <v/>
      </c>
      <c r="V476" s="52" t="str">
        <f aca="false">IF($H476="","",IFERROR(IF(IF(ISNUMBER($H476),$H476,IFERROR(TIMEVALUE($H476),VALUE($H476)))&gt;=100,INT(IF(ISNUMBER($H476),$H476,IFERROR(TIMEVALUE($H476),VALUE($H476)))/100)*60+MOD(IF(ISNUMBER($H476),$H476,IFERROR(TIMEVALUE($H476),VALUE($H476))),100),IF(IF(ISNUMBER($H476),$H476,IFERROR(TIMEVALUE($H476),VALUE($H476)))&gt;=1,ROUND(IF(ISNUMBER($H476),$H476,IFERROR(TIMEVALUE($H476),VALUE($H476)))*60,0),ROUND(MOD(IF(ISNUMBER($H476),$H476,IFERROR(TIMEVALUE($H476),VALUE($H476))),1)*1440,0))),""))</f>
        <v/>
      </c>
      <c r="W476" s="52" t="str">
        <f aca="false">IF($I476="","",IFERROR(IF(IF(ISNUMBER($I476),$I476,IFERROR(TIMEVALUE($I476),VALUE($I476)))&gt;=100,INT(IF(ISNUMBER($I476),$I476,IFERROR(TIMEVALUE($I476),VALUE($I476)))/100)*60+MOD(IF(ISNUMBER($I476),$I476,IFERROR(TIMEVALUE($I476),VALUE($I476))),100),IF(IF(ISNUMBER($I476),$I476,IFERROR(TIMEVALUE($I476),VALUE($I476)))&gt;=1,ROUND(IF(ISNUMBER($I476),$I476,IFERROR(TIMEVALUE($I476),VALUE($I476)))*60,0),ROUND(MOD(IF(ISNUMBER($I476),$I476,IFERROR(TIMEVALUE($I476),VALUE($I476))),1)*1440,0))),""))</f>
        <v/>
      </c>
      <c r="X476" s="55" t="str">
        <f aca="false">IF($P476="","",IFERROR(IF(ISNUMBER($P476),IF($P476&gt;19000000,DATE(INT($P476/10000),MOD(INT($P476/100),100),MOD($P476,100)),INT($P476)),IF(LEN(SUBSTITUTE(SUBSTITUTE(SUBSTITUTE(TRIM($P476),"-",""),".",""),"/",""))=8,DATE(VALUE(LEFT(SUBSTITUTE(SUBSTITUTE(SUBSTITUTE(TRIM($P476),"-",""),".",""),"/",""),4)),VALUE(MID(SUBSTITUTE(SUBSTITUTE(SUBSTITUTE(TRIM($P476),"-",""),".",""),"/",""),5,2)),VALUE(RIGHT(SUBSTITUTE(SUBSTITUTE(SUBSTITUTE(TRIM($P476),"-",""),".",""),"/",""),2))),DATEVALUE($P476))),""))</f>
        <v/>
      </c>
      <c r="Y476" s="56" t="str">
        <f aca="false">IF($M476="","",IFERROR(INDEX(강사DB!$D$4:$D$53,MATCH($M476,강사DB!$A$4:$A$53,0)),""))</f>
        <v/>
      </c>
      <c r="Z476" s="56" t="str">
        <f aca="false">IF($B476&lt;&gt;"결제완료","",IF(OR($Y476="",$J476=""),"",$Y476*$J476+MAX(0,N($K476)-1)*설정!$J$7))</f>
        <v/>
      </c>
      <c r="AA476" s="56" t="str">
        <f aca="false">IF(AND($D476&lt;&gt;"",$B476="결제완료"),N($N476),"")</f>
        <v/>
      </c>
      <c r="AB476" s="45" t="str">
        <f aca="false">IF($D476="","",IF($F476&lt;&gt;"",$F476,$D476)&amp;IF($B476="상담중"," (상담)",""))</f>
        <v/>
      </c>
      <c r="AC476" s="45" t="n">
        <f aca="false">IF(AND($D476&lt;&gt;"",OR($B476="결제완료",$B476="상담중")),1,0)</f>
        <v>0</v>
      </c>
      <c r="AD476" s="45" t="n">
        <f aca="false">IF(OR($Z476="",$U476=""),0,IFERROR(IF(COUNTIFS(INDEX(g_grid,0,2*MATCH($M476,강사DB!$A$4:$A$15,0)),"&lt;&gt;",g_s,"&lt;="&amp;$U476,g_e,"&gt;="&amp;$U476)&gt;0,1,0),0))</f>
        <v>0</v>
      </c>
      <c r="AE476" s="48"/>
      <c r="AF476" s="56" t="str">
        <f aca="false">IF(AND($D476&lt;&gt;"",$B476="결제완료",$T476="대여"),설정!$J$5,"")</f>
        <v/>
      </c>
      <c r="AG476" s="54" t="str">
        <f aca="false">IF($D476="","",IF(AND($E476="",$R476=""),$AB476,"☎ "&amp;IF($E476="","-",$E476)&amp;IF($R476&lt;&gt;"","  ※ "&amp;$R476,"")&amp;IF($B476="상담중"," (상담)","")))</f>
        <v/>
      </c>
      <c r="AH476" s="56" t="str">
        <f aca="false">IF(AND($D476&lt;&gt;"",$B476="결제완료",$O476="스마트스토어"),ROUND(N($N476)*설정!$J$6,0),"")</f>
        <v/>
      </c>
      <c r="AI476" s="54" t="str">
        <f aca="false">IF($D476="","",ROW())</f>
        <v/>
      </c>
      <c r="AJ476" s="54" t="n">
        <f aca="false">IF(OR($AC476&lt;&gt;1,$M476=""),0,IF(ISNUMBER(SEARCH("퇴사",IFERROR(INDEX(강사DB!$G$4:$G$53,MATCH($M476,강사DB!$A$4:$A$53,0)),""))),1,0))</f>
        <v>0</v>
      </c>
    </row>
    <row r="477" customFormat="false" ht="15" hidden="false" customHeight="false" outlineLevel="0" collapsed="false">
      <c r="A477" s="45" t="str">
        <f aca="false">IF($D477="","",COUNTA($D$5:$D477))</f>
        <v/>
      </c>
      <c r="B477" s="46"/>
      <c r="C477" s="47"/>
      <c r="D477" s="48"/>
      <c r="E477" s="48"/>
      <c r="F477" s="49"/>
      <c r="G477" s="47"/>
      <c r="H477" s="50"/>
      <c r="I477" s="50"/>
      <c r="J477" s="51" t="str">
        <f aca="false">IF(OR($V477="",$W477=""),"",ROUND(($W477-$V477)/60,2))</f>
        <v/>
      </c>
      <c r="K477" s="52" t="str">
        <f aca="false">IF($F477="","",LEN($F477)-LEN(SUBSTITUTE($F477,",",""))+1)</f>
        <v/>
      </c>
      <c r="L477" s="45" t="str">
        <f aca="false">IF($K477="","","1:"&amp;$K477)</f>
        <v/>
      </c>
      <c r="M477" s="46"/>
      <c r="N477" s="53"/>
      <c r="O477" s="46"/>
      <c r="P477" s="47"/>
      <c r="Q477" s="48"/>
      <c r="R477" s="49"/>
      <c r="S477" s="54" t="str">
        <f aca="false">IF(OR($AC477=0,$U477="",$M477="",$V477="",$W477=""),"",IF(COUNTIFS(m_teacher,$M477,m_date,$U477,m_active,1,m_start,"&lt;"&amp;$W477,m_end,"&gt;"&amp;$V477)&gt;1,"충돌",""))</f>
        <v/>
      </c>
      <c r="T477" s="48"/>
      <c r="U477" s="55" t="str">
        <f aca="false">IF($G477="","",IFERROR(IF(ISNUMBER($G477),IF($G477&gt;19000000,DATE(INT($G477/10000),MOD(INT($G477/100),100),MOD($G477,100)),INT($G477)),IF(LEN(SUBSTITUTE(SUBSTITUTE(SUBSTITUTE(TRIM($G477),"-",""),".",""),"/",""))=8,DATE(VALUE(LEFT(SUBSTITUTE(SUBSTITUTE(SUBSTITUTE(TRIM($G477),"-",""),".",""),"/",""),4)),VALUE(MID(SUBSTITUTE(SUBSTITUTE(SUBSTITUTE(TRIM($G477),"-",""),".",""),"/",""),5,2)),VALUE(RIGHT(SUBSTITUTE(SUBSTITUTE(SUBSTITUTE(TRIM($G477),"-",""),".",""),"/",""),2))),DATEVALUE($G477))),""))</f>
        <v/>
      </c>
      <c r="V477" s="52" t="str">
        <f aca="false">IF($H477="","",IFERROR(IF(IF(ISNUMBER($H477),$H477,IFERROR(TIMEVALUE($H477),VALUE($H477)))&gt;=100,INT(IF(ISNUMBER($H477),$H477,IFERROR(TIMEVALUE($H477),VALUE($H477)))/100)*60+MOD(IF(ISNUMBER($H477),$H477,IFERROR(TIMEVALUE($H477),VALUE($H477))),100),IF(IF(ISNUMBER($H477),$H477,IFERROR(TIMEVALUE($H477),VALUE($H477)))&gt;=1,ROUND(IF(ISNUMBER($H477),$H477,IFERROR(TIMEVALUE($H477),VALUE($H477)))*60,0),ROUND(MOD(IF(ISNUMBER($H477),$H477,IFERROR(TIMEVALUE($H477),VALUE($H477))),1)*1440,0))),""))</f>
        <v/>
      </c>
      <c r="W477" s="52" t="str">
        <f aca="false">IF($I477="","",IFERROR(IF(IF(ISNUMBER($I477),$I477,IFERROR(TIMEVALUE($I477),VALUE($I477)))&gt;=100,INT(IF(ISNUMBER($I477),$I477,IFERROR(TIMEVALUE($I477),VALUE($I477)))/100)*60+MOD(IF(ISNUMBER($I477),$I477,IFERROR(TIMEVALUE($I477),VALUE($I477))),100),IF(IF(ISNUMBER($I477),$I477,IFERROR(TIMEVALUE($I477),VALUE($I477)))&gt;=1,ROUND(IF(ISNUMBER($I477),$I477,IFERROR(TIMEVALUE($I477),VALUE($I477)))*60,0),ROUND(MOD(IF(ISNUMBER($I477),$I477,IFERROR(TIMEVALUE($I477),VALUE($I477))),1)*1440,0))),""))</f>
        <v/>
      </c>
      <c r="X477" s="55" t="str">
        <f aca="false">IF($P477="","",IFERROR(IF(ISNUMBER($P477),IF($P477&gt;19000000,DATE(INT($P477/10000),MOD(INT($P477/100),100),MOD($P477,100)),INT($P477)),IF(LEN(SUBSTITUTE(SUBSTITUTE(SUBSTITUTE(TRIM($P477),"-",""),".",""),"/",""))=8,DATE(VALUE(LEFT(SUBSTITUTE(SUBSTITUTE(SUBSTITUTE(TRIM($P477),"-",""),".",""),"/",""),4)),VALUE(MID(SUBSTITUTE(SUBSTITUTE(SUBSTITUTE(TRIM($P477),"-",""),".",""),"/",""),5,2)),VALUE(RIGHT(SUBSTITUTE(SUBSTITUTE(SUBSTITUTE(TRIM($P477),"-",""),".",""),"/",""),2))),DATEVALUE($P477))),""))</f>
        <v/>
      </c>
      <c r="Y477" s="56" t="str">
        <f aca="false">IF($M477="","",IFERROR(INDEX(강사DB!$D$4:$D$53,MATCH($M477,강사DB!$A$4:$A$53,0)),""))</f>
        <v/>
      </c>
      <c r="Z477" s="56" t="str">
        <f aca="false">IF($B477&lt;&gt;"결제완료","",IF(OR($Y477="",$J477=""),"",$Y477*$J477+MAX(0,N($K477)-1)*설정!$J$7))</f>
        <v/>
      </c>
      <c r="AA477" s="56" t="str">
        <f aca="false">IF(AND($D477&lt;&gt;"",$B477="결제완료"),N($N477),"")</f>
        <v/>
      </c>
      <c r="AB477" s="45" t="str">
        <f aca="false">IF($D477="","",IF($F477&lt;&gt;"",$F477,$D477)&amp;IF($B477="상담중"," (상담)",""))</f>
        <v/>
      </c>
      <c r="AC477" s="45" t="n">
        <f aca="false">IF(AND($D477&lt;&gt;"",OR($B477="결제완료",$B477="상담중")),1,0)</f>
        <v>0</v>
      </c>
      <c r="AD477" s="45" t="n">
        <f aca="false">IF(OR($Z477="",$U477=""),0,IFERROR(IF(COUNTIFS(INDEX(g_grid,0,2*MATCH($M477,강사DB!$A$4:$A$15,0)),"&lt;&gt;",g_s,"&lt;="&amp;$U477,g_e,"&gt;="&amp;$U477)&gt;0,1,0),0))</f>
        <v>0</v>
      </c>
      <c r="AE477" s="48"/>
      <c r="AF477" s="56" t="str">
        <f aca="false">IF(AND($D477&lt;&gt;"",$B477="결제완료",$T477="대여"),설정!$J$5,"")</f>
        <v/>
      </c>
      <c r="AG477" s="54" t="str">
        <f aca="false">IF($D477="","",IF(AND($E477="",$R477=""),$AB477,"☎ "&amp;IF($E477="","-",$E477)&amp;IF($R477&lt;&gt;"","  ※ "&amp;$R477,"")&amp;IF($B477="상담중"," (상담)","")))</f>
        <v/>
      </c>
      <c r="AH477" s="56" t="str">
        <f aca="false">IF(AND($D477&lt;&gt;"",$B477="결제완료",$O477="스마트스토어"),ROUND(N($N477)*설정!$J$6,0),"")</f>
        <v/>
      </c>
      <c r="AI477" s="54" t="str">
        <f aca="false">IF($D477="","",ROW())</f>
        <v/>
      </c>
      <c r="AJ477" s="54" t="n">
        <f aca="false">IF(OR($AC477&lt;&gt;1,$M477=""),0,IF(ISNUMBER(SEARCH("퇴사",IFERROR(INDEX(강사DB!$G$4:$G$53,MATCH($M477,강사DB!$A$4:$A$53,0)),""))),1,0))</f>
        <v>0</v>
      </c>
    </row>
    <row r="478" customFormat="false" ht="15" hidden="false" customHeight="false" outlineLevel="0" collapsed="false">
      <c r="A478" s="45" t="str">
        <f aca="false">IF($D478="","",COUNTA($D$5:$D478))</f>
        <v/>
      </c>
      <c r="B478" s="46"/>
      <c r="C478" s="47"/>
      <c r="D478" s="48"/>
      <c r="E478" s="48"/>
      <c r="F478" s="49"/>
      <c r="G478" s="47"/>
      <c r="H478" s="50"/>
      <c r="I478" s="50"/>
      <c r="J478" s="51" t="str">
        <f aca="false">IF(OR($V478="",$W478=""),"",ROUND(($W478-$V478)/60,2))</f>
        <v/>
      </c>
      <c r="K478" s="52" t="str">
        <f aca="false">IF($F478="","",LEN($F478)-LEN(SUBSTITUTE($F478,",",""))+1)</f>
        <v/>
      </c>
      <c r="L478" s="45" t="str">
        <f aca="false">IF($K478="","","1:"&amp;$K478)</f>
        <v/>
      </c>
      <c r="M478" s="46"/>
      <c r="N478" s="53"/>
      <c r="O478" s="46"/>
      <c r="P478" s="47"/>
      <c r="Q478" s="48"/>
      <c r="R478" s="49"/>
      <c r="S478" s="54" t="str">
        <f aca="false">IF(OR($AC478=0,$U478="",$M478="",$V478="",$W478=""),"",IF(COUNTIFS(m_teacher,$M478,m_date,$U478,m_active,1,m_start,"&lt;"&amp;$W478,m_end,"&gt;"&amp;$V478)&gt;1,"충돌",""))</f>
        <v/>
      </c>
      <c r="T478" s="48"/>
      <c r="U478" s="55" t="str">
        <f aca="false">IF($G478="","",IFERROR(IF(ISNUMBER($G478),IF($G478&gt;19000000,DATE(INT($G478/10000),MOD(INT($G478/100),100),MOD($G478,100)),INT($G478)),IF(LEN(SUBSTITUTE(SUBSTITUTE(SUBSTITUTE(TRIM($G478),"-",""),".",""),"/",""))=8,DATE(VALUE(LEFT(SUBSTITUTE(SUBSTITUTE(SUBSTITUTE(TRIM($G478),"-",""),".",""),"/",""),4)),VALUE(MID(SUBSTITUTE(SUBSTITUTE(SUBSTITUTE(TRIM($G478),"-",""),".",""),"/",""),5,2)),VALUE(RIGHT(SUBSTITUTE(SUBSTITUTE(SUBSTITUTE(TRIM($G478),"-",""),".",""),"/",""),2))),DATEVALUE($G478))),""))</f>
        <v/>
      </c>
      <c r="V478" s="52" t="str">
        <f aca="false">IF($H478="","",IFERROR(IF(IF(ISNUMBER($H478),$H478,IFERROR(TIMEVALUE($H478),VALUE($H478)))&gt;=100,INT(IF(ISNUMBER($H478),$H478,IFERROR(TIMEVALUE($H478),VALUE($H478)))/100)*60+MOD(IF(ISNUMBER($H478),$H478,IFERROR(TIMEVALUE($H478),VALUE($H478))),100),IF(IF(ISNUMBER($H478),$H478,IFERROR(TIMEVALUE($H478),VALUE($H478)))&gt;=1,ROUND(IF(ISNUMBER($H478),$H478,IFERROR(TIMEVALUE($H478),VALUE($H478)))*60,0),ROUND(MOD(IF(ISNUMBER($H478),$H478,IFERROR(TIMEVALUE($H478),VALUE($H478))),1)*1440,0))),""))</f>
        <v/>
      </c>
      <c r="W478" s="52" t="str">
        <f aca="false">IF($I478="","",IFERROR(IF(IF(ISNUMBER($I478),$I478,IFERROR(TIMEVALUE($I478),VALUE($I478)))&gt;=100,INT(IF(ISNUMBER($I478),$I478,IFERROR(TIMEVALUE($I478),VALUE($I478)))/100)*60+MOD(IF(ISNUMBER($I478),$I478,IFERROR(TIMEVALUE($I478),VALUE($I478))),100),IF(IF(ISNUMBER($I478),$I478,IFERROR(TIMEVALUE($I478),VALUE($I478)))&gt;=1,ROUND(IF(ISNUMBER($I478),$I478,IFERROR(TIMEVALUE($I478),VALUE($I478)))*60,0),ROUND(MOD(IF(ISNUMBER($I478),$I478,IFERROR(TIMEVALUE($I478),VALUE($I478))),1)*1440,0))),""))</f>
        <v/>
      </c>
      <c r="X478" s="55" t="str">
        <f aca="false">IF($P478="","",IFERROR(IF(ISNUMBER($P478),IF($P478&gt;19000000,DATE(INT($P478/10000),MOD(INT($P478/100),100),MOD($P478,100)),INT($P478)),IF(LEN(SUBSTITUTE(SUBSTITUTE(SUBSTITUTE(TRIM($P478),"-",""),".",""),"/",""))=8,DATE(VALUE(LEFT(SUBSTITUTE(SUBSTITUTE(SUBSTITUTE(TRIM($P478),"-",""),".",""),"/",""),4)),VALUE(MID(SUBSTITUTE(SUBSTITUTE(SUBSTITUTE(TRIM($P478),"-",""),".",""),"/",""),5,2)),VALUE(RIGHT(SUBSTITUTE(SUBSTITUTE(SUBSTITUTE(TRIM($P478),"-",""),".",""),"/",""),2))),DATEVALUE($P478))),""))</f>
        <v/>
      </c>
      <c r="Y478" s="56" t="str">
        <f aca="false">IF($M478="","",IFERROR(INDEX(강사DB!$D$4:$D$53,MATCH($M478,강사DB!$A$4:$A$53,0)),""))</f>
        <v/>
      </c>
      <c r="Z478" s="56" t="str">
        <f aca="false">IF($B478&lt;&gt;"결제완료","",IF(OR($Y478="",$J478=""),"",$Y478*$J478+MAX(0,N($K478)-1)*설정!$J$7))</f>
        <v/>
      </c>
      <c r="AA478" s="56" t="str">
        <f aca="false">IF(AND($D478&lt;&gt;"",$B478="결제완료"),N($N478),"")</f>
        <v/>
      </c>
      <c r="AB478" s="45" t="str">
        <f aca="false">IF($D478="","",IF($F478&lt;&gt;"",$F478,$D478)&amp;IF($B478="상담중"," (상담)",""))</f>
        <v/>
      </c>
      <c r="AC478" s="45" t="n">
        <f aca="false">IF(AND($D478&lt;&gt;"",OR($B478="결제완료",$B478="상담중")),1,0)</f>
        <v>0</v>
      </c>
      <c r="AD478" s="45" t="n">
        <f aca="false">IF(OR($Z478="",$U478=""),0,IFERROR(IF(COUNTIFS(INDEX(g_grid,0,2*MATCH($M478,강사DB!$A$4:$A$15,0)),"&lt;&gt;",g_s,"&lt;="&amp;$U478,g_e,"&gt;="&amp;$U478)&gt;0,1,0),0))</f>
        <v>0</v>
      </c>
      <c r="AE478" s="48"/>
      <c r="AF478" s="56" t="str">
        <f aca="false">IF(AND($D478&lt;&gt;"",$B478="결제완료",$T478="대여"),설정!$J$5,"")</f>
        <v/>
      </c>
      <c r="AG478" s="54" t="str">
        <f aca="false">IF($D478="","",IF(AND($E478="",$R478=""),$AB478,"☎ "&amp;IF($E478="","-",$E478)&amp;IF($R478&lt;&gt;"","  ※ "&amp;$R478,"")&amp;IF($B478="상담중"," (상담)","")))</f>
        <v/>
      </c>
      <c r="AH478" s="56" t="str">
        <f aca="false">IF(AND($D478&lt;&gt;"",$B478="결제완료",$O478="스마트스토어"),ROUND(N($N478)*설정!$J$6,0),"")</f>
        <v/>
      </c>
      <c r="AI478" s="54" t="str">
        <f aca="false">IF($D478="","",ROW())</f>
        <v/>
      </c>
      <c r="AJ478" s="54" t="n">
        <f aca="false">IF(OR($AC478&lt;&gt;1,$M478=""),0,IF(ISNUMBER(SEARCH("퇴사",IFERROR(INDEX(강사DB!$G$4:$G$53,MATCH($M478,강사DB!$A$4:$A$53,0)),""))),1,0))</f>
        <v>0</v>
      </c>
    </row>
    <row r="479" customFormat="false" ht="15" hidden="false" customHeight="false" outlineLevel="0" collapsed="false">
      <c r="A479" s="45" t="str">
        <f aca="false">IF($D479="","",COUNTA($D$5:$D479))</f>
        <v/>
      </c>
      <c r="B479" s="46"/>
      <c r="C479" s="47"/>
      <c r="D479" s="48"/>
      <c r="E479" s="48"/>
      <c r="F479" s="49"/>
      <c r="G479" s="47"/>
      <c r="H479" s="50"/>
      <c r="I479" s="50"/>
      <c r="J479" s="51" t="str">
        <f aca="false">IF(OR($V479="",$W479=""),"",ROUND(($W479-$V479)/60,2))</f>
        <v/>
      </c>
      <c r="K479" s="52" t="str">
        <f aca="false">IF($F479="","",LEN($F479)-LEN(SUBSTITUTE($F479,",",""))+1)</f>
        <v/>
      </c>
      <c r="L479" s="45" t="str">
        <f aca="false">IF($K479="","","1:"&amp;$K479)</f>
        <v/>
      </c>
      <c r="M479" s="46"/>
      <c r="N479" s="53"/>
      <c r="O479" s="46"/>
      <c r="P479" s="47"/>
      <c r="Q479" s="48"/>
      <c r="R479" s="49"/>
      <c r="S479" s="54" t="str">
        <f aca="false">IF(OR($AC479=0,$U479="",$M479="",$V479="",$W479=""),"",IF(COUNTIFS(m_teacher,$M479,m_date,$U479,m_active,1,m_start,"&lt;"&amp;$W479,m_end,"&gt;"&amp;$V479)&gt;1,"충돌",""))</f>
        <v/>
      </c>
      <c r="T479" s="48"/>
      <c r="U479" s="55" t="str">
        <f aca="false">IF($G479="","",IFERROR(IF(ISNUMBER($G479),IF($G479&gt;19000000,DATE(INT($G479/10000),MOD(INT($G479/100),100),MOD($G479,100)),INT($G479)),IF(LEN(SUBSTITUTE(SUBSTITUTE(SUBSTITUTE(TRIM($G479),"-",""),".",""),"/",""))=8,DATE(VALUE(LEFT(SUBSTITUTE(SUBSTITUTE(SUBSTITUTE(TRIM($G479),"-",""),".",""),"/",""),4)),VALUE(MID(SUBSTITUTE(SUBSTITUTE(SUBSTITUTE(TRIM($G479),"-",""),".",""),"/",""),5,2)),VALUE(RIGHT(SUBSTITUTE(SUBSTITUTE(SUBSTITUTE(TRIM($G479),"-",""),".",""),"/",""),2))),DATEVALUE($G479))),""))</f>
        <v/>
      </c>
      <c r="V479" s="52" t="str">
        <f aca="false">IF($H479="","",IFERROR(IF(IF(ISNUMBER($H479),$H479,IFERROR(TIMEVALUE($H479),VALUE($H479)))&gt;=100,INT(IF(ISNUMBER($H479),$H479,IFERROR(TIMEVALUE($H479),VALUE($H479)))/100)*60+MOD(IF(ISNUMBER($H479),$H479,IFERROR(TIMEVALUE($H479),VALUE($H479))),100),IF(IF(ISNUMBER($H479),$H479,IFERROR(TIMEVALUE($H479),VALUE($H479)))&gt;=1,ROUND(IF(ISNUMBER($H479),$H479,IFERROR(TIMEVALUE($H479),VALUE($H479)))*60,0),ROUND(MOD(IF(ISNUMBER($H479),$H479,IFERROR(TIMEVALUE($H479),VALUE($H479))),1)*1440,0))),""))</f>
        <v/>
      </c>
      <c r="W479" s="52" t="str">
        <f aca="false">IF($I479="","",IFERROR(IF(IF(ISNUMBER($I479),$I479,IFERROR(TIMEVALUE($I479),VALUE($I479)))&gt;=100,INT(IF(ISNUMBER($I479),$I479,IFERROR(TIMEVALUE($I479),VALUE($I479)))/100)*60+MOD(IF(ISNUMBER($I479),$I479,IFERROR(TIMEVALUE($I479),VALUE($I479))),100),IF(IF(ISNUMBER($I479),$I479,IFERROR(TIMEVALUE($I479),VALUE($I479)))&gt;=1,ROUND(IF(ISNUMBER($I479),$I479,IFERROR(TIMEVALUE($I479),VALUE($I479)))*60,0),ROUND(MOD(IF(ISNUMBER($I479),$I479,IFERROR(TIMEVALUE($I479),VALUE($I479))),1)*1440,0))),""))</f>
        <v/>
      </c>
      <c r="X479" s="55" t="str">
        <f aca="false">IF($P479="","",IFERROR(IF(ISNUMBER($P479),IF($P479&gt;19000000,DATE(INT($P479/10000),MOD(INT($P479/100),100),MOD($P479,100)),INT($P479)),IF(LEN(SUBSTITUTE(SUBSTITUTE(SUBSTITUTE(TRIM($P479),"-",""),".",""),"/",""))=8,DATE(VALUE(LEFT(SUBSTITUTE(SUBSTITUTE(SUBSTITUTE(TRIM($P479),"-",""),".",""),"/",""),4)),VALUE(MID(SUBSTITUTE(SUBSTITUTE(SUBSTITUTE(TRIM($P479),"-",""),".",""),"/",""),5,2)),VALUE(RIGHT(SUBSTITUTE(SUBSTITUTE(SUBSTITUTE(TRIM($P479),"-",""),".",""),"/",""),2))),DATEVALUE($P479))),""))</f>
        <v/>
      </c>
      <c r="Y479" s="56" t="str">
        <f aca="false">IF($M479="","",IFERROR(INDEX(강사DB!$D$4:$D$53,MATCH($M479,강사DB!$A$4:$A$53,0)),""))</f>
        <v/>
      </c>
      <c r="Z479" s="56" t="str">
        <f aca="false">IF($B479&lt;&gt;"결제완료","",IF(OR($Y479="",$J479=""),"",$Y479*$J479+MAX(0,N($K479)-1)*설정!$J$7))</f>
        <v/>
      </c>
      <c r="AA479" s="56" t="str">
        <f aca="false">IF(AND($D479&lt;&gt;"",$B479="결제완료"),N($N479),"")</f>
        <v/>
      </c>
      <c r="AB479" s="45" t="str">
        <f aca="false">IF($D479="","",IF($F479&lt;&gt;"",$F479,$D479)&amp;IF($B479="상담중"," (상담)",""))</f>
        <v/>
      </c>
      <c r="AC479" s="45" t="n">
        <f aca="false">IF(AND($D479&lt;&gt;"",OR($B479="결제완료",$B479="상담중")),1,0)</f>
        <v>0</v>
      </c>
      <c r="AD479" s="45" t="n">
        <f aca="false">IF(OR($Z479="",$U479=""),0,IFERROR(IF(COUNTIFS(INDEX(g_grid,0,2*MATCH($M479,강사DB!$A$4:$A$15,0)),"&lt;&gt;",g_s,"&lt;="&amp;$U479,g_e,"&gt;="&amp;$U479)&gt;0,1,0),0))</f>
        <v>0</v>
      </c>
      <c r="AE479" s="48"/>
      <c r="AF479" s="56" t="str">
        <f aca="false">IF(AND($D479&lt;&gt;"",$B479="결제완료",$T479="대여"),설정!$J$5,"")</f>
        <v/>
      </c>
      <c r="AG479" s="54" t="str">
        <f aca="false">IF($D479="","",IF(AND($E479="",$R479=""),$AB479,"☎ "&amp;IF($E479="","-",$E479)&amp;IF($R479&lt;&gt;"","  ※ "&amp;$R479,"")&amp;IF($B479="상담중"," (상담)","")))</f>
        <v/>
      </c>
      <c r="AH479" s="56" t="str">
        <f aca="false">IF(AND($D479&lt;&gt;"",$B479="결제완료",$O479="스마트스토어"),ROUND(N($N479)*설정!$J$6,0),"")</f>
        <v/>
      </c>
      <c r="AI479" s="54" t="str">
        <f aca="false">IF($D479="","",ROW())</f>
        <v/>
      </c>
      <c r="AJ479" s="54" t="n">
        <f aca="false">IF(OR($AC479&lt;&gt;1,$M479=""),0,IF(ISNUMBER(SEARCH("퇴사",IFERROR(INDEX(강사DB!$G$4:$G$53,MATCH($M479,강사DB!$A$4:$A$53,0)),""))),1,0))</f>
        <v>0</v>
      </c>
    </row>
    <row r="480" customFormat="false" ht="15" hidden="false" customHeight="false" outlineLevel="0" collapsed="false">
      <c r="A480" s="45" t="str">
        <f aca="false">IF($D480="","",COUNTA($D$5:$D480))</f>
        <v/>
      </c>
      <c r="B480" s="46"/>
      <c r="C480" s="47"/>
      <c r="D480" s="48"/>
      <c r="E480" s="48"/>
      <c r="F480" s="49"/>
      <c r="G480" s="47"/>
      <c r="H480" s="50"/>
      <c r="I480" s="50"/>
      <c r="J480" s="51" t="str">
        <f aca="false">IF(OR($V480="",$W480=""),"",ROUND(($W480-$V480)/60,2))</f>
        <v/>
      </c>
      <c r="K480" s="52" t="str">
        <f aca="false">IF($F480="","",LEN($F480)-LEN(SUBSTITUTE($F480,",",""))+1)</f>
        <v/>
      </c>
      <c r="L480" s="45" t="str">
        <f aca="false">IF($K480="","","1:"&amp;$K480)</f>
        <v/>
      </c>
      <c r="M480" s="46"/>
      <c r="N480" s="53"/>
      <c r="O480" s="46"/>
      <c r="P480" s="47"/>
      <c r="Q480" s="48"/>
      <c r="R480" s="49"/>
      <c r="S480" s="54" t="str">
        <f aca="false">IF(OR($AC480=0,$U480="",$M480="",$V480="",$W480=""),"",IF(COUNTIFS(m_teacher,$M480,m_date,$U480,m_active,1,m_start,"&lt;"&amp;$W480,m_end,"&gt;"&amp;$V480)&gt;1,"충돌",""))</f>
        <v/>
      </c>
      <c r="T480" s="48"/>
      <c r="U480" s="55" t="str">
        <f aca="false">IF($G480="","",IFERROR(IF(ISNUMBER($G480),IF($G480&gt;19000000,DATE(INT($G480/10000),MOD(INT($G480/100),100),MOD($G480,100)),INT($G480)),IF(LEN(SUBSTITUTE(SUBSTITUTE(SUBSTITUTE(TRIM($G480),"-",""),".",""),"/",""))=8,DATE(VALUE(LEFT(SUBSTITUTE(SUBSTITUTE(SUBSTITUTE(TRIM($G480),"-",""),".",""),"/",""),4)),VALUE(MID(SUBSTITUTE(SUBSTITUTE(SUBSTITUTE(TRIM($G480),"-",""),".",""),"/",""),5,2)),VALUE(RIGHT(SUBSTITUTE(SUBSTITUTE(SUBSTITUTE(TRIM($G480),"-",""),".",""),"/",""),2))),DATEVALUE($G480))),""))</f>
        <v/>
      </c>
      <c r="V480" s="52" t="str">
        <f aca="false">IF($H480="","",IFERROR(IF(IF(ISNUMBER($H480),$H480,IFERROR(TIMEVALUE($H480),VALUE($H480)))&gt;=100,INT(IF(ISNUMBER($H480),$H480,IFERROR(TIMEVALUE($H480),VALUE($H480)))/100)*60+MOD(IF(ISNUMBER($H480),$H480,IFERROR(TIMEVALUE($H480),VALUE($H480))),100),IF(IF(ISNUMBER($H480),$H480,IFERROR(TIMEVALUE($H480),VALUE($H480)))&gt;=1,ROUND(IF(ISNUMBER($H480),$H480,IFERROR(TIMEVALUE($H480),VALUE($H480)))*60,0),ROUND(MOD(IF(ISNUMBER($H480),$H480,IFERROR(TIMEVALUE($H480),VALUE($H480))),1)*1440,0))),""))</f>
        <v/>
      </c>
      <c r="W480" s="52" t="str">
        <f aca="false">IF($I480="","",IFERROR(IF(IF(ISNUMBER($I480),$I480,IFERROR(TIMEVALUE($I480),VALUE($I480)))&gt;=100,INT(IF(ISNUMBER($I480),$I480,IFERROR(TIMEVALUE($I480),VALUE($I480)))/100)*60+MOD(IF(ISNUMBER($I480),$I480,IFERROR(TIMEVALUE($I480),VALUE($I480))),100),IF(IF(ISNUMBER($I480),$I480,IFERROR(TIMEVALUE($I480),VALUE($I480)))&gt;=1,ROUND(IF(ISNUMBER($I480),$I480,IFERROR(TIMEVALUE($I480),VALUE($I480)))*60,0),ROUND(MOD(IF(ISNUMBER($I480),$I480,IFERROR(TIMEVALUE($I480),VALUE($I480))),1)*1440,0))),""))</f>
        <v/>
      </c>
      <c r="X480" s="55" t="str">
        <f aca="false">IF($P480="","",IFERROR(IF(ISNUMBER($P480),IF($P480&gt;19000000,DATE(INT($P480/10000),MOD(INT($P480/100),100),MOD($P480,100)),INT($P480)),IF(LEN(SUBSTITUTE(SUBSTITUTE(SUBSTITUTE(TRIM($P480),"-",""),".",""),"/",""))=8,DATE(VALUE(LEFT(SUBSTITUTE(SUBSTITUTE(SUBSTITUTE(TRIM($P480),"-",""),".",""),"/",""),4)),VALUE(MID(SUBSTITUTE(SUBSTITUTE(SUBSTITUTE(TRIM($P480),"-",""),".",""),"/",""),5,2)),VALUE(RIGHT(SUBSTITUTE(SUBSTITUTE(SUBSTITUTE(TRIM($P480),"-",""),".",""),"/",""),2))),DATEVALUE($P480))),""))</f>
        <v/>
      </c>
      <c r="Y480" s="56" t="str">
        <f aca="false">IF($M480="","",IFERROR(INDEX(강사DB!$D$4:$D$53,MATCH($M480,강사DB!$A$4:$A$53,0)),""))</f>
        <v/>
      </c>
      <c r="Z480" s="56" t="str">
        <f aca="false">IF($B480&lt;&gt;"결제완료","",IF(OR($Y480="",$J480=""),"",$Y480*$J480+MAX(0,N($K480)-1)*설정!$J$7))</f>
        <v/>
      </c>
      <c r="AA480" s="56" t="str">
        <f aca="false">IF(AND($D480&lt;&gt;"",$B480="결제완료"),N($N480),"")</f>
        <v/>
      </c>
      <c r="AB480" s="45" t="str">
        <f aca="false">IF($D480="","",IF($F480&lt;&gt;"",$F480,$D480)&amp;IF($B480="상담중"," (상담)",""))</f>
        <v/>
      </c>
      <c r="AC480" s="45" t="n">
        <f aca="false">IF(AND($D480&lt;&gt;"",OR($B480="결제완료",$B480="상담중")),1,0)</f>
        <v>0</v>
      </c>
      <c r="AD480" s="45" t="n">
        <f aca="false">IF(OR($Z480="",$U480=""),0,IFERROR(IF(COUNTIFS(INDEX(g_grid,0,2*MATCH($M480,강사DB!$A$4:$A$15,0)),"&lt;&gt;",g_s,"&lt;="&amp;$U480,g_e,"&gt;="&amp;$U480)&gt;0,1,0),0))</f>
        <v>0</v>
      </c>
      <c r="AE480" s="48"/>
      <c r="AF480" s="56" t="str">
        <f aca="false">IF(AND($D480&lt;&gt;"",$B480="결제완료",$T480="대여"),설정!$J$5,"")</f>
        <v/>
      </c>
      <c r="AG480" s="54" t="str">
        <f aca="false">IF($D480="","",IF(AND($E480="",$R480=""),$AB480,"☎ "&amp;IF($E480="","-",$E480)&amp;IF($R480&lt;&gt;"","  ※ "&amp;$R480,"")&amp;IF($B480="상담중"," (상담)","")))</f>
        <v/>
      </c>
      <c r="AH480" s="56" t="str">
        <f aca="false">IF(AND($D480&lt;&gt;"",$B480="결제완료",$O480="스마트스토어"),ROUND(N($N480)*설정!$J$6,0),"")</f>
        <v/>
      </c>
      <c r="AI480" s="54" t="str">
        <f aca="false">IF($D480="","",ROW())</f>
        <v/>
      </c>
      <c r="AJ480" s="54" t="n">
        <f aca="false">IF(OR($AC480&lt;&gt;1,$M480=""),0,IF(ISNUMBER(SEARCH("퇴사",IFERROR(INDEX(강사DB!$G$4:$G$53,MATCH($M480,강사DB!$A$4:$A$53,0)),""))),1,0))</f>
        <v>0</v>
      </c>
    </row>
    <row r="481" customFormat="false" ht="15" hidden="false" customHeight="false" outlineLevel="0" collapsed="false">
      <c r="A481" s="45" t="str">
        <f aca="false">IF($D481="","",COUNTA($D$5:$D481))</f>
        <v/>
      </c>
      <c r="B481" s="46"/>
      <c r="C481" s="47"/>
      <c r="D481" s="48"/>
      <c r="E481" s="48"/>
      <c r="F481" s="49"/>
      <c r="G481" s="47"/>
      <c r="H481" s="50"/>
      <c r="I481" s="50"/>
      <c r="J481" s="51" t="str">
        <f aca="false">IF(OR($V481="",$W481=""),"",ROUND(($W481-$V481)/60,2))</f>
        <v/>
      </c>
      <c r="K481" s="52" t="str">
        <f aca="false">IF($F481="","",LEN($F481)-LEN(SUBSTITUTE($F481,",",""))+1)</f>
        <v/>
      </c>
      <c r="L481" s="45" t="str">
        <f aca="false">IF($K481="","","1:"&amp;$K481)</f>
        <v/>
      </c>
      <c r="M481" s="46"/>
      <c r="N481" s="53"/>
      <c r="O481" s="46"/>
      <c r="P481" s="47"/>
      <c r="Q481" s="48"/>
      <c r="R481" s="49"/>
      <c r="S481" s="54" t="str">
        <f aca="false">IF(OR($AC481=0,$U481="",$M481="",$V481="",$W481=""),"",IF(COUNTIFS(m_teacher,$M481,m_date,$U481,m_active,1,m_start,"&lt;"&amp;$W481,m_end,"&gt;"&amp;$V481)&gt;1,"충돌",""))</f>
        <v/>
      </c>
      <c r="T481" s="48"/>
      <c r="U481" s="55" t="str">
        <f aca="false">IF($G481="","",IFERROR(IF(ISNUMBER($G481),IF($G481&gt;19000000,DATE(INT($G481/10000),MOD(INT($G481/100),100),MOD($G481,100)),INT($G481)),IF(LEN(SUBSTITUTE(SUBSTITUTE(SUBSTITUTE(TRIM($G481),"-",""),".",""),"/",""))=8,DATE(VALUE(LEFT(SUBSTITUTE(SUBSTITUTE(SUBSTITUTE(TRIM($G481),"-",""),".",""),"/",""),4)),VALUE(MID(SUBSTITUTE(SUBSTITUTE(SUBSTITUTE(TRIM($G481),"-",""),".",""),"/",""),5,2)),VALUE(RIGHT(SUBSTITUTE(SUBSTITUTE(SUBSTITUTE(TRIM($G481),"-",""),".",""),"/",""),2))),DATEVALUE($G481))),""))</f>
        <v/>
      </c>
      <c r="V481" s="52" t="str">
        <f aca="false">IF($H481="","",IFERROR(IF(IF(ISNUMBER($H481),$H481,IFERROR(TIMEVALUE($H481),VALUE($H481)))&gt;=100,INT(IF(ISNUMBER($H481),$H481,IFERROR(TIMEVALUE($H481),VALUE($H481)))/100)*60+MOD(IF(ISNUMBER($H481),$H481,IFERROR(TIMEVALUE($H481),VALUE($H481))),100),IF(IF(ISNUMBER($H481),$H481,IFERROR(TIMEVALUE($H481),VALUE($H481)))&gt;=1,ROUND(IF(ISNUMBER($H481),$H481,IFERROR(TIMEVALUE($H481),VALUE($H481)))*60,0),ROUND(MOD(IF(ISNUMBER($H481),$H481,IFERROR(TIMEVALUE($H481),VALUE($H481))),1)*1440,0))),""))</f>
        <v/>
      </c>
      <c r="W481" s="52" t="str">
        <f aca="false">IF($I481="","",IFERROR(IF(IF(ISNUMBER($I481),$I481,IFERROR(TIMEVALUE($I481),VALUE($I481)))&gt;=100,INT(IF(ISNUMBER($I481),$I481,IFERROR(TIMEVALUE($I481),VALUE($I481)))/100)*60+MOD(IF(ISNUMBER($I481),$I481,IFERROR(TIMEVALUE($I481),VALUE($I481))),100),IF(IF(ISNUMBER($I481),$I481,IFERROR(TIMEVALUE($I481),VALUE($I481)))&gt;=1,ROUND(IF(ISNUMBER($I481),$I481,IFERROR(TIMEVALUE($I481),VALUE($I481)))*60,0),ROUND(MOD(IF(ISNUMBER($I481),$I481,IFERROR(TIMEVALUE($I481),VALUE($I481))),1)*1440,0))),""))</f>
        <v/>
      </c>
      <c r="X481" s="55" t="str">
        <f aca="false">IF($P481="","",IFERROR(IF(ISNUMBER($P481),IF($P481&gt;19000000,DATE(INT($P481/10000),MOD(INT($P481/100),100),MOD($P481,100)),INT($P481)),IF(LEN(SUBSTITUTE(SUBSTITUTE(SUBSTITUTE(TRIM($P481),"-",""),".",""),"/",""))=8,DATE(VALUE(LEFT(SUBSTITUTE(SUBSTITUTE(SUBSTITUTE(TRIM($P481),"-",""),".",""),"/",""),4)),VALUE(MID(SUBSTITUTE(SUBSTITUTE(SUBSTITUTE(TRIM($P481),"-",""),".",""),"/",""),5,2)),VALUE(RIGHT(SUBSTITUTE(SUBSTITUTE(SUBSTITUTE(TRIM($P481),"-",""),".",""),"/",""),2))),DATEVALUE($P481))),""))</f>
        <v/>
      </c>
      <c r="Y481" s="56" t="str">
        <f aca="false">IF($M481="","",IFERROR(INDEX(강사DB!$D$4:$D$53,MATCH($M481,강사DB!$A$4:$A$53,0)),""))</f>
        <v/>
      </c>
      <c r="Z481" s="56" t="str">
        <f aca="false">IF($B481&lt;&gt;"결제완료","",IF(OR($Y481="",$J481=""),"",$Y481*$J481+MAX(0,N($K481)-1)*설정!$J$7))</f>
        <v/>
      </c>
      <c r="AA481" s="56" t="str">
        <f aca="false">IF(AND($D481&lt;&gt;"",$B481="결제완료"),N($N481),"")</f>
        <v/>
      </c>
      <c r="AB481" s="45" t="str">
        <f aca="false">IF($D481="","",IF($F481&lt;&gt;"",$F481,$D481)&amp;IF($B481="상담중"," (상담)",""))</f>
        <v/>
      </c>
      <c r="AC481" s="45" t="n">
        <f aca="false">IF(AND($D481&lt;&gt;"",OR($B481="결제완료",$B481="상담중")),1,0)</f>
        <v>0</v>
      </c>
      <c r="AD481" s="45" t="n">
        <f aca="false">IF(OR($Z481="",$U481=""),0,IFERROR(IF(COUNTIFS(INDEX(g_grid,0,2*MATCH($M481,강사DB!$A$4:$A$15,0)),"&lt;&gt;",g_s,"&lt;="&amp;$U481,g_e,"&gt;="&amp;$U481)&gt;0,1,0),0))</f>
        <v>0</v>
      </c>
      <c r="AE481" s="48"/>
      <c r="AF481" s="56" t="str">
        <f aca="false">IF(AND($D481&lt;&gt;"",$B481="결제완료",$T481="대여"),설정!$J$5,"")</f>
        <v/>
      </c>
      <c r="AG481" s="54" t="str">
        <f aca="false">IF($D481="","",IF(AND($E481="",$R481=""),$AB481,"☎ "&amp;IF($E481="","-",$E481)&amp;IF($R481&lt;&gt;"","  ※ "&amp;$R481,"")&amp;IF($B481="상담중"," (상담)","")))</f>
        <v/>
      </c>
      <c r="AH481" s="56" t="str">
        <f aca="false">IF(AND($D481&lt;&gt;"",$B481="결제완료",$O481="스마트스토어"),ROUND(N($N481)*설정!$J$6,0),"")</f>
        <v/>
      </c>
      <c r="AI481" s="54" t="str">
        <f aca="false">IF($D481="","",ROW())</f>
        <v/>
      </c>
      <c r="AJ481" s="54" t="n">
        <f aca="false">IF(OR($AC481&lt;&gt;1,$M481=""),0,IF(ISNUMBER(SEARCH("퇴사",IFERROR(INDEX(강사DB!$G$4:$G$53,MATCH($M481,강사DB!$A$4:$A$53,0)),""))),1,0))</f>
        <v>0</v>
      </c>
    </row>
    <row r="482" customFormat="false" ht="15" hidden="false" customHeight="false" outlineLevel="0" collapsed="false">
      <c r="A482" s="45" t="str">
        <f aca="false">IF($D482="","",COUNTA($D$5:$D482))</f>
        <v/>
      </c>
      <c r="B482" s="46"/>
      <c r="C482" s="47"/>
      <c r="D482" s="48"/>
      <c r="E482" s="48"/>
      <c r="F482" s="49"/>
      <c r="G482" s="47"/>
      <c r="H482" s="50"/>
      <c r="I482" s="50"/>
      <c r="J482" s="51" t="str">
        <f aca="false">IF(OR($V482="",$W482=""),"",ROUND(($W482-$V482)/60,2))</f>
        <v/>
      </c>
      <c r="K482" s="52" t="str">
        <f aca="false">IF($F482="","",LEN($F482)-LEN(SUBSTITUTE($F482,",",""))+1)</f>
        <v/>
      </c>
      <c r="L482" s="45" t="str">
        <f aca="false">IF($K482="","","1:"&amp;$K482)</f>
        <v/>
      </c>
      <c r="M482" s="46"/>
      <c r="N482" s="53"/>
      <c r="O482" s="46"/>
      <c r="P482" s="47"/>
      <c r="Q482" s="48"/>
      <c r="R482" s="49"/>
      <c r="S482" s="54" t="str">
        <f aca="false">IF(OR($AC482=0,$U482="",$M482="",$V482="",$W482=""),"",IF(COUNTIFS(m_teacher,$M482,m_date,$U482,m_active,1,m_start,"&lt;"&amp;$W482,m_end,"&gt;"&amp;$V482)&gt;1,"충돌",""))</f>
        <v/>
      </c>
      <c r="T482" s="48"/>
      <c r="U482" s="55" t="str">
        <f aca="false">IF($G482="","",IFERROR(IF(ISNUMBER($G482),IF($G482&gt;19000000,DATE(INT($G482/10000),MOD(INT($G482/100),100),MOD($G482,100)),INT($G482)),IF(LEN(SUBSTITUTE(SUBSTITUTE(SUBSTITUTE(TRIM($G482),"-",""),".",""),"/",""))=8,DATE(VALUE(LEFT(SUBSTITUTE(SUBSTITUTE(SUBSTITUTE(TRIM($G482),"-",""),".",""),"/",""),4)),VALUE(MID(SUBSTITUTE(SUBSTITUTE(SUBSTITUTE(TRIM($G482),"-",""),".",""),"/",""),5,2)),VALUE(RIGHT(SUBSTITUTE(SUBSTITUTE(SUBSTITUTE(TRIM($G482),"-",""),".",""),"/",""),2))),DATEVALUE($G482))),""))</f>
        <v/>
      </c>
      <c r="V482" s="52" t="str">
        <f aca="false">IF($H482="","",IFERROR(IF(IF(ISNUMBER($H482),$H482,IFERROR(TIMEVALUE($H482),VALUE($H482)))&gt;=100,INT(IF(ISNUMBER($H482),$H482,IFERROR(TIMEVALUE($H482),VALUE($H482)))/100)*60+MOD(IF(ISNUMBER($H482),$H482,IFERROR(TIMEVALUE($H482),VALUE($H482))),100),IF(IF(ISNUMBER($H482),$H482,IFERROR(TIMEVALUE($H482),VALUE($H482)))&gt;=1,ROUND(IF(ISNUMBER($H482),$H482,IFERROR(TIMEVALUE($H482),VALUE($H482)))*60,0),ROUND(MOD(IF(ISNUMBER($H482),$H482,IFERROR(TIMEVALUE($H482),VALUE($H482))),1)*1440,0))),""))</f>
        <v/>
      </c>
      <c r="W482" s="52" t="str">
        <f aca="false">IF($I482="","",IFERROR(IF(IF(ISNUMBER($I482),$I482,IFERROR(TIMEVALUE($I482),VALUE($I482)))&gt;=100,INT(IF(ISNUMBER($I482),$I482,IFERROR(TIMEVALUE($I482),VALUE($I482)))/100)*60+MOD(IF(ISNUMBER($I482),$I482,IFERROR(TIMEVALUE($I482),VALUE($I482))),100),IF(IF(ISNUMBER($I482),$I482,IFERROR(TIMEVALUE($I482),VALUE($I482)))&gt;=1,ROUND(IF(ISNUMBER($I482),$I482,IFERROR(TIMEVALUE($I482),VALUE($I482)))*60,0),ROUND(MOD(IF(ISNUMBER($I482),$I482,IFERROR(TIMEVALUE($I482),VALUE($I482))),1)*1440,0))),""))</f>
        <v/>
      </c>
      <c r="X482" s="55" t="str">
        <f aca="false">IF($P482="","",IFERROR(IF(ISNUMBER($P482),IF($P482&gt;19000000,DATE(INT($P482/10000),MOD(INT($P482/100),100),MOD($P482,100)),INT($P482)),IF(LEN(SUBSTITUTE(SUBSTITUTE(SUBSTITUTE(TRIM($P482),"-",""),".",""),"/",""))=8,DATE(VALUE(LEFT(SUBSTITUTE(SUBSTITUTE(SUBSTITUTE(TRIM($P482),"-",""),".",""),"/",""),4)),VALUE(MID(SUBSTITUTE(SUBSTITUTE(SUBSTITUTE(TRIM($P482),"-",""),".",""),"/",""),5,2)),VALUE(RIGHT(SUBSTITUTE(SUBSTITUTE(SUBSTITUTE(TRIM($P482),"-",""),".",""),"/",""),2))),DATEVALUE($P482))),""))</f>
        <v/>
      </c>
      <c r="Y482" s="56" t="str">
        <f aca="false">IF($M482="","",IFERROR(INDEX(강사DB!$D$4:$D$53,MATCH($M482,강사DB!$A$4:$A$53,0)),""))</f>
        <v/>
      </c>
      <c r="Z482" s="56" t="str">
        <f aca="false">IF($B482&lt;&gt;"결제완료","",IF(OR($Y482="",$J482=""),"",$Y482*$J482+MAX(0,N($K482)-1)*설정!$J$7))</f>
        <v/>
      </c>
      <c r="AA482" s="56" t="str">
        <f aca="false">IF(AND($D482&lt;&gt;"",$B482="결제완료"),N($N482),"")</f>
        <v/>
      </c>
      <c r="AB482" s="45" t="str">
        <f aca="false">IF($D482="","",IF($F482&lt;&gt;"",$F482,$D482)&amp;IF($B482="상담중"," (상담)",""))</f>
        <v/>
      </c>
      <c r="AC482" s="45" t="n">
        <f aca="false">IF(AND($D482&lt;&gt;"",OR($B482="결제완료",$B482="상담중")),1,0)</f>
        <v>0</v>
      </c>
      <c r="AD482" s="45" t="n">
        <f aca="false">IF(OR($Z482="",$U482=""),0,IFERROR(IF(COUNTIFS(INDEX(g_grid,0,2*MATCH($M482,강사DB!$A$4:$A$15,0)),"&lt;&gt;",g_s,"&lt;="&amp;$U482,g_e,"&gt;="&amp;$U482)&gt;0,1,0),0))</f>
        <v>0</v>
      </c>
      <c r="AE482" s="48"/>
      <c r="AF482" s="56" t="str">
        <f aca="false">IF(AND($D482&lt;&gt;"",$B482="결제완료",$T482="대여"),설정!$J$5,"")</f>
        <v/>
      </c>
      <c r="AG482" s="54" t="str">
        <f aca="false">IF($D482="","",IF(AND($E482="",$R482=""),$AB482,"☎ "&amp;IF($E482="","-",$E482)&amp;IF($R482&lt;&gt;"","  ※ "&amp;$R482,"")&amp;IF($B482="상담중"," (상담)","")))</f>
        <v/>
      </c>
      <c r="AH482" s="56" t="str">
        <f aca="false">IF(AND($D482&lt;&gt;"",$B482="결제완료",$O482="스마트스토어"),ROUND(N($N482)*설정!$J$6,0),"")</f>
        <v/>
      </c>
      <c r="AI482" s="54" t="str">
        <f aca="false">IF($D482="","",ROW())</f>
        <v/>
      </c>
      <c r="AJ482" s="54" t="n">
        <f aca="false">IF(OR($AC482&lt;&gt;1,$M482=""),0,IF(ISNUMBER(SEARCH("퇴사",IFERROR(INDEX(강사DB!$G$4:$G$53,MATCH($M482,강사DB!$A$4:$A$53,0)),""))),1,0))</f>
        <v>0</v>
      </c>
    </row>
    <row r="483" customFormat="false" ht="15" hidden="false" customHeight="false" outlineLevel="0" collapsed="false">
      <c r="A483" s="45" t="str">
        <f aca="false">IF($D483="","",COUNTA($D$5:$D483))</f>
        <v/>
      </c>
      <c r="B483" s="46"/>
      <c r="C483" s="47"/>
      <c r="D483" s="48"/>
      <c r="E483" s="48"/>
      <c r="F483" s="49"/>
      <c r="G483" s="47"/>
      <c r="H483" s="50"/>
      <c r="I483" s="50"/>
      <c r="J483" s="51" t="str">
        <f aca="false">IF(OR($V483="",$W483=""),"",ROUND(($W483-$V483)/60,2))</f>
        <v/>
      </c>
      <c r="K483" s="52" t="str">
        <f aca="false">IF($F483="","",LEN($F483)-LEN(SUBSTITUTE($F483,",",""))+1)</f>
        <v/>
      </c>
      <c r="L483" s="45" t="str">
        <f aca="false">IF($K483="","","1:"&amp;$K483)</f>
        <v/>
      </c>
      <c r="M483" s="46"/>
      <c r="N483" s="53"/>
      <c r="O483" s="46"/>
      <c r="P483" s="47"/>
      <c r="Q483" s="48"/>
      <c r="R483" s="49"/>
      <c r="S483" s="54" t="str">
        <f aca="false">IF(OR($AC483=0,$U483="",$M483="",$V483="",$W483=""),"",IF(COUNTIFS(m_teacher,$M483,m_date,$U483,m_active,1,m_start,"&lt;"&amp;$W483,m_end,"&gt;"&amp;$V483)&gt;1,"충돌",""))</f>
        <v/>
      </c>
      <c r="T483" s="48"/>
      <c r="U483" s="55" t="str">
        <f aca="false">IF($G483="","",IFERROR(IF(ISNUMBER($G483),IF($G483&gt;19000000,DATE(INT($G483/10000),MOD(INT($G483/100),100),MOD($G483,100)),INT($G483)),IF(LEN(SUBSTITUTE(SUBSTITUTE(SUBSTITUTE(TRIM($G483),"-",""),".",""),"/",""))=8,DATE(VALUE(LEFT(SUBSTITUTE(SUBSTITUTE(SUBSTITUTE(TRIM($G483),"-",""),".",""),"/",""),4)),VALUE(MID(SUBSTITUTE(SUBSTITUTE(SUBSTITUTE(TRIM($G483),"-",""),".",""),"/",""),5,2)),VALUE(RIGHT(SUBSTITUTE(SUBSTITUTE(SUBSTITUTE(TRIM($G483),"-",""),".",""),"/",""),2))),DATEVALUE($G483))),""))</f>
        <v/>
      </c>
      <c r="V483" s="52" t="str">
        <f aca="false">IF($H483="","",IFERROR(IF(IF(ISNUMBER($H483),$H483,IFERROR(TIMEVALUE($H483),VALUE($H483)))&gt;=100,INT(IF(ISNUMBER($H483),$H483,IFERROR(TIMEVALUE($H483),VALUE($H483)))/100)*60+MOD(IF(ISNUMBER($H483),$H483,IFERROR(TIMEVALUE($H483),VALUE($H483))),100),IF(IF(ISNUMBER($H483),$H483,IFERROR(TIMEVALUE($H483),VALUE($H483)))&gt;=1,ROUND(IF(ISNUMBER($H483),$H483,IFERROR(TIMEVALUE($H483),VALUE($H483)))*60,0),ROUND(MOD(IF(ISNUMBER($H483),$H483,IFERROR(TIMEVALUE($H483),VALUE($H483))),1)*1440,0))),""))</f>
        <v/>
      </c>
      <c r="W483" s="52" t="str">
        <f aca="false">IF($I483="","",IFERROR(IF(IF(ISNUMBER($I483),$I483,IFERROR(TIMEVALUE($I483),VALUE($I483)))&gt;=100,INT(IF(ISNUMBER($I483),$I483,IFERROR(TIMEVALUE($I483),VALUE($I483)))/100)*60+MOD(IF(ISNUMBER($I483),$I483,IFERROR(TIMEVALUE($I483),VALUE($I483))),100),IF(IF(ISNUMBER($I483),$I483,IFERROR(TIMEVALUE($I483),VALUE($I483)))&gt;=1,ROUND(IF(ISNUMBER($I483),$I483,IFERROR(TIMEVALUE($I483),VALUE($I483)))*60,0),ROUND(MOD(IF(ISNUMBER($I483),$I483,IFERROR(TIMEVALUE($I483),VALUE($I483))),1)*1440,0))),""))</f>
        <v/>
      </c>
      <c r="X483" s="55" t="str">
        <f aca="false">IF($P483="","",IFERROR(IF(ISNUMBER($P483),IF($P483&gt;19000000,DATE(INT($P483/10000),MOD(INT($P483/100),100),MOD($P483,100)),INT($P483)),IF(LEN(SUBSTITUTE(SUBSTITUTE(SUBSTITUTE(TRIM($P483),"-",""),".",""),"/",""))=8,DATE(VALUE(LEFT(SUBSTITUTE(SUBSTITUTE(SUBSTITUTE(TRIM($P483),"-",""),".",""),"/",""),4)),VALUE(MID(SUBSTITUTE(SUBSTITUTE(SUBSTITUTE(TRIM($P483),"-",""),".",""),"/",""),5,2)),VALUE(RIGHT(SUBSTITUTE(SUBSTITUTE(SUBSTITUTE(TRIM($P483),"-",""),".",""),"/",""),2))),DATEVALUE($P483))),""))</f>
        <v/>
      </c>
      <c r="Y483" s="56" t="str">
        <f aca="false">IF($M483="","",IFERROR(INDEX(강사DB!$D$4:$D$53,MATCH($M483,강사DB!$A$4:$A$53,0)),""))</f>
        <v/>
      </c>
      <c r="Z483" s="56" t="str">
        <f aca="false">IF($B483&lt;&gt;"결제완료","",IF(OR($Y483="",$J483=""),"",$Y483*$J483+MAX(0,N($K483)-1)*설정!$J$7))</f>
        <v/>
      </c>
      <c r="AA483" s="56" t="str">
        <f aca="false">IF(AND($D483&lt;&gt;"",$B483="결제완료"),N($N483),"")</f>
        <v/>
      </c>
      <c r="AB483" s="45" t="str">
        <f aca="false">IF($D483="","",IF($F483&lt;&gt;"",$F483,$D483)&amp;IF($B483="상담중"," (상담)",""))</f>
        <v/>
      </c>
      <c r="AC483" s="45" t="n">
        <f aca="false">IF(AND($D483&lt;&gt;"",OR($B483="결제완료",$B483="상담중")),1,0)</f>
        <v>0</v>
      </c>
      <c r="AD483" s="45" t="n">
        <f aca="false">IF(OR($Z483="",$U483=""),0,IFERROR(IF(COUNTIFS(INDEX(g_grid,0,2*MATCH($M483,강사DB!$A$4:$A$15,0)),"&lt;&gt;",g_s,"&lt;="&amp;$U483,g_e,"&gt;="&amp;$U483)&gt;0,1,0),0))</f>
        <v>0</v>
      </c>
      <c r="AE483" s="48"/>
      <c r="AF483" s="56" t="str">
        <f aca="false">IF(AND($D483&lt;&gt;"",$B483="결제완료",$T483="대여"),설정!$J$5,"")</f>
        <v/>
      </c>
      <c r="AG483" s="54" t="str">
        <f aca="false">IF($D483="","",IF(AND($E483="",$R483=""),$AB483,"☎ "&amp;IF($E483="","-",$E483)&amp;IF($R483&lt;&gt;"","  ※ "&amp;$R483,"")&amp;IF($B483="상담중"," (상담)","")))</f>
        <v/>
      </c>
      <c r="AH483" s="56" t="str">
        <f aca="false">IF(AND($D483&lt;&gt;"",$B483="결제완료",$O483="스마트스토어"),ROUND(N($N483)*설정!$J$6,0),"")</f>
        <v/>
      </c>
      <c r="AI483" s="54" t="str">
        <f aca="false">IF($D483="","",ROW())</f>
        <v/>
      </c>
      <c r="AJ483" s="54" t="n">
        <f aca="false">IF(OR($AC483&lt;&gt;1,$M483=""),0,IF(ISNUMBER(SEARCH("퇴사",IFERROR(INDEX(강사DB!$G$4:$G$53,MATCH($M483,강사DB!$A$4:$A$53,0)),""))),1,0))</f>
        <v>0</v>
      </c>
    </row>
    <row r="484" customFormat="false" ht="15" hidden="false" customHeight="false" outlineLevel="0" collapsed="false">
      <c r="A484" s="45" t="str">
        <f aca="false">IF($D484="","",COUNTA($D$5:$D484))</f>
        <v/>
      </c>
      <c r="B484" s="46"/>
      <c r="C484" s="47"/>
      <c r="D484" s="48"/>
      <c r="E484" s="48"/>
      <c r="F484" s="49"/>
      <c r="G484" s="47"/>
      <c r="H484" s="50"/>
      <c r="I484" s="50"/>
      <c r="J484" s="51" t="str">
        <f aca="false">IF(OR($V484="",$W484=""),"",ROUND(($W484-$V484)/60,2))</f>
        <v/>
      </c>
      <c r="K484" s="52" t="str">
        <f aca="false">IF($F484="","",LEN($F484)-LEN(SUBSTITUTE($F484,",",""))+1)</f>
        <v/>
      </c>
      <c r="L484" s="45" t="str">
        <f aca="false">IF($K484="","","1:"&amp;$K484)</f>
        <v/>
      </c>
      <c r="M484" s="46"/>
      <c r="N484" s="53"/>
      <c r="O484" s="46"/>
      <c r="P484" s="47"/>
      <c r="Q484" s="48"/>
      <c r="R484" s="49"/>
      <c r="S484" s="54" t="str">
        <f aca="false">IF(OR($AC484=0,$U484="",$M484="",$V484="",$W484=""),"",IF(COUNTIFS(m_teacher,$M484,m_date,$U484,m_active,1,m_start,"&lt;"&amp;$W484,m_end,"&gt;"&amp;$V484)&gt;1,"충돌",""))</f>
        <v/>
      </c>
      <c r="T484" s="48"/>
      <c r="U484" s="55" t="str">
        <f aca="false">IF($G484="","",IFERROR(IF(ISNUMBER($G484),IF($G484&gt;19000000,DATE(INT($G484/10000),MOD(INT($G484/100),100),MOD($G484,100)),INT($G484)),IF(LEN(SUBSTITUTE(SUBSTITUTE(SUBSTITUTE(TRIM($G484),"-",""),".",""),"/",""))=8,DATE(VALUE(LEFT(SUBSTITUTE(SUBSTITUTE(SUBSTITUTE(TRIM($G484),"-",""),".",""),"/",""),4)),VALUE(MID(SUBSTITUTE(SUBSTITUTE(SUBSTITUTE(TRIM($G484),"-",""),".",""),"/",""),5,2)),VALUE(RIGHT(SUBSTITUTE(SUBSTITUTE(SUBSTITUTE(TRIM($G484),"-",""),".",""),"/",""),2))),DATEVALUE($G484))),""))</f>
        <v/>
      </c>
      <c r="V484" s="52" t="str">
        <f aca="false">IF($H484="","",IFERROR(IF(IF(ISNUMBER($H484),$H484,IFERROR(TIMEVALUE($H484),VALUE($H484)))&gt;=100,INT(IF(ISNUMBER($H484),$H484,IFERROR(TIMEVALUE($H484),VALUE($H484)))/100)*60+MOD(IF(ISNUMBER($H484),$H484,IFERROR(TIMEVALUE($H484),VALUE($H484))),100),IF(IF(ISNUMBER($H484),$H484,IFERROR(TIMEVALUE($H484),VALUE($H484)))&gt;=1,ROUND(IF(ISNUMBER($H484),$H484,IFERROR(TIMEVALUE($H484),VALUE($H484)))*60,0),ROUND(MOD(IF(ISNUMBER($H484),$H484,IFERROR(TIMEVALUE($H484),VALUE($H484))),1)*1440,0))),""))</f>
        <v/>
      </c>
      <c r="W484" s="52" t="str">
        <f aca="false">IF($I484="","",IFERROR(IF(IF(ISNUMBER($I484),$I484,IFERROR(TIMEVALUE($I484),VALUE($I484)))&gt;=100,INT(IF(ISNUMBER($I484),$I484,IFERROR(TIMEVALUE($I484),VALUE($I484)))/100)*60+MOD(IF(ISNUMBER($I484),$I484,IFERROR(TIMEVALUE($I484),VALUE($I484))),100),IF(IF(ISNUMBER($I484),$I484,IFERROR(TIMEVALUE($I484),VALUE($I484)))&gt;=1,ROUND(IF(ISNUMBER($I484),$I484,IFERROR(TIMEVALUE($I484),VALUE($I484)))*60,0),ROUND(MOD(IF(ISNUMBER($I484),$I484,IFERROR(TIMEVALUE($I484),VALUE($I484))),1)*1440,0))),""))</f>
        <v/>
      </c>
      <c r="X484" s="55" t="str">
        <f aca="false">IF($P484="","",IFERROR(IF(ISNUMBER($P484),IF($P484&gt;19000000,DATE(INT($P484/10000),MOD(INT($P484/100),100),MOD($P484,100)),INT($P484)),IF(LEN(SUBSTITUTE(SUBSTITUTE(SUBSTITUTE(TRIM($P484),"-",""),".",""),"/",""))=8,DATE(VALUE(LEFT(SUBSTITUTE(SUBSTITUTE(SUBSTITUTE(TRIM($P484),"-",""),".",""),"/",""),4)),VALUE(MID(SUBSTITUTE(SUBSTITUTE(SUBSTITUTE(TRIM($P484),"-",""),".",""),"/",""),5,2)),VALUE(RIGHT(SUBSTITUTE(SUBSTITUTE(SUBSTITUTE(TRIM($P484),"-",""),".",""),"/",""),2))),DATEVALUE($P484))),""))</f>
        <v/>
      </c>
      <c r="Y484" s="56" t="str">
        <f aca="false">IF($M484="","",IFERROR(INDEX(강사DB!$D$4:$D$53,MATCH($M484,강사DB!$A$4:$A$53,0)),""))</f>
        <v/>
      </c>
      <c r="Z484" s="56" t="str">
        <f aca="false">IF($B484&lt;&gt;"결제완료","",IF(OR($Y484="",$J484=""),"",$Y484*$J484+MAX(0,N($K484)-1)*설정!$J$7))</f>
        <v/>
      </c>
      <c r="AA484" s="56" t="str">
        <f aca="false">IF(AND($D484&lt;&gt;"",$B484="결제완료"),N($N484),"")</f>
        <v/>
      </c>
      <c r="AB484" s="45" t="str">
        <f aca="false">IF($D484="","",IF($F484&lt;&gt;"",$F484,$D484)&amp;IF($B484="상담중"," (상담)",""))</f>
        <v/>
      </c>
      <c r="AC484" s="45" t="n">
        <f aca="false">IF(AND($D484&lt;&gt;"",OR($B484="결제완료",$B484="상담중")),1,0)</f>
        <v>0</v>
      </c>
      <c r="AD484" s="45" t="n">
        <f aca="false">IF(OR($Z484="",$U484=""),0,IFERROR(IF(COUNTIFS(INDEX(g_grid,0,2*MATCH($M484,강사DB!$A$4:$A$15,0)),"&lt;&gt;",g_s,"&lt;="&amp;$U484,g_e,"&gt;="&amp;$U484)&gt;0,1,0),0))</f>
        <v>0</v>
      </c>
      <c r="AE484" s="48"/>
      <c r="AF484" s="56" t="str">
        <f aca="false">IF(AND($D484&lt;&gt;"",$B484="결제완료",$T484="대여"),설정!$J$5,"")</f>
        <v/>
      </c>
      <c r="AG484" s="54" t="str">
        <f aca="false">IF($D484="","",IF(AND($E484="",$R484=""),$AB484,"☎ "&amp;IF($E484="","-",$E484)&amp;IF($R484&lt;&gt;"","  ※ "&amp;$R484,"")&amp;IF($B484="상담중"," (상담)","")))</f>
        <v/>
      </c>
      <c r="AH484" s="56" t="str">
        <f aca="false">IF(AND($D484&lt;&gt;"",$B484="결제완료",$O484="스마트스토어"),ROUND(N($N484)*설정!$J$6,0),"")</f>
        <v/>
      </c>
      <c r="AI484" s="54" t="str">
        <f aca="false">IF($D484="","",ROW())</f>
        <v/>
      </c>
      <c r="AJ484" s="54" t="n">
        <f aca="false">IF(OR($AC484&lt;&gt;1,$M484=""),0,IF(ISNUMBER(SEARCH("퇴사",IFERROR(INDEX(강사DB!$G$4:$G$53,MATCH($M484,강사DB!$A$4:$A$53,0)),""))),1,0))</f>
        <v>0</v>
      </c>
    </row>
    <row r="485" customFormat="false" ht="15" hidden="false" customHeight="false" outlineLevel="0" collapsed="false">
      <c r="A485" s="45" t="str">
        <f aca="false">IF($D485="","",COUNTA($D$5:$D485))</f>
        <v/>
      </c>
      <c r="B485" s="46"/>
      <c r="C485" s="47"/>
      <c r="D485" s="48"/>
      <c r="E485" s="48"/>
      <c r="F485" s="49"/>
      <c r="G485" s="47"/>
      <c r="H485" s="50"/>
      <c r="I485" s="50"/>
      <c r="J485" s="51" t="str">
        <f aca="false">IF(OR($V485="",$W485=""),"",ROUND(($W485-$V485)/60,2))</f>
        <v/>
      </c>
      <c r="K485" s="52" t="str">
        <f aca="false">IF($F485="","",LEN($F485)-LEN(SUBSTITUTE($F485,",",""))+1)</f>
        <v/>
      </c>
      <c r="L485" s="45" t="str">
        <f aca="false">IF($K485="","","1:"&amp;$K485)</f>
        <v/>
      </c>
      <c r="M485" s="46"/>
      <c r="N485" s="53"/>
      <c r="O485" s="46"/>
      <c r="P485" s="47"/>
      <c r="Q485" s="48"/>
      <c r="R485" s="49"/>
      <c r="S485" s="54" t="str">
        <f aca="false">IF(OR($AC485=0,$U485="",$M485="",$V485="",$W485=""),"",IF(COUNTIFS(m_teacher,$M485,m_date,$U485,m_active,1,m_start,"&lt;"&amp;$W485,m_end,"&gt;"&amp;$V485)&gt;1,"충돌",""))</f>
        <v/>
      </c>
      <c r="T485" s="48"/>
      <c r="U485" s="55" t="str">
        <f aca="false">IF($G485="","",IFERROR(IF(ISNUMBER($G485),IF($G485&gt;19000000,DATE(INT($G485/10000),MOD(INT($G485/100),100),MOD($G485,100)),INT($G485)),IF(LEN(SUBSTITUTE(SUBSTITUTE(SUBSTITUTE(TRIM($G485),"-",""),".",""),"/",""))=8,DATE(VALUE(LEFT(SUBSTITUTE(SUBSTITUTE(SUBSTITUTE(TRIM($G485),"-",""),".",""),"/",""),4)),VALUE(MID(SUBSTITUTE(SUBSTITUTE(SUBSTITUTE(TRIM($G485),"-",""),".",""),"/",""),5,2)),VALUE(RIGHT(SUBSTITUTE(SUBSTITUTE(SUBSTITUTE(TRIM($G485),"-",""),".",""),"/",""),2))),DATEVALUE($G485))),""))</f>
        <v/>
      </c>
      <c r="V485" s="52" t="str">
        <f aca="false">IF($H485="","",IFERROR(IF(IF(ISNUMBER($H485),$H485,IFERROR(TIMEVALUE($H485),VALUE($H485)))&gt;=100,INT(IF(ISNUMBER($H485),$H485,IFERROR(TIMEVALUE($H485),VALUE($H485)))/100)*60+MOD(IF(ISNUMBER($H485),$H485,IFERROR(TIMEVALUE($H485),VALUE($H485))),100),IF(IF(ISNUMBER($H485),$H485,IFERROR(TIMEVALUE($H485),VALUE($H485)))&gt;=1,ROUND(IF(ISNUMBER($H485),$H485,IFERROR(TIMEVALUE($H485),VALUE($H485)))*60,0),ROUND(MOD(IF(ISNUMBER($H485),$H485,IFERROR(TIMEVALUE($H485),VALUE($H485))),1)*1440,0))),""))</f>
        <v/>
      </c>
      <c r="W485" s="52" t="str">
        <f aca="false">IF($I485="","",IFERROR(IF(IF(ISNUMBER($I485),$I485,IFERROR(TIMEVALUE($I485),VALUE($I485)))&gt;=100,INT(IF(ISNUMBER($I485),$I485,IFERROR(TIMEVALUE($I485),VALUE($I485)))/100)*60+MOD(IF(ISNUMBER($I485),$I485,IFERROR(TIMEVALUE($I485),VALUE($I485))),100),IF(IF(ISNUMBER($I485),$I485,IFERROR(TIMEVALUE($I485),VALUE($I485)))&gt;=1,ROUND(IF(ISNUMBER($I485),$I485,IFERROR(TIMEVALUE($I485),VALUE($I485)))*60,0),ROUND(MOD(IF(ISNUMBER($I485),$I485,IFERROR(TIMEVALUE($I485),VALUE($I485))),1)*1440,0))),""))</f>
        <v/>
      </c>
      <c r="X485" s="55" t="str">
        <f aca="false">IF($P485="","",IFERROR(IF(ISNUMBER($P485),IF($P485&gt;19000000,DATE(INT($P485/10000),MOD(INT($P485/100),100),MOD($P485,100)),INT($P485)),IF(LEN(SUBSTITUTE(SUBSTITUTE(SUBSTITUTE(TRIM($P485),"-",""),".",""),"/",""))=8,DATE(VALUE(LEFT(SUBSTITUTE(SUBSTITUTE(SUBSTITUTE(TRIM($P485),"-",""),".",""),"/",""),4)),VALUE(MID(SUBSTITUTE(SUBSTITUTE(SUBSTITUTE(TRIM($P485),"-",""),".",""),"/",""),5,2)),VALUE(RIGHT(SUBSTITUTE(SUBSTITUTE(SUBSTITUTE(TRIM($P485),"-",""),".",""),"/",""),2))),DATEVALUE($P485))),""))</f>
        <v/>
      </c>
      <c r="Y485" s="56" t="str">
        <f aca="false">IF($M485="","",IFERROR(INDEX(강사DB!$D$4:$D$53,MATCH($M485,강사DB!$A$4:$A$53,0)),""))</f>
        <v/>
      </c>
      <c r="Z485" s="56" t="str">
        <f aca="false">IF($B485&lt;&gt;"결제완료","",IF(OR($Y485="",$J485=""),"",$Y485*$J485+MAX(0,N($K485)-1)*설정!$J$7))</f>
        <v/>
      </c>
      <c r="AA485" s="56" t="str">
        <f aca="false">IF(AND($D485&lt;&gt;"",$B485="결제완료"),N($N485),"")</f>
        <v/>
      </c>
      <c r="AB485" s="45" t="str">
        <f aca="false">IF($D485="","",IF($F485&lt;&gt;"",$F485,$D485)&amp;IF($B485="상담중"," (상담)",""))</f>
        <v/>
      </c>
      <c r="AC485" s="45" t="n">
        <f aca="false">IF(AND($D485&lt;&gt;"",OR($B485="결제완료",$B485="상담중")),1,0)</f>
        <v>0</v>
      </c>
      <c r="AD485" s="45" t="n">
        <f aca="false">IF(OR($Z485="",$U485=""),0,IFERROR(IF(COUNTIFS(INDEX(g_grid,0,2*MATCH($M485,강사DB!$A$4:$A$15,0)),"&lt;&gt;",g_s,"&lt;="&amp;$U485,g_e,"&gt;="&amp;$U485)&gt;0,1,0),0))</f>
        <v>0</v>
      </c>
      <c r="AE485" s="48"/>
      <c r="AF485" s="56" t="str">
        <f aca="false">IF(AND($D485&lt;&gt;"",$B485="결제완료",$T485="대여"),설정!$J$5,"")</f>
        <v/>
      </c>
      <c r="AG485" s="54" t="str">
        <f aca="false">IF($D485="","",IF(AND($E485="",$R485=""),$AB485,"☎ "&amp;IF($E485="","-",$E485)&amp;IF($R485&lt;&gt;"","  ※ "&amp;$R485,"")&amp;IF($B485="상담중"," (상담)","")))</f>
        <v/>
      </c>
      <c r="AH485" s="56" t="str">
        <f aca="false">IF(AND($D485&lt;&gt;"",$B485="결제완료",$O485="스마트스토어"),ROUND(N($N485)*설정!$J$6,0),"")</f>
        <v/>
      </c>
      <c r="AI485" s="54" t="str">
        <f aca="false">IF($D485="","",ROW())</f>
        <v/>
      </c>
      <c r="AJ485" s="54" t="n">
        <f aca="false">IF(OR($AC485&lt;&gt;1,$M485=""),0,IF(ISNUMBER(SEARCH("퇴사",IFERROR(INDEX(강사DB!$G$4:$G$53,MATCH($M485,강사DB!$A$4:$A$53,0)),""))),1,0))</f>
        <v>0</v>
      </c>
    </row>
    <row r="486" customFormat="false" ht="15" hidden="false" customHeight="false" outlineLevel="0" collapsed="false">
      <c r="A486" s="45" t="str">
        <f aca="false">IF($D486="","",COUNTA($D$5:$D486))</f>
        <v/>
      </c>
      <c r="B486" s="46"/>
      <c r="C486" s="47"/>
      <c r="D486" s="48"/>
      <c r="E486" s="48"/>
      <c r="F486" s="49"/>
      <c r="G486" s="47"/>
      <c r="H486" s="50"/>
      <c r="I486" s="50"/>
      <c r="J486" s="51" t="str">
        <f aca="false">IF(OR($V486="",$W486=""),"",ROUND(($W486-$V486)/60,2))</f>
        <v/>
      </c>
      <c r="K486" s="52" t="str">
        <f aca="false">IF($F486="","",LEN($F486)-LEN(SUBSTITUTE($F486,",",""))+1)</f>
        <v/>
      </c>
      <c r="L486" s="45" t="str">
        <f aca="false">IF($K486="","","1:"&amp;$K486)</f>
        <v/>
      </c>
      <c r="M486" s="46"/>
      <c r="N486" s="53"/>
      <c r="O486" s="46"/>
      <c r="P486" s="47"/>
      <c r="Q486" s="48"/>
      <c r="R486" s="49"/>
      <c r="S486" s="54" t="str">
        <f aca="false">IF(OR($AC486=0,$U486="",$M486="",$V486="",$W486=""),"",IF(COUNTIFS(m_teacher,$M486,m_date,$U486,m_active,1,m_start,"&lt;"&amp;$W486,m_end,"&gt;"&amp;$V486)&gt;1,"충돌",""))</f>
        <v/>
      </c>
      <c r="T486" s="48"/>
      <c r="U486" s="55" t="str">
        <f aca="false">IF($G486="","",IFERROR(IF(ISNUMBER($G486),IF($G486&gt;19000000,DATE(INT($G486/10000),MOD(INT($G486/100),100),MOD($G486,100)),INT($G486)),IF(LEN(SUBSTITUTE(SUBSTITUTE(SUBSTITUTE(TRIM($G486),"-",""),".",""),"/",""))=8,DATE(VALUE(LEFT(SUBSTITUTE(SUBSTITUTE(SUBSTITUTE(TRIM($G486),"-",""),".",""),"/",""),4)),VALUE(MID(SUBSTITUTE(SUBSTITUTE(SUBSTITUTE(TRIM($G486),"-",""),".",""),"/",""),5,2)),VALUE(RIGHT(SUBSTITUTE(SUBSTITUTE(SUBSTITUTE(TRIM($G486),"-",""),".",""),"/",""),2))),DATEVALUE($G486))),""))</f>
        <v/>
      </c>
      <c r="V486" s="52" t="str">
        <f aca="false">IF($H486="","",IFERROR(IF(IF(ISNUMBER($H486),$H486,IFERROR(TIMEVALUE($H486),VALUE($H486)))&gt;=100,INT(IF(ISNUMBER($H486),$H486,IFERROR(TIMEVALUE($H486),VALUE($H486)))/100)*60+MOD(IF(ISNUMBER($H486),$H486,IFERROR(TIMEVALUE($H486),VALUE($H486))),100),IF(IF(ISNUMBER($H486),$H486,IFERROR(TIMEVALUE($H486),VALUE($H486)))&gt;=1,ROUND(IF(ISNUMBER($H486),$H486,IFERROR(TIMEVALUE($H486),VALUE($H486)))*60,0),ROUND(MOD(IF(ISNUMBER($H486),$H486,IFERROR(TIMEVALUE($H486),VALUE($H486))),1)*1440,0))),""))</f>
        <v/>
      </c>
      <c r="W486" s="52" t="str">
        <f aca="false">IF($I486="","",IFERROR(IF(IF(ISNUMBER($I486),$I486,IFERROR(TIMEVALUE($I486),VALUE($I486)))&gt;=100,INT(IF(ISNUMBER($I486),$I486,IFERROR(TIMEVALUE($I486),VALUE($I486)))/100)*60+MOD(IF(ISNUMBER($I486),$I486,IFERROR(TIMEVALUE($I486),VALUE($I486))),100),IF(IF(ISNUMBER($I486),$I486,IFERROR(TIMEVALUE($I486),VALUE($I486)))&gt;=1,ROUND(IF(ISNUMBER($I486),$I486,IFERROR(TIMEVALUE($I486),VALUE($I486)))*60,0),ROUND(MOD(IF(ISNUMBER($I486),$I486,IFERROR(TIMEVALUE($I486),VALUE($I486))),1)*1440,0))),""))</f>
        <v/>
      </c>
      <c r="X486" s="55" t="str">
        <f aca="false">IF($P486="","",IFERROR(IF(ISNUMBER($P486),IF($P486&gt;19000000,DATE(INT($P486/10000),MOD(INT($P486/100),100),MOD($P486,100)),INT($P486)),IF(LEN(SUBSTITUTE(SUBSTITUTE(SUBSTITUTE(TRIM($P486),"-",""),".",""),"/",""))=8,DATE(VALUE(LEFT(SUBSTITUTE(SUBSTITUTE(SUBSTITUTE(TRIM($P486),"-",""),".",""),"/",""),4)),VALUE(MID(SUBSTITUTE(SUBSTITUTE(SUBSTITUTE(TRIM($P486),"-",""),".",""),"/",""),5,2)),VALUE(RIGHT(SUBSTITUTE(SUBSTITUTE(SUBSTITUTE(TRIM($P486),"-",""),".",""),"/",""),2))),DATEVALUE($P486))),""))</f>
        <v/>
      </c>
      <c r="Y486" s="56" t="str">
        <f aca="false">IF($M486="","",IFERROR(INDEX(강사DB!$D$4:$D$53,MATCH($M486,강사DB!$A$4:$A$53,0)),""))</f>
        <v/>
      </c>
      <c r="Z486" s="56" t="str">
        <f aca="false">IF($B486&lt;&gt;"결제완료","",IF(OR($Y486="",$J486=""),"",$Y486*$J486+MAX(0,N($K486)-1)*설정!$J$7))</f>
        <v/>
      </c>
      <c r="AA486" s="56" t="str">
        <f aca="false">IF(AND($D486&lt;&gt;"",$B486="결제완료"),N($N486),"")</f>
        <v/>
      </c>
      <c r="AB486" s="45" t="str">
        <f aca="false">IF($D486="","",IF($F486&lt;&gt;"",$F486,$D486)&amp;IF($B486="상담중"," (상담)",""))</f>
        <v/>
      </c>
      <c r="AC486" s="45" t="n">
        <f aca="false">IF(AND($D486&lt;&gt;"",OR($B486="결제완료",$B486="상담중")),1,0)</f>
        <v>0</v>
      </c>
      <c r="AD486" s="45" t="n">
        <f aca="false">IF(OR($Z486="",$U486=""),0,IFERROR(IF(COUNTIFS(INDEX(g_grid,0,2*MATCH($M486,강사DB!$A$4:$A$15,0)),"&lt;&gt;",g_s,"&lt;="&amp;$U486,g_e,"&gt;="&amp;$U486)&gt;0,1,0),0))</f>
        <v>0</v>
      </c>
      <c r="AE486" s="48"/>
      <c r="AF486" s="56" t="str">
        <f aca="false">IF(AND($D486&lt;&gt;"",$B486="결제완료",$T486="대여"),설정!$J$5,"")</f>
        <v/>
      </c>
      <c r="AG486" s="54" t="str">
        <f aca="false">IF($D486="","",IF(AND($E486="",$R486=""),$AB486,"☎ "&amp;IF($E486="","-",$E486)&amp;IF($R486&lt;&gt;"","  ※ "&amp;$R486,"")&amp;IF($B486="상담중"," (상담)","")))</f>
        <v/>
      </c>
      <c r="AH486" s="56" t="str">
        <f aca="false">IF(AND($D486&lt;&gt;"",$B486="결제완료",$O486="스마트스토어"),ROUND(N($N486)*설정!$J$6,0),"")</f>
        <v/>
      </c>
      <c r="AI486" s="54" t="str">
        <f aca="false">IF($D486="","",ROW())</f>
        <v/>
      </c>
      <c r="AJ486" s="54" t="n">
        <f aca="false">IF(OR($AC486&lt;&gt;1,$M486=""),0,IF(ISNUMBER(SEARCH("퇴사",IFERROR(INDEX(강사DB!$G$4:$G$53,MATCH($M486,강사DB!$A$4:$A$53,0)),""))),1,0))</f>
        <v>0</v>
      </c>
    </row>
    <row r="487" customFormat="false" ht="15" hidden="false" customHeight="false" outlineLevel="0" collapsed="false">
      <c r="A487" s="45" t="str">
        <f aca="false">IF($D487="","",COUNTA($D$5:$D487))</f>
        <v/>
      </c>
      <c r="B487" s="46"/>
      <c r="C487" s="47"/>
      <c r="D487" s="48"/>
      <c r="E487" s="48"/>
      <c r="F487" s="49"/>
      <c r="G487" s="47"/>
      <c r="H487" s="50"/>
      <c r="I487" s="50"/>
      <c r="J487" s="51" t="str">
        <f aca="false">IF(OR($V487="",$W487=""),"",ROUND(($W487-$V487)/60,2))</f>
        <v/>
      </c>
      <c r="K487" s="52" t="str">
        <f aca="false">IF($F487="","",LEN($F487)-LEN(SUBSTITUTE($F487,",",""))+1)</f>
        <v/>
      </c>
      <c r="L487" s="45" t="str">
        <f aca="false">IF($K487="","","1:"&amp;$K487)</f>
        <v/>
      </c>
      <c r="M487" s="46"/>
      <c r="N487" s="53"/>
      <c r="O487" s="46"/>
      <c r="P487" s="47"/>
      <c r="Q487" s="48"/>
      <c r="R487" s="49"/>
      <c r="S487" s="54" t="str">
        <f aca="false">IF(OR($AC487=0,$U487="",$M487="",$V487="",$W487=""),"",IF(COUNTIFS(m_teacher,$M487,m_date,$U487,m_active,1,m_start,"&lt;"&amp;$W487,m_end,"&gt;"&amp;$V487)&gt;1,"충돌",""))</f>
        <v/>
      </c>
      <c r="T487" s="48"/>
      <c r="U487" s="55" t="str">
        <f aca="false">IF($G487="","",IFERROR(IF(ISNUMBER($G487),IF($G487&gt;19000000,DATE(INT($G487/10000),MOD(INT($G487/100),100),MOD($G487,100)),INT($G487)),IF(LEN(SUBSTITUTE(SUBSTITUTE(SUBSTITUTE(TRIM($G487),"-",""),".",""),"/",""))=8,DATE(VALUE(LEFT(SUBSTITUTE(SUBSTITUTE(SUBSTITUTE(TRIM($G487),"-",""),".",""),"/",""),4)),VALUE(MID(SUBSTITUTE(SUBSTITUTE(SUBSTITUTE(TRIM($G487),"-",""),".",""),"/",""),5,2)),VALUE(RIGHT(SUBSTITUTE(SUBSTITUTE(SUBSTITUTE(TRIM($G487),"-",""),".",""),"/",""),2))),DATEVALUE($G487))),""))</f>
        <v/>
      </c>
      <c r="V487" s="52" t="str">
        <f aca="false">IF($H487="","",IFERROR(IF(IF(ISNUMBER($H487),$H487,IFERROR(TIMEVALUE($H487),VALUE($H487)))&gt;=100,INT(IF(ISNUMBER($H487),$H487,IFERROR(TIMEVALUE($H487),VALUE($H487)))/100)*60+MOD(IF(ISNUMBER($H487),$H487,IFERROR(TIMEVALUE($H487),VALUE($H487))),100),IF(IF(ISNUMBER($H487),$H487,IFERROR(TIMEVALUE($H487),VALUE($H487)))&gt;=1,ROUND(IF(ISNUMBER($H487),$H487,IFERROR(TIMEVALUE($H487),VALUE($H487)))*60,0),ROUND(MOD(IF(ISNUMBER($H487),$H487,IFERROR(TIMEVALUE($H487),VALUE($H487))),1)*1440,0))),""))</f>
        <v/>
      </c>
      <c r="W487" s="52" t="str">
        <f aca="false">IF($I487="","",IFERROR(IF(IF(ISNUMBER($I487),$I487,IFERROR(TIMEVALUE($I487),VALUE($I487)))&gt;=100,INT(IF(ISNUMBER($I487),$I487,IFERROR(TIMEVALUE($I487),VALUE($I487)))/100)*60+MOD(IF(ISNUMBER($I487),$I487,IFERROR(TIMEVALUE($I487),VALUE($I487))),100),IF(IF(ISNUMBER($I487),$I487,IFERROR(TIMEVALUE($I487),VALUE($I487)))&gt;=1,ROUND(IF(ISNUMBER($I487),$I487,IFERROR(TIMEVALUE($I487),VALUE($I487)))*60,0),ROUND(MOD(IF(ISNUMBER($I487),$I487,IFERROR(TIMEVALUE($I487),VALUE($I487))),1)*1440,0))),""))</f>
        <v/>
      </c>
      <c r="X487" s="55" t="str">
        <f aca="false">IF($P487="","",IFERROR(IF(ISNUMBER($P487),IF($P487&gt;19000000,DATE(INT($P487/10000),MOD(INT($P487/100),100),MOD($P487,100)),INT($P487)),IF(LEN(SUBSTITUTE(SUBSTITUTE(SUBSTITUTE(TRIM($P487),"-",""),".",""),"/",""))=8,DATE(VALUE(LEFT(SUBSTITUTE(SUBSTITUTE(SUBSTITUTE(TRIM($P487),"-",""),".",""),"/",""),4)),VALUE(MID(SUBSTITUTE(SUBSTITUTE(SUBSTITUTE(TRIM($P487),"-",""),".",""),"/",""),5,2)),VALUE(RIGHT(SUBSTITUTE(SUBSTITUTE(SUBSTITUTE(TRIM($P487),"-",""),".",""),"/",""),2))),DATEVALUE($P487))),""))</f>
        <v/>
      </c>
      <c r="Y487" s="56" t="str">
        <f aca="false">IF($M487="","",IFERROR(INDEX(강사DB!$D$4:$D$53,MATCH($M487,강사DB!$A$4:$A$53,0)),""))</f>
        <v/>
      </c>
      <c r="Z487" s="56" t="str">
        <f aca="false">IF($B487&lt;&gt;"결제완료","",IF(OR($Y487="",$J487=""),"",$Y487*$J487+MAX(0,N($K487)-1)*설정!$J$7))</f>
        <v/>
      </c>
      <c r="AA487" s="56" t="str">
        <f aca="false">IF(AND($D487&lt;&gt;"",$B487="결제완료"),N($N487),"")</f>
        <v/>
      </c>
      <c r="AB487" s="45" t="str">
        <f aca="false">IF($D487="","",IF($F487&lt;&gt;"",$F487,$D487)&amp;IF($B487="상담중"," (상담)",""))</f>
        <v/>
      </c>
      <c r="AC487" s="45" t="n">
        <f aca="false">IF(AND($D487&lt;&gt;"",OR($B487="결제완료",$B487="상담중")),1,0)</f>
        <v>0</v>
      </c>
      <c r="AD487" s="45" t="n">
        <f aca="false">IF(OR($Z487="",$U487=""),0,IFERROR(IF(COUNTIFS(INDEX(g_grid,0,2*MATCH($M487,강사DB!$A$4:$A$15,0)),"&lt;&gt;",g_s,"&lt;="&amp;$U487,g_e,"&gt;="&amp;$U487)&gt;0,1,0),0))</f>
        <v>0</v>
      </c>
      <c r="AE487" s="48"/>
      <c r="AF487" s="56" t="str">
        <f aca="false">IF(AND($D487&lt;&gt;"",$B487="결제완료",$T487="대여"),설정!$J$5,"")</f>
        <v/>
      </c>
      <c r="AG487" s="54" t="str">
        <f aca="false">IF($D487="","",IF(AND($E487="",$R487=""),$AB487,"☎ "&amp;IF($E487="","-",$E487)&amp;IF($R487&lt;&gt;"","  ※ "&amp;$R487,"")&amp;IF($B487="상담중"," (상담)","")))</f>
        <v/>
      </c>
      <c r="AH487" s="56" t="str">
        <f aca="false">IF(AND($D487&lt;&gt;"",$B487="결제완료",$O487="스마트스토어"),ROUND(N($N487)*설정!$J$6,0),"")</f>
        <v/>
      </c>
      <c r="AI487" s="54" t="str">
        <f aca="false">IF($D487="","",ROW())</f>
        <v/>
      </c>
      <c r="AJ487" s="54" t="n">
        <f aca="false">IF(OR($AC487&lt;&gt;1,$M487=""),0,IF(ISNUMBER(SEARCH("퇴사",IFERROR(INDEX(강사DB!$G$4:$G$53,MATCH($M487,강사DB!$A$4:$A$53,0)),""))),1,0))</f>
        <v>0</v>
      </c>
    </row>
    <row r="488" customFormat="false" ht="15" hidden="false" customHeight="false" outlineLevel="0" collapsed="false">
      <c r="A488" s="45" t="str">
        <f aca="false">IF($D488="","",COUNTA($D$5:$D488))</f>
        <v/>
      </c>
      <c r="B488" s="46"/>
      <c r="C488" s="47"/>
      <c r="D488" s="48"/>
      <c r="E488" s="48"/>
      <c r="F488" s="49"/>
      <c r="G488" s="47"/>
      <c r="H488" s="50"/>
      <c r="I488" s="50"/>
      <c r="J488" s="51" t="str">
        <f aca="false">IF(OR($V488="",$W488=""),"",ROUND(($W488-$V488)/60,2))</f>
        <v/>
      </c>
      <c r="K488" s="52" t="str">
        <f aca="false">IF($F488="","",LEN($F488)-LEN(SUBSTITUTE($F488,",",""))+1)</f>
        <v/>
      </c>
      <c r="L488" s="45" t="str">
        <f aca="false">IF($K488="","","1:"&amp;$K488)</f>
        <v/>
      </c>
      <c r="M488" s="46"/>
      <c r="N488" s="53"/>
      <c r="O488" s="46"/>
      <c r="P488" s="47"/>
      <c r="Q488" s="48"/>
      <c r="R488" s="49"/>
      <c r="S488" s="54" t="str">
        <f aca="false">IF(OR($AC488=0,$U488="",$M488="",$V488="",$W488=""),"",IF(COUNTIFS(m_teacher,$M488,m_date,$U488,m_active,1,m_start,"&lt;"&amp;$W488,m_end,"&gt;"&amp;$V488)&gt;1,"충돌",""))</f>
        <v/>
      </c>
      <c r="T488" s="48"/>
      <c r="U488" s="55" t="str">
        <f aca="false">IF($G488="","",IFERROR(IF(ISNUMBER($G488),IF($G488&gt;19000000,DATE(INT($G488/10000),MOD(INT($G488/100),100),MOD($G488,100)),INT($G488)),IF(LEN(SUBSTITUTE(SUBSTITUTE(SUBSTITUTE(TRIM($G488),"-",""),".",""),"/",""))=8,DATE(VALUE(LEFT(SUBSTITUTE(SUBSTITUTE(SUBSTITUTE(TRIM($G488),"-",""),".",""),"/",""),4)),VALUE(MID(SUBSTITUTE(SUBSTITUTE(SUBSTITUTE(TRIM($G488),"-",""),".",""),"/",""),5,2)),VALUE(RIGHT(SUBSTITUTE(SUBSTITUTE(SUBSTITUTE(TRIM($G488),"-",""),".",""),"/",""),2))),DATEVALUE($G488))),""))</f>
        <v/>
      </c>
      <c r="V488" s="52" t="str">
        <f aca="false">IF($H488="","",IFERROR(IF(IF(ISNUMBER($H488),$H488,IFERROR(TIMEVALUE($H488),VALUE($H488)))&gt;=100,INT(IF(ISNUMBER($H488),$H488,IFERROR(TIMEVALUE($H488),VALUE($H488)))/100)*60+MOD(IF(ISNUMBER($H488),$H488,IFERROR(TIMEVALUE($H488),VALUE($H488))),100),IF(IF(ISNUMBER($H488),$H488,IFERROR(TIMEVALUE($H488),VALUE($H488)))&gt;=1,ROUND(IF(ISNUMBER($H488),$H488,IFERROR(TIMEVALUE($H488),VALUE($H488)))*60,0),ROUND(MOD(IF(ISNUMBER($H488),$H488,IFERROR(TIMEVALUE($H488),VALUE($H488))),1)*1440,0))),""))</f>
        <v/>
      </c>
      <c r="W488" s="52" t="str">
        <f aca="false">IF($I488="","",IFERROR(IF(IF(ISNUMBER($I488),$I488,IFERROR(TIMEVALUE($I488),VALUE($I488)))&gt;=100,INT(IF(ISNUMBER($I488),$I488,IFERROR(TIMEVALUE($I488),VALUE($I488)))/100)*60+MOD(IF(ISNUMBER($I488),$I488,IFERROR(TIMEVALUE($I488),VALUE($I488))),100),IF(IF(ISNUMBER($I488),$I488,IFERROR(TIMEVALUE($I488),VALUE($I488)))&gt;=1,ROUND(IF(ISNUMBER($I488),$I488,IFERROR(TIMEVALUE($I488),VALUE($I488)))*60,0),ROUND(MOD(IF(ISNUMBER($I488),$I488,IFERROR(TIMEVALUE($I488),VALUE($I488))),1)*1440,0))),""))</f>
        <v/>
      </c>
      <c r="X488" s="55" t="str">
        <f aca="false">IF($P488="","",IFERROR(IF(ISNUMBER($P488),IF($P488&gt;19000000,DATE(INT($P488/10000),MOD(INT($P488/100),100),MOD($P488,100)),INT($P488)),IF(LEN(SUBSTITUTE(SUBSTITUTE(SUBSTITUTE(TRIM($P488),"-",""),".",""),"/",""))=8,DATE(VALUE(LEFT(SUBSTITUTE(SUBSTITUTE(SUBSTITUTE(TRIM($P488),"-",""),".",""),"/",""),4)),VALUE(MID(SUBSTITUTE(SUBSTITUTE(SUBSTITUTE(TRIM($P488),"-",""),".",""),"/",""),5,2)),VALUE(RIGHT(SUBSTITUTE(SUBSTITUTE(SUBSTITUTE(TRIM($P488),"-",""),".",""),"/",""),2))),DATEVALUE($P488))),""))</f>
        <v/>
      </c>
      <c r="Y488" s="56" t="str">
        <f aca="false">IF($M488="","",IFERROR(INDEX(강사DB!$D$4:$D$53,MATCH($M488,강사DB!$A$4:$A$53,0)),""))</f>
        <v/>
      </c>
      <c r="Z488" s="56" t="str">
        <f aca="false">IF($B488&lt;&gt;"결제완료","",IF(OR($Y488="",$J488=""),"",$Y488*$J488+MAX(0,N($K488)-1)*설정!$J$7))</f>
        <v/>
      </c>
      <c r="AA488" s="56" t="str">
        <f aca="false">IF(AND($D488&lt;&gt;"",$B488="결제완료"),N($N488),"")</f>
        <v/>
      </c>
      <c r="AB488" s="45" t="str">
        <f aca="false">IF($D488="","",IF($F488&lt;&gt;"",$F488,$D488)&amp;IF($B488="상담중"," (상담)",""))</f>
        <v/>
      </c>
      <c r="AC488" s="45" t="n">
        <f aca="false">IF(AND($D488&lt;&gt;"",OR($B488="결제완료",$B488="상담중")),1,0)</f>
        <v>0</v>
      </c>
      <c r="AD488" s="45" t="n">
        <f aca="false">IF(OR($Z488="",$U488=""),0,IFERROR(IF(COUNTIFS(INDEX(g_grid,0,2*MATCH($M488,강사DB!$A$4:$A$15,0)),"&lt;&gt;",g_s,"&lt;="&amp;$U488,g_e,"&gt;="&amp;$U488)&gt;0,1,0),0))</f>
        <v>0</v>
      </c>
      <c r="AE488" s="48"/>
      <c r="AF488" s="56" t="str">
        <f aca="false">IF(AND($D488&lt;&gt;"",$B488="결제완료",$T488="대여"),설정!$J$5,"")</f>
        <v/>
      </c>
      <c r="AG488" s="54" t="str">
        <f aca="false">IF($D488="","",IF(AND($E488="",$R488=""),$AB488,"☎ "&amp;IF($E488="","-",$E488)&amp;IF($R488&lt;&gt;"","  ※ "&amp;$R488,"")&amp;IF($B488="상담중"," (상담)","")))</f>
        <v/>
      </c>
      <c r="AH488" s="56" t="str">
        <f aca="false">IF(AND($D488&lt;&gt;"",$B488="결제완료",$O488="스마트스토어"),ROUND(N($N488)*설정!$J$6,0),"")</f>
        <v/>
      </c>
      <c r="AI488" s="54" t="str">
        <f aca="false">IF($D488="","",ROW())</f>
        <v/>
      </c>
      <c r="AJ488" s="54" t="n">
        <f aca="false">IF(OR($AC488&lt;&gt;1,$M488=""),0,IF(ISNUMBER(SEARCH("퇴사",IFERROR(INDEX(강사DB!$G$4:$G$53,MATCH($M488,강사DB!$A$4:$A$53,0)),""))),1,0))</f>
        <v>0</v>
      </c>
    </row>
    <row r="489" customFormat="false" ht="15" hidden="false" customHeight="false" outlineLevel="0" collapsed="false">
      <c r="A489" s="45" t="str">
        <f aca="false">IF($D489="","",COUNTA($D$5:$D489))</f>
        <v/>
      </c>
      <c r="B489" s="46"/>
      <c r="C489" s="47"/>
      <c r="D489" s="48"/>
      <c r="E489" s="48"/>
      <c r="F489" s="49"/>
      <c r="G489" s="47"/>
      <c r="H489" s="50"/>
      <c r="I489" s="50"/>
      <c r="J489" s="51" t="str">
        <f aca="false">IF(OR($V489="",$W489=""),"",ROUND(($W489-$V489)/60,2))</f>
        <v/>
      </c>
      <c r="K489" s="52" t="str">
        <f aca="false">IF($F489="","",LEN($F489)-LEN(SUBSTITUTE($F489,",",""))+1)</f>
        <v/>
      </c>
      <c r="L489" s="45" t="str">
        <f aca="false">IF($K489="","","1:"&amp;$K489)</f>
        <v/>
      </c>
      <c r="M489" s="46"/>
      <c r="N489" s="53"/>
      <c r="O489" s="46"/>
      <c r="P489" s="47"/>
      <c r="Q489" s="48"/>
      <c r="R489" s="49"/>
      <c r="S489" s="54" t="str">
        <f aca="false">IF(OR($AC489=0,$U489="",$M489="",$V489="",$W489=""),"",IF(COUNTIFS(m_teacher,$M489,m_date,$U489,m_active,1,m_start,"&lt;"&amp;$W489,m_end,"&gt;"&amp;$V489)&gt;1,"충돌",""))</f>
        <v/>
      </c>
      <c r="T489" s="48"/>
      <c r="U489" s="55" t="str">
        <f aca="false">IF($G489="","",IFERROR(IF(ISNUMBER($G489),IF($G489&gt;19000000,DATE(INT($G489/10000),MOD(INT($G489/100),100),MOD($G489,100)),INT($G489)),IF(LEN(SUBSTITUTE(SUBSTITUTE(SUBSTITUTE(TRIM($G489),"-",""),".",""),"/",""))=8,DATE(VALUE(LEFT(SUBSTITUTE(SUBSTITUTE(SUBSTITUTE(TRIM($G489),"-",""),".",""),"/",""),4)),VALUE(MID(SUBSTITUTE(SUBSTITUTE(SUBSTITUTE(TRIM($G489),"-",""),".",""),"/",""),5,2)),VALUE(RIGHT(SUBSTITUTE(SUBSTITUTE(SUBSTITUTE(TRIM($G489),"-",""),".",""),"/",""),2))),DATEVALUE($G489))),""))</f>
        <v/>
      </c>
      <c r="V489" s="52" t="str">
        <f aca="false">IF($H489="","",IFERROR(IF(IF(ISNUMBER($H489),$H489,IFERROR(TIMEVALUE($H489),VALUE($H489)))&gt;=100,INT(IF(ISNUMBER($H489),$H489,IFERROR(TIMEVALUE($H489),VALUE($H489)))/100)*60+MOD(IF(ISNUMBER($H489),$H489,IFERROR(TIMEVALUE($H489),VALUE($H489))),100),IF(IF(ISNUMBER($H489),$H489,IFERROR(TIMEVALUE($H489),VALUE($H489)))&gt;=1,ROUND(IF(ISNUMBER($H489),$H489,IFERROR(TIMEVALUE($H489),VALUE($H489)))*60,0),ROUND(MOD(IF(ISNUMBER($H489),$H489,IFERROR(TIMEVALUE($H489),VALUE($H489))),1)*1440,0))),""))</f>
        <v/>
      </c>
      <c r="W489" s="52" t="str">
        <f aca="false">IF($I489="","",IFERROR(IF(IF(ISNUMBER($I489),$I489,IFERROR(TIMEVALUE($I489),VALUE($I489)))&gt;=100,INT(IF(ISNUMBER($I489),$I489,IFERROR(TIMEVALUE($I489),VALUE($I489)))/100)*60+MOD(IF(ISNUMBER($I489),$I489,IFERROR(TIMEVALUE($I489),VALUE($I489))),100),IF(IF(ISNUMBER($I489),$I489,IFERROR(TIMEVALUE($I489),VALUE($I489)))&gt;=1,ROUND(IF(ISNUMBER($I489),$I489,IFERROR(TIMEVALUE($I489),VALUE($I489)))*60,0),ROUND(MOD(IF(ISNUMBER($I489),$I489,IFERROR(TIMEVALUE($I489),VALUE($I489))),1)*1440,0))),""))</f>
        <v/>
      </c>
      <c r="X489" s="55" t="str">
        <f aca="false">IF($P489="","",IFERROR(IF(ISNUMBER($P489),IF($P489&gt;19000000,DATE(INT($P489/10000),MOD(INT($P489/100),100),MOD($P489,100)),INT($P489)),IF(LEN(SUBSTITUTE(SUBSTITUTE(SUBSTITUTE(TRIM($P489),"-",""),".",""),"/",""))=8,DATE(VALUE(LEFT(SUBSTITUTE(SUBSTITUTE(SUBSTITUTE(TRIM($P489),"-",""),".",""),"/",""),4)),VALUE(MID(SUBSTITUTE(SUBSTITUTE(SUBSTITUTE(TRIM($P489),"-",""),".",""),"/",""),5,2)),VALUE(RIGHT(SUBSTITUTE(SUBSTITUTE(SUBSTITUTE(TRIM($P489),"-",""),".",""),"/",""),2))),DATEVALUE($P489))),""))</f>
        <v/>
      </c>
      <c r="Y489" s="56" t="str">
        <f aca="false">IF($M489="","",IFERROR(INDEX(강사DB!$D$4:$D$53,MATCH($M489,강사DB!$A$4:$A$53,0)),""))</f>
        <v/>
      </c>
      <c r="Z489" s="56" t="str">
        <f aca="false">IF($B489&lt;&gt;"결제완료","",IF(OR($Y489="",$J489=""),"",$Y489*$J489+MAX(0,N($K489)-1)*설정!$J$7))</f>
        <v/>
      </c>
      <c r="AA489" s="56" t="str">
        <f aca="false">IF(AND($D489&lt;&gt;"",$B489="결제완료"),N($N489),"")</f>
        <v/>
      </c>
      <c r="AB489" s="45" t="str">
        <f aca="false">IF($D489="","",IF($F489&lt;&gt;"",$F489,$D489)&amp;IF($B489="상담중"," (상담)",""))</f>
        <v/>
      </c>
      <c r="AC489" s="45" t="n">
        <f aca="false">IF(AND($D489&lt;&gt;"",OR($B489="결제완료",$B489="상담중")),1,0)</f>
        <v>0</v>
      </c>
      <c r="AD489" s="45" t="n">
        <f aca="false">IF(OR($Z489="",$U489=""),0,IFERROR(IF(COUNTIFS(INDEX(g_grid,0,2*MATCH($M489,강사DB!$A$4:$A$15,0)),"&lt;&gt;",g_s,"&lt;="&amp;$U489,g_e,"&gt;="&amp;$U489)&gt;0,1,0),0))</f>
        <v>0</v>
      </c>
      <c r="AE489" s="48"/>
      <c r="AF489" s="56" t="str">
        <f aca="false">IF(AND($D489&lt;&gt;"",$B489="결제완료",$T489="대여"),설정!$J$5,"")</f>
        <v/>
      </c>
      <c r="AG489" s="54" t="str">
        <f aca="false">IF($D489="","",IF(AND($E489="",$R489=""),$AB489,"☎ "&amp;IF($E489="","-",$E489)&amp;IF($R489&lt;&gt;"","  ※ "&amp;$R489,"")&amp;IF($B489="상담중"," (상담)","")))</f>
        <v/>
      </c>
      <c r="AH489" s="56" t="str">
        <f aca="false">IF(AND($D489&lt;&gt;"",$B489="결제완료",$O489="스마트스토어"),ROUND(N($N489)*설정!$J$6,0),"")</f>
        <v/>
      </c>
      <c r="AI489" s="54" t="str">
        <f aca="false">IF($D489="","",ROW())</f>
        <v/>
      </c>
      <c r="AJ489" s="54" t="n">
        <f aca="false">IF(OR($AC489&lt;&gt;1,$M489=""),0,IF(ISNUMBER(SEARCH("퇴사",IFERROR(INDEX(강사DB!$G$4:$G$53,MATCH($M489,강사DB!$A$4:$A$53,0)),""))),1,0))</f>
        <v>0</v>
      </c>
    </row>
    <row r="490" customFormat="false" ht="15" hidden="false" customHeight="false" outlineLevel="0" collapsed="false">
      <c r="A490" s="45" t="str">
        <f aca="false">IF($D490="","",COUNTA($D$5:$D490))</f>
        <v/>
      </c>
      <c r="B490" s="46"/>
      <c r="C490" s="47"/>
      <c r="D490" s="48"/>
      <c r="E490" s="48"/>
      <c r="F490" s="49"/>
      <c r="G490" s="47"/>
      <c r="H490" s="50"/>
      <c r="I490" s="50"/>
      <c r="J490" s="51" t="str">
        <f aca="false">IF(OR($V490="",$W490=""),"",ROUND(($W490-$V490)/60,2))</f>
        <v/>
      </c>
      <c r="K490" s="52" t="str">
        <f aca="false">IF($F490="","",LEN($F490)-LEN(SUBSTITUTE($F490,",",""))+1)</f>
        <v/>
      </c>
      <c r="L490" s="45" t="str">
        <f aca="false">IF($K490="","","1:"&amp;$K490)</f>
        <v/>
      </c>
      <c r="M490" s="46"/>
      <c r="N490" s="53"/>
      <c r="O490" s="46"/>
      <c r="P490" s="47"/>
      <c r="Q490" s="48"/>
      <c r="R490" s="49"/>
      <c r="S490" s="54" t="str">
        <f aca="false">IF(OR($AC490=0,$U490="",$M490="",$V490="",$W490=""),"",IF(COUNTIFS(m_teacher,$M490,m_date,$U490,m_active,1,m_start,"&lt;"&amp;$W490,m_end,"&gt;"&amp;$V490)&gt;1,"충돌",""))</f>
        <v/>
      </c>
      <c r="T490" s="48"/>
      <c r="U490" s="55" t="str">
        <f aca="false">IF($G490="","",IFERROR(IF(ISNUMBER($G490),IF($G490&gt;19000000,DATE(INT($G490/10000),MOD(INT($G490/100),100),MOD($G490,100)),INT($G490)),IF(LEN(SUBSTITUTE(SUBSTITUTE(SUBSTITUTE(TRIM($G490),"-",""),".",""),"/",""))=8,DATE(VALUE(LEFT(SUBSTITUTE(SUBSTITUTE(SUBSTITUTE(TRIM($G490),"-",""),".",""),"/",""),4)),VALUE(MID(SUBSTITUTE(SUBSTITUTE(SUBSTITUTE(TRIM($G490),"-",""),".",""),"/",""),5,2)),VALUE(RIGHT(SUBSTITUTE(SUBSTITUTE(SUBSTITUTE(TRIM($G490),"-",""),".",""),"/",""),2))),DATEVALUE($G490))),""))</f>
        <v/>
      </c>
      <c r="V490" s="52" t="str">
        <f aca="false">IF($H490="","",IFERROR(IF(IF(ISNUMBER($H490),$H490,IFERROR(TIMEVALUE($H490),VALUE($H490)))&gt;=100,INT(IF(ISNUMBER($H490),$H490,IFERROR(TIMEVALUE($H490),VALUE($H490)))/100)*60+MOD(IF(ISNUMBER($H490),$H490,IFERROR(TIMEVALUE($H490),VALUE($H490))),100),IF(IF(ISNUMBER($H490),$H490,IFERROR(TIMEVALUE($H490),VALUE($H490)))&gt;=1,ROUND(IF(ISNUMBER($H490),$H490,IFERROR(TIMEVALUE($H490),VALUE($H490)))*60,0),ROUND(MOD(IF(ISNUMBER($H490),$H490,IFERROR(TIMEVALUE($H490),VALUE($H490))),1)*1440,0))),""))</f>
        <v/>
      </c>
      <c r="W490" s="52" t="str">
        <f aca="false">IF($I490="","",IFERROR(IF(IF(ISNUMBER($I490),$I490,IFERROR(TIMEVALUE($I490),VALUE($I490)))&gt;=100,INT(IF(ISNUMBER($I490),$I490,IFERROR(TIMEVALUE($I490),VALUE($I490)))/100)*60+MOD(IF(ISNUMBER($I490),$I490,IFERROR(TIMEVALUE($I490),VALUE($I490))),100),IF(IF(ISNUMBER($I490),$I490,IFERROR(TIMEVALUE($I490),VALUE($I490)))&gt;=1,ROUND(IF(ISNUMBER($I490),$I490,IFERROR(TIMEVALUE($I490),VALUE($I490)))*60,0),ROUND(MOD(IF(ISNUMBER($I490),$I490,IFERROR(TIMEVALUE($I490),VALUE($I490))),1)*1440,0))),""))</f>
        <v/>
      </c>
      <c r="X490" s="55" t="str">
        <f aca="false">IF($P490="","",IFERROR(IF(ISNUMBER($P490),IF($P490&gt;19000000,DATE(INT($P490/10000),MOD(INT($P490/100),100),MOD($P490,100)),INT($P490)),IF(LEN(SUBSTITUTE(SUBSTITUTE(SUBSTITUTE(TRIM($P490),"-",""),".",""),"/",""))=8,DATE(VALUE(LEFT(SUBSTITUTE(SUBSTITUTE(SUBSTITUTE(TRIM($P490),"-",""),".",""),"/",""),4)),VALUE(MID(SUBSTITUTE(SUBSTITUTE(SUBSTITUTE(TRIM($P490),"-",""),".",""),"/",""),5,2)),VALUE(RIGHT(SUBSTITUTE(SUBSTITUTE(SUBSTITUTE(TRIM($P490),"-",""),".",""),"/",""),2))),DATEVALUE($P490))),""))</f>
        <v/>
      </c>
      <c r="Y490" s="56" t="str">
        <f aca="false">IF($M490="","",IFERROR(INDEX(강사DB!$D$4:$D$53,MATCH($M490,강사DB!$A$4:$A$53,0)),""))</f>
        <v/>
      </c>
      <c r="Z490" s="56" t="str">
        <f aca="false">IF($B490&lt;&gt;"결제완료","",IF(OR($Y490="",$J490=""),"",$Y490*$J490+MAX(0,N($K490)-1)*설정!$J$7))</f>
        <v/>
      </c>
      <c r="AA490" s="56" t="str">
        <f aca="false">IF(AND($D490&lt;&gt;"",$B490="결제완료"),N($N490),"")</f>
        <v/>
      </c>
      <c r="AB490" s="45" t="str">
        <f aca="false">IF($D490="","",IF($F490&lt;&gt;"",$F490,$D490)&amp;IF($B490="상담중"," (상담)",""))</f>
        <v/>
      </c>
      <c r="AC490" s="45" t="n">
        <f aca="false">IF(AND($D490&lt;&gt;"",OR($B490="결제완료",$B490="상담중")),1,0)</f>
        <v>0</v>
      </c>
      <c r="AD490" s="45" t="n">
        <f aca="false">IF(OR($Z490="",$U490=""),0,IFERROR(IF(COUNTIFS(INDEX(g_grid,0,2*MATCH($M490,강사DB!$A$4:$A$15,0)),"&lt;&gt;",g_s,"&lt;="&amp;$U490,g_e,"&gt;="&amp;$U490)&gt;0,1,0),0))</f>
        <v>0</v>
      </c>
      <c r="AE490" s="48"/>
      <c r="AF490" s="56" t="str">
        <f aca="false">IF(AND($D490&lt;&gt;"",$B490="결제완료",$T490="대여"),설정!$J$5,"")</f>
        <v/>
      </c>
      <c r="AG490" s="54" t="str">
        <f aca="false">IF($D490="","",IF(AND($E490="",$R490=""),$AB490,"☎ "&amp;IF($E490="","-",$E490)&amp;IF($R490&lt;&gt;"","  ※ "&amp;$R490,"")&amp;IF($B490="상담중"," (상담)","")))</f>
        <v/>
      </c>
      <c r="AH490" s="56" t="str">
        <f aca="false">IF(AND($D490&lt;&gt;"",$B490="결제완료",$O490="스마트스토어"),ROUND(N($N490)*설정!$J$6,0),"")</f>
        <v/>
      </c>
      <c r="AI490" s="54" t="str">
        <f aca="false">IF($D490="","",ROW())</f>
        <v/>
      </c>
      <c r="AJ490" s="54" t="n">
        <f aca="false">IF(OR($AC490&lt;&gt;1,$M490=""),0,IF(ISNUMBER(SEARCH("퇴사",IFERROR(INDEX(강사DB!$G$4:$G$53,MATCH($M490,강사DB!$A$4:$A$53,0)),""))),1,0))</f>
        <v>0</v>
      </c>
    </row>
    <row r="491" customFormat="false" ht="15" hidden="false" customHeight="false" outlineLevel="0" collapsed="false">
      <c r="A491" s="45" t="str">
        <f aca="false">IF($D491="","",COUNTA($D$5:$D491))</f>
        <v/>
      </c>
      <c r="B491" s="46"/>
      <c r="C491" s="47"/>
      <c r="D491" s="48"/>
      <c r="E491" s="48"/>
      <c r="F491" s="49"/>
      <c r="G491" s="47"/>
      <c r="H491" s="50"/>
      <c r="I491" s="50"/>
      <c r="J491" s="51" t="str">
        <f aca="false">IF(OR($V491="",$W491=""),"",ROUND(($W491-$V491)/60,2))</f>
        <v/>
      </c>
      <c r="K491" s="52" t="str">
        <f aca="false">IF($F491="","",LEN($F491)-LEN(SUBSTITUTE($F491,",",""))+1)</f>
        <v/>
      </c>
      <c r="L491" s="45" t="str">
        <f aca="false">IF($K491="","","1:"&amp;$K491)</f>
        <v/>
      </c>
      <c r="M491" s="46"/>
      <c r="N491" s="53"/>
      <c r="O491" s="46"/>
      <c r="P491" s="47"/>
      <c r="Q491" s="48"/>
      <c r="R491" s="49"/>
      <c r="S491" s="54" t="str">
        <f aca="false">IF(OR($AC491=0,$U491="",$M491="",$V491="",$W491=""),"",IF(COUNTIFS(m_teacher,$M491,m_date,$U491,m_active,1,m_start,"&lt;"&amp;$W491,m_end,"&gt;"&amp;$V491)&gt;1,"충돌",""))</f>
        <v/>
      </c>
      <c r="T491" s="48"/>
      <c r="U491" s="55" t="str">
        <f aca="false">IF($G491="","",IFERROR(IF(ISNUMBER($G491),IF($G491&gt;19000000,DATE(INT($G491/10000),MOD(INT($G491/100),100),MOD($G491,100)),INT($G491)),IF(LEN(SUBSTITUTE(SUBSTITUTE(SUBSTITUTE(TRIM($G491),"-",""),".",""),"/",""))=8,DATE(VALUE(LEFT(SUBSTITUTE(SUBSTITUTE(SUBSTITUTE(TRIM($G491),"-",""),".",""),"/",""),4)),VALUE(MID(SUBSTITUTE(SUBSTITUTE(SUBSTITUTE(TRIM($G491),"-",""),".",""),"/",""),5,2)),VALUE(RIGHT(SUBSTITUTE(SUBSTITUTE(SUBSTITUTE(TRIM($G491),"-",""),".",""),"/",""),2))),DATEVALUE($G491))),""))</f>
        <v/>
      </c>
      <c r="V491" s="52" t="str">
        <f aca="false">IF($H491="","",IFERROR(IF(IF(ISNUMBER($H491),$H491,IFERROR(TIMEVALUE($H491),VALUE($H491)))&gt;=100,INT(IF(ISNUMBER($H491),$H491,IFERROR(TIMEVALUE($H491),VALUE($H491)))/100)*60+MOD(IF(ISNUMBER($H491),$H491,IFERROR(TIMEVALUE($H491),VALUE($H491))),100),IF(IF(ISNUMBER($H491),$H491,IFERROR(TIMEVALUE($H491),VALUE($H491)))&gt;=1,ROUND(IF(ISNUMBER($H491),$H491,IFERROR(TIMEVALUE($H491),VALUE($H491)))*60,0),ROUND(MOD(IF(ISNUMBER($H491),$H491,IFERROR(TIMEVALUE($H491),VALUE($H491))),1)*1440,0))),""))</f>
        <v/>
      </c>
      <c r="W491" s="52" t="str">
        <f aca="false">IF($I491="","",IFERROR(IF(IF(ISNUMBER($I491),$I491,IFERROR(TIMEVALUE($I491),VALUE($I491)))&gt;=100,INT(IF(ISNUMBER($I491),$I491,IFERROR(TIMEVALUE($I491),VALUE($I491)))/100)*60+MOD(IF(ISNUMBER($I491),$I491,IFERROR(TIMEVALUE($I491),VALUE($I491))),100),IF(IF(ISNUMBER($I491),$I491,IFERROR(TIMEVALUE($I491),VALUE($I491)))&gt;=1,ROUND(IF(ISNUMBER($I491),$I491,IFERROR(TIMEVALUE($I491),VALUE($I491)))*60,0),ROUND(MOD(IF(ISNUMBER($I491),$I491,IFERROR(TIMEVALUE($I491),VALUE($I491))),1)*1440,0))),""))</f>
        <v/>
      </c>
      <c r="X491" s="55" t="str">
        <f aca="false">IF($P491="","",IFERROR(IF(ISNUMBER($P491),IF($P491&gt;19000000,DATE(INT($P491/10000),MOD(INT($P491/100),100),MOD($P491,100)),INT($P491)),IF(LEN(SUBSTITUTE(SUBSTITUTE(SUBSTITUTE(TRIM($P491),"-",""),".",""),"/",""))=8,DATE(VALUE(LEFT(SUBSTITUTE(SUBSTITUTE(SUBSTITUTE(TRIM($P491),"-",""),".",""),"/",""),4)),VALUE(MID(SUBSTITUTE(SUBSTITUTE(SUBSTITUTE(TRIM($P491),"-",""),".",""),"/",""),5,2)),VALUE(RIGHT(SUBSTITUTE(SUBSTITUTE(SUBSTITUTE(TRIM($P491),"-",""),".",""),"/",""),2))),DATEVALUE($P491))),""))</f>
        <v/>
      </c>
      <c r="Y491" s="56" t="str">
        <f aca="false">IF($M491="","",IFERROR(INDEX(강사DB!$D$4:$D$53,MATCH($M491,강사DB!$A$4:$A$53,0)),""))</f>
        <v/>
      </c>
      <c r="Z491" s="56" t="str">
        <f aca="false">IF($B491&lt;&gt;"결제완료","",IF(OR($Y491="",$J491=""),"",$Y491*$J491+MAX(0,N($K491)-1)*설정!$J$7))</f>
        <v/>
      </c>
      <c r="AA491" s="56" t="str">
        <f aca="false">IF(AND($D491&lt;&gt;"",$B491="결제완료"),N($N491),"")</f>
        <v/>
      </c>
      <c r="AB491" s="45" t="str">
        <f aca="false">IF($D491="","",IF($F491&lt;&gt;"",$F491,$D491)&amp;IF($B491="상담중"," (상담)",""))</f>
        <v/>
      </c>
      <c r="AC491" s="45" t="n">
        <f aca="false">IF(AND($D491&lt;&gt;"",OR($B491="결제완료",$B491="상담중")),1,0)</f>
        <v>0</v>
      </c>
      <c r="AD491" s="45" t="n">
        <f aca="false">IF(OR($Z491="",$U491=""),0,IFERROR(IF(COUNTIFS(INDEX(g_grid,0,2*MATCH($M491,강사DB!$A$4:$A$15,0)),"&lt;&gt;",g_s,"&lt;="&amp;$U491,g_e,"&gt;="&amp;$U491)&gt;0,1,0),0))</f>
        <v>0</v>
      </c>
      <c r="AE491" s="48"/>
      <c r="AF491" s="56" t="str">
        <f aca="false">IF(AND($D491&lt;&gt;"",$B491="결제완료",$T491="대여"),설정!$J$5,"")</f>
        <v/>
      </c>
      <c r="AG491" s="54" t="str">
        <f aca="false">IF($D491="","",IF(AND($E491="",$R491=""),$AB491,"☎ "&amp;IF($E491="","-",$E491)&amp;IF($R491&lt;&gt;"","  ※ "&amp;$R491,"")&amp;IF($B491="상담중"," (상담)","")))</f>
        <v/>
      </c>
      <c r="AH491" s="56" t="str">
        <f aca="false">IF(AND($D491&lt;&gt;"",$B491="결제완료",$O491="스마트스토어"),ROUND(N($N491)*설정!$J$6,0),"")</f>
        <v/>
      </c>
      <c r="AI491" s="54" t="str">
        <f aca="false">IF($D491="","",ROW())</f>
        <v/>
      </c>
      <c r="AJ491" s="54" t="n">
        <f aca="false">IF(OR($AC491&lt;&gt;1,$M491=""),0,IF(ISNUMBER(SEARCH("퇴사",IFERROR(INDEX(강사DB!$G$4:$G$53,MATCH($M491,강사DB!$A$4:$A$53,0)),""))),1,0))</f>
        <v>0</v>
      </c>
    </row>
    <row r="492" customFormat="false" ht="15" hidden="false" customHeight="false" outlineLevel="0" collapsed="false">
      <c r="A492" s="45" t="str">
        <f aca="false">IF($D492="","",COUNTA($D$5:$D492))</f>
        <v/>
      </c>
      <c r="B492" s="46"/>
      <c r="C492" s="47"/>
      <c r="D492" s="48"/>
      <c r="E492" s="48"/>
      <c r="F492" s="49"/>
      <c r="G492" s="47"/>
      <c r="H492" s="50"/>
      <c r="I492" s="50"/>
      <c r="J492" s="51" t="str">
        <f aca="false">IF(OR($V492="",$W492=""),"",ROUND(($W492-$V492)/60,2))</f>
        <v/>
      </c>
      <c r="K492" s="52" t="str">
        <f aca="false">IF($F492="","",LEN($F492)-LEN(SUBSTITUTE($F492,",",""))+1)</f>
        <v/>
      </c>
      <c r="L492" s="45" t="str">
        <f aca="false">IF($K492="","","1:"&amp;$K492)</f>
        <v/>
      </c>
      <c r="M492" s="46"/>
      <c r="N492" s="53"/>
      <c r="O492" s="46"/>
      <c r="P492" s="47"/>
      <c r="Q492" s="48"/>
      <c r="R492" s="49"/>
      <c r="S492" s="54" t="str">
        <f aca="false">IF(OR($AC492=0,$U492="",$M492="",$V492="",$W492=""),"",IF(COUNTIFS(m_teacher,$M492,m_date,$U492,m_active,1,m_start,"&lt;"&amp;$W492,m_end,"&gt;"&amp;$V492)&gt;1,"충돌",""))</f>
        <v/>
      </c>
      <c r="T492" s="48"/>
      <c r="U492" s="55" t="str">
        <f aca="false">IF($G492="","",IFERROR(IF(ISNUMBER($G492),IF($G492&gt;19000000,DATE(INT($G492/10000),MOD(INT($G492/100),100),MOD($G492,100)),INT($G492)),IF(LEN(SUBSTITUTE(SUBSTITUTE(SUBSTITUTE(TRIM($G492),"-",""),".",""),"/",""))=8,DATE(VALUE(LEFT(SUBSTITUTE(SUBSTITUTE(SUBSTITUTE(TRIM($G492),"-",""),".",""),"/",""),4)),VALUE(MID(SUBSTITUTE(SUBSTITUTE(SUBSTITUTE(TRIM($G492),"-",""),".",""),"/",""),5,2)),VALUE(RIGHT(SUBSTITUTE(SUBSTITUTE(SUBSTITUTE(TRIM($G492),"-",""),".",""),"/",""),2))),DATEVALUE($G492))),""))</f>
        <v/>
      </c>
      <c r="V492" s="52" t="str">
        <f aca="false">IF($H492="","",IFERROR(IF(IF(ISNUMBER($H492),$H492,IFERROR(TIMEVALUE($H492),VALUE($H492)))&gt;=100,INT(IF(ISNUMBER($H492),$H492,IFERROR(TIMEVALUE($H492),VALUE($H492)))/100)*60+MOD(IF(ISNUMBER($H492),$H492,IFERROR(TIMEVALUE($H492),VALUE($H492))),100),IF(IF(ISNUMBER($H492),$H492,IFERROR(TIMEVALUE($H492),VALUE($H492)))&gt;=1,ROUND(IF(ISNUMBER($H492),$H492,IFERROR(TIMEVALUE($H492),VALUE($H492)))*60,0),ROUND(MOD(IF(ISNUMBER($H492),$H492,IFERROR(TIMEVALUE($H492),VALUE($H492))),1)*1440,0))),""))</f>
        <v/>
      </c>
      <c r="W492" s="52" t="str">
        <f aca="false">IF($I492="","",IFERROR(IF(IF(ISNUMBER($I492),$I492,IFERROR(TIMEVALUE($I492),VALUE($I492)))&gt;=100,INT(IF(ISNUMBER($I492),$I492,IFERROR(TIMEVALUE($I492),VALUE($I492)))/100)*60+MOD(IF(ISNUMBER($I492),$I492,IFERROR(TIMEVALUE($I492),VALUE($I492))),100),IF(IF(ISNUMBER($I492),$I492,IFERROR(TIMEVALUE($I492),VALUE($I492)))&gt;=1,ROUND(IF(ISNUMBER($I492),$I492,IFERROR(TIMEVALUE($I492),VALUE($I492)))*60,0),ROUND(MOD(IF(ISNUMBER($I492),$I492,IFERROR(TIMEVALUE($I492),VALUE($I492))),1)*1440,0))),""))</f>
        <v/>
      </c>
      <c r="X492" s="55" t="str">
        <f aca="false">IF($P492="","",IFERROR(IF(ISNUMBER($P492),IF($P492&gt;19000000,DATE(INT($P492/10000),MOD(INT($P492/100),100),MOD($P492,100)),INT($P492)),IF(LEN(SUBSTITUTE(SUBSTITUTE(SUBSTITUTE(TRIM($P492),"-",""),".",""),"/",""))=8,DATE(VALUE(LEFT(SUBSTITUTE(SUBSTITUTE(SUBSTITUTE(TRIM($P492),"-",""),".",""),"/",""),4)),VALUE(MID(SUBSTITUTE(SUBSTITUTE(SUBSTITUTE(TRIM($P492),"-",""),".",""),"/",""),5,2)),VALUE(RIGHT(SUBSTITUTE(SUBSTITUTE(SUBSTITUTE(TRIM($P492),"-",""),".",""),"/",""),2))),DATEVALUE($P492))),""))</f>
        <v/>
      </c>
      <c r="Y492" s="56" t="str">
        <f aca="false">IF($M492="","",IFERROR(INDEX(강사DB!$D$4:$D$53,MATCH($M492,강사DB!$A$4:$A$53,0)),""))</f>
        <v/>
      </c>
      <c r="Z492" s="56" t="str">
        <f aca="false">IF($B492&lt;&gt;"결제완료","",IF(OR($Y492="",$J492=""),"",$Y492*$J492+MAX(0,N($K492)-1)*설정!$J$7))</f>
        <v/>
      </c>
      <c r="AA492" s="56" t="str">
        <f aca="false">IF(AND($D492&lt;&gt;"",$B492="결제완료"),N($N492),"")</f>
        <v/>
      </c>
      <c r="AB492" s="45" t="str">
        <f aca="false">IF($D492="","",IF($F492&lt;&gt;"",$F492,$D492)&amp;IF($B492="상담중"," (상담)",""))</f>
        <v/>
      </c>
      <c r="AC492" s="45" t="n">
        <f aca="false">IF(AND($D492&lt;&gt;"",OR($B492="결제완료",$B492="상담중")),1,0)</f>
        <v>0</v>
      </c>
      <c r="AD492" s="45" t="n">
        <f aca="false">IF(OR($Z492="",$U492=""),0,IFERROR(IF(COUNTIFS(INDEX(g_grid,0,2*MATCH($M492,강사DB!$A$4:$A$15,0)),"&lt;&gt;",g_s,"&lt;="&amp;$U492,g_e,"&gt;="&amp;$U492)&gt;0,1,0),0))</f>
        <v>0</v>
      </c>
      <c r="AE492" s="48"/>
      <c r="AF492" s="56" t="str">
        <f aca="false">IF(AND($D492&lt;&gt;"",$B492="결제완료",$T492="대여"),설정!$J$5,"")</f>
        <v/>
      </c>
      <c r="AG492" s="54" t="str">
        <f aca="false">IF($D492="","",IF(AND($E492="",$R492=""),$AB492,"☎ "&amp;IF($E492="","-",$E492)&amp;IF($R492&lt;&gt;"","  ※ "&amp;$R492,"")&amp;IF($B492="상담중"," (상담)","")))</f>
        <v/>
      </c>
      <c r="AH492" s="56" t="str">
        <f aca="false">IF(AND($D492&lt;&gt;"",$B492="결제완료",$O492="스마트스토어"),ROUND(N($N492)*설정!$J$6,0),"")</f>
        <v/>
      </c>
      <c r="AI492" s="54" t="str">
        <f aca="false">IF($D492="","",ROW())</f>
        <v/>
      </c>
      <c r="AJ492" s="54" t="n">
        <f aca="false">IF(OR($AC492&lt;&gt;1,$M492=""),0,IF(ISNUMBER(SEARCH("퇴사",IFERROR(INDEX(강사DB!$G$4:$G$53,MATCH($M492,강사DB!$A$4:$A$53,0)),""))),1,0))</f>
        <v>0</v>
      </c>
    </row>
    <row r="493" customFormat="false" ht="15" hidden="false" customHeight="false" outlineLevel="0" collapsed="false">
      <c r="A493" s="45" t="str">
        <f aca="false">IF($D493="","",COUNTA($D$5:$D493))</f>
        <v/>
      </c>
      <c r="B493" s="46"/>
      <c r="C493" s="47"/>
      <c r="D493" s="48"/>
      <c r="E493" s="48"/>
      <c r="F493" s="49"/>
      <c r="G493" s="47"/>
      <c r="H493" s="50"/>
      <c r="I493" s="50"/>
      <c r="J493" s="51" t="str">
        <f aca="false">IF(OR($V493="",$W493=""),"",ROUND(($W493-$V493)/60,2))</f>
        <v/>
      </c>
      <c r="K493" s="52" t="str">
        <f aca="false">IF($F493="","",LEN($F493)-LEN(SUBSTITUTE($F493,",",""))+1)</f>
        <v/>
      </c>
      <c r="L493" s="45" t="str">
        <f aca="false">IF($K493="","","1:"&amp;$K493)</f>
        <v/>
      </c>
      <c r="M493" s="46"/>
      <c r="N493" s="53"/>
      <c r="O493" s="46"/>
      <c r="P493" s="47"/>
      <c r="Q493" s="48"/>
      <c r="R493" s="49"/>
      <c r="S493" s="54" t="str">
        <f aca="false">IF(OR($AC493=0,$U493="",$M493="",$V493="",$W493=""),"",IF(COUNTIFS(m_teacher,$M493,m_date,$U493,m_active,1,m_start,"&lt;"&amp;$W493,m_end,"&gt;"&amp;$V493)&gt;1,"충돌",""))</f>
        <v/>
      </c>
      <c r="T493" s="48"/>
      <c r="U493" s="55" t="str">
        <f aca="false">IF($G493="","",IFERROR(IF(ISNUMBER($G493),IF($G493&gt;19000000,DATE(INT($G493/10000),MOD(INT($G493/100),100),MOD($G493,100)),INT($G493)),IF(LEN(SUBSTITUTE(SUBSTITUTE(SUBSTITUTE(TRIM($G493),"-",""),".",""),"/",""))=8,DATE(VALUE(LEFT(SUBSTITUTE(SUBSTITUTE(SUBSTITUTE(TRIM($G493),"-",""),".",""),"/",""),4)),VALUE(MID(SUBSTITUTE(SUBSTITUTE(SUBSTITUTE(TRIM($G493),"-",""),".",""),"/",""),5,2)),VALUE(RIGHT(SUBSTITUTE(SUBSTITUTE(SUBSTITUTE(TRIM($G493),"-",""),".",""),"/",""),2))),DATEVALUE($G493))),""))</f>
        <v/>
      </c>
      <c r="V493" s="52" t="str">
        <f aca="false">IF($H493="","",IFERROR(IF(IF(ISNUMBER($H493),$H493,IFERROR(TIMEVALUE($H493),VALUE($H493)))&gt;=100,INT(IF(ISNUMBER($H493),$H493,IFERROR(TIMEVALUE($H493),VALUE($H493)))/100)*60+MOD(IF(ISNUMBER($H493),$H493,IFERROR(TIMEVALUE($H493),VALUE($H493))),100),IF(IF(ISNUMBER($H493),$H493,IFERROR(TIMEVALUE($H493),VALUE($H493)))&gt;=1,ROUND(IF(ISNUMBER($H493),$H493,IFERROR(TIMEVALUE($H493),VALUE($H493)))*60,0),ROUND(MOD(IF(ISNUMBER($H493),$H493,IFERROR(TIMEVALUE($H493),VALUE($H493))),1)*1440,0))),""))</f>
        <v/>
      </c>
      <c r="W493" s="52" t="str">
        <f aca="false">IF($I493="","",IFERROR(IF(IF(ISNUMBER($I493),$I493,IFERROR(TIMEVALUE($I493),VALUE($I493)))&gt;=100,INT(IF(ISNUMBER($I493),$I493,IFERROR(TIMEVALUE($I493),VALUE($I493)))/100)*60+MOD(IF(ISNUMBER($I493),$I493,IFERROR(TIMEVALUE($I493),VALUE($I493))),100),IF(IF(ISNUMBER($I493),$I493,IFERROR(TIMEVALUE($I493),VALUE($I493)))&gt;=1,ROUND(IF(ISNUMBER($I493),$I493,IFERROR(TIMEVALUE($I493),VALUE($I493)))*60,0),ROUND(MOD(IF(ISNUMBER($I493),$I493,IFERROR(TIMEVALUE($I493),VALUE($I493))),1)*1440,0))),""))</f>
        <v/>
      </c>
      <c r="X493" s="55" t="str">
        <f aca="false">IF($P493="","",IFERROR(IF(ISNUMBER($P493),IF($P493&gt;19000000,DATE(INT($P493/10000),MOD(INT($P493/100),100),MOD($P493,100)),INT($P493)),IF(LEN(SUBSTITUTE(SUBSTITUTE(SUBSTITUTE(TRIM($P493),"-",""),".",""),"/",""))=8,DATE(VALUE(LEFT(SUBSTITUTE(SUBSTITUTE(SUBSTITUTE(TRIM($P493),"-",""),".",""),"/",""),4)),VALUE(MID(SUBSTITUTE(SUBSTITUTE(SUBSTITUTE(TRIM($P493),"-",""),".",""),"/",""),5,2)),VALUE(RIGHT(SUBSTITUTE(SUBSTITUTE(SUBSTITUTE(TRIM($P493),"-",""),".",""),"/",""),2))),DATEVALUE($P493))),""))</f>
        <v/>
      </c>
      <c r="Y493" s="56" t="str">
        <f aca="false">IF($M493="","",IFERROR(INDEX(강사DB!$D$4:$D$53,MATCH($M493,강사DB!$A$4:$A$53,0)),""))</f>
        <v/>
      </c>
      <c r="Z493" s="56" t="str">
        <f aca="false">IF($B493&lt;&gt;"결제완료","",IF(OR($Y493="",$J493=""),"",$Y493*$J493+MAX(0,N($K493)-1)*설정!$J$7))</f>
        <v/>
      </c>
      <c r="AA493" s="56" t="str">
        <f aca="false">IF(AND($D493&lt;&gt;"",$B493="결제완료"),N($N493),"")</f>
        <v/>
      </c>
      <c r="AB493" s="45" t="str">
        <f aca="false">IF($D493="","",IF($F493&lt;&gt;"",$F493,$D493)&amp;IF($B493="상담중"," (상담)",""))</f>
        <v/>
      </c>
      <c r="AC493" s="45" t="n">
        <f aca="false">IF(AND($D493&lt;&gt;"",OR($B493="결제완료",$B493="상담중")),1,0)</f>
        <v>0</v>
      </c>
      <c r="AD493" s="45" t="n">
        <f aca="false">IF(OR($Z493="",$U493=""),0,IFERROR(IF(COUNTIFS(INDEX(g_grid,0,2*MATCH($M493,강사DB!$A$4:$A$15,0)),"&lt;&gt;",g_s,"&lt;="&amp;$U493,g_e,"&gt;="&amp;$U493)&gt;0,1,0),0))</f>
        <v>0</v>
      </c>
      <c r="AE493" s="48"/>
      <c r="AF493" s="56" t="str">
        <f aca="false">IF(AND($D493&lt;&gt;"",$B493="결제완료",$T493="대여"),설정!$J$5,"")</f>
        <v/>
      </c>
      <c r="AG493" s="54" t="str">
        <f aca="false">IF($D493="","",IF(AND($E493="",$R493=""),$AB493,"☎ "&amp;IF($E493="","-",$E493)&amp;IF($R493&lt;&gt;"","  ※ "&amp;$R493,"")&amp;IF($B493="상담중"," (상담)","")))</f>
        <v/>
      </c>
      <c r="AH493" s="56" t="str">
        <f aca="false">IF(AND($D493&lt;&gt;"",$B493="결제완료",$O493="스마트스토어"),ROUND(N($N493)*설정!$J$6,0),"")</f>
        <v/>
      </c>
      <c r="AI493" s="54" t="str">
        <f aca="false">IF($D493="","",ROW())</f>
        <v/>
      </c>
      <c r="AJ493" s="54" t="n">
        <f aca="false">IF(OR($AC493&lt;&gt;1,$M493=""),0,IF(ISNUMBER(SEARCH("퇴사",IFERROR(INDEX(강사DB!$G$4:$G$53,MATCH($M493,강사DB!$A$4:$A$53,0)),""))),1,0))</f>
        <v>0</v>
      </c>
    </row>
    <row r="494" customFormat="false" ht="15" hidden="false" customHeight="false" outlineLevel="0" collapsed="false">
      <c r="A494" s="45" t="str">
        <f aca="false">IF($D494="","",COUNTA($D$5:$D494))</f>
        <v/>
      </c>
      <c r="B494" s="46"/>
      <c r="C494" s="47"/>
      <c r="D494" s="48"/>
      <c r="E494" s="48"/>
      <c r="F494" s="49"/>
      <c r="G494" s="47"/>
      <c r="H494" s="50"/>
      <c r="I494" s="50"/>
      <c r="J494" s="51" t="str">
        <f aca="false">IF(OR($V494="",$W494=""),"",ROUND(($W494-$V494)/60,2))</f>
        <v/>
      </c>
      <c r="K494" s="52" t="str">
        <f aca="false">IF($F494="","",LEN($F494)-LEN(SUBSTITUTE($F494,",",""))+1)</f>
        <v/>
      </c>
      <c r="L494" s="45" t="str">
        <f aca="false">IF($K494="","","1:"&amp;$K494)</f>
        <v/>
      </c>
      <c r="M494" s="46"/>
      <c r="N494" s="53"/>
      <c r="O494" s="46"/>
      <c r="P494" s="47"/>
      <c r="Q494" s="48"/>
      <c r="R494" s="49"/>
      <c r="S494" s="54" t="str">
        <f aca="false">IF(OR($AC494=0,$U494="",$M494="",$V494="",$W494=""),"",IF(COUNTIFS(m_teacher,$M494,m_date,$U494,m_active,1,m_start,"&lt;"&amp;$W494,m_end,"&gt;"&amp;$V494)&gt;1,"충돌",""))</f>
        <v/>
      </c>
      <c r="T494" s="48"/>
      <c r="U494" s="55" t="str">
        <f aca="false">IF($G494="","",IFERROR(IF(ISNUMBER($G494),IF($G494&gt;19000000,DATE(INT($G494/10000),MOD(INT($G494/100),100),MOD($G494,100)),INT($G494)),IF(LEN(SUBSTITUTE(SUBSTITUTE(SUBSTITUTE(TRIM($G494),"-",""),".",""),"/",""))=8,DATE(VALUE(LEFT(SUBSTITUTE(SUBSTITUTE(SUBSTITUTE(TRIM($G494),"-",""),".",""),"/",""),4)),VALUE(MID(SUBSTITUTE(SUBSTITUTE(SUBSTITUTE(TRIM($G494),"-",""),".",""),"/",""),5,2)),VALUE(RIGHT(SUBSTITUTE(SUBSTITUTE(SUBSTITUTE(TRIM($G494),"-",""),".",""),"/",""),2))),DATEVALUE($G494))),""))</f>
        <v/>
      </c>
      <c r="V494" s="52" t="str">
        <f aca="false">IF($H494="","",IFERROR(IF(IF(ISNUMBER($H494),$H494,IFERROR(TIMEVALUE($H494),VALUE($H494)))&gt;=100,INT(IF(ISNUMBER($H494),$H494,IFERROR(TIMEVALUE($H494),VALUE($H494)))/100)*60+MOD(IF(ISNUMBER($H494),$H494,IFERROR(TIMEVALUE($H494),VALUE($H494))),100),IF(IF(ISNUMBER($H494),$H494,IFERROR(TIMEVALUE($H494),VALUE($H494)))&gt;=1,ROUND(IF(ISNUMBER($H494),$H494,IFERROR(TIMEVALUE($H494),VALUE($H494)))*60,0),ROUND(MOD(IF(ISNUMBER($H494),$H494,IFERROR(TIMEVALUE($H494),VALUE($H494))),1)*1440,0))),""))</f>
        <v/>
      </c>
      <c r="W494" s="52" t="str">
        <f aca="false">IF($I494="","",IFERROR(IF(IF(ISNUMBER($I494),$I494,IFERROR(TIMEVALUE($I494),VALUE($I494)))&gt;=100,INT(IF(ISNUMBER($I494),$I494,IFERROR(TIMEVALUE($I494),VALUE($I494)))/100)*60+MOD(IF(ISNUMBER($I494),$I494,IFERROR(TIMEVALUE($I494),VALUE($I494))),100),IF(IF(ISNUMBER($I494),$I494,IFERROR(TIMEVALUE($I494),VALUE($I494)))&gt;=1,ROUND(IF(ISNUMBER($I494),$I494,IFERROR(TIMEVALUE($I494),VALUE($I494)))*60,0),ROUND(MOD(IF(ISNUMBER($I494),$I494,IFERROR(TIMEVALUE($I494),VALUE($I494))),1)*1440,0))),""))</f>
        <v/>
      </c>
      <c r="X494" s="55" t="str">
        <f aca="false">IF($P494="","",IFERROR(IF(ISNUMBER($P494),IF($P494&gt;19000000,DATE(INT($P494/10000),MOD(INT($P494/100),100),MOD($P494,100)),INT($P494)),IF(LEN(SUBSTITUTE(SUBSTITUTE(SUBSTITUTE(TRIM($P494),"-",""),".",""),"/",""))=8,DATE(VALUE(LEFT(SUBSTITUTE(SUBSTITUTE(SUBSTITUTE(TRIM($P494),"-",""),".",""),"/",""),4)),VALUE(MID(SUBSTITUTE(SUBSTITUTE(SUBSTITUTE(TRIM($P494),"-",""),".",""),"/",""),5,2)),VALUE(RIGHT(SUBSTITUTE(SUBSTITUTE(SUBSTITUTE(TRIM($P494),"-",""),".",""),"/",""),2))),DATEVALUE($P494))),""))</f>
        <v/>
      </c>
      <c r="Y494" s="56" t="str">
        <f aca="false">IF($M494="","",IFERROR(INDEX(강사DB!$D$4:$D$53,MATCH($M494,강사DB!$A$4:$A$53,0)),""))</f>
        <v/>
      </c>
      <c r="Z494" s="56" t="str">
        <f aca="false">IF($B494&lt;&gt;"결제완료","",IF(OR($Y494="",$J494=""),"",$Y494*$J494+MAX(0,N($K494)-1)*설정!$J$7))</f>
        <v/>
      </c>
      <c r="AA494" s="56" t="str">
        <f aca="false">IF(AND($D494&lt;&gt;"",$B494="결제완료"),N($N494),"")</f>
        <v/>
      </c>
      <c r="AB494" s="45" t="str">
        <f aca="false">IF($D494="","",IF($F494&lt;&gt;"",$F494,$D494)&amp;IF($B494="상담중"," (상담)",""))</f>
        <v/>
      </c>
      <c r="AC494" s="45" t="n">
        <f aca="false">IF(AND($D494&lt;&gt;"",OR($B494="결제완료",$B494="상담중")),1,0)</f>
        <v>0</v>
      </c>
      <c r="AD494" s="45" t="n">
        <f aca="false">IF(OR($Z494="",$U494=""),0,IFERROR(IF(COUNTIFS(INDEX(g_grid,0,2*MATCH($M494,강사DB!$A$4:$A$15,0)),"&lt;&gt;",g_s,"&lt;="&amp;$U494,g_e,"&gt;="&amp;$U494)&gt;0,1,0),0))</f>
        <v>0</v>
      </c>
      <c r="AE494" s="48"/>
      <c r="AF494" s="56" t="str">
        <f aca="false">IF(AND($D494&lt;&gt;"",$B494="결제완료",$T494="대여"),설정!$J$5,"")</f>
        <v/>
      </c>
      <c r="AG494" s="54" t="str">
        <f aca="false">IF($D494="","",IF(AND($E494="",$R494=""),$AB494,"☎ "&amp;IF($E494="","-",$E494)&amp;IF($R494&lt;&gt;"","  ※ "&amp;$R494,"")&amp;IF($B494="상담중"," (상담)","")))</f>
        <v/>
      </c>
      <c r="AH494" s="56" t="str">
        <f aca="false">IF(AND($D494&lt;&gt;"",$B494="결제완료",$O494="스마트스토어"),ROUND(N($N494)*설정!$J$6,0),"")</f>
        <v/>
      </c>
      <c r="AI494" s="54" t="str">
        <f aca="false">IF($D494="","",ROW())</f>
        <v/>
      </c>
      <c r="AJ494" s="54" t="n">
        <f aca="false">IF(OR($AC494&lt;&gt;1,$M494=""),0,IF(ISNUMBER(SEARCH("퇴사",IFERROR(INDEX(강사DB!$G$4:$G$53,MATCH($M494,강사DB!$A$4:$A$53,0)),""))),1,0))</f>
        <v>0</v>
      </c>
    </row>
    <row r="495" customFormat="false" ht="15" hidden="false" customHeight="false" outlineLevel="0" collapsed="false">
      <c r="A495" s="45" t="str">
        <f aca="false">IF($D495="","",COUNTA($D$5:$D495))</f>
        <v/>
      </c>
      <c r="B495" s="46"/>
      <c r="C495" s="47"/>
      <c r="D495" s="48"/>
      <c r="E495" s="48"/>
      <c r="F495" s="49"/>
      <c r="G495" s="47"/>
      <c r="H495" s="50"/>
      <c r="I495" s="50"/>
      <c r="J495" s="51" t="str">
        <f aca="false">IF(OR($V495="",$W495=""),"",ROUND(($W495-$V495)/60,2))</f>
        <v/>
      </c>
      <c r="K495" s="52" t="str">
        <f aca="false">IF($F495="","",LEN($F495)-LEN(SUBSTITUTE($F495,",",""))+1)</f>
        <v/>
      </c>
      <c r="L495" s="45" t="str">
        <f aca="false">IF($K495="","","1:"&amp;$K495)</f>
        <v/>
      </c>
      <c r="M495" s="46"/>
      <c r="N495" s="53"/>
      <c r="O495" s="46"/>
      <c r="P495" s="47"/>
      <c r="Q495" s="48"/>
      <c r="R495" s="49"/>
      <c r="S495" s="54" t="str">
        <f aca="false">IF(OR($AC495=0,$U495="",$M495="",$V495="",$W495=""),"",IF(COUNTIFS(m_teacher,$M495,m_date,$U495,m_active,1,m_start,"&lt;"&amp;$W495,m_end,"&gt;"&amp;$V495)&gt;1,"충돌",""))</f>
        <v/>
      </c>
      <c r="T495" s="48"/>
      <c r="U495" s="55" t="str">
        <f aca="false">IF($G495="","",IFERROR(IF(ISNUMBER($G495),IF($G495&gt;19000000,DATE(INT($G495/10000),MOD(INT($G495/100),100),MOD($G495,100)),INT($G495)),IF(LEN(SUBSTITUTE(SUBSTITUTE(SUBSTITUTE(TRIM($G495),"-",""),".",""),"/",""))=8,DATE(VALUE(LEFT(SUBSTITUTE(SUBSTITUTE(SUBSTITUTE(TRIM($G495),"-",""),".",""),"/",""),4)),VALUE(MID(SUBSTITUTE(SUBSTITUTE(SUBSTITUTE(TRIM($G495),"-",""),".",""),"/",""),5,2)),VALUE(RIGHT(SUBSTITUTE(SUBSTITUTE(SUBSTITUTE(TRIM($G495),"-",""),".",""),"/",""),2))),DATEVALUE($G495))),""))</f>
        <v/>
      </c>
      <c r="V495" s="52" t="str">
        <f aca="false">IF($H495="","",IFERROR(IF(IF(ISNUMBER($H495),$H495,IFERROR(TIMEVALUE($H495),VALUE($H495)))&gt;=100,INT(IF(ISNUMBER($H495),$H495,IFERROR(TIMEVALUE($H495),VALUE($H495)))/100)*60+MOD(IF(ISNUMBER($H495),$H495,IFERROR(TIMEVALUE($H495),VALUE($H495))),100),IF(IF(ISNUMBER($H495),$H495,IFERROR(TIMEVALUE($H495),VALUE($H495)))&gt;=1,ROUND(IF(ISNUMBER($H495),$H495,IFERROR(TIMEVALUE($H495),VALUE($H495)))*60,0),ROUND(MOD(IF(ISNUMBER($H495),$H495,IFERROR(TIMEVALUE($H495),VALUE($H495))),1)*1440,0))),""))</f>
        <v/>
      </c>
      <c r="W495" s="52" t="str">
        <f aca="false">IF($I495="","",IFERROR(IF(IF(ISNUMBER($I495),$I495,IFERROR(TIMEVALUE($I495),VALUE($I495)))&gt;=100,INT(IF(ISNUMBER($I495),$I495,IFERROR(TIMEVALUE($I495),VALUE($I495)))/100)*60+MOD(IF(ISNUMBER($I495),$I495,IFERROR(TIMEVALUE($I495),VALUE($I495))),100),IF(IF(ISNUMBER($I495),$I495,IFERROR(TIMEVALUE($I495),VALUE($I495)))&gt;=1,ROUND(IF(ISNUMBER($I495),$I495,IFERROR(TIMEVALUE($I495),VALUE($I495)))*60,0),ROUND(MOD(IF(ISNUMBER($I495),$I495,IFERROR(TIMEVALUE($I495),VALUE($I495))),1)*1440,0))),""))</f>
        <v/>
      </c>
      <c r="X495" s="55" t="str">
        <f aca="false">IF($P495="","",IFERROR(IF(ISNUMBER($P495),IF($P495&gt;19000000,DATE(INT($P495/10000),MOD(INT($P495/100),100),MOD($P495,100)),INT($P495)),IF(LEN(SUBSTITUTE(SUBSTITUTE(SUBSTITUTE(TRIM($P495),"-",""),".",""),"/",""))=8,DATE(VALUE(LEFT(SUBSTITUTE(SUBSTITUTE(SUBSTITUTE(TRIM($P495),"-",""),".",""),"/",""),4)),VALUE(MID(SUBSTITUTE(SUBSTITUTE(SUBSTITUTE(TRIM($P495),"-",""),".",""),"/",""),5,2)),VALUE(RIGHT(SUBSTITUTE(SUBSTITUTE(SUBSTITUTE(TRIM($P495),"-",""),".",""),"/",""),2))),DATEVALUE($P495))),""))</f>
        <v/>
      </c>
      <c r="Y495" s="56" t="str">
        <f aca="false">IF($M495="","",IFERROR(INDEX(강사DB!$D$4:$D$53,MATCH($M495,강사DB!$A$4:$A$53,0)),""))</f>
        <v/>
      </c>
      <c r="Z495" s="56" t="str">
        <f aca="false">IF($B495&lt;&gt;"결제완료","",IF(OR($Y495="",$J495=""),"",$Y495*$J495+MAX(0,N($K495)-1)*설정!$J$7))</f>
        <v/>
      </c>
      <c r="AA495" s="56" t="str">
        <f aca="false">IF(AND($D495&lt;&gt;"",$B495="결제완료"),N($N495),"")</f>
        <v/>
      </c>
      <c r="AB495" s="45" t="str">
        <f aca="false">IF($D495="","",IF($F495&lt;&gt;"",$F495,$D495)&amp;IF($B495="상담중"," (상담)",""))</f>
        <v/>
      </c>
      <c r="AC495" s="45" t="n">
        <f aca="false">IF(AND($D495&lt;&gt;"",OR($B495="결제완료",$B495="상담중")),1,0)</f>
        <v>0</v>
      </c>
      <c r="AD495" s="45" t="n">
        <f aca="false">IF(OR($Z495="",$U495=""),0,IFERROR(IF(COUNTIFS(INDEX(g_grid,0,2*MATCH($M495,강사DB!$A$4:$A$15,0)),"&lt;&gt;",g_s,"&lt;="&amp;$U495,g_e,"&gt;="&amp;$U495)&gt;0,1,0),0))</f>
        <v>0</v>
      </c>
      <c r="AE495" s="48"/>
      <c r="AF495" s="56" t="str">
        <f aca="false">IF(AND($D495&lt;&gt;"",$B495="결제완료",$T495="대여"),설정!$J$5,"")</f>
        <v/>
      </c>
      <c r="AG495" s="54" t="str">
        <f aca="false">IF($D495="","",IF(AND($E495="",$R495=""),$AB495,"☎ "&amp;IF($E495="","-",$E495)&amp;IF($R495&lt;&gt;"","  ※ "&amp;$R495,"")&amp;IF($B495="상담중"," (상담)","")))</f>
        <v/>
      </c>
      <c r="AH495" s="56" t="str">
        <f aca="false">IF(AND($D495&lt;&gt;"",$B495="결제완료",$O495="스마트스토어"),ROUND(N($N495)*설정!$J$6,0),"")</f>
        <v/>
      </c>
      <c r="AI495" s="54" t="str">
        <f aca="false">IF($D495="","",ROW())</f>
        <v/>
      </c>
      <c r="AJ495" s="54" t="n">
        <f aca="false">IF(OR($AC495&lt;&gt;1,$M495=""),0,IF(ISNUMBER(SEARCH("퇴사",IFERROR(INDEX(강사DB!$G$4:$G$53,MATCH($M495,강사DB!$A$4:$A$53,0)),""))),1,0))</f>
        <v>0</v>
      </c>
    </row>
    <row r="496" customFormat="false" ht="15" hidden="false" customHeight="false" outlineLevel="0" collapsed="false">
      <c r="A496" s="45" t="str">
        <f aca="false">IF($D496="","",COUNTA($D$5:$D496))</f>
        <v/>
      </c>
      <c r="B496" s="46"/>
      <c r="C496" s="47"/>
      <c r="D496" s="48"/>
      <c r="E496" s="48"/>
      <c r="F496" s="49"/>
      <c r="G496" s="47"/>
      <c r="H496" s="50"/>
      <c r="I496" s="50"/>
      <c r="J496" s="51" t="str">
        <f aca="false">IF(OR($V496="",$W496=""),"",ROUND(($W496-$V496)/60,2))</f>
        <v/>
      </c>
      <c r="K496" s="52" t="str">
        <f aca="false">IF($F496="","",LEN($F496)-LEN(SUBSTITUTE($F496,",",""))+1)</f>
        <v/>
      </c>
      <c r="L496" s="45" t="str">
        <f aca="false">IF($K496="","","1:"&amp;$K496)</f>
        <v/>
      </c>
      <c r="M496" s="46"/>
      <c r="N496" s="53"/>
      <c r="O496" s="46"/>
      <c r="P496" s="47"/>
      <c r="Q496" s="48"/>
      <c r="R496" s="49"/>
      <c r="S496" s="54" t="str">
        <f aca="false">IF(OR($AC496=0,$U496="",$M496="",$V496="",$W496=""),"",IF(COUNTIFS(m_teacher,$M496,m_date,$U496,m_active,1,m_start,"&lt;"&amp;$W496,m_end,"&gt;"&amp;$V496)&gt;1,"충돌",""))</f>
        <v/>
      </c>
      <c r="T496" s="48"/>
      <c r="U496" s="55" t="str">
        <f aca="false">IF($G496="","",IFERROR(IF(ISNUMBER($G496),IF($G496&gt;19000000,DATE(INT($G496/10000),MOD(INT($G496/100),100),MOD($G496,100)),INT($G496)),IF(LEN(SUBSTITUTE(SUBSTITUTE(SUBSTITUTE(TRIM($G496),"-",""),".",""),"/",""))=8,DATE(VALUE(LEFT(SUBSTITUTE(SUBSTITUTE(SUBSTITUTE(TRIM($G496),"-",""),".",""),"/",""),4)),VALUE(MID(SUBSTITUTE(SUBSTITUTE(SUBSTITUTE(TRIM($G496),"-",""),".",""),"/",""),5,2)),VALUE(RIGHT(SUBSTITUTE(SUBSTITUTE(SUBSTITUTE(TRIM($G496),"-",""),".",""),"/",""),2))),DATEVALUE($G496))),""))</f>
        <v/>
      </c>
      <c r="V496" s="52" t="str">
        <f aca="false">IF($H496="","",IFERROR(IF(IF(ISNUMBER($H496),$H496,IFERROR(TIMEVALUE($H496),VALUE($H496)))&gt;=100,INT(IF(ISNUMBER($H496),$H496,IFERROR(TIMEVALUE($H496),VALUE($H496)))/100)*60+MOD(IF(ISNUMBER($H496),$H496,IFERROR(TIMEVALUE($H496),VALUE($H496))),100),IF(IF(ISNUMBER($H496),$H496,IFERROR(TIMEVALUE($H496),VALUE($H496)))&gt;=1,ROUND(IF(ISNUMBER($H496),$H496,IFERROR(TIMEVALUE($H496),VALUE($H496)))*60,0),ROUND(MOD(IF(ISNUMBER($H496),$H496,IFERROR(TIMEVALUE($H496),VALUE($H496))),1)*1440,0))),""))</f>
        <v/>
      </c>
      <c r="W496" s="52" t="str">
        <f aca="false">IF($I496="","",IFERROR(IF(IF(ISNUMBER($I496),$I496,IFERROR(TIMEVALUE($I496),VALUE($I496)))&gt;=100,INT(IF(ISNUMBER($I496),$I496,IFERROR(TIMEVALUE($I496),VALUE($I496)))/100)*60+MOD(IF(ISNUMBER($I496),$I496,IFERROR(TIMEVALUE($I496),VALUE($I496))),100),IF(IF(ISNUMBER($I496),$I496,IFERROR(TIMEVALUE($I496),VALUE($I496)))&gt;=1,ROUND(IF(ISNUMBER($I496),$I496,IFERROR(TIMEVALUE($I496),VALUE($I496)))*60,0),ROUND(MOD(IF(ISNUMBER($I496),$I496,IFERROR(TIMEVALUE($I496),VALUE($I496))),1)*1440,0))),""))</f>
        <v/>
      </c>
      <c r="X496" s="55" t="str">
        <f aca="false">IF($P496="","",IFERROR(IF(ISNUMBER($P496),IF($P496&gt;19000000,DATE(INT($P496/10000),MOD(INT($P496/100),100),MOD($P496,100)),INT($P496)),IF(LEN(SUBSTITUTE(SUBSTITUTE(SUBSTITUTE(TRIM($P496),"-",""),".",""),"/",""))=8,DATE(VALUE(LEFT(SUBSTITUTE(SUBSTITUTE(SUBSTITUTE(TRIM($P496),"-",""),".",""),"/",""),4)),VALUE(MID(SUBSTITUTE(SUBSTITUTE(SUBSTITUTE(TRIM($P496),"-",""),".",""),"/",""),5,2)),VALUE(RIGHT(SUBSTITUTE(SUBSTITUTE(SUBSTITUTE(TRIM($P496),"-",""),".",""),"/",""),2))),DATEVALUE($P496))),""))</f>
        <v/>
      </c>
      <c r="Y496" s="56" t="str">
        <f aca="false">IF($M496="","",IFERROR(INDEX(강사DB!$D$4:$D$53,MATCH($M496,강사DB!$A$4:$A$53,0)),""))</f>
        <v/>
      </c>
      <c r="Z496" s="56" t="str">
        <f aca="false">IF($B496&lt;&gt;"결제완료","",IF(OR($Y496="",$J496=""),"",$Y496*$J496+MAX(0,N($K496)-1)*설정!$J$7))</f>
        <v/>
      </c>
      <c r="AA496" s="56" t="str">
        <f aca="false">IF(AND($D496&lt;&gt;"",$B496="결제완료"),N($N496),"")</f>
        <v/>
      </c>
      <c r="AB496" s="45" t="str">
        <f aca="false">IF($D496="","",IF($F496&lt;&gt;"",$F496,$D496)&amp;IF($B496="상담중"," (상담)",""))</f>
        <v/>
      </c>
      <c r="AC496" s="45" t="n">
        <f aca="false">IF(AND($D496&lt;&gt;"",OR($B496="결제완료",$B496="상담중")),1,0)</f>
        <v>0</v>
      </c>
      <c r="AD496" s="45" t="n">
        <f aca="false">IF(OR($Z496="",$U496=""),0,IFERROR(IF(COUNTIFS(INDEX(g_grid,0,2*MATCH($M496,강사DB!$A$4:$A$15,0)),"&lt;&gt;",g_s,"&lt;="&amp;$U496,g_e,"&gt;="&amp;$U496)&gt;0,1,0),0))</f>
        <v>0</v>
      </c>
      <c r="AE496" s="48"/>
      <c r="AF496" s="56" t="str">
        <f aca="false">IF(AND($D496&lt;&gt;"",$B496="결제완료",$T496="대여"),설정!$J$5,"")</f>
        <v/>
      </c>
      <c r="AG496" s="54" t="str">
        <f aca="false">IF($D496="","",IF(AND($E496="",$R496=""),$AB496,"☎ "&amp;IF($E496="","-",$E496)&amp;IF($R496&lt;&gt;"","  ※ "&amp;$R496,"")&amp;IF($B496="상담중"," (상담)","")))</f>
        <v/>
      </c>
      <c r="AH496" s="56" t="str">
        <f aca="false">IF(AND($D496&lt;&gt;"",$B496="결제완료",$O496="스마트스토어"),ROUND(N($N496)*설정!$J$6,0),"")</f>
        <v/>
      </c>
      <c r="AI496" s="54" t="str">
        <f aca="false">IF($D496="","",ROW())</f>
        <v/>
      </c>
      <c r="AJ496" s="54" t="n">
        <f aca="false">IF(OR($AC496&lt;&gt;1,$M496=""),0,IF(ISNUMBER(SEARCH("퇴사",IFERROR(INDEX(강사DB!$G$4:$G$53,MATCH($M496,강사DB!$A$4:$A$53,0)),""))),1,0))</f>
        <v>0</v>
      </c>
    </row>
    <row r="497" customFormat="false" ht="15" hidden="false" customHeight="false" outlineLevel="0" collapsed="false">
      <c r="A497" s="45" t="str">
        <f aca="false">IF($D497="","",COUNTA($D$5:$D497))</f>
        <v/>
      </c>
      <c r="B497" s="46"/>
      <c r="C497" s="47"/>
      <c r="D497" s="48"/>
      <c r="E497" s="48"/>
      <c r="F497" s="49"/>
      <c r="G497" s="47"/>
      <c r="H497" s="50"/>
      <c r="I497" s="50"/>
      <c r="J497" s="51" t="str">
        <f aca="false">IF(OR($V497="",$W497=""),"",ROUND(($W497-$V497)/60,2))</f>
        <v/>
      </c>
      <c r="K497" s="52" t="str">
        <f aca="false">IF($F497="","",LEN($F497)-LEN(SUBSTITUTE($F497,",",""))+1)</f>
        <v/>
      </c>
      <c r="L497" s="45" t="str">
        <f aca="false">IF($K497="","","1:"&amp;$K497)</f>
        <v/>
      </c>
      <c r="M497" s="46"/>
      <c r="N497" s="53"/>
      <c r="O497" s="46"/>
      <c r="P497" s="47"/>
      <c r="Q497" s="48"/>
      <c r="R497" s="49"/>
      <c r="S497" s="54" t="str">
        <f aca="false">IF(OR($AC497=0,$U497="",$M497="",$V497="",$W497=""),"",IF(COUNTIFS(m_teacher,$M497,m_date,$U497,m_active,1,m_start,"&lt;"&amp;$W497,m_end,"&gt;"&amp;$V497)&gt;1,"충돌",""))</f>
        <v/>
      </c>
      <c r="T497" s="48"/>
      <c r="U497" s="55" t="str">
        <f aca="false">IF($G497="","",IFERROR(IF(ISNUMBER($G497),IF($G497&gt;19000000,DATE(INT($G497/10000),MOD(INT($G497/100),100),MOD($G497,100)),INT($G497)),IF(LEN(SUBSTITUTE(SUBSTITUTE(SUBSTITUTE(TRIM($G497),"-",""),".",""),"/",""))=8,DATE(VALUE(LEFT(SUBSTITUTE(SUBSTITUTE(SUBSTITUTE(TRIM($G497),"-",""),".",""),"/",""),4)),VALUE(MID(SUBSTITUTE(SUBSTITUTE(SUBSTITUTE(TRIM($G497),"-",""),".",""),"/",""),5,2)),VALUE(RIGHT(SUBSTITUTE(SUBSTITUTE(SUBSTITUTE(TRIM($G497),"-",""),".",""),"/",""),2))),DATEVALUE($G497))),""))</f>
        <v/>
      </c>
      <c r="V497" s="52" t="str">
        <f aca="false">IF($H497="","",IFERROR(IF(IF(ISNUMBER($H497),$H497,IFERROR(TIMEVALUE($H497),VALUE($H497)))&gt;=100,INT(IF(ISNUMBER($H497),$H497,IFERROR(TIMEVALUE($H497),VALUE($H497)))/100)*60+MOD(IF(ISNUMBER($H497),$H497,IFERROR(TIMEVALUE($H497),VALUE($H497))),100),IF(IF(ISNUMBER($H497),$H497,IFERROR(TIMEVALUE($H497),VALUE($H497)))&gt;=1,ROUND(IF(ISNUMBER($H497),$H497,IFERROR(TIMEVALUE($H497),VALUE($H497)))*60,0),ROUND(MOD(IF(ISNUMBER($H497),$H497,IFERROR(TIMEVALUE($H497),VALUE($H497))),1)*1440,0))),""))</f>
        <v/>
      </c>
      <c r="W497" s="52" t="str">
        <f aca="false">IF($I497="","",IFERROR(IF(IF(ISNUMBER($I497),$I497,IFERROR(TIMEVALUE($I497),VALUE($I497)))&gt;=100,INT(IF(ISNUMBER($I497),$I497,IFERROR(TIMEVALUE($I497),VALUE($I497)))/100)*60+MOD(IF(ISNUMBER($I497),$I497,IFERROR(TIMEVALUE($I497),VALUE($I497))),100),IF(IF(ISNUMBER($I497),$I497,IFERROR(TIMEVALUE($I497),VALUE($I497)))&gt;=1,ROUND(IF(ISNUMBER($I497),$I497,IFERROR(TIMEVALUE($I497),VALUE($I497)))*60,0),ROUND(MOD(IF(ISNUMBER($I497),$I497,IFERROR(TIMEVALUE($I497),VALUE($I497))),1)*1440,0))),""))</f>
        <v/>
      </c>
      <c r="X497" s="55" t="str">
        <f aca="false">IF($P497="","",IFERROR(IF(ISNUMBER($P497),IF($P497&gt;19000000,DATE(INT($P497/10000),MOD(INT($P497/100),100),MOD($P497,100)),INT($P497)),IF(LEN(SUBSTITUTE(SUBSTITUTE(SUBSTITUTE(TRIM($P497),"-",""),".",""),"/",""))=8,DATE(VALUE(LEFT(SUBSTITUTE(SUBSTITUTE(SUBSTITUTE(TRIM($P497),"-",""),".",""),"/",""),4)),VALUE(MID(SUBSTITUTE(SUBSTITUTE(SUBSTITUTE(TRIM($P497),"-",""),".",""),"/",""),5,2)),VALUE(RIGHT(SUBSTITUTE(SUBSTITUTE(SUBSTITUTE(TRIM($P497),"-",""),".",""),"/",""),2))),DATEVALUE($P497))),""))</f>
        <v/>
      </c>
      <c r="Y497" s="56" t="str">
        <f aca="false">IF($M497="","",IFERROR(INDEX(강사DB!$D$4:$D$53,MATCH($M497,강사DB!$A$4:$A$53,0)),""))</f>
        <v/>
      </c>
      <c r="Z497" s="56" t="str">
        <f aca="false">IF($B497&lt;&gt;"결제완료","",IF(OR($Y497="",$J497=""),"",$Y497*$J497+MAX(0,N($K497)-1)*설정!$J$7))</f>
        <v/>
      </c>
      <c r="AA497" s="56" t="str">
        <f aca="false">IF(AND($D497&lt;&gt;"",$B497="결제완료"),N($N497),"")</f>
        <v/>
      </c>
      <c r="AB497" s="45" t="str">
        <f aca="false">IF($D497="","",IF($F497&lt;&gt;"",$F497,$D497)&amp;IF($B497="상담중"," (상담)",""))</f>
        <v/>
      </c>
      <c r="AC497" s="45" t="n">
        <f aca="false">IF(AND($D497&lt;&gt;"",OR($B497="결제완료",$B497="상담중")),1,0)</f>
        <v>0</v>
      </c>
      <c r="AD497" s="45" t="n">
        <f aca="false">IF(OR($Z497="",$U497=""),0,IFERROR(IF(COUNTIFS(INDEX(g_grid,0,2*MATCH($M497,강사DB!$A$4:$A$15,0)),"&lt;&gt;",g_s,"&lt;="&amp;$U497,g_e,"&gt;="&amp;$U497)&gt;0,1,0),0))</f>
        <v>0</v>
      </c>
      <c r="AE497" s="48"/>
      <c r="AF497" s="56" t="str">
        <f aca="false">IF(AND($D497&lt;&gt;"",$B497="결제완료",$T497="대여"),설정!$J$5,"")</f>
        <v/>
      </c>
      <c r="AG497" s="54" t="str">
        <f aca="false">IF($D497="","",IF(AND($E497="",$R497=""),$AB497,"☎ "&amp;IF($E497="","-",$E497)&amp;IF($R497&lt;&gt;"","  ※ "&amp;$R497,"")&amp;IF($B497="상담중"," (상담)","")))</f>
        <v/>
      </c>
      <c r="AH497" s="56" t="str">
        <f aca="false">IF(AND($D497&lt;&gt;"",$B497="결제완료",$O497="스마트스토어"),ROUND(N($N497)*설정!$J$6,0),"")</f>
        <v/>
      </c>
      <c r="AI497" s="54" t="str">
        <f aca="false">IF($D497="","",ROW())</f>
        <v/>
      </c>
      <c r="AJ497" s="54" t="n">
        <f aca="false">IF(OR($AC497&lt;&gt;1,$M497=""),0,IF(ISNUMBER(SEARCH("퇴사",IFERROR(INDEX(강사DB!$G$4:$G$53,MATCH($M497,강사DB!$A$4:$A$53,0)),""))),1,0))</f>
        <v>0</v>
      </c>
    </row>
    <row r="498" customFormat="false" ht="15" hidden="false" customHeight="false" outlineLevel="0" collapsed="false">
      <c r="A498" s="45" t="str">
        <f aca="false">IF($D498="","",COUNTA($D$5:$D498))</f>
        <v/>
      </c>
      <c r="B498" s="46"/>
      <c r="C498" s="47"/>
      <c r="D498" s="48"/>
      <c r="E498" s="48"/>
      <c r="F498" s="49"/>
      <c r="G498" s="47"/>
      <c r="H498" s="50"/>
      <c r="I498" s="50"/>
      <c r="J498" s="51" t="str">
        <f aca="false">IF(OR($V498="",$W498=""),"",ROUND(($W498-$V498)/60,2))</f>
        <v/>
      </c>
      <c r="K498" s="52" t="str">
        <f aca="false">IF($F498="","",LEN($F498)-LEN(SUBSTITUTE($F498,",",""))+1)</f>
        <v/>
      </c>
      <c r="L498" s="45" t="str">
        <f aca="false">IF($K498="","","1:"&amp;$K498)</f>
        <v/>
      </c>
      <c r="M498" s="46"/>
      <c r="N498" s="53"/>
      <c r="O498" s="46"/>
      <c r="P498" s="47"/>
      <c r="Q498" s="48"/>
      <c r="R498" s="49"/>
      <c r="S498" s="54" t="str">
        <f aca="false">IF(OR($AC498=0,$U498="",$M498="",$V498="",$W498=""),"",IF(COUNTIFS(m_teacher,$M498,m_date,$U498,m_active,1,m_start,"&lt;"&amp;$W498,m_end,"&gt;"&amp;$V498)&gt;1,"충돌",""))</f>
        <v/>
      </c>
      <c r="T498" s="48"/>
      <c r="U498" s="55" t="str">
        <f aca="false">IF($G498="","",IFERROR(IF(ISNUMBER($G498),IF($G498&gt;19000000,DATE(INT($G498/10000),MOD(INT($G498/100),100),MOD($G498,100)),INT($G498)),IF(LEN(SUBSTITUTE(SUBSTITUTE(SUBSTITUTE(TRIM($G498),"-",""),".",""),"/",""))=8,DATE(VALUE(LEFT(SUBSTITUTE(SUBSTITUTE(SUBSTITUTE(TRIM($G498),"-",""),".",""),"/",""),4)),VALUE(MID(SUBSTITUTE(SUBSTITUTE(SUBSTITUTE(TRIM($G498),"-",""),".",""),"/",""),5,2)),VALUE(RIGHT(SUBSTITUTE(SUBSTITUTE(SUBSTITUTE(TRIM($G498),"-",""),".",""),"/",""),2))),DATEVALUE($G498))),""))</f>
        <v/>
      </c>
      <c r="V498" s="52" t="str">
        <f aca="false">IF($H498="","",IFERROR(IF(IF(ISNUMBER($H498),$H498,IFERROR(TIMEVALUE($H498),VALUE($H498)))&gt;=100,INT(IF(ISNUMBER($H498),$H498,IFERROR(TIMEVALUE($H498),VALUE($H498)))/100)*60+MOD(IF(ISNUMBER($H498),$H498,IFERROR(TIMEVALUE($H498),VALUE($H498))),100),IF(IF(ISNUMBER($H498),$H498,IFERROR(TIMEVALUE($H498),VALUE($H498)))&gt;=1,ROUND(IF(ISNUMBER($H498),$H498,IFERROR(TIMEVALUE($H498),VALUE($H498)))*60,0),ROUND(MOD(IF(ISNUMBER($H498),$H498,IFERROR(TIMEVALUE($H498),VALUE($H498))),1)*1440,0))),""))</f>
        <v/>
      </c>
      <c r="W498" s="52" t="str">
        <f aca="false">IF($I498="","",IFERROR(IF(IF(ISNUMBER($I498),$I498,IFERROR(TIMEVALUE($I498),VALUE($I498)))&gt;=100,INT(IF(ISNUMBER($I498),$I498,IFERROR(TIMEVALUE($I498),VALUE($I498)))/100)*60+MOD(IF(ISNUMBER($I498),$I498,IFERROR(TIMEVALUE($I498),VALUE($I498))),100),IF(IF(ISNUMBER($I498),$I498,IFERROR(TIMEVALUE($I498),VALUE($I498)))&gt;=1,ROUND(IF(ISNUMBER($I498),$I498,IFERROR(TIMEVALUE($I498),VALUE($I498)))*60,0),ROUND(MOD(IF(ISNUMBER($I498),$I498,IFERROR(TIMEVALUE($I498),VALUE($I498))),1)*1440,0))),""))</f>
        <v/>
      </c>
      <c r="X498" s="55" t="str">
        <f aca="false">IF($P498="","",IFERROR(IF(ISNUMBER($P498),IF($P498&gt;19000000,DATE(INT($P498/10000),MOD(INT($P498/100),100),MOD($P498,100)),INT($P498)),IF(LEN(SUBSTITUTE(SUBSTITUTE(SUBSTITUTE(TRIM($P498),"-",""),".",""),"/",""))=8,DATE(VALUE(LEFT(SUBSTITUTE(SUBSTITUTE(SUBSTITUTE(TRIM($P498),"-",""),".",""),"/",""),4)),VALUE(MID(SUBSTITUTE(SUBSTITUTE(SUBSTITUTE(TRIM($P498),"-",""),".",""),"/",""),5,2)),VALUE(RIGHT(SUBSTITUTE(SUBSTITUTE(SUBSTITUTE(TRIM($P498),"-",""),".",""),"/",""),2))),DATEVALUE($P498))),""))</f>
        <v/>
      </c>
      <c r="Y498" s="56" t="str">
        <f aca="false">IF($M498="","",IFERROR(INDEX(강사DB!$D$4:$D$53,MATCH($M498,강사DB!$A$4:$A$53,0)),""))</f>
        <v/>
      </c>
      <c r="Z498" s="56" t="str">
        <f aca="false">IF($B498&lt;&gt;"결제완료","",IF(OR($Y498="",$J498=""),"",$Y498*$J498+MAX(0,N($K498)-1)*설정!$J$7))</f>
        <v/>
      </c>
      <c r="AA498" s="56" t="str">
        <f aca="false">IF(AND($D498&lt;&gt;"",$B498="결제완료"),N($N498),"")</f>
        <v/>
      </c>
      <c r="AB498" s="45" t="str">
        <f aca="false">IF($D498="","",IF($F498&lt;&gt;"",$F498,$D498)&amp;IF($B498="상담중"," (상담)",""))</f>
        <v/>
      </c>
      <c r="AC498" s="45" t="n">
        <f aca="false">IF(AND($D498&lt;&gt;"",OR($B498="결제완료",$B498="상담중")),1,0)</f>
        <v>0</v>
      </c>
      <c r="AD498" s="45" t="n">
        <f aca="false">IF(OR($Z498="",$U498=""),0,IFERROR(IF(COUNTIFS(INDEX(g_grid,0,2*MATCH($M498,강사DB!$A$4:$A$15,0)),"&lt;&gt;",g_s,"&lt;="&amp;$U498,g_e,"&gt;="&amp;$U498)&gt;0,1,0),0))</f>
        <v>0</v>
      </c>
      <c r="AE498" s="48"/>
      <c r="AF498" s="56" t="str">
        <f aca="false">IF(AND($D498&lt;&gt;"",$B498="결제완료",$T498="대여"),설정!$J$5,"")</f>
        <v/>
      </c>
      <c r="AG498" s="54" t="str">
        <f aca="false">IF($D498="","",IF(AND($E498="",$R498=""),$AB498,"☎ "&amp;IF($E498="","-",$E498)&amp;IF($R498&lt;&gt;"","  ※ "&amp;$R498,"")&amp;IF($B498="상담중"," (상담)","")))</f>
        <v/>
      </c>
      <c r="AH498" s="56" t="str">
        <f aca="false">IF(AND($D498&lt;&gt;"",$B498="결제완료",$O498="스마트스토어"),ROUND(N($N498)*설정!$J$6,0),"")</f>
        <v/>
      </c>
      <c r="AI498" s="54" t="str">
        <f aca="false">IF($D498="","",ROW())</f>
        <v/>
      </c>
      <c r="AJ498" s="54" t="n">
        <f aca="false">IF(OR($AC498&lt;&gt;1,$M498=""),0,IF(ISNUMBER(SEARCH("퇴사",IFERROR(INDEX(강사DB!$G$4:$G$53,MATCH($M498,강사DB!$A$4:$A$53,0)),""))),1,0))</f>
        <v>0</v>
      </c>
    </row>
    <row r="499" customFormat="false" ht="15" hidden="false" customHeight="false" outlineLevel="0" collapsed="false">
      <c r="A499" s="45" t="str">
        <f aca="false">IF($D499="","",COUNTA($D$5:$D499))</f>
        <v/>
      </c>
      <c r="B499" s="46"/>
      <c r="C499" s="47"/>
      <c r="D499" s="48"/>
      <c r="E499" s="48"/>
      <c r="F499" s="49"/>
      <c r="G499" s="47"/>
      <c r="H499" s="50"/>
      <c r="I499" s="50"/>
      <c r="J499" s="51" t="str">
        <f aca="false">IF(OR($V499="",$W499=""),"",ROUND(($W499-$V499)/60,2))</f>
        <v/>
      </c>
      <c r="K499" s="52" t="str">
        <f aca="false">IF($F499="","",LEN($F499)-LEN(SUBSTITUTE($F499,",",""))+1)</f>
        <v/>
      </c>
      <c r="L499" s="45" t="str">
        <f aca="false">IF($K499="","","1:"&amp;$K499)</f>
        <v/>
      </c>
      <c r="M499" s="46"/>
      <c r="N499" s="53"/>
      <c r="O499" s="46"/>
      <c r="P499" s="47"/>
      <c r="Q499" s="48"/>
      <c r="R499" s="49"/>
      <c r="S499" s="54" t="str">
        <f aca="false">IF(OR($AC499=0,$U499="",$M499="",$V499="",$W499=""),"",IF(COUNTIFS(m_teacher,$M499,m_date,$U499,m_active,1,m_start,"&lt;"&amp;$W499,m_end,"&gt;"&amp;$V499)&gt;1,"충돌",""))</f>
        <v/>
      </c>
      <c r="T499" s="48"/>
      <c r="U499" s="55" t="str">
        <f aca="false">IF($G499="","",IFERROR(IF(ISNUMBER($G499),IF($G499&gt;19000000,DATE(INT($G499/10000),MOD(INT($G499/100),100),MOD($G499,100)),INT($G499)),IF(LEN(SUBSTITUTE(SUBSTITUTE(SUBSTITUTE(TRIM($G499),"-",""),".",""),"/",""))=8,DATE(VALUE(LEFT(SUBSTITUTE(SUBSTITUTE(SUBSTITUTE(TRIM($G499),"-",""),".",""),"/",""),4)),VALUE(MID(SUBSTITUTE(SUBSTITUTE(SUBSTITUTE(TRIM($G499),"-",""),".",""),"/",""),5,2)),VALUE(RIGHT(SUBSTITUTE(SUBSTITUTE(SUBSTITUTE(TRIM($G499),"-",""),".",""),"/",""),2))),DATEVALUE($G499))),""))</f>
        <v/>
      </c>
      <c r="V499" s="52" t="str">
        <f aca="false">IF($H499="","",IFERROR(IF(IF(ISNUMBER($H499),$H499,IFERROR(TIMEVALUE($H499),VALUE($H499)))&gt;=100,INT(IF(ISNUMBER($H499),$H499,IFERROR(TIMEVALUE($H499),VALUE($H499)))/100)*60+MOD(IF(ISNUMBER($H499),$H499,IFERROR(TIMEVALUE($H499),VALUE($H499))),100),IF(IF(ISNUMBER($H499),$H499,IFERROR(TIMEVALUE($H499),VALUE($H499)))&gt;=1,ROUND(IF(ISNUMBER($H499),$H499,IFERROR(TIMEVALUE($H499),VALUE($H499)))*60,0),ROUND(MOD(IF(ISNUMBER($H499),$H499,IFERROR(TIMEVALUE($H499),VALUE($H499))),1)*1440,0))),""))</f>
        <v/>
      </c>
      <c r="W499" s="52" t="str">
        <f aca="false">IF($I499="","",IFERROR(IF(IF(ISNUMBER($I499),$I499,IFERROR(TIMEVALUE($I499),VALUE($I499)))&gt;=100,INT(IF(ISNUMBER($I499),$I499,IFERROR(TIMEVALUE($I499),VALUE($I499)))/100)*60+MOD(IF(ISNUMBER($I499),$I499,IFERROR(TIMEVALUE($I499),VALUE($I499))),100),IF(IF(ISNUMBER($I499),$I499,IFERROR(TIMEVALUE($I499),VALUE($I499)))&gt;=1,ROUND(IF(ISNUMBER($I499),$I499,IFERROR(TIMEVALUE($I499),VALUE($I499)))*60,0),ROUND(MOD(IF(ISNUMBER($I499),$I499,IFERROR(TIMEVALUE($I499),VALUE($I499))),1)*1440,0))),""))</f>
        <v/>
      </c>
      <c r="X499" s="55" t="str">
        <f aca="false">IF($P499="","",IFERROR(IF(ISNUMBER($P499),IF($P499&gt;19000000,DATE(INT($P499/10000),MOD(INT($P499/100),100),MOD($P499,100)),INT($P499)),IF(LEN(SUBSTITUTE(SUBSTITUTE(SUBSTITUTE(TRIM($P499),"-",""),".",""),"/",""))=8,DATE(VALUE(LEFT(SUBSTITUTE(SUBSTITUTE(SUBSTITUTE(TRIM($P499),"-",""),".",""),"/",""),4)),VALUE(MID(SUBSTITUTE(SUBSTITUTE(SUBSTITUTE(TRIM($P499),"-",""),".",""),"/",""),5,2)),VALUE(RIGHT(SUBSTITUTE(SUBSTITUTE(SUBSTITUTE(TRIM($P499),"-",""),".",""),"/",""),2))),DATEVALUE($P499))),""))</f>
        <v/>
      </c>
      <c r="Y499" s="56" t="str">
        <f aca="false">IF($M499="","",IFERROR(INDEX(강사DB!$D$4:$D$53,MATCH($M499,강사DB!$A$4:$A$53,0)),""))</f>
        <v/>
      </c>
      <c r="Z499" s="56" t="str">
        <f aca="false">IF($B499&lt;&gt;"결제완료","",IF(OR($Y499="",$J499=""),"",$Y499*$J499+MAX(0,N($K499)-1)*설정!$J$7))</f>
        <v/>
      </c>
      <c r="AA499" s="56" t="str">
        <f aca="false">IF(AND($D499&lt;&gt;"",$B499="결제완료"),N($N499),"")</f>
        <v/>
      </c>
      <c r="AB499" s="45" t="str">
        <f aca="false">IF($D499="","",IF($F499&lt;&gt;"",$F499,$D499)&amp;IF($B499="상담중"," (상담)",""))</f>
        <v/>
      </c>
      <c r="AC499" s="45" t="n">
        <f aca="false">IF(AND($D499&lt;&gt;"",OR($B499="결제완료",$B499="상담중")),1,0)</f>
        <v>0</v>
      </c>
      <c r="AD499" s="45" t="n">
        <f aca="false">IF(OR($Z499="",$U499=""),0,IFERROR(IF(COUNTIFS(INDEX(g_grid,0,2*MATCH($M499,강사DB!$A$4:$A$15,0)),"&lt;&gt;",g_s,"&lt;="&amp;$U499,g_e,"&gt;="&amp;$U499)&gt;0,1,0),0))</f>
        <v>0</v>
      </c>
      <c r="AE499" s="48"/>
      <c r="AF499" s="56" t="str">
        <f aca="false">IF(AND($D499&lt;&gt;"",$B499="결제완료",$T499="대여"),설정!$J$5,"")</f>
        <v/>
      </c>
      <c r="AG499" s="54" t="str">
        <f aca="false">IF($D499="","",IF(AND($E499="",$R499=""),$AB499,"☎ "&amp;IF($E499="","-",$E499)&amp;IF($R499&lt;&gt;"","  ※ "&amp;$R499,"")&amp;IF($B499="상담중"," (상담)","")))</f>
        <v/>
      </c>
      <c r="AH499" s="56" t="str">
        <f aca="false">IF(AND($D499&lt;&gt;"",$B499="결제완료",$O499="스마트스토어"),ROUND(N($N499)*설정!$J$6,0),"")</f>
        <v/>
      </c>
      <c r="AI499" s="54" t="str">
        <f aca="false">IF($D499="","",ROW())</f>
        <v/>
      </c>
      <c r="AJ499" s="54" t="n">
        <f aca="false">IF(OR($AC499&lt;&gt;1,$M499=""),0,IF(ISNUMBER(SEARCH("퇴사",IFERROR(INDEX(강사DB!$G$4:$G$53,MATCH($M499,강사DB!$A$4:$A$53,0)),""))),1,0))</f>
        <v>0</v>
      </c>
    </row>
    <row r="500" customFormat="false" ht="15" hidden="false" customHeight="false" outlineLevel="0" collapsed="false">
      <c r="A500" s="45" t="str">
        <f aca="false">IF($D500="","",COUNTA($D$5:$D500))</f>
        <v/>
      </c>
      <c r="B500" s="46"/>
      <c r="C500" s="47"/>
      <c r="D500" s="48"/>
      <c r="E500" s="48"/>
      <c r="F500" s="49"/>
      <c r="G500" s="47"/>
      <c r="H500" s="50"/>
      <c r="I500" s="50"/>
      <c r="J500" s="51" t="str">
        <f aca="false">IF(OR($V500="",$W500=""),"",ROUND(($W500-$V500)/60,2))</f>
        <v/>
      </c>
      <c r="K500" s="52" t="str">
        <f aca="false">IF($F500="","",LEN($F500)-LEN(SUBSTITUTE($F500,",",""))+1)</f>
        <v/>
      </c>
      <c r="L500" s="45" t="str">
        <f aca="false">IF($K500="","","1:"&amp;$K500)</f>
        <v/>
      </c>
      <c r="M500" s="46"/>
      <c r="N500" s="53"/>
      <c r="O500" s="46"/>
      <c r="P500" s="47"/>
      <c r="Q500" s="48"/>
      <c r="R500" s="49"/>
      <c r="S500" s="54" t="str">
        <f aca="false">IF(OR($AC500=0,$U500="",$M500="",$V500="",$W500=""),"",IF(COUNTIFS(m_teacher,$M500,m_date,$U500,m_active,1,m_start,"&lt;"&amp;$W500,m_end,"&gt;"&amp;$V500)&gt;1,"충돌",""))</f>
        <v/>
      </c>
      <c r="T500" s="48"/>
      <c r="U500" s="55" t="str">
        <f aca="false">IF($G500="","",IFERROR(IF(ISNUMBER($G500),IF($G500&gt;19000000,DATE(INT($G500/10000),MOD(INT($G500/100),100),MOD($G500,100)),INT($G500)),IF(LEN(SUBSTITUTE(SUBSTITUTE(SUBSTITUTE(TRIM($G500),"-",""),".",""),"/",""))=8,DATE(VALUE(LEFT(SUBSTITUTE(SUBSTITUTE(SUBSTITUTE(TRIM($G500),"-",""),".",""),"/",""),4)),VALUE(MID(SUBSTITUTE(SUBSTITUTE(SUBSTITUTE(TRIM($G500),"-",""),".",""),"/",""),5,2)),VALUE(RIGHT(SUBSTITUTE(SUBSTITUTE(SUBSTITUTE(TRIM($G500),"-",""),".",""),"/",""),2))),DATEVALUE($G500))),""))</f>
        <v/>
      </c>
      <c r="V500" s="52" t="str">
        <f aca="false">IF($H500="","",IFERROR(IF(IF(ISNUMBER($H500),$H500,IFERROR(TIMEVALUE($H500),VALUE($H500)))&gt;=100,INT(IF(ISNUMBER($H500),$H500,IFERROR(TIMEVALUE($H500),VALUE($H500)))/100)*60+MOD(IF(ISNUMBER($H500),$H500,IFERROR(TIMEVALUE($H500),VALUE($H500))),100),IF(IF(ISNUMBER($H500),$H500,IFERROR(TIMEVALUE($H500),VALUE($H500)))&gt;=1,ROUND(IF(ISNUMBER($H500),$H500,IFERROR(TIMEVALUE($H500),VALUE($H500)))*60,0),ROUND(MOD(IF(ISNUMBER($H500),$H500,IFERROR(TIMEVALUE($H500),VALUE($H500))),1)*1440,0))),""))</f>
        <v/>
      </c>
      <c r="W500" s="52" t="str">
        <f aca="false">IF($I500="","",IFERROR(IF(IF(ISNUMBER($I500),$I500,IFERROR(TIMEVALUE($I500),VALUE($I500)))&gt;=100,INT(IF(ISNUMBER($I500),$I500,IFERROR(TIMEVALUE($I500),VALUE($I500)))/100)*60+MOD(IF(ISNUMBER($I500),$I500,IFERROR(TIMEVALUE($I500),VALUE($I500))),100),IF(IF(ISNUMBER($I500),$I500,IFERROR(TIMEVALUE($I500),VALUE($I500)))&gt;=1,ROUND(IF(ISNUMBER($I500),$I500,IFERROR(TIMEVALUE($I500),VALUE($I500)))*60,0),ROUND(MOD(IF(ISNUMBER($I500),$I500,IFERROR(TIMEVALUE($I500),VALUE($I500))),1)*1440,0))),""))</f>
        <v/>
      </c>
      <c r="X500" s="55" t="str">
        <f aca="false">IF($P500="","",IFERROR(IF(ISNUMBER($P500),IF($P500&gt;19000000,DATE(INT($P500/10000),MOD(INT($P500/100),100),MOD($P500,100)),INT($P500)),IF(LEN(SUBSTITUTE(SUBSTITUTE(SUBSTITUTE(TRIM($P500),"-",""),".",""),"/",""))=8,DATE(VALUE(LEFT(SUBSTITUTE(SUBSTITUTE(SUBSTITUTE(TRIM($P500),"-",""),".",""),"/",""),4)),VALUE(MID(SUBSTITUTE(SUBSTITUTE(SUBSTITUTE(TRIM($P500),"-",""),".",""),"/",""),5,2)),VALUE(RIGHT(SUBSTITUTE(SUBSTITUTE(SUBSTITUTE(TRIM($P500),"-",""),".",""),"/",""),2))),DATEVALUE($P500))),""))</f>
        <v/>
      </c>
      <c r="Y500" s="56" t="str">
        <f aca="false">IF($M500="","",IFERROR(INDEX(강사DB!$D$4:$D$53,MATCH($M500,강사DB!$A$4:$A$53,0)),""))</f>
        <v/>
      </c>
      <c r="Z500" s="56" t="str">
        <f aca="false">IF($B500&lt;&gt;"결제완료","",IF(OR($Y500="",$J500=""),"",$Y500*$J500+MAX(0,N($K500)-1)*설정!$J$7))</f>
        <v/>
      </c>
      <c r="AA500" s="56" t="str">
        <f aca="false">IF(AND($D500&lt;&gt;"",$B500="결제완료"),N($N500),"")</f>
        <v/>
      </c>
      <c r="AB500" s="45" t="str">
        <f aca="false">IF($D500="","",IF($F500&lt;&gt;"",$F500,$D500)&amp;IF($B500="상담중"," (상담)",""))</f>
        <v/>
      </c>
      <c r="AC500" s="45" t="n">
        <f aca="false">IF(AND($D500&lt;&gt;"",OR($B500="결제완료",$B500="상담중")),1,0)</f>
        <v>0</v>
      </c>
      <c r="AD500" s="45" t="n">
        <f aca="false">IF(OR($Z500="",$U500=""),0,IFERROR(IF(COUNTIFS(INDEX(g_grid,0,2*MATCH($M500,강사DB!$A$4:$A$15,0)),"&lt;&gt;",g_s,"&lt;="&amp;$U500,g_e,"&gt;="&amp;$U500)&gt;0,1,0),0))</f>
        <v>0</v>
      </c>
      <c r="AE500" s="48"/>
      <c r="AF500" s="56" t="str">
        <f aca="false">IF(AND($D500&lt;&gt;"",$B500="결제완료",$T500="대여"),설정!$J$5,"")</f>
        <v/>
      </c>
      <c r="AG500" s="54" t="str">
        <f aca="false">IF($D500="","",IF(AND($E500="",$R500=""),$AB500,"☎ "&amp;IF($E500="","-",$E500)&amp;IF($R500&lt;&gt;"","  ※ "&amp;$R500,"")&amp;IF($B500="상담중"," (상담)","")))</f>
        <v/>
      </c>
      <c r="AH500" s="56" t="str">
        <f aca="false">IF(AND($D500&lt;&gt;"",$B500="결제완료",$O500="스마트스토어"),ROUND(N($N500)*설정!$J$6,0),"")</f>
        <v/>
      </c>
      <c r="AI500" s="54" t="str">
        <f aca="false">IF($D500="","",ROW())</f>
        <v/>
      </c>
      <c r="AJ500" s="54" t="n">
        <f aca="false">IF(OR($AC500&lt;&gt;1,$M500=""),0,IF(ISNUMBER(SEARCH("퇴사",IFERROR(INDEX(강사DB!$G$4:$G$53,MATCH($M500,강사DB!$A$4:$A$53,0)),""))),1,0))</f>
        <v>0</v>
      </c>
    </row>
    <row r="501" customFormat="false" ht="15" hidden="false" customHeight="false" outlineLevel="0" collapsed="false">
      <c r="A501" s="45" t="str">
        <f aca="false">IF($D501="","",COUNTA($D$5:$D501))</f>
        <v/>
      </c>
      <c r="B501" s="46"/>
      <c r="C501" s="47"/>
      <c r="D501" s="48"/>
      <c r="E501" s="48"/>
      <c r="F501" s="49"/>
      <c r="G501" s="47"/>
      <c r="H501" s="50"/>
      <c r="I501" s="50"/>
      <c r="J501" s="51" t="str">
        <f aca="false">IF(OR($V501="",$W501=""),"",ROUND(($W501-$V501)/60,2))</f>
        <v/>
      </c>
      <c r="K501" s="52" t="str">
        <f aca="false">IF($F501="","",LEN($F501)-LEN(SUBSTITUTE($F501,",",""))+1)</f>
        <v/>
      </c>
      <c r="L501" s="45" t="str">
        <f aca="false">IF($K501="","","1:"&amp;$K501)</f>
        <v/>
      </c>
      <c r="M501" s="46"/>
      <c r="N501" s="53"/>
      <c r="O501" s="46"/>
      <c r="P501" s="47"/>
      <c r="Q501" s="48"/>
      <c r="R501" s="49"/>
      <c r="S501" s="54" t="str">
        <f aca="false">IF(OR($AC501=0,$U501="",$M501="",$V501="",$W501=""),"",IF(COUNTIFS(m_teacher,$M501,m_date,$U501,m_active,1,m_start,"&lt;"&amp;$W501,m_end,"&gt;"&amp;$V501)&gt;1,"충돌",""))</f>
        <v/>
      </c>
      <c r="T501" s="48"/>
      <c r="U501" s="55" t="str">
        <f aca="false">IF($G501="","",IFERROR(IF(ISNUMBER($G501),IF($G501&gt;19000000,DATE(INT($G501/10000),MOD(INT($G501/100),100),MOD($G501,100)),INT($G501)),IF(LEN(SUBSTITUTE(SUBSTITUTE(SUBSTITUTE(TRIM($G501),"-",""),".",""),"/",""))=8,DATE(VALUE(LEFT(SUBSTITUTE(SUBSTITUTE(SUBSTITUTE(TRIM($G501),"-",""),".",""),"/",""),4)),VALUE(MID(SUBSTITUTE(SUBSTITUTE(SUBSTITUTE(TRIM($G501),"-",""),".",""),"/",""),5,2)),VALUE(RIGHT(SUBSTITUTE(SUBSTITUTE(SUBSTITUTE(TRIM($G501),"-",""),".",""),"/",""),2))),DATEVALUE($G501))),""))</f>
        <v/>
      </c>
      <c r="V501" s="52" t="str">
        <f aca="false">IF($H501="","",IFERROR(IF(IF(ISNUMBER($H501),$H501,IFERROR(TIMEVALUE($H501),VALUE($H501)))&gt;=100,INT(IF(ISNUMBER($H501),$H501,IFERROR(TIMEVALUE($H501),VALUE($H501)))/100)*60+MOD(IF(ISNUMBER($H501),$H501,IFERROR(TIMEVALUE($H501),VALUE($H501))),100),IF(IF(ISNUMBER($H501),$H501,IFERROR(TIMEVALUE($H501),VALUE($H501)))&gt;=1,ROUND(IF(ISNUMBER($H501),$H501,IFERROR(TIMEVALUE($H501),VALUE($H501)))*60,0),ROUND(MOD(IF(ISNUMBER($H501),$H501,IFERROR(TIMEVALUE($H501),VALUE($H501))),1)*1440,0))),""))</f>
        <v/>
      </c>
      <c r="W501" s="52" t="str">
        <f aca="false">IF($I501="","",IFERROR(IF(IF(ISNUMBER($I501),$I501,IFERROR(TIMEVALUE($I501),VALUE($I501)))&gt;=100,INT(IF(ISNUMBER($I501),$I501,IFERROR(TIMEVALUE($I501),VALUE($I501)))/100)*60+MOD(IF(ISNUMBER($I501),$I501,IFERROR(TIMEVALUE($I501),VALUE($I501))),100),IF(IF(ISNUMBER($I501),$I501,IFERROR(TIMEVALUE($I501),VALUE($I501)))&gt;=1,ROUND(IF(ISNUMBER($I501),$I501,IFERROR(TIMEVALUE($I501),VALUE($I501)))*60,0),ROUND(MOD(IF(ISNUMBER($I501),$I501,IFERROR(TIMEVALUE($I501),VALUE($I501))),1)*1440,0))),""))</f>
        <v/>
      </c>
      <c r="X501" s="55" t="str">
        <f aca="false">IF($P501="","",IFERROR(IF(ISNUMBER($P501),IF($P501&gt;19000000,DATE(INT($P501/10000),MOD(INT($P501/100),100),MOD($P501,100)),INT($P501)),IF(LEN(SUBSTITUTE(SUBSTITUTE(SUBSTITUTE(TRIM($P501),"-",""),".",""),"/",""))=8,DATE(VALUE(LEFT(SUBSTITUTE(SUBSTITUTE(SUBSTITUTE(TRIM($P501),"-",""),".",""),"/",""),4)),VALUE(MID(SUBSTITUTE(SUBSTITUTE(SUBSTITUTE(TRIM($P501),"-",""),".",""),"/",""),5,2)),VALUE(RIGHT(SUBSTITUTE(SUBSTITUTE(SUBSTITUTE(TRIM($P501),"-",""),".",""),"/",""),2))),DATEVALUE($P501))),""))</f>
        <v/>
      </c>
      <c r="Y501" s="56" t="str">
        <f aca="false">IF($M501="","",IFERROR(INDEX(강사DB!$D$4:$D$53,MATCH($M501,강사DB!$A$4:$A$53,0)),""))</f>
        <v/>
      </c>
      <c r="Z501" s="56" t="str">
        <f aca="false">IF($B501&lt;&gt;"결제완료","",IF(OR($Y501="",$J501=""),"",$Y501*$J501+MAX(0,N($K501)-1)*설정!$J$7))</f>
        <v/>
      </c>
      <c r="AA501" s="56" t="str">
        <f aca="false">IF(AND($D501&lt;&gt;"",$B501="결제완료"),N($N501),"")</f>
        <v/>
      </c>
      <c r="AB501" s="45" t="str">
        <f aca="false">IF($D501="","",IF($F501&lt;&gt;"",$F501,$D501)&amp;IF($B501="상담중"," (상담)",""))</f>
        <v/>
      </c>
      <c r="AC501" s="45" t="n">
        <f aca="false">IF(AND($D501&lt;&gt;"",OR($B501="결제완료",$B501="상담중")),1,0)</f>
        <v>0</v>
      </c>
      <c r="AD501" s="45" t="n">
        <f aca="false">IF(OR($Z501="",$U501=""),0,IFERROR(IF(COUNTIFS(INDEX(g_grid,0,2*MATCH($M501,강사DB!$A$4:$A$15,0)),"&lt;&gt;",g_s,"&lt;="&amp;$U501,g_e,"&gt;="&amp;$U501)&gt;0,1,0),0))</f>
        <v>0</v>
      </c>
      <c r="AE501" s="48"/>
      <c r="AF501" s="56" t="str">
        <f aca="false">IF(AND($D501&lt;&gt;"",$B501="결제완료",$T501="대여"),설정!$J$5,"")</f>
        <v/>
      </c>
      <c r="AG501" s="54" t="str">
        <f aca="false">IF($D501="","",IF(AND($E501="",$R501=""),$AB501,"☎ "&amp;IF($E501="","-",$E501)&amp;IF($R501&lt;&gt;"","  ※ "&amp;$R501,"")&amp;IF($B501="상담중"," (상담)","")))</f>
        <v/>
      </c>
      <c r="AH501" s="56" t="str">
        <f aca="false">IF(AND($D501&lt;&gt;"",$B501="결제완료",$O501="스마트스토어"),ROUND(N($N501)*설정!$J$6,0),"")</f>
        <v/>
      </c>
      <c r="AI501" s="54" t="str">
        <f aca="false">IF($D501="","",ROW())</f>
        <v/>
      </c>
      <c r="AJ501" s="54" t="n">
        <f aca="false">IF(OR($AC501&lt;&gt;1,$M501=""),0,IF(ISNUMBER(SEARCH("퇴사",IFERROR(INDEX(강사DB!$G$4:$G$53,MATCH($M501,강사DB!$A$4:$A$53,0)),""))),1,0))</f>
        <v>0</v>
      </c>
    </row>
    <row r="502" customFormat="false" ht="15" hidden="false" customHeight="false" outlineLevel="0" collapsed="false">
      <c r="A502" s="45" t="str">
        <f aca="false">IF($D502="","",COUNTA($D$5:$D502))</f>
        <v/>
      </c>
      <c r="B502" s="46"/>
      <c r="C502" s="47"/>
      <c r="D502" s="48"/>
      <c r="E502" s="48"/>
      <c r="F502" s="49"/>
      <c r="G502" s="47"/>
      <c r="H502" s="50"/>
      <c r="I502" s="50"/>
      <c r="J502" s="51" t="str">
        <f aca="false">IF(OR($V502="",$W502=""),"",ROUND(($W502-$V502)/60,2))</f>
        <v/>
      </c>
      <c r="K502" s="52" t="str">
        <f aca="false">IF($F502="","",LEN($F502)-LEN(SUBSTITUTE($F502,",",""))+1)</f>
        <v/>
      </c>
      <c r="L502" s="45" t="str">
        <f aca="false">IF($K502="","","1:"&amp;$K502)</f>
        <v/>
      </c>
      <c r="M502" s="46"/>
      <c r="N502" s="53"/>
      <c r="O502" s="46"/>
      <c r="P502" s="47"/>
      <c r="Q502" s="48"/>
      <c r="R502" s="49"/>
      <c r="S502" s="54" t="str">
        <f aca="false">IF(OR($AC502=0,$U502="",$M502="",$V502="",$W502=""),"",IF(COUNTIFS(m_teacher,$M502,m_date,$U502,m_active,1,m_start,"&lt;"&amp;$W502,m_end,"&gt;"&amp;$V502)&gt;1,"충돌",""))</f>
        <v/>
      </c>
      <c r="T502" s="48"/>
      <c r="U502" s="55" t="str">
        <f aca="false">IF($G502="","",IFERROR(IF(ISNUMBER($G502),IF($G502&gt;19000000,DATE(INT($G502/10000),MOD(INT($G502/100),100),MOD($G502,100)),INT($G502)),IF(LEN(SUBSTITUTE(SUBSTITUTE(SUBSTITUTE(TRIM($G502),"-",""),".",""),"/",""))=8,DATE(VALUE(LEFT(SUBSTITUTE(SUBSTITUTE(SUBSTITUTE(TRIM($G502),"-",""),".",""),"/",""),4)),VALUE(MID(SUBSTITUTE(SUBSTITUTE(SUBSTITUTE(TRIM($G502),"-",""),".",""),"/",""),5,2)),VALUE(RIGHT(SUBSTITUTE(SUBSTITUTE(SUBSTITUTE(TRIM($G502),"-",""),".",""),"/",""),2))),DATEVALUE($G502))),""))</f>
        <v/>
      </c>
      <c r="V502" s="52" t="str">
        <f aca="false">IF($H502="","",IFERROR(IF(IF(ISNUMBER($H502),$H502,IFERROR(TIMEVALUE($H502),VALUE($H502)))&gt;=100,INT(IF(ISNUMBER($H502),$H502,IFERROR(TIMEVALUE($H502),VALUE($H502)))/100)*60+MOD(IF(ISNUMBER($H502),$H502,IFERROR(TIMEVALUE($H502),VALUE($H502))),100),IF(IF(ISNUMBER($H502),$H502,IFERROR(TIMEVALUE($H502),VALUE($H502)))&gt;=1,ROUND(IF(ISNUMBER($H502),$H502,IFERROR(TIMEVALUE($H502),VALUE($H502)))*60,0),ROUND(MOD(IF(ISNUMBER($H502),$H502,IFERROR(TIMEVALUE($H502),VALUE($H502))),1)*1440,0))),""))</f>
        <v/>
      </c>
      <c r="W502" s="52" t="str">
        <f aca="false">IF($I502="","",IFERROR(IF(IF(ISNUMBER($I502),$I502,IFERROR(TIMEVALUE($I502),VALUE($I502)))&gt;=100,INT(IF(ISNUMBER($I502),$I502,IFERROR(TIMEVALUE($I502),VALUE($I502)))/100)*60+MOD(IF(ISNUMBER($I502),$I502,IFERROR(TIMEVALUE($I502),VALUE($I502))),100),IF(IF(ISNUMBER($I502),$I502,IFERROR(TIMEVALUE($I502),VALUE($I502)))&gt;=1,ROUND(IF(ISNUMBER($I502),$I502,IFERROR(TIMEVALUE($I502),VALUE($I502)))*60,0),ROUND(MOD(IF(ISNUMBER($I502),$I502,IFERROR(TIMEVALUE($I502),VALUE($I502))),1)*1440,0))),""))</f>
        <v/>
      </c>
      <c r="X502" s="55" t="str">
        <f aca="false">IF($P502="","",IFERROR(IF(ISNUMBER($P502),IF($P502&gt;19000000,DATE(INT($P502/10000),MOD(INT($P502/100),100),MOD($P502,100)),INT($P502)),IF(LEN(SUBSTITUTE(SUBSTITUTE(SUBSTITUTE(TRIM($P502),"-",""),".",""),"/",""))=8,DATE(VALUE(LEFT(SUBSTITUTE(SUBSTITUTE(SUBSTITUTE(TRIM($P502),"-",""),".",""),"/",""),4)),VALUE(MID(SUBSTITUTE(SUBSTITUTE(SUBSTITUTE(TRIM($P502),"-",""),".",""),"/",""),5,2)),VALUE(RIGHT(SUBSTITUTE(SUBSTITUTE(SUBSTITUTE(TRIM($P502),"-",""),".",""),"/",""),2))),DATEVALUE($P502))),""))</f>
        <v/>
      </c>
      <c r="Y502" s="56" t="str">
        <f aca="false">IF($M502="","",IFERROR(INDEX(강사DB!$D$4:$D$53,MATCH($M502,강사DB!$A$4:$A$53,0)),""))</f>
        <v/>
      </c>
      <c r="Z502" s="56" t="str">
        <f aca="false">IF($B502&lt;&gt;"결제완료","",IF(OR($Y502="",$J502=""),"",$Y502*$J502+MAX(0,N($K502)-1)*설정!$J$7))</f>
        <v/>
      </c>
      <c r="AA502" s="56" t="str">
        <f aca="false">IF(AND($D502&lt;&gt;"",$B502="결제완료"),N($N502),"")</f>
        <v/>
      </c>
      <c r="AB502" s="45" t="str">
        <f aca="false">IF($D502="","",IF($F502&lt;&gt;"",$F502,$D502)&amp;IF($B502="상담중"," (상담)",""))</f>
        <v/>
      </c>
      <c r="AC502" s="45" t="n">
        <f aca="false">IF(AND($D502&lt;&gt;"",OR($B502="결제완료",$B502="상담중")),1,0)</f>
        <v>0</v>
      </c>
      <c r="AD502" s="45" t="n">
        <f aca="false">IF(OR($Z502="",$U502=""),0,IFERROR(IF(COUNTIFS(INDEX(g_grid,0,2*MATCH($M502,강사DB!$A$4:$A$15,0)),"&lt;&gt;",g_s,"&lt;="&amp;$U502,g_e,"&gt;="&amp;$U502)&gt;0,1,0),0))</f>
        <v>0</v>
      </c>
      <c r="AE502" s="48"/>
      <c r="AF502" s="56" t="str">
        <f aca="false">IF(AND($D502&lt;&gt;"",$B502="결제완료",$T502="대여"),설정!$J$5,"")</f>
        <v/>
      </c>
      <c r="AG502" s="54" t="str">
        <f aca="false">IF($D502="","",IF(AND($E502="",$R502=""),$AB502,"☎ "&amp;IF($E502="","-",$E502)&amp;IF($R502&lt;&gt;"","  ※ "&amp;$R502,"")&amp;IF($B502="상담중"," (상담)","")))</f>
        <v/>
      </c>
      <c r="AH502" s="56" t="str">
        <f aca="false">IF(AND($D502&lt;&gt;"",$B502="결제완료",$O502="스마트스토어"),ROUND(N($N502)*설정!$J$6,0),"")</f>
        <v/>
      </c>
      <c r="AI502" s="54" t="str">
        <f aca="false">IF($D502="","",ROW())</f>
        <v/>
      </c>
      <c r="AJ502" s="54" t="n">
        <f aca="false">IF(OR($AC502&lt;&gt;1,$M502=""),0,IF(ISNUMBER(SEARCH("퇴사",IFERROR(INDEX(강사DB!$G$4:$G$53,MATCH($M502,강사DB!$A$4:$A$53,0)),""))),1,0))</f>
        <v>0</v>
      </c>
    </row>
    <row r="503" customFormat="false" ht="15" hidden="false" customHeight="false" outlineLevel="0" collapsed="false">
      <c r="A503" s="45" t="str">
        <f aca="false">IF($D503="","",COUNTA($D$5:$D503))</f>
        <v/>
      </c>
      <c r="B503" s="46"/>
      <c r="C503" s="47"/>
      <c r="D503" s="48"/>
      <c r="E503" s="48"/>
      <c r="F503" s="49"/>
      <c r="G503" s="47"/>
      <c r="H503" s="50"/>
      <c r="I503" s="50"/>
      <c r="J503" s="51" t="str">
        <f aca="false">IF(OR($V503="",$W503=""),"",ROUND(($W503-$V503)/60,2))</f>
        <v/>
      </c>
      <c r="K503" s="52" t="str">
        <f aca="false">IF($F503="","",LEN($F503)-LEN(SUBSTITUTE($F503,",",""))+1)</f>
        <v/>
      </c>
      <c r="L503" s="45" t="str">
        <f aca="false">IF($K503="","","1:"&amp;$K503)</f>
        <v/>
      </c>
      <c r="M503" s="46"/>
      <c r="N503" s="53"/>
      <c r="O503" s="46"/>
      <c r="P503" s="47"/>
      <c r="Q503" s="48"/>
      <c r="R503" s="49"/>
      <c r="S503" s="54" t="str">
        <f aca="false">IF(OR($AC503=0,$U503="",$M503="",$V503="",$W503=""),"",IF(COUNTIFS(m_teacher,$M503,m_date,$U503,m_active,1,m_start,"&lt;"&amp;$W503,m_end,"&gt;"&amp;$V503)&gt;1,"충돌",""))</f>
        <v/>
      </c>
      <c r="T503" s="48"/>
      <c r="U503" s="55" t="str">
        <f aca="false">IF($G503="","",IFERROR(IF(ISNUMBER($G503),IF($G503&gt;19000000,DATE(INT($G503/10000),MOD(INT($G503/100),100),MOD($G503,100)),INT($G503)),IF(LEN(SUBSTITUTE(SUBSTITUTE(SUBSTITUTE(TRIM($G503),"-",""),".",""),"/",""))=8,DATE(VALUE(LEFT(SUBSTITUTE(SUBSTITUTE(SUBSTITUTE(TRIM($G503),"-",""),".",""),"/",""),4)),VALUE(MID(SUBSTITUTE(SUBSTITUTE(SUBSTITUTE(TRIM($G503),"-",""),".",""),"/",""),5,2)),VALUE(RIGHT(SUBSTITUTE(SUBSTITUTE(SUBSTITUTE(TRIM($G503),"-",""),".",""),"/",""),2))),DATEVALUE($G503))),""))</f>
        <v/>
      </c>
      <c r="V503" s="52" t="str">
        <f aca="false">IF($H503="","",IFERROR(IF(IF(ISNUMBER($H503),$H503,IFERROR(TIMEVALUE($H503),VALUE($H503)))&gt;=100,INT(IF(ISNUMBER($H503),$H503,IFERROR(TIMEVALUE($H503),VALUE($H503)))/100)*60+MOD(IF(ISNUMBER($H503),$H503,IFERROR(TIMEVALUE($H503),VALUE($H503))),100),IF(IF(ISNUMBER($H503),$H503,IFERROR(TIMEVALUE($H503),VALUE($H503)))&gt;=1,ROUND(IF(ISNUMBER($H503),$H503,IFERROR(TIMEVALUE($H503),VALUE($H503)))*60,0),ROUND(MOD(IF(ISNUMBER($H503),$H503,IFERROR(TIMEVALUE($H503),VALUE($H503))),1)*1440,0))),""))</f>
        <v/>
      </c>
      <c r="W503" s="52" t="str">
        <f aca="false">IF($I503="","",IFERROR(IF(IF(ISNUMBER($I503),$I503,IFERROR(TIMEVALUE($I503),VALUE($I503)))&gt;=100,INT(IF(ISNUMBER($I503),$I503,IFERROR(TIMEVALUE($I503),VALUE($I503)))/100)*60+MOD(IF(ISNUMBER($I503),$I503,IFERROR(TIMEVALUE($I503),VALUE($I503))),100),IF(IF(ISNUMBER($I503),$I503,IFERROR(TIMEVALUE($I503),VALUE($I503)))&gt;=1,ROUND(IF(ISNUMBER($I503),$I503,IFERROR(TIMEVALUE($I503),VALUE($I503)))*60,0),ROUND(MOD(IF(ISNUMBER($I503),$I503,IFERROR(TIMEVALUE($I503),VALUE($I503))),1)*1440,0))),""))</f>
        <v/>
      </c>
      <c r="X503" s="55" t="str">
        <f aca="false">IF($P503="","",IFERROR(IF(ISNUMBER($P503),IF($P503&gt;19000000,DATE(INT($P503/10000),MOD(INT($P503/100),100),MOD($P503,100)),INT($P503)),IF(LEN(SUBSTITUTE(SUBSTITUTE(SUBSTITUTE(TRIM($P503),"-",""),".",""),"/",""))=8,DATE(VALUE(LEFT(SUBSTITUTE(SUBSTITUTE(SUBSTITUTE(TRIM($P503),"-",""),".",""),"/",""),4)),VALUE(MID(SUBSTITUTE(SUBSTITUTE(SUBSTITUTE(TRIM($P503),"-",""),".",""),"/",""),5,2)),VALUE(RIGHT(SUBSTITUTE(SUBSTITUTE(SUBSTITUTE(TRIM($P503),"-",""),".",""),"/",""),2))),DATEVALUE($P503))),""))</f>
        <v/>
      </c>
      <c r="Y503" s="56" t="str">
        <f aca="false">IF($M503="","",IFERROR(INDEX(강사DB!$D$4:$D$53,MATCH($M503,강사DB!$A$4:$A$53,0)),""))</f>
        <v/>
      </c>
      <c r="Z503" s="56" t="str">
        <f aca="false">IF($B503&lt;&gt;"결제완료","",IF(OR($Y503="",$J503=""),"",$Y503*$J503+MAX(0,N($K503)-1)*설정!$J$7))</f>
        <v/>
      </c>
      <c r="AA503" s="56" t="str">
        <f aca="false">IF(AND($D503&lt;&gt;"",$B503="결제완료"),N($N503),"")</f>
        <v/>
      </c>
      <c r="AB503" s="45" t="str">
        <f aca="false">IF($D503="","",IF($F503&lt;&gt;"",$F503,$D503)&amp;IF($B503="상담중"," (상담)",""))</f>
        <v/>
      </c>
      <c r="AC503" s="45" t="n">
        <f aca="false">IF(AND($D503&lt;&gt;"",OR($B503="결제완료",$B503="상담중")),1,0)</f>
        <v>0</v>
      </c>
      <c r="AD503" s="45" t="n">
        <f aca="false">IF(OR($Z503="",$U503=""),0,IFERROR(IF(COUNTIFS(INDEX(g_grid,0,2*MATCH($M503,강사DB!$A$4:$A$15,0)),"&lt;&gt;",g_s,"&lt;="&amp;$U503,g_e,"&gt;="&amp;$U503)&gt;0,1,0),0))</f>
        <v>0</v>
      </c>
      <c r="AE503" s="48"/>
      <c r="AF503" s="56" t="str">
        <f aca="false">IF(AND($D503&lt;&gt;"",$B503="결제완료",$T503="대여"),설정!$J$5,"")</f>
        <v/>
      </c>
      <c r="AG503" s="54" t="str">
        <f aca="false">IF($D503="","",IF(AND($E503="",$R503=""),$AB503,"☎ "&amp;IF($E503="","-",$E503)&amp;IF($R503&lt;&gt;"","  ※ "&amp;$R503,"")&amp;IF($B503="상담중"," (상담)","")))</f>
        <v/>
      </c>
      <c r="AH503" s="56" t="str">
        <f aca="false">IF(AND($D503&lt;&gt;"",$B503="결제완료",$O503="스마트스토어"),ROUND(N($N503)*설정!$J$6,0),"")</f>
        <v/>
      </c>
      <c r="AI503" s="54" t="str">
        <f aca="false">IF($D503="","",ROW())</f>
        <v/>
      </c>
      <c r="AJ503" s="54" t="n">
        <f aca="false">IF(OR($AC503&lt;&gt;1,$M503=""),0,IF(ISNUMBER(SEARCH("퇴사",IFERROR(INDEX(강사DB!$G$4:$G$53,MATCH($M503,강사DB!$A$4:$A$53,0)),""))),1,0))</f>
        <v>0</v>
      </c>
    </row>
    <row r="504" customFormat="false" ht="15" hidden="false" customHeight="false" outlineLevel="0" collapsed="false">
      <c r="A504" s="45" t="str">
        <f aca="false">IF($D504="","",COUNTA($D$5:$D504))</f>
        <v/>
      </c>
      <c r="B504" s="46"/>
      <c r="C504" s="47"/>
      <c r="D504" s="48"/>
      <c r="E504" s="48"/>
      <c r="F504" s="49"/>
      <c r="G504" s="47"/>
      <c r="H504" s="50"/>
      <c r="I504" s="50"/>
      <c r="J504" s="51" t="str">
        <f aca="false">IF(OR($V504="",$W504=""),"",ROUND(($W504-$V504)/60,2))</f>
        <v/>
      </c>
      <c r="K504" s="52" t="str">
        <f aca="false">IF($F504="","",LEN($F504)-LEN(SUBSTITUTE($F504,",",""))+1)</f>
        <v/>
      </c>
      <c r="L504" s="45" t="str">
        <f aca="false">IF($K504="","","1:"&amp;$K504)</f>
        <v/>
      </c>
      <c r="M504" s="46"/>
      <c r="N504" s="53"/>
      <c r="O504" s="46"/>
      <c r="P504" s="47"/>
      <c r="Q504" s="48"/>
      <c r="R504" s="49"/>
      <c r="S504" s="54" t="str">
        <f aca="false">IF(OR($AC504=0,$U504="",$M504="",$V504="",$W504=""),"",IF(COUNTIFS(m_teacher,$M504,m_date,$U504,m_active,1,m_start,"&lt;"&amp;$W504,m_end,"&gt;"&amp;$V504)&gt;1,"충돌",""))</f>
        <v/>
      </c>
      <c r="T504" s="48"/>
      <c r="U504" s="55" t="str">
        <f aca="false">IF($G504="","",IFERROR(IF(ISNUMBER($G504),IF($G504&gt;19000000,DATE(INT($G504/10000),MOD(INT($G504/100),100),MOD($G504,100)),INT($G504)),IF(LEN(SUBSTITUTE(SUBSTITUTE(SUBSTITUTE(TRIM($G504),"-",""),".",""),"/",""))=8,DATE(VALUE(LEFT(SUBSTITUTE(SUBSTITUTE(SUBSTITUTE(TRIM($G504),"-",""),".",""),"/",""),4)),VALUE(MID(SUBSTITUTE(SUBSTITUTE(SUBSTITUTE(TRIM($G504),"-",""),".",""),"/",""),5,2)),VALUE(RIGHT(SUBSTITUTE(SUBSTITUTE(SUBSTITUTE(TRIM($G504),"-",""),".",""),"/",""),2))),DATEVALUE($G504))),""))</f>
        <v/>
      </c>
      <c r="V504" s="52" t="str">
        <f aca="false">IF($H504="","",IFERROR(IF(IF(ISNUMBER($H504),$H504,IFERROR(TIMEVALUE($H504),VALUE($H504)))&gt;=100,INT(IF(ISNUMBER($H504),$H504,IFERROR(TIMEVALUE($H504),VALUE($H504)))/100)*60+MOD(IF(ISNUMBER($H504),$H504,IFERROR(TIMEVALUE($H504),VALUE($H504))),100),IF(IF(ISNUMBER($H504),$H504,IFERROR(TIMEVALUE($H504),VALUE($H504)))&gt;=1,ROUND(IF(ISNUMBER($H504),$H504,IFERROR(TIMEVALUE($H504),VALUE($H504)))*60,0),ROUND(MOD(IF(ISNUMBER($H504),$H504,IFERROR(TIMEVALUE($H504),VALUE($H504))),1)*1440,0))),""))</f>
        <v/>
      </c>
      <c r="W504" s="52" t="str">
        <f aca="false">IF($I504="","",IFERROR(IF(IF(ISNUMBER($I504),$I504,IFERROR(TIMEVALUE($I504),VALUE($I504)))&gt;=100,INT(IF(ISNUMBER($I504),$I504,IFERROR(TIMEVALUE($I504),VALUE($I504)))/100)*60+MOD(IF(ISNUMBER($I504),$I504,IFERROR(TIMEVALUE($I504),VALUE($I504))),100),IF(IF(ISNUMBER($I504),$I504,IFERROR(TIMEVALUE($I504),VALUE($I504)))&gt;=1,ROUND(IF(ISNUMBER($I504),$I504,IFERROR(TIMEVALUE($I504),VALUE($I504)))*60,0),ROUND(MOD(IF(ISNUMBER($I504),$I504,IFERROR(TIMEVALUE($I504),VALUE($I504))),1)*1440,0))),""))</f>
        <v/>
      </c>
      <c r="X504" s="55" t="str">
        <f aca="false">IF($P504="","",IFERROR(IF(ISNUMBER($P504),IF($P504&gt;19000000,DATE(INT($P504/10000),MOD(INT($P504/100),100),MOD($P504,100)),INT($P504)),IF(LEN(SUBSTITUTE(SUBSTITUTE(SUBSTITUTE(TRIM($P504),"-",""),".",""),"/",""))=8,DATE(VALUE(LEFT(SUBSTITUTE(SUBSTITUTE(SUBSTITUTE(TRIM($P504),"-",""),".",""),"/",""),4)),VALUE(MID(SUBSTITUTE(SUBSTITUTE(SUBSTITUTE(TRIM($P504),"-",""),".",""),"/",""),5,2)),VALUE(RIGHT(SUBSTITUTE(SUBSTITUTE(SUBSTITUTE(TRIM($P504),"-",""),".",""),"/",""),2))),DATEVALUE($P504))),""))</f>
        <v/>
      </c>
      <c r="Y504" s="56" t="str">
        <f aca="false">IF($M504="","",IFERROR(INDEX(강사DB!$D$4:$D$53,MATCH($M504,강사DB!$A$4:$A$53,0)),""))</f>
        <v/>
      </c>
      <c r="Z504" s="56" t="str">
        <f aca="false">IF($B504&lt;&gt;"결제완료","",IF(OR($Y504="",$J504=""),"",$Y504*$J504+MAX(0,N($K504)-1)*설정!$J$7))</f>
        <v/>
      </c>
      <c r="AA504" s="56" t="str">
        <f aca="false">IF(AND($D504&lt;&gt;"",$B504="결제완료"),N($N504),"")</f>
        <v/>
      </c>
      <c r="AB504" s="45" t="str">
        <f aca="false">IF($D504="","",IF($F504&lt;&gt;"",$F504,$D504)&amp;IF($B504="상담중"," (상담)",""))</f>
        <v/>
      </c>
      <c r="AC504" s="45" t="n">
        <f aca="false">IF(AND($D504&lt;&gt;"",OR($B504="결제완료",$B504="상담중")),1,0)</f>
        <v>0</v>
      </c>
      <c r="AD504" s="45" t="n">
        <f aca="false">IF(OR($Z504="",$U504=""),0,IFERROR(IF(COUNTIFS(INDEX(g_grid,0,2*MATCH($M504,강사DB!$A$4:$A$15,0)),"&lt;&gt;",g_s,"&lt;="&amp;$U504,g_e,"&gt;="&amp;$U504)&gt;0,1,0),0))</f>
        <v>0</v>
      </c>
      <c r="AE504" s="48"/>
      <c r="AF504" s="56" t="str">
        <f aca="false">IF(AND($D504&lt;&gt;"",$B504="결제완료",$T504="대여"),설정!$J$5,"")</f>
        <v/>
      </c>
      <c r="AG504" s="54" t="str">
        <f aca="false">IF($D504="","",IF(AND($E504="",$R504=""),$AB504,"☎ "&amp;IF($E504="","-",$E504)&amp;IF($R504&lt;&gt;"","  ※ "&amp;$R504,"")&amp;IF($B504="상담중"," (상담)","")))</f>
        <v/>
      </c>
      <c r="AH504" s="56" t="str">
        <f aca="false">IF(AND($D504&lt;&gt;"",$B504="결제완료",$O504="스마트스토어"),ROUND(N($N504)*설정!$J$6,0),"")</f>
        <v/>
      </c>
      <c r="AI504" s="54" t="str">
        <f aca="false">IF($D504="","",ROW())</f>
        <v/>
      </c>
      <c r="AJ504" s="54" t="n">
        <f aca="false">IF(OR($AC504&lt;&gt;1,$M504=""),0,IF(ISNUMBER(SEARCH("퇴사",IFERROR(INDEX(강사DB!$G$4:$G$53,MATCH($M504,강사DB!$A$4:$A$53,0)),""))),1,0))</f>
        <v>0</v>
      </c>
    </row>
    <row r="505" customFormat="false" ht="15" hidden="false" customHeight="false" outlineLevel="0" collapsed="false">
      <c r="A505" s="45" t="str">
        <f aca="false">IF($D505="","",COUNTA($D$5:$D505))</f>
        <v/>
      </c>
      <c r="B505" s="46"/>
      <c r="C505" s="47"/>
      <c r="D505" s="48"/>
      <c r="E505" s="48"/>
      <c r="F505" s="49"/>
      <c r="G505" s="47"/>
      <c r="H505" s="50"/>
      <c r="I505" s="50"/>
      <c r="J505" s="51" t="str">
        <f aca="false">IF(OR($V505="",$W505=""),"",ROUND(($W505-$V505)/60,2))</f>
        <v/>
      </c>
      <c r="K505" s="52" t="str">
        <f aca="false">IF($F505="","",LEN($F505)-LEN(SUBSTITUTE($F505,",",""))+1)</f>
        <v/>
      </c>
      <c r="L505" s="45" t="str">
        <f aca="false">IF($K505="","","1:"&amp;$K505)</f>
        <v/>
      </c>
      <c r="M505" s="46"/>
      <c r="N505" s="53"/>
      <c r="O505" s="46"/>
      <c r="P505" s="47"/>
      <c r="Q505" s="48"/>
      <c r="R505" s="49"/>
      <c r="S505" s="54" t="str">
        <f aca="false">IF(OR($AC505=0,$U505="",$M505="",$V505="",$W505=""),"",IF(COUNTIFS(m_teacher,$M505,m_date,$U505,m_active,1,m_start,"&lt;"&amp;$W505,m_end,"&gt;"&amp;$V505)&gt;1,"충돌",""))</f>
        <v/>
      </c>
      <c r="T505" s="48"/>
      <c r="U505" s="55" t="str">
        <f aca="false">IF($G505="","",IFERROR(IF(ISNUMBER($G505),IF($G505&gt;19000000,DATE(INT($G505/10000),MOD(INT($G505/100),100),MOD($G505,100)),INT($G505)),IF(LEN(SUBSTITUTE(SUBSTITUTE(SUBSTITUTE(TRIM($G505),"-",""),".",""),"/",""))=8,DATE(VALUE(LEFT(SUBSTITUTE(SUBSTITUTE(SUBSTITUTE(TRIM($G505),"-",""),".",""),"/",""),4)),VALUE(MID(SUBSTITUTE(SUBSTITUTE(SUBSTITUTE(TRIM($G505),"-",""),".",""),"/",""),5,2)),VALUE(RIGHT(SUBSTITUTE(SUBSTITUTE(SUBSTITUTE(TRIM($G505),"-",""),".",""),"/",""),2))),DATEVALUE($G505))),""))</f>
        <v/>
      </c>
      <c r="V505" s="52" t="str">
        <f aca="false">IF($H505="","",IFERROR(IF(IF(ISNUMBER($H505),$H505,IFERROR(TIMEVALUE($H505),VALUE($H505)))&gt;=100,INT(IF(ISNUMBER($H505),$H505,IFERROR(TIMEVALUE($H505),VALUE($H505)))/100)*60+MOD(IF(ISNUMBER($H505),$H505,IFERROR(TIMEVALUE($H505),VALUE($H505))),100),IF(IF(ISNUMBER($H505),$H505,IFERROR(TIMEVALUE($H505),VALUE($H505)))&gt;=1,ROUND(IF(ISNUMBER($H505),$H505,IFERROR(TIMEVALUE($H505),VALUE($H505)))*60,0),ROUND(MOD(IF(ISNUMBER($H505),$H505,IFERROR(TIMEVALUE($H505),VALUE($H505))),1)*1440,0))),""))</f>
        <v/>
      </c>
      <c r="W505" s="52" t="str">
        <f aca="false">IF($I505="","",IFERROR(IF(IF(ISNUMBER($I505),$I505,IFERROR(TIMEVALUE($I505),VALUE($I505)))&gt;=100,INT(IF(ISNUMBER($I505),$I505,IFERROR(TIMEVALUE($I505),VALUE($I505)))/100)*60+MOD(IF(ISNUMBER($I505),$I505,IFERROR(TIMEVALUE($I505),VALUE($I505))),100),IF(IF(ISNUMBER($I505),$I505,IFERROR(TIMEVALUE($I505),VALUE($I505)))&gt;=1,ROUND(IF(ISNUMBER($I505),$I505,IFERROR(TIMEVALUE($I505),VALUE($I505)))*60,0),ROUND(MOD(IF(ISNUMBER($I505),$I505,IFERROR(TIMEVALUE($I505),VALUE($I505))),1)*1440,0))),""))</f>
        <v/>
      </c>
      <c r="X505" s="55" t="str">
        <f aca="false">IF($P505="","",IFERROR(IF(ISNUMBER($P505),IF($P505&gt;19000000,DATE(INT($P505/10000),MOD(INT($P505/100),100),MOD($P505,100)),INT($P505)),IF(LEN(SUBSTITUTE(SUBSTITUTE(SUBSTITUTE(TRIM($P505),"-",""),".",""),"/",""))=8,DATE(VALUE(LEFT(SUBSTITUTE(SUBSTITUTE(SUBSTITUTE(TRIM($P505),"-",""),".",""),"/",""),4)),VALUE(MID(SUBSTITUTE(SUBSTITUTE(SUBSTITUTE(TRIM($P505),"-",""),".",""),"/",""),5,2)),VALUE(RIGHT(SUBSTITUTE(SUBSTITUTE(SUBSTITUTE(TRIM($P505),"-",""),".",""),"/",""),2))),DATEVALUE($P505))),""))</f>
        <v/>
      </c>
      <c r="Y505" s="56" t="str">
        <f aca="false">IF($M505="","",IFERROR(INDEX(강사DB!$D$4:$D$53,MATCH($M505,강사DB!$A$4:$A$53,0)),""))</f>
        <v/>
      </c>
      <c r="Z505" s="56" t="str">
        <f aca="false">IF($B505&lt;&gt;"결제완료","",IF(OR($Y505="",$J505=""),"",$Y505*$J505+MAX(0,N($K505)-1)*설정!$J$7))</f>
        <v/>
      </c>
      <c r="AA505" s="56" t="str">
        <f aca="false">IF(AND($D505&lt;&gt;"",$B505="결제완료"),N($N505),"")</f>
        <v/>
      </c>
      <c r="AB505" s="45" t="str">
        <f aca="false">IF($D505="","",IF($F505&lt;&gt;"",$F505,$D505)&amp;IF($B505="상담중"," (상담)",""))</f>
        <v/>
      </c>
      <c r="AC505" s="45" t="n">
        <f aca="false">IF(AND($D505&lt;&gt;"",OR($B505="결제완료",$B505="상담중")),1,0)</f>
        <v>0</v>
      </c>
      <c r="AD505" s="45" t="n">
        <f aca="false">IF(OR($Z505="",$U505=""),0,IFERROR(IF(COUNTIFS(INDEX(g_grid,0,2*MATCH($M505,강사DB!$A$4:$A$15,0)),"&lt;&gt;",g_s,"&lt;="&amp;$U505,g_e,"&gt;="&amp;$U505)&gt;0,1,0),0))</f>
        <v>0</v>
      </c>
      <c r="AE505" s="48"/>
      <c r="AF505" s="56" t="str">
        <f aca="false">IF(AND($D505&lt;&gt;"",$B505="결제완료",$T505="대여"),설정!$J$5,"")</f>
        <v/>
      </c>
      <c r="AG505" s="54" t="str">
        <f aca="false">IF($D505="","",IF(AND($E505="",$R505=""),$AB505,"☎ "&amp;IF($E505="","-",$E505)&amp;IF($R505&lt;&gt;"","  ※ "&amp;$R505,"")&amp;IF($B505="상담중"," (상담)","")))</f>
        <v/>
      </c>
      <c r="AH505" s="56" t="str">
        <f aca="false">IF(AND($D505&lt;&gt;"",$B505="결제완료",$O505="스마트스토어"),ROUND(N($N505)*설정!$J$6,0),"")</f>
        <v/>
      </c>
      <c r="AI505" s="54" t="str">
        <f aca="false">IF($D505="","",ROW())</f>
        <v/>
      </c>
      <c r="AJ505" s="54" t="n">
        <f aca="false">IF(OR($AC505&lt;&gt;1,$M505=""),0,IF(ISNUMBER(SEARCH("퇴사",IFERROR(INDEX(강사DB!$G$4:$G$53,MATCH($M505,강사DB!$A$4:$A$53,0)),""))),1,0))</f>
        <v>0</v>
      </c>
    </row>
    <row r="506" customFormat="false" ht="15" hidden="false" customHeight="false" outlineLevel="0" collapsed="false">
      <c r="A506" s="45" t="str">
        <f aca="false">IF($D506="","",COUNTA($D$5:$D506))</f>
        <v/>
      </c>
      <c r="B506" s="46"/>
      <c r="C506" s="47"/>
      <c r="D506" s="48"/>
      <c r="E506" s="48"/>
      <c r="F506" s="49"/>
      <c r="G506" s="47"/>
      <c r="H506" s="50"/>
      <c r="I506" s="50"/>
      <c r="J506" s="51" t="str">
        <f aca="false">IF(OR($V506="",$W506=""),"",ROUND(($W506-$V506)/60,2))</f>
        <v/>
      </c>
      <c r="K506" s="52" t="str">
        <f aca="false">IF($F506="","",LEN($F506)-LEN(SUBSTITUTE($F506,",",""))+1)</f>
        <v/>
      </c>
      <c r="L506" s="45" t="str">
        <f aca="false">IF($K506="","","1:"&amp;$K506)</f>
        <v/>
      </c>
      <c r="M506" s="46"/>
      <c r="N506" s="53"/>
      <c r="O506" s="46"/>
      <c r="P506" s="47"/>
      <c r="Q506" s="48"/>
      <c r="R506" s="49"/>
      <c r="S506" s="54" t="str">
        <f aca="false">IF(OR($AC506=0,$U506="",$M506="",$V506="",$W506=""),"",IF(COUNTIFS(m_teacher,$M506,m_date,$U506,m_active,1,m_start,"&lt;"&amp;$W506,m_end,"&gt;"&amp;$V506)&gt;1,"충돌",""))</f>
        <v/>
      </c>
      <c r="T506" s="48"/>
      <c r="U506" s="55" t="str">
        <f aca="false">IF($G506="","",IFERROR(IF(ISNUMBER($G506),IF($G506&gt;19000000,DATE(INT($G506/10000),MOD(INT($G506/100),100),MOD($G506,100)),INT($G506)),IF(LEN(SUBSTITUTE(SUBSTITUTE(SUBSTITUTE(TRIM($G506),"-",""),".",""),"/",""))=8,DATE(VALUE(LEFT(SUBSTITUTE(SUBSTITUTE(SUBSTITUTE(TRIM($G506),"-",""),".",""),"/",""),4)),VALUE(MID(SUBSTITUTE(SUBSTITUTE(SUBSTITUTE(TRIM($G506),"-",""),".",""),"/",""),5,2)),VALUE(RIGHT(SUBSTITUTE(SUBSTITUTE(SUBSTITUTE(TRIM($G506),"-",""),".",""),"/",""),2))),DATEVALUE($G506))),""))</f>
        <v/>
      </c>
      <c r="V506" s="52" t="str">
        <f aca="false">IF($H506="","",IFERROR(IF(IF(ISNUMBER($H506),$H506,IFERROR(TIMEVALUE($H506),VALUE($H506)))&gt;=100,INT(IF(ISNUMBER($H506),$H506,IFERROR(TIMEVALUE($H506),VALUE($H506)))/100)*60+MOD(IF(ISNUMBER($H506),$H506,IFERROR(TIMEVALUE($H506),VALUE($H506))),100),IF(IF(ISNUMBER($H506),$H506,IFERROR(TIMEVALUE($H506),VALUE($H506)))&gt;=1,ROUND(IF(ISNUMBER($H506),$H506,IFERROR(TIMEVALUE($H506),VALUE($H506)))*60,0),ROUND(MOD(IF(ISNUMBER($H506),$H506,IFERROR(TIMEVALUE($H506),VALUE($H506))),1)*1440,0))),""))</f>
        <v/>
      </c>
      <c r="W506" s="52" t="str">
        <f aca="false">IF($I506="","",IFERROR(IF(IF(ISNUMBER($I506),$I506,IFERROR(TIMEVALUE($I506),VALUE($I506)))&gt;=100,INT(IF(ISNUMBER($I506),$I506,IFERROR(TIMEVALUE($I506),VALUE($I506)))/100)*60+MOD(IF(ISNUMBER($I506),$I506,IFERROR(TIMEVALUE($I506),VALUE($I506))),100),IF(IF(ISNUMBER($I506),$I506,IFERROR(TIMEVALUE($I506),VALUE($I506)))&gt;=1,ROUND(IF(ISNUMBER($I506),$I506,IFERROR(TIMEVALUE($I506),VALUE($I506)))*60,0),ROUND(MOD(IF(ISNUMBER($I506),$I506,IFERROR(TIMEVALUE($I506),VALUE($I506))),1)*1440,0))),""))</f>
        <v/>
      </c>
      <c r="X506" s="55" t="str">
        <f aca="false">IF($P506="","",IFERROR(IF(ISNUMBER($P506),IF($P506&gt;19000000,DATE(INT($P506/10000),MOD(INT($P506/100),100),MOD($P506,100)),INT($P506)),IF(LEN(SUBSTITUTE(SUBSTITUTE(SUBSTITUTE(TRIM($P506),"-",""),".",""),"/",""))=8,DATE(VALUE(LEFT(SUBSTITUTE(SUBSTITUTE(SUBSTITUTE(TRIM($P506),"-",""),".",""),"/",""),4)),VALUE(MID(SUBSTITUTE(SUBSTITUTE(SUBSTITUTE(TRIM($P506),"-",""),".",""),"/",""),5,2)),VALUE(RIGHT(SUBSTITUTE(SUBSTITUTE(SUBSTITUTE(TRIM($P506),"-",""),".",""),"/",""),2))),DATEVALUE($P506))),""))</f>
        <v/>
      </c>
      <c r="Y506" s="56" t="str">
        <f aca="false">IF($M506="","",IFERROR(INDEX(강사DB!$D$4:$D$53,MATCH($M506,강사DB!$A$4:$A$53,0)),""))</f>
        <v/>
      </c>
      <c r="Z506" s="56" t="str">
        <f aca="false">IF($B506&lt;&gt;"결제완료","",IF(OR($Y506="",$J506=""),"",$Y506*$J506+MAX(0,N($K506)-1)*설정!$J$7))</f>
        <v/>
      </c>
      <c r="AA506" s="56" t="str">
        <f aca="false">IF(AND($D506&lt;&gt;"",$B506="결제완료"),N($N506),"")</f>
        <v/>
      </c>
      <c r="AB506" s="45" t="str">
        <f aca="false">IF($D506="","",IF($F506&lt;&gt;"",$F506,$D506)&amp;IF($B506="상담중"," (상담)",""))</f>
        <v/>
      </c>
      <c r="AC506" s="45" t="n">
        <f aca="false">IF(AND($D506&lt;&gt;"",OR($B506="결제완료",$B506="상담중")),1,0)</f>
        <v>0</v>
      </c>
      <c r="AD506" s="45" t="n">
        <f aca="false">IF(OR($Z506="",$U506=""),0,IFERROR(IF(COUNTIFS(INDEX(g_grid,0,2*MATCH($M506,강사DB!$A$4:$A$15,0)),"&lt;&gt;",g_s,"&lt;="&amp;$U506,g_e,"&gt;="&amp;$U506)&gt;0,1,0),0))</f>
        <v>0</v>
      </c>
      <c r="AE506" s="48"/>
      <c r="AF506" s="56" t="str">
        <f aca="false">IF(AND($D506&lt;&gt;"",$B506="결제완료",$T506="대여"),설정!$J$5,"")</f>
        <v/>
      </c>
      <c r="AG506" s="54" t="str">
        <f aca="false">IF($D506="","",IF(AND($E506="",$R506=""),$AB506,"☎ "&amp;IF($E506="","-",$E506)&amp;IF($R506&lt;&gt;"","  ※ "&amp;$R506,"")&amp;IF($B506="상담중"," (상담)","")))</f>
        <v/>
      </c>
      <c r="AH506" s="56" t="str">
        <f aca="false">IF(AND($D506&lt;&gt;"",$B506="결제완료",$O506="스마트스토어"),ROUND(N($N506)*설정!$J$6,0),"")</f>
        <v/>
      </c>
      <c r="AI506" s="54" t="str">
        <f aca="false">IF($D506="","",ROW())</f>
        <v/>
      </c>
      <c r="AJ506" s="54" t="n">
        <f aca="false">IF(OR($AC506&lt;&gt;1,$M506=""),0,IF(ISNUMBER(SEARCH("퇴사",IFERROR(INDEX(강사DB!$G$4:$G$53,MATCH($M506,강사DB!$A$4:$A$53,0)),""))),1,0))</f>
        <v>0</v>
      </c>
    </row>
    <row r="507" customFormat="false" ht="15" hidden="false" customHeight="false" outlineLevel="0" collapsed="false">
      <c r="A507" s="45" t="str">
        <f aca="false">IF($D507="","",COUNTA($D$5:$D507))</f>
        <v/>
      </c>
      <c r="B507" s="46"/>
      <c r="C507" s="47"/>
      <c r="D507" s="48"/>
      <c r="E507" s="48"/>
      <c r="F507" s="49"/>
      <c r="G507" s="47"/>
      <c r="H507" s="50"/>
      <c r="I507" s="50"/>
      <c r="J507" s="51" t="str">
        <f aca="false">IF(OR($V507="",$W507=""),"",ROUND(($W507-$V507)/60,2))</f>
        <v/>
      </c>
      <c r="K507" s="52" t="str">
        <f aca="false">IF($F507="","",LEN($F507)-LEN(SUBSTITUTE($F507,",",""))+1)</f>
        <v/>
      </c>
      <c r="L507" s="45" t="str">
        <f aca="false">IF($K507="","","1:"&amp;$K507)</f>
        <v/>
      </c>
      <c r="M507" s="46"/>
      <c r="N507" s="53"/>
      <c r="O507" s="46"/>
      <c r="P507" s="47"/>
      <c r="Q507" s="48"/>
      <c r="R507" s="49"/>
      <c r="S507" s="54" t="str">
        <f aca="false">IF(OR($AC507=0,$U507="",$M507="",$V507="",$W507=""),"",IF(COUNTIFS(m_teacher,$M507,m_date,$U507,m_active,1,m_start,"&lt;"&amp;$W507,m_end,"&gt;"&amp;$V507)&gt;1,"충돌",""))</f>
        <v/>
      </c>
      <c r="T507" s="48"/>
      <c r="U507" s="55" t="str">
        <f aca="false">IF($G507="","",IFERROR(IF(ISNUMBER($G507),IF($G507&gt;19000000,DATE(INT($G507/10000),MOD(INT($G507/100),100),MOD($G507,100)),INT($G507)),IF(LEN(SUBSTITUTE(SUBSTITUTE(SUBSTITUTE(TRIM($G507),"-",""),".",""),"/",""))=8,DATE(VALUE(LEFT(SUBSTITUTE(SUBSTITUTE(SUBSTITUTE(TRIM($G507),"-",""),".",""),"/",""),4)),VALUE(MID(SUBSTITUTE(SUBSTITUTE(SUBSTITUTE(TRIM($G507),"-",""),".",""),"/",""),5,2)),VALUE(RIGHT(SUBSTITUTE(SUBSTITUTE(SUBSTITUTE(TRIM($G507),"-",""),".",""),"/",""),2))),DATEVALUE($G507))),""))</f>
        <v/>
      </c>
      <c r="V507" s="52" t="str">
        <f aca="false">IF($H507="","",IFERROR(IF(IF(ISNUMBER($H507),$H507,IFERROR(TIMEVALUE($H507),VALUE($H507)))&gt;=100,INT(IF(ISNUMBER($H507),$H507,IFERROR(TIMEVALUE($H507),VALUE($H507)))/100)*60+MOD(IF(ISNUMBER($H507),$H507,IFERROR(TIMEVALUE($H507),VALUE($H507))),100),IF(IF(ISNUMBER($H507),$H507,IFERROR(TIMEVALUE($H507),VALUE($H507)))&gt;=1,ROUND(IF(ISNUMBER($H507),$H507,IFERROR(TIMEVALUE($H507),VALUE($H507)))*60,0),ROUND(MOD(IF(ISNUMBER($H507),$H507,IFERROR(TIMEVALUE($H507),VALUE($H507))),1)*1440,0))),""))</f>
        <v/>
      </c>
      <c r="W507" s="52" t="str">
        <f aca="false">IF($I507="","",IFERROR(IF(IF(ISNUMBER($I507),$I507,IFERROR(TIMEVALUE($I507),VALUE($I507)))&gt;=100,INT(IF(ISNUMBER($I507),$I507,IFERROR(TIMEVALUE($I507),VALUE($I507)))/100)*60+MOD(IF(ISNUMBER($I507),$I507,IFERROR(TIMEVALUE($I507),VALUE($I507))),100),IF(IF(ISNUMBER($I507),$I507,IFERROR(TIMEVALUE($I507),VALUE($I507)))&gt;=1,ROUND(IF(ISNUMBER($I507),$I507,IFERROR(TIMEVALUE($I507),VALUE($I507)))*60,0),ROUND(MOD(IF(ISNUMBER($I507),$I507,IFERROR(TIMEVALUE($I507),VALUE($I507))),1)*1440,0))),""))</f>
        <v/>
      </c>
      <c r="X507" s="55" t="str">
        <f aca="false">IF($P507="","",IFERROR(IF(ISNUMBER($P507),IF($P507&gt;19000000,DATE(INT($P507/10000),MOD(INT($P507/100),100),MOD($P507,100)),INT($P507)),IF(LEN(SUBSTITUTE(SUBSTITUTE(SUBSTITUTE(TRIM($P507),"-",""),".",""),"/",""))=8,DATE(VALUE(LEFT(SUBSTITUTE(SUBSTITUTE(SUBSTITUTE(TRIM($P507),"-",""),".",""),"/",""),4)),VALUE(MID(SUBSTITUTE(SUBSTITUTE(SUBSTITUTE(TRIM($P507),"-",""),".",""),"/",""),5,2)),VALUE(RIGHT(SUBSTITUTE(SUBSTITUTE(SUBSTITUTE(TRIM($P507),"-",""),".",""),"/",""),2))),DATEVALUE($P507))),""))</f>
        <v/>
      </c>
      <c r="Y507" s="56" t="str">
        <f aca="false">IF($M507="","",IFERROR(INDEX(강사DB!$D$4:$D$53,MATCH($M507,강사DB!$A$4:$A$53,0)),""))</f>
        <v/>
      </c>
      <c r="Z507" s="56" t="str">
        <f aca="false">IF($B507&lt;&gt;"결제완료","",IF(OR($Y507="",$J507=""),"",$Y507*$J507+MAX(0,N($K507)-1)*설정!$J$7))</f>
        <v/>
      </c>
      <c r="AA507" s="56" t="str">
        <f aca="false">IF(AND($D507&lt;&gt;"",$B507="결제완료"),N($N507),"")</f>
        <v/>
      </c>
      <c r="AB507" s="45" t="str">
        <f aca="false">IF($D507="","",IF($F507&lt;&gt;"",$F507,$D507)&amp;IF($B507="상담중"," (상담)",""))</f>
        <v/>
      </c>
      <c r="AC507" s="45" t="n">
        <f aca="false">IF(AND($D507&lt;&gt;"",OR($B507="결제완료",$B507="상담중")),1,0)</f>
        <v>0</v>
      </c>
      <c r="AD507" s="45" t="n">
        <f aca="false">IF(OR($Z507="",$U507=""),0,IFERROR(IF(COUNTIFS(INDEX(g_grid,0,2*MATCH($M507,강사DB!$A$4:$A$15,0)),"&lt;&gt;",g_s,"&lt;="&amp;$U507,g_e,"&gt;="&amp;$U507)&gt;0,1,0),0))</f>
        <v>0</v>
      </c>
      <c r="AE507" s="48"/>
      <c r="AF507" s="56" t="str">
        <f aca="false">IF(AND($D507&lt;&gt;"",$B507="결제완료",$T507="대여"),설정!$J$5,"")</f>
        <v/>
      </c>
      <c r="AG507" s="54" t="str">
        <f aca="false">IF($D507="","",IF(AND($E507="",$R507=""),$AB507,"☎ "&amp;IF($E507="","-",$E507)&amp;IF($R507&lt;&gt;"","  ※ "&amp;$R507,"")&amp;IF($B507="상담중"," (상담)","")))</f>
        <v/>
      </c>
      <c r="AH507" s="56" t="str">
        <f aca="false">IF(AND($D507&lt;&gt;"",$B507="결제완료",$O507="스마트스토어"),ROUND(N($N507)*설정!$J$6,0),"")</f>
        <v/>
      </c>
      <c r="AI507" s="54" t="str">
        <f aca="false">IF($D507="","",ROW())</f>
        <v/>
      </c>
      <c r="AJ507" s="54" t="n">
        <f aca="false">IF(OR($AC507&lt;&gt;1,$M507=""),0,IF(ISNUMBER(SEARCH("퇴사",IFERROR(INDEX(강사DB!$G$4:$G$53,MATCH($M507,강사DB!$A$4:$A$53,0)),""))),1,0))</f>
        <v>0</v>
      </c>
    </row>
    <row r="508" customFormat="false" ht="15" hidden="false" customHeight="false" outlineLevel="0" collapsed="false">
      <c r="A508" s="45" t="str">
        <f aca="false">IF($D508="","",COUNTA($D$5:$D508))</f>
        <v/>
      </c>
      <c r="B508" s="46"/>
      <c r="C508" s="47"/>
      <c r="D508" s="48"/>
      <c r="E508" s="48"/>
      <c r="F508" s="49"/>
      <c r="G508" s="47"/>
      <c r="H508" s="50"/>
      <c r="I508" s="50"/>
      <c r="J508" s="51" t="str">
        <f aca="false">IF(OR($V508="",$W508=""),"",ROUND(($W508-$V508)/60,2))</f>
        <v/>
      </c>
      <c r="K508" s="52" t="str">
        <f aca="false">IF($F508="","",LEN($F508)-LEN(SUBSTITUTE($F508,",",""))+1)</f>
        <v/>
      </c>
      <c r="L508" s="45" t="str">
        <f aca="false">IF($K508="","","1:"&amp;$K508)</f>
        <v/>
      </c>
      <c r="M508" s="46"/>
      <c r="N508" s="53"/>
      <c r="O508" s="46"/>
      <c r="P508" s="47"/>
      <c r="Q508" s="48"/>
      <c r="R508" s="49"/>
      <c r="S508" s="54" t="str">
        <f aca="false">IF(OR($AC508=0,$U508="",$M508="",$V508="",$W508=""),"",IF(COUNTIFS(m_teacher,$M508,m_date,$U508,m_active,1,m_start,"&lt;"&amp;$W508,m_end,"&gt;"&amp;$V508)&gt;1,"충돌",""))</f>
        <v/>
      </c>
      <c r="T508" s="48"/>
      <c r="U508" s="55" t="str">
        <f aca="false">IF($G508="","",IFERROR(IF(ISNUMBER($G508),IF($G508&gt;19000000,DATE(INT($G508/10000),MOD(INT($G508/100),100),MOD($G508,100)),INT($G508)),IF(LEN(SUBSTITUTE(SUBSTITUTE(SUBSTITUTE(TRIM($G508),"-",""),".",""),"/",""))=8,DATE(VALUE(LEFT(SUBSTITUTE(SUBSTITUTE(SUBSTITUTE(TRIM($G508),"-",""),".",""),"/",""),4)),VALUE(MID(SUBSTITUTE(SUBSTITUTE(SUBSTITUTE(TRIM($G508),"-",""),".",""),"/",""),5,2)),VALUE(RIGHT(SUBSTITUTE(SUBSTITUTE(SUBSTITUTE(TRIM($G508),"-",""),".",""),"/",""),2))),DATEVALUE($G508))),""))</f>
        <v/>
      </c>
      <c r="V508" s="52" t="str">
        <f aca="false">IF($H508="","",IFERROR(IF(IF(ISNUMBER($H508),$H508,IFERROR(TIMEVALUE($H508),VALUE($H508)))&gt;=100,INT(IF(ISNUMBER($H508),$H508,IFERROR(TIMEVALUE($H508),VALUE($H508)))/100)*60+MOD(IF(ISNUMBER($H508),$H508,IFERROR(TIMEVALUE($H508),VALUE($H508))),100),IF(IF(ISNUMBER($H508),$H508,IFERROR(TIMEVALUE($H508),VALUE($H508)))&gt;=1,ROUND(IF(ISNUMBER($H508),$H508,IFERROR(TIMEVALUE($H508),VALUE($H508)))*60,0),ROUND(MOD(IF(ISNUMBER($H508),$H508,IFERROR(TIMEVALUE($H508),VALUE($H508))),1)*1440,0))),""))</f>
        <v/>
      </c>
      <c r="W508" s="52" t="str">
        <f aca="false">IF($I508="","",IFERROR(IF(IF(ISNUMBER($I508),$I508,IFERROR(TIMEVALUE($I508),VALUE($I508)))&gt;=100,INT(IF(ISNUMBER($I508),$I508,IFERROR(TIMEVALUE($I508),VALUE($I508)))/100)*60+MOD(IF(ISNUMBER($I508),$I508,IFERROR(TIMEVALUE($I508),VALUE($I508))),100),IF(IF(ISNUMBER($I508),$I508,IFERROR(TIMEVALUE($I508),VALUE($I508)))&gt;=1,ROUND(IF(ISNUMBER($I508),$I508,IFERROR(TIMEVALUE($I508),VALUE($I508)))*60,0),ROUND(MOD(IF(ISNUMBER($I508),$I508,IFERROR(TIMEVALUE($I508),VALUE($I508))),1)*1440,0))),""))</f>
        <v/>
      </c>
      <c r="X508" s="55" t="str">
        <f aca="false">IF($P508="","",IFERROR(IF(ISNUMBER($P508),IF($P508&gt;19000000,DATE(INT($P508/10000),MOD(INT($P508/100),100),MOD($P508,100)),INT($P508)),IF(LEN(SUBSTITUTE(SUBSTITUTE(SUBSTITUTE(TRIM($P508),"-",""),".",""),"/",""))=8,DATE(VALUE(LEFT(SUBSTITUTE(SUBSTITUTE(SUBSTITUTE(TRIM($P508),"-",""),".",""),"/",""),4)),VALUE(MID(SUBSTITUTE(SUBSTITUTE(SUBSTITUTE(TRIM($P508),"-",""),".",""),"/",""),5,2)),VALUE(RIGHT(SUBSTITUTE(SUBSTITUTE(SUBSTITUTE(TRIM($P508),"-",""),".",""),"/",""),2))),DATEVALUE($P508))),""))</f>
        <v/>
      </c>
      <c r="Y508" s="56" t="str">
        <f aca="false">IF($M508="","",IFERROR(INDEX(강사DB!$D$4:$D$53,MATCH($M508,강사DB!$A$4:$A$53,0)),""))</f>
        <v/>
      </c>
      <c r="Z508" s="56" t="str">
        <f aca="false">IF($B508&lt;&gt;"결제완료","",IF(OR($Y508="",$J508=""),"",$Y508*$J508+MAX(0,N($K508)-1)*설정!$J$7))</f>
        <v/>
      </c>
      <c r="AA508" s="56" t="str">
        <f aca="false">IF(AND($D508&lt;&gt;"",$B508="결제완료"),N($N508),"")</f>
        <v/>
      </c>
      <c r="AB508" s="45" t="str">
        <f aca="false">IF($D508="","",IF($F508&lt;&gt;"",$F508,$D508)&amp;IF($B508="상담중"," (상담)",""))</f>
        <v/>
      </c>
      <c r="AC508" s="45" t="n">
        <f aca="false">IF(AND($D508&lt;&gt;"",OR($B508="결제완료",$B508="상담중")),1,0)</f>
        <v>0</v>
      </c>
      <c r="AD508" s="45" t="n">
        <f aca="false">IF(OR($Z508="",$U508=""),0,IFERROR(IF(COUNTIFS(INDEX(g_grid,0,2*MATCH($M508,강사DB!$A$4:$A$15,0)),"&lt;&gt;",g_s,"&lt;="&amp;$U508,g_e,"&gt;="&amp;$U508)&gt;0,1,0),0))</f>
        <v>0</v>
      </c>
      <c r="AE508" s="48"/>
      <c r="AF508" s="56" t="str">
        <f aca="false">IF(AND($D508&lt;&gt;"",$B508="결제완료",$T508="대여"),설정!$J$5,"")</f>
        <v/>
      </c>
      <c r="AG508" s="54" t="str">
        <f aca="false">IF($D508="","",IF(AND($E508="",$R508=""),$AB508,"☎ "&amp;IF($E508="","-",$E508)&amp;IF($R508&lt;&gt;"","  ※ "&amp;$R508,"")&amp;IF($B508="상담중"," (상담)","")))</f>
        <v/>
      </c>
      <c r="AH508" s="56" t="str">
        <f aca="false">IF(AND($D508&lt;&gt;"",$B508="결제완료",$O508="스마트스토어"),ROUND(N($N508)*설정!$J$6,0),"")</f>
        <v/>
      </c>
      <c r="AI508" s="54" t="str">
        <f aca="false">IF($D508="","",ROW())</f>
        <v/>
      </c>
      <c r="AJ508" s="54" t="n">
        <f aca="false">IF(OR($AC508&lt;&gt;1,$M508=""),0,IF(ISNUMBER(SEARCH("퇴사",IFERROR(INDEX(강사DB!$G$4:$G$53,MATCH($M508,강사DB!$A$4:$A$53,0)),""))),1,0))</f>
        <v>0</v>
      </c>
    </row>
    <row r="509" customFormat="false" ht="15" hidden="false" customHeight="false" outlineLevel="0" collapsed="false">
      <c r="A509" s="45" t="str">
        <f aca="false">IF($D509="","",COUNTA($D$5:$D509))</f>
        <v/>
      </c>
      <c r="B509" s="46"/>
      <c r="C509" s="47"/>
      <c r="D509" s="48"/>
      <c r="E509" s="48"/>
      <c r="F509" s="49"/>
      <c r="G509" s="47"/>
      <c r="H509" s="50"/>
      <c r="I509" s="50"/>
      <c r="J509" s="51" t="str">
        <f aca="false">IF(OR($V509="",$W509=""),"",ROUND(($W509-$V509)/60,2))</f>
        <v/>
      </c>
      <c r="K509" s="52" t="str">
        <f aca="false">IF($F509="","",LEN($F509)-LEN(SUBSTITUTE($F509,",",""))+1)</f>
        <v/>
      </c>
      <c r="L509" s="45" t="str">
        <f aca="false">IF($K509="","","1:"&amp;$K509)</f>
        <v/>
      </c>
      <c r="M509" s="46"/>
      <c r="N509" s="53"/>
      <c r="O509" s="46"/>
      <c r="P509" s="47"/>
      <c r="Q509" s="48"/>
      <c r="R509" s="49"/>
      <c r="S509" s="54" t="str">
        <f aca="false">IF(OR($AC509=0,$U509="",$M509="",$V509="",$W509=""),"",IF(COUNTIFS(m_teacher,$M509,m_date,$U509,m_active,1,m_start,"&lt;"&amp;$W509,m_end,"&gt;"&amp;$V509)&gt;1,"충돌",""))</f>
        <v/>
      </c>
      <c r="T509" s="48"/>
      <c r="U509" s="55" t="str">
        <f aca="false">IF($G509="","",IFERROR(IF(ISNUMBER($G509),IF($G509&gt;19000000,DATE(INT($G509/10000),MOD(INT($G509/100),100),MOD($G509,100)),INT($G509)),IF(LEN(SUBSTITUTE(SUBSTITUTE(SUBSTITUTE(TRIM($G509),"-",""),".",""),"/",""))=8,DATE(VALUE(LEFT(SUBSTITUTE(SUBSTITUTE(SUBSTITUTE(TRIM($G509),"-",""),".",""),"/",""),4)),VALUE(MID(SUBSTITUTE(SUBSTITUTE(SUBSTITUTE(TRIM($G509),"-",""),".",""),"/",""),5,2)),VALUE(RIGHT(SUBSTITUTE(SUBSTITUTE(SUBSTITUTE(TRIM($G509),"-",""),".",""),"/",""),2))),DATEVALUE($G509))),""))</f>
        <v/>
      </c>
      <c r="V509" s="52" t="str">
        <f aca="false">IF($H509="","",IFERROR(IF(IF(ISNUMBER($H509),$H509,IFERROR(TIMEVALUE($H509),VALUE($H509)))&gt;=100,INT(IF(ISNUMBER($H509),$H509,IFERROR(TIMEVALUE($H509),VALUE($H509)))/100)*60+MOD(IF(ISNUMBER($H509),$H509,IFERROR(TIMEVALUE($H509),VALUE($H509))),100),IF(IF(ISNUMBER($H509),$H509,IFERROR(TIMEVALUE($H509),VALUE($H509)))&gt;=1,ROUND(IF(ISNUMBER($H509),$H509,IFERROR(TIMEVALUE($H509),VALUE($H509)))*60,0),ROUND(MOD(IF(ISNUMBER($H509),$H509,IFERROR(TIMEVALUE($H509),VALUE($H509))),1)*1440,0))),""))</f>
        <v/>
      </c>
      <c r="W509" s="52" t="str">
        <f aca="false">IF($I509="","",IFERROR(IF(IF(ISNUMBER($I509),$I509,IFERROR(TIMEVALUE($I509),VALUE($I509)))&gt;=100,INT(IF(ISNUMBER($I509),$I509,IFERROR(TIMEVALUE($I509),VALUE($I509)))/100)*60+MOD(IF(ISNUMBER($I509),$I509,IFERROR(TIMEVALUE($I509),VALUE($I509))),100),IF(IF(ISNUMBER($I509),$I509,IFERROR(TIMEVALUE($I509),VALUE($I509)))&gt;=1,ROUND(IF(ISNUMBER($I509),$I509,IFERROR(TIMEVALUE($I509),VALUE($I509)))*60,0),ROUND(MOD(IF(ISNUMBER($I509),$I509,IFERROR(TIMEVALUE($I509),VALUE($I509))),1)*1440,0))),""))</f>
        <v/>
      </c>
      <c r="X509" s="55" t="str">
        <f aca="false">IF($P509="","",IFERROR(IF(ISNUMBER($P509),IF($P509&gt;19000000,DATE(INT($P509/10000),MOD(INT($P509/100),100),MOD($P509,100)),INT($P509)),IF(LEN(SUBSTITUTE(SUBSTITUTE(SUBSTITUTE(TRIM($P509),"-",""),".",""),"/",""))=8,DATE(VALUE(LEFT(SUBSTITUTE(SUBSTITUTE(SUBSTITUTE(TRIM($P509),"-",""),".",""),"/",""),4)),VALUE(MID(SUBSTITUTE(SUBSTITUTE(SUBSTITUTE(TRIM($P509),"-",""),".",""),"/",""),5,2)),VALUE(RIGHT(SUBSTITUTE(SUBSTITUTE(SUBSTITUTE(TRIM($P509),"-",""),".",""),"/",""),2))),DATEVALUE($P509))),""))</f>
        <v/>
      </c>
      <c r="Y509" s="56" t="str">
        <f aca="false">IF($M509="","",IFERROR(INDEX(강사DB!$D$4:$D$53,MATCH($M509,강사DB!$A$4:$A$53,0)),""))</f>
        <v/>
      </c>
      <c r="Z509" s="56" t="str">
        <f aca="false">IF($B509&lt;&gt;"결제완료","",IF(OR($Y509="",$J509=""),"",$Y509*$J509+MAX(0,N($K509)-1)*설정!$J$7))</f>
        <v/>
      </c>
      <c r="AA509" s="56" t="str">
        <f aca="false">IF(AND($D509&lt;&gt;"",$B509="결제완료"),N($N509),"")</f>
        <v/>
      </c>
      <c r="AB509" s="45" t="str">
        <f aca="false">IF($D509="","",IF($F509&lt;&gt;"",$F509,$D509)&amp;IF($B509="상담중"," (상담)",""))</f>
        <v/>
      </c>
      <c r="AC509" s="45" t="n">
        <f aca="false">IF(AND($D509&lt;&gt;"",OR($B509="결제완료",$B509="상담중")),1,0)</f>
        <v>0</v>
      </c>
      <c r="AD509" s="45" t="n">
        <f aca="false">IF(OR($Z509="",$U509=""),0,IFERROR(IF(COUNTIFS(INDEX(g_grid,0,2*MATCH($M509,강사DB!$A$4:$A$15,0)),"&lt;&gt;",g_s,"&lt;="&amp;$U509,g_e,"&gt;="&amp;$U509)&gt;0,1,0),0))</f>
        <v>0</v>
      </c>
      <c r="AE509" s="48"/>
      <c r="AF509" s="56" t="str">
        <f aca="false">IF(AND($D509&lt;&gt;"",$B509="결제완료",$T509="대여"),설정!$J$5,"")</f>
        <v/>
      </c>
      <c r="AG509" s="54" t="str">
        <f aca="false">IF($D509="","",IF(AND($E509="",$R509=""),$AB509,"☎ "&amp;IF($E509="","-",$E509)&amp;IF($R509&lt;&gt;"","  ※ "&amp;$R509,"")&amp;IF($B509="상담중"," (상담)","")))</f>
        <v/>
      </c>
      <c r="AH509" s="56" t="str">
        <f aca="false">IF(AND($D509&lt;&gt;"",$B509="결제완료",$O509="스마트스토어"),ROUND(N($N509)*설정!$J$6,0),"")</f>
        <v/>
      </c>
      <c r="AI509" s="54" t="str">
        <f aca="false">IF($D509="","",ROW())</f>
        <v/>
      </c>
      <c r="AJ509" s="54" t="n">
        <f aca="false">IF(OR($AC509&lt;&gt;1,$M509=""),0,IF(ISNUMBER(SEARCH("퇴사",IFERROR(INDEX(강사DB!$G$4:$G$53,MATCH($M509,강사DB!$A$4:$A$53,0)),""))),1,0))</f>
        <v>0</v>
      </c>
    </row>
    <row r="510" customFormat="false" ht="15" hidden="false" customHeight="false" outlineLevel="0" collapsed="false">
      <c r="A510" s="45" t="str">
        <f aca="false">IF($D510="","",COUNTA($D$5:$D510))</f>
        <v/>
      </c>
      <c r="B510" s="46"/>
      <c r="C510" s="47"/>
      <c r="D510" s="48"/>
      <c r="E510" s="48"/>
      <c r="F510" s="49"/>
      <c r="G510" s="47"/>
      <c r="H510" s="50"/>
      <c r="I510" s="50"/>
      <c r="J510" s="51" t="str">
        <f aca="false">IF(OR($V510="",$W510=""),"",ROUND(($W510-$V510)/60,2))</f>
        <v/>
      </c>
      <c r="K510" s="52" t="str">
        <f aca="false">IF($F510="","",LEN($F510)-LEN(SUBSTITUTE($F510,",",""))+1)</f>
        <v/>
      </c>
      <c r="L510" s="45" t="str">
        <f aca="false">IF($K510="","","1:"&amp;$K510)</f>
        <v/>
      </c>
      <c r="M510" s="46"/>
      <c r="N510" s="53"/>
      <c r="O510" s="46"/>
      <c r="P510" s="47"/>
      <c r="Q510" s="48"/>
      <c r="R510" s="49"/>
      <c r="S510" s="54" t="str">
        <f aca="false">IF(OR($AC510=0,$U510="",$M510="",$V510="",$W510=""),"",IF(COUNTIFS(m_teacher,$M510,m_date,$U510,m_active,1,m_start,"&lt;"&amp;$W510,m_end,"&gt;"&amp;$V510)&gt;1,"충돌",""))</f>
        <v/>
      </c>
      <c r="T510" s="48"/>
      <c r="U510" s="55" t="str">
        <f aca="false">IF($G510="","",IFERROR(IF(ISNUMBER($G510),IF($G510&gt;19000000,DATE(INT($G510/10000),MOD(INT($G510/100),100),MOD($G510,100)),INT($G510)),IF(LEN(SUBSTITUTE(SUBSTITUTE(SUBSTITUTE(TRIM($G510),"-",""),".",""),"/",""))=8,DATE(VALUE(LEFT(SUBSTITUTE(SUBSTITUTE(SUBSTITUTE(TRIM($G510),"-",""),".",""),"/",""),4)),VALUE(MID(SUBSTITUTE(SUBSTITUTE(SUBSTITUTE(TRIM($G510),"-",""),".",""),"/",""),5,2)),VALUE(RIGHT(SUBSTITUTE(SUBSTITUTE(SUBSTITUTE(TRIM($G510),"-",""),".",""),"/",""),2))),DATEVALUE($G510))),""))</f>
        <v/>
      </c>
      <c r="V510" s="52" t="str">
        <f aca="false">IF($H510="","",IFERROR(IF(IF(ISNUMBER($H510),$H510,IFERROR(TIMEVALUE($H510),VALUE($H510)))&gt;=100,INT(IF(ISNUMBER($H510),$H510,IFERROR(TIMEVALUE($H510),VALUE($H510)))/100)*60+MOD(IF(ISNUMBER($H510),$H510,IFERROR(TIMEVALUE($H510),VALUE($H510))),100),IF(IF(ISNUMBER($H510),$H510,IFERROR(TIMEVALUE($H510),VALUE($H510)))&gt;=1,ROUND(IF(ISNUMBER($H510),$H510,IFERROR(TIMEVALUE($H510),VALUE($H510)))*60,0),ROUND(MOD(IF(ISNUMBER($H510),$H510,IFERROR(TIMEVALUE($H510),VALUE($H510))),1)*1440,0))),""))</f>
        <v/>
      </c>
      <c r="W510" s="52" t="str">
        <f aca="false">IF($I510="","",IFERROR(IF(IF(ISNUMBER($I510),$I510,IFERROR(TIMEVALUE($I510),VALUE($I510)))&gt;=100,INT(IF(ISNUMBER($I510),$I510,IFERROR(TIMEVALUE($I510),VALUE($I510)))/100)*60+MOD(IF(ISNUMBER($I510),$I510,IFERROR(TIMEVALUE($I510),VALUE($I510))),100),IF(IF(ISNUMBER($I510),$I510,IFERROR(TIMEVALUE($I510),VALUE($I510)))&gt;=1,ROUND(IF(ISNUMBER($I510),$I510,IFERROR(TIMEVALUE($I510),VALUE($I510)))*60,0),ROUND(MOD(IF(ISNUMBER($I510),$I510,IFERROR(TIMEVALUE($I510),VALUE($I510))),1)*1440,0))),""))</f>
        <v/>
      </c>
      <c r="X510" s="55" t="str">
        <f aca="false">IF($P510="","",IFERROR(IF(ISNUMBER($P510),IF($P510&gt;19000000,DATE(INT($P510/10000),MOD(INT($P510/100),100),MOD($P510,100)),INT($P510)),IF(LEN(SUBSTITUTE(SUBSTITUTE(SUBSTITUTE(TRIM($P510),"-",""),".",""),"/",""))=8,DATE(VALUE(LEFT(SUBSTITUTE(SUBSTITUTE(SUBSTITUTE(TRIM($P510),"-",""),".",""),"/",""),4)),VALUE(MID(SUBSTITUTE(SUBSTITUTE(SUBSTITUTE(TRIM($P510),"-",""),".",""),"/",""),5,2)),VALUE(RIGHT(SUBSTITUTE(SUBSTITUTE(SUBSTITUTE(TRIM($P510),"-",""),".",""),"/",""),2))),DATEVALUE($P510))),""))</f>
        <v/>
      </c>
      <c r="Y510" s="56" t="str">
        <f aca="false">IF($M510="","",IFERROR(INDEX(강사DB!$D$4:$D$53,MATCH($M510,강사DB!$A$4:$A$53,0)),""))</f>
        <v/>
      </c>
      <c r="Z510" s="56" t="str">
        <f aca="false">IF($B510&lt;&gt;"결제완료","",IF(OR($Y510="",$J510=""),"",$Y510*$J510+MAX(0,N($K510)-1)*설정!$J$7))</f>
        <v/>
      </c>
      <c r="AA510" s="56" t="str">
        <f aca="false">IF(AND($D510&lt;&gt;"",$B510="결제완료"),N($N510),"")</f>
        <v/>
      </c>
      <c r="AB510" s="45" t="str">
        <f aca="false">IF($D510="","",IF($F510&lt;&gt;"",$F510,$D510)&amp;IF($B510="상담중"," (상담)",""))</f>
        <v/>
      </c>
      <c r="AC510" s="45" t="n">
        <f aca="false">IF(AND($D510&lt;&gt;"",OR($B510="결제완료",$B510="상담중")),1,0)</f>
        <v>0</v>
      </c>
      <c r="AD510" s="45" t="n">
        <f aca="false">IF(OR($Z510="",$U510=""),0,IFERROR(IF(COUNTIFS(INDEX(g_grid,0,2*MATCH($M510,강사DB!$A$4:$A$15,0)),"&lt;&gt;",g_s,"&lt;="&amp;$U510,g_e,"&gt;="&amp;$U510)&gt;0,1,0),0))</f>
        <v>0</v>
      </c>
      <c r="AE510" s="48"/>
      <c r="AF510" s="56" t="str">
        <f aca="false">IF(AND($D510&lt;&gt;"",$B510="결제완료",$T510="대여"),설정!$J$5,"")</f>
        <v/>
      </c>
      <c r="AG510" s="54" t="str">
        <f aca="false">IF($D510="","",IF(AND($E510="",$R510=""),$AB510,"☎ "&amp;IF($E510="","-",$E510)&amp;IF($R510&lt;&gt;"","  ※ "&amp;$R510,"")&amp;IF($B510="상담중"," (상담)","")))</f>
        <v/>
      </c>
      <c r="AH510" s="56" t="str">
        <f aca="false">IF(AND($D510&lt;&gt;"",$B510="결제완료",$O510="스마트스토어"),ROUND(N($N510)*설정!$J$6,0),"")</f>
        <v/>
      </c>
      <c r="AI510" s="54" t="str">
        <f aca="false">IF($D510="","",ROW())</f>
        <v/>
      </c>
      <c r="AJ510" s="54" t="n">
        <f aca="false">IF(OR($AC510&lt;&gt;1,$M510=""),0,IF(ISNUMBER(SEARCH("퇴사",IFERROR(INDEX(강사DB!$G$4:$G$53,MATCH($M510,강사DB!$A$4:$A$53,0)),""))),1,0))</f>
        <v>0</v>
      </c>
    </row>
    <row r="511" customFormat="false" ht="15" hidden="false" customHeight="false" outlineLevel="0" collapsed="false">
      <c r="A511" s="45" t="str">
        <f aca="false">IF($D511="","",COUNTA($D$5:$D511))</f>
        <v/>
      </c>
      <c r="B511" s="46"/>
      <c r="C511" s="47"/>
      <c r="D511" s="48"/>
      <c r="E511" s="48"/>
      <c r="F511" s="49"/>
      <c r="G511" s="47"/>
      <c r="H511" s="50"/>
      <c r="I511" s="50"/>
      <c r="J511" s="51" t="str">
        <f aca="false">IF(OR($V511="",$W511=""),"",ROUND(($W511-$V511)/60,2))</f>
        <v/>
      </c>
      <c r="K511" s="52" t="str">
        <f aca="false">IF($F511="","",LEN($F511)-LEN(SUBSTITUTE($F511,",",""))+1)</f>
        <v/>
      </c>
      <c r="L511" s="45" t="str">
        <f aca="false">IF($K511="","","1:"&amp;$K511)</f>
        <v/>
      </c>
      <c r="M511" s="46"/>
      <c r="N511" s="53"/>
      <c r="O511" s="46"/>
      <c r="P511" s="47"/>
      <c r="Q511" s="48"/>
      <c r="R511" s="49"/>
      <c r="S511" s="54" t="str">
        <f aca="false">IF(OR($AC511=0,$U511="",$M511="",$V511="",$W511=""),"",IF(COUNTIFS(m_teacher,$M511,m_date,$U511,m_active,1,m_start,"&lt;"&amp;$W511,m_end,"&gt;"&amp;$V511)&gt;1,"충돌",""))</f>
        <v/>
      </c>
      <c r="T511" s="48"/>
      <c r="U511" s="55" t="str">
        <f aca="false">IF($G511="","",IFERROR(IF(ISNUMBER($G511),IF($G511&gt;19000000,DATE(INT($G511/10000),MOD(INT($G511/100),100),MOD($G511,100)),INT($G511)),IF(LEN(SUBSTITUTE(SUBSTITUTE(SUBSTITUTE(TRIM($G511),"-",""),".",""),"/",""))=8,DATE(VALUE(LEFT(SUBSTITUTE(SUBSTITUTE(SUBSTITUTE(TRIM($G511),"-",""),".",""),"/",""),4)),VALUE(MID(SUBSTITUTE(SUBSTITUTE(SUBSTITUTE(TRIM($G511),"-",""),".",""),"/",""),5,2)),VALUE(RIGHT(SUBSTITUTE(SUBSTITUTE(SUBSTITUTE(TRIM($G511),"-",""),".",""),"/",""),2))),DATEVALUE($G511))),""))</f>
        <v/>
      </c>
      <c r="V511" s="52" t="str">
        <f aca="false">IF($H511="","",IFERROR(IF(IF(ISNUMBER($H511),$H511,IFERROR(TIMEVALUE($H511),VALUE($H511)))&gt;=100,INT(IF(ISNUMBER($H511),$H511,IFERROR(TIMEVALUE($H511),VALUE($H511)))/100)*60+MOD(IF(ISNUMBER($H511),$H511,IFERROR(TIMEVALUE($H511),VALUE($H511))),100),IF(IF(ISNUMBER($H511),$H511,IFERROR(TIMEVALUE($H511),VALUE($H511)))&gt;=1,ROUND(IF(ISNUMBER($H511),$H511,IFERROR(TIMEVALUE($H511),VALUE($H511)))*60,0),ROUND(MOD(IF(ISNUMBER($H511),$H511,IFERROR(TIMEVALUE($H511),VALUE($H511))),1)*1440,0))),""))</f>
        <v/>
      </c>
      <c r="W511" s="52" t="str">
        <f aca="false">IF($I511="","",IFERROR(IF(IF(ISNUMBER($I511),$I511,IFERROR(TIMEVALUE($I511),VALUE($I511)))&gt;=100,INT(IF(ISNUMBER($I511),$I511,IFERROR(TIMEVALUE($I511),VALUE($I511)))/100)*60+MOD(IF(ISNUMBER($I511),$I511,IFERROR(TIMEVALUE($I511),VALUE($I511))),100),IF(IF(ISNUMBER($I511),$I511,IFERROR(TIMEVALUE($I511),VALUE($I511)))&gt;=1,ROUND(IF(ISNUMBER($I511),$I511,IFERROR(TIMEVALUE($I511),VALUE($I511)))*60,0),ROUND(MOD(IF(ISNUMBER($I511),$I511,IFERROR(TIMEVALUE($I511),VALUE($I511))),1)*1440,0))),""))</f>
        <v/>
      </c>
      <c r="X511" s="55" t="str">
        <f aca="false">IF($P511="","",IFERROR(IF(ISNUMBER($P511),IF($P511&gt;19000000,DATE(INT($P511/10000),MOD(INT($P511/100),100),MOD($P511,100)),INT($P511)),IF(LEN(SUBSTITUTE(SUBSTITUTE(SUBSTITUTE(TRIM($P511),"-",""),".",""),"/",""))=8,DATE(VALUE(LEFT(SUBSTITUTE(SUBSTITUTE(SUBSTITUTE(TRIM($P511),"-",""),".",""),"/",""),4)),VALUE(MID(SUBSTITUTE(SUBSTITUTE(SUBSTITUTE(TRIM($P511),"-",""),".",""),"/",""),5,2)),VALUE(RIGHT(SUBSTITUTE(SUBSTITUTE(SUBSTITUTE(TRIM($P511),"-",""),".",""),"/",""),2))),DATEVALUE($P511))),""))</f>
        <v/>
      </c>
      <c r="Y511" s="56" t="str">
        <f aca="false">IF($M511="","",IFERROR(INDEX(강사DB!$D$4:$D$53,MATCH($M511,강사DB!$A$4:$A$53,0)),""))</f>
        <v/>
      </c>
      <c r="Z511" s="56" t="str">
        <f aca="false">IF($B511&lt;&gt;"결제완료","",IF(OR($Y511="",$J511=""),"",$Y511*$J511+MAX(0,N($K511)-1)*설정!$J$7))</f>
        <v/>
      </c>
      <c r="AA511" s="56" t="str">
        <f aca="false">IF(AND($D511&lt;&gt;"",$B511="결제완료"),N($N511),"")</f>
        <v/>
      </c>
      <c r="AB511" s="45" t="str">
        <f aca="false">IF($D511="","",IF($F511&lt;&gt;"",$F511,$D511)&amp;IF($B511="상담중"," (상담)",""))</f>
        <v/>
      </c>
      <c r="AC511" s="45" t="n">
        <f aca="false">IF(AND($D511&lt;&gt;"",OR($B511="결제완료",$B511="상담중")),1,0)</f>
        <v>0</v>
      </c>
      <c r="AD511" s="45" t="n">
        <f aca="false">IF(OR($Z511="",$U511=""),0,IFERROR(IF(COUNTIFS(INDEX(g_grid,0,2*MATCH($M511,강사DB!$A$4:$A$15,0)),"&lt;&gt;",g_s,"&lt;="&amp;$U511,g_e,"&gt;="&amp;$U511)&gt;0,1,0),0))</f>
        <v>0</v>
      </c>
      <c r="AE511" s="48"/>
      <c r="AF511" s="56" t="str">
        <f aca="false">IF(AND($D511&lt;&gt;"",$B511="결제완료",$T511="대여"),설정!$J$5,"")</f>
        <v/>
      </c>
      <c r="AG511" s="54" t="str">
        <f aca="false">IF($D511="","",IF(AND($E511="",$R511=""),$AB511,"☎ "&amp;IF($E511="","-",$E511)&amp;IF($R511&lt;&gt;"","  ※ "&amp;$R511,"")&amp;IF($B511="상담중"," (상담)","")))</f>
        <v/>
      </c>
      <c r="AH511" s="56" t="str">
        <f aca="false">IF(AND($D511&lt;&gt;"",$B511="결제완료",$O511="스마트스토어"),ROUND(N($N511)*설정!$J$6,0),"")</f>
        <v/>
      </c>
      <c r="AI511" s="54" t="str">
        <f aca="false">IF($D511="","",ROW())</f>
        <v/>
      </c>
      <c r="AJ511" s="54" t="n">
        <f aca="false">IF(OR($AC511&lt;&gt;1,$M511=""),0,IF(ISNUMBER(SEARCH("퇴사",IFERROR(INDEX(강사DB!$G$4:$G$53,MATCH($M511,강사DB!$A$4:$A$53,0)),""))),1,0))</f>
        <v>0</v>
      </c>
    </row>
    <row r="512" customFormat="false" ht="15" hidden="false" customHeight="false" outlineLevel="0" collapsed="false">
      <c r="A512" s="45" t="str">
        <f aca="false">IF($D512="","",COUNTA($D$5:$D512))</f>
        <v/>
      </c>
      <c r="B512" s="46"/>
      <c r="C512" s="47"/>
      <c r="D512" s="48"/>
      <c r="E512" s="48"/>
      <c r="F512" s="49"/>
      <c r="G512" s="47"/>
      <c r="H512" s="50"/>
      <c r="I512" s="50"/>
      <c r="J512" s="51" t="str">
        <f aca="false">IF(OR($V512="",$W512=""),"",ROUND(($W512-$V512)/60,2))</f>
        <v/>
      </c>
      <c r="K512" s="52" t="str">
        <f aca="false">IF($F512="","",LEN($F512)-LEN(SUBSTITUTE($F512,",",""))+1)</f>
        <v/>
      </c>
      <c r="L512" s="45" t="str">
        <f aca="false">IF($K512="","","1:"&amp;$K512)</f>
        <v/>
      </c>
      <c r="M512" s="46"/>
      <c r="N512" s="53"/>
      <c r="O512" s="46"/>
      <c r="P512" s="47"/>
      <c r="Q512" s="48"/>
      <c r="R512" s="49"/>
      <c r="S512" s="54" t="str">
        <f aca="false">IF(OR($AC512=0,$U512="",$M512="",$V512="",$W512=""),"",IF(COUNTIFS(m_teacher,$M512,m_date,$U512,m_active,1,m_start,"&lt;"&amp;$W512,m_end,"&gt;"&amp;$V512)&gt;1,"충돌",""))</f>
        <v/>
      </c>
      <c r="T512" s="48"/>
      <c r="U512" s="55" t="str">
        <f aca="false">IF($G512="","",IFERROR(IF(ISNUMBER($G512),IF($G512&gt;19000000,DATE(INT($G512/10000),MOD(INT($G512/100),100),MOD($G512,100)),INT($G512)),IF(LEN(SUBSTITUTE(SUBSTITUTE(SUBSTITUTE(TRIM($G512),"-",""),".",""),"/",""))=8,DATE(VALUE(LEFT(SUBSTITUTE(SUBSTITUTE(SUBSTITUTE(TRIM($G512),"-",""),".",""),"/",""),4)),VALUE(MID(SUBSTITUTE(SUBSTITUTE(SUBSTITUTE(TRIM($G512),"-",""),".",""),"/",""),5,2)),VALUE(RIGHT(SUBSTITUTE(SUBSTITUTE(SUBSTITUTE(TRIM($G512),"-",""),".",""),"/",""),2))),DATEVALUE($G512))),""))</f>
        <v/>
      </c>
      <c r="V512" s="52" t="str">
        <f aca="false">IF($H512="","",IFERROR(IF(IF(ISNUMBER($H512),$H512,IFERROR(TIMEVALUE($H512),VALUE($H512)))&gt;=100,INT(IF(ISNUMBER($H512),$H512,IFERROR(TIMEVALUE($H512),VALUE($H512)))/100)*60+MOD(IF(ISNUMBER($H512),$H512,IFERROR(TIMEVALUE($H512),VALUE($H512))),100),IF(IF(ISNUMBER($H512),$H512,IFERROR(TIMEVALUE($H512),VALUE($H512)))&gt;=1,ROUND(IF(ISNUMBER($H512),$H512,IFERROR(TIMEVALUE($H512),VALUE($H512)))*60,0),ROUND(MOD(IF(ISNUMBER($H512),$H512,IFERROR(TIMEVALUE($H512),VALUE($H512))),1)*1440,0))),""))</f>
        <v/>
      </c>
      <c r="W512" s="52" t="str">
        <f aca="false">IF($I512="","",IFERROR(IF(IF(ISNUMBER($I512),$I512,IFERROR(TIMEVALUE($I512),VALUE($I512)))&gt;=100,INT(IF(ISNUMBER($I512),$I512,IFERROR(TIMEVALUE($I512),VALUE($I512)))/100)*60+MOD(IF(ISNUMBER($I512),$I512,IFERROR(TIMEVALUE($I512),VALUE($I512))),100),IF(IF(ISNUMBER($I512),$I512,IFERROR(TIMEVALUE($I512),VALUE($I512)))&gt;=1,ROUND(IF(ISNUMBER($I512),$I512,IFERROR(TIMEVALUE($I512),VALUE($I512)))*60,0),ROUND(MOD(IF(ISNUMBER($I512),$I512,IFERROR(TIMEVALUE($I512),VALUE($I512))),1)*1440,0))),""))</f>
        <v/>
      </c>
      <c r="X512" s="55" t="str">
        <f aca="false">IF($P512="","",IFERROR(IF(ISNUMBER($P512),IF($P512&gt;19000000,DATE(INT($P512/10000),MOD(INT($P512/100),100),MOD($P512,100)),INT($P512)),IF(LEN(SUBSTITUTE(SUBSTITUTE(SUBSTITUTE(TRIM($P512),"-",""),".",""),"/",""))=8,DATE(VALUE(LEFT(SUBSTITUTE(SUBSTITUTE(SUBSTITUTE(TRIM($P512),"-",""),".",""),"/",""),4)),VALUE(MID(SUBSTITUTE(SUBSTITUTE(SUBSTITUTE(TRIM($P512),"-",""),".",""),"/",""),5,2)),VALUE(RIGHT(SUBSTITUTE(SUBSTITUTE(SUBSTITUTE(TRIM($P512),"-",""),".",""),"/",""),2))),DATEVALUE($P512))),""))</f>
        <v/>
      </c>
      <c r="Y512" s="56" t="str">
        <f aca="false">IF($M512="","",IFERROR(INDEX(강사DB!$D$4:$D$53,MATCH($M512,강사DB!$A$4:$A$53,0)),""))</f>
        <v/>
      </c>
      <c r="Z512" s="56" t="str">
        <f aca="false">IF($B512&lt;&gt;"결제완료","",IF(OR($Y512="",$J512=""),"",$Y512*$J512+MAX(0,N($K512)-1)*설정!$J$7))</f>
        <v/>
      </c>
      <c r="AA512" s="56" t="str">
        <f aca="false">IF(AND($D512&lt;&gt;"",$B512="결제완료"),N($N512),"")</f>
        <v/>
      </c>
      <c r="AB512" s="45" t="str">
        <f aca="false">IF($D512="","",IF($F512&lt;&gt;"",$F512,$D512)&amp;IF($B512="상담중"," (상담)",""))</f>
        <v/>
      </c>
      <c r="AC512" s="45" t="n">
        <f aca="false">IF(AND($D512&lt;&gt;"",OR($B512="결제완료",$B512="상담중")),1,0)</f>
        <v>0</v>
      </c>
      <c r="AD512" s="45" t="n">
        <f aca="false">IF(OR($Z512="",$U512=""),0,IFERROR(IF(COUNTIFS(INDEX(g_grid,0,2*MATCH($M512,강사DB!$A$4:$A$15,0)),"&lt;&gt;",g_s,"&lt;="&amp;$U512,g_e,"&gt;="&amp;$U512)&gt;0,1,0),0))</f>
        <v>0</v>
      </c>
      <c r="AE512" s="48"/>
      <c r="AF512" s="56" t="str">
        <f aca="false">IF(AND($D512&lt;&gt;"",$B512="결제완료",$T512="대여"),설정!$J$5,"")</f>
        <v/>
      </c>
      <c r="AG512" s="54" t="str">
        <f aca="false">IF($D512="","",IF(AND($E512="",$R512=""),$AB512,"☎ "&amp;IF($E512="","-",$E512)&amp;IF($R512&lt;&gt;"","  ※ "&amp;$R512,"")&amp;IF($B512="상담중"," (상담)","")))</f>
        <v/>
      </c>
      <c r="AH512" s="56" t="str">
        <f aca="false">IF(AND($D512&lt;&gt;"",$B512="결제완료",$O512="스마트스토어"),ROUND(N($N512)*설정!$J$6,0),"")</f>
        <v/>
      </c>
      <c r="AI512" s="54" t="str">
        <f aca="false">IF($D512="","",ROW())</f>
        <v/>
      </c>
      <c r="AJ512" s="54" t="n">
        <f aca="false">IF(OR($AC512&lt;&gt;1,$M512=""),0,IF(ISNUMBER(SEARCH("퇴사",IFERROR(INDEX(강사DB!$G$4:$G$53,MATCH($M512,강사DB!$A$4:$A$53,0)),""))),1,0))</f>
        <v>0</v>
      </c>
    </row>
    <row r="513" customFormat="false" ht="15" hidden="false" customHeight="false" outlineLevel="0" collapsed="false">
      <c r="A513" s="45" t="str">
        <f aca="false">IF($D513="","",COUNTA($D$5:$D513))</f>
        <v/>
      </c>
      <c r="B513" s="46"/>
      <c r="C513" s="47"/>
      <c r="D513" s="48"/>
      <c r="E513" s="48"/>
      <c r="F513" s="49"/>
      <c r="G513" s="47"/>
      <c r="H513" s="50"/>
      <c r="I513" s="50"/>
      <c r="J513" s="51" t="str">
        <f aca="false">IF(OR($V513="",$W513=""),"",ROUND(($W513-$V513)/60,2))</f>
        <v/>
      </c>
      <c r="K513" s="52" t="str">
        <f aca="false">IF($F513="","",LEN($F513)-LEN(SUBSTITUTE($F513,",",""))+1)</f>
        <v/>
      </c>
      <c r="L513" s="45" t="str">
        <f aca="false">IF($K513="","","1:"&amp;$K513)</f>
        <v/>
      </c>
      <c r="M513" s="46"/>
      <c r="N513" s="53"/>
      <c r="O513" s="46"/>
      <c r="P513" s="47"/>
      <c r="Q513" s="48"/>
      <c r="R513" s="49"/>
      <c r="S513" s="54" t="str">
        <f aca="false">IF(OR($AC513=0,$U513="",$M513="",$V513="",$W513=""),"",IF(COUNTIFS(m_teacher,$M513,m_date,$U513,m_active,1,m_start,"&lt;"&amp;$W513,m_end,"&gt;"&amp;$V513)&gt;1,"충돌",""))</f>
        <v/>
      </c>
      <c r="T513" s="48"/>
      <c r="U513" s="55" t="str">
        <f aca="false">IF($G513="","",IFERROR(IF(ISNUMBER($G513),IF($G513&gt;19000000,DATE(INT($G513/10000),MOD(INT($G513/100),100),MOD($G513,100)),INT($G513)),IF(LEN(SUBSTITUTE(SUBSTITUTE(SUBSTITUTE(TRIM($G513),"-",""),".",""),"/",""))=8,DATE(VALUE(LEFT(SUBSTITUTE(SUBSTITUTE(SUBSTITUTE(TRIM($G513),"-",""),".",""),"/",""),4)),VALUE(MID(SUBSTITUTE(SUBSTITUTE(SUBSTITUTE(TRIM($G513),"-",""),".",""),"/",""),5,2)),VALUE(RIGHT(SUBSTITUTE(SUBSTITUTE(SUBSTITUTE(TRIM($G513),"-",""),".",""),"/",""),2))),DATEVALUE($G513))),""))</f>
        <v/>
      </c>
      <c r="V513" s="52" t="str">
        <f aca="false">IF($H513="","",IFERROR(IF(IF(ISNUMBER($H513),$H513,IFERROR(TIMEVALUE($H513),VALUE($H513)))&gt;=100,INT(IF(ISNUMBER($H513),$H513,IFERROR(TIMEVALUE($H513),VALUE($H513)))/100)*60+MOD(IF(ISNUMBER($H513),$H513,IFERROR(TIMEVALUE($H513),VALUE($H513))),100),IF(IF(ISNUMBER($H513),$H513,IFERROR(TIMEVALUE($H513),VALUE($H513)))&gt;=1,ROUND(IF(ISNUMBER($H513),$H513,IFERROR(TIMEVALUE($H513),VALUE($H513)))*60,0),ROUND(MOD(IF(ISNUMBER($H513),$H513,IFERROR(TIMEVALUE($H513),VALUE($H513))),1)*1440,0))),""))</f>
        <v/>
      </c>
      <c r="W513" s="52" t="str">
        <f aca="false">IF($I513="","",IFERROR(IF(IF(ISNUMBER($I513),$I513,IFERROR(TIMEVALUE($I513),VALUE($I513)))&gt;=100,INT(IF(ISNUMBER($I513),$I513,IFERROR(TIMEVALUE($I513),VALUE($I513)))/100)*60+MOD(IF(ISNUMBER($I513),$I513,IFERROR(TIMEVALUE($I513),VALUE($I513))),100),IF(IF(ISNUMBER($I513),$I513,IFERROR(TIMEVALUE($I513),VALUE($I513)))&gt;=1,ROUND(IF(ISNUMBER($I513),$I513,IFERROR(TIMEVALUE($I513),VALUE($I513)))*60,0),ROUND(MOD(IF(ISNUMBER($I513),$I513,IFERROR(TIMEVALUE($I513),VALUE($I513))),1)*1440,0))),""))</f>
        <v/>
      </c>
      <c r="X513" s="55" t="str">
        <f aca="false">IF($P513="","",IFERROR(IF(ISNUMBER($P513),IF($P513&gt;19000000,DATE(INT($P513/10000),MOD(INT($P513/100),100),MOD($P513,100)),INT($P513)),IF(LEN(SUBSTITUTE(SUBSTITUTE(SUBSTITUTE(TRIM($P513),"-",""),".",""),"/",""))=8,DATE(VALUE(LEFT(SUBSTITUTE(SUBSTITUTE(SUBSTITUTE(TRIM($P513),"-",""),".",""),"/",""),4)),VALUE(MID(SUBSTITUTE(SUBSTITUTE(SUBSTITUTE(TRIM($P513),"-",""),".",""),"/",""),5,2)),VALUE(RIGHT(SUBSTITUTE(SUBSTITUTE(SUBSTITUTE(TRIM($P513),"-",""),".",""),"/",""),2))),DATEVALUE($P513))),""))</f>
        <v/>
      </c>
      <c r="Y513" s="56" t="str">
        <f aca="false">IF($M513="","",IFERROR(INDEX(강사DB!$D$4:$D$53,MATCH($M513,강사DB!$A$4:$A$53,0)),""))</f>
        <v/>
      </c>
      <c r="Z513" s="56" t="str">
        <f aca="false">IF($B513&lt;&gt;"결제완료","",IF(OR($Y513="",$J513=""),"",$Y513*$J513+MAX(0,N($K513)-1)*설정!$J$7))</f>
        <v/>
      </c>
      <c r="AA513" s="56" t="str">
        <f aca="false">IF(AND($D513&lt;&gt;"",$B513="결제완료"),N($N513),"")</f>
        <v/>
      </c>
      <c r="AB513" s="45" t="str">
        <f aca="false">IF($D513="","",IF($F513&lt;&gt;"",$F513,$D513)&amp;IF($B513="상담중"," (상담)",""))</f>
        <v/>
      </c>
      <c r="AC513" s="45" t="n">
        <f aca="false">IF(AND($D513&lt;&gt;"",OR($B513="결제완료",$B513="상담중")),1,0)</f>
        <v>0</v>
      </c>
      <c r="AD513" s="45" t="n">
        <f aca="false">IF(OR($Z513="",$U513=""),0,IFERROR(IF(COUNTIFS(INDEX(g_grid,0,2*MATCH($M513,강사DB!$A$4:$A$15,0)),"&lt;&gt;",g_s,"&lt;="&amp;$U513,g_e,"&gt;="&amp;$U513)&gt;0,1,0),0))</f>
        <v>0</v>
      </c>
      <c r="AE513" s="48"/>
      <c r="AF513" s="56" t="str">
        <f aca="false">IF(AND($D513&lt;&gt;"",$B513="결제완료",$T513="대여"),설정!$J$5,"")</f>
        <v/>
      </c>
      <c r="AG513" s="54" t="str">
        <f aca="false">IF($D513="","",IF(AND($E513="",$R513=""),$AB513,"☎ "&amp;IF($E513="","-",$E513)&amp;IF($R513&lt;&gt;"","  ※ "&amp;$R513,"")&amp;IF($B513="상담중"," (상담)","")))</f>
        <v/>
      </c>
      <c r="AH513" s="56" t="str">
        <f aca="false">IF(AND($D513&lt;&gt;"",$B513="결제완료",$O513="스마트스토어"),ROUND(N($N513)*설정!$J$6,0),"")</f>
        <v/>
      </c>
      <c r="AI513" s="54" t="str">
        <f aca="false">IF($D513="","",ROW())</f>
        <v/>
      </c>
      <c r="AJ513" s="54" t="n">
        <f aca="false">IF(OR($AC513&lt;&gt;1,$M513=""),0,IF(ISNUMBER(SEARCH("퇴사",IFERROR(INDEX(강사DB!$G$4:$G$53,MATCH($M513,강사DB!$A$4:$A$53,0)),""))),1,0))</f>
        <v>0</v>
      </c>
    </row>
    <row r="514" customFormat="false" ht="15" hidden="false" customHeight="false" outlineLevel="0" collapsed="false">
      <c r="A514" s="45" t="str">
        <f aca="false">IF($D514="","",COUNTA($D$5:$D514))</f>
        <v/>
      </c>
      <c r="B514" s="46"/>
      <c r="C514" s="47"/>
      <c r="D514" s="48"/>
      <c r="E514" s="48"/>
      <c r="F514" s="49"/>
      <c r="G514" s="47"/>
      <c r="H514" s="50"/>
      <c r="I514" s="50"/>
      <c r="J514" s="51" t="str">
        <f aca="false">IF(OR($V514="",$W514=""),"",ROUND(($W514-$V514)/60,2))</f>
        <v/>
      </c>
      <c r="K514" s="52" t="str">
        <f aca="false">IF($F514="","",LEN($F514)-LEN(SUBSTITUTE($F514,",",""))+1)</f>
        <v/>
      </c>
      <c r="L514" s="45" t="str">
        <f aca="false">IF($K514="","","1:"&amp;$K514)</f>
        <v/>
      </c>
      <c r="M514" s="46"/>
      <c r="N514" s="53"/>
      <c r="O514" s="46"/>
      <c r="P514" s="47"/>
      <c r="Q514" s="48"/>
      <c r="R514" s="49"/>
      <c r="S514" s="54" t="str">
        <f aca="false">IF(OR($AC514=0,$U514="",$M514="",$V514="",$W514=""),"",IF(COUNTIFS(m_teacher,$M514,m_date,$U514,m_active,1,m_start,"&lt;"&amp;$W514,m_end,"&gt;"&amp;$V514)&gt;1,"충돌",""))</f>
        <v/>
      </c>
      <c r="T514" s="48"/>
      <c r="U514" s="55" t="str">
        <f aca="false">IF($G514="","",IFERROR(IF(ISNUMBER($G514),IF($G514&gt;19000000,DATE(INT($G514/10000),MOD(INT($G514/100),100),MOD($G514,100)),INT($G514)),IF(LEN(SUBSTITUTE(SUBSTITUTE(SUBSTITUTE(TRIM($G514),"-",""),".",""),"/",""))=8,DATE(VALUE(LEFT(SUBSTITUTE(SUBSTITUTE(SUBSTITUTE(TRIM($G514),"-",""),".",""),"/",""),4)),VALUE(MID(SUBSTITUTE(SUBSTITUTE(SUBSTITUTE(TRIM($G514),"-",""),".",""),"/",""),5,2)),VALUE(RIGHT(SUBSTITUTE(SUBSTITUTE(SUBSTITUTE(TRIM($G514),"-",""),".",""),"/",""),2))),DATEVALUE($G514))),""))</f>
        <v/>
      </c>
      <c r="V514" s="52" t="str">
        <f aca="false">IF($H514="","",IFERROR(IF(IF(ISNUMBER($H514),$H514,IFERROR(TIMEVALUE($H514),VALUE($H514)))&gt;=100,INT(IF(ISNUMBER($H514),$H514,IFERROR(TIMEVALUE($H514),VALUE($H514)))/100)*60+MOD(IF(ISNUMBER($H514),$H514,IFERROR(TIMEVALUE($H514),VALUE($H514))),100),IF(IF(ISNUMBER($H514),$H514,IFERROR(TIMEVALUE($H514),VALUE($H514)))&gt;=1,ROUND(IF(ISNUMBER($H514),$H514,IFERROR(TIMEVALUE($H514),VALUE($H514)))*60,0),ROUND(MOD(IF(ISNUMBER($H514),$H514,IFERROR(TIMEVALUE($H514),VALUE($H514))),1)*1440,0))),""))</f>
        <v/>
      </c>
      <c r="W514" s="52" t="str">
        <f aca="false">IF($I514="","",IFERROR(IF(IF(ISNUMBER($I514),$I514,IFERROR(TIMEVALUE($I514),VALUE($I514)))&gt;=100,INT(IF(ISNUMBER($I514),$I514,IFERROR(TIMEVALUE($I514),VALUE($I514)))/100)*60+MOD(IF(ISNUMBER($I514),$I514,IFERROR(TIMEVALUE($I514),VALUE($I514))),100),IF(IF(ISNUMBER($I514),$I514,IFERROR(TIMEVALUE($I514),VALUE($I514)))&gt;=1,ROUND(IF(ISNUMBER($I514),$I514,IFERROR(TIMEVALUE($I514),VALUE($I514)))*60,0),ROUND(MOD(IF(ISNUMBER($I514),$I514,IFERROR(TIMEVALUE($I514),VALUE($I514))),1)*1440,0))),""))</f>
        <v/>
      </c>
      <c r="X514" s="55" t="str">
        <f aca="false">IF($P514="","",IFERROR(IF(ISNUMBER($P514),IF($P514&gt;19000000,DATE(INT($P514/10000),MOD(INT($P514/100),100),MOD($P514,100)),INT($P514)),IF(LEN(SUBSTITUTE(SUBSTITUTE(SUBSTITUTE(TRIM($P514),"-",""),".",""),"/",""))=8,DATE(VALUE(LEFT(SUBSTITUTE(SUBSTITUTE(SUBSTITUTE(TRIM($P514),"-",""),".",""),"/",""),4)),VALUE(MID(SUBSTITUTE(SUBSTITUTE(SUBSTITUTE(TRIM($P514),"-",""),".",""),"/",""),5,2)),VALUE(RIGHT(SUBSTITUTE(SUBSTITUTE(SUBSTITUTE(TRIM($P514),"-",""),".",""),"/",""),2))),DATEVALUE($P514))),""))</f>
        <v/>
      </c>
      <c r="Y514" s="56" t="str">
        <f aca="false">IF($M514="","",IFERROR(INDEX(강사DB!$D$4:$D$53,MATCH($M514,강사DB!$A$4:$A$53,0)),""))</f>
        <v/>
      </c>
      <c r="Z514" s="56" t="str">
        <f aca="false">IF($B514&lt;&gt;"결제완료","",IF(OR($Y514="",$J514=""),"",$Y514*$J514+MAX(0,N($K514)-1)*설정!$J$7))</f>
        <v/>
      </c>
      <c r="AA514" s="56" t="str">
        <f aca="false">IF(AND($D514&lt;&gt;"",$B514="결제완료"),N($N514),"")</f>
        <v/>
      </c>
      <c r="AB514" s="45" t="str">
        <f aca="false">IF($D514="","",IF($F514&lt;&gt;"",$F514,$D514)&amp;IF($B514="상담중"," (상담)",""))</f>
        <v/>
      </c>
      <c r="AC514" s="45" t="n">
        <f aca="false">IF(AND($D514&lt;&gt;"",OR($B514="결제완료",$B514="상담중")),1,0)</f>
        <v>0</v>
      </c>
      <c r="AD514" s="45" t="n">
        <f aca="false">IF(OR($Z514="",$U514=""),0,IFERROR(IF(COUNTIFS(INDEX(g_grid,0,2*MATCH($M514,강사DB!$A$4:$A$15,0)),"&lt;&gt;",g_s,"&lt;="&amp;$U514,g_e,"&gt;="&amp;$U514)&gt;0,1,0),0))</f>
        <v>0</v>
      </c>
      <c r="AE514" s="48"/>
      <c r="AF514" s="56" t="str">
        <f aca="false">IF(AND($D514&lt;&gt;"",$B514="결제완료",$T514="대여"),설정!$J$5,"")</f>
        <v/>
      </c>
      <c r="AG514" s="54" t="str">
        <f aca="false">IF($D514="","",IF(AND($E514="",$R514=""),$AB514,"☎ "&amp;IF($E514="","-",$E514)&amp;IF($R514&lt;&gt;"","  ※ "&amp;$R514,"")&amp;IF($B514="상담중"," (상담)","")))</f>
        <v/>
      </c>
      <c r="AH514" s="56" t="str">
        <f aca="false">IF(AND($D514&lt;&gt;"",$B514="결제완료",$O514="스마트스토어"),ROUND(N($N514)*설정!$J$6,0),"")</f>
        <v/>
      </c>
      <c r="AI514" s="54" t="str">
        <f aca="false">IF($D514="","",ROW())</f>
        <v/>
      </c>
      <c r="AJ514" s="54" t="n">
        <f aca="false">IF(OR($AC514&lt;&gt;1,$M514=""),0,IF(ISNUMBER(SEARCH("퇴사",IFERROR(INDEX(강사DB!$G$4:$G$53,MATCH($M514,강사DB!$A$4:$A$53,0)),""))),1,0))</f>
        <v>0</v>
      </c>
    </row>
    <row r="515" customFormat="false" ht="15" hidden="false" customHeight="false" outlineLevel="0" collapsed="false">
      <c r="A515" s="45" t="str">
        <f aca="false">IF($D515="","",COUNTA($D$5:$D515))</f>
        <v/>
      </c>
      <c r="B515" s="46"/>
      <c r="C515" s="47"/>
      <c r="D515" s="48"/>
      <c r="E515" s="48"/>
      <c r="F515" s="49"/>
      <c r="G515" s="47"/>
      <c r="H515" s="50"/>
      <c r="I515" s="50"/>
      <c r="J515" s="51" t="str">
        <f aca="false">IF(OR($V515="",$W515=""),"",ROUND(($W515-$V515)/60,2))</f>
        <v/>
      </c>
      <c r="K515" s="52" t="str">
        <f aca="false">IF($F515="","",LEN($F515)-LEN(SUBSTITUTE($F515,",",""))+1)</f>
        <v/>
      </c>
      <c r="L515" s="45" t="str">
        <f aca="false">IF($K515="","","1:"&amp;$K515)</f>
        <v/>
      </c>
      <c r="M515" s="46"/>
      <c r="N515" s="53"/>
      <c r="O515" s="46"/>
      <c r="P515" s="47"/>
      <c r="Q515" s="48"/>
      <c r="R515" s="49"/>
      <c r="S515" s="54" t="str">
        <f aca="false">IF(OR($AC515=0,$U515="",$M515="",$V515="",$W515=""),"",IF(COUNTIFS(m_teacher,$M515,m_date,$U515,m_active,1,m_start,"&lt;"&amp;$W515,m_end,"&gt;"&amp;$V515)&gt;1,"충돌",""))</f>
        <v/>
      </c>
      <c r="T515" s="48"/>
      <c r="U515" s="55" t="str">
        <f aca="false">IF($G515="","",IFERROR(IF(ISNUMBER($G515),IF($G515&gt;19000000,DATE(INT($G515/10000),MOD(INT($G515/100),100),MOD($G515,100)),INT($G515)),IF(LEN(SUBSTITUTE(SUBSTITUTE(SUBSTITUTE(TRIM($G515),"-",""),".",""),"/",""))=8,DATE(VALUE(LEFT(SUBSTITUTE(SUBSTITUTE(SUBSTITUTE(TRIM($G515),"-",""),".",""),"/",""),4)),VALUE(MID(SUBSTITUTE(SUBSTITUTE(SUBSTITUTE(TRIM($G515),"-",""),".",""),"/",""),5,2)),VALUE(RIGHT(SUBSTITUTE(SUBSTITUTE(SUBSTITUTE(TRIM($G515),"-",""),".",""),"/",""),2))),DATEVALUE($G515))),""))</f>
        <v/>
      </c>
      <c r="V515" s="52" t="str">
        <f aca="false">IF($H515="","",IFERROR(IF(IF(ISNUMBER($H515),$H515,IFERROR(TIMEVALUE($H515),VALUE($H515)))&gt;=100,INT(IF(ISNUMBER($H515),$H515,IFERROR(TIMEVALUE($H515),VALUE($H515)))/100)*60+MOD(IF(ISNUMBER($H515),$H515,IFERROR(TIMEVALUE($H515),VALUE($H515))),100),IF(IF(ISNUMBER($H515),$H515,IFERROR(TIMEVALUE($H515),VALUE($H515)))&gt;=1,ROUND(IF(ISNUMBER($H515),$H515,IFERROR(TIMEVALUE($H515),VALUE($H515)))*60,0),ROUND(MOD(IF(ISNUMBER($H515),$H515,IFERROR(TIMEVALUE($H515),VALUE($H515))),1)*1440,0))),""))</f>
        <v/>
      </c>
      <c r="W515" s="52" t="str">
        <f aca="false">IF($I515="","",IFERROR(IF(IF(ISNUMBER($I515),$I515,IFERROR(TIMEVALUE($I515),VALUE($I515)))&gt;=100,INT(IF(ISNUMBER($I515),$I515,IFERROR(TIMEVALUE($I515),VALUE($I515)))/100)*60+MOD(IF(ISNUMBER($I515),$I515,IFERROR(TIMEVALUE($I515),VALUE($I515))),100),IF(IF(ISNUMBER($I515),$I515,IFERROR(TIMEVALUE($I515),VALUE($I515)))&gt;=1,ROUND(IF(ISNUMBER($I515),$I515,IFERROR(TIMEVALUE($I515),VALUE($I515)))*60,0),ROUND(MOD(IF(ISNUMBER($I515),$I515,IFERROR(TIMEVALUE($I515),VALUE($I515))),1)*1440,0))),""))</f>
        <v/>
      </c>
      <c r="X515" s="55" t="str">
        <f aca="false">IF($P515="","",IFERROR(IF(ISNUMBER($P515),IF($P515&gt;19000000,DATE(INT($P515/10000),MOD(INT($P515/100),100),MOD($P515,100)),INT($P515)),IF(LEN(SUBSTITUTE(SUBSTITUTE(SUBSTITUTE(TRIM($P515),"-",""),".",""),"/",""))=8,DATE(VALUE(LEFT(SUBSTITUTE(SUBSTITUTE(SUBSTITUTE(TRIM($P515),"-",""),".",""),"/",""),4)),VALUE(MID(SUBSTITUTE(SUBSTITUTE(SUBSTITUTE(TRIM($P515),"-",""),".",""),"/",""),5,2)),VALUE(RIGHT(SUBSTITUTE(SUBSTITUTE(SUBSTITUTE(TRIM($P515),"-",""),".",""),"/",""),2))),DATEVALUE($P515))),""))</f>
        <v/>
      </c>
      <c r="Y515" s="56" t="str">
        <f aca="false">IF($M515="","",IFERROR(INDEX(강사DB!$D$4:$D$53,MATCH($M515,강사DB!$A$4:$A$53,0)),""))</f>
        <v/>
      </c>
      <c r="Z515" s="56" t="str">
        <f aca="false">IF($B515&lt;&gt;"결제완료","",IF(OR($Y515="",$J515=""),"",$Y515*$J515+MAX(0,N($K515)-1)*설정!$J$7))</f>
        <v/>
      </c>
      <c r="AA515" s="56" t="str">
        <f aca="false">IF(AND($D515&lt;&gt;"",$B515="결제완료"),N($N515),"")</f>
        <v/>
      </c>
      <c r="AB515" s="45" t="str">
        <f aca="false">IF($D515="","",IF($F515&lt;&gt;"",$F515,$D515)&amp;IF($B515="상담중"," (상담)",""))</f>
        <v/>
      </c>
      <c r="AC515" s="45" t="n">
        <f aca="false">IF(AND($D515&lt;&gt;"",OR($B515="결제완료",$B515="상담중")),1,0)</f>
        <v>0</v>
      </c>
      <c r="AD515" s="45" t="n">
        <f aca="false">IF(OR($Z515="",$U515=""),0,IFERROR(IF(COUNTIFS(INDEX(g_grid,0,2*MATCH($M515,강사DB!$A$4:$A$15,0)),"&lt;&gt;",g_s,"&lt;="&amp;$U515,g_e,"&gt;="&amp;$U515)&gt;0,1,0),0))</f>
        <v>0</v>
      </c>
      <c r="AE515" s="48"/>
      <c r="AF515" s="56" t="str">
        <f aca="false">IF(AND($D515&lt;&gt;"",$B515="결제완료",$T515="대여"),설정!$J$5,"")</f>
        <v/>
      </c>
      <c r="AG515" s="54" t="str">
        <f aca="false">IF($D515="","",IF(AND($E515="",$R515=""),$AB515,"☎ "&amp;IF($E515="","-",$E515)&amp;IF($R515&lt;&gt;"","  ※ "&amp;$R515,"")&amp;IF($B515="상담중"," (상담)","")))</f>
        <v/>
      </c>
      <c r="AH515" s="56" t="str">
        <f aca="false">IF(AND($D515&lt;&gt;"",$B515="결제완료",$O515="스마트스토어"),ROUND(N($N515)*설정!$J$6,0),"")</f>
        <v/>
      </c>
      <c r="AI515" s="54" t="str">
        <f aca="false">IF($D515="","",ROW())</f>
        <v/>
      </c>
      <c r="AJ515" s="54" t="n">
        <f aca="false">IF(OR($AC515&lt;&gt;1,$M515=""),0,IF(ISNUMBER(SEARCH("퇴사",IFERROR(INDEX(강사DB!$G$4:$G$53,MATCH($M515,강사DB!$A$4:$A$53,0)),""))),1,0))</f>
        <v>0</v>
      </c>
    </row>
    <row r="516" customFormat="false" ht="15" hidden="false" customHeight="false" outlineLevel="0" collapsed="false">
      <c r="A516" s="45" t="str">
        <f aca="false">IF($D516="","",COUNTA($D$5:$D516))</f>
        <v/>
      </c>
      <c r="B516" s="46"/>
      <c r="C516" s="47"/>
      <c r="D516" s="48"/>
      <c r="E516" s="48"/>
      <c r="F516" s="49"/>
      <c r="G516" s="47"/>
      <c r="H516" s="50"/>
      <c r="I516" s="50"/>
      <c r="J516" s="51" t="str">
        <f aca="false">IF(OR($V516="",$W516=""),"",ROUND(($W516-$V516)/60,2))</f>
        <v/>
      </c>
      <c r="K516" s="52" t="str">
        <f aca="false">IF($F516="","",LEN($F516)-LEN(SUBSTITUTE($F516,",",""))+1)</f>
        <v/>
      </c>
      <c r="L516" s="45" t="str">
        <f aca="false">IF($K516="","","1:"&amp;$K516)</f>
        <v/>
      </c>
      <c r="M516" s="46"/>
      <c r="N516" s="53"/>
      <c r="O516" s="46"/>
      <c r="P516" s="47"/>
      <c r="Q516" s="48"/>
      <c r="R516" s="49"/>
      <c r="S516" s="54" t="str">
        <f aca="false">IF(OR($AC516=0,$U516="",$M516="",$V516="",$W516=""),"",IF(COUNTIFS(m_teacher,$M516,m_date,$U516,m_active,1,m_start,"&lt;"&amp;$W516,m_end,"&gt;"&amp;$V516)&gt;1,"충돌",""))</f>
        <v/>
      </c>
      <c r="T516" s="48"/>
      <c r="U516" s="55" t="str">
        <f aca="false">IF($G516="","",IFERROR(IF(ISNUMBER($G516),IF($G516&gt;19000000,DATE(INT($G516/10000),MOD(INT($G516/100),100),MOD($G516,100)),INT($G516)),IF(LEN(SUBSTITUTE(SUBSTITUTE(SUBSTITUTE(TRIM($G516),"-",""),".",""),"/",""))=8,DATE(VALUE(LEFT(SUBSTITUTE(SUBSTITUTE(SUBSTITUTE(TRIM($G516),"-",""),".",""),"/",""),4)),VALUE(MID(SUBSTITUTE(SUBSTITUTE(SUBSTITUTE(TRIM($G516),"-",""),".",""),"/",""),5,2)),VALUE(RIGHT(SUBSTITUTE(SUBSTITUTE(SUBSTITUTE(TRIM($G516),"-",""),".",""),"/",""),2))),DATEVALUE($G516))),""))</f>
        <v/>
      </c>
      <c r="V516" s="52" t="str">
        <f aca="false">IF($H516="","",IFERROR(IF(IF(ISNUMBER($H516),$H516,IFERROR(TIMEVALUE($H516),VALUE($H516)))&gt;=100,INT(IF(ISNUMBER($H516),$H516,IFERROR(TIMEVALUE($H516),VALUE($H516)))/100)*60+MOD(IF(ISNUMBER($H516),$H516,IFERROR(TIMEVALUE($H516),VALUE($H516))),100),IF(IF(ISNUMBER($H516),$H516,IFERROR(TIMEVALUE($H516),VALUE($H516)))&gt;=1,ROUND(IF(ISNUMBER($H516),$H516,IFERROR(TIMEVALUE($H516),VALUE($H516)))*60,0),ROUND(MOD(IF(ISNUMBER($H516),$H516,IFERROR(TIMEVALUE($H516),VALUE($H516))),1)*1440,0))),""))</f>
        <v/>
      </c>
      <c r="W516" s="52" t="str">
        <f aca="false">IF($I516="","",IFERROR(IF(IF(ISNUMBER($I516),$I516,IFERROR(TIMEVALUE($I516),VALUE($I516)))&gt;=100,INT(IF(ISNUMBER($I516),$I516,IFERROR(TIMEVALUE($I516),VALUE($I516)))/100)*60+MOD(IF(ISNUMBER($I516),$I516,IFERROR(TIMEVALUE($I516),VALUE($I516))),100),IF(IF(ISNUMBER($I516),$I516,IFERROR(TIMEVALUE($I516),VALUE($I516)))&gt;=1,ROUND(IF(ISNUMBER($I516),$I516,IFERROR(TIMEVALUE($I516),VALUE($I516)))*60,0),ROUND(MOD(IF(ISNUMBER($I516),$I516,IFERROR(TIMEVALUE($I516),VALUE($I516))),1)*1440,0))),""))</f>
        <v/>
      </c>
      <c r="X516" s="55" t="str">
        <f aca="false">IF($P516="","",IFERROR(IF(ISNUMBER($P516),IF($P516&gt;19000000,DATE(INT($P516/10000),MOD(INT($P516/100),100),MOD($P516,100)),INT($P516)),IF(LEN(SUBSTITUTE(SUBSTITUTE(SUBSTITUTE(TRIM($P516),"-",""),".",""),"/",""))=8,DATE(VALUE(LEFT(SUBSTITUTE(SUBSTITUTE(SUBSTITUTE(TRIM($P516),"-",""),".",""),"/",""),4)),VALUE(MID(SUBSTITUTE(SUBSTITUTE(SUBSTITUTE(TRIM($P516),"-",""),".",""),"/",""),5,2)),VALUE(RIGHT(SUBSTITUTE(SUBSTITUTE(SUBSTITUTE(TRIM($P516),"-",""),".",""),"/",""),2))),DATEVALUE($P516))),""))</f>
        <v/>
      </c>
      <c r="Y516" s="56" t="str">
        <f aca="false">IF($M516="","",IFERROR(INDEX(강사DB!$D$4:$D$53,MATCH($M516,강사DB!$A$4:$A$53,0)),""))</f>
        <v/>
      </c>
      <c r="Z516" s="56" t="str">
        <f aca="false">IF($B516&lt;&gt;"결제완료","",IF(OR($Y516="",$J516=""),"",$Y516*$J516+MAX(0,N($K516)-1)*설정!$J$7))</f>
        <v/>
      </c>
      <c r="AA516" s="56" t="str">
        <f aca="false">IF(AND($D516&lt;&gt;"",$B516="결제완료"),N($N516),"")</f>
        <v/>
      </c>
      <c r="AB516" s="45" t="str">
        <f aca="false">IF($D516="","",IF($F516&lt;&gt;"",$F516,$D516)&amp;IF($B516="상담중"," (상담)",""))</f>
        <v/>
      </c>
      <c r="AC516" s="45" t="n">
        <f aca="false">IF(AND($D516&lt;&gt;"",OR($B516="결제완료",$B516="상담중")),1,0)</f>
        <v>0</v>
      </c>
      <c r="AD516" s="45" t="n">
        <f aca="false">IF(OR($Z516="",$U516=""),0,IFERROR(IF(COUNTIFS(INDEX(g_grid,0,2*MATCH($M516,강사DB!$A$4:$A$15,0)),"&lt;&gt;",g_s,"&lt;="&amp;$U516,g_e,"&gt;="&amp;$U516)&gt;0,1,0),0))</f>
        <v>0</v>
      </c>
      <c r="AE516" s="48"/>
      <c r="AF516" s="56" t="str">
        <f aca="false">IF(AND($D516&lt;&gt;"",$B516="결제완료",$T516="대여"),설정!$J$5,"")</f>
        <v/>
      </c>
      <c r="AG516" s="54" t="str">
        <f aca="false">IF($D516="","",IF(AND($E516="",$R516=""),$AB516,"☎ "&amp;IF($E516="","-",$E516)&amp;IF($R516&lt;&gt;"","  ※ "&amp;$R516,"")&amp;IF($B516="상담중"," (상담)","")))</f>
        <v/>
      </c>
      <c r="AH516" s="56" t="str">
        <f aca="false">IF(AND($D516&lt;&gt;"",$B516="결제완료",$O516="스마트스토어"),ROUND(N($N516)*설정!$J$6,0),"")</f>
        <v/>
      </c>
      <c r="AI516" s="54" t="str">
        <f aca="false">IF($D516="","",ROW())</f>
        <v/>
      </c>
      <c r="AJ516" s="54" t="n">
        <f aca="false">IF(OR($AC516&lt;&gt;1,$M516=""),0,IF(ISNUMBER(SEARCH("퇴사",IFERROR(INDEX(강사DB!$G$4:$G$53,MATCH($M516,강사DB!$A$4:$A$53,0)),""))),1,0))</f>
        <v>0</v>
      </c>
    </row>
    <row r="517" customFormat="false" ht="15" hidden="false" customHeight="false" outlineLevel="0" collapsed="false">
      <c r="A517" s="45" t="str">
        <f aca="false">IF($D517="","",COUNTA($D$5:$D517))</f>
        <v/>
      </c>
      <c r="B517" s="46"/>
      <c r="C517" s="47"/>
      <c r="D517" s="48"/>
      <c r="E517" s="48"/>
      <c r="F517" s="49"/>
      <c r="G517" s="47"/>
      <c r="H517" s="50"/>
      <c r="I517" s="50"/>
      <c r="J517" s="51" t="str">
        <f aca="false">IF(OR($V517="",$W517=""),"",ROUND(($W517-$V517)/60,2))</f>
        <v/>
      </c>
      <c r="K517" s="52" t="str">
        <f aca="false">IF($F517="","",LEN($F517)-LEN(SUBSTITUTE($F517,",",""))+1)</f>
        <v/>
      </c>
      <c r="L517" s="45" t="str">
        <f aca="false">IF($K517="","","1:"&amp;$K517)</f>
        <v/>
      </c>
      <c r="M517" s="46"/>
      <c r="N517" s="53"/>
      <c r="O517" s="46"/>
      <c r="P517" s="47"/>
      <c r="Q517" s="48"/>
      <c r="R517" s="49"/>
      <c r="S517" s="54" t="str">
        <f aca="false">IF(OR($AC517=0,$U517="",$M517="",$V517="",$W517=""),"",IF(COUNTIFS(m_teacher,$M517,m_date,$U517,m_active,1,m_start,"&lt;"&amp;$W517,m_end,"&gt;"&amp;$V517)&gt;1,"충돌",""))</f>
        <v/>
      </c>
      <c r="T517" s="48"/>
      <c r="U517" s="55" t="str">
        <f aca="false">IF($G517="","",IFERROR(IF(ISNUMBER($G517),IF($G517&gt;19000000,DATE(INT($G517/10000),MOD(INT($G517/100),100),MOD($G517,100)),INT($G517)),IF(LEN(SUBSTITUTE(SUBSTITUTE(SUBSTITUTE(TRIM($G517),"-",""),".",""),"/",""))=8,DATE(VALUE(LEFT(SUBSTITUTE(SUBSTITUTE(SUBSTITUTE(TRIM($G517),"-",""),".",""),"/",""),4)),VALUE(MID(SUBSTITUTE(SUBSTITUTE(SUBSTITUTE(TRIM($G517),"-",""),".",""),"/",""),5,2)),VALUE(RIGHT(SUBSTITUTE(SUBSTITUTE(SUBSTITUTE(TRIM($G517),"-",""),".",""),"/",""),2))),DATEVALUE($G517))),""))</f>
        <v/>
      </c>
      <c r="V517" s="52" t="str">
        <f aca="false">IF($H517="","",IFERROR(IF(IF(ISNUMBER($H517),$H517,IFERROR(TIMEVALUE($H517),VALUE($H517)))&gt;=100,INT(IF(ISNUMBER($H517),$H517,IFERROR(TIMEVALUE($H517),VALUE($H517)))/100)*60+MOD(IF(ISNUMBER($H517),$H517,IFERROR(TIMEVALUE($H517),VALUE($H517))),100),IF(IF(ISNUMBER($H517),$H517,IFERROR(TIMEVALUE($H517),VALUE($H517)))&gt;=1,ROUND(IF(ISNUMBER($H517),$H517,IFERROR(TIMEVALUE($H517),VALUE($H517)))*60,0),ROUND(MOD(IF(ISNUMBER($H517),$H517,IFERROR(TIMEVALUE($H517),VALUE($H517))),1)*1440,0))),""))</f>
        <v/>
      </c>
      <c r="W517" s="52" t="str">
        <f aca="false">IF($I517="","",IFERROR(IF(IF(ISNUMBER($I517),$I517,IFERROR(TIMEVALUE($I517),VALUE($I517)))&gt;=100,INT(IF(ISNUMBER($I517),$I517,IFERROR(TIMEVALUE($I517),VALUE($I517)))/100)*60+MOD(IF(ISNUMBER($I517),$I517,IFERROR(TIMEVALUE($I517),VALUE($I517))),100),IF(IF(ISNUMBER($I517),$I517,IFERROR(TIMEVALUE($I517),VALUE($I517)))&gt;=1,ROUND(IF(ISNUMBER($I517),$I517,IFERROR(TIMEVALUE($I517),VALUE($I517)))*60,0),ROUND(MOD(IF(ISNUMBER($I517),$I517,IFERROR(TIMEVALUE($I517),VALUE($I517))),1)*1440,0))),""))</f>
        <v/>
      </c>
      <c r="X517" s="55" t="str">
        <f aca="false">IF($P517="","",IFERROR(IF(ISNUMBER($P517),IF($P517&gt;19000000,DATE(INT($P517/10000),MOD(INT($P517/100),100),MOD($P517,100)),INT($P517)),IF(LEN(SUBSTITUTE(SUBSTITUTE(SUBSTITUTE(TRIM($P517),"-",""),".",""),"/",""))=8,DATE(VALUE(LEFT(SUBSTITUTE(SUBSTITUTE(SUBSTITUTE(TRIM($P517),"-",""),".",""),"/",""),4)),VALUE(MID(SUBSTITUTE(SUBSTITUTE(SUBSTITUTE(TRIM($P517),"-",""),".",""),"/",""),5,2)),VALUE(RIGHT(SUBSTITUTE(SUBSTITUTE(SUBSTITUTE(TRIM($P517),"-",""),".",""),"/",""),2))),DATEVALUE($P517))),""))</f>
        <v/>
      </c>
      <c r="Y517" s="56" t="str">
        <f aca="false">IF($M517="","",IFERROR(INDEX(강사DB!$D$4:$D$53,MATCH($M517,강사DB!$A$4:$A$53,0)),""))</f>
        <v/>
      </c>
      <c r="Z517" s="56" t="str">
        <f aca="false">IF($B517&lt;&gt;"결제완료","",IF(OR($Y517="",$J517=""),"",$Y517*$J517+MAX(0,N($K517)-1)*설정!$J$7))</f>
        <v/>
      </c>
      <c r="AA517" s="56" t="str">
        <f aca="false">IF(AND($D517&lt;&gt;"",$B517="결제완료"),N($N517),"")</f>
        <v/>
      </c>
      <c r="AB517" s="45" t="str">
        <f aca="false">IF($D517="","",IF($F517&lt;&gt;"",$F517,$D517)&amp;IF($B517="상담중"," (상담)",""))</f>
        <v/>
      </c>
      <c r="AC517" s="45" t="n">
        <f aca="false">IF(AND($D517&lt;&gt;"",OR($B517="결제완료",$B517="상담중")),1,0)</f>
        <v>0</v>
      </c>
      <c r="AD517" s="45" t="n">
        <f aca="false">IF(OR($Z517="",$U517=""),0,IFERROR(IF(COUNTIFS(INDEX(g_grid,0,2*MATCH($M517,강사DB!$A$4:$A$15,0)),"&lt;&gt;",g_s,"&lt;="&amp;$U517,g_e,"&gt;="&amp;$U517)&gt;0,1,0),0))</f>
        <v>0</v>
      </c>
      <c r="AE517" s="48"/>
      <c r="AF517" s="56" t="str">
        <f aca="false">IF(AND($D517&lt;&gt;"",$B517="결제완료",$T517="대여"),설정!$J$5,"")</f>
        <v/>
      </c>
      <c r="AG517" s="54" t="str">
        <f aca="false">IF($D517="","",IF(AND($E517="",$R517=""),$AB517,"☎ "&amp;IF($E517="","-",$E517)&amp;IF($R517&lt;&gt;"","  ※ "&amp;$R517,"")&amp;IF($B517="상담중"," (상담)","")))</f>
        <v/>
      </c>
      <c r="AH517" s="56" t="str">
        <f aca="false">IF(AND($D517&lt;&gt;"",$B517="결제완료",$O517="스마트스토어"),ROUND(N($N517)*설정!$J$6,0),"")</f>
        <v/>
      </c>
      <c r="AI517" s="54" t="str">
        <f aca="false">IF($D517="","",ROW())</f>
        <v/>
      </c>
      <c r="AJ517" s="54" t="n">
        <f aca="false">IF(OR($AC517&lt;&gt;1,$M517=""),0,IF(ISNUMBER(SEARCH("퇴사",IFERROR(INDEX(강사DB!$G$4:$G$53,MATCH($M517,강사DB!$A$4:$A$53,0)),""))),1,0))</f>
        <v>0</v>
      </c>
    </row>
    <row r="518" customFormat="false" ht="15" hidden="false" customHeight="false" outlineLevel="0" collapsed="false">
      <c r="A518" s="45" t="str">
        <f aca="false">IF($D518="","",COUNTA($D$5:$D518))</f>
        <v/>
      </c>
      <c r="B518" s="46"/>
      <c r="C518" s="47"/>
      <c r="D518" s="48"/>
      <c r="E518" s="48"/>
      <c r="F518" s="49"/>
      <c r="G518" s="47"/>
      <c r="H518" s="50"/>
      <c r="I518" s="50"/>
      <c r="J518" s="51" t="str">
        <f aca="false">IF(OR($V518="",$W518=""),"",ROUND(($W518-$V518)/60,2))</f>
        <v/>
      </c>
      <c r="K518" s="52" t="str">
        <f aca="false">IF($F518="","",LEN($F518)-LEN(SUBSTITUTE($F518,",",""))+1)</f>
        <v/>
      </c>
      <c r="L518" s="45" t="str">
        <f aca="false">IF($K518="","","1:"&amp;$K518)</f>
        <v/>
      </c>
      <c r="M518" s="46"/>
      <c r="N518" s="53"/>
      <c r="O518" s="46"/>
      <c r="P518" s="47"/>
      <c r="Q518" s="48"/>
      <c r="R518" s="49"/>
      <c r="S518" s="54" t="str">
        <f aca="false">IF(OR($AC518=0,$U518="",$M518="",$V518="",$W518=""),"",IF(COUNTIFS(m_teacher,$M518,m_date,$U518,m_active,1,m_start,"&lt;"&amp;$W518,m_end,"&gt;"&amp;$V518)&gt;1,"충돌",""))</f>
        <v/>
      </c>
      <c r="T518" s="48"/>
      <c r="U518" s="55" t="str">
        <f aca="false">IF($G518="","",IFERROR(IF(ISNUMBER($G518),IF($G518&gt;19000000,DATE(INT($G518/10000),MOD(INT($G518/100),100),MOD($G518,100)),INT($G518)),IF(LEN(SUBSTITUTE(SUBSTITUTE(SUBSTITUTE(TRIM($G518),"-",""),".",""),"/",""))=8,DATE(VALUE(LEFT(SUBSTITUTE(SUBSTITUTE(SUBSTITUTE(TRIM($G518),"-",""),".",""),"/",""),4)),VALUE(MID(SUBSTITUTE(SUBSTITUTE(SUBSTITUTE(TRIM($G518),"-",""),".",""),"/",""),5,2)),VALUE(RIGHT(SUBSTITUTE(SUBSTITUTE(SUBSTITUTE(TRIM($G518),"-",""),".",""),"/",""),2))),DATEVALUE($G518))),""))</f>
        <v/>
      </c>
      <c r="V518" s="52" t="str">
        <f aca="false">IF($H518="","",IFERROR(IF(IF(ISNUMBER($H518),$H518,IFERROR(TIMEVALUE($H518),VALUE($H518)))&gt;=100,INT(IF(ISNUMBER($H518),$H518,IFERROR(TIMEVALUE($H518),VALUE($H518)))/100)*60+MOD(IF(ISNUMBER($H518),$H518,IFERROR(TIMEVALUE($H518),VALUE($H518))),100),IF(IF(ISNUMBER($H518),$H518,IFERROR(TIMEVALUE($H518),VALUE($H518)))&gt;=1,ROUND(IF(ISNUMBER($H518),$H518,IFERROR(TIMEVALUE($H518),VALUE($H518)))*60,0),ROUND(MOD(IF(ISNUMBER($H518),$H518,IFERROR(TIMEVALUE($H518),VALUE($H518))),1)*1440,0))),""))</f>
        <v/>
      </c>
      <c r="W518" s="52" t="str">
        <f aca="false">IF($I518="","",IFERROR(IF(IF(ISNUMBER($I518),$I518,IFERROR(TIMEVALUE($I518),VALUE($I518)))&gt;=100,INT(IF(ISNUMBER($I518),$I518,IFERROR(TIMEVALUE($I518),VALUE($I518)))/100)*60+MOD(IF(ISNUMBER($I518),$I518,IFERROR(TIMEVALUE($I518),VALUE($I518))),100),IF(IF(ISNUMBER($I518),$I518,IFERROR(TIMEVALUE($I518),VALUE($I518)))&gt;=1,ROUND(IF(ISNUMBER($I518),$I518,IFERROR(TIMEVALUE($I518),VALUE($I518)))*60,0),ROUND(MOD(IF(ISNUMBER($I518),$I518,IFERROR(TIMEVALUE($I518),VALUE($I518))),1)*1440,0))),""))</f>
        <v/>
      </c>
      <c r="X518" s="55" t="str">
        <f aca="false">IF($P518="","",IFERROR(IF(ISNUMBER($P518),IF($P518&gt;19000000,DATE(INT($P518/10000),MOD(INT($P518/100),100),MOD($P518,100)),INT($P518)),IF(LEN(SUBSTITUTE(SUBSTITUTE(SUBSTITUTE(TRIM($P518),"-",""),".",""),"/",""))=8,DATE(VALUE(LEFT(SUBSTITUTE(SUBSTITUTE(SUBSTITUTE(TRIM($P518),"-",""),".",""),"/",""),4)),VALUE(MID(SUBSTITUTE(SUBSTITUTE(SUBSTITUTE(TRIM($P518),"-",""),".",""),"/",""),5,2)),VALUE(RIGHT(SUBSTITUTE(SUBSTITUTE(SUBSTITUTE(TRIM($P518),"-",""),".",""),"/",""),2))),DATEVALUE($P518))),""))</f>
        <v/>
      </c>
      <c r="Y518" s="56" t="str">
        <f aca="false">IF($M518="","",IFERROR(INDEX(강사DB!$D$4:$D$53,MATCH($M518,강사DB!$A$4:$A$53,0)),""))</f>
        <v/>
      </c>
      <c r="Z518" s="56" t="str">
        <f aca="false">IF($B518&lt;&gt;"결제완료","",IF(OR($Y518="",$J518=""),"",$Y518*$J518+MAX(0,N($K518)-1)*설정!$J$7))</f>
        <v/>
      </c>
      <c r="AA518" s="56" t="str">
        <f aca="false">IF(AND($D518&lt;&gt;"",$B518="결제완료"),N($N518),"")</f>
        <v/>
      </c>
      <c r="AB518" s="45" t="str">
        <f aca="false">IF($D518="","",IF($F518&lt;&gt;"",$F518,$D518)&amp;IF($B518="상담중"," (상담)",""))</f>
        <v/>
      </c>
      <c r="AC518" s="45" t="n">
        <f aca="false">IF(AND($D518&lt;&gt;"",OR($B518="결제완료",$B518="상담중")),1,0)</f>
        <v>0</v>
      </c>
      <c r="AD518" s="45" t="n">
        <f aca="false">IF(OR($Z518="",$U518=""),0,IFERROR(IF(COUNTIFS(INDEX(g_grid,0,2*MATCH($M518,강사DB!$A$4:$A$15,0)),"&lt;&gt;",g_s,"&lt;="&amp;$U518,g_e,"&gt;="&amp;$U518)&gt;0,1,0),0))</f>
        <v>0</v>
      </c>
      <c r="AE518" s="48"/>
      <c r="AF518" s="56" t="str">
        <f aca="false">IF(AND($D518&lt;&gt;"",$B518="결제완료",$T518="대여"),설정!$J$5,"")</f>
        <v/>
      </c>
      <c r="AG518" s="54" t="str">
        <f aca="false">IF($D518="","",IF(AND($E518="",$R518=""),$AB518,"☎ "&amp;IF($E518="","-",$E518)&amp;IF($R518&lt;&gt;"","  ※ "&amp;$R518,"")&amp;IF($B518="상담중"," (상담)","")))</f>
        <v/>
      </c>
      <c r="AH518" s="56" t="str">
        <f aca="false">IF(AND($D518&lt;&gt;"",$B518="결제완료",$O518="스마트스토어"),ROUND(N($N518)*설정!$J$6,0),"")</f>
        <v/>
      </c>
      <c r="AI518" s="54" t="str">
        <f aca="false">IF($D518="","",ROW())</f>
        <v/>
      </c>
      <c r="AJ518" s="54" t="n">
        <f aca="false">IF(OR($AC518&lt;&gt;1,$M518=""),0,IF(ISNUMBER(SEARCH("퇴사",IFERROR(INDEX(강사DB!$G$4:$G$53,MATCH($M518,강사DB!$A$4:$A$53,0)),""))),1,0))</f>
        <v>0</v>
      </c>
    </row>
    <row r="519" customFormat="false" ht="15" hidden="false" customHeight="false" outlineLevel="0" collapsed="false">
      <c r="A519" s="45" t="str">
        <f aca="false">IF($D519="","",COUNTA($D$5:$D519))</f>
        <v/>
      </c>
      <c r="B519" s="46"/>
      <c r="C519" s="47"/>
      <c r="D519" s="48"/>
      <c r="E519" s="48"/>
      <c r="F519" s="49"/>
      <c r="G519" s="47"/>
      <c r="H519" s="50"/>
      <c r="I519" s="50"/>
      <c r="J519" s="51" t="str">
        <f aca="false">IF(OR($V519="",$W519=""),"",ROUND(($W519-$V519)/60,2))</f>
        <v/>
      </c>
      <c r="K519" s="52" t="str">
        <f aca="false">IF($F519="","",LEN($F519)-LEN(SUBSTITUTE($F519,",",""))+1)</f>
        <v/>
      </c>
      <c r="L519" s="45" t="str">
        <f aca="false">IF($K519="","","1:"&amp;$K519)</f>
        <v/>
      </c>
      <c r="M519" s="46"/>
      <c r="N519" s="53"/>
      <c r="O519" s="46"/>
      <c r="P519" s="47"/>
      <c r="Q519" s="48"/>
      <c r="R519" s="49"/>
      <c r="S519" s="54" t="str">
        <f aca="false">IF(OR($AC519=0,$U519="",$M519="",$V519="",$W519=""),"",IF(COUNTIFS(m_teacher,$M519,m_date,$U519,m_active,1,m_start,"&lt;"&amp;$W519,m_end,"&gt;"&amp;$V519)&gt;1,"충돌",""))</f>
        <v/>
      </c>
      <c r="T519" s="48"/>
      <c r="U519" s="55" t="str">
        <f aca="false">IF($G519="","",IFERROR(IF(ISNUMBER($G519),IF($G519&gt;19000000,DATE(INT($G519/10000),MOD(INT($G519/100),100),MOD($G519,100)),INT($G519)),IF(LEN(SUBSTITUTE(SUBSTITUTE(SUBSTITUTE(TRIM($G519),"-",""),".",""),"/",""))=8,DATE(VALUE(LEFT(SUBSTITUTE(SUBSTITUTE(SUBSTITUTE(TRIM($G519),"-",""),".",""),"/",""),4)),VALUE(MID(SUBSTITUTE(SUBSTITUTE(SUBSTITUTE(TRIM($G519),"-",""),".",""),"/",""),5,2)),VALUE(RIGHT(SUBSTITUTE(SUBSTITUTE(SUBSTITUTE(TRIM($G519),"-",""),".",""),"/",""),2))),DATEVALUE($G519))),""))</f>
        <v/>
      </c>
      <c r="V519" s="52" t="str">
        <f aca="false">IF($H519="","",IFERROR(IF(IF(ISNUMBER($H519),$H519,IFERROR(TIMEVALUE($H519),VALUE($H519)))&gt;=100,INT(IF(ISNUMBER($H519),$H519,IFERROR(TIMEVALUE($H519),VALUE($H519)))/100)*60+MOD(IF(ISNUMBER($H519),$H519,IFERROR(TIMEVALUE($H519),VALUE($H519))),100),IF(IF(ISNUMBER($H519),$H519,IFERROR(TIMEVALUE($H519),VALUE($H519)))&gt;=1,ROUND(IF(ISNUMBER($H519),$H519,IFERROR(TIMEVALUE($H519),VALUE($H519)))*60,0),ROUND(MOD(IF(ISNUMBER($H519),$H519,IFERROR(TIMEVALUE($H519),VALUE($H519))),1)*1440,0))),""))</f>
        <v/>
      </c>
      <c r="W519" s="52" t="str">
        <f aca="false">IF($I519="","",IFERROR(IF(IF(ISNUMBER($I519),$I519,IFERROR(TIMEVALUE($I519),VALUE($I519)))&gt;=100,INT(IF(ISNUMBER($I519),$I519,IFERROR(TIMEVALUE($I519),VALUE($I519)))/100)*60+MOD(IF(ISNUMBER($I519),$I519,IFERROR(TIMEVALUE($I519),VALUE($I519))),100),IF(IF(ISNUMBER($I519),$I519,IFERROR(TIMEVALUE($I519),VALUE($I519)))&gt;=1,ROUND(IF(ISNUMBER($I519),$I519,IFERROR(TIMEVALUE($I519),VALUE($I519)))*60,0),ROUND(MOD(IF(ISNUMBER($I519),$I519,IFERROR(TIMEVALUE($I519),VALUE($I519))),1)*1440,0))),""))</f>
        <v/>
      </c>
      <c r="X519" s="55" t="str">
        <f aca="false">IF($P519="","",IFERROR(IF(ISNUMBER($P519),IF($P519&gt;19000000,DATE(INT($P519/10000),MOD(INT($P519/100),100),MOD($P519,100)),INT($P519)),IF(LEN(SUBSTITUTE(SUBSTITUTE(SUBSTITUTE(TRIM($P519),"-",""),".",""),"/",""))=8,DATE(VALUE(LEFT(SUBSTITUTE(SUBSTITUTE(SUBSTITUTE(TRIM($P519),"-",""),".",""),"/",""),4)),VALUE(MID(SUBSTITUTE(SUBSTITUTE(SUBSTITUTE(TRIM($P519),"-",""),".",""),"/",""),5,2)),VALUE(RIGHT(SUBSTITUTE(SUBSTITUTE(SUBSTITUTE(TRIM($P519),"-",""),".",""),"/",""),2))),DATEVALUE($P519))),""))</f>
        <v/>
      </c>
      <c r="Y519" s="56" t="str">
        <f aca="false">IF($M519="","",IFERROR(INDEX(강사DB!$D$4:$D$53,MATCH($M519,강사DB!$A$4:$A$53,0)),""))</f>
        <v/>
      </c>
      <c r="Z519" s="56" t="str">
        <f aca="false">IF($B519&lt;&gt;"결제완료","",IF(OR($Y519="",$J519=""),"",$Y519*$J519+MAX(0,N($K519)-1)*설정!$J$7))</f>
        <v/>
      </c>
      <c r="AA519" s="56" t="str">
        <f aca="false">IF(AND($D519&lt;&gt;"",$B519="결제완료"),N($N519),"")</f>
        <v/>
      </c>
      <c r="AB519" s="45" t="str">
        <f aca="false">IF($D519="","",IF($F519&lt;&gt;"",$F519,$D519)&amp;IF($B519="상담중"," (상담)",""))</f>
        <v/>
      </c>
      <c r="AC519" s="45" t="n">
        <f aca="false">IF(AND($D519&lt;&gt;"",OR($B519="결제완료",$B519="상담중")),1,0)</f>
        <v>0</v>
      </c>
      <c r="AD519" s="45" t="n">
        <f aca="false">IF(OR($Z519="",$U519=""),0,IFERROR(IF(COUNTIFS(INDEX(g_grid,0,2*MATCH($M519,강사DB!$A$4:$A$15,0)),"&lt;&gt;",g_s,"&lt;="&amp;$U519,g_e,"&gt;="&amp;$U519)&gt;0,1,0),0))</f>
        <v>0</v>
      </c>
      <c r="AE519" s="48"/>
      <c r="AF519" s="56" t="str">
        <f aca="false">IF(AND($D519&lt;&gt;"",$B519="결제완료",$T519="대여"),설정!$J$5,"")</f>
        <v/>
      </c>
      <c r="AG519" s="54" t="str">
        <f aca="false">IF($D519="","",IF(AND($E519="",$R519=""),$AB519,"☎ "&amp;IF($E519="","-",$E519)&amp;IF($R519&lt;&gt;"","  ※ "&amp;$R519,"")&amp;IF($B519="상담중"," (상담)","")))</f>
        <v/>
      </c>
      <c r="AH519" s="56" t="str">
        <f aca="false">IF(AND($D519&lt;&gt;"",$B519="결제완료",$O519="스마트스토어"),ROUND(N($N519)*설정!$J$6,0),"")</f>
        <v/>
      </c>
      <c r="AI519" s="54" t="str">
        <f aca="false">IF($D519="","",ROW())</f>
        <v/>
      </c>
      <c r="AJ519" s="54" t="n">
        <f aca="false">IF(OR($AC519&lt;&gt;1,$M519=""),0,IF(ISNUMBER(SEARCH("퇴사",IFERROR(INDEX(강사DB!$G$4:$G$53,MATCH($M519,강사DB!$A$4:$A$53,0)),""))),1,0))</f>
        <v>0</v>
      </c>
    </row>
    <row r="520" customFormat="false" ht="15" hidden="false" customHeight="false" outlineLevel="0" collapsed="false">
      <c r="A520" s="45" t="str">
        <f aca="false">IF($D520="","",COUNTA($D$5:$D520))</f>
        <v/>
      </c>
      <c r="B520" s="46"/>
      <c r="C520" s="47"/>
      <c r="D520" s="48"/>
      <c r="E520" s="48"/>
      <c r="F520" s="49"/>
      <c r="G520" s="47"/>
      <c r="H520" s="50"/>
      <c r="I520" s="50"/>
      <c r="J520" s="51" t="str">
        <f aca="false">IF(OR($V520="",$W520=""),"",ROUND(($W520-$V520)/60,2))</f>
        <v/>
      </c>
      <c r="K520" s="52" t="str">
        <f aca="false">IF($F520="","",LEN($F520)-LEN(SUBSTITUTE($F520,",",""))+1)</f>
        <v/>
      </c>
      <c r="L520" s="45" t="str">
        <f aca="false">IF($K520="","","1:"&amp;$K520)</f>
        <v/>
      </c>
      <c r="M520" s="46"/>
      <c r="N520" s="53"/>
      <c r="O520" s="46"/>
      <c r="P520" s="47"/>
      <c r="Q520" s="48"/>
      <c r="R520" s="49"/>
      <c r="S520" s="54" t="str">
        <f aca="false">IF(OR($AC520=0,$U520="",$M520="",$V520="",$W520=""),"",IF(COUNTIFS(m_teacher,$M520,m_date,$U520,m_active,1,m_start,"&lt;"&amp;$W520,m_end,"&gt;"&amp;$V520)&gt;1,"충돌",""))</f>
        <v/>
      </c>
      <c r="T520" s="48"/>
      <c r="U520" s="55" t="str">
        <f aca="false">IF($G520="","",IFERROR(IF(ISNUMBER($G520),IF($G520&gt;19000000,DATE(INT($G520/10000),MOD(INT($G520/100),100),MOD($G520,100)),INT($G520)),IF(LEN(SUBSTITUTE(SUBSTITUTE(SUBSTITUTE(TRIM($G520),"-",""),".",""),"/",""))=8,DATE(VALUE(LEFT(SUBSTITUTE(SUBSTITUTE(SUBSTITUTE(TRIM($G520),"-",""),".",""),"/",""),4)),VALUE(MID(SUBSTITUTE(SUBSTITUTE(SUBSTITUTE(TRIM($G520),"-",""),".",""),"/",""),5,2)),VALUE(RIGHT(SUBSTITUTE(SUBSTITUTE(SUBSTITUTE(TRIM($G520),"-",""),".",""),"/",""),2))),DATEVALUE($G520))),""))</f>
        <v/>
      </c>
      <c r="V520" s="52" t="str">
        <f aca="false">IF($H520="","",IFERROR(IF(IF(ISNUMBER($H520),$H520,IFERROR(TIMEVALUE($H520),VALUE($H520)))&gt;=100,INT(IF(ISNUMBER($H520),$H520,IFERROR(TIMEVALUE($H520),VALUE($H520)))/100)*60+MOD(IF(ISNUMBER($H520),$H520,IFERROR(TIMEVALUE($H520),VALUE($H520))),100),IF(IF(ISNUMBER($H520),$H520,IFERROR(TIMEVALUE($H520),VALUE($H520)))&gt;=1,ROUND(IF(ISNUMBER($H520),$H520,IFERROR(TIMEVALUE($H520),VALUE($H520)))*60,0),ROUND(MOD(IF(ISNUMBER($H520),$H520,IFERROR(TIMEVALUE($H520),VALUE($H520))),1)*1440,0))),""))</f>
        <v/>
      </c>
      <c r="W520" s="52" t="str">
        <f aca="false">IF($I520="","",IFERROR(IF(IF(ISNUMBER($I520),$I520,IFERROR(TIMEVALUE($I520),VALUE($I520)))&gt;=100,INT(IF(ISNUMBER($I520),$I520,IFERROR(TIMEVALUE($I520),VALUE($I520)))/100)*60+MOD(IF(ISNUMBER($I520),$I520,IFERROR(TIMEVALUE($I520),VALUE($I520))),100),IF(IF(ISNUMBER($I520),$I520,IFERROR(TIMEVALUE($I520),VALUE($I520)))&gt;=1,ROUND(IF(ISNUMBER($I520),$I520,IFERROR(TIMEVALUE($I520),VALUE($I520)))*60,0),ROUND(MOD(IF(ISNUMBER($I520),$I520,IFERROR(TIMEVALUE($I520),VALUE($I520))),1)*1440,0))),""))</f>
        <v/>
      </c>
      <c r="X520" s="55" t="str">
        <f aca="false">IF($P520="","",IFERROR(IF(ISNUMBER($P520),IF($P520&gt;19000000,DATE(INT($P520/10000),MOD(INT($P520/100),100),MOD($P520,100)),INT($P520)),IF(LEN(SUBSTITUTE(SUBSTITUTE(SUBSTITUTE(TRIM($P520),"-",""),".",""),"/",""))=8,DATE(VALUE(LEFT(SUBSTITUTE(SUBSTITUTE(SUBSTITUTE(TRIM($P520),"-",""),".",""),"/",""),4)),VALUE(MID(SUBSTITUTE(SUBSTITUTE(SUBSTITUTE(TRIM($P520),"-",""),".",""),"/",""),5,2)),VALUE(RIGHT(SUBSTITUTE(SUBSTITUTE(SUBSTITUTE(TRIM($P520),"-",""),".",""),"/",""),2))),DATEVALUE($P520))),""))</f>
        <v/>
      </c>
      <c r="Y520" s="56" t="str">
        <f aca="false">IF($M520="","",IFERROR(INDEX(강사DB!$D$4:$D$53,MATCH($M520,강사DB!$A$4:$A$53,0)),""))</f>
        <v/>
      </c>
      <c r="Z520" s="56" t="str">
        <f aca="false">IF($B520&lt;&gt;"결제완료","",IF(OR($Y520="",$J520=""),"",$Y520*$J520+MAX(0,N($K520)-1)*설정!$J$7))</f>
        <v/>
      </c>
      <c r="AA520" s="56" t="str">
        <f aca="false">IF(AND($D520&lt;&gt;"",$B520="결제완료"),N($N520),"")</f>
        <v/>
      </c>
      <c r="AB520" s="45" t="str">
        <f aca="false">IF($D520="","",IF($F520&lt;&gt;"",$F520,$D520)&amp;IF($B520="상담중"," (상담)",""))</f>
        <v/>
      </c>
      <c r="AC520" s="45" t="n">
        <f aca="false">IF(AND($D520&lt;&gt;"",OR($B520="결제완료",$B520="상담중")),1,0)</f>
        <v>0</v>
      </c>
      <c r="AD520" s="45" t="n">
        <f aca="false">IF(OR($Z520="",$U520=""),0,IFERROR(IF(COUNTIFS(INDEX(g_grid,0,2*MATCH($M520,강사DB!$A$4:$A$15,0)),"&lt;&gt;",g_s,"&lt;="&amp;$U520,g_e,"&gt;="&amp;$U520)&gt;0,1,0),0))</f>
        <v>0</v>
      </c>
      <c r="AE520" s="48"/>
      <c r="AF520" s="56" t="str">
        <f aca="false">IF(AND($D520&lt;&gt;"",$B520="결제완료",$T520="대여"),설정!$J$5,"")</f>
        <v/>
      </c>
      <c r="AG520" s="54" t="str">
        <f aca="false">IF($D520="","",IF(AND($E520="",$R520=""),$AB520,"☎ "&amp;IF($E520="","-",$E520)&amp;IF($R520&lt;&gt;"","  ※ "&amp;$R520,"")&amp;IF($B520="상담중"," (상담)","")))</f>
        <v/>
      </c>
      <c r="AH520" s="56" t="str">
        <f aca="false">IF(AND($D520&lt;&gt;"",$B520="결제완료",$O520="스마트스토어"),ROUND(N($N520)*설정!$J$6,0),"")</f>
        <v/>
      </c>
      <c r="AI520" s="54" t="str">
        <f aca="false">IF($D520="","",ROW())</f>
        <v/>
      </c>
      <c r="AJ520" s="54" t="n">
        <f aca="false">IF(OR($AC520&lt;&gt;1,$M520=""),0,IF(ISNUMBER(SEARCH("퇴사",IFERROR(INDEX(강사DB!$G$4:$G$53,MATCH($M520,강사DB!$A$4:$A$53,0)),""))),1,0))</f>
        <v>0</v>
      </c>
    </row>
    <row r="521" customFormat="false" ht="15" hidden="false" customHeight="false" outlineLevel="0" collapsed="false">
      <c r="A521" s="45" t="str">
        <f aca="false">IF($D521="","",COUNTA($D$5:$D521))</f>
        <v/>
      </c>
      <c r="B521" s="46"/>
      <c r="C521" s="47"/>
      <c r="D521" s="48"/>
      <c r="E521" s="48"/>
      <c r="F521" s="49"/>
      <c r="G521" s="47"/>
      <c r="H521" s="50"/>
      <c r="I521" s="50"/>
      <c r="J521" s="51" t="str">
        <f aca="false">IF(OR($V521="",$W521=""),"",ROUND(($W521-$V521)/60,2))</f>
        <v/>
      </c>
      <c r="K521" s="52" t="str">
        <f aca="false">IF($F521="","",LEN($F521)-LEN(SUBSTITUTE($F521,",",""))+1)</f>
        <v/>
      </c>
      <c r="L521" s="45" t="str">
        <f aca="false">IF($K521="","","1:"&amp;$K521)</f>
        <v/>
      </c>
      <c r="M521" s="46"/>
      <c r="N521" s="53"/>
      <c r="O521" s="46"/>
      <c r="P521" s="47"/>
      <c r="Q521" s="48"/>
      <c r="R521" s="49"/>
      <c r="S521" s="54" t="str">
        <f aca="false">IF(OR($AC521=0,$U521="",$M521="",$V521="",$W521=""),"",IF(COUNTIFS(m_teacher,$M521,m_date,$U521,m_active,1,m_start,"&lt;"&amp;$W521,m_end,"&gt;"&amp;$V521)&gt;1,"충돌",""))</f>
        <v/>
      </c>
      <c r="T521" s="48"/>
      <c r="U521" s="55" t="str">
        <f aca="false">IF($G521="","",IFERROR(IF(ISNUMBER($G521),IF($G521&gt;19000000,DATE(INT($G521/10000),MOD(INT($G521/100),100),MOD($G521,100)),INT($G521)),IF(LEN(SUBSTITUTE(SUBSTITUTE(SUBSTITUTE(TRIM($G521),"-",""),".",""),"/",""))=8,DATE(VALUE(LEFT(SUBSTITUTE(SUBSTITUTE(SUBSTITUTE(TRIM($G521),"-",""),".",""),"/",""),4)),VALUE(MID(SUBSTITUTE(SUBSTITUTE(SUBSTITUTE(TRIM($G521),"-",""),".",""),"/",""),5,2)),VALUE(RIGHT(SUBSTITUTE(SUBSTITUTE(SUBSTITUTE(TRIM($G521),"-",""),".",""),"/",""),2))),DATEVALUE($G521))),""))</f>
        <v/>
      </c>
      <c r="V521" s="52" t="str">
        <f aca="false">IF($H521="","",IFERROR(IF(IF(ISNUMBER($H521),$H521,IFERROR(TIMEVALUE($H521),VALUE($H521)))&gt;=100,INT(IF(ISNUMBER($H521),$H521,IFERROR(TIMEVALUE($H521),VALUE($H521)))/100)*60+MOD(IF(ISNUMBER($H521),$H521,IFERROR(TIMEVALUE($H521),VALUE($H521))),100),IF(IF(ISNUMBER($H521),$H521,IFERROR(TIMEVALUE($H521),VALUE($H521)))&gt;=1,ROUND(IF(ISNUMBER($H521),$H521,IFERROR(TIMEVALUE($H521),VALUE($H521)))*60,0),ROUND(MOD(IF(ISNUMBER($H521),$H521,IFERROR(TIMEVALUE($H521),VALUE($H521))),1)*1440,0))),""))</f>
        <v/>
      </c>
      <c r="W521" s="52" t="str">
        <f aca="false">IF($I521="","",IFERROR(IF(IF(ISNUMBER($I521),$I521,IFERROR(TIMEVALUE($I521),VALUE($I521)))&gt;=100,INT(IF(ISNUMBER($I521),$I521,IFERROR(TIMEVALUE($I521),VALUE($I521)))/100)*60+MOD(IF(ISNUMBER($I521),$I521,IFERROR(TIMEVALUE($I521),VALUE($I521))),100),IF(IF(ISNUMBER($I521),$I521,IFERROR(TIMEVALUE($I521),VALUE($I521)))&gt;=1,ROUND(IF(ISNUMBER($I521),$I521,IFERROR(TIMEVALUE($I521),VALUE($I521)))*60,0),ROUND(MOD(IF(ISNUMBER($I521),$I521,IFERROR(TIMEVALUE($I521),VALUE($I521))),1)*1440,0))),""))</f>
        <v/>
      </c>
      <c r="X521" s="55" t="str">
        <f aca="false">IF($P521="","",IFERROR(IF(ISNUMBER($P521),IF($P521&gt;19000000,DATE(INT($P521/10000),MOD(INT($P521/100),100),MOD($P521,100)),INT($P521)),IF(LEN(SUBSTITUTE(SUBSTITUTE(SUBSTITUTE(TRIM($P521),"-",""),".",""),"/",""))=8,DATE(VALUE(LEFT(SUBSTITUTE(SUBSTITUTE(SUBSTITUTE(TRIM($P521),"-",""),".",""),"/",""),4)),VALUE(MID(SUBSTITUTE(SUBSTITUTE(SUBSTITUTE(TRIM($P521),"-",""),".",""),"/",""),5,2)),VALUE(RIGHT(SUBSTITUTE(SUBSTITUTE(SUBSTITUTE(TRIM($P521),"-",""),".",""),"/",""),2))),DATEVALUE($P521))),""))</f>
        <v/>
      </c>
      <c r="Y521" s="56" t="str">
        <f aca="false">IF($M521="","",IFERROR(INDEX(강사DB!$D$4:$D$53,MATCH($M521,강사DB!$A$4:$A$53,0)),""))</f>
        <v/>
      </c>
      <c r="Z521" s="56" t="str">
        <f aca="false">IF($B521&lt;&gt;"결제완료","",IF(OR($Y521="",$J521=""),"",$Y521*$J521+MAX(0,N($K521)-1)*설정!$J$7))</f>
        <v/>
      </c>
      <c r="AA521" s="56" t="str">
        <f aca="false">IF(AND($D521&lt;&gt;"",$B521="결제완료"),N($N521),"")</f>
        <v/>
      </c>
      <c r="AB521" s="45" t="str">
        <f aca="false">IF($D521="","",IF($F521&lt;&gt;"",$F521,$D521)&amp;IF($B521="상담중"," (상담)",""))</f>
        <v/>
      </c>
      <c r="AC521" s="45" t="n">
        <f aca="false">IF(AND($D521&lt;&gt;"",OR($B521="결제완료",$B521="상담중")),1,0)</f>
        <v>0</v>
      </c>
      <c r="AD521" s="45" t="n">
        <f aca="false">IF(OR($Z521="",$U521=""),0,IFERROR(IF(COUNTIFS(INDEX(g_grid,0,2*MATCH($M521,강사DB!$A$4:$A$15,0)),"&lt;&gt;",g_s,"&lt;="&amp;$U521,g_e,"&gt;="&amp;$U521)&gt;0,1,0),0))</f>
        <v>0</v>
      </c>
      <c r="AE521" s="48"/>
      <c r="AF521" s="56" t="str">
        <f aca="false">IF(AND($D521&lt;&gt;"",$B521="결제완료",$T521="대여"),설정!$J$5,"")</f>
        <v/>
      </c>
      <c r="AG521" s="54" t="str">
        <f aca="false">IF($D521="","",IF(AND($E521="",$R521=""),$AB521,"☎ "&amp;IF($E521="","-",$E521)&amp;IF($R521&lt;&gt;"","  ※ "&amp;$R521,"")&amp;IF($B521="상담중"," (상담)","")))</f>
        <v/>
      </c>
      <c r="AH521" s="56" t="str">
        <f aca="false">IF(AND($D521&lt;&gt;"",$B521="결제완료",$O521="스마트스토어"),ROUND(N($N521)*설정!$J$6,0),"")</f>
        <v/>
      </c>
      <c r="AI521" s="54" t="str">
        <f aca="false">IF($D521="","",ROW())</f>
        <v/>
      </c>
      <c r="AJ521" s="54" t="n">
        <f aca="false">IF(OR($AC521&lt;&gt;1,$M521=""),0,IF(ISNUMBER(SEARCH("퇴사",IFERROR(INDEX(강사DB!$G$4:$G$53,MATCH($M521,강사DB!$A$4:$A$53,0)),""))),1,0))</f>
        <v>0</v>
      </c>
    </row>
    <row r="522" customFormat="false" ht="15" hidden="false" customHeight="false" outlineLevel="0" collapsed="false">
      <c r="A522" s="45" t="str">
        <f aca="false">IF($D522="","",COUNTA($D$5:$D522))</f>
        <v/>
      </c>
      <c r="B522" s="46"/>
      <c r="C522" s="47"/>
      <c r="D522" s="48"/>
      <c r="E522" s="48"/>
      <c r="F522" s="49"/>
      <c r="G522" s="47"/>
      <c r="H522" s="50"/>
      <c r="I522" s="50"/>
      <c r="J522" s="51" t="str">
        <f aca="false">IF(OR($V522="",$W522=""),"",ROUND(($W522-$V522)/60,2))</f>
        <v/>
      </c>
      <c r="K522" s="52" t="str">
        <f aca="false">IF($F522="","",LEN($F522)-LEN(SUBSTITUTE($F522,",",""))+1)</f>
        <v/>
      </c>
      <c r="L522" s="45" t="str">
        <f aca="false">IF($K522="","","1:"&amp;$K522)</f>
        <v/>
      </c>
      <c r="M522" s="46"/>
      <c r="N522" s="53"/>
      <c r="O522" s="46"/>
      <c r="P522" s="47"/>
      <c r="Q522" s="48"/>
      <c r="R522" s="49"/>
      <c r="S522" s="54" t="str">
        <f aca="false">IF(OR($AC522=0,$U522="",$M522="",$V522="",$W522=""),"",IF(COUNTIFS(m_teacher,$M522,m_date,$U522,m_active,1,m_start,"&lt;"&amp;$W522,m_end,"&gt;"&amp;$V522)&gt;1,"충돌",""))</f>
        <v/>
      </c>
      <c r="T522" s="48"/>
      <c r="U522" s="55" t="str">
        <f aca="false">IF($G522="","",IFERROR(IF(ISNUMBER($G522),IF($G522&gt;19000000,DATE(INT($G522/10000),MOD(INT($G522/100),100),MOD($G522,100)),INT($G522)),IF(LEN(SUBSTITUTE(SUBSTITUTE(SUBSTITUTE(TRIM($G522),"-",""),".",""),"/",""))=8,DATE(VALUE(LEFT(SUBSTITUTE(SUBSTITUTE(SUBSTITUTE(TRIM($G522),"-",""),".",""),"/",""),4)),VALUE(MID(SUBSTITUTE(SUBSTITUTE(SUBSTITUTE(TRIM($G522),"-",""),".",""),"/",""),5,2)),VALUE(RIGHT(SUBSTITUTE(SUBSTITUTE(SUBSTITUTE(TRIM($G522),"-",""),".",""),"/",""),2))),DATEVALUE($G522))),""))</f>
        <v/>
      </c>
      <c r="V522" s="52" t="str">
        <f aca="false">IF($H522="","",IFERROR(IF(IF(ISNUMBER($H522),$H522,IFERROR(TIMEVALUE($H522),VALUE($H522)))&gt;=100,INT(IF(ISNUMBER($H522),$H522,IFERROR(TIMEVALUE($H522),VALUE($H522)))/100)*60+MOD(IF(ISNUMBER($H522),$H522,IFERROR(TIMEVALUE($H522),VALUE($H522))),100),IF(IF(ISNUMBER($H522),$H522,IFERROR(TIMEVALUE($H522),VALUE($H522)))&gt;=1,ROUND(IF(ISNUMBER($H522),$H522,IFERROR(TIMEVALUE($H522),VALUE($H522)))*60,0),ROUND(MOD(IF(ISNUMBER($H522),$H522,IFERROR(TIMEVALUE($H522),VALUE($H522))),1)*1440,0))),""))</f>
        <v/>
      </c>
      <c r="W522" s="52" t="str">
        <f aca="false">IF($I522="","",IFERROR(IF(IF(ISNUMBER($I522),$I522,IFERROR(TIMEVALUE($I522),VALUE($I522)))&gt;=100,INT(IF(ISNUMBER($I522),$I522,IFERROR(TIMEVALUE($I522),VALUE($I522)))/100)*60+MOD(IF(ISNUMBER($I522),$I522,IFERROR(TIMEVALUE($I522),VALUE($I522))),100),IF(IF(ISNUMBER($I522),$I522,IFERROR(TIMEVALUE($I522),VALUE($I522)))&gt;=1,ROUND(IF(ISNUMBER($I522),$I522,IFERROR(TIMEVALUE($I522),VALUE($I522)))*60,0),ROUND(MOD(IF(ISNUMBER($I522),$I522,IFERROR(TIMEVALUE($I522),VALUE($I522))),1)*1440,0))),""))</f>
        <v/>
      </c>
      <c r="X522" s="55" t="str">
        <f aca="false">IF($P522="","",IFERROR(IF(ISNUMBER($P522),IF($P522&gt;19000000,DATE(INT($P522/10000),MOD(INT($P522/100),100),MOD($P522,100)),INT($P522)),IF(LEN(SUBSTITUTE(SUBSTITUTE(SUBSTITUTE(TRIM($P522),"-",""),".",""),"/",""))=8,DATE(VALUE(LEFT(SUBSTITUTE(SUBSTITUTE(SUBSTITUTE(TRIM($P522),"-",""),".",""),"/",""),4)),VALUE(MID(SUBSTITUTE(SUBSTITUTE(SUBSTITUTE(TRIM($P522),"-",""),".",""),"/",""),5,2)),VALUE(RIGHT(SUBSTITUTE(SUBSTITUTE(SUBSTITUTE(TRIM($P522),"-",""),".",""),"/",""),2))),DATEVALUE($P522))),""))</f>
        <v/>
      </c>
      <c r="Y522" s="56" t="str">
        <f aca="false">IF($M522="","",IFERROR(INDEX(강사DB!$D$4:$D$53,MATCH($M522,강사DB!$A$4:$A$53,0)),""))</f>
        <v/>
      </c>
      <c r="Z522" s="56" t="str">
        <f aca="false">IF($B522&lt;&gt;"결제완료","",IF(OR($Y522="",$J522=""),"",$Y522*$J522+MAX(0,N($K522)-1)*설정!$J$7))</f>
        <v/>
      </c>
      <c r="AA522" s="56" t="str">
        <f aca="false">IF(AND($D522&lt;&gt;"",$B522="결제완료"),N($N522),"")</f>
        <v/>
      </c>
      <c r="AB522" s="45" t="str">
        <f aca="false">IF($D522="","",IF($F522&lt;&gt;"",$F522,$D522)&amp;IF($B522="상담중"," (상담)",""))</f>
        <v/>
      </c>
      <c r="AC522" s="45" t="n">
        <f aca="false">IF(AND($D522&lt;&gt;"",OR($B522="결제완료",$B522="상담중")),1,0)</f>
        <v>0</v>
      </c>
      <c r="AD522" s="45" t="n">
        <f aca="false">IF(OR($Z522="",$U522=""),0,IFERROR(IF(COUNTIFS(INDEX(g_grid,0,2*MATCH($M522,강사DB!$A$4:$A$15,0)),"&lt;&gt;",g_s,"&lt;="&amp;$U522,g_e,"&gt;="&amp;$U522)&gt;0,1,0),0))</f>
        <v>0</v>
      </c>
      <c r="AE522" s="48"/>
      <c r="AF522" s="56" t="str">
        <f aca="false">IF(AND($D522&lt;&gt;"",$B522="결제완료",$T522="대여"),설정!$J$5,"")</f>
        <v/>
      </c>
      <c r="AG522" s="54" t="str">
        <f aca="false">IF($D522="","",IF(AND($E522="",$R522=""),$AB522,"☎ "&amp;IF($E522="","-",$E522)&amp;IF($R522&lt;&gt;"","  ※ "&amp;$R522,"")&amp;IF($B522="상담중"," (상담)","")))</f>
        <v/>
      </c>
      <c r="AH522" s="56" t="str">
        <f aca="false">IF(AND($D522&lt;&gt;"",$B522="결제완료",$O522="스마트스토어"),ROUND(N($N522)*설정!$J$6,0),"")</f>
        <v/>
      </c>
      <c r="AI522" s="54" t="str">
        <f aca="false">IF($D522="","",ROW())</f>
        <v/>
      </c>
      <c r="AJ522" s="54" t="n">
        <f aca="false">IF(OR($AC522&lt;&gt;1,$M522=""),0,IF(ISNUMBER(SEARCH("퇴사",IFERROR(INDEX(강사DB!$G$4:$G$53,MATCH($M522,강사DB!$A$4:$A$53,0)),""))),1,0))</f>
        <v>0</v>
      </c>
    </row>
    <row r="523" customFormat="false" ht="15" hidden="false" customHeight="false" outlineLevel="0" collapsed="false">
      <c r="A523" s="45" t="str">
        <f aca="false">IF($D523="","",COUNTA($D$5:$D523))</f>
        <v/>
      </c>
      <c r="B523" s="46"/>
      <c r="C523" s="47"/>
      <c r="D523" s="48"/>
      <c r="E523" s="48"/>
      <c r="F523" s="49"/>
      <c r="G523" s="47"/>
      <c r="H523" s="50"/>
      <c r="I523" s="50"/>
      <c r="J523" s="51" t="str">
        <f aca="false">IF(OR($V523="",$W523=""),"",ROUND(($W523-$V523)/60,2))</f>
        <v/>
      </c>
      <c r="K523" s="52" t="str">
        <f aca="false">IF($F523="","",LEN($F523)-LEN(SUBSTITUTE($F523,",",""))+1)</f>
        <v/>
      </c>
      <c r="L523" s="45" t="str">
        <f aca="false">IF($K523="","","1:"&amp;$K523)</f>
        <v/>
      </c>
      <c r="M523" s="46"/>
      <c r="N523" s="53"/>
      <c r="O523" s="46"/>
      <c r="P523" s="47"/>
      <c r="Q523" s="48"/>
      <c r="R523" s="49"/>
      <c r="S523" s="54" t="str">
        <f aca="false">IF(OR($AC523=0,$U523="",$M523="",$V523="",$W523=""),"",IF(COUNTIFS(m_teacher,$M523,m_date,$U523,m_active,1,m_start,"&lt;"&amp;$W523,m_end,"&gt;"&amp;$V523)&gt;1,"충돌",""))</f>
        <v/>
      </c>
      <c r="T523" s="48"/>
      <c r="U523" s="55" t="str">
        <f aca="false">IF($G523="","",IFERROR(IF(ISNUMBER($G523),IF($G523&gt;19000000,DATE(INT($G523/10000),MOD(INT($G523/100),100),MOD($G523,100)),INT($G523)),IF(LEN(SUBSTITUTE(SUBSTITUTE(SUBSTITUTE(TRIM($G523),"-",""),".",""),"/",""))=8,DATE(VALUE(LEFT(SUBSTITUTE(SUBSTITUTE(SUBSTITUTE(TRIM($G523),"-",""),".",""),"/",""),4)),VALUE(MID(SUBSTITUTE(SUBSTITUTE(SUBSTITUTE(TRIM($G523),"-",""),".",""),"/",""),5,2)),VALUE(RIGHT(SUBSTITUTE(SUBSTITUTE(SUBSTITUTE(TRIM($G523),"-",""),".",""),"/",""),2))),DATEVALUE($G523))),""))</f>
        <v/>
      </c>
      <c r="V523" s="52" t="str">
        <f aca="false">IF($H523="","",IFERROR(IF(IF(ISNUMBER($H523),$H523,IFERROR(TIMEVALUE($H523),VALUE($H523)))&gt;=100,INT(IF(ISNUMBER($H523),$H523,IFERROR(TIMEVALUE($H523),VALUE($H523)))/100)*60+MOD(IF(ISNUMBER($H523),$H523,IFERROR(TIMEVALUE($H523),VALUE($H523))),100),IF(IF(ISNUMBER($H523),$H523,IFERROR(TIMEVALUE($H523),VALUE($H523)))&gt;=1,ROUND(IF(ISNUMBER($H523),$H523,IFERROR(TIMEVALUE($H523),VALUE($H523)))*60,0),ROUND(MOD(IF(ISNUMBER($H523),$H523,IFERROR(TIMEVALUE($H523),VALUE($H523))),1)*1440,0))),""))</f>
        <v/>
      </c>
      <c r="W523" s="52" t="str">
        <f aca="false">IF($I523="","",IFERROR(IF(IF(ISNUMBER($I523),$I523,IFERROR(TIMEVALUE($I523),VALUE($I523)))&gt;=100,INT(IF(ISNUMBER($I523),$I523,IFERROR(TIMEVALUE($I523),VALUE($I523)))/100)*60+MOD(IF(ISNUMBER($I523),$I523,IFERROR(TIMEVALUE($I523),VALUE($I523))),100),IF(IF(ISNUMBER($I523),$I523,IFERROR(TIMEVALUE($I523),VALUE($I523)))&gt;=1,ROUND(IF(ISNUMBER($I523),$I523,IFERROR(TIMEVALUE($I523),VALUE($I523)))*60,0),ROUND(MOD(IF(ISNUMBER($I523),$I523,IFERROR(TIMEVALUE($I523),VALUE($I523))),1)*1440,0))),""))</f>
        <v/>
      </c>
      <c r="X523" s="55" t="str">
        <f aca="false">IF($P523="","",IFERROR(IF(ISNUMBER($P523),IF($P523&gt;19000000,DATE(INT($P523/10000),MOD(INT($P523/100),100),MOD($P523,100)),INT($P523)),IF(LEN(SUBSTITUTE(SUBSTITUTE(SUBSTITUTE(TRIM($P523),"-",""),".",""),"/",""))=8,DATE(VALUE(LEFT(SUBSTITUTE(SUBSTITUTE(SUBSTITUTE(TRIM($P523),"-",""),".",""),"/",""),4)),VALUE(MID(SUBSTITUTE(SUBSTITUTE(SUBSTITUTE(TRIM($P523),"-",""),".",""),"/",""),5,2)),VALUE(RIGHT(SUBSTITUTE(SUBSTITUTE(SUBSTITUTE(TRIM($P523),"-",""),".",""),"/",""),2))),DATEVALUE($P523))),""))</f>
        <v/>
      </c>
      <c r="Y523" s="56" t="str">
        <f aca="false">IF($M523="","",IFERROR(INDEX(강사DB!$D$4:$D$53,MATCH($M523,강사DB!$A$4:$A$53,0)),""))</f>
        <v/>
      </c>
      <c r="Z523" s="56" t="str">
        <f aca="false">IF($B523&lt;&gt;"결제완료","",IF(OR($Y523="",$J523=""),"",$Y523*$J523+MAX(0,N($K523)-1)*설정!$J$7))</f>
        <v/>
      </c>
      <c r="AA523" s="56" t="str">
        <f aca="false">IF(AND($D523&lt;&gt;"",$B523="결제완료"),N($N523),"")</f>
        <v/>
      </c>
      <c r="AB523" s="45" t="str">
        <f aca="false">IF($D523="","",IF($F523&lt;&gt;"",$F523,$D523)&amp;IF($B523="상담중"," (상담)",""))</f>
        <v/>
      </c>
      <c r="AC523" s="45" t="n">
        <f aca="false">IF(AND($D523&lt;&gt;"",OR($B523="결제완료",$B523="상담중")),1,0)</f>
        <v>0</v>
      </c>
      <c r="AD523" s="45" t="n">
        <f aca="false">IF(OR($Z523="",$U523=""),0,IFERROR(IF(COUNTIFS(INDEX(g_grid,0,2*MATCH($M523,강사DB!$A$4:$A$15,0)),"&lt;&gt;",g_s,"&lt;="&amp;$U523,g_e,"&gt;="&amp;$U523)&gt;0,1,0),0))</f>
        <v>0</v>
      </c>
      <c r="AE523" s="48"/>
      <c r="AF523" s="56" t="str">
        <f aca="false">IF(AND($D523&lt;&gt;"",$B523="결제완료",$T523="대여"),설정!$J$5,"")</f>
        <v/>
      </c>
      <c r="AG523" s="54" t="str">
        <f aca="false">IF($D523="","",IF(AND($E523="",$R523=""),$AB523,"☎ "&amp;IF($E523="","-",$E523)&amp;IF($R523&lt;&gt;"","  ※ "&amp;$R523,"")&amp;IF($B523="상담중"," (상담)","")))</f>
        <v/>
      </c>
      <c r="AH523" s="56" t="str">
        <f aca="false">IF(AND($D523&lt;&gt;"",$B523="결제완료",$O523="스마트스토어"),ROUND(N($N523)*설정!$J$6,0),"")</f>
        <v/>
      </c>
      <c r="AI523" s="54" t="str">
        <f aca="false">IF($D523="","",ROW())</f>
        <v/>
      </c>
      <c r="AJ523" s="54" t="n">
        <f aca="false">IF(OR($AC523&lt;&gt;1,$M523=""),0,IF(ISNUMBER(SEARCH("퇴사",IFERROR(INDEX(강사DB!$G$4:$G$53,MATCH($M523,강사DB!$A$4:$A$53,0)),""))),1,0))</f>
        <v>0</v>
      </c>
    </row>
    <row r="524" customFormat="false" ht="15" hidden="false" customHeight="false" outlineLevel="0" collapsed="false">
      <c r="A524" s="45" t="str">
        <f aca="false">IF($D524="","",COUNTA($D$5:$D524))</f>
        <v/>
      </c>
      <c r="B524" s="46"/>
      <c r="C524" s="47"/>
      <c r="D524" s="48"/>
      <c r="E524" s="48"/>
      <c r="F524" s="49"/>
      <c r="G524" s="47"/>
      <c r="H524" s="50"/>
      <c r="I524" s="50"/>
      <c r="J524" s="51" t="str">
        <f aca="false">IF(OR($V524="",$W524=""),"",ROUND(($W524-$V524)/60,2))</f>
        <v/>
      </c>
      <c r="K524" s="52" t="str">
        <f aca="false">IF($F524="","",LEN($F524)-LEN(SUBSTITUTE($F524,",",""))+1)</f>
        <v/>
      </c>
      <c r="L524" s="45" t="str">
        <f aca="false">IF($K524="","","1:"&amp;$K524)</f>
        <v/>
      </c>
      <c r="M524" s="46"/>
      <c r="N524" s="53"/>
      <c r="O524" s="46"/>
      <c r="P524" s="47"/>
      <c r="Q524" s="48"/>
      <c r="R524" s="49"/>
      <c r="S524" s="54" t="str">
        <f aca="false">IF(OR($AC524=0,$U524="",$M524="",$V524="",$W524=""),"",IF(COUNTIFS(m_teacher,$M524,m_date,$U524,m_active,1,m_start,"&lt;"&amp;$W524,m_end,"&gt;"&amp;$V524)&gt;1,"충돌",""))</f>
        <v/>
      </c>
      <c r="T524" s="48"/>
      <c r="U524" s="55" t="str">
        <f aca="false">IF($G524="","",IFERROR(IF(ISNUMBER($G524),IF($G524&gt;19000000,DATE(INT($G524/10000),MOD(INT($G524/100),100),MOD($G524,100)),INT($G524)),IF(LEN(SUBSTITUTE(SUBSTITUTE(SUBSTITUTE(TRIM($G524),"-",""),".",""),"/",""))=8,DATE(VALUE(LEFT(SUBSTITUTE(SUBSTITUTE(SUBSTITUTE(TRIM($G524),"-",""),".",""),"/",""),4)),VALUE(MID(SUBSTITUTE(SUBSTITUTE(SUBSTITUTE(TRIM($G524),"-",""),".",""),"/",""),5,2)),VALUE(RIGHT(SUBSTITUTE(SUBSTITUTE(SUBSTITUTE(TRIM($G524),"-",""),".",""),"/",""),2))),DATEVALUE($G524))),""))</f>
        <v/>
      </c>
      <c r="V524" s="52" t="str">
        <f aca="false">IF($H524="","",IFERROR(IF(IF(ISNUMBER($H524),$H524,IFERROR(TIMEVALUE($H524),VALUE($H524)))&gt;=100,INT(IF(ISNUMBER($H524),$H524,IFERROR(TIMEVALUE($H524),VALUE($H524)))/100)*60+MOD(IF(ISNUMBER($H524),$H524,IFERROR(TIMEVALUE($H524),VALUE($H524))),100),IF(IF(ISNUMBER($H524),$H524,IFERROR(TIMEVALUE($H524),VALUE($H524)))&gt;=1,ROUND(IF(ISNUMBER($H524),$H524,IFERROR(TIMEVALUE($H524),VALUE($H524)))*60,0),ROUND(MOD(IF(ISNUMBER($H524),$H524,IFERROR(TIMEVALUE($H524),VALUE($H524))),1)*1440,0))),""))</f>
        <v/>
      </c>
      <c r="W524" s="52" t="str">
        <f aca="false">IF($I524="","",IFERROR(IF(IF(ISNUMBER($I524),$I524,IFERROR(TIMEVALUE($I524),VALUE($I524)))&gt;=100,INT(IF(ISNUMBER($I524),$I524,IFERROR(TIMEVALUE($I524),VALUE($I524)))/100)*60+MOD(IF(ISNUMBER($I524),$I524,IFERROR(TIMEVALUE($I524),VALUE($I524))),100),IF(IF(ISNUMBER($I524),$I524,IFERROR(TIMEVALUE($I524),VALUE($I524)))&gt;=1,ROUND(IF(ISNUMBER($I524),$I524,IFERROR(TIMEVALUE($I524),VALUE($I524)))*60,0),ROUND(MOD(IF(ISNUMBER($I524),$I524,IFERROR(TIMEVALUE($I524),VALUE($I524))),1)*1440,0))),""))</f>
        <v/>
      </c>
      <c r="X524" s="55" t="str">
        <f aca="false">IF($P524="","",IFERROR(IF(ISNUMBER($P524),IF($P524&gt;19000000,DATE(INT($P524/10000),MOD(INT($P524/100),100),MOD($P524,100)),INT($P524)),IF(LEN(SUBSTITUTE(SUBSTITUTE(SUBSTITUTE(TRIM($P524),"-",""),".",""),"/",""))=8,DATE(VALUE(LEFT(SUBSTITUTE(SUBSTITUTE(SUBSTITUTE(TRIM($P524),"-",""),".",""),"/",""),4)),VALUE(MID(SUBSTITUTE(SUBSTITUTE(SUBSTITUTE(TRIM($P524),"-",""),".",""),"/",""),5,2)),VALUE(RIGHT(SUBSTITUTE(SUBSTITUTE(SUBSTITUTE(TRIM($P524),"-",""),".",""),"/",""),2))),DATEVALUE($P524))),""))</f>
        <v/>
      </c>
      <c r="Y524" s="56" t="str">
        <f aca="false">IF($M524="","",IFERROR(INDEX(강사DB!$D$4:$D$53,MATCH($M524,강사DB!$A$4:$A$53,0)),""))</f>
        <v/>
      </c>
      <c r="Z524" s="56" t="str">
        <f aca="false">IF($B524&lt;&gt;"결제완료","",IF(OR($Y524="",$J524=""),"",$Y524*$J524+MAX(0,N($K524)-1)*설정!$J$7))</f>
        <v/>
      </c>
      <c r="AA524" s="56" t="str">
        <f aca="false">IF(AND($D524&lt;&gt;"",$B524="결제완료"),N($N524),"")</f>
        <v/>
      </c>
      <c r="AB524" s="45" t="str">
        <f aca="false">IF($D524="","",IF($F524&lt;&gt;"",$F524,$D524)&amp;IF($B524="상담중"," (상담)",""))</f>
        <v/>
      </c>
      <c r="AC524" s="45" t="n">
        <f aca="false">IF(AND($D524&lt;&gt;"",OR($B524="결제완료",$B524="상담중")),1,0)</f>
        <v>0</v>
      </c>
      <c r="AD524" s="45" t="n">
        <f aca="false">IF(OR($Z524="",$U524=""),0,IFERROR(IF(COUNTIFS(INDEX(g_grid,0,2*MATCH($M524,강사DB!$A$4:$A$15,0)),"&lt;&gt;",g_s,"&lt;="&amp;$U524,g_e,"&gt;="&amp;$U524)&gt;0,1,0),0))</f>
        <v>0</v>
      </c>
      <c r="AE524" s="48"/>
      <c r="AF524" s="56" t="str">
        <f aca="false">IF(AND($D524&lt;&gt;"",$B524="결제완료",$T524="대여"),설정!$J$5,"")</f>
        <v/>
      </c>
      <c r="AG524" s="54" t="str">
        <f aca="false">IF($D524="","",IF(AND($E524="",$R524=""),$AB524,"☎ "&amp;IF($E524="","-",$E524)&amp;IF($R524&lt;&gt;"","  ※ "&amp;$R524,"")&amp;IF($B524="상담중"," (상담)","")))</f>
        <v/>
      </c>
      <c r="AH524" s="56" t="str">
        <f aca="false">IF(AND($D524&lt;&gt;"",$B524="결제완료",$O524="스마트스토어"),ROUND(N($N524)*설정!$J$6,0),"")</f>
        <v/>
      </c>
      <c r="AI524" s="54" t="str">
        <f aca="false">IF($D524="","",ROW())</f>
        <v/>
      </c>
      <c r="AJ524" s="54" t="n">
        <f aca="false">IF(OR($AC524&lt;&gt;1,$M524=""),0,IF(ISNUMBER(SEARCH("퇴사",IFERROR(INDEX(강사DB!$G$4:$G$53,MATCH($M524,강사DB!$A$4:$A$53,0)),""))),1,0))</f>
        <v>0</v>
      </c>
    </row>
    <row r="525" customFormat="false" ht="15" hidden="false" customHeight="false" outlineLevel="0" collapsed="false">
      <c r="A525" s="45" t="str">
        <f aca="false">IF($D525="","",COUNTA($D$5:$D525))</f>
        <v/>
      </c>
      <c r="B525" s="46"/>
      <c r="C525" s="47"/>
      <c r="D525" s="48"/>
      <c r="E525" s="48"/>
      <c r="F525" s="49"/>
      <c r="G525" s="47"/>
      <c r="H525" s="50"/>
      <c r="I525" s="50"/>
      <c r="J525" s="51" t="str">
        <f aca="false">IF(OR($V525="",$W525=""),"",ROUND(($W525-$V525)/60,2))</f>
        <v/>
      </c>
      <c r="K525" s="52" t="str">
        <f aca="false">IF($F525="","",LEN($F525)-LEN(SUBSTITUTE($F525,",",""))+1)</f>
        <v/>
      </c>
      <c r="L525" s="45" t="str">
        <f aca="false">IF($K525="","","1:"&amp;$K525)</f>
        <v/>
      </c>
      <c r="M525" s="46"/>
      <c r="N525" s="53"/>
      <c r="O525" s="46"/>
      <c r="P525" s="47"/>
      <c r="Q525" s="48"/>
      <c r="R525" s="49"/>
      <c r="S525" s="54" t="str">
        <f aca="false">IF(OR($AC525=0,$U525="",$M525="",$V525="",$W525=""),"",IF(COUNTIFS(m_teacher,$M525,m_date,$U525,m_active,1,m_start,"&lt;"&amp;$W525,m_end,"&gt;"&amp;$V525)&gt;1,"충돌",""))</f>
        <v/>
      </c>
      <c r="T525" s="48"/>
      <c r="U525" s="55" t="str">
        <f aca="false">IF($G525="","",IFERROR(IF(ISNUMBER($G525),IF($G525&gt;19000000,DATE(INT($G525/10000),MOD(INT($G525/100),100),MOD($G525,100)),INT($G525)),IF(LEN(SUBSTITUTE(SUBSTITUTE(SUBSTITUTE(TRIM($G525),"-",""),".",""),"/",""))=8,DATE(VALUE(LEFT(SUBSTITUTE(SUBSTITUTE(SUBSTITUTE(TRIM($G525),"-",""),".",""),"/",""),4)),VALUE(MID(SUBSTITUTE(SUBSTITUTE(SUBSTITUTE(TRIM($G525),"-",""),".",""),"/",""),5,2)),VALUE(RIGHT(SUBSTITUTE(SUBSTITUTE(SUBSTITUTE(TRIM($G525),"-",""),".",""),"/",""),2))),DATEVALUE($G525))),""))</f>
        <v/>
      </c>
      <c r="V525" s="52" t="str">
        <f aca="false">IF($H525="","",IFERROR(IF(IF(ISNUMBER($H525),$H525,IFERROR(TIMEVALUE($H525),VALUE($H525)))&gt;=100,INT(IF(ISNUMBER($H525),$H525,IFERROR(TIMEVALUE($H525),VALUE($H525)))/100)*60+MOD(IF(ISNUMBER($H525),$H525,IFERROR(TIMEVALUE($H525),VALUE($H525))),100),IF(IF(ISNUMBER($H525),$H525,IFERROR(TIMEVALUE($H525),VALUE($H525)))&gt;=1,ROUND(IF(ISNUMBER($H525),$H525,IFERROR(TIMEVALUE($H525),VALUE($H525)))*60,0),ROUND(MOD(IF(ISNUMBER($H525),$H525,IFERROR(TIMEVALUE($H525),VALUE($H525))),1)*1440,0))),""))</f>
        <v/>
      </c>
      <c r="W525" s="52" t="str">
        <f aca="false">IF($I525="","",IFERROR(IF(IF(ISNUMBER($I525),$I525,IFERROR(TIMEVALUE($I525),VALUE($I525)))&gt;=100,INT(IF(ISNUMBER($I525),$I525,IFERROR(TIMEVALUE($I525),VALUE($I525)))/100)*60+MOD(IF(ISNUMBER($I525),$I525,IFERROR(TIMEVALUE($I525),VALUE($I525))),100),IF(IF(ISNUMBER($I525),$I525,IFERROR(TIMEVALUE($I525),VALUE($I525)))&gt;=1,ROUND(IF(ISNUMBER($I525),$I525,IFERROR(TIMEVALUE($I525),VALUE($I525)))*60,0),ROUND(MOD(IF(ISNUMBER($I525),$I525,IFERROR(TIMEVALUE($I525),VALUE($I525))),1)*1440,0))),""))</f>
        <v/>
      </c>
      <c r="X525" s="55" t="str">
        <f aca="false">IF($P525="","",IFERROR(IF(ISNUMBER($P525),IF($P525&gt;19000000,DATE(INT($P525/10000),MOD(INT($P525/100),100),MOD($P525,100)),INT($P525)),IF(LEN(SUBSTITUTE(SUBSTITUTE(SUBSTITUTE(TRIM($P525),"-",""),".",""),"/",""))=8,DATE(VALUE(LEFT(SUBSTITUTE(SUBSTITUTE(SUBSTITUTE(TRIM($P525),"-",""),".",""),"/",""),4)),VALUE(MID(SUBSTITUTE(SUBSTITUTE(SUBSTITUTE(TRIM($P525),"-",""),".",""),"/",""),5,2)),VALUE(RIGHT(SUBSTITUTE(SUBSTITUTE(SUBSTITUTE(TRIM($P525),"-",""),".",""),"/",""),2))),DATEVALUE($P525))),""))</f>
        <v/>
      </c>
      <c r="Y525" s="56" t="str">
        <f aca="false">IF($M525="","",IFERROR(INDEX(강사DB!$D$4:$D$53,MATCH($M525,강사DB!$A$4:$A$53,0)),""))</f>
        <v/>
      </c>
      <c r="Z525" s="56" t="str">
        <f aca="false">IF($B525&lt;&gt;"결제완료","",IF(OR($Y525="",$J525=""),"",$Y525*$J525+MAX(0,N($K525)-1)*설정!$J$7))</f>
        <v/>
      </c>
      <c r="AA525" s="56" t="str">
        <f aca="false">IF(AND($D525&lt;&gt;"",$B525="결제완료"),N($N525),"")</f>
        <v/>
      </c>
      <c r="AB525" s="45" t="str">
        <f aca="false">IF($D525="","",IF($F525&lt;&gt;"",$F525,$D525)&amp;IF($B525="상담중"," (상담)",""))</f>
        <v/>
      </c>
      <c r="AC525" s="45" t="n">
        <f aca="false">IF(AND($D525&lt;&gt;"",OR($B525="결제완료",$B525="상담중")),1,0)</f>
        <v>0</v>
      </c>
      <c r="AD525" s="45" t="n">
        <f aca="false">IF(OR($Z525="",$U525=""),0,IFERROR(IF(COUNTIFS(INDEX(g_grid,0,2*MATCH($M525,강사DB!$A$4:$A$15,0)),"&lt;&gt;",g_s,"&lt;="&amp;$U525,g_e,"&gt;="&amp;$U525)&gt;0,1,0),0))</f>
        <v>0</v>
      </c>
      <c r="AE525" s="48"/>
      <c r="AF525" s="56" t="str">
        <f aca="false">IF(AND($D525&lt;&gt;"",$B525="결제완료",$T525="대여"),설정!$J$5,"")</f>
        <v/>
      </c>
      <c r="AG525" s="54" t="str">
        <f aca="false">IF($D525="","",IF(AND($E525="",$R525=""),$AB525,"☎ "&amp;IF($E525="","-",$E525)&amp;IF($R525&lt;&gt;"","  ※ "&amp;$R525,"")&amp;IF($B525="상담중"," (상담)","")))</f>
        <v/>
      </c>
      <c r="AH525" s="56" t="str">
        <f aca="false">IF(AND($D525&lt;&gt;"",$B525="결제완료",$O525="스마트스토어"),ROUND(N($N525)*설정!$J$6,0),"")</f>
        <v/>
      </c>
      <c r="AI525" s="54" t="str">
        <f aca="false">IF($D525="","",ROW())</f>
        <v/>
      </c>
      <c r="AJ525" s="54" t="n">
        <f aca="false">IF(OR($AC525&lt;&gt;1,$M525=""),0,IF(ISNUMBER(SEARCH("퇴사",IFERROR(INDEX(강사DB!$G$4:$G$53,MATCH($M525,강사DB!$A$4:$A$53,0)),""))),1,0))</f>
        <v>0</v>
      </c>
    </row>
    <row r="526" customFormat="false" ht="15" hidden="false" customHeight="false" outlineLevel="0" collapsed="false">
      <c r="A526" s="45" t="str">
        <f aca="false">IF($D526="","",COUNTA($D$5:$D526))</f>
        <v/>
      </c>
      <c r="B526" s="46"/>
      <c r="C526" s="47"/>
      <c r="D526" s="48"/>
      <c r="E526" s="48"/>
      <c r="F526" s="49"/>
      <c r="G526" s="47"/>
      <c r="H526" s="50"/>
      <c r="I526" s="50"/>
      <c r="J526" s="51" t="str">
        <f aca="false">IF(OR($V526="",$W526=""),"",ROUND(($W526-$V526)/60,2))</f>
        <v/>
      </c>
      <c r="K526" s="52" t="str">
        <f aca="false">IF($F526="","",LEN($F526)-LEN(SUBSTITUTE($F526,",",""))+1)</f>
        <v/>
      </c>
      <c r="L526" s="45" t="str">
        <f aca="false">IF($K526="","","1:"&amp;$K526)</f>
        <v/>
      </c>
      <c r="M526" s="46"/>
      <c r="N526" s="53"/>
      <c r="O526" s="46"/>
      <c r="P526" s="47"/>
      <c r="Q526" s="48"/>
      <c r="R526" s="49"/>
      <c r="S526" s="54" t="str">
        <f aca="false">IF(OR($AC526=0,$U526="",$M526="",$V526="",$W526=""),"",IF(COUNTIFS(m_teacher,$M526,m_date,$U526,m_active,1,m_start,"&lt;"&amp;$W526,m_end,"&gt;"&amp;$V526)&gt;1,"충돌",""))</f>
        <v/>
      </c>
      <c r="T526" s="48"/>
      <c r="U526" s="55" t="str">
        <f aca="false">IF($G526="","",IFERROR(IF(ISNUMBER($G526),IF($G526&gt;19000000,DATE(INT($G526/10000),MOD(INT($G526/100),100),MOD($G526,100)),INT($G526)),IF(LEN(SUBSTITUTE(SUBSTITUTE(SUBSTITUTE(TRIM($G526),"-",""),".",""),"/",""))=8,DATE(VALUE(LEFT(SUBSTITUTE(SUBSTITUTE(SUBSTITUTE(TRIM($G526),"-",""),".",""),"/",""),4)),VALUE(MID(SUBSTITUTE(SUBSTITUTE(SUBSTITUTE(TRIM($G526),"-",""),".",""),"/",""),5,2)),VALUE(RIGHT(SUBSTITUTE(SUBSTITUTE(SUBSTITUTE(TRIM($G526),"-",""),".",""),"/",""),2))),DATEVALUE($G526))),""))</f>
        <v/>
      </c>
      <c r="V526" s="52" t="str">
        <f aca="false">IF($H526="","",IFERROR(IF(IF(ISNUMBER($H526),$H526,IFERROR(TIMEVALUE($H526),VALUE($H526)))&gt;=100,INT(IF(ISNUMBER($H526),$H526,IFERROR(TIMEVALUE($H526),VALUE($H526)))/100)*60+MOD(IF(ISNUMBER($H526),$H526,IFERROR(TIMEVALUE($H526),VALUE($H526))),100),IF(IF(ISNUMBER($H526),$H526,IFERROR(TIMEVALUE($H526),VALUE($H526)))&gt;=1,ROUND(IF(ISNUMBER($H526),$H526,IFERROR(TIMEVALUE($H526),VALUE($H526)))*60,0),ROUND(MOD(IF(ISNUMBER($H526),$H526,IFERROR(TIMEVALUE($H526),VALUE($H526))),1)*1440,0))),""))</f>
        <v/>
      </c>
      <c r="W526" s="52" t="str">
        <f aca="false">IF($I526="","",IFERROR(IF(IF(ISNUMBER($I526),$I526,IFERROR(TIMEVALUE($I526),VALUE($I526)))&gt;=100,INT(IF(ISNUMBER($I526),$I526,IFERROR(TIMEVALUE($I526),VALUE($I526)))/100)*60+MOD(IF(ISNUMBER($I526),$I526,IFERROR(TIMEVALUE($I526),VALUE($I526))),100),IF(IF(ISNUMBER($I526),$I526,IFERROR(TIMEVALUE($I526),VALUE($I526)))&gt;=1,ROUND(IF(ISNUMBER($I526),$I526,IFERROR(TIMEVALUE($I526),VALUE($I526)))*60,0),ROUND(MOD(IF(ISNUMBER($I526),$I526,IFERROR(TIMEVALUE($I526),VALUE($I526))),1)*1440,0))),""))</f>
        <v/>
      </c>
      <c r="X526" s="55" t="str">
        <f aca="false">IF($P526="","",IFERROR(IF(ISNUMBER($P526),IF($P526&gt;19000000,DATE(INT($P526/10000),MOD(INT($P526/100),100),MOD($P526,100)),INT($P526)),IF(LEN(SUBSTITUTE(SUBSTITUTE(SUBSTITUTE(TRIM($P526),"-",""),".",""),"/",""))=8,DATE(VALUE(LEFT(SUBSTITUTE(SUBSTITUTE(SUBSTITUTE(TRIM($P526),"-",""),".",""),"/",""),4)),VALUE(MID(SUBSTITUTE(SUBSTITUTE(SUBSTITUTE(TRIM($P526),"-",""),".",""),"/",""),5,2)),VALUE(RIGHT(SUBSTITUTE(SUBSTITUTE(SUBSTITUTE(TRIM($P526),"-",""),".",""),"/",""),2))),DATEVALUE($P526))),""))</f>
        <v/>
      </c>
      <c r="Y526" s="56" t="str">
        <f aca="false">IF($M526="","",IFERROR(INDEX(강사DB!$D$4:$D$53,MATCH($M526,강사DB!$A$4:$A$53,0)),""))</f>
        <v/>
      </c>
      <c r="Z526" s="56" t="str">
        <f aca="false">IF($B526&lt;&gt;"결제완료","",IF(OR($Y526="",$J526=""),"",$Y526*$J526+MAX(0,N($K526)-1)*설정!$J$7))</f>
        <v/>
      </c>
      <c r="AA526" s="56" t="str">
        <f aca="false">IF(AND($D526&lt;&gt;"",$B526="결제완료"),N($N526),"")</f>
        <v/>
      </c>
      <c r="AB526" s="45" t="str">
        <f aca="false">IF($D526="","",IF($F526&lt;&gt;"",$F526,$D526)&amp;IF($B526="상담중"," (상담)",""))</f>
        <v/>
      </c>
      <c r="AC526" s="45" t="n">
        <f aca="false">IF(AND($D526&lt;&gt;"",OR($B526="결제완료",$B526="상담중")),1,0)</f>
        <v>0</v>
      </c>
      <c r="AD526" s="45" t="n">
        <f aca="false">IF(OR($Z526="",$U526=""),0,IFERROR(IF(COUNTIFS(INDEX(g_grid,0,2*MATCH($M526,강사DB!$A$4:$A$15,0)),"&lt;&gt;",g_s,"&lt;="&amp;$U526,g_e,"&gt;="&amp;$U526)&gt;0,1,0),0))</f>
        <v>0</v>
      </c>
      <c r="AE526" s="48"/>
      <c r="AF526" s="56" t="str">
        <f aca="false">IF(AND($D526&lt;&gt;"",$B526="결제완료",$T526="대여"),설정!$J$5,"")</f>
        <v/>
      </c>
      <c r="AG526" s="54" t="str">
        <f aca="false">IF($D526="","",IF(AND($E526="",$R526=""),$AB526,"☎ "&amp;IF($E526="","-",$E526)&amp;IF($R526&lt;&gt;"","  ※ "&amp;$R526,"")&amp;IF($B526="상담중"," (상담)","")))</f>
        <v/>
      </c>
      <c r="AH526" s="56" t="str">
        <f aca="false">IF(AND($D526&lt;&gt;"",$B526="결제완료",$O526="스마트스토어"),ROUND(N($N526)*설정!$J$6,0),"")</f>
        <v/>
      </c>
      <c r="AI526" s="54" t="str">
        <f aca="false">IF($D526="","",ROW())</f>
        <v/>
      </c>
      <c r="AJ526" s="54" t="n">
        <f aca="false">IF(OR($AC526&lt;&gt;1,$M526=""),0,IF(ISNUMBER(SEARCH("퇴사",IFERROR(INDEX(강사DB!$G$4:$G$53,MATCH($M526,강사DB!$A$4:$A$53,0)),""))),1,0))</f>
        <v>0</v>
      </c>
    </row>
    <row r="527" customFormat="false" ht="15" hidden="false" customHeight="false" outlineLevel="0" collapsed="false">
      <c r="A527" s="45" t="str">
        <f aca="false">IF($D527="","",COUNTA($D$5:$D527))</f>
        <v/>
      </c>
      <c r="B527" s="46"/>
      <c r="C527" s="47"/>
      <c r="D527" s="48"/>
      <c r="E527" s="48"/>
      <c r="F527" s="49"/>
      <c r="G527" s="47"/>
      <c r="H527" s="50"/>
      <c r="I527" s="50"/>
      <c r="J527" s="51" t="str">
        <f aca="false">IF(OR($V527="",$W527=""),"",ROUND(($W527-$V527)/60,2))</f>
        <v/>
      </c>
      <c r="K527" s="52" t="str">
        <f aca="false">IF($F527="","",LEN($F527)-LEN(SUBSTITUTE($F527,",",""))+1)</f>
        <v/>
      </c>
      <c r="L527" s="45" t="str">
        <f aca="false">IF($K527="","","1:"&amp;$K527)</f>
        <v/>
      </c>
      <c r="M527" s="46"/>
      <c r="N527" s="53"/>
      <c r="O527" s="46"/>
      <c r="P527" s="47"/>
      <c r="Q527" s="48"/>
      <c r="R527" s="49"/>
      <c r="S527" s="54" t="str">
        <f aca="false">IF(OR($AC527=0,$U527="",$M527="",$V527="",$W527=""),"",IF(COUNTIFS(m_teacher,$M527,m_date,$U527,m_active,1,m_start,"&lt;"&amp;$W527,m_end,"&gt;"&amp;$V527)&gt;1,"충돌",""))</f>
        <v/>
      </c>
      <c r="T527" s="48"/>
      <c r="U527" s="55" t="str">
        <f aca="false">IF($G527="","",IFERROR(IF(ISNUMBER($G527),IF($G527&gt;19000000,DATE(INT($G527/10000),MOD(INT($G527/100),100),MOD($G527,100)),INT($G527)),IF(LEN(SUBSTITUTE(SUBSTITUTE(SUBSTITUTE(TRIM($G527),"-",""),".",""),"/",""))=8,DATE(VALUE(LEFT(SUBSTITUTE(SUBSTITUTE(SUBSTITUTE(TRIM($G527),"-",""),".",""),"/",""),4)),VALUE(MID(SUBSTITUTE(SUBSTITUTE(SUBSTITUTE(TRIM($G527),"-",""),".",""),"/",""),5,2)),VALUE(RIGHT(SUBSTITUTE(SUBSTITUTE(SUBSTITUTE(TRIM($G527),"-",""),".",""),"/",""),2))),DATEVALUE($G527))),""))</f>
        <v/>
      </c>
      <c r="V527" s="52" t="str">
        <f aca="false">IF($H527="","",IFERROR(IF(IF(ISNUMBER($H527),$H527,IFERROR(TIMEVALUE($H527),VALUE($H527)))&gt;=100,INT(IF(ISNUMBER($H527),$H527,IFERROR(TIMEVALUE($H527),VALUE($H527)))/100)*60+MOD(IF(ISNUMBER($H527),$H527,IFERROR(TIMEVALUE($H527),VALUE($H527))),100),IF(IF(ISNUMBER($H527),$H527,IFERROR(TIMEVALUE($H527),VALUE($H527)))&gt;=1,ROUND(IF(ISNUMBER($H527),$H527,IFERROR(TIMEVALUE($H527),VALUE($H527)))*60,0),ROUND(MOD(IF(ISNUMBER($H527),$H527,IFERROR(TIMEVALUE($H527),VALUE($H527))),1)*1440,0))),""))</f>
        <v/>
      </c>
      <c r="W527" s="52" t="str">
        <f aca="false">IF($I527="","",IFERROR(IF(IF(ISNUMBER($I527),$I527,IFERROR(TIMEVALUE($I527),VALUE($I527)))&gt;=100,INT(IF(ISNUMBER($I527),$I527,IFERROR(TIMEVALUE($I527),VALUE($I527)))/100)*60+MOD(IF(ISNUMBER($I527),$I527,IFERROR(TIMEVALUE($I527),VALUE($I527))),100),IF(IF(ISNUMBER($I527),$I527,IFERROR(TIMEVALUE($I527),VALUE($I527)))&gt;=1,ROUND(IF(ISNUMBER($I527),$I527,IFERROR(TIMEVALUE($I527),VALUE($I527)))*60,0),ROUND(MOD(IF(ISNUMBER($I527),$I527,IFERROR(TIMEVALUE($I527),VALUE($I527))),1)*1440,0))),""))</f>
        <v/>
      </c>
      <c r="X527" s="55" t="str">
        <f aca="false">IF($P527="","",IFERROR(IF(ISNUMBER($P527),IF($P527&gt;19000000,DATE(INT($P527/10000),MOD(INT($P527/100),100),MOD($P527,100)),INT($P527)),IF(LEN(SUBSTITUTE(SUBSTITUTE(SUBSTITUTE(TRIM($P527),"-",""),".",""),"/",""))=8,DATE(VALUE(LEFT(SUBSTITUTE(SUBSTITUTE(SUBSTITUTE(TRIM($P527),"-",""),".",""),"/",""),4)),VALUE(MID(SUBSTITUTE(SUBSTITUTE(SUBSTITUTE(TRIM($P527),"-",""),".",""),"/",""),5,2)),VALUE(RIGHT(SUBSTITUTE(SUBSTITUTE(SUBSTITUTE(TRIM($P527),"-",""),".",""),"/",""),2))),DATEVALUE($P527))),""))</f>
        <v/>
      </c>
      <c r="Y527" s="56" t="str">
        <f aca="false">IF($M527="","",IFERROR(INDEX(강사DB!$D$4:$D$53,MATCH($M527,강사DB!$A$4:$A$53,0)),""))</f>
        <v/>
      </c>
      <c r="Z527" s="56" t="str">
        <f aca="false">IF($B527&lt;&gt;"결제완료","",IF(OR($Y527="",$J527=""),"",$Y527*$J527+MAX(0,N($K527)-1)*설정!$J$7))</f>
        <v/>
      </c>
      <c r="AA527" s="56" t="str">
        <f aca="false">IF(AND($D527&lt;&gt;"",$B527="결제완료"),N($N527),"")</f>
        <v/>
      </c>
      <c r="AB527" s="45" t="str">
        <f aca="false">IF($D527="","",IF($F527&lt;&gt;"",$F527,$D527)&amp;IF($B527="상담중"," (상담)",""))</f>
        <v/>
      </c>
      <c r="AC527" s="45" t="n">
        <f aca="false">IF(AND($D527&lt;&gt;"",OR($B527="결제완료",$B527="상담중")),1,0)</f>
        <v>0</v>
      </c>
      <c r="AD527" s="45" t="n">
        <f aca="false">IF(OR($Z527="",$U527=""),0,IFERROR(IF(COUNTIFS(INDEX(g_grid,0,2*MATCH($M527,강사DB!$A$4:$A$15,0)),"&lt;&gt;",g_s,"&lt;="&amp;$U527,g_e,"&gt;="&amp;$U527)&gt;0,1,0),0))</f>
        <v>0</v>
      </c>
      <c r="AE527" s="48"/>
      <c r="AF527" s="56" t="str">
        <f aca="false">IF(AND($D527&lt;&gt;"",$B527="결제완료",$T527="대여"),설정!$J$5,"")</f>
        <v/>
      </c>
      <c r="AG527" s="54" t="str">
        <f aca="false">IF($D527="","",IF(AND($E527="",$R527=""),$AB527,"☎ "&amp;IF($E527="","-",$E527)&amp;IF($R527&lt;&gt;"","  ※ "&amp;$R527,"")&amp;IF($B527="상담중"," (상담)","")))</f>
        <v/>
      </c>
      <c r="AH527" s="56" t="str">
        <f aca="false">IF(AND($D527&lt;&gt;"",$B527="결제완료",$O527="스마트스토어"),ROUND(N($N527)*설정!$J$6,0),"")</f>
        <v/>
      </c>
      <c r="AI527" s="54" t="str">
        <f aca="false">IF($D527="","",ROW())</f>
        <v/>
      </c>
      <c r="AJ527" s="54" t="n">
        <f aca="false">IF(OR($AC527&lt;&gt;1,$M527=""),0,IF(ISNUMBER(SEARCH("퇴사",IFERROR(INDEX(강사DB!$G$4:$G$53,MATCH($M527,강사DB!$A$4:$A$53,0)),""))),1,0))</f>
        <v>0</v>
      </c>
    </row>
    <row r="528" customFormat="false" ht="15" hidden="false" customHeight="false" outlineLevel="0" collapsed="false">
      <c r="A528" s="45" t="str">
        <f aca="false">IF($D528="","",COUNTA($D$5:$D528))</f>
        <v/>
      </c>
      <c r="B528" s="46"/>
      <c r="C528" s="47"/>
      <c r="D528" s="48"/>
      <c r="E528" s="48"/>
      <c r="F528" s="49"/>
      <c r="G528" s="47"/>
      <c r="H528" s="50"/>
      <c r="I528" s="50"/>
      <c r="J528" s="51" t="str">
        <f aca="false">IF(OR($V528="",$W528=""),"",ROUND(($W528-$V528)/60,2))</f>
        <v/>
      </c>
      <c r="K528" s="52" t="str">
        <f aca="false">IF($F528="","",LEN($F528)-LEN(SUBSTITUTE($F528,",",""))+1)</f>
        <v/>
      </c>
      <c r="L528" s="45" t="str">
        <f aca="false">IF($K528="","","1:"&amp;$K528)</f>
        <v/>
      </c>
      <c r="M528" s="46"/>
      <c r="N528" s="53"/>
      <c r="O528" s="46"/>
      <c r="P528" s="47"/>
      <c r="Q528" s="48"/>
      <c r="R528" s="49"/>
      <c r="S528" s="54" t="str">
        <f aca="false">IF(OR($AC528=0,$U528="",$M528="",$V528="",$W528=""),"",IF(COUNTIFS(m_teacher,$M528,m_date,$U528,m_active,1,m_start,"&lt;"&amp;$W528,m_end,"&gt;"&amp;$V528)&gt;1,"충돌",""))</f>
        <v/>
      </c>
      <c r="T528" s="48"/>
      <c r="U528" s="55" t="str">
        <f aca="false">IF($G528="","",IFERROR(IF(ISNUMBER($G528),IF($G528&gt;19000000,DATE(INT($G528/10000),MOD(INT($G528/100),100),MOD($G528,100)),INT($G528)),IF(LEN(SUBSTITUTE(SUBSTITUTE(SUBSTITUTE(TRIM($G528),"-",""),".",""),"/",""))=8,DATE(VALUE(LEFT(SUBSTITUTE(SUBSTITUTE(SUBSTITUTE(TRIM($G528),"-",""),".",""),"/",""),4)),VALUE(MID(SUBSTITUTE(SUBSTITUTE(SUBSTITUTE(TRIM($G528),"-",""),".",""),"/",""),5,2)),VALUE(RIGHT(SUBSTITUTE(SUBSTITUTE(SUBSTITUTE(TRIM($G528),"-",""),".",""),"/",""),2))),DATEVALUE($G528))),""))</f>
        <v/>
      </c>
      <c r="V528" s="52" t="str">
        <f aca="false">IF($H528="","",IFERROR(IF(IF(ISNUMBER($H528),$H528,IFERROR(TIMEVALUE($H528),VALUE($H528)))&gt;=100,INT(IF(ISNUMBER($H528),$H528,IFERROR(TIMEVALUE($H528),VALUE($H528)))/100)*60+MOD(IF(ISNUMBER($H528),$H528,IFERROR(TIMEVALUE($H528),VALUE($H528))),100),IF(IF(ISNUMBER($H528),$H528,IFERROR(TIMEVALUE($H528),VALUE($H528)))&gt;=1,ROUND(IF(ISNUMBER($H528),$H528,IFERROR(TIMEVALUE($H528),VALUE($H528)))*60,0),ROUND(MOD(IF(ISNUMBER($H528),$H528,IFERROR(TIMEVALUE($H528),VALUE($H528))),1)*1440,0))),""))</f>
        <v/>
      </c>
      <c r="W528" s="52" t="str">
        <f aca="false">IF($I528="","",IFERROR(IF(IF(ISNUMBER($I528),$I528,IFERROR(TIMEVALUE($I528),VALUE($I528)))&gt;=100,INT(IF(ISNUMBER($I528),$I528,IFERROR(TIMEVALUE($I528),VALUE($I528)))/100)*60+MOD(IF(ISNUMBER($I528),$I528,IFERROR(TIMEVALUE($I528),VALUE($I528))),100),IF(IF(ISNUMBER($I528),$I528,IFERROR(TIMEVALUE($I528),VALUE($I528)))&gt;=1,ROUND(IF(ISNUMBER($I528),$I528,IFERROR(TIMEVALUE($I528),VALUE($I528)))*60,0),ROUND(MOD(IF(ISNUMBER($I528),$I528,IFERROR(TIMEVALUE($I528),VALUE($I528))),1)*1440,0))),""))</f>
        <v/>
      </c>
      <c r="X528" s="55" t="str">
        <f aca="false">IF($P528="","",IFERROR(IF(ISNUMBER($P528),IF($P528&gt;19000000,DATE(INT($P528/10000),MOD(INT($P528/100),100),MOD($P528,100)),INT($P528)),IF(LEN(SUBSTITUTE(SUBSTITUTE(SUBSTITUTE(TRIM($P528),"-",""),".",""),"/",""))=8,DATE(VALUE(LEFT(SUBSTITUTE(SUBSTITUTE(SUBSTITUTE(TRIM($P528),"-",""),".",""),"/",""),4)),VALUE(MID(SUBSTITUTE(SUBSTITUTE(SUBSTITUTE(TRIM($P528),"-",""),".",""),"/",""),5,2)),VALUE(RIGHT(SUBSTITUTE(SUBSTITUTE(SUBSTITUTE(TRIM($P528),"-",""),".",""),"/",""),2))),DATEVALUE($P528))),""))</f>
        <v/>
      </c>
      <c r="Y528" s="56" t="str">
        <f aca="false">IF($M528="","",IFERROR(INDEX(강사DB!$D$4:$D$53,MATCH($M528,강사DB!$A$4:$A$53,0)),""))</f>
        <v/>
      </c>
      <c r="Z528" s="56" t="str">
        <f aca="false">IF($B528&lt;&gt;"결제완료","",IF(OR($Y528="",$J528=""),"",$Y528*$J528+MAX(0,N($K528)-1)*설정!$J$7))</f>
        <v/>
      </c>
      <c r="AA528" s="56" t="str">
        <f aca="false">IF(AND($D528&lt;&gt;"",$B528="결제완료"),N($N528),"")</f>
        <v/>
      </c>
      <c r="AB528" s="45" t="str">
        <f aca="false">IF($D528="","",IF($F528&lt;&gt;"",$F528,$D528)&amp;IF($B528="상담중"," (상담)",""))</f>
        <v/>
      </c>
      <c r="AC528" s="45" t="n">
        <f aca="false">IF(AND($D528&lt;&gt;"",OR($B528="결제완료",$B528="상담중")),1,0)</f>
        <v>0</v>
      </c>
      <c r="AD528" s="45" t="n">
        <f aca="false">IF(OR($Z528="",$U528=""),0,IFERROR(IF(COUNTIFS(INDEX(g_grid,0,2*MATCH($M528,강사DB!$A$4:$A$15,0)),"&lt;&gt;",g_s,"&lt;="&amp;$U528,g_e,"&gt;="&amp;$U528)&gt;0,1,0),0))</f>
        <v>0</v>
      </c>
      <c r="AE528" s="48"/>
      <c r="AF528" s="56" t="str">
        <f aca="false">IF(AND($D528&lt;&gt;"",$B528="결제완료",$T528="대여"),설정!$J$5,"")</f>
        <v/>
      </c>
      <c r="AG528" s="54" t="str">
        <f aca="false">IF($D528="","",IF(AND($E528="",$R528=""),$AB528,"☎ "&amp;IF($E528="","-",$E528)&amp;IF($R528&lt;&gt;"","  ※ "&amp;$R528,"")&amp;IF($B528="상담중"," (상담)","")))</f>
        <v/>
      </c>
      <c r="AH528" s="56" t="str">
        <f aca="false">IF(AND($D528&lt;&gt;"",$B528="결제완료",$O528="스마트스토어"),ROUND(N($N528)*설정!$J$6,0),"")</f>
        <v/>
      </c>
      <c r="AI528" s="54" t="str">
        <f aca="false">IF($D528="","",ROW())</f>
        <v/>
      </c>
      <c r="AJ528" s="54" t="n">
        <f aca="false">IF(OR($AC528&lt;&gt;1,$M528=""),0,IF(ISNUMBER(SEARCH("퇴사",IFERROR(INDEX(강사DB!$G$4:$G$53,MATCH($M528,강사DB!$A$4:$A$53,0)),""))),1,0))</f>
        <v>0</v>
      </c>
    </row>
    <row r="529" customFormat="false" ht="15" hidden="false" customHeight="false" outlineLevel="0" collapsed="false">
      <c r="A529" s="45" t="str">
        <f aca="false">IF($D529="","",COUNTA($D$5:$D529))</f>
        <v/>
      </c>
      <c r="B529" s="46"/>
      <c r="C529" s="47"/>
      <c r="D529" s="48"/>
      <c r="E529" s="48"/>
      <c r="F529" s="49"/>
      <c r="G529" s="47"/>
      <c r="H529" s="50"/>
      <c r="I529" s="50"/>
      <c r="J529" s="51" t="str">
        <f aca="false">IF(OR($V529="",$W529=""),"",ROUND(($W529-$V529)/60,2))</f>
        <v/>
      </c>
      <c r="K529" s="52" t="str">
        <f aca="false">IF($F529="","",LEN($F529)-LEN(SUBSTITUTE($F529,",",""))+1)</f>
        <v/>
      </c>
      <c r="L529" s="45" t="str">
        <f aca="false">IF($K529="","","1:"&amp;$K529)</f>
        <v/>
      </c>
      <c r="M529" s="46"/>
      <c r="N529" s="53"/>
      <c r="O529" s="46"/>
      <c r="P529" s="47"/>
      <c r="Q529" s="48"/>
      <c r="R529" s="49"/>
      <c r="S529" s="54" t="str">
        <f aca="false">IF(OR($AC529=0,$U529="",$M529="",$V529="",$W529=""),"",IF(COUNTIFS(m_teacher,$M529,m_date,$U529,m_active,1,m_start,"&lt;"&amp;$W529,m_end,"&gt;"&amp;$V529)&gt;1,"충돌",""))</f>
        <v/>
      </c>
      <c r="T529" s="48"/>
      <c r="U529" s="55" t="str">
        <f aca="false">IF($G529="","",IFERROR(IF(ISNUMBER($G529),IF($G529&gt;19000000,DATE(INT($G529/10000),MOD(INT($G529/100),100),MOD($G529,100)),INT($G529)),IF(LEN(SUBSTITUTE(SUBSTITUTE(SUBSTITUTE(TRIM($G529),"-",""),".",""),"/",""))=8,DATE(VALUE(LEFT(SUBSTITUTE(SUBSTITUTE(SUBSTITUTE(TRIM($G529),"-",""),".",""),"/",""),4)),VALUE(MID(SUBSTITUTE(SUBSTITUTE(SUBSTITUTE(TRIM($G529),"-",""),".",""),"/",""),5,2)),VALUE(RIGHT(SUBSTITUTE(SUBSTITUTE(SUBSTITUTE(TRIM($G529),"-",""),".",""),"/",""),2))),DATEVALUE($G529))),""))</f>
        <v/>
      </c>
      <c r="V529" s="52" t="str">
        <f aca="false">IF($H529="","",IFERROR(IF(IF(ISNUMBER($H529),$H529,IFERROR(TIMEVALUE($H529),VALUE($H529)))&gt;=100,INT(IF(ISNUMBER($H529),$H529,IFERROR(TIMEVALUE($H529),VALUE($H529)))/100)*60+MOD(IF(ISNUMBER($H529),$H529,IFERROR(TIMEVALUE($H529),VALUE($H529))),100),IF(IF(ISNUMBER($H529),$H529,IFERROR(TIMEVALUE($H529),VALUE($H529)))&gt;=1,ROUND(IF(ISNUMBER($H529),$H529,IFERROR(TIMEVALUE($H529),VALUE($H529)))*60,0),ROUND(MOD(IF(ISNUMBER($H529),$H529,IFERROR(TIMEVALUE($H529),VALUE($H529))),1)*1440,0))),""))</f>
        <v/>
      </c>
      <c r="W529" s="52" t="str">
        <f aca="false">IF($I529="","",IFERROR(IF(IF(ISNUMBER($I529),$I529,IFERROR(TIMEVALUE($I529),VALUE($I529)))&gt;=100,INT(IF(ISNUMBER($I529),$I529,IFERROR(TIMEVALUE($I529),VALUE($I529)))/100)*60+MOD(IF(ISNUMBER($I529),$I529,IFERROR(TIMEVALUE($I529),VALUE($I529))),100),IF(IF(ISNUMBER($I529),$I529,IFERROR(TIMEVALUE($I529),VALUE($I529)))&gt;=1,ROUND(IF(ISNUMBER($I529),$I529,IFERROR(TIMEVALUE($I529),VALUE($I529)))*60,0),ROUND(MOD(IF(ISNUMBER($I529),$I529,IFERROR(TIMEVALUE($I529),VALUE($I529))),1)*1440,0))),""))</f>
        <v/>
      </c>
      <c r="X529" s="55" t="str">
        <f aca="false">IF($P529="","",IFERROR(IF(ISNUMBER($P529),IF($P529&gt;19000000,DATE(INT($P529/10000),MOD(INT($P529/100),100),MOD($P529,100)),INT($P529)),IF(LEN(SUBSTITUTE(SUBSTITUTE(SUBSTITUTE(TRIM($P529),"-",""),".",""),"/",""))=8,DATE(VALUE(LEFT(SUBSTITUTE(SUBSTITUTE(SUBSTITUTE(TRIM($P529),"-",""),".",""),"/",""),4)),VALUE(MID(SUBSTITUTE(SUBSTITUTE(SUBSTITUTE(TRIM($P529),"-",""),".",""),"/",""),5,2)),VALUE(RIGHT(SUBSTITUTE(SUBSTITUTE(SUBSTITUTE(TRIM($P529),"-",""),".",""),"/",""),2))),DATEVALUE($P529))),""))</f>
        <v/>
      </c>
      <c r="Y529" s="56" t="str">
        <f aca="false">IF($M529="","",IFERROR(INDEX(강사DB!$D$4:$D$53,MATCH($M529,강사DB!$A$4:$A$53,0)),""))</f>
        <v/>
      </c>
      <c r="Z529" s="56" t="str">
        <f aca="false">IF($B529&lt;&gt;"결제완료","",IF(OR($Y529="",$J529=""),"",$Y529*$J529+MAX(0,N($K529)-1)*설정!$J$7))</f>
        <v/>
      </c>
      <c r="AA529" s="56" t="str">
        <f aca="false">IF(AND($D529&lt;&gt;"",$B529="결제완료"),N($N529),"")</f>
        <v/>
      </c>
      <c r="AB529" s="45" t="str">
        <f aca="false">IF($D529="","",IF($F529&lt;&gt;"",$F529,$D529)&amp;IF($B529="상담중"," (상담)",""))</f>
        <v/>
      </c>
      <c r="AC529" s="45" t="n">
        <f aca="false">IF(AND($D529&lt;&gt;"",OR($B529="결제완료",$B529="상담중")),1,0)</f>
        <v>0</v>
      </c>
      <c r="AD529" s="45" t="n">
        <f aca="false">IF(OR($Z529="",$U529=""),0,IFERROR(IF(COUNTIFS(INDEX(g_grid,0,2*MATCH($M529,강사DB!$A$4:$A$15,0)),"&lt;&gt;",g_s,"&lt;="&amp;$U529,g_e,"&gt;="&amp;$U529)&gt;0,1,0),0))</f>
        <v>0</v>
      </c>
      <c r="AE529" s="48"/>
      <c r="AF529" s="56" t="str">
        <f aca="false">IF(AND($D529&lt;&gt;"",$B529="결제완료",$T529="대여"),설정!$J$5,"")</f>
        <v/>
      </c>
      <c r="AG529" s="54" t="str">
        <f aca="false">IF($D529="","",IF(AND($E529="",$R529=""),$AB529,"☎ "&amp;IF($E529="","-",$E529)&amp;IF($R529&lt;&gt;"","  ※ "&amp;$R529,"")&amp;IF($B529="상담중"," (상담)","")))</f>
        <v/>
      </c>
      <c r="AH529" s="56" t="str">
        <f aca="false">IF(AND($D529&lt;&gt;"",$B529="결제완료",$O529="스마트스토어"),ROUND(N($N529)*설정!$J$6,0),"")</f>
        <v/>
      </c>
      <c r="AI529" s="54" t="str">
        <f aca="false">IF($D529="","",ROW())</f>
        <v/>
      </c>
      <c r="AJ529" s="54" t="n">
        <f aca="false">IF(OR($AC529&lt;&gt;1,$M529=""),0,IF(ISNUMBER(SEARCH("퇴사",IFERROR(INDEX(강사DB!$G$4:$G$53,MATCH($M529,강사DB!$A$4:$A$53,0)),""))),1,0))</f>
        <v>0</v>
      </c>
    </row>
    <row r="530" customFormat="false" ht="15" hidden="false" customHeight="false" outlineLevel="0" collapsed="false">
      <c r="A530" s="45" t="str">
        <f aca="false">IF($D530="","",COUNTA($D$5:$D530))</f>
        <v/>
      </c>
      <c r="B530" s="46"/>
      <c r="C530" s="47"/>
      <c r="D530" s="48"/>
      <c r="E530" s="48"/>
      <c r="F530" s="49"/>
      <c r="G530" s="47"/>
      <c r="H530" s="50"/>
      <c r="I530" s="50"/>
      <c r="J530" s="51" t="str">
        <f aca="false">IF(OR($V530="",$W530=""),"",ROUND(($W530-$V530)/60,2))</f>
        <v/>
      </c>
      <c r="K530" s="52" t="str">
        <f aca="false">IF($F530="","",LEN($F530)-LEN(SUBSTITUTE($F530,",",""))+1)</f>
        <v/>
      </c>
      <c r="L530" s="45" t="str">
        <f aca="false">IF($K530="","","1:"&amp;$K530)</f>
        <v/>
      </c>
      <c r="M530" s="46"/>
      <c r="N530" s="53"/>
      <c r="O530" s="46"/>
      <c r="P530" s="47"/>
      <c r="Q530" s="48"/>
      <c r="R530" s="49"/>
      <c r="S530" s="54" t="str">
        <f aca="false">IF(OR($AC530=0,$U530="",$M530="",$V530="",$W530=""),"",IF(COUNTIFS(m_teacher,$M530,m_date,$U530,m_active,1,m_start,"&lt;"&amp;$W530,m_end,"&gt;"&amp;$V530)&gt;1,"충돌",""))</f>
        <v/>
      </c>
      <c r="T530" s="48"/>
      <c r="U530" s="55" t="str">
        <f aca="false">IF($G530="","",IFERROR(IF(ISNUMBER($G530),IF($G530&gt;19000000,DATE(INT($G530/10000),MOD(INT($G530/100),100),MOD($G530,100)),INT($G530)),IF(LEN(SUBSTITUTE(SUBSTITUTE(SUBSTITUTE(TRIM($G530),"-",""),".",""),"/",""))=8,DATE(VALUE(LEFT(SUBSTITUTE(SUBSTITUTE(SUBSTITUTE(TRIM($G530),"-",""),".",""),"/",""),4)),VALUE(MID(SUBSTITUTE(SUBSTITUTE(SUBSTITUTE(TRIM($G530),"-",""),".",""),"/",""),5,2)),VALUE(RIGHT(SUBSTITUTE(SUBSTITUTE(SUBSTITUTE(TRIM($G530),"-",""),".",""),"/",""),2))),DATEVALUE($G530))),""))</f>
        <v/>
      </c>
      <c r="V530" s="52" t="str">
        <f aca="false">IF($H530="","",IFERROR(IF(IF(ISNUMBER($H530),$H530,IFERROR(TIMEVALUE($H530),VALUE($H530)))&gt;=100,INT(IF(ISNUMBER($H530),$H530,IFERROR(TIMEVALUE($H530),VALUE($H530)))/100)*60+MOD(IF(ISNUMBER($H530),$H530,IFERROR(TIMEVALUE($H530),VALUE($H530))),100),IF(IF(ISNUMBER($H530),$H530,IFERROR(TIMEVALUE($H530),VALUE($H530)))&gt;=1,ROUND(IF(ISNUMBER($H530),$H530,IFERROR(TIMEVALUE($H530),VALUE($H530)))*60,0),ROUND(MOD(IF(ISNUMBER($H530),$H530,IFERROR(TIMEVALUE($H530),VALUE($H530))),1)*1440,0))),""))</f>
        <v/>
      </c>
      <c r="W530" s="52" t="str">
        <f aca="false">IF($I530="","",IFERROR(IF(IF(ISNUMBER($I530),$I530,IFERROR(TIMEVALUE($I530),VALUE($I530)))&gt;=100,INT(IF(ISNUMBER($I530),$I530,IFERROR(TIMEVALUE($I530),VALUE($I530)))/100)*60+MOD(IF(ISNUMBER($I530),$I530,IFERROR(TIMEVALUE($I530),VALUE($I530))),100),IF(IF(ISNUMBER($I530),$I530,IFERROR(TIMEVALUE($I530),VALUE($I530)))&gt;=1,ROUND(IF(ISNUMBER($I530),$I530,IFERROR(TIMEVALUE($I530),VALUE($I530)))*60,0),ROUND(MOD(IF(ISNUMBER($I530),$I530,IFERROR(TIMEVALUE($I530),VALUE($I530))),1)*1440,0))),""))</f>
        <v/>
      </c>
      <c r="X530" s="55" t="str">
        <f aca="false">IF($P530="","",IFERROR(IF(ISNUMBER($P530),IF($P530&gt;19000000,DATE(INT($P530/10000),MOD(INT($P530/100),100),MOD($P530,100)),INT($P530)),IF(LEN(SUBSTITUTE(SUBSTITUTE(SUBSTITUTE(TRIM($P530),"-",""),".",""),"/",""))=8,DATE(VALUE(LEFT(SUBSTITUTE(SUBSTITUTE(SUBSTITUTE(TRIM($P530),"-",""),".",""),"/",""),4)),VALUE(MID(SUBSTITUTE(SUBSTITUTE(SUBSTITUTE(TRIM($P530),"-",""),".",""),"/",""),5,2)),VALUE(RIGHT(SUBSTITUTE(SUBSTITUTE(SUBSTITUTE(TRIM($P530),"-",""),".",""),"/",""),2))),DATEVALUE($P530))),""))</f>
        <v/>
      </c>
      <c r="Y530" s="56" t="str">
        <f aca="false">IF($M530="","",IFERROR(INDEX(강사DB!$D$4:$D$53,MATCH($M530,강사DB!$A$4:$A$53,0)),""))</f>
        <v/>
      </c>
      <c r="Z530" s="56" t="str">
        <f aca="false">IF($B530&lt;&gt;"결제완료","",IF(OR($Y530="",$J530=""),"",$Y530*$J530+MAX(0,N($K530)-1)*설정!$J$7))</f>
        <v/>
      </c>
      <c r="AA530" s="56" t="str">
        <f aca="false">IF(AND($D530&lt;&gt;"",$B530="결제완료"),N($N530),"")</f>
        <v/>
      </c>
      <c r="AB530" s="45" t="str">
        <f aca="false">IF($D530="","",IF($F530&lt;&gt;"",$F530,$D530)&amp;IF($B530="상담중"," (상담)",""))</f>
        <v/>
      </c>
      <c r="AC530" s="45" t="n">
        <f aca="false">IF(AND($D530&lt;&gt;"",OR($B530="결제완료",$B530="상담중")),1,0)</f>
        <v>0</v>
      </c>
      <c r="AD530" s="45" t="n">
        <f aca="false">IF(OR($Z530="",$U530=""),0,IFERROR(IF(COUNTIFS(INDEX(g_grid,0,2*MATCH($M530,강사DB!$A$4:$A$15,0)),"&lt;&gt;",g_s,"&lt;="&amp;$U530,g_e,"&gt;="&amp;$U530)&gt;0,1,0),0))</f>
        <v>0</v>
      </c>
      <c r="AE530" s="48"/>
      <c r="AF530" s="56" t="str">
        <f aca="false">IF(AND($D530&lt;&gt;"",$B530="결제완료",$T530="대여"),설정!$J$5,"")</f>
        <v/>
      </c>
      <c r="AG530" s="54" t="str">
        <f aca="false">IF($D530="","",IF(AND($E530="",$R530=""),$AB530,"☎ "&amp;IF($E530="","-",$E530)&amp;IF($R530&lt;&gt;"","  ※ "&amp;$R530,"")&amp;IF($B530="상담중"," (상담)","")))</f>
        <v/>
      </c>
      <c r="AH530" s="56" t="str">
        <f aca="false">IF(AND($D530&lt;&gt;"",$B530="결제완료",$O530="스마트스토어"),ROUND(N($N530)*설정!$J$6,0),"")</f>
        <v/>
      </c>
      <c r="AI530" s="54" t="str">
        <f aca="false">IF($D530="","",ROW())</f>
        <v/>
      </c>
      <c r="AJ530" s="54" t="n">
        <f aca="false">IF(OR($AC530&lt;&gt;1,$M530=""),0,IF(ISNUMBER(SEARCH("퇴사",IFERROR(INDEX(강사DB!$G$4:$G$53,MATCH($M530,강사DB!$A$4:$A$53,0)),""))),1,0))</f>
        <v>0</v>
      </c>
    </row>
    <row r="531" customFormat="false" ht="15" hidden="false" customHeight="false" outlineLevel="0" collapsed="false">
      <c r="A531" s="45" t="str">
        <f aca="false">IF($D531="","",COUNTA($D$5:$D531))</f>
        <v/>
      </c>
      <c r="B531" s="46"/>
      <c r="C531" s="47"/>
      <c r="D531" s="48"/>
      <c r="E531" s="48"/>
      <c r="F531" s="49"/>
      <c r="G531" s="47"/>
      <c r="H531" s="50"/>
      <c r="I531" s="50"/>
      <c r="J531" s="51" t="str">
        <f aca="false">IF(OR($V531="",$W531=""),"",ROUND(($W531-$V531)/60,2))</f>
        <v/>
      </c>
      <c r="K531" s="52" t="str">
        <f aca="false">IF($F531="","",LEN($F531)-LEN(SUBSTITUTE($F531,",",""))+1)</f>
        <v/>
      </c>
      <c r="L531" s="45" t="str">
        <f aca="false">IF($K531="","","1:"&amp;$K531)</f>
        <v/>
      </c>
      <c r="M531" s="46"/>
      <c r="N531" s="53"/>
      <c r="O531" s="46"/>
      <c r="P531" s="47"/>
      <c r="Q531" s="48"/>
      <c r="R531" s="49"/>
      <c r="S531" s="54" t="str">
        <f aca="false">IF(OR($AC531=0,$U531="",$M531="",$V531="",$W531=""),"",IF(COUNTIFS(m_teacher,$M531,m_date,$U531,m_active,1,m_start,"&lt;"&amp;$W531,m_end,"&gt;"&amp;$V531)&gt;1,"충돌",""))</f>
        <v/>
      </c>
      <c r="T531" s="48"/>
      <c r="U531" s="55" t="str">
        <f aca="false">IF($G531="","",IFERROR(IF(ISNUMBER($G531),IF($G531&gt;19000000,DATE(INT($G531/10000),MOD(INT($G531/100),100),MOD($G531,100)),INT($G531)),IF(LEN(SUBSTITUTE(SUBSTITUTE(SUBSTITUTE(TRIM($G531),"-",""),".",""),"/",""))=8,DATE(VALUE(LEFT(SUBSTITUTE(SUBSTITUTE(SUBSTITUTE(TRIM($G531),"-",""),".",""),"/",""),4)),VALUE(MID(SUBSTITUTE(SUBSTITUTE(SUBSTITUTE(TRIM($G531),"-",""),".",""),"/",""),5,2)),VALUE(RIGHT(SUBSTITUTE(SUBSTITUTE(SUBSTITUTE(TRIM($G531),"-",""),".",""),"/",""),2))),DATEVALUE($G531))),""))</f>
        <v/>
      </c>
      <c r="V531" s="52" t="str">
        <f aca="false">IF($H531="","",IFERROR(IF(IF(ISNUMBER($H531),$H531,IFERROR(TIMEVALUE($H531),VALUE($H531)))&gt;=100,INT(IF(ISNUMBER($H531),$H531,IFERROR(TIMEVALUE($H531),VALUE($H531)))/100)*60+MOD(IF(ISNUMBER($H531),$H531,IFERROR(TIMEVALUE($H531),VALUE($H531))),100),IF(IF(ISNUMBER($H531),$H531,IFERROR(TIMEVALUE($H531),VALUE($H531)))&gt;=1,ROUND(IF(ISNUMBER($H531),$H531,IFERROR(TIMEVALUE($H531),VALUE($H531)))*60,0),ROUND(MOD(IF(ISNUMBER($H531),$H531,IFERROR(TIMEVALUE($H531),VALUE($H531))),1)*1440,0))),""))</f>
        <v/>
      </c>
      <c r="W531" s="52" t="str">
        <f aca="false">IF($I531="","",IFERROR(IF(IF(ISNUMBER($I531),$I531,IFERROR(TIMEVALUE($I531),VALUE($I531)))&gt;=100,INT(IF(ISNUMBER($I531),$I531,IFERROR(TIMEVALUE($I531),VALUE($I531)))/100)*60+MOD(IF(ISNUMBER($I531),$I531,IFERROR(TIMEVALUE($I531),VALUE($I531))),100),IF(IF(ISNUMBER($I531),$I531,IFERROR(TIMEVALUE($I531),VALUE($I531)))&gt;=1,ROUND(IF(ISNUMBER($I531),$I531,IFERROR(TIMEVALUE($I531),VALUE($I531)))*60,0),ROUND(MOD(IF(ISNUMBER($I531),$I531,IFERROR(TIMEVALUE($I531),VALUE($I531))),1)*1440,0))),""))</f>
        <v/>
      </c>
      <c r="X531" s="55" t="str">
        <f aca="false">IF($P531="","",IFERROR(IF(ISNUMBER($P531),IF($P531&gt;19000000,DATE(INT($P531/10000),MOD(INT($P531/100),100),MOD($P531,100)),INT($P531)),IF(LEN(SUBSTITUTE(SUBSTITUTE(SUBSTITUTE(TRIM($P531),"-",""),".",""),"/",""))=8,DATE(VALUE(LEFT(SUBSTITUTE(SUBSTITUTE(SUBSTITUTE(TRIM($P531),"-",""),".",""),"/",""),4)),VALUE(MID(SUBSTITUTE(SUBSTITUTE(SUBSTITUTE(TRIM($P531),"-",""),".",""),"/",""),5,2)),VALUE(RIGHT(SUBSTITUTE(SUBSTITUTE(SUBSTITUTE(TRIM($P531),"-",""),".",""),"/",""),2))),DATEVALUE($P531))),""))</f>
        <v/>
      </c>
      <c r="Y531" s="56" t="str">
        <f aca="false">IF($M531="","",IFERROR(INDEX(강사DB!$D$4:$D$53,MATCH($M531,강사DB!$A$4:$A$53,0)),""))</f>
        <v/>
      </c>
      <c r="Z531" s="56" t="str">
        <f aca="false">IF($B531&lt;&gt;"결제완료","",IF(OR($Y531="",$J531=""),"",$Y531*$J531+MAX(0,N($K531)-1)*설정!$J$7))</f>
        <v/>
      </c>
      <c r="AA531" s="56" t="str">
        <f aca="false">IF(AND($D531&lt;&gt;"",$B531="결제완료"),N($N531),"")</f>
        <v/>
      </c>
      <c r="AB531" s="45" t="str">
        <f aca="false">IF($D531="","",IF($F531&lt;&gt;"",$F531,$D531)&amp;IF($B531="상담중"," (상담)",""))</f>
        <v/>
      </c>
      <c r="AC531" s="45" t="n">
        <f aca="false">IF(AND($D531&lt;&gt;"",OR($B531="결제완료",$B531="상담중")),1,0)</f>
        <v>0</v>
      </c>
      <c r="AD531" s="45" t="n">
        <f aca="false">IF(OR($Z531="",$U531=""),0,IFERROR(IF(COUNTIFS(INDEX(g_grid,0,2*MATCH($M531,강사DB!$A$4:$A$15,0)),"&lt;&gt;",g_s,"&lt;="&amp;$U531,g_e,"&gt;="&amp;$U531)&gt;0,1,0),0))</f>
        <v>0</v>
      </c>
      <c r="AE531" s="48"/>
      <c r="AF531" s="56" t="str">
        <f aca="false">IF(AND($D531&lt;&gt;"",$B531="결제완료",$T531="대여"),설정!$J$5,"")</f>
        <v/>
      </c>
      <c r="AG531" s="54" t="str">
        <f aca="false">IF($D531="","",IF(AND($E531="",$R531=""),$AB531,"☎ "&amp;IF($E531="","-",$E531)&amp;IF($R531&lt;&gt;"","  ※ "&amp;$R531,"")&amp;IF($B531="상담중"," (상담)","")))</f>
        <v/>
      </c>
      <c r="AH531" s="56" t="str">
        <f aca="false">IF(AND($D531&lt;&gt;"",$B531="결제완료",$O531="스마트스토어"),ROUND(N($N531)*설정!$J$6,0),"")</f>
        <v/>
      </c>
      <c r="AI531" s="54" t="str">
        <f aca="false">IF($D531="","",ROW())</f>
        <v/>
      </c>
      <c r="AJ531" s="54" t="n">
        <f aca="false">IF(OR($AC531&lt;&gt;1,$M531=""),0,IF(ISNUMBER(SEARCH("퇴사",IFERROR(INDEX(강사DB!$G$4:$G$53,MATCH($M531,강사DB!$A$4:$A$53,0)),""))),1,0))</f>
        <v>0</v>
      </c>
    </row>
    <row r="532" customFormat="false" ht="15" hidden="false" customHeight="false" outlineLevel="0" collapsed="false">
      <c r="A532" s="45" t="str">
        <f aca="false">IF($D532="","",COUNTA($D$5:$D532))</f>
        <v/>
      </c>
      <c r="B532" s="46"/>
      <c r="C532" s="47"/>
      <c r="D532" s="48"/>
      <c r="E532" s="48"/>
      <c r="F532" s="49"/>
      <c r="G532" s="47"/>
      <c r="H532" s="50"/>
      <c r="I532" s="50"/>
      <c r="J532" s="51" t="str">
        <f aca="false">IF(OR($V532="",$W532=""),"",ROUND(($W532-$V532)/60,2))</f>
        <v/>
      </c>
      <c r="K532" s="52" t="str">
        <f aca="false">IF($F532="","",LEN($F532)-LEN(SUBSTITUTE($F532,",",""))+1)</f>
        <v/>
      </c>
      <c r="L532" s="45" t="str">
        <f aca="false">IF($K532="","","1:"&amp;$K532)</f>
        <v/>
      </c>
      <c r="M532" s="46"/>
      <c r="N532" s="53"/>
      <c r="O532" s="46"/>
      <c r="P532" s="47"/>
      <c r="Q532" s="48"/>
      <c r="R532" s="49"/>
      <c r="S532" s="54" t="str">
        <f aca="false">IF(OR($AC532=0,$U532="",$M532="",$V532="",$W532=""),"",IF(COUNTIFS(m_teacher,$M532,m_date,$U532,m_active,1,m_start,"&lt;"&amp;$W532,m_end,"&gt;"&amp;$V532)&gt;1,"충돌",""))</f>
        <v/>
      </c>
      <c r="T532" s="48"/>
      <c r="U532" s="55" t="str">
        <f aca="false">IF($G532="","",IFERROR(IF(ISNUMBER($G532),IF($G532&gt;19000000,DATE(INT($G532/10000),MOD(INT($G532/100),100),MOD($G532,100)),INT($G532)),IF(LEN(SUBSTITUTE(SUBSTITUTE(SUBSTITUTE(TRIM($G532),"-",""),".",""),"/",""))=8,DATE(VALUE(LEFT(SUBSTITUTE(SUBSTITUTE(SUBSTITUTE(TRIM($G532),"-",""),".",""),"/",""),4)),VALUE(MID(SUBSTITUTE(SUBSTITUTE(SUBSTITUTE(TRIM($G532),"-",""),".",""),"/",""),5,2)),VALUE(RIGHT(SUBSTITUTE(SUBSTITUTE(SUBSTITUTE(TRIM($G532),"-",""),".",""),"/",""),2))),DATEVALUE($G532))),""))</f>
        <v/>
      </c>
      <c r="V532" s="52" t="str">
        <f aca="false">IF($H532="","",IFERROR(IF(IF(ISNUMBER($H532),$H532,IFERROR(TIMEVALUE($H532),VALUE($H532)))&gt;=100,INT(IF(ISNUMBER($H532),$H532,IFERROR(TIMEVALUE($H532),VALUE($H532)))/100)*60+MOD(IF(ISNUMBER($H532),$H532,IFERROR(TIMEVALUE($H532),VALUE($H532))),100),IF(IF(ISNUMBER($H532),$H532,IFERROR(TIMEVALUE($H532),VALUE($H532)))&gt;=1,ROUND(IF(ISNUMBER($H532),$H532,IFERROR(TIMEVALUE($H532),VALUE($H532)))*60,0),ROUND(MOD(IF(ISNUMBER($H532),$H532,IFERROR(TIMEVALUE($H532),VALUE($H532))),1)*1440,0))),""))</f>
        <v/>
      </c>
      <c r="W532" s="52" t="str">
        <f aca="false">IF($I532="","",IFERROR(IF(IF(ISNUMBER($I532),$I532,IFERROR(TIMEVALUE($I532),VALUE($I532)))&gt;=100,INT(IF(ISNUMBER($I532),$I532,IFERROR(TIMEVALUE($I532),VALUE($I532)))/100)*60+MOD(IF(ISNUMBER($I532),$I532,IFERROR(TIMEVALUE($I532),VALUE($I532))),100),IF(IF(ISNUMBER($I532),$I532,IFERROR(TIMEVALUE($I532),VALUE($I532)))&gt;=1,ROUND(IF(ISNUMBER($I532),$I532,IFERROR(TIMEVALUE($I532),VALUE($I532)))*60,0),ROUND(MOD(IF(ISNUMBER($I532),$I532,IFERROR(TIMEVALUE($I532),VALUE($I532))),1)*1440,0))),""))</f>
        <v/>
      </c>
      <c r="X532" s="55" t="str">
        <f aca="false">IF($P532="","",IFERROR(IF(ISNUMBER($P532),IF($P532&gt;19000000,DATE(INT($P532/10000),MOD(INT($P532/100),100),MOD($P532,100)),INT($P532)),IF(LEN(SUBSTITUTE(SUBSTITUTE(SUBSTITUTE(TRIM($P532),"-",""),".",""),"/",""))=8,DATE(VALUE(LEFT(SUBSTITUTE(SUBSTITUTE(SUBSTITUTE(TRIM($P532),"-",""),".",""),"/",""),4)),VALUE(MID(SUBSTITUTE(SUBSTITUTE(SUBSTITUTE(TRIM($P532),"-",""),".",""),"/",""),5,2)),VALUE(RIGHT(SUBSTITUTE(SUBSTITUTE(SUBSTITUTE(TRIM($P532),"-",""),".",""),"/",""),2))),DATEVALUE($P532))),""))</f>
        <v/>
      </c>
      <c r="Y532" s="56" t="str">
        <f aca="false">IF($M532="","",IFERROR(INDEX(강사DB!$D$4:$D$53,MATCH($M532,강사DB!$A$4:$A$53,0)),""))</f>
        <v/>
      </c>
      <c r="Z532" s="56" t="str">
        <f aca="false">IF($B532&lt;&gt;"결제완료","",IF(OR($Y532="",$J532=""),"",$Y532*$J532+MAX(0,N($K532)-1)*설정!$J$7))</f>
        <v/>
      </c>
      <c r="AA532" s="56" t="str">
        <f aca="false">IF(AND($D532&lt;&gt;"",$B532="결제완료"),N($N532),"")</f>
        <v/>
      </c>
      <c r="AB532" s="45" t="str">
        <f aca="false">IF($D532="","",IF($F532&lt;&gt;"",$F532,$D532)&amp;IF($B532="상담중"," (상담)",""))</f>
        <v/>
      </c>
      <c r="AC532" s="45" t="n">
        <f aca="false">IF(AND($D532&lt;&gt;"",OR($B532="결제완료",$B532="상담중")),1,0)</f>
        <v>0</v>
      </c>
      <c r="AD532" s="45" t="n">
        <f aca="false">IF(OR($Z532="",$U532=""),0,IFERROR(IF(COUNTIFS(INDEX(g_grid,0,2*MATCH($M532,강사DB!$A$4:$A$15,0)),"&lt;&gt;",g_s,"&lt;="&amp;$U532,g_e,"&gt;="&amp;$U532)&gt;0,1,0),0))</f>
        <v>0</v>
      </c>
      <c r="AE532" s="48"/>
      <c r="AF532" s="56" t="str">
        <f aca="false">IF(AND($D532&lt;&gt;"",$B532="결제완료",$T532="대여"),설정!$J$5,"")</f>
        <v/>
      </c>
      <c r="AG532" s="54" t="str">
        <f aca="false">IF($D532="","",IF(AND($E532="",$R532=""),$AB532,"☎ "&amp;IF($E532="","-",$E532)&amp;IF($R532&lt;&gt;"","  ※ "&amp;$R532,"")&amp;IF($B532="상담중"," (상담)","")))</f>
        <v/>
      </c>
      <c r="AH532" s="56" t="str">
        <f aca="false">IF(AND($D532&lt;&gt;"",$B532="결제완료",$O532="스마트스토어"),ROUND(N($N532)*설정!$J$6,0),"")</f>
        <v/>
      </c>
      <c r="AI532" s="54" t="str">
        <f aca="false">IF($D532="","",ROW())</f>
        <v/>
      </c>
      <c r="AJ532" s="54" t="n">
        <f aca="false">IF(OR($AC532&lt;&gt;1,$M532=""),0,IF(ISNUMBER(SEARCH("퇴사",IFERROR(INDEX(강사DB!$G$4:$G$53,MATCH($M532,강사DB!$A$4:$A$53,0)),""))),1,0))</f>
        <v>0</v>
      </c>
    </row>
    <row r="533" customFormat="false" ht="15" hidden="false" customHeight="false" outlineLevel="0" collapsed="false">
      <c r="A533" s="45" t="str">
        <f aca="false">IF($D533="","",COUNTA($D$5:$D533))</f>
        <v/>
      </c>
      <c r="B533" s="46"/>
      <c r="C533" s="47"/>
      <c r="D533" s="48"/>
      <c r="E533" s="48"/>
      <c r="F533" s="49"/>
      <c r="G533" s="47"/>
      <c r="H533" s="50"/>
      <c r="I533" s="50"/>
      <c r="J533" s="51" t="str">
        <f aca="false">IF(OR($V533="",$W533=""),"",ROUND(($W533-$V533)/60,2))</f>
        <v/>
      </c>
      <c r="K533" s="52" t="str">
        <f aca="false">IF($F533="","",LEN($F533)-LEN(SUBSTITUTE($F533,",",""))+1)</f>
        <v/>
      </c>
      <c r="L533" s="45" t="str">
        <f aca="false">IF($K533="","","1:"&amp;$K533)</f>
        <v/>
      </c>
      <c r="M533" s="46"/>
      <c r="N533" s="53"/>
      <c r="O533" s="46"/>
      <c r="P533" s="47"/>
      <c r="Q533" s="48"/>
      <c r="R533" s="49"/>
      <c r="S533" s="54" t="str">
        <f aca="false">IF(OR($AC533=0,$U533="",$M533="",$V533="",$W533=""),"",IF(COUNTIFS(m_teacher,$M533,m_date,$U533,m_active,1,m_start,"&lt;"&amp;$W533,m_end,"&gt;"&amp;$V533)&gt;1,"충돌",""))</f>
        <v/>
      </c>
      <c r="T533" s="48"/>
      <c r="U533" s="55" t="str">
        <f aca="false">IF($G533="","",IFERROR(IF(ISNUMBER($G533),IF($G533&gt;19000000,DATE(INT($G533/10000),MOD(INT($G533/100),100),MOD($G533,100)),INT($G533)),IF(LEN(SUBSTITUTE(SUBSTITUTE(SUBSTITUTE(TRIM($G533),"-",""),".",""),"/",""))=8,DATE(VALUE(LEFT(SUBSTITUTE(SUBSTITUTE(SUBSTITUTE(TRIM($G533),"-",""),".",""),"/",""),4)),VALUE(MID(SUBSTITUTE(SUBSTITUTE(SUBSTITUTE(TRIM($G533),"-",""),".",""),"/",""),5,2)),VALUE(RIGHT(SUBSTITUTE(SUBSTITUTE(SUBSTITUTE(TRIM($G533),"-",""),".",""),"/",""),2))),DATEVALUE($G533))),""))</f>
        <v/>
      </c>
      <c r="V533" s="52" t="str">
        <f aca="false">IF($H533="","",IFERROR(IF(IF(ISNUMBER($H533),$H533,IFERROR(TIMEVALUE($H533),VALUE($H533)))&gt;=100,INT(IF(ISNUMBER($H533),$H533,IFERROR(TIMEVALUE($H533),VALUE($H533)))/100)*60+MOD(IF(ISNUMBER($H533),$H533,IFERROR(TIMEVALUE($H533),VALUE($H533))),100),IF(IF(ISNUMBER($H533),$H533,IFERROR(TIMEVALUE($H533),VALUE($H533)))&gt;=1,ROUND(IF(ISNUMBER($H533),$H533,IFERROR(TIMEVALUE($H533),VALUE($H533)))*60,0),ROUND(MOD(IF(ISNUMBER($H533),$H533,IFERROR(TIMEVALUE($H533),VALUE($H533))),1)*1440,0))),""))</f>
        <v/>
      </c>
      <c r="W533" s="52" t="str">
        <f aca="false">IF($I533="","",IFERROR(IF(IF(ISNUMBER($I533),$I533,IFERROR(TIMEVALUE($I533),VALUE($I533)))&gt;=100,INT(IF(ISNUMBER($I533),$I533,IFERROR(TIMEVALUE($I533),VALUE($I533)))/100)*60+MOD(IF(ISNUMBER($I533),$I533,IFERROR(TIMEVALUE($I533),VALUE($I533))),100),IF(IF(ISNUMBER($I533),$I533,IFERROR(TIMEVALUE($I533),VALUE($I533)))&gt;=1,ROUND(IF(ISNUMBER($I533),$I533,IFERROR(TIMEVALUE($I533),VALUE($I533)))*60,0),ROUND(MOD(IF(ISNUMBER($I533),$I533,IFERROR(TIMEVALUE($I533),VALUE($I533))),1)*1440,0))),""))</f>
        <v/>
      </c>
      <c r="X533" s="55" t="str">
        <f aca="false">IF($P533="","",IFERROR(IF(ISNUMBER($P533),IF($P533&gt;19000000,DATE(INT($P533/10000),MOD(INT($P533/100),100),MOD($P533,100)),INT($P533)),IF(LEN(SUBSTITUTE(SUBSTITUTE(SUBSTITUTE(TRIM($P533),"-",""),".",""),"/",""))=8,DATE(VALUE(LEFT(SUBSTITUTE(SUBSTITUTE(SUBSTITUTE(TRIM($P533),"-",""),".",""),"/",""),4)),VALUE(MID(SUBSTITUTE(SUBSTITUTE(SUBSTITUTE(TRIM($P533),"-",""),".",""),"/",""),5,2)),VALUE(RIGHT(SUBSTITUTE(SUBSTITUTE(SUBSTITUTE(TRIM($P533),"-",""),".",""),"/",""),2))),DATEVALUE($P533))),""))</f>
        <v/>
      </c>
      <c r="Y533" s="56" t="str">
        <f aca="false">IF($M533="","",IFERROR(INDEX(강사DB!$D$4:$D$53,MATCH($M533,강사DB!$A$4:$A$53,0)),""))</f>
        <v/>
      </c>
      <c r="Z533" s="56" t="str">
        <f aca="false">IF($B533&lt;&gt;"결제완료","",IF(OR($Y533="",$J533=""),"",$Y533*$J533+MAX(0,N($K533)-1)*설정!$J$7))</f>
        <v/>
      </c>
      <c r="AA533" s="56" t="str">
        <f aca="false">IF(AND($D533&lt;&gt;"",$B533="결제완료"),N($N533),"")</f>
        <v/>
      </c>
      <c r="AB533" s="45" t="str">
        <f aca="false">IF($D533="","",IF($F533&lt;&gt;"",$F533,$D533)&amp;IF($B533="상담중"," (상담)",""))</f>
        <v/>
      </c>
      <c r="AC533" s="45" t="n">
        <f aca="false">IF(AND($D533&lt;&gt;"",OR($B533="결제완료",$B533="상담중")),1,0)</f>
        <v>0</v>
      </c>
      <c r="AD533" s="45" t="n">
        <f aca="false">IF(OR($Z533="",$U533=""),0,IFERROR(IF(COUNTIFS(INDEX(g_grid,0,2*MATCH($M533,강사DB!$A$4:$A$15,0)),"&lt;&gt;",g_s,"&lt;="&amp;$U533,g_e,"&gt;="&amp;$U533)&gt;0,1,0),0))</f>
        <v>0</v>
      </c>
      <c r="AE533" s="48"/>
      <c r="AF533" s="56" t="str">
        <f aca="false">IF(AND($D533&lt;&gt;"",$B533="결제완료",$T533="대여"),설정!$J$5,"")</f>
        <v/>
      </c>
      <c r="AG533" s="54" t="str">
        <f aca="false">IF($D533="","",IF(AND($E533="",$R533=""),$AB533,"☎ "&amp;IF($E533="","-",$E533)&amp;IF($R533&lt;&gt;"","  ※ "&amp;$R533,"")&amp;IF($B533="상담중"," (상담)","")))</f>
        <v/>
      </c>
      <c r="AH533" s="56" t="str">
        <f aca="false">IF(AND($D533&lt;&gt;"",$B533="결제완료",$O533="스마트스토어"),ROUND(N($N533)*설정!$J$6,0),"")</f>
        <v/>
      </c>
      <c r="AI533" s="54" t="str">
        <f aca="false">IF($D533="","",ROW())</f>
        <v/>
      </c>
      <c r="AJ533" s="54" t="n">
        <f aca="false">IF(OR($AC533&lt;&gt;1,$M533=""),0,IF(ISNUMBER(SEARCH("퇴사",IFERROR(INDEX(강사DB!$G$4:$G$53,MATCH($M533,강사DB!$A$4:$A$53,0)),""))),1,0))</f>
        <v>0</v>
      </c>
    </row>
    <row r="534" customFormat="false" ht="15" hidden="false" customHeight="false" outlineLevel="0" collapsed="false">
      <c r="A534" s="45" t="str">
        <f aca="false">IF($D534="","",COUNTA($D$5:$D534))</f>
        <v/>
      </c>
      <c r="B534" s="46"/>
      <c r="C534" s="47"/>
      <c r="D534" s="48"/>
      <c r="E534" s="48"/>
      <c r="F534" s="49"/>
      <c r="G534" s="47"/>
      <c r="H534" s="50"/>
      <c r="I534" s="50"/>
      <c r="J534" s="51" t="str">
        <f aca="false">IF(OR($V534="",$W534=""),"",ROUND(($W534-$V534)/60,2))</f>
        <v/>
      </c>
      <c r="K534" s="52" t="str">
        <f aca="false">IF($F534="","",LEN($F534)-LEN(SUBSTITUTE($F534,",",""))+1)</f>
        <v/>
      </c>
      <c r="L534" s="45" t="str">
        <f aca="false">IF($K534="","","1:"&amp;$K534)</f>
        <v/>
      </c>
      <c r="M534" s="46"/>
      <c r="N534" s="53"/>
      <c r="O534" s="46"/>
      <c r="P534" s="47"/>
      <c r="Q534" s="48"/>
      <c r="R534" s="49"/>
      <c r="S534" s="54" t="str">
        <f aca="false">IF(OR($AC534=0,$U534="",$M534="",$V534="",$W534=""),"",IF(COUNTIFS(m_teacher,$M534,m_date,$U534,m_active,1,m_start,"&lt;"&amp;$W534,m_end,"&gt;"&amp;$V534)&gt;1,"충돌",""))</f>
        <v/>
      </c>
      <c r="T534" s="48"/>
      <c r="U534" s="55" t="str">
        <f aca="false">IF($G534="","",IFERROR(IF(ISNUMBER($G534),IF($G534&gt;19000000,DATE(INT($G534/10000),MOD(INT($G534/100),100),MOD($G534,100)),INT($G534)),IF(LEN(SUBSTITUTE(SUBSTITUTE(SUBSTITUTE(TRIM($G534),"-",""),".",""),"/",""))=8,DATE(VALUE(LEFT(SUBSTITUTE(SUBSTITUTE(SUBSTITUTE(TRIM($G534),"-",""),".",""),"/",""),4)),VALUE(MID(SUBSTITUTE(SUBSTITUTE(SUBSTITUTE(TRIM($G534),"-",""),".",""),"/",""),5,2)),VALUE(RIGHT(SUBSTITUTE(SUBSTITUTE(SUBSTITUTE(TRIM($G534),"-",""),".",""),"/",""),2))),DATEVALUE($G534))),""))</f>
        <v/>
      </c>
      <c r="V534" s="52" t="str">
        <f aca="false">IF($H534="","",IFERROR(IF(IF(ISNUMBER($H534),$H534,IFERROR(TIMEVALUE($H534),VALUE($H534)))&gt;=100,INT(IF(ISNUMBER($H534),$H534,IFERROR(TIMEVALUE($H534),VALUE($H534)))/100)*60+MOD(IF(ISNUMBER($H534),$H534,IFERROR(TIMEVALUE($H534),VALUE($H534))),100),IF(IF(ISNUMBER($H534),$H534,IFERROR(TIMEVALUE($H534),VALUE($H534)))&gt;=1,ROUND(IF(ISNUMBER($H534),$H534,IFERROR(TIMEVALUE($H534),VALUE($H534)))*60,0),ROUND(MOD(IF(ISNUMBER($H534),$H534,IFERROR(TIMEVALUE($H534),VALUE($H534))),1)*1440,0))),""))</f>
        <v/>
      </c>
      <c r="W534" s="52" t="str">
        <f aca="false">IF($I534="","",IFERROR(IF(IF(ISNUMBER($I534),$I534,IFERROR(TIMEVALUE($I534),VALUE($I534)))&gt;=100,INT(IF(ISNUMBER($I534),$I534,IFERROR(TIMEVALUE($I534),VALUE($I534)))/100)*60+MOD(IF(ISNUMBER($I534),$I534,IFERROR(TIMEVALUE($I534),VALUE($I534))),100),IF(IF(ISNUMBER($I534),$I534,IFERROR(TIMEVALUE($I534),VALUE($I534)))&gt;=1,ROUND(IF(ISNUMBER($I534),$I534,IFERROR(TIMEVALUE($I534),VALUE($I534)))*60,0),ROUND(MOD(IF(ISNUMBER($I534),$I534,IFERROR(TIMEVALUE($I534),VALUE($I534))),1)*1440,0))),""))</f>
        <v/>
      </c>
      <c r="X534" s="55" t="str">
        <f aca="false">IF($P534="","",IFERROR(IF(ISNUMBER($P534),IF($P534&gt;19000000,DATE(INT($P534/10000),MOD(INT($P534/100),100),MOD($P534,100)),INT($P534)),IF(LEN(SUBSTITUTE(SUBSTITUTE(SUBSTITUTE(TRIM($P534),"-",""),".",""),"/",""))=8,DATE(VALUE(LEFT(SUBSTITUTE(SUBSTITUTE(SUBSTITUTE(TRIM($P534),"-",""),".",""),"/",""),4)),VALUE(MID(SUBSTITUTE(SUBSTITUTE(SUBSTITUTE(TRIM($P534),"-",""),".",""),"/",""),5,2)),VALUE(RIGHT(SUBSTITUTE(SUBSTITUTE(SUBSTITUTE(TRIM($P534),"-",""),".",""),"/",""),2))),DATEVALUE($P534))),""))</f>
        <v/>
      </c>
      <c r="Y534" s="56" t="str">
        <f aca="false">IF($M534="","",IFERROR(INDEX(강사DB!$D$4:$D$53,MATCH($M534,강사DB!$A$4:$A$53,0)),""))</f>
        <v/>
      </c>
      <c r="Z534" s="56" t="str">
        <f aca="false">IF($B534&lt;&gt;"결제완료","",IF(OR($Y534="",$J534=""),"",$Y534*$J534+MAX(0,N($K534)-1)*설정!$J$7))</f>
        <v/>
      </c>
      <c r="AA534" s="56" t="str">
        <f aca="false">IF(AND($D534&lt;&gt;"",$B534="결제완료"),N($N534),"")</f>
        <v/>
      </c>
      <c r="AB534" s="45" t="str">
        <f aca="false">IF($D534="","",IF($F534&lt;&gt;"",$F534,$D534)&amp;IF($B534="상담중"," (상담)",""))</f>
        <v/>
      </c>
      <c r="AC534" s="45" t="n">
        <f aca="false">IF(AND($D534&lt;&gt;"",OR($B534="결제완료",$B534="상담중")),1,0)</f>
        <v>0</v>
      </c>
      <c r="AD534" s="45" t="n">
        <f aca="false">IF(OR($Z534="",$U534=""),0,IFERROR(IF(COUNTIFS(INDEX(g_grid,0,2*MATCH($M534,강사DB!$A$4:$A$15,0)),"&lt;&gt;",g_s,"&lt;="&amp;$U534,g_e,"&gt;="&amp;$U534)&gt;0,1,0),0))</f>
        <v>0</v>
      </c>
      <c r="AE534" s="48"/>
      <c r="AF534" s="56" t="str">
        <f aca="false">IF(AND($D534&lt;&gt;"",$B534="결제완료",$T534="대여"),설정!$J$5,"")</f>
        <v/>
      </c>
      <c r="AG534" s="54" t="str">
        <f aca="false">IF($D534="","",IF(AND($E534="",$R534=""),$AB534,"☎ "&amp;IF($E534="","-",$E534)&amp;IF($R534&lt;&gt;"","  ※ "&amp;$R534,"")&amp;IF($B534="상담중"," (상담)","")))</f>
        <v/>
      </c>
      <c r="AH534" s="56" t="str">
        <f aca="false">IF(AND($D534&lt;&gt;"",$B534="결제완료",$O534="스마트스토어"),ROUND(N($N534)*설정!$J$6,0),"")</f>
        <v/>
      </c>
      <c r="AI534" s="54" t="str">
        <f aca="false">IF($D534="","",ROW())</f>
        <v/>
      </c>
      <c r="AJ534" s="54" t="n">
        <f aca="false">IF(OR($AC534&lt;&gt;1,$M534=""),0,IF(ISNUMBER(SEARCH("퇴사",IFERROR(INDEX(강사DB!$G$4:$G$53,MATCH($M534,강사DB!$A$4:$A$53,0)),""))),1,0))</f>
        <v>0</v>
      </c>
    </row>
    <row r="535" customFormat="false" ht="15" hidden="false" customHeight="false" outlineLevel="0" collapsed="false">
      <c r="A535" s="45" t="str">
        <f aca="false">IF($D535="","",COUNTA($D$5:$D535))</f>
        <v/>
      </c>
      <c r="B535" s="46"/>
      <c r="C535" s="47"/>
      <c r="D535" s="48"/>
      <c r="E535" s="48"/>
      <c r="F535" s="49"/>
      <c r="G535" s="47"/>
      <c r="H535" s="50"/>
      <c r="I535" s="50"/>
      <c r="J535" s="51" t="str">
        <f aca="false">IF(OR($V535="",$W535=""),"",ROUND(($W535-$V535)/60,2))</f>
        <v/>
      </c>
      <c r="K535" s="52" t="str">
        <f aca="false">IF($F535="","",LEN($F535)-LEN(SUBSTITUTE($F535,",",""))+1)</f>
        <v/>
      </c>
      <c r="L535" s="45" t="str">
        <f aca="false">IF($K535="","","1:"&amp;$K535)</f>
        <v/>
      </c>
      <c r="M535" s="46"/>
      <c r="N535" s="53"/>
      <c r="O535" s="46"/>
      <c r="P535" s="47"/>
      <c r="Q535" s="48"/>
      <c r="R535" s="49"/>
      <c r="S535" s="54" t="str">
        <f aca="false">IF(OR($AC535=0,$U535="",$M535="",$V535="",$W535=""),"",IF(COUNTIFS(m_teacher,$M535,m_date,$U535,m_active,1,m_start,"&lt;"&amp;$W535,m_end,"&gt;"&amp;$V535)&gt;1,"충돌",""))</f>
        <v/>
      </c>
      <c r="T535" s="48"/>
      <c r="U535" s="55" t="str">
        <f aca="false">IF($G535="","",IFERROR(IF(ISNUMBER($G535),IF($G535&gt;19000000,DATE(INT($G535/10000),MOD(INT($G535/100),100),MOD($G535,100)),INT($G535)),IF(LEN(SUBSTITUTE(SUBSTITUTE(SUBSTITUTE(TRIM($G535),"-",""),".",""),"/",""))=8,DATE(VALUE(LEFT(SUBSTITUTE(SUBSTITUTE(SUBSTITUTE(TRIM($G535),"-",""),".",""),"/",""),4)),VALUE(MID(SUBSTITUTE(SUBSTITUTE(SUBSTITUTE(TRIM($G535),"-",""),".",""),"/",""),5,2)),VALUE(RIGHT(SUBSTITUTE(SUBSTITUTE(SUBSTITUTE(TRIM($G535),"-",""),".",""),"/",""),2))),DATEVALUE($G535))),""))</f>
        <v/>
      </c>
      <c r="V535" s="52" t="str">
        <f aca="false">IF($H535="","",IFERROR(IF(IF(ISNUMBER($H535),$H535,IFERROR(TIMEVALUE($H535),VALUE($H535)))&gt;=100,INT(IF(ISNUMBER($H535),$H535,IFERROR(TIMEVALUE($H535),VALUE($H535)))/100)*60+MOD(IF(ISNUMBER($H535),$H535,IFERROR(TIMEVALUE($H535),VALUE($H535))),100),IF(IF(ISNUMBER($H535),$H535,IFERROR(TIMEVALUE($H535),VALUE($H535)))&gt;=1,ROUND(IF(ISNUMBER($H535),$H535,IFERROR(TIMEVALUE($H535),VALUE($H535)))*60,0),ROUND(MOD(IF(ISNUMBER($H535),$H535,IFERROR(TIMEVALUE($H535),VALUE($H535))),1)*1440,0))),""))</f>
        <v/>
      </c>
      <c r="W535" s="52" t="str">
        <f aca="false">IF($I535="","",IFERROR(IF(IF(ISNUMBER($I535),$I535,IFERROR(TIMEVALUE($I535),VALUE($I535)))&gt;=100,INT(IF(ISNUMBER($I535),$I535,IFERROR(TIMEVALUE($I535),VALUE($I535)))/100)*60+MOD(IF(ISNUMBER($I535),$I535,IFERROR(TIMEVALUE($I535),VALUE($I535))),100),IF(IF(ISNUMBER($I535),$I535,IFERROR(TIMEVALUE($I535),VALUE($I535)))&gt;=1,ROUND(IF(ISNUMBER($I535),$I535,IFERROR(TIMEVALUE($I535),VALUE($I535)))*60,0),ROUND(MOD(IF(ISNUMBER($I535),$I535,IFERROR(TIMEVALUE($I535),VALUE($I535))),1)*1440,0))),""))</f>
        <v/>
      </c>
      <c r="X535" s="55" t="str">
        <f aca="false">IF($P535="","",IFERROR(IF(ISNUMBER($P535),IF($P535&gt;19000000,DATE(INT($P535/10000),MOD(INT($P535/100),100),MOD($P535,100)),INT($P535)),IF(LEN(SUBSTITUTE(SUBSTITUTE(SUBSTITUTE(TRIM($P535),"-",""),".",""),"/",""))=8,DATE(VALUE(LEFT(SUBSTITUTE(SUBSTITUTE(SUBSTITUTE(TRIM($P535),"-",""),".",""),"/",""),4)),VALUE(MID(SUBSTITUTE(SUBSTITUTE(SUBSTITUTE(TRIM($P535),"-",""),".",""),"/",""),5,2)),VALUE(RIGHT(SUBSTITUTE(SUBSTITUTE(SUBSTITUTE(TRIM($P535),"-",""),".",""),"/",""),2))),DATEVALUE($P535))),""))</f>
        <v/>
      </c>
      <c r="Y535" s="56" t="str">
        <f aca="false">IF($M535="","",IFERROR(INDEX(강사DB!$D$4:$D$53,MATCH($M535,강사DB!$A$4:$A$53,0)),""))</f>
        <v/>
      </c>
      <c r="Z535" s="56" t="str">
        <f aca="false">IF($B535&lt;&gt;"결제완료","",IF(OR($Y535="",$J535=""),"",$Y535*$J535+MAX(0,N($K535)-1)*설정!$J$7))</f>
        <v/>
      </c>
      <c r="AA535" s="56" t="str">
        <f aca="false">IF(AND($D535&lt;&gt;"",$B535="결제완료"),N($N535),"")</f>
        <v/>
      </c>
      <c r="AB535" s="45" t="str">
        <f aca="false">IF($D535="","",IF($F535&lt;&gt;"",$F535,$D535)&amp;IF($B535="상담중"," (상담)",""))</f>
        <v/>
      </c>
      <c r="AC535" s="45" t="n">
        <f aca="false">IF(AND($D535&lt;&gt;"",OR($B535="결제완료",$B535="상담중")),1,0)</f>
        <v>0</v>
      </c>
      <c r="AD535" s="45" t="n">
        <f aca="false">IF(OR($Z535="",$U535=""),0,IFERROR(IF(COUNTIFS(INDEX(g_grid,0,2*MATCH($M535,강사DB!$A$4:$A$15,0)),"&lt;&gt;",g_s,"&lt;="&amp;$U535,g_e,"&gt;="&amp;$U535)&gt;0,1,0),0))</f>
        <v>0</v>
      </c>
      <c r="AE535" s="48"/>
      <c r="AF535" s="56" t="str">
        <f aca="false">IF(AND($D535&lt;&gt;"",$B535="결제완료",$T535="대여"),설정!$J$5,"")</f>
        <v/>
      </c>
      <c r="AG535" s="54" t="str">
        <f aca="false">IF($D535="","",IF(AND($E535="",$R535=""),$AB535,"☎ "&amp;IF($E535="","-",$E535)&amp;IF($R535&lt;&gt;"","  ※ "&amp;$R535,"")&amp;IF($B535="상담중"," (상담)","")))</f>
        <v/>
      </c>
      <c r="AH535" s="56" t="str">
        <f aca="false">IF(AND($D535&lt;&gt;"",$B535="결제완료",$O535="스마트스토어"),ROUND(N($N535)*설정!$J$6,0),"")</f>
        <v/>
      </c>
      <c r="AI535" s="54" t="str">
        <f aca="false">IF($D535="","",ROW())</f>
        <v/>
      </c>
      <c r="AJ535" s="54" t="n">
        <f aca="false">IF(OR($AC535&lt;&gt;1,$M535=""),0,IF(ISNUMBER(SEARCH("퇴사",IFERROR(INDEX(강사DB!$G$4:$G$53,MATCH($M535,강사DB!$A$4:$A$53,0)),""))),1,0))</f>
        <v>0</v>
      </c>
    </row>
    <row r="536" customFormat="false" ht="15" hidden="false" customHeight="false" outlineLevel="0" collapsed="false">
      <c r="A536" s="45" t="str">
        <f aca="false">IF($D536="","",COUNTA($D$5:$D536))</f>
        <v/>
      </c>
      <c r="B536" s="46"/>
      <c r="C536" s="47"/>
      <c r="D536" s="48"/>
      <c r="E536" s="48"/>
      <c r="F536" s="49"/>
      <c r="G536" s="47"/>
      <c r="H536" s="50"/>
      <c r="I536" s="50"/>
      <c r="J536" s="51" t="str">
        <f aca="false">IF(OR($V536="",$W536=""),"",ROUND(($W536-$V536)/60,2))</f>
        <v/>
      </c>
      <c r="K536" s="52" t="str">
        <f aca="false">IF($F536="","",LEN($F536)-LEN(SUBSTITUTE($F536,",",""))+1)</f>
        <v/>
      </c>
      <c r="L536" s="45" t="str">
        <f aca="false">IF($K536="","","1:"&amp;$K536)</f>
        <v/>
      </c>
      <c r="M536" s="46"/>
      <c r="N536" s="53"/>
      <c r="O536" s="46"/>
      <c r="P536" s="47"/>
      <c r="Q536" s="48"/>
      <c r="R536" s="49"/>
      <c r="S536" s="54" t="str">
        <f aca="false">IF(OR($AC536=0,$U536="",$M536="",$V536="",$W536=""),"",IF(COUNTIFS(m_teacher,$M536,m_date,$U536,m_active,1,m_start,"&lt;"&amp;$W536,m_end,"&gt;"&amp;$V536)&gt;1,"충돌",""))</f>
        <v/>
      </c>
      <c r="T536" s="48"/>
      <c r="U536" s="55" t="str">
        <f aca="false">IF($G536="","",IFERROR(IF(ISNUMBER($G536),IF($G536&gt;19000000,DATE(INT($G536/10000),MOD(INT($G536/100),100),MOD($G536,100)),INT($G536)),IF(LEN(SUBSTITUTE(SUBSTITUTE(SUBSTITUTE(TRIM($G536),"-",""),".",""),"/",""))=8,DATE(VALUE(LEFT(SUBSTITUTE(SUBSTITUTE(SUBSTITUTE(TRIM($G536),"-",""),".",""),"/",""),4)),VALUE(MID(SUBSTITUTE(SUBSTITUTE(SUBSTITUTE(TRIM($G536),"-",""),".",""),"/",""),5,2)),VALUE(RIGHT(SUBSTITUTE(SUBSTITUTE(SUBSTITUTE(TRIM($G536),"-",""),".",""),"/",""),2))),DATEVALUE($G536))),""))</f>
        <v/>
      </c>
      <c r="V536" s="52" t="str">
        <f aca="false">IF($H536="","",IFERROR(IF(IF(ISNUMBER($H536),$H536,IFERROR(TIMEVALUE($H536),VALUE($H536)))&gt;=100,INT(IF(ISNUMBER($H536),$H536,IFERROR(TIMEVALUE($H536),VALUE($H536)))/100)*60+MOD(IF(ISNUMBER($H536),$H536,IFERROR(TIMEVALUE($H536),VALUE($H536))),100),IF(IF(ISNUMBER($H536),$H536,IFERROR(TIMEVALUE($H536),VALUE($H536)))&gt;=1,ROUND(IF(ISNUMBER($H536),$H536,IFERROR(TIMEVALUE($H536),VALUE($H536)))*60,0),ROUND(MOD(IF(ISNUMBER($H536),$H536,IFERROR(TIMEVALUE($H536),VALUE($H536))),1)*1440,0))),""))</f>
        <v/>
      </c>
      <c r="W536" s="52" t="str">
        <f aca="false">IF($I536="","",IFERROR(IF(IF(ISNUMBER($I536),$I536,IFERROR(TIMEVALUE($I536),VALUE($I536)))&gt;=100,INT(IF(ISNUMBER($I536),$I536,IFERROR(TIMEVALUE($I536),VALUE($I536)))/100)*60+MOD(IF(ISNUMBER($I536),$I536,IFERROR(TIMEVALUE($I536),VALUE($I536))),100),IF(IF(ISNUMBER($I536),$I536,IFERROR(TIMEVALUE($I536),VALUE($I536)))&gt;=1,ROUND(IF(ISNUMBER($I536),$I536,IFERROR(TIMEVALUE($I536),VALUE($I536)))*60,0),ROUND(MOD(IF(ISNUMBER($I536),$I536,IFERROR(TIMEVALUE($I536),VALUE($I536))),1)*1440,0))),""))</f>
        <v/>
      </c>
      <c r="X536" s="55" t="str">
        <f aca="false">IF($P536="","",IFERROR(IF(ISNUMBER($P536),IF($P536&gt;19000000,DATE(INT($P536/10000),MOD(INT($P536/100),100),MOD($P536,100)),INT($P536)),IF(LEN(SUBSTITUTE(SUBSTITUTE(SUBSTITUTE(TRIM($P536),"-",""),".",""),"/",""))=8,DATE(VALUE(LEFT(SUBSTITUTE(SUBSTITUTE(SUBSTITUTE(TRIM($P536),"-",""),".",""),"/",""),4)),VALUE(MID(SUBSTITUTE(SUBSTITUTE(SUBSTITUTE(TRIM($P536),"-",""),".",""),"/",""),5,2)),VALUE(RIGHT(SUBSTITUTE(SUBSTITUTE(SUBSTITUTE(TRIM($P536),"-",""),".",""),"/",""),2))),DATEVALUE($P536))),""))</f>
        <v/>
      </c>
      <c r="Y536" s="56" t="str">
        <f aca="false">IF($M536="","",IFERROR(INDEX(강사DB!$D$4:$D$53,MATCH($M536,강사DB!$A$4:$A$53,0)),""))</f>
        <v/>
      </c>
      <c r="Z536" s="56" t="str">
        <f aca="false">IF($B536&lt;&gt;"결제완료","",IF(OR($Y536="",$J536=""),"",$Y536*$J536+MAX(0,N($K536)-1)*설정!$J$7))</f>
        <v/>
      </c>
      <c r="AA536" s="56" t="str">
        <f aca="false">IF(AND($D536&lt;&gt;"",$B536="결제완료"),N($N536),"")</f>
        <v/>
      </c>
      <c r="AB536" s="45" t="str">
        <f aca="false">IF($D536="","",IF($F536&lt;&gt;"",$F536,$D536)&amp;IF($B536="상담중"," (상담)",""))</f>
        <v/>
      </c>
      <c r="AC536" s="45" t="n">
        <f aca="false">IF(AND($D536&lt;&gt;"",OR($B536="결제완료",$B536="상담중")),1,0)</f>
        <v>0</v>
      </c>
      <c r="AD536" s="45" t="n">
        <f aca="false">IF(OR($Z536="",$U536=""),0,IFERROR(IF(COUNTIFS(INDEX(g_grid,0,2*MATCH($M536,강사DB!$A$4:$A$15,0)),"&lt;&gt;",g_s,"&lt;="&amp;$U536,g_e,"&gt;="&amp;$U536)&gt;0,1,0),0))</f>
        <v>0</v>
      </c>
      <c r="AE536" s="48"/>
      <c r="AF536" s="56" t="str">
        <f aca="false">IF(AND($D536&lt;&gt;"",$B536="결제완료",$T536="대여"),설정!$J$5,"")</f>
        <v/>
      </c>
      <c r="AG536" s="54" t="str">
        <f aca="false">IF($D536="","",IF(AND($E536="",$R536=""),$AB536,"☎ "&amp;IF($E536="","-",$E536)&amp;IF($R536&lt;&gt;"","  ※ "&amp;$R536,"")&amp;IF($B536="상담중"," (상담)","")))</f>
        <v/>
      </c>
      <c r="AH536" s="56" t="str">
        <f aca="false">IF(AND($D536&lt;&gt;"",$B536="결제완료",$O536="스마트스토어"),ROUND(N($N536)*설정!$J$6,0),"")</f>
        <v/>
      </c>
      <c r="AI536" s="54" t="str">
        <f aca="false">IF($D536="","",ROW())</f>
        <v/>
      </c>
      <c r="AJ536" s="54" t="n">
        <f aca="false">IF(OR($AC536&lt;&gt;1,$M536=""),0,IF(ISNUMBER(SEARCH("퇴사",IFERROR(INDEX(강사DB!$G$4:$G$53,MATCH($M536,강사DB!$A$4:$A$53,0)),""))),1,0))</f>
        <v>0</v>
      </c>
    </row>
    <row r="537" customFormat="false" ht="15" hidden="false" customHeight="false" outlineLevel="0" collapsed="false">
      <c r="A537" s="45" t="str">
        <f aca="false">IF($D537="","",COUNTA($D$5:$D537))</f>
        <v/>
      </c>
      <c r="B537" s="46"/>
      <c r="C537" s="47"/>
      <c r="D537" s="48"/>
      <c r="E537" s="48"/>
      <c r="F537" s="49"/>
      <c r="G537" s="47"/>
      <c r="H537" s="50"/>
      <c r="I537" s="50"/>
      <c r="J537" s="51" t="str">
        <f aca="false">IF(OR($V537="",$W537=""),"",ROUND(($W537-$V537)/60,2))</f>
        <v/>
      </c>
      <c r="K537" s="52" t="str">
        <f aca="false">IF($F537="","",LEN($F537)-LEN(SUBSTITUTE($F537,",",""))+1)</f>
        <v/>
      </c>
      <c r="L537" s="45" t="str">
        <f aca="false">IF($K537="","","1:"&amp;$K537)</f>
        <v/>
      </c>
      <c r="M537" s="46"/>
      <c r="N537" s="53"/>
      <c r="O537" s="46"/>
      <c r="P537" s="47"/>
      <c r="Q537" s="48"/>
      <c r="R537" s="49"/>
      <c r="S537" s="54" t="str">
        <f aca="false">IF(OR($AC537=0,$U537="",$M537="",$V537="",$W537=""),"",IF(COUNTIFS(m_teacher,$M537,m_date,$U537,m_active,1,m_start,"&lt;"&amp;$W537,m_end,"&gt;"&amp;$V537)&gt;1,"충돌",""))</f>
        <v/>
      </c>
      <c r="T537" s="48"/>
      <c r="U537" s="55" t="str">
        <f aca="false">IF($G537="","",IFERROR(IF(ISNUMBER($G537),IF($G537&gt;19000000,DATE(INT($G537/10000),MOD(INT($G537/100),100),MOD($G537,100)),INT($G537)),IF(LEN(SUBSTITUTE(SUBSTITUTE(SUBSTITUTE(TRIM($G537),"-",""),".",""),"/",""))=8,DATE(VALUE(LEFT(SUBSTITUTE(SUBSTITUTE(SUBSTITUTE(TRIM($G537),"-",""),".",""),"/",""),4)),VALUE(MID(SUBSTITUTE(SUBSTITUTE(SUBSTITUTE(TRIM($G537),"-",""),".",""),"/",""),5,2)),VALUE(RIGHT(SUBSTITUTE(SUBSTITUTE(SUBSTITUTE(TRIM($G537),"-",""),".",""),"/",""),2))),DATEVALUE($G537))),""))</f>
        <v/>
      </c>
      <c r="V537" s="52" t="str">
        <f aca="false">IF($H537="","",IFERROR(IF(IF(ISNUMBER($H537),$H537,IFERROR(TIMEVALUE($H537),VALUE($H537)))&gt;=100,INT(IF(ISNUMBER($H537),$H537,IFERROR(TIMEVALUE($H537),VALUE($H537)))/100)*60+MOD(IF(ISNUMBER($H537),$H537,IFERROR(TIMEVALUE($H537),VALUE($H537))),100),IF(IF(ISNUMBER($H537),$H537,IFERROR(TIMEVALUE($H537),VALUE($H537)))&gt;=1,ROUND(IF(ISNUMBER($H537),$H537,IFERROR(TIMEVALUE($H537),VALUE($H537)))*60,0),ROUND(MOD(IF(ISNUMBER($H537),$H537,IFERROR(TIMEVALUE($H537),VALUE($H537))),1)*1440,0))),""))</f>
        <v/>
      </c>
      <c r="W537" s="52" t="str">
        <f aca="false">IF($I537="","",IFERROR(IF(IF(ISNUMBER($I537),$I537,IFERROR(TIMEVALUE($I537),VALUE($I537)))&gt;=100,INT(IF(ISNUMBER($I537),$I537,IFERROR(TIMEVALUE($I537),VALUE($I537)))/100)*60+MOD(IF(ISNUMBER($I537),$I537,IFERROR(TIMEVALUE($I537),VALUE($I537))),100),IF(IF(ISNUMBER($I537),$I537,IFERROR(TIMEVALUE($I537),VALUE($I537)))&gt;=1,ROUND(IF(ISNUMBER($I537),$I537,IFERROR(TIMEVALUE($I537),VALUE($I537)))*60,0),ROUND(MOD(IF(ISNUMBER($I537),$I537,IFERROR(TIMEVALUE($I537),VALUE($I537))),1)*1440,0))),""))</f>
        <v/>
      </c>
      <c r="X537" s="55" t="str">
        <f aca="false">IF($P537="","",IFERROR(IF(ISNUMBER($P537),IF($P537&gt;19000000,DATE(INT($P537/10000),MOD(INT($P537/100),100),MOD($P537,100)),INT($P537)),IF(LEN(SUBSTITUTE(SUBSTITUTE(SUBSTITUTE(TRIM($P537),"-",""),".",""),"/",""))=8,DATE(VALUE(LEFT(SUBSTITUTE(SUBSTITUTE(SUBSTITUTE(TRIM($P537),"-",""),".",""),"/",""),4)),VALUE(MID(SUBSTITUTE(SUBSTITUTE(SUBSTITUTE(TRIM($P537),"-",""),".",""),"/",""),5,2)),VALUE(RIGHT(SUBSTITUTE(SUBSTITUTE(SUBSTITUTE(TRIM($P537),"-",""),".",""),"/",""),2))),DATEVALUE($P537))),""))</f>
        <v/>
      </c>
      <c r="Y537" s="56" t="str">
        <f aca="false">IF($M537="","",IFERROR(INDEX(강사DB!$D$4:$D$53,MATCH($M537,강사DB!$A$4:$A$53,0)),""))</f>
        <v/>
      </c>
      <c r="Z537" s="56" t="str">
        <f aca="false">IF($B537&lt;&gt;"결제완료","",IF(OR($Y537="",$J537=""),"",$Y537*$J537+MAX(0,N($K537)-1)*설정!$J$7))</f>
        <v/>
      </c>
      <c r="AA537" s="56" t="str">
        <f aca="false">IF(AND($D537&lt;&gt;"",$B537="결제완료"),N($N537),"")</f>
        <v/>
      </c>
      <c r="AB537" s="45" t="str">
        <f aca="false">IF($D537="","",IF($F537&lt;&gt;"",$F537,$D537)&amp;IF($B537="상담중"," (상담)",""))</f>
        <v/>
      </c>
      <c r="AC537" s="45" t="n">
        <f aca="false">IF(AND($D537&lt;&gt;"",OR($B537="결제완료",$B537="상담중")),1,0)</f>
        <v>0</v>
      </c>
      <c r="AD537" s="45" t="n">
        <f aca="false">IF(OR($Z537="",$U537=""),0,IFERROR(IF(COUNTIFS(INDEX(g_grid,0,2*MATCH($M537,강사DB!$A$4:$A$15,0)),"&lt;&gt;",g_s,"&lt;="&amp;$U537,g_e,"&gt;="&amp;$U537)&gt;0,1,0),0))</f>
        <v>0</v>
      </c>
      <c r="AE537" s="48"/>
      <c r="AF537" s="56" t="str">
        <f aca="false">IF(AND($D537&lt;&gt;"",$B537="결제완료",$T537="대여"),설정!$J$5,"")</f>
        <v/>
      </c>
      <c r="AG537" s="54" t="str">
        <f aca="false">IF($D537="","",IF(AND($E537="",$R537=""),$AB537,"☎ "&amp;IF($E537="","-",$E537)&amp;IF($R537&lt;&gt;"","  ※ "&amp;$R537,"")&amp;IF($B537="상담중"," (상담)","")))</f>
        <v/>
      </c>
      <c r="AH537" s="56" t="str">
        <f aca="false">IF(AND($D537&lt;&gt;"",$B537="결제완료",$O537="스마트스토어"),ROUND(N($N537)*설정!$J$6,0),"")</f>
        <v/>
      </c>
      <c r="AI537" s="54" t="str">
        <f aca="false">IF($D537="","",ROW())</f>
        <v/>
      </c>
      <c r="AJ537" s="54" t="n">
        <f aca="false">IF(OR($AC537&lt;&gt;1,$M537=""),0,IF(ISNUMBER(SEARCH("퇴사",IFERROR(INDEX(강사DB!$G$4:$G$53,MATCH($M537,강사DB!$A$4:$A$53,0)),""))),1,0))</f>
        <v>0</v>
      </c>
    </row>
    <row r="538" customFormat="false" ht="15" hidden="false" customHeight="false" outlineLevel="0" collapsed="false">
      <c r="A538" s="45" t="str">
        <f aca="false">IF($D538="","",COUNTA($D$5:$D538))</f>
        <v/>
      </c>
      <c r="B538" s="46"/>
      <c r="C538" s="47"/>
      <c r="D538" s="48"/>
      <c r="E538" s="48"/>
      <c r="F538" s="49"/>
      <c r="G538" s="47"/>
      <c r="H538" s="50"/>
      <c r="I538" s="50"/>
      <c r="J538" s="51" t="str">
        <f aca="false">IF(OR($V538="",$W538=""),"",ROUND(($W538-$V538)/60,2))</f>
        <v/>
      </c>
      <c r="K538" s="52" t="str">
        <f aca="false">IF($F538="","",LEN($F538)-LEN(SUBSTITUTE($F538,",",""))+1)</f>
        <v/>
      </c>
      <c r="L538" s="45" t="str">
        <f aca="false">IF($K538="","","1:"&amp;$K538)</f>
        <v/>
      </c>
      <c r="M538" s="46"/>
      <c r="N538" s="53"/>
      <c r="O538" s="46"/>
      <c r="P538" s="47"/>
      <c r="Q538" s="48"/>
      <c r="R538" s="49"/>
      <c r="S538" s="54" t="str">
        <f aca="false">IF(OR($AC538=0,$U538="",$M538="",$V538="",$W538=""),"",IF(COUNTIFS(m_teacher,$M538,m_date,$U538,m_active,1,m_start,"&lt;"&amp;$W538,m_end,"&gt;"&amp;$V538)&gt;1,"충돌",""))</f>
        <v/>
      </c>
      <c r="T538" s="48"/>
      <c r="U538" s="55" t="str">
        <f aca="false">IF($G538="","",IFERROR(IF(ISNUMBER($G538),IF($G538&gt;19000000,DATE(INT($G538/10000),MOD(INT($G538/100),100),MOD($G538,100)),INT($G538)),IF(LEN(SUBSTITUTE(SUBSTITUTE(SUBSTITUTE(TRIM($G538),"-",""),".",""),"/",""))=8,DATE(VALUE(LEFT(SUBSTITUTE(SUBSTITUTE(SUBSTITUTE(TRIM($G538),"-",""),".",""),"/",""),4)),VALUE(MID(SUBSTITUTE(SUBSTITUTE(SUBSTITUTE(TRIM($G538),"-",""),".",""),"/",""),5,2)),VALUE(RIGHT(SUBSTITUTE(SUBSTITUTE(SUBSTITUTE(TRIM($G538),"-",""),".",""),"/",""),2))),DATEVALUE($G538))),""))</f>
        <v/>
      </c>
      <c r="V538" s="52" t="str">
        <f aca="false">IF($H538="","",IFERROR(IF(IF(ISNUMBER($H538),$H538,IFERROR(TIMEVALUE($H538),VALUE($H538)))&gt;=100,INT(IF(ISNUMBER($H538),$H538,IFERROR(TIMEVALUE($H538),VALUE($H538)))/100)*60+MOD(IF(ISNUMBER($H538),$H538,IFERROR(TIMEVALUE($H538),VALUE($H538))),100),IF(IF(ISNUMBER($H538),$H538,IFERROR(TIMEVALUE($H538),VALUE($H538)))&gt;=1,ROUND(IF(ISNUMBER($H538),$H538,IFERROR(TIMEVALUE($H538),VALUE($H538)))*60,0),ROUND(MOD(IF(ISNUMBER($H538),$H538,IFERROR(TIMEVALUE($H538),VALUE($H538))),1)*1440,0))),""))</f>
        <v/>
      </c>
      <c r="W538" s="52" t="str">
        <f aca="false">IF($I538="","",IFERROR(IF(IF(ISNUMBER($I538),$I538,IFERROR(TIMEVALUE($I538),VALUE($I538)))&gt;=100,INT(IF(ISNUMBER($I538),$I538,IFERROR(TIMEVALUE($I538),VALUE($I538)))/100)*60+MOD(IF(ISNUMBER($I538),$I538,IFERROR(TIMEVALUE($I538),VALUE($I538))),100),IF(IF(ISNUMBER($I538),$I538,IFERROR(TIMEVALUE($I538),VALUE($I538)))&gt;=1,ROUND(IF(ISNUMBER($I538),$I538,IFERROR(TIMEVALUE($I538),VALUE($I538)))*60,0),ROUND(MOD(IF(ISNUMBER($I538),$I538,IFERROR(TIMEVALUE($I538),VALUE($I538))),1)*1440,0))),""))</f>
        <v/>
      </c>
      <c r="X538" s="55" t="str">
        <f aca="false">IF($P538="","",IFERROR(IF(ISNUMBER($P538),IF($P538&gt;19000000,DATE(INT($P538/10000),MOD(INT($P538/100),100),MOD($P538,100)),INT($P538)),IF(LEN(SUBSTITUTE(SUBSTITUTE(SUBSTITUTE(TRIM($P538),"-",""),".",""),"/",""))=8,DATE(VALUE(LEFT(SUBSTITUTE(SUBSTITUTE(SUBSTITUTE(TRIM($P538),"-",""),".",""),"/",""),4)),VALUE(MID(SUBSTITUTE(SUBSTITUTE(SUBSTITUTE(TRIM($P538),"-",""),".",""),"/",""),5,2)),VALUE(RIGHT(SUBSTITUTE(SUBSTITUTE(SUBSTITUTE(TRIM($P538),"-",""),".",""),"/",""),2))),DATEVALUE($P538))),""))</f>
        <v/>
      </c>
      <c r="Y538" s="56" t="str">
        <f aca="false">IF($M538="","",IFERROR(INDEX(강사DB!$D$4:$D$53,MATCH($M538,강사DB!$A$4:$A$53,0)),""))</f>
        <v/>
      </c>
      <c r="Z538" s="56" t="str">
        <f aca="false">IF($B538&lt;&gt;"결제완료","",IF(OR($Y538="",$J538=""),"",$Y538*$J538+MAX(0,N($K538)-1)*설정!$J$7))</f>
        <v/>
      </c>
      <c r="AA538" s="56" t="str">
        <f aca="false">IF(AND($D538&lt;&gt;"",$B538="결제완료"),N($N538),"")</f>
        <v/>
      </c>
      <c r="AB538" s="45" t="str">
        <f aca="false">IF($D538="","",IF($F538&lt;&gt;"",$F538,$D538)&amp;IF($B538="상담중"," (상담)",""))</f>
        <v/>
      </c>
      <c r="AC538" s="45" t="n">
        <f aca="false">IF(AND($D538&lt;&gt;"",OR($B538="결제완료",$B538="상담중")),1,0)</f>
        <v>0</v>
      </c>
      <c r="AD538" s="45" t="n">
        <f aca="false">IF(OR($Z538="",$U538=""),0,IFERROR(IF(COUNTIFS(INDEX(g_grid,0,2*MATCH($M538,강사DB!$A$4:$A$15,0)),"&lt;&gt;",g_s,"&lt;="&amp;$U538,g_e,"&gt;="&amp;$U538)&gt;0,1,0),0))</f>
        <v>0</v>
      </c>
      <c r="AE538" s="48"/>
      <c r="AF538" s="56" t="str">
        <f aca="false">IF(AND($D538&lt;&gt;"",$B538="결제완료",$T538="대여"),설정!$J$5,"")</f>
        <v/>
      </c>
      <c r="AG538" s="54" t="str">
        <f aca="false">IF($D538="","",IF(AND($E538="",$R538=""),$AB538,"☎ "&amp;IF($E538="","-",$E538)&amp;IF($R538&lt;&gt;"","  ※ "&amp;$R538,"")&amp;IF($B538="상담중"," (상담)","")))</f>
        <v/>
      </c>
      <c r="AH538" s="56" t="str">
        <f aca="false">IF(AND($D538&lt;&gt;"",$B538="결제완료",$O538="스마트스토어"),ROUND(N($N538)*설정!$J$6,0),"")</f>
        <v/>
      </c>
      <c r="AI538" s="54" t="str">
        <f aca="false">IF($D538="","",ROW())</f>
        <v/>
      </c>
      <c r="AJ538" s="54" t="n">
        <f aca="false">IF(OR($AC538&lt;&gt;1,$M538=""),0,IF(ISNUMBER(SEARCH("퇴사",IFERROR(INDEX(강사DB!$G$4:$G$53,MATCH($M538,강사DB!$A$4:$A$53,0)),""))),1,0))</f>
        <v>0</v>
      </c>
    </row>
    <row r="539" customFormat="false" ht="15" hidden="false" customHeight="false" outlineLevel="0" collapsed="false">
      <c r="A539" s="45" t="str">
        <f aca="false">IF($D539="","",COUNTA($D$5:$D539))</f>
        <v/>
      </c>
      <c r="B539" s="46"/>
      <c r="C539" s="47"/>
      <c r="D539" s="48"/>
      <c r="E539" s="48"/>
      <c r="F539" s="49"/>
      <c r="G539" s="47"/>
      <c r="H539" s="50"/>
      <c r="I539" s="50"/>
      <c r="J539" s="51" t="str">
        <f aca="false">IF(OR($V539="",$W539=""),"",ROUND(($W539-$V539)/60,2))</f>
        <v/>
      </c>
      <c r="K539" s="52" t="str">
        <f aca="false">IF($F539="","",LEN($F539)-LEN(SUBSTITUTE($F539,",",""))+1)</f>
        <v/>
      </c>
      <c r="L539" s="45" t="str">
        <f aca="false">IF($K539="","","1:"&amp;$K539)</f>
        <v/>
      </c>
      <c r="M539" s="46"/>
      <c r="N539" s="53"/>
      <c r="O539" s="46"/>
      <c r="P539" s="47"/>
      <c r="Q539" s="48"/>
      <c r="R539" s="49"/>
      <c r="S539" s="54" t="str">
        <f aca="false">IF(OR($AC539=0,$U539="",$M539="",$V539="",$W539=""),"",IF(COUNTIFS(m_teacher,$M539,m_date,$U539,m_active,1,m_start,"&lt;"&amp;$W539,m_end,"&gt;"&amp;$V539)&gt;1,"충돌",""))</f>
        <v/>
      </c>
      <c r="T539" s="48"/>
      <c r="U539" s="55" t="str">
        <f aca="false">IF($G539="","",IFERROR(IF(ISNUMBER($G539),IF($G539&gt;19000000,DATE(INT($G539/10000),MOD(INT($G539/100),100),MOD($G539,100)),INT($G539)),IF(LEN(SUBSTITUTE(SUBSTITUTE(SUBSTITUTE(TRIM($G539),"-",""),".",""),"/",""))=8,DATE(VALUE(LEFT(SUBSTITUTE(SUBSTITUTE(SUBSTITUTE(TRIM($G539),"-",""),".",""),"/",""),4)),VALUE(MID(SUBSTITUTE(SUBSTITUTE(SUBSTITUTE(TRIM($G539),"-",""),".",""),"/",""),5,2)),VALUE(RIGHT(SUBSTITUTE(SUBSTITUTE(SUBSTITUTE(TRIM($G539),"-",""),".",""),"/",""),2))),DATEVALUE($G539))),""))</f>
        <v/>
      </c>
      <c r="V539" s="52" t="str">
        <f aca="false">IF($H539="","",IFERROR(IF(IF(ISNUMBER($H539),$H539,IFERROR(TIMEVALUE($H539),VALUE($H539)))&gt;=100,INT(IF(ISNUMBER($H539),$H539,IFERROR(TIMEVALUE($H539),VALUE($H539)))/100)*60+MOD(IF(ISNUMBER($H539),$H539,IFERROR(TIMEVALUE($H539),VALUE($H539))),100),IF(IF(ISNUMBER($H539),$H539,IFERROR(TIMEVALUE($H539),VALUE($H539)))&gt;=1,ROUND(IF(ISNUMBER($H539),$H539,IFERROR(TIMEVALUE($H539),VALUE($H539)))*60,0),ROUND(MOD(IF(ISNUMBER($H539),$H539,IFERROR(TIMEVALUE($H539),VALUE($H539))),1)*1440,0))),""))</f>
        <v/>
      </c>
      <c r="W539" s="52" t="str">
        <f aca="false">IF($I539="","",IFERROR(IF(IF(ISNUMBER($I539),$I539,IFERROR(TIMEVALUE($I539),VALUE($I539)))&gt;=100,INT(IF(ISNUMBER($I539),$I539,IFERROR(TIMEVALUE($I539),VALUE($I539)))/100)*60+MOD(IF(ISNUMBER($I539),$I539,IFERROR(TIMEVALUE($I539),VALUE($I539))),100),IF(IF(ISNUMBER($I539),$I539,IFERROR(TIMEVALUE($I539),VALUE($I539)))&gt;=1,ROUND(IF(ISNUMBER($I539),$I539,IFERROR(TIMEVALUE($I539),VALUE($I539)))*60,0),ROUND(MOD(IF(ISNUMBER($I539),$I539,IFERROR(TIMEVALUE($I539),VALUE($I539))),1)*1440,0))),""))</f>
        <v/>
      </c>
      <c r="X539" s="55" t="str">
        <f aca="false">IF($P539="","",IFERROR(IF(ISNUMBER($P539),IF($P539&gt;19000000,DATE(INT($P539/10000),MOD(INT($P539/100),100),MOD($P539,100)),INT($P539)),IF(LEN(SUBSTITUTE(SUBSTITUTE(SUBSTITUTE(TRIM($P539),"-",""),".",""),"/",""))=8,DATE(VALUE(LEFT(SUBSTITUTE(SUBSTITUTE(SUBSTITUTE(TRIM($P539),"-",""),".",""),"/",""),4)),VALUE(MID(SUBSTITUTE(SUBSTITUTE(SUBSTITUTE(TRIM($P539),"-",""),".",""),"/",""),5,2)),VALUE(RIGHT(SUBSTITUTE(SUBSTITUTE(SUBSTITUTE(TRIM($P539),"-",""),".",""),"/",""),2))),DATEVALUE($P539))),""))</f>
        <v/>
      </c>
      <c r="Y539" s="56" t="str">
        <f aca="false">IF($M539="","",IFERROR(INDEX(강사DB!$D$4:$D$53,MATCH($M539,강사DB!$A$4:$A$53,0)),""))</f>
        <v/>
      </c>
      <c r="Z539" s="56" t="str">
        <f aca="false">IF($B539&lt;&gt;"결제완료","",IF(OR($Y539="",$J539=""),"",$Y539*$J539+MAX(0,N($K539)-1)*설정!$J$7))</f>
        <v/>
      </c>
      <c r="AA539" s="56" t="str">
        <f aca="false">IF(AND($D539&lt;&gt;"",$B539="결제완료"),N($N539),"")</f>
        <v/>
      </c>
      <c r="AB539" s="45" t="str">
        <f aca="false">IF($D539="","",IF($F539&lt;&gt;"",$F539,$D539)&amp;IF($B539="상담중"," (상담)",""))</f>
        <v/>
      </c>
      <c r="AC539" s="45" t="n">
        <f aca="false">IF(AND($D539&lt;&gt;"",OR($B539="결제완료",$B539="상담중")),1,0)</f>
        <v>0</v>
      </c>
      <c r="AD539" s="45" t="n">
        <f aca="false">IF(OR($Z539="",$U539=""),0,IFERROR(IF(COUNTIFS(INDEX(g_grid,0,2*MATCH($M539,강사DB!$A$4:$A$15,0)),"&lt;&gt;",g_s,"&lt;="&amp;$U539,g_e,"&gt;="&amp;$U539)&gt;0,1,0),0))</f>
        <v>0</v>
      </c>
      <c r="AE539" s="48"/>
      <c r="AF539" s="56" t="str">
        <f aca="false">IF(AND($D539&lt;&gt;"",$B539="결제완료",$T539="대여"),설정!$J$5,"")</f>
        <v/>
      </c>
      <c r="AG539" s="54" t="str">
        <f aca="false">IF($D539="","",IF(AND($E539="",$R539=""),$AB539,"☎ "&amp;IF($E539="","-",$E539)&amp;IF($R539&lt;&gt;"","  ※ "&amp;$R539,"")&amp;IF($B539="상담중"," (상담)","")))</f>
        <v/>
      </c>
      <c r="AH539" s="56" t="str">
        <f aca="false">IF(AND($D539&lt;&gt;"",$B539="결제완료",$O539="스마트스토어"),ROUND(N($N539)*설정!$J$6,0),"")</f>
        <v/>
      </c>
      <c r="AI539" s="54" t="str">
        <f aca="false">IF($D539="","",ROW())</f>
        <v/>
      </c>
      <c r="AJ539" s="54" t="n">
        <f aca="false">IF(OR($AC539&lt;&gt;1,$M539=""),0,IF(ISNUMBER(SEARCH("퇴사",IFERROR(INDEX(강사DB!$G$4:$G$53,MATCH($M539,강사DB!$A$4:$A$53,0)),""))),1,0))</f>
        <v>0</v>
      </c>
    </row>
    <row r="540" customFormat="false" ht="15" hidden="false" customHeight="false" outlineLevel="0" collapsed="false">
      <c r="A540" s="45" t="str">
        <f aca="false">IF($D540="","",COUNTA($D$5:$D540))</f>
        <v/>
      </c>
      <c r="B540" s="46"/>
      <c r="C540" s="47"/>
      <c r="D540" s="48"/>
      <c r="E540" s="48"/>
      <c r="F540" s="49"/>
      <c r="G540" s="47"/>
      <c r="H540" s="50"/>
      <c r="I540" s="50"/>
      <c r="J540" s="51" t="str">
        <f aca="false">IF(OR($V540="",$W540=""),"",ROUND(($W540-$V540)/60,2))</f>
        <v/>
      </c>
      <c r="K540" s="52" t="str">
        <f aca="false">IF($F540="","",LEN($F540)-LEN(SUBSTITUTE($F540,",",""))+1)</f>
        <v/>
      </c>
      <c r="L540" s="45" t="str">
        <f aca="false">IF($K540="","","1:"&amp;$K540)</f>
        <v/>
      </c>
      <c r="M540" s="46"/>
      <c r="N540" s="53"/>
      <c r="O540" s="46"/>
      <c r="P540" s="47"/>
      <c r="Q540" s="48"/>
      <c r="R540" s="49"/>
      <c r="S540" s="54" t="str">
        <f aca="false">IF(OR($AC540=0,$U540="",$M540="",$V540="",$W540=""),"",IF(COUNTIFS(m_teacher,$M540,m_date,$U540,m_active,1,m_start,"&lt;"&amp;$W540,m_end,"&gt;"&amp;$V540)&gt;1,"충돌",""))</f>
        <v/>
      </c>
      <c r="T540" s="48"/>
      <c r="U540" s="55" t="str">
        <f aca="false">IF($G540="","",IFERROR(IF(ISNUMBER($G540),IF($G540&gt;19000000,DATE(INT($G540/10000),MOD(INT($G540/100),100),MOD($G540,100)),INT($G540)),IF(LEN(SUBSTITUTE(SUBSTITUTE(SUBSTITUTE(TRIM($G540),"-",""),".",""),"/",""))=8,DATE(VALUE(LEFT(SUBSTITUTE(SUBSTITUTE(SUBSTITUTE(TRIM($G540),"-",""),".",""),"/",""),4)),VALUE(MID(SUBSTITUTE(SUBSTITUTE(SUBSTITUTE(TRIM($G540),"-",""),".",""),"/",""),5,2)),VALUE(RIGHT(SUBSTITUTE(SUBSTITUTE(SUBSTITUTE(TRIM($G540),"-",""),".",""),"/",""),2))),DATEVALUE($G540))),""))</f>
        <v/>
      </c>
      <c r="V540" s="52" t="str">
        <f aca="false">IF($H540="","",IFERROR(IF(IF(ISNUMBER($H540),$H540,IFERROR(TIMEVALUE($H540),VALUE($H540)))&gt;=100,INT(IF(ISNUMBER($H540),$H540,IFERROR(TIMEVALUE($H540),VALUE($H540)))/100)*60+MOD(IF(ISNUMBER($H540),$H540,IFERROR(TIMEVALUE($H540),VALUE($H540))),100),IF(IF(ISNUMBER($H540),$H540,IFERROR(TIMEVALUE($H540),VALUE($H540)))&gt;=1,ROUND(IF(ISNUMBER($H540),$H540,IFERROR(TIMEVALUE($H540),VALUE($H540)))*60,0),ROUND(MOD(IF(ISNUMBER($H540),$H540,IFERROR(TIMEVALUE($H540),VALUE($H540))),1)*1440,0))),""))</f>
        <v/>
      </c>
      <c r="W540" s="52" t="str">
        <f aca="false">IF($I540="","",IFERROR(IF(IF(ISNUMBER($I540),$I540,IFERROR(TIMEVALUE($I540),VALUE($I540)))&gt;=100,INT(IF(ISNUMBER($I540),$I540,IFERROR(TIMEVALUE($I540),VALUE($I540)))/100)*60+MOD(IF(ISNUMBER($I540),$I540,IFERROR(TIMEVALUE($I540),VALUE($I540))),100),IF(IF(ISNUMBER($I540),$I540,IFERROR(TIMEVALUE($I540),VALUE($I540)))&gt;=1,ROUND(IF(ISNUMBER($I540),$I540,IFERROR(TIMEVALUE($I540),VALUE($I540)))*60,0),ROUND(MOD(IF(ISNUMBER($I540),$I540,IFERROR(TIMEVALUE($I540),VALUE($I540))),1)*1440,0))),""))</f>
        <v/>
      </c>
      <c r="X540" s="55" t="str">
        <f aca="false">IF($P540="","",IFERROR(IF(ISNUMBER($P540),IF($P540&gt;19000000,DATE(INT($P540/10000),MOD(INT($P540/100),100),MOD($P540,100)),INT($P540)),IF(LEN(SUBSTITUTE(SUBSTITUTE(SUBSTITUTE(TRIM($P540),"-",""),".",""),"/",""))=8,DATE(VALUE(LEFT(SUBSTITUTE(SUBSTITUTE(SUBSTITUTE(TRIM($P540),"-",""),".",""),"/",""),4)),VALUE(MID(SUBSTITUTE(SUBSTITUTE(SUBSTITUTE(TRIM($P540),"-",""),".",""),"/",""),5,2)),VALUE(RIGHT(SUBSTITUTE(SUBSTITUTE(SUBSTITUTE(TRIM($P540),"-",""),".",""),"/",""),2))),DATEVALUE($P540))),""))</f>
        <v/>
      </c>
      <c r="Y540" s="56" t="str">
        <f aca="false">IF($M540="","",IFERROR(INDEX(강사DB!$D$4:$D$53,MATCH($M540,강사DB!$A$4:$A$53,0)),""))</f>
        <v/>
      </c>
      <c r="Z540" s="56" t="str">
        <f aca="false">IF($B540&lt;&gt;"결제완료","",IF(OR($Y540="",$J540=""),"",$Y540*$J540+MAX(0,N($K540)-1)*설정!$J$7))</f>
        <v/>
      </c>
      <c r="AA540" s="56" t="str">
        <f aca="false">IF(AND($D540&lt;&gt;"",$B540="결제완료"),N($N540),"")</f>
        <v/>
      </c>
      <c r="AB540" s="45" t="str">
        <f aca="false">IF($D540="","",IF($F540&lt;&gt;"",$F540,$D540)&amp;IF($B540="상담중"," (상담)",""))</f>
        <v/>
      </c>
      <c r="AC540" s="45" t="n">
        <f aca="false">IF(AND($D540&lt;&gt;"",OR($B540="결제완료",$B540="상담중")),1,0)</f>
        <v>0</v>
      </c>
      <c r="AD540" s="45" t="n">
        <f aca="false">IF(OR($Z540="",$U540=""),0,IFERROR(IF(COUNTIFS(INDEX(g_grid,0,2*MATCH($M540,강사DB!$A$4:$A$15,0)),"&lt;&gt;",g_s,"&lt;="&amp;$U540,g_e,"&gt;="&amp;$U540)&gt;0,1,0),0))</f>
        <v>0</v>
      </c>
      <c r="AE540" s="48"/>
      <c r="AF540" s="56" t="str">
        <f aca="false">IF(AND($D540&lt;&gt;"",$B540="결제완료",$T540="대여"),설정!$J$5,"")</f>
        <v/>
      </c>
      <c r="AG540" s="54" t="str">
        <f aca="false">IF($D540="","",IF(AND($E540="",$R540=""),$AB540,"☎ "&amp;IF($E540="","-",$E540)&amp;IF($R540&lt;&gt;"","  ※ "&amp;$R540,"")&amp;IF($B540="상담중"," (상담)","")))</f>
        <v/>
      </c>
      <c r="AH540" s="56" t="str">
        <f aca="false">IF(AND($D540&lt;&gt;"",$B540="결제완료",$O540="스마트스토어"),ROUND(N($N540)*설정!$J$6,0),"")</f>
        <v/>
      </c>
      <c r="AI540" s="54" t="str">
        <f aca="false">IF($D540="","",ROW())</f>
        <v/>
      </c>
      <c r="AJ540" s="54" t="n">
        <f aca="false">IF(OR($AC540&lt;&gt;1,$M540=""),0,IF(ISNUMBER(SEARCH("퇴사",IFERROR(INDEX(강사DB!$G$4:$G$53,MATCH($M540,강사DB!$A$4:$A$53,0)),""))),1,0))</f>
        <v>0</v>
      </c>
    </row>
    <row r="541" customFormat="false" ht="15" hidden="false" customHeight="false" outlineLevel="0" collapsed="false">
      <c r="A541" s="45" t="str">
        <f aca="false">IF($D541="","",COUNTA($D$5:$D541))</f>
        <v/>
      </c>
      <c r="B541" s="46"/>
      <c r="C541" s="47"/>
      <c r="D541" s="48"/>
      <c r="E541" s="48"/>
      <c r="F541" s="49"/>
      <c r="G541" s="47"/>
      <c r="H541" s="50"/>
      <c r="I541" s="50"/>
      <c r="J541" s="51" t="str">
        <f aca="false">IF(OR($V541="",$W541=""),"",ROUND(($W541-$V541)/60,2))</f>
        <v/>
      </c>
      <c r="K541" s="52" t="str">
        <f aca="false">IF($F541="","",LEN($F541)-LEN(SUBSTITUTE($F541,",",""))+1)</f>
        <v/>
      </c>
      <c r="L541" s="45" t="str">
        <f aca="false">IF($K541="","","1:"&amp;$K541)</f>
        <v/>
      </c>
      <c r="M541" s="46"/>
      <c r="N541" s="53"/>
      <c r="O541" s="46"/>
      <c r="P541" s="47"/>
      <c r="Q541" s="48"/>
      <c r="R541" s="49"/>
      <c r="S541" s="54" t="str">
        <f aca="false">IF(OR($AC541=0,$U541="",$M541="",$V541="",$W541=""),"",IF(COUNTIFS(m_teacher,$M541,m_date,$U541,m_active,1,m_start,"&lt;"&amp;$W541,m_end,"&gt;"&amp;$V541)&gt;1,"충돌",""))</f>
        <v/>
      </c>
      <c r="T541" s="48"/>
      <c r="U541" s="55" t="str">
        <f aca="false">IF($G541="","",IFERROR(IF(ISNUMBER($G541),IF($G541&gt;19000000,DATE(INT($G541/10000),MOD(INT($G541/100),100),MOD($G541,100)),INT($G541)),IF(LEN(SUBSTITUTE(SUBSTITUTE(SUBSTITUTE(TRIM($G541),"-",""),".",""),"/",""))=8,DATE(VALUE(LEFT(SUBSTITUTE(SUBSTITUTE(SUBSTITUTE(TRIM($G541),"-",""),".",""),"/",""),4)),VALUE(MID(SUBSTITUTE(SUBSTITUTE(SUBSTITUTE(TRIM($G541),"-",""),".",""),"/",""),5,2)),VALUE(RIGHT(SUBSTITUTE(SUBSTITUTE(SUBSTITUTE(TRIM($G541),"-",""),".",""),"/",""),2))),DATEVALUE($G541))),""))</f>
        <v/>
      </c>
      <c r="V541" s="52" t="str">
        <f aca="false">IF($H541="","",IFERROR(IF(IF(ISNUMBER($H541),$H541,IFERROR(TIMEVALUE($H541),VALUE($H541)))&gt;=100,INT(IF(ISNUMBER($H541),$H541,IFERROR(TIMEVALUE($H541),VALUE($H541)))/100)*60+MOD(IF(ISNUMBER($H541),$H541,IFERROR(TIMEVALUE($H541),VALUE($H541))),100),IF(IF(ISNUMBER($H541),$H541,IFERROR(TIMEVALUE($H541),VALUE($H541)))&gt;=1,ROUND(IF(ISNUMBER($H541),$H541,IFERROR(TIMEVALUE($H541),VALUE($H541)))*60,0),ROUND(MOD(IF(ISNUMBER($H541),$H541,IFERROR(TIMEVALUE($H541),VALUE($H541))),1)*1440,0))),""))</f>
        <v/>
      </c>
      <c r="W541" s="52" t="str">
        <f aca="false">IF($I541="","",IFERROR(IF(IF(ISNUMBER($I541),$I541,IFERROR(TIMEVALUE($I541),VALUE($I541)))&gt;=100,INT(IF(ISNUMBER($I541),$I541,IFERROR(TIMEVALUE($I541),VALUE($I541)))/100)*60+MOD(IF(ISNUMBER($I541),$I541,IFERROR(TIMEVALUE($I541),VALUE($I541))),100),IF(IF(ISNUMBER($I541),$I541,IFERROR(TIMEVALUE($I541),VALUE($I541)))&gt;=1,ROUND(IF(ISNUMBER($I541),$I541,IFERROR(TIMEVALUE($I541),VALUE($I541)))*60,0),ROUND(MOD(IF(ISNUMBER($I541),$I541,IFERROR(TIMEVALUE($I541),VALUE($I541))),1)*1440,0))),""))</f>
        <v/>
      </c>
      <c r="X541" s="55" t="str">
        <f aca="false">IF($P541="","",IFERROR(IF(ISNUMBER($P541),IF($P541&gt;19000000,DATE(INT($P541/10000),MOD(INT($P541/100),100),MOD($P541,100)),INT($P541)),IF(LEN(SUBSTITUTE(SUBSTITUTE(SUBSTITUTE(TRIM($P541),"-",""),".",""),"/",""))=8,DATE(VALUE(LEFT(SUBSTITUTE(SUBSTITUTE(SUBSTITUTE(TRIM($P541),"-",""),".",""),"/",""),4)),VALUE(MID(SUBSTITUTE(SUBSTITUTE(SUBSTITUTE(TRIM($P541),"-",""),".",""),"/",""),5,2)),VALUE(RIGHT(SUBSTITUTE(SUBSTITUTE(SUBSTITUTE(TRIM($P541),"-",""),".",""),"/",""),2))),DATEVALUE($P541))),""))</f>
        <v/>
      </c>
      <c r="Y541" s="56" t="str">
        <f aca="false">IF($M541="","",IFERROR(INDEX(강사DB!$D$4:$D$53,MATCH($M541,강사DB!$A$4:$A$53,0)),""))</f>
        <v/>
      </c>
      <c r="Z541" s="56" t="str">
        <f aca="false">IF($B541&lt;&gt;"결제완료","",IF(OR($Y541="",$J541=""),"",$Y541*$J541+MAX(0,N($K541)-1)*설정!$J$7))</f>
        <v/>
      </c>
      <c r="AA541" s="56" t="str">
        <f aca="false">IF(AND($D541&lt;&gt;"",$B541="결제완료"),N($N541),"")</f>
        <v/>
      </c>
      <c r="AB541" s="45" t="str">
        <f aca="false">IF($D541="","",IF($F541&lt;&gt;"",$F541,$D541)&amp;IF($B541="상담중"," (상담)",""))</f>
        <v/>
      </c>
      <c r="AC541" s="45" t="n">
        <f aca="false">IF(AND($D541&lt;&gt;"",OR($B541="결제완료",$B541="상담중")),1,0)</f>
        <v>0</v>
      </c>
      <c r="AD541" s="45" t="n">
        <f aca="false">IF(OR($Z541="",$U541=""),0,IFERROR(IF(COUNTIFS(INDEX(g_grid,0,2*MATCH($M541,강사DB!$A$4:$A$15,0)),"&lt;&gt;",g_s,"&lt;="&amp;$U541,g_e,"&gt;="&amp;$U541)&gt;0,1,0),0))</f>
        <v>0</v>
      </c>
      <c r="AE541" s="48"/>
      <c r="AF541" s="56" t="str">
        <f aca="false">IF(AND($D541&lt;&gt;"",$B541="결제완료",$T541="대여"),설정!$J$5,"")</f>
        <v/>
      </c>
      <c r="AG541" s="54" t="str">
        <f aca="false">IF($D541="","",IF(AND($E541="",$R541=""),$AB541,"☎ "&amp;IF($E541="","-",$E541)&amp;IF($R541&lt;&gt;"","  ※ "&amp;$R541,"")&amp;IF($B541="상담중"," (상담)","")))</f>
        <v/>
      </c>
      <c r="AH541" s="56" t="str">
        <f aca="false">IF(AND($D541&lt;&gt;"",$B541="결제완료",$O541="스마트스토어"),ROUND(N($N541)*설정!$J$6,0),"")</f>
        <v/>
      </c>
      <c r="AI541" s="54" t="str">
        <f aca="false">IF($D541="","",ROW())</f>
        <v/>
      </c>
      <c r="AJ541" s="54" t="n">
        <f aca="false">IF(OR($AC541&lt;&gt;1,$M541=""),0,IF(ISNUMBER(SEARCH("퇴사",IFERROR(INDEX(강사DB!$G$4:$G$53,MATCH($M541,강사DB!$A$4:$A$53,0)),""))),1,0))</f>
        <v>0</v>
      </c>
    </row>
    <row r="542" customFormat="false" ht="15" hidden="false" customHeight="false" outlineLevel="0" collapsed="false">
      <c r="A542" s="45" t="str">
        <f aca="false">IF($D542="","",COUNTA($D$5:$D542))</f>
        <v/>
      </c>
      <c r="B542" s="46"/>
      <c r="C542" s="47"/>
      <c r="D542" s="48"/>
      <c r="E542" s="48"/>
      <c r="F542" s="49"/>
      <c r="G542" s="47"/>
      <c r="H542" s="50"/>
      <c r="I542" s="50"/>
      <c r="J542" s="51" t="str">
        <f aca="false">IF(OR($V542="",$W542=""),"",ROUND(($W542-$V542)/60,2))</f>
        <v/>
      </c>
      <c r="K542" s="52" t="str">
        <f aca="false">IF($F542="","",LEN($F542)-LEN(SUBSTITUTE($F542,",",""))+1)</f>
        <v/>
      </c>
      <c r="L542" s="45" t="str">
        <f aca="false">IF($K542="","","1:"&amp;$K542)</f>
        <v/>
      </c>
      <c r="M542" s="46"/>
      <c r="N542" s="53"/>
      <c r="O542" s="46"/>
      <c r="P542" s="47"/>
      <c r="Q542" s="48"/>
      <c r="R542" s="49"/>
      <c r="S542" s="54" t="str">
        <f aca="false">IF(OR($AC542=0,$U542="",$M542="",$V542="",$W542=""),"",IF(COUNTIFS(m_teacher,$M542,m_date,$U542,m_active,1,m_start,"&lt;"&amp;$W542,m_end,"&gt;"&amp;$V542)&gt;1,"충돌",""))</f>
        <v/>
      </c>
      <c r="T542" s="48"/>
      <c r="U542" s="55" t="str">
        <f aca="false">IF($G542="","",IFERROR(IF(ISNUMBER($G542),IF($G542&gt;19000000,DATE(INT($G542/10000),MOD(INT($G542/100),100),MOD($G542,100)),INT($G542)),IF(LEN(SUBSTITUTE(SUBSTITUTE(SUBSTITUTE(TRIM($G542),"-",""),".",""),"/",""))=8,DATE(VALUE(LEFT(SUBSTITUTE(SUBSTITUTE(SUBSTITUTE(TRIM($G542),"-",""),".",""),"/",""),4)),VALUE(MID(SUBSTITUTE(SUBSTITUTE(SUBSTITUTE(TRIM($G542),"-",""),".",""),"/",""),5,2)),VALUE(RIGHT(SUBSTITUTE(SUBSTITUTE(SUBSTITUTE(TRIM($G542),"-",""),".",""),"/",""),2))),DATEVALUE($G542))),""))</f>
        <v/>
      </c>
      <c r="V542" s="52" t="str">
        <f aca="false">IF($H542="","",IFERROR(IF(IF(ISNUMBER($H542),$H542,IFERROR(TIMEVALUE($H542),VALUE($H542)))&gt;=100,INT(IF(ISNUMBER($H542),$H542,IFERROR(TIMEVALUE($H542),VALUE($H542)))/100)*60+MOD(IF(ISNUMBER($H542),$H542,IFERROR(TIMEVALUE($H542),VALUE($H542))),100),IF(IF(ISNUMBER($H542),$H542,IFERROR(TIMEVALUE($H542),VALUE($H542)))&gt;=1,ROUND(IF(ISNUMBER($H542),$H542,IFERROR(TIMEVALUE($H542),VALUE($H542)))*60,0),ROUND(MOD(IF(ISNUMBER($H542),$H542,IFERROR(TIMEVALUE($H542),VALUE($H542))),1)*1440,0))),""))</f>
        <v/>
      </c>
      <c r="W542" s="52" t="str">
        <f aca="false">IF($I542="","",IFERROR(IF(IF(ISNUMBER($I542),$I542,IFERROR(TIMEVALUE($I542),VALUE($I542)))&gt;=100,INT(IF(ISNUMBER($I542),$I542,IFERROR(TIMEVALUE($I542),VALUE($I542)))/100)*60+MOD(IF(ISNUMBER($I542),$I542,IFERROR(TIMEVALUE($I542),VALUE($I542))),100),IF(IF(ISNUMBER($I542),$I542,IFERROR(TIMEVALUE($I542),VALUE($I542)))&gt;=1,ROUND(IF(ISNUMBER($I542),$I542,IFERROR(TIMEVALUE($I542),VALUE($I542)))*60,0),ROUND(MOD(IF(ISNUMBER($I542),$I542,IFERROR(TIMEVALUE($I542),VALUE($I542))),1)*1440,0))),""))</f>
        <v/>
      </c>
      <c r="X542" s="55" t="str">
        <f aca="false">IF($P542="","",IFERROR(IF(ISNUMBER($P542),IF($P542&gt;19000000,DATE(INT($P542/10000),MOD(INT($P542/100),100),MOD($P542,100)),INT($P542)),IF(LEN(SUBSTITUTE(SUBSTITUTE(SUBSTITUTE(TRIM($P542),"-",""),".",""),"/",""))=8,DATE(VALUE(LEFT(SUBSTITUTE(SUBSTITUTE(SUBSTITUTE(TRIM($P542),"-",""),".",""),"/",""),4)),VALUE(MID(SUBSTITUTE(SUBSTITUTE(SUBSTITUTE(TRIM($P542),"-",""),".",""),"/",""),5,2)),VALUE(RIGHT(SUBSTITUTE(SUBSTITUTE(SUBSTITUTE(TRIM($P542),"-",""),".",""),"/",""),2))),DATEVALUE($P542))),""))</f>
        <v/>
      </c>
      <c r="Y542" s="56" t="str">
        <f aca="false">IF($M542="","",IFERROR(INDEX(강사DB!$D$4:$D$53,MATCH($M542,강사DB!$A$4:$A$53,0)),""))</f>
        <v/>
      </c>
      <c r="Z542" s="56" t="str">
        <f aca="false">IF($B542&lt;&gt;"결제완료","",IF(OR($Y542="",$J542=""),"",$Y542*$J542+MAX(0,N($K542)-1)*설정!$J$7))</f>
        <v/>
      </c>
      <c r="AA542" s="56" t="str">
        <f aca="false">IF(AND($D542&lt;&gt;"",$B542="결제완료"),N($N542),"")</f>
        <v/>
      </c>
      <c r="AB542" s="45" t="str">
        <f aca="false">IF($D542="","",IF($F542&lt;&gt;"",$F542,$D542)&amp;IF($B542="상담중"," (상담)",""))</f>
        <v/>
      </c>
      <c r="AC542" s="45" t="n">
        <f aca="false">IF(AND($D542&lt;&gt;"",OR($B542="결제완료",$B542="상담중")),1,0)</f>
        <v>0</v>
      </c>
      <c r="AD542" s="45" t="n">
        <f aca="false">IF(OR($Z542="",$U542=""),0,IFERROR(IF(COUNTIFS(INDEX(g_grid,0,2*MATCH($M542,강사DB!$A$4:$A$15,0)),"&lt;&gt;",g_s,"&lt;="&amp;$U542,g_e,"&gt;="&amp;$U542)&gt;0,1,0),0))</f>
        <v>0</v>
      </c>
      <c r="AE542" s="48"/>
      <c r="AF542" s="56" t="str">
        <f aca="false">IF(AND($D542&lt;&gt;"",$B542="결제완료",$T542="대여"),설정!$J$5,"")</f>
        <v/>
      </c>
      <c r="AG542" s="54" t="str">
        <f aca="false">IF($D542="","",IF(AND($E542="",$R542=""),$AB542,"☎ "&amp;IF($E542="","-",$E542)&amp;IF($R542&lt;&gt;"","  ※ "&amp;$R542,"")&amp;IF($B542="상담중"," (상담)","")))</f>
        <v/>
      </c>
      <c r="AH542" s="56" t="str">
        <f aca="false">IF(AND($D542&lt;&gt;"",$B542="결제완료",$O542="스마트스토어"),ROUND(N($N542)*설정!$J$6,0),"")</f>
        <v/>
      </c>
      <c r="AI542" s="54" t="str">
        <f aca="false">IF($D542="","",ROW())</f>
        <v/>
      </c>
      <c r="AJ542" s="54" t="n">
        <f aca="false">IF(OR($AC542&lt;&gt;1,$M542=""),0,IF(ISNUMBER(SEARCH("퇴사",IFERROR(INDEX(강사DB!$G$4:$G$53,MATCH($M542,강사DB!$A$4:$A$53,0)),""))),1,0))</f>
        <v>0</v>
      </c>
    </row>
    <row r="543" customFormat="false" ht="15" hidden="false" customHeight="false" outlineLevel="0" collapsed="false">
      <c r="A543" s="45" t="str">
        <f aca="false">IF($D543="","",COUNTA($D$5:$D543))</f>
        <v/>
      </c>
      <c r="B543" s="46"/>
      <c r="C543" s="47"/>
      <c r="D543" s="48"/>
      <c r="E543" s="48"/>
      <c r="F543" s="49"/>
      <c r="G543" s="47"/>
      <c r="H543" s="50"/>
      <c r="I543" s="50"/>
      <c r="J543" s="51" t="str">
        <f aca="false">IF(OR($V543="",$W543=""),"",ROUND(($W543-$V543)/60,2))</f>
        <v/>
      </c>
      <c r="K543" s="52" t="str">
        <f aca="false">IF($F543="","",LEN($F543)-LEN(SUBSTITUTE($F543,",",""))+1)</f>
        <v/>
      </c>
      <c r="L543" s="45" t="str">
        <f aca="false">IF($K543="","","1:"&amp;$K543)</f>
        <v/>
      </c>
      <c r="M543" s="46"/>
      <c r="N543" s="53"/>
      <c r="O543" s="46"/>
      <c r="P543" s="47"/>
      <c r="Q543" s="48"/>
      <c r="R543" s="49"/>
      <c r="S543" s="54" t="str">
        <f aca="false">IF(OR($AC543=0,$U543="",$M543="",$V543="",$W543=""),"",IF(COUNTIFS(m_teacher,$M543,m_date,$U543,m_active,1,m_start,"&lt;"&amp;$W543,m_end,"&gt;"&amp;$V543)&gt;1,"충돌",""))</f>
        <v/>
      </c>
      <c r="T543" s="48"/>
      <c r="U543" s="55" t="str">
        <f aca="false">IF($G543="","",IFERROR(IF(ISNUMBER($G543),IF($G543&gt;19000000,DATE(INT($G543/10000),MOD(INT($G543/100),100),MOD($G543,100)),INT($G543)),IF(LEN(SUBSTITUTE(SUBSTITUTE(SUBSTITUTE(TRIM($G543),"-",""),".",""),"/",""))=8,DATE(VALUE(LEFT(SUBSTITUTE(SUBSTITUTE(SUBSTITUTE(TRIM($G543),"-",""),".",""),"/",""),4)),VALUE(MID(SUBSTITUTE(SUBSTITUTE(SUBSTITUTE(TRIM($G543),"-",""),".",""),"/",""),5,2)),VALUE(RIGHT(SUBSTITUTE(SUBSTITUTE(SUBSTITUTE(TRIM($G543),"-",""),".",""),"/",""),2))),DATEVALUE($G543))),""))</f>
        <v/>
      </c>
      <c r="V543" s="52" t="str">
        <f aca="false">IF($H543="","",IFERROR(IF(IF(ISNUMBER($H543),$H543,IFERROR(TIMEVALUE($H543),VALUE($H543)))&gt;=100,INT(IF(ISNUMBER($H543),$H543,IFERROR(TIMEVALUE($H543),VALUE($H543)))/100)*60+MOD(IF(ISNUMBER($H543),$H543,IFERROR(TIMEVALUE($H543),VALUE($H543))),100),IF(IF(ISNUMBER($H543),$H543,IFERROR(TIMEVALUE($H543),VALUE($H543)))&gt;=1,ROUND(IF(ISNUMBER($H543),$H543,IFERROR(TIMEVALUE($H543),VALUE($H543)))*60,0),ROUND(MOD(IF(ISNUMBER($H543),$H543,IFERROR(TIMEVALUE($H543),VALUE($H543))),1)*1440,0))),""))</f>
        <v/>
      </c>
      <c r="W543" s="52" t="str">
        <f aca="false">IF($I543="","",IFERROR(IF(IF(ISNUMBER($I543),$I543,IFERROR(TIMEVALUE($I543),VALUE($I543)))&gt;=100,INT(IF(ISNUMBER($I543),$I543,IFERROR(TIMEVALUE($I543),VALUE($I543)))/100)*60+MOD(IF(ISNUMBER($I543),$I543,IFERROR(TIMEVALUE($I543),VALUE($I543))),100),IF(IF(ISNUMBER($I543),$I543,IFERROR(TIMEVALUE($I543),VALUE($I543)))&gt;=1,ROUND(IF(ISNUMBER($I543),$I543,IFERROR(TIMEVALUE($I543),VALUE($I543)))*60,0),ROUND(MOD(IF(ISNUMBER($I543),$I543,IFERROR(TIMEVALUE($I543),VALUE($I543))),1)*1440,0))),""))</f>
        <v/>
      </c>
      <c r="X543" s="55" t="str">
        <f aca="false">IF($P543="","",IFERROR(IF(ISNUMBER($P543),IF($P543&gt;19000000,DATE(INT($P543/10000),MOD(INT($P543/100),100),MOD($P543,100)),INT($P543)),IF(LEN(SUBSTITUTE(SUBSTITUTE(SUBSTITUTE(TRIM($P543),"-",""),".",""),"/",""))=8,DATE(VALUE(LEFT(SUBSTITUTE(SUBSTITUTE(SUBSTITUTE(TRIM($P543),"-",""),".",""),"/",""),4)),VALUE(MID(SUBSTITUTE(SUBSTITUTE(SUBSTITUTE(TRIM($P543),"-",""),".",""),"/",""),5,2)),VALUE(RIGHT(SUBSTITUTE(SUBSTITUTE(SUBSTITUTE(TRIM($P543),"-",""),".",""),"/",""),2))),DATEVALUE($P543))),""))</f>
        <v/>
      </c>
      <c r="Y543" s="56" t="str">
        <f aca="false">IF($M543="","",IFERROR(INDEX(강사DB!$D$4:$D$53,MATCH($M543,강사DB!$A$4:$A$53,0)),""))</f>
        <v/>
      </c>
      <c r="Z543" s="56" t="str">
        <f aca="false">IF($B543&lt;&gt;"결제완료","",IF(OR($Y543="",$J543=""),"",$Y543*$J543+MAX(0,N($K543)-1)*설정!$J$7))</f>
        <v/>
      </c>
      <c r="AA543" s="56" t="str">
        <f aca="false">IF(AND($D543&lt;&gt;"",$B543="결제완료"),N($N543),"")</f>
        <v/>
      </c>
      <c r="AB543" s="45" t="str">
        <f aca="false">IF($D543="","",IF($F543&lt;&gt;"",$F543,$D543)&amp;IF($B543="상담중"," (상담)",""))</f>
        <v/>
      </c>
      <c r="AC543" s="45" t="n">
        <f aca="false">IF(AND($D543&lt;&gt;"",OR($B543="결제완료",$B543="상담중")),1,0)</f>
        <v>0</v>
      </c>
      <c r="AD543" s="45" t="n">
        <f aca="false">IF(OR($Z543="",$U543=""),0,IFERROR(IF(COUNTIFS(INDEX(g_grid,0,2*MATCH($M543,강사DB!$A$4:$A$15,0)),"&lt;&gt;",g_s,"&lt;="&amp;$U543,g_e,"&gt;="&amp;$U543)&gt;0,1,0),0))</f>
        <v>0</v>
      </c>
      <c r="AE543" s="48"/>
      <c r="AF543" s="56" t="str">
        <f aca="false">IF(AND($D543&lt;&gt;"",$B543="결제완료",$T543="대여"),설정!$J$5,"")</f>
        <v/>
      </c>
      <c r="AG543" s="54" t="str">
        <f aca="false">IF($D543="","",IF(AND($E543="",$R543=""),$AB543,"☎ "&amp;IF($E543="","-",$E543)&amp;IF($R543&lt;&gt;"","  ※ "&amp;$R543,"")&amp;IF($B543="상담중"," (상담)","")))</f>
        <v/>
      </c>
      <c r="AH543" s="56" t="str">
        <f aca="false">IF(AND($D543&lt;&gt;"",$B543="결제완료",$O543="스마트스토어"),ROUND(N($N543)*설정!$J$6,0),"")</f>
        <v/>
      </c>
      <c r="AI543" s="54" t="str">
        <f aca="false">IF($D543="","",ROW())</f>
        <v/>
      </c>
      <c r="AJ543" s="54" t="n">
        <f aca="false">IF(OR($AC543&lt;&gt;1,$M543=""),0,IF(ISNUMBER(SEARCH("퇴사",IFERROR(INDEX(강사DB!$G$4:$G$53,MATCH($M543,강사DB!$A$4:$A$53,0)),""))),1,0))</f>
        <v>0</v>
      </c>
    </row>
    <row r="544" customFormat="false" ht="15" hidden="false" customHeight="false" outlineLevel="0" collapsed="false">
      <c r="A544" s="45" t="str">
        <f aca="false">IF($D544="","",COUNTA($D$5:$D544))</f>
        <v/>
      </c>
      <c r="B544" s="46"/>
      <c r="C544" s="47"/>
      <c r="D544" s="48"/>
      <c r="E544" s="48"/>
      <c r="F544" s="49"/>
      <c r="G544" s="47"/>
      <c r="H544" s="50"/>
      <c r="I544" s="50"/>
      <c r="J544" s="51" t="str">
        <f aca="false">IF(OR($V544="",$W544=""),"",ROUND(($W544-$V544)/60,2))</f>
        <v/>
      </c>
      <c r="K544" s="52" t="str">
        <f aca="false">IF($F544="","",LEN($F544)-LEN(SUBSTITUTE($F544,",",""))+1)</f>
        <v/>
      </c>
      <c r="L544" s="45" t="str">
        <f aca="false">IF($K544="","","1:"&amp;$K544)</f>
        <v/>
      </c>
      <c r="M544" s="46"/>
      <c r="N544" s="53"/>
      <c r="O544" s="46"/>
      <c r="P544" s="47"/>
      <c r="Q544" s="48"/>
      <c r="R544" s="49"/>
      <c r="S544" s="54" t="str">
        <f aca="false">IF(OR($AC544=0,$U544="",$M544="",$V544="",$W544=""),"",IF(COUNTIFS(m_teacher,$M544,m_date,$U544,m_active,1,m_start,"&lt;"&amp;$W544,m_end,"&gt;"&amp;$V544)&gt;1,"충돌",""))</f>
        <v/>
      </c>
      <c r="T544" s="48"/>
      <c r="U544" s="55" t="str">
        <f aca="false">IF($G544="","",IFERROR(IF(ISNUMBER($G544),IF($G544&gt;19000000,DATE(INT($G544/10000),MOD(INT($G544/100),100),MOD($G544,100)),INT($G544)),IF(LEN(SUBSTITUTE(SUBSTITUTE(SUBSTITUTE(TRIM($G544),"-",""),".",""),"/",""))=8,DATE(VALUE(LEFT(SUBSTITUTE(SUBSTITUTE(SUBSTITUTE(TRIM($G544),"-",""),".",""),"/",""),4)),VALUE(MID(SUBSTITUTE(SUBSTITUTE(SUBSTITUTE(TRIM($G544),"-",""),".",""),"/",""),5,2)),VALUE(RIGHT(SUBSTITUTE(SUBSTITUTE(SUBSTITUTE(TRIM($G544),"-",""),".",""),"/",""),2))),DATEVALUE($G544))),""))</f>
        <v/>
      </c>
      <c r="V544" s="52" t="str">
        <f aca="false">IF($H544="","",IFERROR(IF(IF(ISNUMBER($H544),$H544,IFERROR(TIMEVALUE($H544),VALUE($H544)))&gt;=100,INT(IF(ISNUMBER($H544),$H544,IFERROR(TIMEVALUE($H544),VALUE($H544)))/100)*60+MOD(IF(ISNUMBER($H544),$H544,IFERROR(TIMEVALUE($H544),VALUE($H544))),100),IF(IF(ISNUMBER($H544),$H544,IFERROR(TIMEVALUE($H544),VALUE($H544)))&gt;=1,ROUND(IF(ISNUMBER($H544),$H544,IFERROR(TIMEVALUE($H544),VALUE($H544)))*60,0),ROUND(MOD(IF(ISNUMBER($H544),$H544,IFERROR(TIMEVALUE($H544),VALUE($H544))),1)*1440,0))),""))</f>
        <v/>
      </c>
      <c r="W544" s="52" t="str">
        <f aca="false">IF($I544="","",IFERROR(IF(IF(ISNUMBER($I544),$I544,IFERROR(TIMEVALUE($I544),VALUE($I544)))&gt;=100,INT(IF(ISNUMBER($I544),$I544,IFERROR(TIMEVALUE($I544),VALUE($I544)))/100)*60+MOD(IF(ISNUMBER($I544),$I544,IFERROR(TIMEVALUE($I544),VALUE($I544))),100),IF(IF(ISNUMBER($I544),$I544,IFERROR(TIMEVALUE($I544),VALUE($I544)))&gt;=1,ROUND(IF(ISNUMBER($I544),$I544,IFERROR(TIMEVALUE($I544),VALUE($I544)))*60,0),ROUND(MOD(IF(ISNUMBER($I544),$I544,IFERROR(TIMEVALUE($I544),VALUE($I544))),1)*1440,0))),""))</f>
        <v/>
      </c>
      <c r="X544" s="55" t="str">
        <f aca="false">IF($P544="","",IFERROR(IF(ISNUMBER($P544),IF($P544&gt;19000000,DATE(INT($P544/10000),MOD(INT($P544/100),100),MOD($P544,100)),INT($P544)),IF(LEN(SUBSTITUTE(SUBSTITUTE(SUBSTITUTE(TRIM($P544),"-",""),".",""),"/",""))=8,DATE(VALUE(LEFT(SUBSTITUTE(SUBSTITUTE(SUBSTITUTE(TRIM($P544),"-",""),".",""),"/",""),4)),VALUE(MID(SUBSTITUTE(SUBSTITUTE(SUBSTITUTE(TRIM($P544),"-",""),".",""),"/",""),5,2)),VALUE(RIGHT(SUBSTITUTE(SUBSTITUTE(SUBSTITUTE(TRIM($P544),"-",""),".",""),"/",""),2))),DATEVALUE($P544))),""))</f>
        <v/>
      </c>
      <c r="Y544" s="56" t="str">
        <f aca="false">IF($M544="","",IFERROR(INDEX(강사DB!$D$4:$D$53,MATCH($M544,강사DB!$A$4:$A$53,0)),""))</f>
        <v/>
      </c>
      <c r="Z544" s="56" t="str">
        <f aca="false">IF($B544&lt;&gt;"결제완료","",IF(OR($Y544="",$J544=""),"",$Y544*$J544+MAX(0,N($K544)-1)*설정!$J$7))</f>
        <v/>
      </c>
      <c r="AA544" s="56" t="str">
        <f aca="false">IF(AND($D544&lt;&gt;"",$B544="결제완료"),N($N544),"")</f>
        <v/>
      </c>
      <c r="AB544" s="45" t="str">
        <f aca="false">IF($D544="","",IF($F544&lt;&gt;"",$F544,$D544)&amp;IF($B544="상담중"," (상담)",""))</f>
        <v/>
      </c>
      <c r="AC544" s="45" t="n">
        <f aca="false">IF(AND($D544&lt;&gt;"",OR($B544="결제완료",$B544="상담중")),1,0)</f>
        <v>0</v>
      </c>
      <c r="AD544" s="45" t="n">
        <f aca="false">IF(OR($Z544="",$U544=""),0,IFERROR(IF(COUNTIFS(INDEX(g_grid,0,2*MATCH($M544,강사DB!$A$4:$A$15,0)),"&lt;&gt;",g_s,"&lt;="&amp;$U544,g_e,"&gt;="&amp;$U544)&gt;0,1,0),0))</f>
        <v>0</v>
      </c>
      <c r="AE544" s="48"/>
      <c r="AF544" s="56" t="str">
        <f aca="false">IF(AND($D544&lt;&gt;"",$B544="결제완료",$T544="대여"),설정!$J$5,"")</f>
        <v/>
      </c>
      <c r="AG544" s="54" t="str">
        <f aca="false">IF($D544="","",IF(AND($E544="",$R544=""),$AB544,"☎ "&amp;IF($E544="","-",$E544)&amp;IF($R544&lt;&gt;"","  ※ "&amp;$R544,"")&amp;IF($B544="상담중"," (상담)","")))</f>
        <v/>
      </c>
      <c r="AH544" s="56" t="str">
        <f aca="false">IF(AND($D544&lt;&gt;"",$B544="결제완료",$O544="스마트스토어"),ROUND(N($N544)*설정!$J$6,0),"")</f>
        <v/>
      </c>
      <c r="AI544" s="54" t="str">
        <f aca="false">IF($D544="","",ROW())</f>
        <v/>
      </c>
      <c r="AJ544" s="54" t="n">
        <f aca="false">IF(OR($AC544&lt;&gt;1,$M544=""),0,IF(ISNUMBER(SEARCH("퇴사",IFERROR(INDEX(강사DB!$G$4:$G$53,MATCH($M544,강사DB!$A$4:$A$53,0)),""))),1,0))</f>
        <v>0</v>
      </c>
    </row>
    <row r="545" customFormat="false" ht="15" hidden="false" customHeight="false" outlineLevel="0" collapsed="false">
      <c r="A545" s="45" t="str">
        <f aca="false">IF($D545="","",COUNTA($D$5:$D545))</f>
        <v/>
      </c>
      <c r="B545" s="46"/>
      <c r="C545" s="47"/>
      <c r="D545" s="48"/>
      <c r="E545" s="48"/>
      <c r="F545" s="49"/>
      <c r="G545" s="47"/>
      <c r="H545" s="50"/>
      <c r="I545" s="50"/>
      <c r="J545" s="51" t="str">
        <f aca="false">IF(OR($V545="",$W545=""),"",ROUND(($W545-$V545)/60,2))</f>
        <v/>
      </c>
      <c r="K545" s="52" t="str">
        <f aca="false">IF($F545="","",LEN($F545)-LEN(SUBSTITUTE($F545,",",""))+1)</f>
        <v/>
      </c>
      <c r="L545" s="45" t="str">
        <f aca="false">IF($K545="","","1:"&amp;$K545)</f>
        <v/>
      </c>
      <c r="M545" s="46"/>
      <c r="N545" s="53"/>
      <c r="O545" s="46"/>
      <c r="P545" s="47"/>
      <c r="Q545" s="48"/>
      <c r="R545" s="49"/>
      <c r="S545" s="54" t="str">
        <f aca="false">IF(OR($AC545=0,$U545="",$M545="",$V545="",$W545=""),"",IF(COUNTIFS(m_teacher,$M545,m_date,$U545,m_active,1,m_start,"&lt;"&amp;$W545,m_end,"&gt;"&amp;$V545)&gt;1,"충돌",""))</f>
        <v/>
      </c>
      <c r="T545" s="48"/>
      <c r="U545" s="55" t="str">
        <f aca="false">IF($G545="","",IFERROR(IF(ISNUMBER($G545),IF($G545&gt;19000000,DATE(INT($G545/10000),MOD(INT($G545/100),100),MOD($G545,100)),INT($G545)),IF(LEN(SUBSTITUTE(SUBSTITUTE(SUBSTITUTE(TRIM($G545),"-",""),".",""),"/",""))=8,DATE(VALUE(LEFT(SUBSTITUTE(SUBSTITUTE(SUBSTITUTE(TRIM($G545),"-",""),".",""),"/",""),4)),VALUE(MID(SUBSTITUTE(SUBSTITUTE(SUBSTITUTE(TRIM($G545),"-",""),".",""),"/",""),5,2)),VALUE(RIGHT(SUBSTITUTE(SUBSTITUTE(SUBSTITUTE(TRIM($G545),"-",""),".",""),"/",""),2))),DATEVALUE($G545))),""))</f>
        <v/>
      </c>
      <c r="V545" s="52" t="str">
        <f aca="false">IF($H545="","",IFERROR(IF(IF(ISNUMBER($H545),$H545,IFERROR(TIMEVALUE($H545),VALUE($H545)))&gt;=100,INT(IF(ISNUMBER($H545),$H545,IFERROR(TIMEVALUE($H545),VALUE($H545)))/100)*60+MOD(IF(ISNUMBER($H545),$H545,IFERROR(TIMEVALUE($H545),VALUE($H545))),100),IF(IF(ISNUMBER($H545),$H545,IFERROR(TIMEVALUE($H545),VALUE($H545)))&gt;=1,ROUND(IF(ISNUMBER($H545),$H545,IFERROR(TIMEVALUE($H545),VALUE($H545)))*60,0),ROUND(MOD(IF(ISNUMBER($H545),$H545,IFERROR(TIMEVALUE($H545),VALUE($H545))),1)*1440,0))),""))</f>
        <v/>
      </c>
      <c r="W545" s="52" t="str">
        <f aca="false">IF($I545="","",IFERROR(IF(IF(ISNUMBER($I545),$I545,IFERROR(TIMEVALUE($I545),VALUE($I545)))&gt;=100,INT(IF(ISNUMBER($I545),$I545,IFERROR(TIMEVALUE($I545),VALUE($I545)))/100)*60+MOD(IF(ISNUMBER($I545),$I545,IFERROR(TIMEVALUE($I545),VALUE($I545))),100),IF(IF(ISNUMBER($I545),$I545,IFERROR(TIMEVALUE($I545),VALUE($I545)))&gt;=1,ROUND(IF(ISNUMBER($I545),$I545,IFERROR(TIMEVALUE($I545),VALUE($I545)))*60,0),ROUND(MOD(IF(ISNUMBER($I545),$I545,IFERROR(TIMEVALUE($I545),VALUE($I545))),1)*1440,0))),""))</f>
        <v/>
      </c>
      <c r="X545" s="55" t="str">
        <f aca="false">IF($P545="","",IFERROR(IF(ISNUMBER($P545),IF($P545&gt;19000000,DATE(INT($P545/10000),MOD(INT($P545/100),100),MOD($P545,100)),INT($P545)),IF(LEN(SUBSTITUTE(SUBSTITUTE(SUBSTITUTE(TRIM($P545),"-",""),".",""),"/",""))=8,DATE(VALUE(LEFT(SUBSTITUTE(SUBSTITUTE(SUBSTITUTE(TRIM($P545),"-",""),".",""),"/",""),4)),VALUE(MID(SUBSTITUTE(SUBSTITUTE(SUBSTITUTE(TRIM($P545),"-",""),".",""),"/",""),5,2)),VALUE(RIGHT(SUBSTITUTE(SUBSTITUTE(SUBSTITUTE(TRIM($P545),"-",""),".",""),"/",""),2))),DATEVALUE($P545))),""))</f>
        <v/>
      </c>
      <c r="Y545" s="56" t="str">
        <f aca="false">IF($M545="","",IFERROR(INDEX(강사DB!$D$4:$D$53,MATCH($M545,강사DB!$A$4:$A$53,0)),""))</f>
        <v/>
      </c>
      <c r="Z545" s="56" t="str">
        <f aca="false">IF($B545&lt;&gt;"결제완료","",IF(OR($Y545="",$J545=""),"",$Y545*$J545+MAX(0,N($K545)-1)*설정!$J$7))</f>
        <v/>
      </c>
      <c r="AA545" s="56" t="str">
        <f aca="false">IF(AND($D545&lt;&gt;"",$B545="결제완료"),N($N545),"")</f>
        <v/>
      </c>
      <c r="AB545" s="45" t="str">
        <f aca="false">IF($D545="","",IF($F545&lt;&gt;"",$F545,$D545)&amp;IF($B545="상담중"," (상담)",""))</f>
        <v/>
      </c>
      <c r="AC545" s="45" t="n">
        <f aca="false">IF(AND($D545&lt;&gt;"",OR($B545="결제완료",$B545="상담중")),1,0)</f>
        <v>0</v>
      </c>
      <c r="AD545" s="45" t="n">
        <f aca="false">IF(OR($Z545="",$U545=""),0,IFERROR(IF(COUNTIFS(INDEX(g_grid,0,2*MATCH($M545,강사DB!$A$4:$A$15,0)),"&lt;&gt;",g_s,"&lt;="&amp;$U545,g_e,"&gt;="&amp;$U545)&gt;0,1,0),0))</f>
        <v>0</v>
      </c>
      <c r="AE545" s="48"/>
      <c r="AF545" s="56" t="str">
        <f aca="false">IF(AND($D545&lt;&gt;"",$B545="결제완료",$T545="대여"),설정!$J$5,"")</f>
        <v/>
      </c>
      <c r="AG545" s="54" t="str">
        <f aca="false">IF($D545="","",IF(AND($E545="",$R545=""),$AB545,"☎ "&amp;IF($E545="","-",$E545)&amp;IF($R545&lt;&gt;"","  ※ "&amp;$R545,"")&amp;IF($B545="상담중"," (상담)","")))</f>
        <v/>
      </c>
      <c r="AH545" s="56" t="str">
        <f aca="false">IF(AND($D545&lt;&gt;"",$B545="결제완료",$O545="스마트스토어"),ROUND(N($N545)*설정!$J$6,0),"")</f>
        <v/>
      </c>
      <c r="AI545" s="54" t="str">
        <f aca="false">IF($D545="","",ROW())</f>
        <v/>
      </c>
      <c r="AJ545" s="54" t="n">
        <f aca="false">IF(OR($AC545&lt;&gt;1,$M545=""),0,IF(ISNUMBER(SEARCH("퇴사",IFERROR(INDEX(강사DB!$G$4:$G$53,MATCH($M545,강사DB!$A$4:$A$53,0)),""))),1,0))</f>
        <v>0</v>
      </c>
    </row>
    <row r="546" customFormat="false" ht="15" hidden="false" customHeight="false" outlineLevel="0" collapsed="false">
      <c r="A546" s="45" t="str">
        <f aca="false">IF($D546="","",COUNTA($D$5:$D546))</f>
        <v/>
      </c>
      <c r="B546" s="46"/>
      <c r="C546" s="47"/>
      <c r="D546" s="48"/>
      <c r="E546" s="48"/>
      <c r="F546" s="49"/>
      <c r="G546" s="47"/>
      <c r="H546" s="50"/>
      <c r="I546" s="50"/>
      <c r="J546" s="51" t="str">
        <f aca="false">IF(OR($V546="",$W546=""),"",ROUND(($W546-$V546)/60,2))</f>
        <v/>
      </c>
      <c r="K546" s="52" t="str">
        <f aca="false">IF($F546="","",LEN($F546)-LEN(SUBSTITUTE($F546,",",""))+1)</f>
        <v/>
      </c>
      <c r="L546" s="45" t="str">
        <f aca="false">IF($K546="","","1:"&amp;$K546)</f>
        <v/>
      </c>
      <c r="M546" s="46"/>
      <c r="N546" s="53"/>
      <c r="O546" s="46"/>
      <c r="P546" s="47"/>
      <c r="Q546" s="48"/>
      <c r="R546" s="49"/>
      <c r="S546" s="54" t="str">
        <f aca="false">IF(OR($AC546=0,$U546="",$M546="",$V546="",$W546=""),"",IF(COUNTIFS(m_teacher,$M546,m_date,$U546,m_active,1,m_start,"&lt;"&amp;$W546,m_end,"&gt;"&amp;$V546)&gt;1,"충돌",""))</f>
        <v/>
      </c>
      <c r="T546" s="48"/>
      <c r="U546" s="55" t="str">
        <f aca="false">IF($G546="","",IFERROR(IF(ISNUMBER($G546),IF($G546&gt;19000000,DATE(INT($G546/10000),MOD(INT($G546/100),100),MOD($G546,100)),INT($G546)),IF(LEN(SUBSTITUTE(SUBSTITUTE(SUBSTITUTE(TRIM($G546),"-",""),".",""),"/",""))=8,DATE(VALUE(LEFT(SUBSTITUTE(SUBSTITUTE(SUBSTITUTE(TRIM($G546),"-",""),".",""),"/",""),4)),VALUE(MID(SUBSTITUTE(SUBSTITUTE(SUBSTITUTE(TRIM($G546),"-",""),".",""),"/",""),5,2)),VALUE(RIGHT(SUBSTITUTE(SUBSTITUTE(SUBSTITUTE(TRIM($G546),"-",""),".",""),"/",""),2))),DATEVALUE($G546))),""))</f>
        <v/>
      </c>
      <c r="V546" s="52" t="str">
        <f aca="false">IF($H546="","",IFERROR(IF(IF(ISNUMBER($H546),$H546,IFERROR(TIMEVALUE($H546),VALUE($H546)))&gt;=100,INT(IF(ISNUMBER($H546),$H546,IFERROR(TIMEVALUE($H546),VALUE($H546)))/100)*60+MOD(IF(ISNUMBER($H546),$H546,IFERROR(TIMEVALUE($H546),VALUE($H546))),100),IF(IF(ISNUMBER($H546),$H546,IFERROR(TIMEVALUE($H546),VALUE($H546)))&gt;=1,ROUND(IF(ISNUMBER($H546),$H546,IFERROR(TIMEVALUE($H546),VALUE($H546)))*60,0),ROUND(MOD(IF(ISNUMBER($H546),$H546,IFERROR(TIMEVALUE($H546),VALUE($H546))),1)*1440,0))),""))</f>
        <v/>
      </c>
      <c r="W546" s="52" t="str">
        <f aca="false">IF($I546="","",IFERROR(IF(IF(ISNUMBER($I546),$I546,IFERROR(TIMEVALUE($I546),VALUE($I546)))&gt;=100,INT(IF(ISNUMBER($I546),$I546,IFERROR(TIMEVALUE($I546),VALUE($I546)))/100)*60+MOD(IF(ISNUMBER($I546),$I546,IFERROR(TIMEVALUE($I546),VALUE($I546))),100),IF(IF(ISNUMBER($I546),$I546,IFERROR(TIMEVALUE($I546),VALUE($I546)))&gt;=1,ROUND(IF(ISNUMBER($I546),$I546,IFERROR(TIMEVALUE($I546),VALUE($I546)))*60,0),ROUND(MOD(IF(ISNUMBER($I546),$I546,IFERROR(TIMEVALUE($I546),VALUE($I546))),1)*1440,0))),""))</f>
        <v/>
      </c>
      <c r="X546" s="55" t="str">
        <f aca="false">IF($P546="","",IFERROR(IF(ISNUMBER($P546),IF($P546&gt;19000000,DATE(INT($P546/10000),MOD(INT($P546/100),100),MOD($P546,100)),INT($P546)),IF(LEN(SUBSTITUTE(SUBSTITUTE(SUBSTITUTE(TRIM($P546),"-",""),".",""),"/",""))=8,DATE(VALUE(LEFT(SUBSTITUTE(SUBSTITUTE(SUBSTITUTE(TRIM($P546),"-",""),".",""),"/",""),4)),VALUE(MID(SUBSTITUTE(SUBSTITUTE(SUBSTITUTE(TRIM($P546),"-",""),".",""),"/",""),5,2)),VALUE(RIGHT(SUBSTITUTE(SUBSTITUTE(SUBSTITUTE(TRIM($P546),"-",""),".",""),"/",""),2))),DATEVALUE($P546))),""))</f>
        <v/>
      </c>
      <c r="Y546" s="56" t="str">
        <f aca="false">IF($M546="","",IFERROR(INDEX(강사DB!$D$4:$D$53,MATCH($M546,강사DB!$A$4:$A$53,0)),""))</f>
        <v/>
      </c>
      <c r="Z546" s="56" t="str">
        <f aca="false">IF($B546&lt;&gt;"결제완료","",IF(OR($Y546="",$J546=""),"",$Y546*$J546+MAX(0,N($K546)-1)*설정!$J$7))</f>
        <v/>
      </c>
      <c r="AA546" s="56" t="str">
        <f aca="false">IF(AND($D546&lt;&gt;"",$B546="결제완료"),N($N546),"")</f>
        <v/>
      </c>
      <c r="AB546" s="45" t="str">
        <f aca="false">IF($D546="","",IF($F546&lt;&gt;"",$F546,$D546)&amp;IF($B546="상담중"," (상담)",""))</f>
        <v/>
      </c>
      <c r="AC546" s="45" t="n">
        <f aca="false">IF(AND($D546&lt;&gt;"",OR($B546="결제완료",$B546="상담중")),1,0)</f>
        <v>0</v>
      </c>
      <c r="AD546" s="45" t="n">
        <f aca="false">IF(OR($Z546="",$U546=""),0,IFERROR(IF(COUNTIFS(INDEX(g_grid,0,2*MATCH($M546,강사DB!$A$4:$A$15,0)),"&lt;&gt;",g_s,"&lt;="&amp;$U546,g_e,"&gt;="&amp;$U546)&gt;0,1,0),0))</f>
        <v>0</v>
      </c>
      <c r="AE546" s="48"/>
      <c r="AF546" s="56" t="str">
        <f aca="false">IF(AND($D546&lt;&gt;"",$B546="결제완료",$T546="대여"),설정!$J$5,"")</f>
        <v/>
      </c>
      <c r="AG546" s="54" t="str">
        <f aca="false">IF($D546="","",IF(AND($E546="",$R546=""),$AB546,"☎ "&amp;IF($E546="","-",$E546)&amp;IF($R546&lt;&gt;"","  ※ "&amp;$R546,"")&amp;IF($B546="상담중"," (상담)","")))</f>
        <v/>
      </c>
      <c r="AH546" s="56" t="str">
        <f aca="false">IF(AND($D546&lt;&gt;"",$B546="결제완료",$O546="스마트스토어"),ROUND(N($N546)*설정!$J$6,0),"")</f>
        <v/>
      </c>
      <c r="AI546" s="54" t="str">
        <f aca="false">IF($D546="","",ROW())</f>
        <v/>
      </c>
      <c r="AJ546" s="54" t="n">
        <f aca="false">IF(OR($AC546&lt;&gt;1,$M546=""),0,IF(ISNUMBER(SEARCH("퇴사",IFERROR(INDEX(강사DB!$G$4:$G$53,MATCH($M546,강사DB!$A$4:$A$53,0)),""))),1,0))</f>
        <v>0</v>
      </c>
    </row>
    <row r="547" customFormat="false" ht="15" hidden="false" customHeight="false" outlineLevel="0" collapsed="false">
      <c r="A547" s="45" t="str">
        <f aca="false">IF($D547="","",COUNTA($D$5:$D547))</f>
        <v/>
      </c>
      <c r="B547" s="46"/>
      <c r="C547" s="47"/>
      <c r="D547" s="48"/>
      <c r="E547" s="48"/>
      <c r="F547" s="49"/>
      <c r="G547" s="47"/>
      <c r="H547" s="50"/>
      <c r="I547" s="50"/>
      <c r="J547" s="51" t="str">
        <f aca="false">IF(OR($V547="",$W547=""),"",ROUND(($W547-$V547)/60,2))</f>
        <v/>
      </c>
      <c r="K547" s="52" t="str">
        <f aca="false">IF($F547="","",LEN($F547)-LEN(SUBSTITUTE($F547,",",""))+1)</f>
        <v/>
      </c>
      <c r="L547" s="45" t="str">
        <f aca="false">IF($K547="","","1:"&amp;$K547)</f>
        <v/>
      </c>
      <c r="M547" s="46"/>
      <c r="N547" s="53"/>
      <c r="O547" s="46"/>
      <c r="P547" s="47"/>
      <c r="Q547" s="48"/>
      <c r="R547" s="49"/>
      <c r="S547" s="54" t="str">
        <f aca="false">IF(OR($AC547=0,$U547="",$M547="",$V547="",$W547=""),"",IF(COUNTIFS(m_teacher,$M547,m_date,$U547,m_active,1,m_start,"&lt;"&amp;$W547,m_end,"&gt;"&amp;$V547)&gt;1,"충돌",""))</f>
        <v/>
      </c>
      <c r="T547" s="48"/>
      <c r="U547" s="55" t="str">
        <f aca="false">IF($G547="","",IFERROR(IF(ISNUMBER($G547),IF($G547&gt;19000000,DATE(INT($G547/10000),MOD(INT($G547/100),100),MOD($G547,100)),INT($G547)),IF(LEN(SUBSTITUTE(SUBSTITUTE(SUBSTITUTE(TRIM($G547),"-",""),".",""),"/",""))=8,DATE(VALUE(LEFT(SUBSTITUTE(SUBSTITUTE(SUBSTITUTE(TRIM($G547),"-",""),".",""),"/",""),4)),VALUE(MID(SUBSTITUTE(SUBSTITUTE(SUBSTITUTE(TRIM($G547),"-",""),".",""),"/",""),5,2)),VALUE(RIGHT(SUBSTITUTE(SUBSTITUTE(SUBSTITUTE(TRIM($G547),"-",""),".",""),"/",""),2))),DATEVALUE($G547))),""))</f>
        <v/>
      </c>
      <c r="V547" s="52" t="str">
        <f aca="false">IF($H547="","",IFERROR(IF(IF(ISNUMBER($H547),$H547,IFERROR(TIMEVALUE($H547),VALUE($H547)))&gt;=100,INT(IF(ISNUMBER($H547),$H547,IFERROR(TIMEVALUE($H547),VALUE($H547)))/100)*60+MOD(IF(ISNUMBER($H547),$H547,IFERROR(TIMEVALUE($H547),VALUE($H547))),100),IF(IF(ISNUMBER($H547),$H547,IFERROR(TIMEVALUE($H547),VALUE($H547)))&gt;=1,ROUND(IF(ISNUMBER($H547),$H547,IFERROR(TIMEVALUE($H547),VALUE($H547)))*60,0),ROUND(MOD(IF(ISNUMBER($H547),$H547,IFERROR(TIMEVALUE($H547),VALUE($H547))),1)*1440,0))),""))</f>
        <v/>
      </c>
      <c r="W547" s="52" t="str">
        <f aca="false">IF($I547="","",IFERROR(IF(IF(ISNUMBER($I547),$I547,IFERROR(TIMEVALUE($I547),VALUE($I547)))&gt;=100,INT(IF(ISNUMBER($I547),$I547,IFERROR(TIMEVALUE($I547),VALUE($I547)))/100)*60+MOD(IF(ISNUMBER($I547),$I547,IFERROR(TIMEVALUE($I547),VALUE($I547))),100),IF(IF(ISNUMBER($I547),$I547,IFERROR(TIMEVALUE($I547),VALUE($I547)))&gt;=1,ROUND(IF(ISNUMBER($I547),$I547,IFERROR(TIMEVALUE($I547),VALUE($I547)))*60,0),ROUND(MOD(IF(ISNUMBER($I547),$I547,IFERROR(TIMEVALUE($I547),VALUE($I547))),1)*1440,0))),""))</f>
        <v/>
      </c>
      <c r="X547" s="55" t="str">
        <f aca="false">IF($P547="","",IFERROR(IF(ISNUMBER($P547),IF($P547&gt;19000000,DATE(INT($P547/10000),MOD(INT($P547/100),100),MOD($P547,100)),INT($P547)),IF(LEN(SUBSTITUTE(SUBSTITUTE(SUBSTITUTE(TRIM($P547),"-",""),".",""),"/",""))=8,DATE(VALUE(LEFT(SUBSTITUTE(SUBSTITUTE(SUBSTITUTE(TRIM($P547),"-",""),".",""),"/",""),4)),VALUE(MID(SUBSTITUTE(SUBSTITUTE(SUBSTITUTE(TRIM($P547),"-",""),".",""),"/",""),5,2)),VALUE(RIGHT(SUBSTITUTE(SUBSTITUTE(SUBSTITUTE(TRIM($P547),"-",""),".",""),"/",""),2))),DATEVALUE($P547))),""))</f>
        <v/>
      </c>
      <c r="Y547" s="56" t="str">
        <f aca="false">IF($M547="","",IFERROR(INDEX(강사DB!$D$4:$D$53,MATCH($M547,강사DB!$A$4:$A$53,0)),""))</f>
        <v/>
      </c>
      <c r="Z547" s="56" t="str">
        <f aca="false">IF($B547&lt;&gt;"결제완료","",IF(OR($Y547="",$J547=""),"",$Y547*$J547+MAX(0,N($K547)-1)*설정!$J$7))</f>
        <v/>
      </c>
      <c r="AA547" s="56" t="str">
        <f aca="false">IF(AND($D547&lt;&gt;"",$B547="결제완료"),N($N547),"")</f>
        <v/>
      </c>
      <c r="AB547" s="45" t="str">
        <f aca="false">IF($D547="","",IF($F547&lt;&gt;"",$F547,$D547)&amp;IF($B547="상담중"," (상담)",""))</f>
        <v/>
      </c>
      <c r="AC547" s="45" t="n">
        <f aca="false">IF(AND($D547&lt;&gt;"",OR($B547="결제완료",$B547="상담중")),1,0)</f>
        <v>0</v>
      </c>
      <c r="AD547" s="45" t="n">
        <f aca="false">IF(OR($Z547="",$U547=""),0,IFERROR(IF(COUNTIFS(INDEX(g_grid,0,2*MATCH($M547,강사DB!$A$4:$A$15,0)),"&lt;&gt;",g_s,"&lt;="&amp;$U547,g_e,"&gt;="&amp;$U547)&gt;0,1,0),0))</f>
        <v>0</v>
      </c>
      <c r="AE547" s="48"/>
      <c r="AF547" s="56" t="str">
        <f aca="false">IF(AND($D547&lt;&gt;"",$B547="결제완료",$T547="대여"),설정!$J$5,"")</f>
        <v/>
      </c>
      <c r="AG547" s="54" t="str">
        <f aca="false">IF($D547="","",IF(AND($E547="",$R547=""),$AB547,"☎ "&amp;IF($E547="","-",$E547)&amp;IF($R547&lt;&gt;"","  ※ "&amp;$R547,"")&amp;IF($B547="상담중"," (상담)","")))</f>
        <v/>
      </c>
      <c r="AH547" s="56" t="str">
        <f aca="false">IF(AND($D547&lt;&gt;"",$B547="결제완료",$O547="스마트스토어"),ROUND(N($N547)*설정!$J$6,0),"")</f>
        <v/>
      </c>
      <c r="AI547" s="54" t="str">
        <f aca="false">IF($D547="","",ROW())</f>
        <v/>
      </c>
      <c r="AJ547" s="54" t="n">
        <f aca="false">IF(OR($AC547&lt;&gt;1,$M547=""),0,IF(ISNUMBER(SEARCH("퇴사",IFERROR(INDEX(강사DB!$G$4:$G$53,MATCH($M547,강사DB!$A$4:$A$53,0)),""))),1,0))</f>
        <v>0</v>
      </c>
    </row>
    <row r="548" customFormat="false" ht="15" hidden="false" customHeight="false" outlineLevel="0" collapsed="false">
      <c r="A548" s="45" t="str">
        <f aca="false">IF($D548="","",COUNTA($D$5:$D548))</f>
        <v/>
      </c>
      <c r="B548" s="46"/>
      <c r="C548" s="47"/>
      <c r="D548" s="48"/>
      <c r="E548" s="48"/>
      <c r="F548" s="49"/>
      <c r="G548" s="47"/>
      <c r="H548" s="50"/>
      <c r="I548" s="50"/>
      <c r="J548" s="51" t="str">
        <f aca="false">IF(OR($V548="",$W548=""),"",ROUND(($W548-$V548)/60,2))</f>
        <v/>
      </c>
      <c r="K548" s="52" t="str">
        <f aca="false">IF($F548="","",LEN($F548)-LEN(SUBSTITUTE($F548,",",""))+1)</f>
        <v/>
      </c>
      <c r="L548" s="45" t="str">
        <f aca="false">IF($K548="","","1:"&amp;$K548)</f>
        <v/>
      </c>
      <c r="M548" s="46"/>
      <c r="N548" s="53"/>
      <c r="O548" s="46"/>
      <c r="P548" s="47"/>
      <c r="Q548" s="48"/>
      <c r="R548" s="49"/>
      <c r="S548" s="54" t="str">
        <f aca="false">IF(OR($AC548=0,$U548="",$M548="",$V548="",$W548=""),"",IF(COUNTIFS(m_teacher,$M548,m_date,$U548,m_active,1,m_start,"&lt;"&amp;$W548,m_end,"&gt;"&amp;$V548)&gt;1,"충돌",""))</f>
        <v/>
      </c>
      <c r="T548" s="48"/>
      <c r="U548" s="55" t="str">
        <f aca="false">IF($G548="","",IFERROR(IF(ISNUMBER($G548),IF($G548&gt;19000000,DATE(INT($G548/10000),MOD(INT($G548/100),100),MOD($G548,100)),INT($G548)),IF(LEN(SUBSTITUTE(SUBSTITUTE(SUBSTITUTE(TRIM($G548),"-",""),".",""),"/",""))=8,DATE(VALUE(LEFT(SUBSTITUTE(SUBSTITUTE(SUBSTITUTE(TRIM($G548),"-",""),".",""),"/",""),4)),VALUE(MID(SUBSTITUTE(SUBSTITUTE(SUBSTITUTE(TRIM($G548),"-",""),".",""),"/",""),5,2)),VALUE(RIGHT(SUBSTITUTE(SUBSTITUTE(SUBSTITUTE(TRIM($G548),"-",""),".",""),"/",""),2))),DATEVALUE($G548))),""))</f>
        <v/>
      </c>
      <c r="V548" s="52" t="str">
        <f aca="false">IF($H548="","",IFERROR(IF(IF(ISNUMBER($H548),$H548,IFERROR(TIMEVALUE($H548),VALUE($H548)))&gt;=100,INT(IF(ISNUMBER($H548),$H548,IFERROR(TIMEVALUE($H548),VALUE($H548)))/100)*60+MOD(IF(ISNUMBER($H548),$H548,IFERROR(TIMEVALUE($H548),VALUE($H548))),100),IF(IF(ISNUMBER($H548),$H548,IFERROR(TIMEVALUE($H548),VALUE($H548)))&gt;=1,ROUND(IF(ISNUMBER($H548),$H548,IFERROR(TIMEVALUE($H548),VALUE($H548)))*60,0),ROUND(MOD(IF(ISNUMBER($H548),$H548,IFERROR(TIMEVALUE($H548),VALUE($H548))),1)*1440,0))),""))</f>
        <v/>
      </c>
      <c r="W548" s="52" t="str">
        <f aca="false">IF($I548="","",IFERROR(IF(IF(ISNUMBER($I548),$I548,IFERROR(TIMEVALUE($I548),VALUE($I548)))&gt;=100,INT(IF(ISNUMBER($I548),$I548,IFERROR(TIMEVALUE($I548),VALUE($I548)))/100)*60+MOD(IF(ISNUMBER($I548),$I548,IFERROR(TIMEVALUE($I548),VALUE($I548))),100),IF(IF(ISNUMBER($I548),$I548,IFERROR(TIMEVALUE($I548),VALUE($I548)))&gt;=1,ROUND(IF(ISNUMBER($I548),$I548,IFERROR(TIMEVALUE($I548),VALUE($I548)))*60,0),ROUND(MOD(IF(ISNUMBER($I548),$I548,IFERROR(TIMEVALUE($I548),VALUE($I548))),1)*1440,0))),""))</f>
        <v/>
      </c>
      <c r="X548" s="55" t="str">
        <f aca="false">IF($P548="","",IFERROR(IF(ISNUMBER($P548),IF($P548&gt;19000000,DATE(INT($P548/10000),MOD(INT($P548/100),100),MOD($P548,100)),INT($P548)),IF(LEN(SUBSTITUTE(SUBSTITUTE(SUBSTITUTE(TRIM($P548),"-",""),".",""),"/",""))=8,DATE(VALUE(LEFT(SUBSTITUTE(SUBSTITUTE(SUBSTITUTE(TRIM($P548),"-",""),".",""),"/",""),4)),VALUE(MID(SUBSTITUTE(SUBSTITUTE(SUBSTITUTE(TRIM($P548),"-",""),".",""),"/",""),5,2)),VALUE(RIGHT(SUBSTITUTE(SUBSTITUTE(SUBSTITUTE(TRIM($P548),"-",""),".",""),"/",""),2))),DATEVALUE($P548))),""))</f>
        <v/>
      </c>
      <c r="Y548" s="56" t="str">
        <f aca="false">IF($M548="","",IFERROR(INDEX(강사DB!$D$4:$D$53,MATCH($M548,강사DB!$A$4:$A$53,0)),""))</f>
        <v/>
      </c>
      <c r="Z548" s="56" t="str">
        <f aca="false">IF($B548&lt;&gt;"결제완료","",IF(OR($Y548="",$J548=""),"",$Y548*$J548+MAX(0,N($K548)-1)*설정!$J$7))</f>
        <v/>
      </c>
      <c r="AA548" s="56" t="str">
        <f aca="false">IF(AND($D548&lt;&gt;"",$B548="결제완료"),N($N548),"")</f>
        <v/>
      </c>
      <c r="AB548" s="45" t="str">
        <f aca="false">IF($D548="","",IF($F548&lt;&gt;"",$F548,$D548)&amp;IF($B548="상담중"," (상담)",""))</f>
        <v/>
      </c>
      <c r="AC548" s="45" t="n">
        <f aca="false">IF(AND($D548&lt;&gt;"",OR($B548="결제완료",$B548="상담중")),1,0)</f>
        <v>0</v>
      </c>
      <c r="AD548" s="45" t="n">
        <f aca="false">IF(OR($Z548="",$U548=""),0,IFERROR(IF(COUNTIFS(INDEX(g_grid,0,2*MATCH($M548,강사DB!$A$4:$A$15,0)),"&lt;&gt;",g_s,"&lt;="&amp;$U548,g_e,"&gt;="&amp;$U548)&gt;0,1,0),0))</f>
        <v>0</v>
      </c>
      <c r="AE548" s="48"/>
      <c r="AF548" s="56" t="str">
        <f aca="false">IF(AND($D548&lt;&gt;"",$B548="결제완료",$T548="대여"),설정!$J$5,"")</f>
        <v/>
      </c>
      <c r="AG548" s="54" t="str">
        <f aca="false">IF($D548="","",IF(AND($E548="",$R548=""),$AB548,"☎ "&amp;IF($E548="","-",$E548)&amp;IF($R548&lt;&gt;"","  ※ "&amp;$R548,"")&amp;IF($B548="상담중"," (상담)","")))</f>
        <v/>
      </c>
      <c r="AH548" s="56" t="str">
        <f aca="false">IF(AND($D548&lt;&gt;"",$B548="결제완료",$O548="스마트스토어"),ROUND(N($N548)*설정!$J$6,0),"")</f>
        <v/>
      </c>
      <c r="AI548" s="54" t="str">
        <f aca="false">IF($D548="","",ROW())</f>
        <v/>
      </c>
      <c r="AJ548" s="54" t="n">
        <f aca="false">IF(OR($AC548&lt;&gt;1,$M548=""),0,IF(ISNUMBER(SEARCH("퇴사",IFERROR(INDEX(강사DB!$G$4:$G$53,MATCH($M548,강사DB!$A$4:$A$53,0)),""))),1,0))</f>
        <v>0</v>
      </c>
    </row>
    <row r="549" customFormat="false" ht="15" hidden="false" customHeight="false" outlineLevel="0" collapsed="false">
      <c r="A549" s="45" t="str">
        <f aca="false">IF($D549="","",COUNTA($D$5:$D549))</f>
        <v/>
      </c>
      <c r="B549" s="46"/>
      <c r="C549" s="47"/>
      <c r="D549" s="48"/>
      <c r="E549" s="48"/>
      <c r="F549" s="49"/>
      <c r="G549" s="47"/>
      <c r="H549" s="50"/>
      <c r="I549" s="50"/>
      <c r="J549" s="51" t="str">
        <f aca="false">IF(OR($V549="",$W549=""),"",ROUND(($W549-$V549)/60,2))</f>
        <v/>
      </c>
      <c r="K549" s="52" t="str">
        <f aca="false">IF($F549="","",LEN($F549)-LEN(SUBSTITUTE($F549,",",""))+1)</f>
        <v/>
      </c>
      <c r="L549" s="45" t="str">
        <f aca="false">IF($K549="","","1:"&amp;$K549)</f>
        <v/>
      </c>
      <c r="M549" s="46"/>
      <c r="N549" s="53"/>
      <c r="O549" s="46"/>
      <c r="P549" s="47"/>
      <c r="Q549" s="48"/>
      <c r="R549" s="49"/>
      <c r="S549" s="54" t="str">
        <f aca="false">IF(OR($AC549=0,$U549="",$M549="",$V549="",$W549=""),"",IF(COUNTIFS(m_teacher,$M549,m_date,$U549,m_active,1,m_start,"&lt;"&amp;$W549,m_end,"&gt;"&amp;$V549)&gt;1,"충돌",""))</f>
        <v/>
      </c>
      <c r="T549" s="48"/>
      <c r="U549" s="55" t="str">
        <f aca="false">IF($G549="","",IFERROR(IF(ISNUMBER($G549),IF($G549&gt;19000000,DATE(INT($G549/10000),MOD(INT($G549/100),100),MOD($G549,100)),INT($G549)),IF(LEN(SUBSTITUTE(SUBSTITUTE(SUBSTITUTE(TRIM($G549),"-",""),".",""),"/",""))=8,DATE(VALUE(LEFT(SUBSTITUTE(SUBSTITUTE(SUBSTITUTE(TRIM($G549),"-",""),".",""),"/",""),4)),VALUE(MID(SUBSTITUTE(SUBSTITUTE(SUBSTITUTE(TRIM($G549),"-",""),".",""),"/",""),5,2)),VALUE(RIGHT(SUBSTITUTE(SUBSTITUTE(SUBSTITUTE(TRIM($G549),"-",""),".",""),"/",""),2))),DATEVALUE($G549))),""))</f>
        <v/>
      </c>
      <c r="V549" s="52" t="str">
        <f aca="false">IF($H549="","",IFERROR(IF(IF(ISNUMBER($H549),$H549,IFERROR(TIMEVALUE($H549),VALUE($H549)))&gt;=100,INT(IF(ISNUMBER($H549),$H549,IFERROR(TIMEVALUE($H549),VALUE($H549)))/100)*60+MOD(IF(ISNUMBER($H549),$H549,IFERROR(TIMEVALUE($H549),VALUE($H549))),100),IF(IF(ISNUMBER($H549),$H549,IFERROR(TIMEVALUE($H549),VALUE($H549)))&gt;=1,ROUND(IF(ISNUMBER($H549),$H549,IFERROR(TIMEVALUE($H549),VALUE($H549)))*60,0),ROUND(MOD(IF(ISNUMBER($H549),$H549,IFERROR(TIMEVALUE($H549),VALUE($H549))),1)*1440,0))),""))</f>
        <v/>
      </c>
      <c r="W549" s="52" t="str">
        <f aca="false">IF($I549="","",IFERROR(IF(IF(ISNUMBER($I549),$I549,IFERROR(TIMEVALUE($I549),VALUE($I549)))&gt;=100,INT(IF(ISNUMBER($I549),$I549,IFERROR(TIMEVALUE($I549),VALUE($I549)))/100)*60+MOD(IF(ISNUMBER($I549),$I549,IFERROR(TIMEVALUE($I549),VALUE($I549))),100),IF(IF(ISNUMBER($I549),$I549,IFERROR(TIMEVALUE($I549),VALUE($I549)))&gt;=1,ROUND(IF(ISNUMBER($I549),$I549,IFERROR(TIMEVALUE($I549),VALUE($I549)))*60,0),ROUND(MOD(IF(ISNUMBER($I549),$I549,IFERROR(TIMEVALUE($I549),VALUE($I549))),1)*1440,0))),""))</f>
        <v/>
      </c>
      <c r="X549" s="55" t="str">
        <f aca="false">IF($P549="","",IFERROR(IF(ISNUMBER($P549),IF($P549&gt;19000000,DATE(INT($P549/10000),MOD(INT($P549/100),100),MOD($P549,100)),INT($P549)),IF(LEN(SUBSTITUTE(SUBSTITUTE(SUBSTITUTE(TRIM($P549),"-",""),".",""),"/",""))=8,DATE(VALUE(LEFT(SUBSTITUTE(SUBSTITUTE(SUBSTITUTE(TRIM($P549),"-",""),".",""),"/",""),4)),VALUE(MID(SUBSTITUTE(SUBSTITUTE(SUBSTITUTE(TRIM($P549),"-",""),".",""),"/",""),5,2)),VALUE(RIGHT(SUBSTITUTE(SUBSTITUTE(SUBSTITUTE(TRIM($P549),"-",""),".",""),"/",""),2))),DATEVALUE($P549))),""))</f>
        <v/>
      </c>
      <c r="Y549" s="56" t="str">
        <f aca="false">IF($M549="","",IFERROR(INDEX(강사DB!$D$4:$D$53,MATCH($M549,강사DB!$A$4:$A$53,0)),""))</f>
        <v/>
      </c>
      <c r="Z549" s="56" t="str">
        <f aca="false">IF($B549&lt;&gt;"결제완료","",IF(OR($Y549="",$J549=""),"",$Y549*$J549+MAX(0,N($K549)-1)*설정!$J$7))</f>
        <v/>
      </c>
      <c r="AA549" s="56" t="str">
        <f aca="false">IF(AND($D549&lt;&gt;"",$B549="결제완료"),N($N549),"")</f>
        <v/>
      </c>
      <c r="AB549" s="45" t="str">
        <f aca="false">IF($D549="","",IF($F549&lt;&gt;"",$F549,$D549)&amp;IF($B549="상담중"," (상담)",""))</f>
        <v/>
      </c>
      <c r="AC549" s="45" t="n">
        <f aca="false">IF(AND($D549&lt;&gt;"",OR($B549="결제완료",$B549="상담중")),1,0)</f>
        <v>0</v>
      </c>
      <c r="AD549" s="45" t="n">
        <f aca="false">IF(OR($Z549="",$U549=""),0,IFERROR(IF(COUNTIFS(INDEX(g_grid,0,2*MATCH($M549,강사DB!$A$4:$A$15,0)),"&lt;&gt;",g_s,"&lt;="&amp;$U549,g_e,"&gt;="&amp;$U549)&gt;0,1,0),0))</f>
        <v>0</v>
      </c>
      <c r="AE549" s="48"/>
      <c r="AF549" s="56" t="str">
        <f aca="false">IF(AND($D549&lt;&gt;"",$B549="결제완료",$T549="대여"),설정!$J$5,"")</f>
        <v/>
      </c>
      <c r="AG549" s="54" t="str">
        <f aca="false">IF($D549="","",IF(AND($E549="",$R549=""),$AB549,"☎ "&amp;IF($E549="","-",$E549)&amp;IF($R549&lt;&gt;"","  ※ "&amp;$R549,"")&amp;IF($B549="상담중"," (상담)","")))</f>
        <v/>
      </c>
      <c r="AH549" s="56" t="str">
        <f aca="false">IF(AND($D549&lt;&gt;"",$B549="결제완료",$O549="스마트스토어"),ROUND(N($N549)*설정!$J$6,0),"")</f>
        <v/>
      </c>
      <c r="AI549" s="54" t="str">
        <f aca="false">IF($D549="","",ROW())</f>
        <v/>
      </c>
      <c r="AJ549" s="54" t="n">
        <f aca="false">IF(OR($AC549&lt;&gt;1,$M549=""),0,IF(ISNUMBER(SEARCH("퇴사",IFERROR(INDEX(강사DB!$G$4:$G$53,MATCH($M549,강사DB!$A$4:$A$53,0)),""))),1,0))</f>
        <v>0</v>
      </c>
    </row>
    <row r="550" customFormat="false" ht="15" hidden="false" customHeight="false" outlineLevel="0" collapsed="false">
      <c r="A550" s="45" t="str">
        <f aca="false">IF($D550="","",COUNTA($D$5:$D550))</f>
        <v/>
      </c>
      <c r="B550" s="46"/>
      <c r="C550" s="47"/>
      <c r="D550" s="48"/>
      <c r="E550" s="48"/>
      <c r="F550" s="49"/>
      <c r="G550" s="47"/>
      <c r="H550" s="50"/>
      <c r="I550" s="50"/>
      <c r="J550" s="51" t="str">
        <f aca="false">IF(OR($V550="",$W550=""),"",ROUND(($W550-$V550)/60,2))</f>
        <v/>
      </c>
      <c r="K550" s="52" t="str">
        <f aca="false">IF($F550="","",LEN($F550)-LEN(SUBSTITUTE($F550,",",""))+1)</f>
        <v/>
      </c>
      <c r="L550" s="45" t="str">
        <f aca="false">IF($K550="","","1:"&amp;$K550)</f>
        <v/>
      </c>
      <c r="M550" s="46"/>
      <c r="N550" s="53"/>
      <c r="O550" s="46"/>
      <c r="P550" s="47"/>
      <c r="Q550" s="48"/>
      <c r="R550" s="49"/>
      <c r="S550" s="54" t="str">
        <f aca="false">IF(OR($AC550=0,$U550="",$M550="",$V550="",$W550=""),"",IF(COUNTIFS(m_teacher,$M550,m_date,$U550,m_active,1,m_start,"&lt;"&amp;$W550,m_end,"&gt;"&amp;$V550)&gt;1,"충돌",""))</f>
        <v/>
      </c>
      <c r="T550" s="48"/>
      <c r="U550" s="55" t="str">
        <f aca="false">IF($G550="","",IFERROR(IF(ISNUMBER($G550),IF($G550&gt;19000000,DATE(INT($G550/10000),MOD(INT($G550/100),100),MOD($G550,100)),INT($G550)),IF(LEN(SUBSTITUTE(SUBSTITUTE(SUBSTITUTE(TRIM($G550),"-",""),".",""),"/",""))=8,DATE(VALUE(LEFT(SUBSTITUTE(SUBSTITUTE(SUBSTITUTE(TRIM($G550),"-",""),".",""),"/",""),4)),VALUE(MID(SUBSTITUTE(SUBSTITUTE(SUBSTITUTE(TRIM($G550),"-",""),".",""),"/",""),5,2)),VALUE(RIGHT(SUBSTITUTE(SUBSTITUTE(SUBSTITUTE(TRIM($G550),"-",""),".",""),"/",""),2))),DATEVALUE($G550))),""))</f>
        <v/>
      </c>
      <c r="V550" s="52" t="str">
        <f aca="false">IF($H550="","",IFERROR(IF(IF(ISNUMBER($H550),$H550,IFERROR(TIMEVALUE($H550),VALUE($H550)))&gt;=100,INT(IF(ISNUMBER($H550),$H550,IFERROR(TIMEVALUE($H550),VALUE($H550)))/100)*60+MOD(IF(ISNUMBER($H550),$H550,IFERROR(TIMEVALUE($H550),VALUE($H550))),100),IF(IF(ISNUMBER($H550),$H550,IFERROR(TIMEVALUE($H550),VALUE($H550)))&gt;=1,ROUND(IF(ISNUMBER($H550),$H550,IFERROR(TIMEVALUE($H550),VALUE($H550)))*60,0),ROUND(MOD(IF(ISNUMBER($H550),$H550,IFERROR(TIMEVALUE($H550),VALUE($H550))),1)*1440,0))),""))</f>
        <v/>
      </c>
      <c r="W550" s="52" t="str">
        <f aca="false">IF($I550="","",IFERROR(IF(IF(ISNUMBER($I550),$I550,IFERROR(TIMEVALUE($I550),VALUE($I550)))&gt;=100,INT(IF(ISNUMBER($I550),$I550,IFERROR(TIMEVALUE($I550),VALUE($I550)))/100)*60+MOD(IF(ISNUMBER($I550),$I550,IFERROR(TIMEVALUE($I550),VALUE($I550))),100),IF(IF(ISNUMBER($I550),$I550,IFERROR(TIMEVALUE($I550),VALUE($I550)))&gt;=1,ROUND(IF(ISNUMBER($I550),$I550,IFERROR(TIMEVALUE($I550),VALUE($I550)))*60,0),ROUND(MOD(IF(ISNUMBER($I550),$I550,IFERROR(TIMEVALUE($I550),VALUE($I550))),1)*1440,0))),""))</f>
        <v/>
      </c>
      <c r="X550" s="55" t="str">
        <f aca="false">IF($P550="","",IFERROR(IF(ISNUMBER($P550),IF($P550&gt;19000000,DATE(INT($P550/10000),MOD(INT($P550/100),100),MOD($P550,100)),INT($P550)),IF(LEN(SUBSTITUTE(SUBSTITUTE(SUBSTITUTE(TRIM($P550),"-",""),".",""),"/",""))=8,DATE(VALUE(LEFT(SUBSTITUTE(SUBSTITUTE(SUBSTITUTE(TRIM($P550),"-",""),".",""),"/",""),4)),VALUE(MID(SUBSTITUTE(SUBSTITUTE(SUBSTITUTE(TRIM($P550),"-",""),".",""),"/",""),5,2)),VALUE(RIGHT(SUBSTITUTE(SUBSTITUTE(SUBSTITUTE(TRIM($P550),"-",""),".",""),"/",""),2))),DATEVALUE($P550))),""))</f>
        <v/>
      </c>
      <c r="Y550" s="56" t="str">
        <f aca="false">IF($M550="","",IFERROR(INDEX(강사DB!$D$4:$D$53,MATCH($M550,강사DB!$A$4:$A$53,0)),""))</f>
        <v/>
      </c>
      <c r="Z550" s="56" t="str">
        <f aca="false">IF($B550&lt;&gt;"결제완료","",IF(OR($Y550="",$J550=""),"",$Y550*$J550+MAX(0,N($K550)-1)*설정!$J$7))</f>
        <v/>
      </c>
      <c r="AA550" s="56" t="str">
        <f aca="false">IF(AND($D550&lt;&gt;"",$B550="결제완료"),N($N550),"")</f>
        <v/>
      </c>
      <c r="AB550" s="45" t="str">
        <f aca="false">IF($D550="","",IF($F550&lt;&gt;"",$F550,$D550)&amp;IF($B550="상담중"," (상담)",""))</f>
        <v/>
      </c>
      <c r="AC550" s="45" t="n">
        <f aca="false">IF(AND($D550&lt;&gt;"",OR($B550="결제완료",$B550="상담중")),1,0)</f>
        <v>0</v>
      </c>
      <c r="AD550" s="45" t="n">
        <f aca="false">IF(OR($Z550="",$U550=""),0,IFERROR(IF(COUNTIFS(INDEX(g_grid,0,2*MATCH($M550,강사DB!$A$4:$A$15,0)),"&lt;&gt;",g_s,"&lt;="&amp;$U550,g_e,"&gt;="&amp;$U550)&gt;0,1,0),0))</f>
        <v>0</v>
      </c>
      <c r="AE550" s="48"/>
      <c r="AF550" s="56" t="str">
        <f aca="false">IF(AND($D550&lt;&gt;"",$B550="결제완료",$T550="대여"),설정!$J$5,"")</f>
        <v/>
      </c>
      <c r="AG550" s="54" t="str">
        <f aca="false">IF($D550="","",IF(AND($E550="",$R550=""),$AB550,"☎ "&amp;IF($E550="","-",$E550)&amp;IF($R550&lt;&gt;"","  ※ "&amp;$R550,"")&amp;IF($B550="상담중"," (상담)","")))</f>
        <v/>
      </c>
      <c r="AH550" s="56" t="str">
        <f aca="false">IF(AND($D550&lt;&gt;"",$B550="결제완료",$O550="스마트스토어"),ROUND(N($N550)*설정!$J$6,0),"")</f>
        <v/>
      </c>
      <c r="AI550" s="54" t="str">
        <f aca="false">IF($D550="","",ROW())</f>
        <v/>
      </c>
      <c r="AJ550" s="54" t="n">
        <f aca="false">IF(OR($AC550&lt;&gt;1,$M550=""),0,IF(ISNUMBER(SEARCH("퇴사",IFERROR(INDEX(강사DB!$G$4:$G$53,MATCH($M550,강사DB!$A$4:$A$53,0)),""))),1,0))</f>
        <v>0</v>
      </c>
    </row>
    <row r="551" customFormat="false" ht="15" hidden="false" customHeight="false" outlineLevel="0" collapsed="false">
      <c r="A551" s="45" t="str">
        <f aca="false">IF($D551="","",COUNTA($D$5:$D551))</f>
        <v/>
      </c>
      <c r="B551" s="46"/>
      <c r="C551" s="47"/>
      <c r="D551" s="48"/>
      <c r="E551" s="48"/>
      <c r="F551" s="49"/>
      <c r="G551" s="47"/>
      <c r="H551" s="50"/>
      <c r="I551" s="50"/>
      <c r="J551" s="51" t="str">
        <f aca="false">IF(OR($V551="",$W551=""),"",ROUND(($W551-$V551)/60,2))</f>
        <v/>
      </c>
      <c r="K551" s="52" t="str">
        <f aca="false">IF($F551="","",LEN($F551)-LEN(SUBSTITUTE($F551,",",""))+1)</f>
        <v/>
      </c>
      <c r="L551" s="45" t="str">
        <f aca="false">IF($K551="","","1:"&amp;$K551)</f>
        <v/>
      </c>
      <c r="M551" s="46"/>
      <c r="N551" s="53"/>
      <c r="O551" s="46"/>
      <c r="P551" s="47"/>
      <c r="Q551" s="48"/>
      <c r="R551" s="49"/>
      <c r="S551" s="54" t="str">
        <f aca="false">IF(OR($AC551=0,$U551="",$M551="",$V551="",$W551=""),"",IF(COUNTIFS(m_teacher,$M551,m_date,$U551,m_active,1,m_start,"&lt;"&amp;$W551,m_end,"&gt;"&amp;$V551)&gt;1,"충돌",""))</f>
        <v/>
      </c>
      <c r="T551" s="48"/>
      <c r="U551" s="55" t="str">
        <f aca="false">IF($G551="","",IFERROR(IF(ISNUMBER($G551),IF($G551&gt;19000000,DATE(INT($G551/10000),MOD(INT($G551/100),100),MOD($G551,100)),INT($G551)),IF(LEN(SUBSTITUTE(SUBSTITUTE(SUBSTITUTE(TRIM($G551),"-",""),".",""),"/",""))=8,DATE(VALUE(LEFT(SUBSTITUTE(SUBSTITUTE(SUBSTITUTE(TRIM($G551),"-",""),".",""),"/",""),4)),VALUE(MID(SUBSTITUTE(SUBSTITUTE(SUBSTITUTE(TRIM($G551),"-",""),".",""),"/",""),5,2)),VALUE(RIGHT(SUBSTITUTE(SUBSTITUTE(SUBSTITUTE(TRIM($G551),"-",""),".",""),"/",""),2))),DATEVALUE($G551))),""))</f>
        <v/>
      </c>
      <c r="V551" s="52" t="str">
        <f aca="false">IF($H551="","",IFERROR(IF(IF(ISNUMBER($H551),$H551,IFERROR(TIMEVALUE($H551),VALUE($H551)))&gt;=100,INT(IF(ISNUMBER($H551),$H551,IFERROR(TIMEVALUE($H551),VALUE($H551)))/100)*60+MOD(IF(ISNUMBER($H551),$H551,IFERROR(TIMEVALUE($H551),VALUE($H551))),100),IF(IF(ISNUMBER($H551),$H551,IFERROR(TIMEVALUE($H551),VALUE($H551)))&gt;=1,ROUND(IF(ISNUMBER($H551),$H551,IFERROR(TIMEVALUE($H551),VALUE($H551)))*60,0),ROUND(MOD(IF(ISNUMBER($H551),$H551,IFERROR(TIMEVALUE($H551),VALUE($H551))),1)*1440,0))),""))</f>
        <v/>
      </c>
      <c r="W551" s="52" t="str">
        <f aca="false">IF($I551="","",IFERROR(IF(IF(ISNUMBER($I551),$I551,IFERROR(TIMEVALUE($I551),VALUE($I551)))&gt;=100,INT(IF(ISNUMBER($I551),$I551,IFERROR(TIMEVALUE($I551),VALUE($I551)))/100)*60+MOD(IF(ISNUMBER($I551),$I551,IFERROR(TIMEVALUE($I551),VALUE($I551))),100),IF(IF(ISNUMBER($I551),$I551,IFERROR(TIMEVALUE($I551),VALUE($I551)))&gt;=1,ROUND(IF(ISNUMBER($I551),$I551,IFERROR(TIMEVALUE($I551),VALUE($I551)))*60,0),ROUND(MOD(IF(ISNUMBER($I551),$I551,IFERROR(TIMEVALUE($I551),VALUE($I551))),1)*1440,0))),""))</f>
        <v/>
      </c>
      <c r="X551" s="55" t="str">
        <f aca="false">IF($P551="","",IFERROR(IF(ISNUMBER($P551),IF($P551&gt;19000000,DATE(INT($P551/10000),MOD(INT($P551/100),100),MOD($P551,100)),INT($P551)),IF(LEN(SUBSTITUTE(SUBSTITUTE(SUBSTITUTE(TRIM($P551),"-",""),".",""),"/",""))=8,DATE(VALUE(LEFT(SUBSTITUTE(SUBSTITUTE(SUBSTITUTE(TRIM($P551),"-",""),".",""),"/",""),4)),VALUE(MID(SUBSTITUTE(SUBSTITUTE(SUBSTITUTE(TRIM($P551),"-",""),".",""),"/",""),5,2)),VALUE(RIGHT(SUBSTITUTE(SUBSTITUTE(SUBSTITUTE(TRIM($P551),"-",""),".",""),"/",""),2))),DATEVALUE($P551))),""))</f>
        <v/>
      </c>
      <c r="Y551" s="56" t="str">
        <f aca="false">IF($M551="","",IFERROR(INDEX(강사DB!$D$4:$D$53,MATCH($M551,강사DB!$A$4:$A$53,0)),""))</f>
        <v/>
      </c>
      <c r="Z551" s="56" t="str">
        <f aca="false">IF($B551&lt;&gt;"결제완료","",IF(OR($Y551="",$J551=""),"",$Y551*$J551+MAX(0,N($K551)-1)*설정!$J$7))</f>
        <v/>
      </c>
      <c r="AA551" s="56" t="str">
        <f aca="false">IF(AND($D551&lt;&gt;"",$B551="결제완료"),N($N551),"")</f>
        <v/>
      </c>
      <c r="AB551" s="45" t="str">
        <f aca="false">IF($D551="","",IF($F551&lt;&gt;"",$F551,$D551)&amp;IF($B551="상담중"," (상담)",""))</f>
        <v/>
      </c>
      <c r="AC551" s="45" t="n">
        <f aca="false">IF(AND($D551&lt;&gt;"",OR($B551="결제완료",$B551="상담중")),1,0)</f>
        <v>0</v>
      </c>
      <c r="AD551" s="45" t="n">
        <f aca="false">IF(OR($Z551="",$U551=""),0,IFERROR(IF(COUNTIFS(INDEX(g_grid,0,2*MATCH($M551,강사DB!$A$4:$A$15,0)),"&lt;&gt;",g_s,"&lt;="&amp;$U551,g_e,"&gt;="&amp;$U551)&gt;0,1,0),0))</f>
        <v>0</v>
      </c>
      <c r="AE551" s="48"/>
      <c r="AF551" s="56" t="str">
        <f aca="false">IF(AND($D551&lt;&gt;"",$B551="결제완료",$T551="대여"),설정!$J$5,"")</f>
        <v/>
      </c>
      <c r="AG551" s="54" t="str">
        <f aca="false">IF($D551="","",IF(AND($E551="",$R551=""),$AB551,"☎ "&amp;IF($E551="","-",$E551)&amp;IF($R551&lt;&gt;"","  ※ "&amp;$R551,"")&amp;IF($B551="상담중"," (상담)","")))</f>
        <v/>
      </c>
      <c r="AH551" s="56" t="str">
        <f aca="false">IF(AND($D551&lt;&gt;"",$B551="결제완료",$O551="스마트스토어"),ROUND(N($N551)*설정!$J$6,0),"")</f>
        <v/>
      </c>
      <c r="AI551" s="54" t="str">
        <f aca="false">IF($D551="","",ROW())</f>
        <v/>
      </c>
      <c r="AJ551" s="54" t="n">
        <f aca="false">IF(OR($AC551&lt;&gt;1,$M551=""),0,IF(ISNUMBER(SEARCH("퇴사",IFERROR(INDEX(강사DB!$G$4:$G$53,MATCH($M551,강사DB!$A$4:$A$53,0)),""))),1,0))</f>
        <v>0</v>
      </c>
    </row>
    <row r="552" customFormat="false" ht="15" hidden="false" customHeight="false" outlineLevel="0" collapsed="false">
      <c r="A552" s="45" t="str">
        <f aca="false">IF($D552="","",COUNTA($D$5:$D552))</f>
        <v/>
      </c>
      <c r="B552" s="46"/>
      <c r="C552" s="47"/>
      <c r="D552" s="48"/>
      <c r="E552" s="48"/>
      <c r="F552" s="49"/>
      <c r="G552" s="47"/>
      <c r="H552" s="50"/>
      <c r="I552" s="50"/>
      <c r="J552" s="51" t="str">
        <f aca="false">IF(OR($V552="",$W552=""),"",ROUND(($W552-$V552)/60,2))</f>
        <v/>
      </c>
      <c r="K552" s="52" t="str">
        <f aca="false">IF($F552="","",LEN($F552)-LEN(SUBSTITUTE($F552,",",""))+1)</f>
        <v/>
      </c>
      <c r="L552" s="45" t="str">
        <f aca="false">IF($K552="","","1:"&amp;$K552)</f>
        <v/>
      </c>
      <c r="M552" s="46"/>
      <c r="N552" s="53"/>
      <c r="O552" s="46"/>
      <c r="P552" s="47"/>
      <c r="Q552" s="48"/>
      <c r="R552" s="49"/>
      <c r="S552" s="54" t="str">
        <f aca="false">IF(OR($AC552=0,$U552="",$M552="",$V552="",$W552=""),"",IF(COUNTIFS(m_teacher,$M552,m_date,$U552,m_active,1,m_start,"&lt;"&amp;$W552,m_end,"&gt;"&amp;$V552)&gt;1,"충돌",""))</f>
        <v/>
      </c>
      <c r="T552" s="48"/>
      <c r="U552" s="55" t="str">
        <f aca="false">IF($G552="","",IFERROR(IF(ISNUMBER($G552),IF($G552&gt;19000000,DATE(INT($G552/10000),MOD(INT($G552/100),100),MOD($G552,100)),INT($G552)),IF(LEN(SUBSTITUTE(SUBSTITUTE(SUBSTITUTE(TRIM($G552),"-",""),".",""),"/",""))=8,DATE(VALUE(LEFT(SUBSTITUTE(SUBSTITUTE(SUBSTITUTE(TRIM($G552),"-",""),".",""),"/",""),4)),VALUE(MID(SUBSTITUTE(SUBSTITUTE(SUBSTITUTE(TRIM($G552),"-",""),".",""),"/",""),5,2)),VALUE(RIGHT(SUBSTITUTE(SUBSTITUTE(SUBSTITUTE(TRIM($G552),"-",""),".",""),"/",""),2))),DATEVALUE($G552))),""))</f>
        <v/>
      </c>
      <c r="V552" s="52" t="str">
        <f aca="false">IF($H552="","",IFERROR(IF(IF(ISNUMBER($H552),$H552,IFERROR(TIMEVALUE($H552),VALUE($H552)))&gt;=100,INT(IF(ISNUMBER($H552),$H552,IFERROR(TIMEVALUE($H552),VALUE($H552)))/100)*60+MOD(IF(ISNUMBER($H552),$H552,IFERROR(TIMEVALUE($H552),VALUE($H552))),100),IF(IF(ISNUMBER($H552),$H552,IFERROR(TIMEVALUE($H552),VALUE($H552)))&gt;=1,ROUND(IF(ISNUMBER($H552),$H552,IFERROR(TIMEVALUE($H552),VALUE($H552)))*60,0),ROUND(MOD(IF(ISNUMBER($H552),$H552,IFERROR(TIMEVALUE($H552),VALUE($H552))),1)*1440,0))),""))</f>
        <v/>
      </c>
      <c r="W552" s="52" t="str">
        <f aca="false">IF($I552="","",IFERROR(IF(IF(ISNUMBER($I552),$I552,IFERROR(TIMEVALUE($I552),VALUE($I552)))&gt;=100,INT(IF(ISNUMBER($I552),$I552,IFERROR(TIMEVALUE($I552),VALUE($I552)))/100)*60+MOD(IF(ISNUMBER($I552),$I552,IFERROR(TIMEVALUE($I552),VALUE($I552))),100),IF(IF(ISNUMBER($I552),$I552,IFERROR(TIMEVALUE($I552),VALUE($I552)))&gt;=1,ROUND(IF(ISNUMBER($I552),$I552,IFERROR(TIMEVALUE($I552),VALUE($I552)))*60,0),ROUND(MOD(IF(ISNUMBER($I552),$I552,IFERROR(TIMEVALUE($I552),VALUE($I552))),1)*1440,0))),""))</f>
        <v/>
      </c>
      <c r="X552" s="55" t="str">
        <f aca="false">IF($P552="","",IFERROR(IF(ISNUMBER($P552),IF($P552&gt;19000000,DATE(INT($P552/10000),MOD(INT($P552/100),100),MOD($P552,100)),INT($P552)),IF(LEN(SUBSTITUTE(SUBSTITUTE(SUBSTITUTE(TRIM($P552),"-",""),".",""),"/",""))=8,DATE(VALUE(LEFT(SUBSTITUTE(SUBSTITUTE(SUBSTITUTE(TRIM($P552),"-",""),".",""),"/",""),4)),VALUE(MID(SUBSTITUTE(SUBSTITUTE(SUBSTITUTE(TRIM($P552),"-",""),".",""),"/",""),5,2)),VALUE(RIGHT(SUBSTITUTE(SUBSTITUTE(SUBSTITUTE(TRIM($P552),"-",""),".",""),"/",""),2))),DATEVALUE($P552))),""))</f>
        <v/>
      </c>
      <c r="Y552" s="56" t="str">
        <f aca="false">IF($M552="","",IFERROR(INDEX(강사DB!$D$4:$D$53,MATCH($M552,강사DB!$A$4:$A$53,0)),""))</f>
        <v/>
      </c>
      <c r="Z552" s="56" t="str">
        <f aca="false">IF($B552&lt;&gt;"결제완료","",IF(OR($Y552="",$J552=""),"",$Y552*$J552+MAX(0,N($K552)-1)*설정!$J$7))</f>
        <v/>
      </c>
      <c r="AA552" s="56" t="str">
        <f aca="false">IF(AND($D552&lt;&gt;"",$B552="결제완료"),N($N552),"")</f>
        <v/>
      </c>
      <c r="AB552" s="45" t="str">
        <f aca="false">IF($D552="","",IF($F552&lt;&gt;"",$F552,$D552)&amp;IF($B552="상담중"," (상담)",""))</f>
        <v/>
      </c>
      <c r="AC552" s="45" t="n">
        <f aca="false">IF(AND($D552&lt;&gt;"",OR($B552="결제완료",$B552="상담중")),1,0)</f>
        <v>0</v>
      </c>
      <c r="AD552" s="45" t="n">
        <f aca="false">IF(OR($Z552="",$U552=""),0,IFERROR(IF(COUNTIFS(INDEX(g_grid,0,2*MATCH($M552,강사DB!$A$4:$A$15,0)),"&lt;&gt;",g_s,"&lt;="&amp;$U552,g_e,"&gt;="&amp;$U552)&gt;0,1,0),0))</f>
        <v>0</v>
      </c>
      <c r="AE552" s="48"/>
      <c r="AF552" s="56" t="str">
        <f aca="false">IF(AND($D552&lt;&gt;"",$B552="결제완료",$T552="대여"),설정!$J$5,"")</f>
        <v/>
      </c>
      <c r="AG552" s="54" t="str">
        <f aca="false">IF($D552="","",IF(AND($E552="",$R552=""),$AB552,"☎ "&amp;IF($E552="","-",$E552)&amp;IF($R552&lt;&gt;"","  ※ "&amp;$R552,"")&amp;IF($B552="상담중"," (상담)","")))</f>
        <v/>
      </c>
      <c r="AH552" s="56" t="str">
        <f aca="false">IF(AND($D552&lt;&gt;"",$B552="결제완료",$O552="스마트스토어"),ROUND(N($N552)*설정!$J$6,0),"")</f>
        <v/>
      </c>
      <c r="AI552" s="54" t="str">
        <f aca="false">IF($D552="","",ROW())</f>
        <v/>
      </c>
      <c r="AJ552" s="54" t="n">
        <f aca="false">IF(OR($AC552&lt;&gt;1,$M552=""),0,IF(ISNUMBER(SEARCH("퇴사",IFERROR(INDEX(강사DB!$G$4:$G$53,MATCH($M552,강사DB!$A$4:$A$53,0)),""))),1,0))</f>
        <v>0</v>
      </c>
    </row>
    <row r="553" customFormat="false" ht="15" hidden="false" customHeight="false" outlineLevel="0" collapsed="false">
      <c r="A553" s="45" t="str">
        <f aca="false">IF($D553="","",COUNTA($D$5:$D553))</f>
        <v/>
      </c>
      <c r="B553" s="46"/>
      <c r="C553" s="47"/>
      <c r="D553" s="48"/>
      <c r="E553" s="48"/>
      <c r="F553" s="49"/>
      <c r="G553" s="47"/>
      <c r="H553" s="50"/>
      <c r="I553" s="50"/>
      <c r="J553" s="51" t="str">
        <f aca="false">IF(OR($V553="",$W553=""),"",ROUND(($W553-$V553)/60,2))</f>
        <v/>
      </c>
      <c r="K553" s="52" t="str">
        <f aca="false">IF($F553="","",LEN($F553)-LEN(SUBSTITUTE($F553,",",""))+1)</f>
        <v/>
      </c>
      <c r="L553" s="45" t="str">
        <f aca="false">IF($K553="","","1:"&amp;$K553)</f>
        <v/>
      </c>
      <c r="M553" s="46"/>
      <c r="N553" s="53"/>
      <c r="O553" s="46"/>
      <c r="P553" s="47"/>
      <c r="Q553" s="48"/>
      <c r="R553" s="49"/>
      <c r="S553" s="54" t="str">
        <f aca="false">IF(OR($AC553=0,$U553="",$M553="",$V553="",$W553=""),"",IF(COUNTIFS(m_teacher,$M553,m_date,$U553,m_active,1,m_start,"&lt;"&amp;$W553,m_end,"&gt;"&amp;$V553)&gt;1,"충돌",""))</f>
        <v/>
      </c>
      <c r="T553" s="48"/>
      <c r="U553" s="55" t="str">
        <f aca="false">IF($G553="","",IFERROR(IF(ISNUMBER($G553),IF($G553&gt;19000000,DATE(INT($G553/10000),MOD(INT($G553/100),100),MOD($G553,100)),INT($G553)),IF(LEN(SUBSTITUTE(SUBSTITUTE(SUBSTITUTE(TRIM($G553),"-",""),".",""),"/",""))=8,DATE(VALUE(LEFT(SUBSTITUTE(SUBSTITUTE(SUBSTITUTE(TRIM($G553),"-",""),".",""),"/",""),4)),VALUE(MID(SUBSTITUTE(SUBSTITUTE(SUBSTITUTE(TRIM($G553),"-",""),".",""),"/",""),5,2)),VALUE(RIGHT(SUBSTITUTE(SUBSTITUTE(SUBSTITUTE(TRIM($G553),"-",""),".",""),"/",""),2))),DATEVALUE($G553))),""))</f>
        <v/>
      </c>
      <c r="V553" s="52" t="str">
        <f aca="false">IF($H553="","",IFERROR(IF(IF(ISNUMBER($H553),$H553,IFERROR(TIMEVALUE($H553),VALUE($H553)))&gt;=100,INT(IF(ISNUMBER($H553),$H553,IFERROR(TIMEVALUE($H553),VALUE($H553)))/100)*60+MOD(IF(ISNUMBER($H553),$H553,IFERROR(TIMEVALUE($H553),VALUE($H553))),100),IF(IF(ISNUMBER($H553),$H553,IFERROR(TIMEVALUE($H553),VALUE($H553)))&gt;=1,ROUND(IF(ISNUMBER($H553),$H553,IFERROR(TIMEVALUE($H553),VALUE($H553)))*60,0),ROUND(MOD(IF(ISNUMBER($H553),$H553,IFERROR(TIMEVALUE($H553),VALUE($H553))),1)*1440,0))),""))</f>
        <v/>
      </c>
      <c r="W553" s="52" t="str">
        <f aca="false">IF($I553="","",IFERROR(IF(IF(ISNUMBER($I553),$I553,IFERROR(TIMEVALUE($I553),VALUE($I553)))&gt;=100,INT(IF(ISNUMBER($I553),$I553,IFERROR(TIMEVALUE($I553),VALUE($I553)))/100)*60+MOD(IF(ISNUMBER($I553),$I553,IFERROR(TIMEVALUE($I553),VALUE($I553))),100),IF(IF(ISNUMBER($I553),$I553,IFERROR(TIMEVALUE($I553),VALUE($I553)))&gt;=1,ROUND(IF(ISNUMBER($I553),$I553,IFERROR(TIMEVALUE($I553),VALUE($I553)))*60,0),ROUND(MOD(IF(ISNUMBER($I553),$I553,IFERROR(TIMEVALUE($I553),VALUE($I553))),1)*1440,0))),""))</f>
        <v/>
      </c>
      <c r="X553" s="55" t="str">
        <f aca="false">IF($P553="","",IFERROR(IF(ISNUMBER($P553),IF($P553&gt;19000000,DATE(INT($P553/10000),MOD(INT($P553/100),100),MOD($P553,100)),INT($P553)),IF(LEN(SUBSTITUTE(SUBSTITUTE(SUBSTITUTE(TRIM($P553),"-",""),".",""),"/",""))=8,DATE(VALUE(LEFT(SUBSTITUTE(SUBSTITUTE(SUBSTITUTE(TRIM($P553),"-",""),".",""),"/",""),4)),VALUE(MID(SUBSTITUTE(SUBSTITUTE(SUBSTITUTE(TRIM($P553),"-",""),".",""),"/",""),5,2)),VALUE(RIGHT(SUBSTITUTE(SUBSTITUTE(SUBSTITUTE(TRIM($P553),"-",""),".",""),"/",""),2))),DATEVALUE($P553))),""))</f>
        <v/>
      </c>
      <c r="Y553" s="56" t="str">
        <f aca="false">IF($M553="","",IFERROR(INDEX(강사DB!$D$4:$D$53,MATCH($M553,강사DB!$A$4:$A$53,0)),""))</f>
        <v/>
      </c>
      <c r="Z553" s="56" t="str">
        <f aca="false">IF($B553&lt;&gt;"결제완료","",IF(OR($Y553="",$J553=""),"",$Y553*$J553+MAX(0,N($K553)-1)*설정!$J$7))</f>
        <v/>
      </c>
      <c r="AA553" s="56" t="str">
        <f aca="false">IF(AND($D553&lt;&gt;"",$B553="결제완료"),N($N553),"")</f>
        <v/>
      </c>
      <c r="AB553" s="45" t="str">
        <f aca="false">IF($D553="","",IF($F553&lt;&gt;"",$F553,$D553)&amp;IF($B553="상담중"," (상담)",""))</f>
        <v/>
      </c>
      <c r="AC553" s="45" t="n">
        <f aca="false">IF(AND($D553&lt;&gt;"",OR($B553="결제완료",$B553="상담중")),1,0)</f>
        <v>0</v>
      </c>
      <c r="AD553" s="45" t="n">
        <f aca="false">IF(OR($Z553="",$U553=""),0,IFERROR(IF(COUNTIFS(INDEX(g_grid,0,2*MATCH($M553,강사DB!$A$4:$A$15,0)),"&lt;&gt;",g_s,"&lt;="&amp;$U553,g_e,"&gt;="&amp;$U553)&gt;0,1,0),0))</f>
        <v>0</v>
      </c>
      <c r="AE553" s="48"/>
      <c r="AF553" s="56" t="str">
        <f aca="false">IF(AND($D553&lt;&gt;"",$B553="결제완료",$T553="대여"),설정!$J$5,"")</f>
        <v/>
      </c>
      <c r="AG553" s="54" t="str">
        <f aca="false">IF($D553="","",IF(AND($E553="",$R553=""),$AB553,"☎ "&amp;IF($E553="","-",$E553)&amp;IF($R553&lt;&gt;"","  ※ "&amp;$R553,"")&amp;IF($B553="상담중"," (상담)","")))</f>
        <v/>
      </c>
      <c r="AH553" s="56" t="str">
        <f aca="false">IF(AND($D553&lt;&gt;"",$B553="결제완료",$O553="스마트스토어"),ROUND(N($N553)*설정!$J$6,0),"")</f>
        <v/>
      </c>
      <c r="AI553" s="54" t="str">
        <f aca="false">IF($D553="","",ROW())</f>
        <v/>
      </c>
      <c r="AJ553" s="54" t="n">
        <f aca="false">IF(OR($AC553&lt;&gt;1,$M553=""),0,IF(ISNUMBER(SEARCH("퇴사",IFERROR(INDEX(강사DB!$G$4:$G$53,MATCH($M553,강사DB!$A$4:$A$53,0)),""))),1,0))</f>
        <v>0</v>
      </c>
    </row>
    <row r="554" customFormat="false" ht="15" hidden="false" customHeight="false" outlineLevel="0" collapsed="false">
      <c r="A554" s="45" t="str">
        <f aca="false">IF($D554="","",COUNTA($D$5:$D554))</f>
        <v/>
      </c>
      <c r="B554" s="46"/>
      <c r="C554" s="47"/>
      <c r="D554" s="48"/>
      <c r="E554" s="48"/>
      <c r="F554" s="49"/>
      <c r="G554" s="47"/>
      <c r="H554" s="50"/>
      <c r="I554" s="50"/>
      <c r="J554" s="51" t="str">
        <f aca="false">IF(OR($V554="",$W554=""),"",ROUND(($W554-$V554)/60,2))</f>
        <v/>
      </c>
      <c r="K554" s="52" t="str">
        <f aca="false">IF($F554="","",LEN($F554)-LEN(SUBSTITUTE($F554,",",""))+1)</f>
        <v/>
      </c>
      <c r="L554" s="45" t="str">
        <f aca="false">IF($K554="","","1:"&amp;$K554)</f>
        <v/>
      </c>
      <c r="M554" s="46"/>
      <c r="N554" s="53"/>
      <c r="O554" s="46"/>
      <c r="P554" s="47"/>
      <c r="Q554" s="48"/>
      <c r="R554" s="49"/>
      <c r="S554" s="54" t="str">
        <f aca="false">IF(OR($AC554=0,$U554="",$M554="",$V554="",$W554=""),"",IF(COUNTIFS(m_teacher,$M554,m_date,$U554,m_active,1,m_start,"&lt;"&amp;$W554,m_end,"&gt;"&amp;$V554)&gt;1,"충돌",""))</f>
        <v/>
      </c>
      <c r="T554" s="48"/>
      <c r="U554" s="55" t="str">
        <f aca="false">IF($G554="","",IFERROR(IF(ISNUMBER($G554),IF($G554&gt;19000000,DATE(INT($G554/10000),MOD(INT($G554/100),100),MOD($G554,100)),INT($G554)),IF(LEN(SUBSTITUTE(SUBSTITUTE(SUBSTITUTE(TRIM($G554),"-",""),".",""),"/",""))=8,DATE(VALUE(LEFT(SUBSTITUTE(SUBSTITUTE(SUBSTITUTE(TRIM($G554),"-",""),".",""),"/",""),4)),VALUE(MID(SUBSTITUTE(SUBSTITUTE(SUBSTITUTE(TRIM($G554),"-",""),".",""),"/",""),5,2)),VALUE(RIGHT(SUBSTITUTE(SUBSTITUTE(SUBSTITUTE(TRIM($G554),"-",""),".",""),"/",""),2))),DATEVALUE($G554))),""))</f>
        <v/>
      </c>
      <c r="V554" s="52" t="str">
        <f aca="false">IF($H554="","",IFERROR(IF(IF(ISNUMBER($H554),$H554,IFERROR(TIMEVALUE($H554),VALUE($H554)))&gt;=100,INT(IF(ISNUMBER($H554),$H554,IFERROR(TIMEVALUE($H554),VALUE($H554)))/100)*60+MOD(IF(ISNUMBER($H554),$H554,IFERROR(TIMEVALUE($H554),VALUE($H554))),100),IF(IF(ISNUMBER($H554),$H554,IFERROR(TIMEVALUE($H554),VALUE($H554)))&gt;=1,ROUND(IF(ISNUMBER($H554),$H554,IFERROR(TIMEVALUE($H554),VALUE($H554)))*60,0),ROUND(MOD(IF(ISNUMBER($H554),$H554,IFERROR(TIMEVALUE($H554),VALUE($H554))),1)*1440,0))),""))</f>
        <v/>
      </c>
      <c r="W554" s="52" t="str">
        <f aca="false">IF($I554="","",IFERROR(IF(IF(ISNUMBER($I554),$I554,IFERROR(TIMEVALUE($I554),VALUE($I554)))&gt;=100,INT(IF(ISNUMBER($I554),$I554,IFERROR(TIMEVALUE($I554),VALUE($I554)))/100)*60+MOD(IF(ISNUMBER($I554),$I554,IFERROR(TIMEVALUE($I554),VALUE($I554))),100),IF(IF(ISNUMBER($I554),$I554,IFERROR(TIMEVALUE($I554),VALUE($I554)))&gt;=1,ROUND(IF(ISNUMBER($I554),$I554,IFERROR(TIMEVALUE($I554),VALUE($I554)))*60,0),ROUND(MOD(IF(ISNUMBER($I554),$I554,IFERROR(TIMEVALUE($I554),VALUE($I554))),1)*1440,0))),""))</f>
        <v/>
      </c>
      <c r="X554" s="55" t="str">
        <f aca="false">IF($P554="","",IFERROR(IF(ISNUMBER($P554),IF($P554&gt;19000000,DATE(INT($P554/10000),MOD(INT($P554/100),100),MOD($P554,100)),INT($P554)),IF(LEN(SUBSTITUTE(SUBSTITUTE(SUBSTITUTE(TRIM($P554),"-",""),".",""),"/",""))=8,DATE(VALUE(LEFT(SUBSTITUTE(SUBSTITUTE(SUBSTITUTE(TRIM($P554),"-",""),".",""),"/",""),4)),VALUE(MID(SUBSTITUTE(SUBSTITUTE(SUBSTITUTE(TRIM($P554),"-",""),".",""),"/",""),5,2)),VALUE(RIGHT(SUBSTITUTE(SUBSTITUTE(SUBSTITUTE(TRIM($P554),"-",""),".",""),"/",""),2))),DATEVALUE($P554))),""))</f>
        <v/>
      </c>
      <c r="Y554" s="56" t="str">
        <f aca="false">IF($M554="","",IFERROR(INDEX(강사DB!$D$4:$D$53,MATCH($M554,강사DB!$A$4:$A$53,0)),""))</f>
        <v/>
      </c>
      <c r="Z554" s="56" t="str">
        <f aca="false">IF($B554&lt;&gt;"결제완료","",IF(OR($Y554="",$J554=""),"",$Y554*$J554+MAX(0,N($K554)-1)*설정!$J$7))</f>
        <v/>
      </c>
      <c r="AA554" s="56" t="str">
        <f aca="false">IF(AND($D554&lt;&gt;"",$B554="결제완료"),N($N554),"")</f>
        <v/>
      </c>
      <c r="AB554" s="45" t="str">
        <f aca="false">IF($D554="","",IF($F554&lt;&gt;"",$F554,$D554)&amp;IF($B554="상담중"," (상담)",""))</f>
        <v/>
      </c>
      <c r="AC554" s="45" t="n">
        <f aca="false">IF(AND($D554&lt;&gt;"",OR($B554="결제완료",$B554="상담중")),1,0)</f>
        <v>0</v>
      </c>
      <c r="AD554" s="45" t="n">
        <f aca="false">IF(OR($Z554="",$U554=""),0,IFERROR(IF(COUNTIFS(INDEX(g_grid,0,2*MATCH($M554,강사DB!$A$4:$A$15,0)),"&lt;&gt;",g_s,"&lt;="&amp;$U554,g_e,"&gt;="&amp;$U554)&gt;0,1,0),0))</f>
        <v>0</v>
      </c>
      <c r="AE554" s="48"/>
      <c r="AF554" s="56" t="str">
        <f aca="false">IF(AND($D554&lt;&gt;"",$B554="결제완료",$T554="대여"),설정!$J$5,"")</f>
        <v/>
      </c>
      <c r="AG554" s="54" t="str">
        <f aca="false">IF($D554="","",IF(AND($E554="",$R554=""),$AB554,"☎ "&amp;IF($E554="","-",$E554)&amp;IF($R554&lt;&gt;"","  ※ "&amp;$R554,"")&amp;IF($B554="상담중"," (상담)","")))</f>
        <v/>
      </c>
      <c r="AH554" s="56" t="str">
        <f aca="false">IF(AND($D554&lt;&gt;"",$B554="결제완료",$O554="스마트스토어"),ROUND(N($N554)*설정!$J$6,0),"")</f>
        <v/>
      </c>
      <c r="AI554" s="54" t="str">
        <f aca="false">IF($D554="","",ROW())</f>
        <v/>
      </c>
      <c r="AJ554" s="54" t="n">
        <f aca="false">IF(OR($AC554&lt;&gt;1,$M554=""),0,IF(ISNUMBER(SEARCH("퇴사",IFERROR(INDEX(강사DB!$G$4:$G$53,MATCH($M554,강사DB!$A$4:$A$53,0)),""))),1,0))</f>
        <v>0</v>
      </c>
    </row>
    <row r="555" customFormat="false" ht="15" hidden="false" customHeight="false" outlineLevel="0" collapsed="false">
      <c r="A555" s="45" t="str">
        <f aca="false">IF($D555="","",COUNTA($D$5:$D555))</f>
        <v/>
      </c>
      <c r="B555" s="46"/>
      <c r="C555" s="47"/>
      <c r="D555" s="48"/>
      <c r="E555" s="48"/>
      <c r="F555" s="49"/>
      <c r="G555" s="47"/>
      <c r="H555" s="50"/>
      <c r="I555" s="50"/>
      <c r="J555" s="51" t="str">
        <f aca="false">IF(OR($V555="",$W555=""),"",ROUND(($W555-$V555)/60,2))</f>
        <v/>
      </c>
      <c r="K555" s="52" t="str">
        <f aca="false">IF($F555="","",LEN($F555)-LEN(SUBSTITUTE($F555,",",""))+1)</f>
        <v/>
      </c>
      <c r="L555" s="45" t="str">
        <f aca="false">IF($K555="","","1:"&amp;$K555)</f>
        <v/>
      </c>
      <c r="M555" s="46"/>
      <c r="N555" s="53"/>
      <c r="O555" s="46"/>
      <c r="P555" s="47"/>
      <c r="Q555" s="48"/>
      <c r="R555" s="49"/>
      <c r="S555" s="54" t="str">
        <f aca="false">IF(OR($AC555=0,$U555="",$M555="",$V555="",$W555=""),"",IF(COUNTIFS(m_teacher,$M555,m_date,$U555,m_active,1,m_start,"&lt;"&amp;$W555,m_end,"&gt;"&amp;$V555)&gt;1,"충돌",""))</f>
        <v/>
      </c>
      <c r="T555" s="48"/>
      <c r="U555" s="55" t="str">
        <f aca="false">IF($G555="","",IFERROR(IF(ISNUMBER($G555),IF($G555&gt;19000000,DATE(INT($G555/10000),MOD(INT($G555/100),100),MOD($G555,100)),INT($G555)),IF(LEN(SUBSTITUTE(SUBSTITUTE(SUBSTITUTE(TRIM($G555),"-",""),".",""),"/",""))=8,DATE(VALUE(LEFT(SUBSTITUTE(SUBSTITUTE(SUBSTITUTE(TRIM($G555),"-",""),".",""),"/",""),4)),VALUE(MID(SUBSTITUTE(SUBSTITUTE(SUBSTITUTE(TRIM($G555),"-",""),".",""),"/",""),5,2)),VALUE(RIGHT(SUBSTITUTE(SUBSTITUTE(SUBSTITUTE(TRIM($G555),"-",""),".",""),"/",""),2))),DATEVALUE($G555))),""))</f>
        <v/>
      </c>
      <c r="V555" s="52" t="str">
        <f aca="false">IF($H555="","",IFERROR(IF(IF(ISNUMBER($H555),$H555,IFERROR(TIMEVALUE($H555),VALUE($H555)))&gt;=100,INT(IF(ISNUMBER($H555),$H555,IFERROR(TIMEVALUE($H555),VALUE($H555)))/100)*60+MOD(IF(ISNUMBER($H555),$H555,IFERROR(TIMEVALUE($H555),VALUE($H555))),100),IF(IF(ISNUMBER($H555),$H555,IFERROR(TIMEVALUE($H555),VALUE($H555)))&gt;=1,ROUND(IF(ISNUMBER($H555),$H555,IFERROR(TIMEVALUE($H555),VALUE($H555)))*60,0),ROUND(MOD(IF(ISNUMBER($H555),$H555,IFERROR(TIMEVALUE($H555),VALUE($H555))),1)*1440,0))),""))</f>
        <v/>
      </c>
      <c r="W555" s="52" t="str">
        <f aca="false">IF($I555="","",IFERROR(IF(IF(ISNUMBER($I555),$I555,IFERROR(TIMEVALUE($I555),VALUE($I555)))&gt;=100,INT(IF(ISNUMBER($I555),$I555,IFERROR(TIMEVALUE($I555),VALUE($I555)))/100)*60+MOD(IF(ISNUMBER($I555),$I555,IFERROR(TIMEVALUE($I555),VALUE($I555))),100),IF(IF(ISNUMBER($I555),$I555,IFERROR(TIMEVALUE($I555),VALUE($I555)))&gt;=1,ROUND(IF(ISNUMBER($I555),$I555,IFERROR(TIMEVALUE($I555),VALUE($I555)))*60,0),ROUND(MOD(IF(ISNUMBER($I555),$I555,IFERROR(TIMEVALUE($I555),VALUE($I555))),1)*1440,0))),""))</f>
        <v/>
      </c>
      <c r="X555" s="55" t="str">
        <f aca="false">IF($P555="","",IFERROR(IF(ISNUMBER($P555),IF($P555&gt;19000000,DATE(INT($P555/10000),MOD(INT($P555/100),100),MOD($P555,100)),INT($P555)),IF(LEN(SUBSTITUTE(SUBSTITUTE(SUBSTITUTE(TRIM($P555),"-",""),".",""),"/",""))=8,DATE(VALUE(LEFT(SUBSTITUTE(SUBSTITUTE(SUBSTITUTE(TRIM($P555),"-",""),".",""),"/",""),4)),VALUE(MID(SUBSTITUTE(SUBSTITUTE(SUBSTITUTE(TRIM($P555),"-",""),".",""),"/",""),5,2)),VALUE(RIGHT(SUBSTITUTE(SUBSTITUTE(SUBSTITUTE(TRIM($P555),"-",""),".",""),"/",""),2))),DATEVALUE($P555))),""))</f>
        <v/>
      </c>
      <c r="Y555" s="56" t="str">
        <f aca="false">IF($M555="","",IFERROR(INDEX(강사DB!$D$4:$D$53,MATCH($M555,강사DB!$A$4:$A$53,0)),""))</f>
        <v/>
      </c>
      <c r="Z555" s="56" t="str">
        <f aca="false">IF($B555&lt;&gt;"결제완료","",IF(OR($Y555="",$J555=""),"",$Y555*$J555+MAX(0,N($K555)-1)*설정!$J$7))</f>
        <v/>
      </c>
      <c r="AA555" s="56" t="str">
        <f aca="false">IF(AND($D555&lt;&gt;"",$B555="결제완료"),N($N555),"")</f>
        <v/>
      </c>
      <c r="AB555" s="45" t="str">
        <f aca="false">IF($D555="","",IF($F555&lt;&gt;"",$F555,$D555)&amp;IF($B555="상담중"," (상담)",""))</f>
        <v/>
      </c>
      <c r="AC555" s="45" t="n">
        <f aca="false">IF(AND($D555&lt;&gt;"",OR($B555="결제완료",$B555="상담중")),1,0)</f>
        <v>0</v>
      </c>
      <c r="AD555" s="45" t="n">
        <f aca="false">IF(OR($Z555="",$U555=""),0,IFERROR(IF(COUNTIFS(INDEX(g_grid,0,2*MATCH($M555,강사DB!$A$4:$A$15,0)),"&lt;&gt;",g_s,"&lt;="&amp;$U555,g_e,"&gt;="&amp;$U555)&gt;0,1,0),0))</f>
        <v>0</v>
      </c>
      <c r="AE555" s="48"/>
      <c r="AF555" s="56" t="str">
        <f aca="false">IF(AND($D555&lt;&gt;"",$B555="결제완료",$T555="대여"),설정!$J$5,"")</f>
        <v/>
      </c>
      <c r="AG555" s="54" t="str">
        <f aca="false">IF($D555="","",IF(AND($E555="",$R555=""),$AB555,"☎ "&amp;IF($E555="","-",$E555)&amp;IF($R555&lt;&gt;"","  ※ "&amp;$R555,"")&amp;IF($B555="상담중"," (상담)","")))</f>
        <v/>
      </c>
      <c r="AH555" s="56" t="str">
        <f aca="false">IF(AND($D555&lt;&gt;"",$B555="결제완료",$O555="스마트스토어"),ROUND(N($N555)*설정!$J$6,0),"")</f>
        <v/>
      </c>
      <c r="AI555" s="54" t="str">
        <f aca="false">IF($D555="","",ROW())</f>
        <v/>
      </c>
      <c r="AJ555" s="54" t="n">
        <f aca="false">IF(OR($AC555&lt;&gt;1,$M555=""),0,IF(ISNUMBER(SEARCH("퇴사",IFERROR(INDEX(강사DB!$G$4:$G$53,MATCH($M555,강사DB!$A$4:$A$53,0)),""))),1,0))</f>
        <v>0</v>
      </c>
    </row>
    <row r="556" customFormat="false" ht="15" hidden="false" customHeight="false" outlineLevel="0" collapsed="false">
      <c r="A556" s="45" t="str">
        <f aca="false">IF($D556="","",COUNTA($D$5:$D556))</f>
        <v/>
      </c>
      <c r="B556" s="46"/>
      <c r="C556" s="47"/>
      <c r="D556" s="48"/>
      <c r="E556" s="48"/>
      <c r="F556" s="49"/>
      <c r="G556" s="47"/>
      <c r="H556" s="50"/>
      <c r="I556" s="50"/>
      <c r="J556" s="51" t="str">
        <f aca="false">IF(OR($V556="",$W556=""),"",ROUND(($W556-$V556)/60,2))</f>
        <v/>
      </c>
      <c r="K556" s="52" t="str">
        <f aca="false">IF($F556="","",LEN($F556)-LEN(SUBSTITUTE($F556,",",""))+1)</f>
        <v/>
      </c>
      <c r="L556" s="45" t="str">
        <f aca="false">IF($K556="","","1:"&amp;$K556)</f>
        <v/>
      </c>
      <c r="M556" s="46"/>
      <c r="N556" s="53"/>
      <c r="O556" s="46"/>
      <c r="P556" s="47"/>
      <c r="Q556" s="48"/>
      <c r="R556" s="49"/>
      <c r="S556" s="54" t="str">
        <f aca="false">IF(OR($AC556=0,$U556="",$M556="",$V556="",$W556=""),"",IF(COUNTIFS(m_teacher,$M556,m_date,$U556,m_active,1,m_start,"&lt;"&amp;$W556,m_end,"&gt;"&amp;$V556)&gt;1,"충돌",""))</f>
        <v/>
      </c>
      <c r="T556" s="48"/>
      <c r="U556" s="55" t="str">
        <f aca="false">IF($G556="","",IFERROR(IF(ISNUMBER($G556),IF($G556&gt;19000000,DATE(INT($G556/10000),MOD(INT($G556/100),100),MOD($G556,100)),INT($G556)),IF(LEN(SUBSTITUTE(SUBSTITUTE(SUBSTITUTE(TRIM($G556),"-",""),".",""),"/",""))=8,DATE(VALUE(LEFT(SUBSTITUTE(SUBSTITUTE(SUBSTITUTE(TRIM($G556),"-",""),".",""),"/",""),4)),VALUE(MID(SUBSTITUTE(SUBSTITUTE(SUBSTITUTE(TRIM($G556),"-",""),".",""),"/",""),5,2)),VALUE(RIGHT(SUBSTITUTE(SUBSTITUTE(SUBSTITUTE(TRIM($G556),"-",""),".",""),"/",""),2))),DATEVALUE($G556))),""))</f>
        <v/>
      </c>
      <c r="V556" s="52" t="str">
        <f aca="false">IF($H556="","",IFERROR(IF(IF(ISNUMBER($H556),$H556,IFERROR(TIMEVALUE($H556),VALUE($H556)))&gt;=100,INT(IF(ISNUMBER($H556),$H556,IFERROR(TIMEVALUE($H556),VALUE($H556)))/100)*60+MOD(IF(ISNUMBER($H556),$H556,IFERROR(TIMEVALUE($H556),VALUE($H556))),100),IF(IF(ISNUMBER($H556),$H556,IFERROR(TIMEVALUE($H556),VALUE($H556)))&gt;=1,ROUND(IF(ISNUMBER($H556),$H556,IFERROR(TIMEVALUE($H556),VALUE($H556)))*60,0),ROUND(MOD(IF(ISNUMBER($H556),$H556,IFERROR(TIMEVALUE($H556),VALUE($H556))),1)*1440,0))),""))</f>
        <v/>
      </c>
      <c r="W556" s="52" t="str">
        <f aca="false">IF($I556="","",IFERROR(IF(IF(ISNUMBER($I556),$I556,IFERROR(TIMEVALUE($I556),VALUE($I556)))&gt;=100,INT(IF(ISNUMBER($I556),$I556,IFERROR(TIMEVALUE($I556),VALUE($I556)))/100)*60+MOD(IF(ISNUMBER($I556),$I556,IFERROR(TIMEVALUE($I556),VALUE($I556))),100),IF(IF(ISNUMBER($I556),$I556,IFERROR(TIMEVALUE($I556),VALUE($I556)))&gt;=1,ROUND(IF(ISNUMBER($I556),$I556,IFERROR(TIMEVALUE($I556),VALUE($I556)))*60,0),ROUND(MOD(IF(ISNUMBER($I556),$I556,IFERROR(TIMEVALUE($I556),VALUE($I556))),1)*1440,0))),""))</f>
        <v/>
      </c>
      <c r="X556" s="55" t="str">
        <f aca="false">IF($P556="","",IFERROR(IF(ISNUMBER($P556),IF($P556&gt;19000000,DATE(INT($P556/10000),MOD(INT($P556/100),100),MOD($P556,100)),INT($P556)),IF(LEN(SUBSTITUTE(SUBSTITUTE(SUBSTITUTE(TRIM($P556),"-",""),".",""),"/",""))=8,DATE(VALUE(LEFT(SUBSTITUTE(SUBSTITUTE(SUBSTITUTE(TRIM($P556),"-",""),".",""),"/",""),4)),VALUE(MID(SUBSTITUTE(SUBSTITUTE(SUBSTITUTE(TRIM($P556),"-",""),".",""),"/",""),5,2)),VALUE(RIGHT(SUBSTITUTE(SUBSTITUTE(SUBSTITUTE(TRIM($P556),"-",""),".",""),"/",""),2))),DATEVALUE($P556))),""))</f>
        <v/>
      </c>
      <c r="Y556" s="56" t="str">
        <f aca="false">IF($M556="","",IFERROR(INDEX(강사DB!$D$4:$D$53,MATCH($M556,강사DB!$A$4:$A$53,0)),""))</f>
        <v/>
      </c>
      <c r="Z556" s="56" t="str">
        <f aca="false">IF($B556&lt;&gt;"결제완료","",IF(OR($Y556="",$J556=""),"",$Y556*$J556+MAX(0,N($K556)-1)*설정!$J$7))</f>
        <v/>
      </c>
      <c r="AA556" s="56" t="str">
        <f aca="false">IF(AND($D556&lt;&gt;"",$B556="결제완료"),N($N556),"")</f>
        <v/>
      </c>
      <c r="AB556" s="45" t="str">
        <f aca="false">IF($D556="","",IF($F556&lt;&gt;"",$F556,$D556)&amp;IF($B556="상담중"," (상담)",""))</f>
        <v/>
      </c>
      <c r="AC556" s="45" t="n">
        <f aca="false">IF(AND($D556&lt;&gt;"",OR($B556="결제완료",$B556="상담중")),1,0)</f>
        <v>0</v>
      </c>
      <c r="AD556" s="45" t="n">
        <f aca="false">IF(OR($Z556="",$U556=""),0,IFERROR(IF(COUNTIFS(INDEX(g_grid,0,2*MATCH($M556,강사DB!$A$4:$A$15,0)),"&lt;&gt;",g_s,"&lt;="&amp;$U556,g_e,"&gt;="&amp;$U556)&gt;0,1,0),0))</f>
        <v>0</v>
      </c>
      <c r="AE556" s="48"/>
      <c r="AF556" s="56" t="str">
        <f aca="false">IF(AND($D556&lt;&gt;"",$B556="결제완료",$T556="대여"),설정!$J$5,"")</f>
        <v/>
      </c>
      <c r="AG556" s="54" t="str">
        <f aca="false">IF($D556="","",IF(AND($E556="",$R556=""),$AB556,"☎ "&amp;IF($E556="","-",$E556)&amp;IF($R556&lt;&gt;"","  ※ "&amp;$R556,"")&amp;IF($B556="상담중"," (상담)","")))</f>
        <v/>
      </c>
      <c r="AH556" s="56" t="str">
        <f aca="false">IF(AND($D556&lt;&gt;"",$B556="결제완료",$O556="스마트스토어"),ROUND(N($N556)*설정!$J$6,0),"")</f>
        <v/>
      </c>
      <c r="AI556" s="54" t="str">
        <f aca="false">IF($D556="","",ROW())</f>
        <v/>
      </c>
      <c r="AJ556" s="54" t="n">
        <f aca="false">IF(OR($AC556&lt;&gt;1,$M556=""),0,IF(ISNUMBER(SEARCH("퇴사",IFERROR(INDEX(강사DB!$G$4:$G$53,MATCH($M556,강사DB!$A$4:$A$53,0)),""))),1,0))</f>
        <v>0</v>
      </c>
    </row>
    <row r="557" customFormat="false" ht="15" hidden="false" customHeight="false" outlineLevel="0" collapsed="false">
      <c r="A557" s="45" t="str">
        <f aca="false">IF($D557="","",COUNTA($D$5:$D557))</f>
        <v/>
      </c>
      <c r="B557" s="46"/>
      <c r="C557" s="47"/>
      <c r="D557" s="48"/>
      <c r="E557" s="48"/>
      <c r="F557" s="49"/>
      <c r="G557" s="47"/>
      <c r="H557" s="50"/>
      <c r="I557" s="50"/>
      <c r="J557" s="51" t="str">
        <f aca="false">IF(OR($V557="",$W557=""),"",ROUND(($W557-$V557)/60,2))</f>
        <v/>
      </c>
      <c r="K557" s="52" t="str">
        <f aca="false">IF($F557="","",LEN($F557)-LEN(SUBSTITUTE($F557,",",""))+1)</f>
        <v/>
      </c>
      <c r="L557" s="45" t="str">
        <f aca="false">IF($K557="","","1:"&amp;$K557)</f>
        <v/>
      </c>
      <c r="M557" s="46"/>
      <c r="N557" s="53"/>
      <c r="O557" s="46"/>
      <c r="P557" s="47"/>
      <c r="Q557" s="48"/>
      <c r="R557" s="49"/>
      <c r="S557" s="54" t="str">
        <f aca="false">IF(OR($AC557=0,$U557="",$M557="",$V557="",$W557=""),"",IF(COUNTIFS(m_teacher,$M557,m_date,$U557,m_active,1,m_start,"&lt;"&amp;$W557,m_end,"&gt;"&amp;$V557)&gt;1,"충돌",""))</f>
        <v/>
      </c>
      <c r="T557" s="48"/>
      <c r="U557" s="55" t="str">
        <f aca="false">IF($G557="","",IFERROR(IF(ISNUMBER($G557),IF($G557&gt;19000000,DATE(INT($G557/10000),MOD(INT($G557/100),100),MOD($G557,100)),INT($G557)),IF(LEN(SUBSTITUTE(SUBSTITUTE(SUBSTITUTE(TRIM($G557),"-",""),".",""),"/",""))=8,DATE(VALUE(LEFT(SUBSTITUTE(SUBSTITUTE(SUBSTITUTE(TRIM($G557),"-",""),".",""),"/",""),4)),VALUE(MID(SUBSTITUTE(SUBSTITUTE(SUBSTITUTE(TRIM($G557),"-",""),".",""),"/",""),5,2)),VALUE(RIGHT(SUBSTITUTE(SUBSTITUTE(SUBSTITUTE(TRIM($G557),"-",""),".",""),"/",""),2))),DATEVALUE($G557))),""))</f>
        <v/>
      </c>
      <c r="V557" s="52" t="str">
        <f aca="false">IF($H557="","",IFERROR(IF(IF(ISNUMBER($H557),$H557,IFERROR(TIMEVALUE($H557),VALUE($H557)))&gt;=100,INT(IF(ISNUMBER($H557),$H557,IFERROR(TIMEVALUE($H557),VALUE($H557)))/100)*60+MOD(IF(ISNUMBER($H557),$H557,IFERROR(TIMEVALUE($H557),VALUE($H557))),100),IF(IF(ISNUMBER($H557),$H557,IFERROR(TIMEVALUE($H557),VALUE($H557)))&gt;=1,ROUND(IF(ISNUMBER($H557),$H557,IFERROR(TIMEVALUE($H557),VALUE($H557)))*60,0),ROUND(MOD(IF(ISNUMBER($H557),$H557,IFERROR(TIMEVALUE($H557),VALUE($H557))),1)*1440,0))),""))</f>
        <v/>
      </c>
      <c r="W557" s="52" t="str">
        <f aca="false">IF($I557="","",IFERROR(IF(IF(ISNUMBER($I557),$I557,IFERROR(TIMEVALUE($I557),VALUE($I557)))&gt;=100,INT(IF(ISNUMBER($I557),$I557,IFERROR(TIMEVALUE($I557),VALUE($I557)))/100)*60+MOD(IF(ISNUMBER($I557),$I557,IFERROR(TIMEVALUE($I557),VALUE($I557))),100),IF(IF(ISNUMBER($I557),$I557,IFERROR(TIMEVALUE($I557),VALUE($I557)))&gt;=1,ROUND(IF(ISNUMBER($I557),$I557,IFERROR(TIMEVALUE($I557),VALUE($I557)))*60,0),ROUND(MOD(IF(ISNUMBER($I557),$I557,IFERROR(TIMEVALUE($I557),VALUE($I557))),1)*1440,0))),""))</f>
        <v/>
      </c>
      <c r="X557" s="55" t="str">
        <f aca="false">IF($P557="","",IFERROR(IF(ISNUMBER($P557),IF($P557&gt;19000000,DATE(INT($P557/10000),MOD(INT($P557/100),100),MOD($P557,100)),INT($P557)),IF(LEN(SUBSTITUTE(SUBSTITUTE(SUBSTITUTE(TRIM($P557),"-",""),".",""),"/",""))=8,DATE(VALUE(LEFT(SUBSTITUTE(SUBSTITUTE(SUBSTITUTE(TRIM($P557),"-",""),".",""),"/",""),4)),VALUE(MID(SUBSTITUTE(SUBSTITUTE(SUBSTITUTE(TRIM($P557),"-",""),".",""),"/",""),5,2)),VALUE(RIGHT(SUBSTITUTE(SUBSTITUTE(SUBSTITUTE(TRIM($P557),"-",""),".",""),"/",""),2))),DATEVALUE($P557))),""))</f>
        <v/>
      </c>
      <c r="Y557" s="56" t="str">
        <f aca="false">IF($M557="","",IFERROR(INDEX(강사DB!$D$4:$D$53,MATCH($M557,강사DB!$A$4:$A$53,0)),""))</f>
        <v/>
      </c>
      <c r="Z557" s="56" t="str">
        <f aca="false">IF($B557&lt;&gt;"결제완료","",IF(OR($Y557="",$J557=""),"",$Y557*$J557+MAX(0,N($K557)-1)*설정!$J$7))</f>
        <v/>
      </c>
      <c r="AA557" s="56" t="str">
        <f aca="false">IF(AND($D557&lt;&gt;"",$B557="결제완료"),N($N557),"")</f>
        <v/>
      </c>
      <c r="AB557" s="45" t="str">
        <f aca="false">IF($D557="","",IF($F557&lt;&gt;"",$F557,$D557)&amp;IF($B557="상담중"," (상담)",""))</f>
        <v/>
      </c>
      <c r="AC557" s="45" t="n">
        <f aca="false">IF(AND($D557&lt;&gt;"",OR($B557="결제완료",$B557="상담중")),1,0)</f>
        <v>0</v>
      </c>
      <c r="AD557" s="45" t="n">
        <f aca="false">IF(OR($Z557="",$U557=""),0,IFERROR(IF(COUNTIFS(INDEX(g_grid,0,2*MATCH($M557,강사DB!$A$4:$A$15,0)),"&lt;&gt;",g_s,"&lt;="&amp;$U557,g_e,"&gt;="&amp;$U557)&gt;0,1,0),0))</f>
        <v>0</v>
      </c>
      <c r="AE557" s="48"/>
      <c r="AF557" s="56" t="str">
        <f aca="false">IF(AND($D557&lt;&gt;"",$B557="결제완료",$T557="대여"),설정!$J$5,"")</f>
        <v/>
      </c>
      <c r="AG557" s="54" t="str">
        <f aca="false">IF($D557="","",IF(AND($E557="",$R557=""),$AB557,"☎ "&amp;IF($E557="","-",$E557)&amp;IF($R557&lt;&gt;"","  ※ "&amp;$R557,"")&amp;IF($B557="상담중"," (상담)","")))</f>
        <v/>
      </c>
      <c r="AH557" s="56" t="str">
        <f aca="false">IF(AND($D557&lt;&gt;"",$B557="결제완료",$O557="스마트스토어"),ROUND(N($N557)*설정!$J$6,0),"")</f>
        <v/>
      </c>
      <c r="AI557" s="54" t="str">
        <f aca="false">IF($D557="","",ROW())</f>
        <v/>
      </c>
      <c r="AJ557" s="54" t="n">
        <f aca="false">IF(OR($AC557&lt;&gt;1,$M557=""),0,IF(ISNUMBER(SEARCH("퇴사",IFERROR(INDEX(강사DB!$G$4:$G$53,MATCH($M557,강사DB!$A$4:$A$53,0)),""))),1,0))</f>
        <v>0</v>
      </c>
    </row>
    <row r="558" customFormat="false" ht="15" hidden="false" customHeight="false" outlineLevel="0" collapsed="false">
      <c r="A558" s="45" t="str">
        <f aca="false">IF($D558="","",COUNTA($D$5:$D558))</f>
        <v/>
      </c>
      <c r="B558" s="46"/>
      <c r="C558" s="47"/>
      <c r="D558" s="48"/>
      <c r="E558" s="48"/>
      <c r="F558" s="49"/>
      <c r="G558" s="47"/>
      <c r="H558" s="50"/>
      <c r="I558" s="50"/>
      <c r="J558" s="51" t="str">
        <f aca="false">IF(OR($V558="",$W558=""),"",ROUND(($W558-$V558)/60,2))</f>
        <v/>
      </c>
      <c r="K558" s="52" t="str">
        <f aca="false">IF($F558="","",LEN($F558)-LEN(SUBSTITUTE($F558,",",""))+1)</f>
        <v/>
      </c>
      <c r="L558" s="45" t="str">
        <f aca="false">IF($K558="","","1:"&amp;$K558)</f>
        <v/>
      </c>
      <c r="M558" s="46"/>
      <c r="N558" s="53"/>
      <c r="O558" s="46"/>
      <c r="P558" s="47"/>
      <c r="Q558" s="48"/>
      <c r="R558" s="49"/>
      <c r="S558" s="54" t="str">
        <f aca="false">IF(OR($AC558=0,$U558="",$M558="",$V558="",$W558=""),"",IF(COUNTIFS(m_teacher,$M558,m_date,$U558,m_active,1,m_start,"&lt;"&amp;$W558,m_end,"&gt;"&amp;$V558)&gt;1,"충돌",""))</f>
        <v/>
      </c>
      <c r="T558" s="48"/>
      <c r="U558" s="55" t="str">
        <f aca="false">IF($G558="","",IFERROR(IF(ISNUMBER($G558),IF($G558&gt;19000000,DATE(INT($G558/10000),MOD(INT($G558/100),100),MOD($G558,100)),INT($G558)),IF(LEN(SUBSTITUTE(SUBSTITUTE(SUBSTITUTE(TRIM($G558),"-",""),".",""),"/",""))=8,DATE(VALUE(LEFT(SUBSTITUTE(SUBSTITUTE(SUBSTITUTE(TRIM($G558),"-",""),".",""),"/",""),4)),VALUE(MID(SUBSTITUTE(SUBSTITUTE(SUBSTITUTE(TRIM($G558),"-",""),".",""),"/",""),5,2)),VALUE(RIGHT(SUBSTITUTE(SUBSTITUTE(SUBSTITUTE(TRIM($G558),"-",""),".",""),"/",""),2))),DATEVALUE($G558))),""))</f>
        <v/>
      </c>
      <c r="V558" s="52" t="str">
        <f aca="false">IF($H558="","",IFERROR(IF(IF(ISNUMBER($H558),$H558,IFERROR(TIMEVALUE($H558),VALUE($H558)))&gt;=100,INT(IF(ISNUMBER($H558),$H558,IFERROR(TIMEVALUE($H558),VALUE($H558)))/100)*60+MOD(IF(ISNUMBER($H558),$H558,IFERROR(TIMEVALUE($H558),VALUE($H558))),100),IF(IF(ISNUMBER($H558),$H558,IFERROR(TIMEVALUE($H558),VALUE($H558)))&gt;=1,ROUND(IF(ISNUMBER($H558),$H558,IFERROR(TIMEVALUE($H558),VALUE($H558)))*60,0),ROUND(MOD(IF(ISNUMBER($H558),$H558,IFERROR(TIMEVALUE($H558),VALUE($H558))),1)*1440,0))),""))</f>
        <v/>
      </c>
      <c r="W558" s="52" t="str">
        <f aca="false">IF($I558="","",IFERROR(IF(IF(ISNUMBER($I558),$I558,IFERROR(TIMEVALUE($I558),VALUE($I558)))&gt;=100,INT(IF(ISNUMBER($I558),$I558,IFERROR(TIMEVALUE($I558),VALUE($I558)))/100)*60+MOD(IF(ISNUMBER($I558),$I558,IFERROR(TIMEVALUE($I558),VALUE($I558))),100),IF(IF(ISNUMBER($I558),$I558,IFERROR(TIMEVALUE($I558),VALUE($I558)))&gt;=1,ROUND(IF(ISNUMBER($I558),$I558,IFERROR(TIMEVALUE($I558),VALUE($I558)))*60,0),ROUND(MOD(IF(ISNUMBER($I558),$I558,IFERROR(TIMEVALUE($I558),VALUE($I558))),1)*1440,0))),""))</f>
        <v/>
      </c>
      <c r="X558" s="55" t="str">
        <f aca="false">IF($P558="","",IFERROR(IF(ISNUMBER($P558),IF($P558&gt;19000000,DATE(INT($P558/10000),MOD(INT($P558/100),100),MOD($P558,100)),INT($P558)),IF(LEN(SUBSTITUTE(SUBSTITUTE(SUBSTITUTE(TRIM($P558),"-",""),".",""),"/",""))=8,DATE(VALUE(LEFT(SUBSTITUTE(SUBSTITUTE(SUBSTITUTE(TRIM($P558),"-",""),".",""),"/",""),4)),VALUE(MID(SUBSTITUTE(SUBSTITUTE(SUBSTITUTE(TRIM($P558),"-",""),".",""),"/",""),5,2)),VALUE(RIGHT(SUBSTITUTE(SUBSTITUTE(SUBSTITUTE(TRIM($P558),"-",""),".",""),"/",""),2))),DATEVALUE($P558))),""))</f>
        <v/>
      </c>
      <c r="Y558" s="56" t="str">
        <f aca="false">IF($M558="","",IFERROR(INDEX(강사DB!$D$4:$D$53,MATCH($M558,강사DB!$A$4:$A$53,0)),""))</f>
        <v/>
      </c>
      <c r="Z558" s="56" t="str">
        <f aca="false">IF($B558&lt;&gt;"결제완료","",IF(OR($Y558="",$J558=""),"",$Y558*$J558+MAX(0,N($K558)-1)*설정!$J$7))</f>
        <v/>
      </c>
      <c r="AA558" s="56" t="str">
        <f aca="false">IF(AND($D558&lt;&gt;"",$B558="결제완료"),N($N558),"")</f>
        <v/>
      </c>
      <c r="AB558" s="45" t="str">
        <f aca="false">IF($D558="","",IF($F558&lt;&gt;"",$F558,$D558)&amp;IF($B558="상담중"," (상담)",""))</f>
        <v/>
      </c>
      <c r="AC558" s="45" t="n">
        <f aca="false">IF(AND($D558&lt;&gt;"",OR($B558="결제완료",$B558="상담중")),1,0)</f>
        <v>0</v>
      </c>
      <c r="AD558" s="45" t="n">
        <f aca="false">IF(OR($Z558="",$U558=""),0,IFERROR(IF(COUNTIFS(INDEX(g_grid,0,2*MATCH($M558,강사DB!$A$4:$A$15,0)),"&lt;&gt;",g_s,"&lt;="&amp;$U558,g_e,"&gt;="&amp;$U558)&gt;0,1,0),0))</f>
        <v>0</v>
      </c>
      <c r="AE558" s="48"/>
      <c r="AF558" s="56" t="str">
        <f aca="false">IF(AND($D558&lt;&gt;"",$B558="결제완료",$T558="대여"),설정!$J$5,"")</f>
        <v/>
      </c>
      <c r="AG558" s="54" t="str">
        <f aca="false">IF($D558="","",IF(AND($E558="",$R558=""),$AB558,"☎ "&amp;IF($E558="","-",$E558)&amp;IF($R558&lt;&gt;"","  ※ "&amp;$R558,"")&amp;IF($B558="상담중"," (상담)","")))</f>
        <v/>
      </c>
      <c r="AH558" s="56" t="str">
        <f aca="false">IF(AND($D558&lt;&gt;"",$B558="결제완료",$O558="스마트스토어"),ROUND(N($N558)*설정!$J$6,0),"")</f>
        <v/>
      </c>
      <c r="AI558" s="54" t="str">
        <f aca="false">IF($D558="","",ROW())</f>
        <v/>
      </c>
      <c r="AJ558" s="54" t="n">
        <f aca="false">IF(OR($AC558&lt;&gt;1,$M558=""),0,IF(ISNUMBER(SEARCH("퇴사",IFERROR(INDEX(강사DB!$G$4:$G$53,MATCH($M558,강사DB!$A$4:$A$53,0)),""))),1,0))</f>
        <v>0</v>
      </c>
    </row>
    <row r="559" customFormat="false" ht="15" hidden="false" customHeight="false" outlineLevel="0" collapsed="false">
      <c r="A559" s="45" t="str">
        <f aca="false">IF($D559="","",COUNTA($D$5:$D559))</f>
        <v/>
      </c>
      <c r="B559" s="46"/>
      <c r="C559" s="47"/>
      <c r="D559" s="48"/>
      <c r="E559" s="48"/>
      <c r="F559" s="49"/>
      <c r="G559" s="47"/>
      <c r="H559" s="50"/>
      <c r="I559" s="50"/>
      <c r="J559" s="51" t="str">
        <f aca="false">IF(OR($V559="",$W559=""),"",ROUND(($W559-$V559)/60,2))</f>
        <v/>
      </c>
      <c r="K559" s="52" t="str">
        <f aca="false">IF($F559="","",LEN($F559)-LEN(SUBSTITUTE($F559,",",""))+1)</f>
        <v/>
      </c>
      <c r="L559" s="45" t="str">
        <f aca="false">IF($K559="","","1:"&amp;$K559)</f>
        <v/>
      </c>
      <c r="M559" s="46"/>
      <c r="N559" s="53"/>
      <c r="O559" s="46"/>
      <c r="P559" s="47"/>
      <c r="Q559" s="48"/>
      <c r="R559" s="49"/>
      <c r="S559" s="54" t="str">
        <f aca="false">IF(OR($AC559=0,$U559="",$M559="",$V559="",$W559=""),"",IF(COUNTIFS(m_teacher,$M559,m_date,$U559,m_active,1,m_start,"&lt;"&amp;$W559,m_end,"&gt;"&amp;$V559)&gt;1,"충돌",""))</f>
        <v/>
      </c>
      <c r="T559" s="48"/>
      <c r="U559" s="55" t="str">
        <f aca="false">IF($G559="","",IFERROR(IF(ISNUMBER($G559),IF($G559&gt;19000000,DATE(INT($G559/10000),MOD(INT($G559/100),100),MOD($G559,100)),INT($G559)),IF(LEN(SUBSTITUTE(SUBSTITUTE(SUBSTITUTE(TRIM($G559),"-",""),".",""),"/",""))=8,DATE(VALUE(LEFT(SUBSTITUTE(SUBSTITUTE(SUBSTITUTE(TRIM($G559),"-",""),".",""),"/",""),4)),VALUE(MID(SUBSTITUTE(SUBSTITUTE(SUBSTITUTE(TRIM($G559),"-",""),".",""),"/",""),5,2)),VALUE(RIGHT(SUBSTITUTE(SUBSTITUTE(SUBSTITUTE(TRIM($G559),"-",""),".",""),"/",""),2))),DATEVALUE($G559))),""))</f>
        <v/>
      </c>
      <c r="V559" s="52" t="str">
        <f aca="false">IF($H559="","",IFERROR(IF(IF(ISNUMBER($H559),$H559,IFERROR(TIMEVALUE($H559),VALUE($H559)))&gt;=100,INT(IF(ISNUMBER($H559),$H559,IFERROR(TIMEVALUE($H559),VALUE($H559)))/100)*60+MOD(IF(ISNUMBER($H559),$H559,IFERROR(TIMEVALUE($H559),VALUE($H559))),100),IF(IF(ISNUMBER($H559),$H559,IFERROR(TIMEVALUE($H559),VALUE($H559)))&gt;=1,ROUND(IF(ISNUMBER($H559),$H559,IFERROR(TIMEVALUE($H559),VALUE($H559)))*60,0),ROUND(MOD(IF(ISNUMBER($H559),$H559,IFERROR(TIMEVALUE($H559),VALUE($H559))),1)*1440,0))),""))</f>
        <v/>
      </c>
      <c r="W559" s="52" t="str">
        <f aca="false">IF($I559="","",IFERROR(IF(IF(ISNUMBER($I559),$I559,IFERROR(TIMEVALUE($I559),VALUE($I559)))&gt;=100,INT(IF(ISNUMBER($I559),$I559,IFERROR(TIMEVALUE($I559),VALUE($I559)))/100)*60+MOD(IF(ISNUMBER($I559),$I559,IFERROR(TIMEVALUE($I559),VALUE($I559))),100),IF(IF(ISNUMBER($I559),$I559,IFERROR(TIMEVALUE($I559),VALUE($I559)))&gt;=1,ROUND(IF(ISNUMBER($I559),$I559,IFERROR(TIMEVALUE($I559),VALUE($I559)))*60,0),ROUND(MOD(IF(ISNUMBER($I559),$I559,IFERROR(TIMEVALUE($I559),VALUE($I559))),1)*1440,0))),""))</f>
        <v/>
      </c>
      <c r="X559" s="55" t="str">
        <f aca="false">IF($P559="","",IFERROR(IF(ISNUMBER($P559),IF($P559&gt;19000000,DATE(INT($P559/10000),MOD(INT($P559/100),100),MOD($P559,100)),INT($P559)),IF(LEN(SUBSTITUTE(SUBSTITUTE(SUBSTITUTE(TRIM($P559),"-",""),".",""),"/",""))=8,DATE(VALUE(LEFT(SUBSTITUTE(SUBSTITUTE(SUBSTITUTE(TRIM($P559),"-",""),".",""),"/",""),4)),VALUE(MID(SUBSTITUTE(SUBSTITUTE(SUBSTITUTE(TRIM($P559),"-",""),".",""),"/",""),5,2)),VALUE(RIGHT(SUBSTITUTE(SUBSTITUTE(SUBSTITUTE(TRIM($P559),"-",""),".",""),"/",""),2))),DATEVALUE($P559))),""))</f>
        <v/>
      </c>
      <c r="Y559" s="56" t="str">
        <f aca="false">IF($M559="","",IFERROR(INDEX(강사DB!$D$4:$D$53,MATCH($M559,강사DB!$A$4:$A$53,0)),""))</f>
        <v/>
      </c>
      <c r="Z559" s="56" t="str">
        <f aca="false">IF($B559&lt;&gt;"결제완료","",IF(OR($Y559="",$J559=""),"",$Y559*$J559+MAX(0,N($K559)-1)*설정!$J$7))</f>
        <v/>
      </c>
      <c r="AA559" s="56" t="str">
        <f aca="false">IF(AND($D559&lt;&gt;"",$B559="결제완료"),N($N559),"")</f>
        <v/>
      </c>
      <c r="AB559" s="45" t="str">
        <f aca="false">IF($D559="","",IF($F559&lt;&gt;"",$F559,$D559)&amp;IF($B559="상담중"," (상담)",""))</f>
        <v/>
      </c>
      <c r="AC559" s="45" t="n">
        <f aca="false">IF(AND($D559&lt;&gt;"",OR($B559="결제완료",$B559="상담중")),1,0)</f>
        <v>0</v>
      </c>
      <c r="AD559" s="45" t="n">
        <f aca="false">IF(OR($Z559="",$U559=""),0,IFERROR(IF(COUNTIFS(INDEX(g_grid,0,2*MATCH($M559,강사DB!$A$4:$A$15,0)),"&lt;&gt;",g_s,"&lt;="&amp;$U559,g_e,"&gt;="&amp;$U559)&gt;0,1,0),0))</f>
        <v>0</v>
      </c>
      <c r="AE559" s="48"/>
      <c r="AF559" s="56" t="str">
        <f aca="false">IF(AND($D559&lt;&gt;"",$B559="결제완료",$T559="대여"),설정!$J$5,"")</f>
        <v/>
      </c>
      <c r="AG559" s="54" t="str">
        <f aca="false">IF($D559="","",IF(AND($E559="",$R559=""),$AB559,"☎ "&amp;IF($E559="","-",$E559)&amp;IF($R559&lt;&gt;"","  ※ "&amp;$R559,"")&amp;IF($B559="상담중"," (상담)","")))</f>
        <v/>
      </c>
      <c r="AH559" s="56" t="str">
        <f aca="false">IF(AND($D559&lt;&gt;"",$B559="결제완료",$O559="스마트스토어"),ROUND(N($N559)*설정!$J$6,0),"")</f>
        <v/>
      </c>
      <c r="AI559" s="54" t="str">
        <f aca="false">IF($D559="","",ROW())</f>
        <v/>
      </c>
      <c r="AJ559" s="54" t="n">
        <f aca="false">IF(OR($AC559&lt;&gt;1,$M559=""),0,IF(ISNUMBER(SEARCH("퇴사",IFERROR(INDEX(강사DB!$G$4:$G$53,MATCH($M559,강사DB!$A$4:$A$53,0)),""))),1,0))</f>
        <v>0</v>
      </c>
    </row>
    <row r="560" customFormat="false" ht="15" hidden="false" customHeight="false" outlineLevel="0" collapsed="false">
      <c r="A560" s="45" t="str">
        <f aca="false">IF($D560="","",COUNTA($D$5:$D560))</f>
        <v/>
      </c>
      <c r="B560" s="46"/>
      <c r="C560" s="47"/>
      <c r="D560" s="48"/>
      <c r="E560" s="48"/>
      <c r="F560" s="49"/>
      <c r="G560" s="47"/>
      <c r="H560" s="50"/>
      <c r="I560" s="50"/>
      <c r="J560" s="51" t="str">
        <f aca="false">IF(OR($V560="",$W560=""),"",ROUND(($W560-$V560)/60,2))</f>
        <v/>
      </c>
      <c r="K560" s="52" t="str">
        <f aca="false">IF($F560="","",LEN($F560)-LEN(SUBSTITUTE($F560,",",""))+1)</f>
        <v/>
      </c>
      <c r="L560" s="45" t="str">
        <f aca="false">IF($K560="","","1:"&amp;$K560)</f>
        <v/>
      </c>
      <c r="M560" s="46"/>
      <c r="N560" s="53"/>
      <c r="O560" s="46"/>
      <c r="P560" s="47"/>
      <c r="Q560" s="48"/>
      <c r="R560" s="49"/>
      <c r="S560" s="54" t="str">
        <f aca="false">IF(OR($AC560=0,$U560="",$M560="",$V560="",$W560=""),"",IF(COUNTIFS(m_teacher,$M560,m_date,$U560,m_active,1,m_start,"&lt;"&amp;$W560,m_end,"&gt;"&amp;$V560)&gt;1,"충돌",""))</f>
        <v/>
      </c>
      <c r="T560" s="48"/>
      <c r="U560" s="55" t="str">
        <f aca="false">IF($G560="","",IFERROR(IF(ISNUMBER($G560),IF($G560&gt;19000000,DATE(INT($G560/10000),MOD(INT($G560/100),100),MOD($G560,100)),INT($G560)),IF(LEN(SUBSTITUTE(SUBSTITUTE(SUBSTITUTE(TRIM($G560),"-",""),".",""),"/",""))=8,DATE(VALUE(LEFT(SUBSTITUTE(SUBSTITUTE(SUBSTITUTE(TRIM($G560),"-",""),".",""),"/",""),4)),VALUE(MID(SUBSTITUTE(SUBSTITUTE(SUBSTITUTE(TRIM($G560),"-",""),".",""),"/",""),5,2)),VALUE(RIGHT(SUBSTITUTE(SUBSTITUTE(SUBSTITUTE(TRIM($G560),"-",""),".",""),"/",""),2))),DATEVALUE($G560))),""))</f>
        <v/>
      </c>
      <c r="V560" s="52" t="str">
        <f aca="false">IF($H560="","",IFERROR(IF(IF(ISNUMBER($H560),$H560,IFERROR(TIMEVALUE($H560),VALUE($H560)))&gt;=100,INT(IF(ISNUMBER($H560),$H560,IFERROR(TIMEVALUE($H560),VALUE($H560)))/100)*60+MOD(IF(ISNUMBER($H560),$H560,IFERROR(TIMEVALUE($H560),VALUE($H560))),100),IF(IF(ISNUMBER($H560),$H560,IFERROR(TIMEVALUE($H560),VALUE($H560)))&gt;=1,ROUND(IF(ISNUMBER($H560),$H560,IFERROR(TIMEVALUE($H560),VALUE($H560)))*60,0),ROUND(MOD(IF(ISNUMBER($H560),$H560,IFERROR(TIMEVALUE($H560),VALUE($H560))),1)*1440,0))),""))</f>
        <v/>
      </c>
      <c r="W560" s="52" t="str">
        <f aca="false">IF($I560="","",IFERROR(IF(IF(ISNUMBER($I560),$I560,IFERROR(TIMEVALUE($I560),VALUE($I560)))&gt;=100,INT(IF(ISNUMBER($I560),$I560,IFERROR(TIMEVALUE($I560),VALUE($I560)))/100)*60+MOD(IF(ISNUMBER($I560),$I560,IFERROR(TIMEVALUE($I560),VALUE($I560))),100),IF(IF(ISNUMBER($I560),$I560,IFERROR(TIMEVALUE($I560),VALUE($I560)))&gt;=1,ROUND(IF(ISNUMBER($I560),$I560,IFERROR(TIMEVALUE($I560),VALUE($I560)))*60,0),ROUND(MOD(IF(ISNUMBER($I560),$I560,IFERROR(TIMEVALUE($I560),VALUE($I560))),1)*1440,0))),""))</f>
        <v/>
      </c>
      <c r="X560" s="55" t="str">
        <f aca="false">IF($P560="","",IFERROR(IF(ISNUMBER($P560),IF($P560&gt;19000000,DATE(INT($P560/10000),MOD(INT($P560/100),100),MOD($P560,100)),INT($P560)),IF(LEN(SUBSTITUTE(SUBSTITUTE(SUBSTITUTE(TRIM($P560),"-",""),".",""),"/",""))=8,DATE(VALUE(LEFT(SUBSTITUTE(SUBSTITUTE(SUBSTITUTE(TRIM($P560),"-",""),".",""),"/",""),4)),VALUE(MID(SUBSTITUTE(SUBSTITUTE(SUBSTITUTE(TRIM($P560),"-",""),".",""),"/",""),5,2)),VALUE(RIGHT(SUBSTITUTE(SUBSTITUTE(SUBSTITUTE(TRIM($P560),"-",""),".",""),"/",""),2))),DATEVALUE($P560))),""))</f>
        <v/>
      </c>
      <c r="Y560" s="56" t="str">
        <f aca="false">IF($M560="","",IFERROR(INDEX(강사DB!$D$4:$D$53,MATCH($M560,강사DB!$A$4:$A$53,0)),""))</f>
        <v/>
      </c>
      <c r="Z560" s="56" t="str">
        <f aca="false">IF($B560&lt;&gt;"결제완료","",IF(OR($Y560="",$J560=""),"",$Y560*$J560+MAX(0,N($K560)-1)*설정!$J$7))</f>
        <v/>
      </c>
      <c r="AA560" s="56" t="str">
        <f aca="false">IF(AND($D560&lt;&gt;"",$B560="결제완료"),N($N560),"")</f>
        <v/>
      </c>
      <c r="AB560" s="45" t="str">
        <f aca="false">IF($D560="","",IF($F560&lt;&gt;"",$F560,$D560)&amp;IF($B560="상담중"," (상담)",""))</f>
        <v/>
      </c>
      <c r="AC560" s="45" t="n">
        <f aca="false">IF(AND($D560&lt;&gt;"",OR($B560="결제완료",$B560="상담중")),1,0)</f>
        <v>0</v>
      </c>
      <c r="AD560" s="45" t="n">
        <f aca="false">IF(OR($Z560="",$U560=""),0,IFERROR(IF(COUNTIFS(INDEX(g_grid,0,2*MATCH($M560,강사DB!$A$4:$A$15,0)),"&lt;&gt;",g_s,"&lt;="&amp;$U560,g_e,"&gt;="&amp;$U560)&gt;0,1,0),0))</f>
        <v>0</v>
      </c>
      <c r="AE560" s="48"/>
      <c r="AF560" s="56" t="str">
        <f aca="false">IF(AND($D560&lt;&gt;"",$B560="결제완료",$T560="대여"),설정!$J$5,"")</f>
        <v/>
      </c>
      <c r="AG560" s="54" t="str">
        <f aca="false">IF($D560="","",IF(AND($E560="",$R560=""),$AB560,"☎ "&amp;IF($E560="","-",$E560)&amp;IF($R560&lt;&gt;"","  ※ "&amp;$R560,"")&amp;IF($B560="상담중"," (상담)","")))</f>
        <v/>
      </c>
      <c r="AH560" s="56" t="str">
        <f aca="false">IF(AND($D560&lt;&gt;"",$B560="결제완료",$O560="스마트스토어"),ROUND(N($N560)*설정!$J$6,0),"")</f>
        <v/>
      </c>
      <c r="AI560" s="54" t="str">
        <f aca="false">IF($D560="","",ROW())</f>
        <v/>
      </c>
      <c r="AJ560" s="54" t="n">
        <f aca="false">IF(OR($AC560&lt;&gt;1,$M560=""),0,IF(ISNUMBER(SEARCH("퇴사",IFERROR(INDEX(강사DB!$G$4:$G$53,MATCH($M560,강사DB!$A$4:$A$53,0)),""))),1,0))</f>
        <v>0</v>
      </c>
    </row>
    <row r="561" customFormat="false" ht="15" hidden="false" customHeight="false" outlineLevel="0" collapsed="false">
      <c r="A561" s="45" t="str">
        <f aca="false">IF($D561="","",COUNTA($D$5:$D561))</f>
        <v/>
      </c>
      <c r="B561" s="46"/>
      <c r="C561" s="47"/>
      <c r="D561" s="48"/>
      <c r="E561" s="48"/>
      <c r="F561" s="49"/>
      <c r="G561" s="47"/>
      <c r="H561" s="50"/>
      <c r="I561" s="50"/>
      <c r="J561" s="51" t="str">
        <f aca="false">IF(OR($V561="",$W561=""),"",ROUND(($W561-$V561)/60,2))</f>
        <v/>
      </c>
      <c r="K561" s="52" t="str">
        <f aca="false">IF($F561="","",LEN($F561)-LEN(SUBSTITUTE($F561,",",""))+1)</f>
        <v/>
      </c>
      <c r="L561" s="45" t="str">
        <f aca="false">IF($K561="","","1:"&amp;$K561)</f>
        <v/>
      </c>
      <c r="M561" s="46"/>
      <c r="N561" s="53"/>
      <c r="O561" s="46"/>
      <c r="P561" s="47"/>
      <c r="Q561" s="48"/>
      <c r="R561" s="49"/>
      <c r="S561" s="54" t="str">
        <f aca="false">IF(OR($AC561=0,$U561="",$M561="",$V561="",$W561=""),"",IF(COUNTIFS(m_teacher,$M561,m_date,$U561,m_active,1,m_start,"&lt;"&amp;$W561,m_end,"&gt;"&amp;$V561)&gt;1,"충돌",""))</f>
        <v/>
      </c>
      <c r="T561" s="48"/>
      <c r="U561" s="55" t="str">
        <f aca="false">IF($G561="","",IFERROR(IF(ISNUMBER($G561),IF($G561&gt;19000000,DATE(INT($G561/10000),MOD(INT($G561/100),100),MOD($G561,100)),INT($G561)),IF(LEN(SUBSTITUTE(SUBSTITUTE(SUBSTITUTE(TRIM($G561),"-",""),".",""),"/",""))=8,DATE(VALUE(LEFT(SUBSTITUTE(SUBSTITUTE(SUBSTITUTE(TRIM($G561),"-",""),".",""),"/",""),4)),VALUE(MID(SUBSTITUTE(SUBSTITUTE(SUBSTITUTE(TRIM($G561),"-",""),".",""),"/",""),5,2)),VALUE(RIGHT(SUBSTITUTE(SUBSTITUTE(SUBSTITUTE(TRIM($G561),"-",""),".",""),"/",""),2))),DATEVALUE($G561))),""))</f>
        <v/>
      </c>
      <c r="V561" s="52" t="str">
        <f aca="false">IF($H561="","",IFERROR(IF(IF(ISNUMBER($H561),$H561,IFERROR(TIMEVALUE($H561),VALUE($H561)))&gt;=100,INT(IF(ISNUMBER($H561),$H561,IFERROR(TIMEVALUE($H561),VALUE($H561)))/100)*60+MOD(IF(ISNUMBER($H561),$H561,IFERROR(TIMEVALUE($H561),VALUE($H561))),100),IF(IF(ISNUMBER($H561),$H561,IFERROR(TIMEVALUE($H561),VALUE($H561)))&gt;=1,ROUND(IF(ISNUMBER($H561),$H561,IFERROR(TIMEVALUE($H561),VALUE($H561)))*60,0),ROUND(MOD(IF(ISNUMBER($H561),$H561,IFERROR(TIMEVALUE($H561),VALUE($H561))),1)*1440,0))),""))</f>
        <v/>
      </c>
      <c r="W561" s="52" t="str">
        <f aca="false">IF($I561="","",IFERROR(IF(IF(ISNUMBER($I561),$I561,IFERROR(TIMEVALUE($I561),VALUE($I561)))&gt;=100,INT(IF(ISNUMBER($I561),$I561,IFERROR(TIMEVALUE($I561),VALUE($I561)))/100)*60+MOD(IF(ISNUMBER($I561),$I561,IFERROR(TIMEVALUE($I561),VALUE($I561))),100),IF(IF(ISNUMBER($I561),$I561,IFERROR(TIMEVALUE($I561),VALUE($I561)))&gt;=1,ROUND(IF(ISNUMBER($I561),$I561,IFERROR(TIMEVALUE($I561),VALUE($I561)))*60,0),ROUND(MOD(IF(ISNUMBER($I561),$I561,IFERROR(TIMEVALUE($I561),VALUE($I561))),1)*1440,0))),""))</f>
        <v/>
      </c>
      <c r="X561" s="55" t="str">
        <f aca="false">IF($P561="","",IFERROR(IF(ISNUMBER($P561),IF($P561&gt;19000000,DATE(INT($P561/10000),MOD(INT($P561/100),100),MOD($P561,100)),INT($P561)),IF(LEN(SUBSTITUTE(SUBSTITUTE(SUBSTITUTE(TRIM($P561),"-",""),".",""),"/",""))=8,DATE(VALUE(LEFT(SUBSTITUTE(SUBSTITUTE(SUBSTITUTE(TRIM($P561),"-",""),".",""),"/",""),4)),VALUE(MID(SUBSTITUTE(SUBSTITUTE(SUBSTITUTE(TRIM($P561),"-",""),".",""),"/",""),5,2)),VALUE(RIGHT(SUBSTITUTE(SUBSTITUTE(SUBSTITUTE(TRIM($P561),"-",""),".",""),"/",""),2))),DATEVALUE($P561))),""))</f>
        <v/>
      </c>
      <c r="Y561" s="56" t="str">
        <f aca="false">IF($M561="","",IFERROR(INDEX(강사DB!$D$4:$D$53,MATCH($M561,강사DB!$A$4:$A$53,0)),""))</f>
        <v/>
      </c>
      <c r="Z561" s="56" t="str">
        <f aca="false">IF($B561&lt;&gt;"결제완료","",IF(OR($Y561="",$J561=""),"",$Y561*$J561+MAX(0,N($K561)-1)*설정!$J$7))</f>
        <v/>
      </c>
      <c r="AA561" s="56" t="str">
        <f aca="false">IF(AND($D561&lt;&gt;"",$B561="결제완료"),N($N561),"")</f>
        <v/>
      </c>
      <c r="AB561" s="45" t="str">
        <f aca="false">IF($D561="","",IF($F561&lt;&gt;"",$F561,$D561)&amp;IF($B561="상담중"," (상담)",""))</f>
        <v/>
      </c>
      <c r="AC561" s="45" t="n">
        <f aca="false">IF(AND($D561&lt;&gt;"",OR($B561="결제완료",$B561="상담중")),1,0)</f>
        <v>0</v>
      </c>
      <c r="AD561" s="45" t="n">
        <f aca="false">IF(OR($Z561="",$U561=""),0,IFERROR(IF(COUNTIFS(INDEX(g_grid,0,2*MATCH($M561,강사DB!$A$4:$A$15,0)),"&lt;&gt;",g_s,"&lt;="&amp;$U561,g_e,"&gt;="&amp;$U561)&gt;0,1,0),0))</f>
        <v>0</v>
      </c>
      <c r="AE561" s="48"/>
      <c r="AF561" s="56" t="str">
        <f aca="false">IF(AND($D561&lt;&gt;"",$B561="결제완료",$T561="대여"),설정!$J$5,"")</f>
        <v/>
      </c>
      <c r="AG561" s="54" t="str">
        <f aca="false">IF($D561="","",IF(AND($E561="",$R561=""),$AB561,"☎ "&amp;IF($E561="","-",$E561)&amp;IF($R561&lt;&gt;"","  ※ "&amp;$R561,"")&amp;IF($B561="상담중"," (상담)","")))</f>
        <v/>
      </c>
      <c r="AH561" s="56" t="str">
        <f aca="false">IF(AND($D561&lt;&gt;"",$B561="결제완료",$O561="스마트스토어"),ROUND(N($N561)*설정!$J$6,0),"")</f>
        <v/>
      </c>
      <c r="AI561" s="54" t="str">
        <f aca="false">IF($D561="","",ROW())</f>
        <v/>
      </c>
      <c r="AJ561" s="54" t="n">
        <f aca="false">IF(OR($AC561&lt;&gt;1,$M561=""),0,IF(ISNUMBER(SEARCH("퇴사",IFERROR(INDEX(강사DB!$G$4:$G$53,MATCH($M561,강사DB!$A$4:$A$53,0)),""))),1,0))</f>
        <v>0</v>
      </c>
    </row>
    <row r="562" customFormat="false" ht="15" hidden="false" customHeight="false" outlineLevel="0" collapsed="false">
      <c r="A562" s="45" t="str">
        <f aca="false">IF($D562="","",COUNTA($D$5:$D562))</f>
        <v/>
      </c>
      <c r="B562" s="46"/>
      <c r="C562" s="47"/>
      <c r="D562" s="48"/>
      <c r="E562" s="48"/>
      <c r="F562" s="49"/>
      <c r="G562" s="47"/>
      <c r="H562" s="50"/>
      <c r="I562" s="50"/>
      <c r="J562" s="51" t="str">
        <f aca="false">IF(OR($V562="",$W562=""),"",ROUND(($W562-$V562)/60,2))</f>
        <v/>
      </c>
      <c r="K562" s="52" t="str">
        <f aca="false">IF($F562="","",LEN($F562)-LEN(SUBSTITUTE($F562,",",""))+1)</f>
        <v/>
      </c>
      <c r="L562" s="45" t="str">
        <f aca="false">IF($K562="","","1:"&amp;$K562)</f>
        <v/>
      </c>
      <c r="M562" s="46"/>
      <c r="N562" s="53"/>
      <c r="O562" s="46"/>
      <c r="P562" s="47"/>
      <c r="Q562" s="48"/>
      <c r="R562" s="49"/>
      <c r="S562" s="54" t="str">
        <f aca="false">IF(OR($AC562=0,$U562="",$M562="",$V562="",$W562=""),"",IF(COUNTIFS(m_teacher,$M562,m_date,$U562,m_active,1,m_start,"&lt;"&amp;$W562,m_end,"&gt;"&amp;$V562)&gt;1,"충돌",""))</f>
        <v/>
      </c>
      <c r="T562" s="48"/>
      <c r="U562" s="55" t="str">
        <f aca="false">IF($G562="","",IFERROR(IF(ISNUMBER($G562),IF($G562&gt;19000000,DATE(INT($G562/10000),MOD(INT($G562/100),100),MOD($G562,100)),INT($G562)),IF(LEN(SUBSTITUTE(SUBSTITUTE(SUBSTITUTE(TRIM($G562),"-",""),".",""),"/",""))=8,DATE(VALUE(LEFT(SUBSTITUTE(SUBSTITUTE(SUBSTITUTE(TRIM($G562),"-",""),".",""),"/",""),4)),VALUE(MID(SUBSTITUTE(SUBSTITUTE(SUBSTITUTE(TRIM($G562),"-",""),".",""),"/",""),5,2)),VALUE(RIGHT(SUBSTITUTE(SUBSTITUTE(SUBSTITUTE(TRIM($G562),"-",""),".",""),"/",""),2))),DATEVALUE($G562))),""))</f>
        <v/>
      </c>
      <c r="V562" s="52" t="str">
        <f aca="false">IF($H562="","",IFERROR(IF(IF(ISNUMBER($H562),$H562,IFERROR(TIMEVALUE($H562),VALUE($H562)))&gt;=100,INT(IF(ISNUMBER($H562),$H562,IFERROR(TIMEVALUE($H562),VALUE($H562)))/100)*60+MOD(IF(ISNUMBER($H562),$H562,IFERROR(TIMEVALUE($H562),VALUE($H562))),100),IF(IF(ISNUMBER($H562),$H562,IFERROR(TIMEVALUE($H562),VALUE($H562)))&gt;=1,ROUND(IF(ISNUMBER($H562),$H562,IFERROR(TIMEVALUE($H562),VALUE($H562)))*60,0),ROUND(MOD(IF(ISNUMBER($H562),$H562,IFERROR(TIMEVALUE($H562),VALUE($H562))),1)*1440,0))),""))</f>
        <v/>
      </c>
      <c r="W562" s="52" t="str">
        <f aca="false">IF($I562="","",IFERROR(IF(IF(ISNUMBER($I562),$I562,IFERROR(TIMEVALUE($I562),VALUE($I562)))&gt;=100,INT(IF(ISNUMBER($I562),$I562,IFERROR(TIMEVALUE($I562),VALUE($I562)))/100)*60+MOD(IF(ISNUMBER($I562),$I562,IFERROR(TIMEVALUE($I562),VALUE($I562))),100),IF(IF(ISNUMBER($I562),$I562,IFERROR(TIMEVALUE($I562),VALUE($I562)))&gt;=1,ROUND(IF(ISNUMBER($I562),$I562,IFERROR(TIMEVALUE($I562),VALUE($I562)))*60,0),ROUND(MOD(IF(ISNUMBER($I562),$I562,IFERROR(TIMEVALUE($I562),VALUE($I562))),1)*1440,0))),""))</f>
        <v/>
      </c>
      <c r="X562" s="55" t="str">
        <f aca="false">IF($P562="","",IFERROR(IF(ISNUMBER($P562),IF($P562&gt;19000000,DATE(INT($P562/10000),MOD(INT($P562/100),100),MOD($P562,100)),INT($P562)),IF(LEN(SUBSTITUTE(SUBSTITUTE(SUBSTITUTE(TRIM($P562),"-",""),".",""),"/",""))=8,DATE(VALUE(LEFT(SUBSTITUTE(SUBSTITUTE(SUBSTITUTE(TRIM($P562),"-",""),".",""),"/",""),4)),VALUE(MID(SUBSTITUTE(SUBSTITUTE(SUBSTITUTE(TRIM($P562),"-",""),".",""),"/",""),5,2)),VALUE(RIGHT(SUBSTITUTE(SUBSTITUTE(SUBSTITUTE(TRIM($P562),"-",""),".",""),"/",""),2))),DATEVALUE($P562))),""))</f>
        <v/>
      </c>
      <c r="Y562" s="56" t="str">
        <f aca="false">IF($M562="","",IFERROR(INDEX(강사DB!$D$4:$D$53,MATCH($M562,강사DB!$A$4:$A$53,0)),""))</f>
        <v/>
      </c>
      <c r="Z562" s="56" t="str">
        <f aca="false">IF($B562&lt;&gt;"결제완료","",IF(OR($Y562="",$J562=""),"",$Y562*$J562+MAX(0,N($K562)-1)*설정!$J$7))</f>
        <v/>
      </c>
      <c r="AA562" s="56" t="str">
        <f aca="false">IF(AND($D562&lt;&gt;"",$B562="결제완료"),N($N562),"")</f>
        <v/>
      </c>
      <c r="AB562" s="45" t="str">
        <f aca="false">IF($D562="","",IF($F562&lt;&gt;"",$F562,$D562)&amp;IF($B562="상담중"," (상담)",""))</f>
        <v/>
      </c>
      <c r="AC562" s="45" t="n">
        <f aca="false">IF(AND($D562&lt;&gt;"",OR($B562="결제완료",$B562="상담중")),1,0)</f>
        <v>0</v>
      </c>
      <c r="AD562" s="45" t="n">
        <f aca="false">IF(OR($Z562="",$U562=""),0,IFERROR(IF(COUNTIFS(INDEX(g_grid,0,2*MATCH($M562,강사DB!$A$4:$A$15,0)),"&lt;&gt;",g_s,"&lt;="&amp;$U562,g_e,"&gt;="&amp;$U562)&gt;0,1,0),0))</f>
        <v>0</v>
      </c>
      <c r="AE562" s="48"/>
      <c r="AF562" s="56" t="str">
        <f aca="false">IF(AND($D562&lt;&gt;"",$B562="결제완료",$T562="대여"),설정!$J$5,"")</f>
        <v/>
      </c>
      <c r="AG562" s="54" t="str">
        <f aca="false">IF($D562="","",IF(AND($E562="",$R562=""),$AB562,"☎ "&amp;IF($E562="","-",$E562)&amp;IF($R562&lt;&gt;"","  ※ "&amp;$R562,"")&amp;IF($B562="상담중"," (상담)","")))</f>
        <v/>
      </c>
      <c r="AH562" s="56" t="str">
        <f aca="false">IF(AND($D562&lt;&gt;"",$B562="결제완료",$O562="스마트스토어"),ROUND(N($N562)*설정!$J$6,0),"")</f>
        <v/>
      </c>
      <c r="AI562" s="54" t="str">
        <f aca="false">IF($D562="","",ROW())</f>
        <v/>
      </c>
      <c r="AJ562" s="54" t="n">
        <f aca="false">IF(OR($AC562&lt;&gt;1,$M562=""),0,IF(ISNUMBER(SEARCH("퇴사",IFERROR(INDEX(강사DB!$G$4:$G$53,MATCH($M562,강사DB!$A$4:$A$53,0)),""))),1,0))</f>
        <v>0</v>
      </c>
    </row>
    <row r="563" customFormat="false" ht="15" hidden="false" customHeight="false" outlineLevel="0" collapsed="false">
      <c r="A563" s="45" t="str">
        <f aca="false">IF($D563="","",COUNTA($D$5:$D563))</f>
        <v/>
      </c>
      <c r="B563" s="46"/>
      <c r="C563" s="47"/>
      <c r="D563" s="48"/>
      <c r="E563" s="48"/>
      <c r="F563" s="49"/>
      <c r="G563" s="47"/>
      <c r="H563" s="50"/>
      <c r="I563" s="50"/>
      <c r="J563" s="51" t="str">
        <f aca="false">IF(OR($V563="",$W563=""),"",ROUND(($W563-$V563)/60,2))</f>
        <v/>
      </c>
      <c r="K563" s="52" t="str">
        <f aca="false">IF($F563="","",LEN($F563)-LEN(SUBSTITUTE($F563,",",""))+1)</f>
        <v/>
      </c>
      <c r="L563" s="45" t="str">
        <f aca="false">IF($K563="","","1:"&amp;$K563)</f>
        <v/>
      </c>
      <c r="M563" s="46"/>
      <c r="N563" s="53"/>
      <c r="O563" s="46"/>
      <c r="P563" s="47"/>
      <c r="Q563" s="48"/>
      <c r="R563" s="49"/>
      <c r="S563" s="54" t="str">
        <f aca="false">IF(OR($AC563=0,$U563="",$M563="",$V563="",$W563=""),"",IF(COUNTIFS(m_teacher,$M563,m_date,$U563,m_active,1,m_start,"&lt;"&amp;$W563,m_end,"&gt;"&amp;$V563)&gt;1,"충돌",""))</f>
        <v/>
      </c>
      <c r="T563" s="48"/>
      <c r="U563" s="55" t="str">
        <f aca="false">IF($G563="","",IFERROR(IF(ISNUMBER($G563),IF($G563&gt;19000000,DATE(INT($G563/10000),MOD(INT($G563/100),100),MOD($G563,100)),INT($G563)),IF(LEN(SUBSTITUTE(SUBSTITUTE(SUBSTITUTE(TRIM($G563),"-",""),".",""),"/",""))=8,DATE(VALUE(LEFT(SUBSTITUTE(SUBSTITUTE(SUBSTITUTE(TRIM($G563),"-",""),".",""),"/",""),4)),VALUE(MID(SUBSTITUTE(SUBSTITUTE(SUBSTITUTE(TRIM($G563),"-",""),".",""),"/",""),5,2)),VALUE(RIGHT(SUBSTITUTE(SUBSTITUTE(SUBSTITUTE(TRIM($G563),"-",""),".",""),"/",""),2))),DATEVALUE($G563))),""))</f>
        <v/>
      </c>
      <c r="V563" s="52" t="str">
        <f aca="false">IF($H563="","",IFERROR(IF(IF(ISNUMBER($H563),$H563,IFERROR(TIMEVALUE($H563),VALUE($H563)))&gt;=100,INT(IF(ISNUMBER($H563),$H563,IFERROR(TIMEVALUE($H563),VALUE($H563)))/100)*60+MOD(IF(ISNUMBER($H563),$H563,IFERROR(TIMEVALUE($H563),VALUE($H563))),100),IF(IF(ISNUMBER($H563),$H563,IFERROR(TIMEVALUE($H563),VALUE($H563)))&gt;=1,ROUND(IF(ISNUMBER($H563),$H563,IFERROR(TIMEVALUE($H563),VALUE($H563)))*60,0),ROUND(MOD(IF(ISNUMBER($H563),$H563,IFERROR(TIMEVALUE($H563),VALUE($H563))),1)*1440,0))),""))</f>
        <v/>
      </c>
      <c r="W563" s="52" t="str">
        <f aca="false">IF($I563="","",IFERROR(IF(IF(ISNUMBER($I563),$I563,IFERROR(TIMEVALUE($I563),VALUE($I563)))&gt;=100,INT(IF(ISNUMBER($I563),$I563,IFERROR(TIMEVALUE($I563),VALUE($I563)))/100)*60+MOD(IF(ISNUMBER($I563),$I563,IFERROR(TIMEVALUE($I563),VALUE($I563))),100),IF(IF(ISNUMBER($I563),$I563,IFERROR(TIMEVALUE($I563),VALUE($I563)))&gt;=1,ROUND(IF(ISNUMBER($I563),$I563,IFERROR(TIMEVALUE($I563),VALUE($I563)))*60,0),ROUND(MOD(IF(ISNUMBER($I563),$I563,IFERROR(TIMEVALUE($I563),VALUE($I563))),1)*1440,0))),""))</f>
        <v/>
      </c>
      <c r="X563" s="55" t="str">
        <f aca="false">IF($P563="","",IFERROR(IF(ISNUMBER($P563),IF($P563&gt;19000000,DATE(INT($P563/10000),MOD(INT($P563/100),100),MOD($P563,100)),INT($P563)),IF(LEN(SUBSTITUTE(SUBSTITUTE(SUBSTITUTE(TRIM($P563),"-",""),".",""),"/",""))=8,DATE(VALUE(LEFT(SUBSTITUTE(SUBSTITUTE(SUBSTITUTE(TRIM($P563),"-",""),".",""),"/",""),4)),VALUE(MID(SUBSTITUTE(SUBSTITUTE(SUBSTITUTE(TRIM($P563),"-",""),".",""),"/",""),5,2)),VALUE(RIGHT(SUBSTITUTE(SUBSTITUTE(SUBSTITUTE(TRIM($P563),"-",""),".",""),"/",""),2))),DATEVALUE($P563))),""))</f>
        <v/>
      </c>
      <c r="Y563" s="56" t="str">
        <f aca="false">IF($M563="","",IFERROR(INDEX(강사DB!$D$4:$D$53,MATCH($M563,강사DB!$A$4:$A$53,0)),""))</f>
        <v/>
      </c>
      <c r="Z563" s="56" t="str">
        <f aca="false">IF($B563&lt;&gt;"결제완료","",IF(OR($Y563="",$J563=""),"",$Y563*$J563+MAX(0,N($K563)-1)*설정!$J$7))</f>
        <v/>
      </c>
      <c r="AA563" s="56" t="str">
        <f aca="false">IF(AND($D563&lt;&gt;"",$B563="결제완료"),N($N563),"")</f>
        <v/>
      </c>
      <c r="AB563" s="45" t="str">
        <f aca="false">IF($D563="","",IF($F563&lt;&gt;"",$F563,$D563)&amp;IF($B563="상담중"," (상담)",""))</f>
        <v/>
      </c>
      <c r="AC563" s="45" t="n">
        <f aca="false">IF(AND($D563&lt;&gt;"",OR($B563="결제완료",$B563="상담중")),1,0)</f>
        <v>0</v>
      </c>
      <c r="AD563" s="45" t="n">
        <f aca="false">IF(OR($Z563="",$U563=""),0,IFERROR(IF(COUNTIFS(INDEX(g_grid,0,2*MATCH($M563,강사DB!$A$4:$A$15,0)),"&lt;&gt;",g_s,"&lt;="&amp;$U563,g_e,"&gt;="&amp;$U563)&gt;0,1,0),0))</f>
        <v>0</v>
      </c>
      <c r="AE563" s="48"/>
      <c r="AF563" s="56" t="str">
        <f aca="false">IF(AND($D563&lt;&gt;"",$B563="결제완료",$T563="대여"),설정!$J$5,"")</f>
        <v/>
      </c>
      <c r="AG563" s="54" t="str">
        <f aca="false">IF($D563="","",IF(AND($E563="",$R563=""),$AB563,"☎ "&amp;IF($E563="","-",$E563)&amp;IF($R563&lt;&gt;"","  ※ "&amp;$R563,"")&amp;IF($B563="상담중"," (상담)","")))</f>
        <v/>
      </c>
      <c r="AH563" s="56" t="str">
        <f aca="false">IF(AND($D563&lt;&gt;"",$B563="결제완료",$O563="스마트스토어"),ROUND(N($N563)*설정!$J$6,0),"")</f>
        <v/>
      </c>
      <c r="AI563" s="54" t="str">
        <f aca="false">IF($D563="","",ROW())</f>
        <v/>
      </c>
      <c r="AJ563" s="54" t="n">
        <f aca="false">IF(OR($AC563&lt;&gt;1,$M563=""),0,IF(ISNUMBER(SEARCH("퇴사",IFERROR(INDEX(강사DB!$G$4:$G$53,MATCH($M563,강사DB!$A$4:$A$53,0)),""))),1,0))</f>
        <v>0</v>
      </c>
    </row>
    <row r="564" customFormat="false" ht="15" hidden="false" customHeight="false" outlineLevel="0" collapsed="false">
      <c r="A564" s="45" t="str">
        <f aca="false">IF($D564="","",COUNTA($D$5:$D564))</f>
        <v/>
      </c>
      <c r="B564" s="46"/>
      <c r="C564" s="47"/>
      <c r="D564" s="48"/>
      <c r="E564" s="48"/>
      <c r="F564" s="49"/>
      <c r="G564" s="47"/>
      <c r="H564" s="50"/>
      <c r="I564" s="50"/>
      <c r="J564" s="51" t="str">
        <f aca="false">IF(OR($V564="",$W564=""),"",ROUND(($W564-$V564)/60,2))</f>
        <v/>
      </c>
      <c r="K564" s="52" t="str">
        <f aca="false">IF($F564="","",LEN($F564)-LEN(SUBSTITUTE($F564,",",""))+1)</f>
        <v/>
      </c>
      <c r="L564" s="45" t="str">
        <f aca="false">IF($K564="","","1:"&amp;$K564)</f>
        <v/>
      </c>
      <c r="M564" s="46"/>
      <c r="N564" s="53"/>
      <c r="O564" s="46"/>
      <c r="P564" s="47"/>
      <c r="Q564" s="48"/>
      <c r="R564" s="49"/>
      <c r="S564" s="54" t="str">
        <f aca="false">IF(OR($AC564=0,$U564="",$M564="",$V564="",$W564=""),"",IF(COUNTIFS(m_teacher,$M564,m_date,$U564,m_active,1,m_start,"&lt;"&amp;$W564,m_end,"&gt;"&amp;$V564)&gt;1,"충돌",""))</f>
        <v/>
      </c>
      <c r="T564" s="48"/>
      <c r="U564" s="55" t="str">
        <f aca="false">IF($G564="","",IFERROR(IF(ISNUMBER($G564),IF($G564&gt;19000000,DATE(INT($G564/10000),MOD(INT($G564/100),100),MOD($G564,100)),INT($G564)),IF(LEN(SUBSTITUTE(SUBSTITUTE(SUBSTITUTE(TRIM($G564),"-",""),".",""),"/",""))=8,DATE(VALUE(LEFT(SUBSTITUTE(SUBSTITUTE(SUBSTITUTE(TRIM($G564),"-",""),".",""),"/",""),4)),VALUE(MID(SUBSTITUTE(SUBSTITUTE(SUBSTITUTE(TRIM($G564),"-",""),".",""),"/",""),5,2)),VALUE(RIGHT(SUBSTITUTE(SUBSTITUTE(SUBSTITUTE(TRIM($G564),"-",""),".",""),"/",""),2))),DATEVALUE($G564))),""))</f>
        <v/>
      </c>
      <c r="V564" s="52" t="str">
        <f aca="false">IF($H564="","",IFERROR(IF(IF(ISNUMBER($H564),$H564,IFERROR(TIMEVALUE($H564),VALUE($H564)))&gt;=100,INT(IF(ISNUMBER($H564),$H564,IFERROR(TIMEVALUE($H564),VALUE($H564)))/100)*60+MOD(IF(ISNUMBER($H564),$H564,IFERROR(TIMEVALUE($H564),VALUE($H564))),100),IF(IF(ISNUMBER($H564),$H564,IFERROR(TIMEVALUE($H564),VALUE($H564)))&gt;=1,ROUND(IF(ISNUMBER($H564),$H564,IFERROR(TIMEVALUE($H564),VALUE($H564)))*60,0),ROUND(MOD(IF(ISNUMBER($H564),$H564,IFERROR(TIMEVALUE($H564),VALUE($H564))),1)*1440,0))),""))</f>
        <v/>
      </c>
      <c r="W564" s="52" t="str">
        <f aca="false">IF($I564="","",IFERROR(IF(IF(ISNUMBER($I564),$I564,IFERROR(TIMEVALUE($I564),VALUE($I564)))&gt;=100,INT(IF(ISNUMBER($I564),$I564,IFERROR(TIMEVALUE($I564),VALUE($I564)))/100)*60+MOD(IF(ISNUMBER($I564),$I564,IFERROR(TIMEVALUE($I564),VALUE($I564))),100),IF(IF(ISNUMBER($I564),$I564,IFERROR(TIMEVALUE($I564),VALUE($I564)))&gt;=1,ROUND(IF(ISNUMBER($I564),$I564,IFERROR(TIMEVALUE($I564),VALUE($I564)))*60,0),ROUND(MOD(IF(ISNUMBER($I564),$I564,IFERROR(TIMEVALUE($I564),VALUE($I564))),1)*1440,0))),""))</f>
        <v/>
      </c>
      <c r="X564" s="55" t="str">
        <f aca="false">IF($P564="","",IFERROR(IF(ISNUMBER($P564),IF($P564&gt;19000000,DATE(INT($P564/10000),MOD(INT($P564/100),100),MOD($P564,100)),INT($P564)),IF(LEN(SUBSTITUTE(SUBSTITUTE(SUBSTITUTE(TRIM($P564),"-",""),".",""),"/",""))=8,DATE(VALUE(LEFT(SUBSTITUTE(SUBSTITUTE(SUBSTITUTE(TRIM($P564),"-",""),".",""),"/",""),4)),VALUE(MID(SUBSTITUTE(SUBSTITUTE(SUBSTITUTE(TRIM($P564),"-",""),".",""),"/",""),5,2)),VALUE(RIGHT(SUBSTITUTE(SUBSTITUTE(SUBSTITUTE(TRIM($P564),"-",""),".",""),"/",""),2))),DATEVALUE($P564))),""))</f>
        <v/>
      </c>
      <c r="Y564" s="56" t="str">
        <f aca="false">IF($M564="","",IFERROR(INDEX(강사DB!$D$4:$D$53,MATCH($M564,강사DB!$A$4:$A$53,0)),""))</f>
        <v/>
      </c>
      <c r="Z564" s="56" t="str">
        <f aca="false">IF($B564&lt;&gt;"결제완료","",IF(OR($Y564="",$J564=""),"",$Y564*$J564+MAX(0,N($K564)-1)*설정!$J$7))</f>
        <v/>
      </c>
      <c r="AA564" s="56" t="str">
        <f aca="false">IF(AND($D564&lt;&gt;"",$B564="결제완료"),N($N564),"")</f>
        <v/>
      </c>
      <c r="AB564" s="45" t="str">
        <f aca="false">IF($D564="","",IF($F564&lt;&gt;"",$F564,$D564)&amp;IF($B564="상담중"," (상담)",""))</f>
        <v/>
      </c>
      <c r="AC564" s="45" t="n">
        <f aca="false">IF(AND($D564&lt;&gt;"",OR($B564="결제완료",$B564="상담중")),1,0)</f>
        <v>0</v>
      </c>
      <c r="AD564" s="45" t="n">
        <f aca="false">IF(OR($Z564="",$U564=""),0,IFERROR(IF(COUNTIFS(INDEX(g_grid,0,2*MATCH($M564,강사DB!$A$4:$A$15,0)),"&lt;&gt;",g_s,"&lt;="&amp;$U564,g_e,"&gt;="&amp;$U564)&gt;0,1,0),0))</f>
        <v>0</v>
      </c>
      <c r="AE564" s="48"/>
      <c r="AF564" s="56" t="str">
        <f aca="false">IF(AND($D564&lt;&gt;"",$B564="결제완료",$T564="대여"),설정!$J$5,"")</f>
        <v/>
      </c>
      <c r="AG564" s="54" t="str">
        <f aca="false">IF($D564="","",IF(AND($E564="",$R564=""),$AB564,"☎ "&amp;IF($E564="","-",$E564)&amp;IF($R564&lt;&gt;"","  ※ "&amp;$R564,"")&amp;IF($B564="상담중"," (상담)","")))</f>
        <v/>
      </c>
      <c r="AH564" s="56" t="str">
        <f aca="false">IF(AND($D564&lt;&gt;"",$B564="결제완료",$O564="스마트스토어"),ROUND(N($N564)*설정!$J$6,0),"")</f>
        <v/>
      </c>
      <c r="AI564" s="54" t="str">
        <f aca="false">IF($D564="","",ROW())</f>
        <v/>
      </c>
      <c r="AJ564" s="54" t="n">
        <f aca="false">IF(OR($AC564&lt;&gt;1,$M564=""),0,IF(ISNUMBER(SEARCH("퇴사",IFERROR(INDEX(강사DB!$G$4:$G$53,MATCH($M564,강사DB!$A$4:$A$53,0)),""))),1,0))</f>
        <v>0</v>
      </c>
    </row>
    <row r="565" customFormat="false" ht="15" hidden="false" customHeight="false" outlineLevel="0" collapsed="false">
      <c r="A565" s="45" t="str">
        <f aca="false">IF($D565="","",COUNTA($D$5:$D565))</f>
        <v/>
      </c>
      <c r="B565" s="46"/>
      <c r="C565" s="47"/>
      <c r="D565" s="48"/>
      <c r="E565" s="48"/>
      <c r="F565" s="49"/>
      <c r="G565" s="47"/>
      <c r="H565" s="50"/>
      <c r="I565" s="50"/>
      <c r="J565" s="51" t="str">
        <f aca="false">IF(OR($V565="",$W565=""),"",ROUND(($W565-$V565)/60,2))</f>
        <v/>
      </c>
      <c r="K565" s="52" t="str">
        <f aca="false">IF($F565="","",LEN($F565)-LEN(SUBSTITUTE($F565,",",""))+1)</f>
        <v/>
      </c>
      <c r="L565" s="45" t="str">
        <f aca="false">IF($K565="","","1:"&amp;$K565)</f>
        <v/>
      </c>
      <c r="M565" s="46"/>
      <c r="N565" s="53"/>
      <c r="O565" s="46"/>
      <c r="P565" s="47"/>
      <c r="Q565" s="48"/>
      <c r="R565" s="49"/>
      <c r="S565" s="54" t="str">
        <f aca="false">IF(OR($AC565=0,$U565="",$M565="",$V565="",$W565=""),"",IF(COUNTIFS(m_teacher,$M565,m_date,$U565,m_active,1,m_start,"&lt;"&amp;$W565,m_end,"&gt;"&amp;$V565)&gt;1,"충돌",""))</f>
        <v/>
      </c>
      <c r="T565" s="48"/>
      <c r="U565" s="55" t="str">
        <f aca="false">IF($G565="","",IFERROR(IF(ISNUMBER($G565),IF($G565&gt;19000000,DATE(INT($G565/10000),MOD(INT($G565/100),100),MOD($G565,100)),INT($G565)),IF(LEN(SUBSTITUTE(SUBSTITUTE(SUBSTITUTE(TRIM($G565),"-",""),".",""),"/",""))=8,DATE(VALUE(LEFT(SUBSTITUTE(SUBSTITUTE(SUBSTITUTE(TRIM($G565),"-",""),".",""),"/",""),4)),VALUE(MID(SUBSTITUTE(SUBSTITUTE(SUBSTITUTE(TRIM($G565),"-",""),".",""),"/",""),5,2)),VALUE(RIGHT(SUBSTITUTE(SUBSTITUTE(SUBSTITUTE(TRIM($G565),"-",""),".",""),"/",""),2))),DATEVALUE($G565))),""))</f>
        <v/>
      </c>
      <c r="V565" s="52" t="str">
        <f aca="false">IF($H565="","",IFERROR(IF(IF(ISNUMBER($H565),$H565,IFERROR(TIMEVALUE($H565),VALUE($H565)))&gt;=100,INT(IF(ISNUMBER($H565),$H565,IFERROR(TIMEVALUE($H565),VALUE($H565)))/100)*60+MOD(IF(ISNUMBER($H565),$H565,IFERROR(TIMEVALUE($H565),VALUE($H565))),100),IF(IF(ISNUMBER($H565),$H565,IFERROR(TIMEVALUE($H565),VALUE($H565)))&gt;=1,ROUND(IF(ISNUMBER($H565),$H565,IFERROR(TIMEVALUE($H565),VALUE($H565)))*60,0),ROUND(MOD(IF(ISNUMBER($H565),$H565,IFERROR(TIMEVALUE($H565),VALUE($H565))),1)*1440,0))),""))</f>
        <v/>
      </c>
      <c r="W565" s="52" t="str">
        <f aca="false">IF($I565="","",IFERROR(IF(IF(ISNUMBER($I565),$I565,IFERROR(TIMEVALUE($I565),VALUE($I565)))&gt;=100,INT(IF(ISNUMBER($I565),$I565,IFERROR(TIMEVALUE($I565),VALUE($I565)))/100)*60+MOD(IF(ISNUMBER($I565),$I565,IFERROR(TIMEVALUE($I565),VALUE($I565))),100),IF(IF(ISNUMBER($I565),$I565,IFERROR(TIMEVALUE($I565),VALUE($I565)))&gt;=1,ROUND(IF(ISNUMBER($I565),$I565,IFERROR(TIMEVALUE($I565),VALUE($I565)))*60,0),ROUND(MOD(IF(ISNUMBER($I565),$I565,IFERROR(TIMEVALUE($I565),VALUE($I565))),1)*1440,0))),""))</f>
        <v/>
      </c>
      <c r="X565" s="55" t="str">
        <f aca="false">IF($P565="","",IFERROR(IF(ISNUMBER($P565),IF($P565&gt;19000000,DATE(INT($P565/10000),MOD(INT($P565/100),100),MOD($P565,100)),INT($P565)),IF(LEN(SUBSTITUTE(SUBSTITUTE(SUBSTITUTE(TRIM($P565),"-",""),".",""),"/",""))=8,DATE(VALUE(LEFT(SUBSTITUTE(SUBSTITUTE(SUBSTITUTE(TRIM($P565),"-",""),".",""),"/",""),4)),VALUE(MID(SUBSTITUTE(SUBSTITUTE(SUBSTITUTE(TRIM($P565),"-",""),".",""),"/",""),5,2)),VALUE(RIGHT(SUBSTITUTE(SUBSTITUTE(SUBSTITUTE(TRIM($P565),"-",""),".",""),"/",""),2))),DATEVALUE($P565))),""))</f>
        <v/>
      </c>
      <c r="Y565" s="56" t="str">
        <f aca="false">IF($M565="","",IFERROR(INDEX(강사DB!$D$4:$D$53,MATCH($M565,강사DB!$A$4:$A$53,0)),""))</f>
        <v/>
      </c>
      <c r="Z565" s="56" t="str">
        <f aca="false">IF($B565&lt;&gt;"결제완료","",IF(OR($Y565="",$J565=""),"",$Y565*$J565+MAX(0,N($K565)-1)*설정!$J$7))</f>
        <v/>
      </c>
      <c r="AA565" s="56" t="str">
        <f aca="false">IF(AND($D565&lt;&gt;"",$B565="결제완료"),N($N565),"")</f>
        <v/>
      </c>
      <c r="AB565" s="45" t="str">
        <f aca="false">IF($D565="","",IF($F565&lt;&gt;"",$F565,$D565)&amp;IF($B565="상담중"," (상담)",""))</f>
        <v/>
      </c>
      <c r="AC565" s="45" t="n">
        <f aca="false">IF(AND($D565&lt;&gt;"",OR($B565="결제완료",$B565="상담중")),1,0)</f>
        <v>0</v>
      </c>
      <c r="AD565" s="45" t="n">
        <f aca="false">IF(OR($Z565="",$U565=""),0,IFERROR(IF(COUNTIFS(INDEX(g_grid,0,2*MATCH($M565,강사DB!$A$4:$A$15,0)),"&lt;&gt;",g_s,"&lt;="&amp;$U565,g_e,"&gt;="&amp;$U565)&gt;0,1,0),0))</f>
        <v>0</v>
      </c>
      <c r="AE565" s="48"/>
      <c r="AF565" s="56" t="str">
        <f aca="false">IF(AND($D565&lt;&gt;"",$B565="결제완료",$T565="대여"),설정!$J$5,"")</f>
        <v/>
      </c>
      <c r="AG565" s="54" t="str">
        <f aca="false">IF($D565="","",IF(AND($E565="",$R565=""),$AB565,"☎ "&amp;IF($E565="","-",$E565)&amp;IF($R565&lt;&gt;"","  ※ "&amp;$R565,"")&amp;IF($B565="상담중"," (상담)","")))</f>
        <v/>
      </c>
      <c r="AH565" s="56" t="str">
        <f aca="false">IF(AND($D565&lt;&gt;"",$B565="결제완료",$O565="스마트스토어"),ROUND(N($N565)*설정!$J$6,0),"")</f>
        <v/>
      </c>
      <c r="AI565" s="54" t="str">
        <f aca="false">IF($D565="","",ROW())</f>
        <v/>
      </c>
      <c r="AJ565" s="54" t="n">
        <f aca="false">IF(OR($AC565&lt;&gt;1,$M565=""),0,IF(ISNUMBER(SEARCH("퇴사",IFERROR(INDEX(강사DB!$G$4:$G$53,MATCH($M565,강사DB!$A$4:$A$53,0)),""))),1,0))</f>
        <v>0</v>
      </c>
    </row>
    <row r="566" customFormat="false" ht="15" hidden="false" customHeight="false" outlineLevel="0" collapsed="false">
      <c r="A566" s="45" t="str">
        <f aca="false">IF($D566="","",COUNTA($D$5:$D566))</f>
        <v/>
      </c>
      <c r="B566" s="46"/>
      <c r="C566" s="47"/>
      <c r="D566" s="48"/>
      <c r="E566" s="48"/>
      <c r="F566" s="49"/>
      <c r="G566" s="47"/>
      <c r="H566" s="50"/>
      <c r="I566" s="50"/>
      <c r="J566" s="51" t="str">
        <f aca="false">IF(OR($V566="",$W566=""),"",ROUND(($W566-$V566)/60,2))</f>
        <v/>
      </c>
      <c r="K566" s="52" t="str">
        <f aca="false">IF($F566="","",LEN($F566)-LEN(SUBSTITUTE($F566,",",""))+1)</f>
        <v/>
      </c>
      <c r="L566" s="45" t="str">
        <f aca="false">IF($K566="","","1:"&amp;$K566)</f>
        <v/>
      </c>
      <c r="M566" s="46"/>
      <c r="N566" s="53"/>
      <c r="O566" s="46"/>
      <c r="P566" s="47"/>
      <c r="Q566" s="48"/>
      <c r="R566" s="49"/>
      <c r="S566" s="54" t="str">
        <f aca="false">IF(OR($AC566=0,$U566="",$M566="",$V566="",$W566=""),"",IF(COUNTIFS(m_teacher,$M566,m_date,$U566,m_active,1,m_start,"&lt;"&amp;$W566,m_end,"&gt;"&amp;$V566)&gt;1,"충돌",""))</f>
        <v/>
      </c>
      <c r="T566" s="48"/>
      <c r="U566" s="55" t="str">
        <f aca="false">IF($G566="","",IFERROR(IF(ISNUMBER($G566),IF($G566&gt;19000000,DATE(INT($G566/10000),MOD(INT($G566/100),100),MOD($G566,100)),INT($G566)),IF(LEN(SUBSTITUTE(SUBSTITUTE(SUBSTITUTE(TRIM($G566),"-",""),".",""),"/",""))=8,DATE(VALUE(LEFT(SUBSTITUTE(SUBSTITUTE(SUBSTITUTE(TRIM($G566),"-",""),".",""),"/",""),4)),VALUE(MID(SUBSTITUTE(SUBSTITUTE(SUBSTITUTE(TRIM($G566),"-",""),".",""),"/",""),5,2)),VALUE(RIGHT(SUBSTITUTE(SUBSTITUTE(SUBSTITUTE(TRIM($G566),"-",""),".",""),"/",""),2))),DATEVALUE($G566))),""))</f>
        <v/>
      </c>
      <c r="V566" s="52" t="str">
        <f aca="false">IF($H566="","",IFERROR(IF(IF(ISNUMBER($H566),$H566,IFERROR(TIMEVALUE($H566),VALUE($H566)))&gt;=100,INT(IF(ISNUMBER($H566),$H566,IFERROR(TIMEVALUE($H566),VALUE($H566)))/100)*60+MOD(IF(ISNUMBER($H566),$H566,IFERROR(TIMEVALUE($H566),VALUE($H566))),100),IF(IF(ISNUMBER($H566),$H566,IFERROR(TIMEVALUE($H566),VALUE($H566)))&gt;=1,ROUND(IF(ISNUMBER($H566),$H566,IFERROR(TIMEVALUE($H566),VALUE($H566)))*60,0),ROUND(MOD(IF(ISNUMBER($H566),$H566,IFERROR(TIMEVALUE($H566),VALUE($H566))),1)*1440,0))),""))</f>
        <v/>
      </c>
      <c r="W566" s="52" t="str">
        <f aca="false">IF($I566="","",IFERROR(IF(IF(ISNUMBER($I566),$I566,IFERROR(TIMEVALUE($I566),VALUE($I566)))&gt;=100,INT(IF(ISNUMBER($I566),$I566,IFERROR(TIMEVALUE($I566),VALUE($I566)))/100)*60+MOD(IF(ISNUMBER($I566),$I566,IFERROR(TIMEVALUE($I566),VALUE($I566))),100),IF(IF(ISNUMBER($I566),$I566,IFERROR(TIMEVALUE($I566),VALUE($I566)))&gt;=1,ROUND(IF(ISNUMBER($I566),$I566,IFERROR(TIMEVALUE($I566),VALUE($I566)))*60,0),ROUND(MOD(IF(ISNUMBER($I566),$I566,IFERROR(TIMEVALUE($I566),VALUE($I566))),1)*1440,0))),""))</f>
        <v/>
      </c>
      <c r="X566" s="55" t="str">
        <f aca="false">IF($P566="","",IFERROR(IF(ISNUMBER($P566),IF($P566&gt;19000000,DATE(INT($P566/10000),MOD(INT($P566/100),100),MOD($P566,100)),INT($P566)),IF(LEN(SUBSTITUTE(SUBSTITUTE(SUBSTITUTE(TRIM($P566),"-",""),".",""),"/",""))=8,DATE(VALUE(LEFT(SUBSTITUTE(SUBSTITUTE(SUBSTITUTE(TRIM($P566),"-",""),".",""),"/",""),4)),VALUE(MID(SUBSTITUTE(SUBSTITUTE(SUBSTITUTE(TRIM($P566),"-",""),".",""),"/",""),5,2)),VALUE(RIGHT(SUBSTITUTE(SUBSTITUTE(SUBSTITUTE(TRIM($P566),"-",""),".",""),"/",""),2))),DATEVALUE($P566))),""))</f>
        <v/>
      </c>
      <c r="Y566" s="56" t="str">
        <f aca="false">IF($M566="","",IFERROR(INDEX(강사DB!$D$4:$D$53,MATCH($M566,강사DB!$A$4:$A$53,0)),""))</f>
        <v/>
      </c>
      <c r="Z566" s="56" t="str">
        <f aca="false">IF($B566&lt;&gt;"결제완료","",IF(OR($Y566="",$J566=""),"",$Y566*$J566+MAX(0,N($K566)-1)*설정!$J$7))</f>
        <v/>
      </c>
      <c r="AA566" s="56" t="str">
        <f aca="false">IF(AND($D566&lt;&gt;"",$B566="결제완료"),N($N566),"")</f>
        <v/>
      </c>
      <c r="AB566" s="45" t="str">
        <f aca="false">IF($D566="","",IF($F566&lt;&gt;"",$F566,$D566)&amp;IF($B566="상담중"," (상담)",""))</f>
        <v/>
      </c>
      <c r="AC566" s="45" t="n">
        <f aca="false">IF(AND($D566&lt;&gt;"",OR($B566="결제완료",$B566="상담중")),1,0)</f>
        <v>0</v>
      </c>
      <c r="AD566" s="45" t="n">
        <f aca="false">IF(OR($Z566="",$U566=""),0,IFERROR(IF(COUNTIFS(INDEX(g_grid,0,2*MATCH($M566,강사DB!$A$4:$A$15,0)),"&lt;&gt;",g_s,"&lt;="&amp;$U566,g_e,"&gt;="&amp;$U566)&gt;0,1,0),0))</f>
        <v>0</v>
      </c>
      <c r="AE566" s="48"/>
      <c r="AF566" s="56" t="str">
        <f aca="false">IF(AND($D566&lt;&gt;"",$B566="결제완료",$T566="대여"),설정!$J$5,"")</f>
        <v/>
      </c>
      <c r="AG566" s="54" t="str">
        <f aca="false">IF($D566="","",IF(AND($E566="",$R566=""),$AB566,"☎ "&amp;IF($E566="","-",$E566)&amp;IF($R566&lt;&gt;"","  ※ "&amp;$R566,"")&amp;IF($B566="상담중"," (상담)","")))</f>
        <v/>
      </c>
      <c r="AH566" s="56" t="str">
        <f aca="false">IF(AND($D566&lt;&gt;"",$B566="결제완료",$O566="스마트스토어"),ROUND(N($N566)*설정!$J$6,0),"")</f>
        <v/>
      </c>
      <c r="AI566" s="54" t="str">
        <f aca="false">IF($D566="","",ROW())</f>
        <v/>
      </c>
      <c r="AJ566" s="54" t="n">
        <f aca="false">IF(OR($AC566&lt;&gt;1,$M566=""),0,IF(ISNUMBER(SEARCH("퇴사",IFERROR(INDEX(강사DB!$G$4:$G$53,MATCH($M566,강사DB!$A$4:$A$53,0)),""))),1,0))</f>
        <v>0</v>
      </c>
    </row>
    <row r="567" customFormat="false" ht="15" hidden="false" customHeight="false" outlineLevel="0" collapsed="false">
      <c r="A567" s="45" t="str">
        <f aca="false">IF($D567="","",COUNTA($D$5:$D567))</f>
        <v/>
      </c>
      <c r="B567" s="46"/>
      <c r="C567" s="47"/>
      <c r="D567" s="48"/>
      <c r="E567" s="48"/>
      <c r="F567" s="49"/>
      <c r="G567" s="47"/>
      <c r="H567" s="50"/>
      <c r="I567" s="50"/>
      <c r="J567" s="51" t="str">
        <f aca="false">IF(OR($V567="",$W567=""),"",ROUND(($W567-$V567)/60,2))</f>
        <v/>
      </c>
      <c r="K567" s="52" t="str">
        <f aca="false">IF($F567="","",LEN($F567)-LEN(SUBSTITUTE($F567,",",""))+1)</f>
        <v/>
      </c>
      <c r="L567" s="45" t="str">
        <f aca="false">IF($K567="","","1:"&amp;$K567)</f>
        <v/>
      </c>
      <c r="M567" s="46"/>
      <c r="N567" s="53"/>
      <c r="O567" s="46"/>
      <c r="P567" s="47"/>
      <c r="Q567" s="48"/>
      <c r="R567" s="49"/>
      <c r="S567" s="54" t="str">
        <f aca="false">IF(OR($AC567=0,$U567="",$M567="",$V567="",$W567=""),"",IF(COUNTIFS(m_teacher,$M567,m_date,$U567,m_active,1,m_start,"&lt;"&amp;$W567,m_end,"&gt;"&amp;$V567)&gt;1,"충돌",""))</f>
        <v/>
      </c>
      <c r="T567" s="48"/>
      <c r="U567" s="55" t="str">
        <f aca="false">IF($G567="","",IFERROR(IF(ISNUMBER($G567),IF($G567&gt;19000000,DATE(INT($G567/10000),MOD(INT($G567/100),100),MOD($G567,100)),INT($G567)),IF(LEN(SUBSTITUTE(SUBSTITUTE(SUBSTITUTE(TRIM($G567),"-",""),".",""),"/",""))=8,DATE(VALUE(LEFT(SUBSTITUTE(SUBSTITUTE(SUBSTITUTE(TRIM($G567),"-",""),".",""),"/",""),4)),VALUE(MID(SUBSTITUTE(SUBSTITUTE(SUBSTITUTE(TRIM($G567),"-",""),".",""),"/",""),5,2)),VALUE(RIGHT(SUBSTITUTE(SUBSTITUTE(SUBSTITUTE(TRIM($G567),"-",""),".",""),"/",""),2))),DATEVALUE($G567))),""))</f>
        <v/>
      </c>
      <c r="V567" s="52" t="str">
        <f aca="false">IF($H567="","",IFERROR(IF(IF(ISNUMBER($H567),$H567,IFERROR(TIMEVALUE($H567),VALUE($H567)))&gt;=100,INT(IF(ISNUMBER($H567),$H567,IFERROR(TIMEVALUE($H567),VALUE($H567)))/100)*60+MOD(IF(ISNUMBER($H567),$H567,IFERROR(TIMEVALUE($H567),VALUE($H567))),100),IF(IF(ISNUMBER($H567),$H567,IFERROR(TIMEVALUE($H567),VALUE($H567)))&gt;=1,ROUND(IF(ISNUMBER($H567),$H567,IFERROR(TIMEVALUE($H567),VALUE($H567)))*60,0),ROUND(MOD(IF(ISNUMBER($H567),$H567,IFERROR(TIMEVALUE($H567),VALUE($H567))),1)*1440,0))),""))</f>
        <v/>
      </c>
      <c r="W567" s="52" t="str">
        <f aca="false">IF($I567="","",IFERROR(IF(IF(ISNUMBER($I567),$I567,IFERROR(TIMEVALUE($I567),VALUE($I567)))&gt;=100,INT(IF(ISNUMBER($I567),$I567,IFERROR(TIMEVALUE($I567),VALUE($I567)))/100)*60+MOD(IF(ISNUMBER($I567),$I567,IFERROR(TIMEVALUE($I567),VALUE($I567))),100),IF(IF(ISNUMBER($I567),$I567,IFERROR(TIMEVALUE($I567),VALUE($I567)))&gt;=1,ROUND(IF(ISNUMBER($I567),$I567,IFERROR(TIMEVALUE($I567),VALUE($I567)))*60,0),ROUND(MOD(IF(ISNUMBER($I567),$I567,IFERROR(TIMEVALUE($I567),VALUE($I567))),1)*1440,0))),""))</f>
        <v/>
      </c>
      <c r="X567" s="55" t="str">
        <f aca="false">IF($P567="","",IFERROR(IF(ISNUMBER($P567),IF($P567&gt;19000000,DATE(INT($P567/10000),MOD(INT($P567/100),100),MOD($P567,100)),INT($P567)),IF(LEN(SUBSTITUTE(SUBSTITUTE(SUBSTITUTE(TRIM($P567),"-",""),".",""),"/",""))=8,DATE(VALUE(LEFT(SUBSTITUTE(SUBSTITUTE(SUBSTITUTE(TRIM($P567),"-",""),".",""),"/",""),4)),VALUE(MID(SUBSTITUTE(SUBSTITUTE(SUBSTITUTE(TRIM($P567),"-",""),".",""),"/",""),5,2)),VALUE(RIGHT(SUBSTITUTE(SUBSTITUTE(SUBSTITUTE(TRIM($P567),"-",""),".",""),"/",""),2))),DATEVALUE($P567))),""))</f>
        <v/>
      </c>
      <c r="Y567" s="56" t="str">
        <f aca="false">IF($M567="","",IFERROR(INDEX(강사DB!$D$4:$D$53,MATCH($M567,강사DB!$A$4:$A$53,0)),""))</f>
        <v/>
      </c>
      <c r="Z567" s="56" t="str">
        <f aca="false">IF($B567&lt;&gt;"결제완료","",IF(OR($Y567="",$J567=""),"",$Y567*$J567+MAX(0,N($K567)-1)*설정!$J$7))</f>
        <v/>
      </c>
      <c r="AA567" s="56" t="str">
        <f aca="false">IF(AND($D567&lt;&gt;"",$B567="결제완료"),N($N567),"")</f>
        <v/>
      </c>
      <c r="AB567" s="45" t="str">
        <f aca="false">IF($D567="","",IF($F567&lt;&gt;"",$F567,$D567)&amp;IF($B567="상담중"," (상담)",""))</f>
        <v/>
      </c>
      <c r="AC567" s="45" t="n">
        <f aca="false">IF(AND($D567&lt;&gt;"",OR($B567="결제완료",$B567="상담중")),1,0)</f>
        <v>0</v>
      </c>
      <c r="AD567" s="45" t="n">
        <f aca="false">IF(OR($Z567="",$U567=""),0,IFERROR(IF(COUNTIFS(INDEX(g_grid,0,2*MATCH($M567,강사DB!$A$4:$A$15,0)),"&lt;&gt;",g_s,"&lt;="&amp;$U567,g_e,"&gt;="&amp;$U567)&gt;0,1,0),0))</f>
        <v>0</v>
      </c>
      <c r="AE567" s="48"/>
      <c r="AF567" s="56" t="str">
        <f aca="false">IF(AND($D567&lt;&gt;"",$B567="결제완료",$T567="대여"),설정!$J$5,"")</f>
        <v/>
      </c>
      <c r="AG567" s="54" t="str">
        <f aca="false">IF($D567="","",IF(AND($E567="",$R567=""),$AB567,"☎ "&amp;IF($E567="","-",$E567)&amp;IF($R567&lt;&gt;"","  ※ "&amp;$R567,"")&amp;IF($B567="상담중"," (상담)","")))</f>
        <v/>
      </c>
      <c r="AH567" s="56" t="str">
        <f aca="false">IF(AND($D567&lt;&gt;"",$B567="결제완료",$O567="스마트스토어"),ROUND(N($N567)*설정!$J$6,0),"")</f>
        <v/>
      </c>
      <c r="AI567" s="54" t="str">
        <f aca="false">IF($D567="","",ROW())</f>
        <v/>
      </c>
      <c r="AJ567" s="54" t="n">
        <f aca="false">IF(OR($AC567&lt;&gt;1,$M567=""),0,IF(ISNUMBER(SEARCH("퇴사",IFERROR(INDEX(강사DB!$G$4:$G$53,MATCH($M567,강사DB!$A$4:$A$53,0)),""))),1,0))</f>
        <v>0</v>
      </c>
    </row>
    <row r="568" customFormat="false" ht="15" hidden="false" customHeight="false" outlineLevel="0" collapsed="false">
      <c r="A568" s="45" t="str">
        <f aca="false">IF($D568="","",COUNTA($D$5:$D568))</f>
        <v/>
      </c>
      <c r="B568" s="46"/>
      <c r="C568" s="47"/>
      <c r="D568" s="48"/>
      <c r="E568" s="48"/>
      <c r="F568" s="49"/>
      <c r="G568" s="47"/>
      <c r="H568" s="50"/>
      <c r="I568" s="50"/>
      <c r="J568" s="51" t="str">
        <f aca="false">IF(OR($V568="",$W568=""),"",ROUND(($W568-$V568)/60,2))</f>
        <v/>
      </c>
      <c r="K568" s="52" t="str">
        <f aca="false">IF($F568="","",LEN($F568)-LEN(SUBSTITUTE($F568,",",""))+1)</f>
        <v/>
      </c>
      <c r="L568" s="45" t="str">
        <f aca="false">IF($K568="","","1:"&amp;$K568)</f>
        <v/>
      </c>
      <c r="M568" s="46"/>
      <c r="N568" s="53"/>
      <c r="O568" s="46"/>
      <c r="P568" s="47"/>
      <c r="Q568" s="48"/>
      <c r="R568" s="49"/>
      <c r="S568" s="54" t="str">
        <f aca="false">IF(OR($AC568=0,$U568="",$M568="",$V568="",$W568=""),"",IF(COUNTIFS(m_teacher,$M568,m_date,$U568,m_active,1,m_start,"&lt;"&amp;$W568,m_end,"&gt;"&amp;$V568)&gt;1,"충돌",""))</f>
        <v/>
      </c>
      <c r="T568" s="48"/>
      <c r="U568" s="55" t="str">
        <f aca="false">IF($G568="","",IFERROR(IF(ISNUMBER($G568),IF($G568&gt;19000000,DATE(INT($G568/10000),MOD(INT($G568/100),100),MOD($G568,100)),INT($G568)),IF(LEN(SUBSTITUTE(SUBSTITUTE(SUBSTITUTE(TRIM($G568),"-",""),".",""),"/",""))=8,DATE(VALUE(LEFT(SUBSTITUTE(SUBSTITUTE(SUBSTITUTE(TRIM($G568),"-",""),".",""),"/",""),4)),VALUE(MID(SUBSTITUTE(SUBSTITUTE(SUBSTITUTE(TRIM($G568),"-",""),".",""),"/",""),5,2)),VALUE(RIGHT(SUBSTITUTE(SUBSTITUTE(SUBSTITUTE(TRIM($G568),"-",""),".",""),"/",""),2))),DATEVALUE($G568))),""))</f>
        <v/>
      </c>
      <c r="V568" s="52" t="str">
        <f aca="false">IF($H568="","",IFERROR(IF(IF(ISNUMBER($H568),$H568,IFERROR(TIMEVALUE($H568),VALUE($H568)))&gt;=100,INT(IF(ISNUMBER($H568),$H568,IFERROR(TIMEVALUE($H568),VALUE($H568)))/100)*60+MOD(IF(ISNUMBER($H568),$H568,IFERROR(TIMEVALUE($H568),VALUE($H568))),100),IF(IF(ISNUMBER($H568),$H568,IFERROR(TIMEVALUE($H568),VALUE($H568)))&gt;=1,ROUND(IF(ISNUMBER($H568),$H568,IFERROR(TIMEVALUE($H568),VALUE($H568)))*60,0),ROUND(MOD(IF(ISNUMBER($H568),$H568,IFERROR(TIMEVALUE($H568),VALUE($H568))),1)*1440,0))),""))</f>
        <v/>
      </c>
      <c r="W568" s="52" t="str">
        <f aca="false">IF($I568="","",IFERROR(IF(IF(ISNUMBER($I568),$I568,IFERROR(TIMEVALUE($I568),VALUE($I568)))&gt;=100,INT(IF(ISNUMBER($I568),$I568,IFERROR(TIMEVALUE($I568),VALUE($I568)))/100)*60+MOD(IF(ISNUMBER($I568),$I568,IFERROR(TIMEVALUE($I568),VALUE($I568))),100),IF(IF(ISNUMBER($I568),$I568,IFERROR(TIMEVALUE($I568),VALUE($I568)))&gt;=1,ROUND(IF(ISNUMBER($I568),$I568,IFERROR(TIMEVALUE($I568),VALUE($I568)))*60,0),ROUND(MOD(IF(ISNUMBER($I568),$I568,IFERROR(TIMEVALUE($I568),VALUE($I568))),1)*1440,0))),""))</f>
        <v/>
      </c>
      <c r="X568" s="55" t="str">
        <f aca="false">IF($P568="","",IFERROR(IF(ISNUMBER($P568),IF($P568&gt;19000000,DATE(INT($P568/10000),MOD(INT($P568/100),100),MOD($P568,100)),INT($P568)),IF(LEN(SUBSTITUTE(SUBSTITUTE(SUBSTITUTE(TRIM($P568),"-",""),".",""),"/",""))=8,DATE(VALUE(LEFT(SUBSTITUTE(SUBSTITUTE(SUBSTITUTE(TRIM($P568),"-",""),".",""),"/",""),4)),VALUE(MID(SUBSTITUTE(SUBSTITUTE(SUBSTITUTE(TRIM($P568),"-",""),".",""),"/",""),5,2)),VALUE(RIGHT(SUBSTITUTE(SUBSTITUTE(SUBSTITUTE(TRIM($P568),"-",""),".",""),"/",""),2))),DATEVALUE($P568))),""))</f>
        <v/>
      </c>
      <c r="Y568" s="56" t="str">
        <f aca="false">IF($M568="","",IFERROR(INDEX(강사DB!$D$4:$D$53,MATCH($M568,강사DB!$A$4:$A$53,0)),""))</f>
        <v/>
      </c>
      <c r="Z568" s="56" t="str">
        <f aca="false">IF($B568&lt;&gt;"결제완료","",IF(OR($Y568="",$J568=""),"",$Y568*$J568+MAX(0,N($K568)-1)*설정!$J$7))</f>
        <v/>
      </c>
      <c r="AA568" s="56" t="str">
        <f aca="false">IF(AND($D568&lt;&gt;"",$B568="결제완료"),N($N568),"")</f>
        <v/>
      </c>
      <c r="AB568" s="45" t="str">
        <f aca="false">IF($D568="","",IF($F568&lt;&gt;"",$F568,$D568)&amp;IF($B568="상담중"," (상담)",""))</f>
        <v/>
      </c>
      <c r="AC568" s="45" t="n">
        <f aca="false">IF(AND($D568&lt;&gt;"",OR($B568="결제완료",$B568="상담중")),1,0)</f>
        <v>0</v>
      </c>
      <c r="AD568" s="45" t="n">
        <f aca="false">IF(OR($Z568="",$U568=""),0,IFERROR(IF(COUNTIFS(INDEX(g_grid,0,2*MATCH($M568,강사DB!$A$4:$A$15,0)),"&lt;&gt;",g_s,"&lt;="&amp;$U568,g_e,"&gt;="&amp;$U568)&gt;0,1,0),0))</f>
        <v>0</v>
      </c>
      <c r="AE568" s="48"/>
      <c r="AF568" s="56" t="str">
        <f aca="false">IF(AND($D568&lt;&gt;"",$B568="결제완료",$T568="대여"),설정!$J$5,"")</f>
        <v/>
      </c>
      <c r="AG568" s="54" t="str">
        <f aca="false">IF($D568="","",IF(AND($E568="",$R568=""),$AB568,"☎ "&amp;IF($E568="","-",$E568)&amp;IF($R568&lt;&gt;"","  ※ "&amp;$R568,"")&amp;IF($B568="상담중"," (상담)","")))</f>
        <v/>
      </c>
      <c r="AH568" s="56" t="str">
        <f aca="false">IF(AND($D568&lt;&gt;"",$B568="결제완료",$O568="스마트스토어"),ROUND(N($N568)*설정!$J$6,0),"")</f>
        <v/>
      </c>
      <c r="AI568" s="54" t="str">
        <f aca="false">IF($D568="","",ROW())</f>
        <v/>
      </c>
      <c r="AJ568" s="54" t="n">
        <f aca="false">IF(OR($AC568&lt;&gt;1,$M568=""),0,IF(ISNUMBER(SEARCH("퇴사",IFERROR(INDEX(강사DB!$G$4:$G$53,MATCH($M568,강사DB!$A$4:$A$53,0)),""))),1,0))</f>
        <v>0</v>
      </c>
    </row>
    <row r="569" customFormat="false" ht="15" hidden="false" customHeight="false" outlineLevel="0" collapsed="false">
      <c r="A569" s="45" t="str">
        <f aca="false">IF($D569="","",COUNTA($D$5:$D569))</f>
        <v/>
      </c>
      <c r="B569" s="46"/>
      <c r="C569" s="47"/>
      <c r="D569" s="48"/>
      <c r="E569" s="48"/>
      <c r="F569" s="49"/>
      <c r="G569" s="47"/>
      <c r="H569" s="50"/>
      <c r="I569" s="50"/>
      <c r="J569" s="51" t="str">
        <f aca="false">IF(OR($V569="",$W569=""),"",ROUND(($W569-$V569)/60,2))</f>
        <v/>
      </c>
      <c r="K569" s="52" t="str">
        <f aca="false">IF($F569="","",LEN($F569)-LEN(SUBSTITUTE($F569,",",""))+1)</f>
        <v/>
      </c>
      <c r="L569" s="45" t="str">
        <f aca="false">IF($K569="","","1:"&amp;$K569)</f>
        <v/>
      </c>
      <c r="M569" s="46"/>
      <c r="N569" s="53"/>
      <c r="O569" s="46"/>
      <c r="P569" s="47"/>
      <c r="Q569" s="48"/>
      <c r="R569" s="49"/>
      <c r="S569" s="54" t="str">
        <f aca="false">IF(OR($AC569=0,$U569="",$M569="",$V569="",$W569=""),"",IF(COUNTIFS(m_teacher,$M569,m_date,$U569,m_active,1,m_start,"&lt;"&amp;$W569,m_end,"&gt;"&amp;$V569)&gt;1,"충돌",""))</f>
        <v/>
      </c>
      <c r="T569" s="48"/>
      <c r="U569" s="55" t="str">
        <f aca="false">IF($G569="","",IFERROR(IF(ISNUMBER($G569),IF($G569&gt;19000000,DATE(INT($G569/10000),MOD(INT($G569/100),100),MOD($G569,100)),INT($G569)),IF(LEN(SUBSTITUTE(SUBSTITUTE(SUBSTITUTE(TRIM($G569),"-",""),".",""),"/",""))=8,DATE(VALUE(LEFT(SUBSTITUTE(SUBSTITUTE(SUBSTITUTE(TRIM($G569),"-",""),".",""),"/",""),4)),VALUE(MID(SUBSTITUTE(SUBSTITUTE(SUBSTITUTE(TRIM($G569),"-",""),".",""),"/",""),5,2)),VALUE(RIGHT(SUBSTITUTE(SUBSTITUTE(SUBSTITUTE(TRIM($G569),"-",""),".",""),"/",""),2))),DATEVALUE($G569))),""))</f>
        <v/>
      </c>
      <c r="V569" s="52" t="str">
        <f aca="false">IF($H569="","",IFERROR(IF(IF(ISNUMBER($H569),$H569,IFERROR(TIMEVALUE($H569),VALUE($H569)))&gt;=100,INT(IF(ISNUMBER($H569),$H569,IFERROR(TIMEVALUE($H569),VALUE($H569)))/100)*60+MOD(IF(ISNUMBER($H569),$H569,IFERROR(TIMEVALUE($H569),VALUE($H569))),100),IF(IF(ISNUMBER($H569),$H569,IFERROR(TIMEVALUE($H569),VALUE($H569)))&gt;=1,ROUND(IF(ISNUMBER($H569),$H569,IFERROR(TIMEVALUE($H569),VALUE($H569)))*60,0),ROUND(MOD(IF(ISNUMBER($H569),$H569,IFERROR(TIMEVALUE($H569),VALUE($H569))),1)*1440,0))),""))</f>
        <v/>
      </c>
      <c r="W569" s="52" t="str">
        <f aca="false">IF($I569="","",IFERROR(IF(IF(ISNUMBER($I569),$I569,IFERROR(TIMEVALUE($I569),VALUE($I569)))&gt;=100,INT(IF(ISNUMBER($I569),$I569,IFERROR(TIMEVALUE($I569),VALUE($I569)))/100)*60+MOD(IF(ISNUMBER($I569),$I569,IFERROR(TIMEVALUE($I569),VALUE($I569))),100),IF(IF(ISNUMBER($I569),$I569,IFERROR(TIMEVALUE($I569),VALUE($I569)))&gt;=1,ROUND(IF(ISNUMBER($I569),$I569,IFERROR(TIMEVALUE($I569),VALUE($I569)))*60,0),ROUND(MOD(IF(ISNUMBER($I569),$I569,IFERROR(TIMEVALUE($I569),VALUE($I569))),1)*1440,0))),""))</f>
        <v/>
      </c>
      <c r="X569" s="55" t="str">
        <f aca="false">IF($P569="","",IFERROR(IF(ISNUMBER($P569),IF($P569&gt;19000000,DATE(INT($P569/10000),MOD(INT($P569/100),100),MOD($P569,100)),INT($P569)),IF(LEN(SUBSTITUTE(SUBSTITUTE(SUBSTITUTE(TRIM($P569),"-",""),".",""),"/",""))=8,DATE(VALUE(LEFT(SUBSTITUTE(SUBSTITUTE(SUBSTITUTE(TRIM($P569),"-",""),".",""),"/",""),4)),VALUE(MID(SUBSTITUTE(SUBSTITUTE(SUBSTITUTE(TRIM($P569),"-",""),".",""),"/",""),5,2)),VALUE(RIGHT(SUBSTITUTE(SUBSTITUTE(SUBSTITUTE(TRIM($P569),"-",""),".",""),"/",""),2))),DATEVALUE($P569))),""))</f>
        <v/>
      </c>
      <c r="Y569" s="56" t="str">
        <f aca="false">IF($M569="","",IFERROR(INDEX(강사DB!$D$4:$D$53,MATCH($M569,강사DB!$A$4:$A$53,0)),""))</f>
        <v/>
      </c>
      <c r="Z569" s="56" t="str">
        <f aca="false">IF($B569&lt;&gt;"결제완료","",IF(OR($Y569="",$J569=""),"",$Y569*$J569+MAX(0,N($K569)-1)*설정!$J$7))</f>
        <v/>
      </c>
      <c r="AA569" s="56" t="str">
        <f aca="false">IF(AND($D569&lt;&gt;"",$B569="결제완료"),N($N569),"")</f>
        <v/>
      </c>
      <c r="AB569" s="45" t="str">
        <f aca="false">IF($D569="","",IF($F569&lt;&gt;"",$F569,$D569)&amp;IF($B569="상담중"," (상담)",""))</f>
        <v/>
      </c>
      <c r="AC569" s="45" t="n">
        <f aca="false">IF(AND($D569&lt;&gt;"",OR($B569="결제완료",$B569="상담중")),1,0)</f>
        <v>0</v>
      </c>
      <c r="AD569" s="45" t="n">
        <f aca="false">IF(OR($Z569="",$U569=""),0,IFERROR(IF(COUNTIFS(INDEX(g_grid,0,2*MATCH($M569,강사DB!$A$4:$A$15,0)),"&lt;&gt;",g_s,"&lt;="&amp;$U569,g_e,"&gt;="&amp;$U569)&gt;0,1,0),0))</f>
        <v>0</v>
      </c>
      <c r="AE569" s="48"/>
      <c r="AF569" s="56" t="str">
        <f aca="false">IF(AND($D569&lt;&gt;"",$B569="결제완료",$T569="대여"),설정!$J$5,"")</f>
        <v/>
      </c>
      <c r="AG569" s="54" t="str">
        <f aca="false">IF($D569="","",IF(AND($E569="",$R569=""),$AB569,"☎ "&amp;IF($E569="","-",$E569)&amp;IF($R569&lt;&gt;"","  ※ "&amp;$R569,"")&amp;IF($B569="상담중"," (상담)","")))</f>
        <v/>
      </c>
      <c r="AH569" s="56" t="str">
        <f aca="false">IF(AND($D569&lt;&gt;"",$B569="결제완료",$O569="스마트스토어"),ROUND(N($N569)*설정!$J$6,0),"")</f>
        <v/>
      </c>
      <c r="AI569" s="54" t="str">
        <f aca="false">IF($D569="","",ROW())</f>
        <v/>
      </c>
      <c r="AJ569" s="54" t="n">
        <f aca="false">IF(OR($AC569&lt;&gt;1,$M569=""),0,IF(ISNUMBER(SEARCH("퇴사",IFERROR(INDEX(강사DB!$G$4:$G$53,MATCH($M569,강사DB!$A$4:$A$53,0)),""))),1,0))</f>
        <v>0</v>
      </c>
    </row>
    <row r="570" customFormat="false" ht="15" hidden="false" customHeight="false" outlineLevel="0" collapsed="false">
      <c r="A570" s="45" t="str">
        <f aca="false">IF($D570="","",COUNTA($D$5:$D570))</f>
        <v/>
      </c>
      <c r="B570" s="46"/>
      <c r="C570" s="47"/>
      <c r="D570" s="48"/>
      <c r="E570" s="48"/>
      <c r="F570" s="49"/>
      <c r="G570" s="47"/>
      <c r="H570" s="50"/>
      <c r="I570" s="50"/>
      <c r="J570" s="51" t="str">
        <f aca="false">IF(OR($V570="",$W570=""),"",ROUND(($W570-$V570)/60,2))</f>
        <v/>
      </c>
      <c r="K570" s="52" t="str">
        <f aca="false">IF($F570="","",LEN($F570)-LEN(SUBSTITUTE($F570,",",""))+1)</f>
        <v/>
      </c>
      <c r="L570" s="45" t="str">
        <f aca="false">IF($K570="","","1:"&amp;$K570)</f>
        <v/>
      </c>
      <c r="M570" s="46"/>
      <c r="N570" s="53"/>
      <c r="O570" s="46"/>
      <c r="P570" s="47"/>
      <c r="Q570" s="48"/>
      <c r="R570" s="49"/>
      <c r="S570" s="54" t="str">
        <f aca="false">IF(OR($AC570=0,$U570="",$M570="",$V570="",$W570=""),"",IF(COUNTIFS(m_teacher,$M570,m_date,$U570,m_active,1,m_start,"&lt;"&amp;$W570,m_end,"&gt;"&amp;$V570)&gt;1,"충돌",""))</f>
        <v/>
      </c>
      <c r="T570" s="48"/>
      <c r="U570" s="55" t="str">
        <f aca="false">IF($G570="","",IFERROR(IF(ISNUMBER($G570),IF($G570&gt;19000000,DATE(INT($G570/10000),MOD(INT($G570/100),100),MOD($G570,100)),INT($G570)),IF(LEN(SUBSTITUTE(SUBSTITUTE(SUBSTITUTE(TRIM($G570),"-",""),".",""),"/",""))=8,DATE(VALUE(LEFT(SUBSTITUTE(SUBSTITUTE(SUBSTITUTE(TRIM($G570),"-",""),".",""),"/",""),4)),VALUE(MID(SUBSTITUTE(SUBSTITUTE(SUBSTITUTE(TRIM($G570),"-",""),".",""),"/",""),5,2)),VALUE(RIGHT(SUBSTITUTE(SUBSTITUTE(SUBSTITUTE(TRIM($G570),"-",""),".",""),"/",""),2))),DATEVALUE($G570))),""))</f>
        <v/>
      </c>
      <c r="V570" s="52" t="str">
        <f aca="false">IF($H570="","",IFERROR(IF(IF(ISNUMBER($H570),$H570,IFERROR(TIMEVALUE($H570),VALUE($H570)))&gt;=100,INT(IF(ISNUMBER($H570),$H570,IFERROR(TIMEVALUE($H570),VALUE($H570)))/100)*60+MOD(IF(ISNUMBER($H570),$H570,IFERROR(TIMEVALUE($H570),VALUE($H570))),100),IF(IF(ISNUMBER($H570),$H570,IFERROR(TIMEVALUE($H570),VALUE($H570)))&gt;=1,ROUND(IF(ISNUMBER($H570),$H570,IFERROR(TIMEVALUE($H570),VALUE($H570)))*60,0),ROUND(MOD(IF(ISNUMBER($H570),$H570,IFERROR(TIMEVALUE($H570),VALUE($H570))),1)*1440,0))),""))</f>
        <v/>
      </c>
      <c r="W570" s="52" t="str">
        <f aca="false">IF($I570="","",IFERROR(IF(IF(ISNUMBER($I570),$I570,IFERROR(TIMEVALUE($I570),VALUE($I570)))&gt;=100,INT(IF(ISNUMBER($I570),$I570,IFERROR(TIMEVALUE($I570),VALUE($I570)))/100)*60+MOD(IF(ISNUMBER($I570),$I570,IFERROR(TIMEVALUE($I570),VALUE($I570))),100),IF(IF(ISNUMBER($I570),$I570,IFERROR(TIMEVALUE($I570),VALUE($I570)))&gt;=1,ROUND(IF(ISNUMBER($I570),$I570,IFERROR(TIMEVALUE($I570),VALUE($I570)))*60,0),ROUND(MOD(IF(ISNUMBER($I570),$I570,IFERROR(TIMEVALUE($I570),VALUE($I570))),1)*1440,0))),""))</f>
        <v/>
      </c>
      <c r="X570" s="55" t="str">
        <f aca="false">IF($P570="","",IFERROR(IF(ISNUMBER($P570),IF($P570&gt;19000000,DATE(INT($P570/10000),MOD(INT($P570/100),100),MOD($P570,100)),INT($P570)),IF(LEN(SUBSTITUTE(SUBSTITUTE(SUBSTITUTE(TRIM($P570),"-",""),".",""),"/",""))=8,DATE(VALUE(LEFT(SUBSTITUTE(SUBSTITUTE(SUBSTITUTE(TRIM($P570),"-",""),".",""),"/",""),4)),VALUE(MID(SUBSTITUTE(SUBSTITUTE(SUBSTITUTE(TRIM($P570),"-",""),".",""),"/",""),5,2)),VALUE(RIGHT(SUBSTITUTE(SUBSTITUTE(SUBSTITUTE(TRIM($P570),"-",""),".",""),"/",""),2))),DATEVALUE($P570))),""))</f>
        <v/>
      </c>
      <c r="Y570" s="56" t="str">
        <f aca="false">IF($M570="","",IFERROR(INDEX(강사DB!$D$4:$D$53,MATCH($M570,강사DB!$A$4:$A$53,0)),""))</f>
        <v/>
      </c>
      <c r="Z570" s="56" t="str">
        <f aca="false">IF($B570&lt;&gt;"결제완료","",IF(OR($Y570="",$J570=""),"",$Y570*$J570+MAX(0,N($K570)-1)*설정!$J$7))</f>
        <v/>
      </c>
      <c r="AA570" s="56" t="str">
        <f aca="false">IF(AND($D570&lt;&gt;"",$B570="결제완료"),N($N570),"")</f>
        <v/>
      </c>
      <c r="AB570" s="45" t="str">
        <f aca="false">IF($D570="","",IF($F570&lt;&gt;"",$F570,$D570)&amp;IF($B570="상담중"," (상담)",""))</f>
        <v/>
      </c>
      <c r="AC570" s="45" t="n">
        <f aca="false">IF(AND($D570&lt;&gt;"",OR($B570="결제완료",$B570="상담중")),1,0)</f>
        <v>0</v>
      </c>
      <c r="AD570" s="45" t="n">
        <f aca="false">IF(OR($Z570="",$U570=""),0,IFERROR(IF(COUNTIFS(INDEX(g_grid,0,2*MATCH($M570,강사DB!$A$4:$A$15,0)),"&lt;&gt;",g_s,"&lt;="&amp;$U570,g_e,"&gt;="&amp;$U570)&gt;0,1,0),0))</f>
        <v>0</v>
      </c>
      <c r="AE570" s="48"/>
      <c r="AF570" s="56" t="str">
        <f aca="false">IF(AND($D570&lt;&gt;"",$B570="결제완료",$T570="대여"),설정!$J$5,"")</f>
        <v/>
      </c>
      <c r="AG570" s="54" t="str">
        <f aca="false">IF($D570="","",IF(AND($E570="",$R570=""),$AB570,"☎ "&amp;IF($E570="","-",$E570)&amp;IF($R570&lt;&gt;"","  ※ "&amp;$R570,"")&amp;IF($B570="상담중"," (상담)","")))</f>
        <v/>
      </c>
      <c r="AH570" s="56" t="str">
        <f aca="false">IF(AND($D570&lt;&gt;"",$B570="결제완료",$O570="스마트스토어"),ROUND(N($N570)*설정!$J$6,0),"")</f>
        <v/>
      </c>
      <c r="AI570" s="54" t="str">
        <f aca="false">IF($D570="","",ROW())</f>
        <v/>
      </c>
      <c r="AJ570" s="54" t="n">
        <f aca="false">IF(OR($AC570&lt;&gt;1,$M570=""),0,IF(ISNUMBER(SEARCH("퇴사",IFERROR(INDEX(강사DB!$G$4:$G$53,MATCH($M570,강사DB!$A$4:$A$53,0)),""))),1,0))</f>
        <v>0</v>
      </c>
    </row>
    <row r="571" customFormat="false" ht="15" hidden="false" customHeight="false" outlineLevel="0" collapsed="false">
      <c r="A571" s="45" t="str">
        <f aca="false">IF($D571="","",COUNTA($D$5:$D571))</f>
        <v/>
      </c>
      <c r="B571" s="46"/>
      <c r="C571" s="47"/>
      <c r="D571" s="48"/>
      <c r="E571" s="48"/>
      <c r="F571" s="49"/>
      <c r="G571" s="47"/>
      <c r="H571" s="50"/>
      <c r="I571" s="50"/>
      <c r="J571" s="51" t="str">
        <f aca="false">IF(OR($V571="",$W571=""),"",ROUND(($W571-$V571)/60,2))</f>
        <v/>
      </c>
      <c r="K571" s="52" t="str">
        <f aca="false">IF($F571="","",LEN($F571)-LEN(SUBSTITUTE($F571,",",""))+1)</f>
        <v/>
      </c>
      <c r="L571" s="45" t="str">
        <f aca="false">IF($K571="","","1:"&amp;$K571)</f>
        <v/>
      </c>
      <c r="M571" s="46"/>
      <c r="N571" s="53"/>
      <c r="O571" s="46"/>
      <c r="P571" s="47"/>
      <c r="Q571" s="48"/>
      <c r="R571" s="49"/>
      <c r="S571" s="54" t="str">
        <f aca="false">IF(OR($AC571=0,$U571="",$M571="",$V571="",$W571=""),"",IF(COUNTIFS(m_teacher,$M571,m_date,$U571,m_active,1,m_start,"&lt;"&amp;$W571,m_end,"&gt;"&amp;$V571)&gt;1,"충돌",""))</f>
        <v/>
      </c>
      <c r="T571" s="48"/>
      <c r="U571" s="55" t="str">
        <f aca="false">IF($G571="","",IFERROR(IF(ISNUMBER($G571),IF($G571&gt;19000000,DATE(INT($G571/10000),MOD(INT($G571/100),100),MOD($G571,100)),INT($G571)),IF(LEN(SUBSTITUTE(SUBSTITUTE(SUBSTITUTE(TRIM($G571),"-",""),".",""),"/",""))=8,DATE(VALUE(LEFT(SUBSTITUTE(SUBSTITUTE(SUBSTITUTE(TRIM($G571),"-",""),".",""),"/",""),4)),VALUE(MID(SUBSTITUTE(SUBSTITUTE(SUBSTITUTE(TRIM($G571),"-",""),".",""),"/",""),5,2)),VALUE(RIGHT(SUBSTITUTE(SUBSTITUTE(SUBSTITUTE(TRIM($G571),"-",""),".",""),"/",""),2))),DATEVALUE($G571))),""))</f>
        <v/>
      </c>
      <c r="V571" s="52" t="str">
        <f aca="false">IF($H571="","",IFERROR(IF(IF(ISNUMBER($H571),$H571,IFERROR(TIMEVALUE($H571),VALUE($H571)))&gt;=100,INT(IF(ISNUMBER($H571),$H571,IFERROR(TIMEVALUE($H571),VALUE($H571)))/100)*60+MOD(IF(ISNUMBER($H571),$H571,IFERROR(TIMEVALUE($H571),VALUE($H571))),100),IF(IF(ISNUMBER($H571),$H571,IFERROR(TIMEVALUE($H571),VALUE($H571)))&gt;=1,ROUND(IF(ISNUMBER($H571),$H571,IFERROR(TIMEVALUE($H571),VALUE($H571)))*60,0),ROUND(MOD(IF(ISNUMBER($H571),$H571,IFERROR(TIMEVALUE($H571),VALUE($H571))),1)*1440,0))),""))</f>
        <v/>
      </c>
      <c r="W571" s="52" t="str">
        <f aca="false">IF($I571="","",IFERROR(IF(IF(ISNUMBER($I571),$I571,IFERROR(TIMEVALUE($I571),VALUE($I571)))&gt;=100,INT(IF(ISNUMBER($I571),$I571,IFERROR(TIMEVALUE($I571),VALUE($I571)))/100)*60+MOD(IF(ISNUMBER($I571),$I571,IFERROR(TIMEVALUE($I571),VALUE($I571))),100),IF(IF(ISNUMBER($I571),$I571,IFERROR(TIMEVALUE($I571),VALUE($I571)))&gt;=1,ROUND(IF(ISNUMBER($I571),$I571,IFERROR(TIMEVALUE($I571),VALUE($I571)))*60,0),ROUND(MOD(IF(ISNUMBER($I571),$I571,IFERROR(TIMEVALUE($I571),VALUE($I571))),1)*1440,0))),""))</f>
        <v/>
      </c>
      <c r="X571" s="55" t="str">
        <f aca="false">IF($P571="","",IFERROR(IF(ISNUMBER($P571),IF($P571&gt;19000000,DATE(INT($P571/10000),MOD(INT($P571/100),100),MOD($P571,100)),INT($P571)),IF(LEN(SUBSTITUTE(SUBSTITUTE(SUBSTITUTE(TRIM($P571),"-",""),".",""),"/",""))=8,DATE(VALUE(LEFT(SUBSTITUTE(SUBSTITUTE(SUBSTITUTE(TRIM($P571),"-",""),".",""),"/",""),4)),VALUE(MID(SUBSTITUTE(SUBSTITUTE(SUBSTITUTE(TRIM($P571),"-",""),".",""),"/",""),5,2)),VALUE(RIGHT(SUBSTITUTE(SUBSTITUTE(SUBSTITUTE(TRIM($P571),"-",""),".",""),"/",""),2))),DATEVALUE($P571))),""))</f>
        <v/>
      </c>
      <c r="Y571" s="56" t="str">
        <f aca="false">IF($M571="","",IFERROR(INDEX(강사DB!$D$4:$D$53,MATCH($M571,강사DB!$A$4:$A$53,0)),""))</f>
        <v/>
      </c>
      <c r="Z571" s="56" t="str">
        <f aca="false">IF($B571&lt;&gt;"결제완료","",IF(OR($Y571="",$J571=""),"",$Y571*$J571+MAX(0,N($K571)-1)*설정!$J$7))</f>
        <v/>
      </c>
      <c r="AA571" s="56" t="str">
        <f aca="false">IF(AND($D571&lt;&gt;"",$B571="결제완료"),N($N571),"")</f>
        <v/>
      </c>
      <c r="AB571" s="45" t="str">
        <f aca="false">IF($D571="","",IF($F571&lt;&gt;"",$F571,$D571)&amp;IF($B571="상담중"," (상담)",""))</f>
        <v/>
      </c>
      <c r="AC571" s="45" t="n">
        <f aca="false">IF(AND($D571&lt;&gt;"",OR($B571="결제완료",$B571="상담중")),1,0)</f>
        <v>0</v>
      </c>
      <c r="AD571" s="45" t="n">
        <f aca="false">IF(OR($Z571="",$U571=""),0,IFERROR(IF(COUNTIFS(INDEX(g_grid,0,2*MATCH($M571,강사DB!$A$4:$A$15,0)),"&lt;&gt;",g_s,"&lt;="&amp;$U571,g_e,"&gt;="&amp;$U571)&gt;0,1,0),0))</f>
        <v>0</v>
      </c>
      <c r="AE571" s="48"/>
      <c r="AF571" s="56" t="str">
        <f aca="false">IF(AND($D571&lt;&gt;"",$B571="결제완료",$T571="대여"),설정!$J$5,"")</f>
        <v/>
      </c>
      <c r="AG571" s="54" t="str">
        <f aca="false">IF($D571="","",IF(AND($E571="",$R571=""),$AB571,"☎ "&amp;IF($E571="","-",$E571)&amp;IF($R571&lt;&gt;"","  ※ "&amp;$R571,"")&amp;IF($B571="상담중"," (상담)","")))</f>
        <v/>
      </c>
      <c r="AH571" s="56" t="str">
        <f aca="false">IF(AND($D571&lt;&gt;"",$B571="결제완료",$O571="스마트스토어"),ROUND(N($N571)*설정!$J$6,0),"")</f>
        <v/>
      </c>
      <c r="AI571" s="54" t="str">
        <f aca="false">IF($D571="","",ROW())</f>
        <v/>
      </c>
      <c r="AJ571" s="54" t="n">
        <f aca="false">IF(OR($AC571&lt;&gt;1,$M571=""),0,IF(ISNUMBER(SEARCH("퇴사",IFERROR(INDEX(강사DB!$G$4:$G$53,MATCH($M571,강사DB!$A$4:$A$53,0)),""))),1,0))</f>
        <v>0</v>
      </c>
    </row>
    <row r="572" customFormat="false" ht="15" hidden="false" customHeight="false" outlineLevel="0" collapsed="false">
      <c r="A572" s="45" t="str">
        <f aca="false">IF($D572="","",COUNTA($D$5:$D572))</f>
        <v/>
      </c>
      <c r="B572" s="46"/>
      <c r="C572" s="47"/>
      <c r="D572" s="48"/>
      <c r="E572" s="48"/>
      <c r="F572" s="49"/>
      <c r="G572" s="47"/>
      <c r="H572" s="50"/>
      <c r="I572" s="50"/>
      <c r="J572" s="51" t="str">
        <f aca="false">IF(OR($V572="",$W572=""),"",ROUND(($W572-$V572)/60,2))</f>
        <v/>
      </c>
      <c r="K572" s="52" t="str">
        <f aca="false">IF($F572="","",LEN($F572)-LEN(SUBSTITUTE($F572,",",""))+1)</f>
        <v/>
      </c>
      <c r="L572" s="45" t="str">
        <f aca="false">IF($K572="","","1:"&amp;$K572)</f>
        <v/>
      </c>
      <c r="M572" s="46"/>
      <c r="N572" s="53"/>
      <c r="O572" s="46"/>
      <c r="P572" s="47"/>
      <c r="Q572" s="48"/>
      <c r="R572" s="49"/>
      <c r="S572" s="54" t="str">
        <f aca="false">IF(OR($AC572=0,$U572="",$M572="",$V572="",$W572=""),"",IF(COUNTIFS(m_teacher,$M572,m_date,$U572,m_active,1,m_start,"&lt;"&amp;$W572,m_end,"&gt;"&amp;$V572)&gt;1,"충돌",""))</f>
        <v/>
      </c>
      <c r="T572" s="48"/>
      <c r="U572" s="55" t="str">
        <f aca="false">IF($G572="","",IFERROR(IF(ISNUMBER($G572),IF($G572&gt;19000000,DATE(INT($G572/10000),MOD(INT($G572/100),100),MOD($G572,100)),INT($G572)),IF(LEN(SUBSTITUTE(SUBSTITUTE(SUBSTITUTE(TRIM($G572),"-",""),".",""),"/",""))=8,DATE(VALUE(LEFT(SUBSTITUTE(SUBSTITUTE(SUBSTITUTE(TRIM($G572),"-",""),".",""),"/",""),4)),VALUE(MID(SUBSTITUTE(SUBSTITUTE(SUBSTITUTE(TRIM($G572),"-",""),".",""),"/",""),5,2)),VALUE(RIGHT(SUBSTITUTE(SUBSTITUTE(SUBSTITUTE(TRIM($G572),"-",""),".",""),"/",""),2))),DATEVALUE($G572))),""))</f>
        <v/>
      </c>
      <c r="V572" s="52" t="str">
        <f aca="false">IF($H572="","",IFERROR(IF(IF(ISNUMBER($H572),$H572,IFERROR(TIMEVALUE($H572),VALUE($H572)))&gt;=100,INT(IF(ISNUMBER($H572),$H572,IFERROR(TIMEVALUE($H572),VALUE($H572)))/100)*60+MOD(IF(ISNUMBER($H572),$H572,IFERROR(TIMEVALUE($H572),VALUE($H572))),100),IF(IF(ISNUMBER($H572),$H572,IFERROR(TIMEVALUE($H572),VALUE($H572)))&gt;=1,ROUND(IF(ISNUMBER($H572),$H572,IFERROR(TIMEVALUE($H572),VALUE($H572)))*60,0),ROUND(MOD(IF(ISNUMBER($H572),$H572,IFERROR(TIMEVALUE($H572),VALUE($H572))),1)*1440,0))),""))</f>
        <v/>
      </c>
      <c r="W572" s="52" t="str">
        <f aca="false">IF($I572="","",IFERROR(IF(IF(ISNUMBER($I572),$I572,IFERROR(TIMEVALUE($I572),VALUE($I572)))&gt;=100,INT(IF(ISNUMBER($I572),$I572,IFERROR(TIMEVALUE($I572),VALUE($I572)))/100)*60+MOD(IF(ISNUMBER($I572),$I572,IFERROR(TIMEVALUE($I572),VALUE($I572))),100),IF(IF(ISNUMBER($I572),$I572,IFERROR(TIMEVALUE($I572),VALUE($I572)))&gt;=1,ROUND(IF(ISNUMBER($I572),$I572,IFERROR(TIMEVALUE($I572),VALUE($I572)))*60,0),ROUND(MOD(IF(ISNUMBER($I572),$I572,IFERROR(TIMEVALUE($I572),VALUE($I572))),1)*1440,0))),""))</f>
        <v/>
      </c>
      <c r="X572" s="55" t="str">
        <f aca="false">IF($P572="","",IFERROR(IF(ISNUMBER($P572),IF($P572&gt;19000000,DATE(INT($P572/10000),MOD(INT($P572/100),100),MOD($P572,100)),INT($P572)),IF(LEN(SUBSTITUTE(SUBSTITUTE(SUBSTITUTE(TRIM($P572),"-",""),".",""),"/",""))=8,DATE(VALUE(LEFT(SUBSTITUTE(SUBSTITUTE(SUBSTITUTE(TRIM($P572),"-",""),".",""),"/",""),4)),VALUE(MID(SUBSTITUTE(SUBSTITUTE(SUBSTITUTE(TRIM($P572),"-",""),".",""),"/",""),5,2)),VALUE(RIGHT(SUBSTITUTE(SUBSTITUTE(SUBSTITUTE(TRIM($P572),"-",""),".",""),"/",""),2))),DATEVALUE($P572))),""))</f>
        <v/>
      </c>
      <c r="Y572" s="56" t="str">
        <f aca="false">IF($M572="","",IFERROR(INDEX(강사DB!$D$4:$D$53,MATCH($M572,강사DB!$A$4:$A$53,0)),""))</f>
        <v/>
      </c>
      <c r="Z572" s="56" t="str">
        <f aca="false">IF($B572&lt;&gt;"결제완료","",IF(OR($Y572="",$J572=""),"",$Y572*$J572+MAX(0,N($K572)-1)*설정!$J$7))</f>
        <v/>
      </c>
      <c r="AA572" s="56" t="str">
        <f aca="false">IF(AND($D572&lt;&gt;"",$B572="결제완료"),N($N572),"")</f>
        <v/>
      </c>
      <c r="AB572" s="45" t="str">
        <f aca="false">IF($D572="","",IF($F572&lt;&gt;"",$F572,$D572)&amp;IF($B572="상담중"," (상담)",""))</f>
        <v/>
      </c>
      <c r="AC572" s="45" t="n">
        <f aca="false">IF(AND($D572&lt;&gt;"",OR($B572="결제완료",$B572="상담중")),1,0)</f>
        <v>0</v>
      </c>
      <c r="AD572" s="45" t="n">
        <f aca="false">IF(OR($Z572="",$U572=""),0,IFERROR(IF(COUNTIFS(INDEX(g_grid,0,2*MATCH($M572,강사DB!$A$4:$A$15,0)),"&lt;&gt;",g_s,"&lt;="&amp;$U572,g_e,"&gt;="&amp;$U572)&gt;0,1,0),0))</f>
        <v>0</v>
      </c>
      <c r="AE572" s="48"/>
      <c r="AF572" s="56" t="str">
        <f aca="false">IF(AND($D572&lt;&gt;"",$B572="결제완료",$T572="대여"),설정!$J$5,"")</f>
        <v/>
      </c>
      <c r="AG572" s="54" t="str">
        <f aca="false">IF($D572="","",IF(AND($E572="",$R572=""),$AB572,"☎ "&amp;IF($E572="","-",$E572)&amp;IF($R572&lt;&gt;"","  ※ "&amp;$R572,"")&amp;IF($B572="상담중"," (상담)","")))</f>
        <v/>
      </c>
      <c r="AH572" s="56" t="str">
        <f aca="false">IF(AND($D572&lt;&gt;"",$B572="결제완료",$O572="스마트스토어"),ROUND(N($N572)*설정!$J$6,0),"")</f>
        <v/>
      </c>
      <c r="AI572" s="54" t="str">
        <f aca="false">IF($D572="","",ROW())</f>
        <v/>
      </c>
      <c r="AJ572" s="54" t="n">
        <f aca="false">IF(OR($AC572&lt;&gt;1,$M572=""),0,IF(ISNUMBER(SEARCH("퇴사",IFERROR(INDEX(강사DB!$G$4:$G$53,MATCH($M572,강사DB!$A$4:$A$53,0)),""))),1,0))</f>
        <v>0</v>
      </c>
    </row>
    <row r="573" customFormat="false" ht="15" hidden="false" customHeight="false" outlineLevel="0" collapsed="false">
      <c r="A573" s="45" t="str">
        <f aca="false">IF($D573="","",COUNTA($D$5:$D573))</f>
        <v/>
      </c>
      <c r="B573" s="46"/>
      <c r="C573" s="47"/>
      <c r="D573" s="48"/>
      <c r="E573" s="48"/>
      <c r="F573" s="49"/>
      <c r="G573" s="47"/>
      <c r="H573" s="50"/>
      <c r="I573" s="50"/>
      <c r="J573" s="51" t="str">
        <f aca="false">IF(OR($V573="",$W573=""),"",ROUND(($W573-$V573)/60,2))</f>
        <v/>
      </c>
      <c r="K573" s="52" t="str">
        <f aca="false">IF($F573="","",LEN($F573)-LEN(SUBSTITUTE($F573,",",""))+1)</f>
        <v/>
      </c>
      <c r="L573" s="45" t="str">
        <f aca="false">IF($K573="","","1:"&amp;$K573)</f>
        <v/>
      </c>
      <c r="M573" s="46"/>
      <c r="N573" s="53"/>
      <c r="O573" s="46"/>
      <c r="P573" s="47"/>
      <c r="Q573" s="48"/>
      <c r="R573" s="49"/>
      <c r="S573" s="54" t="str">
        <f aca="false">IF(OR($AC573=0,$U573="",$M573="",$V573="",$W573=""),"",IF(COUNTIFS(m_teacher,$M573,m_date,$U573,m_active,1,m_start,"&lt;"&amp;$W573,m_end,"&gt;"&amp;$V573)&gt;1,"충돌",""))</f>
        <v/>
      </c>
      <c r="T573" s="48"/>
      <c r="U573" s="55" t="str">
        <f aca="false">IF($G573="","",IFERROR(IF(ISNUMBER($G573),IF($G573&gt;19000000,DATE(INT($G573/10000),MOD(INT($G573/100),100),MOD($G573,100)),INT($G573)),IF(LEN(SUBSTITUTE(SUBSTITUTE(SUBSTITUTE(TRIM($G573),"-",""),".",""),"/",""))=8,DATE(VALUE(LEFT(SUBSTITUTE(SUBSTITUTE(SUBSTITUTE(TRIM($G573),"-",""),".",""),"/",""),4)),VALUE(MID(SUBSTITUTE(SUBSTITUTE(SUBSTITUTE(TRIM($G573),"-",""),".",""),"/",""),5,2)),VALUE(RIGHT(SUBSTITUTE(SUBSTITUTE(SUBSTITUTE(TRIM($G573),"-",""),".",""),"/",""),2))),DATEVALUE($G573))),""))</f>
        <v/>
      </c>
      <c r="V573" s="52" t="str">
        <f aca="false">IF($H573="","",IFERROR(IF(IF(ISNUMBER($H573),$H573,IFERROR(TIMEVALUE($H573),VALUE($H573)))&gt;=100,INT(IF(ISNUMBER($H573),$H573,IFERROR(TIMEVALUE($H573),VALUE($H573)))/100)*60+MOD(IF(ISNUMBER($H573),$H573,IFERROR(TIMEVALUE($H573),VALUE($H573))),100),IF(IF(ISNUMBER($H573),$H573,IFERROR(TIMEVALUE($H573),VALUE($H573)))&gt;=1,ROUND(IF(ISNUMBER($H573),$H573,IFERROR(TIMEVALUE($H573),VALUE($H573)))*60,0),ROUND(MOD(IF(ISNUMBER($H573),$H573,IFERROR(TIMEVALUE($H573),VALUE($H573))),1)*1440,0))),""))</f>
        <v/>
      </c>
      <c r="W573" s="52" t="str">
        <f aca="false">IF($I573="","",IFERROR(IF(IF(ISNUMBER($I573),$I573,IFERROR(TIMEVALUE($I573),VALUE($I573)))&gt;=100,INT(IF(ISNUMBER($I573),$I573,IFERROR(TIMEVALUE($I573),VALUE($I573)))/100)*60+MOD(IF(ISNUMBER($I573),$I573,IFERROR(TIMEVALUE($I573),VALUE($I573))),100),IF(IF(ISNUMBER($I573),$I573,IFERROR(TIMEVALUE($I573),VALUE($I573)))&gt;=1,ROUND(IF(ISNUMBER($I573),$I573,IFERROR(TIMEVALUE($I573),VALUE($I573)))*60,0),ROUND(MOD(IF(ISNUMBER($I573),$I573,IFERROR(TIMEVALUE($I573),VALUE($I573))),1)*1440,0))),""))</f>
        <v/>
      </c>
      <c r="X573" s="55" t="str">
        <f aca="false">IF($P573="","",IFERROR(IF(ISNUMBER($P573),IF($P573&gt;19000000,DATE(INT($P573/10000),MOD(INT($P573/100),100),MOD($P573,100)),INT($P573)),IF(LEN(SUBSTITUTE(SUBSTITUTE(SUBSTITUTE(TRIM($P573),"-",""),".",""),"/",""))=8,DATE(VALUE(LEFT(SUBSTITUTE(SUBSTITUTE(SUBSTITUTE(TRIM($P573),"-",""),".",""),"/",""),4)),VALUE(MID(SUBSTITUTE(SUBSTITUTE(SUBSTITUTE(TRIM($P573),"-",""),".",""),"/",""),5,2)),VALUE(RIGHT(SUBSTITUTE(SUBSTITUTE(SUBSTITUTE(TRIM($P573),"-",""),".",""),"/",""),2))),DATEVALUE($P573))),""))</f>
        <v/>
      </c>
      <c r="Y573" s="56" t="str">
        <f aca="false">IF($M573="","",IFERROR(INDEX(강사DB!$D$4:$D$53,MATCH($M573,강사DB!$A$4:$A$53,0)),""))</f>
        <v/>
      </c>
      <c r="Z573" s="56" t="str">
        <f aca="false">IF($B573&lt;&gt;"결제완료","",IF(OR($Y573="",$J573=""),"",$Y573*$J573+MAX(0,N($K573)-1)*설정!$J$7))</f>
        <v/>
      </c>
      <c r="AA573" s="56" t="str">
        <f aca="false">IF(AND($D573&lt;&gt;"",$B573="결제완료"),N($N573),"")</f>
        <v/>
      </c>
      <c r="AB573" s="45" t="str">
        <f aca="false">IF($D573="","",IF($F573&lt;&gt;"",$F573,$D573)&amp;IF($B573="상담중"," (상담)",""))</f>
        <v/>
      </c>
      <c r="AC573" s="45" t="n">
        <f aca="false">IF(AND($D573&lt;&gt;"",OR($B573="결제완료",$B573="상담중")),1,0)</f>
        <v>0</v>
      </c>
      <c r="AD573" s="45" t="n">
        <f aca="false">IF(OR($Z573="",$U573=""),0,IFERROR(IF(COUNTIFS(INDEX(g_grid,0,2*MATCH($M573,강사DB!$A$4:$A$15,0)),"&lt;&gt;",g_s,"&lt;="&amp;$U573,g_e,"&gt;="&amp;$U573)&gt;0,1,0),0))</f>
        <v>0</v>
      </c>
      <c r="AE573" s="48"/>
      <c r="AF573" s="56" t="str">
        <f aca="false">IF(AND($D573&lt;&gt;"",$B573="결제완료",$T573="대여"),설정!$J$5,"")</f>
        <v/>
      </c>
      <c r="AG573" s="54" t="str">
        <f aca="false">IF($D573="","",IF(AND($E573="",$R573=""),$AB573,"☎ "&amp;IF($E573="","-",$E573)&amp;IF($R573&lt;&gt;"","  ※ "&amp;$R573,"")&amp;IF($B573="상담중"," (상담)","")))</f>
        <v/>
      </c>
      <c r="AH573" s="56" t="str">
        <f aca="false">IF(AND($D573&lt;&gt;"",$B573="결제완료",$O573="스마트스토어"),ROUND(N($N573)*설정!$J$6,0),"")</f>
        <v/>
      </c>
      <c r="AI573" s="54" t="str">
        <f aca="false">IF($D573="","",ROW())</f>
        <v/>
      </c>
      <c r="AJ573" s="54" t="n">
        <f aca="false">IF(OR($AC573&lt;&gt;1,$M573=""),0,IF(ISNUMBER(SEARCH("퇴사",IFERROR(INDEX(강사DB!$G$4:$G$53,MATCH($M573,강사DB!$A$4:$A$53,0)),""))),1,0))</f>
        <v>0</v>
      </c>
    </row>
    <row r="574" customFormat="false" ht="15" hidden="false" customHeight="false" outlineLevel="0" collapsed="false">
      <c r="A574" s="45" t="str">
        <f aca="false">IF($D574="","",COUNTA($D$5:$D574))</f>
        <v/>
      </c>
      <c r="B574" s="46"/>
      <c r="C574" s="47"/>
      <c r="D574" s="48"/>
      <c r="E574" s="48"/>
      <c r="F574" s="49"/>
      <c r="G574" s="47"/>
      <c r="H574" s="50"/>
      <c r="I574" s="50"/>
      <c r="J574" s="51" t="str">
        <f aca="false">IF(OR($V574="",$W574=""),"",ROUND(($W574-$V574)/60,2))</f>
        <v/>
      </c>
      <c r="K574" s="52" t="str">
        <f aca="false">IF($F574="","",LEN($F574)-LEN(SUBSTITUTE($F574,",",""))+1)</f>
        <v/>
      </c>
      <c r="L574" s="45" t="str">
        <f aca="false">IF($K574="","","1:"&amp;$K574)</f>
        <v/>
      </c>
      <c r="M574" s="46"/>
      <c r="N574" s="53"/>
      <c r="O574" s="46"/>
      <c r="P574" s="47"/>
      <c r="Q574" s="48"/>
      <c r="R574" s="49"/>
      <c r="S574" s="54" t="str">
        <f aca="false">IF(OR($AC574=0,$U574="",$M574="",$V574="",$W574=""),"",IF(COUNTIFS(m_teacher,$M574,m_date,$U574,m_active,1,m_start,"&lt;"&amp;$W574,m_end,"&gt;"&amp;$V574)&gt;1,"충돌",""))</f>
        <v/>
      </c>
      <c r="T574" s="48"/>
      <c r="U574" s="55" t="str">
        <f aca="false">IF($G574="","",IFERROR(IF(ISNUMBER($G574),IF($G574&gt;19000000,DATE(INT($G574/10000),MOD(INT($G574/100),100),MOD($G574,100)),INT($G574)),IF(LEN(SUBSTITUTE(SUBSTITUTE(SUBSTITUTE(TRIM($G574),"-",""),".",""),"/",""))=8,DATE(VALUE(LEFT(SUBSTITUTE(SUBSTITUTE(SUBSTITUTE(TRIM($G574),"-",""),".",""),"/",""),4)),VALUE(MID(SUBSTITUTE(SUBSTITUTE(SUBSTITUTE(TRIM($G574),"-",""),".",""),"/",""),5,2)),VALUE(RIGHT(SUBSTITUTE(SUBSTITUTE(SUBSTITUTE(TRIM($G574),"-",""),".",""),"/",""),2))),DATEVALUE($G574))),""))</f>
        <v/>
      </c>
      <c r="V574" s="52" t="str">
        <f aca="false">IF($H574="","",IFERROR(IF(IF(ISNUMBER($H574),$H574,IFERROR(TIMEVALUE($H574),VALUE($H574)))&gt;=100,INT(IF(ISNUMBER($H574),$H574,IFERROR(TIMEVALUE($H574),VALUE($H574)))/100)*60+MOD(IF(ISNUMBER($H574),$H574,IFERROR(TIMEVALUE($H574),VALUE($H574))),100),IF(IF(ISNUMBER($H574),$H574,IFERROR(TIMEVALUE($H574),VALUE($H574)))&gt;=1,ROUND(IF(ISNUMBER($H574),$H574,IFERROR(TIMEVALUE($H574),VALUE($H574)))*60,0),ROUND(MOD(IF(ISNUMBER($H574),$H574,IFERROR(TIMEVALUE($H574),VALUE($H574))),1)*1440,0))),""))</f>
        <v/>
      </c>
      <c r="W574" s="52" t="str">
        <f aca="false">IF($I574="","",IFERROR(IF(IF(ISNUMBER($I574),$I574,IFERROR(TIMEVALUE($I574),VALUE($I574)))&gt;=100,INT(IF(ISNUMBER($I574),$I574,IFERROR(TIMEVALUE($I574),VALUE($I574)))/100)*60+MOD(IF(ISNUMBER($I574),$I574,IFERROR(TIMEVALUE($I574),VALUE($I574))),100),IF(IF(ISNUMBER($I574),$I574,IFERROR(TIMEVALUE($I574),VALUE($I574)))&gt;=1,ROUND(IF(ISNUMBER($I574),$I574,IFERROR(TIMEVALUE($I574),VALUE($I574)))*60,0),ROUND(MOD(IF(ISNUMBER($I574),$I574,IFERROR(TIMEVALUE($I574),VALUE($I574))),1)*1440,0))),""))</f>
        <v/>
      </c>
      <c r="X574" s="55" t="str">
        <f aca="false">IF($P574="","",IFERROR(IF(ISNUMBER($P574),IF($P574&gt;19000000,DATE(INT($P574/10000),MOD(INT($P574/100),100),MOD($P574,100)),INT($P574)),IF(LEN(SUBSTITUTE(SUBSTITUTE(SUBSTITUTE(TRIM($P574),"-",""),".",""),"/",""))=8,DATE(VALUE(LEFT(SUBSTITUTE(SUBSTITUTE(SUBSTITUTE(TRIM($P574),"-",""),".",""),"/",""),4)),VALUE(MID(SUBSTITUTE(SUBSTITUTE(SUBSTITUTE(TRIM($P574),"-",""),".",""),"/",""),5,2)),VALUE(RIGHT(SUBSTITUTE(SUBSTITUTE(SUBSTITUTE(TRIM($P574),"-",""),".",""),"/",""),2))),DATEVALUE($P574))),""))</f>
        <v/>
      </c>
      <c r="Y574" s="56" t="str">
        <f aca="false">IF($M574="","",IFERROR(INDEX(강사DB!$D$4:$D$53,MATCH($M574,강사DB!$A$4:$A$53,0)),""))</f>
        <v/>
      </c>
      <c r="Z574" s="56" t="str">
        <f aca="false">IF($B574&lt;&gt;"결제완료","",IF(OR($Y574="",$J574=""),"",$Y574*$J574+MAX(0,N($K574)-1)*설정!$J$7))</f>
        <v/>
      </c>
      <c r="AA574" s="56" t="str">
        <f aca="false">IF(AND($D574&lt;&gt;"",$B574="결제완료"),N($N574),"")</f>
        <v/>
      </c>
      <c r="AB574" s="45" t="str">
        <f aca="false">IF($D574="","",IF($F574&lt;&gt;"",$F574,$D574)&amp;IF($B574="상담중"," (상담)",""))</f>
        <v/>
      </c>
      <c r="AC574" s="45" t="n">
        <f aca="false">IF(AND($D574&lt;&gt;"",OR($B574="결제완료",$B574="상담중")),1,0)</f>
        <v>0</v>
      </c>
      <c r="AD574" s="45" t="n">
        <f aca="false">IF(OR($Z574="",$U574=""),0,IFERROR(IF(COUNTIFS(INDEX(g_grid,0,2*MATCH($M574,강사DB!$A$4:$A$15,0)),"&lt;&gt;",g_s,"&lt;="&amp;$U574,g_e,"&gt;="&amp;$U574)&gt;0,1,0),0))</f>
        <v>0</v>
      </c>
      <c r="AE574" s="48"/>
      <c r="AF574" s="56" t="str">
        <f aca="false">IF(AND($D574&lt;&gt;"",$B574="결제완료",$T574="대여"),설정!$J$5,"")</f>
        <v/>
      </c>
      <c r="AG574" s="54" t="str">
        <f aca="false">IF($D574="","",IF(AND($E574="",$R574=""),$AB574,"☎ "&amp;IF($E574="","-",$E574)&amp;IF($R574&lt;&gt;"","  ※ "&amp;$R574,"")&amp;IF($B574="상담중"," (상담)","")))</f>
        <v/>
      </c>
      <c r="AH574" s="56" t="str">
        <f aca="false">IF(AND($D574&lt;&gt;"",$B574="결제완료",$O574="스마트스토어"),ROUND(N($N574)*설정!$J$6,0),"")</f>
        <v/>
      </c>
      <c r="AI574" s="54" t="str">
        <f aca="false">IF($D574="","",ROW())</f>
        <v/>
      </c>
      <c r="AJ574" s="54" t="n">
        <f aca="false">IF(OR($AC574&lt;&gt;1,$M574=""),0,IF(ISNUMBER(SEARCH("퇴사",IFERROR(INDEX(강사DB!$G$4:$G$53,MATCH($M574,강사DB!$A$4:$A$53,0)),""))),1,0))</f>
        <v>0</v>
      </c>
    </row>
    <row r="575" customFormat="false" ht="15" hidden="false" customHeight="false" outlineLevel="0" collapsed="false">
      <c r="A575" s="45" t="str">
        <f aca="false">IF($D575="","",COUNTA($D$5:$D575))</f>
        <v/>
      </c>
      <c r="B575" s="46"/>
      <c r="C575" s="47"/>
      <c r="D575" s="48"/>
      <c r="E575" s="48"/>
      <c r="F575" s="49"/>
      <c r="G575" s="47"/>
      <c r="H575" s="50"/>
      <c r="I575" s="50"/>
      <c r="J575" s="51" t="str">
        <f aca="false">IF(OR($V575="",$W575=""),"",ROUND(($W575-$V575)/60,2))</f>
        <v/>
      </c>
      <c r="K575" s="52" t="str">
        <f aca="false">IF($F575="","",LEN($F575)-LEN(SUBSTITUTE($F575,",",""))+1)</f>
        <v/>
      </c>
      <c r="L575" s="45" t="str">
        <f aca="false">IF($K575="","","1:"&amp;$K575)</f>
        <v/>
      </c>
      <c r="M575" s="46"/>
      <c r="N575" s="53"/>
      <c r="O575" s="46"/>
      <c r="P575" s="47"/>
      <c r="Q575" s="48"/>
      <c r="R575" s="49"/>
      <c r="S575" s="54" t="str">
        <f aca="false">IF(OR($AC575=0,$U575="",$M575="",$V575="",$W575=""),"",IF(COUNTIFS(m_teacher,$M575,m_date,$U575,m_active,1,m_start,"&lt;"&amp;$W575,m_end,"&gt;"&amp;$V575)&gt;1,"충돌",""))</f>
        <v/>
      </c>
      <c r="T575" s="48"/>
      <c r="U575" s="55" t="str">
        <f aca="false">IF($G575="","",IFERROR(IF(ISNUMBER($G575),IF($G575&gt;19000000,DATE(INT($G575/10000),MOD(INT($G575/100),100),MOD($G575,100)),INT($G575)),IF(LEN(SUBSTITUTE(SUBSTITUTE(SUBSTITUTE(TRIM($G575),"-",""),".",""),"/",""))=8,DATE(VALUE(LEFT(SUBSTITUTE(SUBSTITUTE(SUBSTITUTE(TRIM($G575),"-",""),".",""),"/",""),4)),VALUE(MID(SUBSTITUTE(SUBSTITUTE(SUBSTITUTE(TRIM($G575),"-",""),".",""),"/",""),5,2)),VALUE(RIGHT(SUBSTITUTE(SUBSTITUTE(SUBSTITUTE(TRIM($G575),"-",""),".",""),"/",""),2))),DATEVALUE($G575))),""))</f>
        <v/>
      </c>
      <c r="V575" s="52" t="str">
        <f aca="false">IF($H575="","",IFERROR(IF(IF(ISNUMBER($H575),$H575,IFERROR(TIMEVALUE($H575),VALUE($H575)))&gt;=100,INT(IF(ISNUMBER($H575),$H575,IFERROR(TIMEVALUE($H575),VALUE($H575)))/100)*60+MOD(IF(ISNUMBER($H575),$H575,IFERROR(TIMEVALUE($H575),VALUE($H575))),100),IF(IF(ISNUMBER($H575),$H575,IFERROR(TIMEVALUE($H575),VALUE($H575)))&gt;=1,ROUND(IF(ISNUMBER($H575),$H575,IFERROR(TIMEVALUE($H575),VALUE($H575)))*60,0),ROUND(MOD(IF(ISNUMBER($H575),$H575,IFERROR(TIMEVALUE($H575),VALUE($H575))),1)*1440,0))),""))</f>
        <v/>
      </c>
      <c r="W575" s="52" t="str">
        <f aca="false">IF($I575="","",IFERROR(IF(IF(ISNUMBER($I575),$I575,IFERROR(TIMEVALUE($I575),VALUE($I575)))&gt;=100,INT(IF(ISNUMBER($I575),$I575,IFERROR(TIMEVALUE($I575),VALUE($I575)))/100)*60+MOD(IF(ISNUMBER($I575),$I575,IFERROR(TIMEVALUE($I575),VALUE($I575))),100),IF(IF(ISNUMBER($I575),$I575,IFERROR(TIMEVALUE($I575),VALUE($I575)))&gt;=1,ROUND(IF(ISNUMBER($I575),$I575,IFERROR(TIMEVALUE($I575),VALUE($I575)))*60,0),ROUND(MOD(IF(ISNUMBER($I575),$I575,IFERROR(TIMEVALUE($I575),VALUE($I575))),1)*1440,0))),""))</f>
        <v/>
      </c>
      <c r="X575" s="55" t="str">
        <f aca="false">IF($P575="","",IFERROR(IF(ISNUMBER($P575),IF($P575&gt;19000000,DATE(INT($P575/10000),MOD(INT($P575/100),100),MOD($P575,100)),INT($P575)),IF(LEN(SUBSTITUTE(SUBSTITUTE(SUBSTITUTE(TRIM($P575),"-",""),".",""),"/",""))=8,DATE(VALUE(LEFT(SUBSTITUTE(SUBSTITUTE(SUBSTITUTE(TRIM($P575),"-",""),".",""),"/",""),4)),VALUE(MID(SUBSTITUTE(SUBSTITUTE(SUBSTITUTE(TRIM($P575),"-",""),".",""),"/",""),5,2)),VALUE(RIGHT(SUBSTITUTE(SUBSTITUTE(SUBSTITUTE(TRIM($P575),"-",""),".",""),"/",""),2))),DATEVALUE($P575))),""))</f>
        <v/>
      </c>
      <c r="Y575" s="56" t="str">
        <f aca="false">IF($M575="","",IFERROR(INDEX(강사DB!$D$4:$D$53,MATCH($M575,강사DB!$A$4:$A$53,0)),""))</f>
        <v/>
      </c>
      <c r="Z575" s="56" t="str">
        <f aca="false">IF($B575&lt;&gt;"결제완료","",IF(OR($Y575="",$J575=""),"",$Y575*$J575+MAX(0,N($K575)-1)*설정!$J$7))</f>
        <v/>
      </c>
      <c r="AA575" s="56" t="str">
        <f aca="false">IF(AND($D575&lt;&gt;"",$B575="결제완료"),N($N575),"")</f>
        <v/>
      </c>
      <c r="AB575" s="45" t="str">
        <f aca="false">IF($D575="","",IF($F575&lt;&gt;"",$F575,$D575)&amp;IF($B575="상담중"," (상담)",""))</f>
        <v/>
      </c>
      <c r="AC575" s="45" t="n">
        <f aca="false">IF(AND($D575&lt;&gt;"",OR($B575="결제완료",$B575="상담중")),1,0)</f>
        <v>0</v>
      </c>
      <c r="AD575" s="45" t="n">
        <f aca="false">IF(OR($Z575="",$U575=""),0,IFERROR(IF(COUNTIFS(INDEX(g_grid,0,2*MATCH($M575,강사DB!$A$4:$A$15,0)),"&lt;&gt;",g_s,"&lt;="&amp;$U575,g_e,"&gt;="&amp;$U575)&gt;0,1,0),0))</f>
        <v>0</v>
      </c>
      <c r="AE575" s="48"/>
      <c r="AF575" s="56" t="str">
        <f aca="false">IF(AND($D575&lt;&gt;"",$B575="결제완료",$T575="대여"),설정!$J$5,"")</f>
        <v/>
      </c>
      <c r="AG575" s="54" t="str">
        <f aca="false">IF($D575="","",IF(AND($E575="",$R575=""),$AB575,"☎ "&amp;IF($E575="","-",$E575)&amp;IF($R575&lt;&gt;"","  ※ "&amp;$R575,"")&amp;IF($B575="상담중"," (상담)","")))</f>
        <v/>
      </c>
      <c r="AH575" s="56" t="str">
        <f aca="false">IF(AND($D575&lt;&gt;"",$B575="결제완료",$O575="스마트스토어"),ROUND(N($N575)*설정!$J$6,0),"")</f>
        <v/>
      </c>
      <c r="AI575" s="54" t="str">
        <f aca="false">IF($D575="","",ROW())</f>
        <v/>
      </c>
      <c r="AJ575" s="54" t="n">
        <f aca="false">IF(OR($AC575&lt;&gt;1,$M575=""),0,IF(ISNUMBER(SEARCH("퇴사",IFERROR(INDEX(강사DB!$G$4:$G$53,MATCH($M575,강사DB!$A$4:$A$53,0)),""))),1,0))</f>
        <v>0</v>
      </c>
    </row>
    <row r="576" customFormat="false" ht="15" hidden="false" customHeight="false" outlineLevel="0" collapsed="false">
      <c r="A576" s="45" t="str">
        <f aca="false">IF($D576="","",COUNTA($D$5:$D576))</f>
        <v/>
      </c>
      <c r="B576" s="46"/>
      <c r="C576" s="47"/>
      <c r="D576" s="48"/>
      <c r="E576" s="48"/>
      <c r="F576" s="49"/>
      <c r="G576" s="47"/>
      <c r="H576" s="50"/>
      <c r="I576" s="50"/>
      <c r="J576" s="51" t="str">
        <f aca="false">IF(OR($V576="",$W576=""),"",ROUND(($W576-$V576)/60,2))</f>
        <v/>
      </c>
      <c r="K576" s="52" t="str">
        <f aca="false">IF($F576="","",LEN($F576)-LEN(SUBSTITUTE($F576,",",""))+1)</f>
        <v/>
      </c>
      <c r="L576" s="45" t="str">
        <f aca="false">IF($K576="","","1:"&amp;$K576)</f>
        <v/>
      </c>
      <c r="M576" s="46"/>
      <c r="N576" s="53"/>
      <c r="O576" s="46"/>
      <c r="P576" s="47"/>
      <c r="Q576" s="48"/>
      <c r="R576" s="49"/>
      <c r="S576" s="54" t="str">
        <f aca="false">IF(OR($AC576=0,$U576="",$M576="",$V576="",$W576=""),"",IF(COUNTIFS(m_teacher,$M576,m_date,$U576,m_active,1,m_start,"&lt;"&amp;$W576,m_end,"&gt;"&amp;$V576)&gt;1,"충돌",""))</f>
        <v/>
      </c>
      <c r="T576" s="48"/>
      <c r="U576" s="55" t="str">
        <f aca="false">IF($G576="","",IFERROR(IF(ISNUMBER($G576),IF($G576&gt;19000000,DATE(INT($G576/10000),MOD(INT($G576/100),100),MOD($G576,100)),INT($G576)),IF(LEN(SUBSTITUTE(SUBSTITUTE(SUBSTITUTE(TRIM($G576),"-",""),".",""),"/",""))=8,DATE(VALUE(LEFT(SUBSTITUTE(SUBSTITUTE(SUBSTITUTE(TRIM($G576),"-",""),".",""),"/",""),4)),VALUE(MID(SUBSTITUTE(SUBSTITUTE(SUBSTITUTE(TRIM($G576),"-",""),".",""),"/",""),5,2)),VALUE(RIGHT(SUBSTITUTE(SUBSTITUTE(SUBSTITUTE(TRIM($G576),"-",""),".",""),"/",""),2))),DATEVALUE($G576))),""))</f>
        <v/>
      </c>
      <c r="V576" s="52" t="str">
        <f aca="false">IF($H576="","",IFERROR(IF(IF(ISNUMBER($H576),$H576,IFERROR(TIMEVALUE($H576),VALUE($H576)))&gt;=100,INT(IF(ISNUMBER($H576),$H576,IFERROR(TIMEVALUE($H576),VALUE($H576)))/100)*60+MOD(IF(ISNUMBER($H576),$H576,IFERROR(TIMEVALUE($H576),VALUE($H576))),100),IF(IF(ISNUMBER($H576),$H576,IFERROR(TIMEVALUE($H576),VALUE($H576)))&gt;=1,ROUND(IF(ISNUMBER($H576),$H576,IFERROR(TIMEVALUE($H576),VALUE($H576)))*60,0),ROUND(MOD(IF(ISNUMBER($H576),$H576,IFERROR(TIMEVALUE($H576),VALUE($H576))),1)*1440,0))),""))</f>
        <v/>
      </c>
      <c r="W576" s="52" t="str">
        <f aca="false">IF($I576="","",IFERROR(IF(IF(ISNUMBER($I576),$I576,IFERROR(TIMEVALUE($I576),VALUE($I576)))&gt;=100,INT(IF(ISNUMBER($I576),$I576,IFERROR(TIMEVALUE($I576),VALUE($I576)))/100)*60+MOD(IF(ISNUMBER($I576),$I576,IFERROR(TIMEVALUE($I576),VALUE($I576))),100),IF(IF(ISNUMBER($I576),$I576,IFERROR(TIMEVALUE($I576),VALUE($I576)))&gt;=1,ROUND(IF(ISNUMBER($I576),$I576,IFERROR(TIMEVALUE($I576),VALUE($I576)))*60,0),ROUND(MOD(IF(ISNUMBER($I576),$I576,IFERROR(TIMEVALUE($I576),VALUE($I576))),1)*1440,0))),""))</f>
        <v/>
      </c>
      <c r="X576" s="55" t="str">
        <f aca="false">IF($P576="","",IFERROR(IF(ISNUMBER($P576),IF($P576&gt;19000000,DATE(INT($P576/10000),MOD(INT($P576/100),100),MOD($P576,100)),INT($P576)),IF(LEN(SUBSTITUTE(SUBSTITUTE(SUBSTITUTE(TRIM($P576),"-",""),".",""),"/",""))=8,DATE(VALUE(LEFT(SUBSTITUTE(SUBSTITUTE(SUBSTITUTE(TRIM($P576),"-",""),".",""),"/",""),4)),VALUE(MID(SUBSTITUTE(SUBSTITUTE(SUBSTITUTE(TRIM($P576),"-",""),".",""),"/",""),5,2)),VALUE(RIGHT(SUBSTITUTE(SUBSTITUTE(SUBSTITUTE(TRIM($P576),"-",""),".",""),"/",""),2))),DATEVALUE($P576))),""))</f>
        <v/>
      </c>
      <c r="Y576" s="56" t="str">
        <f aca="false">IF($M576="","",IFERROR(INDEX(강사DB!$D$4:$D$53,MATCH($M576,강사DB!$A$4:$A$53,0)),""))</f>
        <v/>
      </c>
      <c r="Z576" s="56" t="str">
        <f aca="false">IF($B576&lt;&gt;"결제완료","",IF(OR($Y576="",$J576=""),"",$Y576*$J576+MAX(0,N($K576)-1)*설정!$J$7))</f>
        <v/>
      </c>
      <c r="AA576" s="56" t="str">
        <f aca="false">IF(AND($D576&lt;&gt;"",$B576="결제완료"),N($N576),"")</f>
        <v/>
      </c>
      <c r="AB576" s="45" t="str">
        <f aca="false">IF($D576="","",IF($F576&lt;&gt;"",$F576,$D576)&amp;IF($B576="상담중"," (상담)",""))</f>
        <v/>
      </c>
      <c r="AC576" s="45" t="n">
        <f aca="false">IF(AND($D576&lt;&gt;"",OR($B576="결제완료",$B576="상담중")),1,0)</f>
        <v>0</v>
      </c>
      <c r="AD576" s="45" t="n">
        <f aca="false">IF(OR($Z576="",$U576=""),0,IFERROR(IF(COUNTIFS(INDEX(g_grid,0,2*MATCH($M576,강사DB!$A$4:$A$15,0)),"&lt;&gt;",g_s,"&lt;="&amp;$U576,g_e,"&gt;="&amp;$U576)&gt;0,1,0),0))</f>
        <v>0</v>
      </c>
      <c r="AE576" s="48"/>
      <c r="AF576" s="56" t="str">
        <f aca="false">IF(AND($D576&lt;&gt;"",$B576="결제완료",$T576="대여"),설정!$J$5,"")</f>
        <v/>
      </c>
      <c r="AG576" s="54" t="str">
        <f aca="false">IF($D576="","",IF(AND($E576="",$R576=""),$AB576,"☎ "&amp;IF($E576="","-",$E576)&amp;IF($R576&lt;&gt;"","  ※ "&amp;$R576,"")&amp;IF($B576="상담중"," (상담)","")))</f>
        <v/>
      </c>
      <c r="AH576" s="56" t="str">
        <f aca="false">IF(AND($D576&lt;&gt;"",$B576="결제완료",$O576="스마트스토어"),ROUND(N($N576)*설정!$J$6,0),"")</f>
        <v/>
      </c>
      <c r="AI576" s="54" t="str">
        <f aca="false">IF($D576="","",ROW())</f>
        <v/>
      </c>
      <c r="AJ576" s="54" t="n">
        <f aca="false">IF(OR($AC576&lt;&gt;1,$M576=""),0,IF(ISNUMBER(SEARCH("퇴사",IFERROR(INDEX(강사DB!$G$4:$G$53,MATCH($M576,강사DB!$A$4:$A$53,0)),""))),1,0))</f>
        <v>0</v>
      </c>
    </row>
    <row r="577" customFormat="false" ht="15" hidden="false" customHeight="false" outlineLevel="0" collapsed="false">
      <c r="A577" s="45" t="str">
        <f aca="false">IF($D577="","",COUNTA($D$5:$D577))</f>
        <v/>
      </c>
      <c r="B577" s="46"/>
      <c r="C577" s="47"/>
      <c r="D577" s="48"/>
      <c r="E577" s="48"/>
      <c r="F577" s="49"/>
      <c r="G577" s="47"/>
      <c r="H577" s="50"/>
      <c r="I577" s="50"/>
      <c r="J577" s="51" t="str">
        <f aca="false">IF(OR($V577="",$W577=""),"",ROUND(($W577-$V577)/60,2))</f>
        <v/>
      </c>
      <c r="K577" s="52" t="str">
        <f aca="false">IF($F577="","",LEN($F577)-LEN(SUBSTITUTE($F577,",",""))+1)</f>
        <v/>
      </c>
      <c r="L577" s="45" t="str">
        <f aca="false">IF($K577="","","1:"&amp;$K577)</f>
        <v/>
      </c>
      <c r="M577" s="46"/>
      <c r="N577" s="53"/>
      <c r="O577" s="46"/>
      <c r="P577" s="47"/>
      <c r="Q577" s="48"/>
      <c r="R577" s="49"/>
      <c r="S577" s="54" t="str">
        <f aca="false">IF(OR($AC577=0,$U577="",$M577="",$V577="",$W577=""),"",IF(COUNTIFS(m_teacher,$M577,m_date,$U577,m_active,1,m_start,"&lt;"&amp;$W577,m_end,"&gt;"&amp;$V577)&gt;1,"충돌",""))</f>
        <v/>
      </c>
      <c r="T577" s="48"/>
      <c r="U577" s="55" t="str">
        <f aca="false">IF($G577="","",IFERROR(IF(ISNUMBER($G577),IF($G577&gt;19000000,DATE(INT($G577/10000),MOD(INT($G577/100),100),MOD($G577,100)),INT($G577)),IF(LEN(SUBSTITUTE(SUBSTITUTE(SUBSTITUTE(TRIM($G577),"-",""),".",""),"/",""))=8,DATE(VALUE(LEFT(SUBSTITUTE(SUBSTITUTE(SUBSTITUTE(TRIM($G577),"-",""),".",""),"/",""),4)),VALUE(MID(SUBSTITUTE(SUBSTITUTE(SUBSTITUTE(TRIM($G577),"-",""),".",""),"/",""),5,2)),VALUE(RIGHT(SUBSTITUTE(SUBSTITUTE(SUBSTITUTE(TRIM($G577),"-",""),".",""),"/",""),2))),DATEVALUE($G577))),""))</f>
        <v/>
      </c>
      <c r="V577" s="52" t="str">
        <f aca="false">IF($H577="","",IFERROR(IF(IF(ISNUMBER($H577),$H577,IFERROR(TIMEVALUE($H577),VALUE($H577)))&gt;=100,INT(IF(ISNUMBER($H577),$H577,IFERROR(TIMEVALUE($H577),VALUE($H577)))/100)*60+MOD(IF(ISNUMBER($H577),$H577,IFERROR(TIMEVALUE($H577),VALUE($H577))),100),IF(IF(ISNUMBER($H577),$H577,IFERROR(TIMEVALUE($H577),VALUE($H577)))&gt;=1,ROUND(IF(ISNUMBER($H577),$H577,IFERROR(TIMEVALUE($H577),VALUE($H577)))*60,0),ROUND(MOD(IF(ISNUMBER($H577),$H577,IFERROR(TIMEVALUE($H577),VALUE($H577))),1)*1440,0))),""))</f>
        <v/>
      </c>
      <c r="W577" s="52" t="str">
        <f aca="false">IF($I577="","",IFERROR(IF(IF(ISNUMBER($I577),$I577,IFERROR(TIMEVALUE($I577),VALUE($I577)))&gt;=100,INT(IF(ISNUMBER($I577),$I577,IFERROR(TIMEVALUE($I577),VALUE($I577)))/100)*60+MOD(IF(ISNUMBER($I577),$I577,IFERROR(TIMEVALUE($I577),VALUE($I577))),100),IF(IF(ISNUMBER($I577),$I577,IFERROR(TIMEVALUE($I577),VALUE($I577)))&gt;=1,ROUND(IF(ISNUMBER($I577),$I577,IFERROR(TIMEVALUE($I577),VALUE($I577)))*60,0),ROUND(MOD(IF(ISNUMBER($I577),$I577,IFERROR(TIMEVALUE($I577),VALUE($I577))),1)*1440,0))),""))</f>
        <v/>
      </c>
      <c r="X577" s="55" t="str">
        <f aca="false">IF($P577="","",IFERROR(IF(ISNUMBER($P577),IF($P577&gt;19000000,DATE(INT($P577/10000),MOD(INT($P577/100),100),MOD($P577,100)),INT($P577)),IF(LEN(SUBSTITUTE(SUBSTITUTE(SUBSTITUTE(TRIM($P577),"-",""),".",""),"/",""))=8,DATE(VALUE(LEFT(SUBSTITUTE(SUBSTITUTE(SUBSTITUTE(TRIM($P577),"-",""),".",""),"/",""),4)),VALUE(MID(SUBSTITUTE(SUBSTITUTE(SUBSTITUTE(TRIM($P577),"-",""),".",""),"/",""),5,2)),VALUE(RIGHT(SUBSTITUTE(SUBSTITUTE(SUBSTITUTE(TRIM($P577),"-",""),".",""),"/",""),2))),DATEVALUE($P577))),""))</f>
        <v/>
      </c>
      <c r="Y577" s="56" t="str">
        <f aca="false">IF($M577="","",IFERROR(INDEX(강사DB!$D$4:$D$53,MATCH($M577,강사DB!$A$4:$A$53,0)),""))</f>
        <v/>
      </c>
      <c r="Z577" s="56" t="str">
        <f aca="false">IF($B577&lt;&gt;"결제완료","",IF(OR($Y577="",$J577=""),"",$Y577*$J577+MAX(0,N($K577)-1)*설정!$J$7))</f>
        <v/>
      </c>
      <c r="AA577" s="56" t="str">
        <f aca="false">IF(AND($D577&lt;&gt;"",$B577="결제완료"),N($N577),"")</f>
        <v/>
      </c>
      <c r="AB577" s="45" t="str">
        <f aca="false">IF($D577="","",IF($F577&lt;&gt;"",$F577,$D577)&amp;IF($B577="상담중"," (상담)",""))</f>
        <v/>
      </c>
      <c r="AC577" s="45" t="n">
        <f aca="false">IF(AND($D577&lt;&gt;"",OR($B577="결제완료",$B577="상담중")),1,0)</f>
        <v>0</v>
      </c>
      <c r="AD577" s="45" t="n">
        <f aca="false">IF(OR($Z577="",$U577=""),0,IFERROR(IF(COUNTIFS(INDEX(g_grid,0,2*MATCH($M577,강사DB!$A$4:$A$15,0)),"&lt;&gt;",g_s,"&lt;="&amp;$U577,g_e,"&gt;="&amp;$U577)&gt;0,1,0),0))</f>
        <v>0</v>
      </c>
      <c r="AE577" s="48"/>
      <c r="AF577" s="56" t="str">
        <f aca="false">IF(AND($D577&lt;&gt;"",$B577="결제완료",$T577="대여"),설정!$J$5,"")</f>
        <v/>
      </c>
      <c r="AG577" s="54" t="str">
        <f aca="false">IF($D577="","",IF(AND($E577="",$R577=""),$AB577,"☎ "&amp;IF($E577="","-",$E577)&amp;IF($R577&lt;&gt;"","  ※ "&amp;$R577,"")&amp;IF($B577="상담중"," (상담)","")))</f>
        <v/>
      </c>
      <c r="AH577" s="56" t="str">
        <f aca="false">IF(AND($D577&lt;&gt;"",$B577="결제완료",$O577="스마트스토어"),ROUND(N($N577)*설정!$J$6,0),"")</f>
        <v/>
      </c>
      <c r="AI577" s="54" t="str">
        <f aca="false">IF($D577="","",ROW())</f>
        <v/>
      </c>
      <c r="AJ577" s="54" t="n">
        <f aca="false">IF(OR($AC577&lt;&gt;1,$M577=""),0,IF(ISNUMBER(SEARCH("퇴사",IFERROR(INDEX(강사DB!$G$4:$G$53,MATCH($M577,강사DB!$A$4:$A$53,0)),""))),1,0))</f>
        <v>0</v>
      </c>
    </row>
    <row r="578" customFormat="false" ht="15" hidden="false" customHeight="false" outlineLevel="0" collapsed="false">
      <c r="A578" s="45" t="str">
        <f aca="false">IF($D578="","",COUNTA($D$5:$D578))</f>
        <v/>
      </c>
      <c r="B578" s="46"/>
      <c r="C578" s="47"/>
      <c r="D578" s="48"/>
      <c r="E578" s="48"/>
      <c r="F578" s="49"/>
      <c r="G578" s="47"/>
      <c r="H578" s="50"/>
      <c r="I578" s="50"/>
      <c r="J578" s="51" t="str">
        <f aca="false">IF(OR($V578="",$W578=""),"",ROUND(($W578-$V578)/60,2))</f>
        <v/>
      </c>
      <c r="K578" s="52" t="str">
        <f aca="false">IF($F578="","",LEN($F578)-LEN(SUBSTITUTE($F578,",",""))+1)</f>
        <v/>
      </c>
      <c r="L578" s="45" t="str">
        <f aca="false">IF($K578="","","1:"&amp;$K578)</f>
        <v/>
      </c>
      <c r="M578" s="46"/>
      <c r="N578" s="53"/>
      <c r="O578" s="46"/>
      <c r="P578" s="47"/>
      <c r="Q578" s="48"/>
      <c r="R578" s="49"/>
      <c r="S578" s="54" t="str">
        <f aca="false">IF(OR($AC578=0,$U578="",$M578="",$V578="",$W578=""),"",IF(COUNTIFS(m_teacher,$M578,m_date,$U578,m_active,1,m_start,"&lt;"&amp;$W578,m_end,"&gt;"&amp;$V578)&gt;1,"충돌",""))</f>
        <v/>
      </c>
      <c r="T578" s="48"/>
      <c r="U578" s="55" t="str">
        <f aca="false">IF($G578="","",IFERROR(IF(ISNUMBER($G578),IF($G578&gt;19000000,DATE(INT($G578/10000),MOD(INT($G578/100),100),MOD($G578,100)),INT($G578)),IF(LEN(SUBSTITUTE(SUBSTITUTE(SUBSTITUTE(TRIM($G578),"-",""),".",""),"/",""))=8,DATE(VALUE(LEFT(SUBSTITUTE(SUBSTITUTE(SUBSTITUTE(TRIM($G578),"-",""),".",""),"/",""),4)),VALUE(MID(SUBSTITUTE(SUBSTITUTE(SUBSTITUTE(TRIM($G578),"-",""),".",""),"/",""),5,2)),VALUE(RIGHT(SUBSTITUTE(SUBSTITUTE(SUBSTITUTE(TRIM($G578),"-",""),".",""),"/",""),2))),DATEVALUE($G578))),""))</f>
        <v/>
      </c>
      <c r="V578" s="52" t="str">
        <f aca="false">IF($H578="","",IFERROR(IF(IF(ISNUMBER($H578),$H578,IFERROR(TIMEVALUE($H578),VALUE($H578)))&gt;=100,INT(IF(ISNUMBER($H578),$H578,IFERROR(TIMEVALUE($H578),VALUE($H578)))/100)*60+MOD(IF(ISNUMBER($H578),$H578,IFERROR(TIMEVALUE($H578),VALUE($H578))),100),IF(IF(ISNUMBER($H578),$H578,IFERROR(TIMEVALUE($H578),VALUE($H578)))&gt;=1,ROUND(IF(ISNUMBER($H578),$H578,IFERROR(TIMEVALUE($H578),VALUE($H578)))*60,0),ROUND(MOD(IF(ISNUMBER($H578),$H578,IFERROR(TIMEVALUE($H578),VALUE($H578))),1)*1440,0))),""))</f>
        <v/>
      </c>
      <c r="W578" s="52" t="str">
        <f aca="false">IF($I578="","",IFERROR(IF(IF(ISNUMBER($I578),$I578,IFERROR(TIMEVALUE($I578),VALUE($I578)))&gt;=100,INT(IF(ISNUMBER($I578),$I578,IFERROR(TIMEVALUE($I578),VALUE($I578)))/100)*60+MOD(IF(ISNUMBER($I578),$I578,IFERROR(TIMEVALUE($I578),VALUE($I578))),100),IF(IF(ISNUMBER($I578),$I578,IFERROR(TIMEVALUE($I578),VALUE($I578)))&gt;=1,ROUND(IF(ISNUMBER($I578),$I578,IFERROR(TIMEVALUE($I578),VALUE($I578)))*60,0),ROUND(MOD(IF(ISNUMBER($I578),$I578,IFERROR(TIMEVALUE($I578),VALUE($I578))),1)*1440,0))),""))</f>
        <v/>
      </c>
      <c r="X578" s="55" t="str">
        <f aca="false">IF($P578="","",IFERROR(IF(ISNUMBER($P578),IF($P578&gt;19000000,DATE(INT($P578/10000),MOD(INT($P578/100),100),MOD($P578,100)),INT($P578)),IF(LEN(SUBSTITUTE(SUBSTITUTE(SUBSTITUTE(TRIM($P578),"-",""),".",""),"/",""))=8,DATE(VALUE(LEFT(SUBSTITUTE(SUBSTITUTE(SUBSTITUTE(TRIM($P578),"-",""),".",""),"/",""),4)),VALUE(MID(SUBSTITUTE(SUBSTITUTE(SUBSTITUTE(TRIM($P578),"-",""),".",""),"/",""),5,2)),VALUE(RIGHT(SUBSTITUTE(SUBSTITUTE(SUBSTITUTE(TRIM($P578),"-",""),".",""),"/",""),2))),DATEVALUE($P578))),""))</f>
        <v/>
      </c>
      <c r="Y578" s="56" t="str">
        <f aca="false">IF($M578="","",IFERROR(INDEX(강사DB!$D$4:$D$53,MATCH($M578,강사DB!$A$4:$A$53,0)),""))</f>
        <v/>
      </c>
      <c r="Z578" s="56" t="str">
        <f aca="false">IF($B578&lt;&gt;"결제완료","",IF(OR($Y578="",$J578=""),"",$Y578*$J578+MAX(0,N($K578)-1)*설정!$J$7))</f>
        <v/>
      </c>
      <c r="AA578" s="56" t="str">
        <f aca="false">IF(AND($D578&lt;&gt;"",$B578="결제완료"),N($N578),"")</f>
        <v/>
      </c>
      <c r="AB578" s="45" t="str">
        <f aca="false">IF($D578="","",IF($F578&lt;&gt;"",$F578,$D578)&amp;IF($B578="상담중"," (상담)",""))</f>
        <v/>
      </c>
      <c r="AC578" s="45" t="n">
        <f aca="false">IF(AND($D578&lt;&gt;"",OR($B578="결제완료",$B578="상담중")),1,0)</f>
        <v>0</v>
      </c>
      <c r="AD578" s="45" t="n">
        <f aca="false">IF(OR($Z578="",$U578=""),0,IFERROR(IF(COUNTIFS(INDEX(g_grid,0,2*MATCH($M578,강사DB!$A$4:$A$15,0)),"&lt;&gt;",g_s,"&lt;="&amp;$U578,g_e,"&gt;="&amp;$U578)&gt;0,1,0),0))</f>
        <v>0</v>
      </c>
      <c r="AE578" s="48"/>
      <c r="AF578" s="56" t="str">
        <f aca="false">IF(AND($D578&lt;&gt;"",$B578="결제완료",$T578="대여"),설정!$J$5,"")</f>
        <v/>
      </c>
      <c r="AG578" s="54" t="str">
        <f aca="false">IF($D578="","",IF(AND($E578="",$R578=""),$AB578,"☎ "&amp;IF($E578="","-",$E578)&amp;IF($R578&lt;&gt;"","  ※ "&amp;$R578,"")&amp;IF($B578="상담중"," (상담)","")))</f>
        <v/>
      </c>
      <c r="AH578" s="56" t="str">
        <f aca="false">IF(AND($D578&lt;&gt;"",$B578="결제완료",$O578="스마트스토어"),ROUND(N($N578)*설정!$J$6,0),"")</f>
        <v/>
      </c>
      <c r="AI578" s="54" t="str">
        <f aca="false">IF($D578="","",ROW())</f>
        <v/>
      </c>
      <c r="AJ578" s="54" t="n">
        <f aca="false">IF(OR($AC578&lt;&gt;1,$M578=""),0,IF(ISNUMBER(SEARCH("퇴사",IFERROR(INDEX(강사DB!$G$4:$G$53,MATCH($M578,강사DB!$A$4:$A$53,0)),""))),1,0))</f>
        <v>0</v>
      </c>
    </row>
    <row r="579" customFormat="false" ht="15" hidden="false" customHeight="false" outlineLevel="0" collapsed="false">
      <c r="A579" s="45" t="str">
        <f aca="false">IF($D579="","",COUNTA($D$5:$D579))</f>
        <v/>
      </c>
      <c r="B579" s="46"/>
      <c r="C579" s="47"/>
      <c r="D579" s="48"/>
      <c r="E579" s="48"/>
      <c r="F579" s="49"/>
      <c r="G579" s="47"/>
      <c r="H579" s="50"/>
      <c r="I579" s="50"/>
      <c r="J579" s="51" t="str">
        <f aca="false">IF(OR($V579="",$W579=""),"",ROUND(($W579-$V579)/60,2))</f>
        <v/>
      </c>
      <c r="K579" s="52" t="str">
        <f aca="false">IF($F579="","",LEN($F579)-LEN(SUBSTITUTE($F579,",",""))+1)</f>
        <v/>
      </c>
      <c r="L579" s="45" t="str">
        <f aca="false">IF($K579="","","1:"&amp;$K579)</f>
        <v/>
      </c>
      <c r="M579" s="46"/>
      <c r="N579" s="53"/>
      <c r="O579" s="46"/>
      <c r="P579" s="47"/>
      <c r="Q579" s="48"/>
      <c r="R579" s="49"/>
      <c r="S579" s="54" t="str">
        <f aca="false">IF(OR($AC579=0,$U579="",$M579="",$V579="",$W579=""),"",IF(COUNTIFS(m_teacher,$M579,m_date,$U579,m_active,1,m_start,"&lt;"&amp;$W579,m_end,"&gt;"&amp;$V579)&gt;1,"충돌",""))</f>
        <v/>
      </c>
      <c r="T579" s="48"/>
      <c r="U579" s="55" t="str">
        <f aca="false">IF($G579="","",IFERROR(IF(ISNUMBER($G579),IF($G579&gt;19000000,DATE(INT($G579/10000),MOD(INT($G579/100),100),MOD($G579,100)),INT($G579)),IF(LEN(SUBSTITUTE(SUBSTITUTE(SUBSTITUTE(TRIM($G579),"-",""),".",""),"/",""))=8,DATE(VALUE(LEFT(SUBSTITUTE(SUBSTITUTE(SUBSTITUTE(TRIM($G579),"-",""),".",""),"/",""),4)),VALUE(MID(SUBSTITUTE(SUBSTITUTE(SUBSTITUTE(TRIM($G579),"-",""),".",""),"/",""),5,2)),VALUE(RIGHT(SUBSTITUTE(SUBSTITUTE(SUBSTITUTE(TRIM($G579),"-",""),".",""),"/",""),2))),DATEVALUE($G579))),""))</f>
        <v/>
      </c>
      <c r="V579" s="52" t="str">
        <f aca="false">IF($H579="","",IFERROR(IF(IF(ISNUMBER($H579),$H579,IFERROR(TIMEVALUE($H579),VALUE($H579)))&gt;=100,INT(IF(ISNUMBER($H579),$H579,IFERROR(TIMEVALUE($H579),VALUE($H579)))/100)*60+MOD(IF(ISNUMBER($H579),$H579,IFERROR(TIMEVALUE($H579),VALUE($H579))),100),IF(IF(ISNUMBER($H579),$H579,IFERROR(TIMEVALUE($H579),VALUE($H579)))&gt;=1,ROUND(IF(ISNUMBER($H579),$H579,IFERROR(TIMEVALUE($H579),VALUE($H579)))*60,0),ROUND(MOD(IF(ISNUMBER($H579),$H579,IFERROR(TIMEVALUE($H579),VALUE($H579))),1)*1440,0))),""))</f>
        <v/>
      </c>
      <c r="W579" s="52" t="str">
        <f aca="false">IF($I579="","",IFERROR(IF(IF(ISNUMBER($I579),$I579,IFERROR(TIMEVALUE($I579),VALUE($I579)))&gt;=100,INT(IF(ISNUMBER($I579),$I579,IFERROR(TIMEVALUE($I579),VALUE($I579)))/100)*60+MOD(IF(ISNUMBER($I579),$I579,IFERROR(TIMEVALUE($I579),VALUE($I579))),100),IF(IF(ISNUMBER($I579),$I579,IFERROR(TIMEVALUE($I579),VALUE($I579)))&gt;=1,ROUND(IF(ISNUMBER($I579),$I579,IFERROR(TIMEVALUE($I579),VALUE($I579)))*60,0),ROUND(MOD(IF(ISNUMBER($I579),$I579,IFERROR(TIMEVALUE($I579),VALUE($I579))),1)*1440,0))),""))</f>
        <v/>
      </c>
      <c r="X579" s="55" t="str">
        <f aca="false">IF($P579="","",IFERROR(IF(ISNUMBER($P579),IF($P579&gt;19000000,DATE(INT($P579/10000),MOD(INT($P579/100),100),MOD($P579,100)),INT($P579)),IF(LEN(SUBSTITUTE(SUBSTITUTE(SUBSTITUTE(TRIM($P579),"-",""),".",""),"/",""))=8,DATE(VALUE(LEFT(SUBSTITUTE(SUBSTITUTE(SUBSTITUTE(TRIM($P579),"-",""),".",""),"/",""),4)),VALUE(MID(SUBSTITUTE(SUBSTITUTE(SUBSTITUTE(TRIM($P579),"-",""),".",""),"/",""),5,2)),VALUE(RIGHT(SUBSTITUTE(SUBSTITUTE(SUBSTITUTE(TRIM($P579),"-",""),".",""),"/",""),2))),DATEVALUE($P579))),""))</f>
        <v/>
      </c>
      <c r="Y579" s="56" t="str">
        <f aca="false">IF($M579="","",IFERROR(INDEX(강사DB!$D$4:$D$53,MATCH($M579,강사DB!$A$4:$A$53,0)),""))</f>
        <v/>
      </c>
      <c r="Z579" s="56" t="str">
        <f aca="false">IF($B579&lt;&gt;"결제완료","",IF(OR($Y579="",$J579=""),"",$Y579*$J579+MAX(0,N($K579)-1)*설정!$J$7))</f>
        <v/>
      </c>
      <c r="AA579" s="56" t="str">
        <f aca="false">IF(AND($D579&lt;&gt;"",$B579="결제완료"),N($N579),"")</f>
        <v/>
      </c>
      <c r="AB579" s="45" t="str">
        <f aca="false">IF($D579="","",IF($F579&lt;&gt;"",$F579,$D579)&amp;IF($B579="상담중"," (상담)",""))</f>
        <v/>
      </c>
      <c r="AC579" s="45" t="n">
        <f aca="false">IF(AND($D579&lt;&gt;"",OR($B579="결제완료",$B579="상담중")),1,0)</f>
        <v>0</v>
      </c>
      <c r="AD579" s="45" t="n">
        <f aca="false">IF(OR($Z579="",$U579=""),0,IFERROR(IF(COUNTIFS(INDEX(g_grid,0,2*MATCH($M579,강사DB!$A$4:$A$15,0)),"&lt;&gt;",g_s,"&lt;="&amp;$U579,g_e,"&gt;="&amp;$U579)&gt;0,1,0),0))</f>
        <v>0</v>
      </c>
      <c r="AE579" s="48"/>
      <c r="AF579" s="56" t="str">
        <f aca="false">IF(AND($D579&lt;&gt;"",$B579="결제완료",$T579="대여"),설정!$J$5,"")</f>
        <v/>
      </c>
      <c r="AG579" s="54" t="str">
        <f aca="false">IF($D579="","",IF(AND($E579="",$R579=""),$AB579,"☎ "&amp;IF($E579="","-",$E579)&amp;IF($R579&lt;&gt;"","  ※ "&amp;$R579,"")&amp;IF($B579="상담중"," (상담)","")))</f>
        <v/>
      </c>
      <c r="AH579" s="56" t="str">
        <f aca="false">IF(AND($D579&lt;&gt;"",$B579="결제완료",$O579="스마트스토어"),ROUND(N($N579)*설정!$J$6,0),"")</f>
        <v/>
      </c>
      <c r="AI579" s="54" t="str">
        <f aca="false">IF($D579="","",ROW())</f>
        <v/>
      </c>
      <c r="AJ579" s="54" t="n">
        <f aca="false">IF(OR($AC579&lt;&gt;1,$M579=""),0,IF(ISNUMBER(SEARCH("퇴사",IFERROR(INDEX(강사DB!$G$4:$G$53,MATCH($M579,강사DB!$A$4:$A$53,0)),""))),1,0))</f>
        <v>0</v>
      </c>
    </row>
    <row r="580" customFormat="false" ht="15" hidden="false" customHeight="false" outlineLevel="0" collapsed="false">
      <c r="A580" s="45" t="str">
        <f aca="false">IF($D580="","",COUNTA($D$5:$D580))</f>
        <v/>
      </c>
      <c r="B580" s="46"/>
      <c r="C580" s="47"/>
      <c r="D580" s="48"/>
      <c r="E580" s="48"/>
      <c r="F580" s="49"/>
      <c r="G580" s="47"/>
      <c r="H580" s="50"/>
      <c r="I580" s="50"/>
      <c r="J580" s="51" t="str">
        <f aca="false">IF(OR($V580="",$W580=""),"",ROUND(($W580-$V580)/60,2))</f>
        <v/>
      </c>
      <c r="K580" s="52" t="str">
        <f aca="false">IF($F580="","",LEN($F580)-LEN(SUBSTITUTE($F580,",",""))+1)</f>
        <v/>
      </c>
      <c r="L580" s="45" t="str">
        <f aca="false">IF($K580="","","1:"&amp;$K580)</f>
        <v/>
      </c>
      <c r="M580" s="46"/>
      <c r="N580" s="53"/>
      <c r="O580" s="46"/>
      <c r="P580" s="47"/>
      <c r="Q580" s="48"/>
      <c r="R580" s="49"/>
      <c r="S580" s="54" t="str">
        <f aca="false">IF(OR($AC580=0,$U580="",$M580="",$V580="",$W580=""),"",IF(COUNTIFS(m_teacher,$M580,m_date,$U580,m_active,1,m_start,"&lt;"&amp;$W580,m_end,"&gt;"&amp;$V580)&gt;1,"충돌",""))</f>
        <v/>
      </c>
      <c r="T580" s="48"/>
      <c r="U580" s="55" t="str">
        <f aca="false">IF($G580="","",IFERROR(IF(ISNUMBER($G580),IF($G580&gt;19000000,DATE(INT($G580/10000),MOD(INT($G580/100),100),MOD($G580,100)),INT($G580)),IF(LEN(SUBSTITUTE(SUBSTITUTE(SUBSTITUTE(TRIM($G580),"-",""),".",""),"/",""))=8,DATE(VALUE(LEFT(SUBSTITUTE(SUBSTITUTE(SUBSTITUTE(TRIM($G580),"-",""),".",""),"/",""),4)),VALUE(MID(SUBSTITUTE(SUBSTITUTE(SUBSTITUTE(TRIM($G580),"-",""),".",""),"/",""),5,2)),VALUE(RIGHT(SUBSTITUTE(SUBSTITUTE(SUBSTITUTE(TRIM($G580),"-",""),".",""),"/",""),2))),DATEVALUE($G580))),""))</f>
        <v/>
      </c>
      <c r="V580" s="52" t="str">
        <f aca="false">IF($H580="","",IFERROR(IF(IF(ISNUMBER($H580),$H580,IFERROR(TIMEVALUE($H580),VALUE($H580)))&gt;=100,INT(IF(ISNUMBER($H580),$H580,IFERROR(TIMEVALUE($H580),VALUE($H580)))/100)*60+MOD(IF(ISNUMBER($H580),$H580,IFERROR(TIMEVALUE($H580),VALUE($H580))),100),IF(IF(ISNUMBER($H580),$H580,IFERROR(TIMEVALUE($H580),VALUE($H580)))&gt;=1,ROUND(IF(ISNUMBER($H580),$H580,IFERROR(TIMEVALUE($H580),VALUE($H580)))*60,0),ROUND(MOD(IF(ISNUMBER($H580),$H580,IFERROR(TIMEVALUE($H580),VALUE($H580))),1)*1440,0))),""))</f>
        <v/>
      </c>
      <c r="W580" s="52" t="str">
        <f aca="false">IF($I580="","",IFERROR(IF(IF(ISNUMBER($I580),$I580,IFERROR(TIMEVALUE($I580),VALUE($I580)))&gt;=100,INT(IF(ISNUMBER($I580),$I580,IFERROR(TIMEVALUE($I580),VALUE($I580)))/100)*60+MOD(IF(ISNUMBER($I580),$I580,IFERROR(TIMEVALUE($I580),VALUE($I580))),100),IF(IF(ISNUMBER($I580),$I580,IFERROR(TIMEVALUE($I580),VALUE($I580)))&gt;=1,ROUND(IF(ISNUMBER($I580),$I580,IFERROR(TIMEVALUE($I580),VALUE($I580)))*60,0),ROUND(MOD(IF(ISNUMBER($I580),$I580,IFERROR(TIMEVALUE($I580),VALUE($I580))),1)*1440,0))),""))</f>
        <v/>
      </c>
      <c r="X580" s="55" t="str">
        <f aca="false">IF($P580="","",IFERROR(IF(ISNUMBER($P580),IF($P580&gt;19000000,DATE(INT($P580/10000),MOD(INT($P580/100),100),MOD($P580,100)),INT($P580)),IF(LEN(SUBSTITUTE(SUBSTITUTE(SUBSTITUTE(TRIM($P580),"-",""),".",""),"/",""))=8,DATE(VALUE(LEFT(SUBSTITUTE(SUBSTITUTE(SUBSTITUTE(TRIM($P580),"-",""),".",""),"/",""),4)),VALUE(MID(SUBSTITUTE(SUBSTITUTE(SUBSTITUTE(TRIM($P580),"-",""),".",""),"/",""),5,2)),VALUE(RIGHT(SUBSTITUTE(SUBSTITUTE(SUBSTITUTE(TRIM($P580),"-",""),".",""),"/",""),2))),DATEVALUE($P580))),""))</f>
        <v/>
      </c>
      <c r="Y580" s="56" t="str">
        <f aca="false">IF($M580="","",IFERROR(INDEX(강사DB!$D$4:$D$53,MATCH($M580,강사DB!$A$4:$A$53,0)),""))</f>
        <v/>
      </c>
      <c r="Z580" s="56" t="str">
        <f aca="false">IF($B580&lt;&gt;"결제완료","",IF(OR($Y580="",$J580=""),"",$Y580*$J580+MAX(0,N($K580)-1)*설정!$J$7))</f>
        <v/>
      </c>
      <c r="AA580" s="56" t="str">
        <f aca="false">IF(AND($D580&lt;&gt;"",$B580="결제완료"),N($N580),"")</f>
        <v/>
      </c>
      <c r="AB580" s="45" t="str">
        <f aca="false">IF($D580="","",IF($F580&lt;&gt;"",$F580,$D580)&amp;IF($B580="상담중"," (상담)",""))</f>
        <v/>
      </c>
      <c r="AC580" s="45" t="n">
        <f aca="false">IF(AND($D580&lt;&gt;"",OR($B580="결제완료",$B580="상담중")),1,0)</f>
        <v>0</v>
      </c>
      <c r="AD580" s="45" t="n">
        <f aca="false">IF(OR($Z580="",$U580=""),0,IFERROR(IF(COUNTIFS(INDEX(g_grid,0,2*MATCH($M580,강사DB!$A$4:$A$15,0)),"&lt;&gt;",g_s,"&lt;="&amp;$U580,g_e,"&gt;="&amp;$U580)&gt;0,1,0),0))</f>
        <v>0</v>
      </c>
      <c r="AE580" s="48"/>
      <c r="AF580" s="56" t="str">
        <f aca="false">IF(AND($D580&lt;&gt;"",$B580="결제완료",$T580="대여"),설정!$J$5,"")</f>
        <v/>
      </c>
      <c r="AG580" s="54" t="str">
        <f aca="false">IF($D580="","",IF(AND($E580="",$R580=""),$AB580,"☎ "&amp;IF($E580="","-",$E580)&amp;IF($R580&lt;&gt;"","  ※ "&amp;$R580,"")&amp;IF($B580="상담중"," (상담)","")))</f>
        <v/>
      </c>
      <c r="AH580" s="56" t="str">
        <f aca="false">IF(AND($D580&lt;&gt;"",$B580="결제완료",$O580="스마트스토어"),ROUND(N($N580)*설정!$J$6,0),"")</f>
        <v/>
      </c>
      <c r="AI580" s="54" t="str">
        <f aca="false">IF($D580="","",ROW())</f>
        <v/>
      </c>
      <c r="AJ580" s="54" t="n">
        <f aca="false">IF(OR($AC580&lt;&gt;1,$M580=""),0,IF(ISNUMBER(SEARCH("퇴사",IFERROR(INDEX(강사DB!$G$4:$G$53,MATCH($M580,강사DB!$A$4:$A$53,0)),""))),1,0))</f>
        <v>0</v>
      </c>
    </row>
    <row r="581" customFormat="false" ht="15" hidden="false" customHeight="false" outlineLevel="0" collapsed="false">
      <c r="A581" s="45" t="str">
        <f aca="false">IF($D581="","",COUNTA($D$5:$D581))</f>
        <v/>
      </c>
      <c r="B581" s="46"/>
      <c r="C581" s="47"/>
      <c r="D581" s="48"/>
      <c r="E581" s="48"/>
      <c r="F581" s="49"/>
      <c r="G581" s="47"/>
      <c r="H581" s="50"/>
      <c r="I581" s="50"/>
      <c r="J581" s="51" t="str">
        <f aca="false">IF(OR($V581="",$W581=""),"",ROUND(($W581-$V581)/60,2))</f>
        <v/>
      </c>
      <c r="K581" s="52" t="str">
        <f aca="false">IF($F581="","",LEN($F581)-LEN(SUBSTITUTE($F581,",",""))+1)</f>
        <v/>
      </c>
      <c r="L581" s="45" t="str">
        <f aca="false">IF($K581="","","1:"&amp;$K581)</f>
        <v/>
      </c>
      <c r="M581" s="46"/>
      <c r="N581" s="53"/>
      <c r="O581" s="46"/>
      <c r="P581" s="47"/>
      <c r="Q581" s="48"/>
      <c r="R581" s="49"/>
      <c r="S581" s="54" t="str">
        <f aca="false">IF(OR($AC581=0,$U581="",$M581="",$V581="",$W581=""),"",IF(COUNTIFS(m_teacher,$M581,m_date,$U581,m_active,1,m_start,"&lt;"&amp;$W581,m_end,"&gt;"&amp;$V581)&gt;1,"충돌",""))</f>
        <v/>
      </c>
      <c r="T581" s="48"/>
      <c r="U581" s="55" t="str">
        <f aca="false">IF($G581="","",IFERROR(IF(ISNUMBER($G581),IF($G581&gt;19000000,DATE(INT($G581/10000),MOD(INT($G581/100),100),MOD($G581,100)),INT($G581)),IF(LEN(SUBSTITUTE(SUBSTITUTE(SUBSTITUTE(TRIM($G581),"-",""),".",""),"/",""))=8,DATE(VALUE(LEFT(SUBSTITUTE(SUBSTITUTE(SUBSTITUTE(TRIM($G581),"-",""),".",""),"/",""),4)),VALUE(MID(SUBSTITUTE(SUBSTITUTE(SUBSTITUTE(TRIM($G581),"-",""),".",""),"/",""),5,2)),VALUE(RIGHT(SUBSTITUTE(SUBSTITUTE(SUBSTITUTE(TRIM($G581),"-",""),".",""),"/",""),2))),DATEVALUE($G581))),""))</f>
        <v/>
      </c>
      <c r="V581" s="52" t="str">
        <f aca="false">IF($H581="","",IFERROR(IF(IF(ISNUMBER($H581),$H581,IFERROR(TIMEVALUE($H581),VALUE($H581)))&gt;=100,INT(IF(ISNUMBER($H581),$H581,IFERROR(TIMEVALUE($H581),VALUE($H581)))/100)*60+MOD(IF(ISNUMBER($H581),$H581,IFERROR(TIMEVALUE($H581),VALUE($H581))),100),IF(IF(ISNUMBER($H581),$H581,IFERROR(TIMEVALUE($H581),VALUE($H581)))&gt;=1,ROUND(IF(ISNUMBER($H581),$H581,IFERROR(TIMEVALUE($H581),VALUE($H581)))*60,0),ROUND(MOD(IF(ISNUMBER($H581),$H581,IFERROR(TIMEVALUE($H581),VALUE($H581))),1)*1440,0))),""))</f>
        <v/>
      </c>
      <c r="W581" s="52" t="str">
        <f aca="false">IF($I581="","",IFERROR(IF(IF(ISNUMBER($I581),$I581,IFERROR(TIMEVALUE($I581),VALUE($I581)))&gt;=100,INT(IF(ISNUMBER($I581),$I581,IFERROR(TIMEVALUE($I581),VALUE($I581)))/100)*60+MOD(IF(ISNUMBER($I581),$I581,IFERROR(TIMEVALUE($I581),VALUE($I581))),100),IF(IF(ISNUMBER($I581),$I581,IFERROR(TIMEVALUE($I581),VALUE($I581)))&gt;=1,ROUND(IF(ISNUMBER($I581),$I581,IFERROR(TIMEVALUE($I581),VALUE($I581)))*60,0),ROUND(MOD(IF(ISNUMBER($I581),$I581,IFERROR(TIMEVALUE($I581),VALUE($I581))),1)*1440,0))),""))</f>
        <v/>
      </c>
      <c r="X581" s="55" t="str">
        <f aca="false">IF($P581="","",IFERROR(IF(ISNUMBER($P581),IF($P581&gt;19000000,DATE(INT($P581/10000),MOD(INT($P581/100),100),MOD($P581,100)),INT($P581)),IF(LEN(SUBSTITUTE(SUBSTITUTE(SUBSTITUTE(TRIM($P581),"-",""),".",""),"/",""))=8,DATE(VALUE(LEFT(SUBSTITUTE(SUBSTITUTE(SUBSTITUTE(TRIM($P581),"-",""),".",""),"/",""),4)),VALUE(MID(SUBSTITUTE(SUBSTITUTE(SUBSTITUTE(TRIM($P581),"-",""),".",""),"/",""),5,2)),VALUE(RIGHT(SUBSTITUTE(SUBSTITUTE(SUBSTITUTE(TRIM($P581),"-",""),".",""),"/",""),2))),DATEVALUE($P581))),""))</f>
        <v/>
      </c>
      <c r="Y581" s="56" t="str">
        <f aca="false">IF($M581="","",IFERROR(INDEX(강사DB!$D$4:$D$53,MATCH($M581,강사DB!$A$4:$A$53,0)),""))</f>
        <v/>
      </c>
      <c r="Z581" s="56" t="str">
        <f aca="false">IF($B581&lt;&gt;"결제완료","",IF(OR($Y581="",$J581=""),"",$Y581*$J581+MAX(0,N($K581)-1)*설정!$J$7))</f>
        <v/>
      </c>
      <c r="AA581" s="56" t="str">
        <f aca="false">IF(AND($D581&lt;&gt;"",$B581="결제완료"),N($N581),"")</f>
        <v/>
      </c>
      <c r="AB581" s="45" t="str">
        <f aca="false">IF($D581="","",IF($F581&lt;&gt;"",$F581,$D581)&amp;IF($B581="상담중"," (상담)",""))</f>
        <v/>
      </c>
      <c r="AC581" s="45" t="n">
        <f aca="false">IF(AND($D581&lt;&gt;"",OR($B581="결제완료",$B581="상담중")),1,0)</f>
        <v>0</v>
      </c>
      <c r="AD581" s="45" t="n">
        <f aca="false">IF(OR($Z581="",$U581=""),0,IFERROR(IF(COUNTIFS(INDEX(g_grid,0,2*MATCH($M581,강사DB!$A$4:$A$15,0)),"&lt;&gt;",g_s,"&lt;="&amp;$U581,g_e,"&gt;="&amp;$U581)&gt;0,1,0),0))</f>
        <v>0</v>
      </c>
      <c r="AE581" s="48"/>
      <c r="AF581" s="56" t="str">
        <f aca="false">IF(AND($D581&lt;&gt;"",$B581="결제완료",$T581="대여"),설정!$J$5,"")</f>
        <v/>
      </c>
      <c r="AG581" s="54" t="str">
        <f aca="false">IF($D581="","",IF(AND($E581="",$R581=""),$AB581,"☎ "&amp;IF($E581="","-",$E581)&amp;IF($R581&lt;&gt;"","  ※ "&amp;$R581,"")&amp;IF($B581="상담중"," (상담)","")))</f>
        <v/>
      </c>
      <c r="AH581" s="56" t="str">
        <f aca="false">IF(AND($D581&lt;&gt;"",$B581="결제완료",$O581="스마트스토어"),ROUND(N($N581)*설정!$J$6,0),"")</f>
        <v/>
      </c>
      <c r="AI581" s="54" t="str">
        <f aca="false">IF($D581="","",ROW())</f>
        <v/>
      </c>
      <c r="AJ581" s="54" t="n">
        <f aca="false">IF(OR($AC581&lt;&gt;1,$M581=""),0,IF(ISNUMBER(SEARCH("퇴사",IFERROR(INDEX(강사DB!$G$4:$G$53,MATCH($M581,강사DB!$A$4:$A$53,0)),""))),1,0))</f>
        <v>0</v>
      </c>
    </row>
    <row r="582" customFormat="false" ht="15" hidden="false" customHeight="false" outlineLevel="0" collapsed="false">
      <c r="A582" s="45" t="str">
        <f aca="false">IF($D582="","",COUNTA($D$5:$D582))</f>
        <v/>
      </c>
      <c r="B582" s="46"/>
      <c r="C582" s="47"/>
      <c r="D582" s="48"/>
      <c r="E582" s="48"/>
      <c r="F582" s="49"/>
      <c r="G582" s="47"/>
      <c r="H582" s="50"/>
      <c r="I582" s="50"/>
      <c r="J582" s="51" t="str">
        <f aca="false">IF(OR($V582="",$W582=""),"",ROUND(($W582-$V582)/60,2))</f>
        <v/>
      </c>
      <c r="K582" s="52" t="str">
        <f aca="false">IF($F582="","",LEN($F582)-LEN(SUBSTITUTE($F582,",",""))+1)</f>
        <v/>
      </c>
      <c r="L582" s="45" t="str">
        <f aca="false">IF($K582="","","1:"&amp;$K582)</f>
        <v/>
      </c>
      <c r="M582" s="46"/>
      <c r="N582" s="53"/>
      <c r="O582" s="46"/>
      <c r="P582" s="47"/>
      <c r="Q582" s="48"/>
      <c r="R582" s="49"/>
      <c r="S582" s="54" t="str">
        <f aca="false">IF(OR($AC582=0,$U582="",$M582="",$V582="",$W582=""),"",IF(COUNTIFS(m_teacher,$M582,m_date,$U582,m_active,1,m_start,"&lt;"&amp;$W582,m_end,"&gt;"&amp;$V582)&gt;1,"충돌",""))</f>
        <v/>
      </c>
      <c r="T582" s="48"/>
      <c r="U582" s="55" t="str">
        <f aca="false">IF($G582="","",IFERROR(IF(ISNUMBER($G582),IF($G582&gt;19000000,DATE(INT($G582/10000),MOD(INT($G582/100),100),MOD($G582,100)),INT($G582)),IF(LEN(SUBSTITUTE(SUBSTITUTE(SUBSTITUTE(TRIM($G582),"-",""),".",""),"/",""))=8,DATE(VALUE(LEFT(SUBSTITUTE(SUBSTITUTE(SUBSTITUTE(TRIM($G582),"-",""),".",""),"/",""),4)),VALUE(MID(SUBSTITUTE(SUBSTITUTE(SUBSTITUTE(TRIM($G582),"-",""),".",""),"/",""),5,2)),VALUE(RIGHT(SUBSTITUTE(SUBSTITUTE(SUBSTITUTE(TRIM($G582),"-",""),".",""),"/",""),2))),DATEVALUE($G582))),""))</f>
        <v/>
      </c>
      <c r="V582" s="52" t="str">
        <f aca="false">IF($H582="","",IFERROR(IF(IF(ISNUMBER($H582),$H582,IFERROR(TIMEVALUE($H582),VALUE($H582)))&gt;=100,INT(IF(ISNUMBER($H582),$H582,IFERROR(TIMEVALUE($H582),VALUE($H582)))/100)*60+MOD(IF(ISNUMBER($H582),$H582,IFERROR(TIMEVALUE($H582),VALUE($H582))),100),IF(IF(ISNUMBER($H582),$H582,IFERROR(TIMEVALUE($H582),VALUE($H582)))&gt;=1,ROUND(IF(ISNUMBER($H582),$H582,IFERROR(TIMEVALUE($H582),VALUE($H582)))*60,0),ROUND(MOD(IF(ISNUMBER($H582),$H582,IFERROR(TIMEVALUE($H582),VALUE($H582))),1)*1440,0))),""))</f>
        <v/>
      </c>
      <c r="W582" s="52" t="str">
        <f aca="false">IF($I582="","",IFERROR(IF(IF(ISNUMBER($I582),$I582,IFERROR(TIMEVALUE($I582),VALUE($I582)))&gt;=100,INT(IF(ISNUMBER($I582),$I582,IFERROR(TIMEVALUE($I582),VALUE($I582)))/100)*60+MOD(IF(ISNUMBER($I582),$I582,IFERROR(TIMEVALUE($I582),VALUE($I582))),100),IF(IF(ISNUMBER($I582),$I582,IFERROR(TIMEVALUE($I582),VALUE($I582)))&gt;=1,ROUND(IF(ISNUMBER($I582),$I582,IFERROR(TIMEVALUE($I582),VALUE($I582)))*60,0),ROUND(MOD(IF(ISNUMBER($I582),$I582,IFERROR(TIMEVALUE($I582),VALUE($I582))),1)*1440,0))),""))</f>
        <v/>
      </c>
      <c r="X582" s="55" t="str">
        <f aca="false">IF($P582="","",IFERROR(IF(ISNUMBER($P582),IF($P582&gt;19000000,DATE(INT($P582/10000),MOD(INT($P582/100),100),MOD($P582,100)),INT($P582)),IF(LEN(SUBSTITUTE(SUBSTITUTE(SUBSTITUTE(TRIM($P582),"-",""),".",""),"/",""))=8,DATE(VALUE(LEFT(SUBSTITUTE(SUBSTITUTE(SUBSTITUTE(TRIM($P582),"-",""),".",""),"/",""),4)),VALUE(MID(SUBSTITUTE(SUBSTITUTE(SUBSTITUTE(TRIM($P582),"-",""),".",""),"/",""),5,2)),VALUE(RIGHT(SUBSTITUTE(SUBSTITUTE(SUBSTITUTE(TRIM($P582),"-",""),".",""),"/",""),2))),DATEVALUE($P582))),""))</f>
        <v/>
      </c>
      <c r="Y582" s="56" t="str">
        <f aca="false">IF($M582="","",IFERROR(INDEX(강사DB!$D$4:$D$53,MATCH($M582,강사DB!$A$4:$A$53,0)),""))</f>
        <v/>
      </c>
      <c r="Z582" s="56" t="str">
        <f aca="false">IF($B582&lt;&gt;"결제완료","",IF(OR($Y582="",$J582=""),"",$Y582*$J582+MAX(0,N($K582)-1)*설정!$J$7))</f>
        <v/>
      </c>
      <c r="AA582" s="56" t="str">
        <f aca="false">IF(AND($D582&lt;&gt;"",$B582="결제완료"),N($N582),"")</f>
        <v/>
      </c>
      <c r="AB582" s="45" t="str">
        <f aca="false">IF($D582="","",IF($F582&lt;&gt;"",$F582,$D582)&amp;IF($B582="상담중"," (상담)",""))</f>
        <v/>
      </c>
      <c r="AC582" s="45" t="n">
        <f aca="false">IF(AND($D582&lt;&gt;"",OR($B582="결제완료",$B582="상담중")),1,0)</f>
        <v>0</v>
      </c>
      <c r="AD582" s="45" t="n">
        <f aca="false">IF(OR($Z582="",$U582=""),0,IFERROR(IF(COUNTIFS(INDEX(g_grid,0,2*MATCH($M582,강사DB!$A$4:$A$15,0)),"&lt;&gt;",g_s,"&lt;="&amp;$U582,g_e,"&gt;="&amp;$U582)&gt;0,1,0),0))</f>
        <v>0</v>
      </c>
      <c r="AE582" s="48"/>
      <c r="AF582" s="56" t="str">
        <f aca="false">IF(AND($D582&lt;&gt;"",$B582="결제완료",$T582="대여"),설정!$J$5,"")</f>
        <v/>
      </c>
      <c r="AG582" s="54" t="str">
        <f aca="false">IF($D582="","",IF(AND($E582="",$R582=""),$AB582,"☎ "&amp;IF($E582="","-",$E582)&amp;IF($R582&lt;&gt;"","  ※ "&amp;$R582,"")&amp;IF($B582="상담중"," (상담)","")))</f>
        <v/>
      </c>
      <c r="AH582" s="56" t="str">
        <f aca="false">IF(AND($D582&lt;&gt;"",$B582="결제완료",$O582="스마트스토어"),ROUND(N($N582)*설정!$J$6,0),"")</f>
        <v/>
      </c>
      <c r="AI582" s="54" t="str">
        <f aca="false">IF($D582="","",ROW())</f>
        <v/>
      </c>
      <c r="AJ582" s="54" t="n">
        <f aca="false">IF(OR($AC582&lt;&gt;1,$M582=""),0,IF(ISNUMBER(SEARCH("퇴사",IFERROR(INDEX(강사DB!$G$4:$G$53,MATCH($M582,강사DB!$A$4:$A$53,0)),""))),1,0))</f>
        <v>0</v>
      </c>
    </row>
    <row r="583" customFormat="false" ht="15" hidden="false" customHeight="false" outlineLevel="0" collapsed="false">
      <c r="A583" s="45" t="str">
        <f aca="false">IF($D583="","",COUNTA($D$5:$D583))</f>
        <v/>
      </c>
      <c r="B583" s="46"/>
      <c r="C583" s="47"/>
      <c r="D583" s="48"/>
      <c r="E583" s="48"/>
      <c r="F583" s="49"/>
      <c r="G583" s="47"/>
      <c r="H583" s="50"/>
      <c r="I583" s="50"/>
      <c r="J583" s="51" t="str">
        <f aca="false">IF(OR($V583="",$W583=""),"",ROUND(($W583-$V583)/60,2))</f>
        <v/>
      </c>
      <c r="K583" s="52" t="str">
        <f aca="false">IF($F583="","",LEN($F583)-LEN(SUBSTITUTE($F583,",",""))+1)</f>
        <v/>
      </c>
      <c r="L583" s="45" t="str">
        <f aca="false">IF($K583="","","1:"&amp;$K583)</f>
        <v/>
      </c>
      <c r="M583" s="46"/>
      <c r="N583" s="53"/>
      <c r="O583" s="46"/>
      <c r="P583" s="47"/>
      <c r="Q583" s="48"/>
      <c r="R583" s="49"/>
      <c r="S583" s="54" t="str">
        <f aca="false">IF(OR($AC583=0,$U583="",$M583="",$V583="",$W583=""),"",IF(COUNTIFS(m_teacher,$M583,m_date,$U583,m_active,1,m_start,"&lt;"&amp;$W583,m_end,"&gt;"&amp;$V583)&gt;1,"충돌",""))</f>
        <v/>
      </c>
      <c r="T583" s="48"/>
      <c r="U583" s="55" t="str">
        <f aca="false">IF($G583="","",IFERROR(IF(ISNUMBER($G583),IF($G583&gt;19000000,DATE(INT($G583/10000),MOD(INT($G583/100),100),MOD($G583,100)),INT($G583)),IF(LEN(SUBSTITUTE(SUBSTITUTE(SUBSTITUTE(TRIM($G583),"-",""),".",""),"/",""))=8,DATE(VALUE(LEFT(SUBSTITUTE(SUBSTITUTE(SUBSTITUTE(TRIM($G583),"-",""),".",""),"/",""),4)),VALUE(MID(SUBSTITUTE(SUBSTITUTE(SUBSTITUTE(TRIM($G583),"-",""),".",""),"/",""),5,2)),VALUE(RIGHT(SUBSTITUTE(SUBSTITUTE(SUBSTITUTE(TRIM($G583),"-",""),".",""),"/",""),2))),DATEVALUE($G583))),""))</f>
        <v/>
      </c>
      <c r="V583" s="52" t="str">
        <f aca="false">IF($H583="","",IFERROR(IF(IF(ISNUMBER($H583),$H583,IFERROR(TIMEVALUE($H583),VALUE($H583)))&gt;=100,INT(IF(ISNUMBER($H583),$H583,IFERROR(TIMEVALUE($H583),VALUE($H583)))/100)*60+MOD(IF(ISNUMBER($H583),$H583,IFERROR(TIMEVALUE($H583),VALUE($H583))),100),IF(IF(ISNUMBER($H583),$H583,IFERROR(TIMEVALUE($H583),VALUE($H583)))&gt;=1,ROUND(IF(ISNUMBER($H583),$H583,IFERROR(TIMEVALUE($H583),VALUE($H583)))*60,0),ROUND(MOD(IF(ISNUMBER($H583),$H583,IFERROR(TIMEVALUE($H583),VALUE($H583))),1)*1440,0))),""))</f>
        <v/>
      </c>
      <c r="W583" s="52" t="str">
        <f aca="false">IF($I583="","",IFERROR(IF(IF(ISNUMBER($I583),$I583,IFERROR(TIMEVALUE($I583),VALUE($I583)))&gt;=100,INT(IF(ISNUMBER($I583),$I583,IFERROR(TIMEVALUE($I583),VALUE($I583)))/100)*60+MOD(IF(ISNUMBER($I583),$I583,IFERROR(TIMEVALUE($I583),VALUE($I583))),100),IF(IF(ISNUMBER($I583),$I583,IFERROR(TIMEVALUE($I583),VALUE($I583)))&gt;=1,ROUND(IF(ISNUMBER($I583),$I583,IFERROR(TIMEVALUE($I583),VALUE($I583)))*60,0),ROUND(MOD(IF(ISNUMBER($I583),$I583,IFERROR(TIMEVALUE($I583),VALUE($I583))),1)*1440,0))),""))</f>
        <v/>
      </c>
      <c r="X583" s="55" t="str">
        <f aca="false">IF($P583="","",IFERROR(IF(ISNUMBER($P583),IF($P583&gt;19000000,DATE(INT($P583/10000),MOD(INT($P583/100),100),MOD($P583,100)),INT($P583)),IF(LEN(SUBSTITUTE(SUBSTITUTE(SUBSTITUTE(TRIM($P583),"-",""),".",""),"/",""))=8,DATE(VALUE(LEFT(SUBSTITUTE(SUBSTITUTE(SUBSTITUTE(TRIM($P583),"-",""),".",""),"/",""),4)),VALUE(MID(SUBSTITUTE(SUBSTITUTE(SUBSTITUTE(TRIM($P583),"-",""),".",""),"/",""),5,2)),VALUE(RIGHT(SUBSTITUTE(SUBSTITUTE(SUBSTITUTE(TRIM($P583),"-",""),".",""),"/",""),2))),DATEVALUE($P583))),""))</f>
        <v/>
      </c>
      <c r="Y583" s="56" t="str">
        <f aca="false">IF($M583="","",IFERROR(INDEX(강사DB!$D$4:$D$53,MATCH($M583,강사DB!$A$4:$A$53,0)),""))</f>
        <v/>
      </c>
      <c r="Z583" s="56" t="str">
        <f aca="false">IF($B583&lt;&gt;"결제완료","",IF(OR($Y583="",$J583=""),"",$Y583*$J583+MAX(0,N($K583)-1)*설정!$J$7))</f>
        <v/>
      </c>
      <c r="AA583" s="56" t="str">
        <f aca="false">IF(AND($D583&lt;&gt;"",$B583="결제완료"),N($N583),"")</f>
        <v/>
      </c>
      <c r="AB583" s="45" t="str">
        <f aca="false">IF($D583="","",IF($F583&lt;&gt;"",$F583,$D583)&amp;IF($B583="상담중"," (상담)",""))</f>
        <v/>
      </c>
      <c r="AC583" s="45" t="n">
        <f aca="false">IF(AND($D583&lt;&gt;"",OR($B583="결제완료",$B583="상담중")),1,0)</f>
        <v>0</v>
      </c>
      <c r="AD583" s="45" t="n">
        <f aca="false">IF(OR($Z583="",$U583=""),0,IFERROR(IF(COUNTIFS(INDEX(g_grid,0,2*MATCH($M583,강사DB!$A$4:$A$15,0)),"&lt;&gt;",g_s,"&lt;="&amp;$U583,g_e,"&gt;="&amp;$U583)&gt;0,1,0),0))</f>
        <v>0</v>
      </c>
      <c r="AE583" s="48"/>
      <c r="AF583" s="56" t="str">
        <f aca="false">IF(AND($D583&lt;&gt;"",$B583="결제완료",$T583="대여"),설정!$J$5,"")</f>
        <v/>
      </c>
      <c r="AG583" s="54" t="str">
        <f aca="false">IF($D583="","",IF(AND($E583="",$R583=""),$AB583,"☎ "&amp;IF($E583="","-",$E583)&amp;IF($R583&lt;&gt;"","  ※ "&amp;$R583,"")&amp;IF($B583="상담중"," (상담)","")))</f>
        <v/>
      </c>
      <c r="AH583" s="56" t="str">
        <f aca="false">IF(AND($D583&lt;&gt;"",$B583="결제완료",$O583="스마트스토어"),ROUND(N($N583)*설정!$J$6,0),"")</f>
        <v/>
      </c>
      <c r="AI583" s="54" t="str">
        <f aca="false">IF($D583="","",ROW())</f>
        <v/>
      </c>
      <c r="AJ583" s="54" t="n">
        <f aca="false">IF(OR($AC583&lt;&gt;1,$M583=""),0,IF(ISNUMBER(SEARCH("퇴사",IFERROR(INDEX(강사DB!$G$4:$G$53,MATCH($M583,강사DB!$A$4:$A$53,0)),""))),1,0))</f>
        <v>0</v>
      </c>
    </row>
    <row r="584" customFormat="false" ht="15" hidden="false" customHeight="false" outlineLevel="0" collapsed="false">
      <c r="A584" s="45" t="str">
        <f aca="false">IF($D584="","",COUNTA($D$5:$D584))</f>
        <v/>
      </c>
      <c r="B584" s="46"/>
      <c r="C584" s="47"/>
      <c r="D584" s="48"/>
      <c r="E584" s="48"/>
      <c r="F584" s="49"/>
      <c r="G584" s="47"/>
      <c r="H584" s="50"/>
      <c r="I584" s="50"/>
      <c r="J584" s="51" t="str">
        <f aca="false">IF(OR($V584="",$W584=""),"",ROUND(($W584-$V584)/60,2))</f>
        <v/>
      </c>
      <c r="K584" s="52" t="str">
        <f aca="false">IF($F584="","",LEN($F584)-LEN(SUBSTITUTE($F584,",",""))+1)</f>
        <v/>
      </c>
      <c r="L584" s="45" t="str">
        <f aca="false">IF($K584="","","1:"&amp;$K584)</f>
        <v/>
      </c>
      <c r="M584" s="46"/>
      <c r="N584" s="53"/>
      <c r="O584" s="46"/>
      <c r="P584" s="47"/>
      <c r="Q584" s="48"/>
      <c r="R584" s="49"/>
      <c r="S584" s="54" t="str">
        <f aca="false">IF(OR($AC584=0,$U584="",$M584="",$V584="",$W584=""),"",IF(COUNTIFS(m_teacher,$M584,m_date,$U584,m_active,1,m_start,"&lt;"&amp;$W584,m_end,"&gt;"&amp;$V584)&gt;1,"충돌",""))</f>
        <v/>
      </c>
      <c r="T584" s="48"/>
      <c r="U584" s="55" t="str">
        <f aca="false">IF($G584="","",IFERROR(IF(ISNUMBER($G584),IF($G584&gt;19000000,DATE(INT($G584/10000),MOD(INT($G584/100),100),MOD($G584,100)),INT($G584)),IF(LEN(SUBSTITUTE(SUBSTITUTE(SUBSTITUTE(TRIM($G584),"-",""),".",""),"/",""))=8,DATE(VALUE(LEFT(SUBSTITUTE(SUBSTITUTE(SUBSTITUTE(TRIM($G584),"-",""),".",""),"/",""),4)),VALUE(MID(SUBSTITUTE(SUBSTITUTE(SUBSTITUTE(TRIM($G584),"-",""),".",""),"/",""),5,2)),VALUE(RIGHT(SUBSTITUTE(SUBSTITUTE(SUBSTITUTE(TRIM($G584),"-",""),".",""),"/",""),2))),DATEVALUE($G584))),""))</f>
        <v/>
      </c>
      <c r="V584" s="52" t="str">
        <f aca="false">IF($H584="","",IFERROR(IF(IF(ISNUMBER($H584),$H584,IFERROR(TIMEVALUE($H584),VALUE($H584)))&gt;=100,INT(IF(ISNUMBER($H584),$H584,IFERROR(TIMEVALUE($H584),VALUE($H584)))/100)*60+MOD(IF(ISNUMBER($H584),$H584,IFERROR(TIMEVALUE($H584),VALUE($H584))),100),IF(IF(ISNUMBER($H584),$H584,IFERROR(TIMEVALUE($H584),VALUE($H584)))&gt;=1,ROUND(IF(ISNUMBER($H584),$H584,IFERROR(TIMEVALUE($H584),VALUE($H584)))*60,0),ROUND(MOD(IF(ISNUMBER($H584),$H584,IFERROR(TIMEVALUE($H584),VALUE($H584))),1)*1440,0))),""))</f>
        <v/>
      </c>
      <c r="W584" s="52" t="str">
        <f aca="false">IF($I584="","",IFERROR(IF(IF(ISNUMBER($I584),$I584,IFERROR(TIMEVALUE($I584),VALUE($I584)))&gt;=100,INT(IF(ISNUMBER($I584),$I584,IFERROR(TIMEVALUE($I584),VALUE($I584)))/100)*60+MOD(IF(ISNUMBER($I584),$I584,IFERROR(TIMEVALUE($I584),VALUE($I584))),100),IF(IF(ISNUMBER($I584),$I584,IFERROR(TIMEVALUE($I584),VALUE($I584)))&gt;=1,ROUND(IF(ISNUMBER($I584),$I584,IFERROR(TIMEVALUE($I584),VALUE($I584)))*60,0),ROUND(MOD(IF(ISNUMBER($I584),$I584,IFERROR(TIMEVALUE($I584),VALUE($I584))),1)*1440,0))),""))</f>
        <v/>
      </c>
      <c r="X584" s="55" t="str">
        <f aca="false">IF($P584="","",IFERROR(IF(ISNUMBER($P584),IF($P584&gt;19000000,DATE(INT($P584/10000),MOD(INT($P584/100),100),MOD($P584,100)),INT($P584)),IF(LEN(SUBSTITUTE(SUBSTITUTE(SUBSTITUTE(TRIM($P584),"-",""),".",""),"/",""))=8,DATE(VALUE(LEFT(SUBSTITUTE(SUBSTITUTE(SUBSTITUTE(TRIM($P584),"-",""),".",""),"/",""),4)),VALUE(MID(SUBSTITUTE(SUBSTITUTE(SUBSTITUTE(TRIM($P584),"-",""),".",""),"/",""),5,2)),VALUE(RIGHT(SUBSTITUTE(SUBSTITUTE(SUBSTITUTE(TRIM($P584),"-",""),".",""),"/",""),2))),DATEVALUE($P584))),""))</f>
        <v/>
      </c>
      <c r="Y584" s="56" t="str">
        <f aca="false">IF($M584="","",IFERROR(INDEX(강사DB!$D$4:$D$53,MATCH($M584,강사DB!$A$4:$A$53,0)),""))</f>
        <v/>
      </c>
      <c r="Z584" s="56" t="str">
        <f aca="false">IF($B584&lt;&gt;"결제완료","",IF(OR($Y584="",$J584=""),"",$Y584*$J584+MAX(0,N($K584)-1)*설정!$J$7))</f>
        <v/>
      </c>
      <c r="AA584" s="56" t="str">
        <f aca="false">IF(AND($D584&lt;&gt;"",$B584="결제완료"),N($N584),"")</f>
        <v/>
      </c>
      <c r="AB584" s="45" t="str">
        <f aca="false">IF($D584="","",IF($F584&lt;&gt;"",$F584,$D584)&amp;IF($B584="상담중"," (상담)",""))</f>
        <v/>
      </c>
      <c r="AC584" s="45" t="n">
        <f aca="false">IF(AND($D584&lt;&gt;"",OR($B584="결제완료",$B584="상담중")),1,0)</f>
        <v>0</v>
      </c>
      <c r="AD584" s="45" t="n">
        <f aca="false">IF(OR($Z584="",$U584=""),0,IFERROR(IF(COUNTIFS(INDEX(g_grid,0,2*MATCH($M584,강사DB!$A$4:$A$15,0)),"&lt;&gt;",g_s,"&lt;="&amp;$U584,g_e,"&gt;="&amp;$U584)&gt;0,1,0),0))</f>
        <v>0</v>
      </c>
      <c r="AE584" s="48"/>
      <c r="AF584" s="56" t="str">
        <f aca="false">IF(AND($D584&lt;&gt;"",$B584="결제완료",$T584="대여"),설정!$J$5,"")</f>
        <v/>
      </c>
      <c r="AG584" s="54" t="str">
        <f aca="false">IF($D584="","",IF(AND($E584="",$R584=""),$AB584,"☎ "&amp;IF($E584="","-",$E584)&amp;IF($R584&lt;&gt;"","  ※ "&amp;$R584,"")&amp;IF($B584="상담중"," (상담)","")))</f>
        <v/>
      </c>
      <c r="AH584" s="56" t="str">
        <f aca="false">IF(AND($D584&lt;&gt;"",$B584="결제완료",$O584="스마트스토어"),ROUND(N($N584)*설정!$J$6,0),"")</f>
        <v/>
      </c>
      <c r="AI584" s="54" t="str">
        <f aca="false">IF($D584="","",ROW())</f>
        <v/>
      </c>
      <c r="AJ584" s="54" t="n">
        <f aca="false">IF(OR($AC584&lt;&gt;1,$M584=""),0,IF(ISNUMBER(SEARCH("퇴사",IFERROR(INDEX(강사DB!$G$4:$G$53,MATCH($M584,강사DB!$A$4:$A$53,0)),""))),1,0))</f>
        <v>0</v>
      </c>
    </row>
    <row r="585" customFormat="false" ht="15" hidden="false" customHeight="false" outlineLevel="0" collapsed="false">
      <c r="A585" s="45" t="str">
        <f aca="false">IF($D585="","",COUNTA($D$5:$D585))</f>
        <v/>
      </c>
      <c r="B585" s="46"/>
      <c r="C585" s="47"/>
      <c r="D585" s="48"/>
      <c r="E585" s="48"/>
      <c r="F585" s="49"/>
      <c r="G585" s="47"/>
      <c r="H585" s="50"/>
      <c r="I585" s="50"/>
      <c r="J585" s="51" t="str">
        <f aca="false">IF(OR($V585="",$W585=""),"",ROUND(($W585-$V585)/60,2))</f>
        <v/>
      </c>
      <c r="K585" s="52" t="str">
        <f aca="false">IF($F585="","",LEN($F585)-LEN(SUBSTITUTE($F585,",",""))+1)</f>
        <v/>
      </c>
      <c r="L585" s="45" t="str">
        <f aca="false">IF($K585="","","1:"&amp;$K585)</f>
        <v/>
      </c>
      <c r="M585" s="46"/>
      <c r="N585" s="53"/>
      <c r="O585" s="46"/>
      <c r="P585" s="47"/>
      <c r="Q585" s="48"/>
      <c r="R585" s="49"/>
      <c r="S585" s="54" t="str">
        <f aca="false">IF(OR($AC585=0,$U585="",$M585="",$V585="",$W585=""),"",IF(COUNTIFS(m_teacher,$M585,m_date,$U585,m_active,1,m_start,"&lt;"&amp;$W585,m_end,"&gt;"&amp;$V585)&gt;1,"충돌",""))</f>
        <v/>
      </c>
      <c r="T585" s="48"/>
      <c r="U585" s="55" t="str">
        <f aca="false">IF($G585="","",IFERROR(IF(ISNUMBER($G585),IF($G585&gt;19000000,DATE(INT($G585/10000),MOD(INT($G585/100),100),MOD($G585,100)),INT($G585)),IF(LEN(SUBSTITUTE(SUBSTITUTE(SUBSTITUTE(TRIM($G585),"-",""),".",""),"/",""))=8,DATE(VALUE(LEFT(SUBSTITUTE(SUBSTITUTE(SUBSTITUTE(TRIM($G585),"-",""),".",""),"/",""),4)),VALUE(MID(SUBSTITUTE(SUBSTITUTE(SUBSTITUTE(TRIM($G585),"-",""),".",""),"/",""),5,2)),VALUE(RIGHT(SUBSTITUTE(SUBSTITUTE(SUBSTITUTE(TRIM($G585),"-",""),".",""),"/",""),2))),DATEVALUE($G585))),""))</f>
        <v/>
      </c>
      <c r="V585" s="52" t="str">
        <f aca="false">IF($H585="","",IFERROR(IF(IF(ISNUMBER($H585),$H585,IFERROR(TIMEVALUE($H585),VALUE($H585)))&gt;=100,INT(IF(ISNUMBER($H585),$H585,IFERROR(TIMEVALUE($H585),VALUE($H585)))/100)*60+MOD(IF(ISNUMBER($H585),$H585,IFERROR(TIMEVALUE($H585),VALUE($H585))),100),IF(IF(ISNUMBER($H585),$H585,IFERROR(TIMEVALUE($H585),VALUE($H585)))&gt;=1,ROUND(IF(ISNUMBER($H585),$H585,IFERROR(TIMEVALUE($H585),VALUE($H585)))*60,0),ROUND(MOD(IF(ISNUMBER($H585),$H585,IFERROR(TIMEVALUE($H585),VALUE($H585))),1)*1440,0))),""))</f>
        <v/>
      </c>
      <c r="W585" s="52" t="str">
        <f aca="false">IF($I585="","",IFERROR(IF(IF(ISNUMBER($I585),$I585,IFERROR(TIMEVALUE($I585),VALUE($I585)))&gt;=100,INT(IF(ISNUMBER($I585),$I585,IFERROR(TIMEVALUE($I585),VALUE($I585)))/100)*60+MOD(IF(ISNUMBER($I585),$I585,IFERROR(TIMEVALUE($I585),VALUE($I585))),100),IF(IF(ISNUMBER($I585),$I585,IFERROR(TIMEVALUE($I585),VALUE($I585)))&gt;=1,ROUND(IF(ISNUMBER($I585),$I585,IFERROR(TIMEVALUE($I585),VALUE($I585)))*60,0),ROUND(MOD(IF(ISNUMBER($I585),$I585,IFERROR(TIMEVALUE($I585),VALUE($I585))),1)*1440,0))),""))</f>
        <v/>
      </c>
      <c r="X585" s="55" t="str">
        <f aca="false">IF($P585="","",IFERROR(IF(ISNUMBER($P585),IF($P585&gt;19000000,DATE(INT($P585/10000),MOD(INT($P585/100),100),MOD($P585,100)),INT($P585)),IF(LEN(SUBSTITUTE(SUBSTITUTE(SUBSTITUTE(TRIM($P585),"-",""),".",""),"/",""))=8,DATE(VALUE(LEFT(SUBSTITUTE(SUBSTITUTE(SUBSTITUTE(TRIM($P585),"-",""),".",""),"/",""),4)),VALUE(MID(SUBSTITUTE(SUBSTITUTE(SUBSTITUTE(TRIM($P585),"-",""),".",""),"/",""),5,2)),VALUE(RIGHT(SUBSTITUTE(SUBSTITUTE(SUBSTITUTE(TRIM($P585),"-",""),".",""),"/",""),2))),DATEVALUE($P585))),""))</f>
        <v/>
      </c>
      <c r="Y585" s="56" t="str">
        <f aca="false">IF($M585="","",IFERROR(INDEX(강사DB!$D$4:$D$53,MATCH($M585,강사DB!$A$4:$A$53,0)),""))</f>
        <v/>
      </c>
      <c r="Z585" s="56" t="str">
        <f aca="false">IF($B585&lt;&gt;"결제완료","",IF(OR($Y585="",$J585=""),"",$Y585*$J585+MAX(0,N($K585)-1)*설정!$J$7))</f>
        <v/>
      </c>
      <c r="AA585" s="56" t="str">
        <f aca="false">IF(AND($D585&lt;&gt;"",$B585="결제완료"),N($N585),"")</f>
        <v/>
      </c>
      <c r="AB585" s="45" t="str">
        <f aca="false">IF($D585="","",IF($F585&lt;&gt;"",$F585,$D585)&amp;IF($B585="상담중"," (상담)",""))</f>
        <v/>
      </c>
      <c r="AC585" s="45" t="n">
        <f aca="false">IF(AND($D585&lt;&gt;"",OR($B585="결제완료",$B585="상담중")),1,0)</f>
        <v>0</v>
      </c>
      <c r="AD585" s="45" t="n">
        <f aca="false">IF(OR($Z585="",$U585=""),0,IFERROR(IF(COUNTIFS(INDEX(g_grid,0,2*MATCH($M585,강사DB!$A$4:$A$15,0)),"&lt;&gt;",g_s,"&lt;="&amp;$U585,g_e,"&gt;="&amp;$U585)&gt;0,1,0),0))</f>
        <v>0</v>
      </c>
      <c r="AE585" s="48"/>
      <c r="AF585" s="56" t="str">
        <f aca="false">IF(AND($D585&lt;&gt;"",$B585="결제완료",$T585="대여"),설정!$J$5,"")</f>
        <v/>
      </c>
      <c r="AG585" s="54" t="str">
        <f aca="false">IF($D585="","",IF(AND($E585="",$R585=""),$AB585,"☎ "&amp;IF($E585="","-",$E585)&amp;IF($R585&lt;&gt;"","  ※ "&amp;$R585,"")&amp;IF($B585="상담중"," (상담)","")))</f>
        <v/>
      </c>
      <c r="AH585" s="56" t="str">
        <f aca="false">IF(AND($D585&lt;&gt;"",$B585="결제완료",$O585="스마트스토어"),ROUND(N($N585)*설정!$J$6,0),"")</f>
        <v/>
      </c>
      <c r="AI585" s="54" t="str">
        <f aca="false">IF($D585="","",ROW())</f>
        <v/>
      </c>
      <c r="AJ585" s="54" t="n">
        <f aca="false">IF(OR($AC585&lt;&gt;1,$M585=""),0,IF(ISNUMBER(SEARCH("퇴사",IFERROR(INDEX(강사DB!$G$4:$G$53,MATCH($M585,강사DB!$A$4:$A$53,0)),""))),1,0))</f>
        <v>0</v>
      </c>
    </row>
    <row r="586" customFormat="false" ht="15" hidden="false" customHeight="false" outlineLevel="0" collapsed="false">
      <c r="A586" s="45" t="str">
        <f aca="false">IF($D586="","",COUNTA($D$5:$D586))</f>
        <v/>
      </c>
      <c r="B586" s="46"/>
      <c r="C586" s="47"/>
      <c r="D586" s="48"/>
      <c r="E586" s="48"/>
      <c r="F586" s="49"/>
      <c r="G586" s="47"/>
      <c r="H586" s="50"/>
      <c r="I586" s="50"/>
      <c r="J586" s="51" t="str">
        <f aca="false">IF(OR($V586="",$W586=""),"",ROUND(($W586-$V586)/60,2))</f>
        <v/>
      </c>
      <c r="K586" s="52" t="str">
        <f aca="false">IF($F586="","",LEN($F586)-LEN(SUBSTITUTE($F586,",",""))+1)</f>
        <v/>
      </c>
      <c r="L586" s="45" t="str">
        <f aca="false">IF($K586="","","1:"&amp;$K586)</f>
        <v/>
      </c>
      <c r="M586" s="46"/>
      <c r="N586" s="53"/>
      <c r="O586" s="46"/>
      <c r="P586" s="47"/>
      <c r="Q586" s="48"/>
      <c r="R586" s="49"/>
      <c r="S586" s="54" t="str">
        <f aca="false">IF(OR($AC586=0,$U586="",$M586="",$V586="",$W586=""),"",IF(COUNTIFS(m_teacher,$M586,m_date,$U586,m_active,1,m_start,"&lt;"&amp;$W586,m_end,"&gt;"&amp;$V586)&gt;1,"충돌",""))</f>
        <v/>
      </c>
      <c r="T586" s="48"/>
      <c r="U586" s="55" t="str">
        <f aca="false">IF($G586="","",IFERROR(IF(ISNUMBER($G586),IF($G586&gt;19000000,DATE(INT($G586/10000),MOD(INT($G586/100),100),MOD($G586,100)),INT($G586)),IF(LEN(SUBSTITUTE(SUBSTITUTE(SUBSTITUTE(TRIM($G586),"-",""),".",""),"/",""))=8,DATE(VALUE(LEFT(SUBSTITUTE(SUBSTITUTE(SUBSTITUTE(TRIM($G586),"-",""),".",""),"/",""),4)),VALUE(MID(SUBSTITUTE(SUBSTITUTE(SUBSTITUTE(TRIM($G586),"-",""),".",""),"/",""),5,2)),VALUE(RIGHT(SUBSTITUTE(SUBSTITUTE(SUBSTITUTE(TRIM($G586),"-",""),".",""),"/",""),2))),DATEVALUE($G586))),""))</f>
        <v/>
      </c>
      <c r="V586" s="52" t="str">
        <f aca="false">IF($H586="","",IFERROR(IF(IF(ISNUMBER($H586),$H586,IFERROR(TIMEVALUE($H586),VALUE($H586)))&gt;=100,INT(IF(ISNUMBER($H586),$H586,IFERROR(TIMEVALUE($H586),VALUE($H586)))/100)*60+MOD(IF(ISNUMBER($H586),$H586,IFERROR(TIMEVALUE($H586),VALUE($H586))),100),IF(IF(ISNUMBER($H586),$H586,IFERROR(TIMEVALUE($H586),VALUE($H586)))&gt;=1,ROUND(IF(ISNUMBER($H586),$H586,IFERROR(TIMEVALUE($H586),VALUE($H586)))*60,0),ROUND(MOD(IF(ISNUMBER($H586),$H586,IFERROR(TIMEVALUE($H586),VALUE($H586))),1)*1440,0))),""))</f>
        <v/>
      </c>
      <c r="W586" s="52" t="str">
        <f aca="false">IF($I586="","",IFERROR(IF(IF(ISNUMBER($I586),$I586,IFERROR(TIMEVALUE($I586),VALUE($I586)))&gt;=100,INT(IF(ISNUMBER($I586),$I586,IFERROR(TIMEVALUE($I586),VALUE($I586)))/100)*60+MOD(IF(ISNUMBER($I586),$I586,IFERROR(TIMEVALUE($I586),VALUE($I586))),100),IF(IF(ISNUMBER($I586),$I586,IFERROR(TIMEVALUE($I586),VALUE($I586)))&gt;=1,ROUND(IF(ISNUMBER($I586),$I586,IFERROR(TIMEVALUE($I586),VALUE($I586)))*60,0),ROUND(MOD(IF(ISNUMBER($I586),$I586,IFERROR(TIMEVALUE($I586),VALUE($I586))),1)*1440,0))),""))</f>
        <v/>
      </c>
      <c r="X586" s="55" t="str">
        <f aca="false">IF($P586="","",IFERROR(IF(ISNUMBER($P586),IF($P586&gt;19000000,DATE(INT($P586/10000),MOD(INT($P586/100),100),MOD($P586,100)),INT($P586)),IF(LEN(SUBSTITUTE(SUBSTITUTE(SUBSTITUTE(TRIM($P586),"-",""),".",""),"/",""))=8,DATE(VALUE(LEFT(SUBSTITUTE(SUBSTITUTE(SUBSTITUTE(TRIM($P586),"-",""),".",""),"/",""),4)),VALUE(MID(SUBSTITUTE(SUBSTITUTE(SUBSTITUTE(TRIM($P586),"-",""),".",""),"/",""),5,2)),VALUE(RIGHT(SUBSTITUTE(SUBSTITUTE(SUBSTITUTE(TRIM($P586),"-",""),".",""),"/",""),2))),DATEVALUE($P586))),""))</f>
        <v/>
      </c>
      <c r="Y586" s="56" t="str">
        <f aca="false">IF($M586="","",IFERROR(INDEX(강사DB!$D$4:$D$53,MATCH($M586,강사DB!$A$4:$A$53,0)),""))</f>
        <v/>
      </c>
      <c r="Z586" s="56" t="str">
        <f aca="false">IF($B586&lt;&gt;"결제완료","",IF(OR($Y586="",$J586=""),"",$Y586*$J586+MAX(0,N($K586)-1)*설정!$J$7))</f>
        <v/>
      </c>
      <c r="AA586" s="56" t="str">
        <f aca="false">IF(AND($D586&lt;&gt;"",$B586="결제완료"),N($N586),"")</f>
        <v/>
      </c>
      <c r="AB586" s="45" t="str">
        <f aca="false">IF($D586="","",IF($F586&lt;&gt;"",$F586,$D586)&amp;IF($B586="상담중"," (상담)",""))</f>
        <v/>
      </c>
      <c r="AC586" s="45" t="n">
        <f aca="false">IF(AND($D586&lt;&gt;"",OR($B586="결제완료",$B586="상담중")),1,0)</f>
        <v>0</v>
      </c>
      <c r="AD586" s="45" t="n">
        <f aca="false">IF(OR($Z586="",$U586=""),0,IFERROR(IF(COUNTIFS(INDEX(g_grid,0,2*MATCH($M586,강사DB!$A$4:$A$15,0)),"&lt;&gt;",g_s,"&lt;="&amp;$U586,g_e,"&gt;="&amp;$U586)&gt;0,1,0),0))</f>
        <v>0</v>
      </c>
      <c r="AE586" s="48"/>
      <c r="AF586" s="56" t="str">
        <f aca="false">IF(AND($D586&lt;&gt;"",$B586="결제완료",$T586="대여"),설정!$J$5,"")</f>
        <v/>
      </c>
      <c r="AG586" s="54" t="str">
        <f aca="false">IF($D586="","",IF(AND($E586="",$R586=""),$AB586,"☎ "&amp;IF($E586="","-",$E586)&amp;IF($R586&lt;&gt;"","  ※ "&amp;$R586,"")&amp;IF($B586="상담중"," (상담)","")))</f>
        <v/>
      </c>
      <c r="AH586" s="56" t="str">
        <f aca="false">IF(AND($D586&lt;&gt;"",$B586="결제완료",$O586="스마트스토어"),ROUND(N($N586)*설정!$J$6,0),"")</f>
        <v/>
      </c>
      <c r="AI586" s="54" t="str">
        <f aca="false">IF($D586="","",ROW())</f>
        <v/>
      </c>
      <c r="AJ586" s="54" t="n">
        <f aca="false">IF(OR($AC586&lt;&gt;1,$M586=""),0,IF(ISNUMBER(SEARCH("퇴사",IFERROR(INDEX(강사DB!$G$4:$G$53,MATCH($M586,강사DB!$A$4:$A$53,0)),""))),1,0))</f>
        <v>0</v>
      </c>
    </row>
    <row r="587" customFormat="false" ht="15" hidden="false" customHeight="false" outlineLevel="0" collapsed="false">
      <c r="A587" s="45" t="str">
        <f aca="false">IF($D587="","",COUNTA($D$5:$D587))</f>
        <v/>
      </c>
      <c r="B587" s="46"/>
      <c r="C587" s="47"/>
      <c r="D587" s="48"/>
      <c r="E587" s="48"/>
      <c r="F587" s="49"/>
      <c r="G587" s="47"/>
      <c r="H587" s="50"/>
      <c r="I587" s="50"/>
      <c r="J587" s="51" t="str">
        <f aca="false">IF(OR($V587="",$W587=""),"",ROUND(($W587-$V587)/60,2))</f>
        <v/>
      </c>
      <c r="K587" s="52" t="str">
        <f aca="false">IF($F587="","",LEN($F587)-LEN(SUBSTITUTE($F587,",",""))+1)</f>
        <v/>
      </c>
      <c r="L587" s="45" t="str">
        <f aca="false">IF($K587="","","1:"&amp;$K587)</f>
        <v/>
      </c>
      <c r="M587" s="46"/>
      <c r="N587" s="53"/>
      <c r="O587" s="46"/>
      <c r="P587" s="47"/>
      <c r="Q587" s="48"/>
      <c r="R587" s="49"/>
      <c r="S587" s="54" t="str">
        <f aca="false">IF(OR($AC587=0,$U587="",$M587="",$V587="",$W587=""),"",IF(COUNTIFS(m_teacher,$M587,m_date,$U587,m_active,1,m_start,"&lt;"&amp;$W587,m_end,"&gt;"&amp;$V587)&gt;1,"충돌",""))</f>
        <v/>
      </c>
      <c r="T587" s="48"/>
      <c r="U587" s="55" t="str">
        <f aca="false">IF($G587="","",IFERROR(IF(ISNUMBER($G587),IF($G587&gt;19000000,DATE(INT($G587/10000),MOD(INT($G587/100),100),MOD($G587,100)),INT($G587)),IF(LEN(SUBSTITUTE(SUBSTITUTE(SUBSTITUTE(TRIM($G587),"-",""),".",""),"/",""))=8,DATE(VALUE(LEFT(SUBSTITUTE(SUBSTITUTE(SUBSTITUTE(TRIM($G587),"-",""),".",""),"/",""),4)),VALUE(MID(SUBSTITUTE(SUBSTITUTE(SUBSTITUTE(TRIM($G587),"-",""),".",""),"/",""),5,2)),VALUE(RIGHT(SUBSTITUTE(SUBSTITUTE(SUBSTITUTE(TRIM($G587),"-",""),".",""),"/",""),2))),DATEVALUE($G587))),""))</f>
        <v/>
      </c>
      <c r="V587" s="52" t="str">
        <f aca="false">IF($H587="","",IFERROR(IF(IF(ISNUMBER($H587),$H587,IFERROR(TIMEVALUE($H587),VALUE($H587)))&gt;=100,INT(IF(ISNUMBER($H587),$H587,IFERROR(TIMEVALUE($H587),VALUE($H587)))/100)*60+MOD(IF(ISNUMBER($H587),$H587,IFERROR(TIMEVALUE($H587),VALUE($H587))),100),IF(IF(ISNUMBER($H587),$H587,IFERROR(TIMEVALUE($H587),VALUE($H587)))&gt;=1,ROUND(IF(ISNUMBER($H587),$H587,IFERROR(TIMEVALUE($H587),VALUE($H587)))*60,0),ROUND(MOD(IF(ISNUMBER($H587),$H587,IFERROR(TIMEVALUE($H587),VALUE($H587))),1)*1440,0))),""))</f>
        <v/>
      </c>
      <c r="W587" s="52" t="str">
        <f aca="false">IF($I587="","",IFERROR(IF(IF(ISNUMBER($I587),$I587,IFERROR(TIMEVALUE($I587),VALUE($I587)))&gt;=100,INT(IF(ISNUMBER($I587),$I587,IFERROR(TIMEVALUE($I587),VALUE($I587)))/100)*60+MOD(IF(ISNUMBER($I587),$I587,IFERROR(TIMEVALUE($I587),VALUE($I587))),100),IF(IF(ISNUMBER($I587),$I587,IFERROR(TIMEVALUE($I587),VALUE($I587)))&gt;=1,ROUND(IF(ISNUMBER($I587),$I587,IFERROR(TIMEVALUE($I587),VALUE($I587)))*60,0),ROUND(MOD(IF(ISNUMBER($I587),$I587,IFERROR(TIMEVALUE($I587),VALUE($I587))),1)*1440,0))),""))</f>
        <v/>
      </c>
      <c r="X587" s="55" t="str">
        <f aca="false">IF($P587="","",IFERROR(IF(ISNUMBER($P587),IF($P587&gt;19000000,DATE(INT($P587/10000),MOD(INT($P587/100),100),MOD($P587,100)),INT($P587)),IF(LEN(SUBSTITUTE(SUBSTITUTE(SUBSTITUTE(TRIM($P587),"-",""),".",""),"/",""))=8,DATE(VALUE(LEFT(SUBSTITUTE(SUBSTITUTE(SUBSTITUTE(TRIM($P587),"-",""),".",""),"/",""),4)),VALUE(MID(SUBSTITUTE(SUBSTITUTE(SUBSTITUTE(TRIM($P587),"-",""),".",""),"/",""),5,2)),VALUE(RIGHT(SUBSTITUTE(SUBSTITUTE(SUBSTITUTE(TRIM($P587),"-",""),".",""),"/",""),2))),DATEVALUE($P587))),""))</f>
        <v/>
      </c>
      <c r="Y587" s="56" t="str">
        <f aca="false">IF($M587="","",IFERROR(INDEX(강사DB!$D$4:$D$53,MATCH($M587,강사DB!$A$4:$A$53,0)),""))</f>
        <v/>
      </c>
      <c r="Z587" s="56" t="str">
        <f aca="false">IF($B587&lt;&gt;"결제완료","",IF(OR($Y587="",$J587=""),"",$Y587*$J587+MAX(0,N($K587)-1)*설정!$J$7))</f>
        <v/>
      </c>
      <c r="AA587" s="56" t="str">
        <f aca="false">IF(AND($D587&lt;&gt;"",$B587="결제완료"),N($N587),"")</f>
        <v/>
      </c>
      <c r="AB587" s="45" t="str">
        <f aca="false">IF($D587="","",IF($F587&lt;&gt;"",$F587,$D587)&amp;IF($B587="상담중"," (상담)",""))</f>
        <v/>
      </c>
      <c r="AC587" s="45" t="n">
        <f aca="false">IF(AND($D587&lt;&gt;"",OR($B587="결제완료",$B587="상담중")),1,0)</f>
        <v>0</v>
      </c>
      <c r="AD587" s="45" t="n">
        <f aca="false">IF(OR($Z587="",$U587=""),0,IFERROR(IF(COUNTIFS(INDEX(g_grid,0,2*MATCH($M587,강사DB!$A$4:$A$15,0)),"&lt;&gt;",g_s,"&lt;="&amp;$U587,g_e,"&gt;="&amp;$U587)&gt;0,1,0),0))</f>
        <v>0</v>
      </c>
      <c r="AE587" s="48"/>
      <c r="AF587" s="56" t="str">
        <f aca="false">IF(AND($D587&lt;&gt;"",$B587="결제완료",$T587="대여"),설정!$J$5,"")</f>
        <v/>
      </c>
      <c r="AG587" s="54" t="str">
        <f aca="false">IF($D587="","",IF(AND($E587="",$R587=""),$AB587,"☎ "&amp;IF($E587="","-",$E587)&amp;IF($R587&lt;&gt;"","  ※ "&amp;$R587,"")&amp;IF($B587="상담중"," (상담)","")))</f>
        <v/>
      </c>
      <c r="AH587" s="56" t="str">
        <f aca="false">IF(AND($D587&lt;&gt;"",$B587="결제완료",$O587="스마트스토어"),ROUND(N($N587)*설정!$J$6,0),"")</f>
        <v/>
      </c>
      <c r="AI587" s="54" t="str">
        <f aca="false">IF($D587="","",ROW())</f>
        <v/>
      </c>
      <c r="AJ587" s="54" t="n">
        <f aca="false">IF(OR($AC587&lt;&gt;1,$M587=""),0,IF(ISNUMBER(SEARCH("퇴사",IFERROR(INDEX(강사DB!$G$4:$G$53,MATCH($M587,강사DB!$A$4:$A$53,0)),""))),1,0))</f>
        <v>0</v>
      </c>
    </row>
    <row r="588" customFormat="false" ht="15" hidden="false" customHeight="false" outlineLevel="0" collapsed="false">
      <c r="A588" s="45" t="str">
        <f aca="false">IF($D588="","",COUNTA($D$5:$D588))</f>
        <v/>
      </c>
      <c r="B588" s="46"/>
      <c r="C588" s="47"/>
      <c r="D588" s="48"/>
      <c r="E588" s="48"/>
      <c r="F588" s="49"/>
      <c r="G588" s="47"/>
      <c r="H588" s="50"/>
      <c r="I588" s="50"/>
      <c r="J588" s="51" t="str">
        <f aca="false">IF(OR($V588="",$W588=""),"",ROUND(($W588-$V588)/60,2))</f>
        <v/>
      </c>
      <c r="K588" s="52" t="str">
        <f aca="false">IF($F588="","",LEN($F588)-LEN(SUBSTITUTE($F588,",",""))+1)</f>
        <v/>
      </c>
      <c r="L588" s="45" t="str">
        <f aca="false">IF($K588="","","1:"&amp;$K588)</f>
        <v/>
      </c>
      <c r="M588" s="46"/>
      <c r="N588" s="53"/>
      <c r="O588" s="46"/>
      <c r="P588" s="47"/>
      <c r="Q588" s="48"/>
      <c r="R588" s="49"/>
      <c r="S588" s="54" t="str">
        <f aca="false">IF(OR($AC588=0,$U588="",$M588="",$V588="",$W588=""),"",IF(COUNTIFS(m_teacher,$M588,m_date,$U588,m_active,1,m_start,"&lt;"&amp;$W588,m_end,"&gt;"&amp;$V588)&gt;1,"충돌",""))</f>
        <v/>
      </c>
      <c r="T588" s="48"/>
      <c r="U588" s="55" t="str">
        <f aca="false">IF($G588="","",IFERROR(IF(ISNUMBER($G588),IF($G588&gt;19000000,DATE(INT($G588/10000),MOD(INT($G588/100),100),MOD($G588,100)),INT($G588)),IF(LEN(SUBSTITUTE(SUBSTITUTE(SUBSTITUTE(TRIM($G588),"-",""),".",""),"/",""))=8,DATE(VALUE(LEFT(SUBSTITUTE(SUBSTITUTE(SUBSTITUTE(TRIM($G588),"-",""),".",""),"/",""),4)),VALUE(MID(SUBSTITUTE(SUBSTITUTE(SUBSTITUTE(TRIM($G588),"-",""),".",""),"/",""),5,2)),VALUE(RIGHT(SUBSTITUTE(SUBSTITUTE(SUBSTITUTE(TRIM($G588),"-",""),".",""),"/",""),2))),DATEVALUE($G588))),""))</f>
        <v/>
      </c>
      <c r="V588" s="52" t="str">
        <f aca="false">IF($H588="","",IFERROR(IF(IF(ISNUMBER($H588),$H588,IFERROR(TIMEVALUE($H588),VALUE($H588)))&gt;=100,INT(IF(ISNUMBER($H588),$H588,IFERROR(TIMEVALUE($H588),VALUE($H588)))/100)*60+MOD(IF(ISNUMBER($H588),$H588,IFERROR(TIMEVALUE($H588),VALUE($H588))),100),IF(IF(ISNUMBER($H588),$H588,IFERROR(TIMEVALUE($H588),VALUE($H588)))&gt;=1,ROUND(IF(ISNUMBER($H588),$H588,IFERROR(TIMEVALUE($H588),VALUE($H588)))*60,0),ROUND(MOD(IF(ISNUMBER($H588),$H588,IFERROR(TIMEVALUE($H588),VALUE($H588))),1)*1440,0))),""))</f>
        <v/>
      </c>
      <c r="W588" s="52" t="str">
        <f aca="false">IF($I588="","",IFERROR(IF(IF(ISNUMBER($I588),$I588,IFERROR(TIMEVALUE($I588),VALUE($I588)))&gt;=100,INT(IF(ISNUMBER($I588),$I588,IFERROR(TIMEVALUE($I588),VALUE($I588)))/100)*60+MOD(IF(ISNUMBER($I588),$I588,IFERROR(TIMEVALUE($I588),VALUE($I588))),100),IF(IF(ISNUMBER($I588),$I588,IFERROR(TIMEVALUE($I588),VALUE($I588)))&gt;=1,ROUND(IF(ISNUMBER($I588),$I588,IFERROR(TIMEVALUE($I588),VALUE($I588)))*60,0),ROUND(MOD(IF(ISNUMBER($I588),$I588,IFERROR(TIMEVALUE($I588),VALUE($I588))),1)*1440,0))),""))</f>
        <v/>
      </c>
      <c r="X588" s="55" t="str">
        <f aca="false">IF($P588="","",IFERROR(IF(ISNUMBER($P588),IF($P588&gt;19000000,DATE(INT($P588/10000),MOD(INT($P588/100),100),MOD($P588,100)),INT($P588)),IF(LEN(SUBSTITUTE(SUBSTITUTE(SUBSTITUTE(TRIM($P588),"-",""),".",""),"/",""))=8,DATE(VALUE(LEFT(SUBSTITUTE(SUBSTITUTE(SUBSTITUTE(TRIM($P588),"-",""),".",""),"/",""),4)),VALUE(MID(SUBSTITUTE(SUBSTITUTE(SUBSTITUTE(TRIM($P588),"-",""),".",""),"/",""),5,2)),VALUE(RIGHT(SUBSTITUTE(SUBSTITUTE(SUBSTITUTE(TRIM($P588),"-",""),".",""),"/",""),2))),DATEVALUE($P588))),""))</f>
        <v/>
      </c>
      <c r="Y588" s="56" t="str">
        <f aca="false">IF($M588="","",IFERROR(INDEX(강사DB!$D$4:$D$53,MATCH($M588,강사DB!$A$4:$A$53,0)),""))</f>
        <v/>
      </c>
      <c r="Z588" s="56" t="str">
        <f aca="false">IF($B588&lt;&gt;"결제완료","",IF(OR($Y588="",$J588=""),"",$Y588*$J588+MAX(0,N($K588)-1)*설정!$J$7))</f>
        <v/>
      </c>
      <c r="AA588" s="56" t="str">
        <f aca="false">IF(AND($D588&lt;&gt;"",$B588="결제완료"),N($N588),"")</f>
        <v/>
      </c>
      <c r="AB588" s="45" t="str">
        <f aca="false">IF($D588="","",IF($F588&lt;&gt;"",$F588,$D588)&amp;IF($B588="상담중"," (상담)",""))</f>
        <v/>
      </c>
      <c r="AC588" s="45" t="n">
        <f aca="false">IF(AND($D588&lt;&gt;"",OR($B588="결제완료",$B588="상담중")),1,0)</f>
        <v>0</v>
      </c>
      <c r="AD588" s="45" t="n">
        <f aca="false">IF(OR($Z588="",$U588=""),0,IFERROR(IF(COUNTIFS(INDEX(g_grid,0,2*MATCH($M588,강사DB!$A$4:$A$15,0)),"&lt;&gt;",g_s,"&lt;="&amp;$U588,g_e,"&gt;="&amp;$U588)&gt;0,1,0),0))</f>
        <v>0</v>
      </c>
      <c r="AE588" s="48"/>
      <c r="AF588" s="56" t="str">
        <f aca="false">IF(AND($D588&lt;&gt;"",$B588="결제완료",$T588="대여"),설정!$J$5,"")</f>
        <v/>
      </c>
      <c r="AG588" s="54" t="str">
        <f aca="false">IF($D588="","",IF(AND($E588="",$R588=""),$AB588,"☎ "&amp;IF($E588="","-",$E588)&amp;IF($R588&lt;&gt;"","  ※ "&amp;$R588,"")&amp;IF($B588="상담중"," (상담)","")))</f>
        <v/>
      </c>
      <c r="AH588" s="56" t="str">
        <f aca="false">IF(AND($D588&lt;&gt;"",$B588="결제완료",$O588="스마트스토어"),ROUND(N($N588)*설정!$J$6,0),"")</f>
        <v/>
      </c>
      <c r="AI588" s="54" t="str">
        <f aca="false">IF($D588="","",ROW())</f>
        <v/>
      </c>
      <c r="AJ588" s="54" t="n">
        <f aca="false">IF(OR($AC588&lt;&gt;1,$M588=""),0,IF(ISNUMBER(SEARCH("퇴사",IFERROR(INDEX(강사DB!$G$4:$G$53,MATCH($M588,강사DB!$A$4:$A$53,0)),""))),1,0))</f>
        <v>0</v>
      </c>
    </row>
    <row r="589" customFormat="false" ht="15" hidden="false" customHeight="false" outlineLevel="0" collapsed="false">
      <c r="A589" s="45" t="str">
        <f aca="false">IF($D589="","",COUNTA($D$5:$D589))</f>
        <v/>
      </c>
      <c r="B589" s="46"/>
      <c r="C589" s="47"/>
      <c r="D589" s="48"/>
      <c r="E589" s="48"/>
      <c r="F589" s="49"/>
      <c r="G589" s="47"/>
      <c r="H589" s="50"/>
      <c r="I589" s="50"/>
      <c r="J589" s="51" t="str">
        <f aca="false">IF(OR($V589="",$W589=""),"",ROUND(($W589-$V589)/60,2))</f>
        <v/>
      </c>
      <c r="K589" s="52" t="str">
        <f aca="false">IF($F589="","",LEN($F589)-LEN(SUBSTITUTE($F589,",",""))+1)</f>
        <v/>
      </c>
      <c r="L589" s="45" t="str">
        <f aca="false">IF($K589="","","1:"&amp;$K589)</f>
        <v/>
      </c>
      <c r="M589" s="46"/>
      <c r="N589" s="53"/>
      <c r="O589" s="46"/>
      <c r="P589" s="47"/>
      <c r="Q589" s="48"/>
      <c r="R589" s="49"/>
      <c r="S589" s="54" t="str">
        <f aca="false">IF(OR($AC589=0,$U589="",$M589="",$V589="",$W589=""),"",IF(COUNTIFS(m_teacher,$M589,m_date,$U589,m_active,1,m_start,"&lt;"&amp;$W589,m_end,"&gt;"&amp;$V589)&gt;1,"충돌",""))</f>
        <v/>
      </c>
      <c r="T589" s="48"/>
      <c r="U589" s="55" t="str">
        <f aca="false">IF($G589="","",IFERROR(IF(ISNUMBER($G589),IF($G589&gt;19000000,DATE(INT($G589/10000),MOD(INT($G589/100),100),MOD($G589,100)),INT($G589)),IF(LEN(SUBSTITUTE(SUBSTITUTE(SUBSTITUTE(TRIM($G589),"-",""),".",""),"/",""))=8,DATE(VALUE(LEFT(SUBSTITUTE(SUBSTITUTE(SUBSTITUTE(TRIM($G589),"-",""),".",""),"/",""),4)),VALUE(MID(SUBSTITUTE(SUBSTITUTE(SUBSTITUTE(TRIM($G589),"-",""),".",""),"/",""),5,2)),VALUE(RIGHT(SUBSTITUTE(SUBSTITUTE(SUBSTITUTE(TRIM($G589),"-",""),".",""),"/",""),2))),DATEVALUE($G589))),""))</f>
        <v/>
      </c>
      <c r="V589" s="52" t="str">
        <f aca="false">IF($H589="","",IFERROR(IF(IF(ISNUMBER($H589),$H589,IFERROR(TIMEVALUE($H589),VALUE($H589)))&gt;=100,INT(IF(ISNUMBER($H589),$H589,IFERROR(TIMEVALUE($H589),VALUE($H589)))/100)*60+MOD(IF(ISNUMBER($H589),$H589,IFERROR(TIMEVALUE($H589),VALUE($H589))),100),IF(IF(ISNUMBER($H589),$H589,IFERROR(TIMEVALUE($H589),VALUE($H589)))&gt;=1,ROUND(IF(ISNUMBER($H589),$H589,IFERROR(TIMEVALUE($H589),VALUE($H589)))*60,0),ROUND(MOD(IF(ISNUMBER($H589),$H589,IFERROR(TIMEVALUE($H589),VALUE($H589))),1)*1440,0))),""))</f>
        <v/>
      </c>
      <c r="W589" s="52" t="str">
        <f aca="false">IF($I589="","",IFERROR(IF(IF(ISNUMBER($I589),$I589,IFERROR(TIMEVALUE($I589),VALUE($I589)))&gt;=100,INT(IF(ISNUMBER($I589),$I589,IFERROR(TIMEVALUE($I589),VALUE($I589)))/100)*60+MOD(IF(ISNUMBER($I589),$I589,IFERROR(TIMEVALUE($I589),VALUE($I589))),100),IF(IF(ISNUMBER($I589),$I589,IFERROR(TIMEVALUE($I589),VALUE($I589)))&gt;=1,ROUND(IF(ISNUMBER($I589),$I589,IFERROR(TIMEVALUE($I589),VALUE($I589)))*60,0),ROUND(MOD(IF(ISNUMBER($I589),$I589,IFERROR(TIMEVALUE($I589),VALUE($I589))),1)*1440,0))),""))</f>
        <v/>
      </c>
      <c r="X589" s="55" t="str">
        <f aca="false">IF($P589="","",IFERROR(IF(ISNUMBER($P589),IF($P589&gt;19000000,DATE(INT($P589/10000),MOD(INT($P589/100),100),MOD($P589,100)),INT($P589)),IF(LEN(SUBSTITUTE(SUBSTITUTE(SUBSTITUTE(TRIM($P589),"-",""),".",""),"/",""))=8,DATE(VALUE(LEFT(SUBSTITUTE(SUBSTITUTE(SUBSTITUTE(TRIM($P589),"-",""),".",""),"/",""),4)),VALUE(MID(SUBSTITUTE(SUBSTITUTE(SUBSTITUTE(TRIM($P589),"-",""),".",""),"/",""),5,2)),VALUE(RIGHT(SUBSTITUTE(SUBSTITUTE(SUBSTITUTE(TRIM($P589),"-",""),".",""),"/",""),2))),DATEVALUE($P589))),""))</f>
        <v/>
      </c>
      <c r="Y589" s="56" t="str">
        <f aca="false">IF($M589="","",IFERROR(INDEX(강사DB!$D$4:$D$53,MATCH($M589,강사DB!$A$4:$A$53,0)),""))</f>
        <v/>
      </c>
      <c r="Z589" s="56" t="str">
        <f aca="false">IF($B589&lt;&gt;"결제완료","",IF(OR($Y589="",$J589=""),"",$Y589*$J589+MAX(0,N($K589)-1)*설정!$J$7))</f>
        <v/>
      </c>
      <c r="AA589" s="56" t="str">
        <f aca="false">IF(AND($D589&lt;&gt;"",$B589="결제완료"),N($N589),"")</f>
        <v/>
      </c>
      <c r="AB589" s="45" t="str">
        <f aca="false">IF($D589="","",IF($F589&lt;&gt;"",$F589,$D589)&amp;IF($B589="상담중"," (상담)",""))</f>
        <v/>
      </c>
      <c r="AC589" s="45" t="n">
        <f aca="false">IF(AND($D589&lt;&gt;"",OR($B589="결제완료",$B589="상담중")),1,0)</f>
        <v>0</v>
      </c>
      <c r="AD589" s="45" t="n">
        <f aca="false">IF(OR($Z589="",$U589=""),0,IFERROR(IF(COUNTIFS(INDEX(g_grid,0,2*MATCH($M589,강사DB!$A$4:$A$15,0)),"&lt;&gt;",g_s,"&lt;="&amp;$U589,g_e,"&gt;="&amp;$U589)&gt;0,1,0),0))</f>
        <v>0</v>
      </c>
      <c r="AE589" s="48"/>
      <c r="AF589" s="56" t="str">
        <f aca="false">IF(AND($D589&lt;&gt;"",$B589="결제완료",$T589="대여"),설정!$J$5,"")</f>
        <v/>
      </c>
      <c r="AG589" s="54" t="str">
        <f aca="false">IF($D589="","",IF(AND($E589="",$R589=""),$AB589,"☎ "&amp;IF($E589="","-",$E589)&amp;IF($R589&lt;&gt;"","  ※ "&amp;$R589,"")&amp;IF($B589="상담중"," (상담)","")))</f>
        <v/>
      </c>
      <c r="AH589" s="56" t="str">
        <f aca="false">IF(AND($D589&lt;&gt;"",$B589="결제완료",$O589="스마트스토어"),ROUND(N($N589)*설정!$J$6,0),"")</f>
        <v/>
      </c>
      <c r="AI589" s="54" t="str">
        <f aca="false">IF($D589="","",ROW())</f>
        <v/>
      </c>
      <c r="AJ589" s="54" t="n">
        <f aca="false">IF(OR($AC589&lt;&gt;1,$M589=""),0,IF(ISNUMBER(SEARCH("퇴사",IFERROR(INDEX(강사DB!$G$4:$G$53,MATCH($M589,강사DB!$A$4:$A$53,0)),""))),1,0))</f>
        <v>0</v>
      </c>
    </row>
    <row r="590" customFormat="false" ht="15" hidden="false" customHeight="false" outlineLevel="0" collapsed="false">
      <c r="A590" s="45" t="str">
        <f aca="false">IF($D590="","",COUNTA($D$5:$D590))</f>
        <v/>
      </c>
      <c r="B590" s="46"/>
      <c r="C590" s="47"/>
      <c r="D590" s="48"/>
      <c r="E590" s="48"/>
      <c r="F590" s="49"/>
      <c r="G590" s="47"/>
      <c r="H590" s="50"/>
      <c r="I590" s="50"/>
      <c r="J590" s="51" t="str">
        <f aca="false">IF(OR($V590="",$W590=""),"",ROUND(($W590-$V590)/60,2))</f>
        <v/>
      </c>
      <c r="K590" s="52" t="str">
        <f aca="false">IF($F590="","",LEN($F590)-LEN(SUBSTITUTE($F590,",",""))+1)</f>
        <v/>
      </c>
      <c r="L590" s="45" t="str">
        <f aca="false">IF($K590="","","1:"&amp;$K590)</f>
        <v/>
      </c>
      <c r="M590" s="46"/>
      <c r="N590" s="53"/>
      <c r="O590" s="46"/>
      <c r="P590" s="47"/>
      <c r="Q590" s="48"/>
      <c r="R590" s="49"/>
      <c r="S590" s="54" t="str">
        <f aca="false">IF(OR($AC590=0,$U590="",$M590="",$V590="",$W590=""),"",IF(COUNTIFS(m_teacher,$M590,m_date,$U590,m_active,1,m_start,"&lt;"&amp;$W590,m_end,"&gt;"&amp;$V590)&gt;1,"충돌",""))</f>
        <v/>
      </c>
      <c r="T590" s="48"/>
      <c r="U590" s="55" t="str">
        <f aca="false">IF($G590="","",IFERROR(IF(ISNUMBER($G590),IF($G590&gt;19000000,DATE(INT($G590/10000),MOD(INT($G590/100),100),MOD($G590,100)),INT($G590)),IF(LEN(SUBSTITUTE(SUBSTITUTE(SUBSTITUTE(TRIM($G590),"-",""),".",""),"/",""))=8,DATE(VALUE(LEFT(SUBSTITUTE(SUBSTITUTE(SUBSTITUTE(TRIM($G590),"-",""),".",""),"/",""),4)),VALUE(MID(SUBSTITUTE(SUBSTITUTE(SUBSTITUTE(TRIM($G590),"-",""),".",""),"/",""),5,2)),VALUE(RIGHT(SUBSTITUTE(SUBSTITUTE(SUBSTITUTE(TRIM($G590),"-",""),".",""),"/",""),2))),DATEVALUE($G590))),""))</f>
        <v/>
      </c>
      <c r="V590" s="52" t="str">
        <f aca="false">IF($H590="","",IFERROR(IF(IF(ISNUMBER($H590),$H590,IFERROR(TIMEVALUE($H590),VALUE($H590)))&gt;=100,INT(IF(ISNUMBER($H590),$H590,IFERROR(TIMEVALUE($H590),VALUE($H590)))/100)*60+MOD(IF(ISNUMBER($H590),$H590,IFERROR(TIMEVALUE($H590),VALUE($H590))),100),IF(IF(ISNUMBER($H590),$H590,IFERROR(TIMEVALUE($H590),VALUE($H590)))&gt;=1,ROUND(IF(ISNUMBER($H590),$H590,IFERROR(TIMEVALUE($H590),VALUE($H590)))*60,0),ROUND(MOD(IF(ISNUMBER($H590),$H590,IFERROR(TIMEVALUE($H590),VALUE($H590))),1)*1440,0))),""))</f>
        <v/>
      </c>
      <c r="W590" s="52" t="str">
        <f aca="false">IF($I590="","",IFERROR(IF(IF(ISNUMBER($I590),$I590,IFERROR(TIMEVALUE($I590),VALUE($I590)))&gt;=100,INT(IF(ISNUMBER($I590),$I590,IFERROR(TIMEVALUE($I590),VALUE($I590)))/100)*60+MOD(IF(ISNUMBER($I590),$I590,IFERROR(TIMEVALUE($I590),VALUE($I590))),100),IF(IF(ISNUMBER($I590),$I590,IFERROR(TIMEVALUE($I590),VALUE($I590)))&gt;=1,ROUND(IF(ISNUMBER($I590),$I590,IFERROR(TIMEVALUE($I590),VALUE($I590)))*60,0),ROUND(MOD(IF(ISNUMBER($I590),$I590,IFERROR(TIMEVALUE($I590),VALUE($I590))),1)*1440,0))),""))</f>
        <v/>
      </c>
      <c r="X590" s="55" t="str">
        <f aca="false">IF($P590="","",IFERROR(IF(ISNUMBER($P590),IF($P590&gt;19000000,DATE(INT($P590/10000),MOD(INT($P590/100),100),MOD($P590,100)),INT($P590)),IF(LEN(SUBSTITUTE(SUBSTITUTE(SUBSTITUTE(TRIM($P590),"-",""),".",""),"/",""))=8,DATE(VALUE(LEFT(SUBSTITUTE(SUBSTITUTE(SUBSTITUTE(TRIM($P590),"-",""),".",""),"/",""),4)),VALUE(MID(SUBSTITUTE(SUBSTITUTE(SUBSTITUTE(TRIM($P590),"-",""),".",""),"/",""),5,2)),VALUE(RIGHT(SUBSTITUTE(SUBSTITUTE(SUBSTITUTE(TRIM($P590),"-",""),".",""),"/",""),2))),DATEVALUE($P590))),""))</f>
        <v/>
      </c>
      <c r="Y590" s="56" t="str">
        <f aca="false">IF($M590="","",IFERROR(INDEX(강사DB!$D$4:$D$53,MATCH($M590,강사DB!$A$4:$A$53,0)),""))</f>
        <v/>
      </c>
      <c r="Z590" s="56" t="str">
        <f aca="false">IF($B590&lt;&gt;"결제완료","",IF(OR($Y590="",$J590=""),"",$Y590*$J590+MAX(0,N($K590)-1)*설정!$J$7))</f>
        <v/>
      </c>
      <c r="AA590" s="56" t="str">
        <f aca="false">IF(AND($D590&lt;&gt;"",$B590="결제완료"),N($N590),"")</f>
        <v/>
      </c>
      <c r="AB590" s="45" t="str">
        <f aca="false">IF($D590="","",IF($F590&lt;&gt;"",$F590,$D590)&amp;IF($B590="상담중"," (상담)",""))</f>
        <v/>
      </c>
      <c r="AC590" s="45" t="n">
        <f aca="false">IF(AND($D590&lt;&gt;"",OR($B590="결제완료",$B590="상담중")),1,0)</f>
        <v>0</v>
      </c>
      <c r="AD590" s="45" t="n">
        <f aca="false">IF(OR($Z590="",$U590=""),0,IFERROR(IF(COUNTIFS(INDEX(g_grid,0,2*MATCH($M590,강사DB!$A$4:$A$15,0)),"&lt;&gt;",g_s,"&lt;="&amp;$U590,g_e,"&gt;="&amp;$U590)&gt;0,1,0),0))</f>
        <v>0</v>
      </c>
      <c r="AE590" s="48"/>
      <c r="AF590" s="56" t="str">
        <f aca="false">IF(AND($D590&lt;&gt;"",$B590="결제완료",$T590="대여"),설정!$J$5,"")</f>
        <v/>
      </c>
      <c r="AG590" s="54" t="str">
        <f aca="false">IF($D590="","",IF(AND($E590="",$R590=""),$AB590,"☎ "&amp;IF($E590="","-",$E590)&amp;IF($R590&lt;&gt;"","  ※ "&amp;$R590,"")&amp;IF($B590="상담중"," (상담)","")))</f>
        <v/>
      </c>
      <c r="AH590" s="56" t="str">
        <f aca="false">IF(AND($D590&lt;&gt;"",$B590="결제완료",$O590="스마트스토어"),ROUND(N($N590)*설정!$J$6,0),"")</f>
        <v/>
      </c>
      <c r="AI590" s="54" t="str">
        <f aca="false">IF($D590="","",ROW())</f>
        <v/>
      </c>
      <c r="AJ590" s="54" t="n">
        <f aca="false">IF(OR($AC590&lt;&gt;1,$M590=""),0,IF(ISNUMBER(SEARCH("퇴사",IFERROR(INDEX(강사DB!$G$4:$G$53,MATCH($M590,강사DB!$A$4:$A$53,0)),""))),1,0))</f>
        <v>0</v>
      </c>
    </row>
    <row r="591" customFormat="false" ht="15" hidden="false" customHeight="false" outlineLevel="0" collapsed="false">
      <c r="A591" s="45" t="str">
        <f aca="false">IF($D591="","",COUNTA($D$5:$D591))</f>
        <v/>
      </c>
      <c r="B591" s="46"/>
      <c r="C591" s="47"/>
      <c r="D591" s="48"/>
      <c r="E591" s="48"/>
      <c r="F591" s="49"/>
      <c r="G591" s="47"/>
      <c r="H591" s="50"/>
      <c r="I591" s="50"/>
      <c r="J591" s="51" t="str">
        <f aca="false">IF(OR($V591="",$W591=""),"",ROUND(($W591-$V591)/60,2))</f>
        <v/>
      </c>
      <c r="K591" s="52" t="str">
        <f aca="false">IF($F591="","",LEN($F591)-LEN(SUBSTITUTE($F591,",",""))+1)</f>
        <v/>
      </c>
      <c r="L591" s="45" t="str">
        <f aca="false">IF($K591="","","1:"&amp;$K591)</f>
        <v/>
      </c>
      <c r="M591" s="46"/>
      <c r="N591" s="53"/>
      <c r="O591" s="46"/>
      <c r="P591" s="47"/>
      <c r="Q591" s="48"/>
      <c r="R591" s="49"/>
      <c r="S591" s="54" t="str">
        <f aca="false">IF(OR($AC591=0,$U591="",$M591="",$V591="",$W591=""),"",IF(COUNTIFS(m_teacher,$M591,m_date,$U591,m_active,1,m_start,"&lt;"&amp;$W591,m_end,"&gt;"&amp;$V591)&gt;1,"충돌",""))</f>
        <v/>
      </c>
      <c r="T591" s="48"/>
      <c r="U591" s="55" t="str">
        <f aca="false">IF($G591="","",IFERROR(IF(ISNUMBER($G591),IF($G591&gt;19000000,DATE(INT($G591/10000),MOD(INT($G591/100),100),MOD($G591,100)),INT($G591)),IF(LEN(SUBSTITUTE(SUBSTITUTE(SUBSTITUTE(TRIM($G591),"-",""),".",""),"/",""))=8,DATE(VALUE(LEFT(SUBSTITUTE(SUBSTITUTE(SUBSTITUTE(TRIM($G591),"-",""),".",""),"/",""),4)),VALUE(MID(SUBSTITUTE(SUBSTITUTE(SUBSTITUTE(TRIM($G591),"-",""),".",""),"/",""),5,2)),VALUE(RIGHT(SUBSTITUTE(SUBSTITUTE(SUBSTITUTE(TRIM($G591),"-",""),".",""),"/",""),2))),DATEVALUE($G591))),""))</f>
        <v/>
      </c>
      <c r="V591" s="52" t="str">
        <f aca="false">IF($H591="","",IFERROR(IF(IF(ISNUMBER($H591),$H591,IFERROR(TIMEVALUE($H591),VALUE($H591)))&gt;=100,INT(IF(ISNUMBER($H591),$H591,IFERROR(TIMEVALUE($H591),VALUE($H591)))/100)*60+MOD(IF(ISNUMBER($H591),$H591,IFERROR(TIMEVALUE($H591),VALUE($H591))),100),IF(IF(ISNUMBER($H591),$H591,IFERROR(TIMEVALUE($H591),VALUE($H591)))&gt;=1,ROUND(IF(ISNUMBER($H591),$H591,IFERROR(TIMEVALUE($H591),VALUE($H591)))*60,0),ROUND(MOD(IF(ISNUMBER($H591),$H591,IFERROR(TIMEVALUE($H591),VALUE($H591))),1)*1440,0))),""))</f>
        <v/>
      </c>
      <c r="W591" s="52" t="str">
        <f aca="false">IF($I591="","",IFERROR(IF(IF(ISNUMBER($I591),$I591,IFERROR(TIMEVALUE($I591),VALUE($I591)))&gt;=100,INT(IF(ISNUMBER($I591),$I591,IFERROR(TIMEVALUE($I591),VALUE($I591)))/100)*60+MOD(IF(ISNUMBER($I591),$I591,IFERROR(TIMEVALUE($I591),VALUE($I591))),100),IF(IF(ISNUMBER($I591),$I591,IFERROR(TIMEVALUE($I591),VALUE($I591)))&gt;=1,ROUND(IF(ISNUMBER($I591),$I591,IFERROR(TIMEVALUE($I591),VALUE($I591)))*60,0),ROUND(MOD(IF(ISNUMBER($I591),$I591,IFERROR(TIMEVALUE($I591),VALUE($I591))),1)*1440,0))),""))</f>
        <v/>
      </c>
      <c r="X591" s="55" t="str">
        <f aca="false">IF($P591="","",IFERROR(IF(ISNUMBER($P591),IF($P591&gt;19000000,DATE(INT($P591/10000),MOD(INT($P591/100),100),MOD($P591,100)),INT($P591)),IF(LEN(SUBSTITUTE(SUBSTITUTE(SUBSTITUTE(TRIM($P591),"-",""),".",""),"/",""))=8,DATE(VALUE(LEFT(SUBSTITUTE(SUBSTITUTE(SUBSTITUTE(TRIM($P591),"-",""),".",""),"/",""),4)),VALUE(MID(SUBSTITUTE(SUBSTITUTE(SUBSTITUTE(TRIM($P591),"-",""),".",""),"/",""),5,2)),VALUE(RIGHT(SUBSTITUTE(SUBSTITUTE(SUBSTITUTE(TRIM($P591),"-",""),".",""),"/",""),2))),DATEVALUE($P591))),""))</f>
        <v/>
      </c>
      <c r="Y591" s="56" t="str">
        <f aca="false">IF($M591="","",IFERROR(INDEX(강사DB!$D$4:$D$53,MATCH($M591,강사DB!$A$4:$A$53,0)),""))</f>
        <v/>
      </c>
      <c r="Z591" s="56" t="str">
        <f aca="false">IF($B591&lt;&gt;"결제완료","",IF(OR($Y591="",$J591=""),"",$Y591*$J591+MAX(0,N($K591)-1)*설정!$J$7))</f>
        <v/>
      </c>
      <c r="AA591" s="56" t="str">
        <f aca="false">IF(AND($D591&lt;&gt;"",$B591="결제완료"),N($N591),"")</f>
        <v/>
      </c>
      <c r="AB591" s="45" t="str">
        <f aca="false">IF($D591="","",IF($F591&lt;&gt;"",$F591,$D591)&amp;IF($B591="상담중"," (상담)",""))</f>
        <v/>
      </c>
      <c r="AC591" s="45" t="n">
        <f aca="false">IF(AND($D591&lt;&gt;"",OR($B591="결제완료",$B591="상담중")),1,0)</f>
        <v>0</v>
      </c>
      <c r="AD591" s="45" t="n">
        <f aca="false">IF(OR($Z591="",$U591=""),0,IFERROR(IF(COUNTIFS(INDEX(g_grid,0,2*MATCH($M591,강사DB!$A$4:$A$15,0)),"&lt;&gt;",g_s,"&lt;="&amp;$U591,g_e,"&gt;="&amp;$U591)&gt;0,1,0),0))</f>
        <v>0</v>
      </c>
      <c r="AE591" s="48"/>
      <c r="AF591" s="56" t="str">
        <f aca="false">IF(AND($D591&lt;&gt;"",$B591="결제완료",$T591="대여"),설정!$J$5,"")</f>
        <v/>
      </c>
      <c r="AG591" s="54" t="str">
        <f aca="false">IF($D591="","",IF(AND($E591="",$R591=""),$AB591,"☎ "&amp;IF($E591="","-",$E591)&amp;IF($R591&lt;&gt;"","  ※ "&amp;$R591,"")&amp;IF($B591="상담중"," (상담)","")))</f>
        <v/>
      </c>
      <c r="AH591" s="56" t="str">
        <f aca="false">IF(AND($D591&lt;&gt;"",$B591="결제완료",$O591="스마트스토어"),ROUND(N($N591)*설정!$J$6,0),"")</f>
        <v/>
      </c>
      <c r="AI591" s="54" t="str">
        <f aca="false">IF($D591="","",ROW())</f>
        <v/>
      </c>
      <c r="AJ591" s="54" t="n">
        <f aca="false">IF(OR($AC591&lt;&gt;1,$M591=""),0,IF(ISNUMBER(SEARCH("퇴사",IFERROR(INDEX(강사DB!$G$4:$G$53,MATCH($M591,강사DB!$A$4:$A$53,0)),""))),1,0))</f>
        <v>0</v>
      </c>
    </row>
    <row r="592" customFormat="false" ht="15" hidden="false" customHeight="false" outlineLevel="0" collapsed="false">
      <c r="A592" s="45" t="str">
        <f aca="false">IF($D592="","",COUNTA($D$5:$D592))</f>
        <v/>
      </c>
      <c r="B592" s="46"/>
      <c r="C592" s="47"/>
      <c r="D592" s="48"/>
      <c r="E592" s="48"/>
      <c r="F592" s="49"/>
      <c r="G592" s="47"/>
      <c r="H592" s="50"/>
      <c r="I592" s="50"/>
      <c r="J592" s="51" t="str">
        <f aca="false">IF(OR($V592="",$W592=""),"",ROUND(($W592-$V592)/60,2))</f>
        <v/>
      </c>
      <c r="K592" s="52" t="str">
        <f aca="false">IF($F592="","",LEN($F592)-LEN(SUBSTITUTE($F592,",",""))+1)</f>
        <v/>
      </c>
      <c r="L592" s="45" t="str">
        <f aca="false">IF($K592="","","1:"&amp;$K592)</f>
        <v/>
      </c>
      <c r="M592" s="46"/>
      <c r="N592" s="53"/>
      <c r="O592" s="46"/>
      <c r="P592" s="47"/>
      <c r="Q592" s="48"/>
      <c r="R592" s="49"/>
      <c r="S592" s="54" t="str">
        <f aca="false">IF(OR($AC592=0,$U592="",$M592="",$V592="",$W592=""),"",IF(COUNTIFS(m_teacher,$M592,m_date,$U592,m_active,1,m_start,"&lt;"&amp;$W592,m_end,"&gt;"&amp;$V592)&gt;1,"충돌",""))</f>
        <v/>
      </c>
      <c r="T592" s="48"/>
      <c r="U592" s="55" t="str">
        <f aca="false">IF($G592="","",IFERROR(IF(ISNUMBER($G592),IF($G592&gt;19000000,DATE(INT($G592/10000),MOD(INT($G592/100),100),MOD($G592,100)),INT($G592)),IF(LEN(SUBSTITUTE(SUBSTITUTE(SUBSTITUTE(TRIM($G592),"-",""),".",""),"/",""))=8,DATE(VALUE(LEFT(SUBSTITUTE(SUBSTITUTE(SUBSTITUTE(TRIM($G592),"-",""),".",""),"/",""),4)),VALUE(MID(SUBSTITUTE(SUBSTITUTE(SUBSTITUTE(TRIM($G592),"-",""),".",""),"/",""),5,2)),VALUE(RIGHT(SUBSTITUTE(SUBSTITUTE(SUBSTITUTE(TRIM($G592),"-",""),".",""),"/",""),2))),DATEVALUE($G592))),""))</f>
        <v/>
      </c>
      <c r="V592" s="52" t="str">
        <f aca="false">IF($H592="","",IFERROR(IF(IF(ISNUMBER($H592),$H592,IFERROR(TIMEVALUE($H592),VALUE($H592)))&gt;=100,INT(IF(ISNUMBER($H592),$H592,IFERROR(TIMEVALUE($H592),VALUE($H592)))/100)*60+MOD(IF(ISNUMBER($H592),$H592,IFERROR(TIMEVALUE($H592),VALUE($H592))),100),IF(IF(ISNUMBER($H592),$H592,IFERROR(TIMEVALUE($H592),VALUE($H592)))&gt;=1,ROUND(IF(ISNUMBER($H592),$H592,IFERROR(TIMEVALUE($H592),VALUE($H592)))*60,0),ROUND(MOD(IF(ISNUMBER($H592),$H592,IFERROR(TIMEVALUE($H592),VALUE($H592))),1)*1440,0))),""))</f>
        <v/>
      </c>
      <c r="W592" s="52" t="str">
        <f aca="false">IF($I592="","",IFERROR(IF(IF(ISNUMBER($I592),$I592,IFERROR(TIMEVALUE($I592),VALUE($I592)))&gt;=100,INT(IF(ISNUMBER($I592),$I592,IFERROR(TIMEVALUE($I592),VALUE($I592)))/100)*60+MOD(IF(ISNUMBER($I592),$I592,IFERROR(TIMEVALUE($I592),VALUE($I592))),100),IF(IF(ISNUMBER($I592),$I592,IFERROR(TIMEVALUE($I592),VALUE($I592)))&gt;=1,ROUND(IF(ISNUMBER($I592),$I592,IFERROR(TIMEVALUE($I592),VALUE($I592)))*60,0),ROUND(MOD(IF(ISNUMBER($I592),$I592,IFERROR(TIMEVALUE($I592),VALUE($I592))),1)*1440,0))),""))</f>
        <v/>
      </c>
      <c r="X592" s="55" t="str">
        <f aca="false">IF($P592="","",IFERROR(IF(ISNUMBER($P592),IF($P592&gt;19000000,DATE(INT($P592/10000),MOD(INT($P592/100),100),MOD($P592,100)),INT($P592)),IF(LEN(SUBSTITUTE(SUBSTITUTE(SUBSTITUTE(TRIM($P592),"-",""),".",""),"/",""))=8,DATE(VALUE(LEFT(SUBSTITUTE(SUBSTITUTE(SUBSTITUTE(TRIM($P592),"-",""),".",""),"/",""),4)),VALUE(MID(SUBSTITUTE(SUBSTITUTE(SUBSTITUTE(TRIM($P592),"-",""),".",""),"/",""),5,2)),VALUE(RIGHT(SUBSTITUTE(SUBSTITUTE(SUBSTITUTE(TRIM($P592),"-",""),".",""),"/",""),2))),DATEVALUE($P592))),""))</f>
        <v/>
      </c>
      <c r="Y592" s="56" t="str">
        <f aca="false">IF($M592="","",IFERROR(INDEX(강사DB!$D$4:$D$53,MATCH($M592,강사DB!$A$4:$A$53,0)),""))</f>
        <v/>
      </c>
      <c r="Z592" s="56" t="str">
        <f aca="false">IF($B592&lt;&gt;"결제완료","",IF(OR($Y592="",$J592=""),"",$Y592*$J592+MAX(0,N($K592)-1)*설정!$J$7))</f>
        <v/>
      </c>
      <c r="AA592" s="56" t="str">
        <f aca="false">IF(AND($D592&lt;&gt;"",$B592="결제완료"),N($N592),"")</f>
        <v/>
      </c>
      <c r="AB592" s="45" t="str">
        <f aca="false">IF($D592="","",IF($F592&lt;&gt;"",$F592,$D592)&amp;IF($B592="상담중"," (상담)",""))</f>
        <v/>
      </c>
      <c r="AC592" s="45" t="n">
        <f aca="false">IF(AND($D592&lt;&gt;"",OR($B592="결제완료",$B592="상담중")),1,0)</f>
        <v>0</v>
      </c>
      <c r="AD592" s="45" t="n">
        <f aca="false">IF(OR($Z592="",$U592=""),0,IFERROR(IF(COUNTIFS(INDEX(g_grid,0,2*MATCH($M592,강사DB!$A$4:$A$15,0)),"&lt;&gt;",g_s,"&lt;="&amp;$U592,g_e,"&gt;="&amp;$U592)&gt;0,1,0),0))</f>
        <v>0</v>
      </c>
      <c r="AE592" s="48"/>
      <c r="AF592" s="56" t="str">
        <f aca="false">IF(AND($D592&lt;&gt;"",$B592="결제완료",$T592="대여"),설정!$J$5,"")</f>
        <v/>
      </c>
      <c r="AG592" s="54" t="str">
        <f aca="false">IF($D592="","",IF(AND($E592="",$R592=""),$AB592,"☎ "&amp;IF($E592="","-",$E592)&amp;IF($R592&lt;&gt;"","  ※ "&amp;$R592,"")&amp;IF($B592="상담중"," (상담)","")))</f>
        <v/>
      </c>
      <c r="AH592" s="56" t="str">
        <f aca="false">IF(AND($D592&lt;&gt;"",$B592="결제완료",$O592="스마트스토어"),ROUND(N($N592)*설정!$J$6,0),"")</f>
        <v/>
      </c>
      <c r="AI592" s="54" t="str">
        <f aca="false">IF($D592="","",ROW())</f>
        <v/>
      </c>
      <c r="AJ592" s="54" t="n">
        <f aca="false">IF(OR($AC592&lt;&gt;1,$M592=""),0,IF(ISNUMBER(SEARCH("퇴사",IFERROR(INDEX(강사DB!$G$4:$G$53,MATCH($M592,강사DB!$A$4:$A$53,0)),""))),1,0))</f>
        <v>0</v>
      </c>
    </row>
    <row r="593" customFormat="false" ht="15" hidden="false" customHeight="false" outlineLevel="0" collapsed="false">
      <c r="A593" s="45" t="str">
        <f aca="false">IF($D593="","",COUNTA($D$5:$D593))</f>
        <v/>
      </c>
      <c r="B593" s="46"/>
      <c r="C593" s="47"/>
      <c r="D593" s="48"/>
      <c r="E593" s="48"/>
      <c r="F593" s="49"/>
      <c r="G593" s="47"/>
      <c r="H593" s="50"/>
      <c r="I593" s="50"/>
      <c r="J593" s="51" t="str">
        <f aca="false">IF(OR($V593="",$W593=""),"",ROUND(($W593-$V593)/60,2))</f>
        <v/>
      </c>
      <c r="K593" s="52" t="str">
        <f aca="false">IF($F593="","",LEN($F593)-LEN(SUBSTITUTE($F593,",",""))+1)</f>
        <v/>
      </c>
      <c r="L593" s="45" t="str">
        <f aca="false">IF($K593="","","1:"&amp;$K593)</f>
        <v/>
      </c>
      <c r="M593" s="46"/>
      <c r="N593" s="53"/>
      <c r="O593" s="46"/>
      <c r="P593" s="47"/>
      <c r="Q593" s="48"/>
      <c r="R593" s="49"/>
      <c r="S593" s="54" t="str">
        <f aca="false">IF(OR($AC593=0,$U593="",$M593="",$V593="",$W593=""),"",IF(COUNTIFS(m_teacher,$M593,m_date,$U593,m_active,1,m_start,"&lt;"&amp;$W593,m_end,"&gt;"&amp;$V593)&gt;1,"충돌",""))</f>
        <v/>
      </c>
      <c r="T593" s="48"/>
      <c r="U593" s="55" t="str">
        <f aca="false">IF($G593="","",IFERROR(IF(ISNUMBER($G593),IF($G593&gt;19000000,DATE(INT($G593/10000),MOD(INT($G593/100),100),MOD($G593,100)),INT($G593)),IF(LEN(SUBSTITUTE(SUBSTITUTE(SUBSTITUTE(TRIM($G593),"-",""),".",""),"/",""))=8,DATE(VALUE(LEFT(SUBSTITUTE(SUBSTITUTE(SUBSTITUTE(TRIM($G593),"-",""),".",""),"/",""),4)),VALUE(MID(SUBSTITUTE(SUBSTITUTE(SUBSTITUTE(TRIM($G593),"-",""),".",""),"/",""),5,2)),VALUE(RIGHT(SUBSTITUTE(SUBSTITUTE(SUBSTITUTE(TRIM($G593),"-",""),".",""),"/",""),2))),DATEVALUE($G593))),""))</f>
        <v/>
      </c>
      <c r="V593" s="52" t="str">
        <f aca="false">IF($H593="","",IFERROR(IF(IF(ISNUMBER($H593),$H593,IFERROR(TIMEVALUE($H593),VALUE($H593)))&gt;=100,INT(IF(ISNUMBER($H593),$H593,IFERROR(TIMEVALUE($H593),VALUE($H593)))/100)*60+MOD(IF(ISNUMBER($H593),$H593,IFERROR(TIMEVALUE($H593),VALUE($H593))),100),IF(IF(ISNUMBER($H593),$H593,IFERROR(TIMEVALUE($H593),VALUE($H593)))&gt;=1,ROUND(IF(ISNUMBER($H593),$H593,IFERROR(TIMEVALUE($H593),VALUE($H593)))*60,0),ROUND(MOD(IF(ISNUMBER($H593),$H593,IFERROR(TIMEVALUE($H593),VALUE($H593))),1)*1440,0))),""))</f>
        <v/>
      </c>
      <c r="W593" s="52" t="str">
        <f aca="false">IF($I593="","",IFERROR(IF(IF(ISNUMBER($I593),$I593,IFERROR(TIMEVALUE($I593),VALUE($I593)))&gt;=100,INT(IF(ISNUMBER($I593),$I593,IFERROR(TIMEVALUE($I593),VALUE($I593)))/100)*60+MOD(IF(ISNUMBER($I593),$I593,IFERROR(TIMEVALUE($I593),VALUE($I593))),100),IF(IF(ISNUMBER($I593),$I593,IFERROR(TIMEVALUE($I593),VALUE($I593)))&gt;=1,ROUND(IF(ISNUMBER($I593),$I593,IFERROR(TIMEVALUE($I593),VALUE($I593)))*60,0),ROUND(MOD(IF(ISNUMBER($I593),$I593,IFERROR(TIMEVALUE($I593),VALUE($I593))),1)*1440,0))),""))</f>
        <v/>
      </c>
      <c r="X593" s="55" t="str">
        <f aca="false">IF($P593="","",IFERROR(IF(ISNUMBER($P593),IF($P593&gt;19000000,DATE(INT($P593/10000),MOD(INT($P593/100),100),MOD($P593,100)),INT($P593)),IF(LEN(SUBSTITUTE(SUBSTITUTE(SUBSTITUTE(TRIM($P593),"-",""),".",""),"/",""))=8,DATE(VALUE(LEFT(SUBSTITUTE(SUBSTITUTE(SUBSTITUTE(TRIM($P593),"-",""),".",""),"/",""),4)),VALUE(MID(SUBSTITUTE(SUBSTITUTE(SUBSTITUTE(TRIM($P593),"-",""),".",""),"/",""),5,2)),VALUE(RIGHT(SUBSTITUTE(SUBSTITUTE(SUBSTITUTE(TRIM($P593),"-",""),".",""),"/",""),2))),DATEVALUE($P593))),""))</f>
        <v/>
      </c>
      <c r="Y593" s="56" t="str">
        <f aca="false">IF($M593="","",IFERROR(INDEX(강사DB!$D$4:$D$53,MATCH($M593,강사DB!$A$4:$A$53,0)),""))</f>
        <v/>
      </c>
      <c r="Z593" s="56" t="str">
        <f aca="false">IF($B593&lt;&gt;"결제완료","",IF(OR($Y593="",$J593=""),"",$Y593*$J593+MAX(0,N($K593)-1)*설정!$J$7))</f>
        <v/>
      </c>
      <c r="AA593" s="56" t="str">
        <f aca="false">IF(AND($D593&lt;&gt;"",$B593="결제완료"),N($N593),"")</f>
        <v/>
      </c>
      <c r="AB593" s="45" t="str">
        <f aca="false">IF($D593="","",IF($F593&lt;&gt;"",$F593,$D593)&amp;IF($B593="상담중"," (상담)",""))</f>
        <v/>
      </c>
      <c r="AC593" s="45" t="n">
        <f aca="false">IF(AND($D593&lt;&gt;"",OR($B593="결제완료",$B593="상담중")),1,0)</f>
        <v>0</v>
      </c>
      <c r="AD593" s="45" t="n">
        <f aca="false">IF(OR($Z593="",$U593=""),0,IFERROR(IF(COUNTIFS(INDEX(g_grid,0,2*MATCH($M593,강사DB!$A$4:$A$15,0)),"&lt;&gt;",g_s,"&lt;="&amp;$U593,g_e,"&gt;="&amp;$U593)&gt;0,1,0),0))</f>
        <v>0</v>
      </c>
      <c r="AE593" s="48"/>
      <c r="AF593" s="56" t="str">
        <f aca="false">IF(AND($D593&lt;&gt;"",$B593="결제완료",$T593="대여"),설정!$J$5,"")</f>
        <v/>
      </c>
      <c r="AG593" s="54" t="str">
        <f aca="false">IF($D593="","",IF(AND($E593="",$R593=""),$AB593,"☎ "&amp;IF($E593="","-",$E593)&amp;IF($R593&lt;&gt;"","  ※ "&amp;$R593,"")&amp;IF($B593="상담중"," (상담)","")))</f>
        <v/>
      </c>
      <c r="AH593" s="56" t="str">
        <f aca="false">IF(AND($D593&lt;&gt;"",$B593="결제완료",$O593="스마트스토어"),ROUND(N($N593)*설정!$J$6,0),"")</f>
        <v/>
      </c>
      <c r="AI593" s="54" t="str">
        <f aca="false">IF($D593="","",ROW())</f>
        <v/>
      </c>
      <c r="AJ593" s="54" t="n">
        <f aca="false">IF(OR($AC593&lt;&gt;1,$M593=""),0,IF(ISNUMBER(SEARCH("퇴사",IFERROR(INDEX(강사DB!$G$4:$G$53,MATCH($M593,강사DB!$A$4:$A$53,0)),""))),1,0))</f>
        <v>0</v>
      </c>
    </row>
    <row r="594" customFormat="false" ht="15" hidden="false" customHeight="false" outlineLevel="0" collapsed="false">
      <c r="A594" s="45" t="str">
        <f aca="false">IF($D594="","",COUNTA($D$5:$D594))</f>
        <v/>
      </c>
      <c r="B594" s="46"/>
      <c r="C594" s="47"/>
      <c r="D594" s="48"/>
      <c r="E594" s="48"/>
      <c r="F594" s="49"/>
      <c r="G594" s="47"/>
      <c r="H594" s="50"/>
      <c r="I594" s="50"/>
      <c r="J594" s="51" t="str">
        <f aca="false">IF(OR($V594="",$W594=""),"",ROUND(($W594-$V594)/60,2))</f>
        <v/>
      </c>
      <c r="K594" s="52" t="str">
        <f aca="false">IF($F594="","",LEN($F594)-LEN(SUBSTITUTE($F594,",",""))+1)</f>
        <v/>
      </c>
      <c r="L594" s="45" t="str">
        <f aca="false">IF($K594="","","1:"&amp;$K594)</f>
        <v/>
      </c>
      <c r="M594" s="46"/>
      <c r="N594" s="53"/>
      <c r="O594" s="46"/>
      <c r="P594" s="47"/>
      <c r="Q594" s="48"/>
      <c r="R594" s="49"/>
      <c r="S594" s="54" t="str">
        <f aca="false">IF(OR($AC594=0,$U594="",$M594="",$V594="",$W594=""),"",IF(COUNTIFS(m_teacher,$M594,m_date,$U594,m_active,1,m_start,"&lt;"&amp;$W594,m_end,"&gt;"&amp;$V594)&gt;1,"충돌",""))</f>
        <v/>
      </c>
      <c r="T594" s="48"/>
      <c r="U594" s="55" t="str">
        <f aca="false">IF($G594="","",IFERROR(IF(ISNUMBER($G594),IF($G594&gt;19000000,DATE(INT($G594/10000),MOD(INT($G594/100),100),MOD($G594,100)),INT($G594)),IF(LEN(SUBSTITUTE(SUBSTITUTE(SUBSTITUTE(TRIM($G594),"-",""),".",""),"/",""))=8,DATE(VALUE(LEFT(SUBSTITUTE(SUBSTITUTE(SUBSTITUTE(TRIM($G594),"-",""),".",""),"/",""),4)),VALUE(MID(SUBSTITUTE(SUBSTITUTE(SUBSTITUTE(TRIM($G594),"-",""),".",""),"/",""),5,2)),VALUE(RIGHT(SUBSTITUTE(SUBSTITUTE(SUBSTITUTE(TRIM($G594),"-",""),".",""),"/",""),2))),DATEVALUE($G594))),""))</f>
        <v/>
      </c>
      <c r="V594" s="52" t="str">
        <f aca="false">IF($H594="","",IFERROR(IF(IF(ISNUMBER($H594),$H594,IFERROR(TIMEVALUE($H594),VALUE($H594)))&gt;=100,INT(IF(ISNUMBER($H594),$H594,IFERROR(TIMEVALUE($H594),VALUE($H594)))/100)*60+MOD(IF(ISNUMBER($H594),$H594,IFERROR(TIMEVALUE($H594),VALUE($H594))),100),IF(IF(ISNUMBER($H594),$H594,IFERROR(TIMEVALUE($H594),VALUE($H594)))&gt;=1,ROUND(IF(ISNUMBER($H594),$H594,IFERROR(TIMEVALUE($H594),VALUE($H594)))*60,0),ROUND(MOD(IF(ISNUMBER($H594),$H594,IFERROR(TIMEVALUE($H594),VALUE($H594))),1)*1440,0))),""))</f>
        <v/>
      </c>
      <c r="W594" s="52" t="str">
        <f aca="false">IF($I594="","",IFERROR(IF(IF(ISNUMBER($I594),$I594,IFERROR(TIMEVALUE($I594),VALUE($I594)))&gt;=100,INT(IF(ISNUMBER($I594),$I594,IFERROR(TIMEVALUE($I594),VALUE($I594)))/100)*60+MOD(IF(ISNUMBER($I594),$I594,IFERROR(TIMEVALUE($I594),VALUE($I594))),100),IF(IF(ISNUMBER($I594),$I594,IFERROR(TIMEVALUE($I594),VALUE($I594)))&gt;=1,ROUND(IF(ISNUMBER($I594),$I594,IFERROR(TIMEVALUE($I594),VALUE($I594)))*60,0),ROUND(MOD(IF(ISNUMBER($I594),$I594,IFERROR(TIMEVALUE($I594),VALUE($I594))),1)*1440,0))),""))</f>
        <v/>
      </c>
      <c r="X594" s="55" t="str">
        <f aca="false">IF($P594="","",IFERROR(IF(ISNUMBER($P594),IF($P594&gt;19000000,DATE(INT($P594/10000),MOD(INT($P594/100),100),MOD($P594,100)),INT($P594)),IF(LEN(SUBSTITUTE(SUBSTITUTE(SUBSTITUTE(TRIM($P594),"-",""),".",""),"/",""))=8,DATE(VALUE(LEFT(SUBSTITUTE(SUBSTITUTE(SUBSTITUTE(TRIM($P594),"-",""),".",""),"/",""),4)),VALUE(MID(SUBSTITUTE(SUBSTITUTE(SUBSTITUTE(TRIM($P594),"-",""),".",""),"/",""),5,2)),VALUE(RIGHT(SUBSTITUTE(SUBSTITUTE(SUBSTITUTE(TRIM($P594),"-",""),".",""),"/",""),2))),DATEVALUE($P594))),""))</f>
        <v/>
      </c>
      <c r="Y594" s="56" t="str">
        <f aca="false">IF($M594="","",IFERROR(INDEX(강사DB!$D$4:$D$53,MATCH($M594,강사DB!$A$4:$A$53,0)),""))</f>
        <v/>
      </c>
      <c r="Z594" s="56" t="str">
        <f aca="false">IF($B594&lt;&gt;"결제완료","",IF(OR($Y594="",$J594=""),"",$Y594*$J594+MAX(0,N($K594)-1)*설정!$J$7))</f>
        <v/>
      </c>
      <c r="AA594" s="56" t="str">
        <f aca="false">IF(AND($D594&lt;&gt;"",$B594="결제완료"),N($N594),"")</f>
        <v/>
      </c>
      <c r="AB594" s="45" t="str">
        <f aca="false">IF($D594="","",IF($F594&lt;&gt;"",$F594,$D594)&amp;IF($B594="상담중"," (상담)",""))</f>
        <v/>
      </c>
      <c r="AC594" s="45" t="n">
        <f aca="false">IF(AND($D594&lt;&gt;"",OR($B594="결제완료",$B594="상담중")),1,0)</f>
        <v>0</v>
      </c>
      <c r="AD594" s="45" t="n">
        <f aca="false">IF(OR($Z594="",$U594=""),0,IFERROR(IF(COUNTIFS(INDEX(g_grid,0,2*MATCH($M594,강사DB!$A$4:$A$15,0)),"&lt;&gt;",g_s,"&lt;="&amp;$U594,g_e,"&gt;="&amp;$U594)&gt;0,1,0),0))</f>
        <v>0</v>
      </c>
      <c r="AE594" s="48"/>
      <c r="AF594" s="56" t="str">
        <f aca="false">IF(AND($D594&lt;&gt;"",$B594="결제완료",$T594="대여"),설정!$J$5,"")</f>
        <v/>
      </c>
      <c r="AG594" s="54" t="str">
        <f aca="false">IF($D594="","",IF(AND($E594="",$R594=""),$AB594,"☎ "&amp;IF($E594="","-",$E594)&amp;IF($R594&lt;&gt;"","  ※ "&amp;$R594,"")&amp;IF($B594="상담중"," (상담)","")))</f>
        <v/>
      </c>
      <c r="AH594" s="56" t="str">
        <f aca="false">IF(AND($D594&lt;&gt;"",$B594="결제완료",$O594="스마트스토어"),ROUND(N($N594)*설정!$J$6,0),"")</f>
        <v/>
      </c>
      <c r="AI594" s="54" t="str">
        <f aca="false">IF($D594="","",ROW())</f>
        <v/>
      </c>
      <c r="AJ594" s="54" t="n">
        <f aca="false">IF(OR($AC594&lt;&gt;1,$M594=""),0,IF(ISNUMBER(SEARCH("퇴사",IFERROR(INDEX(강사DB!$G$4:$G$53,MATCH($M594,강사DB!$A$4:$A$53,0)),""))),1,0))</f>
        <v>0</v>
      </c>
    </row>
    <row r="595" customFormat="false" ht="15" hidden="false" customHeight="false" outlineLevel="0" collapsed="false">
      <c r="A595" s="45" t="str">
        <f aca="false">IF($D595="","",COUNTA($D$5:$D595))</f>
        <v/>
      </c>
      <c r="B595" s="46"/>
      <c r="C595" s="47"/>
      <c r="D595" s="48"/>
      <c r="E595" s="48"/>
      <c r="F595" s="49"/>
      <c r="G595" s="47"/>
      <c r="H595" s="50"/>
      <c r="I595" s="50"/>
      <c r="J595" s="51" t="str">
        <f aca="false">IF(OR($V595="",$W595=""),"",ROUND(($W595-$V595)/60,2))</f>
        <v/>
      </c>
      <c r="K595" s="52" t="str">
        <f aca="false">IF($F595="","",LEN($F595)-LEN(SUBSTITUTE($F595,",",""))+1)</f>
        <v/>
      </c>
      <c r="L595" s="45" t="str">
        <f aca="false">IF($K595="","","1:"&amp;$K595)</f>
        <v/>
      </c>
      <c r="M595" s="46"/>
      <c r="N595" s="53"/>
      <c r="O595" s="46"/>
      <c r="P595" s="47"/>
      <c r="Q595" s="48"/>
      <c r="R595" s="49"/>
      <c r="S595" s="54" t="str">
        <f aca="false">IF(OR($AC595=0,$U595="",$M595="",$V595="",$W595=""),"",IF(COUNTIFS(m_teacher,$M595,m_date,$U595,m_active,1,m_start,"&lt;"&amp;$W595,m_end,"&gt;"&amp;$V595)&gt;1,"충돌",""))</f>
        <v/>
      </c>
      <c r="T595" s="48"/>
      <c r="U595" s="55" t="str">
        <f aca="false">IF($G595="","",IFERROR(IF(ISNUMBER($G595),IF($G595&gt;19000000,DATE(INT($G595/10000),MOD(INT($G595/100),100),MOD($G595,100)),INT($G595)),IF(LEN(SUBSTITUTE(SUBSTITUTE(SUBSTITUTE(TRIM($G595),"-",""),".",""),"/",""))=8,DATE(VALUE(LEFT(SUBSTITUTE(SUBSTITUTE(SUBSTITUTE(TRIM($G595),"-",""),".",""),"/",""),4)),VALUE(MID(SUBSTITUTE(SUBSTITUTE(SUBSTITUTE(TRIM($G595),"-",""),".",""),"/",""),5,2)),VALUE(RIGHT(SUBSTITUTE(SUBSTITUTE(SUBSTITUTE(TRIM($G595),"-",""),".",""),"/",""),2))),DATEVALUE($G595))),""))</f>
        <v/>
      </c>
      <c r="V595" s="52" t="str">
        <f aca="false">IF($H595="","",IFERROR(IF(IF(ISNUMBER($H595),$H595,IFERROR(TIMEVALUE($H595),VALUE($H595)))&gt;=100,INT(IF(ISNUMBER($H595),$H595,IFERROR(TIMEVALUE($H595),VALUE($H595)))/100)*60+MOD(IF(ISNUMBER($H595),$H595,IFERROR(TIMEVALUE($H595),VALUE($H595))),100),IF(IF(ISNUMBER($H595),$H595,IFERROR(TIMEVALUE($H595),VALUE($H595)))&gt;=1,ROUND(IF(ISNUMBER($H595),$H595,IFERROR(TIMEVALUE($H595),VALUE($H595)))*60,0),ROUND(MOD(IF(ISNUMBER($H595),$H595,IFERROR(TIMEVALUE($H595),VALUE($H595))),1)*1440,0))),""))</f>
        <v/>
      </c>
      <c r="W595" s="52" t="str">
        <f aca="false">IF($I595="","",IFERROR(IF(IF(ISNUMBER($I595),$I595,IFERROR(TIMEVALUE($I595),VALUE($I595)))&gt;=100,INT(IF(ISNUMBER($I595),$I595,IFERROR(TIMEVALUE($I595),VALUE($I595)))/100)*60+MOD(IF(ISNUMBER($I595),$I595,IFERROR(TIMEVALUE($I595),VALUE($I595))),100),IF(IF(ISNUMBER($I595),$I595,IFERROR(TIMEVALUE($I595),VALUE($I595)))&gt;=1,ROUND(IF(ISNUMBER($I595),$I595,IFERROR(TIMEVALUE($I595),VALUE($I595)))*60,0),ROUND(MOD(IF(ISNUMBER($I595),$I595,IFERROR(TIMEVALUE($I595),VALUE($I595))),1)*1440,0))),""))</f>
        <v/>
      </c>
      <c r="X595" s="55" t="str">
        <f aca="false">IF($P595="","",IFERROR(IF(ISNUMBER($P595),IF($P595&gt;19000000,DATE(INT($P595/10000),MOD(INT($P595/100),100),MOD($P595,100)),INT($P595)),IF(LEN(SUBSTITUTE(SUBSTITUTE(SUBSTITUTE(TRIM($P595),"-",""),".",""),"/",""))=8,DATE(VALUE(LEFT(SUBSTITUTE(SUBSTITUTE(SUBSTITUTE(TRIM($P595),"-",""),".",""),"/",""),4)),VALUE(MID(SUBSTITUTE(SUBSTITUTE(SUBSTITUTE(TRIM($P595),"-",""),".",""),"/",""),5,2)),VALUE(RIGHT(SUBSTITUTE(SUBSTITUTE(SUBSTITUTE(TRIM($P595),"-",""),".",""),"/",""),2))),DATEVALUE($P595))),""))</f>
        <v/>
      </c>
      <c r="Y595" s="56" t="str">
        <f aca="false">IF($M595="","",IFERROR(INDEX(강사DB!$D$4:$D$53,MATCH($M595,강사DB!$A$4:$A$53,0)),""))</f>
        <v/>
      </c>
      <c r="Z595" s="56" t="str">
        <f aca="false">IF($B595&lt;&gt;"결제완료","",IF(OR($Y595="",$J595=""),"",$Y595*$J595+MAX(0,N($K595)-1)*설정!$J$7))</f>
        <v/>
      </c>
      <c r="AA595" s="56" t="str">
        <f aca="false">IF(AND($D595&lt;&gt;"",$B595="결제완료"),N($N595),"")</f>
        <v/>
      </c>
      <c r="AB595" s="45" t="str">
        <f aca="false">IF($D595="","",IF($F595&lt;&gt;"",$F595,$D595)&amp;IF($B595="상담중"," (상담)",""))</f>
        <v/>
      </c>
      <c r="AC595" s="45" t="n">
        <f aca="false">IF(AND($D595&lt;&gt;"",OR($B595="결제완료",$B595="상담중")),1,0)</f>
        <v>0</v>
      </c>
      <c r="AD595" s="45" t="n">
        <f aca="false">IF(OR($Z595="",$U595=""),0,IFERROR(IF(COUNTIFS(INDEX(g_grid,0,2*MATCH($M595,강사DB!$A$4:$A$15,0)),"&lt;&gt;",g_s,"&lt;="&amp;$U595,g_e,"&gt;="&amp;$U595)&gt;0,1,0),0))</f>
        <v>0</v>
      </c>
      <c r="AE595" s="48"/>
      <c r="AF595" s="56" t="str">
        <f aca="false">IF(AND($D595&lt;&gt;"",$B595="결제완료",$T595="대여"),설정!$J$5,"")</f>
        <v/>
      </c>
      <c r="AG595" s="54" t="str">
        <f aca="false">IF($D595="","",IF(AND($E595="",$R595=""),$AB595,"☎ "&amp;IF($E595="","-",$E595)&amp;IF($R595&lt;&gt;"","  ※ "&amp;$R595,"")&amp;IF($B595="상담중"," (상담)","")))</f>
        <v/>
      </c>
      <c r="AH595" s="56" t="str">
        <f aca="false">IF(AND($D595&lt;&gt;"",$B595="결제완료",$O595="스마트스토어"),ROUND(N($N595)*설정!$J$6,0),"")</f>
        <v/>
      </c>
      <c r="AI595" s="54" t="str">
        <f aca="false">IF($D595="","",ROW())</f>
        <v/>
      </c>
      <c r="AJ595" s="54" t="n">
        <f aca="false">IF(OR($AC595&lt;&gt;1,$M595=""),0,IF(ISNUMBER(SEARCH("퇴사",IFERROR(INDEX(강사DB!$G$4:$G$53,MATCH($M595,강사DB!$A$4:$A$53,0)),""))),1,0))</f>
        <v>0</v>
      </c>
    </row>
    <row r="596" customFormat="false" ht="15" hidden="false" customHeight="false" outlineLevel="0" collapsed="false">
      <c r="A596" s="45" t="str">
        <f aca="false">IF($D596="","",COUNTA($D$5:$D596))</f>
        <v/>
      </c>
      <c r="B596" s="46"/>
      <c r="C596" s="47"/>
      <c r="D596" s="48"/>
      <c r="E596" s="48"/>
      <c r="F596" s="49"/>
      <c r="G596" s="47"/>
      <c r="H596" s="50"/>
      <c r="I596" s="50"/>
      <c r="J596" s="51" t="str">
        <f aca="false">IF(OR($V596="",$W596=""),"",ROUND(($W596-$V596)/60,2))</f>
        <v/>
      </c>
      <c r="K596" s="52" t="str">
        <f aca="false">IF($F596="","",LEN($F596)-LEN(SUBSTITUTE($F596,",",""))+1)</f>
        <v/>
      </c>
      <c r="L596" s="45" t="str">
        <f aca="false">IF($K596="","","1:"&amp;$K596)</f>
        <v/>
      </c>
      <c r="M596" s="46"/>
      <c r="N596" s="53"/>
      <c r="O596" s="46"/>
      <c r="P596" s="47"/>
      <c r="Q596" s="48"/>
      <c r="R596" s="49"/>
      <c r="S596" s="54" t="str">
        <f aca="false">IF(OR($AC596=0,$U596="",$M596="",$V596="",$W596=""),"",IF(COUNTIFS(m_teacher,$M596,m_date,$U596,m_active,1,m_start,"&lt;"&amp;$W596,m_end,"&gt;"&amp;$V596)&gt;1,"충돌",""))</f>
        <v/>
      </c>
      <c r="T596" s="48"/>
      <c r="U596" s="55" t="str">
        <f aca="false">IF($G596="","",IFERROR(IF(ISNUMBER($G596),IF($G596&gt;19000000,DATE(INT($G596/10000),MOD(INT($G596/100),100),MOD($G596,100)),INT($G596)),IF(LEN(SUBSTITUTE(SUBSTITUTE(SUBSTITUTE(TRIM($G596),"-",""),".",""),"/",""))=8,DATE(VALUE(LEFT(SUBSTITUTE(SUBSTITUTE(SUBSTITUTE(TRIM($G596),"-",""),".",""),"/",""),4)),VALUE(MID(SUBSTITUTE(SUBSTITUTE(SUBSTITUTE(TRIM($G596),"-",""),".",""),"/",""),5,2)),VALUE(RIGHT(SUBSTITUTE(SUBSTITUTE(SUBSTITUTE(TRIM($G596),"-",""),".",""),"/",""),2))),DATEVALUE($G596))),""))</f>
        <v/>
      </c>
      <c r="V596" s="52" t="str">
        <f aca="false">IF($H596="","",IFERROR(IF(IF(ISNUMBER($H596),$H596,IFERROR(TIMEVALUE($H596),VALUE($H596)))&gt;=100,INT(IF(ISNUMBER($H596),$H596,IFERROR(TIMEVALUE($H596),VALUE($H596)))/100)*60+MOD(IF(ISNUMBER($H596),$H596,IFERROR(TIMEVALUE($H596),VALUE($H596))),100),IF(IF(ISNUMBER($H596),$H596,IFERROR(TIMEVALUE($H596),VALUE($H596)))&gt;=1,ROUND(IF(ISNUMBER($H596),$H596,IFERROR(TIMEVALUE($H596),VALUE($H596)))*60,0),ROUND(MOD(IF(ISNUMBER($H596),$H596,IFERROR(TIMEVALUE($H596),VALUE($H596))),1)*1440,0))),""))</f>
        <v/>
      </c>
      <c r="W596" s="52" t="str">
        <f aca="false">IF($I596="","",IFERROR(IF(IF(ISNUMBER($I596),$I596,IFERROR(TIMEVALUE($I596),VALUE($I596)))&gt;=100,INT(IF(ISNUMBER($I596),$I596,IFERROR(TIMEVALUE($I596),VALUE($I596)))/100)*60+MOD(IF(ISNUMBER($I596),$I596,IFERROR(TIMEVALUE($I596),VALUE($I596))),100),IF(IF(ISNUMBER($I596),$I596,IFERROR(TIMEVALUE($I596),VALUE($I596)))&gt;=1,ROUND(IF(ISNUMBER($I596),$I596,IFERROR(TIMEVALUE($I596),VALUE($I596)))*60,0),ROUND(MOD(IF(ISNUMBER($I596),$I596,IFERROR(TIMEVALUE($I596),VALUE($I596))),1)*1440,0))),""))</f>
        <v/>
      </c>
      <c r="X596" s="55" t="str">
        <f aca="false">IF($P596="","",IFERROR(IF(ISNUMBER($P596),IF($P596&gt;19000000,DATE(INT($P596/10000),MOD(INT($P596/100),100),MOD($P596,100)),INT($P596)),IF(LEN(SUBSTITUTE(SUBSTITUTE(SUBSTITUTE(TRIM($P596),"-",""),".",""),"/",""))=8,DATE(VALUE(LEFT(SUBSTITUTE(SUBSTITUTE(SUBSTITUTE(TRIM($P596),"-",""),".",""),"/",""),4)),VALUE(MID(SUBSTITUTE(SUBSTITUTE(SUBSTITUTE(TRIM($P596),"-",""),".",""),"/",""),5,2)),VALUE(RIGHT(SUBSTITUTE(SUBSTITUTE(SUBSTITUTE(TRIM($P596),"-",""),".",""),"/",""),2))),DATEVALUE($P596))),""))</f>
        <v/>
      </c>
      <c r="Y596" s="56" t="str">
        <f aca="false">IF($M596="","",IFERROR(INDEX(강사DB!$D$4:$D$53,MATCH($M596,강사DB!$A$4:$A$53,0)),""))</f>
        <v/>
      </c>
      <c r="Z596" s="56" t="str">
        <f aca="false">IF($B596&lt;&gt;"결제완료","",IF(OR($Y596="",$J596=""),"",$Y596*$J596+MAX(0,N($K596)-1)*설정!$J$7))</f>
        <v/>
      </c>
      <c r="AA596" s="56" t="str">
        <f aca="false">IF(AND($D596&lt;&gt;"",$B596="결제완료"),N($N596),"")</f>
        <v/>
      </c>
      <c r="AB596" s="45" t="str">
        <f aca="false">IF($D596="","",IF($F596&lt;&gt;"",$F596,$D596)&amp;IF($B596="상담중"," (상담)",""))</f>
        <v/>
      </c>
      <c r="AC596" s="45" t="n">
        <f aca="false">IF(AND($D596&lt;&gt;"",OR($B596="결제완료",$B596="상담중")),1,0)</f>
        <v>0</v>
      </c>
      <c r="AD596" s="45" t="n">
        <f aca="false">IF(OR($Z596="",$U596=""),0,IFERROR(IF(COUNTIFS(INDEX(g_grid,0,2*MATCH($M596,강사DB!$A$4:$A$15,0)),"&lt;&gt;",g_s,"&lt;="&amp;$U596,g_e,"&gt;="&amp;$U596)&gt;0,1,0),0))</f>
        <v>0</v>
      </c>
      <c r="AE596" s="48"/>
      <c r="AF596" s="56" t="str">
        <f aca="false">IF(AND($D596&lt;&gt;"",$B596="결제완료",$T596="대여"),설정!$J$5,"")</f>
        <v/>
      </c>
      <c r="AG596" s="54" t="str">
        <f aca="false">IF($D596="","",IF(AND($E596="",$R596=""),$AB596,"☎ "&amp;IF($E596="","-",$E596)&amp;IF($R596&lt;&gt;"","  ※ "&amp;$R596,"")&amp;IF($B596="상담중"," (상담)","")))</f>
        <v/>
      </c>
      <c r="AH596" s="56" t="str">
        <f aca="false">IF(AND($D596&lt;&gt;"",$B596="결제완료",$O596="스마트스토어"),ROUND(N($N596)*설정!$J$6,0),"")</f>
        <v/>
      </c>
      <c r="AI596" s="54" t="str">
        <f aca="false">IF($D596="","",ROW())</f>
        <v/>
      </c>
      <c r="AJ596" s="54" t="n">
        <f aca="false">IF(OR($AC596&lt;&gt;1,$M596=""),0,IF(ISNUMBER(SEARCH("퇴사",IFERROR(INDEX(강사DB!$G$4:$G$53,MATCH($M596,강사DB!$A$4:$A$53,0)),""))),1,0))</f>
        <v>0</v>
      </c>
    </row>
    <row r="597" customFormat="false" ht="15" hidden="false" customHeight="false" outlineLevel="0" collapsed="false">
      <c r="A597" s="45" t="str">
        <f aca="false">IF($D597="","",COUNTA($D$5:$D597))</f>
        <v/>
      </c>
      <c r="B597" s="46"/>
      <c r="C597" s="47"/>
      <c r="D597" s="48"/>
      <c r="E597" s="48"/>
      <c r="F597" s="49"/>
      <c r="G597" s="47"/>
      <c r="H597" s="50"/>
      <c r="I597" s="50"/>
      <c r="J597" s="51" t="str">
        <f aca="false">IF(OR($V597="",$W597=""),"",ROUND(($W597-$V597)/60,2))</f>
        <v/>
      </c>
      <c r="K597" s="52" t="str">
        <f aca="false">IF($F597="","",LEN($F597)-LEN(SUBSTITUTE($F597,",",""))+1)</f>
        <v/>
      </c>
      <c r="L597" s="45" t="str">
        <f aca="false">IF($K597="","","1:"&amp;$K597)</f>
        <v/>
      </c>
      <c r="M597" s="46"/>
      <c r="N597" s="53"/>
      <c r="O597" s="46"/>
      <c r="P597" s="47"/>
      <c r="Q597" s="48"/>
      <c r="R597" s="49"/>
      <c r="S597" s="54" t="str">
        <f aca="false">IF(OR($AC597=0,$U597="",$M597="",$V597="",$W597=""),"",IF(COUNTIFS(m_teacher,$M597,m_date,$U597,m_active,1,m_start,"&lt;"&amp;$W597,m_end,"&gt;"&amp;$V597)&gt;1,"충돌",""))</f>
        <v/>
      </c>
      <c r="T597" s="48"/>
      <c r="U597" s="55" t="str">
        <f aca="false">IF($G597="","",IFERROR(IF(ISNUMBER($G597),IF($G597&gt;19000000,DATE(INT($G597/10000),MOD(INT($G597/100),100),MOD($G597,100)),INT($G597)),IF(LEN(SUBSTITUTE(SUBSTITUTE(SUBSTITUTE(TRIM($G597),"-",""),".",""),"/",""))=8,DATE(VALUE(LEFT(SUBSTITUTE(SUBSTITUTE(SUBSTITUTE(TRIM($G597),"-",""),".",""),"/",""),4)),VALUE(MID(SUBSTITUTE(SUBSTITUTE(SUBSTITUTE(TRIM($G597),"-",""),".",""),"/",""),5,2)),VALUE(RIGHT(SUBSTITUTE(SUBSTITUTE(SUBSTITUTE(TRIM($G597),"-",""),".",""),"/",""),2))),DATEVALUE($G597))),""))</f>
        <v/>
      </c>
      <c r="V597" s="52" t="str">
        <f aca="false">IF($H597="","",IFERROR(IF(IF(ISNUMBER($H597),$H597,IFERROR(TIMEVALUE($H597),VALUE($H597)))&gt;=100,INT(IF(ISNUMBER($H597),$H597,IFERROR(TIMEVALUE($H597),VALUE($H597)))/100)*60+MOD(IF(ISNUMBER($H597),$H597,IFERROR(TIMEVALUE($H597),VALUE($H597))),100),IF(IF(ISNUMBER($H597),$H597,IFERROR(TIMEVALUE($H597),VALUE($H597)))&gt;=1,ROUND(IF(ISNUMBER($H597),$H597,IFERROR(TIMEVALUE($H597),VALUE($H597)))*60,0),ROUND(MOD(IF(ISNUMBER($H597),$H597,IFERROR(TIMEVALUE($H597),VALUE($H597))),1)*1440,0))),""))</f>
        <v/>
      </c>
      <c r="W597" s="52" t="str">
        <f aca="false">IF($I597="","",IFERROR(IF(IF(ISNUMBER($I597),$I597,IFERROR(TIMEVALUE($I597),VALUE($I597)))&gt;=100,INT(IF(ISNUMBER($I597),$I597,IFERROR(TIMEVALUE($I597),VALUE($I597)))/100)*60+MOD(IF(ISNUMBER($I597),$I597,IFERROR(TIMEVALUE($I597),VALUE($I597))),100),IF(IF(ISNUMBER($I597),$I597,IFERROR(TIMEVALUE($I597),VALUE($I597)))&gt;=1,ROUND(IF(ISNUMBER($I597),$I597,IFERROR(TIMEVALUE($I597),VALUE($I597)))*60,0),ROUND(MOD(IF(ISNUMBER($I597),$I597,IFERROR(TIMEVALUE($I597),VALUE($I597))),1)*1440,0))),""))</f>
        <v/>
      </c>
      <c r="X597" s="55" t="str">
        <f aca="false">IF($P597="","",IFERROR(IF(ISNUMBER($P597),IF($P597&gt;19000000,DATE(INT($P597/10000),MOD(INT($P597/100),100),MOD($P597,100)),INT($P597)),IF(LEN(SUBSTITUTE(SUBSTITUTE(SUBSTITUTE(TRIM($P597),"-",""),".",""),"/",""))=8,DATE(VALUE(LEFT(SUBSTITUTE(SUBSTITUTE(SUBSTITUTE(TRIM($P597),"-",""),".",""),"/",""),4)),VALUE(MID(SUBSTITUTE(SUBSTITUTE(SUBSTITUTE(TRIM($P597),"-",""),".",""),"/",""),5,2)),VALUE(RIGHT(SUBSTITUTE(SUBSTITUTE(SUBSTITUTE(TRIM($P597),"-",""),".",""),"/",""),2))),DATEVALUE($P597))),""))</f>
        <v/>
      </c>
      <c r="Y597" s="56" t="str">
        <f aca="false">IF($M597="","",IFERROR(INDEX(강사DB!$D$4:$D$53,MATCH($M597,강사DB!$A$4:$A$53,0)),""))</f>
        <v/>
      </c>
      <c r="Z597" s="56" t="str">
        <f aca="false">IF($B597&lt;&gt;"결제완료","",IF(OR($Y597="",$J597=""),"",$Y597*$J597+MAX(0,N($K597)-1)*설정!$J$7))</f>
        <v/>
      </c>
      <c r="AA597" s="56" t="str">
        <f aca="false">IF(AND($D597&lt;&gt;"",$B597="결제완료"),N($N597),"")</f>
        <v/>
      </c>
      <c r="AB597" s="45" t="str">
        <f aca="false">IF($D597="","",IF($F597&lt;&gt;"",$F597,$D597)&amp;IF($B597="상담중"," (상담)",""))</f>
        <v/>
      </c>
      <c r="AC597" s="45" t="n">
        <f aca="false">IF(AND($D597&lt;&gt;"",OR($B597="결제완료",$B597="상담중")),1,0)</f>
        <v>0</v>
      </c>
      <c r="AD597" s="45" t="n">
        <f aca="false">IF(OR($Z597="",$U597=""),0,IFERROR(IF(COUNTIFS(INDEX(g_grid,0,2*MATCH($M597,강사DB!$A$4:$A$15,0)),"&lt;&gt;",g_s,"&lt;="&amp;$U597,g_e,"&gt;="&amp;$U597)&gt;0,1,0),0))</f>
        <v>0</v>
      </c>
      <c r="AE597" s="48"/>
      <c r="AF597" s="56" t="str">
        <f aca="false">IF(AND($D597&lt;&gt;"",$B597="결제완료",$T597="대여"),설정!$J$5,"")</f>
        <v/>
      </c>
      <c r="AG597" s="54" t="str">
        <f aca="false">IF($D597="","",IF(AND($E597="",$R597=""),$AB597,"☎ "&amp;IF($E597="","-",$E597)&amp;IF($R597&lt;&gt;"","  ※ "&amp;$R597,"")&amp;IF($B597="상담중"," (상담)","")))</f>
        <v/>
      </c>
      <c r="AH597" s="56" t="str">
        <f aca="false">IF(AND($D597&lt;&gt;"",$B597="결제완료",$O597="스마트스토어"),ROUND(N($N597)*설정!$J$6,0),"")</f>
        <v/>
      </c>
      <c r="AI597" s="54" t="str">
        <f aca="false">IF($D597="","",ROW())</f>
        <v/>
      </c>
      <c r="AJ597" s="54" t="n">
        <f aca="false">IF(OR($AC597&lt;&gt;1,$M597=""),0,IF(ISNUMBER(SEARCH("퇴사",IFERROR(INDEX(강사DB!$G$4:$G$53,MATCH($M597,강사DB!$A$4:$A$53,0)),""))),1,0))</f>
        <v>0</v>
      </c>
    </row>
    <row r="598" customFormat="false" ht="15" hidden="false" customHeight="false" outlineLevel="0" collapsed="false">
      <c r="A598" s="45" t="str">
        <f aca="false">IF($D598="","",COUNTA($D$5:$D598))</f>
        <v/>
      </c>
      <c r="B598" s="46"/>
      <c r="C598" s="47"/>
      <c r="D598" s="48"/>
      <c r="E598" s="48"/>
      <c r="F598" s="49"/>
      <c r="G598" s="47"/>
      <c r="H598" s="50"/>
      <c r="I598" s="50"/>
      <c r="J598" s="51" t="str">
        <f aca="false">IF(OR($V598="",$W598=""),"",ROUND(($W598-$V598)/60,2))</f>
        <v/>
      </c>
      <c r="K598" s="52" t="str">
        <f aca="false">IF($F598="","",LEN($F598)-LEN(SUBSTITUTE($F598,",",""))+1)</f>
        <v/>
      </c>
      <c r="L598" s="45" t="str">
        <f aca="false">IF($K598="","","1:"&amp;$K598)</f>
        <v/>
      </c>
      <c r="M598" s="46"/>
      <c r="N598" s="53"/>
      <c r="O598" s="46"/>
      <c r="P598" s="47"/>
      <c r="Q598" s="48"/>
      <c r="R598" s="49"/>
      <c r="S598" s="54" t="str">
        <f aca="false">IF(OR($AC598=0,$U598="",$M598="",$V598="",$W598=""),"",IF(COUNTIFS(m_teacher,$M598,m_date,$U598,m_active,1,m_start,"&lt;"&amp;$W598,m_end,"&gt;"&amp;$V598)&gt;1,"충돌",""))</f>
        <v/>
      </c>
      <c r="T598" s="48"/>
      <c r="U598" s="55" t="str">
        <f aca="false">IF($G598="","",IFERROR(IF(ISNUMBER($G598),IF($G598&gt;19000000,DATE(INT($G598/10000),MOD(INT($G598/100),100),MOD($G598,100)),INT($G598)),IF(LEN(SUBSTITUTE(SUBSTITUTE(SUBSTITUTE(TRIM($G598),"-",""),".",""),"/",""))=8,DATE(VALUE(LEFT(SUBSTITUTE(SUBSTITUTE(SUBSTITUTE(TRIM($G598),"-",""),".",""),"/",""),4)),VALUE(MID(SUBSTITUTE(SUBSTITUTE(SUBSTITUTE(TRIM($G598),"-",""),".",""),"/",""),5,2)),VALUE(RIGHT(SUBSTITUTE(SUBSTITUTE(SUBSTITUTE(TRIM($G598),"-",""),".",""),"/",""),2))),DATEVALUE($G598))),""))</f>
        <v/>
      </c>
      <c r="V598" s="52" t="str">
        <f aca="false">IF($H598="","",IFERROR(IF(IF(ISNUMBER($H598),$H598,IFERROR(TIMEVALUE($H598),VALUE($H598)))&gt;=100,INT(IF(ISNUMBER($H598),$H598,IFERROR(TIMEVALUE($H598),VALUE($H598)))/100)*60+MOD(IF(ISNUMBER($H598),$H598,IFERROR(TIMEVALUE($H598),VALUE($H598))),100),IF(IF(ISNUMBER($H598),$H598,IFERROR(TIMEVALUE($H598),VALUE($H598)))&gt;=1,ROUND(IF(ISNUMBER($H598),$H598,IFERROR(TIMEVALUE($H598),VALUE($H598)))*60,0),ROUND(MOD(IF(ISNUMBER($H598),$H598,IFERROR(TIMEVALUE($H598),VALUE($H598))),1)*1440,0))),""))</f>
        <v/>
      </c>
      <c r="W598" s="52" t="str">
        <f aca="false">IF($I598="","",IFERROR(IF(IF(ISNUMBER($I598),$I598,IFERROR(TIMEVALUE($I598),VALUE($I598)))&gt;=100,INT(IF(ISNUMBER($I598),$I598,IFERROR(TIMEVALUE($I598),VALUE($I598)))/100)*60+MOD(IF(ISNUMBER($I598),$I598,IFERROR(TIMEVALUE($I598),VALUE($I598))),100),IF(IF(ISNUMBER($I598),$I598,IFERROR(TIMEVALUE($I598),VALUE($I598)))&gt;=1,ROUND(IF(ISNUMBER($I598),$I598,IFERROR(TIMEVALUE($I598),VALUE($I598)))*60,0),ROUND(MOD(IF(ISNUMBER($I598),$I598,IFERROR(TIMEVALUE($I598),VALUE($I598))),1)*1440,0))),""))</f>
        <v/>
      </c>
      <c r="X598" s="55" t="str">
        <f aca="false">IF($P598="","",IFERROR(IF(ISNUMBER($P598),IF($P598&gt;19000000,DATE(INT($P598/10000),MOD(INT($P598/100),100),MOD($P598,100)),INT($P598)),IF(LEN(SUBSTITUTE(SUBSTITUTE(SUBSTITUTE(TRIM($P598),"-",""),".",""),"/",""))=8,DATE(VALUE(LEFT(SUBSTITUTE(SUBSTITUTE(SUBSTITUTE(TRIM($P598),"-",""),".",""),"/",""),4)),VALUE(MID(SUBSTITUTE(SUBSTITUTE(SUBSTITUTE(TRIM($P598),"-",""),".",""),"/",""),5,2)),VALUE(RIGHT(SUBSTITUTE(SUBSTITUTE(SUBSTITUTE(TRIM($P598),"-",""),".",""),"/",""),2))),DATEVALUE($P598))),""))</f>
        <v/>
      </c>
      <c r="Y598" s="56" t="str">
        <f aca="false">IF($M598="","",IFERROR(INDEX(강사DB!$D$4:$D$53,MATCH($M598,강사DB!$A$4:$A$53,0)),""))</f>
        <v/>
      </c>
      <c r="Z598" s="56" t="str">
        <f aca="false">IF($B598&lt;&gt;"결제완료","",IF(OR($Y598="",$J598=""),"",$Y598*$J598+MAX(0,N($K598)-1)*설정!$J$7))</f>
        <v/>
      </c>
      <c r="AA598" s="56" t="str">
        <f aca="false">IF(AND($D598&lt;&gt;"",$B598="결제완료"),N($N598),"")</f>
        <v/>
      </c>
      <c r="AB598" s="45" t="str">
        <f aca="false">IF($D598="","",IF($F598&lt;&gt;"",$F598,$D598)&amp;IF($B598="상담중"," (상담)",""))</f>
        <v/>
      </c>
      <c r="AC598" s="45" t="n">
        <f aca="false">IF(AND($D598&lt;&gt;"",OR($B598="결제완료",$B598="상담중")),1,0)</f>
        <v>0</v>
      </c>
      <c r="AD598" s="45" t="n">
        <f aca="false">IF(OR($Z598="",$U598=""),0,IFERROR(IF(COUNTIFS(INDEX(g_grid,0,2*MATCH($M598,강사DB!$A$4:$A$15,0)),"&lt;&gt;",g_s,"&lt;="&amp;$U598,g_e,"&gt;="&amp;$U598)&gt;0,1,0),0))</f>
        <v>0</v>
      </c>
      <c r="AE598" s="48"/>
      <c r="AF598" s="56" t="str">
        <f aca="false">IF(AND($D598&lt;&gt;"",$B598="결제완료",$T598="대여"),설정!$J$5,"")</f>
        <v/>
      </c>
      <c r="AG598" s="54" t="str">
        <f aca="false">IF($D598="","",IF(AND($E598="",$R598=""),$AB598,"☎ "&amp;IF($E598="","-",$E598)&amp;IF($R598&lt;&gt;"","  ※ "&amp;$R598,"")&amp;IF($B598="상담중"," (상담)","")))</f>
        <v/>
      </c>
      <c r="AH598" s="56" t="str">
        <f aca="false">IF(AND($D598&lt;&gt;"",$B598="결제완료",$O598="스마트스토어"),ROUND(N($N598)*설정!$J$6,0),"")</f>
        <v/>
      </c>
      <c r="AI598" s="54" t="str">
        <f aca="false">IF($D598="","",ROW())</f>
        <v/>
      </c>
      <c r="AJ598" s="54" t="n">
        <f aca="false">IF(OR($AC598&lt;&gt;1,$M598=""),0,IF(ISNUMBER(SEARCH("퇴사",IFERROR(INDEX(강사DB!$G$4:$G$53,MATCH($M598,강사DB!$A$4:$A$53,0)),""))),1,0))</f>
        <v>0</v>
      </c>
    </row>
    <row r="599" customFormat="false" ht="15" hidden="false" customHeight="false" outlineLevel="0" collapsed="false">
      <c r="A599" s="45" t="str">
        <f aca="false">IF($D599="","",COUNTA($D$5:$D599))</f>
        <v/>
      </c>
      <c r="B599" s="46"/>
      <c r="C599" s="47"/>
      <c r="D599" s="48"/>
      <c r="E599" s="48"/>
      <c r="F599" s="49"/>
      <c r="G599" s="47"/>
      <c r="H599" s="50"/>
      <c r="I599" s="50"/>
      <c r="J599" s="51" t="str">
        <f aca="false">IF(OR($V599="",$W599=""),"",ROUND(($W599-$V599)/60,2))</f>
        <v/>
      </c>
      <c r="K599" s="52" t="str">
        <f aca="false">IF($F599="","",LEN($F599)-LEN(SUBSTITUTE($F599,",",""))+1)</f>
        <v/>
      </c>
      <c r="L599" s="45" t="str">
        <f aca="false">IF($K599="","","1:"&amp;$K599)</f>
        <v/>
      </c>
      <c r="M599" s="46"/>
      <c r="N599" s="53"/>
      <c r="O599" s="46"/>
      <c r="P599" s="47"/>
      <c r="Q599" s="48"/>
      <c r="R599" s="49"/>
      <c r="S599" s="54" t="str">
        <f aca="false">IF(OR($AC599=0,$U599="",$M599="",$V599="",$W599=""),"",IF(COUNTIFS(m_teacher,$M599,m_date,$U599,m_active,1,m_start,"&lt;"&amp;$W599,m_end,"&gt;"&amp;$V599)&gt;1,"충돌",""))</f>
        <v/>
      </c>
      <c r="T599" s="48"/>
      <c r="U599" s="55" t="str">
        <f aca="false">IF($G599="","",IFERROR(IF(ISNUMBER($G599),IF($G599&gt;19000000,DATE(INT($G599/10000),MOD(INT($G599/100),100),MOD($G599,100)),INT($G599)),IF(LEN(SUBSTITUTE(SUBSTITUTE(SUBSTITUTE(TRIM($G599),"-",""),".",""),"/",""))=8,DATE(VALUE(LEFT(SUBSTITUTE(SUBSTITUTE(SUBSTITUTE(TRIM($G599),"-",""),".",""),"/",""),4)),VALUE(MID(SUBSTITUTE(SUBSTITUTE(SUBSTITUTE(TRIM($G599),"-",""),".",""),"/",""),5,2)),VALUE(RIGHT(SUBSTITUTE(SUBSTITUTE(SUBSTITUTE(TRIM($G599),"-",""),".",""),"/",""),2))),DATEVALUE($G599))),""))</f>
        <v/>
      </c>
      <c r="V599" s="52" t="str">
        <f aca="false">IF($H599="","",IFERROR(IF(IF(ISNUMBER($H599),$H599,IFERROR(TIMEVALUE($H599),VALUE($H599)))&gt;=100,INT(IF(ISNUMBER($H599),$H599,IFERROR(TIMEVALUE($H599),VALUE($H599)))/100)*60+MOD(IF(ISNUMBER($H599),$H599,IFERROR(TIMEVALUE($H599),VALUE($H599))),100),IF(IF(ISNUMBER($H599),$H599,IFERROR(TIMEVALUE($H599),VALUE($H599)))&gt;=1,ROUND(IF(ISNUMBER($H599),$H599,IFERROR(TIMEVALUE($H599),VALUE($H599)))*60,0),ROUND(MOD(IF(ISNUMBER($H599),$H599,IFERROR(TIMEVALUE($H599),VALUE($H599))),1)*1440,0))),""))</f>
        <v/>
      </c>
      <c r="W599" s="52" t="str">
        <f aca="false">IF($I599="","",IFERROR(IF(IF(ISNUMBER($I599),$I599,IFERROR(TIMEVALUE($I599),VALUE($I599)))&gt;=100,INT(IF(ISNUMBER($I599),$I599,IFERROR(TIMEVALUE($I599),VALUE($I599)))/100)*60+MOD(IF(ISNUMBER($I599),$I599,IFERROR(TIMEVALUE($I599),VALUE($I599))),100),IF(IF(ISNUMBER($I599),$I599,IFERROR(TIMEVALUE($I599),VALUE($I599)))&gt;=1,ROUND(IF(ISNUMBER($I599),$I599,IFERROR(TIMEVALUE($I599),VALUE($I599)))*60,0),ROUND(MOD(IF(ISNUMBER($I599),$I599,IFERROR(TIMEVALUE($I599),VALUE($I599))),1)*1440,0))),""))</f>
        <v/>
      </c>
      <c r="X599" s="55" t="str">
        <f aca="false">IF($P599="","",IFERROR(IF(ISNUMBER($P599),IF($P599&gt;19000000,DATE(INT($P599/10000),MOD(INT($P599/100),100),MOD($P599,100)),INT($P599)),IF(LEN(SUBSTITUTE(SUBSTITUTE(SUBSTITUTE(TRIM($P599),"-",""),".",""),"/",""))=8,DATE(VALUE(LEFT(SUBSTITUTE(SUBSTITUTE(SUBSTITUTE(TRIM($P599),"-",""),".",""),"/",""),4)),VALUE(MID(SUBSTITUTE(SUBSTITUTE(SUBSTITUTE(TRIM($P599),"-",""),".",""),"/",""),5,2)),VALUE(RIGHT(SUBSTITUTE(SUBSTITUTE(SUBSTITUTE(TRIM($P599),"-",""),".",""),"/",""),2))),DATEVALUE($P599))),""))</f>
        <v/>
      </c>
      <c r="Y599" s="56" t="str">
        <f aca="false">IF($M599="","",IFERROR(INDEX(강사DB!$D$4:$D$53,MATCH($M599,강사DB!$A$4:$A$53,0)),""))</f>
        <v/>
      </c>
      <c r="Z599" s="56" t="str">
        <f aca="false">IF($B599&lt;&gt;"결제완료","",IF(OR($Y599="",$J599=""),"",$Y599*$J599+MAX(0,N($K599)-1)*설정!$J$7))</f>
        <v/>
      </c>
      <c r="AA599" s="56" t="str">
        <f aca="false">IF(AND($D599&lt;&gt;"",$B599="결제완료"),N($N599),"")</f>
        <v/>
      </c>
      <c r="AB599" s="45" t="str">
        <f aca="false">IF($D599="","",IF($F599&lt;&gt;"",$F599,$D599)&amp;IF($B599="상담중"," (상담)",""))</f>
        <v/>
      </c>
      <c r="AC599" s="45" t="n">
        <f aca="false">IF(AND($D599&lt;&gt;"",OR($B599="결제완료",$B599="상담중")),1,0)</f>
        <v>0</v>
      </c>
      <c r="AD599" s="45" t="n">
        <f aca="false">IF(OR($Z599="",$U599=""),0,IFERROR(IF(COUNTIFS(INDEX(g_grid,0,2*MATCH($M599,강사DB!$A$4:$A$15,0)),"&lt;&gt;",g_s,"&lt;="&amp;$U599,g_e,"&gt;="&amp;$U599)&gt;0,1,0),0))</f>
        <v>0</v>
      </c>
      <c r="AE599" s="48"/>
      <c r="AF599" s="56" t="str">
        <f aca="false">IF(AND($D599&lt;&gt;"",$B599="결제완료",$T599="대여"),설정!$J$5,"")</f>
        <v/>
      </c>
      <c r="AG599" s="54" t="str">
        <f aca="false">IF($D599="","",IF(AND($E599="",$R599=""),$AB599,"☎ "&amp;IF($E599="","-",$E599)&amp;IF($R599&lt;&gt;"","  ※ "&amp;$R599,"")&amp;IF($B599="상담중"," (상담)","")))</f>
        <v/>
      </c>
      <c r="AH599" s="56" t="str">
        <f aca="false">IF(AND($D599&lt;&gt;"",$B599="결제완료",$O599="스마트스토어"),ROUND(N($N599)*설정!$J$6,0),"")</f>
        <v/>
      </c>
      <c r="AI599" s="54" t="str">
        <f aca="false">IF($D599="","",ROW())</f>
        <v/>
      </c>
      <c r="AJ599" s="54" t="n">
        <f aca="false">IF(OR($AC599&lt;&gt;1,$M599=""),0,IF(ISNUMBER(SEARCH("퇴사",IFERROR(INDEX(강사DB!$G$4:$G$53,MATCH($M599,강사DB!$A$4:$A$53,0)),""))),1,0))</f>
        <v>0</v>
      </c>
    </row>
    <row r="600" customFormat="false" ht="15" hidden="false" customHeight="false" outlineLevel="0" collapsed="false">
      <c r="A600" s="45" t="str">
        <f aca="false">IF($D600="","",COUNTA($D$5:$D600))</f>
        <v/>
      </c>
      <c r="B600" s="46"/>
      <c r="C600" s="47"/>
      <c r="D600" s="48"/>
      <c r="E600" s="48"/>
      <c r="F600" s="49"/>
      <c r="G600" s="47"/>
      <c r="H600" s="50"/>
      <c r="I600" s="50"/>
      <c r="J600" s="51" t="str">
        <f aca="false">IF(OR($V600="",$W600=""),"",ROUND(($W600-$V600)/60,2))</f>
        <v/>
      </c>
      <c r="K600" s="52" t="str">
        <f aca="false">IF($F600="","",LEN($F600)-LEN(SUBSTITUTE($F600,",",""))+1)</f>
        <v/>
      </c>
      <c r="L600" s="45" t="str">
        <f aca="false">IF($K600="","","1:"&amp;$K600)</f>
        <v/>
      </c>
      <c r="M600" s="46"/>
      <c r="N600" s="53"/>
      <c r="O600" s="46"/>
      <c r="P600" s="47"/>
      <c r="Q600" s="48"/>
      <c r="R600" s="49"/>
      <c r="S600" s="54" t="str">
        <f aca="false">IF(OR($AC600=0,$U600="",$M600="",$V600="",$W600=""),"",IF(COUNTIFS(m_teacher,$M600,m_date,$U600,m_active,1,m_start,"&lt;"&amp;$W600,m_end,"&gt;"&amp;$V600)&gt;1,"충돌",""))</f>
        <v/>
      </c>
      <c r="T600" s="48"/>
      <c r="U600" s="55" t="str">
        <f aca="false">IF($G600="","",IFERROR(IF(ISNUMBER($G600),IF($G600&gt;19000000,DATE(INT($G600/10000),MOD(INT($G600/100),100),MOD($G600,100)),INT($G600)),IF(LEN(SUBSTITUTE(SUBSTITUTE(SUBSTITUTE(TRIM($G600),"-",""),".",""),"/",""))=8,DATE(VALUE(LEFT(SUBSTITUTE(SUBSTITUTE(SUBSTITUTE(TRIM($G600),"-",""),".",""),"/",""),4)),VALUE(MID(SUBSTITUTE(SUBSTITUTE(SUBSTITUTE(TRIM($G600),"-",""),".",""),"/",""),5,2)),VALUE(RIGHT(SUBSTITUTE(SUBSTITUTE(SUBSTITUTE(TRIM($G600),"-",""),".",""),"/",""),2))),DATEVALUE($G600))),""))</f>
        <v/>
      </c>
      <c r="V600" s="52" t="str">
        <f aca="false">IF($H600="","",IFERROR(IF(IF(ISNUMBER($H600),$H600,IFERROR(TIMEVALUE($H600),VALUE($H600)))&gt;=100,INT(IF(ISNUMBER($H600),$H600,IFERROR(TIMEVALUE($H600),VALUE($H600)))/100)*60+MOD(IF(ISNUMBER($H600),$H600,IFERROR(TIMEVALUE($H600),VALUE($H600))),100),IF(IF(ISNUMBER($H600),$H600,IFERROR(TIMEVALUE($H600),VALUE($H600)))&gt;=1,ROUND(IF(ISNUMBER($H600),$H600,IFERROR(TIMEVALUE($H600),VALUE($H600)))*60,0),ROUND(MOD(IF(ISNUMBER($H600),$H600,IFERROR(TIMEVALUE($H600),VALUE($H600))),1)*1440,0))),""))</f>
        <v/>
      </c>
      <c r="W600" s="52" t="str">
        <f aca="false">IF($I600="","",IFERROR(IF(IF(ISNUMBER($I600),$I600,IFERROR(TIMEVALUE($I600),VALUE($I600)))&gt;=100,INT(IF(ISNUMBER($I600),$I600,IFERROR(TIMEVALUE($I600),VALUE($I600)))/100)*60+MOD(IF(ISNUMBER($I600),$I600,IFERROR(TIMEVALUE($I600),VALUE($I600))),100),IF(IF(ISNUMBER($I600),$I600,IFERROR(TIMEVALUE($I600),VALUE($I600)))&gt;=1,ROUND(IF(ISNUMBER($I600),$I600,IFERROR(TIMEVALUE($I600),VALUE($I600)))*60,0),ROUND(MOD(IF(ISNUMBER($I600),$I600,IFERROR(TIMEVALUE($I600),VALUE($I600))),1)*1440,0))),""))</f>
        <v/>
      </c>
      <c r="X600" s="55" t="str">
        <f aca="false">IF($P600="","",IFERROR(IF(ISNUMBER($P600),IF($P600&gt;19000000,DATE(INT($P600/10000),MOD(INT($P600/100),100),MOD($P600,100)),INT($P600)),IF(LEN(SUBSTITUTE(SUBSTITUTE(SUBSTITUTE(TRIM($P600),"-",""),".",""),"/",""))=8,DATE(VALUE(LEFT(SUBSTITUTE(SUBSTITUTE(SUBSTITUTE(TRIM($P600),"-",""),".",""),"/",""),4)),VALUE(MID(SUBSTITUTE(SUBSTITUTE(SUBSTITUTE(TRIM($P600),"-",""),".",""),"/",""),5,2)),VALUE(RIGHT(SUBSTITUTE(SUBSTITUTE(SUBSTITUTE(TRIM($P600),"-",""),".",""),"/",""),2))),DATEVALUE($P600))),""))</f>
        <v/>
      </c>
      <c r="Y600" s="56" t="str">
        <f aca="false">IF($M600="","",IFERROR(INDEX(강사DB!$D$4:$D$53,MATCH($M600,강사DB!$A$4:$A$53,0)),""))</f>
        <v/>
      </c>
      <c r="Z600" s="56" t="str">
        <f aca="false">IF($B600&lt;&gt;"결제완료","",IF(OR($Y600="",$J600=""),"",$Y600*$J600+MAX(0,N($K600)-1)*설정!$J$7))</f>
        <v/>
      </c>
      <c r="AA600" s="56" t="str">
        <f aca="false">IF(AND($D600&lt;&gt;"",$B600="결제완료"),N($N600),"")</f>
        <v/>
      </c>
      <c r="AB600" s="45" t="str">
        <f aca="false">IF($D600="","",IF($F600&lt;&gt;"",$F600,$D600)&amp;IF($B600="상담중"," (상담)",""))</f>
        <v/>
      </c>
      <c r="AC600" s="45" t="n">
        <f aca="false">IF(AND($D600&lt;&gt;"",OR($B600="결제완료",$B600="상담중")),1,0)</f>
        <v>0</v>
      </c>
      <c r="AD600" s="45" t="n">
        <f aca="false">IF(OR($Z600="",$U600=""),0,IFERROR(IF(COUNTIFS(INDEX(g_grid,0,2*MATCH($M600,강사DB!$A$4:$A$15,0)),"&lt;&gt;",g_s,"&lt;="&amp;$U600,g_e,"&gt;="&amp;$U600)&gt;0,1,0),0))</f>
        <v>0</v>
      </c>
      <c r="AE600" s="48"/>
      <c r="AF600" s="56" t="str">
        <f aca="false">IF(AND($D600&lt;&gt;"",$B600="결제완료",$T600="대여"),설정!$J$5,"")</f>
        <v/>
      </c>
      <c r="AG600" s="54" t="str">
        <f aca="false">IF($D600="","",IF(AND($E600="",$R600=""),$AB600,"☎ "&amp;IF($E600="","-",$E600)&amp;IF($R600&lt;&gt;"","  ※ "&amp;$R600,"")&amp;IF($B600="상담중"," (상담)","")))</f>
        <v/>
      </c>
      <c r="AH600" s="56" t="str">
        <f aca="false">IF(AND($D600&lt;&gt;"",$B600="결제완료",$O600="스마트스토어"),ROUND(N($N600)*설정!$J$6,0),"")</f>
        <v/>
      </c>
      <c r="AI600" s="54" t="str">
        <f aca="false">IF($D600="","",ROW())</f>
        <v/>
      </c>
      <c r="AJ600" s="54" t="n">
        <f aca="false">IF(OR($AC600&lt;&gt;1,$M600=""),0,IF(ISNUMBER(SEARCH("퇴사",IFERROR(INDEX(강사DB!$G$4:$G$53,MATCH($M600,강사DB!$A$4:$A$53,0)),""))),1,0))</f>
        <v>0</v>
      </c>
    </row>
    <row r="601" customFormat="false" ht="15" hidden="false" customHeight="false" outlineLevel="0" collapsed="false">
      <c r="A601" s="45" t="str">
        <f aca="false">IF($D601="","",COUNTA($D$5:$D601))</f>
        <v/>
      </c>
      <c r="B601" s="46"/>
      <c r="C601" s="47"/>
      <c r="D601" s="48"/>
      <c r="E601" s="48"/>
      <c r="F601" s="49"/>
      <c r="G601" s="47"/>
      <c r="H601" s="50"/>
      <c r="I601" s="50"/>
      <c r="J601" s="51" t="str">
        <f aca="false">IF(OR($V601="",$W601=""),"",ROUND(($W601-$V601)/60,2))</f>
        <v/>
      </c>
      <c r="K601" s="52" t="str">
        <f aca="false">IF($F601="","",LEN($F601)-LEN(SUBSTITUTE($F601,",",""))+1)</f>
        <v/>
      </c>
      <c r="L601" s="45" t="str">
        <f aca="false">IF($K601="","","1:"&amp;$K601)</f>
        <v/>
      </c>
      <c r="M601" s="46"/>
      <c r="N601" s="53"/>
      <c r="O601" s="46"/>
      <c r="P601" s="47"/>
      <c r="Q601" s="48"/>
      <c r="R601" s="49"/>
      <c r="S601" s="54" t="str">
        <f aca="false">IF(OR($AC601=0,$U601="",$M601="",$V601="",$W601=""),"",IF(COUNTIFS(m_teacher,$M601,m_date,$U601,m_active,1,m_start,"&lt;"&amp;$W601,m_end,"&gt;"&amp;$V601)&gt;1,"충돌",""))</f>
        <v/>
      </c>
      <c r="T601" s="48"/>
      <c r="U601" s="55" t="str">
        <f aca="false">IF($G601="","",IFERROR(IF(ISNUMBER($G601),IF($G601&gt;19000000,DATE(INT($G601/10000),MOD(INT($G601/100),100),MOD($G601,100)),INT($G601)),IF(LEN(SUBSTITUTE(SUBSTITUTE(SUBSTITUTE(TRIM($G601),"-",""),".",""),"/",""))=8,DATE(VALUE(LEFT(SUBSTITUTE(SUBSTITUTE(SUBSTITUTE(TRIM($G601),"-",""),".",""),"/",""),4)),VALUE(MID(SUBSTITUTE(SUBSTITUTE(SUBSTITUTE(TRIM($G601),"-",""),".",""),"/",""),5,2)),VALUE(RIGHT(SUBSTITUTE(SUBSTITUTE(SUBSTITUTE(TRIM($G601),"-",""),".",""),"/",""),2))),DATEVALUE($G601))),""))</f>
        <v/>
      </c>
      <c r="V601" s="52" t="str">
        <f aca="false">IF($H601="","",IFERROR(IF(IF(ISNUMBER($H601),$H601,IFERROR(TIMEVALUE($H601),VALUE($H601)))&gt;=100,INT(IF(ISNUMBER($H601),$H601,IFERROR(TIMEVALUE($H601),VALUE($H601)))/100)*60+MOD(IF(ISNUMBER($H601),$H601,IFERROR(TIMEVALUE($H601),VALUE($H601))),100),IF(IF(ISNUMBER($H601),$H601,IFERROR(TIMEVALUE($H601),VALUE($H601)))&gt;=1,ROUND(IF(ISNUMBER($H601),$H601,IFERROR(TIMEVALUE($H601),VALUE($H601)))*60,0),ROUND(MOD(IF(ISNUMBER($H601),$H601,IFERROR(TIMEVALUE($H601),VALUE($H601))),1)*1440,0))),""))</f>
        <v/>
      </c>
      <c r="W601" s="52" t="str">
        <f aca="false">IF($I601="","",IFERROR(IF(IF(ISNUMBER($I601),$I601,IFERROR(TIMEVALUE($I601),VALUE($I601)))&gt;=100,INT(IF(ISNUMBER($I601),$I601,IFERROR(TIMEVALUE($I601),VALUE($I601)))/100)*60+MOD(IF(ISNUMBER($I601),$I601,IFERROR(TIMEVALUE($I601),VALUE($I601))),100),IF(IF(ISNUMBER($I601),$I601,IFERROR(TIMEVALUE($I601),VALUE($I601)))&gt;=1,ROUND(IF(ISNUMBER($I601),$I601,IFERROR(TIMEVALUE($I601),VALUE($I601)))*60,0),ROUND(MOD(IF(ISNUMBER($I601),$I601,IFERROR(TIMEVALUE($I601),VALUE($I601))),1)*1440,0))),""))</f>
        <v/>
      </c>
      <c r="X601" s="55" t="str">
        <f aca="false">IF($P601="","",IFERROR(IF(ISNUMBER($P601),IF($P601&gt;19000000,DATE(INT($P601/10000),MOD(INT($P601/100),100),MOD($P601,100)),INT($P601)),IF(LEN(SUBSTITUTE(SUBSTITUTE(SUBSTITUTE(TRIM($P601),"-",""),".",""),"/",""))=8,DATE(VALUE(LEFT(SUBSTITUTE(SUBSTITUTE(SUBSTITUTE(TRIM($P601),"-",""),".",""),"/",""),4)),VALUE(MID(SUBSTITUTE(SUBSTITUTE(SUBSTITUTE(TRIM($P601),"-",""),".",""),"/",""),5,2)),VALUE(RIGHT(SUBSTITUTE(SUBSTITUTE(SUBSTITUTE(TRIM($P601),"-",""),".",""),"/",""),2))),DATEVALUE($P601))),""))</f>
        <v/>
      </c>
      <c r="Y601" s="56" t="str">
        <f aca="false">IF($M601="","",IFERROR(INDEX(강사DB!$D$4:$D$53,MATCH($M601,강사DB!$A$4:$A$53,0)),""))</f>
        <v/>
      </c>
      <c r="Z601" s="56" t="str">
        <f aca="false">IF($B601&lt;&gt;"결제완료","",IF(OR($Y601="",$J601=""),"",$Y601*$J601+MAX(0,N($K601)-1)*설정!$J$7))</f>
        <v/>
      </c>
      <c r="AA601" s="56" t="str">
        <f aca="false">IF(AND($D601&lt;&gt;"",$B601="결제완료"),N($N601),"")</f>
        <v/>
      </c>
      <c r="AB601" s="45" t="str">
        <f aca="false">IF($D601="","",IF($F601&lt;&gt;"",$F601,$D601)&amp;IF($B601="상담중"," (상담)",""))</f>
        <v/>
      </c>
      <c r="AC601" s="45" t="n">
        <f aca="false">IF(AND($D601&lt;&gt;"",OR($B601="결제완료",$B601="상담중")),1,0)</f>
        <v>0</v>
      </c>
      <c r="AD601" s="45" t="n">
        <f aca="false">IF(OR($Z601="",$U601=""),0,IFERROR(IF(COUNTIFS(INDEX(g_grid,0,2*MATCH($M601,강사DB!$A$4:$A$15,0)),"&lt;&gt;",g_s,"&lt;="&amp;$U601,g_e,"&gt;="&amp;$U601)&gt;0,1,0),0))</f>
        <v>0</v>
      </c>
      <c r="AE601" s="48"/>
      <c r="AF601" s="56" t="str">
        <f aca="false">IF(AND($D601&lt;&gt;"",$B601="결제완료",$T601="대여"),설정!$J$5,"")</f>
        <v/>
      </c>
      <c r="AG601" s="54" t="str">
        <f aca="false">IF($D601="","",IF(AND($E601="",$R601=""),$AB601,"☎ "&amp;IF($E601="","-",$E601)&amp;IF($R601&lt;&gt;"","  ※ "&amp;$R601,"")&amp;IF($B601="상담중"," (상담)","")))</f>
        <v/>
      </c>
      <c r="AH601" s="56" t="str">
        <f aca="false">IF(AND($D601&lt;&gt;"",$B601="결제완료",$O601="스마트스토어"),ROUND(N($N601)*설정!$J$6,0),"")</f>
        <v/>
      </c>
      <c r="AI601" s="54" t="str">
        <f aca="false">IF($D601="","",ROW())</f>
        <v/>
      </c>
      <c r="AJ601" s="54" t="n">
        <f aca="false">IF(OR($AC601&lt;&gt;1,$M601=""),0,IF(ISNUMBER(SEARCH("퇴사",IFERROR(INDEX(강사DB!$G$4:$G$53,MATCH($M601,강사DB!$A$4:$A$53,0)),""))),1,0))</f>
        <v>0</v>
      </c>
    </row>
    <row r="602" customFormat="false" ht="15" hidden="false" customHeight="false" outlineLevel="0" collapsed="false">
      <c r="A602" s="45" t="str">
        <f aca="false">IF($D602="","",COUNTA($D$5:$D602))</f>
        <v/>
      </c>
      <c r="B602" s="46"/>
      <c r="C602" s="47"/>
      <c r="D602" s="48"/>
      <c r="E602" s="48"/>
      <c r="F602" s="49"/>
      <c r="G602" s="47"/>
      <c r="H602" s="50"/>
      <c r="I602" s="50"/>
      <c r="J602" s="51" t="str">
        <f aca="false">IF(OR($V602="",$W602=""),"",ROUND(($W602-$V602)/60,2))</f>
        <v/>
      </c>
      <c r="K602" s="52" t="str">
        <f aca="false">IF($F602="","",LEN($F602)-LEN(SUBSTITUTE($F602,",",""))+1)</f>
        <v/>
      </c>
      <c r="L602" s="45" t="str">
        <f aca="false">IF($K602="","","1:"&amp;$K602)</f>
        <v/>
      </c>
      <c r="M602" s="46"/>
      <c r="N602" s="53"/>
      <c r="O602" s="46"/>
      <c r="P602" s="47"/>
      <c r="Q602" s="48"/>
      <c r="R602" s="49"/>
      <c r="S602" s="54" t="str">
        <f aca="false">IF(OR($AC602=0,$U602="",$M602="",$V602="",$W602=""),"",IF(COUNTIFS(m_teacher,$M602,m_date,$U602,m_active,1,m_start,"&lt;"&amp;$W602,m_end,"&gt;"&amp;$V602)&gt;1,"충돌",""))</f>
        <v/>
      </c>
      <c r="T602" s="48"/>
      <c r="U602" s="55" t="str">
        <f aca="false">IF($G602="","",IFERROR(IF(ISNUMBER($G602),IF($G602&gt;19000000,DATE(INT($G602/10000),MOD(INT($G602/100),100),MOD($G602,100)),INT($G602)),IF(LEN(SUBSTITUTE(SUBSTITUTE(SUBSTITUTE(TRIM($G602),"-",""),".",""),"/",""))=8,DATE(VALUE(LEFT(SUBSTITUTE(SUBSTITUTE(SUBSTITUTE(TRIM($G602),"-",""),".",""),"/",""),4)),VALUE(MID(SUBSTITUTE(SUBSTITUTE(SUBSTITUTE(TRIM($G602),"-",""),".",""),"/",""),5,2)),VALUE(RIGHT(SUBSTITUTE(SUBSTITUTE(SUBSTITUTE(TRIM($G602),"-",""),".",""),"/",""),2))),DATEVALUE($G602))),""))</f>
        <v/>
      </c>
      <c r="V602" s="52" t="str">
        <f aca="false">IF($H602="","",IFERROR(IF(IF(ISNUMBER($H602),$H602,IFERROR(TIMEVALUE($H602),VALUE($H602)))&gt;=100,INT(IF(ISNUMBER($H602),$H602,IFERROR(TIMEVALUE($H602),VALUE($H602)))/100)*60+MOD(IF(ISNUMBER($H602),$H602,IFERROR(TIMEVALUE($H602),VALUE($H602))),100),IF(IF(ISNUMBER($H602),$H602,IFERROR(TIMEVALUE($H602),VALUE($H602)))&gt;=1,ROUND(IF(ISNUMBER($H602),$H602,IFERROR(TIMEVALUE($H602),VALUE($H602)))*60,0),ROUND(MOD(IF(ISNUMBER($H602),$H602,IFERROR(TIMEVALUE($H602),VALUE($H602))),1)*1440,0))),""))</f>
        <v/>
      </c>
      <c r="W602" s="52" t="str">
        <f aca="false">IF($I602="","",IFERROR(IF(IF(ISNUMBER($I602),$I602,IFERROR(TIMEVALUE($I602),VALUE($I602)))&gt;=100,INT(IF(ISNUMBER($I602),$I602,IFERROR(TIMEVALUE($I602),VALUE($I602)))/100)*60+MOD(IF(ISNUMBER($I602),$I602,IFERROR(TIMEVALUE($I602),VALUE($I602))),100),IF(IF(ISNUMBER($I602),$I602,IFERROR(TIMEVALUE($I602),VALUE($I602)))&gt;=1,ROUND(IF(ISNUMBER($I602),$I602,IFERROR(TIMEVALUE($I602),VALUE($I602)))*60,0),ROUND(MOD(IF(ISNUMBER($I602),$I602,IFERROR(TIMEVALUE($I602),VALUE($I602))),1)*1440,0))),""))</f>
        <v/>
      </c>
      <c r="X602" s="55" t="str">
        <f aca="false">IF($P602="","",IFERROR(IF(ISNUMBER($P602),IF($P602&gt;19000000,DATE(INT($P602/10000),MOD(INT($P602/100),100),MOD($P602,100)),INT($P602)),IF(LEN(SUBSTITUTE(SUBSTITUTE(SUBSTITUTE(TRIM($P602),"-",""),".",""),"/",""))=8,DATE(VALUE(LEFT(SUBSTITUTE(SUBSTITUTE(SUBSTITUTE(TRIM($P602),"-",""),".",""),"/",""),4)),VALUE(MID(SUBSTITUTE(SUBSTITUTE(SUBSTITUTE(TRIM($P602),"-",""),".",""),"/",""),5,2)),VALUE(RIGHT(SUBSTITUTE(SUBSTITUTE(SUBSTITUTE(TRIM($P602),"-",""),".",""),"/",""),2))),DATEVALUE($P602))),""))</f>
        <v/>
      </c>
      <c r="Y602" s="56" t="str">
        <f aca="false">IF($M602="","",IFERROR(INDEX(강사DB!$D$4:$D$53,MATCH($M602,강사DB!$A$4:$A$53,0)),""))</f>
        <v/>
      </c>
      <c r="Z602" s="56" t="str">
        <f aca="false">IF($B602&lt;&gt;"결제완료","",IF(OR($Y602="",$J602=""),"",$Y602*$J602+MAX(0,N($K602)-1)*설정!$J$7))</f>
        <v/>
      </c>
      <c r="AA602" s="56" t="str">
        <f aca="false">IF(AND($D602&lt;&gt;"",$B602="결제완료"),N($N602),"")</f>
        <v/>
      </c>
      <c r="AB602" s="45" t="str">
        <f aca="false">IF($D602="","",IF($F602&lt;&gt;"",$F602,$D602)&amp;IF($B602="상담중"," (상담)",""))</f>
        <v/>
      </c>
      <c r="AC602" s="45" t="n">
        <f aca="false">IF(AND($D602&lt;&gt;"",OR($B602="결제완료",$B602="상담중")),1,0)</f>
        <v>0</v>
      </c>
      <c r="AD602" s="45" t="n">
        <f aca="false">IF(OR($Z602="",$U602=""),0,IFERROR(IF(COUNTIFS(INDEX(g_grid,0,2*MATCH($M602,강사DB!$A$4:$A$15,0)),"&lt;&gt;",g_s,"&lt;="&amp;$U602,g_e,"&gt;="&amp;$U602)&gt;0,1,0),0))</f>
        <v>0</v>
      </c>
      <c r="AE602" s="48"/>
      <c r="AF602" s="56" t="str">
        <f aca="false">IF(AND($D602&lt;&gt;"",$B602="결제완료",$T602="대여"),설정!$J$5,"")</f>
        <v/>
      </c>
      <c r="AG602" s="54" t="str">
        <f aca="false">IF($D602="","",IF(AND($E602="",$R602=""),$AB602,"☎ "&amp;IF($E602="","-",$E602)&amp;IF($R602&lt;&gt;"","  ※ "&amp;$R602,"")&amp;IF($B602="상담중"," (상담)","")))</f>
        <v/>
      </c>
      <c r="AH602" s="56" t="str">
        <f aca="false">IF(AND($D602&lt;&gt;"",$B602="결제완료",$O602="스마트스토어"),ROUND(N($N602)*설정!$J$6,0),"")</f>
        <v/>
      </c>
      <c r="AI602" s="54" t="str">
        <f aca="false">IF($D602="","",ROW())</f>
        <v/>
      </c>
      <c r="AJ602" s="54" t="n">
        <f aca="false">IF(OR($AC602&lt;&gt;1,$M602=""),0,IF(ISNUMBER(SEARCH("퇴사",IFERROR(INDEX(강사DB!$G$4:$G$53,MATCH($M602,강사DB!$A$4:$A$53,0)),""))),1,0))</f>
        <v>0</v>
      </c>
    </row>
    <row r="603" customFormat="false" ht="15" hidden="false" customHeight="false" outlineLevel="0" collapsed="false">
      <c r="A603" s="45" t="str">
        <f aca="false">IF($D603="","",COUNTA($D$5:$D603))</f>
        <v/>
      </c>
      <c r="B603" s="46"/>
      <c r="C603" s="47"/>
      <c r="D603" s="48"/>
      <c r="E603" s="48"/>
      <c r="F603" s="49"/>
      <c r="G603" s="47"/>
      <c r="H603" s="50"/>
      <c r="I603" s="50"/>
      <c r="J603" s="51" t="str">
        <f aca="false">IF(OR($V603="",$W603=""),"",ROUND(($W603-$V603)/60,2))</f>
        <v/>
      </c>
      <c r="K603" s="52" t="str">
        <f aca="false">IF($F603="","",LEN($F603)-LEN(SUBSTITUTE($F603,",",""))+1)</f>
        <v/>
      </c>
      <c r="L603" s="45" t="str">
        <f aca="false">IF($K603="","","1:"&amp;$K603)</f>
        <v/>
      </c>
      <c r="M603" s="46"/>
      <c r="N603" s="53"/>
      <c r="O603" s="46"/>
      <c r="P603" s="47"/>
      <c r="Q603" s="48"/>
      <c r="R603" s="49"/>
      <c r="S603" s="54" t="str">
        <f aca="false">IF(OR($AC603=0,$U603="",$M603="",$V603="",$W603=""),"",IF(COUNTIFS(m_teacher,$M603,m_date,$U603,m_active,1,m_start,"&lt;"&amp;$W603,m_end,"&gt;"&amp;$V603)&gt;1,"충돌",""))</f>
        <v/>
      </c>
      <c r="T603" s="48"/>
      <c r="U603" s="55" t="str">
        <f aca="false">IF($G603="","",IFERROR(IF(ISNUMBER($G603),IF($G603&gt;19000000,DATE(INT($G603/10000),MOD(INT($G603/100),100),MOD($G603,100)),INT($G603)),IF(LEN(SUBSTITUTE(SUBSTITUTE(SUBSTITUTE(TRIM($G603),"-",""),".",""),"/",""))=8,DATE(VALUE(LEFT(SUBSTITUTE(SUBSTITUTE(SUBSTITUTE(TRIM($G603),"-",""),".",""),"/",""),4)),VALUE(MID(SUBSTITUTE(SUBSTITUTE(SUBSTITUTE(TRIM($G603),"-",""),".",""),"/",""),5,2)),VALUE(RIGHT(SUBSTITUTE(SUBSTITUTE(SUBSTITUTE(TRIM($G603),"-",""),".",""),"/",""),2))),DATEVALUE($G603))),""))</f>
        <v/>
      </c>
      <c r="V603" s="52" t="str">
        <f aca="false">IF($H603="","",IFERROR(IF(IF(ISNUMBER($H603),$H603,IFERROR(TIMEVALUE($H603),VALUE($H603)))&gt;=100,INT(IF(ISNUMBER($H603),$H603,IFERROR(TIMEVALUE($H603),VALUE($H603)))/100)*60+MOD(IF(ISNUMBER($H603),$H603,IFERROR(TIMEVALUE($H603),VALUE($H603))),100),IF(IF(ISNUMBER($H603),$H603,IFERROR(TIMEVALUE($H603),VALUE($H603)))&gt;=1,ROUND(IF(ISNUMBER($H603),$H603,IFERROR(TIMEVALUE($H603),VALUE($H603)))*60,0),ROUND(MOD(IF(ISNUMBER($H603),$H603,IFERROR(TIMEVALUE($H603),VALUE($H603))),1)*1440,0))),""))</f>
        <v/>
      </c>
      <c r="W603" s="52" t="str">
        <f aca="false">IF($I603="","",IFERROR(IF(IF(ISNUMBER($I603),$I603,IFERROR(TIMEVALUE($I603),VALUE($I603)))&gt;=100,INT(IF(ISNUMBER($I603),$I603,IFERROR(TIMEVALUE($I603),VALUE($I603)))/100)*60+MOD(IF(ISNUMBER($I603),$I603,IFERROR(TIMEVALUE($I603),VALUE($I603))),100),IF(IF(ISNUMBER($I603),$I603,IFERROR(TIMEVALUE($I603),VALUE($I603)))&gt;=1,ROUND(IF(ISNUMBER($I603),$I603,IFERROR(TIMEVALUE($I603),VALUE($I603)))*60,0),ROUND(MOD(IF(ISNUMBER($I603),$I603,IFERROR(TIMEVALUE($I603),VALUE($I603))),1)*1440,0))),""))</f>
        <v/>
      </c>
      <c r="X603" s="55" t="str">
        <f aca="false">IF($P603="","",IFERROR(IF(ISNUMBER($P603),IF($P603&gt;19000000,DATE(INT($P603/10000),MOD(INT($P603/100),100),MOD($P603,100)),INT($P603)),IF(LEN(SUBSTITUTE(SUBSTITUTE(SUBSTITUTE(TRIM($P603),"-",""),".",""),"/",""))=8,DATE(VALUE(LEFT(SUBSTITUTE(SUBSTITUTE(SUBSTITUTE(TRIM($P603),"-",""),".",""),"/",""),4)),VALUE(MID(SUBSTITUTE(SUBSTITUTE(SUBSTITUTE(TRIM($P603),"-",""),".",""),"/",""),5,2)),VALUE(RIGHT(SUBSTITUTE(SUBSTITUTE(SUBSTITUTE(TRIM($P603),"-",""),".",""),"/",""),2))),DATEVALUE($P603))),""))</f>
        <v/>
      </c>
      <c r="Y603" s="56" t="str">
        <f aca="false">IF($M603="","",IFERROR(INDEX(강사DB!$D$4:$D$53,MATCH($M603,강사DB!$A$4:$A$53,0)),""))</f>
        <v/>
      </c>
      <c r="Z603" s="56" t="str">
        <f aca="false">IF($B603&lt;&gt;"결제완료","",IF(OR($Y603="",$J603=""),"",$Y603*$J603+MAX(0,N($K603)-1)*설정!$J$7))</f>
        <v/>
      </c>
      <c r="AA603" s="56" t="str">
        <f aca="false">IF(AND($D603&lt;&gt;"",$B603="결제완료"),N($N603),"")</f>
        <v/>
      </c>
      <c r="AB603" s="45" t="str">
        <f aca="false">IF($D603="","",IF($F603&lt;&gt;"",$F603,$D603)&amp;IF($B603="상담중"," (상담)",""))</f>
        <v/>
      </c>
      <c r="AC603" s="45" t="n">
        <f aca="false">IF(AND($D603&lt;&gt;"",OR($B603="결제완료",$B603="상담중")),1,0)</f>
        <v>0</v>
      </c>
      <c r="AD603" s="45" t="n">
        <f aca="false">IF(OR($Z603="",$U603=""),0,IFERROR(IF(COUNTIFS(INDEX(g_grid,0,2*MATCH($M603,강사DB!$A$4:$A$15,0)),"&lt;&gt;",g_s,"&lt;="&amp;$U603,g_e,"&gt;="&amp;$U603)&gt;0,1,0),0))</f>
        <v>0</v>
      </c>
      <c r="AE603" s="48"/>
      <c r="AF603" s="56" t="str">
        <f aca="false">IF(AND($D603&lt;&gt;"",$B603="결제완료",$T603="대여"),설정!$J$5,"")</f>
        <v/>
      </c>
      <c r="AG603" s="54" t="str">
        <f aca="false">IF($D603="","",IF(AND($E603="",$R603=""),$AB603,"☎ "&amp;IF($E603="","-",$E603)&amp;IF($R603&lt;&gt;"","  ※ "&amp;$R603,"")&amp;IF($B603="상담중"," (상담)","")))</f>
        <v/>
      </c>
      <c r="AH603" s="56" t="str">
        <f aca="false">IF(AND($D603&lt;&gt;"",$B603="결제완료",$O603="스마트스토어"),ROUND(N($N603)*설정!$J$6,0),"")</f>
        <v/>
      </c>
      <c r="AI603" s="54" t="str">
        <f aca="false">IF($D603="","",ROW())</f>
        <v/>
      </c>
      <c r="AJ603" s="54" t="n">
        <f aca="false">IF(OR($AC603&lt;&gt;1,$M603=""),0,IF(ISNUMBER(SEARCH("퇴사",IFERROR(INDEX(강사DB!$G$4:$G$53,MATCH($M603,강사DB!$A$4:$A$53,0)),""))),1,0))</f>
        <v>0</v>
      </c>
    </row>
    <row r="604" customFormat="false" ht="15" hidden="false" customHeight="false" outlineLevel="0" collapsed="false">
      <c r="A604" s="45" t="str">
        <f aca="false">IF($D604="","",COUNTA($D$5:$D604))</f>
        <v/>
      </c>
      <c r="B604" s="46"/>
      <c r="C604" s="47"/>
      <c r="D604" s="48"/>
      <c r="E604" s="48"/>
      <c r="F604" s="49"/>
      <c r="G604" s="47"/>
      <c r="H604" s="50"/>
      <c r="I604" s="50"/>
      <c r="J604" s="51" t="str">
        <f aca="false">IF(OR($V604="",$W604=""),"",ROUND(($W604-$V604)/60,2))</f>
        <v/>
      </c>
      <c r="K604" s="52" t="str">
        <f aca="false">IF($F604="","",LEN($F604)-LEN(SUBSTITUTE($F604,",",""))+1)</f>
        <v/>
      </c>
      <c r="L604" s="45" t="str">
        <f aca="false">IF($K604="","","1:"&amp;$K604)</f>
        <v/>
      </c>
      <c r="M604" s="46"/>
      <c r="N604" s="53"/>
      <c r="O604" s="46"/>
      <c r="P604" s="47"/>
      <c r="Q604" s="48"/>
      <c r="R604" s="49"/>
      <c r="S604" s="54" t="str">
        <f aca="false">IF(OR($AC604=0,$U604="",$M604="",$V604="",$W604=""),"",IF(COUNTIFS(m_teacher,$M604,m_date,$U604,m_active,1,m_start,"&lt;"&amp;$W604,m_end,"&gt;"&amp;$V604)&gt;1,"충돌",""))</f>
        <v/>
      </c>
      <c r="T604" s="48"/>
      <c r="U604" s="55" t="str">
        <f aca="false">IF($G604="","",IFERROR(IF(ISNUMBER($G604),IF($G604&gt;19000000,DATE(INT($G604/10000),MOD(INT($G604/100),100),MOD($G604,100)),INT($G604)),IF(LEN(SUBSTITUTE(SUBSTITUTE(SUBSTITUTE(TRIM($G604),"-",""),".",""),"/",""))=8,DATE(VALUE(LEFT(SUBSTITUTE(SUBSTITUTE(SUBSTITUTE(TRIM($G604),"-",""),".",""),"/",""),4)),VALUE(MID(SUBSTITUTE(SUBSTITUTE(SUBSTITUTE(TRIM($G604),"-",""),".",""),"/",""),5,2)),VALUE(RIGHT(SUBSTITUTE(SUBSTITUTE(SUBSTITUTE(TRIM($G604),"-",""),".",""),"/",""),2))),DATEVALUE($G604))),""))</f>
        <v/>
      </c>
      <c r="V604" s="52" t="str">
        <f aca="false">IF($H604="","",IFERROR(IF(IF(ISNUMBER($H604),$H604,IFERROR(TIMEVALUE($H604),VALUE($H604)))&gt;=100,INT(IF(ISNUMBER($H604),$H604,IFERROR(TIMEVALUE($H604),VALUE($H604)))/100)*60+MOD(IF(ISNUMBER($H604),$H604,IFERROR(TIMEVALUE($H604),VALUE($H604))),100),IF(IF(ISNUMBER($H604),$H604,IFERROR(TIMEVALUE($H604),VALUE($H604)))&gt;=1,ROUND(IF(ISNUMBER($H604),$H604,IFERROR(TIMEVALUE($H604),VALUE($H604)))*60,0),ROUND(MOD(IF(ISNUMBER($H604),$H604,IFERROR(TIMEVALUE($H604),VALUE($H604))),1)*1440,0))),""))</f>
        <v/>
      </c>
      <c r="W604" s="52" t="str">
        <f aca="false">IF($I604="","",IFERROR(IF(IF(ISNUMBER($I604),$I604,IFERROR(TIMEVALUE($I604),VALUE($I604)))&gt;=100,INT(IF(ISNUMBER($I604),$I604,IFERROR(TIMEVALUE($I604),VALUE($I604)))/100)*60+MOD(IF(ISNUMBER($I604),$I604,IFERROR(TIMEVALUE($I604),VALUE($I604))),100),IF(IF(ISNUMBER($I604),$I604,IFERROR(TIMEVALUE($I604),VALUE($I604)))&gt;=1,ROUND(IF(ISNUMBER($I604),$I604,IFERROR(TIMEVALUE($I604),VALUE($I604)))*60,0),ROUND(MOD(IF(ISNUMBER($I604),$I604,IFERROR(TIMEVALUE($I604),VALUE($I604))),1)*1440,0))),""))</f>
        <v/>
      </c>
      <c r="X604" s="55" t="str">
        <f aca="false">IF($P604="","",IFERROR(IF(ISNUMBER($P604),IF($P604&gt;19000000,DATE(INT($P604/10000),MOD(INT($P604/100),100),MOD($P604,100)),INT($P604)),IF(LEN(SUBSTITUTE(SUBSTITUTE(SUBSTITUTE(TRIM($P604),"-",""),".",""),"/",""))=8,DATE(VALUE(LEFT(SUBSTITUTE(SUBSTITUTE(SUBSTITUTE(TRIM($P604),"-",""),".",""),"/",""),4)),VALUE(MID(SUBSTITUTE(SUBSTITUTE(SUBSTITUTE(TRIM($P604),"-",""),".",""),"/",""),5,2)),VALUE(RIGHT(SUBSTITUTE(SUBSTITUTE(SUBSTITUTE(TRIM($P604),"-",""),".",""),"/",""),2))),DATEVALUE($P604))),""))</f>
        <v/>
      </c>
      <c r="Y604" s="56" t="str">
        <f aca="false">IF($M604="","",IFERROR(INDEX(강사DB!$D$4:$D$53,MATCH($M604,강사DB!$A$4:$A$53,0)),""))</f>
        <v/>
      </c>
      <c r="Z604" s="56" t="str">
        <f aca="false">IF($B604&lt;&gt;"결제완료","",IF(OR($Y604="",$J604=""),"",$Y604*$J604+MAX(0,N($K604)-1)*설정!$J$7))</f>
        <v/>
      </c>
      <c r="AA604" s="56" t="str">
        <f aca="false">IF(AND($D604&lt;&gt;"",$B604="결제완료"),N($N604),"")</f>
        <v/>
      </c>
      <c r="AB604" s="45" t="str">
        <f aca="false">IF($D604="","",IF($F604&lt;&gt;"",$F604,$D604)&amp;IF($B604="상담중"," (상담)",""))</f>
        <v/>
      </c>
      <c r="AC604" s="45" t="n">
        <f aca="false">IF(AND($D604&lt;&gt;"",OR($B604="결제완료",$B604="상담중")),1,0)</f>
        <v>0</v>
      </c>
      <c r="AD604" s="45" t="n">
        <f aca="false">IF(OR($Z604="",$U604=""),0,IFERROR(IF(COUNTIFS(INDEX(g_grid,0,2*MATCH($M604,강사DB!$A$4:$A$15,0)),"&lt;&gt;",g_s,"&lt;="&amp;$U604,g_e,"&gt;="&amp;$U604)&gt;0,1,0),0))</f>
        <v>0</v>
      </c>
      <c r="AE604" s="48"/>
      <c r="AF604" s="56" t="str">
        <f aca="false">IF(AND($D604&lt;&gt;"",$B604="결제완료",$T604="대여"),설정!$J$5,"")</f>
        <v/>
      </c>
      <c r="AG604" s="54" t="str">
        <f aca="false">IF($D604="","",IF(AND($E604="",$R604=""),$AB604,"☎ "&amp;IF($E604="","-",$E604)&amp;IF($R604&lt;&gt;"","  ※ "&amp;$R604,"")&amp;IF($B604="상담중"," (상담)","")))</f>
        <v/>
      </c>
      <c r="AH604" s="56" t="str">
        <f aca="false">IF(AND($D604&lt;&gt;"",$B604="결제완료",$O604="스마트스토어"),ROUND(N($N604)*설정!$J$6,0),"")</f>
        <v/>
      </c>
      <c r="AI604" s="54" t="str">
        <f aca="false">IF($D604="","",ROW())</f>
        <v/>
      </c>
      <c r="AJ604" s="54" t="n">
        <f aca="false">IF(OR($AC604&lt;&gt;1,$M604=""),0,IF(ISNUMBER(SEARCH("퇴사",IFERROR(INDEX(강사DB!$G$4:$G$53,MATCH($M604,강사DB!$A$4:$A$53,0)),""))),1,0))</f>
        <v>0</v>
      </c>
    </row>
    <row r="605" customFormat="false" ht="15" hidden="false" customHeight="false" outlineLevel="0" collapsed="false">
      <c r="A605" s="45" t="str">
        <f aca="false">IF($D605="","",COUNTA($D$5:$D605))</f>
        <v/>
      </c>
      <c r="B605" s="46"/>
      <c r="C605" s="47"/>
      <c r="D605" s="48"/>
      <c r="E605" s="48"/>
      <c r="F605" s="49"/>
      <c r="G605" s="47"/>
      <c r="H605" s="50"/>
      <c r="I605" s="50"/>
      <c r="J605" s="51" t="str">
        <f aca="false">IF(OR($V605="",$W605=""),"",ROUND(($W605-$V605)/60,2))</f>
        <v/>
      </c>
      <c r="K605" s="52" t="str">
        <f aca="false">IF($F605="","",LEN($F605)-LEN(SUBSTITUTE($F605,",",""))+1)</f>
        <v/>
      </c>
      <c r="L605" s="45" t="str">
        <f aca="false">IF($K605="","","1:"&amp;$K605)</f>
        <v/>
      </c>
      <c r="M605" s="46"/>
      <c r="N605" s="53"/>
      <c r="O605" s="46"/>
      <c r="P605" s="47"/>
      <c r="Q605" s="48"/>
      <c r="R605" s="49"/>
      <c r="S605" s="54" t="str">
        <f aca="false">IF(OR($AC605=0,$U605="",$M605="",$V605="",$W605=""),"",IF(COUNTIFS(m_teacher,$M605,m_date,$U605,m_active,1,m_start,"&lt;"&amp;$W605,m_end,"&gt;"&amp;$V605)&gt;1,"충돌",""))</f>
        <v/>
      </c>
      <c r="T605" s="48"/>
      <c r="U605" s="55" t="str">
        <f aca="false">IF($G605="","",IFERROR(IF(ISNUMBER($G605),IF($G605&gt;19000000,DATE(INT($G605/10000),MOD(INT($G605/100),100),MOD($G605,100)),INT($G605)),IF(LEN(SUBSTITUTE(SUBSTITUTE(SUBSTITUTE(TRIM($G605),"-",""),".",""),"/",""))=8,DATE(VALUE(LEFT(SUBSTITUTE(SUBSTITUTE(SUBSTITUTE(TRIM($G605),"-",""),".",""),"/",""),4)),VALUE(MID(SUBSTITUTE(SUBSTITUTE(SUBSTITUTE(TRIM($G605),"-",""),".",""),"/",""),5,2)),VALUE(RIGHT(SUBSTITUTE(SUBSTITUTE(SUBSTITUTE(TRIM($G605),"-",""),".",""),"/",""),2))),DATEVALUE($G605))),""))</f>
        <v/>
      </c>
      <c r="V605" s="52" t="str">
        <f aca="false">IF($H605="","",IFERROR(IF(IF(ISNUMBER($H605),$H605,IFERROR(TIMEVALUE($H605),VALUE($H605)))&gt;=100,INT(IF(ISNUMBER($H605),$H605,IFERROR(TIMEVALUE($H605),VALUE($H605)))/100)*60+MOD(IF(ISNUMBER($H605),$H605,IFERROR(TIMEVALUE($H605),VALUE($H605))),100),IF(IF(ISNUMBER($H605),$H605,IFERROR(TIMEVALUE($H605),VALUE($H605)))&gt;=1,ROUND(IF(ISNUMBER($H605),$H605,IFERROR(TIMEVALUE($H605),VALUE($H605)))*60,0),ROUND(MOD(IF(ISNUMBER($H605),$H605,IFERROR(TIMEVALUE($H605),VALUE($H605))),1)*1440,0))),""))</f>
        <v/>
      </c>
      <c r="W605" s="52" t="str">
        <f aca="false">IF($I605="","",IFERROR(IF(IF(ISNUMBER($I605),$I605,IFERROR(TIMEVALUE($I605),VALUE($I605)))&gt;=100,INT(IF(ISNUMBER($I605),$I605,IFERROR(TIMEVALUE($I605),VALUE($I605)))/100)*60+MOD(IF(ISNUMBER($I605),$I605,IFERROR(TIMEVALUE($I605),VALUE($I605))),100),IF(IF(ISNUMBER($I605),$I605,IFERROR(TIMEVALUE($I605),VALUE($I605)))&gt;=1,ROUND(IF(ISNUMBER($I605),$I605,IFERROR(TIMEVALUE($I605),VALUE($I605)))*60,0),ROUND(MOD(IF(ISNUMBER($I605),$I605,IFERROR(TIMEVALUE($I605),VALUE($I605))),1)*1440,0))),""))</f>
        <v/>
      </c>
      <c r="X605" s="55" t="str">
        <f aca="false">IF($P605="","",IFERROR(IF(ISNUMBER($P605),IF($P605&gt;19000000,DATE(INT($P605/10000),MOD(INT($P605/100),100),MOD($P605,100)),INT($P605)),IF(LEN(SUBSTITUTE(SUBSTITUTE(SUBSTITUTE(TRIM($P605),"-",""),".",""),"/",""))=8,DATE(VALUE(LEFT(SUBSTITUTE(SUBSTITUTE(SUBSTITUTE(TRIM($P605),"-",""),".",""),"/",""),4)),VALUE(MID(SUBSTITUTE(SUBSTITUTE(SUBSTITUTE(TRIM($P605),"-",""),".",""),"/",""),5,2)),VALUE(RIGHT(SUBSTITUTE(SUBSTITUTE(SUBSTITUTE(TRIM($P605),"-",""),".",""),"/",""),2))),DATEVALUE($P605))),""))</f>
        <v/>
      </c>
      <c r="Y605" s="56" t="str">
        <f aca="false">IF($M605="","",IFERROR(INDEX(강사DB!$D$4:$D$53,MATCH($M605,강사DB!$A$4:$A$53,0)),""))</f>
        <v/>
      </c>
      <c r="Z605" s="56" t="str">
        <f aca="false">IF($B605&lt;&gt;"결제완료","",IF(OR($Y605="",$J605=""),"",$Y605*$J605+MAX(0,N($K605)-1)*설정!$J$7))</f>
        <v/>
      </c>
      <c r="AA605" s="56" t="str">
        <f aca="false">IF(AND($D605&lt;&gt;"",$B605="결제완료"),N($N605),"")</f>
        <v/>
      </c>
      <c r="AB605" s="45" t="str">
        <f aca="false">IF($D605="","",IF($F605&lt;&gt;"",$F605,$D605)&amp;IF($B605="상담중"," (상담)",""))</f>
        <v/>
      </c>
      <c r="AC605" s="45" t="n">
        <f aca="false">IF(AND($D605&lt;&gt;"",OR($B605="결제완료",$B605="상담중")),1,0)</f>
        <v>0</v>
      </c>
      <c r="AD605" s="45" t="n">
        <f aca="false">IF(OR($Z605="",$U605=""),0,IFERROR(IF(COUNTIFS(INDEX(g_grid,0,2*MATCH($M605,강사DB!$A$4:$A$15,0)),"&lt;&gt;",g_s,"&lt;="&amp;$U605,g_e,"&gt;="&amp;$U605)&gt;0,1,0),0))</f>
        <v>0</v>
      </c>
      <c r="AE605" s="48"/>
      <c r="AF605" s="56" t="str">
        <f aca="false">IF(AND($D605&lt;&gt;"",$B605="결제완료",$T605="대여"),설정!$J$5,"")</f>
        <v/>
      </c>
      <c r="AG605" s="54" t="str">
        <f aca="false">IF($D605="","",IF(AND($E605="",$R605=""),$AB605,"☎ "&amp;IF($E605="","-",$E605)&amp;IF($R605&lt;&gt;"","  ※ "&amp;$R605,"")&amp;IF($B605="상담중"," (상담)","")))</f>
        <v/>
      </c>
      <c r="AH605" s="56" t="str">
        <f aca="false">IF(AND($D605&lt;&gt;"",$B605="결제완료",$O605="스마트스토어"),ROUND(N($N605)*설정!$J$6,0),"")</f>
        <v/>
      </c>
      <c r="AI605" s="54" t="str">
        <f aca="false">IF($D605="","",ROW())</f>
        <v/>
      </c>
      <c r="AJ605" s="54" t="n">
        <f aca="false">IF(OR($AC605&lt;&gt;1,$M605=""),0,IF(ISNUMBER(SEARCH("퇴사",IFERROR(INDEX(강사DB!$G$4:$G$53,MATCH($M605,강사DB!$A$4:$A$53,0)),""))),1,0))</f>
        <v>0</v>
      </c>
    </row>
    <row r="606" customFormat="false" ht="15" hidden="false" customHeight="false" outlineLevel="0" collapsed="false">
      <c r="A606" s="45" t="str">
        <f aca="false">IF($D606="","",COUNTA($D$5:$D606))</f>
        <v/>
      </c>
      <c r="B606" s="46"/>
      <c r="C606" s="47"/>
      <c r="D606" s="48"/>
      <c r="E606" s="48"/>
      <c r="F606" s="49"/>
      <c r="G606" s="47"/>
      <c r="H606" s="50"/>
      <c r="I606" s="50"/>
      <c r="J606" s="51" t="str">
        <f aca="false">IF(OR($V606="",$W606=""),"",ROUND(($W606-$V606)/60,2))</f>
        <v/>
      </c>
      <c r="K606" s="52" t="str">
        <f aca="false">IF($F606="","",LEN($F606)-LEN(SUBSTITUTE($F606,",",""))+1)</f>
        <v/>
      </c>
      <c r="L606" s="45" t="str">
        <f aca="false">IF($K606="","","1:"&amp;$K606)</f>
        <v/>
      </c>
      <c r="M606" s="46"/>
      <c r="N606" s="53"/>
      <c r="O606" s="46"/>
      <c r="P606" s="47"/>
      <c r="Q606" s="48"/>
      <c r="R606" s="49"/>
      <c r="S606" s="54" t="str">
        <f aca="false">IF(OR($AC606=0,$U606="",$M606="",$V606="",$W606=""),"",IF(COUNTIFS(m_teacher,$M606,m_date,$U606,m_active,1,m_start,"&lt;"&amp;$W606,m_end,"&gt;"&amp;$V606)&gt;1,"충돌",""))</f>
        <v/>
      </c>
      <c r="T606" s="48"/>
      <c r="U606" s="55" t="str">
        <f aca="false">IF($G606="","",IFERROR(IF(ISNUMBER($G606),IF($G606&gt;19000000,DATE(INT($G606/10000),MOD(INT($G606/100),100),MOD($G606,100)),INT($G606)),IF(LEN(SUBSTITUTE(SUBSTITUTE(SUBSTITUTE(TRIM($G606),"-",""),".",""),"/",""))=8,DATE(VALUE(LEFT(SUBSTITUTE(SUBSTITUTE(SUBSTITUTE(TRIM($G606),"-",""),".",""),"/",""),4)),VALUE(MID(SUBSTITUTE(SUBSTITUTE(SUBSTITUTE(TRIM($G606),"-",""),".",""),"/",""),5,2)),VALUE(RIGHT(SUBSTITUTE(SUBSTITUTE(SUBSTITUTE(TRIM($G606),"-",""),".",""),"/",""),2))),DATEVALUE($G606))),""))</f>
        <v/>
      </c>
      <c r="V606" s="52" t="str">
        <f aca="false">IF($H606="","",IFERROR(IF(IF(ISNUMBER($H606),$H606,IFERROR(TIMEVALUE($H606),VALUE($H606)))&gt;=100,INT(IF(ISNUMBER($H606),$H606,IFERROR(TIMEVALUE($H606),VALUE($H606)))/100)*60+MOD(IF(ISNUMBER($H606),$H606,IFERROR(TIMEVALUE($H606),VALUE($H606))),100),IF(IF(ISNUMBER($H606),$H606,IFERROR(TIMEVALUE($H606),VALUE($H606)))&gt;=1,ROUND(IF(ISNUMBER($H606),$H606,IFERROR(TIMEVALUE($H606),VALUE($H606)))*60,0),ROUND(MOD(IF(ISNUMBER($H606),$H606,IFERROR(TIMEVALUE($H606),VALUE($H606))),1)*1440,0))),""))</f>
        <v/>
      </c>
      <c r="W606" s="52" t="str">
        <f aca="false">IF($I606="","",IFERROR(IF(IF(ISNUMBER($I606),$I606,IFERROR(TIMEVALUE($I606),VALUE($I606)))&gt;=100,INT(IF(ISNUMBER($I606),$I606,IFERROR(TIMEVALUE($I606),VALUE($I606)))/100)*60+MOD(IF(ISNUMBER($I606),$I606,IFERROR(TIMEVALUE($I606),VALUE($I606))),100),IF(IF(ISNUMBER($I606),$I606,IFERROR(TIMEVALUE($I606),VALUE($I606)))&gt;=1,ROUND(IF(ISNUMBER($I606),$I606,IFERROR(TIMEVALUE($I606),VALUE($I606)))*60,0),ROUND(MOD(IF(ISNUMBER($I606),$I606,IFERROR(TIMEVALUE($I606),VALUE($I606))),1)*1440,0))),""))</f>
        <v/>
      </c>
      <c r="X606" s="55" t="str">
        <f aca="false">IF($P606="","",IFERROR(IF(ISNUMBER($P606),IF($P606&gt;19000000,DATE(INT($P606/10000),MOD(INT($P606/100),100),MOD($P606,100)),INT($P606)),IF(LEN(SUBSTITUTE(SUBSTITUTE(SUBSTITUTE(TRIM($P606),"-",""),".",""),"/",""))=8,DATE(VALUE(LEFT(SUBSTITUTE(SUBSTITUTE(SUBSTITUTE(TRIM($P606),"-",""),".",""),"/",""),4)),VALUE(MID(SUBSTITUTE(SUBSTITUTE(SUBSTITUTE(TRIM($P606),"-",""),".",""),"/",""),5,2)),VALUE(RIGHT(SUBSTITUTE(SUBSTITUTE(SUBSTITUTE(TRIM($P606),"-",""),".",""),"/",""),2))),DATEVALUE($P606))),""))</f>
        <v/>
      </c>
      <c r="Y606" s="56" t="str">
        <f aca="false">IF($M606="","",IFERROR(INDEX(강사DB!$D$4:$D$53,MATCH($M606,강사DB!$A$4:$A$53,0)),""))</f>
        <v/>
      </c>
      <c r="Z606" s="56" t="str">
        <f aca="false">IF($B606&lt;&gt;"결제완료","",IF(OR($Y606="",$J606=""),"",$Y606*$J606+MAX(0,N($K606)-1)*설정!$J$7))</f>
        <v/>
      </c>
      <c r="AA606" s="56" t="str">
        <f aca="false">IF(AND($D606&lt;&gt;"",$B606="결제완료"),N($N606),"")</f>
        <v/>
      </c>
      <c r="AB606" s="45" t="str">
        <f aca="false">IF($D606="","",IF($F606&lt;&gt;"",$F606,$D606)&amp;IF($B606="상담중"," (상담)",""))</f>
        <v/>
      </c>
      <c r="AC606" s="45" t="n">
        <f aca="false">IF(AND($D606&lt;&gt;"",OR($B606="결제완료",$B606="상담중")),1,0)</f>
        <v>0</v>
      </c>
      <c r="AD606" s="45" t="n">
        <f aca="false">IF(OR($Z606="",$U606=""),0,IFERROR(IF(COUNTIFS(INDEX(g_grid,0,2*MATCH($M606,강사DB!$A$4:$A$15,0)),"&lt;&gt;",g_s,"&lt;="&amp;$U606,g_e,"&gt;="&amp;$U606)&gt;0,1,0),0))</f>
        <v>0</v>
      </c>
      <c r="AE606" s="48"/>
      <c r="AF606" s="56" t="str">
        <f aca="false">IF(AND($D606&lt;&gt;"",$B606="결제완료",$T606="대여"),설정!$J$5,"")</f>
        <v/>
      </c>
      <c r="AG606" s="54" t="str">
        <f aca="false">IF($D606="","",IF(AND($E606="",$R606=""),$AB606,"☎ "&amp;IF($E606="","-",$E606)&amp;IF($R606&lt;&gt;"","  ※ "&amp;$R606,"")&amp;IF($B606="상담중"," (상담)","")))</f>
        <v/>
      </c>
      <c r="AH606" s="56" t="str">
        <f aca="false">IF(AND($D606&lt;&gt;"",$B606="결제완료",$O606="스마트스토어"),ROUND(N($N606)*설정!$J$6,0),"")</f>
        <v/>
      </c>
      <c r="AI606" s="54" t="str">
        <f aca="false">IF($D606="","",ROW())</f>
        <v/>
      </c>
      <c r="AJ606" s="54" t="n">
        <f aca="false">IF(OR($AC606&lt;&gt;1,$M606=""),0,IF(ISNUMBER(SEARCH("퇴사",IFERROR(INDEX(강사DB!$G$4:$G$53,MATCH($M606,강사DB!$A$4:$A$53,0)),""))),1,0))</f>
        <v>0</v>
      </c>
    </row>
    <row r="607" customFormat="false" ht="15" hidden="false" customHeight="false" outlineLevel="0" collapsed="false">
      <c r="A607" s="45" t="str">
        <f aca="false">IF($D607="","",COUNTA($D$5:$D607))</f>
        <v/>
      </c>
      <c r="B607" s="46"/>
      <c r="C607" s="47"/>
      <c r="D607" s="48"/>
      <c r="E607" s="48"/>
      <c r="F607" s="49"/>
      <c r="G607" s="47"/>
      <c r="H607" s="50"/>
      <c r="I607" s="50"/>
      <c r="J607" s="51" t="str">
        <f aca="false">IF(OR($V607="",$W607=""),"",ROUND(($W607-$V607)/60,2))</f>
        <v/>
      </c>
      <c r="K607" s="52" t="str">
        <f aca="false">IF($F607="","",LEN($F607)-LEN(SUBSTITUTE($F607,",",""))+1)</f>
        <v/>
      </c>
      <c r="L607" s="45" t="str">
        <f aca="false">IF($K607="","","1:"&amp;$K607)</f>
        <v/>
      </c>
      <c r="M607" s="46"/>
      <c r="N607" s="53"/>
      <c r="O607" s="46"/>
      <c r="P607" s="47"/>
      <c r="Q607" s="48"/>
      <c r="R607" s="49"/>
      <c r="S607" s="54" t="str">
        <f aca="false">IF(OR($AC607=0,$U607="",$M607="",$V607="",$W607=""),"",IF(COUNTIFS(m_teacher,$M607,m_date,$U607,m_active,1,m_start,"&lt;"&amp;$W607,m_end,"&gt;"&amp;$V607)&gt;1,"충돌",""))</f>
        <v/>
      </c>
      <c r="T607" s="48"/>
      <c r="U607" s="55" t="str">
        <f aca="false">IF($G607="","",IFERROR(IF(ISNUMBER($G607),IF($G607&gt;19000000,DATE(INT($G607/10000),MOD(INT($G607/100),100),MOD($G607,100)),INT($G607)),IF(LEN(SUBSTITUTE(SUBSTITUTE(SUBSTITUTE(TRIM($G607),"-",""),".",""),"/",""))=8,DATE(VALUE(LEFT(SUBSTITUTE(SUBSTITUTE(SUBSTITUTE(TRIM($G607),"-",""),".",""),"/",""),4)),VALUE(MID(SUBSTITUTE(SUBSTITUTE(SUBSTITUTE(TRIM($G607),"-",""),".",""),"/",""),5,2)),VALUE(RIGHT(SUBSTITUTE(SUBSTITUTE(SUBSTITUTE(TRIM($G607),"-",""),".",""),"/",""),2))),DATEVALUE($G607))),""))</f>
        <v/>
      </c>
      <c r="V607" s="52" t="str">
        <f aca="false">IF($H607="","",IFERROR(IF(IF(ISNUMBER($H607),$H607,IFERROR(TIMEVALUE($H607),VALUE($H607)))&gt;=100,INT(IF(ISNUMBER($H607),$H607,IFERROR(TIMEVALUE($H607),VALUE($H607)))/100)*60+MOD(IF(ISNUMBER($H607),$H607,IFERROR(TIMEVALUE($H607),VALUE($H607))),100),IF(IF(ISNUMBER($H607),$H607,IFERROR(TIMEVALUE($H607),VALUE($H607)))&gt;=1,ROUND(IF(ISNUMBER($H607),$H607,IFERROR(TIMEVALUE($H607),VALUE($H607)))*60,0),ROUND(MOD(IF(ISNUMBER($H607),$H607,IFERROR(TIMEVALUE($H607),VALUE($H607))),1)*1440,0))),""))</f>
        <v/>
      </c>
      <c r="W607" s="52" t="str">
        <f aca="false">IF($I607="","",IFERROR(IF(IF(ISNUMBER($I607),$I607,IFERROR(TIMEVALUE($I607),VALUE($I607)))&gt;=100,INT(IF(ISNUMBER($I607),$I607,IFERROR(TIMEVALUE($I607),VALUE($I607)))/100)*60+MOD(IF(ISNUMBER($I607),$I607,IFERROR(TIMEVALUE($I607),VALUE($I607))),100),IF(IF(ISNUMBER($I607),$I607,IFERROR(TIMEVALUE($I607),VALUE($I607)))&gt;=1,ROUND(IF(ISNUMBER($I607),$I607,IFERROR(TIMEVALUE($I607),VALUE($I607)))*60,0),ROUND(MOD(IF(ISNUMBER($I607),$I607,IFERROR(TIMEVALUE($I607),VALUE($I607))),1)*1440,0))),""))</f>
        <v/>
      </c>
      <c r="X607" s="55" t="str">
        <f aca="false">IF($P607="","",IFERROR(IF(ISNUMBER($P607),IF($P607&gt;19000000,DATE(INT($P607/10000),MOD(INT($P607/100),100),MOD($P607,100)),INT($P607)),IF(LEN(SUBSTITUTE(SUBSTITUTE(SUBSTITUTE(TRIM($P607),"-",""),".",""),"/",""))=8,DATE(VALUE(LEFT(SUBSTITUTE(SUBSTITUTE(SUBSTITUTE(TRIM($P607),"-",""),".",""),"/",""),4)),VALUE(MID(SUBSTITUTE(SUBSTITUTE(SUBSTITUTE(TRIM($P607),"-",""),".",""),"/",""),5,2)),VALUE(RIGHT(SUBSTITUTE(SUBSTITUTE(SUBSTITUTE(TRIM($P607),"-",""),".",""),"/",""),2))),DATEVALUE($P607))),""))</f>
        <v/>
      </c>
      <c r="Y607" s="56" t="str">
        <f aca="false">IF($M607="","",IFERROR(INDEX(강사DB!$D$4:$D$53,MATCH($M607,강사DB!$A$4:$A$53,0)),""))</f>
        <v/>
      </c>
      <c r="Z607" s="56" t="str">
        <f aca="false">IF($B607&lt;&gt;"결제완료","",IF(OR($Y607="",$J607=""),"",$Y607*$J607+MAX(0,N($K607)-1)*설정!$J$7))</f>
        <v/>
      </c>
      <c r="AA607" s="56" t="str">
        <f aca="false">IF(AND($D607&lt;&gt;"",$B607="결제완료"),N($N607),"")</f>
        <v/>
      </c>
      <c r="AB607" s="45" t="str">
        <f aca="false">IF($D607="","",IF($F607&lt;&gt;"",$F607,$D607)&amp;IF($B607="상담중"," (상담)",""))</f>
        <v/>
      </c>
      <c r="AC607" s="45" t="n">
        <f aca="false">IF(AND($D607&lt;&gt;"",OR($B607="결제완료",$B607="상담중")),1,0)</f>
        <v>0</v>
      </c>
      <c r="AD607" s="45" t="n">
        <f aca="false">IF(OR($Z607="",$U607=""),0,IFERROR(IF(COUNTIFS(INDEX(g_grid,0,2*MATCH($M607,강사DB!$A$4:$A$15,0)),"&lt;&gt;",g_s,"&lt;="&amp;$U607,g_e,"&gt;="&amp;$U607)&gt;0,1,0),0))</f>
        <v>0</v>
      </c>
      <c r="AE607" s="48"/>
      <c r="AF607" s="56" t="str">
        <f aca="false">IF(AND($D607&lt;&gt;"",$B607="결제완료",$T607="대여"),설정!$J$5,"")</f>
        <v/>
      </c>
      <c r="AG607" s="54" t="str">
        <f aca="false">IF($D607="","",IF(AND($E607="",$R607=""),$AB607,"☎ "&amp;IF($E607="","-",$E607)&amp;IF($R607&lt;&gt;"","  ※ "&amp;$R607,"")&amp;IF($B607="상담중"," (상담)","")))</f>
        <v/>
      </c>
      <c r="AH607" s="56" t="str">
        <f aca="false">IF(AND($D607&lt;&gt;"",$B607="결제완료",$O607="스마트스토어"),ROUND(N($N607)*설정!$J$6,0),"")</f>
        <v/>
      </c>
      <c r="AI607" s="54" t="str">
        <f aca="false">IF($D607="","",ROW())</f>
        <v/>
      </c>
      <c r="AJ607" s="54" t="n">
        <f aca="false">IF(OR($AC607&lt;&gt;1,$M607=""),0,IF(ISNUMBER(SEARCH("퇴사",IFERROR(INDEX(강사DB!$G$4:$G$53,MATCH($M607,강사DB!$A$4:$A$53,0)),""))),1,0))</f>
        <v>0</v>
      </c>
    </row>
    <row r="608" customFormat="false" ht="15" hidden="false" customHeight="false" outlineLevel="0" collapsed="false">
      <c r="A608" s="45" t="str">
        <f aca="false">IF($D608="","",COUNTA($D$5:$D608))</f>
        <v/>
      </c>
      <c r="B608" s="46"/>
      <c r="C608" s="47"/>
      <c r="D608" s="48"/>
      <c r="E608" s="48"/>
      <c r="F608" s="49"/>
      <c r="G608" s="47"/>
      <c r="H608" s="50"/>
      <c r="I608" s="50"/>
      <c r="J608" s="51" t="str">
        <f aca="false">IF(OR($V608="",$W608=""),"",ROUND(($W608-$V608)/60,2))</f>
        <v/>
      </c>
      <c r="K608" s="52" t="str">
        <f aca="false">IF($F608="","",LEN($F608)-LEN(SUBSTITUTE($F608,",",""))+1)</f>
        <v/>
      </c>
      <c r="L608" s="45" t="str">
        <f aca="false">IF($K608="","","1:"&amp;$K608)</f>
        <v/>
      </c>
      <c r="M608" s="46"/>
      <c r="N608" s="53"/>
      <c r="O608" s="46"/>
      <c r="P608" s="47"/>
      <c r="Q608" s="48"/>
      <c r="R608" s="49"/>
      <c r="S608" s="54" t="str">
        <f aca="false">IF(OR($AC608=0,$U608="",$M608="",$V608="",$W608=""),"",IF(COUNTIFS(m_teacher,$M608,m_date,$U608,m_active,1,m_start,"&lt;"&amp;$W608,m_end,"&gt;"&amp;$V608)&gt;1,"충돌",""))</f>
        <v/>
      </c>
      <c r="T608" s="48"/>
      <c r="U608" s="55" t="str">
        <f aca="false">IF($G608="","",IFERROR(IF(ISNUMBER($G608),IF($G608&gt;19000000,DATE(INT($G608/10000),MOD(INT($G608/100),100),MOD($G608,100)),INT($G608)),IF(LEN(SUBSTITUTE(SUBSTITUTE(SUBSTITUTE(TRIM($G608),"-",""),".",""),"/",""))=8,DATE(VALUE(LEFT(SUBSTITUTE(SUBSTITUTE(SUBSTITUTE(TRIM($G608),"-",""),".",""),"/",""),4)),VALUE(MID(SUBSTITUTE(SUBSTITUTE(SUBSTITUTE(TRIM($G608),"-",""),".",""),"/",""),5,2)),VALUE(RIGHT(SUBSTITUTE(SUBSTITUTE(SUBSTITUTE(TRIM($G608),"-",""),".",""),"/",""),2))),DATEVALUE($G608))),""))</f>
        <v/>
      </c>
      <c r="V608" s="52" t="str">
        <f aca="false">IF($H608="","",IFERROR(IF(IF(ISNUMBER($H608),$H608,IFERROR(TIMEVALUE($H608),VALUE($H608)))&gt;=100,INT(IF(ISNUMBER($H608),$H608,IFERROR(TIMEVALUE($H608),VALUE($H608)))/100)*60+MOD(IF(ISNUMBER($H608),$H608,IFERROR(TIMEVALUE($H608),VALUE($H608))),100),IF(IF(ISNUMBER($H608),$H608,IFERROR(TIMEVALUE($H608),VALUE($H608)))&gt;=1,ROUND(IF(ISNUMBER($H608),$H608,IFERROR(TIMEVALUE($H608),VALUE($H608)))*60,0),ROUND(MOD(IF(ISNUMBER($H608),$H608,IFERROR(TIMEVALUE($H608),VALUE($H608))),1)*1440,0))),""))</f>
        <v/>
      </c>
      <c r="W608" s="52" t="str">
        <f aca="false">IF($I608="","",IFERROR(IF(IF(ISNUMBER($I608),$I608,IFERROR(TIMEVALUE($I608),VALUE($I608)))&gt;=100,INT(IF(ISNUMBER($I608),$I608,IFERROR(TIMEVALUE($I608),VALUE($I608)))/100)*60+MOD(IF(ISNUMBER($I608),$I608,IFERROR(TIMEVALUE($I608),VALUE($I608))),100),IF(IF(ISNUMBER($I608),$I608,IFERROR(TIMEVALUE($I608),VALUE($I608)))&gt;=1,ROUND(IF(ISNUMBER($I608),$I608,IFERROR(TIMEVALUE($I608),VALUE($I608)))*60,0),ROUND(MOD(IF(ISNUMBER($I608),$I608,IFERROR(TIMEVALUE($I608),VALUE($I608))),1)*1440,0))),""))</f>
        <v/>
      </c>
      <c r="X608" s="55" t="str">
        <f aca="false">IF($P608="","",IFERROR(IF(ISNUMBER($P608),IF($P608&gt;19000000,DATE(INT($P608/10000),MOD(INT($P608/100),100),MOD($P608,100)),INT($P608)),IF(LEN(SUBSTITUTE(SUBSTITUTE(SUBSTITUTE(TRIM($P608),"-",""),".",""),"/",""))=8,DATE(VALUE(LEFT(SUBSTITUTE(SUBSTITUTE(SUBSTITUTE(TRIM($P608),"-",""),".",""),"/",""),4)),VALUE(MID(SUBSTITUTE(SUBSTITUTE(SUBSTITUTE(TRIM($P608),"-",""),".",""),"/",""),5,2)),VALUE(RIGHT(SUBSTITUTE(SUBSTITUTE(SUBSTITUTE(TRIM($P608),"-",""),".",""),"/",""),2))),DATEVALUE($P608))),""))</f>
        <v/>
      </c>
      <c r="Y608" s="56" t="str">
        <f aca="false">IF($M608="","",IFERROR(INDEX(강사DB!$D$4:$D$53,MATCH($M608,강사DB!$A$4:$A$53,0)),""))</f>
        <v/>
      </c>
      <c r="Z608" s="56" t="str">
        <f aca="false">IF($B608&lt;&gt;"결제완료","",IF(OR($Y608="",$J608=""),"",$Y608*$J608+MAX(0,N($K608)-1)*설정!$J$7))</f>
        <v/>
      </c>
      <c r="AA608" s="56" t="str">
        <f aca="false">IF(AND($D608&lt;&gt;"",$B608="결제완료"),N($N608),"")</f>
        <v/>
      </c>
      <c r="AB608" s="45" t="str">
        <f aca="false">IF($D608="","",IF($F608&lt;&gt;"",$F608,$D608)&amp;IF($B608="상담중"," (상담)",""))</f>
        <v/>
      </c>
      <c r="AC608" s="45" t="n">
        <f aca="false">IF(AND($D608&lt;&gt;"",OR($B608="결제완료",$B608="상담중")),1,0)</f>
        <v>0</v>
      </c>
      <c r="AD608" s="45" t="n">
        <f aca="false">IF(OR($Z608="",$U608=""),0,IFERROR(IF(COUNTIFS(INDEX(g_grid,0,2*MATCH($M608,강사DB!$A$4:$A$15,0)),"&lt;&gt;",g_s,"&lt;="&amp;$U608,g_e,"&gt;="&amp;$U608)&gt;0,1,0),0))</f>
        <v>0</v>
      </c>
      <c r="AE608" s="48"/>
      <c r="AF608" s="56" t="str">
        <f aca="false">IF(AND($D608&lt;&gt;"",$B608="결제완료",$T608="대여"),설정!$J$5,"")</f>
        <v/>
      </c>
      <c r="AG608" s="54" t="str">
        <f aca="false">IF($D608="","",IF(AND($E608="",$R608=""),$AB608,"☎ "&amp;IF($E608="","-",$E608)&amp;IF($R608&lt;&gt;"","  ※ "&amp;$R608,"")&amp;IF($B608="상담중"," (상담)","")))</f>
        <v/>
      </c>
      <c r="AH608" s="56" t="str">
        <f aca="false">IF(AND($D608&lt;&gt;"",$B608="결제완료",$O608="스마트스토어"),ROUND(N($N608)*설정!$J$6,0),"")</f>
        <v/>
      </c>
      <c r="AI608" s="54" t="str">
        <f aca="false">IF($D608="","",ROW())</f>
        <v/>
      </c>
      <c r="AJ608" s="54" t="n">
        <f aca="false">IF(OR($AC608&lt;&gt;1,$M608=""),0,IF(ISNUMBER(SEARCH("퇴사",IFERROR(INDEX(강사DB!$G$4:$G$53,MATCH($M608,강사DB!$A$4:$A$53,0)),""))),1,0))</f>
        <v>0</v>
      </c>
    </row>
    <row r="609" customFormat="false" ht="15" hidden="false" customHeight="false" outlineLevel="0" collapsed="false">
      <c r="A609" s="45" t="str">
        <f aca="false">IF($D609="","",COUNTA($D$5:$D609))</f>
        <v/>
      </c>
      <c r="B609" s="46"/>
      <c r="C609" s="47"/>
      <c r="D609" s="48"/>
      <c r="E609" s="48"/>
      <c r="F609" s="49"/>
      <c r="G609" s="47"/>
      <c r="H609" s="50"/>
      <c r="I609" s="50"/>
      <c r="J609" s="51" t="str">
        <f aca="false">IF(OR($V609="",$W609=""),"",ROUND(($W609-$V609)/60,2))</f>
        <v/>
      </c>
      <c r="K609" s="52" t="str">
        <f aca="false">IF($F609="","",LEN($F609)-LEN(SUBSTITUTE($F609,",",""))+1)</f>
        <v/>
      </c>
      <c r="L609" s="45" t="str">
        <f aca="false">IF($K609="","","1:"&amp;$K609)</f>
        <v/>
      </c>
      <c r="M609" s="46"/>
      <c r="N609" s="53"/>
      <c r="O609" s="46"/>
      <c r="P609" s="47"/>
      <c r="Q609" s="48"/>
      <c r="R609" s="49"/>
      <c r="S609" s="54" t="str">
        <f aca="false">IF(OR($AC609=0,$U609="",$M609="",$V609="",$W609=""),"",IF(COUNTIFS(m_teacher,$M609,m_date,$U609,m_active,1,m_start,"&lt;"&amp;$W609,m_end,"&gt;"&amp;$V609)&gt;1,"충돌",""))</f>
        <v/>
      </c>
      <c r="T609" s="48"/>
      <c r="U609" s="55" t="str">
        <f aca="false">IF($G609="","",IFERROR(IF(ISNUMBER($G609),IF($G609&gt;19000000,DATE(INT($G609/10000),MOD(INT($G609/100),100),MOD($G609,100)),INT($G609)),IF(LEN(SUBSTITUTE(SUBSTITUTE(SUBSTITUTE(TRIM($G609),"-",""),".",""),"/",""))=8,DATE(VALUE(LEFT(SUBSTITUTE(SUBSTITUTE(SUBSTITUTE(TRIM($G609),"-",""),".",""),"/",""),4)),VALUE(MID(SUBSTITUTE(SUBSTITUTE(SUBSTITUTE(TRIM($G609),"-",""),".",""),"/",""),5,2)),VALUE(RIGHT(SUBSTITUTE(SUBSTITUTE(SUBSTITUTE(TRIM($G609),"-",""),".",""),"/",""),2))),DATEVALUE($G609))),""))</f>
        <v/>
      </c>
      <c r="V609" s="52" t="str">
        <f aca="false">IF($H609="","",IFERROR(IF(IF(ISNUMBER($H609),$H609,IFERROR(TIMEVALUE($H609),VALUE($H609)))&gt;=100,INT(IF(ISNUMBER($H609),$H609,IFERROR(TIMEVALUE($H609),VALUE($H609)))/100)*60+MOD(IF(ISNUMBER($H609),$H609,IFERROR(TIMEVALUE($H609),VALUE($H609))),100),IF(IF(ISNUMBER($H609),$H609,IFERROR(TIMEVALUE($H609),VALUE($H609)))&gt;=1,ROUND(IF(ISNUMBER($H609),$H609,IFERROR(TIMEVALUE($H609),VALUE($H609)))*60,0),ROUND(MOD(IF(ISNUMBER($H609),$H609,IFERROR(TIMEVALUE($H609),VALUE($H609))),1)*1440,0))),""))</f>
        <v/>
      </c>
      <c r="W609" s="52" t="str">
        <f aca="false">IF($I609="","",IFERROR(IF(IF(ISNUMBER($I609),$I609,IFERROR(TIMEVALUE($I609),VALUE($I609)))&gt;=100,INT(IF(ISNUMBER($I609),$I609,IFERROR(TIMEVALUE($I609),VALUE($I609)))/100)*60+MOD(IF(ISNUMBER($I609),$I609,IFERROR(TIMEVALUE($I609),VALUE($I609))),100),IF(IF(ISNUMBER($I609),$I609,IFERROR(TIMEVALUE($I609),VALUE($I609)))&gt;=1,ROUND(IF(ISNUMBER($I609),$I609,IFERROR(TIMEVALUE($I609),VALUE($I609)))*60,0),ROUND(MOD(IF(ISNUMBER($I609),$I609,IFERROR(TIMEVALUE($I609),VALUE($I609))),1)*1440,0))),""))</f>
        <v/>
      </c>
      <c r="X609" s="55" t="str">
        <f aca="false">IF($P609="","",IFERROR(IF(ISNUMBER($P609),IF($P609&gt;19000000,DATE(INT($P609/10000),MOD(INT($P609/100),100),MOD($P609,100)),INT($P609)),IF(LEN(SUBSTITUTE(SUBSTITUTE(SUBSTITUTE(TRIM($P609),"-",""),".",""),"/",""))=8,DATE(VALUE(LEFT(SUBSTITUTE(SUBSTITUTE(SUBSTITUTE(TRIM($P609),"-",""),".",""),"/",""),4)),VALUE(MID(SUBSTITUTE(SUBSTITUTE(SUBSTITUTE(TRIM($P609),"-",""),".",""),"/",""),5,2)),VALUE(RIGHT(SUBSTITUTE(SUBSTITUTE(SUBSTITUTE(TRIM($P609),"-",""),".",""),"/",""),2))),DATEVALUE($P609))),""))</f>
        <v/>
      </c>
      <c r="Y609" s="56" t="str">
        <f aca="false">IF($M609="","",IFERROR(INDEX(강사DB!$D$4:$D$53,MATCH($M609,강사DB!$A$4:$A$53,0)),""))</f>
        <v/>
      </c>
      <c r="Z609" s="56" t="str">
        <f aca="false">IF($B609&lt;&gt;"결제완료","",IF(OR($Y609="",$J609=""),"",$Y609*$J609+MAX(0,N($K609)-1)*설정!$J$7))</f>
        <v/>
      </c>
      <c r="AA609" s="56" t="str">
        <f aca="false">IF(AND($D609&lt;&gt;"",$B609="결제완료"),N($N609),"")</f>
        <v/>
      </c>
      <c r="AB609" s="45" t="str">
        <f aca="false">IF($D609="","",IF($F609&lt;&gt;"",$F609,$D609)&amp;IF($B609="상담중"," (상담)",""))</f>
        <v/>
      </c>
      <c r="AC609" s="45" t="n">
        <f aca="false">IF(AND($D609&lt;&gt;"",OR($B609="결제완료",$B609="상담중")),1,0)</f>
        <v>0</v>
      </c>
      <c r="AD609" s="45" t="n">
        <f aca="false">IF(OR($Z609="",$U609=""),0,IFERROR(IF(COUNTIFS(INDEX(g_grid,0,2*MATCH($M609,강사DB!$A$4:$A$15,0)),"&lt;&gt;",g_s,"&lt;="&amp;$U609,g_e,"&gt;="&amp;$U609)&gt;0,1,0),0))</f>
        <v>0</v>
      </c>
      <c r="AE609" s="48"/>
      <c r="AF609" s="56" t="str">
        <f aca="false">IF(AND($D609&lt;&gt;"",$B609="결제완료",$T609="대여"),설정!$J$5,"")</f>
        <v/>
      </c>
      <c r="AG609" s="54" t="str">
        <f aca="false">IF($D609="","",IF(AND($E609="",$R609=""),$AB609,"☎ "&amp;IF($E609="","-",$E609)&amp;IF($R609&lt;&gt;"","  ※ "&amp;$R609,"")&amp;IF($B609="상담중"," (상담)","")))</f>
        <v/>
      </c>
      <c r="AH609" s="56" t="str">
        <f aca="false">IF(AND($D609&lt;&gt;"",$B609="결제완료",$O609="스마트스토어"),ROUND(N($N609)*설정!$J$6,0),"")</f>
        <v/>
      </c>
      <c r="AI609" s="54" t="str">
        <f aca="false">IF($D609="","",ROW())</f>
        <v/>
      </c>
      <c r="AJ609" s="54" t="n">
        <f aca="false">IF(OR($AC609&lt;&gt;1,$M609=""),0,IF(ISNUMBER(SEARCH("퇴사",IFERROR(INDEX(강사DB!$G$4:$G$53,MATCH($M609,강사DB!$A$4:$A$53,0)),""))),1,0))</f>
        <v>0</v>
      </c>
    </row>
    <row r="610" customFormat="false" ht="15" hidden="false" customHeight="false" outlineLevel="0" collapsed="false">
      <c r="A610" s="45" t="str">
        <f aca="false">IF($D610="","",COUNTA($D$5:$D610))</f>
        <v/>
      </c>
      <c r="B610" s="46"/>
      <c r="C610" s="47"/>
      <c r="D610" s="48"/>
      <c r="E610" s="48"/>
      <c r="F610" s="49"/>
      <c r="G610" s="47"/>
      <c r="H610" s="50"/>
      <c r="I610" s="50"/>
      <c r="J610" s="51" t="str">
        <f aca="false">IF(OR($V610="",$W610=""),"",ROUND(($W610-$V610)/60,2))</f>
        <v/>
      </c>
      <c r="K610" s="52" t="str">
        <f aca="false">IF($F610="","",LEN($F610)-LEN(SUBSTITUTE($F610,",",""))+1)</f>
        <v/>
      </c>
      <c r="L610" s="45" t="str">
        <f aca="false">IF($K610="","","1:"&amp;$K610)</f>
        <v/>
      </c>
      <c r="M610" s="46"/>
      <c r="N610" s="53"/>
      <c r="O610" s="46"/>
      <c r="P610" s="47"/>
      <c r="Q610" s="48"/>
      <c r="R610" s="49"/>
      <c r="S610" s="54" t="str">
        <f aca="false">IF(OR($AC610=0,$U610="",$M610="",$V610="",$W610=""),"",IF(COUNTIFS(m_teacher,$M610,m_date,$U610,m_active,1,m_start,"&lt;"&amp;$W610,m_end,"&gt;"&amp;$V610)&gt;1,"충돌",""))</f>
        <v/>
      </c>
      <c r="T610" s="48"/>
      <c r="U610" s="55" t="str">
        <f aca="false">IF($G610="","",IFERROR(IF(ISNUMBER($G610),IF($G610&gt;19000000,DATE(INT($G610/10000),MOD(INT($G610/100),100),MOD($G610,100)),INT($G610)),IF(LEN(SUBSTITUTE(SUBSTITUTE(SUBSTITUTE(TRIM($G610),"-",""),".",""),"/",""))=8,DATE(VALUE(LEFT(SUBSTITUTE(SUBSTITUTE(SUBSTITUTE(TRIM($G610),"-",""),".",""),"/",""),4)),VALUE(MID(SUBSTITUTE(SUBSTITUTE(SUBSTITUTE(TRIM($G610),"-",""),".",""),"/",""),5,2)),VALUE(RIGHT(SUBSTITUTE(SUBSTITUTE(SUBSTITUTE(TRIM($G610),"-",""),".",""),"/",""),2))),DATEVALUE($G610))),""))</f>
        <v/>
      </c>
      <c r="V610" s="52" t="str">
        <f aca="false">IF($H610="","",IFERROR(IF(IF(ISNUMBER($H610),$H610,IFERROR(TIMEVALUE($H610),VALUE($H610)))&gt;=100,INT(IF(ISNUMBER($H610),$H610,IFERROR(TIMEVALUE($H610),VALUE($H610)))/100)*60+MOD(IF(ISNUMBER($H610),$H610,IFERROR(TIMEVALUE($H610),VALUE($H610))),100),IF(IF(ISNUMBER($H610),$H610,IFERROR(TIMEVALUE($H610),VALUE($H610)))&gt;=1,ROUND(IF(ISNUMBER($H610),$H610,IFERROR(TIMEVALUE($H610),VALUE($H610)))*60,0),ROUND(MOD(IF(ISNUMBER($H610),$H610,IFERROR(TIMEVALUE($H610),VALUE($H610))),1)*1440,0))),""))</f>
        <v/>
      </c>
      <c r="W610" s="52" t="str">
        <f aca="false">IF($I610="","",IFERROR(IF(IF(ISNUMBER($I610),$I610,IFERROR(TIMEVALUE($I610),VALUE($I610)))&gt;=100,INT(IF(ISNUMBER($I610),$I610,IFERROR(TIMEVALUE($I610),VALUE($I610)))/100)*60+MOD(IF(ISNUMBER($I610),$I610,IFERROR(TIMEVALUE($I610),VALUE($I610))),100),IF(IF(ISNUMBER($I610),$I610,IFERROR(TIMEVALUE($I610),VALUE($I610)))&gt;=1,ROUND(IF(ISNUMBER($I610),$I610,IFERROR(TIMEVALUE($I610),VALUE($I610)))*60,0),ROUND(MOD(IF(ISNUMBER($I610),$I610,IFERROR(TIMEVALUE($I610),VALUE($I610))),1)*1440,0))),""))</f>
        <v/>
      </c>
      <c r="X610" s="55" t="str">
        <f aca="false">IF($P610="","",IFERROR(IF(ISNUMBER($P610),IF($P610&gt;19000000,DATE(INT($P610/10000),MOD(INT($P610/100),100),MOD($P610,100)),INT($P610)),IF(LEN(SUBSTITUTE(SUBSTITUTE(SUBSTITUTE(TRIM($P610),"-",""),".",""),"/",""))=8,DATE(VALUE(LEFT(SUBSTITUTE(SUBSTITUTE(SUBSTITUTE(TRIM($P610),"-",""),".",""),"/",""),4)),VALUE(MID(SUBSTITUTE(SUBSTITUTE(SUBSTITUTE(TRIM($P610),"-",""),".",""),"/",""),5,2)),VALUE(RIGHT(SUBSTITUTE(SUBSTITUTE(SUBSTITUTE(TRIM($P610),"-",""),".",""),"/",""),2))),DATEVALUE($P610))),""))</f>
        <v/>
      </c>
      <c r="Y610" s="56" t="str">
        <f aca="false">IF($M610="","",IFERROR(INDEX(강사DB!$D$4:$D$53,MATCH($M610,강사DB!$A$4:$A$53,0)),""))</f>
        <v/>
      </c>
      <c r="Z610" s="56" t="str">
        <f aca="false">IF($B610&lt;&gt;"결제완료","",IF(OR($Y610="",$J610=""),"",$Y610*$J610+MAX(0,N($K610)-1)*설정!$J$7))</f>
        <v/>
      </c>
      <c r="AA610" s="56" t="str">
        <f aca="false">IF(AND($D610&lt;&gt;"",$B610="결제완료"),N($N610),"")</f>
        <v/>
      </c>
      <c r="AB610" s="45" t="str">
        <f aca="false">IF($D610="","",IF($F610&lt;&gt;"",$F610,$D610)&amp;IF($B610="상담중"," (상담)",""))</f>
        <v/>
      </c>
      <c r="AC610" s="45" t="n">
        <f aca="false">IF(AND($D610&lt;&gt;"",OR($B610="결제완료",$B610="상담중")),1,0)</f>
        <v>0</v>
      </c>
      <c r="AD610" s="45" t="n">
        <f aca="false">IF(OR($Z610="",$U610=""),0,IFERROR(IF(COUNTIFS(INDEX(g_grid,0,2*MATCH($M610,강사DB!$A$4:$A$15,0)),"&lt;&gt;",g_s,"&lt;="&amp;$U610,g_e,"&gt;="&amp;$U610)&gt;0,1,0),0))</f>
        <v>0</v>
      </c>
      <c r="AE610" s="48"/>
      <c r="AF610" s="56" t="str">
        <f aca="false">IF(AND($D610&lt;&gt;"",$B610="결제완료",$T610="대여"),설정!$J$5,"")</f>
        <v/>
      </c>
      <c r="AG610" s="54" t="str">
        <f aca="false">IF($D610="","",IF(AND($E610="",$R610=""),$AB610,"☎ "&amp;IF($E610="","-",$E610)&amp;IF($R610&lt;&gt;"","  ※ "&amp;$R610,"")&amp;IF($B610="상담중"," (상담)","")))</f>
        <v/>
      </c>
      <c r="AH610" s="56" t="str">
        <f aca="false">IF(AND($D610&lt;&gt;"",$B610="결제완료",$O610="스마트스토어"),ROUND(N($N610)*설정!$J$6,0),"")</f>
        <v/>
      </c>
      <c r="AI610" s="54" t="str">
        <f aca="false">IF($D610="","",ROW())</f>
        <v/>
      </c>
      <c r="AJ610" s="54" t="n">
        <f aca="false">IF(OR($AC610&lt;&gt;1,$M610=""),0,IF(ISNUMBER(SEARCH("퇴사",IFERROR(INDEX(강사DB!$G$4:$G$53,MATCH($M610,강사DB!$A$4:$A$53,0)),""))),1,0))</f>
        <v>0</v>
      </c>
    </row>
    <row r="611" customFormat="false" ht="15" hidden="false" customHeight="false" outlineLevel="0" collapsed="false">
      <c r="A611" s="45" t="str">
        <f aca="false">IF($D611="","",COUNTA($D$5:$D611))</f>
        <v/>
      </c>
      <c r="B611" s="46"/>
      <c r="C611" s="47"/>
      <c r="D611" s="48"/>
      <c r="E611" s="48"/>
      <c r="F611" s="49"/>
      <c r="G611" s="47"/>
      <c r="H611" s="50"/>
      <c r="I611" s="50"/>
      <c r="J611" s="51" t="str">
        <f aca="false">IF(OR($V611="",$W611=""),"",ROUND(($W611-$V611)/60,2))</f>
        <v/>
      </c>
      <c r="K611" s="52" t="str">
        <f aca="false">IF($F611="","",LEN($F611)-LEN(SUBSTITUTE($F611,",",""))+1)</f>
        <v/>
      </c>
      <c r="L611" s="45" t="str">
        <f aca="false">IF($K611="","","1:"&amp;$K611)</f>
        <v/>
      </c>
      <c r="M611" s="46"/>
      <c r="N611" s="53"/>
      <c r="O611" s="46"/>
      <c r="P611" s="47"/>
      <c r="Q611" s="48"/>
      <c r="R611" s="49"/>
      <c r="S611" s="54" t="str">
        <f aca="false">IF(OR($AC611=0,$U611="",$M611="",$V611="",$W611=""),"",IF(COUNTIFS(m_teacher,$M611,m_date,$U611,m_active,1,m_start,"&lt;"&amp;$W611,m_end,"&gt;"&amp;$V611)&gt;1,"충돌",""))</f>
        <v/>
      </c>
      <c r="T611" s="48"/>
      <c r="U611" s="55" t="str">
        <f aca="false">IF($G611="","",IFERROR(IF(ISNUMBER($G611),IF($G611&gt;19000000,DATE(INT($G611/10000),MOD(INT($G611/100),100),MOD($G611,100)),INT($G611)),IF(LEN(SUBSTITUTE(SUBSTITUTE(SUBSTITUTE(TRIM($G611),"-",""),".",""),"/",""))=8,DATE(VALUE(LEFT(SUBSTITUTE(SUBSTITUTE(SUBSTITUTE(TRIM($G611),"-",""),".",""),"/",""),4)),VALUE(MID(SUBSTITUTE(SUBSTITUTE(SUBSTITUTE(TRIM($G611),"-",""),".",""),"/",""),5,2)),VALUE(RIGHT(SUBSTITUTE(SUBSTITUTE(SUBSTITUTE(TRIM($G611),"-",""),".",""),"/",""),2))),DATEVALUE($G611))),""))</f>
        <v/>
      </c>
      <c r="V611" s="52" t="str">
        <f aca="false">IF($H611="","",IFERROR(IF(IF(ISNUMBER($H611),$H611,IFERROR(TIMEVALUE($H611),VALUE($H611)))&gt;=100,INT(IF(ISNUMBER($H611),$H611,IFERROR(TIMEVALUE($H611),VALUE($H611)))/100)*60+MOD(IF(ISNUMBER($H611),$H611,IFERROR(TIMEVALUE($H611),VALUE($H611))),100),IF(IF(ISNUMBER($H611),$H611,IFERROR(TIMEVALUE($H611),VALUE($H611)))&gt;=1,ROUND(IF(ISNUMBER($H611),$H611,IFERROR(TIMEVALUE($H611),VALUE($H611)))*60,0),ROUND(MOD(IF(ISNUMBER($H611),$H611,IFERROR(TIMEVALUE($H611),VALUE($H611))),1)*1440,0))),""))</f>
        <v/>
      </c>
      <c r="W611" s="52" t="str">
        <f aca="false">IF($I611="","",IFERROR(IF(IF(ISNUMBER($I611),$I611,IFERROR(TIMEVALUE($I611),VALUE($I611)))&gt;=100,INT(IF(ISNUMBER($I611),$I611,IFERROR(TIMEVALUE($I611),VALUE($I611)))/100)*60+MOD(IF(ISNUMBER($I611),$I611,IFERROR(TIMEVALUE($I611),VALUE($I611))),100),IF(IF(ISNUMBER($I611),$I611,IFERROR(TIMEVALUE($I611),VALUE($I611)))&gt;=1,ROUND(IF(ISNUMBER($I611),$I611,IFERROR(TIMEVALUE($I611),VALUE($I611)))*60,0),ROUND(MOD(IF(ISNUMBER($I611),$I611,IFERROR(TIMEVALUE($I611),VALUE($I611))),1)*1440,0))),""))</f>
        <v/>
      </c>
      <c r="X611" s="55" t="str">
        <f aca="false">IF($P611="","",IFERROR(IF(ISNUMBER($P611),IF($P611&gt;19000000,DATE(INT($P611/10000),MOD(INT($P611/100),100),MOD($P611,100)),INT($P611)),IF(LEN(SUBSTITUTE(SUBSTITUTE(SUBSTITUTE(TRIM($P611),"-",""),".",""),"/",""))=8,DATE(VALUE(LEFT(SUBSTITUTE(SUBSTITUTE(SUBSTITUTE(TRIM($P611),"-",""),".",""),"/",""),4)),VALUE(MID(SUBSTITUTE(SUBSTITUTE(SUBSTITUTE(TRIM($P611),"-",""),".",""),"/",""),5,2)),VALUE(RIGHT(SUBSTITUTE(SUBSTITUTE(SUBSTITUTE(TRIM($P611),"-",""),".",""),"/",""),2))),DATEVALUE($P611))),""))</f>
        <v/>
      </c>
      <c r="Y611" s="56" t="str">
        <f aca="false">IF($M611="","",IFERROR(INDEX(강사DB!$D$4:$D$53,MATCH($M611,강사DB!$A$4:$A$53,0)),""))</f>
        <v/>
      </c>
      <c r="Z611" s="56" t="str">
        <f aca="false">IF($B611&lt;&gt;"결제완료","",IF(OR($Y611="",$J611=""),"",$Y611*$J611+MAX(0,N($K611)-1)*설정!$J$7))</f>
        <v/>
      </c>
      <c r="AA611" s="56" t="str">
        <f aca="false">IF(AND($D611&lt;&gt;"",$B611="결제완료"),N($N611),"")</f>
        <v/>
      </c>
      <c r="AB611" s="45" t="str">
        <f aca="false">IF($D611="","",IF($F611&lt;&gt;"",$F611,$D611)&amp;IF($B611="상담중"," (상담)",""))</f>
        <v/>
      </c>
      <c r="AC611" s="45" t="n">
        <f aca="false">IF(AND($D611&lt;&gt;"",OR($B611="결제완료",$B611="상담중")),1,0)</f>
        <v>0</v>
      </c>
      <c r="AD611" s="45" t="n">
        <f aca="false">IF(OR($Z611="",$U611=""),0,IFERROR(IF(COUNTIFS(INDEX(g_grid,0,2*MATCH($M611,강사DB!$A$4:$A$15,0)),"&lt;&gt;",g_s,"&lt;="&amp;$U611,g_e,"&gt;="&amp;$U611)&gt;0,1,0),0))</f>
        <v>0</v>
      </c>
      <c r="AE611" s="48"/>
      <c r="AF611" s="56" t="str">
        <f aca="false">IF(AND($D611&lt;&gt;"",$B611="결제완료",$T611="대여"),설정!$J$5,"")</f>
        <v/>
      </c>
      <c r="AG611" s="54" t="str">
        <f aca="false">IF($D611="","",IF(AND($E611="",$R611=""),$AB611,"☎ "&amp;IF($E611="","-",$E611)&amp;IF($R611&lt;&gt;"","  ※ "&amp;$R611,"")&amp;IF($B611="상담중"," (상담)","")))</f>
        <v/>
      </c>
      <c r="AH611" s="56" t="str">
        <f aca="false">IF(AND($D611&lt;&gt;"",$B611="결제완료",$O611="스마트스토어"),ROUND(N($N611)*설정!$J$6,0),"")</f>
        <v/>
      </c>
      <c r="AI611" s="54" t="str">
        <f aca="false">IF($D611="","",ROW())</f>
        <v/>
      </c>
      <c r="AJ611" s="54" t="n">
        <f aca="false">IF(OR($AC611&lt;&gt;1,$M611=""),0,IF(ISNUMBER(SEARCH("퇴사",IFERROR(INDEX(강사DB!$G$4:$G$53,MATCH($M611,강사DB!$A$4:$A$53,0)),""))),1,0))</f>
        <v>0</v>
      </c>
    </row>
    <row r="612" customFormat="false" ht="15" hidden="false" customHeight="false" outlineLevel="0" collapsed="false">
      <c r="A612" s="45" t="str">
        <f aca="false">IF($D612="","",COUNTA($D$5:$D612))</f>
        <v/>
      </c>
      <c r="B612" s="46"/>
      <c r="C612" s="47"/>
      <c r="D612" s="48"/>
      <c r="E612" s="48"/>
      <c r="F612" s="49"/>
      <c r="G612" s="47"/>
      <c r="H612" s="50"/>
      <c r="I612" s="50"/>
      <c r="J612" s="51" t="str">
        <f aca="false">IF(OR($V612="",$W612=""),"",ROUND(($W612-$V612)/60,2))</f>
        <v/>
      </c>
      <c r="K612" s="52" t="str">
        <f aca="false">IF($F612="","",LEN($F612)-LEN(SUBSTITUTE($F612,",",""))+1)</f>
        <v/>
      </c>
      <c r="L612" s="45" t="str">
        <f aca="false">IF($K612="","","1:"&amp;$K612)</f>
        <v/>
      </c>
      <c r="M612" s="46"/>
      <c r="N612" s="53"/>
      <c r="O612" s="46"/>
      <c r="P612" s="47"/>
      <c r="Q612" s="48"/>
      <c r="R612" s="49"/>
      <c r="S612" s="54" t="str">
        <f aca="false">IF(OR($AC612=0,$U612="",$M612="",$V612="",$W612=""),"",IF(COUNTIFS(m_teacher,$M612,m_date,$U612,m_active,1,m_start,"&lt;"&amp;$W612,m_end,"&gt;"&amp;$V612)&gt;1,"충돌",""))</f>
        <v/>
      </c>
      <c r="T612" s="48"/>
      <c r="U612" s="55" t="str">
        <f aca="false">IF($G612="","",IFERROR(IF(ISNUMBER($G612),IF($G612&gt;19000000,DATE(INT($G612/10000),MOD(INT($G612/100),100),MOD($G612,100)),INT($G612)),IF(LEN(SUBSTITUTE(SUBSTITUTE(SUBSTITUTE(TRIM($G612),"-",""),".",""),"/",""))=8,DATE(VALUE(LEFT(SUBSTITUTE(SUBSTITUTE(SUBSTITUTE(TRIM($G612),"-",""),".",""),"/",""),4)),VALUE(MID(SUBSTITUTE(SUBSTITUTE(SUBSTITUTE(TRIM($G612),"-",""),".",""),"/",""),5,2)),VALUE(RIGHT(SUBSTITUTE(SUBSTITUTE(SUBSTITUTE(TRIM($G612),"-",""),".",""),"/",""),2))),DATEVALUE($G612))),""))</f>
        <v/>
      </c>
      <c r="V612" s="52" t="str">
        <f aca="false">IF($H612="","",IFERROR(IF(IF(ISNUMBER($H612),$H612,IFERROR(TIMEVALUE($H612),VALUE($H612)))&gt;=100,INT(IF(ISNUMBER($H612),$H612,IFERROR(TIMEVALUE($H612),VALUE($H612)))/100)*60+MOD(IF(ISNUMBER($H612),$H612,IFERROR(TIMEVALUE($H612),VALUE($H612))),100),IF(IF(ISNUMBER($H612),$H612,IFERROR(TIMEVALUE($H612),VALUE($H612)))&gt;=1,ROUND(IF(ISNUMBER($H612),$H612,IFERROR(TIMEVALUE($H612),VALUE($H612)))*60,0),ROUND(MOD(IF(ISNUMBER($H612),$H612,IFERROR(TIMEVALUE($H612),VALUE($H612))),1)*1440,0))),""))</f>
        <v/>
      </c>
      <c r="W612" s="52" t="str">
        <f aca="false">IF($I612="","",IFERROR(IF(IF(ISNUMBER($I612),$I612,IFERROR(TIMEVALUE($I612),VALUE($I612)))&gt;=100,INT(IF(ISNUMBER($I612),$I612,IFERROR(TIMEVALUE($I612),VALUE($I612)))/100)*60+MOD(IF(ISNUMBER($I612),$I612,IFERROR(TIMEVALUE($I612),VALUE($I612))),100),IF(IF(ISNUMBER($I612),$I612,IFERROR(TIMEVALUE($I612),VALUE($I612)))&gt;=1,ROUND(IF(ISNUMBER($I612),$I612,IFERROR(TIMEVALUE($I612),VALUE($I612)))*60,0),ROUND(MOD(IF(ISNUMBER($I612),$I612,IFERROR(TIMEVALUE($I612),VALUE($I612))),1)*1440,0))),""))</f>
        <v/>
      </c>
      <c r="X612" s="55" t="str">
        <f aca="false">IF($P612="","",IFERROR(IF(ISNUMBER($P612),IF($P612&gt;19000000,DATE(INT($P612/10000),MOD(INT($P612/100),100),MOD($P612,100)),INT($P612)),IF(LEN(SUBSTITUTE(SUBSTITUTE(SUBSTITUTE(TRIM($P612),"-",""),".",""),"/",""))=8,DATE(VALUE(LEFT(SUBSTITUTE(SUBSTITUTE(SUBSTITUTE(TRIM($P612),"-",""),".",""),"/",""),4)),VALUE(MID(SUBSTITUTE(SUBSTITUTE(SUBSTITUTE(TRIM($P612),"-",""),".",""),"/",""),5,2)),VALUE(RIGHT(SUBSTITUTE(SUBSTITUTE(SUBSTITUTE(TRIM($P612),"-",""),".",""),"/",""),2))),DATEVALUE($P612))),""))</f>
        <v/>
      </c>
      <c r="Y612" s="56" t="str">
        <f aca="false">IF($M612="","",IFERROR(INDEX(강사DB!$D$4:$D$53,MATCH($M612,강사DB!$A$4:$A$53,0)),""))</f>
        <v/>
      </c>
      <c r="Z612" s="56" t="str">
        <f aca="false">IF($B612&lt;&gt;"결제완료","",IF(OR($Y612="",$J612=""),"",$Y612*$J612+MAX(0,N($K612)-1)*설정!$J$7))</f>
        <v/>
      </c>
      <c r="AA612" s="56" t="str">
        <f aca="false">IF(AND($D612&lt;&gt;"",$B612="결제완료"),N($N612),"")</f>
        <v/>
      </c>
      <c r="AB612" s="45" t="str">
        <f aca="false">IF($D612="","",IF($F612&lt;&gt;"",$F612,$D612)&amp;IF($B612="상담중"," (상담)",""))</f>
        <v/>
      </c>
      <c r="AC612" s="45" t="n">
        <f aca="false">IF(AND($D612&lt;&gt;"",OR($B612="결제완료",$B612="상담중")),1,0)</f>
        <v>0</v>
      </c>
      <c r="AD612" s="45" t="n">
        <f aca="false">IF(OR($Z612="",$U612=""),0,IFERROR(IF(COUNTIFS(INDEX(g_grid,0,2*MATCH($M612,강사DB!$A$4:$A$15,0)),"&lt;&gt;",g_s,"&lt;="&amp;$U612,g_e,"&gt;="&amp;$U612)&gt;0,1,0),0))</f>
        <v>0</v>
      </c>
      <c r="AE612" s="48"/>
      <c r="AF612" s="56" t="str">
        <f aca="false">IF(AND($D612&lt;&gt;"",$B612="결제완료",$T612="대여"),설정!$J$5,"")</f>
        <v/>
      </c>
      <c r="AG612" s="54" t="str">
        <f aca="false">IF($D612="","",IF(AND($E612="",$R612=""),$AB612,"☎ "&amp;IF($E612="","-",$E612)&amp;IF($R612&lt;&gt;"","  ※ "&amp;$R612,"")&amp;IF($B612="상담중"," (상담)","")))</f>
        <v/>
      </c>
      <c r="AH612" s="56" t="str">
        <f aca="false">IF(AND($D612&lt;&gt;"",$B612="결제완료",$O612="스마트스토어"),ROUND(N($N612)*설정!$J$6,0),"")</f>
        <v/>
      </c>
      <c r="AI612" s="54" t="str">
        <f aca="false">IF($D612="","",ROW())</f>
        <v/>
      </c>
      <c r="AJ612" s="54" t="n">
        <f aca="false">IF(OR($AC612&lt;&gt;1,$M612=""),0,IF(ISNUMBER(SEARCH("퇴사",IFERROR(INDEX(강사DB!$G$4:$G$53,MATCH($M612,강사DB!$A$4:$A$53,0)),""))),1,0))</f>
        <v>0</v>
      </c>
    </row>
    <row r="613" customFormat="false" ht="15" hidden="false" customHeight="false" outlineLevel="0" collapsed="false">
      <c r="A613" s="45" t="str">
        <f aca="false">IF($D613="","",COUNTA($D$5:$D613))</f>
        <v/>
      </c>
      <c r="B613" s="46"/>
      <c r="C613" s="47"/>
      <c r="D613" s="48"/>
      <c r="E613" s="48"/>
      <c r="F613" s="49"/>
      <c r="G613" s="47"/>
      <c r="H613" s="50"/>
      <c r="I613" s="50"/>
      <c r="J613" s="51" t="str">
        <f aca="false">IF(OR($V613="",$W613=""),"",ROUND(($W613-$V613)/60,2))</f>
        <v/>
      </c>
      <c r="K613" s="52" t="str">
        <f aca="false">IF($F613="","",LEN($F613)-LEN(SUBSTITUTE($F613,",",""))+1)</f>
        <v/>
      </c>
      <c r="L613" s="45" t="str">
        <f aca="false">IF($K613="","","1:"&amp;$K613)</f>
        <v/>
      </c>
      <c r="M613" s="46"/>
      <c r="N613" s="53"/>
      <c r="O613" s="46"/>
      <c r="P613" s="47"/>
      <c r="Q613" s="48"/>
      <c r="R613" s="49"/>
      <c r="S613" s="54" t="str">
        <f aca="false">IF(OR($AC613=0,$U613="",$M613="",$V613="",$W613=""),"",IF(COUNTIFS(m_teacher,$M613,m_date,$U613,m_active,1,m_start,"&lt;"&amp;$W613,m_end,"&gt;"&amp;$V613)&gt;1,"충돌",""))</f>
        <v/>
      </c>
      <c r="T613" s="48"/>
      <c r="U613" s="55" t="str">
        <f aca="false">IF($G613="","",IFERROR(IF(ISNUMBER($G613),IF($G613&gt;19000000,DATE(INT($G613/10000),MOD(INT($G613/100),100),MOD($G613,100)),INT($G613)),IF(LEN(SUBSTITUTE(SUBSTITUTE(SUBSTITUTE(TRIM($G613),"-",""),".",""),"/",""))=8,DATE(VALUE(LEFT(SUBSTITUTE(SUBSTITUTE(SUBSTITUTE(TRIM($G613),"-",""),".",""),"/",""),4)),VALUE(MID(SUBSTITUTE(SUBSTITUTE(SUBSTITUTE(TRIM($G613),"-",""),".",""),"/",""),5,2)),VALUE(RIGHT(SUBSTITUTE(SUBSTITUTE(SUBSTITUTE(TRIM($G613),"-",""),".",""),"/",""),2))),DATEVALUE($G613))),""))</f>
        <v/>
      </c>
      <c r="V613" s="52" t="str">
        <f aca="false">IF($H613="","",IFERROR(IF(IF(ISNUMBER($H613),$H613,IFERROR(TIMEVALUE($H613),VALUE($H613)))&gt;=100,INT(IF(ISNUMBER($H613),$H613,IFERROR(TIMEVALUE($H613),VALUE($H613)))/100)*60+MOD(IF(ISNUMBER($H613),$H613,IFERROR(TIMEVALUE($H613),VALUE($H613))),100),IF(IF(ISNUMBER($H613),$H613,IFERROR(TIMEVALUE($H613),VALUE($H613)))&gt;=1,ROUND(IF(ISNUMBER($H613),$H613,IFERROR(TIMEVALUE($H613),VALUE($H613)))*60,0),ROUND(MOD(IF(ISNUMBER($H613),$H613,IFERROR(TIMEVALUE($H613),VALUE($H613))),1)*1440,0))),""))</f>
        <v/>
      </c>
      <c r="W613" s="52" t="str">
        <f aca="false">IF($I613="","",IFERROR(IF(IF(ISNUMBER($I613),$I613,IFERROR(TIMEVALUE($I613),VALUE($I613)))&gt;=100,INT(IF(ISNUMBER($I613),$I613,IFERROR(TIMEVALUE($I613),VALUE($I613)))/100)*60+MOD(IF(ISNUMBER($I613),$I613,IFERROR(TIMEVALUE($I613),VALUE($I613))),100),IF(IF(ISNUMBER($I613),$I613,IFERROR(TIMEVALUE($I613),VALUE($I613)))&gt;=1,ROUND(IF(ISNUMBER($I613),$I613,IFERROR(TIMEVALUE($I613),VALUE($I613)))*60,0),ROUND(MOD(IF(ISNUMBER($I613),$I613,IFERROR(TIMEVALUE($I613),VALUE($I613))),1)*1440,0))),""))</f>
        <v/>
      </c>
      <c r="X613" s="55" t="str">
        <f aca="false">IF($P613="","",IFERROR(IF(ISNUMBER($P613),IF($P613&gt;19000000,DATE(INT($P613/10000),MOD(INT($P613/100),100),MOD($P613,100)),INT($P613)),IF(LEN(SUBSTITUTE(SUBSTITUTE(SUBSTITUTE(TRIM($P613),"-",""),".",""),"/",""))=8,DATE(VALUE(LEFT(SUBSTITUTE(SUBSTITUTE(SUBSTITUTE(TRIM($P613),"-",""),".",""),"/",""),4)),VALUE(MID(SUBSTITUTE(SUBSTITUTE(SUBSTITUTE(TRIM($P613),"-",""),".",""),"/",""),5,2)),VALUE(RIGHT(SUBSTITUTE(SUBSTITUTE(SUBSTITUTE(TRIM($P613),"-",""),".",""),"/",""),2))),DATEVALUE($P613))),""))</f>
        <v/>
      </c>
      <c r="Y613" s="56" t="str">
        <f aca="false">IF($M613="","",IFERROR(INDEX(강사DB!$D$4:$D$53,MATCH($M613,강사DB!$A$4:$A$53,0)),""))</f>
        <v/>
      </c>
      <c r="Z613" s="56" t="str">
        <f aca="false">IF($B613&lt;&gt;"결제완료","",IF(OR($Y613="",$J613=""),"",$Y613*$J613+MAX(0,N($K613)-1)*설정!$J$7))</f>
        <v/>
      </c>
      <c r="AA613" s="56" t="str">
        <f aca="false">IF(AND($D613&lt;&gt;"",$B613="결제완료"),N($N613),"")</f>
        <v/>
      </c>
      <c r="AB613" s="45" t="str">
        <f aca="false">IF($D613="","",IF($F613&lt;&gt;"",$F613,$D613)&amp;IF($B613="상담중"," (상담)",""))</f>
        <v/>
      </c>
      <c r="AC613" s="45" t="n">
        <f aca="false">IF(AND($D613&lt;&gt;"",OR($B613="결제완료",$B613="상담중")),1,0)</f>
        <v>0</v>
      </c>
      <c r="AD613" s="45" t="n">
        <f aca="false">IF(OR($Z613="",$U613=""),0,IFERROR(IF(COUNTIFS(INDEX(g_grid,0,2*MATCH($M613,강사DB!$A$4:$A$15,0)),"&lt;&gt;",g_s,"&lt;="&amp;$U613,g_e,"&gt;="&amp;$U613)&gt;0,1,0),0))</f>
        <v>0</v>
      </c>
      <c r="AE613" s="48"/>
      <c r="AF613" s="56" t="str">
        <f aca="false">IF(AND($D613&lt;&gt;"",$B613="결제완료",$T613="대여"),설정!$J$5,"")</f>
        <v/>
      </c>
      <c r="AG613" s="54" t="str">
        <f aca="false">IF($D613="","",IF(AND($E613="",$R613=""),$AB613,"☎ "&amp;IF($E613="","-",$E613)&amp;IF($R613&lt;&gt;"","  ※ "&amp;$R613,"")&amp;IF($B613="상담중"," (상담)","")))</f>
        <v/>
      </c>
      <c r="AH613" s="56" t="str">
        <f aca="false">IF(AND($D613&lt;&gt;"",$B613="결제완료",$O613="스마트스토어"),ROUND(N($N613)*설정!$J$6,0),"")</f>
        <v/>
      </c>
      <c r="AI613" s="54" t="str">
        <f aca="false">IF($D613="","",ROW())</f>
        <v/>
      </c>
      <c r="AJ613" s="54" t="n">
        <f aca="false">IF(OR($AC613&lt;&gt;1,$M613=""),0,IF(ISNUMBER(SEARCH("퇴사",IFERROR(INDEX(강사DB!$G$4:$G$53,MATCH($M613,강사DB!$A$4:$A$53,0)),""))),1,0))</f>
        <v>0</v>
      </c>
    </row>
    <row r="614" customFormat="false" ht="15" hidden="false" customHeight="false" outlineLevel="0" collapsed="false">
      <c r="A614" s="45" t="str">
        <f aca="false">IF($D614="","",COUNTA($D$5:$D614))</f>
        <v/>
      </c>
      <c r="B614" s="46"/>
      <c r="C614" s="47"/>
      <c r="D614" s="48"/>
      <c r="E614" s="48"/>
      <c r="F614" s="49"/>
      <c r="G614" s="47"/>
      <c r="H614" s="50"/>
      <c r="I614" s="50"/>
      <c r="J614" s="51" t="str">
        <f aca="false">IF(OR($V614="",$W614=""),"",ROUND(($W614-$V614)/60,2))</f>
        <v/>
      </c>
      <c r="K614" s="52" t="str">
        <f aca="false">IF($F614="","",LEN($F614)-LEN(SUBSTITUTE($F614,",",""))+1)</f>
        <v/>
      </c>
      <c r="L614" s="45" t="str">
        <f aca="false">IF($K614="","","1:"&amp;$K614)</f>
        <v/>
      </c>
      <c r="M614" s="46"/>
      <c r="N614" s="53"/>
      <c r="O614" s="46"/>
      <c r="P614" s="47"/>
      <c r="Q614" s="48"/>
      <c r="R614" s="49"/>
      <c r="S614" s="54" t="str">
        <f aca="false">IF(OR($AC614=0,$U614="",$M614="",$V614="",$W614=""),"",IF(COUNTIFS(m_teacher,$M614,m_date,$U614,m_active,1,m_start,"&lt;"&amp;$W614,m_end,"&gt;"&amp;$V614)&gt;1,"충돌",""))</f>
        <v/>
      </c>
      <c r="T614" s="48"/>
      <c r="U614" s="55" t="str">
        <f aca="false">IF($G614="","",IFERROR(IF(ISNUMBER($G614),IF($G614&gt;19000000,DATE(INT($G614/10000),MOD(INT($G614/100),100),MOD($G614,100)),INT($G614)),IF(LEN(SUBSTITUTE(SUBSTITUTE(SUBSTITUTE(TRIM($G614),"-",""),".",""),"/",""))=8,DATE(VALUE(LEFT(SUBSTITUTE(SUBSTITUTE(SUBSTITUTE(TRIM($G614),"-",""),".",""),"/",""),4)),VALUE(MID(SUBSTITUTE(SUBSTITUTE(SUBSTITUTE(TRIM($G614),"-",""),".",""),"/",""),5,2)),VALUE(RIGHT(SUBSTITUTE(SUBSTITUTE(SUBSTITUTE(TRIM($G614),"-",""),".",""),"/",""),2))),DATEVALUE($G614))),""))</f>
        <v/>
      </c>
      <c r="V614" s="52" t="str">
        <f aca="false">IF($H614="","",IFERROR(IF(IF(ISNUMBER($H614),$H614,IFERROR(TIMEVALUE($H614),VALUE($H614)))&gt;=100,INT(IF(ISNUMBER($H614),$H614,IFERROR(TIMEVALUE($H614),VALUE($H614)))/100)*60+MOD(IF(ISNUMBER($H614),$H614,IFERROR(TIMEVALUE($H614),VALUE($H614))),100),IF(IF(ISNUMBER($H614),$H614,IFERROR(TIMEVALUE($H614),VALUE($H614)))&gt;=1,ROUND(IF(ISNUMBER($H614),$H614,IFERROR(TIMEVALUE($H614),VALUE($H614)))*60,0),ROUND(MOD(IF(ISNUMBER($H614),$H614,IFERROR(TIMEVALUE($H614),VALUE($H614))),1)*1440,0))),""))</f>
        <v/>
      </c>
      <c r="W614" s="52" t="str">
        <f aca="false">IF($I614="","",IFERROR(IF(IF(ISNUMBER($I614),$I614,IFERROR(TIMEVALUE($I614),VALUE($I614)))&gt;=100,INT(IF(ISNUMBER($I614),$I614,IFERROR(TIMEVALUE($I614),VALUE($I614)))/100)*60+MOD(IF(ISNUMBER($I614),$I614,IFERROR(TIMEVALUE($I614),VALUE($I614))),100),IF(IF(ISNUMBER($I614),$I614,IFERROR(TIMEVALUE($I614),VALUE($I614)))&gt;=1,ROUND(IF(ISNUMBER($I614),$I614,IFERROR(TIMEVALUE($I614),VALUE($I614)))*60,0),ROUND(MOD(IF(ISNUMBER($I614),$I614,IFERROR(TIMEVALUE($I614),VALUE($I614))),1)*1440,0))),""))</f>
        <v/>
      </c>
      <c r="X614" s="55" t="str">
        <f aca="false">IF($P614="","",IFERROR(IF(ISNUMBER($P614),IF($P614&gt;19000000,DATE(INT($P614/10000),MOD(INT($P614/100),100),MOD($P614,100)),INT($P614)),IF(LEN(SUBSTITUTE(SUBSTITUTE(SUBSTITUTE(TRIM($P614),"-",""),".",""),"/",""))=8,DATE(VALUE(LEFT(SUBSTITUTE(SUBSTITUTE(SUBSTITUTE(TRIM($P614),"-",""),".",""),"/",""),4)),VALUE(MID(SUBSTITUTE(SUBSTITUTE(SUBSTITUTE(TRIM($P614),"-",""),".",""),"/",""),5,2)),VALUE(RIGHT(SUBSTITUTE(SUBSTITUTE(SUBSTITUTE(TRIM($P614),"-",""),".",""),"/",""),2))),DATEVALUE($P614))),""))</f>
        <v/>
      </c>
      <c r="Y614" s="56" t="str">
        <f aca="false">IF($M614="","",IFERROR(INDEX(강사DB!$D$4:$D$53,MATCH($M614,강사DB!$A$4:$A$53,0)),""))</f>
        <v/>
      </c>
      <c r="Z614" s="56" t="str">
        <f aca="false">IF($B614&lt;&gt;"결제완료","",IF(OR($Y614="",$J614=""),"",$Y614*$J614+MAX(0,N($K614)-1)*설정!$J$7))</f>
        <v/>
      </c>
      <c r="AA614" s="56" t="str">
        <f aca="false">IF(AND($D614&lt;&gt;"",$B614="결제완료"),N($N614),"")</f>
        <v/>
      </c>
      <c r="AB614" s="45" t="str">
        <f aca="false">IF($D614="","",IF($F614&lt;&gt;"",$F614,$D614)&amp;IF($B614="상담중"," (상담)",""))</f>
        <v/>
      </c>
      <c r="AC614" s="45" t="n">
        <f aca="false">IF(AND($D614&lt;&gt;"",OR($B614="결제완료",$B614="상담중")),1,0)</f>
        <v>0</v>
      </c>
      <c r="AD614" s="45" t="n">
        <f aca="false">IF(OR($Z614="",$U614=""),0,IFERROR(IF(COUNTIFS(INDEX(g_grid,0,2*MATCH($M614,강사DB!$A$4:$A$15,0)),"&lt;&gt;",g_s,"&lt;="&amp;$U614,g_e,"&gt;="&amp;$U614)&gt;0,1,0),0))</f>
        <v>0</v>
      </c>
      <c r="AE614" s="48"/>
      <c r="AF614" s="56" t="str">
        <f aca="false">IF(AND($D614&lt;&gt;"",$B614="결제완료",$T614="대여"),설정!$J$5,"")</f>
        <v/>
      </c>
      <c r="AG614" s="54" t="str">
        <f aca="false">IF($D614="","",IF(AND($E614="",$R614=""),$AB614,"☎ "&amp;IF($E614="","-",$E614)&amp;IF($R614&lt;&gt;"","  ※ "&amp;$R614,"")&amp;IF($B614="상담중"," (상담)","")))</f>
        <v/>
      </c>
      <c r="AH614" s="56" t="str">
        <f aca="false">IF(AND($D614&lt;&gt;"",$B614="결제완료",$O614="스마트스토어"),ROUND(N($N614)*설정!$J$6,0),"")</f>
        <v/>
      </c>
      <c r="AI614" s="54" t="str">
        <f aca="false">IF($D614="","",ROW())</f>
        <v/>
      </c>
      <c r="AJ614" s="54" t="n">
        <f aca="false">IF(OR($AC614&lt;&gt;1,$M614=""),0,IF(ISNUMBER(SEARCH("퇴사",IFERROR(INDEX(강사DB!$G$4:$G$53,MATCH($M614,강사DB!$A$4:$A$53,0)),""))),1,0))</f>
        <v>0</v>
      </c>
    </row>
    <row r="615" customFormat="false" ht="15" hidden="false" customHeight="false" outlineLevel="0" collapsed="false">
      <c r="A615" s="45" t="str">
        <f aca="false">IF($D615="","",COUNTA($D$5:$D615))</f>
        <v/>
      </c>
      <c r="B615" s="46"/>
      <c r="C615" s="47"/>
      <c r="D615" s="48"/>
      <c r="E615" s="48"/>
      <c r="F615" s="49"/>
      <c r="G615" s="47"/>
      <c r="H615" s="50"/>
      <c r="I615" s="50"/>
      <c r="J615" s="51" t="str">
        <f aca="false">IF(OR($V615="",$W615=""),"",ROUND(($W615-$V615)/60,2))</f>
        <v/>
      </c>
      <c r="K615" s="52" t="str">
        <f aca="false">IF($F615="","",LEN($F615)-LEN(SUBSTITUTE($F615,",",""))+1)</f>
        <v/>
      </c>
      <c r="L615" s="45" t="str">
        <f aca="false">IF($K615="","","1:"&amp;$K615)</f>
        <v/>
      </c>
      <c r="M615" s="46"/>
      <c r="N615" s="53"/>
      <c r="O615" s="46"/>
      <c r="P615" s="47"/>
      <c r="Q615" s="48"/>
      <c r="R615" s="49"/>
      <c r="S615" s="54" t="str">
        <f aca="false">IF(OR($AC615=0,$U615="",$M615="",$V615="",$W615=""),"",IF(COUNTIFS(m_teacher,$M615,m_date,$U615,m_active,1,m_start,"&lt;"&amp;$W615,m_end,"&gt;"&amp;$V615)&gt;1,"충돌",""))</f>
        <v/>
      </c>
      <c r="T615" s="48"/>
      <c r="U615" s="55" t="str">
        <f aca="false">IF($G615="","",IFERROR(IF(ISNUMBER($G615),IF($G615&gt;19000000,DATE(INT($G615/10000),MOD(INT($G615/100),100),MOD($G615,100)),INT($G615)),IF(LEN(SUBSTITUTE(SUBSTITUTE(SUBSTITUTE(TRIM($G615),"-",""),".",""),"/",""))=8,DATE(VALUE(LEFT(SUBSTITUTE(SUBSTITUTE(SUBSTITUTE(TRIM($G615),"-",""),".",""),"/",""),4)),VALUE(MID(SUBSTITUTE(SUBSTITUTE(SUBSTITUTE(TRIM($G615),"-",""),".",""),"/",""),5,2)),VALUE(RIGHT(SUBSTITUTE(SUBSTITUTE(SUBSTITUTE(TRIM($G615),"-",""),".",""),"/",""),2))),DATEVALUE($G615))),""))</f>
        <v/>
      </c>
      <c r="V615" s="52" t="str">
        <f aca="false">IF($H615="","",IFERROR(IF(IF(ISNUMBER($H615),$H615,IFERROR(TIMEVALUE($H615),VALUE($H615)))&gt;=100,INT(IF(ISNUMBER($H615),$H615,IFERROR(TIMEVALUE($H615),VALUE($H615)))/100)*60+MOD(IF(ISNUMBER($H615),$H615,IFERROR(TIMEVALUE($H615),VALUE($H615))),100),IF(IF(ISNUMBER($H615),$H615,IFERROR(TIMEVALUE($H615),VALUE($H615)))&gt;=1,ROUND(IF(ISNUMBER($H615),$H615,IFERROR(TIMEVALUE($H615),VALUE($H615)))*60,0),ROUND(MOD(IF(ISNUMBER($H615),$H615,IFERROR(TIMEVALUE($H615),VALUE($H615))),1)*1440,0))),""))</f>
        <v/>
      </c>
      <c r="W615" s="52" t="str">
        <f aca="false">IF($I615="","",IFERROR(IF(IF(ISNUMBER($I615),$I615,IFERROR(TIMEVALUE($I615),VALUE($I615)))&gt;=100,INT(IF(ISNUMBER($I615),$I615,IFERROR(TIMEVALUE($I615),VALUE($I615)))/100)*60+MOD(IF(ISNUMBER($I615),$I615,IFERROR(TIMEVALUE($I615),VALUE($I615))),100),IF(IF(ISNUMBER($I615),$I615,IFERROR(TIMEVALUE($I615),VALUE($I615)))&gt;=1,ROUND(IF(ISNUMBER($I615),$I615,IFERROR(TIMEVALUE($I615),VALUE($I615)))*60,0),ROUND(MOD(IF(ISNUMBER($I615),$I615,IFERROR(TIMEVALUE($I615),VALUE($I615))),1)*1440,0))),""))</f>
        <v/>
      </c>
      <c r="X615" s="55" t="str">
        <f aca="false">IF($P615="","",IFERROR(IF(ISNUMBER($P615),IF($P615&gt;19000000,DATE(INT($P615/10000),MOD(INT($P615/100),100),MOD($P615,100)),INT($P615)),IF(LEN(SUBSTITUTE(SUBSTITUTE(SUBSTITUTE(TRIM($P615),"-",""),".",""),"/",""))=8,DATE(VALUE(LEFT(SUBSTITUTE(SUBSTITUTE(SUBSTITUTE(TRIM($P615),"-",""),".",""),"/",""),4)),VALUE(MID(SUBSTITUTE(SUBSTITUTE(SUBSTITUTE(TRIM($P615),"-",""),".",""),"/",""),5,2)),VALUE(RIGHT(SUBSTITUTE(SUBSTITUTE(SUBSTITUTE(TRIM($P615),"-",""),".",""),"/",""),2))),DATEVALUE($P615))),""))</f>
        <v/>
      </c>
      <c r="Y615" s="56" t="str">
        <f aca="false">IF($M615="","",IFERROR(INDEX(강사DB!$D$4:$D$53,MATCH($M615,강사DB!$A$4:$A$53,0)),""))</f>
        <v/>
      </c>
      <c r="Z615" s="56" t="str">
        <f aca="false">IF($B615&lt;&gt;"결제완료","",IF(OR($Y615="",$J615=""),"",$Y615*$J615+MAX(0,N($K615)-1)*설정!$J$7))</f>
        <v/>
      </c>
      <c r="AA615" s="56" t="str">
        <f aca="false">IF(AND($D615&lt;&gt;"",$B615="결제완료"),N($N615),"")</f>
        <v/>
      </c>
      <c r="AB615" s="45" t="str">
        <f aca="false">IF($D615="","",IF($F615&lt;&gt;"",$F615,$D615)&amp;IF($B615="상담중"," (상담)",""))</f>
        <v/>
      </c>
      <c r="AC615" s="45" t="n">
        <f aca="false">IF(AND($D615&lt;&gt;"",OR($B615="결제완료",$B615="상담중")),1,0)</f>
        <v>0</v>
      </c>
      <c r="AD615" s="45" t="n">
        <f aca="false">IF(OR($Z615="",$U615=""),0,IFERROR(IF(COUNTIFS(INDEX(g_grid,0,2*MATCH($M615,강사DB!$A$4:$A$15,0)),"&lt;&gt;",g_s,"&lt;="&amp;$U615,g_e,"&gt;="&amp;$U615)&gt;0,1,0),0))</f>
        <v>0</v>
      </c>
      <c r="AE615" s="48"/>
      <c r="AF615" s="56" t="str">
        <f aca="false">IF(AND($D615&lt;&gt;"",$B615="결제완료",$T615="대여"),설정!$J$5,"")</f>
        <v/>
      </c>
      <c r="AG615" s="54" t="str">
        <f aca="false">IF($D615="","",IF(AND($E615="",$R615=""),$AB615,"☎ "&amp;IF($E615="","-",$E615)&amp;IF($R615&lt;&gt;"","  ※ "&amp;$R615,"")&amp;IF($B615="상담중"," (상담)","")))</f>
        <v/>
      </c>
      <c r="AH615" s="56" t="str">
        <f aca="false">IF(AND($D615&lt;&gt;"",$B615="결제완료",$O615="스마트스토어"),ROUND(N($N615)*설정!$J$6,0),"")</f>
        <v/>
      </c>
      <c r="AI615" s="54" t="str">
        <f aca="false">IF($D615="","",ROW())</f>
        <v/>
      </c>
      <c r="AJ615" s="54" t="n">
        <f aca="false">IF(OR($AC615&lt;&gt;1,$M615=""),0,IF(ISNUMBER(SEARCH("퇴사",IFERROR(INDEX(강사DB!$G$4:$G$53,MATCH($M615,강사DB!$A$4:$A$53,0)),""))),1,0))</f>
        <v>0</v>
      </c>
    </row>
    <row r="616" customFormat="false" ht="15" hidden="false" customHeight="false" outlineLevel="0" collapsed="false">
      <c r="A616" s="45" t="str">
        <f aca="false">IF($D616="","",COUNTA($D$5:$D616))</f>
        <v/>
      </c>
      <c r="B616" s="46"/>
      <c r="C616" s="47"/>
      <c r="D616" s="48"/>
      <c r="E616" s="48"/>
      <c r="F616" s="49"/>
      <c r="G616" s="47"/>
      <c r="H616" s="50"/>
      <c r="I616" s="50"/>
      <c r="J616" s="51" t="str">
        <f aca="false">IF(OR($V616="",$W616=""),"",ROUND(($W616-$V616)/60,2))</f>
        <v/>
      </c>
      <c r="K616" s="52" t="str">
        <f aca="false">IF($F616="","",LEN($F616)-LEN(SUBSTITUTE($F616,",",""))+1)</f>
        <v/>
      </c>
      <c r="L616" s="45" t="str">
        <f aca="false">IF($K616="","","1:"&amp;$K616)</f>
        <v/>
      </c>
      <c r="M616" s="46"/>
      <c r="N616" s="53"/>
      <c r="O616" s="46"/>
      <c r="P616" s="47"/>
      <c r="Q616" s="48"/>
      <c r="R616" s="49"/>
      <c r="S616" s="54" t="str">
        <f aca="false">IF(OR($AC616=0,$U616="",$M616="",$V616="",$W616=""),"",IF(COUNTIFS(m_teacher,$M616,m_date,$U616,m_active,1,m_start,"&lt;"&amp;$W616,m_end,"&gt;"&amp;$V616)&gt;1,"충돌",""))</f>
        <v/>
      </c>
      <c r="T616" s="48"/>
      <c r="U616" s="55" t="str">
        <f aca="false">IF($G616="","",IFERROR(IF(ISNUMBER($G616),IF($G616&gt;19000000,DATE(INT($G616/10000),MOD(INT($G616/100),100),MOD($G616,100)),INT($G616)),IF(LEN(SUBSTITUTE(SUBSTITUTE(SUBSTITUTE(TRIM($G616),"-",""),".",""),"/",""))=8,DATE(VALUE(LEFT(SUBSTITUTE(SUBSTITUTE(SUBSTITUTE(TRIM($G616),"-",""),".",""),"/",""),4)),VALUE(MID(SUBSTITUTE(SUBSTITUTE(SUBSTITUTE(TRIM($G616),"-",""),".",""),"/",""),5,2)),VALUE(RIGHT(SUBSTITUTE(SUBSTITUTE(SUBSTITUTE(TRIM($G616),"-",""),".",""),"/",""),2))),DATEVALUE($G616))),""))</f>
        <v/>
      </c>
      <c r="V616" s="52" t="str">
        <f aca="false">IF($H616="","",IFERROR(IF(IF(ISNUMBER($H616),$H616,IFERROR(TIMEVALUE($H616),VALUE($H616)))&gt;=100,INT(IF(ISNUMBER($H616),$H616,IFERROR(TIMEVALUE($H616),VALUE($H616)))/100)*60+MOD(IF(ISNUMBER($H616),$H616,IFERROR(TIMEVALUE($H616),VALUE($H616))),100),IF(IF(ISNUMBER($H616),$H616,IFERROR(TIMEVALUE($H616),VALUE($H616)))&gt;=1,ROUND(IF(ISNUMBER($H616),$H616,IFERROR(TIMEVALUE($H616),VALUE($H616)))*60,0),ROUND(MOD(IF(ISNUMBER($H616),$H616,IFERROR(TIMEVALUE($H616),VALUE($H616))),1)*1440,0))),""))</f>
        <v/>
      </c>
      <c r="W616" s="52" t="str">
        <f aca="false">IF($I616="","",IFERROR(IF(IF(ISNUMBER($I616),$I616,IFERROR(TIMEVALUE($I616),VALUE($I616)))&gt;=100,INT(IF(ISNUMBER($I616),$I616,IFERROR(TIMEVALUE($I616),VALUE($I616)))/100)*60+MOD(IF(ISNUMBER($I616),$I616,IFERROR(TIMEVALUE($I616),VALUE($I616))),100),IF(IF(ISNUMBER($I616),$I616,IFERROR(TIMEVALUE($I616),VALUE($I616)))&gt;=1,ROUND(IF(ISNUMBER($I616),$I616,IFERROR(TIMEVALUE($I616),VALUE($I616)))*60,0),ROUND(MOD(IF(ISNUMBER($I616),$I616,IFERROR(TIMEVALUE($I616),VALUE($I616))),1)*1440,0))),""))</f>
        <v/>
      </c>
      <c r="X616" s="55" t="str">
        <f aca="false">IF($P616="","",IFERROR(IF(ISNUMBER($P616),IF($P616&gt;19000000,DATE(INT($P616/10000),MOD(INT($P616/100),100),MOD($P616,100)),INT($P616)),IF(LEN(SUBSTITUTE(SUBSTITUTE(SUBSTITUTE(TRIM($P616),"-",""),".",""),"/",""))=8,DATE(VALUE(LEFT(SUBSTITUTE(SUBSTITUTE(SUBSTITUTE(TRIM($P616),"-",""),".",""),"/",""),4)),VALUE(MID(SUBSTITUTE(SUBSTITUTE(SUBSTITUTE(TRIM($P616),"-",""),".",""),"/",""),5,2)),VALUE(RIGHT(SUBSTITUTE(SUBSTITUTE(SUBSTITUTE(TRIM($P616),"-",""),".",""),"/",""),2))),DATEVALUE($P616))),""))</f>
        <v/>
      </c>
      <c r="Y616" s="56" t="str">
        <f aca="false">IF($M616="","",IFERROR(INDEX(강사DB!$D$4:$D$53,MATCH($M616,강사DB!$A$4:$A$53,0)),""))</f>
        <v/>
      </c>
      <c r="Z616" s="56" t="str">
        <f aca="false">IF($B616&lt;&gt;"결제완료","",IF(OR($Y616="",$J616=""),"",$Y616*$J616+MAX(0,N($K616)-1)*설정!$J$7))</f>
        <v/>
      </c>
      <c r="AA616" s="56" t="str">
        <f aca="false">IF(AND($D616&lt;&gt;"",$B616="결제완료"),N($N616),"")</f>
        <v/>
      </c>
      <c r="AB616" s="45" t="str">
        <f aca="false">IF($D616="","",IF($F616&lt;&gt;"",$F616,$D616)&amp;IF($B616="상담중"," (상담)",""))</f>
        <v/>
      </c>
      <c r="AC616" s="45" t="n">
        <f aca="false">IF(AND($D616&lt;&gt;"",OR($B616="결제완료",$B616="상담중")),1,0)</f>
        <v>0</v>
      </c>
      <c r="AD616" s="45" t="n">
        <f aca="false">IF(OR($Z616="",$U616=""),0,IFERROR(IF(COUNTIFS(INDEX(g_grid,0,2*MATCH($M616,강사DB!$A$4:$A$15,0)),"&lt;&gt;",g_s,"&lt;="&amp;$U616,g_e,"&gt;="&amp;$U616)&gt;0,1,0),0))</f>
        <v>0</v>
      </c>
      <c r="AE616" s="48"/>
      <c r="AF616" s="56" t="str">
        <f aca="false">IF(AND($D616&lt;&gt;"",$B616="결제완료",$T616="대여"),설정!$J$5,"")</f>
        <v/>
      </c>
      <c r="AG616" s="54" t="str">
        <f aca="false">IF($D616="","",IF(AND($E616="",$R616=""),$AB616,"☎ "&amp;IF($E616="","-",$E616)&amp;IF($R616&lt;&gt;"","  ※ "&amp;$R616,"")&amp;IF($B616="상담중"," (상담)","")))</f>
        <v/>
      </c>
      <c r="AH616" s="56" t="str">
        <f aca="false">IF(AND($D616&lt;&gt;"",$B616="결제완료",$O616="스마트스토어"),ROUND(N($N616)*설정!$J$6,0),"")</f>
        <v/>
      </c>
      <c r="AI616" s="54" t="str">
        <f aca="false">IF($D616="","",ROW())</f>
        <v/>
      </c>
      <c r="AJ616" s="54" t="n">
        <f aca="false">IF(OR($AC616&lt;&gt;1,$M616=""),0,IF(ISNUMBER(SEARCH("퇴사",IFERROR(INDEX(강사DB!$G$4:$G$53,MATCH($M616,강사DB!$A$4:$A$53,0)),""))),1,0))</f>
        <v>0</v>
      </c>
    </row>
    <row r="617" customFormat="false" ht="15" hidden="false" customHeight="false" outlineLevel="0" collapsed="false">
      <c r="A617" s="45" t="str">
        <f aca="false">IF($D617="","",COUNTA($D$5:$D617))</f>
        <v/>
      </c>
      <c r="B617" s="46"/>
      <c r="C617" s="47"/>
      <c r="D617" s="48"/>
      <c r="E617" s="48"/>
      <c r="F617" s="49"/>
      <c r="G617" s="47"/>
      <c r="H617" s="50"/>
      <c r="I617" s="50"/>
      <c r="J617" s="51" t="str">
        <f aca="false">IF(OR($V617="",$W617=""),"",ROUND(($W617-$V617)/60,2))</f>
        <v/>
      </c>
      <c r="K617" s="52" t="str">
        <f aca="false">IF($F617="","",LEN($F617)-LEN(SUBSTITUTE($F617,",",""))+1)</f>
        <v/>
      </c>
      <c r="L617" s="45" t="str">
        <f aca="false">IF($K617="","","1:"&amp;$K617)</f>
        <v/>
      </c>
      <c r="M617" s="46"/>
      <c r="N617" s="53"/>
      <c r="O617" s="46"/>
      <c r="P617" s="47"/>
      <c r="Q617" s="48"/>
      <c r="R617" s="49"/>
      <c r="S617" s="54" t="str">
        <f aca="false">IF(OR($AC617=0,$U617="",$M617="",$V617="",$W617=""),"",IF(COUNTIFS(m_teacher,$M617,m_date,$U617,m_active,1,m_start,"&lt;"&amp;$W617,m_end,"&gt;"&amp;$V617)&gt;1,"충돌",""))</f>
        <v/>
      </c>
      <c r="T617" s="48"/>
      <c r="U617" s="55" t="str">
        <f aca="false">IF($G617="","",IFERROR(IF(ISNUMBER($G617),IF($G617&gt;19000000,DATE(INT($G617/10000),MOD(INT($G617/100),100),MOD($G617,100)),INT($G617)),IF(LEN(SUBSTITUTE(SUBSTITUTE(SUBSTITUTE(TRIM($G617),"-",""),".",""),"/",""))=8,DATE(VALUE(LEFT(SUBSTITUTE(SUBSTITUTE(SUBSTITUTE(TRIM($G617),"-",""),".",""),"/",""),4)),VALUE(MID(SUBSTITUTE(SUBSTITUTE(SUBSTITUTE(TRIM($G617),"-",""),".",""),"/",""),5,2)),VALUE(RIGHT(SUBSTITUTE(SUBSTITUTE(SUBSTITUTE(TRIM($G617),"-",""),".",""),"/",""),2))),DATEVALUE($G617))),""))</f>
        <v/>
      </c>
      <c r="V617" s="52" t="str">
        <f aca="false">IF($H617="","",IFERROR(IF(IF(ISNUMBER($H617),$H617,IFERROR(TIMEVALUE($H617),VALUE($H617)))&gt;=100,INT(IF(ISNUMBER($H617),$H617,IFERROR(TIMEVALUE($H617),VALUE($H617)))/100)*60+MOD(IF(ISNUMBER($H617),$H617,IFERROR(TIMEVALUE($H617),VALUE($H617))),100),IF(IF(ISNUMBER($H617),$H617,IFERROR(TIMEVALUE($H617),VALUE($H617)))&gt;=1,ROUND(IF(ISNUMBER($H617),$H617,IFERROR(TIMEVALUE($H617),VALUE($H617)))*60,0),ROUND(MOD(IF(ISNUMBER($H617),$H617,IFERROR(TIMEVALUE($H617),VALUE($H617))),1)*1440,0))),""))</f>
        <v/>
      </c>
      <c r="W617" s="52" t="str">
        <f aca="false">IF($I617="","",IFERROR(IF(IF(ISNUMBER($I617),$I617,IFERROR(TIMEVALUE($I617),VALUE($I617)))&gt;=100,INT(IF(ISNUMBER($I617),$I617,IFERROR(TIMEVALUE($I617),VALUE($I617)))/100)*60+MOD(IF(ISNUMBER($I617),$I617,IFERROR(TIMEVALUE($I617),VALUE($I617))),100),IF(IF(ISNUMBER($I617),$I617,IFERROR(TIMEVALUE($I617),VALUE($I617)))&gt;=1,ROUND(IF(ISNUMBER($I617),$I617,IFERROR(TIMEVALUE($I617),VALUE($I617)))*60,0),ROUND(MOD(IF(ISNUMBER($I617),$I617,IFERROR(TIMEVALUE($I617),VALUE($I617))),1)*1440,0))),""))</f>
        <v/>
      </c>
      <c r="X617" s="55" t="str">
        <f aca="false">IF($P617="","",IFERROR(IF(ISNUMBER($P617),IF($P617&gt;19000000,DATE(INT($P617/10000),MOD(INT($P617/100),100),MOD($P617,100)),INT($P617)),IF(LEN(SUBSTITUTE(SUBSTITUTE(SUBSTITUTE(TRIM($P617),"-",""),".",""),"/",""))=8,DATE(VALUE(LEFT(SUBSTITUTE(SUBSTITUTE(SUBSTITUTE(TRIM($P617),"-",""),".",""),"/",""),4)),VALUE(MID(SUBSTITUTE(SUBSTITUTE(SUBSTITUTE(TRIM($P617),"-",""),".",""),"/",""),5,2)),VALUE(RIGHT(SUBSTITUTE(SUBSTITUTE(SUBSTITUTE(TRIM($P617),"-",""),".",""),"/",""),2))),DATEVALUE($P617))),""))</f>
        <v/>
      </c>
      <c r="Y617" s="56" t="str">
        <f aca="false">IF($M617="","",IFERROR(INDEX(강사DB!$D$4:$D$53,MATCH($M617,강사DB!$A$4:$A$53,0)),""))</f>
        <v/>
      </c>
      <c r="Z617" s="56" t="str">
        <f aca="false">IF($B617&lt;&gt;"결제완료","",IF(OR($Y617="",$J617=""),"",$Y617*$J617+MAX(0,N($K617)-1)*설정!$J$7))</f>
        <v/>
      </c>
      <c r="AA617" s="56" t="str">
        <f aca="false">IF(AND($D617&lt;&gt;"",$B617="결제완료"),N($N617),"")</f>
        <v/>
      </c>
      <c r="AB617" s="45" t="str">
        <f aca="false">IF($D617="","",IF($F617&lt;&gt;"",$F617,$D617)&amp;IF($B617="상담중"," (상담)",""))</f>
        <v/>
      </c>
      <c r="AC617" s="45" t="n">
        <f aca="false">IF(AND($D617&lt;&gt;"",OR($B617="결제완료",$B617="상담중")),1,0)</f>
        <v>0</v>
      </c>
      <c r="AD617" s="45" t="n">
        <f aca="false">IF(OR($Z617="",$U617=""),0,IFERROR(IF(COUNTIFS(INDEX(g_grid,0,2*MATCH($M617,강사DB!$A$4:$A$15,0)),"&lt;&gt;",g_s,"&lt;="&amp;$U617,g_e,"&gt;="&amp;$U617)&gt;0,1,0),0))</f>
        <v>0</v>
      </c>
      <c r="AE617" s="48"/>
      <c r="AF617" s="56" t="str">
        <f aca="false">IF(AND($D617&lt;&gt;"",$B617="결제완료",$T617="대여"),설정!$J$5,"")</f>
        <v/>
      </c>
      <c r="AG617" s="54" t="str">
        <f aca="false">IF($D617="","",IF(AND($E617="",$R617=""),$AB617,"☎ "&amp;IF($E617="","-",$E617)&amp;IF($R617&lt;&gt;"","  ※ "&amp;$R617,"")&amp;IF($B617="상담중"," (상담)","")))</f>
        <v/>
      </c>
      <c r="AH617" s="56" t="str">
        <f aca="false">IF(AND($D617&lt;&gt;"",$B617="결제완료",$O617="스마트스토어"),ROUND(N($N617)*설정!$J$6,0),"")</f>
        <v/>
      </c>
      <c r="AI617" s="54" t="str">
        <f aca="false">IF($D617="","",ROW())</f>
        <v/>
      </c>
      <c r="AJ617" s="54" t="n">
        <f aca="false">IF(OR($AC617&lt;&gt;1,$M617=""),0,IF(ISNUMBER(SEARCH("퇴사",IFERROR(INDEX(강사DB!$G$4:$G$53,MATCH($M617,강사DB!$A$4:$A$53,0)),""))),1,0))</f>
        <v>0</v>
      </c>
    </row>
    <row r="618" customFormat="false" ht="15" hidden="false" customHeight="false" outlineLevel="0" collapsed="false">
      <c r="A618" s="45" t="str">
        <f aca="false">IF($D618="","",COUNTA($D$5:$D618))</f>
        <v/>
      </c>
      <c r="B618" s="46"/>
      <c r="C618" s="47"/>
      <c r="D618" s="48"/>
      <c r="E618" s="48"/>
      <c r="F618" s="49"/>
      <c r="G618" s="47"/>
      <c r="H618" s="50"/>
      <c r="I618" s="50"/>
      <c r="J618" s="51" t="str">
        <f aca="false">IF(OR($V618="",$W618=""),"",ROUND(($W618-$V618)/60,2))</f>
        <v/>
      </c>
      <c r="K618" s="52" t="str">
        <f aca="false">IF($F618="","",LEN($F618)-LEN(SUBSTITUTE($F618,",",""))+1)</f>
        <v/>
      </c>
      <c r="L618" s="45" t="str">
        <f aca="false">IF($K618="","","1:"&amp;$K618)</f>
        <v/>
      </c>
      <c r="M618" s="46"/>
      <c r="N618" s="53"/>
      <c r="O618" s="46"/>
      <c r="P618" s="47"/>
      <c r="Q618" s="48"/>
      <c r="R618" s="49"/>
      <c r="S618" s="54" t="str">
        <f aca="false">IF(OR($AC618=0,$U618="",$M618="",$V618="",$W618=""),"",IF(COUNTIFS(m_teacher,$M618,m_date,$U618,m_active,1,m_start,"&lt;"&amp;$W618,m_end,"&gt;"&amp;$V618)&gt;1,"충돌",""))</f>
        <v/>
      </c>
      <c r="T618" s="48"/>
      <c r="U618" s="55" t="str">
        <f aca="false">IF($G618="","",IFERROR(IF(ISNUMBER($G618),IF($G618&gt;19000000,DATE(INT($G618/10000),MOD(INT($G618/100),100),MOD($G618,100)),INT($G618)),IF(LEN(SUBSTITUTE(SUBSTITUTE(SUBSTITUTE(TRIM($G618),"-",""),".",""),"/",""))=8,DATE(VALUE(LEFT(SUBSTITUTE(SUBSTITUTE(SUBSTITUTE(TRIM($G618),"-",""),".",""),"/",""),4)),VALUE(MID(SUBSTITUTE(SUBSTITUTE(SUBSTITUTE(TRIM($G618),"-",""),".",""),"/",""),5,2)),VALUE(RIGHT(SUBSTITUTE(SUBSTITUTE(SUBSTITUTE(TRIM($G618),"-",""),".",""),"/",""),2))),DATEVALUE($G618))),""))</f>
        <v/>
      </c>
      <c r="V618" s="52" t="str">
        <f aca="false">IF($H618="","",IFERROR(IF(IF(ISNUMBER($H618),$H618,IFERROR(TIMEVALUE($H618),VALUE($H618)))&gt;=100,INT(IF(ISNUMBER($H618),$H618,IFERROR(TIMEVALUE($H618),VALUE($H618)))/100)*60+MOD(IF(ISNUMBER($H618),$H618,IFERROR(TIMEVALUE($H618),VALUE($H618))),100),IF(IF(ISNUMBER($H618),$H618,IFERROR(TIMEVALUE($H618),VALUE($H618)))&gt;=1,ROUND(IF(ISNUMBER($H618),$H618,IFERROR(TIMEVALUE($H618),VALUE($H618)))*60,0),ROUND(MOD(IF(ISNUMBER($H618),$H618,IFERROR(TIMEVALUE($H618),VALUE($H618))),1)*1440,0))),""))</f>
        <v/>
      </c>
      <c r="W618" s="52" t="str">
        <f aca="false">IF($I618="","",IFERROR(IF(IF(ISNUMBER($I618),$I618,IFERROR(TIMEVALUE($I618),VALUE($I618)))&gt;=100,INT(IF(ISNUMBER($I618),$I618,IFERROR(TIMEVALUE($I618),VALUE($I618)))/100)*60+MOD(IF(ISNUMBER($I618),$I618,IFERROR(TIMEVALUE($I618),VALUE($I618))),100),IF(IF(ISNUMBER($I618),$I618,IFERROR(TIMEVALUE($I618),VALUE($I618)))&gt;=1,ROUND(IF(ISNUMBER($I618),$I618,IFERROR(TIMEVALUE($I618),VALUE($I618)))*60,0),ROUND(MOD(IF(ISNUMBER($I618),$I618,IFERROR(TIMEVALUE($I618),VALUE($I618))),1)*1440,0))),""))</f>
        <v/>
      </c>
      <c r="X618" s="55" t="str">
        <f aca="false">IF($P618="","",IFERROR(IF(ISNUMBER($P618),IF($P618&gt;19000000,DATE(INT($P618/10000),MOD(INT($P618/100),100),MOD($P618,100)),INT($P618)),IF(LEN(SUBSTITUTE(SUBSTITUTE(SUBSTITUTE(TRIM($P618),"-",""),".",""),"/",""))=8,DATE(VALUE(LEFT(SUBSTITUTE(SUBSTITUTE(SUBSTITUTE(TRIM($P618),"-",""),".",""),"/",""),4)),VALUE(MID(SUBSTITUTE(SUBSTITUTE(SUBSTITUTE(TRIM($P618),"-",""),".",""),"/",""),5,2)),VALUE(RIGHT(SUBSTITUTE(SUBSTITUTE(SUBSTITUTE(TRIM($P618),"-",""),".",""),"/",""),2))),DATEVALUE($P618))),""))</f>
        <v/>
      </c>
      <c r="Y618" s="56" t="str">
        <f aca="false">IF($M618="","",IFERROR(INDEX(강사DB!$D$4:$D$53,MATCH($M618,강사DB!$A$4:$A$53,0)),""))</f>
        <v/>
      </c>
      <c r="Z618" s="56" t="str">
        <f aca="false">IF($B618&lt;&gt;"결제완료","",IF(OR($Y618="",$J618=""),"",$Y618*$J618+MAX(0,N($K618)-1)*설정!$J$7))</f>
        <v/>
      </c>
      <c r="AA618" s="56" t="str">
        <f aca="false">IF(AND($D618&lt;&gt;"",$B618="결제완료"),N($N618),"")</f>
        <v/>
      </c>
      <c r="AB618" s="45" t="str">
        <f aca="false">IF($D618="","",IF($F618&lt;&gt;"",$F618,$D618)&amp;IF($B618="상담중"," (상담)",""))</f>
        <v/>
      </c>
      <c r="AC618" s="45" t="n">
        <f aca="false">IF(AND($D618&lt;&gt;"",OR($B618="결제완료",$B618="상담중")),1,0)</f>
        <v>0</v>
      </c>
      <c r="AD618" s="45" t="n">
        <f aca="false">IF(OR($Z618="",$U618=""),0,IFERROR(IF(COUNTIFS(INDEX(g_grid,0,2*MATCH($M618,강사DB!$A$4:$A$15,0)),"&lt;&gt;",g_s,"&lt;="&amp;$U618,g_e,"&gt;="&amp;$U618)&gt;0,1,0),0))</f>
        <v>0</v>
      </c>
      <c r="AE618" s="48"/>
      <c r="AF618" s="56" t="str">
        <f aca="false">IF(AND($D618&lt;&gt;"",$B618="결제완료",$T618="대여"),설정!$J$5,"")</f>
        <v/>
      </c>
      <c r="AG618" s="54" t="str">
        <f aca="false">IF($D618="","",IF(AND($E618="",$R618=""),$AB618,"☎ "&amp;IF($E618="","-",$E618)&amp;IF($R618&lt;&gt;"","  ※ "&amp;$R618,"")&amp;IF($B618="상담중"," (상담)","")))</f>
        <v/>
      </c>
      <c r="AH618" s="56" t="str">
        <f aca="false">IF(AND($D618&lt;&gt;"",$B618="결제완료",$O618="스마트스토어"),ROUND(N($N618)*설정!$J$6,0),"")</f>
        <v/>
      </c>
      <c r="AI618" s="54" t="str">
        <f aca="false">IF($D618="","",ROW())</f>
        <v/>
      </c>
      <c r="AJ618" s="54" t="n">
        <f aca="false">IF(OR($AC618&lt;&gt;1,$M618=""),0,IF(ISNUMBER(SEARCH("퇴사",IFERROR(INDEX(강사DB!$G$4:$G$53,MATCH($M618,강사DB!$A$4:$A$53,0)),""))),1,0))</f>
        <v>0</v>
      </c>
    </row>
    <row r="619" customFormat="false" ht="15" hidden="false" customHeight="false" outlineLevel="0" collapsed="false">
      <c r="A619" s="45" t="str">
        <f aca="false">IF($D619="","",COUNTA($D$5:$D619))</f>
        <v/>
      </c>
      <c r="B619" s="46"/>
      <c r="C619" s="47"/>
      <c r="D619" s="48"/>
      <c r="E619" s="48"/>
      <c r="F619" s="49"/>
      <c r="G619" s="47"/>
      <c r="H619" s="50"/>
      <c r="I619" s="50"/>
      <c r="J619" s="51" t="str">
        <f aca="false">IF(OR($V619="",$W619=""),"",ROUND(($W619-$V619)/60,2))</f>
        <v/>
      </c>
      <c r="K619" s="52" t="str">
        <f aca="false">IF($F619="","",LEN($F619)-LEN(SUBSTITUTE($F619,",",""))+1)</f>
        <v/>
      </c>
      <c r="L619" s="45" t="str">
        <f aca="false">IF($K619="","","1:"&amp;$K619)</f>
        <v/>
      </c>
      <c r="M619" s="46"/>
      <c r="N619" s="53"/>
      <c r="O619" s="46"/>
      <c r="P619" s="47"/>
      <c r="Q619" s="48"/>
      <c r="R619" s="49"/>
      <c r="S619" s="54" t="str">
        <f aca="false">IF(OR($AC619=0,$U619="",$M619="",$V619="",$W619=""),"",IF(COUNTIFS(m_teacher,$M619,m_date,$U619,m_active,1,m_start,"&lt;"&amp;$W619,m_end,"&gt;"&amp;$V619)&gt;1,"충돌",""))</f>
        <v/>
      </c>
      <c r="T619" s="48"/>
      <c r="U619" s="55" t="str">
        <f aca="false">IF($G619="","",IFERROR(IF(ISNUMBER($G619),IF($G619&gt;19000000,DATE(INT($G619/10000),MOD(INT($G619/100),100),MOD($G619,100)),INT($G619)),IF(LEN(SUBSTITUTE(SUBSTITUTE(SUBSTITUTE(TRIM($G619),"-",""),".",""),"/",""))=8,DATE(VALUE(LEFT(SUBSTITUTE(SUBSTITUTE(SUBSTITUTE(TRIM($G619),"-",""),".",""),"/",""),4)),VALUE(MID(SUBSTITUTE(SUBSTITUTE(SUBSTITUTE(TRIM($G619),"-",""),".",""),"/",""),5,2)),VALUE(RIGHT(SUBSTITUTE(SUBSTITUTE(SUBSTITUTE(TRIM($G619),"-",""),".",""),"/",""),2))),DATEVALUE($G619))),""))</f>
        <v/>
      </c>
      <c r="V619" s="52" t="str">
        <f aca="false">IF($H619="","",IFERROR(IF(IF(ISNUMBER($H619),$H619,IFERROR(TIMEVALUE($H619),VALUE($H619)))&gt;=100,INT(IF(ISNUMBER($H619),$H619,IFERROR(TIMEVALUE($H619),VALUE($H619)))/100)*60+MOD(IF(ISNUMBER($H619),$H619,IFERROR(TIMEVALUE($H619),VALUE($H619))),100),IF(IF(ISNUMBER($H619),$H619,IFERROR(TIMEVALUE($H619),VALUE($H619)))&gt;=1,ROUND(IF(ISNUMBER($H619),$H619,IFERROR(TIMEVALUE($H619),VALUE($H619)))*60,0),ROUND(MOD(IF(ISNUMBER($H619),$H619,IFERROR(TIMEVALUE($H619),VALUE($H619))),1)*1440,0))),""))</f>
        <v/>
      </c>
      <c r="W619" s="52" t="str">
        <f aca="false">IF($I619="","",IFERROR(IF(IF(ISNUMBER($I619),$I619,IFERROR(TIMEVALUE($I619),VALUE($I619)))&gt;=100,INT(IF(ISNUMBER($I619),$I619,IFERROR(TIMEVALUE($I619),VALUE($I619)))/100)*60+MOD(IF(ISNUMBER($I619),$I619,IFERROR(TIMEVALUE($I619),VALUE($I619))),100),IF(IF(ISNUMBER($I619),$I619,IFERROR(TIMEVALUE($I619),VALUE($I619)))&gt;=1,ROUND(IF(ISNUMBER($I619),$I619,IFERROR(TIMEVALUE($I619),VALUE($I619)))*60,0),ROUND(MOD(IF(ISNUMBER($I619),$I619,IFERROR(TIMEVALUE($I619),VALUE($I619))),1)*1440,0))),""))</f>
        <v/>
      </c>
      <c r="X619" s="55" t="str">
        <f aca="false">IF($P619="","",IFERROR(IF(ISNUMBER($P619),IF($P619&gt;19000000,DATE(INT($P619/10000),MOD(INT($P619/100),100),MOD($P619,100)),INT($P619)),IF(LEN(SUBSTITUTE(SUBSTITUTE(SUBSTITUTE(TRIM($P619),"-",""),".",""),"/",""))=8,DATE(VALUE(LEFT(SUBSTITUTE(SUBSTITUTE(SUBSTITUTE(TRIM($P619),"-",""),".",""),"/",""),4)),VALUE(MID(SUBSTITUTE(SUBSTITUTE(SUBSTITUTE(TRIM($P619),"-",""),".",""),"/",""),5,2)),VALUE(RIGHT(SUBSTITUTE(SUBSTITUTE(SUBSTITUTE(TRIM($P619),"-",""),".",""),"/",""),2))),DATEVALUE($P619))),""))</f>
        <v/>
      </c>
      <c r="Y619" s="56" t="str">
        <f aca="false">IF($M619="","",IFERROR(INDEX(강사DB!$D$4:$D$53,MATCH($M619,강사DB!$A$4:$A$53,0)),""))</f>
        <v/>
      </c>
      <c r="Z619" s="56" t="str">
        <f aca="false">IF($B619&lt;&gt;"결제완료","",IF(OR($Y619="",$J619=""),"",$Y619*$J619+MAX(0,N($K619)-1)*설정!$J$7))</f>
        <v/>
      </c>
      <c r="AA619" s="56" t="str">
        <f aca="false">IF(AND($D619&lt;&gt;"",$B619="결제완료"),N($N619),"")</f>
        <v/>
      </c>
      <c r="AB619" s="45" t="str">
        <f aca="false">IF($D619="","",IF($F619&lt;&gt;"",$F619,$D619)&amp;IF($B619="상담중"," (상담)",""))</f>
        <v/>
      </c>
      <c r="AC619" s="45" t="n">
        <f aca="false">IF(AND($D619&lt;&gt;"",OR($B619="결제완료",$B619="상담중")),1,0)</f>
        <v>0</v>
      </c>
      <c r="AD619" s="45" t="n">
        <f aca="false">IF(OR($Z619="",$U619=""),0,IFERROR(IF(COUNTIFS(INDEX(g_grid,0,2*MATCH($M619,강사DB!$A$4:$A$15,0)),"&lt;&gt;",g_s,"&lt;="&amp;$U619,g_e,"&gt;="&amp;$U619)&gt;0,1,0),0))</f>
        <v>0</v>
      </c>
      <c r="AE619" s="48"/>
      <c r="AF619" s="56" t="str">
        <f aca="false">IF(AND($D619&lt;&gt;"",$B619="결제완료",$T619="대여"),설정!$J$5,"")</f>
        <v/>
      </c>
      <c r="AG619" s="54" t="str">
        <f aca="false">IF($D619="","",IF(AND($E619="",$R619=""),$AB619,"☎ "&amp;IF($E619="","-",$E619)&amp;IF($R619&lt;&gt;"","  ※ "&amp;$R619,"")&amp;IF($B619="상담중"," (상담)","")))</f>
        <v/>
      </c>
      <c r="AH619" s="56" t="str">
        <f aca="false">IF(AND($D619&lt;&gt;"",$B619="결제완료",$O619="스마트스토어"),ROUND(N($N619)*설정!$J$6,0),"")</f>
        <v/>
      </c>
      <c r="AI619" s="54" t="str">
        <f aca="false">IF($D619="","",ROW())</f>
        <v/>
      </c>
      <c r="AJ619" s="54" t="n">
        <f aca="false">IF(OR($AC619&lt;&gt;1,$M619=""),0,IF(ISNUMBER(SEARCH("퇴사",IFERROR(INDEX(강사DB!$G$4:$G$53,MATCH($M619,강사DB!$A$4:$A$53,0)),""))),1,0))</f>
        <v>0</v>
      </c>
    </row>
    <row r="620" customFormat="false" ht="15" hidden="false" customHeight="false" outlineLevel="0" collapsed="false">
      <c r="A620" s="45" t="str">
        <f aca="false">IF($D620="","",COUNTA($D$5:$D620))</f>
        <v/>
      </c>
      <c r="B620" s="46"/>
      <c r="C620" s="47"/>
      <c r="D620" s="48"/>
      <c r="E620" s="48"/>
      <c r="F620" s="49"/>
      <c r="G620" s="47"/>
      <c r="H620" s="50"/>
      <c r="I620" s="50"/>
      <c r="J620" s="51" t="str">
        <f aca="false">IF(OR($V620="",$W620=""),"",ROUND(($W620-$V620)/60,2))</f>
        <v/>
      </c>
      <c r="K620" s="52" t="str">
        <f aca="false">IF($F620="","",LEN($F620)-LEN(SUBSTITUTE($F620,",",""))+1)</f>
        <v/>
      </c>
      <c r="L620" s="45" t="str">
        <f aca="false">IF($K620="","","1:"&amp;$K620)</f>
        <v/>
      </c>
      <c r="M620" s="46"/>
      <c r="N620" s="53"/>
      <c r="O620" s="46"/>
      <c r="P620" s="47"/>
      <c r="Q620" s="48"/>
      <c r="R620" s="49"/>
      <c r="S620" s="54" t="str">
        <f aca="false">IF(OR($AC620=0,$U620="",$M620="",$V620="",$W620=""),"",IF(COUNTIFS(m_teacher,$M620,m_date,$U620,m_active,1,m_start,"&lt;"&amp;$W620,m_end,"&gt;"&amp;$V620)&gt;1,"충돌",""))</f>
        <v/>
      </c>
      <c r="T620" s="48"/>
      <c r="U620" s="55" t="str">
        <f aca="false">IF($G620="","",IFERROR(IF(ISNUMBER($G620),IF($G620&gt;19000000,DATE(INT($G620/10000),MOD(INT($G620/100),100),MOD($G620,100)),INT($G620)),IF(LEN(SUBSTITUTE(SUBSTITUTE(SUBSTITUTE(TRIM($G620),"-",""),".",""),"/",""))=8,DATE(VALUE(LEFT(SUBSTITUTE(SUBSTITUTE(SUBSTITUTE(TRIM($G620),"-",""),".",""),"/",""),4)),VALUE(MID(SUBSTITUTE(SUBSTITUTE(SUBSTITUTE(TRIM($G620),"-",""),".",""),"/",""),5,2)),VALUE(RIGHT(SUBSTITUTE(SUBSTITUTE(SUBSTITUTE(TRIM($G620),"-",""),".",""),"/",""),2))),DATEVALUE($G620))),""))</f>
        <v/>
      </c>
      <c r="V620" s="52" t="str">
        <f aca="false">IF($H620="","",IFERROR(IF(IF(ISNUMBER($H620),$H620,IFERROR(TIMEVALUE($H620),VALUE($H620)))&gt;=100,INT(IF(ISNUMBER($H620),$H620,IFERROR(TIMEVALUE($H620),VALUE($H620)))/100)*60+MOD(IF(ISNUMBER($H620),$H620,IFERROR(TIMEVALUE($H620),VALUE($H620))),100),IF(IF(ISNUMBER($H620),$H620,IFERROR(TIMEVALUE($H620),VALUE($H620)))&gt;=1,ROUND(IF(ISNUMBER($H620),$H620,IFERROR(TIMEVALUE($H620),VALUE($H620)))*60,0),ROUND(MOD(IF(ISNUMBER($H620),$H620,IFERROR(TIMEVALUE($H620),VALUE($H620))),1)*1440,0))),""))</f>
        <v/>
      </c>
      <c r="W620" s="52" t="str">
        <f aca="false">IF($I620="","",IFERROR(IF(IF(ISNUMBER($I620),$I620,IFERROR(TIMEVALUE($I620),VALUE($I620)))&gt;=100,INT(IF(ISNUMBER($I620),$I620,IFERROR(TIMEVALUE($I620),VALUE($I620)))/100)*60+MOD(IF(ISNUMBER($I620),$I620,IFERROR(TIMEVALUE($I620),VALUE($I620))),100),IF(IF(ISNUMBER($I620),$I620,IFERROR(TIMEVALUE($I620),VALUE($I620)))&gt;=1,ROUND(IF(ISNUMBER($I620),$I620,IFERROR(TIMEVALUE($I620),VALUE($I620)))*60,0),ROUND(MOD(IF(ISNUMBER($I620),$I620,IFERROR(TIMEVALUE($I620),VALUE($I620))),1)*1440,0))),""))</f>
        <v/>
      </c>
      <c r="X620" s="55" t="str">
        <f aca="false">IF($P620="","",IFERROR(IF(ISNUMBER($P620),IF($P620&gt;19000000,DATE(INT($P620/10000),MOD(INT($P620/100),100),MOD($P620,100)),INT($P620)),IF(LEN(SUBSTITUTE(SUBSTITUTE(SUBSTITUTE(TRIM($P620),"-",""),".",""),"/",""))=8,DATE(VALUE(LEFT(SUBSTITUTE(SUBSTITUTE(SUBSTITUTE(TRIM($P620),"-",""),".",""),"/",""),4)),VALUE(MID(SUBSTITUTE(SUBSTITUTE(SUBSTITUTE(TRIM($P620),"-",""),".",""),"/",""),5,2)),VALUE(RIGHT(SUBSTITUTE(SUBSTITUTE(SUBSTITUTE(TRIM($P620),"-",""),".",""),"/",""),2))),DATEVALUE($P620))),""))</f>
        <v/>
      </c>
      <c r="Y620" s="56" t="str">
        <f aca="false">IF($M620="","",IFERROR(INDEX(강사DB!$D$4:$D$53,MATCH($M620,강사DB!$A$4:$A$53,0)),""))</f>
        <v/>
      </c>
      <c r="Z620" s="56" t="str">
        <f aca="false">IF($B620&lt;&gt;"결제완료","",IF(OR($Y620="",$J620=""),"",$Y620*$J620+MAX(0,N($K620)-1)*설정!$J$7))</f>
        <v/>
      </c>
      <c r="AA620" s="56" t="str">
        <f aca="false">IF(AND($D620&lt;&gt;"",$B620="결제완료"),N($N620),"")</f>
        <v/>
      </c>
      <c r="AB620" s="45" t="str">
        <f aca="false">IF($D620="","",IF($F620&lt;&gt;"",$F620,$D620)&amp;IF($B620="상담중"," (상담)",""))</f>
        <v/>
      </c>
      <c r="AC620" s="45" t="n">
        <f aca="false">IF(AND($D620&lt;&gt;"",OR($B620="결제완료",$B620="상담중")),1,0)</f>
        <v>0</v>
      </c>
      <c r="AD620" s="45" t="n">
        <f aca="false">IF(OR($Z620="",$U620=""),0,IFERROR(IF(COUNTIFS(INDEX(g_grid,0,2*MATCH($M620,강사DB!$A$4:$A$15,0)),"&lt;&gt;",g_s,"&lt;="&amp;$U620,g_e,"&gt;="&amp;$U620)&gt;0,1,0),0))</f>
        <v>0</v>
      </c>
      <c r="AE620" s="48"/>
      <c r="AF620" s="56" t="str">
        <f aca="false">IF(AND($D620&lt;&gt;"",$B620="결제완료",$T620="대여"),설정!$J$5,"")</f>
        <v/>
      </c>
      <c r="AG620" s="54" t="str">
        <f aca="false">IF($D620="","",IF(AND($E620="",$R620=""),$AB620,"☎ "&amp;IF($E620="","-",$E620)&amp;IF($R620&lt;&gt;"","  ※ "&amp;$R620,"")&amp;IF($B620="상담중"," (상담)","")))</f>
        <v/>
      </c>
      <c r="AH620" s="56" t="str">
        <f aca="false">IF(AND($D620&lt;&gt;"",$B620="결제완료",$O620="스마트스토어"),ROUND(N($N620)*설정!$J$6,0),"")</f>
        <v/>
      </c>
      <c r="AI620" s="54" t="str">
        <f aca="false">IF($D620="","",ROW())</f>
        <v/>
      </c>
      <c r="AJ620" s="54" t="n">
        <f aca="false">IF(OR($AC620&lt;&gt;1,$M620=""),0,IF(ISNUMBER(SEARCH("퇴사",IFERROR(INDEX(강사DB!$G$4:$G$53,MATCH($M620,강사DB!$A$4:$A$53,0)),""))),1,0))</f>
        <v>0</v>
      </c>
    </row>
    <row r="621" customFormat="false" ht="15" hidden="false" customHeight="false" outlineLevel="0" collapsed="false">
      <c r="A621" s="45" t="str">
        <f aca="false">IF($D621="","",COUNTA($D$5:$D621))</f>
        <v/>
      </c>
      <c r="B621" s="46"/>
      <c r="C621" s="47"/>
      <c r="D621" s="48"/>
      <c r="E621" s="48"/>
      <c r="F621" s="49"/>
      <c r="G621" s="47"/>
      <c r="H621" s="50"/>
      <c r="I621" s="50"/>
      <c r="J621" s="51" t="str">
        <f aca="false">IF(OR($V621="",$W621=""),"",ROUND(($W621-$V621)/60,2))</f>
        <v/>
      </c>
      <c r="K621" s="52" t="str">
        <f aca="false">IF($F621="","",LEN($F621)-LEN(SUBSTITUTE($F621,",",""))+1)</f>
        <v/>
      </c>
      <c r="L621" s="45" t="str">
        <f aca="false">IF($K621="","","1:"&amp;$K621)</f>
        <v/>
      </c>
      <c r="M621" s="46"/>
      <c r="N621" s="53"/>
      <c r="O621" s="46"/>
      <c r="P621" s="47"/>
      <c r="Q621" s="48"/>
      <c r="R621" s="49"/>
      <c r="S621" s="54" t="str">
        <f aca="false">IF(OR($AC621=0,$U621="",$M621="",$V621="",$W621=""),"",IF(COUNTIFS(m_teacher,$M621,m_date,$U621,m_active,1,m_start,"&lt;"&amp;$W621,m_end,"&gt;"&amp;$V621)&gt;1,"충돌",""))</f>
        <v/>
      </c>
      <c r="T621" s="48"/>
      <c r="U621" s="55" t="str">
        <f aca="false">IF($G621="","",IFERROR(IF(ISNUMBER($G621),IF($G621&gt;19000000,DATE(INT($G621/10000),MOD(INT($G621/100),100),MOD($G621,100)),INT($G621)),IF(LEN(SUBSTITUTE(SUBSTITUTE(SUBSTITUTE(TRIM($G621),"-",""),".",""),"/",""))=8,DATE(VALUE(LEFT(SUBSTITUTE(SUBSTITUTE(SUBSTITUTE(TRIM($G621),"-",""),".",""),"/",""),4)),VALUE(MID(SUBSTITUTE(SUBSTITUTE(SUBSTITUTE(TRIM($G621),"-",""),".",""),"/",""),5,2)),VALUE(RIGHT(SUBSTITUTE(SUBSTITUTE(SUBSTITUTE(TRIM($G621),"-",""),".",""),"/",""),2))),DATEVALUE($G621))),""))</f>
        <v/>
      </c>
      <c r="V621" s="52" t="str">
        <f aca="false">IF($H621="","",IFERROR(IF(IF(ISNUMBER($H621),$H621,IFERROR(TIMEVALUE($H621),VALUE($H621)))&gt;=100,INT(IF(ISNUMBER($H621),$H621,IFERROR(TIMEVALUE($H621),VALUE($H621)))/100)*60+MOD(IF(ISNUMBER($H621),$H621,IFERROR(TIMEVALUE($H621),VALUE($H621))),100),IF(IF(ISNUMBER($H621),$H621,IFERROR(TIMEVALUE($H621),VALUE($H621)))&gt;=1,ROUND(IF(ISNUMBER($H621),$H621,IFERROR(TIMEVALUE($H621),VALUE($H621)))*60,0),ROUND(MOD(IF(ISNUMBER($H621),$H621,IFERROR(TIMEVALUE($H621),VALUE($H621))),1)*1440,0))),""))</f>
        <v/>
      </c>
      <c r="W621" s="52" t="str">
        <f aca="false">IF($I621="","",IFERROR(IF(IF(ISNUMBER($I621),$I621,IFERROR(TIMEVALUE($I621),VALUE($I621)))&gt;=100,INT(IF(ISNUMBER($I621),$I621,IFERROR(TIMEVALUE($I621),VALUE($I621)))/100)*60+MOD(IF(ISNUMBER($I621),$I621,IFERROR(TIMEVALUE($I621),VALUE($I621))),100),IF(IF(ISNUMBER($I621),$I621,IFERROR(TIMEVALUE($I621),VALUE($I621)))&gt;=1,ROUND(IF(ISNUMBER($I621),$I621,IFERROR(TIMEVALUE($I621),VALUE($I621)))*60,0),ROUND(MOD(IF(ISNUMBER($I621),$I621,IFERROR(TIMEVALUE($I621),VALUE($I621))),1)*1440,0))),""))</f>
        <v/>
      </c>
      <c r="X621" s="55" t="str">
        <f aca="false">IF($P621="","",IFERROR(IF(ISNUMBER($P621),IF($P621&gt;19000000,DATE(INT($P621/10000),MOD(INT($P621/100),100),MOD($P621,100)),INT($P621)),IF(LEN(SUBSTITUTE(SUBSTITUTE(SUBSTITUTE(TRIM($P621),"-",""),".",""),"/",""))=8,DATE(VALUE(LEFT(SUBSTITUTE(SUBSTITUTE(SUBSTITUTE(TRIM($P621),"-",""),".",""),"/",""),4)),VALUE(MID(SUBSTITUTE(SUBSTITUTE(SUBSTITUTE(TRIM($P621),"-",""),".",""),"/",""),5,2)),VALUE(RIGHT(SUBSTITUTE(SUBSTITUTE(SUBSTITUTE(TRIM($P621),"-",""),".",""),"/",""),2))),DATEVALUE($P621))),""))</f>
        <v/>
      </c>
      <c r="Y621" s="56" t="str">
        <f aca="false">IF($M621="","",IFERROR(INDEX(강사DB!$D$4:$D$53,MATCH($M621,강사DB!$A$4:$A$53,0)),""))</f>
        <v/>
      </c>
      <c r="Z621" s="56" t="str">
        <f aca="false">IF($B621&lt;&gt;"결제완료","",IF(OR($Y621="",$J621=""),"",$Y621*$J621+MAX(0,N($K621)-1)*설정!$J$7))</f>
        <v/>
      </c>
      <c r="AA621" s="56" t="str">
        <f aca="false">IF(AND($D621&lt;&gt;"",$B621="결제완료"),N($N621),"")</f>
        <v/>
      </c>
      <c r="AB621" s="45" t="str">
        <f aca="false">IF($D621="","",IF($F621&lt;&gt;"",$F621,$D621)&amp;IF($B621="상담중"," (상담)",""))</f>
        <v/>
      </c>
      <c r="AC621" s="45" t="n">
        <f aca="false">IF(AND($D621&lt;&gt;"",OR($B621="결제완료",$B621="상담중")),1,0)</f>
        <v>0</v>
      </c>
      <c r="AD621" s="45" t="n">
        <f aca="false">IF(OR($Z621="",$U621=""),0,IFERROR(IF(COUNTIFS(INDEX(g_grid,0,2*MATCH($M621,강사DB!$A$4:$A$15,0)),"&lt;&gt;",g_s,"&lt;="&amp;$U621,g_e,"&gt;="&amp;$U621)&gt;0,1,0),0))</f>
        <v>0</v>
      </c>
      <c r="AE621" s="48"/>
      <c r="AF621" s="56" t="str">
        <f aca="false">IF(AND($D621&lt;&gt;"",$B621="결제완료",$T621="대여"),설정!$J$5,"")</f>
        <v/>
      </c>
      <c r="AG621" s="54" t="str">
        <f aca="false">IF($D621="","",IF(AND($E621="",$R621=""),$AB621,"☎ "&amp;IF($E621="","-",$E621)&amp;IF($R621&lt;&gt;"","  ※ "&amp;$R621,"")&amp;IF($B621="상담중"," (상담)","")))</f>
        <v/>
      </c>
      <c r="AH621" s="56" t="str">
        <f aca="false">IF(AND($D621&lt;&gt;"",$B621="결제완료",$O621="스마트스토어"),ROUND(N($N621)*설정!$J$6,0),"")</f>
        <v/>
      </c>
      <c r="AI621" s="54" t="str">
        <f aca="false">IF($D621="","",ROW())</f>
        <v/>
      </c>
      <c r="AJ621" s="54" t="n">
        <f aca="false">IF(OR($AC621&lt;&gt;1,$M621=""),0,IF(ISNUMBER(SEARCH("퇴사",IFERROR(INDEX(강사DB!$G$4:$G$53,MATCH($M621,강사DB!$A$4:$A$53,0)),""))),1,0))</f>
        <v>0</v>
      </c>
    </row>
    <row r="622" customFormat="false" ht="15" hidden="false" customHeight="false" outlineLevel="0" collapsed="false">
      <c r="A622" s="45" t="str">
        <f aca="false">IF($D622="","",COUNTA($D$5:$D622))</f>
        <v/>
      </c>
      <c r="B622" s="46"/>
      <c r="C622" s="47"/>
      <c r="D622" s="48"/>
      <c r="E622" s="48"/>
      <c r="F622" s="49"/>
      <c r="G622" s="47"/>
      <c r="H622" s="50"/>
      <c r="I622" s="50"/>
      <c r="J622" s="51" t="str">
        <f aca="false">IF(OR($V622="",$W622=""),"",ROUND(($W622-$V622)/60,2))</f>
        <v/>
      </c>
      <c r="K622" s="52" t="str">
        <f aca="false">IF($F622="","",LEN($F622)-LEN(SUBSTITUTE($F622,",",""))+1)</f>
        <v/>
      </c>
      <c r="L622" s="45" t="str">
        <f aca="false">IF($K622="","","1:"&amp;$K622)</f>
        <v/>
      </c>
      <c r="M622" s="46"/>
      <c r="N622" s="53"/>
      <c r="O622" s="46"/>
      <c r="P622" s="47"/>
      <c r="Q622" s="48"/>
      <c r="R622" s="49"/>
      <c r="S622" s="54" t="str">
        <f aca="false">IF(OR($AC622=0,$U622="",$M622="",$V622="",$W622=""),"",IF(COUNTIFS(m_teacher,$M622,m_date,$U622,m_active,1,m_start,"&lt;"&amp;$W622,m_end,"&gt;"&amp;$V622)&gt;1,"충돌",""))</f>
        <v/>
      </c>
      <c r="T622" s="48"/>
      <c r="U622" s="55" t="str">
        <f aca="false">IF($G622="","",IFERROR(IF(ISNUMBER($G622),IF($G622&gt;19000000,DATE(INT($G622/10000),MOD(INT($G622/100),100),MOD($G622,100)),INT($G622)),IF(LEN(SUBSTITUTE(SUBSTITUTE(SUBSTITUTE(TRIM($G622),"-",""),".",""),"/",""))=8,DATE(VALUE(LEFT(SUBSTITUTE(SUBSTITUTE(SUBSTITUTE(TRIM($G622),"-",""),".",""),"/",""),4)),VALUE(MID(SUBSTITUTE(SUBSTITUTE(SUBSTITUTE(TRIM($G622),"-",""),".",""),"/",""),5,2)),VALUE(RIGHT(SUBSTITUTE(SUBSTITUTE(SUBSTITUTE(TRIM($G622),"-",""),".",""),"/",""),2))),DATEVALUE($G622))),""))</f>
        <v/>
      </c>
      <c r="V622" s="52" t="str">
        <f aca="false">IF($H622="","",IFERROR(IF(IF(ISNUMBER($H622),$H622,IFERROR(TIMEVALUE($H622),VALUE($H622)))&gt;=100,INT(IF(ISNUMBER($H622),$H622,IFERROR(TIMEVALUE($H622),VALUE($H622)))/100)*60+MOD(IF(ISNUMBER($H622),$H622,IFERROR(TIMEVALUE($H622),VALUE($H622))),100),IF(IF(ISNUMBER($H622),$H622,IFERROR(TIMEVALUE($H622),VALUE($H622)))&gt;=1,ROUND(IF(ISNUMBER($H622),$H622,IFERROR(TIMEVALUE($H622),VALUE($H622)))*60,0),ROUND(MOD(IF(ISNUMBER($H622),$H622,IFERROR(TIMEVALUE($H622),VALUE($H622))),1)*1440,0))),""))</f>
        <v/>
      </c>
      <c r="W622" s="52" t="str">
        <f aca="false">IF($I622="","",IFERROR(IF(IF(ISNUMBER($I622),$I622,IFERROR(TIMEVALUE($I622),VALUE($I622)))&gt;=100,INT(IF(ISNUMBER($I622),$I622,IFERROR(TIMEVALUE($I622),VALUE($I622)))/100)*60+MOD(IF(ISNUMBER($I622),$I622,IFERROR(TIMEVALUE($I622),VALUE($I622))),100),IF(IF(ISNUMBER($I622),$I622,IFERROR(TIMEVALUE($I622),VALUE($I622)))&gt;=1,ROUND(IF(ISNUMBER($I622),$I622,IFERROR(TIMEVALUE($I622),VALUE($I622)))*60,0),ROUND(MOD(IF(ISNUMBER($I622),$I622,IFERROR(TIMEVALUE($I622),VALUE($I622))),1)*1440,0))),""))</f>
        <v/>
      </c>
      <c r="X622" s="55" t="str">
        <f aca="false">IF($P622="","",IFERROR(IF(ISNUMBER($P622),IF($P622&gt;19000000,DATE(INT($P622/10000),MOD(INT($P622/100),100),MOD($P622,100)),INT($P622)),IF(LEN(SUBSTITUTE(SUBSTITUTE(SUBSTITUTE(TRIM($P622),"-",""),".",""),"/",""))=8,DATE(VALUE(LEFT(SUBSTITUTE(SUBSTITUTE(SUBSTITUTE(TRIM($P622),"-",""),".",""),"/",""),4)),VALUE(MID(SUBSTITUTE(SUBSTITUTE(SUBSTITUTE(TRIM($P622),"-",""),".",""),"/",""),5,2)),VALUE(RIGHT(SUBSTITUTE(SUBSTITUTE(SUBSTITUTE(TRIM($P622),"-",""),".",""),"/",""),2))),DATEVALUE($P622))),""))</f>
        <v/>
      </c>
      <c r="Y622" s="56" t="str">
        <f aca="false">IF($M622="","",IFERROR(INDEX(강사DB!$D$4:$D$53,MATCH($M622,강사DB!$A$4:$A$53,0)),""))</f>
        <v/>
      </c>
      <c r="Z622" s="56" t="str">
        <f aca="false">IF($B622&lt;&gt;"결제완료","",IF(OR($Y622="",$J622=""),"",$Y622*$J622+MAX(0,N($K622)-1)*설정!$J$7))</f>
        <v/>
      </c>
      <c r="AA622" s="56" t="str">
        <f aca="false">IF(AND($D622&lt;&gt;"",$B622="결제완료"),N($N622),"")</f>
        <v/>
      </c>
      <c r="AB622" s="45" t="str">
        <f aca="false">IF($D622="","",IF($F622&lt;&gt;"",$F622,$D622)&amp;IF($B622="상담중"," (상담)",""))</f>
        <v/>
      </c>
      <c r="AC622" s="45" t="n">
        <f aca="false">IF(AND($D622&lt;&gt;"",OR($B622="결제완료",$B622="상담중")),1,0)</f>
        <v>0</v>
      </c>
      <c r="AD622" s="45" t="n">
        <f aca="false">IF(OR($Z622="",$U622=""),0,IFERROR(IF(COUNTIFS(INDEX(g_grid,0,2*MATCH($M622,강사DB!$A$4:$A$15,0)),"&lt;&gt;",g_s,"&lt;="&amp;$U622,g_e,"&gt;="&amp;$U622)&gt;0,1,0),0))</f>
        <v>0</v>
      </c>
      <c r="AE622" s="48"/>
      <c r="AF622" s="56" t="str">
        <f aca="false">IF(AND($D622&lt;&gt;"",$B622="결제완료",$T622="대여"),설정!$J$5,"")</f>
        <v/>
      </c>
      <c r="AG622" s="54" t="str">
        <f aca="false">IF($D622="","",IF(AND($E622="",$R622=""),$AB622,"☎ "&amp;IF($E622="","-",$E622)&amp;IF($R622&lt;&gt;"","  ※ "&amp;$R622,"")&amp;IF($B622="상담중"," (상담)","")))</f>
        <v/>
      </c>
      <c r="AH622" s="56" t="str">
        <f aca="false">IF(AND($D622&lt;&gt;"",$B622="결제완료",$O622="스마트스토어"),ROUND(N($N622)*설정!$J$6,0),"")</f>
        <v/>
      </c>
      <c r="AI622" s="54" t="str">
        <f aca="false">IF($D622="","",ROW())</f>
        <v/>
      </c>
      <c r="AJ622" s="54" t="n">
        <f aca="false">IF(OR($AC622&lt;&gt;1,$M622=""),0,IF(ISNUMBER(SEARCH("퇴사",IFERROR(INDEX(강사DB!$G$4:$G$53,MATCH($M622,강사DB!$A$4:$A$53,0)),""))),1,0))</f>
        <v>0</v>
      </c>
    </row>
    <row r="623" customFormat="false" ht="15" hidden="false" customHeight="false" outlineLevel="0" collapsed="false">
      <c r="A623" s="45" t="str">
        <f aca="false">IF($D623="","",COUNTA($D$5:$D623))</f>
        <v/>
      </c>
      <c r="B623" s="46"/>
      <c r="C623" s="47"/>
      <c r="D623" s="48"/>
      <c r="E623" s="48"/>
      <c r="F623" s="49"/>
      <c r="G623" s="47"/>
      <c r="H623" s="50"/>
      <c r="I623" s="50"/>
      <c r="J623" s="51" t="str">
        <f aca="false">IF(OR($V623="",$W623=""),"",ROUND(($W623-$V623)/60,2))</f>
        <v/>
      </c>
      <c r="K623" s="52" t="str">
        <f aca="false">IF($F623="","",LEN($F623)-LEN(SUBSTITUTE($F623,",",""))+1)</f>
        <v/>
      </c>
      <c r="L623" s="45" t="str">
        <f aca="false">IF($K623="","","1:"&amp;$K623)</f>
        <v/>
      </c>
      <c r="M623" s="46"/>
      <c r="N623" s="53"/>
      <c r="O623" s="46"/>
      <c r="P623" s="47"/>
      <c r="Q623" s="48"/>
      <c r="R623" s="49"/>
      <c r="S623" s="54" t="str">
        <f aca="false">IF(OR($AC623=0,$U623="",$M623="",$V623="",$W623=""),"",IF(COUNTIFS(m_teacher,$M623,m_date,$U623,m_active,1,m_start,"&lt;"&amp;$W623,m_end,"&gt;"&amp;$V623)&gt;1,"충돌",""))</f>
        <v/>
      </c>
      <c r="T623" s="48"/>
      <c r="U623" s="55" t="str">
        <f aca="false">IF($G623="","",IFERROR(IF(ISNUMBER($G623),IF($G623&gt;19000000,DATE(INT($G623/10000),MOD(INT($G623/100),100),MOD($G623,100)),INT($G623)),IF(LEN(SUBSTITUTE(SUBSTITUTE(SUBSTITUTE(TRIM($G623),"-",""),".",""),"/",""))=8,DATE(VALUE(LEFT(SUBSTITUTE(SUBSTITUTE(SUBSTITUTE(TRIM($G623),"-",""),".",""),"/",""),4)),VALUE(MID(SUBSTITUTE(SUBSTITUTE(SUBSTITUTE(TRIM($G623),"-",""),".",""),"/",""),5,2)),VALUE(RIGHT(SUBSTITUTE(SUBSTITUTE(SUBSTITUTE(TRIM($G623),"-",""),".",""),"/",""),2))),DATEVALUE($G623))),""))</f>
        <v/>
      </c>
      <c r="V623" s="52" t="str">
        <f aca="false">IF($H623="","",IFERROR(IF(IF(ISNUMBER($H623),$H623,IFERROR(TIMEVALUE($H623),VALUE($H623)))&gt;=100,INT(IF(ISNUMBER($H623),$H623,IFERROR(TIMEVALUE($H623),VALUE($H623)))/100)*60+MOD(IF(ISNUMBER($H623),$H623,IFERROR(TIMEVALUE($H623),VALUE($H623))),100),IF(IF(ISNUMBER($H623),$H623,IFERROR(TIMEVALUE($H623),VALUE($H623)))&gt;=1,ROUND(IF(ISNUMBER($H623),$H623,IFERROR(TIMEVALUE($H623),VALUE($H623)))*60,0),ROUND(MOD(IF(ISNUMBER($H623),$H623,IFERROR(TIMEVALUE($H623),VALUE($H623))),1)*1440,0))),""))</f>
        <v/>
      </c>
      <c r="W623" s="52" t="str">
        <f aca="false">IF($I623="","",IFERROR(IF(IF(ISNUMBER($I623),$I623,IFERROR(TIMEVALUE($I623),VALUE($I623)))&gt;=100,INT(IF(ISNUMBER($I623),$I623,IFERROR(TIMEVALUE($I623),VALUE($I623)))/100)*60+MOD(IF(ISNUMBER($I623),$I623,IFERROR(TIMEVALUE($I623),VALUE($I623))),100),IF(IF(ISNUMBER($I623),$I623,IFERROR(TIMEVALUE($I623),VALUE($I623)))&gt;=1,ROUND(IF(ISNUMBER($I623),$I623,IFERROR(TIMEVALUE($I623),VALUE($I623)))*60,0),ROUND(MOD(IF(ISNUMBER($I623),$I623,IFERROR(TIMEVALUE($I623),VALUE($I623))),1)*1440,0))),""))</f>
        <v/>
      </c>
      <c r="X623" s="55" t="str">
        <f aca="false">IF($P623="","",IFERROR(IF(ISNUMBER($P623),IF($P623&gt;19000000,DATE(INT($P623/10000),MOD(INT($P623/100),100),MOD($P623,100)),INT($P623)),IF(LEN(SUBSTITUTE(SUBSTITUTE(SUBSTITUTE(TRIM($P623),"-",""),".",""),"/",""))=8,DATE(VALUE(LEFT(SUBSTITUTE(SUBSTITUTE(SUBSTITUTE(TRIM($P623),"-",""),".",""),"/",""),4)),VALUE(MID(SUBSTITUTE(SUBSTITUTE(SUBSTITUTE(TRIM($P623),"-",""),".",""),"/",""),5,2)),VALUE(RIGHT(SUBSTITUTE(SUBSTITUTE(SUBSTITUTE(TRIM($P623),"-",""),".",""),"/",""),2))),DATEVALUE($P623))),""))</f>
        <v/>
      </c>
      <c r="Y623" s="56" t="str">
        <f aca="false">IF($M623="","",IFERROR(INDEX(강사DB!$D$4:$D$53,MATCH($M623,강사DB!$A$4:$A$53,0)),""))</f>
        <v/>
      </c>
      <c r="Z623" s="56" t="str">
        <f aca="false">IF($B623&lt;&gt;"결제완료","",IF(OR($Y623="",$J623=""),"",$Y623*$J623+MAX(0,N($K623)-1)*설정!$J$7))</f>
        <v/>
      </c>
      <c r="AA623" s="56" t="str">
        <f aca="false">IF(AND($D623&lt;&gt;"",$B623="결제완료"),N($N623),"")</f>
        <v/>
      </c>
      <c r="AB623" s="45" t="str">
        <f aca="false">IF($D623="","",IF($F623&lt;&gt;"",$F623,$D623)&amp;IF($B623="상담중"," (상담)",""))</f>
        <v/>
      </c>
      <c r="AC623" s="45" t="n">
        <f aca="false">IF(AND($D623&lt;&gt;"",OR($B623="결제완료",$B623="상담중")),1,0)</f>
        <v>0</v>
      </c>
      <c r="AD623" s="45" t="n">
        <f aca="false">IF(OR($Z623="",$U623=""),0,IFERROR(IF(COUNTIFS(INDEX(g_grid,0,2*MATCH($M623,강사DB!$A$4:$A$15,0)),"&lt;&gt;",g_s,"&lt;="&amp;$U623,g_e,"&gt;="&amp;$U623)&gt;0,1,0),0))</f>
        <v>0</v>
      </c>
      <c r="AE623" s="48"/>
      <c r="AF623" s="56" t="str">
        <f aca="false">IF(AND($D623&lt;&gt;"",$B623="결제완료",$T623="대여"),설정!$J$5,"")</f>
        <v/>
      </c>
      <c r="AG623" s="54" t="str">
        <f aca="false">IF($D623="","",IF(AND($E623="",$R623=""),$AB623,"☎ "&amp;IF($E623="","-",$E623)&amp;IF($R623&lt;&gt;"","  ※ "&amp;$R623,"")&amp;IF($B623="상담중"," (상담)","")))</f>
        <v/>
      </c>
      <c r="AH623" s="56" t="str">
        <f aca="false">IF(AND($D623&lt;&gt;"",$B623="결제완료",$O623="스마트스토어"),ROUND(N($N623)*설정!$J$6,0),"")</f>
        <v/>
      </c>
      <c r="AI623" s="54" t="str">
        <f aca="false">IF($D623="","",ROW())</f>
        <v/>
      </c>
      <c r="AJ623" s="54" t="n">
        <f aca="false">IF(OR($AC623&lt;&gt;1,$M623=""),0,IF(ISNUMBER(SEARCH("퇴사",IFERROR(INDEX(강사DB!$G$4:$G$53,MATCH($M623,강사DB!$A$4:$A$53,0)),""))),1,0))</f>
        <v>0</v>
      </c>
    </row>
    <row r="624" customFormat="false" ht="15" hidden="false" customHeight="false" outlineLevel="0" collapsed="false">
      <c r="A624" s="45" t="str">
        <f aca="false">IF($D624="","",COUNTA($D$5:$D624))</f>
        <v/>
      </c>
      <c r="B624" s="46"/>
      <c r="C624" s="47"/>
      <c r="D624" s="48"/>
      <c r="E624" s="48"/>
      <c r="F624" s="49"/>
      <c r="G624" s="47"/>
      <c r="H624" s="50"/>
      <c r="I624" s="50"/>
      <c r="J624" s="51" t="str">
        <f aca="false">IF(OR($V624="",$W624=""),"",ROUND(($W624-$V624)/60,2))</f>
        <v/>
      </c>
      <c r="K624" s="52" t="str">
        <f aca="false">IF($F624="","",LEN($F624)-LEN(SUBSTITUTE($F624,",",""))+1)</f>
        <v/>
      </c>
      <c r="L624" s="45" t="str">
        <f aca="false">IF($K624="","","1:"&amp;$K624)</f>
        <v/>
      </c>
      <c r="M624" s="46"/>
      <c r="N624" s="53"/>
      <c r="O624" s="46"/>
      <c r="P624" s="47"/>
      <c r="Q624" s="48"/>
      <c r="R624" s="49"/>
      <c r="S624" s="54" t="str">
        <f aca="false">IF(OR($AC624=0,$U624="",$M624="",$V624="",$W624=""),"",IF(COUNTIFS(m_teacher,$M624,m_date,$U624,m_active,1,m_start,"&lt;"&amp;$W624,m_end,"&gt;"&amp;$V624)&gt;1,"충돌",""))</f>
        <v/>
      </c>
      <c r="T624" s="48"/>
      <c r="U624" s="55" t="str">
        <f aca="false">IF($G624="","",IFERROR(IF(ISNUMBER($G624),IF($G624&gt;19000000,DATE(INT($G624/10000),MOD(INT($G624/100),100),MOD($G624,100)),INT($G624)),IF(LEN(SUBSTITUTE(SUBSTITUTE(SUBSTITUTE(TRIM($G624),"-",""),".",""),"/",""))=8,DATE(VALUE(LEFT(SUBSTITUTE(SUBSTITUTE(SUBSTITUTE(TRIM($G624),"-",""),".",""),"/",""),4)),VALUE(MID(SUBSTITUTE(SUBSTITUTE(SUBSTITUTE(TRIM($G624),"-",""),".",""),"/",""),5,2)),VALUE(RIGHT(SUBSTITUTE(SUBSTITUTE(SUBSTITUTE(TRIM($G624),"-",""),".",""),"/",""),2))),DATEVALUE($G624))),""))</f>
        <v/>
      </c>
      <c r="V624" s="52" t="str">
        <f aca="false">IF($H624="","",IFERROR(IF(IF(ISNUMBER($H624),$H624,IFERROR(TIMEVALUE($H624),VALUE($H624)))&gt;=100,INT(IF(ISNUMBER($H624),$H624,IFERROR(TIMEVALUE($H624),VALUE($H624)))/100)*60+MOD(IF(ISNUMBER($H624),$H624,IFERROR(TIMEVALUE($H624),VALUE($H624))),100),IF(IF(ISNUMBER($H624),$H624,IFERROR(TIMEVALUE($H624),VALUE($H624)))&gt;=1,ROUND(IF(ISNUMBER($H624),$H624,IFERROR(TIMEVALUE($H624),VALUE($H624)))*60,0),ROUND(MOD(IF(ISNUMBER($H624),$H624,IFERROR(TIMEVALUE($H624),VALUE($H624))),1)*1440,0))),""))</f>
        <v/>
      </c>
      <c r="W624" s="52" t="str">
        <f aca="false">IF($I624="","",IFERROR(IF(IF(ISNUMBER($I624),$I624,IFERROR(TIMEVALUE($I624),VALUE($I624)))&gt;=100,INT(IF(ISNUMBER($I624),$I624,IFERROR(TIMEVALUE($I624),VALUE($I624)))/100)*60+MOD(IF(ISNUMBER($I624),$I624,IFERROR(TIMEVALUE($I624),VALUE($I624))),100),IF(IF(ISNUMBER($I624),$I624,IFERROR(TIMEVALUE($I624),VALUE($I624)))&gt;=1,ROUND(IF(ISNUMBER($I624),$I624,IFERROR(TIMEVALUE($I624),VALUE($I624)))*60,0),ROUND(MOD(IF(ISNUMBER($I624),$I624,IFERROR(TIMEVALUE($I624),VALUE($I624))),1)*1440,0))),""))</f>
        <v/>
      </c>
      <c r="X624" s="55" t="str">
        <f aca="false">IF($P624="","",IFERROR(IF(ISNUMBER($P624),IF($P624&gt;19000000,DATE(INT($P624/10000),MOD(INT($P624/100),100),MOD($P624,100)),INT($P624)),IF(LEN(SUBSTITUTE(SUBSTITUTE(SUBSTITUTE(TRIM($P624),"-",""),".",""),"/",""))=8,DATE(VALUE(LEFT(SUBSTITUTE(SUBSTITUTE(SUBSTITUTE(TRIM($P624),"-",""),".",""),"/",""),4)),VALUE(MID(SUBSTITUTE(SUBSTITUTE(SUBSTITUTE(TRIM($P624),"-",""),".",""),"/",""),5,2)),VALUE(RIGHT(SUBSTITUTE(SUBSTITUTE(SUBSTITUTE(TRIM($P624),"-",""),".",""),"/",""),2))),DATEVALUE($P624))),""))</f>
        <v/>
      </c>
      <c r="Y624" s="56" t="str">
        <f aca="false">IF($M624="","",IFERROR(INDEX(강사DB!$D$4:$D$53,MATCH($M624,강사DB!$A$4:$A$53,0)),""))</f>
        <v/>
      </c>
      <c r="Z624" s="56" t="str">
        <f aca="false">IF($B624&lt;&gt;"결제완료","",IF(OR($Y624="",$J624=""),"",$Y624*$J624+MAX(0,N($K624)-1)*설정!$J$7))</f>
        <v/>
      </c>
      <c r="AA624" s="56" t="str">
        <f aca="false">IF(AND($D624&lt;&gt;"",$B624="결제완료"),N($N624),"")</f>
        <v/>
      </c>
      <c r="AB624" s="45" t="str">
        <f aca="false">IF($D624="","",IF($F624&lt;&gt;"",$F624,$D624)&amp;IF($B624="상담중"," (상담)",""))</f>
        <v/>
      </c>
      <c r="AC624" s="45" t="n">
        <f aca="false">IF(AND($D624&lt;&gt;"",OR($B624="결제완료",$B624="상담중")),1,0)</f>
        <v>0</v>
      </c>
      <c r="AD624" s="45" t="n">
        <f aca="false">IF(OR($Z624="",$U624=""),0,IFERROR(IF(COUNTIFS(INDEX(g_grid,0,2*MATCH($M624,강사DB!$A$4:$A$15,0)),"&lt;&gt;",g_s,"&lt;="&amp;$U624,g_e,"&gt;="&amp;$U624)&gt;0,1,0),0))</f>
        <v>0</v>
      </c>
      <c r="AE624" s="48"/>
      <c r="AF624" s="56" t="str">
        <f aca="false">IF(AND($D624&lt;&gt;"",$B624="결제완료",$T624="대여"),설정!$J$5,"")</f>
        <v/>
      </c>
      <c r="AG624" s="54" t="str">
        <f aca="false">IF($D624="","",IF(AND($E624="",$R624=""),$AB624,"☎ "&amp;IF($E624="","-",$E624)&amp;IF($R624&lt;&gt;"","  ※ "&amp;$R624,"")&amp;IF($B624="상담중"," (상담)","")))</f>
        <v/>
      </c>
      <c r="AH624" s="56" t="str">
        <f aca="false">IF(AND($D624&lt;&gt;"",$B624="결제완료",$O624="스마트스토어"),ROUND(N($N624)*설정!$J$6,0),"")</f>
        <v/>
      </c>
      <c r="AI624" s="54" t="str">
        <f aca="false">IF($D624="","",ROW())</f>
        <v/>
      </c>
      <c r="AJ624" s="54" t="n">
        <f aca="false">IF(OR($AC624&lt;&gt;1,$M624=""),0,IF(ISNUMBER(SEARCH("퇴사",IFERROR(INDEX(강사DB!$G$4:$G$53,MATCH($M624,강사DB!$A$4:$A$53,0)),""))),1,0))</f>
        <v>0</v>
      </c>
    </row>
    <row r="625" customFormat="false" ht="15" hidden="false" customHeight="false" outlineLevel="0" collapsed="false">
      <c r="A625" s="45" t="str">
        <f aca="false">IF($D625="","",COUNTA($D$5:$D625))</f>
        <v/>
      </c>
      <c r="B625" s="46"/>
      <c r="C625" s="47"/>
      <c r="D625" s="48"/>
      <c r="E625" s="48"/>
      <c r="F625" s="49"/>
      <c r="G625" s="47"/>
      <c r="H625" s="50"/>
      <c r="I625" s="50"/>
      <c r="J625" s="51" t="str">
        <f aca="false">IF(OR($V625="",$W625=""),"",ROUND(($W625-$V625)/60,2))</f>
        <v/>
      </c>
      <c r="K625" s="52" t="str">
        <f aca="false">IF($F625="","",LEN($F625)-LEN(SUBSTITUTE($F625,",",""))+1)</f>
        <v/>
      </c>
      <c r="L625" s="45" t="str">
        <f aca="false">IF($K625="","","1:"&amp;$K625)</f>
        <v/>
      </c>
      <c r="M625" s="46"/>
      <c r="N625" s="53"/>
      <c r="O625" s="46"/>
      <c r="P625" s="47"/>
      <c r="Q625" s="48"/>
      <c r="R625" s="49"/>
      <c r="S625" s="54" t="str">
        <f aca="false">IF(OR($AC625=0,$U625="",$M625="",$V625="",$W625=""),"",IF(COUNTIFS(m_teacher,$M625,m_date,$U625,m_active,1,m_start,"&lt;"&amp;$W625,m_end,"&gt;"&amp;$V625)&gt;1,"충돌",""))</f>
        <v/>
      </c>
      <c r="T625" s="48"/>
      <c r="U625" s="55" t="str">
        <f aca="false">IF($G625="","",IFERROR(IF(ISNUMBER($G625),IF($G625&gt;19000000,DATE(INT($G625/10000),MOD(INT($G625/100),100),MOD($G625,100)),INT($G625)),IF(LEN(SUBSTITUTE(SUBSTITUTE(SUBSTITUTE(TRIM($G625),"-",""),".",""),"/",""))=8,DATE(VALUE(LEFT(SUBSTITUTE(SUBSTITUTE(SUBSTITUTE(TRIM($G625),"-",""),".",""),"/",""),4)),VALUE(MID(SUBSTITUTE(SUBSTITUTE(SUBSTITUTE(TRIM($G625),"-",""),".",""),"/",""),5,2)),VALUE(RIGHT(SUBSTITUTE(SUBSTITUTE(SUBSTITUTE(TRIM($G625),"-",""),".",""),"/",""),2))),DATEVALUE($G625))),""))</f>
        <v/>
      </c>
      <c r="V625" s="52" t="str">
        <f aca="false">IF($H625="","",IFERROR(IF(IF(ISNUMBER($H625),$H625,IFERROR(TIMEVALUE($H625),VALUE($H625)))&gt;=100,INT(IF(ISNUMBER($H625),$H625,IFERROR(TIMEVALUE($H625),VALUE($H625)))/100)*60+MOD(IF(ISNUMBER($H625),$H625,IFERROR(TIMEVALUE($H625),VALUE($H625))),100),IF(IF(ISNUMBER($H625),$H625,IFERROR(TIMEVALUE($H625),VALUE($H625)))&gt;=1,ROUND(IF(ISNUMBER($H625),$H625,IFERROR(TIMEVALUE($H625),VALUE($H625)))*60,0),ROUND(MOD(IF(ISNUMBER($H625),$H625,IFERROR(TIMEVALUE($H625),VALUE($H625))),1)*1440,0))),""))</f>
        <v/>
      </c>
      <c r="W625" s="52" t="str">
        <f aca="false">IF($I625="","",IFERROR(IF(IF(ISNUMBER($I625),$I625,IFERROR(TIMEVALUE($I625),VALUE($I625)))&gt;=100,INT(IF(ISNUMBER($I625),$I625,IFERROR(TIMEVALUE($I625),VALUE($I625)))/100)*60+MOD(IF(ISNUMBER($I625),$I625,IFERROR(TIMEVALUE($I625),VALUE($I625))),100),IF(IF(ISNUMBER($I625),$I625,IFERROR(TIMEVALUE($I625),VALUE($I625)))&gt;=1,ROUND(IF(ISNUMBER($I625),$I625,IFERROR(TIMEVALUE($I625),VALUE($I625)))*60,0),ROUND(MOD(IF(ISNUMBER($I625),$I625,IFERROR(TIMEVALUE($I625),VALUE($I625))),1)*1440,0))),""))</f>
        <v/>
      </c>
      <c r="X625" s="55" t="str">
        <f aca="false">IF($P625="","",IFERROR(IF(ISNUMBER($P625),IF($P625&gt;19000000,DATE(INT($P625/10000),MOD(INT($P625/100),100),MOD($P625,100)),INT($P625)),IF(LEN(SUBSTITUTE(SUBSTITUTE(SUBSTITUTE(TRIM($P625),"-",""),".",""),"/",""))=8,DATE(VALUE(LEFT(SUBSTITUTE(SUBSTITUTE(SUBSTITUTE(TRIM($P625),"-",""),".",""),"/",""),4)),VALUE(MID(SUBSTITUTE(SUBSTITUTE(SUBSTITUTE(TRIM($P625),"-",""),".",""),"/",""),5,2)),VALUE(RIGHT(SUBSTITUTE(SUBSTITUTE(SUBSTITUTE(TRIM($P625),"-",""),".",""),"/",""),2))),DATEVALUE($P625))),""))</f>
        <v/>
      </c>
      <c r="Y625" s="56" t="str">
        <f aca="false">IF($M625="","",IFERROR(INDEX(강사DB!$D$4:$D$53,MATCH($M625,강사DB!$A$4:$A$53,0)),""))</f>
        <v/>
      </c>
      <c r="Z625" s="56" t="str">
        <f aca="false">IF($B625&lt;&gt;"결제완료","",IF(OR($Y625="",$J625=""),"",$Y625*$J625+MAX(0,N($K625)-1)*설정!$J$7))</f>
        <v/>
      </c>
      <c r="AA625" s="56" t="str">
        <f aca="false">IF(AND($D625&lt;&gt;"",$B625="결제완료"),N($N625),"")</f>
        <v/>
      </c>
      <c r="AB625" s="45" t="str">
        <f aca="false">IF($D625="","",IF($F625&lt;&gt;"",$F625,$D625)&amp;IF($B625="상담중"," (상담)",""))</f>
        <v/>
      </c>
      <c r="AC625" s="45" t="n">
        <f aca="false">IF(AND($D625&lt;&gt;"",OR($B625="결제완료",$B625="상담중")),1,0)</f>
        <v>0</v>
      </c>
      <c r="AD625" s="45" t="n">
        <f aca="false">IF(OR($Z625="",$U625=""),0,IFERROR(IF(COUNTIFS(INDEX(g_grid,0,2*MATCH($M625,강사DB!$A$4:$A$15,0)),"&lt;&gt;",g_s,"&lt;="&amp;$U625,g_e,"&gt;="&amp;$U625)&gt;0,1,0),0))</f>
        <v>0</v>
      </c>
      <c r="AE625" s="48"/>
      <c r="AF625" s="56" t="str">
        <f aca="false">IF(AND($D625&lt;&gt;"",$B625="결제완료",$T625="대여"),설정!$J$5,"")</f>
        <v/>
      </c>
      <c r="AG625" s="54" t="str">
        <f aca="false">IF($D625="","",IF(AND($E625="",$R625=""),$AB625,"☎ "&amp;IF($E625="","-",$E625)&amp;IF($R625&lt;&gt;"","  ※ "&amp;$R625,"")&amp;IF($B625="상담중"," (상담)","")))</f>
        <v/>
      </c>
      <c r="AH625" s="56" t="str">
        <f aca="false">IF(AND($D625&lt;&gt;"",$B625="결제완료",$O625="스마트스토어"),ROUND(N($N625)*설정!$J$6,0),"")</f>
        <v/>
      </c>
      <c r="AI625" s="54" t="str">
        <f aca="false">IF($D625="","",ROW())</f>
        <v/>
      </c>
      <c r="AJ625" s="54" t="n">
        <f aca="false">IF(OR($AC625&lt;&gt;1,$M625=""),0,IF(ISNUMBER(SEARCH("퇴사",IFERROR(INDEX(강사DB!$G$4:$G$53,MATCH($M625,강사DB!$A$4:$A$53,0)),""))),1,0))</f>
        <v>0</v>
      </c>
    </row>
    <row r="626" customFormat="false" ht="15" hidden="false" customHeight="false" outlineLevel="0" collapsed="false">
      <c r="A626" s="45" t="str">
        <f aca="false">IF($D626="","",COUNTA($D$5:$D626))</f>
        <v/>
      </c>
      <c r="B626" s="46"/>
      <c r="C626" s="47"/>
      <c r="D626" s="48"/>
      <c r="E626" s="48"/>
      <c r="F626" s="49"/>
      <c r="G626" s="47"/>
      <c r="H626" s="50"/>
      <c r="I626" s="50"/>
      <c r="J626" s="51" t="str">
        <f aca="false">IF(OR($V626="",$W626=""),"",ROUND(($W626-$V626)/60,2))</f>
        <v/>
      </c>
      <c r="K626" s="52" t="str">
        <f aca="false">IF($F626="","",LEN($F626)-LEN(SUBSTITUTE($F626,",",""))+1)</f>
        <v/>
      </c>
      <c r="L626" s="45" t="str">
        <f aca="false">IF($K626="","","1:"&amp;$K626)</f>
        <v/>
      </c>
      <c r="M626" s="46"/>
      <c r="N626" s="53"/>
      <c r="O626" s="46"/>
      <c r="P626" s="47"/>
      <c r="Q626" s="48"/>
      <c r="R626" s="49"/>
      <c r="S626" s="54" t="str">
        <f aca="false">IF(OR($AC626=0,$U626="",$M626="",$V626="",$W626=""),"",IF(COUNTIFS(m_teacher,$M626,m_date,$U626,m_active,1,m_start,"&lt;"&amp;$W626,m_end,"&gt;"&amp;$V626)&gt;1,"충돌",""))</f>
        <v/>
      </c>
      <c r="T626" s="48"/>
      <c r="U626" s="55" t="str">
        <f aca="false">IF($G626="","",IFERROR(IF(ISNUMBER($G626),IF($G626&gt;19000000,DATE(INT($G626/10000),MOD(INT($G626/100),100),MOD($G626,100)),INT($G626)),IF(LEN(SUBSTITUTE(SUBSTITUTE(SUBSTITUTE(TRIM($G626),"-",""),".",""),"/",""))=8,DATE(VALUE(LEFT(SUBSTITUTE(SUBSTITUTE(SUBSTITUTE(TRIM($G626),"-",""),".",""),"/",""),4)),VALUE(MID(SUBSTITUTE(SUBSTITUTE(SUBSTITUTE(TRIM($G626),"-",""),".",""),"/",""),5,2)),VALUE(RIGHT(SUBSTITUTE(SUBSTITUTE(SUBSTITUTE(TRIM($G626),"-",""),".",""),"/",""),2))),DATEVALUE($G626))),""))</f>
        <v/>
      </c>
      <c r="V626" s="52" t="str">
        <f aca="false">IF($H626="","",IFERROR(IF(IF(ISNUMBER($H626),$H626,IFERROR(TIMEVALUE($H626),VALUE($H626)))&gt;=100,INT(IF(ISNUMBER($H626),$H626,IFERROR(TIMEVALUE($H626),VALUE($H626)))/100)*60+MOD(IF(ISNUMBER($H626),$H626,IFERROR(TIMEVALUE($H626),VALUE($H626))),100),IF(IF(ISNUMBER($H626),$H626,IFERROR(TIMEVALUE($H626),VALUE($H626)))&gt;=1,ROUND(IF(ISNUMBER($H626),$H626,IFERROR(TIMEVALUE($H626),VALUE($H626)))*60,0),ROUND(MOD(IF(ISNUMBER($H626),$H626,IFERROR(TIMEVALUE($H626),VALUE($H626))),1)*1440,0))),""))</f>
        <v/>
      </c>
      <c r="W626" s="52" t="str">
        <f aca="false">IF($I626="","",IFERROR(IF(IF(ISNUMBER($I626),$I626,IFERROR(TIMEVALUE($I626),VALUE($I626)))&gt;=100,INT(IF(ISNUMBER($I626),$I626,IFERROR(TIMEVALUE($I626),VALUE($I626)))/100)*60+MOD(IF(ISNUMBER($I626),$I626,IFERROR(TIMEVALUE($I626),VALUE($I626))),100),IF(IF(ISNUMBER($I626),$I626,IFERROR(TIMEVALUE($I626),VALUE($I626)))&gt;=1,ROUND(IF(ISNUMBER($I626),$I626,IFERROR(TIMEVALUE($I626),VALUE($I626)))*60,0),ROUND(MOD(IF(ISNUMBER($I626),$I626,IFERROR(TIMEVALUE($I626),VALUE($I626))),1)*1440,0))),""))</f>
        <v/>
      </c>
      <c r="X626" s="55" t="str">
        <f aca="false">IF($P626="","",IFERROR(IF(ISNUMBER($P626),IF($P626&gt;19000000,DATE(INT($P626/10000),MOD(INT($P626/100),100),MOD($P626,100)),INT($P626)),IF(LEN(SUBSTITUTE(SUBSTITUTE(SUBSTITUTE(TRIM($P626),"-",""),".",""),"/",""))=8,DATE(VALUE(LEFT(SUBSTITUTE(SUBSTITUTE(SUBSTITUTE(TRIM($P626),"-",""),".",""),"/",""),4)),VALUE(MID(SUBSTITUTE(SUBSTITUTE(SUBSTITUTE(TRIM($P626),"-",""),".",""),"/",""),5,2)),VALUE(RIGHT(SUBSTITUTE(SUBSTITUTE(SUBSTITUTE(TRIM($P626),"-",""),".",""),"/",""),2))),DATEVALUE($P626))),""))</f>
        <v/>
      </c>
      <c r="Y626" s="56" t="str">
        <f aca="false">IF($M626="","",IFERROR(INDEX(강사DB!$D$4:$D$53,MATCH($M626,강사DB!$A$4:$A$53,0)),""))</f>
        <v/>
      </c>
      <c r="Z626" s="56" t="str">
        <f aca="false">IF($B626&lt;&gt;"결제완료","",IF(OR($Y626="",$J626=""),"",$Y626*$J626+MAX(0,N($K626)-1)*설정!$J$7))</f>
        <v/>
      </c>
      <c r="AA626" s="56" t="str">
        <f aca="false">IF(AND($D626&lt;&gt;"",$B626="결제완료"),N($N626),"")</f>
        <v/>
      </c>
      <c r="AB626" s="45" t="str">
        <f aca="false">IF($D626="","",IF($F626&lt;&gt;"",$F626,$D626)&amp;IF($B626="상담중"," (상담)",""))</f>
        <v/>
      </c>
      <c r="AC626" s="45" t="n">
        <f aca="false">IF(AND($D626&lt;&gt;"",OR($B626="결제완료",$B626="상담중")),1,0)</f>
        <v>0</v>
      </c>
      <c r="AD626" s="45" t="n">
        <f aca="false">IF(OR($Z626="",$U626=""),0,IFERROR(IF(COUNTIFS(INDEX(g_grid,0,2*MATCH($M626,강사DB!$A$4:$A$15,0)),"&lt;&gt;",g_s,"&lt;="&amp;$U626,g_e,"&gt;="&amp;$U626)&gt;0,1,0),0))</f>
        <v>0</v>
      </c>
      <c r="AE626" s="48"/>
      <c r="AF626" s="56" t="str">
        <f aca="false">IF(AND($D626&lt;&gt;"",$B626="결제완료",$T626="대여"),설정!$J$5,"")</f>
        <v/>
      </c>
      <c r="AG626" s="54" t="str">
        <f aca="false">IF($D626="","",IF(AND($E626="",$R626=""),$AB626,"☎ "&amp;IF($E626="","-",$E626)&amp;IF($R626&lt;&gt;"","  ※ "&amp;$R626,"")&amp;IF($B626="상담중"," (상담)","")))</f>
        <v/>
      </c>
      <c r="AH626" s="56" t="str">
        <f aca="false">IF(AND($D626&lt;&gt;"",$B626="결제완료",$O626="스마트스토어"),ROUND(N($N626)*설정!$J$6,0),"")</f>
        <v/>
      </c>
      <c r="AI626" s="54" t="str">
        <f aca="false">IF($D626="","",ROW())</f>
        <v/>
      </c>
      <c r="AJ626" s="54" t="n">
        <f aca="false">IF(OR($AC626&lt;&gt;1,$M626=""),0,IF(ISNUMBER(SEARCH("퇴사",IFERROR(INDEX(강사DB!$G$4:$G$53,MATCH($M626,강사DB!$A$4:$A$53,0)),""))),1,0))</f>
        <v>0</v>
      </c>
    </row>
    <row r="627" customFormat="false" ht="15" hidden="false" customHeight="false" outlineLevel="0" collapsed="false">
      <c r="A627" s="45" t="str">
        <f aca="false">IF($D627="","",COUNTA($D$5:$D627))</f>
        <v/>
      </c>
      <c r="B627" s="46"/>
      <c r="C627" s="47"/>
      <c r="D627" s="48"/>
      <c r="E627" s="48"/>
      <c r="F627" s="49"/>
      <c r="G627" s="47"/>
      <c r="H627" s="50"/>
      <c r="I627" s="50"/>
      <c r="J627" s="51" t="str">
        <f aca="false">IF(OR($V627="",$W627=""),"",ROUND(($W627-$V627)/60,2))</f>
        <v/>
      </c>
      <c r="K627" s="52" t="str">
        <f aca="false">IF($F627="","",LEN($F627)-LEN(SUBSTITUTE($F627,",",""))+1)</f>
        <v/>
      </c>
      <c r="L627" s="45" t="str">
        <f aca="false">IF($K627="","","1:"&amp;$K627)</f>
        <v/>
      </c>
      <c r="M627" s="46"/>
      <c r="N627" s="53"/>
      <c r="O627" s="46"/>
      <c r="P627" s="47"/>
      <c r="Q627" s="48"/>
      <c r="R627" s="49"/>
      <c r="S627" s="54" t="str">
        <f aca="false">IF(OR($AC627=0,$U627="",$M627="",$V627="",$W627=""),"",IF(COUNTIFS(m_teacher,$M627,m_date,$U627,m_active,1,m_start,"&lt;"&amp;$W627,m_end,"&gt;"&amp;$V627)&gt;1,"충돌",""))</f>
        <v/>
      </c>
      <c r="T627" s="48"/>
      <c r="U627" s="55" t="str">
        <f aca="false">IF($G627="","",IFERROR(IF(ISNUMBER($G627),IF($G627&gt;19000000,DATE(INT($G627/10000),MOD(INT($G627/100),100),MOD($G627,100)),INT($G627)),IF(LEN(SUBSTITUTE(SUBSTITUTE(SUBSTITUTE(TRIM($G627),"-",""),".",""),"/",""))=8,DATE(VALUE(LEFT(SUBSTITUTE(SUBSTITUTE(SUBSTITUTE(TRIM($G627),"-",""),".",""),"/",""),4)),VALUE(MID(SUBSTITUTE(SUBSTITUTE(SUBSTITUTE(TRIM($G627),"-",""),".",""),"/",""),5,2)),VALUE(RIGHT(SUBSTITUTE(SUBSTITUTE(SUBSTITUTE(TRIM($G627),"-",""),".",""),"/",""),2))),DATEVALUE($G627))),""))</f>
        <v/>
      </c>
      <c r="V627" s="52" t="str">
        <f aca="false">IF($H627="","",IFERROR(IF(IF(ISNUMBER($H627),$H627,IFERROR(TIMEVALUE($H627),VALUE($H627)))&gt;=100,INT(IF(ISNUMBER($H627),$H627,IFERROR(TIMEVALUE($H627),VALUE($H627)))/100)*60+MOD(IF(ISNUMBER($H627),$H627,IFERROR(TIMEVALUE($H627),VALUE($H627))),100),IF(IF(ISNUMBER($H627),$H627,IFERROR(TIMEVALUE($H627),VALUE($H627)))&gt;=1,ROUND(IF(ISNUMBER($H627),$H627,IFERROR(TIMEVALUE($H627),VALUE($H627)))*60,0),ROUND(MOD(IF(ISNUMBER($H627),$H627,IFERROR(TIMEVALUE($H627),VALUE($H627))),1)*1440,0))),""))</f>
        <v/>
      </c>
      <c r="W627" s="52" t="str">
        <f aca="false">IF($I627="","",IFERROR(IF(IF(ISNUMBER($I627),$I627,IFERROR(TIMEVALUE($I627),VALUE($I627)))&gt;=100,INT(IF(ISNUMBER($I627),$I627,IFERROR(TIMEVALUE($I627),VALUE($I627)))/100)*60+MOD(IF(ISNUMBER($I627),$I627,IFERROR(TIMEVALUE($I627),VALUE($I627))),100),IF(IF(ISNUMBER($I627),$I627,IFERROR(TIMEVALUE($I627),VALUE($I627)))&gt;=1,ROUND(IF(ISNUMBER($I627),$I627,IFERROR(TIMEVALUE($I627),VALUE($I627)))*60,0),ROUND(MOD(IF(ISNUMBER($I627),$I627,IFERROR(TIMEVALUE($I627),VALUE($I627))),1)*1440,0))),""))</f>
        <v/>
      </c>
      <c r="X627" s="55" t="str">
        <f aca="false">IF($P627="","",IFERROR(IF(ISNUMBER($P627),IF($P627&gt;19000000,DATE(INT($P627/10000),MOD(INT($P627/100),100),MOD($P627,100)),INT($P627)),IF(LEN(SUBSTITUTE(SUBSTITUTE(SUBSTITUTE(TRIM($P627),"-",""),".",""),"/",""))=8,DATE(VALUE(LEFT(SUBSTITUTE(SUBSTITUTE(SUBSTITUTE(TRIM($P627),"-",""),".",""),"/",""),4)),VALUE(MID(SUBSTITUTE(SUBSTITUTE(SUBSTITUTE(TRIM($P627),"-",""),".",""),"/",""),5,2)),VALUE(RIGHT(SUBSTITUTE(SUBSTITUTE(SUBSTITUTE(TRIM($P627),"-",""),".",""),"/",""),2))),DATEVALUE($P627))),""))</f>
        <v/>
      </c>
      <c r="Y627" s="56" t="str">
        <f aca="false">IF($M627="","",IFERROR(INDEX(강사DB!$D$4:$D$53,MATCH($M627,강사DB!$A$4:$A$53,0)),""))</f>
        <v/>
      </c>
      <c r="Z627" s="56" t="str">
        <f aca="false">IF($B627&lt;&gt;"결제완료","",IF(OR($Y627="",$J627=""),"",$Y627*$J627+MAX(0,N($K627)-1)*설정!$J$7))</f>
        <v/>
      </c>
      <c r="AA627" s="56" t="str">
        <f aca="false">IF(AND($D627&lt;&gt;"",$B627="결제완료"),N($N627),"")</f>
        <v/>
      </c>
      <c r="AB627" s="45" t="str">
        <f aca="false">IF($D627="","",IF($F627&lt;&gt;"",$F627,$D627)&amp;IF($B627="상담중"," (상담)",""))</f>
        <v/>
      </c>
      <c r="AC627" s="45" t="n">
        <f aca="false">IF(AND($D627&lt;&gt;"",OR($B627="결제완료",$B627="상담중")),1,0)</f>
        <v>0</v>
      </c>
      <c r="AD627" s="45" t="n">
        <f aca="false">IF(OR($Z627="",$U627=""),0,IFERROR(IF(COUNTIFS(INDEX(g_grid,0,2*MATCH($M627,강사DB!$A$4:$A$15,0)),"&lt;&gt;",g_s,"&lt;="&amp;$U627,g_e,"&gt;="&amp;$U627)&gt;0,1,0),0))</f>
        <v>0</v>
      </c>
      <c r="AE627" s="48"/>
      <c r="AF627" s="56" t="str">
        <f aca="false">IF(AND($D627&lt;&gt;"",$B627="결제완료",$T627="대여"),설정!$J$5,"")</f>
        <v/>
      </c>
      <c r="AG627" s="54" t="str">
        <f aca="false">IF($D627="","",IF(AND($E627="",$R627=""),$AB627,"☎ "&amp;IF($E627="","-",$E627)&amp;IF($R627&lt;&gt;"","  ※ "&amp;$R627,"")&amp;IF($B627="상담중"," (상담)","")))</f>
        <v/>
      </c>
      <c r="AH627" s="56" t="str">
        <f aca="false">IF(AND($D627&lt;&gt;"",$B627="결제완료",$O627="스마트스토어"),ROUND(N($N627)*설정!$J$6,0),"")</f>
        <v/>
      </c>
      <c r="AI627" s="54" t="str">
        <f aca="false">IF($D627="","",ROW())</f>
        <v/>
      </c>
      <c r="AJ627" s="54" t="n">
        <f aca="false">IF(OR($AC627&lt;&gt;1,$M627=""),0,IF(ISNUMBER(SEARCH("퇴사",IFERROR(INDEX(강사DB!$G$4:$G$53,MATCH($M627,강사DB!$A$4:$A$53,0)),""))),1,0))</f>
        <v>0</v>
      </c>
    </row>
    <row r="628" customFormat="false" ht="15" hidden="false" customHeight="false" outlineLevel="0" collapsed="false">
      <c r="A628" s="45" t="str">
        <f aca="false">IF($D628="","",COUNTA($D$5:$D628))</f>
        <v/>
      </c>
      <c r="B628" s="46"/>
      <c r="C628" s="47"/>
      <c r="D628" s="48"/>
      <c r="E628" s="48"/>
      <c r="F628" s="49"/>
      <c r="G628" s="47"/>
      <c r="H628" s="50"/>
      <c r="I628" s="50"/>
      <c r="J628" s="51" t="str">
        <f aca="false">IF(OR($V628="",$W628=""),"",ROUND(($W628-$V628)/60,2))</f>
        <v/>
      </c>
      <c r="K628" s="52" t="str">
        <f aca="false">IF($F628="","",LEN($F628)-LEN(SUBSTITUTE($F628,",",""))+1)</f>
        <v/>
      </c>
      <c r="L628" s="45" t="str">
        <f aca="false">IF($K628="","","1:"&amp;$K628)</f>
        <v/>
      </c>
      <c r="M628" s="46"/>
      <c r="N628" s="53"/>
      <c r="O628" s="46"/>
      <c r="P628" s="47"/>
      <c r="Q628" s="48"/>
      <c r="R628" s="49"/>
      <c r="S628" s="54" t="str">
        <f aca="false">IF(OR($AC628=0,$U628="",$M628="",$V628="",$W628=""),"",IF(COUNTIFS(m_teacher,$M628,m_date,$U628,m_active,1,m_start,"&lt;"&amp;$W628,m_end,"&gt;"&amp;$V628)&gt;1,"충돌",""))</f>
        <v/>
      </c>
      <c r="T628" s="48"/>
      <c r="U628" s="55" t="str">
        <f aca="false">IF($G628="","",IFERROR(IF(ISNUMBER($G628),IF($G628&gt;19000000,DATE(INT($G628/10000),MOD(INT($G628/100),100),MOD($G628,100)),INT($G628)),IF(LEN(SUBSTITUTE(SUBSTITUTE(SUBSTITUTE(TRIM($G628),"-",""),".",""),"/",""))=8,DATE(VALUE(LEFT(SUBSTITUTE(SUBSTITUTE(SUBSTITUTE(TRIM($G628),"-",""),".",""),"/",""),4)),VALUE(MID(SUBSTITUTE(SUBSTITUTE(SUBSTITUTE(TRIM($G628),"-",""),".",""),"/",""),5,2)),VALUE(RIGHT(SUBSTITUTE(SUBSTITUTE(SUBSTITUTE(TRIM($G628),"-",""),".",""),"/",""),2))),DATEVALUE($G628))),""))</f>
        <v/>
      </c>
      <c r="V628" s="52" t="str">
        <f aca="false">IF($H628="","",IFERROR(IF(IF(ISNUMBER($H628),$H628,IFERROR(TIMEVALUE($H628),VALUE($H628)))&gt;=100,INT(IF(ISNUMBER($H628),$H628,IFERROR(TIMEVALUE($H628),VALUE($H628)))/100)*60+MOD(IF(ISNUMBER($H628),$H628,IFERROR(TIMEVALUE($H628),VALUE($H628))),100),IF(IF(ISNUMBER($H628),$H628,IFERROR(TIMEVALUE($H628),VALUE($H628)))&gt;=1,ROUND(IF(ISNUMBER($H628),$H628,IFERROR(TIMEVALUE($H628),VALUE($H628)))*60,0),ROUND(MOD(IF(ISNUMBER($H628),$H628,IFERROR(TIMEVALUE($H628),VALUE($H628))),1)*1440,0))),""))</f>
        <v/>
      </c>
      <c r="W628" s="52" t="str">
        <f aca="false">IF($I628="","",IFERROR(IF(IF(ISNUMBER($I628),$I628,IFERROR(TIMEVALUE($I628),VALUE($I628)))&gt;=100,INT(IF(ISNUMBER($I628),$I628,IFERROR(TIMEVALUE($I628),VALUE($I628)))/100)*60+MOD(IF(ISNUMBER($I628),$I628,IFERROR(TIMEVALUE($I628),VALUE($I628))),100),IF(IF(ISNUMBER($I628),$I628,IFERROR(TIMEVALUE($I628),VALUE($I628)))&gt;=1,ROUND(IF(ISNUMBER($I628),$I628,IFERROR(TIMEVALUE($I628),VALUE($I628)))*60,0),ROUND(MOD(IF(ISNUMBER($I628),$I628,IFERROR(TIMEVALUE($I628),VALUE($I628))),1)*1440,0))),""))</f>
        <v/>
      </c>
      <c r="X628" s="55" t="str">
        <f aca="false">IF($P628="","",IFERROR(IF(ISNUMBER($P628),IF($P628&gt;19000000,DATE(INT($P628/10000),MOD(INT($P628/100),100),MOD($P628,100)),INT($P628)),IF(LEN(SUBSTITUTE(SUBSTITUTE(SUBSTITUTE(TRIM($P628),"-",""),".",""),"/",""))=8,DATE(VALUE(LEFT(SUBSTITUTE(SUBSTITUTE(SUBSTITUTE(TRIM($P628),"-",""),".",""),"/",""),4)),VALUE(MID(SUBSTITUTE(SUBSTITUTE(SUBSTITUTE(TRIM($P628),"-",""),".",""),"/",""),5,2)),VALUE(RIGHT(SUBSTITUTE(SUBSTITUTE(SUBSTITUTE(TRIM($P628),"-",""),".",""),"/",""),2))),DATEVALUE($P628))),""))</f>
        <v/>
      </c>
      <c r="Y628" s="56" t="str">
        <f aca="false">IF($M628="","",IFERROR(INDEX(강사DB!$D$4:$D$53,MATCH($M628,강사DB!$A$4:$A$53,0)),""))</f>
        <v/>
      </c>
      <c r="Z628" s="56" t="str">
        <f aca="false">IF($B628&lt;&gt;"결제완료","",IF(OR($Y628="",$J628=""),"",$Y628*$J628+MAX(0,N($K628)-1)*설정!$J$7))</f>
        <v/>
      </c>
      <c r="AA628" s="56" t="str">
        <f aca="false">IF(AND($D628&lt;&gt;"",$B628="결제완료"),N($N628),"")</f>
        <v/>
      </c>
      <c r="AB628" s="45" t="str">
        <f aca="false">IF($D628="","",IF($F628&lt;&gt;"",$F628,$D628)&amp;IF($B628="상담중"," (상담)",""))</f>
        <v/>
      </c>
      <c r="AC628" s="45" t="n">
        <f aca="false">IF(AND($D628&lt;&gt;"",OR($B628="결제완료",$B628="상담중")),1,0)</f>
        <v>0</v>
      </c>
      <c r="AD628" s="45" t="n">
        <f aca="false">IF(OR($Z628="",$U628=""),0,IFERROR(IF(COUNTIFS(INDEX(g_grid,0,2*MATCH($M628,강사DB!$A$4:$A$15,0)),"&lt;&gt;",g_s,"&lt;="&amp;$U628,g_e,"&gt;="&amp;$U628)&gt;0,1,0),0))</f>
        <v>0</v>
      </c>
      <c r="AE628" s="48"/>
      <c r="AF628" s="56" t="str">
        <f aca="false">IF(AND($D628&lt;&gt;"",$B628="결제완료",$T628="대여"),설정!$J$5,"")</f>
        <v/>
      </c>
      <c r="AG628" s="54" t="str">
        <f aca="false">IF($D628="","",IF(AND($E628="",$R628=""),$AB628,"☎ "&amp;IF($E628="","-",$E628)&amp;IF($R628&lt;&gt;"","  ※ "&amp;$R628,"")&amp;IF($B628="상담중"," (상담)","")))</f>
        <v/>
      </c>
      <c r="AH628" s="56" t="str">
        <f aca="false">IF(AND($D628&lt;&gt;"",$B628="결제완료",$O628="스마트스토어"),ROUND(N($N628)*설정!$J$6,0),"")</f>
        <v/>
      </c>
      <c r="AI628" s="54" t="str">
        <f aca="false">IF($D628="","",ROW())</f>
        <v/>
      </c>
      <c r="AJ628" s="54" t="n">
        <f aca="false">IF(OR($AC628&lt;&gt;1,$M628=""),0,IF(ISNUMBER(SEARCH("퇴사",IFERROR(INDEX(강사DB!$G$4:$G$53,MATCH($M628,강사DB!$A$4:$A$53,0)),""))),1,0))</f>
        <v>0</v>
      </c>
    </row>
    <row r="629" customFormat="false" ht="15" hidden="false" customHeight="false" outlineLevel="0" collapsed="false">
      <c r="A629" s="45" t="str">
        <f aca="false">IF($D629="","",COUNTA($D$5:$D629))</f>
        <v/>
      </c>
      <c r="B629" s="46"/>
      <c r="C629" s="47"/>
      <c r="D629" s="48"/>
      <c r="E629" s="48"/>
      <c r="F629" s="49"/>
      <c r="G629" s="47"/>
      <c r="H629" s="50"/>
      <c r="I629" s="50"/>
      <c r="J629" s="51" t="str">
        <f aca="false">IF(OR($V629="",$W629=""),"",ROUND(($W629-$V629)/60,2))</f>
        <v/>
      </c>
      <c r="K629" s="52" t="str">
        <f aca="false">IF($F629="","",LEN($F629)-LEN(SUBSTITUTE($F629,",",""))+1)</f>
        <v/>
      </c>
      <c r="L629" s="45" t="str">
        <f aca="false">IF($K629="","","1:"&amp;$K629)</f>
        <v/>
      </c>
      <c r="M629" s="46"/>
      <c r="N629" s="53"/>
      <c r="O629" s="46"/>
      <c r="P629" s="47"/>
      <c r="Q629" s="48"/>
      <c r="R629" s="49"/>
      <c r="S629" s="54" t="str">
        <f aca="false">IF(OR($AC629=0,$U629="",$M629="",$V629="",$W629=""),"",IF(COUNTIFS(m_teacher,$M629,m_date,$U629,m_active,1,m_start,"&lt;"&amp;$W629,m_end,"&gt;"&amp;$V629)&gt;1,"충돌",""))</f>
        <v/>
      </c>
      <c r="T629" s="48"/>
      <c r="U629" s="55" t="str">
        <f aca="false">IF($G629="","",IFERROR(IF(ISNUMBER($G629),IF($G629&gt;19000000,DATE(INT($G629/10000),MOD(INT($G629/100),100),MOD($G629,100)),INT($G629)),IF(LEN(SUBSTITUTE(SUBSTITUTE(SUBSTITUTE(TRIM($G629),"-",""),".",""),"/",""))=8,DATE(VALUE(LEFT(SUBSTITUTE(SUBSTITUTE(SUBSTITUTE(TRIM($G629),"-",""),".",""),"/",""),4)),VALUE(MID(SUBSTITUTE(SUBSTITUTE(SUBSTITUTE(TRIM($G629),"-",""),".",""),"/",""),5,2)),VALUE(RIGHT(SUBSTITUTE(SUBSTITUTE(SUBSTITUTE(TRIM($G629),"-",""),".",""),"/",""),2))),DATEVALUE($G629))),""))</f>
        <v/>
      </c>
      <c r="V629" s="52" t="str">
        <f aca="false">IF($H629="","",IFERROR(IF(IF(ISNUMBER($H629),$H629,IFERROR(TIMEVALUE($H629),VALUE($H629)))&gt;=100,INT(IF(ISNUMBER($H629),$H629,IFERROR(TIMEVALUE($H629),VALUE($H629)))/100)*60+MOD(IF(ISNUMBER($H629),$H629,IFERROR(TIMEVALUE($H629),VALUE($H629))),100),IF(IF(ISNUMBER($H629),$H629,IFERROR(TIMEVALUE($H629),VALUE($H629)))&gt;=1,ROUND(IF(ISNUMBER($H629),$H629,IFERROR(TIMEVALUE($H629),VALUE($H629)))*60,0),ROUND(MOD(IF(ISNUMBER($H629),$H629,IFERROR(TIMEVALUE($H629),VALUE($H629))),1)*1440,0))),""))</f>
        <v/>
      </c>
      <c r="W629" s="52" t="str">
        <f aca="false">IF($I629="","",IFERROR(IF(IF(ISNUMBER($I629),$I629,IFERROR(TIMEVALUE($I629),VALUE($I629)))&gt;=100,INT(IF(ISNUMBER($I629),$I629,IFERROR(TIMEVALUE($I629),VALUE($I629)))/100)*60+MOD(IF(ISNUMBER($I629),$I629,IFERROR(TIMEVALUE($I629),VALUE($I629))),100),IF(IF(ISNUMBER($I629),$I629,IFERROR(TIMEVALUE($I629),VALUE($I629)))&gt;=1,ROUND(IF(ISNUMBER($I629),$I629,IFERROR(TIMEVALUE($I629),VALUE($I629)))*60,0),ROUND(MOD(IF(ISNUMBER($I629),$I629,IFERROR(TIMEVALUE($I629),VALUE($I629))),1)*1440,0))),""))</f>
        <v/>
      </c>
      <c r="X629" s="55" t="str">
        <f aca="false">IF($P629="","",IFERROR(IF(ISNUMBER($P629),IF($P629&gt;19000000,DATE(INT($P629/10000),MOD(INT($P629/100),100),MOD($P629,100)),INT($P629)),IF(LEN(SUBSTITUTE(SUBSTITUTE(SUBSTITUTE(TRIM($P629),"-",""),".",""),"/",""))=8,DATE(VALUE(LEFT(SUBSTITUTE(SUBSTITUTE(SUBSTITUTE(TRIM($P629),"-",""),".",""),"/",""),4)),VALUE(MID(SUBSTITUTE(SUBSTITUTE(SUBSTITUTE(TRIM($P629),"-",""),".",""),"/",""),5,2)),VALUE(RIGHT(SUBSTITUTE(SUBSTITUTE(SUBSTITUTE(TRIM($P629),"-",""),".",""),"/",""),2))),DATEVALUE($P629))),""))</f>
        <v/>
      </c>
      <c r="Y629" s="56" t="str">
        <f aca="false">IF($M629="","",IFERROR(INDEX(강사DB!$D$4:$D$53,MATCH($M629,강사DB!$A$4:$A$53,0)),""))</f>
        <v/>
      </c>
      <c r="Z629" s="56" t="str">
        <f aca="false">IF($B629&lt;&gt;"결제완료","",IF(OR($Y629="",$J629=""),"",$Y629*$J629+MAX(0,N($K629)-1)*설정!$J$7))</f>
        <v/>
      </c>
      <c r="AA629" s="56" t="str">
        <f aca="false">IF(AND($D629&lt;&gt;"",$B629="결제완료"),N($N629),"")</f>
        <v/>
      </c>
      <c r="AB629" s="45" t="str">
        <f aca="false">IF($D629="","",IF($F629&lt;&gt;"",$F629,$D629)&amp;IF($B629="상담중"," (상담)",""))</f>
        <v/>
      </c>
      <c r="AC629" s="45" t="n">
        <f aca="false">IF(AND($D629&lt;&gt;"",OR($B629="결제완료",$B629="상담중")),1,0)</f>
        <v>0</v>
      </c>
      <c r="AD629" s="45" t="n">
        <f aca="false">IF(OR($Z629="",$U629=""),0,IFERROR(IF(COUNTIFS(INDEX(g_grid,0,2*MATCH($M629,강사DB!$A$4:$A$15,0)),"&lt;&gt;",g_s,"&lt;="&amp;$U629,g_e,"&gt;="&amp;$U629)&gt;0,1,0),0))</f>
        <v>0</v>
      </c>
      <c r="AE629" s="48"/>
      <c r="AF629" s="56" t="str">
        <f aca="false">IF(AND($D629&lt;&gt;"",$B629="결제완료",$T629="대여"),설정!$J$5,"")</f>
        <v/>
      </c>
      <c r="AG629" s="54" t="str">
        <f aca="false">IF($D629="","",IF(AND($E629="",$R629=""),$AB629,"☎ "&amp;IF($E629="","-",$E629)&amp;IF($R629&lt;&gt;"","  ※ "&amp;$R629,"")&amp;IF($B629="상담중"," (상담)","")))</f>
        <v/>
      </c>
      <c r="AH629" s="56" t="str">
        <f aca="false">IF(AND($D629&lt;&gt;"",$B629="결제완료",$O629="스마트스토어"),ROUND(N($N629)*설정!$J$6,0),"")</f>
        <v/>
      </c>
      <c r="AI629" s="54" t="str">
        <f aca="false">IF($D629="","",ROW())</f>
        <v/>
      </c>
      <c r="AJ629" s="54" t="n">
        <f aca="false">IF(OR($AC629&lt;&gt;1,$M629=""),0,IF(ISNUMBER(SEARCH("퇴사",IFERROR(INDEX(강사DB!$G$4:$G$53,MATCH($M629,강사DB!$A$4:$A$53,0)),""))),1,0))</f>
        <v>0</v>
      </c>
    </row>
    <row r="630" customFormat="false" ht="15" hidden="false" customHeight="false" outlineLevel="0" collapsed="false">
      <c r="A630" s="45" t="str">
        <f aca="false">IF($D630="","",COUNTA($D$5:$D630))</f>
        <v/>
      </c>
      <c r="B630" s="46"/>
      <c r="C630" s="47"/>
      <c r="D630" s="48"/>
      <c r="E630" s="48"/>
      <c r="F630" s="49"/>
      <c r="G630" s="47"/>
      <c r="H630" s="50"/>
      <c r="I630" s="50"/>
      <c r="J630" s="51" t="str">
        <f aca="false">IF(OR($V630="",$W630=""),"",ROUND(($W630-$V630)/60,2))</f>
        <v/>
      </c>
      <c r="K630" s="52" t="str">
        <f aca="false">IF($F630="","",LEN($F630)-LEN(SUBSTITUTE($F630,",",""))+1)</f>
        <v/>
      </c>
      <c r="L630" s="45" t="str">
        <f aca="false">IF($K630="","","1:"&amp;$K630)</f>
        <v/>
      </c>
      <c r="M630" s="46"/>
      <c r="N630" s="53"/>
      <c r="O630" s="46"/>
      <c r="P630" s="47"/>
      <c r="Q630" s="48"/>
      <c r="R630" s="49"/>
      <c r="S630" s="54" t="str">
        <f aca="false">IF(OR($AC630=0,$U630="",$M630="",$V630="",$W630=""),"",IF(COUNTIFS(m_teacher,$M630,m_date,$U630,m_active,1,m_start,"&lt;"&amp;$W630,m_end,"&gt;"&amp;$V630)&gt;1,"충돌",""))</f>
        <v/>
      </c>
      <c r="T630" s="48"/>
      <c r="U630" s="55" t="str">
        <f aca="false">IF($G630="","",IFERROR(IF(ISNUMBER($G630),IF($G630&gt;19000000,DATE(INT($G630/10000),MOD(INT($G630/100),100),MOD($G630,100)),INT($G630)),IF(LEN(SUBSTITUTE(SUBSTITUTE(SUBSTITUTE(TRIM($G630),"-",""),".",""),"/",""))=8,DATE(VALUE(LEFT(SUBSTITUTE(SUBSTITUTE(SUBSTITUTE(TRIM($G630),"-",""),".",""),"/",""),4)),VALUE(MID(SUBSTITUTE(SUBSTITUTE(SUBSTITUTE(TRIM($G630),"-",""),".",""),"/",""),5,2)),VALUE(RIGHT(SUBSTITUTE(SUBSTITUTE(SUBSTITUTE(TRIM($G630),"-",""),".",""),"/",""),2))),DATEVALUE($G630))),""))</f>
        <v/>
      </c>
      <c r="V630" s="52" t="str">
        <f aca="false">IF($H630="","",IFERROR(IF(IF(ISNUMBER($H630),$H630,IFERROR(TIMEVALUE($H630),VALUE($H630)))&gt;=100,INT(IF(ISNUMBER($H630),$H630,IFERROR(TIMEVALUE($H630),VALUE($H630)))/100)*60+MOD(IF(ISNUMBER($H630),$H630,IFERROR(TIMEVALUE($H630),VALUE($H630))),100),IF(IF(ISNUMBER($H630),$H630,IFERROR(TIMEVALUE($H630),VALUE($H630)))&gt;=1,ROUND(IF(ISNUMBER($H630),$H630,IFERROR(TIMEVALUE($H630),VALUE($H630)))*60,0),ROUND(MOD(IF(ISNUMBER($H630),$H630,IFERROR(TIMEVALUE($H630),VALUE($H630))),1)*1440,0))),""))</f>
        <v/>
      </c>
      <c r="W630" s="52" t="str">
        <f aca="false">IF($I630="","",IFERROR(IF(IF(ISNUMBER($I630),$I630,IFERROR(TIMEVALUE($I630),VALUE($I630)))&gt;=100,INT(IF(ISNUMBER($I630),$I630,IFERROR(TIMEVALUE($I630),VALUE($I630)))/100)*60+MOD(IF(ISNUMBER($I630),$I630,IFERROR(TIMEVALUE($I630),VALUE($I630))),100),IF(IF(ISNUMBER($I630),$I630,IFERROR(TIMEVALUE($I630),VALUE($I630)))&gt;=1,ROUND(IF(ISNUMBER($I630),$I630,IFERROR(TIMEVALUE($I630),VALUE($I630)))*60,0),ROUND(MOD(IF(ISNUMBER($I630),$I630,IFERROR(TIMEVALUE($I630),VALUE($I630))),1)*1440,0))),""))</f>
        <v/>
      </c>
      <c r="X630" s="55" t="str">
        <f aca="false">IF($P630="","",IFERROR(IF(ISNUMBER($P630),IF($P630&gt;19000000,DATE(INT($P630/10000),MOD(INT($P630/100),100),MOD($P630,100)),INT($P630)),IF(LEN(SUBSTITUTE(SUBSTITUTE(SUBSTITUTE(TRIM($P630),"-",""),".",""),"/",""))=8,DATE(VALUE(LEFT(SUBSTITUTE(SUBSTITUTE(SUBSTITUTE(TRIM($P630),"-",""),".",""),"/",""),4)),VALUE(MID(SUBSTITUTE(SUBSTITUTE(SUBSTITUTE(TRIM($P630),"-",""),".",""),"/",""),5,2)),VALUE(RIGHT(SUBSTITUTE(SUBSTITUTE(SUBSTITUTE(TRIM($P630),"-",""),".",""),"/",""),2))),DATEVALUE($P630))),""))</f>
        <v/>
      </c>
      <c r="Y630" s="56" t="str">
        <f aca="false">IF($M630="","",IFERROR(INDEX(강사DB!$D$4:$D$53,MATCH($M630,강사DB!$A$4:$A$53,0)),""))</f>
        <v/>
      </c>
      <c r="Z630" s="56" t="str">
        <f aca="false">IF($B630&lt;&gt;"결제완료","",IF(OR($Y630="",$J630=""),"",$Y630*$J630+MAX(0,N($K630)-1)*설정!$J$7))</f>
        <v/>
      </c>
      <c r="AA630" s="56" t="str">
        <f aca="false">IF(AND($D630&lt;&gt;"",$B630="결제완료"),N($N630),"")</f>
        <v/>
      </c>
      <c r="AB630" s="45" t="str">
        <f aca="false">IF($D630="","",IF($F630&lt;&gt;"",$F630,$D630)&amp;IF($B630="상담중"," (상담)",""))</f>
        <v/>
      </c>
      <c r="AC630" s="45" t="n">
        <f aca="false">IF(AND($D630&lt;&gt;"",OR($B630="결제완료",$B630="상담중")),1,0)</f>
        <v>0</v>
      </c>
      <c r="AD630" s="45" t="n">
        <f aca="false">IF(OR($Z630="",$U630=""),0,IFERROR(IF(COUNTIFS(INDEX(g_grid,0,2*MATCH($M630,강사DB!$A$4:$A$15,0)),"&lt;&gt;",g_s,"&lt;="&amp;$U630,g_e,"&gt;="&amp;$U630)&gt;0,1,0),0))</f>
        <v>0</v>
      </c>
      <c r="AE630" s="48"/>
      <c r="AF630" s="56" t="str">
        <f aca="false">IF(AND($D630&lt;&gt;"",$B630="결제완료",$T630="대여"),설정!$J$5,"")</f>
        <v/>
      </c>
      <c r="AG630" s="54" t="str">
        <f aca="false">IF($D630="","",IF(AND($E630="",$R630=""),$AB630,"☎ "&amp;IF($E630="","-",$E630)&amp;IF($R630&lt;&gt;"","  ※ "&amp;$R630,"")&amp;IF($B630="상담중"," (상담)","")))</f>
        <v/>
      </c>
      <c r="AH630" s="56" t="str">
        <f aca="false">IF(AND($D630&lt;&gt;"",$B630="결제완료",$O630="스마트스토어"),ROUND(N($N630)*설정!$J$6,0),"")</f>
        <v/>
      </c>
      <c r="AI630" s="54" t="str">
        <f aca="false">IF($D630="","",ROW())</f>
        <v/>
      </c>
      <c r="AJ630" s="54" t="n">
        <f aca="false">IF(OR($AC630&lt;&gt;1,$M630=""),0,IF(ISNUMBER(SEARCH("퇴사",IFERROR(INDEX(강사DB!$G$4:$G$53,MATCH($M630,강사DB!$A$4:$A$53,0)),""))),1,0))</f>
        <v>0</v>
      </c>
    </row>
    <row r="631" customFormat="false" ht="15" hidden="false" customHeight="false" outlineLevel="0" collapsed="false">
      <c r="A631" s="45" t="str">
        <f aca="false">IF($D631="","",COUNTA($D$5:$D631))</f>
        <v/>
      </c>
      <c r="B631" s="46"/>
      <c r="C631" s="47"/>
      <c r="D631" s="48"/>
      <c r="E631" s="48"/>
      <c r="F631" s="49"/>
      <c r="G631" s="47"/>
      <c r="H631" s="50"/>
      <c r="I631" s="50"/>
      <c r="J631" s="51" t="str">
        <f aca="false">IF(OR($V631="",$W631=""),"",ROUND(($W631-$V631)/60,2))</f>
        <v/>
      </c>
      <c r="K631" s="52" t="str">
        <f aca="false">IF($F631="","",LEN($F631)-LEN(SUBSTITUTE($F631,",",""))+1)</f>
        <v/>
      </c>
      <c r="L631" s="45" t="str">
        <f aca="false">IF($K631="","","1:"&amp;$K631)</f>
        <v/>
      </c>
      <c r="M631" s="46"/>
      <c r="N631" s="53"/>
      <c r="O631" s="46"/>
      <c r="P631" s="47"/>
      <c r="Q631" s="48"/>
      <c r="R631" s="49"/>
      <c r="S631" s="54" t="str">
        <f aca="false">IF(OR($AC631=0,$U631="",$M631="",$V631="",$W631=""),"",IF(COUNTIFS(m_teacher,$M631,m_date,$U631,m_active,1,m_start,"&lt;"&amp;$W631,m_end,"&gt;"&amp;$V631)&gt;1,"충돌",""))</f>
        <v/>
      </c>
      <c r="T631" s="48"/>
      <c r="U631" s="55" t="str">
        <f aca="false">IF($G631="","",IFERROR(IF(ISNUMBER($G631),IF($G631&gt;19000000,DATE(INT($G631/10000),MOD(INT($G631/100),100),MOD($G631,100)),INT($G631)),IF(LEN(SUBSTITUTE(SUBSTITUTE(SUBSTITUTE(TRIM($G631),"-",""),".",""),"/",""))=8,DATE(VALUE(LEFT(SUBSTITUTE(SUBSTITUTE(SUBSTITUTE(TRIM($G631),"-",""),".",""),"/",""),4)),VALUE(MID(SUBSTITUTE(SUBSTITUTE(SUBSTITUTE(TRIM($G631),"-",""),".",""),"/",""),5,2)),VALUE(RIGHT(SUBSTITUTE(SUBSTITUTE(SUBSTITUTE(TRIM($G631),"-",""),".",""),"/",""),2))),DATEVALUE($G631))),""))</f>
        <v/>
      </c>
      <c r="V631" s="52" t="str">
        <f aca="false">IF($H631="","",IFERROR(IF(IF(ISNUMBER($H631),$H631,IFERROR(TIMEVALUE($H631),VALUE($H631)))&gt;=100,INT(IF(ISNUMBER($H631),$H631,IFERROR(TIMEVALUE($H631),VALUE($H631)))/100)*60+MOD(IF(ISNUMBER($H631),$H631,IFERROR(TIMEVALUE($H631),VALUE($H631))),100),IF(IF(ISNUMBER($H631),$H631,IFERROR(TIMEVALUE($H631),VALUE($H631)))&gt;=1,ROUND(IF(ISNUMBER($H631),$H631,IFERROR(TIMEVALUE($H631),VALUE($H631)))*60,0),ROUND(MOD(IF(ISNUMBER($H631),$H631,IFERROR(TIMEVALUE($H631),VALUE($H631))),1)*1440,0))),""))</f>
        <v/>
      </c>
      <c r="W631" s="52" t="str">
        <f aca="false">IF($I631="","",IFERROR(IF(IF(ISNUMBER($I631),$I631,IFERROR(TIMEVALUE($I631),VALUE($I631)))&gt;=100,INT(IF(ISNUMBER($I631),$I631,IFERROR(TIMEVALUE($I631),VALUE($I631)))/100)*60+MOD(IF(ISNUMBER($I631),$I631,IFERROR(TIMEVALUE($I631),VALUE($I631))),100),IF(IF(ISNUMBER($I631),$I631,IFERROR(TIMEVALUE($I631),VALUE($I631)))&gt;=1,ROUND(IF(ISNUMBER($I631),$I631,IFERROR(TIMEVALUE($I631),VALUE($I631)))*60,0),ROUND(MOD(IF(ISNUMBER($I631),$I631,IFERROR(TIMEVALUE($I631),VALUE($I631))),1)*1440,0))),""))</f>
        <v/>
      </c>
      <c r="X631" s="55" t="str">
        <f aca="false">IF($P631="","",IFERROR(IF(ISNUMBER($P631),IF($P631&gt;19000000,DATE(INT($P631/10000),MOD(INT($P631/100),100),MOD($P631,100)),INT($P631)),IF(LEN(SUBSTITUTE(SUBSTITUTE(SUBSTITUTE(TRIM($P631),"-",""),".",""),"/",""))=8,DATE(VALUE(LEFT(SUBSTITUTE(SUBSTITUTE(SUBSTITUTE(TRIM($P631),"-",""),".",""),"/",""),4)),VALUE(MID(SUBSTITUTE(SUBSTITUTE(SUBSTITUTE(TRIM($P631),"-",""),".",""),"/",""),5,2)),VALUE(RIGHT(SUBSTITUTE(SUBSTITUTE(SUBSTITUTE(TRIM($P631),"-",""),".",""),"/",""),2))),DATEVALUE($P631))),""))</f>
        <v/>
      </c>
      <c r="Y631" s="56" t="str">
        <f aca="false">IF($M631="","",IFERROR(INDEX(강사DB!$D$4:$D$53,MATCH($M631,강사DB!$A$4:$A$53,0)),""))</f>
        <v/>
      </c>
      <c r="Z631" s="56" t="str">
        <f aca="false">IF($B631&lt;&gt;"결제완료","",IF(OR($Y631="",$J631=""),"",$Y631*$J631+MAX(0,N($K631)-1)*설정!$J$7))</f>
        <v/>
      </c>
      <c r="AA631" s="56" t="str">
        <f aca="false">IF(AND($D631&lt;&gt;"",$B631="결제완료"),N($N631),"")</f>
        <v/>
      </c>
      <c r="AB631" s="45" t="str">
        <f aca="false">IF($D631="","",IF($F631&lt;&gt;"",$F631,$D631)&amp;IF($B631="상담중"," (상담)",""))</f>
        <v/>
      </c>
      <c r="AC631" s="45" t="n">
        <f aca="false">IF(AND($D631&lt;&gt;"",OR($B631="결제완료",$B631="상담중")),1,0)</f>
        <v>0</v>
      </c>
      <c r="AD631" s="45" t="n">
        <f aca="false">IF(OR($Z631="",$U631=""),0,IFERROR(IF(COUNTIFS(INDEX(g_grid,0,2*MATCH($M631,강사DB!$A$4:$A$15,0)),"&lt;&gt;",g_s,"&lt;="&amp;$U631,g_e,"&gt;="&amp;$U631)&gt;0,1,0),0))</f>
        <v>0</v>
      </c>
      <c r="AE631" s="48"/>
      <c r="AF631" s="56" t="str">
        <f aca="false">IF(AND($D631&lt;&gt;"",$B631="결제완료",$T631="대여"),설정!$J$5,"")</f>
        <v/>
      </c>
      <c r="AG631" s="54" t="str">
        <f aca="false">IF($D631="","",IF(AND($E631="",$R631=""),$AB631,"☎ "&amp;IF($E631="","-",$E631)&amp;IF($R631&lt;&gt;"","  ※ "&amp;$R631,"")&amp;IF($B631="상담중"," (상담)","")))</f>
        <v/>
      </c>
      <c r="AH631" s="56" t="str">
        <f aca="false">IF(AND($D631&lt;&gt;"",$B631="결제완료",$O631="스마트스토어"),ROUND(N($N631)*설정!$J$6,0),"")</f>
        <v/>
      </c>
      <c r="AI631" s="54" t="str">
        <f aca="false">IF($D631="","",ROW())</f>
        <v/>
      </c>
      <c r="AJ631" s="54" t="n">
        <f aca="false">IF(OR($AC631&lt;&gt;1,$M631=""),0,IF(ISNUMBER(SEARCH("퇴사",IFERROR(INDEX(강사DB!$G$4:$G$53,MATCH($M631,강사DB!$A$4:$A$53,0)),""))),1,0))</f>
        <v>0</v>
      </c>
    </row>
    <row r="632" customFormat="false" ht="15" hidden="false" customHeight="false" outlineLevel="0" collapsed="false">
      <c r="A632" s="45" t="str">
        <f aca="false">IF($D632="","",COUNTA($D$5:$D632))</f>
        <v/>
      </c>
      <c r="B632" s="46"/>
      <c r="C632" s="47"/>
      <c r="D632" s="48"/>
      <c r="E632" s="48"/>
      <c r="F632" s="49"/>
      <c r="G632" s="47"/>
      <c r="H632" s="50"/>
      <c r="I632" s="50"/>
      <c r="J632" s="51" t="str">
        <f aca="false">IF(OR($V632="",$W632=""),"",ROUND(($W632-$V632)/60,2))</f>
        <v/>
      </c>
      <c r="K632" s="52" t="str">
        <f aca="false">IF($F632="","",LEN($F632)-LEN(SUBSTITUTE($F632,",",""))+1)</f>
        <v/>
      </c>
      <c r="L632" s="45" t="str">
        <f aca="false">IF($K632="","","1:"&amp;$K632)</f>
        <v/>
      </c>
      <c r="M632" s="46"/>
      <c r="N632" s="53"/>
      <c r="O632" s="46"/>
      <c r="P632" s="47"/>
      <c r="Q632" s="48"/>
      <c r="R632" s="49"/>
      <c r="S632" s="54" t="str">
        <f aca="false">IF(OR($AC632=0,$U632="",$M632="",$V632="",$W632=""),"",IF(COUNTIFS(m_teacher,$M632,m_date,$U632,m_active,1,m_start,"&lt;"&amp;$W632,m_end,"&gt;"&amp;$V632)&gt;1,"충돌",""))</f>
        <v/>
      </c>
      <c r="T632" s="48"/>
      <c r="U632" s="55" t="str">
        <f aca="false">IF($G632="","",IFERROR(IF(ISNUMBER($G632),IF($G632&gt;19000000,DATE(INT($G632/10000),MOD(INT($G632/100),100),MOD($G632,100)),INT($G632)),IF(LEN(SUBSTITUTE(SUBSTITUTE(SUBSTITUTE(TRIM($G632),"-",""),".",""),"/",""))=8,DATE(VALUE(LEFT(SUBSTITUTE(SUBSTITUTE(SUBSTITUTE(TRIM($G632),"-",""),".",""),"/",""),4)),VALUE(MID(SUBSTITUTE(SUBSTITUTE(SUBSTITUTE(TRIM($G632),"-",""),".",""),"/",""),5,2)),VALUE(RIGHT(SUBSTITUTE(SUBSTITUTE(SUBSTITUTE(TRIM($G632),"-",""),".",""),"/",""),2))),DATEVALUE($G632))),""))</f>
        <v/>
      </c>
      <c r="V632" s="52" t="str">
        <f aca="false">IF($H632="","",IFERROR(IF(IF(ISNUMBER($H632),$H632,IFERROR(TIMEVALUE($H632),VALUE($H632)))&gt;=100,INT(IF(ISNUMBER($H632),$H632,IFERROR(TIMEVALUE($H632),VALUE($H632)))/100)*60+MOD(IF(ISNUMBER($H632),$H632,IFERROR(TIMEVALUE($H632),VALUE($H632))),100),IF(IF(ISNUMBER($H632),$H632,IFERROR(TIMEVALUE($H632),VALUE($H632)))&gt;=1,ROUND(IF(ISNUMBER($H632),$H632,IFERROR(TIMEVALUE($H632),VALUE($H632)))*60,0),ROUND(MOD(IF(ISNUMBER($H632),$H632,IFERROR(TIMEVALUE($H632),VALUE($H632))),1)*1440,0))),""))</f>
        <v/>
      </c>
      <c r="W632" s="52" t="str">
        <f aca="false">IF($I632="","",IFERROR(IF(IF(ISNUMBER($I632),$I632,IFERROR(TIMEVALUE($I632),VALUE($I632)))&gt;=100,INT(IF(ISNUMBER($I632),$I632,IFERROR(TIMEVALUE($I632),VALUE($I632)))/100)*60+MOD(IF(ISNUMBER($I632),$I632,IFERROR(TIMEVALUE($I632),VALUE($I632))),100),IF(IF(ISNUMBER($I632),$I632,IFERROR(TIMEVALUE($I632),VALUE($I632)))&gt;=1,ROUND(IF(ISNUMBER($I632),$I632,IFERROR(TIMEVALUE($I632),VALUE($I632)))*60,0),ROUND(MOD(IF(ISNUMBER($I632),$I632,IFERROR(TIMEVALUE($I632),VALUE($I632))),1)*1440,0))),""))</f>
        <v/>
      </c>
      <c r="X632" s="55" t="str">
        <f aca="false">IF($P632="","",IFERROR(IF(ISNUMBER($P632),IF($P632&gt;19000000,DATE(INT($P632/10000),MOD(INT($P632/100),100),MOD($P632,100)),INT($P632)),IF(LEN(SUBSTITUTE(SUBSTITUTE(SUBSTITUTE(TRIM($P632),"-",""),".",""),"/",""))=8,DATE(VALUE(LEFT(SUBSTITUTE(SUBSTITUTE(SUBSTITUTE(TRIM($P632),"-",""),".",""),"/",""),4)),VALUE(MID(SUBSTITUTE(SUBSTITUTE(SUBSTITUTE(TRIM($P632),"-",""),".",""),"/",""),5,2)),VALUE(RIGHT(SUBSTITUTE(SUBSTITUTE(SUBSTITUTE(TRIM($P632),"-",""),".",""),"/",""),2))),DATEVALUE($P632))),""))</f>
        <v/>
      </c>
      <c r="Y632" s="56" t="str">
        <f aca="false">IF($M632="","",IFERROR(INDEX(강사DB!$D$4:$D$53,MATCH($M632,강사DB!$A$4:$A$53,0)),""))</f>
        <v/>
      </c>
      <c r="Z632" s="56" t="str">
        <f aca="false">IF($B632&lt;&gt;"결제완료","",IF(OR($Y632="",$J632=""),"",$Y632*$J632+MAX(0,N($K632)-1)*설정!$J$7))</f>
        <v/>
      </c>
      <c r="AA632" s="56" t="str">
        <f aca="false">IF(AND($D632&lt;&gt;"",$B632="결제완료"),N($N632),"")</f>
        <v/>
      </c>
      <c r="AB632" s="45" t="str">
        <f aca="false">IF($D632="","",IF($F632&lt;&gt;"",$F632,$D632)&amp;IF($B632="상담중"," (상담)",""))</f>
        <v/>
      </c>
      <c r="AC632" s="45" t="n">
        <f aca="false">IF(AND($D632&lt;&gt;"",OR($B632="결제완료",$B632="상담중")),1,0)</f>
        <v>0</v>
      </c>
      <c r="AD632" s="45" t="n">
        <f aca="false">IF(OR($Z632="",$U632=""),0,IFERROR(IF(COUNTIFS(INDEX(g_grid,0,2*MATCH($M632,강사DB!$A$4:$A$15,0)),"&lt;&gt;",g_s,"&lt;="&amp;$U632,g_e,"&gt;="&amp;$U632)&gt;0,1,0),0))</f>
        <v>0</v>
      </c>
      <c r="AE632" s="48"/>
      <c r="AF632" s="56" t="str">
        <f aca="false">IF(AND($D632&lt;&gt;"",$B632="결제완료",$T632="대여"),설정!$J$5,"")</f>
        <v/>
      </c>
      <c r="AG632" s="54" t="str">
        <f aca="false">IF($D632="","",IF(AND($E632="",$R632=""),$AB632,"☎ "&amp;IF($E632="","-",$E632)&amp;IF($R632&lt;&gt;"","  ※ "&amp;$R632,"")&amp;IF($B632="상담중"," (상담)","")))</f>
        <v/>
      </c>
      <c r="AH632" s="56" t="str">
        <f aca="false">IF(AND($D632&lt;&gt;"",$B632="결제완료",$O632="스마트스토어"),ROUND(N($N632)*설정!$J$6,0),"")</f>
        <v/>
      </c>
      <c r="AI632" s="54" t="str">
        <f aca="false">IF($D632="","",ROW())</f>
        <v/>
      </c>
      <c r="AJ632" s="54" t="n">
        <f aca="false">IF(OR($AC632&lt;&gt;1,$M632=""),0,IF(ISNUMBER(SEARCH("퇴사",IFERROR(INDEX(강사DB!$G$4:$G$53,MATCH($M632,강사DB!$A$4:$A$53,0)),""))),1,0))</f>
        <v>0</v>
      </c>
    </row>
    <row r="633" customFormat="false" ht="15" hidden="false" customHeight="false" outlineLevel="0" collapsed="false">
      <c r="A633" s="45" t="str">
        <f aca="false">IF($D633="","",COUNTA($D$5:$D633))</f>
        <v/>
      </c>
      <c r="B633" s="46"/>
      <c r="C633" s="47"/>
      <c r="D633" s="48"/>
      <c r="E633" s="48"/>
      <c r="F633" s="49"/>
      <c r="G633" s="47"/>
      <c r="H633" s="50"/>
      <c r="I633" s="50"/>
      <c r="J633" s="51" t="str">
        <f aca="false">IF(OR($V633="",$W633=""),"",ROUND(($W633-$V633)/60,2))</f>
        <v/>
      </c>
      <c r="K633" s="52" t="str">
        <f aca="false">IF($F633="","",LEN($F633)-LEN(SUBSTITUTE($F633,",",""))+1)</f>
        <v/>
      </c>
      <c r="L633" s="45" t="str">
        <f aca="false">IF($K633="","","1:"&amp;$K633)</f>
        <v/>
      </c>
      <c r="M633" s="46"/>
      <c r="N633" s="53"/>
      <c r="O633" s="46"/>
      <c r="P633" s="47"/>
      <c r="Q633" s="48"/>
      <c r="R633" s="49"/>
      <c r="S633" s="54" t="str">
        <f aca="false">IF(OR($AC633=0,$U633="",$M633="",$V633="",$W633=""),"",IF(COUNTIFS(m_teacher,$M633,m_date,$U633,m_active,1,m_start,"&lt;"&amp;$W633,m_end,"&gt;"&amp;$V633)&gt;1,"충돌",""))</f>
        <v/>
      </c>
      <c r="T633" s="48"/>
      <c r="U633" s="55" t="str">
        <f aca="false">IF($G633="","",IFERROR(IF(ISNUMBER($G633),IF($G633&gt;19000000,DATE(INT($G633/10000),MOD(INT($G633/100),100),MOD($G633,100)),INT($G633)),IF(LEN(SUBSTITUTE(SUBSTITUTE(SUBSTITUTE(TRIM($G633),"-",""),".",""),"/",""))=8,DATE(VALUE(LEFT(SUBSTITUTE(SUBSTITUTE(SUBSTITUTE(TRIM($G633),"-",""),".",""),"/",""),4)),VALUE(MID(SUBSTITUTE(SUBSTITUTE(SUBSTITUTE(TRIM($G633),"-",""),".",""),"/",""),5,2)),VALUE(RIGHT(SUBSTITUTE(SUBSTITUTE(SUBSTITUTE(TRIM($G633),"-",""),".",""),"/",""),2))),DATEVALUE($G633))),""))</f>
        <v/>
      </c>
      <c r="V633" s="52" t="str">
        <f aca="false">IF($H633="","",IFERROR(IF(IF(ISNUMBER($H633),$H633,IFERROR(TIMEVALUE($H633),VALUE($H633)))&gt;=100,INT(IF(ISNUMBER($H633),$H633,IFERROR(TIMEVALUE($H633),VALUE($H633)))/100)*60+MOD(IF(ISNUMBER($H633),$H633,IFERROR(TIMEVALUE($H633),VALUE($H633))),100),IF(IF(ISNUMBER($H633),$H633,IFERROR(TIMEVALUE($H633),VALUE($H633)))&gt;=1,ROUND(IF(ISNUMBER($H633),$H633,IFERROR(TIMEVALUE($H633),VALUE($H633)))*60,0),ROUND(MOD(IF(ISNUMBER($H633),$H633,IFERROR(TIMEVALUE($H633),VALUE($H633))),1)*1440,0))),""))</f>
        <v/>
      </c>
      <c r="W633" s="52" t="str">
        <f aca="false">IF($I633="","",IFERROR(IF(IF(ISNUMBER($I633),$I633,IFERROR(TIMEVALUE($I633),VALUE($I633)))&gt;=100,INT(IF(ISNUMBER($I633),$I633,IFERROR(TIMEVALUE($I633),VALUE($I633)))/100)*60+MOD(IF(ISNUMBER($I633),$I633,IFERROR(TIMEVALUE($I633),VALUE($I633))),100),IF(IF(ISNUMBER($I633),$I633,IFERROR(TIMEVALUE($I633),VALUE($I633)))&gt;=1,ROUND(IF(ISNUMBER($I633),$I633,IFERROR(TIMEVALUE($I633),VALUE($I633)))*60,0),ROUND(MOD(IF(ISNUMBER($I633),$I633,IFERROR(TIMEVALUE($I633),VALUE($I633))),1)*1440,0))),""))</f>
        <v/>
      </c>
      <c r="X633" s="55" t="str">
        <f aca="false">IF($P633="","",IFERROR(IF(ISNUMBER($P633),IF($P633&gt;19000000,DATE(INT($P633/10000),MOD(INT($P633/100),100),MOD($P633,100)),INT($P633)),IF(LEN(SUBSTITUTE(SUBSTITUTE(SUBSTITUTE(TRIM($P633),"-",""),".",""),"/",""))=8,DATE(VALUE(LEFT(SUBSTITUTE(SUBSTITUTE(SUBSTITUTE(TRIM($P633),"-",""),".",""),"/",""),4)),VALUE(MID(SUBSTITUTE(SUBSTITUTE(SUBSTITUTE(TRIM($P633),"-",""),".",""),"/",""),5,2)),VALUE(RIGHT(SUBSTITUTE(SUBSTITUTE(SUBSTITUTE(TRIM($P633),"-",""),".",""),"/",""),2))),DATEVALUE($P633))),""))</f>
        <v/>
      </c>
      <c r="Y633" s="56" t="str">
        <f aca="false">IF($M633="","",IFERROR(INDEX(강사DB!$D$4:$D$53,MATCH($M633,강사DB!$A$4:$A$53,0)),""))</f>
        <v/>
      </c>
      <c r="Z633" s="56" t="str">
        <f aca="false">IF($B633&lt;&gt;"결제완료","",IF(OR($Y633="",$J633=""),"",$Y633*$J633+MAX(0,N($K633)-1)*설정!$J$7))</f>
        <v/>
      </c>
      <c r="AA633" s="56" t="str">
        <f aca="false">IF(AND($D633&lt;&gt;"",$B633="결제완료"),N($N633),"")</f>
        <v/>
      </c>
      <c r="AB633" s="45" t="str">
        <f aca="false">IF($D633="","",IF($F633&lt;&gt;"",$F633,$D633)&amp;IF($B633="상담중"," (상담)",""))</f>
        <v/>
      </c>
      <c r="AC633" s="45" t="n">
        <f aca="false">IF(AND($D633&lt;&gt;"",OR($B633="결제완료",$B633="상담중")),1,0)</f>
        <v>0</v>
      </c>
      <c r="AD633" s="45" t="n">
        <f aca="false">IF(OR($Z633="",$U633=""),0,IFERROR(IF(COUNTIFS(INDEX(g_grid,0,2*MATCH($M633,강사DB!$A$4:$A$15,0)),"&lt;&gt;",g_s,"&lt;="&amp;$U633,g_e,"&gt;="&amp;$U633)&gt;0,1,0),0))</f>
        <v>0</v>
      </c>
      <c r="AE633" s="48"/>
      <c r="AF633" s="56" t="str">
        <f aca="false">IF(AND($D633&lt;&gt;"",$B633="결제완료",$T633="대여"),설정!$J$5,"")</f>
        <v/>
      </c>
      <c r="AG633" s="54" t="str">
        <f aca="false">IF($D633="","",IF(AND($E633="",$R633=""),$AB633,"☎ "&amp;IF($E633="","-",$E633)&amp;IF($R633&lt;&gt;"","  ※ "&amp;$R633,"")&amp;IF($B633="상담중"," (상담)","")))</f>
        <v/>
      </c>
      <c r="AH633" s="56" t="str">
        <f aca="false">IF(AND($D633&lt;&gt;"",$B633="결제완료",$O633="스마트스토어"),ROUND(N($N633)*설정!$J$6,0),"")</f>
        <v/>
      </c>
      <c r="AI633" s="54" t="str">
        <f aca="false">IF($D633="","",ROW())</f>
        <v/>
      </c>
      <c r="AJ633" s="54" t="n">
        <f aca="false">IF(OR($AC633&lt;&gt;1,$M633=""),0,IF(ISNUMBER(SEARCH("퇴사",IFERROR(INDEX(강사DB!$G$4:$G$53,MATCH($M633,강사DB!$A$4:$A$53,0)),""))),1,0))</f>
        <v>0</v>
      </c>
    </row>
    <row r="634" customFormat="false" ht="15" hidden="false" customHeight="false" outlineLevel="0" collapsed="false">
      <c r="A634" s="45" t="str">
        <f aca="false">IF($D634="","",COUNTA($D$5:$D634))</f>
        <v/>
      </c>
      <c r="B634" s="46"/>
      <c r="C634" s="47"/>
      <c r="D634" s="48"/>
      <c r="E634" s="48"/>
      <c r="F634" s="49"/>
      <c r="G634" s="47"/>
      <c r="H634" s="50"/>
      <c r="I634" s="50"/>
      <c r="J634" s="51" t="str">
        <f aca="false">IF(OR($V634="",$W634=""),"",ROUND(($W634-$V634)/60,2))</f>
        <v/>
      </c>
      <c r="K634" s="52" t="str">
        <f aca="false">IF($F634="","",LEN($F634)-LEN(SUBSTITUTE($F634,",",""))+1)</f>
        <v/>
      </c>
      <c r="L634" s="45" t="str">
        <f aca="false">IF($K634="","","1:"&amp;$K634)</f>
        <v/>
      </c>
      <c r="M634" s="46"/>
      <c r="N634" s="53"/>
      <c r="O634" s="46"/>
      <c r="P634" s="47"/>
      <c r="Q634" s="48"/>
      <c r="R634" s="49"/>
      <c r="S634" s="54" t="str">
        <f aca="false">IF(OR($AC634=0,$U634="",$M634="",$V634="",$W634=""),"",IF(COUNTIFS(m_teacher,$M634,m_date,$U634,m_active,1,m_start,"&lt;"&amp;$W634,m_end,"&gt;"&amp;$V634)&gt;1,"충돌",""))</f>
        <v/>
      </c>
      <c r="T634" s="48"/>
      <c r="U634" s="55" t="str">
        <f aca="false">IF($G634="","",IFERROR(IF(ISNUMBER($G634),IF($G634&gt;19000000,DATE(INT($G634/10000),MOD(INT($G634/100),100),MOD($G634,100)),INT($G634)),IF(LEN(SUBSTITUTE(SUBSTITUTE(SUBSTITUTE(TRIM($G634),"-",""),".",""),"/",""))=8,DATE(VALUE(LEFT(SUBSTITUTE(SUBSTITUTE(SUBSTITUTE(TRIM($G634),"-",""),".",""),"/",""),4)),VALUE(MID(SUBSTITUTE(SUBSTITUTE(SUBSTITUTE(TRIM($G634),"-",""),".",""),"/",""),5,2)),VALUE(RIGHT(SUBSTITUTE(SUBSTITUTE(SUBSTITUTE(TRIM($G634),"-",""),".",""),"/",""),2))),DATEVALUE($G634))),""))</f>
        <v/>
      </c>
      <c r="V634" s="52" t="str">
        <f aca="false">IF($H634="","",IFERROR(IF(IF(ISNUMBER($H634),$H634,IFERROR(TIMEVALUE($H634),VALUE($H634)))&gt;=100,INT(IF(ISNUMBER($H634),$H634,IFERROR(TIMEVALUE($H634),VALUE($H634)))/100)*60+MOD(IF(ISNUMBER($H634),$H634,IFERROR(TIMEVALUE($H634),VALUE($H634))),100),IF(IF(ISNUMBER($H634),$H634,IFERROR(TIMEVALUE($H634),VALUE($H634)))&gt;=1,ROUND(IF(ISNUMBER($H634),$H634,IFERROR(TIMEVALUE($H634),VALUE($H634)))*60,0),ROUND(MOD(IF(ISNUMBER($H634),$H634,IFERROR(TIMEVALUE($H634),VALUE($H634))),1)*1440,0))),""))</f>
        <v/>
      </c>
      <c r="W634" s="52" t="str">
        <f aca="false">IF($I634="","",IFERROR(IF(IF(ISNUMBER($I634),$I634,IFERROR(TIMEVALUE($I634),VALUE($I634)))&gt;=100,INT(IF(ISNUMBER($I634),$I634,IFERROR(TIMEVALUE($I634),VALUE($I634)))/100)*60+MOD(IF(ISNUMBER($I634),$I634,IFERROR(TIMEVALUE($I634),VALUE($I634))),100),IF(IF(ISNUMBER($I634),$I634,IFERROR(TIMEVALUE($I634),VALUE($I634)))&gt;=1,ROUND(IF(ISNUMBER($I634),$I634,IFERROR(TIMEVALUE($I634),VALUE($I634)))*60,0),ROUND(MOD(IF(ISNUMBER($I634),$I634,IFERROR(TIMEVALUE($I634),VALUE($I634))),1)*1440,0))),""))</f>
        <v/>
      </c>
      <c r="X634" s="55" t="str">
        <f aca="false">IF($P634="","",IFERROR(IF(ISNUMBER($P634),IF($P634&gt;19000000,DATE(INT($P634/10000),MOD(INT($P634/100),100),MOD($P634,100)),INT($P634)),IF(LEN(SUBSTITUTE(SUBSTITUTE(SUBSTITUTE(TRIM($P634),"-",""),".",""),"/",""))=8,DATE(VALUE(LEFT(SUBSTITUTE(SUBSTITUTE(SUBSTITUTE(TRIM($P634),"-",""),".",""),"/",""),4)),VALUE(MID(SUBSTITUTE(SUBSTITUTE(SUBSTITUTE(TRIM($P634),"-",""),".",""),"/",""),5,2)),VALUE(RIGHT(SUBSTITUTE(SUBSTITUTE(SUBSTITUTE(TRIM($P634),"-",""),".",""),"/",""),2))),DATEVALUE($P634))),""))</f>
        <v/>
      </c>
      <c r="Y634" s="56" t="str">
        <f aca="false">IF($M634="","",IFERROR(INDEX(강사DB!$D$4:$D$53,MATCH($M634,강사DB!$A$4:$A$53,0)),""))</f>
        <v/>
      </c>
      <c r="Z634" s="56" t="str">
        <f aca="false">IF($B634&lt;&gt;"결제완료","",IF(OR($Y634="",$J634=""),"",$Y634*$J634+MAX(0,N($K634)-1)*설정!$J$7))</f>
        <v/>
      </c>
      <c r="AA634" s="56" t="str">
        <f aca="false">IF(AND($D634&lt;&gt;"",$B634="결제완료"),N($N634),"")</f>
        <v/>
      </c>
      <c r="AB634" s="45" t="str">
        <f aca="false">IF($D634="","",IF($F634&lt;&gt;"",$F634,$D634)&amp;IF($B634="상담중"," (상담)",""))</f>
        <v/>
      </c>
      <c r="AC634" s="45" t="n">
        <f aca="false">IF(AND($D634&lt;&gt;"",OR($B634="결제완료",$B634="상담중")),1,0)</f>
        <v>0</v>
      </c>
      <c r="AD634" s="45" t="n">
        <f aca="false">IF(OR($Z634="",$U634=""),0,IFERROR(IF(COUNTIFS(INDEX(g_grid,0,2*MATCH($M634,강사DB!$A$4:$A$15,0)),"&lt;&gt;",g_s,"&lt;="&amp;$U634,g_e,"&gt;="&amp;$U634)&gt;0,1,0),0))</f>
        <v>0</v>
      </c>
      <c r="AE634" s="48"/>
      <c r="AF634" s="56" t="str">
        <f aca="false">IF(AND($D634&lt;&gt;"",$B634="결제완료",$T634="대여"),설정!$J$5,"")</f>
        <v/>
      </c>
      <c r="AG634" s="54" t="str">
        <f aca="false">IF($D634="","",IF(AND($E634="",$R634=""),$AB634,"☎ "&amp;IF($E634="","-",$E634)&amp;IF($R634&lt;&gt;"","  ※ "&amp;$R634,"")&amp;IF($B634="상담중"," (상담)","")))</f>
        <v/>
      </c>
      <c r="AH634" s="56" t="str">
        <f aca="false">IF(AND($D634&lt;&gt;"",$B634="결제완료",$O634="스마트스토어"),ROUND(N($N634)*설정!$J$6,0),"")</f>
        <v/>
      </c>
      <c r="AI634" s="54" t="str">
        <f aca="false">IF($D634="","",ROW())</f>
        <v/>
      </c>
      <c r="AJ634" s="54" t="n">
        <f aca="false">IF(OR($AC634&lt;&gt;1,$M634=""),0,IF(ISNUMBER(SEARCH("퇴사",IFERROR(INDEX(강사DB!$G$4:$G$53,MATCH($M634,강사DB!$A$4:$A$53,0)),""))),1,0))</f>
        <v>0</v>
      </c>
    </row>
    <row r="635" customFormat="false" ht="15" hidden="false" customHeight="false" outlineLevel="0" collapsed="false">
      <c r="A635" s="45" t="str">
        <f aca="false">IF($D635="","",COUNTA($D$5:$D635))</f>
        <v/>
      </c>
      <c r="B635" s="46"/>
      <c r="C635" s="47"/>
      <c r="D635" s="48"/>
      <c r="E635" s="48"/>
      <c r="F635" s="49"/>
      <c r="G635" s="47"/>
      <c r="H635" s="50"/>
      <c r="I635" s="50"/>
      <c r="J635" s="51" t="str">
        <f aca="false">IF(OR($V635="",$W635=""),"",ROUND(($W635-$V635)/60,2))</f>
        <v/>
      </c>
      <c r="K635" s="52" t="str">
        <f aca="false">IF($F635="","",LEN($F635)-LEN(SUBSTITUTE($F635,",",""))+1)</f>
        <v/>
      </c>
      <c r="L635" s="45" t="str">
        <f aca="false">IF($K635="","","1:"&amp;$K635)</f>
        <v/>
      </c>
      <c r="M635" s="46"/>
      <c r="N635" s="53"/>
      <c r="O635" s="46"/>
      <c r="P635" s="47"/>
      <c r="Q635" s="48"/>
      <c r="R635" s="49"/>
      <c r="S635" s="54" t="str">
        <f aca="false">IF(OR($AC635=0,$U635="",$M635="",$V635="",$W635=""),"",IF(COUNTIFS(m_teacher,$M635,m_date,$U635,m_active,1,m_start,"&lt;"&amp;$W635,m_end,"&gt;"&amp;$V635)&gt;1,"충돌",""))</f>
        <v/>
      </c>
      <c r="T635" s="48"/>
      <c r="U635" s="55" t="str">
        <f aca="false">IF($G635="","",IFERROR(IF(ISNUMBER($G635),IF($G635&gt;19000000,DATE(INT($G635/10000),MOD(INT($G635/100),100),MOD($G635,100)),INT($G635)),IF(LEN(SUBSTITUTE(SUBSTITUTE(SUBSTITUTE(TRIM($G635),"-",""),".",""),"/",""))=8,DATE(VALUE(LEFT(SUBSTITUTE(SUBSTITUTE(SUBSTITUTE(TRIM($G635),"-",""),".",""),"/",""),4)),VALUE(MID(SUBSTITUTE(SUBSTITUTE(SUBSTITUTE(TRIM($G635),"-",""),".",""),"/",""),5,2)),VALUE(RIGHT(SUBSTITUTE(SUBSTITUTE(SUBSTITUTE(TRIM($G635),"-",""),".",""),"/",""),2))),DATEVALUE($G635))),""))</f>
        <v/>
      </c>
      <c r="V635" s="52" t="str">
        <f aca="false">IF($H635="","",IFERROR(IF(IF(ISNUMBER($H635),$H635,IFERROR(TIMEVALUE($H635),VALUE($H635)))&gt;=100,INT(IF(ISNUMBER($H635),$H635,IFERROR(TIMEVALUE($H635),VALUE($H635)))/100)*60+MOD(IF(ISNUMBER($H635),$H635,IFERROR(TIMEVALUE($H635),VALUE($H635))),100),IF(IF(ISNUMBER($H635),$H635,IFERROR(TIMEVALUE($H635),VALUE($H635)))&gt;=1,ROUND(IF(ISNUMBER($H635),$H635,IFERROR(TIMEVALUE($H635),VALUE($H635)))*60,0),ROUND(MOD(IF(ISNUMBER($H635),$H635,IFERROR(TIMEVALUE($H635),VALUE($H635))),1)*1440,0))),""))</f>
        <v/>
      </c>
      <c r="W635" s="52" t="str">
        <f aca="false">IF($I635="","",IFERROR(IF(IF(ISNUMBER($I635),$I635,IFERROR(TIMEVALUE($I635),VALUE($I635)))&gt;=100,INT(IF(ISNUMBER($I635),$I635,IFERROR(TIMEVALUE($I635),VALUE($I635)))/100)*60+MOD(IF(ISNUMBER($I635),$I635,IFERROR(TIMEVALUE($I635),VALUE($I635))),100),IF(IF(ISNUMBER($I635),$I635,IFERROR(TIMEVALUE($I635),VALUE($I635)))&gt;=1,ROUND(IF(ISNUMBER($I635),$I635,IFERROR(TIMEVALUE($I635),VALUE($I635)))*60,0),ROUND(MOD(IF(ISNUMBER($I635),$I635,IFERROR(TIMEVALUE($I635),VALUE($I635))),1)*1440,0))),""))</f>
        <v/>
      </c>
      <c r="X635" s="55" t="str">
        <f aca="false">IF($P635="","",IFERROR(IF(ISNUMBER($P635),IF($P635&gt;19000000,DATE(INT($P635/10000),MOD(INT($P635/100),100),MOD($P635,100)),INT($P635)),IF(LEN(SUBSTITUTE(SUBSTITUTE(SUBSTITUTE(TRIM($P635),"-",""),".",""),"/",""))=8,DATE(VALUE(LEFT(SUBSTITUTE(SUBSTITUTE(SUBSTITUTE(TRIM($P635),"-",""),".",""),"/",""),4)),VALUE(MID(SUBSTITUTE(SUBSTITUTE(SUBSTITUTE(TRIM($P635),"-",""),".",""),"/",""),5,2)),VALUE(RIGHT(SUBSTITUTE(SUBSTITUTE(SUBSTITUTE(TRIM($P635),"-",""),".",""),"/",""),2))),DATEVALUE($P635))),""))</f>
        <v/>
      </c>
      <c r="Y635" s="56" t="str">
        <f aca="false">IF($M635="","",IFERROR(INDEX(강사DB!$D$4:$D$53,MATCH($M635,강사DB!$A$4:$A$53,0)),""))</f>
        <v/>
      </c>
      <c r="Z635" s="56" t="str">
        <f aca="false">IF($B635&lt;&gt;"결제완료","",IF(OR($Y635="",$J635=""),"",$Y635*$J635+MAX(0,N($K635)-1)*설정!$J$7))</f>
        <v/>
      </c>
      <c r="AA635" s="56" t="str">
        <f aca="false">IF(AND($D635&lt;&gt;"",$B635="결제완료"),N($N635),"")</f>
        <v/>
      </c>
      <c r="AB635" s="45" t="str">
        <f aca="false">IF($D635="","",IF($F635&lt;&gt;"",$F635,$D635)&amp;IF($B635="상담중"," (상담)",""))</f>
        <v/>
      </c>
      <c r="AC635" s="45" t="n">
        <f aca="false">IF(AND($D635&lt;&gt;"",OR($B635="결제완료",$B635="상담중")),1,0)</f>
        <v>0</v>
      </c>
      <c r="AD635" s="45" t="n">
        <f aca="false">IF(OR($Z635="",$U635=""),0,IFERROR(IF(COUNTIFS(INDEX(g_grid,0,2*MATCH($M635,강사DB!$A$4:$A$15,0)),"&lt;&gt;",g_s,"&lt;="&amp;$U635,g_e,"&gt;="&amp;$U635)&gt;0,1,0),0))</f>
        <v>0</v>
      </c>
      <c r="AE635" s="48"/>
      <c r="AF635" s="56" t="str">
        <f aca="false">IF(AND($D635&lt;&gt;"",$B635="결제완료",$T635="대여"),설정!$J$5,"")</f>
        <v/>
      </c>
      <c r="AG635" s="54" t="str">
        <f aca="false">IF($D635="","",IF(AND($E635="",$R635=""),$AB635,"☎ "&amp;IF($E635="","-",$E635)&amp;IF($R635&lt;&gt;"","  ※ "&amp;$R635,"")&amp;IF($B635="상담중"," (상담)","")))</f>
        <v/>
      </c>
      <c r="AH635" s="56" t="str">
        <f aca="false">IF(AND($D635&lt;&gt;"",$B635="결제완료",$O635="스마트스토어"),ROUND(N($N635)*설정!$J$6,0),"")</f>
        <v/>
      </c>
      <c r="AI635" s="54" t="str">
        <f aca="false">IF($D635="","",ROW())</f>
        <v/>
      </c>
      <c r="AJ635" s="54" t="n">
        <f aca="false">IF(OR($AC635&lt;&gt;1,$M635=""),0,IF(ISNUMBER(SEARCH("퇴사",IFERROR(INDEX(강사DB!$G$4:$G$53,MATCH($M635,강사DB!$A$4:$A$53,0)),""))),1,0))</f>
        <v>0</v>
      </c>
    </row>
    <row r="636" customFormat="false" ht="15" hidden="false" customHeight="false" outlineLevel="0" collapsed="false">
      <c r="A636" s="45" t="str">
        <f aca="false">IF($D636="","",COUNTA($D$5:$D636))</f>
        <v/>
      </c>
      <c r="B636" s="46"/>
      <c r="C636" s="47"/>
      <c r="D636" s="48"/>
      <c r="E636" s="48"/>
      <c r="F636" s="49"/>
      <c r="G636" s="47"/>
      <c r="H636" s="50"/>
      <c r="I636" s="50"/>
      <c r="J636" s="51" t="str">
        <f aca="false">IF(OR($V636="",$W636=""),"",ROUND(($W636-$V636)/60,2))</f>
        <v/>
      </c>
      <c r="K636" s="52" t="str">
        <f aca="false">IF($F636="","",LEN($F636)-LEN(SUBSTITUTE($F636,",",""))+1)</f>
        <v/>
      </c>
      <c r="L636" s="45" t="str">
        <f aca="false">IF($K636="","","1:"&amp;$K636)</f>
        <v/>
      </c>
      <c r="M636" s="46"/>
      <c r="N636" s="53"/>
      <c r="O636" s="46"/>
      <c r="P636" s="47"/>
      <c r="Q636" s="48"/>
      <c r="R636" s="49"/>
      <c r="S636" s="54" t="str">
        <f aca="false">IF(OR($AC636=0,$U636="",$M636="",$V636="",$W636=""),"",IF(COUNTIFS(m_teacher,$M636,m_date,$U636,m_active,1,m_start,"&lt;"&amp;$W636,m_end,"&gt;"&amp;$V636)&gt;1,"충돌",""))</f>
        <v/>
      </c>
      <c r="T636" s="48"/>
      <c r="U636" s="55" t="str">
        <f aca="false">IF($G636="","",IFERROR(IF(ISNUMBER($G636),IF($G636&gt;19000000,DATE(INT($G636/10000),MOD(INT($G636/100),100),MOD($G636,100)),INT($G636)),IF(LEN(SUBSTITUTE(SUBSTITUTE(SUBSTITUTE(TRIM($G636),"-",""),".",""),"/",""))=8,DATE(VALUE(LEFT(SUBSTITUTE(SUBSTITUTE(SUBSTITUTE(TRIM($G636),"-",""),".",""),"/",""),4)),VALUE(MID(SUBSTITUTE(SUBSTITUTE(SUBSTITUTE(TRIM($G636),"-",""),".",""),"/",""),5,2)),VALUE(RIGHT(SUBSTITUTE(SUBSTITUTE(SUBSTITUTE(TRIM($G636),"-",""),".",""),"/",""),2))),DATEVALUE($G636))),""))</f>
        <v/>
      </c>
      <c r="V636" s="52" t="str">
        <f aca="false">IF($H636="","",IFERROR(IF(IF(ISNUMBER($H636),$H636,IFERROR(TIMEVALUE($H636),VALUE($H636)))&gt;=100,INT(IF(ISNUMBER($H636),$H636,IFERROR(TIMEVALUE($H636),VALUE($H636)))/100)*60+MOD(IF(ISNUMBER($H636),$H636,IFERROR(TIMEVALUE($H636),VALUE($H636))),100),IF(IF(ISNUMBER($H636),$H636,IFERROR(TIMEVALUE($H636),VALUE($H636)))&gt;=1,ROUND(IF(ISNUMBER($H636),$H636,IFERROR(TIMEVALUE($H636),VALUE($H636)))*60,0),ROUND(MOD(IF(ISNUMBER($H636),$H636,IFERROR(TIMEVALUE($H636),VALUE($H636))),1)*1440,0))),""))</f>
        <v/>
      </c>
      <c r="W636" s="52" t="str">
        <f aca="false">IF($I636="","",IFERROR(IF(IF(ISNUMBER($I636),$I636,IFERROR(TIMEVALUE($I636),VALUE($I636)))&gt;=100,INT(IF(ISNUMBER($I636),$I636,IFERROR(TIMEVALUE($I636),VALUE($I636)))/100)*60+MOD(IF(ISNUMBER($I636),$I636,IFERROR(TIMEVALUE($I636),VALUE($I636))),100),IF(IF(ISNUMBER($I636),$I636,IFERROR(TIMEVALUE($I636),VALUE($I636)))&gt;=1,ROUND(IF(ISNUMBER($I636),$I636,IFERROR(TIMEVALUE($I636),VALUE($I636)))*60,0),ROUND(MOD(IF(ISNUMBER($I636),$I636,IFERROR(TIMEVALUE($I636),VALUE($I636))),1)*1440,0))),""))</f>
        <v/>
      </c>
      <c r="X636" s="55" t="str">
        <f aca="false">IF($P636="","",IFERROR(IF(ISNUMBER($P636),IF($P636&gt;19000000,DATE(INT($P636/10000),MOD(INT($P636/100),100),MOD($P636,100)),INT($P636)),IF(LEN(SUBSTITUTE(SUBSTITUTE(SUBSTITUTE(TRIM($P636),"-",""),".",""),"/",""))=8,DATE(VALUE(LEFT(SUBSTITUTE(SUBSTITUTE(SUBSTITUTE(TRIM($P636),"-",""),".",""),"/",""),4)),VALUE(MID(SUBSTITUTE(SUBSTITUTE(SUBSTITUTE(TRIM($P636),"-",""),".",""),"/",""),5,2)),VALUE(RIGHT(SUBSTITUTE(SUBSTITUTE(SUBSTITUTE(TRIM($P636),"-",""),".",""),"/",""),2))),DATEVALUE($P636))),""))</f>
        <v/>
      </c>
      <c r="Y636" s="56" t="str">
        <f aca="false">IF($M636="","",IFERROR(INDEX(강사DB!$D$4:$D$53,MATCH($M636,강사DB!$A$4:$A$53,0)),""))</f>
        <v/>
      </c>
      <c r="Z636" s="56" t="str">
        <f aca="false">IF($B636&lt;&gt;"결제완료","",IF(OR($Y636="",$J636=""),"",$Y636*$J636+MAX(0,N($K636)-1)*설정!$J$7))</f>
        <v/>
      </c>
      <c r="AA636" s="56" t="str">
        <f aca="false">IF(AND($D636&lt;&gt;"",$B636="결제완료"),N($N636),"")</f>
        <v/>
      </c>
      <c r="AB636" s="45" t="str">
        <f aca="false">IF($D636="","",IF($F636&lt;&gt;"",$F636,$D636)&amp;IF($B636="상담중"," (상담)",""))</f>
        <v/>
      </c>
      <c r="AC636" s="45" t="n">
        <f aca="false">IF(AND($D636&lt;&gt;"",OR($B636="결제완료",$B636="상담중")),1,0)</f>
        <v>0</v>
      </c>
      <c r="AD636" s="45" t="n">
        <f aca="false">IF(OR($Z636="",$U636=""),0,IFERROR(IF(COUNTIFS(INDEX(g_grid,0,2*MATCH($M636,강사DB!$A$4:$A$15,0)),"&lt;&gt;",g_s,"&lt;="&amp;$U636,g_e,"&gt;="&amp;$U636)&gt;0,1,0),0))</f>
        <v>0</v>
      </c>
      <c r="AE636" s="48"/>
      <c r="AF636" s="56" t="str">
        <f aca="false">IF(AND($D636&lt;&gt;"",$B636="결제완료",$T636="대여"),설정!$J$5,"")</f>
        <v/>
      </c>
      <c r="AG636" s="54" t="str">
        <f aca="false">IF($D636="","",IF(AND($E636="",$R636=""),$AB636,"☎ "&amp;IF($E636="","-",$E636)&amp;IF($R636&lt;&gt;"","  ※ "&amp;$R636,"")&amp;IF($B636="상담중"," (상담)","")))</f>
        <v/>
      </c>
      <c r="AH636" s="56" t="str">
        <f aca="false">IF(AND($D636&lt;&gt;"",$B636="결제완료",$O636="스마트스토어"),ROUND(N($N636)*설정!$J$6,0),"")</f>
        <v/>
      </c>
      <c r="AI636" s="54" t="str">
        <f aca="false">IF($D636="","",ROW())</f>
        <v/>
      </c>
      <c r="AJ636" s="54" t="n">
        <f aca="false">IF(OR($AC636&lt;&gt;1,$M636=""),0,IF(ISNUMBER(SEARCH("퇴사",IFERROR(INDEX(강사DB!$G$4:$G$53,MATCH($M636,강사DB!$A$4:$A$53,0)),""))),1,0))</f>
        <v>0</v>
      </c>
    </row>
    <row r="637" customFormat="false" ht="15" hidden="false" customHeight="false" outlineLevel="0" collapsed="false">
      <c r="A637" s="45" t="str">
        <f aca="false">IF($D637="","",COUNTA($D$5:$D637))</f>
        <v/>
      </c>
      <c r="B637" s="46"/>
      <c r="C637" s="47"/>
      <c r="D637" s="48"/>
      <c r="E637" s="48"/>
      <c r="F637" s="49"/>
      <c r="G637" s="47"/>
      <c r="H637" s="50"/>
      <c r="I637" s="50"/>
      <c r="J637" s="51" t="str">
        <f aca="false">IF(OR($V637="",$W637=""),"",ROUND(($W637-$V637)/60,2))</f>
        <v/>
      </c>
      <c r="K637" s="52" t="str">
        <f aca="false">IF($F637="","",LEN($F637)-LEN(SUBSTITUTE($F637,",",""))+1)</f>
        <v/>
      </c>
      <c r="L637" s="45" t="str">
        <f aca="false">IF($K637="","","1:"&amp;$K637)</f>
        <v/>
      </c>
      <c r="M637" s="46"/>
      <c r="N637" s="53"/>
      <c r="O637" s="46"/>
      <c r="P637" s="47"/>
      <c r="Q637" s="48"/>
      <c r="R637" s="49"/>
      <c r="S637" s="54" t="str">
        <f aca="false">IF(OR($AC637=0,$U637="",$M637="",$V637="",$W637=""),"",IF(COUNTIFS(m_teacher,$M637,m_date,$U637,m_active,1,m_start,"&lt;"&amp;$W637,m_end,"&gt;"&amp;$V637)&gt;1,"충돌",""))</f>
        <v/>
      </c>
      <c r="T637" s="48"/>
      <c r="U637" s="55" t="str">
        <f aca="false">IF($G637="","",IFERROR(IF(ISNUMBER($G637),IF($G637&gt;19000000,DATE(INT($G637/10000),MOD(INT($G637/100),100),MOD($G637,100)),INT($G637)),IF(LEN(SUBSTITUTE(SUBSTITUTE(SUBSTITUTE(TRIM($G637),"-",""),".",""),"/",""))=8,DATE(VALUE(LEFT(SUBSTITUTE(SUBSTITUTE(SUBSTITUTE(TRIM($G637),"-",""),".",""),"/",""),4)),VALUE(MID(SUBSTITUTE(SUBSTITUTE(SUBSTITUTE(TRIM($G637),"-",""),".",""),"/",""),5,2)),VALUE(RIGHT(SUBSTITUTE(SUBSTITUTE(SUBSTITUTE(TRIM($G637),"-",""),".",""),"/",""),2))),DATEVALUE($G637))),""))</f>
        <v/>
      </c>
      <c r="V637" s="52" t="str">
        <f aca="false">IF($H637="","",IFERROR(IF(IF(ISNUMBER($H637),$H637,IFERROR(TIMEVALUE($H637),VALUE($H637)))&gt;=100,INT(IF(ISNUMBER($H637),$H637,IFERROR(TIMEVALUE($H637),VALUE($H637)))/100)*60+MOD(IF(ISNUMBER($H637),$H637,IFERROR(TIMEVALUE($H637),VALUE($H637))),100),IF(IF(ISNUMBER($H637),$H637,IFERROR(TIMEVALUE($H637),VALUE($H637)))&gt;=1,ROUND(IF(ISNUMBER($H637),$H637,IFERROR(TIMEVALUE($H637),VALUE($H637)))*60,0),ROUND(MOD(IF(ISNUMBER($H637),$H637,IFERROR(TIMEVALUE($H637),VALUE($H637))),1)*1440,0))),""))</f>
        <v/>
      </c>
      <c r="W637" s="52" t="str">
        <f aca="false">IF($I637="","",IFERROR(IF(IF(ISNUMBER($I637),$I637,IFERROR(TIMEVALUE($I637),VALUE($I637)))&gt;=100,INT(IF(ISNUMBER($I637),$I637,IFERROR(TIMEVALUE($I637),VALUE($I637)))/100)*60+MOD(IF(ISNUMBER($I637),$I637,IFERROR(TIMEVALUE($I637),VALUE($I637))),100),IF(IF(ISNUMBER($I637),$I637,IFERROR(TIMEVALUE($I637),VALUE($I637)))&gt;=1,ROUND(IF(ISNUMBER($I637),$I637,IFERROR(TIMEVALUE($I637),VALUE($I637)))*60,0),ROUND(MOD(IF(ISNUMBER($I637),$I637,IFERROR(TIMEVALUE($I637),VALUE($I637))),1)*1440,0))),""))</f>
        <v/>
      </c>
      <c r="X637" s="55" t="str">
        <f aca="false">IF($P637="","",IFERROR(IF(ISNUMBER($P637),IF($P637&gt;19000000,DATE(INT($P637/10000),MOD(INT($P637/100),100),MOD($P637,100)),INT($P637)),IF(LEN(SUBSTITUTE(SUBSTITUTE(SUBSTITUTE(TRIM($P637),"-",""),".",""),"/",""))=8,DATE(VALUE(LEFT(SUBSTITUTE(SUBSTITUTE(SUBSTITUTE(TRIM($P637),"-",""),".",""),"/",""),4)),VALUE(MID(SUBSTITUTE(SUBSTITUTE(SUBSTITUTE(TRIM($P637),"-",""),".",""),"/",""),5,2)),VALUE(RIGHT(SUBSTITUTE(SUBSTITUTE(SUBSTITUTE(TRIM($P637),"-",""),".",""),"/",""),2))),DATEVALUE($P637))),""))</f>
        <v/>
      </c>
      <c r="Y637" s="56" t="str">
        <f aca="false">IF($M637="","",IFERROR(INDEX(강사DB!$D$4:$D$53,MATCH($M637,강사DB!$A$4:$A$53,0)),""))</f>
        <v/>
      </c>
      <c r="Z637" s="56" t="str">
        <f aca="false">IF($B637&lt;&gt;"결제완료","",IF(OR($Y637="",$J637=""),"",$Y637*$J637+MAX(0,N($K637)-1)*설정!$J$7))</f>
        <v/>
      </c>
      <c r="AA637" s="56" t="str">
        <f aca="false">IF(AND($D637&lt;&gt;"",$B637="결제완료"),N($N637),"")</f>
        <v/>
      </c>
      <c r="AB637" s="45" t="str">
        <f aca="false">IF($D637="","",IF($F637&lt;&gt;"",$F637,$D637)&amp;IF($B637="상담중"," (상담)",""))</f>
        <v/>
      </c>
      <c r="AC637" s="45" t="n">
        <f aca="false">IF(AND($D637&lt;&gt;"",OR($B637="결제완료",$B637="상담중")),1,0)</f>
        <v>0</v>
      </c>
      <c r="AD637" s="45" t="n">
        <f aca="false">IF(OR($Z637="",$U637=""),0,IFERROR(IF(COUNTIFS(INDEX(g_grid,0,2*MATCH($M637,강사DB!$A$4:$A$15,0)),"&lt;&gt;",g_s,"&lt;="&amp;$U637,g_e,"&gt;="&amp;$U637)&gt;0,1,0),0))</f>
        <v>0</v>
      </c>
      <c r="AE637" s="48"/>
      <c r="AF637" s="56" t="str">
        <f aca="false">IF(AND($D637&lt;&gt;"",$B637="결제완료",$T637="대여"),설정!$J$5,"")</f>
        <v/>
      </c>
      <c r="AG637" s="54" t="str">
        <f aca="false">IF($D637="","",IF(AND($E637="",$R637=""),$AB637,"☎ "&amp;IF($E637="","-",$E637)&amp;IF($R637&lt;&gt;"","  ※ "&amp;$R637,"")&amp;IF($B637="상담중"," (상담)","")))</f>
        <v/>
      </c>
      <c r="AH637" s="56" t="str">
        <f aca="false">IF(AND($D637&lt;&gt;"",$B637="결제완료",$O637="스마트스토어"),ROUND(N($N637)*설정!$J$6,0),"")</f>
        <v/>
      </c>
      <c r="AI637" s="54" t="str">
        <f aca="false">IF($D637="","",ROW())</f>
        <v/>
      </c>
      <c r="AJ637" s="54" t="n">
        <f aca="false">IF(OR($AC637&lt;&gt;1,$M637=""),0,IF(ISNUMBER(SEARCH("퇴사",IFERROR(INDEX(강사DB!$G$4:$G$53,MATCH($M637,강사DB!$A$4:$A$53,0)),""))),1,0))</f>
        <v>0</v>
      </c>
    </row>
    <row r="638" customFormat="false" ht="15" hidden="false" customHeight="false" outlineLevel="0" collapsed="false">
      <c r="A638" s="45" t="str">
        <f aca="false">IF($D638="","",COUNTA($D$5:$D638))</f>
        <v/>
      </c>
      <c r="B638" s="46"/>
      <c r="C638" s="47"/>
      <c r="D638" s="48"/>
      <c r="E638" s="48"/>
      <c r="F638" s="49"/>
      <c r="G638" s="47"/>
      <c r="H638" s="50"/>
      <c r="I638" s="50"/>
      <c r="J638" s="51" t="str">
        <f aca="false">IF(OR($V638="",$W638=""),"",ROUND(($W638-$V638)/60,2))</f>
        <v/>
      </c>
      <c r="K638" s="52" t="str">
        <f aca="false">IF($F638="","",LEN($F638)-LEN(SUBSTITUTE($F638,",",""))+1)</f>
        <v/>
      </c>
      <c r="L638" s="45" t="str">
        <f aca="false">IF($K638="","","1:"&amp;$K638)</f>
        <v/>
      </c>
      <c r="M638" s="46"/>
      <c r="N638" s="53"/>
      <c r="O638" s="46"/>
      <c r="P638" s="47"/>
      <c r="Q638" s="48"/>
      <c r="R638" s="49"/>
      <c r="S638" s="54" t="str">
        <f aca="false">IF(OR($AC638=0,$U638="",$M638="",$V638="",$W638=""),"",IF(COUNTIFS(m_teacher,$M638,m_date,$U638,m_active,1,m_start,"&lt;"&amp;$W638,m_end,"&gt;"&amp;$V638)&gt;1,"충돌",""))</f>
        <v/>
      </c>
      <c r="T638" s="48"/>
      <c r="U638" s="55" t="str">
        <f aca="false">IF($G638="","",IFERROR(IF(ISNUMBER($G638),IF($G638&gt;19000000,DATE(INT($G638/10000),MOD(INT($G638/100),100),MOD($G638,100)),INT($G638)),IF(LEN(SUBSTITUTE(SUBSTITUTE(SUBSTITUTE(TRIM($G638),"-",""),".",""),"/",""))=8,DATE(VALUE(LEFT(SUBSTITUTE(SUBSTITUTE(SUBSTITUTE(TRIM($G638),"-",""),".",""),"/",""),4)),VALUE(MID(SUBSTITUTE(SUBSTITUTE(SUBSTITUTE(TRIM($G638),"-",""),".",""),"/",""),5,2)),VALUE(RIGHT(SUBSTITUTE(SUBSTITUTE(SUBSTITUTE(TRIM($G638),"-",""),".",""),"/",""),2))),DATEVALUE($G638))),""))</f>
        <v/>
      </c>
      <c r="V638" s="52" t="str">
        <f aca="false">IF($H638="","",IFERROR(IF(IF(ISNUMBER($H638),$H638,IFERROR(TIMEVALUE($H638),VALUE($H638)))&gt;=100,INT(IF(ISNUMBER($H638),$H638,IFERROR(TIMEVALUE($H638),VALUE($H638)))/100)*60+MOD(IF(ISNUMBER($H638),$H638,IFERROR(TIMEVALUE($H638),VALUE($H638))),100),IF(IF(ISNUMBER($H638),$H638,IFERROR(TIMEVALUE($H638),VALUE($H638)))&gt;=1,ROUND(IF(ISNUMBER($H638),$H638,IFERROR(TIMEVALUE($H638),VALUE($H638)))*60,0),ROUND(MOD(IF(ISNUMBER($H638),$H638,IFERROR(TIMEVALUE($H638),VALUE($H638))),1)*1440,0))),""))</f>
        <v/>
      </c>
      <c r="W638" s="52" t="str">
        <f aca="false">IF($I638="","",IFERROR(IF(IF(ISNUMBER($I638),$I638,IFERROR(TIMEVALUE($I638),VALUE($I638)))&gt;=100,INT(IF(ISNUMBER($I638),$I638,IFERROR(TIMEVALUE($I638),VALUE($I638)))/100)*60+MOD(IF(ISNUMBER($I638),$I638,IFERROR(TIMEVALUE($I638),VALUE($I638))),100),IF(IF(ISNUMBER($I638),$I638,IFERROR(TIMEVALUE($I638),VALUE($I638)))&gt;=1,ROUND(IF(ISNUMBER($I638),$I638,IFERROR(TIMEVALUE($I638),VALUE($I638)))*60,0),ROUND(MOD(IF(ISNUMBER($I638),$I638,IFERROR(TIMEVALUE($I638),VALUE($I638))),1)*1440,0))),""))</f>
        <v/>
      </c>
      <c r="X638" s="55" t="str">
        <f aca="false">IF($P638="","",IFERROR(IF(ISNUMBER($P638),IF($P638&gt;19000000,DATE(INT($P638/10000),MOD(INT($P638/100),100),MOD($P638,100)),INT($P638)),IF(LEN(SUBSTITUTE(SUBSTITUTE(SUBSTITUTE(TRIM($P638),"-",""),".",""),"/",""))=8,DATE(VALUE(LEFT(SUBSTITUTE(SUBSTITUTE(SUBSTITUTE(TRIM($P638),"-",""),".",""),"/",""),4)),VALUE(MID(SUBSTITUTE(SUBSTITUTE(SUBSTITUTE(TRIM($P638),"-",""),".",""),"/",""),5,2)),VALUE(RIGHT(SUBSTITUTE(SUBSTITUTE(SUBSTITUTE(TRIM($P638),"-",""),".",""),"/",""),2))),DATEVALUE($P638))),""))</f>
        <v/>
      </c>
      <c r="Y638" s="56" t="str">
        <f aca="false">IF($M638="","",IFERROR(INDEX(강사DB!$D$4:$D$53,MATCH($M638,강사DB!$A$4:$A$53,0)),""))</f>
        <v/>
      </c>
      <c r="Z638" s="56" t="str">
        <f aca="false">IF($B638&lt;&gt;"결제완료","",IF(OR($Y638="",$J638=""),"",$Y638*$J638+MAX(0,N($K638)-1)*설정!$J$7))</f>
        <v/>
      </c>
      <c r="AA638" s="56" t="str">
        <f aca="false">IF(AND($D638&lt;&gt;"",$B638="결제완료"),N($N638),"")</f>
        <v/>
      </c>
      <c r="AB638" s="45" t="str">
        <f aca="false">IF($D638="","",IF($F638&lt;&gt;"",$F638,$D638)&amp;IF($B638="상담중"," (상담)",""))</f>
        <v/>
      </c>
      <c r="AC638" s="45" t="n">
        <f aca="false">IF(AND($D638&lt;&gt;"",OR($B638="결제완료",$B638="상담중")),1,0)</f>
        <v>0</v>
      </c>
      <c r="AD638" s="45" t="n">
        <f aca="false">IF(OR($Z638="",$U638=""),0,IFERROR(IF(COUNTIFS(INDEX(g_grid,0,2*MATCH($M638,강사DB!$A$4:$A$15,0)),"&lt;&gt;",g_s,"&lt;="&amp;$U638,g_e,"&gt;="&amp;$U638)&gt;0,1,0),0))</f>
        <v>0</v>
      </c>
      <c r="AE638" s="48"/>
      <c r="AF638" s="56" t="str">
        <f aca="false">IF(AND($D638&lt;&gt;"",$B638="결제완료",$T638="대여"),설정!$J$5,"")</f>
        <v/>
      </c>
      <c r="AG638" s="54" t="str">
        <f aca="false">IF($D638="","",IF(AND($E638="",$R638=""),$AB638,"☎ "&amp;IF($E638="","-",$E638)&amp;IF($R638&lt;&gt;"","  ※ "&amp;$R638,"")&amp;IF($B638="상담중"," (상담)","")))</f>
        <v/>
      </c>
      <c r="AH638" s="56" t="str">
        <f aca="false">IF(AND($D638&lt;&gt;"",$B638="결제완료",$O638="스마트스토어"),ROUND(N($N638)*설정!$J$6,0),"")</f>
        <v/>
      </c>
      <c r="AI638" s="54" t="str">
        <f aca="false">IF($D638="","",ROW())</f>
        <v/>
      </c>
      <c r="AJ638" s="54" t="n">
        <f aca="false">IF(OR($AC638&lt;&gt;1,$M638=""),0,IF(ISNUMBER(SEARCH("퇴사",IFERROR(INDEX(강사DB!$G$4:$G$53,MATCH($M638,강사DB!$A$4:$A$53,0)),""))),1,0))</f>
        <v>0</v>
      </c>
    </row>
    <row r="639" customFormat="false" ht="15" hidden="false" customHeight="false" outlineLevel="0" collapsed="false">
      <c r="A639" s="45" t="str">
        <f aca="false">IF($D639="","",COUNTA($D$5:$D639))</f>
        <v/>
      </c>
      <c r="B639" s="46"/>
      <c r="C639" s="47"/>
      <c r="D639" s="48"/>
      <c r="E639" s="48"/>
      <c r="F639" s="49"/>
      <c r="G639" s="47"/>
      <c r="H639" s="50"/>
      <c r="I639" s="50"/>
      <c r="J639" s="51" t="str">
        <f aca="false">IF(OR($V639="",$W639=""),"",ROUND(($W639-$V639)/60,2))</f>
        <v/>
      </c>
      <c r="K639" s="52" t="str">
        <f aca="false">IF($F639="","",LEN($F639)-LEN(SUBSTITUTE($F639,",",""))+1)</f>
        <v/>
      </c>
      <c r="L639" s="45" t="str">
        <f aca="false">IF($K639="","","1:"&amp;$K639)</f>
        <v/>
      </c>
      <c r="M639" s="46"/>
      <c r="N639" s="53"/>
      <c r="O639" s="46"/>
      <c r="P639" s="47"/>
      <c r="Q639" s="48"/>
      <c r="R639" s="49"/>
      <c r="S639" s="54" t="str">
        <f aca="false">IF(OR($AC639=0,$U639="",$M639="",$V639="",$W639=""),"",IF(COUNTIFS(m_teacher,$M639,m_date,$U639,m_active,1,m_start,"&lt;"&amp;$W639,m_end,"&gt;"&amp;$V639)&gt;1,"충돌",""))</f>
        <v/>
      </c>
      <c r="T639" s="48"/>
      <c r="U639" s="55" t="str">
        <f aca="false">IF($G639="","",IFERROR(IF(ISNUMBER($G639),IF($G639&gt;19000000,DATE(INT($G639/10000),MOD(INT($G639/100),100),MOD($G639,100)),INT($G639)),IF(LEN(SUBSTITUTE(SUBSTITUTE(SUBSTITUTE(TRIM($G639),"-",""),".",""),"/",""))=8,DATE(VALUE(LEFT(SUBSTITUTE(SUBSTITUTE(SUBSTITUTE(TRIM($G639),"-",""),".",""),"/",""),4)),VALUE(MID(SUBSTITUTE(SUBSTITUTE(SUBSTITUTE(TRIM($G639),"-",""),".",""),"/",""),5,2)),VALUE(RIGHT(SUBSTITUTE(SUBSTITUTE(SUBSTITUTE(TRIM($G639),"-",""),".",""),"/",""),2))),DATEVALUE($G639))),""))</f>
        <v/>
      </c>
      <c r="V639" s="52" t="str">
        <f aca="false">IF($H639="","",IFERROR(IF(IF(ISNUMBER($H639),$H639,IFERROR(TIMEVALUE($H639),VALUE($H639)))&gt;=100,INT(IF(ISNUMBER($H639),$H639,IFERROR(TIMEVALUE($H639),VALUE($H639)))/100)*60+MOD(IF(ISNUMBER($H639),$H639,IFERROR(TIMEVALUE($H639),VALUE($H639))),100),IF(IF(ISNUMBER($H639),$H639,IFERROR(TIMEVALUE($H639),VALUE($H639)))&gt;=1,ROUND(IF(ISNUMBER($H639),$H639,IFERROR(TIMEVALUE($H639),VALUE($H639)))*60,0),ROUND(MOD(IF(ISNUMBER($H639),$H639,IFERROR(TIMEVALUE($H639),VALUE($H639))),1)*1440,0))),""))</f>
        <v/>
      </c>
      <c r="W639" s="52" t="str">
        <f aca="false">IF($I639="","",IFERROR(IF(IF(ISNUMBER($I639),$I639,IFERROR(TIMEVALUE($I639),VALUE($I639)))&gt;=100,INT(IF(ISNUMBER($I639),$I639,IFERROR(TIMEVALUE($I639),VALUE($I639)))/100)*60+MOD(IF(ISNUMBER($I639),$I639,IFERROR(TIMEVALUE($I639),VALUE($I639))),100),IF(IF(ISNUMBER($I639),$I639,IFERROR(TIMEVALUE($I639),VALUE($I639)))&gt;=1,ROUND(IF(ISNUMBER($I639),$I639,IFERROR(TIMEVALUE($I639),VALUE($I639)))*60,0),ROUND(MOD(IF(ISNUMBER($I639),$I639,IFERROR(TIMEVALUE($I639),VALUE($I639))),1)*1440,0))),""))</f>
        <v/>
      </c>
      <c r="X639" s="55" t="str">
        <f aca="false">IF($P639="","",IFERROR(IF(ISNUMBER($P639),IF($P639&gt;19000000,DATE(INT($P639/10000),MOD(INT($P639/100),100),MOD($P639,100)),INT($P639)),IF(LEN(SUBSTITUTE(SUBSTITUTE(SUBSTITUTE(TRIM($P639),"-",""),".",""),"/",""))=8,DATE(VALUE(LEFT(SUBSTITUTE(SUBSTITUTE(SUBSTITUTE(TRIM($P639),"-",""),".",""),"/",""),4)),VALUE(MID(SUBSTITUTE(SUBSTITUTE(SUBSTITUTE(TRIM($P639),"-",""),".",""),"/",""),5,2)),VALUE(RIGHT(SUBSTITUTE(SUBSTITUTE(SUBSTITUTE(TRIM($P639),"-",""),".",""),"/",""),2))),DATEVALUE($P639))),""))</f>
        <v/>
      </c>
      <c r="Y639" s="56" t="str">
        <f aca="false">IF($M639="","",IFERROR(INDEX(강사DB!$D$4:$D$53,MATCH($M639,강사DB!$A$4:$A$53,0)),""))</f>
        <v/>
      </c>
      <c r="Z639" s="56" t="str">
        <f aca="false">IF($B639&lt;&gt;"결제완료","",IF(OR($Y639="",$J639=""),"",$Y639*$J639+MAX(0,N($K639)-1)*설정!$J$7))</f>
        <v/>
      </c>
      <c r="AA639" s="56" t="str">
        <f aca="false">IF(AND($D639&lt;&gt;"",$B639="결제완료"),N($N639),"")</f>
        <v/>
      </c>
      <c r="AB639" s="45" t="str">
        <f aca="false">IF($D639="","",IF($F639&lt;&gt;"",$F639,$D639)&amp;IF($B639="상담중"," (상담)",""))</f>
        <v/>
      </c>
      <c r="AC639" s="45" t="n">
        <f aca="false">IF(AND($D639&lt;&gt;"",OR($B639="결제완료",$B639="상담중")),1,0)</f>
        <v>0</v>
      </c>
      <c r="AD639" s="45" t="n">
        <f aca="false">IF(OR($Z639="",$U639=""),0,IFERROR(IF(COUNTIFS(INDEX(g_grid,0,2*MATCH($M639,강사DB!$A$4:$A$15,0)),"&lt;&gt;",g_s,"&lt;="&amp;$U639,g_e,"&gt;="&amp;$U639)&gt;0,1,0),0))</f>
        <v>0</v>
      </c>
      <c r="AE639" s="48"/>
      <c r="AF639" s="56" t="str">
        <f aca="false">IF(AND($D639&lt;&gt;"",$B639="결제완료",$T639="대여"),설정!$J$5,"")</f>
        <v/>
      </c>
      <c r="AG639" s="54" t="str">
        <f aca="false">IF($D639="","",IF(AND($E639="",$R639=""),$AB639,"☎ "&amp;IF($E639="","-",$E639)&amp;IF($R639&lt;&gt;"","  ※ "&amp;$R639,"")&amp;IF($B639="상담중"," (상담)","")))</f>
        <v/>
      </c>
      <c r="AH639" s="56" t="str">
        <f aca="false">IF(AND($D639&lt;&gt;"",$B639="결제완료",$O639="스마트스토어"),ROUND(N($N639)*설정!$J$6,0),"")</f>
        <v/>
      </c>
      <c r="AI639" s="54" t="str">
        <f aca="false">IF($D639="","",ROW())</f>
        <v/>
      </c>
      <c r="AJ639" s="54" t="n">
        <f aca="false">IF(OR($AC639&lt;&gt;1,$M639=""),0,IF(ISNUMBER(SEARCH("퇴사",IFERROR(INDEX(강사DB!$G$4:$G$53,MATCH($M639,강사DB!$A$4:$A$53,0)),""))),1,0))</f>
        <v>0</v>
      </c>
    </row>
    <row r="640" customFormat="false" ht="15" hidden="false" customHeight="false" outlineLevel="0" collapsed="false">
      <c r="A640" s="45" t="str">
        <f aca="false">IF($D640="","",COUNTA($D$5:$D640))</f>
        <v/>
      </c>
      <c r="B640" s="46"/>
      <c r="C640" s="47"/>
      <c r="D640" s="48"/>
      <c r="E640" s="48"/>
      <c r="F640" s="49"/>
      <c r="G640" s="47"/>
      <c r="H640" s="50"/>
      <c r="I640" s="50"/>
      <c r="J640" s="51" t="str">
        <f aca="false">IF(OR($V640="",$W640=""),"",ROUND(($W640-$V640)/60,2))</f>
        <v/>
      </c>
      <c r="K640" s="52" t="str">
        <f aca="false">IF($F640="","",LEN($F640)-LEN(SUBSTITUTE($F640,",",""))+1)</f>
        <v/>
      </c>
      <c r="L640" s="45" t="str">
        <f aca="false">IF($K640="","","1:"&amp;$K640)</f>
        <v/>
      </c>
      <c r="M640" s="46"/>
      <c r="N640" s="53"/>
      <c r="O640" s="46"/>
      <c r="P640" s="47"/>
      <c r="Q640" s="48"/>
      <c r="R640" s="49"/>
      <c r="S640" s="54" t="str">
        <f aca="false">IF(OR($AC640=0,$U640="",$M640="",$V640="",$W640=""),"",IF(COUNTIFS(m_teacher,$M640,m_date,$U640,m_active,1,m_start,"&lt;"&amp;$W640,m_end,"&gt;"&amp;$V640)&gt;1,"충돌",""))</f>
        <v/>
      </c>
      <c r="T640" s="48"/>
      <c r="U640" s="55" t="str">
        <f aca="false">IF($G640="","",IFERROR(IF(ISNUMBER($G640),IF($G640&gt;19000000,DATE(INT($G640/10000),MOD(INT($G640/100),100),MOD($G640,100)),INT($G640)),IF(LEN(SUBSTITUTE(SUBSTITUTE(SUBSTITUTE(TRIM($G640),"-",""),".",""),"/",""))=8,DATE(VALUE(LEFT(SUBSTITUTE(SUBSTITUTE(SUBSTITUTE(TRIM($G640),"-",""),".",""),"/",""),4)),VALUE(MID(SUBSTITUTE(SUBSTITUTE(SUBSTITUTE(TRIM($G640),"-",""),".",""),"/",""),5,2)),VALUE(RIGHT(SUBSTITUTE(SUBSTITUTE(SUBSTITUTE(TRIM($G640),"-",""),".",""),"/",""),2))),DATEVALUE($G640))),""))</f>
        <v/>
      </c>
      <c r="V640" s="52" t="str">
        <f aca="false">IF($H640="","",IFERROR(IF(IF(ISNUMBER($H640),$H640,IFERROR(TIMEVALUE($H640),VALUE($H640)))&gt;=100,INT(IF(ISNUMBER($H640),$H640,IFERROR(TIMEVALUE($H640),VALUE($H640)))/100)*60+MOD(IF(ISNUMBER($H640),$H640,IFERROR(TIMEVALUE($H640),VALUE($H640))),100),IF(IF(ISNUMBER($H640),$H640,IFERROR(TIMEVALUE($H640),VALUE($H640)))&gt;=1,ROUND(IF(ISNUMBER($H640),$H640,IFERROR(TIMEVALUE($H640),VALUE($H640)))*60,0),ROUND(MOD(IF(ISNUMBER($H640),$H640,IFERROR(TIMEVALUE($H640),VALUE($H640))),1)*1440,0))),""))</f>
        <v/>
      </c>
      <c r="W640" s="52" t="str">
        <f aca="false">IF($I640="","",IFERROR(IF(IF(ISNUMBER($I640),$I640,IFERROR(TIMEVALUE($I640),VALUE($I640)))&gt;=100,INT(IF(ISNUMBER($I640),$I640,IFERROR(TIMEVALUE($I640),VALUE($I640)))/100)*60+MOD(IF(ISNUMBER($I640),$I640,IFERROR(TIMEVALUE($I640),VALUE($I640))),100),IF(IF(ISNUMBER($I640),$I640,IFERROR(TIMEVALUE($I640),VALUE($I640)))&gt;=1,ROUND(IF(ISNUMBER($I640),$I640,IFERROR(TIMEVALUE($I640),VALUE($I640)))*60,0),ROUND(MOD(IF(ISNUMBER($I640),$I640,IFERROR(TIMEVALUE($I640),VALUE($I640))),1)*1440,0))),""))</f>
        <v/>
      </c>
      <c r="X640" s="55" t="str">
        <f aca="false">IF($P640="","",IFERROR(IF(ISNUMBER($P640),IF($P640&gt;19000000,DATE(INT($P640/10000),MOD(INT($P640/100),100),MOD($P640,100)),INT($P640)),IF(LEN(SUBSTITUTE(SUBSTITUTE(SUBSTITUTE(TRIM($P640),"-",""),".",""),"/",""))=8,DATE(VALUE(LEFT(SUBSTITUTE(SUBSTITUTE(SUBSTITUTE(TRIM($P640),"-",""),".",""),"/",""),4)),VALUE(MID(SUBSTITUTE(SUBSTITUTE(SUBSTITUTE(TRIM($P640),"-",""),".",""),"/",""),5,2)),VALUE(RIGHT(SUBSTITUTE(SUBSTITUTE(SUBSTITUTE(TRIM($P640),"-",""),".",""),"/",""),2))),DATEVALUE($P640))),""))</f>
        <v/>
      </c>
      <c r="Y640" s="56" t="str">
        <f aca="false">IF($M640="","",IFERROR(INDEX(강사DB!$D$4:$D$53,MATCH($M640,강사DB!$A$4:$A$53,0)),""))</f>
        <v/>
      </c>
      <c r="Z640" s="56" t="str">
        <f aca="false">IF($B640&lt;&gt;"결제완료","",IF(OR($Y640="",$J640=""),"",$Y640*$J640+MAX(0,N($K640)-1)*설정!$J$7))</f>
        <v/>
      </c>
      <c r="AA640" s="56" t="str">
        <f aca="false">IF(AND($D640&lt;&gt;"",$B640="결제완료"),N($N640),"")</f>
        <v/>
      </c>
      <c r="AB640" s="45" t="str">
        <f aca="false">IF($D640="","",IF($F640&lt;&gt;"",$F640,$D640)&amp;IF($B640="상담중"," (상담)",""))</f>
        <v/>
      </c>
      <c r="AC640" s="45" t="n">
        <f aca="false">IF(AND($D640&lt;&gt;"",OR($B640="결제완료",$B640="상담중")),1,0)</f>
        <v>0</v>
      </c>
      <c r="AD640" s="45" t="n">
        <f aca="false">IF(OR($Z640="",$U640=""),0,IFERROR(IF(COUNTIFS(INDEX(g_grid,0,2*MATCH($M640,강사DB!$A$4:$A$15,0)),"&lt;&gt;",g_s,"&lt;="&amp;$U640,g_e,"&gt;="&amp;$U640)&gt;0,1,0),0))</f>
        <v>0</v>
      </c>
      <c r="AE640" s="48"/>
      <c r="AF640" s="56" t="str">
        <f aca="false">IF(AND($D640&lt;&gt;"",$B640="결제완료",$T640="대여"),설정!$J$5,"")</f>
        <v/>
      </c>
      <c r="AG640" s="54" t="str">
        <f aca="false">IF($D640="","",IF(AND($E640="",$R640=""),$AB640,"☎ "&amp;IF($E640="","-",$E640)&amp;IF($R640&lt;&gt;"","  ※ "&amp;$R640,"")&amp;IF($B640="상담중"," (상담)","")))</f>
        <v/>
      </c>
      <c r="AH640" s="56" t="str">
        <f aca="false">IF(AND($D640&lt;&gt;"",$B640="결제완료",$O640="스마트스토어"),ROUND(N($N640)*설정!$J$6,0),"")</f>
        <v/>
      </c>
      <c r="AI640" s="54" t="str">
        <f aca="false">IF($D640="","",ROW())</f>
        <v/>
      </c>
      <c r="AJ640" s="54" t="n">
        <f aca="false">IF(OR($AC640&lt;&gt;1,$M640=""),0,IF(ISNUMBER(SEARCH("퇴사",IFERROR(INDEX(강사DB!$G$4:$G$53,MATCH($M640,강사DB!$A$4:$A$53,0)),""))),1,0))</f>
        <v>0</v>
      </c>
    </row>
    <row r="641" customFormat="false" ht="15" hidden="false" customHeight="false" outlineLevel="0" collapsed="false">
      <c r="A641" s="45" t="str">
        <f aca="false">IF($D641="","",COUNTA($D$5:$D641))</f>
        <v/>
      </c>
      <c r="B641" s="46"/>
      <c r="C641" s="47"/>
      <c r="D641" s="48"/>
      <c r="E641" s="48"/>
      <c r="F641" s="49"/>
      <c r="G641" s="47"/>
      <c r="H641" s="50"/>
      <c r="I641" s="50"/>
      <c r="J641" s="51" t="str">
        <f aca="false">IF(OR($V641="",$W641=""),"",ROUND(($W641-$V641)/60,2))</f>
        <v/>
      </c>
      <c r="K641" s="52" t="str">
        <f aca="false">IF($F641="","",LEN($F641)-LEN(SUBSTITUTE($F641,",",""))+1)</f>
        <v/>
      </c>
      <c r="L641" s="45" t="str">
        <f aca="false">IF($K641="","","1:"&amp;$K641)</f>
        <v/>
      </c>
      <c r="M641" s="46"/>
      <c r="N641" s="53"/>
      <c r="O641" s="46"/>
      <c r="P641" s="47"/>
      <c r="Q641" s="48"/>
      <c r="R641" s="49"/>
      <c r="S641" s="54" t="str">
        <f aca="false">IF(OR($AC641=0,$U641="",$M641="",$V641="",$W641=""),"",IF(COUNTIFS(m_teacher,$M641,m_date,$U641,m_active,1,m_start,"&lt;"&amp;$W641,m_end,"&gt;"&amp;$V641)&gt;1,"충돌",""))</f>
        <v/>
      </c>
      <c r="T641" s="48"/>
      <c r="U641" s="55" t="str">
        <f aca="false">IF($G641="","",IFERROR(IF(ISNUMBER($G641),IF($G641&gt;19000000,DATE(INT($G641/10000),MOD(INT($G641/100),100),MOD($G641,100)),INT($G641)),IF(LEN(SUBSTITUTE(SUBSTITUTE(SUBSTITUTE(TRIM($G641),"-",""),".",""),"/",""))=8,DATE(VALUE(LEFT(SUBSTITUTE(SUBSTITUTE(SUBSTITUTE(TRIM($G641),"-",""),".",""),"/",""),4)),VALUE(MID(SUBSTITUTE(SUBSTITUTE(SUBSTITUTE(TRIM($G641),"-",""),".",""),"/",""),5,2)),VALUE(RIGHT(SUBSTITUTE(SUBSTITUTE(SUBSTITUTE(TRIM($G641),"-",""),".",""),"/",""),2))),DATEVALUE($G641))),""))</f>
        <v/>
      </c>
      <c r="V641" s="52" t="str">
        <f aca="false">IF($H641="","",IFERROR(IF(IF(ISNUMBER($H641),$H641,IFERROR(TIMEVALUE($H641),VALUE($H641)))&gt;=100,INT(IF(ISNUMBER($H641),$H641,IFERROR(TIMEVALUE($H641),VALUE($H641)))/100)*60+MOD(IF(ISNUMBER($H641),$H641,IFERROR(TIMEVALUE($H641),VALUE($H641))),100),IF(IF(ISNUMBER($H641),$H641,IFERROR(TIMEVALUE($H641),VALUE($H641)))&gt;=1,ROUND(IF(ISNUMBER($H641),$H641,IFERROR(TIMEVALUE($H641),VALUE($H641)))*60,0),ROUND(MOD(IF(ISNUMBER($H641),$H641,IFERROR(TIMEVALUE($H641),VALUE($H641))),1)*1440,0))),""))</f>
        <v/>
      </c>
      <c r="W641" s="52" t="str">
        <f aca="false">IF($I641="","",IFERROR(IF(IF(ISNUMBER($I641),$I641,IFERROR(TIMEVALUE($I641),VALUE($I641)))&gt;=100,INT(IF(ISNUMBER($I641),$I641,IFERROR(TIMEVALUE($I641),VALUE($I641)))/100)*60+MOD(IF(ISNUMBER($I641),$I641,IFERROR(TIMEVALUE($I641),VALUE($I641))),100),IF(IF(ISNUMBER($I641),$I641,IFERROR(TIMEVALUE($I641),VALUE($I641)))&gt;=1,ROUND(IF(ISNUMBER($I641),$I641,IFERROR(TIMEVALUE($I641),VALUE($I641)))*60,0),ROUND(MOD(IF(ISNUMBER($I641),$I641,IFERROR(TIMEVALUE($I641),VALUE($I641))),1)*1440,0))),""))</f>
        <v/>
      </c>
      <c r="X641" s="55" t="str">
        <f aca="false">IF($P641="","",IFERROR(IF(ISNUMBER($P641),IF($P641&gt;19000000,DATE(INT($P641/10000),MOD(INT($P641/100),100),MOD($P641,100)),INT($P641)),IF(LEN(SUBSTITUTE(SUBSTITUTE(SUBSTITUTE(TRIM($P641),"-",""),".",""),"/",""))=8,DATE(VALUE(LEFT(SUBSTITUTE(SUBSTITUTE(SUBSTITUTE(TRIM($P641),"-",""),".",""),"/",""),4)),VALUE(MID(SUBSTITUTE(SUBSTITUTE(SUBSTITUTE(TRIM($P641),"-",""),".",""),"/",""),5,2)),VALUE(RIGHT(SUBSTITUTE(SUBSTITUTE(SUBSTITUTE(TRIM($P641),"-",""),".",""),"/",""),2))),DATEVALUE($P641))),""))</f>
        <v/>
      </c>
      <c r="Y641" s="56" t="str">
        <f aca="false">IF($M641="","",IFERROR(INDEX(강사DB!$D$4:$D$53,MATCH($M641,강사DB!$A$4:$A$53,0)),""))</f>
        <v/>
      </c>
      <c r="Z641" s="56" t="str">
        <f aca="false">IF($B641&lt;&gt;"결제완료","",IF(OR($Y641="",$J641=""),"",$Y641*$J641+MAX(0,N($K641)-1)*설정!$J$7))</f>
        <v/>
      </c>
      <c r="AA641" s="56" t="str">
        <f aca="false">IF(AND($D641&lt;&gt;"",$B641="결제완료"),N($N641),"")</f>
        <v/>
      </c>
      <c r="AB641" s="45" t="str">
        <f aca="false">IF($D641="","",IF($F641&lt;&gt;"",$F641,$D641)&amp;IF($B641="상담중"," (상담)",""))</f>
        <v/>
      </c>
      <c r="AC641" s="45" t="n">
        <f aca="false">IF(AND($D641&lt;&gt;"",OR($B641="결제완료",$B641="상담중")),1,0)</f>
        <v>0</v>
      </c>
      <c r="AD641" s="45" t="n">
        <f aca="false">IF(OR($Z641="",$U641=""),0,IFERROR(IF(COUNTIFS(INDEX(g_grid,0,2*MATCH($M641,강사DB!$A$4:$A$15,0)),"&lt;&gt;",g_s,"&lt;="&amp;$U641,g_e,"&gt;="&amp;$U641)&gt;0,1,0),0))</f>
        <v>0</v>
      </c>
      <c r="AE641" s="48"/>
      <c r="AF641" s="56" t="str">
        <f aca="false">IF(AND($D641&lt;&gt;"",$B641="결제완료",$T641="대여"),설정!$J$5,"")</f>
        <v/>
      </c>
      <c r="AG641" s="54" t="str">
        <f aca="false">IF($D641="","",IF(AND($E641="",$R641=""),$AB641,"☎ "&amp;IF($E641="","-",$E641)&amp;IF($R641&lt;&gt;"","  ※ "&amp;$R641,"")&amp;IF($B641="상담중"," (상담)","")))</f>
        <v/>
      </c>
      <c r="AH641" s="56" t="str">
        <f aca="false">IF(AND($D641&lt;&gt;"",$B641="결제완료",$O641="스마트스토어"),ROUND(N($N641)*설정!$J$6,0),"")</f>
        <v/>
      </c>
      <c r="AI641" s="54" t="str">
        <f aca="false">IF($D641="","",ROW())</f>
        <v/>
      </c>
      <c r="AJ641" s="54" t="n">
        <f aca="false">IF(OR($AC641&lt;&gt;1,$M641=""),0,IF(ISNUMBER(SEARCH("퇴사",IFERROR(INDEX(강사DB!$G$4:$G$53,MATCH($M641,강사DB!$A$4:$A$53,0)),""))),1,0))</f>
        <v>0</v>
      </c>
    </row>
    <row r="642" customFormat="false" ht="15" hidden="false" customHeight="false" outlineLevel="0" collapsed="false">
      <c r="A642" s="45" t="str">
        <f aca="false">IF($D642="","",COUNTA($D$5:$D642))</f>
        <v/>
      </c>
      <c r="B642" s="46"/>
      <c r="C642" s="47"/>
      <c r="D642" s="48"/>
      <c r="E642" s="48"/>
      <c r="F642" s="49"/>
      <c r="G642" s="47"/>
      <c r="H642" s="50"/>
      <c r="I642" s="50"/>
      <c r="J642" s="51" t="str">
        <f aca="false">IF(OR($V642="",$W642=""),"",ROUND(($W642-$V642)/60,2))</f>
        <v/>
      </c>
      <c r="K642" s="52" t="str">
        <f aca="false">IF($F642="","",LEN($F642)-LEN(SUBSTITUTE($F642,",",""))+1)</f>
        <v/>
      </c>
      <c r="L642" s="45" t="str">
        <f aca="false">IF($K642="","","1:"&amp;$K642)</f>
        <v/>
      </c>
      <c r="M642" s="46"/>
      <c r="N642" s="53"/>
      <c r="O642" s="46"/>
      <c r="P642" s="47"/>
      <c r="Q642" s="48"/>
      <c r="R642" s="49"/>
      <c r="S642" s="54" t="str">
        <f aca="false">IF(OR($AC642=0,$U642="",$M642="",$V642="",$W642=""),"",IF(COUNTIFS(m_teacher,$M642,m_date,$U642,m_active,1,m_start,"&lt;"&amp;$W642,m_end,"&gt;"&amp;$V642)&gt;1,"충돌",""))</f>
        <v/>
      </c>
      <c r="T642" s="48"/>
      <c r="U642" s="55" t="str">
        <f aca="false">IF($G642="","",IFERROR(IF(ISNUMBER($G642),IF($G642&gt;19000000,DATE(INT($G642/10000),MOD(INT($G642/100),100),MOD($G642,100)),INT($G642)),IF(LEN(SUBSTITUTE(SUBSTITUTE(SUBSTITUTE(TRIM($G642),"-",""),".",""),"/",""))=8,DATE(VALUE(LEFT(SUBSTITUTE(SUBSTITUTE(SUBSTITUTE(TRIM($G642),"-",""),".",""),"/",""),4)),VALUE(MID(SUBSTITUTE(SUBSTITUTE(SUBSTITUTE(TRIM($G642),"-",""),".",""),"/",""),5,2)),VALUE(RIGHT(SUBSTITUTE(SUBSTITUTE(SUBSTITUTE(TRIM($G642),"-",""),".",""),"/",""),2))),DATEVALUE($G642))),""))</f>
        <v/>
      </c>
      <c r="V642" s="52" t="str">
        <f aca="false">IF($H642="","",IFERROR(IF(IF(ISNUMBER($H642),$H642,IFERROR(TIMEVALUE($H642),VALUE($H642)))&gt;=100,INT(IF(ISNUMBER($H642),$H642,IFERROR(TIMEVALUE($H642),VALUE($H642)))/100)*60+MOD(IF(ISNUMBER($H642),$H642,IFERROR(TIMEVALUE($H642),VALUE($H642))),100),IF(IF(ISNUMBER($H642),$H642,IFERROR(TIMEVALUE($H642),VALUE($H642)))&gt;=1,ROUND(IF(ISNUMBER($H642),$H642,IFERROR(TIMEVALUE($H642),VALUE($H642)))*60,0),ROUND(MOD(IF(ISNUMBER($H642),$H642,IFERROR(TIMEVALUE($H642),VALUE($H642))),1)*1440,0))),""))</f>
        <v/>
      </c>
      <c r="W642" s="52" t="str">
        <f aca="false">IF($I642="","",IFERROR(IF(IF(ISNUMBER($I642),$I642,IFERROR(TIMEVALUE($I642),VALUE($I642)))&gt;=100,INT(IF(ISNUMBER($I642),$I642,IFERROR(TIMEVALUE($I642),VALUE($I642)))/100)*60+MOD(IF(ISNUMBER($I642),$I642,IFERROR(TIMEVALUE($I642),VALUE($I642))),100),IF(IF(ISNUMBER($I642),$I642,IFERROR(TIMEVALUE($I642),VALUE($I642)))&gt;=1,ROUND(IF(ISNUMBER($I642),$I642,IFERROR(TIMEVALUE($I642),VALUE($I642)))*60,0),ROUND(MOD(IF(ISNUMBER($I642),$I642,IFERROR(TIMEVALUE($I642),VALUE($I642))),1)*1440,0))),""))</f>
        <v/>
      </c>
      <c r="X642" s="55" t="str">
        <f aca="false">IF($P642="","",IFERROR(IF(ISNUMBER($P642),IF($P642&gt;19000000,DATE(INT($P642/10000),MOD(INT($P642/100),100),MOD($P642,100)),INT($P642)),IF(LEN(SUBSTITUTE(SUBSTITUTE(SUBSTITUTE(TRIM($P642),"-",""),".",""),"/",""))=8,DATE(VALUE(LEFT(SUBSTITUTE(SUBSTITUTE(SUBSTITUTE(TRIM($P642),"-",""),".",""),"/",""),4)),VALUE(MID(SUBSTITUTE(SUBSTITUTE(SUBSTITUTE(TRIM($P642),"-",""),".",""),"/",""),5,2)),VALUE(RIGHT(SUBSTITUTE(SUBSTITUTE(SUBSTITUTE(TRIM($P642),"-",""),".",""),"/",""),2))),DATEVALUE($P642))),""))</f>
        <v/>
      </c>
      <c r="Y642" s="56" t="str">
        <f aca="false">IF($M642="","",IFERROR(INDEX(강사DB!$D$4:$D$53,MATCH($M642,강사DB!$A$4:$A$53,0)),""))</f>
        <v/>
      </c>
      <c r="Z642" s="56" t="str">
        <f aca="false">IF($B642&lt;&gt;"결제완료","",IF(OR($Y642="",$J642=""),"",$Y642*$J642+MAX(0,N($K642)-1)*설정!$J$7))</f>
        <v/>
      </c>
      <c r="AA642" s="56" t="str">
        <f aca="false">IF(AND($D642&lt;&gt;"",$B642="결제완료"),N($N642),"")</f>
        <v/>
      </c>
      <c r="AB642" s="45" t="str">
        <f aca="false">IF($D642="","",IF($F642&lt;&gt;"",$F642,$D642)&amp;IF($B642="상담중"," (상담)",""))</f>
        <v/>
      </c>
      <c r="AC642" s="45" t="n">
        <f aca="false">IF(AND($D642&lt;&gt;"",OR($B642="결제완료",$B642="상담중")),1,0)</f>
        <v>0</v>
      </c>
      <c r="AD642" s="45" t="n">
        <f aca="false">IF(OR($Z642="",$U642=""),0,IFERROR(IF(COUNTIFS(INDEX(g_grid,0,2*MATCH($M642,강사DB!$A$4:$A$15,0)),"&lt;&gt;",g_s,"&lt;="&amp;$U642,g_e,"&gt;="&amp;$U642)&gt;0,1,0),0))</f>
        <v>0</v>
      </c>
      <c r="AE642" s="48"/>
      <c r="AF642" s="56" t="str">
        <f aca="false">IF(AND($D642&lt;&gt;"",$B642="결제완료",$T642="대여"),설정!$J$5,"")</f>
        <v/>
      </c>
      <c r="AG642" s="54" t="str">
        <f aca="false">IF($D642="","",IF(AND($E642="",$R642=""),$AB642,"☎ "&amp;IF($E642="","-",$E642)&amp;IF($R642&lt;&gt;"","  ※ "&amp;$R642,"")&amp;IF($B642="상담중"," (상담)","")))</f>
        <v/>
      </c>
      <c r="AH642" s="56" t="str">
        <f aca="false">IF(AND($D642&lt;&gt;"",$B642="결제완료",$O642="스마트스토어"),ROUND(N($N642)*설정!$J$6,0),"")</f>
        <v/>
      </c>
      <c r="AI642" s="54" t="str">
        <f aca="false">IF($D642="","",ROW())</f>
        <v/>
      </c>
      <c r="AJ642" s="54" t="n">
        <f aca="false">IF(OR($AC642&lt;&gt;1,$M642=""),0,IF(ISNUMBER(SEARCH("퇴사",IFERROR(INDEX(강사DB!$G$4:$G$53,MATCH($M642,강사DB!$A$4:$A$53,0)),""))),1,0))</f>
        <v>0</v>
      </c>
    </row>
    <row r="643" customFormat="false" ht="15" hidden="false" customHeight="false" outlineLevel="0" collapsed="false">
      <c r="A643" s="45" t="str">
        <f aca="false">IF($D643="","",COUNTA($D$5:$D643))</f>
        <v/>
      </c>
      <c r="B643" s="46"/>
      <c r="C643" s="47"/>
      <c r="D643" s="48"/>
      <c r="E643" s="48"/>
      <c r="F643" s="49"/>
      <c r="G643" s="47"/>
      <c r="H643" s="50"/>
      <c r="I643" s="50"/>
      <c r="J643" s="51" t="str">
        <f aca="false">IF(OR($V643="",$W643=""),"",ROUND(($W643-$V643)/60,2))</f>
        <v/>
      </c>
      <c r="K643" s="52" t="str">
        <f aca="false">IF($F643="","",LEN($F643)-LEN(SUBSTITUTE($F643,",",""))+1)</f>
        <v/>
      </c>
      <c r="L643" s="45" t="str">
        <f aca="false">IF($K643="","","1:"&amp;$K643)</f>
        <v/>
      </c>
      <c r="M643" s="46"/>
      <c r="N643" s="53"/>
      <c r="O643" s="46"/>
      <c r="P643" s="47"/>
      <c r="Q643" s="48"/>
      <c r="R643" s="49"/>
      <c r="S643" s="54" t="str">
        <f aca="false">IF(OR($AC643=0,$U643="",$M643="",$V643="",$W643=""),"",IF(COUNTIFS(m_teacher,$M643,m_date,$U643,m_active,1,m_start,"&lt;"&amp;$W643,m_end,"&gt;"&amp;$V643)&gt;1,"충돌",""))</f>
        <v/>
      </c>
      <c r="T643" s="48"/>
      <c r="U643" s="55" t="str">
        <f aca="false">IF($G643="","",IFERROR(IF(ISNUMBER($G643),IF($G643&gt;19000000,DATE(INT($G643/10000),MOD(INT($G643/100),100),MOD($G643,100)),INT($G643)),IF(LEN(SUBSTITUTE(SUBSTITUTE(SUBSTITUTE(TRIM($G643),"-",""),".",""),"/",""))=8,DATE(VALUE(LEFT(SUBSTITUTE(SUBSTITUTE(SUBSTITUTE(TRIM($G643),"-",""),".",""),"/",""),4)),VALUE(MID(SUBSTITUTE(SUBSTITUTE(SUBSTITUTE(TRIM($G643),"-",""),".",""),"/",""),5,2)),VALUE(RIGHT(SUBSTITUTE(SUBSTITUTE(SUBSTITUTE(TRIM($G643),"-",""),".",""),"/",""),2))),DATEVALUE($G643))),""))</f>
        <v/>
      </c>
      <c r="V643" s="52" t="str">
        <f aca="false">IF($H643="","",IFERROR(IF(IF(ISNUMBER($H643),$H643,IFERROR(TIMEVALUE($H643),VALUE($H643)))&gt;=100,INT(IF(ISNUMBER($H643),$H643,IFERROR(TIMEVALUE($H643),VALUE($H643)))/100)*60+MOD(IF(ISNUMBER($H643),$H643,IFERROR(TIMEVALUE($H643),VALUE($H643))),100),IF(IF(ISNUMBER($H643),$H643,IFERROR(TIMEVALUE($H643),VALUE($H643)))&gt;=1,ROUND(IF(ISNUMBER($H643),$H643,IFERROR(TIMEVALUE($H643),VALUE($H643)))*60,0),ROUND(MOD(IF(ISNUMBER($H643),$H643,IFERROR(TIMEVALUE($H643),VALUE($H643))),1)*1440,0))),""))</f>
        <v/>
      </c>
      <c r="W643" s="52" t="str">
        <f aca="false">IF($I643="","",IFERROR(IF(IF(ISNUMBER($I643),$I643,IFERROR(TIMEVALUE($I643),VALUE($I643)))&gt;=100,INT(IF(ISNUMBER($I643),$I643,IFERROR(TIMEVALUE($I643),VALUE($I643)))/100)*60+MOD(IF(ISNUMBER($I643),$I643,IFERROR(TIMEVALUE($I643),VALUE($I643))),100),IF(IF(ISNUMBER($I643),$I643,IFERROR(TIMEVALUE($I643),VALUE($I643)))&gt;=1,ROUND(IF(ISNUMBER($I643),$I643,IFERROR(TIMEVALUE($I643),VALUE($I643)))*60,0),ROUND(MOD(IF(ISNUMBER($I643),$I643,IFERROR(TIMEVALUE($I643),VALUE($I643))),1)*1440,0))),""))</f>
        <v/>
      </c>
      <c r="X643" s="55" t="str">
        <f aca="false">IF($P643="","",IFERROR(IF(ISNUMBER($P643),IF($P643&gt;19000000,DATE(INT($P643/10000),MOD(INT($P643/100),100),MOD($P643,100)),INT($P643)),IF(LEN(SUBSTITUTE(SUBSTITUTE(SUBSTITUTE(TRIM($P643),"-",""),".",""),"/",""))=8,DATE(VALUE(LEFT(SUBSTITUTE(SUBSTITUTE(SUBSTITUTE(TRIM($P643),"-",""),".",""),"/",""),4)),VALUE(MID(SUBSTITUTE(SUBSTITUTE(SUBSTITUTE(TRIM($P643),"-",""),".",""),"/",""),5,2)),VALUE(RIGHT(SUBSTITUTE(SUBSTITUTE(SUBSTITUTE(TRIM($P643),"-",""),".",""),"/",""),2))),DATEVALUE($P643))),""))</f>
        <v/>
      </c>
      <c r="Y643" s="56" t="str">
        <f aca="false">IF($M643="","",IFERROR(INDEX(강사DB!$D$4:$D$53,MATCH($M643,강사DB!$A$4:$A$53,0)),""))</f>
        <v/>
      </c>
      <c r="Z643" s="56" t="str">
        <f aca="false">IF($B643&lt;&gt;"결제완료","",IF(OR($Y643="",$J643=""),"",$Y643*$J643+MAX(0,N($K643)-1)*설정!$J$7))</f>
        <v/>
      </c>
      <c r="AA643" s="56" t="str">
        <f aca="false">IF(AND($D643&lt;&gt;"",$B643="결제완료"),N($N643),"")</f>
        <v/>
      </c>
      <c r="AB643" s="45" t="str">
        <f aca="false">IF($D643="","",IF($F643&lt;&gt;"",$F643,$D643)&amp;IF($B643="상담중"," (상담)",""))</f>
        <v/>
      </c>
      <c r="AC643" s="45" t="n">
        <f aca="false">IF(AND($D643&lt;&gt;"",OR($B643="결제완료",$B643="상담중")),1,0)</f>
        <v>0</v>
      </c>
      <c r="AD643" s="45" t="n">
        <f aca="false">IF(OR($Z643="",$U643=""),0,IFERROR(IF(COUNTIFS(INDEX(g_grid,0,2*MATCH($M643,강사DB!$A$4:$A$15,0)),"&lt;&gt;",g_s,"&lt;="&amp;$U643,g_e,"&gt;="&amp;$U643)&gt;0,1,0),0))</f>
        <v>0</v>
      </c>
      <c r="AE643" s="48"/>
      <c r="AF643" s="56" t="str">
        <f aca="false">IF(AND($D643&lt;&gt;"",$B643="결제완료",$T643="대여"),설정!$J$5,"")</f>
        <v/>
      </c>
      <c r="AG643" s="54" t="str">
        <f aca="false">IF($D643="","",IF(AND($E643="",$R643=""),$AB643,"☎ "&amp;IF($E643="","-",$E643)&amp;IF($R643&lt;&gt;"","  ※ "&amp;$R643,"")&amp;IF($B643="상담중"," (상담)","")))</f>
        <v/>
      </c>
      <c r="AH643" s="56" t="str">
        <f aca="false">IF(AND($D643&lt;&gt;"",$B643="결제완료",$O643="스마트스토어"),ROUND(N($N643)*설정!$J$6,0),"")</f>
        <v/>
      </c>
      <c r="AI643" s="54" t="str">
        <f aca="false">IF($D643="","",ROW())</f>
        <v/>
      </c>
      <c r="AJ643" s="54" t="n">
        <f aca="false">IF(OR($AC643&lt;&gt;1,$M643=""),0,IF(ISNUMBER(SEARCH("퇴사",IFERROR(INDEX(강사DB!$G$4:$G$53,MATCH($M643,강사DB!$A$4:$A$53,0)),""))),1,0))</f>
        <v>0</v>
      </c>
    </row>
    <row r="644" customFormat="false" ht="15" hidden="false" customHeight="false" outlineLevel="0" collapsed="false">
      <c r="A644" s="45" t="str">
        <f aca="false">IF($D644="","",COUNTA($D$5:$D644))</f>
        <v/>
      </c>
      <c r="B644" s="46"/>
      <c r="C644" s="47"/>
      <c r="D644" s="48"/>
      <c r="E644" s="48"/>
      <c r="F644" s="49"/>
      <c r="G644" s="47"/>
      <c r="H644" s="50"/>
      <c r="I644" s="50"/>
      <c r="J644" s="51" t="str">
        <f aca="false">IF(OR($V644="",$W644=""),"",ROUND(($W644-$V644)/60,2))</f>
        <v/>
      </c>
      <c r="K644" s="52" t="str">
        <f aca="false">IF($F644="","",LEN($F644)-LEN(SUBSTITUTE($F644,",",""))+1)</f>
        <v/>
      </c>
      <c r="L644" s="45" t="str">
        <f aca="false">IF($K644="","","1:"&amp;$K644)</f>
        <v/>
      </c>
      <c r="M644" s="46"/>
      <c r="N644" s="53"/>
      <c r="O644" s="46"/>
      <c r="P644" s="47"/>
      <c r="Q644" s="48"/>
      <c r="R644" s="49"/>
      <c r="S644" s="54" t="str">
        <f aca="false">IF(OR($AC644=0,$U644="",$M644="",$V644="",$W644=""),"",IF(COUNTIFS(m_teacher,$M644,m_date,$U644,m_active,1,m_start,"&lt;"&amp;$W644,m_end,"&gt;"&amp;$V644)&gt;1,"충돌",""))</f>
        <v/>
      </c>
      <c r="T644" s="48"/>
      <c r="U644" s="55" t="str">
        <f aca="false">IF($G644="","",IFERROR(IF(ISNUMBER($G644),IF($G644&gt;19000000,DATE(INT($G644/10000),MOD(INT($G644/100),100),MOD($G644,100)),INT($G644)),IF(LEN(SUBSTITUTE(SUBSTITUTE(SUBSTITUTE(TRIM($G644),"-",""),".",""),"/",""))=8,DATE(VALUE(LEFT(SUBSTITUTE(SUBSTITUTE(SUBSTITUTE(TRIM($G644),"-",""),".",""),"/",""),4)),VALUE(MID(SUBSTITUTE(SUBSTITUTE(SUBSTITUTE(TRIM($G644),"-",""),".",""),"/",""),5,2)),VALUE(RIGHT(SUBSTITUTE(SUBSTITUTE(SUBSTITUTE(TRIM($G644),"-",""),".",""),"/",""),2))),DATEVALUE($G644))),""))</f>
        <v/>
      </c>
      <c r="V644" s="52" t="str">
        <f aca="false">IF($H644="","",IFERROR(IF(IF(ISNUMBER($H644),$H644,IFERROR(TIMEVALUE($H644),VALUE($H644)))&gt;=100,INT(IF(ISNUMBER($H644),$H644,IFERROR(TIMEVALUE($H644),VALUE($H644)))/100)*60+MOD(IF(ISNUMBER($H644),$H644,IFERROR(TIMEVALUE($H644),VALUE($H644))),100),IF(IF(ISNUMBER($H644),$H644,IFERROR(TIMEVALUE($H644),VALUE($H644)))&gt;=1,ROUND(IF(ISNUMBER($H644),$H644,IFERROR(TIMEVALUE($H644),VALUE($H644)))*60,0),ROUND(MOD(IF(ISNUMBER($H644),$H644,IFERROR(TIMEVALUE($H644),VALUE($H644))),1)*1440,0))),""))</f>
        <v/>
      </c>
      <c r="W644" s="52" t="str">
        <f aca="false">IF($I644="","",IFERROR(IF(IF(ISNUMBER($I644),$I644,IFERROR(TIMEVALUE($I644),VALUE($I644)))&gt;=100,INT(IF(ISNUMBER($I644),$I644,IFERROR(TIMEVALUE($I644),VALUE($I644)))/100)*60+MOD(IF(ISNUMBER($I644),$I644,IFERROR(TIMEVALUE($I644),VALUE($I644))),100),IF(IF(ISNUMBER($I644),$I644,IFERROR(TIMEVALUE($I644),VALUE($I644)))&gt;=1,ROUND(IF(ISNUMBER($I644),$I644,IFERROR(TIMEVALUE($I644),VALUE($I644)))*60,0),ROUND(MOD(IF(ISNUMBER($I644),$I644,IFERROR(TIMEVALUE($I644),VALUE($I644))),1)*1440,0))),""))</f>
        <v/>
      </c>
      <c r="X644" s="55" t="str">
        <f aca="false">IF($P644="","",IFERROR(IF(ISNUMBER($P644),IF($P644&gt;19000000,DATE(INT($P644/10000),MOD(INT($P644/100),100),MOD($P644,100)),INT($P644)),IF(LEN(SUBSTITUTE(SUBSTITUTE(SUBSTITUTE(TRIM($P644),"-",""),".",""),"/",""))=8,DATE(VALUE(LEFT(SUBSTITUTE(SUBSTITUTE(SUBSTITUTE(TRIM($P644),"-",""),".",""),"/",""),4)),VALUE(MID(SUBSTITUTE(SUBSTITUTE(SUBSTITUTE(TRIM($P644),"-",""),".",""),"/",""),5,2)),VALUE(RIGHT(SUBSTITUTE(SUBSTITUTE(SUBSTITUTE(TRIM($P644),"-",""),".",""),"/",""),2))),DATEVALUE($P644))),""))</f>
        <v/>
      </c>
      <c r="Y644" s="56" t="str">
        <f aca="false">IF($M644="","",IFERROR(INDEX(강사DB!$D$4:$D$53,MATCH($M644,강사DB!$A$4:$A$53,0)),""))</f>
        <v/>
      </c>
      <c r="Z644" s="56" t="str">
        <f aca="false">IF($B644&lt;&gt;"결제완료","",IF(OR($Y644="",$J644=""),"",$Y644*$J644+MAX(0,N($K644)-1)*설정!$J$7))</f>
        <v/>
      </c>
      <c r="AA644" s="56" t="str">
        <f aca="false">IF(AND($D644&lt;&gt;"",$B644="결제완료"),N($N644),"")</f>
        <v/>
      </c>
      <c r="AB644" s="45" t="str">
        <f aca="false">IF($D644="","",IF($F644&lt;&gt;"",$F644,$D644)&amp;IF($B644="상담중"," (상담)",""))</f>
        <v/>
      </c>
      <c r="AC644" s="45" t="n">
        <f aca="false">IF(AND($D644&lt;&gt;"",OR($B644="결제완료",$B644="상담중")),1,0)</f>
        <v>0</v>
      </c>
      <c r="AD644" s="45" t="n">
        <f aca="false">IF(OR($Z644="",$U644=""),0,IFERROR(IF(COUNTIFS(INDEX(g_grid,0,2*MATCH($M644,강사DB!$A$4:$A$15,0)),"&lt;&gt;",g_s,"&lt;="&amp;$U644,g_e,"&gt;="&amp;$U644)&gt;0,1,0),0))</f>
        <v>0</v>
      </c>
      <c r="AE644" s="48"/>
      <c r="AF644" s="56" t="str">
        <f aca="false">IF(AND($D644&lt;&gt;"",$B644="결제완료",$T644="대여"),설정!$J$5,"")</f>
        <v/>
      </c>
      <c r="AG644" s="54" t="str">
        <f aca="false">IF($D644="","",IF(AND($E644="",$R644=""),$AB644,"☎ "&amp;IF($E644="","-",$E644)&amp;IF($R644&lt;&gt;"","  ※ "&amp;$R644,"")&amp;IF($B644="상담중"," (상담)","")))</f>
        <v/>
      </c>
      <c r="AH644" s="56" t="str">
        <f aca="false">IF(AND($D644&lt;&gt;"",$B644="결제완료",$O644="스마트스토어"),ROUND(N($N644)*설정!$J$6,0),"")</f>
        <v/>
      </c>
      <c r="AI644" s="54" t="str">
        <f aca="false">IF($D644="","",ROW())</f>
        <v/>
      </c>
      <c r="AJ644" s="54" t="n">
        <f aca="false">IF(OR($AC644&lt;&gt;1,$M644=""),0,IF(ISNUMBER(SEARCH("퇴사",IFERROR(INDEX(강사DB!$G$4:$G$53,MATCH($M644,강사DB!$A$4:$A$53,0)),""))),1,0))</f>
        <v>0</v>
      </c>
    </row>
    <row r="645" customFormat="false" ht="15" hidden="false" customHeight="false" outlineLevel="0" collapsed="false">
      <c r="A645" s="45" t="str">
        <f aca="false">IF($D645="","",COUNTA($D$5:$D645))</f>
        <v/>
      </c>
      <c r="B645" s="46"/>
      <c r="C645" s="47"/>
      <c r="D645" s="48"/>
      <c r="E645" s="48"/>
      <c r="F645" s="49"/>
      <c r="G645" s="47"/>
      <c r="H645" s="50"/>
      <c r="I645" s="50"/>
      <c r="J645" s="51" t="str">
        <f aca="false">IF(OR($V645="",$W645=""),"",ROUND(($W645-$V645)/60,2))</f>
        <v/>
      </c>
      <c r="K645" s="52" t="str">
        <f aca="false">IF($F645="","",LEN($F645)-LEN(SUBSTITUTE($F645,",",""))+1)</f>
        <v/>
      </c>
      <c r="L645" s="45" t="str">
        <f aca="false">IF($K645="","","1:"&amp;$K645)</f>
        <v/>
      </c>
      <c r="M645" s="46"/>
      <c r="N645" s="53"/>
      <c r="O645" s="46"/>
      <c r="P645" s="47"/>
      <c r="Q645" s="48"/>
      <c r="R645" s="49"/>
      <c r="S645" s="54" t="str">
        <f aca="false">IF(OR($AC645=0,$U645="",$M645="",$V645="",$W645=""),"",IF(COUNTIFS(m_teacher,$M645,m_date,$U645,m_active,1,m_start,"&lt;"&amp;$W645,m_end,"&gt;"&amp;$V645)&gt;1,"충돌",""))</f>
        <v/>
      </c>
      <c r="T645" s="48"/>
      <c r="U645" s="55" t="str">
        <f aca="false">IF($G645="","",IFERROR(IF(ISNUMBER($G645),IF($G645&gt;19000000,DATE(INT($G645/10000),MOD(INT($G645/100),100),MOD($G645,100)),INT($G645)),IF(LEN(SUBSTITUTE(SUBSTITUTE(SUBSTITUTE(TRIM($G645),"-",""),".",""),"/",""))=8,DATE(VALUE(LEFT(SUBSTITUTE(SUBSTITUTE(SUBSTITUTE(TRIM($G645),"-",""),".",""),"/",""),4)),VALUE(MID(SUBSTITUTE(SUBSTITUTE(SUBSTITUTE(TRIM($G645),"-",""),".",""),"/",""),5,2)),VALUE(RIGHT(SUBSTITUTE(SUBSTITUTE(SUBSTITUTE(TRIM($G645),"-",""),".",""),"/",""),2))),DATEVALUE($G645))),""))</f>
        <v/>
      </c>
      <c r="V645" s="52" t="str">
        <f aca="false">IF($H645="","",IFERROR(IF(IF(ISNUMBER($H645),$H645,IFERROR(TIMEVALUE($H645),VALUE($H645)))&gt;=100,INT(IF(ISNUMBER($H645),$H645,IFERROR(TIMEVALUE($H645),VALUE($H645)))/100)*60+MOD(IF(ISNUMBER($H645),$H645,IFERROR(TIMEVALUE($H645),VALUE($H645))),100),IF(IF(ISNUMBER($H645),$H645,IFERROR(TIMEVALUE($H645),VALUE($H645)))&gt;=1,ROUND(IF(ISNUMBER($H645),$H645,IFERROR(TIMEVALUE($H645),VALUE($H645)))*60,0),ROUND(MOD(IF(ISNUMBER($H645),$H645,IFERROR(TIMEVALUE($H645),VALUE($H645))),1)*1440,0))),""))</f>
        <v/>
      </c>
      <c r="W645" s="52" t="str">
        <f aca="false">IF($I645="","",IFERROR(IF(IF(ISNUMBER($I645),$I645,IFERROR(TIMEVALUE($I645),VALUE($I645)))&gt;=100,INT(IF(ISNUMBER($I645),$I645,IFERROR(TIMEVALUE($I645),VALUE($I645)))/100)*60+MOD(IF(ISNUMBER($I645),$I645,IFERROR(TIMEVALUE($I645),VALUE($I645))),100),IF(IF(ISNUMBER($I645),$I645,IFERROR(TIMEVALUE($I645),VALUE($I645)))&gt;=1,ROUND(IF(ISNUMBER($I645),$I645,IFERROR(TIMEVALUE($I645),VALUE($I645)))*60,0),ROUND(MOD(IF(ISNUMBER($I645),$I645,IFERROR(TIMEVALUE($I645),VALUE($I645))),1)*1440,0))),""))</f>
        <v/>
      </c>
      <c r="X645" s="55" t="str">
        <f aca="false">IF($P645="","",IFERROR(IF(ISNUMBER($P645),IF($P645&gt;19000000,DATE(INT($P645/10000),MOD(INT($P645/100),100),MOD($P645,100)),INT($P645)),IF(LEN(SUBSTITUTE(SUBSTITUTE(SUBSTITUTE(TRIM($P645),"-",""),".",""),"/",""))=8,DATE(VALUE(LEFT(SUBSTITUTE(SUBSTITUTE(SUBSTITUTE(TRIM($P645),"-",""),".",""),"/",""),4)),VALUE(MID(SUBSTITUTE(SUBSTITUTE(SUBSTITUTE(TRIM($P645),"-",""),".",""),"/",""),5,2)),VALUE(RIGHT(SUBSTITUTE(SUBSTITUTE(SUBSTITUTE(TRIM($P645),"-",""),".",""),"/",""),2))),DATEVALUE($P645))),""))</f>
        <v/>
      </c>
      <c r="Y645" s="56" t="str">
        <f aca="false">IF($M645="","",IFERROR(INDEX(강사DB!$D$4:$D$53,MATCH($M645,강사DB!$A$4:$A$53,0)),""))</f>
        <v/>
      </c>
      <c r="Z645" s="56" t="str">
        <f aca="false">IF($B645&lt;&gt;"결제완료","",IF(OR($Y645="",$J645=""),"",$Y645*$J645+MAX(0,N($K645)-1)*설정!$J$7))</f>
        <v/>
      </c>
      <c r="AA645" s="56" t="str">
        <f aca="false">IF(AND($D645&lt;&gt;"",$B645="결제완료"),N($N645),"")</f>
        <v/>
      </c>
      <c r="AB645" s="45" t="str">
        <f aca="false">IF($D645="","",IF($F645&lt;&gt;"",$F645,$D645)&amp;IF($B645="상담중"," (상담)",""))</f>
        <v/>
      </c>
      <c r="AC645" s="45" t="n">
        <f aca="false">IF(AND($D645&lt;&gt;"",OR($B645="결제완료",$B645="상담중")),1,0)</f>
        <v>0</v>
      </c>
      <c r="AD645" s="45" t="n">
        <f aca="false">IF(OR($Z645="",$U645=""),0,IFERROR(IF(COUNTIFS(INDEX(g_grid,0,2*MATCH($M645,강사DB!$A$4:$A$15,0)),"&lt;&gt;",g_s,"&lt;="&amp;$U645,g_e,"&gt;="&amp;$U645)&gt;0,1,0),0))</f>
        <v>0</v>
      </c>
      <c r="AE645" s="48"/>
      <c r="AF645" s="56" t="str">
        <f aca="false">IF(AND($D645&lt;&gt;"",$B645="결제완료",$T645="대여"),설정!$J$5,"")</f>
        <v/>
      </c>
      <c r="AG645" s="54" t="str">
        <f aca="false">IF($D645="","",IF(AND($E645="",$R645=""),$AB645,"☎ "&amp;IF($E645="","-",$E645)&amp;IF($R645&lt;&gt;"","  ※ "&amp;$R645,"")&amp;IF($B645="상담중"," (상담)","")))</f>
        <v/>
      </c>
      <c r="AH645" s="56" t="str">
        <f aca="false">IF(AND($D645&lt;&gt;"",$B645="결제완료",$O645="스마트스토어"),ROUND(N($N645)*설정!$J$6,0),"")</f>
        <v/>
      </c>
      <c r="AI645" s="54" t="str">
        <f aca="false">IF($D645="","",ROW())</f>
        <v/>
      </c>
      <c r="AJ645" s="54" t="n">
        <f aca="false">IF(OR($AC645&lt;&gt;1,$M645=""),0,IF(ISNUMBER(SEARCH("퇴사",IFERROR(INDEX(강사DB!$G$4:$G$53,MATCH($M645,강사DB!$A$4:$A$53,0)),""))),1,0))</f>
        <v>0</v>
      </c>
    </row>
    <row r="646" customFormat="false" ht="15" hidden="false" customHeight="false" outlineLevel="0" collapsed="false">
      <c r="A646" s="45" t="str">
        <f aca="false">IF($D646="","",COUNTA($D$5:$D646))</f>
        <v/>
      </c>
      <c r="B646" s="46"/>
      <c r="C646" s="47"/>
      <c r="D646" s="48"/>
      <c r="E646" s="48"/>
      <c r="F646" s="49"/>
      <c r="G646" s="47"/>
      <c r="H646" s="50"/>
      <c r="I646" s="50"/>
      <c r="J646" s="51" t="str">
        <f aca="false">IF(OR($V646="",$W646=""),"",ROUND(($W646-$V646)/60,2))</f>
        <v/>
      </c>
      <c r="K646" s="52" t="str">
        <f aca="false">IF($F646="","",LEN($F646)-LEN(SUBSTITUTE($F646,",",""))+1)</f>
        <v/>
      </c>
      <c r="L646" s="45" t="str">
        <f aca="false">IF($K646="","","1:"&amp;$K646)</f>
        <v/>
      </c>
      <c r="M646" s="46"/>
      <c r="N646" s="53"/>
      <c r="O646" s="46"/>
      <c r="P646" s="47"/>
      <c r="Q646" s="48"/>
      <c r="R646" s="49"/>
      <c r="S646" s="54" t="str">
        <f aca="false">IF(OR($AC646=0,$U646="",$M646="",$V646="",$W646=""),"",IF(COUNTIFS(m_teacher,$M646,m_date,$U646,m_active,1,m_start,"&lt;"&amp;$W646,m_end,"&gt;"&amp;$V646)&gt;1,"충돌",""))</f>
        <v/>
      </c>
      <c r="T646" s="48"/>
      <c r="U646" s="55" t="str">
        <f aca="false">IF($G646="","",IFERROR(IF(ISNUMBER($G646),IF($G646&gt;19000000,DATE(INT($G646/10000),MOD(INT($G646/100),100),MOD($G646,100)),INT($G646)),IF(LEN(SUBSTITUTE(SUBSTITUTE(SUBSTITUTE(TRIM($G646),"-",""),".",""),"/",""))=8,DATE(VALUE(LEFT(SUBSTITUTE(SUBSTITUTE(SUBSTITUTE(TRIM($G646),"-",""),".",""),"/",""),4)),VALUE(MID(SUBSTITUTE(SUBSTITUTE(SUBSTITUTE(TRIM($G646),"-",""),".",""),"/",""),5,2)),VALUE(RIGHT(SUBSTITUTE(SUBSTITUTE(SUBSTITUTE(TRIM($G646),"-",""),".",""),"/",""),2))),DATEVALUE($G646))),""))</f>
        <v/>
      </c>
      <c r="V646" s="52" t="str">
        <f aca="false">IF($H646="","",IFERROR(IF(IF(ISNUMBER($H646),$H646,IFERROR(TIMEVALUE($H646),VALUE($H646)))&gt;=100,INT(IF(ISNUMBER($H646),$H646,IFERROR(TIMEVALUE($H646),VALUE($H646)))/100)*60+MOD(IF(ISNUMBER($H646),$H646,IFERROR(TIMEVALUE($H646),VALUE($H646))),100),IF(IF(ISNUMBER($H646),$H646,IFERROR(TIMEVALUE($H646),VALUE($H646)))&gt;=1,ROUND(IF(ISNUMBER($H646),$H646,IFERROR(TIMEVALUE($H646),VALUE($H646)))*60,0),ROUND(MOD(IF(ISNUMBER($H646),$H646,IFERROR(TIMEVALUE($H646),VALUE($H646))),1)*1440,0))),""))</f>
        <v/>
      </c>
      <c r="W646" s="52" t="str">
        <f aca="false">IF($I646="","",IFERROR(IF(IF(ISNUMBER($I646),$I646,IFERROR(TIMEVALUE($I646),VALUE($I646)))&gt;=100,INT(IF(ISNUMBER($I646),$I646,IFERROR(TIMEVALUE($I646),VALUE($I646)))/100)*60+MOD(IF(ISNUMBER($I646),$I646,IFERROR(TIMEVALUE($I646),VALUE($I646))),100),IF(IF(ISNUMBER($I646),$I646,IFERROR(TIMEVALUE($I646),VALUE($I646)))&gt;=1,ROUND(IF(ISNUMBER($I646),$I646,IFERROR(TIMEVALUE($I646),VALUE($I646)))*60,0),ROUND(MOD(IF(ISNUMBER($I646),$I646,IFERROR(TIMEVALUE($I646),VALUE($I646))),1)*1440,0))),""))</f>
        <v/>
      </c>
      <c r="X646" s="55" t="str">
        <f aca="false">IF($P646="","",IFERROR(IF(ISNUMBER($P646),IF($P646&gt;19000000,DATE(INT($P646/10000),MOD(INT($P646/100),100),MOD($P646,100)),INT($P646)),IF(LEN(SUBSTITUTE(SUBSTITUTE(SUBSTITUTE(TRIM($P646),"-",""),".",""),"/",""))=8,DATE(VALUE(LEFT(SUBSTITUTE(SUBSTITUTE(SUBSTITUTE(TRIM($P646),"-",""),".",""),"/",""),4)),VALUE(MID(SUBSTITUTE(SUBSTITUTE(SUBSTITUTE(TRIM($P646),"-",""),".",""),"/",""),5,2)),VALUE(RIGHT(SUBSTITUTE(SUBSTITUTE(SUBSTITUTE(TRIM($P646),"-",""),".",""),"/",""),2))),DATEVALUE($P646))),""))</f>
        <v/>
      </c>
      <c r="Y646" s="56" t="str">
        <f aca="false">IF($M646="","",IFERROR(INDEX(강사DB!$D$4:$D$53,MATCH($M646,강사DB!$A$4:$A$53,0)),""))</f>
        <v/>
      </c>
      <c r="Z646" s="56" t="str">
        <f aca="false">IF($B646&lt;&gt;"결제완료","",IF(OR($Y646="",$J646=""),"",$Y646*$J646+MAX(0,N($K646)-1)*설정!$J$7))</f>
        <v/>
      </c>
      <c r="AA646" s="56" t="str">
        <f aca="false">IF(AND($D646&lt;&gt;"",$B646="결제완료"),N($N646),"")</f>
        <v/>
      </c>
      <c r="AB646" s="45" t="str">
        <f aca="false">IF($D646="","",IF($F646&lt;&gt;"",$F646,$D646)&amp;IF($B646="상담중"," (상담)",""))</f>
        <v/>
      </c>
      <c r="AC646" s="45" t="n">
        <f aca="false">IF(AND($D646&lt;&gt;"",OR($B646="결제완료",$B646="상담중")),1,0)</f>
        <v>0</v>
      </c>
      <c r="AD646" s="45" t="n">
        <f aca="false">IF(OR($Z646="",$U646=""),0,IFERROR(IF(COUNTIFS(INDEX(g_grid,0,2*MATCH($M646,강사DB!$A$4:$A$15,0)),"&lt;&gt;",g_s,"&lt;="&amp;$U646,g_e,"&gt;="&amp;$U646)&gt;0,1,0),0))</f>
        <v>0</v>
      </c>
      <c r="AE646" s="48"/>
      <c r="AF646" s="56" t="str">
        <f aca="false">IF(AND($D646&lt;&gt;"",$B646="결제완료",$T646="대여"),설정!$J$5,"")</f>
        <v/>
      </c>
      <c r="AG646" s="54" t="str">
        <f aca="false">IF($D646="","",IF(AND($E646="",$R646=""),$AB646,"☎ "&amp;IF($E646="","-",$E646)&amp;IF($R646&lt;&gt;"","  ※ "&amp;$R646,"")&amp;IF($B646="상담중"," (상담)","")))</f>
        <v/>
      </c>
      <c r="AH646" s="56" t="str">
        <f aca="false">IF(AND($D646&lt;&gt;"",$B646="결제완료",$O646="스마트스토어"),ROUND(N($N646)*설정!$J$6,0),"")</f>
        <v/>
      </c>
      <c r="AI646" s="54" t="str">
        <f aca="false">IF($D646="","",ROW())</f>
        <v/>
      </c>
      <c r="AJ646" s="54" t="n">
        <f aca="false">IF(OR($AC646&lt;&gt;1,$M646=""),0,IF(ISNUMBER(SEARCH("퇴사",IFERROR(INDEX(강사DB!$G$4:$G$53,MATCH($M646,강사DB!$A$4:$A$53,0)),""))),1,0))</f>
        <v>0</v>
      </c>
    </row>
    <row r="647" customFormat="false" ht="15" hidden="false" customHeight="false" outlineLevel="0" collapsed="false">
      <c r="A647" s="45" t="str">
        <f aca="false">IF($D647="","",COUNTA($D$5:$D647))</f>
        <v/>
      </c>
      <c r="B647" s="46"/>
      <c r="C647" s="47"/>
      <c r="D647" s="48"/>
      <c r="E647" s="48"/>
      <c r="F647" s="49"/>
      <c r="G647" s="47"/>
      <c r="H647" s="50"/>
      <c r="I647" s="50"/>
      <c r="J647" s="51" t="str">
        <f aca="false">IF(OR($V647="",$W647=""),"",ROUND(($W647-$V647)/60,2))</f>
        <v/>
      </c>
      <c r="K647" s="52" t="str">
        <f aca="false">IF($F647="","",LEN($F647)-LEN(SUBSTITUTE($F647,",",""))+1)</f>
        <v/>
      </c>
      <c r="L647" s="45" t="str">
        <f aca="false">IF($K647="","","1:"&amp;$K647)</f>
        <v/>
      </c>
      <c r="M647" s="46"/>
      <c r="N647" s="53"/>
      <c r="O647" s="46"/>
      <c r="P647" s="47"/>
      <c r="Q647" s="48"/>
      <c r="R647" s="49"/>
      <c r="S647" s="54" t="str">
        <f aca="false">IF(OR($AC647=0,$U647="",$M647="",$V647="",$W647=""),"",IF(COUNTIFS(m_teacher,$M647,m_date,$U647,m_active,1,m_start,"&lt;"&amp;$W647,m_end,"&gt;"&amp;$V647)&gt;1,"충돌",""))</f>
        <v/>
      </c>
      <c r="T647" s="48"/>
      <c r="U647" s="55" t="str">
        <f aca="false">IF($G647="","",IFERROR(IF(ISNUMBER($G647),IF($G647&gt;19000000,DATE(INT($G647/10000),MOD(INT($G647/100),100),MOD($G647,100)),INT($G647)),IF(LEN(SUBSTITUTE(SUBSTITUTE(SUBSTITUTE(TRIM($G647),"-",""),".",""),"/",""))=8,DATE(VALUE(LEFT(SUBSTITUTE(SUBSTITUTE(SUBSTITUTE(TRIM($G647),"-",""),".",""),"/",""),4)),VALUE(MID(SUBSTITUTE(SUBSTITUTE(SUBSTITUTE(TRIM($G647),"-",""),".",""),"/",""),5,2)),VALUE(RIGHT(SUBSTITUTE(SUBSTITUTE(SUBSTITUTE(TRIM($G647),"-",""),".",""),"/",""),2))),DATEVALUE($G647))),""))</f>
        <v/>
      </c>
      <c r="V647" s="52" t="str">
        <f aca="false">IF($H647="","",IFERROR(IF(IF(ISNUMBER($H647),$H647,IFERROR(TIMEVALUE($H647),VALUE($H647)))&gt;=100,INT(IF(ISNUMBER($H647),$H647,IFERROR(TIMEVALUE($H647),VALUE($H647)))/100)*60+MOD(IF(ISNUMBER($H647),$H647,IFERROR(TIMEVALUE($H647),VALUE($H647))),100),IF(IF(ISNUMBER($H647),$H647,IFERROR(TIMEVALUE($H647),VALUE($H647)))&gt;=1,ROUND(IF(ISNUMBER($H647),$H647,IFERROR(TIMEVALUE($H647),VALUE($H647)))*60,0),ROUND(MOD(IF(ISNUMBER($H647),$H647,IFERROR(TIMEVALUE($H647),VALUE($H647))),1)*1440,0))),""))</f>
        <v/>
      </c>
      <c r="W647" s="52" t="str">
        <f aca="false">IF($I647="","",IFERROR(IF(IF(ISNUMBER($I647),$I647,IFERROR(TIMEVALUE($I647),VALUE($I647)))&gt;=100,INT(IF(ISNUMBER($I647),$I647,IFERROR(TIMEVALUE($I647),VALUE($I647)))/100)*60+MOD(IF(ISNUMBER($I647),$I647,IFERROR(TIMEVALUE($I647),VALUE($I647))),100),IF(IF(ISNUMBER($I647),$I647,IFERROR(TIMEVALUE($I647),VALUE($I647)))&gt;=1,ROUND(IF(ISNUMBER($I647),$I647,IFERROR(TIMEVALUE($I647),VALUE($I647)))*60,0),ROUND(MOD(IF(ISNUMBER($I647),$I647,IFERROR(TIMEVALUE($I647),VALUE($I647))),1)*1440,0))),""))</f>
        <v/>
      </c>
      <c r="X647" s="55" t="str">
        <f aca="false">IF($P647="","",IFERROR(IF(ISNUMBER($P647),IF($P647&gt;19000000,DATE(INT($P647/10000),MOD(INT($P647/100),100),MOD($P647,100)),INT($P647)),IF(LEN(SUBSTITUTE(SUBSTITUTE(SUBSTITUTE(TRIM($P647),"-",""),".",""),"/",""))=8,DATE(VALUE(LEFT(SUBSTITUTE(SUBSTITUTE(SUBSTITUTE(TRIM($P647),"-",""),".",""),"/",""),4)),VALUE(MID(SUBSTITUTE(SUBSTITUTE(SUBSTITUTE(TRIM($P647),"-",""),".",""),"/",""),5,2)),VALUE(RIGHT(SUBSTITUTE(SUBSTITUTE(SUBSTITUTE(TRIM($P647),"-",""),".",""),"/",""),2))),DATEVALUE($P647))),""))</f>
        <v/>
      </c>
      <c r="Y647" s="56" t="str">
        <f aca="false">IF($M647="","",IFERROR(INDEX(강사DB!$D$4:$D$53,MATCH($M647,강사DB!$A$4:$A$53,0)),""))</f>
        <v/>
      </c>
      <c r="Z647" s="56" t="str">
        <f aca="false">IF($B647&lt;&gt;"결제완료","",IF(OR($Y647="",$J647=""),"",$Y647*$J647+MAX(0,N($K647)-1)*설정!$J$7))</f>
        <v/>
      </c>
      <c r="AA647" s="56" t="str">
        <f aca="false">IF(AND($D647&lt;&gt;"",$B647="결제완료"),N($N647),"")</f>
        <v/>
      </c>
      <c r="AB647" s="45" t="str">
        <f aca="false">IF($D647="","",IF($F647&lt;&gt;"",$F647,$D647)&amp;IF($B647="상담중"," (상담)",""))</f>
        <v/>
      </c>
      <c r="AC647" s="45" t="n">
        <f aca="false">IF(AND($D647&lt;&gt;"",OR($B647="결제완료",$B647="상담중")),1,0)</f>
        <v>0</v>
      </c>
      <c r="AD647" s="45" t="n">
        <f aca="false">IF(OR($Z647="",$U647=""),0,IFERROR(IF(COUNTIFS(INDEX(g_grid,0,2*MATCH($M647,강사DB!$A$4:$A$15,0)),"&lt;&gt;",g_s,"&lt;="&amp;$U647,g_e,"&gt;="&amp;$U647)&gt;0,1,0),0))</f>
        <v>0</v>
      </c>
      <c r="AE647" s="48"/>
      <c r="AF647" s="56" t="str">
        <f aca="false">IF(AND($D647&lt;&gt;"",$B647="결제완료",$T647="대여"),설정!$J$5,"")</f>
        <v/>
      </c>
      <c r="AG647" s="54" t="str">
        <f aca="false">IF($D647="","",IF(AND($E647="",$R647=""),$AB647,"☎ "&amp;IF($E647="","-",$E647)&amp;IF($R647&lt;&gt;"","  ※ "&amp;$R647,"")&amp;IF($B647="상담중"," (상담)","")))</f>
        <v/>
      </c>
      <c r="AH647" s="56" t="str">
        <f aca="false">IF(AND($D647&lt;&gt;"",$B647="결제완료",$O647="스마트스토어"),ROUND(N($N647)*설정!$J$6,0),"")</f>
        <v/>
      </c>
      <c r="AI647" s="54" t="str">
        <f aca="false">IF($D647="","",ROW())</f>
        <v/>
      </c>
      <c r="AJ647" s="54" t="n">
        <f aca="false">IF(OR($AC647&lt;&gt;1,$M647=""),0,IF(ISNUMBER(SEARCH("퇴사",IFERROR(INDEX(강사DB!$G$4:$G$53,MATCH($M647,강사DB!$A$4:$A$53,0)),""))),1,0))</f>
        <v>0</v>
      </c>
    </row>
    <row r="648" customFormat="false" ht="15" hidden="false" customHeight="false" outlineLevel="0" collapsed="false">
      <c r="A648" s="45" t="str">
        <f aca="false">IF($D648="","",COUNTA($D$5:$D648))</f>
        <v/>
      </c>
      <c r="B648" s="46"/>
      <c r="C648" s="47"/>
      <c r="D648" s="48"/>
      <c r="E648" s="48"/>
      <c r="F648" s="49"/>
      <c r="G648" s="47"/>
      <c r="H648" s="50"/>
      <c r="I648" s="50"/>
      <c r="J648" s="51" t="str">
        <f aca="false">IF(OR($V648="",$W648=""),"",ROUND(($W648-$V648)/60,2))</f>
        <v/>
      </c>
      <c r="K648" s="52" t="str">
        <f aca="false">IF($F648="","",LEN($F648)-LEN(SUBSTITUTE($F648,",",""))+1)</f>
        <v/>
      </c>
      <c r="L648" s="45" t="str">
        <f aca="false">IF($K648="","","1:"&amp;$K648)</f>
        <v/>
      </c>
      <c r="M648" s="46"/>
      <c r="N648" s="53"/>
      <c r="O648" s="46"/>
      <c r="P648" s="47"/>
      <c r="Q648" s="48"/>
      <c r="R648" s="49"/>
      <c r="S648" s="54" t="str">
        <f aca="false">IF(OR($AC648=0,$U648="",$M648="",$V648="",$W648=""),"",IF(COUNTIFS(m_teacher,$M648,m_date,$U648,m_active,1,m_start,"&lt;"&amp;$W648,m_end,"&gt;"&amp;$V648)&gt;1,"충돌",""))</f>
        <v/>
      </c>
      <c r="T648" s="48"/>
      <c r="U648" s="55" t="str">
        <f aca="false">IF($G648="","",IFERROR(IF(ISNUMBER($G648),IF($G648&gt;19000000,DATE(INT($G648/10000),MOD(INT($G648/100),100),MOD($G648,100)),INT($G648)),IF(LEN(SUBSTITUTE(SUBSTITUTE(SUBSTITUTE(TRIM($G648),"-",""),".",""),"/",""))=8,DATE(VALUE(LEFT(SUBSTITUTE(SUBSTITUTE(SUBSTITUTE(TRIM($G648),"-",""),".",""),"/",""),4)),VALUE(MID(SUBSTITUTE(SUBSTITUTE(SUBSTITUTE(TRIM($G648),"-",""),".",""),"/",""),5,2)),VALUE(RIGHT(SUBSTITUTE(SUBSTITUTE(SUBSTITUTE(TRIM($G648),"-",""),".",""),"/",""),2))),DATEVALUE($G648))),""))</f>
        <v/>
      </c>
      <c r="V648" s="52" t="str">
        <f aca="false">IF($H648="","",IFERROR(IF(IF(ISNUMBER($H648),$H648,IFERROR(TIMEVALUE($H648),VALUE($H648)))&gt;=100,INT(IF(ISNUMBER($H648),$H648,IFERROR(TIMEVALUE($H648),VALUE($H648)))/100)*60+MOD(IF(ISNUMBER($H648),$H648,IFERROR(TIMEVALUE($H648),VALUE($H648))),100),IF(IF(ISNUMBER($H648),$H648,IFERROR(TIMEVALUE($H648),VALUE($H648)))&gt;=1,ROUND(IF(ISNUMBER($H648),$H648,IFERROR(TIMEVALUE($H648),VALUE($H648)))*60,0),ROUND(MOD(IF(ISNUMBER($H648),$H648,IFERROR(TIMEVALUE($H648),VALUE($H648))),1)*1440,0))),""))</f>
        <v/>
      </c>
      <c r="W648" s="52" t="str">
        <f aca="false">IF($I648="","",IFERROR(IF(IF(ISNUMBER($I648),$I648,IFERROR(TIMEVALUE($I648),VALUE($I648)))&gt;=100,INT(IF(ISNUMBER($I648),$I648,IFERROR(TIMEVALUE($I648),VALUE($I648)))/100)*60+MOD(IF(ISNUMBER($I648),$I648,IFERROR(TIMEVALUE($I648),VALUE($I648))),100),IF(IF(ISNUMBER($I648),$I648,IFERROR(TIMEVALUE($I648),VALUE($I648)))&gt;=1,ROUND(IF(ISNUMBER($I648),$I648,IFERROR(TIMEVALUE($I648),VALUE($I648)))*60,0),ROUND(MOD(IF(ISNUMBER($I648),$I648,IFERROR(TIMEVALUE($I648),VALUE($I648))),1)*1440,0))),""))</f>
        <v/>
      </c>
      <c r="X648" s="55" t="str">
        <f aca="false">IF($P648="","",IFERROR(IF(ISNUMBER($P648),IF($P648&gt;19000000,DATE(INT($P648/10000),MOD(INT($P648/100),100),MOD($P648,100)),INT($P648)),IF(LEN(SUBSTITUTE(SUBSTITUTE(SUBSTITUTE(TRIM($P648),"-",""),".",""),"/",""))=8,DATE(VALUE(LEFT(SUBSTITUTE(SUBSTITUTE(SUBSTITUTE(TRIM($P648),"-",""),".",""),"/",""),4)),VALUE(MID(SUBSTITUTE(SUBSTITUTE(SUBSTITUTE(TRIM($P648),"-",""),".",""),"/",""),5,2)),VALUE(RIGHT(SUBSTITUTE(SUBSTITUTE(SUBSTITUTE(TRIM($P648),"-",""),".",""),"/",""),2))),DATEVALUE($P648))),""))</f>
        <v/>
      </c>
      <c r="Y648" s="56" t="str">
        <f aca="false">IF($M648="","",IFERROR(INDEX(강사DB!$D$4:$D$53,MATCH($M648,강사DB!$A$4:$A$53,0)),""))</f>
        <v/>
      </c>
      <c r="Z648" s="56" t="str">
        <f aca="false">IF($B648&lt;&gt;"결제완료","",IF(OR($Y648="",$J648=""),"",$Y648*$J648+MAX(0,N($K648)-1)*설정!$J$7))</f>
        <v/>
      </c>
      <c r="AA648" s="56" t="str">
        <f aca="false">IF(AND($D648&lt;&gt;"",$B648="결제완료"),N($N648),"")</f>
        <v/>
      </c>
      <c r="AB648" s="45" t="str">
        <f aca="false">IF($D648="","",IF($F648&lt;&gt;"",$F648,$D648)&amp;IF($B648="상담중"," (상담)",""))</f>
        <v/>
      </c>
      <c r="AC648" s="45" t="n">
        <f aca="false">IF(AND($D648&lt;&gt;"",OR($B648="결제완료",$B648="상담중")),1,0)</f>
        <v>0</v>
      </c>
      <c r="AD648" s="45" t="n">
        <f aca="false">IF(OR($Z648="",$U648=""),0,IFERROR(IF(COUNTIFS(INDEX(g_grid,0,2*MATCH($M648,강사DB!$A$4:$A$15,0)),"&lt;&gt;",g_s,"&lt;="&amp;$U648,g_e,"&gt;="&amp;$U648)&gt;0,1,0),0))</f>
        <v>0</v>
      </c>
      <c r="AE648" s="48"/>
      <c r="AF648" s="56" t="str">
        <f aca="false">IF(AND($D648&lt;&gt;"",$B648="결제완료",$T648="대여"),설정!$J$5,"")</f>
        <v/>
      </c>
      <c r="AG648" s="54" t="str">
        <f aca="false">IF($D648="","",IF(AND($E648="",$R648=""),$AB648,"☎ "&amp;IF($E648="","-",$E648)&amp;IF($R648&lt;&gt;"","  ※ "&amp;$R648,"")&amp;IF($B648="상담중"," (상담)","")))</f>
        <v/>
      </c>
      <c r="AH648" s="56" t="str">
        <f aca="false">IF(AND($D648&lt;&gt;"",$B648="결제완료",$O648="스마트스토어"),ROUND(N($N648)*설정!$J$6,0),"")</f>
        <v/>
      </c>
      <c r="AI648" s="54" t="str">
        <f aca="false">IF($D648="","",ROW())</f>
        <v/>
      </c>
      <c r="AJ648" s="54" t="n">
        <f aca="false">IF(OR($AC648&lt;&gt;1,$M648=""),0,IF(ISNUMBER(SEARCH("퇴사",IFERROR(INDEX(강사DB!$G$4:$G$53,MATCH($M648,강사DB!$A$4:$A$53,0)),""))),1,0))</f>
        <v>0</v>
      </c>
    </row>
    <row r="649" customFormat="false" ht="15" hidden="false" customHeight="false" outlineLevel="0" collapsed="false">
      <c r="A649" s="45" t="str">
        <f aca="false">IF($D649="","",COUNTA($D$5:$D649))</f>
        <v/>
      </c>
      <c r="B649" s="46"/>
      <c r="C649" s="47"/>
      <c r="D649" s="48"/>
      <c r="E649" s="48"/>
      <c r="F649" s="49"/>
      <c r="G649" s="47"/>
      <c r="H649" s="50"/>
      <c r="I649" s="50"/>
      <c r="J649" s="51" t="str">
        <f aca="false">IF(OR($V649="",$W649=""),"",ROUND(($W649-$V649)/60,2))</f>
        <v/>
      </c>
      <c r="K649" s="52" t="str">
        <f aca="false">IF($F649="","",LEN($F649)-LEN(SUBSTITUTE($F649,",",""))+1)</f>
        <v/>
      </c>
      <c r="L649" s="45" t="str">
        <f aca="false">IF($K649="","","1:"&amp;$K649)</f>
        <v/>
      </c>
      <c r="M649" s="46"/>
      <c r="N649" s="53"/>
      <c r="O649" s="46"/>
      <c r="P649" s="47"/>
      <c r="Q649" s="48"/>
      <c r="R649" s="49"/>
      <c r="S649" s="54" t="str">
        <f aca="false">IF(OR($AC649=0,$U649="",$M649="",$V649="",$W649=""),"",IF(COUNTIFS(m_teacher,$M649,m_date,$U649,m_active,1,m_start,"&lt;"&amp;$W649,m_end,"&gt;"&amp;$V649)&gt;1,"충돌",""))</f>
        <v/>
      </c>
      <c r="T649" s="48"/>
      <c r="U649" s="55" t="str">
        <f aca="false">IF($G649="","",IFERROR(IF(ISNUMBER($G649),IF($G649&gt;19000000,DATE(INT($G649/10000),MOD(INT($G649/100),100),MOD($G649,100)),INT($G649)),IF(LEN(SUBSTITUTE(SUBSTITUTE(SUBSTITUTE(TRIM($G649),"-",""),".",""),"/",""))=8,DATE(VALUE(LEFT(SUBSTITUTE(SUBSTITUTE(SUBSTITUTE(TRIM($G649),"-",""),".",""),"/",""),4)),VALUE(MID(SUBSTITUTE(SUBSTITUTE(SUBSTITUTE(TRIM($G649),"-",""),".",""),"/",""),5,2)),VALUE(RIGHT(SUBSTITUTE(SUBSTITUTE(SUBSTITUTE(TRIM($G649),"-",""),".",""),"/",""),2))),DATEVALUE($G649))),""))</f>
        <v/>
      </c>
      <c r="V649" s="52" t="str">
        <f aca="false">IF($H649="","",IFERROR(IF(IF(ISNUMBER($H649),$H649,IFERROR(TIMEVALUE($H649),VALUE($H649)))&gt;=100,INT(IF(ISNUMBER($H649),$H649,IFERROR(TIMEVALUE($H649),VALUE($H649)))/100)*60+MOD(IF(ISNUMBER($H649),$H649,IFERROR(TIMEVALUE($H649),VALUE($H649))),100),IF(IF(ISNUMBER($H649),$H649,IFERROR(TIMEVALUE($H649),VALUE($H649)))&gt;=1,ROUND(IF(ISNUMBER($H649),$H649,IFERROR(TIMEVALUE($H649),VALUE($H649)))*60,0),ROUND(MOD(IF(ISNUMBER($H649),$H649,IFERROR(TIMEVALUE($H649),VALUE($H649))),1)*1440,0))),""))</f>
        <v/>
      </c>
      <c r="W649" s="52" t="str">
        <f aca="false">IF($I649="","",IFERROR(IF(IF(ISNUMBER($I649),$I649,IFERROR(TIMEVALUE($I649),VALUE($I649)))&gt;=100,INT(IF(ISNUMBER($I649),$I649,IFERROR(TIMEVALUE($I649),VALUE($I649)))/100)*60+MOD(IF(ISNUMBER($I649),$I649,IFERROR(TIMEVALUE($I649),VALUE($I649))),100),IF(IF(ISNUMBER($I649),$I649,IFERROR(TIMEVALUE($I649),VALUE($I649)))&gt;=1,ROUND(IF(ISNUMBER($I649),$I649,IFERROR(TIMEVALUE($I649),VALUE($I649)))*60,0),ROUND(MOD(IF(ISNUMBER($I649),$I649,IFERROR(TIMEVALUE($I649),VALUE($I649))),1)*1440,0))),""))</f>
        <v/>
      </c>
      <c r="X649" s="55" t="str">
        <f aca="false">IF($P649="","",IFERROR(IF(ISNUMBER($P649),IF($P649&gt;19000000,DATE(INT($P649/10000),MOD(INT($P649/100),100),MOD($P649,100)),INT($P649)),IF(LEN(SUBSTITUTE(SUBSTITUTE(SUBSTITUTE(TRIM($P649),"-",""),".",""),"/",""))=8,DATE(VALUE(LEFT(SUBSTITUTE(SUBSTITUTE(SUBSTITUTE(TRIM($P649),"-",""),".",""),"/",""),4)),VALUE(MID(SUBSTITUTE(SUBSTITUTE(SUBSTITUTE(TRIM($P649),"-",""),".",""),"/",""),5,2)),VALUE(RIGHT(SUBSTITUTE(SUBSTITUTE(SUBSTITUTE(TRIM($P649),"-",""),".",""),"/",""),2))),DATEVALUE($P649))),""))</f>
        <v/>
      </c>
      <c r="Y649" s="56" t="str">
        <f aca="false">IF($M649="","",IFERROR(INDEX(강사DB!$D$4:$D$53,MATCH($M649,강사DB!$A$4:$A$53,0)),""))</f>
        <v/>
      </c>
      <c r="Z649" s="56" t="str">
        <f aca="false">IF($B649&lt;&gt;"결제완료","",IF(OR($Y649="",$J649=""),"",$Y649*$J649+MAX(0,N($K649)-1)*설정!$J$7))</f>
        <v/>
      </c>
      <c r="AA649" s="56" t="str">
        <f aca="false">IF(AND($D649&lt;&gt;"",$B649="결제완료"),N($N649),"")</f>
        <v/>
      </c>
      <c r="AB649" s="45" t="str">
        <f aca="false">IF($D649="","",IF($F649&lt;&gt;"",$F649,$D649)&amp;IF($B649="상담중"," (상담)",""))</f>
        <v/>
      </c>
      <c r="AC649" s="45" t="n">
        <f aca="false">IF(AND($D649&lt;&gt;"",OR($B649="결제완료",$B649="상담중")),1,0)</f>
        <v>0</v>
      </c>
      <c r="AD649" s="45" t="n">
        <f aca="false">IF(OR($Z649="",$U649=""),0,IFERROR(IF(COUNTIFS(INDEX(g_grid,0,2*MATCH($M649,강사DB!$A$4:$A$15,0)),"&lt;&gt;",g_s,"&lt;="&amp;$U649,g_e,"&gt;="&amp;$U649)&gt;0,1,0),0))</f>
        <v>0</v>
      </c>
      <c r="AE649" s="48"/>
      <c r="AF649" s="56" t="str">
        <f aca="false">IF(AND($D649&lt;&gt;"",$B649="결제완료",$T649="대여"),설정!$J$5,"")</f>
        <v/>
      </c>
      <c r="AG649" s="54" t="str">
        <f aca="false">IF($D649="","",IF(AND($E649="",$R649=""),$AB649,"☎ "&amp;IF($E649="","-",$E649)&amp;IF($R649&lt;&gt;"","  ※ "&amp;$R649,"")&amp;IF($B649="상담중"," (상담)","")))</f>
        <v/>
      </c>
      <c r="AH649" s="56" t="str">
        <f aca="false">IF(AND($D649&lt;&gt;"",$B649="결제완료",$O649="스마트스토어"),ROUND(N($N649)*설정!$J$6,0),"")</f>
        <v/>
      </c>
      <c r="AI649" s="54" t="str">
        <f aca="false">IF($D649="","",ROW())</f>
        <v/>
      </c>
      <c r="AJ649" s="54" t="n">
        <f aca="false">IF(OR($AC649&lt;&gt;1,$M649=""),0,IF(ISNUMBER(SEARCH("퇴사",IFERROR(INDEX(강사DB!$G$4:$G$53,MATCH($M649,강사DB!$A$4:$A$53,0)),""))),1,0))</f>
        <v>0</v>
      </c>
    </row>
    <row r="650" customFormat="false" ht="15" hidden="false" customHeight="false" outlineLevel="0" collapsed="false">
      <c r="A650" s="45" t="str">
        <f aca="false">IF($D650="","",COUNTA($D$5:$D650))</f>
        <v/>
      </c>
      <c r="B650" s="46"/>
      <c r="C650" s="47"/>
      <c r="D650" s="48"/>
      <c r="E650" s="48"/>
      <c r="F650" s="49"/>
      <c r="G650" s="47"/>
      <c r="H650" s="50"/>
      <c r="I650" s="50"/>
      <c r="J650" s="51" t="str">
        <f aca="false">IF(OR($V650="",$W650=""),"",ROUND(($W650-$V650)/60,2))</f>
        <v/>
      </c>
      <c r="K650" s="52" t="str">
        <f aca="false">IF($F650="","",LEN($F650)-LEN(SUBSTITUTE($F650,",",""))+1)</f>
        <v/>
      </c>
      <c r="L650" s="45" t="str">
        <f aca="false">IF($K650="","","1:"&amp;$K650)</f>
        <v/>
      </c>
      <c r="M650" s="46"/>
      <c r="N650" s="53"/>
      <c r="O650" s="46"/>
      <c r="P650" s="47"/>
      <c r="Q650" s="48"/>
      <c r="R650" s="49"/>
      <c r="S650" s="54" t="str">
        <f aca="false">IF(OR($AC650=0,$U650="",$M650="",$V650="",$W650=""),"",IF(COUNTIFS(m_teacher,$M650,m_date,$U650,m_active,1,m_start,"&lt;"&amp;$W650,m_end,"&gt;"&amp;$V650)&gt;1,"충돌",""))</f>
        <v/>
      </c>
      <c r="T650" s="48"/>
      <c r="U650" s="55" t="str">
        <f aca="false">IF($G650="","",IFERROR(IF(ISNUMBER($G650),IF($G650&gt;19000000,DATE(INT($G650/10000),MOD(INT($G650/100),100),MOD($G650,100)),INT($G650)),IF(LEN(SUBSTITUTE(SUBSTITUTE(SUBSTITUTE(TRIM($G650),"-",""),".",""),"/",""))=8,DATE(VALUE(LEFT(SUBSTITUTE(SUBSTITUTE(SUBSTITUTE(TRIM($G650),"-",""),".",""),"/",""),4)),VALUE(MID(SUBSTITUTE(SUBSTITUTE(SUBSTITUTE(TRIM($G650),"-",""),".",""),"/",""),5,2)),VALUE(RIGHT(SUBSTITUTE(SUBSTITUTE(SUBSTITUTE(TRIM($G650),"-",""),".",""),"/",""),2))),DATEVALUE($G650))),""))</f>
        <v/>
      </c>
      <c r="V650" s="52" t="str">
        <f aca="false">IF($H650="","",IFERROR(IF(IF(ISNUMBER($H650),$H650,IFERROR(TIMEVALUE($H650),VALUE($H650)))&gt;=100,INT(IF(ISNUMBER($H650),$H650,IFERROR(TIMEVALUE($H650),VALUE($H650)))/100)*60+MOD(IF(ISNUMBER($H650),$H650,IFERROR(TIMEVALUE($H650),VALUE($H650))),100),IF(IF(ISNUMBER($H650),$H650,IFERROR(TIMEVALUE($H650),VALUE($H650)))&gt;=1,ROUND(IF(ISNUMBER($H650),$H650,IFERROR(TIMEVALUE($H650),VALUE($H650)))*60,0),ROUND(MOD(IF(ISNUMBER($H650),$H650,IFERROR(TIMEVALUE($H650),VALUE($H650))),1)*1440,0))),""))</f>
        <v/>
      </c>
      <c r="W650" s="52" t="str">
        <f aca="false">IF($I650="","",IFERROR(IF(IF(ISNUMBER($I650),$I650,IFERROR(TIMEVALUE($I650),VALUE($I650)))&gt;=100,INT(IF(ISNUMBER($I650),$I650,IFERROR(TIMEVALUE($I650),VALUE($I650)))/100)*60+MOD(IF(ISNUMBER($I650),$I650,IFERROR(TIMEVALUE($I650),VALUE($I650))),100),IF(IF(ISNUMBER($I650),$I650,IFERROR(TIMEVALUE($I650),VALUE($I650)))&gt;=1,ROUND(IF(ISNUMBER($I650),$I650,IFERROR(TIMEVALUE($I650),VALUE($I650)))*60,0),ROUND(MOD(IF(ISNUMBER($I650),$I650,IFERROR(TIMEVALUE($I650),VALUE($I650))),1)*1440,0))),""))</f>
        <v/>
      </c>
      <c r="X650" s="55" t="str">
        <f aca="false">IF($P650="","",IFERROR(IF(ISNUMBER($P650),IF($P650&gt;19000000,DATE(INT($P650/10000),MOD(INT($P650/100),100),MOD($P650,100)),INT($P650)),IF(LEN(SUBSTITUTE(SUBSTITUTE(SUBSTITUTE(TRIM($P650),"-",""),".",""),"/",""))=8,DATE(VALUE(LEFT(SUBSTITUTE(SUBSTITUTE(SUBSTITUTE(TRIM($P650),"-",""),".",""),"/",""),4)),VALUE(MID(SUBSTITUTE(SUBSTITUTE(SUBSTITUTE(TRIM($P650),"-",""),".",""),"/",""),5,2)),VALUE(RIGHT(SUBSTITUTE(SUBSTITUTE(SUBSTITUTE(TRIM($P650),"-",""),".",""),"/",""),2))),DATEVALUE($P650))),""))</f>
        <v/>
      </c>
      <c r="Y650" s="56" t="str">
        <f aca="false">IF($M650="","",IFERROR(INDEX(강사DB!$D$4:$D$53,MATCH($M650,강사DB!$A$4:$A$53,0)),""))</f>
        <v/>
      </c>
      <c r="Z650" s="56" t="str">
        <f aca="false">IF($B650&lt;&gt;"결제완료","",IF(OR($Y650="",$J650=""),"",$Y650*$J650+MAX(0,N($K650)-1)*설정!$J$7))</f>
        <v/>
      </c>
      <c r="AA650" s="56" t="str">
        <f aca="false">IF(AND($D650&lt;&gt;"",$B650="결제완료"),N($N650),"")</f>
        <v/>
      </c>
      <c r="AB650" s="45" t="str">
        <f aca="false">IF($D650="","",IF($F650&lt;&gt;"",$F650,$D650)&amp;IF($B650="상담중"," (상담)",""))</f>
        <v/>
      </c>
      <c r="AC650" s="45" t="n">
        <f aca="false">IF(AND($D650&lt;&gt;"",OR($B650="결제완료",$B650="상담중")),1,0)</f>
        <v>0</v>
      </c>
      <c r="AD650" s="45" t="n">
        <f aca="false">IF(OR($Z650="",$U650=""),0,IFERROR(IF(COUNTIFS(INDEX(g_grid,0,2*MATCH($M650,강사DB!$A$4:$A$15,0)),"&lt;&gt;",g_s,"&lt;="&amp;$U650,g_e,"&gt;="&amp;$U650)&gt;0,1,0),0))</f>
        <v>0</v>
      </c>
      <c r="AE650" s="48"/>
      <c r="AF650" s="56" t="str">
        <f aca="false">IF(AND($D650&lt;&gt;"",$B650="결제완료",$T650="대여"),설정!$J$5,"")</f>
        <v/>
      </c>
      <c r="AG650" s="54" t="str">
        <f aca="false">IF($D650="","",IF(AND($E650="",$R650=""),$AB650,"☎ "&amp;IF($E650="","-",$E650)&amp;IF($R650&lt;&gt;"","  ※ "&amp;$R650,"")&amp;IF($B650="상담중"," (상담)","")))</f>
        <v/>
      </c>
      <c r="AH650" s="56" t="str">
        <f aca="false">IF(AND($D650&lt;&gt;"",$B650="결제완료",$O650="스마트스토어"),ROUND(N($N650)*설정!$J$6,0),"")</f>
        <v/>
      </c>
      <c r="AI650" s="54" t="str">
        <f aca="false">IF($D650="","",ROW())</f>
        <v/>
      </c>
      <c r="AJ650" s="54" t="n">
        <f aca="false">IF(OR($AC650&lt;&gt;1,$M650=""),0,IF(ISNUMBER(SEARCH("퇴사",IFERROR(INDEX(강사DB!$G$4:$G$53,MATCH($M650,강사DB!$A$4:$A$53,0)),""))),1,0))</f>
        <v>0</v>
      </c>
    </row>
    <row r="651" customFormat="false" ht="15" hidden="false" customHeight="false" outlineLevel="0" collapsed="false">
      <c r="A651" s="45" t="str">
        <f aca="false">IF($D651="","",COUNTA($D$5:$D651))</f>
        <v/>
      </c>
      <c r="B651" s="46"/>
      <c r="C651" s="47"/>
      <c r="D651" s="48"/>
      <c r="E651" s="48"/>
      <c r="F651" s="49"/>
      <c r="G651" s="47"/>
      <c r="H651" s="50"/>
      <c r="I651" s="50"/>
      <c r="J651" s="51" t="str">
        <f aca="false">IF(OR($V651="",$W651=""),"",ROUND(($W651-$V651)/60,2))</f>
        <v/>
      </c>
      <c r="K651" s="52" t="str">
        <f aca="false">IF($F651="","",LEN($F651)-LEN(SUBSTITUTE($F651,",",""))+1)</f>
        <v/>
      </c>
      <c r="L651" s="45" t="str">
        <f aca="false">IF($K651="","","1:"&amp;$K651)</f>
        <v/>
      </c>
      <c r="M651" s="46"/>
      <c r="N651" s="53"/>
      <c r="O651" s="46"/>
      <c r="P651" s="47"/>
      <c r="Q651" s="48"/>
      <c r="R651" s="49"/>
      <c r="S651" s="54" t="str">
        <f aca="false">IF(OR($AC651=0,$U651="",$M651="",$V651="",$W651=""),"",IF(COUNTIFS(m_teacher,$M651,m_date,$U651,m_active,1,m_start,"&lt;"&amp;$W651,m_end,"&gt;"&amp;$V651)&gt;1,"충돌",""))</f>
        <v/>
      </c>
      <c r="T651" s="48"/>
      <c r="U651" s="55" t="str">
        <f aca="false">IF($G651="","",IFERROR(IF(ISNUMBER($G651),IF($G651&gt;19000000,DATE(INT($G651/10000),MOD(INT($G651/100),100),MOD($G651,100)),INT($G651)),IF(LEN(SUBSTITUTE(SUBSTITUTE(SUBSTITUTE(TRIM($G651),"-",""),".",""),"/",""))=8,DATE(VALUE(LEFT(SUBSTITUTE(SUBSTITUTE(SUBSTITUTE(TRIM($G651),"-",""),".",""),"/",""),4)),VALUE(MID(SUBSTITUTE(SUBSTITUTE(SUBSTITUTE(TRIM($G651),"-",""),".",""),"/",""),5,2)),VALUE(RIGHT(SUBSTITUTE(SUBSTITUTE(SUBSTITUTE(TRIM($G651),"-",""),".",""),"/",""),2))),DATEVALUE($G651))),""))</f>
        <v/>
      </c>
      <c r="V651" s="52" t="str">
        <f aca="false">IF($H651="","",IFERROR(IF(IF(ISNUMBER($H651),$H651,IFERROR(TIMEVALUE($H651),VALUE($H651)))&gt;=100,INT(IF(ISNUMBER($H651),$H651,IFERROR(TIMEVALUE($H651),VALUE($H651)))/100)*60+MOD(IF(ISNUMBER($H651),$H651,IFERROR(TIMEVALUE($H651),VALUE($H651))),100),IF(IF(ISNUMBER($H651),$H651,IFERROR(TIMEVALUE($H651),VALUE($H651)))&gt;=1,ROUND(IF(ISNUMBER($H651),$H651,IFERROR(TIMEVALUE($H651),VALUE($H651)))*60,0),ROUND(MOD(IF(ISNUMBER($H651),$H651,IFERROR(TIMEVALUE($H651),VALUE($H651))),1)*1440,0))),""))</f>
        <v/>
      </c>
      <c r="W651" s="52" t="str">
        <f aca="false">IF($I651="","",IFERROR(IF(IF(ISNUMBER($I651),$I651,IFERROR(TIMEVALUE($I651),VALUE($I651)))&gt;=100,INT(IF(ISNUMBER($I651),$I651,IFERROR(TIMEVALUE($I651),VALUE($I651)))/100)*60+MOD(IF(ISNUMBER($I651),$I651,IFERROR(TIMEVALUE($I651),VALUE($I651))),100),IF(IF(ISNUMBER($I651),$I651,IFERROR(TIMEVALUE($I651),VALUE($I651)))&gt;=1,ROUND(IF(ISNUMBER($I651),$I651,IFERROR(TIMEVALUE($I651),VALUE($I651)))*60,0),ROUND(MOD(IF(ISNUMBER($I651),$I651,IFERROR(TIMEVALUE($I651),VALUE($I651))),1)*1440,0))),""))</f>
        <v/>
      </c>
      <c r="X651" s="55" t="str">
        <f aca="false">IF($P651="","",IFERROR(IF(ISNUMBER($P651),IF($P651&gt;19000000,DATE(INT($P651/10000),MOD(INT($P651/100),100),MOD($P651,100)),INT($P651)),IF(LEN(SUBSTITUTE(SUBSTITUTE(SUBSTITUTE(TRIM($P651),"-",""),".",""),"/",""))=8,DATE(VALUE(LEFT(SUBSTITUTE(SUBSTITUTE(SUBSTITUTE(TRIM($P651),"-",""),".",""),"/",""),4)),VALUE(MID(SUBSTITUTE(SUBSTITUTE(SUBSTITUTE(TRIM($P651),"-",""),".",""),"/",""),5,2)),VALUE(RIGHT(SUBSTITUTE(SUBSTITUTE(SUBSTITUTE(TRIM($P651),"-",""),".",""),"/",""),2))),DATEVALUE($P651))),""))</f>
        <v/>
      </c>
      <c r="Y651" s="56" t="str">
        <f aca="false">IF($M651="","",IFERROR(INDEX(강사DB!$D$4:$D$53,MATCH($M651,강사DB!$A$4:$A$53,0)),""))</f>
        <v/>
      </c>
      <c r="Z651" s="56" t="str">
        <f aca="false">IF($B651&lt;&gt;"결제완료","",IF(OR($Y651="",$J651=""),"",$Y651*$J651+MAX(0,N($K651)-1)*설정!$J$7))</f>
        <v/>
      </c>
      <c r="AA651" s="56" t="str">
        <f aca="false">IF(AND($D651&lt;&gt;"",$B651="결제완료"),N($N651),"")</f>
        <v/>
      </c>
      <c r="AB651" s="45" t="str">
        <f aca="false">IF($D651="","",IF($F651&lt;&gt;"",$F651,$D651)&amp;IF($B651="상담중"," (상담)",""))</f>
        <v/>
      </c>
      <c r="AC651" s="45" t="n">
        <f aca="false">IF(AND($D651&lt;&gt;"",OR($B651="결제완료",$B651="상담중")),1,0)</f>
        <v>0</v>
      </c>
      <c r="AD651" s="45" t="n">
        <f aca="false">IF(OR($Z651="",$U651=""),0,IFERROR(IF(COUNTIFS(INDEX(g_grid,0,2*MATCH($M651,강사DB!$A$4:$A$15,0)),"&lt;&gt;",g_s,"&lt;="&amp;$U651,g_e,"&gt;="&amp;$U651)&gt;0,1,0),0))</f>
        <v>0</v>
      </c>
      <c r="AE651" s="48"/>
      <c r="AF651" s="56" t="str">
        <f aca="false">IF(AND($D651&lt;&gt;"",$B651="결제완료",$T651="대여"),설정!$J$5,"")</f>
        <v/>
      </c>
      <c r="AG651" s="54" t="str">
        <f aca="false">IF($D651="","",IF(AND($E651="",$R651=""),$AB651,"☎ "&amp;IF($E651="","-",$E651)&amp;IF($R651&lt;&gt;"","  ※ "&amp;$R651,"")&amp;IF($B651="상담중"," (상담)","")))</f>
        <v/>
      </c>
      <c r="AH651" s="56" t="str">
        <f aca="false">IF(AND($D651&lt;&gt;"",$B651="결제완료",$O651="스마트스토어"),ROUND(N($N651)*설정!$J$6,0),"")</f>
        <v/>
      </c>
      <c r="AI651" s="54" t="str">
        <f aca="false">IF($D651="","",ROW())</f>
        <v/>
      </c>
      <c r="AJ651" s="54" t="n">
        <f aca="false">IF(OR($AC651&lt;&gt;1,$M651=""),0,IF(ISNUMBER(SEARCH("퇴사",IFERROR(INDEX(강사DB!$G$4:$G$53,MATCH($M651,강사DB!$A$4:$A$53,0)),""))),1,0))</f>
        <v>0</v>
      </c>
    </row>
    <row r="652" customFormat="false" ht="15" hidden="false" customHeight="false" outlineLevel="0" collapsed="false">
      <c r="A652" s="45" t="str">
        <f aca="false">IF($D652="","",COUNTA($D$5:$D652))</f>
        <v/>
      </c>
      <c r="B652" s="46"/>
      <c r="C652" s="47"/>
      <c r="D652" s="48"/>
      <c r="E652" s="48"/>
      <c r="F652" s="49"/>
      <c r="G652" s="47"/>
      <c r="H652" s="50"/>
      <c r="I652" s="50"/>
      <c r="J652" s="51" t="str">
        <f aca="false">IF(OR($V652="",$W652=""),"",ROUND(($W652-$V652)/60,2))</f>
        <v/>
      </c>
      <c r="K652" s="52" t="str">
        <f aca="false">IF($F652="","",LEN($F652)-LEN(SUBSTITUTE($F652,",",""))+1)</f>
        <v/>
      </c>
      <c r="L652" s="45" t="str">
        <f aca="false">IF($K652="","","1:"&amp;$K652)</f>
        <v/>
      </c>
      <c r="M652" s="46"/>
      <c r="N652" s="53"/>
      <c r="O652" s="46"/>
      <c r="P652" s="47"/>
      <c r="Q652" s="48"/>
      <c r="R652" s="49"/>
      <c r="S652" s="54" t="str">
        <f aca="false">IF(OR($AC652=0,$U652="",$M652="",$V652="",$W652=""),"",IF(COUNTIFS(m_teacher,$M652,m_date,$U652,m_active,1,m_start,"&lt;"&amp;$W652,m_end,"&gt;"&amp;$V652)&gt;1,"충돌",""))</f>
        <v/>
      </c>
      <c r="T652" s="48"/>
      <c r="U652" s="55" t="str">
        <f aca="false">IF($G652="","",IFERROR(IF(ISNUMBER($G652),IF($G652&gt;19000000,DATE(INT($G652/10000),MOD(INT($G652/100),100),MOD($G652,100)),INT($G652)),IF(LEN(SUBSTITUTE(SUBSTITUTE(SUBSTITUTE(TRIM($G652),"-",""),".",""),"/",""))=8,DATE(VALUE(LEFT(SUBSTITUTE(SUBSTITUTE(SUBSTITUTE(TRIM($G652),"-",""),".",""),"/",""),4)),VALUE(MID(SUBSTITUTE(SUBSTITUTE(SUBSTITUTE(TRIM($G652),"-",""),".",""),"/",""),5,2)),VALUE(RIGHT(SUBSTITUTE(SUBSTITUTE(SUBSTITUTE(TRIM($G652),"-",""),".",""),"/",""),2))),DATEVALUE($G652))),""))</f>
        <v/>
      </c>
      <c r="V652" s="52" t="str">
        <f aca="false">IF($H652="","",IFERROR(IF(IF(ISNUMBER($H652),$H652,IFERROR(TIMEVALUE($H652),VALUE($H652)))&gt;=100,INT(IF(ISNUMBER($H652),$H652,IFERROR(TIMEVALUE($H652),VALUE($H652)))/100)*60+MOD(IF(ISNUMBER($H652),$H652,IFERROR(TIMEVALUE($H652),VALUE($H652))),100),IF(IF(ISNUMBER($H652),$H652,IFERROR(TIMEVALUE($H652),VALUE($H652)))&gt;=1,ROUND(IF(ISNUMBER($H652),$H652,IFERROR(TIMEVALUE($H652),VALUE($H652)))*60,0),ROUND(MOD(IF(ISNUMBER($H652),$H652,IFERROR(TIMEVALUE($H652),VALUE($H652))),1)*1440,0))),""))</f>
        <v/>
      </c>
      <c r="W652" s="52" t="str">
        <f aca="false">IF($I652="","",IFERROR(IF(IF(ISNUMBER($I652),$I652,IFERROR(TIMEVALUE($I652),VALUE($I652)))&gt;=100,INT(IF(ISNUMBER($I652),$I652,IFERROR(TIMEVALUE($I652),VALUE($I652)))/100)*60+MOD(IF(ISNUMBER($I652),$I652,IFERROR(TIMEVALUE($I652),VALUE($I652))),100),IF(IF(ISNUMBER($I652),$I652,IFERROR(TIMEVALUE($I652),VALUE($I652)))&gt;=1,ROUND(IF(ISNUMBER($I652),$I652,IFERROR(TIMEVALUE($I652),VALUE($I652)))*60,0),ROUND(MOD(IF(ISNUMBER($I652),$I652,IFERROR(TIMEVALUE($I652),VALUE($I652))),1)*1440,0))),""))</f>
        <v/>
      </c>
      <c r="X652" s="55" t="str">
        <f aca="false">IF($P652="","",IFERROR(IF(ISNUMBER($P652),IF($P652&gt;19000000,DATE(INT($P652/10000),MOD(INT($P652/100),100),MOD($P652,100)),INT($P652)),IF(LEN(SUBSTITUTE(SUBSTITUTE(SUBSTITUTE(TRIM($P652),"-",""),".",""),"/",""))=8,DATE(VALUE(LEFT(SUBSTITUTE(SUBSTITUTE(SUBSTITUTE(TRIM($P652),"-",""),".",""),"/",""),4)),VALUE(MID(SUBSTITUTE(SUBSTITUTE(SUBSTITUTE(TRIM($P652),"-",""),".",""),"/",""),5,2)),VALUE(RIGHT(SUBSTITUTE(SUBSTITUTE(SUBSTITUTE(TRIM($P652),"-",""),".",""),"/",""),2))),DATEVALUE($P652))),""))</f>
        <v/>
      </c>
      <c r="Y652" s="56" t="str">
        <f aca="false">IF($M652="","",IFERROR(INDEX(강사DB!$D$4:$D$53,MATCH($M652,강사DB!$A$4:$A$53,0)),""))</f>
        <v/>
      </c>
      <c r="Z652" s="56" t="str">
        <f aca="false">IF($B652&lt;&gt;"결제완료","",IF(OR($Y652="",$J652=""),"",$Y652*$J652+MAX(0,N($K652)-1)*설정!$J$7))</f>
        <v/>
      </c>
      <c r="AA652" s="56" t="str">
        <f aca="false">IF(AND($D652&lt;&gt;"",$B652="결제완료"),N($N652),"")</f>
        <v/>
      </c>
      <c r="AB652" s="45" t="str">
        <f aca="false">IF($D652="","",IF($F652&lt;&gt;"",$F652,$D652)&amp;IF($B652="상담중"," (상담)",""))</f>
        <v/>
      </c>
      <c r="AC652" s="45" t="n">
        <f aca="false">IF(AND($D652&lt;&gt;"",OR($B652="결제완료",$B652="상담중")),1,0)</f>
        <v>0</v>
      </c>
      <c r="AD652" s="45" t="n">
        <f aca="false">IF(OR($Z652="",$U652=""),0,IFERROR(IF(COUNTIFS(INDEX(g_grid,0,2*MATCH($M652,강사DB!$A$4:$A$15,0)),"&lt;&gt;",g_s,"&lt;="&amp;$U652,g_e,"&gt;="&amp;$U652)&gt;0,1,0),0))</f>
        <v>0</v>
      </c>
      <c r="AE652" s="48"/>
      <c r="AF652" s="56" t="str">
        <f aca="false">IF(AND($D652&lt;&gt;"",$B652="결제완료",$T652="대여"),설정!$J$5,"")</f>
        <v/>
      </c>
      <c r="AG652" s="54" t="str">
        <f aca="false">IF($D652="","",IF(AND($E652="",$R652=""),$AB652,"☎ "&amp;IF($E652="","-",$E652)&amp;IF($R652&lt;&gt;"","  ※ "&amp;$R652,"")&amp;IF($B652="상담중"," (상담)","")))</f>
        <v/>
      </c>
      <c r="AH652" s="56" t="str">
        <f aca="false">IF(AND($D652&lt;&gt;"",$B652="결제완료",$O652="스마트스토어"),ROUND(N($N652)*설정!$J$6,0),"")</f>
        <v/>
      </c>
      <c r="AI652" s="54" t="str">
        <f aca="false">IF($D652="","",ROW())</f>
        <v/>
      </c>
      <c r="AJ652" s="54" t="n">
        <f aca="false">IF(OR($AC652&lt;&gt;1,$M652=""),0,IF(ISNUMBER(SEARCH("퇴사",IFERROR(INDEX(강사DB!$G$4:$G$53,MATCH($M652,강사DB!$A$4:$A$53,0)),""))),1,0))</f>
        <v>0</v>
      </c>
    </row>
    <row r="653" customFormat="false" ht="15" hidden="false" customHeight="false" outlineLevel="0" collapsed="false">
      <c r="A653" s="45" t="str">
        <f aca="false">IF($D653="","",COUNTA($D$5:$D653))</f>
        <v/>
      </c>
      <c r="B653" s="46"/>
      <c r="C653" s="47"/>
      <c r="D653" s="48"/>
      <c r="E653" s="48"/>
      <c r="F653" s="49"/>
      <c r="G653" s="47"/>
      <c r="H653" s="50"/>
      <c r="I653" s="50"/>
      <c r="J653" s="51" t="str">
        <f aca="false">IF(OR($V653="",$W653=""),"",ROUND(($W653-$V653)/60,2))</f>
        <v/>
      </c>
      <c r="K653" s="52" t="str">
        <f aca="false">IF($F653="","",LEN($F653)-LEN(SUBSTITUTE($F653,",",""))+1)</f>
        <v/>
      </c>
      <c r="L653" s="45" t="str">
        <f aca="false">IF($K653="","","1:"&amp;$K653)</f>
        <v/>
      </c>
      <c r="M653" s="46"/>
      <c r="N653" s="53"/>
      <c r="O653" s="46"/>
      <c r="P653" s="47"/>
      <c r="Q653" s="48"/>
      <c r="R653" s="49"/>
      <c r="S653" s="54" t="str">
        <f aca="false">IF(OR($AC653=0,$U653="",$M653="",$V653="",$W653=""),"",IF(COUNTIFS(m_teacher,$M653,m_date,$U653,m_active,1,m_start,"&lt;"&amp;$W653,m_end,"&gt;"&amp;$V653)&gt;1,"충돌",""))</f>
        <v/>
      </c>
      <c r="T653" s="48"/>
      <c r="U653" s="55" t="str">
        <f aca="false">IF($G653="","",IFERROR(IF(ISNUMBER($G653),IF($G653&gt;19000000,DATE(INT($G653/10000),MOD(INT($G653/100),100),MOD($G653,100)),INT($G653)),IF(LEN(SUBSTITUTE(SUBSTITUTE(SUBSTITUTE(TRIM($G653),"-",""),".",""),"/",""))=8,DATE(VALUE(LEFT(SUBSTITUTE(SUBSTITUTE(SUBSTITUTE(TRIM($G653),"-",""),".",""),"/",""),4)),VALUE(MID(SUBSTITUTE(SUBSTITUTE(SUBSTITUTE(TRIM($G653),"-",""),".",""),"/",""),5,2)),VALUE(RIGHT(SUBSTITUTE(SUBSTITUTE(SUBSTITUTE(TRIM($G653),"-",""),".",""),"/",""),2))),DATEVALUE($G653))),""))</f>
        <v/>
      </c>
      <c r="V653" s="52" t="str">
        <f aca="false">IF($H653="","",IFERROR(IF(IF(ISNUMBER($H653),$H653,IFERROR(TIMEVALUE($H653),VALUE($H653)))&gt;=100,INT(IF(ISNUMBER($H653),$H653,IFERROR(TIMEVALUE($H653),VALUE($H653)))/100)*60+MOD(IF(ISNUMBER($H653),$H653,IFERROR(TIMEVALUE($H653),VALUE($H653))),100),IF(IF(ISNUMBER($H653),$H653,IFERROR(TIMEVALUE($H653),VALUE($H653)))&gt;=1,ROUND(IF(ISNUMBER($H653),$H653,IFERROR(TIMEVALUE($H653),VALUE($H653)))*60,0),ROUND(MOD(IF(ISNUMBER($H653),$H653,IFERROR(TIMEVALUE($H653),VALUE($H653))),1)*1440,0))),""))</f>
        <v/>
      </c>
      <c r="W653" s="52" t="str">
        <f aca="false">IF($I653="","",IFERROR(IF(IF(ISNUMBER($I653),$I653,IFERROR(TIMEVALUE($I653),VALUE($I653)))&gt;=100,INT(IF(ISNUMBER($I653),$I653,IFERROR(TIMEVALUE($I653),VALUE($I653)))/100)*60+MOD(IF(ISNUMBER($I653),$I653,IFERROR(TIMEVALUE($I653),VALUE($I653))),100),IF(IF(ISNUMBER($I653),$I653,IFERROR(TIMEVALUE($I653),VALUE($I653)))&gt;=1,ROUND(IF(ISNUMBER($I653),$I653,IFERROR(TIMEVALUE($I653),VALUE($I653)))*60,0),ROUND(MOD(IF(ISNUMBER($I653),$I653,IFERROR(TIMEVALUE($I653),VALUE($I653))),1)*1440,0))),""))</f>
        <v/>
      </c>
      <c r="X653" s="55" t="str">
        <f aca="false">IF($P653="","",IFERROR(IF(ISNUMBER($P653),IF($P653&gt;19000000,DATE(INT($P653/10000),MOD(INT($P653/100),100),MOD($P653,100)),INT($P653)),IF(LEN(SUBSTITUTE(SUBSTITUTE(SUBSTITUTE(TRIM($P653),"-",""),".",""),"/",""))=8,DATE(VALUE(LEFT(SUBSTITUTE(SUBSTITUTE(SUBSTITUTE(TRIM($P653),"-",""),".",""),"/",""),4)),VALUE(MID(SUBSTITUTE(SUBSTITUTE(SUBSTITUTE(TRIM($P653),"-",""),".",""),"/",""),5,2)),VALUE(RIGHT(SUBSTITUTE(SUBSTITUTE(SUBSTITUTE(TRIM($P653),"-",""),".",""),"/",""),2))),DATEVALUE($P653))),""))</f>
        <v/>
      </c>
      <c r="Y653" s="56" t="str">
        <f aca="false">IF($M653="","",IFERROR(INDEX(강사DB!$D$4:$D$53,MATCH($M653,강사DB!$A$4:$A$53,0)),""))</f>
        <v/>
      </c>
      <c r="Z653" s="56" t="str">
        <f aca="false">IF($B653&lt;&gt;"결제완료","",IF(OR($Y653="",$J653=""),"",$Y653*$J653+MAX(0,N($K653)-1)*설정!$J$7))</f>
        <v/>
      </c>
      <c r="AA653" s="56" t="str">
        <f aca="false">IF(AND($D653&lt;&gt;"",$B653="결제완료"),N($N653),"")</f>
        <v/>
      </c>
      <c r="AB653" s="45" t="str">
        <f aca="false">IF($D653="","",IF($F653&lt;&gt;"",$F653,$D653)&amp;IF($B653="상담중"," (상담)",""))</f>
        <v/>
      </c>
      <c r="AC653" s="45" t="n">
        <f aca="false">IF(AND($D653&lt;&gt;"",OR($B653="결제완료",$B653="상담중")),1,0)</f>
        <v>0</v>
      </c>
      <c r="AD653" s="45" t="n">
        <f aca="false">IF(OR($Z653="",$U653=""),0,IFERROR(IF(COUNTIFS(INDEX(g_grid,0,2*MATCH($M653,강사DB!$A$4:$A$15,0)),"&lt;&gt;",g_s,"&lt;="&amp;$U653,g_e,"&gt;="&amp;$U653)&gt;0,1,0),0))</f>
        <v>0</v>
      </c>
      <c r="AE653" s="48"/>
      <c r="AF653" s="56" t="str">
        <f aca="false">IF(AND($D653&lt;&gt;"",$B653="결제완료",$T653="대여"),설정!$J$5,"")</f>
        <v/>
      </c>
      <c r="AG653" s="54" t="str">
        <f aca="false">IF($D653="","",IF(AND($E653="",$R653=""),$AB653,"☎ "&amp;IF($E653="","-",$E653)&amp;IF($R653&lt;&gt;"","  ※ "&amp;$R653,"")&amp;IF($B653="상담중"," (상담)","")))</f>
        <v/>
      </c>
      <c r="AH653" s="56" t="str">
        <f aca="false">IF(AND($D653&lt;&gt;"",$B653="결제완료",$O653="스마트스토어"),ROUND(N($N653)*설정!$J$6,0),"")</f>
        <v/>
      </c>
      <c r="AI653" s="54" t="str">
        <f aca="false">IF($D653="","",ROW())</f>
        <v/>
      </c>
      <c r="AJ653" s="54" t="n">
        <f aca="false">IF(OR($AC653&lt;&gt;1,$M653=""),0,IF(ISNUMBER(SEARCH("퇴사",IFERROR(INDEX(강사DB!$G$4:$G$53,MATCH($M653,강사DB!$A$4:$A$53,0)),""))),1,0))</f>
        <v>0</v>
      </c>
    </row>
    <row r="654" customFormat="false" ht="15" hidden="false" customHeight="false" outlineLevel="0" collapsed="false">
      <c r="A654" s="45" t="str">
        <f aca="false">IF($D654="","",COUNTA($D$5:$D654))</f>
        <v/>
      </c>
      <c r="B654" s="46"/>
      <c r="C654" s="47"/>
      <c r="D654" s="48"/>
      <c r="E654" s="48"/>
      <c r="F654" s="49"/>
      <c r="G654" s="47"/>
      <c r="H654" s="50"/>
      <c r="I654" s="50"/>
      <c r="J654" s="51" t="str">
        <f aca="false">IF(OR($V654="",$W654=""),"",ROUND(($W654-$V654)/60,2))</f>
        <v/>
      </c>
      <c r="K654" s="52" t="str">
        <f aca="false">IF($F654="","",LEN($F654)-LEN(SUBSTITUTE($F654,",",""))+1)</f>
        <v/>
      </c>
      <c r="L654" s="45" t="str">
        <f aca="false">IF($K654="","","1:"&amp;$K654)</f>
        <v/>
      </c>
      <c r="M654" s="46"/>
      <c r="N654" s="53"/>
      <c r="O654" s="46"/>
      <c r="P654" s="47"/>
      <c r="Q654" s="48"/>
      <c r="R654" s="49"/>
      <c r="S654" s="54" t="str">
        <f aca="false">IF(OR($AC654=0,$U654="",$M654="",$V654="",$W654=""),"",IF(COUNTIFS(m_teacher,$M654,m_date,$U654,m_active,1,m_start,"&lt;"&amp;$W654,m_end,"&gt;"&amp;$V654)&gt;1,"충돌",""))</f>
        <v/>
      </c>
      <c r="T654" s="48"/>
      <c r="U654" s="55" t="str">
        <f aca="false">IF($G654="","",IFERROR(IF(ISNUMBER($G654),IF($G654&gt;19000000,DATE(INT($G654/10000),MOD(INT($G654/100),100),MOD($G654,100)),INT($G654)),IF(LEN(SUBSTITUTE(SUBSTITUTE(SUBSTITUTE(TRIM($G654),"-",""),".",""),"/",""))=8,DATE(VALUE(LEFT(SUBSTITUTE(SUBSTITUTE(SUBSTITUTE(TRIM($G654),"-",""),".",""),"/",""),4)),VALUE(MID(SUBSTITUTE(SUBSTITUTE(SUBSTITUTE(TRIM($G654),"-",""),".",""),"/",""),5,2)),VALUE(RIGHT(SUBSTITUTE(SUBSTITUTE(SUBSTITUTE(TRIM($G654),"-",""),".",""),"/",""),2))),DATEVALUE($G654))),""))</f>
        <v/>
      </c>
      <c r="V654" s="52" t="str">
        <f aca="false">IF($H654="","",IFERROR(IF(IF(ISNUMBER($H654),$H654,IFERROR(TIMEVALUE($H654),VALUE($H654)))&gt;=100,INT(IF(ISNUMBER($H654),$H654,IFERROR(TIMEVALUE($H654),VALUE($H654)))/100)*60+MOD(IF(ISNUMBER($H654),$H654,IFERROR(TIMEVALUE($H654),VALUE($H654))),100),IF(IF(ISNUMBER($H654),$H654,IFERROR(TIMEVALUE($H654),VALUE($H654)))&gt;=1,ROUND(IF(ISNUMBER($H654),$H654,IFERROR(TIMEVALUE($H654),VALUE($H654)))*60,0),ROUND(MOD(IF(ISNUMBER($H654),$H654,IFERROR(TIMEVALUE($H654),VALUE($H654))),1)*1440,0))),""))</f>
        <v/>
      </c>
      <c r="W654" s="52" t="str">
        <f aca="false">IF($I654="","",IFERROR(IF(IF(ISNUMBER($I654),$I654,IFERROR(TIMEVALUE($I654),VALUE($I654)))&gt;=100,INT(IF(ISNUMBER($I654),$I654,IFERROR(TIMEVALUE($I654),VALUE($I654)))/100)*60+MOD(IF(ISNUMBER($I654),$I654,IFERROR(TIMEVALUE($I654),VALUE($I654))),100),IF(IF(ISNUMBER($I654),$I654,IFERROR(TIMEVALUE($I654),VALUE($I654)))&gt;=1,ROUND(IF(ISNUMBER($I654),$I654,IFERROR(TIMEVALUE($I654),VALUE($I654)))*60,0),ROUND(MOD(IF(ISNUMBER($I654),$I654,IFERROR(TIMEVALUE($I654),VALUE($I654))),1)*1440,0))),""))</f>
        <v/>
      </c>
      <c r="X654" s="55" t="str">
        <f aca="false">IF($P654="","",IFERROR(IF(ISNUMBER($P654),IF($P654&gt;19000000,DATE(INT($P654/10000),MOD(INT($P654/100),100),MOD($P654,100)),INT($P654)),IF(LEN(SUBSTITUTE(SUBSTITUTE(SUBSTITUTE(TRIM($P654),"-",""),".",""),"/",""))=8,DATE(VALUE(LEFT(SUBSTITUTE(SUBSTITUTE(SUBSTITUTE(TRIM($P654),"-",""),".",""),"/",""),4)),VALUE(MID(SUBSTITUTE(SUBSTITUTE(SUBSTITUTE(TRIM($P654),"-",""),".",""),"/",""),5,2)),VALUE(RIGHT(SUBSTITUTE(SUBSTITUTE(SUBSTITUTE(TRIM($P654),"-",""),".",""),"/",""),2))),DATEVALUE($P654))),""))</f>
        <v/>
      </c>
      <c r="Y654" s="56" t="str">
        <f aca="false">IF($M654="","",IFERROR(INDEX(강사DB!$D$4:$D$53,MATCH($M654,강사DB!$A$4:$A$53,0)),""))</f>
        <v/>
      </c>
      <c r="Z654" s="56" t="str">
        <f aca="false">IF($B654&lt;&gt;"결제완료","",IF(OR($Y654="",$J654=""),"",$Y654*$J654+MAX(0,N($K654)-1)*설정!$J$7))</f>
        <v/>
      </c>
      <c r="AA654" s="56" t="str">
        <f aca="false">IF(AND($D654&lt;&gt;"",$B654="결제완료"),N($N654),"")</f>
        <v/>
      </c>
      <c r="AB654" s="45" t="str">
        <f aca="false">IF($D654="","",IF($F654&lt;&gt;"",$F654,$D654)&amp;IF($B654="상담중"," (상담)",""))</f>
        <v/>
      </c>
      <c r="AC654" s="45" t="n">
        <f aca="false">IF(AND($D654&lt;&gt;"",OR($B654="결제완료",$B654="상담중")),1,0)</f>
        <v>0</v>
      </c>
      <c r="AD654" s="45" t="n">
        <f aca="false">IF(OR($Z654="",$U654=""),0,IFERROR(IF(COUNTIFS(INDEX(g_grid,0,2*MATCH($M654,강사DB!$A$4:$A$15,0)),"&lt;&gt;",g_s,"&lt;="&amp;$U654,g_e,"&gt;="&amp;$U654)&gt;0,1,0),0))</f>
        <v>0</v>
      </c>
      <c r="AE654" s="48"/>
      <c r="AF654" s="56" t="str">
        <f aca="false">IF(AND($D654&lt;&gt;"",$B654="결제완료",$T654="대여"),설정!$J$5,"")</f>
        <v/>
      </c>
      <c r="AG654" s="54" t="str">
        <f aca="false">IF($D654="","",IF(AND($E654="",$R654=""),$AB654,"☎ "&amp;IF($E654="","-",$E654)&amp;IF($R654&lt;&gt;"","  ※ "&amp;$R654,"")&amp;IF($B654="상담중"," (상담)","")))</f>
        <v/>
      </c>
      <c r="AH654" s="56" t="str">
        <f aca="false">IF(AND($D654&lt;&gt;"",$B654="결제완료",$O654="스마트스토어"),ROUND(N($N654)*설정!$J$6,0),"")</f>
        <v/>
      </c>
      <c r="AI654" s="54" t="str">
        <f aca="false">IF($D654="","",ROW())</f>
        <v/>
      </c>
      <c r="AJ654" s="54" t="n">
        <f aca="false">IF(OR($AC654&lt;&gt;1,$M654=""),0,IF(ISNUMBER(SEARCH("퇴사",IFERROR(INDEX(강사DB!$G$4:$G$53,MATCH($M654,강사DB!$A$4:$A$53,0)),""))),1,0))</f>
        <v>0</v>
      </c>
    </row>
    <row r="655" customFormat="false" ht="15" hidden="false" customHeight="false" outlineLevel="0" collapsed="false">
      <c r="A655" s="45" t="str">
        <f aca="false">IF($D655="","",COUNTA($D$5:$D655))</f>
        <v/>
      </c>
      <c r="B655" s="46"/>
      <c r="C655" s="47"/>
      <c r="D655" s="48"/>
      <c r="E655" s="48"/>
      <c r="F655" s="49"/>
      <c r="G655" s="47"/>
      <c r="H655" s="50"/>
      <c r="I655" s="50"/>
      <c r="J655" s="51" t="str">
        <f aca="false">IF(OR($V655="",$W655=""),"",ROUND(($W655-$V655)/60,2))</f>
        <v/>
      </c>
      <c r="K655" s="52" t="str">
        <f aca="false">IF($F655="","",LEN($F655)-LEN(SUBSTITUTE($F655,",",""))+1)</f>
        <v/>
      </c>
      <c r="L655" s="45" t="str">
        <f aca="false">IF($K655="","","1:"&amp;$K655)</f>
        <v/>
      </c>
      <c r="M655" s="46"/>
      <c r="N655" s="53"/>
      <c r="O655" s="46"/>
      <c r="P655" s="47"/>
      <c r="Q655" s="48"/>
      <c r="R655" s="49"/>
      <c r="S655" s="54" t="str">
        <f aca="false">IF(OR($AC655=0,$U655="",$M655="",$V655="",$W655=""),"",IF(COUNTIFS(m_teacher,$M655,m_date,$U655,m_active,1,m_start,"&lt;"&amp;$W655,m_end,"&gt;"&amp;$V655)&gt;1,"충돌",""))</f>
        <v/>
      </c>
      <c r="T655" s="48"/>
      <c r="U655" s="55" t="str">
        <f aca="false">IF($G655="","",IFERROR(IF(ISNUMBER($G655),IF($G655&gt;19000000,DATE(INT($G655/10000),MOD(INT($G655/100),100),MOD($G655,100)),INT($G655)),IF(LEN(SUBSTITUTE(SUBSTITUTE(SUBSTITUTE(TRIM($G655),"-",""),".",""),"/",""))=8,DATE(VALUE(LEFT(SUBSTITUTE(SUBSTITUTE(SUBSTITUTE(TRIM($G655),"-",""),".",""),"/",""),4)),VALUE(MID(SUBSTITUTE(SUBSTITUTE(SUBSTITUTE(TRIM($G655),"-",""),".",""),"/",""),5,2)),VALUE(RIGHT(SUBSTITUTE(SUBSTITUTE(SUBSTITUTE(TRIM($G655),"-",""),".",""),"/",""),2))),DATEVALUE($G655))),""))</f>
        <v/>
      </c>
      <c r="V655" s="52" t="str">
        <f aca="false">IF($H655="","",IFERROR(IF(IF(ISNUMBER($H655),$H655,IFERROR(TIMEVALUE($H655),VALUE($H655)))&gt;=100,INT(IF(ISNUMBER($H655),$H655,IFERROR(TIMEVALUE($H655),VALUE($H655)))/100)*60+MOD(IF(ISNUMBER($H655),$H655,IFERROR(TIMEVALUE($H655),VALUE($H655))),100),IF(IF(ISNUMBER($H655),$H655,IFERROR(TIMEVALUE($H655),VALUE($H655)))&gt;=1,ROUND(IF(ISNUMBER($H655),$H655,IFERROR(TIMEVALUE($H655),VALUE($H655)))*60,0),ROUND(MOD(IF(ISNUMBER($H655),$H655,IFERROR(TIMEVALUE($H655),VALUE($H655))),1)*1440,0))),""))</f>
        <v/>
      </c>
      <c r="W655" s="52" t="str">
        <f aca="false">IF($I655="","",IFERROR(IF(IF(ISNUMBER($I655),$I655,IFERROR(TIMEVALUE($I655),VALUE($I655)))&gt;=100,INT(IF(ISNUMBER($I655),$I655,IFERROR(TIMEVALUE($I655),VALUE($I655)))/100)*60+MOD(IF(ISNUMBER($I655),$I655,IFERROR(TIMEVALUE($I655),VALUE($I655))),100),IF(IF(ISNUMBER($I655),$I655,IFERROR(TIMEVALUE($I655),VALUE($I655)))&gt;=1,ROUND(IF(ISNUMBER($I655),$I655,IFERROR(TIMEVALUE($I655),VALUE($I655)))*60,0),ROUND(MOD(IF(ISNUMBER($I655),$I655,IFERROR(TIMEVALUE($I655),VALUE($I655))),1)*1440,0))),""))</f>
        <v/>
      </c>
      <c r="X655" s="55" t="str">
        <f aca="false">IF($P655="","",IFERROR(IF(ISNUMBER($P655),IF($P655&gt;19000000,DATE(INT($P655/10000),MOD(INT($P655/100),100),MOD($P655,100)),INT($P655)),IF(LEN(SUBSTITUTE(SUBSTITUTE(SUBSTITUTE(TRIM($P655),"-",""),".",""),"/",""))=8,DATE(VALUE(LEFT(SUBSTITUTE(SUBSTITUTE(SUBSTITUTE(TRIM($P655),"-",""),".",""),"/",""),4)),VALUE(MID(SUBSTITUTE(SUBSTITUTE(SUBSTITUTE(TRIM($P655),"-",""),".",""),"/",""),5,2)),VALUE(RIGHT(SUBSTITUTE(SUBSTITUTE(SUBSTITUTE(TRIM($P655),"-",""),".",""),"/",""),2))),DATEVALUE($P655))),""))</f>
        <v/>
      </c>
      <c r="Y655" s="56" t="str">
        <f aca="false">IF($M655="","",IFERROR(INDEX(강사DB!$D$4:$D$53,MATCH($M655,강사DB!$A$4:$A$53,0)),""))</f>
        <v/>
      </c>
      <c r="Z655" s="56" t="str">
        <f aca="false">IF($B655&lt;&gt;"결제완료","",IF(OR($Y655="",$J655=""),"",$Y655*$J655+MAX(0,N($K655)-1)*설정!$J$7))</f>
        <v/>
      </c>
      <c r="AA655" s="56" t="str">
        <f aca="false">IF(AND($D655&lt;&gt;"",$B655="결제완료"),N($N655),"")</f>
        <v/>
      </c>
      <c r="AB655" s="45" t="str">
        <f aca="false">IF($D655="","",IF($F655&lt;&gt;"",$F655,$D655)&amp;IF($B655="상담중"," (상담)",""))</f>
        <v/>
      </c>
      <c r="AC655" s="45" t="n">
        <f aca="false">IF(AND($D655&lt;&gt;"",OR($B655="결제완료",$B655="상담중")),1,0)</f>
        <v>0</v>
      </c>
      <c r="AD655" s="45" t="n">
        <f aca="false">IF(OR($Z655="",$U655=""),0,IFERROR(IF(COUNTIFS(INDEX(g_grid,0,2*MATCH($M655,강사DB!$A$4:$A$15,0)),"&lt;&gt;",g_s,"&lt;="&amp;$U655,g_e,"&gt;="&amp;$U655)&gt;0,1,0),0))</f>
        <v>0</v>
      </c>
      <c r="AE655" s="48"/>
      <c r="AF655" s="56" t="str">
        <f aca="false">IF(AND($D655&lt;&gt;"",$B655="결제완료",$T655="대여"),설정!$J$5,"")</f>
        <v/>
      </c>
      <c r="AG655" s="54" t="str">
        <f aca="false">IF($D655="","",IF(AND($E655="",$R655=""),$AB655,"☎ "&amp;IF($E655="","-",$E655)&amp;IF($R655&lt;&gt;"","  ※ "&amp;$R655,"")&amp;IF($B655="상담중"," (상담)","")))</f>
        <v/>
      </c>
      <c r="AH655" s="56" t="str">
        <f aca="false">IF(AND($D655&lt;&gt;"",$B655="결제완료",$O655="스마트스토어"),ROUND(N($N655)*설정!$J$6,0),"")</f>
        <v/>
      </c>
      <c r="AI655" s="54" t="str">
        <f aca="false">IF($D655="","",ROW())</f>
        <v/>
      </c>
      <c r="AJ655" s="54" t="n">
        <f aca="false">IF(OR($AC655&lt;&gt;1,$M655=""),0,IF(ISNUMBER(SEARCH("퇴사",IFERROR(INDEX(강사DB!$G$4:$G$53,MATCH($M655,강사DB!$A$4:$A$53,0)),""))),1,0))</f>
        <v>0</v>
      </c>
    </row>
    <row r="656" customFormat="false" ht="15" hidden="false" customHeight="false" outlineLevel="0" collapsed="false">
      <c r="A656" s="45" t="str">
        <f aca="false">IF($D656="","",COUNTA($D$5:$D656))</f>
        <v/>
      </c>
      <c r="B656" s="46"/>
      <c r="C656" s="47"/>
      <c r="D656" s="48"/>
      <c r="E656" s="48"/>
      <c r="F656" s="49"/>
      <c r="G656" s="47"/>
      <c r="H656" s="50"/>
      <c r="I656" s="50"/>
      <c r="J656" s="51" t="str">
        <f aca="false">IF(OR($V656="",$W656=""),"",ROUND(($W656-$V656)/60,2))</f>
        <v/>
      </c>
      <c r="K656" s="52" t="str">
        <f aca="false">IF($F656="","",LEN($F656)-LEN(SUBSTITUTE($F656,",",""))+1)</f>
        <v/>
      </c>
      <c r="L656" s="45" t="str">
        <f aca="false">IF($K656="","","1:"&amp;$K656)</f>
        <v/>
      </c>
      <c r="M656" s="46"/>
      <c r="N656" s="53"/>
      <c r="O656" s="46"/>
      <c r="P656" s="47"/>
      <c r="Q656" s="48"/>
      <c r="R656" s="49"/>
      <c r="S656" s="54" t="str">
        <f aca="false">IF(OR($AC656=0,$U656="",$M656="",$V656="",$W656=""),"",IF(COUNTIFS(m_teacher,$M656,m_date,$U656,m_active,1,m_start,"&lt;"&amp;$W656,m_end,"&gt;"&amp;$V656)&gt;1,"충돌",""))</f>
        <v/>
      </c>
      <c r="T656" s="48"/>
      <c r="U656" s="55" t="str">
        <f aca="false">IF($G656="","",IFERROR(IF(ISNUMBER($G656),IF($G656&gt;19000000,DATE(INT($G656/10000),MOD(INT($G656/100),100),MOD($G656,100)),INT($G656)),IF(LEN(SUBSTITUTE(SUBSTITUTE(SUBSTITUTE(TRIM($G656),"-",""),".",""),"/",""))=8,DATE(VALUE(LEFT(SUBSTITUTE(SUBSTITUTE(SUBSTITUTE(TRIM($G656),"-",""),".",""),"/",""),4)),VALUE(MID(SUBSTITUTE(SUBSTITUTE(SUBSTITUTE(TRIM($G656),"-",""),".",""),"/",""),5,2)),VALUE(RIGHT(SUBSTITUTE(SUBSTITUTE(SUBSTITUTE(TRIM($G656),"-",""),".",""),"/",""),2))),DATEVALUE($G656))),""))</f>
        <v/>
      </c>
      <c r="V656" s="52" t="str">
        <f aca="false">IF($H656="","",IFERROR(IF(IF(ISNUMBER($H656),$H656,IFERROR(TIMEVALUE($H656),VALUE($H656)))&gt;=100,INT(IF(ISNUMBER($H656),$H656,IFERROR(TIMEVALUE($H656),VALUE($H656)))/100)*60+MOD(IF(ISNUMBER($H656),$H656,IFERROR(TIMEVALUE($H656),VALUE($H656))),100),IF(IF(ISNUMBER($H656),$H656,IFERROR(TIMEVALUE($H656),VALUE($H656)))&gt;=1,ROUND(IF(ISNUMBER($H656),$H656,IFERROR(TIMEVALUE($H656),VALUE($H656)))*60,0),ROUND(MOD(IF(ISNUMBER($H656),$H656,IFERROR(TIMEVALUE($H656),VALUE($H656))),1)*1440,0))),""))</f>
        <v/>
      </c>
      <c r="W656" s="52" t="str">
        <f aca="false">IF($I656="","",IFERROR(IF(IF(ISNUMBER($I656),$I656,IFERROR(TIMEVALUE($I656),VALUE($I656)))&gt;=100,INT(IF(ISNUMBER($I656),$I656,IFERROR(TIMEVALUE($I656),VALUE($I656)))/100)*60+MOD(IF(ISNUMBER($I656),$I656,IFERROR(TIMEVALUE($I656),VALUE($I656))),100),IF(IF(ISNUMBER($I656),$I656,IFERROR(TIMEVALUE($I656),VALUE($I656)))&gt;=1,ROUND(IF(ISNUMBER($I656),$I656,IFERROR(TIMEVALUE($I656),VALUE($I656)))*60,0),ROUND(MOD(IF(ISNUMBER($I656),$I656,IFERROR(TIMEVALUE($I656),VALUE($I656))),1)*1440,0))),""))</f>
        <v/>
      </c>
      <c r="X656" s="55" t="str">
        <f aca="false">IF($P656="","",IFERROR(IF(ISNUMBER($P656),IF($P656&gt;19000000,DATE(INT($P656/10000),MOD(INT($P656/100),100),MOD($P656,100)),INT($P656)),IF(LEN(SUBSTITUTE(SUBSTITUTE(SUBSTITUTE(TRIM($P656),"-",""),".",""),"/",""))=8,DATE(VALUE(LEFT(SUBSTITUTE(SUBSTITUTE(SUBSTITUTE(TRIM($P656),"-",""),".",""),"/",""),4)),VALUE(MID(SUBSTITUTE(SUBSTITUTE(SUBSTITUTE(TRIM($P656),"-",""),".",""),"/",""),5,2)),VALUE(RIGHT(SUBSTITUTE(SUBSTITUTE(SUBSTITUTE(TRIM($P656),"-",""),".",""),"/",""),2))),DATEVALUE($P656))),""))</f>
        <v/>
      </c>
      <c r="Y656" s="56" t="str">
        <f aca="false">IF($M656="","",IFERROR(INDEX(강사DB!$D$4:$D$53,MATCH($M656,강사DB!$A$4:$A$53,0)),""))</f>
        <v/>
      </c>
      <c r="Z656" s="56" t="str">
        <f aca="false">IF($B656&lt;&gt;"결제완료","",IF(OR($Y656="",$J656=""),"",$Y656*$J656+MAX(0,N($K656)-1)*설정!$J$7))</f>
        <v/>
      </c>
      <c r="AA656" s="56" t="str">
        <f aca="false">IF(AND($D656&lt;&gt;"",$B656="결제완료"),N($N656),"")</f>
        <v/>
      </c>
      <c r="AB656" s="45" t="str">
        <f aca="false">IF($D656="","",IF($F656&lt;&gt;"",$F656,$D656)&amp;IF($B656="상담중"," (상담)",""))</f>
        <v/>
      </c>
      <c r="AC656" s="45" t="n">
        <f aca="false">IF(AND($D656&lt;&gt;"",OR($B656="결제완료",$B656="상담중")),1,0)</f>
        <v>0</v>
      </c>
      <c r="AD656" s="45" t="n">
        <f aca="false">IF(OR($Z656="",$U656=""),0,IFERROR(IF(COUNTIFS(INDEX(g_grid,0,2*MATCH($M656,강사DB!$A$4:$A$15,0)),"&lt;&gt;",g_s,"&lt;="&amp;$U656,g_e,"&gt;="&amp;$U656)&gt;0,1,0),0))</f>
        <v>0</v>
      </c>
      <c r="AE656" s="48"/>
      <c r="AF656" s="56" t="str">
        <f aca="false">IF(AND($D656&lt;&gt;"",$B656="결제완료",$T656="대여"),설정!$J$5,"")</f>
        <v/>
      </c>
      <c r="AG656" s="54" t="str">
        <f aca="false">IF($D656="","",IF(AND($E656="",$R656=""),$AB656,"☎ "&amp;IF($E656="","-",$E656)&amp;IF($R656&lt;&gt;"","  ※ "&amp;$R656,"")&amp;IF($B656="상담중"," (상담)","")))</f>
        <v/>
      </c>
      <c r="AH656" s="56" t="str">
        <f aca="false">IF(AND($D656&lt;&gt;"",$B656="결제완료",$O656="스마트스토어"),ROUND(N($N656)*설정!$J$6,0),"")</f>
        <v/>
      </c>
      <c r="AI656" s="54" t="str">
        <f aca="false">IF($D656="","",ROW())</f>
        <v/>
      </c>
      <c r="AJ656" s="54" t="n">
        <f aca="false">IF(OR($AC656&lt;&gt;1,$M656=""),0,IF(ISNUMBER(SEARCH("퇴사",IFERROR(INDEX(강사DB!$G$4:$G$53,MATCH($M656,강사DB!$A$4:$A$53,0)),""))),1,0))</f>
        <v>0</v>
      </c>
    </row>
    <row r="657" customFormat="false" ht="15" hidden="false" customHeight="false" outlineLevel="0" collapsed="false">
      <c r="A657" s="45" t="str">
        <f aca="false">IF($D657="","",COUNTA($D$5:$D657))</f>
        <v/>
      </c>
      <c r="B657" s="46"/>
      <c r="C657" s="47"/>
      <c r="D657" s="48"/>
      <c r="E657" s="48"/>
      <c r="F657" s="49"/>
      <c r="G657" s="47"/>
      <c r="H657" s="50"/>
      <c r="I657" s="50"/>
      <c r="J657" s="51" t="str">
        <f aca="false">IF(OR($V657="",$W657=""),"",ROUND(($W657-$V657)/60,2))</f>
        <v/>
      </c>
      <c r="K657" s="52" t="str">
        <f aca="false">IF($F657="","",LEN($F657)-LEN(SUBSTITUTE($F657,",",""))+1)</f>
        <v/>
      </c>
      <c r="L657" s="45" t="str">
        <f aca="false">IF($K657="","","1:"&amp;$K657)</f>
        <v/>
      </c>
      <c r="M657" s="46"/>
      <c r="N657" s="53"/>
      <c r="O657" s="46"/>
      <c r="P657" s="47"/>
      <c r="Q657" s="48"/>
      <c r="R657" s="49"/>
      <c r="S657" s="54" t="str">
        <f aca="false">IF(OR($AC657=0,$U657="",$M657="",$V657="",$W657=""),"",IF(COUNTIFS(m_teacher,$M657,m_date,$U657,m_active,1,m_start,"&lt;"&amp;$W657,m_end,"&gt;"&amp;$V657)&gt;1,"충돌",""))</f>
        <v/>
      </c>
      <c r="T657" s="48"/>
      <c r="U657" s="55" t="str">
        <f aca="false">IF($G657="","",IFERROR(IF(ISNUMBER($G657),IF($G657&gt;19000000,DATE(INT($G657/10000),MOD(INT($G657/100),100),MOD($G657,100)),INT($G657)),IF(LEN(SUBSTITUTE(SUBSTITUTE(SUBSTITUTE(TRIM($G657),"-",""),".",""),"/",""))=8,DATE(VALUE(LEFT(SUBSTITUTE(SUBSTITUTE(SUBSTITUTE(TRIM($G657),"-",""),".",""),"/",""),4)),VALUE(MID(SUBSTITUTE(SUBSTITUTE(SUBSTITUTE(TRIM($G657),"-",""),".",""),"/",""),5,2)),VALUE(RIGHT(SUBSTITUTE(SUBSTITUTE(SUBSTITUTE(TRIM($G657),"-",""),".",""),"/",""),2))),DATEVALUE($G657))),""))</f>
        <v/>
      </c>
      <c r="V657" s="52" t="str">
        <f aca="false">IF($H657="","",IFERROR(IF(IF(ISNUMBER($H657),$H657,IFERROR(TIMEVALUE($H657),VALUE($H657)))&gt;=100,INT(IF(ISNUMBER($H657),$H657,IFERROR(TIMEVALUE($H657),VALUE($H657)))/100)*60+MOD(IF(ISNUMBER($H657),$H657,IFERROR(TIMEVALUE($H657),VALUE($H657))),100),IF(IF(ISNUMBER($H657),$H657,IFERROR(TIMEVALUE($H657),VALUE($H657)))&gt;=1,ROUND(IF(ISNUMBER($H657),$H657,IFERROR(TIMEVALUE($H657),VALUE($H657)))*60,0),ROUND(MOD(IF(ISNUMBER($H657),$H657,IFERROR(TIMEVALUE($H657),VALUE($H657))),1)*1440,0))),""))</f>
        <v/>
      </c>
      <c r="W657" s="52" t="str">
        <f aca="false">IF($I657="","",IFERROR(IF(IF(ISNUMBER($I657),$I657,IFERROR(TIMEVALUE($I657),VALUE($I657)))&gt;=100,INT(IF(ISNUMBER($I657),$I657,IFERROR(TIMEVALUE($I657),VALUE($I657)))/100)*60+MOD(IF(ISNUMBER($I657),$I657,IFERROR(TIMEVALUE($I657),VALUE($I657))),100),IF(IF(ISNUMBER($I657),$I657,IFERROR(TIMEVALUE($I657),VALUE($I657)))&gt;=1,ROUND(IF(ISNUMBER($I657),$I657,IFERROR(TIMEVALUE($I657),VALUE($I657)))*60,0),ROUND(MOD(IF(ISNUMBER($I657),$I657,IFERROR(TIMEVALUE($I657),VALUE($I657))),1)*1440,0))),""))</f>
        <v/>
      </c>
      <c r="X657" s="55" t="str">
        <f aca="false">IF($P657="","",IFERROR(IF(ISNUMBER($P657),IF($P657&gt;19000000,DATE(INT($P657/10000),MOD(INT($P657/100),100),MOD($P657,100)),INT($P657)),IF(LEN(SUBSTITUTE(SUBSTITUTE(SUBSTITUTE(TRIM($P657),"-",""),".",""),"/",""))=8,DATE(VALUE(LEFT(SUBSTITUTE(SUBSTITUTE(SUBSTITUTE(TRIM($P657),"-",""),".",""),"/",""),4)),VALUE(MID(SUBSTITUTE(SUBSTITUTE(SUBSTITUTE(TRIM($P657),"-",""),".",""),"/",""),5,2)),VALUE(RIGHT(SUBSTITUTE(SUBSTITUTE(SUBSTITUTE(TRIM($P657),"-",""),".",""),"/",""),2))),DATEVALUE($P657))),""))</f>
        <v/>
      </c>
      <c r="Y657" s="56" t="str">
        <f aca="false">IF($M657="","",IFERROR(INDEX(강사DB!$D$4:$D$53,MATCH($M657,강사DB!$A$4:$A$53,0)),""))</f>
        <v/>
      </c>
      <c r="Z657" s="56" t="str">
        <f aca="false">IF($B657&lt;&gt;"결제완료","",IF(OR($Y657="",$J657=""),"",$Y657*$J657+MAX(0,N($K657)-1)*설정!$J$7))</f>
        <v/>
      </c>
      <c r="AA657" s="56" t="str">
        <f aca="false">IF(AND($D657&lt;&gt;"",$B657="결제완료"),N($N657),"")</f>
        <v/>
      </c>
      <c r="AB657" s="45" t="str">
        <f aca="false">IF($D657="","",IF($F657&lt;&gt;"",$F657,$D657)&amp;IF($B657="상담중"," (상담)",""))</f>
        <v/>
      </c>
      <c r="AC657" s="45" t="n">
        <f aca="false">IF(AND($D657&lt;&gt;"",OR($B657="결제완료",$B657="상담중")),1,0)</f>
        <v>0</v>
      </c>
      <c r="AD657" s="45" t="n">
        <f aca="false">IF(OR($Z657="",$U657=""),0,IFERROR(IF(COUNTIFS(INDEX(g_grid,0,2*MATCH($M657,강사DB!$A$4:$A$15,0)),"&lt;&gt;",g_s,"&lt;="&amp;$U657,g_e,"&gt;="&amp;$U657)&gt;0,1,0),0))</f>
        <v>0</v>
      </c>
      <c r="AE657" s="48"/>
      <c r="AF657" s="56" t="str">
        <f aca="false">IF(AND($D657&lt;&gt;"",$B657="결제완료",$T657="대여"),설정!$J$5,"")</f>
        <v/>
      </c>
      <c r="AG657" s="54" t="str">
        <f aca="false">IF($D657="","",IF(AND($E657="",$R657=""),$AB657,"☎ "&amp;IF($E657="","-",$E657)&amp;IF($R657&lt;&gt;"","  ※ "&amp;$R657,"")&amp;IF($B657="상담중"," (상담)","")))</f>
        <v/>
      </c>
      <c r="AH657" s="56" t="str">
        <f aca="false">IF(AND($D657&lt;&gt;"",$B657="결제완료",$O657="스마트스토어"),ROUND(N($N657)*설정!$J$6,0),"")</f>
        <v/>
      </c>
      <c r="AI657" s="54" t="str">
        <f aca="false">IF($D657="","",ROW())</f>
        <v/>
      </c>
      <c r="AJ657" s="54" t="n">
        <f aca="false">IF(OR($AC657&lt;&gt;1,$M657=""),0,IF(ISNUMBER(SEARCH("퇴사",IFERROR(INDEX(강사DB!$G$4:$G$53,MATCH($M657,강사DB!$A$4:$A$53,0)),""))),1,0))</f>
        <v>0</v>
      </c>
    </row>
    <row r="658" customFormat="false" ht="15" hidden="false" customHeight="false" outlineLevel="0" collapsed="false">
      <c r="A658" s="45" t="str">
        <f aca="false">IF($D658="","",COUNTA($D$5:$D658))</f>
        <v/>
      </c>
      <c r="B658" s="46"/>
      <c r="C658" s="47"/>
      <c r="D658" s="48"/>
      <c r="E658" s="48"/>
      <c r="F658" s="49"/>
      <c r="G658" s="47"/>
      <c r="H658" s="50"/>
      <c r="I658" s="50"/>
      <c r="J658" s="51" t="str">
        <f aca="false">IF(OR($V658="",$W658=""),"",ROUND(($W658-$V658)/60,2))</f>
        <v/>
      </c>
      <c r="K658" s="52" t="str">
        <f aca="false">IF($F658="","",LEN($F658)-LEN(SUBSTITUTE($F658,",",""))+1)</f>
        <v/>
      </c>
      <c r="L658" s="45" t="str">
        <f aca="false">IF($K658="","","1:"&amp;$K658)</f>
        <v/>
      </c>
      <c r="M658" s="46"/>
      <c r="N658" s="53"/>
      <c r="O658" s="46"/>
      <c r="P658" s="47"/>
      <c r="Q658" s="48"/>
      <c r="R658" s="49"/>
      <c r="S658" s="54" t="str">
        <f aca="false">IF(OR($AC658=0,$U658="",$M658="",$V658="",$W658=""),"",IF(COUNTIFS(m_teacher,$M658,m_date,$U658,m_active,1,m_start,"&lt;"&amp;$W658,m_end,"&gt;"&amp;$V658)&gt;1,"충돌",""))</f>
        <v/>
      </c>
      <c r="T658" s="48"/>
      <c r="U658" s="55" t="str">
        <f aca="false">IF($G658="","",IFERROR(IF(ISNUMBER($G658),IF($G658&gt;19000000,DATE(INT($G658/10000),MOD(INT($G658/100),100),MOD($G658,100)),INT($G658)),IF(LEN(SUBSTITUTE(SUBSTITUTE(SUBSTITUTE(TRIM($G658),"-",""),".",""),"/",""))=8,DATE(VALUE(LEFT(SUBSTITUTE(SUBSTITUTE(SUBSTITUTE(TRIM($G658),"-",""),".",""),"/",""),4)),VALUE(MID(SUBSTITUTE(SUBSTITUTE(SUBSTITUTE(TRIM($G658),"-",""),".",""),"/",""),5,2)),VALUE(RIGHT(SUBSTITUTE(SUBSTITUTE(SUBSTITUTE(TRIM($G658),"-",""),".",""),"/",""),2))),DATEVALUE($G658))),""))</f>
        <v/>
      </c>
      <c r="V658" s="52" t="str">
        <f aca="false">IF($H658="","",IFERROR(IF(IF(ISNUMBER($H658),$H658,IFERROR(TIMEVALUE($H658),VALUE($H658)))&gt;=100,INT(IF(ISNUMBER($H658),$H658,IFERROR(TIMEVALUE($H658),VALUE($H658)))/100)*60+MOD(IF(ISNUMBER($H658),$H658,IFERROR(TIMEVALUE($H658),VALUE($H658))),100),IF(IF(ISNUMBER($H658),$H658,IFERROR(TIMEVALUE($H658),VALUE($H658)))&gt;=1,ROUND(IF(ISNUMBER($H658),$H658,IFERROR(TIMEVALUE($H658),VALUE($H658)))*60,0),ROUND(MOD(IF(ISNUMBER($H658),$H658,IFERROR(TIMEVALUE($H658),VALUE($H658))),1)*1440,0))),""))</f>
        <v/>
      </c>
      <c r="W658" s="52" t="str">
        <f aca="false">IF($I658="","",IFERROR(IF(IF(ISNUMBER($I658),$I658,IFERROR(TIMEVALUE($I658),VALUE($I658)))&gt;=100,INT(IF(ISNUMBER($I658),$I658,IFERROR(TIMEVALUE($I658),VALUE($I658)))/100)*60+MOD(IF(ISNUMBER($I658),$I658,IFERROR(TIMEVALUE($I658),VALUE($I658))),100),IF(IF(ISNUMBER($I658),$I658,IFERROR(TIMEVALUE($I658),VALUE($I658)))&gt;=1,ROUND(IF(ISNUMBER($I658),$I658,IFERROR(TIMEVALUE($I658),VALUE($I658)))*60,0),ROUND(MOD(IF(ISNUMBER($I658),$I658,IFERROR(TIMEVALUE($I658),VALUE($I658))),1)*1440,0))),""))</f>
        <v/>
      </c>
      <c r="X658" s="55" t="str">
        <f aca="false">IF($P658="","",IFERROR(IF(ISNUMBER($P658),IF($P658&gt;19000000,DATE(INT($P658/10000),MOD(INT($P658/100),100),MOD($P658,100)),INT($P658)),IF(LEN(SUBSTITUTE(SUBSTITUTE(SUBSTITUTE(TRIM($P658),"-",""),".",""),"/",""))=8,DATE(VALUE(LEFT(SUBSTITUTE(SUBSTITUTE(SUBSTITUTE(TRIM($P658),"-",""),".",""),"/",""),4)),VALUE(MID(SUBSTITUTE(SUBSTITUTE(SUBSTITUTE(TRIM($P658),"-",""),".",""),"/",""),5,2)),VALUE(RIGHT(SUBSTITUTE(SUBSTITUTE(SUBSTITUTE(TRIM($P658),"-",""),".",""),"/",""),2))),DATEVALUE($P658))),""))</f>
        <v/>
      </c>
      <c r="Y658" s="56" t="str">
        <f aca="false">IF($M658="","",IFERROR(INDEX(강사DB!$D$4:$D$53,MATCH($M658,강사DB!$A$4:$A$53,0)),""))</f>
        <v/>
      </c>
      <c r="Z658" s="56" t="str">
        <f aca="false">IF($B658&lt;&gt;"결제완료","",IF(OR($Y658="",$J658=""),"",$Y658*$J658+MAX(0,N($K658)-1)*설정!$J$7))</f>
        <v/>
      </c>
      <c r="AA658" s="56" t="str">
        <f aca="false">IF(AND($D658&lt;&gt;"",$B658="결제완료"),N($N658),"")</f>
        <v/>
      </c>
      <c r="AB658" s="45" t="str">
        <f aca="false">IF($D658="","",IF($F658&lt;&gt;"",$F658,$D658)&amp;IF($B658="상담중"," (상담)",""))</f>
        <v/>
      </c>
      <c r="AC658" s="45" t="n">
        <f aca="false">IF(AND($D658&lt;&gt;"",OR($B658="결제완료",$B658="상담중")),1,0)</f>
        <v>0</v>
      </c>
      <c r="AD658" s="45" t="n">
        <f aca="false">IF(OR($Z658="",$U658=""),0,IFERROR(IF(COUNTIFS(INDEX(g_grid,0,2*MATCH($M658,강사DB!$A$4:$A$15,0)),"&lt;&gt;",g_s,"&lt;="&amp;$U658,g_e,"&gt;="&amp;$U658)&gt;0,1,0),0))</f>
        <v>0</v>
      </c>
      <c r="AE658" s="48"/>
      <c r="AF658" s="56" t="str">
        <f aca="false">IF(AND($D658&lt;&gt;"",$B658="결제완료",$T658="대여"),설정!$J$5,"")</f>
        <v/>
      </c>
      <c r="AG658" s="54" t="str">
        <f aca="false">IF($D658="","",IF(AND($E658="",$R658=""),$AB658,"☎ "&amp;IF($E658="","-",$E658)&amp;IF($R658&lt;&gt;"","  ※ "&amp;$R658,"")&amp;IF($B658="상담중"," (상담)","")))</f>
        <v/>
      </c>
      <c r="AH658" s="56" t="str">
        <f aca="false">IF(AND($D658&lt;&gt;"",$B658="결제완료",$O658="스마트스토어"),ROUND(N($N658)*설정!$J$6,0),"")</f>
        <v/>
      </c>
      <c r="AI658" s="54" t="str">
        <f aca="false">IF($D658="","",ROW())</f>
        <v/>
      </c>
      <c r="AJ658" s="54" t="n">
        <f aca="false">IF(OR($AC658&lt;&gt;1,$M658=""),0,IF(ISNUMBER(SEARCH("퇴사",IFERROR(INDEX(강사DB!$G$4:$G$53,MATCH($M658,강사DB!$A$4:$A$53,0)),""))),1,0))</f>
        <v>0</v>
      </c>
    </row>
    <row r="659" customFormat="false" ht="15" hidden="false" customHeight="false" outlineLevel="0" collapsed="false">
      <c r="A659" s="45" t="str">
        <f aca="false">IF($D659="","",COUNTA($D$5:$D659))</f>
        <v/>
      </c>
      <c r="B659" s="46"/>
      <c r="C659" s="47"/>
      <c r="D659" s="48"/>
      <c r="E659" s="48"/>
      <c r="F659" s="49"/>
      <c r="G659" s="47"/>
      <c r="H659" s="50"/>
      <c r="I659" s="50"/>
      <c r="J659" s="51" t="str">
        <f aca="false">IF(OR($V659="",$W659=""),"",ROUND(($W659-$V659)/60,2))</f>
        <v/>
      </c>
      <c r="K659" s="52" t="str">
        <f aca="false">IF($F659="","",LEN($F659)-LEN(SUBSTITUTE($F659,",",""))+1)</f>
        <v/>
      </c>
      <c r="L659" s="45" t="str">
        <f aca="false">IF($K659="","","1:"&amp;$K659)</f>
        <v/>
      </c>
      <c r="M659" s="46"/>
      <c r="N659" s="53"/>
      <c r="O659" s="46"/>
      <c r="P659" s="47"/>
      <c r="Q659" s="48"/>
      <c r="R659" s="49"/>
      <c r="S659" s="54" t="str">
        <f aca="false">IF(OR($AC659=0,$U659="",$M659="",$V659="",$W659=""),"",IF(COUNTIFS(m_teacher,$M659,m_date,$U659,m_active,1,m_start,"&lt;"&amp;$W659,m_end,"&gt;"&amp;$V659)&gt;1,"충돌",""))</f>
        <v/>
      </c>
      <c r="T659" s="48"/>
      <c r="U659" s="55" t="str">
        <f aca="false">IF($G659="","",IFERROR(IF(ISNUMBER($G659),IF($G659&gt;19000000,DATE(INT($G659/10000),MOD(INT($G659/100),100),MOD($G659,100)),INT($G659)),IF(LEN(SUBSTITUTE(SUBSTITUTE(SUBSTITUTE(TRIM($G659),"-",""),".",""),"/",""))=8,DATE(VALUE(LEFT(SUBSTITUTE(SUBSTITUTE(SUBSTITUTE(TRIM($G659),"-",""),".",""),"/",""),4)),VALUE(MID(SUBSTITUTE(SUBSTITUTE(SUBSTITUTE(TRIM($G659),"-",""),".",""),"/",""),5,2)),VALUE(RIGHT(SUBSTITUTE(SUBSTITUTE(SUBSTITUTE(TRIM($G659),"-",""),".",""),"/",""),2))),DATEVALUE($G659))),""))</f>
        <v/>
      </c>
      <c r="V659" s="52" t="str">
        <f aca="false">IF($H659="","",IFERROR(IF(IF(ISNUMBER($H659),$H659,IFERROR(TIMEVALUE($H659),VALUE($H659)))&gt;=100,INT(IF(ISNUMBER($H659),$H659,IFERROR(TIMEVALUE($H659),VALUE($H659)))/100)*60+MOD(IF(ISNUMBER($H659),$H659,IFERROR(TIMEVALUE($H659),VALUE($H659))),100),IF(IF(ISNUMBER($H659),$H659,IFERROR(TIMEVALUE($H659),VALUE($H659)))&gt;=1,ROUND(IF(ISNUMBER($H659),$H659,IFERROR(TIMEVALUE($H659),VALUE($H659)))*60,0),ROUND(MOD(IF(ISNUMBER($H659),$H659,IFERROR(TIMEVALUE($H659),VALUE($H659))),1)*1440,0))),""))</f>
        <v/>
      </c>
      <c r="W659" s="52" t="str">
        <f aca="false">IF($I659="","",IFERROR(IF(IF(ISNUMBER($I659),$I659,IFERROR(TIMEVALUE($I659),VALUE($I659)))&gt;=100,INT(IF(ISNUMBER($I659),$I659,IFERROR(TIMEVALUE($I659),VALUE($I659)))/100)*60+MOD(IF(ISNUMBER($I659),$I659,IFERROR(TIMEVALUE($I659),VALUE($I659))),100),IF(IF(ISNUMBER($I659),$I659,IFERROR(TIMEVALUE($I659),VALUE($I659)))&gt;=1,ROUND(IF(ISNUMBER($I659),$I659,IFERROR(TIMEVALUE($I659),VALUE($I659)))*60,0),ROUND(MOD(IF(ISNUMBER($I659),$I659,IFERROR(TIMEVALUE($I659),VALUE($I659))),1)*1440,0))),""))</f>
        <v/>
      </c>
      <c r="X659" s="55" t="str">
        <f aca="false">IF($P659="","",IFERROR(IF(ISNUMBER($P659),IF($P659&gt;19000000,DATE(INT($P659/10000),MOD(INT($P659/100),100),MOD($P659,100)),INT($P659)),IF(LEN(SUBSTITUTE(SUBSTITUTE(SUBSTITUTE(TRIM($P659),"-",""),".",""),"/",""))=8,DATE(VALUE(LEFT(SUBSTITUTE(SUBSTITUTE(SUBSTITUTE(TRIM($P659),"-",""),".",""),"/",""),4)),VALUE(MID(SUBSTITUTE(SUBSTITUTE(SUBSTITUTE(TRIM($P659),"-",""),".",""),"/",""),5,2)),VALUE(RIGHT(SUBSTITUTE(SUBSTITUTE(SUBSTITUTE(TRIM($P659),"-",""),".",""),"/",""),2))),DATEVALUE($P659))),""))</f>
        <v/>
      </c>
      <c r="Y659" s="56" t="str">
        <f aca="false">IF($M659="","",IFERROR(INDEX(강사DB!$D$4:$D$53,MATCH($M659,강사DB!$A$4:$A$53,0)),""))</f>
        <v/>
      </c>
      <c r="Z659" s="56" t="str">
        <f aca="false">IF($B659&lt;&gt;"결제완료","",IF(OR($Y659="",$J659=""),"",$Y659*$J659+MAX(0,N($K659)-1)*설정!$J$7))</f>
        <v/>
      </c>
      <c r="AA659" s="56" t="str">
        <f aca="false">IF(AND($D659&lt;&gt;"",$B659="결제완료"),N($N659),"")</f>
        <v/>
      </c>
      <c r="AB659" s="45" t="str">
        <f aca="false">IF($D659="","",IF($F659&lt;&gt;"",$F659,$D659)&amp;IF($B659="상담중"," (상담)",""))</f>
        <v/>
      </c>
      <c r="AC659" s="45" t="n">
        <f aca="false">IF(AND($D659&lt;&gt;"",OR($B659="결제완료",$B659="상담중")),1,0)</f>
        <v>0</v>
      </c>
      <c r="AD659" s="45" t="n">
        <f aca="false">IF(OR($Z659="",$U659=""),0,IFERROR(IF(COUNTIFS(INDEX(g_grid,0,2*MATCH($M659,강사DB!$A$4:$A$15,0)),"&lt;&gt;",g_s,"&lt;="&amp;$U659,g_e,"&gt;="&amp;$U659)&gt;0,1,0),0))</f>
        <v>0</v>
      </c>
      <c r="AE659" s="48"/>
      <c r="AF659" s="56" t="str">
        <f aca="false">IF(AND($D659&lt;&gt;"",$B659="결제완료",$T659="대여"),설정!$J$5,"")</f>
        <v/>
      </c>
      <c r="AG659" s="54" t="str">
        <f aca="false">IF($D659="","",IF(AND($E659="",$R659=""),$AB659,"☎ "&amp;IF($E659="","-",$E659)&amp;IF($R659&lt;&gt;"","  ※ "&amp;$R659,"")&amp;IF($B659="상담중"," (상담)","")))</f>
        <v/>
      </c>
      <c r="AH659" s="56" t="str">
        <f aca="false">IF(AND($D659&lt;&gt;"",$B659="결제완료",$O659="스마트스토어"),ROUND(N($N659)*설정!$J$6,0),"")</f>
        <v/>
      </c>
      <c r="AI659" s="54" t="str">
        <f aca="false">IF($D659="","",ROW())</f>
        <v/>
      </c>
      <c r="AJ659" s="54" t="n">
        <f aca="false">IF(OR($AC659&lt;&gt;1,$M659=""),0,IF(ISNUMBER(SEARCH("퇴사",IFERROR(INDEX(강사DB!$G$4:$G$53,MATCH($M659,강사DB!$A$4:$A$53,0)),""))),1,0))</f>
        <v>0</v>
      </c>
    </row>
    <row r="660" customFormat="false" ht="15" hidden="false" customHeight="false" outlineLevel="0" collapsed="false">
      <c r="A660" s="45" t="str">
        <f aca="false">IF($D660="","",COUNTA($D$5:$D660))</f>
        <v/>
      </c>
      <c r="B660" s="46"/>
      <c r="C660" s="47"/>
      <c r="D660" s="48"/>
      <c r="E660" s="48"/>
      <c r="F660" s="49"/>
      <c r="G660" s="47"/>
      <c r="H660" s="50"/>
      <c r="I660" s="50"/>
      <c r="J660" s="51" t="str">
        <f aca="false">IF(OR($V660="",$W660=""),"",ROUND(($W660-$V660)/60,2))</f>
        <v/>
      </c>
      <c r="K660" s="52" t="str">
        <f aca="false">IF($F660="","",LEN($F660)-LEN(SUBSTITUTE($F660,",",""))+1)</f>
        <v/>
      </c>
      <c r="L660" s="45" t="str">
        <f aca="false">IF($K660="","","1:"&amp;$K660)</f>
        <v/>
      </c>
      <c r="M660" s="46"/>
      <c r="N660" s="53"/>
      <c r="O660" s="46"/>
      <c r="P660" s="47"/>
      <c r="Q660" s="48"/>
      <c r="R660" s="49"/>
      <c r="S660" s="54" t="str">
        <f aca="false">IF(OR($AC660=0,$U660="",$M660="",$V660="",$W660=""),"",IF(COUNTIFS(m_teacher,$M660,m_date,$U660,m_active,1,m_start,"&lt;"&amp;$W660,m_end,"&gt;"&amp;$V660)&gt;1,"충돌",""))</f>
        <v/>
      </c>
      <c r="T660" s="48"/>
      <c r="U660" s="55" t="str">
        <f aca="false">IF($G660="","",IFERROR(IF(ISNUMBER($G660),IF($G660&gt;19000000,DATE(INT($G660/10000),MOD(INT($G660/100),100),MOD($G660,100)),INT($G660)),IF(LEN(SUBSTITUTE(SUBSTITUTE(SUBSTITUTE(TRIM($G660),"-",""),".",""),"/",""))=8,DATE(VALUE(LEFT(SUBSTITUTE(SUBSTITUTE(SUBSTITUTE(TRIM($G660),"-",""),".",""),"/",""),4)),VALUE(MID(SUBSTITUTE(SUBSTITUTE(SUBSTITUTE(TRIM($G660),"-",""),".",""),"/",""),5,2)),VALUE(RIGHT(SUBSTITUTE(SUBSTITUTE(SUBSTITUTE(TRIM($G660),"-",""),".",""),"/",""),2))),DATEVALUE($G660))),""))</f>
        <v/>
      </c>
      <c r="V660" s="52" t="str">
        <f aca="false">IF($H660="","",IFERROR(IF(IF(ISNUMBER($H660),$H660,IFERROR(TIMEVALUE($H660),VALUE($H660)))&gt;=100,INT(IF(ISNUMBER($H660),$H660,IFERROR(TIMEVALUE($H660),VALUE($H660)))/100)*60+MOD(IF(ISNUMBER($H660),$H660,IFERROR(TIMEVALUE($H660),VALUE($H660))),100),IF(IF(ISNUMBER($H660),$H660,IFERROR(TIMEVALUE($H660),VALUE($H660)))&gt;=1,ROUND(IF(ISNUMBER($H660),$H660,IFERROR(TIMEVALUE($H660),VALUE($H660)))*60,0),ROUND(MOD(IF(ISNUMBER($H660),$H660,IFERROR(TIMEVALUE($H660),VALUE($H660))),1)*1440,0))),""))</f>
        <v/>
      </c>
      <c r="W660" s="52" t="str">
        <f aca="false">IF($I660="","",IFERROR(IF(IF(ISNUMBER($I660),$I660,IFERROR(TIMEVALUE($I660),VALUE($I660)))&gt;=100,INT(IF(ISNUMBER($I660),$I660,IFERROR(TIMEVALUE($I660),VALUE($I660)))/100)*60+MOD(IF(ISNUMBER($I660),$I660,IFERROR(TIMEVALUE($I660),VALUE($I660))),100),IF(IF(ISNUMBER($I660),$I660,IFERROR(TIMEVALUE($I660),VALUE($I660)))&gt;=1,ROUND(IF(ISNUMBER($I660),$I660,IFERROR(TIMEVALUE($I660),VALUE($I660)))*60,0),ROUND(MOD(IF(ISNUMBER($I660),$I660,IFERROR(TIMEVALUE($I660),VALUE($I660))),1)*1440,0))),""))</f>
        <v/>
      </c>
      <c r="X660" s="55" t="str">
        <f aca="false">IF($P660="","",IFERROR(IF(ISNUMBER($P660),IF($P660&gt;19000000,DATE(INT($P660/10000),MOD(INT($P660/100),100),MOD($P660,100)),INT($P660)),IF(LEN(SUBSTITUTE(SUBSTITUTE(SUBSTITUTE(TRIM($P660),"-",""),".",""),"/",""))=8,DATE(VALUE(LEFT(SUBSTITUTE(SUBSTITUTE(SUBSTITUTE(TRIM($P660),"-",""),".",""),"/",""),4)),VALUE(MID(SUBSTITUTE(SUBSTITUTE(SUBSTITUTE(TRIM($P660),"-",""),".",""),"/",""),5,2)),VALUE(RIGHT(SUBSTITUTE(SUBSTITUTE(SUBSTITUTE(TRIM($P660),"-",""),".",""),"/",""),2))),DATEVALUE($P660))),""))</f>
        <v/>
      </c>
      <c r="Y660" s="56" t="str">
        <f aca="false">IF($M660="","",IFERROR(INDEX(강사DB!$D$4:$D$53,MATCH($M660,강사DB!$A$4:$A$53,0)),""))</f>
        <v/>
      </c>
      <c r="Z660" s="56" t="str">
        <f aca="false">IF($B660&lt;&gt;"결제완료","",IF(OR($Y660="",$J660=""),"",$Y660*$J660+MAX(0,N($K660)-1)*설정!$J$7))</f>
        <v/>
      </c>
      <c r="AA660" s="56" t="str">
        <f aca="false">IF(AND($D660&lt;&gt;"",$B660="결제완료"),N($N660),"")</f>
        <v/>
      </c>
      <c r="AB660" s="45" t="str">
        <f aca="false">IF($D660="","",IF($F660&lt;&gt;"",$F660,$D660)&amp;IF($B660="상담중"," (상담)",""))</f>
        <v/>
      </c>
      <c r="AC660" s="45" t="n">
        <f aca="false">IF(AND($D660&lt;&gt;"",OR($B660="결제완료",$B660="상담중")),1,0)</f>
        <v>0</v>
      </c>
      <c r="AD660" s="45" t="n">
        <f aca="false">IF(OR($Z660="",$U660=""),0,IFERROR(IF(COUNTIFS(INDEX(g_grid,0,2*MATCH($M660,강사DB!$A$4:$A$15,0)),"&lt;&gt;",g_s,"&lt;="&amp;$U660,g_e,"&gt;="&amp;$U660)&gt;0,1,0),0))</f>
        <v>0</v>
      </c>
      <c r="AE660" s="48"/>
      <c r="AF660" s="56" t="str">
        <f aca="false">IF(AND($D660&lt;&gt;"",$B660="결제완료",$T660="대여"),설정!$J$5,"")</f>
        <v/>
      </c>
      <c r="AG660" s="54" t="str">
        <f aca="false">IF($D660="","",IF(AND($E660="",$R660=""),$AB660,"☎ "&amp;IF($E660="","-",$E660)&amp;IF($R660&lt;&gt;"","  ※ "&amp;$R660,"")&amp;IF($B660="상담중"," (상담)","")))</f>
        <v/>
      </c>
      <c r="AH660" s="56" t="str">
        <f aca="false">IF(AND($D660&lt;&gt;"",$B660="결제완료",$O660="스마트스토어"),ROUND(N($N660)*설정!$J$6,0),"")</f>
        <v/>
      </c>
      <c r="AI660" s="54" t="str">
        <f aca="false">IF($D660="","",ROW())</f>
        <v/>
      </c>
      <c r="AJ660" s="54" t="n">
        <f aca="false">IF(OR($AC660&lt;&gt;1,$M660=""),0,IF(ISNUMBER(SEARCH("퇴사",IFERROR(INDEX(강사DB!$G$4:$G$53,MATCH($M660,강사DB!$A$4:$A$53,0)),""))),1,0))</f>
        <v>0</v>
      </c>
    </row>
    <row r="661" customFormat="false" ht="15" hidden="false" customHeight="false" outlineLevel="0" collapsed="false">
      <c r="A661" s="45" t="str">
        <f aca="false">IF($D661="","",COUNTA($D$5:$D661))</f>
        <v/>
      </c>
      <c r="B661" s="46"/>
      <c r="C661" s="47"/>
      <c r="D661" s="48"/>
      <c r="E661" s="48"/>
      <c r="F661" s="49"/>
      <c r="G661" s="47"/>
      <c r="H661" s="50"/>
      <c r="I661" s="50"/>
      <c r="J661" s="51" t="str">
        <f aca="false">IF(OR($V661="",$W661=""),"",ROUND(($W661-$V661)/60,2))</f>
        <v/>
      </c>
      <c r="K661" s="52" t="str">
        <f aca="false">IF($F661="","",LEN($F661)-LEN(SUBSTITUTE($F661,",",""))+1)</f>
        <v/>
      </c>
      <c r="L661" s="45" t="str">
        <f aca="false">IF($K661="","","1:"&amp;$K661)</f>
        <v/>
      </c>
      <c r="M661" s="46"/>
      <c r="N661" s="53"/>
      <c r="O661" s="46"/>
      <c r="P661" s="47"/>
      <c r="Q661" s="48"/>
      <c r="R661" s="49"/>
      <c r="S661" s="54" t="str">
        <f aca="false">IF(OR($AC661=0,$U661="",$M661="",$V661="",$W661=""),"",IF(COUNTIFS(m_teacher,$M661,m_date,$U661,m_active,1,m_start,"&lt;"&amp;$W661,m_end,"&gt;"&amp;$V661)&gt;1,"충돌",""))</f>
        <v/>
      </c>
      <c r="T661" s="48"/>
      <c r="U661" s="55" t="str">
        <f aca="false">IF($G661="","",IFERROR(IF(ISNUMBER($G661),IF($G661&gt;19000000,DATE(INT($G661/10000),MOD(INT($G661/100),100),MOD($G661,100)),INT($G661)),IF(LEN(SUBSTITUTE(SUBSTITUTE(SUBSTITUTE(TRIM($G661),"-",""),".",""),"/",""))=8,DATE(VALUE(LEFT(SUBSTITUTE(SUBSTITUTE(SUBSTITUTE(TRIM($G661),"-",""),".",""),"/",""),4)),VALUE(MID(SUBSTITUTE(SUBSTITUTE(SUBSTITUTE(TRIM($G661),"-",""),".",""),"/",""),5,2)),VALUE(RIGHT(SUBSTITUTE(SUBSTITUTE(SUBSTITUTE(TRIM($G661),"-",""),".",""),"/",""),2))),DATEVALUE($G661))),""))</f>
        <v/>
      </c>
      <c r="V661" s="52" t="str">
        <f aca="false">IF($H661="","",IFERROR(IF(IF(ISNUMBER($H661),$H661,IFERROR(TIMEVALUE($H661),VALUE($H661)))&gt;=100,INT(IF(ISNUMBER($H661),$H661,IFERROR(TIMEVALUE($H661),VALUE($H661)))/100)*60+MOD(IF(ISNUMBER($H661),$H661,IFERROR(TIMEVALUE($H661),VALUE($H661))),100),IF(IF(ISNUMBER($H661),$H661,IFERROR(TIMEVALUE($H661),VALUE($H661)))&gt;=1,ROUND(IF(ISNUMBER($H661),$H661,IFERROR(TIMEVALUE($H661),VALUE($H661)))*60,0),ROUND(MOD(IF(ISNUMBER($H661),$H661,IFERROR(TIMEVALUE($H661),VALUE($H661))),1)*1440,0))),""))</f>
        <v/>
      </c>
      <c r="W661" s="52" t="str">
        <f aca="false">IF($I661="","",IFERROR(IF(IF(ISNUMBER($I661),$I661,IFERROR(TIMEVALUE($I661),VALUE($I661)))&gt;=100,INT(IF(ISNUMBER($I661),$I661,IFERROR(TIMEVALUE($I661),VALUE($I661)))/100)*60+MOD(IF(ISNUMBER($I661),$I661,IFERROR(TIMEVALUE($I661),VALUE($I661))),100),IF(IF(ISNUMBER($I661),$I661,IFERROR(TIMEVALUE($I661),VALUE($I661)))&gt;=1,ROUND(IF(ISNUMBER($I661),$I661,IFERROR(TIMEVALUE($I661),VALUE($I661)))*60,0),ROUND(MOD(IF(ISNUMBER($I661),$I661,IFERROR(TIMEVALUE($I661),VALUE($I661))),1)*1440,0))),""))</f>
        <v/>
      </c>
      <c r="X661" s="55" t="str">
        <f aca="false">IF($P661="","",IFERROR(IF(ISNUMBER($P661),IF($P661&gt;19000000,DATE(INT($P661/10000),MOD(INT($P661/100),100),MOD($P661,100)),INT($P661)),IF(LEN(SUBSTITUTE(SUBSTITUTE(SUBSTITUTE(TRIM($P661),"-",""),".",""),"/",""))=8,DATE(VALUE(LEFT(SUBSTITUTE(SUBSTITUTE(SUBSTITUTE(TRIM($P661),"-",""),".",""),"/",""),4)),VALUE(MID(SUBSTITUTE(SUBSTITUTE(SUBSTITUTE(TRIM($P661),"-",""),".",""),"/",""),5,2)),VALUE(RIGHT(SUBSTITUTE(SUBSTITUTE(SUBSTITUTE(TRIM($P661),"-",""),".",""),"/",""),2))),DATEVALUE($P661))),""))</f>
        <v/>
      </c>
      <c r="Y661" s="56" t="str">
        <f aca="false">IF($M661="","",IFERROR(INDEX(강사DB!$D$4:$D$53,MATCH($M661,강사DB!$A$4:$A$53,0)),""))</f>
        <v/>
      </c>
      <c r="Z661" s="56" t="str">
        <f aca="false">IF($B661&lt;&gt;"결제완료","",IF(OR($Y661="",$J661=""),"",$Y661*$J661+MAX(0,N($K661)-1)*설정!$J$7))</f>
        <v/>
      </c>
      <c r="AA661" s="56" t="str">
        <f aca="false">IF(AND($D661&lt;&gt;"",$B661="결제완료"),N($N661),"")</f>
        <v/>
      </c>
      <c r="AB661" s="45" t="str">
        <f aca="false">IF($D661="","",IF($F661&lt;&gt;"",$F661,$D661)&amp;IF($B661="상담중"," (상담)",""))</f>
        <v/>
      </c>
      <c r="AC661" s="45" t="n">
        <f aca="false">IF(AND($D661&lt;&gt;"",OR($B661="결제완료",$B661="상담중")),1,0)</f>
        <v>0</v>
      </c>
      <c r="AD661" s="45" t="n">
        <f aca="false">IF(OR($Z661="",$U661=""),0,IFERROR(IF(COUNTIFS(INDEX(g_grid,0,2*MATCH($M661,강사DB!$A$4:$A$15,0)),"&lt;&gt;",g_s,"&lt;="&amp;$U661,g_e,"&gt;="&amp;$U661)&gt;0,1,0),0))</f>
        <v>0</v>
      </c>
      <c r="AE661" s="48"/>
      <c r="AF661" s="56" t="str">
        <f aca="false">IF(AND($D661&lt;&gt;"",$B661="결제완료",$T661="대여"),설정!$J$5,"")</f>
        <v/>
      </c>
      <c r="AG661" s="54" t="str">
        <f aca="false">IF($D661="","",IF(AND($E661="",$R661=""),$AB661,"☎ "&amp;IF($E661="","-",$E661)&amp;IF($R661&lt;&gt;"","  ※ "&amp;$R661,"")&amp;IF($B661="상담중"," (상담)","")))</f>
        <v/>
      </c>
      <c r="AH661" s="56" t="str">
        <f aca="false">IF(AND($D661&lt;&gt;"",$B661="결제완료",$O661="스마트스토어"),ROUND(N($N661)*설정!$J$6,0),"")</f>
        <v/>
      </c>
      <c r="AI661" s="54" t="str">
        <f aca="false">IF($D661="","",ROW())</f>
        <v/>
      </c>
      <c r="AJ661" s="54" t="n">
        <f aca="false">IF(OR($AC661&lt;&gt;1,$M661=""),0,IF(ISNUMBER(SEARCH("퇴사",IFERROR(INDEX(강사DB!$G$4:$G$53,MATCH($M661,강사DB!$A$4:$A$53,0)),""))),1,0))</f>
        <v>0</v>
      </c>
    </row>
    <row r="662" customFormat="false" ht="15" hidden="false" customHeight="false" outlineLevel="0" collapsed="false">
      <c r="A662" s="45" t="str">
        <f aca="false">IF($D662="","",COUNTA($D$5:$D662))</f>
        <v/>
      </c>
      <c r="B662" s="46"/>
      <c r="C662" s="47"/>
      <c r="D662" s="48"/>
      <c r="E662" s="48"/>
      <c r="F662" s="49"/>
      <c r="G662" s="47"/>
      <c r="H662" s="50"/>
      <c r="I662" s="50"/>
      <c r="J662" s="51" t="str">
        <f aca="false">IF(OR($V662="",$W662=""),"",ROUND(($W662-$V662)/60,2))</f>
        <v/>
      </c>
      <c r="K662" s="52" t="str">
        <f aca="false">IF($F662="","",LEN($F662)-LEN(SUBSTITUTE($F662,",",""))+1)</f>
        <v/>
      </c>
      <c r="L662" s="45" t="str">
        <f aca="false">IF($K662="","","1:"&amp;$K662)</f>
        <v/>
      </c>
      <c r="M662" s="46"/>
      <c r="N662" s="53"/>
      <c r="O662" s="46"/>
      <c r="P662" s="47"/>
      <c r="Q662" s="48"/>
      <c r="R662" s="49"/>
      <c r="S662" s="54" t="str">
        <f aca="false">IF(OR($AC662=0,$U662="",$M662="",$V662="",$W662=""),"",IF(COUNTIFS(m_teacher,$M662,m_date,$U662,m_active,1,m_start,"&lt;"&amp;$W662,m_end,"&gt;"&amp;$V662)&gt;1,"충돌",""))</f>
        <v/>
      </c>
      <c r="T662" s="48"/>
      <c r="U662" s="55" t="str">
        <f aca="false">IF($G662="","",IFERROR(IF(ISNUMBER($G662),IF($G662&gt;19000000,DATE(INT($G662/10000),MOD(INT($G662/100),100),MOD($G662,100)),INT($G662)),IF(LEN(SUBSTITUTE(SUBSTITUTE(SUBSTITUTE(TRIM($G662),"-",""),".",""),"/",""))=8,DATE(VALUE(LEFT(SUBSTITUTE(SUBSTITUTE(SUBSTITUTE(TRIM($G662),"-",""),".",""),"/",""),4)),VALUE(MID(SUBSTITUTE(SUBSTITUTE(SUBSTITUTE(TRIM($G662),"-",""),".",""),"/",""),5,2)),VALUE(RIGHT(SUBSTITUTE(SUBSTITUTE(SUBSTITUTE(TRIM($G662),"-",""),".",""),"/",""),2))),DATEVALUE($G662))),""))</f>
        <v/>
      </c>
      <c r="V662" s="52" t="str">
        <f aca="false">IF($H662="","",IFERROR(IF(IF(ISNUMBER($H662),$H662,IFERROR(TIMEVALUE($H662),VALUE($H662)))&gt;=100,INT(IF(ISNUMBER($H662),$H662,IFERROR(TIMEVALUE($H662),VALUE($H662)))/100)*60+MOD(IF(ISNUMBER($H662),$H662,IFERROR(TIMEVALUE($H662),VALUE($H662))),100),IF(IF(ISNUMBER($H662),$H662,IFERROR(TIMEVALUE($H662),VALUE($H662)))&gt;=1,ROUND(IF(ISNUMBER($H662),$H662,IFERROR(TIMEVALUE($H662),VALUE($H662)))*60,0),ROUND(MOD(IF(ISNUMBER($H662),$H662,IFERROR(TIMEVALUE($H662),VALUE($H662))),1)*1440,0))),""))</f>
        <v/>
      </c>
      <c r="W662" s="52" t="str">
        <f aca="false">IF($I662="","",IFERROR(IF(IF(ISNUMBER($I662),$I662,IFERROR(TIMEVALUE($I662),VALUE($I662)))&gt;=100,INT(IF(ISNUMBER($I662),$I662,IFERROR(TIMEVALUE($I662),VALUE($I662)))/100)*60+MOD(IF(ISNUMBER($I662),$I662,IFERROR(TIMEVALUE($I662),VALUE($I662))),100),IF(IF(ISNUMBER($I662),$I662,IFERROR(TIMEVALUE($I662),VALUE($I662)))&gt;=1,ROUND(IF(ISNUMBER($I662),$I662,IFERROR(TIMEVALUE($I662),VALUE($I662)))*60,0),ROUND(MOD(IF(ISNUMBER($I662),$I662,IFERROR(TIMEVALUE($I662),VALUE($I662))),1)*1440,0))),""))</f>
        <v/>
      </c>
      <c r="X662" s="55" t="str">
        <f aca="false">IF($P662="","",IFERROR(IF(ISNUMBER($P662),IF($P662&gt;19000000,DATE(INT($P662/10000),MOD(INT($P662/100),100),MOD($P662,100)),INT($P662)),IF(LEN(SUBSTITUTE(SUBSTITUTE(SUBSTITUTE(TRIM($P662),"-",""),".",""),"/",""))=8,DATE(VALUE(LEFT(SUBSTITUTE(SUBSTITUTE(SUBSTITUTE(TRIM($P662),"-",""),".",""),"/",""),4)),VALUE(MID(SUBSTITUTE(SUBSTITUTE(SUBSTITUTE(TRIM($P662),"-",""),".",""),"/",""),5,2)),VALUE(RIGHT(SUBSTITUTE(SUBSTITUTE(SUBSTITUTE(TRIM($P662),"-",""),".",""),"/",""),2))),DATEVALUE($P662))),""))</f>
        <v/>
      </c>
      <c r="Y662" s="56" t="str">
        <f aca="false">IF($M662="","",IFERROR(INDEX(강사DB!$D$4:$D$53,MATCH($M662,강사DB!$A$4:$A$53,0)),""))</f>
        <v/>
      </c>
      <c r="Z662" s="56" t="str">
        <f aca="false">IF($B662&lt;&gt;"결제완료","",IF(OR($Y662="",$J662=""),"",$Y662*$J662+MAX(0,N($K662)-1)*설정!$J$7))</f>
        <v/>
      </c>
      <c r="AA662" s="56" t="str">
        <f aca="false">IF(AND($D662&lt;&gt;"",$B662="결제완료"),N($N662),"")</f>
        <v/>
      </c>
      <c r="AB662" s="45" t="str">
        <f aca="false">IF($D662="","",IF($F662&lt;&gt;"",$F662,$D662)&amp;IF($B662="상담중"," (상담)",""))</f>
        <v/>
      </c>
      <c r="AC662" s="45" t="n">
        <f aca="false">IF(AND($D662&lt;&gt;"",OR($B662="결제완료",$B662="상담중")),1,0)</f>
        <v>0</v>
      </c>
      <c r="AD662" s="45" t="n">
        <f aca="false">IF(OR($Z662="",$U662=""),0,IFERROR(IF(COUNTIFS(INDEX(g_grid,0,2*MATCH($M662,강사DB!$A$4:$A$15,0)),"&lt;&gt;",g_s,"&lt;="&amp;$U662,g_e,"&gt;="&amp;$U662)&gt;0,1,0),0))</f>
        <v>0</v>
      </c>
      <c r="AE662" s="48"/>
      <c r="AF662" s="56" t="str">
        <f aca="false">IF(AND($D662&lt;&gt;"",$B662="결제완료",$T662="대여"),설정!$J$5,"")</f>
        <v/>
      </c>
      <c r="AG662" s="54" t="str">
        <f aca="false">IF($D662="","",IF(AND($E662="",$R662=""),$AB662,"☎ "&amp;IF($E662="","-",$E662)&amp;IF($R662&lt;&gt;"","  ※ "&amp;$R662,"")&amp;IF($B662="상담중"," (상담)","")))</f>
        <v/>
      </c>
      <c r="AH662" s="56" t="str">
        <f aca="false">IF(AND($D662&lt;&gt;"",$B662="결제완료",$O662="스마트스토어"),ROUND(N($N662)*설정!$J$6,0),"")</f>
        <v/>
      </c>
      <c r="AI662" s="54" t="str">
        <f aca="false">IF($D662="","",ROW())</f>
        <v/>
      </c>
      <c r="AJ662" s="54" t="n">
        <f aca="false">IF(OR($AC662&lt;&gt;1,$M662=""),0,IF(ISNUMBER(SEARCH("퇴사",IFERROR(INDEX(강사DB!$G$4:$G$53,MATCH($M662,강사DB!$A$4:$A$53,0)),""))),1,0))</f>
        <v>0</v>
      </c>
    </row>
    <row r="663" customFormat="false" ht="15" hidden="false" customHeight="false" outlineLevel="0" collapsed="false">
      <c r="A663" s="45" t="str">
        <f aca="false">IF($D663="","",COUNTA($D$5:$D663))</f>
        <v/>
      </c>
      <c r="B663" s="46"/>
      <c r="C663" s="47"/>
      <c r="D663" s="48"/>
      <c r="E663" s="48"/>
      <c r="F663" s="49"/>
      <c r="G663" s="47"/>
      <c r="H663" s="50"/>
      <c r="I663" s="50"/>
      <c r="J663" s="51" t="str">
        <f aca="false">IF(OR($V663="",$W663=""),"",ROUND(($W663-$V663)/60,2))</f>
        <v/>
      </c>
      <c r="K663" s="52" t="str">
        <f aca="false">IF($F663="","",LEN($F663)-LEN(SUBSTITUTE($F663,",",""))+1)</f>
        <v/>
      </c>
      <c r="L663" s="45" t="str">
        <f aca="false">IF($K663="","","1:"&amp;$K663)</f>
        <v/>
      </c>
      <c r="M663" s="46"/>
      <c r="N663" s="53"/>
      <c r="O663" s="46"/>
      <c r="P663" s="47"/>
      <c r="Q663" s="48"/>
      <c r="R663" s="49"/>
      <c r="S663" s="54" t="str">
        <f aca="false">IF(OR($AC663=0,$U663="",$M663="",$V663="",$W663=""),"",IF(COUNTIFS(m_teacher,$M663,m_date,$U663,m_active,1,m_start,"&lt;"&amp;$W663,m_end,"&gt;"&amp;$V663)&gt;1,"충돌",""))</f>
        <v/>
      </c>
      <c r="T663" s="48"/>
      <c r="U663" s="55" t="str">
        <f aca="false">IF($G663="","",IFERROR(IF(ISNUMBER($G663),IF($G663&gt;19000000,DATE(INT($G663/10000),MOD(INT($G663/100),100),MOD($G663,100)),INT($G663)),IF(LEN(SUBSTITUTE(SUBSTITUTE(SUBSTITUTE(TRIM($G663),"-",""),".",""),"/",""))=8,DATE(VALUE(LEFT(SUBSTITUTE(SUBSTITUTE(SUBSTITUTE(TRIM($G663),"-",""),".",""),"/",""),4)),VALUE(MID(SUBSTITUTE(SUBSTITUTE(SUBSTITUTE(TRIM($G663),"-",""),".",""),"/",""),5,2)),VALUE(RIGHT(SUBSTITUTE(SUBSTITUTE(SUBSTITUTE(TRIM($G663),"-",""),".",""),"/",""),2))),DATEVALUE($G663))),""))</f>
        <v/>
      </c>
      <c r="V663" s="52" t="str">
        <f aca="false">IF($H663="","",IFERROR(IF(IF(ISNUMBER($H663),$H663,IFERROR(TIMEVALUE($H663),VALUE($H663)))&gt;=100,INT(IF(ISNUMBER($H663),$H663,IFERROR(TIMEVALUE($H663),VALUE($H663)))/100)*60+MOD(IF(ISNUMBER($H663),$H663,IFERROR(TIMEVALUE($H663),VALUE($H663))),100),IF(IF(ISNUMBER($H663),$H663,IFERROR(TIMEVALUE($H663),VALUE($H663)))&gt;=1,ROUND(IF(ISNUMBER($H663),$H663,IFERROR(TIMEVALUE($H663),VALUE($H663)))*60,0),ROUND(MOD(IF(ISNUMBER($H663),$H663,IFERROR(TIMEVALUE($H663),VALUE($H663))),1)*1440,0))),""))</f>
        <v/>
      </c>
      <c r="W663" s="52" t="str">
        <f aca="false">IF($I663="","",IFERROR(IF(IF(ISNUMBER($I663),$I663,IFERROR(TIMEVALUE($I663),VALUE($I663)))&gt;=100,INT(IF(ISNUMBER($I663),$I663,IFERROR(TIMEVALUE($I663),VALUE($I663)))/100)*60+MOD(IF(ISNUMBER($I663),$I663,IFERROR(TIMEVALUE($I663),VALUE($I663))),100),IF(IF(ISNUMBER($I663),$I663,IFERROR(TIMEVALUE($I663),VALUE($I663)))&gt;=1,ROUND(IF(ISNUMBER($I663),$I663,IFERROR(TIMEVALUE($I663),VALUE($I663)))*60,0),ROUND(MOD(IF(ISNUMBER($I663),$I663,IFERROR(TIMEVALUE($I663),VALUE($I663))),1)*1440,0))),""))</f>
        <v/>
      </c>
      <c r="X663" s="55" t="str">
        <f aca="false">IF($P663="","",IFERROR(IF(ISNUMBER($P663),IF($P663&gt;19000000,DATE(INT($P663/10000),MOD(INT($P663/100),100),MOD($P663,100)),INT($P663)),IF(LEN(SUBSTITUTE(SUBSTITUTE(SUBSTITUTE(TRIM($P663),"-",""),".",""),"/",""))=8,DATE(VALUE(LEFT(SUBSTITUTE(SUBSTITUTE(SUBSTITUTE(TRIM($P663),"-",""),".",""),"/",""),4)),VALUE(MID(SUBSTITUTE(SUBSTITUTE(SUBSTITUTE(TRIM($P663),"-",""),".",""),"/",""),5,2)),VALUE(RIGHT(SUBSTITUTE(SUBSTITUTE(SUBSTITUTE(TRIM($P663),"-",""),".",""),"/",""),2))),DATEVALUE($P663))),""))</f>
        <v/>
      </c>
      <c r="Y663" s="56" t="str">
        <f aca="false">IF($M663="","",IFERROR(INDEX(강사DB!$D$4:$D$53,MATCH($M663,강사DB!$A$4:$A$53,0)),""))</f>
        <v/>
      </c>
      <c r="Z663" s="56" t="str">
        <f aca="false">IF($B663&lt;&gt;"결제완료","",IF(OR($Y663="",$J663=""),"",$Y663*$J663+MAX(0,N($K663)-1)*설정!$J$7))</f>
        <v/>
      </c>
      <c r="AA663" s="56" t="str">
        <f aca="false">IF(AND($D663&lt;&gt;"",$B663="결제완료"),N($N663),"")</f>
        <v/>
      </c>
      <c r="AB663" s="45" t="str">
        <f aca="false">IF($D663="","",IF($F663&lt;&gt;"",$F663,$D663)&amp;IF($B663="상담중"," (상담)",""))</f>
        <v/>
      </c>
      <c r="AC663" s="45" t="n">
        <f aca="false">IF(AND($D663&lt;&gt;"",OR($B663="결제완료",$B663="상담중")),1,0)</f>
        <v>0</v>
      </c>
      <c r="AD663" s="45" t="n">
        <f aca="false">IF(OR($Z663="",$U663=""),0,IFERROR(IF(COUNTIFS(INDEX(g_grid,0,2*MATCH($M663,강사DB!$A$4:$A$15,0)),"&lt;&gt;",g_s,"&lt;="&amp;$U663,g_e,"&gt;="&amp;$U663)&gt;0,1,0),0))</f>
        <v>0</v>
      </c>
      <c r="AE663" s="48"/>
      <c r="AF663" s="56" t="str">
        <f aca="false">IF(AND($D663&lt;&gt;"",$B663="결제완료",$T663="대여"),설정!$J$5,"")</f>
        <v/>
      </c>
      <c r="AG663" s="54" t="str">
        <f aca="false">IF($D663="","",IF(AND($E663="",$R663=""),$AB663,"☎ "&amp;IF($E663="","-",$E663)&amp;IF($R663&lt;&gt;"","  ※ "&amp;$R663,"")&amp;IF($B663="상담중"," (상담)","")))</f>
        <v/>
      </c>
      <c r="AH663" s="56" t="str">
        <f aca="false">IF(AND($D663&lt;&gt;"",$B663="결제완료",$O663="스마트스토어"),ROUND(N($N663)*설정!$J$6,0),"")</f>
        <v/>
      </c>
      <c r="AI663" s="54" t="str">
        <f aca="false">IF($D663="","",ROW())</f>
        <v/>
      </c>
      <c r="AJ663" s="54" t="n">
        <f aca="false">IF(OR($AC663&lt;&gt;1,$M663=""),0,IF(ISNUMBER(SEARCH("퇴사",IFERROR(INDEX(강사DB!$G$4:$G$53,MATCH($M663,강사DB!$A$4:$A$53,0)),""))),1,0))</f>
        <v>0</v>
      </c>
    </row>
    <row r="664" customFormat="false" ht="15" hidden="false" customHeight="false" outlineLevel="0" collapsed="false">
      <c r="A664" s="45" t="str">
        <f aca="false">IF($D664="","",COUNTA($D$5:$D664))</f>
        <v/>
      </c>
      <c r="B664" s="46"/>
      <c r="C664" s="47"/>
      <c r="D664" s="48"/>
      <c r="E664" s="48"/>
      <c r="F664" s="49"/>
      <c r="G664" s="47"/>
      <c r="H664" s="50"/>
      <c r="I664" s="50"/>
      <c r="J664" s="51" t="str">
        <f aca="false">IF(OR($V664="",$W664=""),"",ROUND(($W664-$V664)/60,2))</f>
        <v/>
      </c>
      <c r="K664" s="52" t="str">
        <f aca="false">IF($F664="","",LEN($F664)-LEN(SUBSTITUTE($F664,",",""))+1)</f>
        <v/>
      </c>
      <c r="L664" s="45" t="str">
        <f aca="false">IF($K664="","","1:"&amp;$K664)</f>
        <v/>
      </c>
      <c r="M664" s="46"/>
      <c r="N664" s="53"/>
      <c r="O664" s="46"/>
      <c r="P664" s="47"/>
      <c r="Q664" s="48"/>
      <c r="R664" s="49"/>
      <c r="S664" s="54" t="str">
        <f aca="false">IF(OR($AC664=0,$U664="",$M664="",$V664="",$W664=""),"",IF(COUNTIFS(m_teacher,$M664,m_date,$U664,m_active,1,m_start,"&lt;"&amp;$W664,m_end,"&gt;"&amp;$V664)&gt;1,"충돌",""))</f>
        <v/>
      </c>
      <c r="T664" s="48"/>
      <c r="U664" s="55" t="str">
        <f aca="false">IF($G664="","",IFERROR(IF(ISNUMBER($G664),IF($G664&gt;19000000,DATE(INT($G664/10000),MOD(INT($G664/100),100),MOD($G664,100)),INT($G664)),IF(LEN(SUBSTITUTE(SUBSTITUTE(SUBSTITUTE(TRIM($G664),"-",""),".",""),"/",""))=8,DATE(VALUE(LEFT(SUBSTITUTE(SUBSTITUTE(SUBSTITUTE(TRIM($G664),"-",""),".",""),"/",""),4)),VALUE(MID(SUBSTITUTE(SUBSTITUTE(SUBSTITUTE(TRIM($G664),"-",""),".",""),"/",""),5,2)),VALUE(RIGHT(SUBSTITUTE(SUBSTITUTE(SUBSTITUTE(TRIM($G664),"-",""),".",""),"/",""),2))),DATEVALUE($G664))),""))</f>
        <v/>
      </c>
      <c r="V664" s="52" t="str">
        <f aca="false">IF($H664="","",IFERROR(IF(IF(ISNUMBER($H664),$H664,IFERROR(TIMEVALUE($H664),VALUE($H664)))&gt;=100,INT(IF(ISNUMBER($H664),$H664,IFERROR(TIMEVALUE($H664),VALUE($H664)))/100)*60+MOD(IF(ISNUMBER($H664),$H664,IFERROR(TIMEVALUE($H664),VALUE($H664))),100),IF(IF(ISNUMBER($H664),$H664,IFERROR(TIMEVALUE($H664),VALUE($H664)))&gt;=1,ROUND(IF(ISNUMBER($H664),$H664,IFERROR(TIMEVALUE($H664),VALUE($H664)))*60,0),ROUND(MOD(IF(ISNUMBER($H664),$H664,IFERROR(TIMEVALUE($H664),VALUE($H664))),1)*1440,0))),""))</f>
        <v/>
      </c>
      <c r="W664" s="52" t="str">
        <f aca="false">IF($I664="","",IFERROR(IF(IF(ISNUMBER($I664),$I664,IFERROR(TIMEVALUE($I664),VALUE($I664)))&gt;=100,INT(IF(ISNUMBER($I664),$I664,IFERROR(TIMEVALUE($I664),VALUE($I664)))/100)*60+MOD(IF(ISNUMBER($I664),$I664,IFERROR(TIMEVALUE($I664),VALUE($I664))),100),IF(IF(ISNUMBER($I664),$I664,IFERROR(TIMEVALUE($I664),VALUE($I664)))&gt;=1,ROUND(IF(ISNUMBER($I664),$I664,IFERROR(TIMEVALUE($I664),VALUE($I664)))*60,0),ROUND(MOD(IF(ISNUMBER($I664),$I664,IFERROR(TIMEVALUE($I664),VALUE($I664))),1)*1440,0))),""))</f>
        <v/>
      </c>
      <c r="X664" s="55" t="str">
        <f aca="false">IF($P664="","",IFERROR(IF(ISNUMBER($P664),IF($P664&gt;19000000,DATE(INT($P664/10000),MOD(INT($P664/100),100),MOD($P664,100)),INT($P664)),IF(LEN(SUBSTITUTE(SUBSTITUTE(SUBSTITUTE(TRIM($P664),"-",""),".",""),"/",""))=8,DATE(VALUE(LEFT(SUBSTITUTE(SUBSTITUTE(SUBSTITUTE(TRIM($P664),"-",""),".",""),"/",""),4)),VALUE(MID(SUBSTITUTE(SUBSTITUTE(SUBSTITUTE(TRIM($P664),"-",""),".",""),"/",""),5,2)),VALUE(RIGHT(SUBSTITUTE(SUBSTITUTE(SUBSTITUTE(TRIM($P664),"-",""),".",""),"/",""),2))),DATEVALUE($P664))),""))</f>
        <v/>
      </c>
      <c r="Y664" s="56" t="str">
        <f aca="false">IF($M664="","",IFERROR(INDEX(강사DB!$D$4:$D$53,MATCH($M664,강사DB!$A$4:$A$53,0)),""))</f>
        <v/>
      </c>
      <c r="Z664" s="56" t="str">
        <f aca="false">IF($B664&lt;&gt;"결제완료","",IF(OR($Y664="",$J664=""),"",$Y664*$J664+MAX(0,N($K664)-1)*설정!$J$7))</f>
        <v/>
      </c>
      <c r="AA664" s="56" t="str">
        <f aca="false">IF(AND($D664&lt;&gt;"",$B664="결제완료"),N($N664),"")</f>
        <v/>
      </c>
      <c r="AB664" s="45" t="str">
        <f aca="false">IF($D664="","",IF($F664&lt;&gt;"",$F664,$D664)&amp;IF($B664="상담중"," (상담)",""))</f>
        <v/>
      </c>
      <c r="AC664" s="45" t="n">
        <f aca="false">IF(AND($D664&lt;&gt;"",OR($B664="결제완료",$B664="상담중")),1,0)</f>
        <v>0</v>
      </c>
      <c r="AD664" s="45" t="n">
        <f aca="false">IF(OR($Z664="",$U664=""),0,IFERROR(IF(COUNTIFS(INDEX(g_grid,0,2*MATCH($M664,강사DB!$A$4:$A$15,0)),"&lt;&gt;",g_s,"&lt;="&amp;$U664,g_e,"&gt;="&amp;$U664)&gt;0,1,0),0))</f>
        <v>0</v>
      </c>
      <c r="AE664" s="48"/>
      <c r="AF664" s="56" t="str">
        <f aca="false">IF(AND($D664&lt;&gt;"",$B664="결제완료",$T664="대여"),설정!$J$5,"")</f>
        <v/>
      </c>
      <c r="AG664" s="54" t="str">
        <f aca="false">IF($D664="","",IF(AND($E664="",$R664=""),$AB664,"☎ "&amp;IF($E664="","-",$E664)&amp;IF($R664&lt;&gt;"","  ※ "&amp;$R664,"")&amp;IF($B664="상담중"," (상담)","")))</f>
        <v/>
      </c>
      <c r="AH664" s="56" t="str">
        <f aca="false">IF(AND($D664&lt;&gt;"",$B664="결제완료",$O664="스마트스토어"),ROUND(N($N664)*설정!$J$6,0),"")</f>
        <v/>
      </c>
      <c r="AI664" s="54" t="str">
        <f aca="false">IF($D664="","",ROW())</f>
        <v/>
      </c>
      <c r="AJ664" s="54" t="n">
        <f aca="false">IF(OR($AC664&lt;&gt;1,$M664=""),0,IF(ISNUMBER(SEARCH("퇴사",IFERROR(INDEX(강사DB!$G$4:$G$53,MATCH($M664,강사DB!$A$4:$A$53,0)),""))),1,0))</f>
        <v>0</v>
      </c>
    </row>
    <row r="665" customFormat="false" ht="15" hidden="false" customHeight="false" outlineLevel="0" collapsed="false">
      <c r="A665" s="45" t="str">
        <f aca="false">IF($D665="","",COUNTA($D$5:$D665))</f>
        <v/>
      </c>
      <c r="B665" s="46"/>
      <c r="C665" s="47"/>
      <c r="D665" s="48"/>
      <c r="E665" s="48"/>
      <c r="F665" s="49"/>
      <c r="G665" s="47"/>
      <c r="H665" s="50"/>
      <c r="I665" s="50"/>
      <c r="J665" s="51" t="str">
        <f aca="false">IF(OR($V665="",$W665=""),"",ROUND(($W665-$V665)/60,2))</f>
        <v/>
      </c>
      <c r="K665" s="52" t="str">
        <f aca="false">IF($F665="","",LEN($F665)-LEN(SUBSTITUTE($F665,",",""))+1)</f>
        <v/>
      </c>
      <c r="L665" s="45" t="str">
        <f aca="false">IF($K665="","","1:"&amp;$K665)</f>
        <v/>
      </c>
      <c r="M665" s="46"/>
      <c r="N665" s="53"/>
      <c r="O665" s="46"/>
      <c r="P665" s="47"/>
      <c r="Q665" s="48"/>
      <c r="R665" s="49"/>
      <c r="S665" s="54" t="str">
        <f aca="false">IF(OR($AC665=0,$U665="",$M665="",$V665="",$W665=""),"",IF(COUNTIFS(m_teacher,$M665,m_date,$U665,m_active,1,m_start,"&lt;"&amp;$W665,m_end,"&gt;"&amp;$V665)&gt;1,"충돌",""))</f>
        <v/>
      </c>
      <c r="T665" s="48"/>
      <c r="U665" s="55" t="str">
        <f aca="false">IF($G665="","",IFERROR(IF(ISNUMBER($G665),IF($G665&gt;19000000,DATE(INT($G665/10000),MOD(INT($G665/100),100),MOD($G665,100)),INT($G665)),IF(LEN(SUBSTITUTE(SUBSTITUTE(SUBSTITUTE(TRIM($G665),"-",""),".",""),"/",""))=8,DATE(VALUE(LEFT(SUBSTITUTE(SUBSTITUTE(SUBSTITUTE(TRIM($G665),"-",""),".",""),"/",""),4)),VALUE(MID(SUBSTITUTE(SUBSTITUTE(SUBSTITUTE(TRIM($G665),"-",""),".",""),"/",""),5,2)),VALUE(RIGHT(SUBSTITUTE(SUBSTITUTE(SUBSTITUTE(TRIM($G665),"-",""),".",""),"/",""),2))),DATEVALUE($G665))),""))</f>
        <v/>
      </c>
      <c r="V665" s="52" t="str">
        <f aca="false">IF($H665="","",IFERROR(IF(IF(ISNUMBER($H665),$H665,IFERROR(TIMEVALUE($H665),VALUE($H665)))&gt;=100,INT(IF(ISNUMBER($H665),$H665,IFERROR(TIMEVALUE($H665),VALUE($H665)))/100)*60+MOD(IF(ISNUMBER($H665),$H665,IFERROR(TIMEVALUE($H665),VALUE($H665))),100),IF(IF(ISNUMBER($H665),$H665,IFERROR(TIMEVALUE($H665),VALUE($H665)))&gt;=1,ROUND(IF(ISNUMBER($H665),$H665,IFERROR(TIMEVALUE($H665),VALUE($H665)))*60,0),ROUND(MOD(IF(ISNUMBER($H665),$H665,IFERROR(TIMEVALUE($H665),VALUE($H665))),1)*1440,0))),""))</f>
        <v/>
      </c>
      <c r="W665" s="52" t="str">
        <f aca="false">IF($I665="","",IFERROR(IF(IF(ISNUMBER($I665),$I665,IFERROR(TIMEVALUE($I665),VALUE($I665)))&gt;=100,INT(IF(ISNUMBER($I665),$I665,IFERROR(TIMEVALUE($I665),VALUE($I665)))/100)*60+MOD(IF(ISNUMBER($I665),$I665,IFERROR(TIMEVALUE($I665),VALUE($I665))),100),IF(IF(ISNUMBER($I665),$I665,IFERROR(TIMEVALUE($I665),VALUE($I665)))&gt;=1,ROUND(IF(ISNUMBER($I665),$I665,IFERROR(TIMEVALUE($I665),VALUE($I665)))*60,0),ROUND(MOD(IF(ISNUMBER($I665),$I665,IFERROR(TIMEVALUE($I665),VALUE($I665))),1)*1440,0))),""))</f>
        <v/>
      </c>
      <c r="X665" s="55" t="str">
        <f aca="false">IF($P665="","",IFERROR(IF(ISNUMBER($P665),IF($P665&gt;19000000,DATE(INT($P665/10000),MOD(INT($P665/100),100),MOD($P665,100)),INT($P665)),IF(LEN(SUBSTITUTE(SUBSTITUTE(SUBSTITUTE(TRIM($P665),"-",""),".",""),"/",""))=8,DATE(VALUE(LEFT(SUBSTITUTE(SUBSTITUTE(SUBSTITUTE(TRIM($P665),"-",""),".",""),"/",""),4)),VALUE(MID(SUBSTITUTE(SUBSTITUTE(SUBSTITUTE(TRIM($P665),"-",""),".",""),"/",""),5,2)),VALUE(RIGHT(SUBSTITUTE(SUBSTITUTE(SUBSTITUTE(TRIM($P665),"-",""),".",""),"/",""),2))),DATEVALUE($P665))),""))</f>
        <v/>
      </c>
      <c r="Y665" s="56" t="str">
        <f aca="false">IF($M665="","",IFERROR(INDEX(강사DB!$D$4:$D$53,MATCH($M665,강사DB!$A$4:$A$53,0)),""))</f>
        <v/>
      </c>
      <c r="Z665" s="56" t="str">
        <f aca="false">IF($B665&lt;&gt;"결제완료","",IF(OR($Y665="",$J665=""),"",$Y665*$J665+MAX(0,N($K665)-1)*설정!$J$7))</f>
        <v/>
      </c>
      <c r="AA665" s="56" t="str">
        <f aca="false">IF(AND($D665&lt;&gt;"",$B665="결제완료"),N($N665),"")</f>
        <v/>
      </c>
      <c r="AB665" s="45" t="str">
        <f aca="false">IF($D665="","",IF($F665&lt;&gt;"",$F665,$D665)&amp;IF($B665="상담중"," (상담)",""))</f>
        <v/>
      </c>
      <c r="AC665" s="45" t="n">
        <f aca="false">IF(AND($D665&lt;&gt;"",OR($B665="결제완료",$B665="상담중")),1,0)</f>
        <v>0</v>
      </c>
      <c r="AD665" s="45" t="n">
        <f aca="false">IF(OR($Z665="",$U665=""),0,IFERROR(IF(COUNTIFS(INDEX(g_grid,0,2*MATCH($M665,강사DB!$A$4:$A$15,0)),"&lt;&gt;",g_s,"&lt;="&amp;$U665,g_e,"&gt;="&amp;$U665)&gt;0,1,0),0))</f>
        <v>0</v>
      </c>
      <c r="AE665" s="48"/>
      <c r="AF665" s="56" t="str">
        <f aca="false">IF(AND($D665&lt;&gt;"",$B665="결제완료",$T665="대여"),설정!$J$5,"")</f>
        <v/>
      </c>
      <c r="AG665" s="54" t="str">
        <f aca="false">IF($D665="","",IF(AND($E665="",$R665=""),$AB665,"☎ "&amp;IF($E665="","-",$E665)&amp;IF($R665&lt;&gt;"","  ※ "&amp;$R665,"")&amp;IF($B665="상담중"," (상담)","")))</f>
        <v/>
      </c>
      <c r="AH665" s="56" t="str">
        <f aca="false">IF(AND($D665&lt;&gt;"",$B665="결제완료",$O665="스마트스토어"),ROUND(N($N665)*설정!$J$6,0),"")</f>
        <v/>
      </c>
      <c r="AI665" s="54" t="str">
        <f aca="false">IF($D665="","",ROW())</f>
        <v/>
      </c>
      <c r="AJ665" s="54" t="n">
        <f aca="false">IF(OR($AC665&lt;&gt;1,$M665=""),0,IF(ISNUMBER(SEARCH("퇴사",IFERROR(INDEX(강사DB!$G$4:$G$53,MATCH($M665,강사DB!$A$4:$A$53,0)),""))),1,0))</f>
        <v>0</v>
      </c>
    </row>
    <row r="666" customFormat="false" ht="15" hidden="false" customHeight="false" outlineLevel="0" collapsed="false">
      <c r="A666" s="45" t="str">
        <f aca="false">IF($D666="","",COUNTA($D$5:$D666))</f>
        <v/>
      </c>
      <c r="B666" s="46"/>
      <c r="C666" s="47"/>
      <c r="D666" s="48"/>
      <c r="E666" s="48"/>
      <c r="F666" s="49"/>
      <c r="G666" s="47"/>
      <c r="H666" s="50"/>
      <c r="I666" s="50"/>
      <c r="J666" s="51" t="str">
        <f aca="false">IF(OR($V666="",$W666=""),"",ROUND(($W666-$V666)/60,2))</f>
        <v/>
      </c>
      <c r="K666" s="52" t="str">
        <f aca="false">IF($F666="","",LEN($F666)-LEN(SUBSTITUTE($F666,",",""))+1)</f>
        <v/>
      </c>
      <c r="L666" s="45" t="str">
        <f aca="false">IF($K666="","","1:"&amp;$K666)</f>
        <v/>
      </c>
      <c r="M666" s="46"/>
      <c r="N666" s="53"/>
      <c r="O666" s="46"/>
      <c r="P666" s="47"/>
      <c r="Q666" s="48"/>
      <c r="R666" s="49"/>
      <c r="S666" s="54" t="str">
        <f aca="false">IF(OR($AC666=0,$U666="",$M666="",$V666="",$W666=""),"",IF(COUNTIFS(m_teacher,$M666,m_date,$U666,m_active,1,m_start,"&lt;"&amp;$W666,m_end,"&gt;"&amp;$V666)&gt;1,"충돌",""))</f>
        <v/>
      </c>
      <c r="T666" s="48"/>
      <c r="U666" s="55" t="str">
        <f aca="false">IF($G666="","",IFERROR(IF(ISNUMBER($G666),IF($G666&gt;19000000,DATE(INT($G666/10000),MOD(INT($G666/100),100),MOD($G666,100)),INT($G666)),IF(LEN(SUBSTITUTE(SUBSTITUTE(SUBSTITUTE(TRIM($G666),"-",""),".",""),"/",""))=8,DATE(VALUE(LEFT(SUBSTITUTE(SUBSTITUTE(SUBSTITUTE(TRIM($G666),"-",""),".",""),"/",""),4)),VALUE(MID(SUBSTITUTE(SUBSTITUTE(SUBSTITUTE(TRIM($G666),"-",""),".",""),"/",""),5,2)),VALUE(RIGHT(SUBSTITUTE(SUBSTITUTE(SUBSTITUTE(TRIM($G666),"-",""),".",""),"/",""),2))),DATEVALUE($G666))),""))</f>
        <v/>
      </c>
      <c r="V666" s="52" t="str">
        <f aca="false">IF($H666="","",IFERROR(IF(IF(ISNUMBER($H666),$H666,IFERROR(TIMEVALUE($H666),VALUE($H666)))&gt;=100,INT(IF(ISNUMBER($H666),$H666,IFERROR(TIMEVALUE($H666),VALUE($H666)))/100)*60+MOD(IF(ISNUMBER($H666),$H666,IFERROR(TIMEVALUE($H666),VALUE($H666))),100),IF(IF(ISNUMBER($H666),$H666,IFERROR(TIMEVALUE($H666),VALUE($H666)))&gt;=1,ROUND(IF(ISNUMBER($H666),$H666,IFERROR(TIMEVALUE($H666),VALUE($H666)))*60,0),ROUND(MOD(IF(ISNUMBER($H666),$H666,IFERROR(TIMEVALUE($H666),VALUE($H666))),1)*1440,0))),""))</f>
        <v/>
      </c>
      <c r="W666" s="52" t="str">
        <f aca="false">IF($I666="","",IFERROR(IF(IF(ISNUMBER($I666),$I666,IFERROR(TIMEVALUE($I666),VALUE($I666)))&gt;=100,INT(IF(ISNUMBER($I666),$I666,IFERROR(TIMEVALUE($I666),VALUE($I666)))/100)*60+MOD(IF(ISNUMBER($I666),$I666,IFERROR(TIMEVALUE($I666),VALUE($I666))),100),IF(IF(ISNUMBER($I666),$I666,IFERROR(TIMEVALUE($I666),VALUE($I666)))&gt;=1,ROUND(IF(ISNUMBER($I666),$I666,IFERROR(TIMEVALUE($I666),VALUE($I666)))*60,0),ROUND(MOD(IF(ISNUMBER($I666),$I666,IFERROR(TIMEVALUE($I666),VALUE($I666))),1)*1440,0))),""))</f>
        <v/>
      </c>
      <c r="X666" s="55" t="str">
        <f aca="false">IF($P666="","",IFERROR(IF(ISNUMBER($P666),IF($P666&gt;19000000,DATE(INT($P666/10000),MOD(INT($P666/100),100),MOD($P666,100)),INT($P666)),IF(LEN(SUBSTITUTE(SUBSTITUTE(SUBSTITUTE(TRIM($P666),"-",""),".",""),"/",""))=8,DATE(VALUE(LEFT(SUBSTITUTE(SUBSTITUTE(SUBSTITUTE(TRIM($P666),"-",""),".",""),"/",""),4)),VALUE(MID(SUBSTITUTE(SUBSTITUTE(SUBSTITUTE(TRIM($P666),"-",""),".",""),"/",""),5,2)),VALUE(RIGHT(SUBSTITUTE(SUBSTITUTE(SUBSTITUTE(TRIM($P666),"-",""),".",""),"/",""),2))),DATEVALUE($P666))),""))</f>
        <v/>
      </c>
      <c r="Y666" s="56" t="str">
        <f aca="false">IF($M666="","",IFERROR(INDEX(강사DB!$D$4:$D$53,MATCH($M666,강사DB!$A$4:$A$53,0)),""))</f>
        <v/>
      </c>
      <c r="Z666" s="56" t="str">
        <f aca="false">IF($B666&lt;&gt;"결제완료","",IF(OR($Y666="",$J666=""),"",$Y666*$J666+MAX(0,N($K666)-1)*설정!$J$7))</f>
        <v/>
      </c>
      <c r="AA666" s="56" t="str">
        <f aca="false">IF(AND($D666&lt;&gt;"",$B666="결제완료"),N($N666),"")</f>
        <v/>
      </c>
      <c r="AB666" s="45" t="str">
        <f aca="false">IF($D666="","",IF($F666&lt;&gt;"",$F666,$D666)&amp;IF($B666="상담중"," (상담)",""))</f>
        <v/>
      </c>
      <c r="AC666" s="45" t="n">
        <f aca="false">IF(AND($D666&lt;&gt;"",OR($B666="결제완료",$B666="상담중")),1,0)</f>
        <v>0</v>
      </c>
      <c r="AD666" s="45" t="n">
        <f aca="false">IF(OR($Z666="",$U666=""),0,IFERROR(IF(COUNTIFS(INDEX(g_grid,0,2*MATCH($M666,강사DB!$A$4:$A$15,0)),"&lt;&gt;",g_s,"&lt;="&amp;$U666,g_e,"&gt;="&amp;$U666)&gt;0,1,0),0))</f>
        <v>0</v>
      </c>
      <c r="AE666" s="48"/>
      <c r="AF666" s="56" t="str">
        <f aca="false">IF(AND($D666&lt;&gt;"",$B666="결제완료",$T666="대여"),설정!$J$5,"")</f>
        <v/>
      </c>
      <c r="AG666" s="54" t="str">
        <f aca="false">IF($D666="","",IF(AND($E666="",$R666=""),$AB666,"☎ "&amp;IF($E666="","-",$E666)&amp;IF($R666&lt;&gt;"","  ※ "&amp;$R666,"")&amp;IF($B666="상담중"," (상담)","")))</f>
        <v/>
      </c>
      <c r="AH666" s="56" t="str">
        <f aca="false">IF(AND($D666&lt;&gt;"",$B666="결제완료",$O666="스마트스토어"),ROUND(N($N666)*설정!$J$6,0),"")</f>
        <v/>
      </c>
      <c r="AI666" s="54" t="str">
        <f aca="false">IF($D666="","",ROW())</f>
        <v/>
      </c>
      <c r="AJ666" s="54" t="n">
        <f aca="false">IF(OR($AC666&lt;&gt;1,$M666=""),0,IF(ISNUMBER(SEARCH("퇴사",IFERROR(INDEX(강사DB!$G$4:$G$53,MATCH($M666,강사DB!$A$4:$A$53,0)),""))),1,0))</f>
        <v>0</v>
      </c>
    </row>
    <row r="667" customFormat="false" ht="15" hidden="false" customHeight="false" outlineLevel="0" collapsed="false">
      <c r="A667" s="45" t="str">
        <f aca="false">IF($D667="","",COUNTA($D$5:$D667))</f>
        <v/>
      </c>
      <c r="B667" s="46"/>
      <c r="C667" s="47"/>
      <c r="D667" s="48"/>
      <c r="E667" s="48"/>
      <c r="F667" s="49"/>
      <c r="G667" s="47"/>
      <c r="H667" s="50"/>
      <c r="I667" s="50"/>
      <c r="J667" s="51" t="str">
        <f aca="false">IF(OR($V667="",$W667=""),"",ROUND(($W667-$V667)/60,2))</f>
        <v/>
      </c>
      <c r="K667" s="52" t="str">
        <f aca="false">IF($F667="","",LEN($F667)-LEN(SUBSTITUTE($F667,",",""))+1)</f>
        <v/>
      </c>
      <c r="L667" s="45" t="str">
        <f aca="false">IF($K667="","","1:"&amp;$K667)</f>
        <v/>
      </c>
      <c r="M667" s="46"/>
      <c r="N667" s="53"/>
      <c r="O667" s="46"/>
      <c r="P667" s="47"/>
      <c r="Q667" s="48"/>
      <c r="R667" s="49"/>
      <c r="S667" s="54" t="str">
        <f aca="false">IF(OR($AC667=0,$U667="",$M667="",$V667="",$W667=""),"",IF(COUNTIFS(m_teacher,$M667,m_date,$U667,m_active,1,m_start,"&lt;"&amp;$W667,m_end,"&gt;"&amp;$V667)&gt;1,"충돌",""))</f>
        <v/>
      </c>
      <c r="T667" s="48"/>
      <c r="U667" s="55" t="str">
        <f aca="false">IF($G667="","",IFERROR(IF(ISNUMBER($G667),IF($G667&gt;19000000,DATE(INT($G667/10000),MOD(INT($G667/100),100),MOD($G667,100)),INT($G667)),IF(LEN(SUBSTITUTE(SUBSTITUTE(SUBSTITUTE(TRIM($G667),"-",""),".",""),"/",""))=8,DATE(VALUE(LEFT(SUBSTITUTE(SUBSTITUTE(SUBSTITUTE(TRIM($G667),"-",""),".",""),"/",""),4)),VALUE(MID(SUBSTITUTE(SUBSTITUTE(SUBSTITUTE(TRIM($G667),"-",""),".",""),"/",""),5,2)),VALUE(RIGHT(SUBSTITUTE(SUBSTITUTE(SUBSTITUTE(TRIM($G667),"-",""),".",""),"/",""),2))),DATEVALUE($G667))),""))</f>
        <v/>
      </c>
      <c r="V667" s="52" t="str">
        <f aca="false">IF($H667="","",IFERROR(IF(IF(ISNUMBER($H667),$H667,IFERROR(TIMEVALUE($H667),VALUE($H667)))&gt;=100,INT(IF(ISNUMBER($H667),$H667,IFERROR(TIMEVALUE($H667),VALUE($H667)))/100)*60+MOD(IF(ISNUMBER($H667),$H667,IFERROR(TIMEVALUE($H667),VALUE($H667))),100),IF(IF(ISNUMBER($H667),$H667,IFERROR(TIMEVALUE($H667),VALUE($H667)))&gt;=1,ROUND(IF(ISNUMBER($H667),$H667,IFERROR(TIMEVALUE($H667),VALUE($H667)))*60,0),ROUND(MOD(IF(ISNUMBER($H667),$H667,IFERROR(TIMEVALUE($H667),VALUE($H667))),1)*1440,0))),""))</f>
        <v/>
      </c>
      <c r="W667" s="52" t="str">
        <f aca="false">IF($I667="","",IFERROR(IF(IF(ISNUMBER($I667),$I667,IFERROR(TIMEVALUE($I667),VALUE($I667)))&gt;=100,INT(IF(ISNUMBER($I667),$I667,IFERROR(TIMEVALUE($I667),VALUE($I667)))/100)*60+MOD(IF(ISNUMBER($I667),$I667,IFERROR(TIMEVALUE($I667),VALUE($I667))),100),IF(IF(ISNUMBER($I667),$I667,IFERROR(TIMEVALUE($I667),VALUE($I667)))&gt;=1,ROUND(IF(ISNUMBER($I667),$I667,IFERROR(TIMEVALUE($I667),VALUE($I667)))*60,0),ROUND(MOD(IF(ISNUMBER($I667),$I667,IFERROR(TIMEVALUE($I667),VALUE($I667))),1)*1440,0))),""))</f>
        <v/>
      </c>
      <c r="X667" s="55" t="str">
        <f aca="false">IF($P667="","",IFERROR(IF(ISNUMBER($P667),IF($P667&gt;19000000,DATE(INT($P667/10000),MOD(INT($P667/100),100),MOD($P667,100)),INT($P667)),IF(LEN(SUBSTITUTE(SUBSTITUTE(SUBSTITUTE(TRIM($P667),"-",""),".",""),"/",""))=8,DATE(VALUE(LEFT(SUBSTITUTE(SUBSTITUTE(SUBSTITUTE(TRIM($P667),"-",""),".",""),"/",""),4)),VALUE(MID(SUBSTITUTE(SUBSTITUTE(SUBSTITUTE(TRIM($P667),"-",""),".",""),"/",""),5,2)),VALUE(RIGHT(SUBSTITUTE(SUBSTITUTE(SUBSTITUTE(TRIM($P667),"-",""),".",""),"/",""),2))),DATEVALUE($P667))),""))</f>
        <v/>
      </c>
      <c r="Y667" s="56" t="str">
        <f aca="false">IF($M667="","",IFERROR(INDEX(강사DB!$D$4:$D$53,MATCH($M667,강사DB!$A$4:$A$53,0)),""))</f>
        <v/>
      </c>
      <c r="Z667" s="56" t="str">
        <f aca="false">IF($B667&lt;&gt;"결제완료","",IF(OR($Y667="",$J667=""),"",$Y667*$J667+MAX(0,N($K667)-1)*설정!$J$7))</f>
        <v/>
      </c>
      <c r="AA667" s="56" t="str">
        <f aca="false">IF(AND($D667&lt;&gt;"",$B667="결제완료"),N($N667),"")</f>
        <v/>
      </c>
      <c r="AB667" s="45" t="str">
        <f aca="false">IF($D667="","",IF($F667&lt;&gt;"",$F667,$D667)&amp;IF($B667="상담중"," (상담)",""))</f>
        <v/>
      </c>
      <c r="AC667" s="45" t="n">
        <f aca="false">IF(AND($D667&lt;&gt;"",OR($B667="결제완료",$B667="상담중")),1,0)</f>
        <v>0</v>
      </c>
      <c r="AD667" s="45" t="n">
        <f aca="false">IF(OR($Z667="",$U667=""),0,IFERROR(IF(COUNTIFS(INDEX(g_grid,0,2*MATCH($M667,강사DB!$A$4:$A$15,0)),"&lt;&gt;",g_s,"&lt;="&amp;$U667,g_e,"&gt;="&amp;$U667)&gt;0,1,0),0))</f>
        <v>0</v>
      </c>
      <c r="AE667" s="48"/>
      <c r="AF667" s="56" t="str">
        <f aca="false">IF(AND($D667&lt;&gt;"",$B667="결제완료",$T667="대여"),설정!$J$5,"")</f>
        <v/>
      </c>
      <c r="AG667" s="54" t="str">
        <f aca="false">IF($D667="","",IF(AND($E667="",$R667=""),$AB667,"☎ "&amp;IF($E667="","-",$E667)&amp;IF($R667&lt;&gt;"","  ※ "&amp;$R667,"")&amp;IF($B667="상담중"," (상담)","")))</f>
        <v/>
      </c>
      <c r="AH667" s="56" t="str">
        <f aca="false">IF(AND($D667&lt;&gt;"",$B667="결제완료",$O667="스마트스토어"),ROUND(N($N667)*설정!$J$6,0),"")</f>
        <v/>
      </c>
      <c r="AI667" s="54" t="str">
        <f aca="false">IF($D667="","",ROW())</f>
        <v/>
      </c>
      <c r="AJ667" s="54" t="n">
        <f aca="false">IF(OR($AC667&lt;&gt;1,$M667=""),0,IF(ISNUMBER(SEARCH("퇴사",IFERROR(INDEX(강사DB!$G$4:$G$53,MATCH($M667,강사DB!$A$4:$A$53,0)),""))),1,0))</f>
        <v>0</v>
      </c>
    </row>
    <row r="668" customFormat="false" ht="15" hidden="false" customHeight="false" outlineLevel="0" collapsed="false">
      <c r="A668" s="45" t="str">
        <f aca="false">IF($D668="","",COUNTA($D$5:$D668))</f>
        <v/>
      </c>
      <c r="B668" s="46"/>
      <c r="C668" s="47"/>
      <c r="D668" s="48"/>
      <c r="E668" s="48"/>
      <c r="F668" s="49"/>
      <c r="G668" s="47"/>
      <c r="H668" s="50"/>
      <c r="I668" s="50"/>
      <c r="J668" s="51" t="str">
        <f aca="false">IF(OR($V668="",$W668=""),"",ROUND(($W668-$V668)/60,2))</f>
        <v/>
      </c>
      <c r="K668" s="52" t="str">
        <f aca="false">IF($F668="","",LEN($F668)-LEN(SUBSTITUTE($F668,",",""))+1)</f>
        <v/>
      </c>
      <c r="L668" s="45" t="str">
        <f aca="false">IF($K668="","","1:"&amp;$K668)</f>
        <v/>
      </c>
      <c r="M668" s="46"/>
      <c r="N668" s="53"/>
      <c r="O668" s="46"/>
      <c r="P668" s="47"/>
      <c r="Q668" s="48"/>
      <c r="R668" s="49"/>
      <c r="S668" s="54" t="str">
        <f aca="false">IF(OR($AC668=0,$U668="",$M668="",$V668="",$W668=""),"",IF(COUNTIFS(m_teacher,$M668,m_date,$U668,m_active,1,m_start,"&lt;"&amp;$W668,m_end,"&gt;"&amp;$V668)&gt;1,"충돌",""))</f>
        <v/>
      </c>
      <c r="T668" s="48"/>
      <c r="U668" s="55" t="str">
        <f aca="false">IF($G668="","",IFERROR(IF(ISNUMBER($G668),IF($G668&gt;19000000,DATE(INT($G668/10000),MOD(INT($G668/100),100),MOD($G668,100)),INT($G668)),IF(LEN(SUBSTITUTE(SUBSTITUTE(SUBSTITUTE(TRIM($G668),"-",""),".",""),"/",""))=8,DATE(VALUE(LEFT(SUBSTITUTE(SUBSTITUTE(SUBSTITUTE(TRIM($G668),"-",""),".",""),"/",""),4)),VALUE(MID(SUBSTITUTE(SUBSTITUTE(SUBSTITUTE(TRIM($G668),"-",""),".",""),"/",""),5,2)),VALUE(RIGHT(SUBSTITUTE(SUBSTITUTE(SUBSTITUTE(TRIM($G668),"-",""),".",""),"/",""),2))),DATEVALUE($G668))),""))</f>
        <v/>
      </c>
      <c r="V668" s="52" t="str">
        <f aca="false">IF($H668="","",IFERROR(IF(IF(ISNUMBER($H668),$H668,IFERROR(TIMEVALUE($H668),VALUE($H668)))&gt;=100,INT(IF(ISNUMBER($H668),$H668,IFERROR(TIMEVALUE($H668),VALUE($H668)))/100)*60+MOD(IF(ISNUMBER($H668),$H668,IFERROR(TIMEVALUE($H668),VALUE($H668))),100),IF(IF(ISNUMBER($H668),$H668,IFERROR(TIMEVALUE($H668),VALUE($H668)))&gt;=1,ROUND(IF(ISNUMBER($H668),$H668,IFERROR(TIMEVALUE($H668),VALUE($H668)))*60,0),ROUND(MOD(IF(ISNUMBER($H668),$H668,IFERROR(TIMEVALUE($H668),VALUE($H668))),1)*1440,0))),""))</f>
        <v/>
      </c>
      <c r="W668" s="52" t="str">
        <f aca="false">IF($I668="","",IFERROR(IF(IF(ISNUMBER($I668),$I668,IFERROR(TIMEVALUE($I668),VALUE($I668)))&gt;=100,INT(IF(ISNUMBER($I668),$I668,IFERROR(TIMEVALUE($I668),VALUE($I668)))/100)*60+MOD(IF(ISNUMBER($I668),$I668,IFERROR(TIMEVALUE($I668),VALUE($I668))),100),IF(IF(ISNUMBER($I668),$I668,IFERROR(TIMEVALUE($I668),VALUE($I668)))&gt;=1,ROUND(IF(ISNUMBER($I668),$I668,IFERROR(TIMEVALUE($I668),VALUE($I668)))*60,0),ROUND(MOD(IF(ISNUMBER($I668),$I668,IFERROR(TIMEVALUE($I668),VALUE($I668))),1)*1440,0))),""))</f>
        <v/>
      </c>
      <c r="X668" s="55" t="str">
        <f aca="false">IF($P668="","",IFERROR(IF(ISNUMBER($P668),IF($P668&gt;19000000,DATE(INT($P668/10000),MOD(INT($P668/100),100),MOD($P668,100)),INT($P668)),IF(LEN(SUBSTITUTE(SUBSTITUTE(SUBSTITUTE(TRIM($P668),"-",""),".",""),"/",""))=8,DATE(VALUE(LEFT(SUBSTITUTE(SUBSTITUTE(SUBSTITUTE(TRIM($P668),"-",""),".",""),"/",""),4)),VALUE(MID(SUBSTITUTE(SUBSTITUTE(SUBSTITUTE(TRIM($P668),"-",""),".",""),"/",""),5,2)),VALUE(RIGHT(SUBSTITUTE(SUBSTITUTE(SUBSTITUTE(TRIM($P668),"-",""),".",""),"/",""),2))),DATEVALUE($P668))),""))</f>
        <v/>
      </c>
      <c r="Y668" s="56" t="str">
        <f aca="false">IF($M668="","",IFERROR(INDEX(강사DB!$D$4:$D$53,MATCH($M668,강사DB!$A$4:$A$53,0)),""))</f>
        <v/>
      </c>
      <c r="Z668" s="56" t="str">
        <f aca="false">IF($B668&lt;&gt;"결제완료","",IF(OR($Y668="",$J668=""),"",$Y668*$J668+MAX(0,N($K668)-1)*설정!$J$7))</f>
        <v/>
      </c>
      <c r="AA668" s="56" t="str">
        <f aca="false">IF(AND($D668&lt;&gt;"",$B668="결제완료"),N($N668),"")</f>
        <v/>
      </c>
      <c r="AB668" s="45" t="str">
        <f aca="false">IF($D668="","",IF($F668&lt;&gt;"",$F668,$D668)&amp;IF($B668="상담중"," (상담)",""))</f>
        <v/>
      </c>
      <c r="AC668" s="45" t="n">
        <f aca="false">IF(AND($D668&lt;&gt;"",OR($B668="결제완료",$B668="상담중")),1,0)</f>
        <v>0</v>
      </c>
      <c r="AD668" s="45" t="n">
        <f aca="false">IF(OR($Z668="",$U668=""),0,IFERROR(IF(COUNTIFS(INDEX(g_grid,0,2*MATCH($M668,강사DB!$A$4:$A$15,0)),"&lt;&gt;",g_s,"&lt;="&amp;$U668,g_e,"&gt;="&amp;$U668)&gt;0,1,0),0))</f>
        <v>0</v>
      </c>
      <c r="AE668" s="48"/>
      <c r="AF668" s="56" t="str">
        <f aca="false">IF(AND($D668&lt;&gt;"",$B668="결제완료",$T668="대여"),설정!$J$5,"")</f>
        <v/>
      </c>
      <c r="AG668" s="54" t="str">
        <f aca="false">IF($D668="","",IF(AND($E668="",$R668=""),$AB668,"☎ "&amp;IF($E668="","-",$E668)&amp;IF($R668&lt;&gt;"","  ※ "&amp;$R668,"")&amp;IF($B668="상담중"," (상담)","")))</f>
        <v/>
      </c>
      <c r="AH668" s="56" t="str">
        <f aca="false">IF(AND($D668&lt;&gt;"",$B668="결제완료",$O668="스마트스토어"),ROUND(N($N668)*설정!$J$6,0),"")</f>
        <v/>
      </c>
      <c r="AI668" s="54" t="str">
        <f aca="false">IF($D668="","",ROW())</f>
        <v/>
      </c>
      <c r="AJ668" s="54" t="n">
        <f aca="false">IF(OR($AC668&lt;&gt;1,$M668=""),0,IF(ISNUMBER(SEARCH("퇴사",IFERROR(INDEX(강사DB!$G$4:$G$53,MATCH($M668,강사DB!$A$4:$A$53,0)),""))),1,0))</f>
        <v>0</v>
      </c>
    </row>
    <row r="669" customFormat="false" ht="15" hidden="false" customHeight="false" outlineLevel="0" collapsed="false">
      <c r="A669" s="45" t="str">
        <f aca="false">IF($D669="","",COUNTA($D$5:$D669))</f>
        <v/>
      </c>
      <c r="B669" s="46"/>
      <c r="C669" s="47"/>
      <c r="D669" s="48"/>
      <c r="E669" s="48"/>
      <c r="F669" s="49"/>
      <c r="G669" s="47"/>
      <c r="H669" s="50"/>
      <c r="I669" s="50"/>
      <c r="J669" s="51" t="str">
        <f aca="false">IF(OR($V669="",$W669=""),"",ROUND(($W669-$V669)/60,2))</f>
        <v/>
      </c>
      <c r="K669" s="52" t="str">
        <f aca="false">IF($F669="","",LEN($F669)-LEN(SUBSTITUTE($F669,",",""))+1)</f>
        <v/>
      </c>
      <c r="L669" s="45" t="str">
        <f aca="false">IF($K669="","","1:"&amp;$K669)</f>
        <v/>
      </c>
      <c r="M669" s="46"/>
      <c r="N669" s="53"/>
      <c r="O669" s="46"/>
      <c r="P669" s="47"/>
      <c r="Q669" s="48"/>
      <c r="R669" s="49"/>
      <c r="S669" s="54" t="str">
        <f aca="false">IF(OR($AC669=0,$U669="",$M669="",$V669="",$W669=""),"",IF(COUNTIFS(m_teacher,$M669,m_date,$U669,m_active,1,m_start,"&lt;"&amp;$W669,m_end,"&gt;"&amp;$V669)&gt;1,"충돌",""))</f>
        <v/>
      </c>
      <c r="T669" s="48"/>
      <c r="U669" s="55" t="str">
        <f aca="false">IF($G669="","",IFERROR(IF(ISNUMBER($G669),IF($G669&gt;19000000,DATE(INT($G669/10000),MOD(INT($G669/100),100),MOD($G669,100)),INT($G669)),IF(LEN(SUBSTITUTE(SUBSTITUTE(SUBSTITUTE(TRIM($G669),"-",""),".",""),"/",""))=8,DATE(VALUE(LEFT(SUBSTITUTE(SUBSTITUTE(SUBSTITUTE(TRIM($G669),"-",""),".",""),"/",""),4)),VALUE(MID(SUBSTITUTE(SUBSTITUTE(SUBSTITUTE(TRIM($G669),"-",""),".",""),"/",""),5,2)),VALUE(RIGHT(SUBSTITUTE(SUBSTITUTE(SUBSTITUTE(TRIM($G669),"-",""),".",""),"/",""),2))),DATEVALUE($G669))),""))</f>
        <v/>
      </c>
      <c r="V669" s="52" t="str">
        <f aca="false">IF($H669="","",IFERROR(IF(IF(ISNUMBER($H669),$H669,IFERROR(TIMEVALUE($H669),VALUE($H669)))&gt;=100,INT(IF(ISNUMBER($H669),$H669,IFERROR(TIMEVALUE($H669),VALUE($H669)))/100)*60+MOD(IF(ISNUMBER($H669),$H669,IFERROR(TIMEVALUE($H669),VALUE($H669))),100),IF(IF(ISNUMBER($H669),$H669,IFERROR(TIMEVALUE($H669),VALUE($H669)))&gt;=1,ROUND(IF(ISNUMBER($H669),$H669,IFERROR(TIMEVALUE($H669),VALUE($H669)))*60,0),ROUND(MOD(IF(ISNUMBER($H669),$H669,IFERROR(TIMEVALUE($H669),VALUE($H669))),1)*1440,0))),""))</f>
        <v/>
      </c>
      <c r="W669" s="52" t="str">
        <f aca="false">IF($I669="","",IFERROR(IF(IF(ISNUMBER($I669),$I669,IFERROR(TIMEVALUE($I669),VALUE($I669)))&gt;=100,INT(IF(ISNUMBER($I669),$I669,IFERROR(TIMEVALUE($I669),VALUE($I669)))/100)*60+MOD(IF(ISNUMBER($I669),$I669,IFERROR(TIMEVALUE($I669),VALUE($I669))),100),IF(IF(ISNUMBER($I669),$I669,IFERROR(TIMEVALUE($I669),VALUE($I669)))&gt;=1,ROUND(IF(ISNUMBER($I669),$I669,IFERROR(TIMEVALUE($I669),VALUE($I669)))*60,0),ROUND(MOD(IF(ISNUMBER($I669),$I669,IFERROR(TIMEVALUE($I669),VALUE($I669))),1)*1440,0))),""))</f>
        <v/>
      </c>
      <c r="X669" s="55" t="str">
        <f aca="false">IF($P669="","",IFERROR(IF(ISNUMBER($P669),IF($P669&gt;19000000,DATE(INT($P669/10000),MOD(INT($P669/100),100),MOD($P669,100)),INT($P669)),IF(LEN(SUBSTITUTE(SUBSTITUTE(SUBSTITUTE(TRIM($P669),"-",""),".",""),"/",""))=8,DATE(VALUE(LEFT(SUBSTITUTE(SUBSTITUTE(SUBSTITUTE(TRIM($P669),"-",""),".",""),"/",""),4)),VALUE(MID(SUBSTITUTE(SUBSTITUTE(SUBSTITUTE(TRIM($P669),"-",""),".",""),"/",""),5,2)),VALUE(RIGHT(SUBSTITUTE(SUBSTITUTE(SUBSTITUTE(TRIM($P669),"-",""),".",""),"/",""),2))),DATEVALUE($P669))),""))</f>
        <v/>
      </c>
      <c r="Y669" s="56" t="str">
        <f aca="false">IF($M669="","",IFERROR(INDEX(강사DB!$D$4:$D$53,MATCH($M669,강사DB!$A$4:$A$53,0)),""))</f>
        <v/>
      </c>
      <c r="Z669" s="56" t="str">
        <f aca="false">IF($B669&lt;&gt;"결제완료","",IF(OR($Y669="",$J669=""),"",$Y669*$J669+MAX(0,N($K669)-1)*설정!$J$7))</f>
        <v/>
      </c>
      <c r="AA669" s="56" t="str">
        <f aca="false">IF(AND($D669&lt;&gt;"",$B669="결제완료"),N($N669),"")</f>
        <v/>
      </c>
      <c r="AB669" s="45" t="str">
        <f aca="false">IF($D669="","",IF($F669&lt;&gt;"",$F669,$D669)&amp;IF($B669="상담중"," (상담)",""))</f>
        <v/>
      </c>
      <c r="AC669" s="45" t="n">
        <f aca="false">IF(AND($D669&lt;&gt;"",OR($B669="결제완료",$B669="상담중")),1,0)</f>
        <v>0</v>
      </c>
      <c r="AD669" s="45" t="n">
        <f aca="false">IF(OR($Z669="",$U669=""),0,IFERROR(IF(COUNTIFS(INDEX(g_grid,0,2*MATCH($M669,강사DB!$A$4:$A$15,0)),"&lt;&gt;",g_s,"&lt;="&amp;$U669,g_e,"&gt;="&amp;$U669)&gt;0,1,0),0))</f>
        <v>0</v>
      </c>
      <c r="AE669" s="48"/>
      <c r="AF669" s="56" t="str">
        <f aca="false">IF(AND($D669&lt;&gt;"",$B669="결제완료",$T669="대여"),설정!$J$5,"")</f>
        <v/>
      </c>
      <c r="AG669" s="54" t="str">
        <f aca="false">IF($D669="","",IF(AND($E669="",$R669=""),$AB669,"☎ "&amp;IF($E669="","-",$E669)&amp;IF($R669&lt;&gt;"","  ※ "&amp;$R669,"")&amp;IF($B669="상담중"," (상담)","")))</f>
        <v/>
      </c>
      <c r="AH669" s="56" t="str">
        <f aca="false">IF(AND($D669&lt;&gt;"",$B669="결제완료",$O669="스마트스토어"),ROUND(N($N669)*설정!$J$6,0),"")</f>
        <v/>
      </c>
      <c r="AI669" s="54" t="str">
        <f aca="false">IF($D669="","",ROW())</f>
        <v/>
      </c>
      <c r="AJ669" s="54" t="n">
        <f aca="false">IF(OR($AC669&lt;&gt;1,$M669=""),0,IF(ISNUMBER(SEARCH("퇴사",IFERROR(INDEX(강사DB!$G$4:$G$53,MATCH($M669,강사DB!$A$4:$A$53,0)),""))),1,0))</f>
        <v>0</v>
      </c>
    </row>
    <row r="670" customFormat="false" ht="15" hidden="false" customHeight="false" outlineLevel="0" collapsed="false">
      <c r="A670" s="45" t="str">
        <f aca="false">IF($D670="","",COUNTA($D$5:$D670))</f>
        <v/>
      </c>
      <c r="B670" s="46"/>
      <c r="C670" s="47"/>
      <c r="D670" s="48"/>
      <c r="E670" s="48"/>
      <c r="F670" s="49"/>
      <c r="G670" s="47"/>
      <c r="H670" s="50"/>
      <c r="I670" s="50"/>
      <c r="J670" s="51" t="str">
        <f aca="false">IF(OR($V670="",$W670=""),"",ROUND(($W670-$V670)/60,2))</f>
        <v/>
      </c>
      <c r="K670" s="52" t="str">
        <f aca="false">IF($F670="","",LEN($F670)-LEN(SUBSTITUTE($F670,",",""))+1)</f>
        <v/>
      </c>
      <c r="L670" s="45" t="str">
        <f aca="false">IF($K670="","","1:"&amp;$K670)</f>
        <v/>
      </c>
      <c r="M670" s="46"/>
      <c r="N670" s="53"/>
      <c r="O670" s="46"/>
      <c r="P670" s="47"/>
      <c r="Q670" s="48"/>
      <c r="R670" s="49"/>
      <c r="S670" s="54" t="str">
        <f aca="false">IF(OR($AC670=0,$U670="",$M670="",$V670="",$W670=""),"",IF(COUNTIFS(m_teacher,$M670,m_date,$U670,m_active,1,m_start,"&lt;"&amp;$W670,m_end,"&gt;"&amp;$V670)&gt;1,"충돌",""))</f>
        <v/>
      </c>
      <c r="T670" s="48"/>
      <c r="U670" s="55" t="str">
        <f aca="false">IF($G670="","",IFERROR(IF(ISNUMBER($G670),IF($G670&gt;19000000,DATE(INT($G670/10000),MOD(INT($G670/100),100),MOD($G670,100)),INT($G670)),IF(LEN(SUBSTITUTE(SUBSTITUTE(SUBSTITUTE(TRIM($G670),"-",""),".",""),"/",""))=8,DATE(VALUE(LEFT(SUBSTITUTE(SUBSTITUTE(SUBSTITUTE(TRIM($G670),"-",""),".",""),"/",""),4)),VALUE(MID(SUBSTITUTE(SUBSTITUTE(SUBSTITUTE(TRIM($G670),"-",""),".",""),"/",""),5,2)),VALUE(RIGHT(SUBSTITUTE(SUBSTITUTE(SUBSTITUTE(TRIM($G670),"-",""),".",""),"/",""),2))),DATEVALUE($G670))),""))</f>
        <v/>
      </c>
      <c r="V670" s="52" t="str">
        <f aca="false">IF($H670="","",IFERROR(IF(IF(ISNUMBER($H670),$H670,IFERROR(TIMEVALUE($H670),VALUE($H670)))&gt;=100,INT(IF(ISNUMBER($H670),$H670,IFERROR(TIMEVALUE($H670),VALUE($H670)))/100)*60+MOD(IF(ISNUMBER($H670),$H670,IFERROR(TIMEVALUE($H670),VALUE($H670))),100),IF(IF(ISNUMBER($H670),$H670,IFERROR(TIMEVALUE($H670),VALUE($H670)))&gt;=1,ROUND(IF(ISNUMBER($H670),$H670,IFERROR(TIMEVALUE($H670),VALUE($H670)))*60,0),ROUND(MOD(IF(ISNUMBER($H670),$H670,IFERROR(TIMEVALUE($H670),VALUE($H670))),1)*1440,0))),""))</f>
        <v/>
      </c>
      <c r="W670" s="52" t="str">
        <f aca="false">IF($I670="","",IFERROR(IF(IF(ISNUMBER($I670),$I670,IFERROR(TIMEVALUE($I670),VALUE($I670)))&gt;=100,INT(IF(ISNUMBER($I670),$I670,IFERROR(TIMEVALUE($I670),VALUE($I670)))/100)*60+MOD(IF(ISNUMBER($I670),$I670,IFERROR(TIMEVALUE($I670),VALUE($I670))),100),IF(IF(ISNUMBER($I670),$I670,IFERROR(TIMEVALUE($I670),VALUE($I670)))&gt;=1,ROUND(IF(ISNUMBER($I670),$I670,IFERROR(TIMEVALUE($I670),VALUE($I670)))*60,0),ROUND(MOD(IF(ISNUMBER($I670),$I670,IFERROR(TIMEVALUE($I670),VALUE($I670))),1)*1440,0))),""))</f>
        <v/>
      </c>
      <c r="X670" s="55" t="str">
        <f aca="false">IF($P670="","",IFERROR(IF(ISNUMBER($P670),IF($P670&gt;19000000,DATE(INT($P670/10000),MOD(INT($P670/100),100),MOD($P670,100)),INT($P670)),IF(LEN(SUBSTITUTE(SUBSTITUTE(SUBSTITUTE(TRIM($P670),"-",""),".",""),"/",""))=8,DATE(VALUE(LEFT(SUBSTITUTE(SUBSTITUTE(SUBSTITUTE(TRIM($P670),"-",""),".",""),"/",""),4)),VALUE(MID(SUBSTITUTE(SUBSTITUTE(SUBSTITUTE(TRIM($P670),"-",""),".",""),"/",""),5,2)),VALUE(RIGHT(SUBSTITUTE(SUBSTITUTE(SUBSTITUTE(TRIM($P670),"-",""),".",""),"/",""),2))),DATEVALUE($P670))),""))</f>
        <v/>
      </c>
      <c r="Y670" s="56" t="str">
        <f aca="false">IF($M670="","",IFERROR(INDEX(강사DB!$D$4:$D$53,MATCH($M670,강사DB!$A$4:$A$53,0)),""))</f>
        <v/>
      </c>
      <c r="Z670" s="56" t="str">
        <f aca="false">IF($B670&lt;&gt;"결제완료","",IF(OR($Y670="",$J670=""),"",$Y670*$J670+MAX(0,N($K670)-1)*설정!$J$7))</f>
        <v/>
      </c>
      <c r="AA670" s="56" t="str">
        <f aca="false">IF(AND($D670&lt;&gt;"",$B670="결제완료"),N($N670),"")</f>
        <v/>
      </c>
      <c r="AB670" s="45" t="str">
        <f aca="false">IF($D670="","",IF($F670&lt;&gt;"",$F670,$D670)&amp;IF($B670="상담중"," (상담)",""))</f>
        <v/>
      </c>
      <c r="AC670" s="45" t="n">
        <f aca="false">IF(AND($D670&lt;&gt;"",OR($B670="결제완료",$B670="상담중")),1,0)</f>
        <v>0</v>
      </c>
      <c r="AD670" s="45" t="n">
        <f aca="false">IF(OR($Z670="",$U670=""),0,IFERROR(IF(COUNTIFS(INDEX(g_grid,0,2*MATCH($M670,강사DB!$A$4:$A$15,0)),"&lt;&gt;",g_s,"&lt;="&amp;$U670,g_e,"&gt;="&amp;$U670)&gt;0,1,0),0))</f>
        <v>0</v>
      </c>
      <c r="AE670" s="48"/>
      <c r="AF670" s="56" t="str">
        <f aca="false">IF(AND($D670&lt;&gt;"",$B670="결제완료",$T670="대여"),설정!$J$5,"")</f>
        <v/>
      </c>
      <c r="AG670" s="54" t="str">
        <f aca="false">IF($D670="","",IF(AND($E670="",$R670=""),$AB670,"☎ "&amp;IF($E670="","-",$E670)&amp;IF($R670&lt;&gt;"","  ※ "&amp;$R670,"")&amp;IF($B670="상담중"," (상담)","")))</f>
        <v/>
      </c>
      <c r="AH670" s="56" t="str">
        <f aca="false">IF(AND($D670&lt;&gt;"",$B670="결제완료",$O670="스마트스토어"),ROUND(N($N670)*설정!$J$6,0),"")</f>
        <v/>
      </c>
      <c r="AI670" s="54" t="str">
        <f aca="false">IF($D670="","",ROW())</f>
        <v/>
      </c>
      <c r="AJ670" s="54" t="n">
        <f aca="false">IF(OR($AC670&lt;&gt;1,$M670=""),0,IF(ISNUMBER(SEARCH("퇴사",IFERROR(INDEX(강사DB!$G$4:$G$53,MATCH($M670,강사DB!$A$4:$A$53,0)),""))),1,0))</f>
        <v>0</v>
      </c>
    </row>
    <row r="671" customFormat="false" ht="15" hidden="false" customHeight="false" outlineLevel="0" collapsed="false">
      <c r="A671" s="45" t="str">
        <f aca="false">IF($D671="","",COUNTA($D$5:$D671))</f>
        <v/>
      </c>
      <c r="B671" s="46"/>
      <c r="C671" s="47"/>
      <c r="D671" s="48"/>
      <c r="E671" s="48"/>
      <c r="F671" s="49"/>
      <c r="G671" s="47"/>
      <c r="H671" s="50"/>
      <c r="I671" s="50"/>
      <c r="J671" s="51" t="str">
        <f aca="false">IF(OR($V671="",$W671=""),"",ROUND(($W671-$V671)/60,2))</f>
        <v/>
      </c>
      <c r="K671" s="52" t="str">
        <f aca="false">IF($F671="","",LEN($F671)-LEN(SUBSTITUTE($F671,",",""))+1)</f>
        <v/>
      </c>
      <c r="L671" s="45" t="str">
        <f aca="false">IF($K671="","","1:"&amp;$K671)</f>
        <v/>
      </c>
      <c r="M671" s="46"/>
      <c r="N671" s="53"/>
      <c r="O671" s="46"/>
      <c r="P671" s="47"/>
      <c r="Q671" s="48"/>
      <c r="R671" s="49"/>
      <c r="S671" s="54" t="str">
        <f aca="false">IF(OR($AC671=0,$U671="",$M671="",$V671="",$W671=""),"",IF(COUNTIFS(m_teacher,$M671,m_date,$U671,m_active,1,m_start,"&lt;"&amp;$W671,m_end,"&gt;"&amp;$V671)&gt;1,"충돌",""))</f>
        <v/>
      </c>
      <c r="T671" s="48"/>
      <c r="U671" s="55" t="str">
        <f aca="false">IF($G671="","",IFERROR(IF(ISNUMBER($G671),IF($G671&gt;19000000,DATE(INT($G671/10000),MOD(INT($G671/100),100),MOD($G671,100)),INT($G671)),IF(LEN(SUBSTITUTE(SUBSTITUTE(SUBSTITUTE(TRIM($G671),"-",""),".",""),"/",""))=8,DATE(VALUE(LEFT(SUBSTITUTE(SUBSTITUTE(SUBSTITUTE(TRIM($G671),"-",""),".",""),"/",""),4)),VALUE(MID(SUBSTITUTE(SUBSTITUTE(SUBSTITUTE(TRIM($G671),"-",""),".",""),"/",""),5,2)),VALUE(RIGHT(SUBSTITUTE(SUBSTITUTE(SUBSTITUTE(TRIM($G671),"-",""),".",""),"/",""),2))),DATEVALUE($G671))),""))</f>
        <v/>
      </c>
      <c r="V671" s="52" t="str">
        <f aca="false">IF($H671="","",IFERROR(IF(IF(ISNUMBER($H671),$H671,IFERROR(TIMEVALUE($H671),VALUE($H671)))&gt;=100,INT(IF(ISNUMBER($H671),$H671,IFERROR(TIMEVALUE($H671),VALUE($H671)))/100)*60+MOD(IF(ISNUMBER($H671),$H671,IFERROR(TIMEVALUE($H671),VALUE($H671))),100),IF(IF(ISNUMBER($H671),$H671,IFERROR(TIMEVALUE($H671),VALUE($H671)))&gt;=1,ROUND(IF(ISNUMBER($H671),$H671,IFERROR(TIMEVALUE($H671),VALUE($H671)))*60,0),ROUND(MOD(IF(ISNUMBER($H671),$H671,IFERROR(TIMEVALUE($H671),VALUE($H671))),1)*1440,0))),""))</f>
        <v/>
      </c>
      <c r="W671" s="52" t="str">
        <f aca="false">IF($I671="","",IFERROR(IF(IF(ISNUMBER($I671),$I671,IFERROR(TIMEVALUE($I671),VALUE($I671)))&gt;=100,INT(IF(ISNUMBER($I671),$I671,IFERROR(TIMEVALUE($I671),VALUE($I671)))/100)*60+MOD(IF(ISNUMBER($I671),$I671,IFERROR(TIMEVALUE($I671),VALUE($I671))),100),IF(IF(ISNUMBER($I671),$I671,IFERROR(TIMEVALUE($I671),VALUE($I671)))&gt;=1,ROUND(IF(ISNUMBER($I671),$I671,IFERROR(TIMEVALUE($I671),VALUE($I671)))*60,0),ROUND(MOD(IF(ISNUMBER($I671),$I671,IFERROR(TIMEVALUE($I671),VALUE($I671))),1)*1440,0))),""))</f>
        <v/>
      </c>
      <c r="X671" s="55" t="str">
        <f aca="false">IF($P671="","",IFERROR(IF(ISNUMBER($P671),IF($P671&gt;19000000,DATE(INT($P671/10000),MOD(INT($P671/100),100),MOD($P671,100)),INT($P671)),IF(LEN(SUBSTITUTE(SUBSTITUTE(SUBSTITUTE(TRIM($P671),"-",""),".",""),"/",""))=8,DATE(VALUE(LEFT(SUBSTITUTE(SUBSTITUTE(SUBSTITUTE(TRIM($P671),"-",""),".",""),"/",""),4)),VALUE(MID(SUBSTITUTE(SUBSTITUTE(SUBSTITUTE(TRIM($P671),"-",""),".",""),"/",""),5,2)),VALUE(RIGHT(SUBSTITUTE(SUBSTITUTE(SUBSTITUTE(TRIM($P671),"-",""),".",""),"/",""),2))),DATEVALUE($P671))),""))</f>
        <v/>
      </c>
      <c r="Y671" s="56" t="str">
        <f aca="false">IF($M671="","",IFERROR(INDEX(강사DB!$D$4:$D$53,MATCH($M671,강사DB!$A$4:$A$53,0)),""))</f>
        <v/>
      </c>
      <c r="Z671" s="56" t="str">
        <f aca="false">IF($B671&lt;&gt;"결제완료","",IF(OR($Y671="",$J671=""),"",$Y671*$J671+MAX(0,N($K671)-1)*설정!$J$7))</f>
        <v/>
      </c>
      <c r="AA671" s="56" t="str">
        <f aca="false">IF(AND($D671&lt;&gt;"",$B671="결제완료"),N($N671),"")</f>
        <v/>
      </c>
      <c r="AB671" s="45" t="str">
        <f aca="false">IF($D671="","",IF($F671&lt;&gt;"",$F671,$D671)&amp;IF($B671="상담중"," (상담)",""))</f>
        <v/>
      </c>
      <c r="AC671" s="45" t="n">
        <f aca="false">IF(AND($D671&lt;&gt;"",OR($B671="결제완료",$B671="상담중")),1,0)</f>
        <v>0</v>
      </c>
      <c r="AD671" s="45" t="n">
        <f aca="false">IF(OR($Z671="",$U671=""),0,IFERROR(IF(COUNTIFS(INDEX(g_grid,0,2*MATCH($M671,강사DB!$A$4:$A$15,0)),"&lt;&gt;",g_s,"&lt;="&amp;$U671,g_e,"&gt;="&amp;$U671)&gt;0,1,0),0))</f>
        <v>0</v>
      </c>
      <c r="AE671" s="48"/>
      <c r="AF671" s="56" t="str">
        <f aca="false">IF(AND($D671&lt;&gt;"",$B671="결제완료",$T671="대여"),설정!$J$5,"")</f>
        <v/>
      </c>
      <c r="AG671" s="54" t="str">
        <f aca="false">IF($D671="","",IF(AND($E671="",$R671=""),$AB671,"☎ "&amp;IF($E671="","-",$E671)&amp;IF($R671&lt;&gt;"","  ※ "&amp;$R671,"")&amp;IF($B671="상담중"," (상담)","")))</f>
        <v/>
      </c>
      <c r="AH671" s="56" t="str">
        <f aca="false">IF(AND($D671&lt;&gt;"",$B671="결제완료",$O671="스마트스토어"),ROUND(N($N671)*설정!$J$6,0),"")</f>
        <v/>
      </c>
      <c r="AI671" s="54" t="str">
        <f aca="false">IF($D671="","",ROW())</f>
        <v/>
      </c>
      <c r="AJ671" s="54" t="n">
        <f aca="false">IF(OR($AC671&lt;&gt;1,$M671=""),0,IF(ISNUMBER(SEARCH("퇴사",IFERROR(INDEX(강사DB!$G$4:$G$53,MATCH($M671,강사DB!$A$4:$A$53,0)),""))),1,0))</f>
        <v>0</v>
      </c>
    </row>
    <row r="672" customFormat="false" ht="15" hidden="false" customHeight="false" outlineLevel="0" collapsed="false">
      <c r="A672" s="45" t="str">
        <f aca="false">IF($D672="","",COUNTA($D$5:$D672))</f>
        <v/>
      </c>
      <c r="B672" s="46"/>
      <c r="C672" s="47"/>
      <c r="D672" s="48"/>
      <c r="E672" s="48"/>
      <c r="F672" s="49"/>
      <c r="G672" s="47"/>
      <c r="H672" s="50"/>
      <c r="I672" s="50"/>
      <c r="J672" s="51" t="str">
        <f aca="false">IF(OR($V672="",$W672=""),"",ROUND(($W672-$V672)/60,2))</f>
        <v/>
      </c>
      <c r="K672" s="52" t="str">
        <f aca="false">IF($F672="","",LEN($F672)-LEN(SUBSTITUTE($F672,",",""))+1)</f>
        <v/>
      </c>
      <c r="L672" s="45" t="str">
        <f aca="false">IF($K672="","","1:"&amp;$K672)</f>
        <v/>
      </c>
      <c r="M672" s="46"/>
      <c r="N672" s="53"/>
      <c r="O672" s="46"/>
      <c r="P672" s="47"/>
      <c r="Q672" s="48"/>
      <c r="R672" s="49"/>
      <c r="S672" s="54" t="str">
        <f aca="false">IF(OR($AC672=0,$U672="",$M672="",$V672="",$W672=""),"",IF(COUNTIFS(m_teacher,$M672,m_date,$U672,m_active,1,m_start,"&lt;"&amp;$W672,m_end,"&gt;"&amp;$V672)&gt;1,"충돌",""))</f>
        <v/>
      </c>
      <c r="T672" s="48"/>
      <c r="U672" s="55" t="str">
        <f aca="false">IF($G672="","",IFERROR(IF(ISNUMBER($G672),IF($G672&gt;19000000,DATE(INT($G672/10000),MOD(INT($G672/100),100),MOD($G672,100)),INT($G672)),IF(LEN(SUBSTITUTE(SUBSTITUTE(SUBSTITUTE(TRIM($G672),"-",""),".",""),"/",""))=8,DATE(VALUE(LEFT(SUBSTITUTE(SUBSTITUTE(SUBSTITUTE(TRIM($G672),"-",""),".",""),"/",""),4)),VALUE(MID(SUBSTITUTE(SUBSTITUTE(SUBSTITUTE(TRIM($G672),"-",""),".",""),"/",""),5,2)),VALUE(RIGHT(SUBSTITUTE(SUBSTITUTE(SUBSTITUTE(TRIM($G672),"-",""),".",""),"/",""),2))),DATEVALUE($G672))),""))</f>
        <v/>
      </c>
      <c r="V672" s="52" t="str">
        <f aca="false">IF($H672="","",IFERROR(IF(IF(ISNUMBER($H672),$H672,IFERROR(TIMEVALUE($H672),VALUE($H672)))&gt;=100,INT(IF(ISNUMBER($H672),$H672,IFERROR(TIMEVALUE($H672),VALUE($H672)))/100)*60+MOD(IF(ISNUMBER($H672),$H672,IFERROR(TIMEVALUE($H672),VALUE($H672))),100),IF(IF(ISNUMBER($H672),$H672,IFERROR(TIMEVALUE($H672),VALUE($H672)))&gt;=1,ROUND(IF(ISNUMBER($H672),$H672,IFERROR(TIMEVALUE($H672),VALUE($H672)))*60,0),ROUND(MOD(IF(ISNUMBER($H672),$H672,IFERROR(TIMEVALUE($H672),VALUE($H672))),1)*1440,0))),""))</f>
        <v/>
      </c>
      <c r="W672" s="52" t="str">
        <f aca="false">IF($I672="","",IFERROR(IF(IF(ISNUMBER($I672),$I672,IFERROR(TIMEVALUE($I672),VALUE($I672)))&gt;=100,INT(IF(ISNUMBER($I672),$I672,IFERROR(TIMEVALUE($I672),VALUE($I672)))/100)*60+MOD(IF(ISNUMBER($I672),$I672,IFERROR(TIMEVALUE($I672),VALUE($I672))),100),IF(IF(ISNUMBER($I672),$I672,IFERROR(TIMEVALUE($I672),VALUE($I672)))&gt;=1,ROUND(IF(ISNUMBER($I672),$I672,IFERROR(TIMEVALUE($I672),VALUE($I672)))*60,0),ROUND(MOD(IF(ISNUMBER($I672),$I672,IFERROR(TIMEVALUE($I672),VALUE($I672))),1)*1440,0))),""))</f>
        <v/>
      </c>
      <c r="X672" s="55" t="str">
        <f aca="false">IF($P672="","",IFERROR(IF(ISNUMBER($P672),IF($P672&gt;19000000,DATE(INT($P672/10000),MOD(INT($P672/100),100),MOD($P672,100)),INT($P672)),IF(LEN(SUBSTITUTE(SUBSTITUTE(SUBSTITUTE(TRIM($P672),"-",""),".",""),"/",""))=8,DATE(VALUE(LEFT(SUBSTITUTE(SUBSTITUTE(SUBSTITUTE(TRIM($P672),"-",""),".",""),"/",""),4)),VALUE(MID(SUBSTITUTE(SUBSTITUTE(SUBSTITUTE(TRIM($P672),"-",""),".",""),"/",""),5,2)),VALUE(RIGHT(SUBSTITUTE(SUBSTITUTE(SUBSTITUTE(TRIM($P672),"-",""),".",""),"/",""),2))),DATEVALUE($P672))),""))</f>
        <v/>
      </c>
      <c r="Y672" s="56" t="str">
        <f aca="false">IF($M672="","",IFERROR(INDEX(강사DB!$D$4:$D$53,MATCH($M672,강사DB!$A$4:$A$53,0)),""))</f>
        <v/>
      </c>
      <c r="Z672" s="56" t="str">
        <f aca="false">IF($B672&lt;&gt;"결제완료","",IF(OR($Y672="",$J672=""),"",$Y672*$J672+MAX(0,N($K672)-1)*설정!$J$7))</f>
        <v/>
      </c>
      <c r="AA672" s="56" t="str">
        <f aca="false">IF(AND($D672&lt;&gt;"",$B672="결제완료"),N($N672),"")</f>
        <v/>
      </c>
      <c r="AB672" s="45" t="str">
        <f aca="false">IF($D672="","",IF($F672&lt;&gt;"",$F672,$D672)&amp;IF($B672="상담중"," (상담)",""))</f>
        <v/>
      </c>
      <c r="AC672" s="45" t="n">
        <f aca="false">IF(AND($D672&lt;&gt;"",OR($B672="결제완료",$B672="상담중")),1,0)</f>
        <v>0</v>
      </c>
      <c r="AD672" s="45" t="n">
        <f aca="false">IF(OR($Z672="",$U672=""),0,IFERROR(IF(COUNTIFS(INDEX(g_grid,0,2*MATCH($M672,강사DB!$A$4:$A$15,0)),"&lt;&gt;",g_s,"&lt;="&amp;$U672,g_e,"&gt;="&amp;$U672)&gt;0,1,0),0))</f>
        <v>0</v>
      </c>
      <c r="AE672" s="48"/>
      <c r="AF672" s="56" t="str">
        <f aca="false">IF(AND($D672&lt;&gt;"",$B672="결제완료",$T672="대여"),설정!$J$5,"")</f>
        <v/>
      </c>
      <c r="AG672" s="54" t="str">
        <f aca="false">IF($D672="","",IF(AND($E672="",$R672=""),$AB672,"☎ "&amp;IF($E672="","-",$E672)&amp;IF($R672&lt;&gt;"","  ※ "&amp;$R672,"")&amp;IF($B672="상담중"," (상담)","")))</f>
        <v/>
      </c>
      <c r="AH672" s="56" t="str">
        <f aca="false">IF(AND($D672&lt;&gt;"",$B672="결제완료",$O672="스마트스토어"),ROUND(N($N672)*설정!$J$6,0),"")</f>
        <v/>
      </c>
      <c r="AI672" s="54" t="str">
        <f aca="false">IF($D672="","",ROW())</f>
        <v/>
      </c>
      <c r="AJ672" s="54" t="n">
        <f aca="false">IF(OR($AC672&lt;&gt;1,$M672=""),0,IF(ISNUMBER(SEARCH("퇴사",IFERROR(INDEX(강사DB!$G$4:$G$53,MATCH($M672,강사DB!$A$4:$A$53,0)),""))),1,0))</f>
        <v>0</v>
      </c>
    </row>
    <row r="673" customFormat="false" ht="15" hidden="false" customHeight="false" outlineLevel="0" collapsed="false">
      <c r="A673" s="45" t="str">
        <f aca="false">IF($D673="","",COUNTA($D$5:$D673))</f>
        <v/>
      </c>
      <c r="B673" s="46"/>
      <c r="C673" s="47"/>
      <c r="D673" s="48"/>
      <c r="E673" s="48"/>
      <c r="F673" s="49"/>
      <c r="G673" s="47"/>
      <c r="H673" s="50"/>
      <c r="I673" s="50"/>
      <c r="J673" s="51" t="str">
        <f aca="false">IF(OR($V673="",$W673=""),"",ROUND(($W673-$V673)/60,2))</f>
        <v/>
      </c>
      <c r="K673" s="52" t="str">
        <f aca="false">IF($F673="","",LEN($F673)-LEN(SUBSTITUTE($F673,",",""))+1)</f>
        <v/>
      </c>
      <c r="L673" s="45" t="str">
        <f aca="false">IF($K673="","","1:"&amp;$K673)</f>
        <v/>
      </c>
      <c r="M673" s="46"/>
      <c r="N673" s="53"/>
      <c r="O673" s="46"/>
      <c r="P673" s="47"/>
      <c r="Q673" s="48"/>
      <c r="R673" s="49"/>
      <c r="S673" s="54" t="str">
        <f aca="false">IF(OR($AC673=0,$U673="",$M673="",$V673="",$W673=""),"",IF(COUNTIFS(m_teacher,$M673,m_date,$U673,m_active,1,m_start,"&lt;"&amp;$W673,m_end,"&gt;"&amp;$V673)&gt;1,"충돌",""))</f>
        <v/>
      </c>
      <c r="T673" s="48"/>
      <c r="U673" s="55" t="str">
        <f aca="false">IF($G673="","",IFERROR(IF(ISNUMBER($G673),IF($G673&gt;19000000,DATE(INT($G673/10000),MOD(INT($G673/100),100),MOD($G673,100)),INT($G673)),IF(LEN(SUBSTITUTE(SUBSTITUTE(SUBSTITUTE(TRIM($G673),"-",""),".",""),"/",""))=8,DATE(VALUE(LEFT(SUBSTITUTE(SUBSTITUTE(SUBSTITUTE(TRIM($G673),"-",""),".",""),"/",""),4)),VALUE(MID(SUBSTITUTE(SUBSTITUTE(SUBSTITUTE(TRIM($G673),"-",""),".",""),"/",""),5,2)),VALUE(RIGHT(SUBSTITUTE(SUBSTITUTE(SUBSTITUTE(TRIM($G673),"-",""),".",""),"/",""),2))),DATEVALUE($G673))),""))</f>
        <v/>
      </c>
      <c r="V673" s="52" t="str">
        <f aca="false">IF($H673="","",IFERROR(IF(IF(ISNUMBER($H673),$H673,IFERROR(TIMEVALUE($H673),VALUE($H673)))&gt;=100,INT(IF(ISNUMBER($H673),$H673,IFERROR(TIMEVALUE($H673),VALUE($H673)))/100)*60+MOD(IF(ISNUMBER($H673),$H673,IFERROR(TIMEVALUE($H673),VALUE($H673))),100),IF(IF(ISNUMBER($H673),$H673,IFERROR(TIMEVALUE($H673),VALUE($H673)))&gt;=1,ROUND(IF(ISNUMBER($H673),$H673,IFERROR(TIMEVALUE($H673),VALUE($H673)))*60,0),ROUND(MOD(IF(ISNUMBER($H673),$H673,IFERROR(TIMEVALUE($H673),VALUE($H673))),1)*1440,0))),""))</f>
        <v/>
      </c>
      <c r="W673" s="52" t="str">
        <f aca="false">IF($I673="","",IFERROR(IF(IF(ISNUMBER($I673),$I673,IFERROR(TIMEVALUE($I673),VALUE($I673)))&gt;=100,INT(IF(ISNUMBER($I673),$I673,IFERROR(TIMEVALUE($I673),VALUE($I673)))/100)*60+MOD(IF(ISNUMBER($I673),$I673,IFERROR(TIMEVALUE($I673),VALUE($I673))),100),IF(IF(ISNUMBER($I673),$I673,IFERROR(TIMEVALUE($I673),VALUE($I673)))&gt;=1,ROUND(IF(ISNUMBER($I673),$I673,IFERROR(TIMEVALUE($I673),VALUE($I673)))*60,0),ROUND(MOD(IF(ISNUMBER($I673),$I673,IFERROR(TIMEVALUE($I673),VALUE($I673))),1)*1440,0))),""))</f>
        <v/>
      </c>
      <c r="X673" s="55" t="str">
        <f aca="false">IF($P673="","",IFERROR(IF(ISNUMBER($P673),IF($P673&gt;19000000,DATE(INT($P673/10000),MOD(INT($P673/100),100),MOD($P673,100)),INT($P673)),IF(LEN(SUBSTITUTE(SUBSTITUTE(SUBSTITUTE(TRIM($P673),"-",""),".",""),"/",""))=8,DATE(VALUE(LEFT(SUBSTITUTE(SUBSTITUTE(SUBSTITUTE(TRIM($P673),"-",""),".",""),"/",""),4)),VALUE(MID(SUBSTITUTE(SUBSTITUTE(SUBSTITUTE(TRIM($P673),"-",""),".",""),"/",""),5,2)),VALUE(RIGHT(SUBSTITUTE(SUBSTITUTE(SUBSTITUTE(TRIM($P673),"-",""),".",""),"/",""),2))),DATEVALUE($P673))),""))</f>
        <v/>
      </c>
      <c r="Y673" s="56" t="str">
        <f aca="false">IF($M673="","",IFERROR(INDEX(강사DB!$D$4:$D$53,MATCH($M673,강사DB!$A$4:$A$53,0)),""))</f>
        <v/>
      </c>
      <c r="Z673" s="56" t="str">
        <f aca="false">IF($B673&lt;&gt;"결제완료","",IF(OR($Y673="",$J673=""),"",$Y673*$J673+MAX(0,N($K673)-1)*설정!$J$7))</f>
        <v/>
      </c>
      <c r="AA673" s="56" t="str">
        <f aca="false">IF(AND($D673&lt;&gt;"",$B673="결제완료"),N($N673),"")</f>
        <v/>
      </c>
      <c r="AB673" s="45" t="str">
        <f aca="false">IF($D673="","",IF($F673&lt;&gt;"",$F673,$D673)&amp;IF($B673="상담중"," (상담)",""))</f>
        <v/>
      </c>
      <c r="AC673" s="45" t="n">
        <f aca="false">IF(AND($D673&lt;&gt;"",OR($B673="결제완료",$B673="상담중")),1,0)</f>
        <v>0</v>
      </c>
      <c r="AD673" s="45" t="n">
        <f aca="false">IF(OR($Z673="",$U673=""),0,IFERROR(IF(COUNTIFS(INDEX(g_grid,0,2*MATCH($M673,강사DB!$A$4:$A$15,0)),"&lt;&gt;",g_s,"&lt;="&amp;$U673,g_e,"&gt;="&amp;$U673)&gt;0,1,0),0))</f>
        <v>0</v>
      </c>
      <c r="AE673" s="48"/>
      <c r="AF673" s="56" t="str">
        <f aca="false">IF(AND($D673&lt;&gt;"",$B673="결제완료",$T673="대여"),설정!$J$5,"")</f>
        <v/>
      </c>
      <c r="AG673" s="54" t="str">
        <f aca="false">IF($D673="","",IF(AND($E673="",$R673=""),$AB673,"☎ "&amp;IF($E673="","-",$E673)&amp;IF($R673&lt;&gt;"","  ※ "&amp;$R673,"")&amp;IF($B673="상담중"," (상담)","")))</f>
        <v/>
      </c>
      <c r="AH673" s="56" t="str">
        <f aca="false">IF(AND($D673&lt;&gt;"",$B673="결제완료",$O673="스마트스토어"),ROUND(N($N673)*설정!$J$6,0),"")</f>
        <v/>
      </c>
      <c r="AI673" s="54" t="str">
        <f aca="false">IF($D673="","",ROW())</f>
        <v/>
      </c>
      <c r="AJ673" s="54" t="n">
        <f aca="false">IF(OR($AC673&lt;&gt;1,$M673=""),0,IF(ISNUMBER(SEARCH("퇴사",IFERROR(INDEX(강사DB!$G$4:$G$53,MATCH($M673,강사DB!$A$4:$A$53,0)),""))),1,0))</f>
        <v>0</v>
      </c>
    </row>
    <row r="674" customFormat="false" ht="15" hidden="false" customHeight="false" outlineLevel="0" collapsed="false">
      <c r="A674" s="45" t="str">
        <f aca="false">IF($D674="","",COUNTA($D$5:$D674))</f>
        <v/>
      </c>
      <c r="B674" s="46"/>
      <c r="C674" s="47"/>
      <c r="D674" s="48"/>
      <c r="E674" s="48"/>
      <c r="F674" s="49"/>
      <c r="G674" s="47"/>
      <c r="H674" s="50"/>
      <c r="I674" s="50"/>
      <c r="J674" s="51" t="str">
        <f aca="false">IF(OR($V674="",$W674=""),"",ROUND(($W674-$V674)/60,2))</f>
        <v/>
      </c>
      <c r="K674" s="52" t="str">
        <f aca="false">IF($F674="","",LEN($F674)-LEN(SUBSTITUTE($F674,",",""))+1)</f>
        <v/>
      </c>
      <c r="L674" s="45" t="str">
        <f aca="false">IF($K674="","","1:"&amp;$K674)</f>
        <v/>
      </c>
      <c r="M674" s="46"/>
      <c r="N674" s="53"/>
      <c r="O674" s="46"/>
      <c r="P674" s="47"/>
      <c r="Q674" s="48"/>
      <c r="R674" s="49"/>
      <c r="S674" s="54" t="str">
        <f aca="false">IF(OR($AC674=0,$U674="",$M674="",$V674="",$W674=""),"",IF(COUNTIFS(m_teacher,$M674,m_date,$U674,m_active,1,m_start,"&lt;"&amp;$W674,m_end,"&gt;"&amp;$V674)&gt;1,"충돌",""))</f>
        <v/>
      </c>
      <c r="T674" s="48"/>
      <c r="U674" s="55" t="str">
        <f aca="false">IF($G674="","",IFERROR(IF(ISNUMBER($G674),IF($G674&gt;19000000,DATE(INT($G674/10000),MOD(INT($G674/100),100),MOD($G674,100)),INT($G674)),IF(LEN(SUBSTITUTE(SUBSTITUTE(SUBSTITUTE(TRIM($G674),"-",""),".",""),"/",""))=8,DATE(VALUE(LEFT(SUBSTITUTE(SUBSTITUTE(SUBSTITUTE(TRIM($G674),"-",""),".",""),"/",""),4)),VALUE(MID(SUBSTITUTE(SUBSTITUTE(SUBSTITUTE(TRIM($G674),"-",""),".",""),"/",""),5,2)),VALUE(RIGHT(SUBSTITUTE(SUBSTITUTE(SUBSTITUTE(TRIM($G674),"-",""),".",""),"/",""),2))),DATEVALUE($G674))),""))</f>
        <v/>
      </c>
      <c r="V674" s="52" t="str">
        <f aca="false">IF($H674="","",IFERROR(IF(IF(ISNUMBER($H674),$H674,IFERROR(TIMEVALUE($H674),VALUE($H674)))&gt;=100,INT(IF(ISNUMBER($H674),$H674,IFERROR(TIMEVALUE($H674),VALUE($H674)))/100)*60+MOD(IF(ISNUMBER($H674),$H674,IFERROR(TIMEVALUE($H674),VALUE($H674))),100),IF(IF(ISNUMBER($H674),$H674,IFERROR(TIMEVALUE($H674),VALUE($H674)))&gt;=1,ROUND(IF(ISNUMBER($H674),$H674,IFERROR(TIMEVALUE($H674),VALUE($H674)))*60,0),ROUND(MOD(IF(ISNUMBER($H674),$H674,IFERROR(TIMEVALUE($H674),VALUE($H674))),1)*1440,0))),""))</f>
        <v/>
      </c>
      <c r="W674" s="52" t="str">
        <f aca="false">IF($I674="","",IFERROR(IF(IF(ISNUMBER($I674),$I674,IFERROR(TIMEVALUE($I674),VALUE($I674)))&gt;=100,INT(IF(ISNUMBER($I674),$I674,IFERROR(TIMEVALUE($I674),VALUE($I674)))/100)*60+MOD(IF(ISNUMBER($I674),$I674,IFERROR(TIMEVALUE($I674),VALUE($I674))),100),IF(IF(ISNUMBER($I674),$I674,IFERROR(TIMEVALUE($I674),VALUE($I674)))&gt;=1,ROUND(IF(ISNUMBER($I674),$I674,IFERROR(TIMEVALUE($I674),VALUE($I674)))*60,0),ROUND(MOD(IF(ISNUMBER($I674),$I674,IFERROR(TIMEVALUE($I674),VALUE($I674))),1)*1440,0))),""))</f>
        <v/>
      </c>
      <c r="X674" s="55" t="str">
        <f aca="false">IF($P674="","",IFERROR(IF(ISNUMBER($P674),IF($P674&gt;19000000,DATE(INT($P674/10000),MOD(INT($P674/100),100),MOD($P674,100)),INT($P674)),IF(LEN(SUBSTITUTE(SUBSTITUTE(SUBSTITUTE(TRIM($P674),"-",""),".",""),"/",""))=8,DATE(VALUE(LEFT(SUBSTITUTE(SUBSTITUTE(SUBSTITUTE(TRIM($P674),"-",""),".",""),"/",""),4)),VALUE(MID(SUBSTITUTE(SUBSTITUTE(SUBSTITUTE(TRIM($P674),"-",""),".",""),"/",""),5,2)),VALUE(RIGHT(SUBSTITUTE(SUBSTITUTE(SUBSTITUTE(TRIM($P674),"-",""),".",""),"/",""),2))),DATEVALUE($P674))),""))</f>
        <v/>
      </c>
      <c r="Y674" s="56" t="str">
        <f aca="false">IF($M674="","",IFERROR(INDEX(강사DB!$D$4:$D$53,MATCH($M674,강사DB!$A$4:$A$53,0)),""))</f>
        <v/>
      </c>
      <c r="Z674" s="56" t="str">
        <f aca="false">IF($B674&lt;&gt;"결제완료","",IF(OR($Y674="",$J674=""),"",$Y674*$J674+MAX(0,N($K674)-1)*설정!$J$7))</f>
        <v/>
      </c>
      <c r="AA674" s="56" t="str">
        <f aca="false">IF(AND($D674&lt;&gt;"",$B674="결제완료"),N($N674),"")</f>
        <v/>
      </c>
      <c r="AB674" s="45" t="str">
        <f aca="false">IF($D674="","",IF($F674&lt;&gt;"",$F674,$D674)&amp;IF($B674="상담중"," (상담)",""))</f>
        <v/>
      </c>
      <c r="AC674" s="45" t="n">
        <f aca="false">IF(AND($D674&lt;&gt;"",OR($B674="결제완료",$B674="상담중")),1,0)</f>
        <v>0</v>
      </c>
      <c r="AD674" s="45" t="n">
        <f aca="false">IF(OR($Z674="",$U674=""),0,IFERROR(IF(COUNTIFS(INDEX(g_grid,0,2*MATCH($M674,강사DB!$A$4:$A$15,0)),"&lt;&gt;",g_s,"&lt;="&amp;$U674,g_e,"&gt;="&amp;$U674)&gt;0,1,0),0))</f>
        <v>0</v>
      </c>
      <c r="AE674" s="48"/>
      <c r="AF674" s="56" t="str">
        <f aca="false">IF(AND($D674&lt;&gt;"",$B674="결제완료",$T674="대여"),설정!$J$5,"")</f>
        <v/>
      </c>
      <c r="AG674" s="54" t="str">
        <f aca="false">IF($D674="","",IF(AND($E674="",$R674=""),$AB674,"☎ "&amp;IF($E674="","-",$E674)&amp;IF($R674&lt;&gt;"","  ※ "&amp;$R674,"")&amp;IF($B674="상담중"," (상담)","")))</f>
        <v/>
      </c>
      <c r="AH674" s="56" t="str">
        <f aca="false">IF(AND($D674&lt;&gt;"",$B674="결제완료",$O674="스마트스토어"),ROUND(N($N674)*설정!$J$6,0),"")</f>
        <v/>
      </c>
      <c r="AI674" s="54" t="str">
        <f aca="false">IF($D674="","",ROW())</f>
        <v/>
      </c>
      <c r="AJ674" s="54" t="n">
        <f aca="false">IF(OR($AC674&lt;&gt;1,$M674=""),0,IF(ISNUMBER(SEARCH("퇴사",IFERROR(INDEX(강사DB!$G$4:$G$53,MATCH($M674,강사DB!$A$4:$A$53,0)),""))),1,0))</f>
        <v>0</v>
      </c>
    </row>
    <row r="675" customFormat="false" ht="15" hidden="false" customHeight="false" outlineLevel="0" collapsed="false">
      <c r="A675" s="45" t="str">
        <f aca="false">IF($D675="","",COUNTA($D$5:$D675))</f>
        <v/>
      </c>
      <c r="B675" s="46"/>
      <c r="C675" s="47"/>
      <c r="D675" s="48"/>
      <c r="E675" s="48"/>
      <c r="F675" s="49"/>
      <c r="G675" s="47"/>
      <c r="H675" s="50"/>
      <c r="I675" s="50"/>
      <c r="J675" s="51" t="str">
        <f aca="false">IF(OR($V675="",$W675=""),"",ROUND(($W675-$V675)/60,2))</f>
        <v/>
      </c>
      <c r="K675" s="52" t="str">
        <f aca="false">IF($F675="","",LEN($F675)-LEN(SUBSTITUTE($F675,",",""))+1)</f>
        <v/>
      </c>
      <c r="L675" s="45" t="str">
        <f aca="false">IF($K675="","","1:"&amp;$K675)</f>
        <v/>
      </c>
      <c r="M675" s="46"/>
      <c r="N675" s="53"/>
      <c r="O675" s="46"/>
      <c r="P675" s="47"/>
      <c r="Q675" s="48"/>
      <c r="R675" s="49"/>
      <c r="S675" s="54" t="str">
        <f aca="false">IF(OR($AC675=0,$U675="",$M675="",$V675="",$W675=""),"",IF(COUNTIFS(m_teacher,$M675,m_date,$U675,m_active,1,m_start,"&lt;"&amp;$W675,m_end,"&gt;"&amp;$V675)&gt;1,"충돌",""))</f>
        <v/>
      </c>
      <c r="T675" s="48"/>
      <c r="U675" s="55" t="str">
        <f aca="false">IF($G675="","",IFERROR(IF(ISNUMBER($G675),IF($G675&gt;19000000,DATE(INT($G675/10000),MOD(INT($G675/100),100),MOD($G675,100)),INT($G675)),IF(LEN(SUBSTITUTE(SUBSTITUTE(SUBSTITUTE(TRIM($G675),"-",""),".",""),"/",""))=8,DATE(VALUE(LEFT(SUBSTITUTE(SUBSTITUTE(SUBSTITUTE(TRIM($G675),"-",""),".",""),"/",""),4)),VALUE(MID(SUBSTITUTE(SUBSTITUTE(SUBSTITUTE(TRIM($G675),"-",""),".",""),"/",""),5,2)),VALUE(RIGHT(SUBSTITUTE(SUBSTITUTE(SUBSTITUTE(TRIM($G675),"-",""),".",""),"/",""),2))),DATEVALUE($G675))),""))</f>
        <v/>
      </c>
      <c r="V675" s="52" t="str">
        <f aca="false">IF($H675="","",IFERROR(IF(IF(ISNUMBER($H675),$H675,IFERROR(TIMEVALUE($H675),VALUE($H675)))&gt;=100,INT(IF(ISNUMBER($H675),$H675,IFERROR(TIMEVALUE($H675),VALUE($H675)))/100)*60+MOD(IF(ISNUMBER($H675),$H675,IFERROR(TIMEVALUE($H675),VALUE($H675))),100),IF(IF(ISNUMBER($H675),$H675,IFERROR(TIMEVALUE($H675),VALUE($H675)))&gt;=1,ROUND(IF(ISNUMBER($H675),$H675,IFERROR(TIMEVALUE($H675),VALUE($H675)))*60,0),ROUND(MOD(IF(ISNUMBER($H675),$H675,IFERROR(TIMEVALUE($H675),VALUE($H675))),1)*1440,0))),""))</f>
        <v/>
      </c>
      <c r="W675" s="52" t="str">
        <f aca="false">IF($I675="","",IFERROR(IF(IF(ISNUMBER($I675),$I675,IFERROR(TIMEVALUE($I675),VALUE($I675)))&gt;=100,INT(IF(ISNUMBER($I675),$I675,IFERROR(TIMEVALUE($I675),VALUE($I675)))/100)*60+MOD(IF(ISNUMBER($I675),$I675,IFERROR(TIMEVALUE($I675),VALUE($I675))),100),IF(IF(ISNUMBER($I675),$I675,IFERROR(TIMEVALUE($I675),VALUE($I675)))&gt;=1,ROUND(IF(ISNUMBER($I675),$I675,IFERROR(TIMEVALUE($I675),VALUE($I675)))*60,0),ROUND(MOD(IF(ISNUMBER($I675),$I675,IFERROR(TIMEVALUE($I675),VALUE($I675))),1)*1440,0))),""))</f>
        <v/>
      </c>
      <c r="X675" s="55" t="str">
        <f aca="false">IF($P675="","",IFERROR(IF(ISNUMBER($P675),IF($P675&gt;19000000,DATE(INT($P675/10000),MOD(INT($P675/100),100),MOD($P675,100)),INT($P675)),IF(LEN(SUBSTITUTE(SUBSTITUTE(SUBSTITUTE(TRIM($P675),"-",""),".",""),"/",""))=8,DATE(VALUE(LEFT(SUBSTITUTE(SUBSTITUTE(SUBSTITUTE(TRIM($P675),"-",""),".",""),"/",""),4)),VALUE(MID(SUBSTITUTE(SUBSTITUTE(SUBSTITUTE(TRIM($P675),"-",""),".",""),"/",""),5,2)),VALUE(RIGHT(SUBSTITUTE(SUBSTITUTE(SUBSTITUTE(TRIM($P675),"-",""),".",""),"/",""),2))),DATEVALUE($P675))),""))</f>
        <v/>
      </c>
      <c r="Y675" s="56" t="str">
        <f aca="false">IF($M675="","",IFERROR(INDEX(강사DB!$D$4:$D$53,MATCH($M675,강사DB!$A$4:$A$53,0)),""))</f>
        <v/>
      </c>
      <c r="Z675" s="56" t="str">
        <f aca="false">IF($B675&lt;&gt;"결제완료","",IF(OR($Y675="",$J675=""),"",$Y675*$J675+MAX(0,N($K675)-1)*설정!$J$7))</f>
        <v/>
      </c>
      <c r="AA675" s="56" t="str">
        <f aca="false">IF(AND($D675&lt;&gt;"",$B675="결제완료"),N($N675),"")</f>
        <v/>
      </c>
      <c r="AB675" s="45" t="str">
        <f aca="false">IF($D675="","",IF($F675&lt;&gt;"",$F675,$D675)&amp;IF($B675="상담중"," (상담)",""))</f>
        <v/>
      </c>
      <c r="AC675" s="45" t="n">
        <f aca="false">IF(AND($D675&lt;&gt;"",OR($B675="결제완료",$B675="상담중")),1,0)</f>
        <v>0</v>
      </c>
      <c r="AD675" s="45" t="n">
        <f aca="false">IF(OR($Z675="",$U675=""),0,IFERROR(IF(COUNTIFS(INDEX(g_grid,0,2*MATCH($M675,강사DB!$A$4:$A$15,0)),"&lt;&gt;",g_s,"&lt;="&amp;$U675,g_e,"&gt;="&amp;$U675)&gt;0,1,0),0))</f>
        <v>0</v>
      </c>
      <c r="AE675" s="48"/>
      <c r="AF675" s="56" t="str">
        <f aca="false">IF(AND($D675&lt;&gt;"",$B675="결제완료",$T675="대여"),설정!$J$5,"")</f>
        <v/>
      </c>
      <c r="AG675" s="54" t="str">
        <f aca="false">IF($D675="","",IF(AND($E675="",$R675=""),$AB675,"☎ "&amp;IF($E675="","-",$E675)&amp;IF($R675&lt;&gt;"","  ※ "&amp;$R675,"")&amp;IF($B675="상담중"," (상담)","")))</f>
        <v/>
      </c>
      <c r="AH675" s="56" t="str">
        <f aca="false">IF(AND($D675&lt;&gt;"",$B675="결제완료",$O675="스마트스토어"),ROUND(N($N675)*설정!$J$6,0),"")</f>
        <v/>
      </c>
      <c r="AI675" s="54" t="str">
        <f aca="false">IF($D675="","",ROW())</f>
        <v/>
      </c>
      <c r="AJ675" s="54" t="n">
        <f aca="false">IF(OR($AC675&lt;&gt;1,$M675=""),0,IF(ISNUMBER(SEARCH("퇴사",IFERROR(INDEX(강사DB!$G$4:$G$53,MATCH($M675,강사DB!$A$4:$A$53,0)),""))),1,0))</f>
        <v>0</v>
      </c>
    </row>
    <row r="676" customFormat="false" ht="15" hidden="false" customHeight="false" outlineLevel="0" collapsed="false">
      <c r="A676" s="45" t="str">
        <f aca="false">IF($D676="","",COUNTA($D$5:$D676))</f>
        <v/>
      </c>
      <c r="B676" s="46"/>
      <c r="C676" s="47"/>
      <c r="D676" s="48"/>
      <c r="E676" s="48"/>
      <c r="F676" s="49"/>
      <c r="G676" s="47"/>
      <c r="H676" s="50"/>
      <c r="I676" s="50"/>
      <c r="J676" s="51" t="str">
        <f aca="false">IF(OR($V676="",$W676=""),"",ROUND(($W676-$V676)/60,2))</f>
        <v/>
      </c>
      <c r="K676" s="52" t="str">
        <f aca="false">IF($F676="","",LEN($F676)-LEN(SUBSTITUTE($F676,",",""))+1)</f>
        <v/>
      </c>
      <c r="L676" s="45" t="str">
        <f aca="false">IF($K676="","","1:"&amp;$K676)</f>
        <v/>
      </c>
      <c r="M676" s="46"/>
      <c r="N676" s="53"/>
      <c r="O676" s="46"/>
      <c r="P676" s="47"/>
      <c r="Q676" s="48"/>
      <c r="R676" s="49"/>
      <c r="S676" s="54" t="str">
        <f aca="false">IF(OR($AC676=0,$U676="",$M676="",$V676="",$W676=""),"",IF(COUNTIFS(m_teacher,$M676,m_date,$U676,m_active,1,m_start,"&lt;"&amp;$W676,m_end,"&gt;"&amp;$V676)&gt;1,"충돌",""))</f>
        <v/>
      </c>
      <c r="T676" s="48"/>
      <c r="U676" s="55" t="str">
        <f aca="false">IF($G676="","",IFERROR(IF(ISNUMBER($G676),IF($G676&gt;19000000,DATE(INT($G676/10000),MOD(INT($G676/100),100),MOD($G676,100)),INT($G676)),IF(LEN(SUBSTITUTE(SUBSTITUTE(SUBSTITUTE(TRIM($G676),"-",""),".",""),"/",""))=8,DATE(VALUE(LEFT(SUBSTITUTE(SUBSTITUTE(SUBSTITUTE(TRIM($G676),"-",""),".",""),"/",""),4)),VALUE(MID(SUBSTITUTE(SUBSTITUTE(SUBSTITUTE(TRIM($G676),"-",""),".",""),"/",""),5,2)),VALUE(RIGHT(SUBSTITUTE(SUBSTITUTE(SUBSTITUTE(TRIM($G676),"-",""),".",""),"/",""),2))),DATEVALUE($G676))),""))</f>
        <v/>
      </c>
      <c r="V676" s="52" t="str">
        <f aca="false">IF($H676="","",IFERROR(IF(IF(ISNUMBER($H676),$H676,IFERROR(TIMEVALUE($H676),VALUE($H676)))&gt;=100,INT(IF(ISNUMBER($H676),$H676,IFERROR(TIMEVALUE($H676),VALUE($H676)))/100)*60+MOD(IF(ISNUMBER($H676),$H676,IFERROR(TIMEVALUE($H676),VALUE($H676))),100),IF(IF(ISNUMBER($H676),$H676,IFERROR(TIMEVALUE($H676),VALUE($H676)))&gt;=1,ROUND(IF(ISNUMBER($H676),$H676,IFERROR(TIMEVALUE($H676),VALUE($H676)))*60,0),ROUND(MOD(IF(ISNUMBER($H676),$H676,IFERROR(TIMEVALUE($H676),VALUE($H676))),1)*1440,0))),""))</f>
        <v/>
      </c>
      <c r="W676" s="52" t="str">
        <f aca="false">IF($I676="","",IFERROR(IF(IF(ISNUMBER($I676),$I676,IFERROR(TIMEVALUE($I676),VALUE($I676)))&gt;=100,INT(IF(ISNUMBER($I676),$I676,IFERROR(TIMEVALUE($I676),VALUE($I676)))/100)*60+MOD(IF(ISNUMBER($I676),$I676,IFERROR(TIMEVALUE($I676),VALUE($I676))),100),IF(IF(ISNUMBER($I676),$I676,IFERROR(TIMEVALUE($I676),VALUE($I676)))&gt;=1,ROUND(IF(ISNUMBER($I676),$I676,IFERROR(TIMEVALUE($I676),VALUE($I676)))*60,0),ROUND(MOD(IF(ISNUMBER($I676),$I676,IFERROR(TIMEVALUE($I676),VALUE($I676))),1)*1440,0))),""))</f>
        <v/>
      </c>
      <c r="X676" s="55" t="str">
        <f aca="false">IF($P676="","",IFERROR(IF(ISNUMBER($P676),IF($P676&gt;19000000,DATE(INT($P676/10000),MOD(INT($P676/100),100),MOD($P676,100)),INT($P676)),IF(LEN(SUBSTITUTE(SUBSTITUTE(SUBSTITUTE(TRIM($P676),"-",""),".",""),"/",""))=8,DATE(VALUE(LEFT(SUBSTITUTE(SUBSTITUTE(SUBSTITUTE(TRIM($P676),"-",""),".",""),"/",""),4)),VALUE(MID(SUBSTITUTE(SUBSTITUTE(SUBSTITUTE(TRIM($P676),"-",""),".",""),"/",""),5,2)),VALUE(RIGHT(SUBSTITUTE(SUBSTITUTE(SUBSTITUTE(TRIM($P676),"-",""),".",""),"/",""),2))),DATEVALUE($P676))),""))</f>
        <v/>
      </c>
      <c r="Y676" s="56" t="str">
        <f aca="false">IF($M676="","",IFERROR(INDEX(강사DB!$D$4:$D$53,MATCH($M676,강사DB!$A$4:$A$53,0)),""))</f>
        <v/>
      </c>
      <c r="Z676" s="56" t="str">
        <f aca="false">IF($B676&lt;&gt;"결제완료","",IF(OR($Y676="",$J676=""),"",$Y676*$J676+MAX(0,N($K676)-1)*설정!$J$7))</f>
        <v/>
      </c>
      <c r="AA676" s="56" t="str">
        <f aca="false">IF(AND($D676&lt;&gt;"",$B676="결제완료"),N($N676),"")</f>
        <v/>
      </c>
      <c r="AB676" s="45" t="str">
        <f aca="false">IF($D676="","",IF($F676&lt;&gt;"",$F676,$D676)&amp;IF($B676="상담중"," (상담)",""))</f>
        <v/>
      </c>
      <c r="AC676" s="45" t="n">
        <f aca="false">IF(AND($D676&lt;&gt;"",OR($B676="결제완료",$B676="상담중")),1,0)</f>
        <v>0</v>
      </c>
      <c r="AD676" s="45" t="n">
        <f aca="false">IF(OR($Z676="",$U676=""),0,IFERROR(IF(COUNTIFS(INDEX(g_grid,0,2*MATCH($M676,강사DB!$A$4:$A$15,0)),"&lt;&gt;",g_s,"&lt;="&amp;$U676,g_e,"&gt;="&amp;$U676)&gt;0,1,0),0))</f>
        <v>0</v>
      </c>
      <c r="AE676" s="48"/>
      <c r="AF676" s="56" t="str">
        <f aca="false">IF(AND($D676&lt;&gt;"",$B676="결제완료",$T676="대여"),설정!$J$5,"")</f>
        <v/>
      </c>
      <c r="AG676" s="54" t="str">
        <f aca="false">IF($D676="","",IF(AND($E676="",$R676=""),$AB676,"☎ "&amp;IF($E676="","-",$E676)&amp;IF($R676&lt;&gt;"","  ※ "&amp;$R676,"")&amp;IF($B676="상담중"," (상담)","")))</f>
        <v/>
      </c>
      <c r="AH676" s="56" t="str">
        <f aca="false">IF(AND($D676&lt;&gt;"",$B676="결제완료",$O676="스마트스토어"),ROUND(N($N676)*설정!$J$6,0),"")</f>
        <v/>
      </c>
      <c r="AI676" s="54" t="str">
        <f aca="false">IF($D676="","",ROW())</f>
        <v/>
      </c>
      <c r="AJ676" s="54" t="n">
        <f aca="false">IF(OR($AC676&lt;&gt;1,$M676=""),0,IF(ISNUMBER(SEARCH("퇴사",IFERROR(INDEX(강사DB!$G$4:$G$53,MATCH($M676,강사DB!$A$4:$A$53,0)),""))),1,0))</f>
        <v>0</v>
      </c>
    </row>
    <row r="677" customFormat="false" ht="15" hidden="false" customHeight="false" outlineLevel="0" collapsed="false">
      <c r="A677" s="45" t="str">
        <f aca="false">IF($D677="","",COUNTA($D$5:$D677))</f>
        <v/>
      </c>
      <c r="B677" s="46"/>
      <c r="C677" s="47"/>
      <c r="D677" s="48"/>
      <c r="E677" s="48"/>
      <c r="F677" s="49"/>
      <c r="G677" s="47"/>
      <c r="H677" s="50"/>
      <c r="I677" s="50"/>
      <c r="J677" s="51" t="str">
        <f aca="false">IF(OR($V677="",$W677=""),"",ROUND(($W677-$V677)/60,2))</f>
        <v/>
      </c>
      <c r="K677" s="52" t="str">
        <f aca="false">IF($F677="","",LEN($F677)-LEN(SUBSTITUTE($F677,",",""))+1)</f>
        <v/>
      </c>
      <c r="L677" s="45" t="str">
        <f aca="false">IF($K677="","","1:"&amp;$K677)</f>
        <v/>
      </c>
      <c r="M677" s="46"/>
      <c r="N677" s="53"/>
      <c r="O677" s="46"/>
      <c r="P677" s="47"/>
      <c r="Q677" s="48"/>
      <c r="R677" s="49"/>
      <c r="S677" s="54" t="str">
        <f aca="false">IF(OR($AC677=0,$U677="",$M677="",$V677="",$W677=""),"",IF(COUNTIFS(m_teacher,$M677,m_date,$U677,m_active,1,m_start,"&lt;"&amp;$W677,m_end,"&gt;"&amp;$V677)&gt;1,"충돌",""))</f>
        <v/>
      </c>
      <c r="T677" s="48"/>
      <c r="U677" s="55" t="str">
        <f aca="false">IF($G677="","",IFERROR(IF(ISNUMBER($G677),IF($G677&gt;19000000,DATE(INT($G677/10000),MOD(INT($G677/100),100),MOD($G677,100)),INT($G677)),IF(LEN(SUBSTITUTE(SUBSTITUTE(SUBSTITUTE(TRIM($G677),"-",""),".",""),"/",""))=8,DATE(VALUE(LEFT(SUBSTITUTE(SUBSTITUTE(SUBSTITUTE(TRIM($G677),"-",""),".",""),"/",""),4)),VALUE(MID(SUBSTITUTE(SUBSTITUTE(SUBSTITUTE(TRIM($G677),"-",""),".",""),"/",""),5,2)),VALUE(RIGHT(SUBSTITUTE(SUBSTITUTE(SUBSTITUTE(TRIM($G677),"-",""),".",""),"/",""),2))),DATEVALUE($G677))),""))</f>
        <v/>
      </c>
      <c r="V677" s="52" t="str">
        <f aca="false">IF($H677="","",IFERROR(IF(IF(ISNUMBER($H677),$H677,IFERROR(TIMEVALUE($H677),VALUE($H677)))&gt;=100,INT(IF(ISNUMBER($H677),$H677,IFERROR(TIMEVALUE($H677),VALUE($H677)))/100)*60+MOD(IF(ISNUMBER($H677),$H677,IFERROR(TIMEVALUE($H677),VALUE($H677))),100),IF(IF(ISNUMBER($H677),$H677,IFERROR(TIMEVALUE($H677),VALUE($H677)))&gt;=1,ROUND(IF(ISNUMBER($H677),$H677,IFERROR(TIMEVALUE($H677),VALUE($H677)))*60,0),ROUND(MOD(IF(ISNUMBER($H677),$H677,IFERROR(TIMEVALUE($H677),VALUE($H677))),1)*1440,0))),""))</f>
        <v/>
      </c>
      <c r="W677" s="52" t="str">
        <f aca="false">IF($I677="","",IFERROR(IF(IF(ISNUMBER($I677),$I677,IFERROR(TIMEVALUE($I677),VALUE($I677)))&gt;=100,INT(IF(ISNUMBER($I677),$I677,IFERROR(TIMEVALUE($I677),VALUE($I677)))/100)*60+MOD(IF(ISNUMBER($I677),$I677,IFERROR(TIMEVALUE($I677),VALUE($I677))),100),IF(IF(ISNUMBER($I677),$I677,IFERROR(TIMEVALUE($I677),VALUE($I677)))&gt;=1,ROUND(IF(ISNUMBER($I677),$I677,IFERROR(TIMEVALUE($I677),VALUE($I677)))*60,0),ROUND(MOD(IF(ISNUMBER($I677),$I677,IFERROR(TIMEVALUE($I677),VALUE($I677))),1)*1440,0))),""))</f>
        <v/>
      </c>
      <c r="X677" s="55" t="str">
        <f aca="false">IF($P677="","",IFERROR(IF(ISNUMBER($P677),IF($P677&gt;19000000,DATE(INT($P677/10000),MOD(INT($P677/100),100),MOD($P677,100)),INT($P677)),IF(LEN(SUBSTITUTE(SUBSTITUTE(SUBSTITUTE(TRIM($P677),"-",""),".",""),"/",""))=8,DATE(VALUE(LEFT(SUBSTITUTE(SUBSTITUTE(SUBSTITUTE(TRIM($P677),"-",""),".",""),"/",""),4)),VALUE(MID(SUBSTITUTE(SUBSTITUTE(SUBSTITUTE(TRIM($P677),"-",""),".",""),"/",""),5,2)),VALUE(RIGHT(SUBSTITUTE(SUBSTITUTE(SUBSTITUTE(TRIM($P677),"-",""),".",""),"/",""),2))),DATEVALUE($P677))),""))</f>
        <v/>
      </c>
      <c r="Y677" s="56" t="str">
        <f aca="false">IF($M677="","",IFERROR(INDEX(강사DB!$D$4:$D$53,MATCH($M677,강사DB!$A$4:$A$53,0)),""))</f>
        <v/>
      </c>
      <c r="Z677" s="56" t="str">
        <f aca="false">IF($B677&lt;&gt;"결제완료","",IF(OR($Y677="",$J677=""),"",$Y677*$J677+MAX(0,N($K677)-1)*설정!$J$7))</f>
        <v/>
      </c>
      <c r="AA677" s="56" t="str">
        <f aca="false">IF(AND($D677&lt;&gt;"",$B677="결제완료"),N($N677),"")</f>
        <v/>
      </c>
      <c r="AB677" s="45" t="str">
        <f aca="false">IF($D677="","",IF($F677&lt;&gt;"",$F677,$D677)&amp;IF($B677="상담중"," (상담)",""))</f>
        <v/>
      </c>
      <c r="AC677" s="45" t="n">
        <f aca="false">IF(AND($D677&lt;&gt;"",OR($B677="결제완료",$B677="상담중")),1,0)</f>
        <v>0</v>
      </c>
      <c r="AD677" s="45" t="n">
        <f aca="false">IF(OR($Z677="",$U677=""),0,IFERROR(IF(COUNTIFS(INDEX(g_grid,0,2*MATCH($M677,강사DB!$A$4:$A$15,0)),"&lt;&gt;",g_s,"&lt;="&amp;$U677,g_e,"&gt;="&amp;$U677)&gt;0,1,0),0))</f>
        <v>0</v>
      </c>
      <c r="AE677" s="48"/>
      <c r="AF677" s="56" t="str">
        <f aca="false">IF(AND($D677&lt;&gt;"",$B677="결제완료",$T677="대여"),설정!$J$5,"")</f>
        <v/>
      </c>
      <c r="AG677" s="54" t="str">
        <f aca="false">IF($D677="","",IF(AND($E677="",$R677=""),$AB677,"☎ "&amp;IF($E677="","-",$E677)&amp;IF($R677&lt;&gt;"","  ※ "&amp;$R677,"")&amp;IF($B677="상담중"," (상담)","")))</f>
        <v/>
      </c>
      <c r="AH677" s="56" t="str">
        <f aca="false">IF(AND($D677&lt;&gt;"",$B677="결제완료",$O677="스마트스토어"),ROUND(N($N677)*설정!$J$6,0),"")</f>
        <v/>
      </c>
      <c r="AI677" s="54" t="str">
        <f aca="false">IF($D677="","",ROW())</f>
        <v/>
      </c>
      <c r="AJ677" s="54" t="n">
        <f aca="false">IF(OR($AC677&lt;&gt;1,$M677=""),0,IF(ISNUMBER(SEARCH("퇴사",IFERROR(INDEX(강사DB!$G$4:$G$53,MATCH($M677,강사DB!$A$4:$A$53,0)),""))),1,0))</f>
        <v>0</v>
      </c>
    </row>
    <row r="678" customFormat="false" ht="15" hidden="false" customHeight="false" outlineLevel="0" collapsed="false">
      <c r="A678" s="45" t="str">
        <f aca="false">IF($D678="","",COUNTA($D$5:$D678))</f>
        <v/>
      </c>
      <c r="B678" s="46"/>
      <c r="C678" s="47"/>
      <c r="D678" s="48"/>
      <c r="E678" s="48"/>
      <c r="F678" s="49"/>
      <c r="G678" s="47"/>
      <c r="H678" s="50"/>
      <c r="I678" s="50"/>
      <c r="J678" s="51" t="str">
        <f aca="false">IF(OR($V678="",$W678=""),"",ROUND(($W678-$V678)/60,2))</f>
        <v/>
      </c>
      <c r="K678" s="52" t="str">
        <f aca="false">IF($F678="","",LEN($F678)-LEN(SUBSTITUTE($F678,",",""))+1)</f>
        <v/>
      </c>
      <c r="L678" s="45" t="str">
        <f aca="false">IF($K678="","","1:"&amp;$K678)</f>
        <v/>
      </c>
      <c r="M678" s="46"/>
      <c r="N678" s="53"/>
      <c r="O678" s="46"/>
      <c r="P678" s="47"/>
      <c r="Q678" s="48"/>
      <c r="R678" s="49"/>
      <c r="S678" s="54" t="str">
        <f aca="false">IF(OR($AC678=0,$U678="",$M678="",$V678="",$W678=""),"",IF(COUNTIFS(m_teacher,$M678,m_date,$U678,m_active,1,m_start,"&lt;"&amp;$W678,m_end,"&gt;"&amp;$V678)&gt;1,"충돌",""))</f>
        <v/>
      </c>
      <c r="T678" s="48"/>
      <c r="U678" s="55" t="str">
        <f aca="false">IF($G678="","",IFERROR(IF(ISNUMBER($G678),IF($G678&gt;19000000,DATE(INT($G678/10000),MOD(INT($G678/100),100),MOD($G678,100)),INT($G678)),IF(LEN(SUBSTITUTE(SUBSTITUTE(SUBSTITUTE(TRIM($G678),"-",""),".",""),"/",""))=8,DATE(VALUE(LEFT(SUBSTITUTE(SUBSTITUTE(SUBSTITUTE(TRIM($G678),"-",""),".",""),"/",""),4)),VALUE(MID(SUBSTITUTE(SUBSTITUTE(SUBSTITUTE(TRIM($G678),"-",""),".",""),"/",""),5,2)),VALUE(RIGHT(SUBSTITUTE(SUBSTITUTE(SUBSTITUTE(TRIM($G678),"-",""),".",""),"/",""),2))),DATEVALUE($G678))),""))</f>
        <v/>
      </c>
      <c r="V678" s="52" t="str">
        <f aca="false">IF($H678="","",IFERROR(IF(IF(ISNUMBER($H678),$H678,IFERROR(TIMEVALUE($H678),VALUE($H678)))&gt;=100,INT(IF(ISNUMBER($H678),$H678,IFERROR(TIMEVALUE($H678),VALUE($H678)))/100)*60+MOD(IF(ISNUMBER($H678),$H678,IFERROR(TIMEVALUE($H678),VALUE($H678))),100),IF(IF(ISNUMBER($H678),$H678,IFERROR(TIMEVALUE($H678),VALUE($H678)))&gt;=1,ROUND(IF(ISNUMBER($H678),$H678,IFERROR(TIMEVALUE($H678),VALUE($H678)))*60,0),ROUND(MOD(IF(ISNUMBER($H678),$H678,IFERROR(TIMEVALUE($H678),VALUE($H678))),1)*1440,0))),""))</f>
        <v/>
      </c>
      <c r="W678" s="52" t="str">
        <f aca="false">IF($I678="","",IFERROR(IF(IF(ISNUMBER($I678),$I678,IFERROR(TIMEVALUE($I678),VALUE($I678)))&gt;=100,INT(IF(ISNUMBER($I678),$I678,IFERROR(TIMEVALUE($I678),VALUE($I678)))/100)*60+MOD(IF(ISNUMBER($I678),$I678,IFERROR(TIMEVALUE($I678),VALUE($I678))),100),IF(IF(ISNUMBER($I678),$I678,IFERROR(TIMEVALUE($I678),VALUE($I678)))&gt;=1,ROUND(IF(ISNUMBER($I678),$I678,IFERROR(TIMEVALUE($I678),VALUE($I678)))*60,0),ROUND(MOD(IF(ISNUMBER($I678),$I678,IFERROR(TIMEVALUE($I678),VALUE($I678))),1)*1440,0))),""))</f>
        <v/>
      </c>
      <c r="X678" s="55" t="str">
        <f aca="false">IF($P678="","",IFERROR(IF(ISNUMBER($P678),IF($P678&gt;19000000,DATE(INT($P678/10000),MOD(INT($P678/100),100),MOD($P678,100)),INT($P678)),IF(LEN(SUBSTITUTE(SUBSTITUTE(SUBSTITUTE(TRIM($P678),"-",""),".",""),"/",""))=8,DATE(VALUE(LEFT(SUBSTITUTE(SUBSTITUTE(SUBSTITUTE(TRIM($P678),"-",""),".",""),"/",""),4)),VALUE(MID(SUBSTITUTE(SUBSTITUTE(SUBSTITUTE(TRIM($P678),"-",""),".",""),"/",""),5,2)),VALUE(RIGHT(SUBSTITUTE(SUBSTITUTE(SUBSTITUTE(TRIM($P678),"-",""),".",""),"/",""),2))),DATEVALUE($P678))),""))</f>
        <v/>
      </c>
      <c r="Y678" s="56" t="str">
        <f aca="false">IF($M678="","",IFERROR(INDEX(강사DB!$D$4:$D$53,MATCH($M678,강사DB!$A$4:$A$53,0)),""))</f>
        <v/>
      </c>
      <c r="Z678" s="56" t="str">
        <f aca="false">IF($B678&lt;&gt;"결제완료","",IF(OR($Y678="",$J678=""),"",$Y678*$J678+MAX(0,N($K678)-1)*설정!$J$7))</f>
        <v/>
      </c>
      <c r="AA678" s="56" t="str">
        <f aca="false">IF(AND($D678&lt;&gt;"",$B678="결제완료"),N($N678),"")</f>
        <v/>
      </c>
      <c r="AB678" s="45" t="str">
        <f aca="false">IF($D678="","",IF($F678&lt;&gt;"",$F678,$D678)&amp;IF($B678="상담중"," (상담)",""))</f>
        <v/>
      </c>
      <c r="AC678" s="45" t="n">
        <f aca="false">IF(AND($D678&lt;&gt;"",OR($B678="결제완료",$B678="상담중")),1,0)</f>
        <v>0</v>
      </c>
      <c r="AD678" s="45" t="n">
        <f aca="false">IF(OR($Z678="",$U678=""),0,IFERROR(IF(COUNTIFS(INDEX(g_grid,0,2*MATCH($M678,강사DB!$A$4:$A$15,0)),"&lt;&gt;",g_s,"&lt;="&amp;$U678,g_e,"&gt;="&amp;$U678)&gt;0,1,0),0))</f>
        <v>0</v>
      </c>
      <c r="AE678" s="48"/>
      <c r="AF678" s="56" t="str">
        <f aca="false">IF(AND($D678&lt;&gt;"",$B678="결제완료",$T678="대여"),설정!$J$5,"")</f>
        <v/>
      </c>
      <c r="AG678" s="54" t="str">
        <f aca="false">IF($D678="","",IF(AND($E678="",$R678=""),$AB678,"☎ "&amp;IF($E678="","-",$E678)&amp;IF($R678&lt;&gt;"","  ※ "&amp;$R678,"")&amp;IF($B678="상담중"," (상담)","")))</f>
        <v/>
      </c>
      <c r="AH678" s="56" t="str">
        <f aca="false">IF(AND($D678&lt;&gt;"",$B678="결제완료",$O678="스마트스토어"),ROUND(N($N678)*설정!$J$6,0),"")</f>
        <v/>
      </c>
      <c r="AI678" s="54" t="str">
        <f aca="false">IF($D678="","",ROW())</f>
        <v/>
      </c>
      <c r="AJ678" s="54" t="n">
        <f aca="false">IF(OR($AC678&lt;&gt;1,$M678=""),0,IF(ISNUMBER(SEARCH("퇴사",IFERROR(INDEX(강사DB!$G$4:$G$53,MATCH($M678,강사DB!$A$4:$A$53,0)),""))),1,0))</f>
        <v>0</v>
      </c>
    </row>
    <row r="679" customFormat="false" ht="15" hidden="false" customHeight="false" outlineLevel="0" collapsed="false">
      <c r="A679" s="45" t="str">
        <f aca="false">IF($D679="","",COUNTA($D$5:$D679))</f>
        <v/>
      </c>
      <c r="B679" s="46"/>
      <c r="C679" s="47"/>
      <c r="D679" s="48"/>
      <c r="E679" s="48"/>
      <c r="F679" s="49"/>
      <c r="G679" s="47"/>
      <c r="H679" s="50"/>
      <c r="I679" s="50"/>
      <c r="J679" s="51" t="str">
        <f aca="false">IF(OR($V679="",$W679=""),"",ROUND(($W679-$V679)/60,2))</f>
        <v/>
      </c>
      <c r="K679" s="52" t="str">
        <f aca="false">IF($F679="","",LEN($F679)-LEN(SUBSTITUTE($F679,",",""))+1)</f>
        <v/>
      </c>
      <c r="L679" s="45" t="str">
        <f aca="false">IF($K679="","","1:"&amp;$K679)</f>
        <v/>
      </c>
      <c r="M679" s="46"/>
      <c r="N679" s="53"/>
      <c r="O679" s="46"/>
      <c r="P679" s="47"/>
      <c r="Q679" s="48"/>
      <c r="R679" s="49"/>
      <c r="S679" s="54" t="str">
        <f aca="false">IF(OR($AC679=0,$U679="",$M679="",$V679="",$W679=""),"",IF(COUNTIFS(m_teacher,$M679,m_date,$U679,m_active,1,m_start,"&lt;"&amp;$W679,m_end,"&gt;"&amp;$V679)&gt;1,"충돌",""))</f>
        <v/>
      </c>
      <c r="T679" s="48"/>
      <c r="U679" s="55" t="str">
        <f aca="false">IF($G679="","",IFERROR(IF(ISNUMBER($G679),IF($G679&gt;19000000,DATE(INT($G679/10000),MOD(INT($G679/100),100),MOD($G679,100)),INT($G679)),IF(LEN(SUBSTITUTE(SUBSTITUTE(SUBSTITUTE(TRIM($G679),"-",""),".",""),"/",""))=8,DATE(VALUE(LEFT(SUBSTITUTE(SUBSTITUTE(SUBSTITUTE(TRIM($G679),"-",""),".",""),"/",""),4)),VALUE(MID(SUBSTITUTE(SUBSTITUTE(SUBSTITUTE(TRIM($G679),"-",""),".",""),"/",""),5,2)),VALUE(RIGHT(SUBSTITUTE(SUBSTITUTE(SUBSTITUTE(TRIM($G679),"-",""),".",""),"/",""),2))),DATEVALUE($G679))),""))</f>
        <v/>
      </c>
      <c r="V679" s="52" t="str">
        <f aca="false">IF($H679="","",IFERROR(IF(IF(ISNUMBER($H679),$H679,IFERROR(TIMEVALUE($H679),VALUE($H679)))&gt;=100,INT(IF(ISNUMBER($H679),$H679,IFERROR(TIMEVALUE($H679),VALUE($H679)))/100)*60+MOD(IF(ISNUMBER($H679),$H679,IFERROR(TIMEVALUE($H679),VALUE($H679))),100),IF(IF(ISNUMBER($H679),$H679,IFERROR(TIMEVALUE($H679),VALUE($H679)))&gt;=1,ROUND(IF(ISNUMBER($H679),$H679,IFERROR(TIMEVALUE($H679),VALUE($H679)))*60,0),ROUND(MOD(IF(ISNUMBER($H679),$H679,IFERROR(TIMEVALUE($H679),VALUE($H679))),1)*1440,0))),""))</f>
        <v/>
      </c>
      <c r="W679" s="52" t="str">
        <f aca="false">IF($I679="","",IFERROR(IF(IF(ISNUMBER($I679),$I679,IFERROR(TIMEVALUE($I679),VALUE($I679)))&gt;=100,INT(IF(ISNUMBER($I679),$I679,IFERROR(TIMEVALUE($I679),VALUE($I679)))/100)*60+MOD(IF(ISNUMBER($I679),$I679,IFERROR(TIMEVALUE($I679),VALUE($I679))),100),IF(IF(ISNUMBER($I679),$I679,IFERROR(TIMEVALUE($I679),VALUE($I679)))&gt;=1,ROUND(IF(ISNUMBER($I679),$I679,IFERROR(TIMEVALUE($I679),VALUE($I679)))*60,0),ROUND(MOD(IF(ISNUMBER($I679),$I679,IFERROR(TIMEVALUE($I679),VALUE($I679))),1)*1440,0))),""))</f>
        <v/>
      </c>
      <c r="X679" s="55" t="str">
        <f aca="false">IF($P679="","",IFERROR(IF(ISNUMBER($P679),IF($P679&gt;19000000,DATE(INT($P679/10000),MOD(INT($P679/100),100),MOD($P679,100)),INT($P679)),IF(LEN(SUBSTITUTE(SUBSTITUTE(SUBSTITUTE(TRIM($P679),"-",""),".",""),"/",""))=8,DATE(VALUE(LEFT(SUBSTITUTE(SUBSTITUTE(SUBSTITUTE(TRIM($P679),"-",""),".",""),"/",""),4)),VALUE(MID(SUBSTITUTE(SUBSTITUTE(SUBSTITUTE(TRIM($P679),"-",""),".",""),"/",""),5,2)),VALUE(RIGHT(SUBSTITUTE(SUBSTITUTE(SUBSTITUTE(TRIM($P679),"-",""),".",""),"/",""),2))),DATEVALUE($P679))),""))</f>
        <v/>
      </c>
      <c r="Y679" s="56" t="str">
        <f aca="false">IF($M679="","",IFERROR(INDEX(강사DB!$D$4:$D$53,MATCH($M679,강사DB!$A$4:$A$53,0)),""))</f>
        <v/>
      </c>
      <c r="Z679" s="56" t="str">
        <f aca="false">IF($B679&lt;&gt;"결제완료","",IF(OR($Y679="",$J679=""),"",$Y679*$J679+MAX(0,N($K679)-1)*설정!$J$7))</f>
        <v/>
      </c>
      <c r="AA679" s="56" t="str">
        <f aca="false">IF(AND($D679&lt;&gt;"",$B679="결제완료"),N($N679),"")</f>
        <v/>
      </c>
      <c r="AB679" s="45" t="str">
        <f aca="false">IF($D679="","",IF($F679&lt;&gt;"",$F679,$D679)&amp;IF($B679="상담중"," (상담)",""))</f>
        <v/>
      </c>
      <c r="AC679" s="45" t="n">
        <f aca="false">IF(AND($D679&lt;&gt;"",OR($B679="결제완료",$B679="상담중")),1,0)</f>
        <v>0</v>
      </c>
      <c r="AD679" s="45" t="n">
        <f aca="false">IF(OR($Z679="",$U679=""),0,IFERROR(IF(COUNTIFS(INDEX(g_grid,0,2*MATCH($M679,강사DB!$A$4:$A$15,0)),"&lt;&gt;",g_s,"&lt;="&amp;$U679,g_e,"&gt;="&amp;$U679)&gt;0,1,0),0))</f>
        <v>0</v>
      </c>
      <c r="AE679" s="48"/>
      <c r="AF679" s="56" t="str">
        <f aca="false">IF(AND($D679&lt;&gt;"",$B679="결제완료",$T679="대여"),설정!$J$5,"")</f>
        <v/>
      </c>
      <c r="AG679" s="54" t="str">
        <f aca="false">IF($D679="","",IF(AND($E679="",$R679=""),$AB679,"☎ "&amp;IF($E679="","-",$E679)&amp;IF($R679&lt;&gt;"","  ※ "&amp;$R679,"")&amp;IF($B679="상담중"," (상담)","")))</f>
        <v/>
      </c>
      <c r="AH679" s="56" t="str">
        <f aca="false">IF(AND($D679&lt;&gt;"",$B679="결제완료",$O679="스마트스토어"),ROUND(N($N679)*설정!$J$6,0),"")</f>
        <v/>
      </c>
      <c r="AI679" s="54" t="str">
        <f aca="false">IF($D679="","",ROW())</f>
        <v/>
      </c>
      <c r="AJ679" s="54" t="n">
        <f aca="false">IF(OR($AC679&lt;&gt;1,$M679=""),0,IF(ISNUMBER(SEARCH("퇴사",IFERROR(INDEX(강사DB!$G$4:$G$53,MATCH($M679,강사DB!$A$4:$A$53,0)),""))),1,0))</f>
        <v>0</v>
      </c>
    </row>
    <row r="680" customFormat="false" ht="15" hidden="false" customHeight="false" outlineLevel="0" collapsed="false">
      <c r="A680" s="45" t="str">
        <f aca="false">IF($D680="","",COUNTA($D$5:$D680))</f>
        <v/>
      </c>
      <c r="B680" s="46"/>
      <c r="C680" s="47"/>
      <c r="D680" s="48"/>
      <c r="E680" s="48"/>
      <c r="F680" s="49"/>
      <c r="G680" s="47"/>
      <c r="H680" s="50"/>
      <c r="I680" s="50"/>
      <c r="J680" s="51" t="str">
        <f aca="false">IF(OR($V680="",$W680=""),"",ROUND(($W680-$V680)/60,2))</f>
        <v/>
      </c>
      <c r="K680" s="52" t="str">
        <f aca="false">IF($F680="","",LEN($F680)-LEN(SUBSTITUTE($F680,",",""))+1)</f>
        <v/>
      </c>
      <c r="L680" s="45" t="str">
        <f aca="false">IF($K680="","","1:"&amp;$K680)</f>
        <v/>
      </c>
      <c r="M680" s="46"/>
      <c r="N680" s="53"/>
      <c r="O680" s="46"/>
      <c r="P680" s="47"/>
      <c r="Q680" s="48"/>
      <c r="R680" s="49"/>
      <c r="S680" s="54" t="str">
        <f aca="false">IF(OR($AC680=0,$U680="",$M680="",$V680="",$W680=""),"",IF(COUNTIFS(m_teacher,$M680,m_date,$U680,m_active,1,m_start,"&lt;"&amp;$W680,m_end,"&gt;"&amp;$V680)&gt;1,"충돌",""))</f>
        <v/>
      </c>
      <c r="T680" s="48"/>
      <c r="U680" s="55" t="str">
        <f aca="false">IF($G680="","",IFERROR(IF(ISNUMBER($G680),IF($G680&gt;19000000,DATE(INT($G680/10000),MOD(INT($G680/100),100),MOD($G680,100)),INT($G680)),IF(LEN(SUBSTITUTE(SUBSTITUTE(SUBSTITUTE(TRIM($G680),"-",""),".",""),"/",""))=8,DATE(VALUE(LEFT(SUBSTITUTE(SUBSTITUTE(SUBSTITUTE(TRIM($G680),"-",""),".",""),"/",""),4)),VALUE(MID(SUBSTITUTE(SUBSTITUTE(SUBSTITUTE(TRIM($G680),"-",""),".",""),"/",""),5,2)),VALUE(RIGHT(SUBSTITUTE(SUBSTITUTE(SUBSTITUTE(TRIM($G680),"-",""),".",""),"/",""),2))),DATEVALUE($G680))),""))</f>
        <v/>
      </c>
      <c r="V680" s="52" t="str">
        <f aca="false">IF($H680="","",IFERROR(IF(IF(ISNUMBER($H680),$H680,IFERROR(TIMEVALUE($H680),VALUE($H680)))&gt;=100,INT(IF(ISNUMBER($H680),$H680,IFERROR(TIMEVALUE($H680),VALUE($H680)))/100)*60+MOD(IF(ISNUMBER($H680),$H680,IFERROR(TIMEVALUE($H680),VALUE($H680))),100),IF(IF(ISNUMBER($H680),$H680,IFERROR(TIMEVALUE($H680),VALUE($H680)))&gt;=1,ROUND(IF(ISNUMBER($H680),$H680,IFERROR(TIMEVALUE($H680),VALUE($H680)))*60,0),ROUND(MOD(IF(ISNUMBER($H680),$H680,IFERROR(TIMEVALUE($H680),VALUE($H680))),1)*1440,0))),""))</f>
        <v/>
      </c>
      <c r="W680" s="52" t="str">
        <f aca="false">IF($I680="","",IFERROR(IF(IF(ISNUMBER($I680),$I680,IFERROR(TIMEVALUE($I680),VALUE($I680)))&gt;=100,INT(IF(ISNUMBER($I680),$I680,IFERROR(TIMEVALUE($I680),VALUE($I680)))/100)*60+MOD(IF(ISNUMBER($I680),$I680,IFERROR(TIMEVALUE($I680),VALUE($I680))),100),IF(IF(ISNUMBER($I680),$I680,IFERROR(TIMEVALUE($I680),VALUE($I680)))&gt;=1,ROUND(IF(ISNUMBER($I680),$I680,IFERROR(TIMEVALUE($I680),VALUE($I680)))*60,0),ROUND(MOD(IF(ISNUMBER($I680),$I680,IFERROR(TIMEVALUE($I680),VALUE($I680))),1)*1440,0))),""))</f>
        <v/>
      </c>
      <c r="X680" s="55" t="str">
        <f aca="false">IF($P680="","",IFERROR(IF(ISNUMBER($P680),IF($P680&gt;19000000,DATE(INT($P680/10000),MOD(INT($P680/100),100),MOD($P680,100)),INT($P680)),IF(LEN(SUBSTITUTE(SUBSTITUTE(SUBSTITUTE(TRIM($P680),"-",""),".",""),"/",""))=8,DATE(VALUE(LEFT(SUBSTITUTE(SUBSTITUTE(SUBSTITUTE(TRIM($P680),"-",""),".",""),"/",""),4)),VALUE(MID(SUBSTITUTE(SUBSTITUTE(SUBSTITUTE(TRIM($P680),"-",""),".",""),"/",""),5,2)),VALUE(RIGHT(SUBSTITUTE(SUBSTITUTE(SUBSTITUTE(TRIM($P680),"-",""),".",""),"/",""),2))),DATEVALUE($P680))),""))</f>
        <v/>
      </c>
      <c r="Y680" s="56" t="str">
        <f aca="false">IF($M680="","",IFERROR(INDEX(강사DB!$D$4:$D$53,MATCH($M680,강사DB!$A$4:$A$53,0)),""))</f>
        <v/>
      </c>
      <c r="Z680" s="56" t="str">
        <f aca="false">IF($B680&lt;&gt;"결제완료","",IF(OR($Y680="",$J680=""),"",$Y680*$J680+MAX(0,N($K680)-1)*설정!$J$7))</f>
        <v/>
      </c>
      <c r="AA680" s="56" t="str">
        <f aca="false">IF(AND($D680&lt;&gt;"",$B680="결제완료"),N($N680),"")</f>
        <v/>
      </c>
      <c r="AB680" s="45" t="str">
        <f aca="false">IF($D680="","",IF($F680&lt;&gt;"",$F680,$D680)&amp;IF($B680="상담중"," (상담)",""))</f>
        <v/>
      </c>
      <c r="AC680" s="45" t="n">
        <f aca="false">IF(AND($D680&lt;&gt;"",OR($B680="결제완료",$B680="상담중")),1,0)</f>
        <v>0</v>
      </c>
      <c r="AD680" s="45" t="n">
        <f aca="false">IF(OR($Z680="",$U680=""),0,IFERROR(IF(COUNTIFS(INDEX(g_grid,0,2*MATCH($M680,강사DB!$A$4:$A$15,0)),"&lt;&gt;",g_s,"&lt;="&amp;$U680,g_e,"&gt;="&amp;$U680)&gt;0,1,0),0))</f>
        <v>0</v>
      </c>
      <c r="AE680" s="48"/>
      <c r="AF680" s="56" t="str">
        <f aca="false">IF(AND($D680&lt;&gt;"",$B680="결제완료",$T680="대여"),설정!$J$5,"")</f>
        <v/>
      </c>
      <c r="AG680" s="54" t="str">
        <f aca="false">IF($D680="","",IF(AND($E680="",$R680=""),$AB680,"☎ "&amp;IF($E680="","-",$E680)&amp;IF($R680&lt;&gt;"","  ※ "&amp;$R680,"")&amp;IF($B680="상담중"," (상담)","")))</f>
        <v/>
      </c>
      <c r="AH680" s="56" t="str">
        <f aca="false">IF(AND($D680&lt;&gt;"",$B680="결제완료",$O680="스마트스토어"),ROUND(N($N680)*설정!$J$6,0),"")</f>
        <v/>
      </c>
      <c r="AI680" s="54" t="str">
        <f aca="false">IF($D680="","",ROW())</f>
        <v/>
      </c>
      <c r="AJ680" s="54" t="n">
        <f aca="false">IF(OR($AC680&lt;&gt;1,$M680=""),0,IF(ISNUMBER(SEARCH("퇴사",IFERROR(INDEX(강사DB!$G$4:$G$53,MATCH($M680,강사DB!$A$4:$A$53,0)),""))),1,0))</f>
        <v>0</v>
      </c>
    </row>
    <row r="681" customFormat="false" ht="15" hidden="false" customHeight="false" outlineLevel="0" collapsed="false">
      <c r="A681" s="45" t="str">
        <f aca="false">IF($D681="","",COUNTA($D$5:$D681))</f>
        <v/>
      </c>
      <c r="B681" s="46"/>
      <c r="C681" s="47"/>
      <c r="D681" s="48"/>
      <c r="E681" s="48"/>
      <c r="F681" s="49"/>
      <c r="G681" s="47"/>
      <c r="H681" s="50"/>
      <c r="I681" s="50"/>
      <c r="J681" s="51" t="str">
        <f aca="false">IF(OR($V681="",$W681=""),"",ROUND(($W681-$V681)/60,2))</f>
        <v/>
      </c>
      <c r="K681" s="52" t="str">
        <f aca="false">IF($F681="","",LEN($F681)-LEN(SUBSTITUTE($F681,",",""))+1)</f>
        <v/>
      </c>
      <c r="L681" s="45" t="str">
        <f aca="false">IF($K681="","","1:"&amp;$K681)</f>
        <v/>
      </c>
      <c r="M681" s="46"/>
      <c r="N681" s="53"/>
      <c r="O681" s="46"/>
      <c r="P681" s="47"/>
      <c r="Q681" s="48"/>
      <c r="R681" s="49"/>
      <c r="S681" s="54" t="str">
        <f aca="false">IF(OR($AC681=0,$U681="",$M681="",$V681="",$W681=""),"",IF(COUNTIFS(m_teacher,$M681,m_date,$U681,m_active,1,m_start,"&lt;"&amp;$W681,m_end,"&gt;"&amp;$V681)&gt;1,"충돌",""))</f>
        <v/>
      </c>
      <c r="T681" s="48"/>
      <c r="U681" s="55" t="str">
        <f aca="false">IF($G681="","",IFERROR(IF(ISNUMBER($G681),IF($G681&gt;19000000,DATE(INT($G681/10000),MOD(INT($G681/100),100),MOD($G681,100)),INT($G681)),IF(LEN(SUBSTITUTE(SUBSTITUTE(SUBSTITUTE(TRIM($G681),"-",""),".",""),"/",""))=8,DATE(VALUE(LEFT(SUBSTITUTE(SUBSTITUTE(SUBSTITUTE(TRIM($G681),"-",""),".",""),"/",""),4)),VALUE(MID(SUBSTITUTE(SUBSTITUTE(SUBSTITUTE(TRIM($G681),"-",""),".",""),"/",""),5,2)),VALUE(RIGHT(SUBSTITUTE(SUBSTITUTE(SUBSTITUTE(TRIM($G681),"-",""),".",""),"/",""),2))),DATEVALUE($G681))),""))</f>
        <v/>
      </c>
      <c r="V681" s="52" t="str">
        <f aca="false">IF($H681="","",IFERROR(IF(IF(ISNUMBER($H681),$H681,IFERROR(TIMEVALUE($H681),VALUE($H681)))&gt;=100,INT(IF(ISNUMBER($H681),$H681,IFERROR(TIMEVALUE($H681),VALUE($H681)))/100)*60+MOD(IF(ISNUMBER($H681),$H681,IFERROR(TIMEVALUE($H681),VALUE($H681))),100),IF(IF(ISNUMBER($H681),$H681,IFERROR(TIMEVALUE($H681),VALUE($H681)))&gt;=1,ROUND(IF(ISNUMBER($H681),$H681,IFERROR(TIMEVALUE($H681),VALUE($H681)))*60,0),ROUND(MOD(IF(ISNUMBER($H681),$H681,IFERROR(TIMEVALUE($H681),VALUE($H681))),1)*1440,0))),""))</f>
        <v/>
      </c>
      <c r="W681" s="52" t="str">
        <f aca="false">IF($I681="","",IFERROR(IF(IF(ISNUMBER($I681),$I681,IFERROR(TIMEVALUE($I681),VALUE($I681)))&gt;=100,INT(IF(ISNUMBER($I681),$I681,IFERROR(TIMEVALUE($I681),VALUE($I681)))/100)*60+MOD(IF(ISNUMBER($I681),$I681,IFERROR(TIMEVALUE($I681),VALUE($I681))),100),IF(IF(ISNUMBER($I681),$I681,IFERROR(TIMEVALUE($I681),VALUE($I681)))&gt;=1,ROUND(IF(ISNUMBER($I681),$I681,IFERROR(TIMEVALUE($I681),VALUE($I681)))*60,0),ROUND(MOD(IF(ISNUMBER($I681),$I681,IFERROR(TIMEVALUE($I681),VALUE($I681))),1)*1440,0))),""))</f>
        <v/>
      </c>
      <c r="X681" s="55" t="str">
        <f aca="false">IF($P681="","",IFERROR(IF(ISNUMBER($P681),IF($P681&gt;19000000,DATE(INT($P681/10000),MOD(INT($P681/100),100),MOD($P681,100)),INT($P681)),IF(LEN(SUBSTITUTE(SUBSTITUTE(SUBSTITUTE(TRIM($P681),"-",""),".",""),"/",""))=8,DATE(VALUE(LEFT(SUBSTITUTE(SUBSTITUTE(SUBSTITUTE(TRIM($P681),"-",""),".",""),"/",""),4)),VALUE(MID(SUBSTITUTE(SUBSTITUTE(SUBSTITUTE(TRIM($P681),"-",""),".",""),"/",""),5,2)),VALUE(RIGHT(SUBSTITUTE(SUBSTITUTE(SUBSTITUTE(TRIM($P681),"-",""),".",""),"/",""),2))),DATEVALUE($P681))),""))</f>
        <v/>
      </c>
      <c r="Y681" s="56" t="str">
        <f aca="false">IF($M681="","",IFERROR(INDEX(강사DB!$D$4:$D$53,MATCH($M681,강사DB!$A$4:$A$53,0)),""))</f>
        <v/>
      </c>
      <c r="Z681" s="56" t="str">
        <f aca="false">IF($B681&lt;&gt;"결제완료","",IF(OR($Y681="",$J681=""),"",$Y681*$J681+MAX(0,N($K681)-1)*설정!$J$7))</f>
        <v/>
      </c>
      <c r="AA681" s="56" t="str">
        <f aca="false">IF(AND($D681&lt;&gt;"",$B681="결제완료"),N($N681),"")</f>
        <v/>
      </c>
      <c r="AB681" s="45" t="str">
        <f aca="false">IF($D681="","",IF($F681&lt;&gt;"",$F681,$D681)&amp;IF($B681="상담중"," (상담)",""))</f>
        <v/>
      </c>
      <c r="AC681" s="45" t="n">
        <f aca="false">IF(AND($D681&lt;&gt;"",OR($B681="결제완료",$B681="상담중")),1,0)</f>
        <v>0</v>
      </c>
      <c r="AD681" s="45" t="n">
        <f aca="false">IF(OR($Z681="",$U681=""),0,IFERROR(IF(COUNTIFS(INDEX(g_grid,0,2*MATCH($M681,강사DB!$A$4:$A$15,0)),"&lt;&gt;",g_s,"&lt;="&amp;$U681,g_e,"&gt;="&amp;$U681)&gt;0,1,0),0))</f>
        <v>0</v>
      </c>
      <c r="AE681" s="48"/>
      <c r="AF681" s="56" t="str">
        <f aca="false">IF(AND($D681&lt;&gt;"",$B681="결제완료",$T681="대여"),설정!$J$5,"")</f>
        <v/>
      </c>
      <c r="AG681" s="54" t="str">
        <f aca="false">IF($D681="","",IF(AND($E681="",$R681=""),$AB681,"☎ "&amp;IF($E681="","-",$E681)&amp;IF($R681&lt;&gt;"","  ※ "&amp;$R681,"")&amp;IF($B681="상담중"," (상담)","")))</f>
        <v/>
      </c>
      <c r="AH681" s="56" t="str">
        <f aca="false">IF(AND($D681&lt;&gt;"",$B681="결제완료",$O681="스마트스토어"),ROUND(N($N681)*설정!$J$6,0),"")</f>
        <v/>
      </c>
      <c r="AI681" s="54" t="str">
        <f aca="false">IF($D681="","",ROW())</f>
        <v/>
      </c>
      <c r="AJ681" s="54" t="n">
        <f aca="false">IF(OR($AC681&lt;&gt;1,$M681=""),0,IF(ISNUMBER(SEARCH("퇴사",IFERROR(INDEX(강사DB!$G$4:$G$53,MATCH($M681,강사DB!$A$4:$A$53,0)),""))),1,0))</f>
        <v>0</v>
      </c>
    </row>
    <row r="682" customFormat="false" ht="15" hidden="false" customHeight="false" outlineLevel="0" collapsed="false">
      <c r="A682" s="45" t="str">
        <f aca="false">IF($D682="","",COUNTA($D$5:$D682))</f>
        <v/>
      </c>
      <c r="B682" s="46"/>
      <c r="C682" s="47"/>
      <c r="D682" s="48"/>
      <c r="E682" s="48"/>
      <c r="F682" s="49"/>
      <c r="G682" s="47"/>
      <c r="H682" s="50"/>
      <c r="I682" s="50"/>
      <c r="J682" s="51" t="str">
        <f aca="false">IF(OR($V682="",$W682=""),"",ROUND(($W682-$V682)/60,2))</f>
        <v/>
      </c>
      <c r="K682" s="52" t="str">
        <f aca="false">IF($F682="","",LEN($F682)-LEN(SUBSTITUTE($F682,",",""))+1)</f>
        <v/>
      </c>
      <c r="L682" s="45" t="str">
        <f aca="false">IF($K682="","","1:"&amp;$K682)</f>
        <v/>
      </c>
      <c r="M682" s="46"/>
      <c r="N682" s="53"/>
      <c r="O682" s="46"/>
      <c r="P682" s="47"/>
      <c r="Q682" s="48"/>
      <c r="R682" s="49"/>
      <c r="S682" s="54" t="str">
        <f aca="false">IF(OR($AC682=0,$U682="",$M682="",$V682="",$W682=""),"",IF(COUNTIFS(m_teacher,$M682,m_date,$U682,m_active,1,m_start,"&lt;"&amp;$W682,m_end,"&gt;"&amp;$V682)&gt;1,"충돌",""))</f>
        <v/>
      </c>
      <c r="T682" s="48"/>
      <c r="U682" s="55" t="str">
        <f aca="false">IF($G682="","",IFERROR(IF(ISNUMBER($G682),IF($G682&gt;19000000,DATE(INT($G682/10000),MOD(INT($G682/100),100),MOD($G682,100)),INT($G682)),IF(LEN(SUBSTITUTE(SUBSTITUTE(SUBSTITUTE(TRIM($G682),"-",""),".",""),"/",""))=8,DATE(VALUE(LEFT(SUBSTITUTE(SUBSTITUTE(SUBSTITUTE(TRIM($G682),"-",""),".",""),"/",""),4)),VALUE(MID(SUBSTITUTE(SUBSTITUTE(SUBSTITUTE(TRIM($G682),"-",""),".",""),"/",""),5,2)),VALUE(RIGHT(SUBSTITUTE(SUBSTITUTE(SUBSTITUTE(TRIM($G682),"-",""),".",""),"/",""),2))),DATEVALUE($G682))),""))</f>
        <v/>
      </c>
      <c r="V682" s="52" t="str">
        <f aca="false">IF($H682="","",IFERROR(IF(IF(ISNUMBER($H682),$H682,IFERROR(TIMEVALUE($H682),VALUE($H682)))&gt;=100,INT(IF(ISNUMBER($H682),$H682,IFERROR(TIMEVALUE($H682),VALUE($H682)))/100)*60+MOD(IF(ISNUMBER($H682),$H682,IFERROR(TIMEVALUE($H682),VALUE($H682))),100),IF(IF(ISNUMBER($H682),$H682,IFERROR(TIMEVALUE($H682),VALUE($H682)))&gt;=1,ROUND(IF(ISNUMBER($H682),$H682,IFERROR(TIMEVALUE($H682),VALUE($H682)))*60,0),ROUND(MOD(IF(ISNUMBER($H682),$H682,IFERROR(TIMEVALUE($H682),VALUE($H682))),1)*1440,0))),""))</f>
        <v/>
      </c>
      <c r="W682" s="52" t="str">
        <f aca="false">IF($I682="","",IFERROR(IF(IF(ISNUMBER($I682),$I682,IFERROR(TIMEVALUE($I682),VALUE($I682)))&gt;=100,INT(IF(ISNUMBER($I682),$I682,IFERROR(TIMEVALUE($I682),VALUE($I682)))/100)*60+MOD(IF(ISNUMBER($I682),$I682,IFERROR(TIMEVALUE($I682),VALUE($I682))),100),IF(IF(ISNUMBER($I682),$I682,IFERROR(TIMEVALUE($I682),VALUE($I682)))&gt;=1,ROUND(IF(ISNUMBER($I682),$I682,IFERROR(TIMEVALUE($I682),VALUE($I682)))*60,0),ROUND(MOD(IF(ISNUMBER($I682),$I682,IFERROR(TIMEVALUE($I682),VALUE($I682))),1)*1440,0))),""))</f>
        <v/>
      </c>
      <c r="X682" s="55" t="str">
        <f aca="false">IF($P682="","",IFERROR(IF(ISNUMBER($P682),IF($P682&gt;19000000,DATE(INT($P682/10000),MOD(INT($P682/100),100),MOD($P682,100)),INT($P682)),IF(LEN(SUBSTITUTE(SUBSTITUTE(SUBSTITUTE(TRIM($P682),"-",""),".",""),"/",""))=8,DATE(VALUE(LEFT(SUBSTITUTE(SUBSTITUTE(SUBSTITUTE(TRIM($P682),"-",""),".",""),"/",""),4)),VALUE(MID(SUBSTITUTE(SUBSTITUTE(SUBSTITUTE(TRIM($P682),"-",""),".",""),"/",""),5,2)),VALUE(RIGHT(SUBSTITUTE(SUBSTITUTE(SUBSTITUTE(TRIM($P682),"-",""),".",""),"/",""),2))),DATEVALUE($P682))),""))</f>
        <v/>
      </c>
      <c r="Y682" s="56" t="str">
        <f aca="false">IF($M682="","",IFERROR(INDEX(강사DB!$D$4:$D$53,MATCH($M682,강사DB!$A$4:$A$53,0)),""))</f>
        <v/>
      </c>
      <c r="Z682" s="56" t="str">
        <f aca="false">IF($B682&lt;&gt;"결제완료","",IF(OR($Y682="",$J682=""),"",$Y682*$J682+MAX(0,N($K682)-1)*설정!$J$7))</f>
        <v/>
      </c>
      <c r="AA682" s="56" t="str">
        <f aca="false">IF(AND($D682&lt;&gt;"",$B682="결제완료"),N($N682),"")</f>
        <v/>
      </c>
      <c r="AB682" s="45" t="str">
        <f aca="false">IF($D682="","",IF($F682&lt;&gt;"",$F682,$D682)&amp;IF($B682="상담중"," (상담)",""))</f>
        <v/>
      </c>
      <c r="AC682" s="45" t="n">
        <f aca="false">IF(AND($D682&lt;&gt;"",OR($B682="결제완료",$B682="상담중")),1,0)</f>
        <v>0</v>
      </c>
      <c r="AD682" s="45" t="n">
        <f aca="false">IF(OR($Z682="",$U682=""),0,IFERROR(IF(COUNTIFS(INDEX(g_grid,0,2*MATCH($M682,강사DB!$A$4:$A$15,0)),"&lt;&gt;",g_s,"&lt;="&amp;$U682,g_e,"&gt;="&amp;$U682)&gt;0,1,0),0))</f>
        <v>0</v>
      </c>
      <c r="AE682" s="48"/>
      <c r="AF682" s="56" t="str">
        <f aca="false">IF(AND($D682&lt;&gt;"",$B682="결제완료",$T682="대여"),설정!$J$5,"")</f>
        <v/>
      </c>
      <c r="AG682" s="54" t="str">
        <f aca="false">IF($D682="","",IF(AND($E682="",$R682=""),$AB682,"☎ "&amp;IF($E682="","-",$E682)&amp;IF($R682&lt;&gt;"","  ※ "&amp;$R682,"")&amp;IF($B682="상담중"," (상담)","")))</f>
        <v/>
      </c>
      <c r="AH682" s="56" t="str">
        <f aca="false">IF(AND($D682&lt;&gt;"",$B682="결제완료",$O682="스마트스토어"),ROUND(N($N682)*설정!$J$6,0),"")</f>
        <v/>
      </c>
      <c r="AI682" s="54" t="str">
        <f aca="false">IF($D682="","",ROW())</f>
        <v/>
      </c>
      <c r="AJ682" s="54" t="n">
        <f aca="false">IF(OR($AC682&lt;&gt;1,$M682=""),0,IF(ISNUMBER(SEARCH("퇴사",IFERROR(INDEX(강사DB!$G$4:$G$53,MATCH($M682,강사DB!$A$4:$A$53,0)),""))),1,0))</f>
        <v>0</v>
      </c>
    </row>
    <row r="683" customFormat="false" ht="15" hidden="false" customHeight="false" outlineLevel="0" collapsed="false">
      <c r="A683" s="45" t="str">
        <f aca="false">IF($D683="","",COUNTA($D$5:$D683))</f>
        <v/>
      </c>
      <c r="B683" s="46"/>
      <c r="C683" s="47"/>
      <c r="D683" s="48"/>
      <c r="E683" s="48"/>
      <c r="F683" s="49"/>
      <c r="G683" s="47"/>
      <c r="H683" s="50"/>
      <c r="I683" s="50"/>
      <c r="J683" s="51" t="str">
        <f aca="false">IF(OR($V683="",$W683=""),"",ROUND(($W683-$V683)/60,2))</f>
        <v/>
      </c>
      <c r="K683" s="52" t="str">
        <f aca="false">IF($F683="","",LEN($F683)-LEN(SUBSTITUTE($F683,",",""))+1)</f>
        <v/>
      </c>
      <c r="L683" s="45" t="str">
        <f aca="false">IF($K683="","","1:"&amp;$K683)</f>
        <v/>
      </c>
      <c r="M683" s="46"/>
      <c r="N683" s="53"/>
      <c r="O683" s="46"/>
      <c r="P683" s="47"/>
      <c r="Q683" s="48"/>
      <c r="R683" s="49"/>
      <c r="S683" s="54" t="str">
        <f aca="false">IF(OR($AC683=0,$U683="",$M683="",$V683="",$W683=""),"",IF(COUNTIFS(m_teacher,$M683,m_date,$U683,m_active,1,m_start,"&lt;"&amp;$W683,m_end,"&gt;"&amp;$V683)&gt;1,"충돌",""))</f>
        <v/>
      </c>
      <c r="T683" s="48"/>
      <c r="U683" s="55" t="str">
        <f aca="false">IF($G683="","",IFERROR(IF(ISNUMBER($G683),IF($G683&gt;19000000,DATE(INT($G683/10000),MOD(INT($G683/100),100),MOD($G683,100)),INT($G683)),IF(LEN(SUBSTITUTE(SUBSTITUTE(SUBSTITUTE(TRIM($G683),"-",""),".",""),"/",""))=8,DATE(VALUE(LEFT(SUBSTITUTE(SUBSTITUTE(SUBSTITUTE(TRIM($G683),"-",""),".",""),"/",""),4)),VALUE(MID(SUBSTITUTE(SUBSTITUTE(SUBSTITUTE(TRIM($G683),"-",""),".",""),"/",""),5,2)),VALUE(RIGHT(SUBSTITUTE(SUBSTITUTE(SUBSTITUTE(TRIM($G683),"-",""),".",""),"/",""),2))),DATEVALUE($G683))),""))</f>
        <v/>
      </c>
      <c r="V683" s="52" t="str">
        <f aca="false">IF($H683="","",IFERROR(IF(IF(ISNUMBER($H683),$H683,IFERROR(TIMEVALUE($H683),VALUE($H683)))&gt;=100,INT(IF(ISNUMBER($H683),$H683,IFERROR(TIMEVALUE($H683),VALUE($H683)))/100)*60+MOD(IF(ISNUMBER($H683),$H683,IFERROR(TIMEVALUE($H683),VALUE($H683))),100),IF(IF(ISNUMBER($H683),$H683,IFERROR(TIMEVALUE($H683),VALUE($H683)))&gt;=1,ROUND(IF(ISNUMBER($H683),$H683,IFERROR(TIMEVALUE($H683),VALUE($H683)))*60,0),ROUND(MOD(IF(ISNUMBER($H683),$H683,IFERROR(TIMEVALUE($H683),VALUE($H683))),1)*1440,0))),""))</f>
        <v/>
      </c>
      <c r="W683" s="52" t="str">
        <f aca="false">IF($I683="","",IFERROR(IF(IF(ISNUMBER($I683),$I683,IFERROR(TIMEVALUE($I683),VALUE($I683)))&gt;=100,INT(IF(ISNUMBER($I683),$I683,IFERROR(TIMEVALUE($I683),VALUE($I683)))/100)*60+MOD(IF(ISNUMBER($I683),$I683,IFERROR(TIMEVALUE($I683),VALUE($I683))),100),IF(IF(ISNUMBER($I683),$I683,IFERROR(TIMEVALUE($I683),VALUE($I683)))&gt;=1,ROUND(IF(ISNUMBER($I683),$I683,IFERROR(TIMEVALUE($I683),VALUE($I683)))*60,0),ROUND(MOD(IF(ISNUMBER($I683),$I683,IFERROR(TIMEVALUE($I683),VALUE($I683))),1)*1440,0))),""))</f>
        <v/>
      </c>
      <c r="X683" s="55" t="str">
        <f aca="false">IF($P683="","",IFERROR(IF(ISNUMBER($P683),IF($P683&gt;19000000,DATE(INT($P683/10000),MOD(INT($P683/100),100),MOD($P683,100)),INT($P683)),IF(LEN(SUBSTITUTE(SUBSTITUTE(SUBSTITUTE(TRIM($P683),"-",""),".",""),"/",""))=8,DATE(VALUE(LEFT(SUBSTITUTE(SUBSTITUTE(SUBSTITUTE(TRIM($P683),"-",""),".",""),"/",""),4)),VALUE(MID(SUBSTITUTE(SUBSTITUTE(SUBSTITUTE(TRIM($P683),"-",""),".",""),"/",""),5,2)),VALUE(RIGHT(SUBSTITUTE(SUBSTITUTE(SUBSTITUTE(TRIM($P683),"-",""),".",""),"/",""),2))),DATEVALUE($P683))),""))</f>
        <v/>
      </c>
      <c r="Y683" s="56" t="str">
        <f aca="false">IF($M683="","",IFERROR(INDEX(강사DB!$D$4:$D$53,MATCH($M683,강사DB!$A$4:$A$53,0)),""))</f>
        <v/>
      </c>
      <c r="Z683" s="56" t="str">
        <f aca="false">IF($B683&lt;&gt;"결제완료","",IF(OR($Y683="",$J683=""),"",$Y683*$J683+MAX(0,N($K683)-1)*설정!$J$7))</f>
        <v/>
      </c>
      <c r="AA683" s="56" t="str">
        <f aca="false">IF(AND($D683&lt;&gt;"",$B683="결제완료"),N($N683),"")</f>
        <v/>
      </c>
      <c r="AB683" s="45" t="str">
        <f aca="false">IF($D683="","",IF($F683&lt;&gt;"",$F683,$D683)&amp;IF($B683="상담중"," (상담)",""))</f>
        <v/>
      </c>
      <c r="AC683" s="45" t="n">
        <f aca="false">IF(AND($D683&lt;&gt;"",OR($B683="결제완료",$B683="상담중")),1,0)</f>
        <v>0</v>
      </c>
      <c r="AD683" s="45" t="n">
        <f aca="false">IF(OR($Z683="",$U683=""),0,IFERROR(IF(COUNTIFS(INDEX(g_grid,0,2*MATCH($M683,강사DB!$A$4:$A$15,0)),"&lt;&gt;",g_s,"&lt;="&amp;$U683,g_e,"&gt;="&amp;$U683)&gt;0,1,0),0))</f>
        <v>0</v>
      </c>
      <c r="AE683" s="48"/>
      <c r="AF683" s="56" t="str">
        <f aca="false">IF(AND($D683&lt;&gt;"",$B683="결제완료",$T683="대여"),설정!$J$5,"")</f>
        <v/>
      </c>
      <c r="AG683" s="54" t="str">
        <f aca="false">IF($D683="","",IF(AND($E683="",$R683=""),$AB683,"☎ "&amp;IF($E683="","-",$E683)&amp;IF($R683&lt;&gt;"","  ※ "&amp;$R683,"")&amp;IF($B683="상담중"," (상담)","")))</f>
        <v/>
      </c>
      <c r="AH683" s="56" t="str">
        <f aca="false">IF(AND($D683&lt;&gt;"",$B683="결제완료",$O683="스마트스토어"),ROUND(N($N683)*설정!$J$6,0),"")</f>
        <v/>
      </c>
      <c r="AI683" s="54" t="str">
        <f aca="false">IF($D683="","",ROW())</f>
        <v/>
      </c>
      <c r="AJ683" s="54" t="n">
        <f aca="false">IF(OR($AC683&lt;&gt;1,$M683=""),0,IF(ISNUMBER(SEARCH("퇴사",IFERROR(INDEX(강사DB!$G$4:$G$53,MATCH($M683,강사DB!$A$4:$A$53,0)),""))),1,0))</f>
        <v>0</v>
      </c>
    </row>
    <row r="684" customFormat="false" ht="15" hidden="false" customHeight="false" outlineLevel="0" collapsed="false">
      <c r="A684" s="45" t="str">
        <f aca="false">IF($D684="","",COUNTA($D$5:$D684))</f>
        <v/>
      </c>
      <c r="B684" s="46"/>
      <c r="C684" s="47"/>
      <c r="D684" s="48"/>
      <c r="E684" s="48"/>
      <c r="F684" s="49"/>
      <c r="G684" s="47"/>
      <c r="H684" s="50"/>
      <c r="I684" s="50"/>
      <c r="J684" s="51" t="str">
        <f aca="false">IF(OR($V684="",$W684=""),"",ROUND(($W684-$V684)/60,2))</f>
        <v/>
      </c>
      <c r="K684" s="52" t="str">
        <f aca="false">IF($F684="","",LEN($F684)-LEN(SUBSTITUTE($F684,",",""))+1)</f>
        <v/>
      </c>
      <c r="L684" s="45" t="str">
        <f aca="false">IF($K684="","","1:"&amp;$K684)</f>
        <v/>
      </c>
      <c r="M684" s="46"/>
      <c r="N684" s="53"/>
      <c r="O684" s="46"/>
      <c r="P684" s="47"/>
      <c r="Q684" s="48"/>
      <c r="R684" s="49"/>
      <c r="S684" s="54" t="str">
        <f aca="false">IF(OR($AC684=0,$U684="",$M684="",$V684="",$W684=""),"",IF(COUNTIFS(m_teacher,$M684,m_date,$U684,m_active,1,m_start,"&lt;"&amp;$W684,m_end,"&gt;"&amp;$V684)&gt;1,"충돌",""))</f>
        <v/>
      </c>
      <c r="T684" s="48"/>
      <c r="U684" s="55" t="str">
        <f aca="false">IF($G684="","",IFERROR(IF(ISNUMBER($G684),IF($G684&gt;19000000,DATE(INT($G684/10000),MOD(INT($G684/100),100),MOD($G684,100)),INT($G684)),IF(LEN(SUBSTITUTE(SUBSTITUTE(SUBSTITUTE(TRIM($G684),"-",""),".",""),"/",""))=8,DATE(VALUE(LEFT(SUBSTITUTE(SUBSTITUTE(SUBSTITUTE(TRIM($G684),"-",""),".",""),"/",""),4)),VALUE(MID(SUBSTITUTE(SUBSTITUTE(SUBSTITUTE(TRIM($G684),"-",""),".",""),"/",""),5,2)),VALUE(RIGHT(SUBSTITUTE(SUBSTITUTE(SUBSTITUTE(TRIM($G684),"-",""),".",""),"/",""),2))),DATEVALUE($G684))),""))</f>
        <v/>
      </c>
      <c r="V684" s="52" t="str">
        <f aca="false">IF($H684="","",IFERROR(IF(IF(ISNUMBER($H684),$H684,IFERROR(TIMEVALUE($H684),VALUE($H684)))&gt;=100,INT(IF(ISNUMBER($H684),$H684,IFERROR(TIMEVALUE($H684),VALUE($H684)))/100)*60+MOD(IF(ISNUMBER($H684),$H684,IFERROR(TIMEVALUE($H684),VALUE($H684))),100),IF(IF(ISNUMBER($H684),$H684,IFERROR(TIMEVALUE($H684),VALUE($H684)))&gt;=1,ROUND(IF(ISNUMBER($H684),$H684,IFERROR(TIMEVALUE($H684),VALUE($H684)))*60,0),ROUND(MOD(IF(ISNUMBER($H684),$H684,IFERROR(TIMEVALUE($H684),VALUE($H684))),1)*1440,0))),""))</f>
        <v/>
      </c>
      <c r="W684" s="52" t="str">
        <f aca="false">IF($I684="","",IFERROR(IF(IF(ISNUMBER($I684),$I684,IFERROR(TIMEVALUE($I684),VALUE($I684)))&gt;=100,INT(IF(ISNUMBER($I684),$I684,IFERROR(TIMEVALUE($I684),VALUE($I684)))/100)*60+MOD(IF(ISNUMBER($I684),$I684,IFERROR(TIMEVALUE($I684),VALUE($I684))),100),IF(IF(ISNUMBER($I684),$I684,IFERROR(TIMEVALUE($I684),VALUE($I684)))&gt;=1,ROUND(IF(ISNUMBER($I684),$I684,IFERROR(TIMEVALUE($I684),VALUE($I684)))*60,0),ROUND(MOD(IF(ISNUMBER($I684),$I684,IFERROR(TIMEVALUE($I684),VALUE($I684))),1)*1440,0))),""))</f>
        <v/>
      </c>
      <c r="X684" s="55" t="str">
        <f aca="false">IF($P684="","",IFERROR(IF(ISNUMBER($P684),IF($P684&gt;19000000,DATE(INT($P684/10000),MOD(INT($P684/100),100),MOD($P684,100)),INT($P684)),IF(LEN(SUBSTITUTE(SUBSTITUTE(SUBSTITUTE(TRIM($P684),"-",""),".",""),"/",""))=8,DATE(VALUE(LEFT(SUBSTITUTE(SUBSTITUTE(SUBSTITUTE(TRIM($P684),"-",""),".",""),"/",""),4)),VALUE(MID(SUBSTITUTE(SUBSTITUTE(SUBSTITUTE(TRIM($P684),"-",""),".",""),"/",""),5,2)),VALUE(RIGHT(SUBSTITUTE(SUBSTITUTE(SUBSTITUTE(TRIM($P684),"-",""),".",""),"/",""),2))),DATEVALUE($P684))),""))</f>
        <v/>
      </c>
      <c r="Y684" s="56" t="str">
        <f aca="false">IF($M684="","",IFERROR(INDEX(강사DB!$D$4:$D$53,MATCH($M684,강사DB!$A$4:$A$53,0)),""))</f>
        <v/>
      </c>
      <c r="Z684" s="56" t="str">
        <f aca="false">IF($B684&lt;&gt;"결제완료","",IF(OR($Y684="",$J684=""),"",$Y684*$J684+MAX(0,N($K684)-1)*설정!$J$7))</f>
        <v/>
      </c>
      <c r="AA684" s="56" t="str">
        <f aca="false">IF(AND($D684&lt;&gt;"",$B684="결제완료"),N($N684),"")</f>
        <v/>
      </c>
      <c r="AB684" s="45" t="str">
        <f aca="false">IF($D684="","",IF($F684&lt;&gt;"",$F684,$D684)&amp;IF($B684="상담중"," (상담)",""))</f>
        <v/>
      </c>
      <c r="AC684" s="45" t="n">
        <f aca="false">IF(AND($D684&lt;&gt;"",OR($B684="결제완료",$B684="상담중")),1,0)</f>
        <v>0</v>
      </c>
      <c r="AD684" s="45" t="n">
        <f aca="false">IF(OR($Z684="",$U684=""),0,IFERROR(IF(COUNTIFS(INDEX(g_grid,0,2*MATCH($M684,강사DB!$A$4:$A$15,0)),"&lt;&gt;",g_s,"&lt;="&amp;$U684,g_e,"&gt;="&amp;$U684)&gt;0,1,0),0))</f>
        <v>0</v>
      </c>
      <c r="AE684" s="48"/>
      <c r="AF684" s="56" t="str">
        <f aca="false">IF(AND($D684&lt;&gt;"",$B684="결제완료",$T684="대여"),설정!$J$5,"")</f>
        <v/>
      </c>
      <c r="AG684" s="54" t="str">
        <f aca="false">IF($D684="","",IF(AND($E684="",$R684=""),$AB684,"☎ "&amp;IF($E684="","-",$E684)&amp;IF($R684&lt;&gt;"","  ※ "&amp;$R684,"")&amp;IF($B684="상담중"," (상담)","")))</f>
        <v/>
      </c>
      <c r="AH684" s="56" t="str">
        <f aca="false">IF(AND($D684&lt;&gt;"",$B684="결제완료",$O684="스마트스토어"),ROUND(N($N684)*설정!$J$6,0),"")</f>
        <v/>
      </c>
      <c r="AI684" s="54" t="str">
        <f aca="false">IF($D684="","",ROW())</f>
        <v/>
      </c>
      <c r="AJ684" s="54" t="n">
        <f aca="false">IF(OR($AC684&lt;&gt;1,$M684=""),0,IF(ISNUMBER(SEARCH("퇴사",IFERROR(INDEX(강사DB!$G$4:$G$53,MATCH($M684,강사DB!$A$4:$A$53,0)),""))),1,0))</f>
        <v>0</v>
      </c>
    </row>
    <row r="685" customFormat="false" ht="15" hidden="false" customHeight="false" outlineLevel="0" collapsed="false">
      <c r="A685" s="45" t="str">
        <f aca="false">IF($D685="","",COUNTA($D$5:$D685))</f>
        <v/>
      </c>
      <c r="B685" s="46"/>
      <c r="C685" s="47"/>
      <c r="D685" s="48"/>
      <c r="E685" s="48"/>
      <c r="F685" s="49"/>
      <c r="G685" s="47"/>
      <c r="H685" s="50"/>
      <c r="I685" s="50"/>
      <c r="J685" s="51" t="str">
        <f aca="false">IF(OR($V685="",$W685=""),"",ROUND(($W685-$V685)/60,2))</f>
        <v/>
      </c>
      <c r="K685" s="52" t="str">
        <f aca="false">IF($F685="","",LEN($F685)-LEN(SUBSTITUTE($F685,",",""))+1)</f>
        <v/>
      </c>
      <c r="L685" s="45" t="str">
        <f aca="false">IF($K685="","","1:"&amp;$K685)</f>
        <v/>
      </c>
      <c r="M685" s="46"/>
      <c r="N685" s="53"/>
      <c r="O685" s="46"/>
      <c r="P685" s="47"/>
      <c r="Q685" s="48"/>
      <c r="R685" s="49"/>
      <c r="S685" s="54" t="str">
        <f aca="false">IF(OR($AC685=0,$U685="",$M685="",$V685="",$W685=""),"",IF(COUNTIFS(m_teacher,$M685,m_date,$U685,m_active,1,m_start,"&lt;"&amp;$W685,m_end,"&gt;"&amp;$V685)&gt;1,"충돌",""))</f>
        <v/>
      </c>
      <c r="T685" s="48"/>
      <c r="U685" s="55" t="str">
        <f aca="false">IF($G685="","",IFERROR(IF(ISNUMBER($G685),IF($G685&gt;19000000,DATE(INT($G685/10000),MOD(INT($G685/100),100),MOD($G685,100)),INT($G685)),IF(LEN(SUBSTITUTE(SUBSTITUTE(SUBSTITUTE(TRIM($G685),"-",""),".",""),"/",""))=8,DATE(VALUE(LEFT(SUBSTITUTE(SUBSTITUTE(SUBSTITUTE(TRIM($G685),"-",""),".",""),"/",""),4)),VALUE(MID(SUBSTITUTE(SUBSTITUTE(SUBSTITUTE(TRIM($G685),"-",""),".",""),"/",""),5,2)),VALUE(RIGHT(SUBSTITUTE(SUBSTITUTE(SUBSTITUTE(TRIM($G685),"-",""),".",""),"/",""),2))),DATEVALUE($G685))),""))</f>
        <v/>
      </c>
      <c r="V685" s="52" t="str">
        <f aca="false">IF($H685="","",IFERROR(IF(IF(ISNUMBER($H685),$H685,IFERROR(TIMEVALUE($H685),VALUE($H685)))&gt;=100,INT(IF(ISNUMBER($H685),$H685,IFERROR(TIMEVALUE($H685),VALUE($H685)))/100)*60+MOD(IF(ISNUMBER($H685),$H685,IFERROR(TIMEVALUE($H685),VALUE($H685))),100),IF(IF(ISNUMBER($H685),$H685,IFERROR(TIMEVALUE($H685),VALUE($H685)))&gt;=1,ROUND(IF(ISNUMBER($H685),$H685,IFERROR(TIMEVALUE($H685),VALUE($H685)))*60,0),ROUND(MOD(IF(ISNUMBER($H685),$H685,IFERROR(TIMEVALUE($H685),VALUE($H685))),1)*1440,0))),""))</f>
        <v/>
      </c>
      <c r="W685" s="52" t="str">
        <f aca="false">IF($I685="","",IFERROR(IF(IF(ISNUMBER($I685),$I685,IFERROR(TIMEVALUE($I685),VALUE($I685)))&gt;=100,INT(IF(ISNUMBER($I685),$I685,IFERROR(TIMEVALUE($I685),VALUE($I685)))/100)*60+MOD(IF(ISNUMBER($I685),$I685,IFERROR(TIMEVALUE($I685),VALUE($I685))),100),IF(IF(ISNUMBER($I685),$I685,IFERROR(TIMEVALUE($I685),VALUE($I685)))&gt;=1,ROUND(IF(ISNUMBER($I685),$I685,IFERROR(TIMEVALUE($I685),VALUE($I685)))*60,0),ROUND(MOD(IF(ISNUMBER($I685),$I685,IFERROR(TIMEVALUE($I685),VALUE($I685))),1)*1440,0))),""))</f>
        <v/>
      </c>
      <c r="X685" s="55" t="str">
        <f aca="false">IF($P685="","",IFERROR(IF(ISNUMBER($P685),IF($P685&gt;19000000,DATE(INT($P685/10000),MOD(INT($P685/100),100),MOD($P685,100)),INT($P685)),IF(LEN(SUBSTITUTE(SUBSTITUTE(SUBSTITUTE(TRIM($P685),"-",""),".",""),"/",""))=8,DATE(VALUE(LEFT(SUBSTITUTE(SUBSTITUTE(SUBSTITUTE(TRIM($P685),"-",""),".",""),"/",""),4)),VALUE(MID(SUBSTITUTE(SUBSTITUTE(SUBSTITUTE(TRIM($P685),"-",""),".",""),"/",""),5,2)),VALUE(RIGHT(SUBSTITUTE(SUBSTITUTE(SUBSTITUTE(TRIM($P685),"-",""),".",""),"/",""),2))),DATEVALUE($P685))),""))</f>
        <v/>
      </c>
      <c r="Y685" s="56" t="str">
        <f aca="false">IF($M685="","",IFERROR(INDEX(강사DB!$D$4:$D$53,MATCH($M685,강사DB!$A$4:$A$53,0)),""))</f>
        <v/>
      </c>
      <c r="Z685" s="56" t="str">
        <f aca="false">IF($B685&lt;&gt;"결제완료","",IF(OR($Y685="",$J685=""),"",$Y685*$J685+MAX(0,N($K685)-1)*설정!$J$7))</f>
        <v/>
      </c>
      <c r="AA685" s="56" t="str">
        <f aca="false">IF(AND($D685&lt;&gt;"",$B685="결제완료"),N($N685),"")</f>
        <v/>
      </c>
      <c r="AB685" s="45" t="str">
        <f aca="false">IF($D685="","",IF($F685&lt;&gt;"",$F685,$D685)&amp;IF($B685="상담중"," (상담)",""))</f>
        <v/>
      </c>
      <c r="AC685" s="45" t="n">
        <f aca="false">IF(AND($D685&lt;&gt;"",OR($B685="결제완료",$B685="상담중")),1,0)</f>
        <v>0</v>
      </c>
      <c r="AD685" s="45" t="n">
        <f aca="false">IF(OR($Z685="",$U685=""),0,IFERROR(IF(COUNTIFS(INDEX(g_grid,0,2*MATCH($M685,강사DB!$A$4:$A$15,0)),"&lt;&gt;",g_s,"&lt;="&amp;$U685,g_e,"&gt;="&amp;$U685)&gt;0,1,0),0))</f>
        <v>0</v>
      </c>
      <c r="AE685" s="48"/>
      <c r="AF685" s="56" t="str">
        <f aca="false">IF(AND($D685&lt;&gt;"",$B685="결제완료",$T685="대여"),설정!$J$5,"")</f>
        <v/>
      </c>
      <c r="AG685" s="54" t="str">
        <f aca="false">IF($D685="","",IF(AND($E685="",$R685=""),$AB685,"☎ "&amp;IF($E685="","-",$E685)&amp;IF($R685&lt;&gt;"","  ※ "&amp;$R685,"")&amp;IF($B685="상담중"," (상담)","")))</f>
        <v/>
      </c>
      <c r="AH685" s="56" t="str">
        <f aca="false">IF(AND($D685&lt;&gt;"",$B685="결제완료",$O685="스마트스토어"),ROUND(N($N685)*설정!$J$6,0),"")</f>
        <v/>
      </c>
      <c r="AI685" s="54" t="str">
        <f aca="false">IF($D685="","",ROW())</f>
        <v/>
      </c>
      <c r="AJ685" s="54" t="n">
        <f aca="false">IF(OR($AC685&lt;&gt;1,$M685=""),0,IF(ISNUMBER(SEARCH("퇴사",IFERROR(INDEX(강사DB!$G$4:$G$53,MATCH($M685,강사DB!$A$4:$A$53,0)),""))),1,0))</f>
        <v>0</v>
      </c>
    </row>
    <row r="686" customFormat="false" ht="15" hidden="false" customHeight="false" outlineLevel="0" collapsed="false">
      <c r="A686" s="45" t="str">
        <f aca="false">IF($D686="","",COUNTA($D$5:$D686))</f>
        <v/>
      </c>
      <c r="B686" s="46"/>
      <c r="C686" s="47"/>
      <c r="D686" s="48"/>
      <c r="E686" s="48"/>
      <c r="F686" s="49"/>
      <c r="G686" s="47"/>
      <c r="H686" s="50"/>
      <c r="I686" s="50"/>
      <c r="J686" s="51" t="str">
        <f aca="false">IF(OR($V686="",$W686=""),"",ROUND(($W686-$V686)/60,2))</f>
        <v/>
      </c>
      <c r="K686" s="52" t="str">
        <f aca="false">IF($F686="","",LEN($F686)-LEN(SUBSTITUTE($F686,",",""))+1)</f>
        <v/>
      </c>
      <c r="L686" s="45" t="str">
        <f aca="false">IF($K686="","","1:"&amp;$K686)</f>
        <v/>
      </c>
      <c r="M686" s="46"/>
      <c r="N686" s="53"/>
      <c r="O686" s="46"/>
      <c r="P686" s="47"/>
      <c r="Q686" s="48"/>
      <c r="R686" s="49"/>
      <c r="S686" s="54" t="str">
        <f aca="false">IF(OR($AC686=0,$U686="",$M686="",$V686="",$W686=""),"",IF(COUNTIFS(m_teacher,$M686,m_date,$U686,m_active,1,m_start,"&lt;"&amp;$W686,m_end,"&gt;"&amp;$V686)&gt;1,"충돌",""))</f>
        <v/>
      </c>
      <c r="T686" s="48"/>
      <c r="U686" s="55" t="str">
        <f aca="false">IF($G686="","",IFERROR(IF(ISNUMBER($G686),IF($G686&gt;19000000,DATE(INT($G686/10000),MOD(INT($G686/100),100),MOD($G686,100)),INT($G686)),IF(LEN(SUBSTITUTE(SUBSTITUTE(SUBSTITUTE(TRIM($G686),"-",""),".",""),"/",""))=8,DATE(VALUE(LEFT(SUBSTITUTE(SUBSTITUTE(SUBSTITUTE(TRIM($G686),"-",""),".",""),"/",""),4)),VALUE(MID(SUBSTITUTE(SUBSTITUTE(SUBSTITUTE(TRIM($G686),"-",""),".",""),"/",""),5,2)),VALUE(RIGHT(SUBSTITUTE(SUBSTITUTE(SUBSTITUTE(TRIM($G686),"-",""),".",""),"/",""),2))),DATEVALUE($G686))),""))</f>
        <v/>
      </c>
      <c r="V686" s="52" t="str">
        <f aca="false">IF($H686="","",IFERROR(IF(IF(ISNUMBER($H686),$H686,IFERROR(TIMEVALUE($H686),VALUE($H686)))&gt;=100,INT(IF(ISNUMBER($H686),$H686,IFERROR(TIMEVALUE($H686),VALUE($H686)))/100)*60+MOD(IF(ISNUMBER($H686),$H686,IFERROR(TIMEVALUE($H686),VALUE($H686))),100),IF(IF(ISNUMBER($H686),$H686,IFERROR(TIMEVALUE($H686),VALUE($H686)))&gt;=1,ROUND(IF(ISNUMBER($H686),$H686,IFERROR(TIMEVALUE($H686),VALUE($H686)))*60,0),ROUND(MOD(IF(ISNUMBER($H686),$H686,IFERROR(TIMEVALUE($H686),VALUE($H686))),1)*1440,0))),""))</f>
        <v/>
      </c>
      <c r="W686" s="52" t="str">
        <f aca="false">IF($I686="","",IFERROR(IF(IF(ISNUMBER($I686),$I686,IFERROR(TIMEVALUE($I686),VALUE($I686)))&gt;=100,INT(IF(ISNUMBER($I686),$I686,IFERROR(TIMEVALUE($I686),VALUE($I686)))/100)*60+MOD(IF(ISNUMBER($I686),$I686,IFERROR(TIMEVALUE($I686),VALUE($I686))),100),IF(IF(ISNUMBER($I686),$I686,IFERROR(TIMEVALUE($I686),VALUE($I686)))&gt;=1,ROUND(IF(ISNUMBER($I686),$I686,IFERROR(TIMEVALUE($I686),VALUE($I686)))*60,0),ROUND(MOD(IF(ISNUMBER($I686),$I686,IFERROR(TIMEVALUE($I686),VALUE($I686))),1)*1440,0))),""))</f>
        <v/>
      </c>
      <c r="X686" s="55" t="str">
        <f aca="false">IF($P686="","",IFERROR(IF(ISNUMBER($P686),IF($P686&gt;19000000,DATE(INT($P686/10000),MOD(INT($P686/100),100),MOD($P686,100)),INT($P686)),IF(LEN(SUBSTITUTE(SUBSTITUTE(SUBSTITUTE(TRIM($P686),"-",""),".",""),"/",""))=8,DATE(VALUE(LEFT(SUBSTITUTE(SUBSTITUTE(SUBSTITUTE(TRIM($P686),"-",""),".",""),"/",""),4)),VALUE(MID(SUBSTITUTE(SUBSTITUTE(SUBSTITUTE(TRIM($P686),"-",""),".",""),"/",""),5,2)),VALUE(RIGHT(SUBSTITUTE(SUBSTITUTE(SUBSTITUTE(TRIM($P686),"-",""),".",""),"/",""),2))),DATEVALUE($P686))),""))</f>
        <v/>
      </c>
      <c r="Y686" s="56" t="str">
        <f aca="false">IF($M686="","",IFERROR(INDEX(강사DB!$D$4:$D$53,MATCH($M686,강사DB!$A$4:$A$53,0)),""))</f>
        <v/>
      </c>
      <c r="Z686" s="56" t="str">
        <f aca="false">IF($B686&lt;&gt;"결제완료","",IF(OR($Y686="",$J686=""),"",$Y686*$J686+MAX(0,N($K686)-1)*설정!$J$7))</f>
        <v/>
      </c>
      <c r="AA686" s="56" t="str">
        <f aca="false">IF(AND($D686&lt;&gt;"",$B686="결제완료"),N($N686),"")</f>
        <v/>
      </c>
      <c r="AB686" s="45" t="str">
        <f aca="false">IF($D686="","",IF($F686&lt;&gt;"",$F686,$D686)&amp;IF($B686="상담중"," (상담)",""))</f>
        <v/>
      </c>
      <c r="AC686" s="45" t="n">
        <f aca="false">IF(AND($D686&lt;&gt;"",OR($B686="결제완료",$B686="상담중")),1,0)</f>
        <v>0</v>
      </c>
      <c r="AD686" s="45" t="n">
        <f aca="false">IF(OR($Z686="",$U686=""),0,IFERROR(IF(COUNTIFS(INDEX(g_grid,0,2*MATCH($M686,강사DB!$A$4:$A$15,0)),"&lt;&gt;",g_s,"&lt;="&amp;$U686,g_e,"&gt;="&amp;$U686)&gt;0,1,0),0))</f>
        <v>0</v>
      </c>
      <c r="AE686" s="48"/>
      <c r="AF686" s="56" t="str">
        <f aca="false">IF(AND($D686&lt;&gt;"",$B686="결제완료",$T686="대여"),설정!$J$5,"")</f>
        <v/>
      </c>
      <c r="AG686" s="54" t="str">
        <f aca="false">IF($D686="","",IF(AND($E686="",$R686=""),$AB686,"☎ "&amp;IF($E686="","-",$E686)&amp;IF($R686&lt;&gt;"","  ※ "&amp;$R686,"")&amp;IF($B686="상담중"," (상담)","")))</f>
        <v/>
      </c>
      <c r="AH686" s="56" t="str">
        <f aca="false">IF(AND($D686&lt;&gt;"",$B686="결제완료",$O686="스마트스토어"),ROUND(N($N686)*설정!$J$6,0),"")</f>
        <v/>
      </c>
      <c r="AI686" s="54" t="str">
        <f aca="false">IF($D686="","",ROW())</f>
        <v/>
      </c>
      <c r="AJ686" s="54" t="n">
        <f aca="false">IF(OR($AC686&lt;&gt;1,$M686=""),0,IF(ISNUMBER(SEARCH("퇴사",IFERROR(INDEX(강사DB!$G$4:$G$53,MATCH($M686,강사DB!$A$4:$A$53,0)),""))),1,0))</f>
        <v>0</v>
      </c>
    </row>
    <row r="687" customFormat="false" ht="15" hidden="false" customHeight="false" outlineLevel="0" collapsed="false">
      <c r="A687" s="45" t="str">
        <f aca="false">IF($D687="","",COUNTA($D$5:$D687))</f>
        <v/>
      </c>
      <c r="B687" s="46"/>
      <c r="C687" s="47"/>
      <c r="D687" s="48"/>
      <c r="E687" s="48"/>
      <c r="F687" s="49"/>
      <c r="G687" s="47"/>
      <c r="H687" s="50"/>
      <c r="I687" s="50"/>
      <c r="J687" s="51" t="str">
        <f aca="false">IF(OR($V687="",$W687=""),"",ROUND(($W687-$V687)/60,2))</f>
        <v/>
      </c>
      <c r="K687" s="52" t="str">
        <f aca="false">IF($F687="","",LEN($F687)-LEN(SUBSTITUTE($F687,",",""))+1)</f>
        <v/>
      </c>
      <c r="L687" s="45" t="str">
        <f aca="false">IF($K687="","","1:"&amp;$K687)</f>
        <v/>
      </c>
      <c r="M687" s="46"/>
      <c r="N687" s="53"/>
      <c r="O687" s="46"/>
      <c r="P687" s="47"/>
      <c r="Q687" s="48"/>
      <c r="R687" s="49"/>
      <c r="S687" s="54" t="str">
        <f aca="false">IF(OR($AC687=0,$U687="",$M687="",$V687="",$W687=""),"",IF(COUNTIFS(m_teacher,$M687,m_date,$U687,m_active,1,m_start,"&lt;"&amp;$W687,m_end,"&gt;"&amp;$V687)&gt;1,"충돌",""))</f>
        <v/>
      </c>
      <c r="T687" s="48"/>
      <c r="U687" s="55" t="str">
        <f aca="false">IF($G687="","",IFERROR(IF(ISNUMBER($G687),IF($G687&gt;19000000,DATE(INT($G687/10000),MOD(INT($G687/100),100),MOD($G687,100)),INT($G687)),IF(LEN(SUBSTITUTE(SUBSTITUTE(SUBSTITUTE(TRIM($G687),"-",""),".",""),"/",""))=8,DATE(VALUE(LEFT(SUBSTITUTE(SUBSTITUTE(SUBSTITUTE(TRIM($G687),"-",""),".",""),"/",""),4)),VALUE(MID(SUBSTITUTE(SUBSTITUTE(SUBSTITUTE(TRIM($G687),"-",""),".",""),"/",""),5,2)),VALUE(RIGHT(SUBSTITUTE(SUBSTITUTE(SUBSTITUTE(TRIM($G687),"-",""),".",""),"/",""),2))),DATEVALUE($G687))),""))</f>
        <v/>
      </c>
      <c r="V687" s="52" t="str">
        <f aca="false">IF($H687="","",IFERROR(IF(IF(ISNUMBER($H687),$H687,IFERROR(TIMEVALUE($H687),VALUE($H687)))&gt;=100,INT(IF(ISNUMBER($H687),$H687,IFERROR(TIMEVALUE($H687),VALUE($H687)))/100)*60+MOD(IF(ISNUMBER($H687),$H687,IFERROR(TIMEVALUE($H687),VALUE($H687))),100),IF(IF(ISNUMBER($H687),$H687,IFERROR(TIMEVALUE($H687),VALUE($H687)))&gt;=1,ROUND(IF(ISNUMBER($H687),$H687,IFERROR(TIMEVALUE($H687),VALUE($H687)))*60,0),ROUND(MOD(IF(ISNUMBER($H687),$H687,IFERROR(TIMEVALUE($H687),VALUE($H687))),1)*1440,0))),""))</f>
        <v/>
      </c>
      <c r="W687" s="52" t="str">
        <f aca="false">IF($I687="","",IFERROR(IF(IF(ISNUMBER($I687),$I687,IFERROR(TIMEVALUE($I687),VALUE($I687)))&gt;=100,INT(IF(ISNUMBER($I687),$I687,IFERROR(TIMEVALUE($I687),VALUE($I687)))/100)*60+MOD(IF(ISNUMBER($I687),$I687,IFERROR(TIMEVALUE($I687),VALUE($I687))),100),IF(IF(ISNUMBER($I687),$I687,IFERROR(TIMEVALUE($I687),VALUE($I687)))&gt;=1,ROUND(IF(ISNUMBER($I687),$I687,IFERROR(TIMEVALUE($I687),VALUE($I687)))*60,0),ROUND(MOD(IF(ISNUMBER($I687),$I687,IFERROR(TIMEVALUE($I687),VALUE($I687))),1)*1440,0))),""))</f>
        <v/>
      </c>
      <c r="X687" s="55" t="str">
        <f aca="false">IF($P687="","",IFERROR(IF(ISNUMBER($P687),IF($P687&gt;19000000,DATE(INT($P687/10000),MOD(INT($P687/100),100),MOD($P687,100)),INT($P687)),IF(LEN(SUBSTITUTE(SUBSTITUTE(SUBSTITUTE(TRIM($P687),"-",""),".",""),"/",""))=8,DATE(VALUE(LEFT(SUBSTITUTE(SUBSTITUTE(SUBSTITUTE(TRIM($P687),"-",""),".",""),"/",""),4)),VALUE(MID(SUBSTITUTE(SUBSTITUTE(SUBSTITUTE(TRIM($P687),"-",""),".",""),"/",""),5,2)),VALUE(RIGHT(SUBSTITUTE(SUBSTITUTE(SUBSTITUTE(TRIM($P687),"-",""),".",""),"/",""),2))),DATEVALUE($P687))),""))</f>
        <v/>
      </c>
      <c r="Y687" s="56" t="str">
        <f aca="false">IF($M687="","",IFERROR(INDEX(강사DB!$D$4:$D$53,MATCH($M687,강사DB!$A$4:$A$53,0)),""))</f>
        <v/>
      </c>
      <c r="Z687" s="56" t="str">
        <f aca="false">IF($B687&lt;&gt;"결제완료","",IF(OR($Y687="",$J687=""),"",$Y687*$J687+MAX(0,N($K687)-1)*설정!$J$7))</f>
        <v/>
      </c>
      <c r="AA687" s="56" t="str">
        <f aca="false">IF(AND($D687&lt;&gt;"",$B687="결제완료"),N($N687),"")</f>
        <v/>
      </c>
      <c r="AB687" s="45" t="str">
        <f aca="false">IF($D687="","",IF($F687&lt;&gt;"",$F687,$D687)&amp;IF($B687="상담중"," (상담)",""))</f>
        <v/>
      </c>
      <c r="AC687" s="45" t="n">
        <f aca="false">IF(AND($D687&lt;&gt;"",OR($B687="결제완료",$B687="상담중")),1,0)</f>
        <v>0</v>
      </c>
      <c r="AD687" s="45" t="n">
        <f aca="false">IF(OR($Z687="",$U687=""),0,IFERROR(IF(COUNTIFS(INDEX(g_grid,0,2*MATCH($M687,강사DB!$A$4:$A$15,0)),"&lt;&gt;",g_s,"&lt;="&amp;$U687,g_e,"&gt;="&amp;$U687)&gt;0,1,0),0))</f>
        <v>0</v>
      </c>
      <c r="AE687" s="48"/>
      <c r="AF687" s="56" t="str">
        <f aca="false">IF(AND($D687&lt;&gt;"",$B687="결제완료",$T687="대여"),설정!$J$5,"")</f>
        <v/>
      </c>
      <c r="AG687" s="54" t="str">
        <f aca="false">IF($D687="","",IF(AND($E687="",$R687=""),$AB687,"☎ "&amp;IF($E687="","-",$E687)&amp;IF($R687&lt;&gt;"","  ※ "&amp;$R687,"")&amp;IF($B687="상담중"," (상담)","")))</f>
        <v/>
      </c>
      <c r="AH687" s="56" t="str">
        <f aca="false">IF(AND($D687&lt;&gt;"",$B687="결제완료",$O687="스마트스토어"),ROUND(N($N687)*설정!$J$6,0),"")</f>
        <v/>
      </c>
      <c r="AI687" s="54" t="str">
        <f aca="false">IF($D687="","",ROW())</f>
        <v/>
      </c>
      <c r="AJ687" s="54" t="n">
        <f aca="false">IF(OR($AC687&lt;&gt;1,$M687=""),0,IF(ISNUMBER(SEARCH("퇴사",IFERROR(INDEX(강사DB!$G$4:$G$53,MATCH($M687,강사DB!$A$4:$A$53,0)),""))),1,0))</f>
        <v>0</v>
      </c>
    </row>
    <row r="688" customFormat="false" ht="15" hidden="false" customHeight="false" outlineLevel="0" collapsed="false">
      <c r="A688" s="45" t="str">
        <f aca="false">IF($D688="","",COUNTA($D$5:$D688))</f>
        <v/>
      </c>
      <c r="B688" s="46"/>
      <c r="C688" s="47"/>
      <c r="D688" s="48"/>
      <c r="E688" s="48"/>
      <c r="F688" s="49"/>
      <c r="G688" s="47"/>
      <c r="H688" s="50"/>
      <c r="I688" s="50"/>
      <c r="J688" s="51" t="str">
        <f aca="false">IF(OR($V688="",$W688=""),"",ROUND(($W688-$V688)/60,2))</f>
        <v/>
      </c>
      <c r="K688" s="52" t="str">
        <f aca="false">IF($F688="","",LEN($F688)-LEN(SUBSTITUTE($F688,",",""))+1)</f>
        <v/>
      </c>
      <c r="L688" s="45" t="str">
        <f aca="false">IF($K688="","","1:"&amp;$K688)</f>
        <v/>
      </c>
      <c r="M688" s="46"/>
      <c r="N688" s="53"/>
      <c r="O688" s="46"/>
      <c r="P688" s="47"/>
      <c r="Q688" s="48"/>
      <c r="R688" s="49"/>
      <c r="S688" s="54" t="str">
        <f aca="false">IF(OR($AC688=0,$U688="",$M688="",$V688="",$W688=""),"",IF(COUNTIFS(m_teacher,$M688,m_date,$U688,m_active,1,m_start,"&lt;"&amp;$W688,m_end,"&gt;"&amp;$V688)&gt;1,"충돌",""))</f>
        <v/>
      </c>
      <c r="T688" s="48"/>
      <c r="U688" s="55" t="str">
        <f aca="false">IF($G688="","",IFERROR(IF(ISNUMBER($G688),IF($G688&gt;19000000,DATE(INT($G688/10000),MOD(INT($G688/100),100),MOD($G688,100)),INT($G688)),IF(LEN(SUBSTITUTE(SUBSTITUTE(SUBSTITUTE(TRIM($G688),"-",""),".",""),"/",""))=8,DATE(VALUE(LEFT(SUBSTITUTE(SUBSTITUTE(SUBSTITUTE(TRIM($G688),"-",""),".",""),"/",""),4)),VALUE(MID(SUBSTITUTE(SUBSTITUTE(SUBSTITUTE(TRIM($G688),"-",""),".",""),"/",""),5,2)),VALUE(RIGHT(SUBSTITUTE(SUBSTITUTE(SUBSTITUTE(TRIM($G688),"-",""),".",""),"/",""),2))),DATEVALUE($G688))),""))</f>
        <v/>
      </c>
      <c r="V688" s="52" t="str">
        <f aca="false">IF($H688="","",IFERROR(IF(IF(ISNUMBER($H688),$H688,IFERROR(TIMEVALUE($H688),VALUE($H688)))&gt;=100,INT(IF(ISNUMBER($H688),$H688,IFERROR(TIMEVALUE($H688),VALUE($H688)))/100)*60+MOD(IF(ISNUMBER($H688),$H688,IFERROR(TIMEVALUE($H688),VALUE($H688))),100),IF(IF(ISNUMBER($H688),$H688,IFERROR(TIMEVALUE($H688),VALUE($H688)))&gt;=1,ROUND(IF(ISNUMBER($H688),$H688,IFERROR(TIMEVALUE($H688),VALUE($H688)))*60,0),ROUND(MOD(IF(ISNUMBER($H688),$H688,IFERROR(TIMEVALUE($H688),VALUE($H688))),1)*1440,0))),""))</f>
        <v/>
      </c>
      <c r="W688" s="52" t="str">
        <f aca="false">IF($I688="","",IFERROR(IF(IF(ISNUMBER($I688),$I688,IFERROR(TIMEVALUE($I688),VALUE($I688)))&gt;=100,INT(IF(ISNUMBER($I688),$I688,IFERROR(TIMEVALUE($I688),VALUE($I688)))/100)*60+MOD(IF(ISNUMBER($I688),$I688,IFERROR(TIMEVALUE($I688),VALUE($I688))),100),IF(IF(ISNUMBER($I688),$I688,IFERROR(TIMEVALUE($I688),VALUE($I688)))&gt;=1,ROUND(IF(ISNUMBER($I688),$I688,IFERROR(TIMEVALUE($I688),VALUE($I688)))*60,0),ROUND(MOD(IF(ISNUMBER($I688),$I688,IFERROR(TIMEVALUE($I688),VALUE($I688))),1)*1440,0))),""))</f>
        <v/>
      </c>
      <c r="X688" s="55" t="str">
        <f aca="false">IF($P688="","",IFERROR(IF(ISNUMBER($P688),IF($P688&gt;19000000,DATE(INT($P688/10000),MOD(INT($P688/100),100),MOD($P688,100)),INT($P688)),IF(LEN(SUBSTITUTE(SUBSTITUTE(SUBSTITUTE(TRIM($P688),"-",""),".",""),"/",""))=8,DATE(VALUE(LEFT(SUBSTITUTE(SUBSTITUTE(SUBSTITUTE(TRIM($P688),"-",""),".",""),"/",""),4)),VALUE(MID(SUBSTITUTE(SUBSTITUTE(SUBSTITUTE(TRIM($P688),"-",""),".",""),"/",""),5,2)),VALUE(RIGHT(SUBSTITUTE(SUBSTITUTE(SUBSTITUTE(TRIM($P688),"-",""),".",""),"/",""),2))),DATEVALUE($P688))),""))</f>
        <v/>
      </c>
      <c r="Y688" s="56" t="str">
        <f aca="false">IF($M688="","",IFERROR(INDEX(강사DB!$D$4:$D$53,MATCH($M688,강사DB!$A$4:$A$53,0)),""))</f>
        <v/>
      </c>
      <c r="Z688" s="56" t="str">
        <f aca="false">IF($B688&lt;&gt;"결제완료","",IF(OR($Y688="",$J688=""),"",$Y688*$J688+MAX(0,N($K688)-1)*설정!$J$7))</f>
        <v/>
      </c>
      <c r="AA688" s="56" t="str">
        <f aca="false">IF(AND($D688&lt;&gt;"",$B688="결제완료"),N($N688),"")</f>
        <v/>
      </c>
      <c r="AB688" s="45" t="str">
        <f aca="false">IF($D688="","",IF($F688&lt;&gt;"",$F688,$D688)&amp;IF($B688="상담중"," (상담)",""))</f>
        <v/>
      </c>
      <c r="AC688" s="45" t="n">
        <f aca="false">IF(AND($D688&lt;&gt;"",OR($B688="결제완료",$B688="상담중")),1,0)</f>
        <v>0</v>
      </c>
      <c r="AD688" s="45" t="n">
        <f aca="false">IF(OR($Z688="",$U688=""),0,IFERROR(IF(COUNTIFS(INDEX(g_grid,0,2*MATCH($M688,강사DB!$A$4:$A$15,0)),"&lt;&gt;",g_s,"&lt;="&amp;$U688,g_e,"&gt;="&amp;$U688)&gt;0,1,0),0))</f>
        <v>0</v>
      </c>
      <c r="AE688" s="48"/>
      <c r="AF688" s="56" t="str">
        <f aca="false">IF(AND($D688&lt;&gt;"",$B688="결제완료",$T688="대여"),설정!$J$5,"")</f>
        <v/>
      </c>
      <c r="AG688" s="54" t="str">
        <f aca="false">IF($D688="","",IF(AND($E688="",$R688=""),$AB688,"☎ "&amp;IF($E688="","-",$E688)&amp;IF($R688&lt;&gt;"","  ※ "&amp;$R688,"")&amp;IF($B688="상담중"," (상담)","")))</f>
        <v/>
      </c>
      <c r="AH688" s="56" t="str">
        <f aca="false">IF(AND($D688&lt;&gt;"",$B688="결제완료",$O688="스마트스토어"),ROUND(N($N688)*설정!$J$6,0),"")</f>
        <v/>
      </c>
      <c r="AI688" s="54" t="str">
        <f aca="false">IF($D688="","",ROW())</f>
        <v/>
      </c>
      <c r="AJ688" s="54" t="n">
        <f aca="false">IF(OR($AC688&lt;&gt;1,$M688=""),0,IF(ISNUMBER(SEARCH("퇴사",IFERROR(INDEX(강사DB!$G$4:$G$53,MATCH($M688,강사DB!$A$4:$A$53,0)),""))),1,0))</f>
        <v>0</v>
      </c>
    </row>
    <row r="689" customFormat="false" ht="15" hidden="false" customHeight="false" outlineLevel="0" collapsed="false">
      <c r="A689" s="45" t="str">
        <f aca="false">IF($D689="","",COUNTA($D$5:$D689))</f>
        <v/>
      </c>
      <c r="B689" s="46"/>
      <c r="C689" s="47"/>
      <c r="D689" s="48"/>
      <c r="E689" s="48"/>
      <c r="F689" s="49"/>
      <c r="G689" s="47"/>
      <c r="H689" s="50"/>
      <c r="I689" s="50"/>
      <c r="J689" s="51" t="str">
        <f aca="false">IF(OR($V689="",$W689=""),"",ROUND(($W689-$V689)/60,2))</f>
        <v/>
      </c>
      <c r="K689" s="52" t="str">
        <f aca="false">IF($F689="","",LEN($F689)-LEN(SUBSTITUTE($F689,",",""))+1)</f>
        <v/>
      </c>
      <c r="L689" s="45" t="str">
        <f aca="false">IF($K689="","","1:"&amp;$K689)</f>
        <v/>
      </c>
      <c r="M689" s="46"/>
      <c r="N689" s="53"/>
      <c r="O689" s="46"/>
      <c r="P689" s="47"/>
      <c r="Q689" s="48"/>
      <c r="R689" s="49"/>
      <c r="S689" s="54" t="str">
        <f aca="false">IF(OR($AC689=0,$U689="",$M689="",$V689="",$W689=""),"",IF(COUNTIFS(m_teacher,$M689,m_date,$U689,m_active,1,m_start,"&lt;"&amp;$W689,m_end,"&gt;"&amp;$V689)&gt;1,"충돌",""))</f>
        <v/>
      </c>
      <c r="T689" s="48"/>
      <c r="U689" s="55" t="str">
        <f aca="false">IF($G689="","",IFERROR(IF(ISNUMBER($G689),IF($G689&gt;19000000,DATE(INT($G689/10000),MOD(INT($G689/100),100),MOD($G689,100)),INT($G689)),IF(LEN(SUBSTITUTE(SUBSTITUTE(SUBSTITUTE(TRIM($G689),"-",""),".",""),"/",""))=8,DATE(VALUE(LEFT(SUBSTITUTE(SUBSTITUTE(SUBSTITUTE(TRIM($G689),"-",""),".",""),"/",""),4)),VALUE(MID(SUBSTITUTE(SUBSTITUTE(SUBSTITUTE(TRIM($G689),"-",""),".",""),"/",""),5,2)),VALUE(RIGHT(SUBSTITUTE(SUBSTITUTE(SUBSTITUTE(TRIM($G689),"-",""),".",""),"/",""),2))),DATEVALUE($G689))),""))</f>
        <v/>
      </c>
      <c r="V689" s="52" t="str">
        <f aca="false">IF($H689="","",IFERROR(IF(IF(ISNUMBER($H689),$H689,IFERROR(TIMEVALUE($H689),VALUE($H689)))&gt;=100,INT(IF(ISNUMBER($H689),$H689,IFERROR(TIMEVALUE($H689),VALUE($H689)))/100)*60+MOD(IF(ISNUMBER($H689),$H689,IFERROR(TIMEVALUE($H689),VALUE($H689))),100),IF(IF(ISNUMBER($H689),$H689,IFERROR(TIMEVALUE($H689),VALUE($H689)))&gt;=1,ROUND(IF(ISNUMBER($H689),$H689,IFERROR(TIMEVALUE($H689),VALUE($H689)))*60,0),ROUND(MOD(IF(ISNUMBER($H689),$H689,IFERROR(TIMEVALUE($H689),VALUE($H689))),1)*1440,0))),""))</f>
        <v/>
      </c>
      <c r="W689" s="52" t="str">
        <f aca="false">IF($I689="","",IFERROR(IF(IF(ISNUMBER($I689),$I689,IFERROR(TIMEVALUE($I689),VALUE($I689)))&gt;=100,INT(IF(ISNUMBER($I689),$I689,IFERROR(TIMEVALUE($I689),VALUE($I689)))/100)*60+MOD(IF(ISNUMBER($I689),$I689,IFERROR(TIMEVALUE($I689),VALUE($I689))),100),IF(IF(ISNUMBER($I689),$I689,IFERROR(TIMEVALUE($I689),VALUE($I689)))&gt;=1,ROUND(IF(ISNUMBER($I689),$I689,IFERROR(TIMEVALUE($I689),VALUE($I689)))*60,0),ROUND(MOD(IF(ISNUMBER($I689),$I689,IFERROR(TIMEVALUE($I689),VALUE($I689))),1)*1440,0))),""))</f>
        <v/>
      </c>
      <c r="X689" s="55" t="str">
        <f aca="false">IF($P689="","",IFERROR(IF(ISNUMBER($P689),IF($P689&gt;19000000,DATE(INT($P689/10000),MOD(INT($P689/100),100),MOD($P689,100)),INT($P689)),IF(LEN(SUBSTITUTE(SUBSTITUTE(SUBSTITUTE(TRIM($P689),"-",""),".",""),"/",""))=8,DATE(VALUE(LEFT(SUBSTITUTE(SUBSTITUTE(SUBSTITUTE(TRIM($P689),"-",""),".",""),"/",""),4)),VALUE(MID(SUBSTITUTE(SUBSTITUTE(SUBSTITUTE(TRIM($P689),"-",""),".",""),"/",""),5,2)),VALUE(RIGHT(SUBSTITUTE(SUBSTITUTE(SUBSTITUTE(TRIM($P689),"-",""),".",""),"/",""),2))),DATEVALUE($P689))),""))</f>
        <v/>
      </c>
      <c r="Y689" s="56" t="str">
        <f aca="false">IF($M689="","",IFERROR(INDEX(강사DB!$D$4:$D$53,MATCH($M689,강사DB!$A$4:$A$53,0)),""))</f>
        <v/>
      </c>
      <c r="Z689" s="56" t="str">
        <f aca="false">IF($B689&lt;&gt;"결제완료","",IF(OR($Y689="",$J689=""),"",$Y689*$J689+MAX(0,N($K689)-1)*설정!$J$7))</f>
        <v/>
      </c>
      <c r="AA689" s="56" t="str">
        <f aca="false">IF(AND($D689&lt;&gt;"",$B689="결제완료"),N($N689),"")</f>
        <v/>
      </c>
      <c r="AB689" s="45" t="str">
        <f aca="false">IF($D689="","",IF($F689&lt;&gt;"",$F689,$D689)&amp;IF($B689="상담중"," (상담)",""))</f>
        <v/>
      </c>
      <c r="AC689" s="45" t="n">
        <f aca="false">IF(AND($D689&lt;&gt;"",OR($B689="결제완료",$B689="상담중")),1,0)</f>
        <v>0</v>
      </c>
      <c r="AD689" s="45" t="n">
        <f aca="false">IF(OR($Z689="",$U689=""),0,IFERROR(IF(COUNTIFS(INDEX(g_grid,0,2*MATCH($M689,강사DB!$A$4:$A$15,0)),"&lt;&gt;",g_s,"&lt;="&amp;$U689,g_e,"&gt;="&amp;$U689)&gt;0,1,0),0))</f>
        <v>0</v>
      </c>
      <c r="AE689" s="48"/>
      <c r="AF689" s="56" t="str">
        <f aca="false">IF(AND($D689&lt;&gt;"",$B689="결제완료",$T689="대여"),설정!$J$5,"")</f>
        <v/>
      </c>
      <c r="AG689" s="54" t="str">
        <f aca="false">IF($D689="","",IF(AND($E689="",$R689=""),$AB689,"☎ "&amp;IF($E689="","-",$E689)&amp;IF($R689&lt;&gt;"","  ※ "&amp;$R689,"")&amp;IF($B689="상담중"," (상담)","")))</f>
        <v/>
      </c>
      <c r="AH689" s="56" t="str">
        <f aca="false">IF(AND($D689&lt;&gt;"",$B689="결제완료",$O689="스마트스토어"),ROUND(N($N689)*설정!$J$6,0),"")</f>
        <v/>
      </c>
      <c r="AI689" s="54" t="str">
        <f aca="false">IF($D689="","",ROW())</f>
        <v/>
      </c>
      <c r="AJ689" s="54" t="n">
        <f aca="false">IF(OR($AC689&lt;&gt;1,$M689=""),0,IF(ISNUMBER(SEARCH("퇴사",IFERROR(INDEX(강사DB!$G$4:$G$53,MATCH($M689,강사DB!$A$4:$A$53,0)),""))),1,0))</f>
        <v>0</v>
      </c>
    </row>
    <row r="690" customFormat="false" ht="15" hidden="false" customHeight="false" outlineLevel="0" collapsed="false">
      <c r="A690" s="45" t="str">
        <f aca="false">IF($D690="","",COUNTA($D$5:$D690))</f>
        <v/>
      </c>
      <c r="B690" s="46"/>
      <c r="C690" s="47"/>
      <c r="D690" s="48"/>
      <c r="E690" s="48"/>
      <c r="F690" s="49"/>
      <c r="G690" s="47"/>
      <c r="H690" s="50"/>
      <c r="I690" s="50"/>
      <c r="J690" s="51" t="str">
        <f aca="false">IF(OR($V690="",$W690=""),"",ROUND(($W690-$V690)/60,2))</f>
        <v/>
      </c>
      <c r="K690" s="52" t="str">
        <f aca="false">IF($F690="","",LEN($F690)-LEN(SUBSTITUTE($F690,",",""))+1)</f>
        <v/>
      </c>
      <c r="L690" s="45" t="str">
        <f aca="false">IF($K690="","","1:"&amp;$K690)</f>
        <v/>
      </c>
      <c r="M690" s="46"/>
      <c r="N690" s="53"/>
      <c r="O690" s="46"/>
      <c r="P690" s="47"/>
      <c r="Q690" s="48"/>
      <c r="R690" s="49"/>
      <c r="S690" s="54" t="str">
        <f aca="false">IF(OR($AC690=0,$U690="",$M690="",$V690="",$W690=""),"",IF(COUNTIFS(m_teacher,$M690,m_date,$U690,m_active,1,m_start,"&lt;"&amp;$W690,m_end,"&gt;"&amp;$V690)&gt;1,"충돌",""))</f>
        <v/>
      </c>
      <c r="T690" s="48"/>
      <c r="U690" s="55" t="str">
        <f aca="false">IF($G690="","",IFERROR(IF(ISNUMBER($G690),IF($G690&gt;19000000,DATE(INT($G690/10000),MOD(INT($G690/100),100),MOD($G690,100)),INT($G690)),IF(LEN(SUBSTITUTE(SUBSTITUTE(SUBSTITUTE(TRIM($G690),"-",""),".",""),"/",""))=8,DATE(VALUE(LEFT(SUBSTITUTE(SUBSTITUTE(SUBSTITUTE(TRIM($G690),"-",""),".",""),"/",""),4)),VALUE(MID(SUBSTITUTE(SUBSTITUTE(SUBSTITUTE(TRIM($G690),"-",""),".",""),"/",""),5,2)),VALUE(RIGHT(SUBSTITUTE(SUBSTITUTE(SUBSTITUTE(TRIM($G690),"-",""),".",""),"/",""),2))),DATEVALUE($G690))),""))</f>
        <v/>
      </c>
      <c r="V690" s="52" t="str">
        <f aca="false">IF($H690="","",IFERROR(IF(IF(ISNUMBER($H690),$H690,IFERROR(TIMEVALUE($H690),VALUE($H690)))&gt;=100,INT(IF(ISNUMBER($H690),$H690,IFERROR(TIMEVALUE($H690),VALUE($H690)))/100)*60+MOD(IF(ISNUMBER($H690),$H690,IFERROR(TIMEVALUE($H690),VALUE($H690))),100),IF(IF(ISNUMBER($H690),$H690,IFERROR(TIMEVALUE($H690),VALUE($H690)))&gt;=1,ROUND(IF(ISNUMBER($H690),$H690,IFERROR(TIMEVALUE($H690),VALUE($H690)))*60,0),ROUND(MOD(IF(ISNUMBER($H690),$H690,IFERROR(TIMEVALUE($H690),VALUE($H690))),1)*1440,0))),""))</f>
        <v/>
      </c>
      <c r="W690" s="52" t="str">
        <f aca="false">IF($I690="","",IFERROR(IF(IF(ISNUMBER($I690),$I690,IFERROR(TIMEVALUE($I690),VALUE($I690)))&gt;=100,INT(IF(ISNUMBER($I690),$I690,IFERROR(TIMEVALUE($I690),VALUE($I690)))/100)*60+MOD(IF(ISNUMBER($I690),$I690,IFERROR(TIMEVALUE($I690),VALUE($I690))),100),IF(IF(ISNUMBER($I690),$I690,IFERROR(TIMEVALUE($I690),VALUE($I690)))&gt;=1,ROUND(IF(ISNUMBER($I690),$I690,IFERROR(TIMEVALUE($I690),VALUE($I690)))*60,0),ROUND(MOD(IF(ISNUMBER($I690),$I690,IFERROR(TIMEVALUE($I690),VALUE($I690))),1)*1440,0))),""))</f>
        <v/>
      </c>
      <c r="X690" s="55" t="str">
        <f aca="false">IF($P690="","",IFERROR(IF(ISNUMBER($P690),IF($P690&gt;19000000,DATE(INT($P690/10000),MOD(INT($P690/100),100),MOD($P690,100)),INT($P690)),IF(LEN(SUBSTITUTE(SUBSTITUTE(SUBSTITUTE(TRIM($P690),"-",""),".",""),"/",""))=8,DATE(VALUE(LEFT(SUBSTITUTE(SUBSTITUTE(SUBSTITUTE(TRIM($P690),"-",""),".",""),"/",""),4)),VALUE(MID(SUBSTITUTE(SUBSTITUTE(SUBSTITUTE(TRIM($P690),"-",""),".",""),"/",""),5,2)),VALUE(RIGHT(SUBSTITUTE(SUBSTITUTE(SUBSTITUTE(TRIM($P690),"-",""),".",""),"/",""),2))),DATEVALUE($P690))),""))</f>
        <v/>
      </c>
      <c r="Y690" s="56" t="str">
        <f aca="false">IF($M690="","",IFERROR(INDEX(강사DB!$D$4:$D$53,MATCH($M690,강사DB!$A$4:$A$53,0)),""))</f>
        <v/>
      </c>
      <c r="Z690" s="56" t="str">
        <f aca="false">IF($B690&lt;&gt;"결제완료","",IF(OR($Y690="",$J690=""),"",$Y690*$J690+MAX(0,N($K690)-1)*설정!$J$7))</f>
        <v/>
      </c>
      <c r="AA690" s="56" t="str">
        <f aca="false">IF(AND($D690&lt;&gt;"",$B690="결제완료"),N($N690),"")</f>
        <v/>
      </c>
      <c r="AB690" s="45" t="str">
        <f aca="false">IF($D690="","",IF($F690&lt;&gt;"",$F690,$D690)&amp;IF($B690="상담중"," (상담)",""))</f>
        <v/>
      </c>
      <c r="AC690" s="45" t="n">
        <f aca="false">IF(AND($D690&lt;&gt;"",OR($B690="결제완료",$B690="상담중")),1,0)</f>
        <v>0</v>
      </c>
      <c r="AD690" s="45" t="n">
        <f aca="false">IF(OR($Z690="",$U690=""),0,IFERROR(IF(COUNTIFS(INDEX(g_grid,0,2*MATCH($M690,강사DB!$A$4:$A$15,0)),"&lt;&gt;",g_s,"&lt;="&amp;$U690,g_e,"&gt;="&amp;$U690)&gt;0,1,0),0))</f>
        <v>0</v>
      </c>
      <c r="AE690" s="48"/>
      <c r="AF690" s="56" t="str">
        <f aca="false">IF(AND($D690&lt;&gt;"",$B690="결제완료",$T690="대여"),설정!$J$5,"")</f>
        <v/>
      </c>
      <c r="AG690" s="54" t="str">
        <f aca="false">IF($D690="","",IF(AND($E690="",$R690=""),$AB690,"☎ "&amp;IF($E690="","-",$E690)&amp;IF($R690&lt;&gt;"","  ※ "&amp;$R690,"")&amp;IF($B690="상담중"," (상담)","")))</f>
        <v/>
      </c>
      <c r="AH690" s="56" t="str">
        <f aca="false">IF(AND($D690&lt;&gt;"",$B690="결제완료",$O690="스마트스토어"),ROUND(N($N690)*설정!$J$6,0),"")</f>
        <v/>
      </c>
      <c r="AI690" s="54" t="str">
        <f aca="false">IF($D690="","",ROW())</f>
        <v/>
      </c>
      <c r="AJ690" s="54" t="n">
        <f aca="false">IF(OR($AC690&lt;&gt;1,$M690=""),0,IF(ISNUMBER(SEARCH("퇴사",IFERROR(INDEX(강사DB!$G$4:$G$53,MATCH($M690,강사DB!$A$4:$A$53,0)),""))),1,0))</f>
        <v>0</v>
      </c>
    </row>
    <row r="691" customFormat="false" ht="15" hidden="false" customHeight="false" outlineLevel="0" collapsed="false">
      <c r="A691" s="45" t="str">
        <f aca="false">IF($D691="","",COUNTA($D$5:$D691))</f>
        <v/>
      </c>
      <c r="B691" s="46"/>
      <c r="C691" s="47"/>
      <c r="D691" s="48"/>
      <c r="E691" s="48"/>
      <c r="F691" s="49"/>
      <c r="G691" s="47"/>
      <c r="H691" s="50"/>
      <c r="I691" s="50"/>
      <c r="J691" s="51" t="str">
        <f aca="false">IF(OR($V691="",$W691=""),"",ROUND(($W691-$V691)/60,2))</f>
        <v/>
      </c>
      <c r="K691" s="52" t="str">
        <f aca="false">IF($F691="","",LEN($F691)-LEN(SUBSTITUTE($F691,",",""))+1)</f>
        <v/>
      </c>
      <c r="L691" s="45" t="str">
        <f aca="false">IF($K691="","","1:"&amp;$K691)</f>
        <v/>
      </c>
      <c r="M691" s="46"/>
      <c r="N691" s="53"/>
      <c r="O691" s="46"/>
      <c r="P691" s="47"/>
      <c r="Q691" s="48"/>
      <c r="R691" s="49"/>
      <c r="S691" s="54" t="str">
        <f aca="false">IF(OR($AC691=0,$U691="",$M691="",$V691="",$W691=""),"",IF(COUNTIFS(m_teacher,$M691,m_date,$U691,m_active,1,m_start,"&lt;"&amp;$W691,m_end,"&gt;"&amp;$V691)&gt;1,"충돌",""))</f>
        <v/>
      </c>
      <c r="T691" s="48"/>
      <c r="U691" s="55" t="str">
        <f aca="false">IF($G691="","",IFERROR(IF(ISNUMBER($G691),IF($G691&gt;19000000,DATE(INT($G691/10000),MOD(INT($G691/100),100),MOD($G691,100)),INT($G691)),IF(LEN(SUBSTITUTE(SUBSTITUTE(SUBSTITUTE(TRIM($G691),"-",""),".",""),"/",""))=8,DATE(VALUE(LEFT(SUBSTITUTE(SUBSTITUTE(SUBSTITUTE(TRIM($G691),"-",""),".",""),"/",""),4)),VALUE(MID(SUBSTITUTE(SUBSTITUTE(SUBSTITUTE(TRIM($G691),"-",""),".",""),"/",""),5,2)),VALUE(RIGHT(SUBSTITUTE(SUBSTITUTE(SUBSTITUTE(TRIM($G691),"-",""),".",""),"/",""),2))),DATEVALUE($G691))),""))</f>
        <v/>
      </c>
      <c r="V691" s="52" t="str">
        <f aca="false">IF($H691="","",IFERROR(IF(IF(ISNUMBER($H691),$H691,IFERROR(TIMEVALUE($H691),VALUE($H691)))&gt;=100,INT(IF(ISNUMBER($H691),$H691,IFERROR(TIMEVALUE($H691),VALUE($H691)))/100)*60+MOD(IF(ISNUMBER($H691),$H691,IFERROR(TIMEVALUE($H691),VALUE($H691))),100),IF(IF(ISNUMBER($H691),$H691,IFERROR(TIMEVALUE($H691),VALUE($H691)))&gt;=1,ROUND(IF(ISNUMBER($H691),$H691,IFERROR(TIMEVALUE($H691),VALUE($H691)))*60,0),ROUND(MOD(IF(ISNUMBER($H691),$H691,IFERROR(TIMEVALUE($H691),VALUE($H691))),1)*1440,0))),""))</f>
        <v/>
      </c>
      <c r="W691" s="52" t="str">
        <f aca="false">IF($I691="","",IFERROR(IF(IF(ISNUMBER($I691),$I691,IFERROR(TIMEVALUE($I691),VALUE($I691)))&gt;=100,INT(IF(ISNUMBER($I691),$I691,IFERROR(TIMEVALUE($I691),VALUE($I691)))/100)*60+MOD(IF(ISNUMBER($I691),$I691,IFERROR(TIMEVALUE($I691),VALUE($I691))),100),IF(IF(ISNUMBER($I691),$I691,IFERROR(TIMEVALUE($I691),VALUE($I691)))&gt;=1,ROUND(IF(ISNUMBER($I691),$I691,IFERROR(TIMEVALUE($I691),VALUE($I691)))*60,0),ROUND(MOD(IF(ISNUMBER($I691),$I691,IFERROR(TIMEVALUE($I691),VALUE($I691))),1)*1440,0))),""))</f>
        <v/>
      </c>
      <c r="X691" s="55" t="str">
        <f aca="false">IF($P691="","",IFERROR(IF(ISNUMBER($P691),IF($P691&gt;19000000,DATE(INT($P691/10000),MOD(INT($P691/100),100),MOD($P691,100)),INT($P691)),IF(LEN(SUBSTITUTE(SUBSTITUTE(SUBSTITUTE(TRIM($P691),"-",""),".",""),"/",""))=8,DATE(VALUE(LEFT(SUBSTITUTE(SUBSTITUTE(SUBSTITUTE(TRIM($P691),"-",""),".",""),"/",""),4)),VALUE(MID(SUBSTITUTE(SUBSTITUTE(SUBSTITUTE(TRIM($P691),"-",""),".",""),"/",""),5,2)),VALUE(RIGHT(SUBSTITUTE(SUBSTITUTE(SUBSTITUTE(TRIM($P691),"-",""),".",""),"/",""),2))),DATEVALUE($P691))),""))</f>
        <v/>
      </c>
      <c r="Y691" s="56" t="str">
        <f aca="false">IF($M691="","",IFERROR(INDEX(강사DB!$D$4:$D$53,MATCH($M691,강사DB!$A$4:$A$53,0)),""))</f>
        <v/>
      </c>
      <c r="Z691" s="56" t="str">
        <f aca="false">IF($B691&lt;&gt;"결제완료","",IF(OR($Y691="",$J691=""),"",$Y691*$J691+MAX(0,N($K691)-1)*설정!$J$7))</f>
        <v/>
      </c>
      <c r="AA691" s="56" t="str">
        <f aca="false">IF(AND($D691&lt;&gt;"",$B691="결제완료"),N($N691),"")</f>
        <v/>
      </c>
      <c r="AB691" s="45" t="str">
        <f aca="false">IF($D691="","",IF($F691&lt;&gt;"",$F691,$D691)&amp;IF($B691="상담중"," (상담)",""))</f>
        <v/>
      </c>
      <c r="AC691" s="45" t="n">
        <f aca="false">IF(AND($D691&lt;&gt;"",OR($B691="결제완료",$B691="상담중")),1,0)</f>
        <v>0</v>
      </c>
      <c r="AD691" s="45" t="n">
        <f aca="false">IF(OR($Z691="",$U691=""),0,IFERROR(IF(COUNTIFS(INDEX(g_grid,0,2*MATCH($M691,강사DB!$A$4:$A$15,0)),"&lt;&gt;",g_s,"&lt;="&amp;$U691,g_e,"&gt;="&amp;$U691)&gt;0,1,0),0))</f>
        <v>0</v>
      </c>
      <c r="AE691" s="48"/>
      <c r="AF691" s="56" t="str">
        <f aca="false">IF(AND($D691&lt;&gt;"",$B691="결제완료",$T691="대여"),설정!$J$5,"")</f>
        <v/>
      </c>
      <c r="AG691" s="54" t="str">
        <f aca="false">IF($D691="","",IF(AND($E691="",$R691=""),$AB691,"☎ "&amp;IF($E691="","-",$E691)&amp;IF($R691&lt;&gt;"","  ※ "&amp;$R691,"")&amp;IF($B691="상담중"," (상담)","")))</f>
        <v/>
      </c>
      <c r="AH691" s="56" t="str">
        <f aca="false">IF(AND($D691&lt;&gt;"",$B691="결제완료",$O691="스마트스토어"),ROUND(N($N691)*설정!$J$6,0),"")</f>
        <v/>
      </c>
      <c r="AI691" s="54" t="str">
        <f aca="false">IF($D691="","",ROW())</f>
        <v/>
      </c>
      <c r="AJ691" s="54" t="n">
        <f aca="false">IF(OR($AC691&lt;&gt;1,$M691=""),0,IF(ISNUMBER(SEARCH("퇴사",IFERROR(INDEX(강사DB!$G$4:$G$53,MATCH($M691,강사DB!$A$4:$A$53,0)),""))),1,0))</f>
        <v>0</v>
      </c>
    </row>
    <row r="692" customFormat="false" ht="15" hidden="false" customHeight="false" outlineLevel="0" collapsed="false">
      <c r="A692" s="45" t="str">
        <f aca="false">IF($D692="","",COUNTA($D$5:$D692))</f>
        <v/>
      </c>
      <c r="B692" s="46"/>
      <c r="C692" s="47"/>
      <c r="D692" s="48"/>
      <c r="E692" s="48"/>
      <c r="F692" s="49"/>
      <c r="G692" s="47"/>
      <c r="H692" s="50"/>
      <c r="I692" s="50"/>
      <c r="J692" s="51" t="str">
        <f aca="false">IF(OR($V692="",$W692=""),"",ROUND(($W692-$V692)/60,2))</f>
        <v/>
      </c>
      <c r="K692" s="52" t="str">
        <f aca="false">IF($F692="","",LEN($F692)-LEN(SUBSTITUTE($F692,",",""))+1)</f>
        <v/>
      </c>
      <c r="L692" s="45" t="str">
        <f aca="false">IF($K692="","","1:"&amp;$K692)</f>
        <v/>
      </c>
      <c r="M692" s="46"/>
      <c r="N692" s="53"/>
      <c r="O692" s="46"/>
      <c r="P692" s="47"/>
      <c r="Q692" s="48"/>
      <c r="R692" s="49"/>
      <c r="S692" s="54" t="str">
        <f aca="false">IF(OR($AC692=0,$U692="",$M692="",$V692="",$W692=""),"",IF(COUNTIFS(m_teacher,$M692,m_date,$U692,m_active,1,m_start,"&lt;"&amp;$W692,m_end,"&gt;"&amp;$V692)&gt;1,"충돌",""))</f>
        <v/>
      </c>
      <c r="T692" s="48"/>
      <c r="U692" s="55" t="str">
        <f aca="false">IF($G692="","",IFERROR(IF(ISNUMBER($G692),IF($G692&gt;19000000,DATE(INT($G692/10000),MOD(INT($G692/100),100),MOD($G692,100)),INT($G692)),IF(LEN(SUBSTITUTE(SUBSTITUTE(SUBSTITUTE(TRIM($G692),"-",""),".",""),"/",""))=8,DATE(VALUE(LEFT(SUBSTITUTE(SUBSTITUTE(SUBSTITUTE(TRIM($G692),"-",""),".",""),"/",""),4)),VALUE(MID(SUBSTITUTE(SUBSTITUTE(SUBSTITUTE(TRIM($G692),"-",""),".",""),"/",""),5,2)),VALUE(RIGHT(SUBSTITUTE(SUBSTITUTE(SUBSTITUTE(TRIM($G692),"-",""),".",""),"/",""),2))),DATEVALUE($G692))),""))</f>
        <v/>
      </c>
      <c r="V692" s="52" t="str">
        <f aca="false">IF($H692="","",IFERROR(IF(IF(ISNUMBER($H692),$H692,IFERROR(TIMEVALUE($H692),VALUE($H692)))&gt;=100,INT(IF(ISNUMBER($H692),$H692,IFERROR(TIMEVALUE($H692),VALUE($H692)))/100)*60+MOD(IF(ISNUMBER($H692),$H692,IFERROR(TIMEVALUE($H692),VALUE($H692))),100),IF(IF(ISNUMBER($H692),$H692,IFERROR(TIMEVALUE($H692),VALUE($H692)))&gt;=1,ROUND(IF(ISNUMBER($H692),$H692,IFERROR(TIMEVALUE($H692),VALUE($H692)))*60,0),ROUND(MOD(IF(ISNUMBER($H692),$H692,IFERROR(TIMEVALUE($H692),VALUE($H692))),1)*1440,0))),""))</f>
        <v/>
      </c>
      <c r="W692" s="52" t="str">
        <f aca="false">IF($I692="","",IFERROR(IF(IF(ISNUMBER($I692),$I692,IFERROR(TIMEVALUE($I692),VALUE($I692)))&gt;=100,INT(IF(ISNUMBER($I692),$I692,IFERROR(TIMEVALUE($I692),VALUE($I692)))/100)*60+MOD(IF(ISNUMBER($I692),$I692,IFERROR(TIMEVALUE($I692),VALUE($I692))),100),IF(IF(ISNUMBER($I692),$I692,IFERROR(TIMEVALUE($I692),VALUE($I692)))&gt;=1,ROUND(IF(ISNUMBER($I692),$I692,IFERROR(TIMEVALUE($I692),VALUE($I692)))*60,0),ROUND(MOD(IF(ISNUMBER($I692),$I692,IFERROR(TIMEVALUE($I692),VALUE($I692))),1)*1440,0))),""))</f>
        <v/>
      </c>
      <c r="X692" s="55" t="str">
        <f aca="false">IF($P692="","",IFERROR(IF(ISNUMBER($P692),IF($P692&gt;19000000,DATE(INT($P692/10000),MOD(INT($P692/100),100),MOD($P692,100)),INT($P692)),IF(LEN(SUBSTITUTE(SUBSTITUTE(SUBSTITUTE(TRIM($P692),"-",""),".",""),"/",""))=8,DATE(VALUE(LEFT(SUBSTITUTE(SUBSTITUTE(SUBSTITUTE(TRIM($P692),"-",""),".",""),"/",""),4)),VALUE(MID(SUBSTITUTE(SUBSTITUTE(SUBSTITUTE(TRIM($P692),"-",""),".",""),"/",""),5,2)),VALUE(RIGHT(SUBSTITUTE(SUBSTITUTE(SUBSTITUTE(TRIM($P692),"-",""),".",""),"/",""),2))),DATEVALUE($P692))),""))</f>
        <v/>
      </c>
      <c r="Y692" s="56" t="str">
        <f aca="false">IF($M692="","",IFERROR(INDEX(강사DB!$D$4:$D$53,MATCH($M692,강사DB!$A$4:$A$53,0)),""))</f>
        <v/>
      </c>
      <c r="Z692" s="56" t="str">
        <f aca="false">IF($B692&lt;&gt;"결제완료","",IF(OR($Y692="",$J692=""),"",$Y692*$J692+MAX(0,N($K692)-1)*설정!$J$7))</f>
        <v/>
      </c>
      <c r="AA692" s="56" t="str">
        <f aca="false">IF(AND($D692&lt;&gt;"",$B692="결제완료"),N($N692),"")</f>
        <v/>
      </c>
      <c r="AB692" s="45" t="str">
        <f aca="false">IF($D692="","",IF($F692&lt;&gt;"",$F692,$D692)&amp;IF($B692="상담중"," (상담)",""))</f>
        <v/>
      </c>
      <c r="AC692" s="45" t="n">
        <f aca="false">IF(AND($D692&lt;&gt;"",OR($B692="결제완료",$B692="상담중")),1,0)</f>
        <v>0</v>
      </c>
      <c r="AD692" s="45" t="n">
        <f aca="false">IF(OR($Z692="",$U692=""),0,IFERROR(IF(COUNTIFS(INDEX(g_grid,0,2*MATCH($M692,강사DB!$A$4:$A$15,0)),"&lt;&gt;",g_s,"&lt;="&amp;$U692,g_e,"&gt;="&amp;$U692)&gt;0,1,0),0))</f>
        <v>0</v>
      </c>
      <c r="AE692" s="48"/>
      <c r="AF692" s="56" t="str">
        <f aca="false">IF(AND($D692&lt;&gt;"",$B692="결제완료",$T692="대여"),설정!$J$5,"")</f>
        <v/>
      </c>
      <c r="AG692" s="54" t="str">
        <f aca="false">IF($D692="","",IF(AND($E692="",$R692=""),$AB692,"☎ "&amp;IF($E692="","-",$E692)&amp;IF($R692&lt;&gt;"","  ※ "&amp;$R692,"")&amp;IF($B692="상담중"," (상담)","")))</f>
        <v/>
      </c>
      <c r="AH692" s="56" t="str">
        <f aca="false">IF(AND($D692&lt;&gt;"",$B692="결제완료",$O692="스마트스토어"),ROUND(N($N692)*설정!$J$6,0),"")</f>
        <v/>
      </c>
      <c r="AI692" s="54" t="str">
        <f aca="false">IF($D692="","",ROW())</f>
        <v/>
      </c>
      <c r="AJ692" s="54" t="n">
        <f aca="false">IF(OR($AC692&lt;&gt;1,$M692=""),0,IF(ISNUMBER(SEARCH("퇴사",IFERROR(INDEX(강사DB!$G$4:$G$53,MATCH($M692,강사DB!$A$4:$A$53,0)),""))),1,0))</f>
        <v>0</v>
      </c>
    </row>
    <row r="693" customFormat="false" ht="15" hidden="false" customHeight="false" outlineLevel="0" collapsed="false">
      <c r="A693" s="45" t="str">
        <f aca="false">IF($D693="","",COUNTA($D$5:$D693))</f>
        <v/>
      </c>
      <c r="B693" s="46"/>
      <c r="C693" s="47"/>
      <c r="D693" s="48"/>
      <c r="E693" s="48"/>
      <c r="F693" s="49"/>
      <c r="G693" s="47"/>
      <c r="H693" s="50"/>
      <c r="I693" s="50"/>
      <c r="J693" s="51" t="str">
        <f aca="false">IF(OR($V693="",$W693=""),"",ROUND(($W693-$V693)/60,2))</f>
        <v/>
      </c>
      <c r="K693" s="52" t="str">
        <f aca="false">IF($F693="","",LEN($F693)-LEN(SUBSTITUTE($F693,",",""))+1)</f>
        <v/>
      </c>
      <c r="L693" s="45" t="str">
        <f aca="false">IF($K693="","","1:"&amp;$K693)</f>
        <v/>
      </c>
      <c r="M693" s="46"/>
      <c r="N693" s="53"/>
      <c r="O693" s="46"/>
      <c r="P693" s="47"/>
      <c r="Q693" s="48"/>
      <c r="R693" s="49"/>
      <c r="S693" s="54" t="str">
        <f aca="false">IF(OR($AC693=0,$U693="",$M693="",$V693="",$W693=""),"",IF(COUNTIFS(m_teacher,$M693,m_date,$U693,m_active,1,m_start,"&lt;"&amp;$W693,m_end,"&gt;"&amp;$V693)&gt;1,"충돌",""))</f>
        <v/>
      </c>
      <c r="T693" s="48"/>
      <c r="U693" s="55" t="str">
        <f aca="false">IF($G693="","",IFERROR(IF(ISNUMBER($G693),IF($G693&gt;19000000,DATE(INT($G693/10000),MOD(INT($G693/100),100),MOD($G693,100)),INT($G693)),IF(LEN(SUBSTITUTE(SUBSTITUTE(SUBSTITUTE(TRIM($G693),"-",""),".",""),"/",""))=8,DATE(VALUE(LEFT(SUBSTITUTE(SUBSTITUTE(SUBSTITUTE(TRIM($G693),"-",""),".",""),"/",""),4)),VALUE(MID(SUBSTITUTE(SUBSTITUTE(SUBSTITUTE(TRIM($G693),"-",""),".",""),"/",""),5,2)),VALUE(RIGHT(SUBSTITUTE(SUBSTITUTE(SUBSTITUTE(TRIM($G693),"-",""),".",""),"/",""),2))),DATEVALUE($G693))),""))</f>
        <v/>
      </c>
      <c r="V693" s="52" t="str">
        <f aca="false">IF($H693="","",IFERROR(IF(IF(ISNUMBER($H693),$H693,IFERROR(TIMEVALUE($H693),VALUE($H693)))&gt;=100,INT(IF(ISNUMBER($H693),$H693,IFERROR(TIMEVALUE($H693),VALUE($H693)))/100)*60+MOD(IF(ISNUMBER($H693),$H693,IFERROR(TIMEVALUE($H693),VALUE($H693))),100),IF(IF(ISNUMBER($H693),$H693,IFERROR(TIMEVALUE($H693),VALUE($H693)))&gt;=1,ROUND(IF(ISNUMBER($H693),$H693,IFERROR(TIMEVALUE($H693),VALUE($H693)))*60,0),ROUND(MOD(IF(ISNUMBER($H693),$H693,IFERROR(TIMEVALUE($H693),VALUE($H693))),1)*1440,0))),""))</f>
        <v/>
      </c>
      <c r="W693" s="52" t="str">
        <f aca="false">IF($I693="","",IFERROR(IF(IF(ISNUMBER($I693),$I693,IFERROR(TIMEVALUE($I693),VALUE($I693)))&gt;=100,INT(IF(ISNUMBER($I693),$I693,IFERROR(TIMEVALUE($I693),VALUE($I693)))/100)*60+MOD(IF(ISNUMBER($I693),$I693,IFERROR(TIMEVALUE($I693),VALUE($I693))),100),IF(IF(ISNUMBER($I693),$I693,IFERROR(TIMEVALUE($I693),VALUE($I693)))&gt;=1,ROUND(IF(ISNUMBER($I693),$I693,IFERROR(TIMEVALUE($I693),VALUE($I693)))*60,0),ROUND(MOD(IF(ISNUMBER($I693),$I693,IFERROR(TIMEVALUE($I693),VALUE($I693))),1)*1440,0))),""))</f>
        <v/>
      </c>
      <c r="X693" s="55" t="str">
        <f aca="false">IF($P693="","",IFERROR(IF(ISNUMBER($P693),IF($P693&gt;19000000,DATE(INT($P693/10000),MOD(INT($P693/100),100),MOD($P693,100)),INT($P693)),IF(LEN(SUBSTITUTE(SUBSTITUTE(SUBSTITUTE(TRIM($P693),"-",""),".",""),"/",""))=8,DATE(VALUE(LEFT(SUBSTITUTE(SUBSTITUTE(SUBSTITUTE(TRIM($P693),"-",""),".",""),"/",""),4)),VALUE(MID(SUBSTITUTE(SUBSTITUTE(SUBSTITUTE(TRIM($P693),"-",""),".",""),"/",""),5,2)),VALUE(RIGHT(SUBSTITUTE(SUBSTITUTE(SUBSTITUTE(TRIM($P693),"-",""),".",""),"/",""),2))),DATEVALUE($P693))),""))</f>
        <v/>
      </c>
      <c r="Y693" s="56" t="str">
        <f aca="false">IF($M693="","",IFERROR(INDEX(강사DB!$D$4:$D$53,MATCH($M693,강사DB!$A$4:$A$53,0)),""))</f>
        <v/>
      </c>
      <c r="Z693" s="56" t="str">
        <f aca="false">IF($B693&lt;&gt;"결제완료","",IF(OR($Y693="",$J693=""),"",$Y693*$J693+MAX(0,N($K693)-1)*설정!$J$7))</f>
        <v/>
      </c>
      <c r="AA693" s="56" t="str">
        <f aca="false">IF(AND($D693&lt;&gt;"",$B693="결제완료"),N($N693),"")</f>
        <v/>
      </c>
      <c r="AB693" s="45" t="str">
        <f aca="false">IF($D693="","",IF($F693&lt;&gt;"",$F693,$D693)&amp;IF($B693="상담중"," (상담)",""))</f>
        <v/>
      </c>
      <c r="AC693" s="45" t="n">
        <f aca="false">IF(AND($D693&lt;&gt;"",OR($B693="결제완료",$B693="상담중")),1,0)</f>
        <v>0</v>
      </c>
      <c r="AD693" s="45" t="n">
        <f aca="false">IF(OR($Z693="",$U693=""),0,IFERROR(IF(COUNTIFS(INDEX(g_grid,0,2*MATCH($M693,강사DB!$A$4:$A$15,0)),"&lt;&gt;",g_s,"&lt;="&amp;$U693,g_e,"&gt;="&amp;$U693)&gt;0,1,0),0))</f>
        <v>0</v>
      </c>
      <c r="AE693" s="48"/>
      <c r="AF693" s="56" t="str">
        <f aca="false">IF(AND($D693&lt;&gt;"",$B693="결제완료",$T693="대여"),설정!$J$5,"")</f>
        <v/>
      </c>
      <c r="AG693" s="54" t="str">
        <f aca="false">IF($D693="","",IF(AND($E693="",$R693=""),$AB693,"☎ "&amp;IF($E693="","-",$E693)&amp;IF($R693&lt;&gt;"","  ※ "&amp;$R693,"")&amp;IF($B693="상담중"," (상담)","")))</f>
        <v/>
      </c>
      <c r="AH693" s="56" t="str">
        <f aca="false">IF(AND($D693&lt;&gt;"",$B693="결제완료",$O693="스마트스토어"),ROUND(N($N693)*설정!$J$6,0),"")</f>
        <v/>
      </c>
      <c r="AI693" s="54" t="str">
        <f aca="false">IF($D693="","",ROW())</f>
        <v/>
      </c>
      <c r="AJ693" s="54" t="n">
        <f aca="false">IF(OR($AC693&lt;&gt;1,$M693=""),0,IF(ISNUMBER(SEARCH("퇴사",IFERROR(INDEX(강사DB!$G$4:$G$53,MATCH($M693,강사DB!$A$4:$A$53,0)),""))),1,0))</f>
        <v>0</v>
      </c>
    </row>
    <row r="694" customFormat="false" ht="15" hidden="false" customHeight="false" outlineLevel="0" collapsed="false">
      <c r="A694" s="45" t="str">
        <f aca="false">IF($D694="","",COUNTA($D$5:$D694))</f>
        <v/>
      </c>
      <c r="B694" s="46"/>
      <c r="C694" s="47"/>
      <c r="D694" s="48"/>
      <c r="E694" s="48"/>
      <c r="F694" s="49"/>
      <c r="G694" s="47"/>
      <c r="H694" s="50"/>
      <c r="I694" s="50"/>
      <c r="J694" s="51" t="str">
        <f aca="false">IF(OR($V694="",$W694=""),"",ROUND(($W694-$V694)/60,2))</f>
        <v/>
      </c>
      <c r="K694" s="52" t="str">
        <f aca="false">IF($F694="","",LEN($F694)-LEN(SUBSTITUTE($F694,",",""))+1)</f>
        <v/>
      </c>
      <c r="L694" s="45" t="str">
        <f aca="false">IF($K694="","","1:"&amp;$K694)</f>
        <v/>
      </c>
      <c r="M694" s="46"/>
      <c r="N694" s="53"/>
      <c r="O694" s="46"/>
      <c r="P694" s="47"/>
      <c r="Q694" s="48"/>
      <c r="R694" s="49"/>
      <c r="S694" s="54" t="str">
        <f aca="false">IF(OR($AC694=0,$U694="",$M694="",$V694="",$W694=""),"",IF(COUNTIFS(m_teacher,$M694,m_date,$U694,m_active,1,m_start,"&lt;"&amp;$W694,m_end,"&gt;"&amp;$V694)&gt;1,"충돌",""))</f>
        <v/>
      </c>
      <c r="T694" s="48"/>
      <c r="U694" s="55" t="str">
        <f aca="false">IF($G694="","",IFERROR(IF(ISNUMBER($G694),IF($G694&gt;19000000,DATE(INT($G694/10000),MOD(INT($G694/100),100),MOD($G694,100)),INT($G694)),IF(LEN(SUBSTITUTE(SUBSTITUTE(SUBSTITUTE(TRIM($G694),"-",""),".",""),"/",""))=8,DATE(VALUE(LEFT(SUBSTITUTE(SUBSTITUTE(SUBSTITUTE(TRIM($G694),"-",""),".",""),"/",""),4)),VALUE(MID(SUBSTITUTE(SUBSTITUTE(SUBSTITUTE(TRIM($G694),"-",""),".",""),"/",""),5,2)),VALUE(RIGHT(SUBSTITUTE(SUBSTITUTE(SUBSTITUTE(TRIM($G694),"-",""),".",""),"/",""),2))),DATEVALUE($G694))),""))</f>
        <v/>
      </c>
      <c r="V694" s="52" t="str">
        <f aca="false">IF($H694="","",IFERROR(IF(IF(ISNUMBER($H694),$H694,IFERROR(TIMEVALUE($H694),VALUE($H694)))&gt;=100,INT(IF(ISNUMBER($H694),$H694,IFERROR(TIMEVALUE($H694),VALUE($H694)))/100)*60+MOD(IF(ISNUMBER($H694),$H694,IFERROR(TIMEVALUE($H694),VALUE($H694))),100),IF(IF(ISNUMBER($H694),$H694,IFERROR(TIMEVALUE($H694),VALUE($H694)))&gt;=1,ROUND(IF(ISNUMBER($H694),$H694,IFERROR(TIMEVALUE($H694),VALUE($H694)))*60,0),ROUND(MOD(IF(ISNUMBER($H694),$H694,IFERROR(TIMEVALUE($H694),VALUE($H694))),1)*1440,0))),""))</f>
        <v/>
      </c>
      <c r="W694" s="52" t="str">
        <f aca="false">IF($I694="","",IFERROR(IF(IF(ISNUMBER($I694),$I694,IFERROR(TIMEVALUE($I694),VALUE($I694)))&gt;=100,INT(IF(ISNUMBER($I694),$I694,IFERROR(TIMEVALUE($I694),VALUE($I694)))/100)*60+MOD(IF(ISNUMBER($I694),$I694,IFERROR(TIMEVALUE($I694),VALUE($I694))),100),IF(IF(ISNUMBER($I694),$I694,IFERROR(TIMEVALUE($I694),VALUE($I694)))&gt;=1,ROUND(IF(ISNUMBER($I694),$I694,IFERROR(TIMEVALUE($I694),VALUE($I694)))*60,0),ROUND(MOD(IF(ISNUMBER($I694),$I694,IFERROR(TIMEVALUE($I694),VALUE($I694))),1)*1440,0))),""))</f>
        <v/>
      </c>
      <c r="X694" s="55" t="str">
        <f aca="false">IF($P694="","",IFERROR(IF(ISNUMBER($P694),IF($P694&gt;19000000,DATE(INT($P694/10000),MOD(INT($P694/100),100),MOD($P694,100)),INT($P694)),IF(LEN(SUBSTITUTE(SUBSTITUTE(SUBSTITUTE(TRIM($P694),"-",""),".",""),"/",""))=8,DATE(VALUE(LEFT(SUBSTITUTE(SUBSTITUTE(SUBSTITUTE(TRIM($P694),"-",""),".",""),"/",""),4)),VALUE(MID(SUBSTITUTE(SUBSTITUTE(SUBSTITUTE(TRIM($P694),"-",""),".",""),"/",""),5,2)),VALUE(RIGHT(SUBSTITUTE(SUBSTITUTE(SUBSTITUTE(TRIM($P694),"-",""),".",""),"/",""),2))),DATEVALUE($P694))),""))</f>
        <v/>
      </c>
      <c r="Y694" s="56" t="str">
        <f aca="false">IF($M694="","",IFERROR(INDEX(강사DB!$D$4:$D$53,MATCH($M694,강사DB!$A$4:$A$53,0)),""))</f>
        <v/>
      </c>
      <c r="Z694" s="56" t="str">
        <f aca="false">IF($B694&lt;&gt;"결제완료","",IF(OR($Y694="",$J694=""),"",$Y694*$J694+MAX(0,N($K694)-1)*설정!$J$7))</f>
        <v/>
      </c>
      <c r="AA694" s="56" t="str">
        <f aca="false">IF(AND($D694&lt;&gt;"",$B694="결제완료"),N($N694),"")</f>
        <v/>
      </c>
      <c r="AB694" s="45" t="str">
        <f aca="false">IF($D694="","",IF($F694&lt;&gt;"",$F694,$D694)&amp;IF($B694="상담중"," (상담)",""))</f>
        <v/>
      </c>
      <c r="AC694" s="45" t="n">
        <f aca="false">IF(AND($D694&lt;&gt;"",OR($B694="결제완료",$B694="상담중")),1,0)</f>
        <v>0</v>
      </c>
      <c r="AD694" s="45" t="n">
        <f aca="false">IF(OR($Z694="",$U694=""),0,IFERROR(IF(COUNTIFS(INDEX(g_grid,0,2*MATCH($M694,강사DB!$A$4:$A$15,0)),"&lt;&gt;",g_s,"&lt;="&amp;$U694,g_e,"&gt;="&amp;$U694)&gt;0,1,0),0))</f>
        <v>0</v>
      </c>
      <c r="AE694" s="48"/>
      <c r="AF694" s="56" t="str">
        <f aca="false">IF(AND($D694&lt;&gt;"",$B694="결제완료",$T694="대여"),설정!$J$5,"")</f>
        <v/>
      </c>
      <c r="AG694" s="54" t="str">
        <f aca="false">IF($D694="","",IF(AND($E694="",$R694=""),$AB694,"☎ "&amp;IF($E694="","-",$E694)&amp;IF($R694&lt;&gt;"","  ※ "&amp;$R694,"")&amp;IF($B694="상담중"," (상담)","")))</f>
        <v/>
      </c>
      <c r="AH694" s="56" t="str">
        <f aca="false">IF(AND($D694&lt;&gt;"",$B694="결제완료",$O694="스마트스토어"),ROUND(N($N694)*설정!$J$6,0),"")</f>
        <v/>
      </c>
      <c r="AI694" s="54" t="str">
        <f aca="false">IF($D694="","",ROW())</f>
        <v/>
      </c>
      <c r="AJ694" s="54" t="n">
        <f aca="false">IF(OR($AC694&lt;&gt;1,$M694=""),0,IF(ISNUMBER(SEARCH("퇴사",IFERROR(INDEX(강사DB!$G$4:$G$53,MATCH($M694,강사DB!$A$4:$A$53,0)),""))),1,0))</f>
        <v>0</v>
      </c>
    </row>
    <row r="695" customFormat="false" ht="15" hidden="false" customHeight="false" outlineLevel="0" collapsed="false">
      <c r="A695" s="45" t="str">
        <f aca="false">IF($D695="","",COUNTA($D$5:$D695))</f>
        <v/>
      </c>
      <c r="B695" s="46"/>
      <c r="C695" s="47"/>
      <c r="D695" s="48"/>
      <c r="E695" s="48"/>
      <c r="F695" s="49"/>
      <c r="G695" s="47"/>
      <c r="H695" s="50"/>
      <c r="I695" s="50"/>
      <c r="J695" s="51" t="str">
        <f aca="false">IF(OR($V695="",$W695=""),"",ROUND(($W695-$V695)/60,2))</f>
        <v/>
      </c>
      <c r="K695" s="52" t="str">
        <f aca="false">IF($F695="","",LEN($F695)-LEN(SUBSTITUTE($F695,",",""))+1)</f>
        <v/>
      </c>
      <c r="L695" s="45" t="str">
        <f aca="false">IF($K695="","","1:"&amp;$K695)</f>
        <v/>
      </c>
      <c r="M695" s="46"/>
      <c r="N695" s="53"/>
      <c r="O695" s="46"/>
      <c r="P695" s="47"/>
      <c r="Q695" s="48"/>
      <c r="R695" s="49"/>
      <c r="S695" s="54" t="str">
        <f aca="false">IF(OR($AC695=0,$U695="",$M695="",$V695="",$W695=""),"",IF(COUNTIFS(m_teacher,$M695,m_date,$U695,m_active,1,m_start,"&lt;"&amp;$W695,m_end,"&gt;"&amp;$V695)&gt;1,"충돌",""))</f>
        <v/>
      </c>
      <c r="T695" s="48"/>
      <c r="U695" s="55" t="str">
        <f aca="false">IF($G695="","",IFERROR(IF(ISNUMBER($G695),IF($G695&gt;19000000,DATE(INT($G695/10000),MOD(INT($G695/100),100),MOD($G695,100)),INT($G695)),IF(LEN(SUBSTITUTE(SUBSTITUTE(SUBSTITUTE(TRIM($G695),"-",""),".",""),"/",""))=8,DATE(VALUE(LEFT(SUBSTITUTE(SUBSTITUTE(SUBSTITUTE(TRIM($G695),"-",""),".",""),"/",""),4)),VALUE(MID(SUBSTITUTE(SUBSTITUTE(SUBSTITUTE(TRIM($G695),"-",""),".",""),"/",""),5,2)),VALUE(RIGHT(SUBSTITUTE(SUBSTITUTE(SUBSTITUTE(TRIM($G695),"-",""),".",""),"/",""),2))),DATEVALUE($G695))),""))</f>
        <v/>
      </c>
      <c r="V695" s="52" t="str">
        <f aca="false">IF($H695="","",IFERROR(IF(IF(ISNUMBER($H695),$H695,IFERROR(TIMEVALUE($H695),VALUE($H695)))&gt;=100,INT(IF(ISNUMBER($H695),$H695,IFERROR(TIMEVALUE($H695),VALUE($H695)))/100)*60+MOD(IF(ISNUMBER($H695),$H695,IFERROR(TIMEVALUE($H695),VALUE($H695))),100),IF(IF(ISNUMBER($H695),$H695,IFERROR(TIMEVALUE($H695),VALUE($H695)))&gt;=1,ROUND(IF(ISNUMBER($H695),$H695,IFERROR(TIMEVALUE($H695),VALUE($H695)))*60,0),ROUND(MOD(IF(ISNUMBER($H695),$H695,IFERROR(TIMEVALUE($H695),VALUE($H695))),1)*1440,0))),""))</f>
        <v/>
      </c>
      <c r="W695" s="52" t="str">
        <f aca="false">IF($I695="","",IFERROR(IF(IF(ISNUMBER($I695),$I695,IFERROR(TIMEVALUE($I695),VALUE($I695)))&gt;=100,INT(IF(ISNUMBER($I695),$I695,IFERROR(TIMEVALUE($I695),VALUE($I695)))/100)*60+MOD(IF(ISNUMBER($I695),$I695,IFERROR(TIMEVALUE($I695),VALUE($I695))),100),IF(IF(ISNUMBER($I695),$I695,IFERROR(TIMEVALUE($I695),VALUE($I695)))&gt;=1,ROUND(IF(ISNUMBER($I695),$I695,IFERROR(TIMEVALUE($I695),VALUE($I695)))*60,0),ROUND(MOD(IF(ISNUMBER($I695),$I695,IFERROR(TIMEVALUE($I695),VALUE($I695))),1)*1440,0))),""))</f>
        <v/>
      </c>
      <c r="X695" s="55" t="str">
        <f aca="false">IF($P695="","",IFERROR(IF(ISNUMBER($P695),IF($P695&gt;19000000,DATE(INT($P695/10000),MOD(INT($P695/100),100),MOD($P695,100)),INT($P695)),IF(LEN(SUBSTITUTE(SUBSTITUTE(SUBSTITUTE(TRIM($P695),"-",""),".",""),"/",""))=8,DATE(VALUE(LEFT(SUBSTITUTE(SUBSTITUTE(SUBSTITUTE(TRIM($P695),"-",""),".",""),"/",""),4)),VALUE(MID(SUBSTITUTE(SUBSTITUTE(SUBSTITUTE(TRIM($P695),"-",""),".",""),"/",""),5,2)),VALUE(RIGHT(SUBSTITUTE(SUBSTITUTE(SUBSTITUTE(TRIM($P695),"-",""),".",""),"/",""),2))),DATEVALUE($P695))),""))</f>
        <v/>
      </c>
      <c r="Y695" s="56" t="str">
        <f aca="false">IF($M695="","",IFERROR(INDEX(강사DB!$D$4:$D$53,MATCH($M695,강사DB!$A$4:$A$53,0)),""))</f>
        <v/>
      </c>
      <c r="Z695" s="56" t="str">
        <f aca="false">IF($B695&lt;&gt;"결제완료","",IF(OR($Y695="",$J695=""),"",$Y695*$J695+MAX(0,N($K695)-1)*설정!$J$7))</f>
        <v/>
      </c>
      <c r="AA695" s="56" t="str">
        <f aca="false">IF(AND($D695&lt;&gt;"",$B695="결제완료"),N($N695),"")</f>
        <v/>
      </c>
      <c r="AB695" s="45" t="str">
        <f aca="false">IF($D695="","",IF($F695&lt;&gt;"",$F695,$D695)&amp;IF($B695="상담중"," (상담)",""))</f>
        <v/>
      </c>
      <c r="AC695" s="45" t="n">
        <f aca="false">IF(AND($D695&lt;&gt;"",OR($B695="결제완료",$B695="상담중")),1,0)</f>
        <v>0</v>
      </c>
      <c r="AD695" s="45" t="n">
        <f aca="false">IF(OR($Z695="",$U695=""),0,IFERROR(IF(COUNTIFS(INDEX(g_grid,0,2*MATCH($M695,강사DB!$A$4:$A$15,0)),"&lt;&gt;",g_s,"&lt;="&amp;$U695,g_e,"&gt;="&amp;$U695)&gt;0,1,0),0))</f>
        <v>0</v>
      </c>
      <c r="AE695" s="48"/>
      <c r="AF695" s="56" t="str">
        <f aca="false">IF(AND($D695&lt;&gt;"",$B695="결제완료",$T695="대여"),설정!$J$5,"")</f>
        <v/>
      </c>
      <c r="AG695" s="54" t="str">
        <f aca="false">IF($D695="","",IF(AND($E695="",$R695=""),$AB695,"☎ "&amp;IF($E695="","-",$E695)&amp;IF($R695&lt;&gt;"","  ※ "&amp;$R695,"")&amp;IF($B695="상담중"," (상담)","")))</f>
        <v/>
      </c>
      <c r="AH695" s="56" t="str">
        <f aca="false">IF(AND($D695&lt;&gt;"",$B695="결제완료",$O695="스마트스토어"),ROUND(N($N695)*설정!$J$6,0),"")</f>
        <v/>
      </c>
      <c r="AI695" s="54" t="str">
        <f aca="false">IF($D695="","",ROW())</f>
        <v/>
      </c>
      <c r="AJ695" s="54" t="n">
        <f aca="false">IF(OR($AC695&lt;&gt;1,$M695=""),0,IF(ISNUMBER(SEARCH("퇴사",IFERROR(INDEX(강사DB!$G$4:$G$53,MATCH($M695,강사DB!$A$4:$A$53,0)),""))),1,0))</f>
        <v>0</v>
      </c>
    </row>
    <row r="696" customFormat="false" ht="15" hidden="false" customHeight="false" outlineLevel="0" collapsed="false">
      <c r="A696" s="45" t="str">
        <f aca="false">IF($D696="","",COUNTA($D$5:$D696))</f>
        <v/>
      </c>
      <c r="B696" s="46"/>
      <c r="C696" s="47"/>
      <c r="D696" s="48"/>
      <c r="E696" s="48"/>
      <c r="F696" s="49"/>
      <c r="G696" s="47"/>
      <c r="H696" s="50"/>
      <c r="I696" s="50"/>
      <c r="J696" s="51" t="str">
        <f aca="false">IF(OR($V696="",$W696=""),"",ROUND(($W696-$V696)/60,2))</f>
        <v/>
      </c>
      <c r="K696" s="52" t="str">
        <f aca="false">IF($F696="","",LEN($F696)-LEN(SUBSTITUTE($F696,",",""))+1)</f>
        <v/>
      </c>
      <c r="L696" s="45" t="str">
        <f aca="false">IF($K696="","","1:"&amp;$K696)</f>
        <v/>
      </c>
      <c r="M696" s="46"/>
      <c r="N696" s="53"/>
      <c r="O696" s="46"/>
      <c r="P696" s="47"/>
      <c r="Q696" s="48"/>
      <c r="R696" s="49"/>
      <c r="S696" s="54" t="str">
        <f aca="false">IF(OR($AC696=0,$U696="",$M696="",$V696="",$W696=""),"",IF(COUNTIFS(m_teacher,$M696,m_date,$U696,m_active,1,m_start,"&lt;"&amp;$W696,m_end,"&gt;"&amp;$V696)&gt;1,"충돌",""))</f>
        <v/>
      </c>
      <c r="T696" s="48"/>
      <c r="U696" s="55" t="str">
        <f aca="false">IF($G696="","",IFERROR(IF(ISNUMBER($G696),IF($G696&gt;19000000,DATE(INT($G696/10000),MOD(INT($G696/100),100),MOD($G696,100)),INT($G696)),IF(LEN(SUBSTITUTE(SUBSTITUTE(SUBSTITUTE(TRIM($G696),"-",""),".",""),"/",""))=8,DATE(VALUE(LEFT(SUBSTITUTE(SUBSTITUTE(SUBSTITUTE(TRIM($G696),"-",""),".",""),"/",""),4)),VALUE(MID(SUBSTITUTE(SUBSTITUTE(SUBSTITUTE(TRIM($G696),"-",""),".",""),"/",""),5,2)),VALUE(RIGHT(SUBSTITUTE(SUBSTITUTE(SUBSTITUTE(TRIM($G696),"-",""),".",""),"/",""),2))),DATEVALUE($G696))),""))</f>
        <v/>
      </c>
      <c r="V696" s="52" t="str">
        <f aca="false">IF($H696="","",IFERROR(IF(IF(ISNUMBER($H696),$H696,IFERROR(TIMEVALUE($H696),VALUE($H696)))&gt;=100,INT(IF(ISNUMBER($H696),$H696,IFERROR(TIMEVALUE($H696),VALUE($H696)))/100)*60+MOD(IF(ISNUMBER($H696),$H696,IFERROR(TIMEVALUE($H696),VALUE($H696))),100),IF(IF(ISNUMBER($H696),$H696,IFERROR(TIMEVALUE($H696),VALUE($H696)))&gt;=1,ROUND(IF(ISNUMBER($H696),$H696,IFERROR(TIMEVALUE($H696),VALUE($H696)))*60,0),ROUND(MOD(IF(ISNUMBER($H696),$H696,IFERROR(TIMEVALUE($H696),VALUE($H696))),1)*1440,0))),""))</f>
        <v/>
      </c>
      <c r="W696" s="52" t="str">
        <f aca="false">IF($I696="","",IFERROR(IF(IF(ISNUMBER($I696),$I696,IFERROR(TIMEVALUE($I696),VALUE($I696)))&gt;=100,INT(IF(ISNUMBER($I696),$I696,IFERROR(TIMEVALUE($I696),VALUE($I696)))/100)*60+MOD(IF(ISNUMBER($I696),$I696,IFERROR(TIMEVALUE($I696),VALUE($I696))),100),IF(IF(ISNUMBER($I696),$I696,IFERROR(TIMEVALUE($I696),VALUE($I696)))&gt;=1,ROUND(IF(ISNUMBER($I696),$I696,IFERROR(TIMEVALUE($I696),VALUE($I696)))*60,0),ROUND(MOD(IF(ISNUMBER($I696),$I696,IFERROR(TIMEVALUE($I696),VALUE($I696))),1)*1440,0))),""))</f>
        <v/>
      </c>
      <c r="X696" s="55" t="str">
        <f aca="false">IF($P696="","",IFERROR(IF(ISNUMBER($P696),IF($P696&gt;19000000,DATE(INT($P696/10000),MOD(INT($P696/100),100),MOD($P696,100)),INT($P696)),IF(LEN(SUBSTITUTE(SUBSTITUTE(SUBSTITUTE(TRIM($P696),"-",""),".",""),"/",""))=8,DATE(VALUE(LEFT(SUBSTITUTE(SUBSTITUTE(SUBSTITUTE(TRIM($P696),"-",""),".",""),"/",""),4)),VALUE(MID(SUBSTITUTE(SUBSTITUTE(SUBSTITUTE(TRIM($P696),"-",""),".",""),"/",""),5,2)),VALUE(RIGHT(SUBSTITUTE(SUBSTITUTE(SUBSTITUTE(TRIM($P696),"-",""),".",""),"/",""),2))),DATEVALUE($P696))),""))</f>
        <v/>
      </c>
      <c r="Y696" s="56" t="str">
        <f aca="false">IF($M696="","",IFERROR(INDEX(강사DB!$D$4:$D$53,MATCH($M696,강사DB!$A$4:$A$53,0)),""))</f>
        <v/>
      </c>
      <c r="Z696" s="56" t="str">
        <f aca="false">IF($B696&lt;&gt;"결제완료","",IF(OR($Y696="",$J696=""),"",$Y696*$J696+MAX(0,N($K696)-1)*설정!$J$7))</f>
        <v/>
      </c>
      <c r="AA696" s="56" t="str">
        <f aca="false">IF(AND($D696&lt;&gt;"",$B696="결제완료"),N($N696),"")</f>
        <v/>
      </c>
      <c r="AB696" s="45" t="str">
        <f aca="false">IF($D696="","",IF($F696&lt;&gt;"",$F696,$D696)&amp;IF($B696="상담중"," (상담)",""))</f>
        <v/>
      </c>
      <c r="AC696" s="45" t="n">
        <f aca="false">IF(AND($D696&lt;&gt;"",OR($B696="결제완료",$B696="상담중")),1,0)</f>
        <v>0</v>
      </c>
      <c r="AD696" s="45" t="n">
        <f aca="false">IF(OR($Z696="",$U696=""),0,IFERROR(IF(COUNTIFS(INDEX(g_grid,0,2*MATCH($M696,강사DB!$A$4:$A$15,0)),"&lt;&gt;",g_s,"&lt;="&amp;$U696,g_e,"&gt;="&amp;$U696)&gt;0,1,0),0))</f>
        <v>0</v>
      </c>
      <c r="AE696" s="48"/>
      <c r="AF696" s="56" t="str">
        <f aca="false">IF(AND($D696&lt;&gt;"",$B696="결제완료",$T696="대여"),설정!$J$5,"")</f>
        <v/>
      </c>
      <c r="AG696" s="54" t="str">
        <f aca="false">IF($D696="","",IF(AND($E696="",$R696=""),$AB696,"☎ "&amp;IF($E696="","-",$E696)&amp;IF($R696&lt;&gt;"","  ※ "&amp;$R696,"")&amp;IF($B696="상담중"," (상담)","")))</f>
        <v/>
      </c>
      <c r="AH696" s="56" t="str">
        <f aca="false">IF(AND($D696&lt;&gt;"",$B696="결제완료",$O696="스마트스토어"),ROUND(N($N696)*설정!$J$6,0),"")</f>
        <v/>
      </c>
      <c r="AI696" s="54" t="str">
        <f aca="false">IF($D696="","",ROW())</f>
        <v/>
      </c>
      <c r="AJ696" s="54" t="n">
        <f aca="false">IF(OR($AC696&lt;&gt;1,$M696=""),0,IF(ISNUMBER(SEARCH("퇴사",IFERROR(INDEX(강사DB!$G$4:$G$53,MATCH($M696,강사DB!$A$4:$A$53,0)),""))),1,0))</f>
        <v>0</v>
      </c>
    </row>
    <row r="697" customFormat="false" ht="15" hidden="false" customHeight="false" outlineLevel="0" collapsed="false">
      <c r="A697" s="45" t="str">
        <f aca="false">IF($D697="","",COUNTA($D$5:$D697))</f>
        <v/>
      </c>
      <c r="B697" s="46"/>
      <c r="C697" s="47"/>
      <c r="D697" s="48"/>
      <c r="E697" s="48"/>
      <c r="F697" s="49"/>
      <c r="G697" s="47"/>
      <c r="H697" s="50"/>
      <c r="I697" s="50"/>
      <c r="J697" s="51" t="str">
        <f aca="false">IF(OR($V697="",$W697=""),"",ROUND(($W697-$V697)/60,2))</f>
        <v/>
      </c>
      <c r="K697" s="52" t="str">
        <f aca="false">IF($F697="","",LEN($F697)-LEN(SUBSTITUTE($F697,",",""))+1)</f>
        <v/>
      </c>
      <c r="L697" s="45" t="str">
        <f aca="false">IF($K697="","","1:"&amp;$K697)</f>
        <v/>
      </c>
      <c r="M697" s="46"/>
      <c r="N697" s="53"/>
      <c r="O697" s="46"/>
      <c r="P697" s="47"/>
      <c r="Q697" s="48"/>
      <c r="R697" s="49"/>
      <c r="S697" s="54" t="str">
        <f aca="false">IF(OR($AC697=0,$U697="",$M697="",$V697="",$W697=""),"",IF(COUNTIFS(m_teacher,$M697,m_date,$U697,m_active,1,m_start,"&lt;"&amp;$W697,m_end,"&gt;"&amp;$V697)&gt;1,"충돌",""))</f>
        <v/>
      </c>
      <c r="T697" s="48"/>
      <c r="U697" s="55" t="str">
        <f aca="false">IF($G697="","",IFERROR(IF(ISNUMBER($G697),IF($G697&gt;19000000,DATE(INT($G697/10000),MOD(INT($G697/100),100),MOD($G697,100)),INT($G697)),IF(LEN(SUBSTITUTE(SUBSTITUTE(SUBSTITUTE(TRIM($G697),"-",""),".",""),"/",""))=8,DATE(VALUE(LEFT(SUBSTITUTE(SUBSTITUTE(SUBSTITUTE(TRIM($G697),"-",""),".",""),"/",""),4)),VALUE(MID(SUBSTITUTE(SUBSTITUTE(SUBSTITUTE(TRIM($G697),"-",""),".",""),"/",""),5,2)),VALUE(RIGHT(SUBSTITUTE(SUBSTITUTE(SUBSTITUTE(TRIM($G697),"-",""),".",""),"/",""),2))),DATEVALUE($G697))),""))</f>
        <v/>
      </c>
      <c r="V697" s="52" t="str">
        <f aca="false">IF($H697="","",IFERROR(IF(IF(ISNUMBER($H697),$H697,IFERROR(TIMEVALUE($H697),VALUE($H697)))&gt;=100,INT(IF(ISNUMBER($H697),$H697,IFERROR(TIMEVALUE($H697),VALUE($H697)))/100)*60+MOD(IF(ISNUMBER($H697),$H697,IFERROR(TIMEVALUE($H697),VALUE($H697))),100),IF(IF(ISNUMBER($H697),$H697,IFERROR(TIMEVALUE($H697),VALUE($H697)))&gt;=1,ROUND(IF(ISNUMBER($H697),$H697,IFERROR(TIMEVALUE($H697),VALUE($H697)))*60,0),ROUND(MOD(IF(ISNUMBER($H697),$H697,IFERROR(TIMEVALUE($H697),VALUE($H697))),1)*1440,0))),""))</f>
        <v/>
      </c>
      <c r="W697" s="52" t="str">
        <f aca="false">IF($I697="","",IFERROR(IF(IF(ISNUMBER($I697),$I697,IFERROR(TIMEVALUE($I697),VALUE($I697)))&gt;=100,INT(IF(ISNUMBER($I697),$I697,IFERROR(TIMEVALUE($I697),VALUE($I697)))/100)*60+MOD(IF(ISNUMBER($I697),$I697,IFERROR(TIMEVALUE($I697),VALUE($I697))),100),IF(IF(ISNUMBER($I697),$I697,IFERROR(TIMEVALUE($I697),VALUE($I697)))&gt;=1,ROUND(IF(ISNUMBER($I697),$I697,IFERROR(TIMEVALUE($I697),VALUE($I697)))*60,0),ROUND(MOD(IF(ISNUMBER($I697),$I697,IFERROR(TIMEVALUE($I697),VALUE($I697))),1)*1440,0))),""))</f>
        <v/>
      </c>
      <c r="X697" s="55" t="str">
        <f aca="false">IF($P697="","",IFERROR(IF(ISNUMBER($P697),IF($P697&gt;19000000,DATE(INT($P697/10000),MOD(INT($P697/100),100),MOD($P697,100)),INT($P697)),IF(LEN(SUBSTITUTE(SUBSTITUTE(SUBSTITUTE(TRIM($P697),"-",""),".",""),"/",""))=8,DATE(VALUE(LEFT(SUBSTITUTE(SUBSTITUTE(SUBSTITUTE(TRIM($P697),"-",""),".",""),"/",""),4)),VALUE(MID(SUBSTITUTE(SUBSTITUTE(SUBSTITUTE(TRIM($P697),"-",""),".",""),"/",""),5,2)),VALUE(RIGHT(SUBSTITUTE(SUBSTITUTE(SUBSTITUTE(TRIM($P697),"-",""),".",""),"/",""),2))),DATEVALUE($P697))),""))</f>
        <v/>
      </c>
      <c r="Y697" s="56" t="str">
        <f aca="false">IF($M697="","",IFERROR(INDEX(강사DB!$D$4:$D$53,MATCH($M697,강사DB!$A$4:$A$53,0)),""))</f>
        <v/>
      </c>
      <c r="Z697" s="56" t="str">
        <f aca="false">IF($B697&lt;&gt;"결제완료","",IF(OR($Y697="",$J697=""),"",$Y697*$J697+MAX(0,N($K697)-1)*설정!$J$7))</f>
        <v/>
      </c>
      <c r="AA697" s="56" t="str">
        <f aca="false">IF(AND($D697&lt;&gt;"",$B697="결제완료"),N($N697),"")</f>
        <v/>
      </c>
      <c r="AB697" s="45" t="str">
        <f aca="false">IF($D697="","",IF($F697&lt;&gt;"",$F697,$D697)&amp;IF($B697="상담중"," (상담)",""))</f>
        <v/>
      </c>
      <c r="AC697" s="45" t="n">
        <f aca="false">IF(AND($D697&lt;&gt;"",OR($B697="결제완료",$B697="상담중")),1,0)</f>
        <v>0</v>
      </c>
      <c r="AD697" s="45" t="n">
        <f aca="false">IF(OR($Z697="",$U697=""),0,IFERROR(IF(COUNTIFS(INDEX(g_grid,0,2*MATCH($M697,강사DB!$A$4:$A$15,0)),"&lt;&gt;",g_s,"&lt;="&amp;$U697,g_e,"&gt;="&amp;$U697)&gt;0,1,0),0))</f>
        <v>0</v>
      </c>
      <c r="AE697" s="48"/>
      <c r="AF697" s="56" t="str">
        <f aca="false">IF(AND($D697&lt;&gt;"",$B697="결제완료",$T697="대여"),설정!$J$5,"")</f>
        <v/>
      </c>
      <c r="AG697" s="54" t="str">
        <f aca="false">IF($D697="","",IF(AND($E697="",$R697=""),$AB697,"☎ "&amp;IF($E697="","-",$E697)&amp;IF($R697&lt;&gt;"","  ※ "&amp;$R697,"")&amp;IF($B697="상담중"," (상담)","")))</f>
        <v/>
      </c>
      <c r="AH697" s="56" t="str">
        <f aca="false">IF(AND($D697&lt;&gt;"",$B697="결제완료",$O697="스마트스토어"),ROUND(N($N697)*설정!$J$6,0),"")</f>
        <v/>
      </c>
      <c r="AI697" s="54" t="str">
        <f aca="false">IF($D697="","",ROW())</f>
        <v/>
      </c>
      <c r="AJ697" s="54" t="n">
        <f aca="false">IF(OR($AC697&lt;&gt;1,$M697=""),0,IF(ISNUMBER(SEARCH("퇴사",IFERROR(INDEX(강사DB!$G$4:$G$53,MATCH($M697,강사DB!$A$4:$A$53,0)),""))),1,0))</f>
        <v>0</v>
      </c>
    </row>
    <row r="698" customFormat="false" ht="15" hidden="false" customHeight="false" outlineLevel="0" collapsed="false">
      <c r="A698" s="45" t="str">
        <f aca="false">IF($D698="","",COUNTA($D$5:$D698))</f>
        <v/>
      </c>
      <c r="B698" s="46"/>
      <c r="C698" s="47"/>
      <c r="D698" s="48"/>
      <c r="E698" s="48"/>
      <c r="F698" s="49"/>
      <c r="G698" s="47"/>
      <c r="H698" s="50"/>
      <c r="I698" s="50"/>
      <c r="J698" s="51" t="str">
        <f aca="false">IF(OR($V698="",$W698=""),"",ROUND(($W698-$V698)/60,2))</f>
        <v/>
      </c>
      <c r="K698" s="52" t="str">
        <f aca="false">IF($F698="","",LEN($F698)-LEN(SUBSTITUTE($F698,",",""))+1)</f>
        <v/>
      </c>
      <c r="L698" s="45" t="str">
        <f aca="false">IF($K698="","","1:"&amp;$K698)</f>
        <v/>
      </c>
      <c r="M698" s="46"/>
      <c r="N698" s="53"/>
      <c r="O698" s="46"/>
      <c r="P698" s="47"/>
      <c r="Q698" s="48"/>
      <c r="R698" s="49"/>
      <c r="S698" s="54" t="str">
        <f aca="false">IF(OR($AC698=0,$U698="",$M698="",$V698="",$W698=""),"",IF(COUNTIFS(m_teacher,$M698,m_date,$U698,m_active,1,m_start,"&lt;"&amp;$W698,m_end,"&gt;"&amp;$V698)&gt;1,"충돌",""))</f>
        <v/>
      </c>
      <c r="T698" s="48"/>
      <c r="U698" s="55" t="str">
        <f aca="false">IF($G698="","",IFERROR(IF(ISNUMBER($G698),IF($G698&gt;19000000,DATE(INT($G698/10000),MOD(INT($G698/100),100),MOD($G698,100)),INT($G698)),IF(LEN(SUBSTITUTE(SUBSTITUTE(SUBSTITUTE(TRIM($G698),"-",""),".",""),"/",""))=8,DATE(VALUE(LEFT(SUBSTITUTE(SUBSTITUTE(SUBSTITUTE(TRIM($G698),"-",""),".",""),"/",""),4)),VALUE(MID(SUBSTITUTE(SUBSTITUTE(SUBSTITUTE(TRIM($G698),"-",""),".",""),"/",""),5,2)),VALUE(RIGHT(SUBSTITUTE(SUBSTITUTE(SUBSTITUTE(TRIM($G698),"-",""),".",""),"/",""),2))),DATEVALUE($G698))),""))</f>
        <v/>
      </c>
      <c r="V698" s="52" t="str">
        <f aca="false">IF($H698="","",IFERROR(IF(IF(ISNUMBER($H698),$H698,IFERROR(TIMEVALUE($H698),VALUE($H698)))&gt;=100,INT(IF(ISNUMBER($H698),$H698,IFERROR(TIMEVALUE($H698),VALUE($H698)))/100)*60+MOD(IF(ISNUMBER($H698),$H698,IFERROR(TIMEVALUE($H698),VALUE($H698))),100),IF(IF(ISNUMBER($H698),$H698,IFERROR(TIMEVALUE($H698),VALUE($H698)))&gt;=1,ROUND(IF(ISNUMBER($H698),$H698,IFERROR(TIMEVALUE($H698),VALUE($H698)))*60,0),ROUND(MOD(IF(ISNUMBER($H698),$H698,IFERROR(TIMEVALUE($H698),VALUE($H698))),1)*1440,0))),""))</f>
        <v/>
      </c>
      <c r="W698" s="52" t="str">
        <f aca="false">IF($I698="","",IFERROR(IF(IF(ISNUMBER($I698),$I698,IFERROR(TIMEVALUE($I698),VALUE($I698)))&gt;=100,INT(IF(ISNUMBER($I698),$I698,IFERROR(TIMEVALUE($I698),VALUE($I698)))/100)*60+MOD(IF(ISNUMBER($I698),$I698,IFERROR(TIMEVALUE($I698),VALUE($I698))),100),IF(IF(ISNUMBER($I698),$I698,IFERROR(TIMEVALUE($I698),VALUE($I698)))&gt;=1,ROUND(IF(ISNUMBER($I698),$I698,IFERROR(TIMEVALUE($I698),VALUE($I698)))*60,0),ROUND(MOD(IF(ISNUMBER($I698),$I698,IFERROR(TIMEVALUE($I698),VALUE($I698))),1)*1440,0))),""))</f>
        <v/>
      </c>
      <c r="X698" s="55" t="str">
        <f aca="false">IF($P698="","",IFERROR(IF(ISNUMBER($P698),IF($P698&gt;19000000,DATE(INT($P698/10000),MOD(INT($P698/100),100),MOD($P698,100)),INT($P698)),IF(LEN(SUBSTITUTE(SUBSTITUTE(SUBSTITUTE(TRIM($P698),"-",""),".",""),"/",""))=8,DATE(VALUE(LEFT(SUBSTITUTE(SUBSTITUTE(SUBSTITUTE(TRIM($P698),"-",""),".",""),"/",""),4)),VALUE(MID(SUBSTITUTE(SUBSTITUTE(SUBSTITUTE(TRIM($P698),"-",""),".",""),"/",""),5,2)),VALUE(RIGHT(SUBSTITUTE(SUBSTITUTE(SUBSTITUTE(TRIM($P698),"-",""),".",""),"/",""),2))),DATEVALUE($P698))),""))</f>
        <v/>
      </c>
      <c r="Y698" s="56" t="str">
        <f aca="false">IF($M698="","",IFERROR(INDEX(강사DB!$D$4:$D$53,MATCH($M698,강사DB!$A$4:$A$53,0)),""))</f>
        <v/>
      </c>
      <c r="Z698" s="56" t="str">
        <f aca="false">IF($B698&lt;&gt;"결제완료","",IF(OR($Y698="",$J698=""),"",$Y698*$J698+MAX(0,N($K698)-1)*설정!$J$7))</f>
        <v/>
      </c>
      <c r="AA698" s="56" t="str">
        <f aca="false">IF(AND($D698&lt;&gt;"",$B698="결제완료"),N($N698),"")</f>
        <v/>
      </c>
      <c r="AB698" s="45" t="str">
        <f aca="false">IF($D698="","",IF($F698&lt;&gt;"",$F698,$D698)&amp;IF($B698="상담중"," (상담)",""))</f>
        <v/>
      </c>
      <c r="AC698" s="45" t="n">
        <f aca="false">IF(AND($D698&lt;&gt;"",OR($B698="결제완료",$B698="상담중")),1,0)</f>
        <v>0</v>
      </c>
      <c r="AD698" s="45" t="n">
        <f aca="false">IF(OR($Z698="",$U698=""),0,IFERROR(IF(COUNTIFS(INDEX(g_grid,0,2*MATCH($M698,강사DB!$A$4:$A$15,0)),"&lt;&gt;",g_s,"&lt;="&amp;$U698,g_e,"&gt;="&amp;$U698)&gt;0,1,0),0))</f>
        <v>0</v>
      </c>
      <c r="AE698" s="48"/>
      <c r="AF698" s="56" t="str">
        <f aca="false">IF(AND($D698&lt;&gt;"",$B698="결제완료",$T698="대여"),설정!$J$5,"")</f>
        <v/>
      </c>
      <c r="AG698" s="54" t="str">
        <f aca="false">IF($D698="","",IF(AND($E698="",$R698=""),$AB698,"☎ "&amp;IF($E698="","-",$E698)&amp;IF($R698&lt;&gt;"","  ※ "&amp;$R698,"")&amp;IF($B698="상담중"," (상담)","")))</f>
        <v/>
      </c>
      <c r="AH698" s="56" t="str">
        <f aca="false">IF(AND($D698&lt;&gt;"",$B698="결제완료",$O698="스마트스토어"),ROUND(N($N698)*설정!$J$6,0),"")</f>
        <v/>
      </c>
      <c r="AI698" s="54" t="str">
        <f aca="false">IF($D698="","",ROW())</f>
        <v/>
      </c>
      <c r="AJ698" s="54" t="n">
        <f aca="false">IF(OR($AC698&lt;&gt;1,$M698=""),0,IF(ISNUMBER(SEARCH("퇴사",IFERROR(INDEX(강사DB!$G$4:$G$53,MATCH($M698,강사DB!$A$4:$A$53,0)),""))),1,0))</f>
        <v>0</v>
      </c>
    </row>
    <row r="699" customFormat="false" ht="15" hidden="false" customHeight="false" outlineLevel="0" collapsed="false">
      <c r="A699" s="45" t="str">
        <f aca="false">IF($D699="","",COUNTA($D$5:$D699))</f>
        <v/>
      </c>
      <c r="B699" s="46"/>
      <c r="C699" s="47"/>
      <c r="D699" s="48"/>
      <c r="E699" s="48"/>
      <c r="F699" s="49"/>
      <c r="G699" s="47"/>
      <c r="H699" s="50"/>
      <c r="I699" s="50"/>
      <c r="J699" s="51" t="str">
        <f aca="false">IF(OR($V699="",$W699=""),"",ROUND(($W699-$V699)/60,2))</f>
        <v/>
      </c>
      <c r="K699" s="52" t="str">
        <f aca="false">IF($F699="","",LEN($F699)-LEN(SUBSTITUTE($F699,",",""))+1)</f>
        <v/>
      </c>
      <c r="L699" s="45" t="str">
        <f aca="false">IF($K699="","","1:"&amp;$K699)</f>
        <v/>
      </c>
      <c r="M699" s="46"/>
      <c r="N699" s="53"/>
      <c r="O699" s="46"/>
      <c r="P699" s="47"/>
      <c r="Q699" s="48"/>
      <c r="R699" s="49"/>
      <c r="S699" s="54" t="str">
        <f aca="false">IF(OR($AC699=0,$U699="",$M699="",$V699="",$W699=""),"",IF(COUNTIFS(m_teacher,$M699,m_date,$U699,m_active,1,m_start,"&lt;"&amp;$W699,m_end,"&gt;"&amp;$V699)&gt;1,"충돌",""))</f>
        <v/>
      </c>
      <c r="T699" s="48"/>
      <c r="U699" s="55" t="str">
        <f aca="false">IF($G699="","",IFERROR(IF(ISNUMBER($G699),IF($G699&gt;19000000,DATE(INT($G699/10000),MOD(INT($G699/100),100),MOD($G699,100)),INT($G699)),IF(LEN(SUBSTITUTE(SUBSTITUTE(SUBSTITUTE(TRIM($G699),"-",""),".",""),"/",""))=8,DATE(VALUE(LEFT(SUBSTITUTE(SUBSTITUTE(SUBSTITUTE(TRIM($G699),"-",""),".",""),"/",""),4)),VALUE(MID(SUBSTITUTE(SUBSTITUTE(SUBSTITUTE(TRIM($G699),"-",""),".",""),"/",""),5,2)),VALUE(RIGHT(SUBSTITUTE(SUBSTITUTE(SUBSTITUTE(TRIM($G699),"-",""),".",""),"/",""),2))),DATEVALUE($G699))),""))</f>
        <v/>
      </c>
      <c r="V699" s="52" t="str">
        <f aca="false">IF($H699="","",IFERROR(IF(IF(ISNUMBER($H699),$H699,IFERROR(TIMEVALUE($H699),VALUE($H699)))&gt;=100,INT(IF(ISNUMBER($H699),$H699,IFERROR(TIMEVALUE($H699),VALUE($H699)))/100)*60+MOD(IF(ISNUMBER($H699),$H699,IFERROR(TIMEVALUE($H699),VALUE($H699))),100),IF(IF(ISNUMBER($H699),$H699,IFERROR(TIMEVALUE($H699),VALUE($H699)))&gt;=1,ROUND(IF(ISNUMBER($H699),$H699,IFERROR(TIMEVALUE($H699),VALUE($H699)))*60,0),ROUND(MOD(IF(ISNUMBER($H699),$H699,IFERROR(TIMEVALUE($H699),VALUE($H699))),1)*1440,0))),""))</f>
        <v/>
      </c>
      <c r="W699" s="52" t="str">
        <f aca="false">IF($I699="","",IFERROR(IF(IF(ISNUMBER($I699),$I699,IFERROR(TIMEVALUE($I699),VALUE($I699)))&gt;=100,INT(IF(ISNUMBER($I699),$I699,IFERROR(TIMEVALUE($I699),VALUE($I699)))/100)*60+MOD(IF(ISNUMBER($I699),$I699,IFERROR(TIMEVALUE($I699),VALUE($I699))),100),IF(IF(ISNUMBER($I699),$I699,IFERROR(TIMEVALUE($I699),VALUE($I699)))&gt;=1,ROUND(IF(ISNUMBER($I699),$I699,IFERROR(TIMEVALUE($I699),VALUE($I699)))*60,0),ROUND(MOD(IF(ISNUMBER($I699),$I699,IFERROR(TIMEVALUE($I699),VALUE($I699))),1)*1440,0))),""))</f>
        <v/>
      </c>
      <c r="X699" s="55" t="str">
        <f aca="false">IF($P699="","",IFERROR(IF(ISNUMBER($P699),IF($P699&gt;19000000,DATE(INT($P699/10000),MOD(INT($P699/100),100),MOD($P699,100)),INT($P699)),IF(LEN(SUBSTITUTE(SUBSTITUTE(SUBSTITUTE(TRIM($P699),"-",""),".",""),"/",""))=8,DATE(VALUE(LEFT(SUBSTITUTE(SUBSTITUTE(SUBSTITUTE(TRIM($P699),"-",""),".",""),"/",""),4)),VALUE(MID(SUBSTITUTE(SUBSTITUTE(SUBSTITUTE(TRIM($P699),"-",""),".",""),"/",""),5,2)),VALUE(RIGHT(SUBSTITUTE(SUBSTITUTE(SUBSTITUTE(TRIM($P699),"-",""),".",""),"/",""),2))),DATEVALUE($P699))),""))</f>
        <v/>
      </c>
      <c r="Y699" s="56" t="str">
        <f aca="false">IF($M699="","",IFERROR(INDEX(강사DB!$D$4:$D$53,MATCH($M699,강사DB!$A$4:$A$53,0)),""))</f>
        <v/>
      </c>
      <c r="Z699" s="56" t="str">
        <f aca="false">IF($B699&lt;&gt;"결제완료","",IF(OR($Y699="",$J699=""),"",$Y699*$J699+MAX(0,N($K699)-1)*설정!$J$7))</f>
        <v/>
      </c>
      <c r="AA699" s="56" t="str">
        <f aca="false">IF(AND($D699&lt;&gt;"",$B699="결제완료"),N($N699),"")</f>
        <v/>
      </c>
      <c r="AB699" s="45" t="str">
        <f aca="false">IF($D699="","",IF($F699&lt;&gt;"",$F699,$D699)&amp;IF($B699="상담중"," (상담)",""))</f>
        <v/>
      </c>
      <c r="AC699" s="45" t="n">
        <f aca="false">IF(AND($D699&lt;&gt;"",OR($B699="결제완료",$B699="상담중")),1,0)</f>
        <v>0</v>
      </c>
      <c r="AD699" s="45" t="n">
        <f aca="false">IF(OR($Z699="",$U699=""),0,IFERROR(IF(COUNTIFS(INDEX(g_grid,0,2*MATCH($M699,강사DB!$A$4:$A$15,0)),"&lt;&gt;",g_s,"&lt;="&amp;$U699,g_e,"&gt;="&amp;$U699)&gt;0,1,0),0))</f>
        <v>0</v>
      </c>
      <c r="AE699" s="48"/>
      <c r="AF699" s="56" t="str">
        <f aca="false">IF(AND($D699&lt;&gt;"",$B699="결제완료",$T699="대여"),설정!$J$5,"")</f>
        <v/>
      </c>
      <c r="AG699" s="54" t="str">
        <f aca="false">IF($D699="","",IF(AND($E699="",$R699=""),$AB699,"☎ "&amp;IF($E699="","-",$E699)&amp;IF($R699&lt;&gt;"","  ※ "&amp;$R699,"")&amp;IF($B699="상담중"," (상담)","")))</f>
        <v/>
      </c>
      <c r="AH699" s="56" t="str">
        <f aca="false">IF(AND($D699&lt;&gt;"",$B699="결제완료",$O699="스마트스토어"),ROUND(N($N699)*설정!$J$6,0),"")</f>
        <v/>
      </c>
      <c r="AI699" s="54" t="str">
        <f aca="false">IF($D699="","",ROW())</f>
        <v/>
      </c>
      <c r="AJ699" s="54" t="n">
        <f aca="false">IF(OR($AC699&lt;&gt;1,$M699=""),0,IF(ISNUMBER(SEARCH("퇴사",IFERROR(INDEX(강사DB!$G$4:$G$53,MATCH($M699,강사DB!$A$4:$A$53,0)),""))),1,0))</f>
        <v>0</v>
      </c>
    </row>
    <row r="700" customFormat="false" ht="15" hidden="false" customHeight="false" outlineLevel="0" collapsed="false">
      <c r="A700" s="45" t="str">
        <f aca="false">IF($D700="","",COUNTA($D$5:$D700))</f>
        <v/>
      </c>
      <c r="B700" s="46"/>
      <c r="C700" s="47"/>
      <c r="D700" s="48"/>
      <c r="E700" s="48"/>
      <c r="F700" s="49"/>
      <c r="G700" s="47"/>
      <c r="H700" s="50"/>
      <c r="I700" s="50"/>
      <c r="J700" s="51" t="str">
        <f aca="false">IF(OR($V700="",$W700=""),"",ROUND(($W700-$V700)/60,2))</f>
        <v/>
      </c>
      <c r="K700" s="52" t="str">
        <f aca="false">IF($F700="","",LEN($F700)-LEN(SUBSTITUTE($F700,",",""))+1)</f>
        <v/>
      </c>
      <c r="L700" s="45" t="str">
        <f aca="false">IF($K700="","","1:"&amp;$K700)</f>
        <v/>
      </c>
      <c r="M700" s="46"/>
      <c r="N700" s="53"/>
      <c r="O700" s="46"/>
      <c r="P700" s="47"/>
      <c r="Q700" s="48"/>
      <c r="R700" s="49"/>
      <c r="S700" s="54" t="str">
        <f aca="false">IF(OR($AC700=0,$U700="",$M700="",$V700="",$W700=""),"",IF(COUNTIFS(m_teacher,$M700,m_date,$U700,m_active,1,m_start,"&lt;"&amp;$W700,m_end,"&gt;"&amp;$V700)&gt;1,"충돌",""))</f>
        <v/>
      </c>
      <c r="T700" s="48"/>
      <c r="U700" s="55" t="str">
        <f aca="false">IF($G700="","",IFERROR(IF(ISNUMBER($G700),IF($G700&gt;19000000,DATE(INT($G700/10000),MOD(INT($G700/100),100),MOD($G700,100)),INT($G700)),IF(LEN(SUBSTITUTE(SUBSTITUTE(SUBSTITUTE(TRIM($G700),"-",""),".",""),"/",""))=8,DATE(VALUE(LEFT(SUBSTITUTE(SUBSTITUTE(SUBSTITUTE(TRIM($G700),"-",""),".",""),"/",""),4)),VALUE(MID(SUBSTITUTE(SUBSTITUTE(SUBSTITUTE(TRIM($G700),"-",""),".",""),"/",""),5,2)),VALUE(RIGHT(SUBSTITUTE(SUBSTITUTE(SUBSTITUTE(TRIM($G700),"-",""),".",""),"/",""),2))),DATEVALUE($G700))),""))</f>
        <v/>
      </c>
      <c r="V700" s="52" t="str">
        <f aca="false">IF($H700="","",IFERROR(IF(IF(ISNUMBER($H700),$H700,IFERROR(TIMEVALUE($H700),VALUE($H700)))&gt;=100,INT(IF(ISNUMBER($H700),$H700,IFERROR(TIMEVALUE($H700),VALUE($H700)))/100)*60+MOD(IF(ISNUMBER($H700),$H700,IFERROR(TIMEVALUE($H700),VALUE($H700))),100),IF(IF(ISNUMBER($H700),$H700,IFERROR(TIMEVALUE($H700),VALUE($H700)))&gt;=1,ROUND(IF(ISNUMBER($H700),$H700,IFERROR(TIMEVALUE($H700),VALUE($H700)))*60,0),ROUND(MOD(IF(ISNUMBER($H700),$H700,IFERROR(TIMEVALUE($H700),VALUE($H700))),1)*1440,0))),""))</f>
        <v/>
      </c>
      <c r="W700" s="52" t="str">
        <f aca="false">IF($I700="","",IFERROR(IF(IF(ISNUMBER($I700),$I700,IFERROR(TIMEVALUE($I700),VALUE($I700)))&gt;=100,INT(IF(ISNUMBER($I700),$I700,IFERROR(TIMEVALUE($I700),VALUE($I700)))/100)*60+MOD(IF(ISNUMBER($I700),$I700,IFERROR(TIMEVALUE($I700),VALUE($I700))),100),IF(IF(ISNUMBER($I700),$I700,IFERROR(TIMEVALUE($I700),VALUE($I700)))&gt;=1,ROUND(IF(ISNUMBER($I700),$I700,IFERROR(TIMEVALUE($I700),VALUE($I700)))*60,0),ROUND(MOD(IF(ISNUMBER($I700),$I700,IFERROR(TIMEVALUE($I700),VALUE($I700))),1)*1440,0))),""))</f>
        <v/>
      </c>
      <c r="X700" s="55" t="str">
        <f aca="false">IF($P700="","",IFERROR(IF(ISNUMBER($P700),IF($P700&gt;19000000,DATE(INT($P700/10000),MOD(INT($P700/100),100),MOD($P700,100)),INT($P700)),IF(LEN(SUBSTITUTE(SUBSTITUTE(SUBSTITUTE(TRIM($P700),"-",""),".",""),"/",""))=8,DATE(VALUE(LEFT(SUBSTITUTE(SUBSTITUTE(SUBSTITUTE(TRIM($P700),"-",""),".",""),"/",""),4)),VALUE(MID(SUBSTITUTE(SUBSTITUTE(SUBSTITUTE(TRIM($P700),"-",""),".",""),"/",""),5,2)),VALUE(RIGHT(SUBSTITUTE(SUBSTITUTE(SUBSTITUTE(TRIM($P700),"-",""),".",""),"/",""),2))),DATEVALUE($P700))),""))</f>
        <v/>
      </c>
      <c r="Y700" s="56" t="str">
        <f aca="false">IF($M700="","",IFERROR(INDEX(강사DB!$D$4:$D$53,MATCH($M700,강사DB!$A$4:$A$53,0)),""))</f>
        <v/>
      </c>
      <c r="Z700" s="56" t="str">
        <f aca="false">IF($B700&lt;&gt;"결제완료","",IF(OR($Y700="",$J700=""),"",$Y700*$J700+MAX(0,N($K700)-1)*설정!$J$7))</f>
        <v/>
      </c>
      <c r="AA700" s="56" t="str">
        <f aca="false">IF(AND($D700&lt;&gt;"",$B700="결제완료"),N($N700),"")</f>
        <v/>
      </c>
      <c r="AB700" s="45" t="str">
        <f aca="false">IF($D700="","",IF($F700&lt;&gt;"",$F700,$D700)&amp;IF($B700="상담중"," (상담)",""))</f>
        <v/>
      </c>
      <c r="AC700" s="45" t="n">
        <f aca="false">IF(AND($D700&lt;&gt;"",OR($B700="결제완료",$B700="상담중")),1,0)</f>
        <v>0</v>
      </c>
      <c r="AD700" s="45" t="n">
        <f aca="false">IF(OR($Z700="",$U700=""),0,IFERROR(IF(COUNTIFS(INDEX(g_grid,0,2*MATCH($M700,강사DB!$A$4:$A$15,0)),"&lt;&gt;",g_s,"&lt;="&amp;$U700,g_e,"&gt;="&amp;$U700)&gt;0,1,0),0))</f>
        <v>0</v>
      </c>
      <c r="AE700" s="48"/>
      <c r="AF700" s="56" t="str">
        <f aca="false">IF(AND($D700&lt;&gt;"",$B700="결제완료",$T700="대여"),설정!$J$5,"")</f>
        <v/>
      </c>
      <c r="AG700" s="54" t="str">
        <f aca="false">IF($D700="","",IF(AND($E700="",$R700=""),$AB700,"☎ "&amp;IF($E700="","-",$E700)&amp;IF($R700&lt;&gt;"","  ※ "&amp;$R700,"")&amp;IF($B700="상담중"," (상담)","")))</f>
        <v/>
      </c>
      <c r="AH700" s="56" t="str">
        <f aca="false">IF(AND($D700&lt;&gt;"",$B700="결제완료",$O700="스마트스토어"),ROUND(N($N700)*설정!$J$6,0),"")</f>
        <v/>
      </c>
      <c r="AI700" s="54" t="str">
        <f aca="false">IF($D700="","",ROW())</f>
        <v/>
      </c>
      <c r="AJ700" s="54" t="n">
        <f aca="false">IF(OR($AC700&lt;&gt;1,$M700=""),0,IF(ISNUMBER(SEARCH("퇴사",IFERROR(INDEX(강사DB!$G$4:$G$53,MATCH($M700,강사DB!$A$4:$A$53,0)),""))),1,0))</f>
        <v>0</v>
      </c>
    </row>
    <row r="701" customFormat="false" ht="15" hidden="false" customHeight="false" outlineLevel="0" collapsed="false">
      <c r="A701" s="45" t="str">
        <f aca="false">IF($D701="","",COUNTA($D$5:$D701))</f>
        <v/>
      </c>
      <c r="B701" s="46"/>
      <c r="C701" s="47"/>
      <c r="D701" s="48"/>
      <c r="E701" s="48"/>
      <c r="F701" s="49"/>
      <c r="G701" s="47"/>
      <c r="H701" s="50"/>
      <c r="I701" s="50"/>
      <c r="J701" s="51" t="str">
        <f aca="false">IF(OR($V701="",$W701=""),"",ROUND(($W701-$V701)/60,2))</f>
        <v/>
      </c>
      <c r="K701" s="52" t="str">
        <f aca="false">IF($F701="","",LEN($F701)-LEN(SUBSTITUTE($F701,",",""))+1)</f>
        <v/>
      </c>
      <c r="L701" s="45" t="str">
        <f aca="false">IF($K701="","","1:"&amp;$K701)</f>
        <v/>
      </c>
      <c r="M701" s="46"/>
      <c r="N701" s="53"/>
      <c r="O701" s="46"/>
      <c r="P701" s="47"/>
      <c r="Q701" s="48"/>
      <c r="R701" s="49"/>
      <c r="S701" s="54" t="str">
        <f aca="false">IF(OR($AC701=0,$U701="",$M701="",$V701="",$W701=""),"",IF(COUNTIFS(m_teacher,$M701,m_date,$U701,m_active,1,m_start,"&lt;"&amp;$W701,m_end,"&gt;"&amp;$V701)&gt;1,"충돌",""))</f>
        <v/>
      </c>
      <c r="T701" s="48"/>
      <c r="U701" s="55" t="str">
        <f aca="false">IF($G701="","",IFERROR(IF(ISNUMBER($G701),IF($G701&gt;19000000,DATE(INT($G701/10000),MOD(INT($G701/100),100),MOD($G701,100)),INT($G701)),IF(LEN(SUBSTITUTE(SUBSTITUTE(SUBSTITUTE(TRIM($G701),"-",""),".",""),"/",""))=8,DATE(VALUE(LEFT(SUBSTITUTE(SUBSTITUTE(SUBSTITUTE(TRIM($G701),"-",""),".",""),"/",""),4)),VALUE(MID(SUBSTITUTE(SUBSTITUTE(SUBSTITUTE(TRIM($G701),"-",""),".",""),"/",""),5,2)),VALUE(RIGHT(SUBSTITUTE(SUBSTITUTE(SUBSTITUTE(TRIM($G701),"-",""),".",""),"/",""),2))),DATEVALUE($G701))),""))</f>
        <v/>
      </c>
      <c r="V701" s="52" t="str">
        <f aca="false">IF($H701="","",IFERROR(IF(IF(ISNUMBER($H701),$H701,IFERROR(TIMEVALUE($H701),VALUE($H701)))&gt;=100,INT(IF(ISNUMBER($H701),$H701,IFERROR(TIMEVALUE($H701),VALUE($H701)))/100)*60+MOD(IF(ISNUMBER($H701),$H701,IFERROR(TIMEVALUE($H701),VALUE($H701))),100),IF(IF(ISNUMBER($H701),$H701,IFERROR(TIMEVALUE($H701),VALUE($H701)))&gt;=1,ROUND(IF(ISNUMBER($H701),$H701,IFERROR(TIMEVALUE($H701),VALUE($H701)))*60,0),ROUND(MOD(IF(ISNUMBER($H701),$H701,IFERROR(TIMEVALUE($H701),VALUE($H701))),1)*1440,0))),""))</f>
        <v/>
      </c>
      <c r="W701" s="52" t="str">
        <f aca="false">IF($I701="","",IFERROR(IF(IF(ISNUMBER($I701),$I701,IFERROR(TIMEVALUE($I701),VALUE($I701)))&gt;=100,INT(IF(ISNUMBER($I701),$I701,IFERROR(TIMEVALUE($I701),VALUE($I701)))/100)*60+MOD(IF(ISNUMBER($I701),$I701,IFERROR(TIMEVALUE($I701),VALUE($I701))),100),IF(IF(ISNUMBER($I701),$I701,IFERROR(TIMEVALUE($I701),VALUE($I701)))&gt;=1,ROUND(IF(ISNUMBER($I701),$I701,IFERROR(TIMEVALUE($I701),VALUE($I701)))*60,0),ROUND(MOD(IF(ISNUMBER($I701),$I701,IFERROR(TIMEVALUE($I701),VALUE($I701))),1)*1440,0))),""))</f>
        <v/>
      </c>
      <c r="X701" s="55" t="str">
        <f aca="false">IF($P701="","",IFERROR(IF(ISNUMBER($P701),IF($P701&gt;19000000,DATE(INT($P701/10000),MOD(INT($P701/100),100),MOD($P701,100)),INT($P701)),IF(LEN(SUBSTITUTE(SUBSTITUTE(SUBSTITUTE(TRIM($P701),"-",""),".",""),"/",""))=8,DATE(VALUE(LEFT(SUBSTITUTE(SUBSTITUTE(SUBSTITUTE(TRIM($P701),"-",""),".",""),"/",""),4)),VALUE(MID(SUBSTITUTE(SUBSTITUTE(SUBSTITUTE(TRIM($P701),"-",""),".",""),"/",""),5,2)),VALUE(RIGHT(SUBSTITUTE(SUBSTITUTE(SUBSTITUTE(TRIM($P701),"-",""),".",""),"/",""),2))),DATEVALUE($P701))),""))</f>
        <v/>
      </c>
      <c r="Y701" s="56" t="str">
        <f aca="false">IF($M701="","",IFERROR(INDEX(강사DB!$D$4:$D$53,MATCH($M701,강사DB!$A$4:$A$53,0)),""))</f>
        <v/>
      </c>
      <c r="Z701" s="56" t="str">
        <f aca="false">IF($B701&lt;&gt;"결제완료","",IF(OR($Y701="",$J701=""),"",$Y701*$J701+MAX(0,N($K701)-1)*설정!$J$7))</f>
        <v/>
      </c>
      <c r="AA701" s="56" t="str">
        <f aca="false">IF(AND($D701&lt;&gt;"",$B701="결제완료"),N($N701),"")</f>
        <v/>
      </c>
      <c r="AB701" s="45" t="str">
        <f aca="false">IF($D701="","",IF($F701&lt;&gt;"",$F701,$D701)&amp;IF($B701="상담중"," (상담)",""))</f>
        <v/>
      </c>
      <c r="AC701" s="45" t="n">
        <f aca="false">IF(AND($D701&lt;&gt;"",OR($B701="결제완료",$B701="상담중")),1,0)</f>
        <v>0</v>
      </c>
      <c r="AD701" s="45" t="n">
        <f aca="false">IF(OR($Z701="",$U701=""),0,IFERROR(IF(COUNTIFS(INDEX(g_grid,0,2*MATCH($M701,강사DB!$A$4:$A$15,0)),"&lt;&gt;",g_s,"&lt;="&amp;$U701,g_e,"&gt;="&amp;$U701)&gt;0,1,0),0))</f>
        <v>0</v>
      </c>
      <c r="AE701" s="48"/>
      <c r="AF701" s="56" t="str">
        <f aca="false">IF(AND($D701&lt;&gt;"",$B701="결제완료",$T701="대여"),설정!$J$5,"")</f>
        <v/>
      </c>
      <c r="AG701" s="54" t="str">
        <f aca="false">IF($D701="","",IF(AND($E701="",$R701=""),$AB701,"☎ "&amp;IF($E701="","-",$E701)&amp;IF($R701&lt;&gt;"","  ※ "&amp;$R701,"")&amp;IF($B701="상담중"," (상담)","")))</f>
        <v/>
      </c>
      <c r="AH701" s="56" t="str">
        <f aca="false">IF(AND($D701&lt;&gt;"",$B701="결제완료",$O701="스마트스토어"),ROUND(N($N701)*설정!$J$6,0),"")</f>
        <v/>
      </c>
      <c r="AI701" s="54" t="str">
        <f aca="false">IF($D701="","",ROW())</f>
        <v/>
      </c>
      <c r="AJ701" s="54" t="n">
        <f aca="false">IF(OR($AC701&lt;&gt;1,$M701=""),0,IF(ISNUMBER(SEARCH("퇴사",IFERROR(INDEX(강사DB!$G$4:$G$53,MATCH($M701,강사DB!$A$4:$A$53,0)),""))),1,0))</f>
        <v>0</v>
      </c>
    </row>
    <row r="702" customFormat="false" ht="15" hidden="false" customHeight="false" outlineLevel="0" collapsed="false">
      <c r="A702" s="45" t="str">
        <f aca="false">IF($D702="","",COUNTA($D$5:$D702))</f>
        <v/>
      </c>
      <c r="B702" s="46"/>
      <c r="C702" s="47"/>
      <c r="D702" s="48"/>
      <c r="E702" s="48"/>
      <c r="F702" s="49"/>
      <c r="G702" s="47"/>
      <c r="H702" s="50"/>
      <c r="I702" s="50"/>
      <c r="J702" s="51" t="str">
        <f aca="false">IF(OR($V702="",$W702=""),"",ROUND(($W702-$V702)/60,2))</f>
        <v/>
      </c>
      <c r="K702" s="52" t="str">
        <f aca="false">IF($F702="","",LEN($F702)-LEN(SUBSTITUTE($F702,",",""))+1)</f>
        <v/>
      </c>
      <c r="L702" s="45" t="str">
        <f aca="false">IF($K702="","","1:"&amp;$K702)</f>
        <v/>
      </c>
      <c r="M702" s="46"/>
      <c r="N702" s="53"/>
      <c r="O702" s="46"/>
      <c r="P702" s="47"/>
      <c r="Q702" s="48"/>
      <c r="R702" s="49"/>
      <c r="S702" s="54" t="str">
        <f aca="false">IF(OR($AC702=0,$U702="",$M702="",$V702="",$W702=""),"",IF(COUNTIFS(m_teacher,$M702,m_date,$U702,m_active,1,m_start,"&lt;"&amp;$W702,m_end,"&gt;"&amp;$V702)&gt;1,"충돌",""))</f>
        <v/>
      </c>
      <c r="T702" s="48"/>
      <c r="U702" s="55" t="str">
        <f aca="false">IF($G702="","",IFERROR(IF(ISNUMBER($G702),IF($G702&gt;19000000,DATE(INT($G702/10000),MOD(INT($G702/100),100),MOD($G702,100)),INT($G702)),IF(LEN(SUBSTITUTE(SUBSTITUTE(SUBSTITUTE(TRIM($G702),"-",""),".",""),"/",""))=8,DATE(VALUE(LEFT(SUBSTITUTE(SUBSTITUTE(SUBSTITUTE(TRIM($G702),"-",""),".",""),"/",""),4)),VALUE(MID(SUBSTITUTE(SUBSTITUTE(SUBSTITUTE(TRIM($G702),"-",""),".",""),"/",""),5,2)),VALUE(RIGHT(SUBSTITUTE(SUBSTITUTE(SUBSTITUTE(TRIM($G702),"-",""),".",""),"/",""),2))),DATEVALUE($G702))),""))</f>
        <v/>
      </c>
      <c r="V702" s="52" t="str">
        <f aca="false">IF($H702="","",IFERROR(IF(IF(ISNUMBER($H702),$H702,IFERROR(TIMEVALUE($H702),VALUE($H702)))&gt;=100,INT(IF(ISNUMBER($H702),$H702,IFERROR(TIMEVALUE($H702),VALUE($H702)))/100)*60+MOD(IF(ISNUMBER($H702),$H702,IFERROR(TIMEVALUE($H702),VALUE($H702))),100),IF(IF(ISNUMBER($H702),$H702,IFERROR(TIMEVALUE($H702),VALUE($H702)))&gt;=1,ROUND(IF(ISNUMBER($H702),$H702,IFERROR(TIMEVALUE($H702),VALUE($H702)))*60,0),ROUND(MOD(IF(ISNUMBER($H702),$H702,IFERROR(TIMEVALUE($H702),VALUE($H702))),1)*1440,0))),""))</f>
        <v/>
      </c>
      <c r="W702" s="52" t="str">
        <f aca="false">IF($I702="","",IFERROR(IF(IF(ISNUMBER($I702),$I702,IFERROR(TIMEVALUE($I702),VALUE($I702)))&gt;=100,INT(IF(ISNUMBER($I702),$I702,IFERROR(TIMEVALUE($I702),VALUE($I702)))/100)*60+MOD(IF(ISNUMBER($I702),$I702,IFERROR(TIMEVALUE($I702),VALUE($I702))),100),IF(IF(ISNUMBER($I702),$I702,IFERROR(TIMEVALUE($I702),VALUE($I702)))&gt;=1,ROUND(IF(ISNUMBER($I702),$I702,IFERROR(TIMEVALUE($I702),VALUE($I702)))*60,0),ROUND(MOD(IF(ISNUMBER($I702),$I702,IFERROR(TIMEVALUE($I702),VALUE($I702))),1)*1440,0))),""))</f>
        <v/>
      </c>
      <c r="X702" s="55" t="str">
        <f aca="false">IF($P702="","",IFERROR(IF(ISNUMBER($P702),IF($P702&gt;19000000,DATE(INT($P702/10000),MOD(INT($P702/100),100),MOD($P702,100)),INT($P702)),IF(LEN(SUBSTITUTE(SUBSTITUTE(SUBSTITUTE(TRIM($P702),"-",""),".",""),"/",""))=8,DATE(VALUE(LEFT(SUBSTITUTE(SUBSTITUTE(SUBSTITUTE(TRIM($P702),"-",""),".",""),"/",""),4)),VALUE(MID(SUBSTITUTE(SUBSTITUTE(SUBSTITUTE(TRIM($P702),"-",""),".",""),"/",""),5,2)),VALUE(RIGHT(SUBSTITUTE(SUBSTITUTE(SUBSTITUTE(TRIM($P702),"-",""),".",""),"/",""),2))),DATEVALUE($P702))),""))</f>
        <v/>
      </c>
      <c r="Y702" s="56" t="str">
        <f aca="false">IF($M702="","",IFERROR(INDEX(강사DB!$D$4:$D$53,MATCH($M702,강사DB!$A$4:$A$53,0)),""))</f>
        <v/>
      </c>
      <c r="Z702" s="56" t="str">
        <f aca="false">IF($B702&lt;&gt;"결제완료","",IF(OR($Y702="",$J702=""),"",$Y702*$J702+MAX(0,N($K702)-1)*설정!$J$7))</f>
        <v/>
      </c>
      <c r="AA702" s="56" t="str">
        <f aca="false">IF(AND($D702&lt;&gt;"",$B702="결제완료"),N($N702),"")</f>
        <v/>
      </c>
      <c r="AB702" s="45" t="str">
        <f aca="false">IF($D702="","",IF($F702&lt;&gt;"",$F702,$D702)&amp;IF($B702="상담중"," (상담)",""))</f>
        <v/>
      </c>
      <c r="AC702" s="45" t="n">
        <f aca="false">IF(AND($D702&lt;&gt;"",OR($B702="결제완료",$B702="상담중")),1,0)</f>
        <v>0</v>
      </c>
      <c r="AD702" s="45" t="n">
        <f aca="false">IF(OR($Z702="",$U702=""),0,IFERROR(IF(COUNTIFS(INDEX(g_grid,0,2*MATCH($M702,강사DB!$A$4:$A$15,0)),"&lt;&gt;",g_s,"&lt;="&amp;$U702,g_e,"&gt;="&amp;$U702)&gt;0,1,0),0))</f>
        <v>0</v>
      </c>
      <c r="AE702" s="48"/>
      <c r="AF702" s="56" t="str">
        <f aca="false">IF(AND($D702&lt;&gt;"",$B702="결제완료",$T702="대여"),설정!$J$5,"")</f>
        <v/>
      </c>
      <c r="AG702" s="54" t="str">
        <f aca="false">IF($D702="","",IF(AND($E702="",$R702=""),$AB702,"☎ "&amp;IF($E702="","-",$E702)&amp;IF($R702&lt;&gt;"","  ※ "&amp;$R702,"")&amp;IF($B702="상담중"," (상담)","")))</f>
        <v/>
      </c>
      <c r="AH702" s="56" t="str">
        <f aca="false">IF(AND($D702&lt;&gt;"",$B702="결제완료",$O702="스마트스토어"),ROUND(N($N702)*설정!$J$6,0),"")</f>
        <v/>
      </c>
      <c r="AI702" s="54" t="str">
        <f aca="false">IF($D702="","",ROW())</f>
        <v/>
      </c>
      <c r="AJ702" s="54" t="n">
        <f aca="false">IF(OR($AC702&lt;&gt;1,$M702=""),0,IF(ISNUMBER(SEARCH("퇴사",IFERROR(INDEX(강사DB!$G$4:$G$53,MATCH($M702,강사DB!$A$4:$A$53,0)),""))),1,0))</f>
        <v>0</v>
      </c>
    </row>
    <row r="703" customFormat="false" ht="15" hidden="false" customHeight="false" outlineLevel="0" collapsed="false">
      <c r="A703" s="45" t="str">
        <f aca="false">IF($D703="","",COUNTA($D$5:$D703))</f>
        <v/>
      </c>
      <c r="B703" s="46"/>
      <c r="C703" s="47"/>
      <c r="D703" s="48"/>
      <c r="E703" s="48"/>
      <c r="F703" s="49"/>
      <c r="G703" s="47"/>
      <c r="H703" s="50"/>
      <c r="I703" s="50"/>
      <c r="J703" s="51" t="str">
        <f aca="false">IF(OR($V703="",$W703=""),"",ROUND(($W703-$V703)/60,2))</f>
        <v/>
      </c>
      <c r="K703" s="52" t="str">
        <f aca="false">IF($F703="","",LEN($F703)-LEN(SUBSTITUTE($F703,",",""))+1)</f>
        <v/>
      </c>
      <c r="L703" s="45" t="str">
        <f aca="false">IF($K703="","","1:"&amp;$K703)</f>
        <v/>
      </c>
      <c r="M703" s="46"/>
      <c r="N703" s="53"/>
      <c r="O703" s="46"/>
      <c r="P703" s="47"/>
      <c r="Q703" s="48"/>
      <c r="R703" s="49"/>
      <c r="S703" s="54" t="str">
        <f aca="false">IF(OR($AC703=0,$U703="",$M703="",$V703="",$W703=""),"",IF(COUNTIFS(m_teacher,$M703,m_date,$U703,m_active,1,m_start,"&lt;"&amp;$W703,m_end,"&gt;"&amp;$V703)&gt;1,"충돌",""))</f>
        <v/>
      </c>
      <c r="T703" s="48"/>
      <c r="U703" s="55" t="str">
        <f aca="false">IF($G703="","",IFERROR(IF(ISNUMBER($G703),IF($G703&gt;19000000,DATE(INT($G703/10000),MOD(INT($G703/100),100),MOD($G703,100)),INT($G703)),IF(LEN(SUBSTITUTE(SUBSTITUTE(SUBSTITUTE(TRIM($G703),"-",""),".",""),"/",""))=8,DATE(VALUE(LEFT(SUBSTITUTE(SUBSTITUTE(SUBSTITUTE(TRIM($G703),"-",""),".",""),"/",""),4)),VALUE(MID(SUBSTITUTE(SUBSTITUTE(SUBSTITUTE(TRIM($G703),"-",""),".",""),"/",""),5,2)),VALUE(RIGHT(SUBSTITUTE(SUBSTITUTE(SUBSTITUTE(TRIM($G703),"-",""),".",""),"/",""),2))),DATEVALUE($G703))),""))</f>
        <v/>
      </c>
      <c r="V703" s="52" t="str">
        <f aca="false">IF($H703="","",IFERROR(IF(IF(ISNUMBER($H703),$H703,IFERROR(TIMEVALUE($H703),VALUE($H703)))&gt;=100,INT(IF(ISNUMBER($H703),$H703,IFERROR(TIMEVALUE($H703),VALUE($H703)))/100)*60+MOD(IF(ISNUMBER($H703),$H703,IFERROR(TIMEVALUE($H703),VALUE($H703))),100),IF(IF(ISNUMBER($H703),$H703,IFERROR(TIMEVALUE($H703),VALUE($H703)))&gt;=1,ROUND(IF(ISNUMBER($H703),$H703,IFERROR(TIMEVALUE($H703),VALUE($H703)))*60,0),ROUND(MOD(IF(ISNUMBER($H703),$H703,IFERROR(TIMEVALUE($H703),VALUE($H703))),1)*1440,0))),""))</f>
        <v/>
      </c>
      <c r="W703" s="52" t="str">
        <f aca="false">IF($I703="","",IFERROR(IF(IF(ISNUMBER($I703),$I703,IFERROR(TIMEVALUE($I703),VALUE($I703)))&gt;=100,INT(IF(ISNUMBER($I703),$I703,IFERROR(TIMEVALUE($I703),VALUE($I703)))/100)*60+MOD(IF(ISNUMBER($I703),$I703,IFERROR(TIMEVALUE($I703),VALUE($I703))),100),IF(IF(ISNUMBER($I703),$I703,IFERROR(TIMEVALUE($I703),VALUE($I703)))&gt;=1,ROUND(IF(ISNUMBER($I703),$I703,IFERROR(TIMEVALUE($I703),VALUE($I703)))*60,0),ROUND(MOD(IF(ISNUMBER($I703),$I703,IFERROR(TIMEVALUE($I703),VALUE($I703))),1)*1440,0))),""))</f>
        <v/>
      </c>
      <c r="X703" s="55" t="str">
        <f aca="false">IF($P703="","",IFERROR(IF(ISNUMBER($P703),IF($P703&gt;19000000,DATE(INT($P703/10000),MOD(INT($P703/100),100),MOD($P703,100)),INT($P703)),IF(LEN(SUBSTITUTE(SUBSTITUTE(SUBSTITUTE(TRIM($P703),"-",""),".",""),"/",""))=8,DATE(VALUE(LEFT(SUBSTITUTE(SUBSTITUTE(SUBSTITUTE(TRIM($P703),"-",""),".",""),"/",""),4)),VALUE(MID(SUBSTITUTE(SUBSTITUTE(SUBSTITUTE(TRIM($P703),"-",""),".",""),"/",""),5,2)),VALUE(RIGHT(SUBSTITUTE(SUBSTITUTE(SUBSTITUTE(TRIM($P703),"-",""),".",""),"/",""),2))),DATEVALUE($P703))),""))</f>
        <v/>
      </c>
      <c r="Y703" s="56" t="str">
        <f aca="false">IF($M703="","",IFERROR(INDEX(강사DB!$D$4:$D$53,MATCH($M703,강사DB!$A$4:$A$53,0)),""))</f>
        <v/>
      </c>
      <c r="Z703" s="56" t="str">
        <f aca="false">IF($B703&lt;&gt;"결제완료","",IF(OR($Y703="",$J703=""),"",$Y703*$J703+MAX(0,N($K703)-1)*설정!$J$7))</f>
        <v/>
      </c>
      <c r="AA703" s="56" t="str">
        <f aca="false">IF(AND($D703&lt;&gt;"",$B703="결제완료"),N($N703),"")</f>
        <v/>
      </c>
      <c r="AB703" s="45" t="str">
        <f aca="false">IF($D703="","",IF($F703&lt;&gt;"",$F703,$D703)&amp;IF($B703="상담중"," (상담)",""))</f>
        <v/>
      </c>
      <c r="AC703" s="45" t="n">
        <f aca="false">IF(AND($D703&lt;&gt;"",OR($B703="결제완료",$B703="상담중")),1,0)</f>
        <v>0</v>
      </c>
      <c r="AD703" s="45" t="n">
        <f aca="false">IF(OR($Z703="",$U703=""),0,IFERROR(IF(COUNTIFS(INDEX(g_grid,0,2*MATCH($M703,강사DB!$A$4:$A$15,0)),"&lt;&gt;",g_s,"&lt;="&amp;$U703,g_e,"&gt;="&amp;$U703)&gt;0,1,0),0))</f>
        <v>0</v>
      </c>
      <c r="AE703" s="48"/>
      <c r="AF703" s="56" t="str">
        <f aca="false">IF(AND($D703&lt;&gt;"",$B703="결제완료",$T703="대여"),설정!$J$5,"")</f>
        <v/>
      </c>
      <c r="AG703" s="54" t="str">
        <f aca="false">IF($D703="","",IF(AND($E703="",$R703=""),$AB703,"☎ "&amp;IF($E703="","-",$E703)&amp;IF($R703&lt;&gt;"","  ※ "&amp;$R703,"")&amp;IF($B703="상담중"," (상담)","")))</f>
        <v/>
      </c>
      <c r="AH703" s="56" t="str">
        <f aca="false">IF(AND($D703&lt;&gt;"",$B703="결제완료",$O703="스마트스토어"),ROUND(N($N703)*설정!$J$6,0),"")</f>
        <v/>
      </c>
      <c r="AI703" s="54" t="str">
        <f aca="false">IF($D703="","",ROW())</f>
        <v/>
      </c>
      <c r="AJ703" s="54" t="n">
        <f aca="false">IF(OR($AC703&lt;&gt;1,$M703=""),0,IF(ISNUMBER(SEARCH("퇴사",IFERROR(INDEX(강사DB!$G$4:$G$53,MATCH($M703,강사DB!$A$4:$A$53,0)),""))),1,0))</f>
        <v>0</v>
      </c>
    </row>
    <row r="704" customFormat="false" ht="15" hidden="false" customHeight="false" outlineLevel="0" collapsed="false">
      <c r="A704" s="45" t="str">
        <f aca="false">IF($D704="","",COUNTA($D$5:$D704))</f>
        <v/>
      </c>
      <c r="B704" s="46"/>
      <c r="C704" s="47"/>
      <c r="D704" s="48"/>
      <c r="E704" s="48"/>
      <c r="F704" s="49"/>
      <c r="G704" s="47"/>
      <c r="H704" s="50"/>
      <c r="I704" s="50"/>
      <c r="J704" s="51" t="str">
        <f aca="false">IF(OR($V704="",$W704=""),"",ROUND(($W704-$V704)/60,2))</f>
        <v/>
      </c>
      <c r="K704" s="52" t="str">
        <f aca="false">IF($F704="","",LEN($F704)-LEN(SUBSTITUTE($F704,",",""))+1)</f>
        <v/>
      </c>
      <c r="L704" s="45" t="str">
        <f aca="false">IF($K704="","","1:"&amp;$K704)</f>
        <v/>
      </c>
      <c r="M704" s="46"/>
      <c r="N704" s="53"/>
      <c r="O704" s="46"/>
      <c r="P704" s="47"/>
      <c r="Q704" s="48"/>
      <c r="R704" s="49"/>
      <c r="S704" s="54" t="str">
        <f aca="false">IF(OR($AC704=0,$U704="",$M704="",$V704="",$W704=""),"",IF(COUNTIFS(m_teacher,$M704,m_date,$U704,m_active,1,m_start,"&lt;"&amp;$W704,m_end,"&gt;"&amp;$V704)&gt;1,"충돌",""))</f>
        <v/>
      </c>
      <c r="T704" s="48"/>
      <c r="U704" s="55" t="str">
        <f aca="false">IF($G704="","",IFERROR(IF(ISNUMBER($G704),IF($G704&gt;19000000,DATE(INT($G704/10000),MOD(INT($G704/100),100),MOD($G704,100)),INT($G704)),IF(LEN(SUBSTITUTE(SUBSTITUTE(SUBSTITUTE(TRIM($G704),"-",""),".",""),"/",""))=8,DATE(VALUE(LEFT(SUBSTITUTE(SUBSTITUTE(SUBSTITUTE(TRIM($G704),"-",""),".",""),"/",""),4)),VALUE(MID(SUBSTITUTE(SUBSTITUTE(SUBSTITUTE(TRIM($G704),"-",""),".",""),"/",""),5,2)),VALUE(RIGHT(SUBSTITUTE(SUBSTITUTE(SUBSTITUTE(TRIM($G704),"-",""),".",""),"/",""),2))),DATEVALUE($G704))),""))</f>
        <v/>
      </c>
      <c r="V704" s="52" t="str">
        <f aca="false">IF($H704="","",IFERROR(IF(IF(ISNUMBER($H704),$H704,IFERROR(TIMEVALUE($H704),VALUE($H704)))&gt;=100,INT(IF(ISNUMBER($H704),$H704,IFERROR(TIMEVALUE($H704),VALUE($H704)))/100)*60+MOD(IF(ISNUMBER($H704),$H704,IFERROR(TIMEVALUE($H704),VALUE($H704))),100),IF(IF(ISNUMBER($H704),$H704,IFERROR(TIMEVALUE($H704),VALUE($H704)))&gt;=1,ROUND(IF(ISNUMBER($H704),$H704,IFERROR(TIMEVALUE($H704),VALUE($H704)))*60,0),ROUND(MOD(IF(ISNUMBER($H704),$H704,IFERROR(TIMEVALUE($H704),VALUE($H704))),1)*1440,0))),""))</f>
        <v/>
      </c>
      <c r="W704" s="52" t="str">
        <f aca="false">IF($I704="","",IFERROR(IF(IF(ISNUMBER($I704),$I704,IFERROR(TIMEVALUE($I704),VALUE($I704)))&gt;=100,INT(IF(ISNUMBER($I704),$I704,IFERROR(TIMEVALUE($I704),VALUE($I704)))/100)*60+MOD(IF(ISNUMBER($I704),$I704,IFERROR(TIMEVALUE($I704),VALUE($I704))),100),IF(IF(ISNUMBER($I704),$I704,IFERROR(TIMEVALUE($I704),VALUE($I704)))&gt;=1,ROUND(IF(ISNUMBER($I704),$I704,IFERROR(TIMEVALUE($I704),VALUE($I704)))*60,0),ROUND(MOD(IF(ISNUMBER($I704),$I704,IFERROR(TIMEVALUE($I704),VALUE($I704))),1)*1440,0))),""))</f>
        <v/>
      </c>
      <c r="X704" s="55" t="str">
        <f aca="false">IF($P704="","",IFERROR(IF(ISNUMBER($P704),IF($P704&gt;19000000,DATE(INT($P704/10000),MOD(INT($P704/100),100),MOD($P704,100)),INT($P704)),IF(LEN(SUBSTITUTE(SUBSTITUTE(SUBSTITUTE(TRIM($P704),"-",""),".",""),"/",""))=8,DATE(VALUE(LEFT(SUBSTITUTE(SUBSTITUTE(SUBSTITUTE(TRIM($P704),"-",""),".",""),"/",""),4)),VALUE(MID(SUBSTITUTE(SUBSTITUTE(SUBSTITUTE(TRIM($P704),"-",""),".",""),"/",""),5,2)),VALUE(RIGHT(SUBSTITUTE(SUBSTITUTE(SUBSTITUTE(TRIM($P704),"-",""),".",""),"/",""),2))),DATEVALUE($P704))),""))</f>
        <v/>
      </c>
      <c r="Y704" s="56" t="str">
        <f aca="false">IF($M704="","",IFERROR(INDEX(강사DB!$D$4:$D$53,MATCH($M704,강사DB!$A$4:$A$53,0)),""))</f>
        <v/>
      </c>
      <c r="Z704" s="56" t="str">
        <f aca="false">IF($B704&lt;&gt;"결제완료","",IF(OR($Y704="",$J704=""),"",$Y704*$J704+MAX(0,N($K704)-1)*설정!$J$7))</f>
        <v/>
      </c>
      <c r="AA704" s="56" t="str">
        <f aca="false">IF(AND($D704&lt;&gt;"",$B704="결제완료"),N($N704),"")</f>
        <v/>
      </c>
      <c r="AB704" s="45" t="str">
        <f aca="false">IF($D704="","",IF($F704&lt;&gt;"",$F704,$D704)&amp;IF($B704="상담중"," (상담)",""))</f>
        <v/>
      </c>
      <c r="AC704" s="45" t="n">
        <f aca="false">IF(AND($D704&lt;&gt;"",OR($B704="결제완료",$B704="상담중")),1,0)</f>
        <v>0</v>
      </c>
      <c r="AD704" s="45" t="n">
        <f aca="false">IF(OR($Z704="",$U704=""),0,IFERROR(IF(COUNTIFS(INDEX(g_grid,0,2*MATCH($M704,강사DB!$A$4:$A$15,0)),"&lt;&gt;",g_s,"&lt;="&amp;$U704,g_e,"&gt;="&amp;$U704)&gt;0,1,0),0))</f>
        <v>0</v>
      </c>
      <c r="AE704" s="48"/>
      <c r="AF704" s="56" t="str">
        <f aca="false">IF(AND($D704&lt;&gt;"",$B704="결제완료",$T704="대여"),설정!$J$5,"")</f>
        <v/>
      </c>
      <c r="AG704" s="54" t="str">
        <f aca="false">IF($D704="","",IF(AND($E704="",$R704=""),$AB704,"☎ "&amp;IF($E704="","-",$E704)&amp;IF($R704&lt;&gt;"","  ※ "&amp;$R704,"")&amp;IF($B704="상담중"," (상담)","")))</f>
        <v/>
      </c>
      <c r="AH704" s="56" t="str">
        <f aca="false">IF(AND($D704&lt;&gt;"",$B704="결제완료",$O704="스마트스토어"),ROUND(N($N704)*설정!$J$6,0),"")</f>
        <v/>
      </c>
      <c r="AI704" s="54" t="str">
        <f aca="false">IF($D704="","",ROW())</f>
        <v/>
      </c>
      <c r="AJ704" s="54" t="n">
        <f aca="false">IF(OR($AC704&lt;&gt;1,$M704=""),0,IF(ISNUMBER(SEARCH("퇴사",IFERROR(INDEX(강사DB!$G$4:$G$53,MATCH($M704,강사DB!$A$4:$A$53,0)),""))),1,0))</f>
        <v>0</v>
      </c>
    </row>
    <row r="705" customFormat="false" ht="15" hidden="false" customHeight="false" outlineLevel="0" collapsed="false">
      <c r="A705" s="45" t="str">
        <f aca="false">IF($D705="","",COUNTA($D$5:$D705))</f>
        <v/>
      </c>
      <c r="B705" s="46"/>
      <c r="C705" s="47"/>
      <c r="D705" s="48"/>
      <c r="E705" s="48"/>
      <c r="F705" s="49"/>
      <c r="G705" s="47"/>
      <c r="H705" s="50"/>
      <c r="I705" s="50"/>
      <c r="J705" s="51" t="str">
        <f aca="false">IF(OR($V705="",$W705=""),"",ROUND(($W705-$V705)/60,2))</f>
        <v/>
      </c>
      <c r="K705" s="52" t="str">
        <f aca="false">IF($F705="","",LEN($F705)-LEN(SUBSTITUTE($F705,",",""))+1)</f>
        <v/>
      </c>
      <c r="L705" s="45" t="str">
        <f aca="false">IF($K705="","","1:"&amp;$K705)</f>
        <v/>
      </c>
      <c r="M705" s="46"/>
      <c r="N705" s="53"/>
      <c r="O705" s="46"/>
      <c r="P705" s="47"/>
      <c r="Q705" s="48"/>
      <c r="R705" s="49"/>
      <c r="S705" s="54" t="str">
        <f aca="false">IF(OR($AC705=0,$U705="",$M705="",$V705="",$W705=""),"",IF(COUNTIFS(m_teacher,$M705,m_date,$U705,m_active,1,m_start,"&lt;"&amp;$W705,m_end,"&gt;"&amp;$V705)&gt;1,"충돌",""))</f>
        <v/>
      </c>
      <c r="T705" s="48"/>
      <c r="U705" s="55" t="str">
        <f aca="false">IF($G705="","",IFERROR(IF(ISNUMBER($G705),IF($G705&gt;19000000,DATE(INT($G705/10000),MOD(INT($G705/100),100),MOD($G705,100)),INT($G705)),IF(LEN(SUBSTITUTE(SUBSTITUTE(SUBSTITUTE(TRIM($G705),"-",""),".",""),"/",""))=8,DATE(VALUE(LEFT(SUBSTITUTE(SUBSTITUTE(SUBSTITUTE(TRIM($G705),"-",""),".",""),"/",""),4)),VALUE(MID(SUBSTITUTE(SUBSTITUTE(SUBSTITUTE(TRIM($G705),"-",""),".",""),"/",""),5,2)),VALUE(RIGHT(SUBSTITUTE(SUBSTITUTE(SUBSTITUTE(TRIM($G705),"-",""),".",""),"/",""),2))),DATEVALUE($G705))),""))</f>
        <v/>
      </c>
      <c r="V705" s="52" t="str">
        <f aca="false">IF($H705="","",IFERROR(IF(IF(ISNUMBER($H705),$H705,IFERROR(TIMEVALUE($H705),VALUE($H705)))&gt;=100,INT(IF(ISNUMBER($H705),$H705,IFERROR(TIMEVALUE($H705),VALUE($H705)))/100)*60+MOD(IF(ISNUMBER($H705),$H705,IFERROR(TIMEVALUE($H705),VALUE($H705))),100),IF(IF(ISNUMBER($H705),$H705,IFERROR(TIMEVALUE($H705),VALUE($H705)))&gt;=1,ROUND(IF(ISNUMBER($H705),$H705,IFERROR(TIMEVALUE($H705),VALUE($H705)))*60,0),ROUND(MOD(IF(ISNUMBER($H705),$H705,IFERROR(TIMEVALUE($H705),VALUE($H705))),1)*1440,0))),""))</f>
        <v/>
      </c>
      <c r="W705" s="52" t="str">
        <f aca="false">IF($I705="","",IFERROR(IF(IF(ISNUMBER($I705),$I705,IFERROR(TIMEVALUE($I705),VALUE($I705)))&gt;=100,INT(IF(ISNUMBER($I705),$I705,IFERROR(TIMEVALUE($I705),VALUE($I705)))/100)*60+MOD(IF(ISNUMBER($I705),$I705,IFERROR(TIMEVALUE($I705),VALUE($I705))),100),IF(IF(ISNUMBER($I705),$I705,IFERROR(TIMEVALUE($I705),VALUE($I705)))&gt;=1,ROUND(IF(ISNUMBER($I705),$I705,IFERROR(TIMEVALUE($I705),VALUE($I705)))*60,0),ROUND(MOD(IF(ISNUMBER($I705),$I705,IFERROR(TIMEVALUE($I705),VALUE($I705))),1)*1440,0))),""))</f>
        <v/>
      </c>
      <c r="X705" s="55" t="str">
        <f aca="false">IF($P705="","",IFERROR(IF(ISNUMBER($P705),IF($P705&gt;19000000,DATE(INT($P705/10000),MOD(INT($P705/100),100),MOD($P705,100)),INT($P705)),IF(LEN(SUBSTITUTE(SUBSTITUTE(SUBSTITUTE(TRIM($P705),"-",""),".",""),"/",""))=8,DATE(VALUE(LEFT(SUBSTITUTE(SUBSTITUTE(SUBSTITUTE(TRIM($P705),"-",""),".",""),"/",""),4)),VALUE(MID(SUBSTITUTE(SUBSTITUTE(SUBSTITUTE(TRIM($P705),"-",""),".",""),"/",""),5,2)),VALUE(RIGHT(SUBSTITUTE(SUBSTITUTE(SUBSTITUTE(TRIM($P705),"-",""),".",""),"/",""),2))),DATEVALUE($P705))),""))</f>
        <v/>
      </c>
      <c r="Y705" s="56" t="str">
        <f aca="false">IF($M705="","",IFERROR(INDEX(강사DB!$D$4:$D$53,MATCH($M705,강사DB!$A$4:$A$53,0)),""))</f>
        <v/>
      </c>
      <c r="Z705" s="56" t="str">
        <f aca="false">IF($B705&lt;&gt;"결제완료","",IF(OR($Y705="",$J705=""),"",$Y705*$J705+MAX(0,N($K705)-1)*설정!$J$7))</f>
        <v/>
      </c>
      <c r="AA705" s="56" t="str">
        <f aca="false">IF(AND($D705&lt;&gt;"",$B705="결제완료"),N($N705),"")</f>
        <v/>
      </c>
      <c r="AB705" s="45" t="str">
        <f aca="false">IF($D705="","",IF($F705&lt;&gt;"",$F705,$D705)&amp;IF($B705="상담중"," (상담)",""))</f>
        <v/>
      </c>
      <c r="AC705" s="45" t="n">
        <f aca="false">IF(AND($D705&lt;&gt;"",OR($B705="결제완료",$B705="상담중")),1,0)</f>
        <v>0</v>
      </c>
      <c r="AD705" s="45" t="n">
        <f aca="false">IF(OR($Z705="",$U705=""),0,IFERROR(IF(COUNTIFS(INDEX(g_grid,0,2*MATCH($M705,강사DB!$A$4:$A$15,0)),"&lt;&gt;",g_s,"&lt;="&amp;$U705,g_e,"&gt;="&amp;$U705)&gt;0,1,0),0))</f>
        <v>0</v>
      </c>
      <c r="AE705" s="48"/>
      <c r="AF705" s="56" t="str">
        <f aca="false">IF(AND($D705&lt;&gt;"",$B705="결제완료",$T705="대여"),설정!$J$5,"")</f>
        <v/>
      </c>
      <c r="AG705" s="54" t="str">
        <f aca="false">IF($D705="","",IF(AND($E705="",$R705=""),$AB705,"☎ "&amp;IF($E705="","-",$E705)&amp;IF($R705&lt;&gt;"","  ※ "&amp;$R705,"")&amp;IF($B705="상담중"," (상담)","")))</f>
        <v/>
      </c>
      <c r="AH705" s="56" t="str">
        <f aca="false">IF(AND($D705&lt;&gt;"",$B705="결제완료",$O705="스마트스토어"),ROUND(N($N705)*설정!$J$6,0),"")</f>
        <v/>
      </c>
      <c r="AI705" s="54" t="str">
        <f aca="false">IF($D705="","",ROW())</f>
        <v/>
      </c>
      <c r="AJ705" s="54" t="n">
        <f aca="false">IF(OR($AC705&lt;&gt;1,$M705=""),0,IF(ISNUMBER(SEARCH("퇴사",IFERROR(INDEX(강사DB!$G$4:$G$53,MATCH($M705,강사DB!$A$4:$A$53,0)),""))),1,0))</f>
        <v>0</v>
      </c>
    </row>
    <row r="706" customFormat="false" ht="15" hidden="false" customHeight="false" outlineLevel="0" collapsed="false">
      <c r="A706" s="45" t="str">
        <f aca="false">IF($D706="","",COUNTA($D$5:$D706))</f>
        <v/>
      </c>
      <c r="B706" s="46"/>
      <c r="C706" s="47"/>
      <c r="D706" s="48"/>
      <c r="E706" s="48"/>
      <c r="F706" s="49"/>
      <c r="G706" s="47"/>
      <c r="H706" s="50"/>
      <c r="I706" s="50"/>
      <c r="J706" s="51" t="str">
        <f aca="false">IF(OR($V706="",$W706=""),"",ROUND(($W706-$V706)/60,2))</f>
        <v/>
      </c>
      <c r="K706" s="52" t="str">
        <f aca="false">IF($F706="","",LEN($F706)-LEN(SUBSTITUTE($F706,",",""))+1)</f>
        <v/>
      </c>
      <c r="L706" s="45" t="str">
        <f aca="false">IF($K706="","","1:"&amp;$K706)</f>
        <v/>
      </c>
      <c r="M706" s="46"/>
      <c r="N706" s="53"/>
      <c r="O706" s="46"/>
      <c r="P706" s="47"/>
      <c r="Q706" s="48"/>
      <c r="R706" s="49"/>
      <c r="S706" s="54" t="str">
        <f aca="false">IF(OR($AC706=0,$U706="",$M706="",$V706="",$W706=""),"",IF(COUNTIFS(m_teacher,$M706,m_date,$U706,m_active,1,m_start,"&lt;"&amp;$W706,m_end,"&gt;"&amp;$V706)&gt;1,"충돌",""))</f>
        <v/>
      </c>
      <c r="T706" s="48"/>
      <c r="U706" s="55" t="str">
        <f aca="false">IF($G706="","",IFERROR(IF(ISNUMBER($G706),IF($G706&gt;19000000,DATE(INT($G706/10000),MOD(INT($G706/100),100),MOD($G706,100)),INT($G706)),IF(LEN(SUBSTITUTE(SUBSTITUTE(SUBSTITUTE(TRIM($G706),"-",""),".",""),"/",""))=8,DATE(VALUE(LEFT(SUBSTITUTE(SUBSTITUTE(SUBSTITUTE(TRIM($G706),"-",""),".",""),"/",""),4)),VALUE(MID(SUBSTITUTE(SUBSTITUTE(SUBSTITUTE(TRIM($G706),"-",""),".",""),"/",""),5,2)),VALUE(RIGHT(SUBSTITUTE(SUBSTITUTE(SUBSTITUTE(TRIM($G706),"-",""),".",""),"/",""),2))),DATEVALUE($G706))),""))</f>
        <v/>
      </c>
      <c r="V706" s="52" t="str">
        <f aca="false">IF($H706="","",IFERROR(IF(IF(ISNUMBER($H706),$H706,IFERROR(TIMEVALUE($H706),VALUE($H706)))&gt;=100,INT(IF(ISNUMBER($H706),$H706,IFERROR(TIMEVALUE($H706),VALUE($H706)))/100)*60+MOD(IF(ISNUMBER($H706),$H706,IFERROR(TIMEVALUE($H706),VALUE($H706))),100),IF(IF(ISNUMBER($H706),$H706,IFERROR(TIMEVALUE($H706),VALUE($H706)))&gt;=1,ROUND(IF(ISNUMBER($H706),$H706,IFERROR(TIMEVALUE($H706),VALUE($H706)))*60,0),ROUND(MOD(IF(ISNUMBER($H706),$H706,IFERROR(TIMEVALUE($H706),VALUE($H706))),1)*1440,0))),""))</f>
        <v/>
      </c>
      <c r="W706" s="52" t="str">
        <f aca="false">IF($I706="","",IFERROR(IF(IF(ISNUMBER($I706),$I706,IFERROR(TIMEVALUE($I706),VALUE($I706)))&gt;=100,INT(IF(ISNUMBER($I706),$I706,IFERROR(TIMEVALUE($I706),VALUE($I706)))/100)*60+MOD(IF(ISNUMBER($I706),$I706,IFERROR(TIMEVALUE($I706),VALUE($I706))),100),IF(IF(ISNUMBER($I706),$I706,IFERROR(TIMEVALUE($I706),VALUE($I706)))&gt;=1,ROUND(IF(ISNUMBER($I706),$I706,IFERROR(TIMEVALUE($I706),VALUE($I706)))*60,0),ROUND(MOD(IF(ISNUMBER($I706),$I706,IFERROR(TIMEVALUE($I706),VALUE($I706))),1)*1440,0))),""))</f>
        <v/>
      </c>
      <c r="X706" s="55" t="str">
        <f aca="false">IF($P706="","",IFERROR(IF(ISNUMBER($P706),IF($P706&gt;19000000,DATE(INT($P706/10000),MOD(INT($P706/100),100),MOD($P706,100)),INT($P706)),IF(LEN(SUBSTITUTE(SUBSTITUTE(SUBSTITUTE(TRIM($P706),"-",""),".",""),"/",""))=8,DATE(VALUE(LEFT(SUBSTITUTE(SUBSTITUTE(SUBSTITUTE(TRIM($P706),"-",""),".",""),"/",""),4)),VALUE(MID(SUBSTITUTE(SUBSTITUTE(SUBSTITUTE(TRIM($P706),"-",""),".",""),"/",""),5,2)),VALUE(RIGHT(SUBSTITUTE(SUBSTITUTE(SUBSTITUTE(TRIM($P706),"-",""),".",""),"/",""),2))),DATEVALUE($P706))),""))</f>
        <v/>
      </c>
      <c r="Y706" s="56" t="str">
        <f aca="false">IF($M706="","",IFERROR(INDEX(강사DB!$D$4:$D$53,MATCH($M706,강사DB!$A$4:$A$53,0)),""))</f>
        <v/>
      </c>
      <c r="Z706" s="56" t="str">
        <f aca="false">IF($B706&lt;&gt;"결제완료","",IF(OR($Y706="",$J706=""),"",$Y706*$J706+MAX(0,N($K706)-1)*설정!$J$7))</f>
        <v/>
      </c>
      <c r="AA706" s="56" t="str">
        <f aca="false">IF(AND($D706&lt;&gt;"",$B706="결제완료"),N($N706),"")</f>
        <v/>
      </c>
      <c r="AB706" s="45" t="str">
        <f aca="false">IF($D706="","",IF($F706&lt;&gt;"",$F706,$D706)&amp;IF($B706="상담중"," (상담)",""))</f>
        <v/>
      </c>
      <c r="AC706" s="45" t="n">
        <f aca="false">IF(AND($D706&lt;&gt;"",OR($B706="결제완료",$B706="상담중")),1,0)</f>
        <v>0</v>
      </c>
      <c r="AD706" s="45" t="n">
        <f aca="false">IF(OR($Z706="",$U706=""),0,IFERROR(IF(COUNTIFS(INDEX(g_grid,0,2*MATCH($M706,강사DB!$A$4:$A$15,0)),"&lt;&gt;",g_s,"&lt;="&amp;$U706,g_e,"&gt;="&amp;$U706)&gt;0,1,0),0))</f>
        <v>0</v>
      </c>
      <c r="AE706" s="48"/>
      <c r="AF706" s="56" t="str">
        <f aca="false">IF(AND($D706&lt;&gt;"",$B706="결제완료",$T706="대여"),설정!$J$5,"")</f>
        <v/>
      </c>
      <c r="AG706" s="54" t="str">
        <f aca="false">IF($D706="","",IF(AND($E706="",$R706=""),$AB706,"☎ "&amp;IF($E706="","-",$E706)&amp;IF($R706&lt;&gt;"","  ※ "&amp;$R706,"")&amp;IF($B706="상담중"," (상담)","")))</f>
        <v/>
      </c>
      <c r="AH706" s="56" t="str">
        <f aca="false">IF(AND($D706&lt;&gt;"",$B706="결제완료",$O706="스마트스토어"),ROUND(N($N706)*설정!$J$6,0),"")</f>
        <v/>
      </c>
      <c r="AI706" s="54" t="str">
        <f aca="false">IF($D706="","",ROW())</f>
        <v/>
      </c>
      <c r="AJ706" s="54" t="n">
        <f aca="false">IF(OR($AC706&lt;&gt;1,$M706=""),0,IF(ISNUMBER(SEARCH("퇴사",IFERROR(INDEX(강사DB!$G$4:$G$53,MATCH($M706,강사DB!$A$4:$A$53,0)),""))),1,0))</f>
        <v>0</v>
      </c>
    </row>
    <row r="707" customFormat="false" ht="15" hidden="false" customHeight="false" outlineLevel="0" collapsed="false">
      <c r="A707" s="45" t="str">
        <f aca="false">IF($D707="","",COUNTA($D$5:$D707))</f>
        <v/>
      </c>
      <c r="B707" s="46"/>
      <c r="C707" s="47"/>
      <c r="D707" s="48"/>
      <c r="E707" s="48"/>
      <c r="F707" s="49"/>
      <c r="G707" s="47"/>
      <c r="H707" s="50"/>
      <c r="I707" s="50"/>
      <c r="J707" s="51" t="str">
        <f aca="false">IF(OR($V707="",$W707=""),"",ROUND(($W707-$V707)/60,2))</f>
        <v/>
      </c>
      <c r="K707" s="52" t="str">
        <f aca="false">IF($F707="","",LEN($F707)-LEN(SUBSTITUTE($F707,",",""))+1)</f>
        <v/>
      </c>
      <c r="L707" s="45" t="str">
        <f aca="false">IF($K707="","","1:"&amp;$K707)</f>
        <v/>
      </c>
      <c r="M707" s="46"/>
      <c r="N707" s="53"/>
      <c r="O707" s="46"/>
      <c r="P707" s="47"/>
      <c r="Q707" s="48"/>
      <c r="R707" s="49"/>
      <c r="S707" s="54" t="str">
        <f aca="false">IF(OR($AC707=0,$U707="",$M707="",$V707="",$W707=""),"",IF(COUNTIFS(m_teacher,$M707,m_date,$U707,m_active,1,m_start,"&lt;"&amp;$W707,m_end,"&gt;"&amp;$V707)&gt;1,"충돌",""))</f>
        <v/>
      </c>
      <c r="T707" s="48"/>
      <c r="U707" s="55" t="str">
        <f aca="false">IF($G707="","",IFERROR(IF(ISNUMBER($G707),IF($G707&gt;19000000,DATE(INT($G707/10000),MOD(INT($G707/100),100),MOD($G707,100)),INT($G707)),IF(LEN(SUBSTITUTE(SUBSTITUTE(SUBSTITUTE(TRIM($G707),"-",""),".",""),"/",""))=8,DATE(VALUE(LEFT(SUBSTITUTE(SUBSTITUTE(SUBSTITUTE(TRIM($G707),"-",""),".",""),"/",""),4)),VALUE(MID(SUBSTITUTE(SUBSTITUTE(SUBSTITUTE(TRIM($G707),"-",""),".",""),"/",""),5,2)),VALUE(RIGHT(SUBSTITUTE(SUBSTITUTE(SUBSTITUTE(TRIM($G707),"-",""),".",""),"/",""),2))),DATEVALUE($G707))),""))</f>
        <v/>
      </c>
      <c r="V707" s="52" t="str">
        <f aca="false">IF($H707="","",IFERROR(IF(IF(ISNUMBER($H707),$H707,IFERROR(TIMEVALUE($H707),VALUE($H707)))&gt;=100,INT(IF(ISNUMBER($H707),$H707,IFERROR(TIMEVALUE($H707),VALUE($H707)))/100)*60+MOD(IF(ISNUMBER($H707),$H707,IFERROR(TIMEVALUE($H707),VALUE($H707))),100),IF(IF(ISNUMBER($H707),$H707,IFERROR(TIMEVALUE($H707),VALUE($H707)))&gt;=1,ROUND(IF(ISNUMBER($H707),$H707,IFERROR(TIMEVALUE($H707),VALUE($H707)))*60,0),ROUND(MOD(IF(ISNUMBER($H707),$H707,IFERROR(TIMEVALUE($H707),VALUE($H707))),1)*1440,0))),""))</f>
        <v/>
      </c>
      <c r="W707" s="52" t="str">
        <f aca="false">IF($I707="","",IFERROR(IF(IF(ISNUMBER($I707),$I707,IFERROR(TIMEVALUE($I707),VALUE($I707)))&gt;=100,INT(IF(ISNUMBER($I707),$I707,IFERROR(TIMEVALUE($I707),VALUE($I707)))/100)*60+MOD(IF(ISNUMBER($I707),$I707,IFERROR(TIMEVALUE($I707),VALUE($I707))),100),IF(IF(ISNUMBER($I707),$I707,IFERROR(TIMEVALUE($I707),VALUE($I707)))&gt;=1,ROUND(IF(ISNUMBER($I707),$I707,IFERROR(TIMEVALUE($I707),VALUE($I707)))*60,0),ROUND(MOD(IF(ISNUMBER($I707),$I707,IFERROR(TIMEVALUE($I707),VALUE($I707))),1)*1440,0))),""))</f>
        <v/>
      </c>
      <c r="X707" s="55" t="str">
        <f aca="false">IF($P707="","",IFERROR(IF(ISNUMBER($P707),IF($P707&gt;19000000,DATE(INT($P707/10000),MOD(INT($P707/100),100),MOD($P707,100)),INT($P707)),IF(LEN(SUBSTITUTE(SUBSTITUTE(SUBSTITUTE(TRIM($P707),"-",""),".",""),"/",""))=8,DATE(VALUE(LEFT(SUBSTITUTE(SUBSTITUTE(SUBSTITUTE(TRIM($P707),"-",""),".",""),"/",""),4)),VALUE(MID(SUBSTITUTE(SUBSTITUTE(SUBSTITUTE(TRIM($P707),"-",""),".",""),"/",""),5,2)),VALUE(RIGHT(SUBSTITUTE(SUBSTITUTE(SUBSTITUTE(TRIM($P707),"-",""),".",""),"/",""),2))),DATEVALUE($P707))),""))</f>
        <v/>
      </c>
      <c r="Y707" s="56" t="str">
        <f aca="false">IF($M707="","",IFERROR(INDEX(강사DB!$D$4:$D$53,MATCH($M707,강사DB!$A$4:$A$53,0)),""))</f>
        <v/>
      </c>
      <c r="Z707" s="56" t="str">
        <f aca="false">IF($B707&lt;&gt;"결제완료","",IF(OR($Y707="",$J707=""),"",$Y707*$J707+MAX(0,N($K707)-1)*설정!$J$7))</f>
        <v/>
      </c>
      <c r="AA707" s="56" t="str">
        <f aca="false">IF(AND($D707&lt;&gt;"",$B707="결제완료"),N($N707),"")</f>
        <v/>
      </c>
      <c r="AB707" s="45" t="str">
        <f aca="false">IF($D707="","",IF($F707&lt;&gt;"",$F707,$D707)&amp;IF($B707="상담중"," (상담)",""))</f>
        <v/>
      </c>
      <c r="AC707" s="45" t="n">
        <f aca="false">IF(AND($D707&lt;&gt;"",OR($B707="결제완료",$B707="상담중")),1,0)</f>
        <v>0</v>
      </c>
      <c r="AD707" s="45" t="n">
        <f aca="false">IF(OR($Z707="",$U707=""),0,IFERROR(IF(COUNTIFS(INDEX(g_grid,0,2*MATCH($M707,강사DB!$A$4:$A$15,0)),"&lt;&gt;",g_s,"&lt;="&amp;$U707,g_e,"&gt;="&amp;$U707)&gt;0,1,0),0))</f>
        <v>0</v>
      </c>
      <c r="AE707" s="48"/>
      <c r="AF707" s="56" t="str">
        <f aca="false">IF(AND($D707&lt;&gt;"",$B707="결제완료",$T707="대여"),설정!$J$5,"")</f>
        <v/>
      </c>
      <c r="AG707" s="54" t="str">
        <f aca="false">IF($D707="","",IF(AND($E707="",$R707=""),$AB707,"☎ "&amp;IF($E707="","-",$E707)&amp;IF($R707&lt;&gt;"","  ※ "&amp;$R707,"")&amp;IF($B707="상담중"," (상담)","")))</f>
        <v/>
      </c>
      <c r="AH707" s="56" t="str">
        <f aca="false">IF(AND($D707&lt;&gt;"",$B707="결제완료",$O707="스마트스토어"),ROUND(N($N707)*설정!$J$6,0),"")</f>
        <v/>
      </c>
      <c r="AI707" s="54" t="str">
        <f aca="false">IF($D707="","",ROW())</f>
        <v/>
      </c>
      <c r="AJ707" s="54" t="n">
        <f aca="false">IF(OR($AC707&lt;&gt;1,$M707=""),0,IF(ISNUMBER(SEARCH("퇴사",IFERROR(INDEX(강사DB!$G$4:$G$53,MATCH($M707,강사DB!$A$4:$A$53,0)),""))),1,0))</f>
        <v>0</v>
      </c>
    </row>
    <row r="708" customFormat="false" ht="15" hidden="false" customHeight="false" outlineLevel="0" collapsed="false">
      <c r="A708" s="45" t="str">
        <f aca="false">IF($D708="","",COUNTA($D$5:$D708))</f>
        <v/>
      </c>
      <c r="B708" s="46"/>
      <c r="C708" s="47"/>
      <c r="D708" s="48"/>
      <c r="E708" s="48"/>
      <c r="F708" s="49"/>
      <c r="G708" s="47"/>
      <c r="H708" s="50"/>
      <c r="I708" s="50"/>
      <c r="J708" s="51" t="str">
        <f aca="false">IF(OR($V708="",$W708=""),"",ROUND(($W708-$V708)/60,2))</f>
        <v/>
      </c>
      <c r="K708" s="52" t="str">
        <f aca="false">IF($F708="","",LEN($F708)-LEN(SUBSTITUTE($F708,",",""))+1)</f>
        <v/>
      </c>
      <c r="L708" s="45" t="str">
        <f aca="false">IF($K708="","","1:"&amp;$K708)</f>
        <v/>
      </c>
      <c r="M708" s="46"/>
      <c r="N708" s="53"/>
      <c r="O708" s="46"/>
      <c r="P708" s="47"/>
      <c r="Q708" s="48"/>
      <c r="R708" s="49"/>
      <c r="S708" s="54" t="str">
        <f aca="false">IF(OR($AC708=0,$U708="",$M708="",$V708="",$W708=""),"",IF(COUNTIFS(m_teacher,$M708,m_date,$U708,m_active,1,m_start,"&lt;"&amp;$W708,m_end,"&gt;"&amp;$V708)&gt;1,"충돌",""))</f>
        <v/>
      </c>
      <c r="T708" s="48"/>
      <c r="U708" s="55" t="str">
        <f aca="false">IF($G708="","",IFERROR(IF(ISNUMBER($G708),IF($G708&gt;19000000,DATE(INT($G708/10000),MOD(INT($G708/100),100),MOD($G708,100)),INT($G708)),IF(LEN(SUBSTITUTE(SUBSTITUTE(SUBSTITUTE(TRIM($G708),"-",""),".",""),"/",""))=8,DATE(VALUE(LEFT(SUBSTITUTE(SUBSTITUTE(SUBSTITUTE(TRIM($G708),"-",""),".",""),"/",""),4)),VALUE(MID(SUBSTITUTE(SUBSTITUTE(SUBSTITUTE(TRIM($G708),"-",""),".",""),"/",""),5,2)),VALUE(RIGHT(SUBSTITUTE(SUBSTITUTE(SUBSTITUTE(TRIM($G708),"-",""),".",""),"/",""),2))),DATEVALUE($G708))),""))</f>
        <v/>
      </c>
      <c r="V708" s="52" t="str">
        <f aca="false">IF($H708="","",IFERROR(IF(IF(ISNUMBER($H708),$H708,IFERROR(TIMEVALUE($H708),VALUE($H708)))&gt;=100,INT(IF(ISNUMBER($H708),$H708,IFERROR(TIMEVALUE($H708),VALUE($H708)))/100)*60+MOD(IF(ISNUMBER($H708),$H708,IFERROR(TIMEVALUE($H708),VALUE($H708))),100),IF(IF(ISNUMBER($H708),$H708,IFERROR(TIMEVALUE($H708),VALUE($H708)))&gt;=1,ROUND(IF(ISNUMBER($H708),$H708,IFERROR(TIMEVALUE($H708),VALUE($H708)))*60,0),ROUND(MOD(IF(ISNUMBER($H708),$H708,IFERROR(TIMEVALUE($H708),VALUE($H708))),1)*1440,0))),""))</f>
        <v/>
      </c>
      <c r="W708" s="52" t="str">
        <f aca="false">IF($I708="","",IFERROR(IF(IF(ISNUMBER($I708),$I708,IFERROR(TIMEVALUE($I708),VALUE($I708)))&gt;=100,INT(IF(ISNUMBER($I708),$I708,IFERROR(TIMEVALUE($I708),VALUE($I708)))/100)*60+MOD(IF(ISNUMBER($I708),$I708,IFERROR(TIMEVALUE($I708),VALUE($I708))),100),IF(IF(ISNUMBER($I708),$I708,IFERROR(TIMEVALUE($I708),VALUE($I708)))&gt;=1,ROUND(IF(ISNUMBER($I708),$I708,IFERROR(TIMEVALUE($I708),VALUE($I708)))*60,0),ROUND(MOD(IF(ISNUMBER($I708),$I708,IFERROR(TIMEVALUE($I708),VALUE($I708))),1)*1440,0))),""))</f>
        <v/>
      </c>
      <c r="X708" s="55" t="str">
        <f aca="false">IF($P708="","",IFERROR(IF(ISNUMBER($P708),IF($P708&gt;19000000,DATE(INT($P708/10000),MOD(INT($P708/100),100),MOD($P708,100)),INT($P708)),IF(LEN(SUBSTITUTE(SUBSTITUTE(SUBSTITUTE(TRIM($P708),"-",""),".",""),"/",""))=8,DATE(VALUE(LEFT(SUBSTITUTE(SUBSTITUTE(SUBSTITUTE(TRIM($P708),"-",""),".",""),"/",""),4)),VALUE(MID(SUBSTITUTE(SUBSTITUTE(SUBSTITUTE(TRIM($P708),"-",""),".",""),"/",""),5,2)),VALUE(RIGHT(SUBSTITUTE(SUBSTITUTE(SUBSTITUTE(TRIM($P708),"-",""),".",""),"/",""),2))),DATEVALUE($P708))),""))</f>
        <v/>
      </c>
      <c r="Y708" s="56" t="str">
        <f aca="false">IF($M708="","",IFERROR(INDEX(강사DB!$D$4:$D$53,MATCH($M708,강사DB!$A$4:$A$53,0)),""))</f>
        <v/>
      </c>
      <c r="Z708" s="56" t="str">
        <f aca="false">IF($B708&lt;&gt;"결제완료","",IF(OR($Y708="",$J708=""),"",$Y708*$J708+MAX(0,N($K708)-1)*설정!$J$7))</f>
        <v/>
      </c>
      <c r="AA708" s="56" t="str">
        <f aca="false">IF(AND($D708&lt;&gt;"",$B708="결제완료"),N($N708),"")</f>
        <v/>
      </c>
      <c r="AB708" s="45" t="str">
        <f aca="false">IF($D708="","",IF($F708&lt;&gt;"",$F708,$D708)&amp;IF($B708="상담중"," (상담)",""))</f>
        <v/>
      </c>
      <c r="AC708" s="45" t="n">
        <f aca="false">IF(AND($D708&lt;&gt;"",OR($B708="결제완료",$B708="상담중")),1,0)</f>
        <v>0</v>
      </c>
      <c r="AD708" s="45" t="n">
        <f aca="false">IF(OR($Z708="",$U708=""),0,IFERROR(IF(COUNTIFS(INDEX(g_grid,0,2*MATCH($M708,강사DB!$A$4:$A$15,0)),"&lt;&gt;",g_s,"&lt;="&amp;$U708,g_e,"&gt;="&amp;$U708)&gt;0,1,0),0))</f>
        <v>0</v>
      </c>
      <c r="AE708" s="48"/>
      <c r="AF708" s="56" t="str">
        <f aca="false">IF(AND($D708&lt;&gt;"",$B708="결제완료",$T708="대여"),설정!$J$5,"")</f>
        <v/>
      </c>
      <c r="AG708" s="54" t="str">
        <f aca="false">IF($D708="","",IF(AND($E708="",$R708=""),$AB708,"☎ "&amp;IF($E708="","-",$E708)&amp;IF($R708&lt;&gt;"","  ※ "&amp;$R708,"")&amp;IF($B708="상담중"," (상담)","")))</f>
        <v/>
      </c>
      <c r="AH708" s="56" t="str">
        <f aca="false">IF(AND($D708&lt;&gt;"",$B708="결제완료",$O708="스마트스토어"),ROUND(N($N708)*설정!$J$6,0),"")</f>
        <v/>
      </c>
      <c r="AI708" s="54" t="str">
        <f aca="false">IF($D708="","",ROW())</f>
        <v/>
      </c>
      <c r="AJ708" s="54" t="n">
        <f aca="false">IF(OR($AC708&lt;&gt;1,$M708=""),0,IF(ISNUMBER(SEARCH("퇴사",IFERROR(INDEX(강사DB!$G$4:$G$53,MATCH($M708,강사DB!$A$4:$A$53,0)),""))),1,0))</f>
        <v>0</v>
      </c>
    </row>
    <row r="709" customFormat="false" ht="15" hidden="false" customHeight="false" outlineLevel="0" collapsed="false">
      <c r="A709" s="45" t="str">
        <f aca="false">IF($D709="","",COUNTA($D$5:$D709))</f>
        <v/>
      </c>
      <c r="B709" s="46"/>
      <c r="C709" s="47"/>
      <c r="D709" s="48"/>
      <c r="E709" s="48"/>
      <c r="F709" s="49"/>
      <c r="G709" s="47"/>
      <c r="H709" s="50"/>
      <c r="I709" s="50"/>
      <c r="J709" s="51" t="str">
        <f aca="false">IF(OR($V709="",$W709=""),"",ROUND(($W709-$V709)/60,2))</f>
        <v/>
      </c>
      <c r="K709" s="52" t="str">
        <f aca="false">IF($F709="","",LEN($F709)-LEN(SUBSTITUTE($F709,",",""))+1)</f>
        <v/>
      </c>
      <c r="L709" s="45" t="str">
        <f aca="false">IF($K709="","","1:"&amp;$K709)</f>
        <v/>
      </c>
      <c r="M709" s="46"/>
      <c r="N709" s="53"/>
      <c r="O709" s="46"/>
      <c r="P709" s="47"/>
      <c r="Q709" s="48"/>
      <c r="R709" s="49"/>
      <c r="S709" s="54" t="str">
        <f aca="false">IF(OR($AC709=0,$U709="",$M709="",$V709="",$W709=""),"",IF(COUNTIFS(m_teacher,$M709,m_date,$U709,m_active,1,m_start,"&lt;"&amp;$W709,m_end,"&gt;"&amp;$V709)&gt;1,"충돌",""))</f>
        <v/>
      </c>
      <c r="T709" s="48"/>
      <c r="U709" s="55" t="str">
        <f aca="false">IF($G709="","",IFERROR(IF(ISNUMBER($G709),IF($G709&gt;19000000,DATE(INT($G709/10000),MOD(INT($G709/100),100),MOD($G709,100)),INT($G709)),IF(LEN(SUBSTITUTE(SUBSTITUTE(SUBSTITUTE(TRIM($G709),"-",""),".",""),"/",""))=8,DATE(VALUE(LEFT(SUBSTITUTE(SUBSTITUTE(SUBSTITUTE(TRIM($G709),"-",""),".",""),"/",""),4)),VALUE(MID(SUBSTITUTE(SUBSTITUTE(SUBSTITUTE(TRIM($G709),"-",""),".",""),"/",""),5,2)),VALUE(RIGHT(SUBSTITUTE(SUBSTITUTE(SUBSTITUTE(TRIM($G709),"-",""),".",""),"/",""),2))),DATEVALUE($G709))),""))</f>
        <v/>
      </c>
      <c r="V709" s="52" t="str">
        <f aca="false">IF($H709="","",IFERROR(IF(IF(ISNUMBER($H709),$H709,IFERROR(TIMEVALUE($H709),VALUE($H709)))&gt;=100,INT(IF(ISNUMBER($H709),$H709,IFERROR(TIMEVALUE($H709),VALUE($H709)))/100)*60+MOD(IF(ISNUMBER($H709),$H709,IFERROR(TIMEVALUE($H709),VALUE($H709))),100),IF(IF(ISNUMBER($H709),$H709,IFERROR(TIMEVALUE($H709),VALUE($H709)))&gt;=1,ROUND(IF(ISNUMBER($H709),$H709,IFERROR(TIMEVALUE($H709),VALUE($H709)))*60,0),ROUND(MOD(IF(ISNUMBER($H709),$H709,IFERROR(TIMEVALUE($H709),VALUE($H709))),1)*1440,0))),""))</f>
        <v/>
      </c>
      <c r="W709" s="52" t="str">
        <f aca="false">IF($I709="","",IFERROR(IF(IF(ISNUMBER($I709),$I709,IFERROR(TIMEVALUE($I709),VALUE($I709)))&gt;=100,INT(IF(ISNUMBER($I709),$I709,IFERROR(TIMEVALUE($I709),VALUE($I709)))/100)*60+MOD(IF(ISNUMBER($I709),$I709,IFERROR(TIMEVALUE($I709),VALUE($I709))),100),IF(IF(ISNUMBER($I709),$I709,IFERROR(TIMEVALUE($I709),VALUE($I709)))&gt;=1,ROUND(IF(ISNUMBER($I709),$I709,IFERROR(TIMEVALUE($I709),VALUE($I709)))*60,0),ROUND(MOD(IF(ISNUMBER($I709),$I709,IFERROR(TIMEVALUE($I709),VALUE($I709))),1)*1440,0))),""))</f>
        <v/>
      </c>
      <c r="X709" s="55" t="str">
        <f aca="false">IF($P709="","",IFERROR(IF(ISNUMBER($P709),IF($P709&gt;19000000,DATE(INT($P709/10000),MOD(INT($P709/100),100),MOD($P709,100)),INT($P709)),IF(LEN(SUBSTITUTE(SUBSTITUTE(SUBSTITUTE(TRIM($P709),"-",""),".",""),"/",""))=8,DATE(VALUE(LEFT(SUBSTITUTE(SUBSTITUTE(SUBSTITUTE(TRIM($P709),"-",""),".",""),"/",""),4)),VALUE(MID(SUBSTITUTE(SUBSTITUTE(SUBSTITUTE(TRIM($P709),"-",""),".",""),"/",""),5,2)),VALUE(RIGHT(SUBSTITUTE(SUBSTITUTE(SUBSTITUTE(TRIM($P709),"-",""),".",""),"/",""),2))),DATEVALUE($P709))),""))</f>
        <v/>
      </c>
      <c r="Y709" s="56" t="str">
        <f aca="false">IF($M709="","",IFERROR(INDEX(강사DB!$D$4:$D$53,MATCH($M709,강사DB!$A$4:$A$53,0)),""))</f>
        <v/>
      </c>
      <c r="Z709" s="56" t="str">
        <f aca="false">IF($B709&lt;&gt;"결제완료","",IF(OR($Y709="",$J709=""),"",$Y709*$J709+MAX(0,N($K709)-1)*설정!$J$7))</f>
        <v/>
      </c>
      <c r="AA709" s="56" t="str">
        <f aca="false">IF(AND($D709&lt;&gt;"",$B709="결제완료"),N($N709),"")</f>
        <v/>
      </c>
      <c r="AB709" s="45" t="str">
        <f aca="false">IF($D709="","",IF($F709&lt;&gt;"",$F709,$D709)&amp;IF($B709="상담중"," (상담)",""))</f>
        <v/>
      </c>
      <c r="AC709" s="45" t="n">
        <f aca="false">IF(AND($D709&lt;&gt;"",OR($B709="결제완료",$B709="상담중")),1,0)</f>
        <v>0</v>
      </c>
      <c r="AD709" s="45" t="n">
        <f aca="false">IF(OR($Z709="",$U709=""),0,IFERROR(IF(COUNTIFS(INDEX(g_grid,0,2*MATCH($M709,강사DB!$A$4:$A$15,0)),"&lt;&gt;",g_s,"&lt;="&amp;$U709,g_e,"&gt;="&amp;$U709)&gt;0,1,0),0))</f>
        <v>0</v>
      </c>
      <c r="AE709" s="48"/>
      <c r="AF709" s="56" t="str">
        <f aca="false">IF(AND($D709&lt;&gt;"",$B709="결제완료",$T709="대여"),설정!$J$5,"")</f>
        <v/>
      </c>
      <c r="AG709" s="54" t="str">
        <f aca="false">IF($D709="","",IF(AND($E709="",$R709=""),$AB709,"☎ "&amp;IF($E709="","-",$E709)&amp;IF($R709&lt;&gt;"","  ※ "&amp;$R709,"")&amp;IF($B709="상담중"," (상담)","")))</f>
        <v/>
      </c>
      <c r="AH709" s="56" t="str">
        <f aca="false">IF(AND($D709&lt;&gt;"",$B709="결제완료",$O709="스마트스토어"),ROUND(N($N709)*설정!$J$6,0),"")</f>
        <v/>
      </c>
      <c r="AI709" s="54" t="str">
        <f aca="false">IF($D709="","",ROW())</f>
        <v/>
      </c>
      <c r="AJ709" s="54" t="n">
        <f aca="false">IF(OR($AC709&lt;&gt;1,$M709=""),0,IF(ISNUMBER(SEARCH("퇴사",IFERROR(INDEX(강사DB!$G$4:$G$53,MATCH($M709,강사DB!$A$4:$A$53,0)),""))),1,0))</f>
        <v>0</v>
      </c>
    </row>
    <row r="710" customFormat="false" ht="15" hidden="false" customHeight="false" outlineLevel="0" collapsed="false">
      <c r="A710" s="45" t="str">
        <f aca="false">IF($D710="","",COUNTA($D$5:$D710))</f>
        <v/>
      </c>
      <c r="B710" s="46"/>
      <c r="C710" s="47"/>
      <c r="D710" s="48"/>
      <c r="E710" s="48"/>
      <c r="F710" s="49"/>
      <c r="G710" s="47"/>
      <c r="H710" s="50"/>
      <c r="I710" s="50"/>
      <c r="J710" s="51" t="str">
        <f aca="false">IF(OR($V710="",$W710=""),"",ROUND(($W710-$V710)/60,2))</f>
        <v/>
      </c>
      <c r="K710" s="52" t="str">
        <f aca="false">IF($F710="","",LEN($F710)-LEN(SUBSTITUTE($F710,",",""))+1)</f>
        <v/>
      </c>
      <c r="L710" s="45" t="str">
        <f aca="false">IF($K710="","","1:"&amp;$K710)</f>
        <v/>
      </c>
      <c r="M710" s="46"/>
      <c r="N710" s="53"/>
      <c r="O710" s="46"/>
      <c r="P710" s="47"/>
      <c r="Q710" s="48"/>
      <c r="R710" s="49"/>
      <c r="S710" s="54" t="str">
        <f aca="false">IF(OR($AC710=0,$U710="",$M710="",$V710="",$W710=""),"",IF(COUNTIFS(m_teacher,$M710,m_date,$U710,m_active,1,m_start,"&lt;"&amp;$W710,m_end,"&gt;"&amp;$V710)&gt;1,"충돌",""))</f>
        <v/>
      </c>
      <c r="T710" s="48"/>
      <c r="U710" s="55" t="str">
        <f aca="false">IF($G710="","",IFERROR(IF(ISNUMBER($G710),IF($G710&gt;19000000,DATE(INT($G710/10000),MOD(INT($G710/100),100),MOD($G710,100)),INT($G710)),IF(LEN(SUBSTITUTE(SUBSTITUTE(SUBSTITUTE(TRIM($G710),"-",""),".",""),"/",""))=8,DATE(VALUE(LEFT(SUBSTITUTE(SUBSTITUTE(SUBSTITUTE(TRIM($G710),"-",""),".",""),"/",""),4)),VALUE(MID(SUBSTITUTE(SUBSTITUTE(SUBSTITUTE(TRIM($G710),"-",""),".",""),"/",""),5,2)),VALUE(RIGHT(SUBSTITUTE(SUBSTITUTE(SUBSTITUTE(TRIM($G710),"-",""),".",""),"/",""),2))),DATEVALUE($G710))),""))</f>
        <v/>
      </c>
      <c r="V710" s="52" t="str">
        <f aca="false">IF($H710="","",IFERROR(IF(IF(ISNUMBER($H710),$H710,IFERROR(TIMEVALUE($H710),VALUE($H710)))&gt;=100,INT(IF(ISNUMBER($H710),$H710,IFERROR(TIMEVALUE($H710),VALUE($H710)))/100)*60+MOD(IF(ISNUMBER($H710),$H710,IFERROR(TIMEVALUE($H710),VALUE($H710))),100),IF(IF(ISNUMBER($H710),$H710,IFERROR(TIMEVALUE($H710),VALUE($H710)))&gt;=1,ROUND(IF(ISNUMBER($H710),$H710,IFERROR(TIMEVALUE($H710),VALUE($H710)))*60,0),ROUND(MOD(IF(ISNUMBER($H710),$H710,IFERROR(TIMEVALUE($H710),VALUE($H710))),1)*1440,0))),""))</f>
        <v/>
      </c>
      <c r="W710" s="52" t="str">
        <f aca="false">IF($I710="","",IFERROR(IF(IF(ISNUMBER($I710),$I710,IFERROR(TIMEVALUE($I710),VALUE($I710)))&gt;=100,INT(IF(ISNUMBER($I710),$I710,IFERROR(TIMEVALUE($I710),VALUE($I710)))/100)*60+MOD(IF(ISNUMBER($I710),$I710,IFERROR(TIMEVALUE($I710),VALUE($I710))),100),IF(IF(ISNUMBER($I710),$I710,IFERROR(TIMEVALUE($I710),VALUE($I710)))&gt;=1,ROUND(IF(ISNUMBER($I710),$I710,IFERROR(TIMEVALUE($I710),VALUE($I710)))*60,0),ROUND(MOD(IF(ISNUMBER($I710),$I710,IFERROR(TIMEVALUE($I710),VALUE($I710))),1)*1440,0))),""))</f>
        <v/>
      </c>
      <c r="X710" s="55" t="str">
        <f aca="false">IF($P710="","",IFERROR(IF(ISNUMBER($P710),IF($P710&gt;19000000,DATE(INT($P710/10000),MOD(INT($P710/100),100),MOD($P710,100)),INT($P710)),IF(LEN(SUBSTITUTE(SUBSTITUTE(SUBSTITUTE(TRIM($P710),"-",""),".",""),"/",""))=8,DATE(VALUE(LEFT(SUBSTITUTE(SUBSTITUTE(SUBSTITUTE(TRIM($P710),"-",""),".",""),"/",""),4)),VALUE(MID(SUBSTITUTE(SUBSTITUTE(SUBSTITUTE(TRIM($P710),"-",""),".",""),"/",""),5,2)),VALUE(RIGHT(SUBSTITUTE(SUBSTITUTE(SUBSTITUTE(TRIM($P710),"-",""),".",""),"/",""),2))),DATEVALUE($P710))),""))</f>
        <v/>
      </c>
      <c r="Y710" s="56" t="str">
        <f aca="false">IF($M710="","",IFERROR(INDEX(강사DB!$D$4:$D$53,MATCH($M710,강사DB!$A$4:$A$53,0)),""))</f>
        <v/>
      </c>
      <c r="Z710" s="56" t="str">
        <f aca="false">IF($B710&lt;&gt;"결제완료","",IF(OR($Y710="",$J710=""),"",$Y710*$J710+MAX(0,N($K710)-1)*설정!$J$7))</f>
        <v/>
      </c>
      <c r="AA710" s="56" t="str">
        <f aca="false">IF(AND($D710&lt;&gt;"",$B710="결제완료"),N($N710),"")</f>
        <v/>
      </c>
      <c r="AB710" s="45" t="str">
        <f aca="false">IF($D710="","",IF($F710&lt;&gt;"",$F710,$D710)&amp;IF($B710="상담중"," (상담)",""))</f>
        <v/>
      </c>
      <c r="AC710" s="45" t="n">
        <f aca="false">IF(AND($D710&lt;&gt;"",OR($B710="결제완료",$B710="상담중")),1,0)</f>
        <v>0</v>
      </c>
      <c r="AD710" s="45" t="n">
        <f aca="false">IF(OR($Z710="",$U710=""),0,IFERROR(IF(COUNTIFS(INDEX(g_grid,0,2*MATCH($M710,강사DB!$A$4:$A$15,0)),"&lt;&gt;",g_s,"&lt;="&amp;$U710,g_e,"&gt;="&amp;$U710)&gt;0,1,0),0))</f>
        <v>0</v>
      </c>
      <c r="AE710" s="48"/>
      <c r="AF710" s="56" t="str">
        <f aca="false">IF(AND($D710&lt;&gt;"",$B710="결제완료",$T710="대여"),설정!$J$5,"")</f>
        <v/>
      </c>
      <c r="AG710" s="54" t="str">
        <f aca="false">IF($D710="","",IF(AND($E710="",$R710=""),$AB710,"☎ "&amp;IF($E710="","-",$E710)&amp;IF($R710&lt;&gt;"","  ※ "&amp;$R710,"")&amp;IF($B710="상담중"," (상담)","")))</f>
        <v/>
      </c>
      <c r="AH710" s="56" t="str">
        <f aca="false">IF(AND($D710&lt;&gt;"",$B710="결제완료",$O710="스마트스토어"),ROUND(N($N710)*설정!$J$6,0),"")</f>
        <v/>
      </c>
      <c r="AI710" s="54" t="str">
        <f aca="false">IF($D710="","",ROW())</f>
        <v/>
      </c>
      <c r="AJ710" s="54" t="n">
        <f aca="false">IF(OR($AC710&lt;&gt;1,$M710=""),0,IF(ISNUMBER(SEARCH("퇴사",IFERROR(INDEX(강사DB!$G$4:$G$53,MATCH($M710,강사DB!$A$4:$A$53,0)),""))),1,0))</f>
        <v>0</v>
      </c>
    </row>
    <row r="711" customFormat="false" ht="15" hidden="false" customHeight="false" outlineLevel="0" collapsed="false">
      <c r="A711" s="45" t="str">
        <f aca="false">IF($D711="","",COUNTA($D$5:$D711))</f>
        <v/>
      </c>
      <c r="B711" s="46"/>
      <c r="C711" s="47"/>
      <c r="D711" s="48"/>
      <c r="E711" s="48"/>
      <c r="F711" s="49"/>
      <c r="G711" s="47"/>
      <c r="H711" s="50"/>
      <c r="I711" s="50"/>
      <c r="J711" s="51" t="str">
        <f aca="false">IF(OR($V711="",$W711=""),"",ROUND(($W711-$V711)/60,2))</f>
        <v/>
      </c>
      <c r="K711" s="52" t="str">
        <f aca="false">IF($F711="","",LEN($F711)-LEN(SUBSTITUTE($F711,",",""))+1)</f>
        <v/>
      </c>
      <c r="L711" s="45" t="str">
        <f aca="false">IF($K711="","","1:"&amp;$K711)</f>
        <v/>
      </c>
      <c r="M711" s="46"/>
      <c r="N711" s="53"/>
      <c r="O711" s="46"/>
      <c r="P711" s="47"/>
      <c r="Q711" s="48"/>
      <c r="R711" s="49"/>
      <c r="S711" s="54" t="str">
        <f aca="false">IF(OR($AC711=0,$U711="",$M711="",$V711="",$W711=""),"",IF(COUNTIFS(m_teacher,$M711,m_date,$U711,m_active,1,m_start,"&lt;"&amp;$W711,m_end,"&gt;"&amp;$V711)&gt;1,"충돌",""))</f>
        <v/>
      </c>
      <c r="T711" s="48"/>
      <c r="U711" s="55" t="str">
        <f aca="false">IF($G711="","",IFERROR(IF(ISNUMBER($G711),IF($G711&gt;19000000,DATE(INT($G711/10000),MOD(INT($G711/100),100),MOD($G711,100)),INT($G711)),IF(LEN(SUBSTITUTE(SUBSTITUTE(SUBSTITUTE(TRIM($G711),"-",""),".",""),"/",""))=8,DATE(VALUE(LEFT(SUBSTITUTE(SUBSTITUTE(SUBSTITUTE(TRIM($G711),"-",""),".",""),"/",""),4)),VALUE(MID(SUBSTITUTE(SUBSTITUTE(SUBSTITUTE(TRIM($G711),"-",""),".",""),"/",""),5,2)),VALUE(RIGHT(SUBSTITUTE(SUBSTITUTE(SUBSTITUTE(TRIM($G711),"-",""),".",""),"/",""),2))),DATEVALUE($G711))),""))</f>
        <v/>
      </c>
      <c r="V711" s="52" t="str">
        <f aca="false">IF($H711="","",IFERROR(IF(IF(ISNUMBER($H711),$H711,IFERROR(TIMEVALUE($H711),VALUE($H711)))&gt;=100,INT(IF(ISNUMBER($H711),$H711,IFERROR(TIMEVALUE($H711),VALUE($H711)))/100)*60+MOD(IF(ISNUMBER($H711),$H711,IFERROR(TIMEVALUE($H711),VALUE($H711))),100),IF(IF(ISNUMBER($H711),$H711,IFERROR(TIMEVALUE($H711),VALUE($H711)))&gt;=1,ROUND(IF(ISNUMBER($H711),$H711,IFERROR(TIMEVALUE($H711),VALUE($H711)))*60,0),ROUND(MOD(IF(ISNUMBER($H711),$H711,IFERROR(TIMEVALUE($H711),VALUE($H711))),1)*1440,0))),""))</f>
        <v/>
      </c>
      <c r="W711" s="52" t="str">
        <f aca="false">IF($I711="","",IFERROR(IF(IF(ISNUMBER($I711),$I711,IFERROR(TIMEVALUE($I711),VALUE($I711)))&gt;=100,INT(IF(ISNUMBER($I711),$I711,IFERROR(TIMEVALUE($I711),VALUE($I711)))/100)*60+MOD(IF(ISNUMBER($I711),$I711,IFERROR(TIMEVALUE($I711),VALUE($I711))),100),IF(IF(ISNUMBER($I711),$I711,IFERROR(TIMEVALUE($I711),VALUE($I711)))&gt;=1,ROUND(IF(ISNUMBER($I711),$I711,IFERROR(TIMEVALUE($I711),VALUE($I711)))*60,0),ROUND(MOD(IF(ISNUMBER($I711),$I711,IFERROR(TIMEVALUE($I711),VALUE($I711))),1)*1440,0))),""))</f>
        <v/>
      </c>
      <c r="X711" s="55" t="str">
        <f aca="false">IF($P711="","",IFERROR(IF(ISNUMBER($P711),IF($P711&gt;19000000,DATE(INT($P711/10000),MOD(INT($P711/100),100),MOD($P711,100)),INT($P711)),IF(LEN(SUBSTITUTE(SUBSTITUTE(SUBSTITUTE(TRIM($P711),"-",""),".",""),"/",""))=8,DATE(VALUE(LEFT(SUBSTITUTE(SUBSTITUTE(SUBSTITUTE(TRIM($P711),"-",""),".",""),"/",""),4)),VALUE(MID(SUBSTITUTE(SUBSTITUTE(SUBSTITUTE(TRIM($P711),"-",""),".",""),"/",""),5,2)),VALUE(RIGHT(SUBSTITUTE(SUBSTITUTE(SUBSTITUTE(TRIM($P711),"-",""),".",""),"/",""),2))),DATEVALUE($P711))),""))</f>
        <v/>
      </c>
      <c r="Y711" s="56" t="str">
        <f aca="false">IF($M711="","",IFERROR(INDEX(강사DB!$D$4:$D$53,MATCH($M711,강사DB!$A$4:$A$53,0)),""))</f>
        <v/>
      </c>
      <c r="Z711" s="56" t="str">
        <f aca="false">IF($B711&lt;&gt;"결제완료","",IF(OR($Y711="",$J711=""),"",$Y711*$J711+MAX(0,N($K711)-1)*설정!$J$7))</f>
        <v/>
      </c>
      <c r="AA711" s="56" t="str">
        <f aca="false">IF(AND($D711&lt;&gt;"",$B711="결제완료"),N($N711),"")</f>
        <v/>
      </c>
      <c r="AB711" s="45" t="str">
        <f aca="false">IF($D711="","",IF($F711&lt;&gt;"",$F711,$D711)&amp;IF($B711="상담중"," (상담)",""))</f>
        <v/>
      </c>
      <c r="AC711" s="45" t="n">
        <f aca="false">IF(AND($D711&lt;&gt;"",OR($B711="결제완료",$B711="상담중")),1,0)</f>
        <v>0</v>
      </c>
      <c r="AD711" s="45" t="n">
        <f aca="false">IF(OR($Z711="",$U711=""),0,IFERROR(IF(COUNTIFS(INDEX(g_grid,0,2*MATCH($M711,강사DB!$A$4:$A$15,0)),"&lt;&gt;",g_s,"&lt;="&amp;$U711,g_e,"&gt;="&amp;$U711)&gt;0,1,0),0))</f>
        <v>0</v>
      </c>
      <c r="AE711" s="48"/>
      <c r="AF711" s="56" t="str">
        <f aca="false">IF(AND($D711&lt;&gt;"",$B711="결제완료",$T711="대여"),설정!$J$5,"")</f>
        <v/>
      </c>
      <c r="AG711" s="54" t="str">
        <f aca="false">IF($D711="","",IF(AND($E711="",$R711=""),$AB711,"☎ "&amp;IF($E711="","-",$E711)&amp;IF($R711&lt;&gt;"","  ※ "&amp;$R711,"")&amp;IF($B711="상담중"," (상담)","")))</f>
        <v/>
      </c>
      <c r="AH711" s="56" t="str">
        <f aca="false">IF(AND($D711&lt;&gt;"",$B711="결제완료",$O711="스마트스토어"),ROUND(N($N711)*설정!$J$6,0),"")</f>
        <v/>
      </c>
      <c r="AI711" s="54" t="str">
        <f aca="false">IF($D711="","",ROW())</f>
        <v/>
      </c>
      <c r="AJ711" s="54" t="n">
        <f aca="false">IF(OR($AC711&lt;&gt;1,$M711=""),0,IF(ISNUMBER(SEARCH("퇴사",IFERROR(INDEX(강사DB!$G$4:$G$53,MATCH($M711,강사DB!$A$4:$A$53,0)),""))),1,0))</f>
        <v>0</v>
      </c>
    </row>
    <row r="712" customFormat="false" ht="15" hidden="false" customHeight="false" outlineLevel="0" collapsed="false">
      <c r="A712" s="45" t="str">
        <f aca="false">IF($D712="","",COUNTA($D$5:$D712))</f>
        <v/>
      </c>
      <c r="B712" s="46"/>
      <c r="C712" s="47"/>
      <c r="D712" s="48"/>
      <c r="E712" s="48"/>
      <c r="F712" s="49"/>
      <c r="G712" s="47"/>
      <c r="H712" s="50"/>
      <c r="I712" s="50"/>
      <c r="J712" s="51" t="str">
        <f aca="false">IF(OR($V712="",$W712=""),"",ROUND(($W712-$V712)/60,2))</f>
        <v/>
      </c>
      <c r="K712" s="52" t="str">
        <f aca="false">IF($F712="","",LEN($F712)-LEN(SUBSTITUTE($F712,",",""))+1)</f>
        <v/>
      </c>
      <c r="L712" s="45" t="str">
        <f aca="false">IF($K712="","","1:"&amp;$K712)</f>
        <v/>
      </c>
      <c r="M712" s="46"/>
      <c r="N712" s="53"/>
      <c r="O712" s="46"/>
      <c r="P712" s="47"/>
      <c r="Q712" s="48"/>
      <c r="R712" s="49"/>
      <c r="S712" s="54" t="str">
        <f aca="false">IF(OR($AC712=0,$U712="",$M712="",$V712="",$W712=""),"",IF(COUNTIFS(m_teacher,$M712,m_date,$U712,m_active,1,m_start,"&lt;"&amp;$W712,m_end,"&gt;"&amp;$V712)&gt;1,"충돌",""))</f>
        <v/>
      </c>
      <c r="T712" s="48"/>
      <c r="U712" s="55" t="str">
        <f aca="false">IF($G712="","",IFERROR(IF(ISNUMBER($G712),IF($G712&gt;19000000,DATE(INT($G712/10000),MOD(INT($G712/100),100),MOD($G712,100)),INT($G712)),IF(LEN(SUBSTITUTE(SUBSTITUTE(SUBSTITUTE(TRIM($G712),"-",""),".",""),"/",""))=8,DATE(VALUE(LEFT(SUBSTITUTE(SUBSTITUTE(SUBSTITUTE(TRIM($G712),"-",""),".",""),"/",""),4)),VALUE(MID(SUBSTITUTE(SUBSTITUTE(SUBSTITUTE(TRIM($G712),"-",""),".",""),"/",""),5,2)),VALUE(RIGHT(SUBSTITUTE(SUBSTITUTE(SUBSTITUTE(TRIM($G712),"-",""),".",""),"/",""),2))),DATEVALUE($G712))),""))</f>
        <v/>
      </c>
      <c r="V712" s="52" t="str">
        <f aca="false">IF($H712="","",IFERROR(IF(IF(ISNUMBER($H712),$H712,IFERROR(TIMEVALUE($H712),VALUE($H712)))&gt;=100,INT(IF(ISNUMBER($H712),$H712,IFERROR(TIMEVALUE($H712),VALUE($H712)))/100)*60+MOD(IF(ISNUMBER($H712),$H712,IFERROR(TIMEVALUE($H712),VALUE($H712))),100),IF(IF(ISNUMBER($H712),$H712,IFERROR(TIMEVALUE($H712),VALUE($H712)))&gt;=1,ROUND(IF(ISNUMBER($H712),$H712,IFERROR(TIMEVALUE($H712),VALUE($H712)))*60,0),ROUND(MOD(IF(ISNUMBER($H712),$H712,IFERROR(TIMEVALUE($H712),VALUE($H712))),1)*1440,0))),""))</f>
        <v/>
      </c>
      <c r="W712" s="52" t="str">
        <f aca="false">IF($I712="","",IFERROR(IF(IF(ISNUMBER($I712),$I712,IFERROR(TIMEVALUE($I712),VALUE($I712)))&gt;=100,INT(IF(ISNUMBER($I712),$I712,IFERROR(TIMEVALUE($I712),VALUE($I712)))/100)*60+MOD(IF(ISNUMBER($I712),$I712,IFERROR(TIMEVALUE($I712),VALUE($I712))),100),IF(IF(ISNUMBER($I712),$I712,IFERROR(TIMEVALUE($I712),VALUE($I712)))&gt;=1,ROUND(IF(ISNUMBER($I712),$I712,IFERROR(TIMEVALUE($I712),VALUE($I712)))*60,0),ROUND(MOD(IF(ISNUMBER($I712),$I712,IFERROR(TIMEVALUE($I712),VALUE($I712))),1)*1440,0))),""))</f>
        <v/>
      </c>
      <c r="X712" s="55" t="str">
        <f aca="false">IF($P712="","",IFERROR(IF(ISNUMBER($P712),IF($P712&gt;19000000,DATE(INT($P712/10000),MOD(INT($P712/100),100),MOD($P712,100)),INT($P712)),IF(LEN(SUBSTITUTE(SUBSTITUTE(SUBSTITUTE(TRIM($P712),"-",""),".",""),"/",""))=8,DATE(VALUE(LEFT(SUBSTITUTE(SUBSTITUTE(SUBSTITUTE(TRIM($P712),"-",""),".",""),"/",""),4)),VALUE(MID(SUBSTITUTE(SUBSTITUTE(SUBSTITUTE(TRIM($P712),"-",""),".",""),"/",""),5,2)),VALUE(RIGHT(SUBSTITUTE(SUBSTITUTE(SUBSTITUTE(TRIM($P712),"-",""),".",""),"/",""),2))),DATEVALUE($P712))),""))</f>
        <v/>
      </c>
      <c r="Y712" s="56" t="str">
        <f aca="false">IF($M712="","",IFERROR(INDEX(강사DB!$D$4:$D$53,MATCH($M712,강사DB!$A$4:$A$53,0)),""))</f>
        <v/>
      </c>
      <c r="Z712" s="56" t="str">
        <f aca="false">IF($B712&lt;&gt;"결제완료","",IF(OR($Y712="",$J712=""),"",$Y712*$J712+MAX(0,N($K712)-1)*설정!$J$7))</f>
        <v/>
      </c>
      <c r="AA712" s="56" t="str">
        <f aca="false">IF(AND($D712&lt;&gt;"",$B712="결제완료"),N($N712),"")</f>
        <v/>
      </c>
      <c r="AB712" s="45" t="str">
        <f aca="false">IF($D712="","",IF($F712&lt;&gt;"",$F712,$D712)&amp;IF($B712="상담중"," (상담)",""))</f>
        <v/>
      </c>
      <c r="AC712" s="45" t="n">
        <f aca="false">IF(AND($D712&lt;&gt;"",OR($B712="결제완료",$B712="상담중")),1,0)</f>
        <v>0</v>
      </c>
      <c r="AD712" s="45" t="n">
        <f aca="false">IF(OR($Z712="",$U712=""),0,IFERROR(IF(COUNTIFS(INDEX(g_grid,0,2*MATCH($M712,강사DB!$A$4:$A$15,0)),"&lt;&gt;",g_s,"&lt;="&amp;$U712,g_e,"&gt;="&amp;$U712)&gt;0,1,0),0))</f>
        <v>0</v>
      </c>
      <c r="AE712" s="48"/>
      <c r="AF712" s="56" t="str">
        <f aca="false">IF(AND($D712&lt;&gt;"",$B712="결제완료",$T712="대여"),설정!$J$5,"")</f>
        <v/>
      </c>
      <c r="AG712" s="54" t="str">
        <f aca="false">IF($D712="","",IF(AND($E712="",$R712=""),$AB712,"☎ "&amp;IF($E712="","-",$E712)&amp;IF($R712&lt;&gt;"","  ※ "&amp;$R712,"")&amp;IF($B712="상담중"," (상담)","")))</f>
        <v/>
      </c>
      <c r="AH712" s="56" t="str">
        <f aca="false">IF(AND($D712&lt;&gt;"",$B712="결제완료",$O712="스마트스토어"),ROUND(N($N712)*설정!$J$6,0),"")</f>
        <v/>
      </c>
      <c r="AI712" s="54" t="str">
        <f aca="false">IF($D712="","",ROW())</f>
        <v/>
      </c>
      <c r="AJ712" s="54" t="n">
        <f aca="false">IF(OR($AC712&lt;&gt;1,$M712=""),0,IF(ISNUMBER(SEARCH("퇴사",IFERROR(INDEX(강사DB!$G$4:$G$53,MATCH($M712,강사DB!$A$4:$A$53,0)),""))),1,0))</f>
        <v>0</v>
      </c>
    </row>
    <row r="713" customFormat="false" ht="15" hidden="false" customHeight="false" outlineLevel="0" collapsed="false">
      <c r="A713" s="45" t="str">
        <f aca="false">IF($D713="","",COUNTA($D$5:$D713))</f>
        <v/>
      </c>
      <c r="B713" s="46"/>
      <c r="C713" s="47"/>
      <c r="D713" s="48"/>
      <c r="E713" s="48"/>
      <c r="F713" s="49"/>
      <c r="G713" s="47"/>
      <c r="H713" s="50"/>
      <c r="I713" s="50"/>
      <c r="J713" s="51" t="str">
        <f aca="false">IF(OR($V713="",$W713=""),"",ROUND(($W713-$V713)/60,2))</f>
        <v/>
      </c>
      <c r="K713" s="52" t="str">
        <f aca="false">IF($F713="","",LEN($F713)-LEN(SUBSTITUTE($F713,",",""))+1)</f>
        <v/>
      </c>
      <c r="L713" s="45" t="str">
        <f aca="false">IF($K713="","","1:"&amp;$K713)</f>
        <v/>
      </c>
      <c r="M713" s="46"/>
      <c r="N713" s="53"/>
      <c r="O713" s="46"/>
      <c r="P713" s="47"/>
      <c r="Q713" s="48"/>
      <c r="R713" s="49"/>
      <c r="S713" s="54" t="str">
        <f aca="false">IF(OR($AC713=0,$U713="",$M713="",$V713="",$W713=""),"",IF(COUNTIFS(m_teacher,$M713,m_date,$U713,m_active,1,m_start,"&lt;"&amp;$W713,m_end,"&gt;"&amp;$V713)&gt;1,"충돌",""))</f>
        <v/>
      </c>
      <c r="T713" s="48"/>
      <c r="U713" s="55" t="str">
        <f aca="false">IF($G713="","",IFERROR(IF(ISNUMBER($G713),IF($G713&gt;19000000,DATE(INT($G713/10000),MOD(INT($G713/100),100),MOD($G713,100)),INT($G713)),IF(LEN(SUBSTITUTE(SUBSTITUTE(SUBSTITUTE(TRIM($G713),"-",""),".",""),"/",""))=8,DATE(VALUE(LEFT(SUBSTITUTE(SUBSTITUTE(SUBSTITUTE(TRIM($G713),"-",""),".",""),"/",""),4)),VALUE(MID(SUBSTITUTE(SUBSTITUTE(SUBSTITUTE(TRIM($G713),"-",""),".",""),"/",""),5,2)),VALUE(RIGHT(SUBSTITUTE(SUBSTITUTE(SUBSTITUTE(TRIM($G713),"-",""),".",""),"/",""),2))),DATEVALUE($G713))),""))</f>
        <v/>
      </c>
      <c r="V713" s="52" t="str">
        <f aca="false">IF($H713="","",IFERROR(IF(IF(ISNUMBER($H713),$H713,IFERROR(TIMEVALUE($H713),VALUE($H713)))&gt;=100,INT(IF(ISNUMBER($H713),$H713,IFERROR(TIMEVALUE($H713),VALUE($H713)))/100)*60+MOD(IF(ISNUMBER($H713),$H713,IFERROR(TIMEVALUE($H713),VALUE($H713))),100),IF(IF(ISNUMBER($H713),$H713,IFERROR(TIMEVALUE($H713),VALUE($H713)))&gt;=1,ROUND(IF(ISNUMBER($H713),$H713,IFERROR(TIMEVALUE($H713),VALUE($H713)))*60,0),ROUND(MOD(IF(ISNUMBER($H713),$H713,IFERROR(TIMEVALUE($H713),VALUE($H713))),1)*1440,0))),""))</f>
        <v/>
      </c>
      <c r="W713" s="52" t="str">
        <f aca="false">IF($I713="","",IFERROR(IF(IF(ISNUMBER($I713),$I713,IFERROR(TIMEVALUE($I713),VALUE($I713)))&gt;=100,INT(IF(ISNUMBER($I713),$I713,IFERROR(TIMEVALUE($I713),VALUE($I713)))/100)*60+MOD(IF(ISNUMBER($I713),$I713,IFERROR(TIMEVALUE($I713),VALUE($I713))),100),IF(IF(ISNUMBER($I713),$I713,IFERROR(TIMEVALUE($I713),VALUE($I713)))&gt;=1,ROUND(IF(ISNUMBER($I713),$I713,IFERROR(TIMEVALUE($I713),VALUE($I713)))*60,0),ROUND(MOD(IF(ISNUMBER($I713),$I713,IFERROR(TIMEVALUE($I713),VALUE($I713))),1)*1440,0))),""))</f>
        <v/>
      </c>
      <c r="X713" s="55" t="str">
        <f aca="false">IF($P713="","",IFERROR(IF(ISNUMBER($P713),IF($P713&gt;19000000,DATE(INT($P713/10000),MOD(INT($P713/100),100),MOD($P713,100)),INT($P713)),IF(LEN(SUBSTITUTE(SUBSTITUTE(SUBSTITUTE(TRIM($P713),"-",""),".",""),"/",""))=8,DATE(VALUE(LEFT(SUBSTITUTE(SUBSTITUTE(SUBSTITUTE(TRIM($P713),"-",""),".",""),"/",""),4)),VALUE(MID(SUBSTITUTE(SUBSTITUTE(SUBSTITUTE(TRIM($P713),"-",""),".",""),"/",""),5,2)),VALUE(RIGHT(SUBSTITUTE(SUBSTITUTE(SUBSTITUTE(TRIM($P713),"-",""),".",""),"/",""),2))),DATEVALUE($P713))),""))</f>
        <v/>
      </c>
      <c r="Y713" s="56" t="str">
        <f aca="false">IF($M713="","",IFERROR(INDEX(강사DB!$D$4:$D$53,MATCH($M713,강사DB!$A$4:$A$53,0)),""))</f>
        <v/>
      </c>
      <c r="Z713" s="56" t="str">
        <f aca="false">IF($B713&lt;&gt;"결제완료","",IF(OR($Y713="",$J713=""),"",$Y713*$J713+MAX(0,N($K713)-1)*설정!$J$7))</f>
        <v/>
      </c>
      <c r="AA713" s="56" t="str">
        <f aca="false">IF(AND($D713&lt;&gt;"",$B713="결제완료"),N($N713),"")</f>
        <v/>
      </c>
      <c r="AB713" s="45" t="str">
        <f aca="false">IF($D713="","",IF($F713&lt;&gt;"",$F713,$D713)&amp;IF($B713="상담중"," (상담)",""))</f>
        <v/>
      </c>
      <c r="AC713" s="45" t="n">
        <f aca="false">IF(AND($D713&lt;&gt;"",OR($B713="결제완료",$B713="상담중")),1,0)</f>
        <v>0</v>
      </c>
      <c r="AD713" s="45" t="n">
        <f aca="false">IF(OR($Z713="",$U713=""),0,IFERROR(IF(COUNTIFS(INDEX(g_grid,0,2*MATCH($M713,강사DB!$A$4:$A$15,0)),"&lt;&gt;",g_s,"&lt;="&amp;$U713,g_e,"&gt;="&amp;$U713)&gt;0,1,0),0))</f>
        <v>0</v>
      </c>
      <c r="AE713" s="48"/>
      <c r="AF713" s="56" t="str">
        <f aca="false">IF(AND($D713&lt;&gt;"",$B713="결제완료",$T713="대여"),설정!$J$5,"")</f>
        <v/>
      </c>
      <c r="AG713" s="54" t="str">
        <f aca="false">IF($D713="","",IF(AND($E713="",$R713=""),$AB713,"☎ "&amp;IF($E713="","-",$E713)&amp;IF($R713&lt;&gt;"","  ※ "&amp;$R713,"")&amp;IF($B713="상담중"," (상담)","")))</f>
        <v/>
      </c>
      <c r="AH713" s="56" t="str">
        <f aca="false">IF(AND($D713&lt;&gt;"",$B713="결제완료",$O713="스마트스토어"),ROUND(N($N713)*설정!$J$6,0),"")</f>
        <v/>
      </c>
      <c r="AI713" s="54" t="str">
        <f aca="false">IF($D713="","",ROW())</f>
        <v/>
      </c>
      <c r="AJ713" s="54" t="n">
        <f aca="false">IF(OR($AC713&lt;&gt;1,$M713=""),0,IF(ISNUMBER(SEARCH("퇴사",IFERROR(INDEX(강사DB!$G$4:$G$53,MATCH($M713,강사DB!$A$4:$A$53,0)),""))),1,0))</f>
        <v>0</v>
      </c>
    </row>
    <row r="714" customFormat="false" ht="15" hidden="false" customHeight="false" outlineLevel="0" collapsed="false">
      <c r="A714" s="45" t="str">
        <f aca="false">IF($D714="","",COUNTA($D$5:$D714))</f>
        <v/>
      </c>
      <c r="B714" s="46"/>
      <c r="C714" s="47"/>
      <c r="D714" s="48"/>
      <c r="E714" s="48"/>
      <c r="F714" s="49"/>
      <c r="G714" s="47"/>
      <c r="H714" s="50"/>
      <c r="I714" s="50"/>
      <c r="J714" s="51" t="str">
        <f aca="false">IF(OR($V714="",$W714=""),"",ROUND(($W714-$V714)/60,2))</f>
        <v/>
      </c>
      <c r="K714" s="52" t="str">
        <f aca="false">IF($F714="","",LEN($F714)-LEN(SUBSTITUTE($F714,",",""))+1)</f>
        <v/>
      </c>
      <c r="L714" s="45" t="str">
        <f aca="false">IF($K714="","","1:"&amp;$K714)</f>
        <v/>
      </c>
      <c r="M714" s="46"/>
      <c r="N714" s="53"/>
      <c r="O714" s="46"/>
      <c r="P714" s="47"/>
      <c r="Q714" s="48"/>
      <c r="R714" s="49"/>
      <c r="S714" s="54" t="str">
        <f aca="false">IF(OR($AC714=0,$U714="",$M714="",$V714="",$W714=""),"",IF(COUNTIFS(m_teacher,$M714,m_date,$U714,m_active,1,m_start,"&lt;"&amp;$W714,m_end,"&gt;"&amp;$V714)&gt;1,"충돌",""))</f>
        <v/>
      </c>
      <c r="T714" s="48"/>
      <c r="U714" s="55" t="str">
        <f aca="false">IF($G714="","",IFERROR(IF(ISNUMBER($G714),IF($G714&gt;19000000,DATE(INT($G714/10000),MOD(INT($G714/100),100),MOD($G714,100)),INT($G714)),IF(LEN(SUBSTITUTE(SUBSTITUTE(SUBSTITUTE(TRIM($G714),"-",""),".",""),"/",""))=8,DATE(VALUE(LEFT(SUBSTITUTE(SUBSTITUTE(SUBSTITUTE(TRIM($G714),"-",""),".",""),"/",""),4)),VALUE(MID(SUBSTITUTE(SUBSTITUTE(SUBSTITUTE(TRIM($G714),"-",""),".",""),"/",""),5,2)),VALUE(RIGHT(SUBSTITUTE(SUBSTITUTE(SUBSTITUTE(TRIM($G714),"-",""),".",""),"/",""),2))),DATEVALUE($G714))),""))</f>
        <v/>
      </c>
      <c r="V714" s="52" t="str">
        <f aca="false">IF($H714="","",IFERROR(IF(IF(ISNUMBER($H714),$H714,IFERROR(TIMEVALUE($H714),VALUE($H714)))&gt;=100,INT(IF(ISNUMBER($H714),$H714,IFERROR(TIMEVALUE($H714),VALUE($H714)))/100)*60+MOD(IF(ISNUMBER($H714),$H714,IFERROR(TIMEVALUE($H714),VALUE($H714))),100),IF(IF(ISNUMBER($H714),$H714,IFERROR(TIMEVALUE($H714),VALUE($H714)))&gt;=1,ROUND(IF(ISNUMBER($H714),$H714,IFERROR(TIMEVALUE($H714),VALUE($H714)))*60,0),ROUND(MOD(IF(ISNUMBER($H714),$H714,IFERROR(TIMEVALUE($H714),VALUE($H714))),1)*1440,0))),""))</f>
        <v/>
      </c>
      <c r="W714" s="52" t="str">
        <f aca="false">IF($I714="","",IFERROR(IF(IF(ISNUMBER($I714),$I714,IFERROR(TIMEVALUE($I714),VALUE($I714)))&gt;=100,INT(IF(ISNUMBER($I714),$I714,IFERROR(TIMEVALUE($I714),VALUE($I714)))/100)*60+MOD(IF(ISNUMBER($I714),$I714,IFERROR(TIMEVALUE($I714),VALUE($I714))),100),IF(IF(ISNUMBER($I714),$I714,IFERROR(TIMEVALUE($I714),VALUE($I714)))&gt;=1,ROUND(IF(ISNUMBER($I714),$I714,IFERROR(TIMEVALUE($I714),VALUE($I714)))*60,0),ROUND(MOD(IF(ISNUMBER($I714),$I714,IFERROR(TIMEVALUE($I714),VALUE($I714))),1)*1440,0))),""))</f>
        <v/>
      </c>
      <c r="X714" s="55" t="str">
        <f aca="false">IF($P714="","",IFERROR(IF(ISNUMBER($P714),IF($P714&gt;19000000,DATE(INT($P714/10000),MOD(INT($P714/100),100),MOD($P714,100)),INT($P714)),IF(LEN(SUBSTITUTE(SUBSTITUTE(SUBSTITUTE(TRIM($P714),"-",""),".",""),"/",""))=8,DATE(VALUE(LEFT(SUBSTITUTE(SUBSTITUTE(SUBSTITUTE(TRIM($P714),"-",""),".",""),"/",""),4)),VALUE(MID(SUBSTITUTE(SUBSTITUTE(SUBSTITUTE(TRIM($P714),"-",""),".",""),"/",""),5,2)),VALUE(RIGHT(SUBSTITUTE(SUBSTITUTE(SUBSTITUTE(TRIM($P714),"-",""),".",""),"/",""),2))),DATEVALUE($P714))),""))</f>
        <v/>
      </c>
      <c r="Y714" s="56" t="str">
        <f aca="false">IF($M714="","",IFERROR(INDEX(강사DB!$D$4:$D$53,MATCH($M714,강사DB!$A$4:$A$53,0)),""))</f>
        <v/>
      </c>
      <c r="Z714" s="56" t="str">
        <f aca="false">IF($B714&lt;&gt;"결제완료","",IF(OR($Y714="",$J714=""),"",$Y714*$J714+MAX(0,N($K714)-1)*설정!$J$7))</f>
        <v/>
      </c>
      <c r="AA714" s="56" t="str">
        <f aca="false">IF(AND($D714&lt;&gt;"",$B714="결제완료"),N($N714),"")</f>
        <v/>
      </c>
      <c r="AB714" s="45" t="str">
        <f aca="false">IF($D714="","",IF($F714&lt;&gt;"",$F714,$D714)&amp;IF($B714="상담중"," (상담)",""))</f>
        <v/>
      </c>
      <c r="AC714" s="45" t="n">
        <f aca="false">IF(AND($D714&lt;&gt;"",OR($B714="결제완료",$B714="상담중")),1,0)</f>
        <v>0</v>
      </c>
      <c r="AD714" s="45" t="n">
        <f aca="false">IF(OR($Z714="",$U714=""),0,IFERROR(IF(COUNTIFS(INDEX(g_grid,0,2*MATCH($M714,강사DB!$A$4:$A$15,0)),"&lt;&gt;",g_s,"&lt;="&amp;$U714,g_e,"&gt;="&amp;$U714)&gt;0,1,0),0))</f>
        <v>0</v>
      </c>
      <c r="AE714" s="48"/>
      <c r="AF714" s="56" t="str">
        <f aca="false">IF(AND($D714&lt;&gt;"",$B714="결제완료",$T714="대여"),설정!$J$5,"")</f>
        <v/>
      </c>
      <c r="AG714" s="54" t="str">
        <f aca="false">IF($D714="","",IF(AND($E714="",$R714=""),$AB714,"☎ "&amp;IF($E714="","-",$E714)&amp;IF($R714&lt;&gt;"","  ※ "&amp;$R714,"")&amp;IF($B714="상담중"," (상담)","")))</f>
        <v/>
      </c>
      <c r="AH714" s="56" t="str">
        <f aca="false">IF(AND($D714&lt;&gt;"",$B714="결제완료",$O714="스마트스토어"),ROUND(N($N714)*설정!$J$6,0),"")</f>
        <v/>
      </c>
      <c r="AI714" s="54" t="str">
        <f aca="false">IF($D714="","",ROW())</f>
        <v/>
      </c>
      <c r="AJ714" s="54" t="n">
        <f aca="false">IF(OR($AC714&lt;&gt;1,$M714=""),0,IF(ISNUMBER(SEARCH("퇴사",IFERROR(INDEX(강사DB!$G$4:$G$53,MATCH($M714,강사DB!$A$4:$A$53,0)),""))),1,0))</f>
        <v>0</v>
      </c>
    </row>
    <row r="715" customFormat="false" ht="15" hidden="false" customHeight="false" outlineLevel="0" collapsed="false">
      <c r="A715" s="45" t="str">
        <f aca="false">IF($D715="","",COUNTA($D$5:$D715))</f>
        <v/>
      </c>
      <c r="B715" s="46"/>
      <c r="C715" s="47"/>
      <c r="D715" s="48"/>
      <c r="E715" s="48"/>
      <c r="F715" s="49"/>
      <c r="G715" s="47"/>
      <c r="H715" s="50"/>
      <c r="I715" s="50"/>
      <c r="J715" s="51" t="str">
        <f aca="false">IF(OR($V715="",$W715=""),"",ROUND(($W715-$V715)/60,2))</f>
        <v/>
      </c>
      <c r="K715" s="52" t="str">
        <f aca="false">IF($F715="","",LEN($F715)-LEN(SUBSTITUTE($F715,",",""))+1)</f>
        <v/>
      </c>
      <c r="L715" s="45" t="str">
        <f aca="false">IF($K715="","","1:"&amp;$K715)</f>
        <v/>
      </c>
      <c r="M715" s="46"/>
      <c r="N715" s="53"/>
      <c r="O715" s="46"/>
      <c r="P715" s="47"/>
      <c r="Q715" s="48"/>
      <c r="R715" s="49"/>
      <c r="S715" s="54" t="str">
        <f aca="false">IF(OR($AC715=0,$U715="",$M715="",$V715="",$W715=""),"",IF(COUNTIFS(m_teacher,$M715,m_date,$U715,m_active,1,m_start,"&lt;"&amp;$W715,m_end,"&gt;"&amp;$V715)&gt;1,"충돌",""))</f>
        <v/>
      </c>
      <c r="T715" s="48"/>
      <c r="U715" s="55" t="str">
        <f aca="false">IF($G715="","",IFERROR(IF(ISNUMBER($G715),IF($G715&gt;19000000,DATE(INT($G715/10000),MOD(INT($G715/100),100),MOD($G715,100)),INT($G715)),IF(LEN(SUBSTITUTE(SUBSTITUTE(SUBSTITUTE(TRIM($G715),"-",""),".",""),"/",""))=8,DATE(VALUE(LEFT(SUBSTITUTE(SUBSTITUTE(SUBSTITUTE(TRIM($G715),"-",""),".",""),"/",""),4)),VALUE(MID(SUBSTITUTE(SUBSTITUTE(SUBSTITUTE(TRIM($G715),"-",""),".",""),"/",""),5,2)),VALUE(RIGHT(SUBSTITUTE(SUBSTITUTE(SUBSTITUTE(TRIM($G715),"-",""),".",""),"/",""),2))),DATEVALUE($G715))),""))</f>
        <v/>
      </c>
      <c r="V715" s="52" t="str">
        <f aca="false">IF($H715="","",IFERROR(IF(IF(ISNUMBER($H715),$H715,IFERROR(TIMEVALUE($H715),VALUE($H715)))&gt;=100,INT(IF(ISNUMBER($H715),$H715,IFERROR(TIMEVALUE($H715),VALUE($H715)))/100)*60+MOD(IF(ISNUMBER($H715),$H715,IFERROR(TIMEVALUE($H715),VALUE($H715))),100),IF(IF(ISNUMBER($H715),$H715,IFERROR(TIMEVALUE($H715),VALUE($H715)))&gt;=1,ROUND(IF(ISNUMBER($H715),$H715,IFERROR(TIMEVALUE($H715),VALUE($H715)))*60,0),ROUND(MOD(IF(ISNUMBER($H715),$H715,IFERROR(TIMEVALUE($H715),VALUE($H715))),1)*1440,0))),""))</f>
        <v/>
      </c>
      <c r="W715" s="52" t="str">
        <f aca="false">IF($I715="","",IFERROR(IF(IF(ISNUMBER($I715),$I715,IFERROR(TIMEVALUE($I715),VALUE($I715)))&gt;=100,INT(IF(ISNUMBER($I715),$I715,IFERROR(TIMEVALUE($I715),VALUE($I715)))/100)*60+MOD(IF(ISNUMBER($I715),$I715,IFERROR(TIMEVALUE($I715),VALUE($I715))),100),IF(IF(ISNUMBER($I715),$I715,IFERROR(TIMEVALUE($I715),VALUE($I715)))&gt;=1,ROUND(IF(ISNUMBER($I715),$I715,IFERROR(TIMEVALUE($I715),VALUE($I715)))*60,0),ROUND(MOD(IF(ISNUMBER($I715),$I715,IFERROR(TIMEVALUE($I715),VALUE($I715))),1)*1440,0))),""))</f>
        <v/>
      </c>
      <c r="X715" s="55" t="str">
        <f aca="false">IF($P715="","",IFERROR(IF(ISNUMBER($P715),IF($P715&gt;19000000,DATE(INT($P715/10000),MOD(INT($P715/100),100),MOD($P715,100)),INT($P715)),IF(LEN(SUBSTITUTE(SUBSTITUTE(SUBSTITUTE(TRIM($P715),"-",""),".",""),"/",""))=8,DATE(VALUE(LEFT(SUBSTITUTE(SUBSTITUTE(SUBSTITUTE(TRIM($P715),"-",""),".",""),"/",""),4)),VALUE(MID(SUBSTITUTE(SUBSTITUTE(SUBSTITUTE(TRIM($P715),"-",""),".",""),"/",""),5,2)),VALUE(RIGHT(SUBSTITUTE(SUBSTITUTE(SUBSTITUTE(TRIM($P715),"-",""),".",""),"/",""),2))),DATEVALUE($P715))),""))</f>
        <v/>
      </c>
      <c r="Y715" s="56" t="str">
        <f aca="false">IF($M715="","",IFERROR(INDEX(강사DB!$D$4:$D$53,MATCH($M715,강사DB!$A$4:$A$53,0)),""))</f>
        <v/>
      </c>
      <c r="Z715" s="56" t="str">
        <f aca="false">IF($B715&lt;&gt;"결제완료","",IF(OR($Y715="",$J715=""),"",$Y715*$J715+MAX(0,N($K715)-1)*설정!$J$7))</f>
        <v/>
      </c>
      <c r="AA715" s="56" t="str">
        <f aca="false">IF(AND($D715&lt;&gt;"",$B715="결제완료"),N($N715),"")</f>
        <v/>
      </c>
      <c r="AB715" s="45" t="str">
        <f aca="false">IF($D715="","",IF($F715&lt;&gt;"",$F715,$D715)&amp;IF($B715="상담중"," (상담)",""))</f>
        <v/>
      </c>
      <c r="AC715" s="45" t="n">
        <f aca="false">IF(AND($D715&lt;&gt;"",OR($B715="결제완료",$B715="상담중")),1,0)</f>
        <v>0</v>
      </c>
      <c r="AD715" s="45" t="n">
        <f aca="false">IF(OR($Z715="",$U715=""),0,IFERROR(IF(COUNTIFS(INDEX(g_grid,0,2*MATCH($M715,강사DB!$A$4:$A$15,0)),"&lt;&gt;",g_s,"&lt;="&amp;$U715,g_e,"&gt;="&amp;$U715)&gt;0,1,0),0))</f>
        <v>0</v>
      </c>
      <c r="AE715" s="48"/>
      <c r="AF715" s="56" t="str">
        <f aca="false">IF(AND($D715&lt;&gt;"",$B715="결제완료",$T715="대여"),설정!$J$5,"")</f>
        <v/>
      </c>
      <c r="AG715" s="54" t="str">
        <f aca="false">IF($D715="","",IF(AND($E715="",$R715=""),$AB715,"☎ "&amp;IF($E715="","-",$E715)&amp;IF($R715&lt;&gt;"","  ※ "&amp;$R715,"")&amp;IF($B715="상담중"," (상담)","")))</f>
        <v/>
      </c>
      <c r="AH715" s="56" t="str">
        <f aca="false">IF(AND($D715&lt;&gt;"",$B715="결제완료",$O715="스마트스토어"),ROUND(N($N715)*설정!$J$6,0),"")</f>
        <v/>
      </c>
      <c r="AI715" s="54" t="str">
        <f aca="false">IF($D715="","",ROW())</f>
        <v/>
      </c>
      <c r="AJ715" s="54" t="n">
        <f aca="false">IF(OR($AC715&lt;&gt;1,$M715=""),0,IF(ISNUMBER(SEARCH("퇴사",IFERROR(INDEX(강사DB!$G$4:$G$53,MATCH($M715,강사DB!$A$4:$A$53,0)),""))),1,0))</f>
        <v>0</v>
      </c>
    </row>
    <row r="716" customFormat="false" ht="15" hidden="false" customHeight="false" outlineLevel="0" collapsed="false">
      <c r="A716" s="45" t="str">
        <f aca="false">IF($D716="","",COUNTA($D$5:$D716))</f>
        <v/>
      </c>
      <c r="B716" s="46"/>
      <c r="C716" s="47"/>
      <c r="D716" s="48"/>
      <c r="E716" s="48"/>
      <c r="F716" s="49"/>
      <c r="G716" s="47"/>
      <c r="H716" s="50"/>
      <c r="I716" s="50"/>
      <c r="J716" s="51" t="str">
        <f aca="false">IF(OR($V716="",$W716=""),"",ROUND(($W716-$V716)/60,2))</f>
        <v/>
      </c>
      <c r="K716" s="52" t="str">
        <f aca="false">IF($F716="","",LEN($F716)-LEN(SUBSTITUTE($F716,",",""))+1)</f>
        <v/>
      </c>
      <c r="L716" s="45" t="str">
        <f aca="false">IF($K716="","","1:"&amp;$K716)</f>
        <v/>
      </c>
      <c r="M716" s="46"/>
      <c r="N716" s="53"/>
      <c r="O716" s="46"/>
      <c r="P716" s="47"/>
      <c r="Q716" s="48"/>
      <c r="R716" s="49"/>
      <c r="S716" s="54" t="str">
        <f aca="false">IF(OR($AC716=0,$U716="",$M716="",$V716="",$W716=""),"",IF(COUNTIFS(m_teacher,$M716,m_date,$U716,m_active,1,m_start,"&lt;"&amp;$W716,m_end,"&gt;"&amp;$V716)&gt;1,"충돌",""))</f>
        <v/>
      </c>
      <c r="T716" s="48"/>
      <c r="U716" s="55" t="str">
        <f aca="false">IF($G716="","",IFERROR(IF(ISNUMBER($G716),IF($G716&gt;19000000,DATE(INT($G716/10000),MOD(INT($G716/100),100),MOD($G716,100)),INT($G716)),IF(LEN(SUBSTITUTE(SUBSTITUTE(SUBSTITUTE(TRIM($G716),"-",""),".",""),"/",""))=8,DATE(VALUE(LEFT(SUBSTITUTE(SUBSTITUTE(SUBSTITUTE(TRIM($G716),"-",""),".",""),"/",""),4)),VALUE(MID(SUBSTITUTE(SUBSTITUTE(SUBSTITUTE(TRIM($G716),"-",""),".",""),"/",""),5,2)),VALUE(RIGHT(SUBSTITUTE(SUBSTITUTE(SUBSTITUTE(TRIM($G716),"-",""),".",""),"/",""),2))),DATEVALUE($G716))),""))</f>
        <v/>
      </c>
      <c r="V716" s="52" t="str">
        <f aca="false">IF($H716="","",IFERROR(IF(IF(ISNUMBER($H716),$H716,IFERROR(TIMEVALUE($H716),VALUE($H716)))&gt;=100,INT(IF(ISNUMBER($H716),$H716,IFERROR(TIMEVALUE($H716),VALUE($H716)))/100)*60+MOD(IF(ISNUMBER($H716),$H716,IFERROR(TIMEVALUE($H716),VALUE($H716))),100),IF(IF(ISNUMBER($H716),$H716,IFERROR(TIMEVALUE($H716),VALUE($H716)))&gt;=1,ROUND(IF(ISNUMBER($H716),$H716,IFERROR(TIMEVALUE($H716),VALUE($H716)))*60,0),ROUND(MOD(IF(ISNUMBER($H716),$H716,IFERROR(TIMEVALUE($H716),VALUE($H716))),1)*1440,0))),""))</f>
        <v/>
      </c>
      <c r="W716" s="52" t="str">
        <f aca="false">IF($I716="","",IFERROR(IF(IF(ISNUMBER($I716),$I716,IFERROR(TIMEVALUE($I716),VALUE($I716)))&gt;=100,INT(IF(ISNUMBER($I716),$I716,IFERROR(TIMEVALUE($I716),VALUE($I716)))/100)*60+MOD(IF(ISNUMBER($I716),$I716,IFERROR(TIMEVALUE($I716),VALUE($I716))),100),IF(IF(ISNUMBER($I716),$I716,IFERROR(TIMEVALUE($I716),VALUE($I716)))&gt;=1,ROUND(IF(ISNUMBER($I716),$I716,IFERROR(TIMEVALUE($I716),VALUE($I716)))*60,0),ROUND(MOD(IF(ISNUMBER($I716),$I716,IFERROR(TIMEVALUE($I716),VALUE($I716))),1)*1440,0))),""))</f>
        <v/>
      </c>
      <c r="X716" s="55" t="str">
        <f aca="false">IF($P716="","",IFERROR(IF(ISNUMBER($P716),IF($P716&gt;19000000,DATE(INT($P716/10000),MOD(INT($P716/100),100),MOD($P716,100)),INT($P716)),IF(LEN(SUBSTITUTE(SUBSTITUTE(SUBSTITUTE(TRIM($P716),"-",""),".",""),"/",""))=8,DATE(VALUE(LEFT(SUBSTITUTE(SUBSTITUTE(SUBSTITUTE(TRIM($P716),"-",""),".",""),"/",""),4)),VALUE(MID(SUBSTITUTE(SUBSTITUTE(SUBSTITUTE(TRIM($P716),"-",""),".",""),"/",""),5,2)),VALUE(RIGHT(SUBSTITUTE(SUBSTITUTE(SUBSTITUTE(TRIM($P716),"-",""),".",""),"/",""),2))),DATEVALUE($P716))),""))</f>
        <v/>
      </c>
      <c r="Y716" s="56" t="str">
        <f aca="false">IF($M716="","",IFERROR(INDEX(강사DB!$D$4:$D$53,MATCH($M716,강사DB!$A$4:$A$53,0)),""))</f>
        <v/>
      </c>
      <c r="Z716" s="56" t="str">
        <f aca="false">IF($B716&lt;&gt;"결제완료","",IF(OR($Y716="",$J716=""),"",$Y716*$J716+MAX(0,N($K716)-1)*설정!$J$7))</f>
        <v/>
      </c>
      <c r="AA716" s="56" t="str">
        <f aca="false">IF(AND($D716&lt;&gt;"",$B716="결제완료"),N($N716),"")</f>
        <v/>
      </c>
      <c r="AB716" s="45" t="str">
        <f aca="false">IF($D716="","",IF($F716&lt;&gt;"",$F716,$D716)&amp;IF($B716="상담중"," (상담)",""))</f>
        <v/>
      </c>
      <c r="AC716" s="45" t="n">
        <f aca="false">IF(AND($D716&lt;&gt;"",OR($B716="결제완료",$B716="상담중")),1,0)</f>
        <v>0</v>
      </c>
      <c r="AD716" s="45" t="n">
        <f aca="false">IF(OR($Z716="",$U716=""),0,IFERROR(IF(COUNTIFS(INDEX(g_grid,0,2*MATCH($M716,강사DB!$A$4:$A$15,0)),"&lt;&gt;",g_s,"&lt;="&amp;$U716,g_e,"&gt;="&amp;$U716)&gt;0,1,0),0))</f>
        <v>0</v>
      </c>
      <c r="AE716" s="48"/>
      <c r="AF716" s="56" t="str">
        <f aca="false">IF(AND($D716&lt;&gt;"",$B716="결제완료",$T716="대여"),설정!$J$5,"")</f>
        <v/>
      </c>
      <c r="AG716" s="54" t="str">
        <f aca="false">IF($D716="","",IF(AND($E716="",$R716=""),$AB716,"☎ "&amp;IF($E716="","-",$E716)&amp;IF($R716&lt;&gt;"","  ※ "&amp;$R716,"")&amp;IF($B716="상담중"," (상담)","")))</f>
        <v/>
      </c>
      <c r="AH716" s="56" t="str">
        <f aca="false">IF(AND($D716&lt;&gt;"",$B716="결제완료",$O716="스마트스토어"),ROUND(N($N716)*설정!$J$6,0),"")</f>
        <v/>
      </c>
      <c r="AI716" s="54" t="str">
        <f aca="false">IF($D716="","",ROW())</f>
        <v/>
      </c>
      <c r="AJ716" s="54" t="n">
        <f aca="false">IF(OR($AC716&lt;&gt;1,$M716=""),0,IF(ISNUMBER(SEARCH("퇴사",IFERROR(INDEX(강사DB!$G$4:$G$53,MATCH($M716,강사DB!$A$4:$A$53,0)),""))),1,0))</f>
        <v>0</v>
      </c>
    </row>
    <row r="717" customFormat="false" ht="15" hidden="false" customHeight="false" outlineLevel="0" collapsed="false">
      <c r="A717" s="45" t="str">
        <f aca="false">IF($D717="","",COUNTA($D$5:$D717))</f>
        <v/>
      </c>
      <c r="B717" s="46"/>
      <c r="C717" s="47"/>
      <c r="D717" s="48"/>
      <c r="E717" s="48"/>
      <c r="F717" s="49"/>
      <c r="G717" s="47"/>
      <c r="H717" s="50"/>
      <c r="I717" s="50"/>
      <c r="J717" s="51" t="str">
        <f aca="false">IF(OR($V717="",$W717=""),"",ROUND(($W717-$V717)/60,2))</f>
        <v/>
      </c>
      <c r="K717" s="52" t="str">
        <f aca="false">IF($F717="","",LEN($F717)-LEN(SUBSTITUTE($F717,",",""))+1)</f>
        <v/>
      </c>
      <c r="L717" s="45" t="str">
        <f aca="false">IF($K717="","","1:"&amp;$K717)</f>
        <v/>
      </c>
      <c r="M717" s="46"/>
      <c r="N717" s="53"/>
      <c r="O717" s="46"/>
      <c r="P717" s="47"/>
      <c r="Q717" s="48"/>
      <c r="R717" s="49"/>
      <c r="S717" s="54" t="str">
        <f aca="false">IF(OR($AC717=0,$U717="",$M717="",$V717="",$W717=""),"",IF(COUNTIFS(m_teacher,$M717,m_date,$U717,m_active,1,m_start,"&lt;"&amp;$W717,m_end,"&gt;"&amp;$V717)&gt;1,"충돌",""))</f>
        <v/>
      </c>
      <c r="T717" s="48"/>
      <c r="U717" s="55" t="str">
        <f aca="false">IF($G717="","",IFERROR(IF(ISNUMBER($G717),IF($G717&gt;19000000,DATE(INT($G717/10000),MOD(INT($G717/100),100),MOD($G717,100)),INT($G717)),IF(LEN(SUBSTITUTE(SUBSTITUTE(SUBSTITUTE(TRIM($G717),"-",""),".",""),"/",""))=8,DATE(VALUE(LEFT(SUBSTITUTE(SUBSTITUTE(SUBSTITUTE(TRIM($G717),"-",""),".",""),"/",""),4)),VALUE(MID(SUBSTITUTE(SUBSTITUTE(SUBSTITUTE(TRIM($G717),"-",""),".",""),"/",""),5,2)),VALUE(RIGHT(SUBSTITUTE(SUBSTITUTE(SUBSTITUTE(TRIM($G717),"-",""),".",""),"/",""),2))),DATEVALUE($G717))),""))</f>
        <v/>
      </c>
      <c r="V717" s="52" t="str">
        <f aca="false">IF($H717="","",IFERROR(IF(IF(ISNUMBER($H717),$H717,IFERROR(TIMEVALUE($H717),VALUE($H717)))&gt;=100,INT(IF(ISNUMBER($H717),$H717,IFERROR(TIMEVALUE($H717),VALUE($H717)))/100)*60+MOD(IF(ISNUMBER($H717),$H717,IFERROR(TIMEVALUE($H717),VALUE($H717))),100),IF(IF(ISNUMBER($H717),$H717,IFERROR(TIMEVALUE($H717),VALUE($H717)))&gt;=1,ROUND(IF(ISNUMBER($H717),$H717,IFERROR(TIMEVALUE($H717),VALUE($H717)))*60,0),ROUND(MOD(IF(ISNUMBER($H717),$H717,IFERROR(TIMEVALUE($H717),VALUE($H717))),1)*1440,0))),""))</f>
        <v/>
      </c>
      <c r="W717" s="52" t="str">
        <f aca="false">IF($I717="","",IFERROR(IF(IF(ISNUMBER($I717),$I717,IFERROR(TIMEVALUE($I717),VALUE($I717)))&gt;=100,INT(IF(ISNUMBER($I717),$I717,IFERROR(TIMEVALUE($I717),VALUE($I717)))/100)*60+MOD(IF(ISNUMBER($I717),$I717,IFERROR(TIMEVALUE($I717),VALUE($I717))),100),IF(IF(ISNUMBER($I717),$I717,IFERROR(TIMEVALUE($I717),VALUE($I717)))&gt;=1,ROUND(IF(ISNUMBER($I717),$I717,IFERROR(TIMEVALUE($I717),VALUE($I717)))*60,0),ROUND(MOD(IF(ISNUMBER($I717),$I717,IFERROR(TIMEVALUE($I717),VALUE($I717))),1)*1440,0))),""))</f>
        <v/>
      </c>
      <c r="X717" s="55" t="str">
        <f aca="false">IF($P717="","",IFERROR(IF(ISNUMBER($P717),IF($P717&gt;19000000,DATE(INT($P717/10000),MOD(INT($P717/100),100),MOD($P717,100)),INT($P717)),IF(LEN(SUBSTITUTE(SUBSTITUTE(SUBSTITUTE(TRIM($P717),"-",""),".",""),"/",""))=8,DATE(VALUE(LEFT(SUBSTITUTE(SUBSTITUTE(SUBSTITUTE(TRIM($P717),"-",""),".",""),"/",""),4)),VALUE(MID(SUBSTITUTE(SUBSTITUTE(SUBSTITUTE(TRIM($P717),"-",""),".",""),"/",""),5,2)),VALUE(RIGHT(SUBSTITUTE(SUBSTITUTE(SUBSTITUTE(TRIM($P717),"-",""),".",""),"/",""),2))),DATEVALUE($P717))),""))</f>
        <v/>
      </c>
      <c r="Y717" s="56" t="str">
        <f aca="false">IF($M717="","",IFERROR(INDEX(강사DB!$D$4:$D$53,MATCH($M717,강사DB!$A$4:$A$53,0)),""))</f>
        <v/>
      </c>
      <c r="Z717" s="56" t="str">
        <f aca="false">IF($B717&lt;&gt;"결제완료","",IF(OR($Y717="",$J717=""),"",$Y717*$J717+MAX(0,N($K717)-1)*설정!$J$7))</f>
        <v/>
      </c>
      <c r="AA717" s="56" t="str">
        <f aca="false">IF(AND($D717&lt;&gt;"",$B717="결제완료"),N($N717),"")</f>
        <v/>
      </c>
      <c r="AB717" s="45" t="str">
        <f aca="false">IF($D717="","",IF($F717&lt;&gt;"",$F717,$D717)&amp;IF($B717="상담중"," (상담)",""))</f>
        <v/>
      </c>
      <c r="AC717" s="45" t="n">
        <f aca="false">IF(AND($D717&lt;&gt;"",OR($B717="결제완료",$B717="상담중")),1,0)</f>
        <v>0</v>
      </c>
      <c r="AD717" s="45" t="n">
        <f aca="false">IF(OR($Z717="",$U717=""),0,IFERROR(IF(COUNTIFS(INDEX(g_grid,0,2*MATCH($M717,강사DB!$A$4:$A$15,0)),"&lt;&gt;",g_s,"&lt;="&amp;$U717,g_e,"&gt;="&amp;$U717)&gt;0,1,0),0))</f>
        <v>0</v>
      </c>
      <c r="AE717" s="48"/>
      <c r="AF717" s="56" t="str">
        <f aca="false">IF(AND($D717&lt;&gt;"",$B717="결제완료",$T717="대여"),설정!$J$5,"")</f>
        <v/>
      </c>
      <c r="AG717" s="54" t="str">
        <f aca="false">IF($D717="","",IF(AND($E717="",$R717=""),$AB717,"☎ "&amp;IF($E717="","-",$E717)&amp;IF($R717&lt;&gt;"","  ※ "&amp;$R717,"")&amp;IF($B717="상담중"," (상담)","")))</f>
        <v/>
      </c>
      <c r="AH717" s="56" t="str">
        <f aca="false">IF(AND($D717&lt;&gt;"",$B717="결제완료",$O717="스마트스토어"),ROUND(N($N717)*설정!$J$6,0),"")</f>
        <v/>
      </c>
      <c r="AI717" s="54" t="str">
        <f aca="false">IF($D717="","",ROW())</f>
        <v/>
      </c>
      <c r="AJ717" s="54" t="n">
        <f aca="false">IF(OR($AC717&lt;&gt;1,$M717=""),0,IF(ISNUMBER(SEARCH("퇴사",IFERROR(INDEX(강사DB!$G$4:$G$53,MATCH($M717,강사DB!$A$4:$A$53,0)),""))),1,0))</f>
        <v>0</v>
      </c>
    </row>
    <row r="718" customFormat="false" ht="15" hidden="false" customHeight="false" outlineLevel="0" collapsed="false">
      <c r="A718" s="45" t="str">
        <f aca="false">IF($D718="","",COUNTA($D$5:$D718))</f>
        <v/>
      </c>
      <c r="B718" s="46"/>
      <c r="C718" s="47"/>
      <c r="D718" s="48"/>
      <c r="E718" s="48"/>
      <c r="F718" s="49"/>
      <c r="G718" s="47"/>
      <c r="H718" s="50"/>
      <c r="I718" s="50"/>
      <c r="J718" s="51" t="str">
        <f aca="false">IF(OR($V718="",$W718=""),"",ROUND(($W718-$V718)/60,2))</f>
        <v/>
      </c>
      <c r="K718" s="52" t="str">
        <f aca="false">IF($F718="","",LEN($F718)-LEN(SUBSTITUTE($F718,",",""))+1)</f>
        <v/>
      </c>
      <c r="L718" s="45" t="str">
        <f aca="false">IF($K718="","","1:"&amp;$K718)</f>
        <v/>
      </c>
      <c r="M718" s="46"/>
      <c r="N718" s="53"/>
      <c r="O718" s="46"/>
      <c r="P718" s="47"/>
      <c r="Q718" s="48"/>
      <c r="R718" s="49"/>
      <c r="S718" s="54" t="str">
        <f aca="false">IF(OR($AC718=0,$U718="",$M718="",$V718="",$W718=""),"",IF(COUNTIFS(m_teacher,$M718,m_date,$U718,m_active,1,m_start,"&lt;"&amp;$W718,m_end,"&gt;"&amp;$V718)&gt;1,"충돌",""))</f>
        <v/>
      </c>
      <c r="T718" s="48"/>
      <c r="U718" s="55" t="str">
        <f aca="false">IF($G718="","",IFERROR(IF(ISNUMBER($G718),IF($G718&gt;19000000,DATE(INT($G718/10000),MOD(INT($G718/100),100),MOD($G718,100)),INT($G718)),IF(LEN(SUBSTITUTE(SUBSTITUTE(SUBSTITUTE(TRIM($G718),"-",""),".",""),"/",""))=8,DATE(VALUE(LEFT(SUBSTITUTE(SUBSTITUTE(SUBSTITUTE(TRIM($G718),"-",""),".",""),"/",""),4)),VALUE(MID(SUBSTITUTE(SUBSTITUTE(SUBSTITUTE(TRIM($G718),"-",""),".",""),"/",""),5,2)),VALUE(RIGHT(SUBSTITUTE(SUBSTITUTE(SUBSTITUTE(TRIM($G718),"-",""),".",""),"/",""),2))),DATEVALUE($G718))),""))</f>
        <v/>
      </c>
      <c r="V718" s="52" t="str">
        <f aca="false">IF($H718="","",IFERROR(IF(IF(ISNUMBER($H718),$H718,IFERROR(TIMEVALUE($H718),VALUE($H718)))&gt;=100,INT(IF(ISNUMBER($H718),$H718,IFERROR(TIMEVALUE($H718),VALUE($H718)))/100)*60+MOD(IF(ISNUMBER($H718),$H718,IFERROR(TIMEVALUE($H718),VALUE($H718))),100),IF(IF(ISNUMBER($H718),$H718,IFERROR(TIMEVALUE($H718),VALUE($H718)))&gt;=1,ROUND(IF(ISNUMBER($H718),$H718,IFERROR(TIMEVALUE($H718),VALUE($H718)))*60,0),ROUND(MOD(IF(ISNUMBER($H718),$H718,IFERROR(TIMEVALUE($H718),VALUE($H718))),1)*1440,0))),""))</f>
        <v/>
      </c>
      <c r="W718" s="52" t="str">
        <f aca="false">IF($I718="","",IFERROR(IF(IF(ISNUMBER($I718),$I718,IFERROR(TIMEVALUE($I718),VALUE($I718)))&gt;=100,INT(IF(ISNUMBER($I718),$I718,IFERROR(TIMEVALUE($I718),VALUE($I718)))/100)*60+MOD(IF(ISNUMBER($I718),$I718,IFERROR(TIMEVALUE($I718),VALUE($I718))),100),IF(IF(ISNUMBER($I718),$I718,IFERROR(TIMEVALUE($I718),VALUE($I718)))&gt;=1,ROUND(IF(ISNUMBER($I718),$I718,IFERROR(TIMEVALUE($I718),VALUE($I718)))*60,0),ROUND(MOD(IF(ISNUMBER($I718),$I718,IFERROR(TIMEVALUE($I718),VALUE($I718))),1)*1440,0))),""))</f>
        <v/>
      </c>
      <c r="X718" s="55" t="str">
        <f aca="false">IF($P718="","",IFERROR(IF(ISNUMBER($P718),IF($P718&gt;19000000,DATE(INT($P718/10000),MOD(INT($P718/100),100),MOD($P718,100)),INT($P718)),IF(LEN(SUBSTITUTE(SUBSTITUTE(SUBSTITUTE(TRIM($P718),"-",""),".",""),"/",""))=8,DATE(VALUE(LEFT(SUBSTITUTE(SUBSTITUTE(SUBSTITUTE(TRIM($P718),"-",""),".",""),"/",""),4)),VALUE(MID(SUBSTITUTE(SUBSTITUTE(SUBSTITUTE(TRIM($P718),"-",""),".",""),"/",""),5,2)),VALUE(RIGHT(SUBSTITUTE(SUBSTITUTE(SUBSTITUTE(TRIM($P718),"-",""),".",""),"/",""),2))),DATEVALUE($P718))),""))</f>
        <v/>
      </c>
      <c r="Y718" s="56" t="str">
        <f aca="false">IF($M718="","",IFERROR(INDEX(강사DB!$D$4:$D$53,MATCH($M718,강사DB!$A$4:$A$53,0)),""))</f>
        <v/>
      </c>
      <c r="Z718" s="56" t="str">
        <f aca="false">IF($B718&lt;&gt;"결제완료","",IF(OR($Y718="",$J718=""),"",$Y718*$J718+MAX(0,N($K718)-1)*설정!$J$7))</f>
        <v/>
      </c>
      <c r="AA718" s="56" t="str">
        <f aca="false">IF(AND($D718&lt;&gt;"",$B718="결제완료"),N($N718),"")</f>
        <v/>
      </c>
      <c r="AB718" s="45" t="str">
        <f aca="false">IF($D718="","",IF($F718&lt;&gt;"",$F718,$D718)&amp;IF($B718="상담중"," (상담)",""))</f>
        <v/>
      </c>
      <c r="AC718" s="45" t="n">
        <f aca="false">IF(AND($D718&lt;&gt;"",OR($B718="결제완료",$B718="상담중")),1,0)</f>
        <v>0</v>
      </c>
      <c r="AD718" s="45" t="n">
        <f aca="false">IF(OR($Z718="",$U718=""),0,IFERROR(IF(COUNTIFS(INDEX(g_grid,0,2*MATCH($M718,강사DB!$A$4:$A$15,0)),"&lt;&gt;",g_s,"&lt;="&amp;$U718,g_e,"&gt;="&amp;$U718)&gt;0,1,0),0))</f>
        <v>0</v>
      </c>
      <c r="AE718" s="48"/>
      <c r="AF718" s="56" t="str">
        <f aca="false">IF(AND($D718&lt;&gt;"",$B718="결제완료",$T718="대여"),설정!$J$5,"")</f>
        <v/>
      </c>
      <c r="AG718" s="54" t="str">
        <f aca="false">IF($D718="","",IF(AND($E718="",$R718=""),$AB718,"☎ "&amp;IF($E718="","-",$E718)&amp;IF($R718&lt;&gt;"","  ※ "&amp;$R718,"")&amp;IF($B718="상담중"," (상담)","")))</f>
        <v/>
      </c>
      <c r="AH718" s="56" t="str">
        <f aca="false">IF(AND($D718&lt;&gt;"",$B718="결제완료",$O718="스마트스토어"),ROUND(N($N718)*설정!$J$6,0),"")</f>
        <v/>
      </c>
      <c r="AI718" s="54" t="str">
        <f aca="false">IF($D718="","",ROW())</f>
        <v/>
      </c>
      <c r="AJ718" s="54" t="n">
        <f aca="false">IF(OR($AC718&lt;&gt;1,$M718=""),0,IF(ISNUMBER(SEARCH("퇴사",IFERROR(INDEX(강사DB!$G$4:$G$53,MATCH($M718,강사DB!$A$4:$A$53,0)),""))),1,0))</f>
        <v>0</v>
      </c>
    </row>
    <row r="719" customFormat="false" ht="15" hidden="false" customHeight="false" outlineLevel="0" collapsed="false">
      <c r="A719" s="45" t="str">
        <f aca="false">IF($D719="","",COUNTA($D$5:$D719))</f>
        <v/>
      </c>
      <c r="B719" s="46"/>
      <c r="C719" s="47"/>
      <c r="D719" s="48"/>
      <c r="E719" s="48"/>
      <c r="F719" s="49"/>
      <c r="G719" s="47"/>
      <c r="H719" s="50"/>
      <c r="I719" s="50"/>
      <c r="J719" s="51" t="str">
        <f aca="false">IF(OR($V719="",$W719=""),"",ROUND(($W719-$V719)/60,2))</f>
        <v/>
      </c>
      <c r="K719" s="52" t="str">
        <f aca="false">IF($F719="","",LEN($F719)-LEN(SUBSTITUTE($F719,",",""))+1)</f>
        <v/>
      </c>
      <c r="L719" s="45" t="str">
        <f aca="false">IF($K719="","","1:"&amp;$K719)</f>
        <v/>
      </c>
      <c r="M719" s="46"/>
      <c r="N719" s="53"/>
      <c r="O719" s="46"/>
      <c r="P719" s="47"/>
      <c r="Q719" s="48"/>
      <c r="R719" s="49"/>
      <c r="S719" s="54" t="str">
        <f aca="false">IF(OR($AC719=0,$U719="",$M719="",$V719="",$W719=""),"",IF(COUNTIFS(m_teacher,$M719,m_date,$U719,m_active,1,m_start,"&lt;"&amp;$W719,m_end,"&gt;"&amp;$V719)&gt;1,"충돌",""))</f>
        <v/>
      </c>
      <c r="T719" s="48"/>
      <c r="U719" s="55" t="str">
        <f aca="false">IF($G719="","",IFERROR(IF(ISNUMBER($G719),IF($G719&gt;19000000,DATE(INT($G719/10000),MOD(INT($G719/100),100),MOD($G719,100)),INT($G719)),IF(LEN(SUBSTITUTE(SUBSTITUTE(SUBSTITUTE(TRIM($G719),"-",""),".",""),"/",""))=8,DATE(VALUE(LEFT(SUBSTITUTE(SUBSTITUTE(SUBSTITUTE(TRIM($G719),"-",""),".",""),"/",""),4)),VALUE(MID(SUBSTITUTE(SUBSTITUTE(SUBSTITUTE(TRIM($G719),"-",""),".",""),"/",""),5,2)),VALUE(RIGHT(SUBSTITUTE(SUBSTITUTE(SUBSTITUTE(TRIM($G719),"-",""),".",""),"/",""),2))),DATEVALUE($G719))),""))</f>
        <v/>
      </c>
      <c r="V719" s="52" t="str">
        <f aca="false">IF($H719="","",IFERROR(IF(IF(ISNUMBER($H719),$H719,IFERROR(TIMEVALUE($H719),VALUE($H719)))&gt;=100,INT(IF(ISNUMBER($H719),$H719,IFERROR(TIMEVALUE($H719),VALUE($H719)))/100)*60+MOD(IF(ISNUMBER($H719),$H719,IFERROR(TIMEVALUE($H719),VALUE($H719))),100),IF(IF(ISNUMBER($H719),$H719,IFERROR(TIMEVALUE($H719),VALUE($H719)))&gt;=1,ROUND(IF(ISNUMBER($H719),$H719,IFERROR(TIMEVALUE($H719),VALUE($H719)))*60,0),ROUND(MOD(IF(ISNUMBER($H719),$H719,IFERROR(TIMEVALUE($H719),VALUE($H719))),1)*1440,0))),""))</f>
        <v/>
      </c>
      <c r="W719" s="52" t="str">
        <f aca="false">IF($I719="","",IFERROR(IF(IF(ISNUMBER($I719),$I719,IFERROR(TIMEVALUE($I719),VALUE($I719)))&gt;=100,INT(IF(ISNUMBER($I719),$I719,IFERROR(TIMEVALUE($I719),VALUE($I719)))/100)*60+MOD(IF(ISNUMBER($I719),$I719,IFERROR(TIMEVALUE($I719),VALUE($I719))),100),IF(IF(ISNUMBER($I719),$I719,IFERROR(TIMEVALUE($I719),VALUE($I719)))&gt;=1,ROUND(IF(ISNUMBER($I719),$I719,IFERROR(TIMEVALUE($I719),VALUE($I719)))*60,0),ROUND(MOD(IF(ISNUMBER($I719),$I719,IFERROR(TIMEVALUE($I719),VALUE($I719))),1)*1440,0))),""))</f>
        <v/>
      </c>
      <c r="X719" s="55" t="str">
        <f aca="false">IF($P719="","",IFERROR(IF(ISNUMBER($P719),IF($P719&gt;19000000,DATE(INT($P719/10000),MOD(INT($P719/100),100),MOD($P719,100)),INT($P719)),IF(LEN(SUBSTITUTE(SUBSTITUTE(SUBSTITUTE(TRIM($P719),"-",""),".",""),"/",""))=8,DATE(VALUE(LEFT(SUBSTITUTE(SUBSTITUTE(SUBSTITUTE(TRIM($P719),"-",""),".",""),"/",""),4)),VALUE(MID(SUBSTITUTE(SUBSTITUTE(SUBSTITUTE(TRIM($P719),"-",""),".",""),"/",""),5,2)),VALUE(RIGHT(SUBSTITUTE(SUBSTITUTE(SUBSTITUTE(TRIM($P719),"-",""),".",""),"/",""),2))),DATEVALUE($P719))),""))</f>
        <v/>
      </c>
      <c r="Y719" s="56" t="str">
        <f aca="false">IF($M719="","",IFERROR(INDEX(강사DB!$D$4:$D$53,MATCH($M719,강사DB!$A$4:$A$53,0)),""))</f>
        <v/>
      </c>
      <c r="Z719" s="56" t="str">
        <f aca="false">IF($B719&lt;&gt;"결제완료","",IF(OR($Y719="",$J719=""),"",$Y719*$J719+MAX(0,N($K719)-1)*설정!$J$7))</f>
        <v/>
      </c>
      <c r="AA719" s="56" t="str">
        <f aca="false">IF(AND($D719&lt;&gt;"",$B719="결제완료"),N($N719),"")</f>
        <v/>
      </c>
      <c r="AB719" s="45" t="str">
        <f aca="false">IF($D719="","",IF($F719&lt;&gt;"",$F719,$D719)&amp;IF($B719="상담중"," (상담)",""))</f>
        <v/>
      </c>
      <c r="AC719" s="45" t="n">
        <f aca="false">IF(AND($D719&lt;&gt;"",OR($B719="결제완료",$B719="상담중")),1,0)</f>
        <v>0</v>
      </c>
      <c r="AD719" s="45" t="n">
        <f aca="false">IF(OR($Z719="",$U719=""),0,IFERROR(IF(COUNTIFS(INDEX(g_grid,0,2*MATCH($M719,강사DB!$A$4:$A$15,0)),"&lt;&gt;",g_s,"&lt;="&amp;$U719,g_e,"&gt;="&amp;$U719)&gt;0,1,0),0))</f>
        <v>0</v>
      </c>
      <c r="AE719" s="48"/>
      <c r="AF719" s="56" t="str">
        <f aca="false">IF(AND($D719&lt;&gt;"",$B719="결제완료",$T719="대여"),설정!$J$5,"")</f>
        <v/>
      </c>
      <c r="AG719" s="54" t="str">
        <f aca="false">IF($D719="","",IF(AND($E719="",$R719=""),$AB719,"☎ "&amp;IF($E719="","-",$E719)&amp;IF($R719&lt;&gt;"","  ※ "&amp;$R719,"")&amp;IF($B719="상담중"," (상담)","")))</f>
        <v/>
      </c>
      <c r="AH719" s="56" t="str">
        <f aca="false">IF(AND($D719&lt;&gt;"",$B719="결제완료",$O719="스마트스토어"),ROUND(N($N719)*설정!$J$6,0),"")</f>
        <v/>
      </c>
      <c r="AI719" s="54" t="str">
        <f aca="false">IF($D719="","",ROW())</f>
        <v/>
      </c>
      <c r="AJ719" s="54" t="n">
        <f aca="false">IF(OR($AC719&lt;&gt;1,$M719=""),0,IF(ISNUMBER(SEARCH("퇴사",IFERROR(INDEX(강사DB!$G$4:$G$53,MATCH($M719,강사DB!$A$4:$A$53,0)),""))),1,0))</f>
        <v>0</v>
      </c>
    </row>
    <row r="720" customFormat="false" ht="15" hidden="false" customHeight="false" outlineLevel="0" collapsed="false">
      <c r="A720" s="45" t="str">
        <f aca="false">IF($D720="","",COUNTA($D$5:$D720))</f>
        <v/>
      </c>
      <c r="B720" s="46"/>
      <c r="C720" s="47"/>
      <c r="D720" s="48"/>
      <c r="E720" s="48"/>
      <c r="F720" s="49"/>
      <c r="G720" s="47"/>
      <c r="H720" s="50"/>
      <c r="I720" s="50"/>
      <c r="J720" s="51" t="str">
        <f aca="false">IF(OR($V720="",$W720=""),"",ROUND(($W720-$V720)/60,2))</f>
        <v/>
      </c>
      <c r="K720" s="52" t="str">
        <f aca="false">IF($F720="","",LEN($F720)-LEN(SUBSTITUTE($F720,",",""))+1)</f>
        <v/>
      </c>
      <c r="L720" s="45" t="str">
        <f aca="false">IF($K720="","","1:"&amp;$K720)</f>
        <v/>
      </c>
      <c r="M720" s="46"/>
      <c r="N720" s="53"/>
      <c r="O720" s="46"/>
      <c r="P720" s="47"/>
      <c r="Q720" s="48"/>
      <c r="R720" s="49"/>
      <c r="S720" s="54" t="str">
        <f aca="false">IF(OR($AC720=0,$U720="",$M720="",$V720="",$W720=""),"",IF(COUNTIFS(m_teacher,$M720,m_date,$U720,m_active,1,m_start,"&lt;"&amp;$W720,m_end,"&gt;"&amp;$V720)&gt;1,"충돌",""))</f>
        <v/>
      </c>
      <c r="T720" s="48"/>
      <c r="U720" s="55" t="str">
        <f aca="false">IF($G720="","",IFERROR(IF(ISNUMBER($G720),IF($G720&gt;19000000,DATE(INT($G720/10000),MOD(INT($G720/100),100),MOD($G720,100)),INT($G720)),IF(LEN(SUBSTITUTE(SUBSTITUTE(SUBSTITUTE(TRIM($G720),"-",""),".",""),"/",""))=8,DATE(VALUE(LEFT(SUBSTITUTE(SUBSTITUTE(SUBSTITUTE(TRIM($G720),"-",""),".",""),"/",""),4)),VALUE(MID(SUBSTITUTE(SUBSTITUTE(SUBSTITUTE(TRIM($G720),"-",""),".",""),"/",""),5,2)),VALUE(RIGHT(SUBSTITUTE(SUBSTITUTE(SUBSTITUTE(TRIM($G720),"-",""),".",""),"/",""),2))),DATEVALUE($G720))),""))</f>
        <v/>
      </c>
      <c r="V720" s="52" t="str">
        <f aca="false">IF($H720="","",IFERROR(IF(IF(ISNUMBER($H720),$H720,IFERROR(TIMEVALUE($H720),VALUE($H720)))&gt;=100,INT(IF(ISNUMBER($H720),$H720,IFERROR(TIMEVALUE($H720),VALUE($H720)))/100)*60+MOD(IF(ISNUMBER($H720),$H720,IFERROR(TIMEVALUE($H720),VALUE($H720))),100),IF(IF(ISNUMBER($H720),$H720,IFERROR(TIMEVALUE($H720),VALUE($H720)))&gt;=1,ROUND(IF(ISNUMBER($H720),$H720,IFERROR(TIMEVALUE($H720),VALUE($H720)))*60,0),ROUND(MOD(IF(ISNUMBER($H720),$H720,IFERROR(TIMEVALUE($H720),VALUE($H720))),1)*1440,0))),""))</f>
        <v/>
      </c>
      <c r="W720" s="52" t="str">
        <f aca="false">IF($I720="","",IFERROR(IF(IF(ISNUMBER($I720),$I720,IFERROR(TIMEVALUE($I720),VALUE($I720)))&gt;=100,INT(IF(ISNUMBER($I720),$I720,IFERROR(TIMEVALUE($I720),VALUE($I720)))/100)*60+MOD(IF(ISNUMBER($I720),$I720,IFERROR(TIMEVALUE($I720),VALUE($I720))),100),IF(IF(ISNUMBER($I720),$I720,IFERROR(TIMEVALUE($I720),VALUE($I720)))&gt;=1,ROUND(IF(ISNUMBER($I720),$I720,IFERROR(TIMEVALUE($I720),VALUE($I720)))*60,0),ROUND(MOD(IF(ISNUMBER($I720),$I720,IFERROR(TIMEVALUE($I720),VALUE($I720))),1)*1440,0))),""))</f>
        <v/>
      </c>
      <c r="X720" s="55" t="str">
        <f aca="false">IF($P720="","",IFERROR(IF(ISNUMBER($P720),IF($P720&gt;19000000,DATE(INT($P720/10000),MOD(INT($P720/100),100),MOD($P720,100)),INT($P720)),IF(LEN(SUBSTITUTE(SUBSTITUTE(SUBSTITUTE(TRIM($P720),"-",""),".",""),"/",""))=8,DATE(VALUE(LEFT(SUBSTITUTE(SUBSTITUTE(SUBSTITUTE(TRIM($P720),"-",""),".",""),"/",""),4)),VALUE(MID(SUBSTITUTE(SUBSTITUTE(SUBSTITUTE(TRIM($P720),"-",""),".",""),"/",""),5,2)),VALUE(RIGHT(SUBSTITUTE(SUBSTITUTE(SUBSTITUTE(TRIM($P720),"-",""),".",""),"/",""),2))),DATEVALUE($P720))),""))</f>
        <v/>
      </c>
      <c r="Y720" s="56" t="str">
        <f aca="false">IF($M720="","",IFERROR(INDEX(강사DB!$D$4:$D$53,MATCH($M720,강사DB!$A$4:$A$53,0)),""))</f>
        <v/>
      </c>
      <c r="Z720" s="56" t="str">
        <f aca="false">IF($B720&lt;&gt;"결제완료","",IF(OR($Y720="",$J720=""),"",$Y720*$J720+MAX(0,N($K720)-1)*설정!$J$7))</f>
        <v/>
      </c>
      <c r="AA720" s="56" t="str">
        <f aca="false">IF(AND($D720&lt;&gt;"",$B720="결제완료"),N($N720),"")</f>
        <v/>
      </c>
      <c r="AB720" s="45" t="str">
        <f aca="false">IF($D720="","",IF($F720&lt;&gt;"",$F720,$D720)&amp;IF($B720="상담중"," (상담)",""))</f>
        <v/>
      </c>
      <c r="AC720" s="45" t="n">
        <f aca="false">IF(AND($D720&lt;&gt;"",OR($B720="결제완료",$B720="상담중")),1,0)</f>
        <v>0</v>
      </c>
      <c r="AD720" s="45" t="n">
        <f aca="false">IF(OR($Z720="",$U720=""),0,IFERROR(IF(COUNTIFS(INDEX(g_grid,0,2*MATCH($M720,강사DB!$A$4:$A$15,0)),"&lt;&gt;",g_s,"&lt;="&amp;$U720,g_e,"&gt;="&amp;$U720)&gt;0,1,0),0))</f>
        <v>0</v>
      </c>
      <c r="AE720" s="48"/>
      <c r="AF720" s="56" t="str">
        <f aca="false">IF(AND($D720&lt;&gt;"",$B720="결제완료",$T720="대여"),설정!$J$5,"")</f>
        <v/>
      </c>
      <c r="AG720" s="54" t="str">
        <f aca="false">IF($D720="","",IF(AND($E720="",$R720=""),$AB720,"☎ "&amp;IF($E720="","-",$E720)&amp;IF($R720&lt;&gt;"","  ※ "&amp;$R720,"")&amp;IF($B720="상담중"," (상담)","")))</f>
        <v/>
      </c>
      <c r="AH720" s="56" t="str">
        <f aca="false">IF(AND($D720&lt;&gt;"",$B720="결제완료",$O720="스마트스토어"),ROUND(N($N720)*설정!$J$6,0),"")</f>
        <v/>
      </c>
      <c r="AI720" s="54" t="str">
        <f aca="false">IF($D720="","",ROW())</f>
        <v/>
      </c>
      <c r="AJ720" s="54" t="n">
        <f aca="false">IF(OR($AC720&lt;&gt;1,$M720=""),0,IF(ISNUMBER(SEARCH("퇴사",IFERROR(INDEX(강사DB!$G$4:$G$53,MATCH($M720,강사DB!$A$4:$A$53,0)),""))),1,0))</f>
        <v>0</v>
      </c>
    </row>
    <row r="721" customFormat="false" ht="15" hidden="false" customHeight="false" outlineLevel="0" collapsed="false">
      <c r="A721" s="45" t="str">
        <f aca="false">IF($D721="","",COUNTA($D$5:$D721))</f>
        <v/>
      </c>
      <c r="B721" s="46"/>
      <c r="C721" s="47"/>
      <c r="D721" s="48"/>
      <c r="E721" s="48"/>
      <c r="F721" s="49"/>
      <c r="G721" s="47"/>
      <c r="H721" s="50"/>
      <c r="I721" s="50"/>
      <c r="J721" s="51" t="str">
        <f aca="false">IF(OR($V721="",$W721=""),"",ROUND(($W721-$V721)/60,2))</f>
        <v/>
      </c>
      <c r="K721" s="52" t="str">
        <f aca="false">IF($F721="","",LEN($F721)-LEN(SUBSTITUTE($F721,",",""))+1)</f>
        <v/>
      </c>
      <c r="L721" s="45" t="str">
        <f aca="false">IF($K721="","","1:"&amp;$K721)</f>
        <v/>
      </c>
      <c r="M721" s="46"/>
      <c r="N721" s="53"/>
      <c r="O721" s="46"/>
      <c r="P721" s="47"/>
      <c r="Q721" s="48"/>
      <c r="R721" s="49"/>
      <c r="S721" s="54" t="str">
        <f aca="false">IF(OR($AC721=0,$U721="",$M721="",$V721="",$W721=""),"",IF(COUNTIFS(m_teacher,$M721,m_date,$U721,m_active,1,m_start,"&lt;"&amp;$W721,m_end,"&gt;"&amp;$V721)&gt;1,"충돌",""))</f>
        <v/>
      </c>
      <c r="T721" s="48"/>
      <c r="U721" s="55" t="str">
        <f aca="false">IF($G721="","",IFERROR(IF(ISNUMBER($G721),IF($G721&gt;19000000,DATE(INT($G721/10000),MOD(INT($G721/100),100),MOD($G721,100)),INT($G721)),IF(LEN(SUBSTITUTE(SUBSTITUTE(SUBSTITUTE(TRIM($G721),"-",""),".",""),"/",""))=8,DATE(VALUE(LEFT(SUBSTITUTE(SUBSTITUTE(SUBSTITUTE(TRIM($G721),"-",""),".",""),"/",""),4)),VALUE(MID(SUBSTITUTE(SUBSTITUTE(SUBSTITUTE(TRIM($G721),"-",""),".",""),"/",""),5,2)),VALUE(RIGHT(SUBSTITUTE(SUBSTITUTE(SUBSTITUTE(TRIM($G721),"-",""),".",""),"/",""),2))),DATEVALUE($G721))),""))</f>
        <v/>
      </c>
      <c r="V721" s="52" t="str">
        <f aca="false">IF($H721="","",IFERROR(IF(IF(ISNUMBER($H721),$H721,IFERROR(TIMEVALUE($H721),VALUE($H721)))&gt;=100,INT(IF(ISNUMBER($H721),$H721,IFERROR(TIMEVALUE($H721),VALUE($H721)))/100)*60+MOD(IF(ISNUMBER($H721),$H721,IFERROR(TIMEVALUE($H721),VALUE($H721))),100),IF(IF(ISNUMBER($H721),$H721,IFERROR(TIMEVALUE($H721),VALUE($H721)))&gt;=1,ROUND(IF(ISNUMBER($H721),$H721,IFERROR(TIMEVALUE($H721),VALUE($H721)))*60,0),ROUND(MOD(IF(ISNUMBER($H721),$H721,IFERROR(TIMEVALUE($H721),VALUE($H721))),1)*1440,0))),""))</f>
        <v/>
      </c>
      <c r="W721" s="52" t="str">
        <f aca="false">IF($I721="","",IFERROR(IF(IF(ISNUMBER($I721),$I721,IFERROR(TIMEVALUE($I721),VALUE($I721)))&gt;=100,INT(IF(ISNUMBER($I721),$I721,IFERROR(TIMEVALUE($I721),VALUE($I721)))/100)*60+MOD(IF(ISNUMBER($I721),$I721,IFERROR(TIMEVALUE($I721),VALUE($I721))),100),IF(IF(ISNUMBER($I721),$I721,IFERROR(TIMEVALUE($I721),VALUE($I721)))&gt;=1,ROUND(IF(ISNUMBER($I721),$I721,IFERROR(TIMEVALUE($I721),VALUE($I721)))*60,0),ROUND(MOD(IF(ISNUMBER($I721),$I721,IFERROR(TIMEVALUE($I721),VALUE($I721))),1)*1440,0))),""))</f>
        <v/>
      </c>
      <c r="X721" s="55" t="str">
        <f aca="false">IF($P721="","",IFERROR(IF(ISNUMBER($P721),IF($P721&gt;19000000,DATE(INT($P721/10000),MOD(INT($P721/100),100),MOD($P721,100)),INT($P721)),IF(LEN(SUBSTITUTE(SUBSTITUTE(SUBSTITUTE(TRIM($P721),"-",""),".",""),"/",""))=8,DATE(VALUE(LEFT(SUBSTITUTE(SUBSTITUTE(SUBSTITUTE(TRIM($P721),"-",""),".",""),"/",""),4)),VALUE(MID(SUBSTITUTE(SUBSTITUTE(SUBSTITUTE(TRIM($P721),"-",""),".",""),"/",""),5,2)),VALUE(RIGHT(SUBSTITUTE(SUBSTITUTE(SUBSTITUTE(TRIM($P721),"-",""),".",""),"/",""),2))),DATEVALUE($P721))),""))</f>
        <v/>
      </c>
      <c r="Y721" s="56" t="str">
        <f aca="false">IF($M721="","",IFERROR(INDEX(강사DB!$D$4:$D$53,MATCH($M721,강사DB!$A$4:$A$53,0)),""))</f>
        <v/>
      </c>
      <c r="Z721" s="56" t="str">
        <f aca="false">IF($B721&lt;&gt;"결제완료","",IF(OR($Y721="",$J721=""),"",$Y721*$J721+MAX(0,N($K721)-1)*설정!$J$7))</f>
        <v/>
      </c>
      <c r="AA721" s="56" t="str">
        <f aca="false">IF(AND($D721&lt;&gt;"",$B721="결제완료"),N($N721),"")</f>
        <v/>
      </c>
      <c r="AB721" s="45" t="str">
        <f aca="false">IF($D721="","",IF($F721&lt;&gt;"",$F721,$D721)&amp;IF($B721="상담중"," (상담)",""))</f>
        <v/>
      </c>
      <c r="AC721" s="45" t="n">
        <f aca="false">IF(AND($D721&lt;&gt;"",OR($B721="결제완료",$B721="상담중")),1,0)</f>
        <v>0</v>
      </c>
      <c r="AD721" s="45" t="n">
        <f aca="false">IF(OR($Z721="",$U721=""),0,IFERROR(IF(COUNTIFS(INDEX(g_grid,0,2*MATCH($M721,강사DB!$A$4:$A$15,0)),"&lt;&gt;",g_s,"&lt;="&amp;$U721,g_e,"&gt;="&amp;$U721)&gt;0,1,0),0))</f>
        <v>0</v>
      </c>
      <c r="AE721" s="48"/>
      <c r="AF721" s="56" t="str">
        <f aca="false">IF(AND($D721&lt;&gt;"",$B721="결제완료",$T721="대여"),설정!$J$5,"")</f>
        <v/>
      </c>
      <c r="AG721" s="54" t="str">
        <f aca="false">IF($D721="","",IF(AND($E721="",$R721=""),$AB721,"☎ "&amp;IF($E721="","-",$E721)&amp;IF($R721&lt;&gt;"","  ※ "&amp;$R721,"")&amp;IF($B721="상담중"," (상담)","")))</f>
        <v/>
      </c>
      <c r="AH721" s="56" t="str">
        <f aca="false">IF(AND($D721&lt;&gt;"",$B721="결제완료",$O721="스마트스토어"),ROUND(N($N721)*설정!$J$6,0),"")</f>
        <v/>
      </c>
      <c r="AI721" s="54" t="str">
        <f aca="false">IF($D721="","",ROW())</f>
        <v/>
      </c>
      <c r="AJ721" s="54" t="n">
        <f aca="false">IF(OR($AC721&lt;&gt;1,$M721=""),0,IF(ISNUMBER(SEARCH("퇴사",IFERROR(INDEX(강사DB!$G$4:$G$53,MATCH($M721,강사DB!$A$4:$A$53,0)),""))),1,0))</f>
        <v>0</v>
      </c>
    </row>
    <row r="722" customFormat="false" ht="15" hidden="false" customHeight="false" outlineLevel="0" collapsed="false">
      <c r="A722" s="45" t="str">
        <f aca="false">IF($D722="","",COUNTA($D$5:$D722))</f>
        <v/>
      </c>
      <c r="B722" s="46"/>
      <c r="C722" s="47"/>
      <c r="D722" s="48"/>
      <c r="E722" s="48"/>
      <c r="F722" s="49"/>
      <c r="G722" s="47"/>
      <c r="H722" s="50"/>
      <c r="I722" s="50"/>
      <c r="J722" s="51" t="str">
        <f aca="false">IF(OR($V722="",$W722=""),"",ROUND(($W722-$V722)/60,2))</f>
        <v/>
      </c>
      <c r="K722" s="52" t="str">
        <f aca="false">IF($F722="","",LEN($F722)-LEN(SUBSTITUTE($F722,",",""))+1)</f>
        <v/>
      </c>
      <c r="L722" s="45" t="str">
        <f aca="false">IF($K722="","","1:"&amp;$K722)</f>
        <v/>
      </c>
      <c r="M722" s="46"/>
      <c r="N722" s="53"/>
      <c r="O722" s="46"/>
      <c r="P722" s="47"/>
      <c r="Q722" s="48"/>
      <c r="R722" s="49"/>
      <c r="S722" s="54" t="str">
        <f aca="false">IF(OR($AC722=0,$U722="",$M722="",$V722="",$W722=""),"",IF(COUNTIFS(m_teacher,$M722,m_date,$U722,m_active,1,m_start,"&lt;"&amp;$W722,m_end,"&gt;"&amp;$V722)&gt;1,"충돌",""))</f>
        <v/>
      </c>
      <c r="T722" s="48"/>
      <c r="U722" s="55" t="str">
        <f aca="false">IF($G722="","",IFERROR(IF(ISNUMBER($G722),IF($G722&gt;19000000,DATE(INT($G722/10000),MOD(INT($G722/100),100),MOD($G722,100)),INT($G722)),IF(LEN(SUBSTITUTE(SUBSTITUTE(SUBSTITUTE(TRIM($G722),"-",""),".",""),"/",""))=8,DATE(VALUE(LEFT(SUBSTITUTE(SUBSTITUTE(SUBSTITUTE(TRIM($G722),"-",""),".",""),"/",""),4)),VALUE(MID(SUBSTITUTE(SUBSTITUTE(SUBSTITUTE(TRIM($G722),"-",""),".",""),"/",""),5,2)),VALUE(RIGHT(SUBSTITUTE(SUBSTITUTE(SUBSTITUTE(TRIM($G722),"-",""),".",""),"/",""),2))),DATEVALUE($G722))),""))</f>
        <v/>
      </c>
      <c r="V722" s="52" t="str">
        <f aca="false">IF($H722="","",IFERROR(IF(IF(ISNUMBER($H722),$H722,IFERROR(TIMEVALUE($H722),VALUE($H722)))&gt;=100,INT(IF(ISNUMBER($H722),$H722,IFERROR(TIMEVALUE($H722),VALUE($H722)))/100)*60+MOD(IF(ISNUMBER($H722),$H722,IFERROR(TIMEVALUE($H722),VALUE($H722))),100),IF(IF(ISNUMBER($H722),$H722,IFERROR(TIMEVALUE($H722),VALUE($H722)))&gt;=1,ROUND(IF(ISNUMBER($H722),$H722,IFERROR(TIMEVALUE($H722),VALUE($H722)))*60,0),ROUND(MOD(IF(ISNUMBER($H722),$H722,IFERROR(TIMEVALUE($H722),VALUE($H722))),1)*1440,0))),""))</f>
        <v/>
      </c>
      <c r="W722" s="52" t="str">
        <f aca="false">IF($I722="","",IFERROR(IF(IF(ISNUMBER($I722),$I722,IFERROR(TIMEVALUE($I722),VALUE($I722)))&gt;=100,INT(IF(ISNUMBER($I722),$I722,IFERROR(TIMEVALUE($I722),VALUE($I722)))/100)*60+MOD(IF(ISNUMBER($I722),$I722,IFERROR(TIMEVALUE($I722),VALUE($I722))),100),IF(IF(ISNUMBER($I722),$I722,IFERROR(TIMEVALUE($I722),VALUE($I722)))&gt;=1,ROUND(IF(ISNUMBER($I722),$I722,IFERROR(TIMEVALUE($I722),VALUE($I722)))*60,0),ROUND(MOD(IF(ISNUMBER($I722),$I722,IFERROR(TIMEVALUE($I722),VALUE($I722))),1)*1440,0))),""))</f>
        <v/>
      </c>
      <c r="X722" s="55" t="str">
        <f aca="false">IF($P722="","",IFERROR(IF(ISNUMBER($P722),IF($P722&gt;19000000,DATE(INT($P722/10000),MOD(INT($P722/100),100),MOD($P722,100)),INT($P722)),IF(LEN(SUBSTITUTE(SUBSTITUTE(SUBSTITUTE(TRIM($P722),"-",""),".",""),"/",""))=8,DATE(VALUE(LEFT(SUBSTITUTE(SUBSTITUTE(SUBSTITUTE(TRIM($P722),"-",""),".",""),"/",""),4)),VALUE(MID(SUBSTITUTE(SUBSTITUTE(SUBSTITUTE(TRIM($P722),"-",""),".",""),"/",""),5,2)),VALUE(RIGHT(SUBSTITUTE(SUBSTITUTE(SUBSTITUTE(TRIM($P722),"-",""),".",""),"/",""),2))),DATEVALUE($P722))),""))</f>
        <v/>
      </c>
      <c r="Y722" s="56" t="str">
        <f aca="false">IF($M722="","",IFERROR(INDEX(강사DB!$D$4:$D$53,MATCH($M722,강사DB!$A$4:$A$53,0)),""))</f>
        <v/>
      </c>
      <c r="Z722" s="56" t="str">
        <f aca="false">IF($B722&lt;&gt;"결제완료","",IF(OR($Y722="",$J722=""),"",$Y722*$J722+MAX(0,N($K722)-1)*설정!$J$7))</f>
        <v/>
      </c>
      <c r="AA722" s="56" t="str">
        <f aca="false">IF(AND($D722&lt;&gt;"",$B722="결제완료"),N($N722),"")</f>
        <v/>
      </c>
      <c r="AB722" s="45" t="str">
        <f aca="false">IF($D722="","",IF($F722&lt;&gt;"",$F722,$D722)&amp;IF($B722="상담중"," (상담)",""))</f>
        <v/>
      </c>
      <c r="AC722" s="45" t="n">
        <f aca="false">IF(AND($D722&lt;&gt;"",OR($B722="결제완료",$B722="상담중")),1,0)</f>
        <v>0</v>
      </c>
      <c r="AD722" s="45" t="n">
        <f aca="false">IF(OR($Z722="",$U722=""),0,IFERROR(IF(COUNTIFS(INDEX(g_grid,0,2*MATCH($M722,강사DB!$A$4:$A$15,0)),"&lt;&gt;",g_s,"&lt;="&amp;$U722,g_e,"&gt;="&amp;$U722)&gt;0,1,0),0))</f>
        <v>0</v>
      </c>
      <c r="AE722" s="48"/>
      <c r="AF722" s="56" t="str">
        <f aca="false">IF(AND($D722&lt;&gt;"",$B722="결제완료",$T722="대여"),설정!$J$5,"")</f>
        <v/>
      </c>
      <c r="AG722" s="54" t="str">
        <f aca="false">IF($D722="","",IF(AND($E722="",$R722=""),$AB722,"☎ "&amp;IF($E722="","-",$E722)&amp;IF($R722&lt;&gt;"","  ※ "&amp;$R722,"")&amp;IF($B722="상담중"," (상담)","")))</f>
        <v/>
      </c>
      <c r="AH722" s="56" t="str">
        <f aca="false">IF(AND($D722&lt;&gt;"",$B722="결제완료",$O722="스마트스토어"),ROUND(N($N722)*설정!$J$6,0),"")</f>
        <v/>
      </c>
      <c r="AI722" s="54" t="str">
        <f aca="false">IF($D722="","",ROW())</f>
        <v/>
      </c>
      <c r="AJ722" s="54" t="n">
        <f aca="false">IF(OR($AC722&lt;&gt;1,$M722=""),0,IF(ISNUMBER(SEARCH("퇴사",IFERROR(INDEX(강사DB!$G$4:$G$53,MATCH($M722,강사DB!$A$4:$A$53,0)),""))),1,0))</f>
        <v>0</v>
      </c>
    </row>
    <row r="723" customFormat="false" ht="15" hidden="false" customHeight="false" outlineLevel="0" collapsed="false">
      <c r="A723" s="45" t="str">
        <f aca="false">IF($D723="","",COUNTA($D$5:$D723))</f>
        <v/>
      </c>
      <c r="B723" s="46"/>
      <c r="C723" s="47"/>
      <c r="D723" s="48"/>
      <c r="E723" s="48"/>
      <c r="F723" s="49"/>
      <c r="G723" s="47"/>
      <c r="H723" s="50"/>
      <c r="I723" s="50"/>
      <c r="J723" s="51" t="str">
        <f aca="false">IF(OR($V723="",$W723=""),"",ROUND(($W723-$V723)/60,2))</f>
        <v/>
      </c>
      <c r="K723" s="52" t="str">
        <f aca="false">IF($F723="","",LEN($F723)-LEN(SUBSTITUTE($F723,",",""))+1)</f>
        <v/>
      </c>
      <c r="L723" s="45" t="str">
        <f aca="false">IF($K723="","","1:"&amp;$K723)</f>
        <v/>
      </c>
      <c r="M723" s="46"/>
      <c r="N723" s="53"/>
      <c r="O723" s="46"/>
      <c r="P723" s="47"/>
      <c r="Q723" s="48"/>
      <c r="R723" s="49"/>
      <c r="S723" s="54" t="str">
        <f aca="false">IF(OR($AC723=0,$U723="",$M723="",$V723="",$W723=""),"",IF(COUNTIFS(m_teacher,$M723,m_date,$U723,m_active,1,m_start,"&lt;"&amp;$W723,m_end,"&gt;"&amp;$V723)&gt;1,"충돌",""))</f>
        <v/>
      </c>
      <c r="T723" s="48"/>
      <c r="U723" s="55" t="str">
        <f aca="false">IF($G723="","",IFERROR(IF(ISNUMBER($G723),IF($G723&gt;19000000,DATE(INT($G723/10000),MOD(INT($G723/100),100),MOD($G723,100)),INT($G723)),IF(LEN(SUBSTITUTE(SUBSTITUTE(SUBSTITUTE(TRIM($G723),"-",""),".",""),"/",""))=8,DATE(VALUE(LEFT(SUBSTITUTE(SUBSTITUTE(SUBSTITUTE(TRIM($G723),"-",""),".",""),"/",""),4)),VALUE(MID(SUBSTITUTE(SUBSTITUTE(SUBSTITUTE(TRIM($G723),"-",""),".",""),"/",""),5,2)),VALUE(RIGHT(SUBSTITUTE(SUBSTITUTE(SUBSTITUTE(TRIM($G723),"-",""),".",""),"/",""),2))),DATEVALUE($G723))),""))</f>
        <v/>
      </c>
      <c r="V723" s="52" t="str">
        <f aca="false">IF($H723="","",IFERROR(IF(IF(ISNUMBER($H723),$H723,IFERROR(TIMEVALUE($H723),VALUE($H723)))&gt;=100,INT(IF(ISNUMBER($H723),$H723,IFERROR(TIMEVALUE($H723),VALUE($H723)))/100)*60+MOD(IF(ISNUMBER($H723),$H723,IFERROR(TIMEVALUE($H723),VALUE($H723))),100),IF(IF(ISNUMBER($H723),$H723,IFERROR(TIMEVALUE($H723),VALUE($H723)))&gt;=1,ROUND(IF(ISNUMBER($H723),$H723,IFERROR(TIMEVALUE($H723),VALUE($H723)))*60,0),ROUND(MOD(IF(ISNUMBER($H723),$H723,IFERROR(TIMEVALUE($H723),VALUE($H723))),1)*1440,0))),""))</f>
        <v/>
      </c>
      <c r="W723" s="52" t="str">
        <f aca="false">IF($I723="","",IFERROR(IF(IF(ISNUMBER($I723),$I723,IFERROR(TIMEVALUE($I723),VALUE($I723)))&gt;=100,INT(IF(ISNUMBER($I723),$I723,IFERROR(TIMEVALUE($I723),VALUE($I723)))/100)*60+MOD(IF(ISNUMBER($I723),$I723,IFERROR(TIMEVALUE($I723),VALUE($I723))),100),IF(IF(ISNUMBER($I723),$I723,IFERROR(TIMEVALUE($I723),VALUE($I723)))&gt;=1,ROUND(IF(ISNUMBER($I723),$I723,IFERROR(TIMEVALUE($I723),VALUE($I723)))*60,0),ROUND(MOD(IF(ISNUMBER($I723),$I723,IFERROR(TIMEVALUE($I723),VALUE($I723))),1)*1440,0))),""))</f>
        <v/>
      </c>
      <c r="X723" s="55" t="str">
        <f aca="false">IF($P723="","",IFERROR(IF(ISNUMBER($P723),IF($P723&gt;19000000,DATE(INT($P723/10000),MOD(INT($P723/100),100),MOD($P723,100)),INT($P723)),IF(LEN(SUBSTITUTE(SUBSTITUTE(SUBSTITUTE(TRIM($P723),"-",""),".",""),"/",""))=8,DATE(VALUE(LEFT(SUBSTITUTE(SUBSTITUTE(SUBSTITUTE(TRIM($P723),"-",""),".",""),"/",""),4)),VALUE(MID(SUBSTITUTE(SUBSTITUTE(SUBSTITUTE(TRIM($P723),"-",""),".",""),"/",""),5,2)),VALUE(RIGHT(SUBSTITUTE(SUBSTITUTE(SUBSTITUTE(TRIM($P723),"-",""),".",""),"/",""),2))),DATEVALUE($P723))),""))</f>
        <v/>
      </c>
      <c r="Y723" s="56" t="str">
        <f aca="false">IF($M723="","",IFERROR(INDEX(강사DB!$D$4:$D$53,MATCH($M723,강사DB!$A$4:$A$53,0)),""))</f>
        <v/>
      </c>
      <c r="Z723" s="56" t="str">
        <f aca="false">IF($B723&lt;&gt;"결제완료","",IF(OR($Y723="",$J723=""),"",$Y723*$J723+MAX(0,N($K723)-1)*설정!$J$7))</f>
        <v/>
      </c>
      <c r="AA723" s="56" t="str">
        <f aca="false">IF(AND($D723&lt;&gt;"",$B723="결제완료"),N($N723),"")</f>
        <v/>
      </c>
      <c r="AB723" s="45" t="str">
        <f aca="false">IF($D723="","",IF($F723&lt;&gt;"",$F723,$D723)&amp;IF($B723="상담중"," (상담)",""))</f>
        <v/>
      </c>
      <c r="AC723" s="45" t="n">
        <f aca="false">IF(AND($D723&lt;&gt;"",OR($B723="결제완료",$B723="상담중")),1,0)</f>
        <v>0</v>
      </c>
      <c r="AD723" s="45" t="n">
        <f aca="false">IF(OR($Z723="",$U723=""),0,IFERROR(IF(COUNTIFS(INDEX(g_grid,0,2*MATCH($M723,강사DB!$A$4:$A$15,0)),"&lt;&gt;",g_s,"&lt;="&amp;$U723,g_e,"&gt;="&amp;$U723)&gt;0,1,0),0))</f>
        <v>0</v>
      </c>
      <c r="AE723" s="48"/>
      <c r="AF723" s="56" t="str">
        <f aca="false">IF(AND($D723&lt;&gt;"",$B723="결제완료",$T723="대여"),설정!$J$5,"")</f>
        <v/>
      </c>
      <c r="AG723" s="54" t="str">
        <f aca="false">IF($D723="","",IF(AND($E723="",$R723=""),$AB723,"☎ "&amp;IF($E723="","-",$E723)&amp;IF($R723&lt;&gt;"","  ※ "&amp;$R723,"")&amp;IF($B723="상담중"," (상담)","")))</f>
        <v/>
      </c>
      <c r="AH723" s="56" t="str">
        <f aca="false">IF(AND($D723&lt;&gt;"",$B723="결제완료",$O723="스마트스토어"),ROUND(N($N723)*설정!$J$6,0),"")</f>
        <v/>
      </c>
      <c r="AI723" s="54" t="str">
        <f aca="false">IF($D723="","",ROW())</f>
        <v/>
      </c>
      <c r="AJ723" s="54" t="n">
        <f aca="false">IF(OR($AC723&lt;&gt;1,$M723=""),0,IF(ISNUMBER(SEARCH("퇴사",IFERROR(INDEX(강사DB!$G$4:$G$53,MATCH($M723,강사DB!$A$4:$A$53,0)),""))),1,0))</f>
        <v>0</v>
      </c>
    </row>
    <row r="724" customFormat="false" ht="15" hidden="false" customHeight="false" outlineLevel="0" collapsed="false">
      <c r="A724" s="45" t="str">
        <f aca="false">IF($D724="","",COUNTA($D$5:$D724))</f>
        <v/>
      </c>
      <c r="B724" s="46"/>
      <c r="C724" s="47"/>
      <c r="D724" s="48"/>
      <c r="E724" s="48"/>
      <c r="F724" s="49"/>
      <c r="G724" s="47"/>
      <c r="H724" s="50"/>
      <c r="I724" s="50"/>
      <c r="J724" s="51" t="str">
        <f aca="false">IF(OR($V724="",$W724=""),"",ROUND(($W724-$V724)/60,2))</f>
        <v/>
      </c>
      <c r="K724" s="52" t="str">
        <f aca="false">IF($F724="","",LEN($F724)-LEN(SUBSTITUTE($F724,",",""))+1)</f>
        <v/>
      </c>
      <c r="L724" s="45" t="str">
        <f aca="false">IF($K724="","","1:"&amp;$K724)</f>
        <v/>
      </c>
      <c r="M724" s="46"/>
      <c r="N724" s="53"/>
      <c r="O724" s="46"/>
      <c r="P724" s="47"/>
      <c r="Q724" s="48"/>
      <c r="R724" s="49"/>
      <c r="S724" s="54" t="str">
        <f aca="false">IF(OR($AC724=0,$U724="",$M724="",$V724="",$W724=""),"",IF(COUNTIFS(m_teacher,$M724,m_date,$U724,m_active,1,m_start,"&lt;"&amp;$W724,m_end,"&gt;"&amp;$V724)&gt;1,"충돌",""))</f>
        <v/>
      </c>
      <c r="T724" s="48"/>
      <c r="U724" s="55" t="str">
        <f aca="false">IF($G724="","",IFERROR(IF(ISNUMBER($G724),IF($G724&gt;19000000,DATE(INT($G724/10000),MOD(INT($G724/100),100),MOD($G724,100)),INT($G724)),IF(LEN(SUBSTITUTE(SUBSTITUTE(SUBSTITUTE(TRIM($G724),"-",""),".",""),"/",""))=8,DATE(VALUE(LEFT(SUBSTITUTE(SUBSTITUTE(SUBSTITUTE(TRIM($G724),"-",""),".",""),"/",""),4)),VALUE(MID(SUBSTITUTE(SUBSTITUTE(SUBSTITUTE(TRIM($G724),"-",""),".",""),"/",""),5,2)),VALUE(RIGHT(SUBSTITUTE(SUBSTITUTE(SUBSTITUTE(TRIM($G724),"-",""),".",""),"/",""),2))),DATEVALUE($G724))),""))</f>
        <v/>
      </c>
      <c r="V724" s="52" t="str">
        <f aca="false">IF($H724="","",IFERROR(IF(IF(ISNUMBER($H724),$H724,IFERROR(TIMEVALUE($H724),VALUE($H724)))&gt;=100,INT(IF(ISNUMBER($H724),$H724,IFERROR(TIMEVALUE($H724),VALUE($H724)))/100)*60+MOD(IF(ISNUMBER($H724),$H724,IFERROR(TIMEVALUE($H724),VALUE($H724))),100),IF(IF(ISNUMBER($H724),$H724,IFERROR(TIMEVALUE($H724),VALUE($H724)))&gt;=1,ROUND(IF(ISNUMBER($H724),$H724,IFERROR(TIMEVALUE($H724),VALUE($H724)))*60,0),ROUND(MOD(IF(ISNUMBER($H724),$H724,IFERROR(TIMEVALUE($H724),VALUE($H724))),1)*1440,0))),""))</f>
        <v/>
      </c>
      <c r="W724" s="52" t="str">
        <f aca="false">IF($I724="","",IFERROR(IF(IF(ISNUMBER($I724),$I724,IFERROR(TIMEVALUE($I724),VALUE($I724)))&gt;=100,INT(IF(ISNUMBER($I724),$I724,IFERROR(TIMEVALUE($I724),VALUE($I724)))/100)*60+MOD(IF(ISNUMBER($I724),$I724,IFERROR(TIMEVALUE($I724),VALUE($I724))),100),IF(IF(ISNUMBER($I724),$I724,IFERROR(TIMEVALUE($I724),VALUE($I724)))&gt;=1,ROUND(IF(ISNUMBER($I724),$I724,IFERROR(TIMEVALUE($I724),VALUE($I724)))*60,0),ROUND(MOD(IF(ISNUMBER($I724),$I724,IFERROR(TIMEVALUE($I724),VALUE($I724))),1)*1440,0))),""))</f>
        <v/>
      </c>
      <c r="X724" s="55" t="str">
        <f aca="false">IF($P724="","",IFERROR(IF(ISNUMBER($P724),IF($P724&gt;19000000,DATE(INT($P724/10000),MOD(INT($P724/100),100),MOD($P724,100)),INT($P724)),IF(LEN(SUBSTITUTE(SUBSTITUTE(SUBSTITUTE(TRIM($P724),"-",""),".",""),"/",""))=8,DATE(VALUE(LEFT(SUBSTITUTE(SUBSTITUTE(SUBSTITUTE(TRIM($P724),"-",""),".",""),"/",""),4)),VALUE(MID(SUBSTITUTE(SUBSTITUTE(SUBSTITUTE(TRIM($P724),"-",""),".",""),"/",""),5,2)),VALUE(RIGHT(SUBSTITUTE(SUBSTITUTE(SUBSTITUTE(TRIM($P724),"-",""),".",""),"/",""),2))),DATEVALUE($P724))),""))</f>
        <v/>
      </c>
      <c r="Y724" s="56" t="str">
        <f aca="false">IF($M724="","",IFERROR(INDEX(강사DB!$D$4:$D$53,MATCH($M724,강사DB!$A$4:$A$53,0)),""))</f>
        <v/>
      </c>
      <c r="Z724" s="56" t="str">
        <f aca="false">IF($B724&lt;&gt;"결제완료","",IF(OR($Y724="",$J724=""),"",$Y724*$J724+MAX(0,N($K724)-1)*설정!$J$7))</f>
        <v/>
      </c>
      <c r="AA724" s="56" t="str">
        <f aca="false">IF(AND($D724&lt;&gt;"",$B724="결제완료"),N($N724),"")</f>
        <v/>
      </c>
      <c r="AB724" s="45" t="str">
        <f aca="false">IF($D724="","",IF($F724&lt;&gt;"",$F724,$D724)&amp;IF($B724="상담중"," (상담)",""))</f>
        <v/>
      </c>
      <c r="AC724" s="45" t="n">
        <f aca="false">IF(AND($D724&lt;&gt;"",OR($B724="결제완료",$B724="상담중")),1,0)</f>
        <v>0</v>
      </c>
      <c r="AD724" s="45" t="n">
        <f aca="false">IF(OR($Z724="",$U724=""),0,IFERROR(IF(COUNTIFS(INDEX(g_grid,0,2*MATCH($M724,강사DB!$A$4:$A$15,0)),"&lt;&gt;",g_s,"&lt;="&amp;$U724,g_e,"&gt;="&amp;$U724)&gt;0,1,0),0))</f>
        <v>0</v>
      </c>
      <c r="AE724" s="48"/>
      <c r="AF724" s="56" t="str">
        <f aca="false">IF(AND($D724&lt;&gt;"",$B724="결제완료",$T724="대여"),설정!$J$5,"")</f>
        <v/>
      </c>
      <c r="AG724" s="54" t="str">
        <f aca="false">IF($D724="","",IF(AND($E724="",$R724=""),$AB724,"☎ "&amp;IF($E724="","-",$E724)&amp;IF($R724&lt;&gt;"","  ※ "&amp;$R724,"")&amp;IF($B724="상담중"," (상담)","")))</f>
        <v/>
      </c>
      <c r="AH724" s="56" t="str">
        <f aca="false">IF(AND($D724&lt;&gt;"",$B724="결제완료",$O724="스마트스토어"),ROUND(N($N724)*설정!$J$6,0),"")</f>
        <v/>
      </c>
      <c r="AI724" s="54" t="str">
        <f aca="false">IF($D724="","",ROW())</f>
        <v/>
      </c>
      <c r="AJ724" s="54" t="n">
        <f aca="false">IF(OR($AC724&lt;&gt;1,$M724=""),0,IF(ISNUMBER(SEARCH("퇴사",IFERROR(INDEX(강사DB!$G$4:$G$53,MATCH($M724,강사DB!$A$4:$A$53,0)),""))),1,0))</f>
        <v>0</v>
      </c>
    </row>
    <row r="725" customFormat="false" ht="15" hidden="false" customHeight="false" outlineLevel="0" collapsed="false">
      <c r="A725" s="45" t="str">
        <f aca="false">IF($D725="","",COUNTA($D$5:$D725))</f>
        <v/>
      </c>
      <c r="B725" s="46"/>
      <c r="C725" s="47"/>
      <c r="D725" s="48"/>
      <c r="E725" s="48"/>
      <c r="F725" s="49"/>
      <c r="G725" s="47"/>
      <c r="H725" s="50"/>
      <c r="I725" s="50"/>
      <c r="J725" s="51" t="str">
        <f aca="false">IF(OR($V725="",$W725=""),"",ROUND(($W725-$V725)/60,2))</f>
        <v/>
      </c>
      <c r="K725" s="52" t="str">
        <f aca="false">IF($F725="","",LEN($F725)-LEN(SUBSTITUTE($F725,",",""))+1)</f>
        <v/>
      </c>
      <c r="L725" s="45" t="str">
        <f aca="false">IF($K725="","","1:"&amp;$K725)</f>
        <v/>
      </c>
      <c r="M725" s="46"/>
      <c r="N725" s="53"/>
      <c r="O725" s="46"/>
      <c r="P725" s="47"/>
      <c r="Q725" s="48"/>
      <c r="R725" s="49"/>
      <c r="S725" s="54" t="str">
        <f aca="false">IF(OR($AC725=0,$U725="",$M725="",$V725="",$W725=""),"",IF(COUNTIFS(m_teacher,$M725,m_date,$U725,m_active,1,m_start,"&lt;"&amp;$W725,m_end,"&gt;"&amp;$V725)&gt;1,"충돌",""))</f>
        <v/>
      </c>
      <c r="T725" s="48"/>
      <c r="U725" s="55" t="str">
        <f aca="false">IF($G725="","",IFERROR(IF(ISNUMBER($G725),IF($G725&gt;19000000,DATE(INT($G725/10000),MOD(INT($G725/100),100),MOD($G725,100)),INT($G725)),IF(LEN(SUBSTITUTE(SUBSTITUTE(SUBSTITUTE(TRIM($G725),"-",""),".",""),"/",""))=8,DATE(VALUE(LEFT(SUBSTITUTE(SUBSTITUTE(SUBSTITUTE(TRIM($G725),"-",""),".",""),"/",""),4)),VALUE(MID(SUBSTITUTE(SUBSTITUTE(SUBSTITUTE(TRIM($G725),"-",""),".",""),"/",""),5,2)),VALUE(RIGHT(SUBSTITUTE(SUBSTITUTE(SUBSTITUTE(TRIM($G725),"-",""),".",""),"/",""),2))),DATEVALUE($G725))),""))</f>
        <v/>
      </c>
      <c r="V725" s="52" t="str">
        <f aca="false">IF($H725="","",IFERROR(IF(IF(ISNUMBER($H725),$H725,IFERROR(TIMEVALUE($H725),VALUE($H725)))&gt;=100,INT(IF(ISNUMBER($H725),$H725,IFERROR(TIMEVALUE($H725),VALUE($H725)))/100)*60+MOD(IF(ISNUMBER($H725),$H725,IFERROR(TIMEVALUE($H725),VALUE($H725))),100),IF(IF(ISNUMBER($H725),$H725,IFERROR(TIMEVALUE($H725),VALUE($H725)))&gt;=1,ROUND(IF(ISNUMBER($H725),$H725,IFERROR(TIMEVALUE($H725),VALUE($H725)))*60,0),ROUND(MOD(IF(ISNUMBER($H725),$H725,IFERROR(TIMEVALUE($H725),VALUE($H725))),1)*1440,0))),""))</f>
        <v/>
      </c>
      <c r="W725" s="52" t="str">
        <f aca="false">IF($I725="","",IFERROR(IF(IF(ISNUMBER($I725),$I725,IFERROR(TIMEVALUE($I725),VALUE($I725)))&gt;=100,INT(IF(ISNUMBER($I725),$I725,IFERROR(TIMEVALUE($I725),VALUE($I725)))/100)*60+MOD(IF(ISNUMBER($I725),$I725,IFERROR(TIMEVALUE($I725),VALUE($I725))),100),IF(IF(ISNUMBER($I725),$I725,IFERROR(TIMEVALUE($I725),VALUE($I725)))&gt;=1,ROUND(IF(ISNUMBER($I725),$I725,IFERROR(TIMEVALUE($I725),VALUE($I725)))*60,0),ROUND(MOD(IF(ISNUMBER($I725),$I725,IFERROR(TIMEVALUE($I725),VALUE($I725))),1)*1440,0))),""))</f>
        <v/>
      </c>
      <c r="X725" s="55" t="str">
        <f aca="false">IF($P725="","",IFERROR(IF(ISNUMBER($P725),IF($P725&gt;19000000,DATE(INT($P725/10000),MOD(INT($P725/100),100),MOD($P725,100)),INT($P725)),IF(LEN(SUBSTITUTE(SUBSTITUTE(SUBSTITUTE(TRIM($P725),"-",""),".",""),"/",""))=8,DATE(VALUE(LEFT(SUBSTITUTE(SUBSTITUTE(SUBSTITUTE(TRIM($P725),"-",""),".",""),"/",""),4)),VALUE(MID(SUBSTITUTE(SUBSTITUTE(SUBSTITUTE(TRIM($P725),"-",""),".",""),"/",""),5,2)),VALUE(RIGHT(SUBSTITUTE(SUBSTITUTE(SUBSTITUTE(TRIM($P725),"-",""),".",""),"/",""),2))),DATEVALUE($P725))),""))</f>
        <v/>
      </c>
      <c r="Y725" s="56" t="str">
        <f aca="false">IF($M725="","",IFERROR(INDEX(강사DB!$D$4:$D$53,MATCH($M725,강사DB!$A$4:$A$53,0)),""))</f>
        <v/>
      </c>
      <c r="Z725" s="56" t="str">
        <f aca="false">IF($B725&lt;&gt;"결제완료","",IF(OR($Y725="",$J725=""),"",$Y725*$J725+MAX(0,N($K725)-1)*설정!$J$7))</f>
        <v/>
      </c>
      <c r="AA725" s="56" t="str">
        <f aca="false">IF(AND($D725&lt;&gt;"",$B725="결제완료"),N($N725),"")</f>
        <v/>
      </c>
      <c r="AB725" s="45" t="str">
        <f aca="false">IF($D725="","",IF($F725&lt;&gt;"",$F725,$D725)&amp;IF($B725="상담중"," (상담)",""))</f>
        <v/>
      </c>
      <c r="AC725" s="45" t="n">
        <f aca="false">IF(AND($D725&lt;&gt;"",OR($B725="결제완료",$B725="상담중")),1,0)</f>
        <v>0</v>
      </c>
      <c r="AD725" s="45" t="n">
        <f aca="false">IF(OR($Z725="",$U725=""),0,IFERROR(IF(COUNTIFS(INDEX(g_grid,0,2*MATCH($M725,강사DB!$A$4:$A$15,0)),"&lt;&gt;",g_s,"&lt;="&amp;$U725,g_e,"&gt;="&amp;$U725)&gt;0,1,0),0))</f>
        <v>0</v>
      </c>
      <c r="AE725" s="48"/>
      <c r="AF725" s="56" t="str">
        <f aca="false">IF(AND($D725&lt;&gt;"",$B725="결제완료",$T725="대여"),설정!$J$5,"")</f>
        <v/>
      </c>
      <c r="AG725" s="54" t="str">
        <f aca="false">IF($D725="","",IF(AND($E725="",$R725=""),$AB725,"☎ "&amp;IF($E725="","-",$E725)&amp;IF($R725&lt;&gt;"","  ※ "&amp;$R725,"")&amp;IF($B725="상담중"," (상담)","")))</f>
        <v/>
      </c>
      <c r="AH725" s="56" t="str">
        <f aca="false">IF(AND($D725&lt;&gt;"",$B725="결제완료",$O725="스마트스토어"),ROUND(N($N725)*설정!$J$6,0),"")</f>
        <v/>
      </c>
      <c r="AI725" s="54" t="str">
        <f aca="false">IF($D725="","",ROW())</f>
        <v/>
      </c>
      <c r="AJ725" s="54" t="n">
        <f aca="false">IF(OR($AC725&lt;&gt;1,$M725=""),0,IF(ISNUMBER(SEARCH("퇴사",IFERROR(INDEX(강사DB!$G$4:$G$53,MATCH($M725,강사DB!$A$4:$A$53,0)),""))),1,0))</f>
        <v>0</v>
      </c>
    </row>
    <row r="726" customFormat="false" ht="15" hidden="false" customHeight="false" outlineLevel="0" collapsed="false">
      <c r="A726" s="45" t="str">
        <f aca="false">IF($D726="","",COUNTA($D$5:$D726))</f>
        <v/>
      </c>
      <c r="B726" s="46"/>
      <c r="C726" s="47"/>
      <c r="D726" s="48"/>
      <c r="E726" s="48"/>
      <c r="F726" s="49"/>
      <c r="G726" s="47"/>
      <c r="H726" s="50"/>
      <c r="I726" s="50"/>
      <c r="J726" s="51" t="str">
        <f aca="false">IF(OR($V726="",$W726=""),"",ROUND(($W726-$V726)/60,2))</f>
        <v/>
      </c>
      <c r="K726" s="52" t="str">
        <f aca="false">IF($F726="","",LEN($F726)-LEN(SUBSTITUTE($F726,",",""))+1)</f>
        <v/>
      </c>
      <c r="L726" s="45" t="str">
        <f aca="false">IF($K726="","","1:"&amp;$K726)</f>
        <v/>
      </c>
      <c r="M726" s="46"/>
      <c r="N726" s="53"/>
      <c r="O726" s="46"/>
      <c r="P726" s="47"/>
      <c r="Q726" s="48"/>
      <c r="R726" s="49"/>
      <c r="S726" s="54" t="str">
        <f aca="false">IF(OR($AC726=0,$U726="",$M726="",$V726="",$W726=""),"",IF(COUNTIFS(m_teacher,$M726,m_date,$U726,m_active,1,m_start,"&lt;"&amp;$W726,m_end,"&gt;"&amp;$V726)&gt;1,"충돌",""))</f>
        <v/>
      </c>
      <c r="T726" s="48"/>
      <c r="U726" s="55" t="str">
        <f aca="false">IF($G726="","",IFERROR(IF(ISNUMBER($G726),IF($G726&gt;19000000,DATE(INT($G726/10000),MOD(INT($G726/100),100),MOD($G726,100)),INT($G726)),IF(LEN(SUBSTITUTE(SUBSTITUTE(SUBSTITUTE(TRIM($G726),"-",""),".",""),"/",""))=8,DATE(VALUE(LEFT(SUBSTITUTE(SUBSTITUTE(SUBSTITUTE(TRIM($G726),"-",""),".",""),"/",""),4)),VALUE(MID(SUBSTITUTE(SUBSTITUTE(SUBSTITUTE(TRIM($G726),"-",""),".",""),"/",""),5,2)),VALUE(RIGHT(SUBSTITUTE(SUBSTITUTE(SUBSTITUTE(TRIM($G726),"-",""),".",""),"/",""),2))),DATEVALUE($G726))),""))</f>
        <v/>
      </c>
      <c r="V726" s="52" t="str">
        <f aca="false">IF($H726="","",IFERROR(IF(IF(ISNUMBER($H726),$H726,IFERROR(TIMEVALUE($H726),VALUE($H726)))&gt;=100,INT(IF(ISNUMBER($H726),$H726,IFERROR(TIMEVALUE($H726),VALUE($H726)))/100)*60+MOD(IF(ISNUMBER($H726),$H726,IFERROR(TIMEVALUE($H726),VALUE($H726))),100),IF(IF(ISNUMBER($H726),$H726,IFERROR(TIMEVALUE($H726),VALUE($H726)))&gt;=1,ROUND(IF(ISNUMBER($H726),$H726,IFERROR(TIMEVALUE($H726),VALUE($H726)))*60,0),ROUND(MOD(IF(ISNUMBER($H726),$H726,IFERROR(TIMEVALUE($H726),VALUE($H726))),1)*1440,0))),""))</f>
        <v/>
      </c>
      <c r="W726" s="52" t="str">
        <f aca="false">IF($I726="","",IFERROR(IF(IF(ISNUMBER($I726),$I726,IFERROR(TIMEVALUE($I726),VALUE($I726)))&gt;=100,INT(IF(ISNUMBER($I726),$I726,IFERROR(TIMEVALUE($I726),VALUE($I726)))/100)*60+MOD(IF(ISNUMBER($I726),$I726,IFERROR(TIMEVALUE($I726),VALUE($I726))),100),IF(IF(ISNUMBER($I726),$I726,IFERROR(TIMEVALUE($I726),VALUE($I726)))&gt;=1,ROUND(IF(ISNUMBER($I726),$I726,IFERROR(TIMEVALUE($I726),VALUE($I726)))*60,0),ROUND(MOD(IF(ISNUMBER($I726),$I726,IFERROR(TIMEVALUE($I726),VALUE($I726))),1)*1440,0))),""))</f>
        <v/>
      </c>
      <c r="X726" s="55" t="str">
        <f aca="false">IF($P726="","",IFERROR(IF(ISNUMBER($P726),IF($P726&gt;19000000,DATE(INT($P726/10000),MOD(INT($P726/100),100),MOD($P726,100)),INT($P726)),IF(LEN(SUBSTITUTE(SUBSTITUTE(SUBSTITUTE(TRIM($P726),"-",""),".",""),"/",""))=8,DATE(VALUE(LEFT(SUBSTITUTE(SUBSTITUTE(SUBSTITUTE(TRIM($P726),"-",""),".",""),"/",""),4)),VALUE(MID(SUBSTITUTE(SUBSTITUTE(SUBSTITUTE(TRIM($P726),"-",""),".",""),"/",""),5,2)),VALUE(RIGHT(SUBSTITUTE(SUBSTITUTE(SUBSTITUTE(TRIM($P726),"-",""),".",""),"/",""),2))),DATEVALUE($P726))),""))</f>
        <v/>
      </c>
      <c r="Y726" s="56" t="str">
        <f aca="false">IF($M726="","",IFERROR(INDEX(강사DB!$D$4:$D$53,MATCH($M726,강사DB!$A$4:$A$53,0)),""))</f>
        <v/>
      </c>
      <c r="Z726" s="56" t="str">
        <f aca="false">IF($B726&lt;&gt;"결제완료","",IF(OR($Y726="",$J726=""),"",$Y726*$J726+MAX(0,N($K726)-1)*설정!$J$7))</f>
        <v/>
      </c>
      <c r="AA726" s="56" t="str">
        <f aca="false">IF(AND($D726&lt;&gt;"",$B726="결제완료"),N($N726),"")</f>
        <v/>
      </c>
      <c r="AB726" s="45" t="str">
        <f aca="false">IF($D726="","",IF($F726&lt;&gt;"",$F726,$D726)&amp;IF($B726="상담중"," (상담)",""))</f>
        <v/>
      </c>
      <c r="AC726" s="45" t="n">
        <f aca="false">IF(AND($D726&lt;&gt;"",OR($B726="결제완료",$B726="상담중")),1,0)</f>
        <v>0</v>
      </c>
      <c r="AD726" s="45" t="n">
        <f aca="false">IF(OR($Z726="",$U726=""),0,IFERROR(IF(COUNTIFS(INDEX(g_grid,0,2*MATCH($M726,강사DB!$A$4:$A$15,0)),"&lt;&gt;",g_s,"&lt;="&amp;$U726,g_e,"&gt;="&amp;$U726)&gt;0,1,0),0))</f>
        <v>0</v>
      </c>
      <c r="AE726" s="48"/>
      <c r="AF726" s="56" t="str">
        <f aca="false">IF(AND($D726&lt;&gt;"",$B726="결제완료",$T726="대여"),설정!$J$5,"")</f>
        <v/>
      </c>
      <c r="AG726" s="54" t="str">
        <f aca="false">IF($D726="","",IF(AND($E726="",$R726=""),$AB726,"☎ "&amp;IF($E726="","-",$E726)&amp;IF($R726&lt;&gt;"","  ※ "&amp;$R726,"")&amp;IF($B726="상담중"," (상담)","")))</f>
        <v/>
      </c>
      <c r="AH726" s="56" t="str">
        <f aca="false">IF(AND($D726&lt;&gt;"",$B726="결제완료",$O726="스마트스토어"),ROUND(N($N726)*설정!$J$6,0),"")</f>
        <v/>
      </c>
      <c r="AI726" s="54" t="str">
        <f aca="false">IF($D726="","",ROW())</f>
        <v/>
      </c>
      <c r="AJ726" s="54" t="n">
        <f aca="false">IF(OR($AC726&lt;&gt;1,$M726=""),0,IF(ISNUMBER(SEARCH("퇴사",IFERROR(INDEX(강사DB!$G$4:$G$53,MATCH($M726,강사DB!$A$4:$A$53,0)),""))),1,0))</f>
        <v>0</v>
      </c>
    </row>
    <row r="727" customFormat="false" ht="15" hidden="false" customHeight="false" outlineLevel="0" collapsed="false">
      <c r="A727" s="45" t="str">
        <f aca="false">IF($D727="","",COUNTA($D$5:$D727))</f>
        <v/>
      </c>
      <c r="B727" s="46"/>
      <c r="C727" s="47"/>
      <c r="D727" s="48"/>
      <c r="E727" s="48"/>
      <c r="F727" s="49"/>
      <c r="G727" s="47"/>
      <c r="H727" s="50"/>
      <c r="I727" s="50"/>
      <c r="J727" s="51" t="str">
        <f aca="false">IF(OR($V727="",$W727=""),"",ROUND(($W727-$V727)/60,2))</f>
        <v/>
      </c>
      <c r="K727" s="52" t="str">
        <f aca="false">IF($F727="","",LEN($F727)-LEN(SUBSTITUTE($F727,",",""))+1)</f>
        <v/>
      </c>
      <c r="L727" s="45" t="str">
        <f aca="false">IF($K727="","","1:"&amp;$K727)</f>
        <v/>
      </c>
      <c r="M727" s="46"/>
      <c r="N727" s="53"/>
      <c r="O727" s="46"/>
      <c r="P727" s="47"/>
      <c r="Q727" s="48"/>
      <c r="R727" s="49"/>
      <c r="S727" s="54" t="str">
        <f aca="false">IF(OR($AC727=0,$U727="",$M727="",$V727="",$W727=""),"",IF(COUNTIFS(m_teacher,$M727,m_date,$U727,m_active,1,m_start,"&lt;"&amp;$W727,m_end,"&gt;"&amp;$V727)&gt;1,"충돌",""))</f>
        <v/>
      </c>
      <c r="T727" s="48"/>
      <c r="U727" s="55" t="str">
        <f aca="false">IF($G727="","",IFERROR(IF(ISNUMBER($G727),IF($G727&gt;19000000,DATE(INT($G727/10000),MOD(INT($G727/100),100),MOD($G727,100)),INT($G727)),IF(LEN(SUBSTITUTE(SUBSTITUTE(SUBSTITUTE(TRIM($G727),"-",""),".",""),"/",""))=8,DATE(VALUE(LEFT(SUBSTITUTE(SUBSTITUTE(SUBSTITUTE(TRIM($G727),"-",""),".",""),"/",""),4)),VALUE(MID(SUBSTITUTE(SUBSTITUTE(SUBSTITUTE(TRIM($G727),"-",""),".",""),"/",""),5,2)),VALUE(RIGHT(SUBSTITUTE(SUBSTITUTE(SUBSTITUTE(TRIM($G727),"-",""),".",""),"/",""),2))),DATEVALUE($G727))),""))</f>
        <v/>
      </c>
      <c r="V727" s="52" t="str">
        <f aca="false">IF($H727="","",IFERROR(IF(IF(ISNUMBER($H727),$H727,IFERROR(TIMEVALUE($H727),VALUE($H727)))&gt;=100,INT(IF(ISNUMBER($H727),$H727,IFERROR(TIMEVALUE($H727),VALUE($H727)))/100)*60+MOD(IF(ISNUMBER($H727),$H727,IFERROR(TIMEVALUE($H727),VALUE($H727))),100),IF(IF(ISNUMBER($H727),$H727,IFERROR(TIMEVALUE($H727),VALUE($H727)))&gt;=1,ROUND(IF(ISNUMBER($H727),$H727,IFERROR(TIMEVALUE($H727),VALUE($H727)))*60,0),ROUND(MOD(IF(ISNUMBER($H727),$H727,IFERROR(TIMEVALUE($H727),VALUE($H727))),1)*1440,0))),""))</f>
        <v/>
      </c>
      <c r="W727" s="52" t="str">
        <f aca="false">IF($I727="","",IFERROR(IF(IF(ISNUMBER($I727),$I727,IFERROR(TIMEVALUE($I727),VALUE($I727)))&gt;=100,INT(IF(ISNUMBER($I727),$I727,IFERROR(TIMEVALUE($I727),VALUE($I727)))/100)*60+MOD(IF(ISNUMBER($I727),$I727,IFERROR(TIMEVALUE($I727),VALUE($I727))),100),IF(IF(ISNUMBER($I727),$I727,IFERROR(TIMEVALUE($I727),VALUE($I727)))&gt;=1,ROUND(IF(ISNUMBER($I727),$I727,IFERROR(TIMEVALUE($I727),VALUE($I727)))*60,0),ROUND(MOD(IF(ISNUMBER($I727),$I727,IFERROR(TIMEVALUE($I727),VALUE($I727))),1)*1440,0))),""))</f>
        <v/>
      </c>
      <c r="X727" s="55" t="str">
        <f aca="false">IF($P727="","",IFERROR(IF(ISNUMBER($P727),IF($P727&gt;19000000,DATE(INT($P727/10000),MOD(INT($P727/100),100),MOD($P727,100)),INT($P727)),IF(LEN(SUBSTITUTE(SUBSTITUTE(SUBSTITUTE(TRIM($P727),"-",""),".",""),"/",""))=8,DATE(VALUE(LEFT(SUBSTITUTE(SUBSTITUTE(SUBSTITUTE(TRIM($P727),"-",""),".",""),"/",""),4)),VALUE(MID(SUBSTITUTE(SUBSTITUTE(SUBSTITUTE(TRIM($P727),"-",""),".",""),"/",""),5,2)),VALUE(RIGHT(SUBSTITUTE(SUBSTITUTE(SUBSTITUTE(TRIM($P727),"-",""),".",""),"/",""),2))),DATEVALUE($P727))),""))</f>
        <v/>
      </c>
      <c r="Y727" s="56" t="str">
        <f aca="false">IF($M727="","",IFERROR(INDEX(강사DB!$D$4:$D$53,MATCH($M727,강사DB!$A$4:$A$53,0)),""))</f>
        <v/>
      </c>
      <c r="Z727" s="56" t="str">
        <f aca="false">IF($B727&lt;&gt;"결제완료","",IF(OR($Y727="",$J727=""),"",$Y727*$J727+MAX(0,N($K727)-1)*설정!$J$7))</f>
        <v/>
      </c>
      <c r="AA727" s="56" t="str">
        <f aca="false">IF(AND($D727&lt;&gt;"",$B727="결제완료"),N($N727),"")</f>
        <v/>
      </c>
      <c r="AB727" s="45" t="str">
        <f aca="false">IF($D727="","",IF($F727&lt;&gt;"",$F727,$D727)&amp;IF($B727="상담중"," (상담)",""))</f>
        <v/>
      </c>
      <c r="AC727" s="45" t="n">
        <f aca="false">IF(AND($D727&lt;&gt;"",OR($B727="결제완료",$B727="상담중")),1,0)</f>
        <v>0</v>
      </c>
      <c r="AD727" s="45" t="n">
        <f aca="false">IF(OR($Z727="",$U727=""),0,IFERROR(IF(COUNTIFS(INDEX(g_grid,0,2*MATCH($M727,강사DB!$A$4:$A$15,0)),"&lt;&gt;",g_s,"&lt;="&amp;$U727,g_e,"&gt;="&amp;$U727)&gt;0,1,0),0))</f>
        <v>0</v>
      </c>
      <c r="AE727" s="48"/>
      <c r="AF727" s="56" t="str">
        <f aca="false">IF(AND($D727&lt;&gt;"",$B727="결제완료",$T727="대여"),설정!$J$5,"")</f>
        <v/>
      </c>
      <c r="AG727" s="54" t="str">
        <f aca="false">IF($D727="","",IF(AND($E727="",$R727=""),$AB727,"☎ "&amp;IF($E727="","-",$E727)&amp;IF($R727&lt;&gt;"","  ※ "&amp;$R727,"")&amp;IF($B727="상담중"," (상담)","")))</f>
        <v/>
      </c>
      <c r="AH727" s="56" t="str">
        <f aca="false">IF(AND($D727&lt;&gt;"",$B727="결제완료",$O727="스마트스토어"),ROUND(N($N727)*설정!$J$6,0),"")</f>
        <v/>
      </c>
      <c r="AI727" s="54" t="str">
        <f aca="false">IF($D727="","",ROW())</f>
        <v/>
      </c>
      <c r="AJ727" s="54" t="n">
        <f aca="false">IF(OR($AC727&lt;&gt;1,$M727=""),0,IF(ISNUMBER(SEARCH("퇴사",IFERROR(INDEX(강사DB!$G$4:$G$53,MATCH($M727,강사DB!$A$4:$A$53,0)),""))),1,0))</f>
        <v>0</v>
      </c>
    </row>
    <row r="728" customFormat="false" ht="15" hidden="false" customHeight="false" outlineLevel="0" collapsed="false">
      <c r="A728" s="45" t="str">
        <f aca="false">IF($D728="","",COUNTA($D$5:$D728))</f>
        <v/>
      </c>
      <c r="B728" s="46"/>
      <c r="C728" s="47"/>
      <c r="D728" s="48"/>
      <c r="E728" s="48"/>
      <c r="F728" s="49"/>
      <c r="G728" s="47"/>
      <c r="H728" s="50"/>
      <c r="I728" s="50"/>
      <c r="J728" s="51" t="str">
        <f aca="false">IF(OR($V728="",$W728=""),"",ROUND(($W728-$V728)/60,2))</f>
        <v/>
      </c>
      <c r="K728" s="52" t="str">
        <f aca="false">IF($F728="","",LEN($F728)-LEN(SUBSTITUTE($F728,",",""))+1)</f>
        <v/>
      </c>
      <c r="L728" s="45" t="str">
        <f aca="false">IF($K728="","","1:"&amp;$K728)</f>
        <v/>
      </c>
      <c r="M728" s="46"/>
      <c r="N728" s="53"/>
      <c r="O728" s="46"/>
      <c r="P728" s="47"/>
      <c r="Q728" s="48"/>
      <c r="R728" s="49"/>
      <c r="S728" s="54" t="str">
        <f aca="false">IF(OR($AC728=0,$U728="",$M728="",$V728="",$W728=""),"",IF(COUNTIFS(m_teacher,$M728,m_date,$U728,m_active,1,m_start,"&lt;"&amp;$W728,m_end,"&gt;"&amp;$V728)&gt;1,"충돌",""))</f>
        <v/>
      </c>
      <c r="T728" s="48"/>
      <c r="U728" s="55" t="str">
        <f aca="false">IF($G728="","",IFERROR(IF(ISNUMBER($G728),IF($G728&gt;19000000,DATE(INT($G728/10000),MOD(INT($G728/100),100),MOD($G728,100)),INT($G728)),IF(LEN(SUBSTITUTE(SUBSTITUTE(SUBSTITUTE(TRIM($G728),"-",""),".",""),"/",""))=8,DATE(VALUE(LEFT(SUBSTITUTE(SUBSTITUTE(SUBSTITUTE(TRIM($G728),"-",""),".",""),"/",""),4)),VALUE(MID(SUBSTITUTE(SUBSTITUTE(SUBSTITUTE(TRIM($G728),"-",""),".",""),"/",""),5,2)),VALUE(RIGHT(SUBSTITUTE(SUBSTITUTE(SUBSTITUTE(TRIM($G728),"-",""),".",""),"/",""),2))),DATEVALUE($G728))),""))</f>
        <v/>
      </c>
      <c r="V728" s="52" t="str">
        <f aca="false">IF($H728="","",IFERROR(IF(IF(ISNUMBER($H728),$H728,IFERROR(TIMEVALUE($H728),VALUE($H728)))&gt;=100,INT(IF(ISNUMBER($H728),$H728,IFERROR(TIMEVALUE($H728),VALUE($H728)))/100)*60+MOD(IF(ISNUMBER($H728),$H728,IFERROR(TIMEVALUE($H728),VALUE($H728))),100),IF(IF(ISNUMBER($H728),$H728,IFERROR(TIMEVALUE($H728),VALUE($H728)))&gt;=1,ROUND(IF(ISNUMBER($H728),$H728,IFERROR(TIMEVALUE($H728),VALUE($H728)))*60,0),ROUND(MOD(IF(ISNUMBER($H728),$H728,IFERROR(TIMEVALUE($H728),VALUE($H728))),1)*1440,0))),""))</f>
        <v/>
      </c>
      <c r="W728" s="52" t="str">
        <f aca="false">IF($I728="","",IFERROR(IF(IF(ISNUMBER($I728),$I728,IFERROR(TIMEVALUE($I728),VALUE($I728)))&gt;=100,INT(IF(ISNUMBER($I728),$I728,IFERROR(TIMEVALUE($I728),VALUE($I728)))/100)*60+MOD(IF(ISNUMBER($I728),$I728,IFERROR(TIMEVALUE($I728),VALUE($I728))),100),IF(IF(ISNUMBER($I728),$I728,IFERROR(TIMEVALUE($I728),VALUE($I728)))&gt;=1,ROUND(IF(ISNUMBER($I728),$I728,IFERROR(TIMEVALUE($I728),VALUE($I728)))*60,0),ROUND(MOD(IF(ISNUMBER($I728),$I728,IFERROR(TIMEVALUE($I728),VALUE($I728))),1)*1440,0))),""))</f>
        <v/>
      </c>
      <c r="X728" s="55" t="str">
        <f aca="false">IF($P728="","",IFERROR(IF(ISNUMBER($P728),IF($P728&gt;19000000,DATE(INT($P728/10000),MOD(INT($P728/100),100),MOD($P728,100)),INT($P728)),IF(LEN(SUBSTITUTE(SUBSTITUTE(SUBSTITUTE(TRIM($P728),"-",""),".",""),"/",""))=8,DATE(VALUE(LEFT(SUBSTITUTE(SUBSTITUTE(SUBSTITUTE(TRIM($P728),"-",""),".",""),"/",""),4)),VALUE(MID(SUBSTITUTE(SUBSTITUTE(SUBSTITUTE(TRIM($P728),"-",""),".",""),"/",""),5,2)),VALUE(RIGHT(SUBSTITUTE(SUBSTITUTE(SUBSTITUTE(TRIM($P728),"-",""),".",""),"/",""),2))),DATEVALUE($P728))),""))</f>
        <v/>
      </c>
      <c r="Y728" s="56" t="str">
        <f aca="false">IF($M728="","",IFERROR(INDEX(강사DB!$D$4:$D$53,MATCH($M728,강사DB!$A$4:$A$53,0)),""))</f>
        <v/>
      </c>
      <c r="Z728" s="56" t="str">
        <f aca="false">IF($B728&lt;&gt;"결제완료","",IF(OR($Y728="",$J728=""),"",$Y728*$J728+MAX(0,N($K728)-1)*설정!$J$7))</f>
        <v/>
      </c>
      <c r="AA728" s="56" t="str">
        <f aca="false">IF(AND($D728&lt;&gt;"",$B728="결제완료"),N($N728),"")</f>
        <v/>
      </c>
      <c r="AB728" s="45" t="str">
        <f aca="false">IF($D728="","",IF($F728&lt;&gt;"",$F728,$D728)&amp;IF($B728="상담중"," (상담)",""))</f>
        <v/>
      </c>
      <c r="AC728" s="45" t="n">
        <f aca="false">IF(AND($D728&lt;&gt;"",OR($B728="결제완료",$B728="상담중")),1,0)</f>
        <v>0</v>
      </c>
      <c r="AD728" s="45" t="n">
        <f aca="false">IF(OR($Z728="",$U728=""),0,IFERROR(IF(COUNTIFS(INDEX(g_grid,0,2*MATCH($M728,강사DB!$A$4:$A$15,0)),"&lt;&gt;",g_s,"&lt;="&amp;$U728,g_e,"&gt;="&amp;$U728)&gt;0,1,0),0))</f>
        <v>0</v>
      </c>
      <c r="AE728" s="48"/>
      <c r="AF728" s="56" t="str">
        <f aca="false">IF(AND($D728&lt;&gt;"",$B728="결제완료",$T728="대여"),설정!$J$5,"")</f>
        <v/>
      </c>
      <c r="AG728" s="54" t="str">
        <f aca="false">IF($D728="","",IF(AND($E728="",$R728=""),$AB728,"☎ "&amp;IF($E728="","-",$E728)&amp;IF($R728&lt;&gt;"","  ※ "&amp;$R728,"")&amp;IF($B728="상담중"," (상담)","")))</f>
        <v/>
      </c>
      <c r="AH728" s="56" t="str">
        <f aca="false">IF(AND($D728&lt;&gt;"",$B728="결제완료",$O728="스마트스토어"),ROUND(N($N728)*설정!$J$6,0),"")</f>
        <v/>
      </c>
      <c r="AI728" s="54" t="str">
        <f aca="false">IF($D728="","",ROW())</f>
        <v/>
      </c>
      <c r="AJ728" s="54" t="n">
        <f aca="false">IF(OR($AC728&lt;&gt;1,$M728=""),0,IF(ISNUMBER(SEARCH("퇴사",IFERROR(INDEX(강사DB!$G$4:$G$53,MATCH($M728,강사DB!$A$4:$A$53,0)),""))),1,0))</f>
        <v>0</v>
      </c>
    </row>
    <row r="729" customFormat="false" ht="15" hidden="false" customHeight="false" outlineLevel="0" collapsed="false">
      <c r="A729" s="45" t="str">
        <f aca="false">IF($D729="","",COUNTA($D$5:$D729))</f>
        <v/>
      </c>
      <c r="B729" s="46"/>
      <c r="C729" s="47"/>
      <c r="D729" s="48"/>
      <c r="E729" s="48"/>
      <c r="F729" s="49"/>
      <c r="G729" s="47"/>
      <c r="H729" s="50"/>
      <c r="I729" s="50"/>
      <c r="J729" s="51" t="str">
        <f aca="false">IF(OR($V729="",$W729=""),"",ROUND(($W729-$V729)/60,2))</f>
        <v/>
      </c>
      <c r="K729" s="52" t="str">
        <f aca="false">IF($F729="","",LEN($F729)-LEN(SUBSTITUTE($F729,",",""))+1)</f>
        <v/>
      </c>
      <c r="L729" s="45" t="str">
        <f aca="false">IF($K729="","","1:"&amp;$K729)</f>
        <v/>
      </c>
      <c r="M729" s="46"/>
      <c r="N729" s="53"/>
      <c r="O729" s="46"/>
      <c r="P729" s="47"/>
      <c r="Q729" s="48"/>
      <c r="R729" s="49"/>
      <c r="S729" s="54" t="str">
        <f aca="false">IF(OR($AC729=0,$U729="",$M729="",$V729="",$W729=""),"",IF(COUNTIFS(m_teacher,$M729,m_date,$U729,m_active,1,m_start,"&lt;"&amp;$W729,m_end,"&gt;"&amp;$V729)&gt;1,"충돌",""))</f>
        <v/>
      </c>
      <c r="T729" s="48"/>
      <c r="U729" s="55" t="str">
        <f aca="false">IF($G729="","",IFERROR(IF(ISNUMBER($G729),IF($G729&gt;19000000,DATE(INT($G729/10000),MOD(INT($G729/100),100),MOD($G729,100)),INT($G729)),IF(LEN(SUBSTITUTE(SUBSTITUTE(SUBSTITUTE(TRIM($G729),"-",""),".",""),"/",""))=8,DATE(VALUE(LEFT(SUBSTITUTE(SUBSTITUTE(SUBSTITUTE(TRIM($G729),"-",""),".",""),"/",""),4)),VALUE(MID(SUBSTITUTE(SUBSTITUTE(SUBSTITUTE(TRIM($G729),"-",""),".",""),"/",""),5,2)),VALUE(RIGHT(SUBSTITUTE(SUBSTITUTE(SUBSTITUTE(TRIM($G729),"-",""),".",""),"/",""),2))),DATEVALUE($G729))),""))</f>
        <v/>
      </c>
      <c r="V729" s="52" t="str">
        <f aca="false">IF($H729="","",IFERROR(IF(IF(ISNUMBER($H729),$H729,IFERROR(TIMEVALUE($H729),VALUE($H729)))&gt;=100,INT(IF(ISNUMBER($H729),$H729,IFERROR(TIMEVALUE($H729),VALUE($H729)))/100)*60+MOD(IF(ISNUMBER($H729),$H729,IFERROR(TIMEVALUE($H729),VALUE($H729))),100),IF(IF(ISNUMBER($H729),$H729,IFERROR(TIMEVALUE($H729),VALUE($H729)))&gt;=1,ROUND(IF(ISNUMBER($H729),$H729,IFERROR(TIMEVALUE($H729),VALUE($H729)))*60,0),ROUND(MOD(IF(ISNUMBER($H729),$H729,IFERROR(TIMEVALUE($H729),VALUE($H729))),1)*1440,0))),""))</f>
        <v/>
      </c>
      <c r="W729" s="52" t="str">
        <f aca="false">IF($I729="","",IFERROR(IF(IF(ISNUMBER($I729),$I729,IFERROR(TIMEVALUE($I729),VALUE($I729)))&gt;=100,INT(IF(ISNUMBER($I729),$I729,IFERROR(TIMEVALUE($I729),VALUE($I729)))/100)*60+MOD(IF(ISNUMBER($I729),$I729,IFERROR(TIMEVALUE($I729),VALUE($I729))),100),IF(IF(ISNUMBER($I729),$I729,IFERROR(TIMEVALUE($I729),VALUE($I729)))&gt;=1,ROUND(IF(ISNUMBER($I729),$I729,IFERROR(TIMEVALUE($I729),VALUE($I729)))*60,0),ROUND(MOD(IF(ISNUMBER($I729),$I729,IFERROR(TIMEVALUE($I729),VALUE($I729))),1)*1440,0))),""))</f>
        <v/>
      </c>
      <c r="X729" s="55" t="str">
        <f aca="false">IF($P729="","",IFERROR(IF(ISNUMBER($P729),IF($P729&gt;19000000,DATE(INT($P729/10000),MOD(INT($P729/100),100),MOD($P729,100)),INT($P729)),IF(LEN(SUBSTITUTE(SUBSTITUTE(SUBSTITUTE(TRIM($P729),"-",""),".",""),"/",""))=8,DATE(VALUE(LEFT(SUBSTITUTE(SUBSTITUTE(SUBSTITUTE(TRIM($P729),"-",""),".",""),"/",""),4)),VALUE(MID(SUBSTITUTE(SUBSTITUTE(SUBSTITUTE(TRIM($P729),"-",""),".",""),"/",""),5,2)),VALUE(RIGHT(SUBSTITUTE(SUBSTITUTE(SUBSTITUTE(TRIM($P729),"-",""),".",""),"/",""),2))),DATEVALUE($P729))),""))</f>
        <v/>
      </c>
      <c r="Y729" s="56" t="str">
        <f aca="false">IF($M729="","",IFERROR(INDEX(강사DB!$D$4:$D$53,MATCH($M729,강사DB!$A$4:$A$53,0)),""))</f>
        <v/>
      </c>
      <c r="Z729" s="56" t="str">
        <f aca="false">IF($B729&lt;&gt;"결제완료","",IF(OR($Y729="",$J729=""),"",$Y729*$J729+MAX(0,N($K729)-1)*설정!$J$7))</f>
        <v/>
      </c>
      <c r="AA729" s="56" t="str">
        <f aca="false">IF(AND($D729&lt;&gt;"",$B729="결제완료"),N($N729),"")</f>
        <v/>
      </c>
      <c r="AB729" s="45" t="str">
        <f aca="false">IF($D729="","",IF($F729&lt;&gt;"",$F729,$D729)&amp;IF($B729="상담중"," (상담)",""))</f>
        <v/>
      </c>
      <c r="AC729" s="45" t="n">
        <f aca="false">IF(AND($D729&lt;&gt;"",OR($B729="결제완료",$B729="상담중")),1,0)</f>
        <v>0</v>
      </c>
      <c r="AD729" s="45" t="n">
        <f aca="false">IF(OR($Z729="",$U729=""),0,IFERROR(IF(COUNTIFS(INDEX(g_grid,0,2*MATCH($M729,강사DB!$A$4:$A$15,0)),"&lt;&gt;",g_s,"&lt;="&amp;$U729,g_e,"&gt;="&amp;$U729)&gt;0,1,0),0))</f>
        <v>0</v>
      </c>
      <c r="AE729" s="48"/>
      <c r="AF729" s="56" t="str">
        <f aca="false">IF(AND($D729&lt;&gt;"",$B729="결제완료",$T729="대여"),설정!$J$5,"")</f>
        <v/>
      </c>
      <c r="AG729" s="54" t="str">
        <f aca="false">IF($D729="","",IF(AND($E729="",$R729=""),$AB729,"☎ "&amp;IF($E729="","-",$E729)&amp;IF($R729&lt;&gt;"","  ※ "&amp;$R729,"")&amp;IF($B729="상담중"," (상담)","")))</f>
        <v/>
      </c>
      <c r="AH729" s="56" t="str">
        <f aca="false">IF(AND($D729&lt;&gt;"",$B729="결제완료",$O729="스마트스토어"),ROUND(N($N729)*설정!$J$6,0),"")</f>
        <v/>
      </c>
      <c r="AI729" s="54" t="str">
        <f aca="false">IF($D729="","",ROW())</f>
        <v/>
      </c>
      <c r="AJ729" s="54" t="n">
        <f aca="false">IF(OR($AC729&lt;&gt;1,$M729=""),0,IF(ISNUMBER(SEARCH("퇴사",IFERROR(INDEX(강사DB!$G$4:$G$53,MATCH($M729,강사DB!$A$4:$A$53,0)),""))),1,0))</f>
        <v>0</v>
      </c>
    </row>
    <row r="730" customFormat="false" ht="15" hidden="false" customHeight="false" outlineLevel="0" collapsed="false">
      <c r="A730" s="45" t="str">
        <f aca="false">IF($D730="","",COUNTA($D$5:$D730))</f>
        <v/>
      </c>
      <c r="B730" s="46"/>
      <c r="C730" s="47"/>
      <c r="D730" s="48"/>
      <c r="E730" s="48"/>
      <c r="F730" s="49"/>
      <c r="G730" s="47"/>
      <c r="H730" s="50"/>
      <c r="I730" s="50"/>
      <c r="J730" s="51" t="str">
        <f aca="false">IF(OR($V730="",$W730=""),"",ROUND(($W730-$V730)/60,2))</f>
        <v/>
      </c>
      <c r="K730" s="52" t="str">
        <f aca="false">IF($F730="","",LEN($F730)-LEN(SUBSTITUTE($F730,",",""))+1)</f>
        <v/>
      </c>
      <c r="L730" s="45" t="str">
        <f aca="false">IF($K730="","","1:"&amp;$K730)</f>
        <v/>
      </c>
      <c r="M730" s="46"/>
      <c r="N730" s="53"/>
      <c r="O730" s="46"/>
      <c r="P730" s="47"/>
      <c r="Q730" s="48"/>
      <c r="R730" s="49"/>
      <c r="S730" s="54" t="str">
        <f aca="false">IF(OR($AC730=0,$U730="",$M730="",$V730="",$W730=""),"",IF(COUNTIFS(m_teacher,$M730,m_date,$U730,m_active,1,m_start,"&lt;"&amp;$W730,m_end,"&gt;"&amp;$V730)&gt;1,"충돌",""))</f>
        <v/>
      </c>
      <c r="T730" s="48"/>
      <c r="U730" s="55" t="str">
        <f aca="false">IF($G730="","",IFERROR(IF(ISNUMBER($G730),IF($G730&gt;19000000,DATE(INT($G730/10000),MOD(INT($G730/100),100),MOD($G730,100)),INT($G730)),IF(LEN(SUBSTITUTE(SUBSTITUTE(SUBSTITUTE(TRIM($G730),"-",""),".",""),"/",""))=8,DATE(VALUE(LEFT(SUBSTITUTE(SUBSTITUTE(SUBSTITUTE(TRIM($G730),"-",""),".",""),"/",""),4)),VALUE(MID(SUBSTITUTE(SUBSTITUTE(SUBSTITUTE(TRIM($G730),"-",""),".",""),"/",""),5,2)),VALUE(RIGHT(SUBSTITUTE(SUBSTITUTE(SUBSTITUTE(TRIM($G730),"-",""),".",""),"/",""),2))),DATEVALUE($G730))),""))</f>
        <v/>
      </c>
      <c r="V730" s="52" t="str">
        <f aca="false">IF($H730="","",IFERROR(IF(IF(ISNUMBER($H730),$H730,IFERROR(TIMEVALUE($H730),VALUE($H730)))&gt;=100,INT(IF(ISNUMBER($H730),$H730,IFERROR(TIMEVALUE($H730),VALUE($H730)))/100)*60+MOD(IF(ISNUMBER($H730),$H730,IFERROR(TIMEVALUE($H730),VALUE($H730))),100),IF(IF(ISNUMBER($H730),$H730,IFERROR(TIMEVALUE($H730),VALUE($H730)))&gt;=1,ROUND(IF(ISNUMBER($H730),$H730,IFERROR(TIMEVALUE($H730),VALUE($H730)))*60,0),ROUND(MOD(IF(ISNUMBER($H730),$H730,IFERROR(TIMEVALUE($H730),VALUE($H730))),1)*1440,0))),""))</f>
        <v/>
      </c>
      <c r="W730" s="52" t="str">
        <f aca="false">IF($I730="","",IFERROR(IF(IF(ISNUMBER($I730),$I730,IFERROR(TIMEVALUE($I730),VALUE($I730)))&gt;=100,INT(IF(ISNUMBER($I730),$I730,IFERROR(TIMEVALUE($I730),VALUE($I730)))/100)*60+MOD(IF(ISNUMBER($I730),$I730,IFERROR(TIMEVALUE($I730),VALUE($I730))),100),IF(IF(ISNUMBER($I730),$I730,IFERROR(TIMEVALUE($I730),VALUE($I730)))&gt;=1,ROUND(IF(ISNUMBER($I730),$I730,IFERROR(TIMEVALUE($I730),VALUE($I730)))*60,0),ROUND(MOD(IF(ISNUMBER($I730),$I730,IFERROR(TIMEVALUE($I730),VALUE($I730))),1)*1440,0))),""))</f>
        <v/>
      </c>
      <c r="X730" s="55" t="str">
        <f aca="false">IF($P730="","",IFERROR(IF(ISNUMBER($P730),IF($P730&gt;19000000,DATE(INT($P730/10000),MOD(INT($P730/100),100),MOD($P730,100)),INT($P730)),IF(LEN(SUBSTITUTE(SUBSTITUTE(SUBSTITUTE(TRIM($P730),"-",""),".",""),"/",""))=8,DATE(VALUE(LEFT(SUBSTITUTE(SUBSTITUTE(SUBSTITUTE(TRIM($P730),"-",""),".",""),"/",""),4)),VALUE(MID(SUBSTITUTE(SUBSTITUTE(SUBSTITUTE(TRIM($P730),"-",""),".",""),"/",""),5,2)),VALUE(RIGHT(SUBSTITUTE(SUBSTITUTE(SUBSTITUTE(TRIM($P730),"-",""),".",""),"/",""),2))),DATEVALUE($P730))),""))</f>
        <v/>
      </c>
      <c r="Y730" s="56" t="str">
        <f aca="false">IF($M730="","",IFERROR(INDEX(강사DB!$D$4:$D$53,MATCH($M730,강사DB!$A$4:$A$53,0)),""))</f>
        <v/>
      </c>
      <c r="Z730" s="56" t="str">
        <f aca="false">IF($B730&lt;&gt;"결제완료","",IF(OR($Y730="",$J730=""),"",$Y730*$J730+MAX(0,N($K730)-1)*설정!$J$7))</f>
        <v/>
      </c>
      <c r="AA730" s="56" t="str">
        <f aca="false">IF(AND($D730&lt;&gt;"",$B730="결제완료"),N($N730),"")</f>
        <v/>
      </c>
      <c r="AB730" s="45" t="str">
        <f aca="false">IF($D730="","",IF($F730&lt;&gt;"",$F730,$D730)&amp;IF($B730="상담중"," (상담)",""))</f>
        <v/>
      </c>
      <c r="AC730" s="45" t="n">
        <f aca="false">IF(AND($D730&lt;&gt;"",OR($B730="결제완료",$B730="상담중")),1,0)</f>
        <v>0</v>
      </c>
      <c r="AD730" s="45" t="n">
        <f aca="false">IF(OR($Z730="",$U730=""),0,IFERROR(IF(COUNTIFS(INDEX(g_grid,0,2*MATCH($M730,강사DB!$A$4:$A$15,0)),"&lt;&gt;",g_s,"&lt;="&amp;$U730,g_e,"&gt;="&amp;$U730)&gt;0,1,0),0))</f>
        <v>0</v>
      </c>
      <c r="AE730" s="48"/>
      <c r="AF730" s="56" t="str">
        <f aca="false">IF(AND($D730&lt;&gt;"",$B730="결제완료",$T730="대여"),설정!$J$5,"")</f>
        <v/>
      </c>
      <c r="AG730" s="54" t="str">
        <f aca="false">IF($D730="","",IF(AND($E730="",$R730=""),$AB730,"☎ "&amp;IF($E730="","-",$E730)&amp;IF($R730&lt;&gt;"","  ※ "&amp;$R730,"")&amp;IF($B730="상담중"," (상담)","")))</f>
        <v/>
      </c>
      <c r="AH730" s="56" t="str">
        <f aca="false">IF(AND($D730&lt;&gt;"",$B730="결제완료",$O730="스마트스토어"),ROUND(N($N730)*설정!$J$6,0),"")</f>
        <v/>
      </c>
      <c r="AI730" s="54" t="str">
        <f aca="false">IF($D730="","",ROW())</f>
        <v/>
      </c>
      <c r="AJ730" s="54" t="n">
        <f aca="false">IF(OR($AC730&lt;&gt;1,$M730=""),0,IF(ISNUMBER(SEARCH("퇴사",IFERROR(INDEX(강사DB!$G$4:$G$53,MATCH($M730,강사DB!$A$4:$A$53,0)),""))),1,0))</f>
        <v>0</v>
      </c>
    </row>
    <row r="731" customFormat="false" ht="15" hidden="false" customHeight="false" outlineLevel="0" collapsed="false">
      <c r="A731" s="45" t="str">
        <f aca="false">IF($D731="","",COUNTA($D$5:$D731))</f>
        <v/>
      </c>
      <c r="B731" s="46"/>
      <c r="C731" s="47"/>
      <c r="D731" s="48"/>
      <c r="E731" s="48"/>
      <c r="F731" s="49"/>
      <c r="G731" s="47"/>
      <c r="H731" s="50"/>
      <c r="I731" s="50"/>
      <c r="J731" s="51" t="str">
        <f aca="false">IF(OR($V731="",$W731=""),"",ROUND(($W731-$V731)/60,2))</f>
        <v/>
      </c>
      <c r="K731" s="52" t="str">
        <f aca="false">IF($F731="","",LEN($F731)-LEN(SUBSTITUTE($F731,",",""))+1)</f>
        <v/>
      </c>
      <c r="L731" s="45" t="str">
        <f aca="false">IF($K731="","","1:"&amp;$K731)</f>
        <v/>
      </c>
      <c r="M731" s="46"/>
      <c r="N731" s="53"/>
      <c r="O731" s="46"/>
      <c r="P731" s="47"/>
      <c r="Q731" s="48"/>
      <c r="R731" s="49"/>
      <c r="S731" s="54" t="str">
        <f aca="false">IF(OR($AC731=0,$U731="",$M731="",$V731="",$W731=""),"",IF(COUNTIFS(m_teacher,$M731,m_date,$U731,m_active,1,m_start,"&lt;"&amp;$W731,m_end,"&gt;"&amp;$V731)&gt;1,"충돌",""))</f>
        <v/>
      </c>
      <c r="T731" s="48"/>
      <c r="U731" s="55" t="str">
        <f aca="false">IF($G731="","",IFERROR(IF(ISNUMBER($G731),IF($G731&gt;19000000,DATE(INT($G731/10000),MOD(INT($G731/100),100),MOD($G731,100)),INT($G731)),IF(LEN(SUBSTITUTE(SUBSTITUTE(SUBSTITUTE(TRIM($G731),"-",""),".",""),"/",""))=8,DATE(VALUE(LEFT(SUBSTITUTE(SUBSTITUTE(SUBSTITUTE(TRIM($G731),"-",""),".",""),"/",""),4)),VALUE(MID(SUBSTITUTE(SUBSTITUTE(SUBSTITUTE(TRIM($G731),"-",""),".",""),"/",""),5,2)),VALUE(RIGHT(SUBSTITUTE(SUBSTITUTE(SUBSTITUTE(TRIM($G731),"-",""),".",""),"/",""),2))),DATEVALUE($G731))),""))</f>
        <v/>
      </c>
      <c r="V731" s="52" t="str">
        <f aca="false">IF($H731="","",IFERROR(IF(IF(ISNUMBER($H731),$H731,IFERROR(TIMEVALUE($H731),VALUE($H731)))&gt;=100,INT(IF(ISNUMBER($H731),$H731,IFERROR(TIMEVALUE($H731),VALUE($H731)))/100)*60+MOD(IF(ISNUMBER($H731),$H731,IFERROR(TIMEVALUE($H731),VALUE($H731))),100),IF(IF(ISNUMBER($H731),$H731,IFERROR(TIMEVALUE($H731),VALUE($H731)))&gt;=1,ROUND(IF(ISNUMBER($H731),$H731,IFERROR(TIMEVALUE($H731),VALUE($H731)))*60,0),ROUND(MOD(IF(ISNUMBER($H731),$H731,IFERROR(TIMEVALUE($H731),VALUE($H731))),1)*1440,0))),""))</f>
        <v/>
      </c>
      <c r="W731" s="52" t="str">
        <f aca="false">IF($I731="","",IFERROR(IF(IF(ISNUMBER($I731),$I731,IFERROR(TIMEVALUE($I731),VALUE($I731)))&gt;=100,INT(IF(ISNUMBER($I731),$I731,IFERROR(TIMEVALUE($I731),VALUE($I731)))/100)*60+MOD(IF(ISNUMBER($I731),$I731,IFERROR(TIMEVALUE($I731),VALUE($I731))),100),IF(IF(ISNUMBER($I731),$I731,IFERROR(TIMEVALUE($I731),VALUE($I731)))&gt;=1,ROUND(IF(ISNUMBER($I731),$I731,IFERROR(TIMEVALUE($I731),VALUE($I731)))*60,0),ROUND(MOD(IF(ISNUMBER($I731),$I731,IFERROR(TIMEVALUE($I731),VALUE($I731))),1)*1440,0))),""))</f>
        <v/>
      </c>
      <c r="X731" s="55" t="str">
        <f aca="false">IF($P731="","",IFERROR(IF(ISNUMBER($P731),IF($P731&gt;19000000,DATE(INT($P731/10000),MOD(INT($P731/100),100),MOD($P731,100)),INT($P731)),IF(LEN(SUBSTITUTE(SUBSTITUTE(SUBSTITUTE(TRIM($P731),"-",""),".",""),"/",""))=8,DATE(VALUE(LEFT(SUBSTITUTE(SUBSTITUTE(SUBSTITUTE(TRIM($P731),"-",""),".",""),"/",""),4)),VALUE(MID(SUBSTITUTE(SUBSTITUTE(SUBSTITUTE(TRIM($P731),"-",""),".",""),"/",""),5,2)),VALUE(RIGHT(SUBSTITUTE(SUBSTITUTE(SUBSTITUTE(TRIM($P731),"-",""),".",""),"/",""),2))),DATEVALUE($P731))),""))</f>
        <v/>
      </c>
      <c r="Y731" s="56" t="str">
        <f aca="false">IF($M731="","",IFERROR(INDEX(강사DB!$D$4:$D$53,MATCH($M731,강사DB!$A$4:$A$53,0)),""))</f>
        <v/>
      </c>
      <c r="Z731" s="56" t="str">
        <f aca="false">IF($B731&lt;&gt;"결제완료","",IF(OR($Y731="",$J731=""),"",$Y731*$J731+MAX(0,N($K731)-1)*설정!$J$7))</f>
        <v/>
      </c>
      <c r="AA731" s="56" t="str">
        <f aca="false">IF(AND($D731&lt;&gt;"",$B731="결제완료"),N($N731),"")</f>
        <v/>
      </c>
      <c r="AB731" s="45" t="str">
        <f aca="false">IF($D731="","",IF($F731&lt;&gt;"",$F731,$D731)&amp;IF($B731="상담중"," (상담)",""))</f>
        <v/>
      </c>
      <c r="AC731" s="45" t="n">
        <f aca="false">IF(AND($D731&lt;&gt;"",OR($B731="결제완료",$B731="상담중")),1,0)</f>
        <v>0</v>
      </c>
      <c r="AD731" s="45" t="n">
        <f aca="false">IF(OR($Z731="",$U731=""),0,IFERROR(IF(COUNTIFS(INDEX(g_grid,0,2*MATCH($M731,강사DB!$A$4:$A$15,0)),"&lt;&gt;",g_s,"&lt;="&amp;$U731,g_e,"&gt;="&amp;$U731)&gt;0,1,0),0))</f>
        <v>0</v>
      </c>
      <c r="AE731" s="48"/>
      <c r="AF731" s="56" t="str">
        <f aca="false">IF(AND($D731&lt;&gt;"",$B731="결제완료",$T731="대여"),설정!$J$5,"")</f>
        <v/>
      </c>
      <c r="AG731" s="54" t="str">
        <f aca="false">IF($D731="","",IF(AND($E731="",$R731=""),$AB731,"☎ "&amp;IF($E731="","-",$E731)&amp;IF($R731&lt;&gt;"","  ※ "&amp;$R731,"")&amp;IF($B731="상담중"," (상담)","")))</f>
        <v/>
      </c>
      <c r="AH731" s="56" t="str">
        <f aca="false">IF(AND($D731&lt;&gt;"",$B731="결제완료",$O731="스마트스토어"),ROUND(N($N731)*설정!$J$6,0),"")</f>
        <v/>
      </c>
      <c r="AI731" s="54" t="str">
        <f aca="false">IF($D731="","",ROW())</f>
        <v/>
      </c>
      <c r="AJ731" s="54" t="n">
        <f aca="false">IF(OR($AC731&lt;&gt;1,$M731=""),0,IF(ISNUMBER(SEARCH("퇴사",IFERROR(INDEX(강사DB!$G$4:$G$53,MATCH($M731,강사DB!$A$4:$A$53,0)),""))),1,0))</f>
        <v>0</v>
      </c>
    </row>
    <row r="732" customFormat="false" ht="15" hidden="false" customHeight="false" outlineLevel="0" collapsed="false">
      <c r="A732" s="45" t="str">
        <f aca="false">IF($D732="","",COUNTA($D$5:$D732))</f>
        <v/>
      </c>
      <c r="B732" s="46"/>
      <c r="C732" s="47"/>
      <c r="D732" s="48"/>
      <c r="E732" s="48"/>
      <c r="F732" s="49"/>
      <c r="G732" s="47"/>
      <c r="H732" s="50"/>
      <c r="I732" s="50"/>
      <c r="J732" s="51" t="str">
        <f aca="false">IF(OR($V732="",$W732=""),"",ROUND(($W732-$V732)/60,2))</f>
        <v/>
      </c>
      <c r="K732" s="52" t="str">
        <f aca="false">IF($F732="","",LEN($F732)-LEN(SUBSTITUTE($F732,",",""))+1)</f>
        <v/>
      </c>
      <c r="L732" s="45" t="str">
        <f aca="false">IF($K732="","","1:"&amp;$K732)</f>
        <v/>
      </c>
      <c r="M732" s="46"/>
      <c r="N732" s="53"/>
      <c r="O732" s="46"/>
      <c r="P732" s="47"/>
      <c r="Q732" s="48"/>
      <c r="R732" s="49"/>
      <c r="S732" s="54" t="str">
        <f aca="false">IF(OR($AC732=0,$U732="",$M732="",$V732="",$W732=""),"",IF(COUNTIFS(m_teacher,$M732,m_date,$U732,m_active,1,m_start,"&lt;"&amp;$W732,m_end,"&gt;"&amp;$V732)&gt;1,"충돌",""))</f>
        <v/>
      </c>
      <c r="T732" s="48"/>
      <c r="U732" s="55" t="str">
        <f aca="false">IF($G732="","",IFERROR(IF(ISNUMBER($G732),IF($G732&gt;19000000,DATE(INT($G732/10000),MOD(INT($G732/100),100),MOD($G732,100)),INT($G732)),IF(LEN(SUBSTITUTE(SUBSTITUTE(SUBSTITUTE(TRIM($G732),"-",""),".",""),"/",""))=8,DATE(VALUE(LEFT(SUBSTITUTE(SUBSTITUTE(SUBSTITUTE(TRIM($G732),"-",""),".",""),"/",""),4)),VALUE(MID(SUBSTITUTE(SUBSTITUTE(SUBSTITUTE(TRIM($G732),"-",""),".",""),"/",""),5,2)),VALUE(RIGHT(SUBSTITUTE(SUBSTITUTE(SUBSTITUTE(TRIM($G732),"-",""),".",""),"/",""),2))),DATEVALUE($G732))),""))</f>
        <v/>
      </c>
      <c r="V732" s="52" t="str">
        <f aca="false">IF($H732="","",IFERROR(IF(IF(ISNUMBER($H732),$H732,IFERROR(TIMEVALUE($H732),VALUE($H732)))&gt;=100,INT(IF(ISNUMBER($H732),$H732,IFERROR(TIMEVALUE($H732),VALUE($H732)))/100)*60+MOD(IF(ISNUMBER($H732),$H732,IFERROR(TIMEVALUE($H732),VALUE($H732))),100),IF(IF(ISNUMBER($H732),$H732,IFERROR(TIMEVALUE($H732),VALUE($H732)))&gt;=1,ROUND(IF(ISNUMBER($H732),$H732,IFERROR(TIMEVALUE($H732),VALUE($H732)))*60,0),ROUND(MOD(IF(ISNUMBER($H732),$H732,IFERROR(TIMEVALUE($H732),VALUE($H732))),1)*1440,0))),""))</f>
        <v/>
      </c>
      <c r="W732" s="52" t="str">
        <f aca="false">IF($I732="","",IFERROR(IF(IF(ISNUMBER($I732),$I732,IFERROR(TIMEVALUE($I732),VALUE($I732)))&gt;=100,INT(IF(ISNUMBER($I732),$I732,IFERROR(TIMEVALUE($I732),VALUE($I732)))/100)*60+MOD(IF(ISNUMBER($I732),$I732,IFERROR(TIMEVALUE($I732),VALUE($I732))),100),IF(IF(ISNUMBER($I732),$I732,IFERROR(TIMEVALUE($I732),VALUE($I732)))&gt;=1,ROUND(IF(ISNUMBER($I732),$I732,IFERROR(TIMEVALUE($I732),VALUE($I732)))*60,0),ROUND(MOD(IF(ISNUMBER($I732),$I732,IFERROR(TIMEVALUE($I732),VALUE($I732))),1)*1440,0))),""))</f>
        <v/>
      </c>
      <c r="X732" s="55" t="str">
        <f aca="false">IF($P732="","",IFERROR(IF(ISNUMBER($P732),IF($P732&gt;19000000,DATE(INT($P732/10000),MOD(INT($P732/100),100),MOD($P732,100)),INT($P732)),IF(LEN(SUBSTITUTE(SUBSTITUTE(SUBSTITUTE(TRIM($P732),"-",""),".",""),"/",""))=8,DATE(VALUE(LEFT(SUBSTITUTE(SUBSTITUTE(SUBSTITUTE(TRIM($P732),"-",""),".",""),"/",""),4)),VALUE(MID(SUBSTITUTE(SUBSTITUTE(SUBSTITUTE(TRIM($P732),"-",""),".",""),"/",""),5,2)),VALUE(RIGHT(SUBSTITUTE(SUBSTITUTE(SUBSTITUTE(TRIM($P732),"-",""),".",""),"/",""),2))),DATEVALUE($P732))),""))</f>
        <v/>
      </c>
      <c r="Y732" s="56" t="str">
        <f aca="false">IF($M732="","",IFERROR(INDEX(강사DB!$D$4:$D$53,MATCH($M732,강사DB!$A$4:$A$53,0)),""))</f>
        <v/>
      </c>
      <c r="Z732" s="56" t="str">
        <f aca="false">IF($B732&lt;&gt;"결제완료","",IF(OR($Y732="",$J732=""),"",$Y732*$J732+MAX(0,N($K732)-1)*설정!$J$7))</f>
        <v/>
      </c>
      <c r="AA732" s="56" t="str">
        <f aca="false">IF(AND($D732&lt;&gt;"",$B732="결제완료"),N($N732),"")</f>
        <v/>
      </c>
      <c r="AB732" s="45" t="str">
        <f aca="false">IF($D732="","",IF($F732&lt;&gt;"",$F732,$D732)&amp;IF($B732="상담중"," (상담)",""))</f>
        <v/>
      </c>
      <c r="AC732" s="45" t="n">
        <f aca="false">IF(AND($D732&lt;&gt;"",OR($B732="결제완료",$B732="상담중")),1,0)</f>
        <v>0</v>
      </c>
      <c r="AD732" s="45" t="n">
        <f aca="false">IF(OR($Z732="",$U732=""),0,IFERROR(IF(COUNTIFS(INDEX(g_grid,0,2*MATCH($M732,강사DB!$A$4:$A$15,0)),"&lt;&gt;",g_s,"&lt;="&amp;$U732,g_e,"&gt;="&amp;$U732)&gt;0,1,0),0))</f>
        <v>0</v>
      </c>
      <c r="AE732" s="48"/>
      <c r="AF732" s="56" t="str">
        <f aca="false">IF(AND($D732&lt;&gt;"",$B732="결제완료",$T732="대여"),설정!$J$5,"")</f>
        <v/>
      </c>
      <c r="AG732" s="54" t="str">
        <f aca="false">IF($D732="","",IF(AND($E732="",$R732=""),$AB732,"☎ "&amp;IF($E732="","-",$E732)&amp;IF($R732&lt;&gt;"","  ※ "&amp;$R732,"")&amp;IF($B732="상담중"," (상담)","")))</f>
        <v/>
      </c>
      <c r="AH732" s="56" t="str">
        <f aca="false">IF(AND($D732&lt;&gt;"",$B732="결제완료",$O732="스마트스토어"),ROUND(N($N732)*설정!$J$6,0),"")</f>
        <v/>
      </c>
      <c r="AI732" s="54" t="str">
        <f aca="false">IF($D732="","",ROW())</f>
        <v/>
      </c>
      <c r="AJ732" s="54" t="n">
        <f aca="false">IF(OR($AC732&lt;&gt;1,$M732=""),0,IF(ISNUMBER(SEARCH("퇴사",IFERROR(INDEX(강사DB!$G$4:$G$53,MATCH($M732,강사DB!$A$4:$A$53,0)),""))),1,0))</f>
        <v>0</v>
      </c>
    </row>
    <row r="733" customFormat="false" ht="15" hidden="false" customHeight="false" outlineLevel="0" collapsed="false">
      <c r="A733" s="45" t="str">
        <f aca="false">IF($D733="","",COUNTA($D$5:$D733))</f>
        <v/>
      </c>
      <c r="B733" s="46"/>
      <c r="C733" s="47"/>
      <c r="D733" s="48"/>
      <c r="E733" s="48"/>
      <c r="F733" s="49"/>
      <c r="G733" s="47"/>
      <c r="H733" s="50"/>
      <c r="I733" s="50"/>
      <c r="J733" s="51" t="str">
        <f aca="false">IF(OR($V733="",$W733=""),"",ROUND(($W733-$V733)/60,2))</f>
        <v/>
      </c>
      <c r="K733" s="52" t="str">
        <f aca="false">IF($F733="","",LEN($F733)-LEN(SUBSTITUTE($F733,",",""))+1)</f>
        <v/>
      </c>
      <c r="L733" s="45" t="str">
        <f aca="false">IF($K733="","","1:"&amp;$K733)</f>
        <v/>
      </c>
      <c r="M733" s="46"/>
      <c r="N733" s="53"/>
      <c r="O733" s="46"/>
      <c r="P733" s="47"/>
      <c r="Q733" s="48"/>
      <c r="R733" s="49"/>
      <c r="S733" s="54" t="str">
        <f aca="false">IF(OR($AC733=0,$U733="",$M733="",$V733="",$W733=""),"",IF(COUNTIFS(m_teacher,$M733,m_date,$U733,m_active,1,m_start,"&lt;"&amp;$W733,m_end,"&gt;"&amp;$V733)&gt;1,"충돌",""))</f>
        <v/>
      </c>
      <c r="T733" s="48"/>
      <c r="U733" s="55" t="str">
        <f aca="false">IF($G733="","",IFERROR(IF(ISNUMBER($G733),IF($G733&gt;19000000,DATE(INT($G733/10000),MOD(INT($G733/100),100),MOD($G733,100)),INT($G733)),IF(LEN(SUBSTITUTE(SUBSTITUTE(SUBSTITUTE(TRIM($G733),"-",""),".",""),"/",""))=8,DATE(VALUE(LEFT(SUBSTITUTE(SUBSTITUTE(SUBSTITUTE(TRIM($G733),"-",""),".",""),"/",""),4)),VALUE(MID(SUBSTITUTE(SUBSTITUTE(SUBSTITUTE(TRIM($G733),"-",""),".",""),"/",""),5,2)),VALUE(RIGHT(SUBSTITUTE(SUBSTITUTE(SUBSTITUTE(TRIM($G733),"-",""),".",""),"/",""),2))),DATEVALUE($G733))),""))</f>
        <v/>
      </c>
      <c r="V733" s="52" t="str">
        <f aca="false">IF($H733="","",IFERROR(IF(IF(ISNUMBER($H733),$H733,IFERROR(TIMEVALUE($H733),VALUE($H733)))&gt;=100,INT(IF(ISNUMBER($H733),$H733,IFERROR(TIMEVALUE($H733),VALUE($H733)))/100)*60+MOD(IF(ISNUMBER($H733),$H733,IFERROR(TIMEVALUE($H733),VALUE($H733))),100),IF(IF(ISNUMBER($H733),$H733,IFERROR(TIMEVALUE($H733),VALUE($H733)))&gt;=1,ROUND(IF(ISNUMBER($H733),$H733,IFERROR(TIMEVALUE($H733),VALUE($H733)))*60,0),ROUND(MOD(IF(ISNUMBER($H733),$H733,IFERROR(TIMEVALUE($H733),VALUE($H733))),1)*1440,0))),""))</f>
        <v/>
      </c>
      <c r="W733" s="52" t="str">
        <f aca="false">IF($I733="","",IFERROR(IF(IF(ISNUMBER($I733),$I733,IFERROR(TIMEVALUE($I733),VALUE($I733)))&gt;=100,INT(IF(ISNUMBER($I733),$I733,IFERROR(TIMEVALUE($I733),VALUE($I733)))/100)*60+MOD(IF(ISNUMBER($I733),$I733,IFERROR(TIMEVALUE($I733),VALUE($I733))),100),IF(IF(ISNUMBER($I733),$I733,IFERROR(TIMEVALUE($I733),VALUE($I733)))&gt;=1,ROUND(IF(ISNUMBER($I733),$I733,IFERROR(TIMEVALUE($I733),VALUE($I733)))*60,0),ROUND(MOD(IF(ISNUMBER($I733),$I733,IFERROR(TIMEVALUE($I733),VALUE($I733))),1)*1440,0))),""))</f>
        <v/>
      </c>
      <c r="X733" s="55" t="str">
        <f aca="false">IF($P733="","",IFERROR(IF(ISNUMBER($P733),IF($P733&gt;19000000,DATE(INT($P733/10000),MOD(INT($P733/100),100),MOD($P733,100)),INT($P733)),IF(LEN(SUBSTITUTE(SUBSTITUTE(SUBSTITUTE(TRIM($P733),"-",""),".",""),"/",""))=8,DATE(VALUE(LEFT(SUBSTITUTE(SUBSTITUTE(SUBSTITUTE(TRIM($P733),"-",""),".",""),"/",""),4)),VALUE(MID(SUBSTITUTE(SUBSTITUTE(SUBSTITUTE(TRIM($P733),"-",""),".",""),"/",""),5,2)),VALUE(RIGHT(SUBSTITUTE(SUBSTITUTE(SUBSTITUTE(TRIM($P733),"-",""),".",""),"/",""),2))),DATEVALUE($P733))),""))</f>
        <v/>
      </c>
      <c r="Y733" s="56" t="str">
        <f aca="false">IF($M733="","",IFERROR(INDEX(강사DB!$D$4:$D$53,MATCH($M733,강사DB!$A$4:$A$53,0)),""))</f>
        <v/>
      </c>
      <c r="Z733" s="56" t="str">
        <f aca="false">IF($B733&lt;&gt;"결제완료","",IF(OR($Y733="",$J733=""),"",$Y733*$J733+MAX(0,N($K733)-1)*설정!$J$7))</f>
        <v/>
      </c>
      <c r="AA733" s="56" t="str">
        <f aca="false">IF(AND($D733&lt;&gt;"",$B733="결제완료"),N($N733),"")</f>
        <v/>
      </c>
      <c r="AB733" s="45" t="str">
        <f aca="false">IF($D733="","",IF($F733&lt;&gt;"",$F733,$D733)&amp;IF($B733="상담중"," (상담)",""))</f>
        <v/>
      </c>
      <c r="AC733" s="45" t="n">
        <f aca="false">IF(AND($D733&lt;&gt;"",OR($B733="결제완료",$B733="상담중")),1,0)</f>
        <v>0</v>
      </c>
      <c r="AD733" s="45" t="n">
        <f aca="false">IF(OR($Z733="",$U733=""),0,IFERROR(IF(COUNTIFS(INDEX(g_grid,0,2*MATCH($M733,강사DB!$A$4:$A$15,0)),"&lt;&gt;",g_s,"&lt;="&amp;$U733,g_e,"&gt;="&amp;$U733)&gt;0,1,0),0))</f>
        <v>0</v>
      </c>
      <c r="AE733" s="48"/>
      <c r="AF733" s="56" t="str">
        <f aca="false">IF(AND($D733&lt;&gt;"",$B733="결제완료",$T733="대여"),설정!$J$5,"")</f>
        <v/>
      </c>
      <c r="AG733" s="54" t="str">
        <f aca="false">IF($D733="","",IF(AND($E733="",$R733=""),$AB733,"☎ "&amp;IF($E733="","-",$E733)&amp;IF($R733&lt;&gt;"","  ※ "&amp;$R733,"")&amp;IF($B733="상담중"," (상담)","")))</f>
        <v/>
      </c>
      <c r="AH733" s="56" t="str">
        <f aca="false">IF(AND($D733&lt;&gt;"",$B733="결제완료",$O733="스마트스토어"),ROUND(N($N733)*설정!$J$6,0),"")</f>
        <v/>
      </c>
      <c r="AI733" s="54" t="str">
        <f aca="false">IF($D733="","",ROW())</f>
        <v/>
      </c>
      <c r="AJ733" s="54" t="n">
        <f aca="false">IF(OR($AC733&lt;&gt;1,$M733=""),0,IF(ISNUMBER(SEARCH("퇴사",IFERROR(INDEX(강사DB!$G$4:$G$53,MATCH($M733,강사DB!$A$4:$A$53,0)),""))),1,0))</f>
        <v>0</v>
      </c>
    </row>
    <row r="734" customFormat="false" ht="15" hidden="false" customHeight="false" outlineLevel="0" collapsed="false">
      <c r="A734" s="45" t="str">
        <f aca="false">IF($D734="","",COUNTA($D$5:$D734))</f>
        <v/>
      </c>
      <c r="B734" s="46"/>
      <c r="C734" s="47"/>
      <c r="D734" s="48"/>
      <c r="E734" s="48"/>
      <c r="F734" s="49"/>
      <c r="G734" s="47"/>
      <c r="H734" s="50"/>
      <c r="I734" s="50"/>
      <c r="J734" s="51" t="str">
        <f aca="false">IF(OR($V734="",$W734=""),"",ROUND(($W734-$V734)/60,2))</f>
        <v/>
      </c>
      <c r="K734" s="52" t="str">
        <f aca="false">IF($F734="","",LEN($F734)-LEN(SUBSTITUTE($F734,",",""))+1)</f>
        <v/>
      </c>
      <c r="L734" s="45" t="str">
        <f aca="false">IF($K734="","","1:"&amp;$K734)</f>
        <v/>
      </c>
      <c r="M734" s="46"/>
      <c r="N734" s="53"/>
      <c r="O734" s="46"/>
      <c r="P734" s="47"/>
      <c r="Q734" s="48"/>
      <c r="R734" s="49"/>
      <c r="S734" s="54" t="str">
        <f aca="false">IF(OR($AC734=0,$U734="",$M734="",$V734="",$W734=""),"",IF(COUNTIFS(m_teacher,$M734,m_date,$U734,m_active,1,m_start,"&lt;"&amp;$W734,m_end,"&gt;"&amp;$V734)&gt;1,"충돌",""))</f>
        <v/>
      </c>
      <c r="T734" s="48"/>
      <c r="U734" s="55" t="str">
        <f aca="false">IF($G734="","",IFERROR(IF(ISNUMBER($G734),IF($G734&gt;19000000,DATE(INT($G734/10000),MOD(INT($G734/100),100),MOD($G734,100)),INT($G734)),IF(LEN(SUBSTITUTE(SUBSTITUTE(SUBSTITUTE(TRIM($G734),"-",""),".",""),"/",""))=8,DATE(VALUE(LEFT(SUBSTITUTE(SUBSTITUTE(SUBSTITUTE(TRIM($G734),"-",""),".",""),"/",""),4)),VALUE(MID(SUBSTITUTE(SUBSTITUTE(SUBSTITUTE(TRIM($G734),"-",""),".",""),"/",""),5,2)),VALUE(RIGHT(SUBSTITUTE(SUBSTITUTE(SUBSTITUTE(TRIM($G734),"-",""),".",""),"/",""),2))),DATEVALUE($G734))),""))</f>
        <v/>
      </c>
      <c r="V734" s="52" t="str">
        <f aca="false">IF($H734="","",IFERROR(IF(IF(ISNUMBER($H734),$H734,IFERROR(TIMEVALUE($H734),VALUE($H734)))&gt;=100,INT(IF(ISNUMBER($H734),$H734,IFERROR(TIMEVALUE($H734),VALUE($H734)))/100)*60+MOD(IF(ISNUMBER($H734),$H734,IFERROR(TIMEVALUE($H734),VALUE($H734))),100),IF(IF(ISNUMBER($H734),$H734,IFERROR(TIMEVALUE($H734),VALUE($H734)))&gt;=1,ROUND(IF(ISNUMBER($H734),$H734,IFERROR(TIMEVALUE($H734),VALUE($H734)))*60,0),ROUND(MOD(IF(ISNUMBER($H734),$H734,IFERROR(TIMEVALUE($H734),VALUE($H734))),1)*1440,0))),""))</f>
        <v/>
      </c>
      <c r="W734" s="52" t="str">
        <f aca="false">IF($I734="","",IFERROR(IF(IF(ISNUMBER($I734),$I734,IFERROR(TIMEVALUE($I734),VALUE($I734)))&gt;=100,INT(IF(ISNUMBER($I734),$I734,IFERROR(TIMEVALUE($I734),VALUE($I734)))/100)*60+MOD(IF(ISNUMBER($I734),$I734,IFERROR(TIMEVALUE($I734),VALUE($I734))),100),IF(IF(ISNUMBER($I734),$I734,IFERROR(TIMEVALUE($I734),VALUE($I734)))&gt;=1,ROUND(IF(ISNUMBER($I734),$I734,IFERROR(TIMEVALUE($I734),VALUE($I734)))*60,0),ROUND(MOD(IF(ISNUMBER($I734),$I734,IFERROR(TIMEVALUE($I734),VALUE($I734))),1)*1440,0))),""))</f>
        <v/>
      </c>
      <c r="X734" s="55" t="str">
        <f aca="false">IF($P734="","",IFERROR(IF(ISNUMBER($P734),IF($P734&gt;19000000,DATE(INT($P734/10000),MOD(INT($P734/100),100),MOD($P734,100)),INT($P734)),IF(LEN(SUBSTITUTE(SUBSTITUTE(SUBSTITUTE(TRIM($P734),"-",""),".",""),"/",""))=8,DATE(VALUE(LEFT(SUBSTITUTE(SUBSTITUTE(SUBSTITUTE(TRIM($P734),"-",""),".",""),"/",""),4)),VALUE(MID(SUBSTITUTE(SUBSTITUTE(SUBSTITUTE(TRIM($P734),"-",""),".",""),"/",""),5,2)),VALUE(RIGHT(SUBSTITUTE(SUBSTITUTE(SUBSTITUTE(TRIM($P734),"-",""),".",""),"/",""),2))),DATEVALUE($P734))),""))</f>
        <v/>
      </c>
      <c r="Y734" s="56" t="str">
        <f aca="false">IF($M734="","",IFERROR(INDEX(강사DB!$D$4:$D$53,MATCH($M734,강사DB!$A$4:$A$53,0)),""))</f>
        <v/>
      </c>
      <c r="Z734" s="56" t="str">
        <f aca="false">IF($B734&lt;&gt;"결제완료","",IF(OR($Y734="",$J734=""),"",$Y734*$J734+MAX(0,N($K734)-1)*설정!$J$7))</f>
        <v/>
      </c>
      <c r="AA734" s="56" t="str">
        <f aca="false">IF(AND($D734&lt;&gt;"",$B734="결제완료"),N($N734),"")</f>
        <v/>
      </c>
      <c r="AB734" s="45" t="str">
        <f aca="false">IF($D734="","",IF($F734&lt;&gt;"",$F734,$D734)&amp;IF($B734="상담중"," (상담)",""))</f>
        <v/>
      </c>
      <c r="AC734" s="45" t="n">
        <f aca="false">IF(AND($D734&lt;&gt;"",OR($B734="결제완료",$B734="상담중")),1,0)</f>
        <v>0</v>
      </c>
      <c r="AD734" s="45" t="n">
        <f aca="false">IF(OR($Z734="",$U734=""),0,IFERROR(IF(COUNTIFS(INDEX(g_grid,0,2*MATCH($M734,강사DB!$A$4:$A$15,0)),"&lt;&gt;",g_s,"&lt;="&amp;$U734,g_e,"&gt;="&amp;$U734)&gt;0,1,0),0))</f>
        <v>0</v>
      </c>
      <c r="AE734" s="48"/>
      <c r="AF734" s="56" t="str">
        <f aca="false">IF(AND($D734&lt;&gt;"",$B734="결제완료",$T734="대여"),설정!$J$5,"")</f>
        <v/>
      </c>
      <c r="AG734" s="54" t="str">
        <f aca="false">IF($D734="","",IF(AND($E734="",$R734=""),$AB734,"☎ "&amp;IF($E734="","-",$E734)&amp;IF($R734&lt;&gt;"","  ※ "&amp;$R734,"")&amp;IF($B734="상담중"," (상담)","")))</f>
        <v/>
      </c>
      <c r="AH734" s="56" t="str">
        <f aca="false">IF(AND($D734&lt;&gt;"",$B734="결제완료",$O734="스마트스토어"),ROUND(N($N734)*설정!$J$6,0),"")</f>
        <v/>
      </c>
      <c r="AI734" s="54" t="str">
        <f aca="false">IF($D734="","",ROW())</f>
        <v/>
      </c>
      <c r="AJ734" s="54" t="n">
        <f aca="false">IF(OR($AC734&lt;&gt;1,$M734=""),0,IF(ISNUMBER(SEARCH("퇴사",IFERROR(INDEX(강사DB!$G$4:$G$53,MATCH($M734,강사DB!$A$4:$A$53,0)),""))),1,0))</f>
        <v>0</v>
      </c>
    </row>
    <row r="735" customFormat="false" ht="15" hidden="false" customHeight="false" outlineLevel="0" collapsed="false">
      <c r="A735" s="45" t="str">
        <f aca="false">IF($D735="","",COUNTA($D$5:$D735))</f>
        <v/>
      </c>
      <c r="B735" s="46"/>
      <c r="C735" s="47"/>
      <c r="D735" s="48"/>
      <c r="E735" s="48"/>
      <c r="F735" s="49"/>
      <c r="G735" s="47"/>
      <c r="H735" s="50"/>
      <c r="I735" s="50"/>
      <c r="J735" s="51" t="str">
        <f aca="false">IF(OR($V735="",$W735=""),"",ROUND(($W735-$V735)/60,2))</f>
        <v/>
      </c>
      <c r="K735" s="52" t="str">
        <f aca="false">IF($F735="","",LEN($F735)-LEN(SUBSTITUTE($F735,",",""))+1)</f>
        <v/>
      </c>
      <c r="L735" s="45" t="str">
        <f aca="false">IF($K735="","","1:"&amp;$K735)</f>
        <v/>
      </c>
      <c r="M735" s="46"/>
      <c r="N735" s="53"/>
      <c r="O735" s="46"/>
      <c r="P735" s="47"/>
      <c r="Q735" s="48"/>
      <c r="R735" s="49"/>
      <c r="S735" s="54" t="str">
        <f aca="false">IF(OR($AC735=0,$U735="",$M735="",$V735="",$W735=""),"",IF(COUNTIFS(m_teacher,$M735,m_date,$U735,m_active,1,m_start,"&lt;"&amp;$W735,m_end,"&gt;"&amp;$V735)&gt;1,"충돌",""))</f>
        <v/>
      </c>
      <c r="T735" s="48"/>
      <c r="U735" s="55" t="str">
        <f aca="false">IF($G735="","",IFERROR(IF(ISNUMBER($G735),IF($G735&gt;19000000,DATE(INT($G735/10000),MOD(INT($G735/100),100),MOD($G735,100)),INT($G735)),IF(LEN(SUBSTITUTE(SUBSTITUTE(SUBSTITUTE(TRIM($G735),"-",""),".",""),"/",""))=8,DATE(VALUE(LEFT(SUBSTITUTE(SUBSTITUTE(SUBSTITUTE(TRIM($G735),"-",""),".",""),"/",""),4)),VALUE(MID(SUBSTITUTE(SUBSTITUTE(SUBSTITUTE(TRIM($G735),"-",""),".",""),"/",""),5,2)),VALUE(RIGHT(SUBSTITUTE(SUBSTITUTE(SUBSTITUTE(TRIM($G735),"-",""),".",""),"/",""),2))),DATEVALUE($G735))),""))</f>
        <v/>
      </c>
      <c r="V735" s="52" t="str">
        <f aca="false">IF($H735="","",IFERROR(IF(IF(ISNUMBER($H735),$H735,IFERROR(TIMEVALUE($H735),VALUE($H735)))&gt;=100,INT(IF(ISNUMBER($H735),$H735,IFERROR(TIMEVALUE($H735),VALUE($H735)))/100)*60+MOD(IF(ISNUMBER($H735),$H735,IFERROR(TIMEVALUE($H735),VALUE($H735))),100),IF(IF(ISNUMBER($H735),$H735,IFERROR(TIMEVALUE($H735),VALUE($H735)))&gt;=1,ROUND(IF(ISNUMBER($H735),$H735,IFERROR(TIMEVALUE($H735),VALUE($H735)))*60,0),ROUND(MOD(IF(ISNUMBER($H735),$H735,IFERROR(TIMEVALUE($H735),VALUE($H735))),1)*1440,0))),""))</f>
        <v/>
      </c>
      <c r="W735" s="52" t="str">
        <f aca="false">IF($I735="","",IFERROR(IF(IF(ISNUMBER($I735),$I735,IFERROR(TIMEVALUE($I735),VALUE($I735)))&gt;=100,INT(IF(ISNUMBER($I735),$I735,IFERROR(TIMEVALUE($I735),VALUE($I735)))/100)*60+MOD(IF(ISNUMBER($I735),$I735,IFERROR(TIMEVALUE($I735),VALUE($I735))),100),IF(IF(ISNUMBER($I735),$I735,IFERROR(TIMEVALUE($I735),VALUE($I735)))&gt;=1,ROUND(IF(ISNUMBER($I735),$I735,IFERROR(TIMEVALUE($I735),VALUE($I735)))*60,0),ROUND(MOD(IF(ISNUMBER($I735),$I735,IFERROR(TIMEVALUE($I735),VALUE($I735))),1)*1440,0))),""))</f>
        <v/>
      </c>
      <c r="X735" s="55" t="str">
        <f aca="false">IF($P735="","",IFERROR(IF(ISNUMBER($P735),IF($P735&gt;19000000,DATE(INT($P735/10000),MOD(INT($P735/100),100),MOD($P735,100)),INT($P735)),IF(LEN(SUBSTITUTE(SUBSTITUTE(SUBSTITUTE(TRIM($P735),"-",""),".",""),"/",""))=8,DATE(VALUE(LEFT(SUBSTITUTE(SUBSTITUTE(SUBSTITUTE(TRIM($P735),"-",""),".",""),"/",""),4)),VALUE(MID(SUBSTITUTE(SUBSTITUTE(SUBSTITUTE(TRIM($P735),"-",""),".",""),"/",""),5,2)),VALUE(RIGHT(SUBSTITUTE(SUBSTITUTE(SUBSTITUTE(TRIM($P735),"-",""),".",""),"/",""),2))),DATEVALUE($P735))),""))</f>
        <v/>
      </c>
      <c r="Y735" s="56" t="str">
        <f aca="false">IF($M735="","",IFERROR(INDEX(강사DB!$D$4:$D$53,MATCH($M735,강사DB!$A$4:$A$53,0)),""))</f>
        <v/>
      </c>
      <c r="Z735" s="56" t="str">
        <f aca="false">IF($B735&lt;&gt;"결제완료","",IF(OR($Y735="",$J735=""),"",$Y735*$J735+MAX(0,N($K735)-1)*설정!$J$7))</f>
        <v/>
      </c>
      <c r="AA735" s="56" t="str">
        <f aca="false">IF(AND($D735&lt;&gt;"",$B735="결제완료"),N($N735),"")</f>
        <v/>
      </c>
      <c r="AB735" s="45" t="str">
        <f aca="false">IF($D735="","",IF($F735&lt;&gt;"",$F735,$D735)&amp;IF($B735="상담중"," (상담)",""))</f>
        <v/>
      </c>
      <c r="AC735" s="45" t="n">
        <f aca="false">IF(AND($D735&lt;&gt;"",OR($B735="결제완료",$B735="상담중")),1,0)</f>
        <v>0</v>
      </c>
      <c r="AD735" s="45" t="n">
        <f aca="false">IF(OR($Z735="",$U735=""),0,IFERROR(IF(COUNTIFS(INDEX(g_grid,0,2*MATCH($M735,강사DB!$A$4:$A$15,0)),"&lt;&gt;",g_s,"&lt;="&amp;$U735,g_e,"&gt;="&amp;$U735)&gt;0,1,0),0))</f>
        <v>0</v>
      </c>
      <c r="AE735" s="48"/>
      <c r="AF735" s="56" t="str">
        <f aca="false">IF(AND($D735&lt;&gt;"",$B735="결제완료",$T735="대여"),설정!$J$5,"")</f>
        <v/>
      </c>
      <c r="AG735" s="54" t="str">
        <f aca="false">IF($D735="","",IF(AND($E735="",$R735=""),$AB735,"☎ "&amp;IF($E735="","-",$E735)&amp;IF($R735&lt;&gt;"","  ※ "&amp;$R735,"")&amp;IF($B735="상담중"," (상담)","")))</f>
        <v/>
      </c>
      <c r="AH735" s="56" t="str">
        <f aca="false">IF(AND($D735&lt;&gt;"",$B735="결제완료",$O735="스마트스토어"),ROUND(N($N735)*설정!$J$6,0),"")</f>
        <v/>
      </c>
      <c r="AI735" s="54" t="str">
        <f aca="false">IF($D735="","",ROW())</f>
        <v/>
      </c>
      <c r="AJ735" s="54" t="n">
        <f aca="false">IF(OR($AC735&lt;&gt;1,$M735=""),0,IF(ISNUMBER(SEARCH("퇴사",IFERROR(INDEX(강사DB!$G$4:$G$53,MATCH($M735,강사DB!$A$4:$A$53,0)),""))),1,0))</f>
        <v>0</v>
      </c>
    </row>
    <row r="736" customFormat="false" ht="15" hidden="false" customHeight="false" outlineLevel="0" collapsed="false">
      <c r="A736" s="45" t="str">
        <f aca="false">IF($D736="","",COUNTA($D$5:$D736))</f>
        <v/>
      </c>
      <c r="B736" s="46"/>
      <c r="C736" s="47"/>
      <c r="D736" s="48"/>
      <c r="E736" s="48"/>
      <c r="F736" s="49"/>
      <c r="G736" s="47"/>
      <c r="H736" s="50"/>
      <c r="I736" s="50"/>
      <c r="J736" s="51" t="str">
        <f aca="false">IF(OR($V736="",$W736=""),"",ROUND(($W736-$V736)/60,2))</f>
        <v/>
      </c>
      <c r="K736" s="52" t="str">
        <f aca="false">IF($F736="","",LEN($F736)-LEN(SUBSTITUTE($F736,",",""))+1)</f>
        <v/>
      </c>
      <c r="L736" s="45" t="str">
        <f aca="false">IF($K736="","","1:"&amp;$K736)</f>
        <v/>
      </c>
      <c r="M736" s="46"/>
      <c r="N736" s="53"/>
      <c r="O736" s="46"/>
      <c r="P736" s="47"/>
      <c r="Q736" s="48"/>
      <c r="R736" s="49"/>
      <c r="S736" s="54" t="str">
        <f aca="false">IF(OR($AC736=0,$U736="",$M736="",$V736="",$W736=""),"",IF(COUNTIFS(m_teacher,$M736,m_date,$U736,m_active,1,m_start,"&lt;"&amp;$W736,m_end,"&gt;"&amp;$V736)&gt;1,"충돌",""))</f>
        <v/>
      </c>
      <c r="T736" s="48"/>
      <c r="U736" s="55" t="str">
        <f aca="false">IF($G736="","",IFERROR(IF(ISNUMBER($G736),IF($G736&gt;19000000,DATE(INT($G736/10000),MOD(INT($G736/100),100),MOD($G736,100)),INT($G736)),IF(LEN(SUBSTITUTE(SUBSTITUTE(SUBSTITUTE(TRIM($G736),"-",""),".",""),"/",""))=8,DATE(VALUE(LEFT(SUBSTITUTE(SUBSTITUTE(SUBSTITUTE(TRIM($G736),"-",""),".",""),"/",""),4)),VALUE(MID(SUBSTITUTE(SUBSTITUTE(SUBSTITUTE(TRIM($G736),"-",""),".",""),"/",""),5,2)),VALUE(RIGHT(SUBSTITUTE(SUBSTITUTE(SUBSTITUTE(TRIM($G736),"-",""),".",""),"/",""),2))),DATEVALUE($G736))),""))</f>
        <v/>
      </c>
      <c r="V736" s="52" t="str">
        <f aca="false">IF($H736="","",IFERROR(IF(IF(ISNUMBER($H736),$H736,IFERROR(TIMEVALUE($H736),VALUE($H736)))&gt;=100,INT(IF(ISNUMBER($H736),$H736,IFERROR(TIMEVALUE($H736),VALUE($H736)))/100)*60+MOD(IF(ISNUMBER($H736),$H736,IFERROR(TIMEVALUE($H736),VALUE($H736))),100),IF(IF(ISNUMBER($H736),$H736,IFERROR(TIMEVALUE($H736),VALUE($H736)))&gt;=1,ROUND(IF(ISNUMBER($H736),$H736,IFERROR(TIMEVALUE($H736),VALUE($H736)))*60,0),ROUND(MOD(IF(ISNUMBER($H736),$H736,IFERROR(TIMEVALUE($H736),VALUE($H736))),1)*1440,0))),""))</f>
        <v/>
      </c>
      <c r="W736" s="52" t="str">
        <f aca="false">IF($I736="","",IFERROR(IF(IF(ISNUMBER($I736),$I736,IFERROR(TIMEVALUE($I736),VALUE($I736)))&gt;=100,INT(IF(ISNUMBER($I736),$I736,IFERROR(TIMEVALUE($I736),VALUE($I736)))/100)*60+MOD(IF(ISNUMBER($I736),$I736,IFERROR(TIMEVALUE($I736),VALUE($I736))),100),IF(IF(ISNUMBER($I736),$I736,IFERROR(TIMEVALUE($I736),VALUE($I736)))&gt;=1,ROUND(IF(ISNUMBER($I736),$I736,IFERROR(TIMEVALUE($I736),VALUE($I736)))*60,0),ROUND(MOD(IF(ISNUMBER($I736),$I736,IFERROR(TIMEVALUE($I736),VALUE($I736))),1)*1440,0))),""))</f>
        <v/>
      </c>
      <c r="X736" s="55" t="str">
        <f aca="false">IF($P736="","",IFERROR(IF(ISNUMBER($P736),IF($P736&gt;19000000,DATE(INT($P736/10000),MOD(INT($P736/100),100),MOD($P736,100)),INT($P736)),IF(LEN(SUBSTITUTE(SUBSTITUTE(SUBSTITUTE(TRIM($P736),"-",""),".",""),"/",""))=8,DATE(VALUE(LEFT(SUBSTITUTE(SUBSTITUTE(SUBSTITUTE(TRIM($P736),"-",""),".",""),"/",""),4)),VALUE(MID(SUBSTITUTE(SUBSTITUTE(SUBSTITUTE(TRIM($P736),"-",""),".",""),"/",""),5,2)),VALUE(RIGHT(SUBSTITUTE(SUBSTITUTE(SUBSTITUTE(TRIM($P736),"-",""),".",""),"/",""),2))),DATEVALUE($P736))),""))</f>
        <v/>
      </c>
      <c r="Y736" s="56" t="str">
        <f aca="false">IF($M736="","",IFERROR(INDEX(강사DB!$D$4:$D$53,MATCH($M736,강사DB!$A$4:$A$53,0)),""))</f>
        <v/>
      </c>
      <c r="Z736" s="56" t="str">
        <f aca="false">IF($B736&lt;&gt;"결제완료","",IF(OR($Y736="",$J736=""),"",$Y736*$J736+MAX(0,N($K736)-1)*설정!$J$7))</f>
        <v/>
      </c>
      <c r="AA736" s="56" t="str">
        <f aca="false">IF(AND($D736&lt;&gt;"",$B736="결제완료"),N($N736),"")</f>
        <v/>
      </c>
      <c r="AB736" s="45" t="str">
        <f aca="false">IF($D736="","",IF($F736&lt;&gt;"",$F736,$D736)&amp;IF($B736="상담중"," (상담)",""))</f>
        <v/>
      </c>
      <c r="AC736" s="45" t="n">
        <f aca="false">IF(AND($D736&lt;&gt;"",OR($B736="결제완료",$B736="상담중")),1,0)</f>
        <v>0</v>
      </c>
      <c r="AD736" s="45" t="n">
        <f aca="false">IF(OR($Z736="",$U736=""),0,IFERROR(IF(COUNTIFS(INDEX(g_grid,0,2*MATCH($M736,강사DB!$A$4:$A$15,0)),"&lt;&gt;",g_s,"&lt;="&amp;$U736,g_e,"&gt;="&amp;$U736)&gt;0,1,0),0))</f>
        <v>0</v>
      </c>
      <c r="AE736" s="48"/>
      <c r="AF736" s="56" t="str">
        <f aca="false">IF(AND($D736&lt;&gt;"",$B736="결제완료",$T736="대여"),설정!$J$5,"")</f>
        <v/>
      </c>
      <c r="AG736" s="54" t="str">
        <f aca="false">IF($D736="","",IF(AND($E736="",$R736=""),$AB736,"☎ "&amp;IF($E736="","-",$E736)&amp;IF($R736&lt;&gt;"","  ※ "&amp;$R736,"")&amp;IF($B736="상담중"," (상담)","")))</f>
        <v/>
      </c>
      <c r="AH736" s="56" t="str">
        <f aca="false">IF(AND($D736&lt;&gt;"",$B736="결제완료",$O736="스마트스토어"),ROUND(N($N736)*설정!$J$6,0),"")</f>
        <v/>
      </c>
      <c r="AI736" s="54" t="str">
        <f aca="false">IF($D736="","",ROW())</f>
        <v/>
      </c>
      <c r="AJ736" s="54" t="n">
        <f aca="false">IF(OR($AC736&lt;&gt;1,$M736=""),0,IF(ISNUMBER(SEARCH("퇴사",IFERROR(INDEX(강사DB!$G$4:$G$53,MATCH($M736,강사DB!$A$4:$A$53,0)),""))),1,0))</f>
        <v>0</v>
      </c>
    </row>
    <row r="737" customFormat="false" ht="15" hidden="false" customHeight="false" outlineLevel="0" collapsed="false">
      <c r="A737" s="45" t="str">
        <f aca="false">IF($D737="","",COUNTA($D$5:$D737))</f>
        <v/>
      </c>
      <c r="B737" s="46"/>
      <c r="C737" s="47"/>
      <c r="D737" s="48"/>
      <c r="E737" s="48"/>
      <c r="F737" s="49"/>
      <c r="G737" s="47"/>
      <c r="H737" s="50"/>
      <c r="I737" s="50"/>
      <c r="J737" s="51" t="str">
        <f aca="false">IF(OR($V737="",$W737=""),"",ROUND(($W737-$V737)/60,2))</f>
        <v/>
      </c>
      <c r="K737" s="52" t="str">
        <f aca="false">IF($F737="","",LEN($F737)-LEN(SUBSTITUTE($F737,",",""))+1)</f>
        <v/>
      </c>
      <c r="L737" s="45" t="str">
        <f aca="false">IF($K737="","","1:"&amp;$K737)</f>
        <v/>
      </c>
      <c r="M737" s="46"/>
      <c r="N737" s="53"/>
      <c r="O737" s="46"/>
      <c r="P737" s="47"/>
      <c r="Q737" s="48"/>
      <c r="R737" s="49"/>
      <c r="S737" s="54" t="str">
        <f aca="false">IF(OR($AC737=0,$U737="",$M737="",$V737="",$W737=""),"",IF(COUNTIFS(m_teacher,$M737,m_date,$U737,m_active,1,m_start,"&lt;"&amp;$W737,m_end,"&gt;"&amp;$V737)&gt;1,"충돌",""))</f>
        <v/>
      </c>
      <c r="T737" s="48"/>
      <c r="U737" s="55" t="str">
        <f aca="false">IF($G737="","",IFERROR(IF(ISNUMBER($G737),IF($G737&gt;19000000,DATE(INT($G737/10000),MOD(INT($G737/100),100),MOD($G737,100)),INT($G737)),IF(LEN(SUBSTITUTE(SUBSTITUTE(SUBSTITUTE(TRIM($G737),"-",""),".",""),"/",""))=8,DATE(VALUE(LEFT(SUBSTITUTE(SUBSTITUTE(SUBSTITUTE(TRIM($G737),"-",""),".",""),"/",""),4)),VALUE(MID(SUBSTITUTE(SUBSTITUTE(SUBSTITUTE(TRIM($G737),"-",""),".",""),"/",""),5,2)),VALUE(RIGHT(SUBSTITUTE(SUBSTITUTE(SUBSTITUTE(TRIM($G737),"-",""),".",""),"/",""),2))),DATEVALUE($G737))),""))</f>
        <v/>
      </c>
      <c r="V737" s="52" t="str">
        <f aca="false">IF($H737="","",IFERROR(IF(IF(ISNUMBER($H737),$H737,IFERROR(TIMEVALUE($H737),VALUE($H737)))&gt;=100,INT(IF(ISNUMBER($H737),$H737,IFERROR(TIMEVALUE($H737),VALUE($H737)))/100)*60+MOD(IF(ISNUMBER($H737),$H737,IFERROR(TIMEVALUE($H737),VALUE($H737))),100),IF(IF(ISNUMBER($H737),$H737,IFERROR(TIMEVALUE($H737),VALUE($H737)))&gt;=1,ROUND(IF(ISNUMBER($H737),$H737,IFERROR(TIMEVALUE($H737),VALUE($H737)))*60,0),ROUND(MOD(IF(ISNUMBER($H737),$H737,IFERROR(TIMEVALUE($H737),VALUE($H737))),1)*1440,0))),""))</f>
        <v/>
      </c>
      <c r="W737" s="52" t="str">
        <f aca="false">IF($I737="","",IFERROR(IF(IF(ISNUMBER($I737),$I737,IFERROR(TIMEVALUE($I737),VALUE($I737)))&gt;=100,INT(IF(ISNUMBER($I737),$I737,IFERROR(TIMEVALUE($I737),VALUE($I737)))/100)*60+MOD(IF(ISNUMBER($I737),$I737,IFERROR(TIMEVALUE($I737),VALUE($I737))),100),IF(IF(ISNUMBER($I737),$I737,IFERROR(TIMEVALUE($I737),VALUE($I737)))&gt;=1,ROUND(IF(ISNUMBER($I737),$I737,IFERROR(TIMEVALUE($I737),VALUE($I737)))*60,0),ROUND(MOD(IF(ISNUMBER($I737),$I737,IFERROR(TIMEVALUE($I737),VALUE($I737))),1)*1440,0))),""))</f>
        <v/>
      </c>
      <c r="X737" s="55" t="str">
        <f aca="false">IF($P737="","",IFERROR(IF(ISNUMBER($P737),IF($P737&gt;19000000,DATE(INT($P737/10000),MOD(INT($P737/100),100),MOD($P737,100)),INT($P737)),IF(LEN(SUBSTITUTE(SUBSTITUTE(SUBSTITUTE(TRIM($P737),"-",""),".",""),"/",""))=8,DATE(VALUE(LEFT(SUBSTITUTE(SUBSTITUTE(SUBSTITUTE(TRIM($P737),"-",""),".",""),"/",""),4)),VALUE(MID(SUBSTITUTE(SUBSTITUTE(SUBSTITUTE(TRIM($P737),"-",""),".",""),"/",""),5,2)),VALUE(RIGHT(SUBSTITUTE(SUBSTITUTE(SUBSTITUTE(TRIM($P737),"-",""),".",""),"/",""),2))),DATEVALUE($P737))),""))</f>
        <v/>
      </c>
      <c r="Y737" s="56" t="str">
        <f aca="false">IF($M737="","",IFERROR(INDEX(강사DB!$D$4:$D$53,MATCH($M737,강사DB!$A$4:$A$53,0)),""))</f>
        <v/>
      </c>
      <c r="Z737" s="56" t="str">
        <f aca="false">IF($B737&lt;&gt;"결제완료","",IF(OR($Y737="",$J737=""),"",$Y737*$J737+MAX(0,N($K737)-1)*설정!$J$7))</f>
        <v/>
      </c>
      <c r="AA737" s="56" t="str">
        <f aca="false">IF(AND($D737&lt;&gt;"",$B737="결제완료"),N($N737),"")</f>
        <v/>
      </c>
      <c r="AB737" s="45" t="str">
        <f aca="false">IF($D737="","",IF($F737&lt;&gt;"",$F737,$D737)&amp;IF($B737="상담중"," (상담)",""))</f>
        <v/>
      </c>
      <c r="AC737" s="45" t="n">
        <f aca="false">IF(AND($D737&lt;&gt;"",OR($B737="결제완료",$B737="상담중")),1,0)</f>
        <v>0</v>
      </c>
      <c r="AD737" s="45" t="n">
        <f aca="false">IF(OR($Z737="",$U737=""),0,IFERROR(IF(COUNTIFS(INDEX(g_grid,0,2*MATCH($M737,강사DB!$A$4:$A$15,0)),"&lt;&gt;",g_s,"&lt;="&amp;$U737,g_e,"&gt;="&amp;$U737)&gt;0,1,0),0))</f>
        <v>0</v>
      </c>
      <c r="AE737" s="48"/>
      <c r="AF737" s="56" t="str">
        <f aca="false">IF(AND($D737&lt;&gt;"",$B737="결제완료",$T737="대여"),설정!$J$5,"")</f>
        <v/>
      </c>
      <c r="AG737" s="54" t="str">
        <f aca="false">IF($D737="","",IF(AND($E737="",$R737=""),$AB737,"☎ "&amp;IF($E737="","-",$E737)&amp;IF($R737&lt;&gt;"","  ※ "&amp;$R737,"")&amp;IF($B737="상담중"," (상담)","")))</f>
        <v/>
      </c>
      <c r="AH737" s="56" t="str">
        <f aca="false">IF(AND($D737&lt;&gt;"",$B737="결제완료",$O737="스마트스토어"),ROUND(N($N737)*설정!$J$6,0),"")</f>
        <v/>
      </c>
      <c r="AI737" s="54" t="str">
        <f aca="false">IF($D737="","",ROW())</f>
        <v/>
      </c>
      <c r="AJ737" s="54" t="n">
        <f aca="false">IF(OR($AC737&lt;&gt;1,$M737=""),0,IF(ISNUMBER(SEARCH("퇴사",IFERROR(INDEX(강사DB!$G$4:$G$53,MATCH($M737,강사DB!$A$4:$A$53,0)),""))),1,0))</f>
        <v>0</v>
      </c>
    </row>
    <row r="738" customFormat="false" ht="15" hidden="false" customHeight="false" outlineLevel="0" collapsed="false">
      <c r="A738" s="45" t="str">
        <f aca="false">IF($D738="","",COUNTA($D$5:$D738))</f>
        <v/>
      </c>
      <c r="B738" s="46"/>
      <c r="C738" s="47"/>
      <c r="D738" s="48"/>
      <c r="E738" s="48"/>
      <c r="F738" s="49"/>
      <c r="G738" s="47"/>
      <c r="H738" s="50"/>
      <c r="I738" s="50"/>
      <c r="J738" s="51" t="str">
        <f aca="false">IF(OR($V738="",$W738=""),"",ROUND(($W738-$V738)/60,2))</f>
        <v/>
      </c>
      <c r="K738" s="52" t="str">
        <f aca="false">IF($F738="","",LEN($F738)-LEN(SUBSTITUTE($F738,",",""))+1)</f>
        <v/>
      </c>
      <c r="L738" s="45" t="str">
        <f aca="false">IF($K738="","","1:"&amp;$K738)</f>
        <v/>
      </c>
      <c r="M738" s="46"/>
      <c r="N738" s="53"/>
      <c r="O738" s="46"/>
      <c r="P738" s="47"/>
      <c r="Q738" s="48"/>
      <c r="R738" s="49"/>
      <c r="S738" s="54" t="str">
        <f aca="false">IF(OR($AC738=0,$U738="",$M738="",$V738="",$W738=""),"",IF(COUNTIFS(m_teacher,$M738,m_date,$U738,m_active,1,m_start,"&lt;"&amp;$W738,m_end,"&gt;"&amp;$V738)&gt;1,"충돌",""))</f>
        <v/>
      </c>
      <c r="T738" s="48"/>
      <c r="U738" s="55" t="str">
        <f aca="false">IF($G738="","",IFERROR(IF(ISNUMBER($G738),IF($G738&gt;19000000,DATE(INT($G738/10000),MOD(INT($G738/100),100),MOD($G738,100)),INT($G738)),IF(LEN(SUBSTITUTE(SUBSTITUTE(SUBSTITUTE(TRIM($G738),"-",""),".",""),"/",""))=8,DATE(VALUE(LEFT(SUBSTITUTE(SUBSTITUTE(SUBSTITUTE(TRIM($G738),"-",""),".",""),"/",""),4)),VALUE(MID(SUBSTITUTE(SUBSTITUTE(SUBSTITUTE(TRIM($G738),"-",""),".",""),"/",""),5,2)),VALUE(RIGHT(SUBSTITUTE(SUBSTITUTE(SUBSTITUTE(TRIM($G738),"-",""),".",""),"/",""),2))),DATEVALUE($G738))),""))</f>
        <v/>
      </c>
      <c r="V738" s="52" t="str">
        <f aca="false">IF($H738="","",IFERROR(IF(IF(ISNUMBER($H738),$H738,IFERROR(TIMEVALUE($H738),VALUE($H738)))&gt;=100,INT(IF(ISNUMBER($H738),$H738,IFERROR(TIMEVALUE($H738),VALUE($H738)))/100)*60+MOD(IF(ISNUMBER($H738),$H738,IFERROR(TIMEVALUE($H738),VALUE($H738))),100),IF(IF(ISNUMBER($H738),$H738,IFERROR(TIMEVALUE($H738),VALUE($H738)))&gt;=1,ROUND(IF(ISNUMBER($H738),$H738,IFERROR(TIMEVALUE($H738),VALUE($H738)))*60,0),ROUND(MOD(IF(ISNUMBER($H738),$H738,IFERROR(TIMEVALUE($H738),VALUE($H738))),1)*1440,0))),""))</f>
        <v/>
      </c>
      <c r="W738" s="52" t="str">
        <f aca="false">IF($I738="","",IFERROR(IF(IF(ISNUMBER($I738),$I738,IFERROR(TIMEVALUE($I738),VALUE($I738)))&gt;=100,INT(IF(ISNUMBER($I738),$I738,IFERROR(TIMEVALUE($I738),VALUE($I738)))/100)*60+MOD(IF(ISNUMBER($I738),$I738,IFERROR(TIMEVALUE($I738),VALUE($I738))),100),IF(IF(ISNUMBER($I738),$I738,IFERROR(TIMEVALUE($I738),VALUE($I738)))&gt;=1,ROUND(IF(ISNUMBER($I738),$I738,IFERROR(TIMEVALUE($I738),VALUE($I738)))*60,0),ROUND(MOD(IF(ISNUMBER($I738),$I738,IFERROR(TIMEVALUE($I738),VALUE($I738))),1)*1440,0))),""))</f>
        <v/>
      </c>
      <c r="X738" s="55" t="str">
        <f aca="false">IF($P738="","",IFERROR(IF(ISNUMBER($P738),IF($P738&gt;19000000,DATE(INT($P738/10000),MOD(INT($P738/100),100),MOD($P738,100)),INT($P738)),IF(LEN(SUBSTITUTE(SUBSTITUTE(SUBSTITUTE(TRIM($P738),"-",""),".",""),"/",""))=8,DATE(VALUE(LEFT(SUBSTITUTE(SUBSTITUTE(SUBSTITUTE(TRIM($P738),"-",""),".",""),"/",""),4)),VALUE(MID(SUBSTITUTE(SUBSTITUTE(SUBSTITUTE(TRIM($P738),"-",""),".",""),"/",""),5,2)),VALUE(RIGHT(SUBSTITUTE(SUBSTITUTE(SUBSTITUTE(TRIM($P738),"-",""),".",""),"/",""),2))),DATEVALUE($P738))),""))</f>
        <v/>
      </c>
      <c r="Y738" s="56" t="str">
        <f aca="false">IF($M738="","",IFERROR(INDEX(강사DB!$D$4:$D$53,MATCH($M738,강사DB!$A$4:$A$53,0)),""))</f>
        <v/>
      </c>
      <c r="Z738" s="56" t="str">
        <f aca="false">IF($B738&lt;&gt;"결제완료","",IF(OR($Y738="",$J738=""),"",$Y738*$J738+MAX(0,N($K738)-1)*설정!$J$7))</f>
        <v/>
      </c>
      <c r="AA738" s="56" t="str">
        <f aca="false">IF(AND($D738&lt;&gt;"",$B738="결제완료"),N($N738),"")</f>
        <v/>
      </c>
      <c r="AB738" s="45" t="str">
        <f aca="false">IF($D738="","",IF($F738&lt;&gt;"",$F738,$D738)&amp;IF($B738="상담중"," (상담)",""))</f>
        <v/>
      </c>
      <c r="AC738" s="45" t="n">
        <f aca="false">IF(AND($D738&lt;&gt;"",OR($B738="결제완료",$B738="상담중")),1,0)</f>
        <v>0</v>
      </c>
      <c r="AD738" s="45" t="n">
        <f aca="false">IF(OR($Z738="",$U738=""),0,IFERROR(IF(COUNTIFS(INDEX(g_grid,0,2*MATCH($M738,강사DB!$A$4:$A$15,0)),"&lt;&gt;",g_s,"&lt;="&amp;$U738,g_e,"&gt;="&amp;$U738)&gt;0,1,0),0))</f>
        <v>0</v>
      </c>
      <c r="AE738" s="48"/>
      <c r="AF738" s="56" t="str">
        <f aca="false">IF(AND($D738&lt;&gt;"",$B738="결제완료",$T738="대여"),설정!$J$5,"")</f>
        <v/>
      </c>
      <c r="AG738" s="54" t="str">
        <f aca="false">IF($D738="","",IF(AND($E738="",$R738=""),$AB738,"☎ "&amp;IF($E738="","-",$E738)&amp;IF($R738&lt;&gt;"","  ※ "&amp;$R738,"")&amp;IF($B738="상담중"," (상담)","")))</f>
        <v/>
      </c>
      <c r="AH738" s="56" t="str">
        <f aca="false">IF(AND($D738&lt;&gt;"",$B738="결제완료",$O738="스마트스토어"),ROUND(N($N738)*설정!$J$6,0),"")</f>
        <v/>
      </c>
      <c r="AI738" s="54" t="str">
        <f aca="false">IF($D738="","",ROW())</f>
        <v/>
      </c>
      <c r="AJ738" s="54" t="n">
        <f aca="false">IF(OR($AC738&lt;&gt;1,$M738=""),0,IF(ISNUMBER(SEARCH("퇴사",IFERROR(INDEX(강사DB!$G$4:$G$53,MATCH($M738,강사DB!$A$4:$A$53,0)),""))),1,0))</f>
        <v>0</v>
      </c>
    </row>
    <row r="739" customFormat="false" ht="15" hidden="false" customHeight="false" outlineLevel="0" collapsed="false">
      <c r="A739" s="45" t="str">
        <f aca="false">IF($D739="","",COUNTA($D$5:$D739))</f>
        <v/>
      </c>
      <c r="B739" s="46"/>
      <c r="C739" s="47"/>
      <c r="D739" s="48"/>
      <c r="E739" s="48"/>
      <c r="F739" s="49"/>
      <c r="G739" s="47"/>
      <c r="H739" s="50"/>
      <c r="I739" s="50"/>
      <c r="J739" s="51" t="str">
        <f aca="false">IF(OR($V739="",$W739=""),"",ROUND(($W739-$V739)/60,2))</f>
        <v/>
      </c>
      <c r="K739" s="52" t="str">
        <f aca="false">IF($F739="","",LEN($F739)-LEN(SUBSTITUTE($F739,",",""))+1)</f>
        <v/>
      </c>
      <c r="L739" s="45" t="str">
        <f aca="false">IF($K739="","","1:"&amp;$K739)</f>
        <v/>
      </c>
      <c r="M739" s="46"/>
      <c r="N739" s="53"/>
      <c r="O739" s="46"/>
      <c r="P739" s="47"/>
      <c r="Q739" s="48"/>
      <c r="R739" s="49"/>
      <c r="S739" s="54" t="str">
        <f aca="false">IF(OR($AC739=0,$U739="",$M739="",$V739="",$W739=""),"",IF(COUNTIFS(m_teacher,$M739,m_date,$U739,m_active,1,m_start,"&lt;"&amp;$W739,m_end,"&gt;"&amp;$V739)&gt;1,"충돌",""))</f>
        <v/>
      </c>
      <c r="T739" s="48"/>
      <c r="U739" s="55" t="str">
        <f aca="false">IF($G739="","",IFERROR(IF(ISNUMBER($G739),IF($G739&gt;19000000,DATE(INT($G739/10000),MOD(INT($G739/100),100),MOD($G739,100)),INT($G739)),IF(LEN(SUBSTITUTE(SUBSTITUTE(SUBSTITUTE(TRIM($G739),"-",""),".",""),"/",""))=8,DATE(VALUE(LEFT(SUBSTITUTE(SUBSTITUTE(SUBSTITUTE(TRIM($G739),"-",""),".",""),"/",""),4)),VALUE(MID(SUBSTITUTE(SUBSTITUTE(SUBSTITUTE(TRIM($G739),"-",""),".",""),"/",""),5,2)),VALUE(RIGHT(SUBSTITUTE(SUBSTITUTE(SUBSTITUTE(TRIM($G739),"-",""),".",""),"/",""),2))),DATEVALUE($G739))),""))</f>
        <v/>
      </c>
      <c r="V739" s="52" t="str">
        <f aca="false">IF($H739="","",IFERROR(IF(IF(ISNUMBER($H739),$H739,IFERROR(TIMEVALUE($H739),VALUE($H739)))&gt;=100,INT(IF(ISNUMBER($H739),$H739,IFERROR(TIMEVALUE($H739),VALUE($H739)))/100)*60+MOD(IF(ISNUMBER($H739),$H739,IFERROR(TIMEVALUE($H739),VALUE($H739))),100),IF(IF(ISNUMBER($H739),$H739,IFERROR(TIMEVALUE($H739),VALUE($H739)))&gt;=1,ROUND(IF(ISNUMBER($H739),$H739,IFERROR(TIMEVALUE($H739),VALUE($H739)))*60,0),ROUND(MOD(IF(ISNUMBER($H739),$H739,IFERROR(TIMEVALUE($H739),VALUE($H739))),1)*1440,0))),""))</f>
        <v/>
      </c>
      <c r="W739" s="52" t="str">
        <f aca="false">IF($I739="","",IFERROR(IF(IF(ISNUMBER($I739),$I739,IFERROR(TIMEVALUE($I739),VALUE($I739)))&gt;=100,INT(IF(ISNUMBER($I739),$I739,IFERROR(TIMEVALUE($I739),VALUE($I739)))/100)*60+MOD(IF(ISNUMBER($I739),$I739,IFERROR(TIMEVALUE($I739),VALUE($I739))),100),IF(IF(ISNUMBER($I739),$I739,IFERROR(TIMEVALUE($I739),VALUE($I739)))&gt;=1,ROUND(IF(ISNUMBER($I739),$I739,IFERROR(TIMEVALUE($I739),VALUE($I739)))*60,0),ROUND(MOD(IF(ISNUMBER($I739),$I739,IFERROR(TIMEVALUE($I739),VALUE($I739))),1)*1440,0))),""))</f>
        <v/>
      </c>
      <c r="X739" s="55" t="str">
        <f aca="false">IF($P739="","",IFERROR(IF(ISNUMBER($P739),IF($P739&gt;19000000,DATE(INT($P739/10000),MOD(INT($P739/100),100),MOD($P739,100)),INT($P739)),IF(LEN(SUBSTITUTE(SUBSTITUTE(SUBSTITUTE(TRIM($P739),"-",""),".",""),"/",""))=8,DATE(VALUE(LEFT(SUBSTITUTE(SUBSTITUTE(SUBSTITUTE(TRIM($P739),"-",""),".",""),"/",""),4)),VALUE(MID(SUBSTITUTE(SUBSTITUTE(SUBSTITUTE(TRIM($P739),"-",""),".",""),"/",""),5,2)),VALUE(RIGHT(SUBSTITUTE(SUBSTITUTE(SUBSTITUTE(TRIM($P739),"-",""),".",""),"/",""),2))),DATEVALUE($P739))),""))</f>
        <v/>
      </c>
      <c r="Y739" s="56" t="str">
        <f aca="false">IF($M739="","",IFERROR(INDEX(강사DB!$D$4:$D$53,MATCH($M739,강사DB!$A$4:$A$53,0)),""))</f>
        <v/>
      </c>
      <c r="Z739" s="56" t="str">
        <f aca="false">IF($B739&lt;&gt;"결제완료","",IF(OR($Y739="",$J739=""),"",$Y739*$J739+MAX(0,N($K739)-1)*설정!$J$7))</f>
        <v/>
      </c>
      <c r="AA739" s="56" t="str">
        <f aca="false">IF(AND($D739&lt;&gt;"",$B739="결제완료"),N($N739),"")</f>
        <v/>
      </c>
      <c r="AB739" s="45" t="str">
        <f aca="false">IF($D739="","",IF($F739&lt;&gt;"",$F739,$D739)&amp;IF($B739="상담중"," (상담)",""))</f>
        <v/>
      </c>
      <c r="AC739" s="45" t="n">
        <f aca="false">IF(AND($D739&lt;&gt;"",OR($B739="결제완료",$B739="상담중")),1,0)</f>
        <v>0</v>
      </c>
      <c r="AD739" s="45" t="n">
        <f aca="false">IF(OR($Z739="",$U739=""),0,IFERROR(IF(COUNTIFS(INDEX(g_grid,0,2*MATCH($M739,강사DB!$A$4:$A$15,0)),"&lt;&gt;",g_s,"&lt;="&amp;$U739,g_e,"&gt;="&amp;$U739)&gt;0,1,0),0))</f>
        <v>0</v>
      </c>
      <c r="AE739" s="48"/>
      <c r="AF739" s="56" t="str">
        <f aca="false">IF(AND($D739&lt;&gt;"",$B739="결제완료",$T739="대여"),설정!$J$5,"")</f>
        <v/>
      </c>
      <c r="AG739" s="54" t="str">
        <f aca="false">IF($D739="","",IF(AND($E739="",$R739=""),$AB739,"☎ "&amp;IF($E739="","-",$E739)&amp;IF($R739&lt;&gt;"","  ※ "&amp;$R739,"")&amp;IF($B739="상담중"," (상담)","")))</f>
        <v/>
      </c>
      <c r="AH739" s="56" t="str">
        <f aca="false">IF(AND($D739&lt;&gt;"",$B739="결제완료",$O739="스마트스토어"),ROUND(N($N739)*설정!$J$6,0),"")</f>
        <v/>
      </c>
      <c r="AI739" s="54" t="str">
        <f aca="false">IF($D739="","",ROW())</f>
        <v/>
      </c>
      <c r="AJ739" s="54" t="n">
        <f aca="false">IF(OR($AC739&lt;&gt;1,$M739=""),0,IF(ISNUMBER(SEARCH("퇴사",IFERROR(INDEX(강사DB!$G$4:$G$53,MATCH($M739,강사DB!$A$4:$A$53,0)),""))),1,0))</f>
        <v>0</v>
      </c>
    </row>
    <row r="740" customFormat="false" ht="15" hidden="false" customHeight="false" outlineLevel="0" collapsed="false">
      <c r="A740" s="45" t="str">
        <f aca="false">IF($D740="","",COUNTA($D$5:$D740))</f>
        <v/>
      </c>
      <c r="B740" s="46"/>
      <c r="C740" s="47"/>
      <c r="D740" s="48"/>
      <c r="E740" s="48"/>
      <c r="F740" s="49"/>
      <c r="G740" s="47"/>
      <c r="H740" s="50"/>
      <c r="I740" s="50"/>
      <c r="J740" s="51" t="str">
        <f aca="false">IF(OR($V740="",$W740=""),"",ROUND(($W740-$V740)/60,2))</f>
        <v/>
      </c>
      <c r="K740" s="52" t="str">
        <f aca="false">IF($F740="","",LEN($F740)-LEN(SUBSTITUTE($F740,",",""))+1)</f>
        <v/>
      </c>
      <c r="L740" s="45" t="str">
        <f aca="false">IF($K740="","","1:"&amp;$K740)</f>
        <v/>
      </c>
      <c r="M740" s="46"/>
      <c r="N740" s="53"/>
      <c r="O740" s="46"/>
      <c r="P740" s="47"/>
      <c r="Q740" s="48"/>
      <c r="R740" s="49"/>
      <c r="S740" s="54" t="str">
        <f aca="false">IF(OR($AC740=0,$U740="",$M740="",$V740="",$W740=""),"",IF(COUNTIFS(m_teacher,$M740,m_date,$U740,m_active,1,m_start,"&lt;"&amp;$W740,m_end,"&gt;"&amp;$V740)&gt;1,"충돌",""))</f>
        <v/>
      </c>
      <c r="T740" s="48"/>
      <c r="U740" s="55" t="str">
        <f aca="false">IF($G740="","",IFERROR(IF(ISNUMBER($G740),IF($G740&gt;19000000,DATE(INT($G740/10000),MOD(INT($G740/100),100),MOD($G740,100)),INT($G740)),IF(LEN(SUBSTITUTE(SUBSTITUTE(SUBSTITUTE(TRIM($G740),"-",""),".",""),"/",""))=8,DATE(VALUE(LEFT(SUBSTITUTE(SUBSTITUTE(SUBSTITUTE(TRIM($G740),"-",""),".",""),"/",""),4)),VALUE(MID(SUBSTITUTE(SUBSTITUTE(SUBSTITUTE(TRIM($G740),"-",""),".",""),"/",""),5,2)),VALUE(RIGHT(SUBSTITUTE(SUBSTITUTE(SUBSTITUTE(TRIM($G740),"-",""),".",""),"/",""),2))),DATEVALUE($G740))),""))</f>
        <v/>
      </c>
      <c r="V740" s="52" t="str">
        <f aca="false">IF($H740="","",IFERROR(IF(IF(ISNUMBER($H740),$H740,IFERROR(TIMEVALUE($H740),VALUE($H740)))&gt;=100,INT(IF(ISNUMBER($H740),$H740,IFERROR(TIMEVALUE($H740),VALUE($H740)))/100)*60+MOD(IF(ISNUMBER($H740),$H740,IFERROR(TIMEVALUE($H740),VALUE($H740))),100),IF(IF(ISNUMBER($H740),$H740,IFERROR(TIMEVALUE($H740),VALUE($H740)))&gt;=1,ROUND(IF(ISNUMBER($H740),$H740,IFERROR(TIMEVALUE($H740),VALUE($H740)))*60,0),ROUND(MOD(IF(ISNUMBER($H740),$H740,IFERROR(TIMEVALUE($H740),VALUE($H740))),1)*1440,0))),""))</f>
        <v/>
      </c>
      <c r="W740" s="52" t="str">
        <f aca="false">IF($I740="","",IFERROR(IF(IF(ISNUMBER($I740),$I740,IFERROR(TIMEVALUE($I740),VALUE($I740)))&gt;=100,INT(IF(ISNUMBER($I740),$I740,IFERROR(TIMEVALUE($I740),VALUE($I740)))/100)*60+MOD(IF(ISNUMBER($I740),$I740,IFERROR(TIMEVALUE($I740),VALUE($I740))),100),IF(IF(ISNUMBER($I740),$I740,IFERROR(TIMEVALUE($I740),VALUE($I740)))&gt;=1,ROUND(IF(ISNUMBER($I740),$I740,IFERROR(TIMEVALUE($I740),VALUE($I740)))*60,0),ROUND(MOD(IF(ISNUMBER($I740),$I740,IFERROR(TIMEVALUE($I740),VALUE($I740))),1)*1440,0))),""))</f>
        <v/>
      </c>
      <c r="X740" s="55" t="str">
        <f aca="false">IF($P740="","",IFERROR(IF(ISNUMBER($P740),IF($P740&gt;19000000,DATE(INT($P740/10000),MOD(INT($P740/100),100),MOD($P740,100)),INT($P740)),IF(LEN(SUBSTITUTE(SUBSTITUTE(SUBSTITUTE(TRIM($P740),"-",""),".",""),"/",""))=8,DATE(VALUE(LEFT(SUBSTITUTE(SUBSTITUTE(SUBSTITUTE(TRIM($P740),"-",""),".",""),"/",""),4)),VALUE(MID(SUBSTITUTE(SUBSTITUTE(SUBSTITUTE(TRIM($P740),"-",""),".",""),"/",""),5,2)),VALUE(RIGHT(SUBSTITUTE(SUBSTITUTE(SUBSTITUTE(TRIM($P740),"-",""),".",""),"/",""),2))),DATEVALUE($P740))),""))</f>
        <v/>
      </c>
      <c r="Y740" s="56" t="str">
        <f aca="false">IF($M740="","",IFERROR(INDEX(강사DB!$D$4:$D$53,MATCH($M740,강사DB!$A$4:$A$53,0)),""))</f>
        <v/>
      </c>
      <c r="Z740" s="56" t="str">
        <f aca="false">IF($B740&lt;&gt;"결제완료","",IF(OR($Y740="",$J740=""),"",$Y740*$J740+MAX(0,N($K740)-1)*설정!$J$7))</f>
        <v/>
      </c>
      <c r="AA740" s="56" t="str">
        <f aca="false">IF(AND($D740&lt;&gt;"",$B740="결제완료"),N($N740),"")</f>
        <v/>
      </c>
      <c r="AB740" s="45" t="str">
        <f aca="false">IF($D740="","",IF($F740&lt;&gt;"",$F740,$D740)&amp;IF($B740="상담중"," (상담)",""))</f>
        <v/>
      </c>
      <c r="AC740" s="45" t="n">
        <f aca="false">IF(AND($D740&lt;&gt;"",OR($B740="결제완료",$B740="상담중")),1,0)</f>
        <v>0</v>
      </c>
      <c r="AD740" s="45" t="n">
        <f aca="false">IF(OR($Z740="",$U740=""),0,IFERROR(IF(COUNTIFS(INDEX(g_grid,0,2*MATCH($M740,강사DB!$A$4:$A$15,0)),"&lt;&gt;",g_s,"&lt;="&amp;$U740,g_e,"&gt;="&amp;$U740)&gt;0,1,0),0))</f>
        <v>0</v>
      </c>
      <c r="AE740" s="48"/>
      <c r="AF740" s="56" t="str">
        <f aca="false">IF(AND($D740&lt;&gt;"",$B740="결제완료",$T740="대여"),설정!$J$5,"")</f>
        <v/>
      </c>
      <c r="AG740" s="54" t="str">
        <f aca="false">IF($D740="","",IF(AND($E740="",$R740=""),$AB740,"☎ "&amp;IF($E740="","-",$E740)&amp;IF($R740&lt;&gt;"","  ※ "&amp;$R740,"")&amp;IF($B740="상담중"," (상담)","")))</f>
        <v/>
      </c>
      <c r="AH740" s="56" t="str">
        <f aca="false">IF(AND($D740&lt;&gt;"",$B740="결제완료",$O740="스마트스토어"),ROUND(N($N740)*설정!$J$6,0),"")</f>
        <v/>
      </c>
      <c r="AI740" s="54" t="str">
        <f aca="false">IF($D740="","",ROW())</f>
        <v/>
      </c>
      <c r="AJ740" s="54" t="n">
        <f aca="false">IF(OR($AC740&lt;&gt;1,$M740=""),0,IF(ISNUMBER(SEARCH("퇴사",IFERROR(INDEX(강사DB!$G$4:$G$53,MATCH($M740,강사DB!$A$4:$A$53,0)),""))),1,0))</f>
        <v>0</v>
      </c>
    </row>
    <row r="741" customFormat="false" ht="15" hidden="false" customHeight="false" outlineLevel="0" collapsed="false">
      <c r="A741" s="45" t="str">
        <f aca="false">IF($D741="","",COUNTA($D$5:$D741))</f>
        <v/>
      </c>
      <c r="B741" s="46"/>
      <c r="C741" s="47"/>
      <c r="D741" s="48"/>
      <c r="E741" s="48"/>
      <c r="F741" s="49"/>
      <c r="G741" s="47"/>
      <c r="H741" s="50"/>
      <c r="I741" s="50"/>
      <c r="J741" s="51" t="str">
        <f aca="false">IF(OR($V741="",$W741=""),"",ROUND(($W741-$V741)/60,2))</f>
        <v/>
      </c>
      <c r="K741" s="52" t="str">
        <f aca="false">IF($F741="","",LEN($F741)-LEN(SUBSTITUTE($F741,",",""))+1)</f>
        <v/>
      </c>
      <c r="L741" s="45" t="str">
        <f aca="false">IF($K741="","","1:"&amp;$K741)</f>
        <v/>
      </c>
      <c r="M741" s="46"/>
      <c r="N741" s="53"/>
      <c r="O741" s="46"/>
      <c r="P741" s="47"/>
      <c r="Q741" s="48"/>
      <c r="R741" s="49"/>
      <c r="S741" s="54" t="str">
        <f aca="false">IF(OR($AC741=0,$U741="",$M741="",$V741="",$W741=""),"",IF(COUNTIFS(m_teacher,$M741,m_date,$U741,m_active,1,m_start,"&lt;"&amp;$W741,m_end,"&gt;"&amp;$V741)&gt;1,"충돌",""))</f>
        <v/>
      </c>
      <c r="T741" s="48"/>
      <c r="U741" s="55" t="str">
        <f aca="false">IF($G741="","",IFERROR(IF(ISNUMBER($G741),IF($G741&gt;19000000,DATE(INT($G741/10000),MOD(INT($G741/100),100),MOD($G741,100)),INT($G741)),IF(LEN(SUBSTITUTE(SUBSTITUTE(SUBSTITUTE(TRIM($G741),"-",""),".",""),"/",""))=8,DATE(VALUE(LEFT(SUBSTITUTE(SUBSTITUTE(SUBSTITUTE(TRIM($G741),"-",""),".",""),"/",""),4)),VALUE(MID(SUBSTITUTE(SUBSTITUTE(SUBSTITUTE(TRIM($G741),"-",""),".",""),"/",""),5,2)),VALUE(RIGHT(SUBSTITUTE(SUBSTITUTE(SUBSTITUTE(TRIM($G741),"-",""),".",""),"/",""),2))),DATEVALUE($G741))),""))</f>
        <v/>
      </c>
      <c r="V741" s="52" t="str">
        <f aca="false">IF($H741="","",IFERROR(IF(IF(ISNUMBER($H741),$H741,IFERROR(TIMEVALUE($H741),VALUE($H741)))&gt;=100,INT(IF(ISNUMBER($H741),$H741,IFERROR(TIMEVALUE($H741),VALUE($H741)))/100)*60+MOD(IF(ISNUMBER($H741),$H741,IFERROR(TIMEVALUE($H741),VALUE($H741))),100),IF(IF(ISNUMBER($H741),$H741,IFERROR(TIMEVALUE($H741),VALUE($H741)))&gt;=1,ROUND(IF(ISNUMBER($H741),$H741,IFERROR(TIMEVALUE($H741),VALUE($H741)))*60,0),ROUND(MOD(IF(ISNUMBER($H741),$H741,IFERROR(TIMEVALUE($H741),VALUE($H741))),1)*1440,0))),""))</f>
        <v/>
      </c>
      <c r="W741" s="52" t="str">
        <f aca="false">IF($I741="","",IFERROR(IF(IF(ISNUMBER($I741),$I741,IFERROR(TIMEVALUE($I741),VALUE($I741)))&gt;=100,INT(IF(ISNUMBER($I741),$I741,IFERROR(TIMEVALUE($I741),VALUE($I741)))/100)*60+MOD(IF(ISNUMBER($I741),$I741,IFERROR(TIMEVALUE($I741),VALUE($I741))),100),IF(IF(ISNUMBER($I741),$I741,IFERROR(TIMEVALUE($I741),VALUE($I741)))&gt;=1,ROUND(IF(ISNUMBER($I741),$I741,IFERROR(TIMEVALUE($I741),VALUE($I741)))*60,0),ROUND(MOD(IF(ISNUMBER($I741),$I741,IFERROR(TIMEVALUE($I741),VALUE($I741))),1)*1440,0))),""))</f>
        <v/>
      </c>
      <c r="X741" s="55" t="str">
        <f aca="false">IF($P741="","",IFERROR(IF(ISNUMBER($P741),IF($P741&gt;19000000,DATE(INT($P741/10000),MOD(INT($P741/100),100),MOD($P741,100)),INT($P741)),IF(LEN(SUBSTITUTE(SUBSTITUTE(SUBSTITUTE(TRIM($P741),"-",""),".",""),"/",""))=8,DATE(VALUE(LEFT(SUBSTITUTE(SUBSTITUTE(SUBSTITUTE(TRIM($P741),"-",""),".",""),"/",""),4)),VALUE(MID(SUBSTITUTE(SUBSTITUTE(SUBSTITUTE(TRIM($P741),"-",""),".",""),"/",""),5,2)),VALUE(RIGHT(SUBSTITUTE(SUBSTITUTE(SUBSTITUTE(TRIM($P741),"-",""),".",""),"/",""),2))),DATEVALUE($P741))),""))</f>
        <v/>
      </c>
      <c r="Y741" s="56" t="str">
        <f aca="false">IF($M741="","",IFERROR(INDEX(강사DB!$D$4:$D$53,MATCH($M741,강사DB!$A$4:$A$53,0)),""))</f>
        <v/>
      </c>
      <c r="Z741" s="56" t="str">
        <f aca="false">IF($B741&lt;&gt;"결제완료","",IF(OR($Y741="",$J741=""),"",$Y741*$J741+MAX(0,N($K741)-1)*설정!$J$7))</f>
        <v/>
      </c>
      <c r="AA741" s="56" t="str">
        <f aca="false">IF(AND($D741&lt;&gt;"",$B741="결제완료"),N($N741),"")</f>
        <v/>
      </c>
      <c r="AB741" s="45" t="str">
        <f aca="false">IF($D741="","",IF($F741&lt;&gt;"",$F741,$D741)&amp;IF($B741="상담중"," (상담)",""))</f>
        <v/>
      </c>
      <c r="AC741" s="45" t="n">
        <f aca="false">IF(AND($D741&lt;&gt;"",OR($B741="결제완료",$B741="상담중")),1,0)</f>
        <v>0</v>
      </c>
      <c r="AD741" s="45" t="n">
        <f aca="false">IF(OR($Z741="",$U741=""),0,IFERROR(IF(COUNTIFS(INDEX(g_grid,0,2*MATCH($M741,강사DB!$A$4:$A$15,0)),"&lt;&gt;",g_s,"&lt;="&amp;$U741,g_e,"&gt;="&amp;$U741)&gt;0,1,0),0))</f>
        <v>0</v>
      </c>
      <c r="AE741" s="48"/>
      <c r="AF741" s="56" t="str">
        <f aca="false">IF(AND($D741&lt;&gt;"",$B741="결제완료",$T741="대여"),설정!$J$5,"")</f>
        <v/>
      </c>
      <c r="AG741" s="54" t="str">
        <f aca="false">IF($D741="","",IF(AND($E741="",$R741=""),$AB741,"☎ "&amp;IF($E741="","-",$E741)&amp;IF($R741&lt;&gt;"","  ※ "&amp;$R741,"")&amp;IF($B741="상담중"," (상담)","")))</f>
        <v/>
      </c>
      <c r="AH741" s="56" t="str">
        <f aca="false">IF(AND($D741&lt;&gt;"",$B741="결제완료",$O741="스마트스토어"),ROUND(N($N741)*설정!$J$6,0),"")</f>
        <v/>
      </c>
      <c r="AI741" s="54" t="str">
        <f aca="false">IF($D741="","",ROW())</f>
        <v/>
      </c>
      <c r="AJ741" s="54" t="n">
        <f aca="false">IF(OR($AC741&lt;&gt;1,$M741=""),0,IF(ISNUMBER(SEARCH("퇴사",IFERROR(INDEX(강사DB!$G$4:$G$53,MATCH($M741,강사DB!$A$4:$A$53,0)),""))),1,0))</f>
        <v>0</v>
      </c>
    </row>
    <row r="742" customFormat="false" ht="15" hidden="false" customHeight="false" outlineLevel="0" collapsed="false">
      <c r="A742" s="45" t="str">
        <f aca="false">IF($D742="","",COUNTA($D$5:$D742))</f>
        <v/>
      </c>
      <c r="B742" s="46"/>
      <c r="C742" s="47"/>
      <c r="D742" s="48"/>
      <c r="E742" s="48"/>
      <c r="F742" s="49"/>
      <c r="G742" s="47"/>
      <c r="H742" s="50"/>
      <c r="I742" s="50"/>
      <c r="J742" s="51" t="str">
        <f aca="false">IF(OR($V742="",$W742=""),"",ROUND(($W742-$V742)/60,2))</f>
        <v/>
      </c>
      <c r="K742" s="52" t="str">
        <f aca="false">IF($F742="","",LEN($F742)-LEN(SUBSTITUTE($F742,",",""))+1)</f>
        <v/>
      </c>
      <c r="L742" s="45" t="str">
        <f aca="false">IF($K742="","","1:"&amp;$K742)</f>
        <v/>
      </c>
      <c r="M742" s="46"/>
      <c r="N742" s="53"/>
      <c r="O742" s="46"/>
      <c r="P742" s="47"/>
      <c r="Q742" s="48"/>
      <c r="R742" s="49"/>
      <c r="S742" s="54" t="str">
        <f aca="false">IF(OR($AC742=0,$U742="",$M742="",$V742="",$W742=""),"",IF(COUNTIFS(m_teacher,$M742,m_date,$U742,m_active,1,m_start,"&lt;"&amp;$W742,m_end,"&gt;"&amp;$V742)&gt;1,"충돌",""))</f>
        <v/>
      </c>
      <c r="T742" s="48"/>
      <c r="U742" s="55" t="str">
        <f aca="false">IF($G742="","",IFERROR(IF(ISNUMBER($G742),IF($G742&gt;19000000,DATE(INT($G742/10000),MOD(INT($G742/100),100),MOD($G742,100)),INT($G742)),IF(LEN(SUBSTITUTE(SUBSTITUTE(SUBSTITUTE(TRIM($G742),"-",""),".",""),"/",""))=8,DATE(VALUE(LEFT(SUBSTITUTE(SUBSTITUTE(SUBSTITUTE(TRIM($G742),"-",""),".",""),"/",""),4)),VALUE(MID(SUBSTITUTE(SUBSTITUTE(SUBSTITUTE(TRIM($G742),"-",""),".",""),"/",""),5,2)),VALUE(RIGHT(SUBSTITUTE(SUBSTITUTE(SUBSTITUTE(TRIM($G742),"-",""),".",""),"/",""),2))),DATEVALUE($G742))),""))</f>
        <v/>
      </c>
      <c r="V742" s="52" t="str">
        <f aca="false">IF($H742="","",IFERROR(IF(IF(ISNUMBER($H742),$H742,IFERROR(TIMEVALUE($H742),VALUE($H742)))&gt;=100,INT(IF(ISNUMBER($H742),$H742,IFERROR(TIMEVALUE($H742),VALUE($H742)))/100)*60+MOD(IF(ISNUMBER($H742),$H742,IFERROR(TIMEVALUE($H742),VALUE($H742))),100),IF(IF(ISNUMBER($H742),$H742,IFERROR(TIMEVALUE($H742),VALUE($H742)))&gt;=1,ROUND(IF(ISNUMBER($H742),$H742,IFERROR(TIMEVALUE($H742),VALUE($H742)))*60,0),ROUND(MOD(IF(ISNUMBER($H742),$H742,IFERROR(TIMEVALUE($H742),VALUE($H742))),1)*1440,0))),""))</f>
        <v/>
      </c>
      <c r="W742" s="52" t="str">
        <f aca="false">IF($I742="","",IFERROR(IF(IF(ISNUMBER($I742),$I742,IFERROR(TIMEVALUE($I742),VALUE($I742)))&gt;=100,INT(IF(ISNUMBER($I742),$I742,IFERROR(TIMEVALUE($I742),VALUE($I742)))/100)*60+MOD(IF(ISNUMBER($I742),$I742,IFERROR(TIMEVALUE($I742),VALUE($I742))),100),IF(IF(ISNUMBER($I742),$I742,IFERROR(TIMEVALUE($I742),VALUE($I742)))&gt;=1,ROUND(IF(ISNUMBER($I742),$I742,IFERROR(TIMEVALUE($I742),VALUE($I742)))*60,0),ROUND(MOD(IF(ISNUMBER($I742),$I742,IFERROR(TIMEVALUE($I742),VALUE($I742))),1)*1440,0))),""))</f>
        <v/>
      </c>
      <c r="X742" s="55" t="str">
        <f aca="false">IF($P742="","",IFERROR(IF(ISNUMBER($P742),IF($P742&gt;19000000,DATE(INT($P742/10000),MOD(INT($P742/100),100),MOD($P742,100)),INT($P742)),IF(LEN(SUBSTITUTE(SUBSTITUTE(SUBSTITUTE(TRIM($P742),"-",""),".",""),"/",""))=8,DATE(VALUE(LEFT(SUBSTITUTE(SUBSTITUTE(SUBSTITUTE(TRIM($P742),"-",""),".",""),"/",""),4)),VALUE(MID(SUBSTITUTE(SUBSTITUTE(SUBSTITUTE(TRIM($P742),"-",""),".",""),"/",""),5,2)),VALUE(RIGHT(SUBSTITUTE(SUBSTITUTE(SUBSTITUTE(TRIM($P742),"-",""),".",""),"/",""),2))),DATEVALUE($P742))),""))</f>
        <v/>
      </c>
      <c r="Y742" s="56" t="str">
        <f aca="false">IF($M742="","",IFERROR(INDEX(강사DB!$D$4:$D$53,MATCH($M742,강사DB!$A$4:$A$53,0)),""))</f>
        <v/>
      </c>
      <c r="Z742" s="56" t="str">
        <f aca="false">IF($B742&lt;&gt;"결제완료","",IF(OR($Y742="",$J742=""),"",$Y742*$J742+MAX(0,N($K742)-1)*설정!$J$7))</f>
        <v/>
      </c>
      <c r="AA742" s="56" t="str">
        <f aca="false">IF(AND($D742&lt;&gt;"",$B742="결제완료"),N($N742),"")</f>
        <v/>
      </c>
      <c r="AB742" s="45" t="str">
        <f aca="false">IF($D742="","",IF($F742&lt;&gt;"",$F742,$D742)&amp;IF($B742="상담중"," (상담)",""))</f>
        <v/>
      </c>
      <c r="AC742" s="45" t="n">
        <f aca="false">IF(AND($D742&lt;&gt;"",OR($B742="결제완료",$B742="상담중")),1,0)</f>
        <v>0</v>
      </c>
      <c r="AD742" s="45" t="n">
        <f aca="false">IF(OR($Z742="",$U742=""),0,IFERROR(IF(COUNTIFS(INDEX(g_grid,0,2*MATCH($M742,강사DB!$A$4:$A$15,0)),"&lt;&gt;",g_s,"&lt;="&amp;$U742,g_e,"&gt;="&amp;$U742)&gt;0,1,0),0))</f>
        <v>0</v>
      </c>
      <c r="AE742" s="48"/>
      <c r="AF742" s="56" t="str">
        <f aca="false">IF(AND($D742&lt;&gt;"",$B742="결제완료",$T742="대여"),설정!$J$5,"")</f>
        <v/>
      </c>
      <c r="AG742" s="54" t="str">
        <f aca="false">IF($D742="","",IF(AND($E742="",$R742=""),$AB742,"☎ "&amp;IF($E742="","-",$E742)&amp;IF($R742&lt;&gt;"","  ※ "&amp;$R742,"")&amp;IF($B742="상담중"," (상담)","")))</f>
        <v/>
      </c>
      <c r="AH742" s="56" t="str">
        <f aca="false">IF(AND($D742&lt;&gt;"",$B742="결제완료",$O742="스마트스토어"),ROUND(N($N742)*설정!$J$6,0),"")</f>
        <v/>
      </c>
      <c r="AI742" s="54" t="str">
        <f aca="false">IF($D742="","",ROW())</f>
        <v/>
      </c>
      <c r="AJ742" s="54" t="n">
        <f aca="false">IF(OR($AC742&lt;&gt;1,$M742=""),0,IF(ISNUMBER(SEARCH("퇴사",IFERROR(INDEX(강사DB!$G$4:$G$53,MATCH($M742,강사DB!$A$4:$A$53,0)),""))),1,0))</f>
        <v>0</v>
      </c>
    </row>
    <row r="743" customFormat="false" ht="15" hidden="false" customHeight="false" outlineLevel="0" collapsed="false">
      <c r="A743" s="45" t="str">
        <f aca="false">IF($D743="","",COUNTA($D$5:$D743))</f>
        <v/>
      </c>
      <c r="B743" s="46"/>
      <c r="C743" s="47"/>
      <c r="D743" s="48"/>
      <c r="E743" s="48"/>
      <c r="F743" s="49"/>
      <c r="G743" s="47"/>
      <c r="H743" s="50"/>
      <c r="I743" s="50"/>
      <c r="J743" s="51" t="str">
        <f aca="false">IF(OR($V743="",$W743=""),"",ROUND(($W743-$V743)/60,2))</f>
        <v/>
      </c>
      <c r="K743" s="52" t="str">
        <f aca="false">IF($F743="","",LEN($F743)-LEN(SUBSTITUTE($F743,",",""))+1)</f>
        <v/>
      </c>
      <c r="L743" s="45" t="str">
        <f aca="false">IF($K743="","","1:"&amp;$K743)</f>
        <v/>
      </c>
      <c r="M743" s="46"/>
      <c r="N743" s="53"/>
      <c r="O743" s="46"/>
      <c r="P743" s="47"/>
      <c r="Q743" s="48"/>
      <c r="R743" s="49"/>
      <c r="S743" s="54" t="str">
        <f aca="false">IF(OR($AC743=0,$U743="",$M743="",$V743="",$W743=""),"",IF(COUNTIFS(m_teacher,$M743,m_date,$U743,m_active,1,m_start,"&lt;"&amp;$W743,m_end,"&gt;"&amp;$V743)&gt;1,"충돌",""))</f>
        <v/>
      </c>
      <c r="T743" s="48"/>
      <c r="U743" s="55" t="str">
        <f aca="false">IF($G743="","",IFERROR(IF(ISNUMBER($G743),IF($G743&gt;19000000,DATE(INT($G743/10000),MOD(INT($G743/100),100),MOD($G743,100)),INT($G743)),IF(LEN(SUBSTITUTE(SUBSTITUTE(SUBSTITUTE(TRIM($G743),"-",""),".",""),"/",""))=8,DATE(VALUE(LEFT(SUBSTITUTE(SUBSTITUTE(SUBSTITUTE(TRIM($G743),"-",""),".",""),"/",""),4)),VALUE(MID(SUBSTITUTE(SUBSTITUTE(SUBSTITUTE(TRIM($G743),"-",""),".",""),"/",""),5,2)),VALUE(RIGHT(SUBSTITUTE(SUBSTITUTE(SUBSTITUTE(TRIM($G743),"-",""),".",""),"/",""),2))),DATEVALUE($G743))),""))</f>
        <v/>
      </c>
      <c r="V743" s="52" t="str">
        <f aca="false">IF($H743="","",IFERROR(IF(IF(ISNUMBER($H743),$H743,IFERROR(TIMEVALUE($H743),VALUE($H743)))&gt;=100,INT(IF(ISNUMBER($H743),$H743,IFERROR(TIMEVALUE($H743),VALUE($H743)))/100)*60+MOD(IF(ISNUMBER($H743),$H743,IFERROR(TIMEVALUE($H743),VALUE($H743))),100),IF(IF(ISNUMBER($H743),$H743,IFERROR(TIMEVALUE($H743),VALUE($H743)))&gt;=1,ROUND(IF(ISNUMBER($H743),$H743,IFERROR(TIMEVALUE($H743),VALUE($H743)))*60,0),ROUND(MOD(IF(ISNUMBER($H743),$H743,IFERROR(TIMEVALUE($H743),VALUE($H743))),1)*1440,0))),""))</f>
        <v/>
      </c>
      <c r="W743" s="52" t="str">
        <f aca="false">IF($I743="","",IFERROR(IF(IF(ISNUMBER($I743),$I743,IFERROR(TIMEVALUE($I743),VALUE($I743)))&gt;=100,INT(IF(ISNUMBER($I743),$I743,IFERROR(TIMEVALUE($I743),VALUE($I743)))/100)*60+MOD(IF(ISNUMBER($I743),$I743,IFERROR(TIMEVALUE($I743),VALUE($I743))),100),IF(IF(ISNUMBER($I743),$I743,IFERROR(TIMEVALUE($I743),VALUE($I743)))&gt;=1,ROUND(IF(ISNUMBER($I743),$I743,IFERROR(TIMEVALUE($I743),VALUE($I743)))*60,0),ROUND(MOD(IF(ISNUMBER($I743),$I743,IFERROR(TIMEVALUE($I743),VALUE($I743))),1)*1440,0))),""))</f>
        <v/>
      </c>
      <c r="X743" s="55" t="str">
        <f aca="false">IF($P743="","",IFERROR(IF(ISNUMBER($P743),IF($P743&gt;19000000,DATE(INT($P743/10000),MOD(INT($P743/100),100),MOD($P743,100)),INT($P743)),IF(LEN(SUBSTITUTE(SUBSTITUTE(SUBSTITUTE(TRIM($P743),"-",""),".",""),"/",""))=8,DATE(VALUE(LEFT(SUBSTITUTE(SUBSTITUTE(SUBSTITUTE(TRIM($P743),"-",""),".",""),"/",""),4)),VALUE(MID(SUBSTITUTE(SUBSTITUTE(SUBSTITUTE(TRIM($P743),"-",""),".",""),"/",""),5,2)),VALUE(RIGHT(SUBSTITUTE(SUBSTITUTE(SUBSTITUTE(TRIM($P743),"-",""),".",""),"/",""),2))),DATEVALUE($P743))),""))</f>
        <v/>
      </c>
      <c r="Y743" s="56" t="str">
        <f aca="false">IF($M743="","",IFERROR(INDEX(강사DB!$D$4:$D$53,MATCH($M743,강사DB!$A$4:$A$53,0)),""))</f>
        <v/>
      </c>
      <c r="Z743" s="56" t="str">
        <f aca="false">IF($B743&lt;&gt;"결제완료","",IF(OR($Y743="",$J743=""),"",$Y743*$J743+MAX(0,N($K743)-1)*설정!$J$7))</f>
        <v/>
      </c>
      <c r="AA743" s="56" t="str">
        <f aca="false">IF(AND($D743&lt;&gt;"",$B743="결제완료"),N($N743),"")</f>
        <v/>
      </c>
      <c r="AB743" s="45" t="str">
        <f aca="false">IF($D743="","",IF($F743&lt;&gt;"",$F743,$D743)&amp;IF($B743="상담중"," (상담)",""))</f>
        <v/>
      </c>
      <c r="AC743" s="45" t="n">
        <f aca="false">IF(AND($D743&lt;&gt;"",OR($B743="결제완료",$B743="상담중")),1,0)</f>
        <v>0</v>
      </c>
      <c r="AD743" s="45" t="n">
        <f aca="false">IF(OR($Z743="",$U743=""),0,IFERROR(IF(COUNTIFS(INDEX(g_grid,0,2*MATCH($M743,강사DB!$A$4:$A$15,0)),"&lt;&gt;",g_s,"&lt;="&amp;$U743,g_e,"&gt;="&amp;$U743)&gt;0,1,0),0))</f>
        <v>0</v>
      </c>
      <c r="AE743" s="48"/>
      <c r="AF743" s="56" t="str">
        <f aca="false">IF(AND($D743&lt;&gt;"",$B743="결제완료",$T743="대여"),설정!$J$5,"")</f>
        <v/>
      </c>
      <c r="AG743" s="54" t="str">
        <f aca="false">IF($D743="","",IF(AND($E743="",$R743=""),$AB743,"☎ "&amp;IF($E743="","-",$E743)&amp;IF($R743&lt;&gt;"","  ※ "&amp;$R743,"")&amp;IF($B743="상담중"," (상담)","")))</f>
        <v/>
      </c>
      <c r="AH743" s="56" t="str">
        <f aca="false">IF(AND($D743&lt;&gt;"",$B743="결제완료",$O743="스마트스토어"),ROUND(N($N743)*설정!$J$6,0),"")</f>
        <v/>
      </c>
      <c r="AI743" s="54" t="str">
        <f aca="false">IF($D743="","",ROW())</f>
        <v/>
      </c>
      <c r="AJ743" s="54" t="n">
        <f aca="false">IF(OR($AC743&lt;&gt;1,$M743=""),0,IF(ISNUMBER(SEARCH("퇴사",IFERROR(INDEX(강사DB!$G$4:$G$53,MATCH($M743,강사DB!$A$4:$A$53,0)),""))),1,0))</f>
        <v>0</v>
      </c>
    </row>
    <row r="744" customFormat="false" ht="15" hidden="false" customHeight="false" outlineLevel="0" collapsed="false">
      <c r="A744" s="45" t="str">
        <f aca="false">IF($D744="","",COUNTA($D$5:$D744))</f>
        <v/>
      </c>
      <c r="B744" s="46"/>
      <c r="C744" s="47"/>
      <c r="D744" s="48"/>
      <c r="E744" s="48"/>
      <c r="F744" s="49"/>
      <c r="G744" s="47"/>
      <c r="H744" s="50"/>
      <c r="I744" s="50"/>
      <c r="J744" s="51" t="str">
        <f aca="false">IF(OR($V744="",$W744=""),"",ROUND(($W744-$V744)/60,2))</f>
        <v/>
      </c>
      <c r="K744" s="52" t="str">
        <f aca="false">IF($F744="","",LEN($F744)-LEN(SUBSTITUTE($F744,",",""))+1)</f>
        <v/>
      </c>
      <c r="L744" s="45" t="str">
        <f aca="false">IF($K744="","","1:"&amp;$K744)</f>
        <v/>
      </c>
      <c r="M744" s="46"/>
      <c r="N744" s="53"/>
      <c r="O744" s="46"/>
      <c r="P744" s="47"/>
      <c r="Q744" s="48"/>
      <c r="R744" s="49"/>
      <c r="S744" s="54" t="str">
        <f aca="false">IF(OR($AC744=0,$U744="",$M744="",$V744="",$W744=""),"",IF(COUNTIFS(m_teacher,$M744,m_date,$U744,m_active,1,m_start,"&lt;"&amp;$W744,m_end,"&gt;"&amp;$V744)&gt;1,"충돌",""))</f>
        <v/>
      </c>
      <c r="T744" s="48"/>
      <c r="U744" s="55" t="str">
        <f aca="false">IF($G744="","",IFERROR(IF(ISNUMBER($G744),IF($G744&gt;19000000,DATE(INT($G744/10000),MOD(INT($G744/100),100),MOD($G744,100)),INT($G744)),IF(LEN(SUBSTITUTE(SUBSTITUTE(SUBSTITUTE(TRIM($G744),"-",""),".",""),"/",""))=8,DATE(VALUE(LEFT(SUBSTITUTE(SUBSTITUTE(SUBSTITUTE(TRIM($G744),"-",""),".",""),"/",""),4)),VALUE(MID(SUBSTITUTE(SUBSTITUTE(SUBSTITUTE(TRIM($G744),"-",""),".",""),"/",""),5,2)),VALUE(RIGHT(SUBSTITUTE(SUBSTITUTE(SUBSTITUTE(TRIM($G744),"-",""),".",""),"/",""),2))),DATEVALUE($G744))),""))</f>
        <v/>
      </c>
      <c r="V744" s="52" t="str">
        <f aca="false">IF($H744="","",IFERROR(IF(IF(ISNUMBER($H744),$H744,IFERROR(TIMEVALUE($H744),VALUE($H744)))&gt;=100,INT(IF(ISNUMBER($H744),$H744,IFERROR(TIMEVALUE($H744),VALUE($H744)))/100)*60+MOD(IF(ISNUMBER($H744),$H744,IFERROR(TIMEVALUE($H744),VALUE($H744))),100),IF(IF(ISNUMBER($H744),$H744,IFERROR(TIMEVALUE($H744),VALUE($H744)))&gt;=1,ROUND(IF(ISNUMBER($H744),$H744,IFERROR(TIMEVALUE($H744),VALUE($H744)))*60,0),ROUND(MOD(IF(ISNUMBER($H744),$H744,IFERROR(TIMEVALUE($H744),VALUE($H744))),1)*1440,0))),""))</f>
        <v/>
      </c>
      <c r="W744" s="52" t="str">
        <f aca="false">IF($I744="","",IFERROR(IF(IF(ISNUMBER($I744),$I744,IFERROR(TIMEVALUE($I744),VALUE($I744)))&gt;=100,INT(IF(ISNUMBER($I744),$I744,IFERROR(TIMEVALUE($I744),VALUE($I744)))/100)*60+MOD(IF(ISNUMBER($I744),$I744,IFERROR(TIMEVALUE($I744),VALUE($I744))),100),IF(IF(ISNUMBER($I744),$I744,IFERROR(TIMEVALUE($I744),VALUE($I744)))&gt;=1,ROUND(IF(ISNUMBER($I744),$I744,IFERROR(TIMEVALUE($I744),VALUE($I744)))*60,0),ROUND(MOD(IF(ISNUMBER($I744),$I744,IFERROR(TIMEVALUE($I744),VALUE($I744))),1)*1440,0))),""))</f>
        <v/>
      </c>
      <c r="X744" s="55" t="str">
        <f aca="false">IF($P744="","",IFERROR(IF(ISNUMBER($P744),IF($P744&gt;19000000,DATE(INT($P744/10000),MOD(INT($P744/100),100),MOD($P744,100)),INT($P744)),IF(LEN(SUBSTITUTE(SUBSTITUTE(SUBSTITUTE(TRIM($P744),"-",""),".",""),"/",""))=8,DATE(VALUE(LEFT(SUBSTITUTE(SUBSTITUTE(SUBSTITUTE(TRIM($P744),"-",""),".",""),"/",""),4)),VALUE(MID(SUBSTITUTE(SUBSTITUTE(SUBSTITUTE(TRIM($P744),"-",""),".",""),"/",""),5,2)),VALUE(RIGHT(SUBSTITUTE(SUBSTITUTE(SUBSTITUTE(TRIM($P744),"-",""),".",""),"/",""),2))),DATEVALUE($P744))),""))</f>
        <v/>
      </c>
      <c r="Y744" s="56" t="str">
        <f aca="false">IF($M744="","",IFERROR(INDEX(강사DB!$D$4:$D$53,MATCH($M744,강사DB!$A$4:$A$53,0)),""))</f>
        <v/>
      </c>
      <c r="Z744" s="56" t="str">
        <f aca="false">IF($B744&lt;&gt;"결제완료","",IF(OR($Y744="",$J744=""),"",$Y744*$J744+MAX(0,N($K744)-1)*설정!$J$7))</f>
        <v/>
      </c>
      <c r="AA744" s="56" t="str">
        <f aca="false">IF(AND($D744&lt;&gt;"",$B744="결제완료"),N($N744),"")</f>
        <v/>
      </c>
      <c r="AB744" s="45" t="str">
        <f aca="false">IF($D744="","",IF($F744&lt;&gt;"",$F744,$D744)&amp;IF($B744="상담중"," (상담)",""))</f>
        <v/>
      </c>
      <c r="AC744" s="45" t="n">
        <f aca="false">IF(AND($D744&lt;&gt;"",OR($B744="결제완료",$B744="상담중")),1,0)</f>
        <v>0</v>
      </c>
      <c r="AD744" s="45" t="n">
        <f aca="false">IF(OR($Z744="",$U744=""),0,IFERROR(IF(COUNTIFS(INDEX(g_grid,0,2*MATCH($M744,강사DB!$A$4:$A$15,0)),"&lt;&gt;",g_s,"&lt;="&amp;$U744,g_e,"&gt;="&amp;$U744)&gt;0,1,0),0))</f>
        <v>0</v>
      </c>
      <c r="AE744" s="48"/>
      <c r="AF744" s="56" t="str">
        <f aca="false">IF(AND($D744&lt;&gt;"",$B744="결제완료",$T744="대여"),설정!$J$5,"")</f>
        <v/>
      </c>
      <c r="AG744" s="54" t="str">
        <f aca="false">IF($D744="","",IF(AND($E744="",$R744=""),$AB744,"☎ "&amp;IF($E744="","-",$E744)&amp;IF($R744&lt;&gt;"","  ※ "&amp;$R744,"")&amp;IF($B744="상담중"," (상담)","")))</f>
        <v/>
      </c>
      <c r="AH744" s="56" t="str">
        <f aca="false">IF(AND($D744&lt;&gt;"",$B744="결제완료",$O744="스마트스토어"),ROUND(N($N744)*설정!$J$6,0),"")</f>
        <v/>
      </c>
      <c r="AI744" s="54" t="str">
        <f aca="false">IF($D744="","",ROW())</f>
        <v/>
      </c>
      <c r="AJ744" s="54" t="n">
        <f aca="false">IF(OR($AC744&lt;&gt;1,$M744=""),0,IF(ISNUMBER(SEARCH("퇴사",IFERROR(INDEX(강사DB!$G$4:$G$53,MATCH($M744,강사DB!$A$4:$A$53,0)),""))),1,0))</f>
        <v>0</v>
      </c>
    </row>
    <row r="745" customFormat="false" ht="15" hidden="false" customHeight="false" outlineLevel="0" collapsed="false">
      <c r="A745" s="45" t="str">
        <f aca="false">IF($D745="","",COUNTA($D$5:$D745))</f>
        <v/>
      </c>
      <c r="B745" s="46"/>
      <c r="C745" s="47"/>
      <c r="D745" s="48"/>
      <c r="E745" s="48"/>
      <c r="F745" s="49"/>
      <c r="G745" s="47"/>
      <c r="H745" s="50"/>
      <c r="I745" s="50"/>
      <c r="J745" s="51" t="str">
        <f aca="false">IF(OR($V745="",$W745=""),"",ROUND(($W745-$V745)/60,2))</f>
        <v/>
      </c>
      <c r="K745" s="52" t="str">
        <f aca="false">IF($F745="","",LEN($F745)-LEN(SUBSTITUTE($F745,",",""))+1)</f>
        <v/>
      </c>
      <c r="L745" s="45" t="str">
        <f aca="false">IF($K745="","","1:"&amp;$K745)</f>
        <v/>
      </c>
      <c r="M745" s="46"/>
      <c r="N745" s="53"/>
      <c r="O745" s="46"/>
      <c r="P745" s="47"/>
      <c r="Q745" s="48"/>
      <c r="R745" s="49"/>
      <c r="S745" s="54" t="str">
        <f aca="false">IF(OR($AC745=0,$U745="",$M745="",$V745="",$W745=""),"",IF(COUNTIFS(m_teacher,$M745,m_date,$U745,m_active,1,m_start,"&lt;"&amp;$W745,m_end,"&gt;"&amp;$V745)&gt;1,"충돌",""))</f>
        <v/>
      </c>
      <c r="T745" s="48"/>
      <c r="U745" s="55" t="str">
        <f aca="false">IF($G745="","",IFERROR(IF(ISNUMBER($G745),IF($G745&gt;19000000,DATE(INT($G745/10000),MOD(INT($G745/100),100),MOD($G745,100)),INT($G745)),IF(LEN(SUBSTITUTE(SUBSTITUTE(SUBSTITUTE(TRIM($G745),"-",""),".",""),"/",""))=8,DATE(VALUE(LEFT(SUBSTITUTE(SUBSTITUTE(SUBSTITUTE(TRIM($G745),"-",""),".",""),"/",""),4)),VALUE(MID(SUBSTITUTE(SUBSTITUTE(SUBSTITUTE(TRIM($G745),"-",""),".",""),"/",""),5,2)),VALUE(RIGHT(SUBSTITUTE(SUBSTITUTE(SUBSTITUTE(TRIM($G745),"-",""),".",""),"/",""),2))),DATEVALUE($G745))),""))</f>
        <v/>
      </c>
      <c r="V745" s="52" t="str">
        <f aca="false">IF($H745="","",IFERROR(IF(IF(ISNUMBER($H745),$H745,IFERROR(TIMEVALUE($H745),VALUE($H745)))&gt;=100,INT(IF(ISNUMBER($H745),$H745,IFERROR(TIMEVALUE($H745),VALUE($H745)))/100)*60+MOD(IF(ISNUMBER($H745),$H745,IFERROR(TIMEVALUE($H745),VALUE($H745))),100),IF(IF(ISNUMBER($H745),$H745,IFERROR(TIMEVALUE($H745),VALUE($H745)))&gt;=1,ROUND(IF(ISNUMBER($H745),$H745,IFERROR(TIMEVALUE($H745),VALUE($H745)))*60,0),ROUND(MOD(IF(ISNUMBER($H745),$H745,IFERROR(TIMEVALUE($H745),VALUE($H745))),1)*1440,0))),""))</f>
        <v/>
      </c>
      <c r="W745" s="52" t="str">
        <f aca="false">IF($I745="","",IFERROR(IF(IF(ISNUMBER($I745),$I745,IFERROR(TIMEVALUE($I745),VALUE($I745)))&gt;=100,INT(IF(ISNUMBER($I745),$I745,IFERROR(TIMEVALUE($I745),VALUE($I745)))/100)*60+MOD(IF(ISNUMBER($I745),$I745,IFERROR(TIMEVALUE($I745),VALUE($I745))),100),IF(IF(ISNUMBER($I745),$I745,IFERROR(TIMEVALUE($I745),VALUE($I745)))&gt;=1,ROUND(IF(ISNUMBER($I745),$I745,IFERROR(TIMEVALUE($I745),VALUE($I745)))*60,0),ROUND(MOD(IF(ISNUMBER($I745),$I745,IFERROR(TIMEVALUE($I745),VALUE($I745))),1)*1440,0))),""))</f>
        <v/>
      </c>
      <c r="X745" s="55" t="str">
        <f aca="false">IF($P745="","",IFERROR(IF(ISNUMBER($P745),IF($P745&gt;19000000,DATE(INT($P745/10000),MOD(INT($P745/100),100),MOD($P745,100)),INT($P745)),IF(LEN(SUBSTITUTE(SUBSTITUTE(SUBSTITUTE(TRIM($P745),"-",""),".",""),"/",""))=8,DATE(VALUE(LEFT(SUBSTITUTE(SUBSTITUTE(SUBSTITUTE(TRIM($P745),"-",""),".",""),"/",""),4)),VALUE(MID(SUBSTITUTE(SUBSTITUTE(SUBSTITUTE(TRIM($P745),"-",""),".",""),"/",""),5,2)),VALUE(RIGHT(SUBSTITUTE(SUBSTITUTE(SUBSTITUTE(TRIM($P745),"-",""),".",""),"/",""),2))),DATEVALUE($P745))),""))</f>
        <v/>
      </c>
      <c r="Y745" s="56" t="str">
        <f aca="false">IF($M745="","",IFERROR(INDEX(강사DB!$D$4:$D$53,MATCH($M745,강사DB!$A$4:$A$53,0)),""))</f>
        <v/>
      </c>
      <c r="Z745" s="56" t="str">
        <f aca="false">IF($B745&lt;&gt;"결제완료","",IF(OR($Y745="",$J745=""),"",$Y745*$J745+MAX(0,N($K745)-1)*설정!$J$7))</f>
        <v/>
      </c>
      <c r="AA745" s="56" t="str">
        <f aca="false">IF(AND($D745&lt;&gt;"",$B745="결제완료"),N($N745),"")</f>
        <v/>
      </c>
      <c r="AB745" s="45" t="str">
        <f aca="false">IF($D745="","",IF($F745&lt;&gt;"",$F745,$D745)&amp;IF($B745="상담중"," (상담)",""))</f>
        <v/>
      </c>
      <c r="AC745" s="45" t="n">
        <f aca="false">IF(AND($D745&lt;&gt;"",OR($B745="결제완료",$B745="상담중")),1,0)</f>
        <v>0</v>
      </c>
      <c r="AD745" s="45" t="n">
        <f aca="false">IF(OR($Z745="",$U745=""),0,IFERROR(IF(COUNTIFS(INDEX(g_grid,0,2*MATCH($M745,강사DB!$A$4:$A$15,0)),"&lt;&gt;",g_s,"&lt;="&amp;$U745,g_e,"&gt;="&amp;$U745)&gt;0,1,0),0))</f>
        <v>0</v>
      </c>
      <c r="AE745" s="48"/>
      <c r="AF745" s="56" t="str">
        <f aca="false">IF(AND($D745&lt;&gt;"",$B745="결제완료",$T745="대여"),설정!$J$5,"")</f>
        <v/>
      </c>
      <c r="AG745" s="54" t="str">
        <f aca="false">IF($D745="","",IF(AND($E745="",$R745=""),$AB745,"☎ "&amp;IF($E745="","-",$E745)&amp;IF($R745&lt;&gt;"","  ※ "&amp;$R745,"")&amp;IF($B745="상담중"," (상담)","")))</f>
        <v/>
      </c>
      <c r="AH745" s="56" t="str">
        <f aca="false">IF(AND($D745&lt;&gt;"",$B745="결제완료",$O745="스마트스토어"),ROUND(N($N745)*설정!$J$6,0),"")</f>
        <v/>
      </c>
      <c r="AI745" s="54" t="str">
        <f aca="false">IF($D745="","",ROW())</f>
        <v/>
      </c>
      <c r="AJ745" s="54" t="n">
        <f aca="false">IF(OR($AC745&lt;&gt;1,$M745=""),0,IF(ISNUMBER(SEARCH("퇴사",IFERROR(INDEX(강사DB!$G$4:$G$53,MATCH($M745,강사DB!$A$4:$A$53,0)),""))),1,0))</f>
        <v>0</v>
      </c>
    </row>
    <row r="746" customFormat="false" ht="15" hidden="false" customHeight="false" outlineLevel="0" collapsed="false">
      <c r="A746" s="45" t="str">
        <f aca="false">IF($D746="","",COUNTA($D$5:$D746))</f>
        <v/>
      </c>
      <c r="B746" s="46"/>
      <c r="C746" s="47"/>
      <c r="D746" s="48"/>
      <c r="E746" s="48"/>
      <c r="F746" s="49"/>
      <c r="G746" s="47"/>
      <c r="H746" s="50"/>
      <c r="I746" s="50"/>
      <c r="J746" s="51" t="str">
        <f aca="false">IF(OR($V746="",$W746=""),"",ROUND(($W746-$V746)/60,2))</f>
        <v/>
      </c>
      <c r="K746" s="52" t="str">
        <f aca="false">IF($F746="","",LEN($F746)-LEN(SUBSTITUTE($F746,",",""))+1)</f>
        <v/>
      </c>
      <c r="L746" s="45" t="str">
        <f aca="false">IF($K746="","","1:"&amp;$K746)</f>
        <v/>
      </c>
      <c r="M746" s="46"/>
      <c r="N746" s="53"/>
      <c r="O746" s="46"/>
      <c r="P746" s="47"/>
      <c r="Q746" s="48"/>
      <c r="R746" s="49"/>
      <c r="S746" s="54" t="str">
        <f aca="false">IF(OR($AC746=0,$U746="",$M746="",$V746="",$W746=""),"",IF(COUNTIFS(m_teacher,$M746,m_date,$U746,m_active,1,m_start,"&lt;"&amp;$W746,m_end,"&gt;"&amp;$V746)&gt;1,"충돌",""))</f>
        <v/>
      </c>
      <c r="T746" s="48"/>
      <c r="U746" s="55" t="str">
        <f aca="false">IF($G746="","",IFERROR(IF(ISNUMBER($G746),IF($G746&gt;19000000,DATE(INT($G746/10000),MOD(INT($G746/100),100),MOD($G746,100)),INT($G746)),IF(LEN(SUBSTITUTE(SUBSTITUTE(SUBSTITUTE(TRIM($G746),"-",""),".",""),"/",""))=8,DATE(VALUE(LEFT(SUBSTITUTE(SUBSTITUTE(SUBSTITUTE(TRIM($G746),"-",""),".",""),"/",""),4)),VALUE(MID(SUBSTITUTE(SUBSTITUTE(SUBSTITUTE(TRIM($G746),"-",""),".",""),"/",""),5,2)),VALUE(RIGHT(SUBSTITUTE(SUBSTITUTE(SUBSTITUTE(TRIM($G746),"-",""),".",""),"/",""),2))),DATEVALUE($G746))),""))</f>
        <v/>
      </c>
      <c r="V746" s="52" t="str">
        <f aca="false">IF($H746="","",IFERROR(IF(IF(ISNUMBER($H746),$H746,IFERROR(TIMEVALUE($H746),VALUE($H746)))&gt;=100,INT(IF(ISNUMBER($H746),$H746,IFERROR(TIMEVALUE($H746),VALUE($H746)))/100)*60+MOD(IF(ISNUMBER($H746),$H746,IFERROR(TIMEVALUE($H746),VALUE($H746))),100),IF(IF(ISNUMBER($H746),$H746,IFERROR(TIMEVALUE($H746),VALUE($H746)))&gt;=1,ROUND(IF(ISNUMBER($H746),$H746,IFERROR(TIMEVALUE($H746),VALUE($H746)))*60,0),ROUND(MOD(IF(ISNUMBER($H746),$H746,IFERROR(TIMEVALUE($H746),VALUE($H746))),1)*1440,0))),""))</f>
        <v/>
      </c>
      <c r="W746" s="52" t="str">
        <f aca="false">IF($I746="","",IFERROR(IF(IF(ISNUMBER($I746),$I746,IFERROR(TIMEVALUE($I746),VALUE($I746)))&gt;=100,INT(IF(ISNUMBER($I746),$I746,IFERROR(TIMEVALUE($I746),VALUE($I746)))/100)*60+MOD(IF(ISNUMBER($I746),$I746,IFERROR(TIMEVALUE($I746),VALUE($I746))),100),IF(IF(ISNUMBER($I746),$I746,IFERROR(TIMEVALUE($I746),VALUE($I746)))&gt;=1,ROUND(IF(ISNUMBER($I746),$I746,IFERROR(TIMEVALUE($I746),VALUE($I746)))*60,0),ROUND(MOD(IF(ISNUMBER($I746),$I746,IFERROR(TIMEVALUE($I746),VALUE($I746))),1)*1440,0))),""))</f>
        <v/>
      </c>
      <c r="X746" s="55" t="str">
        <f aca="false">IF($P746="","",IFERROR(IF(ISNUMBER($P746),IF($P746&gt;19000000,DATE(INT($P746/10000),MOD(INT($P746/100),100),MOD($P746,100)),INT($P746)),IF(LEN(SUBSTITUTE(SUBSTITUTE(SUBSTITUTE(TRIM($P746),"-",""),".",""),"/",""))=8,DATE(VALUE(LEFT(SUBSTITUTE(SUBSTITUTE(SUBSTITUTE(TRIM($P746),"-",""),".",""),"/",""),4)),VALUE(MID(SUBSTITUTE(SUBSTITUTE(SUBSTITUTE(TRIM($P746),"-",""),".",""),"/",""),5,2)),VALUE(RIGHT(SUBSTITUTE(SUBSTITUTE(SUBSTITUTE(TRIM($P746),"-",""),".",""),"/",""),2))),DATEVALUE($P746))),""))</f>
        <v/>
      </c>
      <c r="Y746" s="56" t="str">
        <f aca="false">IF($M746="","",IFERROR(INDEX(강사DB!$D$4:$D$53,MATCH($M746,강사DB!$A$4:$A$53,0)),""))</f>
        <v/>
      </c>
      <c r="Z746" s="56" t="str">
        <f aca="false">IF($B746&lt;&gt;"결제완료","",IF(OR($Y746="",$J746=""),"",$Y746*$J746+MAX(0,N($K746)-1)*설정!$J$7))</f>
        <v/>
      </c>
      <c r="AA746" s="56" t="str">
        <f aca="false">IF(AND($D746&lt;&gt;"",$B746="결제완료"),N($N746),"")</f>
        <v/>
      </c>
      <c r="AB746" s="45" t="str">
        <f aca="false">IF($D746="","",IF($F746&lt;&gt;"",$F746,$D746)&amp;IF($B746="상담중"," (상담)",""))</f>
        <v/>
      </c>
      <c r="AC746" s="45" t="n">
        <f aca="false">IF(AND($D746&lt;&gt;"",OR($B746="결제완료",$B746="상담중")),1,0)</f>
        <v>0</v>
      </c>
      <c r="AD746" s="45" t="n">
        <f aca="false">IF(OR($Z746="",$U746=""),0,IFERROR(IF(COUNTIFS(INDEX(g_grid,0,2*MATCH($M746,강사DB!$A$4:$A$15,0)),"&lt;&gt;",g_s,"&lt;="&amp;$U746,g_e,"&gt;="&amp;$U746)&gt;0,1,0),0))</f>
        <v>0</v>
      </c>
      <c r="AE746" s="48"/>
      <c r="AF746" s="56" t="str">
        <f aca="false">IF(AND($D746&lt;&gt;"",$B746="결제완료",$T746="대여"),설정!$J$5,"")</f>
        <v/>
      </c>
      <c r="AG746" s="54" t="str">
        <f aca="false">IF($D746="","",IF(AND($E746="",$R746=""),$AB746,"☎ "&amp;IF($E746="","-",$E746)&amp;IF($R746&lt;&gt;"","  ※ "&amp;$R746,"")&amp;IF($B746="상담중"," (상담)","")))</f>
        <v/>
      </c>
      <c r="AH746" s="56" t="str">
        <f aca="false">IF(AND($D746&lt;&gt;"",$B746="결제완료",$O746="스마트스토어"),ROUND(N($N746)*설정!$J$6,0),"")</f>
        <v/>
      </c>
      <c r="AI746" s="54" t="str">
        <f aca="false">IF($D746="","",ROW())</f>
        <v/>
      </c>
      <c r="AJ746" s="54" t="n">
        <f aca="false">IF(OR($AC746&lt;&gt;1,$M746=""),0,IF(ISNUMBER(SEARCH("퇴사",IFERROR(INDEX(강사DB!$G$4:$G$53,MATCH($M746,강사DB!$A$4:$A$53,0)),""))),1,0))</f>
        <v>0</v>
      </c>
    </row>
    <row r="747" customFormat="false" ht="15" hidden="false" customHeight="false" outlineLevel="0" collapsed="false">
      <c r="A747" s="45" t="str">
        <f aca="false">IF($D747="","",COUNTA($D$5:$D747))</f>
        <v/>
      </c>
      <c r="B747" s="46"/>
      <c r="C747" s="47"/>
      <c r="D747" s="48"/>
      <c r="E747" s="48"/>
      <c r="F747" s="49"/>
      <c r="G747" s="47"/>
      <c r="H747" s="50"/>
      <c r="I747" s="50"/>
      <c r="J747" s="51" t="str">
        <f aca="false">IF(OR($V747="",$W747=""),"",ROUND(($W747-$V747)/60,2))</f>
        <v/>
      </c>
      <c r="K747" s="52" t="str">
        <f aca="false">IF($F747="","",LEN($F747)-LEN(SUBSTITUTE($F747,",",""))+1)</f>
        <v/>
      </c>
      <c r="L747" s="45" t="str">
        <f aca="false">IF($K747="","","1:"&amp;$K747)</f>
        <v/>
      </c>
      <c r="M747" s="46"/>
      <c r="N747" s="53"/>
      <c r="O747" s="46"/>
      <c r="P747" s="47"/>
      <c r="Q747" s="48"/>
      <c r="R747" s="49"/>
      <c r="S747" s="54" t="str">
        <f aca="false">IF(OR($AC747=0,$U747="",$M747="",$V747="",$W747=""),"",IF(COUNTIFS(m_teacher,$M747,m_date,$U747,m_active,1,m_start,"&lt;"&amp;$W747,m_end,"&gt;"&amp;$V747)&gt;1,"충돌",""))</f>
        <v/>
      </c>
      <c r="T747" s="48"/>
      <c r="U747" s="55" t="str">
        <f aca="false">IF($G747="","",IFERROR(IF(ISNUMBER($G747),IF($G747&gt;19000000,DATE(INT($G747/10000),MOD(INT($G747/100),100),MOD($G747,100)),INT($G747)),IF(LEN(SUBSTITUTE(SUBSTITUTE(SUBSTITUTE(TRIM($G747),"-",""),".",""),"/",""))=8,DATE(VALUE(LEFT(SUBSTITUTE(SUBSTITUTE(SUBSTITUTE(TRIM($G747),"-",""),".",""),"/",""),4)),VALUE(MID(SUBSTITUTE(SUBSTITUTE(SUBSTITUTE(TRIM($G747),"-",""),".",""),"/",""),5,2)),VALUE(RIGHT(SUBSTITUTE(SUBSTITUTE(SUBSTITUTE(TRIM($G747),"-",""),".",""),"/",""),2))),DATEVALUE($G747))),""))</f>
        <v/>
      </c>
      <c r="V747" s="52" t="str">
        <f aca="false">IF($H747="","",IFERROR(IF(IF(ISNUMBER($H747),$H747,IFERROR(TIMEVALUE($H747),VALUE($H747)))&gt;=100,INT(IF(ISNUMBER($H747),$H747,IFERROR(TIMEVALUE($H747),VALUE($H747)))/100)*60+MOD(IF(ISNUMBER($H747),$H747,IFERROR(TIMEVALUE($H747),VALUE($H747))),100),IF(IF(ISNUMBER($H747),$H747,IFERROR(TIMEVALUE($H747),VALUE($H747)))&gt;=1,ROUND(IF(ISNUMBER($H747),$H747,IFERROR(TIMEVALUE($H747),VALUE($H747)))*60,0),ROUND(MOD(IF(ISNUMBER($H747),$H747,IFERROR(TIMEVALUE($H747),VALUE($H747))),1)*1440,0))),""))</f>
        <v/>
      </c>
      <c r="W747" s="52" t="str">
        <f aca="false">IF($I747="","",IFERROR(IF(IF(ISNUMBER($I747),$I747,IFERROR(TIMEVALUE($I747),VALUE($I747)))&gt;=100,INT(IF(ISNUMBER($I747),$I747,IFERROR(TIMEVALUE($I747),VALUE($I747)))/100)*60+MOD(IF(ISNUMBER($I747),$I747,IFERROR(TIMEVALUE($I747),VALUE($I747))),100),IF(IF(ISNUMBER($I747),$I747,IFERROR(TIMEVALUE($I747),VALUE($I747)))&gt;=1,ROUND(IF(ISNUMBER($I747),$I747,IFERROR(TIMEVALUE($I747),VALUE($I747)))*60,0),ROUND(MOD(IF(ISNUMBER($I747),$I747,IFERROR(TIMEVALUE($I747),VALUE($I747))),1)*1440,0))),""))</f>
        <v/>
      </c>
      <c r="X747" s="55" t="str">
        <f aca="false">IF($P747="","",IFERROR(IF(ISNUMBER($P747),IF($P747&gt;19000000,DATE(INT($P747/10000),MOD(INT($P747/100),100),MOD($P747,100)),INT($P747)),IF(LEN(SUBSTITUTE(SUBSTITUTE(SUBSTITUTE(TRIM($P747),"-",""),".",""),"/",""))=8,DATE(VALUE(LEFT(SUBSTITUTE(SUBSTITUTE(SUBSTITUTE(TRIM($P747),"-",""),".",""),"/",""),4)),VALUE(MID(SUBSTITUTE(SUBSTITUTE(SUBSTITUTE(TRIM($P747),"-",""),".",""),"/",""),5,2)),VALUE(RIGHT(SUBSTITUTE(SUBSTITUTE(SUBSTITUTE(TRIM($P747),"-",""),".",""),"/",""),2))),DATEVALUE($P747))),""))</f>
        <v/>
      </c>
      <c r="Y747" s="56" t="str">
        <f aca="false">IF($M747="","",IFERROR(INDEX(강사DB!$D$4:$D$53,MATCH($M747,강사DB!$A$4:$A$53,0)),""))</f>
        <v/>
      </c>
      <c r="Z747" s="56" t="str">
        <f aca="false">IF($B747&lt;&gt;"결제완료","",IF(OR($Y747="",$J747=""),"",$Y747*$J747+MAX(0,N($K747)-1)*설정!$J$7))</f>
        <v/>
      </c>
      <c r="AA747" s="56" t="str">
        <f aca="false">IF(AND($D747&lt;&gt;"",$B747="결제완료"),N($N747),"")</f>
        <v/>
      </c>
      <c r="AB747" s="45" t="str">
        <f aca="false">IF($D747="","",IF($F747&lt;&gt;"",$F747,$D747)&amp;IF($B747="상담중"," (상담)",""))</f>
        <v/>
      </c>
      <c r="AC747" s="45" t="n">
        <f aca="false">IF(AND($D747&lt;&gt;"",OR($B747="결제완료",$B747="상담중")),1,0)</f>
        <v>0</v>
      </c>
      <c r="AD747" s="45" t="n">
        <f aca="false">IF(OR($Z747="",$U747=""),0,IFERROR(IF(COUNTIFS(INDEX(g_grid,0,2*MATCH($M747,강사DB!$A$4:$A$15,0)),"&lt;&gt;",g_s,"&lt;="&amp;$U747,g_e,"&gt;="&amp;$U747)&gt;0,1,0),0))</f>
        <v>0</v>
      </c>
      <c r="AE747" s="48"/>
      <c r="AF747" s="56" t="str">
        <f aca="false">IF(AND($D747&lt;&gt;"",$B747="결제완료",$T747="대여"),설정!$J$5,"")</f>
        <v/>
      </c>
      <c r="AG747" s="54" t="str">
        <f aca="false">IF($D747="","",IF(AND($E747="",$R747=""),$AB747,"☎ "&amp;IF($E747="","-",$E747)&amp;IF($R747&lt;&gt;"","  ※ "&amp;$R747,"")&amp;IF($B747="상담중"," (상담)","")))</f>
        <v/>
      </c>
      <c r="AH747" s="56" t="str">
        <f aca="false">IF(AND($D747&lt;&gt;"",$B747="결제완료",$O747="스마트스토어"),ROUND(N($N747)*설정!$J$6,0),"")</f>
        <v/>
      </c>
      <c r="AI747" s="54" t="str">
        <f aca="false">IF($D747="","",ROW())</f>
        <v/>
      </c>
      <c r="AJ747" s="54" t="n">
        <f aca="false">IF(OR($AC747&lt;&gt;1,$M747=""),0,IF(ISNUMBER(SEARCH("퇴사",IFERROR(INDEX(강사DB!$G$4:$G$53,MATCH($M747,강사DB!$A$4:$A$53,0)),""))),1,0))</f>
        <v>0</v>
      </c>
    </row>
    <row r="748" customFormat="false" ht="15" hidden="false" customHeight="false" outlineLevel="0" collapsed="false">
      <c r="A748" s="45" t="str">
        <f aca="false">IF($D748="","",COUNTA($D$5:$D748))</f>
        <v/>
      </c>
      <c r="B748" s="46"/>
      <c r="C748" s="47"/>
      <c r="D748" s="48"/>
      <c r="E748" s="48"/>
      <c r="F748" s="49"/>
      <c r="G748" s="47"/>
      <c r="H748" s="50"/>
      <c r="I748" s="50"/>
      <c r="J748" s="51" t="str">
        <f aca="false">IF(OR($V748="",$W748=""),"",ROUND(($W748-$V748)/60,2))</f>
        <v/>
      </c>
      <c r="K748" s="52" t="str">
        <f aca="false">IF($F748="","",LEN($F748)-LEN(SUBSTITUTE($F748,",",""))+1)</f>
        <v/>
      </c>
      <c r="L748" s="45" t="str">
        <f aca="false">IF($K748="","","1:"&amp;$K748)</f>
        <v/>
      </c>
      <c r="M748" s="46"/>
      <c r="N748" s="53"/>
      <c r="O748" s="46"/>
      <c r="P748" s="47"/>
      <c r="Q748" s="48"/>
      <c r="R748" s="49"/>
      <c r="S748" s="54" t="str">
        <f aca="false">IF(OR($AC748=0,$U748="",$M748="",$V748="",$W748=""),"",IF(COUNTIFS(m_teacher,$M748,m_date,$U748,m_active,1,m_start,"&lt;"&amp;$W748,m_end,"&gt;"&amp;$V748)&gt;1,"충돌",""))</f>
        <v/>
      </c>
      <c r="T748" s="48"/>
      <c r="U748" s="55" t="str">
        <f aca="false">IF($G748="","",IFERROR(IF(ISNUMBER($G748),IF($G748&gt;19000000,DATE(INT($G748/10000),MOD(INT($G748/100),100),MOD($G748,100)),INT($G748)),IF(LEN(SUBSTITUTE(SUBSTITUTE(SUBSTITUTE(TRIM($G748),"-",""),".",""),"/",""))=8,DATE(VALUE(LEFT(SUBSTITUTE(SUBSTITUTE(SUBSTITUTE(TRIM($G748),"-",""),".",""),"/",""),4)),VALUE(MID(SUBSTITUTE(SUBSTITUTE(SUBSTITUTE(TRIM($G748),"-",""),".",""),"/",""),5,2)),VALUE(RIGHT(SUBSTITUTE(SUBSTITUTE(SUBSTITUTE(TRIM($G748),"-",""),".",""),"/",""),2))),DATEVALUE($G748))),""))</f>
        <v/>
      </c>
      <c r="V748" s="52" t="str">
        <f aca="false">IF($H748="","",IFERROR(IF(IF(ISNUMBER($H748),$H748,IFERROR(TIMEVALUE($H748),VALUE($H748)))&gt;=100,INT(IF(ISNUMBER($H748),$H748,IFERROR(TIMEVALUE($H748),VALUE($H748)))/100)*60+MOD(IF(ISNUMBER($H748),$H748,IFERROR(TIMEVALUE($H748),VALUE($H748))),100),IF(IF(ISNUMBER($H748),$H748,IFERROR(TIMEVALUE($H748),VALUE($H748)))&gt;=1,ROUND(IF(ISNUMBER($H748),$H748,IFERROR(TIMEVALUE($H748),VALUE($H748)))*60,0),ROUND(MOD(IF(ISNUMBER($H748),$H748,IFERROR(TIMEVALUE($H748),VALUE($H748))),1)*1440,0))),""))</f>
        <v/>
      </c>
      <c r="W748" s="52" t="str">
        <f aca="false">IF($I748="","",IFERROR(IF(IF(ISNUMBER($I748),$I748,IFERROR(TIMEVALUE($I748),VALUE($I748)))&gt;=100,INT(IF(ISNUMBER($I748),$I748,IFERROR(TIMEVALUE($I748),VALUE($I748)))/100)*60+MOD(IF(ISNUMBER($I748),$I748,IFERROR(TIMEVALUE($I748),VALUE($I748))),100),IF(IF(ISNUMBER($I748),$I748,IFERROR(TIMEVALUE($I748),VALUE($I748)))&gt;=1,ROUND(IF(ISNUMBER($I748),$I748,IFERROR(TIMEVALUE($I748),VALUE($I748)))*60,0),ROUND(MOD(IF(ISNUMBER($I748),$I748,IFERROR(TIMEVALUE($I748),VALUE($I748))),1)*1440,0))),""))</f>
        <v/>
      </c>
      <c r="X748" s="55" t="str">
        <f aca="false">IF($P748="","",IFERROR(IF(ISNUMBER($P748),IF($P748&gt;19000000,DATE(INT($P748/10000),MOD(INT($P748/100),100),MOD($P748,100)),INT($P748)),IF(LEN(SUBSTITUTE(SUBSTITUTE(SUBSTITUTE(TRIM($P748),"-",""),".",""),"/",""))=8,DATE(VALUE(LEFT(SUBSTITUTE(SUBSTITUTE(SUBSTITUTE(TRIM($P748),"-",""),".",""),"/",""),4)),VALUE(MID(SUBSTITUTE(SUBSTITUTE(SUBSTITUTE(TRIM($P748),"-",""),".",""),"/",""),5,2)),VALUE(RIGHT(SUBSTITUTE(SUBSTITUTE(SUBSTITUTE(TRIM($P748),"-",""),".",""),"/",""),2))),DATEVALUE($P748))),""))</f>
        <v/>
      </c>
      <c r="Y748" s="56" t="str">
        <f aca="false">IF($M748="","",IFERROR(INDEX(강사DB!$D$4:$D$53,MATCH($M748,강사DB!$A$4:$A$53,0)),""))</f>
        <v/>
      </c>
      <c r="Z748" s="56" t="str">
        <f aca="false">IF($B748&lt;&gt;"결제완료","",IF(OR($Y748="",$J748=""),"",$Y748*$J748+MAX(0,N($K748)-1)*설정!$J$7))</f>
        <v/>
      </c>
      <c r="AA748" s="56" t="str">
        <f aca="false">IF(AND($D748&lt;&gt;"",$B748="결제완료"),N($N748),"")</f>
        <v/>
      </c>
      <c r="AB748" s="45" t="str">
        <f aca="false">IF($D748="","",IF($F748&lt;&gt;"",$F748,$D748)&amp;IF($B748="상담중"," (상담)",""))</f>
        <v/>
      </c>
      <c r="AC748" s="45" t="n">
        <f aca="false">IF(AND($D748&lt;&gt;"",OR($B748="결제완료",$B748="상담중")),1,0)</f>
        <v>0</v>
      </c>
      <c r="AD748" s="45" t="n">
        <f aca="false">IF(OR($Z748="",$U748=""),0,IFERROR(IF(COUNTIFS(INDEX(g_grid,0,2*MATCH($M748,강사DB!$A$4:$A$15,0)),"&lt;&gt;",g_s,"&lt;="&amp;$U748,g_e,"&gt;="&amp;$U748)&gt;0,1,0),0))</f>
        <v>0</v>
      </c>
      <c r="AE748" s="48"/>
      <c r="AF748" s="56" t="str">
        <f aca="false">IF(AND($D748&lt;&gt;"",$B748="결제완료",$T748="대여"),설정!$J$5,"")</f>
        <v/>
      </c>
      <c r="AG748" s="54" t="str">
        <f aca="false">IF($D748="","",IF(AND($E748="",$R748=""),$AB748,"☎ "&amp;IF($E748="","-",$E748)&amp;IF($R748&lt;&gt;"","  ※ "&amp;$R748,"")&amp;IF($B748="상담중"," (상담)","")))</f>
        <v/>
      </c>
      <c r="AH748" s="56" t="str">
        <f aca="false">IF(AND($D748&lt;&gt;"",$B748="결제완료",$O748="스마트스토어"),ROUND(N($N748)*설정!$J$6,0),"")</f>
        <v/>
      </c>
      <c r="AI748" s="54" t="str">
        <f aca="false">IF($D748="","",ROW())</f>
        <v/>
      </c>
      <c r="AJ748" s="54" t="n">
        <f aca="false">IF(OR($AC748&lt;&gt;1,$M748=""),0,IF(ISNUMBER(SEARCH("퇴사",IFERROR(INDEX(강사DB!$G$4:$G$53,MATCH($M748,강사DB!$A$4:$A$53,0)),""))),1,0))</f>
        <v>0</v>
      </c>
    </row>
    <row r="749" customFormat="false" ht="15" hidden="false" customHeight="false" outlineLevel="0" collapsed="false">
      <c r="A749" s="45" t="str">
        <f aca="false">IF($D749="","",COUNTA($D$5:$D749))</f>
        <v/>
      </c>
      <c r="B749" s="46"/>
      <c r="C749" s="47"/>
      <c r="D749" s="48"/>
      <c r="E749" s="48"/>
      <c r="F749" s="49"/>
      <c r="G749" s="47"/>
      <c r="H749" s="50"/>
      <c r="I749" s="50"/>
      <c r="J749" s="51" t="str">
        <f aca="false">IF(OR($V749="",$W749=""),"",ROUND(($W749-$V749)/60,2))</f>
        <v/>
      </c>
      <c r="K749" s="52" t="str">
        <f aca="false">IF($F749="","",LEN($F749)-LEN(SUBSTITUTE($F749,",",""))+1)</f>
        <v/>
      </c>
      <c r="L749" s="45" t="str">
        <f aca="false">IF($K749="","","1:"&amp;$K749)</f>
        <v/>
      </c>
      <c r="M749" s="46"/>
      <c r="N749" s="53"/>
      <c r="O749" s="46"/>
      <c r="P749" s="47"/>
      <c r="Q749" s="48"/>
      <c r="R749" s="49"/>
      <c r="S749" s="54" t="str">
        <f aca="false">IF(OR($AC749=0,$U749="",$M749="",$V749="",$W749=""),"",IF(COUNTIFS(m_teacher,$M749,m_date,$U749,m_active,1,m_start,"&lt;"&amp;$W749,m_end,"&gt;"&amp;$V749)&gt;1,"충돌",""))</f>
        <v/>
      </c>
      <c r="T749" s="48"/>
      <c r="U749" s="55" t="str">
        <f aca="false">IF($G749="","",IFERROR(IF(ISNUMBER($G749),IF($G749&gt;19000000,DATE(INT($G749/10000),MOD(INT($G749/100),100),MOD($G749,100)),INT($G749)),IF(LEN(SUBSTITUTE(SUBSTITUTE(SUBSTITUTE(TRIM($G749),"-",""),".",""),"/",""))=8,DATE(VALUE(LEFT(SUBSTITUTE(SUBSTITUTE(SUBSTITUTE(TRIM($G749),"-",""),".",""),"/",""),4)),VALUE(MID(SUBSTITUTE(SUBSTITUTE(SUBSTITUTE(TRIM($G749),"-",""),".",""),"/",""),5,2)),VALUE(RIGHT(SUBSTITUTE(SUBSTITUTE(SUBSTITUTE(TRIM($G749),"-",""),".",""),"/",""),2))),DATEVALUE($G749))),""))</f>
        <v/>
      </c>
      <c r="V749" s="52" t="str">
        <f aca="false">IF($H749="","",IFERROR(IF(IF(ISNUMBER($H749),$H749,IFERROR(TIMEVALUE($H749),VALUE($H749)))&gt;=100,INT(IF(ISNUMBER($H749),$H749,IFERROR(TIMEVALUE($H749),VALUE($H749)))/100)*60+MOD(IF(ISNUMBER($H749),$H749,IFERROR(TIMEVALUE($H749),VALUE($H749))),100),IF(IF(ISNUMBER($H749),$H749,IFERROR(TIMEVALUE($H749),VALUE($H749)))&gt;=1,ROUND(IF(ISNUMBER($H749),$H749,IFERROR(TIMEVALUE($H749),VALUE($H749)))*60,0),ROUND(MOD(IF(ISNUMBER($H749),$H749,IFERROR(TIMEVALUE($H749),VALUE($H749))),1)*1440,0))),""))</f>
        <v/>
      </c>
      <c r="W749" s="52" t="str">
        <f aca="false">IF($I749="","",IFERROR(IF(IF(ISNUMBER($I749),$I749,IFERROR(TIMEVALUE($I749),VALUE($I749)))&gt;=100,INT(IF(ISNUMBER($I749),$I749,IFERROR(TIMEVALUE($I749),VALUE($I749)))/100)*60+MOD(IF(ISNUMBER($I749),$I749,IFERROR(TIMEVALUE($I749),VALUE($I749))),100),IF(IF(ISNUMBER($I749),$I749,IFERROR(TIMEVALUE($I749),VALUE($I749)))&gt;=1,ROUND(IF(ISNUMBER($I749),$I749,IFERROR(TIMEVALUE($I749),VALUE($I749)))*60,0),ROUND(MOD(IF(ISNUMBER($I749),$I749,IFERROR(TIMEVALUE($I749),VALUE($I749))),1)*1440,0))),""))</f>
        <v/>
      </c>
      <c r="X749" s="55" t="str">
        <f aca="false">IF($P749="","",IFERROR(IF(ISNUMBER($P749),IF($P749&gt;19000000,DATE(INT($P749/10000),MOD(INT($P749/100),100),MOD($P749,100)),INT($P749)),IF(LEN(SUBSTITUTE(SUBSTITUTE(SUBSTITUTE(TRIM($P749),"-",""),".",""),"/",""))=8,DATE(VALUE(LEFT(SUBSTITUTE(SUBSTITUTE(SUBSTITUTE(TRIM($P749),"-",""),".",""),"/",""),4)),VALUE(MID(SUBSTITUTE(SUBSTITUTE(SUBSTITUTE(TRIM($P749),"-",""),".",""),"/",""),5,2)),VALUE(RIGHT(SUBSTITUTE(SUBSTITUTE(SUBSTITUTE(TRIM($P749),"-",""),".",""),"/",""),2))),DATEVALUE($P749))),""))</f>
        <v/>
      </c>
      <c r="Y749" s="56" t="str">
        <f aca="false">IF($M749="","",IFERROR(INDEX(강사DB!$D$4:$D$53,MATCH($M749,강사DB!$A$4:$A$53,0)),""))</f>
        <v/>
      </c>
      <c r="Z749" s="56" t="str">
        <f aca="false">IF($B749&lt;&gt;"결제완료","",IF(OR($Y749="",$J749=""),"",$Y749*$J749+MAX(0,N($K749)-1)*설정!$J$7))</f>
        <v/>
      </c>
      <c r="AA749" s="56" t="str">
        <f aca="false">IF(AND($D749&lt;&gt;"",$B749="결제완료"),N($N749),"")</f>
        <v/>
      </c>
      <c r="AB749" s="45" t="str">
        <f aca="false">IF($D749="","",IF($F749&lt;&gt;"",$F749,$D749)&amp;IF($B749="상담중"," (상담)",""))</f>
        <v/>
      </c>
      <c r="AC749" s="45" t="n">
        <f aca="false">IF(AND($D749&lt;&gt;"",OR($B749="결제완료",$B749="상담중")),1,0)</f>
        <v>0</v>
      </c>
      <c r="AD749" s="45" t="n">
        <f aca="false">IF(OR($Z749="",$U749=""),0,IFERROR(IF(COUNTIFS(INDEX(g_grid,0,2*MATCH($M749,강사DB!$A$4:$A$15,0)),"&lt;&gt;",g_s,"&lt;="&amp;$U749,g_e,"&gt;="&amp;$U749)&gt;0,1,0),0))</f>
        <v>0</v>
      </c>
      <c r="AE749" s="48"/>
      <c r="AF749" s="56" t="str">
        <f aca="false">IF(AND($D749&lt;&gt;"",$B749="결제완료",$T749="대여"),설정!$J$5,"")</f>
        <v/>
      </c>
      <c r="AG749" s="54" t="str">
        <f aca="false">IF($D749="","",IF(AND($E749="",$R749=""),$AB749,"☎ "&amp;IF($E749="","-",$E749)&amp;IF($R749&lt;&gt;"","  ※ "&amp;$R749,"")&amp;IF($B749="상담중"," (상담)","")))</f>
        <v/>
      </c>
      <c r="AH749" s="56" t="str">
        <f aca="false">IF(AND($D749&lt;&gt;"",$B749="결제완료",$O749="스마트스토어"),ROUND(N($N749)*설정!$J$6,0),"")</f>
        <v/>
      </c>
      <c r="AI749" s="54" t="str">
        <f aca="false">IF($D749="","",ROW())</f>
        <v/>
      </c>
      <c r="AJ749" s="54" t="n">
        <f aca="false">IF(OR($AC749&lt;&gt;1,$M749=""),0,IF(ISNUMBER(SEARCH("퇴사",IFERROR(INDEX(강사DB!$G$4:$G$53,MATCH($M749,강사DB!$A$4:$A$53,0)),""))),1,0))</f>
        <v>0</v>
      </c>
    </row>
    <row r="750" customFormat="false" ht="15" hidden="false" customHeight="false" outlineLevel="0" collapsed="false">
      <c r="A750" s="45" t="str">
        <f aca="false">IF($D750="","",COUNTA($D$5:$D750))</f>
        <v/>
      </c>
      <c r="B750" s="46"/>
      <c r="C750" s="47"/>
      <c r="D750" s="48"/>
      <c r="E750" s="48"/>
      <c r="F750" s="49"/>
      <c r="G750" s="47"/>
      <c r="H750" s="50"/>
      <c r="I750" s="50"/>
      <c r="J750" s="51" t="str">
        <f aca="false">IF(OR($V750="",$W750=""),"",ROUND(($W750-$V750)/60,2))</f>
        <v/>
      </c>
      <c r="K750" s="52" t="str">
        <f aca="false">IF($F750="","",LEN($F750)-LEN(SUBSTITUTE($F750,",",""))+1)</f>
        <v/>
      </c>
      <c r="L750" s="45" t="str">
        <f aca="false">IF($K750="","","1:"&amp;$K750)</f>
        <v/>
      </c>
      <c r="M750" s="46"/>
      <c r="N750" s="53"/>
      <c r="O750" s="46"/>
      <c r="P750" s="47"/>
      <c r="Q750" s="48"/>
      <c r="R750" s="49"/>
      <c r="S750" s="54" t="str">
        <f aca="false">IF(OR($AC750=0,$U750="",$M750="",$V750="",$W750=""),"",IF(COUNTIFS(m_teacher,$M750,m_date,$U750,m_active,1,m_start,"&lt;"&amp;$W750,m_end,"&gt;"&amp;$V750)&gt;1,"충돌",""))</f>
        <v/>
      </c>
      <c r="T750" s="48"/>
      <c r="U750" s="55" t="str">
        <f aca="false">IF($G750="","",IFERROR(IF(ISNUMBER($G750),IF($G750&gt;19000000,DATE(INT($G750/10000),MOD(INT($G750/100),100),MOD($G750,100)),INT($G750)),IF(LEN(SUBSTITUTE(SUBSTITUTE(SUBSTITUTE(TRIM($G750),"-",""),".",""),"/",""))=8,DATE(VALUE(LEFT(SUBSTITUTE(SUBSTITUTE(SUBSTITUTE(TRIM($G750),"-",""),".",""),"/",""),4)),VALUE(MID(SUBSTITUTE(SUBSTITUTE(SUBSTITUTE(TRIM($G750),"-",""),".",""),"/",""),5,2)),VALUE(RIGHT(SUBSTITUTE(SUBSTITUTE(SUBSTITUTE(TRIM($G750),"-",""),".",""),"/",""),2))),DATEVALUE($G750))),""))</f>
        <v/>
      </c>
      <c r="V750" s="52" t="str">
        <f aca="false">IF($H750="","",IFERROR(IF(IF(ISNUMBER($H750),$H750,IFERROR(TIMEVALUE($H750),VALUE($H750)))&gt;=100,INT(IF(ISNUMBER($H750),$H750,IFERROR(TIMEVALUE($H750),VALUE($H750)))/100)*60+MOD(IF(ISNUMBER($H750),$H750,IFERROR(TIMEVALUE($H750),VALUE($H750))),100),IF(IF(ISNUMBER($H750),$H750,IFERROR(TIMEVALUE($H750),VALUE($H750)))&gt;=1,ROUND(IF(ISNUMBER($H750),$H750,IFERROR(TIMEVALUE($H750),VALUE($H750)))*60,0),ROUND(MOD(IF(ISNUMBER($H750),$H750,IFERROR(TIMEVALUE($H750),VALUE($H750))),1)*1440,0))),""))</f>
        <v/>
      </c>
      <c r="W750" s="52" t="str">
        <f aca="false">IF($I750="","",IFERROR(IF(IF(ISNUMBER($I750),$I750,IFERROR(TIMEVALUE($I750),VALUE($I750)))&gt;=100,INT(IF(ISNUMBER($I750),$I750,IFERROR(TIMEVALUE($I750),VALUE($I750)))/100)*60+MOD(IF(ISNUMBER($I750),$I750,IFERROR(TIMEVALUE($I750),VALUE($I750))),100),IF(IF(ISNUMBER($I750),$I750,IFERROR(TIMEVALUE($I750),VALUE($I750)))&gt;=1,ROUND(IF(ISNUMBER($I750),$I750,IFERROR(TIMEVALUE($I750),VALUE($I750)))*60,0),ROUND(MOD(IF(ISNUMBER($I750),$I750,IFERROR(TIMEVALUE($I750),VALUE($I750))),1)*1440,0))),""))</f>
        <v/>
      </c>
      <c r="X750" s="55" t="str">
        <f aca="false">IF($P750="","",IFERROR(IF(ISNUMBER($P750),IF($P750&gt;19000000,DATE(INT($P750/10000),MOD(INT($P750/100),100),MOD($P750,100)),INT($P750)),IF(LEN(SUBSTITUTE(SUBSTITUTE(SUBSTITUTE(TRIM($P750),"-",""),".",""),"/",""))=8,DATE(VALUE(LEFT(SUBSTITUTE(SUBSTITUTE(SUBSTITUTE(TRIM($P750),"-",""),".",""),"/",""),4)),VALUE(MID(SUBSTITUTE(SUBSTITUTE(SUBSTITUTE(TRIM($P750),"-",""),".",""),"/",""),5,2)),VALUE(RIGHT(SUBSTITUTE(SUBSTITUTE(SUBSTITUTE(TRIM($P750),"-",""),".",""),"/",""),2))),DATEVALUE($P750))),""))</f>
        <v/>
      </c>
      <c r="Y750" s="56" t="str">
        <f aca="false">IF($M750="","",IFERROR(INDEX(강사DB!$D$4:$D$53,MATCH($M750,강사DB!$A$4:$A$53,0)),""))</f>
        <v/>
      </c>
      <c r="Z750" s="56" t="str">
        <f aca="false">IF($B750&lt;&gt;"결제완료","",IF(OR($Y750="",$J750=""),"",$Y750*$J750+MAX(0,N($K750)-1)*설정!$J$7))</f>
        <v/>
      </c>
      <c r="AA750" s="56" t="str">
        <f aca="false">IF(AND($D750&lt;&gt;"",$B750="결제완료"),N($N750),"")</f>
        <v/>
      </c>
      <c r="AB750" s="45" t="str">
        <f aca="false">IF($D750="","",IF($F750&lt;&gt;"",$F750,$D750)&amp;IF($B750="상담중"," (상담)",""))</f>
        <v/>
      </c>
      <c r="AC750" s="45" t="n">
        <f aca="false">IF(AND($D750&lt;&gt;"",OR($B750="결제완료",$B750="상담중")),1,0)</f>
        <v>0</v>
      </c>
      <c r="AD750" s="45" t="n">
        <f aca="false">IF(OR($Z750="",$U750=""),0,IFERROR(IF(COUNTIFS(INDEX(g_grid,0,2*MATCH($M750,강사DB!$A$4:$A$15,0)),"&lt;&gt;",g_s,"&lt;="&amp;$U750,g_e,"&gt;="&amp;$U750)&gt;0,1,0),0))</f>
        <v>0</v>
      </c>
      <c r="AE750" s="48"/>
      <c r="AF750" s="56" t="str">
        <f aca="false">IF(AND($D750&lt;&gt;"",$B750="결제완료",$T750="대여"),설정!$J$5,"")</f>
        <v/>
      </c>
      <c r="AG750" s="54" t="str">
        <f aca="false">IF($D750="","",IF(AND($E750="",$R750=""),$AB750,"☎ "&amp;IF($E750="","-",$E750)&amp;IF($R750&lt;&gt;"","  ※ "&amp;$R750,"")&amp;IF($B750="상담중"," (상담)","")))</f>
        <v/>
      </c>
      <c r="AH750" s="56" t="str">
        <f aca="false">IF(AND($D750&lt;&gt;"",$B750="결제완료",$O750="스마트스토어"),ROUND(N($N750)*설정!$J$6,0),"")</f>
        <v/>
      </c>
      <c r="AI750" s="54" t="str">
        <f aca="false">IF($D750="","",ROW())</f>
        <v/>
      </c>
      <c r="AJ750" s="54" t="n">
        <f aca="false">IF(OR($AC750&lt;&gt;1,$M750=""),0,IF(ISNUMBER(SEARCH("퇴사",IFERROR(INDEX(강사DB!$G$4:$G$53,MATCH($M750,강사DB!$A$4:$A$53,0)),""))),1,0))</f>
        <v>0</v>
      </c>
    </row>
    <row r="751" customFormat="false" ht="15" hidden="false" customHeight="false" outlineLevel="0" collapsed="false">
      <c r="A751" s="45" t="str">
        <f aca="false">IF($D751="","",COUNTA($D$5:$D751))</f>
        <v/>
      </c>
      <c r="B751" s="46"/>
      <c r="C751" s="47"/>
      <c r="D751" s="48"/>
      <c r="E751" s="48"/>
      <c r="F751" s="49"/>
      <c r="G751" s="47"/>
      <c r="H751" s="50"/>
      <c r="I751" s="50"/>
      <c r="J751" s="51" t="str">
        <f aca="false">IF(OR($V751="",$W751=""),"",ROUND(($W751-$V751)/60,2))</f>
        <v/>
      </c>
      <c r="K751" s="52" t="str">
        <f aca="false">IF($F751="","",LEN($F751)-LEN(SUBSTITUTE($F751,",",""))+1)</f>
        <v/>
      </c>
      <c r="L751" s="45" t="str">
        <f aca="false">IF($K751="","","1:"&amp;$K751)</f>
        <v/>
      </c>
      <c r="M751" s="46"/>
      <c r="N751" s="53"/>
      <c r="O751" s="46"/>
      <c r="P751" s="47"/>
      <c r="Q751" s="48"/>
      <c r="R751" s="49"/>
      <c r="S751" s="54" t="str">
        <f aca="false">IF(OR($AC751=0,$U751="",$M751="",$V751="",$W751=""),"",IF(COUNTIFS(m_teacher,$M751,m_date,$U751,m_active,1,m_start,"&lt;"&amp;$W751,m_end,"&gt;"&amp;$V751)&gt;1,"충돌",""))</f>
        <v/>
      </c>
      <c r="T751" s="48"/>
      <c r="U751" s="55" t="str">
        <f aca="false">IF($G751="","",IFERROR(IF(ISNUMBER($G751),IF($G751&gt;19000000,DATE(INT($G751/10000),MOD(INT($G751/100),100),MOD($G751,100)),INT($G751)),IF(LEN(SUBSTITUTE(SUBSTITUTE(SUBSTITUTE(TRIM($G751),"-",""),".",""),"/",""))=8,DATE(VALUE(LEFT(SUBSTITUTE(SUBSTITUTE(SUBSTITUTE(TRIM($G751),"-",""),".",""),"/",""),4)),VALUE(MID(SUBSTITUTE(SUBSTITUTE(SUBSTITUTE(TRIM($G751),"-",""),".",""),"/",""),5,2)),VALUE(RIGHT(SUBSTITUTE(SUBSTITUTE(SUBSTITUTE(TRIM($G751),"-",""),".",""),"/",""),2))),DATEVALUE($G751))),""))</f>
        <v/>
      </c>
      <c r="V751" s="52" t="str">
        <f aca="false">IF($H751="","",IFERROR(IF(IF(ISNUMBER($H751),$H751,IFERROR(TIMEVALUE($H751),VALUE($H751)))&gt;=100,INT(IF(ISNUMBER($H751),$H751,IFERROR(TIMEVALUE($H751),VALUE($H751)))/100)*60+MOD(IF(ISNUMBER($H751),$H751,IFERROR(TIMEVALUE($H751),VALUE($H751))),100),IF(IF(ISNUMBER($H751),$H751,IFERROR(TIMEVALUE($H751),VALUE($H751)))&gt;=1,ROUND(IF(ISNUMBER($H751),$H751,IFERROR(TIMEVALUE($H751),VALUE($H751)))*60,0),ROUND(MOD(IF(ISNUMBER($H751),$H751,IFERROR(TIMEVALUE($H751),VALUE($H751))),1)*1440,0))),""))</f>
        <v/>
      </c>
      <c r="W751" s="52" t="str">
        <f aca="false">IF($I751="","",IFERROR(IF(IF(ISNUMBER($I751),$I751,IFERROR(TIMEVALUE($I751),VALUE($I751)))&gt;=100,INT(IF(ISNUMBER($I751),$I751,IFERROR(TIMEVALUE($I751),VALUE($I751)))/100)*60+MOD(IF(ISNUMBER($I751),$I751,IFERROR(TIMEVALUE($I751),VALUE($I751))),100),IF(IF(ISNUMBER($I751),$I751,IFERROR(TIMEVALUE($I751),VALUE($I751)))&gt;=1,ROUND(IF(ISNUMBER($I751),$I751,IFERROR(TIMEVALUE($I751),VALUE($I751)))*60,0),ROUND(MOD(IF(ISNUMBER($I751),$I751,IFERROR(TIMEVALUE($I751),VALUE($I751))),1)*1440,0))),""))</f>
        <v/>
      </c>
      <c r="X751" s="55" t="str">
        <f aca="false">IF($P751="","",IFERROR(IF(ISNUMBER($P751),IF($P751&gt;19000000,DATE(INT($P751/10000),MOD(INT($P751/100),100),MOD($P751,100)),INT($P751)),IF(LEN(SUBSTITUTE(SUBSTITUTE(SUBSTITUTE(TRIM($P751),"-",""),".",""),"/",""))=8,DATE(VALUE(LEFT(SUBSTITUTE(SUBSTITUTE(SUBSTITUTE(TRIM($P751),"-",""),".",""),"/",""),4)),VALUE(MID(SUBSTITUTE(SUBSTITUTE(SUBSTITUTE(TRIM($P751),"-",""),".",""),"/",""),5,2)),VALUE(RIGHT(SUBSTITUTE(SUBSTITUTE(SUBSTITUTE(TRIM($P751),"-",""),".",""),"/",""),2))),DATEVALUE($P751))),""))</f>
        <v/>
      </c>
      <c r="Y751" s="56" t="str">
        <f aca="false">IF($M751="","",IFERROR(INDEX(강사DB!$D$4:$D$53,MATCH($M751,강사DB!$A$4:$A$53,0)),""))</f>
        <v/>
      </c>
      <c r="Z751" s="56" t="str">
        <f aca="false">IF($B751&lt;&gt;"결제완료","",IF(OR($Y751="",$J751=""),"",$Y751*$J751+MAX(0,N($K751)-1)*설정!$J$7))</f>
        <v/>
      </c>
      <c r="AA751" s="56" t="str">
        <f aca="false">IF(AND($D751&lt;&gt;"",$B751="결제완료"),N($N751),"")</f>
        <v/>
      </c>
      <c r="AB751" s="45" t="str">
        <f aca="false">IF($D751="","",IF($F751&lt;&gt;"",$F751,$D751)&amp;IF($B751="상담중"," (상담)",""))</f>
        <v/>
      </c>
      <c r="AC751" s="45" t="n">
        <f aca="false">IF(AND($D751&lt;&gt;"",OR($B751="결제완료",$B751="상담중")),1,0)</f>
        <v>0</v>
      </c>
      <c r="AD751" s="45" t="n">
        <f aca="false">IF(OR($Z751="",$U751=""),0,IFERROR(IF(COUNTIFS(INDEX(g_grid,0,2*MATCH($M751,강사DB!$A$4:$A$15,0)),"&lt;&gt;",g_s,"&lt;="&amp;$U751,g_e,"&gt;="&amp;$U751)&gt;0,1,0),0))</f>
        <v>0</v>
      </c>
      <c r="AE751" s="48"/>
      <c r="AF751" s="56" t="str">
        <f aca="false">IF(AND($D751&lt;&gt;"",$B751="결제완료",$T751="대여"),설정!$J$5,"")</f>
        <v/>
      </c>
      <c r="AG751" s="54" t="str">
        <f aca="false">IF($D751="","",IF(AND($E751="",$R751=""),$AB751,"☎ "&amp;IF($E751="","-",$E751)&amp;IF($R751&lt;&gt;"","  ※ "&amp;$R751,"")&amp;IF($B751="상담중"," (상담)","")))</f>
        <v/>
      </c>
      <c r="AH751" s="56" t="str">
        <f aca="false">IF(AND($D751&lt;&gt;"",$B751="결제완료",$O751="스마트스토어"),ROUND(N($N751)*설정!$J$6,0),"")</f>
        <v/>
      </c>
      <c r="AI751" s="54" t="str">
        <f aca="false">IF($D751="","",ROW())</f>
        <v/>
      </c>
      <c r="AJ751" s="54" t="n">
        <f aca="false">IF(OR($AC751&lt;&gt;1,$M751=""),0,IF(ISNUMBER(SEARCH("퇴사",IFERROR(INDEX(강사DB!$G$4:$G$53,MATCH($M751,강사DB!$A$4:$A$53,0)),""))),1,0))</f>
        <v>0</v>
      </c>
    </row>
    <row r="752" customFormat="false" ht="15" hidden="false" customHeight="false" outlineLevel="0" collapsed="false">
      <c r="A752" s="45" t="str">
        <f aca="false">IF($D752="","",COUNTA($D$5:$D752))</f>
        <v/>
      </c>
      <c r="B752" s="46"/>
      <c r="C752" s="47"/>
      <c r="D752" s="48"/>
      <c r="E752" s="48"/>
      <c r="F752" s="49"/>
      <c r="G752" s="47"/>
      <c r="H752" s="50"/>
      <c r="I752" s="50"/>
      <c r="J752" s="51" t="str">
        <f aca="false">IF(OR($V752="",$W752=""),"",ROUND(($W752-$V752)/60,2))</f>
        <v/>
      </c>
      <c r="K752" s="52" t="str">
        <f aca="false">IF($F752="","",LEN($F752)-LEN(SUBSTITUTE($F752,",",""))+1)</f>
        <v/>
      </c>
      <c r="L752" s="45" t="str">
        <f aca="false">IF($K752="","","1:"&amp;$K752)</f>
        <v/>
      </c>
      <c r="M752" s="46"/>
      <c r="N752" s="53"/>
      <c r="O752" s="46"/>
      <c r="P752" s="47"/>
      <c r="Q752" s="48"/>
      <c r="R752" s="49"/>
      <c r="S752" s="54" t="str">
        <f aca="false">IF(OR($AC752=0,$U752="",$M752="",$V752="",$W752=""),"",IF(COUNTIFS(m_teacher,$M752,m_date,$U752,m_active,1,m_start,"&lt;"&amp;$W752,m_end,"&gt;"&amp;$V752)&gt;1,"충돌",""))</f>
        <v/>
      </c>
      <c r="T752" s="48"/>
      <c r="U752" s="55" t="str">
        <f aca="false">IF($G752="","",IFERROR(IF(ISNUMBER($G752),IF($G752&gt;19000000,DATE(INT($G752/10000),MOD(INT($G752/100),100),MOD($G752,100)),INT($G752)),IF(LEN(SUBSTITUTE(SUBSTITUTE(SUBSTITUTE(TRIM($G752),"-",""),".",""),"/",""))=8,DATE(VALUE(LEFT(SUBSTITUTE(SUBSTITUTE(SUBSTITUTE(TRIM($G752),"-",""),".",""),"/",""),4)),VALUE(MID(SUBSTITUTE(SUBSTITUTE(SUBSTITUTE(TRIM($G752),"-",""),".",""),"/",""),5,2)),VALUE(RIGHT(SUBSTITUTE(SUBSTITUTE(SUBSTITUTE(TRIM($G752),"-",""),".",""),"/",""),2))),DATEVALUE($G752))),""))</f>
        <v/>
      </c>
      <c r="V752" s="52" t="str">
        <f aca="false">IF($H752="","",IFERROR(IF(IF(ISNUMBER($H752),$H752,IFERROR(TIMEVALUE($H752),VALUE($H752)))&gt;=100,INT(IF(ISNUMBER($H752),$H752,IFERROR(TIMEVALUE($H752),VALUE($H752)))/100)*60+MOD(IF(ISNUMBER($H752),$H752,IFERROR(TIMEVALUE($H752),VALUE($H752))),100),IF(IF(ISNUMBER($H752),$H752,IFERROR(TIMEVALUE($H752),VALUE($H752)))&gt;=1,ROUND(IF(ISNUMBER($H752),$H752,IFERROR(TIMEVALUE($H752),VALUE($H752)))*60,0),ROUND(MOD(IF(ISNUMBER($H752),$H752,IFERROR(TIMEVALUE($H752),VALUE($H752))),1)*1440,0))),""))</f>
        <v/>
      </c>
      <c r="W752" s="52" t="str">
        <f aca="false">IF($I752="","",IFERROR(IF(IF(ISNUMBER($I752),$I752,IFERROR(TIMEVALUE($I752),VALUE($I752)))&gt;=100,INT(IF(ISNUMBER($I752),$I752,IFERROR(TIMEVALUE($I752),VALUE($I752)))/100)*60+MOD(IF(ISNUMBER($I752),$I752,IFERROR(TIMEVALUE($I752),VALUE($I752))),100),IF(IF(ISNUMBER($I752),$I752,IFERROR(TIMEVALUE($I752),VALUE($I752)))&gt;=1,ROUND(IF(ISNUMBER($I752),$I752,IFERROR(TIMEVALUE($I752),VALUE($I752)))*60,0),ROUND(MOD(IF(ISNUMBER($I752),$I752,IFERROR(TIMEVALUE($I752),VALUE($I752))),1)*1440,0))),""))</f>
        <v/>
      </c>
      <c r="X752" s="55" t="str">
        <f aca="false">IF($P752="","",IFERROR(IF(ISNUMBER($P752),IF($P752&gt;19000000,DATE(INT($P752/10000),MOD(INT($P752/100),100),MOD($P752,100)),INT($P752)),IF(LEN(SUBSTITUTE(SUBSTITUTE(SUBSTITUTE(TRIM($P752),"-",""),".",""),"/",""))=8,DATE(VALUE(LEFT(SUBSTITUTE(SUBSTITUTE(SUBSTITUTE(TRIM($P752),"-",""),".",""),"/",""),4)),VALUE(MID(SUBSTITUTE(SUBSTITUTE(SUBSTITUTE(TRIM($P752),"-",""),".",""),"/",""),5,2)),VALUE(RIGHT(SUBSTITUTE(SUBSTITUTE(SUBSTITUTE(TRIM($P752),"-",""),".",""),"/",""),2))),DATEVALUE($P752))),""))</f>
        <v/>
      </c>
      <c r="Y752" s="56" t="str">
        <f aca="false">IF($M752="","",IFERROR(INDEX(강사DB!$D$4:$D$53,MATCH($M752,강사DB!$A$4:$A$53,0)),""))</f>
        <v/>
      </c>
      <c r="Z752" s="56" t="str">
        <f aca="false">IF($B752&lt;&gt;"결제완료","",IF(OR($Y752="",$J752=""),"",$Y752*$J752+MAX(0,N($K752)-1)*설정!$J$7))</f>
        <v/>
      </c>
      <c r="AA752" s="56" t="str">
        <f aca="false">IF(AND($D752&lt;&gt;"",$B752="결제완료"),N($N752),"")</f>
        <v/>
      </c>
      <c r="AB752" s="45" t="str">
        <f aca="false">IF($D752="","",IF($F752&lt;&gt;"",$F752,$D752)&amp;IF($B752="상담중"," (상담)",""))</f>
        <v/>
      </c>
      <c r="AC752" s="45" t="n">
        <f aca="false">IF(AND($D752&lt;&gt;"",OR($B752="결제완료",$B752="상담중")),1,0)</f>
        <v>0</v>
      </c>
      <c r="AD752" s="45" t="n">
        <f aca="false">IF(OR($Z752="",$U752=""),0,IFERROR(IF(COUNTIFS(INDEX(g_grid,0,2*MATCH($M752,강사DB!$A$4:$A$15,0)),"&lt;&gt;",g_s,"&lt;="&amp;$U752,g_e,"&gt;="&amp;$U752)&gt;0,1,0),0))</f>
        <v>0</v>
      </c>
      <c r="AE752" s="48"/>
      <c r="AF752" s="56" t="str">
        <f aca="false">IF(AND($D752&lt;&gt;"",$B752="결제완료",$T752="대여"),설정!$J$5,"")</f>
        <v/>
      </c>
      <c r="AG752" s="54" t="str">
        <f aca="false">IF($D752="","",IF(AND($E752="",$R752=""),$AB752,"☎ "&amp;IF($E752="","-",$E752)&amp;IF($R752&lt;&gt;"","  ※ "&amp;$R752,"")&amp;IF($B752="상담중"," (상담)","")))</f>
        <v/>
      </c>
      <c r="AH752" s="56" t="str">
        <f aca="false">IF(AND($D752&lt;&gt;"",$B752="결제완료",$O752="스마트스토어"),ROUND(N($N752)*설정!$J$6,0),"")</f>
        <v/>
      </c>
      <c r="AI752" s="54" t="str">
        <f aca="false">IF($D752="","",ROW())</f>
        <v/>
      </c>
      <c r="AJ752" s="54" t="n">
        <f aca="false">IF(OR($AC752&lt;&gt;1,$M752=""),0,IF(ISNUMBER(SEARCH("퇴사",IFERROR(INDEX(강사DB!$G$4:$G$53,MATCH($M752,강사DB!$A$4:$A$53,0)),""))),1,0))</f>
        <v>0</v>
      </c>
    </row>
    <row r="753" customFormat="false" ht="15" hidden="false" customHeight="false" outlineLevel="0" collapsed="false">
      <c r="A753" s="45" t="str">
        <f aca="false">IF($D753="","",COUNTA($D$5:$D753))</f>
        <v/>
      </c>
      <c r="B753" s="46"/>
      <c r="C753" s="47"/>
      <c r="D753" s="48"/>
      <c r="E753" s="48"/>
      <c r="F753" s="49"/>
      <c r="G753" s="47"/>
      <c r="H753" s="50"/>
      <c r="I753" s="50"/>
      <c r="J753" s="51" t="str">
        <f aca="false">IF(OR($V753="",$W753=""),"",ROUND(($W753-$V753)/60,2))</f>
        <v/>
      </c>
      <c r="K753" s="52" t="str">
        <f aca="false">IF($F753="","",LEN($F753)-LEN(SUBSTITUTE($F753,",",""))+1)</f>
        <v/>
      </c>
      <c r="L753" s="45" t="str">
        <f aca="false">IF($K753="","","1:"&amp;$K753)</f>
        <v/>
      </c>
      <c r="M753" s="46"/>
      <c r="N753" s="53"/>
      <c r="O753" s="46"/>
      <c r="P753" s="47"/>
      <c r="Q753" s="48"/>
      <c r="R753" s="49"/>
      <c r="S753" s="54" t="str">
        <f aca="false">IF(OR($AC753=0,$U753="",$M753="",$V753="",$W753=""),"",IF(COUNTIFS(m_teacher,$M753,m_date,$U753,m_active,1,m_start,"&lt;"&amp;$W753,m_end,"&gt;"&amp;$V753)&gt;1,"충돌",""))</f>
        <v/>
      </c>
      <c r="T753" s="48"/>
      <c r="U753" s="55" t="str">
        <f aca="false">IF($G753="","",IFERROR(IF(ISNUMBER($G753),IF($G753&gt;19000000,DATE(INT($G753/10000),MOD(INT($G753/100),100),MOD($G753,100)),INT($G753)),IF(LEN(SUBSTITUTE(SUBSTITUTE(SUBSTITUTE(TRIM($G753),"-",""),".",""),"/",""))=8,DATE(VALUE(LEFT(SUBSTITUTE(SUBSTITUTE(SUBSTITUTE(TRIM($G753),"-",""),".",""),"/",""),4)),VALUE(MID(SUBSTITUTE(SUBSTITUTE(SUBSTITUTE(TRIM($G753),"-",""),".",""),"/",""),5,2)),VALUE(RIGHT(SUBSTITUTE(SUBSTITUTE(SUBSTITUTE(TRIM($G753),"-",""),".",""),"/",""),2))),DATEVALUE($G753))),""))</f>
        <v/>
      </c>
      <c r="V753" s="52" t="str">
        <f aca="false">IF($H753="","",IFERROR(IF(IF(ISNUMBER($H753),$H753,IFERROR(TIMEVALUE($H753),VALUE($H753)))&gt;=100,INT(IF(ISNUMBER($H753),$H753,IFERROR(TIMEVALUE($H753),VALUE($H753)))/100)*60+MOD(IF(ISNUMBER($H753),$H753,IFERROR(TIMEVALUE($H753),VALUE($H753))),100),IF(IF(ISNUMBER($H753),$H753,IFERROR(TIMEVALUE($H753),VALUE($H753)))&gt;=1,ROUND(IF(ISNUMBER($H753),$H753,IFERROR(TIMEVALUE($H753),VALUE($H753)))*60,0),ROUND(MOD(IF(ISNUMBER($H753),$H753,IFERROR(TIMEVALUE($H753),VALUE($H753))),1)*1440,0))),""))</f>
        <v/>
      </c>
      <c r="W753" s="52" t="str">
        <f aca="false">IF($I753="","",IFERROR(IF(IF(ISNUMBER($I753),$I753,IFERROR(TIMEVALUE($I753),VALUE($I753)))&gt;=100,INT(IF(ISNUMBER($I753),$I753,IFERROR(TIMEVALUE($I753),VALUE($I753)))/100)*60+MOD(IF(ISNUMBER($I753),$I753,IFERROR(TIMEVALUE($I753),VALUE($I753))),100),IF(IF(ISNUMBER($I753),$I753,IFERROR(TIMEVALUE($I753),VALUE($I753)))&gt;=1,ROUND(IF(ISNUMBER($I753),$I753,IFERROR(TIMEVALUE($I753),VALUE($I753)))*60,0),ROUND(MOD(IF(ISNUMBER($I753),$I753,IFERROR(TIMEVALUE($I753),VALUE($I753))),1)*1440,0))),""))</f>
        <v/>
      </c>
      <c r="X753" s="55" t="str">
        <f aca="false">IF($P753="","",IFERROR(IF(ISNUMBER($P753),IF($P753&gt;19000000,DATE(INT($P753/10000),MOD(INT($P753/100),100),MOD($P753,100)),INT($P753)),IF(LEN(SUBSTITUTE(SUBSTITUTE(SUBSTITUTE(TRIM($P753),"-",""),".",""),"/",""))=8,DATE(VALUE(LEFT(SUBSTITUTE(SUBSTITUTE(SUBSTITUTE(TRIM($P753),"-",""),".",""),"/",""),4)),VALUE(MID(SUBSTITUTE(SUBSTITUTE(SUBSTITUTE(TRIM($P753),"-",""),".",""),"/",""),5,2)),VALUE(RIGHT(SUBSTITUTE(SUBSTITUTE(SUBSTITUTE(TRIM($P753),"-",""),".",""),"/",""),2))),DATEVALUE($P753))),""))</f>
        <v/>
      </c>
      <c r="Y753" s="56" t="str">
        <f aca="false">IF($M753="","",IFERROR(INDEX(강사DB!$D$4:$D$53,MATCH($M753,강사DB!$A$4:$A$53,0)),""))</f>
        <v/>
      </c>
      <c r="Z753" s="56" t="str">
        <f aca="false">IF($B753&lt;&gt;"결제완료","",IF(OR($Y753="",$J753=""),"",$Y753*$J753+MAX(0,N($K753)-1)*설정!$J$7))</f>
        <v/>
      </c>
      <c r="AA753" s="56" t="str">
        <f aca="false">IF(AND($D753&lt;&gt;"",$B753="결제완료"),N($N753),"")</f>
        <v/>
      </c>
      <c r="AB753" s="45" t="str">
        <f aca="false">IF($D753="","",IF($F753&lt;&gt;"",$F753,$D753)&amp;IF($B753="상담중"," (상담)",""))</f>
        <v/>
      </c>
      <c r="AC753" s="45" t="n">
        <f aca="false">IF(AND($D753&lt;&gt;"",OR($B753="결제완료",$B753="상담중")),1,0)</f>
        <v>0</v>
      </c>
      <c r="AD753" s="45" t="n">
        <f aca="false">IF(OR($Z753="",$U753=""),0,IFERROR(IF(COUNTIFS(INDEX(g_grid,0,2*MATCH($M753,강사DB!$A$4:$A$15,0)),"&lt;&gt;",g_s,"&lt;="&amp;$U753,g_e,"&gt;="&amp;$U753)&gt;0,1,0),0))</f>
        <v>0</v>
      </c>
      <c r="AE753" s="48"/>
      <c r="AF753" s="56" t="str">
        <f aca="false">IF(AND($D753&lt;&gt;"",$B753="결제완료",$T753="대여"),설정!$J$5,"")</f>
        <v/>
      </c>
      <c r="AG753" s="54" t="str">
        <f aca="false">IF($D753="","",IF(AND($E753="",$R753=""),$AB753,"☎ "&amp;IF($E753="","-",$E753)&amp;IF($R753&lt;&gt;"","  ※ "&amp;$R753,"")&amp;IF($B753="상담중"," (상담)","")))</f>
        <v/>
      </c>
      <c r="AH753" s="56" t="str">
        <f aca="false">IF(AND($D753&lt;&gt;"",$B753="결제완료",$O753="스마트스토어"),ROUND(N($N753)*설정!$J$6,0),"")</f>
        <v/>
      </c>
      <c r="AI753" s="54" t="str">
        <f aca="false">IF($D753="","",ROW())</f>
        <v/>
      </c>
      <c r="AJ753" s="54" t="n">
        <f aca="false">IF(OR($AC753&lt;&gt;1,$M753=""),0,IF(ISNUMBER(SEARCH("퇴사",IFERROR(INDEX(강사DB!$G$4:$G$53,MATCH($M753,강사DB!$A$4:$A$53,0)),""))),1,0))</f>
        <v>0</v>
      </c>
    </row>
    <row r="754" customFormat="false" ht="15" hidden="false" customHeight="false" outlineLevel="0" collapsed="false">
      <c r="A754" s="45" t="str">
        <f aca="false">IF($D754="","",COUNTA($D$5:$D754))</f>
        <v/>
      </c>
      <c r="B754" s="46"/>
      <c r="C754" s="47"/>
      <c r="D754" s="48"/>
      <c r="E754" s="48"/>
      <c r="F754" s="49"/>
      <c r="G754" s="47"/>
      <c r="H754" s="50"/>
      <c r="I754" s="50"/>
      <c r="J754" s="51" t="str">
        <f aca="false">IF(OR($V754="",$W754=""),"",ROUND(($W754-$V754)/60,2))</f>
        <v/>
      </c>
      <c r="K754" s="52" t="str">
        <f aca="false">IF($F754="","",LEN($F754)-LEN(SUBSTITUTE($F754,",",""))+1)</f>
        <v/>
      </c>
      <c r="L754" s="45" t="str">
        <f aca="false">IF($K754="","","1:"&amp;$K754)</f>
        <v/>
      </c>
      <c r="M754" s="46"/>
      <c r="N754" s="53"/>
      <c r="O754" s="46"/>
      <c r="P754" s="47"/>
      <c r="Q754" s="48"/>
      <c r="R754" s="49"/>
      <c r="S754" s="54" t="str">
        <f aca="false">IF(OR($AC754=0,$U754="",$M754="",$V754="",$W754=""),"",IF(COUNTIFS(m_teacher,$M754,m_date,$U754,m_active,1,m_start,"&lt;"&amp;$W754,m_end,"&gt;"&amp;$V754)&gt;1,"충돌",""))</f>
        <v/>
      </c>
      <c r="T754" s="48"/>
      <c r="U754" s="55" t="str">
        <f aca="false">IF($G754="","",IFERROR(IF(ISNUMBER($G754),IF($G754&gt;19000000,DATE(INT($G754/10000),MOD(INT($G754/100),100),MOD($G754,100)),INT($G754)),IF(LEN(SUBSTITUTE(SUBSTITUTE(SUBSTITUTE(TRIM($G754),"-",""),".",""),"/",""))=8,DATE(VALUE(LEFT(SUBSTITUTE(SUBSTITUTE(SUBSTITUTE(TRIM($G754),"-",""),".",""),"/",""),4)),VALUE(MID(SUBSTITUTE(SUBSTITUTE(SUBSTITUTE(TRIM($G754),"-",""),".",""),"/",""),5,2)),VALUE(RIGHT(SUBSTITUTE(SUBSTITUTE(SUBSTITUTE(TRIM($G754),"-",""),".",""),"/",""),2))),DATEVALUE($G754))),""))</f>
        <v/>
      </c>
      <c r="V754" s="52" t="str">
        <f aca="false">IF($H754="","",IFERROR(IF(IF(ISNUMBER($H754),$H754,IFERROR(TIMEVALUE($H754),VALUE($H754)))&gt;=100,INT(IF(ISNUMBER($H754),$H754,IFERROR(TIMEVALUE($H754),VALUE($H754)))/100)*60+MOD(IF(ISNUMBER($H754),$H754,IFERROR(TIMEVALUE($H754),VALUE($H754))),100),IF(IF(ISNUMBER($H754),$H754,IFERROR(TIMEVALUE($H754),VALUE($H754)))&gt;=1,ROUND(IF(ISNUMBER($H754),$H754,IFERROR(TIMEVALUE($H754),VALUE($H754)))*60,0),ROUND(MOD(IF(ISNUMBER($H754),$H754,IFERROR(TIMEVALUE($H754),VALUE($H754))),1)*1440,0))),""))</f>
        <v/>
      </c>
      <c r="W754" s="52" t="str">
        <f aca="false">IF($I754="","",IFERROR(IF(IF(ISNUMBER($I754),$I754,IFERROR(TIMEVALUE($I754),VALUE($I754)))&gt;=100,INT(IF(ISNUMBER($I754),$I754,IFERROR(TIMEVALUE($I754),VALUE($I754)))/100)*60+MOD(IF(ISNUMBER($I754),$I754,IFERROR(TIMEVALUE($I754),VALUE($I754))),100),IF(IF(ISNUMBER($I754),$I754,IFERROR(TIMEVALUE($I754),VALUE($I754)))&gt;=1,ROUND(IF(ISNUMBER($I754),$I754,IFERROR(TIMEVALUE($I754),VALUE($I754)))*60,0),ROUND(MOD(IF(ISNUMBER($I754),$I754,IFERROR(TIMEVALUE($I754),VALUE($I754))),1)*1440,0))),""))</f>
        <v/>
      </c>
      <c r="X754" s="55" t="str">
        <f aca="false">IF($P754="","",IFERROR(IF(ISNUMBER($P754),IF($P754&gt;19000000,DATE(INT($P754/10000),MOD(INT($P754/100),100),MOD($P754,100)),INT($P754)),IF(LEN(SUBSTITUTE(SUBSTITUTE(SUBSTITUTE(TRIM($P754),"-",""),".",""),"/",""))=8,DATE(VALUE(LEFT(SUBSTITUTE(SUBSTITUTE(SUBSTITUTE(TRIM($P754),"-",""),".",""),"/",""),4)),VALUE(MID(SUBSTITUTE(SUBSTITUTE(SUBSTITUTE(TRIM($P754),"-",""),".",""),"/",""),5,2)),VALUE(RIGHT(SUBSTITUTE(SUBSTITUTE(SUBSTITUTE(TRIM($P754),"-",""),".",""),"/",""),2))),DATEVALUE($P754))),""))</f>
        <v/>
      </c>
      <c r="Y754" s="56" t="str">
        <f aca="false">IF($M754="","",IFERROR(INDEX(강사DB!$D$4:$D$53,MATCH($M754,강사DB!$A$4:$A$53,0)),""))</f>
        <v/>
      </c>
      <c r="Z754" s="56" t="str">
        <f aca="false">IF($B754&lt;&gt;"결제완료","",IF(OR($Y754="",$J754=""),"",$Y754*$J754+MAX(0,N($K754)-1)*설정!$J$7))</f>
        <v/>
      </c>
      <c r="AA754" s="56" t="str">
        <f aca="false">IF(AND($D754&lt;&gt;"",$B754="결제완료"),N($N754),"")</f>
        <v/>
      </c>
      <c r="AB754" s="45" t="str">
        <f aca="false">IF($D754="","",IF($F754&lt;&gt;"",$F754,$D754)&amp;IF($B754="상담중"," (상담)",""))</f>
        <v/>
      </c>
      <c r="AC754" s="45" t="n">
        <f aca="false">IF(AND($D754&lt;&gt;"",OR($B754="결제완료",$B754="상담중")),1,0)</f>
        <v>0</v>
      </c>
      <c r="AD754" s="45" t="n">
        <f aca="false">IF(OR($Z754="",$U754=""),0,IFERROR(IF(COUNTIFS(INDEX(g_grid,0,2*MATCH($M754,강사DB!$A$4:$A$15,0)),"&lt;&gt;",g_s,"&lt;="&amp;$U754,g_e,"&gt;="&amp;$U754)&gt;0,1,0),0))</f>
        <v>0</v>
      </c>
      <c r="AE754" s="48"/>
      <c r="AF754" s="56" t="str">
        <f aca="false">IF(AND($D754&lt;&gt;"",$B754="결제완료",$T754="대여"),설정!$J$5,"")</f>
        <v/>
      </c>
      <c r="AG754" s="54" t="str">
        <f aca="false">IF($D754="","",IF(AND($E754="",$R754=""),$AB754,"☎ "&amp;IF($E754="","-",$E754)&amp;IF($R754&lt;&gt;"","  ※ "&amp;$R754,"")&amp;IF($B754="상담중"," (상담)","")))</f>
        <v/>
      </c>
      <c r="AH754" s="56" t="str">
        <f aca="false">IF(AND($D754&lt;&gt;"",$B754="결제완료",$O754="스마트스토어"),ROUND(N($N754)*설정!$J$6,0),"")</f>
        <v/>
      </c>
      <c r="AI754" s="54" t="str">
        <f aca="false">IF($D754="","",ROW())</f>
        <v/>
      </c>
      <c r="AJ754" s="54" t="n">
        <f aca="false">IF(OR($AC754&lt;&gt;1,$M754=""),0,IF(ISNUMBER(SEARCH("퇴사",IFERROR(INDEX(강사DB!$G$4:$G$53,MATCH($M754,강사DB!$A$4:$A$53,0)),""))),1,0))</f>
        <v>0</v>
      </c>
    </row>
    <row r="755" customFormat="false" ht="15" hidden="false" customHeight="false" outlineLevel="0" collapsed="false">
      <c r="A755" s="45" t="str">
        <f aca="false">IF($D755="","",COUNTA($D$5:$D755))</f>
        <v/>
      </c>
      <c r="B755" s="46"/>
      <c r="C755" s="47"/>
      <c r="D755" s="48"/>
      <c r="E755" s="48"/>
      <c r="F755" s="49"/>
      <c r="G755" s="47"/>
      <c r="H755" s="50"/>
      <c r="I755" s="50"/>
      <c r="J755" s="51" t="str">
        <f aca="false">IF(OR($V755="",$W755=""),"",ROUND(($W755-$V755)/60,2))</f>
        <v/>
      </c>
      <c r="K755" s="52" t="str">
        <f aca="false">IF($F755="","",LEN($F755)-LEN(SUBSTITUTE($F755,",",""))+1)</f>
        <v/>
      </c>
      <c r="L755" s="45" t="str">
        <f aca="false">IF($K755="","","1:"&amp;$K755)</f>
        <v/>
      </c>
      <c r="M755" s="46"/>
      <c r="N755" s="53"/>
      <c r="O755" s="46"/>
      <c r="P755" s="47"/>
      <c r="Q755" s="48"/>
      <c r="R755" s="49"/>
      <c r="S755" s="54" t="str">
        <f aca="false">IF(OR($AC755=0,$U755="",$M755="",$V755="",$W755=""),"",IF(COUNTIFS(m_teacher,$M755,m_date,$U755,m_active,1,m_start,"&lt;"&amp;$W755,m_end,"&gt;"&amp;$V755)&gt;1,"충돌",""))</f>
        <v/>
      </c>
      <c r="T755" s="48"/>
      <c r="U755" s="55" t="str">
        <f aca="false">IF($G755="","",IFERROR(IF(ISNUMBER($G755),IF($G755&gt;19000000,DATE(INT($G755/10000),MOD(INT($G755/100),100),MOD($G755,100)),INT($G755)),IF(LEN(SUBSTITUTE(SUBSTITUTE(SUBSTITUTE(TRIM($G755),"-",""),".",""),"/",""))=8,DATE(VALUE(LEFT(SUBSTITUTE(SUBSTITUTE(SUBSTITUTE(TRIM($G755),"-",""),".",""),"/",""),4)),VALUE(MID(SUBSTITUTE(SUBSTITUTE(SUBSTITUTE(TRIM($G755),"-",""),".",""),"/",""),5,2)),VALUE(RIGHT(SUBSTITUTE(SUBSTITUTE(SUBSTITUTE(TRIM($G755),"-",""),".",""),"/",""),2))),DATEVALUE($G755))),""))</f>
        <v/>
      </c>
      <c r="V755" s="52" t="str">
        <f aca="false">IF($H755="","",IFERROR(IF(IF(ISNUMBER($H755),$H755,IFERROR(TIMEVALUE($H755),VALUE($H755)))&gt;=100,INT(IF(ISNUMBER($H755),$H755,IFERROR(TIMEVALUE($H755),VALUE($H755)))/100)*60+MOD(IF(ISNUMBER($H755),$H755,IFERROR(TIMEVALUE($H755),VALUE($H755))),100),IF(IF(ISNUMBER($H755),$H755,IFERROR(TIMEVALUE($H755),VALUE($H755)))&gt;=1,ROUND(IF(ISNUMBER($H755),$H755,IFERROR(TIMEVALUE($H755),VALUE($H755)))*60,0),ROUND(MOD(IF(ISNUMBER($H755),$H755,IFERROR(TIMEVALUE($H755),VALUE($H755))),1)*1440,0))),""))</f>
        <v/>
      </c>
      <c r="W755" s="52" t="str">
        <f aca="false">IF($I755="","",IFERROR(IF(IF(ISNUMBER($I755),$I755,IFERROR(TIMEVALUE($I755),VALUE($I755)))&gt;=100,INT(IF(ISNUMBER($I755),$I755,IFERROR(TIMEVALUE($I755),VALUE($I755)))/100)*60+MOD(IF(ISNUMBER($I755),$I755,IFERROR(TIMEVALUE($I755),VALUE($I755))),100),IF(IF(ISNUMBER($I755),$I755,IFERROR(TIMEVALUE($I755),VALUE($I755)))&gt;=1,ROUND(IF(ISNUMBER($I755),$I755,IFERROR(TIMEVALUE($I755),VALUE($I755)))*60,0),ROUND(MOD(IF(ISNUMBER($I755),$I755,IFERROR(TIMEVALUE($I755),VALUE($I755))),1)*1440,0))),""))</f>
        <v/>
      </c>
      <c r="X755" s="55" t="str">
        <f aca="false">IF($P755="","",IFERROR(IF(ISNUMBER($P755),IF($P755&gt;19000000,DATE(INT($P755/10000),MOD(INT($P755/100),100),MOD($P755,100)),INT($P755)),IF(LEN(SUBSTITUTE(SUBSTITUTE(SUBSTITUTE(TRIM($P755),"-",""),".",""),"/",""))=8,DATE(VALUE(LEFT(SUBSTITUTE(SUBSTITUTE(SUBSTITUTE(TRIM($P755),"-",""),".",""),"/",""),4)),VALUE(MID(SUBSTITUTE(SUBSTITUTE(SUBSTITUTE(TRIM($P755),"-",""),".",""),"/",""),5,2)),VALUE(RIGHT(SUBSTITUTE(SUBSTITUTE(SUBSTITUTE(TRIM($P755),"-",""),".",""),"/",""),2))),DATEVALUE($P755))),""))</f>
        <v/>
      </c>
      <c r="Y755" s="56" t="str">
        <f aca="false">IF($M755="","",IFERROR(INDEX(강사DB!$D$4:$D$53,MATCH($M755,강사DB!$A$4:$A$53,0)),""))</f>
        <v/>
      </c>
      <c r="Z755" s="56" t="str">
        <f aca="false">IF($B755&lt;&gt;"결제완료","",IF(OR($Y755="",$J755=""),"",$Y755*$J755+MAX(0,N($K755)-1)*설정!$J$7))</f>
        <v/>
      </c>
      <c r="AA755" s="56" t="str">
        <f aca="false">IF(AND($D755&lt;&gt;"",$B755="결제완료"),N($N755),"")</f>
        <v/>
      </c>
      <c r="AB755" s="45" t="str">
        <f aca="false">IF($D755="","",IF($F755&lt;&gt;"",$F755,$D755)&amp;IF($B755="상담중"," (상담)",""))</f>
        <v/>
      </c>
      <c r="AC755" s="45" t="n">
        <f aca="false">IF(AND($D755&lt;&gt;"",OR($B755="결제완료",$B755="상담중")),1,0)</f>
        <v>0</v>
      </c>
      <c r="AD755" s="45" t="n">
        <f aca="false">IF(OR($Z755="",$U755=""),0,IFERROR(IF(COUNTIFS(INDEX(g_grid,0,2*MATCH($M755,강사DB!$A$4:$A$15,0)),"&lt;&gt;",g_s,"&lt;="&amp;$U755,g_e,"&gt;="&amp;$U755)&gt;0,1,0),0))</f>
        <v>0</v>
      </c>
      <c r="AE755" s="48"/>
      <c r="AF755" s="56" t="str">
        <f aca="false">IF(AND($D755&lt;&gt;"",$B755="결제완료",$T755="대여"),설정!$J$5,"")</f>
        <v/>
      </c>
      <c r="AG755" s="54" t="str">
        <f aca="false">IF($D755="","",IF(AND($E755="",$R755=""),$AB755,"☎ "&amp;IF($E755="","-",$E755)&amp;IF($R755&lt;&gt;"","  ※ "&amp;$R755,"")&amp;IF($B755="상담중"," (상담)","")))</f>
        <v/>
      </c>
      <c r="AH755" s="56" t="str">
        <f aca="false">IF(AND($D755&lt;&gt;"",$B755="결제완료",$O755="스마트스토어"),ROUND(N($N755)*설정!$J$6,0),"")</f>
        <v/>
      </c>
      <c r="AI755" s="54" t="str">
        <f aca="false">IF($D755="","",ROW())</f>
        <v/>
      </c>
      <c r="AJ755" s="54" t="n">
        <f aca="false">IF(OR($AC755&lt;&gt;1,$M755=""),0,IF(ISNUMBER(SEARCH("퇴사",IFERROR(INDEX(강사DB!$G$4:$G$53,MATCH($M755,강사DB!$A$4:$A$53,0)),""))),1,0))</f>
        <v>0</v>
      </c>
    </row>
    <row r="756" customFormat="false" ht="15" hidden="false" customHeight="false" outlineLevel="0" collapsed="false">
      <c r="A756" s="45" t="str">
        <f aca="false">IF($D756="","",COUNTA($D$5:$D756))</f>
        <v/>
      </c>
      <c r="B756" s="46"/>
      <c r="C756" s="47"/>
      <c r="D756" s="48"/>
      <c r="E756" s="48"/>
      <c r="F756" s="49"/>
      <c r="G756" s="47"/>
      <c r="H756" s="50"/>
      <c r="I756" s="50"/>
      <c r="J756" s="51" t="str">
        <f aca="false">IF(OR($V756="",$W756=""),"",ROUND(($W756-$V756)/60,2))</f>
        <v/>
      </c>
      <c r="K756" s="52" t="str">
        <f aca="false">IF($F756="","",LEN($F756)-LEN(SUBSTITUTE($F756,",",""))+1)</f>
        <v/>
      </c>
      <c r="L756" s="45" t="str">
        <f aca="false">IF($K756="","","1:"&amp;$K756)</f>
        <v/>
      </c>
      <c r="M756" s="46"/>
      <c r="N756" s="53"/>
      <c r="O756" s="46"/>
      <c r="P756" s="47"/>
      <c r="Q756" s="48"/>
      <c r="R756" s="49"/>
      <c r="S756" s="54" t="str">
        <f aca="false">IF(OR($AC756=0,$U756="",$M756="",$V756="",$W756=""),"",IF(COUNTIFS(m_teacher,$M756,m_date,$U756,m_active,1,m_start,"&lt;"&amp;$W756,m_end,"&gt;"&amp;$V756)&gt;1,"충돌",""))</f>
        <v/>
      </c>
      <c r="T756" s="48"/>
      <c r="U756" s="55" t="str">
        <f aca="false">IF($G756="","",IFERROR(IF(ISNUMBER($G756),IF($G756&gt;19000000,DATE(INT($G756/10000),MOD(INT($G756/100),100),MOD($G756,100)),INT($G756)),IF(LEN(SUBSTITUTE(SUBSTITUTE(SUBSTITUTE(TRIM($G756),"-",""),".",""),"/",""))=8,DATE(VALUE(LEFT(SUBSTITUTE(SUBSTITUTE(SUBSTITUTE(TRIM($G756),"-",""),".",""),"/",""),4)),VALUE(MID(SUBSTITUTE(SUBSTITUTE(SUBSTITUTE(TRIM($G756),"-",""),".",""),"/",""),5,2)),VALUE(RIGHT(SUBSTITUTE(SUBSTITUTE(SUBSTITUTE(TRIM($G756),"-",""),".",""),"/",""),2))),DATEVALUE($G756))),""))</f>
        <v/>
      </c>
      <c r="V756" s="52" t="str">
        <f aca="false">IF($H756="","",IFERROR(IF(IF(ISNUMBER($H756),$H756,IFERROR(TIMEVALUE($H756),VALUE($H756)))&gt;=100,INT(IF(ISNUMBER($H756),$H756,IFERROR(TIMEVALUE($H756),VALUE($H756)))/100)*60+MOD(IF(ISNUMBER($H756),$H756,IFERROR(TIMEVALUE($H756),VALUE($H756))),100),IF(IF(ISNUMBER($H756),$H756,IFERROR(TIMEVALUE($H756),VALUE($H756)))&gt;=1,ROUND(IF(ISNUMBER($H756),$H756,IFERROR(TIMEVALUE($H756),VALUE($H756)))*60,0),ROUND(MOD(IF(ISNUMBER($H756),$H756,IFERROR(TIMEVALUE($H756),VALUE($H756))),1)*1440,0))),""))</f>
        <v/>
      </c>
      <c r="W756" s="52" t="str">
        <f aca="false">IF($I756="","",IFERROR(IF(IF(ISNUMBER($I756),$I756,IFERROR(TIMEVALUE($I756),VALUE($I756)))&gt;=100,INT(IF(ISNUMBER($I756),$I756,IFERROR(TIMEVALUE($I756),VALUE($I756)))/100)*60+MOD(IF(ISNUMBER($I756),$I756,IFERROR(TIMEVALUE($I756),VALUE($I756))),100),IF(IF(ISNUMBER($I756),$I756,IFERROR(TIMEVALUE($I756),VALUE($I756)))&gt;=1,ROUND(IF(ISNUMBER($I756),$I756,IFERROR(TIMEVALUE($I756),VALUE($I756)))*60,0),ROUND(MOD(IF(ISNUMBER($I756),$I756,IFERROR(TIMEVALUE($I756),VALUE($I756))),1)*1440,0))),""))</f>
        <v/>
      </c>
      <c r="X756" s="55" t="str">
        <f aca="false">IF($P756="","",IFERROR(IF(ISNUMBER($P756),IF($P756&gt;19000000,DATE(INT($P756/10000),MOD(INT($P756/100),100),MOD($P756,100)),INT($P756)),IF(LEN(SUBSTITUTE(SUBSTITUTE(SUBSTITUTE(TRIM($P756),"-",""),".",""),"/",""))=8,DATE(VALUE(LEFT(SUBSTITUTE(SUBSTITUTE(SUBSTITUTE(TRIM($P756),"-",""),".",""),"/",""),4)),VALUE(MID(SUBSTITUTE(SUBSTITUTE(SUBSTITUTE(TRIM($P756),"-",""),".",""),"/",""),5,2)),VALUE(RIGHT(SUBSTITUTE(SUBSTITUTE(SUBSTITUTE(TRIM($P756),"-",""),".",""),"/",""),2))),DATEVALUE($P756))),""))</f>
        <v/>
      </c>
      <c r="Y756" s="56" t="str">
        <f aca="false">IF($M756="","",IFERROR(INDEX(강사DB!$D$4:$D$53,MATCH($M756,강사DB!$A$4:$A$53,0)),""))</f>
        <v/>
      </c>
      <c r="Z756" s="56" t="str">
        <f aca="false">IF($B756&lt;&gt;"결제완료","",IF(OR($Y756="",$J756=""),"",$Y756*$J756+MAX(0,N($K756)-1)*설정!$J$7))</f>
        <v/>
      </c>
      <c r="AA756" s="56" t="str">
        <f aca="false">IF(AND($D756&lt;&gt;"",$B756="결제완료"),N($N756),"")</f>
        <v/>
      </c>
      <c r="AB756" s="45" t="str">
        <f aca="false">IF($D756="","",IF($F756&lt;&gt;"",$F756,$D756)&amp;IF($B756="상담중"," (상담)",""))</f>
        <v/>
      </c>
      <c r="AC756" s="45" t="n">
        <f aca="false">IF(AND($D756&lt;&gt;"",OR($B756="결제완료",$B756="상담중")),1,0)</f>
        <v>0</v>
      </c>
      <c r="AD756" s="45" t="n">
        <f aca="false">IF(OR($Z756="",$U756=""),0,IFERROR(IF(COUNTIFS(INDEX(g_grid,0,2*MATCH($M756,강사DB!$A$4:$A$15,0)),"&lt;&gt;",g_s,"&lt;="&amp;$U756,g_e,"&gt;="&amp;$U756)&gt;0,1,0),0))</f>
        <v>0</v>
      </c>
      <c r="AE756" s="48"/>
      <c r="AF756" s="56" t="str">
        <f aca="false">IF(AND($D756&lt;&gt;"",$B756="결제완료",$T756="대여"),설정!$J$5,"")</f>
        <v/>
      </c>
      <c r="AG756" s="54" t="str">
        <f aca="false">IF($D756="","",IF(AND($E756="",$R756=""),$AB756,"☎ "&amp;IF($E756="","-",$E756)&amp;IF($R756&lt;&gt;"","  ※ "&amp;$R756,"")&amp;IF($B756="상담중"," (상담)","")))</f>
        <v/>
      </c>
      <c r="AH756" s="56" t="str">
        <f aca="false">IF(AND($D756&lt;&gt;"",$B756="결제완료",$O756="스마트스토어"),ROUND(N($N756)*설정!$J$6,0),"")</f>
        <v/>
      </c>
      <c r="AI756" s="54" t="str">
        <f aca="false">IF($D756="","",ROW())</f>
        <v/>
      </c>
      <c r="AJ756" s="54" t="n">
        <f aca="false">IF(OR($AC756&lt;&gt;1,$M756=""),0,IF(ISNUMBER(SEARCH("퇴사",IFERROR(INDEX(강사DB!$G$4:$G$53,MATCH($M756,강사DB!$A$4:$A$53,0)),""))),1,0))</f>
        <v>0</v>
      </c>
    </row>
    <row r="757" customFormat="false" ht="15" hidden="false" customHeight="false" outlineLevel="0" collapsed="false">
      <c r="A757" s="45" t="str">
        <f aca="false">IF($D757="","",COUNTA($D$5:$D757))</f>
        <v/>
      </c>
      <c r="B757" s="46"/>
      <c r="C757" s="47"/>
      <c r="D757" s="48"/>
      <c r="E757" s="48"/>
      <c r="F757" s="49"/>
      <c r="G757" s="47"/>
      <c r="H757" s="50"/>
      <c r="I757" s="50"/>
      <c r="J757" s="51" t="str">
        <f aca="false">IF(OR($V757="",$W757=""),"",ROUND(($W757-$V757)/60,2))</f>
        <v/>
      </c>
      <c r="K757" s="52" t="str">
        <f aca="false">IF($F757="","",LEN($F757)-LEN(SUBSTITUTE($F757,",",""))+1)</f>
        <v/>
      </c>
      <c r="L757" s="45" t="str">
        <f aca="false">IF($K757="","","1:"&amp;$K757)</f>
        <v/>
      </c>
      <c r="M757" s="46"/>
      <c r="N757" s="53"/>
      <c r="O757" s="46"/>
      <c r="P757" s="47"/>
      <c r="Q757" s="48"/>
      <c r="R757" s="49"/>
      <c r="S757" s="54" t="str">
        <f aca="false">IF(OR($AC757=0,$U757="",$M757="",$V757="",$W757=""),"",IF(COUNTIFS(m_teacher,$M757,m_date,$U757,m_active,1,m_start,"&lt;"&amp;$W757,m_end,"&gt;"&amp;$V757)&gt;1,"충돌",""))</f>
        <v/>
      </c>
      <c r="T757" s="48"/>
      <c r="U757" s="55" t="str">
        <f aca="false">IF($G757="","",IFERROR(IF(ISNUMBER($G757),IF($G757&gt;19000000,DATE(INT($G757/10000),MOD(INT($G757/100),100),MOD($G757,100)),INT($G757)),IF(LEN(SUBSTITUTE(SUBSTITUTE(SUBSTITUTE(TRIM($G757),"-",""),".",""),"/",""))=8,DATE(VALUE(LEFT(SUBSTITUTE(SUBSTITUTE(SUBSTITUTE(TRIM($G757),"-",""),".",""),"/",""),4)),VALUE(MID(SUBSTITUTE(SUBSTITUTE(SUBSTITUTE(TRIM($G757),"-",""),".",""),"/",""),5,2)),VALUE(RIGHT(SUBSTITUTE(SUBSTITUTE(SUBSTITUTE(TRIM($G757),"-",""),".",""),"/",""),2))),DATEVALUE($G757))),""))</f>
        <v/>
      </c>
      <c r="V757" s="52" t="str">
        <f aca="false">IF($H757="","",IFERROR(IF(IF(ISNUMBER($H757),$H757,IFERROR(TIMEVALUE($H757),VALUE($H757)))&gt;=100,INT(IF(ISNUMBER($H757),$H757,IFERROR(TIMEVALUE($H757),VALUE($H757)))/100)*60+MOD(IF(ISNUMBER($H757),$H757,IFERROR(TIMEVALUE($H757),VALUE($H757))),100),IF(IF(ISNUMBER($H757),$H757,IFERROR(TIMEVALUE($H757),VALUE($H757)))&gt;=1,ROUND(IF(ISNUMBER($H757),$H757,IFERROR(TIMEVALUE($H757),VALUE($H757)))*60,0),ROUND(MOD(IF(ISNUMBER($H757),$H757,IFERROR(TIMEVALUE($H757),VALUE($H757))),1)*1440,0))),""))</f>
        <v/>
      </c>
      <c r="W757" s="52" t="str">
        <f aca="false">IF($I757="","",IFERROR(IF(IF(ISNUMBER($I757),$I757,IFERROR(TIMEVALUE($I757),VALUE($I757)))&gt;=100,INT(IF(ISNUMBER($I757),$I757,IFERROR(TIMEVALUE($I757),VALUE($I757)))/100)*60+MOD(IF(ISNUMBER($I757),$I757,IFERROR(TIMEVALUE($I757),VALUE($I757))),100),IF(IF(ISNUMBER($I757),$I757,IFERROR(TIMEVALUE($I757),VALUE($I757)))&gt;=1,ROUND(IF(ISNUMBER($I757),$I757,IFERROR(TIMEVALUE($I757),VALUE($I757)))*60,0),ROUND(MOD(IF(ISNUMBER($I757),$I757,IFERROR(TIMEVALUE($I757),VALUE($I757))),1)*1440,0))),""))</f>
        <v/>
      </c>
      <c r="X757" s="55" t="str">
        <f aca="false">IF($P757="","",IFERROR(IF(ISNUMBER($P757),IF($P757&gt;19000000,DATE(INT($P757/10000),MOD(INT($P757/100),100),MOD($P757,100)),INT($P757)),IF(LEN(SUBSTITUTE(SUBSTITUTE(SUBSTITUTE(TRIM($P757),"-",""),".",""),"/",""))=8,DATE(VALUE(LEFT(SUBSTITUTE(SUBSTITUTE(SUBSTITUTE(TRIM($P757),"-",""),".",""),"/",""),4)),VALUE(MID(SUBSTITUTE(SUBSTITUTE(SUBSTITUTE(TRIM($P757),"-",""),".",""),"/",""),5,2)),VALUE(RIGHT(SUBSTITUTE(SUBSTITUTE(SUBSTITUTE(TRIM($P757),"-",""),".",""),"/",""),2))),DATEVALUE($P757))),""))</f>
        <v/>
      </c>
      <c r="Y757" s="56" t="str">
        <f aca="false">IF($M757="","",IFERROR(INDEX(강사DB!$D$4:$D$53,MATCH($M757,강사DB!$A$4:$A$53,0)),""))</f>
        <v/>
      </c>
      <c r="Z757" s="56" t="str">
        <f aca="false">IF($B757&lt;&gt;"결제완료","",IF(OR($Y757="",$J757=""),"",$Y757*$J757+MAX(0,N($K757)-1)*설정!$J$7))</f>
        <v/>
      </c>
      <c r="AA757" s="56" t="str">
        <f aca="false">IF(AND($D757&lt;&gt;"",$B757="결제완료"),N($N757),"")</f>
        <v/>
      </c>
      <c r="AB757" s="45" t="str">
        <f aca="false">IF($D757="","",IF($F757&lt;&gt;"",$F757,$D757)&amp;IF($B757="상담중"," (상담)",""))</f>
        <v/>
      </c>
      <c r="AC757" s="45" t="n">
        <f aca="false">IF(AND($D757&lt;&gt;"",OR($B757="결제완료",$B757="상담중")),1,0)</f>
        <v>0</v>
      </c>
      <c r="AD757" s="45" t="n">
        <f aca="false">IF(OR($Z757="",$U757=""),0,IFERROR(IF(COUNTIFS(INDEX(g_grid,0,2*MATCH($M757,강사DB!$A$4:$A$15,0)),"&lt;&gt;",g_s,"&lt;="&amp;$U757,g_e,"&gt;="&amp;$U757)&gt;0,1,0),0))</f>
        <v>0</v>
      </c>
      <c r="AE757" s="48"/>
      <c r="AF757" s="56" t="str">
        <f aca="false">IF(AND($D757&lt;&gt;"",$B757="결제완료",$T757="대여"),설정!$J$5,"")</f>
        <v/>
      </c>
      <c r="AG757" s="54" t="str">
        <f aca="false">IF($D757="","",IF(AND($E757="",$R757=""),$AB757,"☎ "&amp;IF($E757="","-",$E757)&amp;IF($R757&lt;&gt;"","  ※ "&amp;$R757,"")&amp;IF($B757="상담중"," (상담)","")))</f>
        <v/>
      </c>
      <c r="AH757" s="56" t="str">
        <f aca="false">IF(AND($D757&lt;&gt;"",$B757="결제완료",$O757="스마트스토어"),ROUND(N($N757)*설정!$J$6,0),"")</f>
        <v/>
      </c>
      <c r="AI757" s="54" t="str">
        <f aca="false">IF($D757="","",ROW())</f>
        <v/>
      </c>
      <c r="AJ757" s="54" t="n">
        <f aca="false">IF(OR($AC757&lt;&gt;1,$M757=""),0,IF(ISNUMBER(SEARCH("퇴사",IFERROR(INDEX(강사DB!$G$4:$G$53,MATCH($M757,강사DB!$A$4:$A$53,0)),""))),1,0))</f>
        <v>0</v>
      </c>
    </row>
    <row r="758" customFormat="false" ht="15" hidden="false" customHeight="false" outlineLevel="0" collapsed="false">
      <c r="A758" s="45" t="str">
        <f aca="false">IF($D758="","",COUNTA($D$5:$D758))</f>
        <v/>
      </c>
      <c r="B758" s="46"/>
      <c r="C758" s="47"/>
      <c r="D758" s="48"/>
      <c r="E758" s="48"/>
      <c r="F758" s="49"/>
      <c r="G758" s="47"/>
      <c r="H758" s="50"/>
      <c r="I758" s="50"/>
      <c r="J758" s="51" t="str">
        <f aca="false">IF(OR($V758="",$W758=""),"",ROUND(($W758-$V758)/60,2))</f>
        <v/>
      </c>
      <c r="K758" s="52" t="str">
        <f aca="false">IF($F758="","",LEN($F758)-LEN(SUBSTITUTE($F758,",",""))+1)</f>
        <v/>
      </c>
      <c r="L758" s="45" t="str">
        <f aca="false">IF($K758="","","1:"&amp;$K758)</f>
        <v/>
      </c>
      <c r="M758" s="46"/>
      <c r="N758" s="53"/>
      <c r="O758" s="46"/>
      <c r="P758" s="47"/>
      <c r="Q758" s="48"/>
      <c r="R758" s="49"/>
      <c r="S758" s="54" t="str">
        <f aca="false">IF(OR($AC758=0,$U758="",$M758="",$V758="",$W758=""),"",IF(COUNTIFS(m_teacher,$M758,m_date,$U758,m_active,1,m_start,"&lt;"&amp;$W758,m_end,"&gt;"&amp;$V758)&gt;1,"충돌",""))</f>
        <v/>
      </c>
      <c r="T758" s="48"/>
      <c r="U758" s="55" t="str">
        <f aca="false">IF($G758="","",IFERROR(IF(ISNUMBER($G758),IF($G758&gt;19000000,DATE(INT($G758/10000),MOD(INT($G758/100),100),MOD($G758,100)),INT($G758)),IF(LEN(SUBSTITUTE(SUBSTITUTE(SUBSTITUTE(TRIM($G758),"-",""),".",""),"/",""))=8,DATE(VALUE(LEFT(SUBSTITUTE(SUBSTITUTE(SUBSTITUTE(TRIM($G758),"-",""),".",""),"/",""),4)),VALUE(MID(SUBSTITUTE(SUBSTITUTE(SUBSTITUTE(TRIM($G758),"-",""),".",""),"/",""),5,2)),VALUE(RIGHT(SUBSTITUTE(SUBSTITUTE(SUBSTITUTE(TRIM($G758),"-",""),".",""),"/",""),2))),DATEVALUE($G758))),""))</f>
        <v/>
      </c>
      <c r="V758" s="52" t="str">
        <f aca="false">IF($H758="","",IFERROR(IF(IF(ISNUMBER($H758),$H758,IFERROR(TIMEVALUE($H758),VALUE($H758)))&gt;=100,INT(IF(ISNUMBER($H758),$H758,IFERROR(TIMEVALUE($H758),VALUE($H758)))/100)*60+MOD(IF(ISNUMBER($H758),$H758,IFERROR(TIMEVALUE($H758),VALUE($H758))),100),IF(IF(ISNUMBER($H758),$H758,IFERROR(TIMEVALUE($H758),VALUE($H758)))&gt;=1,ROUND(IF(ISNUMBER($H758),$H758,IFERROR(TIMEVALUE($H758),VALUE($H758)))*60,0),ROUND(MOD(IF(ISNUMBER($H758),$H758,IFERROR(TIMEVALUE($H758),VALUE($H758))),1)*1440,0))),""))</f>
        <v/>
      </c>
      <c r="W758" s="52" t="str">
        <f aca="false">IF($I758="","",IFERROR(IF(IF(ISNUMBER($I758),$I758,IFERROR(TIMEVALUE($I758),VALUE($I758)))&gt;=100,INT(IF(ISNUMBER($I758),$I758,IFERROR(TIMEVALUE($I758),VALUE($I758)))/100)*60+MOD(IF(ISNUMBER($I758),$I758,IFERROR(TIMEVALUE($I758),VALUE($I758))),100),IF(IF(ISNUMBER($I758),$I758,IFERROR(TIMEVALUE($I758),VALUE($I758)))&gt;=1,ROUND(IF(ISNUMBER($I758),$I758,IFERROR(TIMEVALUE($I758),VALUE($I758)))*60,0),ROUND(MOD(IF(ISNUMBER($I758),$I758,IFERROR(TIMEVALUE($I758),VALUE($I758))),1)*1440,0))),""))</f>
        <v/>
      </c>
      <c r="X758" s="55" t="str">
        <f aca="false">IF($P758="","",IFERROR(IF(ISNUMBER($P758),IF($P758&gt;19000000,DATE(INT($P758/10000),MOD(INT($P758/100),100),MOD($P758,100)),INT($P758)),IF(LEN(SUBSTITUTE(SUBSTITUTE(SUBSTITUTE(TRIM($P758),"-",""),".",""),"/",""))=8,DATE(VALUE(LEFT(SUBSTITUTE(SUBSTITUTE(SUBSTITUTE(TRIM($P758),"-",""),".",""),"/",""),4)),VALUE(MID(SUBSTITUTE(SUBSTITUTE(SUBSTITUTE(TRIM($P758),"-",""),".",""),"/",""),5,2)),VALUE(RIGHT(SUBSTITUTE(SUBSTITUTE(SUBSTITUTE(TRIM($P758),"-",""),".",""),"/",""),2))),DATEVALUE($P758))),""))</f>
        <v/>
      </c>
      <c r="Y758" s="56" t="str">
        <f aca="false">IF($M758="","",IFERROR(INDEX(강사DB!$D$4:$D$53,MATCH($M758,강사DB!$A$4:$A$53,0)),""))</f>
        <v/>
      </c>
      <c r="Z758" s="56" t="str">
        <f aca="false">IF($B758&lt;&gt;"결제완료","",IF(OR($Y758="",$J758=""),"",$Y758*$J758+MAX(0,N($K758)-1)*설정!$J$7))</f>
        <v/>
      </c>
      <c r="AA758" s="56" t="str">
        <f aca="false">IF(AND($D758&lt;&gt;"",$B758="결제완료"),N($N758),"")</f>
        <v/>
      </c>
      <c r="AB758" s="45" t="str">
        <f aca="false">IF($D758="","",IF($F758&lt;&gt;"",$F758,$D758)&amp;IF($B758="상담중"," (상담)",""))</f>
        <v/>
      </c>
      <c r="AC758" s="45" t="n">
        <f aca="false">IF(AND($D758&lt;&gt;"",OR($B758="결제완료",$B758="상담중")),1,0)</f>
        <v>0</v>
      </c>
      <c r="AD758" s="45" t="n">
        <f aca="false">IF(OR($Z758="",$U758=""),0,IFERROR(IF(COUNTIFS(INDEX(g_grid,0,2*MATCH($M758,강사DB!$A$4:$A$15,0)),"&lt;&gt;",g_s,"&lt;="&amp;$U758,g_e,"&gt;="&amp;$U758)&gt;0,1,0),0))</f>
        <v>0</v>
      </c>
      <c r="AE758" s="48"/>
      <c r="AF758" s="56" t="str">
        <f aca="false">IF(AND($D758&lt;&gt;"",$B758="결제완료",$T758="대여"),설정!$J$5,"")</f>
        <v/>
      </c>
      <c r="AG758" s="54" t="str">
        <f aca="false">IF($D758="","",IF(AND($E758="",$R758=""),$AB758,"☎ "&amp;IF($E758="","-",$E758)&amp;IF($R758&lt;&gt;"","  ※ "&amp;$R758,"")&amp;IF($B758="상담중"," (상담)","")))</f>
        <v/>
      </c>
      <c r="AH758" s="56" t="str">
        <f aca="false">IF(AND($D758&lt;&gt;"",$B758="결제완료",$O758="스마트스토어"),ROUND(N($N758)*설정!$J$6,0),"")</f>
        <v/>
      </c>
      <c r="AI758" s="54" t="str">
        <f aca="false">IF($D758="","",ROW())</f>
        <v/>
      </c>
      <c r="AJ758" s="54" t="n">
        <f aca="false">IF(OR($AC758&lt;&gt;1,$M758=""),0,IF(ISNUMBER(SEARCH("퇴사",IFERROR(INDEX(강사DB!$G$4:$G$53,MATCH($M758,강사DB!$A$4:$A$53,0)),""))),1,0))</f>
        <v>0</v>
      </c>
    </row>
    <row r="759" customFormat="false" ht="15" hidden="false" customHeight="false" outlineLevel="0" collapsed="false">
      <c r="A759" s="45" t="str">
        <f aca="false">IF($D759="","",COUNTA($D$5:$D759))</f>
        <v/>
      </c>
      <c r="B759" s="46"/>
      <c r="C759" s="47"/>
      <c r="D759" s="48"/>
      <c r="E759" s="48"/>
      <c r="F759" s="49"/>
      <c r="G759" s="47"/>
      <c r="H759" s="50"/>
      <c r="I759" s="50"/>
      <c r="J759" s="51" t="str">
        <f aca="false">IF(OR($V759="",$W759=""),"",ROUND(($W759-$V759)/60,2))</f>
        <v/>
      </c>
      <c r="K759" s="52" t="str">
        <f aca="false">IF($F759="","",LEN($F759)-LEN(SUBSTITUTE($F759,",",""))+1)</f>
        <v/>
      </c>
      <c r="L759" s="45" t="str">
        <f aca="false">IF($K759="","","1:"&amp;$K759)</f>
        <v/>
      </c>
      <c r="M759" s="46"/>
      <c r="N759" s="53"/>
      <c r="O759" s="46"/>
      <c r="P759" s="47"/>
      <c r="Q759" s="48"/>
      <c r="R759" s="49"/>
      <c r="S759" s="54" t="str">
        <f aca="false">IF(OR($AC759=0,$U759="",$M759="",$V759="",$W759=""),"",IF(COUNTIFS(m_teacher,$M759,m_date,$U759,m_active,1,m_start,"&lt;"&amp;$W759,m_end,"&gt;"&amp;$V759)&gt;1,"충돌",""))</f>
        <v/>
      </c>
      <c r="T759" s="48"/>
      <c r="U759" s="55" t="str">
        <f aca="false">IF($G759="","",IFERROR(IF(ISNUMBER($G759),IF($G759&gt;19000000,DATE(INT($G759/10000),MOD(INT($G759/100),100),MOD($G759,100)),INT($G759)),IF(LEN(SUBSTITUTE(SUBSTITUTE(SUBSTITUTE(TRIM($G759),"-",""),".",""),"/",""))=8,DATE(VALUE(LEFT(SUBSTITUTE(SUBSTITUTE(SUBSTITUTE(TRIM($G759),"-",""),".",""),"/",""),4)),VALUE(MID(SUBSTITUTE(SUBSTITUTE(SUBSTITUTE(TRIM($G759),"-",""),".",""),"/",""),5,2)),VALUE(RIGHT(SUBSTITUTE(SUBSTITUTE(SUBSTITUTE(TRIM($G759),"-",""),".",""),"/",""),2))),DATEVALUE($G759))),""))</f>
        <v/>
      </c>
      <c r="V759" s="52" t="str">
        <f aca="false">IF($H759="","",IFERROR(IF(IF(ISNUMBER($H759),$H759,IFERROR(TIMEVALUE($H759),VALUE($H759)))&gt;=100,INT(IF(ISNUMBER($H759),$H759,IFERROR(TIMEVALUE($H759),VALUE($H759)))/100)*60+MOD(IF(ISNUMBER($H759),$H759,IFERROR(TIMEVALUE($H759),VALUE($H759))),100),IF(IF(ISNUMBER($H759),$H759,IFERROR(TIMEVALUE($H759),VALUE($H759)))&gt;=1,ROUND(IF(ISNUMBER($H759),$H759,IFERROR(TIMEVALUE($H759),VALUE($H759)))*60,0),ROUND(MOD(IF(ISNUMBER($H759),$H759,IFERROR(TIMEVALUE($H759),VALUE($H759))),1)*1440,0))),""))</f>
        <v/>
      </c>
      <c r="W759" s="52" t="str">
        <f aca="false">IF($I759="","",IFERROR(IF(IF(ISNUMBER($I759),$I759,IFERROR(TIMEVALUE($I759),VALUE($I759)))&gt;=100,INT(IF(ISNUMBER($I759),$I759,IFERROR(TIMEVALUE($I759),VALUE($I759)))/100)*60+MOD(IF(ISNUMBER($I759),$I759,IFERROR(TIMEVALUE($I759),VALUE($I759))),100),IF(IF(ISNUMBER($I759),$I759,IFERROR(TIMEVALUE($I759),VALUE($I759)))&gt;=1,ROUND(IF(ISNUMBER($I759),$I759,IFERROR(TIMEVALUE($I759),VALUE($I759)))*60,0),ROUND(MOD(IF(ISNUMBER($I759),$I759,IFERROR(TIMEVALUE($I759),VALUE($I759))),1)*1440,0))),""))</f>
        <v/>
      </c>
      <c r="X759" s="55" t="str">
        <f aca="false">IF($P759="","",IFERROR(IF(ISNUMBER($P759),IF($P759&gt;19000000,DATE(INT($P759/10000),MOD(INT($P759/100),100),MOD($P759,100)),INT($P759)),IF(LEN(SUBSTITUTE(SUBSTITUTE(SUBSTITUTE(TRIM($P759),"-",""),".",""),"/",""))=8,DATE(VALUE(LEFT(SUBSTITUTE(SUBSTITUTE(SUBSTITUTE(TRIM($P759),"-",""),".",""),"/",""),4)),VALUE(MID(SUBSTITUTE(SUBSTITUTE(SUBSTITUTE(TRIM($P759),"-",""),".",""),"/",""),5,2)),VALUE(RIGHT(SUBSTITUTE(SUBSTITUTE(SUBSTITUTE(TRIM($P759),"-",""),".",""),"/",""),2))),DATEVALUE($P759))),""))</f>
        <v/>
      </c>
      <c r="Y759" s="56" t="str">
        <f aca="false">IF($M759="","",IFERROR(INDEX(강사DB!$D$4:$D$53,MATCH($M759,강사DB!$A$4:$A$53,0)),""))</f>
        <v/>
      </c>
      <c r="Z759" s="56" t="str">
        <f aca="false">IF($B759&lt;&gt;"결제완료","",IF(OR($Y759="",$J759=""),"",$Y759*$J759+MAX(0,N($K759)-1)*설정!$J$7))</f>
        <v/>
      </c>
      <c r="AA759" s="56" t="str">
        <f aca="false">IF(AND($D759&lt;&gt;"",$B759="결제완료"),N($N759),"")</f>
        <v/>
      </c>
      <c r="AB759" s="45" t="str">
        <f aca="false">IF($D759="","",IF($F759&lt;&gt;"",$F759,$D759)&amp;IF($B759="상담중"," (상담)",""))</f>
        <v/>
      </c>
      <c r="AC759" s="45" t="n">
        <f aca="false">IF(AND($D759&lt;&gt;"",OR($B759="결제완료",$B759="상담중")),1,0)</f>
        <v>0</v>
      </c>
      <c r="AD759" s="45" t="n">
        <f aca="false">IF(OR($Z759="",$U759=""),0,IFERROR(IF(COUNTIFS(INDEX(g_grid,0,2*MATCH($M759,강사DB!$A$4:$A$15,0)),"&lt;&gt;",g_s,"&lt;="&amp;$U759,g_e,"&gt;="&amp;$U759)&gt;0,1,0),0))</f>
        <v>0</v>
      </c>
      <c r="AE759" s="48"/>
      <c r="AF759" s="56" t="str">
        <f aca="false">IF(AND($D759&lt;&gt;"",$B759="결제완료",$T759="대여"),설정!$J$5,"")</f>
        <v/>
      </c>
      <c r="AG759" s="54" t="str">
        <f aca="false">IF($D759="","",IF(AND($E759="",$R759=""),$AB759,"☎ "&amp;IF($E759="","-",$E759)&amp;IF($R759&lt;&gt;"","  ※ "&amp;$R759,"")&amp;IF($B759="상담중"," (상담)","")))</f>
        <v/>
      </c>
      <c r="AH759" s="56" t="str">
        <f aca="false">IF(AND($D759&lt;&gt;"",$B759="결제완료",$O759="스마트스토어"),ROUND(N($N759)*설정!$J$6,0),"")</f>
        <v/>
      </c>
      <c r="AI759" s="54" t="str">
        <f aca="false">IF($D759="","",ROW())</f>
        <v/>
      </c>
      <c r="AJ759" s="54" t="n">
        <f aca="false">IF(OR($AC759&lt;&gt;1,$M759=""),0,IF(ISNUMBER(SEARCH("퇴사",IFERROR(INDEX(강사DB!$G$4:$G$53,MATCH($M759,강사DB!$A$4:$A$53,0)),""))),1,0))</f>
        <v>0</v>
      </c>
    </row>
    <row r="760" customFormat="false" ht="15" hidden="false" customHeight="false" outlineLevel="0" collapsed="false">
      <c r="A760" s="45" t="str">
        <f aca="false">IF($D760="","",COUNTA($D$5:$D760))</f>
        <v/>
      </c>
      <c r="B760" s="46"/>
      <c r="C760" s="47"/>
      <c r="D760" s="48"/>
      <c r="E760" s="48"/>
      <c r="F760" s="49"/>
      <c r="G760" s="47"/>
      <c r="H760" s="50"/>
      <c r="I760" s="50"/>
      <c r="J760" s="51" t="str">
        <f aca="false">IF(OR($V760="",$W760=""),"",ROUND(($W760-$V760)/60,2))</f>
        <v/>
      </c>
      <c r="K760" s="52" t="str">
        <f aca="false">IF($F760="","",LEN($F760)-LEN(SUBSTITUTE($F760,",",""))+1)</f>
        <v/>
      </c>
      <c r="L760" s="45" t="str">
        <f aca="false">IF($K760="","","1:"&amp;$K760)</f>
        <v/>
      </c>
      <c r="M760" s="46"/>
      <c r="N760" s="53"/>
      <c r="O760" s="46"/>
      <c r="P760" s="47"/>
      <c r="Q760" s="48"/>
      <c r="R760" s="49"/>
      <c r="S760" s="54" t="str">
        <f aca="false">IF(OR($AC760=0,$U760="",$M760="",$V760="",$W760=""),"",IF(COUNTIFS(m_teacher,$M760,m_date,$U760,m_active,1,m_start,"&lt;"&amp;$W760,m_end,"&gt;"&amp;$V760)&gt;1,"충돌",""))</f>
        <v/>
      </c>
      <c r="T760" s="48"/>
      <c r="U760" s="55" t="str">
        <f aca="false">IF($G760="","",IFERROR(IF(ISNUMBER($G760),IF($G760&gt;19000000,DATE(INT($G760/10000),MOD(INT($G760/100),100),MOD($G760,100)),INT($G760)),IF(LEN(SUBSTITUTE(SUBSTITUTE(SUBSTITUTE(TRIM($G760),"-",""),".",""),"/",""))=8,DATE(VALUE(LEFT(SUBSTITUTE(SUBSTITUTE(SUBSTITUTE(TRIM($G760),"-",""),".",""),"/",""),4)),VALUE(MID(SUBSTITUTE(SUBSTITUTE(SUBSTITUTE(TRIM($G760),"-",""),".",""),"/",""),5,2)),VALUE(RIGHT(SUBSTITUTE(SUBSTITUTE(SUBSTITUTE(TRIM($G760),"-",""),".",""),"/",""),2))),DATEVALUE($G760))),""))</f>
        <v/>
      </c>
      <c r="V760" s="52" t="str">
        <f aca="false">IF($H760="","",IFERROR(IF(IF(ISNUMBER($H760),$H760,IFERROR(TIMEVALUE($H760),VALUE($H760)))&gt;=100,INT(IF(ISNUMBER($H760),$H760,IFERROR(TIMEVALUE($H760),VALUE($H760)))/100)*60+MOD(IF(ISNUMBER($H760),$H760,IFERROR(TIMEVALUE($H760),VALUE($H760))),100),IF(IF(ISNUMBER($H760),$H760,IFERROR(TIMEVALUE($H760),VALUE($H760)))&gt;=1,ROUND(IF(ISNUMBER($H760),$H760,IFERROR(TIMEVALUE($H760),VALUE($H760)))*60,0),ROUND(MOD(IF(ISNUMBER($H760),$H760,IFERROR(TIMEVALUE($H760),VALUE($H760))),1)*1440,0))),""))</f>
        <v/>
      </c>
      <c r="W760" s="52" t="str">
        <f aca="false">IF($I760="","",IFERROR(IF(IF(ISNUMBER($I760),$I760,IFERROR(TIMEVALUE($I760),VALUE($I760)))&gt;=100,INT(IF(ISNUMBER($I760),$I760,IFERROR(TIMEVALUE($I760),VALUE($I760)))/100)*60+MOD(IF(ISNUMBER($I760),$I760,IFERROR(TIMEVALUE($I760),VALUE($I760))),100),IF(IF(ISNUMBER($I760),$I760,IFERROR(TIMEVALUE($I760),VALUE($I760)))&gt;=1,ROUND(IF(ISNUMBER($I760),$I760,IFERROR(TIMEVALUE($I760),VALUE($I760)))*60,0),ROUND(MOD(IF(ISNUMBER($I760),$I760,IFERROR(TIMEVALUE($I760),VALUE($I760))),1)*1440,0))),""))</f>
        <v/>
      </c>
      <c r="X760" s="55" t="str">
        <f aca="false">IF($P760="","",IFERROR(IF(ISNUMBER($P760),IF($P760&gt;19000000,DATE(INT($P760/10000),MOD(INT($P760/100),100),MOD($P760,100)),INT($P760)),IF(LEN(SUBSTITUTE(SUBSTITUTE(SUBSTITUTE(TRIM($P760),"-",""),".",""),"/",""))=8,DATE(VALUE(LEFT(SUBSTITUTE(SUBSTITUTE(SUBSTITUTE(TRIM($P760),"-",""),".",""),"/",""),4)),VALUE(MID(SUBSTITUTE(SUBSTITUTE(SUBSTITUTE(TRIM($P760),"-",""),".",""),"/",""),5,2)),VALUE(RIGHT(SUBSTITUTE(SUBSTITUTE(SUBSTITUTE(TRIM($P760),"-",""),".",""),"/",""),2))),DATEVALUE($P760))),""))</f>
        <v/>
      </c>
      <c r="Y760" s="56" t="str">
        <f aca="false">IF($M760="","",IFERROR(INDEX(강사DB!$D$4:$D$53,MATCH($M760,강사DB!$A$4:$A$53,0)),""))</f>
        <v/>
      </c>
      <c r="Z760" s="56" t="str">
        <f aca="false">IF($B760&lt;&gt;"결제완료","",IF(OR($Y760="",$J760=""),"",$Y760*$J760+MAX(0,N($K760)-1)*설정!$J$7))</f>
        <v/>
      </c>
      <c r="AA760" s="56" t="str">
        <f aca="false">IF(AND($D760&lt;&gt;"",$B760="결제완료"),N($N760),"")</f>
        <v/>
      </c>
      <c r="AB760" s="45" t="str">
        <f aca="false">IF($D760="","",IF($F760&lt;&gt;"",$F760,$D760)&amp;IF($B760="상담중"," (상담)",""))</f>
        <v/>
      </c>
      <c r="AC760" s="45" t="n">
        <f aca="false">IF(AND($D760&lt;&gt;"",OR($B760="결제완료",$B760="상담중")),1,0)</f>
        <v>0</v>
      </c>
      <c r="AD760" s="45" t="n">
        <f aca="false">IF(OR($Z760="",$U760=""),0,IFERROR(IF(COUNTIFS(INDEX(g_grid,0,2*MATCH($M760,강사DB!$A$4:$A$15,0)),"&lt;&gt;",g_s,"&lt;="&amp;$U760,g_e,"&gt;="&amp;$U760)&gt;0,1,0),0))</f>
        <v>0</v>
      </c>
      <c r="AE760" s="48"/>
      <c r="AF760" s="56" t="str">
        <f aca="false">IF(AND($D760&lt;&gt;"",$B760="결제완료",$T760="대여"),설정!$J$5,"")</f>
        <v/>
      </c>
      <c r="AG760" s="54" t="str">
        <f aca="false">IF($D760="","",IF(AND($E760="",$R760=""),$AB760,"☎ "&amp;IF($E760="","-",$E760)&amp;IF($R760&lt;&gt;"","  ※ "&amp;$R760,"")&amp;IF($B760="상담중"," (상담)","")))</f>
        <v/>
      </c>
      <c r="AH760" s="56" t="str">
        <f aca="false">IF(AND($D760&lt;&gt;"",$B760="결제완료",$O760="스마트스토어"),ROUND(N($N760)*설정!$J$6,0),"")</f>
        <v/>
      </c>
      <c r="AI760" s="54" t="str">
        <f aca="false">IF($D760="","",ROW())</f>
        <v/>
      </c>
      <c r="AJ760" s="54" t="n">
        <f aca="false">IF(OR($AC760&lt;&gt;1,$M760=""),0,IF(ISNUMBER(SEARCH("퇴사",IFERROR(INDEX(강사DB!$G$4:$G$53,MATCH($M760,강사DB!$A$4:$A$53,0)),""))),1,0))</f>
        <v>0</v>
      </c>
    </row>
    <row r="761" customFormat="false" ht="15" hidden="false" customHeight="false" outlineLevel="0" collapsed="false">
      <c r="A761" s="45" t="str">
        <f aca="false">IF($D761="","",COUNTA($D$5:$D761))</f>
        <v/>
      </c>
      <c r="B761" s="46"/>
      <c r="C761" s="47"/>
      <c r="D761" s="48"/>
      <c r="E761" s="48"/>
      <c r="F761" s="49"/>
      <c r="G761" s="47"/>
      <c r="H761" s="50"/>
      <c r="I761" s="50"/>
      <c r="J761" s="51" t="str">
        <f aca="false">IF(OR($V761="",$W761=""),"",ROUND(($W761-$V761)/60,2))</f>
        <v/>
      </c>
      <c r="K761" s="52" t="str">
        <f aca="false">IF($F761="","",LEN($F761)-LEN(SUBSTITUTE($F761,",",""))+1)</f>
        <v/>
      </c>
      <c r="L761" s="45" t="str">
        <f aca="false">IF($K761="","","1:"&amp;$K761)</f>
        <v/>
      </c>
      <c r="M761" s="46"/>
      <c r="N761" s="53"/>
      <c r="O761" s="46"/>
      <c r="P761" s="47"/>
      <c r="Q761" s="48"/>
      <c r="R761" s="49"/>
      <c r="S761" s="54" t="str">
        <f aca="false">IF(OR($AC761=0,$U761="",$M761="",$V761="",$W761=""),"",IF(COUNTIFS(m_teacher,$M761,m_date,$U761,m_active,1,m_start,"&lt;"&amp;$W761,m_end,"&gt;"&amp;$V761)&gt;1,"충돌",""))</f>
        <v/>
      </c>
      <c r="T761" s="48"/>
      <c r="U761" s="55" t="str">
        <f aca="false">IF($G761="","",IFERROR(IF(ISNUMBER($G761),IF($G761&gt;19000000,DATE(INT($G761/10000),MOD(INT($G761/100),100),MOD($G761,100)),INT($G761)),IF(LEN(SUBSTITUTE(SUBSTITUTE(SUBSTITUTE(TRIM($G761),"-",""),".",""),"/",""))=8,DATE(VALUE(LEFT(SUBSTITUTE(SUBSTITUTE(SUBSTITUTE(TRIM($G761),"-",""),".",""),"/",""),4)),VALUE(MID(SUBSTITUTE(SUBSTITUTE(SUBSTITUTE(TRIM($G761),"-",""),".",""),"/",""),5,2)),VALUE(RIGHT(SUBSTITUTE(SUBSTITUTE(SUBSTITUTE(TRIM($G761),"-",""),".",""),"/",""),2))),DATEVALUE($G761))),""))</f>
        <v/>
      </c>
      <c r="V761" s="52" t="str">
        <f aca="false">IF($H761="","",IFERROR(IF(IF(ISNUMBER($H761),$H761,IFERROR(TIMEVALUE($H761),VALUE($H761)))&gt;=100,INT(IF(ISNUMBER($H761),$H761,IFERROR(TIMEVALUE($H761),VALUE($H761)))/100)*60+MOD(IF(ISNUMBER($H761),$H761,IFERROR(TIMEVALUE($H761),VALUE($H761))),100),IF(IF(ISNUMBER($H761),$H761,IFERROR(TIMEVALUE($H761),VALUE($H761)))&gt;=1,ROUND(IF(ISNUMBER($H761),$H761,IFERROR(TIMEVALUE($H761),VALUE($H761)))*60,0),ROUND(MOD(IF(ISNUMBER($H761),$H761,IFERROR(TIMEVALUE($H761),VALUE($H761))),1)*1440,0))),""))</f>
        <v/>
      </c>
      <c r="W761" s="52" t="str">
        <f aca="false">IF($I761="","",IFERROR(IF(IF(ISNUMBER($I761),$I761,IFERROR(TIMEVALUE($I761),VALUE($I761)))&gt;=100,INT(IF(ISNUMBER($I761),$I761,IFERROR(TIMEVALUE($I761),VALUE($I761)))/100)*60+MOD(IF(ISNUMBER($I761),$I761,IFERROR(TIMEVALUE($I761),VALUE($I761))),100),IF(IF(ISNUMBER($I761),$I761,IFERROR(TIMEVALUE($I761),VALUE($I761)))&gt;=1,ROUND(IF(ISNUMBER($I761),$I761,IFERROR(TIMEVALUE($I761),VALUE($I761)))*60,0),ROUND(MOD(IF(ISNUMBER($I761),$I761,IFERROR(TIMEVALUE($I761),VALUE($I761))),1)*1440,0))),""))</f>
        <v/>
      </c>
      <c r="X761" s="55" t="str">
        <f aca="false">IF($P761="","",IFERROR(IF(ISNUMBER($P761),IF($P761&gt;19000000,DATE(INT($P761/10000),MOD(INT($P761/100),100),MOD($P761,100)),INT($P761)),IF(LEN(SUBSTITUTE(SUBSTITUTE(SUBSTITUTE(TRIM($P761),"-",""),".",""),"/",""))=8,DATE(VALUE(LEFT(SUBSTITUTE(SUBSTITUTE(SUBSTITUTE(TRIM($P761),"-",""),".",""),"/",""),4)),VALUE(MID(SUBSTITUTE(SUBSTITUTE(SUBSTITUTE(TRIM($P761),"-",""),".",""),"/",""),5,2)),VALUE(RIGHT(SUBSTITUTE(SUBSTITUTE(SUBSTITUTE(TRIM($P761),"-",""),".",""),"/",""),2))),DATEVALUE($P761))),""))</f>
        <v/>
      </c>
      <c r="Y761" s="56" t="str">
        <f aca="false">IF($M761="","",IFERROR(INDEX(강사DB!$D$4:$D$53,MATCH($M761,강사DB!$A$4:$A$53,0)),""))</f>
        <v/>
      </c>
      <c r="Z761" s="56" t="str">
        <f aca="false">IF($B761&lt;&gt;"결제완료","",IF(OR($Y761="",$J761=""),"",$Y761*$J761+MAX(0,N($K761)-1)*설정!$J$7))</f>
        <v/>
      </c>
      <c r="AA761" s="56" t="str">
        <f aca="false">IF(AND($D761&lt;&gt;"",$B761="결제완료"),N($N761),"")</f>
        <v/>
      </c>
      <c r="AB761" s="45" t="str">
        <f aca="false">IF($D761="","",IF($F761&lt;&gt;"",$F761,$D761)&amp;IF($B761="상담중"," (상담)",""))</f>
        <v/>
      </c>
      <c r="AC761" s="45" t="n">
        <f aca="false">IF(AND($D761&lt;&gt;"",OR($B761="결제완료",$B761="상담중")),1,0)</f>
        <v>0</v>
      </c>
      <c r="AD761" s="45" t="n">
        <f aca="false">IF(OR($Z761="",$U761=""),0,IFERROR(IF(COUNTIFS(INDEX(g_grid,0,2*MATCH($M761,강사DB!$A$4:$A$15,0)),"&lt;&gt;",g_s,"&lt;="&amp;$U761,g_e,"&gt;="&amp;$U761)&gt;0,1,0),0))</f>
        <v>0</v>
      </c>
      <c r="AE761" s="48"/>
      <c r="AF761" s="56" t="str">
        <f aca="false">IF(AND($D761&lt;&gt;"",$B761="결제완료",$T761="대여"),설정!$J$5,"")</f>
        <v/>
      </c>
      <c r="AG761" s="54" t="str">
        <f aca="false">IF($D761="","",IF(AND($E761="",$R761=""),$AB761,"☎ "&amp;IF($E761="","-",$E761)&amp;IF($R761&lt;&gt;"","  ※ "&amp;$R761,"")&amp;IF($B761="상담중"," (상담)","")))</f>
        <v/>
      </c>
      <c r="AH761" s="56" t="str">
        <f aca="false">IF(AND($D761&lt;&gt;"",$B761="결제완료",$O761="스마트스토어"),ROUND(N($N761)*설정!$J$6,0),"")</f>
        <v/>
      </c>
      <c r="AI761" s="54" t="str">
        <f aca="false">IF($D761="","",ROW())</f>
        <v/>
      </c>
      <c r="AJ761" s="54" t="n">
        <f aca="false">IF(OR($AC761&lt;&gt;1,$M761=""),0,IF(ISNUMBER(SEARCH("퇴사",IFERROR(INDEX(강사DB!$G$4:$G$53,MATCH($M761,강사DB!$A$4:$A$53,0)),""))),1,0))</f>
        <v>0</v>
      </c>
    </row>
    <row r="762" customFormat="false" ht="15" hidden="false" customHeight="false" outlineLevel="0" collapsed="false">
      <c r="A762" s="45" t="str">
        <f aca="false">IF($D762="","",COUNTA($D$5:$D762))</f>
        <v/>
      </c>
      <c r="B762" s="46"/>
      <c r="C762" s="47"/>
      <c r="D762" s="48"/>
      <c r="E762" s="48"/>
      <c r="F762" s="49"/>
      <c r="G762" s="47"/>
      <c r="H762" s="50"/>
      <c r="I762" s="50"/>
      <c r="J762" s="51" t="str">
        <f aca="false">IF(OR($V762="",$W762=""),"",ROUND(($W762-$V762)/60,2))</f>
        <v/>
      </c>
      <c r="K762" s="52" t="str">
        <f aca="false">IF($F762="","",LEN($F762)-LEN(SUBSTITUTE($F762,",",""))+1)</f>
        <v/>
      </c>
      <c r="L762" s="45" t="str">
        <f aca="false">IF($K762="","","1:"&amp;$K762)</f>
        <v/>
      </c>
      <c r="M762" s="46"/>
      <c r="N762" s="53"/>
      <c r="O762" s="46"/>
      <c r="P762" s="47"/>
      <c r="Q762" s="48"/>
      <c r="R762" s="49"/>
      <c r="S762" s="54" t="str">
        <f aca="false">IF(OR($AC762=0,$U762="",$M762="",$V762="",$W762=""),"",IF(COUNTIFS(m_teacher,$M762,m_date,$U762,m_active,1,m_start,"&lt;"&amp;$W762,m_end,"&gt;"&amp;$V762)&gt;1,"충돌",""))</f>
        <v/>
      </c>
      <c r="T762" s="48"/>
      <c r="U762" s="55" t="str">
        <f aca="false">IF($G762="","",IFERROR(IF(ISNUMBER($G762),IF($G762&gt;19000000,DATE(INT($G762/10000),MOD(INT($G762/100),100),MOD($G762,100)),INT($G762)),IF(LEN(SUBSTITUTE(SUBSTITUTE(SUBSTITUTE(TRIM($G762),"-",""),".",""),"/",""))=8,DATE(VALUE(LEFT(SUBSTITUTE(SUBSTITUTE(SUBSTITUTE(TRIM($G762),"-",""),".",""),"/",""),4)),VALUE(MID(SUBSTITUTE(SUBSTITUTE(SUBSTITUTE(TRIM($G762),"-",""),".",""),"/",""),5,2)),VALUE(RIGHT(SUBSTITUTE(SUBSTITUTE(SUBSTITUTE(TRIM($G762),"-",""),".",""),"/",""),2))),DATEVALUE($G762))),""))</f>
        <v/>
      </c>
      <c r="V762" s="52" t="str">
        <f aca="false">IF($H762="","",IFERROR(IF(IF(ISNUMBER($H762),$H762,IFERROR(TIMEVALUE($H762),VALUE($H762)))&gt;=100,INT(IF(ISNUMBER($H762),$H762,IFERROR(TIMEVALUE($H762),VALUE($H762)))/100)*60+MOD(IF(ISNUMBER($H762),$H762,IFERROR(TIMEVALUE($H762),VALUE($H762))),100),IF(IF(ISNUMBER($H762),$H762,IFERROR(TIMEVALUE($H762),VALUE($H762)))&gt;=1,ROUND(IF(ISNUMBER($H762),$H762,IFERROR(TIMEVALUE($H762),VALUE($H762)))*60,0),ROUND(MOD(IF(ISNUMBER($H762),$H762,IFERROR(TIMEVALUE($H762),VALUE($H762))),1)*1440,0))),""))</f>
        <v/>
      </c>
      <c r="W762" s="52" t="str">
        <f aca="false">IF($I762="","",IFERROR(IF(IF(ISNUMBER($I762),$I762,IFERROR(TIMEVALUE($I762),VALUE($I762)))&gt;=100,INT(IF(ISNUMBER($I762),$I762,IFERROR(TIMEVALUE($I762),VALUE($I762)))/100)*60+MOD(IF(ISNUMBER($I762),$I762,IFERROR(TIMEVALUE($I762),VALUE($I762))),100),IF(IF(ISNUMBER($I762),$I762,IFERROR(TIMEVALUE($I762),VALUE($I762)))&gt;=1,ROUND(IF(ISNUMBER($I762),$I762,IFERROR(TIMEVALUE($I762),VALUE($I762)))*60,0),ROUND(MOD(IF(ISNUMBER($I762),$I762,IFERROR(TIMEVALUE($I762),VALUE($I762))),1)*1440,0))),""))</f>
        <v/>
      </c>
      <c r="X762" s="55" t="str">
        <f aca="false">IF($P762="","",IFERROR(IF(ISNUMBER($P762),IF($P762&gt;19000000,DATE(INT($P762/10000),MOD(INT($P762/100),100),MOD($P762,100)),INT($P762)),IF(LEN(SUBSTITUTE(SUBSTITUTE(SUBSTITUTE(TRIM($P762),"-",""),".",""),"/",""))=8,DATE(VALUE(LEFT(SUBSTITUTE(SUBSTITUTE(SUBSTITUTE(TRIM($P762),"-",""),".",""),"/",""),4)),VALUE(MID(SUBSTITUTE(SUBSTITUTE(SUBSTITUTE(TRIM($P762),"-",""),".",""),"/",""),5,2)),VALUE(RIGHT(SUBSTITUTE(SUBSTITUTE(SUBSTITUTE(TRIM($P762),"-",""),".",""),"/",""),2))),DATEVALUE($P762))),""))</f>
        <v/>
      </c>
      <c r="Y762" s="56" t="str">
        <f aca="false">IF($M762="","",IFERROR(INDEX(강사DB!$D$4:$D$53,MATCH($M762,강사DB!$A$4:$A$53,0)),""))</f>
        <v/>
      </c>
      <c r="Z762" s="56" t="str">
        <f aca="false">IF($B762&lt;&gt;"결제완료","",IF(OR($Y762="",$J762=""),"",$Y762*$J762+MAX(0,N($K762)-1)*설정!$J$7))</f>
        <v/>
      </c>
      <c r="AA762" s="56" t="str">
        <f aca="false">IF(AND($D762&lt;&gt;"",$B762="결제완료"),N($N762),"")</f>
        <v/>
      </c>
      <c r="AB762" s="45" t="str">
        <f aca="false">IF($D762="","",IF($F762&lt;&gt;"",$F762,$D762)&amp;IF($B762="상담중"," (상담)",""))</f>
        <v/>
      </c>
      <c r="AC762" s="45" t="n">
        <f aca="false">IF(AND($D762&lt;&gt;"",OR($B762="결제완료",$B762="상담중")),1,0)</f>
        <v>0</v>
      </c>
      <c r="AD762" s="45" t="n">
        <f aca="false">IF(OR($Z762="",$U762=""),0,IFERROR(IF(COUNTIFS(INDEX(g_grid,0,2*MATCH($M762,강사DB!$A$4:$A$15,0)),"&lt;&gt;",g_s,"&lt;="&amp;$U762,g_e,"&gt;="&amp;$U762)&gt;0,1,0),0))</f>
        <v>0</v>
      </c>
      <c r="AE762" s="48"/>
      <c r="AF762" s="56" t="str">
        <f aca="false">IF(AND($D762&lt;&gt;"",$B762="결제완료",$T762="대여"),설정!$J$5,"")</f>
        <v/>
      </c>
      <c r="AG762" s="54" t="str">
        <f aca="false">IF($D762="","",IF(AND($E762="",$R762=""),$AB762,"☎ "&amp;IF($E762="","-",$E762)&amp;IF($R762&lt;&gt;"","  ※ "&amp;$R762,"")&amp;IF($B762="상담중"," (상담)","")))</f>
        <v/>
      </c>
      <c r="AH762" s="56" t="str">
        <f aca="false">IF(AND($D762&lt;&gt;"",$B762="결제완료",$O762="스마트스토어"),ROUND(N($N762)*설정!$J$6,0),"")</f>
        <v/>
      </c>
      <c r="AI762" s="54" t="str">
        <f aca="false">IF($D762="","",ROW())</f>
        <v/>
      </c>
      <c r="AJ762" s="54" t="n">
        <f aca="false">IF(OR($AC762&lt;&gt;1,$M762=""),0,IF(ISNUMBER(SEARCH("퇴사",IFERROR(INDEX(강사DB!$G$4:$G$53,MATCH($M762,강사DB!$A$4:$A$53,0)),""))),1,0))</f>
        <v>0</v>
      </c>
    </row>
    <row r="763" customFormat="false" ht="15" hidden="false" customHeight="false" outlineLevel="0" collapsed="false">
      <c r="A763" s="45" t="str">
        <f aca="false">IF($D763="","",COUNTA($D$5:$D763))</f>
        <v/>
      </c>
      <c r="B763" s="46"/>
      <c r="C763" s="47"/>
      <c r="D763" s="48"/>
      <c r="E763" s="48"/>
      <c r="F763" s="49"/>
      <c r="G763" s="47"/>
      <c r="H763" s="50"/>
      <c r="I763" s="50"/>
      <c r="J763" s="51" t="str">
        <f aca="false">IF(OR($V763="",$W763=""),"",ROUND(($W763-$V763)/60,2))</f>
        <v/>
      </c>
      <c r="K763" s="52" t="str">
        <f aca="false">IF($F763="","",LEN($F763)-LEN(SUBSTITUTE($F763,",",""))+1)</f>
        <v/>
      </c>
      <c r="L763" s="45" t="str">
        <f aca="false">IF($K763="","","1:"&amp;$K763)</f>
        <v/>
      </c>
      <c r="M763" s="46"/>
      <c r="N763" s="53"/>
      <c r="O763" s="46"/>
      <c r="P763" s="47"/>
      <c r="Q763" s="48"/>
      <c r="R763" s="49"/>
      <c r="S763" s="54" t="str">
        <f aca="false">IF(OR($AC763=0,$U763="",$M763="",$V763="",$W763=""),"",IF(COUNTIFS(m_teacher,$M763,m_date,$U763,m_active,1,m_start,"&lt;"&amp;$W763,m_end,"&gt;"&amp;$V763)&gt;1,"충돌",""))</f>
        <v/>
      </c>
      <c r="T763" s="48"/>
      <c r="U763" s="55" t="str">
        <f aca="false">IF($G763="","",IFERROR(IF(ISNUMBER($G763),IF($G763&gt;19000000,DATE(INT($G763/10000),MOD(INT($G763/100),100),MOD($G763,100)),INT($G763)),IF(LEN(SUBSTITUTE(SUBSTITUTE(SUBSTITUTE(TRIM($G763),"-",""),".",""),"/",""))=8,DATE(VALUE(LEFT(SUBSTITUTE(SUBSTITUTE(SUBSTITUTE(TRIM($G763),"-",""),".",""),"/",""),4)),VALUE(MID(SUBSTITUTE(SUBSTITUTE(SUBSTITUTE(TRIM($G763),"-",""),".",""),"/",""),5,2)),VALUE(RIGHT(SUBSTITUTE(SUBSTITUTE(SUBSTITUTE(TRIM($G763),"-",""),".",""),"/",""),2))),DATEVALUE($G763))),""))</f>
        <v/>
      </c>
      <c r="V763" s="52" t="str">
        <f aca="false">IF($H763="","",IFERROR(IF(IF(ISNUMBER($H763),$H763,IFERROR(TIMEVALUE($H763),VALUE($H763)))&gt;=100,INT(IF(ISNUMBER($H763),$H763,IFERROR(TIMEVALUE($H763),VALUE($H763)))/100)*60+MOD(IF(ISNUMBER($H763),$H763,IFERROR(TIMEVALUE($H763),VALUE($H763))),100),IF(IF(ISNUMBER($H763),$H763,IFERROR(TIMEVALUE($H763),VALUE($H763)))&gt;=1,ROUND(IF(ISNUMBER($H763),$H763,IFERROR(TIMEVALUE($H763),VALUE($H763)))*60,0),ROUND(MOD(IF(ISNUMBER($H763),$H763,IFERROR(TIMEVALUE($H763),VALUE($H763))),1)*1440,0))),""))</f>
        <v/>
      </c>
      <c r="W763" s="52" t="str">
        <f aca="false">IF($I763="","",IFERROR(IF(IF(ISNUMBER($I763),$I763,IFERROR(TIMEVALUE($I763),VALUE($I763)))&gt;=100,INT(IF(ISNUMBER($I763),$I763,IFERROR(TIMEVALUE($I763),VALUE($I763)))/100)*60+MOD(IF(ISNUMBER($I763),$I763,IFERROR(TIMEVALUE($I763),VALUE($I763))),100),IF(IF(ISNUMBER($I763),$I763,IFERROR(TIMEVALUE($I763),VALUE($I763)))&gt;=1,ROUND(IF(ISNUMBER($I763),$I763,IFERROR(TIMEVALUE($I763),VALUE($I763)))*60,0),ROUND(MOD(IF(ISNUMBER($I763),$I763,IFERROR(TIMEVALUE($I763),VALUE($I763))),1)*1440,0))),""))</f>
        <v/>
      </c>
      <c r="X763" s="55" t="str">
        <f aca="false">IF($P763="","",IFERROR(IF(ISNUMBER($P763),IF($P763&gt;19000000,DATE(INT($P763/10000),MOD(INT($P763/100),100),MOD($P763,100)),INT($P763)),IF(LEN(SUBSTITUTE(SUBSTITUTE(SUBSTITUTE(TRIM($P763),"-",""),".",""),"/",""))=8,DATE(VALUE(LEFT(SUBSTITUTE(SUBSTITUTE(SUBSTITUTE(TRIM($P763),"-",""),".",""),"/",""),4)),VALUE(MID(SUBSTITUTE(SUBSTITUTE(SUBSTITUTE(TRIM($P763),"-",""),".",""),"/",""),5,2)),VALUE(RIGHT(SUBSTITUTE(SUBSTITUTE(SUBSTITUTE(TRIM($P763),"-",""),".",""),"/",""),2))),DATEVALUE($P763))),""))</f>
        <v/>
      </c>
      <c r="Y763" s="56" t="str">
        <f aca="false">IF($M763="","",IFERROR(INDEX(강사DB!$D$4:$D$53,MATCH($M763,강사DB!$A$4:$A$53,0)),""))</f>
        <v/>
      </c>
      <c r="Z763" s="56" t="str">
        <f aca="false">IF($B763&lt;&gt;"결제완료","",IF(OR($Y763="",$J763=""),"",$Y763*$J763+MAX(0,N($K763)-1)*설정!$J$7))</f>
        <v/>
      </c>
      <c r="AA763" s="56" t="str">
        <f aca="false">IF(AND($D763&lt;&gt;"",$B763="결제완료"),N($N763),"")</f>
        <v/>
      </c>
      <c r="AB763" s="45" t="str">
        <f aca="false">IF($D763="","",IF($F763&lt;&gt;"",$F763,$D763)&amp;IF($B763="상담중"," (상담)",""))</f>
        <v/>
      </c>
      <c r="AC763" s="45" t="n">
        <f aca="false">IF(AND($D763&lt;&gt;"",OR($B763="결제완료",$B763="상담중")),1,0)</f>
        <v>0</v>
      </c>
      <c r="AD763" s="45" t="n">
        <f aca="false">IF(OR($Z763="",$U763=""),0,IFERROR(IF(COUNTIFS(INDEX(g_grid,0,2*MATCH($M763,강사DB!$A$4:$A$15,0)),"&lt;&gt;",g_s,"&lt;="&amp;$U763,g_e,"&gt;="&amp;$U763)&gt;0,1,0),0))</f>
        <v>0</v>
      </c>
      <c r="AE763" s="48"/>
      <c r="AF763" s="56" t="str">
        <f aca="false">IF(AND($D763&lt;&gt;"",$B763="결제완료",$T763="대여"),설정!$J$5,"")</f>
        <v/>
      </c>
      <c r="AG763" s="54" t="str">
        <f aca="false">IF($D763="","",IF(AND($E763="",$R763=""),$AB763,"☎ "&amp;IF($E763="","-",$E763)&amp;IF($R763&lt;&gt;"","  ※ "&amp;$R763,"")&amp;IF($B763="상담중"," (상담)","")))</f>
        <v/>
      </c>
      <c r="AH763" s="56" t="str">
        <f aca="false">IF(AND($D763&lt;&gt;"",$B763="결제완료",$O763="스마트스토어"),ROUND(N($N763)*설정!$J$6,0),"")</f>
        <v/>
      </c>
      <c r="AI763" s="54" t="str">
        <f aca="false">IF($D763="","",ROW())</f>
        <v/>
      </c>
      <c r="AJ763" s="54" t="n">
        <f aca="false">IF(OR($AC763&lt;&gt;1,$M763=""),0,IF(ISNUMBER(SEARCH("퇴사",IFERROR(INDEX(강사DB!$G$4:$G$53,MATCH($M763,강사DB!$A$4:$A$53,0)),""))),1,0))</f>
        <v>0</v>
      </c>
    </row>
    <row r="764" customFormat="false" ht="15" hidden="false" customHeight="false" outlineLevel="0" collapsed="false">
      <c r="A764" s="45" t="str">
        <f aca="false">IF($D764="","",COUNTA($D$5:$D764))</f>
        <v/>
      </c>
      <c r="B764" s="46"/>
      <c r="C764" s="47"/>
      <c r="D764" s="48"/>
      <c r="E764" s="48"/>
      <c r="F764" s="49"/>
      <c r="G764" s="47"/>
      <c r="H764" s="50"/>
      <c r="I764" s="50"/>
      <c r="J764" s="51" t="str">
        <f aca="false">IF(OR($V764="",$W764=""),"",ROUND(($W764-$V764)/60,2))</f>
        <v/>
      </c>
      <c r="K764" s="52" t="str">
        <f aca="false">IF($F764="","",LEN($F764)-LEN(SUBSTITUTE($F764,",",""))+1)</f>
        <v/>
      </c>
      <c r="L764" s="45" t="str">
        <f aca="false">IF($K764="","","1:"&amp;$K764)</f>
        <v/>
      </c>
      <c r="M764" s="46"/>
      <c r="N764" s="53"/>
      <c r="O764" s="46"/>
      <c r="P764" s="47"/>
      <c r="Q764" s="48"/>
      <c r="R764" s="49"/>
      <c r="S764" s="54" t="str">
        <f aca="false">IF(OR($AC764=0,$U764="",$M764="",$V764="",$W764=""),"",IF(COUNTIFS(m_teacher,$M764,m_date,$U764,m_active,1,m_start,"&lt;"&amp;$W764,m_end,"&gt;"&amp;$V764)&gt;1,"충돌",""))</f>
        <v/>
      </c>
      <c r="T764" s="48"/>
      <c r="U764" s="55" t="str">
        <f aca="false">IF($G764="","",IFERROR(IF(ISNUMBER($G764),IF($G764&gt;19000000,DATE(INT($G764/10000),MOD(INT($G764/100),100),MOD($G764,100)),INT($G764)),IF(LEN(SUBSTITUTE(SUBSTITUTE(SUBSTITUTE(TRIM($G764),"-",""),".",""),"/",""))=8,DATE(VALUE(LEFT(SUBSTITUTE(SUBSTITUTE(SUBSTITUTE(TRIM($G764),"-",""),".",""),"/",""),4)),VALUE(MID(SUBSTITUTE(SUBSTITUTE(SUBSTITUTE(TRIM($G764),"-",""),".",""),"/",""),5,2)),VALUE(RIGHT(SUBSTITUTE(SUBSTITUTE(SUBSTITUTE(TRIM($G764),"-",""),".",""),"/",""),2))),DATEVALUE($G764))),""))</f>
        <v/>
      </c>
      <c r="V764" s="52" t="str">
        <f aca="false">IF($H764="","",IFERROR(IF(IF(ISNUMBER($H764),$H764,IFERROR(TIMEVALUE($H764),VALUE($H764)))&gt;=100,INT(IF(ISNUMBER($H764),$H764,IFERROR(TIMEVALUE($H764),VALUE($H764)))/100)*60+MOD(IF(ISNUMBER($H764),$H764,IFERROR(TIMEVALUE($H764),VALUE($H764))),100),IF(IF(ISNUMBER($H764),$H764,IFERROR(TIMEVALUE($H764),VALUE($H764)))&gt;=1,ROUND(IF(ISNUMBER($H764),$H764,IFERROR(TIMEVALUE($H764),VALUE($H764)))*60,0),ROUND(MOD(IF(ISNUMBER($H764),$H764,IFERROR(TIMEVALUE($H764),VALUE($H764))),1)*1440,0))),""))</f>
        <v/>
      </c>
      <c r="W764" s="52" t="str">
        <f aca="false">IF($I764="","",IFERROR(IF(IF(ISNUMBER($I764),$I764,IFERROR(TIMEVALUE($I764),VALUE($I764)))&gt;=100,INT(IF(ISNUMBER($I764),$I764,IFERROR(TIMEVALUE($I764),VALUE($I764)))/100)*60+MOD(IF(ISNUMBER($I764),$I764,IFERROR(TIMEVALUE($I764),VALUE($I764))),100),IF(IF(ISNUMBER($I764),$I764,IFERROR(TIMEVALUE($I764),VALUE($I764)))&gt;=1,ROUND(IF(ISNUMBER($I764),$I764,IFERROR(TIMEVALUE($I764),VALUE($I764)))*60,0),ROUND(MOD(IF(ISNUMBER($I764),$I764,IFERROR(TIMEVALUE($I764),VALUE($I764))),1)*1440,0))),""))</f>
        <v/>
      </c>
      <c r="X764" s="55" t="str">
        <f aca="false">IF($P764="","",IFERROR(IF(ISNUMBER($P764),IF($P764&gt;19000000,DATE(INT($P764/10000),MOD(INT($P764/100),100),MOD($P764,100)),INT($P764)),IF(LEN(SUBSTITUTE(SUBSTITUTE(SUBSTITUTE(TRIM($P764),"-",""),".",""),"/",""))=8,DATE(VALUE(LEFT(SUBSTITUTE(SUBSTITUTE(SUBSTITUTE(TRIM($P764),"-",""),".",""),"/",""),4)),VALUE(MID(SUBSTITUTE(SUBSTITUTE(SUBSTITUTE(TRIM($P764),"-",""),".",""),"/",""),5,2)),VALUE(RIGHT(SUBSTITUTE(SUBSTITUTE(SUBSTITUTE(TRIM($P764),"-",""),".",""),"/",""),2))),DATEVALUE($P764))),""))</f>
        <v/>
      </c>
      <c r="Y764" s="56" t="str">
        <f aca="false">IF($M764="","",IFERROR(INDEX(강사DB!$D$4:$D$53,MATCH($M764,강사DB!$A$4:$A$53,0)),""))</f>
        <v/>
      </c>
      <c r="Z764" s="56" t="str">
        <f aca="false">IF($B764&lt;&gt;"결제완료","",IF(OR($Y764="",$J764=""),"",$Y764*$J764+MAX(0,N($K764)-1)*설정!$J$7))</f>
        <v/>
      </c>
      <c r="AA764" s="56" t="str">
        <f aca="false">IF(AND($D764&lt;&gt;"",$B764="결제완료"),N($N764),"")</f>
        <v/>
      </c>
      <c r="AB764" s="45" t="str">
        <f aca="false">IF($D764="","",IF($F764&lt;&gt;"",$F764,$D764)&amp;IF($B764="상담중"," (상담)",""))</f>
        <v/>
      </c>
      <c r="AC764" s="45" t="n">
        <f aca="false">IF(AND($D764&lt;&gt;"",OR($B764="결제완료",$B764="상담중")),1,0)</f>
        <v>0</v>
      </c>
      <c r="AD764" s="45" t="n">
        <f aca="false">IF(OR($Z764="",$U764=""),0,IFERROR(IF(COUNTIFS(INDEX(g_grid,0,2*MATCH($M764,강사DB!$A$4:$A$15,0)),"&lt;&gt;",g_s,"&lt;="&amp;$U764,g_e,"&gt;="&amp;$U764)&gt;0,1,0),0))</f>
        <v>0</v>
      </c>
      <c r="AE764" s="48"/>
      <c r="AF764" s="56" t="str">
        <f aca="false">IF(AND($D764&lt;&gt;"",$B764="결제완료",$T764="대여"),설정!$J$5,"")</f>
        <v/>
      </c>
      <c r="AG764" s="54" t="str">
        <f aca="false">IF($D764="","",IF(AND($E764="",$R764=""),$AB764,"☎ "&amp;IF($E764="","-",$E764)&amp;IF($R764&lt;&gt;"","  ※ "&amp;$R764,"")&amp;IF($B764="상담중"," (상담)","")))</f>
        <v/>
      </c>
      <c r="AH764" s="56" t="str">
        <f aca="false">IF(AND($D764&lt;&gt;"",$B764="결제완료",$O764="스마트스토어"),ROUND(N($N764)*설정!$J$6,0),"")</f>
        <v/>
      </c>
      <c r="AI764" s="54" t="str">
        <f aca="false">IF($D764="","",ROW())</f>
        <v/>
      </c>
      <c r="AJ764" s="54" t="n">
        <f aca="false">IF(OR($AC764&lt;&gt;1,$M764=""),0,IF(ISNUMBER(SEARCH("퇴사",IFERROR(INDEX(강사DB!$G$4:$G$53,MATCH($M764,강사DB!$A$4:$A$53,0)),""))),1,0))</f>
        <v>0</v>
      </c>
    </row>
    <row r="765" customFormat="false" ht="15" hidden="false" customHeight="false" outlineLevel="0" collapsed="false">
      <c r="A765" s="45" t="str">
        <f aca="false">IF($D765="","",COUNTA($D$5:$D765))</f>
        <v/>
      </c>
      <c r="B765" s="46"/>
      <c r="C765" s="47"/>
      <c r="D765" s="48"/>
      <c r="E765" s="48"/>
      <c r="F765" s="49"/>
      <c r="G765" s="47"/>
      <c r="H765" s="50"/>
      <c r="I765" s="50"/>
      <c r="J765" s="51" t="str">
        <f aca="false">IF(OR($V765="",$W765=""),"",ROUND(($W765-$V765)/60,2))</f>
        <v/>
      </c>
      <c r="K765" s="52" t="str">
        <f aca="false">IF($F765="","",LEN($F765)-LEN(SUBSTITUTE($F765,",",""))+1)</f>
        <v/>
      </c>
      <c r="L765" s="45" t="str">
        <f aca="false">IF($K765="","","1:"&amp;$K765)</f>
        <v/>
      </c>
      <c r="M765" s="46"/>
      <c r="N765" s="53"/>
      <c r="O765" s="46"/>
      <c r="P765" s="47"/>
      <c r="Q765" s="48"/>
      <c r="R765" s="49"/>
      <c r="S765" s="54" t="str">
        <f aca="false">IF(OR($AC765=0,$U765="",$M765="",$V765="",$W765=""),"",IF(COUNTIFS(m_teacher,$M765,m_date,$U765,m_active,1,m_start,"&lt;"&amp;$W765,m_end,"&gt;"&amp;$V765)&gt;1,"충돌",""))</f>
        <v/>
      </c>
      <c r="T765" s="48"/>
      <c r="U765" s="55" t="str">
        <f aca="false">IF($G765="","",IFERROR(IF(ISNUMBER($G765),IF($G765&gt;19000000,DATE(INT($G765/10000),MOD(INT($G765/100),100),MOD($G765,100)),INT($G765)),IF(LEN(SUBSTITUTE(SUBSTITUTE(SUBSTITUTE(TRIM($G765),"-",""),".",""),"/",""))=8,DATE(VALUE(LEFT(SUBSTITUTE(SUBSTITUTE(SUBSTITUTE(TRIM($G765),"-",""),".",""),"/",""),4)),VALUE(MID(SUBSTITUTE(SUBSTITUTE(SUBSTITUTE(TRIM($G765),"-",""),".",""),"/",""),5,2)),VALUE(RIGHT(SUBSTITUTE(SUBSTITUTE(SUBSTITUTE(TRIM($G765),"-",""),".",""),"/",""),2))),DATEVALUE($G765))),""))</f>
        <v/>
      </c>
      <c r="V765" s="52" t="str">
        <f aca="false">IF($H765="","",IFERROR(IF(IF(ISNUMBER($H765),$H765,IFERROR(TIMEVALUE($H765),VALUE($H765)))&gt;=100,INT(IF(ISNUMBER($H765),$H765,IFERROR(TIMEVALUE($H765),VALUE($H765)))/100)*60+MOD(IF(ISNUMBER($H765),$H765,IFERROR(TIMEVALUE($H765),VALUE($H765))),100),IF(IF(ISNUMBER($H765),$H765,IFERROR(TIMEVALUE($H765),VALUE($H765)))&gt;=1,ROUND(IF(ISNUMBER($H765),$H765,IFERROR(TIMEVALUE($H765),VALUE($H765)))*60,0),ROUND(MOD(IF(ISNUMBER($H765),$H765,IFERROR(TIMEVALUE($H765),VALUE($H765))),1)*1440,0))),""))</f>
        <v/>
      </c>
      <c r="W765" s="52" t="str">
        <f aca="false">IF($I765="","",IFERROR(IF(IF(ISNUMBER($I765),$I765,IFERROR(TIMEVALUE($I765),VALUE($I765)))&gt;=100,INT(IF(ISNUMBER($I765),$I765,IFERROR(TIMEVALUE($I765),VALUE($I765)))/100)*60+MOD(IF(ISNUMBER($I765),$I765,IFERROR(TIMEVALUE($I765),VALUE($I765))),100),IF(IF(ISNUMBER($I765),$I765,IFERROR(TIMEVALUE($I765),VALUE($I765)))&gt;=1,ROUND(IF(ISNUMBER($I765),$I765,IFERROR(TIMEVALUE($I765),VALUE($I765)))*60,0),ROUND(MOD(IF(ISNUMBER($I765),$I765,IFERROR(TIMEVALUE($I765),VALUE($I765))),1)*1440,0))),""))</f>
        <v/>
      </c>
      <c r="X765" s="55" t="str">
        <f aca="false">IF($P765="","",IFERROR(IF(ISNUMBER($P765),IF($P765&gt;19000000,DATE(INT($P765/10000),MOD(INT($P765/100),100),MOD($P765,100)),INT($P765)),IF(LEN(SUBSTITUTE(SUBSTITUTE(SUBSTITUTE(TRIM($P765),"-",""),".",""),"/",""))=8,DATE(VALUE(LEFT(SUBSTITUTE(SUBSTITUTE(SUBSTITUTE(TRIM($P765),"-",""),".",""),"/",""),4)),VALUE(MID(SUBSTITUTE(SUBSTITUTE(SUBSTITUTE(TRIM($P765),"-",""),".",""),"/",""),5,2)),VALUE(RIGHT(SUBSTITUTE(SUBSTITUTE(SUBSTITUTE(TRIM($P765),"-",""),".",""),"/",""),2))),DATEVALUE($P765))),""))</f>
        <v/>
      </c>
      <c r="Y765" s="56" t="str">
        <f aca="false">IF($M765="","",IFERROR(INDEX(강사DB!$D$4:$D$53,MATCH($M765,강사DB!$A$4:$A$53,0)),""))</f>
        <v/>
      </c>
      <c r="Z765" s="56" t="str">
        <f aca="false">IF($B765&lt;&gt;"결제완료","",IF(OR($Y765="",$J765=""),"",$Y765*$J765+MAX(0,N($K765)-1)*설정!$J$7))</f>
        <v/>
      </c>
      <c r="AA765" s="56" t="str">
        <f aca="false">IF(AND($D765&lt;&gt;"",$B765="결제완료"),N($N765),"")</f>
        <v/>
      </c>
      <c r="AB765" s="45" t="str">
        <f aca="false">IF($D765="","",IF($F765&lt;&gt;"",$F765,$D765)&amp;IF($B765="상담중"," (상담)",""))</f>
        <v/>
      </c>
      <c r="AC765" s="45" t="n">
        <f aca="false">IF(AND($D765&lt;&gt;"",OR($B765="결제완료",$B765="상담중")),1,0)</f>
        <v>0</v>
      </c>
      <c r="AD765" s="45" t="n">
        <f aca="false">IF(OR($Z765="",$U765=""),0,IFERROR(IF(COUNTIFS(INDEX(g_grid,0,2*MATCH($M765,강사DB!$A$4:$A$15,0)),"&lt;&gt;",g_s,"&lt;="&amp;$U765,g_e,"&gt;="&amp;$U765)&gt;0,1,0),0))</f>
        <v>0</v>
      </c>
      <c r="AE765" s="48"/>
      <c r="AF765" s="56" t="str">
        <f aca="false">IF(AND($D765&lt;&gt;"",$B765="결제완료",$T765="대여"),설정!$J$5,"")</f>
        <v/>
      </c>
      <c r="AG765" s="54" t="str">
        <f aca="false">IF($D765="","",IF(AND($E765="",$R765=""),$AB765,"☎ "&amp;IF($E765="","-",$E765)&amp;IF($R765&lt;&gt;"","  ※ "&amp;$R765,"")&amp;IF($B765="상담중"," (상담)","")))</f>
        <v/>
      </c>
      <c r="AH765" s="56" t="str">
        <f aca="false">IF(AND($D765&lt;&gt;"",$B765="결제완료",$O765="스마트스토어"),ROUND(N($N765)*설정!$J$6,0),"")</f>
        <v/>
      </c>
      <c r="AI765" s="54" t="str">
        <f aca="false">IF($D765="","",ROW())</f>
        <v/>
      </c>
      <c r="AJ765" s="54" t="n">
        <f aca="false">IF(OR($AC765&lt;&gt;1,$M765=""),0,IF(ISNUMBER(SEARCH("퇴사",IFERROR(INDEX(강사DB!$G$4:$G$53,MATCH($M765,강사DB!$A$4:$A$53,0)),""))),1,0))</f>
        <v>0</v>
      </c>
    </row>
    <row r="766" customFormat="false" ht="15" hidden="false" customHeight="false" outlineLevel="0" collapsed="false">
      <c r="A766" s="45" t="str">
        <f aca="false">IF($D766="","",COUNTA($D$5:$D766))</f>
        <v/>
      </c>
      <c r="B766" s="46"/>
      <c r="C766" s="47"/>
      <c r="D766" s="48"/>
      <c r="E766" s="48"/>
      <c r="F766" s="49"/>
      <c r="G766" s="47"/>
      <c r="H766" s="50"/>
      <c r="I766" s="50"/>
      <c r="J766" s="51" t="str">
        <f aca="false">IF(OR($V766="",$W766=""),"",ROUND(($W766-$V766)/60,2))</f>
        <v/>
      </c>
      <c r="K766" s="52" t="str">
        <f aca="false">IF($F766="","",LEN($F766)-LEN(SUBSTITUTE($F766,",",""))+1)</f>
        <v/>
      </c>
      <c r="L766" s="45" t="str">
        <f aca="false">IF($K766="","","1:"&amp;$K766)</f>
        <v/>
      </c>
      <c r="M766" s="46"/>
      <c r="N766" s="53"/>
      <c r="O766" s="46"/>
      <c r="P766" s="47"/>
      <c r="Q766" s="48"/>
      <c r="R766" s="49"/>
      <c r="S766" s="54" t="str">
        <f aca="false">IF(OR($AC766=0,$U766="",$M766="",$V766="",$W766=""),"",IF(COUNTIFS(m_teacher,$M766,m_date,$U766,m_active,1,m_start,"&lt;"&amp;$W766,m_end,"&gt;"&amp;$V766)&gt;1,"충돌",""))</f>
        <v/>
      </c>
      <c r="T766" s="48"/>
      <c r="U766" s="55" t="str">
        <f aca="false">IF($G766="","",IFERROR(IF(ISNUMBER($G766),IF($G766&gt;19000000,DATE(INT($G766/10000),MOD(INT($G766/100),100),MOD($G766,100)),INT($G766)),IF(LEN(SUBSTITUTE(SUBSTITUTE(SUBSTITUTE(TRIM($G766),"-",""),".",""),"/",""))=8,DATE(VALUE(LEFT(SUBSTITUTE(SUBSTITUTE(SUBSTITUTE(TRIM($G766),"-",""),".",""),"/",""),4)),VALUE(MID(SUBSTITUTE(SUBSTITUTE(SUBSTITUTE(TRIM($G766),"-",""),".",""),"/",""),5,2)),VALUE(RIGHT(SUBSTITUTE(SUBSTITUTE(SUBSTITUTE(TRIM($G766),"-",""),".",""),"/",""),2))),DATEVALUE($G766))),""))</f>
        <v/>
      </c>
      <c r="V766" s="52" t="str">
        <f aca="false">IF($H766="","",IFERROR(IF(IF(ISNUMBER($H766),$H766,IFERROR(TIMEVALUE($H766),VALUE($H766)))&gt;=100,INT(IF(ISNUMBER($H766),$H766,IFERROR(TIMEVALUE($H766),VALUE($H766)))/100)*60+MOD(IF(ISNUMBER($H766),$H766,IFERROR(TIMEVALUE($H766),VALUE($H766))),100),IF(IF(ISNUMBER($H766),$H766,IFERROR(TIMEVALUE($H766),VALUE($H766)))&gt;=1,ROUND(IF(ISNUMBER($H766),$H766,IFERROR(TIMEVALUE($H766),VALUE($H766)))*60,0),ROUND(MOD(IF(ISNUMBER($H766),$H766,IFERROR(TIMEVALUE($H766),VALUE($H766))),1)*1440,0))),""))</f>
        <v/>
      </c>
      <c r="W766" s="52" t="str">
        <f aca="false">IF($I766="","",IFERROR(IF(IF(ISNUMBER($I766),$I766,IFERROR(TIMEVALUE($I766),VALUE($I766)))&gt;=100,INT(IF(ISNUMBER($I766),$I766,IFERROR(TIMEVALUE($I766),VALUE($I766)))/100)*60+MOD(IF(ISNUMBER($I766),$I766,IFERROR(TIMEVALUE($I766),VALUE($I766))),100),IF(IF(ISNUMBER($I766),$I766,IFERROR(TIMEVALUE($I766),VALUE($I766)))&gt;=1,ROUND(IF(ISNUMBER($I766),$I766,IFERROR(TIMEVALUE($I766),VALUE($I766)))*60,0),ROUND(MOD(IF(ISNUMBER($I766),$I766,IFERROR(TIMEVALUE($I766),VALUE($I766))),1)*1440,0))),""))</f>
        <v/>
      </c>
      <c r="X766" s="55" t="str">
        <f aca="false">IF($P766="","",IFERROR(IF(ISNUMBER($P766),IF($P766&gt;19000000,DATE(INT($P766/10000),MOD(INT($P766/100),100),MOD($P766,100)),INT($P766)),IF(LEN(SUBSTITUTE(SUBSTITUTE(SUBSTITUTE(TRIM($P766),"-",""),".",""),"/",""))=8,DATE(VALUE(LEFT(SUBSTITUTE(SUBSTITUTE(SUBSTITUTE(TRIM($P766),"-",""),".",""),"/",""),4)),VALUE(MID(SUBSTITUTE(SUBSTITUTE(SUBSTITUTE(TRIM($P766),"-",""),".",""),"/",""),5,2)),VALUE(RIGHT(SUBSTITUTE(SUBSTITUTE(SUBSTITUTE(TRIM($P766),"-",""),".",""),"/",""),2))),DATEVALUE($P766))),""))</f>
        <v/>
      </c>
      <c r="Y766" s="56" t="str">
        <f aca="false">IF($M766="","",IFERROR(INDEX(강사DB!$D$4:$D$53,MATCH($M766,강사DB!$A$4:$A$53,0)),""))</f>
        <v/>
      </c>
      <c r="Z766" s="56" t="str">
        <f aca="false">IF($B766&lt;&gt;"결제완료","",IF(OR($Y766="",$J766=""),"",$Y766*$J766+MAX(0,N($K766)-1)*설정!$J$7))</f>
        <v/>
      </c>
      <c r="AA766" s="56" t="str">
        <f aca="false">IF(AND($D766&lt;&gt;"",$B766="결제완료"),N($N766),"")</f>
        <v/>
      </c>
      <c r="AB766" s="45" t="str">
        <f aca="false">IF($D766="","",IF($F766&lt;&gt;"",$F766,$D766)&amp;IF($B766="상담중"," (상담)",""))</f>
        <v/>
      </c>
      <c r="AC766" s="45" t="n">
        <f aca="false">IF(AND($D766&lt;&gt;"",OR($B766="결제완료",$B766="상담중")),1,0)</f>
        <v>0</v>
      </c>
      <c r="AD766" s="45" t="n">
        <f aca="false">IF(OR($Z766="",$U766=""),0,IFERROR(IF(COUNTIFS(INDEX(g_grid,0,2*MATCH($M766,강사DB!$A$4:$A$15,0)),"&lt;&gt;",g_s,"&lt;="&amp;$U766,g_e,"&gt;="&amp;$U766)&gt;0,1,0),0))</f>
        <v>0</v>
      </c>
      <c r="AE766" s="48"/>
      <c r="AF766" s="56" t="str">
        <f aca="false">IF(AND($D766&lt;&gt;"",$B766="결제완료",$T766="대여"),설정!$J$5,"")</f>
        <v/>
      </c>
      <c r="AG766" s="54" t="str">
        <f aca="false">IF($D766="","",IF(AND($E766="",$R766=""),$AB766,"☎ "&amp;IF($E766="","-",$E766)&amp;IF($R766&lt;&gt;"","  ※ "&amp;$R766,"")&amp;IF($B766="상담중"," (상담)","")))</f>
        <v/>
      </c>
      <c r="AH766" s="56" t="str">
        <f aca="false">IF(AND($D766&lt;&gt;"",$B766="결제완료",$O766="스마트스토어"),ROUND(N($N766)*설정!$J$6,0),"")</f>
        <v/>
      </c>
      <c r="AI766" s="54" t="str">
        <f aca="false">IF($D766="","",ROW())</f>
        <v/>
      </c>
      <c r="AJ766" s="54" t="n">
        <f aca="false">IF(OR($AC766&lt;&gt;1,$M766=""),0,IF(ISNUMBER(SEARCH("퇴사",IFERROR(INDEX(강사DB!$G$4:$G$53,MATCH($M766,강사DB!$A$4:$A$53,0)),""))),1,0))</f>
        <v>0</v>
      </c>
    </row>
    <row r="767" customFormat="false" ht="15" hidden="false" customHeight="false" outlineLevel="0" collapsed="false">
      <c r="A767" s="45" t="str">
        <f aca="false">IF($D767="","",COUNTA($D$5:$D767))</f>
        <v/>
      </c>
      <c r="B767" s="46"/>
      <c r="C767" s="47"/>
      <c r="D767" s="48"/>
      <c r="E767" s="48"/>
      <c r="F767" s="49"/>
      <c r="G767" s="47"/>
      <c r="H767" s="50"/>
      <c r="I767" s="50"/>
      <c r="J767" s="51" t="str">
        <f aca="false">IF(OR($V767="",$W767=""),"",ROUND(($W767-$V767)/60,2))</f>
        <v/>
      </c>
      <c r="K767" s="52" t="str">
        <f aca="false">IF($F767="","",LEN($F767)-LEN(SUBSTITUTE($F767,",",""))+1)</f>
        <v/>
      </c>
      <c r="L767" s="45" t="str">
        <f aca="false">IF($K767="","","1:"&amp;$K767)</f>
        <v/>
      </c>
      <c r="M767" s="46"/>
      <c r="N767" s="53"/>
      <c r="O767" s="46"/>
      <c r="P767" s="47"/>
      <c r="Q767" s="48"/>
      <c r="R767" s="49"/>
      <c r="S767" s="54" t="str">
        <f aca="false">IF(OR($AC767=0,$U767="",$M767="",$V767="",$W767=""),"",IF(COUNTIFS(m_teacher,$M767,m_date,$U767,m_active,1,m_start,"&lt;"&amp;$W767,m_end,"&gt;"&amp;$V767)&gt;1,"충돌",""))</f>
        <v/>
      </c>
      <c r="T767" s="48"/>
      <c r="U767" s="55" t="str">
        <f aca="false">IF($G767="","",IFERROR(IF(ISNUMBER($G767),IF($G767&gt;19000000,DATE(INT($G767/10000),MOD(INT($G767/100),100),MOD($G767,100)),INT($G767)),IF(LEN(SUBSTITUTE(SUBSTITUTE(SUBSTITUTE(TRIM($G767),"-",""),".",""),"/",""))=8,DATE(VALUE(LEFT(SUBSTITUTE(SUBSTITUTE(SUBSTITUTE(TRIM($G767),"-",""),".",""),"/",""),4)),VALUE(MID(SUBSTITUTE(SUBSTITUTE(SUBSTITUTE(TRIM($G767),"-",""),".",""),"/",""),5,2)),VALUE(RIGHT(SUBSTITUTE(SUBSTITUTE(SUBSTITUTE(TRIM($G767),"-",""),".",""),"/",""),2))),DATEVALUE($G767))),""))</f>
        <v/>
      </c>
      <c r="V767" s="52" t="str">
        <f aca="false">IF($H767="","",IFERROR(IF(IF(ISNUMBER($H767),$H767,IFERROR(TIMEVALUE($H767),VALUE($H767)))&gt;=100,INT(IF(ISNUMBER($H767),$H767,IFERROR(TIMEVALUE($H767),VALUE($H767)))/100)*60+MOD(IF(ISNUMBER($H767),$H767,IFERROR(TIMEVALUE($H767),VALUE($H767))),100),IF(IF(ISNUMBER($H767),$H767,IFERROR(TIMEVALUE($H767),VALUE($H767)))&gt;=1,ROUND(IF(ISNUMBER($H767),$H767,IFERROR(TIMEVALUE($H767),VALUE($H767)))*60,0),ROUND(MOD(IF(ISNUMBER($H767),$H767,IFERROR(TIMEVALUE($H767),VALUE($H767))),1)*1440,0))),""))</f>
        <v/>
      </c>
      <c r="W767" s="52" t="str">
        <f aca="false">IF($I767="","",IFERROR(IF(IF(ISNUMBER($I767),$I767,IFERROR(TIMEVALUE($I767),VALUE($I767)))&gt;=100,INT(IF(ISNUMBER($I767),$I767,IFERROR(TIMEVALUE($I767),VALUE($I767)))/100)*60+MOD(IF(ISNUMBER($I767),$I767,IFERROR(TIMEVALUE($I767),VALUE($I767))),100),IF(IF(ISNUMBER($I767),$I767,IFERROR(TIMEVALUE($I767),VALUE($I767)))&gt;=1,ROUND(IF(ISNUMBER($I767),$I767,IFERROR(TIMEVALUE($I767),VALUE($I767)))*60,0),ROUND(MOD(IF(ISNUMBER($I767),$I767,IFERROR(TIMEVALUE($I767),VALUE($I767))),1)*1440,0))),""))</f>
        <v/>
      </c>
      <c r="X767" s="55" t="str">
        <f aca="false">IF($P767="","",IFERROR(IF(ISNUMBER($P767),IF($P767&gt;19000000,DATE(INT($P767/10000),MOD(INT($P767/100),100),MOD($P767,100)),INT($P767)),IF(LEN(SUBSTITUTE(SUBSTITUTE(SUBSTITUTE(TRIM($P767),"-",""),".",""),"/",""))=8,DATE(VALUE(LEFT(SUBSTITUTE(SUBSTITUTE(SUBSTITUTE(TRIM($P767),"-",""),".",""),"/",""),4)),VALUE(MID(SUBSTITUTE(SUBSTITUTE(SUBSTITUTE(TRIM($P767),"-",""),".",""),"/",""),5,2)),VALUE(RIGHT(SUBSTITUTE(SUBSTITUTE(SUBSTITUTE(TRIM($P767),"-",""),".",""),"/",""),2))),DATEVALUE($P767))),""))</f>
        <v/>
      </c>
      <c r="Y767" s="56" t="str">
        <f aca="false">IF($M767="","",IFERROR(INDEX(강사DB!$D$4:$D$53,MATCH($M767,강사DB!$A$4:$A$53,0)),""))</f>
        <v/>
      </c>
      <c r="Z767" s="56" t="str">
        <f aca="false">IF($B767&lt;&gt;"결제완료","",IF(OR($Y767="",$J767=""),"",$Y767*$J767+MAX(0,N($K767)-1)*설정!$J$7))</f>
        <v/>
      </c>
      <c r="AA767" s="56" t="str">
        <f aca="false">IF(AND($D767&lt;&gt;"",$B767="결제완료"),N($N767),"")</f>
        <v/>
      </c>
      <c r="AB767" s="45" t="str">
        <f aca="false">IF($D767="","",IF($F767&lt;&gt;"",$F767,$D767)&amp;IF($B767="상담중"," (상담)",""))</f>
        <v/>
      </c>
      <c r="AC767" s="45" t="n">
        <f aca="false">IF(AND($D767&lt;&gt;"",OR($B767="결제완료",$B767="상담중")),1,0)</f>
        <v>0</v>
      </c>
      <c r="AD767" s="45" t="n">
        <f aca="false">IF(OR($Z767="",$U767=""),0,IFERROR(IF(COUNTIFS(INDEX(g_grid,0,2*MATCH($M767,강사DB!$A$4:$A$15,0)),"&lt;&gt;",g_s,"&lt;="&amp;$U767,g_e,"&gt;="&amp;$U767)&gt;0,1,0),0))</f>
        <v>0</v>
      </c>
      <c r="AE767" s="48"/>
      <c r="AF767" s="56" t="str">
        <f aca="false">IF(AND($D767&lt;&gt;"",$B767="결제완료",$T767="대여"),설정!$J$5,"")</f>
        <v/>
      </c>
      <c r="AG767" s="54" t="str">
        <f aca="false">IF($D767="","",IF(AND($E767="",$R767=""),$AB767,"☎ "&amp;IF($E767="","-",$E767)&amp;IF($R767&lt;&gt;"","  ※ "&amp;$R767,"")&amp;IF($B767="상담중"," (상담)","")))</f>
        <v/>
      </c>
      <c r="AH767" s="56" t="str">
        <f aca="false">IF(AND($D767&lt;&gt;"",$B767="결제완료",$O767="스마트스토어"),ROUND(N($N767)*설정!$J$6,0),"")</f>
        <v/>
      </c>
      <c r="AI767" s="54" t="str">
        <f aca="false">IF($D767="","",ROW())</f>
        <v/>
      </c>
      <c r="AJ767" s="54" t="n">
        <f aca="false">IF(OR($AC767&lt;&gt;1,$M767=""),0,IF(ISNUMBER(SEARCH("퇴사",IFERROR(INDEX(강사DB!$G$4:$G$53,MATCH($M767,강사DB!$A$4:$A$53,0)),""))),1,0))</f>
        <v>0</v>
      </c>
    </row>
    <row r="768" customFormat="false" ht="15" hidden="false" customHeight="false" outlineLevel="0" collapsed="false">
      <c r="A768" s="45" t="str">
        <f aca="false">IF($D768="","",COUNTA($D$5:$D768))</f>
        <v/>
      </c>
      <c r="B768" s="46"/>
      <c r="C768" s="47"/>
      <c r="D768" s="48"/>
      <c r="E768" s="48"/>
      <c r="F768" s="49"/>
      <c r="G768" s="47"/>
      <c r="H768" s="50"/>
      <c r="I768" s="50"/>
      <c r="J768" s="51" t="str">
        <f aca="false">IF(OR($V768="",$W768=""),"",ROUND(($W768-$V768)/60,2))</f>
        <v/>
      </c>
      <c r="K768" s="52" t="str">
        <f aca="false">IF($F768="","",LEN($F768)-LEN(SUBSTITUTE($F768,",",""))+1)</f>
        <v/>
      </c>
      <c r="L768" s="45" t="str">
        <f aca="false">IF($K768="","","1:"&amp;$K768)</f>
        <v/>
      </c>
      <c r="M768" s="46"/>
      <c r="N768" s="53"/>
      <c r="O768" s="46"/>
      <c r="P768" s="47"/>
      <c r="Q768" s="48"/>
      <c r="R768" s="49"/>
      <c r="S768" s="54" t="str">
        <f aca="false">IF(OR($AC768=0,$U768="",$M768="",$V768="",$W768=""),"",IF(COUNTIFS(m_teacher,$M768,m_date,$U768,m_active,1,m_start,"&lt;"&amp;$W768,m_end,"&gt;"&amp;$V768)&gt;1,"충돌",""))</f>
        <v/>
      </c>
      <c r="T768" s="48"/>
      <c r="U768" s="55" t="str">
        <f aca="false">IF($G768="","",IFERROR(IF(ISNUMBER($G768),IF($G768&gt;19000000,DATE(INT($G768/10000),MOD(INT($G768/100),100),MOD($G768,100)),INT($G768)),IF(LEN(SUBSTITUTE(SUBSTITUTE(SUBSTITUTE(TRIM($G768),"-",""),".",""),"/",""))=8,DATE(VALUE(LEFT(SUBSTITUTE(SUBSTITUTE(SUBSTITUTE(TRIM($G768),"-",""),".",""),"/",""),4)),VALUE(MID(SUBSTITUTE(SUBSTITUTE(SUBSTITUTE(TRIM($G768),"-",""),".",""),"/",""),5,2)),VALUE(RIGHT(SUBSTITUTE(SUBSTITUTE(SUBSTITUTE(TRIM($G768),"-",""),".",""),"/",""),2))),DATEVALUE($G768))),""))</f>
        <v/>
      </c>
      <c r="V768" s="52" t="str">
        <f aca="false">IF($H768="","",IFERROR(IF(IF(ISNUMBER($H768),$H768,IFERROR(TIMEVALUE($H768),VALUE($H768)))&gt;=100,INT(IF(ISNUMBER($H768),$H768,IFERROR(TIMEVALUE($H768),VALUE($H768)))/100)*60+MOD(IF(ISNUMBER($H768),$H768,IFERROR(TIMEVALUE($H768),VALUE($H768))),100),IF(IF(ISNUMBER($H768),$H768,IFERROR(TIMEVALUE($H768),VALUE($H768)))&gt;=1,ROUND(IF(ISNUMBER($H768),$H768,IFERROR(TIMEVALUE($H768),VALUE($H768)))*60,0),ROUND(MOD(IF(ISNUMBER($H768),$H768,IFERROR(TIMEVALUE($H768),VALUE($H768))),1)*1440,0))),""))</f>
        <v/>
      </c>
      <c r="W768" s="52" t="str">
        <f aca="false">IF($I768="","",IFERROR(IF(IF(ISNUMBER($I768),$I768,IFERROR(TIMEVALUE($I768),VALUE($I768)))&gt;=100,INT(IF(ISNUMBER($I768),$I768,IFERROR(TIMEVALUE($I768),VALUE($I768)))/100)*60+MOD(IF(ISNUMBER($I768),$I768,IFERROR(TIMEVALUE($I768),VALUE($I768))),100),IF(IF(ISNUMBER($I768),$I768,IFERROR(TIMEVALUE($I768),VALUE($I768)))&gt;=1,ROUND(IF(ISNUMBER($I768),$I768,IFERROR(TIMEVALUE($I768),VALUE($I768)))*60,0),ROUND(MOD(IF(ISNUMBER($I768),$I768,IFERROR(TIMEVALUE($I768),VALUE($I768))),1)*1440,0))),""))</f>
        <v/>
      </c>
      <c r="X768" s="55" t="str">
        <f aca="false">IF($P768="","",IFERROR(IF(ISNUMBER($P768),IF($P768&gt;19000000,DATE(INT($P768/10000),MOD(INT($P768/100),100),MOD($P768,100)),INT($P768)),IF(LEN(SUBSTITUTE(SUBSTITUTE(SUBSTITUTE(TRIM($P768),"-",""),".",""),"/",""))=8,DATE(VALUE(LEFT(SUBSTITUTE(SUBSTITUTE(SUBSTITUTE(TRIM($P768),"-",""),".",""),"/",""),4)),VALUE(MID(SUBSTITUTE(SUBSTITUTE(SUBSTITUTE(TRIM($P768),"-",""),".",""),"/",""),5,2)),VALUE(RIGHT(SUBSTITUTE(SUBSTITUTE(SUBSTITUTE(TRIM($P768),"-",""),".",""),"/",""),2))),DATEVALUE($P768))),""))</f>
        <v/>
      </c>
      <c r="Y768" s="56" t="str">
        <f aca="false">IF($M768="","",IFERROR(INDEX(강사DB!$D$4:$D$53,MATCH($M768,강사DB!$A$4:$A$53,0)),""))</f>
        <v/>
      </c>
      <c r="Z768" s="56" t="str">
        <f aca="false">IF($B768&lt;&gt;"결제완료","",IF(OR($Y768="",$J768=""),"",$Y768*$J768+MAX(0,N($K768)-1)*설정!$J$7))</f>
        <v/>
      </c>
      <c r="AA768" s="56" t="str">
        <f aca="false">IF(AND($D768&lt;&gt;"",$B768="결제완료"),N($N768),"")</f>
        <v/>
      </c>
      <c r="AB768" s="45" t="str">
        <f aca="false">IF($D768="","",IF($F768&lt;&gt;"",$F768,$D768)&amp;IF($B768="상담중"," (상담)",""))</f>
        <v/>
      </c>
      <c r="AC768" s="45" t="n">
        <f aca="false">IF(AND($D768&lt;&gt;"",OR($B768="결제완료",$B768="상담중")),1,0)</f>
        <v>0</v>
      </c>
      <c r="AD768" s="45" t="n">
        <f aca="false">IF(OR($Z768="",$U768=""),0,IFERROR(IF(COUNTIFS(INDEX(g_grid,0,2*MATCH($M768,강사DB!$A$4:$A$15,0)),"&lt;&gt;",g_s,"&lt;="&amp;$U768,g_e,"&gt;="&amp;$U768)&gt;0,1,0),0))</f>
        <v>0</v>
      </c>
      <c r="AE768" s="48"/>
      <c r="AF768" s="56" t="str">
        <f aca="false">IF(AND($D768&lt;&gt;"",$B768="결제완료",$T768="대여"),설정!$J$5,"")</f>
        <v/>
      </c>
      <c r="AG768" s="54" t="str">
        <f aca="false">IF($D768="","",IF(AND($E768="",$R768=""),$AB768,"☎ "&amp;IF($E768="","-",$E768)&amp;IF($R768&lt;&gt;"","  ※ "&amp;$R768,"")&amp;IF($B768="상담중"," (상담)","")))</f>
        <v/>
      </c>
      <c r="AH768" s="56" t="str">
        <f aca="false">IF(AND($D768&lt;&gt;"",$B768="결제완료",$O768="스마트스토어"),ROUND(N($N768)*설정!$J$6,0),"")</f>
        <v/>
      </c>
      <c r="AI768" s="54" t="str">
        <f aca="false">IF($D768="","",ROW())</f>
        <v/>
      </c>
      <c r="AJ768" s="54" t="n">
        <f aca="false">IF(OR($AC768&lt;&gt;1,$M768=""),0,IF(ISNUMBER(SEARCH("퇴사",IFERROR(INDEX(강사DB!$G$4:$G$53,MATCH($M768,강사DB!$A$4:$A$53,0)),""))),1,0))</f>
        <v>0</v>
      </c>
    </row>
    <row r="769" customFormat="false" ht="15" hidden="false" customHeight="false" outlineLevel="0" collapsed="false">
      <c r="A769" s="45" t="str">
        <f aca="false">IF($D769="","",COUNTA($D$5:$D769))</f>
        <v/>
      </c>
      <c r="B769" s="46"/>
      <c r="C769" s="47"/>
      <c r="D769" s="48"/>
      <c r="E769" s="48"/>
      <c r="F769" s="49"/>
      <c r="G769" s="47"/>
      <c r="H769" s="50"/>
      <c r="I769" s="50"/>
      <c r="J769" s="51" t="str">
        <f aca="false">IF(OR($V769="",$W769=""),"",ROUND(($W769-$V769)/60,2))</f>
        <v/>
      </c>
      <c r="K769" s="52" t="str">
        <f aca="false">IF($F769="","",LEN($F769)-LEN(SUBSTITUTE($F769,",",""))+1)</f>
        <v/>
      </c>
      <c r="L769" s="45" t="str">
        <f aca="false">IF($K769="","","1:"&amp;$K769)</f>
        <v/>
      </c>
      <c r="M769" s="46"/>
      <c r="N769" s="53"/>
      <c r="O769" s="46"/>
      <c r="P769" s="47"/>
      <c r="Q769" s="48"/>
      <c r="R769" s="49"/>
      <c r="S769" s="54" t="str">
        <f aca="false">IF(OR($AC769=0,$U769="",$M769="",$V769="",$W769=""),"",IF(COUNTIFS(m_teacher,$M769,m_date,$U769,m_active,1,m_start,"&lt;"&amp;$W769,m_end,"&gt;"&amp;$V769)&gt;1,"충돌",""))</f>
        <v/>
      </c>
      <c r="T769" s="48"/>
      <c r="U769" s="55" t="str">
        <f aca="false">IF($G769="","",IFERROR(IF(ISNUMBER($G769),IF($G769&gt;19000000,DATE(INT($G769/10000),MOD(INT($G769/100),100),MOD($G769,100)),INT($G769)),IF(LEN(SUBSTITUTE(SUBSTITUTE(SUBSTITUTE(TRIM($G769),"-",""),".",""),"/",""))=8,DATE(VALUE(LEFT(SUBSTITUTE(SUBSTITUTE(SUBSTITUTE(TRIM($G769),"-",""),".",""),"/",""),4)),VALUE(MID(SUBSTITUTE(SUBSTITUTE(SUBSTITUTE(TRIM($G769),"-",""),".",""),"/",""),5,2)),VALUE(RIGHT(SUBSTITUTE(SUBSTITUTE(SUBSTITUTE(TRIM($G769),"-",""),".",""),"/",""),2))),DATEVALUE($G769))),""))</f>
        <v/>
      </c>
      <c r="V769" s="52" t="str">
        <f aca="false">IF($H769="","",IFERROR(IF(IF(ISNUMBER($H769),$H769,IFERROR(TIMEVALUE($H769),VALUE($H769)))&gt;=100,INT(IF(ISNUMBER($H769),$H769,IFERROR(TIMEVALUE($H769),VALUE($H769)))/100)*60+MOD(IF(ISNUMBER($H769),$H769,IFERROR(TIMEVALUE($H769),VALUE($H769))),100),IF(IF(ISNUMBER($H769),$H769,IFERROR(TIMEVALUE($H769),VALUE($H769)))&gt;=1,ROUND(IF(ISNUMBER($H769),$H769,IFERROR(TIMEVALUE($H769),VALUE($H769)))*60,0),ROUND(MOD(IF(ISNUMBER($H769),$H769,IFERROR(TIMEVALUE($H769),VALUE($H769))),1)*1440,0))),""))</f>
        <v/>
      </c>
      <c r="W769" s="52" t="str">
        <f aca="false">IF($I769="","",IFERROR(IF(IF(ISNUMBER($I769),$I769,IFERROR(TIMEVALUE($I769),VALUE($I769)))&gt;=100,INT(IF(ISNUMBER($I769),$I769,IFERROR(TIMEVALUE($I769),VALUE($I769)))/100)*60+MOD(IF(ISNUMBER($I769),$I769,IFERROR(TIMEVALUE($I769),VALUE($I769))),100),IF(IF(ISNUMBER($I769),$I769,IFERROR(TIMEVALUE($I769),VALUE($I769)))&gt;=1,ROUND(IF(ISNUMBER($I769),$I769,IFERROR(TIMEVALUE($I769),VALUE($I769)))*60,0),ROUND(MOD(IF(ISNUMBER($I769),$I769,IFERROR(TIMEVALUE($I769),VALUE($I769))),1)*1440,0))),""))</f>
        <v/>
      </c>
      <c r="X769" s="55" t="str">
        <f aca="false">IF($P769="","",IFERROR(IF(ISNUMBER($P769),IF($P769&gt;19000000,DATE(INT($P769/10000),MOD(INT($P769/100),100),MOD($P769,100)),INT($P769)),IF(LEN(SUBSTITUTE(SUBSTITUTE(SUBSTITUTE(TRIM($P769),"-",""),".",""),"/",""))=8,DATE(VALUE(LEFT(SUBSTITUTE(SUBSTITUTE(SUBSTITUTE(TRIM($P769),"-",""),".",""),"/",""),4)),VALUE(MID(SUBSTITUTE(SUBSTITUTE(SUBSTITUTE(TRIM($P769),"-",""),".",""),"/",""),5,2)),VALUE(RIGHT(SUBSTITUTE(SUBSTITUTE(SUBSTITUTE(TRIM($P769),"-",""),".",""),"/",""),2))),DATEVALUE($P769))),""))</f>
        <v/>
      </c>
      <c r="Y769" s="56" t="str">
        <f aca="false">IF($M769="","",IFERROR(INDEX(강사DB!$D$4:$D$53,MATCH($M769,강사DB!$A$4:$A$53,0)),""))</f>
        <v/>
      </c>
      <c r="Z769" s="56" t="str">
        <f aca="false">IF($B769&lt;&gt;"결제완료","",IF(OR($Y769="",$J769=""),"",$Y769*$J769+MAX(0,N($K769)-1)*설정!$J$7))</f>
        <v/>
      </c>
      <c r="AA769" s="56" t="str">
        <f aca="false">IF(AND($D769&lt;&gt;"",$B769="결제완료"),N($N769),"")</f>
        <v/>
      </c>
      <c r="AB769" s="45" t="str">
        <f aca="false">IF($D769="","",IF($F769&lt;&gt;"",$F769,$D769)&amp;IF($B769="상담중"," (상담)",""))</f>
        <v/>
      </c>
      <c r="AC769" s="45" t="n">
        <f aca="false">IF(AND($D769&lt;&gt;"",OR($B769="결제완료",$B769="상담중")),1,0)</f>
        <v>0</v>
      </c>
      <c r="AD769" s="45" t="n">
        <f aca="false">IF(OR($Z769="",$U769=""),0,IFERROR(IF(COUNTIFS(INDEX(g_grid,0,2*MATCH($M769,강사DB!$A$4:$A$15,0)),"&lt;&gt;",g_s,"&lt;="&amp;$U769,g_e,"&gt;="&amp;$U769)&gt;0,1,0),0))</f>
        <v>0</v>
      </c>
      <c r="AE769" s="48"/>
      <c r="AF769" s="56" t="str">
        <f aca="false">IF(AND($D769&lt;&gt;"",$B769="결제완료",$T769="대여"),설정!$J$5,"")</f>
        <v/>
      </c>
      <c r="AG769" s="54" t="str">
        <f aca="false">IF($D769="","",IF(AND($E769="",$R769=""),$AB769,"☎ "&amp;IF($E769="","-",$E769)&amp;IF($R769&lt;&gt;"","  ※ "&amp;$R769,"")&amp;IF($B769="상담중"," (상담)","")))</f>
        <v/>
      </c>
      <c r="AH769" s="56" t="str">
        <f aca="false">IF(AND($D769&lt;&gt;"",$B769="결제완료",$O769="스마트스토어"),ROUND(N($N769)*설정!$J$6,0),"")</f>
        <v/>
      </c>
      <c r="AI769" s="54" t="str">
        <f aca="false">IF($D769="","",ROW())</f>
        <v/>
      </c>
      <c r="AJ769" s="54" t="n">
        <f aca="false">IF(OR($AC769&lt;&gt;1,$M769=""),0,IF(ISNUMBER(SEARCH("퇴사",IFERROR(INDEX(강사DB!$G$4:$G$53,MATCH($M769,강사DB!$A$4:$A$53,0)),""))),1,0))</f>
        <v>0</v>
      </c>
    </row>
    <row r="770" customFormat="false" ht="15" hidden="false" customHeight="false" outlineLevel="0" collapsed="false">
      <c r="A770" s="45" t="str">
        <f aca="false">IF($D770="","",COUNTA($D$5:$D770))</f>
        <v/>
      </c>
      <c r="B770" s="46"/>
      <c r="C770" s="47"/>
      <c r="D770" s="48"/>
      <c r="E770" s="48"/>
      <c r="F770" s="49"/>
      <c r="G770" s="47"/>
      <c r="H770" s="50"/>
      <c r="I770" s="50"/>
      <c r="J770" s="51" t="str">
        <f aca="false">IF(OR($V770="",$W770=""),"",ROUND(($W770-$V770)/60,2))</f>
        <v/>
      </c>
      <c r="K770" s="52" t="str">
        <f aca="false">IF($F770="","",LEN($F770)-LEN(SUBSTITUTE($F770,",",""))+1)</f>
        <v/>
      </c>
      <c r="L770" s="45" t="str">
        <f aca="false">IF($K770="","","1:"&amp;$K770)</f>
        <v/>
      </c>
      <c r="M770" s="46"/>
      <c r="N770" s="53"/>
      <c r="O770" s="46"/>
      <c r="P770" s="47"/>
      <c r="Q770" s="48"/>
      <c r="R770" s="49"/>
      <c r="S770" s="54" t="str">
        <f aca="false">IF(OR($AC770=0,$U770="",$M770="",$V770="",$W770=""),"",IF(COUNTIFS(m_teacher,$M770,m_date,$U770,m_active,1,m_start,"&lt;"&amp;$W770,m_end,"&gt;"&amp;$V770)&gt;1,"충돌",""))</f>
        <v/>
      </c>
      <c r="T770" s="48"/>
      <c r="U770" s="55" t="str">
        <f aca="false">IF($G770="","",IFERROR(IF(ISNUMBER($G770),IF($G770&gt;19000000,DATE(INT($G770/10000),MOD(INT($G770/100),100),MOD($G770,100)),INT($G770)),IF(LEN(SUBSTITUTE(SUBSTITUTE(SUBSTITUTE(TRIM($G770),"-",""),".",""),"/",""))=8,DATE(VALUE(LEFT(SUBSTITUTE(SUBSTITUTE(SUBSTITUTE(TRIM($G770),"-",""),".",""),"/",""),4)),VALUE(MID(SUBSTITUTE(SUBSTITUTE(SUBSTITUTE(TRIM($G770),"-",""),".",""),"/",""),5,2)),VALUE(RIGHT(SUBSTITUTE(SUBSTITUTE(SUBSTITUTE(TRIM($G770),"-",""),".",""),"/",""),2))),DATEVALUE($G770))),""))</f>
        <v/>
      </c>
      <c r="V770" s="52" t="str">
        <f aca="false">IF($H770="","",IFERROR(IF(IF(ISNUMBER($H770),$H770,IFERROR(TIMEVALUE($H770),VALUE($H770)))&gt;=100,INT(IF(ISNUMBER($H770),$H770,IFERROR(TIMEVALUE($H770),VALUE($H770)))/100)*60+MOD(IF(ISNUMBER($H770),$H770,IFERROR(TIMEVALUE($H770),VALUE($H770))),100),IF(IF(ISNUMBER($H770),$H770,IFERROR(TIMEVALUE($H770),VALUE($H770)))&gt;=1,ROUND(IF(ISNUMBER($H770),$H770,IFERROR(TIMEVALUE($H770),VALUE($H770)))*60,0),ROUND(MOD(IF(ISNUMBER($H770),$H770,IFERROR(TIMEVALUE($H770),VALUE($H770))),1)*1440,0))),""))</f>
        <v/>
      </c>
      <c r="W770" s="52" t="str">
        <f aca="false">IF($I770="","",IFERROR(IF(IF(ISNUMBER($I770),$I770,IFERROR(TIMEVALUE($I770),VALUE($I770)))&gt;=100,INT(IF(ISNUMBER($I770),$I770,IFERROR(TIMEVALUE($I770),VALUE($I770)))/100)*60+MOD(IF(ISNUMBER($I770),$I770,IFERROR(TIMEVALUE($I770),VALUE($I770))),100),IF(IF(ISNUMBER($I770),$I770,IFERROR(TIMEVALUE($I770),VALUE($I770)))&gt;=1,ROUND(IF(ISNUMBER($I770),$I770,IFERROR(TIMEVALUE($I770),VALUE($I770)))*60,0),ROUND(MOD(IF(ISNUMBER($I770),$I770,IFERROR(TIMEVALUE($I770),VALUE($I770))),1)*1440,0))),""))</f>
        <v/>
      </c>
      <c r="X770" s="55" t="str">
        <f aca="false">IF($P770="","",IFERROR(IF(ISNUMBER($P770),IF($P770&gt;19000000,DATE(INT($P770/10000),MOD(INT($P770/100),100),MOD($P770,100)),INT($P770)),IF(LEN(SUBSTITUTE(SUBSTITUTE(SUBSTITUTE(TRIM($P770),"-",""),".",""),"/",""))=8,DATE(VALUE(LEFT(SUBSTITUTE(SUBSTITUTE(SUBSTITUTE(TRIM($P770),"-",""),".",""),"/",""),4)),VALUE(MID(SUBSTITUTE(SUBSTITUTE(SUBSTITUTE(TRIM($P770),"-",""),".",""),"/",""),5,2)),VALUE(RIGHT(SUBSTITUTE(SUBSTITUTE(SUBSTITUTE(TRIM($P770),"-",""),".",""),"/",""),2))),DATEVALUE($P770))),""))</f>
        <v/>
      </c>
      <c r="Y770" s="56" t="str">
        <f aca="false">IF($M770="","",IFERROR(INDEX(강사DB!$D$4:$D$53,MATCH($M770,강사DB!$A$4:$A$53,0)),""))</f>
        <v/>
      </c>
      <c r="Z770" s="56" t="str">
        <f aca="false">IF($B770&lt;&gt;"결제완료","",IF(OR($Y770="",$J770=""),"",$Y770*$J770+MAX(0,N($K770)-1)*설정!$J$7))</f>
        <v/>
      </c>
      <c r="AA770" s="56" t="str">
        <f aca="false">IF(AND($D770&lt;&gt;"",$B770="결제완료"),N($N770),"")</f>
        <v/>
      </c>
      <c r="AB770" s="45" t="str">
        <f aca="false">IF($D770="","",IF($F770&lt;&gt;"",$F770,$D770)&amp;IF($B770="상담중"," (상담)",""))</f>
        <v/>
      </c>
      <c r="AC770" s="45" t="n">
        <f aca="false">IF(AND($D770&lt;&gt;"",OR($B770="결제완료",$B770="상담중")),1,0)</f>
        <v>0</v>
      </c>
      <c r="AD770" s="45" t="n">
        <f aca="false">IF(OR($Z770="",$U770=""),0,IFERROR(IF(COUNTIFS(INDEX(g_grid,0,2*MATCH($M770,강사DB!$A$4:$A$15,0)),"&lt;&gt;",g_s,"&lt;="&amp;$U770,g_e,"&gt;="&amp;$U770)&gt;0,1,0),0))</f>
        <v>0</v>
      </c>
      <c r="AE770" s="48"/>
      <c r="AF770" s="56" t="str">
        <f aca="false">IF(AND($D770&lt;&gt;"",$B770="결제완료",$T770="대여"),설정!$J$5,"")</f>
        <v/>
      </c>
      <c r="AG770" s="54" t="str">
        <f aca="false">IF($D770="","",IF(AND($E770="",$R770=""),$AB770,"☎ "&amp;IF($E770="","-",$E770)&amp;IF($R770&lt;&gt;"","  ※ "&amp;$R770,"")&amp;IF($B770="상담중"," (상담)","")))</f>
        <v/>
      </c>
      <c r="AH770" s="56" t="str">
        <f aca="false">IF(AND($D770&lt;&gt;"",$B770="결제완료",$O770="스마트스토어"),ROUND(N($N770)*설정!$J$6,0),"")</f>
        <v/>
      </c>
      <c r="AI770" s="54" t="str">
        <f aca="false">IF($D770="","",ROW())</f>
        <v/>
      </c>
      <c r="AJ770" s="54" t="n">
        <f aca="false">IF(OR($AC770&lt;&gt;1,$M770=""),0,IF(ISNUMBER(SEARCH("퇴사",IFERROR(INDEX(강사DB!$G$4:$G$53,MATCH($M770,강사DB!$A$4:$A$53,0)),""))),1,0))</f>
        <v>0</v>
      </c>
    </row>
    <row r="771" customFormat="false" ht="15" hidden="false" customHeight="false" outlineLevel="0" collapsed="false">
      <c r="A771" s="45" t="str">
        <f aca="false">IF($D771="","",COUNTA($D$5:$D771))</f>
        <v/>
      </c>
      <c r="B771" s="46"/>
      <c r="C771" s="47"/>
      <c r="D771" s="48"/>
      <c r="E771" s="48"/>
      <c r="F771" s="49"/>
      <c r="G771" s="47"/>
      <c r="H771" s="50"/>
      <c r="I771" s="50"/>
      <c r="J771" s="51" t="str">
        <f aca="false">IF(OR($V771="",$W771=""),"",ROUND(($W771-$V771)/60,2))</f>
        <v/>
      </c>
      <c r="K771" s="52" t="str">
        <f aca="false">IF($F771="","",LEN($F771)-LEN(SUBSTITUTE($F771,",",""))+1)</f>
        <v/>
      </c>
      <c r="L771" s="45" t="str">
        <f aca="false">IF($K771="","","1:"&amp;$K771)</f>
        <v/>
      </c>
      <c r="M771" s="46"/>
      <c r="N771" s="53"/>
      <c r="O771" s="46"/>
      <c r="P771" s="47"/>
      <c r="Q771" s="48"/>
      <c r="R771" s="49"/>
      <c r="S771" s="54" t="str">
        <f aca="false">IF(OR($AC771=0,$U771="",$M771="",$V771="",$W771=""),"",IF(COUNTIFS(m_teacher,$M771,m_date,$U771,m_active,1,m_start,"&lt;"&amp;$W771,m_end,"&gt;"&amp;$V771)&gt;1,"충돌",""))</f>
        <v/>
      </c>
      <c r="T771" s="48"/>
      <c r="U771" s="55" t="str">
        <f aca="false">IF($G771="","",IFERROR(IF(ISNUMBER($G771),IF($G771&gt;19000000,DATE(INT($G771/10000),MOD(INT($G771/100),100),MOD($G771,100)),INT($G771)),IF(LEN(SUBSTITUTE(SUBSTITUTE(SUBSTITUTE(TRIM($G771),"-",""),".",""),"/",""))=8,DATE(VALUE(LEFT(SUBSTITUTE(SUBSTITUTE(SUBSTITUTE(TRIM($G771),"-",""),".",""),"/",""),4)),VALUE(MID(SUBSTITUTE(SUBSTITUTE(SUBSTITUTE(TRIM($G771),"-",""),".",""),"/",""),5,2)),VALUE(RIGHT(SUBSTITUTE(SUBSTITUTE(SUBSTITUTE(TRIM($G771),"-",""),".",""),"/",""),2))),DATEVALUE($G771))),""))</f>
        <v/>
      </c>
      <c r="V771" s="52" t="str">
        <f aca="false">IF($H771="","",IFERROR(IF(IF(ISNUMBER($H771),$H771,IFERROR(TIMEVALUE($H771),VALUE($H771)))&gt;=100,INT(IF(ISNUMBER($H771),$H771,IFERROR(TIMEVALUE($H771),VALUE($H771)))/100)*60+MOD(IF(ISNUMBER($H771),$H771,IFERROR(TIMEVALUE($H771),VALUE($H771))),100),IF(IF(ISNUMBER($H771),$H771,IFERROR(TIMEVALUE($H771),VALUE($H771)))&gt;=1,ROUND(IF(ISNUMBER($H771),$H771,IFERROR(TIMEVALUE($H771),VALUE($H771)))*60,0),ROUND(MOD(IF(ISNUMBER($H771),$H771,IFERROR(TIMEVALUE($H771),VALUE($H771))),1)*1440,0))),""))</f>
        <v/>
      </c>
      <c r="W771" s="52" t="str">
        <f aca="false">IF($I771="","",IFERROR(IF(IF(ISNUMBER($I771),$I771,IFERROR(TIMEVALUE($I771),VALUE($I771)))&gt;=100,INT(IF(ISNUMBER($I771),$I771,IFERROR(TIMEVALUE($I771),VALUE($I771)))/100)*60+MOD(IF(ISNUMBER($I771),$I771,IFERROR(TIMEVALUE($I771),VALUE($I771))),100),IF(IF(ISNUMBER($I771),$I771,IFERROR(TIMEVALUE($I771),VALUE($I771)))&gt;=1,ROUND(IF(ISNUMBER($I771),$I771,IFERROR(TIMEVALUE($I771),VALUE($I771)))*60,0),ROUND(MOD(IF(ISNUMBER($I771),$I771,IFERROR(TIMEVALUE($I771),VALUE($I771))),1)*1440,0))),""))</f>
        <v/>
      </c>
      <c r="X771" s="55" t="str">
        <f aca="false">IF($P771="","",IFERROR(IF(ISNUMBER($P771),IF($P771&gt;19000000,DATE(INT($P771/10000),MOD(INT($P771/100),100),MOD($P771,100)),INT($P771)),IF(LEN(SUBSTITUTE(SUBSTITUTE(SUBSTITUTE(TRIM($P771),"-",""),".",""),"/",""))=8,DATE(VALUE(LEFT(SUBSTITUTE(SUBSTITUTE(SUBSTITUTE(TRIM($P771),"-",""),".",""),"/",""),4)),VALUE(MID(SUBSTITUTE(SUBSTITUTE(SUBSTITUTE(TRIM($P771),"-",""),".",""),"/",""),5,2)),VALUE(RIGHT(SUBSTITUTE(SUBSTITUTE(SUBSTITUTE(TRIM($P771),"-",""),".",""),"/",""),2))),DATEVALUE($P771))),""))</f>
        <v/>
      </c>
      <c r="Y771" s="56" t="str">
        <f aca="false">IF($M771="","",IFERROR(INDEX(강사DB!$D$4:$D$53,MATCH($M771,강사DB!$A$4:$A$53,0)),""))</f>
        <v/>
      </c>
      <c r="Z771" s="56" t="str">
        <f aca="false">IF($B771&lt;&gt;"결제완료","",IF(OR($Y771="",$J771=""),"",$Y771*$J771+MAX(0,N($K771)-1)*설정!$J$7))</f>
        <v/>
      </c>
      <c r="AA771" s="56" t="str">
        <f aca="false">IF(AND($D771&lt;&gt;"",$B771="결제완료"),N($N771),"")</f>
        <v/>
      </c>
      <c r="AB771" s="45" t="str">
        <f aca="false">IF($D771="","",IF($F771&lt;&gt;"",$F771,$D771)&amp;IF($B771="상담중"," (상담)",""))</f>
        <v/>
      </c>
      <c r="AC771" s="45" t="n">
        <f aca="false">IF(AND($D771&lt;&gt;"",OR($B771="결제완료",$B771="상담중")),1,0)</f>
        <v>0</v>
      </c>
      <c r="AD771" s="45" t="n">
        <f aca="false">IF(OR($Z771="",$U771=""),0,IFERROR(IF(COUNTIFS(INDEX(g_grid,0,2*MATCH($M771,강사DB!$A$4:$A$15,0)),"&lt;&gt;",g_s,"&lt;="&amp;$U771,g_e,"&gt;="&amp;$U771)&gt;0,1,0),0))</f>
        <v>0</v>
      </c>
      <c r="AE771" s="48"/>
      <c r="AF771" s="56" t="str">
        <f aca="false">IF(AND($D771&lt;&gt;"",$B771="결제완료",$T771="대여"),설정!$J$5,"")</f>
        <v/>
      </c>
      <c r="AG771" s="54" t="str">
        <f aca="false">IF($D771="","",IF(AND($E771="",$R771=""),$AB771,"☎ "&amp;IF($E771="","-",$E771)&amp;IF($R771&lt;&gt;"","  ※ "&amp;$R771,"")&amp;IF($B771="상담중"," (상담)","")))</f>
        <v/>
      </c>
      <c r="AH771" s="56" t="str">
        <f aca="false">IF(AND($D771&lt;&gt;"",$B771="결제완료",$O771="스마트스토어"),ROUND(N($N771)*설정!$J$6,0),"")</f>
        <v/>
      </c>
      <c r="AI771" s="54" t="str">
        <f aca="false">IF($D771="","",ROW())</f>
        <v/>
      </c>
      <c r="AJ771" s="54" t="n">
        <f aca="false">IF(OR($AC771&lt;&gt;1,$M771=""),0,IF(ISNUMBER(SEARCH("퇴사",IFERROR(INDEX(강사DB!$G$4:$G$53,MATCH($M771,강사DB!$A$4:$A$53,0)),""))),1,0))</f>
        <v>0</v>
      </c>
    </row>
    <row r="772" customFormat="false" ht="15" hidden="false" customHeight="false" outlineLevel="0" collapsed="false">
      <c r="A772" s="45" t="str">
        <f aca="false">IF($D772="","",COUNTA($D$5:$D772))</f>
        <v/>
      </c>
      <c r="B772" s="46"/>
      <c r="C772" s="47"/>
      <c r="D772" s="48"/>
      <c r="E772" s="48"/>
      <c r="F772" s="49"/>
      <c r="G772" s="47"/>
      <c r="H772" s="50"/>
      <c r="I772" s="50"/>
      <c r="J772" s="51" t="str">
        <f aca="false">IF(OR($V772="",$W772=""),"",ROUND(($W772-$V772)/60,2))</f>
        <v/>
      </c>
      <c r="K772" s="52" t="str">
        <f aca="false">IF($F772="","",LEN($F772)-LEN(SUBSTITUTE($F772,",",""))+1)</f>
        <v/>
      </c>
      <c r="L772" s="45" t="str">
        <f aca="false">IF($K772="","","1:"&amp;$K772)</f>
        <v/>
      </c>
      <c r="M772" s="46"/>
      <c r="N772" s="53"/>
      <c r="O772" s="46"/>
      <c r="P772" s="47"/>
      <c r="Q772" s="48"/>
      <c r="R772" s="49"/>
      <c r="S772" s="54" t="str">
        <f aca="false">IF(OR($AC772=0,$U772="",$M772="",$V772="",$W772=""),"",IF(COUNTIFS(m_teacher,$M772,m_date,$U772,m_active,1,m_start,"&lt;"&amp;$W772,m_end,"&gt;"&amp;$V772)&gt;1,"충돌",""))</f>
        <v/>
      </c>
      <c r="T772" s="48"/>
      <c r="U772" s="55" t="str">
        <f aca="false">IF($G772="","",IFERROR(IF(ISNUMBER($G772),IF($G772&gt;19000000,DATE(INT($G772/10000),MOD(INT($G772/100),100),MOD($G772,100)),INT($G772)),IF(LEN(SUBSTITUTE(SUBSTITUTE(SUBSTITUTE(TRIM($G772),"-",""),".",""),"/",""))=8,DATE(VALUE(LEFT(SUBSTITUTE(SUBSTITUTE(SUBSTITUTE(TRIM($G772),"-",""),".",""),"/",""),4)),VALUE(MID(SUBSTITUTE(SUBSTITUTE(SUBSTITUTE(TRIM($G772),"-",""),".",""),"/",""),5,2)),VALUE(RIGHT(SUBSTITUTE(SUBSTITUTE(SUBSTITUTE(TRIM($G772),"-",""),".",""),"/",""),2))),DATEVALUE($G772))),""))</f>
        <v/>
      </c>
      <c r="V772" s="52" t="str">
        <f aca="false">IF($H772="","",IFERROR(IF(IF(ISNUMBER($H772),$H772,IFERROR(TIMEVALUE($H772),VALUE($H772)))&gt;=100,INT(IF(ISNUMBER($H772),$H772,IFERROR(TIMEVALUE($H772),VALUE($H772)))/100)*60+MOD(IF(ISNUMBER($H772),$H772,IFERROR(TIMEVALUE($H772),VALUE($H772))),100),IF(IF(ISNUMBER($H772),$H772,IFERROR(TIMEVALUE($H772),VALUE($H772)))&gt;=1,ROUND(IF(ISNUMBER($H772),$H772,IFERROR(TIMEVALUE($H772),VALUE($H772)))*60,0),ROUND(MOD(IF(ISNUMBER($H772),$H772,IFERROR(TIMEVALUE($H772),VALUE($H772))),1)*1440,0))),""))</f>
        <v/>
      </c>
      <c r="W772" s="52" t="str">
        <f aca="false">IF($I772="","",IFERROR(IF(IF(ISNUMBER($I772),$I772,IFERROR(TIMEVALUE($I772),VALUE($I772)))&gt;=100,INT(IF(ISNUMBER($I772),$I772,IFERROR(TIMEVALUE($I772),VALUE($I772)))/100)*60+MOD(IF(ISNUMBER($I772),$I772,IFERROR(TIMEVALUE($I772),VALUE($I772))),100),IF(IF(ISNUMBER($I772),$I772,IFERROR(TIMEVALUE($I772),VALUE($I772)))&gt;=1,ROUND(IF(ISNUMBER($I772),$I772,IFERROR(TIMEVALUE($I772),VALUE($I772)))*60,0),ROUND(MOD(IF(ISNUMBER($I772),$I772,IFERROR(TIMEVALUE($I772),VALUE($I772))),1)*1440,0))),""))</f>
        <v/>
      </c>
      <c r="X772" s="55" t="str">
        <f aca="false">IF($P772="","",IFERROR(IF(ISNUMBER($P772),IF($P772&gt;19000000,DATE(INT($P772/10000),MOD(INT($P772/100),100),MOD($P772,100)),INT($P772)),IF(LEN(SUBSTITUTE(SUBSTITUTE(SUBSTITUTE(TRIM($P772),"-",""),".",""),"/",""))=8,DATE(VALUE(LEFT(SUBSTITUTE(SUBSTITUTE(SUBSTITUTE(TRIM($P772),"-",""),".",""),"/",""),4)),VALUE(MID(SUBSTITUTE(SUBSTITUTE(SUBSTITUTE(TRIM($P772),"-",""),".",""),"/",""),5,2)),VALUE(RIGHT(SUBSTITUTE(SUBSTITUTE(SUBSTITUTE(TRIM($P772),"-",""),".",""),"/",""),2))),DATEVALUE($P772))),""))</f>
        <v/>
      </c>
      <c r="Y772" s="56" t="str">
        <f aca="false">IF($M772="","",IFERROR(INDEX(강사DB!$D$4:$D$53,MATCH($M772,강사DB!$A$4:$A$53,0)),""))</f>
        <v/>
      </c>
      <c r="Z772" s="56" t="str">
        <f aca="false">IF($B772&lt;&gt;"결제완료","",IF(OR($Y772="",$J772=""),"",$Y772*$J772+MAX(0,N($K772)-1)*설정!$J$7))</f>
        <v/>
      </c>
      <c r="AA772" s="56" t="str">
        <f aca="false">IF(AND($D772&lt;&gt;"",$B772="결제완료"),N($N772),"")</f>
        <v/>
      </c>
      <c r="AB772" s="45" t="str">
        <f aca="false">IF($D772="","",IF($F772&lt;&gt;"",$F772,$D772)&amp;IF($B772="상담중"," (상담)",""))</f>
        <v/>
      </c>
      <c r="AC772" s="45" t="n">
        <f aca="false">IF(AND($D772&lt;&gt;"",OR($B772="결제완료",$B772="상담중")),1,0)</f>
        <v>0</v>
      </c>
      <c r="AD772" s="45" t="n">
        <f aca="false">IF(OR($Z772="",$U772=""),0,IFERROR(IF(COUNTIFS(INDEX(g_grid,0,2*MATCH($M772,강사DB!$A$4:$A$15,0)),"&lt;&gt;",g_s,"&lt;="&amp;$U772,g_e,"&gt;="&amp;$U772)&gt;0,1,0),0))</f>
        <v>0</v>
      </c>
      <c r="AE772" s="48"/>
      <c r="AF772" s="56" t="str">
        <f aca="false">IF(AND($D772&lt;&gt;"",$B772="결제완료",$T772="대여"),설정!$J$5,"")</f>
        <v/>
      </c>
      <c r="AG772" s="54" t="str">
        <f aca="false">IF($D772="","",IF(AND($E772="",$R772=""),$AB772,"☎ "&amp;IF($E772="","-",$E772)&amp;IF($R772&lt;&gt;"","  ※ "&amp;$R772,"")&amp;IF($B772="상담중"," (상담)","")))</f>
        <v/>
      </c>
      <c r="AH772" s="56" t="str">
        <f aca="false">IF(AND($D772&lt;&gt;"",$B772="결제완료",$O772="스마트스토어"),ROUND(N($N772)*설정!$J$6,0),"")</f>
        <v/>
      </c>
      <c r="AI772" s="54" t="str">
        <f aca="false">IF($D772="","",ROW())</f>
        <v/>
      </c>
      <c r="AJ772" s="54" t="n">
        <f aca="false">IF(OR($AC772&lt;&gt;1,$M772=""),0,IF(ISNUMBER(SEARCH("퇴사",IFERROR(INDEX(강사DB!$G$4:$G$53,MATCH($M772,강사DB!$A$4:$A$53,0)),""))),1,0))</f>
        <v>0</v>
      </c>
    </row>
    <row r="773" customFormat="false" ht="15" hidden="false" customHeight="false" outlineLevel="0" collapsed="false">
      <c r="A773" s="45" t="str">
        <f aca="false">IF($D773="","",COUNTA($D$5:$D773))</f>
        <v/>
      </c>
      <c r="B773" s="46"/>
      <c r="C773" s="47"/>
      <c r="D773" s="48"/>
      <c r="E773" s="48"/>
      <c r="F773" s="49"/>
      <c r="G773" s="47"/>
      <c r="H773" s="50"/>
      <c r="I773" s="50"/>
      <c r="J773" s="51" t="str">
        <f aca="false">IF(OR($V773="",$W773=""),"",ROUND(($W773-$V773)/60,2))</f>
        <v/>
      </c>
      <c r="K773" s="52" t="str">
        <f aca="false">IF($F773="","",LEN($F773)-LEN(SUBSTITUTE($F773,",",""))+1)</f>
        <v/>
      </c>
      <c r="L773" s="45" t="str">
        <f aca="false">IF($K773="","","1:"&amp;$K773)</f>
        <v/>
      </c>
      <c r="M773" s="46"/>
      <c r="N773" s="53"/>
      <c r="O773" s="46"/>
      <c r="P773" s="47"/>
      <c r="Q773" s="48"/>
      <c r="R773" s="49"/>
      <c r="S773" s="54" t="str">
        <f aca="false">IF(OR($AC773=0,$U773="",$M773="",$V773="",$W773=""),"",IF(COUNTIFS(m_teacher,$M773,m_date,$U773,m_active,1,m_start,"&lt;"&amp;$W773,m_end,"&gt;"&amp;$V773)&gt;1,"충돌",""))</f>
        <v/>
      </c>
      <c r="T773" s="48"/>
      <c r="U773" s="55" t="str">
        <f aca="false">IF($G773="","",IFERROR(IF(ISNUMBER($G773),IF($G773&gt;19000000,DATE(INT($G773/10000),MOD(INT($G773/100),100),MOD($G773,100)),INT($G773)),IF(LEN(SUBSTITUTE(SUBSTITUTE(SUBSTITUTE(TRIM($G773),"-",""),".",""),"/",""))=8,DATE(VALUE(LEFT(SUBSTITUTE(SUBSTITUTE(SUBSTITUTE(TRIM($G773),"-",""),".",""),"/",""),4)),VALUE(MID(SUBSTITUTE(SUBSTITUTE(SUBSTITUTE(TRIM($G773),"-",""),".",""),"/",""),5,2)),VALUE(RIGHT(SUBSTITUTE(SUBSTITUTE(SUBSTITUTE(TRIM($G773),"-",""),".",""),"/",""),2))),DATEVALUE($G773))),""))</f>
        <v/>
      </c>
      <c r="V773" s="52" t="str">
        <f aca="false">IF($H773="","",IFERROR(IF(IF(ISNUMBER($H773),$H773,IFERROR(TIMEVALUE($H773),VALUE($H773)))&gt;=100,INT(IF(ISNUMBER($H773),$H773,IFERROR(TIMEVALUE($H773),VALUE($H773)))/100)*60+MOD(IF(ISNUMBER($H773),$H773,IFERROR(TIMEVALUE($H773),VALUE($H773))),100),IF(IF(ISNUMBER($H773),$H773,IFERROR(TIMEVALUE($H773),VALUE($H773)))&gt;=1,ROUND(IF(ISNUMBER($H773),$H773,IFERROR(TIMEVALUE($H773),VALUE($H773)))*60,0),ROUND(MOD(IF(ISNUMBER($H773),$H773,IFERROR(TIMEVALUE($H773),VALUE($H773))),1)*1440,0))),""))</f>
        <v/>
      </c>
      <c r="W773" s="52" t="str">
        <f aca="false">IF($I773="","",IFERROR(IF(IF(ISNUMBER($I773),$I773,IFERROR(TIMEVALUE($I773),VALUE($I773)))&gt;=100,INT(IF(ISNUMBER($I773),$I773,IFERROR(TIMEVALUE($I773),VALUE($I773)))/100)*60+MOD(IF(ISNUMBER($I773),$I773,IFERROR(TIMEVALUE($I773),VALUE($I773))),100),IF(IF(ISNUMBER($I773),$I773,IFERROR(TIMEVALUE($I773),VALUE($I773)))&gt;=1,ROUND(IF(ISNUMBER($I773),$I773,IFERROR(TIMEVALUE($I773),VALUE($I773)))*60,0),ROUND(MOD(IF(ISNUMBER($I773),$I773,IFERROR(TIMEVALUE($I773),VALUE($I773))),1)*1440,0))),""))</f>
        <v/>
      </c>
      <c r="X773" s="55" t="str">
        <f aca="false">IF($P773="","",IFERROR(IF(ISNUMBER($P773),IF($P773&gt;19000000,DATE(INT($P773/10000),MOD(INT($P773/100),100),MOD($P773,100)),INT($P773)),IF(LEN(SUBSTITUTE(SUBSTITUTE(SUBSTITUTE(TRIM($P773),"-",""),".",""),"/",""))=8,DATE(VALUE(LEFT(SUBSTITUTE(SUBSTITUTE(SUBSTITUTE(TRIM($P773),"-",""),".",""),"/",""),4)),VALUE(MID(SUBSTITUTE(SUBSTITUTE(SUBSTITUTE(TRIM($P773),"-",""),".",""),"/",""),5,2)),VALUE(RIGHT(SUBSTITUTE(SUBSTITUTE(SUBSTITUTE(TRIM($P773),"-",""),".",""),"/",""),2))),DATEVALUE($P773))),""))</f>
        <v/>
      </c>
      <c r="Y773" s="56" t="str">
        <f aca="false">IF($M773="","",IFERROR(INDEX(강사DB!$D$4:$D$53,MATCH($M773,강사DB!$A$4:$A$53,0)),""))</f>
        <v/>
      </c>
      <c r="Z773" s="56" t="str">
        <f aca="false">IF($B773&lt;&gt;"결제완료","",IF(OR($Y773="",$J773=""),"",$Y773*$J773+MAX(0,N($K773)-1)*설정!$J$7))</f>
        <v/>
      </c>
      <c r="AA773" s="56" t="str">
        <f aca="false">IF(AND($D773&lt;&gt;"",$B773="결제완료"),N($N773),"")</f>
        <v/>
      </c>
      <c r="AB773" s="45" t="str">
        <f aca="false">IF($D773="","",IF($F773&lt;&gt;"",$F773,$D773)&amp;IF($B773="상담중"," (상담)",""))</f>
        <v/>
      </c>
      <c r="AC773" s="45" t="n">
        <f aca="false">IF(AND($D773&lt;&gt;"",OR($B773="결제완료",$B773="상담중")),1,0)</f>
        <v>0</v>
      </c>
      <c r="AD773" s="45" t="n">
        <f aca="false">IF(OR($Z773="",$U773=""),0,IFERROR(IF(COUNTIFS(INDEX(g_grid,0,2*MATCH($M773,강사DB!$A$4:$A$15,0)),"&lt;&gt;",g_s,"&lt;="&amp;$U773,g_e,"&gt;="&amp;$U773)&gt;0,1,0),0))</f>
        <v>0</v>
      </c>
      <c r="AE773" s="48"/>
      <c r="AF773" s="56" t="str">
        <f aca="false">IF(AND($D773&lt;&gt;"",$B773="결제완료",$T773="대여"),설정!$J$5,"")</f>
        <v/>
      </c>
      <c r="AG773" s="54" t="str">
        <f aca="false">IF($D773="","",IF(AND($E773="",$R773=""),$AB773,"☎ "&amp;IF($E773="","-",$E773)&amp;IF($R773&lt;&gt;"","  ※ "&amp;$R773,"")&amp;IF($B773="상담중"," (상담)","")))</f>
        <v/>
      </c>
      <c r="AH773" s="56" t="str">
        <f aca="false">IF(AND($D773&lt;&gt;"",$B773="결제완료",$O773="스마트스토어"),ROUND(N($N773)*설정!$J$6,0),"")</f>
        <v/>
      </c>
      <c r="AI773" s="54" t="str">
        <f aca="false">IF($D773="","",ROW())</f>
        <v/>
      </c>
      <c r="AJ773" s="54" t="n">
        <f aca="false">IF(OR($AC773&lt;&gt;1,$M773=""),0,IF(ISNUMBER(SEARCH("퇴사",IFERROR(INDEX(강사DB!$G$4:$G$53,MATCH($M773,강사DB!$A$4:$A$53,0)),""))),1,0))</f>
        <v>0</v>
      </c>
    </row>
    <row r="774" customFormat="false" ht="15" hidden="false" customHeight="false" outlineLevel="0" collapsed="false">
      <c r="A774" s="45" t="str">
        <f aca="false">IF($D774="","",COUNTA($D$5:$D774))</f>
        <v/>
      </c>
      <c r="B774" s="46"/>
      <c r="C774" s="47"/>
      <c r="D774" s="48"/>
      <c r="E774" s="48"/>
      <c r="F774" s="49"/>
      <c r="G774" s="47"/>
      <c r="H774" s="50"/>
      <c r="I774" s="50"/>
      <c r="J774" s="51" t="str">
        <f aca="false">IF(OR($V774="",$W774=""),"",ROUND(($W774-$V774)/60,2))</f>
        <v/>
      </c>
      <c r="K774" s="52" t="str">
        <f aca="false">IF($F774="","",LEN($F774)-LEN(SUBSTITUTE($F774,",",""))+1)</f>
        <v/>
      </c>
      <c r="L774" s="45" t="str">
        <f aca="false">IF($K774="","","1:"&amp;$K774)</f>
        <v/>
      </c>
      <c r="M774" s="46"/>
      <c r="N774" s="53"/>
      <c r="O774" s="46"/>
      <c r="P774" s="47"/>
      <c r="Q774" s="48"/>
      <c r="R774" s="49"/>
      <c r="S774" s="54" t="str">
        <f aca="false">IF(OR($AC774=0,$U774="",$M774="",$V774="",$W774=""),"",IF(COUNTIFS(m_teacher,$M774,m_date,$U774,m_active,1,m_start,"&lt;"&amp;$W774,m_end,"&gt;"&amp;$V774)&gt;1,"충돌",""))</f>
        <v/>
      </c>
      <c r="T774" s="48"/>
      <c r="U774" s="55" t="str">
        <f aca="false">IF($G774="","",IFERROR(IF(ISNUMBER($G774),IF($G774&gt;19000000,DATE(INT($G774/10000),MOD(INT($G774/100),100),MOD($G774,100)),INT($G774)),IF(LEN(SUBSTITUTE(SUBSTITUTE(SUBSTITUTE(TRIM($G774),"-",""),".",""),"/",""))=8,DATE(VALUE(LEFT(SUBSTITUTE(SUBSTITUTE(SUBSTITUTE(TRIM($G774),"-",""),".",""),"/",""),4)),VALUE(MID(SUBSTITUTE(SUBSTITUTE(SUBSTITUTE(TRIM($G774),"-",""),".",""),"/",""),5,2)),VALUE(RIGHT(SUBSTITUTE(SUBSTITUTE(SUBSTITUTE(TRIM($G774),"-",""),".",""),"/",""),2))),DATEVALUE($G774))),""))</f>
        <v/>
      </c>
      <c r="V774" s="52" t="str">
        <f aca="false">IF($H774="","",IFERROR(IF(IF(ISNUMBER($H774),$H774,IFERROR(TIMEVALUE($H774),VALUE($H774)))&gt;=100,INT(IF(ISNUMBER($H774),$H774,IFERROR(TIMEVALUE($H774),VALUE($H774)))/100)*60+MOD(IF(ISNUMBER($H774),$H774,IFERROR(TIMEVALUE($H774),VALUE($H774))),100),IF(IF(ISNUMBER($H774),$H774,IFERROR(TIMEVALUE($H774),VALUE($H774)))&gt;=1,ROUND(IF(ISNUMBER($H774),$H774,IFERROR(TIMEVALUE($H774),VALUE($H774)))*60,0),ROUND(MOD(IF(ISNUMBER($H774),$H774,IFERROR(TIMEVALUE($H774),VALUE($H774))),1)*1440,0))),""))</f>
        <v/>
      </c>
      <c r="W774" s="52" t="str">
        <f aca="false">IF($I774="","",IFERROR(IF(IF(ISNUMBER($I774),$I774,IFERROR(TIMEVALUE($I774),VALUE($I774)))&gt;=100,INT(IF(ISNUMBER($I774),$I774,IFERROR(TIMEVALUE($I774),VALUE($I774)))/100)*60+MOD(IF(ISNUMBER($I774),$I774,IFERROR(TIMEVALUE($I774),VALUE($I774))),100),IF(IF(ISNUMBER($I774),$I774,IFERROR(TIMEVALUE($I774),VALUE($I774)))&gt;=1,ROUND(IF(ISNUMBER($I774),$I774,IFERROR(TIMEVALUE($I774),VALUE($I774)))*60,0),ROUND(MOD(IF(ISNUMBER($I774),$I774,IFERROR(TIMEVALUE($I774),VALUE($I774))),1)*1440,0))),""))</f>
        <v/>
      </c>
      <c r="X774" s="55" t="str">
        <f aca="false">IF($P774="","",IFERROR(IF(ISNUMBER($P774),IF($P774&gt;19000000,DATE(INT($P774/10000),MOD(INT($P774/100),100),MOD($P774,100)),INT($P774)),IF(LEN(SUBSTITUTE(SUBSTITUTE(SUBSTITUTE(TRIM($P774),"-",""),".",""),"/",""))=8,DATE(VALUE(LEFT(SUBSTITUTE(SUBSTITUTE(SUBSTITUTE(TRIM($P774),"-",""),".",""),"/",""),4)),VALUE(MID(SUBSTITUTE(SUBSTITUTE(SUBSTITUTE(TRIM($P774),"-",""),".",""),"/",""),5,2)),VALUE(RIGHT(SUBSTITUTE(SUBSTITUTE(SUBSTITUTE(TRIM($P774),"-",""),".",""),"/",""),2))),DATEVALUE($P774))),""))</f>
        <v/>
      </c>
      <c r="Y774" s="56" t="str">
        <f aca="false">IF($M774="","",IFERROR(INDEX(강사DB!$D$4:$D$53,MATCH($M774,강사DB!$A$4:$A$53,0)),""))</f>
        <v/>
      </c>
      <c r="Z774" s="56" t="str">
        <f aca="false">IF($B774&lt;&gt;"결제완료","",IF(OR($Y774="",$J774=""),"",$Y774*$J774+MAX(0,N($K774)-1)*설정!$J$7))</f>
        <v/>
      </c>
      <c r="AA774" s="56" t="str">
        <f aca="false">IF(AND($D774&lt;&gt;"",$B774="결제완료"),N($N774),"")</f>
        <v/>
      </c>
      <c r="AB774" s="45" t="str">
        <f aca="false">IF($D774="","",IF($F774&lt;&gt;"",$F774,$D774)&amp;IF($B774="상담중"," (상담)",""))</f>
        <v/>
      </c>
      <c r="AC774" s="45" t="n">
        <f aca="false">IF(AND($D774&lt;&gt;"",OR($B774="결제완료",$B774="상담중")),1,0)</f>
        <v>0</v>
      </c>
      <c r="AD774" s="45" t="n">
        <f aca="false">IF(OR($Z774="",$U774=""),0,IFERROR(IF(COUNTIFS(INDEX(g_grid,0,2*MATCH($M774,강사DB!$A$4:$A$15,0)),"&lt;&gt;",g_s,"&lt;="&amp;$U774,g_e,"&gt;="&amp;$U774)&gt;0,1,0),0))</f>
        <v>0</v>
      </c>
      <c r="AE774" s="48"/>
      <c r="AF774" s="56" t="str">
        <f aca="false">IF(AND($D774&lt;&gt;"",$B774="결제완료",$T774="대여"),설정!$J$5,"")</f>
        <v/>
      </c>
      <c r="AG774" s="54" t="str">
        <f aca="false">IF($D774="","",IF(AND($E774="",$R774=""),$AB774,"☎ "&amp;IF($E774="","-",$E774)&amp;IF($R774&lt;&gt;"","  ※ "&amp;$R774,"")&amp;IF($B774="상담중"," (상담)","")))</f>
        <v/>
      </c>
      <c r="AH774" s="56" t="str">
        <f aca="false">IF(AND($D774&lt;&gt;"",$B774="결제완료",$O774="스마트스토어"),ROUND(N($N774)*설정!$J$6,0),"")</f>
        <v/>
      </c>
      <c r="AI774" s="54" t="str">
        <f aca="false">IF($D774="","",ROW())</f>
        <v/>
      </c>
      <c r="AJ774" s="54" t="n">
        <f aca="false">IF(OR($AC774&lt;&gt;1,$M774=""),0,IF(ISNUMBER(SEARCH("퇴사",IFERROR(INDEX(강사DB!$G$4:$G$53,MATCH($M774,강사DB!$A$4:$A$53,0)),""))),1,0))</f>
        <v>0</v>
      </c>
    </row>
    <row r="775" customFormat="false" ht="15" hidden="false" customHeight="false" outlineLevel="0" collapsed="false">
      <c r="A775" s="45" t="str">
        <f aca="false">IF($D775="","",COUNTA($D$5:$D775))</f>
        <v/>
      </c>
      <c r="B775" s="46"/>
      <c r="C775" s="47"/>
      <c r="D775" s="48"/>
      <c r="E775" s="48"/>
      <c r="F775" s="49"/>
      <c r="G775" s="47"/>
      <c r="H775" s="50"/>
      <c r="I775" s="50"/>
      <c r="J775" s="51" t="str">
        <f aca="false">IF(OR($V775="",$W775=""),"",ROUND(($W775-$V775)/60,2))</f>
        <v/>
      </c>
      <c r="K775" s="52" t="str">
        <f aca="false">IF($F775="","",LEN($F775)-LEN(SUBSTITUTE($F775,",",""))+1)</f>
        <v/>
      </c>
      <c r="L775" s="45" t="str">
        <f aca="false">IF($K775="","","1:"&amp;$K775)</f>
        <v/>
      </c>
      <c r="M775" s="46"/>
      <c r="N775" s="53"/>
      <c r="O775" s="46"/>
      <c r="P775" s="47"/>
      <c r="Q775" s="48"/>
      <c r="R775" s="49"/>
      <c r="S775" s="54" t="str">
        <f aca="false">IF(OR($AC775=0,$U775="",$M775="",$V775="",$W775=""),"",IF(COUNTIFS(m_teacher,$M775,m_date,$U775,m_active,1,m_start,"&lt;"&amp;$W775,m_end,"&gt;"&amp;$V775)&gt;1,"충돌",""))</f>
        <v/>
      </c>
      <c r="T775" s="48"/>
      <c r="U775" s="55" t="str">
        <f aca="false">IF($G775="","",IFERROR(IF(ISNUMBER($G775),IF($G775&gt;19000000,DATE(INT($G775/10000),MOD(INT($G775/100),100),MOD($G775,100)),INT($G775)),IF(LEN(SUBSTITUTE(SUBSTITUTE(SUBSTITUTE(TRIM($G775),"-",""),".",""),"/",""))=8,DATE(VALUE(LEFT(SUBSTITUTE(SUBSTITUTE(SUBSTITUTE(TRIM($G775),"-",""),".",""),"/",""),4)),VALUE(MID(SUBSTITUTE(SUBSTITUTE(SUBSTITUTE(TRIM($G775),"-",""),".",""),"/",""),5,2)),VALUE(RIGHT(SUBSTITUTE(SUBSTITUTE(SUBSTITUTE(TRIM($G775),"-",""),".",""),"/",""),2))),DATEVALUE($G775))),""))</f>
        <v/>
      </c>
      <c r="V775" s="52" t="str">
        <f aca="false">IF($H775="","",IFERROR(IF(IF(ISNUMBER($H775),$H775,IFERROR(TIMEVALUE($H775),VALUE($H775)))&gt;=100,INT(IF(ISNUMBER($H775),$H775,IFERROR(TIMEVALUE($H775),VALUE($H775)))/100)*60+MOD(IF(ISNUMBER($H775),$H775,IFERROR(TIMEVALUE($H775),VALUE($H775))),100),IF(IF(ISNUMBER($H775),$H775,IFERROR(TIMEVALUE($H775),VALUE($H775)))&gt;=1,ROUND(IF(ISNUMBER($H775),$H775,IFERROR(TIMEVALUE($H775),VALUE($H775)))*60,0),ROUND(MOD(IF(ISNUMBER($H775),$H775,IFERROR(TIMEVALUE($H775),VALUE($H775))),1)*1440,0))),""))</f>
        <v/>
      </c>
      <c r="W775" s="52" t="str">
        <f aca="false">IF($I775="","",IFERROR(IF(IF(ISNUMBER($I775),$I775,IFERROR(TIMEVALUE($I775),VALUE($I775)))&gt;=100,INT(IF(ISNUMBER($I775),$I775,IFERROR(TIMEVALUE($I775),VALUE($I775)))/100)*60+MOD(IF(ISNUMBER($I775),$I775,IFERROR(TIMEVALUE($I775),VALUE($I775))),100),IF(IF(ISNUMBER($I775),$I775,IFERROR(TIMEVALUE($I775),VALUE($I775)))&gt;=1,ROUND(IF(ISNUMBER($I775),$I775,IFERROR(TIMEVALUE($I775),VALUE($I775)))*60,0),ROUND(MOD(IF(ISNUMBER($I775),$I775,IFERROR(TIMEVALUE($I775),VALUE($I775))),1)*1440,0))),""))</f>
        <v/>
      </c>
      <c r="X775" s="55" t="str">
        <f aca="false">IF($P775="","",IFERROR(IF(ISNUMBER($P775),IF($P775&gt;19000000,DATE(INT($P775/10000),MOD(INT($P775/100),100),MOD($P775,100)),INT($P775)),IF(LEN(SUBSTITUTE(SUBSTITUTE(SUBSTITUTE(TRIM($P775),"-",""),".",""),"/",""))=8,DATE(VALUE(LEFT(SUBSTITUTE(SUBSTITUTE(SUBSTITUTE(TRIM($P775),"-",""),".",""),"/",""),4)),VALUE(MID(SUBSTITUTE(SUBSTITUTE(SUBSTITUTE(TRIM($P775),"-",""),".",""),"/",""),5,2)),VALUE(RIGHT(SUBSTITUTE(SUBSTITUTE(SUBSTITUTE(TRIM($P775),"-",""),".",""),"/",""),2))),DATEVALUE($P775))),""))</f>
        <v/>
      </c>
      <c r="Y775" s="56" t="str">
        <f aca="false">IF($M775="","",IFERROR(INDEX(강사DB!$D$4:$D$53,MATCH($M775,강사DB!$A$4:$A$53,0)),""))</f>
        <v/>
      </c>
      <c r="Z775" s="56" t="str">
        <f aca="false">IF($B775&lt;&gt;"결제완료","",IF(OR($Y775="",$J775=""),"",$Y775*$J775+MAX(0,N($K775)-1)*설정!$J$7))</f>
        <v/>
      </c>
      <c r="AA775" s="56" t="str">
        <f aca="false">IF(AND($D775&lt;&gt;"",$B775="결제완료"),N($N775),"")</f>
        <v/>
      </c>
      <c r="AB775" s="45" t="str">
        <f aca="false">IF($D775="","",IF($F775&lt;&gt;"",$F775,$D775)&amp;IF($B775="상담중"," (상담)",""))</f>
        <v/>
      </c>
      <c r="AC775" s="45" t="n">
        <f aca="false">IF(AND($D775&lt;&gt;"",OR($B775="결제완료",$B775="상담중")),1,0)</f>
        <v>0</v>
      </c>
      <c r="AD775" s="45" t="n">
        <f aca="false">IF(OR($Z775="",$U775=""),0,IFERROR(IF(COUNTIFS(INDEX(g_grid,0,2*MATCH($M775,강사DB!$A$4:$A$15,0)),"&lt;&gt;",g_s,"&lt;="&amp;$U775,g_e,"&gt;="&amp;$U775)&gt;0,1,0),0))</f>
        <v>0</v>
      </c>
      <c r="AE775" s="48"/>
      <c r="AF775" s="56" t="str">
        <f aca="false">IF(AND($D775&lt;&gt;"",$B775="결제완료",$T775="대여"),설정!$J$5,"")</f>
        <v/>
      </c>
      <c r="AG775" s="54" t="str">
        <f aca="false">IF($D775="","",IF(AND($E775="",$R775=""),$AB775,"☎ "&amp;IF($E775="","-",$E775)&amp;IF($R775&lt;&gt;"","  ※ "&amp;$R775,"")&amp;IF($B775="상담중"," (상담)","")))</f>
        <v/>
      </c>
      <c r="AH775" s="56" t="str">
        <f aca="false">IF(AND($D775&lt;&gt;"",$B775="결제완료",$O775="스마트스토어"),ROUND(N($N775)*설정!$J$6,0),"")</f>
        <v/>
      </c>
      <c r="AI775" s="54" t="str">
        <f aca="false">IF($D775="","",ROW())</f>
        <v/>
      </c>
      <c r="AJ775" s="54" t="n">
        <f aca="false">IF(OR($AC775&lt;&gt;1,$M775=""),0,IF(ISNUMBER(SEARCH("퇴사",IFERROR(INDEX(강사DB!$G$4:$G$53,MATCH($M775,강사DB!$A$4:$A$53,0)),""))),1,0))</f>
        <v>0</v>
      </c>
    </row>
    <row r="776" customFormat="false" ht="15" hidden="false" customHeight="false" outlineLevel="0" collapsed="false">
      <c r="A776" s="45" t="str">
        <f aca="false">IF($D776="","",COUNTA($D$5:$D776))</f>
        <v/>
      </c>
      <c r="B776" s="46"/>
      <c r="C776" s="47"/>
      <c r="D776" s="48"/>
      <c r="E776" s="48"/>
      <c r="F776" s="49"/>
      <c r="G776" s="47"/>
      <c r="H776" s="50"/>
      <c r="I776" s="50"/>
      <c r="J776" s="51" t="str">
        <f aca="false">IF(OR($V776="",$W776=""),"",ROUND(($W776-$V776)/60,2))</f>
        <v/>
      </c>
      <c r="K776" s="52" t="str">
        <f aca="false">IF($F776="","",LEN($F776)-LEN(SUBSTITUTE($F776,",",""))+1)</f>
        <v/>
      </c>
      <c r="L776" s="45" t="str">
        <f aca="false">IF($K776="","","1:"&amp;$K776)</f>
        <v/>
      </c>
      <c r="M776" s="46"/>
      <c r="N776" s="53"/>
      <c r="O776" s="46"/>
      <c r="P776" s="47"/>
      <c r="Q776" s="48"/>
      <c r="R776" s="49"/>
      <c r="S776" s="54" t="str">
        <f aca="false">IF(OR($AC776=0,$U776="",$M776="",$V776="",$W776=""),"",IF(COUNTIFS(m_teacher,$M776,m_date,$U776,m_active,1,m_start,"&lt;"&amp;$W776,m_end,"&gt;"&amp;$V776)&gt;1,"충돌",""))</f>
        <v/>
      </c>
      <c r="T776" s="48"/>
      <c r="U776" s="55" t="str">
        <f aca="false">IF($G776="","",IFERROR(IF(ISNUMBER($G776),IF($G776&gt;19000000,DATE(INT($G776/10000),MOD(INT($G776/100),100),MOD($G776,100)),INT($G776)),IF(LEN(SUBSTITUTE(SUBSTITUTE(SUBSTITUTE(TRIM($G776),"-",""),".",""),"/",""))=8,DATE(VALUE(LEFT(SUBSTITUTE(SUBSTITUTE(SUBSTITUTE(TRIM($G776),"-",""),".",""),"/",""),4)),VALUE(MID(SUBSTITUTE(SUBSTITUTE(SUBSTITUTE(TRIM($G776),"-",""),".",""),"/",""),5,2)),VALUE(RIGHT(SUBSTITUTE(SUBSTITUTE(SUBSTITUTE(TRIM($G776),"-",""),".",""),"/",""),2))),DATEVALUE($G776))),""))</f>
        <v/>
      </c>
      <c r="V776" s="52" t="str">
        <f aca="false">IF($H776="","",IFERROR(IF(IF(ISNUMBER($H776),$H776,IFERROR(TIMEVALUE($H776),VALUE($H776)))&gt;=100,INT(IF(ISNUMBER($H776),$H776,IFERROR(TIMEVALUE($H776),VALUE($H776)))/100)*60+MOD(IF(ISNUMBER($H776),$H776,IFERROR(TIMEVALUE($H776),VALUE($H776))),100),IF(IF(ISNUMBER($H776),$H776,IFERROR(TIMEVALUE($H776),VALUE($H776)))&gt;=1,ROUND(IF(ISNUMBER($H776),$H776,IFERROR(TIMEVALUE($H776),VALUE($H776)))*60,0),ROUND(MOD(IF(ISNUMBER($H776),$H776,IFERROR(TIMEVALUE($H776),VALUE($H776))),1)*1440,0))),""))</f>
        <v/>
      </c>
      <c r="W776" s="52" t="str">
        <f aca="false">IF($I776="","",IFERROR(IF(IF(ISNUMBER($I776),$I776,IFERROR(TIMEVALUE($I776),VALUE($I776)))&gt;=100,INT(IF(ISNUMBER($I776),$I776,IFERROR(TIMEVALUE($I776),VALUE($I776)))/100)*60+MOD(IF(ISNUMBER($I776),$I776,IFERROR(TIMEVALUE($I776),VALUE($I776))),100),IF(IF(ISNUMBER($I776),$I776,IFERROR(TIMEVALUE($I776),VALUE($I776)))&gt;=1,ROUND(IF(ISNUMBER($I776),$I776,IFERROR(TIMEVALUE($I776),VALUE($I776)))*60,0),ROUND(MOD(IF(ISNUMBER($I776),$I776,IFERROR(TIMEVALUE($I776),VALUE($I776))),1)*1440,0))),""))</f>
        <v/>
      </c>
      <c r="X776" s="55" t="str">
        <f aca="false">IF($P776="","",IFERROR(IF(ISNUMBER($P776),IF($P776&gt;19000000,DATE(INT($P776/10000),MOD(INT($P776/100),100),MOD($P776,100)),INT($P776)),IF(LEN(SUBSTITUTE(SUBSTITUTE(SUBSTITUTE(TRIM($P776),"-",""),".",""),"/",""))=8,DATE(VALUE(LEFT(SUBSTITUTE(SUBSTITUTE(SUBSTITUTE(TRIM($P776),"-",""),".",""),"/",""),4)),VALUE(MID(SUBSTITUTE(SUBSTITUTE(SUBSTITUTE(TRIM($P776),"-",""),".",""),"/",""),5,2)),VALUE(RIGHT(SUBSTITUTE(SUBSTITUTE(SUBSTITUTE(TRIM($P776),"-",""),".",""),"/",""),2))),DATEVALUE($P776))),""))</f>
        <v/>
      </c>
      <c r="Y776" s="56" t="str">
        <f aca="false">IF($M776="","",IFERROR(INDEX(강사DB!$D$4:$D$53,MATCH($M776,강사DB!$A$4:$A$53,0)),""))</f>
        <v/>
      </c>
      <c r="Z776" s="56" t="str">
        <f aca="false">IF($B776&lt;&gt;"결제완료","",IF(OR($Y776="",$J776=""),"",$Y776*$J776+MAX(0,N($K776)-1)*설정!$J$7))</f>
        <v/>
      </c>
      <c r="AA776" s="56" t="str">
        <f aca="false">IF(AND($D776&lt;&gt;"",$B776="결제완료"),N($N776),"")</f>
        <v/>
      </c>
      <c r="AB776" s="45" t="str">
        <f aca="false">IF($D776="","",IF($F776&lt;&gt;"",$F776,$D776)&amp;IF($B776="상담중"," (상담)",""))</f>
        <v/>
      </c>
      <c r="AC776" s="45" t="n">
        <f aca="false">IF(AND($D776&lt;&gt;"",OR($B776="결제완료",$B776="상담중")),1,0)</f>
        <v>0</v>
      </c>
      <c r="AD776" s="45" t="n">
        <f aca="false">IF(OR($Z776="",$U776=""),0,IFERROR(IF(COUNTIFS(INDEX(g_grid,0,2*MATCH($M776,강사DB!$A$4:$A$15,0)),"&lt;&gt;",g_s,"&lt;="&amp;$U776,g_e,"&gt;="&amp;$U776)&gt;0,1,0),0))</f>
        <v>0</v>
      </c>
      <c r="AE776" s="48"/>
      <c r="AF776" s="56" t="str">
        <f aca="false">IF(AND($D776&lt;&gt;"",$B776="결제완료",$T776="대여"),설정!$J$5,"")</f>
        <v/>
      </c>
      <c r="AG776" s="54" t="str">
        <f aca="false">IF($D776="","",IF(AND($E776="",$R776=""),$AB776,"☎ "&amp;IF($E776="","-",$E776)&amp;IF($R776&lt;&gt;"","  ※ "&amp;$R776,"")&amp;IF($B776="상담중"," (상담)","")))</f>
        <v/>
      </c>
      <c r="AH776" s="56" t="str">
        <f aca="false">IF(AND($D776&lt;&gt;"",$B776="결제완료",$O776="스마트스토어"),ROUND(N($N776)*설정!$J$6,0),"")</f>
        <v/>
      </c>
      <c r="AI776" s="54" t="str">
        <f aca="false">IF($D776="","",ROW())</f>
        <v/>
      </c>
      <c r="AJ776" s="54" t="n">
        <f aca="false">IF(OR($AC776&lt;&gt;1,$M776=""),0,IF(ISNUMBER(SEARCH("퇴사",IFERROR(INDEX(강사DB!$G$4:$G$53,MATCH($M776,강사DB!$A$4:$A$53,0)),""))),1,0))</f>
        <v>0</v>
      </c>
    </row>
    <row r="777" customFormat="false" ht="15" hidden="false" customHeight="false" outlineLevel="0" collapsed="false">
      <c r="A777" s="45" t="str">
        <f aca="false">IF($D777="","",COUNTA($D$5:$D777))</f>
        <v/>
      </c>
      <c r="B777" s="46"/>
      <c r="C777" s="47"/>
      <c r="D777" s="48"/>
      <c r="E777" s="48"/>
      <c r="F777" s="49"/>
      <c r="G777" s="47"/>
      <c r="H777" s="50"/>
      <c r="I777" s="50"/>
      <c r="J777" s="51" t="str">
        <f aca="false">IF(OR($V777="",$W777=""),"",ROUND(($W777-$V777)/60,2))</f>
        <v/>
      </c>
      <c r="K777" s="52" t="str">
        <f aca="false">IF($F777="","",LEN($F777)-LEN(SUBSTITUTE($F777,",",""))+1)</f>
        <v/>
      </c>
      <c r="L777" s="45" t="str">
        <f aca="false">IF($K777="","","1:"&amp;$K777)</f>
        <v/>
      </c>
      <c r="M777" s="46"/>
      <c r="N777" s="53"/>
      <c r="O777" s="46"/>
      <c r="P777" s="47"/>
      <c r="Q777" s="48"/>
      <c r="R777" s="49"/>
      <c r="S777" s="54" t="str">
        <f aca="false">IF(OR($AC777=0,$U777="",$M777="",$V777="",$W777=""),"",IF(COUNTIFS(m_teacher,$M777,m_date,$U777,m_active,1,m_start,"&lt;"&amp;$W777,m_end,"&gt;"&amp;$V777)&gt;1,"충돌",""))</f>
        <v/>
      </c>
      <c r="T777" s="48"/>
      <c r="U777" s="55" t="str">
        <f aca="false">IF($G777="","",IFERROR(IF(ISNUMBER($G777),IF($G777&gt;19000000,DATE(INT($G777/10000),MOD(INT($G777/100),100),MOD($G777,100)),INT($G777)),IF(LEN(SUBSTITUTE(SUBSTITUTE(SUBSTITUTE(TRIM($G777),"-",""),".",""),"/",""))=8,DATE(VALUE(LEFT(SUBSTITUTE(SUBSTITUTE(SUBSTITUTE(TRIM($G777),"-",""),".",""),"/",""),4)),VALUE(MID(SUBSTITUTE(SUBSTITUTE(SUBSTITUTE(TRIM($G777),"-",""),".",""),"/",""),5,2)),VALUE(RIGHT(SUBSTITUTE(SUBSTITUTE(SUBSTITUTE(TRIM($G777),"-",""),".",""),"/",""),2))),DATEVALUE($G777))),""))</f>
        <v/>
      </c>
      <c r="V777" s="52" t="str">
        <f aca="false">IF($H777="","",IFERROR(IF(IF(ISNUMBER($H777),$H777,IFERROR(TIMEVALUE($H777),VALUE($H777)))&gt;=100,INT(IF(ISNUMBER($H777),$H777,IFERROR(TIMEVALUE($H777),VALUE($H777)))/100)*60+MOD(IF(ISNUMBER($H777),$H777,IFERROR(TIMEVALUE($H777),VALUE($H777))),100),IF(IF(ISNUMBER($H777),$H777,IFERROR(TIMEVALUE($H777),VALUE($H777)))&gt;=1,ROUND(IF(ISNUMBER($H777),$H777,IFERROR(TIMEVALUE($H777),VALUE($H777)))*60,0),ROUND(MOD(IF(ISNUMBER($H777),$H777,IFERROR(TIMEVALUE($H777),VALUE($H777))),1)*1440,0))),""))</f>
        <v/>
      </c>
      <c r="W777" s="52" t="str">
        <f aca="false">IF($I777="","",IFERROR(IF(IF(ISNUMBER($I777),$I777,IFERROR(TIMEVALUE($I777),VALUE($I777)))&gt;=100,INT(IF(ISNUMBER($I777),$I777,IFERROR(TIMEVALUE($I777),VALUE($I777)))/100)*60+MOD(IF(ISNUMBER($I777),$I777,IFERROR(TIMEVALUE($I777),VALUE($I777))),100),IF(IF(ISNUMBER($I777),$I777,IFERROR(TIMEVALUE($I777),VALUE($I777)))&gt;=1,ROUND(IF(ISNUMBER($I777),$I777,IFERROR(TIMEVALUE($I777),VALUE($I777)))*60,0),ROUND(MOD(IF(ISNUMBER($I777),$I777,IFERROR(TIMEVALUE($I777),VALUE($I777))),1)*1440,0))),""))</f>
        <v/>
      </c>
      <c r="X777" s="55" t="str">
        <f aca="false">IF($P777="","",IFERROR(IF(ISNUMBER($P777),IF($P777&gt;19000000,DATE(INT($P777/10000),MOD(INT($P777/100),100),MOD($P777,100)),INT($P777)),IF(LEN(SUBSTITUTE(SUBSTITUTE(SUBSTITUTE(TRIM($P777),"-",""),".",""),"/",""))=8,DATE(VALUE(LEFT(SUBSTITUTE(SUBSTITUTE(SUBSTITUTE(TRIM($P777),"-",""),".",""),"/",""),4)),VALUE(MID(SUBSTITUTE(SUBSTITUTE(SUBSTITUTE(TRIM($P777),"-",""),".",""),"/",""),5,2)),VALUE(RIGHT(SUBSTITUTE(SUBSTITUTE(SUBSTITUTE(TRIM($P777),"-",""),".",""),"/",""),2))),DATEVALUE($P777))),""))</f>
        <v/>
      </c>
      <c r="Y777" s="56" t="str">
        <f aca="false">IF($M777="","",IFERROR(INDEX(강사DB!$D$4:$D$53,MATCH($M777,강사DB!$A$4:$A$53,0)),""))</f>
        <v/>
      </c>
      <c r="Z777" s="56" t="str">
        <f aca="false">IF($B777&lt;&gt;"결제완료","",IF(OR($Y777="",$J777=""),"",$Y777*$J777+MAX(0,N($K777)-1)*설정!$J$7))</f>
        <v/>
      </c>
      <c r="AA777" s="56" t="str">
        <f aca="false">IF(AND($D777&lt;&gt;"",$B777="결제완료"),N($N777),"")</f>
        <v/>
      </c>
      <c r="AB777" s="45" t="str">
        <f aca="false">IF($D777="","",IF($F777&lt;&gt;"",$F777,$D777)&amp;IF($B777="상담중"," (상담)",""))</f>
        <v/>
      </c>
      <c r="AC777" s="45" t="n">
        <f aca="false">IF(AND($D777&lt;&gt;"",OR($B777="결제완료",$B777="상담중")),1,0)</f>
        <v>0</v>
      </c>
      <c r="AD777" s="45" t="n">
        <f aca="false">IF(OR($Z777="",$U777=""),0,IFERROR(IF(COUNTIFS(INDEX(g_grid,0,2*MATCH($M777,강사DB!$A$4:$A$15,0)),"&lt;&gt;",g_s,"&lt;="&amp;$U777,g_e,"&gt;="&amp;$U777)&gt;0,1,0),0))</f>
        <v>0</v>
      </c>
      <c r="AE777" s="48"/>
      <c r="AF777" s="56" t="str">
        <f aca="false">IF(AND($D777&lt;&gt;"",$B777="결제완료",$T777="대여"),설정!$J$5,"")</f>
        <v/>
      </c>
      <c r="AG777" s="54" t="str">
        <f aca="false">IF($D777="","",IF(AND($E777="",$R777=""),$AB777,"☎ "&amp;IF($E777="","-",$E777)&amp;IF($R777&lt;&gt;"","  ※ "&amp;$R777,"")&amp;IF($B777="상담중"," (상담)","")))</f>
        <v/>
      </c>
      <c r="AH777" s="56" t="str">
        <f aca="false">IF(AND($D777&lt;&gt;"",$B777="결제완료",$O777="스마트스토어"),ROUND(N($N777)*설정!$J$6,0),"")</f>
        <v/>
      </c>
      <c r="AI777" s="54" t="str">
        <f aca="false">IF($D777="","",ROW())</f>
        <v/>
      </c>
      <c r="AJ777" s="54" t="n">
        <f aca="false">IF(OR($AC777&lt;&gt;1,$M777=""),0,IF(ISNUMBER(SEARCH("퇴사",IFERROR(INDEX(강사DB!$G$4:$G$53,MATCH($M777,강사DB!$A$4:$A$53,0)),""))),1,0))</f>
        <v>0</v>
      </c>
    </row>
    <row r="778" customFormat="false" ht="15" hidden="false" customHeight="false" outlineLevel="0" collapsed="false">
      <c r="A778" s="45" t="str">
        <f aca="false">IF($D778="","",COUNTA($D$5:$D778))</f>
        <v/>
      </c>
      <c r="B778" s="46"/>
      <c r="C778" s="47"/>
      <c r="D778" s="48"/>
      <c r="E778" s="48"/>
      <c r="F778" s="49"/>
      <c r="G778" s="47"/>
      <c r="H778" s="50"/>
      <c r="I778" s="50"/>
      <c r="J778" s="51" t="str">
        <f aca="false">IF(OR($V778="",$W778=""),"",ROUND(($W778-$V778)/60,2))</f>
        <v/>
      </c>
      <c r="K778" s="52" t="str">
        <f aca="false">IF($F778="","",LEN($F778)-LEN(SUBSTITUTE($F778,",",""))+1)</f>
        <v/>
      </c>
      <c r="L778" s="45" t="str">
        <f aca="false">IF($K778="","","1:"&amp;$K778)</f>
        <v/>
      </c>
      <c r="M778" s="46"/>
      <c r="N778" s="53"/>
      <c r="O778" s="46"/>
      <c r="P778" s="47"/>
      <c r="Q778" s="48"/>
      <c r="R778" s="49"/>
      <c r="S778" s="54" t="str">
        <f aca="false">IF(OR($AC778=0,$U778="",$M778="",$V778="",$W778=""),"",IF(COUNTIFS(m_teacher,$M778,m_date,$U778,m_active,1,m_start,"&lt;"&amp;$W778,m_end,"&gt;"&amp;$V778)&gt;1,"충돌",""))</f>
        <v/>
      </c>
      <c r="T778" s="48"/>
      <c r="U778" s="55" t="str">
        <f aca="false">IF($G778="","",IFERROR(IF(ISNUMBER($G778),IF($G778&gt;19000000,DATE(INT($G778/10000),MOD(INT($G778/100),100),MOD($G778,100)),INT($G778)),IF(LEN(SUBSTITUTE(SUBSTITUTE(SUBSTITUTE(TRIM($G778),"-",""),".",""),"/",""))=8,DATE(VALUE(LEFT(SUBSTITUTE(SUBSTITUTE(SUBSTITUTE(TRIM($G778),"-",""),".",""),"/",""),4)),VALUE(MID(SUBSTITUTE(SUBSTITUTE(SUBSTITUTE(TRIM($G778),"-",""),".",""),"/",""),5,2)),VALUE(RIGHT(SUBSTITUTE(SUBSTITUTE(SUBSTITUTE(TRIM($G778),"-",""),".",""),"/",""),2))),DATEVALUE($G778))),""))</f>
        <v/>
      </c>
      <c r="V778" s="52" t="str">
        <f aca="false">IF($H778="","",IFERROR(IF(IF(ISNUMBER($H778),$H778,IFERROR(TIMEVALUE($H778),VALUE($H778)))&gt;=100,INT(IF(ISNUMBER($H778),$H778,IFERROR(TIMEVALUE($H778),VALUE($H778)))/100)*60+MOD(IF(ISNUMBER($H778),$H778,IFERROR(TIMEVALUE($H778),VALUE($H778))),100),IF(IF(ISNUMBER($H778),$H778,IFERROR(TIMEVALUE($H778),VALUE($H778)))&gt;=1,ROUND(IF(ISNUMBER($H778),$H778,IFERROR(TIMEVALUE($H778),VALUE($H778)))*60,0),ROUND(MOD(IF(ISNUMBER($H778),$H778,IFERROR(TIMEVALUE($H778),VALUE($H778))),1)*1440,0))),""))</f>
        <v/>
      </c>
      <c r="W778" s="52" t="str">
        <f aca="false">IF($I778="","",IFERROR(IF(IF(ISNUMBER($I778),$I778,IFERROR(TIMEVALUE($I778),VALUE($I778)))&gt;=100,INT(IF(ISNUMBER($I778),$I778,IFERROR(TIMEVALUE($I778),VALUE($I778)))/100)*60+MOD(IF(ISNUMBER($I778),$I778,IFERROR(TIMEVALUE($I778),VALUE($I778))),100),IF(IF(ISNUMBER($I778),$I778,IFERROR(TIMEVALUE($I778),VALUE($I778)))&gt;=1,ROUND(IF(ISNUMBER($I778),$I778,IFERROR(TIMEVALUE($I778),VALUE($I778)))*60,0),ROUND(MOD(IF(ISNUMBER($I778),$I778,IFERROR(TIMEVALUE($I778),VALUE($I778))),1)*1440,0))),""))</f>
        <v/>
      </c>
      <c r="X778" s="55" t="str">
        <f aca="false">IF($P778="","",IFERROR(IF(ISNUMBER($P778),IF($P778&gt;19000000,DATE(INT($P778/10000),MOD(INT($P778/100),100),MOD($P778,100)),INT($P778)),IF(LEN(SUBSTITUTE(SUBSTITUTE(SUBSTITUTE(TRIM($P778),"-",""),".",""),"/",""))=8,DATE(VALUE(LEFT(SUBSTITUTE(SUBSTITUTE(SUBSTITUTE(TRIM($P778),"-",""),".",""),"/",""),4)),VALUE(MID(SUBSTITUTE(SUBSTITUTE(SUBSTITUTE(TRIM($P778),"-",""),".",""),"/",""),5,2)),VALUE(RIGHT(SUBSTITUTE(SUBSTITUTE(SUBSTITUTE(TRIM($P778),"-",""),".",""),"/",""),2))),DATEVALUE($P778))),""))</f>
        <v/>
      </c>
      <c r="Y778" s="56" t="str">
        <f aca="false">IF($M778="","",IFERROR(INDEX(강사DB!$D$4:$D$53,MATCH($M778,강사DB!$A$4:$A$53,0)),""))</f>
        <v/>
      </c>
      <c r="Z778" s="56" t="str">
        <f aca="false">IF($B778&lt;&gt;"결제완료","",IF(OR($Y778="",$J778=""),"",$Y778*$J778+MAX(0,N($K778)-1)*설정!$J$7))</f>
        <v/>
      </c>
      <c r="AA778" s="56" t="str">
        <f aca="false">IF(AND($D778&lt;&gt;"",$B778="결제완료"),N($N778),"")</f>
        <v/>
      </c>
      <c r="AB778" s="45" t="str">
        <f aca="false">IF($D778="","",IF($F778&lt;&gt;"",$F778,$D778)&amp;IF($B778="상담중"," (상담)",""))</f>
        <v/>
      </c>
      <c r="AC778" s="45" t="n">
        <f aca="false">IF(AND($D778&lt;&gt;"",OR($B778="결제완료",$B778="상담중")),1,0)</f>
        <v>0</v>
      </c>
      <c r="AD778" s="45" t="n">
        <f aca="false">IF(OR($Z778="",$U778=""),0,IFERROR(IF(COUNTIFS(INDEX(g_grid,0,2*MATCH($M778,강사DB!$A$4:$A$15,0)),"&lt;&gt;",g_s,"&lt;="&amp;$U778,g_e,"&gt;="&amp;$U778)&gt;0,1,0),0))</f>
        <v>0</v>
      </c>
      <c r="AE778" s="48"/>
      <c r="AF778" s="56" t="str">
        <f aca="false">IF(AND($D778&lt;&gt;"",$B778="결제완료",$T778="대여"),설정!$J$5,"")</f>
        <v/>
      </c>
      <c r="AG778" s="54" t="str">
        <f aca="false">IF($D778="","",IF(AND($E778="",$R778=""),$AB778,"☎ "&amp;IF($E778="","-",$E778)&amp;IF($R778&lt;&gt;"","  ※ "&amp;$R778,"")&amp;IF($B778="상담중"," (상담)","")))</f>
        <v/>
      </c>
      <c r="AH778" s="56" t="str">
        <f aca="false">IF(AND($D778&lt;&gt;"",$B778="결제완료",$O778="스마트스토어"),ROUND(N($N778)*설정!$J$6,0),"")</f>
        <v/>
      </c>
      <c r="AI778" s="54" t="str">
        <f aca="false">IF($D778="","",ROW())</f>
        <v/>
      </c>
      <c r="AJ778" s="54" t="n">
        <f aca="false">IF(OR($AC778&lt;&gt;1,$M778=""),0,IF(ISNUMBER(SEARCH("퇴사",IFERROR(INDEX(강사DB!$G$4:$G$53,MATCH($M778,강사DB!$A$4:$A$53,0)),""))),1,0))</f>
        <v>0</v>
      </c>
    </row>
    <row r="779" customFormat="false" ht="15" hidden="false" customHeight="false" outlineLevel="0" collapsed="false">
      <c r="A779" s="45" t="str">
        <f aca="false">IF($D779="","",COUNTA($D$5:$D779))</f>
        <v/>
      </c>
      <c r="B779" s="46"/>
      <c r="C779" s="47"/>
      <c r="D779" s="48"/>
      <c r="E779" s="48"/>
      <c r="F779" s="49"/>
      <c r="G779" s="47"/>
      <c r="H779" s="50"/>
      <c r="I779" s="50"/>
      <c r="J779" s="51" t="str">
        <f aca="false">IF(OR($V779="",$W779=""),"",ROUND(($W779-$V779)/60,2))</f>
        <v/>
      </c>
      <c r="K779" s="52" t="str">
        <f aca="false">IF($F779="","",LEN($F779)-LEN(SUBSTITUTE($F779,",",""))+1)</f>
        <v/>
      </c>
      <c r="L779" s="45" t="str">
        <f aca="false">IF($K779="","","1:"&amp;$K779)</f>
        <v/>
      </c>
      <c r="M779" s="46"/>
      <c r="N779" s="53"/>
      <c r="O779" s="46"/>
      <c r="P779" s="47"/>
      <c r="Q779" s="48"/>
      <c r="R779" s="49"/>
      <c r="S779" s="54" t="str">
        <f aca="false">IF(OR($AC779=0,$U779="",$M779="",$V779="",$W779=""),"",IF(COUNTIFS(m_teacher,$M779,m_date,$U779,m_active,1,m_start,"&lt;"&amp;$W779,m_end,"&gt;"&amp;$V779)&gt;1,"충돌",""))</f>
        <v/>
      </c>
      <c r="T779" s="48"/>
      <c r="U779" s="55" t="str">
        <f aca="false">IF($G779="","",IFERROR(IF(ISNUMBER($G779),IF($G779&gt;19000000,DATE(INT($G779/10000),MOD(INT($G779/100),100),MOD($G779,100)),INT($G779)),IF(LEN(SUBSTITUTE(SUBSTITUTE(SUBSTITUTE(TRIM($G779),"-",""),".",""),"/",""))=8,DATE(VALUE(LEFT(SUBSTITUTE(SUBSTITUTE(SUBSTITUTE(TRIM($G779),"-",""),".",""),"/",""),4)),VALUE(MID(SUBSTITUTE(SUBSTITUTE(SUBSTITUTE(TRIM($G779),"-",""),".",""),"/",""),5,2)),VALUE(RIGHT(SUBSTITUTE(SUBSTITUTE(SUBSTITUTE(TRIM($G779),"-",""),".",""),"/",""),2))),DATEVALUE($G779))),""))</f>
        <v/>
      </c>
      <c r="V779" s="52" t="str">
        <f aca="false">IF($H779="","",IFERROR(IF(IF(ISNUMBER($H779),$H779,IFERROR(TIMEVALUE($H779),VALUE($H779)))&gt;=100,INT(IF(ISNUMBER($H779),$H779,IFERROR(TIMEVALUE($H779),VALUE($H779)))/100)*60+MOD(IF(ISNUMBER($H779),$H779,IFERROR(TIMEVALUE($H779),VALUE($H779))),100),IF(IF(ISNUMBER($H779),$H779,IFERROR(TIMEVALUE($H779),VALUE($H779)))&gt;=1,ROUND(IF(ISNUMBER($H779),$H779,IFERROR(TIMEVALUE($H779),VALUE($H779)))*60,0),ROUND(MOD(IF(ISNUMBER($H779),$H779,IFERROR(TIMEVALUE($H779),VALUE($H779))),1)*1440,0))),""))</f>
        <v/>
      </c>
      <c r="W779" s="52" t="str">
        <f aca="false">IF($I779="","",IFERROR(IF(IF(ISNUMBER($I779),$I779,IFERROR(TIMEVALUE($I779),VALUE($I779)))&gt;=100,INT(IF(ISNUMBER($I779),$I779,IFERROR(TIMEVALUE($I779),VALUE($I779)))/100)*60+MOD(IF(ISNUMBER($I779),$I779,IFERROR(TIMEVALUE($I779),VALUE($I779))),100),IF(IF(ISNUMBER($I779),$I779,IFERROR(TIMEVALUE($I779),VALUE($I779)))&gt;=1,ROUND(IF(ISNUMBER($I779),$I779,IFERROR(TIMEVALUE($I779),VALUE($I779)))*60,0),ROUND(MOD(IF(ISNUMBER($I779),$I779,IFERROR(TIMEVALUE($I779),VALUE($I779))),1)*1440,0))),""))</f>
        <v/>
      </c>
      <c r="X779" s="55" t="str">
        <f aca="false">IF($P779="","",IFERROR(IF(ISNUMBER($P779),IF($P779&gt;19000000,DATE(INT($P779/10000),MOD(INT($P779/100),100),MOD($P779,100)),INT($P779)),IF(LEN(SUBSTITUTE(SUBSTITUTE(SUBSTITUTE(TRIM($P779),"-",""),".",""),"/",""))=8,DATE(VALUE(LEFT(SUBSTITUTE(SUBSTITUTE(SUBSTITUTE(TRIM($P779),"-",""),".",""),"/",""),4)),VALUE(MID(SUBSTITUTE(SUBSTITUTE(SUBSTITUTE(TRIM($P779),"-",""),".",""),"/",""),5,2)),VALUE(RIGHT(SUBSTITUTE(SUBSTITUTE(SUBSTITUTE(TRIM($P779),"-",""),".",""),"/",""),2))),DATEVALUE($P779))),""))</f>
        <v/>
      </c>
      <c r="Y779" s="56" t="str">
        <f aca="false">IF($M779="","",IFERROR(INDEX(강사DB!$D$4:$D$53,MATCH($M779,강사DB!$A$4:$A$53,0)),""))</f>
        <v/>
      </c>
      <c r="Z779" s="56" t="str">
        <f aca="false">IF($B779&lt;&gt;"결제완료","",IF(OR($Y779="",$J779=""),"",$Y779*$J779+MAX(0,N($K779)-1)*설정!$J$7))</f>
        <v/>
      </c>
      <c r="AA779" s="56" t="str">
        <f aca="false">IF(AND($D779&lt;&gt;"",$B779="결제완료"),N($N779),"")</f>
        <v/>
      </c>
      <c r="AB779" s="45" t="str">
        <f aca="false">IF($D779="","",IF($F779&lt;&gt;"",$F779,$D779)&amp;IF($B779="상담중"," (상담)",""))</f>
        <v/>
      </c>
      <c r="AC779" s="45" t="n">
        <f aca="false">IF(AND($D779&lt;&gt;"",OR($B779="결제완료",$B779="상담중")),1,0)</f>
        <v>0</v>
      </c>
      <c r="AD779" s="45" t="n">
        <f aca="false">IF(OR($Z779="",$U779=""),0,IFERROR(IF(COUNTIFS(INDEX(g_grid,0,2*MATCH($M779,강사DB!$A$4:$A$15,0)),"&lt;&gt;",g_s,"&lt;="&amp;$U779,g_e,"&gt;="&amp;$U779)&gt;0,1,0),0))</f>
        <v>0</v>
      </c>
      <c r="AE779" s="48"/>
      <c r="AF779" s="56" t="str">
        <f aca="false">IF(AND($D779&lt;&gt;"",$B779="결제완료",$T779="대여"),설정!$J$5,"")</f>
        <v/>
      </c>
      <c r="AG779" s="54" t="str">
        <f aca="false">IF($D779="","",IF(AND($E779="",$R779=""),$AB779,"☎ "&amp;IF($E779="","-",$E779)&amp;IF($R779&lt;&gt;"","  ※ "&amp;$R779,"")&amp;IF($B779="상담중"," (상담)","")))</f>
        <v/>
      </c>
      <c r="AH779" s="56" t="str">
        <f aca="false">IF(AND($D779&lt;&gt;"",$B779="결제완료",$O779="스마트스토어"),ROUND(N($N779)*설정!$J$6,0),"")</f>
        <v/>
      </c>
      <c r="AI779" s="54" t="str">
        <f aca="false">IF($D779="","",ROW())</f>
        <v/>
      </c>
      <c r="AJ779" s="54" t="n">
        <f aca="false">IF(OR($AC779&lt;&gt;1,$M779=""),0,IF(ISNUMBER(SEARCH("퇴사",IFERROR(INDEX(강사DB!$G$4:$G$53,MATCH($M779,강사DB!$A$4:$A$53,0)),""))),1,0))</f>
        <v>0</v>
      </c>
    </row>
    <row r="780" customFormat="false" ht="15" hidden="false" customHeight="false" outlineLevel="0" collapsed="false">
      <c r="A780" s="45" t="str">
        <f aca="false">IF($D780="","",COUNTA($D$5:$D780))</f>
        <v/>
      </c>
      <c r="B780" s="46"/>
      <c r="C780" s="47"/>
      <c r="D780" s="48"/>
      <c r="E780" s="48"/>
      <c r="F780" s="49"/>
      <c r="G780" s="47"/>
      <c r="H780" s="50"/>
      <c r="I780" s="50"/>
      <c r="J780" s="51" t="str">
        <f aca="false">IF(OR($V780="",$W780=""),"",ROUND(($W780-$V780)/60,2))</f>
        <v/>
      </c>
      <c r="K780" s="52" t="str">
        <f aca="false">IF($F780="","",LEN($F780)-LEN(SUBSTITUTE($F780,",",""))+1)</f>
        <v/>
      </c>
      <c r="L780" s="45" t="str">
        <f aca="false">IF($K780="","","1:"&amp;$K780)</f>
        <v/>
      </c>
      <c r="M780" s="46"/>
      <c r="N780" s="53"/>
      <c r="O780" s="46"/>
      <c r="P780" s="47"/>
      <c r="Q780" s="48"/>
      <c r="R780" s="49"/>
      <c r="S780" s="54" t="str">
        <f aca="false">IF(OR($AC780=0,$U780="",$M780="",$V780="",$W780=""),"",IF(COUNTIFS(m_teacher,$M780,m_date,$U780,m_active,1,m_start,"&lt;"&amp;$W780,m_end,"&gt;"&amp;$V780)&gt;1,"충돌",""))</f>
        <v/>
      </c>
      <c r="T780" s="48"/>
      <c r="U780" s="55" t="str">
        <f aca="false">IF($G780="","",IFERROR(IF(ISNUMBER($G780),IF($G780&gt;19000000,DATE(INT($G780/10000),MOD(INT($G780/100),100),MOD($G780,100)),INT($G780)),IF(LEN(SUBSTITUTE(SUBSTITUTE(SUBSTITUTE(TRIM($G780),"-",""),".",""),"/",""))=8,DATE(VALUE(LEFT(SUBSTITUTE(SUBSTITUTE(SUBSTITUTE(TRIM($G780),"-",""),".",""),"/",""),4)),VALUE(MID(SUBSTITUTE(SUBSTITUTE(SUBSTITUTE(TRIM($G780),"-",""),".",""),"/",""),5,2)),VALUE(RIGHT(SUBSTITUTE(SUBSTITUTE(SUBSTITUTE(TRIM($G780),"-",""),".",""),"/",""),2))),DATEVALUE($G780))),""))</f>
        <v/>
      </c>
      <c r="V780" s="52" t="str">
        <f aca="false">IF($H780="","",IFERROR(IF(IF(ISNUMBER($H780),$H780,IFERROR(TIMEVALUE($H780),VALUE($H780)))&gt;=100,INT(IF(ISNUMBER($H780),$H780,IFERROR(TIMEVALUE($H780),VALUE($H780)))/100)*60+MOD(IF(ISNUMBER($H780),$H780,IFERROR(TIMEVALUE($H780),VALUE($H780))),100),IF(IF(ISNUMBER($H780),$H780,IFERROR(TIMEVALUE($H780),VALUE($H780)))&gt;=1,ROUND(IF(ISNUMBER($H780),$H780,IFERROR(TIMEVALUE($H780),VALUE($H780)))*60,0),ROUND(MOD(IF(ISNUMBER($H780),$H780,IFERROR(TIMEVALUE($H780),VALUE($H780))),1)*1440,0))),""))</f>
        <v/>
      </c>
      <c r="W780" s="52" t="str">
        <f aca="false">IF($I780="","",IFERROR(IF(IF(ISNUMBER($I780),$I780,IFERROR(TIMEVALUE($I780),VALUE($I780)))&gt;=100,INT(IF(ISNUMBER($I780),$I780,IFERROR(TIMEVALUE($I780),VALUE($I780)))/100)*60+MOD(IF(ISNUMBER($I780),$I780,IFERROR(TIMEVALUE($I780),VALUE($I780))),100),IF(IF(ISNUMBER($I780),$I780,IFERROR(TIMEVALUE($I780),VALUE($I780)))&gt;=1,ROUND(IF(ISNUMBER($I780),$I780,IFERROR(TIMEVALUE($I780),VALUE($I780)))*60,0),ROUND(MOD(IF(ISNUMBER($I780),$I780,IFERROR(TIMEVALUE($I780),VALUE($I780))),1)*1440,0))),""))</f>
        <v/>
      </c>
      <c r="X780" s="55" t="str">
        <f aca="false">IF($P780="","",IFERROR(IF(ISNUMBER($P780),IF($P780&gt;19000000,DATE(INT($P780/10000),MOD(INT($P780/100),100),MOD($P780,100)),INT($P780)),IF(LEN(SUBSTITUTE(SUBSTITUTE(SUBSTITUTE(TRIM($P780),"-",""),".",""),"/",""))=8,DATE(VALUE(LEFT(SUBSTITUTE(SUBSTITUTE(SUBSTITUTE(TRIM($P780),"-",""),".",""),"/",""),4)),VALUE(MID(SUBSTITUTE(SUBSTITUTE(SUBSTITUTE(TRIM($P780),"-",""),".",""),"/",""),5,2)),VALUE(RIGHT(SUBSTITUTE(SUBSTITUTE(SUBSTITUTE(TRIM($P780),"-",""),".",""),"/",""),2))),DATEVALUE($P780))),""))</f>
        <v/>
      </c>
      <c r="Y780" s="56" t="str">
        <f aca="false">IF($M780="","",IFERROR(INDEX(강사DB!$D$4:$D$53,MATCH($M780,강사DB!$A$4:$A$53,0)),""))</f>
        <v/>
      </c>
      <c r="Z780" s="56" t="str">
        <f aca="false">IF($B780&lt;&gt;"결제완료","",IF(OR($Y780="",$J780=""),"",$Y780*$J780+MAX(0,N($K780)-1)*설정!$J$7))</f>
        <v/>
      </c>
      <c r="AA780" s="56" t="str">
        <f aca="false">IF(AND($D780&lt;&gt;"",$B780="결제완료"),N($N780),"")</f>
        <v/>
      </c>
      <c r="AB780" s="45" t="str">
        <f aca="false">IF($D780="","",IF($F780&lt;&gt;"",$F780,$D780)&amp;IF($B780="상담중"," (상담)",""))</f>
        <v/>
      </c>
      <c r="AC780" s="45" t="n">
        <f aca="false">IF(AND($D780&lt;&gt;"",OR($B780="결제완료",$B780="상담중")),1,0)</f>
        <v>0</v>
      </c>
      <c r="AD780" s="45" t="n">
        <f aca="false">IF(OR($Z780="",$U780=""),0,IFERROR(IF(COUNTIFS(INDEX(g_grid,0,2*MATCH($M780,강사DB!$A$4:$A$15,0)),"&lt;&gt;",g_s,"&lt;="&amp;$U780,g_e,"&gt;="&amp;$U780)&gt;0,1,0),0))</f>
        <v>0</v>
      </c>
      <c r="AE780" s="48"/>
      <c r="AF780" s="56" t="str">
        <f aca="false">IF(AND($D780&lt;&gt;"",$B780="결제완료",$T780="대여"),설정!$J$5,"")</f>
        <v/>
      </c>
      <c r="AG780" s="54" t="str">
        <f aca="false">IF($D780="","",IF(AND($E780="",$R780=""),$AB780,"☎ "&amp;IF($E780="","-",$E780)&amp;IF($R780&lt;&gt;"","  ※ "&amp;$R780,"")&amp;IF($B780="상담중"," (상담)","")))</f>
        <v/>
      </c>
      <c r="AH780" s="56" t="str">
        <f aca="false">IF(AND($D780&lt;&gt;"",$B780="결제완료",$O780="스마트스토어"),ROUND(N($N780)*설정!$J$6,0),"")</f>
        <v/>
      </c>
      <c r="AI780" s="54" t="str">
        <f aca="false">IF($D780="","",ROW())</f>
        <v/>
      </c>
      <c r="AJ780" s="54" t="n">
        <f aca="false">IF(OR($AC780&lt;&gt;1,$M780=""),0,IF(ISNUMBER(SEARCH("퇴사",IFERROR(INDEX(강사DB!$G$4:$G$53,MATCH($M780,강사DB!$A$4:$A$53,0)),""))),1,0))</f>
        <v>0</v>
      </c>
    </row>
    <row r="781" customFormat="false" ht="15" hidden="false" customHeight="false" outlineLevel="0" collapsed="false">
      <c r="A781" s="45" t="str">
        <f aca="false">IF($D781="","",COUNTA($D$5:$D781))</f>
        <v/>
      </c>
      <c r="B781" s="46"/>
      <c r="C781" s="47"/>
      <c r="D781" s="48"/>
      <c r="E781" s="48"/>
      <c r="F781" s="49"/>
      <c r="G781" s="47"/>
      <c r="H781" s="50"/>
      <c r="I781" s="50"/>
      <c r="J781" s="51" t="str">
        <f aca="false">IF(OR($V781="",$W781=""),"",ROUND(($W781-$V781)/60,2))</f>
        <v/>
      </c>
      <c r="K781" s="52" t="str">
        <f aca="false">IF($F781="","",LEN($F781)-LEN(SUBSTITUTE($F781,",",""))+1)</f>
        <v/>
      </c>
      <c r="L781" s="45" t="str">
        <f aca="false">IF($K781="","","1:"&amp;$K781)</f>
        <v/>
      </c>
      <c r="M781" s="46"/>
      <c r="N781" s="53"/>
      <c r="O781" s="46"/>
      <c r="P781" s="47"/>
      <c r="Q781" s="48"/>
      <c r="R781" s="49"/>
      <c r="S781" s="54" t="str">
        <f aca="false">IF(OR($AC781=0,$U781="",$M781="",$V781="",$W781=""),"",IF(COUNTIFS(m_teacher,$M781,m_date,$U781,m_active,1,m_start,"&lt;"&amp;$W781,m_end,"&gt;"&amp;$V781)&gt;1,"충돌",""))</f>
        <v/>
      </c>
      <c r="T781" s="48"/>
      <c r="U781" s="55" t="str">
        <f aca="false">IF($G781="","",IFERROR(IF(ISNUMBER($G781),IF($G781&gt;19000000,DATE(INT($G781/10000),MOD(INT($G781/100),100),MOD($G781,100)),INT($G781)),IF(LEN(SUBSTITUTE(SUBSTITUTE(SUBSTITUTE(TRIM($G781),"-",""),".",""),"/",""))=8,DATE(VALUE(LEFT(SUBSTITUTE(SUBSTITUTE(SUBSTITUTE(TRIM($G781),"-",""),".",""),"/",""),4)),VALUE(MID(SUBSTITUTE(SUBSTITUTE(SUBSTITUTE(TRIM($G781),"-",""),".",""),"/",""),5,2)),VALUE(RIGHT(SUBSTITUTE(SUBSTITUTE(SUBSTITUTE(TRIM($G781),"-",""),".",""),"/",""),2))),DATEVALUE($G781))),""))</f>
        <v/>
      </c>
      <c r="V781" s="52" t="str">
        <f aca="false">IF($H781="","",IFERROR(IF(IF(ISNUMBER($H781),$H781,IFERROR(TIMEVALUE($H781),VALUE($H781)))&gt;=100,INT(IF(ISNUMBER($H781),$H781,IFERROR(TIMEVALUE($H781),VALUE($H781)))/100)*60+MOD(IF(ISNUMBER($H781),$H781,IFERROR(TIMEVALUE($H781),VALUE($H781))),100),IF(IF(ISNUMBER($H781),$H781,IFERROR(TIMEVALUE($H781),VALUE($H781)))&gt;=1,ROUND(IF(ISNUMBER($H781),$H781,IFERROR(TIMEVALUE($H781),VALUE($H781)))*60,0),ROUND(MOD(IF(ISNUMBER($H781),$H781,IFERROR(TIMEVALUE($H781),VALUE($H781))),1)*1440,0))),""))</f>
        <v/>
      </c>
      <c r="W781" s="52" t="str">
        <f aca="false">IF($I781="","",IFERROR(IF(IF(ISNUMBER($I781),$I781,IFERROR(TIMEVALUE($I781),VALUE($I781)))&gt;=100,INT(IF(ISNUMBER($I781),$I781,IFERROR(TIMEVALUE($I781),VALUE($I781)))/100)*60+MOD(IF(ISNUMBER($I781),$I781,IFERROR(TIMEVALUE($I781),VALUE($I781))),100),IF(IF(ISNUMBER($I781),$I781,IFERROR(TIMEVALUE($I781),VALUE($I781)))&gt;=1,ROUND(IF(ISNUMBER($I781),$I781,IFERROR(TIMEVALUE($I781),VALUE($I781)))*60,0),ROUND(MOD(IF(ISNUMBER($I781),$I781,IFERROR(TIMEVALUE($I781),VALUE($I781))),1)*1440,0))),""))</f>
        <v/>
      </c>
      <c r="X781" s="55" t="str">
        <f aca="false">IF($P781="","",IFERROR(IF(ISNUMBER($P781),IF($P781&gt;19000000,DATE(INT($P781/10000),MOD(INT($P781/100),100),MOD($P781,100)),INT($P781)),IF(LEN(SUBSTITUTE(SUBSTITUTE(SUBSTITUTE(TRIM($P781),"-",""),".",""),"/",""))=8,DATE(VALUE(LEFT(SUBSTITUTE(SUBSTITUTE(SUBSTITUTE(TRIM($P781),"-",""),".",""),"/",""),4)),VALUE(MID(SUBSTITUTE(SUBSTITUTE(SUBSTITUTE(TRIM($P781),"-",""),".",""),"/",""),5,2)),VALUE(RIGHT(SUBSTITUTE(SUBSTITUTE(SUBSTITUTE(TRIM($P781),"-",""),".",""),"/",""),2))),DATEVALUE($P781))),""))</f>
        <v/>
      </c>
      <c r="Y781" s="56" t="str">
        <f aca="false">IF($M781="","",IFERROR(INDEX(강사DB!$D$4:$D$53,MATCH($M781,강사DB!$A$4:$A$53,0)),""))</f>
        <v/>
      </c>
      <c r="Z781" s="56" t="str">
        <f aca="false">IF($B781&lt;&gt;"결제완료","",IF(OR($Y781="",$J781=""),"",$Y781*$J781+MAX(0,N($K781)-1)*설정!$J$7))</f>
        <v/>
      </c>
      <c r="AA781" s="56" t="str">
        <f aca="false">IF(AND($D781&lt;&gt;"",$B781="결제완료"),N($N781),"")</f>
        <v/>
      </c>
      <c r="AB781" s="45" t="str">
        <f aca="false">IF($D781="","",IF($F781&lt;&gt;"",$F781,$D781)&amp;IF($B781="상담중"," (상담)",""))</f>
        <v/>
      </c>
      <c r="AC781" s="45" t="n">
        <f aca="false">IF(AND($D781&lt;&gt;"",OR($B781="결제완료",$B781="상담중")),1,0)</f>
        <v>0</v>
      </c>
      <c r="AD781" s="45" t="n">
        <f aca="false">IF(OR($Z781="",$U781=""),0,IFERROR(IF(COUNTIFS(INDEX(g_grid,0,2*MATCH($M781,강사DB!$A$4:$A$15,0)),"&lt;&gt;",g_s,"&lt;="&amp;$U781,g_e,"&gt;="&amp;$U781)&gt;0,1,0),0))</f>
        <v>0</v>
      </c>
      <c r="AE781" s="48"/>
      <c r="AF781" s="56" t="str">
        <f aca="false">IF(AND($D781&lt;&gt;"",$B781="결제완료",$T781="대여"),설정!$J$5,"")</f>
        <v/>
      </c>
      <c r="AG781" s="54" t="str">
        <f aca="false">IF($D781="","",IF(AND($E781="",$R781=""),$AB781,"☎ "&amp;IF($E781="","-",$E781)&amp;IF($R781&lt;&gt;"","  ※ "&amp;$R781,"")&amp;IF($B781="상담중"," (상담)","")))</f>
        <v/>
      </c>
      <c r="AH781" s="56" t="str">
        <f aca="false">IF(AND($D781&lt;&gt;"",$B781="결제완료",$O781="스마트스토어"),ROUND(N($N781)*설정!$J$6,0),"")</f>
        <v/>
      </c>
      <c r="AI781" s="54" t="str">
        <f aca="false">IF($D781="","",ROW())</f>
        <v/>
      </c>
      <c r="AJ781" s="54" t="n">
        <f aca="false">IF(OR($AC781&lt;&gt;1,$M781=""),0,IF(ISNUMBER(SEARCH("퇴사",IFERROR(INDEX(강사DB!$G$4:$G$53,MATCH($M781,강사DB!$A$4:$A$53,0)),""))),1,0))</f>
        <v>0</v>
      </c>
    </row>
    <row r="782" customFormat="false" ht="15" hidden="false" customHeight="false" outlineLevel="0" collapsed="false">
      <c r="A782" s="45" t="str">
        <f aca="false">IF($D782="","",COUNTA($D$5:$D782))</f>
        <v/>
      </c>
      <c r="B782" s="46"/>
      <c r="C782" s="47"/>
      <c r="D782" s="48"/>
      <c r="E782" s="48"/>
      <c r="F782" s="49"/>
      <c r="G782" s="47"/>
      <c r="H782" s="50"/>
      <c r="I782" s="50"/>
      <c r="J782" s="51" t="str">
        <f aca="false">IF(OR($V782="",$W782=""),"",ROUND(($W782-$V782)/60,2))</f>
        <v/>
      </c>
      <c r="K782" s="52" t="str">
        <f aca="false">IF($F782="","",LEN($F782)-LEN(SUBSTITUTE($F782,",",""))+1)</f>
        <v/>
      </c>
      <c r="L782" s="45" t="str">
        <f aca="false">IF($K782="","","1:"&amp;$K782)</f>
        <v/>
      </c>
      <c r="M782" s="46"/>
      <c r="N782" s="53"/>
      <c r="O782" s="46"/>
      <c r="P782" s="47"/>
      <c r="Q782" s="48"/>
      <c r="R782" s="49"/>
      <c r="S782" s="54" t="str">
        <f aca="false">IF(OR($AC782=0,$U782="",$M782="",$V782="",$W782=""),"",IF(COUNTIFS(m_teacher,$M782,m_date,$U782,m_active,1,m_start,"&lt;"&amp;$W782,m_end,"&gt;"&amp;$V782)&gt;1,"충돌",""))</f>
        <v/>
      </c>
      <c r="T782" s="48"/>
      <c r="U782" s="55" t="str">
        <f aca="false">IF($G782="","",IFERROR(IF(ISNUMBER($G782),IF($G782&gt;19000000,DATE(INT($G782/10000),MOD(INT($G782/100),100),MOD($G782,100)),INT($G782)),IF(LEN(SUBSTITUTE(SUBSTITUTE(SUBSTITUTE(TRIM($G782),"-",""),".",""),"/",""))=8,DATE(VALUE(LEFT(SUBSTITUTE(SUBSTITUTE(SUBSTITUTE(TRIM($G782),"-",""),".",""),"/",""),4)),VALUE(MID(SUBSTITUTE(SUBSTITUTE(SUBSTITUTE(TRIM($G782),"-",""),".",""),"/",""),5,2)),VALUE(RIGHT(SUBSTITUTE(SUBSTITUTE(SUBSTITUTE(TRIM($G782),"-",""),".",""),"/",""),2))),DATEVALUE($G782))),""))</f>
        <v/>
      </c>
      <c r="V782" s="52" t="str">
        <f aca="false">IF($H782="","",IFERROR(IF(IF(ISNUMBER($H782),$H782,IFERROR(TIMEVALUE($H782),VALUE($H782)))&gt;=100,INT(IF(ISNUMBER($H782),$H782,IFERROR(TIMEVALUE($H782),VALUE($H782)))/100)*60+MOD(IF(ISNUMBER($H782),$H782,IFERROR(TIMEVALUE($H782),VALUE($H782))),100),IF(IF(ISNUMBER($H782),$H782,IFERROR(TIMEVALUE($H782),VALUE($H782)))&gt;=1,ROUND(IF(ISNUMBER($H782),$H782,IFERROR(TIMEVALUE($H782),VALUE($H782)))*60,0),ROUND(MOD(IF(ISNUMBER($H782),$H782,IFERROR(TIMEVALUE($H782),VALUE($H782))),1)*1440,0))),""))</f>
        <v/>
      </c>
      <c r="W782" s="52" t="str">
        <f aca="false">IF($I782="","",IFERROR(IF(IF(ISNUMBER($I782),$I782,IFERROR(TIMEVALUE($I782),VALUE($I782)))&gt;=100,INT(IF(ISNUMBER($I782),$I782,IFERROR(TIMEVALUE($I782),VALUE($I782)))/100)*60+MOD(IF(ISNUMBER($I782),$I782,IFERROR(TIMEVALUE($I782),VALUE($I782))),100),IF(IF(ISNUMBER($I782),$I782,IFERROR(TIMEVALUE($I782),VALUE($I782)))&gt;=1,ROUND(IF(ISNUMBER($I782),$I782,IFERROR(TIMEVALUE($I782),VALUE($I782)))*60,0),ROUND(MOD(IF(ISNUMBER($I782),$I782,IFERROR(TIMEVALUE($I782),VALUE($I782))),1)*1440,0))),""))</f>
        <v/>
      </c>
      <c r="X782" s="55" t="str">
        <f aca="false">IF($P782="","",IFERROR(IF(ISNUMBER($P782),IF($P782&gt;19000000,DATE(INT($P782/10000),MOD(INT($P782/100),100),MOD($P782,100)),INT($P782)),IF(LEN(SUBSTITUTE(SUBSTITUTE(SUBSTITUTE(TRIM($P782),"-",""),".",""),"/",""))=8,DATE(VALUE(LEFT(SUBSTITUTE(SUBSTITUTE(SUBSTITUTE(TRIM($P782),"-",""),".",""),"/",""),4)),VALUE(MID(SUBSTITUTE(SUBSTITUTE(SUBSTITUTE(TRIM($P782),"-",""),".",""),"/",""),5,2)),VALUE(RIGHT(SUBSTITUTE(SUBSTITUTE(SUBSTITUTE(TRIM($P782),"-",""),".",""),"/",""),2))),DATEVALUE($P782))),""))</f>
        <v/>
      </c>
      <c r="Y782" s="56" t="str">
        <f aca="false">IF($M782="","",IFERROR(INDEX(강사DB!$D$4:$D$53,MATCH($M782,강사DB!$A$4:$A$53,0)),""))</f>
        <v/>
      </c>
      <c r="Z782" s="56" t="str">
        <f aca="false">IF($B782&lt;&gt;"결제완료","",IF(OR($Y782="",$J782=""),"",$Y782*$J782+MAX(0,N($K782)-1)*설정!$J$7))</f>
        <v/>
      </c>
      <c r="AA782" s="56" t="str">
        <f aca="false">IF(AND($D782&lt;&gt;"",$B782="결제완료"),N($N782),"")</f>
        <v/>
      </c>
      <c r="AB782" s="45" t="str">
        <f aca="false">IF($D782="","",IF($F782&lt;&gt;"",$F782,$D782)&amp;IF($B782="상담중"," (상담)",""))</f>
        <v/>
      </c>
      <c r="AC782" s="45" t="n">
        <f aca="false">IF(AND($D782&lt;&gt;"",OR($B782="결제완료",$B782="상담중")),1,0)</f>
        <v>0</v>
      </c>
      <c r="AD782" s="45" t="n">
        <f aca="false">IF(OR($Z782="",$U782=""),0,IFERROR(IF(COUNTIFS(INDEX(g_grid,0,2*MATCH($M782,강사DB!$A$4:$A$15,0)),"&lt;&gt;",g_s,"&lt;="&amp;$U782,g_e,"&gt;="&amp;$U782)&gt;0,1,0),0))</f>
        <v>0</v>
      </c>
      <c r="AE782" s="48"/>
      <c r="AF782" s="56" t="str">
        <f aca="false">IF(AND($D782&lt;&gt;"",$B782="결제완료",$T782="대여"),설정!$J$5,"")</f>
        <v/>
      </c>
      <c r="AG782" s="54" t="str">
        <f aca="false">IF($D782="","",IF(AND($E782="",$R782=""),$AB782,"☎ "&amp;IF($E782="","-",$E782)&amp;IF($R782&lt;&gt;"","  ※ "&amp;$R782,"")&amp;IF($B782="상담중"," (상담)","")))</f>
        <v/>
      </c>
      <c r="AH782" s="56" t="str">
        <f aca="false">IF(AND($D782&lt;&gt;"",$B782="결제완료",$O782="스마트스토어"),ROUND(N($N782)*설정!$J$6,0),"")</f>
        <v/>
      </c>
      <c r="AI782" s="54" t="str">
        <f aca="false">IF($D782="","",ROW())</f>
        <v/>
      </c>
      <c r="AJ782" s="54" t="n">
        <f aca="false">IF(OR($AC782&lt;&gt;1,$M782=""),0,IF(ISNUMBER(SEARCH("퇴사",IFERROR(INDEX(강사DB!$G$4:$G$53,MATCH($M782,강사DB!$A$4:$A$53,0)),""))),1,0))</f>
        <v>0</v>
      </c>
    </row>
    <row r="783" customFormat="false" ht="15" hidden="false" customHeight="false" outlineLevel="0" collapsed="false">
      <c r="A783" s="45" t="str">
        <f aca="false">IF($D783="","",COUNTA($D$5:$D783))</f>
        <v/>
      </c>
      <c r="B783" s="46"/>
      <c r="C783" s="47"/>
      <c r="D783" s="48"/>
      <c r="E783" s="48"/>
      <c r="F783" s="49"/>
      <c r="G783" s="47"/>
      <c r="H783" s="50"/>
      <c r="I783" s="50"/>
      <c r="J783" s="51" t="str">
        <f aca="false">IF(OR($V783="",$W783=""),"",ROUND(($W783-$V783)/60,2))</f>
        <v/>
      </c>
      <c r="K783" s="52" t="str">
        <f aca="false">IF($F783="","",LEN($F783)-LEN(SUBSTITUTE($F783,",",""))+1)</f>
        <v/>
      </c>
      <c r="L783" s="45" t="str">
        <f aca="false">IF($K783="","","1:"&amp;$K783)</f>
        <v/>
      </c>
      <c r="M783" s="46"/>
      <c r="N783" s="53"/>
      <c r="O783" s="46"/>
      <c r="P783" s="47"/>
      <c r="Q783" s="48"/>
      <c r="R783" s="49"/>
      <c r="S783" s="54" t="str">
        <f aca="false">IF(OR($AC783=0,$U783="",$M783="",$V783="",$W783=""),"",IF(COUNTIFS(m_teacher,$M783,m_date,$U783,m_active,1,m_start,"&lt;"&amp;$W783,m_end,"&gt;"&amp;$V783)&gt;1,"충돌",""))</f>
        <v/>
      </c>
      <c r="T783" s="48"/>
      <c r="U783" s="55" t="str">
        <f aca="false">IF($G783="","",IFERROR(IF(ISNUMBER($G783),IF($G783&gt;19000000,DATE(INT($G783/10000),MOD(INT($G783/100),100),MOD($G783,100)),INT($G783)),IF(LEN(SUBSTITUTE(SUBSTITUTE(SUBSTITUTE(TRIM($G783),"-",""),".",""),"/",""))=8,DATE(VALUE(LEFT(SUBSTITUTE(SUBSTITUTE(SUBSTITUTE(TRIM($G783),"-",""),".",""),"/",""),4)),VALUE(MID(SUBSTITUTE(SUBSTITUTE(SUBSTITUTE(TRIM($G783),"-",""),".",""),"/",""),5,2)),VALUE(RIGHT(SUBSTITUTE(SUBSTITUTE(SUBSTITUTE(TRIM($G783),"-",""),".",""),"/",""),2))),DATEVALUE($G783))),""))</f>
        <v/>
      </c>
      <c r="V783" s="52" t="str">
        <f aca="false">IF($H783="","",IFERROR(IF(IF(ISNUMBER($H783),$H783,IFERROR(TIMEVALUE($H783),VALUE($H783)))&gt;=100,INT(IF(ISNUMBER($H783),$H783,IFERROR(TIMEVALUE($H783),VALUE($H783)))/100)*60+MOD(IF(ISNUMBER($H783),$H783,IFERROR(TIMEVALUE($H783),VALUE($H783))),100),IF(IF(ISNUMBER($H783),$H783,IFERROR(TIMEVALUE($H783),VALUE($H783)))&gt;=1,ROUND(IF(ISNUMBER($H783),$H783,IFERROR(TIMEVALUE($H783),VALUE($H783)))*60,0),ROUND(MOD(IF(ISNUMBER($H783),$H783,IFERROR(TIMEVALUE($H783),VALUE($H783))),1)*1440,0))),""))</f>
        <v/>
      </c>
      <c r="W783" s="52" t="str">
        <f aca="false">IF($I783="","",IFERROR(IF(IF(ISNUMBER($I783),$I783,IFERROR(TIMEVALUE($I783),VALUE($I783)))&gt;=100,INT(IF(ISNUMBER($I783),$I783,IFERROR(TIMEVALUE($I783),VALUE($I783)))/100)*60+MOD(IF(ISNUMBER($I783),$I783,IFERROR(TIMEVALUE($I783),VALUE($I783))),100),IF(IF(ISNUMBER($I783),$I783,IFERROR(TIMEVALUE($I783),VALUE($I783)))&gt;=1,ROUND(IF(ISNUMBER($I783),$I783,IFERROR(TIMEVALUE($I783),VALUE($I783)))*60,0),ROUND(MOD(IF(ISNUMBER($I783),$I783,IFERROR(TIMEVALUE($I783),VALUE($I783))),1)*1440,0))),""))</f>
        <v/>
      </c>
      <c r="X783" s="55" t="str">
        <f aca="false">IF($P783="","",IFERROR(IF(ISNUMBER($P783),IF($P783&gt;19000000,DATE(INT($P783/10000),MOD(INT($P783/100),100),MOD($P783,100)),INT($P783)),IF(LEN(SUBSTITUTE(SUBSTITUTE(SUBSTITUTE(TRIM($P783),"-",""),".",""),"/",""))=8,DATE(VALUE(LEFT(SUBSTITUTE(SUBSTITUTE(SUBSTITUTE(TRIM($P783),"-",""),".",""),"/",""),4)),VALUE(MID(SUBSTITUTE(SUBSTITUTE(SUBSTITUTE(TRIM($P783),"-",""),".",""),"/",""),5,2)),VALUE(RIGHT(SUBSTITUTE(SUBSTITUTE(SUBSTITUTE(TRIM($P783),"-",""),".",""),"/",""),2))),DATEVALUE($P783))),""))</f>
        <v/>
      </c>
      <c r="Y783" s="56" t="str">
        <f aca="false">IF($M783="","",IFERROR(INDEX(강사DB!$D$4:$D$53,MATCH($M783,강사DB!$A$4:$A$53,0)),""))</f>
        <v/>
      </c>
      <c r="Z783" s="56" t="str">
        <f aca="false">IF($B783&lt;&gt;"결제완료","",IF(OR($Y783="",$J783=""),"",$Y783*$J783+MAX(0,N($K783)-1)*설정!$J$7))</f>
        <v/>
      </c>
      <c r="AA783" s="56" t="str">
        <f aca="false">IF(AND($D783&lt;&gt;"",$B783="결제완료"),N($N783),"")</f>
        <v/>
      </c>
      <c r="AB783" s="45" t="str">
        <f aca="false">IF($D783="","",IF($F783&lt;&gt;"",$F783,$D783)&amp;IF($B783="상담중"," (상담)",""))</f>
        <v/>
      </c>
      <c r="AC783" s="45" t="n">
        <f aca="false">IF(AND($D783&lt;&gt;"",OR($B783="결제완료",$B783="상담중")),1,0)</f>
        <v>0</v>
      </c>
      <c r="AD783" s="45" t="n">
        <f aca="false">IF(OR($Z783="",$U783=""),0,IFERROR(IF(COUNTIFS(INDEX(g_grid,0,2*MATCH($M783,강사DB!$A$4:$A$15,0)),"&lt;&gt;",g_s,"&lt;="&amp;$U783,g_e,"&gt;="&amp;$U783)&gt;0,1,0),0))</f>
        <v>0</v>
      </c>
      <c r="AE783" s="48"/>
      <c r="AF783" s="56" t="str">
        <f aca="false">IF(AND($D783&lt;&gt;"",$B783="결제완료",$T783="대여"),설정!$J$5,"")</f>
        <v/>
      </c>
      <c r="AG783" s="54" t="str">
        <f aca="false">IF($D783="","",IF(AND($E783="",$R783=""),$AB783,"☎ "&amp;IF($E783="","-",$E783)&amp;IF($R783&lt;&gt;"","  ※ "&amp;$R783,"")&amp;IF($B783="상담중"," (상담)","")))</f>
        <v/>
      </c>
      <c r="AH783" s="56" t="str">
        <f aca="false">IF(AND($D783&lt;&gt;"",$B783="결제완료",$O783="스마트스토어"),ROUND(N($N783)*설정!$J$6,0),"")</f>
        <v/>
      </c>
      <c r="AI783" s="54" t="str">
        <f aca="false">IF($D783="","",ROW())</f>
        <v/>
      </c>
      <c r="AJ783" s="54" t="n">
        <f aca="false">IF(OR($AC783&lt;&gt;1,$M783=""),0,IF(ISNUMBER(SEARCH("퇴사",IFERROR(INDEX(강사DB!$G$4:$G$53,MATCH($M783,강사DB!$A$4:$A$53,0)),""))),1,0))</f>
        <v>0</v>
      </c>
    </row>
    <row r="784" customFormat="false" ht="15" hidden="false" customHeight="false" outlineLevel="0" collapsed="false">
      <c r="A784" s="45" t="str">
        <f aca="false">IF($D784="","",COUNTA($D$5:$D784))</f>
        <v/>
      </c>
      <c r="B784" s="46"/>
      <c r="C784" s="47"/>
      <c r="D784" s="48"/>
      <c r="E784" s="48"/>
      <c r="F784" s="49"/>
      <c r="G784" s="47"/>
      <c r="H784" s="50"/>
      <c r="I784" s="50"/>
      <c r="J784" s="51" t="str">
        <f aca="false">IF(OR($V784="",$W784=""),"",ROUND(($W784-$V784)/60,2))</f>
        <v/>
      </c>
      <c r="K784" s="52" t="str">
        <f aca="false">IF($F784="","",LEN($F784)-LEN(SUBSTITUTE($F784,",",""))+1)</f>
        <v/>
      </c>
      <c r="L784" s="45" t="str">
        <f aca="false">IF($K784="","","1:"&amp;$K784)</f>
        <v/>
      </c>
      <c r="M784" s="46"/>
      <c r="N784" s="53"/>
      <c r="O784" s="46"/>
      <c r="P784" s="47"/>
      <c r="Q784" s="48"/>
      <c r="R784" s="49"/>
      <c r="S784" s="54" t="str">
        <f aca="false">IF(OR($AC784=0,$U784="",$M784="",$V784="",$W784=""),"",IF(COUNTIFS(m_teacher,$M784,m_date,$U784,m_active,1,m_start,"&lt;"&amp;$W784,m_end,"&gt;"&amp;$V784)&gt;1,"충돌",""))</f>
        <v/>
      </c>
      <c r="T784" s="48"/>
      <c r="U784" s="55" t="str">
        <f aca="false">IF($G784="","",IFERROR(IF(ISNUMBER($G784),IF($G784&gt;19000000,DATE(INT($G784/10000),MOD(INT($G784/100),100),MOD($G784,100)),INT($G784)),IF(LEN(SUBSTITUTE(SUBSTITUTE(SUBSTITUTE(TRIM($G784),"-",""),".",""),"/",""))=8,DATE(VALUE(LEFT(SUBSTITUTE(SUBSTITUTE(SUBSTITUTE(TRIM($G784),"-",""),".",""),"/",""),4)),VALUE(MID(SUBSTITUTE(SUBSTITUTE(SUBSTITUTE(TRIM($G784),"-",""),".",""),"/",""),5,2)),VALUE(RIGHT(SUBSTITUTE(SUBSTITUTE(SUBSTITUTE(TRIM($G784),"-",""),".",""),"/",""),2))),DATEVALUE($G784))),""))</f>
        <v/>
      </c>
      <c r="V784" s="52" t="str">
        <f aca="false">IF($H784="","",IFERROR(IF(IF(ISNUMBER($H784),$H784,IFERROR(TIMEVALUE($H784),VALUE($H784)))&gt;=100,INT(IF(ISNUMBER($H784),$H784,IFERROR(TIMEVALUE($H784),VALUE($H784)))/100)*60+MOD(IF(ISNUMBER($H784),$H784,IFERROR(TIMEVALUE($H784),VALUE($H784))),100),IF(IF(ISNUMBER($H784),$H784,IFERROR(TIMEVALUE($H784),VALUE($H784)))&gt;=1,ROUND(IF(ISNUMBER($H784),$H784,IFERROR(TIMEVALUE($H784),VALUE($H784)))*60,0),ROUND(MOD(IF(ISNUMBER($H784),$H784,IFERROR(TIMEVALUE($H784),VALUE($H784))),1)*1440,0))),""))</f>
        <v/>
      </c>
      <c r="W784" s="52" t="str">
        <f aca="false">IF($I784="","",IFERROR(IF(IF(ISNUMBER($I784),$I784,IFERROR(TIMEVALUE($I784),VALUE($I784)))&gt;=100,INT(IF(ISNUMBER($I784),$I784,IFERROR(TIMEVALUE($I784),VALUE($I784)))/100)*60+MOD(IF(ISNUMBER($I784),$I784,IFERROR(TIMEVALUE($I784),VALUE($I784))),100),IF(IF(ISNUMBER($I784),$I784,IFERROR(TIMEVALUE($I784),VALUE($I784)))&gt;=1,ROUND(IF(ISNUMBER($I784),$I784,IFERROR(TIMEVALUE($I784),VALUE($I784)))*60,0),ROUND(MOD(IF(ISNUMBER($I784),$I784,IFERROR(TIMEVALUE($I784),VALUE($I784))),1)*1440,0))),""))</f>
        <v/>
      </c>
      <c r="X784" s="55" t="str">
        <f aca="false">IF($P784="","",IFERROR(IF(ISNUMBER($P784),IF($P784&gt;19000000,DATE(INT($P784/10000),MOD(INT($P784/100),100),MOD($P784,100)),INT($P784)),IF(LEN(SUBSTITUTE(SUBSTITUTE(SUBSTITUTE(TRIM($P784),"-",""),".",""),"/",""))=8,DATE(VALUE(LEFT(SUBSTITUTE(SUBSTITUTE(SUBSTITUTE(TRIM($P784),"-",""),".",""),"/",""),4)),VALUE(MID(SUBSTITUTE(SUBSTITUTE(SUBSTITUTE(TRIM($P784),"-",""),".",""),"/",""),5,2)),VALUE(RIGHT(SUBSTITUTE(SUBSTITUTE(SUBSTITUTE(TRIM($P784),"-",""),".",""),"/",""),2))),DATEVALUE($P784))),""))</f>
        <v/>
      </c>
      <c r="Y784" s="56" t="str">
        <f aca="false">IF($M784="","",IFERROR(INDEX(강사DB!$D$4:$D$53,MATCH($M784,강사DB!$A$4:$A$53,0)),""))</f>
        <v/>
      </c>
      <c r="Z784" s="56" t="str">
        <f aca="false">IF($B784&lt;&gt;"결제완료","",IF(OR($Y784="",$J784=""),"",$Y784*$J784+MAX(0,N($K784)-1)*설정!$J$7))</f>
        <v/>
      </c>
      <c r="AA784" s="56" t="str">
        <f aca="false">IF(AND($D784&lt;&gt;"",$B784="결제완료"),N($N784),"")</f>
        <v/>
      </c>
      <c r="AB784" s="45" t="str">
        <f aca="false">IF($D784="","",IF($F784&lt;&gt;"",$F784,$D784)&amp;IF($B784="상담중"," (상담)",""))</f>
        <v/>
      </c>
      <c r="AC784" s="45" t="n">
        <f aca="false">IF(AND($D784&lt;&gt;"",OR($B784="결제완료",$B784="상담중")),1,0)</f>
        <v>0</v>
      </c>
      <c r="AD784" s="45" t="n">
        <f aca="false">IF(OR($Z784="",$U784=""),0,IFERROR(IF(COUNTIFS(INDEX(g_grid,0,2*MATCH($M784,강사DB!$A$4:$A$15,0)),"&lt;&gt;",g_s,"&lt;="&amp;$U784,g_e,"&gt;="&amp;$U784)&gt;0,1,0),0))</f>
        <v>0</v>
      </c>
      <c r="AE784" s="48"/>
      <c r="AF784" s="56" t="str">
        <f aca="false">IF(AND($D784&lt;&gt;"",$B784="결제완료",$T784="대여"),설정!$J$5,"")</f>
        <v/>
      </c>
      <c r="AG784" s="54" t="str">
        <f aca="false">IF($D784="","",IF(AND($E784="",$R784=""),$AB784,"☎ "&amp;IF($E784="","-",$E784)&amp;IF($R784&lt;&gt;"","  ※ "&amp;$R784,"")&amp;IF($B784="상담중"," (상담)","")))</f>
        <v/>
      </c>
      <c r="AH784" s="56" t="str">
        <f aca="false">IF(AND($D784&lt;&gt;"",$B784="결제완료",$O784="스마트스토어"),ROUND(N($N784)*설정!$J$6,0),"")</f>
        <v/>
      </c>
      <c r="AI784" s="54" t="str">
        <f aca="false">IF($D784="","",ROW())</f>
        <v/>
      </c>
      <c r="AJ784" s="54" t="n">
        <f aca="false">IF(OR($AC784&lt;&gt;1,$M784=""),0,IF(ISNUMBER(SEARCH("퇴사",IFERROR(INDEX(강사DB!$G$4:$G$53,MATCH($M784,강사DB!$A$4:$A$53,0)),""))),1,0))</f>
        <v>0</v>
      </c>
    </row>
    <row r="785" customFormat="false" ht="15" hidden="false" customHeight="false" outlineLevel="0" collapsed="false">
      <c r="A785" s="45" t="str">
        <f aca="false">IF($D785="","",COUNTA($D$5:$D785))</f>
        <v/>
      </c>
      <c r="B785" s="46"/>
      <c r="C785" s="47"/>
      <c r="D785" s="48"/>
      <c r="E785" s="48"/>
      <c r="F785" s="49"/>
      <c r="G785" s="47"/>
      <c r="H785" s="50"/>
      <c r="I785" s="50"/>
      <c r="J785" s="51" t="str">
        <f aca="false">IF(OR($V785="",$W785=""),"",ROUND(($W785-$V785)/60,2))</f>
        <v/>
      </c>
      <c r="K785" s="52" t="str">
        <f aca="false">IF($F785="","",LEN($F785)-LEN(SUBSTITUTE($F785,",",""))+1)</f>
        <v/>
      </c>
      <c r="L785" s="45" t="str">
        <f aca="false">IF($K785="","","1:"&amp;$K785)</f>
        <v/>
      </c>
      <c r="M785" s="46"/>
      <c r="N785" s="53"/>
      <c r="O785" s="46"/>
      <c r="P785" s="47"/>
      <c r="Q785" s="48"/>
      <c r="R785" s="49"/>
      <c r="S785" s="54" t="str">
        <f aca="false">IF(OR($AC785=0,$U785="",$M785="",$V785="",$W785=""),"",IF(COUNTIFS(m_teacher,$M785,m_date,$U785,m_active,1,m_start,"&lt;"&amp;$W785,m_end,"&gt;"&amp;$V785)&gt;1,"충돌",""))</f>
        <v/>
      </c>
      <c r="T785" s="48"/>
      <c r="U785" s="55" t="str">
        <f aca="false">IF($G785="","",IFERROR(IF(ISNUMBER($G785),IF($G785&gt;19000000,DATE(INT($G785/10000),MOD(INT($G785/100),100),MOD($G785,100)),INT($G785)),IF(LEN(SUBSTITUTE(SUBSTITUTE(SUBSTITUTE(TRIM($G785),"-",""),".",""),"/",""))=8,DATE(VALUE(LEFT(SUBSTITUTE(SUBSTITUTE(SUBSTITUTE(TRIM($G785),"-",""),".",""),"/",""),4)),VALUE(MID(SUBSTITUTE(SUBSTITUTE(SUBSTITUTE(TRIM($G785),"-",""),".",""),"/",""),5,2)),VALUE(RIGHT(SUBSTITUTE(SUBSTITUTE(SUBSTITUTE(TRIM($G785),"-",""),".",""),"/",""),2))),DATEVALUE($G785))),""))</f>
        <v/>
      </c>
      <c r="V785" s="52" t="str">
        <f aca="false">IF($H785="","",IFERROR(IF(IF(ISNUMBER($H785),$H785,IFERROR(TIMEVALUE($H785),VALUE($H785)))&gt;=100,INT(IF(ISNUMBER($H785),$H785,IFERROR(TIMEVALUE($H785),VALUE($H785)))/100)*60+MOD(IF(ISNUMBER($H785),$H785,IFERROR(TIMEVALUE($H785),VALUE($H785))),100),IF(IF(ISNUMBER($H785),$H785,IFERROR(TIMEVALUE($H785),VALUE($H785)))&gt;=1,ROUND(IF(ISNUMBER($H785),$H785,IFERROR(TIMEVALUE($H785),VALUE($H785)))*60,0),ROUND(MOD(IF(ISNUMBER($H785),$H785,IFERROR(TIMEVALUE($H785),VALUE($H785))),1)*1440,0))),""))</f>
        <v/>
      </c>
      <c r="W785" s="52" t="str">
        <f aca="false">IF($I785="","",IFERROR(IF(IF(ISNUMBER($I785),$I785,IFERROR(TIMEVALUE($I785),VALUE($I785)))&gt;=100,INT(IF(ISNUMBER($I785),$I785,IFERROR(TIMEVALUE($I785),VALUE($I785)))/100)*60+MOD(IF(ISNUMBER($I785),$I785,IFERROR(TIMEVALUE($I785),VALUE($I785))),100),IF(IF(ISNUMBER($I785),$I785,IFERROR(TIMEVALUE($I785),VALUE($I785)))&gt;=1,ROUND(IF(ISNUMBER($I785),$I785,IFERROR(TIMEVALUE($I785),VALUE($I785)))*60,0),ROUND(MOD(IF(ISNUMBER($I785),$I785,IFERROR(TIMEVALUE($I785),VALUE($I785))),1)*1440,0))),""))</f>
        <v/>
      </c>
      <c r="X785" s="55" t="str">
        <f aca="false">IF($P785="","",IFERROR(IF(ISNUMBER($P785),IF($P785&gt;19000000,DATE(INT($P785/10000),MOD(INT($P785/100),100),MOD($P785,100)),INT($P785)),IF(LEN(SUBSTITUTE(SUBSTITUTE(SUBSTITUTE(TRIM($P785),"-",""),".",""),"/",""))=8,DATE(VALUE(LEFT(SUBSTITUTE(SUBSTITUTE(SUBSTITUTE(TRIM($P785),"-",""),".",""),"/",""),4)),VALUE(MID(SUBSTITUTE(SUBSTITUTE(SUBSTITUTE(TRIM($P785),"-",""),".",""),"/",""),5,2)),VALUE(RIGHT(SUBSTITUTE(SUBSTITUTE(SUBSTITUTE(TRIM($P785),"-",""),".",""),"/",""),2))),DATEVALUE($P785))),""))</f>
        <v/>
      </c>
      <c r="Y785" s="56" t="str">
        <f aca="false">IF($M785="","",IFERROR(INDEX(강사DB!$D$4:$D$53,MATCH($M785,강사DB!$A$4:$A$53,0)),""))</f>
        <v/>
      </c>
      <c r="Z785" s="56" t="str">
        <f aca="false">IF($B785&lt;&gt;"결제완료","",IF(OR($Y785="",$J785=""),"",$Y785*$J785+MAX(0,N($K785)-1)*설정!$J$7))</f>
        <v/>
      </c>
      <c r="AA785" s="56" t="str">
        <f aca="false">IF(AND($D785&lt;&gt;"",$B785="결제완료"),N($N785),"")</f>
        <v/>
      </c>
      <c r="AB785" s="45" t="str">
        <f aca="false">IF($D785="","",IF($F785&lt;&gt;"",$F785,$D785)&amp;IF($B785="상담중"," (상담)",""))</f>
        <v/>
      </c>
      <c r="AC785" s="45" t="n">
        <f aca="false">IF(AND($D785&lt;&gt;"",OR($B785="결제완료",$B785="상담중")),1,0)</f>
        <v>0</v>
      </c>
      <c r="AD785" s="45" t="n">
        <f aca="false">IF(OR($Z785="",$U785=""),0,IFERROR(IF(COUNTIFS(INDEX(g_grid,0,2*MATCH($M785,강사DB!$A$4:$A$15,0)),"&lt;&gt;",g_s,"&lt;="&amp;$U785,g_e,"&gt;="&amp;$U785)&gt;0,1,0),0))</f>
        <v>0</v>
      </c>
      <c r="AE785" s="48"/>
      <c r="AF785" s="56" t="str">
        <f aca="false">IF(AND($D785&lt;&gt;"",$B785="결제완료",$T785="대여"),설정!$J$5,"")</f>
        <v/>
      </c>
      <c r="AG785" s="54" t="str">
        <f aca="false">IF($D785="","",IF(AND($E785="",$R785=""),$AB785,"☎ "&amp;IF($E785="","-",$E785)&amp;IF($R785&lt;&gt;"","  ※ "&amp;$R785,"")&amp;IF($B785="상담중"," (상담)","")))</f>
        <v/>
      </c>
      <c r="AH785" s="56" t="str">
        <f aca="false">IF(AND($D785&lt;&gt;"",$B785="결제완료",$O785="스마트스토어"),ROUND(N($N785)*설정!$J$6,0),"")</f>
        <v/>
      </c>
      <c r="AI785" s="54" t="str">
        <f aca="false">IF($D785="","",ROW())</f>
        <v/>
      </c>
      <c r="AJ785" s="54" t="n">
        <f aca="false">IF(OR($AC785&lt;&gt;1,$M785=""),0,IF(ISNUMBER(SEARCH("퇴사",IFERROR(INDEX(강사DB!$G$4:$G$53,MATCH($M785,강사DB!$A$4:$A$53,0)),""))),1,0))</f>
        <v>0</v>
      </c>
    </row>
    <row r="786" customFormat="false" ht="15" hidden="false" customHeight="false" outlineLevel="0" collapsed="false">
      <c r="A786" s="45" t="str">
        <f aca="false">IF($D786="","",COUNTA($D$5:$D786))</f>
        <v/>
      </c>
      <c r="B786" s="46"/>
      <c r="C786" s="47"/>
      <c r="D786" s="48"/>
      <c r="E786" s="48"/>
      <c r="F786" s="49"/>
      <c r="G786" s="47"/>
      <c r="H786" s="50"/>
      <c r="I786" s="50"/>
      <c r="J786" s="51" t="str">
        <f aca="false">IF(OR($V786="",$W786=""),"",ROUND(($W786-$V786)/60,2))</f>
        <v/>
      </c>
      <c r="K786" s="52" t="str">
        <f aca="false">IF($F786="","",LEN($F786)-LEN(SUBSTITUTE($F786,",",""))+1)</f>
        <v/>
      </c>
      <c r="L786" s="45" t="str">
        <f aca="false">IF($K786="","","1:"&amp;$K786)</f>
        <v/>
      </c>
      <c r="M786" s="46"/>
      <c r="N786" s="53"/>
      <c r="O786" s="46"/>
      <c r="P786" s="47"/>
      <c r="Q786" s="48"/>
      <c r="R786" s="49"/>
      <c r="S786" s="54" t="str">
        <f aca="false">IF(OR($AC786=0,$U786="",$M786="",$V786="",$W786=""),"",IF(COUNTIFS(m_teacher,$M786,m_date,$U786,m_active,1,m_start,"&lt;"&amp;$W786,m_end,"&gt;"&amp;$V786)&gt;1,"충돌",""))</f>
        <v/>
      </c>
      <c r="T786" s="48"/>
      <c r="U786" s="55" t="str">
        <f aca="false">IF($G786="","",IFERROR(IF(ISNUMBER($G786),IF($G786&gt;19000000,DATE(INT($G786/10000),MOD(INT($G786/100),100),MOD($G786,100)),INT($G786)),IF(LEN(SUBSTITUTE(SUBSTITUTE(SUBSTITUTE(TRIM($G786),"-",""),".",""),"/",""))=8,DATE(VALUE(LEFT(SUBSTITUTE(SUBSTITUTE(SUBSTITUTE(TRIM($G786),"-",""),".",""),"/",""),4)),VALUE(MID(SUBSTITUTE(SUBSTITUTE(SUBSTITUTE(TRIM($G786),"-",""),".",""),"/",""),5,2)),VALUE(RIGHT(SUBSTITUTE(SUBSTITUTE(SUBSTITUTE(TRIM($G786),"-",""),".",""),"/",""),2))),DATEVALUE($G786))),""))</f>
        <v/>
      </c>
      <c r="V786" s="52" t="str">
        <f aca="false">IF($H786="","",IFERROR(IF(IF(ISNUMBER($H786),$H786,IFERROR(TIMEVALUE($H786),VALUE($H786)))&gt;=100,INT(IF(ISNUMBER($H786),$H786,IFERROR(TIMEVALUE($H786),VALUE($H786)))/100)*60+MOD(IF(ISNUMBER($H786),$H786,IFERROR(TIMEVALUE($H786),VALUE($H786))),100),IF(IF(ISNUMBER($H786),$H786,IFERROR(TIMEVALUE($H786),VALUE($H786)))&gt;=1,ROUND(IF(ISNUMBER($H786),$H786,IFERROR(TIMEVALUE($H786),VALUE($H786)))*60,0),ROUND(MOD(IF(ISNUMBER($H786),$H786,IFERROR(TIMEVALUE($H786),VALUE($H786))),1)*1440,0))),""))</f>
        <v/>
      </c>
      <c r="W786" s="52" t="str">
        <f aca="false">IF($I786="","",IFERROR(IF(IF(ISNUMBER($I786),$I786,IFERROR(TIMEVALUE($I786),VALUE($I786)))&gt;=100,INT(IF(ISNUMBER($I786),$I786,IFERROR(TIMEVALUE($I786),VALUE($I786)))/100)*60+MOD(IF(ISNUMBER($I786),$I786,IFERROR(TIMEVALUE($I786),VALUE($I786))),100),IF(IF(ISNUMBER($I786),$I786,IFERROR(TIMEVALUE($I786),VALUE($I786)))&gt;=1,ROUND(IF(ISNUMBER($I786),$I786,IFERROR(TIMEVALUE($I786),VALUE($I786)))*60,0),ROUND(MOD(IF(ISNUMBER($I786),$I786,IFERROR(TIMEVALUE($I786),VALUE($I786))),1)*1440,0))),""))</f>
        <v/>
      </c>
      <c r="X786" s="55" t="str">
        <f aca="false">IF($P786="","",IFERROR(IF(ISNUMBER($P786),IF($P786&gt;19000000,DATE(INT($P786/10000),MOD(INT($P786/100),100),MOD($P786,100)),INT($P786)),IF(LEN(SUBSTITUTE(SUBSTITUTE(SUBSTITUTE(TRIM($P786),"-",""),".",""),"/",""))=8,DATE(VALUE(LEFT(SUBSTITUTE(SUBSTITUTE(SUBSTITUTE(TRIM($P786),"-",""),".",""),"/",""),4)),VALUE(MID(SUBSTITUTE(SUBSTITUTE(SUBSTITUTE(TRIM($P786),"-",""),".",""),"/",""),5,2)),VALUE(RIGHT(SUBSTITUTE(SUBSTITUTE(SUBSTITUTE(TRIM($P786),"-",""),".",""),"/",""),2))),DATEVALUE($P786))),""))</f>
        <v/>
      </c>
      <c r="Y786" s="56" t="str">
        <f aca="false">IF($M786="","",IFERROR(INDEX(강사DB!$D$4:$D$53,MATCH($M786,강사DB!$A$4:$A$53,0)),""))</f>
        <v/>
      </c>
      <c r="Z786" s="56" t="str">
        <f aca="false">IF($B786&lt;&gt;"결제완료","",IF(OR($Y786="",$J786=""),"",$Y786*$J786+MAX(0,N($K786)-1)*설정!$J$7))</f>
        <v/>
      </c>
      <c r="AA786" s="56" t="str">
        <f aca="false">IF(AND($D786&lt;&gt;"",$B786="결제완료"),N($N786),"")</f>
        <v/>
      </c>
      <c r="AB786" s="45" t="str">
        <f aca="false">IF($D786="","",IF($F786&lt;&gt;"",$F786,$D786)&amp;IF($B786="상담중"," (상담)",""))</f>
        <v/>
      </c>
      <c r="AC786" s="45" t="n">
        <f aca="false">IF(AND($D786&lt;&gt;"",OR($B786="결제완료",$B786="상담중")),1,0)</f>
        <v>0</v>
      </c>
      <c r="AD786" s="45" t="n">
        <f aca="false">IF(OR($Z786="",$U786=""),0,IFERROR(IF(COUNTIFS(INDEX(g_grid,0,2*MATCH($M786,강사DB!$A$4:$A$15,0)),"&lt;&gt;",g_s,"&lt;="&amp;$U786,g_e,"&gt;="&amp;$U786)&gt;0,1,0),0))</f>
        <v>0</v>
      </c>
      <c r="AE786" s="48"/>
      <c r="AF786" s="56" t="str">
        <f aca="false">IF(AND($D786&lt;&gt;"",$B786="결제완료",$T786="대여"),설정!$J$5,"")</f>
        <v/>
      </c>
      <c r="AG786" s="54" t="str">
        <f aca="false">IF($D786="","",IF(AND($E786="",$R786=""),$AB786,"☎ "&amp;IF($E786="","-",$E786)&amp;IF($R786&lt;&gt;"","  ※ "&amp;$R786,"")&amp;IF($B786="상담중"," (상담)","")))</f>
        <v/>
      </c>
      <c r="AH786" s="56" t="str">
        <f aca="false">IF(AND($D786&lt;&gt;"",$B786="결제완료",$O786="스마트스토어"),ROUND(N($N786)*설정!$J$6,0),"")</f>
        <v/>
      </c>
      <c r="AI786" s="54" t="str">
        <f aca="false">IF($D786="","",ROW())</f>
        <v/>
      </c>
      <c r="AJ786" s="54" t="n">
        <f aca="false">IF(OR($AC786&lt;&gt;1,$M786=""),0,IF(ISNUMBER(SEARCH("퇴사",IFERROR(INDEX(강사DB!$G$4:$G$53,MATCH($M786,강사DB!$A$4:$A$53,0)),""))),1,0))</f>
        <v>0</v>
      </c>
    </row>
    <row r="787" customFormat="false" ht="15" hidden="false" customHeight="false" outlineLevel="0" collapsed="false">
      <c r="A787" s="45" t="str">
        <f aca="false">IF($D787="","",COUNTA($D$5:$D787))</f>
        <v/>
      </c>
      <c r="B787" s="46"/>
      <c r="C787" s="47"/>
      <c r="D787" s="48"/>
      <c r="E787" s="48"/>
      <c r="F787" s="49"/>
      <c r="G787" s="47"/>
      <c r="H787" s="50"/>
      <c r="I787" s="50"/>
      <c r="J787" s="51" t="str">
        <f aca="false">IF(OR($V787="",$W787=""),"",ROUND(($W787-$V787)/60,2))</f>
        <v/>
      </c>
      <c r="K787" s="52" t="str">
        <f aca="false">IF($F787="","",LEN($F787)-LEN(SUBSTITUTE($F787,",",""))+1)</f>
        <v/>
      </c>
      <c r="L787" s="45" t="str">
        <f aca="false">IF($K787="","","1:"&amp;$K787)</f>
        <v/>
      </c>
      <c r="M787" s="46"/>
      <c r="N787" s="53"/>
      <c r="O787" s="46"/>
      <c r="P787" s="47"/>
      <c r="Q787" s="48"/>
      <c r="R787" s="49"/>
      <c r="S787" s="54" t="str">
        <f aca="false">IF(OR($AC787=0,$U787="",$M787="",$V787="",$W787=""),"",IF(COUNTIFS(m_teacher,$M787,m_date,$U787,m_active,1,m_start,"&lt;"&amp;$W787,m_end,"&gt;"&amp;$V787)&gt;1,"충돌",""))</f>
        <v/>
      </c>
      <c r="T787" s="48"/>
      <c r="U787" s="55" t="str">
        <f aca="false">IF($G787="","",IFERROR(IF(ISNUMBER($G787),IF($G787&gt;19000000,DATE(INT($G787/10000),MOD(INT($G787/100),100),MOD($G787,100)),INT($G787)),IF(LEN(SUBSTITUTE(SUBSTITUTE(SUBSTITUTE(TRIM($G787),"-",""),".",""),"/",""))=8,DATE(VALUE(LEFT(SUBSTITUTE(SUBSTITUTE(SUBSTITUTE(TRIM($G787),"-",""),".",""),"/",""),4)),VALUE(MID(SUBSTITUTE(SUBSTITUTE(SUBSTITUTE(TRIM($G787),"-",""),".",""),"/",""),5,2)),VALUE(RIGHT(SUBSTITUTE(SUBSTITUTE(SUBSTITUTE(TRIM($G787),"-",""),".",""),"/",""),2))),DATEVALUE($G787))),""))</f>
        <v/>
      </c>
      <c r="V787" s="52" t="str">
        <f aca="false">IF($H787="","",IFERROR(IF(IF(ISNUMBER($H787),$H787,IFERROR(TIMEVALUE($H787),VALUE($H787)))&gt;=100,INT(IF(ISNUMBER($H787),$H787,IFERROR(TIMEVALUE($H787),VALUE($H787)))/100)*60+MOD(IF(ISNUMBER($H787),$H787,IFERROR(TIMEVALUE($H787),VALUE($H787))),100),IF(IF(ISNUMBER($H787),$H787,IFERROR(TIMEVALUE($H787),VALUE($H787)))&gt;=1,ROUND(IF(ISNUMBER($H787),$H787,IFERROR(TIMEVALUE($H787),VALUE($H787)))*60,0),ROUND(MOD(IF(ISNUMBER($H787),$H787,IFERROR(TIMEVALUE($H787),VALUE($H787))),1)*1440,0))),""))</f>
        <v/>
      </c>
      <c r="W787" s="52" t="str">
        <f aca="false">IF($I787="","",IFERROR(IF(IF(ISNUMBER($I787),$I787,IFERROR(TIMEVALUE($I787),VALUE($I787)))&gt;=100,INT(IF(ISNUMBER($I787),$I787,IFERROR(TIMEVALUE($I787),VALUE($I787)))/100)*60+MOD(IF(ISNUMBER($I787),$I787,IFERROR(TIMEVALUE($I787),VALUE($I787))),100),IF(IF(ISNUMBER($I787),$I787,IFERROR(TIMEVALUE($I787),VALUE($I787)))&gt;=1,ROUND(IF(ISNUMBER($I787),$I787,IFERROR(TIMEVALUE($I787),VALUE($I787)))*60,0),ROUND(MOD(IF(ISNUMBER($I787),$I787,IFERROR(TIMEVALUE($I787),VALUE($I787))),1)*1440,0))),""))</f>
        <v/>
      </c>
      <c r="X787" s="55" t="str">
        <f aca="false">IF($P787="","",IFERROR(IF(ISNUMBER($P787),IF($P787&gt;19000000,DATE(INT($P787/10000),MOD(INT($P787/100),100),MOD($P787,100)),INT($P787)),IF(LEN(SUBSTITUTE(SUBSTITUTE(SUBSTITUTE(TRIM($P787),"-",""),".",""),"/",""))=8,DATE(VALUE(LEFT(SUBSTITUTE(SUBSTITUTE(SUBSTITUTE(TRIM($P787),"-",""),".",""),"/",""),4)),VALUE(MID(SUBSTITUTE(SUBSTITUTE(SUBSTITUTE(TRIM($P787),"-",""),".",""),"/",""),5,2)),VALUE(RIGHT(SUBSTITUTE(SUBSTITUTE(SUBSTITUTE(TRIM($P787),"-",""),".",""),"/",""),2))),DATEVALUE($P787))),""))</f>
        <v/>
      </c>
      <c r="Y787" s="56" t="str">
        <f aca="false">IF($M787="","",IFERROR(INDEX(강사DB!$D$4:$D$53,MATCH($M787,강사DB!$A$4:$A$53,0)),""))</f>
        <v/>
      </c>
      <c r="Z787" s="56" t="str">
        <f aca="false">IF($B787&lt;&gt;"결제완료","",IF(OR($Y787="",$J787=""),"",$Y787*$J787+MAX(0,N($K787)-1)*설정!$J$7))</f>
        <v/>
      </c>
      <c r="AA787" s="56" t="str">
        <f aca="false">IF(AND($D787&lt;&gt;"",$B787="결제완료"),N($N787),"")</f>
        <v/>
      </c>
      <c r="AB787" s="45" t="str">
        <f aca="false">IF($D787="","",IF($F787&lt;&gt;"",$F787,$D787)&amp;IF($B787="상담중"," (상담)",""))</f>
        <v/>
      </c>
      <c r="AC787" s="45" t="n">
        <f aca="false">IF(AND($D787&lt;&gt;"",OR($B787="결제완료",$B787="상담중")),1,0)</f>
        <v>0</v>
      </c>
      <c r="AD787" s="45" t="n">
        <f aca="false">IF(OR($Z787="",$U787=""),0,IFERROR(IF(COUNTIFS(INDEX(g_grid,0,2*MATCH($M787,강사DB!$A$4:$A$15,0)),"&lt;&gt;",g_s,"&lt;="&amp;$U787,g_e,"&gt;="&amp;$U787)&gt;0,1,0),0))</f>
        <v>0</v>
      </c>
      <c r="AE787" s="48"/>
      <c r="AF787" s="56" t="str">
        <f aca="false">IF(AND($D787&lt;&gt;"",$B787="결제완료",$T787="대여"),설정!$J$5,"")</f>
        <v/>
      </c>
      <c r="AG787" s="54" t="str">
        <f aca="false">IF($D787="","",IF(AND($E787="",$R787=""),$AB787,"☎ "&amp;IF($E787="","-",$E787)&amp;IF($R787&lt;&gt;"","  ※ "&amp;$R787,"")&amp;IF($B787="상담중"," (상담)","")))</f>
        <v/>
      </c>
      <c r="AH787" s="56" t="str">
        <f aca="false">IF(AND($D787&lt;&gt;"",$B787="결제완료",$O787="스마트스토어"),ROUND(N($N787)*설정!$J$6,0),"")</f>
        <v/>
      </c>
      <c r="AI787" s="54" t="str">
        <f aca="false">IF($D787="","",ROW())</f>
        <v/>
      </c>
      <c r="AJ787" s="54" t="n">
        <f aca="false">IF(OR($AC787&lt;&gt;1,$M787=""),0,IF(ISNUMBER(SEARCH("퇴사",IFERROR(INDEX(강사DB!$G$4:$G$53,MATCH($M787,강사DB!$A$4:$A$53,0)),""))),1,0))</f>
        <v>0</v>
      </c>
    </row>
    <row r="788" customFormat="false" ht="15" hidden="false" customHeight="false" outlineLevel="0" collapsed="false">
      <c r="A788" s="45" t="str">
        <f aca="false">IF($D788="","",COUNTA($D$5:$D788))</f>
        <v/>
      </c>
      <c r="B788" s="46"/>
      <c r="C788" s="47"/>
      <c r="D788" s="48"/>
      <c r="E788" s="48"/>
      <c r="F788" s="49"/>
      <c r="G788" s="47"/>
      <c r="H788" s="50"/>
      <c r="I788" s="50"/>
      <c r="J788" s="51" t="str">
        <f aca="false">IF(OR($V788="",$W788=""),"",ROUND(($W788-$V788)/60,2))</f>
        <v/>
      </c>
      <c r="K788" s="52" t="str">
        <f aca="false">IF($F788="","",LEN($F788)-LEN(SUBSTITUTE($F788,",",""))+1)</f>
        <v/>
      </c>
      <c r="L788" s="45" t="str">
        <f aca="false">IF($K788="","","1:"&amp;$K788)</f>
        <v/>
      </c>
      <c r="M788" s="46"/>
      <c r="N788" s="53"/>
      <c r="O788" s="46"/>
      <c r="P788" s="47"/>
      <c r="Q788" s="48"/>
      <c r="R788" s="49"/>
      <c r="S788" s="54" t="str">
        <f aca="false">IF(OR($AC788=0,$U788="",$M788="",$V788="",$W788=""),"",IF(COUNTIFS(m_teacher,$M788,m_date,$U788,m_active,1,m_start,"&lt;"&amp;$W788,m_end,"&gt;"&amp;$V788)&gt;1,"충돌",""))</f>
        <v/>
      </c>
      <c r="T788" s="48"/>
      <c r="U788" s="55" t="str">
        <f aca="false">IF($G788="","",IFERROR(IF(ISNUMBER($G788),IF($G788&gt;19000000,DATE(INT($G788/10000),MOD(INT($G788/100),100),MOD($G788,100)),INT($G788)),IF(LEN(SUBSTITUTE(SUBSTITUTE(SUBSTITUTE(TRIM($G788),"-",""),".",""),"/",""))=8,DATE(VALUE(LEFT(SUBSTITUTE(SUBSTITUTE(SUBSTITUTE(TRIM($G788),"-",""),".",""),"/",""),4)),VALUE(MID(SUBSTITUTE(SUBSTITUTE(SUBSTITUTE(TRIM($G788),"-",""),".",""),"/",""),5,2)),VALUE(RIGHT(SUBSTITUTE(SUBSTITUTE(SUBSTITUTE(TRIM($G788),"-",""),".",""),"/",""),2))),DATEVALUE($G788))),""))</f>
        <v/>
      </c>
      <c r="V788" s="52" t="str">
        <f aca="false">IF($H788="","",IFERROR(IF(IF(ISNUMBER($H788),$H788,IFERROR(TIMEVALUE($H788),VALUE($H788)))&gt;=100,INT(IF(ISNUMBER($H788),$H788,IFERROR(TIMEVALUE($H788),VALUE($H788)))/100)*60+MOD(IF(ISNUMBER($H788),$H788,IFERROR(TIMEVALUE($H788),VALUE($H788))),100),IF(IF(ISNUMBER($H788),$H788,IFERROR(TIMEVALUE($H788),VALUE($H788)))&gt;=1,ROUND(IF(ISNUMBER($H788),$H788,IFERROR(TIMEVALUE($H788),VALUE($H788)))*60,0),ROUND(MOD(IF(ISNUMBER($H788),$H788,IFERROR(TIMEVALUE($H788),VALUE($H788))),1)*1440,0))),""))</f>
        <v/>
      </c>
      <c r="W788" s="52" t="str">
        <f aca="false">IF($I788="","",IFERROR(IF(IF(ISNUMBER($I788),$I788,IFERROR(TIMEVALUE($I788),VALUE($I788)))&gt;=100,INT(IF(ISNUMBER($I788),$I788,IFERROR(TIMEVALUE($I788),VALUE($I788)))/100)*60+MOD(IF(ISNUMBER($I788),$I788,IFERROR(TIMEVALUE($I788),VALUE($I788))),100),IF(IF(ISNUMBER($I788),$I788,IFERROR(TIMEVALUE($I788),VALUE($I788)))&gt;=1,ROUND(IF(ISNUMBER($I788),$I788,IFERROR(TIMEVALUE($I788),VALUE($I788)))*60,0),ROUND(MOD(IF(ISNUMBER($I788),$I788,IFERROR(TIMEVALUE($I788),VALUE($I788))),1)*1440,0))),""))</f>
        <v/>
      </c>
      <c r="X788" s="55" t="str">
        <f aca="false">IF($P788="","",IFERROR(IF(ISNUMBER($P788),IF($P788&gt;19000000,DATE(INT($P788/10000),MOD(INT($P788/100),100),MOD($P788,100)),INT($P788)),IF(LEN(SUBSTITUTE(SUBSTITUTE(SUBSTITUTE(TRIM($P788),"-",""),".",""),"/",""))=8,DATE(VALUE(LEFT(SUBSTITUTE(SUBSTITUTE(SUBSTITUTE(TRIM($P788),"-",""),".",""),"/",""),4)),VALUE(MID(SUBSTITUTE(SUBSTITUTE(SUBSTITUTE(TRIM($P788),"-",""),".",""),"/",""),5,2)),VALUE(RIGHT(SUBSTITUTE(SUBSTITUTE(SUBSTITUTE(TRIM($P788),"-",""),".",""),"/",""),2))),DATEVALUE($P788))),""))</f>
        <v/>
      </c>
      <c r="Y788" s="56" t="str">
        <f aca="false">IF($M788="","",IFERROR(INDEX(강사DB!$D$4:$D$53,MATCH($M788,강사DB!$A$4:$A$53,0)),""))</f>
        <v/>
      </c>
      <c r="Z788" s="56" t="str">
        <f aca="false">IF($B788&lt;&gt;"결제완료","",IF(OR($Y788="",$J788=""),"",$Y788*$J788+MAX(0,N($K788)-1)*설정!$J$7))</f>
        <v/>
      </c>
      <c r="AA788" s="56" t="str">
        <f aca="false">IF(AND($D788&lt;&gt;"",$B788="결제완료"),N($N788),"")</f>
        <v/>
      </c>
      <c r="AB788" s="45" t="str">
        <f aca="false">IF($D788="","",IF($F788&lt;&gt;"",$F788,$D788)&amp;IF($B788="상담중"," (상담)",""))</f>
        <v/>
      </c>
      <c r="AC788" s="45" t="n">
        <f aca="false">IF(AND($D788&lt;&gt;"",OR($B788="결제완료",$B788="상담중")),1,0)</f>
        <v>0</v>
      </c>
      <c r="AD788" s="45" t="n">
        <f aca="false">IF(OR($Z788="",$U788=""),0,IFERROR(IF(COUNTIFS(INDEX(g_grid,0,2*MATCH($M788,강사DB!$A$4:$A$15,0)),"&lt;&gt;",g_s,"&lt;="&amp;$U788,g_e,"&gt;="&amp;$U788)&gt;0,1,0),0))</f>
        <v>0</v>
      </c>
      <c r="AE788" s="48"/>
      <c r="AF788" s="56" t="str">
        <f aca="false">IF(AND($D788&lt;&gt;"",$B788="결제완료",$T788="대여"),설정!$J$5,"")</f>
        <v/>
      </c>
      <c r="AG788" s="54" t="str">
        <f aca="false">IF($D788="","",IF(AND($E788="",$R788=""),$AB788,"☎ "&amp;IF($E788="","-",$E788)&amp;IF($R788&lt;&gt;"","  ※ "&amp;$R788,"")&amp;IF($B788="상담중"," (상담)","")))</f>
        <v/>
      </c>
      <c r="AH788" s="56" t="str">
        <f aca="false">IF(AND($D788&lt;&gt;"",$B788="결제완료",$O788="스마트스토어"),ROUND(N($N788)*설정!$J$6,0),"")</f>
        <v/>
      </c>
      <c r="AI788" s="54" t="str">
        <f aca="false">IF($D788="","",ROW())</f>
        <v/>
      </c>
      <c r="AJ788" s="54" t="n">
        <f aca="false">IF(OR($AC788&lt;&gt;1,$M788=""),0,IF(ISNUMBER(SEARCH("퇴사",IFERROR(INDEX(강사DB!$G$4:$G$53,MATCH($M788,강사DB!$A$4:$A$53,0)),""))),1,0))</f>
        <v>0</v>
      </c>
    </row>
    <row r="789" customFormat="false" ht="15" hidden="false" customHeight="false" outlineLevel="0" collapsed="false">
      <c r="A789" s="45" t="str">
        <f aca="false">IF($D789="","",COUNTA($D$5:$D789))</f>
        <v/>
      </c>
      <c r="B789" s="46"/>
      <c r="C789" s="47"/>
      <c r="D789" s="48"/>
      <c r="E789" s="48"/>
      <c r="F789" s="49"/>
      <c r="G789" s="47"/>
      <c r="H789" s="50"/>
      <c r="I789" s="50"/>
      <c r="J789" s="51" t="str">
        <f aca="false">IF(OR($V789="",$W789=""),"",ROUND(($W789-$V789)/60,2))</f>
        <v/>
      </c>
      <c r="K789" s="52" t="str">
        <f aca="false">IF($F789="","",LEN($F789)-LEN(SUBSTITUTE($F789,",",""))+1)</f>
        <v/>
      </c>
      <c r="L789" s="45" t="str">
        <f aca="false">IF($K789="","","1:"&amp;$K789)</f>
        <v/>
      </c>
      <c r="M789" s="46"/>
      <c r="N789" s="53"/>
      <c r="O789" s="46"/>
      <c r="P789" s="47"/>
      <c r="Q789" s="48"/>
      <c r="R789" s="49"/>
      <c r="S789" s="54" t="str">
        <f aca="false">IF(OR($AC789=0,$U789="",$M789="",$V789="",$W789=""),"",IF(COUNTIFS(m_teacher,$M789,m_date,$U789,m_active,1,m_start,"&lt;"&amp;$W789,m_end,"&gt;"&amp;$V789)&gt;1,"충돌",""))</f>
        <v/>
      </c>
      <c r="T789" s="48"/>
      <c r="U789" s="55" t="str">
        <f aca="false">IF($G789="","",IFERROR(IF(ISNUMBER($G789),IF($G789&gt;19000000,DATE(INT($G789/10000),MOD(INT($G789/100),100),MOD($G789,100)),INT($G789)),IF(LEN(SUBSTITUTE(SUBSTITUTE(SUBSTITUTE(TRIM($G789),"-",""),".",""),"/",""))=8,DATE(VALUE(LEFT(SUBSTITUTE(SUBSTITUTE(SUBSTITUTE(TRIM($G789),"-",""),".",""),"/",""),4)),VALUE(MID(SUBSTITUTE(SUBSTITUTE(SUBSTITUTE(TRIM($G789),"-",""),".",""),"/",""),5,2)),VALUE(RIGHT(SUBSTITUTE(SUBSTITUTE(SUBSTITUTE(TRIM($G789),"-",""),".",""),"/",""),2))),DATEVALUE($G789))),""))</f>
        <v/>
      </c>
      <c r="V789" s="52" t="str">
        <f aca="false">IF($H789="","",IFERROR(IF(IF(ISNUMBER($H789),$H789,IFERROR(TIMEVALUE($H789),VALUE($H789)))&gt;=100,INT(IF(ISNUMBER($H789),$H789,IFERROR(TIMEVALUE($H789),VALUE($H789)))/100)*60+MOD(IF(ISNUMBER($H789),$H789,IFERROR(TIMEVALUE($H789),VALUE($H789))),100),IF(IF(ISNUMBER($H789),$H789,IFERROR(TIMEVALUE($H789),VALUE($H789)))&gt;=1,ROUND(IF(ISNUMBER($H789),$H789,IFERROR(TIMEVALUE($H789),VALUE($H789)))*60,0),ROUND(MOD(IF(ISNUMBER($H789),$H789,IFERROR(TIMEVALUE($H789),VALUE($H789))),1)*1440,0))),""))</f>
        <v/>
      </c>
      <c r="W789" s="52" t="str">
        <f aca="false">IF($I789="","",IFERROR(IF(IF(ISNUMBER($I789),$I789,IFERROR(TIMEVALUE($I789),VALUE($I789)))&gt;=100,INT(IF(ISNUMBER($I789),$I789,IFERROR(TIMEVALUE($I789),VALUE($I789)))/100)*60+MOD(IF(ISNUMBER($I789),$I789,IFERROR(TIMEVALUE($I789),VALUE($I789))),100),IF(IF(ISNUMBER($I789),$I789,IFERROR(TIMEVALUE($I789),VALUE($I789)))&gt;=1,ROUND(IF(ISNUMBER($I789),$I789,IFERROR(TIMEVALUE($I789),VALUE($I789)))*60,0),ROUND(MOD(IF(ISNUMBER($I789),$I789,IFERROR(TIMEVALUE($I789),VALUE($I789))),1)*1440,0))),""))</f>
        <v/>
      </c>
      <c r="X789" s="55" t="str">
        <f aca="false">IF($P789="","",IFERROR(IF(ISNUMBER($P789),IF($P789&gt;19000000,DATE(INT($P789/10000),MOD(INT($P789/100),100),MOD($P789,100)),INT($P789)),IF(LEN(SUBSTITUTE(SUBSTITUTE(SUBSTITUTE(TRIM($P789),"-",""),".",""),"/",""))=8,DATE(VALUE(LEFT(SUBSTITUTE(SUBSTITUTE(SUBSTITUTE(TRIM($P789),"-",""),".",""),"/",""),4)),VALUE(MID(SUBSTITUTE(SUBSTITUTE(SUBSTITUTE(TRIM($P789),"-",""),".",""),"/",""),5,2)),VALUE(RIGHT(SUBSTITUTE(SUBSTITUTE(SUBSTITUTE(TRIM($P789),"-",""),".",""),"/",""),2))),DATEVALUE($P789))),""))</f>
        <v/>
      </c>
      <c r="Y789" s="56" t="str">
        <f aca="false">IF($M789="","",IFERROR(INDEX(강사DB!$D$4:$D$53,MATCH($M789,강사DB!$A$4:$A$53,0)),""))</f>
        <v/>
      </c>
      <c r="Z789" s="56" t="str">
        <f aca="false">IF($B789&lt;&gt;"결제완료","",IF(OR($Y789="",$J789=""),"",$Y789*$J789+MAX(0,N($K789)-1)*설정!$J$7))</f>
        <v/>
      </c>
      <c r="AA789" s="56" t="str">
        <f aca="false">IF(AND($D789&lt;&gt;"",$B789="결제완료"),N($N789),"")</f>
        <v/>
      </c>
      <c r="AB789" s="45" t="str">
        <f aca="false">IF($D789="","",IF($F789&lt;&gt;"",$F789,$D789)&amp;IF($B789="상담중"," (상담)",""))</f>
        <v/>
      </c>
      <c r="AC789" s="45" t="n">
        <f aca="false">IF(AND($D789&lt;&gt;"",OR($B789="결제완료",$B789="상담중")),1,0)</f>
        <v>0</v>
      </c>
      <c r="AD789" s="45" t="n">
        <f aca="false">IF(OR($Z789="",$U789=""),0,IFERROR(IF(COUNTIFS(INDEX(g_grid,0,2*MATCH($M789,강사DB!$A$4:$A$15,0)),"&lt;&gt;",g_s,"&lt;="&amp;$U789,g_e,"&gt;="&amp;$U789)&gt;0,1,0),0))</f>
        <v>0</v>
      </c>
      <c r="AE789" s="48"/>
      <c r="AF789" s="56" t="str">
        <f aca="false">IF(AND($D789&lt;&gt;"",$B789="결제완료",$T789="대여"),설정!$J$5,"")</f>
        <v/>
      </c>
      <c r="AG789" s="54" t="str">
        <f aca="false">IF($D789="","",IF(AND($E789="",$R789=""),$AB789,"☎ "&amp;IF($E789="","-",$E789)&amp;IF($R789&lt;&gt;"","  ※ "&amp;$R789,"")&amp;IF($B789="상담중"," (상담)","")))</f>
        <v/>
      </c>
      <c r="AH789" s="56" t="str">
        <f aca="false">IF(AND($D789&lt;&gt;"",$B789="결제완료",$O789="스마트스토어"),ROUND(N($N789)*설정!$J$6,0),"")</f>
        <v/>
      </c>
      <c r="AI789" s="54" t="str">
        <f aca="false">IF($D789="","",ROW())</f>
        <v/>
      </c>
      <c r="AJ789" s="54" t="n">
        <f aca="false">IF(OR($AC789&lt;&gt;1,$M789=""),0,IF(ISNUMBER(SEARCH("퇴사",IFERROR(INDEX(강사DB!$G$4:$G$53,MATCH($M789,강사DB!$A$4:$A$53,0)),""))),1,0))</f>
        <v>0</v>
      </c>
    </row>
    <row r="790" customFormat="false" ht="15" hidden="false" customHeight="false" outlineLevel="0" collapsed="false">
      <c r="A790" s="45" t="str">
        <f aca="false">IF($D790="","",COUNTA($D$5:$D790))</f>
        <v/>
      </c>
      <c r="B790" s="46"/>
      <c r="C790" s="47"/>
      <c r="D790" s="48"/>
      <c r="E790" s="48"/>
      <c r="F790" s="49"/>
      <c r="G790" s="47"/>
      <c r="H790" s="50"/>
      <c r="I790" s="50"/>
      <c r="J790" s="51" t="str">
        <f aca="false">IF(OR($V790="",$W790=""),"",ROUND(($W790-$V790)/60,2))</f>
        <v/>
      </c>
      <c r="K790" s="52" t="str">
        <f aca="false">IF($F790="","",LEN($F790)-LEN(SUBSTITUTE($F790,",",""))+1)</f>
        <v/>
      </c>
      <c r="L790" s="45" t="str">
        <f aca="false">IF($K790="","","1:"&amp;$K790)</f>
        <v/>
      </c>
      <c r="M790" s="46"/>
      <c r="N790" s="53"/>
      <c r="O790" s="46"/>
      <c r="P790" s="47"/>
      <c r="Q790" s="48"/>
      <c r="R790" s="49"/>
      <c r="S790" s="54" t="str">
        <f aca="false">IF(OR($AC790=0,$U790="",$M790="",$V790="",$W790=""),"",IF(COUNTIFS(m_teacher,$M790,m_date,$U790,m_active,1,m_start,"&lt;"&amp;$W790,m_end,"&gt;"&amp;$V790)&gt;1,"충돌",""))</f>
        <v/>
      </c>
      <c r="T790" s="48"/>
      <c r="U790" s="55" t="str">
        <f aca="false">IF($G790="","",IFERROR(IF(ISNUMBER($G790),IF($G790&gt;19000000,DATE(INT($G790/10000),MOD(INT($G790/100),100),MOD($G790,100)),INT($G790)),IF(LEN(SUBSTITUTE(SUBSTITUTE(SUBSTITUTE(TRIM($G790),"-",""),".",""),"/",""))=8,DATE(VALUE(LEFT(SUBSTITUTE(SUBSTITUTE(SUBSTITUTE(TRIM($G790),"-",""),".",""),"/",""),4)),VALUE(MID(SUBSTITUTE(SUBSTITUTE(SUBSTITUTE(TRIM($G790),"-",""),".",""),"/",""),5,2)),VALUE(RIGHT(SUBSTITUTE(SUBSTITUTE(SUBSTITUTE(TRIM($G790),"-",""),".",""),"/",""),2))),DATEVALUE($G790))),""))</f>
        <v/>
      </c>
      <c r="V790" s="52" t="str">
        <f aca="false">IF($H790="","",IFERROR(IF(IF(ISNUMBER($H790),$H790,IFERROR(TIMEVALUE($H790),VALUE($H790)))&gt;=100,INT(IF(ISNUMBER($H790),$H790,IFERROR(TIMEVALUE($H790),VALUE($H790)))/100)*60+MOD(IF(ISNUMBER($H790),$H790,IFERROR(TIMEVALUE($H790),VALUE($H790))),100),IF(IF(ISNUMBER($H790),$H790,IFERROR(TIMEVALUE($H790),VALUE($H790)))&gt;=1,ROUND(IF(ISNUMBER($H790),$H790,IFERROR(TIMEVALUE($H790),VALUE($H790)))*60,0),ROUND(MOD(IF(ISNUMBER($H790),$H790,IFERROR(TIMEVALUE($H790),VALUE($H790))),1)*1440,0))),""))</f>
        <v/>
      </c>
      <c r="W790" s="52" t="str">
        <f aca="false">IF($I790="","",IFERROR(IF(IF(ISNUMBER($I790),$I790,IFERROR(TIMEVALUE($I790),VALUE($I790)))&gt;=100,INT(IF(ISNUMBER($I790),$I790,IFERROR(TIMEVALUE($I790),VALUE($I790)))/100)*60+MOD(IF(ISNUMBER($I790),$I790,IFERROR(TIMEVALUE($I790),VALUE($I790))),100),IF(IF(ISNUMBER($I790),$I790,IFERROR(TIMEVALUE($I790),VALUE($I790)))&gt;=1,ROUND(IF(ISNUMBER($I790),$I790,IFERROR(TIMEVALUE($I790),VALUE($I790)))*60,0),ROUND(MOD(IF(ISNUMBER($I790),$I790,IFERROR(TIMEVALUE($I790),VALUE($I790))),1)*1440,0))),""))</f>
        <v/>
      </c>
      <c r="X790" s="55" t="str">
        <f aca="false">IF($P790="","",IFERROR(IF(ISNUMBER($P790),IF($P790&gt;19000000,DATE(INT($P790/10000),MOD(INT($P790/100),100),MOD($P790,100)),INT($P790)),IF(LEN(SUBSTITUTE(SUBSTITUTE(SUBSTITUTE(TRIM($P790),"-",""),".",""),"/",""))=8,DATE(VALUE(LEFT(SUBSTITUTE(SUBSTITUTE(SUBSTITUTE(TRIM($P790),"-",""),".",""),"/",""),4)),VALUE(MID(SUBSTITUTE(SUBSTITUTE(SUBSTITUTE(TRIM($P790),"-",""),".",""),"/",""),5,2)),VALUE(RIGHT(SUBSTITUTE(SUBSTITUTE(SUBSTITUTE(TRIM($P790),"-",""),".",""),"/",""),2))),DATEVALUE($P790))),""))</f>
        <v/>
      </c>
      <c r="Y790" s="56" t="str">
        <f aca="false">IF($M790="","",IFERROR(INDEX(강사DB!$D$4:$D$53,MATCH($M790,강사DB!$A$4:$A$53,0)),""))</f>
        <v/>
      </c>
      <c r="Z790" s="56" t="str">
        <f aca="false">IF($B790&lt;&gt;"결제완료","",IF(OR($Y790="",$J790=""),"",$Y790*$J790+MAX(0,N($K790)-1)*설정!$J$7))</f>
        <v/>
      </c>
      <c r="AA790" s="56" t="str">
        <f aca="false">IF(AND($D790&lt;&gt;"",$B790="결제완료"),N($N790),"")</f>
        <v/>
      </c>
      <c r="AB790" s="45" t="str">
        <f aca="false">IF($D790="","",IF($F790&lt;&gt;"",$F790,$D790)&amp;IF($B790="상담중"," (상담)",""))</f>
        <v/>
      </c>
      <c r="AC790" s="45" t="n">
        <f aca="false">IF(AND($D790&lt;&gt;"",OR($B790="결제완료",$B790="상담중")),1,0)</f>
        <v>0</v>
      </c>
      <c r="AD790" s="45" t="n">
        <f aca="false">IF(OR($Z790="",$U790=""),0,IFERROR(IF(COUNTIFS(INDEX(g_grid,0,2*MATCH($M790,강사DB!$A$4:$A$15,0)),"&lt;&gt;",g_s,"&lt;="&amp;$U790,g_e,"&gt;="&amp;$U790)&gt;0,1,0),0))</f>
        <v>0</v>
      </c>
      <c r="AE790" s="48"/>
      <c r="AF790" s="56" t="str">
        <f aca="false">IF(AND($D790&lt;&gt;"",$B790="결제완료",$T790="대여"),설정!$J$5,"")</f>
        <v/>
      </c>
      <c r="AG790" s="54" t="str">
        <f aca="false">IF($D790="","",IF(AND($E790="",$R790=""),$AB790,"☎ "&amp;IF($E790="","-",$E790)&amp;IF($R790&lt;&gt;"","  ※ "&amp;$R790,"")&amp;IF($B790="상담중"," (상담)","")))</f>
        <v/>
      </c>
      <c r="AH790" s="56" t="str">
        <f aca="false">IF(AND($D790&lt;&gt;"",$B790="결제완료",$O790="스마트스토어"),ROUND(N($N790)*설정!$J$6,0),"")</f>
        <v/>
      </c>
      <c r="AI790" s="54" t="str">
        <f aca="false">IF($D790="","",ROW())</f>
        <v/>
      </c>
      <c r="AJ790" s="54" t="n">
        <f aca="false">IF(OR($AC790&lt;&gt;1,$M790=""),0,IF(ISNUMBER(SEARCH("퇴사",IFERROR(INDEX(강사DB!$G$4:$G$53,MATCH($M790,강사DB!$A$4:$A$53,0)),""))),1,0))</f>
        <v>0</v>
      </c>
    </row>
    <row r="791" customFormat="false" ht="15" hidden="false" customHeight="false" outlineLevel="0" collapsed="false">
      <c r="A791" s="45" t="str">
        <f aca="false">IF($D791="","",COUNTA($D$5:$D791))</f>
        <v/>
      </c>
      <c r="B791" s="46"/>
      <c r="C791" s="47"/>
      <c r="D791" s="48"/>
      <c r="E791" s="48"/>
      <c r="F791" s="49"/>
      <c r="G791" s="47"/>
      <c r="H791" s="50"/>
      <c r="I791" s="50"/>
      <c r="J791" s="51" t="str">
        <f aca="false">IF(OR($V791="",$W791=""),"",ROUND(($W791-$V791)/60,2))</f>
        <v/>
      </c>
      <c r="K791" s="52" t="str">
        <f aca="false">IF($F791="","",LEN($F791)-LEN(SUBSTITUTE($F791,",",""))+1)</f>
        <v/>
      </c>
      <c r="L791" s="45" t="str">
        <f aca="false">IF($K791="","","1:"&amp;$K791)</f>
        <v/>
      </c>
      <c r="M791" s="46"/>
      <c r="N791" s="53"/>
      <c r="O791" s="46"/>
      <c r="P791" s="47"/>
      <c r="Q791" s="48"/>
      <c r="R791" s="49"/>
      <c r="S791" s="54" t="str">
        <f aca="false">IF(OR($AC791=0,$U791="",$M791="",$V791="",$W791=""),"",IF(COUNTIFS(m_teacher,$M791,m_date,$U791,m_active,1,m_start,"&lt;"&amp;$W791,m_end,"&gt;"&amp;$V791)&gt;1,"충돌",""))</f>
        <v/>
      </c>
      <c r="T791" s="48"/>
      <c r="U791" s="55" t="str">
        <f aca="false">IF($G791="","",IFERROR(IF(ISNUMBER($G791),IF($G791&gt;19000000,DATE(INT($G791/10000),MOD(INT($G791/100),100),MOD($G791,100)),INT($G791)),IF(LEN(SUBSTITUTE(SUBSTITUTE(SUBSTITUTE(TRIM($G791),"-",""),".",""),"/",""))=8,DATE(VALUE(LEFT(SUBSTITUTE(SUBSTITUTE(SUBSTITUTE(TRIM($G791),"-",""),".",""),"/",""),4)),VALUE(MID(SUBSTITUTE(SUBSTITUTE(SUBSTITUTE(TRIM($G791),"-",""),".",""),"/",""),5,2)),VALUE(RIGHT(SUBSTITUTE(SUBSTITUTE(SUBSTITUTE(TRIM($G791),"-",""),".",""),"/",""),2))),DATEVALUE($G791))),""))</f>
        <v/>
      </c>
      <c r="V791" s="52" t="str">
        <f aca="false">IF($H791="","",IFERROR(IF(IF(ISNUMBER($H791),$H791,IFERROR(TIMEVALUE($H791),VALUE($H791)))&gt;=100,INT(IF(ISNUMBER($H791),$H791,IFERROR(TIMEVALUE($H791),VALUE($H791)))/100)*60+MOD(IF(ISNUMBER($H791),$H791,IFERROR(TIMEVALUE($H791),VALUE($H791))),100),IF(IF(ISNUMBER($H791),$H791,IFERROR(TIMEVALUE($H791),VALUE($H791)))&gt;=1,ROUND(IF(ISNUMBER($H791),$H791,IFERROR(TIMEVALUE($H791),VALUE($H791)))*60,0),ROUND(MOD(IF(ISNUMBER($H791),$H791,IFERROR(TIMEVALUE($H791),VALUE($H791))),1)*1440,0))),""))</f>
        <v/>
      </c>
      <c r="W791" s="52" t="str">
        <f aca="false">IF($I791="","",IFERROR(IF(IF(ISNUMBER($I791),$I791,IFERROR(TIMEVALUE($I791),VALUE($I791)))&gt;=100,INT(IF(ISNUMBER($I791),$I791,IFERROR(TIMEVALUE($I791),VALUE($I791)))/100)*60+MOD(IF(ISNUMBER($I791),$I791,IFERROR(TIMEVALUE($I791),VALUE($I791))),100),IF(IF(ISNUMBER($I791),$I791,IFERROR(TIMEVALUE($I791),VALUE($I791)))&gt;=1,ROUND(IF(ISNUMBER($I791),$I791,IFERROR(TIMEVALUE($I791),VALUE($I791)))*60,0),ROUND(MOD(IF(ISNUMBER($I791),$I791,IFERROR(TIMEVALUE($I791),VALUE($I791))),1)*1440,0))),""))</f>
        <v/>
      </c>
      <c r="X791" s="55" t="str">
        <f aca="false">IF($P791="","",IFERROR(IF(ISNUMBER($P791),IF($P791&gt;19000000,DATE(INT($P791/10000),MOD(INT($P791/100),100),MOD($P791,100)),INT($P791)),IF(LEN(SUBSTITUTE(SUBSTITUTE(SUBSTITUTE(TRIM($P791),"-",""),".",""),"/",""))=8,DATE(VALUE(LEFT(SUBSTITUTE(SUBSTITUTE(SUBSTITUTE(TRIM($P791),"-",""),".",""),"/",""),4)),VALUE(MID(SUBSTITUTE(SUBSTITUTE(SUBSTITUTE(TRIM($P791),"-",""),".",""),"/",""),5,2)),VALUE(RIGHT(SUBSTITUTE(SUBSTITUTE(SUBSTITUTE(TRIM($P791),"-",""),".",""),"/",""),2))),DATEVALUE($P791))),""))</f>
        <v/>
      </c>
      <c r="Y791" s="56" t="str">
        <f aca="false">IF($M791="","",IFERROR(INDEX(강사DB!$D$4:$D$53,MATCH($M791,강사DB!$A$4:$A$53,0)),""))</f>
        <v/>
      </c>
      <c r="Z791" s="56" t="str">
        <f aca="false">IF($B791&lt;&gt;"결제완료","",IF(OR($Y791="",$J791=""),"",$Y791*$J791+MAX(0,N($K791)-1)*설정!$J$7))</f>
        <v/>
      </c>
      <c r="AA791" s="56" t="str">
        <f aca="false">IF(AND($D791&lt;&gt;"",$B791="결제완료"),N($N791),"")</f>
        <v/>
      </c>
      <c r="AB791" s="45" t="str">
        <f aca="false">IF($D791="","",IF($F791&lt;&gt;"",$F791,$D791)&amp;IF($B791="상담중"," (상담)",""))</f>
        <v/>
      </c>
      <c r="AC791" s="45" t="n">
        <f aca="false">IF(AND($D791&lt;&gt;"",OR($B791="결제완료",$B791="상담중")),1,0)</f>
        <v>0</v>
      </c>
      <c r="AD791" s="45" t="n">
        <f aca="false">IF(OR($Z791="",$U791=""),0,IFERROR(IF(COUNTIFS(INDEX(g_grid,0,2*MATCH($M791,강사DB!$A$4:$A$15,0)),"&lt;&gt;",g_s,"&lt;="&amp;$U791,g_e,"&gt;="&amp;$U791)&gt;0,1,0),0))</f>
        <v>0</v>
      </c>
      <c r="AE791" s="48"/>
      <c r="AF791" s="56" t="str">
        <f aca="false">IF(AND($D791&lt;&gt;"",$B791="결제완료",$T791="대여"),설정!$J$5,"")</f>
        <v/>
      </c>
      <c r="AG791" s="54" t="str">
        <f aca="false">IF($D791="","",IF(AND($E791="",$R791=""),$AB791,"☎ "&amp;IF($E791="","-",$E791)&amp;IF($R791&lt;&gt;"","  ※ "&amp;$R791,"")&amp;IF($B791="상담중"," (상담)","")))</f>
        <v/>
      </c>
      <c r="AH791" s="56" t="str">
        <f aca="false">IF(AND($D791&lt;&gt;"",$B791="결제완료",$O791="스마트스토어"),ROUND(N($N791)*설정!$J$6,0),"")</f>
        <v/>
      </c>
      <c r="AI791" s="54" t="str">
        <f aca="false">IF($D791="","",ROW())</f>
        <v/>
      </c>
      <c r="AJ791" s="54" t="n">
        <f aca="false">IF(OR($AC791&lt;&gt;1,$M791=""),0,IF(ISNUMBER(SEARCH("퇴사",IFERROR(INDEX(강사DB!$G$4:$G$53,MATCH($M791,강사DB!$A$4:$A$53,0)),""))),1,0))</f>
        <v>0</v>
      </c>
    </row>
    <row r="792" customFormat="false" ht="15" hidden="false" customHeight="false" outlineLevel="0" collapsed="false">
      <c r="A792" s="45" t="str">
        <f aca="false">IF($D792="","",COUNTA($D$5:$D792))</f>
        <v/>
      </c>
      <c r="B792" s="46"/>
      <c r="C792" s="47"/>
      <c r="D792" s="48"/>
      <c r="E792" s="48"/>
      <c r="F792" s="49"/>
      <c r="G792" s="47"/>
      <c r="H792" s="50"/>
      <c r="I792" s="50"/>
      <c r="J792" s="51" t="str">
        <f aca="false">IF(OR($V792="",$W792=""),"",ROUND(($W792-$V792)/60,2))</f>
        <v/>
      </c>
      <c r="K792" s="52" t="str">
        <f aca="false">IF($F792="","",LEN($F792)-LEN(SUBSTITUTE($F792,",",""))+1)</f>
        <v/>
      </c>
      <c r="L792" s="45" t="str">
        <f aca="false">IF($K792="","","1:"&amp;$K792)</f>
        <v/>
      </c>
      <c r="M792" s="46"/>
      <c r="N792" s="53"/>
      <c r="O792" s="46"/>
      <c r="P792" s="47"/>
      <c r="Q792" s="48"/>
      <c r="R792" s="49"/>
      <c r="S792" s="54" t="str">
        <f aca="false">IF(OR($AC792=0,$U792="",$M792="",$V792="",$W792=""),"",IF(COUNTIFS(m_teacher,$M792,m_date,$U792,m_active,1,m_start,"&lt;"&amp;$W792,m_end,"&gt;"&amp;$V792)&gt;1,"충돌",""))</f>
        <v/>
      </c>
      <c r="T792" s="48"/>
      <c r="U792" s="55" t="str">
        <f aca="false">IF($G792="","",IFERROR(IF(ISNUMBER($G792),IF($G792&gt;19000000,DATE(INT($G792/10000),MOD(INT($G792/100),100),MOD($G792,100)),INT($G792)),IF(LEN(SUBSTITUTE(SUBSTITUTE(SUBSTITUTE(TRIM($G792),"-",""),".",""),"/",""))=8,DATE(VALUE(LEFT(SUBSTITUTE(SUBSTITUTE(SUBSTITUTE(TRIM($G792),"-",""),".",""),"/",""),4)),VALUE(MID(SUBSTITUTE(SUBSTITUTE(SUBSTITUTE(TRIM($G792),"-",""),".",""),"/",""),5,2)),VALUE(RIGHT(SUBSTITUTE(SUBSTITUTE(SUBSTITUTE(TRIM($G792),"-",""),".",""),"/",""),2))),DATEVALUE($G792))),""))</f>
        <v/>
      </c>
      <c r="V792" s="52" t="str">
        <f aca="false">IF($H792="","",IFERROR(IF(IF(ISNUMBER($H792),$H792,IFERROR(TIMEVALUE($H792),VALUE($H792)))&gt;=100,INT(IF(ISNUMBER($H792),$H792,IFERROR(TIMEVALUE($H792),VALUE($H792)))/100)*60+MOD(IF(ISNUMBER($H792),$H792,IFERROR(TIMEVALUE($H792),VALUE($H792))),100),IF(IF(ISNUMBER($H792),$H792,IFERROR(TIMEVALUE($H792),VALUE($H792)))&gt;=1,ROUND(IF(ISNUMBER($H792),$H792,IFERROR(TIMEVALUE($H792),VALUE($H792)))*60,0),ROUND(MOD(IF(ISNUMBER($H792),$H792,IFERROR(TIMEVALUE($H792),VALUE($H792))),1)*1440,0))),""))</f>
        <v/>
      </c>
      <c r="W792" s="52" t="str">
        <f aca="false">IF($I792="","",IFERROR(IF(IF(ISNUMBER($I792),$I792,IFERROR(TIMEVALUE($I792),VALUE($I792)))&gt;=100,INT(IF(ISNUMBER($I792),$I792,IFERROR(TIMEVALUE($I792),VALUE($I792)))/100)*60+MOD(IF(ISNUMBER($I792),$I792,IFERROR(TIMEVALUE($I792),VALUE($I792))),100),IF(IF(ISNUMBER($I792),$I792,IFERROR(TIMEVALUE($I792),VALUE($I792)))&gt;=1,ROUND(IF(ISNUMBER($I792),$I792,IFERROR(TIMEVALUE($I792),VALUE($I792)))*60,0),ROUND(MOD(IF(ISNUMBER($I792),$I792,IFERROR(TIMEVALUE($I792),VALUE($I792))),1)*1440,0))),""))</f>
        <v/>
      </c>
      <c r="X792" s="55" t="str">
        <f aca="false">IF($P792="","",IFERROR(IF(ISNUMBER($P792),IF($P792&gt;19000000,DATE(INT($P792/10000),MOD(INT($P792/100),100),MOD($P792,100)),INT($P792)),IF(LEN(SUBSTITUTE(SUBSTITUTE(SUBSTITUTE(TRIM($P792),"-",""),".",""),"/",""))=8,DATE(VALUE(LEFT(SUBSTITUTE(SUBSTITUTE(SUBSTITUTE(TRIM($P792),"-",""),".",""),"/",""),4)),VALUE(MID(SUBSTITUTE(SUBSTITUTE(SUBSTITUTE(TRIM($P792),"-",""),".",""),"/",""),5,2)),VALUE(RIGHT(SUBSTITUTE(SUBSTITUTE(SUBSTITUTE(TRIM($P792),"-",""),".",""),"/",""),2))),DATEVALUE($P792))),""))</f>
        <v/>
      </c>
      <c r="Y792" s="56" t="str">
        <f aca="false">IF($M792="","",IFERROR(INDEX(강사DB!$D$4:$D$53,MATCH($M792,강사DB!$A$4:$A$53,0)),""))</f>
        <v/>
      </c>
      <c r="Z792" s="56" t="str">
        <f aca="false">IF($B792&lt;&gt;"결제완료","",IF(OR($Y792="",$J792=""),"",$Y792*$J792+MAX(0,N($K792)-1)*설정!$J$7))</f>
        <v/>
      </c>
      <c r="AA792" s="56" t="str">
        <f aca="false">IF(AND($D792&lt;&gt;"",$B792="결제완료"),N($N792),"")</f>
        <v/>
      </c>
      <c r="AB792" s="45" t="str">
        <f aca="false">IF($D792="","",IF($F792&lt;&gt;"",$F792,$D792)&amp;IF($B792="상담중"," (상담)",""))</f>
        <v/>
      </c>
      <c r="AC792" s="45" t="n">
        <f aca="false">IF(AND($D792&lt;&gt;"",OR($B792="결제완료",$B792="상담중")),1,0)</f>
        <v>0</v>
      </c>
      <c r="AD792" s="45" t="n">
        <f aca="false">IF(OR($Z792="",$U792=""),0,IFERROR(IF(COUNTIFS(INDEX(g_grid,0,2*MATCH($M792,강사DB!$A$4:$A$15,0)),"&lt;&gt;",g_s,"&lt;="&amp;$U792,g_e,"&gt;="&amp;$U792)&gt;0,1,0),0))</f>
        <v>0</v>
      </c>
      <c r="AE792" s="48"/>
      <c r="AF792" s="56" t="str">
        <f aca="false">IF(AND($D792&lt;&gt;"",$B792="결제완료",$T792="대여"),설정!$J$5,"")</f>
        <v/>
      </c>
      <c r="AG792" s="54" t="str">
        <f aca="false">IF($D792="","",IF(AND($E792="",$R792=""),$AB792,"☎ "&amp;IF($E792="","-",$E792)&amp;IF($R792&lt;&gt;"","  ※ "&amp;$R792,"")&amp;IF($B792="상담중"," (상담)","")))</f>
        <v/>
      </c>
      <c r="AH792" s="56" t="str">
        <f aca="false">IF(AND($D792&lt;&gt;"",$B792="결제완료",$O792="스마트스토어"),ROUND(N($N792)*설정!$J$6,0),"")</f>
        <v/>
      </c>
      <c r="AI792" s="54" t="str">
        <f aca="false">IF($D792="","",ROW())</f>
        <v/>
      </c>
      <c r="AJ792" s="54" t="n">
        <f aca="false">IF(OR($AC792&lt;&gt;1,$M792=""),0,IF(ISNUMBER(SEARCH("퇴사",IFERROR(INDEX(강사DB!$G$4:$G$53,MATCH($M792,강사DB!$A$4:$A$53,0)),""))),1,0))</f>
        <v>0</v>
      </c>
    </row>
    <row r="793" customFormat="false" ht="15" hidden="false" customHeight="false" outlineLevel="0" collapsed="false">
      <c r="A793" s="45" t="str">
        <f aca="false">IF($D793="","",COUNTA($D$5:$D793))</f>
        <v/>
      </c>
      <c r="B793" s="46"/>
      <c r="C793" s="47"/>
      <c r="D793" s="48"/>
      <c r="E793" s="48"/>
      <c r="F793" s="49"/>
      <c r="G793" s="47"/>
      <c r="H793" s="50"/>
      <c r="I793" s="50"/>
      <c r="J793" s="51" t="str">
        <f aca="false">IF(OR($V793="",$W793=""),"",ROUND(($W793-$V793)/60,2))</f>
        <v/>
      </c>
      <c r="K793" s="52" t="str">
        <f aca="false">IF($F793="","",LEN($F793)-LEN(SUBSTITUTE($F793,",",""))+1)</f>
        <v/>
      </c>
      <c r="L793" s="45" t="str">
        <f aca="false">IF($K793="","","1:"&amp;$K793)</f>
        <v/>
      </c>
      <c r="M793" s="46"/>
      <c r="N793" s="53"/>
      <c r="O793" s="46"/>
      <c r="P793" s="47"/>
      <c r="Q793" s="48"/>
      <c r="R793" s="49"/>
      <c r="S793" s="54" t="str">
        <f aca="false">IF(OR($AC793=0,$U793="",$M793="",$V793="",$W793=""),"",IF(COUNTIFS(m_teacher,$M793,m_date,$U793,m_active,1,m_start,"&lt;"&amp;$W793,m_end,"&gt;"&amp;$V793)&gt;1,"충돌",""))</f>
        <v/>
      </c>
      <c r="T793" s="48"/>
      <c r="U793" s="55" t="str">
        <f aca="false">IF($G793="","",IFERROR(IF(ISNUMBER($G793),IF($G793&gt;19000000,DATE(INT($G793/10000),MOD(INT($G793/100),100),MOD($G793,100)),INT($G793)),IF(LEN(SUBSTITUTE(SUBSTITUTE(SUBSTITUTE(TRIM($G793),"-",""),".",""),"/",""))=8,DATE(VALUE(LEFT(SUBSTITUTE(SUBSTITUTE(SUBSTITUTE(TRIM($G793),"-",""),".",""),"/",""),4)),VALUE(MID(SUBSTITUTE(SUBSTITUTE(SUBSTITUTE(TRIM($G793),"-",""),".",""),"/",""),5,2)),VALUE(RIGHT(SUBSTITUTE(SUBSTITUTE(SUBSTITUTE(TRIM($G793),"-",""),".",""),"/",""),2))),DATEVALUE($G793))),""))</f>
        <v/>
      </c>
      <c r="V793" s="52" t="str">
        <f aca="false">IF($H793="","",IFERROR(IF(IF(ISNUMBER($H793),$H793,IFERROR(TIMEVALUE($H793),VALUE($H793)))&gt;=100,INT(IF(ISNUMBER($H793),$H793,IFERROR(TIMEVALUE($H793),VALUE($H793)))/100)*60+MOD(IF(ISNUMBER($H793),$H793,IFERROR(TIMEVALUE($H793),VALUE($H793))),100),IF(IF(ISNUMBER($H793),$H793,IFERROR(TIMEVALUE($H793),VALUE($H793)))&gt;=1,ROUND(IF(ISNUMBER($H793),$H793,IFERROR(TIMEVALUE($H793),VALUE($H793)))*60,0),ROUND(MOD(IF(ISNUMBER($H793),$H793,IFERROR(TIMEVALUE($H793),VALUE($H793))),1)*1440,0))),""))</f>
        <v/>
      </c>
      <c r="W793" s="52" t="str">
        <f aca="false">IF($I793="","",IFERROR(IF(IF(ISNUMBER($I793),$I793,IFERROR(TIMEVALUE($I793),VALUE($I793)))&gt;=100,INT(IF(ISNUMBER($I793),$I793,IFERROR(TIMEVALUE($I793),VALUE($I793)))/100)*60+MOD(IF(ISNUMBER($I793),$I793,IFERROR(TIMEVALUE($I793),VALUE($I793))),100),IF(IF(ISNUMBER($I793),$I793,IFERROR(TIMEVALUE($I793),VALUE($I793)))&gt;=1,ROUND(IF(ISNUMBER($I793),$I793,IFERROR(TIMEVALUE($I793),VALUE($I793)))*60,0),ROUND(MOD(IF(ISNUMBER($I793),$I793,IFERROR(TIMEVALUE($I793),VALUE($I793))),1)*1440,0))),""))</f>
        <v/>
      </c>
      <c r="X793" s="55" t="str">
        <f aca="false">IF($P793="","",IFERROR(IF(ISNUMBER($P793),IF($P793&gt;19000000,DATE(INT($P793/10000),MOD(INT($P793/100),100),MOD($P793,100)),INT($P793)),IF(LEN(SUBSTITUTE(SUBSTITUTE(SUBSTITUTE(TRIM($P793),"-",""),".",""),"/",""))=8,DATE(VALUE(LEFT(SUBSTITUTE(SUBSTITUTE(SUBSTITUTE(TRIM($P793),"-",""),".",""),"/",""),4)),VALUE(MID(SUBSTITUTE(SUBSTITUTE(SUBSTITUTE(TRIM($P793),"-",""),".",""),"/",""),5,2)),VALUE(RIGHT(SUBSTITUTE(SUBSTITUTE(SUBSTITUTE(TRIM($P793),"-",""),".",""),"/",""),2))),DATEVALUE($P793))),""))</f>
        <v/>
      </c>
      <c r="Y793" s="56" t="str">
        <f aca="false">IF($M793="","",IFERROR(INDEX(강사DB!$D$4:$D$53,MATCH($M793,강사DB!$A$4:$A$53,0)),""))</f>
        <v/>
      </c>
      <c r="Z793" s="56" t="str">
        <f aca="false">IF($B793&lt;&gt;"결제완료","",IF(OR($Y793="",$J793=""),"",$Y793*$J793+MAX(0,N($K793)-1)*설정!$J$7))</f>
        <v/>
      </c>
      <c r="AA793" s="56" t="str">
        <f aca="false">IF(AND($D793&lt;&gt;"",$B793="결제완료"),N($N793),"")</f>
        <v/>
      </c>
      <c r="AB793" s="45" t="str">
        <f aca="false">IF($D793="","",IF($F793&lt;&gt;"",$F793,$D793)&amp;IF($B793="상담중"," (상담)",""))</f>
        <v/>
      </c>
      <c r="AC793" s="45" t="n">
        <f aca="false">IF(AND($D793&lt;&gt;"",OR($B793="결제완료",$B793="상담중")),1,0)</f>
        <v>0</v>
      </c>
      <c r="AD793" s="45" t="n">
        <f aca="false">IF(OR($Z793="",$U793=""),0,IFERROR(IF(COUNTIFS(INDEX(g_grid,0,2*MATCH($M793,강사DB!$A$4:$A$15,0)),"&lt;&gt;",g_s,"&lt;="&amp;$U793,g_e,"&gt;="&amp;$U793)&gt;0,1,0),0))</f>
        <v>0</v>
      </c>
      <c r="AE793" s="48"/>
      <c r="AF793" s="56" t="str">
        <f aca="false">IF(AND($D793&lt;&gt;"",$B793="결제완료",$T793="대여"),설정!$J$5,"")</f>
        <v/>
      </c>
      <c r="AG793" s="54" t="str">
        <f aca="false">IF($D793="","",IF(AND($E793="",$R793=""),$AB793,"☎ "&amp;IF($E793="","-",$E793)&amp;IF($R793&lt;&gt;"","  ※ "&amp;$R793,"")&amp;IF($B793="상담중"," (상담)","")))</f>
        <v/>
      </c>
      <c r="AH793" s="56" t="str">
        <f aca="false">IF(AND($D793&lt;&gt;"",$B793="결제완료",$O793="스마트스토어"),ROUND(N($N793)*설정!$J$6,0),"")</f>
        <v/>
      </c>
      <c r="AI793" s="54" t="str">
        <f aca="false">IF($D793="","",ROW())</f>
        <v/>
      </c>
      <c r="AJ793" s="54" t="n">
        <f aca="false">IF(OR($AC793&lt;&gt;1,$M793=""),0,IF(ISNUMBER(SEARCH("퇴사",IFERROR(INDEX(강사DB!$G$4:$G$53,MATCH($M793,강사DB!$A$4:$A$53,0)),""))),1,0))</f>
        <v>0</v>
      </c>
    </row>
    <row r="794" customFormat="false" ht="15" hidden="false" customHeight="false" outlineLevel="0" collapsed="false">
      <c r="A794" s="45" t="str">
        <f aca="false">IF($D794="","",COUNTA($D$5:$D794))</f>
        <v/>
      </c>
      <c r="B794" s="46"/>
      <c r="C794" s="47"/>
      <c r="D794" s="48"/>
      <c r="E794" s="48"/>
      <c r="F794" s="49"/>
      <c r="G794" s="47"/>
      <c r="H794" s="50"/>
      <c r="I794" s="50"/>
      <c r="J794" s="51" t="str">
        <f aca="false">IF(OR($V794="",$W794=""),"",ROUND(($W794-$V794)/60,2))</f>
        <v/>
      </c>
      <c r="K794" s="52" t="str">
        <f aca="false">IF($F794="","",LEN($F794)-LEN(SUBSTITUTE($F794,",",""))+1)</f>
        <v/>
      </c>
      <c r="L794" s="45" t="str">
        <f aca="false">IF($K794="","","1:"&amp;$K794)</f>
        <v/>
      </c>
      <c r="M794" s="46"/>
      <c r="N794" s="53"/>
      <c r="O794" s="46"/>
      <c r="P794" s="47"/>
      <c r="Q794" s="48"/>
      <c r="R794" s="49"/>
      <c r="S794" s="54" t="str">
        <f aca="false">IF(OR($AC794=0,$U794="",$M794="",$V794="",$W794=""),"",IF(COUNTIFS(m_teacher,$M794,m_date,$U794,m_active,1,m_start,"&lt;"&amp;$W794,m_end,"&gt;"&amp;$V794)&gt;1,"충돌",""))</f>
        <v/>
      </c>
      <c r="T794" s="48"/>
      <c r="U794" s="55" t="str">
        <f aca="false">IF($G794="","",IFERROR(IF(ISNUMBER($G794),IF($G794&gt;19000000,DATE(INT($G794/10000),MOD(INT($G794/100),100),MOD($G794,100)),INT($G794)),IF(LEN(SUBSTITUTE(SUBSTITUTE(SUBSTITUTE(TRIM($G794),"-",""),".",""),"/",""))=8,DATE(VALUE(LEFT(SUBSTITUTE(SUBSTITUTE(SUBSTITUTE(TRIM($G794),"-",""),".",""),"/",""),4)),VALUE(MID(SUBSTITUTE(SUBSTITUTE(SUBSTITUTE(TRIM($G794),"-",""),".",""),"/",""),5,2)),VALUE(RIGHT(SUBSTITUTE(SUBSTITUTE(SUBSTITUTE(TRIM($G794),"-",""),".",""),"/",""),2))),DATEVALUE($G794))),""))</f>
        <v/>
      </c>
      <c r="V794" s="52" t="str">
        <f aca="false">IF($H794="","",IFERROR(IF(IF(ISNUMBER($H794),$H794,IFERROR(TIMEVALUE($H794),VALUE($H794)))&gt;=100,INT(IF(ISNUMBER($H794),$H794,IFERROR(TIMEVALUE($H794),VALUE($H794)))/100)*60+MOD(IF(ISNUMBER($H794),$H794,IFERROR(TIMEVALUE($H794),VALUE($H794))),100),IF(IF(ISNUMBER($H794),$H794,IFERROR(TIMEVALUE($H794),VALUE($H794)))&gt;=1,ROUND(IF(ISNUMBER($H794),$H794,IFERROR(TIMEVALUE($H794),VALUE($H794)))*60,0),ROUND(MOD(IF(ISNUMBER($H794),$H794,IFERROR(TIMEVALUE($H794),VALUE($H794))),1)*1440,0))),""))</f>
        <v/>
      </c>
      <c r="W794" s="52" t="str">
        <f aca="false">IF($I794="","",IFERROR(IF(IF(ISNUMBER($I794),$I794,IFERROR(TIMEVALUE($I794),VALUE($I794)))&gt;=100,INT(IF(ISNUMBER($I794),$I794,IFERROR(TIMEVALUE($I794),VALUE($I794)))/100)*60+MOD(IF(ISNUMBER($I794),$I794,IFERROR(TIMEVALUE($I794),VALUE($I794))),100),IF(IF(ISNUMBER($I794),$I794,IFERROR(TIMEVALUE($I794),VALUE($I794)))&gt;=1,ROUND(IF(ISNUMBER($I794),$I794,IFERROR(TIMEVALUE($I794),VALUE($I794)))*60,0),ROUND(MOD(IF(ISNUMBER($I794),$I794,IFERROR(TIMEVALUE($I794),VALUE($I794))),1)*1440,0))),""))</f>
        <v/>
      </c>
      <c r="X794" s="55" t="str">
        <f aca="false">IF($P794="","",IFERROR(IF(ISNUMBER($P794),IF($P794&gt;19000000,DATE(INT($P794/10000),MOD(INT($P794/100),100),MOD($P794,100)),INT($P794)),IF(LEN(SUBSTITUTE(SUBSTITUTE(SUBSTITUTE(TRIM($P794),"-",""),".",""),"/",""))=8,DATE(VALUE(LEFT(SUBSTITUTE(SUBSTITUTE(SUBSTITUTE(TRIM($P794),"-",""),".",""),"/",""),4)),VALUE(MID(SUBSTITUTE(SUBSTITUTE(SUBSTITUTE(TRIM($P794),"-",""),".",""),"/",""),5,2)),VALUE(RIGHT(SUBSTITUTE(SUBSTITUTE(SUBSTITUTE(TRIM($P794),"-",""),".",""),"/",""),2))),DATEVALUE($P794))),""))</f>
        <v/>
      </c>
      <c r="Y794" s="56" t="str">
        <f aca="false">IF($M794="","",IFERROR(INDEX(강사DB!$D$4:$D$53,MATCH($M794,강사DB!$A$4:$A$53,0)),""))</f>
        <v/>
      </c>
      <c r="Z794" s="56" t="str">
        <f aca="false">IF($B794&lt;&gt;"결제완료","",IF(OR($Y794="",$J794=""),"",$Y794*$J794+MAX(0,N($K794)-1)*설정!$J$7))</f>
        <v/>
      </c>
      <c r="AA794" s="56" t="str">
        <f aca="false">IF(AND($D794&lt;&gt;"",$B794="결제완료"),N($N794),"")</f>
        <v/>
      </c>
      <c r="AB794" s="45" t="str">
        <f aca="false">IF($D794="","",IF($F794&lt;&gt;"",$F794,$D794)&amp;IF($B794="상담중"," (상담)",""))</f>
        <v/>
      </c>
      <c r="AC794" s="45" t="n">
        <f aca="false">IF(AND($D794&lt;&gt;"",OR($B794="결제완료",$B794="상담중")),1,0)</f>
        <v>0</v>
      </c>
      <c r="AD794" s="45" t="n">
        <f aca="false">IF(OR($Z794="",$U794=""),0,IFERROR(IF(COUNTIFS(INDEX(g_grid,0,2*MATCH($M794,강사DB!$A$4:$A$15,0)),"&lt;&gt;",g_s,"&lt;="&amp;$U794,g_e,"&gt;="&amp;$U794)&gt;0,1,0),0))</f>
        <v>0</v>
      </c>
      <c r="AE794" s="48"/>
      <c r="AF794" s="56" t="str">
        <f aca="false">IF(AND($D794&lt;&gt;"",$B794="결제완료",$T794="대여"),설정!$J$5,"")</f>
        <v/>
      </c>
      <c r="AG794" s="54" t="str">
        <f aca="false">IF($D794="","",IF(AND($E794="",$R794=""),$AB794,"☎ "&amp;IF($E794="","-",$E794)&amp;IF($R794&lt;&gt;"","  ※ "&amp;$R794,"")&amp;IF($B794="상담중"," (상담)","")))</f>
        <v/>
      </c>
      <c r="AH794" s="56" t="str">
        <f aca="false">IF(AND($D794&lt;&gt;"",$B794="결제완료",$O794="스마트스토어"),ROUND(N($N794)*설정!$J$6,0),"")</f>
        <v/>
      </c>
      <c r="AI794" s="54" t="str">
        <f aca="false">IF($D794="","",ROW())</f>
        <v/>
      </c>
      <c r="AJ794" s="54" t="n">
        <f aca="false">IF(OR($AC794&lt;&gt;1,$M794=""),0,IF(ISNUMBER(SEARCH("퇴사",IFERROR(INDEX(강사DB!$G$4:$G$53,MATCH($M794,강사DB!$A$4:$A$53,0)),""))),1,0))</f>
        <v>0</v>
      </c>
    </row>
    <row r="795" customFormat="false" ht="15" hidden="false" customHeight="false" outlineLevel="0" collapsed="false">
      <c r="A795" s="45" t="str">
        <f aca="false">IF($D795="","",COUNTA($D$5:$D795))</f>
        <v/>
      </c>
      <c r="B795" s="46"/>
      <c r="C795" s="47"/>
      <c r="D795" s="48"/>
      <c r="E795" s="48"/>
      <c r="F795" s="49"/>
      <c r="G795" s="47"/>
      <c r="H795" s="50"/>
      <c r="I795" s="50"/>
      <c r="J795" s="51" t="str">
        <f aca="false">IF(OR($V795="",$W795=""),"",ROUND(($W795-$V795)/60,2))</f>
        <v/>
      </c>
      <c r="K795" s="52" t="str">
        <f aca="false">IF($F795="","",LEN($F795)-LEN(SUBSTITUTE($F795,",",""))+1)</f>
        <v/>
      </c>
      <c r="L795" s="45" t="str">
        <f aca="false">IF($K795="","","1:"&amp;$K795)</f>
        <v/>
      </c>
      <c r="M795" s="46"/>
      <c r="N795" s="53"/>
      <c r="O795" s="46"/>
      <c r="P795" s="47"/>
      <c r="Q795" s="48"/>
      <c r="R795" s="49"/>
      <c r="S795" s="54" t="str">
        <f aca="false">IF(OR($AC795=0,$U795="",$M795="",$V795="",$W795=""),"",IF(COUNTIFS(m_teacher,$M795,m_date,$U795,m_active,1,m_start,"&lt;"&amp;$W795,m_end,"&gt;"&amp;$V795)&gt;1,"충돌",""))</f>
        <v/>
      </c>
      <c r="T795" s="48"/>
      <c r="U795" s="55" t="str">
        <f aca="false">IF($G795="","",IFERROR(IF(ISNUMBER($G795),IF($G795&gt;19000000,DATE(INT($G795/10000),MOD(INT($G795/100),100),MOD($G795,100)),INT($G795)),IF(LEN(SUBSTITUTE(SUBSTITUTE(SUBSTITUTE(TRIM($G795),"-",""),".",""),"/",""))=8,DATE(VALUE(LEFT(SUBSTITUTE(SUBSTITUTE(SUBSTITUTE(TRIM($G795),"-",""),".",""),"/",""),4)),VALUE(MID(SUBSTITUTE(SUBSTITUTE(SUBSTITUTE(TRIM($G795),"-",""),".",""),"/",""),5,2)),VALUE(RIGHT(SUBSTITUTE(SUBSTITUTE(SUBSTITUTE(TRIM($G795),"-",""),".",""),"/",""),2))),DATEVALUE($G795))),""))</f>
        <v/>
      </c>
      <c r="V795" s="52" t="str">
        <f aca="false">IF($H795="","",IFERROR(IF(IF(ISNUMBER($H795),$H795,IFERROR(TIMEVALUE($H795),VALUE($H795)))&gt;=100,INT(IF(ISNUMBER($H795),$H795,IFERROR(TIMEVALUE($H795),VALUE($H795)))/100)*60+MOD(IF(ISNUMBER($H795),$H795,IFERROR(TIMEVALUE($H795),VALUE($H795))),100),IF(IF(ISNUMBER($H795),$H795,IFERROR(TIMEVALUE($H795),VALUE($H795)))&gt;=1,ROUND(IF(ISNUMBER($H795),$H795,IFERROR(TIMEVALUE($H795),VALUE($H795)))*60,0),ROUND(MOD(IF(ISNUMBER($H795),$H795,IFERROR(TIMEVALUE($H795),VALUE($H795))),1)*1440,0))),""))</f>
        <v/>
      </c>
      <c r="W795" s="52" t="str">
        <f aca="false">IF($I795="","",IFERROR(IF(IF(ISNUMBER($I795),$I795,IFERROR(TIMEVALUE($I795),VALUE($I795)))&gt;=100,INT(IF(ISNUMBER($I795),$I795,IFERROR(TIMEVALUE($I795),VALUE($I795)))/100)*60+MOD(IF(ISNUMBER($I795),$I795,IFERROR(TIMEVALUE($I795),VALUE($I795))),100),IF(IF(ISNUMBER($I795),$I795,IFERROR(TIMEVALUE($I795),VALUE($I795)))&gt;=1,ROUND(IF(ISNUMBER($I795),$I795,IFERROR(TIMEVALUE($I795),VALUE($I795)))*60,0),ROUND(MOD(IF(ISNUMBER($I795),$I795,IFERROR(TIMEVALUE($I795),VALUE($I795))),1)*1440,0))),""))</f>
        <v/>
      </c>
      <c r="X795" s="55" t="str">
        <f aca="false">IF($P795="","",IFERROR(IF(ISNUMBER($P795),IF($P795&gt;19000000,DATE(INT($P795/10000),MOD(INT($P795/100),100),MOD($P795,100)),INT($P795)),IF(LEN(SUBSTITUTE(SUBSTITUTE(SUBSTITUTE(TRIM($P795),"-",""),".",""),"/",""))=8,DATE(VALUE(LEFT(SUBSTITUTE(SUBSTITUTE(SUBSTITUTE(TRIM($P795),"-",""),".",""),"/",""),4)),VALUE(MID(SUBSTITUTE(SUBSTITUTE(SUBSTITUTE(TRIM($P795),"-",""),".",""),"/",""),5,2)),VALUE(RIGHT(SUBSTITUTE(SUBSTITUTE(SUBSTITUTE(TRIM($P795),"-",""),".",""),"/",""),2))),DATEVALUE($P795))),""))</f>
        <v/>
      </c>
      <c r="Y795" s="56" t="str">
        <f aca="false">IF($M795="","",IFERROR(INDEX(강사DB!$D$4:$D$53,MATCH($M795,강사DB!$A$4:$A$53,0)),""))</f>
        <v/>
      </c>
      <c r="Z795" s="56" t="str">
        <f aca="false">IF($B795&lt;&gt;"결제완료","",IF(OR($Y795="",$J795=""),"",$Y795*$J795+MAX(0,N($K795)-1)*설정!$J$7))</f>
        <v/>
      </c>
      <c r="AA795" s="56" t="str">
        <f aca="false">IF(AND($D795&lt;&gt;"",$B795="결제완료"),N($N795),"")</f>
        <v/>
      </c>
      <c r="AB795" s="45" t="str">
        <f aca="false">IF($D795="","",IF($F795&lt;&gt;"",$F795,$D795)&amp;IF($B795="상담중"," (상담)",""))</f>
        <v/>
      </c>
      <c r="AC795" s="45" t="n">
        <f aca="false">IF(AND($D795&lt;&gt;"",OR($B795="결제완료",$B795="상담중")),1,0)</f>
        <v>0</v>
      </c>
      <c r="AD795" s="45" t="n">
        <f aca="false">IF(OR($Z795="",$U795=""),0,IFERROR(IF(COUNTIFS(INDEX(g_grid,0,2*MATCH($M795,강사DB!$A$4:$A$15,0)),"&lt;&gt;",g_s,"&lt;="&amp;$U795,g_e,"&gt;="&amp;$U795)&gt;0,1,0),0))</f>
        <v>0</v>
      </c>
      <c r="AE795" s="48"/>
      <c r="AF795" s="56" t="str">
        <f aca="false">IF(AND($D795&lt;&gt;"",$B795="결제완료",$T795="대여"),설정!$J$5,"")</f>
        <v/>
      </c>
      <c r="AG795" s="54" t="str">
        <f aca="false">IF($D795="","",IF(AND($E795="",$R795=""),$AB795,"☎ "&amp;IF($E795="","-",$E795)&amp;IF($R795&lt;&gt;"","  ※ "&amp;$R795,"")&amp;IF($B795="상담중"," (상담)","")))</f>
        <v/>
      </c>
      <c r="AH795" s="56" t="str">
        <f aca="false">IF(AND($D795&lt;&gt;"",$B795="결제완료",$O795="스마트스토어"),ROUND(N($N795)*설정!$J$6,0),"")</f>
        <v/>
      </c>
      <c r="AI795" s="54" t="str">
        <f aca="false">IF($D795="","",ROW())</f>
        <v/>
      </c>
      <c r="AJ795" s="54" t="n">
        <f aca="false">IF(OR($AC795&lt;&gt;1,$M795=""),0,IF(ISNUMBER(SEARCH("퇴사",IFERROR(INDEX(강사DB!$G$4:$G$53,MATCH($M795,강사DB!$A$4:$A$53,0)),""))),1,0))</f>
        <v>0</v>
      </c>
    </row>
    <row r="796" customFormat="false" ht="15" hidden="false" customHeight="false" outlineLevel="0" collapsed="false">
      <c r="A796" s="45" t="str">
        <f aca="false">IF($D796="","",COUNTA($D$5:$D796))</f>
        <v/>
      </c>
      <c r="B796" s="46"/>
      <c r="C796" s="47"/>
      <c r="D796" s="48"/>
      <c r="E796" s="48"/>
      <c r="F796" s="49"/>
      <c r="G796" s="47"/>
      <c r="H796" s="50"/>
      <c r="I796" s="50"/>
      <c r="J796" s="51" t="str">
        <f aca="false">IF(OR($V796="",$W796=""),"",ROUND(($W796-$V796)/60,2))</f>
        <v/>
      </c>
      <c r="K796" s="52" t="str">
        <f aca="false">IF($F796="","",LEN($F796)-LEN(SUBSTITUTE($F796,",",""))+1)</f>
        <v/>
      </c>
      <c r="L796" s="45" t="str">
        <f aca="false">IF($K796="","","1:"&amp;$K796)</f>
        <v/>
      </c>
      <c r="M796" s="46"/>
      <c r="N796" s="53"/>
      <c r="O796" s="46"/>
      <c r="P796" s="47"/>
      <c r="Q796" s="48"/>
      <c r="R796" s="49"/>
      <c r="S796" s="54" t="str">
        <f aca="false">IF(OR($AC796=0,$U796="",$M796="",$V796="",$W796=""),"",IF(COUNTIFS(m_teacher,$M796,m_date,$U796,m_active,1,m_start,"&lt;"&amp;$W796,m_end,"&gt;"&amp;$V796)&gt;1,"충돌",""))</f>
        <v/>
      </c>
      <c r="T796" s="48"/>
      <c r="U796" s="55" t="str">
        <f aca="false">IF($G796="","",IFERROR(IF(ISNUMBER($G796),IF($G796&gt;19000000,DATE(INT($G796/10000),MOD(INT($G796/100),100),MOD($G796,100)),INT($G796)),IF(LEN(SUBSTITUTE(SUBSTITUTE(SUBSTITUTE(TRIM($G796),"-",""),".",""),"/",""))=8,DATE(VALUE(LEFT(SUBSTITUTE(SUBSTITUTE(SUBSTITUTE(TRIM($G796),"-",""),".",""),"/",""),4)),VALUE(MID(SUBSTITUTE(SUBSTITUTE(SUBSTITUTE(TRIM($G796),"-",""),".",""),"/",""),5,2)),VALUE(RIGHT(SUBSTITUTE(SUBSTITUTE(SUBSTITUTE(TRIM($G796),"-",""),".",""),"/",""),2))),DATEVALUE($G796))),""))</f>
        <v/>
      </c>
      <c r="V796" s="52" t="str">
        <f aca="false">IF($H796="","",IFERROR(IF(IF(ISNUMBER($H796),$H796,IFERROR(TIMEVALUE($H796),VALUE($H796)))&gt;=100,INT(IF(ISNUMBER($H796),$H796,IFERROR(TIMEVALUE($H796),VALUE($H796)))/100)*60+MOD(IF(ISNUMBER($H796),$H796,IFERROR(TIMEVALUE($H796),VALUE($H796))),100),IF(IF(ISNUMBER($H796),$H796,IFERROR(TIMEVALUE($H796),VALUE($H796)))&gt;=1,ROUND(IF(ISNUMBER($H796),$H796,IFERROR(TIMEVALUE($H796),VALUE($H796)))*60,0),ROUND(MOD(IF(ISNUMBER($H796),$H796,IFERROR(TIMEVALUE($H796),VALUE($H796))),1)*1440,0))),""))</f>
        <v/>
      </c>
      <c r="W796" s="52" t="str">
        <f aca="false">IF($I796="","",IFERROR(IF(IF(ISNUMBER($I796),$I796,IFERROR(TIMEVALUE($I796),VALUE($I796)))&gt;=100,INT(IF(ISNUMBER($I796),$I796,IFERROR(TIMEVALUE($I796),VALUE($I796)))/100)*60+MOD(IF(ISNUMBER($I796),$I796,IFERROR(TIMEVALUE($I796),VALUE($I796))),100),IF(IF(ISNUMBER($I796),$I796,IFERROR(TIMEVALUE($I796),VALUE($I796)))&gt;=1,ROUND(IF(ISNUMBER($I796),$I796,IFERROR(TIMEVALUE($I796),VALUE($I796)))*60,0),ROUND(MOD(IF(ISNUMBER($I796),$I796,IFERROR(TIMEVALUE($I796),VALUE($I796))),1)*1440,0))),""))</f>
        <v/>
      </c>
      <c r="X796" s="55" t="str">
        <f aca="false">IF($P796="","",IFERROR(IF(ISNUMBER($P796),IF($P796&gt;19000000,DATE(INT($P796/10000),MOD(INT($P796/100),100),MOD($P796,100)),INT($P796)),IF(LEN(SUBSTITUTE(SUBSTITUTE(SUBSTITUTE(TRIM($P796),"-",""),".",""),"/",""))=8,DATE(VALUE(LEFT(SUBSTITUTE(SUBSTITUTE(SUBSTITUTE(TRIM($P796),"-",""),".",""),"/",""),4)),VALUE(MID(SUBSTITUTE(SUBSTITUTE(SUBSTITUTE(TRIM($P796),"-",""),".",""),"/",""),5,2)),VALUE(RIGHT(SUBSTITUTE(SUBSTITUTE(SUBSTITUTE(TRIM($P796),"-",""),".",""),"/",""),2))),DATEVALUE($P796))),""))</f>
        <v/>
      </c>
      <c r="Y796" s="56" t="str">
        <f aca="false">IF($M796="","",IFERROR(INDEX(강사DB!$D$4:$D$53,MATCH($M796,강사DB!$A$4:$A$53,0)),""))</f>
        <v/>
      </c>
      <c r="Z796" s="56" t="str">
        <f aca="false">IF($B796&lt;&gt;"결제완료","",IF(OR($Y796="",$J796=""),"",$Y796*$J796+MAX(0,N($K796)-1)*설정!$J$7))</f>
        <v/>
      </c>
      <c r="AA796" s="56" t="str">
        <f aca="false">IF(AND($D796&lt;&gt;"",$B796="결제완료"),N($N796),"")</f>
        <v/>
      </c>
      <c r="AB796" s="45" t="str">
        <f aca="false">IF($D796="","",IF($F796&lt;&gt;"",$F796,$D796)&amp;IF($B796="상담중"," (상담)",""))</f>
        <v/>
      </c>
      <c r="AC796" s="45" t="n">
        <f aca="false">IF(AND($D796&lt;&gt;"",OR($B796="결제완료",$B796="상담중")),1,0)</f>
        <v>0</v>
      </c>
      <c r="AD796" s="45" t="n">
        <f aca="false">IF(OR($Z796="",$U796=""),0,IFERROR(IF(COUNTIFS(INDEX(g_grid,0,2*MATCH($M796,강사DB!$A$4:$A$15,0)),"&lt;&gt;",g_s,"&lt;="&amp;$U796,g_e,"&gt;="&amp;$U796)&gt;0,1,0),0))</f>
        <v>0</v>
      </c>
      <c r="AE796" s="48"/>
      <c r="AF796" s="56" t="str">
        <f aca="false">IF(AND($D796&lt;&gt;"",$B796="결제완료",$T796="대여"),설정!$J$5,"")</f>
        <v/>
      </c>
      <c r="AG796" s="54" t="str">
        <f aca="false">IF($D796="","",IF(AND($E796="",$R796=""),$AB796,"☎ "&amp;IF($E796="","-",$E796)&amp;IF($R796&lt;&gt;"","  ※ "&amp;$R796,"")&amp;IF($B796="상담중"," (상담)","")))</f>
        <v/>
      </c>
      <c r="AH796" s="56" t="str">
        <f aca="false">IF(AND($D796&lt;&gt;"",$B796="결제완료",$O796="스마트스토어"),ROUND(N($N796)*설정!$J$6,0),"")</f>
        <v/>
      </c>
      <c r="AI796" s="54" t="str">
        <f aca="false">IF($D796="","",ROW())</f>
        <v/>
      </c>
      <c r="AJ796" s="54" t="n">
        <f aca="false">IF(OR($AC796&lt;&gt;1,$M796=""),0,IF(ISNUMBER(SEARCH("퇴사",IFERROR(INDEX(강사DB!$G$4:$G$53,MATCH($M796,강사DB!$A$4:$A$53,0)),""))),1,0))</f>
        <v>0</v>
      </c>
    </row>
    <row r="797" customFormat="false" ht="15" hidden="false" customHeight="false" outlineLevel="0" collapsed="false">
      <c r="A797" s="45" t="str">
        <f aca="false">IF($D797="","",COUNTA($D$5:$D797))</f>
        <v/>
      </c>
      <c r="B797" s="46"/>
      <c r="C797" s="47"/>
      <c r="D797" s="48"/>
      <c r="E797" s="48"/>
      <c r="F797" s="49"/>
      <c r="G797" s="47"/>
      <c r="H797" s="50"/>
      <c r="I797" s="50"/>
      <c r="J797" s="51" t="str">
        <f aca="false">IF(OR($V797="",$W797=""),"",ROUND(($W797-$V797)/60,2))</f>
        <v/>
      </c>
      <c r="K797" s="52" t="str">
        <f aca="false">IF($F797="","",LEN($F797)-LEN(SUBSTITUTE($F797,",",""))+1)</f>
        <v/>
      </c>
      <c r="L797" s="45" t="str">
        <f aca="false">IF($K797="","","1:"&amp;$K797)</f>
        <v/>
      </c>
      <c r="M797" s="46"/>
      <c r="N797" s="53"/>
      <c r="O797" s="46"/>
      <c r="P797" s="47"/>
      <c r="Q797" s="48"/>
      <c r="R797" s="49"/>
      <c r="S797" s="54" t="str">
        <f aca="false">IF(OR($AC797=0,$U797="",$M797="",$V797="",$W797=""),"",IF(COUNTIFS(m_teacher,$M797,m_date,$U797,m_active,1,m_start,"&lt;"&amp;$W797,m_end,"&gt;"&amp;$V797)&gt;1,"충돌",""))</f>
        <v/>
      </c>
      <c r="T797" s="48"/>
      <c r="U797" s="55" t="str">
        <f aca="false">IF($G797="","",IFERROR(IF(ISNUMBER($G797),IF($G797&gt;19000000,DATE(INT($G797/10000),MOD(INT($G797/100),100),MOD($G797,100)),INT($G797)),IF(LEN(SUBSTITUTE(SUBSTITUTE(SUBSTITUTE(TRIM($G797),"-",""),".",""),"/",""))=8,DATE(VALUE(LEFT(SUBSTITUTE(SUBSTITUTE(SUBSTITUTE(TRIM($G797),"-",""),".",""),"/",""),4)),VALUE(MID(SUBSTITUTE(SUBSTITUTE(SUBSTITUTE(TRIM($G797),"-",""),".",""),"/",""),5,2)),VALUE(RIGHT(SUBSTITUTE(SUBSTITUTE(SUBSTITUTE(TRIM($G797),"-",""),".",""),"/",""),2))),DATEVALUE($G797))),""))</f>
        <v/>
      </c>
      <c r="V797" s="52" t="str">
        <f aca="false">IF($H797="","",IFERROR(IF(IF(ISNUMBER($H797),$H797,IFERROR(TIMEVALUE($H797),VALUE($H797)))&gt;=100,INT(IF(ISNUMBER($H797),$H797,IFERROR(TIMEVALUE($H797),VALUE($H797)))/100)*60+MOD(IF(ISNUMBER($H797),$H797,IFERROR(TIMEVALUE($H797),VALUE($H797))),100),IF(IF(ISNUMBER($H797),$H797,IFERROR(TIMEVALUE($H797),VALUE($H797)))&gt;=1,ROUND(IF(ISNUMBER($H797),$H797,IFERROR(TIMEVALUE($H797),VALUE($H797)))*60,0),ROUND(MOD(IF(ISNUMBER($H797),$H797,IFERROR(TIMEVALUE($H797),VALUE($H797))),1)*1440,0))),""))</f>
        <v/>
      </c>
      <c r="W797" s="52" t="str">
        <f aca="false">IF($I797="","",IFERROR(IF(IF(ISNUMBER($I797),$I797,IFERROR(TIMEVALUE($I797),VALUE($I797)))&gt;=100,INT(IF(ISNUMBER($I797),$I797,IFERROR(TIMEVALUE($I797),VALUE($I797)))/100)*60+MOD(IF(ISNUMBER($I797),$I797,IFERROR(TIMEVALUE($I797),VALUE($I797))),100),IF(IF(ISNUMBER($I797),$I797,IFERROR(TIMEVALUE($I797),VALUE($I797)))&gt;=1,ROUND(IF(ISNUMBER($I797),$I797,IFERROR(TIMEVALUE($I797),VALUE($I797)))*60,0),ROUND(MOD(IF(ISNUMBER($I797),$I797,IFERROR(TIMEVALUE($I797),VALUE($I797))),1)*1440,0))),""))</f>
        <v/>
      </c>
      <c r="X797" s="55" t="str">
        <f aca="false">IF($P797="","",IFERROR(IF(ISNUMBER($P797),IF($P797&gt;19000000,DATE(INT($P797/10000),MOD(INT($P797/100),100),MOD($P797,100)),INT($P797)),IF(LEN(SUBSTITUTE(SUBSTITUTE(SUBSTITUTE(TRIM($P797),"-",""),".",""),"/",""))=8,DATE(VALUE(LEFT(SUBSTITUTE(SUBSTITUTE(SUBSTITUTE(TRIM($P797),"-",""),".",""),"/",""),4)),VALUE(MID(SUBSTITUTE(SUBSTITUTE(SUBSTITUTE(TRIM($P797),"-",""),".",""),"/",""),5,2)),VALUE(RIGHT(SUBSTITUTE(SUBSTITUTE(SUBSTITUTE(TRIM($P797),"-",""),".",""),"/",""),2))),DATEVALUE($P797))),""))</f>
        <v/>
      </c>
      <c r="Y797" s="56" t="str">
        <f aca="false">IF($M797="","",IFERROR(INDEX(강사DB!$D$4:$D$53,MATCH($M797,강사DB!$A$4:$A$53,0)),""))</f>
        <v/>
      </c>
      <c r="Z797" s="56" t="str">
        <f aca="false">IF($B797&lt;&gt;"결제완료","",IF(OR($Y797="",$J797=""),"",$Y797*$J797+MAX(0,N($K797)-1)*설정!$J$7))</f>
        <v/>
      </c>
      <c r="AA797" s="56" t="str">
        <f aca="false">IF(AND($D797&lt;&gt;"",$B797="결제완료"),N($N797),"")</f>
        <v/>
      </c>
      <c r="AB797" s="45" t="str">
        <f aca="false">IF($D797="","",IF($F797&lt;&gt;"",$F797,$D797)&amp;IF($B797="상담중"," (상담)",""))</f>
        <v/>
      </c>
      <c r="AC797" s="45" t="n">
        <f aca="false">IF(AND($D797&lt;&gt;"",OR($B797="결제완료",$B797="상담중")),1,0)</f>
        <v>0</v>
      </c>
      <c r="AD797" s="45" t="n">
        <f aca="false">IF(OR($Z797="",$U797=""),0,IFERROR(IF(COUNTIFS(INDEX(g_grid,0,2*MATCH($M797,강사DB!$A$4:$A$15,0)),"&lt;&gt;",g_s,"&lt;="&amp;$U797,g_e,"&gt;="&amp;$U797)&gt;0,1,0),0))</f>
        <v>0</v>
      </c>
      <c r="AE797" s="48"/>
      <c r="AF797" s="56" t="str">
        <f aca="false">IF(AND($D797&lt;&gt;"",$B797="결제완료",$T797="대여"),설정!$J$5,"")</f>
        <v/>
      </c>
      <c r="AG797" s="54" t="str">
        <f aca="false">IF($D797="","",IF(AND($E797="",$R797=""),$AB797,"☎ "&amp;IF($E797="","-",$E797)&amp;IF($R797&lt;&gt;"","  ※ "&amp;$R797,"")&amp;IF($B797="상담중"," (상담)","")))</f>
        <v/>
      </c>
      <c r="AH797" s="56" t="str">
        <f aca="false">IF(AND($D797&lt;&gt;"",$B797="결제완료",$O797="스마트스토어"),ROUND(N($N797)*설정!$J$6,0),"")</f>
        <v/>
      </c>
      <c r="AI797" s="54" t="str">
        <f aca="false">IF($D797="","",ROW())</f>
        <v/>
      </c>
      <c r="AJ797" s="54" t="n">
        <f aca="false">IF(OR($AC797&lt;&gt;1,$M797=""),0,IF(ISNUMBER(SEARCH("퇴사",IFERROR(INDEX(강사DB!$G$4:$G$53,MATCH($M797,강사DB!$A$4:$A$53,0)),""))),1,0))</f>
        <v>0</v>
      </c>
    </row>
    <row r="798" customFormat="false" ht="15" hidden="false" customHeight="false" outlineLevel="0" collapsed="false">
      <c r="A798" s="45" t="str">
        <f aca="false">IF($D798="","",COUNTA($D$5:$D798))</f>
        <v/>
      </c>
      <c r="B798" s="46"/>
      <c r="C798" s="47"/>
      <c r="D798" s="48"/>
      <c r="E798" s="48"/>
      <c r="F798" s="49"/>
      <c r="G798" s="47"/>
      <c r="H798" s="50"/>
      <c r="I798" s="50"/>
      <c r="J798" s="51" t="str">
        <f aca="false">IF(OR($V798="",$W798=""),"",ROUND(($W798-$V798)/60,2))</f>
        <v/>
      </c>
      <c r="K798" s="52" t="str">
        <f aca="false">IF($F798="","",LEN($F798)-LEN(SUBSTITUTE($F798,",",""))+1)</f>
        <v/>
      </c>
      <c r="L798" s="45" t="str">
        <f aca="false">IF($K798="","","1:"&amp;$K798)</f>
        <v/>
      </c>
      <c r="M798" s="46"/>
      <c r="N798" s="53"/>
      <c r="O798" s="46"/>
      <c r="P798" s="47"/>
      <c r="Q798" s="48"/>
      <c r="R798" s="49"/>
      <c r="S798" s="54" t="str">
        <f aca="false">IF(OR($AC798=0,$U798="",$M798="",$V798="",$W798=""),"",IF(COUNTIFS(m_teacher,$M798,m_date,$U798,m_active,1,m_start,"&lt;"&amp;$W798,m_end,"&gt;"&amp;$V798)&gt;1,"충돌",""))</f>
        <v/>
      </c>
      <c r="T798" s="48"/>
      <c r="U798" s="55" t="str">
        <f aca="false">IF($G798="","",IFERROR(IF(ISNUMBER($G798),IF($G798&gt;19000000,DATE(INT($G798/10000),MOD(INT($G798/100),100),MOD($G798,100)),INT($G798)),IF(LEN(SUBSTITUTE(SUBSTITUTE(SUBSTITUTE(TRIM($G798),"-",""),".",""),"/",""))=8,DATE(VALUE(LEFT(SUBSTITUTE(SUBSTITUTE(SUBSTITUTE(TRIM($G798),"-",""),".",""),"/",""),4)),VALUE(MID(SUBSTITUTE(SUBSTITUTE(SUBSTITUTE(TRIM($G798),"-",""),".",""),"/",""),5,2)),VALUE(RIGHT(SUBSTITUTE(SUBSTITUTE(SUBSTITUTE(TRIM($G798),"-",""),".",""),"/",""),2))),DATEVALUE($G798))),""))</f>
        <v/>
      </c>
      <c r="V798" s="52" t="str">
        <f aca="false">IF($H798="","",IFERROR(IF(IF(ISNUMBER($H798),$H798,IFERROR(TIMEVALUE($H798),VALUE($H798)))&gt;=100,INT(IF(ISNUMBER($H798),$H798,IFERROR(TIMEVALUE($H798),VALUE($H798)))/100)*60+MOD(IF(ISNUMBER($H798),$H798,IFERROR(TIMEVALUE($H798),VALUE($H798))),100),IF(IF(ISNUMBER($H798),$H798,IFERROR(TIMEVALUE($H798),VALUE($H798)))&gt;=1,ROUND(IF(ISNUMBER($H798),$H798,IFERROR(TIMEVALUE($H798),VALUE($H798)))*60,0),ROUND(MOD(IF(ISNUMBER($H798),$H798,IFERROR(TIMEVALUE($H798),VALUE($H798))),1)*1440,0))),""))</f>
        <v/>
      </c>
      <c r="W798" s="52" t="str">
        <f aca="false">IF($I798="","",IFERROR(IF(IF(ISNUMBER($I798),$I798,IFERROR(TIMEVALUE($I798),VALUE($I798)))&gt;=100,INT(IF(ISNUMBER($I798),$I798,IFERROR(TIMEVALUE($I798),VALUE($I798)))/100)*60+MOD(IF(ISNUMBER($I798),$I798,IFERROR(TIMEVALUE($I798),VALUE($I798))),100),IF(IF(ISNUMBER($I798),$I798,IFERROR(TIMEVALUE($I798),VALUE($I798)))&gt;=1,ROUND(IF(ISNUMBER($I798),$I798,IFERROR(TIMEVALUE($I798),VALUE($I798)))*60,0),ROUND(MOD(IF(ISNUMBER($I798),$I798,IFERROR(TIMEVALUE($I798),VALUE($I798))),1)*1440,0))),""))</f>
        <v/>
      </c>
      <c r="X798" s="55" t="str">
        <f aca="false">IF($P798="","",IFERROR(IF(ISNUMBER($P798),IF($P798&gt;19000000,DATE(INT($P798/10000),MOD(INT($P798/100),100),MOD($P798,100)),INT($P798)),IF(LEN(SUBSTITUTE(SUBSTITUTE(SUBSTITUTE(TRIM($P798),"-",""),".",""),"/",""))=8,DATE(VALUE(LEFT(SUBSTITUTE(SUBSTITUTE(SUBSTITUTE(TRIM($P798),"-",""),".",""),"/",""),4)),VALUE(MID(SUBSTITUTE(SUBSTITUTE(SUBSTITUTE(TRIM($P798),"-",""),".",""),"/",""),5,2)),VALUE(RIGHT(SUBSTITUTE(SUBSTITUTE(SUBSTITUTE(TRIM($P798),"-",""),".",""),"/",""),2))),DATEVALUE($P798))),""))</f>
        <v/>
      </c>
      <c r="Y798" s="56" t="str">
        <f aca="false">IF($M798="","",IFERROR(INDEX(강사DB!$D$4:$D$53,MATCH($M798,강사DB!$A$4:$A$53,0)),""))</f>
        <v/>
      </c>
      <c r="Z798" s="56" t="str">
        <f aca="false">IF($B798&lt;&gt;"결제완료","",IF(OR($Y798="",$J798=""),"",$Y798*$J798+MAX(0,N($K798)-1)*설정!$J$7))</f>
        <v/>
      </c>
      <c r="AA798" s="56" t="str">
        <f aca="false">IF(AND($D798&lt;&gt;"",$B798="결제완료"),N($N798),"")</f>
        <v/>
      </c>
      <c r="AB798" s="45" t="str">
        <f aca="false">IF($D798="","",IF($F798&lt;&gt;"",$F798,$D798)&amp;IF($B798="상담중"," (상담)",""))</f>
        <v/>
      </c>
      <c r="AC798" s="45" t="n">
        <f aca="false">IF(AND($D798&lt;&gt;"",OR($B798="결제완료",$B798="상담중")),1,0)</f>
        <v>0</v>
      </c>
      <c r="AD798" s="45" t="n">
        <f aca="false">IF(OR($Z798="",$U798=""),0,IFERROR(IF(COUNTIFS(INDEX(g_grid,0,2*MATCH($M798,강사DB!$A$4:$A$15,0)),"&lt;&gt;",g_s,"&lt;="&amp;$U798,g_e,"&gt;="&amp;$U798)&gt;0,1,0),0))</f>
        <v>0</v>
      </c>
      <c r="AE798" s="48"/>
      <c r="AF798" s="56" t="str">
        <f aca="false">IF(AND($D798&lt;&gt;"",$B798="결제완료",$T798="대여"),설정!$J$5,"")</f>
        <v/>
      </c>
      <c r="AG798" s="54" t="str">
        <f aca="false">IF($D798="","",IF(AND($E798="",$R798=""),$AB798,"☎ "&amp;IF($E798="","-",$E798)&amp;IF($R798&lt;&gt;"","  ※ "&amp;$R798,"")&amp;IF($B798="상담중"," (상담)","")))</f>
        <v/>
      </c>
      <c r="AH798" s="56" t="str">
        <f aca="false">IF(AND($D798&lt;&gt;"",$B798="결제완료",$O798="스마트스토어"),ROUND(N($N798)*설정!$J$6,0),"")</f>
        <v/>
      </c>
      <c r="AI798" s="54" t="str">
        <f aca="false">IF($D798="","",ROW())</f>
        <v/>
      </c>
      <c r="AJ798" s="54" t="n">
        <f aca="false">IF(OR($AC798&lt;&gt;1,$M798=""),0,IF(ISNUMBER(SEARCH("퇴사",IFERROR(INDEX(강사DB!$G$4:$G$53,MATCH($M798,강사DB!$A$4:$A$53,0)),""))),1,0))</f>
        <v>0</v>
      </c>
    </row>
    <row r="799" customFormat="false" ht="15" hidden="false" customHeight="false" outlineLevel="0" collapsed="false">
      <c r="A799" s="45" t="str">
        <f aca="false">IF($D799="","",COUNTA($D$5:$D799))</f>
        <v/>
      </c>
      <c r="B799" s="46"/>
      <c r="C799" s="47"/>
      <c r="D799" s="48"/>
      <c r="E799" s="48"/>
      <c r="F799" s="49"/>
      <c r="G799" s="47"/>
      <c r="H799" s="50"/>
      <c r="I799" s="50"/>
      <c r="J799" s="51" t="str">
        <f aca="false">IF(OR($V799="",$W799=""),"",ROUND(($W799-$V799)/60,2))</f>
        <v/>
      </c>
      <c r="K799" s="52" t="str">
        <f aca="false">IF($F799="","",LEN($F799)-LEN(SUBSTITUTE($F799,",",""))+1)</f>
        <v/>
      </c>
      <c r="L799" s="45" t="str">
        <f aca="false">IF($K799="","","1:"&amp;$K799)</f>
        <v/>
      </c>
      <c r="M799" s="46"/>
      <c r="N799" s="53"/>
      <c r="O799" s="46"/>
      <c r="P799" s="47"/>
      <c r="Q799" s="48"/>
      <c r="R799" s="49"/>
      <c r="S799" s="54" t="str">
        <f aca="false">IF(OR($AC799=0,$U799="",$M799="",$V799="",$W799=""),"",IF(COUNTIFS(m_teacher,$M799,m_date,$U799,m_active,1,m_start,"&lt;"&amp;$W799,m_end,"&gt;"&amp;$V799)&gt;1,"충돌",""))</f>
        <v/>
      </c>
      <c r="T799" s="48"/>
      <c r="U799" s="55" t="str">
        <f aca="false">IF($G799="","",IFERROR(IF(ISNUMBER($G799),IF($G799&gt;19000000,DATE(INT($G799/10000),MOD(INT($G799/100),100),MOD($G799,100)),INT($G799)),IF(LEN(SUBSTITUTE(SUBSTITUTE(SUBSTITUTE(TRIM($G799),"-",""),".",""),"/",""))=8,DATE(VALUE(LEFT(SUBSTITUTE(SUBSTITUTE(SUBSTITUTE(TRIM($G799),"-",""),".",""),"/",""),4)),VALUE(MID(SUBSTITUTE(SUBSTITUTE(SUBSTITUTE(TRIM($G799),"-",""),".",""),"/",""),5,2)),VALUE(RIGHT(SUBSTITUTE(SUBSTITUTE(SUBSTITUTE(TRIM($G799),"-",""),".",""),"/",""),2))),DATEVALUE($G799))),""))</f>
        <v/>
      </c>
      <c r="V799" s="52" t="str">
        <f aca="false">IF($H799="","",IFERROR(IF(IF(ISNUMBER($H799),$H799,IFERROR(TIMEVALUE($H799),VALUE($H799)))&gt;=100,INT(IF(ISNUMBER($H799),$H799,IFERROR(TIMEVALUE($H799),VALUE($H799)))/100)*60+MOD(IF(ISNUMBER($H799),$H799,IFERROR(TIMEVALUE($H799),VALUE($H799))),100),IF(IF(ISNUMBER($H799),$H799,IFERROR(TIMEVALUE($H799),VALUE($H799)))&gt;=1,ROUND(IF(ISNUMBER($H799),$H799,IFERROR(TIMEVALUE($H799),VALUE($H799)))*60,0),ROUND(MOD(IF(ISNUMBER($H799),$H799,IFERROR(TIMEVALUE($H799),VALUE($H799))),1)*1440,0))),""))</f>
        <v/>
      </c>
      <c r="W799" s="52" t="str">
        <f aca="false">IF($I799="","",IFERROR(IF(IF(ISNUMBER($I799),$I799,IFERROR(TIMEVALUE($I799),VALUE($I799)))&gt;=100,INT(IF(ISNUMBER($I799),$I799,IFERROR(TIMEVALUE($I799),VALUE($I799)))/100)*60+MOD(IF(ISNUMBER($I799),$I799,IFERROR(TIMEVALUE($I799),VALUE($I799))),100),IF(IF(ISNUMBER($I799),$I799,IFERROR(TIMEVALUE($I799),VALUE($I799)))&gt;=1,ROUND(IF(ISNUMBER($I799),$I799,IFERROR(TIMEVALUE($I799),VALUE($I799)))*60,0),ROUND(MOD(IF(ISNUMBER($I799),$I799,IFERROR(TIMEVALUE($I799),VALUE($I799))),1)*1440,0))),""))</f>
        <v/>
      </c>
      <c r="X799" s="55" t="str">
        <f aca="false">IF($P799="","",IFERROR(IF(ISNUMBER($P799),IF($P799&gt;19000000,DATE(INT($P799/10000),MOD(INT($P799/100),100),MOD($P799,100)),INT($P799)),IF(LEN(SUBSTITUTE(SUBSTITUTE(SUBSTITUTE(TRIM($P799),"-",""),".",""),"/",""))=8,DATE(VALUE(LEFT(SUBSTITUTE(SUBSTITUTE(SUBSTITUTE(TRIM($P799),"-",""),".",""),"/",""),4)),VALUE(MID(SUBSTITUTE(SUBSTITUTE(SUBSTITUTE(TRIM($P799),"-",""),".",""),"/",""),5,2)),VALUE(RIGHT(SUBSTITUTE(SUBSTITUTE(SUBSTITUTE(TRIM($P799),"-",""),".",""),"/",""),2))),DATEVALUE($P799))),""))</f>
        <v/>
      </c>
      <c r="Y799" s="56" t="str">
        <f aca="false">IF($M799="","",IFERROR(INDEX(강사DB!$D$4:$D$53,MATCH($M799,강사DB!$A$4:$A$53,0)),""))</f>
        <v/>
      </c>
      <c r="Z799" s="56" t="str">
        <f aca="false">IF($B799&lt;&gt;"결제완료","",IF(OR($Y799="",$J799=""),"",$Y799*$J799+MAX(0,N($K799)-1)*설정!$J$7))</f>
        <v/>
      </c>
      <c r="AA799" s="56" t="str">
        <f aca="false">IF(AND($D799&lt;&gt;"",$B799="결제완료"),N($N799),"")</f>
        <v/>
      </c>
      <c r="AB799" s="45" t="str">
        <f aca="false">IF($D799="","",IF($F799&lt;&gt;"",$F799,$D799)&amp;IF($B799="상담중"," (상담)",""))</f>
        <v/>
      </c>
      <c r="AC799" s="45" t="n">
        <f aca="false">IF(AND($D799&lt;&gt;"",OR($B799="결제완료",$B799="상담중")),1,0)</f>
        <v>0</v>
      </c>
      <c r="AD799" s="45" t="n">
        <f aca="false">IF(OR($Z799="",$U799=""),0,IFERROR(IF(COUNTIFS(INDEX(g_grid,0,2*MATCH($M799,강사DB!$A$4:$A$15,0)),"&lt;&gt;",g_s,"&lt;="&amp;$U799,g_e,"&gt;="&amp;$U799)&gt;0,1,0),0))</f>
        <v>0</v>
      </c>
      <c r="AE799" s="48"/>
      <c r="AF799" s="56" t="str">
        <f aca="false">IF(AND($D799&lt;&gt;"",$B799="결제완료",$T799="대여"),설정!$J$5,"")</f>
        <v/>
      </c>
      <c r="AG799" s="54" t="str">
        <f aca="false">IF($D799="","",IF(AND($E799="",$R799=""),$AB799,"☎ "&amp;IF($E799="","-",$E799)&amp;IF($R799&lt;&gt;"","  ※ "&amp;$R799,"")&amp;IF($B799="상담중"," (상담)","")))</f>
        <v/>
      </c>
      <c r="AH799" s="56" t="str">
        <f aca="false">IF(AND($D799&lt;&gt;"",$B799="결제완료",$O799="스마트스토어"),ROUND(N($N799)*설정!$J$6,0),"")</f>
        <v/>
      </c>
      <c r="AI799" s="54" t="str">
        <f aca="false">IF($D799="","",ROW())</f>
        <v/>
      </c>
      <c r="AJ799" s="54" t="n">
        <f aca="false">IF(OR($AC799&lt;&gt;1,$M799=""),0,IF(ISNUMBER(SEARCH("퇴사",IFERROR(INDEX(강사DB!$G$4:$G$53,MATCH($M799,강사DB!$A$4:$A$53,0)),""))),1,0))</f>
        <v>0</v>
      </c>
    </row>
    <row r="800" customFormat="false" ht="15" hidden="false" customHeight="false" outlineLevel="0" collapsed="false">
      <c r="A800" s="45" t="str">
        <f aca="false">IF($D800="","",COUNTA($D$5:$D800))</f>
        <v/>
      </c>
      <c r="B800" s="46"/>
      <c r="C800" s="47"/>
      <c r="D800" s="48"/>
      <c r="E800" s="48"/>
      <c r="F800" s="49"/>
      <c r="G800" s="47"/>
      <c r="H800" s="50"/>
      <c r="I800" s="50"/>
      <c r="J800" s="51" t="str">
        <f aca="false">IF(OR($V800="",$W800=""),"",ROUND(($W800-$V800)/60,2))</f>
        <v/>
      </c>
      <c r="K800" s="52" t="str">
        <f aca="false">IF($F800="","",LEN($F800)-LEN(SUBSTITUTE($F800,",",""))+1)</f>
        <v/>
      </c>
      <c r="L800" s="45" t="str">
        <f aca="false">IF($K800="","","1:"&amp;$K800)</f>
        <v/>
      </c>
      <c r="M800" s="46"/>
      <c r="N800" s="53"/>
      <c r="O800" s="46"/>
      <c r="P800" s="47"/>
      <c r="Q800" s="48"/>
      <c r="R800" s="49"/>
      <c r="S800" s="54" t="str">
        <f aca="false">IF(OR($AC800=0,$U800="",$M800="",$V800="",$W800=""),"",IF(COUNTIFS(m_teacher,$M800,m_date,$U800,m_active,1,m_start,"&lt;"&amp;$W800,m_end,"&gt;"&amp;$V800)&gt;1,"충돌",""))</f>
        <v/>
      </c>
      <c r="T800" s="48"/>
      <c r="U800" s="55" t="str">
        <f aca="false">IF($G800="","",IFERROR(IF(ISNUMBER($G800),IF($G800&gt;19000000,DATE(INT($G800/10000),MOD(INT($G800/100),100),MOD($G800,100)),INT($G800)),IF(LEN(SUBSTITUTE(SUBSTITUTE(SUBSTITUTE(TRIM($G800),"-",""),".",""),"/",""))=8,DATE(VALUE(LEFT(SUBSTITUTE(SUBSTITUTE(SUBSTITUTE(TRIM($G800),"-",""),".",""),"/",""),4)),VALUE(MID(SUBSTITUTE(SUBSTITUTE(SUBSTITUTE(TRIM($G800),"-",""),".",""),"/",""),5,2)),VALUE(RIGHT(SUBSTITUTE(SUBSTITUTE(SUBSTITUTE(TRIM($G800),"-",""),".",""),"/",""),2))),DATEVALUE($G800))),""))</f>
        <v/>
      </c>
      <c r="V800" s="52" t="str">
        <f aca="false">IF($H800="","",IFERROR(IF(IF(ISNUMBER($H800),$H800,IFERROR(TIMEVALUE($H800),VALUE($H800)))&gt;=100,INT(IF(ISNUMBER($H800),$H800,IFERROR(TIMEVALUE($H800),VALUE($H800)))/100)*60+MOD(IF(ISNUMBER($H800),$H800,IFERROR(TIMEVALUE($H800),VALUE($H800))),100),IF(IF(ISNUMBER($H800),$H800,IFERROR(TIMEVALUE($H800),VALUE($H800)))&gt;=1,ROUND(IF(ISNUMBER($H800),$H800,IFERROR(TIMEVALUE($H800),VALUE($H800)))*60,0),ROUND(MOD(IF(ISNUMBER($H800),$H800,IFERROR(TIMEVALUE($H800),VALUE($H800))),1)*1440,0))),""))</f>
        <v/>
      </c>
      <c r="W800" s="52" t="str">
        <f aca="false">IF($I800="","",IFERROR(IF(IF(ISNUMBER($I800),$I800,IFERROR(TIMEVALUE($I800),VALUE($I800)))&gt;=100,INT(IF(ISNUMBER($I800),$I800,IFERROR(TIMEVALUE($I800),VALUE($I800)))/100)*60+MOD(IF(ISNUMBER($I800),$I800,IFERROR(TIMEVALUE($I800),VALUE($I800))),100),IF(IF(ISNUMBER($I800),$I800,IFERROR(TIMEVALUE($I800),VALUE($I800)))&gt;=1,ROUND(IF(ISNUMBER($I800),$I800,IFERROR(TIMEVALUE($I800),VALUE($I800)))*60,0),ROUND(MOD(IF(ISNUMBER($I800),$I800,IFERROR(TIMEVALUE($I800),VALUE($I800))),1)*1440,0))),""))</f>
        <v/>
      </c>
      <c r="X800" s="55" t="str">
        <f aca="false">IF($P800="","",IFERROR(IF(ISNUMBER($P800),IF($P800&gt;19000000,DATE(INT($P800/10000),MOD(INT($P800/100),100),MOD($P800,100)),INT($P800)),IF(LEN(SUBSTITUTE(SUBSTITUTE(SUBSTITUTE(TRIM($P800),"-",""),".",""),"/",""))=8,DATE(VALUE(LEFT(SUBSTITUTE(SUBSTITUTE(SUBSTITUTE(TRIM($P800),"-",""),".",""),"/",""),4)),VALUE(MID(SUBSTITUTE(SUBSTITUTE(SUBSTITUTE(TRIM($P800),"-",""),".",""),"/",""),5,2)),VALUE(RIGHT(SUBSTITUTE(SUBSTITUTE(SUBSTITUTE(TRIM($P800),"-",""),".",""),"/",""),2))),DATEVALUE($P800))),""))</f>
        <v/>
      </c>
      <c r="Y800" s="56" t="str">
        <f aca="false">IF($M800="","",IFERROR(INDEX(강사DB!$D$4:$D$53,MATCH($M800,강사DB!$A$4:$A$53,0)),""))</f>
        <v/>
      </c>
      <c r="Z800" s="56" t="str">
        <f aca="false">IF($B800&lt;&gt;"결제완료","",IF(OR($Y800="",$J800=""),"",$Y800*$J800+MAX(0,N($K800)-1)*설정!$J$7))</f>
        <v/>
      </c>
      <c r="AA800" s="56" t="str">
        <f aca="false">IF(AND($D800&lt;&gt;"",$B800="결제완료"),N($N800),"")</f>
        <v/>
      </c>
      <c r="AB800" s="45" t="str">
        <f aca="false">IF($D800="","",IF($F800&lt;&gt;"",$F800,$D800)&amp;IF($B800="상담중"," (상담)",""))</f>
        <v/>
      </c>
      <c r="AC800" s="45" t="n">
        <f aca="false">IF(AND($D800&lt;&gt;"",OR($B800="결제완료",$B800="상담중")),1,0)</f>
        <v>0</v>
      </c>
      <c r="AD800" s="45" t="n">
        <f aca="false">IF(OR($Z800="",$U800=""),0,IFERROR(IF(COUNTIFS(INDEX(g_grid,0,2*MATCH($M800,강사DB!$A$4:$A$15,0)),"&lt;&gt;",g_s,"&lt;="&amp;$U800,g_e,"&gt;="&amp;$U800)&gt;0,1,0),0))</f>
        <v>0</v>
      </c>
      <c r="AE800" s="48"/>
      <c r="AF800" s="56" t="str">
        <f aca="false">IF(AND($D800&lt;&gt;"",$B800="결제완료",$T800="대여"),설정!$J$5,"")</f>
        <v/>
      </c>
      <c r="AG800" s="54" t="str">
        <f aca="false">IF($D800="","",IF(AND($E800="",$R800=""),$AB800,"☎ "&amp;IF($E800="","-",$E800)&amp;IF($R800&lt;&gt;"","  ※ "&amp;$R800,"")&amp;IF($B800="상담중"," (상담)","")))</f>
        <v/>
      </c>
      <c r="AH800" s="56" t="str">
        <f aca="false">IF(AND($D800&lt;&gt;"",$B800="결제완료",$O800="스마트스토어"),ROUND(N($N800)*설정!$J$6,0),"")</f>
        <v/>
      </c>
      <c r="AI800" s="54" t="str">
        <f aca="false">IF($D800="","",ROW())</f>
        <v/>
      </c>
      <c r="AJ800" s="54" t="n">
        <f aca="false">IF(OR($AC800&lt;&gt;1,$M800=""),0,IF(ISNUMBER(SEARCH("퇴사",IFERROR(INDEX(강사DB!$G$4:$G$53,MATCH($M800,강사DB!$A$4:$A$53,0)),""))),1,0))</f>
        <v>0</v>
      </c>
    </row>
    <row r="801" customFormat="false" ht="15" hidden="false" customHeight="false" outlineLevel="0" collapsed="false">
      <c r="A801" s="45" t="str">
        <f aca="false">IF($D801="","",COUNTA($D$5:$D801))</f>
        <v/>
      </c>
      <c r="B801" s="46"/>
      <c r="C801" s="47"/>
      <c r="D801" s="48"/>
      <c r="E801" s="48"/>
      <c r="F801" s="49"/>
      <c r="G801" s="47"/>
      <c r="H801" s="50"/>
      <c r="I801" s="50"/>
      <c r="J801" s="51" t="str">
        <f aca="false">IF(OR($V801="",$W801=""),"",ROUND(($W801-$V801)/60,2))</f>
        <v/>
      </c>
      <c r="K801" s="52" t="str">
        <f aca="false">IF($F801="","",LEN($F801)-LEN(SUBSTITUTE($F801,",",""))+1)</f>
        <v/>
      </c>
      <c r="L801" s="45" t="str">
        <f aca="false">IF($K801="","","1:"&amp;$K801)</f>
        <v/>
      </c>
      <c r="M801" s="46"/>
      <c r="N801" s="53"/>
      <c r="O801" s="46"/>
      <c r="P801" s="47"/>
      <c r="Q801" s="48"/>
      <c r="R801" s="49"/>
      <c r="S801" s="54" t="str">
        <f aca="false">IF(OR($AC801=0,$U801="",$M801="",$V801="",$W801=""),"",IF(COUNTIFS(m_teacher,$M801,m_date,$U801,m_active,1,m_start,"&lt;"&amp;$W801,m_end,"&gt;"&amp;$V801)&gt;1,"충돌",""))</f>
        <v/>
      </c>
      <c r="T801" s="48"/>
      <c r="U801" s="55" t="str">
        <f aca="false">IF($G801="","",IFERROR(IF(ISNUMBER($G801),IF($G801&gt;19000000,DATE(INT($G801/10000),MOD(INT($G801/100),100),MOD($G801,100)),INT($G801)),IF(LEN(SUBSTITUTE(SUBSTITUTE(SUBSTITUTE(TRIM($G801),"-",""),".",""),"/",""))=8,DATE(VALUE(LEFT(SUBSTITUTE(SUBSTITUTE(SUBSTITUTE(TRIM($G801),"-",""),".",""),"/",""),4)),VALUE(MID(SUBSTITUTE(SUBSTITUTE(SUBSTITUTE(TRIM($G801),"-",""),".",""),"/",""),5,2)),VALUE(RIGHT(SUBSTITUTE(SUBSTITUTE(SUBSTITUTE(TRIM($G801),"-",""),".",""),"/",""),2))),DATEVALUE($G801))),""))</f>
        <v/>
      </c>
      <c r="V801" s="52" t="str">
        <f aca="false">IF($H801="","",IFERROR(IF(IF(ISNUMBER($H801),$H801,IFERROR(TIMEVALUE($H801),VALUE($H801)))&gt;=100,INT(IF(ISNUMBER($H801),$H801,IFERROR(TIMEVALUE($H801),VALUE($H801)))/100)*60+MOD(IF(ISNUMBER($H801),$H801,IFERROR(TIMEVALUE($H801),VALUE($H801))),100),IF(IF(ISNUMBER($H801),$H801,IFERROR(TIMEVALUE($H801),VALUE($H801)))&gt;=1,ROUND(IF(ISNUMBER($H801),$H801,IFERROR(TIMEVALUE($H801),VALUE($H801)))*60,0),ROUND(MOD(IF(ISNUMBER($H801),$H801,IFERROR(TIMEVALUE($H801),VALUE($H801))),1)*1440,0))),""))</f>
        <v/>
      </c>
      <c r="W801" s="52" t="str">
        <f aca="false">IF($I801="","",IFERROR(IF(IF(ISNUMBER($I801),$I801,IFERROR(TIMEVALUE($I801),VALUE($I801)))&gt;=100,INT(IF(ISNUMBER($I801),$I801,IFERROR(TIMEVALUE($I801),VALUE($I801)))/100)*60+MOD(IF(ISNUMBER($I801),$I801,IFERROR(TIMEVALUE($I801),VALUE($I801))),100),IF(IF(ISNUMBER($I801),$I801,IFERROR(TIMEVALUE($I801),VALUE($I801)))&gt;=1,ROUND(IF(ISNUMBER($I801),$I801,IFERROR(TIMEVALUE($I801),VALUE($I801)))*60,0),ROUND(MOD(IF(ISNUMBER($I801),$I801,IFERROR(TIMEVALUE($I801),VALUE($I801))),1)*1440,0))),""))</f>
        <v/>
      </c>
      <c r="X801" s="55" t="str">
        <f aca="false">IF($P801="","",IFERROR(IF(ISNUMBER($P801),IF($P801&gt;19000000,DATE(INT($P801/10000),MOD(INT($P801/100),100),MOD($P801,100)),INT($P801)),IF(LEN(SUBSTITUTE(SUBSTITUTE(SUBSTITUTE(TRIM($P801),"-",""),".",""),"/",""))=8,DATE(VALUE(LEFT(SUBSTITUTE(SUBSTITUTE(SUBSTITUTE(TRIM($P801),"-",""),".",""),"/",""),4)),VALUE(MID(SUBSTITUTE(SUBSTITUTE(SUBSTITUTE(TRIM($P801),"-",""),".",""),"/",""),5,2)),VALUE(RIGHT(SUBSTITUTE(SUBSTITUTE(SUBSTITUTE(TRIM($P801),"-",""),".",""),"/",""),2))),DATEVALUE($P801))),""))</f>
        <v/>
      </c>
      <c r="Y801" s="56" t="str">
        <f aca="false">IF($M801="","",IFERROR(INDEX(강사DB!$D$4:$D$53,MATCH($M801,강사DB!$A$4:$A$53,0)),""))</f>
        <v/>
      </c>
      <c r="Z801" s="56" t="str">
        <f aca="false">IF($B801&lt;&gt;"결제완료","",IF(OR($Y801="",$J801=""),"",$Y801*$J801+MAX(0,N($K801)-1)*설정!$J$7))</f>
        <v/>
      </c>
      <c r="AA801" s="56" t="str">
        <f aca="false">IF(AND($D801&lt;&gt;"",$B801="결제완료"),N($N801),"")</f>
        <v/>
      </c>
      <c r="AB801" s="45" t="str">
        <f aca="false">IF($D801="","",IF($F801&lt;&gt;"",$F801,$D801)&amp;IF($B801="상담중"," (상담)",""))</f>
        <v/>
      </c>
      <c r="AC801" s="45" t="n">
        <f aca="false">IF(AND($D801&lt;&gt;"",OR($B801="결제완료",$B801="상담중")),1,0)</f>
        <v>0</v>
      </c>
      <c r="AD801" s="45" t="n">
        <f aca="false">IF(OR($Z801="",$U801=""),0,IFERROR(IF(COUNTIFS(INDEX(g_grid,0,2*MATCH($M801,강사DB!$A$4:$A$15,0)),"&lt;&gt;",g_s,"&lt;="&amp;$U801,g_e,"&gt;="&amp;$U801)&gt;0,1,0),0))</f>
        <v>0</v>
      </c>
      <c r="AE801" s="48"/>
      <c r="AF801" s="56" t="str">
        <f aca="false">IF(AND($D801&lt;&gt;"",$B801="결제완료",$T801="대여"),설정!$J$5,"")</f>
        <v/>
      </c>
      <c r="AG801" s="54" t="str">
        <f aca="false">IF($D801="","",IF(AND($E801="",$R801=""),$AB801,"☎ "&amp;IF($E801="","-",$E801)&amp;IF($R801&lt;&gt;"","  ※ "&amp;$R801,"")&amp;IF($B801="상담중"," (상담)","")))</f>
        <v/>
      </c>
      <c r="AH801" s="56" t="str">
        <f aca="false">IF(AND($D801&lt;&gt;"",$B801="결제완료",$O801="스마트스토어"),ROUND(N($N801)*설정!$J$6,0),"")</f>
        <v/>
      </c>
      <c r="AI801" s="54" t="str">
        <f aca="false">IF($D801="","",ROW())</f>
        <v/>
      </c>
      <c r="AJ801" s="54" t="n">
        <f aca="false">IF(OR($AC801&lt;&gt;1,$M801=""),0,IF(ISNUMBER(SEARCH("퇴사",IFERROR(INDEX(강사DB!$G$4:$G$53,MATCH($M801,강사DB!$A$4:$A$53,0)),""))),1,0))</f>
        <v>0</v>
      </c>
    </row>
    <row r="802" customFormat="false" ht="15" hidden="false" customHeight="false" outlineLevel="0" collapsed="false">
      <c r="A802" s="45" t="str">
        <f aca="false">IF($D802="","",COUNTA($D$5:$D802))</f>
        <v/>
      </c>
      <c r="B802" s="46"/>
      <c r="C802" s="47"/>
      <c r="D802" s="48"/>
      <c r="E802" s="48"/>
      <c r="F802" s="49"/>
      <c r="G802" s="47"/>
      <c r="H802" s="50"/>
      <c r="I802" s="50"/>
      <c r="J802" s="51" t="str">
        <f aca="false">IF(OR($V802="",$W802=""),"",ROUND(($W802-$V802)/60,2))</f>
        <v/>
      </c>
      <c r="K802" s="52" t="str">
        <f aca="false">IF($F802="","",LEN($F802)-LEN(SUBSTITUTE($F802,",",""))+1)</f>
        <v/>
      </c>
      <c r="L802" s="45" t="str">
        <f aca="false">IF($K802="","","1:"&amp;$K802)</f>
        <v/>
      </c>
      <c r="M802" s="46"/>
      <c r="N802" s="53"/>
      <c r="O802" s="46"/>
      <c r="P802" s="47"/>
      <c r="Q802" s="48"/>
      <c r="R802" s="49"/>
      <c r="S802" s="54" t="str">
        <f aca="false">IF(OR($AC802=0,$U802="",$M802="",$V802="",$W802=""),"",IF(COUNTIFS(m_teacher,$M802,m_date,$U802,m_active,1,m_start,"&lt;"&amp;$W802,m_end,"&gt;"&amp;$V802)&gt;1,"충돌",""))</f>
        <v/>
      </c>
      <c r="T802" s="48"/>
      <c r="U802" s="55" t="str">
        <f aca="false">IF($G802="","",IFERROR(IF(ISNUMBER($G802),IF($G802&gt;19000000,DATE(INT($G802/10000),MOD(INT($G802/100),100),MOD($G802,100)),INT($G802)),IF(LEN(SUBSTITUTE(SUBSTITUTE(SUBSTITUTE(TRIM($G802),"-",""),".",""),"/",""))=8,DATE(VALUE(LEFT(SUBSTITUTE(SUBSTITUTE(SUBSTITUTE(TRIM($G802),"-",""),".",""),"/",""),4)),VALUE(MID(SUBSTITUTE(SUBSTITUTE(SUBSTITUTE(TRIM($G802),"-",""),".",""),"/",""),5,2)),VALUE(RIGHT(SUBSTITUTE(SUBSTITUTE(SUBSTITUTE(TRIM($G802),"-",""),".",""),"/",""),2))),DATEVALUE($G802))),""))</f>
        <v/>
      </c>
      <c r="V802" s="52" t="str">
        <f aca="false">IF($H802="","",IFERROR(IF(IF(ISNUMBER($H802),$H802,IFERROR(TIMEVALUE($H802),VALUE($H802)))&gt;=100,INT(IF(ISNUMBER($H802),$H802,IFERROR(TIMEVALUE($H802),VALUE($H802)))/100)*60+MOD(IF(ISNUMBER($H802),$H802,IFERROR(TIMEVALUE($H802),VALUE($H802))),100),IF(IF(ISNUMBER($H802),$H802,IFERROR(TIMEVALUE($H802),VALUE($H802)))&gt;=1,ROUND(IF(ISNUMBER($H802),$H802,IFERROR(TIMEVALUE($H802),VALUE($H802)))*60,0),ROUND(MOD(IF(ISNUMBER($H802),$H802,IFERROR(TIMEVALUE($H802),VALUE($H802))),1)*1440,0))),""))</f>
        <v/>
      </c>
      <c r="W802" s="52" t="str">
        <f aca="false">IF($I802="","",IFERROR(IF(IF(ISNUMBER($I802),$I802,IFERROR(TIMEVALUE($I802),VALUE($I802)))&gt;=100,INT(IF(ISNUMBER($I802),$I802,IFERROR(TIMEVALUE($I802),VALUE($I802)))/100)*60+MOD(IF(ISNUMBER($I802),$I802,IFERROR(TIMEVALUE($I802),VALUE($I802))),100),IF(IF(ISNUMBER($I802),$I802,IFERROR(TIMEVALUE($I802),VALUE($I802)))&gt;=1,ROUND(IF(ISNUMBER($I802),$I802,IFERROR(TIMEVALUE($I802),VALUE($I802)))*60,0),ROUND(MOD(IF(ISNUMBER($I802),$I802,IFERROR(TIMEVALUE($I802),VALUE($I802))),1)*1440,0))),""))</f>
        <v/>
      </c>
      <c r="X802" s="55" t="str">
        <f aca="false">IF($P802="","",IFERROR(IF(ISNUMBER($P802),IF($P802&gt;19000000,DATE(INT($P802/10000),MOD(INT($P802/100),100),MOD($P802,100)),INT($P802)),IF(LEN(SUBSTITUTE(SUBSTITUTE(SUBSTITUTE(TRIM($P802),"-",""),".",""),"/",""))=8,DATE(VALUE(LEFT(SUBSTITUTE(SUBSTITUTE(SUBSTITUTE(TRIM($P802),"-",""),".",""),"/",""),4)),VALUE(MID(SUBSTITUTE(SUBSTITUTE(SUBSTITUTE(TRIM($P802),"-",""),".",""),"/",""),5,2)),VALUE(RIGHT(SUBSTITUTE(SUBSTITUTE(SUBSTITUTE(TRIM($P802),"-",""),".",""),"/",""),2))),DATEVALUE($P802))),""))</f>
        <v/>
      </c>
      <c r="Y802" s="56" t="str">
        <f aca="false">IF($M802="","",IFERROR(INDEX(강사DB!$D$4:$D$53,MATCH($M802,강사DB!$A$4:$A$53,0)),""))</f>
        <v/>
      </c>
      <c r="Z802" s="56" t="str">
        <f aca="false">IF($B802&lt;&gt;"결제완료","",IF(OR($Y802="",$J802=""),"",$Y802*$J802+MAX(0,N($K802)-1)*설정!$J$7))</f>
        <v/>
      </c>
      <c r="AA802" s="56" t="str">
        <f aca="false">IF(AND($D802&lt;&gt;"",$B802="결제완료"),N($N802),"")</f>
        <v/>
      </c>
      <c r="AB802" s="45" t="str">
        <f aca="false">IF($D802="","",IF($F802&lt;&gt;"",$F802,$D802)&amp;IF($B802="상담중"," (상담)",""))</f>
        <v/>
      </c>
      <c r="AC802" s="45" t="n">
        <f aca="false">IF(AND($D802&lt;&gt;"",OR($B802="결제완료",$B802="상담중")),1,0)</f>
        <v>0</v>
      </c>
      <c r="AD802" s="45" t="n">
        <f aca="false">IF(OR($Z802="",$U802=""),0,IFERROR(IF(COUNTIFS(INDEX(g_grid,0,2*MATCH($M802,강사DB!$A$4:$A$15,0)),"&lt;&gt;",g_s,"&lt;="&amp;$U802,g_e,"&gt;="&amp;$U802)&gt;0,1,0),0))</f>
        <v>0</v>
      </c>
      <c r="AE802" s="48"/>
      <c r="AF802" s="56" t="str">
        <f aca="false">IF(AND($D802&lt;&gt;"",$B802="결제완료",$T802="대여"),설정!$J$5,"")</f>
        <v/>
      </c>
      <c r="AG802" s="54" t="str">
        <f aca="false">IF($D802="","",IF(AND($E802="",$R802=""),$AB802,"☎ "&amp;IF($E802="","-",$E802)&amp;IF($R802&lt;&gt;"","  ※ "&amp;$R802,"")&amp;IF($B802="상담중"," (상담)","")))</f>
        <v/>
      </c>
      <c r="AH802" s="56" t="str">
        <f aca="false">IF(AND($D802&lt;&gt;"",$B802="결제완료",$O802="스마트스토어"),ROUND(N($N802)*설정!$J$6,0),"")</f>
        <v/>
      </c>
      <c r="AI802" s="54" t="str">
        <f aca="false">IF($D802="","",ROW())</f>
        <v/>
      </c>
      <c r="AJ802" s="54" t="n">
        <f aca="false">IF(OR($AC802&lt;&gt;1,$M802=""),0,IF(ISNUMBER(SEARCH("퇴사",IFERROR(INDEX(강사DB!$G$4:$G$53,MATCH($M802,강사DB!$A$4:$A$53,0)),""))),1,0))</f>
        <v>0</v>
      </c>
    </row>
    <row r="803" customFormat="false" ht="15" hidden="false" customHeight="false" outlineLevel="0" collapsed="false">
      <c r="A803" s="45" t="str">
        <f aca="false">IF($D803="","",COUNTA($D$5:$D803))</f>
        <v/>
      </c>
      <c r="B803" s="46"/>
      <c r="C803" s="47"/>
      <c r="D803" s="48"/>
      <c r="E803" s="48"/>
      <c r="F803" s="49"/>
      <c r="G803" s="47"/>
      <c r="H803" s="50"/>
      <c r="I803" s="50"/>
      <c r="J803" s="51" t="str">
        <f aca="false">IF(OR($V803="",$W803=""),"",ROUND(($W803-$V803)/60,2))</f>
        <v/>
      </c>
      <c r="K803" s="52" t="str">
        <f aca="false">IF($F803="","",LEN($F803)-LEN(SUBSTITUTE($F803,",",""))+1)</f>
        <v/>
      </c>
      <c r="L803" s="45" t="str">
        <f aca="false">IF($K803="","","1:"&amp;$K803)</f>
        <v/>
      </c>
      <c r="M803" s="46"/>
      <c r="N803" s="53"/>
      <c r="O803" s="46"/>
      <c r="P803" s="47"/>
      <c r="Q803" s="48"/>
      <c r="R803" s="49"/>
      <c r="S803" s="54" t="str">
        <f aca="false">IF(OR($AC803=0,$U803="",$M803="",$V803="",$W803=""),"",IF(COUNTIFS(m_teacher,$M803,m_date,$U803,m_active,1,m_start,"&lt;"&amp;$W803,m_end,"&gt;"&amp;$V803)&gt;1,"충돌",""))</f>
        <v/>
      </c>
      <c r="T803" s="48"/>
      <c r="U803" s="55" t="str">
        <f aca="false">IF($G803="","",IFERROR(IF(ISNUMBER($G803),IF($G803&gt;19000000,DATE(INT($G803/10000),MOD(INT($G803/100),100),MOD($G803,100)),INT($G803)),IF(LEN(SUBSTITUTE(SUBSTITUTE(SUBSTITUTE(TRIM($G803),"-",""),".",""),"/",""))=8,DATE(VALUE(LEFT(SUBSTITUTE(SUBSTITUTE(SUBSTITUTE(TRIM($G803),"-",""),".",""),"/",""),4)),VALUE(MID(SUBSTITUTE(SUBSTITUTE(SUBSTITUTE(TRIM($G803),"-",""),".",""),"/",""),5,2)),VALUE(RIGHT(SUBSTITUTE(SUBSTITUTE(SUBSTITUTE(TRIM($G803),"-",""),".",""),"/",""),2))),DATEVALUE($G803))),""))</f>
        <v/>
      </c>
      <c r="V803" s="52" t="str">
        <f aca="false">IF($H803="","",IFERROR(IF(IF(ISNUMBER($H803),$H803,IFERROR(TIMEVALUE($H803),VALUE($H803)))&gt;=100,INT(IF(ISNUMBER($H803),$H803,IFERROR(TIMEVALUE($H803),VALUE($H803)))/100)*60+MOD(IF(ISNUMBER($H803),$H803,IFERROR(TIMEVALUE($H803),VALUE($H803))),100),IF(IF(ISNUMBER($H803),$H803,IFERROR(TIMEVALUE($H803),VALUE($H803)))&gt;=1,ROUND(IF(ISNUMBER($H803),$H803,IFERROR(TIMEVALUE($H803),VALUE($H803)))*60,0),ROUND(MOD(IF(ISNUMBER($H803),$H803,IFERROR(TIMEVALUE($H803),VALUE($H803))),1)*1440,0))),""))</f>
        <v/>
      </c>
      <c r="W803" s="52" t="str">
        <f aca="false">IF($I803="","",IFERROR(IF(IF(ISNUMBER($I803),$I803,IFERROR(TIMEVALUE($I803),VALUE($I803)))&gt;=100,INT(IF(ISNUMBER($I803),$I803,IFERROR(TIMEVALUE($I803),VALUE($I803)))/100)*60+MOD(IF(ISNUMBER($I803),$I803,IFERROR(TIMEVALUE($I803),VALUE($I803))),100),IF(IF(ISNUMBER($I803),$I803,IFERROR(TIMEVALUE($I803),VALUE($I803)))&gt;=1,ROUND(IF(ISNUMBER($I803),$I803,IFERROR(TIMEVALUE($I803),VALUE($I803)))*60,0),ROUND(MOD(IF(ISNUMBER($I803),$I803,IFERROR(TIMEVALUE($I803),VALUE($I803))),1)*1440,0))),""))</f>
        <v/>
      </c>
      <c r="X803" s="55" t="str">
        <f aca="false">IF($P803="","",IFERROR(IF(ISNUMBER($P803),IF($P803&gt;19000000,DATE(INT($P803/10000),MOD(INT($P803/100),100),MOD($P803,100)),INT($P803)),IF(LEN(SUBSTITUTE(SUBSTITUTE(SUBSTITUTE(TRIM($P803),"-",""),".",""),"/",""))=8,DATE(VALUE(LEFT(SUBSTITUTE(SUBSTITUTE(SUBSTITUTE(TRIM($P803),"-",""),".",""),"/",""),4)),VALUE(MID(SUBSTITUTE(SUBSTITUTE(SUBSTITUTE(TRIM($P803),"-",""),".",""),"/",""),5,2)),VALUE(RIGHT(SUBSTITUTE(SUBSTITUTE(SUBSTITUTE(TRIM($P803),"-",""),".",""),"/",""),2))),DATEVALUE($P803))),""))</f>
        <v/>
      </c>
      <c r="Y803" s="56" t="str">
        <f aca="false">IF($M803="","",IFERROR(INDEX(강사DB!$D$4:$D$53,MATCH($M803,강사DB!$A$4:$A$53,0)),""))</f>
        <v/>
      </c>
      <c r="Z803" s="56" t="str">
        <f aca="false">IF($B803&lt;&gt;"결제완료","",IF(OR($Y803="",$J803=""),"",$Y803*$J803+MAX(0,N($K803)-1)*설정!$J$7))</f>
        <v/>
      </c>
      <c r="AA803" s="56" t="str">
        <f aca="false">IF(AND($D803&lt;&gt;"",$B803="결제완료"),N($N803),"")</f>
        <v/>
      </c>
      <c r="AB803" s="45" t="str">
        <f aca="false">IF($D803="","",IF($F803&lt;&gt;"",$F803,$D803)&amp;IF($B803="상담중"," (상담)",""))</f>
        <v/>
      </c>
      <c r="AC803" s="45" t="n">
        <f aca="false">IF(AND($D803&lt;&gt;"",OR($B803="결제완료",$B803="상담중")),1,0)</f>
        <v>0</v>
      </c>
      <c r="AD803" s="45" t="n">
        <f aca="false">IF(OR($Z803="",$U803=""),0,IFERROR(IF(COUNTIFS(INDEX(g_grid,0,2*MATCH($M803,강사DB!$A$4:$A$15,0)),"&lt;&gt;",g_s,"&lt;="&amp;$U803,g_e,"&gt;="&amp;$U803)&gt;0,1,0),0))</f>
        <v>0</v>
      </c>
      <c r="AE803" s="48"/>
      <c r="AF803" s="56" t="str">
        <f aca="false">IF(AND($D803&lt;&gt;"",$B803="결제완료",$T803="대여"),설정!$J$5,"")</f>
        <v/>
      </c>
      <c r="AG803" s="54" t="str">
        <f aca="false">IF($D803="","",IF(AND($E803="",$R803=""),$AB803,"☎ "&amp;IF($E803="","-",$E803)&amp;IF($R803&lt;&gt;"","  ※ "&amp;$R803,"")&amp;IF($B803="상담중"," (상담)","")))</f>
        <v/>
      </c>
      <c r="AH803" s="56" t="str">
        <f aca="false">IF(AND($D803&lt;&gt;"",$B803="결제완료",$O803="스마트스토어"),ROUND(N($N803)*설정!$J$6,0),"")</f>
        <v/>
      </c>
      <c r="AI803" s="54" t="str">
        <f aca="false">IF($D803="","",ROW())</f>
        <v/>
      </c>
      <c r="AJ803" s="54" t="n">
        <f aca="false">IF(OR($AC803&lt;&gt;1,$M803=""),0,IF(ISNUMBER(SEARCH("퇴사",IFERROR(INDEX(강사DB!$G$4:$G$53,MATCH($M803,강사DB!$A$4:$A$53,0)),""))),1,0))</f>
        <v>0</v>
      </c>
    </row>
    <row r="804" customFormat="false" ht="15" hidden="false" customHeight="false" outlineLevel="0" collapsed="false">
      <c r="A804" s="45" t="str">
        <f aca="false">IF($D804="","",COUNTA($D$5:$D804))</f>
        <v/>
      </c>
      <c r="B804" s="46"/>
      <c r="C804" s="47"/>
      <c r="D804" s="48"/>
      <c r="E804" s="48"/>
      <c r="F804" s="49"/>
      <c r="G804" s="47"/>
      <c r="H804" s="50"/>
      <c r="I804" s="50"/>
      <c r="J804" s="51" t="str">
        <f aca="false">IF(OR($V804="",$W804=""),"",ROUND(($W804-$V804)/60,2))</f>
        <v/>
      </c>
      <c r="K804" s="52" t="str">
        <f aca="false">IF($F804="","",LEN($F804)-LEN(SUBSTITUTE($F804,",",""))+1)</f>
        <v/>
      </c>
      <c r="L804" s="45" t="str">
        <f aca="false">IF($K804="","","1:"&amp;$K804)</f>
        <v/>
      </c>
      <c r="M804" s="46"/>
      <c r="N804" s="53"/>
      <c r="O804" s="46"/>
      <c r="P804" s="47"/>
      <c r="Q804" s="48"/>
      <c r="R804" s="49"/>
      <c r="S804" s="54" t="str">
        <f aca="false">IF(OR($AC804=0,$U804="",$M804="",$V804="",$W804=""),"",IF(COUNTIFS(m_teacher,$M804,m_date,$U804,m_active,1,m_start,"&lt;"&amp;$W804,m_end,"&gt;"&amp;$V804)&gt;1,"충돌",""))</f>
        <v/>
      </c>
      <c r="T804" s="48"/>
      <c r="U804" s="55" t="str">
        <f aca="false">IF($G804="","",IFERROR(IF(ISNUMBER($G804),IF($G804&gt;19000000,DATE(INT($G804/10000),MOD(INT($G804/100),100),MOD($G804,100)),INT($G804)),IF(LEN(SUBSTITUTE(SUBSTITUTE(SUBSTITUTE(TRIM($G804),"-",""),".",""),"/",""))=8,DATE(VALUE(LEFT(SUBSTITUTE(SUBSTITUTE(SUBSTITUTE(TRIM($G804),"-",""),".",""),"/",""),4)),VALUE(MID(SUBSTITUTE(SUBSTITUTE(SUBSTITUTE(TRIM($G804),"-",""),".",""),"/",""),5,2)),VALUE(RIGHT(SUBSTITUTE(SUBSTITUTE(SUBSTITUTE(TRIM($G804),"-",""),".",""),"/",""),2))),DATEVALUE($G804))),""))</f>
        <v/>
      </c>
      <c r="V804" s="52" t="str">
        <f aca="false">IF($H804="","",IFERROR(IF(IF(ISNUMBER($H804),$H804,IFERROR(TIMEVALUE($H804),VALUE($H804)))&gt;=100,INT(IF(ISNUMBER($H804),$H804,IFERROR(TIMEVALUE($H804),VALUE($H804)))/100)*60+MOD(IF(ISNUMBER($H804),$H804,IFERROR(TIMEVALUE($H804),VALUE($H804))),100),IF(IF(ISNUMBER($H804),$H804,IFERROR(TIMEVALUE($H804),VALUE($H804)))&gt;=1,ROUND(IF(ISNUMBER($H804),$H804,IFERROR(TIMEVALUE($H804),VALUE($H804)))*60,0),ROUND(MOD(IF(ISNUMBER($H804),$H804,IFERROR(TIMEVALUE($H804),VALUE($H804))),1)*1440,0))),""))</f>
        <v/>
      </c>
      <c r="W804" s="52" t="str">
        <f aca="false">IF($I804="","",IFERROR(IF(IF(ISNUMBER($I804),$I804,IFERROR(TIMEVALUE($I804),VALUE($I804)))&gt;=100,INT(IF(ISNUMBER($I804),$I804,IFERROR(TIMEVALUE($I804),VALUE($I804)))/100)*60+MOD(IF(ISNUMBER($I804),$I804,IFERROR(TIMEVALUE($I804),VALUE($I804))),100),IF(IF(ISNUMBER($I804),$I804,IFERROR(TIMEVALUE($I804),VALUE($I804)))&gt;=1,ROUND(IF(ISNUMBER($I804),$I804,IFERROR(TIMEVALUE($I804),VALUE($I804)))*60,0),ROUND(MOD(IF(ISNUMBER($I804),$I804,IFERROR(TIMEVALUE($I804),VALUE($I804))),1)*1440,0))),""))</f>
        <v/>
      </c>
      <c r="X804" s="55" t="str">
        <f aca="false">IF($P804="","",IFERROR(IF(ISNUMBER($P804),IF($P804&gt;19000000,DATE(INT($P804/10000),MOD(INT($P804/100),100),MOD($P804,100)),INT($P804)),IF(LEN(SUBSTITUTE(SUBSTITUTE(SUBSTITUTE(TRIM($P804),"-",""),".",""),"/",""))=8,DATE(VALUE(LEFT(SUBSTITUTE(SUBSTITUTE(SUBSTITUTE(TRIM($P804),"-",""),".",""),"/",""),4)),VALUE(MID(SUBSTITUTE(SUBSTITUTE(SUBSTITUTE(TRIM($P804),"-",""),".",""),"/",""),5,2)),VALUE(RIGHT(SUBSTITUTE(SUBSTITUTE(SUBSTITUTE(TRIM($P804),"-",""),".",""),"/",""),2))),DATEVALUE($P804))),""))</f>
        <v/>
      </c>
      <c r="Y804" s="56" t="str">
        <f aca="false">IF($M804="","",IFERROR(INDEX(강사DB!$D$4:$D$53,MATCH($M804,강사DB!$A$4:$A$53,0)),""))</f>
        <v/>
      </c>
      <c r="Z804" s="56" t="str">
        <f aca="false">IF($B804&lt;&gt;"결제완료","",IF(OR($Y804="",$J804=""),"",$Y804*$J804+MAX(0,N($K804)-1)*설정!$J$7))</f>
        <v/>
      </c>
      <c r="AA804" s="56" t="str">
        <f aca="false">IF(AND($D804&lt;&gt;"",$B804="결제완료"),N($N804),"")</f>
        <v/>
      </c>
      <c r="AB804" s="45" t="str">
        <f aca="false">IF($D804="","",IF($F804&lt;&gt;"",$F804,$D804)&amp;IF($B804="상담중"," (상담)",""))</f>
        <v/>
      </c>
      <c r="AC804" s="45" t="n">
        <f aca="false">IF(AND($D804&lt;&gt;"",OR($B804="결제완료",$B804="상담중")),1,0)</f>
        <v>0</v>
      </c>
      <c r="AD804" s="45" t="n">
        <f aca="false">IF(OR($Z804="",$U804=""),0,IFERROR(IF(COUNTIFS(INDEX(g_grid,0,2*MATCH($M804,강사DB!$A$4:$A$15,0)),"&lt;&gt;",g_s,"&lt;="&amp;$U804,g_e,"&gt;="&amp;$U804)&gt;0,1,0),0))</f>
        <v>0</v>
      </c>
      <c r="AE804" s="48"/>
      <c r="AF804" s="56" t="str">
        <f aca="false">IF(AND($D804&lt;&gt;"",$B804="결제완료",$T804="대여"),설정!$J$5,"")</f>
        <v/>
      </c>
      <c r="AG804" s="54" t="str">
        <f aca="false">IF($D804="","",IF(AND($E804="",$R804=""),$AB804,"☎ "&amp;IF($E804="","-",$E804)&amp;IF($R804&lt;&gt;"","  ※ "&amp;$R804,"")&amp;IF($B804="상담중"," (상담)","")))</f>
        <v/>
      </c>
      <c r="AH804" s="56" t="str">
        <f aca="false">IF(AND($D804&lt;&gt;"",$B804="결제완료",$O804="스마트스토어"),ROUND(N($N804)*설정!$J$6,0),"")</f>
        <v/>
      </c>
      <c r="AI804" s="54" t="str">
        <f aca="false">IF($D804="","",ROW())</f>
        <v/>
      </c>
      <c r="AJ804" s="54" t="n">
        <f aca="false">IF(OR($AC804&lt;&gt;1,$M804=""),0,IF(ISNUMBER(SEARCH("퇴사",IFERROR(INDEX(강사DB!$G$4:$G$53,MATCH($M804,강사DB!$A$4:$A$53,0)),""))),1,0))</f>
        <v>0</v>
      </c>
    </row>
    <row r="805" customFormat="false" ht="15" hidden="false" customHeight="false" outlineLevel="0" collapsed="false">
      <c r="A805" s="45" t="str">
        <f aca="false">IF($D805="","",COUNTA($D$5:$D805))</f>
        <v/>
      </c>
      <c r="B805" s="46"/>
      <c r="C805" s="47"/>
      <c r="D805" s="48"/>
      <c r="E805" s="48"/>
      <c r="F805" s="49"/>
      <c r="G805" s="47"/>
      <c r="H805" s="50"/>
      <c r="I805" s="50"/>
      <c r="J805" s="51" t="str">
        <f aca="false">IF(OR($V805="",$W805=""),"",ROUND(($W805-$V805)/60,2))</f>
        <v/>
      </c>
      <c r="K805" s="52" t="str">
        <f aca="false">IF($F805="","",LEN($F805)-LEN(SUBSTITUTE($F805,",",""))+1)</f>
        <v/>
      </c>
      <c r="L805" s="45" t="str">
        <f aca="false">IF($K805="","","1:"&amp;$K805)</f>
        <v/>
      </c>
      <c r="M805" s="46"/>
      <c r="N805" s="53"/>
      <c r="O805" s="46"/>
      <c r="P805" s="47"/>
      <c r="Q805" s="48"/>
      <c r="R805" s="49"/>
      <c r="S805" s="54" t="str">
        <f aca="false">IF(OR($AC805=0,$U805="",$M805="",$V805="",$W805=""),"",IF(COUNTIFS(m_teacher,$M805,m_date,$U805,m_active,1,m_start,"&lt;"&amp;$W805,m_end,"&gt;"&amp;$V805)&gt;1,"충돌",""))</f>
        <v/>
      </c>
      <c r="T805" s="48"/>
      <c r="U805" s="55" t="str">
        <f aca="false">IF($G805="","",IFERROR(IF(ISNUMBER($G805),IF($G805&gt;19000000,DATE(INT($G805/10000),MOD(INT($G805/100),100),MOD($G805,100)),INT($G805)),IF(LEN(SUBSTITUTE(SUBSTITUTE(SUBSTITUTE(TRIM($G805),"-",""),".",""),"/",""))=8,DATE(VALUE(LEFT(SUBSTITUTE(SUBSTITUTE(SUBSTITUTE(TRIM($G805),"-",""),".",""),"/",""),4)),VALUE(MID(SUBSTITUTE(SUBSTITUTE(SUBSTITUTE(TRIM($G805),"-",""),".",""),"/",""),5,2)),VALUE(RIGHT(SUBSTITUTE(SUBSTITUTE(SUBSTITUTE(TRIM($G805),"-",""),".",""),"/",""),2))),DATEVALUE($G805))),""))</f>
        <v/>
      </c>
      <c r="V805" s="52" t="str">
        <f aca="false">IF($H805="","",IFERROR(IF(IF(ISNUMBER($H805),$H805,IFERROR(TIMEVALUE($H805),VALUE($H805)))&gt;=100,INT(IF(ISNUMBER($H805),$H805,IFERROR(TIMEVALUE($H805),VALUE($H805)))/100)*60+MOD(IF(ISNUMBER($H805),$H805,IFERROR(TIMEVALUE($H805),VALUE($H805))),100),IF(IF(ISNUMBER($H805),$H805,IFERROR(TIMEVALUE($H805),VALUE($H805)))&gt;=1,ROUND(IF(ISNUMBER($H805),$H805,IFERROR(TIMEVALUE($H805),VALUE($H805)))*60,0),ROUND(MOD(IF(ISNUMBER($H805),$H805,IFERROR(TIMEVALUE($H805),VALUE($H805))),1)*1440,0))),""))</f>
        <v/>
      </c>
      <c r="W805" s="52" t="str">
        <f aca="false">IF($I805="","",IFERROR(IF(IF(ISNUMBER($I805),$I805,IFERROR(TIMEVALUE($I805),VALUE($I805)))&gt;=100,INT(IF(ISNUMBER($I805),$I805,IFERROR(TIMEVALUE($I805),VALUE($I805)))/100)*60+MOD(IF(ISNUMBER($I805),$I805,IFERROR(TIMEVALUE($I805),VALUE($I805))),100),IF(IF(ISNUMBER($I805),$I805,IFERROR(TIMEVALUE($I805),VALUE($I805)))&gt;=1,ROUND(IF(ISNUMBER($I805),$I805,IFERROR(TIMEVALUE($I805),VALUE($I805)))*60,0),ROUND(MOD(IF(ISNUMBER($I805),$I805,IFERROR(TIMEVALUE($I805),VALUE($I805))),1)*1440,0))),""))</f>
        <v/>
      </c>
      <c r="X805" s="55" t="str">
        <f aca="false">IF($P805="","",IFERROR(IF(ISNUMBER($P805),IF($P805&gt;19000000,DATE(INT($P805/10000),MOD(INT($P805/100),100),MOD($P805,100)),INT($P805)),IF(LEN(SUBSTITUTE(SUBSTITUTE(SUBSTITUTE(TRIM($P805),"-",""),".",""),"/",""))=8,DATE(VALUE(LEFT(SUBSTITUTE(SUBSTITUTE(SUBSTITUTE(TRIM($P805),"-",""),".",""),"/",""),4)),VALUE(MID(SUBSTITUTE(SUBSTITUTE(SUBSTITUTE(TRIM($P805),"-",""),".",""),"/",""),5,2)),VALUE(RIGHT(SUBSTITUTE(SUBSTITUTE(SUBSTITUTE(TRIM($P805),"-",""),".",""),"/",""),2))),DATEVALUE($P805))),""))</f>
        <v/>
      </c>
      <c r="Y805" s="56" t="str">
        <f aca="false">IF($M805="","",IFERROR(INDEX(강사DB!$D$4:$D$53,MATCH($M805,강사DB!$A$4:$A$53,0)),""))</f>
        <v/>
      </c>
      <c r="Z805" s="56" t="str">
        <f aca="false">IF($B805&lt;&gt;"결제완료","",IF(OR($Y805="",$J805=""),"",$Y805*$J805+MAX(0,N($K805)-1)*설정!$J$7))</f>
        <v/>
      </c>
      <c r="AA805" s="56" t="str">
        <f aca="false">IF(AND($D805&lt;&gt;"",$B805="결제완료"),N($N805),"")</f>
        <v/>
      </c>
      <c r="AB805" s="45" t="str">
        <f aca="false">IF($D805="","",IF($F805&lt;&gt;"",$F805,$D805)&amp;IF($B805="상담중"," (상담)",""))</f>
        <v/>
      </c>
      <c r="AC805" s="45" t="n">
        <f aca="false">IF(AND($D805&lt;&gt;"",OR($B805="결제완료",$B805="상담중")),1,0)</f>
        <v>0</v>
      </c>
      <c r="AD805" s="45" t="n">
        <f aca="false">IF(OR($Z805="",$U805=""),0,IFERROR(IF(COUNTIFS(INDEX(g_grid,0,2*MATCH($M805,강사DB!$A$4:$A$15,0)),"&lt;&gt;",g_s,"&lt;="&amp;$U805,g_e,"&gt;="&amp;$U805)&gt;0,1,0),0))</f>
        <v>0</v>
      </c>
      <c r="AE805" s="48"/>
      <c r="AF805" s="56" t="str">
        <f aca="false">IF(AND($D805&lt;&gt;"",$B805="결제완료",$T805="대여"),설정!$J$5,"")</f>
        <v/>
      </c>
      <c r="AG805" s="54" t="str">
        <f aca="false">IF($D805="","",IF(AND($E805="",$R805=""),$AB805,"☎ "&amp;IF($E805="","-",$E805)&amp;IF($R805&lt;&gt;"","  ※ "&amp;$R805,"")&amp;IF($B805="상담중"," (상담)","")))</f>
        <v/>
      </c>
      <c r="AH805" s="56" t="str">
        <f aca="false">IF(AND($D805&lt;&gt;"",$B805="결제완료",$O805="스마트스토어"),ROUND(N($N805)*설정!$J$6,0),"")</f>
        <v/>
      </c>
      <c r="AI805" s="54" t="str">
        <f aca="false">IF($D805="","",ROW())</f>
        <v/>
      </c>
      <c r="AJ805" s="54" t="n">
        <f aca="false">IF(OR($AC805&lt;&gt;1,$M805=""),0,IF(ISNUMBER(SEARCH("퇴사",IFERROR(INDEX(강사DB!$G$4:$G$53,MATCH($M805,강사DB!$A$4:$A$53,0)),""))),1,0))</f>
        <v>0</v>
      </c>
    </row>
    <row r="806" customFormat="false" ht="15" hidden="false" customHeight="false" outlineLevel="0" collapsed="false">
      <c r="A806" s="45" t="str">
        <f aca="false">IF($D806="","",COUNTA($D$5:$D806))</f>
        <v/>
      </c>
      <c r="B806" s="46"/>
      <c r="C806" s="47"/>
      <c r="D806" s="48"/>
      <c r="E806" s="48"/>
      <c r="F806" s="49"/>
      <c r="G806" s="47"/>
      <c r="H806" s="50"/>
      <c r="I806" s="50"/>
      <c r="J806" s="51" t="str">
        <f aca="false">IF(OR($V806="",$W806=""),"",ROUND(($W806-$V806)/60,2))</f>
        <v/>
      </c>
      <c r="K806" s="52" t="str">
        <f aca="false">IF($F806="","",LEN($F806)-LEN(SUBSTITUTE($F806,",",""))+1)</f>
        <v/>
      </c>
      <c r="L806" s="45" t="str">
        <f aca="false">IF($K806="","","1:"&amp;$K806)</f>
        <v/>
      </c>
      <c r="M806" s="46"/>
      <c r="N806" s="53"/>
      <c r="O806" s="46"/>
      <c r="P806" s="47"/>
      <c r="Q806" s="48"/>
      <c r="R806" s="49"/>
      <c r="S806" s="54" t="str">
        <f aca="false">IF(OR($AC806=0,$U806="",$M806="",$V806="",$W806=""),"",IF(COUNTIFS(m_teacher,$M806,m_date,$U806,m_active,1,m_start,"&lt;"&amp;$W806,m_end,"&gt;"&amp;$V806)&gt;1,"충돌",""))</f>
        <v/>
      </c>
      <c r="T806" s="48"/>
      <c r="U806" s="55" t="str">
        <f aca="false">IF($G806="","",IFERROR(IF(ISNUMBER($G806),IF($G806&gt;19000000,DATE(INT($G806/10000),MOD(INT($G806/100),100),MOD($G806,100)),INT($G806)),IF(LEN(SUBSTITUTE(SUBSTITUTE(SUBSTITUTE(TRIM($G806),"-",""),".",""),"/",""))=8,DATE(VALUE(LEFT(SUBSTITUTE(SUBSTITUTE(SUBSTITUTE(TRIM($G806),"-",""),".",""),"/",""),4)),VALUE(MID(SUBSTITUTE(SUBSTITUTE(SUBSTITUTE(TRIM($G806),"-",""),".",""),"/",""),5,2)),VALUE(RIGHT(SUBSTITUTE(SUBSTITUTE(SUBSTITUTE(TRIM($G806),"-",""),".",""),"/",""),2))),DATEVALUE($G806))),""))</f>
        <v/>
      </c>
      <c r="V806" s="52" t="str">
        <f aca="false">IF($H806="","",IFERROR(IF(IF(ISNUMBER($H806),$H806,IFERROR(TIMEVALUE($H806),VALUE($H806)))&gt;=100,INT(IF(ISNUMBER($H806),$H806,IFERROR(TIMEVALUE($H806),VALUE($H806)))/100)*60+MOD(IF(ISNUMBER($H806),$H806,IFERROR(TIMEVALUE($H806),VALUE($H806))),100),IF(IF(ISNUMBER($H806),$H806,IFERROR(TIMEVALUE($H806),VALUE($H806)))&gt;=1,ROUND(IF(ISNUMBER($H806),$H806,IFERROR(TIMEVALUE($H806),VALUE($H806)))*60,0),ROUND(MOD(IF(ISNUMBER($H806),$H806,IFERROR(TIMEVALUE($H806),VALUE($H806))),1)*1440,0))),""))</f>
        <v/>
      </c>
      <c r="W806" s="52" t="str">
        <f aca="false">IF($I806="","",IFERROR(IF(IF(ISNUMBER($I806),$I806,IFERROR(TIMEVALUE($I806),VALUE($I806)))&gt;=100,INT(IF(ISNUMBER($I806),$I806,IFERROR(TIMEVALUE($I806),VALUE($I806)))/100)*60+MOD(IF(ISNUMBER($I806),$I806,IFERROR(TIMEVALUE($I806),VALUE($I806))),100),IF(IF(ISNUMBER($I806),$I806,IFERROR(TIMEVALUE($I806),VALUE($I806)))&gt;=1,ROUND(IF(ISNUMBER($I806),$I806,IFERROR(TIMEVALUE($I806),VALUE($I806)))*60,0),ROUND(MOD(IF(ISNUMBER($I806),$I806,IFERROR(TIMEVALUE($I806),VALUE($I806))),1)*1440,0))),""))</f>
        <v/>
      </c>
      <c r="X806" s="55" t="str">
        <f aca="false">IF($P806="","",IFERROR(IF(ISNUMBER($P806),IF($P806&gt;19000000,DATE(INT($P806/10000),MOD(INT($P806/100),100),MOD($P806,100)),INT($P806)),IF(LEN(SUBSTITUTE(SUBSTITUTE(SUBSTITUTE(TRIM($P806),"-",""),".",""),"/",""))=8,DATE(VALUE(LEFT(SUBSTITUTE(SUBSTITUTE(SUBSTITUTE(TRIM($P806),"-",""),".",""),"/",""),4)),VALUE(MID(SUBSTITUTE(SUBSTITUTE(SUBSTITUTE(TRIM($P806),"-",""),".",""),"/",""),5,2)),VALUE(RIGHT(SUBSTITUTE(SUBSTITUTE(SUBSTITUTE(TRIM($P806),"-",""),".",""),"/",""),2))),DATEVALUE($P806))),""))</f>
        <v/>
      </c>
      <c r="Y806" s="56" t="str">
        <f aca="false">IF($M806="","",IFERROR(INDEX(강사DB!$D$4:$D$53,MATCH($M806,강사DB!$A$4:$A$53,0)),""))</f>
        <v/>
      </c>
      <c r="Z806" s="56" t="str">
        <f aca="false">IF($B806&lt;&gt;"결제완료","",IF(OR($Y806="",$J806=""),"",$Y806*$J806+MAX(0,N($K806)-1)*설정!$J$7))</f>
        <v/>
      </c>
      <c r="AA806" s="56" t="str">
        <f aca="false">IF(AND($D806&lt;&gt;"",$B806="결제완료"),N($N806),"")</f>
        <v/>
      </c>
      <c r="AB806" s="45" t="str">
        <f aca="false">IF($D806="","",IF($F806&lt;&gt;"",$F806,$D806)&amp;IF($B806="상담중"," (상담)",""))</f>
        <v/>
      </c>
      <c r="AC806" s="45" t="n">
        <f aca="false">IF(AND($D806&lt;&gt;"",OR($B806="결제완료",$B806="상담중")),1,0)</f>
        <v>0</v>
      </c>
      <c r="AD806" s="45" t="n">
        <f aca="false">IF(OR($Z806="",$U806=""),0,IFERROR(IF(COUNTIFS(INDEX(g_grid,0,2*MATCH($M806,강사DB!$A$4:$A$15,0)),"&lt;&gt;",g_s,"&lt;="&amp;$U806,g_e,"&gt;="&amp;$U806)&gt;0,1,0),0))</f>
        <v>0</v>
      </c>
      <c r="AE806" s="48"/>
      <c r="AF806" s="56" t="str">
        <f aca="false">IF(AND($D806&lt;&gt;"",$B806="결제완료",$T806="대여"),설정!$J$5,"")</f>
        <v/>
      </c>
      <c r="AG806" s="54" t="str">
        <f aca="false">IF($D806="","",IF(AND($E806="",$R806=""),$AB806,"☎ "&amp;IF($E806="","-",$E806)&amp;IF($R806&lt;&gt;"","  ※ "&amp;$R806,"")&amp;IF($B806="상담중"," (상담)","")))</f>
        <v/>
      </c>
      <c r="AH806" s="56" t="str">
        <f aca="false">IF(AND($D806&lt;&gt;"",$B806="결제완료",$O806="스마트스토어"),ROUND(N($N806)*설정!$J$6,0),"")</f>
        <v/>
      </c>
      <c r="AI806" s="54" t="str">
        <f aca="false">IF($D806="","",ROW())</f>
        <v/>
      </c>
      <c r="AJ806" s="54" t="n">
        <f aca="false">IF(OR($AC806&lt;&gt;1,$M806=""),0,IF(ISNUMBER(SEARCH("퇴사",IFERROR(INDEX(강사DB!$G$4:$G$53,MATCH($M806,강사DB!$A$4:$A$53,0)),""))),1,0))</f>
        <v>0</v>
      </c>
    </row>
    <row r="807" customFormat="false" ht="15" hidden="false" customHeight="false" outlineLevel="0" collapsed="false">
      <c r="A807" s="45" t="str">
        <f aca="false">IF($D807="","",COUNTA($D$5:$D807))</f>
        <v/>
      </c>
      <c r="B807" s="46"/>
      <c r="C807" s="47"/>
      <c r="D807" s="48"/>
      <c r="E807" s="48"/>
      <c r="F807" s="49"/>
      <c r="G807" s="47"/>
      <c r="H807" s="50"/>
      <c r="I807" s="50"/>
      <c r="J807" s="51" t="str">
        <f aca="false">IF(OR($V807="",$W807=""),"",ROUND(($W807-$V807)/60,2))</f>
        <v/>
      </c>
      <c r="K807" s="52" t="str">
        <f aca="false">IF($F807="","",LEN($F807)-LEN(SUBSTITUTE($F807,",",""))+1)</f>
        <v/>
      </c>
      <c r="L807" s="45" t="str">
        <f aca="false">IF($K807="","","1:"&amp;$K807)</f>
        <v/>
      </c>
      <c r="M807" s="46"/>
      <c r="N807" s="53"/>
      <c r="O807" s="46"/>
      <c r="P807" s="47"/>
      <c r="Q807" s="48"/>
      <c r="R807" s="49"/>
      <c r="S807" s="54" t="str">
        <f aca="false">IF(OR($AC807=0,$U807="",$M807="",$V807="",$W807=""),"",IF(COUNTIFS(m_teacher,$M807,m_date,$U807,m_active,1,m_start,"&lt;"&amp;$W807,m_end,"&gt;"&amp;$V807)&gt;1,"충돌",""))</f>
        <v/>
      </c>
      <c r="T807" s="48"/>
      <c r="U807" s="55" t="str">
        <f aca="false">IF($G807="","",IFERROR(IF(ISNUMBER($G807),IF($G807&gt;19000000,DATE(INT($G807/10000),MOD(INT($G807/100),100),MOD($G807,100)),INT($G807)),IF(LEN(SUBSTITUTE(SUBSTITUTE(SUBSTITUTE(TRIM($G807),"-",""),".",""),"/",""))=8,DATE(VALUE(LEFT(SUBSTITUTE(SUBSTITUTE(SUBSTITUTE(TRIM($G807),"-",""),".",""),"/",""),4)),VALUE(MID(SUBSTITUTE(SUBSTITUTE(SUBSTITUTE(TRIM($G807),"-",""),".",""),"/",""),5,2)),VALUE(RIGHT(SUBSTITUTE(SUBSTITUTE(SUBSTITUTE(TRIM($G807),"-",""),".",""),"/",""),2))),DATEVALUE($G807))),""))</f>
        <v/>
      </c>
      <c r="V807" s="52" t="str">
        <f aca="false">IF($H807="","",IFERROR(IF(IF(ISNUMBER($H807),$H807,IFERROR(TIMEVALUE($H807),VALUE($H807)))&gt;=100,INT(IF(ISNUMBER($H807),$H807,IFERROR(TIMEVALUE($H807),VALUE($H807)))/100)*60+MOD(IF(ISNUMBER($H807),$H807,IFERROR(TIMEVALUE($H807),VALUE($H807))),100),IF(IF(ISNUMBER($H807),$H807,IFERROR(TIMEVALUE($H807),VALUE($H807)))&gt;=1,ROUND(IF(ISNUMBER($H807),$H807,IFERROR(TIMEVALUE($H807),VALUE($H807)))*60,0),ROUND(MOD(IF(ISNUMBER($H807),$H807,IFERROR(TIMEVALUE($H807),VALUE($H807))),1)*1440,0))),""))</f>
        <v/>
      </c>
      <c r="W807" s="52" t="str">
        <f aca="false">IF($I807="","",IFERROR(IF(IF(ISNUMBER($I807),$I807,IFERROR(TIMEVALUE($I807),VALUE($I807)))&gt;=100,INT(IF(ISNUMBER($I807),$I807,IFERROR(TIMEVALUE($I807),VALUE($I807)))/100)*60+MOD(IF(ISNUMBER($I807),$I807,IFERROR(TIMEVALUE($I807),VALUE($I807))),100),IF(IF(ISNUMBER($I807),$I807,IFERROR(TIMEVALUE($I807),VALUE($I807)))&gt;=1,ROUND(IF(ISNUMBER($I807),$I807,IFERROR(TIMEVALUE($I807),VALUE($I807)))*60,0),ROUND(MOD(IF(ISNUMBER($I807),$I807,IFERROR(TIMEVALUE($I807),VALUE($I807))),1)*1440,0))),""))</f>
        <v/>
      </c>
      <c r="X807" s="55" t="str">
        <f aca="false">IF($P807="","",IFERROR(IF(ISNUMBER($P807),IF($P807&gt;19000000,DATE(INT($P807/10000),MOD(INT($P807/100),100),MOD($P807,100)),INT($P807)),IF(LEN(SUBSTITUTE(SUBSTITUTE(SUBSTITUTE(TRIM($P807),"-",""),".",""),"/",""))=8,DATE(VALUE(LEFT(SUBSTITUTE(SUBSTITUTE(SUBSTITUTE(TRIM($P807),"-",""),".",""),"/",""),4)),VALUE(MID(SUBSTITUTE(SUBSTITUTE(SUBSTITUTE(TRIM($P807),"-",""),".",""),"/",""),5,2)),VALUE(RIGHT(SUBSTITUTE(SUBSTITUTE(SUBSTITUTE(TRIM($P807),"-",""),".",""),"/",""),2))),DATEVALUE($P807))),""))</f>
        <v/>
      </c>
      <c r="Y807" s="56" t="str">
        <f aca="false">IF($M807="","",IFERROR(INDEX(강사DB!$D$4:$D$53,MATCH($M807,강사DB!$A$4:$A$53,0)),""))</f>
        <v/>
      </c>
      <c r="Z807" s="56" t="str">
        <f aca="false">IF($B807&lt;&gt;"결제완료","",IF(OR($Y807="",$J807=""),"",$Y807*$J807+MAX(0,N($K807)-1)*설정!$J$7))</f>
        <v/>
      </c>
      <c r="AA807" s="56" t="str">
        <f aca="false">IF(AND($D807&lt;&gt;"",$B807="결제완료"),N($N807),"")</f>
        <v/>
      </c>
      <c r="AB807" s="45" t="str">
        <f aca="false">IF($D807="","",IF($F807&lt;&gt;"",$F807,$D807)&amp;IF($B807="상담중"," (상담)",""))</f>
        <v/>
      </c>
      <c r="AC807" s="45" t="n">
        <f aca="false">IF(AND($D807&lt;&gt;"",OR($B807="결제완료",$B807="상담중")),1,0)</f>
        <v>0</v>
      </c>
      <c r="AD807" s="45" t="n">
        <f aca="false">IF(OR($Z807="",$U807=""),0,IFERROR(IF(COUNTIFS(INDEX(g_grid,0,2*MATCH($M807,강사DB!$A$4:$A$15,0)),"&lt;&gt;",g_s,"&lt;="&amp;$U807,g_e,"&gt;="&amp;$U807)&gt;0,1,0),0))</f>
        <v>0</v>
      </c>
      <c r="AE807" s="48"/>
      <c r="AF807" s="56" t="str">
        <f aca="false">IF(AND($D807&lt;&gt;"",$B807="결제완료",$T807="대여"),설정!$J$5,"")</f>
        <v/>
      </c>
      <c r="AG807" s="54" t="str">
        <f aca="false">IF($D807="","",IF(AND($E807="",$R807=""),$AB807,"☎ "&amp;IF($E807="","-",$E807)&amp;IF($R807&lt;&gt;"","  ※ "&amp;$R807,"")&amp;IF($B807="상담중"," (상담)","")))</f>
        <v/>
      </c>
      <c r="AH807" s="56" t="str">
        <f aca="false">IF(AND($D807&lt;&gt;"",$B807="결제완료",$O807="스마트스토어"),ROUND(N($N807)*설정!$J$6,0),"")</f>
        <v/>
      </c>
      <c r="AI807" s="54" t="str">
        <f aca="false">IF($D807="","",ROW())</f>
        <v/>
      </c>
      <c r="AJ807" s="54" t="n">
        <f aca="false">IF(OR($AC807&lt;&gt;1,$M807=""),0,IF(ISNUMBER(SEARCH("퇴사",IFERROR(INDEX(강사DB!$G$4:$G$53,MATCH($M807,강사DB!$A$4:$A$53,0)),""))),1,0))</f>
        <v>0</v>
      </c>
    </row>
    <row r="808" customFormat="false" ht="15" hidden="false" customHeight="false" outlineLevel="0" collapsed="false">
      <c r="A808" s="45" t="str">
        <f aca="false">IF($D808="","",COUNTA($D$5:$D808))</f>
        <v/>
      </c>
      <c r="B808" s="46"/>
      <c r="C808" s="47"/>
      <c r="D808" s="48"/>
      <c r="E808" s="48"/>
      <c r="F808" s="49"/>
      <c r="G808" s="47"/>
      <c r="H808" s="50"/>
      <c r="I808" s="50"/>
      <c r="J808" s="51" t="str">
        <f aca="false">IF(OR($V808="",$W808=""),"",ROUND(($W808-$V808)/60,2))</f>
        <v/>
      </c>
      <c r="K808" s="52" t="str">
        <f aca="false">IF($F808="","",LEN($F808)-LEN(SUBSTITUTE($F808,",",""))+1)</f>
        <v/>
      </c>
      <c r="L808" s="45" t="str">
        <f aca="false">IF($K808="","","1:"&amp;$K808)</f>
        <v/>
      </c>
      <c r="M808" s="46"/>
      <c r="N808" s="53"/>
      <c r="O808" s="46"/>
      <c r="P808" s="47"/>
      <c r="Q808" s="48"/>
      <c r="R808" s="49"/>
      <c r="S808" s="54" t="str">
        <f aca="false">IF(OR($AC808=0,$U808="",$M808="",$V808="",$W808=""),"",IF(COUNTIFS(m_teacher,$M808,m_date,$U808,m_active,1,m_start,"&lt;"&amp;$W808,m_end,"&gt;"&amp;$V808)&gt;1,"충돌",""))</f>
        <v/>
      </c>
      <c r="T808" s="48"/>
      <c r="U808" s="55" t="str">
        <f aca="false">IF($G808="","",IFERROR(IF(ISNUMBER($G808),IF($G808&gt;19000000,DATE(INT($G808/10000),MOD(INT($G808/100),100),MOD($G808,100)),INT($G808)),IF(LEN(SUBSTITUTE(SUBSTITUTE(SUBSTITUTE(TRIM($G808),"-",""),".",""),"/",""))=8,DATE(VALUE(LEFT(SUBSTITUTE(SUBSTITUTE(SUBSTITUTE(TRIM($G808),"-",""),".",""),"/",""),4)),VALUE(MID(SUBSTITUTE(SUBSTITUTE(SUBSTITUTE(TRIM($G808),"-",""),".",""),"/",""),5,2)),VALUE(RIGHT(SUBSTITUTE(SUBSTITUTE(SUBSTITUTE(TRIM($G808),"-",""),".",""),"/",""),2))),DATEVALUE($G808))),""))</f>
        <v/>
      </c>
      <c r="V808" s="52" t="str">
        <f aca="false">IF($H808="","",IFERROR(IF(IF(ISNUMBER($H808),$H808,IFERROR(TIMEVALUE($H808),VALUE($H808)))&gt;=100,INT(IF(ISNUMBER($H808),$H808,IFERROR(TIMEVALUE($H808),VALUE($H808)))/100)*60+MOD(IF(ISNUMBER($H808),$H808,IFERROR(TIMEVALUE($H808),VALUE($H808))),100),IF(IF(ISNUMBER($H808),$H808,IFERROR(TIMEVALUE($H808),VALUE($H808)))&gt;=1,ROUND(IF(ISNUMBER($H808),$H808,IFERROR(TIMEVALUE($H808),VALUE($H808)))*60,0),ROUND(MOD(IF(ISNUMBER($H808),$H808,IFERROR(TIMEVALUE($H808),VALUE($H808))),1)*1440,0))),""))</f>
        <v/>
      </c>
      <c r="W808" s="52" t="str">
        <f aca="false">IF($I808="","",IFERROR(IF(IF(ISNUMBER($I808),$I808,IFERROR(TIMEVALUE($I808),VALUE($I808)))&gt;=100,INT(IF(ISNUMBER($I808),$I808,IFERROR(TIMEVALUE($I808),VALUE($I808)))/100)*60+MOD(IF(ISNUMBER($I808),$I808,IFERROR(TIMEVALUE($I808),VALUE($I808))),100),IF(IF(ISNUMBER($I808),$I808,IFERROR(TIMEVALUE($I808),VALUE($I808)))&gt;=1,ROUND(IF(ISNUMBER($I808),$I808,IFERROR(TIMEVALUE($I808),VALUE($I808)))*60,0),ROUND(MOD(IF(ISNUMBER($I808),$I808,IFERROR(TIMEVALUE($I808),VALUE($I808))),1)*1440,0))),""))</f>
        <v/>
      </c>
      <c r="X808" s="55" t="str">
        <f aca="false">IF($P808="","",IFERROR(IF(ISNUMBER($P808),IF($P808&gt;19000000,DATE(INT($P808/10000),MOD(INT($P808/100),100),MOD($P808,100)),INT($P808)),IF(LEN(SUBSTITUTE(SUBSTITUTE(SUBSTITUTE(TRIM($P808),"-",""),".",""),"/",""))=8,DATE(VALUE(LEFT(SUBSTITUTE(SUBSTITUTE(SUBSTITUTE(TRIM($P808),"-",""),".",""),"/",""),4)),VALUE(MID(SUBSTITUTE(SUBSTITUTE(SUBSTITUTE(TRIM($P808),"-",""),".",""),"/",""),5,2)),VALUE(RIGHT(SUBSTITUTE(SUBSTITUTE(SUBSTITUTE(TRIM($P808),"-",""),".",""),"/",""),2))),DATEVALUE($P808))),""))</f>
        <v/>
      </c>
      <c r="Y808" s="56" t="str">
        <f aca="false">IF($M808="","",IFERROR(INDEX(강사DB!$D$4:$D$53,MATCH($M808,강사DB!$A$4:$A$53,0)),""))</f>
        <v/>
      </c>
      <c r="Z808" s="56" t="str">
        <f aca="false">IF($B808&lt;&gt;"결제완료","",IF(OR($Y808="",$J808=""),"",$Y808*$J808+MAX(0,N($K808)-1)*설정!$J$7))</f>
        <v/>
      </c>
      <c r="AA808" s="56" t="str">
        <f aca="false">IF(AND($D808&lt;&gt;"",$B808="결제완료"),N($N808),"")</f>
        <v/>
      </c>
      <c r="AB808" s="45" t="str">
        <f aca="false">IF($D808="","",IF($F808&lt;&gt;"",$F808,$D808)&amp;IF($B808="상담중"," (상담)",""))</f>
        <v/>
      </c>
      <c r="AC808" s="45" t="n">
        <f aca="false">IF(AND($D808&lt;&gt;"",OR($B808="결제완료",$B808="상담중")),1,0)</f>
        <v>0</v>
      </c>
      <c r="AD808" s="45" t="n">
        <f aca="false">IF(OR($Z808="",$U808=""),0,IFERROR(IF(COUNTIFS(INDEX(g_grid,0,2*MATCH($M808,강사DB!$A$4:$A$15,0)),"&lt;&gt;",g_s,"&lt;="&amp;$U808,g_e,"&gt;="&amp;$U808)&gt;0,1,0),0))</f>
        <v>0</v>
      </c>
      <c r="AE808" s="48"/>
      <c r="AF808" s="56" t="str">
        <f aca="false">IF(AND($D808&lt;&gt;"",$B808="결제완료",$T808="대여"),설정!$J$5,"")</f>
        <v/>
      </c>
      <c r="AG808" s="54" t="str">
        <f aca="false">IF($D808="","",IF(AND($E808="",$R808=""),$AB808,"☎ "&amp;IF($E808="","-",$E808)&amp;IF($R808&lt;&gt;"","  ※ "&amp;$R808,"")&amp;IF($B808="상담중"," (상담)","")))</f>
        <v/>
      </c>
      <c r="AH808" s="56" t="str">
        <f aca="false">IF(AND($D808&lt;&gt;"",$B808="결제완료",$O808="스마트스토어"),ROUND(N($N808)*설정!$J$6,0),"")</f>
        <v/>
      </c>
      <c r="AI808" s="54" t="str">
        <f aca="false">IF($D808="","",ROW())</f>
        <v/>
      </c>
      <c r="AJ808" s="54" t="n">
        <f aca="false">IF(OR($AC808&lt;&gt;1,$M808=""),0,IF(ISNUMBER(SEARCH("퇴사",IFERROR(INDEX(강사DB!$G$4:$G$53,MATCH($M808,강사DB!$A$4:$A$53,0)),""))),1,0))</f>
        <v>0</v>
      </c>
    </row>
    <row r="809" customFormat="false" ht="15" hidden="false" customHeight="false" outlineLevel="0" collapsed="false">
      <c r="A809" s="45" t="str">
        <f aca="false">IF($D809="","",COUNTA($D$5:$D809))</f>
        <v/>
      </c>
      <c r="B809" s="46"/>
      <c r="C809" s="47"/>
      <c r="D809" s="48"/>
      <c r="E809" s="48"/>
      <c r="F809" s="49"/>
      <c r="G809" s="47"/>
      <c r="H809" s="50"/>
      <c r="I809" s="50"/>
      <c r="J809" s="51" t="str">
        <f aca="false">IF(OR($V809="",$W809=""),"",ROUND(($W809-$V809)/60,2))</f>
        <v/>
      </c>
      <c r="K809" s="52" t="str">
        <f aca="false">IF($F809="","",LEN($F809)-LEN(SUBSTITUTE($F809,",",""))+1)</f>
        <v/>
      </c>
      <c r="L809" s="45" t="str">
        <f aca="false">IF($K809="","","1:"&amp;$K809)</f>
        <v/>
      </c>
      <c r="M809" s="46"/>
      <c r="N809" s="53"/>
      <c r="O809" s="46"/>
      <c r="P809" s="47"/>
      <c r="Q809" s="48"/>
      <c r="R809" s="49"/>
      <c r="S809" s="54" t="str">
        <f aca="false">IF(OR($AC809=0,$U809="",$M809="",$V809="",$W809=""),"",IF(COUNTIFS(m_teacher,$M809,m_date,$U809,m_active,1,m_start,"&lt;"&amp;$W809,m_end,"&gt;"&amp;$V809)&gt;1,"충돌",""))</f>
        <v/>
      </c>
      <c r="T809" s="48"/>
      <c r="U809" s="55" t="str">
        <f aca="false">IF($G809="","",IFERROR(IF(ISNUMBER($G809),IF($G809&gt;19000000,DATE(INT($G809/10000),MOD(INT($G809/100),100),MOD($G809,100)),INT($G809)),IF(LEN(SUBSTITUTE(SUBSTITUTE(SUBSTITUTE(TRIM($G809),"-",""),".",""),"/",""))=8,DATE(VALUE(LEFT(SUBSTITUTE(SUBSTITUTE(SUBSTITUTE(TRIM($G809),"-",""),".",""),"/",""),4)),VALUE(MID(SUBSTITUTE(SUBSTITUTE(SUBSTITUTE(TRIM($G809),"-",""),".",""),"/",""),5,2)),VALUE(RIGHT(SUBSTITUTE(SUBSTITUTE(SUBSTITUTE(TRIM($G809),"-",""),".",""),"/",""),2))),DATEVALUE($G809))),""))</f>
        <v/>
      </c>
      <c r="V809" s="52" t="str">
        <f aca="false">IF($H809="","",IFERROR(IF(IF(ISNUMBER($H809),$H809,IFERROR(TIMEVALUE($H809),VALUE($H809)))&gt;=100,INT(IF(ISNUMBER($H809),$H809,IFERROR(TIMEVALUE($H809),VALUE($H809)))/100)*60+MOD(IF(ISNUMBER($H809),$H809,IFERROR(TIMEVALUE($H809),VALUE($H809))),100),IF(IF(ISNUMBER($H809),$H809,IFERROR(TIMEVALUE($H809),VALUE($H809)))&gt;=1,ROUND(IF(ISNUMBER($H809),$H809,IFERROR(TIMEVALUE($H809),VALUE($H809)))*60,0),ROUND(MOD(IF(ISNUMBER($H809),$H809,IFERROR(TIMEVALUE($H809),VALUE($H809))),1)*1440,0))),""))</f>
        <v/>
      </c>
      <c r="W809" s="52" t="str">
        <f aca="false">IF($I809="","",IFERROR(IF(IF(ISNUMBER($I809),$I809,IFERROR(TIMEVALUE($I809),VALUE($I809)))&gt;=100,INT(IF(ISNUMBER($I809),$I809,IFERROR(TIMEVALUE($I809),VALUE($I809)))/100)*60+MOD(IF(ISNUMBER($I809),$I809,IFERROR(TIMEVALUE($I809),VALUE($I809))),100),IF(IF(ISNUMBER($I809),$I809,IFERROR(TIMEVALUE($I809),VALUE($I809)))&gt;=1,ROUND(IF(ISNUMBER($I809),$I809,IFERROR(TIMEVALUE($I809),VALUE($I809)))*60,0),ROUND(MOD(IF(ISNUMBER($I809),$I809,IFERROR(TIMEVALUE($I809),VALUE($I809))),1)*1440,0))),""))</f>
        <v/>
      </c>
      <c r="X809" s="55" t="str">
        <f aca="false">IF($P809="","",IFERROR(IF(ISNUMBER($P809),IF($P809&gt;19000000,DATE(INT($P809/10000),MOD(INT($P809/100),100),MOD($P809,100)),INT($P809)),IF(LEN(SUBSTITUTE(SUBSTITUTE(SUBSTITUTE(TRIM($P809),"-",""),".",""),"/",""))=8,DATE(VALUE(LEFT(SUBSTITUTE(SUBSTITUTE(SUBSTITUTE(TRIM($P809),"-",""),".",""),"/",""),4)),VALUE(MID(SUBSTITUTE(SUBSTITUTE(SUBSTITUTE(TRIM($P809),"-",""),".",""),"/",""),5,2)),VALUE(RIGHT(SUBSTITUTE(SUBSTITUTE(SUBSTITUTE(TRIM($P809),"-",""),".",""),"/",""),2))),DATEVALUE($P809))),""))</f>
        <v/>
      </c>
      <c r="Y809" s="56" t="str">
        <f aca="false">IF($M809="","",IFERROR(INDEX(강사DB!$D$4:$D$53,MATCH($M809,강사DB!$A$4:$A$53,0)),""))</f>
        <v/>
      </c>
      <c r="Z809" s="56" t="str">
        <f aca="false">IF($B809&lt;&gt;"결제완료","",IF(OR($Y809="",$J809=""),"",$Y809*$J809+MAX(0,N($K809)-1)*설정!$J$7))</f>
        <v/>
      </c>
      <c r="AA809" s="56" t="str">
        <f aca="false">IF(AND($D809&lt;&gt;"",$B809="결제완료"),N($N809),"")</f>
        <v/>
      </c>
      <c r="AB809" s="45" t="str">
        <f aca="false">IF($D809="","",IF($F809&lt;&gt;"",$F809,$D809)&amp;IF($B809="상담중"," (상담)",""))</f>
        <v/>
      </c>
      <c r="AC809" s="45" t="n">
        <f aca="false">IF(AND($D809&lt;&gt;"",OR($B809="결제완료",$B809="상담중")),1,0)</f>
        <v>0</v>
      </c>
      <c r="AD809" s="45" t="n">
        <f aca="false">IF(OR($Z809="",$U809=""),0,IFERROR(IF(COUNTIFS(INDEX(g_grid,0,2*MATCH($M809,강사DB!$A$4:$A$15,0)),"&lt;&gt;",g_s,"&lt;="&amp;$U809,g_e,"&gt;="&amp;$U809)&gt;0,1,0),0))</f>
        <v>0</v>
      </c>
      <c r="AE809" s="48"/>
      <c r="AF809" s="56" t="str">
        <f aca="false">IF(AND($D809&lt;&gt;"",$B809="결제완료",$T809="대여"),설정!$J$5,"")</f>
        <v/>
      </c>
      <c r="AG809" s="54" t="str">
        <f aca="false">IF($D809="","",IF(AND($E809="",$R809=""),$AB809,"☎ "&amp;IF($E809="","-",$E809)&amp;IF($R809&lt;&gt;"","  ※ "&amp;$R809,"")&amp;IF($B809="상담중"," (상담)","")))</f>
        <v/>
      </c>
      <c r="AH809" s="56" t="str">
        <f aca="false">IF(AND($D809&lt;&gt;"",$B809="결제완료",$O809="스마트스토어"),ROUND(N($N809)*설정!$J$6,0),"")</f>
        <v/>
      </c>
      <c r="AI809" s="54" t="str">
        <f aca="false">IF($D809="","",ROW())</f>
        <v/>
      </c>
      <c r="AJ809" s="54" t="n">
        <f aca="false">IF(OR($AC809&lt;&gt;1,$M809=""),0,IF(ISNUMBER(SEARCH("퇴사",IFERROR(INDEX(강사DB!$G$4:$G$53,MATCH($M809,강사DB!$A$4:$A$53,0)),""))),1,0))</f>
        <v>0</v>
      </c>
    </row>
    <row r="810" customFormat="false" ht="15" hidden="false" customHeight="false" outlineLevel="0" collapsed="false">
      <c r="A810" s="45" t="str">
        <f aca="false">IF($D810="","",COUNTA($D$5:$D810))</f>
        <v/>
      </c>
      <c r="B810" s="46"/>
      <c r="C810" s="47"/>
      <c r="D810" s="48"/>
      <c r="E810" s="48"/>
      <c r="F810" s="49"/>
      <c r="G810" s="47"/>
      <c r="H810" s="50"/>
      <c r="I810" s="50"/>
      <c r="J810" s="51" t="str">
        <f aca="false">IF(OR($V810="",$W810=""),"",ROUND(($W810-$V810)/60,2))</f>
        <v/>
      </c>
      <c r="K810" s="52" t="str">
        <f aca="false">IF($F810="","",LEN($F810)-LEN(SUBSTITUTE($F810,",",""))+1)</f>
        <v/>
      </c>
      <c r="L810" s="45" t="str">
        <f aca="false">IF($K810="","","1:"&amp;$K810)</f>
        <v/>
      </c>
      <c r="M810" s="46"/>
      <c r="N810" s="53"/>
      <c r="O810" s="46"/>
      <c r="P810" s="47"/>
      <c r="Q810" s="48"/>
      <c r="R810" s="49"/>
      <c r="S810" s="54" t="str">
        <f aca="false">IF(OR($AC810=0,$U810="",$M810="",$V810="",$W810=""),"",IF(COUNTIFS(m_teacher,$M810,m_date,$U810,m_active,1,m_start,"&lt;"&amp;$W810,m_end,"&gt;"&amp;$V810)&gt;1,"충돌",""))</f>
        <v/>
      </c>
      <c r="T810" s="48"/>
      <c r="U810" s="55" t="str">
        <f aca="false">IF($G810="","",IFERROR(IF(ISNUMBER($G810),IF($G810&gt;19000000,DATE(INT($G810/10000),MOD(INT($G810/100),100),MOD($G810,100)),INT($G810)),IF(LEN(SUBSTITUTE(SUBSTITUTE(SUBSTITUTE(TRIM($G810),"-",""),".",""),"/",""))=8,DATE(VALUE(LEFT(SUBSTITUTE(SUBSTITUTE(SUBSTITUTE(TRIM($G810),"-",""),".",""),"/",""),4)),VALUE(MID(SUBSTITUTE(SUBSTITUTE(SUBSTITUTE(TRIM($G810),"-",""),".",""),"/",""),5,2)),VALUE(RIGHT(SUBSTITUTE(SUBSTITUTE(SUBSTITUTE(TRIM($G810),"-",""),".",""),"/",""),2))),DATEVALUE($G810))),""))</f>
        <v/>
      </c>
      <c r="V810" s="52" t="str">
        <f aca="false">IF($H810="","",IFERROR(IF(IF(ISNUMBER($H810),$H810,IFERROR(TIMEVALUE($H810),VALUE($H810)))&gt;=100,INT(IF(ISNUMBER($H810),$H810,IFERROR(TIMEVALUE($H810),VALUE($H810)))/100)*60+MOD(IF(ISNUMBER($H810),$H810,IFERROR(TIMEVALUE($H810),VALUE($H810))),100),IF(IF(ISNUMBER($H810),$H810,IFERROR(TIMEVALUE($H810),VALUE($H810)))&gt;=1,ROUND(IF(ISNUMBER($H810),$H810,IFERROR(TIMEVALUE($H810),VALUE($H810)))*60,0),ROUND(MOD(IF(ISNUMBER($H810),$H810,IFERROR(TIMEVALUE($H810),VALUE($H810))),1)*1440,0))),""))</f>
        <v/>
      </c>
      <c r="W810" s="52" t="str">
        <f aca="false">IF($I810="","",IFERROR(IF(IF(ISNUMBER($I810),$I810,IFERROR(TIMEVALUE($I810),VALUE($I810)))&gt;=100,INT(IF(ISNUMBER($I810),$I810,IFERROR(TIMEVALUE($I810),VALUE($I810)))/100)*60+MOD(IF(ISNUMBER($I810),$I810,IFERROR(TIMEVALUE($I810),VALUE($I810))),100),IF(IF(ISNUMBER($I810),$I810,IFERROR(TIMEVALUE($I810),VALUE($I810)))&gt;=1,ROUND(IF(ISNUMBER($I810),$I810,IFERROR(TIMEVALUE($I810),VALUE($I810)))*60,0),ROUND(MOD(IF(ISNUMBER($I810),$I810,IFERROR(TIMEVALUE($I810),VALUE($I810))),1)*1440,0))),""))</f>
        <v/>
      </c>
      <c r="X810" s="55" t="str">
        <f aca="false">IF($P810="","",IFERROR(IF(ISNUMBER($P810),IF($P810&gt;19000000,DATE(INT($P810/10000),MOD(INT($P810/100),100),MOD($P810,100)),INT($P810)),IF(LEN(SUBSTITUTE(SUBSTITUTE(SUBSTITUTE(TRIM($P810),"-",""),".",""),"/",""))=8,DATE(VALUE(LEFT(SUBSTITUTE(SUBSTITUTE(SUBSTITUTE(TRIM($P810),"-",""),".",""),"/",""),4)),VALUE(MID(SUBSTITUTE(SUBSTITUTE(SUBSTITUTE(TRIM($P810),"-",""),".",""),"/",""),5,2)),VALUE(RIGHT(SUBSTITUTE(SUBSTITUTE(SUBSTITUTE(TRIM($P810),"-",""),".",""),"/",""),2))),DATEVALUE($P810))),""))</f>
        <v/>
      </c>
      <c r="Y810" s="56" t="str">
        <f aca="false">IF($M810="","",IFERROR(INDEX(강사DB!$D$4:$D$53,MATCH($M810,강사DB!$A$4:$A$53,0)),""))</f>
        <v/>
      </c>
      <c r="Z810" s="56" t="str">
        <f aca="false">IF($B810&lt;&gt;"결제완료","",IF(OR($Y810="",$J810=""),"",$Y810*$J810+MAX(0,N($K810)-1)*설정!$J$7))</f>
        <v/>
      </c>
      <c r="AA810" s="56" t="str">
        <f aca="false">IF(AND($D810&lt;&gt;"",$B810="결제완료"),N($N810),"")</f>
        <v/>
      </c>
      <c r="AB810" s="45" t="str">
        <f aca="false">IF($D810="","",IF($F810&lt;&gt;"",$F810,$D810)&amp;IF($B810="상담중"," (상담)",""))</f>
        <v/>
      </c>
      <c r="AC810" s="45" t="n">
        <f aca="false">IF(AND($D810&lt;&gt;"",OR($B810="결제완료",$B810="상담중")),1,0)</f>
        <v>0</v>
      </c>
      <c r="AD810" s="45" t="n">
        <f aca="false">IF(OR($Z810="",$U810=""),0,IFERROR(IF(COUNTIFS(INDEX(g_grid,0,2*MATCH($M810,강사DB!$A$4:$A$15,0)),"&lt;&gt;",g_s,"&lt;="&amp;$U810,g_e,"&gt;="&amp;$U810)&gt;0,1,0),0))</f>
        <v>0</v>
      </c>
      <c r="AE810" s="48"/>
      <c r="AF810" s="56" t="str">
        <f aca="false">IF(AND($D810&lt;&gt;"",$B810="결제완료",$T810="대여"),설정!$J$5,"")</f>
        <v/>
      </c>
      <c r="AG810" s="54" t="str">
        <f aca="false">IF($D810="","",IF(AND($E810="",$R810=""),$AB810,"☎ "&amp;IF($E810="","-",$E810)&amp;IF($R810&lt;&gt;"","  ※ "&amp;$R810,"")&amp;IF($B810="상담중"," (상담)","")))</f>
        <v/>
      </c>
      <c r="AH810" s="56" t="str">
        <f aca="false">IF(AND($D810&lt;&gt;"",$B810="결제완료",$O810="스마트스토어"),ROUND(N($N810)*설정!$J$6,0),"")</f>
        <v/>
      </c>
      <c r="AI810" s="54" t="str">
        <f aca="false">IF($D810="","",ROW())</f>
        <v/>
      </c>
      <c r="AJ810" s="54" t="n">
        <f aca="false">IF(OR($AC810&lt;&gt;1,$M810=""),0,IF(ISNUMBER(SEARCH("퇴사",IFERROR(INDEX(강사DB!$G$4:$G$53,MATCH($M810,강사DB!$A$4:$A$53,0)),""))),1,0))</f>
        <v>0</v>
      </c>
    </row>
    <row r="811" customFormat="false" ht="15" hidden="false" customHeight="false" outlineLevel="0" collapsed="false">
      <c r="A811" s="45" t="str">
        <f aca="false">IF($D811="","",COUNTA($D$5:$D811))</f>
        <v/>
      </c>
      <c r="B811" s="46"/>
      <c r="C811" s="47"/>
      <c r="D811" s="48"/>
      <c r="E811" s="48"/>
      <c r="F811" s="49"/>
      <c r="G811" s="47"/>
      <c r="H811" s="50"/>
      <c r="I811" s="50"/>
      <c r="J811" s="51" t="str">
        <f aca="false">IF(OR($V811="",$W811=""),"",ROUND(($W811-$V811)/60,2))</f>
        <v/>
      </c>
      <c r="K811" s="52" t="str">
        <f aca="false">IF($F811="","",LEN($F811)-LEN(SUBSTITUTE($F811,",",""))+1)</f>
        <v/>
      </c>
      <c r="L811" s="45" t="str">
        <f aca="false">IF($K811="","","1:"&amp;$K811)</f>
        <v/>
      </c>
      <c r="M811" s="46"/>
      <c r="N811" s="53"/>
      <c r="O811" s="46"/>
      <c r="P811" s="47"/>
      <c r="Q811" s="48"/>
      <c r="R811" s="49"/>
      <c r="S811" s="54" t="str">
        <f aca="false">IF(OR($AC811=0,$U811="",$M811="",$V811="",$W811=""),"",IF(COUNTIFS(m_teacher,$M811,m_date,$U811,m_active,1,m_start,"&lt;"&amp;$W811,m_end,"&gt;"&amp;$V811)&gt;1,"충돌",""))</f>
        <v/>
      </c>
      <c r="T811" s="48"/>
      <c r="U811" s="55" t="str">
        <f aca="false">IF($G811="","",IFERROR(IF(ISNUMBER($G811),IF($G811&gt;19000000,DATE(INT($G811/10000),MOD(INT($G811/100),100),MOD($G811,100)),INT($G811)),IF(LEN(SUBSTITUTE(SUBSTITUTE(SUBSTITUTE(TRIM($G811),"-",""),".",""),"/",""))=8,DATE(VALUE(LEFT(SUBSTITUTE(SUBSTITUTE(SUBSTITUTE(TRIM($G811),"-",""),".",""),"/",""),4)),VALUE(MID(SUBSTITUTE(SUBSTITUTE(SUBSTITUTE(TRIM($G811),"-",""),".",""),"/",""),5,2)),VALUE(RIGHT(SUBSTITUTE(SUBSTITUTE(SUBSTITUTE(TRIM($G811),"-",""),".",""),"/",""),2))),DATEVALUE($G811))),""))</f>
        <v/>
      </c>
      <c r="V811" s="52" t="str">
        <f aca="false">IF($H811="","",IFERROR(IF(IF(ISNUMBER($H811),$H811,IFERROR(TIMEVALUE($H811),VALUE($H811)))&gt;=100,INT(IF(ISNUMBER($H811),$H811,IFERROR(TIMEVALUE($H811),VALUE($H811)))/100)*60+MOD(IF(ISNUMBER($H811),$H811,IFERROR(TIMEVALUE($H811),VALUE($H811))),100),IF(IF(ISNUMBER($H811),$H811,IFERROR(TIMEVALUE($H811),VALUE($H811)))&gt;=1,ROUND(IF(ISNUMBER($H811),$H811,IFERROR(TIMEVALUE($H811),VALUE($H811)))*60,0),ROUND(MOD(IF(ISNUMBER($H811),$H811,IFERROR(TIMEVALUE($H811),VALUE($H811))),1)*1440,0))),""))</f>
        <v/>
      </c>
      <c r="W811" s="52" t="str">
        <f aca="false">IF($I811="","",IFERROR(IF(IF(ISNUMBER($I811),$I811,IFERROR(TIMEVALUE($I811),VALUE($I811)))&gt;=100,INT(IF(ISNUMBER($I811),$I811,IFERROR(TIMEVALUE($I811),VALUE($I811)))/100)*60+MOD(IF(ISNUMBER($I811),$I811,IFERROR(TIMEVALUE($I811),VALUE($I811))),100),IF(IF(ISNUMBER($I811),$I811,IFERROR(TIMEVALUE($I811),VALUE($I811)))&gt;=1,ROUND(IF(ISNUMBER($I811),$I811,IFERROR(TIMEVALUE($I811),VALUE($I811)))*60,0),ROUND(MOD(IF(ISNUMBER($I811),$I811,IFERROR(TIMEVALUE($I811),VALUE($I811))),1)*1440,0))),""))</f>
        <v/>
      </c>
      <c r="X811" s="55" t="str">
        <f aca="false">IF($P811="","",IFERROR(IF(ISNUMBER($P811),IF($P811&gt;19000000,DATE(INT($P811/10000),MOD(INT($P811/100),100),MOD($P811,100)),INT($P811)),IF(LEN(SUBSTITUTE(SUBSTITUTE(SUBSTITUTE(TRIM($P811),"-",""),".",""),"/",""))=8,DATE(VALUE(LEFT(SUBSTITUTE(SUBSTITUTE(SUBSTITUTE(TRIM($P811),"-",""),".",""),"/",""),4)),VALUE(MID(SUBSTITUTE(SUBSTITUTE(SUBSTITUTE(TRIM($P811),"-",""),".",""),"/",""),5,2)),VALUE(RIGHT(SUBSTITUTE(SUBSTITUTE(SUBSTITUTE(TRIM($P811),"-",""),".",""),"/",""),2))),DATEVALUE($P811))),""))</f>
        <v/>
      </c>
      <c r="Y811" s="56" t="str">
        <f aca="false">IF($M811="","",IFERROR(INDEX(강사DB!$D$4:$D$53,MATCH($M811,강사DB!$A$4:$A$53,0)),""))</f>
        <v/>
      </c>
      <c r="Z811" s="56" t="str">
        <f aca="false">IF($B811&lt;&gt;"결제완료","",IF(OR($Y811="",$J811=""),"",$Y811*$J811+MAX(0,N($K811)-1)*설정!$J$7))</f>
        <v/>
      </c>
      <c r="AA811" s="56" t="str">
        <f aca="false">IF(AND($D811&lt;&gt;"",$B811="결제완료"),N($N811),"")</f>
        <v/>
      </c>
      <c r="AB811" s="45" t="str">
        <f aca="false">IF($D811="","",IF($F811&lt;&gt;"",$F811,$D811)&amp;IF($B811="상담중"," (상담)",""))</f>
        <v/>
      </c>
      <c r="AC811" s="45" t="n">
        <f aca="false">IF(AND($D811&lt;&gt;"",OR($B811="결제완료",$B811="상담중")),1,0)</f>
        <v>0</v>
      </c>
      <c r="AD811" s="45" t="n">
        <f aca="false">IF(OR($Z811="",$U811=""),0,IFERROR(IF(COUNTIFS(INDEX(g_grid,0,2*MATCH($M811,강사DB!$A$4:$A$15,0)),"&lt;&gt;",g_s,"&lt;="&amp;$U811,g_e,"&gt;="&amp;$U811)&gt;0,1,0),0))</f>
        <v>0</v>
      </c>
      <c r="AE811" s="48"/>
      <c r="AF811" s="56" t="str">
        <f aca="false">IF(AND($D811&lt;&gt;"",$B811="결제완료",$T811="대여"),설정!$J$5,"")</f>
        <v/>
      </c>
      <c r="AG811" s="54" t="str">
        <f aca="false">IF($D811="","",IF(AND($E811="",$R811=""),$AB811,"☎ "&amp;IF($E811="","-",$E811)&amp;IF($R811&lt;&gt;"","  ※ "&amp;$R811,"")&amp;IF($B811="상담중"," (상담)","")))</f>
        <v/>
      </c>
      <c r="AH811" s="56" t="str">
        <f aca="false">IF(AND($D811&lt;&gt;"",$B811="결제완료",$O811="스마트스토어"),ROUND(N($N811)*설정!$J$6,0),"")</f>
        <v/>
      </c>
      <c r="AI811" s="54" t="str">
        <f aca="false">IF($D811="","",ROW())</f>
        <v/>
      </c>
      <c r="AJ811" s="54" t="n">
        <f aca="false">IF(OR($AC811&lt;&gt;1,$M811=""),0,IF(ISNUMBER(SEARCH("퇴사",IFERROR(INDEX(강사DB!$G$4:$G$53,MATCH($M811,강사DB!$A$4:$A$53,0)),""))),1,0))</f>
        <v>0</v>
      </c>
    </row>
    <row r="812" customFormat="false" ht="15" hidden="false" customHeight="false" outlineLevel="0" collapsed="false">
      <c r="A812" s="45" t="str">
        <f aca="false">IF($D812="","",COUNTA($D$5:$D812))</f>
        <v/>
      </c>
      <c r="B812" s="46"/>
      <c r="C812" s="47"/>
      <c r="D812" s="48"/>
      <c r="E812" s="48"/>
      <c r="F812" s="49"/>
      <c r="G812" s="47"/>
      <c r="H812" s="50"/>
      <c r="I812" s="50"/>
      <c r="J812" s="51" t="str">
        <f aca="false">IF(OR($V812="",$W812=""),"",ROUND(($W812-$V812)/60,2))</f>
        <v/>
      </c>
      <c r="K812" s="52" t="str">
        <f aca="false">IF($F812="","",LEN($F812)-LEN(SUBSTITUTE($F812,",",""))+1)</f>
        <v/>
      </c>
      <c r="L812" s="45" t="str">
        <f aca="false">IF($K812="","","1:"&amp;$K812)</f>
        <v/>
      </c>
      <c r="M812" s="46"/>
      <c r="N812" s="53"/>
      <c r="O812" s="46"/>
      <c r="P812" s="47"/>
      <c r="Q812" s="48"/>
      <c r="R812" s="49"/>
      <c r="S812" s="54" t="str">
        <f aca="false">IF(OR($AC812=0,$U812="",$M812="",$V812="",$W812=""),"",IF(COUNTIFS(m_teacher,$M812,m_date,$U812,m_active,1,m_start,"&lt;"&amp;$W812,m_end,"&gt;"&amp;$V812)&gt;1,"충돌",""))</f>
        <v/>
      </c>
      <c r="T812" s="48"/>
      <c r="U812" s="55" t="str">
        <f aca="false">IF($G812="","",IFERROR(IF(ISNUMBER($G812),IF($G812&gt;19000000,DATE(INT($G812/10000),MOD(INT($G812/100),100),MOD($G812,100)),INT($G812)),IF(LEN(SUBSTITUTE(SUBSTITUTE(SUBSTITUTE(TRIM($G812),"-",""),".",""),"/",""))=8,DATE(VALUE(LEFT(SUBSTITUTE(SUBSTITUTE(SUBSTITUTE(TRIM($G812),"-",""),".",""),"/",""),4)),VALUE(MID(SUBSTITUTE(SUBSTITUTE(SUBSTITUTE(TRIM($G812),"-",""),".",""),"/",""),5,2)),VALUE(RIGHT(SUBSTITUTE(SUBSTITUTE(SUBSTITUTE(TRIM($G812),"-",""),".",""),"/",""),2))),DATEVALUE($G812))),""))</f>
        <v/>
      </c>
      <c r="V812" s="52" t="str">
        <f aca="false">IF($H812="","",IFERROR(IF(IF(ISNUMBER($H812),$H812,IFERROR(TIMEVALUE($H812),VALUE($H812)))&gt;=100,INT(IF(ISNUMBER($H812),$H812,IFERROR(TIMEVALUE($H812),VALUE($H812)))/100)*60+MOD(IF(ISNUMBER($H812),$H812,IFERROR(TIMEVALUE($H812),VALUE($H812))),100),IF(IF(ISNUMBER($H812),$H812,IFERROR(TIMEVALUE($H812),VALUE($H812)))&gt;=1,ROUND(IF(ISNUMBER($H812),$H812,IFERROR(TIMEVALUE($H812),VALUE($H812)))*60,0),ROUND(MOD(IF(ISNUMBER($H812),$H812,IFERROR(TIMEVALUE($H812),VALUE($H812))),1)*1440,0))),""))</f>
        <v/>
      </c>
      <c r="W812" s="52" t="str">
        <f aca="false">IF($I812="","",IFERROR(IF(IF(ISNUMBER($I812),$I812,IFERROR(TIMEVALUE($I812),VALUE($I812)))&gt;=100,INT(IF(ISNUMBER($I812),$I812,IFERROR(TIMEVALUE($I812),VALUE($I812)))/100)*60+MOD(IF(ISNUMBER($I812),$I812,IFERROR(TIMEVALUE($I812),VALUE($I812))),100),IF(IF(ISNUMBER($I812),$I812,IFERROR(TIMEVALUE($I812),VALUE($I812)))&gt;=1,ROUND(IF(ISNUMBER($I812),$I812,IFERROR(TIMEVALUE($I812),VALUE($I812)))*60,0),ROUND(MOD(IF(ISNUMBER($I812),$I812,IFERROR(TIMEVALUE($I812),VALUE($I812))),1)*1440,0))),""))</f>
        <v/>
      </c>
      <c r="X812" s="55" t="str">
        <f aca="false">IF($P812="","",IFERROR(IF(ISNUMBER($P812),IF($P812&gt;19000000,DATE(INT($P812/10000),MOD(INT($P812/100),100),MOD($P812,100)),INT($P812)),IF(LEN(SUBSTITUTE(SUBSTITUTE(SUBSTITUTE(TRIM($P812),"-",""),".",""),"/",""))=8,DATE(VALUE(LEFT(SUBSTITUTE(SUBSTITUTE(SUBSTITUTE(TRIM($P812),"-",""),".",""),"/",""),4)),VALUE(MID(SUBSTITUTE(SUBSTITUTE(SUBSTITUTE(TRIM($P812),"-",""),".",""),"/",""),5,2)),VALUE(RIGHT(SUBSTITUTE(SUBSTITUTE(SUBSTITUTE(TRIM($P812),"-",""),".",""),"/",""),2))),DATEVALUE($P812))),""))</f>
        <v/>
      </c>
      <c r="Y812" s="56" t="str">
        <f aca="false">IF($M812="","",IFERROR(INDEX(강사DB!$D$4:$D$53,MATCH($M812,강사DB!$A$4:$A$53,0)),""))</f>
        <v/>
      </c>
      <c r="Z812" s="56" t="str">
        <f aca="false">IF($B812&lt;&gt;"결제완료","",IF(OR($Y812="",$J812=""),"",$Y812*$J812+MAX(0,N($K812)-1)*설정!$J$7))</f>
        <v/>
      </c>
      <c r="AA812" s="56" t="str">
        <f aca="false">IF(AND($D812&lt;&gt;"",$B812="결제완료"),N($N812),"")</f>
        <v/>
      </c>
      <c r="AB812" s="45" t="str">
        <f aca="false">IF($D812="","",IF($F812&lt;&gt;"",$F812,$D812)&amp;IF($B812="상담중"," (상담)",""))</f>
        <v/>
      </c>
      <c r="AC812" s="45" t="n">
        <f aca="false">IF(AND($D812&lt;&gt;"",OR($B812="결제완료",$B812="상담중")),1,0)</f>
        <v>0</v>
      </c>
      <c r="AD812" s="45" t="n">
        <f aca="false">IF(OR($Z812="",$U812=""),0,IFERROR(IF(COUNTIFS(INDEX(g_grid,0,2*MATCH($M812,강사DB!$A$4:$A$15,0)),"&lt;&gt;",g_s,"&lt;="&amp;$U812,g_e,"&gt;="&amp;$U812)&gt;0,1,0),0))</f>
        <v>0</v>
      </c>
      <c r="AE812" s="48"/>
      <c r="AF812" s="56" t="str">
        <f aca="false">IF(AND($D812&lt;&gt;"",$B812="결제완료",$T812="대여"),설정!$J$5,"")</f>
        <v/>
      </c>
      <c r="AG812" s="54" t="str">
        <f aca="false">IF($D812="","",IF(AND($E812="",$R812=""),$AB812,"☎ "&amp;IF($E812="","-",$E812)&amp;IF($R812&lt;&gt;"","  ※ "&amp;$R812,"")&amp;IF($B812="상담중"," (상담)","")))</f>
        <v/>
      </c>
      <c r="AH812" s="56" t="str">
        <f aca="false">IF(AND($D812&lt;&gt;"",$B812="결제완료",$O812="스마트스토어"),ROUND(N($N812)*설정!$J$6,0),"")</f>
        <v/>
      </c>
      <c r="AI812" s="54" t="str">
        <f aca="false">IF($D812="","",ROW())</f>
        <v/>
      </c>
      <c r="AJ812" s="54" t="n">
        <f aca="false">IF(OR($AC812&lt;&gt;1,$M812=""),0,IF(ISNUMBER(SEARCH("퇴사",IFERROR(INDEX(강사DB!$G$4:$G$53,MATCH($M812,강사DB!$A$4:$A$53,0)),""))),1,0))</f>
        <v>0</v>
      </c>
    </row>
    <row r="813" customFormat="false" ht="15" hidden="false" customHeight="false" outlineLevel="0" collapsed="false">
      <c r="A813" s="45" t="str">
        <f aca="false">IF($D813="","",COUNTA($D$5:$D813))</f>
        <v/>
      </c>
      <c r="B813" s="46"/>
      <c r="C813" s="47"/>
      <c r="D813" s="48"/>
      <c r="E813" s="48"/>
      <c r="F813" s="49"/>
      <c r="G813" s="47"/>
      <c r="H813" s="50"/>
      <c r="I813" s="50"/>
      <c r="J813" s="51" t="str">
        <f aca="false">IF(OR($V813="",$W813=""),"",ROUND(($W813-$V813)/60,2))</f>
        <v/>
      </c>
      <c r="K813" s="52" t="str">
        <f aca="false">IF($F813="","",LEN($F813)-LEN(SUBSTITUTE($F813,",",""))+1)</f>
        <v/>
      </c>
      <c r="L813" s="45" t="str">
        <f aca="false">IF($K813="","","1:"&amp;$K813)</f>
        <v/>
      </c>
      <c r="M813" s="46"/>
      <c r="N813" s="53"/>
      <c r="O813" s="46"/>
      <c r="P813" s="47"/>
      <c r="Q813" s="48"/>
      <c r="R813" s="49"/>
      <c r="S813" s="54" t="str">
        <f aca="false">IF(OR($AC813=0,$U813="",$M813="",$V813="",$W813=""),"",IF(COUNTIFS(m_teacher,$M813,m_date,$U813,m_active,1,m_start,"&lt;"&amp;$W813,m_end,"&gt;"&amp;$V813)&gt;1,"충돌",""))</f>
        <v/>
      </c>
      <c r="T813" s="48"/>
      <c r="U813" s="55" t="str">
        <f aca="false">IF($G813="","",IFERROR(IF(ISNUMBER($G813),IF($G813&gt;19000000,DATE(INT($G813/10000),MOD(INT($G813/100),100),MOD($G813,100)),INT($G813)),IF(LEN(SUBSTITUTE(SUBSTITUTE(SUBSTITUTE(TRIM($G813),"-",""),".",""),"/",""))=8,DATE(VALUE(LEFT(SUBSTITUTE(SUBSTITUTE(SUBSTITUTE(TRIM($G813),"-",""),".",""),"/",""),4)),VALUE(MID(SUBSTITUTE(SUBSTITUTE(SUBSTITUTE(TRIM($G813),"-",""),".",""),"/",""),5,2)),VALUE(RIGHT(SUBSTITUTE(SUBSTITUTE(SUBSTITUTE(TRIM($G813),"-",""),".",""),"/",""),2))),DATEVALUE($G813))),""))</f>
        <v/>
      </c>
      <c r="V813" s="52" t="str">
        <f aca="false">IF($H813="","",IFERROR(IF(IF(ISNUMBER($H813),$H813,IFERROR(TIMEVALUE($H813),VALUE($H813)))&gt;=100,INT(IF(ISNUMBER($H813),$H813,IFERROR(TIMEVALUE($H813),VALUE($H813)))/100)*60+MOD(IF(ISNUMBER($H813),$H813,IFERROR(TIMEVALUE($H813),VALUE($H813))),100),IF(IF(ISNUMBER($H813),$H813,IFERROR(TIMEVALUE($H813),VALUE($H813)))&gt;=1,ROUND(IF(ISNUMBER($H813),$H813,IFERROR(TIMEVALUE($H813),VALUE($H813)))*60,0),ROUND(MOD(IF(ISNUMBER($H813),$H813,IFERROR(TIMEVALUE($H813),VALUE($H813))),1)*1440,0))),""))</f>
        <v/>
      </c>
      <c r="W813" s="52" t="str">
        <f aca="false">IF($I813="","",IFERROR(IF(IF(ISNUMBER($I813),$I813,IFERROR(TIMEVALUE($I813),VALUE($I813)))&gt;=100,INT(IF(ISNUMBER($I813),$I813,IFERROR(TIMEVALUE($I813),VALUE($I813)))/100)*60+MOD(IF(ISNUMBER($I813),$I813,IFERROR(TIMEVALUE($I813),VALUE($I813))),100),IF(IF(ISNUMBER($I813),$I813,IFERROR(TIMEVALUE($I813),VALUE($I813)))&gt;=1,ROUND(IF(ISNUMBER($I813),$I813,IFERROR(TIMEVALUE($I813),VALUE($I813)))*60,0),ROUND(MOD(IF(ISNUMBER($I813),$I813,IFERROR(TIMEVALUE($I813),VALUE($I813))),1)*1440,0))),""))</f>
        <v/>
      </c>
      <c r="X813" s="55" t="str">
        <f aca="false">IF($P813="","",IFERROR(IF(ISNUMBER($P813),IF($P813&gt;19000000,DATE(INT($P813/10000),MOD(INT($P813/100),100),MOD($P813,100)),INT($P813)),IF(LEN(SUBSTITUTE(SUBSTITUTE(SUBSTITUTE(TRIM($P813),"-",""),".",""),"/",""))=8,DATE(VALUE(LEFT(SUBSTITUTE(SUBSTITUTE(SUBSTITUTE(TRIM($P813),"-",""),".",""),"/",""),4)),VALUE(MID(SUBSTITUTE(SUBSTITUTE(SUBSTITUTE(TRIM($P813),"-",""),".",""),"/",""),5,2)),VALUE(RIGHT(SUBSTITUTE(SUBSTITUTE(SUBSTITUTE(TRIM($P813),"-",""),".",""),"/",""),2))),DATEVALUE($P813))),""))</f>
        <v/>
      </c>
      <c r="Y813" s="56" t="str">
        <f aca="false">IF($M813="","",IFERROR(INDEX(강사DB!$D$4:$D$53,MATCH($M813,강사DB!$A$4:$A$53,0)),""))</f>
        <v/>
      </c>
      <c r="Z813" s="56" t="str">
        <f aca="false">IF($B813&lt;&gt;"결제완료","",IF(OR($Y813="",$J813=""),"",$Y813*$J813+MAX(0,N($K813)-1)*설정!$J$7))</f>
        <v/>
      </c>
      <c r="AA813" s="56" t="str">
        <f aca="false">IF(AND($D813&lt;&gt;"",$B813="결제완료"),N($N813),"")</f>
        <v/>
      </c>
      <c r="AB813" s="45" t="str">
        <f aca="false">IF($D813="","",IF($F813&lt;&gt;"",$F813,$D813)&amp;IF($B813="상담중"," (상담)",""))</f>
        <v/>
      </c>
      <c r="AC813" s="45" t="n">
        <f aca="false">IF(AND($D813&lt;&gt;"",OR($B813="결제완료",$B813="상담중")),1,0)</f>
        <v>0</v>
      </c>
      <c r="AD813" s="45" t="n">
        <f aca="false">IF(OR($Z813="",$U813=""),0,IFERROR(IF(COUNTIFS(INDEX(g_grid,0,2*MATCH($M813,강사DB!$A$4:$A$15,0)),"&lt;&gt;",g_s,"&lt;="&amp;$U813,g_e,"&gt;="&amp;$U813)&gt;0,1,0),0))</f>
        <v>0</v>
      </c>
      <c r="AE813" s="48"/>
      <c r="AF813" s="56" t="str">
        <f aca="false">IF(AND($D813&lt;&gt;"",$B813="결제완료",$T813="대여"),설정!$J$5,"")</f>
        <v/>
      </c>
      <c r="AG813" s="54" t="str">
        <f aca="false">IF($D813="","",IF(AND($E813="",$R813=""),$AB813,"☎ "&amp;IF($E813="","-",$E813)&amp;IF($R813&lt;&gt;"","  ※ "&amp;$R813,"")&amp;IF($B813="상담중"," (상담)","")))</f>
        <v/>
      </c>
      <c r="AH813" s="56" t="str">
        <f aca="false">IF(AND($D813&lt;&gt;"",$B813="결제완료",$O813="스마트스토어"),ROUND(N($N813)*설정!$J$6,0),"")</f>
        <v/>
      </c>
      <c r="AI813" s="54" t="str">
        <f aca="false">IF($D813="","",ROW())</f>
        <v/>
      </c>
      <c r="AJ813" s="54" t="n">
        <f aca="false">IF(OR($AC813&lt;&gt;1,$M813=""),0,IF(ISNUMBER(SEARCH("퇴사",IFERROR(INDEX(강사DB!$G$4:$G$53,MATCH($M813,강사DB!$A$4:$A$53,0)),""))),1,0))</f>
        <v>0</v>
      </c>
    </row>
    <row r="814" customFormat="false" ht="15" hidden="false" customHeight="false" outlineLevel="0" collapsed="false">
      <c r="A814" s="45" t="str">
        <f aca="false">IF($D814="","",COUNTA($D$5:$D814))</f>
        <v/>
      </c>
      <c r="B814" s="46"/>
      <c r="C814" s="47"/>
      <c r="D814" s="48"/>
      <c r="E814" s="48"/>
      <c r="F814" s="49"/>
      <c r="G814" s="47"/>
      <c r="H814" s="50"/>
      <c r="I814" s="50"/>
      <c r="J814" s="51" t="str">
        <f aca="false">IF(OR($V814="",$W814=""),"",ROUND(($W814-$V814)/60,2))</f>
        <v/>
      </c>
      <c r="K814" s="52" t="str">
        <f aca="false">IF($F814="","",LEN($F814)-LEN(SUBSTITUTE($F814,",",""))+1)</f>
        <v/>
      </c>
      <c r="L814" s="45" t="str">
        <f aca="false">IF($K814="","","1:"&amp;$K814)</f>
        <v/>
      </c>
      <c r="M814" s="46"/>
      <c r="N814" s="53"/>
      <c r="O814" s="46"/>
      <c r="P814" s="47"/>
      <c r="Q814" s="48"/>
      <c r="R814" s="49"/>
      <c r="S814" s="54" t="str">
        <f aca="false">IF(OR($AC814=0,$U814="",$M814="",$V814="",$W814=""),"",IF(COUNTIFS(m_teacher,$M814,m_date,$U814,m_active,1,m_start,"&lt;"&amp;$W814,m_end,"&gt;"&amp;$V814)&gt;1,"충돌",""))</f>
        <v/>
      </c>
      <c r="T814" s="48"/>
      <c r="U814" s="55" t="str">
        <f aca="false">IF($G814="","",IFERROR(IF(ISNUMBER($G814),IF($G814&gt;19000000,DATE(INT($G814/10000),MOD(INT($G814/100),100),MOD($G814,100)),INT($G814)),IF(LEN(SUBSTITUTE(SUBSTITUTE(SUBSTITUTE(TRIM($G814),"-",""),".",""),"/",""))=8,DATE(VALUE(LEFT(SUBSTITUTE(SUBSTITUTE(SUBSTITUTE(TRIM($G814),"-",""),".",""),"/",""),4)),VALUE(MID(SUBSTITUTE(SUBSTITUTE(SUBSTITUTE(TRIM($G814),"-",""),".",""),"/",""),5,2)),VALUE(RIGHT(SUBSTITUTE(SUBSTITUTE(SUBSTITUTE(TRIM($G814),"-",""),".",""),"/",""),2))),DATEVALUE($G814))),""))</f>
        <v/>
      </c>
      <c r="V814" s="52" t="str">
        <f aca="false">IF($H814="","",IFERROR(IF(IF(ISNUMBER($H814),$H814,IFERROR(TIMEVALUE($H814),VALUE($H814)))&gt;=100,INT(IF(ISNUMBER($H814),$H814,IFERROR(TIMEVALUE($H814),VALUE($H814)))/100)*60+MOD(IF(ISNUMBER($H814),$H814,IFERROR(TIMEVALUE($H814),VALUE($H814))),100),IF(IF(ISNUMBER($H814),$H814,IFERROR(TIMEVALUE($H814),VALUE($H814)))&gt;=1,ROUND(IF(ISNUMBER($H814),$H814,IFERROR(TIMEVALUE($H814),VALUE($H814)))*60,0),ROUND(MOD(IF(ISNUMBER($H814),$H814,IFERROR(TIMEVALUE($H814),VALUE($H814))),1)*1440,0))),""))</f>
        <v/>
      </c>
      <c r="W814" s="52" t="str">
        <f aca="false">IF($I814="","",IFERROR(IF(IF(ISNUMBER($I814),$I814,IFERROR(TIMEVALUE($I814),VALUE($I814)))&gt;=100,INT(IF(ISNUMBER($I814),$I814,IFERROR(TIMEVALUE($I814),VALUE($I814)))/100)*60+MOD(IF(ISNUMBER($I814),$I814,IFERROR(TIMEVALUE($I814),VALUE($I814))),100),IF(IF(ISNUMBER($I814),$I814,IFERROR(TIMEVALUE($I814),VALUE($I814)))&gt;=1,ROUND(IF(ISNUMBER($I814),$I814,IFERROR(TIMEVALUE($I814),VALUE($I814)))*60,0),ROUND(MOD(IF(ISNUMBER($I814),$I814,IFERROR(TIMEVALUE($I814),VALUE($I814))),1)*1440,0))),""))</f>
        <v/>
      </c>
      <c r="X814" s="55" t="str">
        <f aca="false">IF($P814="","",IFERROR(IF(ISNUMBER($P814),IF($P814&gt;19000000,DATE(INT($P814/10000),MOD(INT($P814/100),100),MOD($P814,100)),INT($P814)),IF(LEN(SUBSTITUTE(SUBSTITUTE(SUBSTITUTE(TRIM($P814),"-",""),".",""),"/",""))=8,DATE(VALUE(LEFT(SUBSTITUTE(SUBSTITUTE(SUBSTITUTE(TRIM($P814),"-",""),".",""),"/",""),4)),VALUE(MID(SUBSTITUTE(SUBSTITUTE(SUBSTITUTE(TRIM($P814),"-",""),".",""),"/",""),5,2)),VALUE(RIGHT(SUBSTITUTE(SUBSTITUTE(SUBSTITUTE(TRIM($P814),"-",""),".",""),"/",""),2))),DATEVALUE($P814))),""))</f>
        <v/>
      </c>
      <c r="Y814" s="56" t="str">
        <f aca="false">IF($M814="","",IFERROR(INDEX(강사DB!$D$4:$D$53,MATCH($M814,강사DB!$A$4:$A$53,0)),""))</f>
        <v/>
      </c>
      <c r="Z814" s="56" t="str">
        <f aca="false">IF($B814&lt;&gt;"결제완료","",IF(OR($Y814="",$J814=""),"",$Y814*$J814+MAX(0,N($K814)-1)*설정!$J$7))</f>
        <v/>
      </c>
      <c r="AA814" s="56" t="str">
        <f aca="false">IF(AND($D814&lt;&gt;"",$B814="결제완료"),N($N814),"")</f>
        <v/>
      </c>
      <c r="AB814" s="45" t="str">
        <f aca="false">IF($D814="","",IF($F814&lt;&gt;"",$F814,$D814)&amp;IF($B814="상담중"," (상담)",""))</f>
        <v/>
      </c>
      <c r="AC814" s="45" t="n">
        <f aca="false">IF(AND($D814&lt;&gt;"",OR($B814="결제완료",$B814="상담중")),1,0)</f>
        <v>0</v>
      </c>
      <c r="AD814" s="45" t="n">
        <f aca="false">IF(OR($Z814="",$U814=""),0,IFERROR(IF(COUNTIFS(INDEX(g_grid,0,2*MATCH($M814,강사DB!$A$4:$A$15,0)),"&lt;&gt;",g_s,"&lt;="&amp;$U814,g_e,"&gt;="&amp;$U814)&gt;0,1,0),0))</f>
        <v>0</v>
      </c>
      <c r="AE814" s="48"/>
      <c r="AF814" s="56" t="str">
        <f aca="false">IF(AND($D814&lt;&gt;"",$B814="결제완료",$T814="대여"),설정!$J$5,"")</f>
        <v/>
      </c>
      <c r="AG814" s="54" t="str">
        <f aca="false">IF($D814="","",IF(AND($E814="",$R814=""),$AB814,"☎ "&amp;IF($E814="","-",$E814)&amp;IF($R814&lt;&gt;"","  ※ "&amp;$R814,"")&amp;IF($B814="상담중"," (상담)","")))</f>
        <v/>
      </c>
      <c r="AH814" s="56" t="str">
        <f aca="false">IF(AND($D814&lt;&gt;"",$B814="결제완료",$O814="스마트스토어"),ROUND(N($N814)*설정!$J$6,0),"")</f>
        <v/>
      </c>
      <c r="AI814" s="54" t="str">
        <f aca="false">IF($D814="","",ROW())</f>
        <v/>
      </c>
      <c r="AJ814" s="54" t="n">
        <f aca="false">IF(OR($AC814&lt;&gt;1,$M814=""),0,IF(ISNUMBER(SEARCH("퇴사",IFERROR(INDEX(강사DB!$G$4:$G$53,MATCH($M814,강사DB!$A$4:$A$53,0)),""))),1,0))</f>
        <v>0</v>
      </c>
    </row>
    <row r="815" customFormat="false" ht="15" hidden="false" customHeight="false" outlineLevel="0" collapsed="false">
      <c r="A815" s="45" t="str">
        <f aca="false">IF($D815="","",COUNTA($D$5:$D815))</f>
        <v/>
      </c>
      <c r="B815" s="46"/>
      <c r="C815" s="47"/>
      <c r="D815" s="48"/>
      <c r="E815" s="48"/>
      <c r="F815" s="49"/>
      <c r="G815" s="47"/>
      <c r="H815" s="50"/>
      <c r="I815" s="50"/>
      <c r="J815" s="51" t="str">
        <f aca="false">IF(OR($V815="",$W815=""),"",ROUND(($W815-$V815)/60,2))</f>
        <v/>
      </c>
      <c r="K815" s="52" t="str">
        <f aca="false">IF($F815="","",LEN($F815)-LEN(SUBSTITUTE($F815,",",""))+1)</f>
        <v/>
      </c>
      <c r="L815" s="45" t="str">
        <f aca="false">IF($K815="","","1:"&amp;$K815)</f>
        <v/>
      </c>
      <c r="M815" s="46"/>
      <c r="N815" s="53"/>
      <c r="O815" s="46"/>
      <c r="P815" s="47"/>
      <c r="Q815" s="48"/>
      <c r="R815" s="49"/>
      <c r="S815" s="54" t="str">
        <f aca="false">IF(OR($AC815=0,$U815="",$M815="",$V815="",$W815=""),"",IF(COUNTIFS(m_teacher,$M815,m_date,$U815,m_active,1,m_start,"&lt;"&amp;$W815,m_end,"&gt;"&amp;$V815)&gt;1,"충돌",""))</f>
        <v/>
      </c>
      <c r="T815" s="48"/>
      <c r="U815" s="55" t="str">
        <f aca="false">IF($G815="","",IFERROR(IF(ISNUMBER($G815),IF($G815&gt;19000000,DATE(INT($G815/10000),MOD(INT($G815/100),100),MOD($G815,100)),INT($G815)),IF(LEN(SUBSTITUTE(SUBSTITUTE(SUBSTITUTE(TRIM($G815),"-",""),".",""),"/",""))=8,DATE(VALUE(LEFT(SUBSTITUTE(SUBSTITUTE(SUBSTITUTE(TRIM($G815),"-",""),".",""),"/",""),4)),VALUE(MID(SUBSTITUTE(SUBSTITUTE(SUBSTITUTE(TRIM($G815),"-",""),".",""),"/",""),5,2)),VALUE(RIGHT(SUBSTITUTE(SUBSTITUTE(SUBSTITUTE(TRIM($G815),"-",""),".",""),"/",""),2))),DATEVALUE($G815))),""))</f>
        <v/>
      </c>
      <c r="V815" s="52" t="str">
        <f aca="false">IF($H815="","",IFERROR(IF(IF(ISNUMBER($H815),$H815,IFERROR(TIMEVALUE($H815),VALUE($H815)))&gt;=100,INT(IF(ISNUMBER($H815),$H815,IFERROR(TIMEVALUE($H815),VALUE($H815)))/100)*60+MOD(IF(ISNUMBER($H815),$H815,IFERROR(TIMEVALUE($H815),VALUE($H815))),100),IF(IF(ISNUMBER($H815),$H815,IFERROR(TIMEVALUE($H815),VALUE($H815)))&gt;=1,ROUND(IF(ISNUMBER($H815),$H815,IFERROR(TIMEVALUE($H815),VALUE($H815)))*60,0),ROUND(MOD(IF(ISNUMBER($H815),$H815,IFERROR(TIMEVALUE($H815),VALUE($H815))),1)*1440,0))),""))</f>
        <v/>
      </c>
      <c r="W815" s="52" t="str">
        <f aca="false">IF($I815="","",IFERROR(IF(IF(ISNUMBER($I815),$I815,IFERROR(TIMEVALUE($I815),VALUE($I815)))&gt;=100,INT(IF(ISNUMBER($I815),$I815,IFERROR(TIMEVALUE($I815),VALUE($I815)))/100)*60+MOD(IF(ISNUMBER($I815),$I815,IFERROR(TIMEVALUE($I815),VALUE($I815))),100),IF(IF(ISNUMBER($I815),$I815,IFERROR(TIMEVALUE($I815),VALUE($I815)))&gt;=1,ROUND(IF(ISNUMBER($I815),$I815,IFERROR(TIMEVALUE($I815),VALUE($I815)))*60,0),ROUND(MOD(IF(ISNUMBER($I815),$I815,IFERROR(TIMEVALUE($I815),VALUE($I815))),1)*1440,0))),""))</f>
        <v/>
      </c>
      <c r="X815" s="55" t="str">
        <f aca="false">IF($P815="","",IFERROR(IF(ISNUMBER($P815),IF($P815&gt;19000000,DATE(INT($P815/10000),MOD(INT($P815/100),100),MOD($P815,100)),INT($P815)),IF(LEN(SUBSTITUTE(SUBSTITUTE(SUBSTITUTE(TRIM($P815),"-",""),".",""),"/",""))=8,DATE(VALUE(LEFT(SUBSTITUTE(SUBSTITUTE(SUBSTITUTE(TRIM($P815),"-",""),".",""),"/",""),4)),VALUE(MID(SUBSTITUTE(SUBSTITUTE(SUBSTITUTE(TRIM($P815),"-",""),".",""),"/",""),5,2)),VALUE(RIGHT(SUBSTITUTE(SUBSTITUTE(SUBSTITUTE(TRIM($P815),"-",""),".",""),"/",""),2))),DATEVALUE($P815))),""))</f>
        <v/>
      </c>
      <c r="Y815" s="56" t="str">
        <f aca="false">IF($M815="","",IFERROR(INDEX(강사DB!$D$4:$D$53,MATCH($M815,강사DB!$A$4:$A$53,0)),""))</f>
        <v/>
      </c>
      <c r="Z815" s="56" t="str">
        <f aca="false">IF($B815&lt;&gt;"결제완료","",IF(OR($Y815="",$J815=""),"",$Y815*$J815+MAX(0,N($K815)-1)*설정!$J$7))</f>
        <v/>
      </c>
      <c r="AA815" s="56" t="str">
        <f aca="false">IF(AND($D815&lt;&gt;"",$B815="결제완료"),N($N815),"")</f>
        <v/>
      </c>
      <c r="AB815" s="45" t="str">
        <f aca="false">IF($D815="","",IF($F815&lt;&gt;"",$F815,$D815)&amp;IF($B815="상담중"," (상담)",""))</f>
        <v/>
      </c>
      <c r="AC815" s="45" t="n">
        <f aca="false">IF(AND($D815&lt;&gt;"",OR($B815="결제완료",$B815="상담중")),1,0)</f>
        <v>0</v>
      </c>
      <c r="AD815" s="45" t="n">
        <f aca="false">IF(OR($Z815="",$U815=""),0,IFERROR(IF(COUNTIFS(INDEX(g_grid,0,2*MATCH($M815,강사DB!$A$4:$A$15,0)),"&lt;&gt;",g_s,"&lt;="&amp;$U815,g_e,"&gt;="&amp;$U815)&gt;0,1,0),0))</f>
        <v>0</v>
      </c>
      <c r="AE815" s="48"/>
      <c r="AF815" s="56" t="str">
        <f aca="false">IF(AND($D815&lt;&gt;"",$B815="결제완료",$T815="대여"),설정!$J$5,"")</f>
        <v/>
      </c>
      <c r="AG815" s="54" t="str">
        <f aca="false">IF($D815="","",IF(AND($E815="",$R815=""),$AB815,"☎ "&amp;IF($E815="","-",$E815)&amp;IF($R815&lt;&gt;"","  ※ "&amp;$R815,"")&amp;IF($B815="상담중"," (상담)","")))</f>
        <v/>
      </c>
      <c r="AH815" s="56" t="str">
        <f aca="false">IF(AND($D815&lt;&gt;"",$B815="결제완료",$O815="스마트스토어"),ROUND(N($N815)*설정!$J$6,0),"")</f>
        <v/>
      </c>
      <c r="AI815" s="54" t="str">
        <f aca="false">IF($D815="","",ROW())</f>
        <v/>
      </c>
      <c r="AJ815" s="54" t="n">
        <f aca="false">IF(OR($AC815&lt;&gt;1,$M815=""),0,IF(ISNUMBER(SEARCH("퇴사",IFERROR(INDEX(강사DB!$G$4:$G$53,MATCH($M815,강사DB!$A$4:$A$53,0)),""))),1,0))</f>
        <v>0</v>
      </c>
    </row>
    <row r="816" customFormat="false" ht="15" hidden="false" customHeight="false" outlineLevel="0" collapsed="false">
      <c r="A816" s="45" t="str">
        <f aca="false">IF($D816="","",COUNTA($D$5:$D816))</f>
        <v/>
      </c>
      <c r="B816" s="46"/>
      <c r="C816" s="47"/>
      <c r="D816" s="48"/>
      <c r="E816" s="48"/>
      <c r="F816" s="49"/>
      <c r="G816" s="47"/>
      <c r="H816" s="50"/>
      <c r="I816" s="50"/>
      <c r="J816" s="51" t="str">
        <f aca="false">IF(OR($V816="",$W816=""),"",ROUND(($W816-$V816)/60,2))</f>
        <v/>
      </c>
      <c r="K816" s="52" t="str">
        <f aca="false">IF($F816="","",LEN($F816)-LEN(SUBSTITUTE($F816,",",""))+1)</f>
        <v/>
      </c>
      <c r="L816" s="45" t="str">
        <f aca="false">IF($K816="","","1:"&amp;$K816)</f>
        <v/>
      </c>
      <c r="M816" s="46"/>
      <c r="N816" s="53"/>
      <c r="O816" s="46"/>
      <c r="P816" s="47"/>
      <c r="Q816" s="48"/>
      <c r="R816" s="49"/>
      <c r="S816" s="54" t="str">
        <f aca="false">IF(OR($AC816=0,$U816="",$M816="",$V816="",$W816=""),"",IF(COUNTIFS(m_teacher,$M816,m_date,$U816,m_active,1,m_start,"&lt;"&amp;$W816,m_end,"&gt;"&amp;$V816)&gt;1,"충돌",""))</f>
        <v/>
      </c>
      <c r="T816" s="48"/>
      <c r="U816" s="55" t="str">
        <f aca="false">IF($G816="","",IFERROR(IF(ISNUMBER($G816),IF($G816&gt;19000000,DATE(INT($G816/10000),MOD(INT($G816/100),100),MOD($G816,100)),INT($G816)),IF(LEN(SUBSTITUTE(SUBSTITUTE(SUBSTITUTE(TRIM($G816),"-",""),".",""),"/",""))=8,DATE(VALUE(LEFT(SUBSTITUTE(SUBSTITUTE(SUBSTITUTE(TRIM($G816),"-",""),".",""),"/",""),4)),VALUE(MID(SUBSTITUTE(SUBSTITUTE(SUBSTITUTE(TRIM($G816),"-",""),".",""),"/",""),5,2)),VALUE(RIGHT(SUBSTITUTE(SUBSTITUTE(SUBSTITUTE(TRIM($G816),"-",""),".",""),"/",""),2))),DATEVALUE($G816))),""))</f>
        <v/>
      </c>
      <c r="V816" s="52" t="str">
        <f aca="false">IF($H816="","",IFERROR(IF(IF(ISNUMBER($H816),$H816,IFERROR(TIMEVALUE($H816),VALUE($H816)))&gt;=100,INT(IF(ISNUMBER($H816),$H816,IFERROR(TIMEVALUE($H816),VALUE($H816)))/100)*60+MOD(IF(ISNUMBER($H816),$H816,IFERROR(TIMEVALUE($H816),VALUE($H816))),100),IF(IF(ISNUMBER($H816),$H816,IFERROR(TIMEVALUE($H816),VALUE($H816)))&gt;=1,ROUND(IF(ISNUMBER($H816),$H816,IFERROR(TIMEVALUE($H816),VALUE($H816)))*60,0),ROUND(MOD(IF(ISNUMBER($H816),$H816,IFERROR(TIMEVALUE($H816),VALUE($H816))),1)*1440,0))),""))</f>
        <v/>
      </c>
      <c r="W816" s="52" t="str">
        <f aca="false">IF($I816="","",IFERROR(IF(IF(ISNUMBER($I816),$I816,IFERROR(TIMEVALUE($I816),VALUE($I816)))&gt;=100,INT(IF(ISNUMBER($I816),$I816,IFERROR(TIMEVALUE($I816),VALUE($I816)))/100)*60+MOD(IF(ISNUMBER($I816),$I816,IFERROR(TIMEVALUE($I816),VALUE($I816))),100),IF(IF(ISNUMBER($I816),$I816,IFERROR(TIMEVALUE($I816),VALUE($I816)))&gt;=1,ROUND(IF(ISNUMBER($I816),$I816,IFERROR(TIMEVALUE($I816),VALUE($I816)))*60,0),ROUND(MOD(IF(ISNUMBER($I816),$I816,IFERROR(TIMEVALUE($I816),VALUE($I816))),1)*1440,0))),""))</f>
        <v/>
      </c>
      <c r="X816" s="55" t="str">
        <f aca="false">IF($P816="","",IFERROR(IF(ISNUMBER($P816),IF($P816&gt;19000000,DATE(INT($P816/10000),MOD(INT($P816/100),100),MOD($P816,100)),INT($P816)),IF(LEN(SUBSTITUTE(SUBSTITUTE(SUBSTITUTE(TRIM($P816),"-",""),".",""),"/",""))=8,DATE(VALUE(LEFT(SUBSTITUTE(SUBSTITUTE(SUBSTITUTE(TRIM($P816),"-",""),".",""),"/",""),4)),VALUE(MID(SUBSTITUTE(SUBSTITUTE(SUBSTITUTE(TRIM($P816),"-",""),".",""),"/",""),5,2)),VALUE(RIGHT(SUBSTITUTE(SUBSTITUTE(SUBSTITUTE(TRIM($P816),"-",""),".",""),"/",""),2))),DATEVALUE($P816))),""))</f>
        <v/>
      </c>
      <c r="Y816" s="56" t="str">
        <f aca="false">IF($M816="","",IFERROR(INDEX(강사DB!$D$4:$D$53,MATCH($M816,강사DB!$A$4:$A$53,0)),""))</f>
        <v/>
      </c>
      <c r="Z816" s="56" t="str">
        <f aca="false">IF($B816&lt;&gt;"결제완료","",IF(OR($Y816="",$J816=""),"",$Y816*$J816+MAX(0,N($K816)-1)*설정!$J$7))</f>
        <v/>
      </c>
      <c r="AA816" s="56" t="str">
        <f aca="false">IF(AND($D816&lt;&gt;"",$B816="결제완료"),N($N816),"")</f>
        <v/>
      </c>
      <c r="AB816" s="45" t="str">
        <f aca="false">IF($D816="","",IF($F816&lt;&gt;"",$F816,$D816)&amp;IF($B816="상담중"," (상담)",""))</f>
        <v/>
      </c>
      <c r="AC816" s="45" t="n">
        <f aca="false">IF(AND($D816&lt;&gt;"",OR($B816="결제완료",$B816="상담중")),1,0)</f>
        <v>0</v>
      </c>
      <c r="AD816" s="45" t="n">
        <f aca="false">IF(OR($Z816="",$U816=""),0,IFERROR(IF(COUNTIFS(INDEX(g_grid,0,2*MATCH($M816,강사DB!$A$4:$A$15,0)),"&lt;&gt;",g_s,"&lt;="&amp;$U816,g_e,"&gt;="&amp;$U816)&gt;0,1,0),0))</f>
        <v>0</v>
      </c>
      <c r="AE816" s="48"/>
      <c r="AF816" s="56" t="str">
        <f aca="false">IF(AND($D816&lt;&gt;"",$B816="결제완료",$T816="대여"),설정!$J$5,"")</f>
        <v/>
      </c>
      <c r="AG816" s="54" t="str">
        <f aca="false">IF($D816="","",IF(AND($E816="",$R816=""),$AB816,"☎ "&amp;IF($E816="","-",$E816)&amp;IF($R816&lt;&gt;"","  ※ "&amp;$R816,"")&amp;IF($B816="상담중"," (상담)","")))</f>
        <v/>
      </c>
      <c r="AH816" s="56" t="str">
        <f aca="false">IF(AND($D816&lt;&gt;"",$B816="결제완료",$O816="스마트스토어"),ROUND(N($N816)*설정!$J$6,0),"")</f>
        <v/>
      </c>
      <c r="AI816" s="54" t="str">
        <f aca="false">IF($D816="","",ROW())</f>
        <v/>
      </c>
      <c r="AJ816" s="54" t="n">
        <f aca="false">IF(OR($AC816&lt;&gt;1,$M816=""),0,IF(ISNUMBER(SEARCH("퇴사",IFERROR(INDEX(강사DB!$G$4:$G$53,MATCH($M816,강사DB!$A$4:$A$53,0)),""))),1,0))</f>
        <v>0</v>
      </c>
    </row>
    <row r="817" customFormat="false" ht="15" hidden="false" customHeight="false" outlineLevel="0" collapsed="false">
      <c r="A817" s="45" t="str">
        <f aca="false">IF($D817="","",COUNTA($D$5:$D817))</f>
        <v/>
      </c>
      <c r="B817" s="46"/>
      <c r="C817" s="47"/>
      <c r="D817" s="48"/>
      <c r="E817" s="48"/>
      <c r="F817" s="49"/>
      <c r="G817" s="47"/>
      <c r="H817" s="50"/>
      <c r="I817" s="50"/>
      <c r="J817" s="51" t="str">
        <f aca="false">IF(OR($V817="",$W817=""),"",ROUND(($W817-$V817)/60,2))</f>
        <v/>
      </c>
      <c r="K817" s="52" t="str">
        <f aca="false">IF($F817="","",LEN($F817)-LEN(SUBSTITUTE($F817,",",""))+1)</f>
        <v/>
      </c>
      <c r="L817" s="45" t="str">
        <f aca="false">IF($K817="","","1:"&amp;$K817)</f>
        <v/>
      </c>
      <c r="M817" s="46"/>
      <c r="N817" s="53"/>
      <c r="O817" s="46"/>
      <c r="P817" s="47"/>
      <c r="Q817" s="48"/>
      <c r="R817" s="49"/>
      <c r="S817" s="54" t="str">
        <f aca="false">IF(OR($AC817=0,$U817="",$M817="",$V817="",$W817=""),"",IF(COUNTIFS(m_teacher,$M817,m_date,$U817,m_active,1,m_start,"&lt;"&amp;$W817,m_end,"&gt;"&amp;$V817)&gt;1,"충돌",""))</f>
        <v/>
      </c>
      <c r="T817" s="48"/>
      <c r="U817" s="55" t="str">
        <f aca="false">IF($G817="","",IFERROR(IF(ISNUMBER($G817),IF($G817&gt;19000000,DATE(INT($G817/10000),MOD(INT($G817/100),100),MOD($G817,100)),INT($G817)),IF(LEN(SUBSTITUTE(SUBSTITUTE(SUBSTITUTE(TRIM($G817),"-",""),".",""),"/",""))=8,DATE(VALUE(LEFT(SUBSTITUTE(SUBSTITUTE(SUBSTITUTE(TRIM($G817),"-",""),".",""),"/",""),4)),VALUE(MID(SUBSTITUTE(SUBSTITUTE(SUBSTITUTE(TRIM($G817),"-",""),".",""),"/",""),5,2)),VALUE(RIGHT(SUBSTITUTE(SUBSTITUTE(SUBSTITUTE(TRIM($G817),"-",""),".",""),"/",""),2))),DATEVALUE($G817))),""))</f>
        <v/>
      </c>
      <c r="V817" s="52" t="str">
        <f aca="false">IF($H817="","",IFERROR(IF(IF(ISNUMBER($H817),$H817,IFERROR(TIMEVALUE($H817),VALUE($H817)))&gt;=100,INT(IF(ISNUMBER($H817),$H817,IFERROR(TIMEVALUE($H817),VALUE($H817)))/100)*60+MOD(IF(ISNUMBER($H817),$H817,IFERROR(TIMEVALUE($H817),VALUE($H817))),100),IF(IF(ISNUMBER($H817),$H817,IFERROR(TIMEVALUE($H817),VALUE($H817)))&gt;=1,ROUND(IF(ISNUMBER($H817),$H817,IFERROR(TIMEVALUE($H817),VALUE($H817)))*60,0),ROUND(MOD(IF(ISNUMBER($H817),$H817,IFERROR(TIMEVALUE($H817),VALUE($H817))),1)*1440,0))),""))</f>
        <v/>
      </c>
      <c r="W817" s="52" t="str">
        <f aca="false">IF($I817="","",IFERROR(IF(IF(ISNUMBER($I817),$I817,IFERROR(TIMEVALUE($I817),VALUE($I817)))&gt;=100,INT(IF(ISNUMBER($I817),$I817,IFERROR(TIMEVALUE($I817),VALUE($I817)))/100)*60+MOD(IF(ISNUMBER($I817),$I817,IFERROR(TIMEVALUE($I817),VALUE($I817))),100),IF(IF(ISNUMBER($I817),$I817,IFERROR(TIMEVALUE($I817),VALUE($I817)))&gt;=1,ROUND(IF(ISNUMBER($I817),$I817,IFERROR(TIMEVALUE($I817),VALUE($I817)))*60,0),ROUND(MOD(IF(ISNUMBER($I817),$I817,IFERROR(TIMEVALUE($I817),VALUE($I817))),1)*1440,0))),""))</f>
        <v/>
      </c>
      <c r="X817" s="55" t="str">
        <f aca="false">IF($P817="","",IFERROR(IF(ISNUMBER($P817),IF($P817&gt;19000000,DATE(INT($P817/10000),MOD(INT($P817/100),100),MOD($P817,100)),INT($P817)),IF(LEN(SUBSTITUTE(SUBSTITUTE(SUBSTITUTE(TRIM($P817),"-",""),".",""),"/",""))=8,DATE(VALUE(LEFT(SUBSTITUTE(SUBSTITUTE(SUBSTITUTE(TRIM($P817),"-",""),".",""),"/",""),4)),VALUE(MID(SUBSTITUTE(SUBSTITUTE(SUBSTITUTE(TRIM($P817),"-",""),".",""),"/",""),5,2)),VALUE(RIGHT(SUBSTITUTE(SUBSTITUTE(SUBSTITUTE(TRIM($P817),"-",""),".",""),"/",""),2))),DATEVALUE($P817))),""))</f>
        <v/>
      </c>
      <c r="Y817" s="56" t="str">
        <f aca="false">IF($M817="","",IFERROR(INDEX(강사DB!$D$4:$D$53,MATCH($M817,강사DB!$A$4:$A$53,0)),""))</f>
        <v/>
      </c>
      <c r="Z817" s="56" t="str">
        <f aca="false">IF($B817&lt;&gt;"결제완료","",IF(OR($Y817="",$J817=""),"",$Y817*$J817+MAX(0,N($K817)-1)*설정!$J$7))</f>
        <v/>
      </c>
      <c r="AA817" s="56" t="str">
        <f aca="false">IF(AND($D817&lt;&gt;"",$B817="결제완료"),N($N817),"")</f>
        <v/>
      </c>
      <c r="AB817" s="45" t="str">
        <f aca="false">IF($D817="","",IF($F817&lt;&gt;"",$F817,$D817)&amp;IF($B817="상담중"," (상담)",""))</f>
        <v/>
      </c>
      <c r="AC817" s="45" t="n">
        <f aca="false">IF(AND($D817&lt;&gt;"",OR($B817="결제완료",$B817="상담중")),1,0)</f>
        <v>0</v>
      </c>
      <c r="AD817" s="45" t="n">
        <f aca="false">IF(OR($Z817="",$U817=""),0,IFERROR(IF(COUNTIFS(INDEX(g_grid,0,2*MATCH($M817,강사DB!$A$4:$A$15,0)),"&lt;&gt;",g_s,"&lt;="&amp;$U817,g_e,"&gt;="&amp;$U817)&gt;0,1,0),0))</f>
        <v>0</v>
      </c>
      <c r="AE817" s="48"/>
      <c r="AF817" s="56" t="str">
        <f aca="false">IF(AND($D817&lt;&gt;"",$B817="결제완료",$T817="대여"),설정!$J$5,"")</f>
        <v/>
      </c>
      <c r="AG817" s="54" t="str">
        <f aca="false">IF($D817="","",IF(AND($E817="",$R817=""),$AB817,"☎ "&amp;IF($E817="","-",$E817)&amp;IF($R817&lt;&gt;"","  ※ "&amp;$R817,"")&amp;IF($B817="상담중"," (상담)","")))</f>
        <v/>
      </c>
      <c r="AH817" s="56" t="str">
        <f aca="false">IF(AND($D817&lt;&gt;"",$B817="결제완료",$O817="스마트스토어"),ROUND(N($N817)*설정!$J$6,0),"")</f>
        <v/>
      </c>
      <c r="AI817" s="54" t="str">
        <f aca="false">IF($D817="","",ROW())</f>
        <v/>
      </c>
      <c r="AJ817" s="54" t="n">
        <f aca="false">IF(OR($AC817&lt;&gt;1,$M817=""),0,IF(ISNUMBER(SEARCH("퇴사",IFERROR(INDEX(강사DB!$G$4:$G$53,MATCH($M817,강사DB!$A$4:$A$53,0)),""))),1,0))</f>
        <v>0</v>
      </c>
    </row>
    <row r="818" customFormat="false" ht="15" hidden="false" customHeight="false" outlineLevel="0" collapsed="false">
      <c r="A818" s="45" t="str">
        <f aca="false">IF($D818="","",COUNTA($D$5:$D818))</f>
        <v/>
      </c>
      <c r="B818" s="46"/>
      <c r="C818" s="47"/>
      <c r="D818" s="48"/>
      <c r="E818" s="48"/>
      <c r="F818" s="49"/>
      <c r="G818" s="47"/>
      <c r="H818" s="50"/>
      <c r="I818" s="50"/>
      <c r="J818" s="51" t="str">
        <f aca="false">IF(OR($V818="",$W818=""),"",ROUND(($W818-$V818)/60,2))</f>
        <v/>
      </c>
      <c r="K818" s="52" t="str">
        <f aca="false">IF($F818="","",LEN($F818)-LEN(SUBSTITUTE($F818,",",""))+1)</f>
        <v/>
      </c>
      <c r="L818" s="45" t="str">
        <f aca="false">IF($K818="","","1:"&amp;$K818)</f>
        <v/>
      </c>
      <c r="M818" s="46"/>
      <c r="N818" s="53"/>
      <c r="O818" s="46"/>
      <c r="P818" s="47"/>
      <c r="Q818" s="48"/>
      <c r="R818" s="49"/>
      <c r="S818" s="54" t="str">
        <f aca="false">IF(OR($AC818=0,$U818="",$M818="",$V818="",$W818=""),"",IF(COUNTIFS(m_teacher,$M818,m_date,$U818,m_active,1,m_start,"&lt;"&amp;$W818,m_end,"&gt;"&amp;$V818)&gt;1,"충돌",""))</f>
        <v/>
      </c>
      <c r="T818" s="48"/>
      <c r="U818" s="55" t="str">
        <f aca="false">IF($G818="","",IFERROR(IF(ISNUMBER($G818),IF($G818&gt;19000000,DATE(INT($G818/10000),MOD(INT($G818/100),100),MOD($G818,100)),INT($G818)),IF(LEN(SUBSTITUTE(SUBSTITUTE(SUBSTITUTE(TRIM($G818),"-",""),".",""),"/",""))=8,DATE(VALUE(LEFT(SUBSTITUTE(SUBSTITUTE(SUBSTITUTE(TRIM($G818),"-",""),".",""),"/",""),4)),VALUE(MID(SUBSTITUTE(SUBSTITUTE(SUBSTITUTE(TRIM($G818),"-",""),".",""),"/",""),5,2)),VALUE(RIGHT(SUBSTITUTE(SUBSTITUTE(SUBSTITUTE(TRIM($G818),"-",""),".",""),"/",""),2))),DATEVALUE($G818))),""))</f>
        <v/>
      </c>
      <c r="V818" s="52" t="str">
        <f aca="false">IF($H818="","",IFERROR(IF(IF(ISNUMBER($H818),$H818,IFERROR(TIMEVALUE($H818),VALUE($H818)))&gt;=100,INT(IF(ISNUMBER($H818),$H818,IFERROR(TIMEVALUE($H818),VALUE($H818)))/100)*60+MOD(IF(ISNUMBER($H818),$H818,IFERROR(TIMEVALUE($H818),VALUE($H818))),100),IF(IF(ISNUMBER($H818),$H818,IFERROR(TIMEVALUE($H818),VALUE($H818)))&gt;=1,ROUND(IF(ISNUMBER($H818),$H818,IFERROR(TIMEVALUE($H818),VALUE($H818)))*60,0),ROUND(MOD(IF(ISNUMBER($H818),$H818,IFERROR(TIMEVALUE($H818),VALUE($H818))),1)*1440,0))),""))</f>
        <v/>
      </c>
      <c r="W818" s="52" t="str">
        <f aca="false">IF($I818="","",IFERROR(IF(IF(ISNUMBER($I818),$I818,IFERROR(TIMEVALUE($I818),VALUE($I818)))&gt;=100,INT(IF(ISNUMBER($I818),$I818,IFERROR(TIMEVALUE($I818),VALUE($I818)))/100)*60+MOD(IF(ISNUMBER($I818),$I818,IFERROR(TIMEVALUE($I818),VALUE($I818))),100),IF(IF(ISNUMBER($I818),$I818,IFERROR(TIMEVALUE($I818),VALUE($I818)))&gt;=1,ROUND(IF(ISNUMBER($I818),$I818,IFERROR(TIMEVALUE($I818),VALUE($I818)))*60,0),ROUND(MOD(IF(ISNUMBER($I818),$I818,IFERROR(TIMEVALUE($I818),VALUE($I818))),1)*1440,0))),""))</f>
        <v/>
      </c>
      <c r="X818" s="55" t="str">
        <f aca="false">IF($P818="","",IFERROR(IF(ISNUMBER($P818),IF($P818&gt;19000000,DATE(INT($P818/10000),MOD(INT($P818/100),100),MOD($P818,100)),INT($P818)),IF(LEN(SUBSTITUTE(SUBSTITUTE(SUBSTITUTE(TRIM($P818),"-",""),".",""),"/",""))=8,DATE(VALUE(LEFT(SUBSTITUTE(SUBSTITUTE(SUBSTITUTE(TRIM($P818),"-",""),".",""),"/",""),4)),VALUE(MID(SUBSTITUTE(SUBSTITUTE(SUBSTITUTE(TRIM($P818),"-",""),".",""),"/",""),5,2)),VALUE(RIGHT(SUBSTITUTE(SUBSTITUTE(SUBSTITUTE(TRIM($P818),"-",""),".",""),"/",""),2))),DATEVALUE($P818))),""))</f>
        <v/>
      </c>
      <c r="Y818" s="56" t="str">
        <f aca="false">IF($M818="","",IFERROR(INDEX(강사DB!$D$4:$D$53,MATCH($M818,강사DB!$A$4:$A$53,0)),""))</f>
        <v/>
      </c>
      <c r="Z818" s="56" t="str">
        <f aca="false">IF($B818&lt;&gt;"결제완료","",IF(OR($Y818="",$J818=""),"",$Y818*$J818+MAX(0,N($K818)-1)*설정!$J$7))</f>
        <v/>
      </c>
      <c r="AA818" s="56" t="str">
        <f aca="false">IF(AND($D818&lt;&gt;"",$B818="결제완료"),N($N818),"")</f>
        <v/>
      </c>
      <c r="AB818" s="45" t="str">
        <f aca="false">IF($D818="","",IF($F818&lt;&gt;"",$F818,$D818)&amp;IF($B818="상담중"," (상담)",""))</f>
        <v/>
      </c>
      <c r="AC818" s="45" t="n">
        <f aca="false">IF(AND($D818&lt;&gt;"",OR($B818="결제완료",$B818="상담중")),1,0)</f>
        <v>0</v>
      </c>
      <c r="AD818" s="45" t="n">
        <f aca="false">IF(OR($Z818="",$U818=""),0,IFERROR(IF(COUNTIFS(INDEX(g_grid,0,2*MATCH($M818,강사DB!$A$4:$A$15,0)),"&lt;&gt;",g_s,"&lt;="&amp;$U818,g_e,"&gt;="&amp;$U818)&gt;0,1,0),0))</f>
        <v>0</v>
      </c>
      <c r="AE818" s="48"/>
      <c r="AF818" s="56" t="str">
        <f aca="false">IF(AND($D818&lt;&gt;"",$B818="결제완료",$T818="대여"),설정!$J$5,"")</f>
        <v/>
      </c>
      <c r="AG818" s="54" t="str">
        <f aca="false">IF($D818="","",IF(AND($E818="",$R818=""),$AB818,"☎ "&amp;IF($E818="","-",$E818)&amp;IF($R818&lt;&gt;"","  ※ "&amp;$R818,"")&amp;IF($B818="상담중"," (상담)","")))</f>
        <v/>
      </c>
      <c r="AH818" s="56" t="str">
        <f aca="false">IF(AND($D818&lt;&gt;"",$B818="결제완료",$O818="스마트스토어"),ROUND(N($N818)*설정!$J$6,0),"")</f>
        <v/>
      </c>
      <c r="AI818" s="54" t="str">
        <f aca="false">IF($D818="","",ROW())</f>
        <v/>
      </c>
      <c r="AJ818" s="54" t="n">
        <f aca="false">IF(OR($AC818&lt;&gt;1,$M818=""),0,IF(ISNUMBER(SEARCH("퇴사",IFERROR(INDEX(강사DB!$G$4:$G$53,MATCH($M818,강사DB!$A$4:$A$53,0)),""))),1,0))</f>
        <v>0</v>
      </c>
    </row>
    <row r="819" customFormat="false" ht="15" hidden="false" customHeight="false" outlineLevel="0" collapsed="false">
      <c r="A819" s="45" t="str">
        <f aca="false">IF($D819="","",COUNTA($D$5:$D819))</f>
        <v/>
      </c>
      <c r="B819" s="46"/>
      <c r="C819" s="47"/>
      <c r="D819" s="48"/>
      <c r="E819" s="48"/>
      <c r="F819" s="49"/>
      <c r="G819" s="47"/>
      <c r="H819" s="50"/>
      <c r="I819" s="50"/>
      <c r="J819" s="51" t="str">
        <f aca="false">IF(OR($V819="",$W819=""),"",ROUND(($W819-$V819)/60,2))</f>
        <v/>
      </c>
      <c r="K819" s="52" t="str">
        <f aca="false">IF($F819="","",LEN($F819)-LEN(SUBSTITUTE($F819,",",""))+1)</f>
        <v/>
      </c>
      <c r="L819" s="45" t="str">
        <f aca="false">IF($K819="","","1:"&amp;$K819)</f>
        <v/>
      </c>
      <c r="M819" s="46"/>
      <c r="N819" s="53"/>
      <c r="O819" s="46"/>
      <c r="P819" s="47"/>
      <c r="Q819" s="48"/>
      <c r="R819" s="49"/>
      <c r="S819" s="54" t="str">
        <f aca="false">IF(OR($AC819=0,$U819="",$M819="",$V819="",$W819=""),"",IF(COUNTIFS(m_teacher,$M819,m_date,$U819,m_active,1,m_start,"&lt;"&amp;$W819,m_end,"&gt;"&amp;$V819)&gt;1,"충돌",""))</f>
        <v/>
      </c>
      <c r="T819" s="48"/>
      <c r="U819" s="55" t="str">
        <f aca="false">IF($G819="","",IFERROR(IF(ISNUMBER($G819),IF($G819&gt;19000000,DATE(INT($G819/10000),MOD(INT($G819/100),100),MOD($G819,100)),INT($G819)),IF(LEN(SUBSTITUTE(SUBSTITUTE(SUBSTITUTE(TRIM($G819),"-",""),".",""),"/",""))=8,DATE(VALUE(LEFT(SUBSTITUTE(SUBSTITUTE(SUBSTITUTE(TRIM($G819),"-",""),".",""),"/",""),4)),VALUE(MID(SUBSTITUTE(SUBSTITUTE(SUBSTITUTE(TRIM($G819),"-",""),".",""),"/",""),5,2)),VALUE(RIGHT(SUBSTITUTE(SUBSTITUTE(SUBSTITUTE(TRIM($G819),"-",""),".",""),"/",""),2))),DATEVALUE($G819))),""))</f>
        <v/>
      </c>
      <c r="V819" s="52" t="str">
        <f aca="false">IF($H819="","",IFERROR(IF(IF(ISNUMBER($H819),$H819,IFERROR(TIMEVALUE($H819),VALUE($H819)))&gt;=100,INT(IF(ISNUMBER($H819),$H819,IFERROR(TIMEVALUE($H819),VALUE($H819)))/100)*60+MOD(IF(ISNUMBER($H819),$H819,IFERROR(TIMEVALUE($H819),VALUE($H819))),100),IF(IF(ISNUMBER($H819),$H819,IFERROR(TIMEVALUE($H819),VALUE($H819)))&gt;=1,ROUND(IF(ISNUMBER($H819),$H819,IFERROR(TIMEVALUE($H819),VALUE($H819)))*60,0),ROUND(MOD(IF(ISNUMBER($H819),$H819,IFERROR(TIMEVALUE($H819),VALUE($H819))),1)*1440,0))),""))</f>
        <v/>
      </c>
      <c r="W819" s="52" t="str">
        <f aca="false">IF($I819="","",IFERROR(IF(IF(ISNUMBER($I819),$I819,IFERROR(TIMEVALUE($I819),VALUE($I819)))&gt;=100,INT(IF(ISNUMBER($I819),$I819,IFERROR(TIMEVALUE($I819),VALUE($I819)))/100)*60+MOD(IF(ISNUMBER($I819),$I819,IFERROR(TIMEVALUE($I819),VALUE($I819))),100),IF(IF(ISNUMBER($I819),$I819,IFERROR(TIMEVALUE($I819),VALUE($I819)))&gt;=1,ROUND(IF(ISNUMBER($I819),$I819,IFERROR(TIMEVALUE($I819),VALUE($I819)))*60,0),ROUND(MOD(IF(ISNUMBER($I819),$I819,IFERROR(TIMEVALUE($I819),VALUE($I819))),1)*1440,0))),""))</f>
        <v/>
      </c>
      <c r="X819" s="55" t="str">
        <f aca="false">IF($P819="","",IFERROR(IF(ISNUMBER($P819),IF($P819&gt;19000000,DATE(INT($P819/10000),MOD(INT($P819/100),100),MOD($P819,100)),INT($P819)),IF(LEN(SUBSTITUTE(SUBSTITUTE(SUBSTITUTE(TRIM($P819),"-",""),".",""),"/",""))=8,DATE(VALUE(LEFT(SUBSTITUTE(SUBSTITUTE(SUBSTITUTE(TRIM($P819),"-",""),".",""),"/",""),4)),VALUE(MID(SUBSTITUTE(SUBSTITUTE(SUBSTITUTE(TRIM($P819),"-",""),".",""),"/",""),5,2)),VALUE(RIGHT(SUBSTITUTE(SUBSTITUTE(SUBSTITUTE(TRIM($P819),"-",""),".",""),"/",""),2))),DATEVALUE($P819))),""))</f>
        <v/>
      </c>
      <c r="Y819" s="56" t="str">
        <f aca="false">IF($M819="","",IFERROR(INDEX(강사DB!$D$4:$D$53,MATCH($M819,강사DB!$A$4:$A$53,0)),""))</f>
        <v/>
      </c>
      <c r="Z819" s="56" t="str">
        <f aca="false">IF($B819&lt;&gt;"결제완료","",IF(OR($Y819="",$J819=""),"",$Y819*$J819+MAX(0,N($K819)-1)*설정!$J$7))</f>
        <v/>
      </c>
      <c r="AA819" s="56" t="str">
        <f aca="false">IF(AND($D819&lt;&gt;"",$B819="결제완료"),N($N819),"")</f>
        <v/>
      </c>
      <c r="AB819" s="45" t="str">
        <f aca="false">IF($D819="","",IF($F819&lt;&gt;"",$F819,$D819)&amp;IF($B819="상담중"," (상담)",""))</f>
        <v/>
      </c>
      <c r="AC819" s="45" t="n">
        <f aca="false">IF(AND($D819&lt;&gt;"",OR($B819="결제완료",$B819="상담중")),1,0)</f>
        <v>0</v>
      </c>
      <c r="AD819" s="45" t="n">
        <f aca="false">IF(OR($Z819="",$U819=""),0,IFERROR(IF(COUNTIFS(INDEX(g_grid,0,2*MATCH($M819,강사DB!$A$4:$A$15,0)),"&lt;&gt;",g_s,"&lt;="&amp;$U819,g_e,"&gt;="&amp;$U819)&gt;0,1,0),0))</f>
        <v>0</v>
      </c>
      <c r="AE819" s="48"/>
      <c r="AF819" s="56" t="str">
        <f aca="false">IF(AND($D819&lt;&gt;"",$B819="결제완료",$T819="대여"),설정!$J$5,"")</f>
        <v/>
      </c>
      <c r="AG819" s="54" t="str">
        <f aca="false">IF($D819="","",IF(AND($E819="",$R819=""),$AB819,"☎ "&amp;IF($E819="","-",$E819)&amp;IF($R819&lt;&gt;"","  ※ "&amp;$R819,"")&amp;IF($B819="상담중"," (상담)","")))</f>
        <v/>
      </c>
      <c r="AH819" s="56" t="str">
        <f aca="false">IF(AND($D819&lt;&gt;"",$B819="결제완료",$O819="스마트스토어"),ROUND(N($N819)*설정!$J$6,0),"")</f>
        <v/>
      </c>
      <c r="AI819" s="54" t="str">
        <f aca="false">IF($D819="","",ROW())</f>
        <v/>
      </c>
      <c r="AJ819" s="54" t="n">
        <f aca="false">IF(OR($AC819&lt;&gt;1,$M819=""),0,IF(ISNUMBER(SEARCH("퇴사",IFERROR(INDEX(강사DB!$G$4:$G$53,MATCH($M819,강사DB!$A$4:$A$53,0)),""))),1,0))</f>
        <v>0</v>
      </c>
    </row>
    <row r="820" customFormat="false" ht="15" hidden="false" customHeight="false" outlineLevel="0" collapsed="false">
      <c r="A820" s="45" t="str">
        <f aca="false">IF($D820="","",COUNTA($D$5:$D820))</f>
        <v/>
      </c>
      <c r="B820" s="46"/>
      <c r="C820" s="47"/>
      <c r="D820" s="48"/>
      <c r="E820" s="48"/>
      <c r="F820" s="49"/>
      <c r="G820" s="47"/>
      <c r="H820" s="50"/>
      <c r="I820" s="50"/>
      <c r="J820" s="51" t="str">
        <f aca="false">IF(OR($V820="",$W820=""),"",ROUND(($W820-$V820)/60,2))</f>
        <v/>
      </c>
      <c r="K820" s="52" t="str">
        <f aca="false">IF($F820="","",LEN($F820)-LEN(SUBSTITUTE($F820,",",""))+1)</f>
        <v/>
      </c>
      <c r="L820" s="45" t="str">
        <f aca="false">IF($K820="","","1:"&amp;$K820)</f>
        <v/>
      </c>
      <c r="M820" s="46"/>
      <c r="N820" s="53"/>
      <c r="O820" s="46"/>
      <c r="P820" s="47"/>
      <c r="Q820" s="48"/>
      <c r="R820" s="49"/>
      <c r="S820" s="54" t="str">
        <f aca="false">IF(OR($AC820=0,$U820="",$M820="",$V820="",$W820=""),"",IF(COUNTIFS(m_teacher,$M820,m_date,$U820,m_active,1,m_start,"&lt;"&amp;$W820,m_end,"&gt;"&amp;$V820)&gt;1,"충돌",""))</f>
        <v/>
      </c>
      <c r="T820" s="48"/>
      <c r="U820" s="55" t="str">
        <f aca="false">IF($G820="","",IFERROR(IF(ISNUMBER($G820),IF($G820&gt;19000000,DATE(INT($G820/10000),MOD(INT($G820/100),100),MOD($G820,100)),INT($G820)),IF(LEN(SUBSTITUTE(SUBSTITUTE(SUBSTITUTE(TRIM($G820),"-",""),".",""),"/",""))=8,DATE(VALUE(LEFT(SUBSTITUTE(SUBSTITUTE(SUBSTITUTE(TRIM($G820),"-",""),".",""),"/",""),4)),VALUE(MID(SUBSTITUTE(SUBSTITUTE(SUBSTITUTE(TRIM($G820),"-",""),".",""),"/",""),5,2)),VALUE(RIGHT(SUBSTITUTE(SUBSTITUTE(SUBSTITUTE(TRIM($G820),"-",""),".",""),"/",""),2))),DATEVALUE($G820))),""))</f>
        <v/>
      </c>
      <c r="V820" s="52" t="str">
        <f aca="false">IF($H820="","",IFERROR(IF(IF(ISNUMBER($H820),$H820,IFERROR(TIMEVALUE($H820),VALUE($H820)))&gt;=100,INT(IF(ISNUMBER($H820),$H820,IFERROR(TIMEVALUE($H820),VALUE($H820)))/100)*60+MOD(IF(ISNUMBER($H820),$H820,IFERROR(TIMEVALUE($H820),VALUE($H820))),100),IF(IF(ISNUMBER($H820),$H820,IFERROR(TIMEVALUE($H820),VALUE($H820)))&gt;=1,ROUND(IF(ISNUMBER($H820),$H820,IFERROR(TIMEVALUE($H820),VALUE($H820)))*60,0),ROUND(MOD(IF(ISNUMBER($H820),$H820,IFERROR(TIMEVALUE($H820),VALUE($H820))),1)*1440,0))),""))</f>
        <v/>
      </c>
      <c r="W820" s="52" t="str">
        <f aca="false">IF($I820="","",IFERROR(IF(IF(ISNUMBER($I820),$I820,IFERROR(TIMEVALUE($I820),VALUE($I820)))&gt;=100,INT(IF(ISNUMBER($I820),$I820,IFERROR(TIMEVALUE($I820),VALUE($I820)))/100)*60+MOD(IF(ISNUMBER($I820),$I820,IFERROR(TIMEVALUE($I820),VALUE($I820))),100),IF(IF(ISNUMBER($I820),$I820,IFERROR(TIMEVALUE($I820),VALUE($I820)))&gt;=1,ROUND(IF(ISNUMBER($I820),$I820,IFERROR(TIMEVALUE($I820),VALUE($I820)))*60,0),ROUND(MOD(IF(ISNUMBER($I820),$I820,IFERROR(TIMEVALUE($I820),VALUE($I820))),1)*1440,0))),""))</f>
        <v/>
      </c>
      <c r="X820" s="55" t="str">
        <f aca="false">IF($P820="","",IFERROR(IF(ISNUMBER($P820),IF($P820&gt;19000000,DATE(INT($P820/10000),MOD(INT($P820/100),100),MOD($P820,100)),INT($P820)),IF(LEN(SUBSTITUTE(SUBSTITUTE(SUBSTITUTE(TRIM($P820),"-",""),".",""),"/",""))=8,DATE(VALUE(LEFT(SUBSTITUTE(SUBSTITUTE(SUBSTITUTE(TRIM($P820),"-",""),".",""),"/",""),4)),VALUE(MID(SUBSTITUTE(SUBSTITUTE(SUBSTITUTE(TRIM($P820),"-",""),".",""),"/",""),5,2)),VALUE(RIGHT(SUBSTITUTE(SUBSTITUTE(SUBSTITUTE(TRIM($P820),"-",""),".",""),"/",""),2))),DATEVALUE($P820))),""))</f>
        <v/>
      </c>
      <c r="Y820" s="56" t="str">
        <f aca="false">IF($M820="","",IFERROR(INDEX(강사DB!$D$4:$D$53,MATCH($M820,강사DB!$A$4:$A$53,0)),""))</f>
        <v/>
      </c>
      <c r="Z820" s="56" t="str">
        <f aca="false">IF($B820&lt;&gt;"결제완료","",IF(OR($Y820="",$J820=""),"",$Y820*$J820+MAX(0,N($K820)-1)*설정!$J$7))</f>
        <v/>
      </c>
      <c r="AA820" s="56" t="str">
        <f aca="false">IF(AND($D820&lt;&gt;"",$B820="결제완료"),N($N820),"")</f>
        <v/>
      </c>
      <c r="AB820" s="45" t="str">
        <f aca="false">IF($D820="","",IF($F820&lt;&gt;"",$F820,$D820)&amp;IF($B820="상담중"," (상담)",""))</f>
        <v/>
      </c>
      <c r="AC820" s="45" t="n">
        <f aca="false">IF(AND($D820&lt;&gt;"",OR($B820="결제완료",$B820="상담중")),1,0)</f>
        <v>0</v>
      </c>
      <c r="AD820" s="45" t="n">
        <f aca="false">IF(OR($Z820="",$U820=""),0,IFERROR(IF(COUNTIFS(INDEX(g_grid,0,2*MATCH($M820,강사DB!$A$4:$A$15,0)),"&lt;&gt;",g_s,"&lt;="&amp;$U820,g_e,"&gt;="&amp;$U820)&gt;0,1,0),0))</f>
        <v>0</v>
      </c>
      <c r="AE820" s="48"/>
      <c r="AF820" s="56" t="str">
        <f aca="false">IF(AND($D820&lt;&gt;"",$B820="결제완료",$T820="대여"),설정!$J$5,"")</f>
        <v/>
      </c>
      <c r="AG820" s="54" t="str">
        <f aca="false">IF($D820="","",IF(AND($E820="",$R820=""),$AB820,"☎ "&amp;IF($E820="","-",$E820)&amp;IF($R820&lt;&gt;"","  ※ "&amp;$R820,"")&amp;IF($B820="상담중"," (상담)","")))</f>
        <v/>
      </c>
      <c r="AH820" s="56" t="str">
        <f aca="false">IF(AND($D820&lt;&gt;"",$B820="결제완료",$O820="스마트스토어"),ROUND(N($N820)*설정!$J$6,0),"")</f>
        <v/>
      </c>
      <c r="AI820" s="54" t="str">
        <f aca="false">IF($D820="","",ROW())</f>
        <v/>
      </c>
      <c r="AJ820" s="54" t="n">
        <f aca="false">IF(OR($AC820&lt;&gt;1,$M820=""),0,IF(ISNUMBER(SEARCH("퇴사",IFERROR(INDEX(강사DB!$G$4:$G$53,MATCH($M820,강사DB!$A$4:$A$53,0)),""))),1,0))</f>
        <v>0</v>
      </c>
    </row>
    <row r="821" customFormat="false" ht="15" hidden="false" customHeight="false" outlineLevel="0" collapsed="false">
      <c r="A821" s="45" t="str">
        <f aca="false">IF($D821="","",COUNTA($D$5:$D821))</f>
        <v/>
      </c>
      <c r="B821" s="46"/>
      <c r="C821" s="47"/>
      <c r="D821" s="48"/>
      <c r="E821" s="48"/>
      <c r="F821" s="49"/>
      <c r="G821" s="47"/>
      <c r="H821" s="50"/>
      <c r="I821" s="50"/>
      <c r="J821" s="51" t="str">
        <f aca="false">IF(OR($V821="",$W821=""),"",ROUND(($W821-$V821)/60,2))</f>
        <v/>
      </c>
      <c r="K821" s="52" t="str">
        <f aca="false">IF($F821="","",LEN($F821)-LEN(SUBSTITUTE($F821,",",""))+1)</f>
        <v/>
      </c>
      <c r="L821" s="45" t="str">
        <f aca="false">IF($K821="","","1:"&amp;$K821)</f>
        <v/>
      </c>
      <c r="M821" s="46"/>
      <c r="N821" s="53"/>
      <c r="O821" s="46"/>
      <c r="P821" s="47"/>
      <c r="Q821" s="48"/>
      <c r="R821" s="49"/>
      <c r="S821" s="54" t="str">
        <f aca="false">IF(OR($AC821=0,$U821="",$M821="",$V821="",$W821=""),"",IF(COUNTIFS(m_teacher,$M821,m_date,$U821,m_active,1,m_start,"&lt;"&amp;$W821,m_end,"&gt;"&amp;$V821)&gt;1,"충돌",""))</f>
        <v/>
      </c>
      <c r="T821" s="48"/>
      <c r="U821" s="55" t="str">
        <f aca="false">IF($G821="","",IFERROR(IF(ISNUMBER($G821),IF($G821&gt;19000000,DATE(INT($G821/10000),MOD(INT($G821/100),100),MOD($G821,100)),INT($G821)),IF(LEN(SUBSTITUTE(SUBSTITUTE(SUBSTITUTE(TRIM($G821),"-",""),".",""),"/",""))=8,DATE(VALUE(LEFT(SUBSTITUTE(SUBSTITUTE(SUBSTITUTE(TRIM($G821),"-",""),".",""),"/",""),4)),VALUE(MID(SUBSTITUTE(SUBSTITUTE(SUBSTITUTE(TRIM($G821),"-",""),".",""),"/",""),5,2)),VALUE(RIGHT(SUBSTITUTE(SUBSTITUTE(SUBSTITUTE(TRIM($G821),"-",""),".",""),"/",""),2))),DATEVALUE($G821))),""))</f>
        <v/>
      </c>
      <c r="V821" s="52" t="str">
        <f aca="false">IF($H821="","",IFERROR(IF(IF(ISNUMBER($H821),$H821,IFERROR(TIMEVALUE($H821),VALUE($H821)))&gt;=100,INT(IF(ISNUMBER($H821),$H821,IFERROR(TIMEVALUE($H821),VALUE($H821)))/100)*60+MOD(IF(ISNUMBER($H821),$H821,IFERROR(TIMEVALUE($H821),VALUE($H821))),100),IF(IF(ISNUMBER($H821),$H821,IFERROR(TIMEVALUE($H821),VALUE($H821)))&gt;=1,ROUND(IF(ISNUMBER($H821),$H821,IFERROR(TIMEVALUE($H821),VALUE($H821)))*60,0),ROUND(MOD(IF(ISNUMBER($H821),$H821,IFERROR(TIMEVALUE($H821),VALUE($H821))),1)*1440,0))),""))</f>
        <v/>
      </c>
      <c r="W821" s="52" t="str">
        <f aca="false">IF($I821="","",IFERROR(IF(IF(ISNUMBER($I821),$I821,IFERROR(TIMEVALUE($I821),VALUE($I821)))&gt;=100,INT(IF(ISNUMBER($I821),$I821,IFERROR(TIMEVALUE($I821),VALUE($I821)))/100)*60+MOD(IF(ISNUMBER($I821),$I821,IFERROR(TIMEVALUE($I821),VALUE($I821))),100),IF(IF(ISNUMBER($I821),$I821,IFERROR(TIMEVALUE($I821),VALUE($I821)))&gt;=1,ROUND(IF(ISNUMBER($I821),$I821,IFERROR(TIMEVALUE($I821),VALUE($I821)))*60,0),ROUND(MOD(IF(ISNUMBER($I821),$I821,IFERROR(TIMEVALUE($I821),VALUE($I821))),1)*1440,0))),""))</f>
        <v/>
      </c>
      <c r="X821" s="55" t="str">
        <f aca="false">IF($P821="","",IFERROR(IF(ISNUMBER($P821),IF($P821&gt;19000000,DATE(INT($P821/10000),MOD(INT($P821/100),100),MOD($P821,100)),INT($P821)),IF(LEN(SUBSTITUTE(SUBSTITUTE(SUBSTITUTE(TRIM($P821),"-",""),".",""),"/",""))=8,DATE(VALUE(LEFT(SUBSTITUTE(SUBSTITUTE(SUBSTITUTE(TRIM($P821),"-",""),".",""),"/",""),4)),VALUE(MID(SUBSTITUTE(SUBSTITUTE(SUBSTITUTE(TRIM($P821),"-",""),".",""),"/",""),5,2)),VALUE(RIGHT(SUBSTITUTE(SUBSTITUTE(SUBSTITUTE(TRIM($P821),"-",""),".",""),"/",""),2))),DATEVALUE($P821))),""))</f>
        <v/>
      </c>
      <c r="Y821" s="56" t="str">
        <f aca="false">IF($M821="","",IFERROR(INDEX(강사DB!$D$4:$D$53,MATCH($M821,강사DB!$A$4:$A$53,0)),""))</f>
        <v/>
      </c>
      <c r="Z821" s="56" t="str">
        <f aca="false">IF($B821&lt;&gt;"결제완료","",IF(OR($Y821="",$J821=""),"",$Y821*$J821+MAX(0,N($K821)-1)*설정!$J$7))</f>
        <v/>
      </c>
      <c r="AA821" s="56" t="str">
        <f aca="false">IF(AND($D821&lt;&gt;"",$B821="결제완료"),N($N821),"")</f>
        <v/>
      </c>
      <c r="AB821" s="45" t="str">
        <f aca="false">IF($D821="","",IF($F821&lt;&gt;"",$F821,$D821)&amp;IF($B821="상담중"," (상담)",""))</f>
        <v/>
      </c>
      <c r="AC821" s="45" t="n">
        <f aca="false">IF(AND($D821&lt;&gt;"",OR($B821="결제완료",$B821="상담중")),1,0)</f>
        <v>0</v>
      </c>
      <c r="AD821" s="45" t="n">
        <f aca="false">IF(OR($Z821="",$U821=""),0,IFERROR(IF(COUNTIFS(INDEX(g_grid,0,2*MATCH($M821,강사DB!$A$4:$A$15,0)),"&lt;&gt;",g_s,"&lt;="&amp;$U821,g_e,"&gt;="&amp;$U821)&gt;0,1,0),0))</f>
        <v>0</v>
      </c>
      <c r="AE821" s="48"/>
      <c r="AF821" s="56" t="str">
        <f aca="false">IF(AND($D821&lt;&gt;"",$B821="결제완료",$T821="대여"),설정!$J$5,"")</f>
        <v/>
      </c>
      <c r="AG821" s="54" t="str">
        <f aca="false">IF($D821="","",IF(AND($E821="",$R821=""),$AB821,"☎ "&amp;IF($E821="","-",$E821)&amp;IF($R821&lt;&gt;"","  ※ "&amp;$R821,"")&amp;IF($B821="상담중"," (상담)","")))</f>
        <v/>
      </c>
      <c r="AH821" s="56" t="str">
        <f aca="false">IF(AND($D821&lt;&gt;"",$B821="결제완료",$O821="스마트스토어"),ROUND(N($N821)*설정!$J$6,0),"")</f>
        <v/>
      </c>
      <c r="AI821" s="54" t="str">
        <f aca="false">IF($D821="","",ROW())</f>
        <v/>
      </c>
      <c r="AJ821" s="54" t="n">
        <f aca="false">IF(OR($AC821&lt;&gt;1,$M821=""),0,IF(ISNUMBER(SEARCH("퇴사",IFERROR(INDEX(강사DB!$G$4:$G$53,MATCH($M821,강사DB!$A$4:$A$53,0)),""))),1,0))</f>
        <v>0</v>
      </c>
    </row>
    <row r="822" customFormat="false" ht="15" hidden="false" customHeight="false" outlineLevel="0" collapsed="false">
      <c r="A822" s="45" t="str">
        <f aca="false">IF($D822="","",COUNTA($D$5:$D822))</f>
        <v/>
      </c>
      <c r="B822" s="46"/>
      <c r="C822" s="47"/>
      <c r="D822" s="48"/>
      <c r="E822" s="48"/>
      <c r="F822" s="49"/>
      <c r="G822" s="47"/>
      <c r="H822" s="50"/>
      <c r="I822" s="50"/>
      <c r="J822" s="51" t="str">
        <f aca="false">IF(OR($V822="",$W822=""),"",ROUND(($W822-$V822)/60,2))</f>
        <v/>
      </c>
      <c r="K822" s="52" t="str">
        <f aca="false">IF($F822="","",LEN($F822)-LEN(SUBSTITUTE($F822,",",""))+1)</f>
        <v/>
      </c>
      <c r="L822" s="45" t="str">
        <f aca="false">IF($K822="","","1:"&amp;$K822)</f>
        <v/>
      </c>
      <c r="M822" s="46"/>
      <c r="N822" s="53"/>
      <c r="O822" s="46"/>
      <c r="P822" s="47"/>
      <c r="Q822" s="48"/>
      <c r="R822" s="49"/>
      <c r="S822" s="54" t="str">
        <f aca="false">IF(OR($AC822=0,$U822="",$M822="",$V822="",$W822=""),"",IF(COUNTIFS(m_teacher,$M822,m_date,$U822,m_active,1,m_start,"&lt;"&amp;$W822,m_end,"&gt;"&amp;$V822)&gt;1,"충돌",""))</f>
        <v/>
      </c>
      <c r="T822" s="48"/>
      <c r="U822" s="55" t="str">
        <f aca="false">IF($G822="","",IFERROR(IF(ISNUMBER($G822),IF($G822&gt;19000000,DATE(INT($G822/10000),MOD(INT($G822/100),100),MOD($G822,100)),INT($G822)),IF(LEN(SUBSTITUTE(SUBSTITUTE(SUBSTITUTE(TRIM($G822),"-",""),".",""),"/",""))=8,DATE(VALUE(LEFT(SUBSTITUTE(SUBSTITUTE(SUBSTITUTE(TRIM($G822),"-",""),".",""),"/",""),4)),VALUE(MID(SUBSTITUTE(SUBSTITUTE(SUBSTITUTE(TRIM($G822),"-",""),".",""),"/",""),5,2)),VALUE(RIGHT(SUBSTITUTE(SUBSTITUTE(SUBSTITUTE(TRIM($G822),"-",""),".",""),"/",""),2))),DATEVALUE($G822))),""))</f>
        <v/>
      </c>
      <c r="V822" s="52" t="str">
        <f aca="false">IF($H822="","",IFERROR(IF(IF(ISNUMBER($H822),$H822,IFERROR(TIMEVALUE($H822),VALUE($H822)))&gt;=100,INT(IF(ISNUMBER($H822),$H822,IFERROR(TIMEVALUE($H822),VALUE($H822)))/100)*60+MOD(IF(ISNUMBER($H822),$H822,IFERROR(TIMEVALUE($H822),VALUE($H822))),100),IF(IF(ISNUMBER($H822),$H822,IFERROR(TIMEVALUE($H822),VALUE($H822)))&gt;=1,ROUND(IF(ISNUMBER($H822),$H822,IFERROR(TIMEVALUE($H822),VALUE($H822)))*60,0),ROUND(MOD(IF(ISNUMBER($H822),$H822,IFERROR(TIMEVALUE($H822),VALUE($H822))),1)*1440,0))),""))</f>
        <v/>
      </c>
      <c r="W822" s="52" t="str">
        <f aca="false">IF($I822="","",IFERROR(IF(IF(ISNUMBER($I822),$I822,IFERROR(TIMEVALUE($I822),VALUE($I822)))&gt;=100,INT(IF(ISNUMBER($I822),$I822,IFERROR(TIMEVALUE($I822),VALUE($I822)))/100)*60+MOD(IF(ISNUMBER($I822),$I822,IFERROR(TIMEVALUE($I822),VALUE($I822))),100),IF(IF(ISNUMBER($I822),$I822,IFERROR(TIMEVALUE($I822),VALUE($I822)))&gt;=1,ROUND(IF(ISNUMBER($I822),$I822,IFERROR(TIMEVALUE($I822),VALUE($I822)))*60,0),ROUND(MOD(IF(ISNUMBER($I822),$I822,IFERROR(TIMEVALUE($I822),VALUE($I822))),1)*1440,0))),""))</f>
        <v/>
      </c>
      <c r="X822" s="55" t="str">
        <f aca="false">IF($P822="","",IFERROR(IF(ISNUMBER($P822),IF($P822&gt;19000000,DATE(INT($P822/10000),MOD(INT($P822/100),100),MOD($P822,100)),INT($P822)),IF(LEN(SUBSTITUTE(SUBSTITUTE(SUBSTITUTE(TRIM($P822),"-",""),".",""),"/",""))=8,DATE(VALUE(LEFT(SUBSTITUTE(SUBSTITUTE(SUBSTITUTE(TRIM($P822),"-",""),".",""),"/",""),4)),VALUE(MID(SUBSTITUTE(SUBSTITUTE(SUBSTITUTE(TRIM($P822),"-",""),".",""),"/",""),5,2)),VALUE(RIGHT(SUBSTITUTE(SUBSTITUTE(SUBSTITUTE(TRIM($P822),"-",""),".",""),"/",""),2))),DATEVALUE($P822))),""))</f>
        <v/>
      </c>
      <c r="Y822" s="56" t="str">
        <f aca="false">IF($M822="","",IFERROR(INDEX(강사DB!$D$4:$D$53,MATCH($M822,강사DB!$A$4:$A$53,0)),""))</f>
        <v/>
      </c>
      <c r="Z822" s="56" t="str">
        <f aca="false">IF($B822&lt;&gt;"결제완료","",IF(OR($Y822="",$J822=""),"",$Y822*$J822+MAX(0,N($K822)-1)*설정!$J$7))</f>
        <v/>
      </c>
      <c r="AA822" s="56" t="str">
        <f aca="false">IF(AND($D822&lt;&gt;"",$B822="결제완료"),N($N822),"")</f>
        <v/>
      </c>
      <c r="AB822" s="45" t="str">
        <f aca="false">IF($D822="","",IF($F822&lt;&gt;"",$F822,$D822)&amp;IF($B822="상담중"," (상담)",""))</f>
        <v/>
      </c>
      <c r="AC822" s="45" t="n">
        <f aca="false">IF(AND($D822&lt;&gt;"",OR($B822="결제완료",$B822="상담중")),1,0)</f>
        <v>0</v>
      </c>
      <c r="AD822" s="45" t="n">
        <f aca="false">IF(OR($Z822="",$U822=""),0,IFERROR(IF(COUNTIFS(INDEX(g_grid,0,2*MATCH($M822,강사DB!$A$4:$A$15,0)),"&lt;&gt;",g_s,"&lt;="&amp;$U822,g_e,"&gt;="&amp;$U822)&gt;0,1,0),0))</f>
        <v>0</v>
      </c>
      <c r="AE822" s="48"/>
      <c r="AF822" s="56" t="str">
        <f aca="false">IF(AND($D822&lt;&gt;"",$B822="결제완료",$T822="대여"),설정!$J$5,"")</f>
        <v/>
      </c>
      <c r="AG822" s="54" t="str">
        <f aca="false">IF($D822="","",IF(AND($E822="",$R822=""),$AB822,"☎ "&amp;IF($E822="","-",$E822)&amp;IF($R822&lt;&gt;"","  ※ "&amp;$R822,"")&amp;IF($B822="상담중"," (상담)","")))</f>
        <v/>
      </c>
      <c r="AH822" s="56" t="str">
        <f aca="false">IF(AND($D822&lt;&gt;"",$B822="결제완료",$O822="스마트스토어"),ROUND(N($N822)*설정!$J$6,0),"")</f>
        <v/>
      </c>
      <c r="AI822" s="54" t="str">
        <f aca="false">IF($D822="","",ROW())</f>
        <v/>
      </c>
      <c r="AJ822" s="54" t="n">
        <f aca="false">IF(OR($AC822&lt;&gt;1,$M822=""),0,IF(ISNUMBER(SEARCH("퇴사",IFERROR(INDEX(강사DB!$G$4:$G$53,MATCH($M822,강사DB!$A$4:$A$53,0)),""))),1,0))</f>
        <v>0</v>
      </c>
    </row>
    <row r="823" customFormat="false" ht="15" hidden="false" customHeight="false" outlineLevel="0" collapsed="false">
      <c r="A823" s="45" t="str">
        <f aca="false">IF($D823="","",COUNTA($D$5:$D823))</f>
        <v/>
      </c>
      <c r="B823" s="46"/>
      <c r="C823" s="47"/>
      <c r="D823" s="48"/>
      <c r="E823" s="48"/>
      <c r="F823" s="49"/>
      <c r="G823" s="47"/>
      <c r="H823" s="50"/>
      <c r="I823" s="50"/>
      <c r="J823" s="51" t="str">
        <f aca="false">IF(OR($V823="",$W823=""),"",ROUND(($W823-$V823)/60,2))</f>
        <v/>
      </c>
      <c r="K823" s="52" t="str">
        <f aca="false">IF($F823="","",LEN($F823)-LEN(SUBSTITUTE($F823,",",""))+1)</f>
        <v/>
      </c>
      <c r="L823" s="45" t="str">
        <f aca="false">IF($K823="","","1:"&amp;$K823)</f>
        <v/>
      </c>
      <c r="M823" s="46"/>
      <c r="N823" s="53"/>
      <c r="O823" s="46"/>
      <c r="P823" s="47"/>
      <c r="Q823" s="48"/>
      <c r="R823" s="49"/>
      <c r="S823" s="54" t="str">
        <f aca="false">IF(OR($AC823=0,$U823="",$M823="",$V823="",$W823=""),"",IF(COUNTIFS(m_teacher,$M823,m_date,$U823,m_active,1,m_start,"&lt;"&amp;$W823,m_end,"&gt;"&amp;$V823)&gt;1,"충돌",""))</f>
        <v/>
      </c>
      <c r="T823" s="48"/>
      <c r="U823" s="55" t="str">
        <f aca="false">IF($G823="","",IFERROR(IF(ISNUMBER($G823),IF($G823&gt;19000000,DATE(INT($G823/10000),MOD(INT($G823/100),100),MOD($G823,100)),INT($G823)),IF(LEN(SUBSTITUTE(SUBSTITUTE(SUBSTITUTE(TRIM($G823),"-",""),".",""),"/",""))=8,DATE(VALUE(LEFT(SUBSTITUTE(SUBSTITUTE(SUBSTITUTE(TRIM($G823),"-",""),".",""),"/",""),4)),VALUE(MID(SUBSTITUTE(SUBSTITUTE(SUBSTITUTE(TRIM($G823),"-",""),".",""),"/",""),5,2)),VALUE(RIGHT(SUBSTITUTE(SUBSTITUTE(SUBSTITUTE(TRIM($G823),"-",""),".",""),"/",""),2))),DATEVALUE($G823))),""))</f>
        <v/>
      </c>
      <c r="V823" s="52" t="str">
        <f aca="false">IF($H823="","",IFERROR(IF(IF(ISNUMBER($H823),$H823,IFERROR(TIMEVALUE($H823),VALUE($H823)))&gt;=100,INT(IF(ISNUMBER($H823),$H823,IFERROR(TIMEVALUE($H823),VALUE($H823)))/100)*60+MOD(IF(ISNUMBER($H823),$H823,IFERROR(TIMEVALUE($H823),VALUE($H823))),100),IF(IF(ISNUMBER($H823),$H823,IFERROR(TIMEVALUE($H823),VALUE($H823)))&gt;=1,ROUND(IF(ISNUMBER($H823),$H823,IFERROR(TIMEVALUE($H823),VALUE($H823)))*60,0),ROUND(MOD(IF(ISNUMBER($H823),$H823,IFERROR(TIMEVALUE($H823),VALUE($H823))),1)*1440,0))),""))</f>
        <v/>
      </c>
      <c r="W823" s="52" t="str">
        <f aca="false">IF($I823="","",IFERROR(IF(IF(ISNUMBER($I823),$I823,IFERROR(TIMEVALUE($I823),VALUE($I823)))&gt;=100,INT(IF(ISNUMBER($I823),$I823,IFERROR(TIMEVALUE($I823),VALUE($I823)))/100)*60+MOD(IF(ISNUMBER($I823),$I823,IFERROR(TIMEVALUE($I823),VALUE($I823))),100),IF(IF(ISNUMBER($I823),$I823,IFERROR(TIMEVALUE($I823),VALUE($I823)))&gt;=1,ROUND(IF(ISNUMBER($I823),$I823,IFERROR(TIMEVALUE($I823),VALUE($I823)))*60,0),ROUND(MOD(IF(ISNUMBER($I823),$I823,IFERROR(TIMEVALUE($I823),VALUE($I823))),1)*1440,0))),""))</f>
        <v/>
      </c>
      <c r="X823" s="55" t="str">
        <f aca="false">IF($P823="","",IFERROR(IF(ISNUMBER($P823),IF($P823&gt;19000000,DATE(INT($P823/10000),MOD(INT($P823/100),100),MOD($P823,100)),INT($P823)),IF(LEN(SUBSTITUTE(SUBSTITUTE(SUBSTITUTE(TRIM($P823),"-",""),".",""),"/",""))=8,DATE(VALUE(LEFT(SUBSTITUTE(SUBSTITUTE(SUBSTITUTE(TRIM($P823),"-",""),".",""),"/",""),4)),VALUE(MID(SUBSTITUTE(SUBSTITUTE(SUBSTITUTE(TRIM($P823),"-",""),".",""),"/",""),5,2)),VALUE(RIGHT(SUBSTITUTE(SUBSTITUTE(SUBSTITUTE(TRIM($P823),"-",""),".",""),"/",""),2))),DATEVALUE($P823))),""))</f>
        <v/>
      </c>
      <c r="Y823" s="56" t="str">
        <f aca="false">IF($M823="","",IFERROR(INDEX(강사DB!$D$4:$D$53,MATCH($M823,강사DB!$A$4:$A$53,0)),""))</f>
        <v/>
      </c>
      <c r="Z823" s="56" t="str">
        <f aca="false">IF($B823&lt;&gt;"결제완료","",IF(OR($Y823="",$J823=""),"",$Y823*$J823+MAX(0,N($K823)-1)*설정!$J$7))</f>
        <v/>
      </c>
      <c r="AA823" s="56" t="str">
        <f aca="false">IF(AND($D823&lt;&gt;"",$B823="결제완료"),N($N823),"")</f>
        <v/>
      </c>
      <c r="AB823" s="45" t="str">
        <f aca="false">IF($D823="","",IF($F823&lt;&gt;"",$F823,$D823)&amp;IF($B823="상담중"," (상담)",""))</f>
        <v/>
      </c>
      <c r="AC823" s="45" t="n">
        <f aca="false">IF(AND($D823&lt;&gt;"",OR($B823="결제완료",$B823="상담중")),1,0)</f>
        <v>0</v>
      </c>
      <c r="AD823" s="45" t="n">
        <f aca="false">IF(OR($Z823="",$U823=""),0,IFERROR(IF(COUNTIFS(INDEX(g_grid,0,2*MATCH($M823,강사DB!$A$4:$A$15,0)),"&lt;&gt;",g_s,"&lt;="&amp;$U823,g_e,"&gt;="&amp;$U823)&gt;0,1,0),0))</f>
        <v>0</v>
      </c>
      <c r="AE823" s="48"/>
      <c r="AF823" s="56" t="str">
        <f aca="false">IF(AND($D823&lt;&gt;"",$B823="결제완료",$T823="대여"),설정!$J$5,"")</f>
        <v/>
      </c>
      <c r="AG823" s="54" t="str">
        <f aca="false">IF($D823="","",IF(AND($E823="",$R823=""),$AB823,"☎ "&amp;IF($E823="","-",$E823)&amp;IF($R823&lt;&gt;"","  ※ "&amp;$R823,"")&amp;IF($B823="상담중"," (상담)","")))</f>
        <v/>
      </c>
      <c r="AH823" s="56" t="str">
        <f aca="false">IF(AND($D823&lt;&gt;"",$B823="결제완료",$O823="스마트스토어"),ROUND(N($N823)*설정!$J$6,0),"")</f>
        <v/>
      </c>
      <c r="AI823" s="54" t="str">
        <f aca="false">IF($D823="","",ROW())</f>
        <v/>
      </c>
      <c r="AJ823" s="54" t="n">
        <f aca="false">IF(OR($AC823&lt;&gt;1,$M823=""),0,IF(ISNUMBER(SEARCH("퇴사",IFERROR(INDEX(강사DB!$G$4:$G$53,MATCH($M823,강사DB!$A$4:$A$53,0)),""))),1,0))</f>
        <v>0</v>
      </c>
    </row>
    <row r="824" customFormat="false" ht="15" hidden="false" customHeight="false" outlineLevel="0" collapsed="false">
      <c r="A824" s="45" t="str">
        <f aca="false">IF($D824="","",COUNTA($D$5:$D824))</f>
        <v/>
      </c>
      <c r="B824" s="46"/>
      <c r="C824" s="47"/>
      <c r="D824" s="48"/>
      <c r="E824" s="48"/>
      <c r="F824" s="49"/>
      <c r="G824" s="47"/>
      <c r="H824" s="50"/>
      <c r="I824" s="50"/>
      <c r="J824" s="51" t="str">
        <f aca="false">IF(OR($V824="",$W824=""),"",ROUND(($W824-$V824)/60,2))</f>
        <v/>
      </c>
      <c r="K824" s="52" t="str">
        <f aca="false">IF($F824="","",LEN($F824)-LEN(SUBSTITUTE($F824,",",""))+1)</f>
        <v/>
      </c>
      <c r="L824" s="45" t="str">
        <f aca="false">IF($K824="","","1:"&amp;$K824)</f>
        <v/>
      </c>
      <c r="M824" s="46"/>
      <c r="N824" s="53"/>
      <c r="O824" s="46"/>
      <c r="P824" s="47"/>
      <c r="Q824" s="48"/>
      <c r="R824" s="49"/>
      <c r="S824" s="54" t="str">
        <f aca="false">IF(OR($AC824=0,$U824="",$M824="",$V824="",$W824=""),"",IF(COUNTIFS(m_teacher,$M824,m_date,$U824,m_active,1,m_start,"&lt;"&amp;$W824,m_end,"&gt;"&amp;$V824)&gt;1,"충돌",""))</f>
        <v/>
      </c>
      <c r="T824" s="48"/>
      <c r="U824" s="55" t="str">
        <f aca="false">IF($G824="","",IFERROR(IF(ISNUMBER($G824),IF($G824&gt;19000000,DATE(INT($G824/10000),MOD(INT($G824/100),100),MOD($G824,100)),INT($G824)),IF(LEN(SUBSTITUTE(SUBSTITUTE(SUBSTITUTE(TRIM($G824),"-",""),".",""),"/",""))=8,DATE(VALUE(LEFT(SUBSTITUTE(SUBSTITUTE(SUBSTITUTE(TRIM($G824),"-",""),".",""),"/",""),4)),VALUE(MID(SUBSTITUTE(SUBSTITUTE(SUBSTITUTE(TRIM($G824),"-",""),".",""),"/",""),5,2)),VALUE(RIGHT(SUBSTITUTE(SUBSTITUTE(SUBSTITUTE(TRIM($G824),"-",""),".",""),"/",""),2))),DATEVALUE($G824))),""))</f>
        <v/>
      </c>
      <c r="V824" s="52" t="str">
        <f aca="false">IF($H824="","",IFERROR(IF(IF(ISNUMBER($H824),$H824,IFERROR(TIMEVALUE($H824),VALUE($H824)))&gt;=100,INT(IF(ISNUMBER($H824),$H824,IFERROR(TIMEVALUE($H824),VALUE($H824)))/100)*60+MOD(IF(ISNUMBER($H824),$H824,IFERROR(TIMEVALUE($H824),VALUE($H824))),100),IF(IF(ISNUMBER($H824),$H824,IFERROR(TIMEVALUE($H824),VALUE($H824)))&gt;=1,ROUND(IF(ISNUMBER($H824),$H824,IFERROR(TIMEVALUE($H824),VALUE($H824)))*60,0),ROUND(MOD(IF(ISNUMBER($H824),$H824,IFERROR(TIMEVALUE($H824),VALUE($H824))),1)*1440,0))),""))</f>
        <v/>
      </c>
      <c r="W824" s="52" t="str">
        <f aca="false">IF($I824="","",IFERROR(IF(IF(ISNUMBER($I824),$I824,IFERROR(TIMEVALUE($I824),VALUE($I824)))&gt;=100,INT(IF(ISNUMBER($I824),$I824,IFERROR(TIMEVALUE($I824),VALUE($I824)))/100)*60+MOD(IF(ISNUMBER($I824),$I824,IFERROR(TIMEVALUE($I824),VALUE($I824))),100),IF(IF(ISNUMBER($I824),$I824,IFERROR(TIMEVALUE($I824),VALUE($I824)))&gt;=1,ROUND(IF(ISNUMBER($I824),$I824,IFERROR(TIMEVALUE($I824),VALUE($I824)))*60,0),ROUND(MOD(IF(ISNUMBER($I824),$I824,IFERROR(TIMEVALUE($I824),VALUE($I824))),1)*1440,0))),""))</f>
        <v/>
      </c>
      <c r="X824" s="55" t="str">
        <f aca="false">IF($P824="","",IFERROR(IF(ISNUMBER($P824),IF($P824&gt;19000000,DATE(INT($P824/10000),MOD(INT($P824/100),100),MOD($P824,100)),INT($P824)),IF(LEN(SUBSTITUTE(SUBSTITUTE(SUBSTITUTE(TRIM($P824),"-",""),".",""),"/",""))=8,DATE(VALUE(LEFT(SUBSTITUTE(SUBSTITUTE(SUBSTITUTE(TRIM($P824),"-",""),".",""),"/",""),4)),VALUE(MID(SUBSTITUTE(SUBSTITUTE(SUBSTITUTE(TRIM($P824),"-",""),".",""),"/",""),5,2)),VALUE(RIGHT(SUBSTITUTE(SUBSTITUTE(SUBSTITUTE(TRIM($P824),"-",""),".",""),"/",""),2))),DATEVALUE($P824))),""))</f>
        <v/>
      </c>
      <c r="Y824" s="56" t="str">
        <f aca="false">IF($M824="","",IFERROR(INDEX(강사DB!$D$4:$D$53,MATCH($M824,강사DB!$A$4:$A$53,0)),""))</f>
        <v/>
      </c>
      <c r="Z824" s="56" t="str">
        <f aca="false">IF($B824&lt;&gt;"결제완료","",IF(OR($Y824="",$J824=""),"",$Y824*$J824+MAX(0,N($K824)-1)*설정!$J$7))</f>
        <v/>
      </c>
      <c r="AA824" s="56" t="str">
        <f aca="false">IF(AND($D824&lt;&gt;"",$B824="결제완료"),N($N824),"")</f>
        <v/>
      </c>
      <c r="AB824" s="45" t="str">
        <f aca="false">IF($D824="","",IF($F824&lt;&gt;"",$F824,$D824)&amp;IF($B824="상담중"," (상담)",""))</f>
        <v/>
      </c>
      <c r="AC824" s="45" t="n">
        <f aca="false">IF(AND($D824&lt;&gt;"",OR($B824="결제완료",$B824="상담중")),1,0)</f>
        <v>0</v>
      </c>
      <c r="AD824" s="45" t="n">
        <f aca="false">IF(OR($Z824="",$U824=""),0,IFERROR(IF(COUNTIFS(INDEX(g_grid,0,2*MATCH($M824,강사DB!$A$4:$A$15,0)),"&lt;&gt;",g_s,"&lt;="&amp;$U824,g_e,"&gt;="&amp;$U824)&gt;0,1,0),0))</f>
        <v>0</v>
      </c>
      <c r="AE824" s="48"/>
      <c r="AF824" s="56" t="str">
        <f aca="false">IF(AND($D824&lt;&gt;"",$B824="결제완료",$T824="대여"),설정!$J$5,"")</f>
        <v/>
      </c>
      <c r="AG824" s="54" t="str">
        <f aca="false">IF($D824="","",IF(AND($E824="",$R824=""),$AB824,"☎ "&amp;IF($E824="","-",$E824)&amp;IF($R824&lt;&gt;"","  ※ "&amp;$R824,"")&amp;IF($B824="상담중"," (상담)","")))</f>
        <v/>
      </c>
      <c r="AH824" s="56" t="str">
        <f aca="false">IF(AND($D824&lt;&gt;"",$B824="결제완료",$O824="스마트스토어"),ROUND(N($N824)*설정!$J$6,0),"")</f>
        <v/>
      </c>
      <c r="AI824" s="54" t="str">
        <f aca="false">IF($D824="","",ROW())</f>
        <v/>
      </c>
      <c r="AJ824" s="54" t="n">
        <f aca="false">IF(OR($AC824&lt;&gt;1,$M824=""),0,IF(ISNUMBER(SEARCH("퇴사",IFERROR(INDEX(강사DB!$G$4:$G$53,MATCH($M824,강사DB!$A$4:$A$53,0)),""))),1,0))</f>
        <v>0</v>
      </c>
    </row>
    <row r="825" customFormat="false" ht="15" hidden="false" customHeight="false" outlineLevel="0" collapsed="false">
      <c r="A825" s="45" t="str">
        <f aca="false">IF($D825="","",COUNTA($D$5:$D825))</f>
        <v/>
      </c>
      <c r="B825" s="46"/>
      <c r="C825" s="47"/>
      <c r="D825" s="48"/>
      <c r="E825" s="48"/>
      <c r="F825" s="49"/>
      <c r="G825" s="47"/>
      <c r="H825" s="50"/>
      <c r="I825" s="50"/>
      <c r="J825" s="51" t="str">
        <f aca="false">IF(OR($V825="",$W825=""),"",ROUND(($W825-$V825)/60,2))</f>
        <v/>
      </c>
      <c r="K825" s="52" t="str">
        <f aca="false">IF($F825="","",LEN($F825)-LEN(SUBSTITUTE($F825,",",""))+1)</f>
        <v/>
      </c>
      <c r="L825" s="45" t="str">
        <f aca="false">IF($K825="","","1:"&amp;$K825)</f>
        <v/>
      </c>
      <c r="M825" s="46"/>
      <c r="N825" s="53"/>
      <c r="O825" s="46"/>
      <c r="P825" s="47"/>
      <c r="Q825" s="48"/>
      <c r="R825" s="49"/>
      <c r="S825" s="54" t="str">
        <f aca="false">IF(OR($AC825=0,$U825="",$M825="",$V825="",$W825=""),"",IF(COUNTIFS(m_teacher,$M825,m_date,$U825,m_active,1,m_start,"&lt;"&amp;$W825,m_end,"&gt;"&amp;$V825)&gt;1,"충돌",""))</f>
        <v/>
      </c>
      <c r="T825" s="48"/>
      <c r="U825" s="55" t="str">
        <f aca="false">IF($G825="","",IFERROR(IF(ISNUMBER($G825),IF($G825&gt;19000000,DATE(INT($G825/10000),MOD(INT($G825/100),100),MOD($G825,100)),INT($G825)),IF(LEN(SUBSTITUTE(SUBSTITUTE(SUBSTITUTE(TRIM($G825),"-",""),".",""),"/",""))=8,DATE(VALUE(LEFT(SUBSTITUTE(SUBSTITUTE(SUBSTITUTE(TRIM($G825),"-",""),".",""),"/",""),4)),VALUE(MID(SUBSTITUTE(SUBSTITUTE(SUBSTITUTE(TRIM($G825),"-",""),".",""),"/",""),5,2)),VALUE(RIGHT(SUBSTITUTE(SUBSTITUTE(SUBSTITUTE(TRIM($G825),"-",""),".",""),"/",""),2))),DATEVALUE($G825))),""))</f>
        <v/>
      </c>
      <c r="V825" s="52" t="str">
        <f aca="false">IF($H825="","",IFERROR(IF(IF(ISNUMBER($H825),$H825,IFERROR(TIMEVALUE($H825),VALUE($H825)))&gt;=100,INT(IF(ISNUMBER($H825),$H825,IFERROR(TIMEVALUE($H825),VALUE($H825)))/100)*60+MOD(IF(ISNUMBER($H825),$H825,IFERROR(TIMEVALUE($H825),VALUE($H825))),100),IF(IF(ISNUMBER($H825),$H825,IFERROR(TIMEVALUE($H825),VALUE($H825)))&gt;=1,ROUND(IF(ISNUMBER($H825),$H825,IFERROR(TIMEVALUE($H825),VALUE($H825)))*60,0),ROUND(MOD(IF(ISNUMBER($H825),$H825,IFERROR(TIMEVALUE($H825),VALUE($H825))),1)*1440,0))),""))</f>
        <v/>
      </c>
      <c r="W825" s="52" t="str">
        <f aca="false">IF($I825="","",IFERROR(IF(IF(ISNUMBER($I825),$I825,IFERROR(TIMEVALUE($I825),VALUE($I825)))&gt;=100,INT(IF(ISNUMBER($I825),$I825,IFERROR(TIMEVALUE($I825),VALUE($I825)))/100)*60+MOD(IF(ISNUMBER($I825),$I825,IFERROR(TIMEVALUE($I825),VALUE($I825))),100),IF(IF(ISNUMBER($I825),$I825,IFERROR(TIMEVALUE($I825),VALUE($I825)))&gt;=1,ROUND(IF(ISNUMBER($I825),$I825,IFERROR(TIMEVALUE($I825),VALUE($I825)))*60,0),ROUND(MOD(IF(ISNUMBER($I825),$I825,IFERROR(TIMEVALUE($I825),VALUE($I825))),1)*1440,0))),""))</f>
        <v/>
      </c>
      <c r="X825" s="55" t="str">
        <f aca="false">IF($P825="","",IFERROR(IF(ISNUMBER($P825),IF($P825&gt;19000000,DATE(INT($P825/10000),MOD(INT($P825/100),100),MOD($P825,100)),INT($P825)),IF(LEN(SUBSTITUTE(SUBSTITUTE(SUBSTITUTE(TRIM($P825),"-",""),".",""),"/",""))=8,DATE(VALUE(LEFT(SUBSTITUTE(SUBSTITUTE(SUBSTITUTE(TRIM($P825),"-",""),".",""),"/",""),4)),VALUE(MID(SUBSTITUTE(SUBSTITUTE(SUBSTITUTE(TRIM($P825),"-",""),".",""),"/",""),5,2)),VALUE(RIGHT(SUBSTITUTE(SUBSTITUTE(SUBSTITUTE(TRIM($P825),"-",""),".",""),"/",""),2))),DATEVALUE($P825))),""))</f>
        <v/>
      </c>
      <c r="Y825" s="56" t="str">
        <f aca="false">IF($M825="","",IFERROR(INDEX(강사DB!$D$4:$D$53,MATCH($M825,강사DB!$A$4:$A$53,0)),""))</f>
        <v/>
      </c>
      <c r="Z825" s="56" t="str">
        <f aca="false">IF($B825&lt;&gt;"결제완료","",IF(OR($Y825="",$J825=""),"",$Y825*$J825+MAX(0,N($K825)-1)*설정!$J$7))</f>
        <v/>
      </c>
      <c r="AA825" s="56" t="str">
        <f aca="false">IF(AND($D825&lt;&gt;"",$B825="결제완료"),N($N825),"")</f>
        <v/>
      </c>
      <c r="AB825" s="45" t="str">
        <f aca="false">IF($D825="","",IF($F825&lt;&gt;"",$F825,$D825)&amp;IF($B825="상담중"," (상담)",""))</f>
        <v/>
      </c>
      <c r="AC825" s="45" t="n">
        <f aca="false">IF(AND($D825&lt;&gt;"",OR($B825="결제완료",$B825="상담중")),1,0)</f>
        <v>0</v>
      </c>
      <c r="AD825" s="45" t="n">
        <f aca="false">IF(OR($Z825="",$U825=""),0,IFERROR(IF(COUNTIFS(INDEX(g_grid,0,2*MATCH($M825,강사DB!$A$4:$A$15,0)),"&lt;&gt;",g_s,"&lt;="&amp;$U825,g_e,"&gt;="&amp;$U825)&gt;0,1,0),0))</f>
        <v>0</v>
      </c>
      <c r="AE825" s="48"/>
      <c r="AF825" s="56" t="str">
        <f aca="false">IF(AND($D825&lt;&gt;"",$B825="결제완료",$T825="대여"),설정!$J$5,"")</f>
        <v/>
      </c>
      <c r="AG825" s="54" t="str">
        <f aca="false">IF($D825="","",IF(AND($E825="",$R825=""),$AB825,"☎ "&amp;IF($E825="","-",$E825)&amp;IF($R825&lt;&gt;"","  ※ "&amp;$R825,"")&amp;IF($B825="상담중"," (상담)","")))</f>
        <v/>
      </c>
      <c r="AH825" s="56" t="str">
        <f aca="false">IF(AND($D825&lt;&gt;"",$B825="결제완료",$O825="스마트스토어"),ROUND(N($N825)*설정!$J$6,0),"")</f>
        <v/>
      </c>
      <c r="AI825" s="54" t="str">
        <f aca="false">IF($D825="","",ROW())</f>
        <v/>
      </c>
      <c r="AJ825" s="54" t="n">
        <f aca="false">IF(OR($AC825&lt;&gt;1,$M825=""),0,IF(ISNUMBER(SEARCH("퇴사",IFERROR(INDEX(강사DB!$G$4:$G$53,MATCH($M825,강사DB!$A$4:$A$53,0)),""))),1,0))</f>
        <v>0</v>
      </c>
    </row>
    <row r="826" customFormat="false" ht="15" hidden="false" customHeight="false" outlineLevel="0" collapsed="false">
      <c r="A826" s="45" t="str">
        <f aca="false">IF($D826="","",COUNTA($D$5:$D826))</f>
        <v/>
      </c>
      <c r="B826" s="46"/>
      <c r="C826" s="47"/>
      <c r="D826" s="48"/>
      <c r="E826" s="48"/>
      <c r="F826" s="49"/>
      <c r="G826" s="47"/>
      <c r="H826" s="50"/>
      <c r="I826" s="50"/>
      <c r="J826" s="51" t="str">
        <f aca="false">IF(OR($V826="",$W826=""),"",ROUND(($W826-$V826)/60,2))</f>
        <v/>
      </c>
      <c r="K826" s="52" t="str">
        <f aca="false">IF($F826="","",LEN($F826)-LEN(SUBSTITUTE($F826,",",""))+1)</f>
        <v/>
      </c>
      <c r="L826" s="45" t="str">
        <f aca="false">IF($K826="","","1:"&amp;$K826)</f>
        <v/>
      </c>
      <c r="M826" s="46"/>
      <c r="N826" s="53"/>
      <c r="O826" s="46"/>
      <c r="P826" s="47"/>
      <c r="Q826" s="48"/>
      <c r="R826" s="49"/>
      <c r="S826" s="54" t="str">
        <f aca="false">IF(OR($AC826=0,$U826="",$M826="",$V826="",$W826=""),"",IF(COUNTIFS(m_teacher,$M826,m_date,$U826,m_active,1,m_start,"&lt;"&amp;$W826,m_end,"&gt;"&amp;$V826)&gt;1,"충돌",""))</f>
        <v/>
      </c>
      <c r="T826" s="48"/>
      <c r="U826" s="55" t="str">
        <f aca="false">IF($G826="","",IFERROR(IF(ISNUMBER($G826),IF($G826&gt;19000000,DATE(INT($G826/10000),MOD(INT($G826/100),100),MOD($G826,100)),INT($G826)),IF(LEN(SUBSTITUTE(SUBSTITUTE(SUBSTITUTE(TRIM($G826),"-",""),".",""),"/",""))=8,DATE(VALUE(LEFT(SUBSTITUTE(SUBSTITUTE(SUBSTITUTE(TRIM($G826),"-",""),".",""),"/",""),4)),VALUE(MID(SUBSTITUTE(SUBSTITUTE(SUBSTITUTE(TRIM($G826),"-",""),".",""),"/",""),5,2)),VALUE(RIGHT(SUBSTITUTE(SUBSTITUTE(SUBSTITUTE(TRIM($G826),"-",""),".",""),"/",""),2))),DATEVALUE($G826))),""))</f>
        <v/>
      </c>
      <c r="V826" s="52" t="str">
        <f aca="false">IF($H826="","",IFERROR(IF(IF(ISNUMBER($H826),$H826,IFERROR(TIMEVALUE($H826),VALUE($H826)))&gt;=100,INT(IF(ISNUMBER($H826),$H826,IFERROR(TIMEVALUE($H826),VALUE($H826)))/100)*60+MOD(IF(ISNUMBER($H826),$H826,IFERROR(TIMEVALUE($H826),VALUE($H826))),100),IF(IF(ISNUMBER($H826),$H826,IFERROR(TIMEVALUE($H826),VALUE($H826)))&gt;=1,ROUND(IF(ISNUMBER($H826),$H826,IFERROR(TIMEVALUE($H826),VALUE($H826)))*60,0),ROUND(MOD(IF(ISNUMBER($H826),$H826,IFERROR(TIMEVALUE($H826),VALUE($H826))),1)*1440,0))),""))</f>
        <v/>
      </c>
      <c r="W826" s="52" t="str">
        <f aca="false">IF($I826="","",IFERROR(IF(IF(ISNUMBER($I826),$I826,IFERROR(TIMEVALUE($I826),VALUE($I826)))&gt;=100,INT(IF(ISNUMBER($I826),$I826,IFERROR(TIMEVALUE($I826),VALUE($I826)))/100)*60+MOD(IF(ISNUMBER($I826),$I826,IFERROR(TIMEVALUE($I826),VALUE($I826))),100),IF(IF(ISNUMBER($I826),$I826,IFERROR(TIMEVALUE($I826),VALUE($I826)))&gt;=1,ROUND(IF(ISNUMBER($I826),$I826,IFERROR(TIMEVALUE($I826),VALUE($I826)))*60,0),ROUND(MOD(IF(ISNUMBER($I826),$I826,IFERROR(TIMEVALUE($I826),VALUE($I826))),1)*1440,0))),""))</f>
        <v/>
      </c>
      <c r="X826" s="55" t="str">
        <f aca="false">IF($P826="","",IFERROR(IF(ISNUMBER($P826),IF($P826&gt;19000000,DATE(INT($P826/10000),MOD(INT($P826/100),100),MOD($P826,100)),INT($P826)),IF(LEN(SUBSTITUTE(SUBSTITUTE(SUBSTITUTE(TRIM($P826),"-",""),".",""),"/",""))=8,DATE(VALUE(LEFT(SUBSTITUTE(SUBSTITUTE(SUBSTITUTE(TRIM($P826),"-",""),".",""),"/",""),4)),VALUE(MID(SUBSTITUTE(SUBSTITUTE(SUBSTITUTE(TRIM($P826),"-",""),".",""),"/",""),5,2)),VALUE(RIGHT(SUBSTITUTE(SUBSTITUTE(SUBSTITUTE(TRIM($P826),"-",""),".",""),"/",""),2))),DATEVALUE($P826))),""))</f>
        <v/>
      </c>
      <c r="Y826" s="56" t="str">
        <f aca="false">IF($M826="","",IFERROR(INDEX(강사DB!$D$4:$D$53,MATCH($M826,강사DB!$A$4:$A$53,0)),""))</f>
        <v/>
      </c>
      <c r="Z826" s="56" t="str">
        <f aca="false">IF($B826&lt;&gt;"결제완료","",IF(OR($Y826="",$J826=""),"",$Y826*$J826+MAX(0,N($K826)-1)*설정!$J$7))</f>
        <v/>
      </c>
      <c r="AA826" s="56" t="str">
        <f aca="false">IF(AND($D826&lt;&gt;"",$B826="결제완료"),N($N826),"")</f>
        <v/>
      </c>
      <c r="AB826" s="45" t="str">
        <f aca="false">IF($D826="","",IF($F826&lt;&gt;"",$F826,$D826)&amp;IF($B826="상담중"," (상담)",""))</f>
        <v/>
      </c>
      <c r="AC826" s="45" t="n">
        <f aca="false">IF(AND($D826&lt;&gt;"",OR($B826="결제완료",$B826="상담중")),1,0)</f>
        <v>0</v>
      </c>
      <c r="AD826" s="45" t="n">
        <f aca="false">IF(OR($Z826="",$U826=""),0,IFERROR(IF(COUNTIFS(INDEX(g_grid,0,2*MATCH($M826,강사DB!$A$4:$A$15,0)),"&lt;&gt;",g_s,"&lt;="&amp;$U826,g_e,"&gt;="&amp;$U826)&gt;0,1,0),0))</f>
        <v>0</v>
      </c>
      <c r="AE826" s="48"/>
      <c r="AF826" s="56" t="str">
        <f aca="false">IF(AND($D826&lt;&gt;"",$B826="결제완료",$T826="대여"),설정!$J$5,"")</f>
        <v/>
      </c>
      <c r="AG826" s="54" t="str">
        <f aca="false">IF($D826="","",IF(AND($E826="",$R826=""),$AB826,"☎ "&amp;IF($E826="","-",$E826)&amp;IF($R826&lt;&gt;"","  ※ "&amp;$R826,"")&amp;IF($B826="상담중"," (상담)","")))</f>
        <v/>
      </c>
      <c r="AH826" s="56" t="str">
        <f aca="false">IF(AND($D826&lt;&gt;"",$B826="결제완료",$O826="스마트스토어"),ROUND(N($N826)*설정!$J$6,0),"")</f>
        <v/>
      </c>
      <c r="AI826" s="54" t="str">
        <f aca="false">IF($D826="","",ROW())</f>
        <v/>
      </c>
      <c r="AJ826" s="54" t="n">
        <f aca="false">IF(OR($AC826&lt;&gt;1,$M826=""),0,IF(ISNUMBER(SEARCH("퇴사",IFERROR(INDEX(강사DB!$G$4:$G$53,MATCH($M826,강사DB!$A$4:$A$53,0)),""))),1,0))</f>
        <v>0</v>
      </c>
    </row>
    <row r="827" customFormat="false" ht="15" hidden="false" customHeight="false" outlineLevel="0" collapsed="false">
      <c r="A827" s="45" t="str">
        <f aca="false">IF($D827="","",COUNTA($D$5:$D827))</f>
        <v/>
      </c>
      <c r="B827" s="46"/>
      <c r="C827" s="47"/>
      <c r="D827" s="48"/>
      <c r="E827" s="48"/>
      <c r="F827" s="49"/>
      <c r="G827" s="47"/>
      <c r="H827" s="50"/>
      <c r="I827" s="50"/>
      <c r="J827" s="51" t="str">
        <f aca="false">IF(OR($V827="",$W827=""),"",ROUND(($W827-$V827)/60,2))</f>
        <v/>
      </c>
      <c r="K827" s="52" t="str">
        <f aca="false">IF($F827="","",LEN($F827)-LEN(SUBSTITUTE($F827,",",""))+1)</f>
        <v/>
      </c>
      <c r="L827" s="45" t="str">
        <f aca="false">IF($K827="","","1:"&amp;$K827)</f>
        <v/>
      </c>
      <c r="M827" s="46"/>
      <c r="N827" s="53"/>
      <c r="O827" s="46"/>
      <c r="P827" s="47"/>
      <c r="Q827" s="48"/>
      <c r="R827" s="49"/>
      <c r="S827" s="54" t="str">
        <f aca="false">IF(OR($AC827=0,$U827="",$M827="",$V827="",$W827=""),"",IF(COUNTIFS(m_teacher,$M827,m_date,$U827,m_active,1,m_start,"&lt;"&amp;$W827,m_end,"&gt;"&amp;$V827)&gt;1,"충돌",""))</f>
        <v/>
      </c>
      <c r="T827" s="48"/>
      <c r="U827" s="55" t="str">
        <f aca="false">IF($G827="","",IFERROR(IF(ISNUMBER($G827),IF($G827&gt;19000000,DATE(INT($G827/10000),MOD(INT($G827/100),100),MOD($G827,100)),INT($G827)),IF(LEN(SUBSTITUTE(SUBSTITUTE(SUBSTITUTE(TRIM($G827),"-",""),".",""),"/",""))=8,DATE(VALUE(LEFT(SUBSTITUTE(SUBSTITUTE(SUBSTITUTE(TRIM($G827),"-",""),".",""),"/",""),4)),VALUE(MID(SUBSTITUTE(SUBSTITUTE(SUBSTITUTE(TRIM($G827),"-",""),".",""),"/",""),5,2)),VALUE(RIGHT(SUBSTITUTE(SUBSTITUTE(SUBSTITUTE(TRIM($G827),"-",""),".",""),"/",""),2))),DATEVALUE($G827))),""))</f>
        <v/>
      </c>
      <c r="V827" s="52" t="str">
        <f aca="false">IF($H827="","",IFERROR(IF(IF(ISNUMBER($H827),$H827,IFERROR(TIMEVALUE($H827),VALUE($H827)))&gt;=100,INT(IF(ISNUMBER($H827),$H827,IFERROR(TIMEVALUE($H827),VALUE($H827)))/100)*60+MOD(IF(ISNUMBER($H827),$H827,IFERROR(TIMEVALUE($H827),VALUE($H827))),100),IF(IF(ISNUMBER($H827),$H827,IFERROR(TIMEVALUE($H827),VALUE($H827)))&gt;=1,ROUND(IF(ISNUMBER($H827),$H827,IFERROR(TIMEVALUE($H827),VALUE($H827)))*60,0),ROUND(MOD(IF(ISNUMBER($H827),$H827,IFERROR(TIMEVALUE($H827),VALUE($H827))),1)*1440,0))),""))</f>
        <v/>
      </c>
      <c r="W827" s="52" t="str">
        <f aca="false">IF($I827="","",IFERROR(IF(IF(ISNUMBER($I827),$I827,IFERROR(TIMEVALUE($I827),VALUE($I827)))&gt;=100,INT(IF(ISNUMBER($I827),$I827,IFERROR(TIMEVALUE($I827),VALUE($I827)))/100)*60+MOD(IF(ISNUMBER($I827),$I827,IFERROR(TIMEVALUE($I827),VALUE($I827))),100),IF(IF(ISNUMBER($I827),$I827,IFERROR(TIMEVALUE($I827),VALUE($I827)))&gt;=1,ROUND(IF(ISNUMBER($I827),$I827,IFERROR(TIMEVALUE($I827),VALUE($I827)))*60,0),ROUND(MOD(IF(ISNUMBER($I827),$I827,IFERROR(TIMEVALUE($I827),VALUE($I827))),1)*1440,0))),""))</f>
        <v/>
      </c>
      <c r="X827" s="55" t="str">
        <f aca="false">IF($P827="","",IFERROR(IF(ISNUMBER($P827),IF($P827&gt;19000000,DATE(INT($P827/10000),MOD(INT($P827/100),100),MOD($P827,100)),INT($P827)),IF(LEN(SUBSTITUTE(SUBSTITUTE(SUBSTITUTE(TRIM($P827),"-",""),".",""),"/",""))=8,DATE(VALUE(LEFT(SUBSTITUTE(SUBSTITUTE(SUBSTITUTE(TRIM($P827),"-",""),".",""),"/",""),4)),VALUE(MID(SUBSTITUTE(SUBSTITUTE(SUBSTITUTE(TRIM($P827),"-",""),".",""),"/",""),5,2)),VALUE(RIGHT(SUBSTITUTE(SUBSTITUTE(SUBSTITUTE(TRIM($P827),"-",""),".",""),"/",""),2))),DATEVALUE($P827))),""))</f>
        <v/>
      </c>
      <c r="Y827" s="56" t="str">
        <f aca="false">IF($M827="","",IFERROR(INDEX(강사DB!$D$4:$D$53,MATCH($M827,강사DB!$A$4:$A$53,0)),""))</f>
        <v/>
      </c>
      <c r="Z827" s="56" t="str">
        <f aca="false">IF($B827&lt;&gt;"결제완료","",IF(OR($Y827="",$J827=""),"",$Y827*$J827+MAX(0,N($K827)-1)*설정!$J$7))</f>
        <v/>
      </c>
      <c r="AA827" s="56" t="str">
        <f aca="false">IF(AND($D827&lt;&gt;"",$B827="결제완료"),N($N827),"")</f>
        <v/>
      </c>
      <c r="AB827" s="45" t="str">
        <f aca="false">IF($D827="","",IF($F827&lt;&gt;"",$F827,$D827)&amp;IF($B827="상담중"," (상담)",""))</f>
        <v/>
      </c>
      <c r="AC827" s="45" t="n">
        <f aca="false">IF(AND($D827&lt;&gt;"",OR($B827="결제완료",$B827="상담중")),1,0)</f>
        <v>0</v>
      </c>
      <c r="AD827" s="45" t="n">
        <f aca="false">IF(OR($Z827="",$U827=""),0,IFERROR(IF(COUNTIFS(INDEX(g_grid,0,2*MATCH($M827,강사DB!$A$4:$A$15,0)),"&lt;&gt;",g_s,"&lt;="&amp;$U827,g_e,"&gt;="&amp;$U827)&gt;0,1,0),0))</f>
        <v>0</v>
      </c>
      <c r="AE827" s="48"/>
      <c r="AF827" s="56" t="str">
        <f aca="false">IF(AND($D827&lt;&gt;"",$B827="결제완료",$T827="대여"),설정!$J$5,"")</f>
        <v/>
      </c>
      <c r="AG827" s="54" t="str">
        <f aca="false">IF($D827="","",IF(AND($E827="",$R827=""),$AB827,"☎ "&amp;IF($E827="","-",$E827)&amp;IF($R827&lt;&gt;"","  ※ "&amp;$R827,"")&amp;IF($B827="상담중"," (상담)","")))</f>
        <v/>
      </c>
      <c r="AH827" s="56" t="str">
        <f aca="false">IF(AND($D827&lt;&gt;"",$B827="결제완료",$O827="스마트스토어"),ROUND(N($N827)*설정!$J$6,0),"")</f>
        <v/>
      </c>
      <c r="AI827" s="54" t="str">
        <f aca="false">IF($D827="","",ROW())</f>
        <v/>
      </c>
      <c r="AJ827" s="54" t="n">
        <f aca="false">IF(OR($AC827&lt;&gt;1,$M827=""),0,IF(ISNUMBER(SEARCH("퇴사",IFERROR(INDEX(강사DB!$G$4:$G$53,MATCH($M827,강사DB!$A$4:$A$53,0)),""))),1,0))</f>
        <v>0</v>
      </c>
    </row>
    <row r="828" customFormat="false" ht="15" hidden="false" customHeight="false" outlineLevel="0" collapsed="false">
      <c r="A828" s="45" t="str">
        <f aca="false">IF($D828="","",COUNTA($D$5:$D828))</f>
        <v/>
      </c>
      <c r="B828" s="46"/>
      <c r="C828" s="47"/>
      <c r="D828" s="48"/>
      <c r="E828" s="48"/>
      <c r="F828" s="49"/>
      <c r="G828" s="47"/>
      <c r="H828" s="50"/>
      <c r="I828" s="50"/>
      <c r="J828" s="51" t="str">
        <f aca="false">IF(OR($V828="",$W828=""),"",ROUND(($W828-$V828)/60,2))</f>
        <v/>
      </c>
      <c r="K828" s="52" t="str">
        <f aca="false">IF($F828="","",LEN($F828)-LEN(SUBSTITUTE($F828,",",""))+1)</f>
        <v/>
      </c>
      <c r="L828" s="45" t="str">
        <f aca="false">IF($K828="","","1:"&amp;$K828)</f>
        <v/>
      </c>
      <c r="M828" s="46"/>
      <c r="N828" s="53"/>
      <c r="O828" s="46"/>
      <c r="P828" s="47"/>
      <c r="Q828" s="48"/>
      <c r="R828" s="49"/>
      <c r="S828" s="54" t="str">
        <f aca="false">IF(OR($AC828=0,$U828="",$M828="",$V828="",$W828=""),"",IF(COUNTIFS(m_teacher,$M828,m_date,$U828,m_active,1,m_start,"&lt;"&amp;$W828,m_end,"&gt;"&amp;$V828)&gt;1,"충돌",""))</f>
        <v/>
      </c>
      <c r="T828" s="48"/>
      <c r="U828" s="55" t="str">
        <f aca="false">IF($G828="","",IFERROR(IF(ISNUMBER($G828),IF($G828&gt;19000000,DATE(INT($G828/10000),MOD(INT($G828/100),100),MOD($G828,100)),INT($G828)),IF(LEN(SUBSTITUTE(SUBSTITUTE(SUBSTITUTE(TRIM($G828),"-",""),".",""),"/",""))=8,DATE(VALUE(LEFT(SUBSTITUTE(SUBSTITUTE(SUBSTITUTE(TRIM($G828),"-",""),".",""),"/",""),4)),VALUE(MID(SUBSTITUTE(SUBSTITUTE(SUBSTITUTE(TRIM($G828),"-",""),".",""),"/",""),5,2)),VALUE(RIGHT(SUBSTITUTE(SUBSTITUTE(SUBSTITUTE(TRIM($G828),"-",""),".",""),"/",""),2))),DATEVALUE($G828))),""))</f>
        <v/>
      </c>
      <c r="V828" s="52" t="str">
        <f aca="false">IF($H828="","",IFERROR(IF(IF(ISNUMBER($H828),$H828,IFERROR(TIMEVALUE($H828),VALUE($H828)))&gt;=100,INT(IF(ISNUMBER($H828),$H828,IFERROR(TIMEVALUE($H828),VALUE($H828)))/100)*60+MOD(IF(ISNUMBER($H828),$H828,IFERROR(TIMEVALUE($H828),VALUE($H828))),100),IF(IF(ISNUMBER($H828),$H828,IFERROR(TIMEVALUE($H828),VALUE($H828)))&gt;=1,ROUND(IF(ISNUMBER($H828),$H828,IFERROR(TIMEVALUE($H828),VALUE($H828)))*60,0),ROUND(MOD(IF(ISNUMBER($H828),$H828,IFERROR(TIMEVALUE($H828),VALUE($H828))),1)*1440,0))),""))</f>
        <v/>
      </c>
      <c r="W828" s="52" t="str">
        <f aca="false">IF($I828="","",IFERROR(IF(IF(ISNUMBER($I828),$I828,IFERROR(TIMEVALUE($I828),VALUE($I828)))&gt;=100,INT(IF(ISNUMBER($I828),$I828,IFERROR(TIMEVALUE($I828),VALUE($I828)))/100)*60+MOD(IF(ISNUMBER($I828),$I828,IFERROR(TIMEVALUE($I828),VALUE($I828))),100),IF(IF(ISNUMBER($I828),$I828,IFERROR(TIMEVALUE($I828),VALUE($I828)))&gt;=1,ROUND(IF(ISNUMBER($I828),$I828,IFERROR(TIMEVALUE($I828),VALUE($I828)))*60,0),ROUND(MOD(IF(ISNUMBER($I828),$I828,IFERROR(TIMEVALUE($I828),VALUE($I828))),1)*1440,0))),""))</f>
        <v/>
      </c>
      <c r="X828" s="55" t="str">
        <f aca="false">IF($P828="","",IFERROR(IF(ISNUMBER($P828),IF($P828&gt;19000000,DATE(INT($P828/10000),MOD(INT($P828/100),100),MOD($P828,100)),INT($P828)),IF(LEN(SUBSTITUTE(SUBSTITUTE(SUBSTITUTE(TRIM($P828),"-",""),".",""),"/",""))=8,DATE(VALUE(LEFT(SUBSTITUTE(SUBSTITUTE(SUBSTITUTE(TRIM($P828),"-",""),".",""),"/",""),4)),VALUE(MID(SUBSTITUTE(SUBSTITUTE(SUBSTITUTE(TRIM($P828),"-",""),".",""),"/",""),5,2)),VALUE(RIGHT(SUBSTITUTE(SUBSTITUTE(SUBSTITUTE(TRIM($P828),"-",""),".",""),"/",""),2))),DATEVALUE($P828))),""))</f>
        <v/>
      </c>
      <c r="Y828" s="56" t="str">
        <f aca="false">IF($M828="","",IFERROR(INDEX(강사DB!$D$4:$D$53,MATCH($M828,강사DB!$A$4:$A$53,0)),""))</f>
        <v/>
      </c>
      <c r="Z828" s="56" t="str">
        <f aca="false">IF($B828&lt;&gt;"결제완료","",IF(OR($Y828="",$J828=""),"",$Y828*$J828+MAX(0,N($K828)-1)*설정!$J$7))</f>
        <v/>
      </c>
      <c r="AA828" s="56" t="str">
        <f aca="false">IF(AND($D828&lt;&gt;"",$B828="결제완료"),N($N828),"")</f>
        <v/>
      </c>
      <c r="AB828" s="45" t="str">
        <f aca="false">IF($D828="","",IF($F828&lt;&gt;"",$F828,$D828)&amp;IF($B828="상담중"," (상담)",""))</f>
        <v/>
      </c>
      <c r="AC828" s="45" t="n">
        <f aca="false">IF(AND($D828&lt;&gt;"",OR($B828="결제완료",$B828="상담중")),1,0)</f>
        <v>0</v>
      </c>
      <c r="AD828" s="45" t="n">
        <f aca="false">IF(OR($Z828="",$U828=""),0,IFERROR(IF(COUNTIFS(INDEX(g_grid,0,2*MATCH($M828,강사DB!$A$4:$A$15,0)),"&lt;&gt;",g_s,"&lt;="&amp;$U828,g_e,"&gt;="&amp;$U828)&gt;0,1,0),0))</f>
        <v>0</v>
      </c>
      <c r="AE828" s="48"/>
      <c r="AF828" s="56" t="str">
        <f aca="false">IF(AND($D828&lt;&gt;"",$B828="결제완료",$T828="대여"),설정!$J$5,"")</f>
        <v/>
      </c>
      <c r="AG828" s="54" t="str">
        <f aca="false">IF($D828="","",IF(AND($E828="",$R828=""),$AB828,"☎ "&amp;IF($E828="","-",$E828)&amp;IF($R828&lt;&gt;"","  ※ "&amp;$R828,"")&amp;IF($B828="상담중"," (상담)","")))</f>
        <v/>
      </c>
      <c r="AH828" s="56" t="str">
        <f aca="false">IF(AND($D828&lt;&gt;"",$B828="결제완료",$O828="스마트스토어"),ROUND(N($N828)*설정!$J$6,0),"")</f>
        <v/>
      </c>
      <c r="AI828" s="54" t="str">
        <f aca="false">IF($D828="","",ROW())</f>
        <v/>
      </c>
      <c r="AJ828" s="54" t="n">
        <f aca="false">IF(OR($AC828&lt;&gt;1,$M828=""),0,IF(ISNUMBER(SEARCH("퇴사",IFERROR(INDEX(강사DB!$G$4:$G$53,MATCH($M828,강사DB!$A$4:$A$53,0)),""))),1,0))</f>
        <v>0</v>
      </c>
    </row>
    <row r="829" customFormat="false" ht="15" hidden="false" customHeight="false" outlineLevel="0" collapsed="false">
      <c r="A829" s="45" t="str">
        <f aca="false">IF($D829="","",COUNTA($D$5:$D829))</f>
        <v/>
      </c>
      <c r="B829" s="46"/>
      <c r="C829" s="47"/>
      <c r="D829" s="48"/>
      <c r="E829" s="48"/>
      <c r="F829" s="49"/>
      <c r="G829" s="47"/>
      <c r="H829" s="50"/>
      <c r="I829" s="50"/>
      <c r="J829" s="51" t="str">
        <f aca="false">IF(OR($V829="",$W829=""),"",ROUND(($W829-$V829)/60,2))</f>
        <v/>
      </c>
      <c r="K829" s="52" t="str">
        <f aca="false">IF($F829="","",LEN($F829)-LEN(SUBSTITUTE($F829,",",""))+1)</f>
        <v/>
      </c>
      <c r="L829" s="45" t="str">
        <f aca="false">IF($K829="","","1:"&amp;$K829)</f>
        <v/>
      </c>
      <c r="M829" s="46"/>
      <c r="N829" s="53"/>
      <c r="O829" s="46"/>
      <c r="P829" s="47"/>
      <c r="Q829" s="48"/>
      <c r="R829" s="49"/>
      <c r="S829" s="54" t="str">
        <f aca="false">IF(OR($AC829=0,$U829="",$M829="",$V829="",$W829=""),"",IF(COUNTIFS(m_teacher,$M829,m_date,$U829,m_active,1,m_start,"&lt;"&amp;$W829,m_end,"&gt;"&amp;$V829)&gt;1,"충돌",""))</f>
        <v/>
      </c>
      <c r="T829" s="48"/>
      <c r="U829" s="55" t="str">
        <f aca="false">IF($G829="","",IFERROR(IF(ISNUMBER($G829),IF($G829&gt;19000000,DATE(INT($G829/10000),MOD(INT($G829/100),100),MOD($G829,100)),INT($G829)),IF(LEN(SUBSTITUTE(SUBSTITUTE(SUBSTITUTE(TRIM($G829),"-",""),".",""),"/",""))=8,DATE(VALUE(LEFT(SUBSTITUTE(SUBSTITUTE(SUBSTITUTE(TRIM($G829),"-",""),".",""),"/",""),4)),VALUE(MID(SUBSTITUTE(SUBSTITUTE(SUBSTITUTE(TRIM($G829),"-",""),".",""),"/",""),5,2)),VALUE(RIGHT(SUBSTITUTE(SUBSTITUTE(SUBSTITUTE(TRIM($G829),"-",""),".",""),"/",""),2))),DATEVALUE($G829))),""))</f>
        <v/>
      </c>
      <c r="V829" s="52" t="str">
        <f aca="false">IF($H829="","",IFERROR(IF(IF(ISNUMBER($H829),$H829,IFERROR(TIMEVALUE($H829),VALUE($H829)))&gt;=100,INT(IF(ISNUMBER($H829),$H829,IFERROR(TIMEVALUE($H829),VALUE($H829)))/100)*60+MOD(IF(ISNUMBER($H829),$H829,IFERROR(TIMEVALUE($H829),VALUE($H829))),100),IF(IF(ISNUMBER($H829),$H829,IFERROR(TIMEVALUE($H829),VALUE($H829)))&gt;=1,ROUND(IF(ISNUMBER($H829),$H829,IFERROR(TIMEVALUE($H829),VALUE($H829)))*60,0),ROUND(MOD(IF(ISNUMBER($H829),$H829,IFERROR(TIMEVALUE($H829),VALUE($H829))),1)*1440,0))),""))</f>
        <v/>
      </c>
      <c r="W829" s="52" t="str">
        <f aca="false">IF($I829="","",IFERROR(IF(IF(ISNUMBER($I829),$I829,IFERROR(TIMEVALUE($I829),VALUE($I829)))&gt;=100,INT(IF(ISNUMBER($I829),$I829,IFERROR(TIMEVALUE($I829),VALUE($I829)))/100)*60+MOD(IF(ISNUMBER($I829),$I829,IFERROR(TIMEVALUE($I829),VALUE($I829))),100),IF(IF(ISNUMBER($I829),$I829,IFERROR(TIMEVALUE($I829),VALUE($I829)))&gt;=1,ROUND(IF(ISNUMBER($I829),$I829,IFERROR(TIMEVALUE($I829),VALUE($I829)))*60,0),ROUND(MOD(IF(ISNUMBER($I829),$I829,IFERROR(TIMEVALUE($I829),VALUE($I829))),1)*1440,0))),""))</f>
        <v/>
      </c>
      <c r="X829" s="55" t="str">
        <f aca="false">IF($P829="","",IFERROR(IF(ISNUMBER($P829),IF($P829&gt;19000000,DATE(INT($P829/10000),MOD(INT($P829/100),100),MOD($P829,100)),INT($P829)),IF(LEN(SUBSTITUTE(SUBSTITUTE(SUBSTITUTE(TRIM($P829),"-",""),".",""),"/",""))=8,DATE(VALUE(LEFT(SUBSTITUTE(SUBSTITUTE(SUBSTITUTE(TRIM($P829),"-",""),".",""),"/",""),4)),VALUE(MID(SUBSTITUTE(SUBSTITUTE(SUBSTITUTE(TRIM($P829),"-",""),".",""),"/",""),5,2)),VALUE(RIGHT(SUBSTITUTE(SUBSTITUTE(SUBSTITUTE(TRIM($P829),"-",""),".",""),"/",""),2))),DATEVALUE($P829))),""))</f>
        <v/>
      </c>
      <c r="Y829" s="56" t="str">
        <f aca="false">IF($M829="","",IFERROR(INDEX(강사DB!$D$4:$D$53,MATCH($M829,강사DB!$A$4:$A$53,0)),""))</f>
        <v/>
      </c>
      <c r="Z829" s="56" t="str">
        <f aca="false">IF($B829&lt;&gt;"결제완료","",IF(OR($Y829="",$J829=""),"",$Y829*$J829+MAX(0,N($K829)-1)*설정!$J$7))</f>
        <v/>
      </c>
      <c r="AA829" s="56" t="str">
        <f aca="false">IF(AND($D829&lt;&gt;"",$B829="결제완료"),N($N829),"")</f>
        <v/>
      </c>
      <c r="AB829" s="45" t="str">
        <f aca="false">IF($D829="","",IF($F829&lt;&gt;"",$F829,$D829)&amp;IF($B829="상담중"," (상담)",""))</f>
        <v/>
      </c>
      <c r="AC829" s="45" t="n">
        <f aca="false">IF(AND($D829&lt;&gt;"",OR($B829="결제완료",$B829="상담중")),1,0)</f>
        <v>0</v>
      </c>
      <c r="AD829" s="45" t="n">
        <f aca="false">IF(OR($Z829="",$U829=""),0,IFERROR(IF(COUNTIFS(INDEX(g_grid,0,2*MATCH($M829,강사DB!$A$4:$A$15,0)),"&lt;&gt;",g_s,"&lt;="&amp;$U829,g_e,"&gt;="&amp;$U829)&gt;0,1,0),0))</f>
        <v>0</v>
      </c>
      <c r="AE829" s="48"/>
      <c r="AF829" s="56" t="str">
        <f aca="false">IF(AND($D829&lt;&gt;"",$B829="결제완료",$T829="대여"),설정!$J$5,"")</f>
        <v/>
      </c>
      <c r="AG829" s="54" t="str">
        <f aca="false">IF($D829="","",IF(AND($E829="",$R829=""),$AB829,"☎ "&amp;IF($E829="","-",$E829)&amp;IF($R829&lt;&gt;"","  ※ "&amp;$R829,"")&amp;IF($B829="상담중"," (상담)","")))</f>
        <v/>
      </c>
      <c r="AH829" s="56" t="str">
        <f aca="false">IF(AND($D829&lt;&gt;"",$B829="결제완료",$O829="스마트스토어"),ROUND(N($N829)*설정!$J$6,0),"")</f>
        <v/>
      </c>
      <c r="AI829" s="54" t="str">
        <f aca="false">IF($D829="","",ROW())</f>
        <v/>
      </c>
      <c r="AJ829" s="54" t="n">
        <f aca="false">IF(OR($AC829&lt;&gt;1,$M829=""),0,IF(ISNUMBER(SEARCH("퇴사",IFERROR(INDEX(강사DB!$G$4:$G$53,MATCH($M829,강사DB!$A$4:$A$53,0)),""))),1,0))</f>
        <v>0</v>
      </c>
    </row>
    <row r="830" customFormat="false" ht="15" hidden="false" customHeight="false" outlineLevel="0" collapsed="false">
      <c r="A830" s="45" t="str">
        <f aca="false">IF($D830="","",COUNTA($D$5:$D830))</f>
        <v/>
      </c>
      <c r="B830" s="46"/>
      <c r="C830" s="47"/>
      <c r="D830" s="48"/>
      <c r="E830" s="48"/>
      <c r="F830" s="49"/>
      <c r="G830" s="47"/>
      <c r="H830" s="50"/>
      <c r="I830" s="50"/>
      <c r="J830" s="51" t="str">
        <f aca="false">IF(OR($V830="",$W830=""),"",ROUND(($W830-$V830)/60,2))</f>
        <v/>
      </c>
      <c r="K830" s="52" t="str">
        <f aca="false">IF($F830="","",LEN($F830)-LEN(SUBSTITUTE($F830,",",""))+1)</f>
        <v/>
      </c>
      <c r="L830" s="45" t="str">
        <f aca="false">IF($K830="","","1:"&amp;$K830)</f>
        <v/>
      </c>
      <c r="M830" s="46"/>
      <c r="N830" s="53"/>
      <c r="O830" s="46"/>
      <c r="P830" s="47"/>
      <c r="Q830" s="48"/>
      <c r="R830" s="49"/>
      <c r="S830" s="54" t="str">
        <f aca="false">IF(OR($AC830=0,$U830="",$M830="",$V830="",$W830=""),"",IF(COUNTIFS(m_teacher,$M830,m_date,$U830,m_active,1,m_start,"&lt;"&amp;$W830,m_end,"&gt;"&amp;$V830)&gt;1,"충돌",""))</f>
        <v/>
      </c>
      <c r="T830" s="48"/>
      <c r="U830" s="55" t="str">
        <f aca="false">IF($G830="","",IFERROR(IF(ISNUMBER($G830),IF($G830&gt;19000000,DATE(INT($G830/10000),MOD(INT($G830/100),100),MOD($G830,100)),INT($G830)),IF(LEN(SUBSTITUTE(SUBSTITUTE(SUBSTITUTE(TRIM($G830),"-",""),".",""),"/",""))=8,DATE(VALUE(LEFT(SUBSTITUTE(SUBSTITUTE(SUBSTITUTE(TRIM($G830),"-",""),".",""),"/",""),4)),VALUE(MID(SUBSTITUTE(SUBSTITUTE(SUBSTITUTE(TRIM($G830),"-",""),".",""),"/",""),5,2)),VALUE(RIGHT(SUBSTITUTE(SUBSTITUTE(SUBSTITUTE(TRIM($G830),"-",""),".",""),"/",""),2))),DATEVALUE($G830))),""))</f>
        <v/>
      </c>
      <c r="V830" s="52" t="str">
        <f aca="false">IF($H830="","",IFERROR(IF(IF(ISNUMBER($H830),$H830,IFERROR(TIMEVALUE($H830),VALUE($H830)))&gt;=100,INT(IF(ISNUMBER($H830),$H830,IFERROR(TIMEVALUE($H830),VALUE($H830)))/100)*60+MOD(IF(ISNUMBER($H830),$H830,IFERROR(TIMEVALUE($H830),VALUE($H830))),100),IF(IF(ISNUMBER($H830),$H830,IFERROR(TIMEVALUE($H830),VALUE($H830)))&gt;=1,ROUND(IF(ISNUMBER($H830),$H830,IFERROR(TIMEVALUE($H830),VALUE($H830)))*60,0),ROUND(MOD(IF(ISNUMBER($H830),$H830,IFERROR(TIMEVALUE($H830),VALUE($H830))),1)*1440,0))),""))</f>
        <v/>
      </c>
      <c r="W830" s="52" t="str">
        <f aca="false">IF($I830="","",IFERROR(IF(IF(ISNUMBER($I830),$I830,IFERROR(TIMEVALUE($I830),VALUE($I830)))&gt;=100,INT(IF(ISNUMBER($I830),$I830,IFERROR(TIMEVALUE($I830),VALUE($I830)))/100)*60+MOD(IF(ISNUMBER($I830),$I830,IFERROR(TIMEVALUE($I830),VALUE($I830))),100),IF(IF(ISNUMBER($I830),$I830,IFERROR(TIMEVALUE($I830),VALUE($I830)))&gt;=1,ROUND(IF(ISNUMBER($I830),$I830,IFERROR(TIMEVALUE($I830),VALUE($I830)))*60,0),ROUND(MOD(IF(ISNUMBER($I830),$I830,IFERROR(TIMEVALUE($I830),VALUE($I830))),1)*1440,0))),""))</f>
        <v/>
      </c>
      <c r="X830" s="55" t="str">
        <f aca="false">IF($P830="","",IFERROR(IF(ISNUMBER($P830),IF($P830&gt;19000000,DATE(INT($P830/10000),MOD(INT($P830/100),100),MOD($P830,100)),INT($P830)),IF(LEN(SUBSTITUTE(SUBSTITUTE(SUBSTITUTE(TRIM($P830),"-",""),".",""),"/",""))=8,DATE(VALUE(LEFT(SUBSTITUTE(SUBSTITUTE(SUBSTITUTE(TRIM($P830),"-",""),".",""),"/",""),4)),VALUE(MID(SUBSTITUTE(SUBSTITUTE(SUBSTITUTE(TRIM($P830),"-",""),".",""),"/",""),5,2)),VALUE(RIGHT(SUBSTITUTE(SUBSTITUTE(SUBSTITUTE(TRIM($P830),"-",""),".",""),"/",""),2))),DATEVALUE($P830))),""))</f>
        <v/>
      </c>
      <c r="Y830" s="56" t="str">
        <f aca="false">IF($M830="","",IFERROR(INDEX(강사DB!$D$4:$D$53,MATCH($M830,강사DB!$A$4:$A$53,0)),""))</f>
        <v/>
      </c>
      <c r="Z830" s="56" t="str">
        <f aca="false">IF($B830&lt;&gt;"결제완료","",IF(OR($Y830="",$J830=""),"",$Y830*$J830+MAX(0,N($K830)-1)*설정!$J$7))</f>
        <v/>
      </c>
      <c r="AA830" s="56" t="str">
        <f aca="false">IF(AND($D830&lt;&gt;"",$B830="결제완료"),N($N830),"")</f>
        <v/>
      </c>
      <c r="AB830" s="45" t="str">
        <f aca="false">IF($D830="","",IF($F830&lt;&gt;"",$F830,$D830)&amp;IF($B830="상담중"," (상담)",""))</f>
        <v/>
      </c>
      <c r="AC830" s="45" t="n">
        <f aca="false">IF(AND($D830&lt;&gt;"",OR($B830="결제완료",$B830="상담중")),1,0)</f>
        <v>0</v>
      </c>
      <c r="AD830" s="45" t="n">
        <f aca="false">IF(OR($Z830="",$U830=""),0,IFERROR(IF(COUNTIFS(INDEX(g_grid,0,2*MATCH($M830,강사DB!$A$4:$A$15,0)),"&lt;&gt;",g_s,"&lt;="&amp;$U830,g_e,"&gt;="&amp;$U830)&gt;0,1,0),0))</f>
        <v>0</v>
      </c>
      <c r="AE830" s="48"/>
      <c r="AF830" s="56" t="str">
        <f aca="false">IF(AND($D830&lt;&gt;"",$B830="결제완료",$T830="대여"),설정!$J$5,"")</f>
        <v/>
      </c>
      <c r="AG830" s="54" t="str">
        <f aca="false">IF($D830="","",IF(AND($E830="",$R830=""),$AB830,"☎ "&amp;IF($E830="","-",$E830)&amp;IF($R830&lt;&gt;"","  ※ "&amp;$R830,"")&amp;IF($B830="상담중"," (상담)","")))</f>
        <v/>
      </c>
      <c r="AH830" s="56" t="str">
        <f aca="false">IF(AND($D830&lt;&gt;"",$B830="결제완료",$O830="스마트스토어"),ROUND(N($N830)*설정!$J$6,0),"")</f>
        <v/>
      </c>
      <c r="AI830" s="54" t="str">
        <f aca="false">IF($D830="","",ROW())</f>
        <v/>
      </c>
      <c r="AJ830" s="54" t="n">
        <f aca="false">IF(OR($AC830&lt;&gt;1,$M830=""),0,IF(ISNUMBER(SEARCH("퇴사",IFERROR(INDEX(강사DB!$G$4:$G$53,MATCH($M830,강사DB!$A$4:$A$53,0)),""))),1,0))</f>
        <v>0</v>
      </c>
    </row>
    <row r="831" customFormat="false" ht="15" hidden="false" customHeight="false" outlineLevel="0" collapsed="false">
      <c r="A831" s="45" t="str">
        <f aca="false">IF($D831="","",COUNTA($D$5:$D831))</f>
        <v/>
      </c>
      <c r="B831" s="46"/>
      <c r="C831" s="47"/>
      <c r="D831" s="48"/>
      <c r="E831" s="48"/>
      <c r="F831" s="49"/>
      <c r="G831" s="47"/>
      <c r="H831" s="50"/>
      <c r="I831" s="50"/>
      <c r="J831" s="51" t="str">
        <f aca="false">IF(OR($V831="",$W831=""),"",ROUND(($W831-$V831)/60,2))</f>
        <v/>
      </c>
      <c r="K831" s="52" t="str">
        <f aca="false">IF($F831="","",LEN($F831)-LEN(SUBSTITUTE($F831,",",""))+1)</f>
        <v/>
      </c>
      <c r="L831" s="45" t="str">
        <f aca="false">IF($K831="","","1:"&amp;$K831)</f>
        <v/>
      </c>
      <c r="M831" s="46"/>
      <c r="N831" s="53"/>
      <c r="O831" s="46"/>
      <c r="P831" s="47"/>
      <c r="Q831" s="48"/>
      <c r="R831" s="49"/>
      <c r="S831" s="54" t="str">
        <f aca="false">IF(OR($AC831=0,$U831="",$M831="",$V831="",$W831=""),"",IF(COUNTIFS(m_teacher,$M831,m_date,$U831,m_active,1,m_start,"&lt;"&amp;$W831,m_end,"&gt;"&amp;$V831)&gt;1,"충돌",""))</f>
        <v/>
      </c>
      <c r="T831" s="48"/>
      <c r="U831" s="55" t="str">
        <f aca="false">IF($G831="","",IFERROR(IF(ISNUMBER($G831),IF($G831&gt;19000000,DATE(INT($G831/10000),MOD(INT($G831/100),100),MOD($G831,100)),INT($G831)),IF(LEN(SUBSTITUTE(SUBSTITUTE(SUBSTITUTE(TRIM($G831),"-",""),".",""),"/",""))=8,DATE(VALUE(LEFT(SUBSTITUTE(SUBSTITUTE(SUBSTITUTE(TRIM($G831),"-",""),".",""),"/",""),4)),VALUE(MID(SUBSTITUTE(SUBSTITUTE(SUBSTITUTE(TRIM($G831),"-",""),".",""),"/",""),5,2)),VALUE(RIGHT(SUBSTITUTE(SUBSTITUTE(SUBSTITUTE(TRIM($G831),"-",""),".",""),"/",""),2))),DATEVALUE($G831))),""))</f>
        <v/>
      </c>
      <c r="V831" s="52" t="str">
        <f aca="false">IF($H831="","",IFERROR(IF(IF(ISNUMBER($H831),$H831,IFERROR(TIMEVALUE($H831),VALUE($H831)))&gt;=100,INT(IF(ISNUMBER($H831),$H831,IFERROR(TIMEVALUE($H831),VALUE($H831)))/100)*60+MOD(IF(ISNUMBER($H831),$H831,IFERROR(TIMEVALUE($H831),VALUE($H831))),100),IF(IF(ISNUMBER($H831),$H831,IFERROR(TIMEVALUE($H831),VALUE($H831)))&gt;=1,ROUND(IF(ISNUMBER($H831),$H831,IFERROR(TIMEVALUE($H831),VALUE($H831)))*60,0),ROUND(MOD(IF(ISNUMBER($H831),$H831,IFERROR(TIMEVALUE($H831),VALUE($H831))),1)*1440,0))),""))</f>
        <v/>
      </c>
      <c r="W831" s="52" t="str">
        <f aca="false">IF($I831="","",IFERROR(IF(IF(ISNUMBER($I831),$I831,IFERROR(TIMEVALUE($I831),VALUE($I831)))&gt;=100,INT(IF(ISNUMBER($I831),$I831,IFERROR(TIMEVALUE($I831),VALUE($I831)))/100)*60+MOD(IF(ISNUMBER($I831),$I831,IFERROR(TIMEVALUE($I831),VALUE($I831))),100),IF(IF(ISNUMBER($I831),$I831,IFERROR(TIMEVALUE($I831),VALUE($I831)))&gt;=1,ROUND(IF(ISNUMBER($I831),$I831,IFERROR(TIMEVALUE($I831),VALUE($I831)))*60,0),ROUND(MOD(IF(ISNUMBER($I831),$I831,IFERROR(TIMEVALUE($I831),VALUE($I831))),1)*1440,0))),""))</f>
        <v/>
      </c>
      <c r="X831" s="55" t="str">
        <f aca="false">IF($P831="","",IFERROR(IF(ISNUMBER($P831),IF($P831&gt;19000000,DATE(INT($P831/10000),MOD(INT($P831/100),100),MOD($P831,100)),INT($P831)),IF(LEN(SUBSTITUTE(SUBSTITUTE(SUBSTITUTE(TRIM($P831),"-",""),".",""),"/",""))=8,DATE(VALUE(LEFT(SUBSTITUTE(SUBSTITUTE(SUBSTITUTE(TRIM($P831),"-",""),".",""),"/",""),4)),VALUE(MID(SUBSTITUTE(SUBSTITUTE(SUBSTITUTE(TRIM($P831),"-",""),".",""),"/",""),5,2)),VALUE(RIGHT(SUBSTITUTE(SUBSTITUTE(SUBSTITUTE(TRIM($P831),"-",""),".",""),"/",""),2))),DATEVALUE($P831))),""))</f>
        <v/>
      </c>
      <c r="Y831" s="56" t="str">
        <f aca="false">IF($M831="","",IFERROR(INDEX(강사DB!$D$4:$D$53,MATCH($M831,강사DB!$A$4:$A$53,0)),""))</f>
        <v/>
      </c>
      <c r="Z831" s="56" t="str">
        <f aca="false">IF($B831&lt;&gt;"결제완료","",IF(OR($Y831="",$J831=""),"",$Y831*$J831+MAX(0,N($K831)-1)*설정!$J$7))</f>
        <v/>
      </c>
      <c r="AA831" s="56" t="str">
        <f aca="false">IF(AND($D831&lt;&gt;"",$B831="결제완료"),N($N831),"")</f>
        <v/>
      </c>
      <c r="AB831" s="45" t="str">
        <f aca="false">IF($D831="","",IF($F831&lt;&gt;"",$F831,$D831)&amp;IF($B831="상담중"," (상담)",""))</f>
        <v/>
      </c>
      <c r="AC831" s="45" t="n">
        <f aca="false">IF(AND($D831&lt;&gt;"",OR($B831="결제완료",$B831="상담중")),1,0)</f>
        <v>0</v>
      </c>
      <c r="AD831" s="45" t="n">
        <f aca="false">IF(OR($Z831="",$U831=""),0,IFERROR(IF(COUNTIFS(INDEX(g_grid,0,2*MATCH($M831,강사DB!$A$4:$A$15,0)),"&lt;&gt;",g_s,"&lt;="&amp;$U831,g_e,"&gt;="&amp;$U831)&gt;0,1,0),0))</f>
        <v>0</v>
      </c>
      <c r="AE831" s="48"/>
      <c r="AF831" s="56" t="str">
        <f aca="false">IF(AND($D831&lt;&gt;"",$B831="결제완료",$T831="대여"),설정!$J$5,"")</f>
        <v/>
      </c>
      <c r="AG831" s="54" t="str">
        <f aca="false">IF($D831="","",IF(AND($E831="",$R831=""),$AB831,"☎ "&amp;IF($E831="","-",$E831)&amp;IF($R831&lt;&gt;"","  ※ "&amp;$R831,"")&amp;IF($B831="상담중"," (상담)","")))</f>
        <v/>
      </c>
      <c r="AH831" s="56" t="str">
        <f aca="false">IF(AND($D831&lt;&gt;"",$B831="결제완료",$O831="스마트스토어"),ROUND(N($N831)*설정!$J$6,0),"")</f>
        <v/>
      </c>
      <c r="AI831" s="54" t="str">
        <f aca="false">IF($D831="","",ROW())</f>
        <v/>
      </c>
      <c r="AJ831" s="54" t="n">
        <f aca="false">IF(OR($AC831&lt;&gt;1,$M831=""),0,IF(ISNUMBER(SEARCH("퇴사",IFERROR(INDEX(강사DB!$G$4:$G$53,MATCH($M831,강사DB!$A$4:$A$53,0)),""))),1,0))</f>
        <v>0</v>
      </c>
    </row>
    <row r="832" customFormat="false" ht="15" hidden="false" customHeight="false" outlineLevel="0" collapsed="false">
      <c r="A832" s="45" t="str">
        <f aca="false">IF($D832="","",COUNTA($D$5:$D832))</f>
        <v/>
      </c>
      <c r="B832" s="46"/>
      <c r="C832" s="47"/>
      <c r="D832" s="48"/>
      <c r="E832" s="48"/>
      <c r="F832" s="49"/>
      <c r="G832" s="47"/>
      <c r="H832" s="50"/>
      <c r="I832" s="50"/>
      <c r="J832" s="51" t="str">
        <f aca="false">IF(OR($V832="",$W832=""),"",ROUND(($W832-$V832)/60,2))</f>
        <v/>
      </c>
      <c r="K832" s="52" t="str">
        <f aca="false">IF($F832="","",LEN($F832)-LEN(SUBSTITUTE($F832,",",""))+1)</f>
        <v/>
      </c>
      <c r="L832" s="45" t="str">
        <f aca="false">IF($K832="","","1:"&amp;$K832)</f>
        <v/>
      </c>
      <c r="M832" s="46"/>
      <c r="N832" s="53"/>
      <c r="O832" s="46"/>
      <c r="P832" s="47"/>
      <c r="Q832" s="48"/>
      <c r="R832" s="49"/>
      <c r="S832" s="54" t="str">
        <f aca="false">IF(OR($AC832=0,$U832="",$M832="",$V832="",$W832=""),"",IF(COUNTIFS(m_teacher,$M832,m_date,$U832,m_active,1,m_start,"&lt;"&amp;$W832,m_end,"&gt;"&amp;$V832)&gt;1,"충돌",""))</f>
        <v/>
      </c>
      <c r="T832" s="48"/>
      <c r="U832" s="55" t="str">
        <f aca="false">IF($G832="","",IFERROR(IF(ISNUMBER($G832),IF($G832&gt;19000000,DATE(INT($G832/10000),MOD(INT($G832/100),100),MOD($G832,100)),INT($G832)),IF(LEN(SUBSTITUTE(SUBSTITUTE(SUBSTITUTE(TRIM($G832),"-",""),".",""),"/",""))=8,DATE(VALUE(LEFT(SUBSTITUTE(SUBSTITUTE(SUBSTITUTE(TRIM($G832),"-",""),".",""),"/",""),4)),VALUE(MID(SUBSTITUTE(SUBSTITUTE(SUBSTITUTE(TRIM($G832),"-",""),".",""),"/",""),5,2)),VALUE(RIGHT(SUBSTITUTE(SUBSTITUTE(SUBSTITUTE(TRIM($G832),"-",""),".",""),"/",""),2))),DATEVALUE($G832))),""))</f>
        <v/>
      </c>
      <c r="V832" s="52" t="str">
        <f aca="false">IF($H832="","",IFERROR(IF(IF(ISNUMBER($H832),$H832,IFERROR(TIMEVALUE($H832),VALUE($H832)))&gt;=100,INT(IF(ISNUMBER($H832),$H832,IFERROR(TIMEVALUE($H832),VALUE($H832)))/100)*60+MOD(IF(ISNUMBER($H832),$H832,IFERROR(TIMEVALUE($H832),VALUE($H832))),100),IF(IF(ISNUMBER($H832),$H832,IFERROR(TIMEVALUE($H832),VALUE($H832)))&gt;=1,ROUND(IF(ISNUMBER($H832),$H832,IFERROR(TIMEVALUE($H832),VALUE($H832)))*60,0),ROUND(MOD(IF(ISNUMBER($H832),$H832,IFERROR(TIMEVALUE($H832),VALUE($H832))),1)*1440,0))),""))</f>
        <v/>
      </c>
      <c r="W832" s="52" t="str">
        <f aca="false">IF($I832="","",IFERROR(IF(IF(ISNUMBER($I832),$I832,IFERROR(TIMEVALUE($I832),VALUE($I832)))&gt;=100,INT(IF(ISNUMBER($I832),$I832,IFERROR(TIMEVALUE($I832),VALUE($I832)))/100)*60+MOD(IF(ISNUMBER($I832),$I832,IFERROR(TIMEVALUE($I832),VALUE($I832))),100),IF(IF(ISNUMBER($I832),$I832,IFERROR(TIMEVALUE($I832),VALUE($I832)))&gt;=1,ROUND(IF(ISNUMBER($I832),$I832,IFERROR(TIMEVALUE($I832),VALUE($I832)))*60,0),ROUND(MOD(IF(ISNUMBER($I832),$I832,IFERROR(TIMEVALUE($I832),VALUE($I832))),1)*1440,0))),""))</f>
        <v/>
      </c>
      <c r="X832" s="55" t="str">
        <f aca="false">IF($P832="","",IFERROR(IF(ISNUMBER($P832),IF($P832&gt;19000000,DATE(INT($P832/10000),MOD(INT($P832/100),100),MOD($P832,100)),INT($P832)),IF(LEN(SUBSTITUTE(SUBSTITUTE(SUBSTITUTE(TRIM($P832),"-",""),".",""),"/",""))=8,DATE(VALUE(LEFT(SUBSTITUTE(SUBSTITUTE(SUBSTITUTE(TRIM($P832),"-",""),".",""),"/",""),4)),VALUE(MID(SUBSTITUTE(SUBSTITUTE(SUBSTITUTE(TRIM($P832),"-",""),".",""),"/",""),5,2)),VALUE(RIGHT(SUBSTITUTE(SUBSTITUTE(SUBSTITUTE(TRIM($P832),"-",""),".",""),"/",""),2))),DATEVALUE($P832))),""))</f>
        <v/>
      </c>
      <c r="Y832" s="56" t="str">
        <f aca="false">IF($M832="","",IFERROR(INDEX(강사DB!$D$4:$D$53,MATCH($M832,강사DB!$A$4:$A$53,0)),""))</f>
        <v/>
      </c>
      <c r="Z832" s="56" t="str">
        <f aca="false">IF($B832&lt;&gt;"결제완료","",IF(OR($Y832="",$J832=""),"",$Y832*$J832+MAX(0,N($K832)-1)*설정!$J$7))</f>
        <v/>
      </c>
      <c r="AA832" s="56" t="str">
        <f aca="false">IF(AND($D832&lt;&gt;"",$B832="결제완료"),N($N832),"")</f>
        <v/>
      </c>
      <c r="AB832" s="45" t="str">
        <f aca="false">IF($D832="","",IF($F832&lt;&gt;"",$F832,$D832)&amp;IF($B832="상담중"," (상담)",""))</f>
        <v/>
      </c>
      <c r="AC832" s="45" t="n">
        <f aca="false">IF(AND($D832&lt;&gt;"",OR($B832="결제완료",$B832="상담중")),1,0)</f>
        <v>0</v>
      </c>
      <c r="AD832" s="45" t="n">
        <f aca="false">IF(OR($Z832="",$U832=""),0,IFERROR(IF(COUNTIFS(INDEX(g_grid,0,2*MATCH($M832,강사DB!$A$4:$A$15,0)),"&lt;&gt;",g_s,"&lt;="&amp;$U832,g_e,"&gt;="&amp;$U832)&gt;0,1,0),0))</f>
        <v>0</v>
      </c>
      <c r="AE832" s="48"/>
      <c r="AF832" s="56" t="str">
        <f aca="false">IF(AND($D832&lt;&gt;"",$B832="결제완료",$T832="대여"),설정!$J$5,"")</f>
        <v/>
      </c>
      <c r="AG832" s="54" t="str">
        <f aca="false">IF($D832="","",IF(AND($E832="",$R832=""),$AB832,"☎ "&amp;IF($E832="","-",$E832)&amp;IF($R832&lt;&gt;"","  ※ "&amp;$R832,"")&amp;IF($B832="상담중"," (상담)","")))</f>
        <v/>
      </c>
      <c r="AH832" s="56" t="str">
        <f aca="false">IF(AND($D832&lt;&gt;"",$B832="결제완료",$O832="스마트스토어"),ROUND(N($N832)*설정!$J$6,0),"")</f>
        <v/>
      </c>
      <c r="AI832" s="54" t="str">
        <f aca="false">IF($D832="","",ROW())</f>
        <v/>
      </c>
      <c r="AJ832" s="54" t="n">
        <f aca="false">IF(OR($AC832&lt;&gt;1,$M832=""),0,IF(ISNUMBER(SEARCH("퇴사",IFERROR(INDEX(강사DB!$G$4:$G$53,MATCH($M832,강사DB!$A$4:$A$53,0)),""))),1,0))</f>
        <v>0</v>
      </c>
    </row>
    <row r="833" customFormat="false" ht="15" hidden="false" customHeight="false" outlineLevel="0" collapsed="false">
      <c r="A833" s="45" t="str">
        <f aca="false">IF($D833="","",COUNTA($D$5:$D833))</f>
        <v/>
      </c>
      <c r="B833" s="46"/>
      <c r="C833" s="47"/>
      <c r="D833" s="48"/>
      <c r="E833" s="48"/>
      <c r="F833" s="49"/>
      <c r="G833" s="47"/>
      <c r="H833" s="50"/>
      <c r="I833" s="50"/>
      <c r="J833" s="51" t="str">
        <f aca="false">IF(OR($V833="",$W833=""),"",ROUND(($W833-$V833)/60,2))</f>
        <v/>
      </c>
      <c r="K833" s="52" t="str">
        <f aca="false">IF($F833="","",LEN($F833)-LEN(SUBSTITUTE($F833,",",""))+1)</f>
        <v/>
      </c>
      <c r="L833" s="45" t="str">
        <f aca="false">IF($K833="","","1:"&amp;$K833)</f>
        <v/>
      </c>
      <c r="M833" s="46"/>
      <c r="N833" s="53"/>
      <c r="O833" s="46"/>
      <c r="P833" s="47"/>
      <c r="Q833" s="48"/>
      <c r="R833" s="49"/>
      <c r="S833" s="54" t="str">
        <f aca="false">IF(OR($AC833=0,$U833="",$M833="",$V833="",$W833=""),"",IF(COUNTIFS(m_teacher,$M833,m_date,$U833,m_active,1,m_start,"&lt;"&amp;$W833,m_end,"&gt;"&amp;$V833)&gt;1,"충돌",""))</f>
        <v/>
      </c>
      <c r="T833" s="48"/>
      <c r="U833" s="55" t="str">
        <f aca="false">IF($G833="","",IFERROR(IF(ISNUMBER($G833),IF($G833&gt;19000000,DATE(INT($G833/10000),MOD(INT($G833/100),100),MOD($G833,100)),INT($G833)),IF(LEN(SUBSTITUTE(SUBSTITUTE(SUBSTITUTE(TRIM($G833),"-",""),".",""),"/",""))=8,DATE(VALUE(LEFT(SUBSTITUTE(SUBSTITUTE(SUBSTITUTE(TRIM($G833),"-",""),".",""),"/",""),4)),VALUE(MID(SUBSTITUTE(SUBSTITUTE(SUBSTITUTE(TRIM($G833),"-",""),".",""),"/",""),5,2)),VALUE(RIGHT(SUBSTITUTE(SUBSTITUTE(SUBSTITUTE(TRIM($G833),"-",""),".",""),"/",""),2))),DATEVALUE($G833))),""))</f>
        <v/>
      </c>
      <c r="V833" s="52" t="str">
        <f aca="false">IF($H833="","",IFERROR(IF(IF(ISNUMBER($H833),$H833,IFERROR(TIMEVALUE($H833),VALUE($H833)))&gt;=100,INT(IF(ISNUMBER($H833),$H833,IFERROR(TIMEVALUE($H833),VALUE($H833)))/100)*60+MOD(IF(ISNUMBER($H833),$H833,IFERROR(TIMEVALUE($H833),VALUE($H833))),100),IF(IF(ISNUMBER($H833),$H833,IFERROR(TIMEVALUE($H833),VALUE($H833)))&gt;=1,ROUND(IF(ISNUMBER($H833),$H833,IFERROR(TIMEVALUE($H833),VALUE($H833)))*60,0),ROUND(MOD(IF(ISNUMBER($H833),$H833,IFERROR(TIMEVALUE($H833),VALUE($H833))),1)*1440,0))),""))</f>
        <v/>
      </c>
      <c r="W833" s="52" t="str">
        <f aca="false">IF($I833="","",IFERROR(IF(IF(ISNUMBER($I833),$I833,IFERROR(TIMEVALUE($I833),VALUE($I833)))&gt;=100,INT(IF(ISNUMBER($I833),$I833,IFERROR(TIMEVALUE($I833),VALUE($I833)))/100)*60+MOD(IF(ISNUMBER($I833),$I833,IFERROR(TIMEVALUE($I833),VALUE($I833))),100),IF(IF(ISNUMBER($I833),$I833,IFERROR(TIMEVALUE($I833),VALUE($I833)))&gt;=1,ROUND(IF(ISNUMBER($I833),$I833,IFERROR(TIMEVALUE($I833),VALUE($I833)))*60,0),ROUND(MOD(IF(ISNUMBER($I833),$I833,IFERROR(TIMEVALUE($I833),VALUE($I833))),1)*1440,0))),""))</f>
        <v/>
      </c>
      <c r="X833" s="55" t="str">
        <f aca="false">IF($P833="","",IFERROR(IF(ISNUMBER($P833),IF($P833&gt;19000000,DATE(INT($P833/10000),MOD(INT($P833/100),100),MOD($P833,100)),INT($P833)),IF(LEN(SUBSTITUTE(SUBSTITUTE(SUBSTITUTE(TRIM($P833),"-",""),".",""),"/",""))=8,DATE(VALUE(LEFT(SUBSTITUTE(SUBSTITUTE(SUBSTITUTE(TRIM($P833),"-",""),".",""),"/",""),4)),VALUE(MID(SUBSTITUTE(SUBSTITUTE(SUBSTITUTE(TRIM($P833),"-",""),".",""),"/",""),5,2)),VALUE(RIGHT(SUBSTITUTE(SUBSTITUTE(SUBSTITUTE(TRIM($P833),"-",""),".",""),"/",""),2))),DATEVALUE($P833))),""))</f>
        <v/>
      </c>
      <c r="Y833" s="56" t="str">
        <f aca="false">IF($M833="","",IFERROR(INDEX(강사DB!$D$4:$D$53,MATCH($M833,강사DB!$A$4:$A$53,0)),""))</f>
        <v/>
      </c>
      <c r="Z833" s="56" t="str">
        <f aca="false">IF($B833&lt;&gt;"결제완료","",IF(OR($Y833="",$J833=""),"",$Y833*$J833+MAX(0,N($K833)-1)*설정!$J$7))</f>
        <v/>
      </c>
      <c r="AA833" s="56" t="str">
        <f aca="false">IF(AND($D833&lt;&gt;"",$B833="결제완료"),N($N833),"")</f>
        <v/>
      </c>
      <c r="AB833" s="45" t="str">
        <f aca="false">IF($D833="","",IF($F833&lt;&gt;"",$F833,$D833)&amp;IF($B833="상담중"," (상담)",""))</f>
        <v/>
      </c>
      <c r="AC833" s="45" t="n">
        <f aca="false">IF(AND($D833&lt;&gt;"",OR($B833="결제완료",$B833="상담중")),1,0)</f>
        <v>0</v>
      </c>
      <c r="AD833" s="45" t="n">
        <f aca="false">IF(OR($Z833="",$U833=""),0,IFERROR(IF(COUNTIFS(INDEX(g_grid,0,2*MATCH($M833,강사DB!$A$4:$A$15,0)),"&lt;&gt;",g_s,"&lt;="&amp;$U833,g_e,"&gt;="&amp;$U833)&gt;0,1,0),0))</f>
        <v>0</v>
      </c>
      <c r="AE833" s="48"/>
      <c r="AF833" s="56" t="str">
        <f aca="false">IF(AND($D833&lt;&gt;"",$B833="결제완료",$T833="대여"),설정!$J$5,"")</f>
        <v/>
      </c>
      <c r="AG833" s="54" t="str">
        <f aca="false">IF($D833="","",IF(AND($E833="",$R833=""),$AB833,"☎ "&amp;IF($E833="","-",$E833)&amp;IF($R833&lt;&gt;"","  ※ "&amp;$R833,"")&amp;IF($B833="상담중"," (상담)","")))</f>
        <v/>
      </c>
      <c r="AH833" s="56" t="str">
        <f aca="false">IF(AND($D833&lt;&gt;"",$B833="결제완료",$O833="스마트스토어"),ROUND(N($N833)*설정!$J$6,0),"")</f>
        <v/>
      </c>
      <c r="AI833" s="54" t="str">
        <f aca="false">IF($D833="","",ROW())</f>
        <v/>
      </c>
      <c r="AJ833" s="54" t="n">
        <f aca="false">IF(OR($AC833&lt;&gt;1,$M833=""),0,IF(ISNUMBER(SEARCH("퇴사",IFERROR(INDEX(강사DB!$G$4:$G$53,MATCH($M833,강사DB!$A$4:$A$53,0)),""))),1,0))</f>
        <v>0</v>
      </c>
    </row>
    <row r="834" customFormat="false" ht="15" hidden="false" customHeight="false" outlineLevel="0" collapsed="false">
      <c r="A834" s="45" t="str">
        <f aca="false">IF($D834="","",COUNTA($D$5:$D834))</f>
        <v/>
      </c>
      <c r="B834" s="46"/>
      <c r="C834" s="47"/>
      <c r="D834" s="48"/>
      <c r="E834" s="48"/>
      <c r="F834" s="49"/>
      <c r="G834" s="47"/>
      <c r="H834" s="50"/>
      <c r="I834" s="50"/>
      <c r="J834" s="51" t="str">
        <f aca="false">IF(OR($V834="",$W834=""),"",ROUND(($W834-$V834)/60,2))</f>
        <v/>
      </c>
      <c r="K834" s="52" t="str">
        <f aca="false">IF($F834="","",LEN($F834)-LEN(SUBSTITUTE($F834,",",""))+1)</f>
        <v/>
      </c>
      <c r="L834" s="45" t="str">
        <f aca="false">IF($K834="","","1:"&amp;$K834)</f>
        <v/>
      </c>
      <c r="M834" s="46"/>
      <c r="N834" s="53"/>
      <c r="O834" s="46"/>
      <c r="P834" s="47"/>
      <c r="Q834" s="48"/>
      <c r="R834" s="49"/>
      <c r="S834" s="54" t="str">
        <f aca="false">IF(OR($AC834=0,$U834="",$M834="",$V834="",$W834=""),"",IF(COUNTIFS(m_teacher,$M834,m_date,$U834,m_active,1,m_start,"&lt;"&amp;$W834,m_end,"&gt;"&amp;$V834)&gt;1,"충돌",""))</f>
        <v/>
      </c>
      <c r="T834" s="48"/>
      <c r="U834" s="55" t="str">
        <f aca="false">IF($G834="","",IFERROR(IF(ISNUMBER($G834),IF($G834&gt;19000000,DATE(INT($G834/10000),MOD(INT($G834/100),100),MOD($G834,100)),INT($G834)),IF(LEN(SUBSTITUTE(SUBSTITUTE(SUBSTITUTE(TRIM($G834),"-",""),".",""),"/",""))=8,DATE(VALUE(LEFT(SUBSTITUTE(SUBSTITUTE(SUBSTITUTE(TRIM($G834),"-",""),".",""),"/",""),4)),VALUE(MID(SUBSTITUTE(SUBSTITUTE(SUBSTITUTE(TRIM($G834),"-",""),".",""),"/",""),5,2)),VALUE(RIGHT(SUBSTITUTE(SUBSTITUTE(SUBSTITUTE(TRIM($G834),"-",""),".",""),"/",""),2))),DATEVALUE($G834))),""))</f>
        <v/>
      </c>
      <c r="V834" s="52" t="str">
        <f aca="false">IF($H834="","",IFERROR(IF(IF(ISNUMBER($H834),$H834,IFERROR(TIMEVALUE($H834),VALUE($H834)))&gt;=100,INT(IF(ISNUMBER($H834),$H834,IFERROR(TIMEVALUE($H834),VALUE($H834)))/100)*60+MOD(IF(ISNUMBER($H834),$H834,IFERROR(TIMEVALUE($H834),VALUE($H834))),100),IF(IF(ISNUMBER($H834),$H834,IFERROR(TIMEVALUE($H834),VALUE($H834)))&gt;=1,ROUND(IF(ISNUMBER($H834),$H834,IFERROR(TIMEVALUE($H834),VALUE($H834)))*60,0),ROUND(MOD(IF(ISNUMBER($H834),$H834,IFERROR(TIMEVALUE($H834),VALUE($H834))),1)*1440,0))),""))</f>
        <v/>
      </c>
      <c r="W834" s="52" t="str">
        <f aca="false">IF($I834="","",IFERROR(IF(IF(ISNUMBER($I834),$I834,IFERROR(TIMEVALUE($I834),VALUE($I834)))&gt;=100,INT(IF(ISNUMBER($I834),$I834,IFERROR(TIMEVALUE($I834),VALUE($I834)))/100)*60+MOD(IF(ISNUMBER($I834),$I834,IFERROR(TIMEVALUE($I834),VALUE($I834))),100),IF(IF(ISNUMBER($I834),$I834,IFERROR(TIMEVALUE($I834),VALUE($I834)))&gt;=1,ROUND(IF(ISNUMBER($I834),$I834,IFERROR(TIMEVALUE($I834),VALUE($I834)))*60,0),ROUND(MOD(IF(ISNUMBER($I834),$I834,IFERROR(TIMEVALUE($I834),VALUE($I834))),1)*1440,0))),""))</f>
        <v/>
      </c>
      <c r="X834" s="55" t="str">
        <f aca="false">IF($P834="","",IFERROR(IF(ISNUMBER($P834),IF($P834&gt;19000000,DATE(INT($P834/10000),MOD(INT($P834/100),100),MOD($P834,100)),INT($P834)),IF(LEN(SUBSTITUTE(SUBSTITUTE(SUBSTITUTE(TRIM($P834),"-",""),".",""),"/",""))=8,DATE(VALUE(LEFT(SUBSTITUTE(SUBSTITUTE(SUBSTITUTE(TRIM($P834),"-",""),".",""),"/",""),4)),VALUE(MID(SUBSTITUTE(SUBSTITUTE(SUBSTITUTE(TRIM($P834),"-",""),".",""),"/",""),5,2)),VALUE(RIGHT(SUBSTITUTE(SUBSTITUTE(SUBSTITUTE(TRIM($P834),"-",""),".",""),"/",""),2))),DATEVALUE($P834))),""))</f>
        <v/>
      </c>
      <c r="Y834" s="56" t="str">
        <f aca="false">IF($M834="","",IFERROR(INDEX(강사DB!$D$4:$D$53,MATCH($M834,강사DB!$A$4:$A$53,0)),""))</f>
        <v/>
      </c>
      <c r="Z834" s="56" t="str">
        <f aca="false">IF($B834&lt;&gt;"결제완료","",IF(OR($Y834="",$J834=""),"",$Y834*$J834+MAX(0,N($K834)-1)*설정!$J$7))</f>
        <v/>
      </c>
      <c r="AA834" s="56" t="str">
        <f aca="false">IF(AND($D834&lt;&gt;"",$B834="결제완료"),N($N834),"")</f>
        <v/>
      </c>
      <c r="AB834" s="45" t="str">
        <f aca="false">IF($D834="","",IF($F834&lt;&gt;"",$F834,$D834)&amp;IF($B834="상담중"," (상담)",""))</f>
        <v/>
      </c>
      <c r="AC834" s="45" t="n">
        <f aca="false">IF(AND($D834&lt;&gt;"",OR($B834="결제완료",$B834="상담중")),1,0)</f>
        <v>0</v>
      </c>
      <c r="AD834" s="45" t="n">
        <f aca="false">IF(OR($Z834="",$U834=""),0,IFERROR(IF(COUNTIFS(INDEX(g_grid,0,2*MATCH($M834,강사DB!$A$4:$A$15,0)),"&lt;&gt;",g_s,"&lt;="&amp;$U834,g_e,"&gt;="&amp;$U834)&gt;0,1,0),0))</f>
        <v>0</v>
      </c>
      <c r="AE834" s="48"/>
      <c r="AF834" s="56" t="str">
        <f aca="false">IF(AND($D834&lt;&gt;"",$B834="결제완료",$T834="대여"),설정!$J$5,"")</f>
        <v/>
      </c>
      <c r="AG834" s="54" t="str">
        <f aca="false">IF($D834="","",IF(AND($E834="",$R834=""),$AB834,"☎ "&amp;IF($E834="","-",$E834)&amp;IF($R834&lt;&gt;"","  ※ "&amp;$R834,"")&amp;IF($B834="상담중"," (상담)","")))</f>
        <v/>
      </c>
      <c r="AH834" s="56" t="str">
        <f aca="false">IF(AND($D834&lt;&gt;"",$B834="결제완료",$O834="스마트스토어"),ROUND(N($N834)*설정!$J$6,0),"")</f>
        <v/>
      </c>
      <c r="AI834" s="54" t="str">
        <f aca="false">IF($D834="","",ROW())</f>
        <v/>
      </c>
      <c r="AJ834" s="54" t="n">
        <f aca="false">IF(OR($AC834&lt;&gt;1,$M834=""),0,IF(ISNUMBER(SEARCH("퇴사",IFERROR(INDEX(강사DB!$G$4:$G$53,MATCH($M834,강사DB!$A$4:$A$53,0)),""))),1,0))</f>
        <v>0</v>
      </c>
    </row>
    <row r="835" customFormat="false" ht="15" hidden="false" customHeight="false" outlineLevel="0" collapsed="false">
      <c r="A835" s="45" t="str">
        <f aca="false">IF($D835="","",COUNTA($D$5:$D835))</f>
        <v/>
      </c>
      <c r="B835" s="46"/>
      <c r="C835" s="47"/>
      <c r="D835" s="48"/>
      <c r="E835" s="48"/>
      <c r="F835" s="49"/>
      <c r="G835" s="47"/>
      <c r="H835" s="50"/>
      <c r="I835" s="50"/>
      <c r="J835" s="51" t="str">
        <f aca="false">IF(OR($V835="",$W835=""),"",ROUND(($W835-$V835)/60,2))</f>
        <v/>
      </c>
      <c r="K835" s="52" t="str">
        <f aca="false">IF($F835="","",LEN($F835)-LEN(SUBSTITUTE($F835,",",""))+1)</f>
        <v/>
      </c>
      <c r="L835" s="45" t="str">
        <f aca="false">IF($K835="","","1:"&amp;$K835)</f>
        <v/>
      </c>
      <c r="M835" s="46"/>
      <c r="N835" s="53"/>
      <c r="O835" s="46"/>
      <c r="P835" s="47"/>
      <c r="Q835" s="48"/>
      <c r="R835" s="49"/>
      <c r="S835" s="54" t="str">
        <f aca="false">IF(OR($AC835=0,$U835="",$M835="",$V835="",$W835=""),"",IF(COUNTIFS(m_teacher,$M835,m_date,$U835,m_active,1,m_start,"&lt;"&amp;$W835,m_end,"&gt;"&amp;$V835)&gt;1,"충돌",""))</f>
        <v/>
      </c>
      <c r="T835" s="48"/>
      <c r="U835" s="55" t="str">
        <f aca="false">IF($G835="","",IFERROR(IF(ISNUMBER($G835),IF($G835&gt;19000000,DATE(INT($G835/10000),MOD(INT($G835/100),100),MOD($G835,100)),INT($G835)),IF(LEN(SUBSTITUTE(SUBSTITUTE(SUBSTITUTE(TRIM($G835),"-",""),".",""),"/",""))=8,DATE(VALUE(LEFT(SUBSTITUTE(SUBSTITUTE(SUBSTITUTE(TRIM($G835),"-",""),".",""),"/",""),4)),VALUE(MID(SUBSTITUTE(SUBSTITUTE(SUBSTITUTE(TRIM($G835),"-",""),".",""),"/",""),5,2)),VALUE(RIGHT(SUBSTITUTE(SUBSTITUTE(SUBSTITUTE(TRIM($G835),"-",""),".",""),"/",""),2))),DATEVALUE($G835))),""))</f>
        <v/>
      </c>
      <c r="V835" s="52" t="str">
        <f aca="false">IF($H835="","",IFERROR(IF(IF(ISNUMBER($H835),$H835,IFERROR(TIMEVALUE($H835),VALUE($H835)))&gt;=100,INT(IF(ISNUMBER($H835),$H835,IFERROR(TIMEVALUE($H835),VALUE($H835)))/100)*60+MOD(IF(ISNUMBER($H835),$H835,IFERROR(TIMEVALUE($H835),VALUE($H835))),100),IF(IF(ISNUMBER($H835),$H835,IFERROR(TIMEVALUE($H835),VALUE($H835)))&gt;=1,ROUND(IF(ISNUMBER($H835),$H835,IFERROR(TIMEVALUE($H835),VALUE($H835)))*60,0),ROUND(MOD(IF(ISNUMBER($H835),$H835,IFERROR(TIMEVALUE($H835),VALUE($H835))),1)*1440,0))),""))</f>
        <v/>
      </c>
      <c r="W835" s="52" t="str">
        <f aca="false">IF($I835="","",IFERROR(IF(IF(ISNUMBER($I835),$I835,IFERROR(TIMEVALUE($I835),VALUE($I835)))&gt;=100,INT(IF(ISNUMBER($I835),$I835,IFERROR(TIMEVALUE($I835),VALUE($I835)))/100)*60+MOD(IF(ISNUMBER($I835),$I835,IFERROR(TIMEVALUE($I835),VALUE($I835))),100),IF(IF(ISNUMBER($I835),$I835,IFERROR(TIMEVALUE($I835),VALUE($I835)))&gt;=1,ROUND(IF(ISNUMBER($I835),$I835,IFERROR(TIMEVALUE($I835),VALUE($I835)))*60,0),ROUND(MOD(IF(ISNUMBER($I835),$I835,IFERROR(TIMEVALUE($I835),VALUE($I835))),1)*1440,0))),""))</f>
        <v/>
      </c>
      <c r="X835" s="55" t="str">
        <f aca="false">IF($P835="","",IFERROR(IF(ISNUMBER($P835),IF($P835&gt;19000000,DATE(INT($P835/10000),MOD(INT($P835/100),100),MOD($P835,100)),INT($P835)),IF(LEN(SUBSTITUTE(SUBSTITUTE(SUBSTITUTE(TRIM($P835),"-",""),".",""),"/",""))=8,DATE(VALUE(LEFT(SUBSTITUTE(SUBSTITUTE(SUBSTITUTE(TRIM($P835),"-",""),".",""),"/",""),4)),VALUE(MID(SUBSTITUTE(SUBSTITUTE(SUBSTITUTE(TRIM($P835),"-",""),".",""),"/",""),5,2)),VALUE(RIGHT(SUBSTITUTE(SUBSTITUTE(SUBSTITUTE(TRIM($P835),"-",""),".",""),"/",""),2))),DATEVALUE($P835))),""))</f>
        <v/>
      </c>
      <c r="Y835" s="56" t="str">
        <f aca="false">IF($M835="","",IFERROR(INDEX(강사DB!$D$4:$D$53,MATCH($M835,강사DB!$A$4:$A$53,0)),""))</f>
        <v/>
      </c>
      <c r="Z835" s="56" t="str">
        <f aca="false">IF($B835&lt;&gt;"결제완료","",IF(OR($Y835="",$J835=""),"",$Y835*$J835+MAX(0,N($K835)-1)*설정!$J$7))</f>
        <v/>
      </c>
      <c r="AA835" s="56" t="str">
        <f aca="false">IF(AND($D835&lt;&gt;"",$B835="결제완료"),N($N835),"")</f>
        <v/>
      </c>
      <c r="AB835" s="45" t="str">
        <f aca="false">IF($D835="","",IF($F835&lt;&gt;"",$F835,$D835)&amp;IF($B835="상담중"," (상담)",""))</f>
        <v/>
      </c>
      <c r="AC835" s="45" t="n">
        <f aca="false">IF(AND($D835&lt;&gt;"",OR($B835="결제완료",$B835="상담중")),1,0)</f>
        <v>0</v>
      </c>
      <c r="AD835" s="45" t="n">
        <f aca="false">IF(OR($Z835="",$U835=""),0,IFERROR(IF(COUNTIFS(INDEX(g_grid,0,2*MATCH($M835,강사DB!$A$4:$A$15,0)),"&lt;&gt;",g_s,"&lt;="&amp;$U835,g_e,"&gt;="&amp;$U835)&gt;0,1,0),0))</f>
        <v>0</v>
      </c>
      <c r="AE835" s="48"/>
      <c r="AF835" s="56" t="str">
        <f aca="false">IF(AND($D835&lt;&gt;"",$B835="결제완료",$T835="대여"),설정!$J$5,"")</f>
        <v/>
      </c>
      <c r="AG835" s="54" t="str">
        <f aca="false">IF($D835="","",IF(AND($E835="",$R835=""),$AB835,"☎ "&amp;IF($E835="","-",$E835)&amp;IF($R835&lt;&gt;"","  ※ "&amp;$R835,"")&amp;IF($B835="상담중"," (상담)","")))</f>
        <v/>
      </c>
      <c r="AH835" s="56" t="str">
        <f aca="false">IF(AND($D835&lt;&gt;"",$B835="결제완료",$O835="스마트스토어"),ROUND(N($N835)*설정!$J$6,0),"")</f>
        <v/>
      </c>
      <c r="AI835" s="54" t="str">
        <f aca="false">IF($D835="","",ROW())</f>
        <v/>
      </c>
      <c r="AJ835" s="54" t="n">
        <f aca="false">IF(OR($AC835&lt;&gt;1,$M835=""),0,IF(ISNUMBER(SEARCH("퇴사",IFERROR(INDEX(강사DB!$G$4:$G$53,MATCH($M835,강사DB!$A$4:$A$53,0)),""))),1,0))</f>
        <v>0</v>
      </c>
    </row>
    <row r="836" customFormat="false" ht="15" hidden="false" customHeight="false" outlineLevel="0" collapsed="false">
      <c r="A836" s="45" t="str">
        <f aca="false">IF($D836="","",COUNTA($D$5:$D836))</f>
        <v/>
      </c>
      <c r="B836" s="46"/>
      <c r="C836" s="47"/>
      <c r="D836" s="48"/>
      <c r="E836" s="48"/>
      <c r="F836" s="49"/>
      <c r="G836" s="47"/>
      <c r="H836" s="50"/>
      <c r="I836" s="50"/>
      <c r="J836" s="51" t="str">
        <f aca="false">IF(OR($V836="",$W836=""),"",ROUND(($W836-$V836)/60,2))</f>
        <v/>
      </c>
      <c r="K836" s="52" t="str">
        <f aca="false">IF($F836="","",LEN($F836)-LEN(SUBSTITUTE($F836,",",""))+1)</f>
        <v/>
      </c>
      <c r="L836" s="45" t="str">
        <f aca="false">IF($K836="","","1:"&amp;$K836)</f>
        <v/>
      </c>
      <c r="M836" s="46"/>
      <c r="N836" s="53"/>
      <c r="O836" s="46"/>
      <c r="P836" s="47"/>
      <c r="Q836" s="48"/>
      <c r="R836" s="49"/>
      <c r="S836" s="54" t="str">
        <f aca="false">IF(OR($AC836=0,$U836="",$M836="",$V836="",$W836=""),"",IF(COUNTIFS(m_teacher,$M836,m_date,$U836,m_active,1,m_start,"&lt;"&amp;$W836,m_end,"&gt;"&amp;$V836)&gt;1,"충돌",""))</f>
        <v/>
      </c>
      <c r="T836" s="48"/>
      <c r="U836" s="55" t="str">
        <f aca="false">IF($G836="","",IFERROR(IF(ISNUMBER($G836),IF($G836&gt;19000000,DATE(INT($G836/10000),MOD(INT($G836/100),100),MOD($G836,100)),INT($G836)),IF(LEN(SUBSTITUTE(SUBSTITUTE(SUBSTITUTE(TRIM($G836),"-",""),".",""),"/",""))=8,DATE(VALUE(LEFT(SUBSTITUTE(SUBSTITUTE(SUBSTITUTE(TRIM($G836),"-",""),".",""),"/",""),4)),VALUE(MID(SUBSTITUTE(SUBSTITUTE(SUBSTITUTE(TRIM($G836),"-",""),".",""),"/",""),5,2)),VALUE(RIGHT(SUBSTITUTE(SUBSTITUTE(SUBSTITUTE(TRIM($G836),"-",""),".",""),"/",""),2))),DATEVALUE($G836))),""))</f>
        <v/>
      </c>
      <c r="V836" s="52" t="str">
        <f aca="false">IF($H836="","",IFERROR(IF(IF(ISNUMBER($H836),$H836,IFERROR(TIMEVALUE($H836),VALUE($H836)))&gt;=100,INT(IF(ISNUMBER($H836),$H836,IFERROR(TIMEVALUE($H836),VALUE($H836)))/100)*60+MOD(IF(ISNUMBER($H836),$H836,IFERROR(TIMEVALUE($H836),VALUE($H836))),100),IF(IF(ISNUMBER($H836),$H836,IFERROR(TIMEVALUE($H836),VALUE($H836)))&gt;=1,ROUND(IF(ISNUMBER($H836),$H836,IFERROR(TIMEVALUE($H836),VALUE($H836)))*60,0),ROUND(MOD(IF(ISNUMBER($H836),$H836,IFERROR(TIMEVALUE($H836),VALUE($H836))),1)*1440,0))),""))</f>
        <v/>
      </c>
      <c r="W836" s="52" t="str">
        <f aca="false">IF($I836="","",IFERROR(IF(IF(ISNUMBER($I836),$I836,IFERROR(TIMEVALUE($I836),VALUE($I836)))&gt;=100,INT(IF(ISNUMBER($I836),$I836,IFERROR(TIMEVALUE($I836),VALUE($I836)))/100)*60+MOD(IF(ISNUMBER($I836),$I836,IFERROR(TIMEVALUE($I836),VALUE($I836))),100),IF(IF(ISNUMBER($I836),$I836,IFERROR(TIMEVALUE($I836),VALUE($I836)))&gt;=1,ROUND(IF(ISNUMBER($I836),$I836,IFERROR(TIMEVALUE($I836),VALUE($I836)))*60,0),ROUND(MOD(IF(ISNUMBER($I836),$I836,IFERROR(TIMEVALUE($I836),VALUE($I836))),1)*1440,0))),""))</f>
        <v/>
      </c>
      <c r="X836" s="55" t="str">
        <f aca="false">IF($P836="","",IFERROR(IF(ISNUMBER($P836),IF($P836&gt;19000000,DATE(INT($P836/10000),MOD(INT($P836/100),100),MOD($P836,100)),INT($P836)),IF(LEN(SUBSTITUTE(SUBSTITUTE(SUBSTITUTE(TRIM($P836),"-",""),".",""),"/",""))=8,DATE(VALUE(LEFT(SUBSTITUTE(SUBSTITUTE(SUBSTITUTE(TRIM($P836),"-",""),".",""),"/",""),4)),VALUE(MID(SUBSTITUTE(SUBSTITUTE(SUBSTITUTE(TRIM($P836),"-",""),".",""),"/",""),5,2)),VALUE(RIGHT(SUBSTITUTE(SUBSTITUTE(SUBSTITUTE(TRIM($P836),"-",""),".",""),"/",""),2))),DATEVALUE($P836))),""))</f>
        <v/>
      </c>
      <c r="Y836" s="56" t="str">
        <f aca="false">IF($M836="","",IFERROR(INDEX(강사DB!$D$4:$D$53,MATCH($M836,강사DB!$A$4:$A$53,0)),""))</f>
        <v/>
      </c>
      <c r="Z836" s="56" t="str">
        <f aca="false">IF($B836&lt;&gt;"결제완료","",IF(OR($Y836="",$J836=""),"",$Y836*$J836+MAX(0,N($K836)-1)*설정!$J$7))</f>
        <v/>
      </c>
      <c r="AA836" s="56" t="str">
        <f aca="false">IF(AND($D836&lt;&gt;"",$B836="결제완료"),N($N836),"")</f>
        <v/>
      </c>
      <c r="AB836" s="45" t="str">
        <f aca="false">IF($D836="","",IF($F836&lt;&gt;"",$F836,$D836)&amp;IF($B836="상담중"," (상담)",""))</f>
        <v/>
      </c>
      <c r="AC836" s="45" t="n">
        <f aca="false">IF(AND($D836&lt;&gt;"",OR($B836="결제완료",$B836="상담중")),1,0)</f>
        <v>0</v>
      </c>
      <c r="AD836" s="45" t="n">
        <f aca="false">IF(OR($Z836="",$U836=""),0,IFERROR(IF(COUNTIFS(INDEX(g_grid,0,2*MATCH($M836,강사DB!$A$4:$A$15,0)),"&lt;&gt;",g_s,"&lt;="&amp;$U836,g_e,"&gt;="&amp;$U836)&gt;0,1,0),0))</f>
        <v>0</v>
      </c>
      <c r="AE836" s="48"/>
      <c r="AF836" s="56" t="str">
        <f aca="false">IF(AND($D836&lt;&gt;"",$B836="결제완료",$T836="대여"),설정!$J$5,"")</f>
        <v/>
      </c>
      <c r="AG836" s="54" t="str">
        <f aca="false">IF($D836="","",IF(AND($E836="",$R836=""),$AB836,"☎ "&amp;IF($E836="","-",$E836)&amp;IF($R836&lt;&gt;"","  ※ "&amp;$R836,"")&amp;IF($B836="상담중"," (상담)","")))</f>
        <v/>
      </c>
      <c r="AH836" s="56" t="str">
        <f aca="false">IF(AND($D836&lt;&gt;"",$B836="결제완료",$O836="스마트스토어"),ROUND(N($N836)*설정!$J$6,0),"")</f>
        <v/>
      </c>
      <c r="AI836" s="54" t="str">
        <f aca="false">IF($D836="","",ROW())</f>
        <v/>
      </c>
      <c r="AJ836" s="54" t="n">
        <f aca="false">IF(OR($AC836&lt;&gt;1,$M836=""),0,IF(ISNUMBER(SEARCH("퇴사",IFERROR(INDEX(강사DB!$G$4:$G$53,MATCH($M836,강사DB!$A$4:$A$53,0)),""))),1,0))</f>
        <v>0</v>
      </c>
    </row>
    <row r="837" customFormat="false" ht="15" hidden="false" customHeight="false" outlineLevel="0" collapsed="false">
      <c r="A837" s="45" t="str">
        <f aca="false">IF($D837="","",COUNTA($D$5:$D837))</f>
        <v/>
      </c>
      <c r="B837" s="46"/>
      <c r="C837" s="47"/>
      <c r="D837" s="48"/>
      <c r="E837" s="48"/>
      <c r="F837" s="49"/>
      <c r="G837" s="47"/>
      <c r="H837" s="50"/>
      <c r="I837" s="50"/>
      <c r="J837" s="51" t="str">
        <f aca="false">IF(OR($V837="",$W837=""),"",ROUND(($W837-$V837)/60,2))</f>
        <v/>
      </c>
      <c r="K837" s="52" t="str">
        <f aca="false">IF($F837="","",LEN($F837)-LEN(SUBSTITUTE($F837,",",""))+1)</f>
        <v/>
      </c>
      <c r="L837" s="45" t="str">
        <f aca="false">IF($K837="","","1:"&amp;$K837)</f>
        <v/>
      </c>
      <c r="M837" s="46"/>
      <c r="N837" s="53"/>
      <c r="O837" s="46"/>
      <c r="P837" s="47"/>
      <c r="Q837" s="48"/>
      <c r="R837" s="49"/>
      <c r="S837" s="54" t="str">
        <f aca="false">IF(OR($AC837=0,$U837="",$M837="",$V837="",$W837=""),"",IF(COUNTIFS(m_teacher,$M837,m_date,$U837,m_active,1,m_start,"&lt;"&amp;$W837,m_end,"&gt;"&amp;$V837)&gt;1,"충돌",""))</f>
        <v/>
      </c>
      <c r="T837" s="48"/>
      <c r="U837" s="55" t="str">
        <f aca="false">IF($G837="","",IFERROR(IF(ISNUMBER($G837),IF($G837&gt;19000000,DATE(INT($G837/10000),MOD(INT($G837/100),100),MOD($G837,100)),INT($G837)),IF(LEN(SUBSTITUTE(SUBSTITUTE(SUBSTITUTE(TRIM($G837),"-",""),".",""),"/",""))=8,DATE(VALUE(LEFT(SUBSTITUTE(SUBSTITUTE(SUBSTITUTE(TRIM($G837),"-",""),".",""),"/",""),4)),VALUE(MID(SUBSTITUTE(SUBSTITUTE(SUBSTITUTE(TRIM($G837),"-",""),".",""),"/",""),5,2)),VALUE(RIGHT(SUBSTITUTE(SUBSTITUTE(SUBSTITUTE(TRIM($G837),"-",""),".",""),"/",""),2))),DATEVALUE($G837))),""))</f>
        <v/>
      </c>
      <c r="V837" s="52" t="str">
        <f aca="false">IF($H837="","",IFERROR(IF(IF(ISNUMBER($H837),$H837,IFERROR(TIMEVALUE($H837),VALUE($H837)))&gt;=100,INT(IF(ISNUMBER($H837),$H837,IFERROR(TIMEVALUE($H837),VALUE($H837)))/100)*60+MOD(IF(ISNUMBER($H837),$H837,IFERROR(TIMEVALUE($H837),VALUE($H837))),100),IF(IF(ISNUMBER($H837),$H837,IFERROR(TIMEVALUE($H837),VALUE($H837)))&gt;=1,ROUND(IF(ISNUMBER($H837),$H837,IFERROR(TIMEVALUE($H837),VALUE($H837)))*60,0),ROUND(MOD(IF(ISNUMBER($H837),$H837,IFERROR(TIMEVALUE($H837),VALUE($H837))),1)*1440,0))),""))</f>
        <v/>
      </c>
      <c r="W837" s="52" t="str">
        <f aca="false">IF($I837="","",IFERROR(IF(IF(ISNUMBER($I837),$I837,IFERROR(TIMEVALUE($I837),VALUE($I837)))&gt;=100,INT(IF(ISNUMBER($I837),$I837,IFERROR(TIMEVALUE($I837),VALUE($I837)))/100)*60+MOD(IF(ISNUMBER($I837),$I837,IFERROR(TIMEVALUE($I837),VALUE($I837))),100),IF(IF(ISNUMBER($I837),$I837,IFERROR(TIMEVALUE($I837),VALUE($I837)))&gt;=1,ROUND(IF(ISNUMBER($I837),$I837,IFERROR(TIMEVALUE($I837),VALUE($I837)))*60,0),ROUND(MOD(IF(ISNUMBER($I837),$I837,IFERROR(TIMEVALUE($I837),VALUE($I837))),1)*1440,0))),""))</f>
        <v/>
      </c>
      <c r="X837" s="55" t="str">
        <f aca="false">IF($P837="","",IFERROR(IF(ISNUMBER($P837),IF($P837&gt;19000000,DATE(INT($P837/10000),MOD(INT($P837/100),100),MOD($P837,100)),INT($P837)),IF(LEN(SUBSTITUTE(SUBSTITUTE(SUBSTITUTE(TRIM($P837),"-",""),".",""),"/",""))=8,DATE(VALUE(LEFT(SUBSTITUTE(SUBSTITUTE(SUBSTITUTE(TRIM($P837),"-",""),".",""),"/",""),4)),VALUE(MID(SUBSTITUTE(SUBSTITUTE(SUBSTITUTE(TRIM($P837),"-",""),".",""),"/",""),5,2)),VALUE(RIGHT(SUBSTITUTE(SUBSTITUTE(SUBSTITUTE(TRIM($P837),"-",""),".",""),"/",""),2))),DATEVALUE($P837))),""))</f>
        <v/>
      </c>
      <c r="Y837" s="56" t="str">
        <f aca="false">IF($M837="","",IFERROR(INDEX(강사DB!$D$4:$D$53,MATCH($M837,강사DB!$A$4:$A$53,0)),""))</f>
        <v/>
      </c>
      <c r="Z837" s="56" t="str">
        <f aca="false">IF($B837&lt;&gt;"결제완료","",IF(OR($Y837="",$J837=""),"",$Y837*$J837+MAX(0,N($K837)-1)*설정!$J$7))</f>
        <v/>
      </c>
      <c r="AA837" s="56" t="str">
        <f aca="false">IF(AND($D837&lt;&gt;"",$B837="결제완료"),N($N837),"")</f>
        <v/>
      </c>
      <c r="AB837" s="45" t="str">
        <f aca="false">IF($D837="","",IF($F837&lt;&gt;"",$F837,$D837)&amp;IF($B837="상담중"," (상담)",""))</f>
        <v/>
      </c>
      <c r="AC837" s="45" t="n">
        <f aca="false">IF(AND($D837&lt;&gt;"",OR($B837="결제완료",$B837="상담중")),1,0)</f>
        <v>0</v>
      </c>
      <c r="AD837" s="45" t="n">
        <f aca="false">IF(OR($Z837="",$U837=""),0,IFERROR(IF(COUNTIFS(INDEX(g_grid,0,2*MATCH($M837,강사DB!$A$4:$A$15,0)),"&lt;&gt;",g_s,"&lt;="&amp;$U837,g_e,"&gt;="&amp;$U837)&gt;0,1,0),0))</f>
        <v>0</v>
      </c>
      <c r="AE837" s="48"/>
      <c r="AF837" s="56" t="str">
        <f aca="false">IF(AND($D837&lt;&gt;"",$B837="결제완료",$T837="대여"),설정!$J$5,"")</f>
        <v/>
      </c>
      <c r="AG837" s="54" t="str">
        <f aca="false">IF($D837="","",IF(AND($E837="",$R837=""),$AB837,"☎ "&amp;IF($E837="","-",$E837)&amp;IF($R837&lt;&gt;"","  ※ "&amp;$R837,"")&amp;IF($B837="상담중"," (상담)","")))</f>
        <v/>
      </c>
      <c r="AH837" s="56" t="str">
        <f aca="false">IF(AND($D837&lt;&gt;"",$B837="결제완료",$O837="스마트스토어"),ROUND(N($N837)*설정!$J$6,0),"")</f>
        <v/>
      </c>
      <c r="AI837" s="54" t="str">
        <f aca="false">IF($D837="","",ROW())</f>
        <v/>
      </c>
      <c r="AJ837" s="54" t="n">
        <f aca="false">IF(OR($AC837&lt;&gt;1,$M837=""),0,IF(ISNUMBER(SEARCH("퇴사",IFERROR(INDEX(강사DB!$G$4:$G$53,MATCH($M837,강사DB!$A$4:$A$53,0)),""))),1,0))</f>
        <v>0</v>
      </c>
    </row>
    <row r="838" customFormat="false" ht="15" hidden="false" customHeight="false" outlineLevel="0" collapsed="false">
      <c r="A838" s="45" t="str">
        <f aca="false">IF($D838="","",COUNTA($D$5:$D838))</f>
        <v/>
      </c>
      <c r="B838" s="46"/>
      <c r="C838" s="47"/>
      <c r="D838" s="48"/>
      <c r="E838" s="48"/>
      <c r="F838" s="49"/>
      <c r="G838" s="47"/>
      <c r="H838" s="50"/>
      <c r="I838" s="50"/>
      <c r="J838" s="51" t="str">
        <f aca="false">IF(OR($V838="",$W838=""),"",ROUND(($W838-$V838)/60,2))</f>
        <v/>
      </c>
      <c r="K838" s="52" t="str">
        <f aca="false">IF($F838="","",LEN($F838)-LEN(SUBSTITUTE($F838,",",""))+1)</f>
        <v/>
      </c>
      <c r="L838" s="45" t="str">
        <f aca="false">IF($K838="","","1:"&amp;$K838)</f>
        <v/>
      </c>
      <c r="M838" s="46"/>
      <c r="N838" s="53"/>
      <c r="O838" s="46"/>
      <c r="P838" s="47"/>
      <c r="Q838" s="48"/>
      <c r="R838" s="49"/>
      <c r="S838" s="54" t="str">
        <f aca="false">IF(OR($AC838=0,$U838="",$M838="",$V838="",$W838=""),"",IF(COUNTIFS(m_teacher,$M838,m_date,$U838,m_active,1,m_start,"&lt;"&amp;$W838,m_end,"&gt;"&amp;$V838)&gt;1,"충돌",""))</f>
        <v/>
      </c>
      <c r="T838" s="48"/>
      <c r="U838" s="55" t="str">
        <f aca="false">IF($G838="","",IFERROR(IF(ISNUMBER($G838),IF($G838&gt;19000000,DATE(INT($G838/10000),MOD(INT($G838/100),100),MOD($G838,100)),INT($G838)),IF(LEN(SUBSTITUTE(SUBSTITUTE(SUBSTITUTE(TRIM($G838),"-",""),".",""),"/",""))=8,DATE(VALUE(LEFT(SUBSTITUTE(SUBSTITUTE(SUBSTITUTE(TRIM($G838),"-",""),".",""),"/",""),4)),VALUE(MID(SUBSTITUTE(SUBSTITUTE(SUBSTITUTE(TRIM($G838),"-",""),".",""),"/",""),5,2)),VALUE(RIGHT(SUBSTITUTE(SUBSTITUTE(SUBSTITUTE(TRIM($G838),"-",""),".",""),"/",""),2))),DATEVALUE($G838))),""))</f>
        <v/>
      </c>
      <c r="V838" s="52" t="str">
        <f aca="false">IF($H838="","",IFERROR(IF(IF(ISNUMBER($H838),$H838,IFERROR(TIMEVALUE($H838),VALUE($H838)))&gt;=100,INT(IF(ISNUMBER($H838),$H838,IFERROR(TIMEVALUE($H838),VALUE($H838)))/100)*60+MOD(IF(ISNUMBER($H838),$H838,IFERROR(TIMEVALUE($H838),VALUE($H838))),100),IF(IF(ISNUMBER($H838),$H838,IFERROR(TIMEVALUE($H838),VALUE($H838)))&gt;=1,ROUND(IF(ISNUMBER($H838),$H838,IFERROR(TIMEVALUE($H838),VALUE($H838)))*60,0),ROUND(MOD(IF(ISNUMBER($H838),$H838,IFERROR(TIMEVALUE($H838),VALUE($H838))),1)*1440,0))),""))</f>
        <v/>
      </c>
      <c r="W838" s="52" t="str">
        <f aca="false">IF($I838="","",IFERROR(IF(IF(ISNUMBER($I838),$I838,IFERROR(TIMEVALUE($I838),VALUE($I838)))&gt;=100,INT(IF(ISNUMBER($I838),$I838,IFERROR(TIMEVALUE($I838),VALUE($I838)))/100)*60+MOD(IF(ISNUMBER($I838),$I838,IFERROR(TIMEVALUE($I838),VALUE($I838))),100),IF(IF(ISNUMBER($I838),$I838,IFERROR(TIMEVALUE($I838),VALUE($I838)))&gt;=1,ROUND(IF(ISNUMBER($I838),$I838,IFERROR(TIMEVALUE($I838),VALUE($I838)))*60,0),ROUND(MOD(IF(ISNUMBER($I838),$I838,IFERROR(TIMEVALUE($I838),VALUE($I838))),1)*1440,0))),""))</f>
        <v/>
      </c>
      <c r="X838" s="55" t="str">
        <f aca="false">IF($P838="","",IFERROR(IF(ISNUMBER($P838),IF($P838&gt;19000000,DATE(INT($P838/10000),MOD(INT($P838/100),100),MOD($P838,100)),INT($P838)),IF(LEN(SUBSTITUTE(SUBSTITUTE(SUBSTITUTE(TRIM($P838),"-",""),".",""),"/",""))=8,DATE(VALUE(LEFT(SUBSTITUTE(SUBSTITUTE(SUBSTITUTE(TRIM($P838),"-",""),".",""),"/",""),4)),VALUE(MID(SUBSTITUTE(SUBSTITUTE(SUBSTITUTE(TRIM($P838),"-",""),".",""),"/",""),5,2)),VALUE(RIGHT(SUBSTITUTE(SUBSTITUTE(SUBSTITUTE(TRIM($P838),"-",""),".",""),"/",""),2))),DATEVALUE($P838))),""))</f>
        <v/>
      </c>
      <c r="Y838" s="56" t="str">
        <f aca="false">IF($M838="","",IFERROR(INDEX(강사DB!$D$4:$D$53,MATCH($M838,강사DB!$A$4:$A$53,0)),""))</f>
        <v/>
      </c>
      <c r="Z838" s="56" t="str">
        <f aca="false">IF($B838&lt;&gt;"결제완료","",IF(OR($Y838="",$J838=""),"",$Y838*$J838+MAX(0,N($K838)-1)*설정!$J$7))</f>
        <v/>
      </c>
      <c r="AA838" s="56" t="str">
        <f aca="false">IF(AND($D838&lt;&gt;"",$B838="결제완료"),N($N838),"")</f>
        <v/>
      </c>
      <c r="AB838" s="45" t="str">
        <f aca="false">IF($D838="","",IF($F838&lt;&gt;"",$F838,$D838)&amp;IF($B838="상담중"," (상담)",""))</f>
        <v/>
      </c>
      <c r="AC838" s="45" t="n">
        <f aca="false">IF(AND($D838&lt;&gt;"",OR($B838="결제완료",$B838="상담중")),1,0)</f>
        <v>0</v>
      </c>
      <c r="AD838" s="45" t="n">
        <f aca="false">IF(OR($Z838="",$U838=""),0,IFERROR(IF(COUNTIFS(INDEX(g_grid,0,2*MATCH($M838,강사DB!$A$4:$A$15,0)),"&lt;&gt;",g_s,"&lt;="&amp;$U838,g_e,"&gt;="&amp;$U838)&gt;0,1,0),0))</f>
        <v>0</v>
      </c>
      <c r="AE838" s="48"/>
      <c r="AF838" s="56" t="str">
        <f aca="false">IF(AND($D838&lt;&gt;"",$B838="결제완료",$T838="대여"),설정!$J$5,"")</f>
        <v/>
      </c>
      <c r="AG838" s="54" t="str">
        <f aca="false">IF($D838="","",IF(AND($E838="",$R838=""),$AB838,"☎ "&amp;IF($E838="","-",$E838)&amp;IF($R838&lt;&gt;"","  ※ "&amp;$R838,"")&amp;IF($B838="상담중"," (상담)","")))</f>
        <v/>
      </c>
      <c r="AH838" s="56" t="str">
        <f aca="false">IF(AND($D838&lt;&gt;"",$B838="결제완료",$O838="스마트스토어"),ROUND(N($N838)*설정!$J$6,0),"")</f>
        <v/>
      </c>
      <c r="AI838" s="54" t="str">
        <f aca="false">IF($D838="","",ROW())</f>
        <v/>
      </c>
      <c r="AJ838" s="54" t="n">
        <f aca="false">IF(OR($AC838&lt;&gt;1,$M838=""),0,IF(ISNUMBER(SEARCH("퇴사",IFERROR(INDEX(강사DB!$G$4:$G$53,MATCH($M838,강사DB!$A$4:$A$53,0)),""))),1,0))</f>
        <v>0</v>
      </c>
    </row>
    <row r="839" customFormat="false" ht="15" hidden="false" customHeight="false" outlineLevel="0" collapsed="false">
      <c r="A839" s="45" t="str">
        <f aca="false">IF($D839="","",COUNTA($D$5:$D839))</f>
        <v/>
      </c>
      <c r="B839" s="46"/>
      <c r="C839" s="47"/>
      <c r="D839" s="48"/>
      <c r="E839" s="48"/>
      <c r="F839" s="49"/>
      <c r="G839" s="47"/>
      <c r="H839" s="50"/>
      <c r="I839" s="50"/>
      <c r="J839" s="51" t="str">
        <f aca="false">IF(OR($V839="",$W839=""),"",ROUND(($W839-$V839)/60,2))</f>
        <v/>
      </c>
      <c r="K839" s="52" t="str">
        <f aca="false">IF($F839="","",LEN($F839)-LEN(SUBSTITUTE($F839,",",""))+1)</f>
        <v/>
      </c>
      <c r="L839" s="45" t="str">
        <f aca="false">IF($K839="","","1:"&amp;$K839)</f>
        <v/>
      </c>
      <c r="M839" s="46"/>
      <c r="N839" s="53"/>
      <c r="O839" s="46"/>
      <c r="P839" s="47"/>
      <c r="Q839" s="48"/>
      <c r="R839" s="49"/>
      <c r="S839" s="54" t="str">
        <f aca="false">IF(OR($AC839=0,$U839="",$M839="",$V839="",$W839=""),"",IF(COUNTIFS(m_teacher,$M839,m_date,$U839,m_active,1,m_start,"&lt;"&amp;$W839,m_end,"&gt;"&amp;$V839)&gt;1,"충돌",""))</f>
        <v/>
      </c>
      <c r="T839" s="48"/>
      <c r="U839" s="55" t="str">
        <f aca="false">IF($G839="","",IFERROR(IF(ISNUMBER($G839),IF($G839&gt;19000000,DATE(INT($G839/10000),MOD(INT($G839/100),100),MOD($G839,100)),INT($G839)),IF(LEN(SUBSTITUTE(SUBSTITUTE(SUBSTITUTE(TRIM($G839),"-",""),".",""),"/",""))=8,DATE(VALUE(LEFT(SUBSTITUTE(SUBSTITUTE(SUBSTITUTE(TRIM($G839),"-",""),".",""),"/",""),4)),VALUE(MID(SUBSTITUTE(SUBSTITUTE(SUBSTITUTE(TRIM($G839),"-",""),".",""),"/",""),5,2)),VALUE(RIGHT(SUBSTITUTE(SUBSTITUTE(SUBSTITUTE(TRIM($G839),"-",""),".",""),"/",""),2))),DATEVALUE($G839))),""))</f>
        <v/>
      </c>
      <c r="V839" s="52" t="str">
        <f aca="false">IF($H839="","",IFERROR(IF(IF(ISNUMBER($H839),$H839,IFERROR(TIMEVALUE($H839),VALUE($H839)))&gt;=100,INT(IF(ISNUMBER($H839),$H839,IFERROR(TIMEVALUE($H839),VALUE($H839)))/100)*60+MOD(IF(ISNUMBER($H839),$H839,IFERROR(TIMEVALUE($H839),VALUE($H839))),100),IF(IF(ISNUMBER($H839),$H839,IFERROR(TIMEVALUE($H839),VALUE($H839)))&gt;=1,ROUND(IF(ISNUMBER($H839),$H839,IFERROR(TIMEVALUE($H839),VALUE($H839)))*60,0),ROUND(MOD(IF(ISNUMBER($H839),$H839,IFERROR(TIMEVALUE($H839),VALUE($H839))),1)*1440,0))),""))</f>
        <v/>
      </c>
      <c r="W839" s="52" t="str">
        <f aca="false">IF($I839="","",IFERROR(IF(IF(ISNUMBER($I839),$I839,IFERROR(TIMEVALUE($I839),VALUE($I839)))&gt;=100,INT(IF(ISNUMBER($I839),$I839,IFERROR(TIMEVALUE($I839),VALUE($I839)))/100)*60+MOD(IF(ISNUMBER($I839),$I839,IFERROR(TIMEVALUE($I839),VALUE($I839))),100),IF(IF(ISNUMBER($I839),$I839,IFERROR(TIMEVALUE($I839),VALUE($I839)))&gt;=1,ROUND(IF(ISNUMBER($I839),$I839,IFERROR(TIMEVALUE($I839),VALUE($I839)))*60,0),ROUND(MOD(IF(ISNUMBER($I839),$I839,IFERROR(TIMEVALUE($I839),VALUE($I839))),1)*1440,0))),""))</f>
        <v/>
      </c>
      <c r="X839" s="55" t="str">
        <f aca="false">IF($P839="","",IFERROR(IF(ISNUMBER($P839),IF($P839&gt;19000000,DATE(INT($P839/10000),MOD(INT($P839/100),100),MOD($P839,100)),INT($P839)),IF(LEN(SUBSTITUTE(SUBSTITUTE(SUBSTITUTE(TRIM($P839),"-",""),".",""),"/",""))=8,DATE(VALUE(LEFT(SUBSTITUTE(SUBSTITUTE(SUBSTITUTE(TRIM($P839),"-",""),".",""),"/",""),4)),VALUE(MID(SUBSTITUTE(SUBSTITUTE(SUBSTITUTE(TRIM($P839),"-",""),".",""),"/",""),5,2)),VALUE(RIGHT(SUBSTITUTE(SUBSTITUTE(SUBSTITUTE(TRIM($P839),"-",""),".",""),"/",""),2))),DATEVALUE($P839))),""))</f>
        <v/>
      </c>
      <c r="Y839" s="56" t="str">
        <f aca="false">IF($M839="","",IFERROR(INDEX(강사DB!$D$4:$D$53,MATCH($M839,강사DB!$A$4:$A$53,0)),""))</f>
        <v/>
      </c>
      <c r="Z839" s="56" t="str">
        <f aca="false">IF($B839&lt;&gt;"결제완료","",IF(OR($Y839="",$J839=""),"",$Y839*$J839+MAX(0,N($K839)-1)*설정!$J$7))</f>
        <v/>
      </c>
      <c r="AA839" s="56" t="str">
        <f aca="false">IF(AND($D839&lt;&gt;"",$B839="결제완료"),N($N839),"")</f>
        <v/>
      </c>
      <c r="AB839" s="45" t="str">
        <f aca="false">IF($D839="","",IF($F839&lt;&gt;"",$F839,$D839)&amp;IF($B839="상담중"," (상담)",""))</f>
        <v/>
      </c>
      <c r="AC839" s="45" t="n">
        <f aca="false">IF(AND($D839&lt;&gt;"",OR($B839="결제완료",$B839="상담중")),1,0)</f>
        <v>0</v>
      </c>
      <c r="AD839" s="45" t="n">
        <f aca="false">IF(OR($Z839="",$U839=""),0,IFERROR(IF(COUNTIFS(INDEX(g_grid,0,2*MATCH($M839,강사DB!$A$4:$A$15,0)),"&lt;&gt;",g_s,"&lt;="&amp;$U839,g_e,"&gt;="&amp;$U839)&gt;0,1,0),0))</f>
        <v>0</v>
      </c>
      <c r="AE839" s="48"/>
      <c r="AF839" s="56" t="str">
        <f aca="false">IF(AND($D839&lt;&gt;"",$B839="결제완료",$T839="대여"),설정!$J$5,"")</f>
        <v/>
      </c>
      <c r="AG839" s="54" t="str">
        <f aca="false">IF($D839="","",IF(AND($E839="",$R839=""),$AB839,"☎ "&amp;IF($E839="","-",$E839)&amp;IF($R839&lt;&gt;"","  ※ "&amp;$R839,"")&amp;IF($B839="상담중"," (상담)","")))</f>
        <v/>
      </c>
      <c r="AH839" s="56" t="str">
        <f aca="false">IF(AND($D839&lt;&gt;"",$B839="결제완료",$O839="스마트스토어"),ROUND(N($N839)*설정!$J$6,0),"")</f>
        <v/>
      </c>
      <c r="AI839" s="54" t="str">
        <f aca="false">IF($D839="","",ROW())</f>
        <v/>
      </c>
      <c r="AJ839" s="54" t="n">
        <f aca="false">IF(OR($AC839&lt;&gt;1,$M839=""),0,IF(ISNUMBER(SEARCH("퇴사",IFERROR(INDEX(강사DB!$G$4:$G$53,MATCH($M839,강사DB!$A$4:$A$53,0)),""))),1,0))</f>
        <v>0</v>
      </c>
    </row>
    <row r="840" customFormat="false" ht="15" hidden="false" customHeight="false" outlineLevel="0" collapsed="false">
      <c r="A840" s="45" t="str">
        <f aca="false">IF($D840="","",COUNTA($D$5:$D840))</f>
        <v/>
      </c>
      <c r="B840" s="46"/>
      <c r="C840" s="47"/>
      <c r="D840" s="48"/>
      <c r="E840" s="48"/>
      <c r="F840" s="49"/>
      <c r="G840" s="47"/>
      <c r="H840" s="50"/>
      <c r="I840" s="50"/>
      <c r="J840" s="51" t="str">
        <f aca="false">IF(OR($V840="",$W840=""),"",ROUND(($W840-$V840)/60,2))</f>
        <v/>
      </c>
      <c r="K840" s="52" t="str">
        <f aca="false">IF($F840="","",LEN($F840)-LEN(SUBSTITUTE($F840,",",""))+1)</f>
        <v/>
      </c>
      <c r="L840" s="45" t="str">
        <f aca="false">IF($K840="","","1:"&amp;$K840)</f>
        <v/>
      </c>
      <c r="M840" s="46"/>
      <c r="N840" s="53"/>
      <c r="O840" s="46"/>
      <c r="P840" s="47"/>
      <c r="Q840" s="48"/>
      <c r="R840" s="49"/>
      <c r="S840" s="54" t="str">
        <f aca="false">IF(OR($AC840=0,$U840="",$M840="",$V840="",$W840=""),"",IF(COUNTIFS(m_teacher,$M840,m_date,$U840,m_active,1,m_start,"&lt;"&amp;$W840,m_end,"&gt;"&amp;$V840)&gt;1,"충돌",""))</f>
        <v/>
      </c>
      <c r="T840" s="48"/>
      <c r="U840" s="55" t="str">
        <f aca="false">IF($G840="","",IFERROR(IF(ISNUMBER($G840),IF($G840&gt;19000000,DATE(INT($G840/10000),MOD(INT($G840/100),100),MOD($G840,100)),INT($G840)),IF(LEN(SUBSTITUTE(SUBSTITUTE(SUBSTITUTE(TRIM($G840),"-",""),".",""),"/",""))=8,DATE(VALUE(LEFT(SUBSTITUTE(SUBSTITUTE(SUBSTITUTE(TRIM($G840),"-",""),".",""),"/",""),4)),VALUE(MID(SUBSTITUTE(SUBSTITUTE(SUBSTITUTE(TRIM($G840),"-",""),".",""),"/",""),5,2)),VALUE(RIGHT(SUBSTITUTE(SUBSTITUTE(SUBSTITUTE(TRIM($G840),"-",""),".",""),"/",""),2))),DATEVALUE($G840))),""))</f>
        <v/>
      </c>
      <c r="V840" s="52" t="str">
        <f aca="false">IF($H840="","",IFERROR(IF(IF(ISNUMBER($H840),$H840,IFERROR(TIMEVALUE($H840),VALUE($H840)))&gt;=100,INT(IF(ISNUMBER($H840),$H840,IFERROR(TIMEVALUE($H840),VALUE($H840)))/100)*60+MOD(IF(ISNUMBER($H840),$H840,IFERROR(TIMEVALUE($H840),VALUE($H840))),100),IF(IF(ISNUMBER($H840),$H840,IFERROR(TIMEVALUE($H840),VALUE($H840)))&gt;=1,ROUND(IF(ISNUMBER($H840),$H840,IFERROR(TIMEVALUE($H840),VALUE($H840)))*60,0),ROUND(MOD(IF(ISNUMBER($H840),$H840,IFERROR(TIMEVALUE($H840),VALUE($H840))),1)*1440,0))),""))</f>
        <v/>
      </c>
      <c r="W840" s="52" t="str">
        <f aca="false">IF($I840="","",IFERROR(IF(IF(ISNUMBER($I840),$I840,IFERROR(TIMEVALUE($I840),VALUE($I840)))&gt;=100,INT(IF(ISNUMBER($I840),$I840,IFERROR(TIMEVALUE($I840),VALUE($I840)))/100)*60+MOD(IF(ISNUMBER($I840),$I840,IFERROR(TIMEVALUE($I840),VALUE($I840))),100),IF(IF(ISNUMBER($I840),$I840,IFERROR(TIMEVALUE($I840),VALUE($I840)))&gt;=1,ROUND(IF(ISNUMBER($I840),$I840,IFERROR(TIMEVALUE($I840),VALUE($I840)))*60,0),ROUND(MOD(IF(ISNUMBER($I840),$I840,IFERROR(TIMEVALUE($I840),VALUE($I840))),1)*1440,0))),""))</f>
        <v/>
      </c>
      <c r="X840" s="55" t="str">
        <f aca="false">IF($P840="","",IFERROR(IF(ISNUMBER($P840),IF($P840&gt;19000000,DATE(INT($P840/10000),MOD(INT($P840/100),100),MOD($P840,100)),INT($P840)),IF(LEN(SUBSTITUTE(SUBSTITUTE(SUBSTITUTE(TRIM($P840),"-",""),".",""),"/",""))=8,DATE(VALUE(LEFT(SUBSTITUTE(SUBSTITUTE(SUBSTITUTE(TRIM($P840),"-",""),".",""),"/",""),4)),VALUE(MID(SUBSTITUTE(SUBSTITUTE(SUBSTITUTE(TRIM($P840),"-",""),".",""),"/",""),5,2)),VALUE(RIGHT(SUBSTITUTE(SUBSTITUTE(SUBSTITUTE(TRIM($P840),"-",""),".",""),"/",""),2))),DATEVALUE($P840))),""))</f>
        <v/>
      </c>
      <c r="Y840" s="56" t="str">
        <f aca="false">IF($M840="","",IFERROR(INDEX(강사DB!$D$4:$D$53,MATCH($M840,강사DB!$A$4:$A$53,0)),""))</f>
        <v/>
      </c>
      <c r="Z840" s="56" t="str">
        <f aca="false">IF($B840&lt;&gt;"결제완료","",IF(OR($Y840="",$J840=""),"",$Y840*$J840+MAX(0,N($K840)-1)*설정!$J$7))</f>
        <v/>
      </c>
      <c r="AA840" s="56" t="str">
        <f aca="false">IF(AND($D840&lt;&gt;"",$B840="결제완료"),N($N840),"")</f>
        <v/>
      </c>
      <c r="AB840" s="45" t="str">
        <f aca="false">IF($D840="","",IF($F840&lt;&gt;"",$F840,$D840)&amp;IF($B840="상담중"," (상담)",""))</f>
        <v/>
      </c>
      <c r="AC840" s="45" t="n">
        <f aca="false">IF(AND($D840&lt;&gt;"",OR($B840="결제완료",$B840="상담중")),1,0)</f>
        <v>0</v>
      </c>
      <c r="AD840" s="45" t="n">
        <f aca="false">IF(OR($Z840="",$U840=""),0,IFERROR(IF(COUNTIFS(INDEX(g_grid,0,2*MATCH($M840,강사DB!$A$4:$A$15,0)),"&lt;&gt;",g_s,"&lt;="&amp;$U840,g_e,"&gt;="&amp;$U840)&gt;0,1,0),0))</f>
        <v>0</v>
      </c>
      <c r="AE840" s="48"/>
      <c r="AF840" s="56" t="str">
        <f aca="false">IF(AND($D840&lt;&gt;"",$B840="결제완료",$T840="대여"),설정!$J$5,"")</f>
        <v/>
      </c>
      <c r="AG840" s="54" t="str">
        <f aca="false">IF($D840="","",IF(AND($E840="",$R840=""),$AB840,"☎ "&amp;IF($E840="","-",$E840)&amp;IF($R840&lt;&gt;"","  ※ "&amp;$R840,"")&amp;IF($B840="상담중"," (상담)","")))</f>
        <v/>
      </c>
      <c r="AH840" s="56" t="str">
        <f aca="false">IF(AND($D840&lt;&gt;"",$B840="결제완료",$O840="스마트스토어"),ROUND(N($N840)*설정!$J$6,0),"")</f>
        <v/>
      </c>
      <c r="AI840" s="54" t="str">
        <f aca="false">IF($D840="","",ROW())</f>
        <v/>
      </c>
      <c r="AJ840" s="54" t="n">
        <f aca="false">IF(OR($AC840&lt;&gt;1,$M840=""),0,IF(ISNUMBER(SEARCH("퇴사",IFERROR(INDEX(강사DB!$G$4:$G$53,MATCH($M840,강사DB!$A$4:$A$53,0)),""))),1,0))</f>
        <v>0</v>
      </c>
    </row>
    <row r="841" customFormat="false" ht="15" hidden="false" customHeight="false" outlineLevel="0" collapsed="false">
      <c r="A841" s="45" t="str">
        <f aca="false">IF($D841="","",COUNTA($D$5:$D841))</f>
        <v/>
      </c>
      <c r="B841" s="46"/>
      <c r="C841" s="47"/>
      <c r="D841" s="48"/>
      <c r="E841" s="48"/>
      <c r="F841" s="49"/>
      <c r="G841" s="47"/>
      <c r="H841" s="50"/>
      <c r="I841" s="50"/>
      <c r="J841" s="51" t="str">
        <f aca="false">IF(OR($V841="",$W841=""),"",ROUND(($W841-$V841)/60,2))</f>
        <v/>
      </c>
      <c r="K841" s="52" t="str">
        <f aca="false">IF($F841="","",LEN($F841)-LEN(SUBSTITUTE($F841,",",""))+1)</f>
        <v/>
      </c>
      <c r="L841" s="45" t="str">
        <f aca="false">IF($K841="","","1:"&amp;$K841)</f>
        <v/>
      </c>
      <c r="M841" s="46"/>
      <c r="N841" s="53"/>
      <c r="O841" s="46"/>
      <c r="P841" s="47"/>
      <c r="Q841" s="48"/>
      <c r="R841" s="49"/>
      <c r="S841" s="54" t="str">
        <f aca="false">IF(OR($AC841=0,$U841="",$M841="",$V841="",$W841=""),"",IF(COUNTIFS(m_teacher,$M841,m_date,$U841,m_active,1,m_start,"&lt;"&amp;$W841,m_end,"&gt;"&amp;$V841)&gt;1,"충돌",""))</f>
        <v/>
      </c>
      <c r="T841" s="48"/>
      <c r="U841" s="55" t="str">
        <f aca="false">IF($G841="","",IFERROR(IF(ISNUMBER($G841),IF($G841&gt;19000000,DATE(INT($G841/10000),MOD(INT($G841/100),100),MOD($G841,100)),INT($G841)),IF(LEN(SUBSTITUTE(SUBSTITUTE(SUBSTITUTE(TRIM($G841),"-",""),".",""),"/",""))=8,DATE(VALUE(LEFT(SUBSTITUTE(SUBSTITUTE(SUBSTITUTE(TRIM($G841),"-",""),".",""),"/",""),4)),VALUE(MID(SUBSTITUTE(SUBSTITUTE(SUBSTITUTE(TRIM($G841),"-",""),".",""),"/",""),5,2)),VALUE(RIGHT(SUBSTITUTE(SUBSTITUTE(SUBSTITUTE(TRIM($G841),"-",""),".",""),"/",""),2))),DATEVALUE($G841))),""))</f>
        <v/>
      </c>
      <c r="V841" s="52" t="str">
        <f aca="false">IF($H841="","",IFERROR(IF(IF(ISNUMBER($H841),$H841,IFERROR(TIMEVALUE($H841),VALUE($H841)))&gt;=100,INT(IF(ISNUMBER($H841),$H841,IFERROR(TIMEVALUE($H841),VALUE($H841)))/100)*60+MOD(IF(ISNUMBER($H841),$H841,IFERROR(TIMEVALUE($H841),VALUE($H841))),100),IF(IF(ISNUMBER($H841),$H841,IFERROR(TIMEVALUE($H841),VALUE($H841)))&gt;=1,ROUND(IF(ISNUMBER($H841),$H841,IFERROR(TIMEVALUE($H841),VALUE($H841)))*60,0),ROUND(MOD(IF(ISNUMBER($H841),$H841,IFERROR(TIMEVALUE($H841),VALUE($H841))),1)*1440,0))),""))</f>
        <v/>
      </c>
      <c r="W841" s="52" t="str">
        <f aca="false">IF($I841="","",IFERROR(IF(IF(ISNUMBER($I841),$I841,IFERROR(TIMEVALUE($I841),VALUE($I841)))&gt;=100,INT(IF(ISNUMBER($I841),$I841,IFERROR(TIMEVALUE($I841),VALUE($I841)))/100)*60+MOD(IF(ISNUMBER($I841),$I841,IFERROR(TIMEVALUE($I841),VALUE($I841))),100),IF(IF(ISNUMBER($I841),$I841,IFERROR(TIMEVALUE($I841),VALUE($I841)))&gt;=1,ROUND(IF(ISNUMBER($I841),$I841,IFERROR(TIMEVALUE($I841),VALUE($I841)))*60,0),ROUND(MOD(IF(ISNUMBER($I841),$I841,IFERROR(TIMEVALUE($I841),VALUE($I841))),1)*1440,0))),""))</f>
        <v/>
      </c>
      <c r="X841" s="55" t="str">
        <f aca="false">IF($P841="","",IFERROR(IF(ISNUMBER($P841),IF($P841&gt;19000000,DATE(INT($P841/10000),MOD(INT($P841/100),100),MOD($P841,100)),INT($P841)),IF(LEN(SUBSTITUTE(SUBSTITUTE(SUBSTITUTE(TRIM($P841),"-",""),".",""),"/",""))=8,DATE(VALUE(LEFT(SUBSTITUTE(SUBSTITUTE(SUBSTITUTE(TRIM($P841),"-",""),".",""),"/",""),4)),VALUE(MID(SUBSTITUTE(SUBSTITUTE(SUBSTITUTE(TRIM($P841),"-",""),".",""),"/",""),5,2)),VALUE(RIGHT(SUBSTITUTE(SUBSTITUTE(SUBSTITUTE(TRIM($P841),"-",""),".",""),"/",""),2))),DATEVALUE($P841))),""))</f>
        <v/>
      </c>
      <c r="Y841" s="56" t="str">
        <f aca="false">IF($M841="","",IFERROR(INDEX(강사DB!$D$4:$D$53,MATCH($M841,강사DB!$A$4:$A$53,0)),""))</f>
        <v/>
      </c>
      <c r="Z841" s="56" t="str">
        <f aca="false">IF($B841&lt;&gt;"결제완료","",IF(OR($Y841="",$J841=""),"",$Y841*$J841+MAX(0,N($K841)-1)*설정!$J$7))</f>
        <v/>
      </c>
      <c r="AA841" s="56" t="str">
        <f aca="false">IF(AND($D841&lt;&gt;"",$B841="결제완료"),N($N841),"")</f>
        <v/>
      </c>
      <c r="AB841" s="45" t="str">
        <f aca="false">IF($D841="","",IF($F841&lt;&gt;"",$F841,$D841)&amp;IF($B841="상담중"," (상담)",""))</f>
        <v/>
      </c>
      <c r="AC841" s="45" t="n">
        <f aca="false">IF(AND($D841&lt;&gt;"",OR($B841="결제완료",$B841="상담중")),1,0)</f>
        <v>0</v>
      </c>
      <c r="AD841" s="45" t="n">
        <f aca="false">IF(OR($Z841="",$U841=""),0,IFERROR(IF(COUNTIFS(INDEX(g_grid,0,2*MATCH($M841,강사DB!$A$4:$A$15,0)),"&lt;&gt;",g_s,"&lt;="&amp;$U841,g_e,"&gt;="&amp;$U841)&gt;0,1,0),0))</f>
        <v>0</v>
      </c>
      <c r="AE841" s="48"/>
      <c r="AF841" s="56" t="str">
        <f aca="false">IF(AND($D841&lt;&gt;"",$B841="결제완료",$T841="대여"),설정!$J$5,"")</f>
        <v/>
      </c>
      <c r="AG841" s="54" t="str">
        <f aca="false">IF($D841="","",IF(AND($E841="",$R841=""),$AB841,"☎ "&amp;IF($E841="","-",$E841)&amp;IF($R841&lt;&gt;"","  ※ "&amp;$R841,"")&amp;IF($B841="상담중"," (상담)","")))</f>
        <v/>
      </c>
      <c r="AH841" s="56" t="str">
        <f aca="false">IF(AND($D841&lt;&gt;"",$B841="결제완료",$O841="스마트스토어"),ROUND(N($N841)*설정!$J$6,0),"")</f>
        <v/>
      </c>
      <c r="AI841" s="54" t="str">
        <f aca="false">IF($D841="","",ROW())</f>
        <v/>
      </c>
      <c r="AJ841" s="54" t="n">
        <f aca="false">IF(OR($AC841&lt;&gt;1,$M841=""),0,IF(ISNUMBER(SEARCH("퇴사",IFERROR(INDEX(강사DB!$G$4:$G$53,MATCH($M841,강사DB!$A$4:$A$53,0)),""))),1,0))</f>
        <v>0</v>
      </c>
    </row>
    <row r="842" customFormat="false" ht="15" hidden="false" customHeight="false" outlineLevel="0" collapsed="false">
      <c r="A842" s="45" t="str">
        <f aca="false">IF($D842="","",COUNTA($D$5:$D842))</f>
        <v/>
      </c>
      <c r="B842" s="46"/>
      <c r="C842" s="47"/>
      <c r="D842" s="48"/>
      <c r="E842" s="48"/>
      <c r="F842" s="49"/>
      <c r="G842" s="47"/>
      <c r="H842" s="50"/>
      <c r="I842" s="50"/>
      <c r="J842" s="51" t="str">
        <f aca="false">IF(OR($V842="",$W842=""),"",ROUND(($W842-$V842)/60,2))</f>
        <v/>
      </c>
      <c r="K842" s="52" t="str">
        <f aca="false">IF($F842="","",LEN($F842)-LEN(SUBSTITUTE($F842,",",""))+1)</f>
        <v/>
      </c>
      <c r="L842" s="45" t="str">
        <f aca="false">IF($K842="","","1:"&amp;$K842)</f>
        <v/>
      </c>
      <c r="M842" s="46"/>
      <c r="N842" s="53"/>
      <c r="O842" s="46"/>
      <c r="P842" s="47"/>
      <c r="Q842" s="48"/>
      <c r="R842" s="49"/>
      <c r="S842" s="54" t="str">
        <f aca="false">IF(OR($AC842=0,$U842="",$M842="",$V842="",$W842=""),"",IF(COUNTIFS(m_teacher,$M842,m_date,$U842,m_active,1,m_start,"&lt;"&amp;$W842,m_end,"&gt;"&amp;$V842)&gt;1,"충돌",""))</f>
        <v/>
      </c>
      <c r="T842" s="48"/>
      <c r="U842" s="55" t="str">
        <f aca="false">IF($G842="","",IFERROR(IF(ISNUMBER($G842),IF($G842&gt;19000000,DATE(INT($G842/10000),MOD(INT($G842/100),100),MOD($G842,100)),INT($G842)),IF(LEN(SUBSTITUTE(SUBSTITUTE(SUBSTITUTE(TRIM($G842),"-",""),".",""),"/",""))=8,DATE(VALUE(LEFT(SUBSTITUTE(SUBSTITUTE(SUBSTITUTE(TRIM($G842),"-",""),".",""),"/",""),4)),VALUE(MID(SUBSTITUTE(SUBSTITUTE(SUBSTITUTE(TRIM($G842),"-",""),".",""),"/",""),5,2)),VALUE(RIGHT(SUBSTITUTE(SUBSTITUTE(SUBSTITUTE(TRIM($G842),"-",""),".",""),"/",""),2))),DATEVALUE($G842))),""))</f>
        <v/>
      </c>
      <c r="V842" s="52" t="str">
        <f aca="false">IF($H842="","",IFERROR(IF(IF(ISNUMBER($H842),$H842,IFERROR(TIMEVALUE($H842),VALUE($H842)))&gt;=100,INT(IF(ISNUMBER($H842),$H842,IFERROR(TIMEVALUE($H842),VALUE($H842)))/100)*60+MOD(IF(ISNUMBER($H842),$H842,IFERROR(TIMEVALUE($H842),VALUE($H842))),100),IF(IF(ISNUMBER($H842),$H842,IFERROR(TIMEVALUE($H842),VALUE($H842)))&gt;=1,ROUND(IF(ISNUMBER($H842),$H842,IFERROR(TIMEVALUE($H842),VALUE($H842)))*60,0),ROUND(MOD(IF(ISNUMBER($H842),$H842,IFERROR(TIMEVALUE($H842),VALUE($H842))),1)*1440,0))),""))</f>
        <v/>
      </c>
      <c r="W842" s="52" t="str">
        <f aca="false">IF($I842="","",IFERROR(IF(IF(ISNUMBER($I842),$I842,IFERROR(TIMEVALUE($I842),VALUE($I842)))&gt;=100,INT(IF(ISNUMBER($I842),$I842,IFERROR(TIMEVALUE($I842),VALUE($I842)))/100)*60+MOD(IF(ISNUMBER($I842),$I842,IFERROR(TIMEVALUE($I842),VALUE($I842))),100),IF(IF(ISNUMBER($I842),$I842,IFERROR(TIMEVALUE($I842),VALUE($I842)))&gt;=1,ROUND(IF(ISNUMBER($I842),$I842,IFERROR(TIMEVALUE($I842),VALUE($I842)))*60,0),ROUND(MOD(IF(ISNUMBER($I842),$I842,IFERROR(TIMEVALUE($I842),VALUE($I842))),1)*1440,0))),""))</f>
        <v/>
      </c>
      <c r="X842" s="55" t="str">
        <f aca="false">IF($P842="","",IFERROR(IF(ISNUMBER($P842),IF($P842&gt;19000000,DATE(INT($P842/10000),MOD(INT($P842/100),100),MOD($P842,100)),INT($P842)),IF(LEN(SUBSTITUTE(SUBSTITUTE(SUBSTITUTE(TRIM($P842),"-",""),".",""),"/",""))=8,DATE(VALUE(LEFT(SUBSTITUTE(SUBSTITUTE(SUBSTITUTE(TRIM($P842),"-",""),".",""),"/",""),4)),VALUE(MID(SUBSTITUTE(SUBSTITUTE(SUBSTITUTE(TRIM($P842),"-",""),".",""),"/",""),5,2)),VALUE(RIGHT(SUBSTITUTE(SUBSTITUTE(SUBSTITUTE(TRIM($P842),"-",""),".",""),"/",""),2))),DATEVALUE($P842))),""))</f>
        <v/>
      </c>
      <c r="Y842" s="56" t="str">
        <f aca="false">IF($M842="","",IFERROR(INDEX(강사DB!$D$4:$D$53,MATCH($M842,강사DB!$A$4:$A$53,0)),""))</f>
        <v/>
      </c>
      <c r="Z842" s="56" t="str">
        <f aca="false">IF($B842&lt;&gt;"결제완료","",IF(OR($Y842="",$J842=""),"",$Y842*$J842+MAX(0,N($K842)-1)*설정!$J$7))</f>
        <v/>
      </c>
      <c r="AA842" s="56" t="str">
        <f aca="false">IF(AND($D842&lt;&gt;"",$B842="결제완료"),N($N842),"")</f>
        <v/>
      </c>
      <c r="AB842" s="45" t="str">
        <f aca="false">IF($D842="","",IF($F842&lt;&gt;"",$F842,$D842)&amp;IF($B842="상담중"," (상담)",""))</f>
        <v/>
      </c>
      <c r="AC842" s="45" t="n">
        <f aca="false">IF(AND($D842&lt;&gt;"",OR($B842="결제완료",$B842="상담중")),1,0)</f>
        <v>0</v>
      </c>
      <c r="AD842" s="45" t="n">
        <f aca="false">IF(OR($Z842="",$U842=""),0,IFERROR(IF(COUNTIFS(INDEX(g_grid,0,2*MATCH($M842,강사DB!$A$4:$A$15,0)),"&lt;&gt;",g_s,"&lt;="&amp;$U842,g_e,"&gt;="&amp;$U842)&gt;0,1,0),0))</f>
        <v>0</v>
      </c>
      <c r="AE842" s="48"/>
      <c r="AF842" s="56" t="str">
        <f aca="false">IF(AND($D842&lt;&gt;"",$B842="결제완료",$T842="대여"),설정!$J$5,"")</f>
        <v/>
      </c>
      <c r="AG842" s="54" t="str">
        <f aca="false">IF($D842="","",IF(AND($E842="",$R842=""),$AB842,"☎ "&amp;IF($E842="","-",$E842)&amp;IF($R842&lt;&gt;"","  ※ "&amp;$R842,"")&amp;IF($B842="상담중"," (상담)","")))</f>
        <v/>
      </c>
      <c r="AH842" s="56" t="str">
        <f aca="false">IF(AND($D842&lt;&gt;"",$B842="결제완료",$O842="스마트스토어"),ROUND(N($N842)*설정!$J$6,0),"")</f>
        <v/>
      </c>
      <c r="AI842" s="54" t="str">
        <f aca="false">IF($D842="","",ROW())</f>
        <v/>
      </c>
      <c r="AJ842" s="54" t="n">
        <f aca="false">IF(OR($AC842&lt;&gt;1,$M842=""),0,IF(ISNUMBER(SEARCH("퇴사",IFERROR(INDEX(강사DB!$G$4:$G$53,MATCH($M842,강사DB!$A$4:$A$53,0)),""))),1,0))</f>
        <v>0</v>
      </c>
    </row>
    <row r="843" customFormat="false" ht="15" hidden="false" customHeight="false" outlineLevel="0" collapsed="false">
      <c r="A843" s="45" t="str">
        <f aca="false">IF($D843="","",COUNTA($D$5:$D843))</f>
        <v/>
      </c>
      <c r="B843" s="46"/>
      <c r="C843" s="47"/>
      <c r="D843" s="48"/>
      <c r="E843" s="48"/>
      <c r="F843" s="49"/>
      <c r="G843" s="47"/>
      <c r="H843" s="50"/>
      <c r="I843" s="50"/>
      <c r="J843" s="51" t="str">
        <f aca="false">IF(OR($V843="",$W843=""),"",ROUND(($W843-$V843)/60,2))</f>
        <v/>
      </c>
      <c r="K843" s="52" t="str">
        <f aca="false">IF($F843="","",LEN($F843)-LEN(SUBSTITUTE($F843,",",""))+1)</f>
        <v/>
      </c>
      <c r="L843" s="45" t="str">
        <f aca="false">IF($K843="","","1:"&amp;$K843)</f>
        <v/>
      </c>
      <c r="M843" s="46"/>
      <c r="N843" s="53"/>
      <c r="O843" s="46"/>
      <c r="P843" s="47"/>
      <c r="Q843" s="48"/>
      <c r="R843" s="49"/>
      <c r="S843" s="54" t="str">
        <f aca="false">IF(OR($AC843=0,$U843="",$M843="",$V843="",$W843=""),"",IF(COUNTIFS(m_teacher,$M843,m_date,$U843,m_active,1,m_start,"&lt;"&amp;$W843,m_end,"&gt;"&amp;$V843)&gt;1,"충돌",""))</f>
        <v/>
      </c>
      <c r="T843" s="48"/>
      <c r="U843" s="55" t="str">
        <f aca="false">IF($G843="","",IFERROR(IF(ISNUMBER($G843),IF($G843&gt;19000000,DATE(INT($G843/10000),MOD(INT($G843/100),100),MOD($G843,100)),INT($G843)),IF(LEN(SUBSTITUTE(SUBSTITUTE(SUBSTITUTE(TRIM($G843),"-",""),".",""),"/",""))=8,DATE(VALUE(LEFT(SUBSTITUTE(SUBSTITUTE(SUBSTITUTE(TRIM($G843),"-",""),".",""),"/",""),4)),VALUE(MID(SUBSTITUTE(SUBSTITUTE(SUBSTITUTE(TRIM($G843),"-",""),".",""),"/",""),5,2)),VALUE(RIGHT(SUBSTITUTE(SUBSTITUTE(SUBSTITUTE(TRIM($G843),"-",""),".",""),"/",""),2))),DATEVALUE($G843))),""))</f>
        <v/>
      </c>
      <c r="V843" s="52" t="str">
        <f aca="false">IF($H843="","",IFERROR(IF(IF(ISNUMBER($H843),$H843,IFERROR(TIMEVALUE($H843),VALUE($H843)))&gt;=100,INT(IF(ISNUMBER($H843),$H843,IFERROR(TIMEVALUE($H843),VALUE($H843)))/100)*60+MOD(IF(ISNUMBER($H843),$H843,IFERROR(TIMEVALUE($H843),VALUE($H843))),100),IF(IF(ISNUMBER($H843),$H843,IFERROR(TIMEVALUE($H843),VALUE($H843)))&gt;=1,ROUND(IF(ISNUMBER($H843),$H843,IFERROR(TIMEVALUE($H843),VALUE($H843)))*60,0),ROUND(MOD(IF(ISNUMBER($H843),$H843,IFERROR(TIMEVALUE($H843),VALUE($H843))),1)*1440,0))),""))</f>
        <v/>
      </c>
      <c r="W843" s="52" t="str">
        <f aca="false">IF($I843="","",IFERROR(IF(IF(ISNUMBER($I843),$I843,IFERROR(TIMEVALUE($I843),VALUE($I843)))&gt;=100,INT(IF(ISNUMBER($I843),$I843,IFERROR(TIMEVALUE($I843),VALUE($I843)))/100)*60+MOD(IF(ISNUMBER($I843),$I843,IFERROR(TIMEVALUE($I843),VALUE($I843))),100),IF(IF(ISNUMBER($I843),$I843,IFERROR(TIMEVALUE($I843),VALUE($I843)))&gt;=1,ROUND(IF(ISNUMBER($I843),$I843,IFERROR(TIMEVALUE($I843),VALUE($I843)))*60,0),ROUND(MOD(IF(ISNUMBER($I843),$I843,IFERROR(TIMEVALUE($I843),VALUE($I843))),1)*1440,0))),""))</f>
        <v/>
      </c>
      <c r="X843" s="55" t="str">
        <f aca="false">IF($P843="","",IFERROR(IF(ISNUMBER($P843),IF($P843&gt;19000000,DATE(INT($P843/10000),MOD(INT($P843/100),100),MOD($P843,100)),INT($P843)),IF(LEN(SUBSTITUTE(SUBSTITUTE(SUBSTITUTE(TRIM($P843),"-",""),".",""),"/",""))=8,DATE(VALUE(LEFT(SUBSTITUTE(SUBSTITUTE(SUBSTITUTE(TRIM($P843),"-",""),".",""),"/",""),4)),VALUE(MID(SUBSTITUTE(SUBSTITUTE(SUBSTITUTE(TRIM($P843),"-",""),".",""),"/",""),5,2)),VALUE(RIGHT(SUBSTITUTE(SUBSTITUTE(SUBSTITUTE(TRIM($P843),"-",""),".",""),"/",""),2))),DATEVALUE($P843))),""))</f>
        <v/>
      </c>
      <c r="Y843" s="56" t="str">
        <f aca="false">IF($M843="","",IFERROR(INDEX(강사DB!$D$4:$D$53,MATCH($M843,강사DB!$A$4:$A$53,0)),""))</f>
        <v/>
      </c>
      <c r="Z843" s="56" t="str">
        <f aca="false">IF($B843&lt;&gt;"결제완료","",IF(OR($Y843="",$J843=""),"",$Y843*$J843+MAX(0,N($K843)-1)*설정!$J$7))</f>
        <v/>
      </c>
      <c r="AA843" s="56" t="str">
        <f aca="false">IF(AND($D843&lt;&gt;"",$B843="결제완료"),N($N843),"")</f>
        <v/>
      </c>
      <c r="AB843" s="45" t="str">
        <f aca="false">IF($D843="","",IF($F843&lt;&gt;"",$F843,$D843)&amp;IF($B843="상담중"," (상담)",""))</f>
        <v/>
      </c>
      <c r="AC843" s="45" t="n">
        <f aca="false">IF(AND($D843&lt;&gt;"",OR($B843="결제완료",$B843="상담중")),1,0)</f>
        <v>0</v>
      </c>
      <c r="AD843" s="45" t="n">
        <f aca="false">IF(OR($Z843="",$U843=""),0,IFERROR(IF(COUNTIFS(INDEX(g_grid,0,2*MATCH($M843,강사DB!$A$4:$A$15,0)),"&lt;&gt;",g_s,"&lt;="&amp;$U843,g_e,"&gt;="&amp;$U843)&gt;0,1,0),0))</f>
        <v>0</v>
      </c>
      <c r="AE843" s="48"/>
      <c r="AF843" s="56" t="str">
        <f aca="false">IF(AND($D843&lt;&gt;"",$B843="결제완료",$T843="대여"),설정!$J$5,"")</f>
        <v/>
      </c>
      <c r="AG843" s="54" t="str">
        <f aca="false">IF($D843="","",IF(AND($E843="",$R843=""),$AB843,"☎ "&amp;IF($E843="","-",$E843)&amp;IF($R843&lt;&gt;"","  ※ "&amp;$R843,"")&amp;IF($B843="상담중"," (상담)","")))</f>
        <v/>
      </c>
      <c r="AH843" s="56" t="str">
        <f aca="false">IF(AND($D843&lt;&gt;"",$B843="결제완료",$O843="스마트스토어"),ROUND(N($N843)*설정!$J$6,0),"")</f>
        <v/>
      </c>
      <c r="AI843" s="54" t="str">
        <f aca="false">IF($D843="","",ROW())</f>
        <v/>
      </c>
      <c r="AJ843" s="54" t="n">
        <f aca="false">IF(OR($AC843&lt;&gt;1,$M843=""),0,IF(ISNUMBER(SEARCH("퇴사",IFERROR(INDEX(강사DB!$G$4:$G$53,MATCH($M843,강사DB!$A$4:$A$53,0)),""))),1,0))</f>
        <v>0</v>
      </c>
    </row>
    <row r="844" customFormat="false" ht="15" hidden="false" customHeight="false" outlineLevel="0" collapsed="false">
      <c r="A844" s="45" t="str">
        <f aca="false">IF($D844="","",COUNTA($D$5:$D844))</f>
        <v/>
      </c>
      <c r="B844" s="46"/>
      <c r="C844" s="47"/>
      <c r="D844" s="48"/>
      <c r="E844" s="48"/>
      <c r="F844" s="49"/>
      <c r="G844" s="47"/>
      <c r="H844" s="50"/>
      <c r="I844" s="50"/>
      <c r="J844" s="51" t="str">
        <f aca="false">IF(OR($V844="",$W844=""),"",ROUND(($W844-$V844)/60,2))</f>
        <v/>
      </c>
      <c r="K844" s="52" t="str">
        <f aca="false">IF($F844="","",LEN($F844)-LEN(SUBSTITUTE($F844,",",""))+1)</f>
        <v/>
      </c>
      <c r="L844" s="45" t="str">
        <f aca="false">IF($K844="","","1:"&amp;$K844)</f>
        <v/>
      </c>
      <c r="M844" s="46"/>
      <c r="N844" s="53"/>
      <c r="O844" s="46"/>
      <c r="P844" s="47"/>
      <c r="Q844" s="48"/>
      <c r="R844" s="49"/>
      <c r="S844" s="54" t="str">
        <f aca="false">IF(OR($AC844=0,$U844="",$M844="",$V844="",$W844=""),"",IF(COUNTIFS(m_teacher,$M844,m_date,$U844,m_active,1,m_start,"&lt;"&amp;$W844,m_end,"&gt;"&amp;$V844)&gt;1,"충돌",""))</f>
        <v/>
      </c>
      <c r="T844" s="48"/>
      <c r="U844" s="55" t="str">
        <f aca="false">IF($G844="","",IFERROR(IF(ISNUMBER($G844),IF($G844&gt;19000000,DATE(INT($G844/10000),MOD(INT($G844/100),100),MOD($G844,100)),INT($G844)),IF(LEN(SUBSTITUTE(SUBSTITUTE(SUBSTITUTE(TRIM($G844),"-",""),".",""),"/",""))=8,DATE(VALUE(LEFT(SUBSTITUTE(SUBSTITUTE(SUBSTITUTE(TRIM($G844),"-",""),".",""),"/",""),4)),VALUE(MID(SUBSTITUTE(SUBSTITUTE(SUBSTITUTE(TRIM($G844),"-",""),".",""),"/",""),5,2)),VALUE(RIGHT(SUBSTITUTE(SUBSTITUTE(SUBSTITUTE(TRIM($G844),"-",""),".",""),"/",""),2))),DATEVALUE($G844))),""))</f>
        <v/>
      </c>
      <c r="V844" s="52" t="str">
        <f aca="false">IF($H844="","",IFERROR(IF(IF(ISNUMBER($H844),$H844,IFERROR(TIMEVALUE($H844),VALUE($H844)))&gt;=100,INT(IF(ISNUMBER($H844),$H844,IFERROR(TIMEVALUE($H844),VALUE($H844)))/100)*60+MOD(IF(ISNUMBER($H844),$H844,IFERROR(TIMEVALUE($H844),VALUE($H844))),100),IF(IF(ISNUMBER($H844),$H844,IFERROR(TIMEVALUE($H844),VALUE($H844)))&gt;=1,ROUND(IF(ISNUMBER($H844),$H844,IFERROR(TIMEVALUE($H844),VALUE($H844)))*60,0),ROUND(MOD(IF(ISNUMBER($H844),$H844,IFERROR(TIMEVALUE($H844),VALUE($H844))),1)*1440,0))),""))</f>
        <v/>
      </c>
      <c r="W844" s="52" t="str">
        <f aca="false">IF($I844="","",IFERROR(IF(IF(ISNUMBER($I844),$I844,IFERROR(TIMEVALUE($I844),VALUE($I844)))&gt;=100,INT(IF(ISNUMBER($I844),$I844,IFERROR(TIMEVALUE($I844),VALUE($I844)))/100)*60+MOD(IF(ISNUMBER($I844),$I844,IFERROR(TIMEVALUE($I844),VALUE($I844))),100),IF(IF(ISNUMBER($I844),$I844,IFERROR(TIMEVALUE($I844),VALUE($I844)))&gt;=1,ROUND(IF(ISNUMBER($I844),$I844,IFERROR(TIMEVALUE($I844),VALUE($I844)))*60,0),ROUND(MOD(IF(ISNUMBER($I844),$I844,IFERROR(TIMEVALUE($I844),VALUE($I844))),1)*1440,0))),""))</f>
        <v/>
      </c>
      <c r="X844" s="55" t="str">
        <f aca="false">IF($P844="","",IFERROR(IF(ISNUMBER($P844),IF($P844&gt;19000000,DATE(INT($P844/10000),MOD(INT($P844/100),100),MOD($P844,100)),INT($P844)),IF(LEN(SUBSTITUTE(SUBSTITUTE(SUBSTITUTE(TRIM($P844),"-",""),".",""),"/",""))=8,DATE(VALUE(LEFT(SUBSTITUTE(SUBSTITUTE(SUBSTITUTE(TRIM($P844),"-",""),".",""),"/",""),4)),VALUE(MID(SUBSTITUTE(SUBSTITUTE(SUBSTITUTE(TRIM($P844),"-",""),".",""),"/",""),5,2)),VALUE(RIGHT(SUBSTITUTE(SUBSTITUTE(SUBSTITUTE(TRIM($P844),"-",""),".",""),"/",""),2))),DATEVALUE($P844))),""))</f>
        <v/>
      </c>
      <c r="Y844" s="56" t="str">
        <f aca="false">IF($M844="","",IFERROR(INDEX(강사DB!$D$4:$D$53,MATCH($M844,강사DB!$A$4:$A$53,0)),""))</f>
        <v/>
      </c>
      <c r="Z844" s="56" t="str">
        <f aca="false">IF($B844&lt;&gt;"결제완료","",IF(OR($Y844="",$J844=""),"",$Y844*$J844+MAX(0,N($K844)-1)*설정!$J$7))</f>
        <v/>
      </c>
      <c r="AA844" s="56" t="str">
        <f aca="false">IF(AND($D844&lt;&gt;"",$B844="결제완료"),N($N844),"")</f>
        <v/>
      </c>
      <c r="AB844" s="45" t="str">
        <f aca="false">IF($D844="","",IF($F844&lt;&gt;"",$F844,$D844)&amp;IF($B844="상담중"," (상담)",""))</f>
        <v/>
      </c>
      <c r="AC844" s="45" t="n">
        <f aca="false">IF(AND($D844&lt;&gt;"",OR($B844="결제완료",$B844="상담중")),1,0)</f>
        <v>0</v>
      </c>
      <c r="AD844" s="45" t="n">
        <f aca="false">IF(OR($Z844="",$U844=""),0,IFERROR(IF(COUNTIFS(INDEX(g_grid,0,2*MATCH($M844,강사DB!$A$4:$A$15,0)),"&lt;&gt;",g_s,"&lt;="&amp;$U844,g_e,"&gt;="&amp;$U844)&gt;0,1,0),0))</f>
        <v>0</v>
      </c>
      <c r="AE844" s="48"/>
      <c r="AF844" s="56" t="str">
        <f aca="false">IF(AND($D844&lt;&gt;"",$B844="결제완료",$T844="대여"),설정!$J$5,"")</f>
        <v/>
      </c>
      <c r="AG844" s="54" t="str">
        <f aca="false">IF($D844="","",IF(AND($E844="",$R844=""),$AB844,"☎ "&amp;IF($E844="","-",$E844)&amp;IF($R844&lt;&gt;"","  ※ "&amp;$R844,"")&amp;IF($B844="상담중"," (상담)","")))</f>
        <v/>
      </c>
      <c r="AH844" s="56" t="str">
        <f aca="false">IF(AND($D844&lt;&gt;"",$B844="결제완료",$O844="스마트스토어"),ROUND(N($N844)*설정!$J$6,0),"")</f>
        <v/>
      </c>
      <c r="AI844" s="54" t="str">
        <f aca="false">IF($D844="","",ROW())</f>
        <v/>
      </c>
      <c r="AJ844" s="54" t="n">
        <f aca="false">IF(OR($AC844&lt;&gt;1,$M844=""),0,IF(ISNUMBER(SEARCH("퇴사",IFERROR(INDEX(강사DB!$G$4:$G$53,MATCH($M844,강사DB!$A$4:$A$53,0)),""))),1,0))</f>
        <v>0</v>
      </c>
    </row>
    <row r="845" customFormat="false" ht="15" hidden="false" customHeight="false" outlineLevel="0" collapsed="false">
      <c r="A845" s="45" t="str">
        <f aca="false">IF($D845="","",COUNTA($D$5:$D845))</f>
        <v/>
      </c>
      <c r="B845" s="46"/>
      <c r="C845" s="47"/>
      <c r="D845" s="48"/>
      <c r="E845" s="48"/>
      <c r="F845" s="49"/>
      <c r="G845" s="47"/>
      <c r="H845" s="50"/>
      <c r="I845" s="50"/>
      <c r="J845" s="51" t="str">
        <f aca="false">IF(OR($V845="",$W845=""),"",ROUND(($W845-$V845)/60,2))</f>
        <v/>
      </c>
      <c r="K845" s="52" t="str">
        <f aca="false">IF($F845="","",LEN($F845)-LEN(SUBSTITUTE($F845,",",""))+1)</f>
        <v/>
      </c>
      <c r="L845" s="45" t="str">
        <f aca="false">IF($K845="","","1:"&amp;$K845)</f>
        <v/>
      </c>
      <c r="M845" s="46"/>
      <c r="N845" s="53"/>
      <c r="O845" s="46"/>
      <c r="P845" s="47"/>
      <c r="Q845" s="48"/>
      <c r="R845" s="49"/>
      <c r="S845" s="54" t="str">
        <f aca="false">IF(OR($AC845=0,$U845="",$M845="",$V845="",$W845=""),"",IF(COUNTIFS(m_teacher,$M845,m_date,$U845,m_active,1,m_start,"&lt;"&amp;$W845,m_end,"&gt;"&amp;$V845)&gt;1,"충돌",""))</f>
        <v/>
      </c>
      <c r="T845" s="48"/>
      <c r="U845" s="55" t="str">
        <f aca="false">IF($G845="","",IFERROR(IF(ISNUMBER($G845),IF($G845&gt;19000000,DATE(INT($G845/10000),MOD(INT($G845/100),100),MOD($G845,100)),INT($G845)),IF(LEN(SUBSTITUTE(SUBSTITUTE(SUBSTITUTE(TRIM($G845),"-",""),".",""),"/",""))=8,DATE(VALUE(LEFT(SUBSTITUTE(SUBSTITUTE(SUBSTITUTE(TRIM($G845),"-",""),".",""),"/",""),4)),VALUE(MID(SUBSTITUTE(SUBSTITUTE(SUBSTITUTE(TRIM($G845),"-",""),".",""),"/",""),5,2)),VALUE(RIGHT(SUBSTITUTE(SUBSTITUTE(SUBSTITUTE(TRIM($G845),"-",""),".",""),"/",""),2))),DATEVALUE($G845))),""))</f>
        <v/>
      </c>
      <c r="V845" s="52" t="str">
        <f aca="false">IF($H845="","",IFERROR(IF(IF(ISNUMBER($H845),$H845,IFERROR(TIMEVALUE($H845),VALUE($H845)))&gt;=100,INT(IF(ISNUMBER($H845),$H845,IFERROR(TIMEVALUE($H845),VALUE($H845)))/100)*60+MOD(IF(ISNUMBER($H845),$H845,IFERROR(TIMEVALUE($H845),VALUE($H845))),100),IF(IF(ISNUMBER($H845),$H845,IFERROR(TIMEVALUE($H845),VALUE($H845)))&gt;=1,ROUND(IF(ISNUMBER($H845),$H845,IFERROR(TIMEVALUE($H845),VALUE($H845)))*60,0),ROUND(MOD(IF(ISNUMBER($H845),$H845,IFERROR(TIMEVALUE($H845),VALUE($H845))),1)*1440,0))),""))</f>
        <v/>
      </c>
      <c r="W845" s="52" t="str">
        <f aca="false">IF($I845="","",IFERROR(IF(IF(ISNUMBER($I845),$I845,IFERROR(TIMEVALUE($I845),VALUE($I845)))&gt;=100,INT(IF(ISNUMBER($I845),$I845,IFERROR(TIMEVALUE($I845),VALUE($I845)))/100)*60+MOD(IF(ISNUMBER($I845),$I845,IFERROR(TIMEVALUE($I845),VALUE($I845))),100),IF(IF(ISNUMBER($I845),$I845,IFERROR(TIMEVALUE($I845),VALUE($I845)))&gt;=1,ROUND(IF(ISNUMBER($I845),$I845,IFERROR(TIMEVALUE($I845),VALUE($I845)))*60,0),ROUND(MOD(IF(ISNUMBER($I845),$I845,IFERROR(TIMEVALUE($I845),VALUE($I845))),1)*1440,0))),""))</f>
        <v/>
      </c>
      <c r="X845" s="55" t="str">
        <f aca="false">IF($P845="","",IFERROR(IF(ISNUMBER($P845),IF($P845&gt;19000000,DATE(INT($P845/10000),MOD(INT($P845/100),100),MOD($P845,100)),INT($P845)),IF(LEN(SUBSTITUTE(SUBSTITUTE(SUBSTITUTE(TRIM($P845),"-",""),".",""),"/",""))=8,DATE(VALUE(LEFT(SUBSTITUTE(SUBSTITUTE(SUBSTITUTE(TRIM($P845),"-",""),".",""),"/",""),4)),VALUE(MID(SUBSTITUTE(SUBSTITUTE(SUBSTITUTE(TRIM($P845),"-",""),".",""),"/",""),5,2)),VALUE(RIGHT(SUBSTITUTE(SUBSTITUTE(SUBSTITUTE(TRIM($P845),"-",""),".",""),"/",""),2))),DATEVALUE($P845))),""))</f>
        <v/>
      </c>
      <c r="Y845" s="56" t="str">
        <f aca="false">IF($M845="","",IFERROR(INDEX(강사DB!$D$4:$D$53,MATCH($M845,강사DB!$A$4:$A$53,0)),""))</f>
        <v/>
      </c>
      <c r="Z845" s="56" t="str">
        <f aca="false">IF($B845&lt;&gt;"결제완료","",IF(OR($Y845="",$J845=""),"",$Y845*$J845+MAX(0,N($K845)-1)*설정!$J$7))</f>
        <v/>
      </c>
      <c r="AA845" s="56" t="str">
        <f aca="false">IF(AND($D845&lt;&gt;"",$B845="결제완료"),N($N845),"")</f>
        <v/>
      </c>
      <c r="AB845" s="45" t="str">
        <f aca="false">IF($D845="","",IF($F845&lt;&gt;"",$F845,$D845)&amp;IF($B845="상담중"," (상담)",""))</f>
        <v/>
      </c>
      <c r="AC845" s="45" t="n">
        <f aca="false">IF(AND($D845&lt;&gt;"",OR($B845="결제완료",$B845="상담중")),1,0)</f>
        <v>0</v>
      </c>
      <c r="AD845" s="45" t="n">
        <f aca="false">IF(OR($Z845="",$U845=""),0,IFERROR(IF(COUNTIFS(INDEX(g_grid,0,2*MATCH($M845,강사DB!$A$4:$A$15,0)),"&lt;&gt;",g_s,"&lt;="&amp;$U845,g_e,"&gt;="&amp;$U845)&gt;0,1,0),0))</f>
        <v>0</v>
      </c>
      <c r="AE845" s="48"/>
      <c r="AF845" s="56" t="str">
        <f aca="false">IF(AND($D845&lt;&gt;"",$B845="결제완료",$T845="대여"),설정!$J$5,"")</f>
        <v/>
      </c>
      <c r="AG845" s="54" t="str">
        <f aca="false">IF($D845="","",IF(AND($E845="",$R845=""),$AB845,"☎ "&amp;IF($E845="","-",$E845)&amp;IF($R845&lt;&gt;"","  ※ "&amp;$R845,"")&amp;IF($B845="상담중"," (상담)","")))</f>
        <v/>
      </c>
      <c r="AH845" s="56" t="str">
        <f aca="false">IF(AND($D845&lt;&gt;"",$B845="결제완료",$O845="스마트스토어"),ROUND(N($N845)*설정!$J$6,0),"")</f>
        <v/>
      </c>
      <c r="AI845" s="54" t="str">
        <f aca="false">IF($D845="","",ROW())</f>
        <v/>
      </c>
      <c r="AJ845" s="54" t="n">
        <f aca="false">IF(OR($AC845&lt;&gt;1,$M845=""),0,IF(ISNUMBER(SEARCH("퇴사",IFERROR(INDEX(강사DB!$G$4:$G$53,MATCH($M845,강사DB!$A$4:$A$53,0)),""))),1,0))</f>
        <v>0</v>
      </c>
    </row>
    <row r="846" customFormat="false" ht="15" hidden="false" customHeight="false" outlineLevel="0" collapsed="false">
      <c r="A846" s="45" t="str">
        <f aca="false">IF($D846="","",COUNTA($D$5:$D846))</f>
        <v/>
      </c>
      <c r="B846" s="46"/>
      <c r="C846" s="47"/>
      <c r="D846" s="48"/>
      <c r="E846" s="48"/>
      <c r="F846" s="49"/>
      <c r="G846" s="47"/>
      <c r="H846" s="50"/>
      <c r="I846" s="50"/>
      <c r="J846" s="51" t="str">
        <f aca="false">IF(OR($V846="",$W846=""),"",ROUND(($W846-$V846)/60,2))</f>
        <v/>
      </c>
      <c r="K846" s="52" t="str">
        <f aca="false">IF($F846="","",LEN($F846)-LEN(SUBSTITUTE($F846,",",""))+1)</f>
        <v/>
      </c>
      <c r="L846" s="45" t="str">
        <f aca="false">IF($K846="","","1:"&amp;$K846)</f>
        <v/>
      </c>
      <c r="M846" s="46"/>
      <c r="N846" s="53"/>
      <c r="O846" s="46"/>
      <c r="P846" s="47"/>
      <c r="Q846" s="48"/>
      <c r="R846" s="49"/>
      <c r="S846" s="54" t="str">
        <f aca="false">IF(OR($AC846=0,$U846="",$M846="",$V846="",$W846=""),"",IF(COUNTIFS(m_teacher,$M846,m_date,$U846,m_active,1,m_start,"&lt;"&amp;$W846,m_end,"&gt;"&amp;$V846)&gt;1,"충돌",""))</f>
        <v/>
      </c>
      <c r="T846" s="48"/>
      <c r="U846" s="55" t="str">
        <f aca="false">IF($G846="","",IFERROR(IF(ISNUMBER($G846),IF($G846&gt;19000000,DATE(INT($G846/10000),MOD(INT($G846/100),100),MOD($G846,100)),INT($G846)),IF(LEN(SUBSTITUTE(SUBSTITUTE(SUBSTITUTE(TRIM($G846),"-",""),".",""),"/",""))=8,DATE(VALUE(LEFT(SUBSTITUTE(SUBSTITUTE(SUBSTITUTE(TRIM($G846),"-",""),".",""),"/",""),4)),VALUE(MID(SUBSTITUTE(SUBSTITUTE(SUBSTITUTE(TRIM($G846),"-",""),".",""),"/",""),5,2)),VALUE(RIGHT(SUBSTITUTE(SUBSTITUTE(SUBSTITUTE(TRIM($G846),"-",""),".",""),"/",""),2))),DATEVALUE($G846))),""))</f>
        <v/>
      </c>
      <c r="V846" s="52" t="str">
        <f aca="false">IF($H846="","",IFERROR(IF(IF(ISNUMBER($H846),$H846,IFERROR(TIMEVALUE($H846),VALUE($H846)))&gt;=100,INT(IF(ISNUMBER($H846),$H846,IFERROR(TIMEVALUE($H846),VALUE($H846)))/100)*60+MOD(IF(ISNUMBER($H846),$H846,IFERROR(TIMEVALUE($H846),VALUE($H846))),100),IF(IF(ISNUMBER($H846),$H846,IFERROR(TIMEVALUE($H846),VALUE($H846)))&gt;=1,ROUND(IF(ISNUMBER($H846),$H846,IFERROR(TIMEVALUE($H846),VALUE($H846)))*60,0),ROUND(MOD(IF(ISNUMBER($H846),$H846,IFERROR(TIMEVALUE($H846),VALUE($H846))),1)*1440,0))),""))</f>
        <v/>
      </c>
      <c r="W846" s="52" t="str">
        <f aca="false">IF($I846="","",IFERROR(IF(IF(ISNUMBER($I846),$I846,IFERROR(TIMEVALUE($I846),VALUE($I846)))&gt;=100,INT(IF(ISNUMBER($I846),$I846,IFERROR(TIMEVALUE($I846),VALUE($I846)))/100)*60+MOD(IF(ISNUMBER($I846),$I846,IFERROR(TIMEVALUE($I846),VALUE($I846))),100),IF(IF(ISNUMBER($I846),$I846,IFERROR(TIMEVALUE($I846),VALUE($I846)))&gt;=1,ROUND(IF(ISNUMBER($I846),$I846,IFERROR(TIMEVALUE($I846),VALUE($I846)))*60,0),ROUND(MOD(IF(ISNUMBER($I846),$I846,IFERROR(TIMEVALUE($I846),VALUE($I846))),1)*1440,0))),""))</f>
        <v/>
      </c>
      <c r="X846" s="55" t="str">
        <f aca="false">IF($P846="","",IFERROR(IF(ISNUMBER($P846),IF($P846&gt;19000000,DATE(INT($P846/10000),MOD(INT($P846/100),100),MOD($P846,100)),INT($P846)),IF(LEN(SUBSTITUTE(SUBSTITUTE(SUBSTITUTE(TRIM($P846),"-",""),".",""),"/",""))=8,DATE(VALUE(LEFT(SUBSTITUTE(SUBSTITUTE(SUBSTITUTE(TRIM($P846),"-",""),".",""),"/",""),4)),VALUE(MID(SUBSTITUTE(SUBSTITUTE(SUBSTITUTE(TRIM($P846),"-",""),".",""),"/",""),5,2)),VALUE(RIGHT(SUBSTITUTE(SUBSTITUTE(SUBSTITUTE(TRIM($P846),"-",""),".",""),"/",""),2))),DATEVALUE($P846))),""))</f>
        <v/>
      </c>
      <c r="Y846" s="56" t="str">
        <f aca="false">IF($M846="","",IFERROR(INDEX(강사DB!$D$4:$D$53,MATCH($M846,강사DB!$A$4:$A$53,0)),""))</f>
        <v/>
      </c>
      <c r="Z846" s="56" t="str">
        <f aca="false">IF($B846&lt;&gt;"결제완료","",IF(OR($Y846="",$J846=""),"",$Y846*$J846+MAX(0,N($K846)-1)*설정!$J$7))</f>
        <v/>
      </c>
      <c r="AA846" s="56" t="str">
        <f aca="false">IF(AND($D846&lt;&gt;"",$B846="결제완료"),N($N846),"")</f>
        <v/>
      </c>
      <c r="AB846" s="45" t="str">
        <f aca="false">IF($D846="","",IF($F846&lt;&gt;"",$F846,$D846)&amp;IF($B846="상담중"," (상담)",""))</f>
        <v/>
      </c>
      <c r="AC846" s="45" t="n">
        <f aca="false">IF(AND($D846&lt;&gt;"",OR($B846="결제완료",$B846="상담중")),1,0)</f>
        <v>0</v>
      </c>
      <c r="AD846" s="45" t="n">
        <f aca="false">IF(OR($Z846="",$U846=""),0,IFERROR(IF(COUNTIFS(INDEX(g_grid,0,2*MATCH($M846,강사DB!$A$4:$A$15,0)),"&lt;&gt;",g_s,"&lt;="&amp;$U846,g_e,"&gt;="&amp;$U846)&gt;0,1,0),0))</f>
        <v>0</v>
      </c>
      <c r="AE846" s="48"/>
      <c r="AF846" s="56" t="str">
        <f aca="false">IF(AND($D846&lt;&gt;"",$B846="결제완료",$T846="대여"),설정!$J$5,"")</f>
        <v/>
      </c>
      <c r="AG846" s="54" t="str">
        <f aca="false">IF($D846="","",IF(AND($E846="",$R846=""),$AB846,"☎ "&amp;IF($E846="","-",$E846)&amp;IF($R846&lt;&gt;"","  ※ "&amp;$R846,"")&amp;IF($B846="상담중"," (상담)","")))</f>
        <v/>
      </c>
      <c r="AH846" s="56" t="str">
        <f aca="false">IF(AND($D846&lt;&gt;"",$B846="결제완료",$O846="스마트스토어"),ROUND(N($N846)*설정!$J$6,0),"")</f>
        <v/>
      </c>
      <c r="AI846" s="54" t="str">
        <f aca="false">IF($D846="","",ROW())</f>
        <v/>
      </c>
      <c r="AJ846" s="54" t="n">
        <f aca="false">IF(OR($AC846&lt;&gt;1,$M846=""),0,IF(ISNUMBER(SEARCH("퇴사",IFERROR(INDEX(강사DB!$G$4:$G$53,MATCH($M846,강사DB!$A$4:$A$53,0)),""))),1,0))</f>
        <v>0</v>
      </c>
    </row>
    <row r="847" customFormat="false" ht="15" hidden="false" customHeight="false" outlineLevel="0" collapsed="false">
      <c r="A847" s="45" t="str">
        <f aca="false">IF($D847="","",COUNTA($D$5:$D847))</f>
        <v/>
      </c>
      <c r="B847" s="46"/>
      <c r="C847" s="47"/>
      <c r="D847" s="48"/>
      <c r="E847" s="48"/>
      <c r="F847" s="49"/>
      <c r="G847" s="47"/>
      <c r="H847" s="50"/>
      <c r="I847" s="50"/>
      <c r="J847" s="51" t="str">
        <f aca="false">IF(OR($V847="",$W847=""),"",ROUND(($W847-$V847)/60,2))</f>
        <v/>
      </c>
      <c r="K847" s="52" t="str">
        <f aca="false">IF($F847="","",LEN($F847)-LEN(SUBSTITUTE($F847,",",""))+1)</f>
        <v/>
      </c>
      <c r="L847" s="45" t="str">
        <f aca="false">IF($K847="","","1:"&amp;$K847)</f>
        <v/>
      </c>
      <c r="M847" s="46"/>
      <c r="N847" s="53"/>
      <c r="O847" s="46"/>
      <c r="P847" s="47"/>
      <c r="Q847" s="48"/>
      <c r="R847" s="49"/>
      <c r="S847" s="54" t="str">
        <f aca="false">IF(OR($AC847=0,$U847="",$M847="",$V847="",$W847=""),"",IF(COUNTIFS(m_teacher,$M847,m_date,$U847,m_active,1,m_start,"&lt;"&amp;$W847,m_end,"&gt;"&amp;$V847)&gt;1,"충돌",""))</f>
        <v/>
      </c>
      <c r="T847" s="48"/>
      <c r="U847" s="55" t="str">
        <f aca="false">IF($G847="","",IFERROR(IF(ISNUMBER($G847),IF($G847&gt;19000000,DATE(INT($G847/10000),MOD(INT($G847/100),100),MOD($G847,100)),INT($G847)),IF(LEN(SUBSTITUTE(SUBSTITUTE(SUBSTITUTE(TRIM($G847),"-",""),".",""),"/",""))=8,DATE(VALUE(LEFT(SUBSTITUTE(SUBSTITUTE(SUBSTITUTE(TRIM($G847),"-",""),".",""),"/",""),4)),VALUE(MID(SUBSTITUTE(SUBSTITUTE(SUBSTITUTE(TRIM($G847),"-",""),".",""),"/",""),5,2)),VALUE(RIGHT(SUBSTITUTE(SUBSTITUTE(SUBSTITUTE(TRIM($G847),"-",""),".",""),"/",""),2))),DATEVALUE($G847))),""))</f>
        <v/>
      </c>
      <c r="V847" s="52" t="str">
        <f aca="false">IF($H847="","",IFERROR(IF(IF(ISNUMBER($H847),$H847,IFERROR(TIMEVALUE($H847),VALUE($H847)))&gt;=100,INT(IF(ISNUMBER($H847),$H847,IFERROR(TIMEVALUE($H847),VALUE($H847)))/100)*60+MOD(IF(ISNUMBER($H847),$H847,IFERROR(TIMEVALUE($H847),VALUE($H847))),100),IF(IF(ISNUMBER($H847),$H847,IFERROR(TIMEVALUE($H847),VALUE($H847)))&gt;=1,ROUND(IF(ISNUMBER($H847),$H847,IFERROR(TIMEVALUE($H847),VALUE($H847)))*60,0),ROUND(MOD(IF(ISNUMBER($H847),$H847,IFERROR(TIMEVALUE($H847),VALUE($H847))),1)*1440,0))),""))</f>
        <v/>
      </c>
      <c r="W847" s="52" t="str">
        <f aca="false">IF($I847="","",IFERROR(IF(IF(ISNUMBER($I847),$I847,IFERROR(TIMEVALUE($I847),VALUE($I847)))&gt;=100,INT(IF(ISNUMBER($I847),$I847,IFERROR(TIMEVALUE($I847),VALUE($I847)))/100)*60+MOD(IF(ISNUMBER($I847),$I847,IFERROR(TIMEVALUE($I847),VALUE($I847))),100),IF(IF(ISNUMBER($I847),$I847,IFERROR(TIMEVALUE($I847),VALUE($I847)))&gt;=1,ROUND(IF(ISNUMBER($I847),$I847,IFERROR(TIMEVALUE($I847),VALUE($I847)))*60,0),ROUND(MOD(IF(ISNUMBER($I847),$I847,IFERROR(TIMEVALUE($I847),VALUE($I847))),1)*1440,0))),""))</f>
        <v/>
      </c>
      <c r="X847" s="55" t="str">
        <f aca="false">IF($P847="","",IFERROR(IF(ISNUMBER($P847),IF($P847&gt;19000000,DATE(INT($P847/10000),MOD(INT($P847/100),100),MOD($P847,100)),INT($P847)),IF(LEN(SUBSTITUTE(SUBSTITUTE(SUBSTITUTE(TRIM($P847),"-",""),".",""),"/",""))=8,DATE(VALUE(LEFT(SUBSTITUTE(SUBSTITUTE(SUBSTITUTE(TRIM($P847),"-",""),".",""),"/",""),4)),VALUE(MID(SUBSTITUTE(SUBSTITUTE(SUBSTITUTE(TRIM($P847),"-",""),".",""),"/",""),5,2)),VALUE(RIGHT(SUBSTITUTE(SUBSTITUTE(SUBSTITUTE(TRIM($P847),"-",""),".",""),"/",""),2))),DATEVALUE($P847))),""))</f>
        <v/>
      </c>
      <c r="Y847" s="56" t="str">
        <f aca="false">IF($M847="","",IFERROR(INDEX(강사DB!$D$4:$D$53,MATCH($M847,강사DB!$A$4:$A$53,0)),""))</f>
        <v/>
      </c>
      <c r="Z847" s="56" t="str">
        <f aca="false">IF($B847&lt;&gt;"결제완료","",IF(OR($Y847="",$J847=""),"",$Y847*$J847+MAX(0,N($K847)-1)*설정!$J$7))</f>
        <v/>
      </c>
      <c r="AA847" s="56" t="str">
        <f aca="false">IF(AND($D847&lt;&gt;"",$B847="결제완료"),N($N847),"")</f>
        <v/>
      </c>
      <c r="AB847" s="45" t="str">
        <f aca="false">IF($D847="","",IF($F847&lt;&gt;"",$F847,$D847)&amp;IF($B847="상담중"," (상담)",""))</f>
        <v/>
      </c>
      <c r="AC847" s="45" t="n">
        <f aca="false">IF(AND($D847&lt;&gt;"",OR($B847="결제완료",$B847="상담중")),1,0)</f>
        <v>0</v>
      </c>
      <c r="AD847" s="45" t="n">
        <f aca="false">IF(OR($Z847="",$U847=""),0,IFERROR(IF(COUNTIFS(INDEX(g_grid,0,2*MATCH($M847,강사DB!$A$4:$A$15,0)),"&lt;&gt;",g_s,"&lt;="&amp;$U847,g_e,"&gt;="&amp;$U847)&gt;0,1,0),0))</f>
        <v>0</v>
      </c>
      <c r="AE847" s="48"/>
      <c r="AF847" s="56" t="str">
        <f aca="false">IF(AND($D847&lt;&gt;"",$B847="결제완료",$T847="대여"),설정!$J$5,"")</f>
        <v/>
      </c>
      <c r="AG847" s="54" t="str">
        <f aca="false">IF($D847="","",IF(AND($E847="",$R847=""),$AB847,"☎ "&amp;IF($E847="","-",$E847)&amp;IF($R847&lt;&gt;"","  ※ "&amp;$R847,"")&amp;IF($B847="상담중"," (상담)","")))</f>
        <v/>
      </c>
      <c r="AH847" s="56" t="str">
        <f aca="false">IF(AND($D847&lt;&gt;"",$B847="결제완료",$O847="스마트스토어"),ROUND(N($N847)*설정!$J$6,0),"")</f>
        <v/>
      </c>
      <c r="AI847" s="54" t="str">
        <f aca="false">IF($D847="","",ROW())</f>
        <v/>
      </c>
      <c r="AJ847" s="54" t="n">
        <f aca="false">IF(OR($AC847&lt;&gt;1,$M847=""),0,IF(ISNUMBER(SEARCH("퇴사",IFERROR(INDEX(강사DB!$G$4:$G$53,MATCH($M847,강사DB!$A$4:$A$53,0)),""))),1,0))</f>
        <v>0</v>
      </c>
    </row>
    <row r="848" customFormat="false" ht="15" hidden="false" customHeight="false" outlineLevel="0" collapsed="false">
      <c r="A848" s="45" t="str">
        <f aca="false">IF($D848="","",COUNTA($D$5:$D848))</f>
        <v/>
      </c>
      <c r="B848" s="46"/>
      <c r="C848" s="47"/>
      <c r="D848" s="48"/>
      <c r="E848" s="48"/>
      <c r="F848" s="49"/>
      <c r="G848" s="47"/>
      <c r="H848" s="50"/>
      <c r="I848" s="50"/>
      <c r="J848" s="51" t="str">
        <f aca="false">IF(OR($V848="",$W848=""),"",ROUND(($W848-$V848)/60,2))</f>
        <v/>
      </c>
      <c r="K848" s="52" t="str">
        <f aca="false">IF($F848="","",LEN($F848)-LEN(SUBSTITUTE($F848,",",""))+1)</f>
        <v/>
      </c>
      <c r="L848" s="45" t="str">
        <f aca="false">IF($K848="","","1:"&amp;$K848)</f>
        <v/>
      </c>
      <c r="M848" s="46"/>
      <c r="N848" s="53"/>
      <c r="O848" s="46"/>
      <c r="P848" s="47"/>
      <c r="Q848" s="48"/>
      <c r="R848" s="49"/>
      <c r="S848" s="54" t="str">
        <f aca="false">IF(OR($AC848=0,$U848="",$M848="",$V848="",$W848=""),"",IF(COUNTIFS(m_teacher,$M848,m_date,$U848,m_active,1,m_start,"&lt;"&amp;$W848,m_end,"&gt;"&amp;$V848)&gt;1,"충돌",""))</f>
        <v/>
      </c>
      <c r="T848" s="48"/>
      <c r="U848" s="55" t="str">
        <f aca="false">IF($G848="","",IFERROR(IF(ISNUMBER($G848),IF($G848&gt;19000000,DATE(INT($G848/10000),MOD(INT($G848/100),100),MOD($G848,100)),INT($G848)),IF(LEN(SUBSTITUTE(SUBSTITUTE(SUBSTITUTE(TRIM($G848),"-",""),".",""),"/",""))=8,DATE(VALUE(LEFT(SUBSTITUTE(SUBSTITUTE(SUBSTITUTE(TRIM($G848),"-",""),".",""),"/",""),4)),VALUE(MID(SUBSTITUTE(SUBSTITUTE(SUBSTITUTE(TRIM($G848),"-",""),".",""),"/",""),5,2)),VALUE(RIGHT(SUBSTITUTE(SUBSTITUTE(SUBSTITUTE(TRIM($G848),"-",""),".",""),"/",""),2))),DATEVALUE($G848))),""))</f>
        <v/>
      </c>
      <c r="V848" s="52" t="str">
        <f aca="false">IF($H848="","",IFERROR(IF(IF(ISNUMBER($H848),$H848,IFERROR(TIMEVALUE($H848),VALUE($H848)))&gt;=100,INT(IF(ISNUMBER($H848),$H848,IFERROR(TIMEVALUE($H848),VALUE($H848)))/100)*60+MOD(IF(ISNUMBER($H848),$H848,IFERROR(TIMEVALUE($H848),VALUE($H848))),100),IF(IF(ISNUMBER($H848),$H848,IFERROR(TIMEVALUE($H848),VALUE($H848)))&gt;=1,ROUND(IF(ISNUMBER($H848),$H848,IFERROR(TIMEVALUE($H848),VALUE($H848)))*60,0),ROUND(MOD(IF(ISNUMBER($H848),$H848,IFERROR(TIMEVALUE($H848),VALUE($H848))),1)*1440,0))),""))</f>
        <v/>
      </c>
      <c r="W848" s="52" t="str">
        <f aca="false">IF($I848="","",IFERROR(IF(IF(ISNUMBER($I848),$I848,IFERROR(TIMEVALUE($I848),VALUE($I848)))&gt;=100,INT(IF(ISNUMBER($I848),$I848,IFERROR(TIMEVALUE($I848),VALUE($I848)))/100)*60+MOD(IF(ISNUMBER($I848),$I848,IFERROR(TIMEVALUE($I848),VALUE($I848))),100),IF(IF(ISNUMBER($I848),$I848,IFERROR(TIMEVALUE($I848),VALUE($I848)))&gt;=1,ROUND(IF(ISNUMBER($I848),$I848,IFERROR(TIMEVALUE($I848),VALUE($I848)))*60,0),ROUND(MOD(IF(ISNUMBER($I848),$I848,IFERROR(TIMEVALUE($I848),VALUE($I848))),1)*1440,0))),""))</f>
        <v/>
      </c>
      <c r="X848" s="55" t="str">
        <f aca="false">IF($P848="","",IFERROR(IF(ISNUMBER($P848),IF($P848&gt;19000000,DATE(INT($P848/10000),MOD(INT($P848/100),100),MOD($P848,100)),INT($P848)),IF(LEN(SUBSTITUTE(SUBSTITUTE(SUBSTITUTE(TRIM($P848),"-",""),".",""),"/",""))=8,DATE(VALUE(LEFT(SUBSTITUTE(SUBSTITUTE(SUBSTITUTE(TRIM($P848),"-",""),".",""),"/",""),4)),VALUE(MID(SUBSTITUTE(SUBSTITUTE(SUBSTITUTE(TRIM($P848),"-",""),".",""),"/",""),5,2)),VALUE(RIGHT(SUBSTITUTE(SUBSTITUTE(SUBSTITUTE(TRIM($P848),"-",""),".",""),"/",""),2))),DATEVALUE($P848))),""))</f>
        <v/>
      </c>
      <c r="Y848" s="56" t="str">
        <f aca="false">IF($M848="","",IFERROR(INDEX(강사DB!$D$4:$D$53,MATCH($M848,강사DB!$A$4:$A$53,0)),""))</f>
        <v/>
      </c>
      <c r="Z848" s="56" t="str">
        <f aca="false">IF($B848&lt;&gt;"결제완료","",IF(OR($Y848="",$J848=""),"",$Y848*$J848+MAX(0,N($K848)-1)*설정!$J$7))</f>
        <v/>
      </c>
      <c r="AA848" s="56" t="str">
        <f aca="false">IF(AND($D848&lt;&gt;"",$B848="결제완료"),N($N848),"")</f>
        <v/>
      </c>
      <c r="AB848" s="45" t="str">
        <f aca="false">IF($D848="","",IF($F848&lt;&gt;"",$F848,$D848)&amp;IF($B848="상담중"," (상담)",""))</f>
        <v/>
      </c>
      <c r="AC848" s="45" t="n">
        <f aca="false">IF(AND($D848&lt;&gt;"",OR($B848="결제완료",$B848="상담중")),1,0)</f>
        <v>0</v>
      </c>
      <c r="AD848" s="45" t="n">
        <f aca="false">IF(OR($Z848="",$U848=""),0,IFERROR(IF(COUNTIFS(INDEX(g_grid,0,2*MATCH($M848,강사DB!$A$4:$A$15,0)),"&lt;&gt;",g_s,"&lt;="&amp;$U848,g_e,"&gt;="&amp;$U848)&gt;0,1,0),0))</f>
        <v>0</v>
      </c>
      <c r="AE848" s="48"/>
      <c r="AF848" s="56" t="str">
        <f aca="false">IF(AND($D848&lt;&gt;"",$B848="결제완료",$T848="대여"),설정!$J$5,"")</f>
        <v/>
      </c>
      <c r="AG848" s="54" t="str">
        <f aca="false">IF($D848="","",IF(AND($E848="",$R848=""),$AB848,"☎ "&amp;IF($E848="","-",$E848)&amp;IF($R848&lt;&gt;"","  ※ "&amp;$R848,"")&amp;IF($B848="상담중"," (상담)","")))</f>
        <v/>
      </c>
      <c r="AH848" s="56" t="str">
        <f aca="false">IF(AND($D848&lt;&gt;"",$B848="결제완료",$O848="스마트스토어"),ROUND(N($N848)*설정!$J$6,0),"")</f>
        <v/>
      </c>
      <c r="AI848" s="54" t="str">
        <f aca="false">IF($D848="","",ROW())</f>
        <v/>
      </c>
      <c r="AJ848" s="54" t="n">
        <f aca="false">IF(OR($AC848&lt;&gt;1,$M848=""),0,IF(ISNUMBER(SEARCH("퇴사",IFERROR(INDEX(강사DB!$G$4:$G$53,MATCH($M848,강사DB!$A$4:$A$53,0)),""))),1,0))</f>
        <v>0</v>
      </c>
    </row>
    <row r="849" customFormat="false" ht="15" hidden="false" customHeight="false" outlineLevel="0" collapsed="false">
      <c r="A849" s="45" t="str">
        <f aca="false">IF($D849="","",COUNTA($D$5:$D849))</f>
        <v/>
      </c>
      <c r="B849" s="46"/>
      <c r="C849" s="47"/>
      <c r="D849" s="48"/>
      <c r="E849" s="48"/>
      <c r="F849" s="49"/>
      <c r="G849" s="47"/>
      <c r="H849" s="50"/>
      <c r="I849" s="50"/>
      <c r="J849" s="51" t="str">
        <f aca="false">IF(OR($V849="",$W849=""),"",ROUND(($W849-$V849)/60,2))</f>
        <v/>
      </c>
      <c r="K849" s="52" t="str">
        <f aca="false">IF($F849="","",LEN($F849)-LEN(SUBSTITUTE($F849,",",""))+1)</f>
        <v/>
      </c>
      <c r="L849" s="45" t="str">
        <f aca="false">IF($K849="","","1:"&amp;$K849)</f>
        <v/>
      </c>
      <c r="M849" s="46"/>
      <c r="N849" s="53"/>
      <c r="O849" s="46"/>
      <c r="P849" s="47"/>
      <c r="Q849" s="48"/>
      <c r="R849" s="49"/>
      <c r="S849" s="54" t="str">
        <f aca="false">IF(OR($AC849=0,$U849="",$M849="",$V849="",$W849=""),"",IF(COUNTIFS(m_teacher,$M849,m_date,$U849,m_active,1,m_start,"&lt;"&amp;$W849,m_end,"&gt;"&amp;$V849)&gt;1,"충돌",""))</f>
        <v/>
      </c>
      <c r="T849" s="48"/>
      <c r="U849" s="55" t="str">
        <f aca="false">IF($G849="","",IFERROR(IF(ISNUMBER($G849),IF($G849&gt;19000000,DATE(INT($G849/10000),MOD(INT($G849/100),100),MOD($G849,100)),INT($G849)),IF(LEN(SUBSTITUTE(SUBSTITUTE(SUBSTITUTE(TRIM($G849),"-",""),".",""),"/",""))=8,DATE(VALUE(LEFT(SUBSTITUTE(SUBSTITUTE(SUBSTITUTE(TRIM($G849),"-",""),".",""),"/",""),4)),VALUE(MID(SUBSTITUTE(SUBSTITUTE(SUBSTITUTE(TRIM($G849),"-",""),".",""),"/",""),5,2)),VALUE(RIGHT(SUBSTITUTE(SUBSTITUTE(SUBSTITUTE(TRIM($G849),"-",""),".",""),"/",""),2))),DATEVALUE($G849))),""))</f>
        <v/>
      </c>
      <c r="V849" s="52" t="str">
        <f aca="false">IF($H849="","",IFERROR(IF(IF(ISNUMBER($H849),$H849,IFERROR(TIMEVALUE($H849),VALUE($H849)))&gt;=100,INT(IF(ISNUMBER($H849),$H849,IFERROR(TIMEVALUE($H849),VALUE($H849)))/100)*60+MOD(IF(ISNUMBER($H849),$H849,IFERROR(TIMEVALUE($H849),VALUE($H849))),100),IF(IF(ISNUMBER($H849),$H849,IFERROR(TIMEVALUE($H849),VALUE($H849)))&gt;=1,ROUND(IF(ISNUMBER($H849),$H849,IFERROR(TIMEVALUE($H849),VALUE($H849)))*60,0),ROUND(MOD(IF(ISNUMBER($H849),$H849,IFERROR(TIMEVALUE($H849),VALUE($H849))),1)*1440,0))),""))</f>
        <v/>
      </c>
      <c r="W849" s="52" t="str">
        <f aca="false">IF($I849="","",IFERROR(IF(IF(ISNUMBER($I849),$I849,IFERROR(TIMEVALUE($I849),VALUE($I849)))&gt;=100,INT(IF(ISNUMBER($I849),$I849,IFERROR(TIMEVALUE($I849),VALUE($I849)))/100)*60+MOD(IF(ISNUMBER($I849),$I849,IFERROR(TIMEVALUE($I849),VALUE($I849))),100),IF(IF(ISNUMBER($I849),$I849,IFERROR(TIMEVALUE($I849),VALUE($I849)))&gt;=1,ROUND(IF(ISNUMBER($I849),$I849,IFERROR(TIMEVALUE($I849),VALUE($I849)))*60,0),ROUND(MOD(IF(ISNUMBER($I849),$I849,IFERROR(TIMEVALUE($I849),VALUE($I849))),1)*1440,0))),""))</f>
        <v/>
      </c>
      <c r="X849" s="55" t="str">
        <f aca="false">IF($P849="","",IFERROR(IF(ISNUMBER($P849),IF($P849&gt;19000000,DATE(INT($P849/10000),MOD(INT($P849/100),100),MOD($P849,100)),INT($P849)),IF(LEN(SUBSTITUTE(SUBSTITUTE(SUBSTITUTE(TRIM($P849),"-",""),".",""),"/",""))=8,DATE(VALUE(LEFT(SUBSTITUTE(SUBSTITUTE(SUBSTITUTE(TRIM($P849),"-",""),".",""),"/",""),4)),VALUE(MID(SUBSTITUTE(SUBSTITUTE(SUBSTITUTE(TRIM($P849),"-",""),".",""),"/",""),5,2)),VALUE(RIGHT(SUBSTITUTE(SUBSTITUTE(SUBSTITUTE(TRIM($P849),"-",""),".",""),"/",""),2))),DATEVALUE($P849))),""))</f>
        <v/>
      </c>
      <c r="Y849" s="56" t="str">
        <f aca="false">IF($M849="","",IFERROR(INDEX(강사DB!$D$4:$D$53,MATCH($M849,강사DB!$A$4:$A$53,0)),""))</f>
        <v/>
      </c>
      <c r="Z849" s="56" t="str">
        <f aca="false">IF($B849&lt;&gt;"결제완료","",IF(OR($Y849="",$J849=""),"",$Y849*$J849+MAX(0,N($K849)-1)*설정!$J$7))</f>
        <v/>
      </c>
      <c r="AA849" s="56" t="str">
        <f aca="false">IF(AND($D849&lt;&gt;"",$B849="결제완료"),N($N849),"")</f>
        <v/>
      </c>
      <c r="AB849" s="45" t="str">
        <f aca="false">IF($D849="","",IF($F849&lt;&gt;"",$F849,$D849)&amp;IF($B849="상담중"," (상담)",""))</f>
        <v/>
      </c>
      <c r="AC849" s="45" t="n">
        <f aca="false">IF(AND($D849&lt;&gt;"",OR($B849="결제완료",$B849="상담중")),1,0)</f>
        <v>0</v>
      </c>
      <c r="AD849" s="45" t="n">
        <f aca="false">IF(OR($Z849="",$U849=""),0,IFERROR(IF(COUNTIFS(INDEX(g_grid,0,2*MATCH($M849,강사DB!$A$4:$A$15,0)),"&lt;&gt;",g_s,"&lt;="&amp;$U849,g_e,"&gt;="&amp;$U849)&gt;0,1,0),0))</f>
        <v>0</v>
      </c>
      <c r="AE849" s="48"/>
      <c r="AF849" s="56" t="str">
        <f aca="false">IF(AND($D849&lt;&gt;"",$B849="결제완료",$T849="대여"),설정!$J$5,"")</f>
        <v/>
      </c>
      <c r="AG849" s="54" t="str">
        <f aca="false">IF($D849="","",IF(AND($E849="",$R849=""),$AB849,"☎ "&amp;IF($E849="","-",$E849)&amp;IF($R849&lt;&gt;"","  ※ "&amp;$R849,"")&amp;IF($B849="상담중"," (상담)","")))</f>
        <v/>
      </c>
      <c r="AH849" s="56" t="str">
        <f aca="false">IF(AND($D849&lt;&gt;"",$B849="결제완료",$O849="스마트스토어"),ROUND(N($N849)*설정!$J$6,0),"")</f>
        <v/>
      </c>
      <c r="AI849" s="54" t="str">
        <f aca="false">IF($D849="","",ROW())</f>
        <v/>
      </c>
      <c r="AJ849" s="54" t="n">
        <f aca="false">IF(OR($AC849&lt;&gt;1,$M849=""),0,IF(ISNUMBER(SEARCH("퇴사",IFERROR(INDEX(강사DB!$G$4:$G$53,MATCH($M849,강사DB!$A$4:$A$53,0)),""))),1,0))</f>
        <v>0</v>
      </c>
    </row>
    <row r="850" customFormat="false" ht="15" hidden="false" customHeight="false" outlineLevel="0" collapsed="false">
      <c r="A850" s="45" t="str">
        <f aca="false">IF($D850="","",COUNTA($D$5:$D850))</f>
        <v/>
      </c>
      <c r="B850" s="46"/>
      <c r="C850" s="47"/>
      <c r="D850" s="48"/>
      <c r="E850" s="48"/>
      <c r="F850" s="49"/>
      <c r="G850" s="47"/>
      <c r="H850" s="50"/>
      <c r="I850" s="50"/>
      <c r="J850" s="51" t="str">
        <f aca="false">IF(OR($V850="",$W850=""),"",ROUND(($W850-$V850)/60,2))</f>
        <v/>
      </c>
      <c r="K850" s="52" t="str">
        <f aca="false">IF($F850="","",LEN($F850)-LEN(SUBSTITUTE($F850,",",""))+1)</f>
        <v/>
      </c>
      <c r="L850" s="45" t="str">
        <f aca="false">IF($K850="","","1:"&amp;$K850)</f>
        <v/>
      </c>
      <c r="M850" s="46"/>
      <c r="N850" s="53"/>
      <c r="O850" s="46"/>
      <c r="P850" s="47"/>
      <c r="Q850" s="48"/>
      <c r="R850" s="49"/>
      <c r="S850" s="54" t="str">
        <f aca="false">IF(OR($AC850=0,$U850="",$M850="",$V850="",$W850=""),"",IF(COUNTIFS(m_teacher,$M850,m_date,$U850,m_active,1,m_start,"&lt;"&amp;$W850,m_end,"&gt;"&amp;$V850)&gt;1,"충돌",""))</f>
        <v/>
      </c>
      <c r="T850" s="48"/>
      <c r="U850" s="55" t="str">
        <f aca="false">IF($G850="","",IFERROR(IF(ISNUMBER($G850),IF($G850&gt;19000000,DATE(INT($G850/10000),MOD(INT($G850/100),100),MOD($G850,100)),INT($G850)),IF(LEN(SUBSTITUTE(SUBSTITUTE(SUBSTITUTE(TRIM($G850),"-",""),".",""),"/",""))=8,DATE(VALUE(LEFT(SUBSTITUTE(SUBSTITUTE(SUBSTITUTE(TRIM($G850),"-",""),".",""),"/",""),4)),VALUE(MID(SUBSTITUTE(SUBSTITUTE(SUBSTITUTE(TRIM($G850),"-",""),".",""),"/",""),5,2)),VALUE(RIGHT(SUBSTITUTE(SUBSTITUTE(SUBSTITUTE(TRIM($G850),"-",""),".",""),"/",""),2))),DATEVALUE($G850))),""))</f>
        <v/>
      </c>
      <c r="V850" s="52" t="str">
        <f aca="false">IF($H850="","",IFERROR(IF(IF(ISNUMBER($H850),$H850,IFERROR(TIMEVALUE($H850),VALUE($H850)))&gt;=100,INT(IF(ISNUMBER($H850),$H850,IFERROR(TIMEVALUE($H850),VALUE($H850)))/100)*60+MOD(IF(ISNUMBER($H850),$H850,IFERROR(TIMEVALUE($H850),VALUE($H850))),100),IF(IF(ISNUMBER($H850),$H850,IFERROR(TIMEVALUE($H850),VALUE($H850)))&gt;=1,ROUND(IF(ISNUMBER($H850),$H850,IFERROR(TIMEVALUE($H850),VALUE($H850)))*60,0),ROUND(MOD(IF(ISNUMBER($H850),$H850,IFERROR(TIMEVALUE($H850),VALUE($H850))),1)*1440,0))),""))</f>
        <v/>
      </c>
      <c r="W850" s="52" t="str">
        <f aca="false">IF($I850="","",IFERROR(IF(IF(ISNUMBER($I850),$I850,IFERROR(TIMEVALUE($I850),VALUE($I850)))&gt;=100,INT(IF(ISNUMBER($I850),$I850,IFERROR(TIMEVALUE($I850),VALUE($I850)))/100)*60+MOD(IF(ISNUMBER($I850),$I850,IFERROR(TIMEVALUE($I850),VALUE($I850))),100),IF(IF(ISNUMBER($I850),$I850,IFERROR(TIMEVALUE($I850),VALUE($I850)))&gt;=1,ROUND(IF(ISNUMBER($I850),$I850,IFERROR(TIMEVALUE($I850),VALUE($I850)))*60,0),ROUND(MOD(IF(ISNUMBER($I850),$I850,IFERROR(TIMEVALUE($I850),VALUE($I850))),1)*1440,0))),""))</f>
        <v/>
      </c>
      <c r="X850" s="55" t="str">
        <f aca="false">IF($P850="","",IFERROR(IF(ISNUMBER($P850),IF($P850&gt;19000000,DATE(INT($P850/10000),MOD(INT($P850/100),100),MOD($P850,100)),INT($P850)),IF(LEN(SUBSTITUTE(SUBSTITUTE(SUBSTITUTE(TRIM($P850),"-",""),".",""),"/",""))=8,DATE(VALUE(LEFT(SUBSTITUTE(SUBSTITUTE(SUBSTITUTE(TRIM($P850),"-",""),".",""),"/",""),4)),VALUE(MID(SUBSTITUTE(SUBSTITUTE(SUBSTITUTE(TRIM($P850),"-",""),".",""),"/",""),5,2)),VALUE(RIGHT(SUBSTITUTE(SUBSTITUTE(SUBSTITUTE(TRIM($P850),"-",""),".",""),"/",""),2))),DATEVALUE($P850))),""))</f>
        <v/>
      </c>
      <c r="Y850" s="56" t="str">
        <f aca="false">IF($M850="","",IFERROR(INDEX(강사DB!$D$4:$D$53,MATCH($M850,강사DB!$A$4:$A$53,0)),""))</f>
        <v/>
      </c>
      <c r="Z850" s="56" t="str">
        <f aca="false">IF($B850&lt;&gt;"결제완료","",IF(OR($Y850="",$J850=""),"",$Y850*$J850+MAX(0,N($K850)-1)*설정!$J$7))</f>
        <v/>
      </c>
      <c r="AA850" s="56" t="str">
        <f aca="false">IF(AND($D850&lt;&gt;"",$B850="결제완료"),N($N850),"")</f>
        <v/>
      </c>
      <c r="AB850" s="45" t="str">
        <f aca="false">IF($D850="","",IF($F850&lt;&gt;"",$F850,$D850)&amp;IF($B850="상담중"," (상담)",""))</f>
        <v/>
      </c>
      <c r="AC850" s="45" t="n">
        <f aca="false">IF(AND($D850&lt;&gt;"",OR($B850="결제완료",$B850="상담중")),1,0)</f>
        <v>0</v>
      </c>
      <c r="AD850" s="45" t="n">
        <f aca="false">IF(OR($Z850="",$U850=""),0,IFERROR(IF(COUNTIFS(INDEX(g_grid,0,2*MATCH($M850,강사DB!$A$4:$A$15,0)),"&lt;&gt;",g_s,"&lt;="&amp;$U850,g_e,"&gt;="&amp;$U850)&gt;0,1,0),0))</f>
        <v>0</v>
      </c>
      <c r="AE850" s="48"/>
      <c r="AF850" s="56" t="str">
        <f aca="false">IF(AND($D850&lt;&gt;"",$B850="결제완료",$T850="대여"),설정!$J$5,"")</f>
        <v/>
      </c>
      <c r="AG850" s="54" t="str">
        <f aca="false">IF($D850="","",IF(AND($E850="",$R850=""),$AB850,"☎ "&amp;IF($E850="","-",$E850)&amp;IF($R850&lt;&gt;"","  ※ "&amp;$R850,"")&amp;IF($B850="상담중"," (상담)","")))</f>
        <v/>
      </c>
      <c r="AH850" s="56" t="str">
        <f aca="false">IF(AND($D850&lt;&gt;"",$B850="결제완료",$O850="스마트스토어"),ROUND(N($N850)*설정!$J$6,0),"")</f>
        <v/>
      </c>
      <c r="AI850" s="54" t="str">
        <f aca="false">IF($D850="","",ROW())</f>
        <v/>
      </c>
      <c r="AJ850" s="54" t="n">
        <f aca="false">IF(OR($AC850&lt;&gt;1,$M850=""),0,IF(ISNUMBER(SEARCH("퇴사",IFERROR(INDEX(강사DB!$G$4:$G$53,MATCH($M850,강사DB!$A$4:$A$53,0)),""))),1,0))</f>
        <v>0</v>
      </c>
    </row>
    <row r="851" customFormat="false" ht="15" hidden="false" customHeight="false" outlineLevel="0" collapsed="false">
      <c r="A851" s="45" t="str">
        <f aca="false">IF($D851="","",COUNTA($D$5:$D851))</f>
        <v/>
      </c>
      <c r="B851" s="46"/>
      <c r="C851" s="47"/>
      <c r="D851" s="48"/>
      <c r="E851" s="48"/>
      <c r="F851" s="49"/>
      <c r="G851" s="47"/>
      <c r="H851" s="50"/>
      <c r="I851" s="50"/>
      <c r="J851" s="51" t="str">
        <f aca="false">IF(OR($V851="",$W851=""),"",ROUND(($W851-$V851)/60,2))</f>
        <v/>
      </c>
      <c r="K851" s="52" t="str">
        <f aca="false">IF($F851="","",LEN($F851)-LEN(SUBSTITUTE($F851,",",""))+1)</f>
        <v/>
      </c>
      <c r="L851" s="45" t="str">
        <f aca="false">IF($K851="","","1:"&amp;$K851)</f>
        <v/>
      </c>
      <c r="M851" s="46"/>
      <c r="N851" s="53"/>
      <c r="O851" s="46"/>
      <c r="P851" s="47"/>
      <c r="Q851" s="48"/>
      <c r="R851" s="49"/>
      <c r="S851" s="54" t="str">
        <f aca="false">IF(OR($AC851=0,$U851="",$M851="",$V851="",$W851=""),"",IF(COUNTIFS(m_teacher,$M851,m_date,$U851,m_active,1,m_start,"&lt;"&amp;$W851,m_end,"&gt;"&amp;$V851)&gt;1,"충돌",""))</f>
        <v/>
      </c>
      <c r="T851" s="48"/>
      <c r="U851" s="55" t="str">
        <f aca="false">IF($G851="","",IFERROR(IF(ISNUMBER($G851),IF($G851&gt;19000000,DATE(INT($G851/10000),MOD(INT($G851/100),100),MOD($G851,100)),INT($G851)),IF(LEN(SUBSTITUTE(SUBSTITUTE(SUBSTITUTE(TRIM($G851),"-",""),".",""),"/",""))=8,DATE(VALUE(LEFT(SUBSTITUTE(SUBSTITUTE(SUBSTITUTE(TRIM($G851),"-",""),".",""),"/",""),4)),VALUE(MID(SUBSTITUTE(SUBSTITUTE(SUBSTITUTE(TRIM($G851),"-",""),".",""),"/",""),5,2)),VALUE(RIGHT(SUBSTITUTE(SUBSTITUTE(SUBSTITUTE(TRIM($G851),"-",""),".",""),"/",""),2))),DATEVALUE($G851))),""))</f>
        <v/>
      </c>
      <c r="V851" s="52" t="str">
        <f aca="false">IF($H851="","",IFERROR(IF(IF(ISNUMBER($H851),$H851,IFERROR(TIMEVALUE($H851),VALUE($H851)))&gt;=100,INT(IF(ISNUMBER($H851),$H851,IFERROR(TIMEVALUE($H851),VALUE($H851)))/100)*60+MOD(IF(ISNUMBER($H851),$H851,IFERROR(TIMEVALUE($H851),VALUE($H851))),100),IF(IF(ISNUMBER($H851),$H851,IFERROR(TIMEVALUE($H851),VALUE($H851)))&gt;=1,ROUND(IF(ISNUMBER($H851),$H851,IFERROR(TIMEVALUE($H851),VALUE($H851)))*60,0),ROUND(MOD(IF(ISNUMBER($H851),$H851,IFERROR(TIMEVALUE($H851),VALUE($H851))),1)*1440,0))),""))</f>
        <v/>
      </c>
      <c r="W851" s="52" t="str">
        <f aca="false">IF($I851="","",IFERROR(IF(IF(ISNUMBER($I851),$I851,IFERROR(TIMEVALUE($I851),VALUE($I851)))&gt;=100,INT(IF(ISNUMBER($I851),$I851,IFERROR(TIMEVALUE($I851),VALUE($I851)))/100)*60+MOD(IF(ISNUMBER($I851),$I851,IFERROR(TIMEVALUE($I851),VALUE($I851))),100),IF(IF(ISNUMBER($I851),$I851,IFERROR(TIMEVALUE($I851),VALUE($I851)))&gt;=1,ROUND(IF(ISNUMBER($I851),$I851,IFERROR(TIMEVALUE($I851),VALUE($I851)))*60,0),ROUND(MOD(IF(ISNUMBER($I851),$I851,IFERROR(TIMEVALUE($I851),VALUE($I851))),1)*1440,0))),""))</f>
        <v/>
      </c>
      <c r="X851" s="55" t="str">
        <f aca="false">IF($P851="","",IFERROR(IF(ISNUMBER($P851),IF($P851&gt;19000000,DATE(INT($P851/10000),MOD(INT($P851/100),100),MOD($P851,100)),INT($P851)),IF(LEN(SUBSTITUTE(SUBSTITUTE(SUBSTITUTE(TRIM($P851),"-",""),".",""),"/",""))=8,DATE(VALUE(LEFT(SUBSTITUTE(SUBSTITUTE(SUBSTITUTE(TRIM($P851),"-",""),".",""),"/",""),4)),VALUE(MID(SUBSTITUTE(SUBSTITUTE(SUBSTITUTE(TRIM($P851),"-",""),".",""),"/",""),5,2)),VALUE(RIGHT(SUBSTITUTE(SUBSTITUTE(SUBSTITUTE(TRIM($P851),"-",""),".",""),"/",""),2))),DATEVALUE($P851))),""))</f>
        <v/>
      </c>
      <c r="Y851" s="56" t="str">
        <f aca="false">IF($M851="","",IFERROR(INDEX(강사DB!$D$4:$D$53,MATCH($M851,강사DB!$A$4:$A$53,0)),""))</f>
        <v/>
      </c>
      <c r="Z851" s="56" t="str">
        <f aca="false">IF($B851&lt;&gt;"결제완료","",IF(OR($Y851="",$J851=""),"",$Y851*$J851+MAX(0,N($K851)-1)*설정!$J$7))</f>
        <v/>
      </c>
      <c r="AA851" s="56" t="str">
        <f aca="false">IF(AND($D851&lt;&gt;"",$B851="결제완료"),N($N851),"")</f>
        <v/>
      </c>
      <c r="AB851" s="45" t="str">
        <f aca="false">IF($D851="","",IF($F851&lt;&gt;"",$F851,$D851)&amp;IF($B851="상담중"," (상담)",""))</f>
        <v/>
      </c>
      <c r="AC851" s="45" t="n">
        <f aca="false">IF(AND($D851&lt;&gt;"",OR($B851="결제완료",$B851="상담중")),1,0)</f>
        <v>0</v>
      </c>
      <c r="AD851" s="45" t="n">
        <f aca="false">IF(OR($Z851="",$U851=""),0,IFERROR(IF(COUNTIFS(INDEX(g_grid,0,2*MATCH($M851,강사DB!$A$4:$A$15,0)),"&lt;&gt;",g_s,"&lt;="&amp;$U851,g_e,"&gt;="&amp;$U851)&gt;0,1,0),0))</f>
        <v>0</v>
      </c>
      <c r="AE851" s="48"/>
      <c r="AF851" s="56" t="str">
        <f aca="false">IF(AND($D851&lt;&gt;"",$B851="결제완료",$T851="대여"),설정!$J$5,"")</f>
        <v/>
      </c>
      <c r="AG851" s="54" t="str">
        <f aca="false">IF($D851="","",IF(AND($E851="",$R851=""),$AB851,"☎ "&amp;IF($E851="","-",$E851)&amp;IF($R851&lt;&gt;"","  ※ "&amp;$R851,"")&amp;IF($B851="상담중"," (상담)","")))</f>
        <v/>
      </c>
      <c r="AH851" s="56" t="str">
        <f aca="false">IF(AND($D851&lt;&gt;"",$B851="결제완료",$O851="스마트스토어"),ROUND(N($N851)*설정!$J$6,0),"")</f>
        <v/>
      </c>
      <c r="AI851" s="54" t="str">
        <f aca="false">IF($D851="","",ROW())</f>
        <v/>
      </c>
      <c r="AJ851" s="54" t="n">
        <f aca="false">IF(OR($AC851&lt;&gt;1,$M851=""),0,IF(ISNUMBER(SEARCH("퇴사",IFERROR(INDEX(강사DB!$G$4:$G$53,MATCH($M851,강사DB!$A$4:$A$53,0)),""))),1,0))</f>
        <v>0</v>
      </c>
    </row>
    <row r="852" customFormat="false" ht="15" hidden="false" customHeight="false" outlineLevel="0" collapsed="false">
      <c r="A852" s="45" t="str">
        <f aca="false">IF($D852="","",COUNTA($D$5:$D852))</f>
        <v/>
      </c>
      <c r="B852" s="46"/>
      <c r="C852" s="47"/>
      <c r="D852" s="48"/>
      <c r="E852" s="48"/>
      <c r="F852" s="49"/>
      <c r="G852" s="47"/>
      <c r="H852" s="50"/>
      <c r="I852" s="50"/>
      <c r="J852" s="51" t="str">
        <f aca="false">IF(OR($V852="",$W852=""),"",ROUND(($W852-$V852)/60,2))</f>
        <v/>
      </c>
      <c r="K852" s="52" t="str">
        <f aca="false">IF($F852="","",LEN($F852)-LEN(SUBSTITUTE($F852,",",""))+1)</f>
        <v/>
      </c>
      <c r="L852" s="45" t="str">
        <f aca="false">IF($K852="","","1:"&amp;$K852)</f>
        <v/>
      </c>
      <c r="M852" s="46"/>
      <c r="N852" s="53"/>
      <c r="O852" s="46"/>
      <c r="P852" s="47"/>
      <c r="Q852" s="48"/>
      <c r="R852" s="49"/>
      <c r="S852" s="54" t="str">
        <f aca="false">IF(OR($AC852=0,$U852="",$M852="",$V852="",$W852=""),"",IF(COUNTIFS(m_teacher,$M852,m_date,$U852,m_active,1,m_start,"&lt;"&amp;$W852,m_end,"&gt;"&amp;$V852)&gt;1,"충돌",""))</f>
        <v/>
      </c>
      <c r="T852" s="48"/>
      <c r="U852" s="55" t="str">
        <f aca="false">IF($G852="","",IFERROR(IF(ISNUMBER($G852),IF($G852&gt;19000000,DATE(INT($G852/10000),MOD(INT($G852/100),100),MOD($G852,100)),INT($G852)),IF(LEN(SUBSTITUTE(SUBSTITUTE(SUBSTITUTE(TRIM($G852),"-",""),".",""),"/",""))=8,DATE(VALUE(LEFT(SUBSTITUTE(SUBSTITUTE(SUBSTITUTE(TRIM($G852),"-",""),".",""),"/",""),4)),VALUE(MID(SUBSTITUTE(SUBSTITUTE(SUBSTITUTE(TRIM($G852),"-",""),".",""),"/",""),5,2)),VALUE(RIGHT(SUBSTITUTE(SUBSTITUTE(SUBSTITUTE(TRIM($G852),"-",""),".",""),"/",""),2))),DATEVALUE($G852))),""))</f>
        <v/>
      </c>
      <c r="V852" s="52" t="str">
        <f aca="false">IF($H852="","",IFERROR(IF(IF(ISNUMBER($H852),$H852,IFERROR(TIMEVALUE($H852),VALUE($H852)))&gt;=100,INT(IF(ISNUMBER($H852),$H852,IFERROR(TIMEVALUE($H852),VALUE($H852)))/100)*60+MOD(IF(ISNUMBER($H852),$H852,IFERROR(TIMEVALUE($H852),VALUE($H852))),100),IF(IF(ISNUMBER($H852),$H852,IFERROR(TIMEVALUE($H852),VALUE($H852)))&gt;=1,ROUND(IF(ISNUMBER($H852),$H852,IFERROR(TIMEVALUE($H852),VALUE($H852)))*60,0),ROUND(MOD(IF(ISNUMBER($H852),$H852,IFERROR(TIMEVALUE($H852),VALUE($H852))),1)*1440,0))),""))</f>
        <v/>
      </c>
      <c r="W852" s="52" t="str">
        <f aca="false">IF($I852="","",IFERROR(IF(IF(ISNUMBER($I852),$I852,IFERROR(TIMEVALUE($I852),VALUE($I852)))&gt;=100,INT(IF(ISNUMBER($I852),$I852,IFERROR(TIMEVALUE($I852),VALUE($I852)))/100)*60+MOD(IF(ISNUMBER($I852),$I852,IFERROR(TIMEVALUE($I852),VALUE($I852))),100),IF(IF(ISNUMBER($I852),$I852,IFERROR(TIMEVALUE($I852),VALUE($I852)))&gt;=1,ROUND(IF(ISNUMBER($I852),$I852,IFERROR(TIMEVALUE($I852),VALUE($I852)))*60,0),ROUND(MOD(IF(ISNUMBER($I852),$I852,IFERROR(TIMEVALUE($I852),VALUE($I852))),1)*1440,0))),""))</f>
        <v/>
      </c>
      <c r="X852" s="55" t="str">
        <f aca="false">IF($P852="","",IFERROR(IF(ISNUMBER($P852),IF($P852&gt;19000000,DATE(INT($P852/10000),MOD(INT($P852/100),100),MOD($P852,100)),INT($P852)),IF(LEN(SUBSTITUTE(SUBSTITUTE(SUBSTITUTE(TRIM($P852),"-",""),".",""),"/",""))=8,DATE(VALUE(LEFT(SUBSTITUTE(SUBSTITUTE(SUBSTITUTE(TRIM($P852),"-",""),".",""),"/",""),4)),VALUE(MID(SUBSTITUTE(SUBSTITUTE(SUBSTITUTE(TRIM($P852),"-",""),".",""),"/",""),5,2)),VALUE(RIGHT(SUBSTITUTE(SUBSTITUTE(SUBSTITUTE(TRIM($P852),"-",""),".",""),"/",""),2))),DATEVALUE($P852))),""))</f>
        <v/>
      </c>
      <c r="Y852" s="56" t="str">
        <f aca="false">IF($M852="","",IFERROR(INDEX(강사DB!$D$4:$D$53,MATCH($M852,강사DB!$A$4:$A$53,0)),""))</f>
        <v/>
      </c>
      <c r="Z852" s="56" t="str">
        <f aca="false">IF($B852&lt;&gt;"결제완료","",IF(OR($Y852="",$J852=""),"",$Y852*$J852+MAX(0,N($K852)-1)*설정!$J$7))</f>
        <v/>
      </c>
      <c r="AA852" s="56" t="str">
        <f aca="false">IF(AND($D852&lt;&gt;"",$B852="결제완료"),N($N852),"")</f>
        <v/>
      </c>
      <c r="AB852" s="45" t="str">
        <f aca="false">IF($D852="","",IF($F852&lt;&gt;"",$F852,$D852)&amp;IF($B852="상담중"," (상담)",""))</f>
        <v/>
      </c>
      <c r="AC852" s="45" t="n">
        <f aca="false">IF(AND($D852&lt;&gt;"",OR($B852="결제완료",$B852="상담중")),1,0)</f>
        <v>0</v>
      </c>
      <c r="AD852" s="45" t="n">
        <f aca="false">IF(OR($Z852="",$U852=""),0,IFERROR(IF(COUNTIFS(INDEX(g_grid,0,2*MATCH($M852,강사DB!$A$4:$A$15,0)),"&lt;&gt;",g_s,"&lt;="&amp;$U852,g_e,"&gt;="&amp;$U852)&gt;0,1,0),0))</f>
        <v>0</v>
      </c>
      <c r="AE852" s="48"/>
      <c r="AF852" s="56" t="str">
        <f aca="false">IF(AND($D852&lt;&gt;"",$B852="결제완료",$T852="대여"),설정!$J$5,"")</f>
        <v/>
      </c>
      <c r="AG852" s="54" t="str">
        <f aca="false">IF($D852="","",IF(AND($E852="",$R852=""),$AB852,"☎ "&amp;IF($E852="","-",$E852)&amp;IF($R852&lt;&gt;"","  ※ "&amp;$R852,"")&amp;IF($B852="상담중"," (상담)","")))</f>
        <v/>
      </c>
      <c r="AH852" s="56" t="str">
        <f aca="false">IF(AND($D852&lt;&gt;"",$B852="결제완료",$O852="스마트스토어"),ROUND(N($N852)*설정!$J$6,0),"")</f>
        <v/>
      </c>
      <c r="AI852" s="54" t="str">
        <f aca="false">IF($D852="","",ROW())</f>
        <v/>
      </c>
      <c r="AJ852" s="54" t="n">
        <f aca="false">IF(OR($AC852&lt;&gt;1,$M852=""),0,IF(ISNUMBER(SEARCH("퇴사",IFERROR(INDEX(강사DB!$G$4:$G$53,MATCH($M852,강사DB!$A$4:$A$53,0)),""))),1,0))</f>
        <v>0</v>
      </c>
    </row>
    <row r="853" customFormat="false" ht="15" hidden="false" customHeight="false" outlineLevel="0" collapsed="false">
      <c r="A853" s="45" t="str">
        <f aca="false">IF($D853="","",COUNTA($D$5:$D853))</f>
        <v/>
      </c>
      <c r="B853" s="46"/>
      <c r="C853" s="47"/>
      <c r="D853" s="48"/>
      <c r="E853" s="48"/>
      <c r="F853" s="49"/>
      <c r="G853" s="47"/>
      <c r="H853" s="50"/>
      <c r="I853" s="50"/>
      <c r="J853" s="51" t="str">
        <f aca="false">IF(OR($V853="",$W853=""),"",ROUND(($W853-$V853)/60,2))</f>
        <v/>
      </c>
      <c r="K853" s="52" t="str">
        <f aca="false">IF($F853="","",LEN($F853)-LEN(SUBSTITUTE($F853,",",""))+1)</f>
        <v/>
      </c>
      <c r="L853" s="45" t="str">
        <f aca="false">IF($K853="","","1:"&amp;$K853)</f>
        <v/>
      </c>
      <c r="M853" s="46"/>
      <c r="N853" s="53"/>
      <c r="O853" s="46"/>
      <c r="P853" s="47"/>
      <c r="Q853" s="48"/>
      <c r="R853" s="49"/>
      <c r="S853" s="54" t="str">
        <f aca="false">IF(OR($AC853=0,$U853="",$M853="",$V853="",$W853=""),"",IF(COUNTIFS(m_teacher,$M853,m_date,$U853,m_active,1,m_start,"&lt;"&amp;$W853,m_end,"&gt;"&amp;$V853)&gt;1,"충돌",""))</f>
        <v/>
      </c>
      <c r="T853" s="48"/>
      <c r="U853" s="55" t="str">
        <f aca="false">IF($G853="","",IFERROR(IF(ISNUMBER($G853),IF($G853&gt;19000000,DATE(INT($G853/10000),MOD(INT($G853/100),100),MOD($G853,100)),INT($G853)),IF(LEN(SUBSTITUTE(SUBSTITUTE(SUBSTITUTE(TRIM($G853),"-",""),".",""),"/",""))=8,DATE(VALUE(LEFT(SUBSTITUTE(SUBSTITUTE(SUBSTITUTE(TRIM($G853),"-",""),".",""),"/",""),4)),VALUE(MID(SUBSTITUTE(SUBSTITUTE(SUBSTITUTE(TRIM($G853),"-",""),".",""),"/",""),5,2)),VALUE(RIGHT(SUBSTITUTE(SUBSTITUTE(SUBSTITUTE(TRIM($G853),"-",""),".",""),"/",""),2))),DATEVALUE($G853))),""))</f>
        <v/>
      </c>
      <c r="V853" s="52" t="str">
        <f aca="false">IF($H853="","",IFERROR(IF(IF(ISNUMBER($H853),$H853,IFERROR(TIMEVALUE($H853),VALUE($H853)))&gt;=100,INT(IF(ISNUMBER($H853),$H853,IFERROR(TIMEVALUE($H853),VALUE($H853)))/100)*60+MOD(IF(ISNUMBER($H853),$H853,IFERROR(TIMEVALUE($H853),VALUE($H853))),100),IF(IF(ISNUMBER($H853),$H853,IFERROR(TIMEVALUE($H853),VALUE($H853)))&gt;=1,ROUND(IF(ISNUMBER($H853),$H853,IFERROR(TIMEVALUE($H853),VALUE($H853)))*60,0),ROUND(MOD(IF(ISNUMBER($H853),$H853,IFERROR(TIMEVALUE($H853),VALUE($H853))),1)*1440,0))),""))</f>
        <v/>
      </c>
      <c r="W853" s="52" t="str">
        <f aca="false">IF($I853="","",IFERROR(IF(IF(ISNUMBER($I853),$I853,IFERROR(TIMEVALUE($I853),VALUE($I853)))&gt;=100,INT(IF(ISNUMBER($I853),$I853,IFERROR(TIMEVALUE($I853),VALUE($I853)))/100)*60+MOD(IF(ISNUMBER($I853),$I853,IFERROR(TIMEVALUE($I853),VALUE($I853))),100),IF(IF(ISNUMBER($I853),$I853,IFERROR(TIMEVALUE($I853),VALUE($I853)))&gt;=1,ROUND(IF(ISNUMBER($I853),$I853,IFERROR(TIMEVALUE($I853),VALUE($I853)))*60,0),ROUND(MOD(IF(ISNUMBER($I853),$I853,IFERROR(TIMEVALUE($I853),VALUE($I853))),1)*1440,0))),""))</f>
        <v/>
      </c>
      <c r="X853" s="55" t="str">
        <f aca="false">IF($P853="","",IFERROR(IF(ISNUMBER($P853),IF($P853&gt;19000000,DATE(INT($P853/10000),MOD(INT($P853/100),100),MOD($P853,100)),INT($P853)),IF(LEN(SUBSTITUTE(SUBSTITUTE(SUBSTITUTE(TRIM($P853),"-",""),".",""),"/",""))=8,DATE(VALUE(LEFT(SUBSTITUTE(SUBSTITUTE(SUBSTITUTE(TRIM($P853),"-",""),".",""),"/",""),4)),VALUE(MID(SUBSTITUTE(SUBSTITUTE(SUBSTITUTE(TRIM($P853),"-",""),".",""),"/",""),5,2)),VALUE(RIGHT(SUBSTITUTE(SUBSTITUTE(SUBSTITUTE(TRIM($P853),"-",""),".",""),"/",""),2))),DATEVALUE($P853))),""))</f>
        <v/>
      </c>
      <c r="Y853" s="56" t="str">
        <f aca="false">IF($M853="","",IFERROR(INDEX(강사DB!$D$4:$D$53,MATCH($M853,강사DB!$A$4:$A$53,0)),""))</f>
        <v/>
      </c>
      <c r="Z853" s="56" t="str">
        <f aca="false">IF($B853&lt;&gt;"결제완료","",IF(OR($Y853="",$J853=""),"",$Y853*$J853+MAX(0,N($K853)-1)*설정!$J$7))</f>
        <v/>
      </c>
      <c r="AA853" s="56" t="str">
        <f aca="false">IF(AND($D853&lt;&gt;"",$B853="결제완료"),N($N853),"")</f>
        <v/>
      </c>
      <c r="AB853" s="45" t="str">
        <f aca="false">IF($D853="","",IF($F853&lt;&gt;"",$F853,$D853)&amp;IF($B853="상담중"," (상담)",""))</f>
        <v/>
      </c>
      <c r="AC853" s="45" t="n">
        <f aca="false">IF(AND($D853&lt;&gt;"",OR($B853="결제완료",$B853="상담중")),1,0)</f>
        <v>0</v>
      </c>
      <c r="AD853" s="45" t="n">
        <f aca="false">IF(OR($Z853="",$U853=""),0,IFERROR(IF(COUNTIFS(INDEX(g_grid,0,2*MATCH($M853,강사DB!$A$4:$A$15,0)),"&lt;&gt;",g_s,"&lt;="&amp;$U853,g_e,"&gt;="&amp;$U853)&gt;0,1,0),0))</f>
        <v>0</v>
      </c>
      <c r="AE853" s="48"/>
      <c r="AF853" s="56" t="str">
        <f aca="false">IF(AND($D853&lt;&gt;"",$B853="결제완료",$T853="대여"),설정!$J$5,"")</f>
        <v/>
      </c>
      <c r="AG853" s="54" t="str">
        <f aca="false">IF($D853="","",IF(AND($E853="",$R853=""),$AB853,"☎ "&amp;IF($E853="","-",$E853)&amp;IF($R853&lt;&gt;"","  ※ "&amp;$R853,"")&amp;IF($B853="상담중"," (상담)","")))</f>
        <v/>
      </c>
      <c r="AH853" s="56" t="str">
        <f aca="false">IF(AND($D853&lt;&gt;"",$B853="결제완료",$O853="스마트스토어"),ROUND(N($N853)*설정!$J$6,0),"")</f>
        <v/>
      </c>
      <c r="AI853" s="54" t="str">
        <f aca="false">IF($D853="","",ROW())</f>
        <v/>
      </c>
      <c r="AJ853" s="54" t="n">
        <f aca="false">IF(OR($AC853&lt;&gt;1,$M853=""),0,IF(ISNUMBER(SEARCH("퇴사",IFERROR(INDEX(강사DB!$G$4:$G$53,MATCH($M853,강사DB!$A$4:$A$53,0)),""))),1,0))</f>
        <v>0</v>
      </c>
    </row>
    <row r="854" customFormat="false" ht="15" hidden="false" customHeight="false" outlineLevel="0" collapsed="false">
      <c r="A854" s="45" t="str">
        <f aca="false">IF($D854="","",COUNTA($D$5:$D854))</f>
        <v/>
      </c>
      <c r="B854" s="46"/>
      <c r="C854" s="47"/>
      <c r="D854" s="48"/>
      <c r="E854" s="48"/>
      <c r="F854" s="49"/>
      <c r="G854" s="47"/>
      <c r="H854" s="50"/>
      <c r="I854" s="50"/>
      <c r="J854" s="51" t="str">
        <f aca="false">IF(OR($V854="",$W854=""),"",ROUND(($W854-$V854)/60,2))</f>
        <v/>
      </c>
      <c r="K854" s="52" t="str">
        <f aca="false">IF($F854="","",LEN($F854)-LEN(SUBSTITUTE($F854,",",""))+1)</f>
        <v/>
      </c>
      <c r="L854" s="45" t="str">
        <f aca="false">IF($K854="","","1:"&amp;$K854)</f>
        <v/>
      </c>
      <c r="M854" s="46"/>
      <c r="N854" s="53"/>
      <c r="O854" s="46"/>
      <c r="P854" s="47"/>
      <c r="Q854" s="48"/>
      <c r="R854" s="49"/>
      <c r="S854" s="54" t="str">
        <f aca="false">IF(OR($AC854=0,$U854="",$M854="",$V854="",$W854=""),"",IF(COUNTIFS(m_teacher,$M854,m_date,$U854,m_active,1,m_start,"&lt;"&amp;$W854,m_end,"&gt;"&amp;$V854)&gt;1,"충돌",""))</f>
        <v/>
      </c>
      <c r="T854" s="48"/>
      <c r="U854" s="55" t="str">
        <f aca="false">IF($G854="","",IFERROR(IF(ISNUMBER($G854),IF($G854&gt;19000000,DATE(INT($G854/10000),MOD(INT($G854/100),100),MOD($G854,100)),INT($G854)),IF(LEN(SUBSTITUTE(SUBSTITUTE(SUBSTITUTE(TRIM($G854),"-",""),".",""),"/",""))=8,DATE(VALUE(LEFT(SUBSTITUTE(SUBSTITUTE(SUBSTITUTE(TRIM($G854),"-",""),".",""),"/",""),4)),VALUE(MID(SUBSTITUTE(SUBSTITUTE(SUBSTITUTE(TRIM($G854),"-",""),".",""),"/",""),5,2)),VALUE(RIGHT(SUBSTITUTE(SUBSTITUTE(SUBSTITUTE(TRIM($G854),"-",""),".",""),"/",""),2))),DATEVALUE($G854))),""))</f>
        <v/>
      </c>
      <c r="V854" s="52" t="str">
        <f aca="false">IF($H854="","",IFERROR(IF(IF(ISNUMBER($H854),$H854,IFERROR(TIMEVALUE($H854),VALUE($H854)))&gt;=100,INT(IF(ISNUMBER($H854),$H854,IFERROR(TIMEVALUE($H854),VALUE($H854)))/100)*60+MOD(IF(ISNUMBER($H854),$H854,IFERROR(TIMEVALUE($H854),VALUE($H854))),100),IF(IF(ISNUMBER($H854),$H854,IFERROR(TIMEVALUE($H854),VALUE($H854)))&gt;=1,ROUND(IF(ISNUMBER($H854),$H854,IFERROR(TIMEVALUE($H854),VALUE($H854)))*60,0),ROUND(MOD(IF(ISNUMBER($H854),$H854,IFERROR(TIMEVALUE($H854),VALUE($H854))),1)*1440,0))),""))</f>
        <v/>
      </c>
      <c r="W854" s="52" t="str">
        <f aca="false">IF($I854="","",IFERROR(IF(IF(ISNUMBER($I854),$I854,IFERROR(TIMEVALUE($I854),VALUE($I854)))&gt;=100,INT(IF(ISNUMBER($I854),$I854,IFERROR(TIMEVALUE($I854),VALUE($I854)))/100)*60+MOD(IF(ISNUMBER($I854),$I854,IFERROR(TIMEVALUE($I854),VALUE($I854))),100),IF(IF(ISNUMBER($I854),$I854,IFERROR(TIMEVALUE($I854),VALUE($I854)))&gt;=1,ROUND(IF(ISNUMBER($I854),$I854,IFERROR(TIMEVALUE($I854),VALUE($I854)))*60,0),ROUND(MOD(IF(ISNUMBER($I854),$I854,IFERROR(TIMEVALUE($I854),VALUE($I854))),1)*1440,0))),""))</f>
        <v/>
      </c>
      <c r="X854" s="55" t="str">
        <f aca="false">IF($P854="","",IFERROR(IF(ISNUMBER($P854),IF($P854&gt;19000000,DATE(INT($P854/10000),MOD(INT($P854/100),100),MOD($P854,100)),INT($P854)),IF(LEN(SUBSTITUTE(SUBSTITUTE(SUBSTITUTE(TRIM($P854),"-",""),".",""),"/",""))=8,DATE(VALUE(LEFT(SUBSTITUTE(SUBSTITUTE(SUBSTITUTE(TRIM($P854),"-",""),".",""),"/",""),4)),VALUE(MID(SUBSTITUTE(SUBSTITUTE(SUBSTITUTE(TRIM($P854),"-",""),".",""),"/",""),5,2)),VALUE(RIGHT(SUBSTITUTE(SUBSTITUTE(SUBSTITUTE(TRIM($P854),"-",""),".",""),"/",""),2))),DATEVALUE($P854))),""))</f>
        <v/>
      </c>
      <c r="Y854" s="56" t="str">
        <f aca="false">IF($M854="","",IFERROR(INDEX(강사DB!$D$4:$D$53,MATCH($M854,강사DB!$A$4:$A$53,0)),""))</f>
        <v/>
      </c>
      <c r="Z854" s="56" t="str">
        <f aca="false">IF($B854&lt;&gt;"결제완료","",IF(OR($Y854="",$J854=""),"",$Y854*$J854+MAX(0,N($K854)-1)*설정!$J$7))</f>
        <v/>
      </c>
      <c r="AA854" s="56" t="str">
        <f aca="false">IF(AND($D854&lt;&gt;"",$B854="결제완료"),N($N854),"")</f>
        <v/>
      </c>
      <c r="AB854" s="45" t="str">
        <f aca="false">IF($D854="","",IF($F854&lt;&gt;"",$F854,$D854)&amp;IF($B854="상담중"," (상담)",""))</f>
        <v/>
      </c>
      <c r="AC854" s="45" t="n">
        <f aca="false">IF(AND($D854&lt;&gt;"",OR($B854="결제완료",$B854="상담중")),1,0)</f>
        <v>0</v>
      </c>
      <c r="AD854" s="45" t="n">
        <f aca="false">IF(OR($Z854="",$U854=""),0,IFERROR(IF(COUNTIFS(INDEX(g_grid,0,2*MATCH($M854,강사DB!$A$4:$A$15,0)),"&lt;&gt;",g_s,"&lt;="&amp;$U854,g_e,"&gt;="&amp;$U854)&gt;0,1,0),0))</f>
        <v>0</v>
      </c>
      <c r="AE854" s="48"/>
      <c r="AF854" s="56" t="str">
        <f aca="false">IF(AND($D854&lt;&gt;"",$B854="결제완료",$T854="대여"),설정!$J$5,"")</f>
        <v/>
      </c>
      <c r="AG854" s="54" t="str">
        <f aca="false">IF($D854="","",IF(AND($E854="",$R854=""),$AB854,"☎ "&amp;IF($E854="","-",$E854)&amp;IF($R854&lt;&gt;"","  ※ "&amp;$R854,"")&amp;IF($B854="상담중"," (상담)","")))</f>
        <v/>
      </c>
      <c r="AH854" s="56" t="str">
        <f aca="false">IF(AND($D854&lt;&gt;"",$B854="결제완료",$O854="스마트스토어"),ROUND(N($N854)*설정!$J$6,0),"")</f>
        <v/>
      </c>
      <c r="AI854" s="54" t="str">
        <f aca="false">IF($D854="","",ROW())</f>
        <v/>
      </c>
      <c r="AJ854" s="54" t="n">
        <f aca="false">IF(OR($AC854&lt;&gt;1,$M854=""),0,IF(ISNUMBER(SEARCH("퇴사",IFERROR(INDEX(강사DB!$G$4:$G$53,MATCH($M854,강사DB!$A$4:$A$53,0)),""))),1,0))</f>
        <v>0</v>
      </c>
    </row>
    <row r="855" customFormat="false" ht="15" hidden="false" customHeight="false" outlineLevel="0" collapsed="false">
      <c r="A855" s="45" t="str">
        <f aca="false">IF($D855="","",COUNTA($D$5:$D855))</f>
        <v/>
      </c>
      <c r="B855" s="46"/>
      <c r="C855" s="47"/>
      <c r="D855" s="48"/>
      <c r="E855" s="48"/>
      <c r="F855" s="49"/>
      <c r="G855" s="47"/>
      <c r="H855" s="50"/>
      <c r="I855" s="50"/>
      <c r="J855" s="51" t="str">
        <f aca="false">IF(OR($V855="",$W855=""),"",ROUND(($W855-$V855)/60,2))</f>
        <v/>
      </c>
      <c r="K855" s="52" t="str">
        <f aca="false">IF($F855="","",LEN($F855)-LEN(SUBSTITUTE($F855,",",""))+1)</f>
        <v/>
      </c>
      <c r="L855" s="45" t="str">
        <f aca="false">IF($K855="","","1:"&amp;$K855)</f>
        <v/>
      </c>
      <c r="M855" s="46"/>
      <c r="N855" s="53"/>
      <c r="O855" s="46"/>
      <c r="P855" s="47"/>
      <c r="Q855" s="48"/>
      <c r="R855" s="49"/>
      <c r="S855" s="54" t="str">
        <f aca="false">IF(OR($AC855=0,$U855="",$M855="",$V855="",$W855=""),"",IF(COUNTIFS(m_teacher,$M855,m_date,$U855,m_active,1,m_start,"&lt;"&amp;$W855,m_end,"&gt;"&amp;$V855)&gt;1,"충돌",""))</f>
        <v/>
      </c>
      <c r="T855" s="48"/>
      <c r="U855" s="55" t="str">
        <f aca="false">IF($G855="","",IFERROR(IF(ISNUMBER($G855),IF($G855&gt;19000000,DATE(INT($G855/10000),MOD(INT($G855/100),100),MOD($G855,100)),INT($G855)),IF(LEN(SUBSTITUTE(SUBSTITUTE(SUBSTITUTE(TRIM($G855),"-",""),".",""),"/",""))=8,DATE(VALUE(LEFT(SUBSTITUTE(SUBSTITUTE(SUBSTITUTE(TRIM($G855),"-",""),".",""),"/",""),4)),VALUE(MID(SUBSTITUTE(SUBSTITUTE(SUBSTITUTE(TRIM($G855),"-",""),".",""),"/",""),5,2)),VALUE(RIGHT(SUBSTITUTE(SUBSTITUTE(SUBSTITUTE(TRIM($G855),"-",""),".",""),"/",""),2))),DATEVALUE($G855))),""))</f>
        <v/>
      </c>
      <c r="V855" s="52" t="str">
        <f aca="false">IF($H855="","",IFERROR(IF(IF(ISNUMBER($H855),$H855,IFERROR(TIMEVALUE($H855),VALUE($H855)))&gt;=100,INT(IF(ISNUMBER($H855),$H855,IFERROR(TIMEVALUE($H855),VALUE($H855)))/100)*60+MOD(IF(ISNUMBER($H855),$H855,IFERROR(TIMEVALUE($H855),VALUE($H855))),100),IF(IF(ISNUMBER($H855),$H855,IFERROR(TIMEVALUE($H855),VALUE($H855)))&gt;=1,ROUND(IF(ISNUMBER($H855),$H855,IFERROR(TIMEVALUE($H855),VALUE($H855)))*60,0),ROUND(MOD(IF(ISNUMBER($H855),$H855,IFERROR(TIMEVALUE($H855),VALUE($H855))),1)*1440,0))),""))</f>
        <v/>
      </c>
      <c r="W855" s="52" t="str">
        <f aca="false">IF($I855="","",IFERROR(IF(IF(ISNUMBER($I855),$I855,IFERROR(TIMEVALUE($I855),VALUE($I855)))&gt;=100,INT(IF(ISNUMBER($I855),$I855,IFERROR(TIMEVALUE($I855),VALUE($I855)))/100)*60+MOD(IF(ISNUMBER($I855),$I855,IFERROR(TIMEVALUE($I855),VALUE($I855))),100),IF(IF(ISNUMBER($I855),$I855,IFERROR(TIMEVALUE($I855),VALUE($I855)))&gt;=1,ROUND(IF(ISNUMBER($I855),$I855,IFERROR(TIMEVALUE($I855),VALUE($I855)))*60,0),ROUND(MOD(IF(ISNUMBER($I855),$I855,IFERROR(TIMEVALUE($I855),VALUE($I855))),1)*1440,0))),""))</f>
        <v/>
      </c>
      <c r="X855" s="55" t="str">
        <f aca="false">IF($P855="","",IFERROR(IF(ISNUMBER($P855),IF($P855&gt;19000000,DATE(INT($P855/10000),MOD(INT($P855/100),100),MOD($P855,100)),INT($P855)),IF(LEN(SUBSTITUTE(SUBSTITUTE(SUBSTITUTE(TRIM($P855),"-",""),".",""),"/",""))=8,DATE(VALUE(LEFT(SUBSTITUTE(SUBSTITUTE(SUBSTITUTE(TRIM($P855),"-",""),".",""),"/",""),4)),VALUE(MID(SUBSTITUTE(SUBSTITUTE(SUBSTITUTE(TRIM($P855),"-",""),".",""),"/",""),5,2)),VALUE(RIGHT(SUBSTITUTE(SUBSTITUTE(SUBSTITUTE(TRIM($P855),"-",""),".",""),"/",""),2))),DATEVALUE($P855))),""))</f>
        <v/>
      </c>
      <c r="Y855" s="56" t="str">
        <f aca="false">IF($M855="","",IFERROR(INDEX(강사DB!$D$4:$D$53,MATCH($M855,강사DB!$A$4:$A$53,0)),""))</f>
        <v/>
      </c>
      <c r="Z855" s="56" t="str">
        <f aca="false">IF($B855&lt;&gt;"결제완료","",IF(OR($Y855="",$J855=""),"",$Y855*$J855+MAX(0,N($K855)-1)*설정!$J$7))</f>
        <v/>
      </c>
      <c r="AA855" s="56" t="str">
        <f aca="false">IF(AND($D855&lt;&gt;"",$B855="결제완료"),N($N855),"")</f>
        <v/>
      </c>
      <c r="AB855" s="45" t="str">
        <f aca="false">IF($D855="","",IF($F855&lt;&gt;"",$F855,$D855)&amp;IF($B855="상담중"," (상담)",""))</f>
        <v/>
      </c>
      <c r="AC855" s="45" t="n">
        <f aca="false">IF(AND($D855&lt;&gt;"",OR($B855="결제완료",$B855="상담중")),1,0)</f>
        <v>0</v>
      </c>
      <c r="AD855" s="45" t="n">
        <f aca="false">IF(OR($Z855="",$U855=""),0,IFERROR(IF(COUNTIFS(INDEX(g_grid,0,2*MATCH($M855,강사DB!$A$4:$A$15,0)),"&lt;&gt;",g_s,"&lt;="&amp;$U855,g_e,"&gt;="&amp;$U855)&gt;0,1,0),0))</f>
        <v>0</v>
      </c>
      <c r="AE855" s="48"/>
      <c r="AF855" s="56" t="str">
        <f aca="false">IF(AND($D855&lt;&gt;"",$B855="결제완료",$T855="대여"),설정!$J$5,"")</f>
        <v/>
      </c>
      <c r="AG855" s="54" t="str">
        <f aca="false">IF($D855="","",IF(AND($E855="",$R855=""),$AB855,"☎ "&amp;IF($E855="","-",$E855)&amp;IF($R855&lt;&gt;"","  ※ "&amp;$R855,"")&amp;IF($B855="상담중"," (상담)","")))</f>
        <v/>
      </c>
      <c r="AH855" s="56" t="str">
        <f aca="false">IF(AND($D855&lt;&gt;"",$B855="결제완료",$O855="스마트스토어"),ROUND(N($N855)*설정!$J$6,0),"")</f>
        <v/>
      </c>
      <c r="AI855" s="54" t="str">
        <f aca="false">IF($D855="","",ROW())</f>
        <v/>
      </c>
      <c r="AJ855" s="54" t="n">
        <f aca="false">IF(OR($AC855&lt;&gt;1,$M855=""),0,IF(ISNUMBER(SEARCH("퇴사",IFERROR(INDEX(강사DB!$G$4:$G$53,MATCH($M855,강사DB!$A$4:$A$53,0)),""))),1,0))</f>
        <v>0</v>
      </c>
    </row>
    <row r="856" customFormat="false" ht="15" hidden="false" customHeight="false" outlineLevel="0" collapsed="false">
      <c r="A856" s="45" t="str">
        <f aca="false">IF($D856="","",COUNTA($D$5:$D856))</f>
        <v/>
      </c>
      <c r="B856" s="46"/>
      <c r="C856" s="47"/>
      <c r="D856" s="48"/>
      <c r="E856" s="48"/>
      <c r="F856" s="49"/>
      <c r="G856" s="47"/>
      <c r="H856" s="50"/>
      <c r="I856" s="50"/>
      <c r="J856" s="51" t="str">
        <f aca="false">IF(OR($V856="",$W856=""),"",ROUND(($W856-$V856)/60,2))</f>
        <v/>
      </c>
      <c r="K856" s="52" t="str">
        <f aca="false">IF($F856="","",LEN($F856)-LEN(SUBSTITUTE($F856,",",""))+1)</f>
        <v/>
      </c>
      <c r="L856" s="45" t="str">
        <f aca="false">IF($K856="","","1:"&amp;$K856)</f>
        <v/>
      </c>
      <c r="M856" s="46"/>
      <c r="N856" s="53"/>
      <c r="O856" s="46"/>
      <c r="P856" s="47"/>
      <c r="Q856" s="48"/>
      <c r="R856" s="49"/>
      <c r="S856" s="54" t="str">
        <f aca="false">IF(OR($AC856=0,$U856="",$M856="",$V856="",$W856=""),"",IF(COUNTIFS(m_teacher,$M856,m_date,$U856,m_active,1,m_start,"&lt;"&amp;$W856,m_end,"&gt;"&amp;$V856)&gt;1,"충돌",""))</f>
        <v/>
      </c>
      <c r="T856" s="48"/>
      <c r="U856" s="55" t="str">
        <f aca="false">IF($G856="","",IFERROR(IF(ISNUMBER($G856),IF($G856&gt;19000000,DATE(INT($G856/10000),MOD(INT($G856/100),100),MOD($G856,100)),INT($G856)),IF(LEN(SUBSTITUTE(SUBSTITUTE(SUBSTITUTE(TRIM($G856),"-",""),".",""),"/",""))=8,DATE(VALUE(LEFT(SUBSTITUTE(SUBSTITUTE(SUBSTITUTE(TRIM($G856),"-",""),".",""),"/",""),4)),VALUE(MID(SUBSTITUTE(SUBSTITUTE(SUBSTITUTE(TRIM($G856),"-",""),".",""),"/",""),5,2)),VALUE(RIGHT(SUBSTITUTE(SUBSTITUTE(SUBSTITUTE(TRIM($G856),"-",""),".",""),"/",""),2))),DATEVALUE($G856))),""))</f>
        <v/>
      </c>
      <c r="V856" s="52" t="str">
        <f aca="false">IF($H856="","",IFERROR(IF(IF(ISNUMBER($H856),$H856,IFERROR(TIMEVALUE($H856),VALUE($H856)))&gt;=100,INT(IF(ISNUMBER($H856),$H856,IFERROR(TIMEVALUE($H856),VALUE($H856)))/100)*60+MOD(IF(ISNUMBER($H856),$H856,IFERROR(TIMEVALUE($H856),VALUE($H856))),100),IF(IF(ISNUMBER($H856),$H856,IFERROR(TIMEVALUE($H856),VALUE($H856)))&gt;=1,ROUND(IF(ISNUMBER($H856),$H856,IFERROR(TIMEVALUE($H856),VALUE($H856)))*60,0),ROUND(MOD(IF(ISNUMBER($H856),$H856,IFERROR(TIMEVALUE($H856),VALUE($H856))),1)*1440,0))),""))</f>
        <v/>
      </c>
      <c r="W856" s="52" t="str">
        <f aca="false">IF($I856="","",IFERROR(IF(IF(ISNUMBER($I856),$I856,IFERROR(TIMEVALUE($I856),VALUE($I856)))&gt;=100,INT(IF(ISNUMBER($I856),$I856,IFERROR(TIMEVALUE($I856),VALUE($I856)))/100)*60+MOD(IF(ISNUMBER($I856),$I856,IFERROR(TIMEVALUE($I856),VALUE($I856))),100),IF(IF(ISNUMBER($I856),$I856,IFERROR(TIMEVALUE($I856),VALUE($I856)))&gt;=1,ROUND(IF(ISNUMBER($I856),$I856,IFERROR(TIMEVALUE($I856),VALUE($I856)))*60,0),ROUND(MOD(IF(ISNUMBER($I856),$I856,IFERROR(TIMEVALUE($I856),VALUE($I856))),1)*1440,0))),""))</f>
        <v/>
      </c>
      <c r="X856" s="55" t="str">
        <f aca="false">IF($P856="","",IFERROR(IF(ISNUMBER($P856),IF($P856&gt;19000000,DATE(INT($P856/10000),MOD(INT($P856/100),100),MOD($P856,100)),INT($P856)),IF(LEN(SUBSTITUTE(SUBSTITUTE(SUBSTITUTE(TRIM($P856),"-",""),".",""),"/",""))=8,DATE(VALUE(LEFT(SUBSTITUTE(SUBSTITUTE(SUBSTITUTE(TRIM($P856),"-",""),".",""),"/",""),4)),VALUE(MID(SUBSTITUTE(SUBSTITUTE(SUBSTITUTE(TRIM($P856),"-",""),".",""),"/",""),5,2)),VALUE(RIGHT(SUBSTITUTE(SUBSTITUTE(SUBSTITUTE(TRIM($P856),"-",""),".",""),"/",""),2))),DATEVALUE($P856))),""))</f>
        <v/>
      </c>
      <c r="Y856" s="56" t="str">
        <f aca="false">IF($M856="","",IFERROR(INDEX(강사DB!$D$4:$D$53,MATCH($M856,강사DB!$A$4:$A$53,0)),""))</f>
        <v/>
      </c>
      <c r="Z856" s="56" t="str">
        <f aca="false">IF($B856&lt;&gt;"결제완료","",IF(OR($Y856="",$J856=""),"",$Y856*$J856+MAX(0,N($K856)-1)*설정!$J$7))</f>
        <v/>
      </c>
      <c r="AA856" s="56" t="str">
        <f aca="false">IF(AND($D856&lt;&gt;"",$B856="결제완료"),N($N856),"")</f>
        <v/>
      </c>
      <c r="AB856" s="45" t="str">
        <f aca="false">IF($D856="","",IF($F856&lt;&gt;"",$F856,$D856)&amp;IF($B856="상담중"," (상담)",""))</f>
        <v/>
      </c>
      <c r="AC856" s="45" t="n">
        <f aca="false">IF(AND($D856&lt;&gt;"",OR($B856="결제완료",$B856="상담중")),1,0)</f>
        <v>0</v>
      </c>
      <c r="AD856" s="45" t="n">
        <f aca="false">IF(OR($Z856="",$U856=""),0,IFERROR(IF(COUNTIFS(INDEX(g_grid,0,2*MATCH($M856,강사DB!$A$4:$A$15,0)),"&lt;&gt;",g_s,"&lt;="&amp;$U856,g_e,"&gt;="&amp;$U856)&gt;0,1,0),0))</f>
        <v>0</v>
      </c>
      <c r="AE856" s="48"/>
      <c r="AF856" s="56" t="str">
        <f aca="false">IF(AND($D856&lt;&gt;"",$B856="결제완료",$T856="대여"),설정!$J$5,"")</f>
        <v/>
      </c>
      <c r="AG856" s="54" t="str">
        <f aca="false">IF($D856="","",IF(AND($E856="",$R856=""),$AB856,"☎ "&amp;IF($E856="","-",$E856)&amp;IF($R856&lt;&gt;"","  ※ "&amp;$R856,"")&amp;IF($B856="상담중"," (상담)","")))</f>
        <v/>
      </c>
      <c r="AH856" s="56" t="str">
        <f aca="false">IF(AND($D856&lt;&gt;"",$B856="결제완료",$O856="스마트스토어"),ROUND(N($N856)*설정!$J$6,0),"")</f>
        <v/>
      </c>
      <c r="AI856" s="54" t="str">
        <f aca="false">IF($D856="","",ROW())</f>
        <v/>
      </c>
      <c r="AJ856" s="54" t="n">
        <f aca="false">IF(OR($AC856&lt;&gt;1,$M856=""),0,IF(ISNUMBER(SEARCH("퇴사",IFERROR(INDEX(강사DB!$G$4:$G$53,MATCH($M856,강사DB!$A$4:$A$53,0)),""))),1,0))</f>
        <v>0</v>
      </c>
    </row>
    <row r="857" customFormat="false" ht="15" hidden="false" customHeight="false" outlineLevel="0" collapsed="false">
      <c r="A857" s="45" t="str">
        <f aca="false">IF($D857="","",COUNTA($D$5:$D857))</f>
        <v/>
      </c>
      <c r="B857" s="46"/>
      <c r="C857" s="47"/>
      <c r="D857" s="48"/>
      <c r="E857" s="48"/>
      <c r="F857" s="49"/>
      <c r="G857" s="47"/>
      <c r="H857" s="50"/>
      <c r="I857" s="50"/>
      <c r="J857" s="51" t="str">
        <f aca="false">IF(OR($V857="",$W857=""),"",ROUND(($W857-$V857)/60,2))</f>
        <v/>
      </c>
      <c r="K857" s="52" t="str">
        <f aca="false">IF($F857="","",LEN($F857)-LEN(SUBSTITUTE($F857,",",""))+1)</f>
        <v/>
      </c>
      <c r="L857" s="45" t="str">
        <f aca="false">IF($K857="","","1:"&amp;$K857)</f>
        <v/>
      </c>
      <c r="M857" s="46"/>
      <c r="N857" s="53"/>
      <c r="O857" s="46"/>
      <c r="P857" s="47"/>
      <c r="Q857" s="48"/>
      <c r="R857" s="49"/>
      <c r="S857" s="54" t="str">
        <f aca="false">IF(OR($AC857=0,$U857="",$M857="",$V857="",$W857=""),"",IF(COUNTIFS(m_teacher,$M857,m_date,$U857,m_active,1,m_start,"&lt;"&amp;$W857,m_end,"&gt;"&amp;$V857)&gt;1,"충돌",""))</f>
        <v/>
      </c>
      <c r="T857" s="48"/>
      <c r="U857" s="55" t="str">
        <f aca="false">IF($G857="","",IFERROR(IF(ISNUMBER($G857),IF($G857&gt;19000000,DATE(INT($G857/10000),MOD(INT($G857/100),100),MOD($G857,100)),INT($G857)),IF(LEN(SUBSTITUTE(SUBSTITUTE(SUBSTITUTE(TRIM($G857),"-",""),".",""),"/",""))=8,DATE(VALUE(LEFT(SUBSTITUTE(SUBSTITUTE(SUBSTITUTE(TRIM($G857),"-",""),".",""),"/",""),4)),VALUE(MID(SUBSTITUTE(SUBSTITUTE(SUBSTITUTE(TRIM($G857),"-",""),".",""),"/",""),5,2)),VALUE(RIGHT(SUBSTITUTE(SUBSTITUTE(SUBSTITUTE(TRIM($G857),"-",""),".",""),"/",""),2))),DATEVALUE($G857))),""))</f>
        <v/>
      </c>
      <c r="V857" s="52" t="str">
        <f aca="false">IF($H857="","",IFERROR(IF(IF(ISNUMBER($H857),$H857,IFERROR(TIMEVALUE($H857),VALUE($H857)))&gt;=100,INT(IF(ISNUMBER($H857),$H857,IFERROR(TIMEVALUE($H857),VALUE($H857)))/100)*60+MOD(IF(ISNUMBER($H857),$H857,IFERROR(TIMEVALUE($H857),VALUE($H857))),100),IF(IF(ISNUMBER($H857),$H857,IFERROR(TIMEVALUE($H857),VALUE($H857)))&gt;=1,ROUND(IF(ISNUMBER($H857),$H857,IFERROR(TIMEVALUE($H857),VALUE($H857)))*60,0),ROUND(MOD(IF(ISNUMBER($H857),$H857,IFERROR(TIMEVALUE($H857),VALUE($H857))),1)*1440,0))),""))</f>
        <v/>
      </c>
      <c r="W857" s="52" t="str">
        <f aca="false">IF($I857="","",IFERROR(IF(IF(ISNUMBER($I857),$I857,IFERROR(TIMEVALUE($I857),VALUE($I857)))&gt;=100,INT(IF(ISNUMBER($I857),$I857,IFERROR(TIMEVALUE($I857),VALUE($I857)))/100)*60+MOD(IF(ISNUMBER($I857),$I857,IFERROR(TIMEVALUE($I857),VALUE($I857))),100),IF(IF(ISNUMBER($I857),$I857,IFERROR(TIMEVALUE($I857),VALUE($I857)))&gt;=1,ROUND(IF(ISNUMBER($I857),$I857,IFERROR(TIMEVALUE($I857),VALUE($I857)))*60,0),ROUND(MOD(IF(ISNUMBER($I857),$I857,IFERROR(TIMEVALUE($I857),VALUE($I857))),1)*1440,0))),""))</f>
        <v/>
      </c>
      <c r="X857" s="55" t="str">
        <f aca="false">IF($P857="","",IFERROR(IF(ISNUMBER($P857),IF($P857&gt;19000000,DATE(INT($P857/10000),MOD(INT($P857/100),100),MOD($P857,100)),INT($P857)),IF(LEN(SUBSTITUTE(SUBSTITUTE(SUBSTITUTE(TRIM($P857),"-",""),".",""),"/",""))=8,DATE(VALUE(LEFT(SUBSTITUTE(SUBSTITUTE(SUBSTITUTE(TRIM($P857),"-",""),".",""),"/",""),4)),VALUE(MID(SUBSTITUTE(SUBSTITUTE(SUBSTITUTE(TRIM($P857),"-",""),".",""),"/",""),5,2)),VALUE(RIGHT(SUBSTITUTE(SUBSTITUTE(SUBSTITUTE(TRIM($P857),"-",""),".",""),"/",""),2))),DATEVALUE($P857))),""))</f>
        <v/>
      </c>
      <c r="Y857" s="56" t="str">
        <f aca="false">IF($M857="","",IFERROR(INDEX(강사DB!$D$4:$D$53,MATCH($M857,강사DB!$A$4:$A$53,0)),""))</f>
        <v/>
      </c>
      <c r="Z857" s="56" t="str">
        <f aca="false">IF($B857&lt;&gt;"결제완료","",IF(OR($Y857="",$J857=""),"",$Y857*$J857+MAX(0,N($K857)-1)*설정!$J$7))</f>
        <v/>
      </c>
      <c r="AA857" s="56" t="str">
        <f aca="false">IF(AND($D857&lt;&gt;"",$B857="결제완료"),N($N857),"")</f>
        <v/>
      </c>
      <c r="AB857" s="45" t="str">
        <f aca="false">IF($D857="","",IF($F857&lt;&gt;"",$F857,$D857)&amp;IF($B857="상담중"," (상담)",""))</f>
        <v/>
      </c>
      <c r="AC857" s="45" t="n">
        <f aca="false">IF(AND($D857&lt;&gt;"",OR($B857="결제완료",$B857="상담중")),1,0)</f>
        <v>0</v>
      </c>
      <c r="AD857" s="45" t="n">
        <f aca="false">IF(OR($Z857="",$U857=""),0,IFERROR(IF(COUNTIFS(INDEX(g_grid,0,2*MATCH($M857,강사DB!$A$4:$A$15,0)),"&lt;&gt;",g_s,"&lt;="&amp;$U857,g_e,"&gt;="&amp;$U857)&gt;0,1,0),0))</f>
        <v>0</v>
      </c>
      <c r="AE857" s="48"/>
      <c r="AF857" s="56" t="str">
        <f aca="false">IF(AND($D857&lt;&gt;"",$B857="결제완료",$T857="대여"),설정!$J$5,"")</f>
        <v/>
      </c>
      <c r="AG857" s="54" t="str">
        <f aca="false">IF($D857="","",IF(AND($E857="",$R857=""),$AB857,"☎ "&amp;IF($E857="","-",$E857)&amp;IF($R857&lt;&gt;"","  ※ "&amp;$R857,"")&amp;IF($B857="상담중"," (상담)","")))</f>
        <v/>
      </c>
      <c r="AH857" s="56" t="str">
        <f aca="false">IF(AND($D857&lt;&gt;"",$B857="결제완료",$O857="스마트스토어"),ROUND(N($N857)*설정!$J$6,0),"")</f>
        <v/>
      </c>
      <c r="AI857" s="54" t="str">
        <f aca="false">IF($D857="","",ROW())</f>
        <v/>
      </c>
      <c r="AJ857" s="54" t="n">
        <f aca="false">IF(OR($AC857&lt;&gt;1,$M857=""),0,IF(ISNUMBER(SEARCH("퇴사",IFERROR(INDEX(강사DB!$G$4:$G$53,MATCH($M857,강사DB!$A$4:$A$53,0)),""))),1,0))</f>
        <v>0</v>
      </c>
    </row>
    <row r="858" customFormat="false" ht="15" hidden="false" customHeight="false" outlineLevel="0" collapsed="false">
      <c r="A858" s="45" t="str">
        <f aca="false">IF($D858="","",COUNTA($D$5:$D858))</f>
        <v/>
      </c>
      <c r="B858" s="46"/>
      <c r="C858" s="47"/>
      <c r="D858" s="48"/>
      <c r="E858" s="48"/>
      <c r="F858" s="49"/>
      <c r="G858" s="47"/>
      <c r="H858" s="50"/>
      <c r="I858" s="50"/>
      <c r="J858" s="51" t="str">
        <f aca="false">IF(OR($V858="",$W858=""),"",ROUND(($W858-$V858)/60,2))</f>
        <v/>
      </c>
      <c r="K858" s="52" t="str">
        <f aca="false">IF($F858="","",LEN($F858)-LEN(SUBSTITUTE($F858,",",""))+1)</f>
        <v/>
      </c>
      <c r="L858" s="45" t="str">
        <f aca="false">IF($K858="","","1:"&amp;$K858)</f>
        <v/>
      </c>
      <c r="M858" s="46"/>
      <c r="N858" s="53"/>
      <c r="O858" s="46"/>
      <c r="P858" s="47"/>
      <c r="Q858" s="48"/>
      <c r="R858" s="49"/>
      <c r="S858" s="54" t="str">
        <f aca="false">IF(OR($AC858=0,$U858="",$M858="",$V858="",$W858=""),"",IF(COUNTIFS(m_teacher,$M858,m_date,$U858,m_active,1,m_start,"&lt;"&amp;$W858,m_end,"&gt;"&amp;$V858)&gt;1,"충돌",""))</f>
        <v/>
      </c>
      <c r="T858" s="48"/>
      <c r="U858" s="55" t="str">
        <f aca="false">IF($G858="","",IFERROR(IF(ISNUMBER($G858),IF($G858&gt;19000000,DATE(INT($G858/10000),MOD(INT($G858/100),100),MOD($G858,100)),INT($G858)),IF(LEN(SUBSTITUTE(SUBSTITUTE(SUBSTITUTE(TRIM($G858),"-",""),".",""),"/",""))=8,DATE(VALUE(LEFT(SUBSTITUTE(SUBSTITUTE(SUBSTITUTE(TRIM($G858),"-",""),".",""),"/",""),4)),VALUE(MID(SUBSTITUTE(SUBSTITUTE(SUBSTITUTE(TRIM($G858),"-",""),".",""),"/",""),5,2)),VALUE(RIGHT(SUBSTITUTE(SUBSTITUTE(SUBSTITUTE(TRIM($G858),"-",""),".",""),"/",""),2))),DATEVALUE($G858))),""))</f>
        <v/>
      </c>
      <c r="V858" s="52" t="str">
        <f aca="false">IF($H858="","",IFERROR(IF(IF(ISNUMBER($H858),$H858,IFERROR(TIMEVALUE($H858),VALUE($H858)))&gt;=100,INT(IF(ISNUMBER($H858),$H858,IFERROR(TIMEVALUE($H858),VALUE($H858)))/100)*60+MOD(IF(ISNUMBER($H858),$H858,IFERROR(TIMEVALUE($H858),VALUE($H858))),100),IF(IF(ISNUMBER($H858),$H858,IFERROR(TIMEVALUE($H858),VALUE($H858)))&gt;=1,ROUND(IF(ISNUMBER($H858),$H858,IFERROR(TIMEVALUE($H858),VALUE($H858)))*60,0),ROUND(MOD(IF(ISNUMBER($H858),$H858,IFERROR(TIMEVALUE($H858),VALUE($H858))),1)*1440,0))),""))</f>
        <v/>
      </c>
      <c r="W858" s="52" t="str">
        <f aca="false">IF($I858="","",IFERROR(IF(IF(ISNUMBER($I858),$I858,IFERROR(TIMEVALUE($I858),VALUE($I858)))&gt;=100,INT(IF(ISNUMBER($I858),$I858,IFERROR(TIMEVALUE($I858),VALUE($I858)))/100)*60+MOD(IF(ISNUMBER($I858),$I858,IFERROR(TIMEVALUE($I858),VALUE($I858))),100),IF(IF(ISNUMBER($I858),$I858,IFERROR(TIMEVALUE($I858),VALUE($I858)))&gt;=1,ROUND(IF(ISNUMBER($I858),$I858,IFERROR(TIMEVALUE($I858),VALUE($I858)))*60,0),ROUND(MOD(IF(ISNUMBER($I858),$I858,IFERROR(TIMEVALUE($I858),VALUE($I858))),1)*1440,0))),""))</f>
        <v/>
      </c>
      <c r="X858" s="55" t="str">
        <f aca="false">IF($P858="","",IFERROR(IF(ISNUMBER($P858),IF($P858&gt;19000000,DATE(INT($P858/10000),MOD(INT($P858/100),100),MOD($P858,100)),INT($P858)),IF(LEN(SUBSTITUTE(SUBSTITUTE(SUBSTITUTE(TRIM($P858),"-",""),".",""),"/",""))=8,DATE(VALUE(LEFT(SUBSTITUTE(SUBSTITUTE(SUBSTITUTE(TRIM($P858),"-",""),".",""),"/",""),4)),VALUE(MID(SUBSTITUTE(SUBSTITUTE(SUBSTITUTE(TRIM($P858),"-",""),".",""),"/",""),5,2)),VALUE(RIGHT(SUBSTITUTE(SUBSTITUTE(SUBSTITUTE(TRIM($P858),"-",""),".",""),"/",""),2))),DATEVALUE($P858))),""))</f>
        <v/>
      </c>
      <c r="Y858" s="56" t="str">
        <f aca="false">IF($M858="","",IFERROR(INDEX(강사DB!$D$4:$D$53,MATCH($M858,강사DB!$A$4:$A$53,0)),""))</f>
        <v/>
      </c>
      <c r="Z858" s="56" t="str">
        <f aca="false">IF($B858&lt;&gt;"결제완료","",IF(OR($Y858="",$J858=""),"",$Y858*$J858+MAX(0,N($K858)-1)*설정!$J$7))</f>
        <v/>
      </c>
      <c r="AA858" s="56" t="str">
        <f aca="false">IF(AND($D858&lt;&gt;"",$B858="결제완료"),N($N858),"")</f>
        <v/>
      </c>
      <c r="AB858" s="45" t="str">
        <f aca="false">IF($D858="","",IF($F858&lt;&gt;"",$F858,$D858)&amp;IF($B858="상담중"," (상담)",""))</f>
        <v/>
      </c>
      <c r="AC858" s="45" t="n">
        <f aca="false">IF(AND($D858&lt;&gt;"",OR($B858="결제완료",$B858="상담중")),1,0)</f>
        <v>0</v>
      </c>
      <c r="AD858" s="45" t="n">
        <f aca="false">IF(OR($Z858="",$U858=""),0,IFERROR(IF(COUNTIFS(INDEX(g_grid,0,2*MATCH($M858,강사DB!$A$4:$A$15,0)),"&lt;&gt;",g_s,"&lt;="&amp;$U858,g_e,"&gt;="&amp;$U858)&gt;0,1,0),0))</f>
        <v>0</v>
      </c>
      <c r="AE858" s="48"/>
      <c r="AF858" s="56" t="str">
        <f aca="false">IF(AND($D858&lt;&gt;"",$B858="결제완료",$T858="대여"),설정!$J$5,"")</f>
        <v/>
      </c>
      <c r="AG858" s="54" t="str">
        <f aca="false">IF($D858="","",IF(AND($E858="",$R858=""),$AB858,"☎ "&amp;IF($E858="","-",$E858)&amp;IF($R858&lt;&gt;"","  ※ "&amp;$R858,"")&amp;IF($B858="상담중"," (상담)","")))</f>
        <v/>
      </c>
      <c r="AH858" s="56" t="str">
        <f aca="false">IF(AND($D858&lt;&gt;"",$B858="결제완료",$O858="스마트스토어"),ROUND(N($N858)*설정!$J$6,0),"")</f>
        <v/>
      </c>
      <c r="AI858" s="54" t="str">
        <f aca="false">IF($D858="","",ROW())</f>
        <v/>
      </c>
      <c r="AJ858" s="54" t="n">
        <f aca="false">IF(OR($AC858&lt;&gt;1,$M858=""),0,IF(ISNUMBER(SEARCH("퇴사",IFERROR(INDEX(강사DB!$G$4:$G$53,MATCH($M858,강사DB!$A$4:$A$53,0)),""))),1,0))</f>
        <v>0</v>
      </c>
    </row>
    <row r="859" customFormat="false" ht="15" hidden="false" customHeight="false" outlineLevel="0" collapsed="false">
      <c r="A859" s="45" t="str">
        <f aca="false">IF($D859="","",COUNTA($D$5:$D859))</f>
        <v/>
      </c>
      <c r="B859" s="46"/>
      <c r="C859" s="47"/>
      <c r="D859" s="48"/>
      <c r="E859" s="48"/>
      <c r="F859" s="49"/>
      <c r="G859" s="47"/>
      <c r="H859" s="50"/>
      <c r="I859" s="50"/>
      <c r="J859" s="51" t="str">
        <f aca="false">IF(OR($V859="",$W859=""),"",ROUND(($W859-$V859)/60,2))</f>
        <v/>
      </c>
      <c r="K859" s="52" t="str">
        <f aca="false">IF($F859="","",LEN($F859)-LEN(SUBSTITUTE($F859,",",""))+1)</f>
        <v/>
      </c>
      <c r="L859" s="45" t="str">
        <f aca="false">IF($K859="","","1:"&amp;$K859)</f>
        <v/>
      </c>
      <c r="M859" s="46"/>
      <c r="N859" s="53"/>
      <c r="O859" s="46"/>
      <c r="P859" s="47"/>
      <c r="Q859" s="48"/>
      <c r="R859" s="49"/>
      <c r="S859" s="54" t="str">
        <f aca="false">IF(OR($AC859=0,$U859="",$M859="",$V859="",$W859=""),"",IF(COUNTIFS(m_teacher,$M859,m_date,$U859,m_active,1,m_start,"&lt;"&amp;$W859,m_end,"&gt;"&amp;$V859)&gt;1,"충돌",""))</f>
        <v/>
      </c>
      <c r="T859" s="48"/>
      <c r="U859" s="55" t="str">
        <f aca="false">IF($G859="","",IFERROR(IF(ISNUMBER($G859),IF($G859&gt;19000000,DATE(INT($G859/10000),MOD(INT($G859/100),100),MOD($G859,100)),INT($G859)),IF(LEN(SUBSTITUTE(SUBSTITUTE(SUBSTITUTE(TRIM($G859),"-",""),".",""),"/",""))=8,DATE(VALUE(LEFT(SUBSTITUTE(SUBSTITUTE(SUBSTITUTE(TRIM($G859),"-",""),".",""),"/",""),4)),VALUE(MID(SUBSTITUTE(SUBSTITUTE(SUBSTITUTE(TRIM($G859),"-",""),".",""),"/",""),5,2)),VALUE(RIGHT(SUBSTITUTE(SUBSTITUTE(SUBSTITUTE(TRIM($G859),"-",""),".",""),"/",""),2))),DATEVALUE($G859))),""))</f>
        <v/>
      </c>
      <c r="V859" s="52" t="str">
        <f aca="false">IF($H859="","",IFERROR(IF(IF(ISNUMBER($H859),$H859,IFERROR(TIMEVALUE($H859),VALUE($H859)))&gt;=100,INT(IF(ISNUMBER($H859),$H859,IFERROR(TIMEVALUE($H859),VALUE($H859)))/100)*60+MOD(IF(ISNUMBER($H859),$H859,IFERROR(TIMEVALUE($H859),VALUE($H859))),100),IF(IF(ISNUMBER($H859),$H859,IFERROR(TIMEVALUE($H859),VALUE($H859)))&gt;=1,ROUND(IF(ISNUMBER($H859),$H859,IFERROR(TIMEVALUE($H859),VALUE($H859)))*60,0),ROUND(MOD(IF(ISNUMBER($H859),$H859,IFERROR(TIMEVALUE($H859),VALUE($H859))),1)*1440,0))),""))</f>
        <v/>
      </c>
      <c r="W859" s="52" t="str">
        <f aca="false">IF($I859="","",IFERROR(IF(IF(ISNUMBER($I859),$I859,IFERROR(TIMEVALUE($I859),VALUE($I859)))&gt;=100,INT(IF(ISNUMBER($I859),$I859,IFERROR(TIMEVALUE($I859),VALUE($I859)))/100)*60+MOD(IF(ISNUMBER($I859),$I859,IFERROR(TIMEVALUE($I859),VALUE($I859))),100),IF(IF(ISNUMBER($I859),$I859,IFERROR(TIMEVALUE($I859),VALUE($I859)))&gt;=1,ROUND(IF(ISNUMBER($I859),$I859,IFERROR(TIMEVALUE($I859),VALUE($I859)))*60,0),ROUND(MOD(IF(ISNUMBER($I859),$I859,IFERROR(TIMEVALUE($I859),VALUE($I859))),1)*1440,0))),""))</f>
        <v/>
      </c>
      <c r="X859" s="55" t="str">
        <f aca="false">IF($P859="","",IFERROR(IF(ISNUMBER($P859),IF($P859&gt;19000000,DATE(INT($P859/10000),MOD(INT($P859/100),100),MOD($P859,100)),INT($P859)),IF(LEN(SUBSTITUTE(SUBSTITUTE(SUBSTITUTE(TRIM($P859),"-",""),".",""),"/",""))=8,DATE(VALUE(LEFT(SUBSTITUTE(SUBSTITUTE(SUBSTITUTE(TRIM($P859),"-",""),".",""),"/",""),4)),VALUE(MID(SUBSTITUTE(SUBSTITUTE(SUBSTITUTE(TRIM($P859),"-",""),".",""),"/",""),5,2)),VALUE(RIGHT(SUBSTITUTE(SUBSTITUTE(SUBSTITUTE(TRIM($P859),"-",""),".",""),"/",""),2))),DATEVALUE($P859))),""))</f>
        <v/>
      </c>
      <c r="Y859" s="56" t="str">
        <f aca="false">IF($M859="","",IFERROR(INDEX(강사DB!$D$4:$D$53,MATCH($M859,강사DB!$A$4:$A$53,0)),""))</f>
        <v/>
      </c>
      <c r="Z859" s="56" t="str">
        <f aca="false">IF($B859&lt;&gt;"결제완료","",IF(OR($Y859="",$J859=""),"",$Y859*$J859+MAX(0,N($K859)-1)*설정!$J$7))</f>
        <v/>
      </c>
      <c r="AA859" s="56" t="str">
        <f aca="false">IF(AND($D859&lt;&gt;"",$B859="결제완료"),N($N859),"")</f>
        <v/>
      </c>
      <c r="AB859" s="45" t="str">
        <f aca="false">IF($D859="","",IF($F859&lt;&gt;"",$F859,$D859)&amp;IF($B859="상담중"," (상담)",""))</f>
        <v/>
      </c>
      <c r="AC859" s="45" t="n">
        <f aca="false">IF(AND($D859&lt;&gt;"",OR($B859="결제완료",$B859="상담중")),1,0)</f>
        <v>0</v>
      </c>
      <c r="AD859" s="45" t="n">
        <f aca="false">IF(OR($Z859="",$U859=""),0,IFERROR(IF(COUNTIFS(INDEX(g_grid,0,2*MATCH($M859,강사DB!$A$4:$A$15,0)),"&lt;&gt;",g_s,"&lt;="&amp;$U859,g_e,"&gt;="&amp;$U859)&gt;0,1,0),0))</f>
        <v>0</v>
      </c>
      <c r="AE859" s="48"/>
      <c r="AF859" s="56" t="str">
        <f aca="false">IF(AND($D859&lt;&gt;"",$B859="결제완료",$T859="대여"),설정!$J$5,"")</f>
        <v/>
      </c>
      <c r="AG859" s="54" t="str">
        <f aca="false">IF($D859="","",IF(AND($E859="",$R859=""),$AB859,"☎ "&amp;IF($E859="","-",$E859)&amp;IF($R859&lt;&gt;"","  ※ "&amp;$R859,"")&amp;IF($B859="상담중"," (상담)","")))</f>
        <v/>
      </c>
      <c r="AH859" s="56" t="str">
        <f aca="false">IF(AND($D859&lt;&gt;"",$B859="결제완료",$O859="스마트스토어"),ROUND(N($N859)*설정!$J$6,0),"")</f>
        <v/>
      </c>
      <c r="AI859" s="54" t="str">
        <f aca="false">IF($D859="","",ROW())</f>
        <v/>
      </c>
      <c r="AJ859" s="54" t="n">
        <f aca="false">IF(OR($AC859&lt;&gt;1,$M859=""),0,IF(ISNUMBER(SEARCH("퇴사",IFERROR(INDEX(강사DB!$G$4:$G$53,MATCH($M859,강사DB!$A$4:$A$53,0)),""))),1,0))</f>
        <v>0</v>
      </c>
    </row>
    <row r="860" customFormat="false" ht="15" hidden="false" customHeight="false" outlineLevel="0" collapsed="false">
      <c r="A860" s="45" t="str">
        <f aca="false">IF($D860="","",COUNTA($D$5:$D860))</f>
        <v/>
      </c>
      <c r="B860" s="46"/>
      <c r="C860" s="47"/>
      <c r="D860" s="48"/>
      <c r="E860" s="48"/>
      <c r="F860" s="49"/>
      <c r="G860" s="47"/>
      <c r="H860" s="50"/>
      <c r="I860" s="50"/>
      <c r="J860" s="51" t="str">
        <f aca="false">IF(OR($V860="",$W860=""),"",ROUND(($W860-$V860)/60,2))</f>
        <v/>
      </c>
      <c r="K860" s="52" t="str">
        <f aca="false">IF($F860="","",LEN($F860)-LEN(SUBSTITUTE($F860,",",""))+1)</f>
        <v/>
      </c>
      <c r="L860" s="45" t="str">
        <f aca="false">IF($K860="","","1:"&amp;$K860)</f>
        <v/>
      </c>
      <c r="M860" s="46"/>
      <c r="N860" s="53"/>
      <c r="O860" s="46"/>
      <c r="P860" s="47"/>
      <c r="Q860" s="48"/>
      <c r="R860" s="49"/>
      <c r="S860" s="54" t="str">
        <f aca="false">IF(OR($AC860=0,$U860="",$M860="",$V860="",$W860=""),"",IF(COUNTIFS(m_teacher,$M860,m_date,$U860,m_active,1,m_start,"&lt;"&amp;$W860,m_end,"&gt;"&amp;$V860)&gt;1,"충돌",""))</f>
        <v/>
      </c>
      <c r="T860" s="48"/>
      <c r="U860" s="55" t="str">
        <f aca="false">IF($G860="","",IFERROR(IF(ISNUMBER($G860),IF($G860&gt;19000000,DATE(INT($G860/10000),MOD(INT($G860/100),100),MOD($G860,100)),INT($G860)),IF(LEN(SUBSTITUTE(SUBSTITUTE(SUBSTITUTE(TRIM($G860),"-",""),".",""),"/",""))=8,DATE(VALUE(LEFT(SUBSTITUTE(SUBSTITUTE(SUBSTITUTE(TRIM($G860),"-",""),".",""),"/",""),4)),VALUE(MID(SUBSTITUTE(SUBSTITUTE(SUBSTITUTE(TRIM($G860),"-",""),".",""),"/",""),5,2)),VALUE(RIGHT(SUBSTITUTE(SUBSTITUTE(SUBSTITUTE(TRIM($G860),"-",""),".",""),"/",""),2))),DATEVALUE($G860))),""))</f>
        <v/>
      </c>
      <c r="V860" s="52" t="str">
        <f aca="false">IF($H860="","",IFERROR(IF(IF(ISNUMBER($H860),$H860,IFERROR(TIMEVALUE($H860),VALUE($H860)))&gt;=100,INT(IF(ISNUMBER($H860),$H860,IFERROR(TIMEVALUE($H860),VALUE($H860)))/100)*60+MOD(IF(ISNUMBER($H860),$H860,IFERROR(TIMEVALUE($H860),VALUE($H860))),100),IF(IF(ISNUMBER($H860),$H860,IFERROR(TIMEVALUE($H860),VALUE($H860)))&gt;=1,ROUND(IF(ISNUMBER($H860),$H860,IFERROR(TIMEVALUE($H860),VALUE($H860)))*60,0),ROUND(MOD(IF(ISNUMBER($H860),$H860,IFERROR(TIMEVALUE($H860),VALUE($H860))),1)*1440,0))),""))</f>
        <v/>
      </c>
      <c r="W860" s="52" t="str">
        <f aca="false">IF($I860="","",IFERROR(IF(IF(ISNUMBER($I860),$I860,IFERROR(TIMEVALUE($I860),VALUE($I860)))&gt;=100,INT(IF(ISNUMBER($I860),$I860,IFERROR(TIMEVALUE($I860),VALUE($I860)))/100)*60+MOD(IF(ISNUMBER($I860),$I860,IFERROR(TIMEVALUE($I860),VALUE($I860))),100),IF(IF(ISNUMBER($I860),$I860,IFERROR(TIMEVALUE($I860),VALUE($I860)))&gt;=1,ROUND(IF(ISNUMBER($I860),$I860,IFERROR(TIMEVALUE($I860),VALUE($I860)))*60,0),ROUND(MOD(IF(ISNUMBER($I860),$I860,IFERROR(TIMEVALUE($I860),VALUE($I860))),1)*1440,0))),""))</f>
        <v/>
      </c>
      <c r="X860" s="55" t="str">
        <f aca="false">IF($P860="","",IFERROR(IF(ISNUMBER($P860),IF($P860&gt;19000000,DATE(INT($P860/10000),MOD(INT($P860/100),100),MOD($P860,100)),INT($P860)),IF(LEN(SUBSTITUTE(SUBSTITUTE(SUBSTITUTE(TRIM($P860),"-",""),".",""),"/",""))=8,DATE(VALUE(LEFT(SUBSTITUTE(SUBSTITUTE(SUBSTITUTE(TRIM($P860),"-",""),".",""),"/",""),4)),VALUE(MID(SUBSTITUTE(SUBSTITUTE(SUBSTITUTE(TRIM($P860),"-",""),".",""),"/",""),5,2)),VALUE(RIGHT(SUBSTITUTE(SUBSTITUTE(SUBSTITUTE(TRIM($P860),"-",""),".",""),"/",""),2))),DATEVALUE($P860))),""))</f>
        <v/>
      </c>
      <c r="Y860" s="56" t="str">
        <f aca="false">IF($M860="","",IFERROR(INDEX(강사DB!$D$4:$D$53,MATCH($M860,강사DB!$A$4:$A$53,0)),""))</f>
        <v/>
      </c>
      <c r="Z860" s="56" t="str">
        <f aca="false">IF($B860&lt;&gt;"결제완료","",IF(OR($Y860="",$J860=""),"",$Y860*$J860+MAX(0,N($K860)-1)*설정!$J$7))</f>
        <v/>
      </c>
      <c r="AA860" s="56" t="str">
        <f aca="false">IF(AND($D860&lt;&gt;"",$B860="결제완료"),N($N860),"")</f>
        <v/>
      </c>
      <c r="AB860" s="45" t="str">
        <f aca="false">IF($D860="","",IF($F860&lt;&gt;"",$F860,$D860)&amp;IF($B860="상담중"," (상담)",""))</f>
        <v/>
      </c>
      <c r="AC860" s="45" t="n">
        <f aca="false">IF(AND($D860&lt;&gt;"",OR($B860="결제완료",$B860="상담중")),1,0)</f>
        <v>0</v>
      </c>
      <c r="AD860" s="45" t="n">
        <f aca="false">IF(OR($Z860="",$U860=""),0,IFERROR(IF(COUNTIFS(INDEX(g_grid,0,2*MATCH($M860,강사DB!$A$4:$A$15,0)),"&lt;&gt;",g_s,"&lt;="&amp;$U860,g_e,"&gt;="&amp;$U860)&gt;0,1,0),0))</f>
        <v>0</v>
      </c>
      <c r="AE860" s="48"/>
      <c r="AF860" s="56" t="str">
        <f aca="false">IF(AND($D860&lt;&gt;"",$B860="결제완료",$T860="대여"),설정!$J$5,"")</f>
        <v/>
      </c>
      <c r="AG860" s="54" t="str">
        <f aca="false">IF($D860="","",IF(AND($E860="",$R860=""),$AB860,"☎ "&amp;IF($E860="","-",$E860)&amp;IF($R860&lt;&gt;"","  ※ "&amp;$R860,"")&amp;IF($B860="상담중"," (상담)","")))</f>
        <v/>
      </c>
      <c r="AH860" s="56" t="str">
        <f aca="false">IF(AND($D860&lt;&gt;"",$B860="결제완료",$O860="스마트스토어"),ROUND(N($N860)*설정!$J$6,0),"")</f>
        <v/>
      </c>
      <c r="AI860" s="54" t="str">
        <f aca="false">IF($D860="","",ROW())</f>
        <v/>
      </c>
      <c r="AJ860" s="54" t="n">
        <f aca="false">IF(OR($AC860&lt;&gt;1,$M860=""),0,IF(ISNUMBER(SEARCH("퇴사",IFERROR(INDEX(강사DB!$G$4:$G$53,MATCH($M860,강사DB!$A$4:$A$53,0)),""))),1,0))</f>
        <v>0</v>
      </c>
    </row>
    <row r="861" customFormat="false" ht="15" hidden="false" customHeight="false" outlineLevel="0" collapsed="false">
      <c r="A861" s="45" t="str">
        <f aca="false">IF($D861="","",COUNTA($D$5:$D861))</f>
        <v/>
      </c>
      <c r="B861" s="46"/>
      <c r="C861" s="47"/>
      <c r="D861" s="48"/>
      <c r="E861" s="48"/>
      <c r="F861" s="49"/>
      <c r="G861" s="47"/>
      <c r="H861" s="50"/>
      <c r="I861" s="50"/>
      <c r="J861" s="51" t="str">
        <f aca="false">IF(OR($V861="",$W861=""),"",ROUND(($W861-$V861)/60,2))</f>
        <v/>
      </c>
      <c r="K861" s="52" t="str">
        <f aca="false">IF($F861="","",LEN($F861)-LEN(SUBSTITUTE($F861,",",""))+1)</f>
        <v/>
      </c>
      <c r="L861" s="45" t="str">
        <f aca="false">IF($K861="","","1:"&amp;$K861)</f>
        <v/>
      </c>
      <c r="M861" s="46"/>
      <c r="N861" s="53"/>
      <c r="O861" s="46"/>
      <c r="P861" s="47"/>
      <c r="Q861" s="48"/>
      <c r="R861" s="49"/>
      <c r="S861" s="54" t="str">
        <f aca="false">IF(OR($AC861=0,$U861="",$M861="",$V861="",$W861=""),"",IF(COUNTIFS(m_teacher,$M861,m_date,$U861,m_active,1,m_start,"&lt;"&amp;$W861,m_end,"&gt;"&amp;$V861)&gt;1,"충돌",""))</f>
        <v/>
      </c>
      <c r="T861" s="48"/>
      <c r="U861" s="55" t="str">
        <f aca="false">IF($G861="","",IFERROR(IF(ISNUMBER($G861),IF($G861&gt;19000000,DATE(INT($G861/10000),MOD(INT($G861/100),100),MOD($G861,100)),INT($G861)),IF(LEN(SUBSTITUTE(SUBSTITUTE(SUBSTITUTE(TRIM($G861),"-",""),".",""),"/",""))=8,DATE(VALUE(LEFT(SUBSTITUTE(SUBSTITUTE(SUBSTITUTE(TRIM($G861),"-",""),".",""),"/",""),4)),VALUE(MID(SUBSTITUTE(SUBSTITUTE(SUBSTITUTE(TRIM($G861),"-",""),".",""),"/",""),5,2)),VALUE(RIGHT(SUBSTITUTE(SUBSTITUTE(SUBSTITUTE(TRIM($G861),"-",""),".",""),"/",""),2))),DATEVALUE($G861))),""))</f>
        <v/>
      </c>
      <c r="V861" s="52" t="str">
        <f aca="false">IF($H861="","",IFERROR(IF(IF(ISNUMBER($H861),$H861,IFERROR(TIMEVALUE($H861),VALUE($H861)))&gt;=100,INT(IF(ISNUMBER($H861),$H861,IFERROR(TIMEVALUE($H861),VALUE($H861)))/100)*60+MOD(IF(ISNUMBER($H861),$H861,IFERROR(TIMEVALUE($H861),VALUE($H861))),100),IF(IF(ISNUMBER($H861),$H861,IFERROR(TIMEVALUE($H861),VALUE($H861)))&gt;=1,ROUND(IF(ISNUMBER($H861),$H861,IFERROR(TIMEVALUE($H861),VALUE($H861)))*60,0),ROUND(MOD(IF(ISNUMBER($H861),$H861,IFERROR(TIMEVALUE($H861),VALUE($H861))),1)*1440,0))),""))</f>
        <v/>
      </c>
      <c r="W861" s="52" t="str">
        <f aca="false">IF($I861="","",IFERROR(IF(IF(ISNUMBER($I861),$I861,IFERROR(TIMEVALUE($I861),VALUE($I861)))&gt;=100,INT(IF(ISNUMBER($I861),$I861,IFERROR(TIMEVALUE($I861),VALUE($I861)))/100)*60+MOD(IF(ISNUMBER($I861),$I861,IFERROR(TIMEVALUE($I861),VALUE($I861))),100),IF(IF(ISNUMBER($I861),$I861,IFERROR(TIMEVALUE($I861),VALUE($I861)))&gt;=1,ROUND(IF(ISNUMBER($I861),$I861,IFERROR(TIMEVALUE($I861),VALUE($I861)))*60,0),ROUND(MOD(IF(ISNUMBER($I861),$I861,IFERROR(TIMEVALUE($I861),VALUE($I861))),1)*1440,0))),""))</f>
        <v/>
      </c>
      <c r="X861" s="55" t="str">
        <f aca="false">IF($P861="","",IFERROR(IF(ISNUMBER($P861),IF($P861&gt;19000000,DATE(INT($P861/10000),MOD(INT($P861/100),100),MOD($P861,100)),INT($P861)),IF(LEN(SUBSTITUTE(SUBSTITUTE(SUBSTITUTE(TRIM($P861),"-",""),".",""),"/",""))=8,DATE(VALUE(LEFT(SUBSTITUTE(SUBSTITUTE(SUBSTITUTE(TRIM($P861),"-",""),".",""),"/",""),4)),VALUE(MID(SUBSTITUTE(SUBSTITUTE(SUBSTITUTE(TRIM($P861),"-",""),".",""),"/",""),5,2)),VALUE(RIGHT(SUBSTITUTE(SUBSTITUTE(SUBSTITUTE(TRIM($P861),"-",""),".",""),"/",""),2))),DATEVALUE($P861))),""))</f>
        <v/>
      </c>
      <c r="Y861" s="56" t="str">
        <f aca="false">IF($M861="","",IFERROR(INDEX(강사DB!$D$4:$D$53,MATCH($M861,강사DB!$A$4:$A$53,0)),""))</f>
        <v/>
      </c>
      <c r="Z861" s="56" t="str">
        <f aca="false">IF($B861&lt;&gt;"결제완료","",IF(OR($Y861="",$J861=""),"",$Y861*$J861+MAX(0,N($K861)-1)*설정!$J$7))</f>
        <v/>
      </c>
      <c r="AA861" s="56" t="str">
        <f aca="false">IF(AND($D861&lt;&gt;"",$B861="결제완료"),N($N861),"")</f>
        <v/>
      </c>
      <c r="AB861" s="45" t="str">
        <f aca="false">IF($D861="","",IF($F861&lt;&gt;"",$F861,$D861)&amp;IF($B861="상담중"," (상담)",""))</f>
        <v/>
      </c>
      <c r="AC861" s="45" t="n">
        <f aca="false">IF(AND($D861&lt;&gt;"",OR($B861="결제완료",$B861="상담중")),1,0)</f>
        <v>0</v>
      </c>
      <c r="AD861" s="45" t="n">
        <f aca="false">IF(OR($Z861="",$U861=""),0,IFERROR(IF(COUNTIFS(INDEX(g_grid,0,2*MATCH($M861,강사DB!$A$4:$A$15,0)),"&lt;&gt;",g_s,"&lt;="&amp;$U861,g_e,"&gt;="&amp;$U861)&gt;0,1,0),0))</f>
        <v>0</v>
      </c>
      <c r="AE861" s="48"/>
      <c r="AF861" s="56" t="str">
        <f aca="false">IF(AND($D861&lt;&gt;"",$B861="결제완료",$T861="대여"),설정!$J$5,"")</f>
        <v/>
      </c>
      <c r="AG861" s="54" t="str">
        <f aca="false">IF($D861="","",IF(AND($E861="",$R861=""),$AB861,"☎ "&amp;IF($E861="","-",$E861)&amp;IF($R861&lt;&gt;"","  ※ "&amp;$R861,"")&amp;IF($B861="상담중"," (상담)","")))</f>
        <v/>
      </c>
      <c r="AH861" s="56" t="str">
        <f aca="false">IF(AND($D861&lt;&gt;"",$B861="결제완료",$O861="스마트스토어"),ROUND(N($N861)*설정!$J$6,0),"")</f>
        <v/>
      </c>
      <c r="AI861" s="54" t="str">
        <f aca="false">IF($D861="","",ROW())</f>
        <v/>
      </c>
      <c r="AJ861" s="54" t="n">
        <f aca="false">IF(OR($AC861&lt;&gt;1,$M861=""),0,IF(ISNUMBER(SEARCH("퇴사",IFERROR(INDEX(강사DB!$G$4:$G$53,MATCH($M861,강사DB!$A$4:$A$53,0)),""))),1,0))</f>
        <v>0</v>
      </c>
    </row>
    <row r="862" customFormat="false" ht="15" hidden="false" customHeight="false" outlineLevel="0" collapsed="false">
      <c r="A862" s="45" t="str">
        <f aca="false">IF($D862="","",COUNTA($D$5:$D862))</f>
        <v/>
      </c>
      <c r="B862" s="46"/>
      <c r="C862" s="47"/>
      <c r="D862" s="48"/>
      <c r="E862" s="48"/>
      <c r="F862" s="49"/>
      <c r="G862" s="47"/>
      <c r="H862" s="50"/>
      <c r="I862" s="50"/>
      <c r="J862" s="51" t="str">
        <f aca="false">IF(OR($V862="",$W862=""),"",ROUND(($W862-$V862)/60,2))</f>
        <v/>
      </c>
      <c r="K862" s="52" t="str">
        <f aca="false">IF($F862="","",LEN($F862)-LEN(SUBSTITUTE($F862,",",""))+1)</f>
        <v/>
      </c>
      <c r="L862" s="45" t="str">
        <f aca="false">IF($K862="","","1:"&amp;$K862)</f>
        <v/>
      </c>
      <c r="M862" s="46"/>
      <c r="N862" s="53"/>
      <c r="O862" s="46"/>
      <c r="P862" s="47"/>
      <c r="Q862" s="48"/>
      <c r="R862" s="49"/>
      <c r="S862" s="54" t="str">
        <f aca="false">IF(OR($AC862=0,$U862="",$M862="",$V862="",$W862=""),"",IF(COUNTIFS(m_teacher,$M862,m_date,$U862,m_active,1,m_start,"&lt;"&amp;$W862,m_end,"&gt;"&amp;$V862)&gt;1,"충돌",""))</f>
        <v/>
      </c>
      <c r="T862" s="48"/>
      <c r="U862" s="55" t="str">
        <f aca="false">IF($G862="","",IFERROR(IF(ISNUMBER($G862),IF($G862&gt;19000000,DATE(INT($G862/10000),MOD(INT($G862/100),100),MOD($G862,100)),INT($G862)),IF(LEN(SUBSTITUTE(SUBSTITUTE(SUBSTITUTE(TRIM($G862),"-",""),".",""),"/",""))=8,DATE(VALUE(LEFT(SUBSTITUTE(SUBSTITUTE(SUBSTITUTE(TRIM($G862),"-",""),".",""),"/",""),4)),VALUE(MID(SUBSTITUTE(SUBSTITUTE(SUBSTITUTE(TRIM($G862),"-",""),".",""),"/",""),5,2)),VALUE(RIGHT(SUBSTITUTE(SUBSTITUTE(SUBSTITUTE(TRIM($G862),"-",""),".",""),"/",""),2))),DATEVALUE($G862))),""))</f>
        <v/>
      </c>
      <c r="V862" s="52" t="str">
        <f aca="false">IF($H862="","",IFERROR(IF(IF(ISNUMBER($H862),$H862,IFERROR(TIMEVALUE($H862),VALUE($H862)))&gt;=100,INT(IF(ISNUMBER($H862),$H862,IFERROR(TIMEVALUE($H862),VALUE($H862)))/100)*60+MOD(IF(ISNUMBER($H862),$H862,IFERROR(TIMEVALUE($H862),VALUE($H862))),100),IF(IF(ISNUMBER($H862),$H862,IFERROR(TIMEVALUE($H862),VALUE($H862)))&gt;=1,ROUND(IF(ISNUMBER($H862),$H862,IFERROR(TIMEVALUE($H862),VALUE($H862)))*60,0),ROUND(MOD(IF(ISNUMBER($H862),$H862,IFERROR(TIMEVALUE($H862),VALUE($H862))),1)*1440,0))),""))</f>
        <v/>
      </c>
      <c r="W862" s="52" t="str">
        <f aca="false">IF($I862="","",IFERROR(IF(IF(ISNUMBER($I862),$I862,IFERROR(TIMEVALUE($I862),VALUE($I862)))&gt;=100,INT(IF(ISNUMBER($I862),$I862,IFERROR(TIMEVALUE($I862),VALUE($I862)))/100)*60+MOD(IF(ISNUMBER($I862),$I862,IFERROR(TIMEVALUE($I862),VALUE($I862))),100),IF(IF(ISNUMBER($I862),$I862,IFERROR(TIMEVALUE($I862),VALUE($I862)))&gt;=1,ROUND(IF(ISNUMBER($I862),$I862,IFERROR(TIMEVALUE($I862),VALUE($I862)))*60,0),ROUND(MOD(IF(ISNUMBER($I862),$I862,IFERROR(TIMEVALUE($I862),VALUE($I862))),1)*1440,0))),""))</f>
        <v/>
      </c>
      <c r="X862" s="55" t="str">
        <f aca="false">IF($P862="","",IFERROR(IF(ISNUMBER($P862),IF($P862&gt;19000000,DATE(INT($P862/10000),MOD(INT($P862/100),100),MOD($P862,100)),INT($P862)),IF(LEN(SUBSTITUTE(SUBSTITUTE(SUBSTITUTE(TRIM($P862),"-",""),".",""),"/",""))=8,DATE(VALUE(LEFT(SUBSTITUTE(SUBSTITUTE(SUBSTITUTE(TRIM($P862),"-",""),".",""),"/",""),4)),VALUE(MID(SUBSTITUTE(SUBSTITUTE(SUBSTITUTE(TRIM($P862),"-",""),".",""),"/",""),5,2)),VALUE(RIGHT(SUBSTITUTE(SUBSTITUTE(SUBSTITUTE(TRIM($P862),"-",""),".",""),"/",""),2))),DATEVALUE($P862))),""))</f>
        <v/>
      </c>
      <c r="Y862" s="56" t="str">
        <f aca="false">IF($M862="","",IFERROR(INDEX(강사DB!$D$4:$D$53,MATCH($M862,강사DB!$A$4:$A$53,0)),""))</f>
        <v/>
      </c>
      <c r="Z862" s="56" t="str">
        <f aca="false">IF($B862&lt;&gt;"결제완료","",IF(OR($Y862="",$J862=""),"",$Y862*$J862+MAX(0,N($K862)-1)*설정!$J$7))</f>
        <v/>
      </c>
      <c r="AA862" s="56" t="str">
        <f aca="false">IF(AND($D862&lt;&gt;"",$B862="결제완료"),N($N862),"")</f>
        <v/>
      </c>
      <c r="AB862" s="45" t="str">
        <f aca="false">IF($D862="","",IF($F862&lt;&gt;"",$F862,$D862)&amp;IF($B862="상담중"," (상담)",""))</f>
        <v/>
      </c>
      <c r="AC862" s="45" t="n">
        <f aca="false">IF(AND($D862&lt;&gt;"",OR($B862="결제완료",$B862="상담중")),1,0)</f>
        <v>0</v>
      </c>
      <c r="AD862" s="45" t="n">
        <f aca="false">IF(OR($Z862="",$U862=""),0,IFERROR(IF(COUNTIFS(INDEX(g_grid,0,2*MATCH($M862,강사DB!$A$4:$A$15,0)),"&lt;&gt;",g_s,"&lt;="&amp;$U862,g_e,"&gt;="&amp;$U862)&gt;0,1,0),0))</f>
        <v>0</v>
      </c>
      <c r="AE862" s="48"/>
      <c r="AF862" s="56" t="str">
        <f aca="false">IF(AND($D862&lt;&gt;"",$B862="결제완료",$T862="대여"),설정!$J$5,"")</f>
        <v/>
      </c>
      <c r="AG862" s="54" t="str">
        <f aca="false">IF($D862="","",IF(AND($E862="",$R862=""),$AB862,"☎ "&amp;IF($E862="","-",$E862)&amp;IF($R862&lt;&gt;"","  ※ "&amp;$R862,"")&amp;IF($B862="상담중"," (상담)","")))</f>
        <v/>
      </c>
      <c r="AH862" s="56" t="str">
        <f aca="false">IF(AND($D862&lt;&gt;"",$B862="결제완료",$O862="스마트스토어"),ROUND(N($N862)*설정!$J$6,0),"")</f>
        <v/>
      </c>
      <c r="AI862" s="54" t="str">
        <f aca="false">IF($D862="","",ROW())</f>
        <v/>
      </c>
      <c r="AJ862" s="54" t="n">
        <f aca="false">IF(OR($AC862&lt;&gt;1,$M862=""),0,IF(ISNUMBER(SEARCH("퇴사",IFERROR(INDEX(강사DB!$G$4:$G$53,MATCH($M862,강사DB!$A$4:$A$53,0)),""))),1,0))</f>
        <v>0</v>
      </c>
    </row>
    <row r="863" customFormat="false" ht="15" hidden="false" customHeight="false" outlineLevel="0" collapsed="false">
      <c r="A863" s="45" t="str">
        <f aca="false">IF($D863="","",COUNTA($D$5:$D863))</f>
        <v/>
      </c>
      <c r="B863" s="46"/>
      <c r="C863" s="47"/>
      <c r="D863" s="48"/>
      <c r="E863" s="48"/>
      <c r="F863" s="49"/>
      <c r="G863" s="47"/>
      <c r="H863" s="50"/>
      <c r="I863" s="50"/>
      <c r="J863" s="51" t="str">
        <f aca="false">IF(OR($V863="",$W863=""),"",ROUND(($W863-$V863)/60,2))</f>
        <v/>
      </c>
      <c r="K863" s="52" t="str">
        <f aca="false">IF($F863="","",LEN($F863)-LEN(SUBSTITUTE($F863,",",""))+1)</f>
        <v/>
      </c>
      <c r="L863" s="45" t="str">
        <f aca="false">IF($K863="","","1:"&amp;$K863)</f>
        <v/>
      </c>
      <c r="M863" s="46"/>
      <c r="N863" s="53"/>
      <c r="O863" s="46"/>
      <c r="P863" s="47"/>
      <c r="Q863" s="48"/>
      <c r="R863" s="49"/>
      <c r="S863" s="54" t="str">
        <f aca="false">IF(OR($AC863=0,$U863="",$M863="",$V863="",$W863=""),"",IF(COUNTIFS(m_teacher,$M863,m_date,$U863,m_active,1,m_start,"&lt;"&amp;$W863,m_end,"&gt;"&amp;$V863)&gt;1,"충돌",""))</f>
        <v/>
      </c>
      <c r="T863" s="48"/>
      <c r="U863" s="55" t="str">
        <f aca="false">IF($G863="","",IFERROR(IF(ISNUMBER($G863),IF($G863&gt;19000000,DATE(INT($G863/10000),MOD(INT($G863/100),100),MOD($G863,100)),INT($G863)),IF(LEN(SUBSTITUTE(SUBSTITUTE(SUBSTITUTE(TRIM($G863),"-",""),".",""),"/",""))=8,DATE(VALUE(LEFT(SUBSTITUTE(SUBSTITUTE(SUBSTITUTE(TRIM($G863),"-",""),".",""),"/",""),4)),VALUE(MID(SUBSTITUTE(SUBSTITUTE(SUBSTITUTE(TRIM($G863),"-",""),".",""),"/",""),5,2)),VALUE(RIGHT(SUBSTITUTE(SUBSTITUTE(SUBSTITUTE(TRIM($G863),"-",""),".",""),"/",""),2))),DATEVALUE($G863))),""))</f>
        <v/>
      </c>
      <c r="V863" s="52" t="str">
        <f aca="false">IF($H863="","",IFERROR(IF(IF(ISNUMBER($H863),$H863,IFERROR(TIMEVALUE($H863),VALUE($H863)))&gt;=100,INT(IF(ISNUMBER($H863),$H863,IFERROR(TIMEVALUE($H863),VALUE($H863)))/100)*60+MOD(IF(ISNUMBER($H863),$H863,IFERROR(TIMEVALUE($H863),VALUE($H863))),100),IF(IF(ISNUMBER($H863),$H863,IFERROR(TIMEVALUE($H863),VALUE($H863)))&gt;=1,ROUND(IF(ISNUMBER($H863),$H863,IFERROR(TIMEVALUE($H863),VALUE($H863)))*60,0),ROUND(MOD(IF(ISNUMBER($H863),$H863,IFERROR(TIMEVALUE($H863),VALUE($H863))),1)*1440,0))),""))</f>
        <v/>
      </c>
      <c r="W863" s="52" t="str">
        <f aca="false">IF($I863="","",IFERROR(IF(IF(ISNUMBER($I863),$I863,IFERROR(TIMEVALUE($I863),VALUE($I863)))&gt;=100,INT(IF(ISNUMBER($I863),$I863,IFERROR(TIMEVALUE($I863),VALUE($I863)))/100)*60+MOD(IF(ISNUMBER($I863),$I863,IFERROR(TIMEVALUE($I863),VALUE($I863))),100),IF(IF(ISNUMBER($I863),$I863,IFERROR(TIMEVALUE($I863),VALUE($I863)))&gt;=1,ROUND(IF(ISNUMBER($I863),$I863,IFERROR(TIMEVALUE($I863),VALUE($I863)))*60,0),ROUND(MOD(IF(ISNUMBER($I863),$I863,IFERROR(TIMEVALUE($I863),VALUE($I863))),1)*1440,0))),""))</f>
        <v/>
      </c>
      <c r="X863" s="55" t="str">
        <f aca="false">IF($P863="","",IFERROR(IF(ISNUMBER($P863),IF($P863&gt;19000000,DATE(INT($P863/10000),MOD(INT($P863/100),100),MOD($P863,100)),INT($P863)),IF(LEN(SUBSTITUTE(SUBSTITUTE(SUBSTITUTE(TRIM($P863),"-",""),".",""),"/",""))=8,DATE(VALUE(LEFT(SUBSTITUTE(SUBSTITUTE(SUBSTITUTE(TRIM($P863),"-",""),".",""),"/",""),4)),VALUE(MID(SUBSTITUTE(SUBSTITUTE(SUBSTITUTE(TRIM($P863),"-",""),".",""),"/",""),5,2)),VALUE(RIGHT(SUBSTITUTE(SUBSTITUTE(SUBSTITUTE(TRIM($P863),"-",""),".",""),"/",""),2))),DATEVALUE($P863))),""))</f>
        <v/>
      </c>
      <c r="Y863" s="56" t="str">
        <f aca="false">IF($M863="","",IFERROR(INDEX(강사DB!$D$4:$D$53,MATCH($M863,강사DB!$A$4:$A$53,0)),""))</f>
        <v/>
      </c>
      <c r="Z863" s="56" t="str">
        <f aca="false">IF($B863&lt;&gt;"결제완료","",IF(OR($Y863="",$J863=""),"",$Y863*$J863+MAX(0,N($K863)-1)*설정!$J$7))</f>
        <v/>
      </c>
      <c r="AA863" s="56" t="str">
        <f aca="false">IF(AND($D863&lt;&gt;"",$B863="결제완료"),N($N863),"")</f>
        <v/>
      </c>
      <c r="AB863" s="45" t="str">
        <f aca="false">IF($D863="","",IF($F863&lt;&gt;"",$F863,$D863)&amp;IF($B863="상담중"," (상담)",""))</f>
        <v/>
      </c>
      <c r="AC863" s="45" t="n">
        <f aca="false">IF(AND($D863&lt;&gt;"",OR($B863="결제완료",$B863="상담중")),1,0)</f>
        <v>0</v>
      </c>
      <c r="AD863" s="45" t="n">
        <f aca="false">IF(OR($Z863="",$U863=""),0,IFERROR(IF(COUNTIFS(INDEX(g_grid,0,2*MATCH($M863,강사DB!$A$4:$A$15,0)),"&lt;&gt;",g_s,"&lt;="&amp;$U863,g_e,"&gt;="&amp;$U863)&gt;0,1,0),0))</f>
        <v>0</v>
      </c>
      <c r="AE863" s="48"/>
      <c r="AF863" s="56" t="str">
        <f aca="false">IF(AND($D863&lt;&gt;"",$B863="결제완료",$T863="대여"),설정!$J$5,"")</f>
        <v/>
      </c>
      <c r="AG863" s="54" t="str">
        <f aca="false">IF($D863="","",IF(AND($E863="",$R863=""),$AB863,"☎ "&amp;IF($E863="","-",$E863)&amp;IF($R863&lt;&gt;"","  ※ "&amp;$R863,"")&amp;IF($B863="상담중"," (상담)","")))</f>
        <v/>
      </c>
      <c r="AH863" s="56" t="str">
        <f aca="false">IF(AND($D863&lt;&gt;"",$B863="결제완료",$O863="스마트스토어"),ROUND(N($N863)*설정!$J$6,0),"")</f>
        <v/>
      </c>
      <c r="AI863" s="54" t="str">
        <f aca="false">IF($D863="","",ROW())</f>
        <v/>
      </c>
      <c r="AJ863" s="54" t="n">
        <f aca="false">IF(OR($AC863&lt;&gt;1,$M863=""),0,IF(ISNUMBER(SEARCH("퇴사",IFERROR(INDEX(강사DB!$G$4:$G$53,MATCH($M863,강사DB!$A$4:$A$53,0)),""))),1,0))</f>
        <v>0</v>
      </c>
    </row>
    <row r="864" customFormat="false" ht="15" hidden="false" customHeight="false" outlineLevel="0" collapsed="false">
      <c r="A864" s="45" t="str">
        <f aca="false">IF($D864="","",COUNTA($D$5:$D864))</f>
        <v/>
      </c>
      <c r="B864" s="46"/>
      <c r="C864" s="47"/>
      <c r="D864" s="48"/>
      <c r="E864" s="48"/>
      <c r="F864" s="49"/>
      <c r="G864" s="47"/>
      <c r="H864" s="50"/>
      <c r="I864" s="50"/>
      <c r="J864" s="51" t="str">
        <f aca="false">IF(OR($V864="",$W864=""),"",ROUND(($W864-$V864)/60,2))</f>
        <v/>
      </c>
      <c r="K864" s="52" t="str">
        <f aca="false">IF($F864="","",LEN($F864)-LEN(SUBSTITUTE($F864,",",""))+1)</f>
        <v/>
      </c>
      <c r="L864" s="45" t="str">
        <f aca="false">IF($K864="","","1:"&amp;$K864)</f>
        <v/>
      </c>
      <c r="M864" s="46"/>
      <c r="N864" s="53"/>
      <c r="O864" s="46"/>
      <c r="P864" s="47"/>
      <c r="Q864" s="48"/>
      <c r="R864" s="49"/>
      <c r="S864" s="54" t="str">
        <f aca="false">IF(OR($AC864=0,$U864="",$M864="",$V864="",$W864=""),"",IF(COUNTIFS(m_teacher,$M864,m_date,$U864,m_active,1,m_start,"&lt;"&amp;$W864,m_end,"&gt;"&amp;$V864)&gt;1,"충돌",""))</f>
        <v/>
      </c>
      <c r="T864" s="48"/>
      <c r="U864" s="55" t="str">
        <f aca="false">IF($G864="","",IFERROR(IF(ISNUMBER($G864),IF($G864&gt;19000000,DATE(INT($G864/10000),MOD(INT($G864/100),100),MOD($G864,100)),INT($G864)),IF(LEN(SUBSTITUTE(SUBSTITUTE(SUBSTITUTE(TRIM($G864),"-",""),".",""),"/",""))=8,DATE(VALUE(LEFT(SUBSTITUTE(SUBSTITUTE(SUBSTITUTE(TRIM($G864),"-",""),".",""),"/",""),4)),VALUE(MID(SUBSTITUTE(SUBSTITUTE(SUBSTITUTE(TRIM($G864),"-",""),".",""),"/",""),5,2)),VALUE(RIGHT(SUBSTITUTE(SUBSTITUTE(SUBSTITUTE(TRIM($G864),"-",""),".",""),"/",""),2))),DATEVALUE($G864))),""))</f>
        <v/>
      </c>
      <c r="V864" s="52" t="str">
        <f aca="false">IF($H864="","",IFERROR(IF(IF(ISNUMBER($H864),$H864,IFERROR(TIMEVALUE($H864),VALUE($H864)))&gt;=100,INT(IF(ISNUMBER($H864),$H864,IFERROR(TIMEVALUE($H864),VALUE($H864)))/100)*60+MOD(IF(ISNUMBER($H864),$H864,IFERROR(TIMEVALUE($H864),VALUE($H864))),100),IF(IF(ISNUMBER($H864),$H864,IFERROR(TIMEVALUE($H864),VALUE($H864)))&gt;=1,ROUND(IF(ISNUMBER($H864),$H864,IFERROR(TIMEVALUE($H864),VALUE($H864)))*60,0),ROUND(MOD(IF(ISNUMBER($H864),$H864,IFERROR(TIMEVALUE($H864),VALUE($H864))),1)*1440,0))),""))</f>
        <v/>
      </c>
      <c r="W864" s="52" t="str">
        <f aca="false">IF($I864="","",IFERROR(IF(IF(ISNUMBER($I864),$I864,IFERROR(TIMEVALUE($I864),VALUE($I864)))&gt;=100,INT(IF(ISNUMBER($I864),$I864,IFERROR(TIMEVALUE($I864),VALUE($I864)))/100)*60+MOD(IF(ISNUMBER($I864),$I864,IFERROR(TIMEVALUE($I864),VALUE($I864))),100),IF(IF(ISNUMBER($I864),$I864,IFERROR(TIMEVALUE($I864),VALUE($I864)))&gt;=1,ROUND(IF(ISNUMBER($I864),$I864,IFERROR(TIMEVALUE($I864),VALUE($I864)))*60,0),ROUND(MOD(IF(ISNUMBER($I864),$I864,IFERROR(TIMEVALUE($I864),VALUE($I864))),1)*1440,0))),""))</f>
        <v/>
      </c>
      <c r="X864" s="55" t="str">
        <f aca="false">IF($P864="","",IFERROR(IF(ISNUMBER($P864),IF($P864&gt;19000000,DATE(INT($P864/10000),MOD(INT($P864/100),100),MOD($P864,100)),INT($P864)),IF(LEN(SUBSTITUTE(SUBSTITUTE(SUBSTITUTE(TRIM($P864),"-",""),".",""),"/",""))=8,DATE(VALUE(LEFT(SUBSTITUTE(SUBSTITUTE(SUBSTITUTE(TRIM($P864),"-",""),".",""),"/",""),4)),VALUE(MID(SUBSTITUTE(SUBSTITUTE(SUBSTITUTE(TRIM($P864),"-",""),".",""),"/",""),5,2)),VALUE(RIGHT(SUBSTITUTE(SUBSTITUTE(SUBSTITUTE(TRIM($P864),"-",""),".",""),"/",""),2))),DATEVALUE($P864))),""))</f>
        <v/>
      </c>
      <c r="Y864" s="56" t="str">
        <f aca="false">IF($M864="","",IFERROR(INDEX(강사DB!$D$4:$D$53,MATCH($M864,강사DB!$A$4:$A$53,0)),""))</f>
        <v/>
      </c>
      <c r="Z864" s="56" t="str">
        <f aca="false">IF($B864&lt;&gt;"결제완료","",IF(OR($Y864="",$J864=""),"",$Y864*$J864+MAX(0,N($K864)-1)*설정!$J$7))</f>
        <v/>
      </c>
      <c r="AA864" s="56" t="str">
        <f aca="false">IF(AND($D864&lt;&gt;"",$B864="결제완료"),N($N864),"")</f>
        <v/>
      </c>
      <c r="AB864" s="45" t="str">
        <f aca="false">IF($D864="","",IF($F864&lt;&gt;"",$F864,$D864)&amp;IF($B864="상담중"," (상담)",""))</f>
        <v/>
      </c>
      <c r="AC864" s="45" t="n">
        <f aca="false">IF(AND($D864&lt;&gt;"",OR($B864="결제완료",$B864="상담중")),1,0)</f>
        <v>0</v>
      </c>
      <c r="AD864" s="45" t="n">
        <f aca="false">IF(OR($Z864="",$U864=""),0,IFERROR(IF(COUNTIFS(INDEX(g_grid,0,2*MATCH($M864,강사DB!$A$4:$A$15,0)),"&lt;&gt;",g_s,"&lt;="&amp;$U864,g_e,"&gt;="&amp;$U864)&gt;0,1,0),0))</f>
        <v>0</v>
      </c>
      <c r="AE864" s="48"/>
      <c r="AF864" s="56" t="str">
        <f aca="false">IF(AND($D864&lt;&gt;"",$B864="결제완료",$T864="대여"),설정!$J$5,"")</f>
        <v/>
      </c>
      <c r="AG864" s="54" t="str">
        <f aca="false">IF($D864="","",IF(AND($E864="",$R864=""),$AB864,"☎ "&amp;IF($E864="","-",$E864)&amp;IF($R864&lt;&gt;"","  ※ "&amp;$R864,"")&amp;IF($B864="상담중"," (상담)","")))</f>
        <v/>
      </c>
      <c r="AH864" s="56" t="str">
        <f aca="false">IF(AND($D864&lt;&gt;"",$B864="결제완료",$O864="스마트스토어"),ROUND(N($N864)*설정!$J$6,0),"")</f>
        <v/>
      </c>
      <c r="AI864" s="54" t="str">
        <f aca="false">IF($D864="","",ROW())</f>
        <v/>
      </c>
      <c r="AJ864" s="54" t="n">
        <f aca="false">IF(OR($AC864&lt;&gt;1,$M864=""),0,IF(ISNUMBER(SEARCH("퇴사",IFERROR(INDEX(강사DB!$G$4:$G$53,MATCH($M864,강사DB!$A$4:$A$53,0)),""))),1,0))</f>
        <v>0</v>
      </c>
    </row>
    <row r="865" customFormat="false" ht="15" hidden="false" customHeight="false" outlineLevel="0" collapsed="false">
      <c r="A865" s="45" t="str">
        <f aca="false">IF($D865="","",COUNTA($D$5:$D865))</f>
        <v/>
      </c>
      <c r="B865" s="46"/>
      <c r="C865" s="47"/>
      <c r="D865" s="48"/>
      <c r="E865" s="48"/>
      <c r="F865" s="49"/>
      <c r="G865" s="47"/>
      <c r="H865" s="50"/>
      <c r="I865" s="50"/>
      <c r="J865" s="51" t="str">
        <f aca="false">IF(OR($V865="",$W865=""),"",ROUND(($W865-$V865)/60,2))</f>
        <v/>
      </c>
      <c r="K865" s="52" t="str">
        <f aca="false">IF($F865="","",LEN($F865)-LEN(SUBSTITUTE($F865,",",""))+1)</f>
        <v/>
      </c>
      <c r="L865" s="45" t="str">
        <f aca="false">IF($K865="","","1:"&amp;$K865)</f>
        <v/>
      </c>
      <c r="M865" s="46"/>
      <c r="N865" s="53"/>
      <c r="O865" s="46"/>
      <c r="P865" s="47"/>
      <c r="Q865" s="48"/>
      <c r="R865" s="49"/>
      <c r="S865" s="54" t="str">
        <f aca="false">IF(OR($AC865=0,$U865="",$M865="",$V865="",$W865=""),"",IF(COUNTIFS(m_teacher,$M865,m_date,$U865,m_active,1,m_start,"&lt;"&amp;$W865,m_end,"&gt;"&amp;$V865)&gt;1,"충돌",""))</f>
        <v/>
      </c>
      <c r="T865" s="48"/>
      <c r="U865" s="55" t="str">
        <f aca="false">IF($G865="","",IFERROR(IF(ISNUMBER($G865),IF($G865&gt;19000000,DATE(INT($G865/10000),MOD(INT($G865/100),100),MOD($G865,100)),INT($G865)),IF(LEN(SUBSTITUTE(SUBSTITUTE(SUBSTITUTE(TRIM($G865),"-",""),".",""),"/",""))=8,DATE(VALUE(LEFT(SUBSTITUTE(SUBSTITUTE(SUBSTITUTE(TRIM($G865),"-",""),".",""),"/",""),4)),VALUE(MID(SUBSTITUTE(SUBSTITUTE(SUBSTITUTE(TRIM($G865),"-",""),".",""),"/",""),5,2)),VALUE(RIGHT(SUBSTITUTE(SUBSTITUTE(SUBSTITUTE(TRIM($G865),"-",""),".",""),"/",""),2))),DATEVALUE($G865))),""))</f>
        <v/>
      </c>
      <c r="V865" s="52" t="str">
        <f aca="false">IF($H865="","",IFERROR(IF(IF(ISNUMBER($H865),$H865,IFERROR(TIMEVALUE($H865),VALUE($H865)))&gt;=100,INT(IF(ISNUMBER($H865),$H865,IFERROR(TIMEVALUE($H865),VALUE($H865)))/100)*60+MOD(IF(ISNUMBER($H865),$H865,IFERROR(TIMEVALUE($H865),VALUE($H865))),100),IF(IF(ISNUMBER($H865),$H865,IFERROR(TIMEVALUE($H865),VALUE($H865)))&gt;=1,ROUND(IF(ISNUMBER($H865),$H865,IFERROR(TIMEVALUE($H865),VALUE($H865)))*60,0),ROUND(MOD(IF(ISNUMBER($H865),$H865,IFERROR(TIMEVALUE($H865),VALUE($H865))),1)*1440,0))),""))</f>
        <v/>
      </c>
      <c r="W865" s="52" t="str">
        <f aca="false">IF($I865="","",IFERROR(IF(IF(ISNUMBER($I865),$I865,IFERROR(TIMEVALUE($I865),VALUE($I865)))&gt;=100,INT(IF(ISNUMBER($I865),$I865,IFERROR(TIMEVALUE($I865),VALUE($I865)))/100)*60+MOD(IF(ISNUMBER($I865),$I865,IFERROR(TIMEVALUE($I865),VALUE($I865))),100),IF(IF(ISNUMBER($I865),$I865,IFERROR(TIMEVALUE($I865),VALUE($I865)))&gt;=1,ROUND(IF(ISNUMBER($I865),$I865,IFERROR(TIMEVALUE($I865),VALUE($I865)))*60,0),ROUND(MOD(IF(ISNUMBER($I865),$I865,IFERROR(TIMEVALUE($I865),VALUE($I865))),1)*1440,0))),""))</f>
        <v/>
      </c>
      <c r="X865" s="55" t="str">
        <f aca="false">IF($P865="","",IFERROR(IF(ISNUMBER($P865),IF($P865&gt;19000000,DATE(INT($P865/10000),MOD(INT($P865/100),100),MOD($P865,100)),INT($P865)),IF(LEN(SUBSTITUTE(SUBSTITUTE(SUBSTITUTE(TRIM($P865),"-",""),".",""),"/",""))=8,DATE(VALUE(LEFT(SUBSTITUTE(SUBSTITUTE(SUBSTITUTE(TRIM($P865),"-",""),".",""),"/",""),4)),VALUE(MID(SUBSTITUTE(SUBSTITUTE(SUBSTITUTE(TRIM($P865),"-",""),".",""),"/",""),5,2)),VALUE(RIGHT(SUBSTITUTE(SUBSTITUTE(SUBSTITUTE(TRIM($P865),"-",""),".",""),"/",""),2))),DATEVALUE($P865))),""))</f>
        <v/>
      </c>
      <c r="Y865" s="56" t="str">
        <f aca="false">IF($M865="","",IFERROR(INDEX(강사DB!$D$4:$D$53,MATCH($M865,강사DB!$A$4:$A$53,0)),""))</f>
        <v/>
      </c>
      <c r="Z865" s="56" t="str">
        <f aca="false">IF($B865&lt;&gt;"결제완료","",IF(OR($Y865="",$J865=""),"",$Y865*$J865+MAX(0,N($K865)-1)*설정!$J$7))</f>
        <v/>
      </c>
      <c r="AA865" s="56" t="str">
        <f aca="false">IF(AND($D865&lt;&gt;"",$B865="결제완료"),N($N865),"")</f>
        <v/>
      </c>
      <c r="AB865" s="45" t="str">
        <f aca="false">IF($D865="","",IF($F865&lt;&gt;"",$F865,$D865)&amp;IF($B865="상담중"," (상담)",""))</f>
        <v/>
      </c>
      <c r="AC865" s="45" t="n">
        <f aca="false">IF(AND($D865&lt;&gt;"",OR($B865="결제완료",$B865="상담중")),1,0)</f>
        <v>0</v>
      </c>
      <c r="AD865" s="45" t="n">
        <f aca="false">IF(OR($Z865="",$U865=""),0,IFERROR(IF(COUNTIFS(INDEX(g_grid,0,2*MATCH($M865,강사DB!$A$4:$A$15,0)),"&lt;&gt;",g_s,"&lt;="&amp;$U865,g_e,"&gt;="&amp;$U865)&gt;0,1,0),0))</f>
        <v>0</v>
      </c>
      <c r="AE865" s="48"/>
      <c r="AF865" s="56" t="str">
        <f aca="false">IF(AND($D865&lt;&gt;"",$B865="결제완료",$T865="대여"),설정!$J$5,"")</f>
        <v/>
      </c>
      <c r="AG865" s="54" t="str">
        <f aca="false">IF($D865="","",IF(AND($E865="",$R865=""),$AB865,"☎ "&amp;IF($E865="","-",$E865)&amp;IF($R865&lt;&gt;"","  ※ "&amp;$R865,"")&amp;IF($B865="상담중"," (상담)","")))</f>
        <v/>
      </c>
      <c r="AH865" s="56" t="str">
        <f aca="false">IF(AND($D865&lt;&gt;"",$B865="결제완료",$O865="스마트스토어"),ROUND(N($N865)*설정!$J$6,0),"")</f>
        <v/>
      </c>
      <c r="AI865" s="54" t="str">
        <f aca="false">IF($D865="","",ROW())</f>
        <v/>
      </c>
      <c r="AJ865" s="54" t="n">
        <f aca="false">IF(OR($AC865&lt;&gt;1,$M865=""),0,IF(ISNUMBER(SEARCH("퇴사",IFERROR(INDEX(강사DB!$G$4:$G$53,MATCH($M865,강사DB!$A$4:$A$53,0)),""))),1,0))</f>
        <v>0</v>
      </c>
    </row>
    <row r="866" customFormat="false" ht="15" hidden="false" customHeight="false" outlineLevel="0" collapsed="false">
      <c r="A866" s="45" t="str">
        <f aca="false">IF($D866="","",COUNTA($D$5:$D866))</f>
        <v/>
      </c>
      <c r="B866" s="46"/>
      <c r="C866" s="47"/>
      <c r="D866" s="48"/>
      <c r="E866" s="48"/>
      <c r="F866" s="49"/>
      <c r="G866" s="47"/>
      <c r="H866" s="50"/>
      <c r="I866" s="50"/>
      <c r="J866" s="51" t="str">
        <f aca="false">IF(OR($V866="",$W866=""),"",ROUND(($W866-$V866)/60,2))</f>
        <v/>
      </c>
      <c r="K866" s="52" t="str">
        <f aca="false">IF($F866="","",LEN($F866)-LEN(SUBSTITUTE($F866,",",""))+1)</f>
        <v/>
      </c>
      <c r="L866" s="45" t="str">
        <f aca="false">IF($K866="","","1:"&amp;$K866)</f>
        <v/>
      </c>
      <c r="M866" s="46"/>
      <c r="N866" s="53"/>
      <c r="O866" s="46"/>
      <c r="P866" s="47"/>
      <c r="Q866" s="48"/>
      <c r="R866" s="49"/>
      <c r="S866" s="54" t="str">
        <f aca="false">IF(OR($AC866=0,$U866="",$M866="",$V866="",$W866=""),"",IF(COUNTIFS(m_teacher,$M866,m_date,$U866,m_active,1,m_start,"&lt;"&amp;$W866,m_end,"&gt;"&amp;$V866)&gt;1,"충돌",""))</f>
        <v/>
      </c>
      <c r="T866" s="48"/>
      <c r="U866" s="55" t="str">
        <f aca="false">IF($G866="","",IFERROR(IF(ISNUMBER($G866),IF($G866&gt;19000000,DATE(INT($G866/10000),MOD(INT($G866/100),100),MOD($G866,100)),INT($G866)),IF(LEN(SUBSTITUTE(SUBSTITUTE(SUBSTITUTE(TRIM($G866),"-",""),".",""),"/",""))=8,DATE(VALUE(LEFT(SUBSTITUTE(SUBSTITUTE(SUBSTITUTE(TRIM($G866),"-",""),".",""),"/",""),4)),VALUE(MID(SUBSTITUTE(SUBSTITUTE(SUBSTITUTE(TRIM($G866),"-",""),".",""),"/",""),5,2)),VALUE(RIGHT(SUBSTITUTE(SUBSTITUTE(SUBSTITUTE(TRIM($G866),"-",""),".",""),"/",""),2))),DATEVALUE($G866))),""))</f>
        <v/>
      </c>
      <c r="V866" s="52" t="str">
        <f aca="false">IF($H866="","",IFERROR(IF(IF(ISNUMBER($H866),$H866,IFERROR(TIMEVALUE($H866),VALUE($H866)))&gt;=100,INT(IF(ISNUMBER($H866),$H866,IFERROR(TIMEVALUE($H866),VALUE($H866)))/100)*60+MOD(IF(ISNUMBER($H866),$H866,IFERROR(TIMEVALUE($H866),VALUE($H866))),100),IF(IF(ISNUMBER($H866),$H866,IFERROR(TIMEVALUE($H866),VALUE($H866)))&gt;=1,ROUND(IF(ISNUMBER($H866),$H866,IFERROR(TIMEVALUE($H866),VALUE($H866)))*60,0),ROUND(MOD(IF(ISNUMBER($H866),$H866,IFERROR(TIMEVALUE($H866),VALUE($H866))),1)*1440,0))),""))</f>
        <v/>
      </c>
      <c r="W866" s="52" t="str">
        <f aca="false">IF($I866="","",IFERROR(IF(IF(ISNUMBER($I866),$I866,IFERROR(TIMEVALUE($I866),VALUE($I866)))&gt;=100,INT(IF(ISNUMBER($I866),$I866,IFERROR(TIMEVALUE($I866),VALUE($I866)))/100)*60+MOD(IF(ISNUMBER($I866),$I866,IFERROR(TIMEVALUE($I866),VALUE($I866))),100),IF(IF(ISNUMBER($I866),$I866,IFERROR(TIMEVALUE($I866),VALUE($I866)))&gt;=1,ROUND(IF(ISNUMBER($I866),$I866,IFERROR(TIMEVALUE($I866),VALUE($I866)))*60,0),ROUND(MOD(IF(ISNUMBER($I866),$I866,IFERROR(TIMEVALUE($I866),VALUE($I866))),1)*1440,0))),""))</f>
        <v/>
      </c>
      <c r="X866" s="55" t="str">
        <f aca="false">IF($P866="","",IFERROR(IF(ISNUMBER($P866),IF($P866&gt;19000000,DATE(INT($P866/10000),MOD(INT($P866/100),100),MOD($P866,100)),INT($P866)),IF(LEN(SUBSTITUTE(SUBSTITUTE(SUBSTITUTE(TRIM($P866),"-",""),".",""),"/",""))=8,DATE(VALUE(LEFT(SUBSTITUTE(SUBSTITUTE(SUBSTITUTE(TRIM($P866),"-",""),".",""),"/",""),4)),VALUE(MID(SUBSTITUTE(SUBSTITUTE(SUBSTITUTE(TRIM($P866),"-",""),".",""),"/",""),5,2)),VALUE(RIGHT(SUBSTITUTE(SUBSTITUTE(SUBSTITUTE(TRIM($P866),"-",""),".",""),"/",""),2))),DATEVALUE($P866))),""))</f>
        <v/>
      </c>
      <c r="Y866" s="56" t="str">
        <f aca="false">IF($M866="","",IFERROR(INDEX(강사DB!$D$4:$D$53,MATCH($M866,강사DB!$A$4:$A$53,0)),""))</f>
        <v/>
      </c>
      <c r="Z866" s="56" t="str">
        <f aca="false">IF($B866&lt;&gt;"결제완료","",IF(OR($Y866="",$J866=""),"",$Y866*$J866+MAX(0,N($K866)-1)*설정!$J$7))</f>
        <v/>
      </c>
      <c r="AA866" s="56" t="str">
        <f aca="false">IF(AND($D866&lt;&gt;"",$B866="결제완료"),N($N866),"")</f>
        <v/>
      </c>
      <c r="AB866" s="45" t="str">
        <f aca="false">IF($D866="","",IF($F866&lt;&gt;"",$F866,$D866)&amp;IF($B866="상담중"," (상담)",""))</f>
        <v/>
      </c>
      <c r="AC866" s="45" t="n">
        <f aca="false">IF(AND($D866&lt;&gt;"",OR($B866="결제완료",$B866="상담중")),1,0)</f>
        <v>0</v>
      </c>
      <c r="AD866" s="45" t="n">
        <f aca="false">IF(OR($Z866="",$U866=""),0,IFERROR(IF(COUNTIFS(INDEX(g_grid,0,2*MATCH($M866,강사DB!$A$4:$A$15,0)),"&lt;&gt;",g_s,"&lt;="&amp;$U866,g_e,"&gt;="&amp;$U866)&gt;0,1,0),0))</f>
        <v>0</v>
      </c>
      <c r="AE866" s="48"/>
      <c r="AF866" s="56" t="str">
        <f aca="false">IF(AND($D866&lt;&gt;"",$B866="결제완료",$T866="대여"),설정!$J$5,"")</f>
        <v/>
      </c>
      <c r="AG866" s="54" t="str">
        <f aca="false">IF($D866="","",IF(AND($E866="",$R866=""),$AB866,"☎ "&amp;IF($E866="","-",$E866)&amp;IF($R866&lt;&gt;"","  ※ "&amp;$R866,"")&amp;IF($B866="상담중"," (상담)","")))</f>
        <v/>
      </c>
      <c r="AH866" s="56" t="str">
        <f aca="false">IF(AND($D866&lt;&gt;"",$B866="결제완료",$O866="스마트스토어"),ROUND(N($N866)*설정!$J$6,0),"")</f>
        <v/>
      </c>
      <c r="AI866" s="54" t="str">
        <f aca="false">IF($D866="","",ROW())</f>
        <v/>
      </c>
      <c r="AJ866" s="54" t="n">
        <f aca="false">IF(OR($AC866&lt;&gt;1,$M866=""),0,IF(ISNUMBER(SEARCH("퇴사",IFERROR(INDEX(강사DB!$G$4:$G$53,MATCH($M866,강사DB!$A$4:$A$53,0)),""))),1,0))</f>
        <v>0</v>
      </c>
    </row>
    <row r="867" customFormat="false" ht="15" hidden="false" customHeight="false" outlineLevel="0" collapsed="false">
      <c r="A867" s="45" t="str">
        <f aca="false">IF($D867="","",COUNTA($D$5:$D867))</f>
        <v/>
      </c>
      <c r="B867" s="46"/>
      <c r="C867" s="47"/>
      <c r="D867" s="48"/>
      <c r="E867" s="48"/>
      <c r="F867" s="49"/>
      <c r="G867" s="47"/>
      <c r="H867" s="50"/>
      <c r="I867" s="50"/>
      <c r="J867" s="51" t="str">
        <f aca="false">IF(OR($V867="",$W867=""),"",ROUND(($W867-$V867)/60,2))</f>
        <v/>
      </c>
      <c r="K867" s="52" t="str">
        <f aca="false">IF($F867="","",LEN($F867)-LEN(SUBSTITUTE($F867,",",""))+1)</f>
        <v/>
      </c>
      <c r="L867" s="45" t="str">
        <f aca="false">IF($K867="","","1:"&amp;$K867)</f>
        <v/>
      </c>
      <c r="M867" s="46"/>
      <c r="N867" s="53"/>
      <c r="O867" s="46"/>
      <c r="P867" s="47"/>
      <c r="Q867" s="48"/>
      <c r="R867" s="49"/>
      <c r="S867" s="54" t="str">
        <f aca="false">IF(OR($AC867=0,$U867="",$M867="",$V867="",$W867=""),"",IF(COUNTIFS(m_teacher,$M867,m_date,$U867,m_active,1,m_start,"&lt;"&amp;$W867,m_end,"&gt;"&amp;$V867)&gt;1,"충돌",""))</f>
        <v/>
      </c>
      <c r="T867" s="48"/>
      <c r="U867" s="55" t="str">
        <f aca="false">IF($G867="","",IFERROR(IF(ISNUMBER($G867),IF($G867&gt;19000000,DATE(INT($G867/10000),MOD(INT($G867/100),100),MOD($G867,100)),INT($G867)),IF(LEN(SUBSTITUTE(SUBSTITUTE(SUBSTITUTE(TRIM($G867),"-",""),".",""),"/",""))=8,DATE(VALUE(LEFT(SUBSTITUTE(SUBSTITUTE(SUBSTITUTE(TRIM($G867),"-",""),".",""),"/",""),4)),VALUE(MID(SUBSTITUTE(SUBSTITUTE(SUBSTITUTE(TRIM($G867),"-",""),".",""),"/",""),5,2)),VALUE(RIGHT(SUBSTITUTE(SUBSTITUTE(SUBSTITUTE(TRIM($G867),"-",""),".",""),"/",""),2))),DATEVALUE($G867))),""))</f>
        <v/>
      </c>
      <c r="V867" s="52" t="str">
        <f aca="false">IF($H867="","",IFERROR(IF(IF(ISNUMBER($H867),$H867,IFERROR(TIMEVALUE($H867),VALUE($H867)))&gt;=100,INT(IF(ISNUMBER($H867),$H867,IFERROR(TIMEVALUE($H867),VALUE($H867)))/100)*60+MOD(IF(ISNUMBER($H867),$H867,IFERROR(TIMEVALUE($H867),VALUE($H867))),100),IF(IF(ISNUMBER($H867),$H867,IFERROR(TIMEVALUE($H867),VALUE($H867)))&gt;=1,ROUND(IF(ISNUMBER($H867),$H867,IFERROR(TIMEVALUE($H867),VALUE($H867)))*60,0),ROUND(MOD(IF(ISNUMBER($H867),$H867,IFERROR(TIMEVALUE($H867),VALUE($H867))),1)*1440,0))),""))</f>
        <v/>
      </c>
      <c r="W867" s="52" t="str">
        <f aca="false">IF($I867="","",IFERROR(IF(IF(ISNUMBER($I867),$I867,IFERROR(TIMEVALUE($I867),VALUE($I867)))&gt;=100,INT(IF(ISNUMBER($I867),$I867,IFERROR(TIMEVALUE($I867),VALUE($I867)))/100)*60+MOD(IF(ISNUMBER($I867),$I867,IFERROR(TIMEVALUE($I867),VALUE($I867))),100),IF(IF(ISNUMBER($I867),$I867,IFERROR(TIMEVALUE($I867),VALUE($I867)))&gt;=1,ROUND(IF(ISNUMBER($I867),$I867,IFERROR(TIMEVALUE($I867),VALUE($I867)))*60,0),ROUND(MOD(IF(ISNUMBER($I867),$I867,IFERROR(TIMEVALUE($I867),VALUE($I867))),1)*1440,0))),""))</f>
        <v/>
      </c>
      <c r="X867" s="55" t="str">
        <f aca="false">IF($P867="","",IFERROR(IF(ISNUMBER($P867),IF($P867&gt;19000000,DATE(INT($P867/10000),MOD(INT($P867/100),100),MOD($P867,100)),INT($P867)),IF(LEN(SUBSTITUTE(SUBSTITUTE(SUBSTITUTE(TRIM($P867),"-",""),".",""),"/",""))=8,DATE(VALUE(LEFT(SUBSTITUTE(SUBSTITUTE(SUBSTITUTE(TRIM($P867),"-",""),".",""),"/",""),4)),VALUE(MID(SUBSTITUTE(SUBSTITUTE(SUBSTITUTE(TRIM($P867),"-",""),".",""),"/",""),5,2)),VALUE(RIGHT(SUBSTITUTE(SUBSTITUTE(SUBSTITUTE(TRIM($P867),"-",""),".",""),"/",""),2))),DATEVALUE($P867))),""))</f>
        <v/>
      </c>
      <c r="Y867" s="56" t="str">
        <f aca="false">IF($M867="","",IFERROR(INDEX(강사DB!$D$4:$D$53,MATCH($M867,강사DB!$A$4:$A$53,0)),""))</f>
        <v/>
      </c>
      <c r="Z867" s="56" t="str">
        <f aca="false">IF($B867&lt;&gt;"결제완료","",IF(OR($Y867="",$J867=""),"",$Y867*$J867+MAX(0,N($K867)-1)*설정!$J$7))</f>
        <v/>
      </c>
      <c r="AA867" s="56" t="str">
        <f aca="false">IF(AND($D867&lt;&gt;"",$B867="결제완료"),N($N867),"")</f>
        <v/>
      </c>
      <c r="AB867" s="45" t="str">
        <f aca="false">IF($D867="","",IF($F867&lt;&gt;"",$F867,$D867)&amp;IF($B867="상담중"," (상담)",""))</f>
        <v/>
      </c>
      <c r="AC867" s="45" t="n">
        <f aca="false">IF(AND($D867&lt;&gt;"",OR($B867="결제완료",$B867="상담중")),1,0)</f>
        <v>0</v>
      </c>
      <c r="AD867" s="45" t="n">
        <f aca="false">IF(OR($Z867="",$U867=""),0,IFERROR(IF(COUNTIFS(INDEX(g_grid,0,2*MATCH($M867,강사DB!$A$4:$A$15,0)),"&lt;&gt;",g_s,"&lt;="&amp;$U867,g_e,"&gt;="&amp;$U867)&gt;0,1,0),0))</f>
        <v>0</v>
      </c>
      <c r="AE867" s="48"/>
      <c r="AF867" s="56" t="str">
        <f aca="false">IF(AND($D867&lt;&gt;"",$B867="결제완료",$T867="대여"),설정!$J$5,"")</f>
        <v/>
      </c>
      <c r="AG867" s="54" t="str">
        <f aca="false">IF($D867="","",IF(AND($E867="",$R867=""),$AB867,"☎ "&amp;IF($E867="","-",$E867)&amp;IF($R867&lt;&gt;"","  ※ "&amp;$R867,"")&amp;IF($B867="상담중"," (상담)","")))</f>
        <v/>
      </c>
      <c r="AH867" s="56" t="str">
        <f aca="false">IF(AND($D867&lt;&gt;"",$B867="결제완료",$O867="스마트스토어"),ROUND(N($N867)*설정!$J$6,0),"")</f>
        <v/>
      </c>
      <c r="AI867" s="54" t="str">
        <f aca="false">IF($D867="","",ROW())</f>
        <v/>
      </c>
      <c r="AJ867" s="54" t="n">
        <f aca="false">IF(OR($AC867&lt;&gt;1,$M867=""),0,IF(ISNUMBER(SEARCH("퇴사",IFERROR(INDEX(강사DB!$G$4:$G$53,MATCH($M867,강사DB!$A$4:$A$53,0)),""))),1,0))</f>
        <v>0</v>
      </c>
    </row>
    <row r="868" customFormat="false" ht="15" hidden="false" customHeight="false" outlineLevel="0" collapsed="false">
      <c r="A868" s="45" t="str">
        <f aca="false">IF($D868="","",COUNTA($D$5:$D868))</f>
        <v/>
      </c>
      <c r="B868" s="46"/>
      <c r="C868" s="47"/>
      <c r="D868" s="48"/>
      <c r="E868" s="48"/>
      <c r="F868" s="49"/>
      <c r="G868" s="47"/>
      <c r="H868" s="50"/>
      <c r="I868" s="50"/>
      <c r="J868" s="51" t="str">
        <f aca="false">IF(OR($V868="",$W868=""),"",ROUND(($W868-$V868)/60,2))</f>
        <v/>
      </c>
      <c r="K868" s="52" t="str">
        <f aca="false">IF($F868="","",LEN($F868)-LEN(SUBSTITUTE($F868,",",""))+1)</f>
        <v/>
      </c>
      <c r="L868" s="45" t="str">
        <f aca="false">IF($K868="","","1:"&amp;$K868)</f>
        <v/>
      </c>
      <c r="M868" s="46"/>
      <c r="N868" s="53"/>
      <c r="O868" s="46"/>
      <c r="P868" s="47"/>
      <c r="Q868" s="48"/>
      <c r="R868" s="49"/>
      <c r="S868" s="54" t="str">
        <f aca="false">IF(OR($AC868=0,$U868="",$M868="",$V868="",$W868=""),"",IF(COUNTIFS(m_teacher,$M868,m_date,$U868,m_active,1,m_start,"&lt;"&amp;$W868,m_end,"&gt;"&amp;$V868)&gt;1,"충돌",""))</f>
        <v/>
      </c>
      <c r="T868" s="48"/>
      <c r="U868" s="55" t="str">
        <f aca="false">IF($G868="","",IFERROR(IF(ISNUMBER($G868),IF($G868&gt;19000000,DATE(INT($G868/10000),MOD(INT($G868/100),100),MOD($G868,100)),INT($G868)),IF(LEN(SUBSTITUTE(SUBSTITUTE(SUBSTITUTE(TRIM($G868),"-",""),".",""),"/",""))=8,DATE(VALUE(LEFT(SUBSTITUTE(SUBSTITUTE(SUBSTITUTE(TRIM($G868),"-",""),".",""),"/",""),4)),VALUE(MID(SUBSTITUTE(SUBSTITUTE(SUBSTITUTE(TRIM($G868),"-",""),".",""),"/",""),5,2)),VALUE(RIGHT(SUBSTITUTE(SUBSTITUTE(SUBSTITUTE(TRIM($G868),"-",""),".",""),"/",""),2))),DATEVALUE($G868))),""))</f>
        <v/>
      </c>
      <c r="V868" s="52" t="str">
        <f aca="false">IF($H868="","",IFERROR(IF(IF(ISNUMBER($H868),$H868,IFERROR(TIMEVALUE($H868),VALUE($H868)))&gt;=100,INT(IF(ISNUMBER($H868),$H868,IFERROR(TIMEVALUE($H868),VALUE($H868)))/100)*60+MOD(IF(ISNUMBER($H868),$H868,IFERROR(TIMEVALUE($H868),VALUE($H868))),100),IF(IF(ISNUMBER($H868),$H868,IFERROR(TIMEVALUE($H868),VALUE($H868)))&gt;=1,ROUND(IF(ISNUMBER($H868),$H868,IFERROR(TIMEVALUE($H868),VALUE($H868)))*60,0),ROUND(MOD(IF(ISNUMBER($H868),$H868,IFERROR(TIMEVALUE($H868),VALUE($H868))),1)*1440,0))),""))</f>
        <v/>
      </c>
      <c r="W868" s="52" t="str">
        <f aca="false">IF($I868="","",IFERROR(IF(IF(ISNUMBER($I868),$I868,IFERROR(TIMEVALUE($I868),VALUE($I868)))&gt;=100,INT(IF(ISNUMBER($I868),$I868,IFERROR(TIMEVALUE($I868),VALUE($I868)))/100)*60+MOD(IF(ISNUMBER($I868),$I868,IFERROR(TIMEVALUE($I868),VALUE($I868))),100),IF(IF(ISNUMBER($I868),$I868,IFERROR(TIMEVALUE($I868),VALUE($I868)))&gt;=1,ROUND(IF(ISNUMBER($I868),$I868,IFERROR(TIMEVALUE($I868),VALUE($I868)))*60,0),ROUND(MOD(IF(ISNUMBER($I868),$I868,IFERROR(TIMEVALUE($I868),VALUE($I868))),1)*1440,0))),""))</f>
        <v/>
      </c>
      <c r="X868" s="55" t="str">
        <f aca="false">IF($P868="","",IFERROR(IF(ISNUMBER($P868),IF($P868&gt;19000000,DATE(INT($P868/10000),MOD(INT($P868/100),100),MOD($P868,100)),INT($P868)),IF(LEN(SUBSTITUTE(SUBSTITUTE(SUBSTITUTE(TRIM($P868),"-",""),".",""),"/",""))=8,DATE(VALUE(LEFT(SUBSTITUTE(SUBSTITUTE(SUBSTITUTE(TRIM($P868),"-",""),".",""),"/",""),4)),VALUE(MID(SUBSTITUTE(SUBSTITUTE(SUBSTITUTE(TRIM($P868),"-",""),".",""),"/",""),5,2)),VALUE(RIGHT(SUBSTITUTE(SUBSTITUTE(SUBSTITUTE(TRIM($P868),"-",""),".",""),"/",""),2))),DATEVALUE($P868))),""))</f>
        <v/>
      </c>
      <c r="Y868" s="56" t="str">
        <f aca="false">IF($M868="","",IFERROR(INDEX(강사DB!$D$4:$D$53,MATCH($M868,강사DB!$A$4:$A$53,0)),""))</f>
        <v/>
      </c>
      <c r="Z868" s="56" t="str">
        <f aca="false">IF($B868&lt;&gt;"결제완료","",IF(OR($Y868="",$J868=""),"",$Y868*$J868+MAX(0,N($K868)-1)*설정!$J$7))</f>
        <v/>
      </c>
      <c r="AA868" s="56" t="str">
        <f aca="false">IF(AND($D868&lt;&gt;"",$B868="결제완료"),N($N868),"")</f>
        <v/>
      </c>
      <c r="AB868" s="45" t="str">
        <f aca="false">IF($D868="","",IF($F868&lt;&gt;"",$F868,$D868)&amp;IF($B868="상담중"," (상담)",""))</f>
        <v/>
      </c>
      <c r="AC868" s="45" t="n">
        <f aca="false">IF(AND($D868&lt;&gt;"",OR($B868="결제완료",$B868="상담중")),1,0)</f>
        <v>0</v>
      </c>
      <c r="AD868" s="45" t="n">
        <f aca="false">IF(OR($Z868="",$U868=""),0,IFERROR(IF(COUNTIFS(INDEX(g_grid,0,2*MATCH($M868,강사DB!$A$4:$A$15,0)),"&lt;&gt;",g_s,"&lt;="&amp;$U868,g_e,"&gt;="&amp;$U868)&gt;0,1,0),0))</f>
        <v>0</v>
      </c>
      <c r="AE868" s="48"/>
      <c r="AF868" s="56" t="str">
        <f aca="false">IF(AND($D868&lt;&gt;"",$B868="결제완료",$T868="대여"),설정!$J$5,"")</f>
        <v/>
      </c>
      <c r="AG868" s="54" t="str">
        <f aca="false">IF($D868="","",IF(AND($E868="",$R868=""),$AB868,"☎ "&amp;IF($E868="","-",$E868)&amp;IF($R868&lt;&gt;"","  ※ "&amp;$R868,"")&amp;IF($B868="상담중"," (상담)","")))</f>
        <v/>
      </c>
      <c r="AH868" s="56" t="str">
        <f aca="false">IF(AND($D868&lt;&gt;"",$B868="결제완료",$O868="스마트스토어"),ROUND(N($N868)*설정!$J$6,0),"")</f>
        <v/>
      </c>
      <c r="AI868" s="54" t="str">
        <f aca="false">IF($D868="","",ROW())</f>
        <v/>
      </c>
      <c r="AJ868" s="54" t="n">
        <f aca="false">IF(OR($AC868&lt;&gt;1,$M868=""),0,IF(ISNUMBER(SEARCH("퇴사",IFERROR(INDEX(강사DB!$G$4:$G$53,MATCH($M868,강사DB!$A$4:$A$53,0)),""))),1,0))</f>
        <v>0</v>
      </c>
    </row>
    <row r="869" customFormat="false" ht="15" hidden="false" customHeight="false" outlineLevel="0" collapsed="false">
      <c r="A869" s="45" t="str">
        <f aca="false">IF($D869="","",COUNTA($D$5:$D869))</f>
        <v/>
      </c>
      <c r="B869" s="46"/>
      <c r="C869" s="47"/>
      <c r="D869" s="48"/>
      <c r="E869" s="48"/>
      <c r="F869" s="49"/>
      <c r="G869" s="47"/>
      <c r="H869" s="50"/>
      <c r="I869" s="50"/>
      <c r="J869" s="51" t="str">
        <f aca="false">IF(OR($V869="",$W869=""),"",ROUND(($W869-$V869)/60,2))</f>
        <v/>
      </c>
      <c r="K869" s="52" t="str">
        <f aca="false">IF($F869="","",LEN($F869)-LEN(SUBSTITUTE($F869,",",""))+1)</f>
        <v/>
      </c>
      <c r="L869" s="45" t="str">
        <f aca="false">IF($K869="","","1:"&amp;$K869)</f>
        <v/>
      </c>
      <c r="M869" s="46"/>
      <c r="N869" s="53"/>
      <c r="O869" s="46"/>
      <c r="P869" s="47"/>
      <c r="Q869" s="48"/>
      <c r="R869" s="49"/>
      <c r="S869" s="54" t="str">
        <f aca="false">IF(OR($AC869=0,$U869="",$M869="",$V869="",$W869=""),"",IF(COUNTIFS(m_teacher,$M869,m_date,$U869,m_active,1,m_start,"&lt;"&amp;$W869,m_end,"&gt;"&amp;$V869)&gt;1,"충돌",""))</f>
        <v/>
      </c>
      <c r="T869" s="48"/>
      <c r="U869" s="55" t="str">
        <f aca="false">IF($G869="","",IFERROR(IF(ISNUMBER($G869),IF($G869&gt;19000000,DATE(INT($G869/10000),MOD(INT($G869/100),100),MOD($G869,100)),INT($G869)),IF(LEN(SUBSTITUTE(SUBSTITUTE(SUBSTITUTE(TRIM($G869),"-",""),".",""),"/",""))=8,DATE(VALUE(LEFT(SUBSTITUTE(SUBSTITUTE(SUBSTITUTE(TRIM($G869),"-",""),".",""),"/",""),4)),VALUE(MID(SUBSTITUTE(SUBSTITUTE(SUBSTITUTE(TRIM($G869),"-",""),".",""),"/",""),5,2)),VALUE(RIGHT(SUBSTITUTE(SUBSTITUTE(SUBSTITUTE(TRIM($G869),"-",""),".",""),"/",""),2))),DATEVALUE($G869))),""))</f>
        <v/>
      </c>
      <c r="V869" s="52" t="str">
        <f aca="false">IF($H869="","",IFERROR(IF(IF(ISNUMBER($H869),$H869,IFERROR(TIMEVALUE($H869),VALUE($H869)))&gt;=100,INT(IF(ISNUMBER($H869),$H869,IFERROR(TIMEVALUE($H869),VALUE($H869)))/100)*60+MOD(IF(ISNUMBER($H869),$H869,IFERROR(TIMEVALUE($H869),VALUE($H869))),100),IF(IF(ISNUMBER($H869),$H869,IFERROR(TIMEVALUE($H869),VALUE($H869)))&gt;=1,ROUND(IF(ISNUMBER($H869),$H869,IFERROR(TIMEVALUE($H869),VALUE($H869)))*60,0),ROUND(MOD(IF(ISNUMBER($H869),$H869,IFERROR(TIMEVALUE($H869),VALUE($H869))),1)*1440,0))),""))</f>
        <v/>
      </c>
      <c r="W869" s="52" t="str">
        <f aca="false">IF($I869="","",IFERROR(IF(IF(ISNUMBER($I869),$I869,IFERROR(TIMEVALUE($I869),VALUE($I869)))&gt;=100,INT(IF(ISNUMBER($I869),$I869,IFERROR(TIMEVALUE($I869),VALUE($I869)))/100)*60+MOD(IF(ISNUMBER($I869),$I869,IFERROR(TIMEVALUE($I869),VALUE($I869))),100),IF(IF(ISNUMBER($I869),$I869,IFERROR(TIMEVALUE($I869),VALUE($I869)))&gt;=1,ROUND(IF(ISNUMBER($I869),$I869,IFERROR(TIMEVALUE($I869),VALUE($I869)))*60,0),ROUND(MOD(IF(ISNUMBER($I869),$I869,IFERROR(TIMEVALUE($I869),VALUE($I869))),1)*1440,0))),""))</f>
        <v/>
      </c>
      <c r="X869" s="55" t="str">
        <f aca="false">IF($P869="","",IFERROR(IF(ISNUMBER($P869),IF($P869&gt;19000000,DATE(INT($P869/10000),MOD(INT($P869/100),100),MOD($P869,100)),INT($P869)),IF(LEN(SUBSTITUTE(SUBSTITUTE(SUBSTITUTE(TRIM($P869),"-",""),".",""),"/",""))=8,DATE(VALUE(LEFT(SUBSTITUTE(SUBSTITUTE(SUBSTITUTE(TRIM($P869),"-",""),".",""),"/",""),4)),VALUE(MID(SUBSTITUTE(SUBSTITUTE(SUBSTITUTE(TRIM($P869),"-",""),".",""),"/",""),5,2)),VALUE(RIGHT(SUBSTITUTE(SUBSTITUTE(SUBSTITUTE(TRIM($P869),"-",""),".",""),"/",""),2))),DATEVALUE($P869))),""))</f>
        <v/>
      </c>
      <c r="Y869" s="56" t="str">
        <f aca="false">IF($M869="","",IFERROR(INDEX(강사DB!$D$4:$D$53,MATCH($M869,강사DB!$A$4:$A$53,0)),""))</f>
        <v/>
      </c>
      <c r="Z869" s="56" t="str">
        <f aca="false">IF($B869&lt;&gt;"결제완료","",IF(OR($Y869="",$J869=""),"",$Y869*$J869+MAX(0,N($K869)-1)*설정!$J$7))</f>
        <v/>
      </c>
      <c r="AA869" s="56" t="str">
        <f aca="false">IF(AND($D869&lt;&gt;"",$B869="결제완료"),N($N869),"")</f>
        <v/>
      </c>
      <c r="AB869" s="45" t="str">
        <f aca="false">IF($D869="","",IF($F869&lt;&gt;"",$F869,$D869)&amp;IF($B869="상담중"," (상담)",""))</f>
        <v/>
      </c>
      <c r="AC869" s="45" t="n">
        <f aca="false">IF(AND($D869&lt;&gt;"",OR($B869="결제완료",$B869="상담중")),1,0)</f>
        <v>0</v>
      </c>
      <c r="AD869" s="45" t="n">
        <f aca="false">IF(OR($Z869="",$U869=""),0,IFERROR(IF(COUNTIFS(INDEX(g_grid,0,2*MATCH($M869,강사DB!$A$4:$A$15,0)),"&lt;&gt;",g_s,"&lt;="&amp;$U869,g_e,"&gt;="&amp;$U869)&gt;0,1,0),0))</f>
        <v>0</v>
      </c>
      <c r="AE869" s="48"/>
      <c r="AF869" s="56" t="str">
        <f aca="false">IF(AND($D869&lt;&gt;"",$B869="결제완료",$T869="대여"),설정!$J$5,"")</f>
        <v/>
      </c>
      <c r="AG869" s="54" t="str">
        <f aca="false">IF($D869="","",IF(AND($E869="",$R869=""),$AB869,"☎ "&amp;IF($E869="","-",$E869)&amp;IF($R869&lt;&gt;"","  ※ "&amp;$R869,"")&amp;IF($B869="상담중"," (상담)","")))</f>
        <v/>
      </c>
      <c r="AH869" s="56" t="str">
        <f aca="false">IF(AND($D869&lt;&gt;"",$B869="결제완료",$O869="스마트스토어"),ROUND(N($N869)*설정!$J$6,0),"")</f>
        <v/>
      </c>
      <c r="AI869" s="54" t="str">
        <f aca="false">IF($D869="","",ROW())</f>
        <v/>
      </c>
      <c r="AJ869" s="54" t="n">
        <f aca="false">IF(OR($AC869&lt;&gt;1,$M869=""),0,IF(ISNUMBER(SEARCH("퇴사",IFERROR(INDEX(강사DB!$G$4:$G$53,MATCH($M869,강사DB!$A$4:$A$53,0)),""))),1,0))</f>
        <v>0</v>
      </c>
    </row>
    <row r="870" customFormat="false" ht="15" hidden="false" customHeight="false" outlineLevel="0" collapsed="false">
      <c r="A870" s="45" t="str">
        <f aca="false">IF($D870="","",COUNTA($D$5:$D870))</f>
        <v/>
      </c>
      <c r="B870" s="46"/>
      <c r="C870" s="47"/>
      <c r="D870" s="48"/>
      <c r="E870" s="48"/>
      <c r="F870" s="49"/>
      <c r="G870" s="47"/>
      <c r="H870" s="50"/>
      <c r="I870" s="50"/>
      <c r="J870" s="51" t="str">
        <f aca="false">IF(OR($V870="",$W870=""),"",ROUND(($W870-$V870)/60,2))</f>
        <v/>
      </c>
      <c r="K870" s="52" t="str">
        <f aca="false">IF($F870="","",LEN($F870)-LEN(SUBSTITUTE($F870,",",""))+1)</f>
        <v/>
      </c>
      <c r="L870" s="45" t="str">
        <f aca="false">IF($K870="","","1:"&amp;$K870)</f>
        <v/>
      </c>
      <c r="M870" s="46"/>
      <c r="N870" s="53"/>
      <c r="O870" s="46"/>
      <c r="P870" s="47"/>
      <c r="Q870" s="48"/>
      <c r="R870" s="49"/>
      <c r="S870" s="54" t="str">
        <f aca="false">IF(OR($AC870=0,$U870="",$M870="",$V870="",$W870=""),"",IF(COUNTIFS(m_teacher,$M870,m_date,$U870,m_active,1,m_start,"&lt;"&amp;$W870,m_end,"&gt;"&amp;$V870)&gt;1,"충돌",""))</f>
        <v/>
      </c>
      <c r="T870" s="48"/>
      <c r="U870" s="55" t="str">
        <f aca="false">IF($G870="","",IFERROR(IF(ISNUMBER($G870),IF($G870&gt;19000000,DATE(INT($G870/10000),MOD(INT($G870/100),100),MOD($G870,100)),INT($G870)),IF(LEN(SUBSTITUTE(SUBSTITUTE(SUBSTITUTE(TRIM($G870),"-",""),".",""),"/",""))=8,DATE(VALUE(LEFT(SUBSTITUTE(SUBSTITUTE(SUBSTITUTE(TRIM($G870),"-",""),".",""),"/",""),4)),VALUE(MID(SUBSTITUTE(SUBSTITUTE(SUBSTITUTE(TRIM($G870),"-",""),".",""),"/",""),5,2)),VALUE(RIGHT(SUBSTITUTE(SUBSTITUTE(SUBSTITUTE(TRIM($G870),"-",""),".",""),"/",""),2))),DATEVALUE($G870))),""))</f>
        <v/>
      </c>
      <c r="V870" s="52" t="str">
        <f aca="false">IF($H870="","",IFERROR(IF(IF(ISNUMBER($H870),$H870,IFERROR(TIMEVALUE($H870),VALUE($H870)))&gt;=100,INT(IF(ISNUMBER($H870),$H870,IFERROR(TIMEVALUE($H870),VALUE($H870)))/100)*60+MOD(IF(ISNUMBER($H870),$H870,IFERROR(TIMEVALUE($H870),VALUE($H870))),100),IF(IF(ISNUMBER($H870),$H870,IFERROR(TIMEVALUE($H870),VALUE($H870)))&gt;=1,ROUND(IF(ISNUMBER($H870),$H870,IFERROR(TIMEVALUE($H870),VALUE($H870)))*60,0),ROUND(MOD(IF(ISNUMBER($H870),$H870,IFERROR(TIMEVALUE($H870),VALUE($H870))),1)*1440,0))),""))</f>
        <v/>
      </c>
      <c r="W870" s="52" t="str">
        <f aca="false">IF($I870="","",IFERROR(IF(IF(ISNUMBER($I870),$I870,IFERROR(TIMEVALUE($I870),VALUE($I870)))&gt;=100,INT(IF(ISNUMBER($I870),$I870,IFERROR(TIMEVALUE($I870),VALUE($I870)))/100)*60+MOD(IF(ISNUMBER($I870),$I870,IFERROR(TIMEVALUE($I870),VALUE($I870))),100),IF(IF(ISNUMBER($I870),$I870,IFERROR(TIMEVALUE($I870),VALUE($I870)))&gt;=1,ROUND(IF(ISNUMBER($I870),$I870,IFERROR(TIMEVALUE($I870),VALUE($I870)))*60,0),ROUND(MOD(IF(ISNUMBER($I870),$I870,IFERROR(TIMEVALUE($I870),VALUE($I870))),1)*1440,0))),""))</f>
        <v/>
      </c>
      <c r="X870" s="55" t="str">
        <f aca="false">IF($P870="","",IFERROR(IF(ISNUMBER($P870),IF($P870&gt;19000000,DATE(INT($P870/10000),MOD(INT($P870/100),100),MOD($P870,100)),INT($P870)),IF(LEN(SUBSTITUTE(SUBSTITUTE(SUBSTITUTE(TRIM($P870),"-",""),".",""),"/",""))=8,DATE(VALUE(LEFT(SUBSTITUTE(SUBSTITUTE(SUBSTITUTE(TRIM($P870),"-",""),".",""),"/",""),4)),VALUE(MID(SUBSTITUTE(SUBSTITUTE(SUBSTITUTE(TRIM($P870),"-",""),".",""),"/",""),5,2)),VALUE(RIGHT(SUBSTITUTE(SUBSTITUTE(SUBSTITUTE(TRIM($P870),"-",""),".",""),"/",""),2))),DATEVALUE($P870))),""))</f>
        <v/>
      </c>
      <c r="Y870" s="56" t="str">
        <f aca="false">IF($M870="","",IFERROR(INDEX(강사DB!$D$4:$D$53,MATCH($M870,강사DB!$A$4:$A$53,0)),""))</f>
        <v/>
      </c>
      <c r="Z870" s="56" t="str">
        <f aca="false">IF($B870&lt;&gt;"결제완료","",IF(OR($Y870="",$J870=""),"",$Y870*$J870+MAX(0,N($K870)-1)*설정!$J$7))</f>
        <v/>
      </c>
      <c r="AA870" s="56" t="str">
        <f aca="false">IF(AND($D870&lt;&gt;"",$B870="결제완료"),N($N870),"")</f>
        <v/>
      </c>
      <c r="AB870" s="45" t="str">
        <f aca="false">IF($D870="","",IF($F870&lt;&gt;"",$F870,$D870)&amp;IF($B870="상담중"," (상담)",""))</f>
        <v/>
      </c>
      <c r="AC870" s="45" t="n">
        <f aca="false">IF(AND($D870&lt;&gt;"",OR($B870="결제완료",$B870="상담중")),1,0)</f>
        <v>0</v>
      </c>
      <c r="AD870" s="45" t="n">
        <f aca="false">IF(OR($Z870="",$U870=""),0,IFERROR(IF(COUNTIFS(INDEX(g_grid,0,2*MATCH($M870,강사DB!$A$4:$A$15,0)),"&lt;&gt;",g_s,"&lt;="&amp;$U870,g_e,"&gt;="&amp;$U870)&gt;0,1,0),0))</f>
        <v>0</v>
      </c>
      <c r="AE870" s="48"/>
      <c r="AF870" s="56" t="str">
        <f aca="false">IF(AND($D870&lt;&gt;"",$B870="결제완료",$T870="대여"),설정!$J$5,"")</f>
        <v/>
      </c>
      <c r="AG870" s="54" t="str">
        <f aca="false">IF($D870="","",IF(AND($E870="",$R870=""),$AB870,"☎ "&amp;IF($E870="","-",$E870)&amp;IF($R870&lt;&gt;"","  ※ "&amp;$R870,"")&amp;IF($B870="상담중"," (상담)","")))</f>
        <v/>
      </c>
      <c r="AH870" s="56" t="str">
        <f aca="false">IF(AND($D870&lt;&gt;"",$B870="결제완료",$O870="스마트스토어"),ROUND(N($N870)*설정!$J$6,0),"")</f>
        <v/>
      </c>
      <c r="AI870" s="54" t="str">
        <f aca="false">IF($D870="","",ROW())</f>
        <v/>
      </c>
      <c r="AJ870" s="54" t="n">
        <f aca="false">IF(OR($AC870&lt;&gt;1,$M870=""),0,IF(ISNUMBER(SEARCH("퇴사",IFERROR(INDEX(강사DB!$G$4:$G$53,MATCH($M870,강사DB!$A$4:$A$53,0)),""))),1,0))</f>
        <v>0</v>
      </c>
    </row>
    <row r="871" customFormat="false" ht="15" hidden="false" customHeight="false" outlineLevel="0" collapsed="false">
      <c r="A871" s="45" t="str">
        <f aca="false">IF($D871="","",COUNTA($D$5:$D871))</f>
        <v/>
      </c>
      <c r="B871" s="46"/>
      <c r="C871" s="47"/>
      <c r="D871" s="48"/>
      <c r="E871" s="48"/>
      <c r="F871" s="49"/>
      <c r="G871" s="47"/>
      <c r="H871" s="50"/>
      <c r="I871" s="50"/>
      <c r="J871" s="51" t="str">
        <f aca="false">IF(OR($V871="",$W871=""),"",ROUND(($W871-$V871)/60,2))</f>
        <v/>
      </c>
      <c r="K871" s="52" t="str">
        <f aca="false">IF($F871="","",LEN($F871)-LEN(SUBSTITUTE($F871,",",""))+1)</f>
        <v/>
      </c>
      <c r="L871" s="45" t="str">
        <f aca="false">IF($K871="","","1:"&amp;$K871)</f>
        <v/>
      </c>
      <c r="M871" s="46"/>
      <c r="N871" s="53"/>
      <c r="O871" s="46"/>
      <c r="P871" s="47"/>
      <c r="Q871" s="48"/>
      <c r="R871" s="49"/>
      <c r="S871" s="54" t="str">
        <f aca="false">IF(OR($AC871=0,$U871="",$M871="",$V871="",$W871=""),"",IF(COUNTIFS(m_teacher,$M871,m_date,$U871,m_active,1,m_start,"&lt;"&amp;$W871,m_end,"&gt;"&amp;$V871)&gt;1,"충돌",""))</f>
        <v/>
      </c>
      <c r="T871" s="48"/>
      <c r="U871" s="55" t="str">
        <f aca="false">IF($G871="","",IFERROR(IF(ISNUMBER($G871),IF($G871&gt;19000000,DATE(INT($G871/10000),MOD(INT($G871/100),100),MOD($G871,100)),INT($G871)),IF(LEN(SUBSTITUTE(SUBSTITUTE(SUBSTITUTE(TRIM($G871),"-",""),".",""),"/",""))=8,DATE(VALUE(LEFT(SUBSTITUTE(SUBSTITUTE(SUBSTITUTE(TRIM($G871),"-",""),".",""),"/",""),4)),VALUE(MID(SUBSTITUTE(SUBSTITUTE(SUBSTITUTE(TRIM($G871),"-",""),".",""),"/",""),5,2)),VALUE(RIGHT(SUBSTITUTE(SUBSTITUTE(SUBSTITUTE(TRIM($G871),"-",""),".",""),"/",""),2))),DATEVALUE($G871))),""))</f>
        <v/>
      </c>
      <c r="V871" s="52" t="str">
        <f aca="false">IF($H871="","",IFERROR(IF(IF(ISNUMBER($H871),$H871,IFERROR(TIMEVALUE($H871),VALUE($H871)))&gt;=100,INT(IF(ISNUMBER($H871),$H871,IFERROR(TIMEVALUE($H871),VALUE($H871)))/100)*60+MOD(IF(ISNUMBER($H871),$H871,IFERROR(TIMEVALUE($H871),VALUE($H871))),100),IF(IF(ISNUMBER($H871),$H871,IFERROR(TIMEVALUE($H871),VALUE($H871)))&gt;=1,ROUND(IF(ISNUMBER($H871),$H871,IFERROR(TIMEVALUE($H871),VALUE($H871)))*60,0),ROUND(MOD(IF(ISNUMBER($H871),$H871,IFERROR(TIMEVALUE($H871),VALUE($H871))),1)*1440,0))),""))</f>
        <v/>
      </c>
      <c r="W871" s="52" t="str">
        <f aca="false">IF($I871="","",IFERROR(IF(IF(ISNUMBER($I871),$I871,IFERROR(TIMEVALUE($I871),VALUE($I871)))&gt;=100,INT(IF(ISNUMBER($I871),$I871,IFERROR(TIMEVALUE($I871),VALUE($I871)))/100)*60+MOD(IF(ISNUMBER($I871),$I871,IFERROR(TIMEVALUE($I871),VALUE($I871))),100),IF(IF(ISNUMBER($I871),$I871,IFERROR(TIMEVALUE($I871),VALUE($I871)))&gt;=1,ROUND(IF(ISNUMBER($I871),$I871,IFERROR(TIMEVALUE($I871),VALUE($I871)))*60,0),ROUND(MOD(IF(ISNUMBER($I871),$I871,IFERROR(TIMEVALUE($I871),VALUE($I871))),1)*1440,0))),""))</f>
        <v/>
      </c>
      <c r="X871" s="55" t="str">
        <f aca="false">IF($P871="","",IFERROR(IF(ISNUMBER($P871),IF($P871&gt;19000000,DATE(INT($P871/10000),MOD(INT($P871/100),100),MOD($P871,100)),INT($P871)),IF(LEN(SUBSTITUTE(SUBSTITUTE(SUBSTITUTE(TRIM($P871),"-",""),".",""),"/",""))=8,DATE(VALUE(LEFT(SUBSTITUTE(SUBSTITUTE(SUBSTITUTE(TRIM($P871),"-",""),".",""),"/",""),4)),VALUE(MID(SUBSTITUTE(SUBSTITUTE(SUBSTITUTE(TRIM($P871),"-",""),".",""),"/",""),5,2)),VALUE(RIGHT(SUBSTITUTE(SUBSTITUTE(SUBSTITUTE(TRIM($P871),"-",""),".",""),"/",""),2))),DATEVALUE($P871))),""))</f>
        <v/>
      </c>
      <c r="Y871" s="56" t="str">
        <f aca="false">IF($M871="","",IFERROR(INDEX(강사DB!$D$4:$D$53,MATCH($M871,강사DB!$A$4:$A$53,0)),""))</f>
        <v/>
      </c>
      <c r="Z871" s="56" t="str">
        <f aca="false">IF($B871&lt;&gt;"결제완료","",IF(OR($Y871="",$J871=""),"",$Y871*$J871+MAX(0,N($K871)-1)*설정!$J$7))</f>
        <v/>
      </c>
      <c r="AA871" s="56" t="str">
        <f aca="false">IF(AND($D871&lt;&gt;"",$B871="결제완료"),N($N871),"")</f>
        <v/>
      </c>
      <c r="AB871" s="45" t="str">
        <f aca="false">IF($D871="","",IF($F871&lt;&gt;"",$F871,$D871)&amp;IF($B871="상담중"," (상담)",""))</f>
        <v/>
      </c>
      <c r="AC871" s="45" t="n">
        <f aca="false">IF(AND($D871&lt;&gt;"",OR($B871="결제완료",$B871="상담중")),1,0)</f>
        <v>0</v>
      </c>
      <c r="AD871" s="45" t="n">
        <f aca="false">IF(OR($Z871="",$U871=""),0,IFERROR(IF(COUNTIFS(INDEX(g_grid,0,2*MATCH($M871,강사DB!$A$4:$A$15,0)),"&lt;&gt;",g_s,"&lt;="&amp;$U871,g_e,"&gt;="&amp;$U871)&gt;0,1,0),0))</f>
        <v>0</v>
      </c>
      <c r="AE871" s="48"/>
      <c r="AF871" s="56" t="str">
        <f aca="false">IF(AND($D871&lt;&gt;"",$B871="결제완료",$T871="대여"),설정!$J$5,"")</f>
        <v/>
      </c>
      <c r="AG871" s="54" t="str">
        <f aca="false">IF($D871="","",IF(AND($E871="",$R871=""),$AB871,"☎ "&amp;IF($E871="","-",$E871)&amp;IF($R871&lt;&gt;"","  ※ "&amp;$R871,"")&amp;IF($B871="상담중"," (상담)","")))</f>
        <v/>
      </c>
      <c r="AH871" s="56" t="str">
        <f aca="false">IF(AND($D871&lt;&gt;"",$B871="결제완료",$O871="스마트스토어"),ROUND(N($N871)*설정!$J$6,0),"")</f>
        <v/>
      </c>
      <c r="AI871" s="54" t="str">
        <f aca="false">IF($D871="","",ROW())</f>
        <v/>
      </c>
      <c r="AJ871" s="54" t="n">
        <f aca="false">IF(OR($AC871&lt;&gt;1,$M871=""),0,IF(ISNUMBER(SEARCH("퇴사",IFERROR(INDEX(강사DB!$G$4:$G$53,MATCH($M871,강사DB!$A$4:$A$53,0)),""))),1,0))</f>
        <v>0</v>
      </c>
    </row>
    <row r="872" customFormat="false" ht="15" hidden="false" customHeight="false" outlineLevel="0" collapsed="false">
      <c r="A872" s="45" t="str">
        <f aca="false">IF($D872="","",COUNTA($D$5:$D872))</f>
        <v/>
      </c>
      <c r="B872" s="46"/>
      <c r="C872" s="47"/>
      <c r="D872" s="48"/>
      <c r="E872" s="48"/>
      <c r="F872" s="49"/>
      <c r="G872" s="47"/>
      <c r="H872" s="50"/>
      <c r="I872" s="50"/>
      <c r="J872" s="51" t="str">
        <f aca="false">IF(OR($V872="",$W872=""),"",ROUND(($W872-$V872)/60,2))</f>
        <v/>
      </c>
      <c r="K872" s="52" t="str">
        <f aca="false">IF($F872="","",LEN($F872)-LEN(SUBSTITUTE($F872,",",""))+1)</f>
        <v/>
      </c>
      <c r="L872" s="45" t="str">
        <f aca="false">IF($K872="","","1:"&amp;$K872)</f>
        <v/>
      </c>
      <c r="M872" s="46"/>
      <c r="N872" s="53"/>
      <c r="O872" s="46"/>
      <c r="P872" s="47"/>
      <c r="Q872" s="48"/>
      <c r="R872" s="49"/>
      <c r="S872" s="54" t="str">
        <f aca="false">IF(OR($AC872=0,$U872="",$M872="",$V872="",$W872=""),"",IF(COUNTIFS(m_teacher,$M872,m_date,$U872,m_active,1,m_start,"&lt;"&amp;$W872,m_end,"&gt;"&amp;$V872)&gt;1,"충돌",""))</f>
        <v/>
      </c>
      <c r="T872" s="48"/>
      <c r="U872" s="55" t="str">
        <f aca="false">IF($G872="","",IFERROR(IF(ISNUMBER($G872),IF($G872&gt;19000000,DATE(INT($G872/10000),MOD(INT($G872/100),100),MOD($G872,100)),INT($G872)),IF(LEN(SUBSTITUTE(SUBSTITUTE(SUBSTITUTE(TRIM($G872),"-",""),".",""),"/",""))=8,DATE(VALUE(LEFT(SUBSTITUTE(SUBSTITUTE(SUBSTITUTE(TRIM($G872),"-",""),".",""),"/",""),4)),VALUE(MID(SUBSTITUTE(SUBSTITUTE(SUBSTITUTE(TRIM($G872),"-",""),".",""),"/",""),5,2)),VALUE(RIGHT(SUBSTITUTE(SUBSTITUTE(SUBSTITUTE(TRIM($G872),"-",""),".",""),"/",""),2))),DATEVALUE($G872))),""))</f>
        <v/>
      </c>
      <c r="V872" s="52" t="str">
        <f aca="false">IF($H872="","",IFERROR(IF(IF(ISNUMBER($H872),$H872,IFERROR(TIMEVALUE($H872),VALUE($H872)))&gt;=100,INT(IF(ISNUMBER($H872),$H872,IFERROR(TIMEVALUE($H872),VALUE($H872)))/100)*60+MOD(IF(ISNUMBER($H872),$H872,IFERROR(TIMEVALUE($H872),VALUE($H872))),100),IF(IF(ISNUMBER($H872),$H872,IFERROR(TIMEVALUE($H872),VALUE($H872)))&gt;=1,ROUND(IF(ISNUMBER($H872),$H872,IFERROR(TIMEVALUE($H872),VALUE($H872)))*60,0),ROUND(MOD(IF(ISNUMBER($H872),$H872,IFERROR(TIMEVALUE($H872),VALUE($H872))),1)*1440,0))),""))</f>
        <v/>
      </c>
      <c r="W872" s="52" t="str">
        <f aca="false">IF($I872="","",IFERROR(IF(IF(ISNUMBER($I872),$I872,IFERROR(TIMEVALUE($I872),VALUE($I872)))&gt;=100,INT(IF(ISNUMBER($I872),$I872,IFERROR(TIMEVALUE($I872),VALUE($I872)))/100)*60+MOD(IF(ISNUMBER($I872),$I872,IFERROR(TIMEVALUE($I872),VALUE($I872))),100),IF(IF(ISNUMBER($I872),$I872,IFERROR(TIMEVALUE($I872),VALUE($I872)))&gt;=1,ROUND(IF(ISNUMBER($I872),$I872,IFERROR(TIMEVALUE($I872),VALUE($I872)))*60,0),ROUND(MOD(IF(ISNUMBER($I872),$I872,IFERROR(TIMEVALUE($I872),VALUE($I872))),1)*1440,0))),""))</f>
        <v/>
      </c>
      <c r="X872" s="55" t="str">
        <f aca="false">IF($P872="","",IFERROR(IF(ISNUMBER($P872),IF($P872&gt;19000000,DATE(INT($P872/10000),MOD(INT($P872/100),100),MOD($P872,100)),INT($P872)),IF(LEN(SUBSTITUTE(SUBSTITUTE(SUBSTITUTE(TRIM($P872),"-",""),".",""),"/",""))=8,DATE(VALUE(LEFT(SUBSTITUTE(SUBSTITUTE(SUBSTITUTE(TRIM($P872),"-",""),".",""),"/",""),4)),VALUE(MID(SUBSTITUTE(SUBSTITUTE(SUBSTITUTE(TRIM($P872),"-",""),".",""),"/",""),5,2)),VALUE(RIGHT(SUBSTITUTE(SUBSTITUTE(SUBSTITUTE(TRIM($P872),"-",""),".",""),"/",""),2))),DATEVALUE($P872))),""))</f>
        <v/>
      </c>
      <c r="Y872" s="56" t="str">
        <f aca="false">IF($M872="","",IFERROR(INDEX(강사DB!$D$4:$D$53,MATCH($M872,강사DB!$A$4:$A$53,0)),""))</f>
        <v/>
      </c>
      <c r="Z872" s="56" t="str">
        <f aca="false">IF($B872&lt;&gt;"결제완료","",IF(OR($Y872="",$J872=""),"",$Y872*$J872+MAX(0,N($K872)-1)*설정!$J$7))</f>
        <v/>
      </c>
      <c r="AA872" s="56" t="str">
        <f aca="false">IF(AND($D872&lt;&gt;"",$B872="결제완료"),N($N872),"")</f>
        <v/>
      </c>
      <c r="AB872" s="45" t="str">
        <f aca="false">IF($D872="","",IF($F872&lt;&gt;"",$F872,$D872)&amp;IF($B872="상담중"," (상담)",""))</f>
        <v/>
      </c>
      <c r="AC872" s="45" t="n">
        <f aca="false">IF(AND($D872&lt;&gt;"",OR($B872="결제완료",$B872="상담중")),1,0)</f>
        <v>0</v>
      </c>
      <c r="AD872" s="45" t="n">
        <f aca="false">IF(OR($Z872="",$U872=""),0,IFERROR(IF(COUNTIFS(INDEX(g_grid,0,2*MATCH($M872,강사DB!$A$4:$A$15,0)),"&lt;&gt;",g_s,"&lt;="&amp;$U872,g_e,"&gt;="&amp;$U872)&gt;0,1,0),0))</f>
        <v>0</v>
      </c>
      <c r="AE872" s="48"/>
      <c r="AF872" s="56" t="str">
        <f aca="false">IF(AND($D872&lt;&gt;"",$B872="결제완료",$T872="대여"),설정!$J$5,"")</f>
        <v/>
      </c>
      <c r="AG872" s="54" t="str">
        <f aca="false">IF($D872="","",IF(AND($E872="",$R872=""),$AB872,"☎ "&amp;IF($E872="","-",$E872)&amp;IF($R872&lt;&gt;"","  ※ "&amp;$R872,"")&amp;IF($B872="상담중"," (상담)","")))</f>
        <v/>
      </c>
      <c r="AH872" s="56" t="str">
        <f aca="false">IF(AND($D872&lt;&gt;"",$B872="결제완료",$O872="스마트스토어"),ROUND(N($N872)*설정!$J$6,0),"")</f>
        <v/>
      </c>
      <c r="AI872" s="54" t="str">
        <f aca="false">IF($D872="","",ROW())</f>
        <v/>
      </c>
      <c r="AJ872" s="54" t="n">
        <f aca="false">IF(OR($AC872&lt;&gt;1,$M872=""),0,IF(ISNUMBER(SEARCH("퇴사",IFERROR(INDEX(강사DB!$G$4:$G$53,MATCH($M872,강사DB!$A$4:$A$53,0)),""))),1,0))</f>
        <v>0</v>
      </c>
    </row>
    <row r="873" customFormat="false" ht="15" hidden="false" customHeight="false" outlineLevel="0" collapsed="false">
      <c r="A873" s="45" t="str">
        <f aca="false">IF($D873="","",COUNTA($D$5:$D873))</f>
        <v/>
      </c>
      <c r="B873" s="46"/>
      <c r="C873" s="47"/>
      <c r="D873" s="48"/>
      <c r="E873" s="48"/>
      <c r="F873" s="49"/>
      <c r="G873" s="47"/>
      <c r="H873" s="50"/>
      <c r="I873" s="50"/>
      <c r="J873" s="51" t="str">
        <f aca="false">IF(OR($V873="",$W873=""),"",ROUND(($W873-$V873)/60,2))</f>
        <v/>
      </c>
      <c r="K873" s="52" t="str">
        <f aca="false">IF($F873="","",LEN($F873)-LEN(SUBSTITUTE($F873,",",""))+1)</f>
        <v/>
      </c>
      <c r="L873" s="45" t="str">
        <f aca="false">IF($K873="","","1:"&amp;$K873)</f>
        <v/>
      </c>
      <c r="M873" s="46"/>
      <c r="N873" s="53"/>
      <c r="O873" s="46"/>
      <c r="P873" s="47"/>
      <c r="Q873" s="48"/>
      <c r="R873" s="49"/>
      <c r="S873" s="54" t="str">
        <f aca="false">IF(OR($AC873=0,$U873="",$M873="",$V873="",$W873=""),"",IF(COUNTIFS(m_teacher,$M873,m_date,$U873,m_active,1,m_start,"&lt;"&amp;$W873,m_end,"&gt;"&amp;$V873)&gt;1,"충돌",""))</f>
        <v/>
      </c>
      <c r="T873" s="48"/>
      <c r="U873" s="55" t="str">
        <f aca="false">IF($G873="","",IFERROR(IF(ISNUMBER($G873),IF($G873&gt;19000000,DATE(INT($G873/10000),MOD(INT($G873/100),100),MOD($G873,100)),INT($G873)),IF(LEN(SUBSTITUTE(SUBSTITUTE(SUBSTITUTE(TRIM($G873),"-",""),".",""),"/",""))=8,DATE(VALUE(LEFT(SUBSTITUTE(SUBSTITUTE(SUBSTITUTE(TRIM($G873),"-",""),".",""),"/",""),4)),VALUE(MID(SUBSTITUTE(SUBSTITUTE(SUBSTITUTE(TRIM($G873),"-",""),".",""),"/",""),5,2)),VALUE(RIGHT(SUBSTITUTE(SUBSTITUTE(SUBSTITUTE(TRIM($G873),"-",""),".",""),"/",""),2))),DATEVALUE($G873))),""))</f>
        <v/>
      </c>
      <c r="V873" s="52" t="str">
        <f aca="false">IF($H873="","",IFERROR(IF(IF(ISNUMBER($H873),$H873,IFERROR(TIMEVALUE($H873),VALUE($H873)))&gt;=100,INT(IF(ISNUMBER($H873),$H873,IFERROR(TIMEVALUE($H873),VALUE($H873)))/100)*60+MOD(IF(ISNUMBER($H873),$H873,IFERROR(TIMEVALUE($H873),VALUE($H873))),100),IF(IF(ISNUMBER($H873),$H873,IFERROR(TIMEVALUE($H873),VALUE($H873)))&gt;=1,ROUND(IF(ISNUMBER($H873),$H873,IFERROR(TIMEVALUE($H873),VALUE($H873)))*60,0),ROUND(MOD(IF(ISNUMBER($H873),$H873,IFERROR(TIMEVALUE($H873),VALUE($H873))),1)*1440,0))),""))</f>
        <v/>
      </c>
      <c r="W873" s="52" t="str">
        <f aca="false">IF($I873="","",IFERROR(IF(IF(ISNUMBER($I873),$I873,IFERROR(TIMEVALUE($I873),VALUE($I873)))&gt;=100,INT(IF(ISNUMBER($I873),$I873,IFERROR(TIMEVALUE($I873),VALUE($I873)))/100)*60+MOD(IF(ISNUMBER($I873),$I873,IFERROR(TIMEVALUE($I873),VALUE($I873))),100),IF(IF(ISNUMBER($I873),$I873,IFERROR(TIMEVALUE($I873),VALUE($I873)))&gt;=1,ROUND(IF(ISNUMBER($I873),$I873,IFERROR(TIMEVALUE($I873),VALUE($I873)))*60,0),ROUND(MOD(IF(ISNUMBER($I873),$I873,IFERROR(TIMEVALUE($I873),VALUE($I873))),1)*1440,0))),""))</f>
        <v/>
      </c>
      <c r="X873" s="55" t="str">
        <f aca="false">IF($P873="","",IFERROR(IF(ISNUMBER($P873),IF($P873&gt;19000000,DATE(INT($P873/10000),MOD(INT($P873/100),100),MOD($P873,100)),INT($P873)),IF(LEN(SUBSTITUTE(SUBSTITUTE(SUBSTITUTE(TRIM($P873),"-",""),".",""),"/",""))=8,DATE(VALUE(LEFT(SUBSTITUTE(SUBSTITUTE(SUBSTITUTE(TRIM($P873),"-",""),".",""),"/",""),4)),VALUE(MID(SUBSTITUTE(SUBSTITUTE(SUBSTITUTE(TRIM($P873),"-",""),".",""),"/",""),5,2)),VALUE(RIGHT(SUBSTITUTE(SUBSTITUTE(SUBSTITUTE(TRIM($P873),"-",""),".",""),"/",""),2))),DATEVALUE($P873))),""))</f>
        <v/>
      </c>
      <c r="Y873" s="56" t="str">
        <f aca="false">IF($M873="","",IFERROR(INDEX(강사DB!$D$4:$D$53,MATCH($M873,강사DB!$A$4:$A$53,0)),""))</f>
        <v/>
      </c>
      <c r="Z873" s="56" t="str">
        <f aca="false">IF($B873&lt;&gt;"결제완료","",IF(OR($Y873="",$J873=""),"",$Y873*$J873+MAX(0,N($K873)-1)*설정!$J$7))</f>
        <v/>
      </c>
      <c r="AA873" s="56" t="str">
        <f aca="false">IF(AND($D873&lt;&gt;"",$B873="결제완료"),N($N873),"")</f>
        <v/>
      </c>
      <c r="AB873" s="45" t="str">
        <f aca="false">IF($D873="","",IF($F873&lt;&gt;"",$F873,$D873)&amp;IF($B873="상담중"," (상담)",""))</f>
        <v/>
      </c>
      <c r="AC873" s="45" t="n">
        <f aca="false">IF(AND($D873&lt;&gt;"",OR($B873="결제완료",$B873="상담중")),1,0)</f>
        <v>0</v>
      </c>
      <c r="AD873" s="45" t="n">
        <f aca="false">IF(OR($Z873="",$U873=""),0,IFERROR(IF(COUNTIFS(INDEX(g_grid,0,2*MATCH($M873,강사DB!$A$4:$A$15,0)),"&lt;&gt;",g_s,"&lt;="&amp;$U873,g_e,"&gt;="&amp;$U873)&gt;0,1,0),0))</f>
        <v>0</v>
      </c>
      <c r="AE873" s="48"/>
      <c r="AF873" s="56" t="str">
        <f aca="false">IF(AND($D873&lt;&gt;"",$B873="결제완료",$T873="대여"),설정!$J$5,"")</f>
        <v/>
      </c>
      <c r="AG873" s="54" t="str">
        <f aca="false">IF($D873="","",IF(AND($E873="",$R873=""),$AB873,"☎ "&amp;IF($E873="","-",$E873)&amp;IF($R873&lt;&gt;"","  ※ "&amp;$R873,"")&amp;IF($B873="상담중"," (상담)","")))</f>
        <v/>
      </c>
      <c r="AH873" s="56" t="str">
        <f aca="false">IF(AND($D873&lt;&gt;"",$B873="결제완료",$O873="스마트스토어"),ROUND(N($N873)*설정!$J$6,0),"")</f>
        <v/>
      </c>
      <c r="AI873" s="54" t="str">
        <f aca="false">IF($D873="","",ROW())</f>
        <v/>
      </c>
      <c r="AJ873" s="54" t="n">
        <f aca="false">IF(OR($AC873&lt;&gt;1,$M873=""),0,IF(ISNUMBER(SEARCH("퇴사",IFERROR(INDEX(강사DB!$G$4:$G$53,MATCH($M873,강사DB!$A$4:$A$53,0)),""))),1,0))</f>
        <v>0</v>
      </c>
    </row>
    <row r="874" customFormat="false" ht="15" hidden="false" customHeight="false" outlineLevel="0" collapsed="false">
      <c r="A874" s="45" t="str">
        <f aca="false">IF($D874="","",COUNTA($D$5:$D874))</f>
        <v/>
      </c>
      <c r="B874" s="46"/>
      <c r="C874" s="47"/>
      <c r="D874" s="48"/>
      <c r="E874" s="48"/>
      <c r="F874" s="49"/>
      <c r="G874" s="47"/>
      <c r="H874" s="50"/>
      <c r="I874" s="50"/>
      <c r="J874" s="51" t="str">
        <f aca="false">IF(OR($V874="",$W874=""),"",ROUND(($W874-$V874)/60,2))</f>
        <v/>
      </c>
      <c r="K874" s="52" t="str">
        <f aca="false">IF($F874="","",LEN($F874)-LEN(SUBSTITUTE($F874,",",""))+1)</f>
        <v/>
      </c>
      <c r="L874" s="45" t="str">
        <f aca="false">IF($K874="","","1:"&amp;$K874)</f>
        <v/>
      </c>
      <c r="M874" s="46"/>
      <c r="N874" s="53"/>
      <c r="O874" s="46"/>
      <c r="P874" s="47"/>
      <c r="Q874" s="48"/>
      <c r="R874" s="49"/>
      <c r="S874" s="54" t="str">
        <f aca="false">IF(OR($AC874=0,$U874="",$M874="",$V874="",$W874=""),"",IF(COUNTIFS(m_teacher,$M874,m_date,$U874,m_active,1,m_start,"&lt;"&amp;$W874,m_end,"&gt;"&amp;$V874)&gt;1,"충돌",""))</f>
        <v/>
      </c>
      <c r="T874" s="48"/>
      <c r="U874" s="55" t="str">
        <f aca="false">IF($G874="","",IFERROR(IF(ISNUMBER($G874),IF($G874&gt;19000000,DATE(INT($G874/10000),MOD(INT($G874/100),100),MOD($G874,100)),INT($G874)),IF(LEN(SUBSTITUTE(SUBSTITUTE(SUBSTITUTE(TRIM($G874),"-",""),".",""),"/",""))=8,DATE(VALUE(LEFT(SUBSTITUTE(SUBSTITUTE(SUBSTITUTE(TRIM($G874),"-",""),".",""),"/",""),4)),VALUE(MID(SUBSTITUTE(SUBSTITUTE(SUBSTITUTE(TRIM($G874),"-",""),".",""),"/",""),5,2)),VALUE(RIGHT(SUBSTITUTE(SUBSTITUTE(SUBSTITUTE(TRIM($G874),"-",""),".",""),"/",""),2))),DATEVALUE($G874))),""))</f>
        <v/>
      </c>
      <c r="V874" s="52" t="str">
        <f aca="false">IF($H874="","",IFERROR(IF(IF(ISNUMBER($H874),$H874,IFERROR(TIMEVALUE($H874),VALUE($H874)))&gt;=100,INT(IF(ISNUMBER($H874),$H874,IFERROR(TIMEVALUE($H874),VALUE($H874)))/100)*60+MOD(IF(ISNUMBER($H874),$H874,IFERROR(TIMEVALUE($H874),VALUE($H874))),100),IF(IF(ISNUMBER($H874),$H874,IFERROR(TIMEVALUE($H874),VALUE($H874)))&gt;=1,ROUND(IF(ISNUMBER($H874),$H874,IFERROR(TIMEVALUE($H874),VALUE($H874)))*60,0),ROUND(MOD(IF(ISNUMBER($H874),$H874,IFERROR(TIMEVALUE($H874),VALUE($H874))),1)*1440,0))),""))</f>
        <v/>
      </c>
      <c r="W874" s="52" t="str">
        <f aca="false">IF($I874="","",IFERROR(IF(IF(ISNUMBER($I874),$I874,IFERROR(TIMEVALUE($I874),VALUE($I874)))&gt;=100,INT(IF(ISNUMBER($I874),$I874,IFERROR(TIMEVALUE($I874),VALUE($I874)))/100)*60+MOD(IF(ISNUMBER($I874),$I874,IFERROR(TIMEVALUE($I874),VALUE($I874))),100),IF(IF(ISNUMBER($I874),$I874,IFERROR(TIMEVALUE($I874),VALUE($I874)))&gt;=1,ROUND(IF(ISNUMBER($I874),$I874,IFERROR(TIMEVALUE($I874),VALUE($I874)))*60,0),ROUND(MOD(IF(ISNUMBER($I874),$I874,IFERROR(TIMEVALUE($I874),VALUE($I874))),1)*1440,0))),""))</f>
        <v/>
      </c>
      <c r="X874" s="55" t="str">
        <f aca="false">IF($P874="","",IFERROR(IF(ISNUMBER($P874),IF($P874&gt;19000000,DATE(INT($P874/10000),MOD(INT($P874/100),100),MOD($P874,100)),INT($P874)),IF(LEN(SUBSTITUTE(SUBSTITUTE(SUBSTITUTE(TRIM($P874),"-",""),".",""),"/",""))=8,DATE(VALUE(LEFT(SUBSTITUTE(SUBSTITUTE(SUBSTITUTE(TRIM($P874),"-",""),".",""),"/",""),4)),VALUE(MID(SUBSTITUTE(SUBSTITUTE(SUBSTITUTE(TRIM($P874),"-",""),".",""),"/",""),5,2)),VALUE(RIGHT(SUBSTITUTE(SUBSTITUTE(SUBSTITUTE(TRIM($P874),"-",""),".",""),"/",""),2))),DATEVALUE($P874))),""))</f>
        <v/>
      </c>
      <c r="Y874" s="56" t="str">
        <f aca="false">IF($M874="","",IFERROR(INDEX(강사DB!$D$4:$D$53,MATCH($M874,강사DB!$A$4:$A$53,0)),""))</f>
        <v/>
      </c>
      <c r="Z874" s="56" t="str">
        <f aca="false">IF($B874&lt;&gt;"결제완료","",IF(OR($Y874="",$J874=""),"",$Y874*$J874+MAX(0,N($K874)-1)*설정!$J$7))</f>
        <v/>
      </c>
      <c r="AA874" s="56" t="str">
        <f aca="false">IF(AND($D874&lt;&gt;"",$B874="결제완료"),N($N874),"")</f>
        <v/>
      </c>
      <c r="AB874" s="45" t="str">
        <f aca="false">IF($D874="","",IF($F874&lt;&gt;"",$F874,$D874)&amp;IF($B874="상담중"," (상담)",""))</f>
        <v/>
      </c>
      <c r="AC874" s="45" t="n">
        <f aca="false">IF(AND($D874&lt;&gt;"",OR($B874="결제완료",$B874="상담중")),1,0)</f>
        <v>0</v>
      </c>
      <c r="AD874" s="45" t="n">
        <f aca="false">IF(OR($Z874="",$U874=""),0,IFERROR(IF(COUNTIFS(INDEX(g_grid,0,2*MATCH($M874,강사DB!$A$4:$A$15,0)),"&lt;&gt;",g_s,"&lt;="&amp;$U874,g_e,"&gt;="&amp;$U874)&gt;0,1,0),0))</f>
        <v>0</v>
      </c>
      <c r="AE874" s="48"/>
      <c r="AF874" s="56" t="str">
        <f aca="false">IF(AND($D874&lt;&gt;"",$B874="결제완료",$T874="대여"),설정!$J$5,"")</f>
        <v/>
      </c>
      <c r="AG874" s="54" t="str">
        <f aca="false">IF($D874="","",IF(AND($E874="",$R874=""),$AB874,"☎ "&amp;IF($E874="","-",$E874)&amp;IF($R874&lt;&gt;"","  ※ "&amp;$R874,"")&amp;IF($B874="상담중"," (상담)","")))</f>
        <v/>
      </c>
      <c r="AH874" s="56" t="str">
        <f aca="false">IF(AND($D874&lt;&gt;"",$B874="결제완료",$O874="스마트스토어"),ROUND(N($N874)*설정!$J$6,0),"")</f>
        <v/>
      </c>
      <c r="AI874" s="54" t="str">
        <f aca="false">IF($D874="","",ROW())</f>
        <v/>
      </c>
      <c r="AJ874" s="54" t="n">
        <f aca="false">IF(OR($AC874&lt;&gt;1,$M874=""),0,IF(ISNUMBER(SEARCH("퇴사",IFERROR(INDEX(강사DB!$G$4:$G$53,MATCH($M874,강사DB!$A$4:$A$53,0)),""))),1,0))</f>
        <v>0</v>
      </c>
    </row>
    <row r="875" customFormat="false" ht="15" hidden="false" customHeight="false" outlineLevel="0" collapsed="false">
      <c r="A875" s="45" t="str">
        <f aca="false">IF($D875="","",COUNTA($D$5:$D875))</f>
        <v/>
      </c>
      <c r="B875" s="46"/>
      <c r="C875" s="47"/>
      <c r="D875" s="48"/>
      <c r="E875" s="48"/>
      <c r="F875" s="49"/>
      <c r="G875" s="47"/>
      <c r="H875" s="50"/>
      <c r="I875" s="50"/>
      <c r="J875" s="51" t="str">
        <f aca="false">IF(OR($V875="",$W875=""),"",ROUND(($W875-$V875)/60,2))</f>
        <v/>
      </c>
      <c r="K875" s="52" t="str">
        <f aca="false">IF($F875="","",LEN($F875)-LEN(SUBSTITUTE($F875,",",""))+1)</f>
        <v/>
      </c>
      <c r="L875" s="45" t="str">
        <f aca="false">IF($K875="","","1:"&amp;$K875)</f>
        <v/>
      </c>
      <c r="M875" s="46"/>
      <c r="N875" s="53"/>
      <c r="O875" s="46"/>
      <c r="P875" s="47"/>
      <c r="Q875" s="48"/>
      <c r="R875" s="49"/>
      <c r="S875" s="54" t="str">
        <f aca="false">IF(OR($AC875=0,$U875="",$M875="",$V875="",$W875=""),"",IF(COUNTIFS(m_teacher,$M875,m_date,$U875,m_active,1,m_start,"&lt;"&amp;$W875,m_end,"&gt;"&amp;$V875)&gt;1,"충돌",""))</f>
        <v/>
      </c>
      <c r="T875" s="48"/>
      <c r="U875" s="55" t="str">
        <f aca="false">IF($G875="","",IFERROR(IF(ISNUMBER($G875),IF($G875&gt;19000000,DATE(INT($G875/10000),MOD(INT($G875/100),100),MOD($G875,100)),INT($G875)),IF(LEN(SUBSTITUTE(SUBSTITUTE(SUBSTITUTE(TRIM($G875),"-",""),".",""),"/",""))=8,DATE(VALUE(LEFT(SUBSTITUTE(SUBSTITUTE(SUBSTITUTE(TRIM($G875),"-",""),".",""),"/",""),4)),VALUE(MID(SUBSTITUTE(SUBSTITUTE(SUBSTITUTE(TRIM($G875),"-",""),".",""),"/",""),5,2)),VALUE(RIGHT(SUBSTITUTE(SUBSTITUTE(SUBSTITUTE(TRIM($G875),"-",""),".",""),"/",""),2))),DATEVALUE($G875))),""))</f>
        <v/>
      </c>
      <c r="V875" s="52" t="str">
        <f aca="false">IF($H875="","",IFERROR(IF(IF(ISNUMBER($H875),$H875,IFERROR(TIMEVALUE($H875),VALUE($H875)))&gt;=100,INT(IF(ISNUMBER($H875),$H875,IFERROR(TIMEVALUE($H875),VALUE($H875)))/100)*60+MOD(IF(ISNUMBER($H875),$H875,IFERROR(TIMEVALUE($H875),VALUE($H875))),100),IF(IF(ISNUMBER($H875),$H875,IFERROR(TIMEVALUE($H875),VALUE($H875)))&gt;=1,ROUND(IF(ISNUMBER($H875),$H875,IFERROR(TIMEVALUE($H875),VALUE($H875)))*60,0),ROUND(MOD(IF(ISNUMBER($H875),$H875,IFERROR(TIMEVALUE($H875),VALUE($H875))),1)*1440,0))),""))</f>
        <v/>
      </c>
      <c r="W875" s="52" t="str">
        <f aca="false">IF($I875="","",IFERROR(IF(IF(ISNUMBER($I875),$I875,IFERROR(TIMEVALUE($I875),VALUE($I875)))&gt;=100,INT(IF(ISNUMBER($I875),$I875,IFERROR(TIMEVALUE($I875),VALUE($I875)))/100)*60+MOD(IF(ISNUMBER($I875),$I875,IFERROR(TIMEVALUE($I875),VALUE($I875))),100),IF(IF(ISNUMBER($I875),$I875,IFERROR(TIMEVALUE($I875),VALUE($I875)))&gt;=1,ROUND(IF(ISNUMBER($I875),$I875,IFERROR(TIMEVALUE($I875),VALUE($I875)))*60,0),ROUND(MOD(IF(ISNUMBER($I875),$I875,IFERROR(TIMEVALUE($I875),VALUE($I875))),1)*1440,0))),""))</f>
        <v/>
      </c>
      <c r="X875" s="55" t="str">
        <f aca="false">IF($P875="","",IFERROR(IF(ISNUMBER($P875),IF($P875&gt;19000000,DATE(INT($P875/10000),MOD(INT($P875/100),100),MOD($P875,100)),INT($P875)),IF(LEN(SUBSTITUTE(SUBSTITUTE(SUBSTITUTE(TRIM($P875),"-",""),".",""),"/",""))=8,DATE(VALUE(LEFT(SUBSTITUTE(SUBSTITUTE(SUBSTITUTE(TRIM($P875),"-",""),".",""),"/",""),4)),VALUE(MID(SUBSTITUTE(SUBSTITUTE(SUBSTITUTE(TRIM($P875),"-",""),".",""),"/",""),5,2)),VALUE(RIGHT(SUBSTITUTE(SUBSTITUTE(SUBSTITUTE(TRIM($P875),"-",""),".",""),"/",""),2))),DATEVALUE($P875))),""))</f>
        <v/>
      </c>
      <c r="Y875" s="56" t="str">
        <f aca="false">IF($M875="","",IFERROR(INDEX(강사DB!$D$4:$D$53,MATCH($M875,강사DB!$A$4:$A$53,0)),""))</f>
        <v/>
      </c>
      <c r="Z875" s="56" t="str">
        <f aca="false">IF($B875&lt;&gt;"결제완료","",IF(OR($Y875="",$J875=""),"",$Y875*$J875+MAX(0,N($K875)-1)*설정!$J$7))</f>
        <v/>
      </c>
      <c r="AA875" s="56" t="str">
        <f aca="false">IF(AND($D875&lt;&gt;"",$B875="결제완료"),N($N875),"")</f>
        <v/>
      </c>
      <c r="AB875" s="45" t="str">
        <f aca="false">IF($D875="","",IF($F875&lt;&gt;"",$F875,$D875)&amp;IF($B875="상담중"," (상담)",""))</f>
        <v/>
      </c>
      <c r="AC875" s="45" t="n">
        <f aca="false">IF(AND($D875&lt;&gt;"",OR($B875="결제완료",$B875="상담중")),1,0)</f>
        <v>0</v>
      </c>
      <c r="AD875" s="45" t="n">
        <f aca="false">IF(OR($Z875="",$U875=""),0,IFERROR(IF(COUNTIFS(INDEX(g_grid,0,2*MATCH($M875,강사DB!$A$4:$A$15,0)),"&lt;&gt;",g_s,"&lt;="&amp;$U875,g_e,"&gt;="&amp;$U875)&gt;0,1,0),0))</f>
        <v>0</v>
      </c>
      <c r="AE875" s="48"/>
      <c r="AF875" s="56" t="str">
        <f aca="false">IF(AND($D875&lt;&gt;"",$B875="결제완료",$T875="대여"),설정!$J$5,"")</f>
        <v/>
      </c>
      <c r="AG875" s="54" t="str">
        <f aca="false">IF($D875="","",IF(AND($E875="",$R875=""),$AB875,"☎ "&amp;IF($E875="","-",$E875)&amp;IF($R875&lt;&gt;"","  ※ "&amp;$R875,"")&amp;IF($B875="상담중"," (상담)","")))</f>
        <v/>
      </c>
      <c r="AH875" s="56" t="str">
        <f aca="false">IF(AND($D875&lt;&gt;"",$B875="결제완료",$O875="스마트스토어"),ROUND(N($N875)*설정!$J$6,0),"")</f>
        <v/>
      </c>
      <c r="AI875" s="54" t="str">
        <f aca="false">IF($D875="","",ROW())</f>
        <v/>
      </c>
      <c r="AJ875" s="54" t="n">
        <f aca="false">IF(OR($AC875&lt;&gt;1,$M875=""),0,IF(ISNUMBER(SEARCH("퇴사",IFERROR(INDEX(강사DB!$G$4:$G$53,MATCH($M875,강사DB!$A$4:$A$53,0)),""))),1,0))</f>
        <v>0</v>
      </c>
    </row>
    <row r="876" customFormat="false" ht="15" hidden="false" customHeight="false" outlineLevel="0" collapsed="false">
      <c r="A876" s="45" t="str">
        <f aca="false">IF($D876="","",COUNTA($D$5:$D876))</f>
        <v/>
      </c>
      <c r="B876" s="46"/>
      <c r="C876" s="47"/>
      <c r="D876" s="48"/>
      <c r="E876" s="48"/>
      <c r="F876" s="49"/>
      <c r="G876" s="47"/>
      <c r="H876" s="50"/>
      <c r="I876" s="50"/>
      <c r="J876" s="51" t="str">
        <f aca="false">IF(OR($V876="",$W876=""),"",ROUND(($W876-$V876)/60,2))</f>
        <v/>
      </c>
      <c r="K876" s="52" t="str">
        <f aca="false">IF($F876="","",LEN($F876)-LEN(SUBSTITUTE($F876,",",""))+1)</f>
        <v/>
      </c>
      <c r="L876" s="45" t="str">
        <f aca="false">IF($K876="","","1:"&amp;$K876)</f>
        <v/>
      </c>
      <c r="M876" s="46"/>
      <c r="N876" s="53"/>
      <c r="O876" s="46"/>
      <c r="P876" s="47"/>
      <c r="Q876" s="48"/>
      <c r="R876" s="49"/>
      <c r="S876" s="54" t="str">
        <f aca="false">IF(OR($AC876=0,$U876="",$M876="",$V876="",$W876=""),"",IF(COUNTIFS(m_teacher,$M876,m_date,$U876,m_active,1,m_start,"&lt;"&amp;$W876,m_end,"&gt;"&amp;$V876)&gt;1,"충돌",""))</f>
        <v/>
      </c>
      <c r="T876" s="48"/>
      <c r="U876" s="55" t="str">
        <f aca="false">IF($G876="","",IFERROR(IF(ISNUMBER($G876),IF($G876&gt;19000000,DATE(INT($G876/10000),MOD(INT($G876/100),100),MOD($G876,100)),INT($G876)),IF(LEN(SUBSTITUTE(SUBSTITUTE(SUBSTITUTE(TRIM($G876),"-",""),".",""),"/",""))=8,DATE(VALUE(LEFT(SUBSTITUTE(SUBSTITUTE(SUBSTITUTE(TRIM($G876),"-",""),".",""),"/",""),4)),VALUE(MID(SUBSTITUTE(SUBSTITUTE(SUBSTITUTE(TRIM($G876),"-",""),".",""),"/",""),5,2)),VALUE(RIGHT(SUBSTITUTE(SUBSTITUTE(SUBSTITUTE(TRIM($G876),"-",""),".",""),"/",""),2))),DATEVALUE($G876))),""))</f>
        <v/>
      </c>
      <c r="V876" s="52" t="str">
        <f aca="false">IF($H876="","",IFERROR(IF(IF(ISNUMBER($H876),$H876,IFERROR(TIMEVALUE($H876),VALUE($H876)))&gt;=100,INT(IF(ISNUMBER($H876),$H876,IFERROR(TIMEVALUE($H876),VALUE($H876)))/100)*60+MOD(IF(ISNUMBER($H876),$H876,IFERROR(TIMEVALUE($H876),VALUE($H876))),100),IF(IF(ISNUMBER($H876),$H876,IFERROR(TIMEVALUE($H876),VALUE($H876)))&gt;=1,ROUND(IF(ISNUMBER($H876),$H876,IFERROR(TIMEVALUE($H876),VALUE($H876)))*60,0),ROUND(MOD(IF(ISNUMBER($H876),$H876,IFERROR(TIMEVALUE($H876),VALUE($H876))),1)*1440,0))),""))</f>
        <v/>
      </c>
      <c r="W876" s="52" t="str">
        <f aca="false">IF($I876="","",IFERROR(IF(IF(ISNUMBER($I876),$I876,IFERROR(TIMEVALUE($I876),VALUE($I876)))&gt;=100,INT(IF(ISNUMBER($I876),$I876,IFERROR(TIMEVALUE($I876),VALUE($I876)))/100)*60+MOD(IF(ISNUMBER($I876),$I876,IFERROR(TIMEVALUE($I876),VALUE($I876))),100),IF(IF(ISNUMBER($I876),$I876,IFERROR(TIMEVALUE($I876),VALUE($I876)))&gt;=1,ROUND(IF(ISNUMBER($I876),$I876,IFERROR(TIMEVALUE($I876),VALUE($I876)))*60,0),ROUND(MOD(IF(ISNUMBER($I876),$I876,IFERROR(TIMEVALUE($I876),VALUE($I876))),1)*1440,0))),""))</f>
        <v/>
      </c>
      <c r="X876" s="55" t="str">
        <f aca="false">IF($P876="","",IFERROR(IF(ISNUMBER($P876),IF($P876&gt;19000000,DATE(INT($P876/10000),MOD(INT($P876/100),100),MOD($P876,100)),INT($P876)),IF(LEN(SUBSTITUTE(SUBSTITUTE(SUBSTITUTE(TRIM($P876),"-",""),".",""),"/",""))=8,DATE(VALUE(LEFT(SUBSTITUTE(SUBSTITUTE(SUBSTITUTE(TRIM($P876),"-",""),".",""),"/",""),4)),VALUE(MID(SUBSTITUTE(SUBSTITUTE(SUBSTITUTE(TRIM($P876),"-",""),".",""),"/",""),5,2)),VALUE(RIGHT(SUBSTITUTE(SUBSTITUTE(SUBSTITUTE(TRIM($P876),"-",""),".",""),"/",""),2))),DATEVALUE($P876))),""))</f>
        <v/>
      </c>
      <c r="Y876" s="56" t="str">
        <f aca="false">IF($M876="","",IFERROR(INDEX(강사DB!$D$4:$D$53,MATCH($M876,강사DB!$A$4:$A$53,0)),""))</f>
        <v/>
      </c>
      <c r="Z876" s="56" t="str">
        <f aca="false">IF($B876&lt;&gt;"결제완료","",IF(OR($Y876="",$J876=""),"",$Y876*$J876+MAX(0,N($K876)-1)*설정!$J$7))</f>
        <v/>
      </c>
      <c r="AA876" s="56" t="str">
        <f aca="false">IF(AND($D876&lt;&gt;"",$B876="결제완료"),N($N876),"")</f>
        <v/>
      </c>
      <c r="AB876" s="45" t="str">
        <f aca="false">IF($D876="","",IF($F876&lt;&gt;"",$F876,$D876)&amp;IF($B876="상담중"," (상담)",""))</f>
        <v/>
      </c>
      <c r="AC876" s="45" t="n">
        <f aca="false">IF(AND($D876&lt;&gt;"",OR($B876="결제완료",$B876="상담중")),1,0)</f>
        <v>0</v>
      </c>
      <c r="AD876" s="45" t="n">
        <f aca="false">IF(OR($Z876="",$U876=""),0,IFERROR(IF(COUNTIFS(INDEX(g_grid,0,2*MATCH($M876,강사DB!$A$4:$A$15,0)),"&lt;&gt;",g_s,"&lt;="&amp;$U876,g_e,"&gt;="&amp;$U876)&gt;0,1,0),0))</f>
        <v>0</v>
      </c>
      <c r="AE876" s="48"/>
      <c r="AF876" s="56" t="str">
        <f aca="false">IF(AND($D876&lt;&gt;"",$B876="결제완료",$T876="대여"),설정!$J$5,"")</f>
        <v/>
      </c>
      <c r="AG876" s="54" t="str">
        <f aca="false">IF($D876="","",IF(AND($E876="",$R876=""),$AB876,"☎ "&amp;IF($E876="","-",$E876)&amp;IF($R876&lt;&gt;"","  ※ "&amp;$R876,"")&amp;IF($B876="상담중"," (상담)","")))</f>
        <v/>
      </c>
      <c r="AH876" s="56" t="str">
        <f aca="false">IF(AND($D876&lt;&gt;"",$B876="결제완료",$O876="스마트스토어"),ROUND(N($N876)*설정!$J$6,0),"")</f>
        <v/>
      </c>
      <c r="AI876" s="54" t="str">
        <f aca="false">IF($D876="","",ROW())</f>
        <v/>
      </c>
      <c r="AJ876" s="54" t="n">
        <f aca="false">IF(OR($AC876&lt;&gt;1,$M876=""),0,IF(ISNUMBER(SEARCH("퇴사",IFERROR(INDEX(강사DB!$G$4:$G$53,MATCH($M876,강사DB!$A$4:$A$53,0)),""))),1,0))</f>
        <v>0</v>
      </c>
    </row>
    <row r="877" customFormat="false" ht="15" hidden="false" customHeight="false" outlineLevel="0" collapsed="false">
      <c r="A877" s="45" t="str">
        <f aca="false">IF($D877="","",COUNTA($D$5:$D877))</f>
        <v/>
      </c>
      <c r="B877" s="46"/>
      <c r="C877" s="47"/>
      <c r="D877" s="48"/>
      <c r="E877" s="48"/>
      <c r="F877" s="49"/>
      <c r="G877" s="47"/>
      <c r="H877" s="50"/>
      <c r="I877" s="50"/>
      <c r="J877" s="51" t="str">
        <f aca="false">IF(OR($V877="",$W877=""),"",ROUND(($W877-$V877)/60,2))</f>
        <v/>
      </c>
      <c r="K877" s="52" t="str">
        <f aca="false">IF($F877="","",LEN($F877)-LEN(SUBSTITUTE($F877,",",""))+1)</f>
        <v/>
      </c>
      <c r="L877" s="45" t="str">
        <f aca="false">IF($K877="","","1:"&amp;$K877)</f>
        <v/>
      </c>
      <c r="M877" s="46"/>
      <c r="N877" s="53"/>
      <c r="O877" s="46"/>
      <c r="P877" s="47"/>
      <c r="Q877" s="48"/>
      <c r="R877" s="49"/>
      <c r="S877" s="54" t="str">
        <f aca="false">IF(OR($AC877=0,$U877="",$M877="",$V877="",$W877=""),"",IF(COUNTIFS(m_teacher,$M877,m_date,$U877,m_active,1,m_start,"&lt;"&amp;$W877,m_end,"&gt;"&amp;$V877)&gt;1,"충돌",""))</f>
        <v/>
      </c>
      <c r="T877" s="48"/>
      <c r="U877" s="55" t="str">
        <f aca="false">IF($G877="","",IFERROR(IF(ISNUMBER($G877),IF($G877&gt;19000000,DATE(INT($G877/10000),MOD(INT($G877/100),100),MOD($G877,100)),INT($G877)),IF(LEN(SUBSTITUTE(SUBSTITUTE(SUBSTITUTE(TRIM($G877),"-",""),".",""),"/",""))=8,DATE(VALUE(LEFT(SUBSTITUTE(SUBSTITUTE(SUBSTITUTE(TRIM($G877),"-",""),".",""),"/",""),4)),VALUE(MID(SUBSTITUTE(SUBSTITUTE(SUBSTITUTE(TRIM($G877),"-",""),".",""),"/",""),5,2)),VALUE(RIGHT(SUBSTITUTE(SUBSTITUTE(SUBSTITUTE(TRIM($G877),"-",""),".",""),"/",""),2))),DATEVALUE($G877))),""))</f>
        <v/>
      </c>
      <c r="V877" s="52" t="str">
        <f aca="false">IF($H877="","",IFERROR(IF(IF(ISNUMBER($H877),$H877,IFERROR(TIMEVALUE($H877),VALUE($H877)))&gt;=100,INT(IF(ISNUMBER($H877),$H877,IFERROR(TIMEVALUE($H877),VALUE($H877)))/100)*60+MOD(IF(ISNUMBER($H877),$H877,IFERROR(TIMEVALUE($H877),VALUE($H877))),100),IF(IF(ISNUMBER($H877),$H877,IFERROR(TIMEVALUE($H877),VALUE($H877)))&gt;=1,ROUND(IF(ISNUMBER($H877),$H877,IFERROR(TIMEVALUE($H877),VALUE($H877)))*60,0),ROUND(MOD(IF(ISNUMBER($H877),$H877,IFERROR(TIMEVALUE($H877),VALUE($H877))),1)*1440,0))),""))</f>
        <v/>
      </c>
      <c r="W877" s="52" t="str">
        <f aca="false">IF($I877="","",IFERROR(IF(IF(ISNUMBER($I877),$I877,IFERROR(TIMEVALUE($I877),VALUE($I877)))&gt;=100,INT(IF(ISNUMBER($I877),$I877,IFERROR(TIMEVALUE($I877),VALUE($I877)))/100)*60+MOD(IF(ISNUMBER($I877),$I877,IFERROR(TIMEVALUE($I877),VALUE($I877))),100),IF(IF(ISNUMBER($I877),$I877,IFERROR(TIMEVALUE($I877),VALUE($I877)))&gt;=1,ROUND(IF(ISNUMBER($I877),$I877,IFERROR(TIMEVALUE($I877),VALUE($I877)))*60,0),ROUND(MOD(IF(ISNUMBER($I877),$I877,IFERROR(TIMEVALUE($I877),VALUE($I877))),1)*1440,0))),""))</f>
        <v/>
      </c>
      <c r="X877" s="55" t="str">
        <f aca="false">IF($P877="","",IFERROR(IF(ISNUMBER($P877),IF($P877&gt;19000000,DATE(INT($P877/10000),MOD(INT($P877/100),100),MOD($P877,100)),INT($P877)),IF(LEN(SUBSTITUTE(SUBSTITUTE(SUBSTITUTE(TRIM($P877),"-",""),".",""),"/",""))=8,DATE(VALUE(LEFT(SUBSTITUTE(SUBSTITUTE(SUBSTITUTE(TRIM($P877),"-",""),".",""),"/",""),4)),VALUE(MID(SUBSTITUTE(SUBSTITUTE(SUBSTITUTE(TRIM($P877),"-",""),".",""),"/",""),5,2)),VALUE(RIGHT(SUBSTITUTE(SUBSTITUTE(SUBSTITUTE(TRIM($P877),"-",""),".",""),"/",""),2))),DATEVALUE($P877))),""))</f>
        <v/>
      </c>
      <c r="Y877" s="56" t="str">
        <f aca="false">IF($M877="","",IFERROR(INDEX(강사DB!$D$4:$D$53,MATCH($M877,강사DB!$A$4:$A$53,0)),""))</f>
        <v/>
      </c>
      <c r="Z877" s="56" t="str">
        <f aca="false">IF($B877&lt;&gt;"결제완료","",IF(OR($Y877="",$J877=""),"",$Y877*$J877+MAX(0,N($K877)-1)*설정!$J$7))</f>
        <v/>
      </c>
      <c r="AA877" s="56" t="str">
        <f aca="false">IF(AND($D877&lt;&gt;"",$B877="결제완료"),N($N877),"")</f>
        <v/>
      </c>
      <c r="AB877" s="45" t="str">
        <f aca="false">IF($D877="","",IF($F877&lt;&gt;"",$F877,$D877)&amp;IF($B877="상담중"," (상담)",""))</f>
        <v/>
      </c>
      <c r="AC877" s="45" t="n">
        <f aca="false">IF(AND($D877&lt;&gt;"",OR($B877="결제완료",$B877="상담중")),1,0)</f>
        <v>0</v>
      </c>
      <c r="AD877" s="45" t="n">
        <f aca="false">IF(OR($Z877="",$U877=""),0,IFERROR(IF(COUNTIFS(INDEX(g_grid,0,2*MATCH($M877,강사DB!$A$4:$A$15,0)),"&lt;&gt;",g_s,"&lt;="&amp;$U877,g_e,"&gt;="&amp;$U877)&gt;0,1,0),0))</f>
        <v>0</v>
      </c>
      <c r="AE877" s="48"/>
      <c r="AF877" s="56" t="str">
        <f aca="false">IF(AND($D877&lt;&gt;"",$B877="결제완료",$T877="대여"),설정!$J$5,"")</f>
        <v/>
      </c>
      <c r="AG877" s="54" t="str">
        <f aca="false">IF($D877="","",IF(AND($E877="",$R877=""),$AB877,"☎ "&amp;IF($E877="","-",$E877)&amp;IF($R877&lt;&gt;"","  ※ "&amp;$R877,"")&amp;IF($B877="상담중"," (상담)","")))</f>
        <v/>
      </c>
      <c r="AH877" s="56" t="str">
        <f aca="false">IF(AND($D877&lt;&gt;"",$B877="결제완료",$O877="스마트스토어"),ROUND(N($N877)*설정!$J$6,0),"")</f>
        <v/>
      </c>
      <c r="AI877" s="54" t="str">
        <f aca="false">IF($D877="","",ROW())</f>
        <v/>
      </c>
      <c r="AJ877" s="54" t="n">
        <f aca="false">IF(OR($AC877&lt;&gt;1,$M877=""),0,IF(ISNUMBER(SEARCH("퇴사",IFERROR(INDEX(강사DB!$G$4:$G$53,MATCH($M877,강사DB!$A$4:$A$53,0)),""))),1,0))</f>
        <v>0</v>
      </c>
    </row>
    <row r="878" customFormat="false" ht="15" hidden="false" customHeight="false" outlineLevel="0" collapsed="false">
      <c r="A878" s="45" t="str">
        <f aca="false">IF($D878="","",COUNTA($D$5:$D878))</f>
        <v/>
      </c>
      <c r="B878" s="46"/>
      <c r="C878" s="47"/>
      <c r="D878" s="48"/>
      <c r="E878" s="48"/>
      <c r="F878" s="49"/>
      <c r="G878" s="47"/>
      <c r="H878" s="50"/>
      <c r="I878" s="50"/>
      <c r="J878" s="51" t="str">
        <f aca="false">IF(OR($V878="",$W878=""),"",ROUND(($W878-$V878)/60,2))</f>
        <v/>
      </c>
      <c r="K878" s="52" t="str">
        <f aca="false">IF($F878="","",LEN($F878)-LEN(SUBSTITUTE($F878,",",""))+1)</f>
        <v/>
      </c>
      <c r="L878" s="45" t="str">
        <f aca="false">IF($K878="","","1:"&amp;$K878)</f>
        <v/>
      </c>
      <c r="M878" s="46"/>
      <c r="N878" s="53"/>
      <c r="O878" s="46"/>
      <c r="P878" s="47"/>
      <c r="Q878" s="48"/>
      <c r="R878" s="49"/>
      <c r="S878" s="54" t="str">
        <f aca="false">IF(OR($AC878=0,$U878="",$M878="",$V878="",$W878=""),"",IF(COUNTIFS(m_teacher,$M878,m_date,$U878,m_active,1,m_start,"&lt;"&amp;$W878,m_end,"&gt;"&amp;$V878)&gt;1,"충돌",""))</f>
        <v/>
      </c>
      <c r="T878" s="48"/>
      <c r="U878" s="55" t="str">
        <f aca="false">IF($G878="","",IFERROR(IF(ISNUMBER($G878),IF($G878&gt;19000000,DATE(INT($G878/10000),MOD(INT($G878/100),100),MOD($G878,100)),INT($G878)),IF(LEN(SUBSTITUTE(SUBSTITUTE(SUBSTITUTE(TRIM($G878),"-",""),".",""),"/",""))=8,DATE(VALUE(LEFT(SUBSTITUTE(SUBSTITUTE(SUBSTITUTE(TRIM($G878),"-",""),".",""),"/",""),4)),VALUE(MID(SUBSTITUTE(SUBSTITUTE(SUBSTITUTE(TRIM($G878),"-",""),".",""),"/",""),5,2)),VALUE(RIGHT(SUBSTITUTE(SUBSTITUTE(SUBSTITUTE(TRIM($G878),"-",""),".",""),"/",""),2))),DATEVALUE($G878))),""))</f>
        <v/>
      </c>
      <c r="V878" s="52" t="str">
        <f aca="false">IF($H878="","",IFERROR(IF(IF(ISNUMBER($H878),$H878,IFERROR(TIMEVALUE($H878),VALUE($H878)))&gt;=100,INT(IF(ISNUMBER($H878),$H878,IFERROR(TIMEVALUE($H878),VALUE($H878)))/100)*60+MOD(IF(ISNUMBER($H878),$H878,IFERROR(TIMEVALUE($H878),VALUE($H878))),100),IF(IF(ISNUMBER($H878),$H878,IFERROR(TIMEVALUE($H878),VALUE($H878)))&gt;=1,ROUND(IF(ISNUMBER($H878),$H878,IFERROR(TIMEVALUE($H878),VALUE($H878)))*60,0),ROUND(MOD(IF(ISNUMBER($H878),$H878,IFERROR(TIMEVALUE($H878),VALUE($H878))),1)*1440,0))),""))</f>
        <v/>
      </c>
      <c r="W878" s="52" t="str">
        <f aca="false">IF($I878="","",IFERROR(IF(IF(ISNUMBER($I878),$I878,IFERROR(TIMEVALUE($I878),VALUE($I878)))&gt;=100,INT(IF(ISNUMBER($I878),$I878,IFERROR(TIMEVALUE($I878),VALUE($I878)))/100)*60+MOD(IF(ISNUMBER($I878),$I878,IFERROR(TIMEVALUE($I878),VALUE($I878))),100),IF(IF(ISNUMBER($I878),$I878,IFERROR(TIMEVALUE($I878),VALUE($I878)))&gt;=1,ROUND(IF(ISNUMBER($I878),$I878,IFERROR(TIMEVALUE($I878),VALUE($I878)))*60,0),ROUND(MOD(IF(ISNUMBER($I878),$I878,IFERROR(TIMEVALUE($I878),VALUE($I878))),1)*1440,0))),""))</f>
        <v/>
      </c>
      <c r="X878" s="55" t="str">
        <f aca="false">IF($P878="","",IFERROR(IF(ISNUMBER($P878),IF($P878&gt;19000000,DATE(INT($P878/10000),MOD(INT($P878/100),100),MOD($P878,100)),INT($P878)),IF(LEN(SUBSTITUTE(SUBSTITUTE(SUBSTITUTE(TRIM($P878),"-",""),".",""),"/",""))=8,DATE(VALUE(LEFT(SUBSTITUTE(SUBSTITUTE(SUBSTITUTE(TRIM($P878),"-",""),".",""),"/",""),4)),VALUE(MID(SUBSTITUTE(SUBSTITUTE(SUBSTITUTE(TRIM($P878),"-",""),".",""),"/",""),5,2)),VALUE(RIGHT(SUBSTITUTE(SUBSTITUTE(SUBSTITUTE(TRIM($P878),"-",""),".",""),"/",""),2))),DATEVALUE($P878))),""))</f>
        <v/>
      </c>
      <c r="Y878" s="56" t="str">
        <f aca="false">IF($M878="","",IFERROR(INDEX(강사DB!$D$4:$D$53,MATCH($M878,강사DB!$A$4:$A$53,0)),""))</f>
        <v/>
      </c>
      <c r="Z878" s="56" t="str">
        <f aca="false">IF($B878&lt;&gt;"결제완료","",IF(OR($Y878="",$J878=""),"",$Y878*$J878+MAX(0,N($K878)-1)*설정!$J$7))</f>
        <v/>
      </c>
      <c r="AA878" s="56" t="str">
        <f aca="false">IF(AND($D878&lt;&gt;"",$B878="결제완료"),N($N878),"")</f>
        <v/>
      </c>
      <c r="AB878" s="45" t="str">
        <f aca="false">IF($D878="","",IF($F878&lt;&gt;"",$F878,$D878)&amp;IF($B878="상담중"," (상담)",""))</f>
        <v/>
      </c>
      <c r="AC878" s="45" t="n">
        <f aca="false">IF(AND($D878&lt;&gt;"",OR($B878="결제완료",$B878="상담중")),1,0)</f>
        <v>0</v>
      </c>
      <c r="AD878" s="45" t="n">
        <f aca="false">IF(OR($Z878="",$U878=""),0,IFERROR(IF(COUNTIFS(INDEX(g_grid,0,2*MATCH($M878,강사DB!$A$4:$A$15,0)),"&lt;&gt;",g_s,"&lt;="&amp;$U878,g_e,"&gt;="&amp;$U878)&gt;0,1,0),0))</f>
        <v>0</v>
      </c>
      <c r="AE878" s="48"/>
      <c r="AF878" s="56" t="str">
        <f aca="false">IF(AND($D878&lt;&gt;"",$B878="결제완료",$T878="대여"),설정!$J$5,"")</f>
        <v/>
      </c>
      <c r="AG878" s="54" t="str">
        <f aca="false">IF($D878="","",IF(AND($E878="",$R878=""),$AB878,"☎ "&amp;IF($E878="","-",$E878)&amp;IF($R878&lt;&gt;"","  ※ "&amp;$R878,"")&amp;IF($B878="상담중"," (상담)","")))</f>
        <v/>
      </c>
      <c r="AH878" s="56" t="str">
        <f aca="false">IF(AND($D878&lt;&gt;"",$B878="결제완료",$O878="스마트스토어"),ROUND(N($N878)*설정!$J$6,0),"")</f>
        <v/>
      </c>
      <c r="AI878" s="54" t="str">
        <f aca="false">IF($D878="","",ROW())</f>
        <v/>
      </c>
      <c r="AJ878" s="54" t="n">
        <f aca="false">IF(OR($AC878&lt;&gt;1,$M878=""),0,IF(ISNUMBER(SEARCH("퇴사",IFERROR(INDEX(강사DB!$G$4:$G$53,MATCH($M878,강사DB!$A$4:$A$53,0)),""))),1,0))</f>
        <v>0</v>
      </c>
    </row>
    <row r="879" customFormat="false" ht="15" hidden="false" customHeight="false" outlineLevel="0" collapsed="false">
      <c r="A879" s="45" t="str">
        <f aca="false">IF($D879="","",COUNTA($D$5:$D879))</f>
        <v/>
      </c>
      <c r="B879" s="46"/>
      <c r="C879" s="47"/>
      <c r="D879" s="48"/>
      <c r="E879" s="48"/>
      <c r="F879" s="49"/>
      <c r="G879" s="47"/>
      <c r="H879" s="50"/>
      <c r="I879" s="50"/>
      <c r="J879" s="51" t="str">
        <f aca="false">IF(OR($V879="",$W879=""),"",ROUND(($W879-$V879)/60,2))</f>
        <v/>
      </c>
      <c r="K879" s="52" t="str">
        <f aca="false">IF($F879="","",LEN($F879)-LEN(SUBSTITUTE($F879,",",""))+1)</f>
        <v/>
      </c>
      <c r="L879" s="45" t="str">
        <f aca="false">IF($K879="","","1:"&amp;$K879)</f>
        <v/>
      </c>
      <c r="M879" s="46"/>
      <c r="N879" s="53"/>
      <c r="O879" s="46"/>
      <c r="P879" s="47"/>
      <c r="Q879" s="48"/>
      <c r="R879" s="49"/>
      <c r="S879" s="54" t="str">
        <f aca="false">IF(OR($AC879=0,$U879="",$M879="",$V879="",$W879=""),"",IF(COUNTIFS(m_teacher,$M879,m_date,$U879,m_active,1,m_start,"&lt;"&amp;$W879,m_end,"&gt;"&amp;$V879)&gt;1,"충돌",""))</f>
        <v/>
      </c>
      <c r="T879" s="48"/>
      <c r="U879" s="55" t="str">
        <f aca="false">IF($G879="","",IFERROR(IF(ISNUMBER($G879),IF($G879&gt;19000000,DATE(INT($G879/10000),MOD(INT($G879/100),100),MOD($G879,100)),INT($G879)),IF(LEN(SUBSTITUTE(SUBSTITUTE(SUBSTITUTE(TRIM($G879),"-",""),".",""),"/",""))=8,DATE(VALUE(LEFT(SUBSTITUTE(SUBSTITUTE(SUBSTITUTE(TRIM($G879),"-",""),".",""),"/",""),4)),VALUE(MID(SUBSTITUTE(SUBSTITUTE(SUBSTITUTE(TRIM($G879),"-",""),".",""),"/",""),5,2)),VALUE(RIGHT(SUBSTITUTE(SUBSTITUTE(SUBSTITUTE(TRIM($G879),"-",""),".",""),"/",""),2))),DATEVALUE($G879))),""))</f>
        <v/>
      </c>
      <c r="V879" s="52" t="str">
        <f aca="false">IF($H879="","",IFERROR(IF(IF(ISNUMBER($H879),$H879,IFERROR(TIMEVALUE($H879),VALUE($H879)))&gt;=100,INT(IF(ISNUMBER($H879),$H879,IFERROR(TIMEVALUE($H879),VALUE($H879)))/100)*60+MOD(IF(ISNUMBER($H879),$H879,IFERROR(TIMEVALUE($H879),VALUE($H879))),100),IF(IF(ISNUMBER($H879),$H879,IFERROR(TIMEVALUE($H879),VALUE($H879)))&gt;=1,ROUND(IF(ISNUMBER($H879),$H879,IFERROR(TIMEVALUE($H879),VALUE($H879)))*60,0),ROUND(MOD(IF(ISNUMBER($H879),$H879,IFERROR(TIMEVALUE($H879),VALUE($H879))),1)*1440,0))),""))</f>
        <v/>
      </c>
      <c r="W879" s="52" t="str">
        <f aca="false">IF($I879="","",IFERROR(IF(IF(ISNUMBER($I879),$I879,IFERROR(TIMEVALUE($I879),VALUE($I879)))&gt;=100,INT(IF(ISNUMBER($I879),$I879,IFERROR(TIMEVALUE($I879),VALUE($I879)))/100)*60+MOD(IF(ISNUMBER($I879),$I879,IFERROR(TIMEVALUE($I879),VALUE($I879))),100),IF(IF(ISNUMBER($I879),$I879,IFERROR(TIMEVALUE($I879),VALUE($I879)))&gt;=1,ROUND(IF(ISNUMBER($I879),$I879,IFERROR(TIMEVALUE($I879),VALUE($I879)))*60,0),ROUND(MOD(IF(ISNUMBER($I879),$I879,IFERROR(TIMEVALUE($I879),VALUE($I879))),1)*1440,0))),""))</f>
        <v/>
      </c>
      <c r="X879" s="55" t="str">
        <f aca="false">IF($P879="","",IFERROR(IF(ISNUMBER($P879),IF($P879&gt;19000000,DATE(INT($P879/10000),MOD(INT($P879/100),100),MOD($P879,100)),INT($P879)),IF(LEN(SUBSTITUTE(SUBSTITUTE(SUBSTITUTE(TRIM($P879),"-",""),".",""),"/",""))=8,DATE(VALUE(LEFT(SUBSTITUTE(SUBSTITUTE(SUBSTITUTE(TRIM($P879),"-",""),".",""),"/",""),4)),VALUE(MID(SUBSTITUTE(SUBSTITUTE(SUBSTITUTE(TRIM($P879),"-",""),".",""),"/",""),5,2)),VALUE(RIGHT(SUBSTITUTE(SUBSTITUTE(SUBSTITUTE(TRIM($P879),"-",""),".",""),"/",""),2))),DATEVALUE($P879))),""))</f>
        <v/>
      </c>
      <c r="Y879" s="56" t="str">
        <f aca="false">IF($M879="","",IFERROR(INDEX(강사DB!$D$4:$D$53,MATCH($M879,강사DB!$A$4:$A$53,0)),""))</f>
        <v/>
      </c>
      <c r="Z879" s="56" t="str">
        <f aca="false">IF($B879&lt;&gt;"결제완료","",IF(OR($Y879="",$J879=""),"",$Y879*$J879+MAX(0,N($K879)-1)*설정!$J$7))</f>
        <v/>
      </c>
      <c r="AA879" s="56" t="str">
        <f aca="false">IF(AND($D879&lt;&gt;"",$B879="결제완료"),N($N879),"")</f>
        <v/>
      </c>
      <c r="AB879" s="45" t="str">
        <f aca="false">IF($D879="","",IF($F879&lt;&gt;"",$F879,$D879)&amp;IF($B879="상담중"," (상담)",""))</f>
        <v/>
      </c>
      <c r="AC879" s="45" t="n">
        <f aca="false">IF(AND($D879&lt;&gt;"",OR($B879="결제완료",$B879="상담중")),1,0)</f>
        <v>0</v>
      </c>
      <c r="AD879" s="45" t="n">
        <f aca="false">IF(OR($Z879="",$U879=""),0,IFERROR(IF(COUNTIFS(INDEX(g_grid,0,2*MATCH($M879,강사DB!$A$4:$A$15,0)),"&lt;&gt;",g_s,"&lt;="&amp;$U879,g_e,"&gt;="&amp;$U879)&gt;0,1,0),0))</f>
        <v>0</v>
      </c>
      <c r="AE879" s="48"/>
      <c r="AF879" s="56" t="str">
        <f aca="false">IF(AND($D879&lt;&gt;"",$B879="결제완료",$T879="대여"),설정!$J$5,"")</f>
        <v/>
      </c>
      <c r="AG879" s="54" t="str">
        <f aca="false">IF($D879="","",IF(AND($E879="",$R879=""),$AB879,"☎ "&amp;IF($E879="","-",$E879)&amp;IF($R879&lt;&gt;"","  ※ "&amp;$R879,"")&amp;IF($B879="상담중"," (상담)","")))</f>
        <v/>
      </c>
      <c r="AH879" s="56" t="str">
        <f aca="false">IF(AND($D879&lt;&gt;"",$B879="결제완료",$O879="스마트스토어"),ROUND(N($N879)*설정!$J$6,0),"")</f>
        <v/>
      </c>
      <c r="AI879" s="54" t="str">
        <f aca="false">IF($D879="","",ROW())</f>
        <v/>
      </c>
      <c r="AJ879" s="54" t="n">
        <f aca="false">IF(OR($AC879&lt;&gt;1,$M879=""),0,IF(ISNUMBER(SEARCH("퇴사",IFERROR(INDEX(강사DB!$G$4:$G$53,MATCH($M879,강사DB!$A$4:$A$53,0)),""))),1,0))</f>
        <v>0</v>
      </c>
    </row>
    <row r="880" customFormat="false" ht="15" hidden="false" customHeight="false" outlineLevel="0" collapsed="false">
      <c r="A880" s="45" t="str">
        <f aca="false">IF($D880="","",COUNTA($D$5:$D880))</f>
        <v/>
      </c>
      <c r="B880" s="46"/>
      <c r="C880" s="47"/>
      <c r="D880" s="48"/>
      <c r="E880" s="48"/>
      <c r="F880" s="49"/>
      <c r="G880" s="47"/>
      <c r="H880" s="50"/>
      <c r="I880" s="50"/>
      <c r="J880" s="51" t="str">
        <f aca="false">IF(OR($V880="",$W880=""),"",ROUND(($W880-$V880)/60,2))</f>
        <v/>
      </c>
      <c r="K880" s="52" t="str">
        <f aca="false">IF($F880="","",LEN($F880)-LEN(SUBSTITUTE($F880,",",""))+1)</f>
        <v/>
      </c>
      <c r="L880" s="45" t="str">
        <f aca="false">IF($K880="","","1:"&amp;$K880)</f>
        <v/>
      </c>
      <c r="M880" s="46"/>
      <c r="N880" s="53"/>
      <c r="O880" s="46"/>
      <c r="P880" s="47"/>
      <c r="Q880" s="48"/>
      <c r="R880" s="49"/>
      <c r="S880" s="54" t="str">
        <f aca="false">IF(OR($AC880=0,$U880="",$M880="",$V880="",$W880=""),"",IF(COUNTIFS(m_teacher,$M880,m_date,$U880,m_active,1,m_start,"&lt;"&amp;$W880,m_end,"&gt;"&amp;$V880)&gt;1,"충돌",""))</f>
        <v/>
      </c>
      <c r="T880" s="48"/>
      <c r="U880" s="55" t="str">
        <f aca="false">IF($G880="","",IFERROR(IF(ISNUMBER($G880),IF($G880&gt;19000000,DATE(INT($G880/10000),MOD(INT($G880/100),100),MOD($G880,100)),INT($G880)),IF(LEN(SUBSTITUTE(SUBSTITUTE(SUBSTITUTE(TRIM($G880),"-",""),".",""),"/",""))=8,DATE(VALUE(LEFT(SUBSTITUTE(SUBSTITUTE(SUBSTITUTE(TRIM($G880),"-",""),".",""),"/",""),4)),VALUE(MID(SUBSTITUTE(SUBSTITUTE(SUBSTITUTE(TRIM($G880),"-",""),".",""),"/",""),5,2)),VALUE(RIGHT(SUBSTITUTE(SUBSTITUTE(SUBSTITUTE(TRIM($G880),"-",""),".",""),"/",""),2))),DATEVALUE($G880))),""))</f>
        <v/>
      </c>
      <c r="V880" s="52" t="str">
        <f aca="false">IF($H880="","",IFERROR(IF(IF(ISNUMBER($H880),$H880,IFERROR(TIMEVALUE($H880),VALUE($H880)))&gt;=100,INT(IF(ISNUMBER($H880),$H880,IFERROR(TIMEVALUE($H880),VALUE($H880)))/100)*60+MOD(IF(ISNUMBER($H880),$H880,IFERROR(TIMEVALUE($H880),VALUE($H880))),100),IF(IF(ISNUMBER($H880),$H880,IFERROR(TIMEVALUE($H880),VALUE($H880)))&gt;=1,ROUND(IF(ISNUMBER($H880),$H880,IFERROR(TIMEVALUE($H880),VALUE($H880)))*60,0),ROUND(MOD(IF(ISNUMBER($H880),$H880,IFERROR(TIMEVALUE($H880),VALUE($H880))),1)*1440,0))),""))</f>
        <v/>
      </c>
      <c r="W880" s="52" t="str">
        <f aca="false">IF($I880="","",IFERROR(IF(IF(ISNUMBER($I880),$I880,IFERROR(TIMEVALUE($I880),VALUE($I880)))&gt;=100,INT(IF(ISNUMBER($I880),$I880,IFERROR(TIMEVALUE($I880),VALUE($I880)))/100)*60+MOD(IF(ISNUMBER($I880),$I880,IFERROR(TIMEVALUE($I880),VALUE($I880))),100),IF(IF(ISNUMBER($I880),$I880,IFERROR(TIMEVALUE($I880),VALUE($I880)))&gt;=1,ROUND(IF(ISNUMBER($I880),$I880,IFERROR(TIMEVALUE($I880),VALUE($I880)))*60,0),ROUND(MOD(IF(ISNUMBER($I880),$I880,IFERROR(TIMEVALUE($I880),VALUE($I880))),1)*1440,0))),""))</f>
        <v/>
      </c>
      <c r="X880" s="55" t="str">
        <f aca="false">IF($P880="","",IFERROR(IF(ISNUMBER($P880),IF($P880&gt;19000000,DATE(INT($P880/10000),MOD(INT($P880/100),100),MOD($P880,100)),INT($P880)),IF(LEN(SUBSTITUTE(SUBSTITUTE(SUBSTITUTE(TRIM($P880),"-",""),".",""),"/",""))=8,DATE(VALUE(LEFT(SUBSTITUTE(SUBSTITUTE(SUBSTITUTE(TRIM($P880),"-",""),".",""),"/",""),4)),VALUE(MID(SUBSTITUTE(SUBSTITUTE(SUBSTITUTE(TRIM($P880),"-",""),".",""),"/",""),5,2)),VALUE(RIGHT(SUBSTITUTE(SUBSTITUTE(SUBSTITUTE(TRIM($P880),"-",""),".",""),"/",""),2))),DATEVALUE($P880))),""))</f>
        <v/>
      </c>
      <c r="Y880" s="56" t="str">
        <f aca="false">IF($M880="","",IFERROR(INDEX(강사DB!$D$4:$D$53,MATCH($M880,강사DB!$A$4:$A$53,0)),""))</f>
        <v/>
      </c>
      <c r="Z880" s="56" t="str">
        <f aca="false">IF($B880&lt;&gt;"결제완료","",IF(OR($Y880="",$J880=""),"",$Y880*$J880+MAX(0,N($K880)-1)*설정!$J$7))</f>
        <v/>
      </c>
      <c r="AA880" s="56" t="str">
        <f aca="false">IF(AND($D880&lt;&gt;"",$B880="결제완료"),N($N880),"")</f>
        <v/>
      </c>
      <c r="AB880" s="45" t="str">
        <f aca="false">IF($D880="","",IF($F880&lt;&gt;"",$F880,$D880)&amp;IF($B880="상담중"," (상담)",""))</f>
        <v/>
      </c>
      <c r="AC880" s="45" t="n">
        <f aca="false">IF(AND($D880&lt;&gt;"",OR($B880="결제완료",$B880="상담중")),1,0)</f>
        <v>0</v>
      </c>
      <c r="AD880" s="45" t="n">
        <f aca="false">IF(OR($Z880="",$U880=""),0,IFERROR(IF(COUNTIFS(INDEX(g_grid,0,2*MATCH($M880,강사DB!$A$4:$A$15,0)),"&lt;&gt;",g_s,"&lt;="&amp;$U880,g_e,"&gt;="&amp;$U880)&gt;0,1,0),0))</f>
        <v>0</v>
      </c>
      <c r="AE880" s="48"/>
      <c r="AF880" s="56" t="str">
        <f aca="false">IF(AND($D880&lt;&gt;"",$B880="결제완료",$T880="대여"),설정!$J$5,"")</f>
        <v/>
      </c>
      <c r="AG880" s="54" t="str">
        <f aca="false">IF($D880="","",IF(AND($E880="",$R880=""),$AB880,"☎ "&amp;IF($E880="","-",$E880)&amp;IF($R880&lt;&gt;"","  ※ "&amp;$R880,"")&amp;IF($B880="상담중"," (상담)","")))</f>
        <v/>
      </c>
      <c r="AH880" s="56" t="str">
        <f aca="false">IF(AND($D880&lt;&gt;"",$B880="결제완료",$O880="스마트스토어"),ROUND(N($N880)*설정!$J$6,0),"")</f>
        <v/>
      </c>
      <c r="AI880" s="54" t="str">
        <f aca="false">IF($D880="","",ROW())</f>
        <v/>
      </c>
      <c r="AJ880" s="54" t="n">
        <f aca="false">IF(OR($AC880&lt;&gt;1,$M880=""),0,IF(ISNUMBER(SEARCH("퇴사",IFERROR(INDEX(강사DB!$G$4:$G$53,MATCH($M880,강사DB!$A$4:$A$53,0)),""))),1,0))</f>
        <v>0</v>
      </c>
    </row>
    <row r="881" customFormat="false" ht="15" hidden="false" customHeight="false" outlineLevel="0" collapsed="false">
      <c r="A881" s="45" t="str">
        <f aca="false">IF($D881="","",COUNTA($D$5:$D881))</f>
        <v/>
      </c>
      <c r="B881" s="46"/>
      <c r="C881" s="47"/>
      <c r="D881" s="48"/>
      <c r="E881" s="48"/>
      <c r="F881" s="49"/>
      <c r="G881" s="47"/>
      <c r="H881" s="50"/>
      <c r="I881" s="50"/>
      <c r="J881" s="51" t="str">
        <f aca="false">IF(OR($V881="",$W881=""),"",ROUND(($W881-$V881)/60,2))</f>
        <v/>
      </c>
      <c r="K881" s="52" t="str">
        <f aca="false">IF($F881="","",LEN($F881)-LEN(SUBSTITUTE($F881,",",""))+1)</f>
        <v/>
      </c>
      <c r="L881" s="45" t="str">
        <f aca="false">IF($K881="","","1:"&amp;$K881)</f>
        <v/>
      </c>
      <c r="M881" s="46"/>
      <c r="N881" s="53"/>
      <c r="O881" s="46"/>
      <c r="P881" s="47"/>
      <c r="Q881" s="48"/>
      <c r="R881" s="49"/>
      <c r="S881" s="54" t="str">
        <f aca="false">IF(OR($AC881=0,$U881="",$M881="",$V881="",$W881=""),"",IF(COUNTIFS(m_teacher,$M881,m_date,$U881,m_active,1,m_start,"&lt;"&amp;$W881,m_end,"&gt;"&amp;$V881)&gt;1,"충돌",""))</f>
        <v/>
      </c>
      <c r="T881" s="48"/>
      <c r="U881" s="55" t="str">
        <f aca="false">IF($G881="","",IFERROR(IF(ISNUMBER($G881),IF($G881&gt;19000000,DATE(INT($G881/10000),MOD(INT($G881/100),100),MOD($G881,100)),INT($G881)),IF(LEN(SUBSTITUTE(SUBSTITUTE(SUBSTITUTE(TRIM($G881),"-",""),".",""),"/",""))=8,DATE(VALUE(LEFT(SUBSTITUTE(SUBSTITUTE(SUBSTITUTE(TRIM($G881),"-",""),".",""),"/",""),4)),VALUE(MID(SUBSTITUTE(SUBSTITUTE(SUBSTITUTE(TRIM($G881),"-",""),".",""),"/",""),5,2)),VALUE(RIGHT(SUBSTITUTE(SUBSTITUTE(SUBSTITUTE(TRIM($G881),"-",""),".",""),"/",""),2))),DATEVALUE($G881))),""))</f>
        <v/>
      </c>
      <c r="V881" s="52" t="str">
        <f aca="false">IF($H881="","",IFERROR(IF(IF(ISNUMBER($H881),$H881,IFERROR(TIMEVALUE($H881),VALUE($H881)))&gt;=100,INT(IF(ISNUMBER($H881),$H881,IFERROR(TIMEVALUE($H881),VALUE($H881)))/100)*60+MOD(IF(ISNUMBER($H881),$H881,IFERROR(TIMEVALUE($H881),VALUE($H881))),100),IF(IF(ISNUMBER($H881),$H881,IFERROR(TIMEVALUE($H881),VALUE($H881)))&gt;=1,ROUND(IF(ISNUMBER($H881),$H881,IFERROR(TIMEVALUE($H881),VALUE($H881)))*60,0),ROUND(MOD(IF(ISNUMBER($H881),$H881,IFERROR(TIMEVALUE($H881),VALUE($H881))),1)*1440,0))),""))</f>
        <v/>
      </c>
      <c r="W881" s="52" t="str">
        <f aca="false">IF($I881="","",IFERROR(IF(IF(ISNUMBER($I881),$I881,IFERROR(TIMEVALUE($I881),VALUE($I881)))&gt;=100,INT(IF(ISNUMBER($I881),$I881,IFERROR(TIMEVALUE($I881),VALUE($I881)))/100)*60+MOD(IF(ISNUMBER($I881),$I881,IFERROR(TIMEVALUE($I881),VALUE($I881))),100),IF(IF(ISNUMBER($I881),$I881,IFERROR(TIMEVALUE($I881),VALUE($I881)))&gt;=1,ROUND(IF(ISNUMBER($I881),$I881,IFERROR(TIMEVALUE($I881),VALUE($I881)))*60,0),ROUND(MOD(IF(ISNUMBER($I881),$I881,IFERROR(TIMEVALUE($I881),VALUE($I881))),1)*1440,0))),""))</f>
        <v/>
      </c>
      <c r="X881" s="55" t="str">
        <f aca="false">IF($P881="","",IFERROR(IF(ISNUMBER($P881),IF($P881&gt;19000000,DATE(INT($P881/10000),MOD(INT($P881/100),100),MOD($P881,100)),INT($P881)),IF(LEN(SUBSTITUTE(SUBSTITUTE(SUBSTITUTE(TRIM($P881),"-",""),".",""),"/",""))=8,DATE(VALUE(LEFT(SUBSTITUTE(SUBSTITUTE(SUBSTITUTE(TRIM($P881),"-",""),".",""),"/",""),4)),VALUE(MID(SUBSTITUTE(SUBSTITUTE(SUBSTITUTE(TRIM($P881),"-",""),".",""),"/",""),5,2)),VALUE(RIGHT(SUBSTITUTE(SUBSTITUTE(SUBSTITUTE(TRIM($P881),"-",""),".",""),"/",""),2))),DATEVALUE($P881))),""))</f>
        <v/>
      </c>
      <c r="Y881" s="56" t="str">
        <f aca="false">IF($M881="","",IFERROR(INDEX(강사DB!$D$4:$D$53,MATCH($M881,강사DB!$A$4:$A$53,0)),""))</f>
        <v/>
      </c>
      <c r="Z881" s="56" t="str">
        <f aca="false">IF($B881&lt;&gt;"결제완료","",IF(OR($Y881="",$J881=""),"",$Y881*$J881+MAX(0,N($K881)-1)*설정!$J$7))</f>
        <v/>
      </c>
      <c r="AA881" s="56" t="str">
        <f aca="false">IF(AND($D881&lt;&gt;"",$B881="결제완료"),N($N881),"")</f>
        <v/>
      </c>
      <c r="AB881" s="45" t="str">
        <f aca="false">IF($D881="","",IF($F881&lt;&gt;"",$F881,$D881)&amp;IF($B881="상담중"," (상담)",""))</f>
        <v/>
      </c>
      <c r="AC881" s="45" t="n">
        <f aca="false">IF(AND($D881&lt;&gt;"",OR($B881="결제완료",$B881="상담중")),1,0)</f>
        <v>0</v>
      </c>
      <c r="AD881" s="45" t="n">
        <f aca="false">IF(OR($Z881="",$U881=""),0,IFERROR(IF(COUNTIFS(INDEX(g_grid,0,2*MATCH($M881,강사DB!$A$4:$A$15,0)),"&lt;&gt;",g_s,"&lt;="&amp;$U881,g_e,"&gt;="&amp;$U881)&gt;0,1,0),0))</f>
        <v>0</v>
      </c>
      <c r="AE881" s="48"/>
      <c r="AF881" s="56" t="str">
        <f aca="false">IF(AND($D881&lt;&gt;"",$B881="결제완료",$T881="대여"),설정!$J$5,"")</f>
        <v/>
      </c>
      <c r="AG881" s="54" t="str">
        <f aca="false">IF($D881="","",IF(AND($E881="",$R881=""),$AB881,"☎ "&amp;IF($E881="","-",$E881)&amp;IF($R881&lt;&gt;"","  ※ "&amp;$R881,"")&amp;IF($B881="상담중"," (상담)","")))</f>
        <v/>
      </c>
      <c r="AH881" s="56" t="str">
        <f aca="false">IF(AND($D881&lt;&gt;"",$B881="결제완료",$O881="스마트스토어"),ROUND(N($N881)*설정!$J$6,0),"")</f>
        <v/>
      </c>
      <c r="AI881" s="54" t="str">
        <f aca="false">IF($D881="","",ROW())</f>
        <v/>
      </c>
      <c r="AJ881" s="54" t="n">
        <f aca="false">IF(OR($AC881&lt;&gt;1,$M881=""),0,IF(ISNUMBER(SEARCH("퇴사",IFERROR(INDEX(강사DB!$G$4:$G$53,MATCH($M881,강사DB!$A$4:$A$53,0)),""))),1,0))</f>
        <v>0</v>
      </c>
    </row>
    <row r="882" customFormat="false" ht="15" hidden="false" customHeight="false" outlineLevel="0" collapsed="false">
      <c r="A882" s="45" t="str">
        <f aca="false">IF($D882="","",COUNTA($D$5:$D882))</f>
        <v/>
      </c>
      <c r="B882" s="46"/>
      <c r="C882" s="47"/>
      <c r="D882" s="48"/>
      <c r="E882" s="48"/>
      <c r="F882" s="49"/>
      <c r="G882" s="47"/>
      <c r="H882" s="50"/>
      <c r="I882" s="50"/>
      <c r="J882" s="51" t="str">
        <f aca="false">IF(OR($V882="",$W882=""),"",ROUND(($W882-$V882)/60,2))</f>
        <v/>
      </c>
      <c r="K882" s="52" t="str">
        <f aca="false">IF($F882="","",LEN($F882)-LEN(SUBSTITUTE($F882,",",""))+1)</f>
        <v/>
      </c>
      <c r="L882" s="45" t="str">
        <f aca="false">IF($K882="","","1:"&amp;$K882)</f>
        <v/>
      </c>
      <c r="M882" s="46"/>
      <c r="N882" s="53"/>
      <c r="O882" s="46"/>
      <c r="P882" s="47"/>
      <c r="Q882" s="48"/>
      <c r="R882" s="49"/>
      <c r="S882" s="54" t="str">
        <f aca="false">IF(OR($AC882=0,$U882="",$M882="",$V882="",$W882=""),"",IF(COUNTIFS(m_teacher,$M882,m_date,$U882,m_active,1,m_start,"&lt;"&amp;$W882,m_end,"&gt;"&amp;$V882)&gt;1,"충돌",""))</f>
        <v/>
      </c>
      <c r="T882" s="48"/>
      <c r="U882" s="55" t="str">
        <f aca="false">IF($G882="","",IFERROR(IF(ISNUMBER($G882),IF($G882&gt;19000000,DATE(INT($G882/10000),MOD(INT($G882/100),100),MOD($G882,100)),INT($G882)),IF(LEN(SUBSTITUTE(SUBSTITUTE(SUBSTITUTE(TRIM($G882),"-",""),".",""),"/",""))=8,DATE(VALUE(LEFT(SUBSTITUTE(SUBSTITUTE(SUBSTITUTE(TRIM($G882),"-",""),".",""),"/",""),4)),VALUE(MID(SUBSTITUTE(SUBSTITUTE(SUBSTITUTE(TRIM($G882),"-",""),".",""),"/",""),5,2)),VALUE(RIGHT(SUBSTITUTE(SUBSTITUTE(SUBSTITUTE(TRIM($G882),"-",""),".",""),"/",""),2))),DATEVALUE($G882))),""))</f>
        <v/>
      </c>
      <c r="V882" s="52" t="str">
        <f aca="false">IF($H882="","",IFERROR(IF(IF(ISNUMBER($H882),$H882,IFERROR(TIMEVALUE($H882),VALUE($H882)))&gt;=100,INT(IF(ISNUMBER($H882),$H882,IFERROR(TIMEVALUE($H882),VALUE($H882)))/100)*60+MOD(IF(ISNUMBER($H882),$H882,IFERROR(TIMEVALUE($H882),VALUE($H882))),100),IF(IF(ISNUMBER($H882),$H882,IFERROR(TIMEVALUE($H882),VALUE($H882)))&gt;=1,ROUND(IF(ISNUMBER($H882),$H882,IFERROR(TIMEVALUE($H882),VALUE($H882)))*60,0),ROUND(MOD(IF(ISNUMBER($H882),$H882,IFERROR(TIMEVALUE($H882),VALUE($H882))),1)*1440,0))),""))</f>
        <v/>
      </c>
      <c r="W882" s="52" t="str">
        <f aca="false">IF($I882="","",IFERROR(IF(IF(ISNUMBER($I882),$I882,IFERROR(TIMEVALUE($I882),VALUE($I882)))&gt;=100,INT(IF(ISNUMBER($I882),$I882,IFERROR(TIMEVALUE($I882),VALUE($I882)))/100)*60+MOD(IF(ISNUMBER($I882),$I882,IFERROR(TIMEVALUE($I882),VALUE($I882))),100),IF(IF(ISNUMBER($I882),$I882,IFERROR(TIMEVALUE($I882),VALUE($I882)))&gt;=1,ROUND(IF(ISNUMBER($I882),$I882,IFERROR(TIMEVALUE($I882),VALUE($I882)))*60,0),ROUND(MOD(IF(ISNUMBER($I882),$I882,IFERROR(TIMEVALUE($I882),VALUE($I882))),1)*1440,0))),""))</f>
        <v/>
      </c>
      <c r="X882" s="55" t="str">
        <f aca="false">IF($P882="","",IFERROR(IF(ISNUMBER($P882),IF($P882&gt;19000000,DATE(INT($P882/10000),MOD(INT($P882/100),100),MOD($P882,100)),INT($P882)),IF(LEN(SUBSTITUTE(SUBSTITUTE(SUBSTITUTE(TRIM($P882),"-",""),".",""),"/",""))=8,DATE(VALUE(LEFT(SUBSTITUTE(SUBSTITUTE(SUBSTITUTE(TRIM($P882),"-",""),".",""),"/",""),4)),VALUE(MID(SUBSTITUTE(SUBSTITUTE(SUBSTITUTE(TRIM($P882),"-",""),".",""),"/",""),5,2)),VALUE(RIGHT(SUBSTITUTE(SUBSTITUTE(SUBSTITUTE(TRIM($P882),"-",""),".",""),"/",""),2))),DATEVALUE($P882))),""))</f>
        <v/>
      </c>
      <c r="Y882" s="56" t="str">
        <f aca="false">IF($M882="","",IFERROR(INDEX(강사DB!$D$4:$D$53,MATCH($M882,강사DB!$A$4:$A$53,0)),""))</f>
        <v/>
      </c>
      <c r="Z882" s="56" t="str">
        <f aca="false">IF($B882&lt;&gt;"결제완료","",IF(OR($Y882="",$J882=""),"",$Y882*$J882+MAX(0,N($K882)-1)*설정!$J$7))</f>
        <v/>
      </c>
      <c r="AA882" s="56" t="str">
        <f aca="false">IF(AND($D882&lt;&gt;"",$B882="결제완료"),N($N882),"")</f>
        <v/>
      </c>
      <c r="AB882" s="45" t="str">
        <f aca="false">IF($D882="","",IF($F882&lt;&gt;"",$F882,$D882)&amp;IF($B882="상담중"," (상담)",""))</f>
        <v/>
      </c>
      <c r="AC882" s="45" t="n">
        <f aca="false">IF(AND($D882&lt;&gt;"",OR($B882="결제완료",$B882="상담중")),1,0)</f>
        <v>0</v>
      </c>
      <c r="AD882" s="45" t="n">
        <f aca="false">IF(OR($Z882="",$U882=""),0,IFERROR(IF(COUNTIFS(INDEX(g_grid,0,2*MATCH($M882,강사DB!$A$4:$A$15,0)),"&lt;&gt;",g_s,"&lt;="&amp;$U882,g_e,"&gt;="&amp;$U882)&gt;0,1,0),0))</f>
        <v>0</v>
      </c>
      <c r="AE882" s="48"/>
      <c r="AF882" s="56" t="str">
        <f aca="false">IF(AND($D882&lt;&gt;"",$B882="결제완료",$T882="대여"),설정!$J$5,"")</f>
        <v/>
      </c>
      <c r="AG882" s="54" t="str">
        <f aca="false">IF($D882="","",IF(AND($E882="",$R882=""),$AB882,"☎ "&amp;IF($E882="","-",$E882)&amp;IF($R882&lt;&gt;"","  ※ "&amp;$R882,"")&amp;IF($B882="상담중"," (상담)","")))</f>
        <v/>
      </c>
      <c r="AH882" s="56" t="str">
        <f aca="false">IF(AND($D882&lt;&gt;"",$B882="결제완료",$O882="스마트스토어"),ROUND(N($N882)*설정!$J$6,0),"")</f>
        <v/>
      </c>
      <c r="AI882" s="54" t="str">
        <f aca="false">IF($D882="","",ROW())</f>
        <v/>
      </c>
      <c r="AJ882" s="54" t="n">
        <f aca="false">IF(OR($AC882&lt;&gt;1,$M882=""),0,IF(ISNUMBER(SEARCH("퇴사",IFERROR(INDEX(강사DB!$G$4:$G$53,MATCH($M882,강사DB!$A$4:$A$53,0)),""))),1,0))</f>
        <v>0</v>
      </c>
    </row>
    <row r="883" customFormat="false" ht="15" hidden="false" customHeight="false" outlineLevel="0" collapsed="false">
      <c r="A883" s="45" t="str">
        <f aca="false">IF($D883="","",COUNTA($D$5:$D883))</f>
        <v/>
      </c>
      <c r="B883" s="46"/>
      <c r="C883" s="47"/>
      <c r="D883" s="48"/>
      <c r="E883" s="48"/>
      <c r="F883" s="49"/>
      <c r="G883" s="47"/>
      <c r="H883" s="50"/>
      <c r="I883" s="50"/>
      <c r="J883" s="51" t="str">
        <f aca="false">IF(OR($V883="",$W883=""),"",ROUND(($W883-$V883)/60,2))</f>
        <v/>
      </c>
      <c r="K883" s="52" t="str">
        <f aca="false">IF($F883="","",LEN($F883)-LEN(SUBSTITUTE($F883,",",""))+1)</f>
        <v/>
      </c>
      <c r="L883" s="45" t="str">
        <f aca="false">IF($K883="","","1:"&amp;$K883)</f>
        <v/>
      </c>
      <c r="M883" s="46"/>
      <c r="N883" s="53"/>
      <c r="O883" s="46"/>
      <c r="P883" s="47"/>
      <c r="Q883" s="48"/>
      <c r="R883" s="49"/>
      <c r="S883" s="54" t="str">
        <f aca="false">IF(OR($AC883=0,$U883="",$M883="",$V883="",$W883=""),"",IF(COUNTIFS(m_teacher,$M883,m_date,$U883,m_active,1,m_start,"&lt;"&amp;$W883,m_end,"&gt;"&amp;$V883)&gt;1,"충돌",""))</f>
        <v/>
      </c>
      <c r="T883" s="48"/>
      <c r="U883" s="55" t="str">
        <f aca="false">IF($G883="","",IFERROR(IF(ISNUMBER($G883),IF($G883&gt;19000000,DATE(INT($G883/10000),MOD(INT($G883/100),100),MOD($G883,100)),INT($G883)),IF(LEN(SUBSTITUTE(SUBSTITUTE(SUBSTITUTE(TRIM($G883),"-",""),".",""),"/",""))=8,DATE(VALUE(LEFT(SUBSTITUTE(SUBSTITUTE(SUBSTITUTE(TRIM($G883),"-",""),".",""),"/",""),4)),VALUE(MID(SUBSTITUTE(SUBSTITUTE(SUBSTITUTE(TRIM($G883),"-",""),".",""),"/",""),5,2)),VALUE(RIGHT(SUBSTITUTE(SUBSTITUTE(SUBSTITUTE(TRIM($G883),"-",""),".",""),"/",""),2))),DATEVALUE($G883))),""))</f>
        <v/>
      </c>
      <c r="V883" s="52" t="str">
        <f aca="false">IF($H883="","",IFERROR(IF(IF(ISNUMBER($H883),$H883,IFERROR(TIMEVALUE($H883),VALUE($H883)))&gt;=100,INT(IF(ISNUMBER($H883),$H883,IFERROR(TIMEVALUE($H883),VALUE($H883)))/100)*60+MOD(IF(ISNUMBER($H883),$H883,IFERROR(TIMEVALUE($H883),VALUE($H883))),100),IF(IF(ISNUMBER($H883),$H883,IFERROR(TIMEVALUE($H883),VALUE($H883)))&gt;=1,ROUND(IF(ISNUMBER($H883),$H883,IFERROR(TIMEVALUE($H883),VALUE($H883)))*60,0),ROUND(MOD(IF(ISNUMBER($H883),$H883,IFERROR(TIMEVALUE($H883),VALUE($H883))),1)*1440,0))),""))</f>
        <v/>
      </c>
      <c r="W883" s="52" t="str">
        <f aca="false">IF($I883="","",IFERROR(IF(IF(ISNUMBER($I883),$I883,IFERROR(TIMEVALUE($I883),VALUE($I883)))&gt;=100,INT(IF(ISNUMBER($I883),$I883,IFERROR(TIMEVALUE($I883),VALUE($I883)))/100)*60+MOD(IF(ISNUMBER($I883),$I883,IFERROR(TIMEVALUE($I883),VALUE($I883))),100),IF(IF(ISNUMBER($I883),$I883,IFERROR(TIMEVALUE($I883),VALUE($I883)))&gt;=1,ROUND(IF(ISNUMBER($I883),$I883,IFERROR(TIMEVALUE($I883),VALUE($I883)))*60,0),ROUND(MOD(IF(ISNUMBER($I883),$I883,IFERROR(TIMEVALUE($I883),VALUE($I883))),1)*1440,0))),""))</f>
        <v/>
      </c>
      <c r="X883" s="55" t="str">
        <f aca="false">IF($P883="","",IFERROR(IF(ISNUMBER($P883),IF($P883&gt;19000000,DATE(INT($P883/10000),MOD(INT($P883/100),100),MOD($P883,100)),INT($P883)),IF(LEN(SUBSTITUTE(SUBSTITUTE(SUBSTITUTE(TRIM($P883),"-",""),".",""),"/",""))=8,DATE(VALUE(LEFT(SUBSTITUTE(SUBSTITUTE(SUBSTITUTE(TRIM($P883),"-",""),".",""),"/",""),4)),VALUE(MID(SUBSTITUTE(SUBSTITUTE(SUBSTITUTE(TRIM($P883),"-",""),".",""),"/",""),5,2)),VALUE(RIGHT(SUBSTITUTE(SUBSTITUTE(SUBSTITUTE(TRIM($P883),"-",""),".",""),"/",""),2))),DATEVALUE($P883))),""))</f>
        <v/>
      </c>
      <c r="Y883" s="56" t="str">
        <f aca="false">IF($M883="","",IFERROR(INDEX(강사DB!$D$4:$D$53,MATCH($M883,강사DB!$A$4:$A$53,0)),""))</f>
        <v/>
      </c>
      <c r="Z883" s="56" t="str">
        <f aca="false">IF($B883&lt;&gt;"결제완료","",IF(OR($Y883="",$J883=""),"",$Y883*$J883+MAX(0,N($K883)-1)*설정!$J$7))</f>
        <v/>
      </c>
      <c r="AA883" s="56" t="str">
        <f aca="false">IF(AND($D883&lt;&gt;"",$B883="결제완료"),N($N883),"")</f>
        <v/>
      </c>
      <c r="AB883" s="45" t="str">
        <f aca="false">IF($D883="","",IF($F883&lt;&gt;"",$F883,$D883)&amp;IF($B883="상담중"," (상담)",""))</f>
        <v/>
      </c>
      <c r="AC883" s="45" t="n">
        <f aca="false">IF(AND($D883&lt;&gt;"",OR($B883="결제완료",$B883="상담중")),1,0)</f>
        <v>0</v>
      </c>
      <c r="AD883" s="45" t="n">
        <f aca="false">IF(OR($Z883="",$U883=""),0,IFERROR(IF(COUNTIFS(INDEX(g_grid,0,2*MATCH($M883,강사DB!$A$4:$A$15,0)),"&lt;&gt;",g_s,"&lt;="&amp;$U883,g_e,"&gt;="&amp;$U883)&gt;0,1,0),0))</f>
        <v>0</v>
      </c>
      <c r="AE883" s="48"/>
      <c r="AF883" s="56" t="str">
        <f aca="false">IF(AND($D883&lt;&gt;"",$B883="결제완료",$T883="대여"),설정!$J$5,"")</f>
        <v/>
      </c>
      <c r="AG883" s="54" t="str">
        <f aca="false">IF($D883="","",IF(AND($E883="",$R883=""),$AB883,"☎ "&amp;IF($E883="","-",$E883)&amp;IF($R883&lt;&gt;"","  ※ "&amp;$R883,"")&amp;IF($B883="상담중"," (상담)","")))</f>
        <v/>
      </c>
      <c r="AH883" s="56" t="str">
        <f aca="false">IF(AND($D883&lt;&gt;"",$B883="결제완료",$O883="스마트스토어"),ROUND(N($N883)*설정!$J$6,0),"")</f>
        <v/>
      </c>
      <c r="AI883" s="54" t="str">
        <f aca="false">IF($D883="","",ROW())</f>
        <v/>
      </c>
      <c r="AJ883" s="54" t="n">
        <f aca="false">IF(OR($AC883&lt;&gt;1,$M883=""),0,IF(ISNUMBER(SEARCH("퇴사",IFERROR(INDEX(강사DB!$G$4:$G$53,MATCH($M883,강사DB!$A$4:$A$53,0)),""))),1,0))</f>
        <v>0</v>
      </c>
    </row>
    <row r="884" customFormat="false" ht="15" hidden="false" customHeight="false" outlineLevel="0" collapsed="false">
      <c r="A884" s="45" t="str">
        <f aca="false">IF($D884="","",COUNTA($D$5:$D884))</f>
        <v/>
      </c>
      <c r="B884" s="46"/>
      <c r="C884" s="47"/>
      <c r="D884" s="48"/>
      <c r="E884" s="48"/>
      <c r="F884" s="49"/>
      <c r="G884" s="47"/>
      <c r="H884" s="50"/>
      <c r="I884" s="50"/>
      <c r="J884" s="51" t="str">
        <f aca="false">IF(OR($V884="",$W884=""),"",ROUND(($W884-$V884)/60,2))</f>
        <v/>
      </c>
      <c r="K884" s="52" t="str">
        <f aca="false">IF($F884="","",LEN($F884)-LEN(SUBSTITUTE($F884,",",""))+1)</f>
        <v/>
      </c>
      <c r="L884" s="45" t="str">
        <f aca="false">IF($K884="","","1:"&amp;$K884)</f>
        <v/>
      </c>
      <c r="M884" s="46"/>
      <c r="N884" s="53"/>
      <c r="O884" s="46"/>
      <c r="P884" s="47"/>
      <c r="Q884" s="48"/>
      <c r="R884" s="49"/>
      <c r="S884" s="54" t="str">
        <f aca="false">IF(OR($AC884=0,$U884="",$M884="",$V884="",$W884=""),"",IF(COUNTIFS(m_teacher,$M884,m_date,$U884,m_active,1,m_start,"&lt;"&amp;$W884,m_end,"&gt;"&amp;$V884)&gt;1,"충돌",""))</f>
        <v/>
      </c>
      <c r="T884" s="48"/>
      <c r="U884" s="55" t="str">
        <f aca="false">IF($G884="","",IFERROR(IF(ISNUMBER($G884),IF($G884&gt;19000000,DATE(INT($G884/10000),MOD(INT($G884/100),100),MOD($G884,100)),INT($G884)),IF(LEN(SUBSTITUTE(SUBSTITUTE(SUBSTITUTE(TRIM($G884),"-",""),".",""),"/",""))=8,DATE(VALUE(LEFT(SUBSTITUTE(SUBSTITUTE(SUBSTITUTE(TRIM($G884),"-",""),".",""),"/",""),4)),VALUE(MID(SUBSTITUTE(SUBSTITUTE(SUBSTITUTE(TRIM($G884),"-",""),".",""),"/",""),5,2)),VALUE(RIGHT(SUBSTITUTE(SUBSTITUTE(SUBSTITUTE(TRIM($G884),"-",""),".",""),"/",""),2))),DATEVALUE($G884))),""))</f>
        <v/>
      </c>
      <c r="V884" s="52" t="str">
        <f aca="false">IF($H884="","",IFERROR(IF(IF(ISNUMBER($H884),$H884,IFERROR(TIMEVALUE($H884),VALUE($H884)))&gt;=100,INT(IF(ISNUMBER($H884),$H884,IFERROR(TIMEVALUE($H884),VALUE($H884)))/100)*60+MOD(IF(ISNUMBER($H884),$H884,IFERROR(TIMEVALUE($H884),VALUE($H884))),100),IF(IF(ISNUMBER($H884),$H884,IFERROR(TIMEVALUE($H884),VALUE($H884)))&gt;=1,ROUND(IF(ISNUMBER($H884),$H884,IFERROR(TIMEVALUE($H884),VALUE($H884)))*60,0),ROUND(MOD(IF(ISNUMBER($H884),$H884,IFERROR(TIMEVALUE($H884),VALUE($H884))),1)*1440,0))),""))</f>
        <v/>
      </c>
      <c r="W884" s="52" t="str">
        <f aca="false">IF($I884="","",IFERROR(IF(IF(ISNUMBER($I884),$I884,IFERROR(TIMEVALUE($I884),VALUE($I884)))&gt;=100,INT(IF(ISNUMBER($I884),$I884,IFERROR(TIMEVALUE($I884),VALUE($I884)))/100)*60+MOD(IF(ISNUMBER($I884),$I884,IFERROR(TIMEVALUE($I884),VALUE($I884))),100),IF(IF(ISNUMBER($I884),$I884,IFERROR(TIMEVALUE($I884),VALUE($I884)))&gt;=1,ROUND(IF(ISNUMBER($I884),$I884,IFERROR(TIMEVALUE($I884),VALUE($I884)))*60,0),ROUND(MOD(IF(ISNUMBER($I884),$I884,IFERROR(TIMEVALUE($I884),VALUE($I884))),1)*1440,0))),""))</f>
        <v/>
      </c>
      <c r="X884" s="55" t="str">
        <f aca="false">IF($P884="","",IFERROR(IF(ISNUMBER($P884),IF($P884&gt;19000000,DATE(INT($P884/10000),MOD(INT($P884/100),100),MOD($P884,100)),INT($P884)),IF(LEN(SUBSTITUTE(SUBSTITUTE(SUBSTITUTE(TRIM($P884),"-",""),".",""),"/",""))=8,DATE(VALUE(LEFT(SUBSTITUTE(SUBSTITUTE(SUBSTITUTE(TRIM($P884),"-",""),".",""),"/",""),4)),VALUE(MID(SUBSTITUTE(SUBSTITUTE(SUBSTITUTE(TRIM($P884),"-",""),".",""),"/",""),5,2)),VALUE(RIGHT(SUBSTITUTE(SUBSTITUTE(SUBSTITUTE(TRIM($P884),"-",""),".",""),"/",""),2))),DATEVALUE($P884))),""))</f>
        <v/>
      </c>
      <c r="Y884" s="56" t="str">
        <f aca="false">IF($M884="","",IFERROR(INDEX(강사DB!$D$4:$D$53,MATCH($M884,강사DB!$A$4:$A$53,0)),""))</f>
        <v/>
      </c>
      <c r="Z884" s="56" t="str">
        <f aca="false">IF($B884&lt;&gt;"결제완료","",IF(OR($Y884="",$J884=""),"",$Y884*$J884+MAX(0,N($K884)-1)*설정!$J$7))</f>
        <v/>
      </c>
      <c r="AA884" s="56" t="str">
        <f aca="false">IF(AND($D884&lt;&gt;"",$B884="결제완료"),N($N884),"")</f>
        <v/>
      </c>
      <c r="AB884" s="45" t="str">
        <f aca="false">IF($D884="","",IF($F884&lt;&gt;"",$F884,$D884)&amp;IF($B884="상담중"," (상담)",""))</f>
        <v/>
      </c>
      <c r="AC884" s="45" t="n">
        <f aca="false">IF(AND($D884&lt;&gt;"",OR($B884="결제완료",$B884="상담중")),1,0)</f>
        <v>0</v>
      </c>
      <c r="AD884" s="45" t="n">
        <f aca="false">IF(OR($Z884="",$U884=""),0,IFERROR(IF(COUNTIFS(INDEX(g_grid,0,2*MATCH($M884,강사DB!$A$4:$A$15,0)),"&lt;&gt;",g_s,"&lt;="&amp;$U884,g_e,"&gt;="&amp;$U884)&gt;0,1,0),0))</f>
        <v>0</v>
      </c>
      <c r="AE884" s="48"/>
      <c r="AF884" s="56" t="str">
        <f aca="false">IF(AND($D884&lt;&gt;"",$B884="결제완료",$T884="대여"),설정!$J$5,"")</f>
        <v/>
      </c>
      <c r="AG884" s="54" t="str">
        <f aca="false">IF($D884="","",IF(AND($E884="",$R884=""),$AB884,"☎ "&amp;IF($E884="","-",$E884)&amp;IF($R884&lt;&gt;"","  ※ "&amp;$R884,"")&amp;IF($B884="상담중"," (상담)","")))</f>
        <v/>
      </c>
      <c r="AH884" s="56" t="str">
        <f aca="false">IF(AND($D884&lt;&gt;"",$B884="결제완료",$O884="스마트스토어"),ROUND(N($N884)*설정!$J$6,0),"")</f>
        <v/>
      </c>
      <c r="AI884" s="54" t="str">
        <f aca="false">IF($D884="","",ROW())</f>
        <v/>
      </c>
      <c r="AJ884" s="54" t="n">
        <f aca="false">IF(OR($AC884&lt;&gt;1,$M884=""),0,IF(ISNUMBER(SEARCH("퇴사",IFERROR(INDEX(강사DB!$G$4:$G$53,MATCH($M884,강사DB!$A$4:$A$53,0)),""))),1,0))</f>
        <v>0</v>
      </c>
    </row>
    <row r="885" customFormat="false" ht="15" hidden="false" customHeight="false" outlineLevel="0" collapsed="false">
      <c r="A885" s="45" t="str">
        <f aca="false">IF($D885="","",COUNTA($D$5:$D885))</f>
        <v/>
      </c>
      <c r="B885" s="46"/>
      <c r="C885" s="47"/>
      <c r="D885" s="48"/>
      <c r="E885" s="48"/>
      <c r="F885" s="49"/>
      <c r="G885" s="47"/>
      <c r="H885" s="50"/>
      <c r="I885" s="50"/>
      <c r="J885" s="51" t="str">
        <f aca="false">IF(OR($V885="",$W885=""),"",ROUND(($W885-$V885)/60,2))</f>
        <v/>
      </c>
      <c r="K885" s="52" t="str">
        <f aca="false">IF($F885="","",LEN($F885)-LEN(SUBSTITUTE($F885,",",""))+1)</f>
        <v/>
      </c>
      <c r="L885" s="45" t="str">
        <f aca="false">IF($K885="","","1:"&amp;$K885)</f>
        <v/>
      </c>
      <c r="M885" s="46"/>
      <c r="N885" s="53"/>
      <c r="O885" s="46"/>
      <c r="P885" s="47"/>
      <c r="Q885" s="48"/>
      <c r="R885" s="49"/>
      <c r="S885" s="54" t="str">
        <f aca="false">IF(OR($AC885=0,$U885="",$M885="",$V885="",$W885=""),"",IF(COUNTIFS(m_teacher,$M885,m_date,$U885,m_active,1,m_start,"&lt;"&amp;$W885,m_end,"&gt;"&amp;$V885)&gt;1,"충돌",""))</f>
        <v/>
      </c>
      <c r="T885" s="48"/>
      <c r="U885" s="55" t="str">
        <f aca="false">IF($G885="","",IFERROR(IF(ISNUMBER($G885),IF($G885&gt;19000000,DATE(INT($G885/10000),MOD(INT($G885/100),100),MOD($G885,100)),INT($G885)),IF(LEN(SUBSTITUTE(SUBSTITUTE(SUBSTITUTE(TRIM($G885),"-",""),".",""),"/",""))=8,DATE(VALUE(LEFT(SUBSTITUTE(SUBSTITUTE(SUBSTITUTE(TRIM($G885),"-",""),".",""),"/",""),4)),VALUE(MID(SUBSTITUTE(SUBSTITUTE(SUBSTITUTE(TRIM($G885),"-",""),".",""),"/",""),5,2)),VALUE(RIGHT(SUBSTITUTE(SUBSTITUTE(SUBSTITUTE(TRIM($G885),"-",""),".",""),"/",""),2))),DATEVALUE($G885))),""))</f>
        <v/>
      </c>
      <c r="V885" s="52" t="str">
        <f aca="false">IF($H885="","",IFERROR(IF(IF(ISNUMBER($H885),$H885,IFERROR(TIMEVALUE($H885),VALUE($H885)))&gt;=100,INT(IF(ISNUMBER($H885),$H885,IFERROR(TIMEVALUE($H885),VALUE($H885)))/100)*60+MOD(IF(ISNUMBER($H885),$H885,IFERROR(TIMEVALUE($H885),VALUE($H885))),100),IF(IF(ISNUMBER($H885),$H885,IFERROR(TIMEVALUE($H885),VALUE($H885)))&gt;=1,ROUND(IF(ISNUMBER($H885),$H885,IFERROR(TIMEVALUE($H885),VALUE($H885)))*60,0),ROUND(MOD(IF(ISNUMBER($H885),$H885,IFERROR(TIMEVALUE($H885),VALUE($H885))),1)*1440,0))),""))</f>
        <v/>
      </c>
      <c r="W885" s="52" t="str">
        <f aca="false">IF($I885="","",IFERROR(IF(IF(ISNUMBER($I885),$I885,IFERROR(TIMEVALUE($I885),VALUE($I885)))&gt;=100,INT(IF(ISNUMBER($I885),$I885,IFERROR(TIMEVALUE($I885),VALUE($I885)))/100)*60+MOD(IF(ISNUMBER($I885),$I885,IFERROR(TIMEVALUE($I885),VALUE($I885))),100),IF(IF(ISNUMBER($I885),$I885,IFERROR(TIMEVALUE($I885),VALUE($I885)))&gt;=1,ROUND(IF(ISNUMBER($I885),$I885,IFERROR(TIMEVALUE($I885),VALUE($I885)))*60,0),ROUND(MOD(IF(ISNUMBER($I885),$I885,IFERROR(TIMEVALUE($I885),VALUE($I885))),1)*1440,0))),""))</f>
        <v/>
      </c>
      <c r="X885" s="55" t="str">
        <f aca="false">IF($P885="","",IFERROR(IF(ISNUMBER($P885),IF($P885&gt;19000000,DATE(INT($P885/10000),MOD(INT($P885/100),100),MOD($P885,100)),INT($P885)),IF(LEN(SUBSTITUTE(SUBSTITUTE(SUBSTITUTE(TRIM($P885),"-",""),".",""),"/",""))=8,DATE(VALUE(LEFT(SUBSTITUTE(SUBSTITUTE(SUBSTITUTE(TRIM($P885),"-",""),".",""),"/",""),4)),VALUE(MID(SUBSTITUTE(SUBSTITUTE(SUBSTITUTE(TRIM($P885),"-",""),".",""),"/",""),5,2)),VALUE(RIGHT(SUBSTITUTE(SUBSTITUTE(SUBSTITUTE(TRIM($P885),"-",""),".",""),"/",""),2))),DATEVALUE($P885))),""))</f>
        <v/>
      </c>
      <c r="Y885" s="56" t="str">
        <f aca="false">IF($M885="","",IFERROR(INDEX(강사DB!$D$4:$D$53,MATCH($M885,강사DB!$A$4:$A$53,0)),""))</f>
        <v/>
      </c>
      <c r="Z885" s="56" t="str">
        <f aca="false">IF($B885&lt;&gt;"결제완료","",IF(OR($Y885="",$J885=""),"",$Y885*$J885+MAX(0,N($K885)-1)*설정!$J$7))</f>
        <v/>
      </c>
      <c r="AA885" s="56" t="str">
        <f aca="false">IF(AND($D885&lt;&gt;"",$B885="결제완료"),N($N885),"")</f>
        <v/>
      </c>
      <c r="AB885" s="45" t="str">
        <f aca="false">IF($D885="","",IF($F885&lt;&gt;"",$F885,$D885)&amp;IF($B885="상담중"," (상담)",""))</f>
        <v/>
      </c>
      <c r="AC885" s="45" t="n">
        <f aca="false">IF(AND($D885&lt;&gt;"",OR($B885="결제완료",$B885="상담중")),1,0)</f>
        <v>0</v>
      </c>
      <c r="AD885" s="45" t="n">
        <f aca="false">IF(OR($Z885="",$U885=""),0,IFERROR(IF(COUNTIFS(INDEX(g_grid,0,2*MATCH($M885,강사DB!$A$4:$A$15,0)),"&lt;&gt;",g_s,"&lt;="&amp;$U885,g_e,"&gt;="&amp;$U885)&gt;0,1,0),0))</f>
        <v>0</v>
      </c>
      <c r="AE885" s="48"/>
      <c r="AF885" s="56" t="str">
        <f aca="false">IF(AND($D885&lt;&gt;"",$B885="결제완료",$T885="대여"),설정!$J$5,"")</f>
        <v/>
      </c>
      <c r="AG885" s="54" t="str">
        <f aca="false">IF($D885="","",IF(AND($E885="",$R885=""),$AB885,"☎ "&amp;IF($E885="","-",$E885)&amp;IF($R885&lt;&gt;"","  ※ "&amp;$R885,"")&amp;IF($B885="상담중"," (상담)","")))</f>
        <v/>
      </c>
      <c r="AH885" s="56" t="str">
        <f aca="false">IF(AND($D885&lt;&gt;"",$B885="결제완료",$O885="스마트스토어"),ROUND(N($N885)*설정!$J$6,0),"")</f>
        <v/>
      </c>
      <c r="AI885" s="54" t="str">
        <f aca="false">IF($D885="","",ROW())</f>
        <v/>
      </c>
      <c r="AJ885" s="54" t="n">
        <f aca="false">IF(OR($AC885&lt;&gt;1,$M885=""),0,IF(ISNUMBER(SEARCH("퇴사",IFERROR(INDEX(강사DB!$G$4:$G$53,MATCH($M885,강사DB!$A$4:$A$53,0)),""))),1,0))</f>
        <v>0</v>
      </c>
    </row>
    <row r="886" customFormat="false" ht="15" hidden="false" customHeight="false" outlineLevel="0" collapsed="false">
      <c r="A886" s="45" t="str">
        <f aca="false">IF($D886="","",COUNTA($D$5:$D886))</f>
        <v/>
      </c>
      <c r="B886" s="46"/>
      <c r="C886" s="47"/>
      <c r="D886" s="48"/>
      <c r="E886" s="48"/>
      <c r="F886" s="49"/>
      <c r="G886" s="47"/>
      <c r="H886" s="50"/>
      <c r="I886" s="50"/>
      <c r="J886" s="51" t="str">
        <f aca="false">IF(OR($V886="",$W886=""),"",ROUND(($W886-$V886)/60,2))</f>
        <v/>
      </c>
      <c r="K886" s="52" t="str">
        <f aca="false">IF($F886="","",LEN($F886)-LEN(SUBSTITUTE($F886,",",""))+1)</f>
        <v/>
      </c>
      <c r="L886" s="45" t="str">
        <f aca="false">IF($K886="","","1:"&amp;$K886)</f>
        <v/>
      </c>
      <c r="M886" s="46"/>
      <c r="N886" s="53"/>
      <c r="O886" s="46"/>
      <c r="P886" s="47"/>
      <c r="Q886" s="48"/>
      <c r="R886" s="49"/>
      <c r="S886" s="54" t="str">
        <f aca="false">IF(OR($AC886=0,$U886="",$M886="",$V886="",$W886=""),"",IF(COUNTIFS(m_teacher,$M886,m_date,$U886,m_active,1,m_start,"&lt;"&amp;$W886,m_end,"&gt;"&amp;$V886)&gt;1,"충돌",""))</f>
        <v/>
      </c>
      <c r="T886" s="48"/>
      <c r="U886" s="55" t="str">
        <f aca="false">IF($G886="","",IFERROR(IF(ISNUMBER($G886),IF($G886&gt;19000000,DATE(INT($G886/10000),MOD(INT($G886/100),100),MOD($G886,100)),INT($G886)),IF(LEN(SUBSTITUTE(SUBSTITUTE(SUBSTITUTE(TRIM($G886),"-",""),".",""),"/",""))=8,DATE(VALUE(LEFT(SUBSTITUTE(SUBSTITUTE(SUBSTITUTE(TRIM($G886),"-",""),".",""),"/",""),4)),VALUE(MID(SUBSTITUTE(SUBSTITUTE(SUBSTITUTE(TRIM($G886),"-",""),".",""),"/",""),5,2)),VALUE(RIGHT(SUBSTITUTE(SUBSTITUTE(SUBSTITUTE(TRIM($G886),"-",""),".",""),"/",""),2))),DATEVALUE($G886))),""))</f>
        <v/>
      </c>
      <c r="V886" s="52" t="str">
        <f aca="false">IF($H886="","",IFERROR(IF(IF(ISNUMBER($H886),$H886,IFERROR(TIMEVALUE($H886),VALUE($H886)))&gt;=100,INT(IF(ISNUMBER($H886),$H886,IFERROR(TIMEVALUE($H886),VALUE($H886)))/100)*60+MOD(IF(ISNUMBER($H886),$H886,IFERROR(TIMEVALUE($H886),VALUE($H886))),100),IF(IF(ISNUMBER($H886),$H886,IFERROR(TIMEVALUE($H886),VALUE($H886)))&gt;=1,ROUND(IF(ISNUMBER($H886),$H886,IFERROR(TIMEVALUE($H886),VALUE($H886)))*60,0),ROUND(MOD(IF(ISNUMBER($H886),$H886,IFERROR(TIMEVALUE($H886),VALUE($H886))),1)*1440,0))),""))</f>
        <v/>
      </c>
      <c r="W886" s="52" t="str">
        <f aca="false">IF($I886="","",IFERROR(IF(IF(ISNUMBER($I886),$I886,IFERROR(TIMEVALUE($I886),VALUE($I886)))&gt;=100,INT(IF(ISNUMBER($I886),$I886,IFERROR(TIMEVALUE($I886),VALUE($I886)))/100)*60+MOD(IF(ISNUMBER($I886),$I886,IFERROR(TIMEVALUE($I886),VALUE($I886))),100),IF(IF(ISNUMBER($I886),$I886,IFERROR(TIMEVALUE($I886),VALUE($I886)))&gt;=1,ROUND(IF(ISNUMBER($I886),$I886,IFERROR(TIMEVALUE($I886),VALUE($I886)))*60,0),ROUND(MOD(IF(ISNUMBER($I886),$I886,IFERROR(TIMEVALUE($I886),VALUE($I886))),1)*1440,0))),""))</f>
        <v/>
      </c>
      <c r="X886" s="55" t="str">
        <f aca="false">IF($P886="","",IFERROR(IF(ISNUMBER($P886),IF($P886&gt;19000000,DATE(INT($P886/10000),MOD(INT($P886/100),100),MOD($P886,100)),INT($P886)),IF(LEN(SUBSTITUTE(SUBSTITUTE(SUBSTITUTE(TRIM($P886),"-",""),".",""),"/",""))=8,DATE(VALUE(LEFT(SUBSTITUTE(SUBSTITUTE(SUBSTITUTE(TRIM($P886),"-",""),".",""),"/",""),4)),VALUE(MID(SUBSTITUTE(SUBSTITUTE(SUBSTITUTE(TRIM($P886),"-",""),".",""),"/",""),5,2)),VALUE(RIGHT(SUBSTITUTE(SUBSTITUTE(SUBSTITUTE(TRIM($P886),"-",""),".",""),"/",""),2))),DATEVALUE($P886))),""))</f>
        <v/>
      </c>
      <c r="Y886" s="56" t="str">
        <f aca="false">IF($M886="","",IFERROR(INDEX(강사DB!$D$4:$D$53,MATCH($M886,강사DB!$A$4:$A$53,0)),""))</f>
        <v/>
      </c>
      <c r="Z886" s="56" t="str">
        <f aca="false">IF($B886&lt;&gt;"결제완료","",IF(OR($Y886="",$J886=""),"",$Y886*$J886+MAX(0,N($K886)-1)*설정!$J$7))</f>
        <v/>
      </c>
      <c r="AA886" s="56" t="str">
        <f aca="false">IF(AND($D886&lt;&gt;"",$B886="결제완료"),N($N886),"")</f>
        <v/>
      </c>
      <c r="AB886" s="45" t="str">
        <f aca="false">IF($D886="","",IF($F886&lt;&gt;"",$F886,$D886)&amp;IF($B886="상담중"," (상담)",""))</f>
        <v/>
      </c>
      <c r="AC886" s="45" t="n">
        <f aca="false">IF(AND($D886&lt;&gt;"",OR($B886="결제완료",$B886="상담중")),1,0)</f>
        <v>0</v>
      </c>
      <c r="AD886" s="45" t="n">
        <f aca="false">IF(OR($Z886="",$U886=""),0,IFERROR(IF(COUNTIFS(INDEX(g_grid,0,2*MATCH($M886,강사DB!$A$4:$A$15,0)),"&lt;&gt;",g_s,"&lt;="&amp;$U886,g_e,"&gt;="&amp;$U886)&gt;0,1,0),0))</f>
        <v>0</v>
      </c>
      <c r="AE886" s="48"/>
      <c r="AF886" s="56" t="str">
        <f aca="false">IF(AND($D886&lt;&gt;"",$B886="결제완료",$T886="대여"),설정!$J$5,"")</f>
        <v/>
      </c>
      <c r="AG886" s="54" t="str">
        <f aca="false">IF($D886="","",IF(AND($E886="",$R886=""),$AB886,"☎ "&amp;IF($E886="","-",$E886)&amp;IF($R886&lt;&gt;"","  ※ "&amp;$R886,"")&amp;IF($B886="상담중"," (상담)","")))</f>
        <v/>
      </c>
      <c r="AH886" s="56" t="str">
        <f aca="false">IF(AND($D886&lt;&gt;"",$B886="결제완료",$O886="스마트스토어"),ROUND(N($N886)*설정!$J$6,0),"")</f>
        <v/>
      </c>
      <c r="AI886" s="54" t="str">
        <f aca="false">IF($D886="","",ROW())</f>
        <v/>
      </c>
      <c r="AJ886" s="54" t="n">
        <f aca="false">IF(OR($AC886&lt;&gt;1,$M886=""),0,IF(ISNUMBER(SEARCH("퇴사",IFERROR(INDEX(강사DB!$G$4:$G$53,MATCH($M886,강사DB!$A$4:$A$53,0)),""))),1,0))</f>
        <v>0</v>
      </c>
    </row>
    <row r="887" customFormat="false" ht="15" hidden="false" customHeight="false" outlineLevel="0" collapsed="false">
      <c r="A887" s="45" t="str">
        <f aca="false">IF($D887="","",COUNTA($D$5:$D887))</f>
        <v/>
      </c>
      <c r="B887" s="46"/>
      <c r="C887" s="47"/>
      <c r="D887" s="48"/>
      <c r="E887" s="48"/>
      <c r="F887" s="49"/>
      <c r="G887" s="47"/>
      <c r="H887" s="50"/>
      <c r="I887" s="50"/>
      <c r="J887" s="51" t="str">
        <f aca="false">IF(OR($V887="",$W887=""),"",ROUND(($W887-$V887)/60,2))</f>
        <v/>
      </c>
      <c r="K887" s="52" t="str">
        <f aca="false">IF($F887="","",LEN($F887)-LEN(SUBSTITUTE($F887,",",""))+1)</f>
        <v/>
      </c>
      <c r="L887" s="45" t="str">
        <f aca="false">IF($K887="","","1:"&amp;$K887)</f>
        <v/>
      </c>
      <c r="M887" s="46"/>
      <c r="N887" s="53"/>
      <c r="O887" s="46"/>
      <c r="P887" s="47"/>
      <c r="Q887" s="48"/>
      <c r="R887" s="49"/>
      <c r="S887" s="54" t="str">
        <f aca="false">IF(OR($AC887=0,$U887="",$M887="",$V887="",$W887=""),"",IF(COUNTIFS(m_teacher,$M887,m_date,$U887,m_active,1,m_start,"&lt;"&amp;$W887,m_end,"&gt;"&amp;$V887)&gt;1,"충돌",""))</f>
        <v/>
      </c>
      <c r="T887" s="48"/>
      <c r="U887" s="55" t="str">
        <f aca="false">IF($G887="","",IFERROR(IF(ISNUMBER($G887),IF($G887&gt;19000000,DATE(INT($G887/10000),MOD(INT($G887/100),100),MOD($G887,100)),INT($G887)),IF(LEN(SUBSTITUTE(SUBSTITUTE(SUBSTITUTE(TRIM($G887),"-",""),".",""),"/",""))=8,DATE(VALUE(LEFT(SUBSTITUTE(SUBSTITUTE(SUBSTITUTE(TRIM($G887),"-",""),".",""),"/",""),4)),VALUE(MID(SUBSTITUTE(SUBSTITUTE(SUBSTITUTE(TRIM($G887),"-",""),".",""),"/",""),5,2)),VALUE(RIGHT(SUBSTITUTE(SUBSTITUTE(SUBSTITUTE(TRIM($G887),"-",""),".",""),"/",""),2))),DATEVALUE($G887))),""))</f>
        <v/>
      </c>
      <c r="V887" s="52" t="str">
        <f aca="false">IF($H887="","",IFERROR(IF(IF(ISNUMBER($H887),$H887,IFERROR(TIMEVALUE($H887),VALUE($H887)))&gt;=100,INT(IF(ISNUMBER($H887),$H887,IFERROR(TIMEVALUE($H887),VALUE($H887)))/100)*60+MOD(IF(ISNUMBER($H887),$H887,IFERROR(TIMEVALUE($H887),VALUE($H887))),100),IF(IF(ISNUMBER($H887),$H887,IFERROR(TIMEVALUE($H887),VALUE($H887)))&gt;=1,ROUND(IF(ISNUMBER($H887),$H887,IFERROR(TIMEVALUE($H887),VALUE($H887)))*60,0),ROUND(MOD(IF(ISNUMBER($H887),$H887,IFERROR(TIMEVALUE($H887),VALUE($H887))),1)*1440,0))),""))</f>
        <v/>
      </c>
      <c r="W887" s="52" t="str">
        <f aca="false">IF($I887="","",IFERROR(IF(IF(ISNUMBER($I887),$I887,IFERROR(TIMEVALUE($I887),VALUE($I887)))&gt;=100,INT(IF(ISNUMBER($I887),$I887,IFERROR(TIMEVALUE($I887),VALUE($I887)))/100)*60+MOD(IF(ISNUMBER($I887),$I887,IFERROR(TIMEVALUE($I887),VALUE($I887))),100),IF(IF(ISNUMBER($I887),$I887,IFERROR(TIMEVALUE($I887),VALUE($I887)))&gt;=1,ROUND(IF(ISNUMBER($I887),$I887,IFERROR(TIMEVALUE($I887),VALUE($I887)))*60,0),ROUND(MOD(IF(ISNUMBER($I887),$I887,IFERROR(TIMEVALUE($I887),VALUE($I887))),1)*1440,0))),""))</f>
        <v/>
      </c>
      <c r="X887" s="55" t="str">
        <f aca="false">IF($P887="","",IFERROR(IF(ISNUMBER($P887),IF($P887&gt;19000000,DATE(INT($P887/10000),MOD(INT($P887/100),100),MOD($P887,100)),INT($P887)),IF(LEN(SUBSTITUTE(SUBSTITUTE(SUBSTITUTE(TRIM($P887),"-",""),".",""),"/",""))=8,DATE(VALUE(LEFT(SUBSTITUTE(SUBSTITUTE(SUBSTITUTE(TRIM($P887),"-",""),".",""),"/",""),4)),VALUE(MID(SUBSTITUTE(SUBSTITUTE(SUBSTITUTE(TRIM($P887),"-",""),".",""),"/",""),5,2)),VALUE(RIGHT(SUBSTITUTE(SUBSTITUTE(SUBSTITUTE(TRIM($P887),"-",""),".",""),"/",""),2))),DATEVALUE($P887))),""))</f>
        <v/>
      </c>
      <c r="Y887" s="56" t="str">
        <f aca="false">IF($M887="","",IFERROR(INDEX(강사DB!$D$4:$D$53,MATCH($M887,강사DB!$A$4:$A$53,0)),""))</f>
        <v/>
      </c>
      <c r="Z887" s="56" t="str">
        <f aca="false">IF($B887&lt;&gt;"결제완료","",IF(OR($Y887="",$J887=""),"",$Y887*$J887+MAX(0,N($K887)-1)*설정!$J$7))</f>
        <v/>
      </c>
      <c r="AA887" s="56" t="str">
        <f aca="false">IF(AND($D887&lt;&gt;"",$B887="결제완료"),N($N887),"")</f>
        <v/>
      </c>
      <c r="AB887" s="45" t="str">
        <f aca="false">IF($D887="","",IF($F887&lt;&gt;"",$F887,$D887)&amp;IF($B887="상담중"," (상담)",""))</f>
        <v/>
      </c>
      <c r="AC887" s="45" t="n">
        <f aca="false">IF(AND($D887&lt;&gt;"",OR($B887="결제완료",$B887="상담중")),1,0)</f>
        <v>0</v>
      </c>
      <c r="AD887" s="45" t="n">
        <f aca="false">IF(OR($Z887="",$U887=""),0,IFERROR(IF(COUNTIFS(INDEX(g_grid,0,2*MATCH($M887,강사DB!$A$4:$A$15,0)),"&lt;&gt;",g_s,"&lt;="&amp;$U887,g_e,"&gt;="&amp;$U887)&gt;0,1,0),0))</f>
        <v>0</v>
      </c>
      <c r="AE887" s="48"/>
      <c r="AF887" s="56" t="str">
        <f aca="false">IF(AND($D887&lt;&gt;"",$B887="결제완료",$T887="대여"),설정!$J$5,"")</f>
        <v/>
      </c>
      <c r="AG887" s="54" t="str">
        <f aca="false">IF($D887="","",IF(AND($E887="",$R887=""),$AB887,"☎ "&amp;IF($E887="","-",$E887)&amp;IF($R887&lt;&gt;"","  ※ "&amp;$R887,"")&amp;IF($B887="상담중"," (상담)","")))</f>
        <v/>
      </c>
      <c r="AH887" s="56" t="str">
        <f aca="false">IF(AND($D887&lt;&gt;"",$B887="결제완료",$O887="스마트스토어"),ROUND(N($N887)*설정!$J$6,0),"")</f>
        <v/>
      </c>
      <c r="AI887" s="54" t="str">
        <f aca="false">IF($D887="","",ROW())</f>
        <v/>
      </c>
      <c r="AJ887" s="54" t="n">
        <f aca="false">IF(OR($AC887&lt;&gt;1,$M887=""),0,IF(ISNUMBER(SEARCH("퇴사",IFERROR(INDEX(강사DB!$G$4:$G$53,MATCH($M887,강사DB!$A$4:$A$53,0)),""))),1,0))</f>
        <v>0</v>
      </c>
    </row>
    <row r="888" customFormat="false" ht="15" hidden="false" customHeight="false" outlineLevel="0" collapsed="false">
      <c r="A888" s="45" t="str">
        <f aca="false">IF($D888="","",COUNTA($D$5:$D888))</f>
        <v/>
      </c>
      <c r="B888" s="46"/>
      <c r="C888" s="47"/>
      <c r="D888" s="48"/>
      <c r="E888" s="48"/>
      <c r="F888" s="49"/>
      <c r="G888" s="47"/>
      <c r="H888" s="50"/>
      <c r="I888" s="50"/>
      <c r="J888" s="51" t="str">
        <f aca="false">IF(OR($V888="",$W888=""),"",ROUND(($W888-$V888)/60,2))</f>
        <v/>
      </c>
      <c r="K888" s="52" t="str">
        <f aca="false">IF($F888="","",LEN($F888)-LEN(SUBSTITUTE($F888,",",""))+1)</f>
        <v/>
      </c>
      <c r="L888" s="45" t="str">
        <f aca="false">IF($K888="","","1:"&amp;$K888)</f>
        <v/>
      </c>
      <c r="M888" s="46"/>
      <c r="N888" s="53"/>
      <c r="O888" s="46"/>
      <c r="P888" s="47"/>
      <c r="Q888" s="48"/>
      <c r="R888" s="49"/>
      <c r="S888" s="54" t="str">
        <f aca="false">IF(OR($AC888=0,$U888="",$M888="",$V888="",$W888=""),"",IF(COUNTIFS(m_teacher,$M888,m_date,$U888,m_active,1,m_start,"&lt;"&amp;$W888,m_end,"&gt;"&amp;$V888)&gt;1,"충돌",""))</f>
        <v/>
      </c>
      <c r="T888" s="48"/>
      <c r="U888" s="55" t="str">
        <f aca="false">IF($G888="","",IFERROR(IF(ISNUMBER($G888),IF($G888&gt;19000000,DATE(INT($G888/10000),MOD(INT($G888/100),100),MOD($G888,100)),INT($G888)),IF(LEN(SUBSTITUTE(SUBSTITUTE(SUBSTITUTE(TRIM($G888),"-",""),".",""),"/",""))=8,DATE(VALUE(LEFT(SUBSTITUTE(SUBSTITUTE(SUBSTITUTE(TRIM($G888),"-",""),".",""),"/",""),4)),VALUE(MID(SUBSTITUTE(SUBSTITUTE(SUBSTITUTE(TRIM($G888),"-",""),".",""),"/",""),5,2)),VALUE(RIGHT(SUBSTITUTE(SUBSTITUTE(SUBSTITUTE(TRIM($G888),"-",""),".",""),"/",""),2))),DATEVALUE($G888))),""))</f>
        <v/>
      </c>
      <c r="V888" s="52" t="str">
        <f aca="false">IF($H888="","",IFERROR(IF(IF(ISNUMBER($H888),$H888,IFERROR(TIMEVALUE($H888),VALUE($H888)))&gt;=100,INT(IF(ISNUMBER($H888),$H888,IFERROR(TIMEVALUE($H888),VALUE($H888)))/100)*60+MOD(IF(ISNUMBER($H888),$H888,IFERROR(TIMEVALUE($H888),VALUE($H888))),100),IF(IF(ISNUMBER($H888),$H888,IFERROR(TIMEVALUE($H888),VALUE($H888)))&gt;=1,ROUND(IF(ISNUMBER($H888),$H888,IFERROR(TIMEVALUE($H888),VALUE($H888)))*60,0),ROUND(MOD(IF(ISNUMBER($H888),$H888,IFERROR(TIMEVALUE($H888),VALUE($H888))),1)*1440,0))),""))</f>
        <v/>
      </c>
      <c r="W888" s="52" t="str">
        <f aca="false">IF($I888="","",IFERROR(IF(IF(ISNUMBER($I888),$I888,IFERROR(TIMEVALUE($I888),VALUE($I888)))&gt;=100,INT(IF(ISNUMBER($I888),$I888,IFERROR(TIMEVALUE($I888),VALUE($I888)))/100)*60+MOD(IF(ISNUMBER($I888),$I888,IFERROR(TIMEVALUE($I888),VALUE($I888))),100),IF(IF(ISNUMBER($I888),$I888,IFERROR(TIMEVALUE($I888),VALUE($I888)))&gt;=1,ROUND(IF(ISNUMBER($I888),$I888,IFERROR(TIMEVALUE($I888),VALUE($I888)))*60,0),ROUND(MOD(IF(ISNUMBER($I888),$I888,IFERROR(TIMEVALUE($I888),VALUE($I888))),1)*1440,0))),""))</f>
        <v/>
      </c>
      <c r="X888" s="55" t="str">
        <f aca="false">IF($P888="","",IFERROR(IF(ISNUMBER($P888),IF($P888&gt;19000000,DATE(INT($P888/10000),MOD(INT($P888/100),100),MOD($P888,100)),INT($P888)),IF(LEN(SUBSTITUTE(SUBSTITUTE(SUBSTITUTE(TRIM($P888),"-",""),".",""),"/",""))=8,DATE(VALUE(LEFT(SUBSTITUTE(SUBSTITUTE(SUBSTITUTE(TRIM($P888),"-",""),".",""),"/",""),4)),VALUE(MID(SUBSTITUTE(SUBSTITUTE(SUBSTITUTE(TRIM($P888),"-",""),".",""),"/",""),5,2)),VALUE(RIGHT(SUBSTITUTE(SUBSTITUTE(SUBSTITUTE(TRIM($P888),"-",""),".",""),"/",""),2))),DATEVALUE($P888))),""))</f>
        <v/>
      </c>
      <c r="Y888" s="56" t="str">
        <f aca="false">IF($M888="","",IFERROR(INDEX(강사DB!$D$4:$D$53,MATCH($M888,강사DB!$A$4:$A$53,0)),""))</f>
        <v/>
      </c>
      <c r="Z888" s="56" t="str">
        <f aca="false">IF($B888&lt;&gt;"결제완료","",IF(OR($Y888="",$J888=""),"",$Y888*$J888+MAX(0,N($K888)-1)*설정!$J$7))</f>
        <v/>
      </c>
      <c r="AA888" s="56" t="str">
        <f aca="false">IF(AND($D888&lt;&gt;"",$B888="결제완료"),N($N888),"")</f>
        <v/>
      </c>
      <c r="AB888" s="45" t="str">
        <f aca="false">IF($D888="","",IF($F888&lt;&gt;"",$F888,$D888)&amp;IF($B888="상담중"," (상담)",""))</f>
        <v/>
      </c>
      <c r="AC888" s="45" t="n">
        <f aca="false">IF(AND($D888&lt;&gt;"",OR($B888="결제완료",$B888="상담중")),1,0)</f>
        <v>0</v>
      </c>
      <c r="AD888" s="45" t="n">
        <f aca="false">IF(OR($Z888="",$U888=""),0,IFERROR(IF(COUNTIFS(INDEX(g_grid,0,2*MATCH($M888,강사DB!$A$4:$A$15,0)),"&lt;&gt;",g_s,"&lt;="&amp;$U888,g_e,"&gt;="&amp;$U888)&gt;0,1,0),0))</f>
        <v>0</v>
      </c>
      <c r="AE888" s="48"/>
      <c r="AF888" s="56" t="str">
        <f aca="false">IF(AND($D888&lt;&gt;"",$B888="결제완료",$T888="대여"),설정!$J$5,"")</f>
        <v/>
      </c>
      <c r="AG888" s="54" t="str">
        <f aca="false">IF($D888="","",IF(AND($E888="",$R888=""),$AB888,"☎ "&amp;IF($E888="","-",$E888)&amp;IF($R888&lt;&gt;"","  ※ "&amp;$R888,"")&amp;IF($B888="상담중"," (상담)","")))</f>
        <v/>
      </c>
      <c r="AH888" s="56" t="str">
        <f aca="false">IF(AND($D888&lt;&gt;"",$B888="결제완료",$O888="스마트스토어"),ROUND(N($N888)*설정!$J$6,0),"")</f>
        <v/>
      </c>
      <c r="AI888" s="54" t="str">
        <f aca="false">IF($D888="","",ROW())</f>
        <v/>
      </c>
      <c r="AJ888" s="54" t="n">
        <f aca="false">IF(OR($AC888&lt;&gt;1,$M888=""),0,IF(ISNUMBER(SEARCH("퇴사",IFERROR(INDEX(강사DB!$G$4:$G$53,MATCH($M888,강사DB!$A$4:$A$53,0)),""))),1,0))</f>
        <v>0</v>
      </c>
    </row>
    <row r="889" customFormat="false" ht="15" hidden="false" customHeight="false" outlineLevel="0" collapsed="false">
      <c r="A889" s="45" t="str">
        <f aca="false">IF($D889="","",COUNTA($D$5:$D889))</f>
        <v/>
      </c>
      <c r="B889" s="46"/>
      <c r="C889" s="47"/>
      <c r="D889" s="48"/>
      <c r="E889" s="48"/>
      <c r="F889" s="49"/>
      <c r="G889" s="47"/>
      <c r="H889" s="50"/>
      <c r="I889" s="50"/>
      <c r="J889" s="51" t="str">
        <f aca="false">IF(OR($V889="",$W889=""),"",ROUND(($W889-$V889)/60,2))</f>
        <v/>
      </c>
      <c r="K889" s="52" t="str">
        <f aca="false">IF($F889="","",LEN($F889)-LEN(SUBSTITUTE($F889,",",""))+1)</f>
        <v/>
      </c>
      <c r="L889" s="45" t="str">
        <f aca="false">IF($K889="","","1:"&amp;$K889)</f>
        <v/>
      </c>
      <c r="M889" s="46"/>
      <c r="N889" s="53"/>
      <c r="O889" s="46"/>
      <c r="P889" s="47"/>
      <c r="Q889" s="48"/>
      <c r="R889" s="49"/>
      <c r="S889" s="54" t="str">
        <f aca="false">IF(OR($AC889=0,$U889="",$M889="",$V889="",$W889=""),"",IF(COUNTIFS(m_teacher,$M889,m_date,$U889,m_active,1,m_start,"&lt;"&amp;$W889,m_end,"&gt;"&amp;$V889)&gt;1,"충돌",""))</f>
        <v/>
      </c>
      <c r="T889" s="48"/>
      <c r="U889" s="55" t="str">
        <f aca="false">IF($G889="","",IFERROR(IF(ISNUMBER($G889),IF($G889&gt;19000000,DATE(INT($G889/10000),MOD(INT($G889/100),100),MOD($G889,100)),INT($G889)),IF(LEN(SUBSTITUTE(SUBSTITUTE(SUBSTITUTE(TRIM($G889),"-",""),".",""),"/",""))=8,DATE(VALUE(LEFT(SUBSTITUTE(SUBSTITUTE(SUBSTITUTE(TRIM($G889),"-",""),".",""),"/",""),4)),VALUE(MID(SUBSTITUTE(SUBSTITUTE(SUBSTITUTE(TRIM($G889),"-",""),".",""),"/",""),5,2)),VALUE(RIGHT(SUBSTITUTE(SUBSTITUTE(SUBSTITUTE(TRIM($G889),"-",""),".",""),"/",""),2))),DATEVALUE($G889))),""))</f>
        <v/>
      </c>
      <c r="V889" s="52" t="str">
        <f aca="false">IF($H889="","",IFERROR(IF(IF(ISNUMBER($H889),$H889,IFERROR(TIMEVALUE($H889),VALUE($H889)))&gt;=100,INT(IF(ISNUMBER($H889),$H889,IFERROR(TIMEVALUE($H889),VALUE($H889)))/100)*60+MOD(IF(ISNUMBER($H889),$H889,IFERROR(TIMEVALUE($H889),VALUE($H889))),100),IF(IF(ISNUMBER($H889),$H889,IFERROR(TIMEVALUE($H889),VALUE($H889)))&gt;=1,ROUND(IF(ISNUMBER($H889),$H889,IFERROR(TIMEVALUE($H889),VALUE($H889)))*60,0),ROUND(MOD(IF(ISNUMBER($H889),$H889,IFERROR(TIMEVALUE($H889),VALUE($H889))),1)*1440,0))),""))</f>
        <v/>
      </c>
      <c r="W889" s="52" t="str">
        <f aca="false">IF($I889="","",IFERROR(IF(IF(ISNUMBER($I889),$I889,IFERROR(TIMEVALUE($I889),VALUE($I889)))&gt;=100,INT(IF(ISNUMBER($I889),$I889,IFERROR(TIMEVALUE($I889),VALUE($I889)))/100)*60+MOD(IF(ISNUMBER($I889),$I889,IFERROR(TIMEVALUE($I889),VALUE($I889))),100),IF(IF(ISNUMBER($I889),$I889,IFERROR(TIMEVALUE($I889),VALUE($I889)))&gt;=1,ROUND(IF(ISNUMBER($I889),$I889,IFERROR(TIMEVALUE($I889),VALUE($I889)))*60,0),ROUND(MOD(IF(ISNUMBER($I889),$I889,IFERROR(TIMEVALUE($I889),VALUE($I889))),1)*1440,0))),""))</f>
        <v/>
      </c>
      <c r="X889" s="55" t="str">
        <f aca="false">IF($P889="","",IFERROR(IF(ISNUMBER($P889),IF($P889&gt;19000000,DATE(INT($P889/10000),MOD(INT($P889/100),100),MOD($P889,100)),INT($P889)),IF(LEN(SUBSTITUTE(SUBSTITUTE(SUBSTITUTE(TRIM($P889),"-",""),".",""),"/",""))=8,DATE(VALUE(LEFT(SUBSTITUTE(SUBSTITUTE(SUBSTITUTE(TRIM($P889),"-",""),".",""),"/",""),4)),VALUE(MID(SUBSTITUTE(SUBSTITUTE(SUBSTITUTE(TRIM($P889),"-",""),".",""),"/",""),5,2)),VALUE(RIGHT(SUBSTITUTE(SUBSTITUTE(SUBSTITUTE(TRIM($P889),"-",""),".",""),"/",""),2))),DATEVALUE($P889))),""))</f>
        <v/>
      </c>
      <c r="Y889" s="56" t="str">
        <f aca="false">IF($M889="","",IFERROR(INDEX(강사DB!$D$4:$D$53,MATCH($M889,강사DB!$A$4:$A$53,0)),""))</f>
        <v/>
      </c>
      <c r="Z889" s="56" t="str">
        <f aca="false">IF($B889&lt;&gt;"결제완료","",IF(OR($Y889="",$J889=""),"",$Y889*$J889+MAX(0,N($K889)-1)*설정!$J$7))</f>
        <v/>
      </c>
      <c r="AA889" s="56" t="str">
        <f aca="false">IF(AND($D889&lt;&gt;"",$B889="결제완료"),N($N889),"")</f>
        <v/>
      </c>
      <c r="AB889" s="45" t="str">
        <f aca="false">IF($D889="","",IF($F889&lt;&gt;"",$F889,$D889)&amp;IF($B889="상담중"," (상담)",""))</f>
        <v/>
      </c>
      <c r="AC889" s="45" t="n">
        <f aca="false">IF(AND($D889&lt;&gt;"",OR($B889="결제완료",$B889="상담중")),1,0)</f>
        <v>0</v>
      </c>
      <c r="AD889" s="45" t="n">
        <f aca="false">IF(OR($Z889="",$U889=""),0,IFERROR(IF(COUNTIFS(INDEX(g_grid,0,2*MATCH($M889,강사DB!$A$4:$A$15,0)),"&lt;&gt;",g_s,"&lt;="&amp;$U889,g_e,"&gt;="&amp;$U889)&gt;0,1,0),0))</f>
        <v>0</v>
      </c>
      <c r="AE889" s="48"/>
      <c r="AF889" s="56" t="str">
        <f aca="false">IF(AND($D889&lt;&gt;"",$B889="결제완료",$T889="대여"),설정!$J$5,"")</f>
        <v/>
      </c>
      <c r="AG889" s="54" t="str">
        <f aca="false">IF($D889="","",IF(AND($E889="",$R889=""),$AB889,"☎ "&amp;IF($E889="","-",$E889)&amp;IF($R889&lt;&gt;"","  ※ "&amp;$R889,"")&amp;IF($B889="상담중"," (상담)","")))</f>
        <v/>
      </c>
      <c r="AH889" s="56" t="str">
        <f aca="false">IF(AND($D889&lt;&gt;"",$B889="결제완료",$O889="스마트스토어"),ROUND(N($N889)*설정!$J$6,0),"")</f>
        <v/>
      </c>
      <c r="AI889" s="54" t="str">
        <f aca="false">IF($D889="","",ROW())</f>
        <v/>
      </c>
      <c r="AJ889" s="54" t="n">
        <f aca="false">IF(OR($AC889&lt;&gt;1,$M889=""),0,IF(ISNUMBER(SEARCH("퇴사",IFERROR(INDEX(강사DB!$G$4:$G$53,MATCH($M889,강사DB!$A$4:$A$53,0)),""))),1,0))</f>
        <v>0</v>
      </c>
    </row>
    <row r="890" customFormat="false" ht="15" hidden="false" customHeight="false" outlineLevel="0" collapsed="false">
      <c r="A890" s="45" t="str">
        <f aca="false">IF($D890="","",COUNTA($D$5:$D890))</f>
        <v/>
      </c>
      <c r="B890" s="46"/>
      <c r="C890" s="47"/>
      <c r="D890" s="48"/>
      <c r="E890" s="48"/>
      <c r="F890" s="49"/>
      <c r="G890" s="47"/>
      <c r="H890" s="50"/>
      <c r="I890" s="50"/>
      <c r="J890" s="51" t="str">
        <f aca="false">IF(OR($V890="",$W890=""),"",ROUND(($W890-$V890)/60,2))</f>
        <v/>
      </c>
      <c r="K890" s="52" t="str">
        <f aca="false">IF($F890="","",LEN($F890)-LEN(SUBSTITUTE($F890,",",""))+1)</f>
        <v/>
      </c>
      <c r="L890" s="45" t="str">
        <f aca="false">IF($K890="","","1:"&amp;$K890)</f>
        <v/>
      </c>
      <c r="M890" s="46"/>
      <c r="N890" s="53"/>
      <c r="O890" s="46"/>
      <c r="P890" s="47"/>
      <c r="Q890" s="48"/>
      <c r="R890" s="49"/>
      <c r="S890" s="54" t="str">
        <f aca="false">IF(OR($AC890=0,$U890="",$M890="",$V890="",$W890=""),"",IF(COUNTIFS(m_teacher,$M890,m_date,$U890,m_active,1,m_start,"&lt;"&amp;$W890,m_end,"&gt;"&amp;$V890)&gt;1,"충돌",""))</f>
        <v/>
      </c>
      <c r="T890" s="48"/>
      <c r="U890" s="55" t="str">
        <f aca="false">IF($G890="","",IFERROR(IF(ISNUMBER($G890),IF($G890&gt;19000000,DATE(INT($G890/10000),MOD(INT($G890/100),100),MOD($G890,100)),INT($G890)),IF(LEN(SUBSTITUTE(SUBSTITUTE(SUBSTITUTE(TRIM($G890),"-",""),".",""),"/",""))=8,DATE(VALUE(LEFT(SUBSTITUTE(SUBSTITUTE(SUBSTITUTE(TRIM($G890),"-",""),".",""),"/",""),4)),VALUE(MID(SUBSTITUTE(SUBSTITUTE(SUBSTITUTE(TRIM($G890),"-",""),".",""),"/",""),5,2)),VALUE(RIGHT(SUBSTITUTE(SUBSTITUTE(SUBSTITUTE(TRIM($G890),"-",""),".",""),"/",""),2))),DATEVALUE($G890))),""))</f>
        <v/>
      </c>
      <c r="V890" s="52" t="str">
        <f aca="false">IF($H890="","",IFERROR(IF(IF(ISNUMBER($H890),$H890,IFERROR(TIMEVALUE($H890),VALUE($H890)))&gt;=100,INT(IF(ISNUMBER($H890),$H890,IFERROR(TIMEVALUE($H890),VALUE($H890)))/100)*60+MOD(IF(ISNUMBER($H890),$H890,IFERROR(TIMEVALUE($H890),VALUE($H890))),100),IF(IF(ISNUMBER($H890),$H890,IFERROR(TIMEVALUE($H890),VALUE($H890)))&gt;=1,ROUND(IF(ISNUMBER($H890),$H890,IFERROR(TIMEVALUE($H890),VALUE($H890)))*60,0),ROUND(MOD(IF(ISNUMBER($H890),$H890,IFERROR(TIMEVALUE($H890),VALUE($H890))),1)*1440,0))),""))</f>
        <v/>
      </c>
      <c r="W890" s="52" t="str">
        <f aca="false">IF($I890="","",IFERROR(IF(IF(ISNUMBER($I890),$I890,IFERROR(TIMEVALUE($I890),VALUE($I890)))&gt;=100,INT(IF(ISNUMBER($I890),$I890,IFERROR(TIMEVALUE($I890),VALUE($I890)))/100)*60+MOD(IF(ISNUMBER($I890),$I890,IFERROR(TIMEVALUE($I890),VALUE($I890))),100),IF(IF(ISNUMBER($I890),$I890,IFERROR(TIMEVALUE($I890),VALUE($I890)))&gt;=1,ROUND(IF(ISNUMBER($I890),$I890,IFERROR(TIMEVALUE($I890),VALUE($I890)))*60,0),ROUND(MOD(IF(ISNUMBER($I890),$I890,IFERROR(TIMEVALUE($I890),VALUE($I890))),1)*1440,0))),""))</f>
        <v/>
      </c>
      <c r="X890" s="55" t="str">
        <f aca="false">IF($P890="","",IFERROR(IF(ISNUMBER($P890),IF($P890&gt;19000000,DATE(INT($P890/10000),MOD(INT($P890/100),100),MOD($P890,100)),INT($P890)),IF(LEN(SUBSTITUTE(SUBSTITUTE(SUBSTITUTE(TRIM($P890),"-",""),".",""),"/",""))=8,DATE(VALUE(LEFT(SUBSTITUTE(SUBSTITUTE(SUBSTITUTE(TRIM($P890),"-",""),".",""),"/",""),4)),VALUE(MID(SUBSTITUTE(SUBSTITUTE(SUBSTITUTE(TRIM($P890),"-",""),".",""),"/",""),5,2)),VALUE(RIGHT(SUBSTITUTE(SUBSTITUTE(SUBSTITUTE(TRIM($P890),"-",""),".",""),"/",""),2))),DATEVALUE($P890))),""))</f>
        <v/>
      </c>
      <c r="Y890" s="56" t="str">
        <f aca="false">IF($M890="","",IFERROR(INDEX(강사DB!$D$4:$D$53,MATCH($M890,강사DB!$A$4:$A$53,0)),""))</f>
        <v/>
      </c>
      <c r="Z890" s="56" t="str">
        <f aca="false">IF($B890&lt;&gt;"결제완료","",IF(OR($Y890="",$J890=""),"",$Y890*$J890+MAX(0,N($K890)-1)*설정!$J$7))</f>
        <v/>
      </c>
      <c r="AA890" s="56" t="str">
        <f aca="false">IF(AND($D890&lt;&gt;"",$B890="결제완료"),N($N890),"")</f>
        <v/>
      </c>
      <c r="AB890" s="45" t="str">
        <f aca="false">IF($D890="","",IF($F890&lt;&gt;"",$F890,$D890)&amp;IF($B890="상담중"," (상담)",""))</f>
        <v/>
      </c>
      <c r="AC890" s="45" t="n">
        <f aca="false">IF(AND($D890&lt;&gt;"",OR($B890="결제완료",$B890="상담중")),1,0)</f>
        <v>0</v>
      </c>
      <c r="AD890" s="45" t="n">
        <f aca="false">IF(OR($Z890="",$U890=""),0,IFERROR(IF(COUNTIFS(INDEX(g_grid,0,2*MATCH($M890,강사DB!$A$4:$A$15,0)),"&lt;&gt;",g_s,"&lt;="&amp;$U890,g_e,"&gt;="&amp;$U890)&gt;0,1,0),0))</f>
        <v>0</v>
      </c>
      <c r="AE890" s="48"/>
      <c r="AF890" s="56" t="str">
        <f aca="false">IF(AND($D890&lt;&gt;"",$B890="결제완료",$T890="대여"),설정!$J$5,"")</f>
        <v/>
      </c>
      <c r="AG890" s="54" t="str">
        <f aca="false">IF($D890="","",IF(AND($E890="",$R890=""),$AB890,"☎ "&amp;IF($E890="","-",$E890)&amp;IF($R890&lt;&gt;"","  ※ "&amp;$R890,"")&amp;IF($B890="상담중"," (상담)","")))</f>
        <v/>
      </c>
      <c r="AH890" s="56" t="str">
        <f aca="false">IF(AND($D890&lt;&gt;"",$B890="결제완료",$O890="스마트스토어"),ROUND(N($N890)*설정!$J$6,0),"")</f>
        <v/>
      </c>
      <c r="AI890" s="54" t="str">
        <f aca="false">IF($D890="","",ROW())</f>
        <v/>
      </c>
      <c r="AJ890" s="54" t="n">
        <f aca="false">IF(OR($AC890&lt;&gt;1,$M890=""),0,IF(ISNUMBER(SEARCH("퇴사",IFERROR(INDEX(강사DB!$G$4:$G$53,MATCH($M890,강사DB!$A$4:$A$53,0)),""))),1,0))</f>
        <v>0</v>
      </c>
    </row>
    <row r="891" customFormat="false" ht="15" hidden="false" customHeight="false" outlineLevel="0" collapsed="false">
      <c r="A891" s="45" t="str">
        <f aca="false">IF($D891="","",COUNTA($D$5:$D891))</f>
        <v/>
      </c>
      <c r="B891" s="46"/>
      <c r="C891" s="47"/>
      <c r="D891" s="48"/>
      <c r="E891" s="48"/>
      <c r="F891" s="49"/>
      <c r="G891" s="47"/>
      <c r="H891" s="50"/>
      <c r="I891" s="50"/>
      <c r="J891" s="51" t="str">
        <f aca="false">IF(OR($V891="",$W891=""),"",ROUND(($W891-$V891)/60,2))</f>
        <v/>
      </c>
      <c r="K891" s="52" t="str">
        <f aca="false">IF($F891="","",LEN($F891)-LEN(SUBSTITUTE($F891,",",""))+1)</f>
        <v/>
      </c>
      <c r="L891" s="45" t="str">
        <f aca="false">IF($K891="","","1:"&amp;$K891)</f>
        <v/>
      </c>
      <c r="M891" s="46"/>
      <c r="N891" s="53"/>
      <c r="O891" s="46"/>
      <c r="P891" s="47"/>
      <c r="Q891" s="48"/>
      <c r="R891" s="49"/>
      <c r="S891" s="54" t="str">
        <f aca="false">IF(OR($AC891=0,$U891="",$M891="",$V891="",$W891=""),"",IF(COUNTIFS(m_teacher,$M891,m_date,$U891,m_active,1,m_start,"&lt;"&amp;$W891,m_end,"&gt;"&amp;$V891)&gt;1,"충돌",""))</f>
        <v/>
      </c>
      <c r="T891" s="48"/>
      <c r="U891" s="55" t="str">
        <f aca="false">IF($G891="","",IFERROR(IF(ISNUMBER($G891),IF($G891&gt;19000000,DATE(INT($G891/10000),MOD(INT($G891/100),100),MOD($G891,100)),INT($G891)),IF(LEN(SUBSTITUTE(SUBSTITUTE(SUBSTITUTE(TRIM($G891),"-",""),".",""),"/",""))=8,DATE(VALUE(LEFT(SUBSTITUTE(SUBSTITUTE(SUBSTITUTE(TRIM($G891),"-",""),".",""),"/",""),4)),VALUE(MID(SUBSTITUTE(SUBSTITUTE(SUBSTITUTE(TRIM($G891),"-",""),".",""),"/",""),5,2)),VALUE(RIGHT(SUBSTITUTE(SUBSTITUTE(SUBSTITUTE(TRIM($G891),"-",""),".",""),"/",""),2))),DATEVALUE($G891))),""))</f>
        <v/>
      </c>
      <c r="V891" s="52" t="str">
        <f aca="false">IF($H891="","",IFERROR(IF(IF(ISNUMBER($H891),$H891,IFERROR(TIMEVALUE($H891),VALUE($H891)))&gt;=100,INT(IF(ISNUMBER($H891),$H891,IFERROR(TIMEVALUE($H891),VALUE($H891)))/100)*60+MOD(IF(ISNUMBER($H891),$H891,IFERROR(TIMEVALUE($H891),VALUE($H891))),100),IF(IF(ISNUMBER($H891),$H891,IFERROR(TIMEVALUE($H891),VALUE($H891)))&gt;=1,ROUND(IF(ISNUMBER($H891),$H891,IFERROR(TIMEVALUE($H891),VALUE($H891)))*60,0),ROUND(MOD(IF(ISNUMBER($H891),$H891,IFERROR(TIMEVALUE($H891),VALUE($H891))),1)*1440,0))),""))</f>
        <v/>
      </c>
      <c r="W891" s="52" t="str">
        <f aca="false">IF($I891="","",IFERROR(IF(IF(ISNUMBER($I891),$I891,IFERROR(TIMEVALUE($I891),VALUE($I891)))&gt;=100,INT(IF(ISNUMBER($I891),$I891,IFERROR(TIMEVALUE($I891),VALUE($I891)))/100)*60+MOD(IF(ISNUMBER($I891),$I891,IFERROR(TIMEVALUE($I891),VALUE($I891))),100),IF(IF(ISNUMBER($I891),$I891,IFERROR(TIMEVALUE($I891),VALUE($I891)))&gt;=1,ROUND(IF(ISNUMBER($I891),$I891,IFERROR(TIMEVALUE($I891),VALUE($I891)))*60,0),ROUND(MOD(IF(ISNUMBER($I891),$I891,IFERROR(TIMEVALUE($I891),VALUE($I891))),1)*1440,0))),""))</f>
        <v/>
      </c>
      <c r="X891" s="55" t="str">
        <f aca="false">IF($P891="","",IFERROR(IF(ISNUMBER($P891),IF($P891&gt;19000000,DATE(INT($P891/10000),MOD(INT($P891/100),100),MOD($P891,100)),INT($P891)),IF(LEN(SUBSTITUTE(SUBSTITUTE(SUBSTITUTE(TRIM($P891),"-",""),".",""),"/",""))=8,DATE(VALUE(LEFT(SUBSTITUTE(SUBSTITUTE(SUBSTITUTE(TRIM($P891),"-",""),".",""),"/",""),4)),VALUE(MID(SUBSTITUTE(SUBSTITUTE(SUBSTITUTE(TRIM($P891),"-",""),".",""),"/",""),5,2)),VALUE(RIGHT(SUBSTITUTE(SUBSTITUTE(SUBSTITUTE(TRIM($P891),"-",""),".",""),"/",""),2))),DATEVALUE($P891))),""))</f>
        <v/>
      </c>
      <c r="Y891" s="56" t="str">
        <f aca="false">IF($M891="","",IFERROR(INDEX(강사DB!$D$4:$D$53,MATCH($M891,강사DB!$A$4:$A$53,0)),""))</f>
        <v/>
      </c>
      <c r="Z891" s="56" t="str">
        <f aca="false">IF($B891&lt;&gt;"결제완료","",IF(OR($Y891="",$J891=""),"",$Y891*$J891+MAX(0,N($K891)-1)*설정!$J$7))</f>
        <v/>
      </c>
      <c r="AA891" s="56" t="str">
        <f aca="false">IF(AND($D891&lt;&gt;"",$B891="결제완료"),N($N891),"")</f>
        <v/>
      </c>
      <c r="AB891" s="45" t="str">
        <f aca="false">IF($D891="","",IF($F891&lt;&gt;"",$F891,$D891)&amp;IF($B891="상담중"," (상담)",""))</f>
        <v/>
      </c>
      <c r="AC891" s="45" t="n">
        <f aca="false">IF(AND($D891&lt;&gt;"",OR($B891="결제완료",$B891="상담중")),1,0)</f>
        <v>0</v>
      </c>
      <c r="AD891" s="45" t="n">
        <f aca="false">IF(OR($Z891="",$U891=""),0,IFERROR(IF(COUNTIFS(INDEX(g_grid,0,2*MATCH($M891,강사DB!$A$4:$A$15,0)),"&lt;&gt;",g_s,"&lt;="&amp;$U891,g_e,"&gt;="&amp;$U891)&gt;0,1,0),0))</f>
        <v>0</v>
      </c>
      <c r="AE891" s="48"/>
      <c r="AF891" s="56" t="str">
        <f aca="false">IF(AND($D891&lt;&gt;"",$B891="결제완료",$T891="대여"),설정!$J$5,"")</f>
        <v/>
      </c>
      <c r="AG891" s="54" t="str">
        <f aca="false">IF($D891="","",IF(AND($E891="",$R891=""),$AB891,"☎ "&amp;IF($E891="","-",$E891)&amp;IF($R891&lt;&gt;"","  ※ "&amp;$R891,"")&amp;IF($B891="상담중"," (상담)","")))</f>
        <v/>
      </c>
      <c r="AH891" s="56" t="str">
        <f aca="false">IF(AND($D891&lt;&gt;"",$B891="결제완료",$O891="스마트스토어"),ROUND(N($N891)*설정!$J$6,0),"")</f>
        <v/>
      </c>
      <c r="AI891" s="54" t="str">
        <f aca="false">IF($D891="","",ROW())</f>
        <v/>
      </c>
      <c r="AJ891" s="54" t="n">
        <f aca="false">IF(OR($AC891&lt;&gt;1,$M891=""),0,IF(ISNUMBER(SEARCH("퇴사",IFERROR(INDEX(강사DB!$G$4:$G$53,MATCH($M891,강사DB!$A$4:$A$53,0)),""))),1,0))</f>
        <v>0</v>
      </c>
    </row>
    <row r="892" customFormat="false" ht="15" hidden="false" customHeight="false" outlineLevel="0" collapsed="false">
      <c r="A892" s="45" t="str">
        <f aca="false">IF($D892="","",COUNTA($D$5:$D892))</f>
        <v/>
      </c>
      <c r="B892" s="46"/>
      <c r="C892" s="47"/>
      <c r="D892" s="48"/>
      <c r="E892" s="48"/>
      <c r="F892" s="49"/>
      <c r="G892" s="47"/>
      <c r="H892" s="50"/>
      <c r="I892" s="50"/>
      <c r="J892" s="51" t="str">
        <f aca="false">IF(OR($V892="",$W892=""),"",ROUND(($W892-$V892)/60,2))</f>
        <v/>
      </c>
      <c r="K892" s="52" t="str">
        <f aca="false">IF($F892="","",LEN($F892)-LEN(SUBSTITUTE($F892,",",""))+1)</f>
        <v/>
      </c>
      <c r="L892" s="45" t="str">
        <f aca="false">IF($K892="","","1:"&amp;$K892)</f>
        <v/>
      </c>
      <c r="M892" s="46"/>
      <c r="N892" s="53"/>
      <c r="O892" s="46"/>
      <c r="P892" s="47"/>
      <c r="Q892" s="48"/>
      <c r="R892" s="49"/>
      <c r="S892" s="54" t="str">
        <f aca="false">IF(OR($AC892=0,$U892="",$M892="",$V892="",$W892=""),"",IF(COUNTIFS(m_teacher,$M892,m_date,$U892,m_active,1,m_start,"&lt;"&amp;$W892,m_end,"&gt;"&amp;$V892)&gt;1,"충돌",""))</f>
        <v/>
      </c>
      <c r="T892" s="48"/>
      <c r="U892" s="55" t="str">
        <f aca="false">IF($G892="","",IFERROR(IF(ISNUMBER($G892),IF($G892&gt;19000000,DATE(INT($G892/10000),MOD(INT($G892/100),100),MOD($G892,100)),INT($G892)),IF(LEN(SUBSTITUTE(SUBSTITUTE(SUBSTITUTE(TRIM($G892),"-",""),".",""),"/",""))=8,DATE(VALUE(LEFT(SUBSTITUTE(SUBSTITUTE(SUBSTITUTE(TRIM($G892),"-",""),".",""),"/",""),4)),VALUE(MID(SUBSTITUTE(SUBSTITUTE(SUBSTITUTE(TRIM($G892),"-",""),".",""),"/",""),5,2)),VALUE(RIGHT(SUBSTITUTE(SUBSTITUTE(SUBSTITUTE(TRIM($G892),"-",""),".",""),"/",""),2))),DATEVALUE($G892))),""))</f>
        <v/>
      </c>
      <c r="V892" s="52" t="str">
        <f aca="false">IF($H892="","",IFERROR(IF(IF(ISNUMBER($H892),$H892,IFERROR(TIMEVALUE($H892),VALUE($H892)))&gt;=100,INT(IF(ISNUMBER($H892),$H892,IFERROR(TIMEVALUE($H892),VALUE($H892)))/100)*60+MOD(IF(ISNUMBER($H892),$H892,IFERROR(TIMEVALUE($H892),VALUE($H892))),100),IF(IF(ISNUMBER($H892),$H892,IFERROR(TIMEVALUE($H892),VALUE($H892)))&gt;=1,ROUND(IF(ISNUMBER($H892),$H892,IFERROR(TIMEVALUE($H892),VALUE($H892)))*60,0),ROUND(MOD(IF(ISNUMBER($H892),$H892,IFERROR(TIMEVALUE($H892),VALUE($H892))),1)*1440,0))),""))</f>
        <v/>
      </c>
      <c r="W892" s="52" t="str">
        <f aca="false">IF($I892="","",IFERROR(IF(IF(ISNUMBER($I892),$I892,IFERROR(TIMEVALUE($I892),VALUE($I892)))&gt;=100,INT(IF(ISNUMBER($I892),$I892,IFERROR(TIMEVALUE($I892),VALUE($I892)))/100)*60+MOD(IF(ISNUMBER($I892),$I892,IFERROR(TIMEVALUE($I892),VALUE($I892))),100),IF(IF(ISNUMBER($I892),$I892,IFERROR(TIMEVALUE($I892),VALUE($I892)))&gt;=1,ROUND(IF(ISNUMBER($I892),$I892,IFERROR(TIMEVALUE($I892),VALUE($I892)))*60,0),ROUND(MOD(IF(ISNUMBER($I892),$I892,IFERROR(TIMEVALUE($I892),VALUE($I892))),1)*1440,0))),""))</f>
        <v/>
      </c>
      <c r="X892" s="55" t="str">
        <f aca="false">IF($P892="","",IFERROR(IF(ISNUMBER($P892),IF($P892&gt;19000000,DATE(INT($P892/10000),MOD(INT($P892/100),100),MOD($P892,100)),INT($P892)),IF(LEN(SUBSTITUTE(SUBSTITUTE(SUBSTITUTE(TRIM($P892),"-",""),".",""),"/",""))=8,DATE(VALUE(LEFT(SUBSTITUTE(SUBSTITUTE(SUBSTITUTE(TRIM($P892),"-",""),".",""),"/",""),4)),VALUE(MID(SUBSTITUTE(SUBSTITUTE(SUBSTITUTE(TRIM($P892),"-",""),".",""),"/",""),5,2)),VALUE(RIGHT(SUBSTITUTE(SUBSTITUTE(SUBSTITUTE(TRIM($P892),"-",""),".",""),"/",""),2))),DATEVALUE($P892))),""))</f>
        <v/>
      </c>
      <c r="Y892" s="56" t="str">
        <f aca="false">IF($M892="","",IFERROR(INDEX(강사DB!$D$4:$D$53,MATCH($M892,강사DB!$A$4:$A$53,0)),""))</f>
        <v/>
      </c>
      <c r="Z892" s="56" t="str">
        <f aca="false">IF($B892&lt;&gt;"결제완료","",IF(OR($Y892="",$J892=""),"",$Y892*$J892+MAX(0,N($K892)-1)*설정!$J$7))</f>
        <v/>
      </c>
      <c r="AA892" s="56" t="str">
        <f aca="false">IF(AND($D892&lt;&gt;"",$B892="결제완료"),N($N892),"")</f>
        <v/>
      </c>
      <c r="AB892" s="45" t="str">
        <f aca="false">IF($D892="","",IF($F892&lt;&gt;"",$F892,$D892)&amp;IF($B892="상담중"," (상담)",""))</f>
        <v/>
      </c>
      <c r="AC892" s="45" t="n">
        <f aca="false">IF(AND($D892&lt;&gt;"",OR($B892="결제완료",$B892="상담중")),1,0)</f>
        <v>0</v>
      </c>
      <c r="AD892" s="45" t="n">
        <f aca="false">IF(OR($Z892="",$U892=""),0,IFERROR(IF(COUNTIFS(INDEX(g_grid,0,2*MATCH($M892,강사DB!$A$4:$A$15,0)),"&lt;&gt;",g_s,"&lt;="&amp;$U892,g_e,"&gt;="&amp;$U892)&gt;0,1,0),0))</f>
        <v>0</v>
      </c>
      <c r="AE892" s="48"/>
      <c r="AF892" s="56" t="str">
        <f aca="false">IF(AND($D892&lt;&gt;"",$B892="결제완료",$T892="대여"),설정!$J$5,"")</f>
        <v/>
      </c>
      <c r="AG892" s="54" t="str">
        <f aca="false">IF($D892="","",IF(AND($E892="",$R892=""),$AB892,"☎ "&amp;IF($E892="","-",$E892)&amp;IF($R892&lt;&gt;"","  ※ "&amp;$R892,"")&amp;IF($B892="상담중"," (상담)","")))</f>
        <v/>
      </c>
      <c r="AH892" s="56" t="str">
        <f aca="false">IF(AND($D892&lt;&gt;"",$B892="결제완료",$O892="스마트스토어"),ROUND(N($N892)*설정!$J$6,0),"")</f>
        <v/>
      </c>
      <c r="AI892" s="54" t="str">
        <f aca="false">IF($D892="","",ROW())</f>
        <v/>
      </c>
      <c r="AJ892" s="54" t="n">
        <f aca="false">IF(OR($AC892&lt;&gt;1,$M892=""),0,IF(ISNUMBER(SEARCH("퇴사",IFERROR(INDEX(강사DB!$G$4:$G$53,MATCH($M892,강사DB!$A$4:$A$53,0)),""))),1,0))</f>
        <v>0</v>
      </c>
    </row>
    <row r="893" customFormat="false" ht="15" hidden="false" customHeight="false" outlineLevel="0" collapsed="false">
      <c r="A893" s="45" t="str">
        <f aca="false">IF($D893="","",COUNTA($D$5:$D893))</f>
        <v/>
      </c>
      <c r="B893" s="46"/>
      <c r="C893" s="47"/>
      <c r="D893" s="48"/>
      <c r="E893" s="48"/>
      <c r="F893" s="49"/>
      <c r="G893" s="47"/>
      <c r="H893" s="50"/>
      <c r="I893" s="50"/>
      <c r="J893" s="51" t="str">
        <f aca="false">IF(OR($V893="",$W893=""),"",ROUND(($W893-$V893)/60,2))</f>
        <v/>
      </c>
      <c r="K893" s="52" t="str">
        <f aca="false">IF($F893="","",LEN($F893)-LEN(SUBSTITUTE($F893,",",""))+1)</f>
        <v/>
      </c>
      <c r="L893" s="45" t="str">
        <f aca="false">IF($K893="","","1:"&amp;$K893)</f>
        <v/>
      </c>
      <c r="M893" s="46"/>
      <c r="N893" s="53"/>
      <c r="O893" s="46"/>
      <c r="P893" s="47"/>
      <c r="Q893" s="48"/>
      <c r="R893" s="49"/>
      <c r="S893" s="54" t="str">
        <f aca="false">IF(OR($AC893=0,$U893="",$M893="",$V893="",$W893=""),"",IF(COUNTIFS(m_teacher,$M893,m_date,$U893,m_active,1,m_start,"&lt;"&amp;$W893,m_end,"&gt;"&amp;$V893)&gt;1,"충돌",""))</f>
        <v/>
      </c>
      <c r="T893" s="48"/>
      <c r="U893" s="55" t="str">
        <f aca="false">IF($G893="","",IFERROR(IF(ISNUMBER($G893),IF($G893&gt;19000000,DATE(INT($G893/10000),MOD(INT($G893/100),100),MOD($G893,100)),INT($G893)),IF(LEN(SUBSTITUTE(SUBSTITUTE(SUBSTITUTE(TRIM($G893),"-",""),".",""),"/",""))=8,DATE(VALUE(LEFT(SUBSTITUTE(SUBSTITUTE(SUBSTITUTE(TRIM($G893),"-",""),".",""),"/",""),4)),VALUE(MID(SUBSTITUTE(SUBSTITUTE(SUBSTITUTE(TRIM($G893),"-",""),".",""),"/",""),5,2)),VALUE(RIGHT(SUBSTITUTE(SUBSTITUTE(SUBSTITUTE(TRIM($G893),"-",""),".",""),"/",""),2))),DATEVALUE($G893))),""))</f>
        <v/>
      </c>
      <c r="V893" s="52" t="str">
        <f aca="false">IF($H893="","",IFERROR(IF(IF(ISNUMBER($H893),$H893,IFERROR(TIMEVALUE($H893),VALUE($H893)))&gt;=100,INT(IF(ISNUMBER($H893),$H893,IFERROR(TIMEVALUE($H893),VALUE($H893)))/100)*60+MOD(IF(ISNUMBER($H893),$H893,IFERROR(TIMEVALUE($H893),VALUE($H893))),100),IF(IF(ISNUMBER($H893),$H893,IFERROR(TIMEVALUE($H893),VALUE($H893)))&gt;=1,ROUND(IF(ISNUMBER($H893),$H893,IFERROR(TIMEVALUE($H893),VALUE($H893)))*60,0),ROUND(MOD(IF(ISNUMBER($H893),$H893,IFERROR(TIMEVALUE($H893),VALUE($H893))),1)*1440,0))),""))</f>
        <v/>
      </c>
      <c r="W893" s="52" t="str">
        <f aca="false">IF($I893="","",IFERROR(IF(IF(ISNUMBER($I893),$I893,IFERROR(TIMEVALUE($I893),VALUE($I893)))&gt;=100,INT(IF(ISNUMBER($I893),$I893,IFERROR(TIMEVALUE($I893),VALUE($I893)))/100)*60+MOD(IF(ISNUMBER($I893),$I893,IFERROR(TIMEVALUE($I893),VALUE($I893))),100),IF(IF(ISNUMBER($I893),$I893,IFERROR(TIMEVALUE($I893),VALUE($I893)))&gt;=1,ROUND(IF(ISNUMBER($I893),$I893,IFERROR(TIMEVALUE($I893),VALUE($I893)))*60,0),ROUND(MOD(IF(ISNUMBER($I893),$I893,IFERROR(TIMEVALUE($I893),VALUE($I893))),1)*1440,0))),""))</f>
        <v/>
      </c>
      <c r="X893" s="55" t="str">
        <f aca="false">IF($P893="","",IFERROR(IF(ISNUMBER($P893),IF($P893&gt;19000000,DATE(INT($P893/10000),MOD(INT($P893/100),100),MOD($P893,100)),INT($P893)),IF(LEN(SUBSTITUTE(SUBSTITUTE(SUBSTITUTE(TRIM($P893),"-",""),".",""),"/",""))=8,DATE(VALUE(LEFT(SUBSTITUTE(SUBSTITUTE(SUBSTITUTE(TRIM($P893),"-",""),".",""),"/",""),4)),VALUE(MID(SUBSTITUTE(SUBSTITUTE(SUBSTITUTE(TRIM($P893),"-",""),".",""),"/",""),5,2)),VALUE(RIGHT(SUBSTITUTE(SUBSTITUTE(SUBSTITUTE(TRIM($P893),"-",""),".",""),"/",""),2))),DATEVALUE($P893))),""))</f>
        <v/>
      </c>
      <c r="Y893" s="56" t="str">
        <f aca="false">IF($M893="","",IFERROR(INDEX(강사DB!$D$4:$D$53,MATCH($M893,강사DB!$A$4:$A$53,0)),""))</f>
        <v/>
      </c>
      <c r="Z893" s="56" t="str">
        <f aca="false">IF($B893&lt;&gt;"결제완료","",IF(OR($Y893="",$J893=""),"",$Y893*$J893+MAX(0,N($K893)-1)*설정!$J$7))</f>
        <v/>
      </c>
      <c r="AA893" s="56" t="str">
        <f aca="false">IF(AND($D893&lt;&gt;"",$B893="결제완료"),N($N893),"")</f>
        <v/>
      </c>
      <c r="AB893" s="45" t="str">
        <f aca="false">IF($D893="","",IF($F893&lt;&gt;"",$F893,$D893)&amp;IF($B893="상담중"," (상담)",""))</f>
        <v/>
      </c>
      <c r="AC893" s="45" t="n">
        <f aca="false">IF(AND($D893&lt;&gt;"",OR($B893="결제완료",$B893="상담중")),1,0)</f>
        <v>0</v>
      </c>
      <c r="AD893" s="45" t="n">
        <f aca="false">IF(OR($Z893="",$U893=""),0,IFERROR(IF(COUNTIFS(INDEX(g_grid,0,2*MATCH($M893,강사DB!$A$4:$A$15,0)),"&lt;&gt;",g_s,"&lt;="&amp;$U893,g_e,"&gt;="&amp;$U893)&gt;0,1,0),0))</f>
        <v>0</v>
      </c>
      <c r="AE893" s="48"/>
      <c r="AF893" s="56" t="str">
        <f aca="false">IF(AND($D893&lt;&gt;"",$B893="결제완료",$T893="대여"),설정!$J$5,"")</f>
        <v/>
      </c>
      <c r="AG893" s="54" t="str">
        <f aca="false">IF($D893="","",IF(AND($E893="",$R893=""),$AB893,"☎ "&amp;IF($E893="","-",$E893)&amp;IF($R893&lt;&gt;"","  ※ "&amp;$R893,"")&amp;IF($B893="상담중"," (상담)","")))</f>
        <v/>
      </c>
      <c r="AH893" s="56" t="str">
        <f aca="false">IF(AND($D893&lt;&gt;"",$B893="결제완료",$O893="스마트스토어"),ROUND(N($N893)*설정!$J$6,0),"")</f>
        <v/>
      </c>
      <c r="AI893" s="54" t="str">
        <f aca="false">IF($D893="","",ROW())</f>
        <v/>
      </c>
      <c r="AJ893" s="54" t="n">
        <f aca="false">IF(OR($AC893&lt;&gt;1,$M893=""),0,IF(ISNUMBER(SEARCH("퇴사",IFERROR(INDEX(강사DB!$G$4:$G$53,MATCH($M893,강사DB!$A$4:$A$53,0)),""))),1,0))</f>
        <v>0</v>
      </c>
    </row>
    <row r="894" customFormat="false" ht="15" hidden="false" customHeight="false" outlineLevel="0" collapsed="false">
      <c r="A894" s="45" t="str">
        <f aca="false">IF($D894="","",COUNTA($D$5:$D894))</f>
        <v/>
      </c>
      <c r="B894" s="46"/>
      <c r="C894" s="47"/>
      <c r="D894" s="48"/>
      <c r="E894" s="48"/>
      <c r="F894" s="49"/>
      <c r="G894" s="47"/>
      <c r="H894" s="50"/>
      <c r="I894" s="50"/>
      <c r="J894" s="51" t="str">
        <f aca="false">IF(OR($V894="",$W894=""),"",ROUND(($W894-$V894)/60,2))</f>
        <v/>
      </c>
      <c r="K894" s="52" t="str">
        <f aca="false">IF($F894="","",LEN($F894)-LEN(SUBSTITUTE($F894,",",""))+1)</f>
        <v/>
      </c>
      <c r="L894" s="45" t="str">
        <f aca="false">IF($K894="","","1:"&amp;$K894)</f>
        <v/>
      </c>
      <c r="M894" s="46"/>
      <c r="N894" s="53"/>
      <c r="O894" s="46"/>
      <c r="P894" s="47"/>
      <c r="Q894" s="48"/>
      <c r="R894" s="49"/>
      <c r="S894" s="54" t="str">
        <f aca="false">IF(OR($AC894=0,$U894="",$M894="",$V894="",$W894=""),"",IF(COUNTIFS(m_teacher,$M894,m_date,$U894,m_active,1,m_start,"&lt;"&amp;$W894,m_end,"&gt;"&amp;$V894)&gt;1,"충돌",""))</f>
        <v/>
      </c>
      <c r="T894" s="48"/>
      <c r="U894" s="55" t="str">
        <f aca="false">IF($G894="","",IFERROR(IF(ISNUMBER($G894),IF($G894&gt;19000000,DATE(INT($G894/10000),MOD(INT($G894/100),100),MOD($G894,100)),INT($G894)),IF(LEN(SUBSTITUTE(SUBSTITUTE(SUBSTITUTE(TRIM($G894),"-",""),".",""),"/",""))=8,DATE(VALUE(LEFT(SUBSTITUTE(SUBSTITUTE(SUBSTITUTE(TRIM($G894),"-",""),".",""),"/",""),4)),VALUE(MID(SUBSTITUTE(SUBSTITUTE(SUBSTITUTE(TRIM($G894),"-",""),".",""),"/",""),5,2)),VALUE(RIGHT(SUBSTITUTE(SUBSTITUTE(SUBSTITUTE(TRIM($G894),"-",""),".",""),"/",""),2))),DATEVALUE($G894))),""))</f>
        <v/>
      </c>
      <c r="V894" s="52" t="str">
        <f aca="false">IF($H894="","",IFERROR(IF(IF(ISNUMBER($H894),$H894,IFERROR(TIMEVALUE($H894),VALUE($H894)))&gt;=100,INT(IF(ISNUMBER($H894),$H894,IFERROR(TIMEVALUE($H894),VALUE($H894)))/100)*60+MOD(IF(ISNUMBER($H894),$H894,IFERROR(TIMEVALUE($H894),VALUE($H894))),100),IF(IF(ISNUMBER($H894),$H894,IFERROR(TIMEVALUE($H894),VALUE($H894)))&gt;=1,ROUND(IF(ISNUMBER($H894),$H894,IFERROR(TIMEVALUE($H894),VALUE($H894)))*60,0),ROUND(MOD(IF(ISNUMBER($H894),$H894,IFERROR(TIMEVALUE($H894),VALUE($H894))),1)*1440,0))),""))</f>
        <v/>
      </c>
      <c r="W894" s="52" t="str">
        <f aca="false">IF($I894="","",IFERROR(IF(IF(ISNUMBER($I894),$I894,IFERROR(TIMEVALUE($I894),VALUE($I894)))&gt;=100,INT(IF(ISNUMBER($I894),$I894,IFERROR(TIMEVALUE($I894),VALUE($I894)))/100)*60+MOD(IF(ISNUMBER($I894),$I894,IFERROR(TIMEVALUE($I894),VALUE($I894))),100),IF(IF(ISNUMBER($I894),$I894,IFERROR(TIMEVALUE($I894),VALUE($I894)))&gt;=1,ROUND(IF(ISNUMBER($I894),$I894,IFERROR(TIMEVALUE($I894),VALUE($I894)))*60,0),ROUND(MOD(IF(ISNUMBER($I894),$I894,IFERROR(TIMEVALUE($I894),VALUE($I894))),1)*1440,0))),""))</f>
        <v/>
      </c>
      <c r="X894" s="55" t="str">
        <f aca="false">IF($P894="","",IFERROR(IF(ISNUMBER($P894),IF($P894&gt;19000000,DATE(INT($P894/10000),MOD(INT($P894/100),100),MOD($P894,100)),INT($P894)),IF(LEN(SUBSTITUTE(SUBSTITUTE(SUBSTITUTE(TRIM($P894),"-",""),".",""),"/",""))=8,DATE(VALUE(LEFT(SUBSTITUTE(SUBSTITUTE(SUBSTITUTE(TRIM($P894),"-",""),".",""),"/",""),4)),VALUE(MID(SUBSTITUTE(SUBSTITUTE(SUBSTITUTE(TRIM($P894),"-",""),".",""),"/",""),5,2)),VALUE(RIGHT(SUBSTITUTE(SUBSTITUTE(SUBSTITUTE(TRIM($P894),"-",""),".",""),"/",""),2))),DATEVALUE($P894))),""))</f>
        <v/>
      </c>
      <c r="Y894" s="56" t="str">
        <f aca="false">IF($M894="","",IFERROR(INDEX(강사DB!$D$4:$D$53,MATCH($M894,강사DB!$A$4:$A$53,0)),""))</f>
        <v/>
      </c>
      <c r="Z894" s="56" t="str">
        <f aca="false">IF($B894&lt;&gt;"결제완료","",IF(OR($Y894="",$J894=""),"",$Y894*$J894+MAX(0,N($K894)-1)*설정!$J$7))</f>
        <v/>
      </c>
      <c r="AA894" s="56" t="str">
        <f aca="false">IF(AND($D894&lt;&gt;"",$B894="결제완료"),N($N894),"")</f>
        <v/>
      </c>
      <c r="AB894" s="45" t="str">
        <f aca="false">IF($D894="","",IF($F894&lt;&gt;"",$F894,$D894)&amp;IF($B894="상담중"," (상담)",""))</f>
        <v/>
      </c>
      <c r="AC894" s="45" t="n">
        <f aca="false">IF(AND($D894&lt;&gt;"",OR($B894="결제완료",$B894="상담중")),1,0)</f>
        <v>0</v>
      </c>
      <c r="AD894" s="45" t="n">
        <f aca="false">IF(OR($Z894="",$U894=""),0,IFERROR(IF(COUNTIFS(INDEX(g_grid,0,2*MATCH($M894,강사DB!$A$4:$A$15,0)),"&lt;&gt;",g_s,"&lt;="&amp;$U894,g_e,"&gt;="&amp;$U894)&gt;0,1,0),0))</f>
        <v>0</v>
      </c>
      <c r="AE894" s="48"/>
      <c r="AF894" s="56" t="str">
        <f aca="false">IF(AND($D894&lt;&gt;"",$B894="결제완료",$T894="대여"),설정!$J$5,"")</f>
        <v/>
      </c>
      <c r="AG894" s="54" t="str">
        <f aca="false">IF($D894="","",IF(AND($E894="",$R894=""),$AB894,"☎ "&amp;IF($E894="","-",$E894)&amp;IF($R894&lt;&gt;"","  ※ "&amp;$R894,"")&amp;IF($B894="상담중"," (상담)","")))</f>
        <v/>
      </c>
      <c r="AH894" s="56" t="str">
        <f aca="false">IF(AND($D894&lt;&gt;"",$B894="결제완료",$O894="스마트스토어"),ROUND(N($N894)*설정!$J$6,0),"")</f>
        <v/>
      </c>
      <c r="AI894" s="54" t="str">
        <f aca="false">IF($D894="","",ROW())</f>
        <v/>
      </c>
      <c r="AJ894" s="54" t="n">
        <f aca="false">IF(OR($AC894&lt;&gt;1,$M894=""),0,IF(ISNUMBER(SEARCH("퇴사",IFERROR(INDEX(강사DB!$G$4:$G$53,MATCH($M894,강사DB!$A$4:$A$53,0)),""))),1,0))</f>
        <v>0</v>
      </c>
    </row>
    <row r="895" customFormat="false" ht="15" hidden="false" customHeight="false" outlineLevel="0" collapsed="false">
      <c r="A895" s="45" t="str">
        <f aca="false">IF($D895="","",COUNTA($D$5:$D895))</f>
        <v/>
      </c>
      <c r="B895" s="46"/>
      <c r="C895" s="47"/>
      <c r="D895" s="48"/>
      <c r="E895" s="48"/>
      <c r="F895" s="49"/>
      <c r="G895" s="47"/>
      <c r="H895" s="50"/>
      <c r="I895" s="50"/>
      <c r="J895" s="51" t="str">
        <f aca="false">IF(OR($V895="",$W895=""),"",ROUND(($W895-$V895)/60,2))</f>
        <v/>
      </c>
      <c r="K895" s="52" t="str">
        <f aca="false">IF($F895="","",LEN($F895)-LEN(SUBSTITUTE($F895,",",""))+1)</f>
        <v/>
      </c>
      <c r="L895" s="45" t="str">
        <f aca="false">IF($K895="","","1:"&amp;$K895)</f>
        <v/>
      </c>
      <c r="M895" s="46"/>
      <c r="N895" s="53"/>
      <c r="O895" s="46"/>
      <c r="P895" s="47"/>
      <c r="Q895" s="48"/>
      <c r="R895" s="49"/>
      <c r="S895" s="54" t="str">
        <f aca="false">IF(OR($AC895=0,$U895="",$M895="",$V895="",$W895=""),"",IF(COUNTIFS(m_teacher,$M895,m_date,$U895,m_active,1,m_start,"&lt;"&amp;$W895,m_end,"&gt;"&amp;$V895)&gt;1,"충돌",""))</f>
        <v/>
      </c>
      <c r="T895" s="48"/>
      <c r="U895" s="55" t="str">
        <f aca="false">IF($G895="","",IFERROR(IF(ISNUMBER($G895),IF($G895&gt;19000000,DATE(INT($G895/10000),MOD(INT($G895/100),100),MOD($G895,100)),INT($G895)),IF(LEN(SUBSTITUTE(SUBSTITUTE(SUBSTITUTE(TRIM($G895),"-",""),".",""),"/",""))=8,DATE(VALUE(LEFT(SUBSTITUTE(SUBSTITUTE(SUBSTITUTE(TRIM($G895),"-",""),".",""),"/",""),4)),VALUE(MID(SUBSTITUTE(SUBSTITUTE(SUBSTITUTE(TRIM($G895),"-",""),".",""),"/",""),5,2)),VALUE(RIGHT(SUBSTITUTE(SUBSTITUTE(SUBSTITUTE(TRIM($G895),"-",""),".",""),"/",""),2))),DATEVALUE($G895))),""))</f>
        <v/>
      </c>
      <c r="V895" s="52" t="str">
        <f aca="false">IF($H895="","",IFERROR(IF(IF(ISNUMBER($H895),$H895,IFERROR(TIMEVALUE($H895),VALUE($H895)))&gt;=100,INT(IF(ISNUMBER($H895),$H895,IFERROR(TIMEVALUE($H895),VALUE($H895)))/100)*60+MOD(IF(ISNUMBER($H895),$H895,IFERROR(TIMEVALUE($H895),VALUE($H895))),100),IF(IF(ISNUMBER($H895),$H895,IFERROR(TIMEVALUE($H895),VALUE($H895)))&gt;=1,ROUND(IF(ISNUMBER($H895),$H895,IFERROR(TIMEVALUE($H895),VALUE($H895)))*60,0),ROUND(MOD(IF(ISNUMBER($H895),$H895,IFERROR(TIMEVALUE($H895),VALUE($H895))),1)*1440,0))),""))</f>
        <v/>
      </c>
      <c r="W895" s="52" t="str">
        <f aca="false">IF($I895="","",IFERROR(IF(IF(ISNUMBER($I895),$I895,IFERROR(TIMEVALUE($I895),VALUE($I895)))&gt;=100,INT(IF(ISNUMBER($I895),$I895,IFERROR(TIMEVALUE($I895),VALUE($I895)))/100)*60+MOD(IF(ISNUMBER($I895),$I895,IFERROR(TIMEVALUE($I895),VALUE($I895))),100),IF(IF(ISNUMBER($I895),$I895,IFERROR(TIMEVALUE($I895),VALUE($I895)))&gt;=1,ROUND(IF(ISNUMBER($I895),$I895,IFERROR(TIMEVALUE($I895),VALUE($I895)))*60,0),ROUND(MOD(IF(ISNUMBER($I895),$I895,IFERROR(TIMEVALUE($I895),VALUE($I895))),1)*1440,0))),""))</f>
        <v/>
      </c>
      <c r="X895" s="55" t="str">
        <f aca="false">IF($P895="","",IFERROR(IF(ISNUMBER($P895),IF($P895&gt;19000000,DATE(INT($P895/10000),MOD(INT($P895/100),100),MOD($P895,100)),INT($P895)),IF(LEN(SUBSTITUTE(SUBSTITUTE(SUBSTITUTE(TRIM($P895),"-",""),".",""),"/",""))=8,DATE(VALUE(LEFT(SUBSTITUTE(SUBSTITUTE(SUBSTITUTE(TRIM($P895),"-",""),".",""),"/",""),4)),VALUE(MID(SUBSTITUTE(SUBSTITUTE(SUBSTITUTE(TRIM($P895),"-",""),".",""),"/",""),5,2)),VALUE(RIGHT(SUBSTITUTE(SUBSTITUTE(SUBSTITUTE(TRIM($P895),"-",""),".",""),"/",""),2))),DATEVALUE($P895))),""))</f>
        <v/>
      </c>
      <c r="Y895" s="56" t="str">
        <f aca="false">IF($M895="","",IFERROR(INDEX(강사DB!$D$4:$D$53,MATCH($M895,강사DB!$A$4:$A$53,0)),""))</f>
        <v/>
      </c>
      <c r="Z895" s="56" t="str">
        <f aca="false">IF($B895&lt;&gt;"결제완료","",IF(OR($Y895="",$J895=""),"",$Y895*$J895+MAX(0,N($K895)-1)*설정!$J$7))</f>
        <v/>
      </c>
      <c r="AA895" s="56" t="str">
        <f aca="false">IF(AND($D895&lt;&gt;"",$B895="결제완료"),N($N895),"")</f>
        <v/>
      </c>
      <c r="AB895" s="45" t="str">
        <f aca="false">IF($D895="","",IF($F895&lt;&gt;"",$F895,$D895)&amp;IF($B895="상담중"," (상담)",""))</f>
        <v/>
      </c>
      <c r="AC895" s="45" t="n">
        <f aca="false">IF(AND($D895&lt;&gt;"",OR($B895="결제완료",$B895="상담중")),1,0)</f>
        <v>0</v>
      </c>
      <c r="AD895" s="45" t="n">
        <f aca="false">IF(OR($Z895="",$U895=""),0,IFERROR(IF(COUNTIFS(INDEX(g_grid,0,2*MATCH($M895,강사DB!$A$4:$A$15,0)),"&lt;&gt;",g_s,"&lt;="&amp;$U895,g_e,"&gt;="&amp;$U895)&gt;0,1,0),0))</f>
        <v>0</v>
      </c>
      <c r="AE895" s="48"/>
      <c r="AF895" s="56" t="str">
        <f aca="false">IF(AND($D895&lt;&gt;"",$B895="결제완료",$T895="대여"),설정!$J$5,"")</f>
        <v/>
      </c>
      <c r="AG895" s="54" t="str">
        <f aca="false">IF($D895="","",IF(AND($E895="",$R895=""),$AB895,"☎ "&amp;IF($E895="","-",$E895)&amp;IF($R895&lt;&gt;"","  ※ "&amp;$R895,"")&amp;IF($B895="상담중"," (상담)","")))</f>
        <v/>
      </c>
      <c r="AH895" s="56" t="str">
        <f aca="false">IF(AND($D895&lt;&gt;"",$B895="결제완료",$O895="스마트스토어"),ROUND(N($N895)*설정!$J$6,0),"")</f>
        <v/>
      </c>
      <c r="AI895" s="54" t="str">
        <f aca="false">IF($D895="","",ROW())</f>
        <v/>
      </c>
      <c r="AJ895" s="54" t="n">
        <f aca="false">IF(OR($AC895&lt;&gt;1,$M895=""),0,IF(ISNUMBER(SEARCH("퇴사",IFERROR(INDEX(강사DB!$G$4:$G$53,MATCH($M895,강사DB!$A$4:$A$53,0)),""))),1,0))</f>
        <v>0</v>
      </c>
    </row>
    <row r="896" customFormat="false" ht="15" hidden="false" customHeight="false" outlineLevel="0" collapsed="false">
      <c r="A896" s="45" t="str">
        <f aca="false">IF($D896="","",COUNTA($D$5:$D896))</f>
        <v/>
      </c>
      <c r="B896" s="46"/>
      <c r="C896" s="47"/>
      <c r="D896" s="48"/>
      <c r="E896" s="48"/>
      <c r="F896" s="49"/>
      <c r="G896" s="47"/>
      <c r="H896" s="50"/>
      <c r="I896" s="50"/>
      <c r="J896" s="51" t="str">
        <f aca="false">IF(OR($V896="",$W896=""),"",ROUND(($W896-$V896)/60,2))</f>
        <v/>
      </c>
      <c r="K896" s="52" t="str">
        <f aca="false">IF($F896="","",LEN($F896)-LEN(SUBSTITUTE($F896,",",""))+1)</f>
        <v/>
      </c>
      <c r="L896" s="45" t="str">
        <f aca="false">IF($K896="","","1:"&amp;$K896)</f>
        <v/>
      </c>
      <c r="M896" s="46"/>
      <c r="N896" s="53"/>
      <c r="O896" s="46"/>
      <c r="P896" s="47"/>
      <c r="Q896" s="48"/>
      <c r="R896" s="49"/>
      <c r="S896" s="54" t="str">
        <f aca="false">IF(OR($AC896=0,$U896="",$M896="",$V896="",$W896=""),"",IF(COUNTIFS(m_teacher,$M896,m_date,$U896,m_active,1,m_start,"&lt;"&amp;$W896,m_end,"&gt;"&amp;$V896)&gt;1,"충돌",""))</f>
        <v/>
      </c>
      <c r="T896" s="48"/>
      <c r="U896" s="55" t="str">
        <f aca="false">IF($G896="","",IFERROR(IF(ISNUMBER($G896),IF($G896&gt;19000000,DATE(INT($G896/10000),MOD(INT($G896/100),100),MOD($G896,100)),INT($G896)),IF(LEN(SUBSTITUTE(SUBSTITUTE(SUBSTITUTE(TRIM($G896),"-",""),".",""),"/",""))=8,DATE(VALUE(LEFT(SUBSTITUTE(SUBSTITUTE(SUBSTITUTE(TRIM($G896),"-",""),".",""),"/",""),4)),VALUE(MID(SUBSTITUTE(SUBSTITUTE(SUBSTITUTE(TRIM($G896),"-",""),".",""),"/",""),5,2)),VALUE(RIGHT(SUBSTITUTE(SUBSTITUTE(SUBSTITUTE(TRIM($G896),"-",""),".",""),"/",""),2))),DATEVALUE($G896))),""))</f>
        <v/>
      </c>
      <c r="V896" s="52" t="str">
        <f aca="false">IF($H896="","",IFERROR(IF(IF(ISNUMBER($H896),$H896,IFERROR(TIMEVALUE($H896),VALUE($H896)))&gt;=100,INT(IF(ISNUMBER($H896),$H896,IFERROR(TIMEVALUE($H896),VALUE($H896)))/100)*60+MOD(IF(ISNUMBER($H896),$H896,IFERROR(TIMEVALUE($H896),VALUE($H896))),100),IF(IF(ISNUMBER($H896),$H896,IFERROR(TIMEVALUE($H896),VALUE($H896)))&gt;=1,ROUND(IF(ISNUMBER($H896),$H896,IFERROR(TIMEVALUE($H896),VALUE($H896)))*60,0),ROUND(MOD(IF(ISNUMBER($H896),$H896,IFERROR(TIMEVALUE($H896),VALUE($H896))),1)*1440,0))),""))</f>
        <v/>
      </c>
      <c r="W896" s="52" t="str">
        <f aca="false">IF($I896="","",IFERROR(IF(IF(ISNUMBER($I896),$I896,IFERROR(TIMEVALUE($I896),VALUE($I896)))&gt;=100,INT(IF(ISNUMBER($I896),$I896,IFERROR(TIMEVALUE($I896),VALUE($I896)))/100)*60+MOD(IF(ISNUMBER($I896),$I896,IFERROR(TIMEVALUE($I896),VALUE($I896))),100),IF(IF(ISNUMBER($I896),$I896,IFERROR(TIMEVALUE($I896),VALUE($I896)))&gt;=1,ROUND(IF(ISNUMBER($I896),$I896,IFERROR(TIMEVALUE($I896),VALUE($I896)))*60,0),ROUND(MOD(IF(ISNUMBER($I896),$I896,IFERROR(TIMEVALUE($I896),VALUE($I896))),1)*1440,0))),""))</f>
        <v/>
      </c>
      <c r="X896" s="55" t="str">
        <f aca="false">IF($P896="","",IFERROR(IF(ISNUMBER($P896),IF($P896&gt;19000000,DATE(INT($P896/10000),MOD(INT($P896/100),100),MOD($P896,100)),INT($P896)),IF(LEN(SUBSTITUTE(SUBSTITUTE(SUBSTITUTE(TRIM($P896),"-",""),".",""),"/",""))=8,DATE(VALUE(LEFT(SUBSTITUTE(SUBSTITUTE(SUBSTITUTE(TRIM($P896),"-",""),".",""),"/",""),4)),VALUE(MID(SUBSTITUTE(SUBSTITUTE(SUBSTITUTE(TRIM($P896),"-",""),".",""),"/",""),5,2)),VALUE(RIGHT(SUBSTITUTE(SUBSTITUTE(SUBSTITUTE(TRIM($P896),"-",""),".",""),"/",""),2))),DATEVALUE($P896))),""))</f>
        <v/>
      </c>
      <c r="Y896" s="56" t="str">
        <f aca="false">IF($M896="","",IFERROR(INDEX(강사DB!$D$4:$D$53,MATCH($M896,강사DB!$A$4:$A$53,0)),""))</f>
        <v/>
      </c>
      <c r="Z896" s="56" t="str">
        <f aca="false">IF($B896&lt;&gt;"결제완료","",IF(OR($Y896="",$J896=""),"",$Y896*$J896+MAX(0,N($K896)-1)*설정!$J$7))</f>
        <v/>
      </c>
      <c r="AA896" s="56" t="str">
        <f aca="false">IF(AND($D896&lt;&gt;"",$B896="결제완료"),N($N896),"")</f>
        <v/>
      </c>
      <c r="AB896" s="45" t="str">
        <f aca="false">IF($D896="","",IF($F896&lt;&gt;"",$F896,$D896)&amp;IF($B896="상담중"," (상담)",""))</f>
        <v/>
      </c>
      <c r="AC896" s="45" t="n">
        <f aca="false">IF(AND($D896&lt;&gt;"",OR($B896="결제완료",$B896="상담중")),1,0)</f>
        <v>0</v>
      </c>
      <c r="AD896" s="45" t="n">
        <f aca="false">IF(OR($Z896="",$U896=""),0,IFERROR(IF(COUNTIFS(INDEX(g_grid,0,2*MATCH($M896,강사DB!$A$4:$A$15,0)),"&lt;&gt;",g_s,"&lt;="&amp;$U896,g_e,"&gt;="&amp;$U896)&gt;0,1,0),0))</f>
        <v>0</v>
      </c>
      <c r="AE896" s="48"/>
      <c r="AF896" s="56" t="str">
        <f aca="false">IF(AND($D896&lt;&gt;"",$B896="결제완료",$T896="대여"),설정!$J$5,"")</f>
        <v/>
      </c>
      <c r="AG896" s="54" t="str">
        <f aca="false">IF($D896="","",IF(AND($E896="",$R896=""),$AB896,"☎ "&amp;IF($E896="","-",$E896)&amp;IF($R896&lt;&gt;"","  ※ "&amp;$R896,"")&amp;IF($B896="상담중"," (상담)","")))</f>
        <v/>
      </c>
      <c r="AH896" s="56" t="str">
        <f aca="false">IF(AND($D896&lt;&gt;"",$B896="결제완료",$O896="스마트스토어"),ROUND(N($N896)*설정!$J$6,0),"")</f>
        <v/>
      </c>
      <c r="AI896" s="54" t="str">
        <f aca="false">IF($D896="","",ROW())</f>
        <v/>
      </c>
      <c r="AJ896" s="54" t="n">
        <f aca="false">IF(OR($AC896&lt;&gt;1,$M896=""),0,IF(ISNUMBER(SEARCH("퇴사",IFERROR(INDEX(강사DB!$G$4:$G$53,MATCH($M896,강사DB!$A$4:$A$53,0)),""))),1,0))</f>
        <v>0</v>
      </c>
    </row>
    <row r="897" customFormat="false" ht="15" hidden="false" customHeight="false" outlineLevel="0" collapsed="false">
      <c r="A897" s="45" t="str">
        <f aca="false">IF($D897="","",COUNTA($D$5:$D897))</f>
        <v/>
      </c>
      <c r="B897" s="46"/>
      <c r="C897" s="47"/>
      <c r="D897" s="48"/>
      <c r="E897" s="48"/>
      <c r="F897" s="49"/>
      <c r="G897" s="47"/>
      <c r="H897" s="50"/>
      <c r="I897" s="50"/>
      <c r="J897" s="51" t="str">
        <f aca="false">IF(OR($V897="",$W897=""),"",ROUND(($W897-$V897)/60,2))</f>
        <v/>
      </c>
      <c r="K897" s="52" t="str">
        <f aca="false">IF($F897="","",LEN($F897)-LEN(SUBSTITUTE($F897,",",""))+1)</f>
        <v/>
      </c>
      <c r="L897" s="45" t="str">
        <f aca="false">IF($K897="","","1:"&amp;$K897)</f>
        <v/>
      </c>
      <c r="M897" s="46"/>
      <c r="N897" s="53"/>
      <c r="O897" s="46"/>
      <c r="P897" s="47"/>
      <c r="Q897" s="48"/>
      <c r="R897" s="49"/>
      <c r="S897" s="54" t="str">
        <f aca="false">IF(OR($AC897=0,$U897="",$M897="",$V897="",$W897=""),"",IF(COUNTIFS(m_teacher,$M897,m_date,$U897,m_active,1,m_start,"&lt;"&amp;$W897,m_end,"&gt;"&amp;$V897)&gt;1,"충돌",""))</f>
        <v/>
      </c>
      <c r="T897" s="48"/>
      <c r="U897" s="55" t="str">
        <f aca="false">IF($G897="","",IFERROR(IF(ISNUMBER($G897),IF($G897&gt;19000000,DATE(INT($G897/10000),MOD(INT($G897/100),100),MOD($G897,100)),INT($G897)),IF(LEN(SUBSTITUTE(SUBSTITUTE(SUBSTITUTE(TRIM($G897),"-",""),".",""),"/",""))=8,DATE(VALUE(LEFT(SUBSTITUTE(SUBSTITUTE(SUBSTITUTE(TRIM($G897),"-",""),".",""),"/",""),4)),VALUE(MID(SUBSTITUTE(SUBSTITUTE(SUBSTITUTE(TRIM($G897),"-",""),".",""),"/",""),5,2)),VALUE(RIGHT(SUBSTITUTE(SUBSTITUTE(SUBSTITUTE(TRIM($G897),"-",""),".",""),"/",""),2))),DATEVALUE($G897))),""))</f>
        <v/>
      </c>
      <c r="V897" s="52" t="str">
        <f aca="false">IF($H897="","",IFERROR(IF(IF(ISNUMBER($H897),$H897,IFERROR(TIMEVALUE($H897),VALUE($H897)))&gt;=100,INT(IF(ISNUMBER($H897),$H897,IFERROR(TIMEVALUE($H897),VALUE($H897)))/100)*60+MOD(IF(ISNUMBER($H897),$H897,IFERROR(TIMEVALUE($H897),VALUE($H897))),100),IF(IF(ISNUMBER($H897),$H897,IFERROR(TIMEVALUE($H897),VALUE($H897)))&gt;=1,ROUND(IF(ISNUMBER($H897),$H897,IFERROR(TIMEVALUE($H897),VALUE($H897)))*60,0),ROUND(MOD(IF(ISNUMBER($H897),$H897,IFERROR(TIMEVALUE($H897),VALUE($H897))),1)*1440,0))),""))</f>
        <v/>
      </c>
      <c r="W897" s="52" t="str">
        <f aca="false">IF($I897="","",IFERROR(IF(IF(ISNUMBER($I897),$I897,IFERROR(TIMEVALUE($I897),VALUE($I897)))&gt;=100,INT(IF(ISNUMBER($I897),$I897,IFERROR(TIMEVALUE($I897),VALUE($I897)))/100)*60+MOD(IF(ISNUMBER($I897),$I897,IFERROR(TIMEVALUE($I897),VALUE($I897))),100),IF(IF(ISNUMBER($I897),$I897,IFERROR(TIMEVALUE($I897),VALUE($I897)))&gt;=1,ROUND(IF(ISNUMBER($I897),$I897,IFERROR(TIMEVALUE($I897),VALUE($I897)))*60,0),ROUND(MOD(IF(ISNUMBER($I897),$I897,IFERROR(TIMEVALUE($I897),VALUE($I897))),1)*1440,0))),""))</f>
        <v/>
      </c>
      <c r="X897" s="55" t="str">
        <f aca="false">IF($P897="","",IFERROR(IF(ISNUMBER($P897),IF($P897&gt;19000000,DATE(INT($P897/10000),MOD(INT($P897/100),100),MOD($P897,100)),INT($P897)),IF(LEN(SUBSTITUTE(SUBSTITUTE(SUBSTITUTE(TRIM($P897),"-",""),".",""),"/",""))=8,DATE(VALUE(LEFT(SUBSTITUTE(SUBSTITUTE(SUBSTITUTE(TRIM($P897),"-",""),".",""),"/",""),4)),VALUE(MID(SUBSTITUTE(SUBSTITUTE(SUBSTITUTE(TRIM($P897),"-",""),".",""),"/",""),5,2)),VALUE(RIGHT(SUBSTITUTE(SUBSTITUTE(SUBSTITUTE(TRIM($P897),"-",""),".",""),"/",""),2))),DATEVALUE($P897))),""))</f>
        <v/>
      </c>
      <c r="Y897" s="56" t="str">
        <f aca="false">IF($M897="","",IFERROR(INDEX(강사DB!$D$4:$D$53,MATCH($M897,강사DB!$A$4:$A$53,0)),""))</f>
        <v/>
      </c>
      <c r="Z897" s="56" t="str">
        <f aca="false">IF($B897&lt;&gt;"결제완료","",IF(OR($Y897="",$J897=""),"",$Y897*$J897+MAX(0,N($K897)-1)*설정!$J$7))</f>
        <v/>
      </c>
      <c r="AA897" s="56" t="str">
        <f aca="false">IF(AND($D897&lt;&gt;"",$B897="결제완료"),N($N897),"")</f>
        <v/>
      </c>
      <c r="AB897" s="45" t="str">
        <f aca="false">IF($D897="","",IF($F897&lt;&gt;"",$F897,$D897)&amp;IF($B897="상담중"," (상담)",""))</f>
        <v/>
      </c>
      <c r="AC897" s="45" t="n">
        <f aca="false">IF(AND($D897&lt;&gt;"",OR($B897="결제완료",$B897="상담중")),1,0)</f>
        <v>0</v>
      </c>
      <c r="AD897" s="45" t="n">
        <f aca="false">IF(OR($Z897="",$U897=""),0,IFERROR(IF(COUNTIFS(INDEX(g_grid,0,2*MATCH($M897,강사DB!$A$4:$A$15,0)),"&lt;&gt;",g_s,"&lt;="&amp;$U897,g_e,"&gt;="&amp;$U897)&gt;0,1,0),0))</f>
        <v>0</v>
      </c>
      <c r="AE897" s="48"/>
      <c r="AF897" s="56" t="str">
        <f aca="false">IF(AND($D897&lt;&gt;"",$B897="결제완료",$T897="대여"),설정!$J$5,"")</f>
        <v/>
      </c>
      <c r="AG897" s="54" t="str">
        <f aca="false">IF($D897="","",IF(AND($E897="",$R897=""),$AB897,"☎ "&amp;IF($E897="","-",$E897)&amp;IF($R897&lt;&gt;"","  ※ "&amp;$R897,"")&amp;IF($B897="상담중"," (상담)","")))</f>
        <v/>
      </c>
      <c r="AH897" s="56" t="str">
        <f aca="false">IF(AND($D897&lt;&gt;"",$B897="결제완료",$O897="스마트스토어"),ROUND(N($N897)*설정!$J$6,0),"")</f>
        <v/>
      </c>
      <c r="AI897" s="54" t="str">
        <f aca="false">IF($D897="","",ROW())</f>
        <v/>
      </c>
      <c r="AJ897" s="54" t="n">
        <f aca="false">IF(OR($AC897&lt;&gt;1,$M897=""),0,IF(ISNUMBER(SEARCH("퇴사",IFERROR(INDEX(강사DB!$G$4:$G$53,MATCH($M897,강사DB!$A$4:$A$53,0)),""))),1,0))</f>
        <v>0</v>
      </c>
    </row>
    <row r="898" customFormat="false" ht="15" hidden="false" customHeight="false" outlineLevel="0" collapsed="false">
      <c r="A898" s="45" t="str">
        <f aca="false">IF($D898="","",COUNTA($D$5:$D898))</f>
        <v/>
      </c>
      <c r="B898" s="46"/>
      <c r="C898" s="47"/>
      <c r="D898" s="48"/>
      <c r="E898" s="48"/>
      <c r="F898" s="49"/>
      <c r="G898" s="47"/>
      <c r="H898" s="50"/>
      <c r="I898" s="50"/>
      <c r="J898" s="51" t="str">
        <f aca="false">IF(OR($V898="",$W898=""),"",ROUND(($W898-$V898)/60,2))</f>
        <v/>
      </c>
      <c r="K898" s="52" t="str">
        <f aca="false">IF($F898="","",LEN($F898)-LEN(SUBSTITUTE($F898,",",""))+1)</f>
        <v/>
      </c>
      <c r="L898" s="45" t="str">
        <f aca="false">IF($K898="","","1:"&amp;$K898)</f>
        <v/>
      </c>
      <c r="M898" s="46"/>
      <c r="N898" s="53"/>
      <c r="O898" s="46"/>
      <c r="P898" s="47"/>
      <c r="Q898" s="48"/>
      <c r="R898" s="49"/>
      <c r="S898" s="54" t="str">
        <f aca="false">IF(OR($AC898=0,$U898="",$M898="",$V898="",$W898=""),"",IF(COUNTIFS(m_teacher,$M898,m_date,$U898,m_active,1,m_start,"&lt;"&amp;$W898,m_end,"&gt;"&amp;$V898)&gt;1,"충돌",""))</f>
        <v/>
      </c>
      <c r="T898" s="48"/>
      <c r="U898" s="55" t="str">
        <f aca="false">IF($G898="","",IFERROR(IF(ISNUMBER($G898),IF($G898&gt;19000000,DATE(INT($G898/10000),MOD(INT($G898/100),100),MOD($G898,100)),INT($G898)),IF(LEN(SUBSTITUTE(SUBSTITUTE(SUBSTITUTE(TRIM($G898),"-",""),".",""),"/",""))=8,DATE(VALUE(LEFT(SUBSTITUTE(SUBSTITUTE(SUBSTITUTE(TRIM($G898),"-",""),".",""),"/",""),4)),VALUE(MID(SUBSTITUTE(SUBSTITUTE(SUBSTITUTE(TRIM($G898),"-",""),".",""),"/",""),5,2)),VALUE(RIGHT(SUBSTITUTE(SUBSTITUTE(SUBSTITUTE(TRIM($G898),"-",""),".",""),"/",""),2))),DATEVALUE($G898))),""))</f>
        <v/>
      </c>
      <c r="V898" s="52" t="str">
        <f aca="false">IF($H898="","",IFERROR(IF(IF(ISNUMBER($H898),$H898,IFERROR(TIMEVALUE($H898),VALUE($H898)))&gt;=100,INT(IF(ISNUMBER($H898),$H898,IFERROR(TIMEVALUE($H898),VALUE($H898)))/100)*60+MOD(IF(ISNUMBER($H898),$H898,IFERROR(TIMEVALUE($H898),VALUE($H898))),100),IF(IF(ISNUMBER($H898),$H898,IFERROR(TIMEVALUE($H898),VALUE($H898)))&gt;=1,ROUND(IF(ISNUMBER($H898),$H898,IFERROR(TIMEVALUE($H898),VALUE($H898)))*60,0),ROUND(MOD(IF(ISNUMBER($H898),$H898,IFERROR(TIMEVALUE($H898),VALUE($H898))),1)*1440,0))),""))</f>
        <v/>
      </c>
      <c r="W898" s="52" t="str">
        <f aca="false">IF($I898="","",IFERROR(IF(IF(ISNUMBER($I898),$I898,IFERROR(TIMEVALUE($I898),VALUE($I898)))&gt;=100,INT(IF(ISNUMBER($I898),$I898,IFERROR(TIMEVALUE($I898),VALUE($I898)))/100)*60+MOD(IF(ISNUMBER($I898),$I898,IFERROR(TIMEVALUE($I898),VALUE($I898))),100),IF(IF(ISNUMBER($I898),$I898,IFERROR(TIMEVALUE($I898),VALUE($I898)))&gt;=1,ROUND(IF(ISNUMBER($I898),$I898,IFERROR(TIMEVALUE($I898),VALUE($I898)))*60,0),ROUND(MOD(IF(ISNUMBER($I898),$I898,IFERROR(TIMEVALUE($I898),VALUE($I898))),1)*1440,0))),""))</f>
        <v/>
      </c>
      <c r="X898" s="55" t="str">
        <f aca="false">IF($P898="","",IFERROR(IF(ISNUMBER($P898),IF($P898&gt;19000000,DATE(INT($P898/10000),MOD(INT($P898/100),100),MOD($P898,100)),INT($P898)),IF(LEN(SUBSTITUTE(SUBSTITUTE(SUBSTITUTE(TRIM($P898),"-",""),".",""),"/",""))=8,DATE(VALUE(LEFT(SUBSTITUTE(SUBSTITUTE(SUBSTITUTE(TRIM($P898),"-",""),".",""),"/",""),4)),VALUE(MID(SUBSTITUTE(SUBSTITUTE(SUBSTITUTE(TRIM($P898),"-",""),".",""),"/",""),5,2)),VALUE(RIGHT(SUBSTITUTE(SUBSTITUTE(SUBSTITUTE(TRIM($P898),"-",""),".",""),"/",""),2))),DATEVALUE($P898))),""))</f>
        <v/>
      </c>
      <c r="Y898" s="56" t="str">
        <f aca="false">IF($M898="","",IFERROR(INDEX(강사DB!$D$4:$D$53,MATCH($M898,강사DB!$A$4:$A$53,0)),""))</f>
        <v/>
      </c>
      <c r="Z898" s="56" t="str">
        <f aca="false">IF($B898&lt;&gt;"결제완료","",IF(OR($Y898="",$J898=""),"",$Y898*$J898+MAX(0,N($K898)-1)*설정!$J$7))</f>
        <v/>
      </c>
      <c r="AA898" s="56" t="str">
        <f aca="false">IF(AND($D898&lt;&gt;"",$B898="결제완료"),N($N898),"")</f>
        <v/>
      </c>
      <c r="AB898" s="45" t="str">
        <f aca="false">IF($D898="","",IF($F898&lt;&gt;"",$F898,$D898)&amp;IF($B898="상담중"," (상담)",""))</f>
        <v/>
      </c>
      <c r="AC898" s="45" t="n">
        <f aca="false">IF(AND($D898&lt;&gt;"",OR($B898="결제완료",$B898="상담중")),1,0)</f>
        <v>0</v>
      </c>
      <c r="AD898" s="45" t="n">
        <f aca="false">IF(OR($Z898="",$U898=""),0,IFERROR(IF(COUNTIFS(INDEX(g_grid,0,2*MATCH($M898,강사DB!$A$4:$A$15,0)),"&lt;&gt;",g_s,"&lt;="&amp;$U898,g_e,"&gt;="&amp;$U898)&gt;0,1,0),0))</f>
        <v>0</v>
      </c>
      <c r="AE898" s="48"/>
      <c r="AF898" s="56" t="str">
        <f aca="false">IF(AND($D898&lt;&gt;"",$B898="결제완료",$T898="대여"),설정!$J$5,"")</f>
        <v/>
      </c>
      <c r="AG898" s="54" t="str">
        <f aca="false">IF($D898="","",IF(AND($E898="",$R898=""),$AB898,"☎ "&amp;IF($E898="","-",$E898)&amp;IF($R898&lt;&gt;"","  ※ "&amp;$R898,"")&amp;IF($B898="상담중"," (상담)","")))</f>
        <v/>
      </c>
      <c r="AH898" s="56" t="str">
        <f aca="false">IF(AND($D898&lt;&gt;"",$B898="결제완료",$O898="스마트스토어"),ROUND(N($N898)*설정!$J$6,0),"")</f>
        <v/>
      </c>
      <c r="AI898" s="54" t="str">
        <f aca="false">IF($D898="","",ROW())</f>
        <v/>
      </c>
      <c r="AJ898" s="54" t="n">
        <f aca="false">IF(OR($AC898&lt;&gt;1,$M898=""),0,IF(ISNUMBER(SEARCH("퇴사",IFERROR(INDEX(강사DB!$G$4:$G$53,MATCH($M898,강사DB!$A$4:$A$53,0)),""))),1,0))</f>
        <v>0</v>
      </c>
    </row>
    <row r="899" customFormat="false" ht="15" hidden="false" customHeight="false" outlineLevel="0" collapsed="false">
      <c r="A899" s="45" t="str">
        <f aca="false">IF($D899="","",COUNTA($D$5:$D899))</f>
        <v/>
      </c>
      <c r="B899" s="46"/>
      <c r="C899" s="47"/>
      <c r="D899" s="48"/>
      <c r="E899" s="48"/>
      <c r="F899" s="49"/>
      <c r="G899" s="47"/>
      <c r="H899" s="50"/>
      <c r="I899" s="50"/>
      <c r="J899" s="51" t="str">
        <f aca="false">IF(OR($V899="",$W899=""),"",ROUND(($W899-$V899)/60,2))</f>
        <v/>
      </c>
      <c r="K899" s="52" t="str">
        <f aca="false">IF($F899="","",LEN($F899)-LEN(SUBSTITUTE($F899,",",""))+1)</f>
        <v/>
      </c>
      <c r="L899" s="45" t="str">
        <f aca="false">IF($K899="","","1:"&amp;$K899)</f>
        <v/>
      </c>
      <c r="M899" s="46"/>
      <c r="N899" s="53"/>
      <c r="O899" s="46"/>
      <c r="P899" s="47"/>
      <c r="Q899" s="48"/>
      <c r="R899" s="49"/>
      <c r="S899" s="54" t="str">
        <f aca="false">IF(OR($AC899=0,$U899="",$M899="",$V899="",$W899=""),"",IF(COUNTIFS(m_teacher,$M899,m_date,$U899,m_active,1,m_start,"&lt;"&amp;$W899,m_end,"&gt;"&amp;$V899)&gt;1,"충돌",""))</f>
        <v/>
      </c>
      <c r="T899" s="48"/>
      <c r="U899" s="55" t="str">
        <f aca="false">IF($G899="","",IFERROR(IF(ISNUMBER($G899),IF($G899&gt;19000000,DATE(INT($G899/10000),MOD(INT($G899/100),100),MOD($G899,100)),INT($G899)),IF(LEN(SUBSTITUTE(SUBSTITUTE(SUBSTITUTE(TRIM($G899),"-",""),".",""),"/",""))=8,DATE(VALUE(LEFT(SUBSTITUTE(SUBSTITUTE(SUBSTITUTE(TRIM($G899),"-",""),".",""),"/",""),4)),VALUE(MID(SUBSTITUTE(SUBSTITUTE(SUBSTITUTE(TRIM($G899),"-",""),".",""),"/",""),5,2)),VALUE(RIGHT(SUBSTITUTE(SUBSTITUTE(SUBSTITUTE(TRIM($G899),"-",""),".",""),"/",""),2))),DATEVALUE($G899))),""))</f>
        <v/>
      </c>
      <c r="V899" s="52" t="str">
        <f aca="false">IF($H899="","",IFERROR(IF(IF(ISNUMBER($H899),$H899,IFERROR(TIMEVALUE($H899),VALUE($H899)))&gt;=100,INT(IF(ISNUMBER($H899),$H899,IFERROR(TIMEVALUE($H899),VALUE($H899)))/100)*60+MOD(IF(ISNUMBER($H899),$H899,IFERROR(TIMEVALUE($H899),VALUE($H899))),100),IF(IF(ISNUMBER($H899),$H899,IFERROR(TIMEVALUE($H899),VALUE($H899)))&gt;=1,ROUND(IF(ISNUMBER($H899),$H899,IFERROR(TIMEVALUE($H899),VALUE($H899)))*60,0),ROUND(MOD(IF(ISNUMBER($H899),$H899,IFERROR(TIMEVALUE($H899),VALUE($H899))),1)*1440,0))),""))</f>
        <v/>
      </c>
      <c r="W899" s="52" t="str">
        <f aca="false">IF($I899="","",IFERROR(IF(IF(ISNUMBER($I899),$I899,IFERROR(TIMEVALUE($I899),VALUE($I899)))&gt;=100,INT(IF(ISNUMBER($I899),$I899,IFERROR(TIMEVALUE($I899),VALUE($I899)))/100)*60+MOD(IF(ISNUMBER($I899),$I899,IFERROR(TIMEVALUE($I899),VALUE($I899))),100),IF(IF(ISNUMBER($I899),$I899,IFERROR(TIMEVALUE($I899),VALUE($I899)))&gt;=1,ROUND(IF(ISNUMBER($I899),$I899,IFERROR(TIMEVALUE($I899),VALUE($I899)))*60,0),ROUND(MOD(IF(ISNUMBER($I899),$I899,IFERROR(TIMEVALUE($I899),VALUE($I899))),1)*1440,0))),""))</f>
        <v/>
      </c>
      <c r="X899" s="55" t="str">
        <f aca="false">IF($P899="","",IFERROR(IF(ISNUMBER($P899),IF($P899&gt;19000000,DATE(INT($P899/10000),MOD(INT($P899/100),100),MOD($P899,100)),INT($P899)),IF(LEN(SUBSTITUTE(SUBSTITUTE(SUBSTITUTE(TRIM($P899),"-",""),".",""),"/",""))=8,DATE(VALUE(LEFT(SUBSTITUTE(SUBSTITUTE(SUBSTITUTE(TRIM($P899),"-",""),".",""),"/",""),4)),VALUE(MID(SUBSTITUTE(SUBSTITUTE(SUBSTITUTE(TRIM($P899),"-",""),".",""),"/",""),5,2)),VALUE(RIGHT(SUBSTITUTE(SUBSTITUTE(SUBSTITUTE(TRIM($P899),"-",""),".",""),"/",""),2))),DATEVALUE($P899))),""))</f>
        <v/>
      </c>
      <c r="Y899" s="56" t="str">
        <f aca="false">IF($M899="","",IFERROR(INDEX(강사DB!$D$4:$D$53,MATCH($M899,강사DB!$A$4:$A$53,0)),""))</f>
        <v/>
      </c>
      <c r="Z899" s="56" t="str">
        <f aca="false">IF($B899&lt;&gt;"결제완료","",IF(OR($Y899="",$J899=""),"",$Y899*$J899+MAX(0,N($K899)-1)*설정!$J$7))</f>
        <v/>
      </c>
      <c r="AA899" s="56" t="str">
        <f aca="false">IF(AND($D899&lt;&gt;"",$B899="결제완료"),N($N899),"")</f>
        <v/>
      </c>
      <c r="AB899" s="45" t="str">
        <f aca="false">IF($D899="","",IF($F899&lt;&gt;"",$F899,$D899)&amp;IF($B899="상담중"," (상담)",""))</f>
        <v/>
      </c>
      <c r="AC899" s="45" t="n">
        <f aca="false">IF(AND($D899&lt;&gt;"",OR($B899="결제완료",$B899="상담중")),1,0)</f>
        <v>0</v>
      </c>
      <c r="AD899" s="45" t="n">
        <f aca="false">IF(OR($Z899="",$U899=""),0,IFERROR(IF(COUNTIFS(INDEX(g_grid,0,2*MATCH($M899,강사DB!$A$4:$A$15,0)),"&lt;&gt;",g_s,"&lt;="&amp;$U899,g_e,"&gt;="&amp;$U899)&gt;0,1,0),0))</f>
        <v>0</v>
      </c>
      <c r="AE899" s="48"/>
      <c r="AF899" s="56" t="str">
        <f aca="false">IF(AND($D899&lt;&gt;"",$B899="결제완료",$T899="대여"),설정!$J$5,"")</f>
        <v/>
      </c>
      <c r="AG899" s="54" t="str">
        <f aca="false">IF($D899="","",IF(AND($E899="",$R899=""),$AB899,"☎ "&amp;IF($E899="","-",$E899)&amp;IF($R899&lt;&gt;"","  ※ "&amp;$R899,"")&amp;IF($B899="상담중"," (상담)","")))</f>
        <v/>
      </c>
      <c r="AH899" s="56" t="str">
        <f aca="false">IF(AND($D899&lt;&gt;"",$B899="결제완료",$O899="스마트스토어"),ROUND(N($N899)*설정!$J$6,0),"")</f>
        <v/>
      </c>
      <c r="AI899" s="54" t="str">
        <f aca="false">IF($D899="","",ROW())</f>
        <v/>
      </c>
      <c r="AJ899" s="54" t="n">
        <f aca="false">IF(OR($AC899&lt;&gt;1,$M899=""),0,IF(ISNUMBER(SEARCH("퇴사",IFERROR(INDEX(강사DB!$G$4:$G$53,MATCH($M899,강사DB!$A$4:$A$53,0)),""))),1,0))</f>
        <v>0</v>
      </c>
    </row>
    <row r="900" customFormat="false" ht="15" hidden="false" customHeight="false" outlineLevel="0" collapsed="false">
      <c r="A900" s="45" t="str">
        <f aca="false">IF($D900="","",COUNTA($D$5:$D900))</f>
        <v/>
      </c>
      <c r="B900" s="46"/>
      <c r="C900" s="47"/>
      <c r="D900" s="48"/>
      <c r="E900" s="48"/>
      <c r="F900" s="49"/>
      <c r="G900" s="47"/>
      <c r="H900" s="50"/>
      <c r="I900" s="50"/>
      <c r="J900" s="51" t="str">
        <f aca="false">IF(OR($V900="",$W900=""),"",ROUND(($W900-$V900)/60,2))</f>
        <v/>
      </c>
      <c r="K900" s="52" t="str">
        <f aca="false">IF($F900="","",LEN($F900)-LEN(SUBSTITUTE($F900,",",""))+1)</f>
        <v/>
      </c>
      <c r="L900" s="45" t="str">
        <f aca="false">IF($K900="","","1:"&amp;$K900)</f>
        <v/>
      </c>
      <c r="M900" s="46"/>
      <c r="N900" s="53"/>
      <c r="O900" s="46"/>
      <c r="P900" s="47"/>
      <c r="Q900" s="48"/>
      <c r="R900" s="49"/>
      <c r="S900" s="54" t="str">
        <f aca="false">IF(OR($AC900=0,$U900="",$M900="",$V900="",$W900=""),"",IF(COUNTIFS(m_teacher,$M900,m_date,$U900,m_active,1,m_start,"&lt;"&amp;$W900,m_end,"&gt;"&amp;$V900)&gt;1,"충돌",""))</f>
        <v/>
      </c>
      <c r="T900" s="48"/>
      <c r="U900" s="55" t="str">
        <f aca="false">IF($G900="","",IFERROR(IF(ISNUMBER($G900),IF($G900&gt;19000000,DATE(INT($G900/10000),MOD(INT($G900/100),100),MOD($G900,100)),INT($G900)),IF(LEN(SUBSTITUTE(SUBSTITUTE(SUBSTITUTE(TRIM($G900),"-",""),".",""),"/",""))=8,DATE(VALUE(LEFT(SUBSTITUTE(SUBSTITUTE(SUBSTITUTE(TRIM($G900),"-",""),".",""),"/",""),4)),VALUE(MID(SUBSTITUTE(SUBSTITUTE(SUBSTITUTE(TRIM($G900),"-",""),".",""),"/",""),5,2)),VALUE(RIGHT(SUBSTITUTE(SUBSTITUTE(SUBSTITUTE(TRIM($G900),"-",""),".",""),"/",""),2))),DATEVALUE($G900))),""))</f>
        <v/>
      </c>
      <c r="V900" s="52" t="str">
        <f aca="false">IF($H900="","",IFERROR(IF(IF(ISNUMBER($H900),$H900,IFERROR(TIMEVALUE($H900),VALUE($H900)))&gt;=100,INT(IF(ISNUMBER($H900),$H900,IFERROR(TIMEVALUE($H900),VALUE($H900)))/100)*60+MOD(IF(ISNUMBER($H900),$H900,IFERROR(TIMEVALUE($H900),VALUE($H900))),100),IF(IF(ISNUMBER($H900),$H900,IFERROR(TIMEVALUE($H900),VALUE($H900)))&gt;=1,ROUND(IF(ISNUMBER($H900),$H900,IFERROR(TIMEVALUE($H900),VALUE($H900)))*60,0),ROUND(MOD(IF(ISNUMBER($H900),$H900,IFERROR(TIMEVALUE($H900),VALUE($H900))),1)*1440,0))),""))</f>
        <v/>
      </c>
      <c r="W900" s="52" t="str">
        <f aca="false">IF($I900="","",IFERROR(IF(IF(ISNUMBER($I900),$I900,IFERROR(TIMEVALUE($I900),VALUE($I900)))&gt;=100,INT(IF(ISNUMBER($I900),$I900,IFERROR(TIMEVALUE($I900),VALUE($I900)))/100)*60+MOD(IF(ISNUMBER($I900),$I900,IFERROR(TIMEVALUE($I900),VALUE($I900))),100),IF(IF(ISNUMBER($I900),$I900,IFERROR(TIMEVALUE($I900),VALUE($I900)))&gt;=1,ROUND(IF(ISNUMBER($I900),$I900,IFERROR(TIMEVALUE($I900),VALUE($I900)))*60,0),ROUND(MOD(IF(ISNUMBER($I900),$I900,IFERROR(TIMEVALUE($I900),VALUE($I900))),1)*1440,0))),""))</f>
        <v/>
      </c>
      <c r="X900" s="55" t="str">
        <f aca="false">IF($P900="","",IFERROR(IF(ISNUMBER($P900),IF($P900&gt;19000000,DATE(INT($P900/10000),MOD(INT($P900/100),100),MOD($P900,100)),INT($P900)),IF(LEN(SUBSTITUTE(SUBSTITUTE(SUBSTITUTE(TRIM($P900),"-",""),".",""),"/",""))=8,DATE(VALUE(LEFT(SUBSTITUTE(SUBSTITUTE(SUBSTITUTE(TRIM($P900),"-",""),".",""),"/",""),4)),VALUE(MID(SUBSTITUTE(SUBSTITUTE(SUBSTITUTE(TRIM($P900),"-",""),".",""),"/",""),5,2)),VALUE(RIGHT(SUBSTITUTE(SUBSTITUTE(SUBSTITUTE(TRIM($P900),"-",""),".",""),"/",""),2))),DATEVALUE($P900))),""))</f>
        <v/>
      </c>
      <c r="Y900" s="56" t="str">
        <f aca="false">IF($M900="","",IFERROR(INDEX(강사DB!$D$4:$D$53,MATCH($M900,강사DB!$A$4:$A$53,0)),""))</f>
        <v/>
      </c>
      <c r="Z900" s="56" t="str">
        <f aca="false">IF($B900&lt;&gt;"결제완료","",IF(OR($Y900="",$J900=""),"",$Y900*$J900+MAX(0,N($K900)-1)*설정!$J$7))</f>
        <v/>
      </c>
      <c r="AA900" s="56" t="str">
        <f aca="false">IF(AND($D900&lt;&gt;"",$B900="결제완료"),N($N900),"")</f>
        <v/>
      </c>
      <c r="AB900" s="45" t="str">
        <f aca="false">IF($D900="","",IF($F900&lt;&gt;"",$F900,$D900)&amp;IF($B900="상담중"," (상담)",""))</f>
        <v/>
      </c>
      <c r="AC900" s="45" t="n">
        <f aca="false">IF(AND($D900&lt;&gt;"",OR($B900="결제완료",$B900="상담중")),1,0)</f>
        <v>0</v>
      </c>
      <c r="AD900" s="45" t="n">
        <f aca="false">IF(OR($Z900="",$U900=""),0,IFERROR(IF(COUNTIFS(INDEX(g_grid,0,2*MATCH($M900,강사DB!$A$4:$A$15,0)),"&lt;&gt;",g_s,"&lt;="&amp;$U900,g_e,"&gt;="&amp;$U900)&gt;0,1,0),0))</f>
        <v>0</v>
      </c>
      <c r="AE900" s="48"/>
      <c r="AF900" s="56" t="str">
        <f aca="false">IF(AND($D900&lt;&gt;"",$B900="결제완료",$T900="대여"),설정!$J$5,"")</f>
        <v/>
      </c>
      <c r="AG900" s="54" t="str">
        <f aca="false">IF($D900="","",IF(AND($E900="",$R900=""),$AB900,"☎ "&amp;IF($E900="","-",$E900)&amp;IF($R900&lt;&gt;"","  ※ "&amp;$R900,"")&amp;IF($B900="상담중"," (상담)","")))</f>
        <v/>
      </c>
      <c r="AH900" s="56" t="str">
        <f aca="false">IF(AND($D900&lt;&gt;"",$B900="결제완료",$O900="스마트스토어"),ROUND(N($N900)*설정!$J$6,0),"")</f>
        <v/>
      </c>
      <c r="AI900" s="54" t="str">
        <f aca="false">IF($D900="","",ROW())</f>
        <v/>
      </c>
      <c r="AJ900" s="54" t="n">
        <f aca="false">IF(OR($AC900&lt;&gt;1,$M900=""),0,IF(ISNUMBER(SEARCH("퇴사",IFERROR(INDEX(강사DB!$G$4:$G$53,MATCH($M900,강사DB!$A$4:$A$53,0)),""))),1,0))</f>
        <v>0</v>
      </c>
    </row>
    <row r="901" customFormat="false" ht="15" hidden="false" customHeight="false" outlineLevel="0" collapsed="false">
      <c r="A901" s="45" t="str">
        <f aca="false">IF($D901="","",COUNTA($D$5:$D901))</f>
        <v/>
      </c>
      <c r="B901" s="46"/>
      <c r="C901" s="47"/>
      <c r="D901" s="48"/>
      <c r="E901" s="48"/>
      <c r="F901" s="49"/>
      <c r="G901" s="47"/>
      <c r="H901" s="50"/>
      <c r="I901" s="50"/>
      <c r="J901" s="51" t="str">
        <f aca="false">IF(OR($V901="",$W901=""),"",ROUND(($W901-$V901)/60,2))</f>
        <v/>
      </c>
      <c r="K901" s="52" t="str">
        <f aca="false">IF($F901="","",LEN($F901)-LEN(SUBSTITUTE($F901,",",""))+1)</f>
        <v/>
      </c>
      <c r="L901" s="45" t="str">
        <f aca="false">IF($K901="","","1:"&amp;$K901)</f>
        <v/>
      </c>
      <c r="M901" s="46"/>
      <c r="N901" s="53"/>
      <c r="O901" s="46"/>
      <c r="P901" s="47"/>
      <c r="Q901" s="48"/>
      <c r="R901" s="49"/>
      <c r="S901" s="54" t="str">
        <f aca="false">IF(OR($AC901=0,$U901="",$M901="",$V901="",$W901=""),"",IF(COUNTIFS(m_teacher,$M901,m_date,$U901,m_active,1,m_start,"&lt;"&amp;$W901,m_end,"&gt;"&amp;$V901)&gt;1,"충돌",""))</f>
        <v/>
      </c>
      <c r="T901" s="48"/>
      <c r="U901" s="55" t="str">
        <f aca="false">IF($G901="","",IFERROR(IF(ISNUMBER($G901),IF($G901&gt;19000000,DATE(INT($G901/10000),MOD(INT($G901/100),100),MOD($G901,100)),INT($G901)),IF(LEN(SUBSTITUTE(SUBSTITUTE(SUBSTITUTE(TRIM($G901),"-",""),".",""),"/",""))=8,DATE(VALUE(LEFT(SUBSTITUTE(SUBSTITUTE(SUBSTITUTE(TRIM($G901),"-",""),".",""),"/",""),4)),VALUE(MID(SUBSTITUTE(SUBSTITUTE(SUBSTITUTE(TRIM($G901),"-",""),".",""),"/",""),5,2)),VALUE(RIGHT(SUBSTITUTE(SUBSTITUTE(SUBSTITUTE(TRIM($G901),"-",""),".",""),"/",""),2))),DATEVALUE($G901))),""))</f>
        <v/>
      </c>
      <c r="V901" s="52" t="str">
        <f aca="false">IF($H901="","",IFERROR(IF(IF(ISNUMBER($H901),$H901,IFERROR(TIMEVALUE($H901),VALUE($H901)))&gt;=100,INT(IF(ISNUMBER($H901),$H901,IFERROR(TIMEVALUE($H901),VALUE($H901)))/100)*60+MOD(IF(ISNUMBER($H901),$H901,IFERROR(TIMEVALUE($H901),VALUE($H901))),100),IF(IF(ISNUMBER($H901),$H901,IFERROR(TIMEVALUE($H901),VALUE($H901)))&gt;=1,ROUND(IF(ISNUMBER($H901),$H901,IFERROR(TIMEVALUE($H901),VALUE($H901)))*60,0),ROUND(MOD(IF(ISNUMBER($H901),$H901,IFERROR(TIMEVALUE($H901),VALUE($H901))),1)*1440,0))),""))</f>
        <v/>
      </c>
      <c r="W901" s="52" t="str">
        <f aca="false">IF($I901="","",IFERROR(IF(IF(ISNUMBER($I901),$I901,IFERROR(TIMEVALUE($I901),VALUE($I901)))&gt;=100,INT(IF(ISNUMBER($I901),$I901,IFERROR(TIMEVALUE($I901),VALUE($I901)))/100)*60+MOD(IF(ISNUMBER($I901),$I901,IFERROR(TIMEVALUE($I901),VALUE($I901))),100),IF(IF(ISNUMBER($I901),$I901,IFERROR(TIMEVALUE($I901),VALUE($I901)))&gt;=1,ROUND(IF(ISNUMBER($I901),$I901,IFERROR(TIMEVALUE($I901),VALUE($I901)))*60,0),ROUND(MOD(IF(ISNUMBER($I901),$I901,IFERROR(TIMEVALUE($I901),VALUE($I901))),1)*1440,0))),""))</f>
        <v/>
      </c>
      <c r="X901" s="55" t="str">
        <f aca="false">IF($P901="","",IFERROR(IF(ISNUMBER($P901),IF($P901&gt;19000000,DATE(INT($P901/10000),MOD(INT($P901/100),100),MOD($P901,100)),INT($P901)),IF(LEN(SUBSTITUTE(SUBSTITUTE(SUBSTITUTE(TRIM($P901),"-",""),".",""),"/",""))=8,DATE(VALUE(LEFT(SUBSTITUTE(SUBSTITUTE(SUBSTITUTE(TRIM($P901),"-",""),".",""),"/",""),4)),VALUE(MID(SUBSTITUTE(SUBSTITUTE(SUBSTITUTE(TRIM($P901),"-",""),".",""),"/",""),5,2)),VALUE(RIGHT(SUBSTITUTE(SUBSTITUTE(SUBSTITUTE(TRIM($P901),"-",""),".",""),"/",""),2))),DATEVALUE($P901))),""))</f>
        <v/>
      </c>
      <c r="Y901" s="56" t="str">
        <f aca="false">IF($M901="","",IFERROR(INDEX(강사DB!$D$4:$D$53,MATCH($M901,강사DB!$A$4:$A$53,0)),""))</f>
        <v/>
      </c>
      <c r="Z901" s="56" t="str">
        <f aca="false">IF($B901&lt;&gt;"결제완료","",IF(OR($Y901="",$J901=""),"",$Y901*$J901+MAX(0,N($K901)-1)*설정!$J$7))</f>
        <v/>
      </c>
      <c r="AA901" s="56" t="str">
        <f aca="false">IF(AND($D901&lt;&gt;"",$B901="결제완료"),N($N901),"")</f>
        <v/>
      </c>
      <c r="AB901" s="45" t="str">
        <f aca="false">IF($D901="","",IF($F901&lt;&gt;"",$F901,$D901)&amp;IF($B901="상담중"," (상담)",""))</f>
        <v/>
      </c>
      <c r="AC901" s="45" t="n">
        <f aca="false">IF(AND($D901&lt;&gt;"",OR($B901="결제완료",$B901="상담중")),1,0)</f>
        <v>0</v>
      </c>
      <c r="AD901" s="45" t="n">
        <f aca="false">IF(OR($Z901="",$U901=""),0,IFERROR(IF(COUNTIFS(INDEX(g_grid,0,2*MATCH($M901,강사DB!$A$4:$A$15,0)),"&lt;&gt;",g_s,"&lt;="&amp;$U901,g_e,"&gt;="&amp;$U901)&gt;0,1,0),0))</f>
        <v>0</v>
      </c>
      <c r="AE901" s="48"/>
      <c r="AF901" s="56" t="str">
        <f aca="false">IF(AND($D901&lt;&gt;"",$B901="결제완료",$T901="대여"),설정!$J$5,"")</f>
        <v/>
      </c>
      <c r="AG901" s="54" t="str">
        <f aca="false">IF($D901="","",IF(AND($E901="",$R901=""),$AB901,"☎ "&amp;IF($E901="","-",$E901)&amp;IF($R901&lt;&gt;"","  ※ "&amp;$R901,"")&amp;IF($B901="상담중"," (상담)","")))</f>
        <v/>
      </c>
      <c r="AH901" s="56" t="str">
        <f aca="false">IF(AND($D901&lt;&gt;"",$B901="결제완료",$O901="스마트스토어"),ROUND(N($N901)*설정!$J$6,0),"")</f>
        <v/>
      </c>
      <c r="AI901" s="54" t="str">
        <f aca="false">IF($D901="","",ROW())</f>
        <v/>
      </c>
      <c r="AJ901" s="54" t="n">
        <f aca="false">IF(OR($AC901&lt;&gt;1,$M901=""),0,IF(ISNUMBER(SEARCH("퇴사",IFERROR(INDEX(강사DB!$G$4:$G$53,MATCH($M901,강사DB!$A$4:$A$53,0)),""))),1,0))</f>
        <v>0</v>
      </c>
    </row>
    <row r="902" customFormat="false" ht="15" hidden="false" customHeight="false" outlineLevel="0" collapsed="false">
      <c r="A902" s="45" t="str">
        <f aca="false">IF($D902="","",COUNTA($D$5:$D902))</f>
        <v/>
      </c>
      <c r="B902" s="46"/>
      <c r="C902" s="47"/>
      <c r="D902" s="48"/>
      <c r="E902" s="48"/>
      <c r="F902" s="49"/>
      <c r="G902" s="47"/>
      <c r="H902" s="50"/>
      <c r="I902" s="50"/>
      <c r="J902" s="51" t="str">
        <f aca="false">IF(OR($V902="",$W902=""),"",ROUND(($W902-$V902)/60,2))</f>
        <v/>
      </c>
      <c r="K902" s="52" t="str">
        <f aca="false">IF($F902="","",LEN($F902)-LEN(SUBSTITUTE($F902,",",""))+1)</f>
        <v/>
      </c>
      <c r="L902" s="45" t="str">
        <f aca="false">IF($K902="","","1:"&amp;$K902)</f>
        <v/>
      </c>
      <c r="M902" s="46"/>
      <c r="N902" s="53"/>
      <c r="O902" s="46"/>
      <c r="P902" s="47"/>
      <c r="Q902" s="48"/>
      <c r="R902" s="49"/>
      <c r="S902" s="54" t="str">
        <f aca="false">IF(OR($AC902=0,$U902="",$M902="",$V902="",$W902=""),"",IF(COUNTIFS(m_teacher,$M902,m_date,$U902,m_active,1,m_start,"&lt;"&amp;$W902,m_end,"&gt;"&amp;$V902)&gt;1,"충돌",""))</f>
        <v/>
      </c>
      <c r="T902" s="48"/>
      <c r="U902" s="55" t="str">
        <f aca="false">IF($G902="","",IFERROR(IF(ISNUMBER($G902),IF($G902&gt;19000000,DATE(INT($G902/10000),MOD(INT($G902/100),100),MOD($G902,100)),INT($G902)),IF(LEN(SUBSTITUTE(SUBSTITUTE(SUBSTITUTE(TRIM($G902),"-",""),".",""),"/",""))=8,DATE(VALUE(LEFT(SUBSTITUTE(SUBSTITUTE(SUBSTITUTE(TRIM($G902),"-",""),".",""),"/",""),4)),VALUE(MID(SUBSTITUTE(SUBSTITUTE(SUBSTITUTE(TRIM($G902),"-",""),".",""),"/",""),5,2)),VALUE(RIGHT(SUBSTITUTE(SUBSTITUTE(SUBSTITUTE(TRIM($G902),"-",""),".",""),"/",""),2))),DATEVALUE($G902))),""))</f>
        <v/>
      </c>
      <c r="V902" s="52" t="str">
        <f aca="false">IF($H902="","",IFERROR(IF(IF(ISNUMBER($H902),$H902,IFERROR(TIMEVALUE($H902),VALUE($H902)))&gt;=100,INT(IF(ISNUMBER($H902),$H902,IFERROR(TIMEVALUE($H902),VALUE($H902)))/100)*60+MOD(IF(ISNUMBER($H902),$H902,IFERROR(TIMEVALUE($H902),VALUE($H902))),100),IF(IF(ISNUMBER($H902),$H902,IFERROR(TIMEVALUE($H902),VALUE($H902)))&gt;=1,ROUND(IF(ISNUMBER($H902),$H902,IFERROR(TIMEVALUE($H902),VALUE($H902)))*60,0),ROUND(MOD(IF(ISNUMBER($H902),$H902,IFERROR(TIMEVALUE($H902),VALUE($H902))),1)*1440,0))),""))</f>
        <v/>
      </c>
      <c r="W902" s="52" t="str">
        <f aca="false">IF($I902="","",IFERROR(IF(IF(ISNUMBER($I902),$I902,IFERROR(TIMEVALUE($I902),VALUE($I902)))&gt;=100,INT(IF(ISNUMBER($I902),$I902,IFERROR(TIMEVALUE($I902),VALUE($I902)))/100)*60+MOD(IF(ISNUMBER($I902),$I902,IFERROR(TIMEVALUE($I902),VALUE($I902))),100),IF(IF(ISNUMBER($I902),$I902,IFERROR(TIMEVALUE($I902),VALUE($I902)))&gt;=1,ROUND(IF(ISNUMBER($I902),$I902,IFERROR(TIMEVALUE($I902),VALUE($I902)))*60,0),ROUND(MOD(IF(ISNUMBER($I902),$I902,IFERROR(TIMEVALUE($I902),VALUE($I902))),1)*1440,0))),""))</f>
        <v/>
      </c>
      <c r="X902" s="55" t="str">
        <f aca="false">IF($P902="","",IFERROR(IF(ISNUMBER($P902),IF($P902&gt;19000000,DATE(INT($P902/10000),MOD(INT($P902/100),100),MOD($P902,100)),INT($P902)),IF(LEN(SUBSTITUTE(SUBSTITUTE(SUBSTITUTE(TRIM($P902),"-",""),".",""),"/",""))=8,DATE(VALUE(LEFT(SUBSTITUTE(SUBSTITUTE(SUBSTITUTE(TRIM($P902),"-",""),".",""),"/",""),4)),VALUE(MID(SUBSTITUTE(SUBSTITUTE(SUBSTITUTE(TRIM($P902),"-",""),".",""),"/",""),5,2)),VALUE(RIGHT(SUBSTITUTE(SUBSTITUTE(SUBSTITUTE(TRIM($P902),"-",""),".",""),"/",""),2))),DATEVALUE($P902))),""))</f>
        <v/>
      </c>
      <c r="Y902" s="56" t="str">
        <f aca="false">IF($M902="","",IFERROR(INDEX(강사DB!$D$4:$D$53,MATCH($M902,강사DB!$A$4:$A$53,0)),""))</f>
        <v/>
      </c>
      <c r="Z902" s="56" t="str">
        <f aca="false">IF($B902&lt;&gt;"결제완료","",IF(OR($Y902="",$J902=""),"",$Y902*$J902+MAX(0,N($K902)-1)*설정!$J$7))</f>
        <v/>
      </c>
      <c r="AA902" s="56" t="str">
        <f aca="false">IF(AND($D902&lt;&gt;"",$B902="결제완료"),N($N902),"")</f>
        <v/>
      </c>
      <c r="AB902" s="45" t="str">
        <f aca="false">IF($D902="","",IF($F902&lt;&gt;"",$F902,$D902)&amp;IF($B902="상담중"," (상담)",""))</f>
        <v/>
      </c>
      <c r="AC902" s="45" t="n">
        <f aca="false">IF(AND($D902&lt;&gt;"",OR($B902="결제완료",$B902="상담중")),1,0)</f>
        <v>0</v>
      </c>
      <c r="AD902" s="45" t="n">
        <f aca="false">IF(OR($Z902="",$U902=""),0,IFERROR(IF(COUNTIFS(INDEX(g_grid,0,2*MATCH($M902,강사DB!$A$4:$A$15,0)),"&lt;&gt;",g_s,"&lt;="&amp;$U902,g_e,"&gt;="&amp;$U902)&gt;0,1,0),0))</f>
        <v>0</v>
      </c>
      <c r="AE902" s="48"/>
      <c r="AF902" s="56" t="str">
        <f aca="false">IF(AND($D902&lt;&gt;"",$B902="결제완료",$T902="대여"),설정!$J$5,"")</f>
        <v/>
      </c>
      <c r="AG902" s="54" t="str">
        <f aca="false">IF($D902="","",IF(AND($E902="",$R902=""),$AB902,"☎ "&amp;IF($E902="","-",$E902)&amp;IF($R902&lt;&gt;"","  ※ "&amp;$R902,"")&amp;IF($B902="상담중"," (상담)","")))</f>
        <v/>
      </c>
      <c r="AH902" s="56" t="str">
        <f aca="false">IF(AND($D902&lt;&gt;"",$B902="결제완료",$O902="스마트스토어"),ROUND(N($N902)*설정!$J$6,0),"")</f>
        <v/>
      </c>
      <c r="AI902" s="54" t="str">
        <f aca="false">IF($D902="","",ROW())</f>
        <v/>
      </c>
      <c r="AJ902" s="54" t="n">
        <f aca="false">IF(OR($AC902&lt;&gt;1,$M902=""),0,IF(ISNUMBER(SEARCH("퇴사",IFERROR(INDEX(강사DB!$G$4:$G$53,MATCH($M902,강사DB!$A$4:$A$53,0)),""))),1,0))</f>
        <v>0</v>
      </c>
    </row>
    <row r="903" customFormat="false" ht="15" hidden="false" customHeight="false" outlineLevel="0" collapsed="false">
      <c r="A903" s="45" t="str">
        <f aca="false">IF($D903="","",COUNTA($D$5:$D903))</f>
        <v/>
      </c>
      <c r="B903" s="46"/>
      <c r="C903" s="47"/>
      <c r="D903" s="48"/>
      <c r="E903" s="48"/>
      <c r="F903" s="49"/>
      <c r="G903" s="47"/>
      <c r="H903" s="50"/>
      <c r="I903" s="50"/>
      <c r="J903" s="51" t="str">
        <f aca="false">IF(OR($V903="",$W903=""),"",ROUND(($W903-$V903)/60,2))</f>
        <v/>
      </c>
      <c r="K903" s="52" t="str">
        <f aca="false">IF($F903="","",LEN($F903)-LEN(SUBSTITUTE($F903,",",""))+1)</f>
        <v/>
      </c>
      <c r="L903" s="45" t="str">
        <f aca="false">IF($K903="","","1:"&amp;$K903)</f>
        <v/>
      </c>
      <c r="M903" s="46"/>
      <c r="N903" s="53"/>
      <c r="O903" s="46"/>
      <c r="P903" s="47"/>
      <c r="Q903" s="48"/>
      <c r="R903" s="49"/>
      <c r="S903" s="54" t="str">
        <f aca="false">IF(OR($AC903=0,$U903="",$M903="",$V903="",$W903=""),"",IF(COUNTIFS(m_teacher,$M903,m_date,$U903,m_active,1,m_start,"&lt;"&amp;$W903,m_end,"&gt;"&amp;$V903)&gt;1,"충돌",""))</f>
        <v/>
      </c>
      <c r="T903" s="48"/>
      <c r="U903" s="55" t="str">
        <f aca="false">IF($G903="","",IFERROR(IF(ISNUMBER($G903),IF($G903&gt;19000000,DATE(INT($G903/10000),MOD(INT($G903/100),100),MOD($G903,100)),INT($G903)),IF(LEN(SUBSTITUTE(SUBSTITUTE(SUBSTITUTE(TRIM($G903),"-",""),".",""),"/",""))=8,DATE(VALUE(LEFT(SUBSTITUTE(SUBSTITUTE(SUBSTITUTE(TRIM($G903),"-",""),".",""),"/",""),4)),VALUE(MID(SUBSTITUTE(SUBSTITUTE(SUBSTITUTE(TRIM($G903),"-",""),".",""),"/",""),5,2)),VALUE(RIGHT(SUBSTITUTE(SUBSTITUTE(SUBSTITUTE(TRIM($G903),"-",""),".",""),"/",""),2))),DATEVALUE($G903))),""))</f>
        <v/>
      </c>
      <c r="V903" s="52" t="str">
        <f aca="false">IF($H903="","",IFERROR(IF(IF(ISNUMBER($H903),$H903,IFERROR(TIMEVALUE($H903),VALUE($H903)))&gt;=100,INT(IF(ISNUMBER($H903),$H903,IFERROR(TIMEVALUE($H903),VALUE($H903)))/100)*60+MOD(IF(ISNUMBER($H903),$H903,IFERROR(TIMEVALUE($H903),VALUE($H903))),100),IF(IF(ISNUMBER($H903),$H903,IFERROR(TIMEVALUE($H903),VALUE($H903)))&gt;=1,ROUND(IF(ISNUMBER($H903),$H903,IFERROR(TIMEVALUE($H903),VALUE($H903)))*60,0),ROUND(MOD(IF(ISNUMBER($H903),$H903,IFERROR(TIMEVALUE($H903),VALUE($H903))),1)*1440,0))),""))</f>
        <v/>
      </c>
      <c r="W903" s="52" t="str">
        <f aca="false">IF($I903="","",IFERROR(IF(IF(ISNUMBER($I903),$I903,IFERROR(TIMEVALUE($I903),VALUE($I903)))&gt;=100,INT(IF(ISNUMBER($I903),$I903,IFERROR(TIMEVALUE($I903),VALUE($I903)))/100)*60+MOD(IF(ISNUMBER($I903),$I903,IFERROR(TIMEVALUE($I903),VALUE($I903))),100),IF(IF(ISNUMBER($I903),$I903,IFERROR(TIMEVALUE($I903),VALUE($I903)))&gt;=1,ROUND(IF(ISNUMBER($I903),$I903,IFERROR(TIMEVALUE($I903),VALUE($I903)))*60,0),ROUND(MOD(IF(ISNUMBER($I903),$I903,IFERROR(TIMEVALUE($I903),VALUE($I903))),1)*1440,0))),""))</f>
        <v/>
      </c>
      <c r="X903" s="55" t="str">
        <f aca="false">IF($P903="","",IFERROR(IF(ISNUMBER($P903),IF($P903&gt;19000000,DATE(INT($P903/10000),MOD(INT($P903/100),100),MOD($P903,100)),INT($P903)),IF(LEN(SUBSTITUTE(SUBSTITUTE(SUBSTITUTE(TRIM($P903),"-",""),".",""),"/",""))=8,DATE(VALUE(LEFT(SUBSTITUTE(SUBSTITUTE(SUBSTITUTE(TRIM($P903),"-",""),".",""),"/",""),4)),VALUE(MID(SUBSTITUTE(SUBSTITUTE(SUBSTITUTE(TRIM($P903),"-",""),".",""),"/",""),5,2)),VALUE(RIGHT(SUBSTITUTE(SUBSTITUTE(SUBSTITUTE(TRIM($P903),"-",""),".",""),"/",""),2))),DATEVALUE($P903))),""))</f>
        <v/>
      </c>
      <c r="Y903" s="56" t="str">
        <f aca="false">IF($M903="","",IFERROR(INDEX(강사DB!$D$4:$D$53,MATCH($M903,강사DB!$A$4:$A$53,0)),""))</f>
        <v/>
      </c>
      <c r="Z903" s="56" t="str">
        <f aca="false">IF($B903&lt;&gt;"결제완료","",IF(OR($Y903="",$J903=""),"",$Y903*$J903+MAX(0,N($K903)-1)*설정!$J$7))</f>
        <v/>
      </c>
      <c r="AA903" s="56" t="str">
        <f aca="false">IF(AND($D903&lt;&gt;"",$B903="결제완료"),N($N903),"")</f>
        <v/>
      </c>
      <c r="AB903" s="45" t="str">
        <f aca="false">IF($D903="","",IF($F903&lt;&gt;"",$F903,$D903)&amp;IF($B903="상담중"," (상담)",""))</f>
        <v/>
      </c>
      <c r="AC903" s="45" t="n">
        <f aca="false">IF(AND($D903&lt;&gt;"",OR($B903="결제완료",$B903="상담중")),1,0)</f>
        <v>0</v>
      </c>
      <c r="AD903" s="45" t="n">
        <f aca="false">IF(OR($Z903="",$U903=""),0,IFERROR(IF(COUNTIFS(INDEX(g_grid,0,2*MATCH($M903,강사DB!$A$4:$A$15,0)),"&lt;&gt;",g_s,"&lt;="&amp;$U903,g_e,"&gt;="&amp;$U903)&gt;0,1,0),0))</f>
        <v>0</v>
      </c>
      <c r="AE903" s="48"/>
      <c r="AF903" s="56" t="str">
        <f aca="false">IF(AND($D903&lt;&gt;"",$B903="결제완료",$T903="대여"),설정!$J$5,"")</f>
        <v/>
      </c>
      <c r="AG903" s="54" t="str">
        <f aca="false">IF($D903="","",IF(AND($E903="",$R903=""),$AB903,"☎ "&amp;IF($E903="","-",$E903)&amp;IF($R903&lt;&gt;"","  ※ "&amp;$R903,"")&amp;IF($B903="상담중"," (상담)","")))</f>
        <v/>
      </c>
      <c r="AH903" s="56" t="str">
        <f aca="false">IF(AND($D903&lt;&gt;"",$B903="결제완료",$O903="스마트스토어"),ROUND(N($N903)*설정!$J$6,0),"")</f>
        <v/>
      </c>
      <c r="AI903" s="54" t="str">
        <f aca="false">IF($D903="","",ROW())</f>
        <v/>
      </c>
      <c r="AJ903" s="54" t="n">
        <f aca="false">IF(OR($AC903&lt;&gt;1,$M903=""),0,IF(ISNUMBER(SEARCH("퇴사",IFERROR(INDEX(강사DB!$G$4:$G$53,MATCH($M903,강사DB!$A$4:$A$53,0)),""))),1,0))</f>
        <v>0</v>
      </c>
    </row>
    <row r="904" customFormat="false" ht="15" hidden="false" customHeight="false" outlineLevel="0" collapsed="false">
      <c r="A904" s="45" t="str">
        <f aca="false">IF($D904="","",COUNTA($D$5:$D904))</f>
        <v/>
      </c>
      <c r="B904" s="46"/>
      <c r="C904" s="47"/>
      <c r="D904" s="48"/>
      <c r="E904" s="48"/>
      <c r="F904" s="49"/>
      <c r="G904" s="47"/>
      <c r="H904" s="50"/>
      <c r="I904" s="50"/>
      <c r="J904" s="51" t="str">
        <f aca="false">IF(OR($V904="",$W904=""),"",ROUND(($W904-$V904)/60,2))</f>
        <v/>
      </c>
      <c r="K904" s="52" t="str">
        <f aca="false">IF($F904="","",LEN($F904)-LEN(SUBSTITUTE($F904,",",""))+1)</f>
        <v/>
      </c>
      <c r="L904" s="45" t="str">
        <f aca="false">IF($K904="","","1:"&amp;$K904)</f>
        <v/>
      </c>
      <c r="M904" s="46"/>
      <c r="N904" s="53"/>
      <c r="O904" s="46"/>
      <c r="P904" s="47"/>
      <c r="Q904" s="48"/>
      <c r="R904" s="49"/>
      <c r="S904" s="54" t="str">
        <f aca="false">IF(OR($AC904=0,$U904="",$M904="",$V904="",$W904=""),"",IF(COUNTIFS(m_teacher,$M904,m_date,$U904,m_active,1,m_start,"&lt;"&amp;$W904,m_end,"&gt;"&amp;$V904)&gt;1,"충돌",""))</f>
        <v/>
      </c>
      <c r="T904" s="48"/>
      <c r="U904" s="55" t="str">
        <f aca="false">IF($G904="","",IFERROR(IF(ISNUMBER($G904),IF($G904&gt;19000000,DATE(INT($G904/10000),MOD(INT($G904/100),100),MOD($G904,100)),INT($G904)),IF(LEN(SUBSTITUTE(SUBSTITUTE(SUBSTITUTE(TRIM($G904),"-",""),".",""),"/",""))=8,DATE(VALUE(LEFT(SUBSTITUTE(SUBSTITUTE(SUBSTITUTE(TRIM($G904),"-",""),".",""),"/",""),4)),VALUE(MID(SUBSTITUTE(SUBSTITUTE(SUBSTITUTE(TRIM($G904),"-",""),".",""),"/",""),5,2)),VALUE(RIGHT(SUBSTITUTE(SUBSTITUTE(SUBSTITUTE(TRIM($G904),"-",""),".",""),"/",""),2))),DATEVALUE($G904))),""))</f>
        <v/>
      </c>
      <c r="V904" s="52" t="str">
        <f aca="false">IF($H904="","",IFERROR(IF(IF(ISNUMBER($H904),$H904,IFERROR(TIMEVALUE($H904),VALUE($H904)))&gt;=100,INT(IF(ISNUMBER($H904),$H904,IFERROR(TIMEVALUE($H904),VALUE($H904)))/100)*60+MOD(IF(ISNUMBER($H904),$H904,IFERROR(TIMEVALUE($H904),VALUE($H904))),100),IF(IF(ISNUMBER($H904),$H904,IFERROR(TIMEVALUE($H904),VALUE($H904)))&gt;=1,ROUND(IF(ISNUMBER($H904),$H904,IFERROR(TIMEVALUE($H904),VALUE($H904)))*60,0),ROUND(MOD(IF(ISNUMBER($H904),$H904,IFERROR(TIMEVALUE($H904),VALUE($H904))),1)*1440,0))),""))</f>
        <v/>
      </c>
      <c r="W904" s="52" t="str">
        <f aca="false">IF($I904="","",IFERROR(IF(IF(ISNUMBER($I904),$I904,IFERROR(TIMEVALUE($I904),VALUE($I904)))&gt;=100,INT(IF(ISNUMBER($I904),$I904,IFERROR(TIMEVALUE($I904),VALUE($I904)))/100)*60+MOD(IF(ISNUMBER($I904),$I904,IFERROR(TIMEVALUE($I904),VALUE($I904))),100),IF(IF(ISNUMBER($I904),$I904,IFERROR(TIMEVALUE($I904),VALUE($I904)))&gt;=1,ROUND(IF(ISNUMBER($I904),$I904,IFERROR(TIMEVALUE($I904),VALUE($I904)))*60,0),ROUND(MOD(IF(ISNUMBER($I904),$I904,IFERROR(TIMEVALUE($I904),VALUE($I904))),1)*1440,0))),""))</f>
        <v/>
      </c>
      <c r="X904" s="55" t="str">
        <f aca="false">IF($P904="","",IFERROR(IF(ISNUMBER($P904),IF($P904&gt;19000000,DATE(INT($P904/10000),MOD(INT($P904/100),100),MOD($P904,100)),INT($P904)),IF(LEN(SUBSTITUTE(SUBSTITUTE(SUBSTITUTE(TRIM($P904),"-",""),".",""),"/",""))=8,DATE(VALUE(LEFT(SUBSTITUTE(SUBSTITUTE(SUBSTITUTE(TRIM($P904),"-",""),".",""),"/",""),4)),VALUE(MID(SUBSTITUTE(SUBSTITUTE(SUBSTITUTE(TRIM($P904),"-",""),".",""),"/",""),5,2)),VALUE(RIGHT(SUBSTITUTE(SUBSTITUTE(SUBSTITUTE(TRIM($P904),"-",""),".",""),"/",""),2))),DATEVALUE($P904))),""))</f>
        <v/>
      </c>
      <c r="Y904" s="56" t="str">
        <f aca="false">IF($M904="","",IFERROR(INDEX(강사DB!$D$4:$D$53,MATCH($M904,강사DB!$A$4:$A$53,0)),""))</f>
        <v/>
      </c>
      <c r="Z904" s="56" t="str">
        <f aca="false">IF($B904&lt;&gt;"결제완료","",IF(OR($Y904="",$J904=""),"",$Y904*$J904+MAX(0,N($K904)-1)*설정!$J$7))</f>
        <v/>
      </c>
      <c r="AA904" s="56" t="str">
        <f aca="false">IF(AND($D904&lt;&gt;"",$B904="결제완료"),N($N904),"")</f>
        <v/>
      </c>
      <c r="AB904" s="45" t="str">
        <f aca="false">IF($D904="","",IF($F904&lt;&gt;"",$F904,$D904)&amp;IF($B904="상담중"," (상담)",""))</f>
        <v/>
      </c>
      <c r="AC904" s="45" t="n">
        <f aca="false">IF(AND($D904&lt;&gt;"",OR($B904="결제완료",$B904="상담중")),1,0)</f>
        <v>0</v>
      </c>
      <c r="AD904" s="45" t="n">
        <f aca="false">IF(OR($Z904="",$U904=""),0,IFERROR(IF(COUNTIFS(INDEX(g_grid,0,2*MATCH($M904,강사DB!$A$4:$A$15,0)),"&lt;&gt;",g_s,"&lt;="&amp;$U904,g_e,"&gt;="&amp;$U904)&gt;0,1,0),0))</f>
        <v>0</v>
      </c>
      <c r="AE904" s="48"/>
      <c r="AF904" s="56" t="str">
        <f aca="false">IF(AND($D904&lt;&gt;"",$B904="결제완료",$T904="대여"),설정!$J$5,"")</f>
        <v/>
      </c>
      <c r="AG904" s="54" t="str">
        <f aca="false">IF($D904="","",IF(AND($E904="",$R904=""),$AB904,"☎ "&amp;IF($E904="","-",$E904)&amp;IF($R904&lt;&gt;"","  ※ "&amp;$R904,"")&amp;IF($B904="상담중"," (상담)","")))</f>
        <v/>
      </c>
      <c r="AH904" s="56" t="str">
        <f aca="false">IF(AND($D904&lt;&gt;"",$B904="결제완료",$O904="스마트스토어"),ROUND(N($N904)*설정!$J$6,0),"")</f>
        <v/>
      </c>
      <c r="AI904" s="54" t="str">
        <f aca="false">IF($D904="","",ROW())</f>
        <v/>
      </c>
      <c r="AJ904" s="54" t="n">
        <f aca="false">IF(OR($AC904&lt;&gt;1,$M904=""),0,IF(ISNUMBER(SEARCH("퇴사",IFERROR(INDEX(강사DB!$G$4:$G$53,MATCH($M904,강사DB!$A$4:$A$53,0)),""))),1,0))</f>
        <v>0</v>
      </c>
    </row>
    <row r="905" customFormat="false" ht="15" hidden="false" customHeight="false" outlineLevel="0" collapsed="false">
      <c r="A905" s="45" t="str">
        <f aca="false">IF($D905="","",COUNTA($D$5:$D905))</f>
        <v/>
      </c>
      <c r="B905" s="46"/>
      <c r="C905" s="47"/>
      <c r="D905" s="48"/>
      <c r="E905" s="48"/>
      <c r="F905" s="49"/>
      <c r="G905" s="47"/>
      <c r="H905" s="50"/>
      <c r="I905" s="50"/>
      <c r="J905" s="51" t="str">
        <f aca="false">IF(OR($V905="",$W905=""),"",ROUND(($W905-$V905)/60,2))</f>
        <v/>
      </c>
      <c r="K905" s="52" t="str">
        <f aca="false">IF($F905="","",LEN($F905)-LEN(SUBSTITUTE($F905,",",""))+1)</f>
        <v/>
      </c>
      <c r="L905" s="45" t="str">
        <f aca="false">IF($K905="","","1:"&amp;$K905)</f>
        <v/>
      </c>
      <c r="M905" s="46"/>
      <c r="N905" s="53"/>
      <c r="O905" s="46"/>
      <c r="P905" s="47"/>
      <c r="Q905" s="48"/>
      <c r="R905" s="49"/>
      <c r="S905" s="54" t="str">
        <f aca="false">IF(OR($AC905=0,$U905="",$M905="",$V905="",$W905=""),"",IF(COUNTIFS(m_teacher,$M905,m_date,$U905,m_active,1,m_start,"&lt;"&amp;$W905,m_end,"&gt;"&amp;$V905)&gt;1,"충돌",""))</f>
        <v/>
      </c>
      <c r="T905" s="48"/>
      <c r="U905" s="55" t="str">
        <f aca="false">IF($G905="","",IFERROR(IF(ISNUMBER($G905),IF($G905&gt;19000000,DATE(INT($G905/10000),MOD(INT($G905/100),100),MOD($G905,100)),INT($G905)),IF(LEN(SUBSTITUTE(SUBSTITUTE(SUBSTITUTE(TRIM($G905),"-",""),".",""),"/",""))=8,DATE(VALUE(LEFT(SUBSTITUTE(SUBSTITUTE(SUBSTITUTE(TRIM($G905),"-",""),".",""),"/",""),4)),VALUE(MID(SUBSTITUTE(SUBSTITUTE(SUBSTITUTE(TRIM($G905),"-",""),".",""),"/",""),5,2)),VALUE(RIGHT(SUBSTITUTE(SUBSTITUTE(SUBSTITUTE(TRIM($G905),"-",""),".",""),"/",""),2))),DATEVALUE($G905))),""))</f>
        <v/>
      </c>
      <c r="V905" s="52" t="str">
        <f aca="false">IF($H905="","",IFERROR(IF(IF(ISNUMBER($H905),$H905,IFERROR(TIMEVALUE($H905),VALUE($H905)))&gt;=100,INT(IF(ISNUMBER($H905),$H905,IFERROR(TIMEVALUE($H905),VALUE($H905)))/100)*60+MOD(IF(ISNUMBER($H905),$H905,IFERROR(TIMEVALUE($H905),VALUE($H905))),100),IF(IF(ISNUMBER($H905),$H905,IFERROR(TIMEVALUE($H905),VALUE($H905)))&gt;=1,ROUND(IF(ISNUMBER($H905),$H905,IFERROR(TIMEVALUE($H905),VALUE($H905)))*60,0),ROUND(MOD(IF(ISNUMBER($H905),$H905,IFERROR(TIMEVALUE($H905),VALUE($H905))),1)*1440,0))),""))</f>
        <v/>
      </c>
      <c r="W905" s="52" t="str">
        <f aca="false">IF($I905="","",IFERROR(IF(IF(ISNUMBER($I905),$I905,IFERROR(TIMEVALUE($I905),VALUE($I905)))&gt;=100,INT(IF(ISNUMBER($I905),$I905,IFERROR(TIMEVALUE($I905),VALUE($I905)))/100)*60+MOD(IF(ISNUMBER($I905),$I905,IFERROR(TIMEVALUE($I905),VALUE($I905))),100),IF(IF(ISNUMBER($I905),$I905,IFERROR(TIMEVALUE($I905),VALUE($I905)))&gt;=1,ROUND(IF(ISNUMBER($I905),$I905,IFERROR(TIMEVALUE($I905),VALUE($I905)))*60,0),ROUND(MOD(IF(ISNUMBER($I905),$I905,IFERROR(TIMEVALUE($I905),VALUE($I905))),1)*1440,0))),""))</f>
        <v/>
      </c>
      <c r="X905" s="55" t="str">
        <f aca="false">IF($P905="","",IFERROR(IF(ISNUMBER($P905),IF($P905&gt;19000000,DATE(INT($P905/10000),MOD(INT($P905/100),100),MOD($P905,100)),INT($P905)),IF(LEN(SUBSTITUTE(SUBSTITUTE(SUBSTITUTE(TRIM($P905),"-",""),".",""),"/",""))=8,DATE(VALUE(LEFT(SUBSTITUTE(SUBSTITUTE(SUBSTITUTE(TRIM($P905),"-",""),".",""),"/",""),4)),VALUE(MID(SUBSTITUTE(SUBSTITUTE(SUBSTITUTE(TRIM($P905),"-",""),".",""),"/",""),5,2)),VALUE(RIGHT(SUBSTITUTE(SUBSTITUTE(SUBSTITUTE(TRIM($P905),"-",""),".",""),"/",""),2))),DATEVALUE($P905))),""))</f>
        <v/>
      </c>
      <c r="Y905" s="56" t="str">
        <f aca="false">IF($M905="","",IFERROR(INDEX(강사DB!$D$4:$D$53,MATCH($M905,강사DB!$A$4:$A$53,0)),""))</f>
        <v/>
      </c>
      <c r="Z905" s="56" t="str">
        <f aca="false">IF($B905&lt;&gt;"결제완료","",IF(OR($Y905="",$J905=""),"",$Y905*$J905+MAX(0,N($K905)-1)*설정!$J$7))</f>
        <v/>
      </c>
      <c r="AA905" s="56" t="str">
        <f aca="false">IF(AND($D905&lt;&gt;"",$B905="결제완료"),N($N905),"")</f>
        <v/>
      </c>
      <c r="AB905" s="45" t="str">
        <f aca="false">IF($D905="","",IF($F905&lt;&gt;"",$F905,$D905)&amp;IF($B905="상담중"," (상담)",""))</f>
        <v/>
      </c>
      <c r="AC905" s="45" t="n">
        <f aca="false">IF(AND($D905&lt;&gt;"",OR($B905="결제완료",$B905="상담중")),1,0)</f>
        <v>0</v>
      </c>
      <c r="AD905" s="45" t="n">
        <f aca="false">IF(OR($Z905="",$U905=""),0,IFERROR(IF(COUNTIFS(INDEX(g_grid,0,2*MATCH($M905,강사DB!$A$4:$A$15,0)),"&lt;&gt;",g_s,"&lt;="&amp;$U905,g_e,"&gt;="&amp;$U905)&gt;0,1,0),0))</f>
        <v>0</v>
      </c>
      <c r="AE905" s="48"/>
      <c r="AF905" s="56" t="str">
        <f aca="false">IF(AND($D905&lt;&gt;"",$B905="결제완료",$T905="대여"),설정!$J$5,"")</f>
        <v/>
      </c>
      <c r="AG905" s="54" t="str">
        <f aca="false">IF($D905="","",IF(AND($E905="",$R905=""),$AB905,"☎ "&amp;IF($E905="","-",$E905)&amp;IF($R905&lt;&gt;"","  ※ "&amp;$R905,"")&amp;IF($B905="상담중"," (상담)","")))</f>
        <v/>
      </c>
      <c r="AH905" s="56" t="str">
        <f aca="false">IF(AND($D905&lt;&gt;"",$B905="결제완료",$O905="스마트스토어"),ROUND(N($N905)*설정!$J$6,0),"")</f>
        <v/>
      </c>
      <c r="AI905" s="54" t="str">
        <f aca="false">IF($D905="","",ROW())</f>
        <v/>
      </c>
      <c r="AJ905" s="54" t="n">
        <f aca="false">IF(OR($AC905&lt;&gt;1,$M905=""),0,IF(ISNUMBER(SEARCH("퇴사",IFERROR(INDEX(강사DB!$G$4:$G$53,MATCH($M905,강사DB!$A$4:$A$53,0)),""))),1,0))</f>
        <v>0</v>
      </c>
    </row>
    <row r="906" customFormat="false" ht="15" hidden="false" customHeight="false" outlineLevel="0" collapsed="false">
      <c r="A906" s="45" t="str">
        <f aca="false">IF($D906="","",COUNTA($D$5:$D906))</f>
        <v/>
      </c>
      <c r="B906" s="46"/>
      <c r="C906" s="47"/>
      <c r="D906" s="48"/>
      <c r="E906" s="48"/>
      <c r="F906" s="49"/>
      <c r="G906" s="47"/>
      <c r="H906" s="50"/>
      <c r="I906" s="50"/>
      <c r="J906" s="51" t="str">
        <f aca="false">IF(OR($V906="",$W906=""),"",ROUND(($W906-$V906)/60,2))</f>
        <v/>
      </c>
      <c r="K906" s="52" t="str">
        <f aca="false">IF($F906="","",LEN($F906)-LEN(SUBSTITUTE($F906,",",""))+1)</f>
        <v/>
      </c>
      <c r="L906" s="45" t="str">
        <f aca="false">IF($K906="","","1:"&amp;$K906)</f>
        <v/>
      </c>
      <c r="M906" s="46"/>
      <c r="N906" s="53"/>
      <c r="O906" s="46"/>
      <c r="P906" s="47"/>
      <c r="Q906" s="48"/>
      <c r="R906" s="49"/>
      <c r="S906" s="54" t="str">
        <f aca="false">IF(OR($AC906=0,$U906="",$M906="",$V906="",$W906=""),"",IF(COUNTIFS(m_teacher,$M906,m_date,$U906,m_active,1,m_start,"&lt;"&amp;$W906,m_end,"&gt;"&amp;$V906)&gt;1,"충돌",""))</f>
        <v/>
      </c>
      <c r="T906" s="48"/>
      <c r="U906" s="55" t="str">
        <f aca="false">IF($G906="","",IFERROR(IF(ISNUMBER($G906),IF($G906&gt;19000000,DATE(INT($G906/10000),MOD(INT($G906/100),100),MOD($G906,100)),INT($G906)),IF(LEN(SUBSTITUTE(SUBSTITUTE(SUBSTITUTE(TRIM($G906),"-",""),".",""),"/",""))=8,DATE(VALUE(LEFT(SUBSTITUTE(SUBSTITUTE(SUBSTITUTE(TRIM($G906),"-",""),".",""),"/",""),4)),VALUE(MID(SUBSTITUTE(SUBSTITUTE(SUBSTITUTE(TRIM($G906),"-",""),".",""),"/",""),5,2)),VALUE(RIGHT(SUBSTITUTE(SUBSTITUTE(SUBSTITUTE(TRIM($G906),"-",""),".",""),"/",""),2))),DATEVALUE($G906))),""))</f>
        <v/>
      </c>
      <c r="V906" s="52" t="str">
        <f aca="false">IF($H906="","",IFERROR(IF(IF(ISNUMBER($H906),$H906,IFERROR(TIMEVALUE($H906),VALUE($H906)))&gt;=100,INT(IF(ISNUMBER($H906),$H906,IFERROR(TIMEVALUE($H906),VALUE($H906)))/100)*60+MOD(IF(ISNUMBER($H906),$H906,IFERROR(TIMEVALUE($H906),VALUE($H906))),100),IF(IF(ISNUMBER($H906),$H906,IFERROR(TIMEVALUE($H906),VALUE($H906)))&gt;=1,ROUND(IF(ISNUMBER($H906),$H906,IFERROR(TIMEVALUE($H906),VALUE($H906)))*60,0),ROUND(MOD(IF(ISNUMBER($H906),$H906,IFERROR(TIMEVALUE($H906),VALUE($H906))),1)*1440,0))),""))</f>
        <v/>
      </c>
      <c r="W906" s="52" t="str">
        <f aca="false">IF($I906="","",IFERROR(IF(IF(ISNUMBER($I906),$I906,IFERROR(TIMEVALUE($I906),VALUE($I906)))&gt;=100,INT(IF(ISNUMBER($I906),$I906,IFERROR(TIMEVALUE($I906),VALUE($I906)))/100)*60+MOD(IF(ISNUMBER($I906),$I906,IFERROR(TIMEVALUE($I906),VALUE($I906))),100),IF(IF(ISNUMBER($I906),$I906,IFERROR(TIMEVALUE($I906),VALUE($I906)))&gt;=1,ROUND(IF(ISNUMBER($I906),$I906,IFERROR(TIMEVALUE($I906),VALUE($I906)))*60,0),ROUND(MOD(IF(ISNUMBER($I906),$I906,IFERROR(TIMEVALUE($I906),VALUE($I906))),1)*1440,0))),""))</f>
        <v/>
      </c>
      <c r="X906" s="55" t="str">
        <f aca="false">IF($P906="","",IFERROR(IF(ISNUMBER($P906),IF($P906&gt;19000000,DATE(INT($P906/10000),MOD(INT($P906/100),100),MOD($P906,100)),INT($P906)),IF(LEN(SUBSTITUTE(SUBSTITUTE(SUBSTITUTE(TRIM($P906),"-",""),".",""),"/",""))=8,DATE(VALUE(LEFT(SUBSTITUTE(SUBSTITUTE(SUBSTITUTE(TRIM($P906),"-",""),".",""),"/",""),4)),VALUE(MID(SUBSTITUTE(SUBSTITUTE(SUBSTITUTE(TRIM($P906),"-",""),".",""),"/",""),5,2)),VALUE(RIGHT(SUBSTITUTE(SUBSTITUTE(SUBSTITUTE(TRIM($P906),"-",""),".",""),"/",""),2))),DATEVALUE($P906))),""))</f>
        <v/>
      </c>
      <c r="Y906" s="56" t="str">
        <f aca="false">IF($M906="","",IFERROR(INDEX(강사DB!$D$4:$D$53,MATCH($M906,강사DB!$A$4:$A$53,0)),""))</f>
        <v/>
      </c>
      <c r="Z906" s="56" t="str">
        <f aca="false">IF($B906&lt;&gt;"결제완료","",IF(OR($Y906="",$J906=""),"",$Y906*$J906+MAX(0,N($K906)-1)*설정!$J$7))</f>
        <v/>
      </c>
      <c r="AA906" s="56" t="str">
        <f aca="false">IF(AND($D906&lt;&gt;"",$B906="결제완료"),N($N906),"")</f>
        <v/>
      </c>
      <c r="AB906" s="45" t="str">
        <f aca="false">IF($D906="","",IF($F906&lt;&gt;"",$F906,$D906)&amp;IF($B906="상담중"," (상담)",""))</f>
        <v/>
      </c>
      <c r="AC906" s="45" t="n">
        <f aca="false">IF(AND($D906&lt;&gt;"",OR($B906="결제완료",$B906="상담중")),1,0)</f>
        <v>0</v>
      </c>
      <c r="AD906" s="45" t="n">
        <f aca="false">IF(OR($Z906="",$U906=""),0,IFERROR(IF(COUNTIFS(INDEX(g_grid,0,2*MATCH($M906,강사DB!$A$4:$A$15,0)),"&lt;&gt;",g_s,"&lt;="&amp;$U906,g_e,"&gt;="&amp;$U906)&gt;0,1,0),0))</f>
        <v>0</v>
      </c>
      <c r="AE906" s="48"/>
      <c r="AF906" s="56" t="str">
        <f aca="false">IF(AND($D906&lt;&gt;"",$B906="결제완료",$T906="대여"),설정!$J$5,"")</f>
        <v/>
      </c>
      <c r="AG906" s="54" t="str">
        <f aca="false">IF($D906="","",IF(AND($E906="",$R906=""),$AB906,"☎ "&amp;IF($E906="","-",$E906)&amp;IF($R906&lt;&gt;"","  ※ "&amp;$R906,"")&amp;IF($B906="상담중"," (상담)","")))</f>
        <v/>
      </c>
      <c r="AH906" s="56" t="str">
        <f aca="false">IF(AND($D906&lt;&gt;"",$B906="결제완료",$O906="스마트스토어"),ROUND(N($N906)*설정!$J$6,0),"")</f>
        <v/>
      </c>
      <c r="AI906" s="54" t="str">
        <f aca="false">IF($D906="","",ROW())</f>
        <v/>
      </c>
      <c r="AJ906" s="54" t="n">
        <f aca="false">IF(OR($AC906&lt;&gt;1,$M906=""),0,IF(ISNUMBER(SEARCH("퇴사",IFERROR(INDEX(강사DB!$G$4:$G$53,MATCH($M906,강사DB!$A$4:$A$53,0)),""))),1,0))</f>
        <v>0</v>
      </c>
    </row>
    <row r="907" customFormat="false" ht="15" hidden="false" customHeight="false" outlineLevel="0" collapsed="false">
      <c r="A907" s="45" t="str">
        <f aca="false">IF($D907="","",COUNTA($D$5:$D907))</f>
        <v/>
      </c>
      <c r="B907" s="46"/>
      <c r="C907" s="47"/>
      <c r="D907" s="48"/>
      <c r="E907" s="48"/>
      <c r="F907" s="49"/>
      <c r="G907" s="47"/>
      <c r="H907" s="50"/>
      <c r="I907" s="50"/>
      <c r="J907" s="51" t="str">
        <f aca="false">IF(OR($V907="",$W907=""),"",ROUND(($W907-$V907)/60,2))</f>
        <v/>
      </c>
      <c r="K907" s="52" t="str">
        <f aca="false">IF($F907="","",LEN($F907)-LEN(SUBSTITUTE($F907,",",""))+1)</f>
        <v/>
      </c>
      <c r="L907" s="45" t="str">
        <f aca="false">IF($K907="","","1:"&amp;$K907)</f>
        <v/>
      </c>
      <c r="M907" s="46"/>
      <c r="N907" s="53"/>
      <c r="O907" s="46"/>
      <c r="P907" s="47"/>
      <c r="Q907" s="48"/>
      <c r="R907" s="49"/>
      <c r="S907" s="54" t="str">
        <f aca="false">IF(OR($AC907=0,$U907="",$M907="",$V907="",$W907=""),"",IF(COUNTIFS(m_teacher,$M907,m_date,$U907,m_active,1,m_start,"&lt;"&amp;$W907,m_end,"&gt;"&amp;$V907)&gt;1,"충돌",""))</f>
        <v/>
      </c>
      <c r="T907" s="48"/>
      <c r="U907" s="55" t="str">
        <f aca="false">IF($G907="","",IFERROR(IF(ISNUMBER($G907),IF($G907&gt;19000000,DATE(INT($G907/10000),MOD(INT($G907/100),100),MOD($G907,100)),INT($G907)),IF(LEN(SUBSTITUTE(SUBSTITUTE(SUBSTITUTE(TRIM($G907),"-",""),".",""),"/",""))=8,DATE(VALUE(LEFT(SUBSTITUTE(SUBSTITUTE(SUBSTITUTE(TRIM($G907),"-",""),".",""),"/",""),4)),VALUE(MID(SUBSTITUTE(SUBSTITUTE(SUBSTITUTE(TRIM($G907),"-",""),".",""),"/",""),5,2)),VALUE(RIGHT(SUBSTITUTE(SUBSTITUTE(SUBSTITUTE(TRIM($G907),"-",""),".",""),"/",""),2))),DATEVALUE($G907))),""))</f>
        <v/>
      </c>
      <c r="V907" s="52" t="str">
        <f aca="false">IF($H907="","",IFERROR(IF(IF(ISNUMBER($H907),$H907,IFERROR(TIMEVALUE($H907),VALUE($H907)))&gt;=100,INT(IF(ISNUMBER($H907),$H907,IFERROR(TIMEVALUE($H907),VALUE($H907)))/100)*60+MOD(IF(ISNUMBER($H907),$H907,IFERROR(TIMEVALUE($H907),VALUE($H907))),100),IF(IF(ISNUMBER($H907),$H907,IFERROR(TIMEVALUE($H907),VALUE($H907)))&gt;=1,ROUND(IF(ISNUMBER($H907),$H907,IFERROR(TIMEVALUE($H907),VALUE($H907)))*60,0),ROUND(MOD(IF(ISNUMBER($H907),$H907,IFERROR(TIMEVALUE($H907),VALUE($H907))),1)*1440,0))),""))</f>
        <v/>
      </c>
      <c r="W907" s="52" t="str">
        <f aca="false">IF($I907="","",IFERROR(IF(IF(ISNUMBER($I907),$I907,IFERROR(TIMEVALUE($I907),VALUE($I907)))&gt;=100,INT(IF(ISNUMBER($I907),$I907,IFERROR(TIMEVALUE($I907),VALUE($I907)))/100)*60+MOD(IF(ISNUMBER($I907),$I907,IFERROR(TIMEVALUE($I907),VALUE($I907))),100),IF(IF(ISNUMBER($I907),$I907,IFERROR(TIMEVALUE($I907),VALUE($I907)))&gt;=1,ROUND(IF(ISNUMBER($I907),$I907,IFERROR(TIMEVALUE($I907),VALUE($I907)))*60,0),ROUND(MOD(IF(ISNUMBER($I907),$I907,IFERROR(TIMEVALUE($I907),VALUE($I907))),1)*1440,0))),""))</f>
        <v/>
      </c>
      <c r="X907" s="55" t="str">
        <f aca="false">IF($P907="","",IFERROR(IF(ISNUMBER($P907),IF($P907&gt;19000000,DATE(INT($P907/10000),MOD(INT($P907/100),100),MOD($P907,100)),INT($P907)),IF(LEN(SUBSTITUTE(SUBSTITUTE(SUBSTITUTE(TRIM($P907),"-",""),".",""),"/",""))=8,DATE(VALUE(LEFT(SUBSTITUTE(SUBSTITUTE(SUBSTITUTE(TRIM($P907),"-",""),".",""),"/",""),4)),VALUE(MID(SUBSTITUTE(SUBSTITUTE(SUBSTITUTE(TRIM($P907),"-",""),".",""),"/",""),5,2)),VALUE(RIGHT(SUBSTITUTE(SUBSTITUTE(SUBSTITUTE(TRIM($P907),"-",""),".",""),"/",""),2))),DATEVALUE($P907))),""))</f>
        <v/>
      </c>
      <c r="Y907" s="56" t="str">
        <f aca="false">IF($M907="","",IFERROR(INDEX(강사DB!$D$4:$D$53,MATCH($M907,강사DB!$A$4:$A$53,0)),""))</f>
        <v/>
      </c>
      <c r="Z907" s="56" t="str">
        <f aca="false">IF($B907&lt;&gt;"결제완료","",IF(OR($Y907="",$J907=""),"",$Y907*$J907+MAX(0,N($K907)-1)*설정!$J$7))</f>
        <v/>
      </c>
      <c r="AA907" s="56" t="str">
        <f aca="false">IF(AND($D907&lt;&gt;"",$B907="결제완료"),N($N907),"")</f>
        <v/>
      </c>
      <c r="AB907" s="45" t="str">
        <f aca="false">IF($D907="","",IF($F907&lt;&gt;"",$F907,$D907)&amp;IF($B907="상담중"," (상담)",""))</f>
        <v/>
      </c>
      <c r="AC907" s="45" t="n">
        <f aca="false">IF(AND($D907&lt;&gt;"",OR($B907="결제완료",$B907="상담중")),1,0)</f>
        <v>0</v>
      </c>
      <c r="AD907" s="45" t="n">
        <f aca="false">IF(OR($Z907="",$U907=""),0,IFERROR(IF(COUNTIFS(INDEX(g_grid,0,2*MATCH($M907,강사DB!$A$4:$A$15,0)),"&lt;&gt;",g_s,"&lt;="&amp;$U907,g_e,"&gt;="&amp;$U907)&gt;0,1,0),0))</f>
        <v>0</v>
      </c>
      <c r="AE907" s="48"/>
      <c r="AF907" s="56" t="str">
        <f aca="false">IF(AND($D907&lt;&gt;"",$B907="결제완료",$T907="대여"),설정!$J$5,"")</f>
        <v/>
      </c>
      <c r="AG907" s="54" t="str">
        <f aca="false">IF($D907="","",IF(AND($E907="",$R907=""),$AB907,"☎ "&amp;IF($E907="","-",$E907)&amp;IF($R907&lt;&gt;"","  ※ "&amp;$R907,"")&amp;IF($B907="상담중"," (상담)","")))</f>
        <v/>
      </c>
      <c r="AH907" s="56" t="str">
        <f aca="false">IF(AND($D907&lt;&gt;"",$B907="결제완료",$O907="스마트스토어"),ROUND(N($N907)*설정!$J$6,0),"")</f>
        <v/>
      </c>
      <c r="AI907" s="54" t="str">
        <f aca="false">IF($D907="","",ROW())</f>
        <v/>
      </c>
      <c r="AJ907" s="54" t="n">
        <f aca="false">IF(OR($AC907&lt;&gt;1,$M907=""),0,IF(ISNUMBER(SEARCH("퇴사",IFERROR(INDEX(강사DB!$G$4:$G$53,MATCH($M907,강사DB!$A$4:$A$53,0)),""))),1,0))</f>
        <v>0</v>
      </c>
    </row>
    <row r="908" customFormat="false" ht="15" hidden="false" customHeight="false" outlineLevel="0" collapsed="false">
      <c r="A908" s="45" t="str">
        <f aca="false">IF($D908="","",COUNTA($D$5:$D908))</f>
        <v/>
      </c>
      <c r="B908" s="46"/>
      <c r="C908" s="47"/>
      <c r="D908" s="48"/>
      <c r="E908" s="48"/>
      <c r="F908" s="49"/>
      <c r="G908" s="47"/>
      <c r="H908" s="50"/>
      <c r="I908" s="50"/>
      <c r="J908" s="51" t="str">
        <f aca="false">IF(OR($V908="",$W908=""),"",ROUND(($W908-$V908)/60,2))</f>
        <v/>
      </c>
      <c r="K908" s="52" t="str">
        <f aca="false">IF($F908="","",LEN($F908)-LEN(SUBSTITUTE($F908,",",""))+1)</f>
        <v/>
      </c>
      <c r="L908" s="45" t="str">
        <f aca="false">IF($K908="","","1:"&amp;$K908)</f>
        <v/>
      </c>
      <c r="M908" s="46"/>
      <c r="N908" s="53"/>
      <c r="O908" s="46"/>
      <c r="P908" s="47"/>
      <c r="Q908" s="48"/>
      <c r="R908" s="49"/>
      <c r="S908" s="54" t="str">
        <f aca="false">IF(OR($AC908=0,$U908="",$M908="",$V908="",$W908=""),"",IF(COUNTIFS(m_teacher,$M908,m_date,$U908,m_active,1,m_start,"&lt;"&amp;$W908,m_end,"&gt;"&amp;$V908)&gt;1,"충돌",""))</f>
        <v/>
      </c>
      <c r="T908" s="48"/>
      <c r="U908" s="55" t="str">
        <f aca="false">IF($G908="","",IFERROR(IF(ISNUMBER($G908),IF($G908&gt;19000000,DATE(INT($G908/10000),MOD(INT($G908/100),100),MOD($G908,100)),INT($G908)),IF(LEN(SUBSTITUTE(SUBSTITUTE(SUBSTITUTE(TRIM($G908),"-",""),".",""),"/",""))=8,DATE(VALUE(LEFT(SUBSTITUTE(SUBSTITUTE(SUBSTITUTE(TRIM($G908),"-",""),".",""),"/",""),4)),VALUE(MID(SUBSTITUTE(SUBSTITUTE(SUBSTITUTE(TRIM($G908),"-",""),".",""),"/",""),5,2)),VALUE(RIGHT(SUBSTITUTE(SUBSTITUTE(SUBSTITUTE(TRIM($G908),"-",""),".",""),"/",""),2))),DATEVALUE($G908))),""))</f>
        <v/>
      </c>
      <c r="V908" s="52" t="str">
        <f aca="false">IF($H908="","",IFERROR(IF(IF(ISNUMBER($H908),$H908,IFERROR(TIMEVALUE($H908),VALUE($H908)))&gt;=100,INT(IF(ISNUMBER($H908),$H908,IFERROR(TIMEVALUE($H908),VALUE($H908)))/100)*60+MOD(IF(ISNUMBER($H908),$H908,IFERROR(TIMEVALUE($H908),VALUE($H908))),100),IF(IF(ISNUMBER($H908),$H908,IFERROR(TIMEVALUE($H908),VALUE($H908)))&gt;=1,ROUND(IF(ISNUMBER($H908),$H908,IFERROR(TIMEVALUE($H908),VALUE($H908)))*60,0),ROUND(MOD(IF(ISNUMBER($H908),$H908,IFERROR(TIMEVALUE($H908),VALUE($H908))),1)*1440,0))),""))</f>
        <v/>
      </c>
      <c r="W908" s="52" t="str">
        <f aca="false">IF($I908="","",IFERROR(IF(IF(ISNUMBER($I908),$I908,IFERROR(TIMEVALUE($I908),VALUE($I908)))&gt;=100,INT(IF(ISNUMBER($I908),$I908,IFERROR(TIMEVALUE($I908),VALUE($I908)))/100)*60+MOD(IF(ISNUMBER($I908),$I908,IFERROR(TIMEVALUE($I908),VALUE($I908))),100),IF(IF(ISNUMBER($I908),$I908,IFERROR(TIMEVALUE($I908),VALUE($I908)))&gt;=1,ROUND(IF(ISNUMBER($I908),$I908,IFERROR(TIMEVALUE($I908),VALUE($I908)))*60,0),ROUND(MOD(IF(ISNUMBER($I908),$I908,IFERROR(TIMEVALUE($I908),VALUE($I908))),1)*1440,0))),""))</f>
        <v/>
      </c>
      <c r="X908" s="55" t="str">
        <f aca="false">IF($P908="","",IFERROR(IF(ISNUMBER($P908),IF($P908&gt;19000000,DATE(INT($P908/10000),MOD(INT($P908/100),100),MOD($P908,100)),INT($P908)),IF(LEN(SUBSTITUTE(SUBSTITUTE(SUBSTITUTE(TRIM($P908),"-",""),".",""),"/",""))=8,DATE(VALUE(LEFT(SUBSTITUTE(SUBSTITUTE(SUBSTITUTE(TRIM($P908),"-",""),".",""),"/",""),4)),VALUE(MID(SUBSTITUTE(SUBSTITUTE(SUBSTITUTE(TRIM($P908),"-",""),".",""),"/",""),5,2)),VALUE(RIGHT(SUBSTITUTE(SUBSTITUTE(SUBSTITUTE(TRIM($P908),"-",""),".",""),"/",""),2))),DATEVALUE($P908))),""))</f>
        <v/>
      </c>
      <c r="Y908" s="56" t="str">
        <f aca="false">IF($M908="","",IFERROR(INDEX(강사DB!$D$4:$D$53,MATCH($M908,강사DB!$A$4:$A$53,0)),""))</f>
        <v/>
      </c>
      <c r="Z908" s="56" t="str">
        <f aca="false">IF($B908&lt;&gt;"결제완료","",IF(OR($Y908="",$J908=""),"",$Y908*$J908+MAX(0,N($K908)-1)*설정!$J$7))</f>
        <v/>
      </c>
      <c r="AA908" s="56" t="str">
        <f aca="false">IF(AND($D908&lt;&gt;"",$B908="결제완료"),N($N908),"")</f>
        <v/>
      </c>
      <c r="AB908" s="45" t="str">
        <f aca="false">IF($D908="","",IF($F908&lt;&gt;"",$F908,$D908)&amp;IF($B908="상담중"," (상담)",""))</f>
        <v/>
      </c>
      <c r="AC908" s="45" t="n">
        <f aca="false">IF(AND($D908&lt;&gt;"",OR($B908="결제완료",$B908="상담중")),1,0)</f>
        <v>0</v>
      </c>
      <c r="AD908" s="45" t="n">
        <f aca="false">IF(OR($Z908="",$U908=""),0,IFERROR(IF(COUNTIFS(INDEX(g_grid,0,2*MATCH($M908,강사DB!$A$4:$A$15,0)),"&lt;&gt;",g_s,"&lt;="&amp;$U908,g_e,"&gt;="&amp;$U908)&gt;0,1,0),0))</f>
        <v>0</v>
      </c>
      <c r="AE908" s="48"/>
      <c r="AF908" s="56" t="str">
        <f aca="false">IF(AND($D908&lt;&gt;"",$B908="결제완료",$T908="대여"),설정!$J$5,"")</f>
        <v/>
      </c>
      <c r="AG908" s="54" t="str">
        <f aca="false">IF($D908="","",IF(AND($E908="",$R908=""),$AB908,"☎ "&amp;IF($E908="","-",$E908)&amp;IF($R908&lt;&gt;"","  ※ "&amp;$R908,"")&amp;IF($B908="상담중"," (상담)","")))</f>
        <v/>
      </c>
      <c r="AH908" s="56" t="str">
        <f aca="false">IF(AND($D908&lt;&gt;"",$B908="결제완료",$O908="스마트스토어"),ROUND(N($N908)*설정!$J$6,0),"")</f>
        <v/>
      </c>
      <c r="AI908" s="54" t="str">
        <f aca="false">IF($D908="","",ROW())</f>
        <v/>
      </c>
      <c r="AJ908" s="54" t="n">
        <f aca="false">IF(OR($AC908&lt;&gt;1,$M908=""),0,IF(ISNUMBER(SEARCH("퇴사",IFERROR(INDEX(강사DB!$G$4:$G$53,MATCH($M908,강사DB!$A$4:$A$53,0)),""))),1,0))</f>
        <v>0</v>
      </c>
    </row>
    <row r="909" customFormat="false" ht="15" hidden="false" customHeight="false" outlineLevel="0" collapsed="false">
      <c r="A909" s="45" t="str">
        <f aca="false">IF($D909="","",COUNTA($D$5:$D909))</f>
        <v/>
      </c>
      <c r="B909" s="46"/>
      <c r="C909" s="47"/>
      <c r="D909" s="48"/>
      <c r="E909" s="48"/>
      <c r="F909" s="49"/>
      <c r="G909" s="47"/>
      <c r="H909" s="50"/>
      <c r="I909" s="50"/>
      <c r="J909" s="51" t="str">
        <f aca="false">IF(OR($V909="",$W909=""),"",ROUND(($W909-$V909)/60,2))</f>
        <v/>
      </c>
      <c r="K909" s="52" t="str">
        <f aca="false">IF($F909="","",LEN($F909)-LEN(SUBSTITUTE($F909,",",""))+1)</f>
        <v/>
      </c>
      <c r="L909" s="45" t="str">
        <f aca="false">IF($K909="","","1:"&amp;$K909)</f>
        <v/>
      </c>
      <c r="M909" s="46"/>
      <c r="N909" s="53"/>
      <c r="O909" s="46"/>
      <c r="P909" s="47"/>
      <c r="Q909" s="48"/>
      <c r="R909" s="49"/>
      <c r="S909" s="54" t="str">
        <f aca="false">IF(OR($AC909=0,$U909="",$M909="",$V909="",$W909=""),"",IF(COUNTIFS(m_teacher,$M909,m_date,$U909,m_active,1,m_start,"&lt;"&amp;$W909,m_end,"&gt;"&amp;$V909)&gt;1,"충돌",""))</f>
        <v/>
      </c>
      <c r="T909" s="48"/>
      <c r="U909" s="55" t="str">
        <f aca="false">IF($G909="","",IFERROR(IF(ISNUMBER($G909),IF($G909&gt;19000000,DATE(INT($G909/10000),MOD(INT($G909/100),100),MOD($G909,100)),INT($G909)),IF(LEN(SUBSTITUTE(SUBSTITUTE(SUBSTITUTE(TRIM($G909),"-",""),".",""),"/",""))=8,DATE(VALUE(LEFT(SUBSTITUTE(SUBSTITUTE(SUBSTITUTE(TRIM($G909),"-",""),".",""),"/",""),4)),VALUE(MID(SUBSTITUTE(SUBSTITUTE(SUBSTITUTE(TRIM($G909),"-",""),".",""),"/",""),5,2)),VALUE(RIGHT(SUBSTITUTE(SUBSTITUTE(SUBSTITUTE(TRIM($G909),"-",""),".",""),"/",""),2))),DATEVALUE($G909))),""))</f>
        <v/>
      </c>
      <c r="V909" s="52" t="str">
        <f aca="false">IF($H909="","",IFERROR(IF(IF(ISNUMBER($H909),$H909,IFERROR(TIMEVALUE($H909),VALUE($H909)))&gt;=100,INT(IF(ISNUMBER($H909),$H909,IFERROR(TIMEVALUE($H909),VALUE($H909)))/100)*60+MOD(IF(ISNUMBER($H909),$H909,IFERROR(TIMEVALUE($H909),VALUE($H909))),100),IF(IF(ISNUMBER($H909),$H909,IFERROR(TIMEVALUE($H909),VALUE($H909)))&gt;=1,ROUND(IF(ISNUMBER($H909),$H909,IFERROR(TIMEVALUE($H909),VALUE($H909)))*60,0),ROUND(MOD(IF(ISNUMBER($H909),$H909,IFERROR(TIMEVALUE($H909),VALUE($H909))),1)*1440,0))),""))</f>
        <v/>
      </c>
      <c r="W909" s="52" t="str">
        <f aca="false">IF($I909="","",IFERROR(IF(IF(ISNUMBER($I909),$I909,IFERROR(TIMEVALUE($I909),VALUE($I909)))&gt;=100,INT(IF(ISNUMBER($I909),$I909,IFERROR(TIMEVALUE($I909),VALUE($I909)))/100)*60+MOD(IF(ISNUMBER($I909),$I909,IFERROR(TIMEVALUE($I909),VALUE($I909))),100),IF(IF(ISNUMBER($I909),$I909,IFERROR(TIMEVALUE($I909),VALUE($I909)))&gt;=1,ROUND(IF(ISNUMBER($I909),$I909,IFERROR(TIMEVALUE($I909),VALUE($I909)))*60,0),ROUND(MOD(IF(ISNUMBER($I909),$I909,IFERROR(TIMEVALUE($I909),VALUE($I909))),1)*1440,0))),""))</f>
        <v/>
      </c>
      <c r="X909" s="55" t="str">
        <f aca="false">IF($P909="","",IFERROR(IF(ISNUMBER($P909),IF($P909&gt;19000000,DATE(INT($P909/10000),MOD(INT($P909/100),100),MOD($P909,100)),INT($P909)),IF(LEN(SUBSTITUTE(SUBSTITUTE(SUBSTITUTE(TRIM($P909),"-",""),".",""),"/",""))=8,DATE(VALUE(LEFT(SUBSTITUTE(SUBSTITUTE(SUBSTITUTE(TRIM($P909),"-",""),".",""),"/",""),4)),VALUE(MID(SUBSTITUTE(SUBSTITUTE(SUBSTITUTE(TRIM($P909),"-",""),".",""),"/",""),5,2)),VALUE(RIGHT(SUBSTITUTE(SUBSTITUTE(SUBSTITUTE(TRIM($P909),"-",""),".",""),"/",""),2))),DATEVALUE($P909))),""))</f>
        <v/>
      </c>
      <c r="Y909" s="56" t="str">
        <f aca="false">IF($M909="","",IFERROR(INDEX(강사DB!$D$4:$D$53,MATCH($M909,강사DB!$A$4:$A$53,0)),""))</f>
        <v/>
      </c>
      <c r="Z909" s="56" t="str">
        <f aca="false">IF($B909&lt;&gt;"결제완료","",IF(OR($Y909="",$J909=""),"",$Y909*$J909+MAX(0,N($K909)-1)*설정!$J$7))</f>
        <v/>
      </c>
      <c r="AA909" s="56" t="str">
        <f aca="false">IF(AND($D909&lt;&gt;"",$B909="결제완료"),N($N909),"")</f>
        <v/>
      </c>
      <c r="AB909" s="45" t="str">
        <f aca="false">IF($D909="","",IF($F909&lt;&gt;"",$F909,$D909)&amp;IF($B909="상담중"," (상담)",""))</f>
        <v/>
      </c>
      <c r="AC909" s="45" t="n">
        <f aca="false">IF(AND($D909&lt;&gt;"",OR($B909="결제완료",$B909="상담중")),1,0)</f>
        <v>0</v>
      </c>
      <c r="AD909" s="45" t="n">
        <f aca="false">IF(OR($Z909="",$U909=""),0,IFERROR(IF(COUNTIFS(INDEX(g_grid,0,2*MATCH($M909,강사DB!$A$4:$A$15,0)),"&lt;&gt;",g_s,"&lt;="&amp;$U909,g_e,"&gt;="&amp;$U909)&gt;0,1,0),0))</f>
        <v>0</v>
      </c>
      <c r="AE909" s="48"/>
      <c r="AF909" s="56" t="str">
        <f aca="false">IF(AND($D909&lt;&gt;"",$B909="결제완료",$T909="대여"),설정!$J$5,"")</f>
        <v/>
      </c>
      <c r="AG909" s="54" t="str">
        <f aca="false">IF($D909="","",IF(AND($E909="",$R909=""),$AB909,"☎ "&amp;IF($E909="","-",$E909)&amp;IF($R909&lt;&gt;"","  ※ "&amp;$R909,"")&amp;IF($B909="상담중"," (상담)","")))</f>
        <v/>
      </c>
      <c r="AH909" s="56" t="str">
        <f aca="false">IF(AND($D909&lt;&gt;"",$B909="결제완료",$O909="스마트스토어"),ROUND(N($N909)*설정!$J$6,0),"")</f>
        <v/>
      </c>
      <c r="AI909" s="54" t="str">
        <f aca="false">IF($D909="","",ROW())</f>
        <v/>
      </c>
      <c r="AJ909" s="54" t="n">
        <f aca="false">IF(OR($AC909&lt;&gt;1,$M909=""),0,IF(ISNUMBER(SEARCH("퇴사",IFERROR(INDEX(강사DB!$G$4:$G$53,MATCH($M909,강사DB!$A$4:$A$53,0)),""))),1,0))</f>
        <v>0</v>
      </c>
    </row>
    <row r="910" customFormat="false" ht="15" hidden="false" customHeight="false" outlineLevel="0" collapsed="false">
      <c r="A910" s="45" t="str">
        <f aca="false">IF($D910="","",COUNTA($D$5:$D910))</f>
        <v/>
      </c>
      <c r="B910" s="46"/>
      <c r="C910" s="47"/>
      <c r="D910" s="48"/>
      <c r="E910" s="48"/>
      <c r="F910" s="49"/>
      <c r="G910" s="47"/>
      <c r="H910" s="50"/>
      <c r="I910" s="50"/>
      <c r="J910" s="51" t="str">
        <f aca="false">IF(OR($V910="",$W910=""),"",ROUND(($W910-$V910)/60,2))</f>
        <v/>
      </c>
      <c r="K910" s="52" t="str">
        <f aca="false">IF($F910="","",LEN($F910)-LEN(SUBSTITUTE($F910,",",""))+1)</f>
        <v/>
      </c>
      <c r="L910" s="45" t="str">
        <f aca="false">IF($K910="","","1:"&amp;$K910)</f>
        <v/>
      </c>
      <c r="M910" s="46"/>
      <c r="N910" s="53"/>
      <c r="O910" s="46"/>
      <c r="P910" s="47"/>
      <c r="Q910" s="48"/>
      <c r="R910" s="49"/>
      <c r="S910" s="54" t="str">
        <f aca="false">IF(OR($AC910=0,$U910="",$M910="",$V910="",$W910=""),"",IF(COUNTIFS(m_teacher,$M910,m_date,$U910,m_active,1,m_start,"&lt;"&amp;$W910,m_end,"&gt;"&amp;$V910)&gt;1,"충돌",""))</f>
        <v/>
      </c>
      <c r="T910" s="48"/>
      <c r="U910" s="55" t="str">
        <f aca="false">IF($G910="","",IFERROR(IF(ISNUMBER($G910),IF($G910&gt;19000000,DATE(INT($G910/10000),MOD(INT($G910/100),100),MOD($G910,100)),INT($G910)),IF(LEN(SUBSTITUTE(SUBSTITUTE(SUBSTITUTE(TRIM($G910),"-",""),".",""),"/",""))=8,DATE(VALUE(LEFT(SUBSTITUTE(SUBSTITUTE(SUBSTITUTE(TRIM($G910),"-",""),".",""),"/",""),4)),VALUE(MID(SUBSTITUTE(SUBSTITUTE(SUBSTITUTE(TRIM($G910),"-",""),".",""),"/",""),5,2)),VALUE(RIGHT(SUBSTITUTE(SUBSTITUTE(SUBSTITUTE(TRIM($G910),"-",""),".",""),"/",""),2))),DATEVALUE($G910))),""))</f>
        <v/>
      </c>
      <c r="V910" s="52" t="str">
        <f aca="false">IF($H910="","",IFERROR(IF(IF(ISNUMBER($H910),$H910,IFERROR(TIMEVALUE($H910),VALUE($H910)))&gt;=100,INT(IF(ISNUMBER($H910),$H910,IFERROR(TIMEVALUE($H910),VALUE($H910)))/100)*60+MOD(IF(ISNUMBER($H910),$H910,IFERROR(TIMEVALUE($H910),VALUE($H910))),100),IF(IF(ISNUMBER($H910),$H910,IFERROR(TIMEVALUE($H910),VALUE($H910)))&gt;=1,ROUND(IF(ISNUMBER($H910),$H910,IFERROR(TIMEVALUE($H910),VALUE($H910)))*60,0),ROUND(MOD(IF(ISNUMBER($H910),$H910,IFERROR(TIMEVALUE($H910),VALUE($H910))),1)*1440,0))),""))</f>
        <v/>
      </c>
      <c r="W910" s="52" t="str">
        <f aca="false">IF($I910="","",IFERROR(IF(IF(ISNUMBER($I910),$I910,IFERROR(TIMEVALUE($I910),VALUE($I910)))&gt;=100,INT(IF(ISNUMBER($I910),$I910,IFERROR(TIMEVALUE($I910),VALUE($I910)))/100)*60+MOD(IF(ISNUMBER($I910),$I910,IFERROR(TIMEVALUE($I910),VALUE($I910))),100),IF(IF(ISNUMBER($I910),$I910,IFERROR(TIMEVALUE($I910),VALUE($I910)))&gt;=1,ROUND(IF(ISNUMBER($I910),$I910,IFERROR(TIMEVALUE($I910),VALUE($I910)))*60,0),ROUND(MOD(IF(ISNUMBER($I910),$I910,IFERROR(TIMEVALUE($I910),VALUE($I910))),1)*1440,0))),""))</f>
        <v/>
      </c>
      <c r="X910" s="55" t="str">
        <f aca="false">IF($P910="","",IFERROR(IF(ISNUMBER($P910),IF($P910&gt;19000000,DATE(INT($P910/10000),MOD(INT($P910/100),100),MOD($P910,100)),INT($P910)),IF(LEN(SUBSTITUTE(SUBSTITUTE(SUBSTITUTE(TRIM($P910),"-",""),".",""),"/",""))=8,DATE(VALUE(LEFT(SUBSTITUTE(SUBSTITUTE(SUBSTITUTE(TRIM($P910),"-",""),".",""),"/",""),4)),VALUE(MID(SUBSTITUTE(SUBSTITUTE(SUBSTITUTE(TRIM($P910),"-",""),".",""),"/",""),5,2)),VALUE(RIGHT(SUBSTITUTE(SUBSTITUTE(SUBSTITUTE(TRIM($P910),"-",""),".",""),"/",""),2))),DATEVALUE($P910))),""))</f>
        <v/>
      </c>
      <c r="Y910" s="56" t="str">
        <f aca="false">IF($M910="","",IFERROR(INDEX(강사DB!$D$4:$D$53,MATCH($M910,강사DB!$A$4:$A$53,0)),""))</f>
        <v/>
      </c>
      <c r="Z910" s="56" t="str">
        <f aca="false">IF($B910&lt;&gt;"결제완료","",IF(OR($Y910="",$J910=""),"",$Y910*$J910+MAX(0,N($K910)-1)*설정!$J$7))</f>
        <v/>
      </c>
      <c r="AA910" s="56" t="str">
        <f aca="false">IF(AND($D910&lt;&gt;"",$B910="결제완료"),N($N910),"")</f>
        <v/>
      </c>
      <c r="AB910" s="45" t="str">
        <f aca="false">IF($D910="","",IF($F910&lt;&gt;"",$F910,$D910)&amp;IF($B910="상담중"," (상담)",""))</f>
        <v/>
      </c>
      <c r="AC910" s="45" t="n">
        <f aca="false">IF(AND($D910&lt;&gt;"",OR($B910="결제완료",$B910="상담중")),1,0)</f>
        <v>0</v>
      </c>
      <c r="AD910" s="45" t="n">
        <f aca="false">IF(OR($Z910="",$U910=""),0,IFERROR(IF(COUNTIFS(INDEX(g_grid,0,2*MATCH($M910,강사DB!$A$4:$A$15,0)),"&lt;&gt;",g_s,"&lt;="&amp;$U910,g_e,"&gt;="&amp;$U910)&gt;0,1,0),0))</f>
        <v>0</v>
      </c>
      <c r="AE910" s="48"/>
      <c r="AF910" s="56" t="str">
        <f aca="false">IF(AND($D910&lt;&gt;"",$B910="결제완료",$T910="대여"),설정!$J$5,"")</f>
        <v/>
      </c>
      <c r="AG910" s="54" t="str">
        <f aca="false">IF($D910="","",IF(AND($E910="",$R910=""),$AB910,"☎ "&amp;IF($E910="","-",$E910)&amp;IF($R910&lt;&gt;"","  ※ "&amp;$R910,"")&amp;IF($B910="상담중"," (상담)","")))</f>
        <v/>
      </c>
      <c r="AH910" s="56" t="str">
        <f aca="false">IF(AND($D910&lt;&gt;"",$B910="결제완료",$O910="스마트스토어"),ROUND(N($N910)*설정!$J$6,0),"")</f>
        <v/>
      </c>
      <c r="AI910" s="54" t="str">
        <f aca="false">IF($D910="","",ROW())</f>
        <v/>
      </c>
      <c r="AJ910" s="54" t="n">
        <f aca="false">IF(OR($AC910&lt;&gt;1,$M910=""),0,IF(ISNUMBER(SEARCH("퇴사",IFERROR(INDEX(강사DB!$G$4:$G$53,MATCH($M910,강사DB!$A$4:$A$53,0)),""))),1,0))</f>
        <v>0</v>
      </c>
    </row>
    <row r="911" customFormat="false" ht="15" hidden="false" customHeight="false" outlineLevel="0" collapsed="false">
      <c r="A911" s="45" t="str">
        <f aca="false">IF($D911="","",COUNTA($D$5:$D911))</f>
        <v/>
      </c>
      <c r="B911" s="46"/>
      <c r="C911" s="47"/>
      <c r="D911" s="48"/>
      <c r="E911" s="48"/>
      <c r="F911" s="49"/>
      <c r="G911" s="47"/>
      <c r="H911" s="50"/>
      <c r="I911" s="50"/>
      <c r="J911" s="51" t="str">
        <f aca="false">IF(OR($V911="",$W911=""),"",ROUND(($W911-$V911)/60,2))</f>
        <v/>
      </c>
      <c r="K911" s="52" t="str">
        <f aca="false">IF($F911="","",LEN($F911)-LEN(SUBSTITUTE($F911,",",""))+1)</f>
        <v/>
      </c>
      <c r="L911" s="45" t="str">
        <f aca="false">IF($K911="","","1:"&amp;$K911)</f>
        <v/>
      </c>
      <c r="M911" s="46"/>
      <c r="N911" s="53"/>
      <c r="O911" s="46"/>
      <c r="P911" s="47"/>
      <c r="Q911" s="48"/>
      <c r="R911" s="49"/>
      <c r="S911" s="54" t="str">
        <f aca="false">IF(OR($AC911=0,$U911="",$M911="",$V911="",$W911=""),"",IF(COUNTIFS(m_teacher,$M911,m_date,$U911,m_active,1,m_start,"&lt;"&amp;$W911,m_end,"&gt;"&amp;$V911)&gt;1,"충돌",""))</f>
        <v/>
      </c>
      <c r="T911" s="48"/>
      <c r="U911" s="55" t="str">
        <f aca="false">IF($G911="","",IFERROR(IF(ISNUMBER($G911),IF($G911&gt;19000000,DATE(INT($G911/10000),MOD(INT($G911/100),100),MOD($G911,100)),INT($G911)),IF(LEN(SUBSTITUTE(SUBSTITUTE(SUBSTITUTE(TRIM($G911),"-",""),".",""),"/",""))=8,DATE(VALUE(LEFT(SUBSTITUTE(SUBSTITUTE(SUBSTITUTE(TRIM($G911),"-",""),".",""),"/",""),4)),VALUE(MID(SUBSTITUTE(SUBSTITUTE(SUBSTITUTE(TRIM($G911),"-",""),".",""),"/",""),5,2)),VALUE(RIGHT(SUBSTITUTE(SUBSTITUTE(SUBSTITUTE(TRIM($G911),"-",""),".",""),"/",""),2))),DATEVALUE($G911))),""))</f>
        <v/>
      </c>
      <c r="V911" s="52" t="str">
        <f aca="false">IF($H911="","",IFERROR(IF(IF(ISNUMBER($H911),$H911,IFERROR(TIMEVALUE($H911),VALUE($H911)))&gt;=100,INT(IF(ISNUMBER($H911),$H911,IFERROR(TIMEVALUE($H911),VALUE($H911)))/100)*60+MOD(IF(ISNUMBER($H911),$H911,IFERROR(TIMEVALUE($H911),VALUE($H911))),100),IF(IF(ISNUMBER($H911),$H911,IFERROR(TIMEVALUE($H911),VALUE($H911)))&gt;=1,ROUND(IF(ISNUMBER($H911),$H911,IFERROR(TIMEVALUE($H911),VALUE($H911)))*60,0),ROUND(MOD(IF(ISNUMBER($H911),$H911,IFERROR(TIMEVALUE($H911),VALUE($H911))),1)*1440,0))),""))</f>
        <v/>
      </c>
      <c r="W911" s="52" t="str">
        <f aca="false">IF($I911="","",IFERROR(IF(IF(ISNUMBER($I911),$I911,IFERROR(TIMEVALUE($I911),VALUE($I911)))&gt;=100,INT(IF(ISNUMBER($I911),$I911,IFERROR(TIMEVALUE($I911),VALUE($I911)))/100)*60+MOD(IF(ISNUMBER($I911),$I911,IFERROR(TIMEVALUE($I911),VALUE($I911))),100),IF(IF(ISNUMBER($I911),$I911,IFERROR(TIMEVALUE($I911),VALUE($I911)))&gt;=1,ROUND(IF(ISNUMBER($I911),$I911,IFERROR(TIMEVALUE($I911),VALUE($I911)))*60,0),ROUND(MOD(IF(ISNUMBER($I911),$I911,IFERROR(TIMEVALUE($I911),VALUE($I911))),1)*1440,0))),""))</f>
        <v/>
      </c>
      <c r="X911" s="55" t="str">
        <f aca="false">IF($P911="","",IFERROR(IF(ISNUMBER($P911),IF($P911&gt;19000000,DATE(INT($P911/10000),MOD(INT($P911/100),100),MOD($P911,100)),INT($P911)),IF(LEN(SUBSTITUTE(SUBSTITUTE(SUBSTITUTE(TRIM($P911),"-",""),".",""),"/",""))=8,DATE(VALUE(LEFT(SUBSTITUTE(SUBSTITUTE(SUBSTITUTE(TRIM($P911),"-",""),".",""),"/",""),4)),VALUE(MID(SUBSTITUTE(SUBSTITUTE(SUBSTITUTE(TRIM($P911),"-",""),".",""),"/",""),5,2)),VALUE(RIGHT(SUBSTITUTE(SUBSTITUTE(SUBSTITUTE(TRIM($P911),"-",""),".",""),"/",""),2))),DATEVALUE($P911))),""))</f>
        <v/>
      </c>
      <c r="Y911" s="56" t="str">
        <f aca="false">IF($M911="","",IFERROR(INDEX(강사DB!$D$4:$D$53,MATCH($M911,강사DB!$A$4:$A$53,0)),""))</f>
        <v/>
      </c>
      <c r="Z911" s="56" t="str">
        <f aca="false">IF($B911&lt;&gt;"결제완료","",IF(OR($Y911="",$J911=""),"",$Y911*$J911+MAX(0,N($K911)-1)*설정!$J$7))</f>
        <v/>
      </c>
      <c r="AA911" s="56" t="str">
        <f aca="false">IF(AND($D911&lt;&gt;"",$B911="결제완료"),N($N911),"")</f>
        <v/>
      </c>
      <c r="AB911" s="45" t="str">
        <f aca="false">IF($D911="","",IF($F911&lt;&gt;"",$F911,$D911)&amp;IF($B911="상담중"," (상담)",""))</f>
        <v/>
      </c>
      <c r="AC911" s="45" t="n">
        <f aca="false">IF(AND($D911&lt;&gt;"",OR($B911="결제완료",$B911="상담중")),1,0)</f>
        <v>0</v>
      </c>
      <c r="AD911" s="45" t="n">
        <f aca="false">IF(OR($Z911="",$U911=""),0,IFERROR(IF(COUNTIFS(INDEX(g_grid,0,2*MATCH($M911,강사DB!$A$4:$A$15,0)),"&lt;&gt;",g_s,"&lt;="&amp;$U911,g_e,"&gt;="&amp;$U911)&gt;0,1,0),0))</f>
        <v>0</v>
      </c>
      <c r="AE911" s="48"/>
      <c r="AF911" s="56" t="str">
        <f aca="false">IF(AND($D911&lt;&gt;"",$B911="결제완료",$T911="대여"),설정!$J$5,"")</f>
        <v/>
      </c>
      <c r="AG911" s="54" t="str">
        <f aca="false">IF($D911="","",IF(AND($E911="",$R911=""),$AB911,"☎ "&amp;IF($E911="","-",$E911)&amp;IF($R911&lt;&gt;"","  ※ "&amp;$R911,"")&amp;IF($B911="상담중"," (상담)","")))</f>
        <v/>
      </c>
      <c r="AH911" s="56" t="str">
        <f aca="false">IF(AND($D911&lt;&gt;"",$B911="결제완료",$O911="스마트스토어"),ROUND(N($N911)*설정!$J$6,0),"")</f>
        <v/>
      </c>
      <c r="AI911" s="54" t="str">
        <f aca="false">IF($D911="","",ROW())</f>
        <v/>
      </c>
      <c r="AJ911" s="54" t="n">
        <f aca="false">IF(OR($AC911&lt;&gt;1,$M911=""),0,IF(ISNUMBER(SEARCH("퇴사",IFERROR(INDEX(강사DB!$G$4:$G$53,MATCH($M911,강사DB!$A$4:$A$53,0)),""))),1,0))</f>
        <v>0</v>
      </c>
    </row>
    <row r="912" customFormat="false" ht="15" hidden="false" customHeight="false" outlineLevel="0" collapsed="false">
      <c r="A912" s="45" t="str">
        <f aca="false">IF($D912="","",COUNTA($D$5:$D912))</f>
        <v/>
      </c>
      <c r="B912" s="46"/>
      <c r="C912" s="47"/>
      <c r="D912" s="48"/>
      <c r="E912" s="48"/>
      <c r="F912" s="49"/>
      <c r="G912" s="47"/>
      <c r="H912" s="50"/>
      <c r="I912" s="50"/>
      <c r="J912" s="51" t="str">
        <f aca="false">IF(OR($V912="",$W912=""),"",ROUND(($W912-$V912)/60,2))</f>
        <v/>
      </c>
      <c r="K912" s="52" t="str">
        <f aca="false">IF($F912="","",LEN($F912)-LEN(SUBSTITUTE($F912,",",""))+1)</f>
        <v/>
      </c>
      <c r="L912" s="45" t="str">
        <f aca="false">IF($K912="","","1:"&amp;$K912)</f>
        <v/>
      </c>
      <c r="M912" s="46"/>
      <c r="N912" s="53"/>
      <c r="O912" s="46"/>
      <c r="P912" s="47"/>
      <c r="Q912" s="48"/>
      <c r="R912" s="49"/>
      <c r="S912" s="54" t="str">
        <f aca="false">IF(OR($AC912=0,$U912="",$M912="",$V912="",$W912=""),"",IF(COUNTIFS(m_teacher,$M912,m_date,$U912,m_active,1,m_start,"&lt;"&amp;$W912,m_end,"&gt;"&amp;$V912)&gt;1,"충돌",""))</f>
        <v/>
      </c>
      <c r="T912" s="48"/>
      <c r="U912" s="55" t="str">
        <f aca="false">IF($G912="","",IFERROR(IF(ISNUMBER($G912),IF($G912&gt;19000000,DATE(INT($G912/10000),MOD(INT($G912/100),100),MOD($G912,100)),INT($G912)),IF(LEN(SUBSTITUTE(SUBSTITUTE(SUBSTITUTE(TRIM($G912),"-",""),".",""),"/",""))=8,DATE(VALUE(LEFT(SUBSTITUTE(SUBSTITUTE(SUBSTITUTE(TRIM($G912),"-",""),".",""),"/",""),4)),VALUE(MID(SUBSTITUTE(SUBSTITUTE(SUBSTITUTE(TRIM($G912),"-",""),".",""),"/",""),5,2)),VALUE(RIGHT(SUBSTITUTE(SUBSTITUTE(SUBSTITUTE(TRIM($G912),"-",""),".",""),"/",""),2))),DATEVALUE($G912))),""))</f>
        <v/>
      </c>
      <c r="V912" s="52" t="str">
        <f aca="false">IF($H912="","",IFERROR(IF(IF(ISNUMBER($H912),$H912,IFERROR(TIMEVALUE($H912),VALUE($H912)))&gt;=100,INT(IF(ISNUMBER($H912),$H912,IFERROR(TIMEVALUE($H912),VALUE($H912)))/100)*60+MOD(IF(ISNUMBER($H912),$H912,IFERROR(TIMEVALUE($H912),VALUE($H912))),100),IF(IF(ISNUMBER($H912),$H912,IFERROR(TIMEVALUE($H912),VALUE($H912)))&gt;=1,ROUND(IF(ISNUMBER($H912),$H912,IFERROR(TIMEVALUE($H912),VALUE($H912)))*60,0),ROUND(MOD(IF(ISNUMBER($H912),$H912,IFERROR(TIMEVALUE($H912),VALUE($H912))),1)*1440,0))),""))</f>
        <v/>
      </c>
      <c r="W912" s="52" t="str">
        <f aca="false">IF($I912="","",IFERROR(IF(IF(ISNUMBER($I912),$I912,IFERROR(TIMEVALUE($I912),VALUE($I912)))&gt;=100,INT(IF(ISNUMBER($I912),$I912,IFERROR(TIMEVALUE($I912),VALUE($I912)))/100)*60+MOD(IF(ISNUMBER($I912),$I912,IFERROR(TIMEVALUE($I912),VALUE($I912))),100),IF(IF(ISNUMBER($I912),$I912,IFERROR(TIMEVALUE($I912),VALUE($I912)))&gt;=1,ROUND(IF(ISNUMBER($I912),$I912,IFERROR(TIMEVALUE($I912),VALUE($I912)))*60,0),ROUND(MOD(IF(ISNUMBER($I912),$I912,IFERROR(TIMEVALUE($I912),VALUE($I912))),1)*1440,0))),""))</f>
        <v/>
      </c>
      <c r="X912" s="55" t="str">
        <f aca="false">IF($P912="","",IFERROR(IF(ISNUMBER($P912),IF($P912&gt;19000000,DATE(INT($P912/10000),MOD(INT($P912/100),100),MOD($P912,100)),INT($P912)),IF(LEN(SUBSTITUTE(SUBSTITUTE(SUBSTITUTE(TRIM($P912),"-",""),".",""),"/",""))=8,DATE(VALUE(LEFT(SUBSTITUTE(SUBSTITUTE(SUBSTITUTE(TRIM($P912),"-",""),".",""),"/",""),4)),VALUE(MID(SUBSTITUTE(SUBSTITUTE(SUBSTITUTE(TRIM($P912),"-",""),".",""),"/",""),5,2)),VALUE(RIGHT(SUBSTITUTE(SUBSTITUTE(SUBSTITUTE(TRIM($P912),"-",""),".",""),"/",""),2))),DATEVALUE($P912))),""))</f>
        <v/>
      </c>
      <c r="Y912" s="56" t="str">
        <f aca="false">IF($M912="","",IFERROR(INDEX(강사DB!$D$4:$D$53,MATCH($M912,강사DB!$A$4:$A$53,0)),""))</f>
        <v/>
      </c>
      <c r="Z912" s="56" t="str">
        <f aca="false">IF($B912&lt;&gt;"결제완료","",IF(OR($Y912="",$J912=""),"",$Y912*$J912+MAX(0,N($K912)-1)*설정!$J$7))</f>
        <v/>
      </c>
      <c r="AA912" s="56" t="str">
        <f aca="false">IF(AND($D912&lt;&gt;"",$B912="결제완료"),N($N912),"")</f>
        <v/>
      </c>
      <c r="AB912" s="45" t="str">
        <f aca="false">IF($D912="","",IF($F912&lt;&gt;"",$F912,$D912)&amp;IF($B912="상담중"," (상담)",""))</f>
        <v/>
      </c>
      <c r="AC912" s="45" t="n">
        <f aca="false">IF(AND($D912&lt;&gt;"",OR($B912="결제완료",$B912="상담중")),1,0)</f>
        <v>0</v>
      </c>
      <c r="AD912" s="45" t="n">
        <f aca="false">IF(OR($Z912="",$U912=""),0,IFERROR(IF(COUNTIFS(INDEX(g_grid,0,2*MATCH($M912,강사DB!$A$4:$A$15,0)),"&lt;&gt;",g_s,"&lt;="&amp;$U912,g_e,"&gt;="&amp;$U912)&gt;0,1,0),0))</f>
        <v>0</v>
      </c>
      <c r="AE912" s="48"/>
      <c r="AF912" s="56" t="str">
        <f aca="false">IF(AND($D912&lt;&gt;"",$B912="결제완료",$T912="대여"),설정!$J$5,"")</f>
        <v/>
      </c>
      <c r="AG912" s="54" t="str">
        <f aca="false">IF($D912="","",IF(AND($E912="",$R912=""),$AB912,"☎ "&amp;IF($E912="","-",$E912)&amp;IF($R912&lt;&gt;"","  ※ "&amp;$R912,"")&amp;IF($B912="상담중"," (상담)","")))</f>
        <v/>
      </c>
      <c r="AH912" s="56" t="str">
        <f aca="false">IF(AND($D912&lt;&gt;"",$B912="결제완료",$O912="스마트스토어"),ROUND(N($N912)*설정!$J$6,0),"")</f>
        <v/>
      </c>
      <c r="AI912" s="54" t="str">
        <f aca="false">IF($D912="","",ROW())</f>
        <v/>
      </c>
      <c r="AJ912" s="54" t="n">
        <f aca="false">IF(OR($AC912&lt;&gt;1,$M912=""),0,IF(ISNUMBER(SEARCH("퇴사",IFERROR(INDEX(강사DB!$G$4:$G$53,MATCH($M912,강사DB!$A$4:$A$53,0)),""))),1,0))</f>
        <v>0</v>
      </c>
    </row>
    <row r="913" customFormat="false" ht="15" hidden="false" customHeight="false" outlineLevel="0" collapsed="false">
      <c r="A913" s="45" t="str">
        <f aca="false">IF($D913="","",COUNTA($D$5:$D913))</f>
        <v/>
      </c>
      <c r="B913" s="46"/>
      <c r="C913" s="47"/>
      <c r="D913" s="48"/>
      <c r="E913" s="48"/>
      <c r="F913" s="49"/>
      <c r="G913" s="47"/>
      <c r="H913" s="50"/>
      <c r="I913" s="50"/>
      <c r="J913" s="51" t="str">
        <f aca="false">IF(OR($V913="",$W913=""),"",ROUND(($W913-$V913)/60,2))</f>
        <v/>
      </c>
      <c r="K913" s="52" t="str">
        <f aca="false">IF($F913="","",LEN($F913)-LEN(SUBSTITUTE($F913,",",""))+1)</f>
        <v/>
      </c>
      <c r="L913" s="45" t="str">
        <f aca="false">IF($K913="","","1:"&amp;$K913)</f>
        <v/>
      </c>
      <c r="M913" s="46"/>
      <c r="N913" s="53"/>
      <c r="O913" s="46"/>
      <c r="P913" s="47"/>
      <c r="Q913" s="48"/>
      <c r="R913" s="49"/>
      <c r="S913" s="54" t="str">
        <f aca="false">IF(OR($AC913=0,$U913="",$M913="",$V913="",$W913=""),"",IF(COUNTIFS(m_teacher,$M913,m_date,$U913,m_active,1,m_start,"&lt;"&amp;$W913,m_end,"&gt;"&amp;$V913)&gt;1,"충돌",""))</f>
        <v/>
      </c>
      <c r="T913" s="48"/>
      <c r="U913" s="55" t="str">
        <f aca="false">IF($G913="","",IFERROR(IF(ISNUMBER($G913),IF($G913&gt;19000000,DATE(INT($G913/10000),MOD(INT($G913/100),100),MOD($G913,100)),INT($G913)),IF(LEN(SUBSTITUTE(SUBSTITUTE(SUBSTITUTE(TRIM($G913),"-",""),".",""),"/",""))=8,DATE(VALUE(LEFT(SUBSTITUTE(SUBSTITUTE(SUBSTITUTE(TRIM($G913),"-",""),".",""),"/",""),4)),VALUE(MID(SUBSTITUTE(SUBSTITUTE(SUBSTITUTE(TRIM($G913),"-",""),".",""),"/",""),5,2)),VALUE(RIGHT(SUBSTITUTE(SUBSTITUTE(SUBSTITUTE(TRIM($G913),"-",""),".",""),"/",""),2))),DATEVALUE($G913))),""))</f>
        <v/>
      </c>
      <c r="V913" s="52" t="str">
        <f aca="false">IF($H913="","",IFERROR(IF(IF(ISNUMBER($H913),$H913,IFERROR(TIMEVALUE($H913),VALUE($H913)))&gt;=100,INT(IF(ISNUMBER($H913),$H913,IFERROR(TIMEVALUE($H913),VALUE($H913)))/100)*60+MOD(IF(ISNUMBER($H913),$H913,IFERROR(TIMEVALUE($H913),VALUE($H913))),100),IF(IF(ISNUMBER($H913),$H913,IFERROR(TIMEVALUE($H913),VALUE($H913)))&gt;=1,ROUND(IF(ISNUMBER($H913),$H913,IFERROR(TIMEVALUE($H913),VALUE($H913)))*60,0),ROUND(MOD(IF(ISNUMBER($H913),$H913,IFERROR(TIMEVALUE($H913),VALUE($H913))),1)*1440,0))),""))</f>
        <v/>
      </c>
      <c r="W913" s="52" t="str">
        <f aca="false">IF($I913="","",IFERROR(IF(IF(ISNUMBER($I913),$I913,IFERROR(TIMEVALUE($I913),VALUE($I913)))&gt;=100,INT(IF(ISNUMBER($I913),$I913,IFERROR(TIMEVALUE($I913),VALUE($I913)))/100)*60+MOD(IF(ISNUMBER($I913),$I913,IFERROR(TIMEVALUE($I913),VALUE($I913))),100),IF(IF(ISNUMBER($I913),$I913,IFERROR(TIMEVALUE($I913),VALUE($I913)))&gt;=1,ROUND(IF(ISNUMBER($I913),$I913,IFERROR(TIMEVALUE($I913),VALUE($I913)))*60,0),ROUND(MOD(IF(ISNUMBER($I913),$I913,IFERROR(TIMEVALUE($I913),VALUE($I913))),1)*1440,0))),""))</f>
        <v/>
      </c>
      <c r="X913" s="55" t="str">
        <f aca="false">IF($P913="","",IFERROR(IF(ISNUMBER($P913),IF($P913&gt;19000000,DATE(INT($P913/10000),MOD(INT($P913/100),100),MOD($P913,100)),INT($P913)),IF(LEN(SUBSTITUTE(SUBSTITUTE(SUBSTITUTE(TRIM($P913),"-",""),".",""),"/",""))=8,DATE(VALUE(LEFT(SUBSTITUTE(SUBSTITUTE(SUBSTITUTE(TRIM($P913),"-",""),".",""),"/",""),4)),VALUE(MID(SUBSTITUTE(SUBSTITUTE(SUBSTITUTE(TRIM($P913),"-",""),".",""),"/",""),5,2)),VALUE(RIGHT(SUBSTITUTE(SUBSTITUTE(SUBSTITUTE(TRIM($P913),"-",""),".",""),"/",""),2))),DATEVALUE($P913))),""))</f>
        <v/>
      </c>
      <c r="Y913" s="56" t="str">
        <f aca="false">IF($M913="","",IFERROR(INDEX(강사DB!$D$4:$D$53,MATCH($M913,강사DB!$A$4:$A$53,0)),""))</f>
        <v/>
      </c>
      <c r="Z913" s="56" t="str">
        <f aca="false">IF($B913&lt;&gt;"결제완료","",IF(OR($Y913="",$J913=""),"",$Y913*$J913+MAX(0,N($K913)-1)*설정!$J$7))</f>
        <v/>
      </c>
      <c r="AA913" s="56" t="str">
        <f aca="false">IF(AND($D913&lt;&gt;"",$B913="결제완료"),N($N913),"")</f>
        <v/>
      </c>
      <c r="AB913" s="45" t="str">
        <f aca="false">IF($D913="","",IF($F913&lt;&gt;"",$F913,$D913)&amp;IF($B913="상담중"," (상담)",""))</f>
        <v/>
      </c>
      <c r="AC913" s="45" t="n">
        <f aca="false">IF(AND($D913&lt;&gt;"",OR($B913="결제완료",$B913="상담중")),1,0)</f>
        <v>0</v>
      </c>
      <c r="AD913" s="45" t="n">
        <f aca="false">IF(OR($Z913="",$U913=""),0,IFERROR(IF(COUNTIFS(INDEX(g_grid,0,2*MATCH($M913,강사DB!$A$4:$A$15,0)),"&lt;&gt;",g_s,"&lt;="&amp;$U913,g_e,"&gt;="&amp;$U913)&gt;0,1,0),0))</f>
        <v>0</v>
      </c>
      <c r="AE913" s="48"/>
      <c r="AF913" s="56" t="str">
        <f aca="false">IF(AND($D913&lt;&gt;"",$B913="결제완료",$T913="대여"),설정!$J$5,"")</f>
        <v/>
      </c>
      <c r="AG913" s="54" t="str">
        <f aca="false">IF($D913="","",IF(AND($E913="",$R913=""),$AB913,"☎ "&amp;IF($E913="","-",$E913)&amp;IF($R913&lt;&gt;"","  ※ "&amp;$R913,"")&amp;IF($B913="상담중"," (상담)","")))</f>
        <v/>
      </c>
      <c r="AH913" s="56" t="str">
        <f aca="false">IF(AND($D913&lt;&gt;"",$B913="결제완료",$O913="스마트스토어"),ROUND(N($N913)*설정!$J$6,0),"")</f>
        <v/>
      </c>
      <c r="AI913" s="54" t="str">
        <f aca="false">IF($D913="","",ROW())</f>
        <v/>
      </c>
      <c r="AJ913" s="54" t="n">
        <f aca="false">IF(OR($AC913&lt;&gt;1,$M913=""),0,IF(ISNUMBER(SEARCH("퇴사",IFERROR(INDEX(강사DB!$G$4:$G$53,MATCH($M913,강사DB!$A$4:$A$53,0)),""))),1,0))</f>
        <v>0</v>
      </c>
    </row>
    <row r="914" customFormat="false" ht="15" hidden="false" customHeight="false" outlineLevel="0" collapsed="false">
      <c r="A914" s="45" t="str">
        <f aca="false">IF($D914="","",COUNTA($D$5:$D914))</f>
        <v/>
      </c>
      <c r="B914" s="46"/>
      <c r="C914" s="47"/>
      <c r="D914" s="48"/>
      <c r="E914" s="48"/>
      <c r="F914" s="49"/>
      <c r="G914" s="47"/>
      <c r="H914" s="50"/>
      <c r="I914" s="50"/>
      <c r="J914" s="51" t="str">
        <f aca="false">IF(OR($V914="",$W914=""),"",ROUND(($W914-$V914)/60,2))</f>
        <v/>
      </c>
      <c r="K914" s="52" t="str">
        <f aca="false">IF($F914="","",LEN($F914)-LEN(SUBSTITUTE($F914,",",""))+1)</f>
        <v/>
      </c>
      <c r="L914" s="45" t="str">
        <f aca="false">IF($K914="","","1:"&amp;$K914)</f>
        <v/>
      </c>
      <c r="M914" s="46"/>
      <c r="N914" s="53"/>
      <c r="O914" s="46"/>
      <c r="P914" s="47"/>
      <c r="Q914" s="48"/>
      <c r="R914" s="49"/>
      <c r="S914" s="54" t="str">
        <f aca="false">IF(OR($AC914=0,$U914="",$M914="",$V914="",$W914=""),"",IF(COUNTIFS(m_teacher,$M914,m_date,$U914,m_active,1,m_start,"&lt;"&amp;$W914,m_end,"&gt;"&amp;$V914)&gt;1,"충돌",""))</f>
        <v/>
      </c>
      <c r="T914" s="48"/>
      <c r="U914" s="55" t="str">
        <f aca="false">IF($G914="","",IFERROR(IF(ISNUMBER($G914),IF($G914&gt;19000000,DATE(INT($G914/10000),MOD(INT($G914/100),100),MOD($G914,100)),INT($G914)),IF(LEN(SUBSTITUTE(SUBSTITUTE(SUBSTITUTE(TRIM($G914),"-",""),".",""),"/",""))=8,DATE(VALUE(LEFT(SUBSTITUTE(SUBSTITUTE(SUBSTITUTE(TRIM($G914),"-",""),".",""),"/",""),4)),VALUE(MID(SUBSTITUTE(SUBSTITUTE(SUBSTITUTE(TRIM($G914),"-",""),".",""),"/",""),5,2)),VALUE(RIGHT(SUBSTITUTE(SUBSTITUTE(SUBSTITUTE(TRIM($G914),"-",""),".",""),"/",""),2))),DATEVALUE($G914))),""))</f>
        <v/>
      </c>
      <c r="V914" s="52" t="str">
        <f aca="false">IF($H914="","",IFERROR(IF(IF(ISNUMBER($H914),$H914,IFERROR(TIMEVALUE($H914),VALUE($H914)))&gt;=100,INT(IF(ISNUMBER($H914),$H914,IFERROR(TIMEVALUE($H914),VALUE($H914)))/100)*60+MOD(IF(ISNUMBER($H914),$H914,IFERROR(TIMEVALUE($H914),VALUE($H914))),100),IF(IF(ISNUMBER($H914),$H914,IFERROR(TIMEVALUE($H914),VALUE($H914)))&gt;=1,ROUND(IF(ISNUMBER($H914),$H914,IFERROR(TIMEVALUE($H914),VALUE($H914)))*60,0),ROUND(MOD(IF(ISNUMBER($H914),$H914,IFERROR(TIMEVALUE($H914),VALUE($H914))),1)*1440,0))),""))</f>
        <v/>
      </c>
      <c r="W914" s="52" t="str">
        <f aca="false">IF($I914="","",IFERROR(IF(IF(ISNUMBER($I914),$I914,IFERROR(TIMEVALUE($I914),VALUE($I914)))&gt;=100,INT(IF(ISNUMBER($I914),$I914,IFERROR(TIMEVALUE($I914),VALUE($I914)))/100)*60+MOD(IF(ISNUMBER($I914),$I914,IFERROR(TIMEVALUE($I914),VALUE($I914))),100),IF(IF(ISNUMBER($I914),$I914,IFERROR(TIMEVALUE($I914),VALUE($I914)))&gt;=1,ROUND(IF(ISNUMBER($I914),$I914,IFERROR(TIMEVALUE($I914),VALUE($I914)))*60,0),ROUND(MOD(IF(ISNUMBER($I914),$I914,IFERROR(TIMEVALUE($I914),VALUE($I914))),1)*1440,0))),""))</f>
        <v/>
      </c>
      <c r="X914" s="55" t="str">
        <f aca="false">IF($P914="","",IFERROR(IF(ISNUMBER($P914),IF($P914&gt;19000000,DATE(INT($P914/10000),MOD(INT($P914/100),100),MOD($P914,100)),INT($P914)),IF(LEN(SUBSTITUTE(SUBSTITUTE(SUBSTITUTE(TRIM($P914),"-",""),".",""),"/",""))=8,DATE(VALUE(LEFT(SUBSTITUTE(SUBSTITUTE(SUBSTITUTE(TRIM($P914),"-",""),".",""),"/",""),4)),VALUE(MID(SUBSTITUTE(SUBSTITUTE(SUBSTITUTE(TRIM($P914),"-",""),".",""),"/",""),5,2)),VALUE(RIGHT(SUBSTITUTE(SUBSTITUTE(SUBSTITUTE(TRIM($P914),"-",""),".",""),"/",""),2))),DATEVALUE($P914))),""))</f>
        <v/>
      </c>
      <c r="Y914" s="56" t="str">
        <f aca="false">IF($M914="","",IFERROR(INDEX(강사DB!$D$4:$D$53,MATCH($M914,강사DB!$A$4:$A$53,0)),""))</f>
        <v/>
      </c>
      <c r="Z914" s="56" t="str">
        <f aca="false">IF($B914&lt;&gt;"결제완료","",IF(OR($Y914="",$J914=""),"",$Y914*$J914+MAX(0,N($K914)-1)*설정!$J$7))</f>
        <v/>
      </c>
      <c r="AA914" s="56" t="str">
        <f aca="false">IF(AND($D914&lt;&gt;"",$B914="결제완료"),N($N914),"")</f>
        <v/>
      </c>
      <c r="AB914" s="45" t="str">
        <f aca="false">IF($D914="","",IF($F914&lt;&gt;"",$F914,$D914)&amp;IF($B914="상담중"," (상담)",""))</f>
        <v/>
      </c>
      <c r="AC914" s="45" t="n">
        <f aca="false">IF(AND($D914&lt;&gt;"",OR($B914="결제완료",$B914="상담중")),1,0)</f>
        <v>0</v>
      </c>
      <c r="AD914" s="45" t="n">
        <f aca="false">IF(OR($Z914="",$U914=""),0,IFERROR(IF(COUNTIFS(INDEX(g_grid,0,2*MATCH($M914,강사DB!$A$4:$A$15,0)),"&lt;&gt;",g_s,"&lt;="&amp;$U914,g_e,"&gt;="&amp;$U914)&gt;0,1,0),0))</f>
        <v>0</v>
      </c>
      <c r="AE914" s="48"/>
      <c r="AF914" s="56" t="str">
        <f aca="false">IF(AND($D914&lt;&gt;"",$B914="결제완료",$T914="대여"),설정!$J$5,"")</f>
        <v/>
      </c>
      <c r="AG914" s="54" t="str">
        <f aca="false">IF($D914="","",IF(AND($E914="",$R914=""),$AB914,"☎ "&amp;IF($E914="","-",$E914)&amp;IF($R914&lt;&gt;"","  ※ "&amp;$R914,"")&amp;IF($B914="상담중"," (상담)","")))</f>
        <v/>
      </c>
      <c r="AH914" s="56" t="str">
        <f aca="false">IF(AND($D914&lt;&gt;"",$B914="결제완료",$O914="스마트스토어"),ROUND(N($N914)*설정!$J$6,0),"")</f>
        <v/>
      </c>
      <c r="AI914" s="54" t="str">
        <f aca="false">IF($D914="","",ROW())</f>
        <v/>
      </c>
      <c r="AJ914" s="54" t="n">
        <f aca="false">IF(OR($AC914&lt;&gt;1,$M914=""),0,IF(ISNUMBER(SEARCH("퇴사",IFERROR(INDEX(강사DB!$G$4:$G$53,MATCH($M914,강사DB!$A$4:$A$53,0)),""))),1,0))</f>
        <v>0</v>
      </c>
    </row>
    <row r="915" customFormat="false" ht="15" hidden="false" customHeight="false" outlineLevel="0" collapsed="false">
      <c r="A915" s="45" t="str">
        <f aca="false">IF($D915="","",COUNTA($D$5:$D915))</f>
        <v/>
      </c>
      <c r="B915" s="46"/>
      <c r="C915" s="47"/>
      <c r="D915" s="48"/>
      <c r="E915" s="48"/>
      <c r="F915" s="49"/>
      <c r="G915" s="47"/>
      <c r="H915" s="50"/>
      <c r="I915" s="50"/>
      <c r="J915" s="51" t="str">
        <f aca="false">IF(OR($V915="",$W915=""),"",ROUND(($W915-$V915)/60,2))</f>
        <v/>
      </c>
      <c r="K915" s="52" t="str">
        <f aca="false">IF($F915="","",LEN($F915)-LEN(SUBSTITUTE($F915,",",""))+1)</f>
        <v/>
      </c>
      <c r="L915" s="45" t="str">
        <f aca="false">IF($K915="","","1:"&amp;$K915)</f>
        <v/>
      </c>
      <c r="M915" s="46"/>
      <c r="N915" s="53"/>
      <c r="O915" s="46"/>
      <c r="P915" s="47"/>
      <c r="Q915" s="48"/>
      <c r="R915" s="49"/>
      <c r="S915" s="54" t="str">
        <f aca="false">IF(OR($AC915=0,$U915="",$M915="",$V915="",$W915=""),"",IF(COUNTIFS(m_teacher,$M915,m_date,$U915,m_active,1,m_start,"&lt;"&amp;$W915,m_end,"&gt;"&amp;$V915)&gt;1,"충돌",""))</f>
        <v/>
      </c>
      <c r="T915" s="48"/>
      <c r="U915" s="55" t="str">
        <f aca="false">IF($G915="","",IFERROR(IF(ISNUMBER($G915),IF($G915&gt;19000000,DATE(INT($G915/10000),MOD(INT($G915/100),100),MOD($G915,100)),INT($G915)),IF(LEN(SUBSTITUTE(SUBSTITUTE(SUBSTITUTE(TRIM($G915),"-",""),".",""),"/",""))=8,DATE(VALUE(LEFT(SUBSTITUTE(SUBSTITUTE(SUBSTITUTE(TRIM($G915),"-",""),".",""),"/",""),4)),VALUE(MID(SUBSTITUTE(SUBSTITUTE(SUBSTITUTE(TRIM($G915),"-",""),".",""),"/",""),5,2)),VALUE(RIGHT(SUBSTITUTE(SUBSTITUTE(SUBSTITUTE(TRIM($G915),"-",""),".",""),"/",""),2))),DATEVALUE($G915))),""))</f>
        <v/>
      </c>
      <c r="V915" s="52" t="str">
        <f aca="false">IF($H915="","",IFERROR(IF(IF(ISNUMBER($H915),$H915,IFERROR(TIMEVALUE($H915),VALUE($H915)))&gt;=100,INT(IF(ISNUMBER($H915),$H915,IFERROR(TIMEVALUE($H915),VALUE($H915)))/100)*60+MOD(IF(ISNUMBER($H915),$H915,IFERROR(TIMEVALUE($H915),VALUE($H915))),100),IF(IF(ISNUMBER($H915),$H915,IFERROR(TIMEVALUE($H915),VALUE($H915)))&gt;=1,ROUND(IF(ISNUMBER($H915),$H915,IFERROR(TIMEVALUE($H915),VALUE($H915)))*60,0),ROUND(MOD(IF(ISNUMBER($H915),$H915,IFERROR(TIMEVALUE($H915),VALUE($H915))),1)*1440,0))),""))</f>
        <v/>
      </c>
      <c r="W915" s="52" t="str">
        <f aca="false">IF($I915="","",IFERROR(IF(IF(ISNUMBER($I915),$I915,IFERROR(TIMEVALUE($I915),VALUE($I915)))&gt;=100,INT(IF(ISNUMBER($I915),$I915,IFERROR(TIMEVALUE($I915),VALUE($I915)))/100)*60+MOD(IF(ISNUMBER($I915),$I915,IFERROR(TIMEVALUE($I915),VALUE($I915))),100),IF(IF(ISNUMBER($I915),$I915,IFERROR(TIMEVALUE($I915),VALUE($I915)))&gt;=1,ROUND(IF(ISNUMBER($I915),$I915,IFERROR(TIMEVALUE($I915),VALUE($I915)))*60,0),ROUND(MOD(IF(ISNUMBER($I915),$I915,IFERROR(TIMEVALUE($I915),VALUE($I915))),1)*1440,0))),""))</f>
        <v/>
      </c>
      <c r="X915" s="55" t="str">
        <f aca="false">IF($P915="","",IFERROR(IF(ISNUMBER($P915),IF($P915&gt;19000000,DATE(INT($P915/10000),MOD(INT($P915/100),100),MOD($P915,100)),INT($P915)),IF(LEN(SUBSTITUTE(SUBSTITUTE(SUBSTITUTE(TRIM($P915),"-",""),".",""),"/",""))=8,DATE(VALUE(LEFT(SUBSTITUTE(SUBSTITUTE(SUBSTITUTE(TRIM($P915),"-",""),".",""),"/",""),4)),VALUE(MID(SUBSTITUTE(SUBSTITUTE(SUBSTITUTE(TRIM($P915),"-",""),".",""),"/",""),5,2)),VALUE(RIGHT(SUBSTITUTE(SUBSTITUTE(SUBSTITUTE(TRIM($P915),"-",""),".",""),"/",""),2))),DATEVALUE($P915))),""))</f>
        <v/>
      </c>
      <c r="Y915" s="56" t="str">
        <f aca="false">IF($M915="","",IFERROR(INDEX(강사DB!$D$4:$D$53,MATCH($M915,강사DB!$A$4:$A$53,0)),""))</f>
        <v/>
      </c>
      <c r="Z915" s="56" t="str">
        <f aca="false">IF($B915&lt;&gt;"결제완료","",IF(OR($Y915="",$J915=""),"",$Y915*$J915+MAX(0,N($K915)-1)*설정!$J$7))</f>
        <v/>
      </c>
      <c r="AA915" s="56" t="str">
        <f aca="false">IF(AND($D915&lt;&gt;"",$B915="결제완료"),N($N915),"")</f>
        <v/>
      </c>
      <c r="AB915" s="45" t="str">
        <f aca="false">IF($D915="","",IF($F915&lt;&gt;"",$F915,$D915)&amp;IF($B915="상담중"," (상담)",""))</f>
        <v/>
      </c>
      <c r="AC915" s="45" t="n">
        <f aca="false">IF(AND($D915&lt;&gt;"",OR($B915="결제완료",$B915="상담중")),1,0)</f>
        <v>0</v>
      </c>
      <c r="AD915" s="45" t="n">
        <f aca="false">IF(OR($Z915="",$U915=""),0,IFERROR(IF(COUNTIFS(INDEX(g_grid,0,2*MATCH($M915,강사DB!$A$4:$A$15,0)),"&lt;&gt;",g_s,"&lt;="&amp;$U915,g_e,"&gt;="&amp;$U915)&gt;0,1,0),0))</f>
        <v>0</v>
      </c>
      <c r="AE915" s="48"/>
      <c r="AF915" s="56" t="str">
        <f aca="false">IF(AND($D915&lt;&gt;"",$B915="결제완료",$T915="대여"),설정!$J$5,"")</f>
        <v/>
      </c>
      <c r="AG915" s="54" t="str">
        <f aca="false">IF($D915="","",IF(AND($E915="",$R915=""),$AB915,"☎ "&amp;IF($E915="","-",$E915)&amp;IF($R915&lt;&gt;"","  ※ "&amp;$R915,"")&amp;IF($B915="상담중"," (상담)","")))</f>
        <v/>
      </c>
      <c r="AH915" s="56" t="str">
        <f aca="false">IF(AND($D915&lt;&gt;"",$B915="결제완료",$O915="스마트스토어"),ROUND(N($N915)*설정!$J$6,0),"")</f>
        <v/>
      </c>
      <c r="AI915" s="54" t="str">
        <f aca="false">IF($D915="","",ROW())</f>
        <v/>
      </c>
      <c r="AJ915" s="54" t="n">
        <f aca="false">IF(OR($AC915&lt;&gt;1,$M915=""),0,IF(ISNUMBER(SEARCH("퇴사",IFERROR(INDEX(강사DB!$G$4:$G$53,MATCH($M915,강사DB!$A$4:$A$53,0)),""))),1,0))</f>
        <v>0</v>
      </c>
    </row>
    <row r="916" customFormat="false" ht="15" hidden="false" customHeight="false" outlineLevel="0" collapsed="false">
      <c r="A916" s="45" t="str">
        <f aca="false">IF($D916="","",COUNTA($D$5:$D916))</f>
        <v/>
      </c>
      <c r="B916" s="46"/>
      <c r="C916" s="47"/>
      <c r="D916" s="48"/>
      <c r="E916" s="48"/>
      <c r="F916" s="49"/>
      <c r="G916" s="47"/>
      <c r="H916" s="50"/>
      <c r="I916" s="50"/>
      <c r="J916" s="51" t="str">
        <f aca="false">IF(OR($V916="",$W916=""),"",ROUND(($W916-$V916)/60,2))</f>
        <v/>
      </c>
      <c r="K916" s="52" t="str">
        <f aca="false">IF($F916="","",LEN($F916)-LEN(SUBSTITUTE($F916,",",""))+1)</f>
        <v/>
      </c>
      <c r="L916" s="45" t="str">
        <f aca="false">IF($K916="","","1:"&amp;$K916)</f>
        <v/>
      </c>
      <c r="M916" s="46"/>
      <c r="N916" s="53"/>
      <c r="O916" s="46"/>
      <c r="P916" s="47"/>
      <c r="Q916" s="48"/>
      <c r="R916" s="49"/>
      <c r="S916" s="54" t="str">
        <f aca="false">IF(OR($AC916=0,$U916="",$M916="",$V916="",$W916=""),"",IF(COUNTIFS(m_teacher,$M916,m_date,$U916,m_active,1,m_start,"&lt;"&amp;$W916,m_end,"&gt;"&amp;$V916)&gt;1,"충돌",""))</f>
        <v/>
      </c>
      <c r="T916" s="48"/>
      <c r="U916" s="55" t="str">
        <f aca="false">IF($G916="","",IFERROR(IF(ISNUMBER($G916),IF($G916&gt;19000000,DATE(INT($G916/10000),MOD(INT($G916/100),100),MOD($G916,100)),INT($G916)),IF(LEN(SUBSTITUTE(SUBSTITUTE(SUBSTITUTE(TRIM($G916),"-",""),".",""),"/",""))=8,DATE(VALUE(LEFT(SUBSTITUTE(SUBSTITUTE(SUBSTITUTE(TRIM($G916),"-",""),".",""),"/",""),4)),VALUE(MID(SUBSTITUTE(SUBSTITUTE(SUBSTITUTE(TRIM($G916),"-",""),".",""),"/",""),5,2)),VALUE(RIGHT(SUBSTITUTE(SUBSTITUTE(SUBSTITUTE(TRIM($G916),"-",""),".",""),"/",""),2))),DATEVALUE($G916))),""))</f>
        <v/>
      </c>
      <c r="V916" s="52" t="str">
        <f aca="false">IF($H916="","",IFERROR(IF(IF(ISNUMBER($H916),$H916,IFERROR(TIMEVALUE($H916),VALUE($H916)))&gt;=100,INT(IF(ISNUMBER($H916),$H916,IFERROR(TIMEVALUE($H916),VALUE($H916)))/100)*60+MOD(IF(ISNUMBER($H916),$H916,IFERROR(TIMEVALUE($H916),VALUE($H916))),100),IF(IF(ISNUMBER($H916),$H916,IFERROR(TIMEVALUE($H916),VALUE($H916)))&gt;=1,ROUND(IF(ISNUMBER($H916),$H916,IFERROR(TIMEVALUE($H916),VALUE($H916)))*60,0),ROUND(MOD(IF(ISNUMBER($H916),$H916,IFERROR(TIMEVALUE($H916),VALUE($H916))),1)*1440,0))),""))</f>
        <v/>
      </c>
      <c r="W916" s="52" t="str">
        <f aca="false">IF($I916="","",IFERROR(IF(IF(ISNUMBER($I916),$I916,IFERROR(TIMEVALUE($I916),VALUE($I916)))&gt;=100,INT(IF(ISNUMBER($I916),$I916,IFERROR(TIMEVALUE($I916),VALUE($I916)))/100)*60+MOD(IF(ISNUMBER($I916),$I916,IFERROR(TIMEVALUE($I916),VALUE($I916))),100),IF(IF(ISNUMBER($I916),$I916,IFERROR(TIMEVALUE($I916),VALUE($I916)))&gt;=1,ROUND(IF(ISNUMBER($I916),$I916,IFERROR(TIMEVALUE($I916),VALUE($I916)))*60,0),ROUND(MOD(IF(ISNUMBER($I916),$I916,IFERROR(TIMEVALUE($I916),VALUE($I916))),1)*1440,0))),""))</f>
        <v/>
      </c>
      <c r="X916" s="55" t="str">
        <f aca="false">IF($P916="","",IFERROR(IF(ISNUMBER($P916),IF($P916&gt;19000000,DATE(INT($P916/10000),MOD(INT($P916/100),100),MOD($P916,100)),INT($P916)),IF(LEN(SUBSTITUTE(SUBSTITUTE(SUBSTITUTE(TRIM($P916),"-",""),".",""),"/",""))=8,DATE(VALUE(LEFT(SUBSTITUTE(SUBSTITUTE(SUBSTITUTE(TRIM($P916),"-",""),".",""),"/",""),4)),VALUE(MID(SUBSTITUTE(SUBSTITUTE(SUBSTITUTE(TRIM($P916),"-",""),".",""),"/",""),5,2)),VALUE(RIGHT(SUBSTITUTE(SUBSTITUTE(SUBSTITUTE(TRIM($P916),"-",""),".",""),"/",""),2))),DATEVALUE($P916))),""))</f>
        <v/>
      </c>
      <c r="Y916" s="56" t="str">
        <f aca="false">IF($M916="","",IFERROR(INDEX(강사DB!$D$4:$D$53,MATCH($M916,강사DB!$A$4:$A$53,0)),""))</f>
        <v/>
      </c>
      <c r="Z916" s="56" t="str">
        <f aca="false">IF($B916&lt;&gt;"결제완료","",IF(OR($Y916="",$J916=""),"",$Y916*$J916+MAX(0,N($K916)-1)*설정!$J$7))</f>
        <v/>
      </c>
      <c r="AA916" s="56" t="str">
        <f aca="false">IF(AND($D916&lt;&gt;"",$B916="결제완료"),N($N916),"")</f>
        <v/>
      </c>
      <c r="AB916" s="45" t="str">
        <f aca="false">IF($D916="","",IF($F916&lt;&gt;"",$F916,$D916)&amp;IF($B916="상담중"," (상담)",""))</f>
        <v/>
      </c>
      <c r="AC916" s="45" t="n">
        <f aca="false">IF(AND($D916&lt;&gt;"",OR($B916="결제완료",$B916="상담중")),1,0)</f>
        <v>0</v>
      </c>
      <c r="AD916" s="45" t="n">
        <f aca="false">IF(OR($Z916="",$U916=""),0,IFERROR(IF(COUNTIFS(INDEX(g_grid,0,2*MATCH($M916,강사DB!$A$4:$A$15,0)),"&lt;&gt;",g_s,"&lt;="&amp;$U916,g_e,"&gt;="&amp;$U916)&gt;0,1,0),0))</f>
        <v>0</v>
      </c>
      <c r="AE916" s="48"/>
      <c r="AF916" s="56" t="str">
        <f aca="false">IF(AND($D916&lt;&gt;"",$B916="결제완료",$T916="대여"),설정!$J$5,"")</f>
        <v/>
      </c>
      <c r="AG916" s="54" t="str">
        <f aca="false">IF($D916="","",IF(AND($E916="",$R916=""),$AB916,"☎ "&amp;IF($E916="","-",$E916)&amp;IF($R916&lt;&gt;"","  ※ "&amp;$R916,"")&amp;IF($B916="상담중"," (상담)","")))</f>
        <v/>
      </c>
      <c r="AH916" s="56" t="str">
        <f aca="false">IF(AND($D916&lt;&gt;"",$B916="결제완료",$O916="스마트스토어"),ROUND(N($N916)*설정!$J$6,0),"")</f>
        <v/>
      </c>
      <c r="AI916" s="54" t="str">
        <f aca="false">IF($D916="","",ROW())</f>
        <v/>
      </c>
      <c r="AJ916" s="54" t="n">
        <f aca="false">IF(OR($AC916&lt;&gt;1,$M916=""),0,IF(ISNUMBER(SEARCH("퇴사",IFERROR(INDEX(강사DB!$G$4:$G$53,MATCH($M916,강사DB!$A$4:$A$53,0)),""))),1,0))</f>
        <v>0</v>
      </c>
    </row>
    <row r="917" customFormat="false" ht="15" hidden="false" customHeight="false" outlineLevel="0" collapsed="false">
      <c r="A917" s="45" t="str">
        <f aca="false">IF($D917="","",COUNTA($D$5:$D917))</f>
        <v/>
      </c>
      <c r="B917" s="46"/>
      <c r="C917" s="47"/>
      <c r="D917" s="48"/>
      <c r="E917" s="48"/>
      <c r="F917" s="49"/>
      <c r="G917" s="47"/>
      <c r="H917" s="50"/>
      <c r="I917" s="50"/>
      <c r="J917" s="51" t="str">
        <f aca="false">IF(OR($V917="",$W917=""),"",ROUND(($W917-$V917)/60,2))</f>
        <v/>
      </c>
      <c r="K917" s="52" t="str">
        <f aca="false">IF($F917="","",LEN($F917)-LEN(SUBSTITUTE($F917,",",""))+1)</f>
        <v/>
      </c>
      <c r="L917" s="45" t="str">
        <f aca="false">IF($K917="","","1:"&amp;$K917)</f>
        <v/>
      </c>
      <c r="M917" s="46"/>
      <c r="N917" s="53"/>
      <c r="O917" s="46"/>
      <c r="P917" s="47"/>
      <c r="Q917" s="48"/>
      <c r="R917" s="49"/>
      <c r="S917" s="54" t="str">
        <f aca="false">IF(OR($AC917=0,$U917="",$M917="",$V917="",$W917=""),"",IF(COUNTIFS(m_teacher,$M917,m_date,$U917,m_active,1,m_start,"&lt;"&amp;$W917,m_end,"&gt;"&amp;$V917)&gt;1,"충돌",""))</f>
        <v/>
      </c>
      <c r="T917" s="48"/>
      <c r="U917" s="55" t="str">
        <f aca="false">IF($G917="","",IFERROR(IF(ISNUMBER($G917),IF($G917&gt;19000000,DATE(INT($G917/10000),MOD(INT($G917/100),100),MOD($G917,100)),INT($G917)),IF(LEN(SUBSTITUTE(SUBSTITUTE(SUBSTITUTE(TRIM($G917),"-",""),".",""),"/",""))=8,DATE(VALUE(LEFT(SUBSTITUTE(SUBSTITUTE(SUBSTITUTE(TRIM($G917),"-",""),".",""),"/",""),4)),VALUE(MID(SUBSTITUTE(SUBSTITUTE(SUBSTITUTE(TRIM($G917),"-",""),".",""),"/",""),5,2)),VALUE(RIGHT(SUBSTITUTE(SUBSTITUTE(SUBSTITUTE(TRIM($G917),"-",""),".",""),"/",""),2))),DATEVALUE($G917))),""))</f>
        <v/>
      </c>
      <c r="V917" s="52" t="str">
        <f aca="false">IF($H917="","",IFERROR(IF(IF(ISNUMBER($H917),$H917,IFERROR(TIMEVALUE($H917),VALUE($H917)))&gt;=100,INT(IF(ISNUMBER($H917),$H917,IFERROR(TIMEVALUE($H917),VALUE($H917)))/100)*60+MOD(IF(ISNUMBER($H917),$H917,IFERROR(TIMEVALUE($H917),VALUE($H917))),100),IF(IF(ISNUMBER($H917),$H917,IFERROR(TIMEVALUE($H917),VALUE($H917)))&gt;=1,ROUND(IF(ISNUMBER($H917),$H917,IFERROR(TIMEVALUE($H917),VALUE($H917)))*60,0),ROUND(MOD(IF(ISNUMBER($H917),$H917,IFERROR(TIMEVALUE($H917),VALUE($H917))),1)*1440,0))),""))</f>
        <v/>
      </c>
      <c r="W917" s="52" t="str">
        <f aca="false">IF($I917="","",IFERROR(IF(IF(ISNUMBER($I917),$I917,IFERROR(TIMEVALUE($I917),VALUE($I917)))&gt;=100,INT(IF(ISNUMBER($I917),$I917,IFERROR(TIMEVALUE($I917),VALUE($I917)))/100)*60+MOD(IF(ISNUMBER($I917),$I917,IFERROR(TIMEVALUE($I917),VALUE($I917))),100),IF(IF(ISNUMBER($I917),$I917,IFERROR(TIMEVALUE($I917),VALUE($I917)))&gt;=1,ROUND(IF(ISNUMBER($I917),$I917,IFERROR(TIMEVALUE($I917),VALUE($I917)))*60,0),ROUND(MOD(IF(ISNUMBER($I917),$I917,IFERROR(TIMEVALUE($I917),VALUE($I917))),1)*1440,0))),""))</f>
        <v/>
      </c>
      <c r="X917" s="55" t="str">
        <f aca="false">IF($P917="","",IFERROR(IF(ISNUMBER($P917),IF($P917&gt;19000000,DATE(INT($P917/10000),MOD(INT($P917/100),100),MOD($P917,100)),INT($P917)),IF(LEN(SUBSTITUTE(SUBSTITUTE(SUBSTITUTE(TRIM($P917),"-",""),".",""),"/",""))=8,DATE(VALUE(LEFT(SUBSTITUTE(SUBSTITUTE(SUBSTITUTE(TRIM($P917),"-",""),".",""),"/",""),4)),VALUE(MID(SUBSTITUTE(SUBSTITUTE(SUBSTITUTE(TRIM($P917),"-",""),".",""),"/",""),5,2)),VALUE(RIGHT(SUBSTITUTE(SUBSTITUTE(SUBSTITUTE(TRIM($P917),"-",""),".",""),"/",""),2))),DATEVALUE($P917))),""))</f>
        <v/>
      </c>
      <c r="Y917" s="56" t="str">
        <f aca="false">IF($M917="","",IFERROR(INDEX(강사DB!$D$4:$D$53,MATCH($M917,강사DB!$A$4:$A$53,0)),""))</f>
        <v/>
      </c>
      <c r="Z917" s="56" t="str">
        <f aca="false">IF($B917&lt;&gt;"결제완료","",IF(OR($Y917="",$J917=""),"",$Y917*$J917+MAX(0,N($K917)-1)*설정!$J$7))</f>
        <v/>
      </c>
      <c r="AA917" s="56" t="str">
        <f aca="false">IF(AND($D917&lt;&gt;"",$B917="결제완료"),N($N917),"")</f>
        <v/>
      </c>
      <c r="AB917" s="45" t="str">
        <f aca="false">IF($D917="","",IF($F917&lt;&gt;"",$F917,$D917)&amp;IF($B917="상담중"," (상담)",""))</f>
        <v/>
      </c>
      <c r="AC917" s="45" t="n">
        <f aca="false">IF(AND($D917&lt;&gt;"",OR($B917="결제완료",$B917="상담중")),1,0)</f>
        <v>0</v>
      </c>
      <c r="AD917" s="45" t="n">
        <f aca="false">IF(OR($Z917="",$U917=""),0,IFERROR(IF(COUNTIFS(INDEX(g_grid,0,2*MATCH($M917,강사DB!$A$4:$A$15,0)),"&lt;&gt;",g_s,"&lt;="&amp;$U917,g_e,"&gt;="&amp;$U917)&gt;0,1,0),0))</f>
        <v>0</v>
      </c>
      <c r="AE917" s="48"/>
      <c r="AF917" s="56" t="str">
        <f aca="false">IF(AND($D917&lt;&gt;"",$B917="결제완료",$T917="대여"),설정!$J$5,"")</f>
        <v/>
      </c>
      <c r="AG917" s="54" t="str">
        <f aca="false">IF($D917="","",IF(AND($E917="",$R917=""),$AB917,"☎ "&amp;IF($E917="","-",$E917)&amp;IF($R917&lt;&gt;"","  ※ "&amp;$R917,"")&amp;IF($B917="상담중"," (상담)","")))</f>
        <v/>
      </c>
      <c r="AH917" s="56" t="str">
        <f aca="false">IF(AND($D917&lt;&gt;"",$B917="결제완료",$O917="스마트스토어"),ROUND(N($N917)*설정!$J$6,0),"")</f>
        <v/>
      </c>
      <c r="AI917" s="54" t="str">
        <f aca="false">IF($D917="","",ROW())</f>
        <v/>
      </c>
      <c r="AJ917" s="54" t="n">
        <f aca="false">IF(OR($AC917&lt;&gt;1,$M917=""),0,IF(ISNUMBER(SEARCH("퇴사",IFERROR(INDEX(강사DB!$G$4:$G$53,MATCH($M917,강사DB!$A$4:$A$53,0)),""))),1,0))</f>
        <v>0</v>
      </c>
    </row>
    <row r="918" customFormat="false" ht="15" hidden="false" customHeight="false" outlineLevel="0" collapsed="false">
      <c r="A918" s="45" t="str">
        <f aca="false">IF($D918="","",COUNTA($D$5:$D918))</f>
        <v/>
      </c>
      <c r="B918" s="46"/>
      <c r="C918" s="47"/>
      <c r="D918" s="48"/>
      <c r="E918" s="48"/>
      <c r="F918" s="49"/>
      <c r="G918" s="47"/>
      <c r="H918" s="50"/>
      <c r="I918" s="50"/>
      <c r="J918" s="51" t="str">
        <f aca="false">IF(OR($V918="",$W918=""),"",ROUND(($W918-$V918)/60,2))</f>
        <v/>
      </c>
      <c r="K918" s="52" t="str">
        <f aca="false">IF($F918="","",LEN($F918)-LEN(SUBSTITUTE($F918,",",""))+1)</f>
        <v/>
      </c>
      <c r="L918" s="45" t="str">
        <f aca="false">IF($K918="","","1:"&amp;$K918)</f>
        <v/>
      </c>
      <c r="M918" s="46"/>
      <c r="N918" s="53"/>
      <c r="O918" s="46"/>
      <c r="P918" s="47"/>
      <c r="Q918" s="48"/>
      <c r="R918" s="49"/>
      <c r="S918" s="54" t="str">
        <f aca="false">IF(OR($AC918=0,$U918="",$M918="",$V918="",$W918=""),"",IF(COUNTIFS(m_teacher,$M918,m_date,$U918,m_active,1,m_start,"&lt;"&amp;$W918,m_end,"&gt;"&amp;$V918)&gt;1,"충돌",""))</f>
        <v/>
      </c>
      <c r="T918" s="48"/>
      <c r="U918" s="55" t="str">
        <f aca="false">IF($G918="","",IFERROR(IF(ISNUMBER($G918),IF($G918&gt;19000000,DATE(INT($G918/10000),MOD(INT($G918/100),100),MOD($G918,100)),INT($G918)),IF(LEN(SUBSTITUTE(SUBSTITUTE(SUBSTITUTE(TRIM($G918),"-",""),".",""),"/",""))=8,DATE(VALUE(LEFT(SUBSTITUTE(SUBSTITUTE(SUBSTITUTE(TRIM($G918),"-",""),".",""),"/",""),4)),VALUE(MID(SUBSTITUTE(SUBSTITUTE(SUBSTITUTE(TRIM($G918),"-",""),".",""),"/",""),5,2)),VALUE(RIGHT(SUBSTITUTE(SUBSTITUTE(SUBSTITUTE(TRIM($G918),"-",""),".",""),"/",""),2))),DATEVALUE($G918))),""))</f>
        <v/>
      </c>
      <c r="V918" s="52" t="str">
        <f aca="false">IF($H918="","",IFERROR(IF(IF(ISNUMBER($H918),$H918,IFERROR(TIMEVALUE($H918),VALUE($H918)))&gt;=100,INT(IF(ISNUMBER($H918),$H918,IFERROR(TIMEVALUE($H918),VALUE($H918)))/100)*60+MOD(IF(ISNUMBER($H918),$H918,IFERROR(TIMEVALUE($H918),VALUE($H918))),100),IF(IF(ISNUMBER($H918),$H918,IFERROR(TIMEVALUE($H918),VALUE($H918)))&gt;=1,ROUND(IF(ISNUMBER($H918),$H918,IFERROR(TIMEVALUE($H918),VALUE($H918)))*60,0),ROUND(MOD(IF(ISNUMBER($H918),$H918,IFERROR(TIMEVALUE($H918),VALUE($H918))),1)*1440,0))),""))</f>
        <v/>
      </c>
      <c r="W918" s="52" t="str">
        <f aca="false">IF($I918="","",IFERROR(IF(IF(ISNUMBER($I918),$I918,IFERROR(TIMEVALUE($I918),VALUE($I918)))&gt;=100,INT(IF(ISNUMBER($I918),$I918,IFERROR(TIMEVALUE($I918),VALUE($I918)))/100)*60+MOD(IF(ISNUMBER($I918),$I918,IFERROR(TIMEVALUE($I918),VALUE($I918))),100),IF(IF(ISNUMBER($I918),$I918,IFERROR(TIMEVALUE($I918),VALUE($I918)))&gt;=1,ROUND(IF(ISNUMBER($I918),$I918,IFERROR(TIMEVALUE($I918),VALUE($I918)))*60,0),ROUND(MOD(IF(ISNUMBER($I918),$I918,IFERROR(TIMEVALUE($I918),VALUE($I918))),1)*1440,0))),""))</f>
        <v/>
      </c>
      <c r="X918" s="55" t="str">
        <f aca="false">IF($P918="","",IFERROR(IF(ISNUMBER($P918),IF($P918&gt;19000000,DATE(INT($P918/10000),MOD(INT($P918/100),100),MOD($P918,100)),INT($P918)),IF(LEN(SUBSTITUTE(SUBSTITUTE(SUBSTITUTE(TRIM($P918),"-",""),".",""),"/",""))=8,DATE(VALUE(LEFT(SUBSTITUTE(SUBSTITUTE(SUBSTITUTE(TRIM($P918),"-",""),".",""),"/",""),4)),VALUE(MID(SUBSTITUTE(SUBSTITUTE(SUBSTITUTE(TRIM($P918),"-",""),".",""),"/",""),5,2)),VALUE(RIGHT(SUBSTITUTE(SUBSTITUTE(SUBSTITUTE(TRIM($P918),"-",""),".",""),"/",""),2))),DATEVALUE($P918))),""))</f>
        <v/>
      </c>
      <c r="Y918" s="56" t="str">
        <f aca="false">IF($M918="","",IFERROR(INDEX(강사DB!$D$4:$D$53,MATCH($M918,강사DB!$A$4:$A$53,0)),""))</f>
        <v/>
      </c>
      <c r="Z918" s="56" t="str">
        <f aca="false">IF($B918&lt;&gt;"결제완료","",IF(OR($Y918="",$J918=""),"",$Y918*$J918+MAX(0,N($K918)-1)*설정!$J$7))</f>
        <v/>
      </c>
      <c r="AA918" s="56" t="str">
        <f aca="false">IF(AND($D918&lt;&gt;"",$B918="결제완료"),N($N918),"")</f>
        <v/>
      </c>
      <c r="AB918" s="45" t="str">
        <f aca="false">IF($D918="","",IF($F918&lt;&gt;"",$F918,$D918)&amp;IF($B918="상담중"," (상담)",""))</f>
        <v/>
      </c>
      <c r="AC918" s="45" t="n">
        <f aca="false">IF(AND($D918&lt;&gt;"",OR($B918="결제완료",$B918="상담중")),1,0)</f>
        <v>0</v>
      </c>
      <c r="AD918" s="45" t="n">
        <f aca="false">IF(OR($Z918="",$U918=""),0,IFERROR(IF(COUNTIFS(INDEX(g_grid,0,2*MATCH($M918,강사DB!$A$4:$A$15,0)),"&lt;&gt;",g_s,"&lt;="&amp;$U918,g_e,"&gt;="&amp;$U918)&gt;0,1,0),0))</f>
        <v>0</v>
      </c>
      <c r="AE918" s="48"/>
      <c r="AF918" s="56" t="str">
        <f aca="false">IF(AND($D918&lt;&gt;"",$B918="결제완료",$T918="대여"),설정!$J$5,"")</f>
        <v/>
      </c>
      <c r="AG918" s="54" t="str">
        <f aca="false">IF($D918="","",IF(AND($E918="",$R918=""),$AB918,"☎ "&amp;IF($E918="","-",$E918)&amp;IF($R918&lt;&gt;"","  ※ "&amp;$R918,"")&amp;IF($B918="상담중"," (상담)","")))</f>
        <v/>
      </c>
      <c r="AH918" s="56" t="str">
        <f aca="false">IF(AND($D918&lt;&gt;"",$B918="결제완료",$O918="스마트스토어"),ROUND(N($N918)*설정!$J$6,0),"")</f>
        <v/>
      </c>
      <c r="AI918" s="54" t="str">
        <f aca="false">IF($D918="","",ROW())</f>
        <v/>
      </c>
      <c r="AJ918" s="54" t="n">
        <f aca="false">IF(OR($AC918&lt;&gt;1,$M918=""),0,IF(ISNUMBER(SEARCH("퇴사",IFERROR(INDEX(강사DB!$G$4:$G$53,MATCH($M918,강사DB!$A$4:$A$53,0)),""))),1,0))</f>
        <v>0</v>
      </c>
    </row>
    <row r="919" customFormat="false" ht="15" hidden="false" customHeight="false" outlineLevel="0" collapsed="false">
      <c r="A919" s="45" t="str">
        <f aca="false">IF($D919="","",COUNTA($D$5:$D919))</f>
        <v/>
      </c>
      <c r="B919" s="46"/>
      <c r="C919" s="47"/>
      <c r="D919" s="48"/>
      <c r="E919" s="48"/>
      <c r="F919" s="49"/>
      <c r="G919" s="47"/>
      <c r="H919" s="50"/>
      <c r="I919" s="50"/>
      <c r="J919" s="51" t="str">
        <f aca="false">IF(OR($V919="",$W919=""),"",ROUND(($W919-$V919)/60,2))</f>
        <v/>
      </c>
      <c r="K919" s="52" t="str">
        <f aca="false">IF($F919="","",LEN($F919)-LEN(SUBSTITUTE($F919,",",""))+1)</f>
        <v/>
      </c>
      <c r="L919" s="45" t="str">
        <f aca="false">IF($K919="","","1:"&amp;$K919)</f>
        <v/>
      </c>
      <c r="M919" s="46"/>
      <c r="N919" s="53"/>
      <c r="O919" s="46"/>
      <c r="P919" s="47"/>
      <c r="Q919" s="48"/>
      <c r="R919" s="49"/>
      <c r="S919" s="54" t="str">
        <f aca="false">IF(OR($AC919=0,$U919="",$M919="",$V919="",$W919=""),"",IF(COUNTIFS(m_teacher,$M919,m_date,$U919,m_active,1,m_start,"&lt;"&amp;$W919,m_end,"&gt;"&amp;$V919)&gt;1,"충돌",""))</f>
        <v/>
      </c>
      <c r="T919" s="48"/>
      <c r="U919" s="55" t="str">
        <f aca="false">IF($G919="","",IFERROR(IF(ISNUMBER($G919),IF($G919&gt;19000000,DATE(INT($G919/10000),MOD(INT($G919/100),100),MOD($G919,100)),INT($G919)),IF(LEN(SUBSTITUTE(SUBSTITUTE(SUBSTITUTE(TRIM($G919),"-",""),".",""),"/",""))=8,DATE(VALUE(LEFT(SUBSTITUTE(SUBSTITUTE(SUBSTITUTE(TRIM($G919),"-",""),".",""),"/",""),4)),VALUE(MID(SUBSTITUTE(SUBSTITUTE(SUBSTITUTE(TRIM($G919),"-",""),".",""),"/",""),5,2)),VALUE(RIGHT(SUBSTITUTE(SUBSTITUTE(SUBSTITUTE(TRIM($G919),"-",""),".",""),"/",""),2))),DATEVALUE($G919))),""))</f>
        <v/>
      </c>
      <c r="V919" s="52" t="str">
        <f aca="false">IF($H919="","",IFERROR(IF(IF(ISNUMBER($H919),$H919,IFERROR(TIMEVALUE($H919),VALUE($H919)))&gt;=100,INT(IF(ISNUMBER($H919),$H919,IFERROR(TIMEVALUE($H919),VALUE($H919)))/100)*60+MOD(IF(ISNUMBER($H919),$H919,IFERROR(TIMEVALUE($H919),VALUE($H919))),100),IF(IF(ISNUMBER($H919),$H919,IFERROR(TIMEVALUE($H919),VALUE($H919)))&gt;=1,ROUND(IF(ISNUMBER($H919),$H919,IFERROR(TIMEVALUE($H919),VALUE($H919)))*60,0),ROUND(MOD(IF(ISNUMBER($H919),$H919,IFERROR(TIMEVALUE($H919),VALUE($H919))),1)*1440,0))),""))</f>
        <v/>
      </c>
      <c r="W919" s="52" t="str">
        <f aca="false">IF($I919="","",IFERROR(IF(IF(ISNUMBER($I919),$I919,IFERROR(TIMEVALUE($I919),VALUE($I919)))&gt;=100,INT(IF(ISNUMBER($I919),$I919,IFERROR(TIMEVALUE($I919),VALUE($I919)))/100)*60+MOD(IF(ISNUMBER($I919),$I919,IFERROR(TIMEVALUE($I919),VALUE($I919))),100),IF(IF(ISNUMBER($I919),$I919,IFERROR(TIMEVALUE($I919),VALUE($I919)))&gt;=1,ROUND(IF(ISNUMBER($I919),$I919,IFERROR(TIMEVALUE($I919),VALUE($I919)))*60,0),ROUND(MOD(IF(ISNUMBER($I919),$I919,IFERROR(TIMEVALUE($I919),VALUE($I919))),1)*1440,0))),""))</f>
        <v/>
      </c>
      <c r="X919" s="55" t="str">
        <f aca="false">IF($P919="","",IFERROR(IF(ISNUMBER($P919),IF($P919&gt;19000000,DATE(INT($P919/10000),MOD(INT($P919/100),100),MOD($P919,100)),INT($P919)),IF(LEN(SUBSTITUTE(SUBSTITUTE(SUBSTITUTE(TRIM($P919),"-",""),".",""),"/",""))=8,DATE(VALUE(LEFT(SUBSTITUTE(SUBSTITUTE(SUBSTITUTE(TRIM($P919),"-",""),".",""),"/",""),4)),VALUE(MID(SUBSTITUTE(SUBSTITUTE(SUBSTITUTE(TRIM($P919),"-",""),".",""),"/",""),5,2)),VALUE(RIGHT(SUBSTITUTE(SUBSTITUTE(SUBSTITUTE(TRIM($P919),"-",""),".",""),"/",""),2))),DATEVALUE($P919))),""))</f>
        <v/>
      </c>
      <c r="Y919" s="56" t="str">
        <f aca="false">IF($M919="","",IFERROR(INDEX(강사DB!$D$4:$D$53,MATCH($M919,강사DB!$A$4:$A$53,0)),""))</f>
        <v/>
      </c>
      <c r="Z919" s="56" t="str">
        <f aca="false">IF($B919&lt;&gt;"결제완료","",IF(OR($Y919="",$J919=""),"",$Y919*$J919+MAX(0,N($K919)-1)*설정!$J$7))</f>
        <v/>
      </c>
      <c r="AA919" s="56" t="str">
        <f aca="false">IF(AND($D919&lt;&gt;"",$B919="결제완료"),N($N919),"")</f>
        <v/>
      </c>
      <c r="AB919" s="45" t="str">
        <f aca="false">IF($D919="","",IF($F919&lt;&gt;"",$F919,$D919)&amp;IF($B919="상담중"," (상담)",""))</f>
        <v/>
      </c>
      <c r="AC919" s="45" t="n">
        <f aca="false">IF(AND($D919&lt;&gt;"",OR($B919="결제완료",$B919="상담중")),1,0)</f>
        <v>0</v>
      </c>
      <c r="AD919" s="45" t="n">
        <f aca="false">IF(OR($Z919="",$U919=""),0,IFERROR(IF(COUNTIFS(INDEX(g_grid,0,2*MATCH($M919,강사DB!$A$4:$A$15,0)),"&lt;&gt;",g_s,"&lt;="&amp;$U919,g_e,"&gt;="&amp;$U919)&gt;0,1,0),0))</f>
        <v>0</v>
      </c>
      <c r="AE919" s="48"/>
      <c r="AF919" s="56" t="str">
        <f aca="false">IF(AND($D919&lt;&gt;"",$B919="결제완료",$T919="대여"),설정!$J$5,"")</f>
        <v/>
      </c>
      <c r="AG919" s="54" t="str">
        <f aca="false">IF($D919="","",IF(AND($E919="",$R919=""),$AB919,"☎ "&amp;IF($E919="","-",$E919)&amp;IF($R919&lt;&gt;"","  ※ "&amp;$R919,"")&amp;IF($B919="상담중"," (상담)","")))</f>
        <v/>
      </c>
      <c r="AH919" s="56" t="str">
        <f aca="false">IF(AND($D919&lt;&gt;"",$B919="결제완료",$O919="스마트스토어"),ROUND(N($N919)*설정!$J$6,0),"")</f>
        <v/>
      </c>
      <c r="AI919" s="54" t="str">
        <f aca="false">IF($D919="","",ROW())</f>
        <v/>
      </c>
      <c r="AJ919" s="54" t="n">
        <f aca="false">IF(OR($AC919&lt;&gt;1,$M919=""),0,IF(ISNUMBER(SEARCH("퇴사",IFERROR(INDEX(강사DB!$G$4:$G$53,MATCH($M919,강사DB!$A$4:$A$53,0)),""))),1,0))</f>
        <v>0</v>
      </c>
    </row>
    <row r="920" customFormat="false" ht="15" hidden="false" customHeight="false" outlineLevel="0" collapsed="false">
      <c r="A920" s="45" t="str">
        <f aca="false">IF($D920="","",COUNTA($D$5:$D920))</f>
        <v/>
      </c>
      <c r="B920" s="46"/>
      <c r="C920" s="47"/>
      <c r="D920" s="48"/>
      <c r="E920" s="48"/>
      <c r="F920" s="49"/>
      <c r="G920" s="47"/>
      <c r="H920" s="50"/>
      <c r="I920" s="50"/>
      <c r="J920" s="51" t="str">
        <f aca="false">IF(OR($V920="",$W920=""),"",ROUND(($W920-$V920)/60,2))</f>
        <v/>
      </c>
      <c r="K920" s="52" t="str">
        <f aca="false">IF($F920="","",LEN($F920)-LEN(SUBSTITUTE($F920,",",""))+1)</f>
        <v/>
      </c>
      <c r="L920" s="45" t="str">
        <f aca="false">IF($K920="","","1:"&amp;$K920)</f>
        <v/>
      </c>
      <c r="M920" s="46"/>
      <c r="N920" s="53"/>
      <c r="O920" s="46"/>
      <c r="P920" s="47"/>
      <c r="Q920" s="48"/>
      <c r="R920" s="49"/>
      <c r="S920" s="54" t="str">
        <f aca="false">IF(OR($AC920=0,$U920="",$M920="",$V920="",$W920=""),"",IF(COUNTIFS(m_teacher,$M920,m_date,$U920,m_active,1,m_start,"&lt;"&amp;$W920,m_end,"&gt;"&amp;$V920)&gt;1,"충돌",""))</f>
        <v/>
      </c>
      <c r="T920" s="48"/>
      <c r="U920" s="55" t="str">
        <f aca="false">IF($G920="","",IFERROR(IF(ISNUMBER($G920),IF($G920&gt;19000000,DATE(INT($G920/10000),MOD(INT($G920/100),100),MOD($G920,100)),INT($G920)),IF(LEN(SUBSTITUTE(SUBSTITUTE(SUBSTITUTE(TRIM($G920),"-",""),".",""),"/",""))=8,DATE(VALUE(LEFT(SUBSTITUTE(SUBSTITUTE(SUBSTITUTE(TRIM($G920),"-",""),".",""),"/",""),4)),VALUE(MID(SUBSTITUTE(SUBSTITUTE(SUBSTITUTE(TRIM($G920),"-",""),".",""),"/",""),5,2)),VALUE(RIGHT(SUBSTITUTE(SUBSTITUTE(SUBSTITUTE(TRIM($G920),"-",""),".",""),"/",""),2))),DATEVALUE($G920))),""))</f>
        <v/>
      </c>
      <c r="V920" s="52" t="str">
        <f aca="false">IF($H920="","",IFERROR(IF(IF(ISNUMBER($H920),$H920,IFERROR(TIMEVALUE($H920),VALUE($H920)))&gt;=100,INT(IF(ISNUMBER($H920),$H920,IFERROR(TIMEVALUE($H920),VALUE($H920)))/100)*60+MOD(IF(ISNUMBER($H920),$H920,IFERROR(TIMEVALUE($H920),VALUE($H920))),100),IF(IF(ISNUMBER($H920),$H920,IFERROR(TIMEVALUE($H920),VALUE($H920)))&gt;=1,ROUND(IF(ISNUMBER($H920),$H920,IFERROR(TIMEVALUE($H920),VALUE($H920)))*60,0),ROUND(MOD(IF(ISNUMBER($H920),$H920,IFERROR(TIMEVALUE($H920),VALUE($H920))),1)*1440,0))),""))</f>
        <v/>
      </c>
      <c r="W920" s="52" t="str">
        <f aca="false">IF($I920="","",IFERROR(IF(IF(ISNUMBER($I920),$I920,IFERROR(TIMEVALUE($I920),VALUE($I920)))&gt;=100,INT(IF(ISNUMBER($I920),$I920,IFERROR(TIMEVALUE($I920),VALUE($I920)))/100)*60+MOD(IF(ISNUMBER($I920),$I920,IFERROR(TIMEVALUE($I920),VALUE($I920))),100),IF(IF(ISNUMBER($I920),$I920,IFERROR(TIMEVALUE($I920),VALUE($I920)))&gt;=1,ROUND(IF(ISNUMBER($I920),$I920,IFERROR(TIMEVALUE($I920),VALUE($I920)))*60,0),ROUND(MOD(IF(ISNUMBER($I920),$I920,IFERROR(TIMEVALUE($I920),VALUE($I920))),1)*1440,0))),""))</f>
        <v/>
      </c>
      <c r="X920" s="55" t="str">
        <f aca="false">IF($P920="","",IFERROR(IF(ISNUMBER($P920),IF($P920&gt;19000000,DATE(INT($P920/10000),MOD(INT($P920/100),100),MOD($P920,100)),INT($P920)),IF(LEN(SUBSTITUTE(SUBSTITUTE(SUBSTITUTE(TRIM($P920),"-",""),".",""),"/",""))=8,DATE(VALUE(LEFT(SUBSTITUTE(SUBSTITUTE(SUBSTITUTE(TRIM($P920),"-",""),".",""),"/",""),4)),VALUE(MID(SUBSTITUTE(SUBSTITUTE(SUBSTITUTE(TRIM($P920),"-",""),".",""),"/",""),5,2)),VALUE(RIGHT(SUBSTITUTE(SUBSTITUTE(SUBSTITUTE(TRIM($P920),"-",""),".",""),"/",""),2))),DATEVALUE($P920))),""))</f>
        <v/>
      </c>
      <c r="Y920" s="56" t="str">
        <f aca="false">IF($M920="","",IFERROR(INDEX(강사DB!$D$4:$D$53,MATCH($M920,강사DB!$A$4:$A$53,0)),""))</f>
        <v/>
      </c>
      <c r="Z920" s="56" t="str">
        <f aca="false">IF($B920&lt;&gt;"결제완료","",IF(OR($Y920="",$J920=""),"",$Y920*$J920+MAX(0,N($K920)-1)*설정!$J$7))</f>
        <v/>
      </c>
      <c r="AA920" s="56" t="str">
        <f aca="false">IF(AND($D920&lt;&gt;"",$B920="결제완료"),N($N920),"")</f>
        <v/>
      </c>
      <c r="AB920" s="45" t="str">
        <f aca="false">IF($D920="","",IF($F920&lt;&gt;"",$F920,$D920)&amp;IF($B920="상담중"," (상담)",""))</f>
        <v/>
      </c>
      <c r="AC920" s="45" t="n">
        <f aca="false">IF(AND($D920&lt;&gt;"",OR($B920="결제완료",$B920="상담중")),1,0)</f>
        <v>0</v>
      </c>
      <c r="AD920" s="45" t="n">
        <f aca="false">IF(OR($Z920="",$U920=""),0,IFERROR(IF(COUNTIFS(INDEX(g_grid,0,2*MATCH($M920,강사DB!$A$4:$A$15,0)),"&lt;&gt;",g_s,"&lt;="&amp;$U920,g_e,"&gt;="&amp;$U920)&gt;0,1,0),0))</f>
        <v>0</v>
      </c>
      <c r="AE920" s="48"/>
      <c r="AF920" s="56" t="str">
        <f aca="false">IF(AND($D920&lt;&gt;"",$B920="결제완료",$T920="대여"),설정!$J$5,"")</f>
        <v/>
      </c>
      <c r="AG920" s="54" t="str">
        <f aca="false">IF($D920="","",IF(AND($E920="",$R920=""),$AB920,"☎ "&amp;IF($E920="","-",$E920)&amp;IF($R920&lt;&gt;"","  ※ "&amp;$R920,"")&amp;IF($B920="상담중"," (상담)","")))</f>
        <v/>
      </c>
      <c r="AH920" s="56" t="str">
        <f aca="false">IF(AND($D920&lt;&gt;"",$B920="결제완료",$O920="스마트스토어"),ROUND(N($N920)*설정!$J$6,0),"")</f>
        <v/>
      </c>
      <c r="AI920" s="54" t="str">
        <f aca="false">IF($D920="","",ROW())</f>
        <v/>
      </c>
      <c r="AJ920" s="54" t="n">
        <f aca="false">IF(OR($AC920&lt;&gt;1,$M920=""),0,IF(ISNUMBER(SEARCH("퇴사",IFERROR(INDEX(강사DB!$G$4:$G$53,MATCH($M920,강사DB!$A$4:$A$53,0)),""))),1,0))</f>
        <v>0</v>
      </c>
    </row>
    <row r="921" customFormat="false" ht="15" hidden="false" customHeight="false" outlineLevel="0" collapsed="false">
      <c r="A921" s="45" t="str">
        <f aca="false">IF($D921="","",COUNTA($D$5:$D921))</f>
        <v/>
      </c>
      <c r="B921" s="46"/>
      <c r="C921" s="47"/>
      <c r="D921" s="48"/>
      <c r="E921" s="48"/>
      <c r="F921" s="49"/>
      <c r="G921" s="47"/>
      <c r="H921" s="50"/>
      <c r="I921" s="50"/>
      <c r="J921" s="51" t="str">
        <f aca="false">IF(OR($V921="",$W921=""),"",ROUND(($W921-$V921)/60,2))</f>
        <v/>
      </c>
      <c r="K921" s="52" t="str">
        <f aca="false">IF($F921="","",LEN($F921)-LEN(SUBSTITUTE($F921,",",""))+1)</f>
        <v/>
      </c>
      <c r="L921" s="45" t="str">
        <f aca="false">IF($K921="","","1:"&amp;$K921)</f>
        <v/>
      </c>
      <c r="M921" s="46"/>
      <c r="N921" s="53"/>
      <c r="O921" s="46"/>
      <c r="P921" s="47"/>
      <c r="Q921" s="48"/>
      <c r="R921" s="49"/>
      <c r="S921" s="54" t="str">
        <f aca="false">IF(OR($AC921=0,$U921="",$M921="",$V921="",$W921=""),"",IF(COUNTIFS(m_teacher,$M921,m_date,$U921,m_active,1,m_start,"&lt;"&amp;$W921,m_end,"&gt;"&amp;$V921)&gt;1,"충돌",""))</f>
        <v/>
      </c>
      <c r="T921" s="48"/>
      <c r="U921" s="55" t="str">
        <f aca="false">IF($G921="","",IFERROR(IF(ISNUMBER($G921),IF($G921&gt;19000000,DATE(INT($G921/10000),MOD(INT($G921/100),100),MOD($G921,100)),INT($G921)),IF(LEN(SUBSTITUTE(SUBSTITUTE(SUBSTITUTE(TRIM($G921),"-",""),".",""),"/",""))=8,DATE(VALUE(LEFT(SUBSTITUTE(SUBSTITUTE(SUBSTITUTE(TRIM($G921),"-",""),".",""),"/",""),4)),VALUE(MID(SUBSTITUTE(SUBSTITUTE(SUBSTITUTE(TRIM($G921),"-",""),".",""),"/",""),5,2)),VALUE(RIGHT(SUBSTITUTE(SUBSTITUTE(SUBSTITUTE(TRIM($G921),"-",""),".",""),"/",""),2))),DATEVALUE($G921))),""))</f>
        <v/>
      </c>
      <c r="V921" s="52" t="str">
        <f aca="false">IF($H921="","",IFERROR(IF(IF(ISNUMBER($H921),$H921,IFERROR(TIMEVALUE($H921),VALUE($H921)))&gt;=100,INT(IF(ISNUMBER($H921),$H921,IFERROR(TIMEVALUE($H921),VALUE($H921)))/100)*60+MOD(IF(ISNUMBER($H921),$H921,IFERROR(TIMEVALUE($H921),VALUE($H921))),100),IF(IF(ISNUMBER($H921),$H921,IFERROR(TIMEVALUE($H921),VALUE($H921)))&gt;=1,ROUND(IF(ISNUMBER($H921),$H921,IFERROR(TIMEVALUE($H921),VALUE($H921)))*60,0),ROUND(MOD(IF(ISNUMBER($H921),$H921,IFERROR(TIMEVALUE($H921),VALUE($H921))),1)*1440,0))),""))</f>
        <v/>
      </c>
      <c r="W921" s="52" t="str">
        <f aca="false">IF($I921="","",IFERROR(IF(IF(ISNUMBER($I921),$I921,IFERROR(TIMEVALUE($I921),VALUE($I921)))&gt;=100,INT(IF(ISNUMBER($I921),$I921,IFERROR(TIMEVALUE($I921),VALUE($I921)))/100)*60+MOD(IF(ISNUMBER($I921),$I921,IFERROR(TIMEVALUE($I921),VALUE($I921))),100),IF(IF(ISNUMBER($I921),$I921,IFERROR(TIMEVALUE($I921),VALUE($I921)))&gt;=1,ROUND(IF(ISNUMBER($I921),$I921,IFERROR(TIMEVALUE($I921),VALUE($I921)))*60,0),ROUND(MOD(IF(ISNUMBER($I921),$I921,IFERROR(TIMEVALUE($I921),VALUE($I921))),1)*1440,0))),""))</f>
        <v/>
      </c>
      <c r="X921" s="55" t="str">
        <f aca="false">IF($P921="","",IFERROR(IF(ISNUMBER($P921),IF($P921&gt;19000000,DATE(INT($P921/10000),MOD(INT($P921/100),100),MOD($P921,100)),INT($P921)),IF(LEN(SUBSTITUTE(SUBSTITUTE(SUBSTITUTE(TRIM($P921),"-",""),".",""),"/",""))=8,DATE(VALUE(LEFT(SUBSTITUTE(SUBSTITUTE(SUBSTITUTE(TRIM($P921),"-",""),".",""),"/",""),4)),VALUE(MID(SUBSTITUTE(SUBSTITUTE(SUBSTITUTE(TRIM($P921),"-",""),".",""),"/",""),5,2)),VALUE(RIGHT(SUBSTITUTE(SUBSTITUTE(SUBSTITUTE(TRIM($P921),"-",""),".",""),"/",""),2))),DATEVALUE($P921))),""))</f>
        <v/>
      </c>
      <c r="Y921" s="56" t="str">
        <f aca="false">IF($M921="","",IFERROR(INDEX(강사DB!$D$4:$D$53,MATCH($M921,강사DB!$A$4:$A$53,0)),""))</f>
        <v/>
      </c>
      <c r="Z921" s="56" t="str">
        <f aca="false">IF($B921&lt;&gt;"결제완료","",IF(OR($Y921="",$J921=""),"",$Y921*$J921+MAX(0,N($K921)-1)*설정!$J$7))</f>
        <v/>
      </c>
      <c r="AA921" s="56" t="str">
        <f aca="false">IF(AND($D921&lt;&gt;"",$B921="결제완료"),N($N921),"")</f>
        <v/>
      </c>
      <c r="AB921" s="45" t="str">
        <f aca="false">IF($D921="","",IF($F921&lt;&gt;"",$F921,$D921)&amp;IF($B921="상담중"," (상담)",""))</f>
        <v/>
      </c>
      <c r="AC921" s="45" t="n">
        <f aca="false">IF(AND($D921&lt;&gt;"",OR($B921="결제완료",$B921="상담중")),1,0)</f>
        <v>0</v>
      </c>
      <c r="AD921" s="45" t="n">
        <f aca="false">IF(OR($Z921="",$U921=""),0,IFERROR(IF(COUNTIFS(INDEX(g_grid,0,2*MATCH($M921,강사DB!$A$4:$A$15,0)),"&lt;&gt;",g_s,"&lt;="&amp;$U921,g_e,"&gt;="&amp;$U921)&gt;0,1,0),0))</f>
        <v>0</v>
      </c>
      <c r="AE921" s="48"/>
      <c r="AF921" s="56" t="str">
        <f aca="false">IF(AND($D921&lt;&gt;"",$B921="결제완료",$T921="대여"),설정!$J$5,"")</f>
        <v/>
      </c>
      <c r="AG921" s="54" t="str">
        <f aca="false">IF($D921="","",IF(AND($E921="",$R921=""),$AB921,"☎ "&amp;IF($E921="","-",$E921)&amp;IF($R921&lt;&gt;"","  ※ "&amp;$R921,"")&amp;IF($B921="상담중"," (상담)","")))</f>
        <v/>
      </c>
      <c r="AH921" s="56" t="str">
        <f aca="false">IF(AND($D921&lt;&gt;"",$B921="결제완료",$O921="스마트스토어"),ROUND(N($N921)*설정!$J$6,0),"")</f>
        <v/>
      </c>
      <c r="AI921" s="54" t="str">
        <f aca="false">IF($D921="","",ROW())</f>
        <v/>
      </c>
      <c r="AJ921" s="54" t="n">
        <f aca="false">IF(OR($AC921&lt;&gt;1,$M921=""),0,IF(ISNUMBER(SEARCH("퇴사",IFERROR(INDEX(강사DB!$G$4:$G$53,MATCH($M921,강사DB!$A$4:$A$53,0)),""))),1,0))</f>
        <v>0</v>
      </c>
    </row>
    <row r="922" customFormat="false" ht="15" hidden="false" customHeight="false" outlineLevel="0" collapsed="false">
      <c r="A922" s="45" t="str">
        <f aca="false">IF($D922="","",COUNTA($D$5:$D922))</f>
        <v/>
      </c>
      <c r="B922" s="46"/>
      <c r="C922" s="47"/>
      <c r="D922" s="48"/>
      <c r="E922" s="48"/>
      <c r="F922" s="49"/>
      <c r="G922" s="47"/>
      <c r="H922" s="50"/>
      <c r="I922" s="50"/>
      <c r="J922" s="51" t="str">
        <f aca="false">IF(OR($V922="",$W922=""),"",ROUND(($W922-$V922)/60,2))</f>
        <v/>
      </c>
      <c r="K922" s="52" t="str">
        <f aca="false">IF($F922="","",LEN($F922)-LEN(SUBSTITUTE($F922,",",""))+1)</f>
        <v/>
      </c>
      <c r="L922" s="45" t="str">
        <f aca="false">IF($K922="","","1:"&amp;$K922)</f>
        <v/>
      </c>
      <c r="M922" s="46"/>
      <c r="N922" s="53"/>
      <c r="O922" s="46"/>
      <c r="P922" s="47"/>
      <c r="Q922" s="48"/>
      <c r="R922" s="49"/>
      <c r="S922" s="54" t="str">
        <f aca="false">IF(OR($AC922=0,$U922="",$M922="",$V922="",$W922=""),"",IF(COUNTIFS(m_teacher,$M922,m_date,$U922,m_active,1,m_start,"&lt;"&amp;$W922,m_end,"&gt;"&amp;$V922)&gt;1,"충돌",""))</f>
        <v/>
      </c>
      <c r="T922" s="48"/>
      <c r="U922" s="55" t="str">
        <f aca="false">IF($G922="","",IFERROR(IF(ISNUMBER($G922),IF($G922&gt;19000000,DATE(INT($G922/10000),MOD(INT($G922/100),100),MOD($G922,100)),INT($G922)),IF(LEN(SUBSTITUTE(SUBSTITUTE(SUBSTITUTE(TRIM($G922),"-",""),".",""),"/",""))=8,DATE(VALUE(LEFT(SUBSTITUTE(SUBSTITUTE(SUBSTITUTE(TRIM($G922),"-",""),".",""),"/",""),4)),VALUE(MID(SUBSTITUTE(SUBSTITUTE(SUBSTITUTE(TRIM($G922),"-",""),".",""),"/",""),5,2)),VALUE(RIGHT(SUBSTITUTE(SUBSTITUTE(SUBSTITUTE(TRIM($G922),"-",""),".",""),"/",""),2))),DATEVALUE($G922))),""))</f>
        <v/>
      </c>
      <c r="V922" s="52" t="str">
        <f aca="false">IF($H922="","",IFERROR(IF(IF(ISNUMBER($H922),$H922,IFERROR(TIMEVALUE($H922),VALUE($H922)))&gt;=100,INT(IF(ISNUMBER($H922),$H922,IFERROR(TIMEVALUE($H922),VALUE($H922)))/100)*60+MOD(IF(ISNUMBER($H922),$H922,IFERROR(TIMEVALUE($H922),VALUE($H922))),100),IF(IF(ISNUMBER($H922),$H922,IFERROR(TIMEVALUE($H922),VALUE($H922)))&gt;=1,ROUND(IF(ISNUMBER($H922),$H922,IFERROR(TIMEVALUE($H922),VALUE($H922)))*60,0),ROUND(MOD(IF(ISNUMBER($H922),$H922,IFERROR(TIMEVALUE($H922),VALUE($H922))),1)*1440,0))),""))</f>
        <v/>
      </c>
      <c r="W922" s="52" t="str">
        <f aca="false">IF($I922="","",IFERROR(IF(IF(ISNUMBER($I922),$I922,IFERROR(TIMEVALUE($I922),VALUE($I922)))&gt;=100,INT(IF(ISNUMBER($I922),$I922,IFERROR(TIMEVALUE($I922),VALUE($I922)))/100)*60+MOD(IF(ISNUMBER($I922),$I922,IFERROR(TIMEVALUE($I922),VALUE($I922))),100),IF(IF(ISNUMBER($I922),$I922,IFERROR(TIMEVALUE($I922),VALUE($I922)))&gt;=1,ROUND(IF(ISNUMBER($I922),$I922,IFERROR(TIMEVALUE($I922),VALUE($I922)))*60,0),ROUND(MOD(IF(ISNUMBER($I922),$I922,IFERROR(TIMEVALUE($I922),VALUE($I922))),1)*1440,0))),""))</f>
        <v/>
      </c>
      <c r="X922" s="55" t="str">
        <f aca="false">IF($P922="","",IFERROR(IF(ISNUMBER($P922),IF($P922&gt;19000000,DATE(INT($P922/10000),MOD(INT($P922/100),100),MOD($P922,100)),INT($P922)),IF(LEN(SUBSTITUTE(SUBSTITUTE(SUBSTITUTE(TRIM($P922),"-",""),".",""),"/",""))=8,DATE(VALUE(LEFT(SUBSTITUTE(SUBSTITUTE(SUBSTITUTE(TRIM($P922),"-",""),".",""),"/",""),4)),VALUE(MID(SUBSTITUTE(SUBSTITUTE(SUBSTITUTE(TRIM($P922),"-",""),".",""),"/",""),5,2)),VALUE(RIGHT(SUBSTITUTE(SUBSTITUTE(SUBSTITUTE(TRIM($P922),"-",""),".",""),"/",""),2))),DATEVALUE($P922))),""))</f>
        <v/>
      </c>
      <c r="Y922" s="56" t="str">
        <f aca="false">IF($M922="","",IFERROR(INDEX(강사DB!$D$4:$D$53,MATCH($M922,강사DB!$A$4:$A$53,0)),""))</f>
        <v/>
      </c>
      <c r="Z922" s="56" t="str">
        <f aca="false">IF($B922&lt;&gt;"결제완료","",IF(OR($Y922="",$J922=""),"",$Y922*$J922+MAX(0,N($K922)-1)*설정!$J$7))</f>
        <v/>
      </c>
      <c r="AA922" s="56" t="str">
        <f aca="false">IF(AND($D922&lt;&gt;"",$B922="결제완료"),N($N922),"")</f>
        <v/>
      </c>
      <c r="AB922" s="45" t="str">
        <f aca="false">IF($D922="","",IF($F922&lt;&gt;"",$F922,$D922)&amp;IF($B922="상담중"," (상담)",""))</f>
        <v/>
      </c>
      <c r="AC922" s="45" t="n">
        <f aca="false">IF(AND($D922&lt;&gt;"",OR($B922="결제완료",$B922="상담중")),1,0)</f>
        <v>0</v>
      </c>
      <c r="AD922" s="45" t="n">
        <f aca="false">IF(OR($Z922="",$U922=""),0,IFERROR(IF(COUNTIFS(INDEX(g_grid,0,2*MATCH($M922,강사DB!$A$4:$A$15,0)),"&lt;&gt;",g_s,"&lt;="&amp;$U922,g_e,"&gt;="&amp;$U922)&gt;0,1,0),0))</f>
        <v>0</v>
      </c>
      <c r="AE922" s="48"/>
      <c r="AF922" s="56" t="str">
        <f aca="false">IF(AND($D922&lt;&gt;"",$B922="결제완료",$T922="대여"),설정!$J$5,"")</f>
        <v/>
      </c>
      <c r="AG922" s="54" t="str">
        <f aca="false">IF($D922="","",IF(AND($E922="",$R922=""),$AB922,"☎ "&amp;IF($E922="","-",$E922)&amp;IF($R922&lt;&gt;"","  ※ "&amp;$R922,"")&amp;IF($B922="상담중"," (상담)","")))</f>
        <v/>
      </c>
      <c r="AH922" s="56" t="str">
        <f aca="false">IF(AND($D922&lt;&gt;"",$B922="결제완료",$O922="스마트스토어"),ROUND(N($N922)*설정!$J$6,0),"")</f>
        <v/>
      </c>
      <c r="AI922" s="54" t="str">
        <f aca="false">IF($D922="","",ROW())</f>
        <v/>
      </c>
      <c r="AJ922" s="54" t="n">
        <f aca="false">IF(OR($AC922&lt;&gt;1,$M922=""),0,IF(ISNUMBER(SEARCH("퇴사",IFERROR(INDEX(강사DB!$G$4:$G$53,MATCH($M922,강사DB!$A$4:$A$53,0)),""))),1,0))</f>
        <v>0</v>
      </c>
    </row>
    <row r="923" customFormat="false" ht="15" hidden="false" customHeight="false" outlineLevel="0" collapsed="false">
      <c r="A923" s="45" t="str">
        <f aca="false">IF($D923="","",COUNTA($D$5:$D923))</f>
        <v/>
      </c>
      <c r="B923" s="46"/>
      <c r="C923" s="47"/>
      <c r="D923" s="48"/>
      <c r="E923" s="48"/>
      <c r="F923" s="49"/>
      <c r="G923" s="47"/>
      <c r="H923" s="50"/>
      <c r="I923" s="50"/>
      <c r="J923" s="51" t="str">
        <f aca="false">IF(OR($V923="",$W923=""),"",ROUND(($W923-$V923)/60,2))</f>
        <v/>
      </c>
      <c r="K923" s="52" t="str">
        <f aca="false">IF($F923="","",LEN($F923)-LEN(SUBSTITUTE($F923,",",""))+1)</f>
        <v/>
      </c>
      <c r="L923" s="45" t="str">
        <f aca="false">IF($K923="","","1:"&amp;$K923)</f>
        <v/>
      </c>
      <c r="M923" s="46"/>
      <c r="N923" s="53"/>
      <c r="O923" s="46"/>
      <c r="P923" s="47"/>
      <c r="Q923" s="48"/>
      <c r="R923" s="49"/>
      <c r="S923" s="54" t="str">
        <f aca="false">IF(OR($AC923=0,$U923="",$M923="",$V923="",$W923=""),"",IF(COUNTIFS(m_teacher,$M923,m_date,$U923,m_active,1,m_start,"&lt;"&amp;$W923,m_end,"&gt;"&amp;$V923)&gt;1,"충돌",""))</f>
        <v/>
      </c>
      <c r="T923" s="48"/>
      <c r="U923" s="55" t="str">
        <f aca="false">IF($G923="","",IFERROR(IF(ISNUMBER($G923),IF($G923&gt;19000000,DATE(INT($G923/10000),MOD(INT($G923/100),100),MOD($G923,100)),INT($G923)),IF(LEN(SUBSTITUTE(SUBSTITUTE(SUBSTITUTE(TRIM($G923),"-",""),".",""),"/",""))=8,DATE(VALUE(LEFT(SUBSTITUTE(SUBSTITUTE(SUBSTITUTE(TRIM($G923),"-",""),".",""),"/",""),4)),VALUE(MID(SUBSTITUTE(SUBSTITUTE(SUBSTITUTE(TRIM($G923),"-",""),".",""),"/",""),5,2)),VALUE(RIGHT(SUBSTITUTE(SUBSTITUTE(SUBSTITUTE(TRIM($G923),"-",""),".",""),"/",""),2))),DATEVALUE($G923))),""))</f>
        <v/>
      </c>
      <c r="V923" s="52" t="str">
        <f aca="false">IF($H923="","",IFERROR(IF(IF(ISNUMBER($H923),$H923,IFERROR(TIMEVALUE($H923),VALUE($H923)))&gt;=100,INT(IF(ISNUMBER($H923),$H923,IFERROR(TIMEVALUE($H923),VALUE($H923)))/100)*60+MOD(IF(ISNUMBER($H923),$H923,IFERROR(TIMEVALUE($H923),VALUE($H923))),100),IF(IF(ISNUMBER($H923),$H923,IFERROR(TIMEVALUE($H923),VALUE($H923)))&gt;=1,ROUND(IF(ISNUMBER($H923),$H923,IFERROR(TIMEVALUE($H923),VALUE($H923)))*60,0),ROUND(MOD(IF(ISNUMBER($H923),$H923,IFERROR(TIMEVALUE($H923),VALUE($H923))),1)*1440,0))),""))</f>
        <v/>
      </c>
      <c r="W923" s="52" t="str">
        <f aca="false">IF($I923="","",IFERROR(IF(IF(ISNUMBER($I923),$I923,IFERROR(TIMEVALUE($I923),VALUE($I923)))&gt;=100,INT(IF(ISNUMBER($I923),$I923,IFERROR(TIMEVALUE($I923),VALUE($I923)))/100)*60+MOD(IF(ISNUMBER($I923),$I923,IFERROR(TIMEVALUE($I923),VALUE($I923))),100),IF(IF(ISNUMBER($I923),$I923,IFERROR(TIMEVALUE($I923),VALUE($I923)))&gt;=1,ROUND(IF(ISNUMBER($I923),$I923,IFERROR(TIMEVALUE($I923),VALUE($I923)))*60,0),ROUND(MOD(IF(ISNUMBER($I923),$I923,IFERROR(TIMEVALUE($I923),VALUE($I923))),1)*1440,0))),""))</f>
        <v/>
      </c>
      <c r="X923" s="55" t="str">
        <f aca="false">IF($P923="","",IFERROR(IF(ISNUMBER($P923),IF($P923&gt;19000000,DATE(INT($P923/10000),MOD(INT($P923/100),100),MOD($P923,100)),INT($P923)),IF(LEN(SUBSTITUTE(SUBSTITUTE(SUBSTITUTE(TRIM($P923),"-",""),".",""),"/",""))=8,DATE(VALUE(LEFT(SUBSTITUTE(SUBSTITUTE(SUBSTITUTE(TRIM($P923),"-",""),".",""),"/",""),4)),VALUE(MID(SUBSTITUTE(SUBSTITUTE(SUBSTITUTE(TRIM($P923),"-",""),".",""),"/",""),5,2)),VALUE(RIGHT(SUBSTITUTE(SUBSTITUTE(SUBSTITUTE(TRIM($P923),"-",""),".",""),"/",""),2))),DATEVALUE($P923))),""))</f>
        <v/>
      </c>
      <c r="Y923" s="56" t="str">
        <f aca="false">IF($M923="","",IFERROR(INDEX(강사DB!$D$4:$D$53,MATCH($M923,강사DB!$A$4:$A$53,0)),""))</f>
        <v/>
      </c>
      <c r="Z923" s="56" t="str">
        <f aca="false">IF($B923&lt;&gt;"결제완료","",IF(OR($Y923="",$J923=""),"",$Y923*$J923+MAX(0,N($K923)-1)*설정!$J$7))</f>
        <v/>
      </c>
      <c r="AA923" s="56" t="str">
        <f aca="false">IF(AND($D923&lt;&gt;"",$B923="결제완료"),N($N923),"")</f>
        <v/>
      </c>
      <c r="AB923" s="45" t="str">
        <f aca="false">IF($D923="","",IF($F923&lt;&gt;"",$F923,$D923)&amp;IF($B923="상담중"," (상담)",""))</f>
        <v/>
      </c>
      <c r="AC923" s="45" t="n">
        <f aca="false">IF(AND($D923&lt;&gt;"",OR($B923="결제완료",$B923="상담중")),1,0)</f>
        <v>0</v>
      </c>
      <c r="AD923" s="45" t="n">
        <f aca="false">IF(OR($Z923="",$U923=""),0,IFERROR(IF(COUNTIFS(INDEX(g_grid,0,2*MATCH($M923,강사DB!$A$4:$A$15,0)),"&lt;&gt;",g_s,"&lt;="&amp;$U923,g_e,"&gt;="&amp;$U923)&gt;0,1,0),0))</f>
        <v>0</v>
      </c>
      <c r="AE923" s="48"/>
      <c r="AF923" s="56" t="str">
        <f aca="false">IF(AND($D923&lt;&gt;"",$B923="결제완료",$T923="대여"),설정!$J$5,"")</f>
        <v/>
      </c>
      <c r="AG923" s="54" t="str">
        <f aca="false">IF($D923="","",IF(AND($E923="",$R923=""),$AB923,"☎ "&amp;IF($E923="","-",$E923)&amp;IF($R923&lt;&gt;"","  ※ "&amp;$R923,"")&amp;IF($B923="상담중"," (상담)","")))</f>
        <v/>
      </c>
      <c r="AH923" s="56" t="str">
        <f aca="false">IF(AND($D923&lt;&gt;"",$B923="결제완료",$O923="스마트스토어"),ROUND(N($N923)*설정!$J$6,0),"")</f>
        <v/>
      </c>
      <c r="AI923" s="54" t="str">
        <f aca="false">IF($D923="","",ROW())</f>
        <v/>
      </c>
      <c r="AJ923" s="54" t="n">
        <f aca="false">IF(OR($AC923&lt;&gt;1,$M923=""),0,IF(ISNUMBER(SEARCH("퇴사",IFERROR(INDEX(강사DB!$G$4:$G$53,MATCH($M923,강사DB!$A$4:$A$53,0)),""))),1,0))</f>
        <v>0</v>
      </c>
    </row>
    <row r="924" customFormat="false" ht="15" hidden="false" customHeight="false" outlineLevel="0" collapsed="false">
      <c r="A924" s="45" t="str">
        <f aca="false">IF($D924="","",COUNTA($D$5:$D924))</f>
        <v/>
      </c>
      <c r="B924" s="46"/>
      <c r="C924" s="47"/>
      <c r="D924" s="48"/>
      <c r="E924" s="48"/>
      <c r="F924" s="49"/>
      <c r="G924" s="47"/>
      <c r="H924" s="50"/>
      <c r="I924" s="50"/>
      <c r="J924" s="51" t="str">
        <f aca="false">IF(OR($V924="",$W924=""),"",ROUND(($W924-$V924)/60,2))</f>
        <v/>
      </c>
      <c r="K924" s="52" t="str">
        <f aca="false">IF($F924="","",LEN($F924)-LEN(SUBSTITUTE($F924,",",""))+1)</f>
        <v/>
      </c>
      <c r="L924" s="45" t="str">
        <f aca="false">IF($K924="","","1:"&amp;$K924)</f>
        <v/>
      </c>
      <c r="M924" s="46"/>
      <c r="N924" s="53"/>
      <c r="O924" s="46"/>
      <c r="P924" s="47"/>
      <c r="Q924" s="48"/>
      <c r="R924" s="49"/>
      <c r="S924" s="54" t="str">
        <f aca="false">IF(OR($AC924=0,$U924="",$M924="",$V924="",$W924=""),"",IF(COUNTIFS(m_teacher,$M924,m_date,$U924,m_active,1,m_start,"&lt;"&amp;$W924,m_end,"&gt;"&amp;$V924)&gt;1,"충돌",""))</f>
        <v/>
      </c>
      <c r="T924" s="48"/>
      <c r="U924" s="55" t="str">
        <f aca="false">IF($G924="","",IFERROR(IF(ISNUMBER($G924),IF($G924&gt;19000000,DATE(INT($G924/10000),MOD(INT($G924/100),100),MOD($G924,100)),INT($G924)),IF(LEN(SUBSTITUTE(SUBSTITUTE(SUBSTITUTE(TRIM($G924),"-",""),".",""),"/",""))=8,DATE(VALUE(LEFT(SUBSTITUTE(SUBSTITUTE(SUBSTITUTE(TRIM($G924),"-",""),".",""),"/",""),4)),VALUE(MID(SUBSTITUTE(SUBSTITUTE(SUBSTITUTE(TRIM($G924),"-",""),".",""),"/",""),5,2)),VALUE(RIGHT(SUBSTITUTE(SUBSTITUTE(SUBSTITUTE(TRIM($G924),"-",""),".",""),"/",""),2))),DATEVALUE($G924))),""))</f>
        <v/>
      </c>
      <c r="V924" s="52" t="str">
        <f aca="false">IF($H924="","",IFERROR(IF(IF(ISNUMBER($H924),$H924,IFERROR(TIMEVALUE($H924),VALUE($H924)))&gt;=100,INT(IF(ISNUMBER($H924),$H924,IFERROR(TIMEVALUE($H924),VALUE($H924)))/100)*60+MOD(IF(ISNUMBER($H924),$H924,IFERROR(TIMEVALUE($H924),VALUE($H924))),100),IF(IF(ISNUMBER($H924),$H924,IFERROR(TIMEVALUE($H924),VALUE($H924)))&gt;=1,ROUND(IF(ISNUMBER($H924),$H924,IFERROR(TIMEVALUE($H924),VALUE($H924)))*60,0),ROUND(MOD(IF(ISNUMBER($H924),$H924,IFERROR(TIMEVALUE($H924),VALUE($H924))),1)*1440,0))),""))</f>
        <v/>
      </c>
      <c r="W924" s="52" t="str">
        <f aca="false">IF($I924="","",IFERROR(IF(IF(ISNUMBER($I924),$I924,IFERROR(TIMEVALUE($I924),VALUE($I924)))&gt;=100,INT(IF(ISNUMBER($I924),$I924,IFERROR(TIMEVALUE($I924),VALUE($I924)))/100)*60+MOD(IF(ISNUMBER($I924),$I924,IFERROR(TIMEVALUE($I924),VALUE($I924))),100),IF(IF(ISNUMBER($I924),$I924,IFERROR(TIMEVALUE($I924),VALUE($I924)))&gt;=1,ROUND(IF(ISNUMBER($I924),$I924,IFERROR(TIMEVALUE($I924),VALUE($I924)))*60,0),ROUND(MOD(IF(ISNUMBER($I924),$I924,IFERROR(TIMEVALUE($I924),VALUE($I924))),1)*1440,0))),""))</f>
        <v/>
      </c>
      <c r="X924" s="55" t="str">
        <f aca="false">IF($P924="","",IFERROR(IF(ISNUMBER($P924),IF($P924&gt;19000000,DATE(INT($P924/10000),MOD(INT($P924/100),100),MOD($P924,100)),INT($P924)),IF(LEN(SUBSTITUTE(SUBSTITUTE(SUBSTITUTE(TRIM($P924),"-",""),".",""),"/",""))=8,DATE(VALUE(LEFT(SUBSTITUTE(SUBSTITUTE(SUBSTITUTE(TRIM($P924),"-",""),".",""),"/",""),4)),VALUE(MID(SUBSTITUTE(SUBSTITUTE(SUBSTITUTE(TRIM($P924),"-",""),".",""),"/",""),5,2)),VALUE(RIGHT(SUBSTITUTE(SUBSTITUTE(SUBSTITUTE(TRIM($P924),"-",""),".",""),"/",""),2))),DATEVALUE($P924))),""))</f>
        <v/>
      </c>
      <c r="Y924" s="56" t="str">
        <f aca="false">IF($M924="","",IFERROR(INDEX(강사DB!$D$4:$D$53,MATCH($M924,강사DB!$A$4:$A$53,0)),""))</f>
        <v/>
      </c>
      <c r="Z924" s="56" t="str">
        <f aca="false">IF($B924&lt;&gt;"결제완료","",IF(OR($Y924="",$J924=""),"",$Y924*$J924+MAX(0,N($K924)-1)*설정!$J$7))</f>
        <v/>
      </c>
      <c r="AA924" s="56" t="str">
        <f aca="false">IF(AND($D924&lt;&gt;"",$B924="결제완료"),N($N924),"")</f>
        <v/>
      </c>
      <c r="AB924" s="45" t="str">
        <f aca="false">IF($D924="","",IF($F924&lt;&gt;"",$F924,$D924)&amp;IF($B924="상담중"," (상담)",""))</f>
        <v/>
      </c>
      <c r="AC924" s="45" t="n">
        <f aca="false">IF(AND($D924&lt;&gt;"",OR($B924="결제완료",$B924="상담중")),1,0)</f>
        <v>0</v>
      </c>
      <c r="AD924" s="45" t="n">
        <f aca="false">IF(OR($Z924="",$U924=""),0,IFERROR(IF(COUNTIFS(INDEX(g_grid,0,2*MATCH($M924,강사DB!$A$4:$A$15,0)),"&lt;&gt;",g_s,"&lt;="&amp;$U924,g_e,"&gt;="&amp;$U924)&gt;0,1,0),0))</f>
        <v>0</v>
      </c>
      <c r="AE924" s="48"/>
      <c r="AF924" s="56" t="str">
        <f aca="false">IF(AND($D924&lt;&gt;"",$B924="결제완료",$T924="대여"),설정!$J$5,"")</f>
        <v/>
      </c>
      <c r="AG924" s="54" t="str">
        <f aca="false">IF($D924="","",IF(AND($E924="",$R924=""),$AB924,"☎ "&amp;IF($E924="","-",$E924)&amp;IF($R924&lt;&gt;"","  ※ "&amp;$R924,"")&amp;IF($B924="상담중"," (상담)","")))</f>
        <v/>
      </c>
      <c r="AH924" s="56" t="str">
        <f aca="false">IF(AND($D924&lt;&gt;"",$B924="결제완료",$O924="스마트스토어"),ROUND(N($N924)*설정!$J$6,0),"")</f>
        <v/>
      </c>
      <c r="AI924" s="54" t="str">
        <f aca="false">IF($D924="","",ROW())</f>
        <v/>
      </c>
      <c r="AJ924" s="54" t="n">
        <f aca="false">IF(OR($AC924&lt;&gt;1,$M924=""),0,IF(ISNUMBER(SEARCH("퇴사",IFERROR(INDEX(강사DB!$G$4:$G$53,MATCH($M924,강사DB!$A$4:$A$53,0)),""))),1,0))</f>
        <v>0</v>
      </c>
    </row>
    <row r="925" customFormat="false" ht="15" hidden="false" customHeight="false" outlineLevel="0" collapsed="false">
      <c r="A925" s="45" t="str">
        <f aca="false">IF($D925="","",COUNTA($D$5:$D925))</f>
        <v/>
      </c>
      <c r="B925" s="46"/>
      <c r="C925" s="47"/>
      <c r="D925" s="48"/>
      <c r="E925" s="48"/>
      <c r="F925" s="49"/>
      <c r="G925" s="47"/>
      <c r="H925" s="50"/>
      <c r="I925" s="50"/>
      <c r="J925" s="51" t="str">
        <f aca="false">IF(OR($V925="",$W925=""),"",ROUND(($W925-$V925)/60,2))</f>
        <v/>
      </c>
      <c r="K925" s="52" t="str">
        <f aca="false">IF($F925="","",LEN($F925)-LEN(SUBSTITUTE($F925,",",""))+1)</f>
        <v/>
      </c>
      <c r="L925" s="45" t="str">
        <f aca="false">IF($K925="","","1:"&amp;$K925)</f>
        <v/>
      </c>
      <c r="M925" s="46"/>
      <c r="N925" s="53"/>
      <c r="O925" s="46"/>
      <c r="P925" s="47"/>
      <c r="Q925" s="48"/>
      <c r="R925" s="49"/>
      <c r="S925" s="54" t="str">
        <f aca="false">IF(OR($AC925=0,$U925="",$M925="",$V925="",$W925=""),"",IF(COUNTIFS(m_teacher,$M925,m_date,$U925,m_active,1,m_start,"&lt;"&amp;$W925,m_end,"&gt;"&amp;$V925)&gt;1,"충돌",""))</f>
        <v/>
      </c>
      <c r="T925" s="48"/>
      <c r="U925" s="55" t="str">
        <f aca="false">IF($G925="","",IFERROR(IF(ISNUMBER($G925),IF($G925&gt;19000000,DATE(INT($G925/10000),MOD(INT($G925/100),100),MOD($G925,100)),INT($G925)),IF(LEN(SUBSTITUTE(SUBSTITUTE(SUBSTITUTE(TRIM($G925),"-",""),".",""),"/",""))=8,DATE(VALUE(LEFT(SUBSTITUTE(SUBSTITUTE(SUBSTITUTE(TRIM($G925),"-",""),".",""),"/",""),4)),VALUE(MID(SUBSTITUTE(SUBSTITUTE(SUBSTITUTE(TRIM($G925),"-",""),".",""),"/",""),5,2)),VALUE(RIGHT(SUBSTITUTE(SUBSTITUTE(SUBSTITUTE(TRIM($G925),"-",""),".",""),"/",""),2))),DATEVALUE($G925))),""))</f>
        <v/>
      </c>
      <c r="V925" s="52" t="str">
        <f aca="false">IF($H925="","",IFERROR(IF(IF(ISNUMBER($H925),$H925,IFERROR(TIMEVALUE($H925),VALUE($H925)))&gt;=100,INT(IF(ISNUMBER($H925),$H925,IFERROR(TIMEVALUE($H925),VALUE($H925)))/100)*60+MOD(IF(ISNUMBER($H925),$H925,IFERROR(TIMEVALUE($H925),VALUE($H925))),100),IF(IF(ISNUMBER($H925),$H925,IFERROR(TIMEVALUE($H925),VALUE($H925)))&gt;=1,ROUND(IF(ISNUMBER($H925),$H925,IFERROR(TIMEVALUE($H925),VALUE($H925)))*60,0),ROUND(MOD(IF(ISNUMBER($H925),$H925,IFERROR(TIMEVALUE($H925),VALUE($H925))),1)*1440,0))),""))</f>
        <v/>
      </c>
      <c r="W925" s="52" t="str">
        <f aca="false">IF($I925="","",IFERROR(IF(IF(ISNUMBER($I925),$I925,IFERROR(TIMEVALUE($I925),VALUE($I925)))&gt;=100,INT(IF(ISNUMBER($I925),$I925,IFERROR(TIMEVALUE($I925),VALUE($I925)))/100)*60+MOD(IF(ISNUMBER($I925),$I925,IFERROR(TIMEVALUE($I925),VALUE($I925))),100),IF(IF(ISNUMBER($I925),$I925,IFERROR(TIMEVALUE($I925),VALUE($I925)))&gt;=1,ROUND(IF(ISNUMBER($I925),$I925,IFERROR(TIMEVALUE($I925),VALUE($I925)))*60,0),ROUND(MOD(IF(ISNUMBER($I925),$I925,IFERROR(TIMEVALUE($I925),VALUE($I925))),1)*1440,0))),""))</f>
        <v/>
      </c>
      <c r="X925" s="55" t="str">
        <f aca="false">IF($P925="","",IFERROR(IF(ISNUMBER($P925),IF($P925&gt;19000000,DATE(INT($P925/10000),MOD(INT($P925/100),100),MOD($P925,100)),INT($P925)),IF(LEN(SUBSTITUTE(SUBSTITUTE(SUBSTITUTE(TRIM($P925),"-",""),".",""),"/",""))=8,DATE(VALUE(LEFT(SUBSTITUTE(SUBSTITUTE(SUBSTITUTE(TRIM($P925),"-",""),".",""),"/",""),4)),VALUE(MID(SUBSTITUTE(SUBSTITUTE(SUBSTITUTE(TRIM($P925),"-",""),".",""),"/",""),5,2)),VALUE(RIGHT(SUBSTITUTE(SUBSTITUTE(SUBSTITUTE(TRIM($P925),"-",""),".",""),"/",""),2))),DATEVALUE($P925))),""))</f>
        <v/>
      </c>
      <c r="Y925" s="56" t="str">
        <f aca="false">IF($M925="","",IFERROR(INDEX(강사DB!$D$4:$D$53,MATCH($M925,강사DB!$A$4:$A$53,0)),""))</f>
        <v/>
      </c>
      <c r="Z925" s="56" t="str">
        <f aca="false">IF($B925&lt;&gt;"결제완료","",IF(OR($Y925="",$J925=""),"",$Y925*$J925+MAX(0,N($K925)-1)*설정!$J$7))</f>
        <v/>
      </c>
      <c r="AA925" s="56" t="str">
        <f aca="false">IF(AND($D925&lt;&gt;"",$B925="결제완료"),N($N925),"")</f>
        <v/>
      </c>
      <c r="AB925" s="45" t="str">
        <f aca="false">IF($D925="","",IF($F925&lt;&gt;"",$F925,$D925)&amp;IF($B925="상담중"," (상담)",""))</f>
        <v/>
      </c>
      <c r="AC925" s="45" t="n">
        <f aca="false">IF(AND($D925&lt;&gt;"",OR($B925="결제완료",$B925="상담중")),1,0)</f>
        <v>0</v>
      </c>
      <c r="AD925" s="45" t="n">
        <f aca="false">IF(OR($Z925="",$U925=""),0,IFERROR(IF(COUNTIFS(INDEX(g_grid,0,2*MATCH($M925,강사DB!$A$4:$A$15,0)),"&lt;&gt;",g_s,"&lt;="&amp;$U925,g_e,"&gt;="&amp;$U925)&gt;0,1,0),0))</f>
        <v>0</v>
      </c>
      <c r="AE925" s="48"/>
      <c r="AF925" s="56" t="str">
        <f aca="false">IF(AND($D925&lt;&gt;"",$B925="결제완료",$T925="대여"),설정!$J$5,"")</f>
        <v/>
      </c>
      <c r="AG925" s="54" t="str">
        <f aca="false">IF($D925="","",IF(AND($E925="",$R925=""),$AB925,"☎ "&amp;IF($E925="","-",$E925)&amp;IF($R925&lt;&gt;"","  ※ "&amp;$R925,"")&amp;IF($B925="상담중"," (상담)","")))</f>
        <v/>
      </c>
      <c r="AH925" s="56" t="str">
        <f aca="false">IF(AND($D925&lt;&gt;"",$B925="결제완료",$O925="스마트스토어"),ROUND(N($N925)*설정!$J$6,0),"")</f>
        <v/>
      </c>
      <c r="AI925" s="54" t="str">
        <f aca="false">IF($D925="","",ROW())</f>
        <v/>
      </c>
      <c r="AJ925" s="54" t="n">
        <f aca="false">IF(OR($AC925&lt;&gt;1,$M925=""),0,IF(ISNUMBER(SEARCH("퇴사",IFERROR(INDEX(강사DB!$G$4:$G$53,MATCH($M925,강사DB!$A$4:$A$53,0)),""))),1,0))</f>
        <v>0</v>
      </c>
    </row>
    <row r="926" customFormat="false" ht="15" hidden="false" customHeight="false" outlineLevel="0" collapsed="false">
      <c r="A926" s="45" t="str">
        <f aca="false">IF($D926="","",COUNTA($D$5:$D926))</f>
        <v/>
      </c>
      <c r="B926" s="46"/>
      <c r="C926" s="47"/>
      <c r="D926" s="48"/>
      <c r="E926" s="48"/>
      <c r="F926" s="49"/>
      <c r="G926" s="47"/>
      <c r="H926" s="50"/>
      <c r="I926" s="50"/>
      <c r="J926" s="51" t="str">
        <f aca="false">IF(OR($V926="",$W926=""),"",ROUND(($W926-$V926)/60,2))</f>
        <v/>
      </c>
      <c r="K926" s="52" t="str">
        <f aca="false">IF($F926="","",LEN($F926)-LEN(SUBSTITUTE($F926,",",""))+1)</f>
        <v/>
      </c>
      <c r="L926" s="45" t="str">
        <f aca="false">IF($K926="","","1:"&amp;$K926)</f>
        <v/>
      </c>
      <c r="M926" s="46"/>
      <c r="N926" s="53"/>
      <c r="O926" s="46"/>
      <c r="P926" s="47"/>
      <c r="Q926" s="48"/>
      <c r="R926" s="49"/>
      <c r="S926" s="54" t="str">
        <f aca="false">IF(OR($AC926=0,$U926="",$M926="",$V926="",$W926=""),"",IF(COUNTIFS(m_teacher,$M926,m_date,$U926,m_active,1,m_start,"&lt;"&amp;$W926,m_end,"&gt;"&amp;$V926)&gt;1,"충돌",""))</f>
        <v/>
      </c>
      <c r="T926" s="48"/>
      <c r="U926" s="55" t="str">
        <f aca="false">IF($G926="","",IFERROR(IF(ISNUMBER($G926),IF($G926&gt;19000000,DATE(INT($G926/10000),MOD(INT($G926/100),100),MOD($G926,100)),INT($G926)),IF(LEN(SUBSTITUTE(SUBSTITUTE(SUBSTITUTE(TRIM($G926),"-",""),".",""),"/",""))=8,DATE(VALUE(LEFT(SUBSTITUTE(SUBSTITUTE(SUBSTITUTE(TRIM($G926),"-",""),".",""),"/",""),4)),VALUE(MID(SUBSTITUTE(SUBSTITUTE(SUBSTITUTE(TRIM($G926),"-",""),".",""),"/",""),5,2)),VALUE(RIGHT(SUBSTITUTE(SUBSTITUTE(SUBSTITUTE(TRIM($G926),"-",""),".",""),"/",""),2))),DATEVALUE($G926))),""))</f>
        <v/>
      </c>
      <c r="V926" s="52" t="str">
        <f aca="false">IF($H926="","",IFERROR(IF(IF(ISNUMBER($H926),$H926,IFERROR(TIMEVALUE($H926),VALUE($H926)))&gt;=100,INT(IF(ISNUMBER($H926),$H926,IFERROR(TIMEVALUE($H926),VALUE($H926)))/100)*60+MOD(IF(ISNUMBER($H926),$H926,IFERROR(TIMEVALUE($H926),VALUE($H926))),100),IF(IF(ISNUMBER($H926),$H926,IFERROR(TIMEVALUE($H926),VALUE($H926)))&gt;=1,ROUND(IF(ISNUMBER($H926),$H926,IFERROR(TIMEVALUE($H926),VALUE($H926)))*60,0),ROUND(MOD(IF(ISNUMBER($H926),$H926,IFERROR(TIMEVALUE($H926),VALUE($H926))),1)*1440,0))),""))</f>
        <v/>
      </c>
      <c r="W926" s="52" t="str">
        <f aca="false">IF($I926="","",IFERROR(IF(IF(ISNUMBER($I926),$I926,IFERROR(TIMEVALUE($I926),VALUE($I926)))&gt;=100,INT(IF(ISNUMBER($I926),$I926,IFERROR(TIMEVALUE($I926),VALUE($I926)))/100)*60+MOD(IF(ISNUMBER($I926),$I926,IFERROR(TIMEVALUE($I926),VALUE($I926))),100),IF(IF(ISNUMBER($I926),$I926,IFERROR(TIMEVALUE($I926),VALUE($I926)))&gt;=1,ROUND(IF(ISNUMBER($I926),$I926,IFERROR(TIMEVALUE($I926),VALUE($I926)))*60,0),ROUND(MOD(IF(ISNUMBER($I926),$I926,IFERROR(TIMEVALUE($I926),VALUE($I926))),1)*1440,0))),""))</f>
        <v/>
      </c>
      <c r="X926" s="55" t="str">
        <f aca="false">IF($P926="","",IFERROR(IF(ISNUMBER($P926),IF($P926&gt;19000000,DATE(INT($P926/10000),MOD(INT($P926/100),100),MOD($P926,100)),INT($P926)),IF(LEN(SUBSTITUTE(SUBSTITUTE(SUBSTITUTE(TRIM($P926),"-",""),".",""),"/",""))=8,DATE(VALUE(LEFT(SUBSTITUTE(SUBSTITUTE(SUBSTITUTE(TRIM($P926),"-",""),".",""),"/",""),4)),VALUE(MID(SUBSTITUTE(SUBSTITUTE(SUBSTITUTE(TRIM($P926),"-",""),".",""),"/",""),5,2)),VALUE(RIGHT(SUBSTITUTE(SUBSTITUTE(SUBSTITUTE(TRIM($P926),"-",""),".",""),"/",""),2))),DATEVALUE($P926))),""))</f>
        <v/>
      </c>
      <c r="Y926" s="56" t="str">
        <f aca="false">IF($M926="","",IFERROR(INDEX(강사DB!$D$4:$D$53,MATCH($M926,강사DB!$A$4:$A$53,0)),""))</f>
        <v/>
      </c>
      <c r="Z926" s="56" t="str">
        <f aca="false">IF($B926&lt;&gt;"결제완료","",IF(OR($Y926="",$J926=""),"",$Y926*$J926+MAX(0,N($K926)-1)*설정!$J$7))</f>
        <v/>
      </c>
      <c r="AA926" s="56" t="str">
        <f aca="false">IF(AND($D926&lt;&gt;"",$B926="결제완료"),N($N926),"")</f>
        <v/>
      </c>
      <c r="AB926" s="45" t="str">
        <f aca="false">IF($D926="","",IF($F926&lt;&gt;"",$F926,$D926)&amp;IF($B926="상담중"," (상담)",""))</f>
        <v/>
      </c>
      <c r="AC926" s="45" t="n">
        <f aca="false">IF(AND($D926&lt;&gt;"",OR($B926="결제완료",$B926="상담중")),1,0)</f>
        <v>0</v>
      </c>
      <c r="AD926" s="45" t="n">
        <f aca="false">IF(OR($Z926="",$U926=""),0,IFERROR(IF(COUNTIFS(INDEX(g_grid,0,2*MATCH($M926,강사DB!$A$4:$A$15,0)),"&lt;&gt;",g_s,"&lt;="&amp;$U926,g_e,"&gt;="&amp;$U926)&gt;0,1,0),0))</f>
        <v>0</v>
      </c>
      <c r="AE926" s="48"/>
      <c r="AF926" s="56" t="str">
        <f aca="false">IF(AND($D926&lt;&gt;"",$B926="결제완료",$T926="대여"),설정!$J$5,"")</f>
        <v/>
      </c>
      <c r="AG926" s="54" t="str">
        <f aca="false">IF($D926="","",IF(AND($E926="",$R926=""),$AB926,"☎ "&amp;IF($E926="","-",$E926)&amp;IF($R926&lt;&gt;"","  ※ "&amp;$R926,"")&amp;IF($B926="상담중"," (상담)","")))</f>
        <v/>
      </c>
      <c r="AH926" s="56" t="str">
        <f aca="false">IF(AND($D926&lt;&gt;"",$B926="결제완료",$O926="스마트스토어"),ROUND(N($N926)*설정!$J$6,0),"")</f>
        <v/>
      </c>
      <c r="AI926" s="54" t="str">
        <f aca="false">IF($D926="","",ROW())</f>
        <v/>
      </c>
      <c r="AJ926" s="54" t="n">
        <f aca="false">IF(OR($AC926&lt;&gt;1,$M926=""),0,IF(ISNUMBER(SEARCH("퇴사",IFERROR(INDEX(강사DB!$G$4:$G$53,MATCH($M926,강사DB!$A$4:$A$53,0)),""))),1,0))</f>
        <v>0</v>
      </c>
    </row>
    <row r="927" customFormat="false" ht="15" hidden="false" customHeight="false" outlineLevel="0" collapsed="false">
      <c r="A927" s="45" t="str">
        <f aca="false">IF($D927="","",COUNTA($D$5:$D927))</f>
        <v/>
      </c>
      <c r="B927" s="46"/>
      <c r="C927" s="47"/>
      <c r="D927" s="48"/>
      <c r="E927" s="48"/>
      <c r="F927" s="49"/>
      <c r="G927" s="47"/>
      <c r="H927" s="50"/>
      <c r="I927" s="50"/>
      <c r="J927" s="51" t="str">
        <f aca="false">IF(OR($V927="",$W927=""),"",ROUND(($W927-$V927)/60,2))</f>
        <v/>
      </c>
      <c r="K927" s="52" t="str">
        <f aca="false">IF($F927="","",LEN($F927)-LEN(SUBSTITUTE($F927,",",""))+1)</f>
        <v/>
      </c>
      <c r="L927" s="45" t="str">
        <f aca="false">IF($K927="","","1:"&amp;$K927)</f>
        <v/>
      </c>
      <c r="M927" s="46"/>
      <c r="N927" s="53"/>
      <c r="O927" s="46"/>
      <c r="P927" s="47"/>
      <c r="Q927" s="48"/>
      <c r="R927" s="49"/>
      <c r="S927" s="54" t="str">
        <f aca="false">IF(OR($AC927=0,$U927="",$M927="",$V927="",$W927=""),"",IF(COUNTIFS(m_teacher,$M927,m_date,$U927,m_active,1,m_start,"&lt;"&amp;$W927,m_end,"&gt;"&amp;$V927)&gt;1,"충돌",""))</f>
        <v/>
      </c>
      <c r="T927" s="48"/>
      <c r="U927" s="55" t="str">
        <f aca="false">IF($G927="","",IFERROR(IF(ISNUMBER($G927),IF($G927&gt;19000000,DATE(INT($G927/10000),MOD(INT($G927/100),100),MOD($G927,100)),INT($G927)),IF(LEN(SUBSTITUTE(SUBSTITUTE(SUBSTITUTE(TRIM($G927),"-",""),".",""),"/",""))=8,DATE(VALUE(LEFT(SUBSTITUTE(SUBSTITUTE(SUBSTITUTE(TRIM($G927),"-",""),".",""),"/",""),4)),VALUE(MID(SUBSTITUTE(SUBSTITUTE(SUBSTITUTE(TRIM($G927),"-",""),".",""),"/",""),5,2)),VALUE(RIGHT(SUBSTITUTE(SUBSTITUTE(SUBSTITUTE(TRIM($G927),"-",""),".",""),"/",""),2))),DATEVALUE($G927))),""))</f>
        <v/>
      </c>
      <c r="V927" s="52" t="str">
        <f aca="false">IF($H927="","",IFERROR(IF(IF(ISNUMBER($H927),$H927,IFERROR(TIMEVALUE($H927),VALUE($H927)))&gt;=100,INT(IF(ISNUMBER($H927),$H927,IFERROR(TIMEVALUE($H927),VALUE($H927)))/100)*60+MOD(IF(ISNUMBER($H927),$H927,IFERROR(TIMEVALUE($H927),VALUE($H927))),100),IF(IF(ISNUMBER($H927),$H927,IFERROR(TIMEVALUE($H927),VALUE($H927)))&gt;=1,ROUND(IF(ISNUMBER($H927),$H927,IFERROR(TIMEVALUE($H927),VALUE($H927)))*60,0),ROUND(MOD(IF(ISNUMBER($H927),$H927,IFERROR(TIMEVALUE($H927),VALUE($H927))),1)*1440,0))),""))</f>
        <v/>
      </c>
      <c r="W927" s="52" t="str">
        <f aca="false">IF($I927="","",IFERROR(IF(IF(ISNUMBER($I927),$I927,IFERROR(TIMEVALUE($I927),VALUE($I927)))&gt;=100,INT(IF(ISNUMBER($I927),$I927,IFERROR(TIMEVALUE($I927),VALUE($I927)))/100)*60+MOD(IF(ISNUMBER($I927),$I927,IFERROR(TIMEVALUE($I927),VALUE($I927))),100),IF(IF(ISNUMBER($I927),$I927,IFERROR(TIMEVALUE($I927),VALUE($I927)))&gt;=1,ROUND(IF(ISNUMBER($I927),$I927,IFERROR(TIMEVALUE($I927),VALUE($I927)))*60,0),ROUND(MOD(IF(ISNUMBER($I927),$I927,IFERROR(TIMEVALUE($I927),VALUE($I927))),1)*1440,0))),""))</f>
        <v/>
      </c>
      <c r="X927" s="55" t="str">
        <f aca="false">IF($P927="","",IFERROR(IF(ISNUMBER($P927),IF($P927&gt;19000000,DATE(INT($P927/10000),MOD(INT($P927/100),100),MOD($P927,100)),INT($P927)),IF(LEN(SUBSTITUTE(SUBSTITUTE(SUBSTITUTE(TRIM($P927),"-",""),".",""),"/",""))=8,DATE(VALUE(LEFT(SUBSTITUTE(SUBSTITUTE(SUBSTITUTE(TRIM($P927),"-",""),".",""),"/",""),4)),VALUE(MID(SUBSTITUTE(SUBSTITUTE(SUBSTITUTE(TRIM($P927),"-",""),".",""),"/",""),5,2)),VALUE(RIGHT(SUBSTITUTE(SUBSTITUTE(SUBSTITUTE(TRIM($P927),"-",""),".",""),"/",""),2))),DATEVALUE($P927))),""))</f>
        <v/>
      </c>
      <c r="Y927" s="56" t="str">
        <f aca="false">IF($M927="","",IFERROR(INDEX(강사DB!$D$4:$D$53,MATCH($M927,강사DB!$A$4:$A$53,0)),""))</f>
        <v/>
      </c>
      <c r="Z927" s="56" t="str">
        <f aca="false">IF($B927&lt;&gt;"결제완료","",IF(OR($Y927="",$J927=""),"",$Y927*$J927+MAX(0,N($K927)-1)*설정!$J$7))</f>
        <v/>
      </c>
      <c r="AA927" s="56" t="str">
        <f aca="false">IF(AND($D927&lt;&gt;"",$B927="결제완료"),N($N927),"")</f>
        <v/>
      </c>
      <c r="AB927" s="45" t="str">
        <f aca="false">IF($D927="","",IF($F927&lt;&gt;"",$F927,$D927)&amp;IF($B927="상담중"," (상담)",""))</f>
        <v/>
      </c>
      <c r="AC927" s="45" t="n">
        <f aca="false">IF(AND($D927&lt;&gt;"",OR($B927="결제완료",$B927="상담중")),1,0)</f>
        <v>0</v>
      </c>
      <c r="AD927" s="45" t="n">
        <f aca="false">IF(OR($Z927="",$U927=""),0,IFERROR(IF(COUNTIFS(INDEX(g_grid,0,2*MATCH($M927,강사DB!$A$4:$A$15,0)),"&lt;&gt;",g_s,"&lt;="&amp;$U927,g_e,"&gt;="&amp;$U927)&gt;0,1,0),0))</f>
        <v>0</v>
      </c>
      <c r="AE927" s="48"/>
      <c r="AF927" s="56" t="str">
        <f aca="false">IF(AND($D927&lt;&gt;"",$B927="결제완료",$T927="대여"),설정!$J$5,"")</f>
        <v/>
      </c>
      <c r="AG927" s="54" t="str">
        <f aca="false">IF($D927="","",IF(AND($E927="",$R927=""),$AB927,"☎ "&amp;IF($E927="","-",$E927)&amp;IF($R927&lt;&gt;"","  ※ "&amp;$R927,"")&amp;IF($B927="상담중"," (상담)","")))</f>
        <v/>
      </c>
      <c r="AH927" s="56" t="str">
        <f aca="false">IF(AND($D927&lt;&gt;"",$B927="결제완료",$O927="스마트스토어"),ROUND(N($N927)*설정!$J$6,0),"")</f>
        <v/>
      </c>
      <c r="AI927" s="54" t="str">
        <f aca="false">IF($D927="","",ROW())</f>
        <v/>
      </c>
      <c r="AJ927" s="54" t="n">
        <f aca="false">IF(OR($AC927&lt;&gt;1,$M927=""),0,IF(ISNUMBER(SEARCH("퇴사",IFERROR(INDEX(강사DB!$G$4:$G$53,MATCH($M927,강사DB!$A$4:$A$53,0)),""))),1,0))</f>
        <v>0</v>
      </c>
    </row>
    <row r="928" customFormat="false" ht="15" hidden="false" customHeight="false" outlineLevel="0" collapsed="false">
      <c r="A928" s="45" t="str">
        <f aca="false">IF($D928="","",COUNTA($D$5:$D928))</f>
        <v/>
      </c>
      <c r="B928" s="46"/>
      <c r="C928" s="47"/>
      <c r="D928" s="48"/>
      <c r="E928" s="48"/>
      <c r="F928" s="49"/>
      <c r="G928" s="47"/>
      <c r="H928" s="50"/>
      <c r="I928" s="50"/>
      <c r="J928" s="51" t="str">
        <f aca="false">IF(OR($V928="",$W928=""),"",ROUND(($W928-$V928)/60,2))</f>
        <v/>
      </c>
      <c r="K928" s="52" t="str">
        <f aca="false">IF($F928="","",LEN($F928)-LEN(SUBSTITUTE($F928,",",""))+1)</f>
        <v/>
      </c>
      <c r="L928" s="45" t="str">
        <f aca="false">IF($K928="","","1:"&amp;$K928)</f>
        <v/>
      </c>
      <c r="M928" s="46"/>
      <c r="N928" s="53"/>
      <c r="O928" s="46"/>
      <c r="P928" s="47"/>
      <c r="Q928" s="48"/>
      <c r="R928" s="49"/>
      <c r="S928" s="54" t="str">
        <f aca="false">IF(OR($AC928=0,$U928="",$M928="",$V928="",$W928=""),"",IF(COUNTIFS(m_teacher,$M928,m_date,$U928,m_active,1,m_start,"&lt;"&amp;$W928,m_end,"&gt;"&amp;$V928)&gt;1,"충돌",""))</f>
        <v/>
      </c>
      <c r="T928" s="48"/>
      <c r="U928" s="55" t="str">
        <f aca="false">IF($G928="","",IFERROR(IF(ISNUMBER($G928),IF($G928&gt;19000000,DATE(INT($G928/10000),MOD(INT($G928/100),100),MOD($G928,100)),INT($G928)),IF(LEN(SUBSTITUTE(SUBSTITUTE(SUBSTITUTE(TRIM($G928),"-",""),".",""),"/",""))=8,DATE(VALUE(LEFT(SUBSTITUTE(SUBSTITUTE(SUBSTITUTE(TRIM($G928),"-",""),".",""),"/",""),4)),VALUE(MID(SUBSTITUTE(SUBSTITUTE(SUBSTITUTE(TRIM($G928),"-",""),".",""),"/",""),5,2)),VALUE(RIGHT(SUBSTITUTE(SUBSTITUTE(SUBSTITUTE(TRIM($G928),"-",""),".",""),"/",""),2))),DATEVALUE($G928))),""))</f>
        <v/>
      </c>
      <c r="V928" s="52" t="str">
        <f aca="false">IF($H928="","",IFERROR(IF(IF(ISNUMBER($H928),$H928,IFERROR(TIMEVALUE($H928),VALUE($H928)))&gt;=100,INT(IF(ISNUMBER($H928),$H928,IFERROR(TIMEVALUE($H928),VALUE($H928)))/100)*60+MOD(IF(ISNUMBER($H928),$H928,IFERROR(TIMEVALUE($H928),VALUE($H928))),100),IF(IF(ISNUMBER($H928),$H928,IFERROR(TIMEVALUE($H928),VALUE($H928)))&gt;=1,ROUND(IF(ISNUMBER($H928),$H928,IFERROR(TIMEVALUE($H928),VALUE($H928)))*60,0),ROUND(MOD(IF(ISNUMBER($H928),$H928,IFERROR(TIMEVALUE($H928),VALUE($H928))),1)*1440,0))),""))</f>
        <v/>
      </c>
      <c r="W928" s="52" t="str">
        <f aca="false">IF($I928="","",IFERROR(IF(IF(ISNUMBER($I928),$I928,IFERROR(TIMEVALUE($I928),VALUE($I928)))&gt;=100,INT(IF(ISNUMBER($I928),$I928,IFERROR(TIMEVALUE($I928),VALUE($I928)))/100)*60+MOD(IF(ISNUMBER($I928),$I928,IFERROR(TIMEVALUE($I928),VALUE($I928))),100),IF(IF(ISNUMBER($I928),$I928,IFERROR(TIMEVALUE($I928),VALUE($I928)))&gt;=1,ROUND(IF(ISNUMBER($I928),$I928,IFERROR(TIMEVALUE($I928),VALUE($I928)))*60,0),ROUND(MOD(IF(ISNUMBER($I928),$I928,IFERROR(TIMEVALUE($I928),VALUE($I928))),1)*1440,0))),""))</f>
        <v/>
      </c>
      <c r="X928" s="55" t="str">
        <f aca="false">IF($P928="","",IFERROR(IF(ISNUMBER($P928),IF($P928&gt;19000000,DATE(INT($P928/10000),MOD(INT($P928/100),100),MOD($P928,100)),INT($P928)),IF(LEN(SUBSTITUTE(SUBSTITUTE(SUBSTITUTE(TRIM($P928),"-",""),".",""),"/",""))=8,DATE(VALUE(LEFT(SUBSTITUTE(SUBSTITUTE(SUBSTITUTE(TRIM($P928),"-",""),".",""),"/",""),4)),VALUE(MID(SUBSTITUTE(SUBSTITUTE(SUBSTITUTE(TRIM($P928),"-",""),".",""),"/",""),5,2)),VALUE(RIGHT(SUBSTITUTE(SUBSTITUTE(SUBSTITUTE(TRIM($P928),"-",""),".",""),"/",""),2))),DATEVALUE($P928))),""))</f>
        <v/>
      </c>
      <c r="Y928" s="56" t="str">
        <f aca="false">IF($M928="","",IFERROR(INDEX(강사DB!$D$4:$D$53,MATCH($M928,강사DB!$A$4:$A$53,0)),""))</f>
        <v/>
      </c>
      <c r="Z928" s="56" t="str">
        <f aca="false">IF($B928&lt;&gt;"결제완료","",IF(OR($Y928="",$J928=""),"",$Y928*$J928+MAX(0,N($K928)-1)*설정!$J$7))</f>
        <v/>
      </c>
      <c r="AA928" s="56" t="str">
        <f aca="false">IF(AND($D928&lt;&gt;"",$B928="결제완료"),N($N928),"")</f>
        <v/>
      </c>
      <c r="AB928" s="45" t="str">
        <f aca="false">IF($D928="","",IF($F928&lt;&gt;"",$F928,$D928)&amp;IF($B928="상담중"," (상담)",""))</f>
        <v/>
      </c>
      <c r="AC928" s="45" t="n">
        <f aca="false">IF(AND($D928&lt;&gt;"",OR($B928="결제완료",$B928="상담중")),1,0)</f>
        <v>0</v>
      </c>
      <c r="AD928" s="45" t="n">
        <f aca="false">IF(OR($Z928="",$U928=""),0,IFERROR(IF(COUNTIFS(INDEX(g_grid,0,2*MATCH($M928,강사DB!$A$4:$A$15,0)),"&lt;&gt;",g_s,"&lt;="&amp;$U928,g_e,"&gt;="&amp;$U928)&gt;0,1,0),0))</f>
        <v>0</v>
      </c>
      <c r="AE928" s="48"/>
      <c r="AF928" s="56" t="str">
        <f aca="false">IF(AND($D928&lt;&gt;"",$B928="결제완료",$T928="대여"),설정!$J$5,"")</f>
        <v/>
      </c>
      <c r="AG928" s="54" t="str">
        <f aca="false">IF($D928="","",IF(AND($E928="",$R928=""),$AB928,"☎ "&amp;IF($E928="","-",$E928)&amp;IF($R928&lt;&gt;"","  ※ "&amp;$R928,"")&amp;IF($B928="상담중"," (상담)","")))</f>
        <v/>
      </c>
      <c r="AH928" s="56" t="str">
        <f aca="false">IF(AND($D928&lt;&gt;"",$B928="결제완료",$O928="스마트스토어"),ROUND(N($N928)*설정!$J$6,0),"")</f>
        <v/>
      </c>
      <c r="AI928" s="54" t="str">
        <f aca="false">IF($D928="","",ROW())</f>
        <v/>
      </c>
      <c r="AJ928" s="54" t="n">
        <f aca="false">IF(OR($AC928&lt;&gt;1,$M928=""),0,IF(ISNUMBER(SEARCH("퇴사",IFERROR(INDEX(강사DB!$G$4:$G$53,MATCH($M928,강사DB!$A$4:$A$53,0)),""))),1,0))</f>
        <v>0</v>
      </c>
    </row>
    <row r="929" customFormat="false" ht="15" hidden="false" customHeight="false" outlineLevel="0" collapsed="false">
      <c r="A929" s="45" t="str">
        <f aca="false">IF($D929="","",COUNTA($D$5:$D929))</f>
        <v/>
      </c>
      <c r="B929" s="46"/>
      <c r="C929" s="47"/>
      <c r="D929" s="48"/>
      <c r="E929" s="48"/>
      <c r="F929" s="49"/>
      <c r="G929" s="47"/>
      <c r="H929" s="50"/>
      <c r="I929" s="50"/>
      <c r="J929" s="51" t="str">
        <f aca="false">IF(OR($V929="",$W929=""),"",ROUND(($W929-$V929)/60,2))</f>
        <v/>
      </c>
      <c r="K929" s="52" t="str">
        <f aca="false">IF($F929="","",LEN($F929)-LEN(SUBSTITUTE($F929,",",""))+1)</f>
        <v/>
      </c>
      <c r="L929" s="45" t="str">
        <f aca="false">IF($K929="","","1:"&amp;$K929)</f>
        <v/>
      </c>
      <c r="M929" s="46"/>
      <c r="N929" s="53"/>
      <c r="O929" s="46"/>
      <c r="P929" s="47"/>
      <c r="Q929" s="48"/>
      <c r="R929" s="49"/>
      <c r="S929" s="54" t="str">
        <f aca="false">IF(OR($AC929=0,$U929="",$M929="",$V929="",$W929=""),"",IF(COUNTIFS(m_teacher,$M929,m_date,$U929,m_active,1,m_start,"&lt;"&amp;$W929,m_end,"&gt;"&amp;$V929)&gt;1,"충돌",""))</f>
        <v/>
      </c>
      <c r="T929" s="48"/>
      <c r="U929" s="55" t="str">
        <f aca="false">IF($G929="","",IFERROR(IF(ISNUMBER($G929),IF($G929&gt;19000000,DATE(INT($G929/10000),MOD(INT($G929/100),100),MOD($G929,100)),INT($G929)),IF(LEN(SUBSTITUTE(SUBSTITUTE(SUBSTITUTE(TRIM($G929),"-",""),".",""),"/",""))=8,DATE(VALUE(LEFT(SUBSTITUTE(SUBSTITUTE(SUBSTITUTE(TRIM($G929),"-",""),".",""),"/",""),4)),VALUE(MID(SUBSTITUTE(SUBSTITUTE(SUBSTITUTE(TRIM($G929),"-",""),".",""),"/",""),5,2)),VALUE(RIGHT(SUBSTITUTE(SUBSTITUTE(SUBSTITUTE(TRIM($G929),"-",""),".",""),"/",""),2))),DATEVALUE($G929))),""))</f>
        <v/>
      </c>
      <c r="V929" s="52" t="str">
        <f aca="false">IF($H929="","",IFERROR(IF(IF(ISNUMBER($H929),$H929,IFERROR(TIMEVALUE($H929),VALUE($H929)))&gt;=100,INT(IF(ISNUMBER($H929),$H929,IFERROR(TIMEVALUE($H929),VALUE($H929)))/100)*60+MOD(IF(ISNUMBER($H929),$H929,IFERROR(TIMEVALUE($H929),VALUE($H929))),100),IF(IF(ISNUMBER($H929),$H929,IFERROR(TIMEVALUE($H929),VALUE($H929)))&gt;=1,ROUND(IF(ISNUMBER($H929),$H929,IFERROR(TIMEVALUE($H929),VALUE($H929)))*60,0),ROUND(MOD(IF(ISNUMBER($H929),$H929,IFERROR(TIMEVALUE($H929),VALUE($H929))),1)*1440,0))),""))</f>
        <v/>
      </c>
      <c r="W929" s="52" t="str">
        <f aca="false">IF($I929="","",IFERROR(IF(IF(ISNUMBER($I929),$I929,IFERROR(TIMEVALUE($I929),VALUE($I929)))&gt;=100,INT(IF(ISNUMBER($I929),$I929,IFERROR(TIMEVALUE($I929),VALUE($I929)))/100)*60+MOD(IF(ISNUMBER($I929),$I929,IFERROR(TIMEVALUE($I929),VALUE($I929))),100),IF(IF(ISNUMBER($I929),$I929,IFERROR(TIMEVALUE($I929),VALUE($I929)))&gt;=1,ROUND(IF(ISNUMBER($I929),$I929,IFERROR(TIMEVALUE($I929),VALUE($I929)))*60,0),ROUND(MOD(IF(ISNUMBER($I929),$I929,IFERROR(TIMEVALUE($I929),VALUE($I929))),1)*1440,0))),""))</f>
        <v/>
      </c>
      <c r="X929" s="55" t="str">
        <f aca="false">IF($P929="","",IFERROR(IF(ISNUMBER($P929),IF($P929&gt;19000000,DATE(INT($P929/10000),MOD(INT($P929/100),100),MOD($P929,100)),INT($P929)),IF(LEN(SUBSTITUTE(SUBSTITUTE(SUBSTITUTE(TRIM($P929),"-",""),".",""),"/",""))=8,DATE(VALUE(LEFT(SUBSTITUTE(SUBSTITUTE(SUBSTITUTE(TRIM($P929),"-",""),".",""),"/",""),4)),VALUE(MID(SUBSTITUTE(SUBSTITUTE(SUBSTITUTE(TRIM($P929),"-",""),".",""),"/",""),5,2)),VALUE(RIGHT(SUBSTITUTE(SUBSTITUTE(SUBSTITUTE(TRIM($P929),"-",""),".",""),"/",""),2))),DATEVALUE($P929))),""))</f>
        <v/>
      </c>
      <c r="Y929" s="56" t="str">
        <f aca="false">IF($M929="","",IFERROR(INDEX(강사DB!$D$4:$D$53,MATCH($M929,강사DB!$A$4:$A$53,0)),""))</f>
        <v/>
      </c>
      <c r="Z929" s="56" t="str">
        <f aca="false">IF($B929&lt;&gt;"결제완료","",IF(OR($Y929="",$J929=""),"",$Y929*$J929+MAX(0,N($K929)-1)*설정!$J$7))</f>
        <v/>
      </c>
      <c r="AA929" s="56" t="str">
        <f aca="false">IF(AND($D929&lt;&gt;"",$B929="결제완료"),N($N929),"")</f>
        <v/>
      </c>
      <c r="AB929" s="45" t="str">
        <f aca="false">IF($D929="","",IF($F929&lt;&gt;"",$F929,$D929)&amp;IF($B929="상담중"," (상담)",""))</f>
        <v/>
      </c>
      <c r="AC929" s="45" t="n">
        <f aca="false">IF(AND($D929&lt;&gt;"",OR($B929="결제완료",$B929="상담중")),1,0)</f>
        <v>0</v>
      </c>
      <c r="AD929" s="45" t="n">
        <f aca="false">IF(OR($Z929="",$U929=""),0,IFERROR(IF(COUNTIFS(INDEX(g_grid,0,2*MATCH($M929,강사DB!$A$4:$A$15,0)),"&lt;&gt;",g_s,"&lt;="&amp;$U929,g_e,"&gt;="&amp;$U929)&gt;0,1,0),0))</f>
        <v>0</v>
      </c>
      <c r="AE929" s="48"/>
      <c r="AF929" s="56" t="str">
        <f aca="false">IF(AND($D929&lt;&gt;"",$B929="결제완료",$T929="대여"),설정!$J$5,"")</f>
        <v/>
      </c>
      <c r="AG929" s="54" t="str">
        <f aca="false">IF($D929="","",IF(AND($E929="",$R929=""),$AB929,"☎ "&amp;IF($E929="","-",$E929)&amp;IF($R929&lt;&gt;"","  ※ "&amp;$R929,"")&amp;IF($B929="상담중"," (상담)","")))</f>
        <v/>
      </c>
      <c r="AH929" s="56" t="str">
        <f aca="false">IF(AND($D929&lt;&gt;"",$B929="결제완료",$O929="스마트스토어"),ROUND(N($N929)*설정!$J$6,0),"")</f>
        <v/>
      </c>
      <c r="AI929" s="54" t="str">
        <f aca="false">IF($D929="","",ROW())</f>
        <v/>
      </c>
      <c r="AJ929" s="54" t="n">
        <f aca="false">IF(OR($AC929&lt;&gt;1,$M929=""),0,IF(ISNUMBER(SEARCH("퇴사",IFERROR(INDEX(강사DB!$G$4:$G$53,MATCH($M929,강사DB!$A$4:$A$53,0)),""))),1,0))</f>
        <v>0</v>
      </c>
    </row>
    <row r="930" customFormat="false" ht="15" hidden="false" customHeight="false" outlineLevel="0" collapsed="false">
      <c r="A930" s="45" t="str">
        <f aca="false">IF($D930="","",COUNTA($D$5:$D930))</f>
        <v/>
      </c>
      <c r="B930" s="46"/>
      <c r="C930" s="47"/>
      <c r="D930" s="48"/>
      <c r="E930" s="48"/>
      <c r="F930" s="49"/>
      <c r="G930" s="47"/>
      <c r="H930" s="50"/>
      <c r="I930" s="50"/>
      <c r="J930" s="51" t="str">
        <f aca="false">IF(OR($V930="",$W930=""),"",ROUND(($W930-$V930)/60,2))</f>
        <v/>
      </c>
      <c r="K930" s="52" t="str">
        <f aca="false">IF($F930="","",LEN($F930)-LEN(SUBSTITUTE($F930,",",""))+1)</f>
        <v/>
      </c>
      <c r="L930" s="45" t="str">
        <f aca="false">IF($K930="","","1:"&amp;$K930)</f>
        <v/>
      </c>
      <c r="M930" s="46"/>
      <c r="N930" s="53"/>
      <c r="O930" s="46"/>
      <c r="P930" s="47"/>
      <c r="Q930" s="48"/>
      <c r="R930" s="49"/>
      <c r="S930" s="54" t="str">
        <f aca="false">IF(OR($AC930=0,$U930="",$M930="",$V930="",$W930=""),"",IF(COUNTIFS(m_teacher,$M930,m_date,$U930,m_active,1,m_start,"&lt;"&amp;$W930,m_end,"&gt;"&amp;$V930)&gt;1,"충돌",""))</f>
        <v/>
      </c>
      <c r="T930" s="48"/>
      <c r="U930" s="55" t="str">
        <f aca="false">IF($G930="","",IFERROR(IF(ISNUMBER($G930),IF($G930&gt;19000000,DATE(INT($G930/10000),MOD(INT($G930/100),100),MOD($G930,100)),INT($G930)),IF(LEN(SUBSTITUTE(SUBSTITUTE(SUBSTITUTE(TRIM($G930),"-",""),".",""),"/",""))=8,DATE(VALUE(LEFT(SUBSTITUTE(SUBSTITUTE(SUBSTITUTE(TRIM($G930),"-",""),".",""),"/",""),4)),VALUE(MID(SUBSTITUTE(SUBSTITUTE(SUBSTITUTE(TRIM($G930),"-",""),".",""),"/",""),5,2)),VALUE(RIGHT(SUBSTITUTE(SUBSTITUTE(SUBSTITUTE(TRIM($G930),"-",""),".",""),"/",""),2))),DATEVALUE($G930))),""))</f>
        <v/>
      </c>
      <c r="V930" s="52" t="str">
        <f aca="false">IF($H930="","",IFERROR(IF(IF(ISNUMBER($H930),$H930,IFERROR(TIMEVALUE($H930),VALUE($H930)))&gt;=100,INT(IF(ISNUMBER($H930),$H930,IFERROR(TIMEVALUE($H930),VALUE($H930)))/100)*60+MOD(IF(ISNUMBER($H930),$H930,IFERROR(TIMEVALUE($H930),VALUE($H930))),100),IF(IF(ISNUMBER($H930),$H930,IFERROR(TIMEVALUE($H930),VALUE($H930)))&gt;=1,ROUND(IF(ISNUMBER($H930),$H930,IFERROR(TIMEVALUE($H930),VALUE($H930)))*60,0),ROUND(MOD(IF(ISNUMBER($H930),$H930,IFERROR(TIMEVALUE($H930),VALUE($H930))),1)*1440,0))),""))</f>
        <v/>
      </c>
      <c r="W930" s="52" t="str">
        <f aca="false">IF($I930="","",IFERROR(IF(IF(ISNUMBER($I930),$I930,IFERROR(TIMEVALUE($I930),VALUE($I930)))&gt;=100,INT(IF(ISNUMBER($I930),$I930,IFERROR(TIMEVALUE($I930),VALUE($I930)))/100)*60+MOD(IF(ISNUMBER($I930),$I930,IFERROR(TIMEVALUE($I930),VALUE($I930))),100),IF(IF(ISNUMBER($I930),$I930,IFERROR(TIMEVALUE($I930),VALUE($I930)))&gt;=1,ROUND(IF(ISNUMBER($I930),$I930,IFERROR(TIMEVALUE($I930),VALUE($I930)))*60,0),ROUND(MOD(IF(ISNUMBER($I930),$I930,IFERROR(TIMEVALUE($I930),VALUE($I930))),1)*1440,0))),""))</f>
        <v/>
      </c>
      <c r="X930" s="55" t="str">
        <f aca="false">IF($P930="","",IFERROR(IF(ISNUMBER($P930),IF($P930&gt;19000000,DATE(INT($P930/10000),MOD(INT($P930/100),100),MOD($P930,100)),INT($P930)),IF(LEN(SUBSTITUTE(SUBSTITUTE(SUBSTITUTE(TRIM($P930),"-",""),".",""),"/",""))=8,DATE(VALUE(LEFT(SUBSTITUTE(SUBSTITUTE(SUBSTITUTE(TRIM($P930),"-",""),".",""),"/",""),4)),VALUE(MID(SUBSTITUTE(SUBSTITUTE(SUBSTITUTE(TRIM($P930),"-",""),".",""),"/",""),5,2)),VALUE(RIGHT(SUBSTITUTE(SUBSTITUTE(SUBSTITUTE(TRIM($P930),"-",""),".",""),"/",""),2))),DATEVALUE($P930))),""))</f>
        <v/>
      </c>
      <c r="Y930" s="56" t="str">
        <f aca="false">IF($M930="","",IFERROR(INDEX(강사DB!$D$4:$D$53,MATCH($M930,강사DB!$A$4:$A$53,0)),""))</f>
        <v/>
      </c>
      <c r="Z930" s="56" t="str">
        <f aca="false">IF($B930&lt;&gt;"결제완료","",IF(OR($Y930="",$J930=""),"",$Y930*$J930+MAX(0,N($K930)-1)*설정!$J$7))</f>
        <v/>
      </c>
      <c r="AA930" s="56" t="str">
        <f aca="false">IF(AND($D930&lt;&gt;"",$B930="결제완료"),N($N930),"")</f>
        <v/>
      </c>
      <c r="AB930" s="45" t="str">
        <f aca="false">IF($D930="","",IF($F930&lt;&gt;"",$F930,$D930)&amp;IF($B930="상담중"," (상담)",""))</f>
        <v/>
      </c>
      <c r="AC930" s="45" t="n">
        <f aca="false">IF(AND($D930&lt;&gt;"",OR($B930="결제완료",$B930="상담중")),1,0)</f>
        <v>0</v>
      </c>
      <c r="AD930" s="45" t="n">
        <f aca="false">IF(OR($Z930="",$U930=""),0,IFERROR(IF(COUNTIFS(INDEX(g_grid,0,2*MATCH($M930,강사DB!$A$4:$A$15,0)),"&lt;&gt;",g_s,"&lt;="&amp;$U930,g_e,"&gt;="&amp;$U930)&gt;0,1,0),0))</f>
        <v>0</v>
      </c>
      <c r="AE930" s="48"/>
      <c r="AF930" s="56" t="str">
        <f aca="false">IF(AND($D930&lt;&gt;"",$B930="결제완료",$T930="대여"),설정!$J$5,"")</f>
        <v/>
      </c>
      <c r="AG930" s="54" t="str">
        <f aca="false">IF($D930="","",IF(AND($E930="",$R930=""),$AB930,"☎ "&amp;IF($E930="","-",$E930)&amp;IF($R930&lt;&gt;"","  ※ "&amp;$R930,"")&amp;IF($B930="상담중"," (상담)","")))</f>
        <v/>
      </c>
      <c r="AH930" s="56" t="str">
        <f aca="false">IF(AND($D930&lt;&gt;"",$B930="결제완료",$O930="스마트스토어"),ROUND(N($N930)*설정!$J$6,0),"")</f>
        <v/>
      </c>
      <c r="AI930" s="54" t="str">
        <f aca="false">IF($D930="","",ROW())</f>
        <v/>
      </c>
      <c r="AJ930" s="54" t="n">
        <f aca="false">IF(OR($AC930&lt;&gt;1,$M930=""),0,IF(ISNUMBER(SEARCH("퇴사",IFERROR(INDEX(강사DB!$G$4:$G$53,MATCH($M930,강사DB!$A$4:$A$53,0)),""))),1,0))</f>
        <v>0</v>
      </c>
    </row>
    <row r="931" customFormat="false" ht="15" hidden="false" customHeight="false" outlineLevel="0" collapsed="false">
      <c r="A931" s="45" t="str">
        <f aca="false">IF($D931="","",COUNTA($D$5:$D931))</f>
        <v/>
      </c>
      <c r="B931" s="46"/>
      <c r="C931" s="47"/>
      <c r="D931" s="48"/>
      <c r="E931" s="48"/>
      <c r="F931" s="49"/>
      <c r="G931" s="47"/>
      <c r="H931" s="50"/>
      <c r="I931" s="50"/>
      <c r="J931" s="51" t="str">
        <f aca="false">IF(OR($V931="",$W931=""),"",ROUND(($W931-$V931)/60,2))</f>
        <v/>
      </c>
      <c r="K931" s="52" t="str">
        <f aca="false">IF($F931="","",LEN($F931)-LEN(SUBSTITUTE($F931,",",""))+1)</f>
        <v/>
      </c>
      <c r="L931" s="45" t="str">
        <f aca="false">IF($K931="","","1:"&amp;$K931)</f>
        <v/>
      </c>
      <c r="M931" s="46"/>
      <c r="N931" s="53"/>
      <c r="O931" s="46"/>
      <c r="P931" s="47"/>
      <c r="Q931" s="48"/>
      <c r="R931" s="49"/>
      <c r="S931" s="54" t="str">
        <f aca="false">IF(OR($AC931=0,$U931="",$M931="",$V931="",$W931=""),"",IF(COUNTIFS(m_teacher,$M931,m_date,$U931,m_active,1,m_start,"&lt;"&amp;$W931,m_end,"&gt;"&amp;$V931)&gt;1,"충돌",""))</f>
        <v/>
      </c>
      <c r="T931" s="48"/>
      <c r="U931" s="55" t="str">
        <f aca="false">IF($G931="","",IFERROR(IF(ISNUMBER($G931),IF($G931&gt;19000000,DATE(INT($G931/10000),MOD(INT($G931/100),100),MOD($G931,100)),INT($G931)),IF(LEN(SUBSTITUTE(SUBSTITUTE(SUBSTITUTE(TRIM($G931),"-",""),".",""),"/",""))=8,DATE(VALUE(LEFT(SUBSTITUTE(SUBSTITUTE(SUBSTITUTE(TRIM($G931),"-",""),".",""),"/",""),4)),VALUE(MID(SUBSTITUTE(SUBSTITUTE(SUBSTITUTE(TRIM($G931),"-",""),".",""),"/",""),5,2)),VALUE(RIGHT(SUBSTITUTE(SUBSTITUTE(SUBSTITUTE(TRIM($G931),"-",""),".",""),"/",""),2))),DATEVALUE($G931))),""))</f>
        <v/>
      </c>
      <c r="V931" s="52" t="str">
        <f aca="false">IF($H931="","",IFERROR(IF(IF(ISNUMBER($H931),$H931,IFERROR(TIMEVALUE($H931),VALUE($H931)))&gt;=100,INT(IF(ISNUMBER($H931),$H931,IFERROR(TIMEVALUE($H931),VALUE($H931)))/100)*60+MOD(IF(ISNUMBER($H931),$H931,IFERROR(TIMEVALUE($H931),VALUE($H931))),100),IF(IF(ISNUMBER($H931),$H931,IFERROR(TIMEVALUE($H931),VALUE($H931)))&gt;=1,ROUND(IF(ISNUMBER($H931),$H931,IFERROR(TIMEVALUE($H931),VALUE($H931)))*60,0),ROUND(MOD(IF(ISNUMBER($H931),$H931,IFERROR(TIMEVALUE($H931),VALUE($H931))),1)*1440,0))),""))</f>
        <v/>
      </c>
      <c r="W931" s="52" t="str">
        <f aca="false">IF($I931="","",IFERROR(IF(IF(ISNUMBER($I931),$I931,IFERROR(TIMEVALUE($I931),VALUE($I931)))&gt;=100,INT(IF(ISNUMBER($I931),$I931,IFERROR(TIMEVALUE($I931),VALUE($I931)))/100)*60+MOD(IF(ISNUMBER($I931),$I931,IFERROR(TIMEVALUE($I931),VALUE($I931))),100),IF(IF(ISNUMBER($I931),$I931,IFERROR(TIMEVALUE($I931),VALUE($I931)))&gt;=1,ROUND(IF(ISNUMBER($I931),$I931,IFERROR(TIMEVALUE($I931),VALUE($I931)))*60,0),ROUND(MOD(IF(ISNUMBER($I931),$I931,IFERROR(TIMEVALUE($I931),VALUE($I931))),1)*1440,0))),""))</f>
        <v/>
      </c>
      <c r="X931" s="55" t="str">
        <f aca="false">IF($P931="","",IFERROR(IF(ISNUMBER($P931),IF($P931&gt;19000000,DATE(INT($P931/10000),MOD(INT($P931/100),100),MOD($P931,100)),INT($P931)),IF(LEN(SUBSTITUTE(SUBSTITUTE(SUBSTITUTE(TRIM($P931),"-",""),".",""),"/",""))=8,DATE(VALUE(LEFT(SUBSTITUTE(SUBSTITUTE(SUBSTITUTE(TRIM($P931),"-",""),".",""),"/",""),4)),VALUE(MID(SUBSTITUTE(SUBSTITUTE(SUBSTITUTE(TRIM($P931),"-",""),".",""),"/",""),5,2)),VALUE(RIGHT(SUBSTITUTE(SUBSTITUTE(SUBSTITUTE(TRIM($P931),"-",""),".",""),"/",""),2))),DATEVALUE($P931))),""))</f>
        <v/>
      </c>
      <c r="Y931" s="56" t="str">
        <f aca="false">IF($M931="","",IFERROR(INDEX(강사DB!$D$4:$D$53,MATCH($M931,강사DB!$A$4:$A$53,0)),""))</f>
        <v/>
      </c>
      <c r="Z931" s="56" t="str">
        <f aca="false">IF($B931&lt;&gt;"결제완료","",IF(OR($Y931="",$J931=""),"",$Y931*$J931+MAX(0,N($K931)-1)*설정!$J$7))</f>
        <v/>
      </c>
      <c r="AA931" s="56" t="str">
        <f aca="false">IF(AND($D931&lt;&gt;"",$B931="결제완료"),N($N931),"")</f>
        <v/>
      </c>
      <c r="AB931" s="45" t="str">
        <f aca="false">IF($D931="","",IF($F931&lt;&gt;"",$F931,$D931)&amp;IF($B931="상담중"," (상담)",""))</f>
        <v/>
      </c>
      <c r="AC931" s="45" t="n">
        <f aca="false">IF(AND($D931&lt;&gt;"",OR($B931="결제완료",$B931="상담중")),1,0)</f>
        <v>0</v>
      </c>
      <c r="AD931" s="45" t="n">
        <f aca="false">IF(OR($Z931="",$U931=""),0,IFERROR(IF(COUNTIFS(INDEX(g_grid,0,2*MATCH($M931,강사DB!$A$4:$A$15,0)),"&lt;&gt;",g_s,"&lt;="&amp;$U931,g_e,"&gt;="&amp;$U931)&gt;0,1,0),0))</f>
        <v>0</v>
      </c>
      <c r="AE931" s="48"/>
      <c r="AF931" s="56" t="str">
        <f aca="false">IF(AND($D931&lt;&gt;"",$B931="결제완료",$T931="대여"),설정!$J$5,"")</f>
        <v/>
      </c>
      <c r="AG931" s="54" t="str">
        <f aca="false">IF($D931="","",IF(AND($E931="",$R931=""),$AB931,"☎ "&amp;IF($E931="","-",$E931)&amp;IF($R931&lt;&gt;"","  ※ "&amp;$R931,"")&amp;IF($B931="상담중"," (상담)","")))</f>
        <v/>
      </c>
      <c r="AH931" s="56" t="str">
        <f aca="false">IF(AND($D931&lt;&gt;"",$B931="결제완료",$O931="스마트스토어"),ROUND(N($N931)*설정!$J$6,0),"")</f>
        <v/>
      </c>
      <c r="AI931" s="54" t="str">
        <f aca="false">IF($D931="","",ROW())</f>
        <v/>
      </c>
      <c r="AJ931" s="54" t="n">
        <f aca="false">IF(OR($AC931&lt;&gt;1,$M931=""),0,IF(ISNUMBER(SEARCH("퇴사",IFERROR(INDEX(강사DB!$G$4:$G$53,MATCH($M931,강사DB!$A$4:$A$53,0)),""))),1,0))</f>
        <v>0</v>
      </c>
    </row>
    <row r="932" customFormat="false" ht="15" hidden="false" customHeight="false" outlineLevel="0" collapsed="false">
      <c r="A932" s="45" t="str">
        <f aca="false">IF($D932="","",COUNTA($D$5:$D932))</f>
        <v/>
      </c>
      <c r="B932" s="46"/>
      <c r="C932" s="47"/>
      <c r="D932" s="48"/>
      <c r="E932" s="48"/>
      <c r="F932" s="49"/>
      <c r="G932" s="47"/>
      <c r="H932" s="50"/>
      <c r="I932" s="50"/>
      <c r="J932" s="51" t="str">
        <f aca="false">IF(OR($V932="",$W932=""),"",ROUND(($W932-$V932)/60,2))</f>
        <v/>
      </c>
      <c r="K932" s="52" t="str">
        <f aca="false">IF($F932="","",LEN($F932)-LEN(SUBSTITUTE($F932,",",""))+1)</f>
        <v/>
      </c>
      <c r="L932" s="45" t="str">
        <f aca="false">IF($K932="","","1:"&amp;$K932)</f>
        <v/>
      </c>
      <c r="M932" s="46"/>
      <c r="N932" s="53"/>
      <c r="O932" s="46"/>
      <c r="P932" s="47"/>
      <c r="Q932" s="48"/>
      <c r="R932" s="49"/>
      <c r="S932" s="54" t="str">
        <f aca="false">IF(OR($AC932=0,$U932="",$M932="",$V932="",$W932=""),"",IF(COUNTIFS(m_teacher,$M932,m_date,$U932,m_active,1,m_start,"&lt;"&amp;$W932,m_end,"&gt;"&amp;$V932)&gt;1,"충돌",""))</f>
        <v/>
      </c>
      <c r="T932" s="48"/>
      <c r="U932" s="55" t="str">
        <f aca="false">IF($G932="","",IFERROR(IF(ISNUMBER($G932),IF($G932&gt;19000000,DATE(INT($G932/10000),MOD(INT($G932/100),100),MOD($G932,100)),INT($G932)),IF(LEN(SUBSTITUTE(SUBSTITUTE(SUBSTITUTE(TRIM($G932),"-",""),".",""),"/",""))=8,DATE(VALUE(LEFT(SUBSTITUTE(SUBSTITUTE(SUBSTITUTE(TRIM($G932),"-",""),".",""),"/",""),4)),VALUE(MID(SUBSTITUTE(SUBSTITUTE(SUBSTITUTE(TRIM($G932),"-",""),".",""),"/",""),5,2)),VALUE(RIGHT(SUBSTITUTE(SUBSTITUTE(SUBSTITUTE(TRIM($G932),"-",""),".",""),"/",""),2))),DATEVALUE($G932))),""))</f>
        <v/>
      </c>
      <c r="V932" s="52" t="str">
        <f aca="false">IF($H932="","",IFERROR(IF(IF(ISNUMBER($H932),$H932,IFERROR(TIMEVALUE($H932),VALUE($H932)))&gt;=100,INT(IF(ISNUMBER($H932),$H932,IFERROR(TIMEVALUE($H932),VALUE($H932)))/100)*60+MOD(IF(ISNUMBER($H932),$H932,IFERROR(TIMEVALUE($H932),VALUE($H932))),100),IF(IF(ISNUMBER($H932),$H932,IFERROR(TIMEVALUE($H932),VALUE($H932)))&gt;=1,ROUND(IF(ISNUMBER($H932),$H932,IFERROR(TIMEVALUE($H932),VALUE($H932)))*60,0),ROUND(MOD(IF(ISNUMBER($H932),$H932,IFERROR(TIMEVALUE($H932),VALUE($H932))),1)*1440,0))),""))</f>
        <v/>
      </c>
      <c r="W932" s="52" t="str">
        <f aca="false">IF($I932="","",IFERROR(IF(IF(ISNUMBER($I932),$I932,IFERROR(TIMEVALUE($I932),VALUE($I932)))&gt;=100,INT(IF(ISNUMBER($I932),$I932,IFERROR(TIMEVALUE($I932),VALUE($I932)))/100)*60+MOD(IF(ISNUMBER($I932),$I932,IFERROR(TIMEVALUE($I932),VALUE($I932))),100),IF(IF(ISNUMBER($I932),$I932,IFERROR(TIMEVALUE($I932),VALUE($I932)))&gt;=1,ROUND(IF(ISNUMBER($I932),$I932,IFERROR(TIMEVALUE($I932),VALUE($I932)))*60,0),ROUND(MOD(IF(ISNUMBER($I932),$I932,IFERROR(TIMEVALUE($I932),VALUE($I932))),1)*1440,0))),""))</f>
        <v/>
      </c>
      <c r="X932" s="55" t="str">
        <f aca="false">IF($P932="","",IFERROR(IF(ISNUMBER($P932),IF($P932&gt;19000000,DATE(INT($P932/10000),MOD(INT($P932/100),100),MOD($P932,100)),INT($P932)),IF(LEN(SUBSTITUTE(SUBSTITUTE(SUBSTITUTE(TRIM($P932),"-",""),".",""),"/",""))=8,DATE(VALUE(LEFT(SUBSTITUTE(SUBSTITUTE(SUBSTITUTE(TRIM($P932),"-",""),".",""),"/",""),4)),VALUE(MID(SUBSTITUTE(SUBSTITUTE(SUBSTITUTE(TRIM($P932),"-",""),".",""),"/",""),5,2)),VALUE(RIGHT(SUBSTITUTE(SUBSTITUTE(SUBSTITUTE(TRIM($P932),"-",""),".",""),"/",""),2))),DATEVALUE($P932))),""))</f>
        <v/>
      </c>
      <c r="Y932" s="56" t="str">
        <f aca="false">IF($M932="","",IFERROR(INDEX(강사DB!$D$4:$D$53,MATCH($M932,강사DB!$A$4:$A$53,0)),""))</f>
        <v/>
      </c>
      <c r="Z932" s="56" t="str">
        <f aca="false">IF($B932&lt;&gt;"결제완료","",IF(OR($Y932="",$J932=""),"",$Y932*$J932+MAX(0,N($K932)-1)*설정!$J$7))</f>
        <v/>
      </c>
      <c r="AA932" s="56" t="str">
        <f aca="false">IF(AND($D932&lt;&gt;"",$B932="결제완료"),N($N932),"")</f>
        <v/>
      </c>
      <c r="AB932" s="45" t="str">
        <f aca="false">IF($D932="","",IF($F932&lt;&gt;"",$F932,$D932)&amp;IF($B932="상담중"," (상담)",""))</f>
        <v/>
      </c>
      <c r="AC932" s="45" t="n">
        <f aca="false">IF(AND($D932&lt;&gt;"",OR($B932="결제완료",$B932="상담중")),1,0)</f>
        <v>0</v>
      </c>
      <c r="AD932" s="45" t="n">
        <f aca="false">IF(OR($Z932="",$U932=""),0,IFERROR(IF(COUNTIFS(INDEX(g_grid,0,2*MATCH($M932,강사DB!$A$4:$A$15,0)),"&lt;&gt;",g_s,"&lt;="&amp;$U932,g_e,"&gt;="&amp;$U932)&gt;0,1,0),0))</f>
        <v>0</v>
      </c>
      <c r="AE932" s="48"/>
      <c r="AF932" s="56" t="str">
        <f aca="false">IF(AND($D932&lt;&gt;"",$B932="결제완료",$T932="대여"),설정!$J$5,"")</f>
        <v/>
      </c>
      <c r="AG932" s="54" t="str">
        <f aca="false">IF($D932="","",IF(AND($E932="",$R932=""),$AB932,"☎ "&amp;IF($E932="","-",$E932)&amp;IF($R932&lt;&gt;"","  ※ "&amp;$R932,"")&amp;IF($B932="상담중"," (상담)","")))</f>
        <v/>
      </c>
      <c r="AH932" s="56" t="str">
        <f aca="false">IF(AND($D932&lt;&gt;"",$B932="결제완료",$O932="스마트스토어"),ROUND(N($N932)*설정!$J$6,0),"")</f>
        <v/>
      </c>
      <c r="AI932" s="54" t="str">
        <f aca="false">IF($D932="","",ROW())</f>
        <v/>
      </c>
      <c r="AJ932" s="54" t="n">
        <f aca="false">IF(OR($AC932&lt;&gt;1,$M932=""),0,IF(ISNUMBER(SEARCH("퇴사",IFERROR(INDEX(강사DB!$G$4:$G$53,MATCH($M932,강사DB!$A$4:$A$53,0)),""))),1,0))</f>
        <v>0</v>
      </c>
    </row>
    <row r="933" customFormat="false" ht="15" hidden="false" customHeight="false" outlineLevel="0" collapsed="false">
      <c r="A933" s="45" t="str">
        <f aca="false">IF($D933="","",COUNTA($D$5:$D933))</f>
        <v/>
      </c>
      <c r="B933" s="46"/>
      <c r="C933" s="47"/>
      <c r="D933" s="48"/>
      <c r="E933" s="48"/>
      <c r="F933" s="49"/>
      <c r="G933" s="47"/>
      <c r="H933" s="50"/>
      <c r="I933" s="50"/>
      <c r="J933" s="51" t="str">
        <f aca="false">IF(OR($V933="",$W933=""),"",ROUND(($W933-$V933)/60,2))</f>
        <v/>
      </c>
      <c r="K933" s="52" t="str">
        <f aca="false">IF($F933="","",LEN($F933)-LEN(SUBSTITUTE($F933,",",""))+1)</f>
        <v/>
      </c>
      <c r="L933" s="45" t="str">
        <f aca="false">IF($K933="","","1:"&amp;$K933)</f>
        <v/>
      </c>
      <c r="M933" s="46"/>
      <c r="N933" s="53"/>
      <c r="O933" s="46"/>
      <c r="P933" s="47"/>
      <c r="Q933" s="48"/>
      <c r="R933" s="49"/>
      <c r="S933" s="54" t="str">
        <f aca="false">IF(OR($AC933=0,$U933="",$M933="",$V933="",$W933=""),"",IF(COUNTIFS(m_teacher,$M933,m_date,$U933,m_active,1,m_start,"&lt;"&amp;$W933,m_end,"&gt;"&amp;$V933)&gt;1,"충돌",""))</f>
        <v/>
      </c>
      <c r="T933" s="48"/>
      <c r="U933" s="55" t="str">
        <f aca="false">IF($G933="","",IFERROR(IF(ISNUMBER($G933),IF($G933&gt;19000000,DATE(INT($G933/10000),MOD(INT($G933/100),100),MOD($G933,100)),INT($G933)),IF(LEN(SUBSTITUTE(SUBSTITUTE(SUBSTITUTE(TRIM($G933),"-",""),".",""),"/",""))=8,DATE(VALUE(LEFT(SUBSTITUTE(SUBSTITUTE(SUBSTITUTE(TRIM($G933),"-",""),".",""),"/",""),4)),VALUE(MID(SUBSTITUTE(SUBSTITUTE(SUBSTITUTE(TRIM($G933),"-",""),".",""),"/",""),5,2)),VALUE(RIGHT(SUBSTITUTE(SUBSTITUTE(SUBSTITUTE(TRIM($G933),"-",""),".",""),"/",""),2))),DATEVALUE($G933))),""))</f>
        <v/>
      </c>
      <c r="V933" s="52" t="str">
        <f aca="false">IF($H933="","",IFERROR(IF(IF(ISNUMBER($H933),$H933,IFERROR(TIMEVALUE($H933),VALUE($H933)))&gt;=100,INT(IF(ISNUMBER($H933),$H933,IFERROR(TIMEVALUE($H933),VALUE($H933)))/100)*60+MOD(IF(ISNUMBER($H933),$H933,IFERROR(TIMEVALUE($H933),VALUE($H933))),100),IF(IF(ISNUMBER($H933),$H933,IFERROR(TIMEVALUE($H933),VALUE($H933)))&gt;=1,ROUND(IF(ISNUMBER($H933),$H933,IFERROR(TIMEVALUE($H933),VALUE($H933)))*60,0),ROUND(MOD(IF(ISNUMBER($H933),$H933,IFERROR(TIMEVALUE($H933),VALUE($H933))),1)*1440,0))),""))</f>
        <v/>
      </c>
      <c r="W933" s="52" t="str">
        <f aca="false">IF($I933="","",IFERROR(IF(IF(ISNUMBER($I933),$I933,IFERROR(TIMEVALUE($I933),VALUE($I933)))&gt;=100,INT(IF(ISNUMBER($I933),$I933,IFERROR(TIMEVALUE($I933),VALUE($I933)))/100)*60+MOD(IF(ISNUMBER($I933),$I933,IFERROR(TIMEVALUE($I933),VALUE($I933))),100),IF(IF(ISNUMBER($I933),$I933,IFERROR(TIMEVALUE($I933),VALUE($I933)))&gt;=1,ROUND(IF(ISNUMBER($I933),$I933,IFERROR(TIMEVALUE($I933),VALUE($I933)))*60,0),ROUND(MOD(IF(ISNUMBER($I933),$I933,IFERROR(TIMEVALUE($I933),VALUE($I933))),1)*1440,0))),""))</f>
        <v/>
      </c>
      <c r="X933" s="55" t="str">
        <f aca="false">IF($P933="","",IFERROR(IF(ISNUMBER($P933),IF($P933&gt;19000000,DATE(INT($P933/10000),MOD(INT($P933/100),100),MOD($P933,100)),INT($P933)),IF(LEN(SUBSTITUTE(SUBSTITUTE(SUBSTITUTE(TRIM($P933),"-",""),".",""),"/",""))=8,DATE(VALUE(LEFT(SUBSTITUTE(SUBSTITUTE(SUBSTITUTE(TRIM($P933),"-",""),".",""),"/",""),4)),VALUE(MID(SUBSTITUTE(SUBSTITUTE(SUBSTITUTE(TRIM($P933),"-",""),".",""),"/",""),5,2)),VALUE(RIGHT(SUBSTITUTE(SUBSTITUTE(SUBSTITUTE(TRIM($P933),"-",""),".",""),"/",""),2))),DATEVALUE($P933))),""))</f>
        <v/>
      </c>
      <c r="Y933" s="56" t="str">
        <f aca="false">IF($M933="","",IFERROR(INDEX(강사DB!$D$4:$D$53,MATCH($M933,강사DB!$A$4:$A$53,0)),""))</f>
        <v/>
      </c>
      <c r="Z933" s="56" t="str">
        <f aca="false">IF($B933&lt;&gt;"결제완료","",IF(OR($Y933="",$J933=""),"",$Y933*$J933+MAX(0,N($K933)-1)*설정!$J$7))</f>
        <v/>
      </c>
      <c r="AA933" s="56" t="str">
        <f aca="false">IF(AND($D933&lt;&gt;"",$B933="결제완료"),N($N933),"")</f>
        <v/>
      </c>
      <c r="AB933" s="45" t="str">
        <f aca="false">IF($D933="","",IF($F933&lt;&gt;"",$F933,$D933)&amp;IF($B933="상담중"," (상담)",""))</f>
        <v/>
      </c>
      <c r="AC933" s="45" t="n">
        <f aca="false">IF(AND($D933&lt;&gt;"",OR($B933="결제완료",$B933="상담중")),1,0)</f>
        <v>0</v>
      </c>
      <c r="AD933" s="45" t="n">
        <f aca="false">IF(OR($Z933="",$U933=""),0,IFERROR(IF(COUNTIFS(INDEX(g_grid,0,2*MATCH($M933,강사DB!$A$4:$A$15,0)),"&lt;&gt;",g_s,"&lt;="&amp;$U933,g_e,"&gt;="&amp;$U933)&gt;0,1,0),0))</f>
        <v>0</v>
      </c>
      <c r="AE933" s="48"/>
      <c r="AF933" s="56" t="str">
        <f aca="false">IF(AND($D933&lt;&gt;"",$B933="결제완료",$T933="대여"),설정!$J$5,"")</f>
        <v/>
      </c>
      <c r="AG933" s="54" t="str">
        <f aca="false">IF($D933="","",IF(AND($E933="",$R933=""),$AB933,"☎ "&amp;IF($E933="","-",$E933)&amp;IF($R933&lt;&gt;"","  ※ "&amp;$R933,"")&amp;IF($B933="상담중"," (상담)","")))</f>
        <v/>
      </c>
      <c r="AH933" s="56" t="str">
        <f aca="false">IF(AND($D933&lt;&gt;"",$B933="결제완료",$O933="스마트스토어"),ROUND(N($N933)*설정!$J$6,0),"")</f>
        <v/>
      </c>
      <c r="AI933" s="54" t="str">
        <f aca="false">IF($D933="","",ROW())</f>
        <v/>
      </c>
      <c r="AJ933" s="54" t="n">
        <f aca="false">IF(OR($AC933&lt;&gt;1,$M933=""),0,IF(ISNUMBER(SEARCH("퇴사",IFERROR(INDEX(강사DB!$G$4:$G$53,MATCH($M933,강사DB!$A$4:$A$53,0)),""))),1,0))</f>
        <v>0</v>
      </c>
    </row>
    <row r="934" customFormat="false" ht="15" hidden="false" customHeight="false" outlineLevel="0" collapsed="false">
      <c r="A934" s="45" t="str">
        <f aca="false">IF($D934="","",COUNTA($D$5:$D934))</f>
        <v/>
      </c>
      <c r="B934" s="46"/>
      <c r="C934" s="47"/>
      <c r="D934" s="48"/>
      <c r="E934" s="48"/>
      <c r="F934" s="49"/>
      <c r="G934" s="47"/>
      <c r="H934" s="50"/>
      <c r="I934" s="50"/>
      <c r="J934" s="51" t="str">
        <f aca="false">IF(OR($V934="",$W934=""),"",ROUND(($W934-$V934)/60,2))</f>
        <v/>
      </c>
      <c r="K934" s="52" t="str">
        <f aca="false">IF($F934="","",LEN($F934)-LEN(SUBSTITUTE($F934,",",""))+1)</f>
        <v/>
      </c>
      <c r="L934" s="45" t="str">
        <f aca="false">IF($K934="","","1:"&amp;$K934)</f>
        <v/>
      </c>
      <c r="M934" s="46"/>
      <c r="N934" s="53"/>
      <c r="O934" s="46"/>
      <c r="P934" s="47"/>
      <c r="Q934" s="48"/>
      <c r="R934" s="49"/>
      <c r="S934" s="54" t="str">
        <f aca="false">IF(OR($AC934=0,$U934="",$M934="",$V934="",$W934=""),"",IF(COUNTIFS(m_teacher,$M934,m_date,$U934,m_active,1,m_start,"&lt;"&amp;$W934,m_end,"&gt;"&amp;$V934)&gt;1,"충돌",""))</f>
        <v/>
      </c>
      <c r="T934" s="48"/>
      <c r="U934" s="55" t="str">
        <f aca="false">IF($G934="","",IFERROR(IF(ISNUMBER($G934),IF($G934&gt;19000000,DATE(INT($G934/10000),MOD(INT($G934/100),100),MOD($G934,100)),INT($G934)),IF(LEN(SUBSTITUTE(SUBSTITUTE(SUBSTITUTE(TRIM($G934),"-",""),".",""),"/",""))=8,DATE(VALUE(LEFT(SUBSTITUTE(SUBSTITUTE(SUBSTITUTE(TRIM($G934),"-",""),".",""),"/",""),4)),VALUE(MID(SUBSTITUTE(SUBSTITUTE(SUBSTITUTE(TRIM($G934),"-",""),".",""),"/",""),5,2)),VALUE(RIGHT(SUBSTITUTE(SUBSTITUTE(SUBSTITUTE(TRIM($G934),"-",""),".",""),"/",""),2))),DATEVALUE($G934))),""))</f>
        <v/>
      </c>
      <c r="V934" s="52" t="str">
        <f aca="false">IF($H934="","",IFERROR(IF(IF(ISNUMBER($H934),$H934,IFERROR(TIMEVALUE($H934),VALUE($H934)))&gt;=100,INT(IF(ISNUMBER($H934),$H934,IFERROR(TIMEVALUE($H934),VALUE($H934)))/100)*60+MOD(IF(ISNUMBER($H934),$H934,IFERROR(TIMEVALUE($H934),VALUE($H934))),100),IF(IF(ISNUMBER($H934),$H934,IFERROR(TIMEVALUE($H934),VALUE($H934)))&gt;=1,ROUND(IF(ISNUMBER($H934),$H934,IFERROR(TIMEVALUE($H934),VALUE($H934)))*60,0),ROUND(MOD(IF(ISNUMBER($H934),$H934,IFERROR(TIMEVALUE($H934),VALUE($H934))),1)*1440,0))),""))</f>
        <v/>
      </c>
      <c r="W934" s="52" t="str">
        <f aca="false">IF($I934="","",IFERROR(IF(IF(ISNUMBER($I934),$I934,IFERROR(TIMEVALUE($I934),VALUE($I934)))&gt;=100,INT(IF(ISNUMBER($I934),$I934,IFERROR(TIMEVALUE($I934),VALUE($I934)))/100)*60+MOD(IF(ISNUMBER($I934),$I934,IFERROR(TIMEVALUE($I934),VALUE($I934))),100),IF(IF(ISNUMBER($I934),$I934,IFERROR(TIMEVALUE($I934),VALUE($I934)))&gt;=1,ROUND(IF(ISNUMBER($I934),$I934,IFERROR(TIMEVALUE($I934),VALUE($I934)))*60,0),ROUND(MOD(IF(ISNUMBER($I934),$I934,IFERROR(TIMEVALUE($I934),VALUE($I934))),1)*1440,0))),""))</f>
        <v/>
      </c>
      <c r="X934" s="55" t="str">
        <f aca="false">IF($P934="","",IFERROR(IF(ISNUMBER($P934),IF($P934&gt;19000000,DATE(INT($P934/10000),MOD(INT($P934/100),100),MOD($P934,100)),INT($P934)),IF(LEN(SUBSTITUTE(SUBSTITUTE(SUBSTITUTE(TRIM($P934),"-",""),".",""),"/",""))=8,DATE(VALUE(LEFT(SUBSTITUTE(SUBSTITUTE(SUBSTITUTE(TRIM($P934),"-",""),".",""),"/",""),4)),VALUE(MID(SUBSTITUTE(SUBSTITUTE(SUBSTITUTE(TRIM($P934),"-",""),".",""),"/",""),5,2)),VALUE(RIGHT(SUBSTITUTE(SUBSTITUTE(SUBSTITUTE(TRIM($P934),"-",""),".",""),"/",""),2))),DATEVALUE($P934))),""))</f>
        <v/>
      </c>
      <c r="Y934" s="56" t="str">
        <f aca="false">IF($M934="","",IFERROR(INDEX(강사DB!$D$4:$D$53,MATCH($M934,강사DB!$A$4:$A$53,0)),""))</f>
        <v/>
      </c>
      <c r="Z934" s="56" t="str">
        <f aca="false">IF($B934&lt;&gt;"결제완료","",IF(OR($Y934="",$J934=""),"",$Y934*$J934+MAX(0,N($K934)-1)*설정!$J$7))</f>
        <v/>
      </c>
      <c r="AA934" s="56" t="str">
        <f aca="false">IF(AND($D934&lt;&gt;"",$B934="결제완료"),N($N934),"")</f>
        <v/>
      </c>
      <c r="AB934" s="45" t="str">
        <f aca="false">IF($D934="","",IF($F934&lt;&gt;"",$F934,$D934)&amp;IF($B934="상담중"," (상담)",""))</f>
        <v/>
      </c>
      <c r="AC934" s="45" t="n">
        <f aca="false">IF(AND($D934&lt;&gt;"",OR($B934="결제완료",$B934="상담중")),1,0)</f>
        <v>0</v>
      </c>
      <c r="AD934" s="45" t="n">
        <f aca="false">IF(OR($Z934="",$U934=""),0,IFERROR(IF(COUNTIFS(INDEX(g_grid,0,2*MATCH($M934,강사DB!$A$4:$A$15,0)),"&lt;&gt;",g_s,"&lt;="&amp;$U934,g_e,"&gt;="&amp;$U934)&gt;0,1,0),0))</f>
        <v>0</v>
      </c>
      <c r="AE934" s="48"/>
      <c r="AF934" s="56" t="str">
        <f aca="false">IF(AND($D934&lt;&gt;"",$B934="결제완료",$T934="대여"),설정!$J$5,"")</f>
        <v/>
      </c>
      <c r="AG934" s="54" t="str">
        <f aca="false">IF($D934="","",IF(AND($E934="",$R934=""),$AB934,"☎ "&amp;IF($E934="","-",$E934)&amp;IF($R934&lt;&gt;"","  ※ "&amp;$R934,"")&amp;IF($B934="상담중"," (상담)","")))</f>
        <v/>
      </c>
      <c r="AH934" s="56" t="str">
        <f aca="false">IF(AND($D934&lt;&gt;"",$B934="결제완료",$O934="스마트스토어"),ROUND(N($N934)*설정!$J$6,0),"")</f>
        <v/>
      </c>
      <c r="AI934" s="54" t="str">
        <f aca="false">IF($D934="","",ROW())</f>
        <v/>
      </c>
      <c r="AJ934" s="54" t="n">
        <f aca="false">IF(OR($AC934&lt;&gt;1,$M934=""),0,IF(ISNUMBER(SEARCH("퇴사",IFERROR(INDEX(강사DB!$G$4:$G$53,MATCH($M934,강사DB!$A$4:$A$53,0)),""))),1,0))</f>
        <v>0</v>
      </c>
    </row>
    <row r="935" customFormat="false" ht="15" hidden="false" customHeight="false" outlineLevel="0" collapsed="false">
      <c r="A935" s="45" t="str">
        <f aca="false">IF($D935="","",COUNTA($D$5:$D935))</f>
        <v/>
      </c>
      <c r="B935" s="46"/>
      <c r="C935" s="47"/>
      <c r="D935" s="48"/>
      <c r="E935" s="48"/>
      <c r="F935" s="49"/>
      <c r="G935" s="47"/>
      <c r="H935" s="50"/>
      <c r="I935" s="50"/>
      <c r="J935" s="51" t="str">
        <f aca="false">IF(OR($V935="",$W935=""),"",ROUND(($W935-$V935)/60,2))</f>
        <v/>
      </c>
      <c r="K935" s="52" t="str">
        <f aca="false">IF($F935="","",LEN($F935)-LEN(SUBSTITUTE($F935,",",""))+1)</f>
        <v/>
      </c>
      <c r="L935" s="45" t="str">
        <f aca="false">IF($K935="","","1:"&amp;$K935)</f>
        <v/>
      </c>
      <c r="M935" s="46"/>
      <c r="N935" s="53"/>
      <c r="O935" s="46"/>
      <c r="P935" s="47"/>
      <c r="Q935" s="48"/>
      <c r="R935" s="49"/>
      <c r="S935" s="54" t="str">
        <f aca="false">IF(OR($AC935=0,$U935="",$M935="",$V935="",$W935=""),"",IF(COUNTIFS(m_teacher,$M935,m_date,$U935,m_active,1,m_start,"&lt;"&amp;$W935,m_end,"&gt;"&amp;$V935)&gt;1,"충돌",""))</f>
        <v/>
      </c>
      <c r="T935" s="48"/>
      <c r="U935" s="55" t="str">
        <f aca="false">IF($G935="","",IFERROR(IF(ISNUMBER($G935),IF($G935&gt;19000000,DATE(INT($G935/10000),MOD(INT($G935/100),100),MOD($G935,100)),INT($G935)),IF(LEN(SUBSTITUTE(SUBSTITUTE(SUBSTITUTE(TRIM($G935),"-",""),".",""),"/",""))=8,DATE(VALUE(LEFT(SUBSTITUTE(SUBSTITUTE(SUBSTITUTE(TRIM($G935),"-",""),".",""),"/",""),4)),VALUE(MID(SUBSTITUTE(SUBSTITUTE(SUBSTITUTE(TRIM($G935),"-",""),".",""),"/",""),5,2)),VALUE(RIGHT(SUBSTITUTE(SUBSTITUTE(SUBSTITUTE(TRIM($G935),"-",""),".",""),"/",""),2))),DATEVALUE($G935))),""))</f>
        <v/>
      </c>
      <c r="V935" s="52" t="str">
        <f aca="false">IF($H935="","",IFERROR(IF(IF(ISNUMBER($H935),$H935,IFERROR(TIMEVALUE($H935),VALUE($H935)))&gt;=100,INT(IF(ISNUMBER($H935),$H935,IFERROR(TIMEVALUE($H935),VALUE($H935)))/100)*60+MOD(IF(ISNUMBER($H935),$H935,IFERROR(TIMEVALUE($H935),VALUE($H935))),100),IF(IF(ISNUMBER($H935),$H935,IFERROR(TIMEVALUE($H935),VALUE($H935)))&gt;=1,ROUND(IF(ISNUMBER($H935),$H935,IFERROR(TIMEVALUE($H935),VALUE($H935)))*60,0),ROUND(MOD(IF(ISNUMBER($H935),$H935,IFERROR(TIMEVALUE($H935),VALUE($H935))),1)*1440,0))),""))</f>
        <v/>
      </c>
      <c r="W935" s="52" t="str">
        <f aca="false">IF($I935="","",IFERROR(IF(IF(ISNUMBER($I935),$I935,IFERROR(TIMEVALUE($I935),VALUE($I935)))&gt;=100,INT(IF(ISNUMBER($I935),$I935,IFERROR(TIMEVALUE($I935),VALUE($I935)))/100)*60+MOD(IF(ISNUMBER($I935),$I935,IFERROR(TIMEVALUE($I935),VALUE($I935))),100),IF(IF(ISNUMBER($I935),$I935,IFERROR(TIMEVALUE($I935),VALUE($I935)))&gt;=1,ROUND(IF(ISNUMBER($I935),$I935,IFERROR(TIMEVALUE($I935),VALUE($I935)))*60,0),ROUND(MOD(IF(ISNUMBER($I935),$I935,IFERROR(TIMEVALUE($I935),VALUE($I935))),1)*1440,0))),""))</f>
        <v/>
      </c>
      <c r="X935" s="55" t="str">
        <f aca="false">IF($P935="","",IFERROR(IF(ISNUMBER($P935),IF($P935&gt;19000000,DATE(INT($P935/10000),MOD(INT($P935/100),100),MOD($P935,100)),INT($P935)),IF(LEN(SUBSTITUTE(SUBSTITUTE(SUBSTITUTE(TRIM($P935),"-",""),".",""),"/",""))=8,DATE(VALUE(LEFT(SUBSTITUTE(SUBSTITUTE(SUBSTITUTE(TRIM($P935),"-",""),".",""),"/",""),4)),VALUE(MID(SUBSTITUTE(SUBSTITUTE(SUBSTITUTE(TRIM($P935),"-",""),".",""),"/",""),5,2)),VALUE(RIGHT(SUBSTITUTE(SUBSTITUTE(SUBSTITUTE(TRIM($P935),"-",""),".",""),"/",""),2))),DATEVALUE($P935))),""))</f>
        <v/>
      </c>
      <c r="Y935" s="56" t="str">
        <f aca="false">IF($M935="","",IFERROR(INDEX(강사DB!$D$4:$D$53,MATCH($M935,강사DB!$A$4:$A$53,0)),""))</f>
        <v/>
      </c>
      <c r="Z935" s="56" t="str">
        <f aca="false">IF($B935&lt;&gt;"결제완료","",IF(OR($Y935="",$J935=""),"",$Y935*$J935+MAX(0,N($K935)-1)*설정!$J$7))</f>
        <v/>
      </c>
      <c r="AA935" s="56" t="str">
        <f aca="false">IF(AND($D935&lt;&gt;"",$B935="결제완료"),N($N935),"")</f>
        <v/>
      </c>
      <c r="AB935" s="45" t="str">
        <f aca="false">IF($D935="","",IF($F935&lt;&gt;"",$F935,$D935)&amp;IF($B935="상담중"," (상담)",""))</f>
        <v/>
      </c>
      <c r="AC935" s="45" t="n">
        <f aca="false">IF(AND($D935&lt;&gt;"",OR($B935="결제완료",$B935="상담중")),1,0)</f>
        <v>0</v>
      </c>
      <c r="AD935" s="45" t="n">
        <f aca="false">IF(OR($Z935="",$U935=""),0,IFERROR(IF(COUNTIFS(INDEX(g_grid,0,2*MATCH($M935,강사DB!$A$4:$A$15,0)),"&lt;&gt;",g_s,"&lt;="&amp;$U935,g_e,"&gt;="&amp;$U935)&gt;0,1,0),0))</f>
        <v>0</v>
      </c>
      <c r="AE935" s="48"/>
      <c r="AF935" s="56" t="str">
        <f aca="false">IF(AND($D935&lt;&gt;"",$B935="결제완료",$T935="대여"),설정!$J$5,"")</f>
        <v/>
      </c>
      <c r="AG935" s="54" t="str">
        <f aca="false">IF($D935="","",IF(AND($E935="",$R935=""),$AB935,"☎ "&amp;IF($E935="","-",$E935)&amp;IF($R935&lt;&gt;"","  ※ "&amp;$R935,"")&amp;IF($B935="상담중"," (상담)","")))</f>
        <v/>
      </c>
      <c r="AH935" s="56" t="str">
        <f aca="false">IF(AND($D935&lt;&gt;"",$B935="결제완료",$O935="스마트스토어"),ROUND(N($N935)*설정!$J$6,0),"")</f>
        <v/>
      </c>
      <c r="AI935" s="54" t="str">
        <f aca="false">IF($D935="","",ROW())</f>
        <v/>
      </c>
      <c r="AJ935" s="54" t="n">
        <f aca="false">IF(OR($AC935&lt;&gt;1,$M935=""),0,IF(ISNUMBER(SEARCH("퇴사",IFERROR(INDEX(강사DB!$G$4:$G$53,MATCH($M935,강사DB!$A$4:$A$53,0)),""))),1,0))</f>
        <v>0</v>
      </c>
    </row>
    <row r="936" customFormat="false" ht="15" hidden="false" customHeight="false" outlineLevel="0" collapsed="false">
      <c r="A936" s="45" t="str">
        <f aca="false">IF($D936="","",COUNTA($D$5:$D936))</f>
        <v/>
      </c>
      <c r="B936" s="46"/>
      <c r="C936" s="47"/>
      <c r="D936" s="48"/>
      <c r="E936" s="48"/>
      <c r="F936" s="49"/>
      <c r="G936" s="47"/>
      <c r="H936" s="50"/>
      <c r="I936" s="50"/>
      <c r="J936" s="51" t="str">
        <f aca="false">IF(OR($V936="",$W936=""),"",ROUND(($W936-$V936)/60,2))</f>
        <v/>
      </c>
      <c r="K936" s="52" t="str">
        <f aca="false">IF($F936="","",LEN($F936)-LEN(SUBSTITUTE($F936,",",""))+1)</f>
        <v/>
      </c>
      <c r="L936" s="45" t="str">
        <f aca="false">IF($K936="","","1:"&amp;$K936)</f>
        <v/>
      </c>
      <c r="M936" s="46"/>
      <c r="N936" s="53"/>
      <c r="O936" s="46"/>
      <c r="P936" s="47"/>
      <c r="Q936" s="48"/>
      <c r="R936" s="49"/>
      <c r="S936" s="54" t="str">
        <f aca="false">IF(OR($AC936=0,$U936="",$M936="",$V936="",$W936=""),"",IF(COUNTIFS(m_teacher,$M936,m_date,$U936,m_active,1,m_start,"&lt;"&amp;$W936,m_end,"&gt;"&amp;$V936)&gt;1,"충돌",""))</f>
        <v/>
      </c>
      <c r="T936" s="48"/>
      <c r="U936" s="55" t="str">
        <f aca="false">IF($G936="","",IFERROR(IF(ISNUMBER($G936),IF($G936&gt;19000000,DATE(INT($G936/10000),MOD(INT($G936/100),100),MOD($G936,100)),INT($G936)),IF(LEN(SUBSTITUTE(SUBSTITUTE(SUBSTITUTE(TRIM($G936),"-",""),".",""),"/",""))=8,DATE(VALUE(LEFT(SUBSTITUTE(SUBSTITUTE(SUBSTITUTE(TRIM($G936),"-",""),".",""),"/",""),4)),VALUE(MID(SUBSTITUTE(SUBSTITUTE(SUBSTITUTE(TRIM($G936),"-",""),".",""),"/",""),5,2)),VALUE(RIGHT(SUBSTITUTE(SUBSTITUTE(SUBSTITUTE(TRIM($G936),"-",""),".",""),"/",""),2))),DATEVALUE($G936))),""))</f>
        <v/>
      </c>
      <c r="V936" s="52" t="str">
        <f aca="false">IF($H936="","",IFERROR(IF(IF(ISNUMBER($H936),$H936,IFERROR(TIMEVALUE($H936),VALUE($H936)))&gt;=100,INT(IF(ISNUMBER($H936),$H936,IFERROR(TIMEVALUE($H936),VALUE($H936)))/100)*60+MOD(IF(ISNUMBER($H936),$H936,IFERROR(TIMEVALUE($H936),VALUE($H936))),100),IF(IF(ISNUMBER($H936),$H936,IFERROR(TIMEVALUE($H936),VALUE($H936)))&gt;=1,ROUND(IF(ISNUMBER($H936),$H936,IFERROR(TIMEVALUE($H936),VALUE($H936)))*60,0),ROUND(MOD(IF(ISNUMBER($H936),$H936,IFERROR(TIMEVALUE($H936),VALUE($H936))),1)*1440,0))),""))</f>
        <v/>
      </c>
      <c r="W936" s="52" t="str">
        <f aca="false">IF($I936="","",IFERROR(IF(IF(ISNUMBER($I936),$I936,IFERROR(TIMEVALUE($I936),VALUE($I936)))&gt;=100,INT(IF(ISNUMBER($I936),$I936,IFERROR(TIMEVALUE($I936),VALUE($I936)))/100)*60+MOD(IF(ISNUMBER($I936),$I936,IFERROR(TIMEVALUE($I936),VALUE($I936))),100),IF(IF(ISNUMBER($I936),$I936,IFERROR(TIMEVALUE($I936),VALUE($I936)))&gt;=1,ROUND(IF(ISNUMBER($I936),$I936,IFERROR(TIMEVALUE($I936),VALUE($I936)))*60,0),ROUND(MOD(IF(ISNUMBER($I936),$I936,IFERROR(TIMEVALUE($I936),VALUE($I936))),1)*1440,0))),""))</f>
        <v/>
      </c>
      <c r="X936" s="55" t="str">
        <f aca="false">IF($P936="","",IFERROR(IF(ISNUMBER($P936),IF($P936&gt;19000000,DATE(INT($P936/10000),MOD(INT($P936/100),100),MOD($P936,100)),INT($P936)),IF(LEN(SUBSTITUTE(SUBSTITUTE(SUBSTITUTE(TRIM($P936),"-",""),".",""),"/",""))=8,DATE(VALUE(LEFT(SUBSTITUTE(SUBSTITUTE(SUBSTITUTE(TRIM($P936),"-",""),".",""),"/",""),4)),VALUE(MID(SUBSTITUTE(SUBSTITUTE(SUBSTITUTE(TRIM($P936),"-",""),".",""),"/",""),5,2)),VALUE(RIGHT(SUBSTITUTE(SUBSTITUTE(SUBSTITUTE(TRIM($P936),"-",""),".",""),"/",""),2))),DATEVALUE($P936))),""))</f>
        <v/>
      </c>
      <c r="Y936" s="56" t="str">
        <f aca="false">IF($M936="","",IFERROR(INDEX(강사DB!$D$4:$D$53,MATCH($M936,강사DB!$A$4:$A$53,0)),""))</f>
        <v/>
      </c>
      <c r="Z936" s="56" t="str">
        <f aca="false">IF($B936&lt;&gt;"결제완료","",IF(OR($Y936="",$J936=""),"",$Y936*$J936+MAX(0,N($K936)-1)*설정!$J$7))</f>
        <v/>
      </c>
      <c r="AA936" s="56" t="str">
        <f aca="false">IF(AND($D936&lt;&gt;"",$B936="결제완료"),N($N936),"")</f>
        <v/>
      </c>
      <c r="AB936" s="45" t="str">
        <f aca="false">IF($D936="","",IF($F936&lt;&gt;"",$F936,$D936)&amp;IF($B936="상담중"," (상담)",""))</f>
        <v/>
      </c>
      <c r="AC936" s="45" t="n">
        <f aca="false">IF(AND($D936&lt;&gt;"",OR($B936="결제완료",$B936="상담중")),1,0)</f>
        <v>0</v>
      </c>
      <c r="AD936" s="45" t="n">
        <f aca="false">IF(OR($Z936="",$U936=""),0,IFERROR(IF(COUNTIFS(INDEX(g_grid,0,2*MATCH($M936,강사DB!$A$4:$A$15,0)),"&lt;&gt;",g_s,"&lt;="&amp;$U936,g_e,"&gt;="&amp;$U936)&gt;0,1,0),0))</f>
        <v>0</v>
      </c>
      <c r="AE936" s="48"/>
      <c r="AF936" s="56" t="str">
        <f aca="false">IF(AND($D936&lt;&gt;"",$B936="결제완료",$T936="대여"),설정!$J$5,"")</f>
        <v/>
      </c>
      <c r="AG936" s="54" t="str">
        <f aca="false">IF($D936="","",IF(AND($E936="",$R936=""),$AB936,"☎ "&amp;IF($E936="","-",$E936)&amp;IF($R936&lt;&gt;"","  ※ "&amp;$R936,"")&amp;IF($B936="상담중"," (상담)","")))</f>
        <v/>
      </c>
      <c r="AH936" s="56" t="str">
        <f aca="false">IF(AND($D936&lt;&gt;"",$B936="결제완료",$O936="스마트스토어"),ROUND(N($N936)*설정!$J$6,0),"")</f>
        <v/>
      </c>
      <c r="AI936" s="54" t="str">
        <f aca="false">IF($D936="","",ROW())</f>
        <v/>
      </c>
      <c r="AJ936" s="54" t="n">
        <f aca="false">IF(OR($AC936&lt;&gt;1,$M936=""),0,IF(ISNUMBER(SEARCH("퇴사",IFERROR(INDEX(강사DB!$G$4:$G$53,MATCH($M936,강사DB!$A$4:$A$53,0)),""))),1,0))</f>
        <v>0</v>
      </c>
    </row>
    <row r="937" customFormat="false" ht="15" hidden="false" customHeight="false" outlineLevel="0" collapsed="false">
      <c r="A937" s="45" t="str">
        <f aca="false">IF($D937="","",COUNTA($D$5:$D937))</f>
        <v/>
      </c>
      <c r="B937" s="46"/>
      <c r="C937" s="47"/>
      <c r="D937" s="48"/>
      <c r="E937" s="48"/>
      <c r="F937" s="49"/>
      <c r="G937" s="47"/>
      <c r="H937" s="50"/>
      <c r="I937" s="50"/>
      <c r="J937" s="51" t="str">
        <f aca="false">IF(OR($V937="",$W937=""),"",ROUND(($W937-$V937)/60,2))</f>
        <v/>
      </c>
      <c r="K937" s="52" t="str">
        <f aca="false">IF($F937="","",LEN($F937)-LEN(SUBSTITUTE($F937,",",""))+1)</f>
        <v/>
      </c>
      <c r="L937" s="45" t="str">
        <f aca="false">IF($K937="","","1:"&amp;$K937)</f>
        <v/>
      </c>
      <c r="M937" s="46"/>
      <c r="N937" s="53"/>
      <c r="O937" s="46"/>
      <c r="P937" s="47"/>
      <c r="Q937" s="48"/>
      <c r="R937" s="49"/>
      <c r="S937" s="54" t="str">
        <f aca="false">IF(OR($AC937=0,$U937="",$M937="",$V937="",$W937=""),"",IF(COUNTIFS(m_teacher,$M937,m_date,$U937,m_active,1,m_start,"&lt;"&amp;$W937,m_end,"&gt;"&amp;$V937)&gt;1,"충돌",""))</f>
        <v/>
      </c>
      <c r="T937" s="48"/>
      <c r="U937" s="55" t="str">
        <f aca="false">IF($G937="","",IFERROR(IF(ISNUMBER($G937),IF($G937&gt;19000000,DATE(INT($G937/10000),MOD(INT($G937/100),100),MOD($G937,100)),INT($G937)),IF(LEN(SUBSTITUTE(SUBSTITUTE(SUBSTITUTE(TRIM($G937),"-",""),".",""),"/",""))=8,DATE(VALUE(LEFT(SUBSTITUTE(SUBSTITUTE(SUBSTITUTE(TRIM($G937),"-",""),".",""),"/",""),4)),VALUE(MID(SUBSTITUTE(SUBSTITUTE(SUBSTITUTE(TRIM($G937),"-",""),".",""),"/",""),5,2)),VALUE(RIGHT(SUBSTITUTE(SUBSTITUTE(SUBSTITUTE(TRIM($G937),"-",""),".",""),"/",""),2))),DATEVALUE($G937))),""))</f>
        <v/>
      </c>
      <c r="V937" s="52" t="str">
        <f aca="false">IF($H937="","",IFERROR(IF(IF(ISNUMBER($H937),$H937,IFERROR(TIMEVALUE($H937),VALUE($H937)))&gt;=100,INT(IF(ISNUMBER($H937),$H937,IFERROR(TIMEVALUE($H937),VALUE($H937)))/100)*60+MOD(IF(ISNUMBER($H937),$H937,IFERROR(TIMEVALUE($H937),VALUE($H937))),100),IF(IF(ISNUMBER($H937),$H937,IFERROR(TIMEVALUE($H937),VALUE($H937)))&gt;=1,ROUND(IF(ISNUMBER($H937),$H937,IFERROR(TIMEVALUE($H937),VALUE($H937)))*60,0),ROUND(MOD(IF(ISNUMBER($H937),$H937,IFERROR(TIMEVALUE($H937),VALUE($H937))),1)*1440,0))),""))</f>
        <v/>
      </c>
      <c r="W937" s="52" t="str">
        <f aca="false">IF($I937="","",IFERROR(IF(IF(ISNUMBER($I937),$I937,IFERROR(TIMEVALUE($I937),VALUE($I937)))&gt;=100,INT(IF(ISNUMBER($I937),$I937,IFERROR(TIMEVALUE($I937),VALUE($I937)))/100)*60+MOD(IF(ISNUMBER($I937),$I937,IFERROR(TIMEVALUE($I937),VALUE($I937))),100),IF(IF(ISNUMBER($I937),$I937,IFERROR(TIMEVALUE($I937),VALUE($I937)))&gt;=1,ROUND(IF(ISNUMBER($I937),$I937,IFERROR(TIMEVALUE($I937),VALUE($I937)))*60,0),ROUND(MOD(IF(ISNUMBER($I937),$I937,IFERROR(TIMEVALUE($I937),VALUE($I937))),1)*1440,0))),""))</f>
        <v/>
      </c>
      <c r="X937" s="55" t="str">
        <f aca="false">IF($P937="","",IFERROR(IF(ISNUMBER($P937),IF($P937&gt;19000000,DATE(INT($P937/10000),MOD(INT($P937/100),100),MOD($P937,100)),INT($P937)),IF(LEN(SUBSTITUTE(SUBSTITUTE(SUBSTITUTE(TRIM($P937),"-",""),".",""),"/",""))=8,DATE(VALUE(LEFT(SUBSTITUTE(SUBSTITUTE(SUBSTITUTE(TRIM($P937),"-",""),".",""),"/",""),4)),VALUE(MID(SUBSTITUTE(SUBSTITUTE(SUBSTITUTE(TRIM($P937),"-",""),".",""),"/",""),5,2)),VALUE(RIGHT(SUBSTITUTE(SUBSTITUTE(SUBSTITUTE(TRIM($P937),"-",""),".",""),"/",""),2))),DATEVALUE($P937))),""))</f>
        <v/>
      </c>
      <c r="Y937" s="56" t="str">
        <f aca="false">IF($M937="","",IFERROR(INDEX(강사DB!$D$4:$D$53,MATCH($M937,강사DB!$A$4:$A$53,0)),""))</f>
        <v/>
      </c>
      <c r="Z937" s="56" t="str">
        <f aca="false">IF($B937&lt;&gt;"결제완료","",IF(OR($Y937="",$J937=""),"",$Y937*$J937+MAX(0,N($K937)-1)*설정!$J$7))</f>
        <v/>
      </c>
      <c r="AA937" s="56" t="str">
        <f aca="false">IF(AND($D937&lt;&gt;"",$B937="결제완료"),N($N937),"")</f>
        <v/>
      </c>
      <c r="AB937" s="45" t="str">
        <f aca="false">IF($D937="","",IF($F937&lt;&gt;"",$F937,$D937)&amp;IF($B937="상담중"," (상담)",""))</f>
        <v/>
      </c>
      <c r="AC937" s="45" t="n">
        <f aca="false">IF(AND($D937&lt;&gt;"",OR($B937="결제완료",$B937="상담중")),1,0)</f>
        <v>0</v>
      </c>
      <c r="AD937" s="45" t="n">
        <f aca="false">IF(OR($Z937="",$U937=""),0,IFERROR(IF(COUNTIFS(INDEX(g_grid,0,2*MATCH($M937,강사DB!$A$4:$A$15,0)),"&lt;&gt;",g_s,"&lt;="&amp;$U937,g_e,"&gt;="&amp;$U937)&gt;0,1,0),0))</f>
        <v>0</v>
      </c>
      <c r="AE937" s="48"/>
      <c r="AF937" s="56" t="str">
        <f aca="false">IF(AND($D937&lt;&gt;"",$B937="결제완료",$T937="대여"),설정!$J$5,"")</f>
        <v/>
      </c>
      <c r="AG937" s="54" t="str">
        <f aca="false">IF($D937="","",IF(AND($E937="",$R937=""),$AB937,"☎ "&amp;IF($E937="","-",$E937)&amp;IF($R937&lt;&gt;"","  ※ "&amp;$R937,"")&amp;IF($B937="상담중"," (상담)","")))</f>
        <v/>
      </c>
      <c r="AH937" s="56" t="str">
        <f aca="false">IF(AND($D937&lt;&gt;"",$B937="결제완료",$O937="스마트스토어"),ROUND(N($N937)*설정!$J$6,0),"")</f>
        <v/>
      </c>
      <c r="AI937" s="54" t="str">
        <f aca="false">IF($D937="","",ROW())</f>
        <v/>
      </c>
      <c r="AJ937" s="54" t="n">
        <f aca="false">IF(OR($AC937&lt;&gt;1,$M937=""),0,IF(ISNUMBER(SEARCH("퇴사",IFERROR(INDEX(강사DB!$G$4:$G$53,MATCH($M937,강사DB!$A$4:$A$53,0)),""))),1,0))</f>
        <v>0</v>
      </c>
    </row>
    <row r="938" customFormat="false" ht="15" hidden="false" customHeight="false" outlineLevel="0" collapsed="false">
      <c r="A938" s="45" t="str">
        <f aca="false">IF($D938="","",COUNTA($D$5:$D938))</f>
        <v/>
      </c>
      <c r="B938" s="46"/>
      <c r="C938" s="47"/>
      <c r="D938" s="48"/>
      <c r="E938" s="48"/>
      <c r="F938" s="49"/>
      <c r="G938" s="47"/>
      <c r="H938" s="50"/>
      <c r="I938" s="50"/>
      <c r="J938" s="51" t="str">
        <f aca="false">IF(OR($V938="",$W938=""),"",ROUND(($W938-$V938)/60,2))</f>
        <v/>
      </c>
      <c r="K938" s="52" t="str">
        <f aca="false">IF($F938="","",LEN($F938)-LEN(SUBSTITUTE($F938,",",""))+1)</f>
        <v/>
      </c>
      <c r="L938" s="45" t="str">
        <f aca="false">IF($K938="","","1:"&amp;$K938)</f>
        <v/>
      </c>
      <c r="M938" s="46"/>
      <c r="N938" s="53"/>
      <c r="O938" s="46"/>
      <c r="P938" s="47"/>
      <c r="Q938" s="48"/>
      <c r="R938" s="49"/>
      <c r="S938" s="54" t="str">
        <f aca="false">IF(OR($AC938=0,$U938="",$M938="",$V938="",$W938=""),"",IF(COUNTIFS(m_teacher,$M938,m_date,$U938,m_active,1,m_start,"&lt;"&amp;$W938,m_end,"&gt;"&amp;$V938)&gt;1,"충돌",""))</f>
        <v/>
      </c>
      <c r="T938" s="48"/>
      <c r="U938" s="55" t="str">
        <f aca="false">IF($G938="","",IFERROR(IF(ISNUMBER($G938),IF($G938&gt;19000000,DATE(INT($G938/10000),MOD(INT($G938/100),100),MOD($G938,100)),INT($G938)),IF(LEN(SUBSTITUTE(SUBSTITUTE(SUBSTITUTE(TRIM($G938),"-",""),".",""),"/",""))=8,DATE(VALUE(LEFT(SUBSTITUTE(SUBSTITUTE(SUBSTITUTE(TRIM($G938),"-",""),".",""),"/",""),4)),VALUE(MID(SUBSTITUTE(SUBSTITUTE(SUBSTITUTE(TRIM($G938),"-",""),".",""),"/",""),5,2)),VALUE(RIGHT(SUBSTITUTE(SUBSTITUTE(SUBSTITUTE(TRIM($G938),"-",""),".",""),"/",""),2))),DATEVALUE($G938))),""))</f>
        <v/>
      </c>
      <c r="V938" s="52" t="str">
        <f aca="false">IF($H938="","",IFERROR(IF(IF(ISNUMBER($H938),$H938,IFERROR(TIMEVALUE($H938),VALUE($H938)))&gt;=100,INT(IF(ISNUMBER($H938),$H938,IFERROR(TIMEVALUE($H938),VALUE($H938)))/100)*60+MOD(IF(ISNUMBER($H938),$H938,IFERROR(TIMEVALUE($H938),VALUE($H938))),100),IF(IF(ISNUMBER($H938),$H938,IFERROR(TIMEVALUE($H938),VALUE($H938)))&gt;=1,ROUND(IF(ISNUMBER($H938),$H938,IFERROR(TIMEVALUE($H938),VALUE($H938)))*60,0),ROUND(MOD(IF(ISNUMBER($H938),$H938,IFERROR(TIMEVALUE($H938),VALUE($H938))),1)*1440,0))),""))</f>
        <v/>
      </c>
      <c r="W938" s="52" t="str">
        <f aca="false">IF($I938="","",IFERROR(IF(IF(ISNUMBER($I938),$I938,IFERROR(TIMEVALUE($I938),VALUE($I938)))&gt;=100,INT(IF(ISNUMBER($I938),$I938,IFERROR(TIMEVALUE($I938),VALUE($I938)))/100)*60+MOD(IF(ISNUMBER($I938),$I938,IFERROR(TIMEVALUE($I938),VALUE($I938))),100),IF(IF(ISNUMBER($I938),$I938,IFERROR(TIMEVALUE($I938),VALUE($I938)))&gt;=1,ROUND(IF(ISNUMBER($I938),$I938,IFERROR(TIMEVALUE($I938),VALUE($I938)))*60,0),ROUND(MOD(IF(ISNUMBER($I938),$I938,IFERROR(TIMEVALUE($I938),VALUE($I938))),1)*1440,0))),""))</f>
        <v/>
      </c>
      <c r="X938" s="55" t="str">
        <f aca="false">IF($P938="","",IFERROR(IF(ISNUMBER($P938),IF($P938&gt;19000000,DATE(INT($P938/10000),MOD(INT($P938/100),100),MOD($P938,100)),INT($P938)),IF(LEN(SUBSTITUTE(SUBSTITUTE(SUBSTITUTE(TRIM($P938),"-",""),".",""),"/",""))=8,DATE(VALUE(LEFT(SUBSTITUTE(SUBSTITUTE(SUBSTITUTE(TRIM($P938),"-",""),".",""),"/",""),4)),VALUE(MID(SUBSTITUTE(SUBSTITUTE(SUBSTITUTE(TRIM($P938),"-",""),".",""),"/",""),5,2)),VALUE(RIGHT(SUBSTITUTE(SUBSTITUTE(SUBSTITUTE(TRIM($P938),"-",""),".",""),"/",""),2))),DATEVALUE($P938))),""))</f>
        <v/>
      </c>
      <c r="Y938" s="56" t="str">
        <f aca="false">IF($M938="","",IFERROR(INDEX(강사DB!$D$4:$D$53,MATCH($M938,강사DB!$A$4:$A$53,0)),""))</f>
        <v/>
      </c>
      <c r="Z938" s="56" t="str">
        <f aca="false">IF($B938&lt;&gt;"결제완료","",IF(OR($Y938="",$J938=""),"",$Y938*$J938+MAX(0,N($K938)-1)*설정!$J$7))</f>
        <v/>
      </c>
      <c r="AA938" s="56" t="str">
        <f aca="false">IF(AND($D938&lt;&gt;"",$B938="결제완료"),N($N938),"")</f>
        <v/>
      </c>
      <c r="AB938" s="45" t="str">
        <f aca="false">IF($D938="","",IF($F938&lt;&gt;"",$F938,$D938)&amp;IF($B938="상담중"," (상담)",""))</f>
        <v/>
      </c>
      <c r="AC938" s="45" t="n">
        <f aca="false">IF(AND($D938&lt;&gt;"",OR($B938="결제완료",$B938="상담중")),1,0)</f>
        <v>0</v>
      </c>
      <c r="AD938" s="45" t="n">
        <f aca="false">IF(OR($Z938="",$U938=""),0,IFERROR(IF(COUNTIFS(INDEX(g_grid,0,2*MATCH($M938,강사DB!$A$4:$A$15,0)),"&lt;&gt;",g_s,"&lt;="&amp;$U938,g_e,"&gt;="&amp;$U938)&gt;0,1,0),0))</f>
        <v>0</v>
      </c>
      <c r="AE938" s="48"/>
      <c r="AF938" s="56" t="str">
        <f aca="false">IF(AND($D938&lt;&gt;"",$B938="결제완료",$T938="대여"),설정!$J$5,"")</f>
        <v/>
      </c>
      <c r="AG938" s="54" t="str">
        <f aca="false">IF($D938="","",IF(AND($E938="",$R938=""),$AB938,"☎ "&amp;IF($E938="","-",$E938)&amp;IF($R938&lt;&gt;"","  ※ "&amp;$R938,"")&amp;IF($B938="상담중"," (상담)","")))</f>
        <v/>
      </c>
      <c r="AH938" s="56" t="str">
        <f aca="false">IF(AND($D938&lt;&gt;"",$B938="결제완료",$O938="스마트스토어"),ROUND(N($N938)*설정!$J$6,0),"")</f>
        <v/>
      </c>
      <c r="AI938" s="54" t="str">
        <f aca="false">IF($D938="","",ROW())</f>
        <v/>
      </c>
      <c r="AJ938" s="54" t="n">
        <f aca="false">IF(OR($AC938&lt;&gt;1,$M938=""),0,IF(ISNUMBER(SEARCH("퇴사",IFERROR(INDEX(강사DB!$G$4:$G$53,MATCH($M938,강사DB!$A$4:$A$53,0)),""))),1,0))</f>
        <v>0</v>
      </c>
    </row>
    <row r="939" customFormat="false" ht="15" hidden="false" customHeight="false" outlineLevel="0" collapsed="false">
      <c r="A939" s="45" t="str">
        <f aca="false">IF($D939="","",COUNTA($D$5:$D939))</f>
        <v/>
      </c>
      <c r="B939" s="46"/>
      <c r="C939" s="47"/>
      <c r="D939" s="48"/>
      <c r="E939" s="48"/>
      <c r="F939" s="49"/>
      <c r="G939" s="47"/>
      <c r="H939" s="50"/>
      <c r="I939" s="50"/>
      <c r="J939" s="51" t="str">
        <f aca="false">IF(OR($V939="",$W939=""),"",ROUND(($W939-$V939)/60,2))</f>
        <v/>
      </c>
      <c r="K939" s="52" t="str">
        <f aca="false">IF($F939="","",LEN($F939)-LEN(SUBSTITUTE($F939,",",""))+1)</f>
        <v/>
      </c>
      <c r="L939" s="45" t="str">
        <f aca="false">IF($K939="","","1:"&amp;$K939)</f>
        <v/>
      </c>
      <c r="M939" s="46"/>
      <c r="N939" s="53"/>
      <c r="O939" s="46"/>
      <c r="P939" s="47"/>
      <c r="Q939" s="48"/>
      <c r="R939" s="49"/>
      <c r="S939" s="54" t="str">
        <f aca="false">IF(OR($AC939=0,$U939="",$M939="",$V939="",$W939=""),"",IF(COUNTIFS(m_teacher,$M939,m_date,$U939,m_active,1,m_start,"&lt;"&amp;$W939,m_end,"&gt;"&amp;$V939)&gt;1,"충돌",""))</f>
        <v/>
      </c>
      <c r="T939" s="48"/>
      <c r="U939" s="55" t="str">
        <f aca="false">IF($G939="","",IFERROR(IF(ISNUMBER($G939),IF($G939&gt;19000000,DATE(INT($G939/10000),MOD(INT($G939/100),100),MOD($G939,100)),INT($G939)),IF(LEN(SUBSTITUTE(SUBSTITUTE(SUBSTITUTE(TRIM($G939),"-",""),".",""),"/",""))=8,DATE(VALUE(LEFT(SUBSTITUTE(SUBSTITUTE(SUBSTITUTE(TRIM($G939),"-",""),".",""),"/",""),4)),VALUE(MID(SUBSTITUTE(SUBSTITUTE(SUBSTITUTE(TRIM($G939),"-",""),".",""),"/",""),5,2)),VALUE(RIGHT(SUBSTITUTE(SUBSTITUTE(SUBSTITUTE(TRIM($G939),"-",""),".",""),"/",""),2))),DATEVALUE($G939))),""))</f>
        <v/>
      </c>
      <c r="V939" s="52" t="str">
        <f aca="false">IF($H939="","",IFERROR(IF(IF(ISNUMBER($H939),$H939,IFERROR(TIMEVALUE($H939),VALUE($H939)))&gt;=100,INT(IF(ISNUMBER($H939),$H939,IFERROR(TIMEVALUE($H939),VALUE($H939)))/100)*60+MOD(IF(ISNUMBER($H939),$H939,IFERROR(TIMEVALUE($H939),VALUE($H939))),100),IF(IF(ISNUMBER($H939),$H939,IFERROR(TIMEVALUE($H939),VALUE($H939)))&gt;=1,ROUND(IF(ISNUMBER($H939),$H939,IFERROR(TIMEVALUE($H939),VALUE($H939)))*60,0),ROUND(MOD(IF(ISNUMBER($H939),$H939,IFERROR(TIMEVALUE($H939),VALUE($H939))),1)*1440,0))),""))</f>
        <v/>
      </c>
      <c r="W939" s="52" t="str">
        <f aca="false">IF($I939="","",IFERROR(IF(IF(ISNUMBER($I939),$I939,IFERROR(TIMEVALUE($I939),VALUE($I939)))&gt;=100,INT(IF(ISNUMBER($I939),$I939,IFERROR(TIMEVALUE($I939),VALUE($I939)))/100)*60+MOD(IF(ISNUMBER($I939),$I939,IFERROR(TIMEVALUE($I939),VALUE($I939))),100),IF(IF(ISNUMBER($I939),$I939,IFERROR(TIMEVALUE($I939),VALUE($I939)))&gt;=1,ROUND(IF(ISNUMBER($I939),$I939,IFERROR(TIMEVALUE($I939),VALUE($I939)))*60,0),ROUND(MOD(IF(ISNUMBER($I939),$I939,IFERROR(TIMEVALUE($I939),VALUE($I939))),1)*1440,0))),""))</f>
        <v/>
      </c>
      <c r="X939" s="55" t="str">
        <f aca="false">IF($P939="","",IFERROR(IF(ISNUMBER($P939),IF($P939&gt;19000000,DATE(INT($P939/10000),MOD(INT($P939/100),100),MOD($P939,100)),INT($P939)),IF(LEN(SUBSTITUTE(SUBSTITUTE(SUBSTITUTE(TRIM($P939),"-",""),".",""),"/",""))=8,DATE(VALUE(LEFT(SUBSTITUTE(SUBSTITUTE(SUBSTITUTE(TRIM($P939),"-",""),".",""),"/",""),4)),VALUE(MID(SUBSTITUTE(SUBSTITUTE(SUBSTITUTE(TRIM($P939),"-",""),".",""),"/",""),5,2)),VALUE(RIGHT(SUBSTITUTE(SUBSTITUTE(SUBSTITUTE(TRIM($P939),"-",""),".",""),"/",""),2))),DATEVALUE($P939))),""))</f>
        <v/>
      </c>
      <c r="Y939" s="56" t="str">
        <f aca="false">IF($M939="","",IFERROR(INDEX(강사DB!$D$4:$D$53,MATCH($M939,강사DB!$A$4:$A$53,0)),""))</f>
        <v/>
      </c>
      <c r="Z939" s="56" t="str">
        <f aca="false">IF($B939&lt;&gt;"결제완료","",IF(OR($Y939="",$J939=""),"",$Y939*$J939+MAX(0,N($K939)-1)*설정!$J$7))</f>
        <v/>
      </c>
      <c r="AA939" s="56" t="str">
        <f aca="false">IF(AND($D939&lt;&gt;"",$B939="결제완료"),N($N939),"")</f>
        <v/>
      </c>
      <c r="AB939" s="45" t="str">
        <f aca="false">IF($D939="","",IF($F939&lt;&gt;"",$F939,$D939)&amp;IF($B939="상담중"," (상담)",""))</f>
        <v/>
      </c>
      <c r="AC939" s="45" t="n">
        <f aca="false">IF(AND($D939&lt;&gt;"",OR($B939="결제완료",$B939="상담중")),1,0)</f>
        <v>0</v>
      </c>
      <c r="AD939" s="45" t="n">
        <f aca="false">IF(OR($Z939="",$U939=""),0,IFERROR(IF(COUNTIFS(INDEX(g_grid,0,2*MATCH($M939,강사DB!$A$4:$A$15,0)),"&lt;&gt;",g_s,"&lt;="&amp;$U939,g_e,"&gt;="&amp;$U939)&gt;0,1,0),0))</f>
        <v>0</v>
      </c>
      <c r="AE939" s="48"/>
      <c r="AF939" s="56" t="str">
        <f aca="false">IF(AND($D939&lt;&gt;"",$B939="결제완료",$T939="대여"),설정!$J$5,"")</f>
        <v/>
      </c>
      <c r="AG939" s="54" t="str">
        <f aca="false">IF($D939="","",IF(AND($E939="",$R939=""),$AB939,"☎ "&amp;IF($E939="","-",$E939)&amp;IF($R939&lt;&gt;"","  ※ "&amp;$R939,"")&amp;IF($B939="상담중"," (상담)","")))</f>
        <v/>
      </c>
      <c r="AH939" s="56" t="str">
        <f aca="false">IF(AND($D939&lt;&gt;"",$B939="결제완료",$O939="스마트스토어"),ROUND(N($N939)*설정!$J$6,0),"")</f>
        <v/>
      </c>
      <c r="AI939" s="54" t="str">
        <f aca="false">IF($D939="","",ROW())</f>
        <v/>
      </c>
      <c r="AJ939" s="54" t="n">
        <f aca="false">IF(OR($AC939&lt;&gt;1,$M939=""),0,IF(ISNUMBER(SEARCH("퇴사",IFERROR(INDEX(강사DB!$G$4:$G$53,MATCH($M939,강사DB!$A$4:$A$53,0)),""))),1,0))</f>
        <v>0</v>
      </c>
    </row>
    <row r="940" customFormat="false" ht="15" hidden="false" customHeight="false" outlineLevel="0" collapsed="false">
      <c r="A940" s="45" t="str">
        <f aca="false">IF($D940="","",COUNTA($D$5:$D940))</f>
        <v/>
      </c>
      <c r="B940" s="46"/>
      <c r="C940" s="47"/>
      <c r="D940" s="48"/>
      <c r="E940" s="48"/>
      <c r="F940" s="49"/>
      <c r="G940" s="47"/>
      <c r="H940" s="50"/>
      <c r="I940" s="50"/>
      <c r="J940" s="51" t="str">
        <f aca="false">IF(OR($V940="",$W940=""),"",ROUND(($W940-$V940)/60,2))</f>
        <v/>
      </c>
      <c r="K940" s="52" t="str">
        <f aca="false">IF($F940="","",LEN($F940)-LEN(SUBSTITUTE($F940,",",""))+1)</f>
        <v/>
      </c>
      <c r="L940" s="45" t="str">
        <f aca="false">IF($K940="","","1:"&amp;$K940)</f>
        <v/>
      </c>
      <c r="M940" s="46"/>
      <c r="N940" s="53"/>
      <c r="O940" s="46"/>
      <c r="P940" s="47"/>
      <c r="Q940" s="48"/>
      <c r="R940" s="49"/>
      <c r="S940" s="54" t="str">
        <f aca="false">IF(OR($AC940=0,$U940="",$M940="",$V940="",$W940=""),"",IF(COUNTIFS(m_teacher,$M940,m_date,$U940,m_active,1,m_start,"&lt;"&amp;$W940,m_end,"&gt;"&amp;$V940)&gt;1,"충돌",""))</f>
        <v/>
      </c>
      <c r="T940" s="48"/>
      <c r="U940" s="55" t="str">
        <f aca="false">IF($G940="","",IFERROR(IF(ISNUMBER($G940),IF($G940&gt;19000000,DATE(INT($G940/10000),MOD(INT($G940/100),100),MOD($G940,100)),INT($G940)),IF(LEN(SUBSTITUTE(SUBSTITUTE(SUBSTITUTE(TRIM($G940),"-",""),".",""),"/",""))=8,DATE(VALUE(LEFT(SUBSTITUTE(SUBSTITUTE(SUBSTITUTE(TRIM($G940),"-",""),".",""),"/",""),4)),VALUE(MID(SUBSTITUTE(SUBSTITUTE(SUBSTITUTE(TRIM($G940),"-",""),".",""),"/",""),5,2)),VALUE(RIGHT(SUBSTITUTE(SUBSTITUTE(SUBSTITUTE(TRIM($G940),"-",""),".",""),"/",""),2))),DATEVALUE($G940))),""))</f>
        <v/>
      </c>
      <c r="V940" s="52" t="str">
        <f aca="false">IF($H940="","",IFERROR(IF(IF(ISNUMBER($H940),$H940,IFERROR(TIMEVALUE($H940),VALUE($H940)))&gt;=100,INT(IF(ISNUMBER($H940),$H940,IFERROR(TIMEVALUE($H940),VALUE($H940)))/100)*60+MOD(IF(ISNUMBER($H940),$H940,IFERROR(TIMEVALUE($H940),VALUE($H940))),100),IF(IF(ISNUMBER($H940),$H940,IFERROR(TIMEVALUE($H940),VALUE($H940)))&gt;=1,ROUND(IF(ISNUMBER($H940),$H940,IFERROR(TIMEVALUE($H940),VALUE($H940)))*60,0),ROUND(MOD(IF(ISNUMBER($H940),$H940,IFERROR(TIMEVALUE($H940),VALUE($H940))),1)*1440,0))),""))</f>
        <v/>
      </c>
      <c r="W940" s="52" t="str">
        <f aca="false">IF($I940="","",IFERROR(IF(IF(ISNUMBER($I940),$I940,IFERROR(TIMEVALUE($I940),VALUE($I940)))&gt;=100,INT(IF(ISNUMBER($I940),$I940,IFERROR(TIMEVALUE($I940),VALUE($I940)))/100)*60+MOD(IF(ISNUMBER($I940),$I940,IFERROR(TIMEVALUE($I940),VALUE($I940))),100),IF(IF(ISNUMBER($I940),$I940,IFERROR(TIMEVALUE($I940),VALUE($I940)))&gt;=1,ROUND(IF(ISNUMBER($I940),$I940,IFERROR(TIMEVALUE($I940),VALUE($I940)))*60,0),ROUND(MOD(IF(ISNUMBER($I940),$I940,IFERROR(TIMEVALUE($I940),VALUE($I940))),1)*1440,0))),""))</f>
        <v/>
      </c>
      <c r="X940" s="55" t="str">
        <f aca="false">IF($P940="","",IFERROR(IF(ISNUMBER($P940),IF($P940&gt;19000000,DATE(INT($P940/10000),MOD(INT($P940/100),100),MOD($P940,100)),INT($P940)),IF(LEN(SUBSTITUTE(SUBSTITUTE(SUBSTITUTE(TRIM($P940),"-",""),".",""),"/",""))=8,DATE(VALUE(LEFT(SUBSTITUTE(SUBSTITUTE(SUBSTITUTE(TRIM($P940),"-",""),".",""),"/",""),4)),VALUE(MID(SUBSTITUTE(SUBSTITUTE(SUBSTITUTE(TRIM($P940),"-",""),".",""),"/",""),5,2)),VALUE(RIGHT(SUBSTITUTE(SUBSTITUTE(SUBSTITUTE(TRIM($P940),"-",""),".",""),"/",""),2))),DATEVALUE($P940))),""))</f>
        <v/>
      </c>
      <c r="Y940" s="56" t="str">
        <f aca="false">IF($M940="","",IFERROR(INDEX(강사DB!$D$4:$D$53,MATCH($M940,강사DB!$A$4:$A$53,0)),""))</f>
        <v/>
      </c>
      <c r="Z940" s="56" t="str">
        <f aca="false">IF($B940&lt;&gt;"결제완료","",IF(OR($Y940="",$J940=""),"",$Y940*$J940+MAX(0,N($K940)-1)*설정!$J$7))</f>
        <v/>
      </c>
      <c r="AA940" s="56" t="str">
        <f aca="false">IF(AND($D940&lt;&gt;"",$B940="결제완료"),N($N940),"")</f>
        <v/>
      </c>
      <c r="AB940" s="45" t="str">
        <f aca="false">IF($D940="","",IF($F940&lt;&gt;"",$F940,$D940)&amp;IF($B940="상담중"," (상담)",""))</f>
        <v/>
      </c>
      <c r="AC940" s="45" t="n">
        <f aca="false">IF(AND($D940&lt;&gt;"",OR($B940="결제완료",$B940="상담중")),1,0)</f>
        <v>0</v>
      </c>
      <c r="AD940" s="45" t="n">
        <f aca="false">IF(OR($Z940="",$U940=""),0,IFERROR(IF(COUNTIFS(INDEX(g_grid,0,2*MATCH($M940,강사DB!$A$4:$A$15,0)),"&lt;&gt;",g_s,"&lt;="&amp;$U940,g_e,"&gt;="&amp;$U940)&gt;0,1,0),0))</f>
        <v>0</v>
      </c>
      <c r="AE940" s="48"/>
      <c r="AF940" s="56" t="str">
        <f aca="false">IF(AND($D940&lt;&gt;"",$B940="결제완료",$T940="대여"),설정!$J$5,"")</f>
        <v/>
      </c>
      <c r="AG940" s="54" t="str">
        <f aca="false">IF($D940="","",IF(AND($E940="",$R940=""),$AB940,"☎ "&amp;IF($E940="","-",$E940)&amp;IF($R940&lt;&gt;"","  ※ "&amp;$R940,"")&amp;IF($B940="상담중"," (상담)","")))</f>
        <v/>
      </c>
      <c r="AH940" s="56" t="str">
        <f aca="false">IF(AND($D940&lt;&gt;"",$B940="결제완료",$O940="스마트스토어"),ROUND(N($N940)*설정!$J$6,0),"")</f>
        <v/>
      </c>
      <c r="AI940" s="54" t="str">
        <f aca="false">IF($D940="","",ROW())</f>
        <v/>
      </c>
      <c r="AJ940" s="54" t="n">
        <f aca="false">IF(OR($AC940&lt;&gt;1,$M940=""),0,IF(ISNUMBER(SEARCH("퇴사",IFERROR(INDEX(강사DB!$G$4:$G$53,MATCH($M940,강사DB!$A$4:$A$53,0)),""))),1,0))</f>
        <v>0</v>
      </c>
    </row>
    <row r="941" customFormat="false" ht="15" hidden="false" customHeight="false" outlineLevel="0" collapsed="false">
      <c r="A941" s="45" t="str">
        <f aca="false">IF($D941="","",COUNTA($D$5:$D941))</f>
        <v/>
      </c>
      <c r="B941" s="46"/>
      <c r="C941" s="47"/>
      <c r="D941" s="48"/>
      <c r="E941" s="48"/>
      <c r="F941" s="49"/>
      <c r="G941" s="47"/>
      <c r="H941" s="50"/>
      <c r="I941" s="50"/>
      <c r="J941" s="51" t="str">
        <f aca="false">IF(OR($V941="",$W941=""),"",ROUND(($W941-$V941)/60,2))</f>
        <v/>
      </c>
      <c r="K941" s="52" t="str">
        <f aca="false">IF($F941="","",LEN($F941)-LEN(SUBSTITUTE($F941,",",""))+1)</f>
        <v/>
      </c>
      <c r="L941" s="45" t="str">
        <f aca="false">IF($K941="","","1:"&amp;$K941)</f>
        <v/>
      </c>
      <c r="M941" s="46"/>
      <c r="N941" s="53"/>
      <c r="O941" s="46"/>
      <c r="P941" s="47"/>
      <c r="Q941" s="48"/>
      <c r="R941" s="49"/>
      <c r="S941" s="54" t="str">
        <f aca="false">IF(OR($AC941=0,$U941="",$M941="",$V941="",$W941=""),"",IF(COUNTIFS(m_teacher,$M941,m_date,$U941,m_active,1,m_start,"&lt;"&amp;$W941,m_end,"&gt;"&amp;$V941)&gt;1,"충돌",""))</f>
        <v/>
      </c>
      <c r="T941" s="48"/>
      <c r="U941" s="55" t="str">
        <f aca="false">IF($G941="","",IFERROR(IF(ISNUMBER($G941),IF($G941&gt;19000000,DATE(INT($G941/10000),MOD(INT($G941/100),100),MOD($G941,100)),INT($G941)),IF(LEN(SUBSTITUTE(SUBSTITUTE(SUBSTITUTE(TRIM($G941),"-",""),".",""),"/",""))=8,DATE(VALUE(LEFT(SUBSTITUTE(SUBSTITUTE(SUBSTITUTE(TRIM($G941),"-",""),".",""),"/",""),4)),VALUE(MID(SUBSTITUTE(SUBSTITUTE(SUBSTITUTE(TRIM($G941),"-",""),".",""),"/",""),5,2)),VALUE(RIGHT(SUBSTITUTE(SUBSTITUTE(SUBSTITUTE(TRIM($G941),"-",""),".",""),"/",""),2))),DATEVALUE($G941))),""))</f>
        <v/>
      </c>
      <c r="V941" s="52" t="str">
        <f aca="false">IF($H941="","",IFERROR(IF(IF(ISNUMBER($H941),$H941,IFERROR(TIMEVALUE($H941),VALUE($H941)))&gt;=100,INT(IF(ISNUMBER($H941),$H941,IFERROR(TIMEVALUE($H941),VALUE($H941)))/100)*60+MOD(IF(ISNUMBER($H941),$H941,IFERROR(TIMEVALUE($H941),VALUE($H941))),100),IF(IF(ISNUMBER($H941),$H941,IFERROR(TIMEVALUE($H941),VALUE($H941)))&gt;=1,ROUND(IF(ISNUMBER($H941),$H941,IFERROR(TIMEVALUE($H941),VALUE($H941)))*60,0),ROUND(MOD(IF(ISNUMBER($H941),$H941,IFERROR(TIMEVALUE($H941),VALUE($H941))),1)*1440,0))),""))</f>
        <v/>
      </c>
      <c r="W941" s="52" t="str">
        <f aca="false">IF($I941="","",IFERROR(IF(IF(ISNUMBER($I941),$I941,IFERROR(TIMEVALUE($I941),VALUE($I941)))&gt;=100,INT(IF(ISNUMBER($I941),$I941,IFERROR(TIMEVALUE($I941),VALUE($I941)))/100)*60+MOD(IF(ISNUMBER($I941),$I941,IFERROR(TIMEVALUE($I941),VALUE($I941))),100),IF(IF(ISNUMBER($I941),$I941,IFERROR(TIMEVALUE($I941),VALUE($I941)))&gt;=1,ROUND(IF(ISNUMBER($I941),$I941,IFERROR(TIMEVALUE($I941),VALUE($I941)))*60,0),ROUND(MOD(IF(ISNUMBER($I941),$I941,IFERROR(TIMEVALUE($I941),VALUE($I941))),1)*1440,0))),""))</f>
        <v/>
      </c>
      <c r="X941" s="55" t="str">
        <f aca="false">IF($P941="","",IFERROR(IF(ISNUMBER($P941),IF($P941&gt;19000000,DATE(INT($P941/10000),MOD(INT($P941/100),100),MOD($P941,100)),INT($P941)),IF(LEN(SUBSTITUTE(SUBSTITUTE(SUBSTITUTE(TRIM($P941),"-",""),".",""),"/",""))=8,DATE(VALUE(LEFT(SUBSTITUTE(SUBSTITUTE(SUBSTITUTE(TRIM($P941),"-",""),".",""),"/",""),4)),VALUE(MID(SUBSTITUTE(SUBSTITUTE(SUBSTITUTE(TRIM($P941),"-",""),".",""),"/",""),5,2)),VALUE(RIGHT(SUBSTITUTE(SUBSTITUTE(SUBSTITUTE(TRIM($P941),"-",""),".",""),"/",""),2))),DATEVALUE($P941))),""))</f>
        <v/>
      </c>
      <c r="Y941" s="56" t="str">
        <f aca="false">IF($M941="","",IFERROR(INDEX(강사DB!$D$4:$D$53,MATCH($M941,강사DB!$A$4:$A$53,0)),""))</f>
        <v/>
      </c>
      <c r="Z941" s="56" t="str">
        <f aca="false">IF($B941&lt;&gt;"결제완료","",IF(OR($Y941="",$J941=""),"",$Y941*$J941+MAX(0,N($K941)-1)*설정!$J$7))</f>
        <v/>
      </c>
      <c r="AA941" s="56" t="str">
        <f aca="false">IF(AND($D941&lt;&gt;"",$B941="결제완료"),N($N941),"")</f>
        <v/>
      </c>
      <c r="AB941" s="45" t="str">
        <f aca="false">IF($D941="","",IF($F941&lt;&gt;"",$F941,$D941)&amp;IF($B941="상담중"," (상담)",""))</f>
        <v/>
      </c>
      <c r="AC941" s="45" t="n">
        <f aca="false">IF(AND($D941&lt;&gt;"",OR($B941="결제완료",$B941="상담중")),1,0)</f>
        <v>0</v>
      </c>
      <c r="AD941" s="45" t="n">
        <f aca="false">IF(OR($Z941="",$U941=""),0,IFERROR(IF(COUNTIFS(INDEX(g_grid,0,2*MATCH($M941,강사DB!$A$4:$A$15,0)),"&lt;&gt;",g_s,"&lt;="&amp;$U941,g_e,"&gt;="&amp;$U941)&gt;0,1,0),0))</f>
        <v>0</v>
      </c>
      <c r="AE941" s="48"/>
      <c r="AF941" s="56" t="str">
        <f aca="false">IF(AND($D941&lt;&gt;"",$B941="결제완료",$T941="대여"),설정!$J$5,"")</f>
        <v/>
      </c>
      <c r="AG941" s="54" t="str">
        <f aca="false">IF($D941="","",IF(AND($E941="",$R941=""),$AB941,"☎ "&amp;IF($E941="","-",$E941)&amp;IF($R941&lt;&gt;"","  ※ "&amp;$R941,"")&amp;IF($B941="상담중"," (상담)","")))</f>
        <v/>
      </c>
      <c r="AH941" s="56" t="str">
        <f aca="false">IF(AND($D941&lt;&gt;"",$B941="결제완료",$O941="스마트스토어"),ROUND(N($N941)*설정!$J$6,0),"")</f>
        <v/>
      </c>
      <c r="AI941" s="54" t="str">
        <f aca="false">IF($D941="","",ROW())</f>
        <v/>
      </c>
      <c r="AJ941" s="54" t="n">
        <f aca="false">IF(OR($AC941&lt;&gt;1,$M941=""),0,IF(ISNUMBER(SEARCH("퇴사",IFERROR(INDEX(강사DB!$G$4:$G$53,MATCH($M941,강사DB!$A$4:$A$53,0)),""))),1,0))</f>
        <v>0</v>
      </c>
    </row>
    <row r="942" customFormat="false" ht="15" hidden="false" customHeight="false" outlineLevel="0" collapsed="false">
      <c r="A942" s="45" t="str">
        <f aca="false">IF($D942="","",COUNTA($D$5:$D942))</f>
        <v/>
      </c>
      <c r="B942" s="46"/>
      <c r="C942" s="47"/>
      <c r="D942" s="48"/>
      <c r="E942" s="48"/>
      <c r="F942" s="49"/>
      <c r="G942" s="47"/>
      <c r="H942" s="50"/>
      <c r="I942" s="50"/>
      <c r="J942" s="51" t="str">
        <f aca="false">IF(OR($V942="",$W942=""),"",ROUND(($W942-$V942)/60,2))</f>
        <v/>
      </c>
      <c r="K942" s="52" t="str">
        <f aca="false">IF($F942="","",LEN($F942)-LEN(SUBSTITUTE($F942,",",""))+1)</f>
        <v/>
      </c>
      <c r="L942" s="45" t="str">
        <f aca="false">IF($K942="","","1:"&amp;$K942)</f>
        <v/>
      </c>
      <c r="M942" s="46"/>
      <c r="N942" s="53"/>
      <c r="O942" s="46"/>
      <c r="P942" s="47"/>
      <c r="Q942" s="48"/>
      <c r="R942" s="49"/>
      <c r="S942" s="54" t="str">
        <f aca="false">IF(OR($AC942=0,$U942="",$M942="",$V942="",$W942=""),"",IF(COUNTIFS(m_teacher,$M942,m_date,$U942,m_active,1,m_start,"&lt;"&amp;$W942,m_end,"&gt;"&amp;$V942)&gt;1,"충돌",""))</f>
        <v/>
      </c>
      <c r="T942" s="48"/>
      <c r="U942" s="55" t="str">
        <f aca="false">IF($G942="","",IFERROR(IF(ISNUMBER($G942),IF($G942&gt;19000000,DATE(INT($G942/10000),MOD(INT($G942/100),100),MOD($G942,100)),INT($G942)),IF(LEN(SUBSTITUTE(SUBSTITUTE(SUBSTITUTE(TRIM($G942),"-",""),".",""),"/",""))=8,DATE(VALUE(LEFT(SUBSTITUTE(SUBSTITUTE(SUBSTITUTE(TRIM($G942),"-",""),".",""),"/",""),4)),VALUE(MID(SUBSTITUTE(SUBSTITUTE(SUBSTITUTE(TRIM($G942),"-",""),".",""),"/",""),5,2)),VALUE(RIGHT(SUBSTITUTE(SUBSTITUTE(SUBSTITUTE(TRIM($G942),"-",""),".",""),"/",""),2))),DATEVALUE($G942))),""))</f>
        <v/>
      </c>
      <c r="V942" s="52" t="str">
        <f aca="false">IF($H942="","",IFERROR(IF(IF(ISNUMBER($H942),$H942,IFERROR(TIMEVALUE($H942),VALUE($H942)))&gt;=100,INT(IF(ISNUMBER($H942),$H942,IFERROR(TIMEVALUE($H942),VALUE($H942)))/100)*60+MOD(IF(ISNUMBER($H942),$H942,IFERROR(TIMEVALUE($H942),VALUE($H942))),100),IF(IF(ISNUMBER($H942),$H942,IFERROR(TIMEVALUE($H942),VALUE($H942)))&gt;=1,ROUND(IF(ISNUMBER($H942),$H942,IFERROR(TIMEVALUE($H942),VALUE($H942)))*60,0),ROUND(MOD(IF(ISNUMBER($H942),$H942,IFERROR(TIMEVALUE($H942),VALUE($H942))),1)*1440,0))),""))</f>
        <v/>
      </c>
      <c r="W942" s="52" t="str">
        <f aca="false">IF($I942="","",IFERROR(IF(IF(ISNUMBER($I942),$I942,IFERROR(TIMEVALUE($I942),VALUE($I942)))&gt;=100,INT(IF(ISNUMBER($I942),$I942,IFERROR(TIMEVALUE($I942),VALUE($I942)))/100)*60+MOD(IF(ISNUMBER($I942),$I942,IFERROR(TIMEVALUE($I942),VALUE($I942))),100),IF(IF(ISNUMBER($I942),$I942,IFERROR(TIMEVALUE($I942),VALUE($I942)))&gt;=1,ROUND(IF(ISNUMBER($I942),$I942,IFERROR(TIMEVALUE($I942),VALUE($I942)))*60,0),ROUND(MOD(IF(ISNUMBER($I942),$I942,IFERROR(TIMEVALUE($I942),VALUE($I942))),1)*1440,0))),""))</f>
        <v/>
      </c>
      <c r="X942" s="55" t="str">
        <f aca="false">IF($P942="","",IFERROR(IF(ISNUMBER($P942),IF($P942&gt;19000000,DATE(INT($P942/10000),MOD(INT($P942/100),100),MOD($P942,100)),INT($P942)),IF(LEN(SUBSTITUTE(SUBSTITUTE(SUBSTITUTE(TRIM($P942),"-",""),".",""),"/",""))=8,DATE(VALUE(LEFT(SUBSTITUTE(SUBSTITUTE(SUBSTITUTE(TRIM($P942),"-",""),".",""),"/",""),4)),VALUE(MID(SUBSTITUTE(SUBSTITUTE(SUBSTITUTE(TRIM($P942),"-",""),".",""),"/",""),5,2)),VALUE(RIGHT(SUBSTITUTE(SUBSTITUTE(SUBSTITUTE(TRIM($P942),"-",""),".",""),"/",""),2))),DATEVALUE($P942))),""))</f>
        <v/>
      </c>
      <c r="Y942" s="56" t="str">
        <f aca="false">IF($M942="","",IFERROR(INDEX(강사DB!$D$4:$D$53,MATCH($M942,강사DB!$A$4:$A$53,0)),""))</f>
        <v/>
      </c>
      <c r="Z942" s="56" t="str">
        <f aca="false">IF($B942&lt;&gt;"결제완료","",IF(OR($Y942="",$J942=""),"",$Y942*$J942+MAX(0,N($K942)-1)*설정!$J$7))</f>
        <v/>
      </c>
      <c r="AA942" s="56" t="str">
        <f aca="false">IF(AND($D942&lt;&gt;"",$B942="결제완료"),N($N942),"")</f>
        <v/>
      </c>
      <c r="AB942" s="45" t="str">
        <f aca="false">IF($D942="","",IF($F942&lt;&gt;"",$F942,$D942)&amp;IF($B942="상담중"," (상담)",""))</f>
        <v/>
      </c>
      <c r="AC942" s="45" t="n">
        <f aca="false">IF(AND($D942&lt;&gt;"",OR($B942="결제완료",$B942="상담중")),1,0)</f>
        <v>0</v>
      </c>
      <c r="AD942" s="45" t="n">
        <f aca="false">IF(OR($Z942="",$U942=""),0,IFERROR(IF(COUNTIFS(INDEX(g_grid,0,2*MATCH($M942,강사DB!$A$4:$A$15,0)),"&lt;&gt;",g_s,"&lt;="&amp;$U942,g_e,"&gt;="&amp;$U942)&gt;0,1,0),0))</f>
        <v>0</v>
      </c>
      <c r="AE942" s="48"/>
      <c r="AF942" s="56" t="str">
        <f aca="false">IF(AND($D942&lt;&gt;"",$B942="결제완료",$T942="대여"),설정!$J$5,"")</f>
        <v/>
      </c>
      <c r="AG942" s="54" t="str">
        <f aca="false">IF($D942="","",IF(AND($E942="",$R942=""),$AB942,"☎ "&amp;IF($E942="","-",$E942)&amp;IF($R942&lt;&gt;"","  ※ "&amp;$R942,"")&amp;IF($B942="상담중"," (상담)","")))</f>
        <v/>
      </c>
      <c r="AH942" s="56" t="str">
        <f aca="false">IF(AND($D942&lt;&gt;"",$B942="결제완료",$O942="스마트스토어"),ROUND(N($N942)*설정!$J$6,0),"")</f>
        <v/>
      </c>
      <c r="AI942" s="54" t="str">
        <f aca="false">IF($D942="","",ROW())</f>
        <v/>
      </c>
      <c r="AJ942" s="54" t="n">
        <f aca="false">IF(OR($AC942&lt;&gt;1,$M942=""),0,IF(ISNUMBER(SEARCH("퇴사",IFERROR(INDEX(강사DB!$G$4:$G$53,MATCH($M942,강사DB!$A$4:$A$53,0)),""))),1,0))</f>
        <v>0</v>
      </c>
    </row>
    <row r="943" customFormat="false" ht="15" hidden="false" customHeight="false" outlineLevel="0" collapsed="false">
      <c r="A943" s="45" t="str">
        <f aca="false">IF($D943="","",COUNTA($D$5:$D943))</f>
        <v/>
      </c>
      <c r="B943" s="46"/>
      <c r="C943" s="47"/>
      <c r="D943" s="48"/>
      <c r="E943" s="48"/>
      <c r="F943" s="49"/>
      <c r="G943" s="47"/>
      <c r="H943" s="50"/>
      <c r="I943" s="50"/>
      <c r="J943" s="51" t="str">
        <f aca="false">IF(OR($V943="",$W943=""),"",ROUND(($W943-$V943)/60,2))</f>
        <v/>
      </c>
      <c r="K943" s="52" t="str">
        <f aca="false">IF($F943="","",LEN($F943)-LEN(SUBSTITUTE($F943,",",""))+1)</f>
        <v/>
      </c>
      <c r="L943" s="45" t="str">
        <f aca="false">IF($K943="","","1:"&amp;$K943)</f>
        <v/>
      </c>
      <c r="M943" s="46"/>
      <c r="N943" s="53"/>
      <c r="O943" s="46"/>
      <c r="P943" s="47"/>
      <c r="Q943" s="48"/>
      <c r="R943" s="49"/>
      <c r="S943" s="54" t="str">
        <f aca="false">IF(OR($AC943=0,$U943="",$M943="",$V943="",$W943=""),"",IF(COUNTIFS(m_teacher,$M943,m_date,$U943,m_active,1,m_start,"&lt;"&amp;$W943,m_end,"&gt;"&amp;$V943)&gt;1,"충돌",""))</f>
        <v/>
      </c>
      <c r="T943" s="48"/>
      <c r="U943" s="55" t="str">
        <f aca="false">IF($G943="","",IFERROR(IF(ISNUMBER($G943),IF($G943&gt;19000000,DATE(INT($G943/10000),MOD(INT($G943/100),100),MOD($G943,100)),INT($G943)),IF(LEN(SUBSTITUTE(SUBSTITUTE(SUBSTITUTE(TRIM($G943),"-",""),".",""),"/",""))=8,DATE(VALUE(LEFT(SUBSTITUTE(SUBSTITUTE(SUBSTITUTE(TRIM($G943),"-",""),".",""),"/",""),4)),VALUE(MID(SUBSTITUTE(SUBSTITUTE(SUBSTITUTE(TRIM($G943),"-",""),".",""),"/",""),5,2)),VALUE(RIGHT(SUBSTITUTE(SUBSTITUTE(SUBSTITUTE(TRIM($G943),"-",""),".",""),"/",""),2))),DATEVALUE($G943))),""))</f>
        <v/>
      </c>
      <c r="V943" s="52" t="str">
        <f aca="false">IF($H943="","",IFERROR(IF(IF(ISNUMBER($H943),$H943,IFERROR(TIMEVALUE($H943),VALUE($H943)))&gt;=100,INT(IF(ISNUMBER($H943),$H943,IFERROR(TIMEVALUE($H943),VALUE($H943)))/100)*60+MOD(IF(ISNUMBER($H943),$H943,IFERROR(TIMEVALUE($H943),VALUE($H943))),100),IF(IF(ISNUMBER($H943),$H943,IFERROR(TIMEVALUE($H943),VALUE($H943)))&gt;=1,ROUND(IF(ISNUMBER($H943),$H943,IFERROR(TIMEVALUE($H943),VALUE($H943)))*60,0),ROUND(MOD(IF(ISNUMBER($H943),$H943,IFERROR(TIMEVALUE($H943),VALUE($H943))),1)*1440,0))),""))</f>
        <v/>
      </c>
      <c r="W943" s="52" t="str">
        <f aca="false">IF($I943="","",IFERROR(IF(IF(ISNUMBER($I943),$I943,IFERROR(TIMEVALUE($I943),VALUE($I943)))&gt;=100,INT(IF(ISNUMBER($I943),$I943,IFERROR(TIMEVALUE($I943),VALUE($I943)))/100)*60+MOD(IF(ISNUMBER($I943),$I943,IFERROR(TIMEVALUE($I943),VALUE($I943))),100),IF(IF(ISNUMBER($I943),$I943,IFERROR(TIMEVALUE($I943),VALUE($I943)))&gt;=1,ROUND(IF(ISNUMBER($I943),$I943,IFERROR(TIMEVALUE($I943),VALUE($I943)))*60,0),ROUND(MOD(IF(ISNUMBER($I943),$I943,IFERROR(TIMEVALUE($I943),VALUE($I943))),1)*1440,0))),""))</f>
        <v/>
      </c>
      <c r="X943" s="55" t="str">
        <f aca="false">IF($P943="","",IFERROR(IF(ISNUMBER($P943),IF($P943&gt;19000000,DATE(INT($P943/10000),MOD(INT($P943/100),100),MOD($P943,100)),INT($P943)),IF(LEN(SUBSTITUTE(SUBSTITUTE(SUBSTITUTE(TRIM($P943),"-",""),".",""),"/",""))=8,DATE(VALUE(LEFT(SUBSTITUTE(SUBSTITUTE(SUBSTITUTE(TRIM($P943),"-",""),".",""),"/",""),4)),VALUE(MID(SUBSTITUTE(SUBSTITUTE(SUBSTITUTE(TRIM($P943),"-",""),".",""),"/",""),5,2)),VALUE(RIGHT(SUBSTITUTE(SUBSTITUTE(SUBSTITUTE(TRIM($P943),"-",""),".",""),"/",""),2))),DATEVALUE($P943))),""))</f>
        <v/>
      </c>
      <c r="Y943" s="56" t="str">
        <f aca="false">IF($M943="","",IFERROR(INDEX(강사DB!$D$4:$D$53,MATCH($M943,강사DB!$A$4:$A$53,0)),""))</f>
        <v/>
      </c>
      <c r="Z943" s="56" t="str">
        <f aca="false">IF($B943&lt;&gt;"결제완료","",IF(OR($Y943="",$J943=""),"",$Y943*$J943+MAX(0,N($K943)-1)*설정!$J$7))</f>
        <v/>
      </c>
      <c r="AA943" s="56" t="str">
        <f aca="false">IF(AND($D943&lt;&gt;"",$B943="결제완료"),N($N943),"")</f>
        <v/>
      </c>
      <c r="AB943" s="45" t="str">
        <f aca="false">IF($D943="","",IF($F943&lt;&gt;"",$F943,$D943)&amp;IF($B943="상담중"," (상담)",""))</f>
        <v/>
      </c>
      <c r="AC943" s="45" t="n">
        <f aca="false">IF(AND($D943&lt;&gt;"",OR($B943="결제완료",$B943="상담중")),1,0)</f>
        <v>0</v>
      </c>
      <c r="AD943" s="45" t="n">
        <f aca="false">IF(OR($Z943="",$U943=""),0,IFERROR(IF(COUNTIFS(INDEX(g_grid,0,2*MATCH($M943,강사DB!$A$4:$A$15,0)),"&lt;&gt;",g_s,"&lt;="&amp;$U943,g_e,"&gt;="&amp;$U943)&gt;0,1,0),0))</f>
        <v>0</v>
      </c>
      <c r="AE943" s="48"/>
      <c r="AF943" s="56" t="str">
        <f aca="false">IF(AND($D943&lt;&gt;"",$B943="결제완료",$T943="대여"),설정!$J$5,"")</f>
        <v/>
      </c>
      <c r="AG943" s="54" t="str">
        <f aca="false">IF($D943="","",IF(AND($E943="",$R943=""),$AB943,"☎ "&amp;IF($E943="","-",$E943)&amp;IF($R943&lt;&gt;"","  ※ "&amp;$R943,"")&amp;IF($B943="상담중"," (상담)","")))</f>
        <v/>
      </c>
      <c r="AH943" s="56" t="str">
        <f aca="false">IF(AND($D943&lt;&gt;"",$B943="결제완료",$O943="스마트스토어"),ROUND(N($N943)*설정!$J$6,0),"")</f>
        <v/>
      </c>
      <c r="AI943" s="54" t="str">
        <f aca="false">IF($D943="","",ROW())</f>
        <v/>
      </c>
      <c r="AJ943" s="54" t="n">
        <f aca="false">IF(OR($AC943&lt;&gt;1,$M943=""),0,IF(ISNUMBER(SEARCH("퇴사",IFERROR(INDEX(강사DB!$G$4:$G$53,MATCH($M943,강사DB!$A$4:$A$53,0)),""))),1,0))</f>
        <v>0</v>
      </c>
    </row>
    <row r="944" customFormat="false" ht="15" hidden="false" customHeight="false" outlineLevel="0" collapsed="false">
      <c r="A944" s="45" t="str">
        <f aca="false">IF($D944="","",COUNTA($D$5:$D944))</f>
        <v/>
      </c>
      <c r="B944" s="46"/>
      <c r="C944" s="47"/>
      <c r="D944" s="48"/>
      <c r="E944" s="48"/>
      <c r="F944" s="49"/>
      <c r="G944" s="47"/>
      <c r="H944" s="50"/>
      <c r="I944" s="50"/>
      <c r="J944" s="51" t="str">
        <f aca="false">IF(OR($V944="",$W944=""),"",ROUND(($W944-$V944)/60,2))</f>
        <v/>
      </c>
      <c r="K944" s="52" t="str">
        <f aca="false">IF($F944="","",LEN($F944)-LEN(SUBSTITUTE($F944,",",""))+1)</f>
        <v/>
      </c>
      <c r="L944" s="45" t="str">
        <f aca="false">IF($K944="","","1:"&amp;$K944)</f>
        <v/>
      </c>
      <c r="M944" s="46"/>
      <c r="N944" s="53"/>
      <c r="O944" s="46"/>
      <c r="P944" s="47"/>
      <c r="Q944" s="48"/>
      <c r="R944" s="49"/>
      <c r="S944" s="54" t="str">
        <f aca="false">IF(OR($AC944=0,$U944="",$M944="",$V944="",$W944=""),"",IF(COUNTIFS(m_teacher,$M944,m_date,$U944,m_active,1,m_start,"&lt;"&amp;$W944,m_end,"&gt;"&amp;$V944)&gt;1,"충돌",""))</f>
        <v/>
      </c>
      <c r="T944" s="48"/>
      <c r="U944" s="55" t="str">
        <f aca="false">IF($G944="","",IFERROR(IF(ISNUMBER($G944),IF($G944&gt;19000000,DATE(INT($G944/10000),MOD(INT($G944/100),100),MOD($G944,100)),INT($G944)),IF(LEN(SUBSTITUTE(SUBSTITUTE(SUBSTITUTE(TRIM($G944),"-",""),".",""),"/",""))=8,DATE(VALUE(LEFT(SUBSTITUTE(SUBSTITUTE(SUBSTITUTE(TRIM($G944),"-",""),".",""),"/",""),4)),VALUE(MID(SUBSTITUTE(SUBSTITUTE(SUBSTITUTE(TRIM($G944),"-",""),".",""),"/",""),5,2)),VALUE(RIGHT(SUBSTITUTE(SUBSTITUTE(SUBSTITUTE(TRIM($G944),"-",""),".",""),"/",""),2))),DATEVALUE($G944))),""))</f>
        <v/>
      </c>
      <c r="V944" s="52" t="str">
        <f aca="false">IF($H944="","",IFERROR(IF(IF(ISNUMBER($H944),$H944,IFERROR(TIMEVALUE($H944),VALUE($H944)))&gt;=100,INT(IF(ISNUMBER($H944),$H944,IFERROR(TIMEVALUE($H944),VALUE($H944)))/100)*60+MOD(IF(ISNUMBER($H944),$H944,IFERROR(TIMEVALUE($H944),VALUE($H944))),100),IF(IF(ISNUMBER($H944),$H944,IFERROR(TIMEVALUE($H944),VALUE($H944)))&gt;=1,ROUND(IF(ISNUMBER($H944),$H944,IFERROR(TIMEVALUE($H944),VALUE($H944)))*60,0),ROUND(MOD(IF(ISNUMBER($H944),$H944,IFERROR(TIMEVALUE($H944),VALUE($H944))),1)*1440,0))),""))</f>
        <v/>
      </c>
      <c r="W944" s="52" t="str">
        <f aca="false">IF($I944="","",IFERROR(IF(IF(ISNUMBER($I944),$I944,IFERROR(TIMEVALUE($I944),VALUE($I944)))&gt;=100,INT(IF(ISNUMBER($I944),$I944,IFERROR(TIMEVALUE($I944),VALUE($I944)))/100)*60+MOD(IF(ISNUMBER($I944),$I944,IFERROR(TIMEVALUE($I944),VALUE($I944))),100),IF(IF(ISNUMBER($I944),$I944,IFERROR(TIMEVALUE($I944),VALUE($I944)))&gt;=1,ROUND(IF(ISNUMBER($I944),$I944,IFERROR(TIMEVALUE($I944),VALUE($I944)))*60,0),ROUND(MOD(IF(ISNUMBER($I944),$I944,IFERROR(TIMEVALUE($I944),VALUE($I944))),1)*1440,0))),""))</f>
        <v/>
      </c>
      <c r="X944" s="55" t="str">
        <f aca="false">IF($P944="","",IFERROR(IF(ISNUMBER($P944),IF($P944&gt;19000000,DATE(INT($P944/10000),MOD(INT($P944/100),100),MOD($P944,100)),INT($P944)),IF(LEN(SUBSTITUTE(SUBSTITUTE(SUBSTITUTE(TRIM($P944),"-",""),".",""),"/",""))=8,DATE(VALUE(LEFT(SUBSTITUTE(SUBSTITUTE(SUBSTITUTE(TRIM($P944),"-",""),".",""),"/",""),4)),VALUE(MID(SUBSTITUTE(SUBSTITUTE(SUBSTITUTE(TRIM($P944),"-",""),".",""),"/",""),5,2)),VALUE(RIGHT(SUBSTITUTE(SUBSTITUTE(SUBSTITUTE(TRIM($P944),"-",""),".",""),"/",""),2))),DATEVALUE($P944))),""))</f>
        <v/>
      </c>
      <c r="Y944" s="56" t="str">
        <f aca="false">IF($M944="","",IFERROR(INDEX(강사DB!$D$4:$D$53,MATCH($M944,강사DB!$A$4:$A$53,0)),""))</f>
        <v/>
      </c>
      <c r="Z944" s="56" t="str">
        <f aca="false">IF($B944&lt;&gt;"결제완료","",IF(OR($Y944="",$J944=""),"",$Y944*$J944+MAX(0,N($K944)-1)*설정!$J$7))</f>
        <v/>
      </c>
      <c r="AA944" s="56" t="str">
        <f aca="false">IF(AND($D944&lt;&gt;"",$B944="결제완료"),N($N944),"")</f>
        <v/>
      </c>
      <c r="AB944" s="45" t="str">
        <f aca="false">IF($D944="","",IF($F944&lt;&gt;"",$F944,$D944)&amp;IF($B944="상담중"," (상담)",""))</f>
        <v/>
      </c>
      <c r="AC944" s="45" t="n">
        <f aca="false">IF(AND($D944&lt;&gt;"",OR($B944="결제완료",$B944="상담중")),1,0)</f>
        <v>0</v>
      </c>
      <c r="AD944" s="45" t="n">
        <f aca="false">IF(OR($Z944="",$U944=""),0,IFERROR(IF(COUNTIFS(INDEX(g_grid,0,2*MATCH($M944,강사DB!$A$4:$A$15,0)),"&lt;&gt;",g_s,"&lt;="&amp;$U944,g_e,"&gt;="&amp;$U944)&gt;0,1,0),0))</f>
        <v>0</v>
      </c>
      <c r="AE944" s="48"/>
      <c r="AF944" s="56" t="str">
        <f aca="false">IF(AND($D944&lt;&gt;"",$B944="결제완료",$T944="대여"),설정!$J$5,"")</f>
        <v/>
      </c>
      <c r="AG944" s="54" t="str">
        <f aca="false">IF($D944="","",IF(AND($E944="",$R944=""),$AB944,"☎ "&amp;IF($E944="","-",$E944)&amp;IF($R944&lt;&gt;"","  ※ "&amp;$R944,"")&amp;IF($B944="상담중"," (상담)","")))</f>
        <v/>
      </c>
      <c r="AH944" s="56" t="str">
        <f aca="false">IF(AND($D944&lt;&gt;"",$B944="결제완료",$O944="스마트스토어"),ROUND(N($N944)*설정!$J$6,0),"")</f>
        <v/>
      </c>
      <c r="AI944" s="54" t="str">
        <f aca="false">IF($D944="","",ROW())</f>
        <v/>
      </c>
      <c r="AJ944" s="54" t="n">
        <f aca="false">IF(OR($AC944&lt;&gt;1,$M944=""),0,IF(ISNUMBER(SEARCH("퇴사",IFERROR(INDEX(강사DB!$G$4:$G$53,MATCH($M944,강사DB!$A$4:$A$53,0)),""))),1,0))</f>
        <v>0</v>
      </c>
    </row>
    <row r="945" customFormat="false" ht="15" hidden="false" customHeight="false" outlineLevel="0" collapsed="false">
      <c r="A945" s="45" t="str">
        <f aca="false">IF($D945="","",COUNTA($D$5:$D945))</f>
        <v/>
      </c>
      <c r="B945" s="46"/>
      <c r="C945" s="47"/>
      <c r="D945" s="48"/>
      <c r="E945" s="48"/>
      <c r="F945" s="49"/>
      <c r="G945" s="47"/>
      <c r="H945" s="50"/>
      <c r="I945" s="50"/>
      <c r="J945" s="51" t="str">
        <f aca="false">IF(OR($V945="",$W945=""),"",ROUND(($W945-$V945)/60,2))</f>
        <v/>
      </c>
      <c r="K945" s="52" t="str">
        <f aca="false">IF($F945="","",LEN($F945)-LEN(SUBSTITUTE($F945,",",""))+1)</f>
        <v/>
      </c>
      <c r="L945" s="45" t="str">
        <f aca="false">IF($K945="","","1:"&amp;$K945)</f>
        <v/>
      </c>
      <c r="M945" s="46"/>
      <c r="N945" s="53"/>
      <c r="O945" s="46"/>
      <c r="P945" s="47"/>
      <c r="Q945" s="48"/>
      <c r="R945" s="49"/>
      <c r="S945" s="54" t="str">
        <f aca="false">IF(OR($AC945=0,$U945="",$M945="",$V945="",$W945=""),"",IF(COUNTIFS(m_teacher,$M945,m_date,$U945,m_active,1,m_start,"&lt;"&amp;$W945,m_end,"&gt;"&amp;$V945)&gt;1,"충돌",""))</f>
        <v/>
      </c>
      <c r="T945" s="48"/>
      <c r="U945" s="55" t="str">
        <f aca="false">IF($G945="","",IFERROR(IF(ISNUMBER($G945),IF($G945&gt;19000000,DATE(INT($G945/10000),MOD(INT($G945/100),100),MOD($G945,100)),INT($G945)),IF(LEN(SUBSTITUTE(SUBSTITUTE(SUBSTITUTE(TRIM($G945),"-",""),".",""),"/",""))=8,DATE(VALUE(LEFT(SUBSTITUTE(SUBSTITUTE(SUBSTITUTE(TRIM($G945),"-",""),".",""),"/",""),4)),VALUE(MID(SUBSTITUTE(SUBSTITUTE(SUBSTITUTE(TRIM($G945),"-",""),".",""),"/",""),5,2)),VALUE(RIGHT(SUBSTITUTE(SUBSTITUTE(SUBSTITUTE(TRIM($G945),"-",""),".",""),"/",""),2))),DATEVALUE($G945))),""))</f>
        <v/>
      </c>
      <c r="V945" s="52" t="str">
        <f aca="false">IF($H945="","",IFERROR(IF(IF(ISNUMBER($H945),$H945,IFERROR(TIMEVALUE($H945),VALUE($H945)))&gt;=100,INT(IF(ISNUMBER($H945),$H945,IFERROR(TIMEVALUE($H945),VALUE($H945)))/100)*60+MOD(IF(ISNUMBER($H945),$H945,IFERROR(TIMEVALUE($H945),VALUE($H945))),100),IF(IF(ISNUMBER($H945),$H945,IFERROR(TIMEVALUE($H945),VALUE($H945)))&gt;=1,ROUND(IF(ISNUMBER($H945),$H945,IFERROR(TIMEVALUE($H945),VALUE($H945)))*60,0),ROUND(MOD(IF(ISNUMBER($H945),$H945,IFERROR(TIMEVALUE($H945),VALUE($H945))),1)*1440,0))),""))</f>
        <v/>
      </c>
      <c r="W945" s="52" t="str">
        <f aca="false">IF($I945="","",IFERROR(IF(IF(ISNUMBER($I945),$I945,IFERROR(TIMEVALUE($I945),VALUE($I945)))&gt;=100,INT(IF(ISNUMBER($I945),$I945,IFERROR(TIMEVALUE($I945),VALUE($I945)))/100)*60+MOD(IF(ISNUMBER($I945),$I945,IFERROR(TIMEVALUE($I945),VALUE($I945))),100),IF(IF(ISNUMBER($I945),$I945,IFERROR(TIMEVALUE($I945),VALUE($I945)))&gt;=1,ROUND(IF(ISNUMBER($I945),$I945,IFERROR(TIMEVALUE($I945),VALUE($I945)))*60,0),ROUND(MOD(IF(ISNUMBER($I945),$I945,IFERROR(TIMEVALUE($I945),VALUE($I945))),1)*1440,0))),""))</f>
        <v/>
      </c>
      <c r="X945" s="55" t="str">
        <f aca="false">IF($P945="","",IFERROR(IF(ISNUMBER($P945),IF($P945&gt;19000000,DATE(INT($P945/10000),MOD(INT($P945/100),100),MOD($P945,100)),INT($P945)),IF(LEN(SUBSTITUTE(SUBSTITUTE(SUBSTITUTE(TRIM($P945),"-",""),".",""),"/",""))=8,DATE(VALUE(LEFT(SUBSTITUTE(SUBSTITUTE(SUBSTITUTE(TRIM($P945),"-",""),".",""),"/",""),4)),VALUE(MID(SUBSTITUTE(SUBSTITUTE(SUBSTITUTE(TRIM($P945),"-",""),".",""),"/",""),5,2)),VALUE(RIGHT(SUBSTITUTE(SUBSTITUTE(SUBSTITUTE(TRIM($P945),"-",""),".",""),"/",""),2))),DATEVALUE($P945))),""))</f>
        <v/>
      </c>
      <c r="Y945" s="56" t="str">
        <f aca="false">IF($M945="","",IFERROR(INDEX(강사DB!$D$4:$D$53,MATCH($M945,강사DB!$A$4:$A$53,0)),""))</f>
        <v/>
      </c>
      <c r="Z945" s="56" t="str">
        <f aca="false">IF($B945&lt;&gt;"결제완료","",IF(OR($Y945="",$J945=""),"",$Y945*$J945+MAX(0,N($K945)-1)*설정!$J$7))</f>
        <v/>
      </c>
      <c r="AA945" s="56" t="str">
        <f aca="false">IF(AND($D945&lt;&gt;"",$B945="결제완료"),N($N945),"")</f>
        <v/>
      </c>
      <c r="AB945" s="45" t="str">
        <f aca="false">IF($D945="","",IF($F945&lt;&gt;"",$F945,$D945)&amp;IF($B945="상담중"," (상담)",""))</f>
        <v/>
      </c>
      <c r="AC945" s="45" t="n">
        <f aca="false">IF(AND($D945&lt;&gt;"",OR($B945="결제완료",$B945="상담중")),1,0)</f>
        <v>0</v>
      </c>
      <c r="AD945" s="45" t="n">
        <f aca="false">IF(OR($Z945="",$U945=""),0,IFERROR(IF(COUNTIFS(INDEX(g_grid,0,2*MATCH($M945,강사DB!$A$4:$A$15,0)),"&lt;&gt;",g_s,"&lt;="&amp;$U945,g_e,"&gt;="&amp;$U945)&gt;0,1,0),0))</f>
        <v>0</v>
      </c>
      <c r="AE945" s="48"/>
      <c r="AF945" s="56" t="str">
        <f aca="false">IF(AND($D945&lt;&gt;"",$B945="결제완료",$T945="대여"),설정!$J$5,"")</f>
        <v/>
      </c>
      <c r="AG945" s="54" t="str">
        <f aca="false">IF($D945="","",IF(AND($E945="",$R945=""),$AB945,"☎ "&amp;IF($E945="","-",$E945)&amp;IF($R945&lt;&gt;"","  ※ "&amp;$R945,"")&amp;IF($B945="상담중"," (상담)","")))</f>
        <v/>
      </c>
      <c r="AH945" s="56" t="str">
        <f aca="false">IF(AND($D945&lt;&gt;"",$B945="결제완료",$O945="스마트스토어"),ROUND(N($N945)*설정!$J$6,0),"")</f>
        <v/>
      </c>
      <c r="AI945" s="54" t="str">
        <f aca="false">IF($D945="","",ROW())</f>
        <v/>
      </c>
      <c r="AJ945" s="54" t="n">
        <f aca="false">IF(OR($AC945&lt;&gt;1,$M945=""),0,IF(ISNUMBER(SEARCH("퇴사",IFERROR(INDEX(강사DB!$G$4:$G$53,MATCH($M945,강사DB!$A$4:$A$53,0)),""))),1,0))</f>
        <v>0</v>
      </c>
    </row>
    <row r="946" customFormat="false" ht="15" hidden="false" customHeight="false" outlineLevel="0" collapsed="false">
      <c r="A946" s="45" t="str">
        <f aca="false">IF($D946="","",COUNTA($D$5:$D946))</f>
        <v/>
      </c>
      <c r="B946" s="46"/>
      <c r="C946" s="47"/>
      <c r="D946" s="48"/>
      <c r="E946" s="48"/>
      <c r="F946" s="49"/>
      <c r="G946" s="47"/>
      <c r="H946" s="50"/>
      <c r="I946" s="50"/>
      <c r="J946" s="51" t="str">
        <f aca="false">IF(OR($V946="",$W946=""),"",ROUND(($W946-$V946)/60,2))</f>
        <v/>
      </c>
      <c r="K946" s="52" t="str">
        <f aca="false">IF($F946="","",LEN($F946)-LEN(SUBSTITUTE($F946,",",""))+1)</f>
        <v/>
      </c>
      <c r="L946" s="45" t="str">
        <f aca="false">IF($K946="","","1:"&amp;$K946)</f>
        <v/>
      </c>
      <c r="M946" s="46"/>
      <c r="N946" s="53"/>
      <c r="O946" s="46"/>
      <c r="P946" s="47"/>
      <c r="Q946" s="48"/>
      <c r="R946" s="49"/>
      <c r="S946" s="54" t="str">
        <f aca="false">IF(OR($AC946=0,$U946="",$M946="",$V946="",$W946=""),"",IF(COUNTIFS(m_teacher,$M946,m_date,$U946,m_active,1,m_start,"&lt;"&amp;$W946,m_end,"&gt;"&amp;$V946)&gt;1,"충돌",""))</f>
        <v/>
      </c>
      <c r="T946" s="48"/>
      <c r="U946" s="55" t="str">
        <f aca="false">IF($G946="","",IFERROR(IF(ISNUMBER($G946),IF($G946&gt;19000000,DATE(INT($G946/10000),MOD(INT($G946/100),100),MOD($G946,100)),INT($G946)),IF(LEN(SUBSTITUTE(SUBSTITUTE(SUBSTITUTE(TRIM($G946),"-",""),".",""),"/",""))=8,DATE(VALUE(LEFT(SUBSTITUTE(SUBSTITUTE(SUBSTITUTE(TRIM($G946),"-",""),".",""),"/",""),4)),VALUE(MID(SUBSTITUTE(SUBSTITUTE(SUBSTITUTE(TRIM($G946),"-",""),".",""),"/",""),5,2)),VALUE(RIGHT(SUBSTITUTE(SUBSTITUTE(SUBSTITUTE(TRIM($G946),"-",""),".",""),"/",""),2))),DATEVALUE($G946))),""))</f>
        <v/>
      </c>
      <c r="V946" s="52" t="str">
        <f aca="false">IF($H946="","",IFERROR(IF(IF(ISNUMBER($H946),$H946,IFERROR(TIMEVALUE($H946),VALUE($H946)))&gt;=100,INT(IF(ISNUMBER($H946),$H946,IFERROR(TIMEVALUE($H946),VALUE($H946)))/100)*60+MOD(IF(ISNUMBER($H946),$H946,IFERROR(TIMEVALUE($H946),VALUE($H946))),100),IF(IF(ISNUMBER($H946),$H946,IFERROR(TIMEVALUE($H946),VALUE($H946)))&gt;=1,ROUND(IF(ISNUMBER($H946),$H946,IFERROR(TIMEVALUE($H946),VALUE($H946)))*60,0),ROUND(MOD(IF(ISNUMBER($H946),$H946,IFERROR(TIMEVALUE($H946),VALUE($H946))),1)*1440,0))),""))</f>
        <v/>
      </c>
      <c r="W946" s="52" t="str">
        <f aca="false">IF($I946="","",IFERROR(IF(IF(ISNUMBER($I946),$I946,IFERROR(TIMEVALUE($I946),VALUE($I946)))&gt;=100,INT(IF(ISNUMBER($I946),$I946,IFERROR(TIMEVALUE($I946),VALUE($I946)))/100)*60+MOD(IF(ISNUMBER($I946),$I946,IFERROR(TIMEVALUE($I946),VALUE($I946))),100),IF(IF(ISNUMBER($I946),$I946,IFERROR(TIMEVALUE($I946),VALUE($I946)))&gt;=1,ROUND(IF(ISNUMBER($I946),$I946,IFERROR(TIMEVALUE($I946),VALUE($I946)))*60,0),ROUND(MOD(IF(ISNUMBER($I946),$I946,IFERROR(TIMEVALUE($I946),VALUE($I946))),1)*1440,0))),""))</f>
        <v/>
      </c>
      <c r="X946" s="55" t="str">
        <f aca="false">IF($P946="","",IFERROR(IF(ISNUMBER($P946),IF($P946&gt;19000000,DATE(INT($P946/10000),MOD(INT($P946/100),100),MOD($P946,100)),INT($P946)),IF(LEN(SUBSTITUTE(SUBSTITUTE(SUBSTITUTE(TRIM($P946),"-",""),".",""),"/",""))=8,DATE(VALUE(LEFT(SUBSTITUTE(SUBSTITUTE(SUBSTITUTE(TRIM($P946),"-",""),".",""),"/",""),4)),VALUE(MID(SUBSTITUTE(SUBSTITUTE(SUBSTITUTE(TRIM($P946),"-",""),".",""),"/",""),5,2)),VALUE(RIGHT(SUBSTITUTE(SUBSTITUTE(SUBSTITUTE(TRIM($P946),"-",""),".",""),"/",""),2))),DATEVALUE($P946))),""))</f>
        <v/>
      </c>
      <c r="Y946" s="56" t="str">
        <f aca="false">IF($M946="","",IFERROR(INDEX(강사DB!$D$4:$D$53,MATCH($M946,강사DB!$A$4:$A$53,0)),""))</f>
        <v/>
      </c>
      <c r="Z946" s="56" t="str">
        <f aca="false">IF($B946&lt;&gt;"결제완료","",IF(OR($Y946="",$J946=""),"",$Y946*$J946+MAX(0,N($K946)-1)*설정!$J$7))</f>
        <v/>
      </c>
      <c r="AA946" s="56" t="str">
        <f aca="false">IF(AND($D946&lt;&gt;"",$B946="결제완료"),N($N946),"")</f>
        <v/>
      </c>
      <c r="AB946" s="45" t="str">
        <f aca="false">IF($D946="","",IF($F946&lt;&gt;"",$F946,$D946)&amp;IF($B946="상담중"," (상담)",""))</f>
        <v/>
      </c>
      <c r="AC946" s="45" t="n">
        <f aca="false">IF(AND($D946&lt;&gt;"",OR($B946="결제완료",$B946="상담중")),1,0)</f>
        <v>0</v>
      </c>
      <c r="AD946" s="45" t="n">
        <f aca="false">IF(OR($Z946="",$U946=""),0,IFERROR(IF(COUNTIFS(INDEX(g_grid,0,2*MATCH($M946,강사DB!$A$4:$A$15,0)),"&lt;&gt;",g_s,"&lt;="&amp;$U946,g_e,"&gt;="&amp;$U946)&gt;0,1,0),0))</f>
        <v>0</v>
      </c>
      <c r="AE946" s="48"/>
      <c r="AF946" s="56" t="str">
        <f aca="false">IF(AND($D946&lt;&gt;"",$B946="결제완료",$T946="대여"),설정!$J$5,"")</f>
        <v/>
      </c>
      <c r="AG946" s="54" t="str">
        <f aca="false">IF($D946="","",IF(AND($E946="",$R946=""),$AB946,"☎ "&amp;IF($E946="","-",$E946)&amp;IF($R946&lt;&gt;"","  ※ "&amp;$R946,"")&amp;IF($B946="상담중"," (상담)","")))</f>
        <v/>
      </c>
      <c r="AH946" s="56" t="str">
        <f aca="false">IF(AND($D946&lt;&gt;"",$B946="결제완료",$O946="스마트스토어"),ROUND(N($N946)*설정!$J$6,0),"")</f>
        <v/>
      </c>
      <c r="AI946" s="54" t="str">
        <f aca="false">IF($D946="","",ROW())</f>
        <v/>
      </c>
      <c r="AJ946" s="54" t="n">
        <f aca="false">IF(OR($AC946&lt;&gt;1,$M946=""),0,IF(ISNUMBER(SEARCH("퇴사",IFERROR(INDEX(강사DB!$G$4:$G$53,MATCH($M946,강사DB!$A$4:$A$53,0)),""))),1,0))</f>
        <v>0</v>
      </c>
    </row>
    <row r="947" customFormat="false" ht="15" hidden="false" customHeight="false" outlineLevel="0" collapsed="false">
      <c r="A947" s="45" t="str">
        <f aca="false">IF($D947="","",COUNTA($D$5:$D947))</f>
        <v/>
      </c>
      <c r="B947" s="46"/>
      <c r="C947" s="47"/>
      <c r="D947" s="48"/>
      <c r="E947" s="48"/>
      <c r="F947" s="49"/>
      <c r="G947" s="47"/>
      <c r="H947" s="50"/>
      <c r="I947" s="50"/>
      <c r="J947" s="51" t="str">
        <f aca="false">IF(OR($V947="",$W947=""),"",ROUND(($W947-$V947)/60,2))</f>
        <v/>
      </c>
      <c r="K947" s="52" t="str">
        <f aca="false">IF($F947="","",LEN($F947)-LEN(SUBSTITUTE($F947,",",""))+1)</f>
        <v/>
      </c>
      <c r="L947" s="45" t="str">
        <f aca="false">IF($K947="","","1:"&amp;$K947)</f>
        <v/>
      </c>
      <c r="M947" s="46"/>
      <c r="N947" s="53"/>
      <c r="O947" s="46"/>
      <c r="P947" s="47"/>
      <c r="Q947" s="48"/>
      <c r="R947" s="49"/>
      <c r="S947" s="54" t="str">
        <f aca="false">IF(OR($AC947=0,$U947="",$M947="",$V947="",$W947=""),"",IF(COUNTIFS(m_teacher,$M947,m_date,$U947,m_active,1,m_start,"&lt;"&amp;$W947,m_end,"&gt;"&amp;$V947)&gt;1,"충돌",""))</f>
        <v/>
      </c>
      <c r="T947" s="48"/>
      <c r="U947" s="55" t="str">
        <f aca="false">IF($G947="","",IFERROR(IF(ISNUMBER($G947),IF($G947&gt;19000000,DATE(INT($G947/10000),MOD(INT($G947/100),100),MOD($G947,100)),INT($G947)),IF(LEN(SUBSTITUTE(SUBSTITUTE(SUBSTITUTE(TRIM($G947),"-",""),".",""),"/",""))=8,DATE(VALUE(LEFT(SUBSTITUTE(SUBSTITUTE(SUBSTITUTE(TRIM($G947),"-",""),".",""),"/",""),4)),VALUE(MID(SUBSTITUTE(SUBSTITUTE(SUBSTITUTE(TRIM($G947),"-",""),".",""),"/",""),5,2)),VALUE(RIGHT(SUBSTITUTE(SUBSTITUTE(SUBSTITUTE(TRIM($G947),"-",""),".",""),"/",""),2))),DATEVALUE($G947))),""))</f>
        <v/>
      </c>
      <c r="V947" s="52" t="str">
        <f aca="false">IF($H947="","",IFERROR(IF(IF(ISNUMBER($H947),$H947,IFERROR(TIMEVALUE($H947),VALUE($H947)))&gt;=100,INT(IF(ISNUMBER($H947),$H947,IFERROR(TIMEVALUE($H947),VALUE($H947)))/100)*60+MOD(IF(ISNUMBER($H947),$H947,IFERROR(TIMEVALUE($H947),VALUE($H947))),100),IF(IF(ISNUMBER($H947),$H947,IFERROR(TIMEVALUE($H947),VALUE($H947)))&gt;=1,ROUND(IF(ISNUMBER($H947),$H947,IFERROR(TIMEVALUE($H947),VALUE($H947)))*60,0),ROUND(MOD(IF(ISNUMBER($H947),$H947,IFERROR(TIMEVALUE($H947),VALUE($H947))),1)*1440,0))),""))</f>
        <v/>
      </c>
      <c r="W947" s="52" t="str">
        <f aca="false">IF($I947="","",IFERROR(IF(IF(ISNUMBER($I947),$I947,IFERROR(TIMEVALUE($I947),VALUE($I947)))&gt;=100,INT(IF(ISNUMBER($I947),$I947,IFERROR(TIMEVALUE($I947),VALUE($I947)))/100)*60+MOD(IF(ISNUMBER($I947),$I947,IFERROR(TIMEVALUE($I947),VALUE($I947))),100),IF(IF(ISNUMBER($I947),$I947,IFERROR(TIMEVALUE($I947),VALUE($I947)))&gt;=1,ROUND(IF(ISNUMBER($I947),$I947,IFERROR(TIMEVALUE($I947),VALUE($I947)))*60,0),ROUND(MOD(IF(ISNUMBER($I947),$I947,IFERROR(TIMEVALUE($I947),VALUE($I947))),1)*1440,0))),""))</f>
        <v/>
      </c>
      <c r="X947" s="55" t="str">
        <f aca="false">IF($P947="","",IFERROR(IF(ISNUMBER($P947),IF($P947&gt;19000000,DATE(INT($P947/10000),MOD(INT($P947/100),100),MOD($P947,100)),INT($P947)),IF(LEN(SUBSTITUTE(SUBSTITUTE(SUBSTITUTE(TRIM($P947),"-",""),".",""),"/",""))=8,DATE(VALUE(LEFT(SUBSTITUTE(SUBSTITUTE(SUBSTITUTE(TRIM($P947),"-",""),".",""),"/",""),4)),VALUE(MID(SUBSTITUTE(SUBSTITUTE(SUBSTITUTE(TRIM($P947),"-",""),".",""),"/",""),5,2)),VALUE(RIGHT(SUBSTITUTE(SUBSTITUTE(SUBSTITUTE(TRIM($P947),"-",""),".",""),"/",""),2))),DATEVALUE($P947))),""))</f>
        <v/>
      </c>
      <c r="Y947" s="56" t="str">
        <f aca="false">IF($M947="","",IFERROR(INDEX(강사DB!$D$4:$D$53,MATCH($M947,강사DB!$A$4:$A$53,0)),""))</f>
        <v/>
      </c>
      <c r="Z947" s="56" t="str">
        <f aca="false">IF($B947&lt;&gt;"결제완료","",IF(OR($Y947="",$J947=""),"",$Y947*$J947+MAX(0,N($K947)-1)*설정!$J$7))</f>
        <v/>
      </c>
      <c r="AA947" s="56" t="str">
        <f aca="false">IF(AND($D947&lt;&gt;"",$B947="결제완료"),N($N947),"")</f>
        <v/>
      </c>
      <c r="AB947" s="45" t="str">
        <f aca="false">IF($D947="","",IF($F947&lt;&gt;"",$F947,$D947)&amp;IF($B947="상담중"," (상담)",""))</f>
        <v/>
      </c>
      <c r="AC947" s="45" t="n">
        <f aca="false">IF(AND($D947&lt;&gt;"",OR($B947="결제완료",$B947="상담중")),1,0)</f>
        <v>0</v>
      </c>
      <c r="AD947" s="45" t="n">
        <f aca="false">IF(OR($Z947="",$U947=""),0,IFERROR(IF(COUNTIFS(INDEX(g_grid,0,2*MATCH($M947,강사DB!$A$4:$A$15,0)),"&lt;&gt;",g_s,"&lt;="&amp;$U947,g_e,"&gt;="&amp;$U947)&gt;0,1,0),0))</f>
        <v>0</v>
      </c>
      <c r="AE947" s="48"/>
      <c r="AF947" s="56" t="str">
        <f aca="false">IF(AND($D947&lt;&gt;"",$B947="결제완료",$T947="대여"),설정!$J$5,"")</f>
        <v/>
      </c>
      <c r="AG947" s="54" t="str">
        <f aca="false">IF($D947="","",IF(AND($E947="",$R947=""),$AB947,"☎ "&amp;IF($E947="","-",$E947)&amp;IF($R947&lt;&gt;"","  ※ "&amp;$R947,"")&amp;IF($B947="상담중"," (상담)","")))</f>
        <v/>
      </c>
      <c r="AH947" s="56" t="str">
        <f aca="false">IF(AND($D947&lt;&gt;"",$B947="결제완료",$O947="스마트스토어"),ROUND(N($N947)*설정!$J$6,0),"")</f>
        <v/>
      </c>
      <c r="AI947" s="54" t="str">
        <f aca="false">IF($D947="","",ROW())</f>
        <v/>
      </c>
      <c r="AJ947" s="54" t="n">
        <f aca="false">IF(OR($AC947&lt;&gt;1,$M947=""),0,IF(ISNUMBER(SEARCH("퇴사",IFERROR(INDEX(강사DB!$G$4:$G$53,MATCH($M947,강사DB!$A$4:$A$53,0)),""))),1,0))</f>
        <v>0</v>
      </c>
    </row>
    <row r="948" customFormat="false" ht="15" hidden="false" customHeight="false" outlineLevel="0" collapsed="false">
      <c r="A948" s="45" t="str">
        <f aca="false">IF($D948="","",COUNTA($D$5:$D948))</f>
        <v/>
      </c>
      <c r="B948" s="46"/>
      <c r="C948" s="47"/>
      <c r="D948" s="48"/>
      <c r="E948" s="48"/>
      <c r="F948" s="49"/>
      <c r="G948" s="47"/>
      <c r="H948" s="50"/>
      <c r="I948" s="50"/>
      <c r="J948" s="51" t="str">
        <f aca="false">IF(OR($V948="",$W948=""),"",ROUND(($W948-$V948)/60,2))</f>
        <v/>
      </c>
      <c r="K948" s="52" t="str">
        <f aca="false">IF($F948="","",LEN($F948)-LEN(SUBSTITUTE($F948,",",""))+1)</f>
        <v/>
      </c>
      <c r="L948" s="45" t="str">
        <f aca="false">IF($K948="","","1:"&amp;$K948)</f>
        <v/>
      </c>
      <c r="M948" s="46"/>
      <c r="N948" s="53"/>
      <c r="O948" s="46"/>
      <c r="P948" s="47"/>
      <c r="Q948" s="48"/>
      <c r="R948" s="49"/>
      <c r="S948" s="54" t="str">
        <f aca="false">IF(OR($AC948=0,$U948="",$M948="",$V948="",$W948=""),"",IF(COUNTIFS(m_teacher,$M948,m_date,$U948,m_active,1,m_start,"&lt;"&amp;$W948,m_end,"&gt;"&amp;$V948)&gt;1,"충돌",""))</f>
        <v/>
      </c>
      <c r="T948" s="48"/>
      <c r="U948" s="55" t="str">
        <f aca="false">IF($G948="","",IFERROR(IF(ISNUMBER($G948),IF($G948&gt;19000000,DATE(INT($G948/10000),MOD(INT($G948/100),100),MOD($G948,100)),INT($G948)),IF(LEN(SUBSTITUTE(SUBSTITUTE(SUBSTITUTE(TRIM($G948),"-",""),".",""),"/",""))=8,DATE(VALUE(LEFT(SUBSTITUTE(SUBSTITUTE(SUBSTITUTE(TRIM($G948),"-",""),".",""),"/",""),4)),VALUE(MID(SUBSTITUTE(SUBSTITUTE(SUBSTITUTE(TRIM($G948),"-",""),".",""),"/",""),5,2)),VALUE(RIGHT(SUBSTITUTE(SUBSTITUTE(SUBSTITUTE(TRIM($G948),"-",""),".",""),"/",""),2))),DATEVALUE($G948))),""))</f>
        <v/>
      </c>
      <c r="V948" s="52" t="str">
        <f aca="false">IF($H948="","",IFERROR(IF(IF(ISNUMBER($H948),$H948,IFERROR(TIMEVALUE($H948),VALUE($H948)))&gt;=100,INT(IF(ISNUMBER($H948),$H948,IFERROR(TIMEVALUE($H948),VALUE($H948)))/100)*60+MOD(IF(ISNUMBER($H948),$H948,IFERROR(TIMEVALUE($H948),VALUE($H948))),100),IF(IF(ISNUMBER($H948),$H948,IFERROR(TIMEVALUE($H948),VALUE($H948)))&gt;=1,ROUND(IF(ISNUMBER($H948),$H948,IFERROR(TIMEVALUE($H948),VALUE($H948)))*60,0),ROUND(MOD(IF(ISNUMBER($H948),$H948,IFERROR(TIMEVALUE($H948),VALUE($H948))),1)*1440,0))),""))</f>
        <v/>
      </c>
      <c r="W948" s="52" t="str">
        <f aca="false">IF($I948="","",IFERROR(IF(IF(ISNUMBER($I948),$I948,IFERROR(TIMEVALUE($I948),VALUE($I948)))&gt;=100,INT(IF(ISNUMBER($I948),$I948,IFERROR(TIMEVALUE($I948),VALUE($I948)))/100)*60+MOD(IF(ISNUMBER($I948),$I948,IFERROR(TIMEVALUE($I948),VALUE($I948))),100),IF(IF(ISNUMBER($I948),$I948,IFERROR(TIMEVALUE($I948),VALUE($I948)))&gt;=1,ROUND(IF(ISNUMBER($I948),$I948,IFERROR(TIMEVALUE($I948),VALUE($I948)))*60,0),ROUND(MOD(IF(ISNUMBER($I948),$I948,IFERROR(TIMEVALUE($I948),VALUE($I948))),1)*1440,0))),""))</f>
        <v/>
      </c>
      <c r="X948" s="55" t="str">
        <f aca="false">IF($P948="","",IFERROR(IF(ISNUMBER($P948),IF($P948&gt;19000000,DATE(INT($P948/10000),MOD(INT($P948/100),100),MOD($P948,100)),INT($P948)),IF(LEN(SUBSTITUTE(SUBSTITUTE(SUBSTITUTE(TRIM($P948),"-",""),".",""),"/",""))=8,DATE(VALUE(LEFT(SUBSTITUTE(SUBSTITUTE(SUBSTITUTE(TRIM($P948),"-",""),".",""),"/",""),4)),VALUE(MID(SUBSTITUTE(SUBSTITUTE(SUBSTITUTE(TRIM($P948),"-",""),".",""),"/",""),5,2)),VALUE(RIGHT(SUBSTITUTE(SUBSTITUTE(SUBSTITUTE(TRIM($P948),"-",""),".",""),"/",""),2))),DATEVALUE($P948))),""))</f>
        <v/>
      </c>
      <c r="Y948" s="56" t="str">
        <f aca="false">IF($M948="","",IFERROR(INDEX(강사DB!$D$4:$D$53,MATCH($M948,강사DB!$A$4:$A$53,0)),""))</f>
        <v/>
      </c>
      <c r="Z948" s="56" t="str">
        <f aca="false">IF($B948&lt;&gt;"결제완료","",IF(OR($Y948="",$J948=""),"",$Y948*$J948+MAX(0,N($K948)-1)*설정!$J$7))</f>
        <v/>
      </c>
      <c r="AA948" s="56" t="str">
        <f aca="false">IF(AND($D948&lt;&gt;"",$B948="결제완료"),N($N948),"")</f>
        <v/>
      </c>
      <c r="AB948" s="45" t="str">
        <f aca="false">IF($D948="","",IF($F948&lt;&gt;"",$F948,$D948)&amp;IF($B948="상담중"," (상담)",""))</f>
        <v/>
      </c>
      <c r="AC948" s="45" t="n">
        <f aca="false">IF(AND($D948&lt;&gt;"",OR($B948="결제완료",$B948="상담중")),1,0)</f>
        <v>0</v>
      </c>
      <c r="AD948" s="45" t="n">
        <f aca="false">IF(OR($Z948="",$U948=""),0,IFERROR(IF(COUNTIFS(INDEX(g_grid,0,2*MATCH($M948,강사DB!$A$4:$A$15,0)),"&lt;&gt;",g_s,"&lt;="&amp;$U948,g_e,"&gt;="&amp;$U948)&gt;0,1,0),0))</f>
        <v>0</v>
      </c>
      <c r="AE948" s="48"/>
      <c r="AF948" s="56" t="str">
        <f aca="false">IF(AND($D948&lt;&gt;"",$B948="결제완료",$T948="대여"),설정!$J$5,"")</f>
        <v/>
      </c>
      <c r="AG948" s="54" t="str">
        <f aca="false">IF($D948="","",IF(AND($E948="",$R948=""),$AB948,"☎ "&amp;IF($E948="","-",$E948)&amp;IF($R948&lt;&gt;"","  ※ "&amp;$R948,"")&amp;IF($B948="상담중"," (상담)","")))</f>
        <v/>
      </c>
      <c r="AH948" s="56" t="str">
        <f aca="false">IF(AND($D948&lt;&gt;"",$B948="결제완료",$O948="스마트스토어"),ROUND(N($N948)*설정!$J$6,0),"")</f>
        <v/>
      </c>
      <c r="AI948" s="54" t="str">
        <f aca="false">IF($D948="","",ROW())</f>
        <v/>
      </c>
      <c r="AJ948" s="54" t="n">
        <f aca="false">IF(OR($AC948&lt;&gt;1,$M948=""),0,IF(ISNUMBER(SEARCH("퇴사",IFERROR(INDEX(강사DB!$G$4:$G$53,MATCH($M948,강사DB!$A$4:$A$53,0)),""))),1,0))</f>
        <v>0</v>
      </c>
    </row>
    <row r="949" customFormat="false" ht="15" hidden="false" customHeight="false" outlineLevel="0" collapsed="false">
      <c r="A949" s="45" t="str">
        <f aca="false">IF($D949="","",COUNTA($D$5:$D949))</f>
        <v/>
      </c>
      <c r="B949" s="46"/>
      <c r="C949" s="47"/>
      <c r="D949" s="48"/>
      <c r="E949" s="48"/>
      <c r="F949" s="49"/>
      <c r="G949" s="47"/>
      <c r="H949" s="50"/>
      <c r="I949" s="50"/>
      <c r="J949" s="51" t="str">
        <f aca="false">IF(OR($V949="",$W949=""),"",ROUND(($W949-$V949)/60,2))</f>
        <v/>
      </c>
      <c r="K949" s="52" t="str">
        <f aca="false">IF($F949="","",LEN($F949)-LEN(SUBSTITUTE($F949,",",""))+1)</f>
        <v/>
      </c>
      <c r="L949" s="45" t="str">
        <f aca="false">IF($K949="","","1:"&amp;$K949)</f>
        <v/>
      </c>
      <c r="M949" s="46"/>
      <c r="N949" s="53"/>
      <c r="O949" s="46"/>
      <c r="P949" s="47"/>
      <c r="Q949" s="48"/>
      <c r="R949" s="49"/>
      <c r="S949" s="54" t="str">
        <f aca="false">IF(OR($AC949=0,$U949="",$M949="",$V949="",$W949=""),"",IF(COUNTIFS(m_teacher,$M949,m_date,$U949,m_active,1,m_start,"&lt;"&amp;$W949,m_end,"&gt;"&amp;$V949)&gt;1,"충돌",""))</f>
        <v/>
      </c>
      <c r="T949" s="48"/>
      <c r="U949" s="55" t="str">
        <f aca="false">IF($G949="","",IFERROR(IF(ISNUMBER($G949),IF($G949&gt;19000000,DATE(INT($G949/10000),MOD(INT($G949/100),100),MOD($G949,100)),INT($G949)),IF(LEN(SUBSTITUTE(SUBSTITUTE(SUBSTITUTE(TRIM($G949),"-",""),".",""),"/",""))=8,DATE(VALUE(LEFT(SUBSTITUTE(SUBSTITUTE(SUBSTITUTE(TRIM($G949),"-",""),".",""),"/",""),4)),VALUE(MID(SUBSTITUTE(SUBSTITUTE(SUBSTITUTE(TRIM($G949),"-",""),".",""),"/",""),5,2)),VALUE(RIGHT(SUBSTITUTE(SUBSTITUTE(SUBSTITUTE(TRIM($G949),"-",""),".",""),"/",""),2))),DATEVALUE($G949))),""))</f>
        <v/>
      </c>
      <c r="V949" s="52" t="str">
        <f aca="false">IF($H949="","",IFERROR(IF(IF(ISNUMBER($H949),$H949,IFERROR(TIMEVALUE($H949),VALUE($H949)))&gt;=100,INT(IF(ISNUMBER($H949),$H949,IFERROR(TIMEVALUE($H949),VALUE($H949)))/100)*60+MOD(IF(ISNUMBER($H949),$H949,IFERROR(TIMEVALUE($H949),VALUE($H949))),100),IF(IF(ISNUMBER($H949),$H949,IFERROR(TIMEVALUE($H949),VALUE($H949)))&gt;=1,ROUND(IF(ISNUMBER($H949),$H949,IFERROR(TIMEVALUE($H949),VALUE($H949)))*60,0),ROUND(MOD(IF(ISNUMBER($H949),$H949,IFERROR(TIMEVALUE($H949),VALUE($H949))),1)*1440,0))),""))</f>
        <v/>
      </c>
      <c r="W949" s="52" t="str">
        <f aca="false">IF($I949="","",IFERROR(IF(IF(ISNUMBER($I949),$I949,IFERROR(TIMEVALUE($I949),VALUE($I949)))&gt;=100,INT(IF(ISNUMBER($I949),$I949,IFERROR(TIMEVALUE($I949),VALUE($I949)))/100)*60+MOD(IF(ISNUMBER($I949),$I949,IFERROR(TIMEVALUE($I949),VALUE($I949))),100),IF(IF(ISNUMBER($I949),$I949,IFERROR(TIMEVALUE($I949),VALUE($I949)))&gt;=1,ROUND(IF(ISNUMBER($I949),$I949,IFERROR(TIMEVALUE($I949),VALUE($I949)))*60,0),ROUND(MOD(IF(ISNUMBER($I949),$I949,IFERROR(TIMEVALUE($I949),VALUE($I949))),1)*1440,0))),""))</f>
        <v/>
      </c>
      <c r="X949" s="55" t="str">
        <f aca="false">IF($P949="","",IFERROR(IF(ISNUMBER($P949),IF($P949&gt;19000000,DATE(INT($P949/10000),MOD(INT($P949/100),100),MOD($P949,100)),INT($P949)),IF(LEN(SUBSTITUTE(SUBSTITUTE(SUBSTITUTE(TRIM($P949),"-",""),".",""),"/",""))=8,DATE(VALUE(LEFT(SUBSTITUTE(SUBSTITUTE(SUBSTITUTE(TRIM($P949),"-",""),".",""),"/",""),4)),VALUE(MID(SUBSTITUTE(SUBSTITUTE(SUBSTITUTE(TRIM($P949),"-",""),".",""),"/",""),5,2)),VALUE(RIGHT(SUBSTITUTE(SUBSTITUTE(SUBSTITUTE(TRIM($P949),"-",""),".",""),"/",""),2))),DATEVALUE($P949))),""))</f>
        <v/>
      </c>
      <c r="Y949" s="56" t="str">
        <f aca="false">IF($M949="","",IFERROR(INDEX(강사DB!$D$4:$D$53,MATCH($M949,강사DB!$A$4:$A$53,0)),""))</f>
        <v/>
      </c>
      <c r="Z949" s="56" t="str">
        <f aca="false">IF($B949&lt;&gt;"결제완료","",IF(OR($Y949="",$J949=""),"",$Y949*$J949+MAX(0,N($K949)-1)*설정!$J$7))</f>
        <v/>
      </c>
      <c r="AA949" s="56" t="str">
        <f aca="false">IF(AND($D949&lt;&gt;"",$B949="결제완료"),N($N949),"")</f>
        <v/>
      </c>
      <c r="AB949" s="45" t="str">
        <f aca="false">IF($D949="","",IF($F949&lt;&gt;"",$F949,$D949)&amp;IF($B949="상담중"," (상담)",""))</f>
        <v/>
      </c>
      <c r="AC949" s="45" t="n">
        <f aca="false">IF(AND($D949&lt;&gt;"",OR($B949="결제완료",$B949="상담중")),1,0)</f>
        <v>0</v>
      </c>
      <c r="AD949" s="45" t="n">
        <f aca="false">IF(OR($Z949="",$U949=""),0,IFERROR(IF(COUNTIFS(INDEX(g_grid,0,2*MATCH($M949,강사DB!$A$4:$A$15,0)),"&lt;&gt;",g_s,"&lt;="&amp;$U949,g_e,"&gt;="&amp;$U949)&gt;0,1,0),0))</f>
        <v>0</v>
      </c>
      <c r="AE949" s="48"/>
      <c r="AF949" s="56" t="str">
        <f aca="false">IF(AND($D949&lt;&gt;"",$B949="결제완료",$T949="대여"),설정!$J$5,"")</f>
        <v/>
      </c>
      <c r="AG949" s="54" t="str">
        <f aca="false">IF($D949="","",IF(AND($E949="",$R949=""),$AB949,"☎ "&amp;IF($E949="","-",$E949)&amp;IF($R949&lt;&gt;"","  ※ "&amp;$R949,"")&amp;IF($B949="상담중"," (상담)","")))</f>
        <v/>
      </c>
      <c r="AH949" s="56" t="str">
        <f aca="false">IF(AND($D949&lt;&gt;"",$B949="결제완료",$O949="스마트스토어"),ROUND(N($N949)*설정!$J$6,0),"")</f>
        <v/>
      </c>
      <c r="AI949" s="54" t="str">
        <f aca="false">IF($D949="","",ROW())</f>
        <v/>
      </c>
      <c r="AJ949" s="54" t="n">
        <f aca="false">IF(OR($AC949&lt;&gt;1,$M949=""),0,IF(ISNUMBER(SEARCH("퇴사",IFERROR(INDEX(강사DB!$G$4:$G$53,MATCH($M949,강사DB!$A$4:$A$53,0)),""))),1,0))</f>
        <v>0</v>
      </c>
    </row>
    <row r="950" customFormat="false" ht="15" hidden="false" customHeight="false" outlineLevel="0" collapsed="false">
      <c r="A950" s="45" t="str">
        <f aca="false">IF($D950="","",COUNTA($D$5:$D950))</f>
        <v/>
      </c>
      <c r="B950" s="46"/>
      <c r="C950" s="47"/>
      <c r="D950" s="48"/>
      <c r="E950" s="48"/>
      <c r="F950" s="49"/>
      <c r="G950" s="47"/>
      <c r="H950" s="50"/>
      <c r="I950" s="50"/>
      <c r="J950" s="51" t="str">
        <f aca="false">IF(OR($V950="",$W950=""),"",ROUND(($W950-$V950)/60,2))</f>
        <v/>
      </c>
      <c r="K950" s="52" t="str">
        <f aca="false">IF($F950="","",LEN($F950)-LEN(SUBSTITUTE($F950,",",""))+1)</f>
        <v/>
      </c>
      <c r="L950" s="45" t="str">
        <f aca="false">IF($K950="","","1:"&amp;$K950)</f>
        <v/>
      </c>
      <c r="M950" s="46"/>
      <c r="N950" s="53"/>
      <c r="O950" s="46"/>
      <c r="P950" s="47"/>
      <c r="Q950" s="48"/>
      <c r="R950" s="49"/>
      <c r="S950" s="54" t="str">
        <f aca="false">IF(OR($AC950=0,$U950="",$M950="",$V950="",$W950=""),"",IF(COUNTIFS(m_teacher,$M950,m_date,$U950,m_active,1,m_start,"&lt;"&amp;$W950,m_end,"&gt;"&amp;$V950)&gt;1,"충돌",""))</f>
        <v/>
      </c>
      <c r="T950" s="48"/>
      <c r="U950" s="55" t="str">
        <f aca="false">IF($G950="","",IFERROR(IF(ISNUMBER($G950),IF($G950&gt;19000000,DATE(INT($G950/10000),MOD(INT($G950/100),100),MOD($G950,100)),INT($G950)),IF(LEN(SUBSTITUTE(SUBSTITUTE(SUBSTITUTE(TRIM($G950),"-",""),".",""),"/",""))=8,DATE(VALUE(LEFT(SUBSTITUTE(SUBSTITUTE(SUBSTITUTE(TRIM($G950),"-",""),".",""),"/",""),4)),VALUE(MID(SUBSTITUTE(SUBSTITUTE(SUBSTITUTE(TRIM($G950),"-",""),".",""),"/",""),5,2)),VALUE(RIGHT(SUBSTITUTE(SUBSTITUTE(SUBSTITUTE(TRIM($G950),"-",""),".",""),"/",""),2))),DATEVALUE($G950))),""))</f>
        <v/>
      </c>
      <c r="V950" s="52" t="str">
        <f aca="false">IF($H950="","",IFERROR(IF(IF(ISNUMBER($H950),$H950,IFERROR(TIMEVALUE($H950),VALUE($H950)))&gt;=100,INT(IF(ISNUMBER($H950),$H950,IFERROR(TIMEVALUE($H950),VALUE($H950)))/100)*60+MOD(IF(ISNUMBER($H950),$H950,IFERROR(TIMEVALUE($H950),VALUE($H950))),100),IF(IF(ISNUMBER($H950),$H950,IFERROR(TIMEVALUE($H950),VALUE($H950)))&gt;=1,ROUND(IF(ISNUMBER($H950),$H950,IFERROR(TIMEVALUE($H950),VALUE($H950)))*60,0),ROUND(MOD(IF(ISNUMBER($H950),$H950,IFERROR(TIMEVALUE($H950),VALUE($H950))),1)*1440,0))),""))</f>
        <v/>
      </c>
      <c r="W950" s="52" t="str">
        <f aca="false">IF($I950="","",IFERROR(IF(IF(ISNUMBER($I950),$I950,IFERROR(TIMEVALUE($I950),VALUE($I950)))&gt;=100,INT(IF(ISNUMBER($I950),$I950,IFERROR(TIMEVALUE($I950),VALUE($I950)))/100)*60+MOD(IF(ISNUMBER($I950),$I950,IFERROR(TIMEVALUE($I950),VALUE($I950))),100),IF(IF(ISNUMBER($I950),$I950,IFERROR(TIMEVALUE($I950),VALUE($I950)))&gt;=1,ROUND(IF(ISNUMBER($I950),$I950,IFERROR(TIMEVALUE($I950),VALUE($I950)))*60,0),ROUND(MOD(IF(ISNUMBER($I950),$I950,IFERROR(TIMEVALUE($I950),VALUE($I950))),1)*1440,0))),""))</f>
        <v/>
      </c>
      <c r="X950" s="55" t="str">
        <f aca="false">IF($P950="","",IFERROR(IF(ISNUMBER($P950),IF($P950&gt;19000000,DATE(INT($P950/10000),MOD(INT($P950/100),100),MOD($P950,100)),INT($P950)),IF(LEN(SUBSTITUTE(SUBSTITUTE(SUBSTITUTE(TRIM($P950),"-",""),".",""),"/",""))=8,DATE(VALUE(LEFT(SUBSTITUTE(SUBSTITUTE(SUBSTITUTE(TRIM($P950),"-",""),".",""),"/",""),4)),VALUE(MID(SUBSTITUTE(SUBSTITUTE(SUBSTITUTE(TRIM($P950),"-",""),".",""),"/",""),5,2)),VALUE(RIGHT(SUBSTITUTE(SUBSTITUTE(SUBSTITUTE(TRIM($P950),"-",""),".",""),"/",""),2))),DATEVALUE($P950))),""))</f>
        <v/>
      </c>
      <c r="Y950" s="56" t="str">
        <f aca="false">IF($M950="","",IFERROR(INDEX(강사DB!$D$4:$D$53,MATCH($M950,강사DB!$A$4:$A$53,0)),""))</f>
        <v/>
      </c>
      <c r="Z950" s="56" t="str">
        <f aca="false">IF($B950&lt;&gt;"결제완료","",IF(OR($Y950="",$J950=""),"",$Y950*$J950+MAX(0,N($K950)-1)*설정!$J$7))</f>
        <v/>
      </c>
      <c r="AA950" s="56" t="str">
        <f aca="false">IF(AND($D950&lt;&gt;"",$B950="결제완료"),N($N950),"")</f>
        <v/>
      </c>
      <c r="AB950" s="45" t="str">
        <f aca="false">IF($D950="","",IF($F950&lt;&gt;"",$F950,$D950)&amp;IF($B950="상담중"," (상담)",""))</f>
        <v/>
      </c>
      <c r="AC950" s="45" t="n">
        <f aca="false">IF(AND($D950&lt;&gt;"",OR($B950="결제완료",$B950="상담중")),1,0)</f>
        <v>0</v>
      </c>
      <c r="AD950" s="45" t="n">
        <f aca="false">IF(OR($Z950="",$U950=""),0,IFERROR(IF(COUNTIFS(INDEX(g_grid,0,2*MATCH($M950,강사DB!$A$4:$A$15,0)),"&lt;&gt;",g_s,"&lt;="&amp;$U950,g_e,"&gt;="&amp;$U950)&gt;0,1,0),0))</f>
        <v>0</v>
      </c>
      <c r="AE950" s="48"/>
      <c r="AF950" s="56" t="str">
        <f aca="false">IF(AND($D950&lt;&gt;"",$B950="결제완료",$T950="대여"),설정!$J$5,"")</f>
        <v/>
      </c>
      <c r="AG950" s="54" t="str">
        <f aca="false">IF($D950="","",IF(AND($E950="",$R950=""),$AB950,"☎ "&amp;IF($E950="","-",$E950)&amp;IF($R950&lt;&gt;"","  ※ "&amp;$R950,"")&amp;IF($B950="상담중"," (상담)","")))</f>
        <v/>
      </c>
      <c r="AH950" s="56" t="str">
        <f aca="false">IF(AND($D950&lt;&gt;"",$B950="결제완료",$O950="스마트스토어"),ROUND(N($N950)*설정!$J$6,0),"")</f>
        <v/>
      </c>
      <c r="AI950" s="54" t="str">
        <f aca="false">IF($D950="","",ROW())</f>
        <v/>
      </c>
      <c r="AJ950" s="54" t="n">
        <f aca="false">IF(OR($AC950&lt;&gt;1,$M950=""),0,IF(ISNUMBER(SEARCH("퇴사",IFERROR(INDEX(강사DB!$G$4:$G$53,MATCH($M950,강사DB!$A$4:$A$53,0)),""))),1,0))</f>
        <v>0</v>
      </c>
    </row>
    <row r="951" customFormat="false" ht="15" hidden="false" customHeight="false" outlineLevel="0" collapsed="false">
      <c r="A951" s="45" t="str">
        <f aca="false">IF($D951="","",COUNTA($D$5:$D951))</f>
        <v/>
      </c>
      <c r="B951" s="46"/>
      <c r="C951" s="47"/>
      <c r="D951" s="48"/>
      <c r="E951" s="48"/>
      <c r="F951" s="49"/>
      <c r="G951" s="47"/>
      <c r="H951" s="50"/>
      <c r="I951" s="50"/>
      <c r="J951" s="51" t="str">
        <f aca="false">IF(OR($V951="",$W951=""),"",ROUND(($W951-$V951)/60,2))</f>
        <v/>
      </c>
      <c r="K951" s="52" t="str">
        <f aca="false">IF($F951="","",LEN($F951)-LEN(SUBSTITUTE($F951,",",""))+1)</f>
        <v/>
      </c>
      <c r="L951" s="45" t="str">
        <f aca="false">IF($K951="","","1:"&amp;$K951)</f>
        <v/>
      </c>
      <c r="M951" s="46"/>
      <c r="N951" s="53"/>
      <c r="O951" s="46"/>
      <c r="P951" s="47"/>
      <c r="Q951" s="48"/>
      <c r="R951" s="49"/>
      <c r="S951" s="54" t="str">
        <f aca="false">IF(OR($AC951=0,$U951="",$M951="",$V951="",$W951=""),"",IF(COUNTIFS(m_teacher,$M951,m_date,$U951,m_active,1,m_start,"&lt;"&amp;$W951,m_end,"&gt;"&amp;$V951)&gt;1,"충돌",""))</f>
        <v/>
      </c>
      <c r="T951" s="48"/>
      <c r="U951" s="55" t="str">
        <f aca="false">IF($G951="","",IFERROR(IF(ISNUMBER($G951),IF($G951&gt;19000000,DATE(INT($G951/10000),MOD(INT($G951/100),100),MOD($G951,100)),INT($G951)),IF(LEN(SUBSTITUTE(SUBSTITUTE(SUBSTITUTE(TRIM($G951),"-",""),".",""),"/",""))=8,DATE(VALUE(LEFT(SUBSTITUTE(SUBSTITUTE(SUBSTITUTE(TRIM($G951),"-",""),".",""),"/",""),4)),VALUE(MID(SUBSTITUTE(SUBSTITUTE(SUBSTITUTE(TRIM($G951),"-",""),".",""),"/",""),5,2)),VALUE(RIGHT(SUBSTITUTE(SUBSTITUTE(SUBSTITUTE(TRIM($G951),"-",""),".",""),"/",""),2))),DATEVALUE($G951))),""))</f>
        <v/>
      </c>
      <c r="V951" s="52" t="str">
        <f aca="false">IF($H951="","",IFERROR(IF(IF(ISNUMBER($H951),$H951,IFERROR(TIMEVALUE($H951),VALUE($H951)))&gt;=100,INT(IF(ISNUMBER($H951),$H951,IFERROR(TIMEVALUE($H951),VALUE($H951)))/100)*60+MOD(IF(ISNUMBER($H951),$H951,IFERROR(TIMEVALUE($H951),VALUE($H951))),100),IF(IF(ISNUMBER($H951),$H951,IFERROR(TIMEVALUE($H951),VALUE($H951)))&gt;=1,ROUND(IF(ISNUMBER($H951),$H951,IFERROR(TIMEVALUE($H951),VALUE($H951)))*60,0),ROUND(MOD(IF(ISNUMBER($H951),$H951,IFERROR(TIMEVALUE($H951),VALUE($H951))),1)*1440,0))),""))</f>
        <v/>
      </c>
      <c r="W951" s="52" t="str">
        <f aca="false">IF($I951="","",IFERROR(IF(IF(ISNUMBER($I951),$I951,IFERROR(TIMEVALUE($I951),VALUE($I951)))&gt;=100,INT(IF(ISNUMBER($I951),$I951,IFERROR(TIMEVALUE($I951),VALUE($I951)))/100)*60+MOD(IF(ISNUMBER($I951),$I951,IFERROR(TIMEVALUE($I951),VALUE($I951))),100),IF(IF(ISNUMBER($I951),$I951,IFERROR(TIMEVALUE($I951),VALUE($I951)))&gt;=1,ROUND(IF(ISNUMBER($I951),$I951,IFERROR(TIMEVALUE($I951),VALUE($I951)))*60,0),ROUND(MOD(IF(ISNUMBER($I951),$I951,IFERROR(TIMEVALUE($I951),VALUE($I951))),1)*1440,0))),""))</f>
        <v/>
      </c>
      <c r="X951" s="55" t="str">
        <f aca="false">IF($P951="","",IFERROR(IF(ISNUMBER($P951),IF($P951&gt;19000000,DATE(INT($P951/10000),MOD(INT($P951/100),100),MOD($P951,100)),INT($P951)),IF(LEN(SUBSTITUTE(SUBSTITUTE(SUBSTITUTE(TRIM($P951),"-",""),".",""),"/",""))=8,DATE(VALUE(LEFT(SUBSTITUTE(SUBSTITUTE(SUBSTITUTE(TRIM($P951),"-",""),".",""),"/",""),4)),VALUE(MID(SUBSTITUTE(SUBSTITUTE(SUBSTITUTE(TRIM($P951),"-",""),".",""),"/",""),5,2)),VALUE(RIGHT(SUBSTITUTE(SUBSTITUTE(SUBSTITUTE(TRIM($P951),"-",""),".",""),"/",""),2))),DATEVALUE($P951))),""))</f>
        <v/>
      </c>
      <c r="Y951" s="56" t="str">
        <f aca="false">IF($M951="","",IFERROR(INDEX(강사DB!$D$4:$D$53,MATCH($M951,강사DB!$A$4:$A$53,0)),""))</f>
        <v/>
      </c>
      <c r="Z951" s="56" t="str">
        <f aca="false">IF($B951&lt;&gt;"결제완료","",IF(OR($Y951="",$J951=""),"",$Y951*$J951+MAX(0,N($K951)-1)*설정!$J$7))</f>
        <v/>
      </c>
      <c r="AA951" s="56" t="str">
        <f aca="false">IF(AND($D951&lt;&gt;"",$B951="결제완료"),N($N951),"")</f>
        <v/>
      </c>
      <c r="AB951" s="45" t="str">
        <f aca="false">IF($D951="","",IF($F951&lt;&gt;"",$F951,$D951)&amp;IF($B951="상담중"," (상담)",""))</f>
        <v/>
      </c>
      <c r="AC951" s="45" t="n">
        <f aca="false">IF(AND($D951&lt;&gt;"",OR($B951="결제완료",$B951="상담중")),1,0)</f>
        <v>0</v>
      </c>
      <c r="AD951" s="45" t="n">
        <f aca="false">IF(OR($Z951="",$U951=""),0,IFERROR(IF(COUNTIFS(INDEX(g_grid,0,2*MATCH($M951,강사DB!$A$4:$A$15,0)),"&lt;&gt;",g_s,"&lt;="&amp;$U951,g_e,"&gt;="&amp;$U951)&gt;0,1,0),0))</f>
        <v>0</v>
      </c>
      <c r="AE951" s="48"/>
      <c r="AF951" s="56" t="str">
        <f aca="false">IF(AND($D951&lt;&gt;"",$B951="결제완료",$T951="대여"),설정!$J$5,"")</f>
        <v/>
      </c>
      <c r="AG951" s="54" t="str">
        <f aca="false">IF($D951="","",IF(AND($E951="",$R951=""),$AB951,"☎ "&amp;IF($E951="","-",$E951)&amp;IF($R951&lt;&gt;"","  ※ "&amp;$R951,"")&amp;IF($B951="상담중"," (상담)","")))</f>
        <v/>
      </c>
      <c r="AH951" s="56" t="str">
        <f aca="false">IF(AND($D951&lt;&gt;"",$B951="결제완료",$O951="스마트스토어"),ROUND(N($N951)*설정!$J$6,0),"")</f>
        <v/>
      </c>
      <c r="AI951" s="54" t="str">
        <f aca="false">IF($D951="","",ROW())</f>
        <v/>
      </c>
      <c r="AJ951" s="54" t="n">
        <f aca="false">IF(OR($AC951&lt;&gt;1,$M951=""),0,IF(ISNUMBER(SEARCH("퇴사",IFERROR(INDEX(강사DB!$G$4:$G$53,MATCH($M951,강사DB!$A$4:$A$53,0)),""))),1,0))</f>
        <v>0</v>
      </c>
    </row>
    <row r="952" customFormat="false" ht="15" hidden="false" customHeight="false" outlineLevel="0" collapsed="false">
      <c r="A952" s="45" t="str">
        <f aca="false">IF($D952="","",COUNTA($D$5:$D952))</f>
        <v/>
      </c>
      <c r="B952" s="46"/>
      <c r="C952" s="47"/>
      <c r="D952" s="48"/>
      <c r="E952" s="48"/>
      <c r="F952" s="49"/>
      <c r="G952" s="47"/>
      <c r="H952" s="50"/>
      <c r="I952" s="50"/>
      <c r="J952" s="51" t="str">
        <f aca="false">IF(OR($V952="",$W952=""),"",ROUND(($W952-$V952)/60,2))</f>
        <v/>
      </c>
      <c r="K952" s="52" t="str">
        <f aca="false">IF($F952="","",LEN($F952)-LEN(SUBSTITUTE($F952,",",""))+1)</f>
        <v/>
      </c>
      <c r="L952" s="45" t="str">
        <f aca="false">IF($K952="","","1:"&amp;$K952)</f>
        <v/>
      </c>
      <c r="M952" s="46"/>
      <c r="N952" s="53"/>
      <c r="O952" s="46"/>
      <c r="P952" s="47"/>
      <c r="Q952" s="48"/>
      <c r="R952" s="49"/>
      <c r="S952" s="54" t="str">
        <f aca="false">IF(OR($AC952=0,$U952="",$M952="",$V952="",$W952=""),"",IF(COUNTIFS(m_teacher,$M952,m_date,$U952,m_active,1,m_start,"&lt;"&amp;$W952,m_end,"&gt;"&amp;$V952)&gt;1,"충돌",""))</f>
        <v/>
      </c>
      <c r="T952" s="48"/>
      <c r="U952" s="55" t="str">
        <f aca="false">IF($G952="","",IFERROR(IF(ISNUMBER($G952),IF($G952&gt;19000000,DATE(INT($G952/10000),MOD(INT($G952/100),100),MOD($G952,100)),INT($G952)),IF(LEN(SUBSTITUTE(SUBSTITUTE(SUBSTITUTE(TRIM($G952),"-",""),".",""),"/",""))=8,DATE(VALUE(LEFT(SUBSTITUTE(SUBSTITUTE(SUBSTITUTE(TRIM($G952),"-",""),".",""),"/",""),4)),VALUE(MID(SUBSTITUTE(SUBSTITUTE(SUBSTITUTE(TRIM($G952),"-",""),".",""),"/",""),5,2)),VALUE(RIGHT(SUBSTITUTE(SUBSTITUTE(SUBSTITUTE(TRIM($G952),"-",""),".",""),"/",""),2))),DATEVALUE($G952))),""))</f>
        <v/>
      </c>
      <c r="V952" s="52" t="str">
        <f aca="false">IF($H952="","",IFERROR(IF(IF(ISNUMBER($H952),$H952,IFERROR(TIMEVALUE($H952),VALUE($H952)))&gt;=100,INT(IF(ISNUMBER($H952),$H952,IFERROR(TIMEVALUE($H952),VALUE($H952)))/100)*60+MOD(IF(ISNUMBER($H952),$H952,IFERROR(TIMEVALUE($H952),VALUE($H952))),100),IF(IF(ISNUMBER($H952),$H952,IFERROR(TIMEVALUE($H952),VALUE($H952)))&gt;=1,ROUND(IF(ISNUMBER($H952),$H952,IFERROR(TIMEVALUE($H952),VALUE($H952)))*60,0),ROUND(MOD(IF(ISNUMBER($H952),$H952,IFERROR(TIMEVALUE($H952),VALUE($H952))),1)*1440,0))),""))</f>
        <v/>
      </c>
      <c r="W952" s="52" t="str">
        <f aca="false">IF($I952="","",IFERROR(IF(IF(ISNUMBER($I952),$I952,IFERROR(TIMEVALUE($I952),VALUE($I952)))&gt;=100,INT(IF(ISNUMBER($I952),$I952,IFERROR(TIMEVALUE($I952),VALUE($I952)))/100)*60+MOD(IF(ISNUMBER($I952),$I952,IFERROR(TIMEVALUE($I952),VALUE($I952))),100),IF(IF(ISNUMBER($I952),$I952,IFERROR(TIMEVALUE($I952),VALUE($I952)))&gt;=1,ROUND(IF(ISNUMBER($I952),$I952,IFERROR(TIMEVALUE($I952),VALUE($I952)))*60,0),ROUND(MOD(IF(ISNUMBER($I952),$I952,IFERROR(TIMEVALUE($I952),VALUE($I952))),1)*1440,0))),""))</f>
        <v/>
      </c>
      <c r="X952" s="55" t="str">
        <f aca="false">IF($P952="","",IFERROR(IF(ISNUMBER($P952),IF($P952&gt;19000000,DATE(INT($P952/10000),MOD(INT($P952/100),100),MOD($P952,100)),INT($P952)),IF(LEN(SUBSTITUTE(SUBSTITUTE(SUBSTITUTE(TRIM($P952),"-",""),".",""),"/",""))=8,DATE(VALUE(LEFT(SUBSTITUTE(SUBSTITUTE(SUBSTITUTE(TRIM($P952),"-",""),".",""),"/",""),4)),VALUE(MID(SUBSTITUTE(SUBSTITUTE(SUBSTITUTE(TRIM($P952),"-",""),".",""),"/",""),5,2)),VALUE(RIGHT(SUBSTITUTE(SUBSTITUTE(SUBSTITUTE(TRIM($P952),"-",""),".",""),"/",""),2))),DATEVALUE($P952))),""))</f>
        <v/>
      </c>
      <c r="Y952" s="56" t="str">
        <f aca="false">IF($M952="","",IFERROR(INDEX(강사DB!$D$4:$D$53,MATCH($M952,강사DB!$A$4:$A$53,0)),""))</f>
        <v/>
      </c>
      <c r="Z952" s="56" t="str">
        <f aca="false">IF($B952&lt;&gt;"결제완료","",IF(OR($Y952="",$J952=""),"",$Y952*$J952+MAX(0,N($K952)-1)*설정!$J$7))</f>
        <v/>
      </c>
      <c r="AA952" s="56" t="str">
        <f aca="false">IF(AND($D952&lt;&gt;"",$B952="결제완료"),N($N952),"")</f>
        <v/>
      </c>
      <c r="AB952" s="45" t="str">
        <f aca="false">IF($D952="","",IF($F952&lt;&gt;"",$F952,$D952)&amp;IF($B952="상담중"," (상담)",""))</f>
        <v/>
      </c>
      <c r="AC952" s="45" t="n">
        <f aca="false">IF(AND($D952&lt;&gt;"",OR($B952="결제완료",$B952="상담중")),1,0)</f>
        <v>0</v>
      </c>
      <c r="AD952" s="45" t="n">
        <f aca="false">IF(OR($Z952="",$U952=""),0,IFERROR(IF(COUNTIFS(INDEX(g_grid,0,2*MATCH($M952,강사DB!$A$4:$A$15,0)),"&lt;&gt;",g_s,"&lt;="&amp;$U952,g_e,"&gt;="&amp;$U952)&gt;0,1,0),0))</f>
        <v>0</v>
      </c>
      <c r="AE952" s="48"/>
      <c r="AF952" s="56" t="str">
        <f aca="false">IF(AND($D952&lt;&gt;"",$B952="결제완료",$T952="대여"),설정!$J$5,"")</f>
        <v/>
      </c>
      <c r="AG952" s="54" t="str">
        <f aca="false">IF($D952="","",IF(AND($E952="",$R952=""),$AB952,"☎ "&amp;IF($E952="","-",$E952)&amp;IF($R952&lt;&gt;"","  ※ "&amp;$R952,"")&amp;IF($B952="상담중"," (상담)","")))</f>
        <v/>
      </c>
      <c r="AH952" s="56" t="str">
        <f aca="false">IF(AND($D952&lt;&gt;"",$B952="결제완료",$O952="스마트스토어"),ROUND(N($N952)*설정!$J$6,0),"")</f>
        <v/>
      </c>
      <c r="AI952" s="54" t="str">
        <f aca="false">IF($D952="","",ROW())</f>
        <v/>
      </c>
      <c r="AJ952" s="54" t="n">
        <f aca="false">IF(OR($AC952&lt;&gt;1,$M952=""),0,IF(ISNUMBER(SEARCH("퇴사",IFERROR(INDEX(강사DB!$G$4:$G$53,MATCH($M952,강사DB!$A$4:$A$53,0)),""))),1,0))</f>
        <v>0</v>
      </c>
    </row>
    <row r="953" customFormat="false" ht="15" hidden="false" customHeight="false" outlineLevel="0" collapsed="false">
      <c r="A953" s="45" t="str">
        <f aca="false">IF($D953="","",COUNTA($D$5:$D953))</f>
        <v/>
      </c>
      <c r="B953" s="46"/>
      <c r="C953" s="47"/>
      <c r="D953" s="48"/>
      <c r="E953" s="48"/>
      <c r="F953" s="49"/>
      <c r="G953" s="47"/>
      <c r="H953" s="50"/>
      <c r="I953" s="50"/>
      <c r="J953" s="51" t="str">
        <f aca="false">IF(OR($V953="",$W953=""),"",ROUND(($W953-$V953)/60,2))</f>
        <v/>
      </c>
      <c r="K953" s="52" t="str">
        <f aca="false">IF($F953="","",LEN($F953)-LEN(SUBSTITUTE($F953,",",""))+1)</f>
        <v/>
      </c>
      <c r="L953" s="45" t="str">
        <f aca="false">IF($K953="","","1:"&amp;$K953)</f>
        <v/>
      </c>
      <c r="M953" s="46"/>
      <c r="N953" s="53"/>
      <c r="O953" s="46"/>
      <c r="P953" s="47"/>
      <c r="Q953" s="48"/>
      <c r="R953" s="49"/>
      <c r="S953" s="54" t="str">
        <f aca="false">IF(OR($AC953=0,$U953="",$M953="",$V953="",$W953=""),"",IF(COUNTIFS(m_teacher,$M953,m_date,$U953,m_active,1,m_start,"&lt;"&amp;$W953,m_end,"&gt;"&amp;$V953)&gt;1,"충돌",""))</f>
        <v/>
      </c>
      <c r="T953" s="48"/>
      <c r="U953" s="55" t="str">
        <f aca="false">IF($G953="","",IFERROR(IF(ISNUMBER($G953),IF($G953&gt;19000000,DATE(INT($G953/10000),MOD(INT($G953/100),100),MOD($G953,100)),INT($G953)),IF(LEN(SUBSTITUTE(SUBSTITUTE(SUBSTITUTE(TRIM($G953),"-",""),".",""),"/",""))=8,DATE(VALUE(LEFT(SUBSTITUTE(SUBSTITUTE(SUBSTITUTE(TRIM($G953),"-",""),".",""),"/",""),4)),VALUE(MID(SUBSTITUTE(SUBSTITUTE(SUBSTITUTE(TRIM($G953),"-",""),".",""),"/",""),5,2)),VALUE(RIGHT(SUBSTITUTE(SUBSTITUTE(SUBSTITUTE(TRIM($G953),"-",""),".",""),"/",""),2))),DATEVALUE($G953))),""))</f>
        <v/>
      </c>
      <c r="V953" s="52" t="str">
        <f aca="false">IF($H953="","",IFERROR(IF(IF(ISNUMBER($H953),$H953,IFERROR(TIMEVALUE($H953),VALUE($H953)))&gt;=100,INT(IF(ISNUMBER($H953),$H953,IFERROR(TIMEVALUE($H953),VALUE($H953)))/100)*60+MOD(IF(ISNUMBER($H953),$H953,IFERROR(TIMEVALUE($H953),VALUE($H953))),100),IF(IF(ISNUMBER($H953),$H953,IFERROR(TIMEVALUE($H953),VALUE($H953)))&gt;=1,ROUND(IF(ISNUMBER($H953),$H953,IFERROR(TIMEVALUE($H953),VALUE($H953)))*60,0),ROUND(MOD(IF(ISNUMBER($H953),$H953,IFERROR(TIMEVALUE($H953),VALUE($H953))),1)*1440,0))),""))</f>
        <v/>
      </c>
      <c r="W953" s="52" t="str">
        <f aca="false">IF($I953="","",IFERROR(IF(IF(ISNUMBER($I953),$I953,IFERROR(TIMEVALUE($I953),VALUE($I953)))&gt;=100,INT(IF(ISNUMBER($I953),$I953,IFERROR(TIMEVALUE($I953),VALUE($I953)))/100)*60+MOD(IF(ISNUMBER($I953),$I953,IFERROR(TIMEVALUE($I953),VALUE($I953))),100),IF(IF(ISNUMBER($I953),$I953,IFERROR(TIMEVALUE($I953),VALUE($I953)))&gt;=1,ROUND(IF(ISNUMBER($I953),$I953,IFERROR(TIMEVALUE($I953),VALUE($I953)))*60,0),ROUND(MOD(IF(ISNUMBER($I953),$I953,IFERROR(TIMEVALUE($I953),VALUE($I953))),1)*1440,0))),""))</f>
        <v/>
      </c>
      <c r="X953" s="55" t="str">
        <f aca="false">IF($P953="","",IFERROR(IF(ISNUMBER($P953),IF($P953&gt;19000000,DATE(INT($P953/10000),MOD(INT($P953/100),100),MOD($P953,100)),INT($P953)),IF(LEN(SUBSTITUTE(SUBSTITUTE(SUBSTITUTE(TRIM($P953),"-",""),".",""),"/",""))=8,DATE(VALUE(LEFT(SUBSTITUTE(SUBSTITUTE(SUBSTITUTE(TRIM($P953),"-",""),".",""),"/",""),4)),VALUE(MID(SUBSTITUTE(SUBSTITUTE(SUBSTITUTE(TRIM($P953),"-",""),".",""),"/",""),5,2)),VALUE(RIGHT(SUBSTITUTE(SUBSTITUTE(SUBSTITUTE(TRIM($P953),"-",""),".",""),"/",""),2))),DATEVALUE($P953))),""))</f>
        <v/>
      </c>
      <c r="Y953" s="56" t="str">
        <f aca="false">IF($M953="","",IFERROR(INDEX(강사DB!$D$4:$D$53,MATCH($M953,강사DB!$A$4:$A$53,0)),""))</f>
        <v/>
      </c>
      <c r="Z953" s="56" t="str">
        <f aca="false">IF($B953&lt;&gt;"결제완료","",IF(OR($Y953="",$J953=""),"",$Y953*$J953+MAX(0,N($K953)-1)*설정!$J$7))</f>
        <v/>
      </c>
      <c r="AA953" s="56" t="str">
        <f aca="false">IF(AND($D953&lt;&gt;"",$B953="결제완료"),N($N953),"")</f>
        <v/>
      </c>
      <c r="AB953" s="45" t="str">
        <f aca="false">IF($D953="","",IF($F953&lt;&gt;"",$F953,$D953)&amp;IF($B953="상담중"," (상담)",""))</f>
        <v/>
      </c>
      <c r="AC953" s="45" t="n">
        <f aca="false">IF(AND($D953&lt;&gt;"",OR($B953="결제완료",$B953="상담중")),1,0)</f>
        <v>0</v>
      </c>
      <c r="AD953" s="45" t="n">
        <f aca="false">IF(OR($Z953="",$U953=""),0,IFERROR(IF(COUNTIFS(INDEX(g_grid,0,2*MATCH($M953,강사DB!$A$4:$A$15,0)),"&lt;&gt;",g_s,"&lt;="&amp;$U953,g_e,"&gt;="&amp;$U953)&gt;0,1,0),0))</f>
        <v>0</v>
      </c>
      <c r="AE953" s="48"/>
      <c r="AF953" s="56" t="str">
        <f aca="false">IF(AND($D953&lt;&gt;"",$B953="결제완료",$T953="대여"),설정!$J$5,"")</f>
        <v/>
      </c>
      <c r="AG953" s="54" t="str">
        <f aca="false">IF($D953="","",IF(AND($E953="",$R953=""),$AB953,"☎ "&amp;IF($E953="","-",$E953)&amp;IF($R953&lt;&gt;"","  ※ "&amp;$R953,"")&amp;IF($B953="상담중"," (상담)","")))</f>
        <v/>
      </c>
      <c r="AH953" s="56" t="str">
        <f aca="false">IF(AND($D953&lt;&gt;"",$B953="결제완료",$O953="스마트스토어"),ROUND(N($N953)*설정!$J$6,0),"")</f>
        <v/>
      </c>
      <c r="AI953" s="54" t="str">
        <f aca="false">IF($D953="","",ROW())</f>
        <v/>
      </c>
      <c r="AJ953" s="54" t="n">
        <f aca="false">IF(OR($AC953&lt;&gt;1,$M953=""),0,IF(ISNUMBER(SEARCH("퇴사",IFERROR(INDEX(강사DB!$G$4:$G$53,MATCH($M953,강사DB!$A$4:$A$53,0)),""))),1,0))</f>
        <v>0</v>
      </c>
    </row>
    <row r="954" customFormat="false" ht="15" hidden="false" customHeight="false" outlineLevel="0" collapsed="false">
      <c r="A954" s="45" t="str">
        <f aca="false">IF($D954="","",COUNTA($D$5:$D954))</f>
        <v/>
      </c>
      <c r="B954" s="46"/>
      <c r="C954" s="47"/>
      <c r="D954" s="48"/>
      <c r="E954" s="48"/>
      <c r="F954" s="49"/>
      <c r="G954" s="47"/>
      <c r="H954" s="50"/>
      <c r="I954" s="50"/>
      <c r="J954" s="51" t="str">
        <f aca="false">IF(OR($V954="",$W954=""),"",ROUND(($W954-$V954)/60,2))</f>
        <v/>
      </c>
      <c r="K954" s="52" t="str">
        <f aca="false">IF($F954="","",LEN($F954)-LEN(SUBSTITUTE($F954,",",""))+1)</f>
        <v/>
      </c>
      <c r="L954" s="45" t="str">
        <f aca="false">IF($K954="","","1:"&amp;$K954)</f>
        <v/>
      </c>
      <c r="M954" s="46"/>
      <c r="N954" s="53"/>
      <c r="O954" s="46"/>
      <c r="P954" s="47"/>
      <c r="Q954" s="48"/>
      <c r="R954" s="49"/>
      <c r="S954" s="54" t="str">
        <f aca="false">IF(OR($AC954=0,$U954="",$M954="",$V954="",$W954=""),"",IF(COUNTIFS(m_teacher,$M954,m_date,$U954,m_active,1,m_start,"&lt;"&amp;$W954,m_end,"&gt;"&amp;$V954)&gt;1,"충돌",""))</f>
        <v/>
      </c>
      <c r="T954" s="48"/>
      <c r="U954" s="55" t="str">
        <f aca="false">IF($G954="","",IFERROR(IF(ISNUMBER($G954),IF($G954&gt;19000000,DATE(INT($G954/10000),MOD(INT($G954/100),100),MOD($G954,100)),INT($G954)),IF(LEN(SUBSTITUTE(SUBSTITUTE(SUBSTITUTE(TRIM($G954),"-",""),".",""),"/",""))=8,DATE(VALUE(LEFT(SUBSTITUTE(SUBSTITUTE(SUBSTITUTE(TRIM($G954),"-",""),".",""),"/",""),4)),VALUE(MID(SUBSTITUTE(SUBSTITUTE(SUBSTITUTE(TRIM($G954),"-",""),".",""),"/",""),5,2)),VALUE(RIGHT(SUBSTITUTE(SUBSTITUTE(SUBSTITUTE(TRIM($G954),"-",""),".",""),"/",""),2))),DATEVALUE($G954))),""))</f>
        <v/>
      </c>
      <c r="V954" s="52" t="str">
        <f aca="false">IF($H954="","",IFERROR(IF(IF(ISNUMBER($H954),$H954,IFERROR(TIMEVALUE($H954),VALUE($H954)))&gt;=100,INT(IF(ISNUMBER($H954),$H954,IFERROR(TIMEVALUE($H954),VALUE($H954)))/100)*60+MOD(IF(ISNUMBER($H954),$H954,IFERROR(TIMEVALUE($H954),VALUE($H954))),100),IF(IF(ISNUMBER($H954),$H954,IFERROR(TIMEVALUE($H954),VALUE($H954)))&gt;=1,ROUND(IF(ISNUMBER($H954),$H954,IFERROR(TIMEVALUE($H954),VALUE($H954)))*60,0),ROUND(MOD(IF(ISNUMBER($H954),$H954,IFERROR(TIMEVALUE($H954),VALUE($H954))),1)*1440,0))),""))</f>
        <v/>
      </c>
      <c r="W954" s="52" t="str">
        <f aca="false">IF($I954="","",IFERROR(IF(IF(ISNUMBER($I954),$I954,IFERROR(TIMEVALUE($I954),VALUE($I954)))&gt;=100,INT(IF(ISNUMBER($I954),$I954,IFERROR(TIMEVALUE($I954),VALUE($I954)))/100)*60+MOD(IF(ISNUMBER($I954),$I954,IFERROR(TIMEVALUE($I954),VALUE($I954))),100),IF(IF(ISNUMBER($I954),$I954,IFERROR(TIMEVALUE($I954),VALUE($I954)))&gt;=1,ROUND(IF(ISNUMBER($I954),$I954,IFERROR(TIMEVALUE($I954),VALUE($I954)))*60,0),ROUND(MOD(IF(ISNUMBER($I954),$I954,IFERROR(TIMEVALUE($I954),VALUE($I954))),1)*1440,0))),""))</f>
        <v/>
      </c>
      <c r="X954" s="55" t="str">
        <f aca="false">IF($P954="","",IFERROR(IF(ISNUMBER($P954),IF($P954&gt;19000000,DATE(INT($P954/10000),MOD(INT($P954/100),100),MOD($P954,100)),INT($P954)),IF(LEN(SUBSTITUTE(SUBSTITUTE(SUBSTITUTE(TRIM($P954),"-",""),".",""),"/",""))=8,DATE(VALUE(LEFT(SUBSTITUTE(SUBSTITUTE(SUBSTITUTE(TRIM($P954),"-",""),".",""),"/",""),4)),VALUE(MID(SUBSTITUTE(SUBSTITUTE(SUBSTITUTE(TRIM($P954),"-",""),".",""),"/",""),5,2)),VALUE(RIGHT(SUBSTITUTE(SUBSTITUTE(SUBSTITUTE(TRIM($P954),"-",""),".",""),"/",""),2))),DATEVALUE($P954))),""))</f>
        <v/>
      </c>
      <c r="Y954" s="56" t="str">
        <f aca="false">IF($M954="","",IFERROR(INDEX(강사DB!$D$4:$D$53,MATCH($M954,강사DB!$A$4:$A$53,0)),""))</f>
        <v/>
      </c>
      <c r="Z954" s="56" t="str">
        <f aca="false">IF($B954&lt;&gt;"결제완료","",IF(OR($Y954="",$J954=""),"",$Y954*$J954+MAX(0,N($K954)-1)*설정!$J$7))</f>
        <v/>
      </c>
      <c r="AA954" s="56" t="str">
        <f aca="false">IF(AND($D954&lt;&gt;"",$B954="결제완료"),N($N954),"")</f>
        <v/>
      </c>
      <c r="AB954" s="45" t="str">
        <f aca="false">IF($D954="","",IF($F954&lt;&gt;"",$F954,$D954)&amp;IF($B954="상담중"," (상담)",""))</f>
        <v/>
      </c>
      <c r="AC954" s="45" t="n">
        <f aca="false">IF(AND($D954&lt;&gt;"",OR($B954="결제완료",$B954="상담중")),1,0)</f>
        <v>0</v>
      </c>
      <c r="AD954" s="45" t="n">
        <f aca="false">IF(OR($Z954="",$U954=""),0,IFERROR(IF(COUNTIFS(INDEX(g_grid,0,2*MATCH($M954,강사DB!$A$4:$A$15,0)),"&lt;&gt;",g_s,"&lt;="&amp;$U954,g_e,"&gt;="&amp;$U954)&gt;0,1,0),0))</f>
        <v>0</v>
      </c>
      <c r="AE954" s="48"/>
      <c r="AF954" s="56" t="str">
        <f aca="false">IF(AND($D954&lt;&gt;"",$B954="결제완료",$T954="대여"),설정!$J$5,"")</f>
        <v/>
      </c>
      <c r="AG954" s="54" t="str">
        <f aca="false">IF($D954="","",IF(AND($E954="",$R954=""),$AB954,"☎ "&amp;IF($E954="","-",$E954)&amp;IF($R954&lt;&gt;"","  ※ "&amp;$R954,"")&amp;IF($B954="상담중"," (상담)","")))</f>
        <v/>
      </c>
      <c r="AH954" s="56" t="str">
        <f aca="false">IF(AND($D954&lt;&gt;"",$B954="결제완료",$O954="스마트스토어"),ROUND(N($N954)*설정!$J$6,0),"")</f>
        <v/>
      </c>
      <c r="AI954" s="54" t="str">
        <f aca="false">IF($D954="","",ROW())</f>
        <v/>
      </c>
      <c r="AJ954" s="54" t="n">
        <f aca="false">IF(OR($AC954&lt;&gt;1,$M954=""),0,IF(ISNUMBER(SEARCH("퇴사",IFERROR(INDEX(강사DB!$G$4:$G$53,MATCH($M954,강사DB!$A$4:$A$53,0)),""))),1,0))</f>
        <v>0</v>
      </c>
    </row>
    <row r="955" customFormat="false" ht="15" hidden="false" customHeight="false" outlineLevel="0" collapsed="false">
      <c r="A955" s="45" t="str">
        <f aca="false">IF($D955="","",COUNTA($D$5:$D955))</f>
        <v/>
      </c>
      <c r="B955" s="46"/>
      <c r="C955" s="47"/>
      <c r="D955" s="48"/>
      <c r="E955" s="48"/>
      <c r="F955" s="49"/>
      <c r="G955" s="47"/>
      <c r="H955" s="50"/>
      <c r="I955" s="50"/>
      <c r="J955" s="51" t="str">
        <f aca="false">IF(OR($V955="",$W955=""),"",ROUND(($W955-$V955)/60,2))</f>
        <v/>
      </c>
      <c r="K955" s="52" t="str">
        <f aca="false">IF($F955="","",LEN($F955)-LEN(SUBSTITUTE($F955,",",""))+1)</f>
        <v/>
      </c>
      <c r="L955" s="45" t="str">
        <f aca="false">IF($K955="","","1:"&amp;$K955)</f>
        <v/>
      </c>
      <c r="M955" s="46"/>
      <c r="N955" s="53"/>
      <c r="O955" s="46"/>
      <c r="P955" s="47"/>
      <c r="Q955" s="48"/>
      <c r="R955" s="49"/>
      <c r="S955" s="54" t="str">
        <f aca="false">IF(OR($AC955=0,$U955="",$M955="",$V955="",$W955=""),"",IF(COUNTIFS(m_teacher,$M955,m_date,$U955,m_active,1,m_start,"&lt;"&amp;$W955,m_end,"&gt;"&amp;$V955)&gt;1,"충돌",""))</f>
        <v/>
      </c>
      <c r="T955" s="48"/>
      <c r="U955" s="55" t="str">
        <f aca="false">IF($G955="","",IFERROR(IF(ISNUMBER($G955),IF($G955&gt;19000000,DATE(INT($G955/10000),MOD(INT($G955/100),100),MOD($G955,100)),INT($G955)),IF(LEN(SUBSTITUTE(SUBSTITUTE(SUBSTITUTE(TRIM($G955),"-",""),".",""),"/",""))=8,DATE(VALUE(LEFT(SUBSTITUTE(SUBSTITUTE(SUBSTITUTE(TRIM($G955),"-",""),".",""),"/",""),4)),VALUE(MID(SUBSTITUTE(SUBSTITUTE(SUBSTITUTE(TRIM($G955),"-",""),".",""),"/",""),5,2)),VALUE(RIGHT(SUBSTITUTE(SUBSTITUTE(SUBSTITUTE(TRIM($G955),"-",""),".",""),"/",""),2))),DATEVALUE($G955))),""))</f>
        <v/>
      </c>
      <c r="V955" s="52" t="str">
        <f aca="false">IF($H955="","",IFERROR(IF(IF(ISNUMBER($H955),$H955,IFERROR(TIMEVALUE($H955),VALUE($H955)))&gt;=100,INT(IF(ISNUMBER($H955),$H955,IFERROR(TIMEVALUE($H955),VALUE($H955)))/100)*60+MOD(IF(ISNUMBER($H955),$H955,IFERROR(TIMEVALUE($H955),VALUE($H955))),100),IF(IF(ISNUMBER($H955),$H955,IFERROR(TIMEVALUE($H955),VALUE($H955)))&gt;=1,ROUND(IF(ISNUMBER($H955),$H955,IFERROR(TIMEVALUE($H955),VALUE($H955)))*60,0),ROUND(MOD(IF(ISNUMBER($H955),$H955,IFERROR(TIMEVALUE($H955),VALUE($H955))),1)*1440,0))),""))</f>
        <v/>
      </c>
      <c r="W955" s="52" t="str">
        <f aca="false">IF($I955="","",IFERROR(IF(IF(ISNUMBER($I955),$I955,IFERROR(TIMEVALUE($I955),VALUE($I955)))&gt;=100,INT(IF(ISNUMBER($I955),$I955,IFERROR(TIMEVALUE($I955),VALUE($I955)))/100)*60+MOD(IF(ISNUMBER($I955),$I955,IFERROR(TIMEVALUE($I955),VALUE($I955))),100),IF(IF(ISNUMBER($I955),$I955,IFERROR(TIMEVALUE($I955),VALUE($I955)))&gt;=1,ROUND(IF(ISNUMBER($I955),$I955,IFERROR(TIMEVALUE($I955),VALUE($I955)))*60,0),ROUND(MOD(IF(ISNUMBER($I955),$I955,IFERROR(TIMEVALUE($I955),VALUE($I955))),1)*1440,0))),""))</f>
        <v/>
      </c>
      <c r="X955" s="55" t="str">
        <f aca="false">IF($P955="","",IFERROR(IF(ISNUMBER($P955),IF($P955&gt;19000000,DATE(INT($P955/10000),MOD(INT($P955/100),100),MOD($P955,100)),INT($P955)),IF(LEN(SUBSTITUTE(SUBSTITUTE(SUBSTITUTE(TRIM($P955),"-",""),".",""),"/",""))=8,DATE(VALUE(LEFT(SUBSTITUTE(SUBSTITUTE(SUBSTITUTE(TRIM($P955),"-",""),".",""),"/",""),4)),VALUE(MID(SUBSTITUTE(SUBSTITUTE(SUBSTITUTE(TRIM($P955),"-",""),".",""),"/",""),5,2)),VALUE(RIGHT(SUBSTITUTE(SUBSTITUTE(SUBSTITUTE(TRIM($P955),"-",""),".",""),"/",""),2))),DATEVALUE($P955))),""))</f>
        <v/>
      </c>
      <c r="Y955" s="56" t="str">
        <f aca="false">IF($M955="","",IFERROR(INDEX(강사DB!$D$4:$D$53,MATCH($M955,강사DB!$A$4:$A$53,0)),""))</f>
        <v/>
      </c>
      <c r="Z955" s="56" t="str">
        <f aca="false">IF($B955&lt;&gt;"결제완료","",IF(OR($Y955="",$J955=""),"",$Y955*$J955+MAX(0,N($K955)-1)*설정!$J$7))</f>
        <v/>
      </c>
      <c r="AA955" s="56" t="str">
        <f aca="false">IF(AND($D955&lt;&gt;"",$B955="결제완료"),N($N955),"")</f>
        <v/>
      </c>
      <c r="AB955" s="45" t="str">
        <f aca="false">IF($D955="","",IF($F955&lt;&gt;"",$F955,$D955)&amp;IF($B955="상담중"," (상담)",""))</f>
        <v/>
      </c>
      <c r="AC955" s="45" t="n">
        <f aca="false">IF(AND($D955&lt;&gt;"",OR($B955="결제완료",$B955="상담중")),1,0)</f>
        <v>0</v>
      </c>
      <c r="AD955" s="45" t="n">
        <f aca="false">IF(OR($Z955="",$U955=""),0,IFERROR(IF(COUNTIFS(INDEX(g_grid,0,2*MATCH($M955,강사DB!$A$4:$A$15,0)),"&lt;&gt;",g_s,"&lt;="&amp;$U955,g_e,"&gt;="&amp;$U955)&gt;0,1,0),0))</f>
        <v>0</v>
      </c>
      <c r="AE955" s="48"/>
      <c r="AF955" s="56" t="str">
        <f aca="false">IF(AND($D955&lt;&gt;"",$B955="결제완료",$T955="대여"),설정!$J$5,"")</f>
        <v/>
      </c>
      <c r="AG955" s="54" t="str">
        <f aca="false">IF($D955="","",IF(AND($E955="",$R955=""),$AB955,"☎ "&amp;IF($E955="","-",$E955)&amp;IF($R955&lt;&gt;"","  ※ "&amp;$R955,"")&amp;IF($B955="상담중"," (상담)","")))</f>
        <v/>
      </c>
      <c r="AH955" s="56" t="str">
        <f aca="false">IF(AND($D955&lt;&gt;"",$B955="결제완료",$O955="스마트스토어"),ROUND(N($N955)*설정!$J$6,0),"")</f>
        <v/>
      </c>
      <c r="AI955" s="54" t="str">
        <f aca="false">IF($D955="","",ROW())</f>
        <v/>
      </c>
      <c r="AJ955" s="54" t="n">
        <f aca="false">IF(OR($AC955&lt;&gt;1,$M955=""),0,IF(ISNUMBER(SEARCH("퇴사",IFERROR(INDEX(강사DB!$G$4:$G$53,MATCH($M955,강사DB!$A$4:$A$53,0)),""))),1,0))</f>
        <v>0</v>
      </c>
    </row>
    <row r="956" customFormat="false" ht="15" hidden="false" customHeight="false" outlineLevel="0" collapsed="false">
      <c r="A956" s="45" t="str">
        <f aca="false">IF($D956="","",COUNTA($D$5:$D956))</f>
        <v/>
      </c>
      <c r="B956" s="46"/>
      <c r="C956" s="47"/>
      <c r="D956" s="48"/>
      <c r="E956" s="48"/>
      <c r="F956" s="49"/>
      <c r="G956" s="47"/>
      <c r="H956" s="50"/>
      <c r="I956" s="50"/>
      <c r="J956" s="51" t="str">
        <f aca="false">IF(OR($V956="",$W956=""),"",ROUND(($W956-$V956)/60,2))</f>
        <v/>
      </c>
      <c r="K956" s="52" t="str">
        <f aca="false">IF($F956="","",LEN($F956)-LEN(SUBSTITUTE($F956,",",""))+1)</f>
        <v/>
      </c>
      <c r="L956" s="45" t="str">
        <f aca="false">IF($K956="","","1:"&amp;$K956)</f>
        <v/>
      </c>
      <c r="M956" s="46"/>
      <c r="N956" s="53"/>
      <c r="O956" s="46"/>
      <c r="P956" s="47"/>
      <c r="Q956" s="48"/>
      <c r="R956" s="49"/>
      <c r="S956" s="54" t="str">
        <f aca="false">IF(OR($AC956=0,$U956="",$M956="",$V956="",$W956=""),"",IF(COUNTIFS(m_teacher,$M956,m_date,$U956,m_active,1,m_start,"&lt;"&amp;$W956,m_end,"&gt;"&amp;$V956)&gt;1,"충돌",""))</f>
        <v/>
      </c>
      <c r="T956" s="48"/>
      <c r="U956" s="55" t="str">
        <f aca="false">IF($G956="","",IFERROR(IF(ISNUMBER($G956),IF($G956&gt;19000000,DATE(INT($G956/10000),MOD(INT($G956/100),100),MOD($G956,100)),INT($G956)),IF(LEN(SUBSTITUTE(SUBSTITUTE(SUBSTITUTE(TRIM($G956),"-",""),".",""),"/",""))=8,DATE(VALUE(LEFT(SUBSTITUTE(SUBSTITUTE(SUBSTITUTE(TRIM($G956),"-",""),".",""),"/",""),4)),VALUE(MID(SUBSTITUTE(SUBSTITUTE(SUBSTITUTE(TRIM($G956),"-",""),".",""),"/",""),5,2)),VALUE(RIGHT(SUBSTITUTE(SUBSTITUTE(SUBSTITUTE(TRIM($G956),"-",""),".",""),"/",""),2))),DATEVALUE($G956))),""))</f>
        <v/>
      </c>
      <c r="V956" s="52" t="str">
        <f aca="false">IF($H956="","",IFERROR(IF(IF(ISNUMBER($H956),$H956,IFERROR(TIMEVALUE($H956),VALUE($H956)))&gt;=100,INT(IF(ISNUMBER($H956),$H956,IFERROR(TIMEVALUE($H956),VALUE($H956)))/100)*60+MOD(IF(ISNUMBER($H956),$H956,IFERROR(TIMEVALUE($H956),VALUE($H956))),100),IF(IF(ISNUMBER($H956),$H956,IFERROR(TIMEVALUE($H956),VALUE($H956)))&gt;=1,ROUND(IF(ISNUMBER($H956),$H956,IFERROR(TIMEVALUE($H956),VALUE($H956)))*60,0),ROUND(MOD(IF(ISNUMBER($H956),$H956,IFERROR(TIMEVALUE($H956),VALUE($H956))),1)*1440,0))),""))</f>
        <v/>
      </c>
      <c r="W956" s="52" t="str">
        <f aca="false">IF($I956="","",IFERROR(IF(IF(ISNUMBER($I956),$I956,IFERROR(TIMEVALUE($I956),VALUE($I956)))&gt;=100,INT(IF(ISNUMBER($I956),$I956,IFERROR(TIMEVALUE($I956),VALUE($I956)))/100)*60+MOD(IF(ISNUMBER($I956),$I956,IFERROR(TIMEVALUE($I956),VALUE($I956))),100),IF(IF(ISNUMBER($I956),$I956,IFERROR(TIMEVALUE($I956),VALUE($I956)))&gt;=1,ROUND(IF(ISNUMBER($I956),$I956,IFERROR(TIMEVALUE($I956),VALUE($I956)))*60,0),ROUND(MOD(IF(ISNUMBER($I956),$I956,IFERROR(TIMEVALUE($I956),VALUE($I956))),1)*1440,0))),""))</f>
        <v/>
      </c>
      <c r="X956" s="55" t="str">
        <f aca="false">IF($P956="","",IFERROR(IF(ISNUMBER($P956),IF($P956&gt;19000000,DATE(INT($P956/10000),MOD(INT($P956/100),100),MOD($P956,100)),INT($P956)),IF(LEN(SUBSTITUTE(SUBSTITUTE(SUBSTITUTE(TRIM($P956),"-",""),".",""),"/",""))=8,DATE(VALUE(LEFT(SUBSTITUTE(SUBSTITUTE(SUBSTITUTE(TRIM($P956),"-",""),".",""),"/",""),4)),VALUE(MID(SUBSTITUTE(SUBSTITUTE(SUBSTITUTE(TRIM($P956),"-",""),".",""),"/",""),5,2)),VALUE(RIGHT(SUBSTITUTE(SUBSTITUTE(SUBSTITUTE(TRIM($P956),"-",""),".",""),"/",""),2))),DATEVALUE($P956))),""))</f>
        <v/>
      </c>
      <c r="Y956" s="56" t="str">
        <f aca="false">IF($M956="","",IFERROR(INDEX(강사DB!$D$4:$D$53,MATCH($M956,강사DB!$A$4:$A$53,0)),""))</f>
        <v/>
      </c>
      <c r="Z956" s="56" t="str">
        <f aca="false">IF($B956&lt;&gt;"결제완료","",IF(OR($Y956="",$J956=""),"",$Y956*$J956+MAX(0,N($K956)-1)*설정!$J$7))</f>
        <v/>
      </c>
      <c r="AA956" s="56" t="str">
        <f aca="false">IF(AND($D956&lt;&gt;"",$B956="결제완료"),N($N956),"")</f>
        <v/>
      </c>
      <c r="AB956" s="45" t="str">
        <f aca="false">IF($D956="","",IF($F956&lt;&gt;"",$F956,$D956)&amp;IF($B956="상담중"," (상담)",""))</f>
        <v/>
      </c>
      <c r="AC956" s="45" t="n">
        <f aca="false">IF(AND($D956&lt;&gt;"",OR($B956="결제완료",$B956="상담중")),1,0)</f>
        <v>0</v>
      </c>
      <c r="AD956" s="45" t="n">
        <f aca="false">IF(OR($Z956="",$U956=""),0,IFERROR(IF(COUNTIFS(INDEX(g_grid,0,2*MATCH($M956,강사DB!$A$4:$A$15,0)),"&lt;&gt;",g_s,"&lt;="&amp;$U956,g_e,"&gt;="&amp;$U956)&gt;0,1,0),0))</f>
        <v>0</v>
      </c>
      <c r="AE956" s="48"/>
      <c r="AF956" s="56" t="str">
        <f aca="false">IF(AND($D956&lt;&gt;"",$B956="결제완료",$T956="대여"),설정!$J$5,"")</f>
        <v/>
      </c>
      <c r="AG956" s="54" t="str">
        <f aca="false">IF($D956="","",IF(AND($E956="",$R956=""),$AB956,"☎ "&amp;IF($E956="","-",$E956)&amp;IF($R956&lt;&gt;"","  ※ "&amp;$R956,"")&amp;IF($B956="상담중"," (상담)","")))</f>
        <v/>
      </c>
      <c r="AH956" s="56" t="str">
        <f aca="false">IF(AND($D956&lt;&gt;"",$B956="결제완료",$O956="스마트스토어"),ROUND(N($N956)*설정!$J$6,0),"")</f>
        <v/>
      </c>
      <c r="AI956" s="54" t="str">
        <f aca="false">IF($D956="","",ROW())</f>
        <v/>
      </c>
      <c r="AJ956" s="54" t="n">
        <f aca="false">IF(OR($AC956&lt;&gt;1,$M956=""),0,IF(ISNUMBER(SEARCH("퇴사",IFERROR(INDEX(강사DB!$G$4:$G$53,MATCH($M956,강사DB!$A$4:$A$53,0)),""))),1,0))</f>
        <v>0</v>
      </c>
    </row>
    <row r="957" customFormat="false" ht="15" hidden="false" customHeight="false" outlineLevel="0" collapsed="false">
      <c r="A957" s="45" t="str">
        <f aca="false">IF($D957="","",COUNTA($D$5:$D957))</f>
        <v/>
      </c>
      <c r="B957" s="46"/>
      <c r="C957" s="47"/>
      <c r="D957" s="48"/>
      <c r="E957" s="48"/>
      <c r="F957" s="49"/>
      <c r="G957" s="47"/>
      <c r="H957" s="50"/>
      <c r="I957" s="50"/>
      <c r="J957" s="51" t="str">
        <f aca="false">IF(OR($V957="",$W957=""),"",ROUND(($W957-$V957)/60,2))</f>
        <v/>
      </c>
      <c r="K957" s="52" t="str">
        <f aca="false">IF($F957="","",LEN($F957)-LEN(SUBSTITUTE($F957,",",""))+1)</f>
        <v/>
      </c>
      <c r="L957" s="45" t="str">
        <f aca="false">IF($K957="","","1:"&amp;$K957)</f>
        <v/>
      </c>
      <c r="M957" s="46"/>
      <c r="N957" s="53"/>
      <c r="O957" s="46"/>
      <c r="P957" s="47"/>
      <c r="Q957" s="48"/>
      <c r="R957" s="49"/>
      <c r="S957" s="54" t="str">
        <f aca="false">IF(OR($AC957=0,$U957="",$M957="",$V957="",$W957=""),"",IF(COUNTIFS(m_teacher,$M957,m_date,$U957,m_active,1,m_start,"&lt;"&amp;$W957,m_end,"&gt;"&amp;$V957)&gt;1,"충돌",""))</f>
        <v/>
      </c>
      <c r="T957" s="48"/>
      <c r="U957" s="55" t="str">
        <f aca="false">IF($G957="","",IFERROR(IF(ISNUMBER($G957),IF($G957&gt;19000000,DATE(INT($G957/10000),MOD(INT($G957/100),100),MOD($G957,100)),INT($G957)),IF(LEN(SUBSTITUTE(SUBSTITUTE(SUBSTITUTE(TRIM($G957),"-",""),".",""),"/",""))=8,DATE(VALUE(LEFT(SUBSTITUTE(SUBSTITUTE(SUBSTITUTE(TRIM($G957),"-",""),".",""),"/",""),4)),VALUE(MID(SUBSTITUTE(SUBSTITUTE(SUBSTITUTE(TRIM($G957),"-",""),".",""),"/",""),5,2)),VALUE(RIGHT(SUBSTITUTE(SUBSTITUTE(SUBSTITUTE(TRIM($G957),"-",""),".",""),"/",""),2))),DATEVALUE($G957))),""))</f>
        <v/>
      </c>
      <c r="V957" s="52" t="str">
        <f aca="false">IF($H957="","",IFERROR(IF(IF(ISNUMBER($H957),$H957,IFERROR(TIMEVALUE($H957),VALUE($H957)))&gt;=100,INT(IF(ISNUMBER($H957),$H957,IFERROR(TIMEVALUE($H957),VALUE($H957)))/100)*60+MOD(IF(ISNUMBER($H957),$H957,IFERROR(TIMEVALUE($H957),VALUE($H957))),100),IF(IF(ISNUMBER($H957),$H957,IFERROR(TIMEVALUE($H957),VALUE($H957)))&gt;=1,ROUND(IF(ISNUMBER($H957),$H957,IFERROR(TIMEVALUE($H957),VALUE($H957)))*60,0),ROUND(MOD(IF(ISNUMBER($H957),$H957,IFERROR(TIMEVALUE($H957),VALUE($H957))),1)*1440,0))),""))</f>
        <v/>
      </c>
      <c r="W957" s="52" t="str">
        <f aca="false">IF($I957="","",IFERROR(IF(IF(ISNUMBER($I957),$I957,IFERROR(TIMEVALUE($I957),VALUE($I957)))&gt;=100,INT(IF(ISNUMBER($I957),$I957,IFERROR(TIMEVALUE($I957),VALUE($I957)))/100)*60+MOD(IF(ISNUMBER($I957),$I957,IFERROR(TIMEVALUE($I957),VALUE($I957))),100),IF(IF(ISNUMBER($I957),$I957,IFERROR(TIMEVALUE($I957),VALUE($I957)))&gt;=1,ROUND(IF(ISNUMBER($I957),$I957,IFERROR(TIMEVALUE($I957),VALUE($I957)))*60,0),ROUND(MOD(IF(ISNUMBER($I957),$I957,IFERROR(TIMEVALUE($I957),VALUE($I957))),1)*1440,0))),""))</f>
        <v/>
      </c>
      <c r="X957" s="55" t="str">
        <f aca="false">IF($P957="","",IFERROR(IF(ISNUMBER($P957),IF($P957&gt;19000000,DATE(INT($P957/10000),MOD(INT($P957/100),100),MOD($P957,100)),INT($P957)),IF(LEN(SUBSTITUTE(SUBSTITUTE(SUBSTITUTE(TRIM($P957),"-",""),".",""),"/",""))=8,DATE(VALUE(LEFT(SUBSTITUTE(SUBSTITUTE(SUBSTITUTE(TRIM($P957),"-",""),".",""),"/",""),4)),VALUE(MID(SUBSTITUTE(SUBSTITUTE(SUBSTITUTE(TRIM($P957),"-",""),".",""),"/",""),5,2)),VALUE(RIGHT(SUBSTITUTE(SUBSTITUTE(SUBSTITUTE(TRIM($P957),"-",""),".",""),"/",""),2))),DATEVALUE($P957))),""))</f>
        <v/>
      </c>
      <c r="Y957" s="56" t="str">
        <f aca="false">IF($M957="","",IFERROR(INDEX(강사DB!$D$4:$D$53,MATCH($M957,강사DB!$A$4:$A$53,0)),""))</f>
        <v/>
      </c>
      <c r="Z957" s="56" t="str">
        <f aca="false">IF($B957&lt;&gt;"결제완료","",IF(OR($Y957="",$J957=""),"",$Y957*$J957+MAX(0,N($K957)-1)*설정!$J$7))</f>
        <v/>
      </c>
      <c r="AA957" s="56" t="str">
        <f aca="false">IF(AND($D957&lt;&gt;"",$B957="결제완료"),N($N957),"")</f>
        <v/>
      </c>
      <c r="AB957" s="45" t="str">
        <f aca="false">IF($D957="","",IF($F957&lt;&gt;"",$F957,$D957)&amp;IF($B957="상담중"," (상담)",""))</f>
        <v/>
      </c>
      <c r="AC957" s="45" t="n">
        <f aca="false">IF(AND($D957&lt;&gt;"",OR($B957="결제완료",$B957="상담중")),1,0)</f>
        <v>0</v>
      </c>
      <c r="AD957" s="45" t="n">
        <f aca="false">IF(OR($Z957="",$U957=""),0,IFERROR(IF(COUNTIFS(INDEX(g_grid,0,2*MATCH($M957,강사DB!$A$4:$A$15,0)),"&lt;&gt;",g_s,"&lt;="&amp;$U957,g_e,"&gt;="&amp;$U957)&gt;0,1,0),0))</f>
        <v>0</v>
      </c>
      <c r="AE957" s="48"/>
      <c r="AF957" s="56" t="str">
        <f aca="false">IF(AND($D957&lt;&gt;"",$B957="결제완료",$T957="대여"),설정!$J$5,"")</f>
        <v/>
      </c>
      <c r="AG957" s="54" t="str">
        <f aca="false">IF($D957="","",IF(AND($E957="",$R957=""),$AB957,"☎ "&amp;IF($E957="","-",$E957)&amp;IF($R957&lt;&gt;"","  ※ "&amp;$R957,"")&amp;IF($B957="상담중"," (상담)","")))</f>
        <v/>
      </c>
      <c r="AH957" s="56" t="str">
        <f aca="false">IF(AND($D957&lt;&gt;"",$B957="결제완료",$O957="스마트스토어"),ROUND(N($N957)*설정!$J$6,0),"")</f>
        <v/>
      </c>
      <c r="AI957" s="54" t="str">
        <f aca="false">IF($D957="","",ROW())</f>
        <v/>
      </c>
      <c r="AJ957" s="54" t="n">
        <f aca="false">IF(OR($AC957&lt;&gt;1,$M957=""),0,IF(ISNUMBER(SEARCH("퇴사",IFERROR(INDEX(강사DB!$G$4:$G$53,MATCH($M957,강사DB!$A$4:$A$53,0)),""))),1,0))</f>
        <v>0</v>
      </c>
    </row>
    <row r="958" customFormat="false" ht="15" hidden="false" customHeight="false" outlineLevel="0" collapsed="false">
      <c r="A958" s="45" t="str">
        <f aca="false">IF($D958="","",COUNTA($D$5:$D958))</f>
        <v/>
      </c>
      <c r="B958" s="46"/>
      <c r="C958" s="47"/>
      <c r="D958" s="48"/>
      <c r="E958" s="48"/>
      <c r="F958" s="49"/>
      <c r="G958" s="47"/>
      <c r="H958" s="50"/>
      <c r="I958" s="50"/>
      <c r="J958" s="51" t="str">
        <f aca="false">IF(OR($V958="",$W958=""),"",ROUND(($W958-$V958)/60,2))</f>
        <v/>
      </c>
      <c r="K958" s="52" t="str">
        <f aca="false">IF($F958="","",LEN($F958)-LEN(SUBSTITUTE($F958,",",""))+1)</f>
        <v/>
      </c>
      <c r="L958" s="45" t="str">
        <f aca="false">IF($K958="","","1:"&amp;$K958)</f>
        <v/>
      </c>
      <c r="M958" s="46"/>
      <c r="N958" s="53"/>
      <c r="O958" s="46"/>
      <c r="P958" s="47"/>
      <c r="Q958" s="48"/>
      <c r="R958" s="49"/>
      <c r="S958" s="54" t="str">
        <f aca="false">IF(OR($AC958=0,$U958="",$M958="",$V958="",$W958=""),"",IF(COUNTIFS(m_teacher,$M958,m_date,$U958,m_active,1,m_start,"&lt;"&amp;$W958,m_end,"&gt;"&amp;$V958)&gt;1,"충돌",""))</f>
        <v/>
      </c>
      <c r="T958" s="48"/>
      <c r="U958" s="55" t="str">
        <f aca="false">IF($G958="","",IFERROR(IF(ISNUMBER($G958),IF($G958&gt;19000000,DATE(INT($G958/10000),MOD(INT($G958/100),100),MOD($G958,100)),INT($G958)),IF(LEN(SUBSTITUTE(SUBSTITUTE(SUBSTITUTE(TRIM($G958),"-",""),".",""),"/",""))=8,DATE(VALUE(LEFT(SUBSTITUTE(SUBSTITUTE(SUBSTITUTE(TRIM($G958),"-",""),".",""),"/",""),4)),VALUE(MID(SUBSTITUTE(SUBSTITUTE(SUBSTITUTE(TRIM($G958),"-",""),".",""),"/",""),5,2)),VALUE(RIGHT(SUBSTITUTE(SUBSTITUTE(SUBSTITUTE(TRIM($G958),"-",""),".",""),"/",""),2))),DATEVALUE($G958))),""))</f>
        <v/>
      </c>
      <c r="V958" s="52" t="str">
        <f aca="false">IF($H958="","",IFERROR(IF(IF(ISNUMBER($H958),$H958,IFERROR(TIMEVALUE($H958),VALUE($H958)))&gt;=100,INT(IF(ISNUMBER($H958),$H958,IFERROR(TIMEVALUE($H958),VALUE($H958)))/100)*60+MOD(IF(ISNUMBER($H958),$H958,IFERROR(TIMEVALUE($H958),VALUE($H958))),100),IF(IF(ISNUMBER($H958),$H958,IFERROR(TIMEVALUE($H958),VALUE($H958)))&gt;=1,ROUND(IF(ISNUMBER($H958),$H958,IFERROR(TIMEVALUE($H958),VALUE($H958)))*60,0),ROUND(MOD(IF(ISNUMBER($H958),$H958,IFERROR(TIMEVALUE($H958),VALUE($H958))),1)*1440,0))),""))</f>
        <v/>
      </c>
      <c r="W958" s="52" t="str">
        <f aca="false">IF($I958="","",IFERROR(IF(IF(ISNUMBER($I958),$I958,IFERROR(TIMEVALUE($I958),VALUE($I958)))&gt;=100,INT(IF(ISNUMBER($I958),$I958,IFERROR(TIMEVALUE($I958),VALUE($I958)))/100)*60+MOD(IF(ISNUMBER($I958),$I958,IFERROR(TIMEVALUE($I958),VALUE($I958))),100),IF(IF(ISNUMBER($I958),$I958,IFERROR(TIMEVALUE($I958),VALUE($I958)))&gt;=1,ROUND(IF(ISNUMBER($I958),$I958,IFERROR(TIMEVALUE($I958),VALUE($I958)))*60,0),ROUND(MOD(IF(ISNUMBER($I958),$I958,IFERROR(TIMEVALUE($I958),VALUE($I958))),1)*1440,0))),""))</f>
        <v/>
      </c>
      <c r="X958" s="55" t="str">
        <f aca="false">IF($P958="","",IFERROR(IF(ISNUMBER($P958),IF($P958&gt;19000000,DATE(INT($P958/10000),MOD(INT($P958/100),100),MOD($P958,100)),INT($P958)),IF(LEN(SUBSTITUTE(SUBSTITUTE(SUBSTITUTE(TRIM($P958),"-",""),".",""),"/",""))=8,DATE(VALUE(LEFT(SUBSTITUTE(SUBSTITUTE(SUBSTITUTE(TRIM($P958),"-",""),".",""),"/",""),4)),VALUE(MID(SUBSTITUTE(SUBSTITUTE(SUBSTITUTE(TRIM($P958),"-",""),".",""),"/",""),5,2)),VALUE(RIGHT(SUBSTITUTE(SUBSTITUTE(SUBSTITUTE(TRIM($P958),"-",""),".",""),"/",""),2))),DATEVALUE($P958))),""))</f>
        <v/>
      </c>
      <c r="Y958" s="56" t="str">
        <f aca="false">IF($M958="","",IFERROR(INDEX(강사DB!$D$4:$D$53,MATCH($M958,강사DB!$A$4:$A$53,0)),""))</f>
        <v/>
      </c>
      <c r="Z958" s="56" t="str">
        <f aca="false">IF($B958&lt;&gt;"결제완료","",IF(OR($Y958="",$J958=""),"",$Y958*$J958+MAX(0,N($K958)-1)*설정!$J$7))</f>
        <v/>
      </c>
      <c r="AA958" s="56" t="str">
        <f aca="false">IF(AND($D958&lt;&gt;"",$B958="결제완료"),N($N958),"")</f>
        <v/>
      </c>
      <c r="AB958" s="45" t="str">
        <f aca="false">IF($D958="","",IF($F958&lt;&gt;"",$F958,$D958)&amp;IF($B958="상담중"," (상담)",""))</f>
        <v/>
      </c>
      <c r="AC958" s="45" t="n">
        <f aca="false">IF(AND($D958&lt;&gt;"",OR($B958="결제완료",$B958="상담중")),1,0)</f>
        <v>0</v>
      </c>
      <c r="AD958" s="45" t="n">
        <f aca="false">IF(OR($Z958="",$U958=""),0,IFERROR(IF(COUNTIFS(INDEX(g_grid,0,2*MATCH($M958,강사DB!$A$4:$A$15,0)),"&lt;&gt;",g_s,"&lt;="&amp;$U958,g_e,"&gt;="&amp;$U958)&gt;0,1,0),0))</f>
        <v>0</v>
      </c>
      <c r="AE958" s="48"/>
      <c r="AF958" s="56" t="str">
        <f aca="false">IF(AND($D958&lt;&gt;"",$B958="결제완료",$T958="대여"),설정!$J$5,"")</f>
        <v/>
      </c>
      <c r="AG958" s="54" t="str">
        <f aca="false">IF($D958="","",IF(AND($E958="",$R958=""),$AB958,"☎ "&amp;IF($E958="","-",$E958)&amp;IF($R958&lt;&gt;"","  ※ "&amp;$R958,"")&amp;IF($B958="상담중"," (상담)","")))</f>
        <v/>
      </c>
      <c r="AH958" s="56" t="str">
        <f aca="false">IF(AND($D958&lt;&gt;"",$B958="결제완료",$O958="스마트스토어"),ROUND(N($N958)*설정!$J$6,0),"")</f>
        <v/>
      </c>
      <c r="AI958" s="54" t="str">
        <f aca="false">IF($D958="","",ROW())</f>
        <v/>
      </c>
      <c r="AJ958" s="54" t="n">
        <f aca="false">IF(OR($AC958&lt;&gt;1,$M958=""),0,IF(ISNUMBER(SEARCH("퇴사",IFERROR(INDEX(강사DB!$G$4:$G$53,MATCH($M958,강사DB!$A$4:$A$53,0)),""))),1,0))</f>
        <v>0</v>
      </c>
    </row>
    <row r="959" customFormat="false" ht="15" hidden="false" customHeight="false" outlineLevel="0" collapsed="false">
      <c r="A959" s="45" t="str">
        <f aca="false">IF($D959="","",COUNTA($D$5:$D959))</f>
        <v/>
      </c>
      <c r="B959" s="46"/>
      <c r="C959" s="47"/>
      <c r="D959" s="48"/>
      <c r="E959" s="48"/>
      <c r="F959" s="49"/>
      <c r="G959" s="47"/>
      <c r="H959" s="50"/>
      <c r="I959" s="50"/>
      <c r="J959" s="51" t="str">
        <f aca="false">IF(OR($V959="",$W959=""),"",ROUND(($W959-$V959)/60,2))</f>
        <v/>
      </c>
      <c r="K959" s="52" t="str">
        <f aca="false">IF($F959="","",LEN($F959)-LEN(SUBSTITUTE($F959,",",""))+1)</f>
        <v/>
      </c>
      <c r="L959" s="45" t="str">
        <f aca="false">IF($K959="","","1:"&amp;$K959)</f>
        <v/>
      </c>
      <c r="M959" s="46"/>
      <c r="N959" s="53"/>
      <c r="O959" s="46"/>
      <c r="P959" s="47"/>
      <c r="Q959" s="48"/>
      <c r="R959" s="49"/>
      <c r="S959" s="54" t="str">
        <f aca="false">IF(OR($AC959=0,$U959="",$M959="",$V959="",$W959=""),"",IF(COUNTIFS(m_teacher,$M959,m_date,$U959,m_active,1,m_start,"&lt;"&amp;$W959,m_end,"&gt;"&amp;$V959)&gt;1,"충돌",""))</f>
        <v/>
      </c>
      <c r="T959" s="48"/>
      <c r="U959" s="55" t="str">
        <f aca="false">IF($G959="","",IFERROR(IF(ISNUMBER($G959),IF($G959&gt;19000000,DATE(INT($G959/10000),MOD(INT($G959/100),100),MOD($G959,100)),INT($G959)),IF(LEN(SUBSTITUTE(SUBSTITUTE(SUBSTITUTE(TRIM($G959),"-",""),".",""),"/",""))=8,DATE(VALUE(LEFT(SUBSTITUTE(SUBSTITUTE(SUBSTITUTE(TRIM($G959),"-",""),".",""),"/",""),4)),VALUE(MID(SUBSTITUTE(SUBSTITUTE(SUBSTITUTE(TRIM($G959),"-",""),".",""),"/",""),5,2)),VALUE(RIGHT(SUBSTITUTE(SUBSTITUTE(SUBSTITUTE(TRIM($G959),"-",""),".",""),"/",""),2))),DATEVALUE($G959))),""))</f>
        <v/>
      </c>
      <c r="V959" s="52" t="str">
        <f aca="false">IF($H959="","",IFERROR(IF(IF(ISNUMBER($H959),$H959,IFERROR(TIMEVALUE($H959),VALUE($H959)))&gt;=100,INT(IF(ISNUMBER($H959),$H959,IFERROR(TIMEVALUE($H959),VALUE($H959)))/100)*60+MOD(IF(ISNUMBER($H959),$H959,IFERROR(TIMEVALUE($H959),VALUE($H959))),100),IF(IF(ISNUMBER($H959),$H959,IFERROR(TIMEVALUE($H959),VALUE($H959)))&gt;=1,ROUND(IF(ISNUMBER($H959),$H959,IFERROR(TIMEVALUE($H959),VALUE($H959)))*60,0),ROUND(MOD(IF(ISNUMBER($H959),$H959,IFERROR(TIMEVALUE($H959),VALUE($H959))),1)*1440,0))),""))</f>
        <v/>
      </c>
      <c r="W959" s="52" t="str">
        <f aca="false">IF($I959="","",IFERROR(IF(IF(ISNUMBER($I959),$I959,IFERROR(TIMEVALUE($I959),VALUE($I959)))&gt;=100,INT(IF(ISNUMBER($I959),$I959,IFERROR(TIMEVALUE($I959),VALUE($I959)))/100)*60+MOD(IF(ISNUMBER($I959),$I959,IFERROR(TIMEVALUE($I959),VALUE($I959))),100),IF(IF(ISNUMBER($I959),$I959,IFERROR(TIMEVALUE($I959),VALUE($I959)))&gt;=1,ROUND(IF(ISNUMBER($I959),$I959,IFERROR(TIMEVALUE($I959),VALUE($I959)))*60,0),ROUND(MOD(IF(ISNUMBER($I959),$I959,IFERROR(TIMEVALUE($I959),VALUE($I959))),1)*1440,0))),""))</f>
        <v/>
      </c>
      <c r="X959" s="55" t="str">
        <f aca="false">IF($P959="","",IFERROR(IF(ISNUMBER($P959),IF($P959&gt;19000000,DATE(INT($P959/10000),MOD(INT($P959/100),100),MOD($P959,100)),INT($P959)),IF(LEN(SUBSTITUTE(SUBSTITUTE(SUBSTITUTE(TRIM($P959),"-",""),".",""),"/",""))=8,DATE(VALUE(LEFT(SUBSTITUTE(SUBSTITUTE(SUBSTITUTE(TRIM($P959),"-",""),".",""),"/",""),4)),VALUE(MID(SUBSTITUTE(SUBSTITUTE(SUBSTITUTE(TRIM($P959),"-",""),".",""),"/",""),5,2)),VALUE(RIGHT(SUBSTITUTE(SUBSTITUTE(SUBSTITUTE(TRIM($P959),"-",""),".",""),"/",""),2))),DATEVALUE($P959))),""))</f>
        <v/>
      </c>
      <c r="Y959" s="56" t="str">
        <f aca="false">IF($M959="","",IFERROR(INDEX(강사DB!$D$4:$D$53,MATCH($M959,강사DB!$A$4:$A$53,0)),""))</f>
        <v/>
      </c>
      <c r="Z959" s="56" t="str">
        <f aca="false">IF($B959&lt;&gt;"결제완료","",IF(OR($Y959="",$J959=""),"",$Y959*$J959+MAX(0,N($K959)-1)*설정!$J$7))</f>
        <v/>
      </c>
      <c r="AA959" s="56" t="str">
        <f aca="false">IF(AND($D959&lt;&gt;"",$B959="결제완료"),N($N959),"")</f>
        <v/>
      </c>
      <c r="AB959" s="45" t="str">
        <f aca="false">IF($D959="","",IF($F959&lt;&gt;"",$F959,$D959)&amp;IF($B959="상담중"," (상담)",""))</f>
        <v/>
      </c>
      <c r="AC959" s="45" t="n">
        <f aca="false">IF(AND($D959&lt;&gt;"",OR($B959="결제완료",$B959="상담중")),1,0)</f>
        <v>0</v>
      </c>
      <c r="AD959" s="45" t="n">
        <f aca="false">IF(OR($Z959="",$U959=""),0,IFERROR(IF(COUNTIFS(INDEX(g_grid,0,2*MATCH($M959,강사DB!$A$4:$A$15,0)),"&lt;&gt;",g_s,"&lt;="&amp;$U959,g_e,"&gt;="&amp;$U959)&gt;0,1,0),0))</f>
        <v>0</v>
      </c>
      <c r="AE959" s="48"/>
      <c r="AF959" s="56" t="str">
        <f aca="false">IF(AND($D959&lt;&gt;"",$B959="결제완료",$T959="대여"),설정!$J$5,"")</f>
        <v/>
      </c>
      <c r="AG959" s="54" t="str">
        <f aca="false">IF($D959="","",IF(AND($E959="",$R959=""),$AB959,"☎ "&amp;IF($E959="","-",$E959)&amp;IF($R959&lt;&gt;"","  ※ "&amp;$R959,"")&amp;IF($B959="상담중"," (상담)","")))</f>
        <v/>
      </c>
      <c r="AH959" s="56" t="str">
        <f aca="false">IF(AND($D959&lt;&gt;"",$B959="결제완료",$O959="스마트스토어"),ROUND(N($N959)*설정!$J$6,0),"")</f>
        <v/>
      </c>
      <c r="AI959" s="54" t="str">
        <f aca="false">IF($D959="","",ROW())</f>
        <v/>
      </c>
      <c r="AJ959" s="54" t="n">
        <f aca="false">IF(OR($AC959&lt;&gt;1,$M959=""),0,IF(ISNUMBER(SEARCH("퇴사",IFERROR(INDEX(강사DB!$G$4:$G$53,MATCH($M959,강사DB!$A$4:$A$53,0)),""))),1,0))</f>
        <v>0</v>
      </c>
    </row>
    <row r="960" customFormat="false" ht="15" hidden="false" customHeight="false" outlineLevel="0" collapsed="false">
      <c r="A960" s="45" t="str">
        <f aca="false">IF($D960="","",COUNTA($D$5:$D960))</f>
        <v/>
      </c>
      <c r="B960" s="46"/>
      <c r="C960" s="47"/>
      <c r="D960" s="48"/>
      <c r="E960" s="48"/>
      <c r="F960" s="49"/>
      <c r="G960" s="47"/>
      <c r="H960" s="50"/>
      <c r="I960" s="50"/>
      <c r="J960" s="51" t="str">
        <f aca="false">IF(OR($V960="",$W960=""),"",ROUND(($W960-$V960)/60,2))</f>
        <v/>
      </c>
      <c r="K960" s="52" t="str">
        <f aca="false">IF($F960="","",LEN($F960)-LEN(SUBSTITUTE($F960,",",""))+1)</f>
        <v/>
      </c>
      <c r="L960" s="45" t="str">
        <f aca="false">IF($K960="","","1:"&amp;$K960)</f>
        <v/>
      </c>
      <c r="M960" s="46"/>
      <c r="N960" s="53"/>
      <c r="O960" s="46"/>
      <c r="P960" s="47"/>
      <c r="Q960" s="48"/>
      <c r="R960" s="49"/>
      <c r="S960" s="54" t="str">
        <f aca="false">IF(OR($AC960=0,$U960="",$M960="",$V960="",$W960=""),"",IF(COUNTIFS(m_teacher,$M960,m_date,$U960,m_active,1,m_start,"&lt;"&amp;$W960,m_end,"&gt;"&amp;$V960)&gt;1,"충돌",""))</f>
        <v/>
      </c>
      <c r="T960" s="48"/>
      <c r="U960" s="55" t="str">
        <f aca="false">IF($G960="","",IFERROR(IF(ISNUMBER($G960),IF($G960&gt;19000000,DATE(INT($G960/10000),MOD(INT($G960/100),100),MOD($G960,100)),INT($G960)),IF(LEN(SUBSTITUTE(SUBSTITUTE(SUBSTITUTE(TRIM($G960),"-",""),".",""),"/",""))=8,DATE(VALUE(LEFT(SUBSTITUTE(SUBSTITUTE(SUBSTITUTE(TRIM($G960),"-",""),".",""),"/",""),4)),VALUE(MID(SUBSTITUTE(SUBSTITUTE(SUBSTITUTE(TRIM($G960),"-",""),".",""),"/",""),5,2)),VALUE(RIGHT(SUBSTITUTE(SUBSTITUTE(SUBSTITUTE(TRIM($G960),"-",""),".",""),"/",""),2))),DATEVALUE($G960))),""))</f>
        <v/>
      </c>
      <c r="V960" s="52" t="str">
        <f aca="false">IF($H960="","",IFERROR(IF(IF(ISNUMBER($H960),$H960,IFERROR(TIMEVALUE($H960),VALUE($H960)))&gt;=100,INT(IF(ISNUMBER($H960),$H960,IFERROR(TIMEVALUE($H960),VALUE($H960)))/100)*60+MOD(IF(ISNUMBER($H960),$H960,IFERROR(TIMEVALUE($H960),VALUE($H960))),100),IF(IF(ISNUMBER($H960),$H960,IFERROR(TIMEVALUE($H960),VALUE($H960)))&gt;=1,ROUND(IF(ISNUMBER($H960),$H960,IFERROR(TIMEVALUE($H960),VALUE($H960)))*60,0),ROUND(MOD(IF(ISNUMBER($H960),$H960,IFERROR(TIMEVALUE($H960),VALUE($H960))),1)*1440,0))),""))</f>
        <v/>
      </c>
      <c r="W960" s="52" t="str">
        <f aca="false">IF($I960="","",IFERROR(IF(IF(ISNUMBER($I960),$I960,IFERROR(TIMEVALUE($I960),VALUE($I960)))&gt;=100,INT(IF(ISNUMBER($I960),$I960,IFERROR(TIMEVALUE($I960),VALUE($I960)))/100)*60+MOD(IF(ISNUMBER($I960),$I960,IFERROR(TIMEVALUE($I960),VALUE($I960))),100),IF(IF(ISNUMBER($I960),$I960,IFERROR(TIMEVALUE($I960),VALUE($I960)))&gt;=1,ROUND(IF(ISNUMBER($I960),$I960,IFERROR(TIMEVALUE($I960),VALUE($I960)))*60,0),ROUND(MOD(IF(ISNUMBER($I960),$I960,IFERROR(TIMEVALUE($I960),VALUE($I960))),1)*1440,0))),""))</f>
        <v/>
      </c>
      <c r="X960" s="55" t="str">
        <f aca="false">IF($P960="","",IFERROR(IF(ISNUMBER($P960),IF($P960&gt;19000000,DATE(INT($P960/10000),MOD(INT($P960/100),100),MOD($P960,100)),INT($P960)),IF(LEN(SUBSTITUTE(SUBSTITUTE(SUBSTITUTE(TRIM($P960),"-",""),".",""),"/",""))=8,DATE(VALUE(LEFT(SUBSTITUTE(SUBSTITUTE(SUBSTITUTE(TRIM($P960),"-",""),".",""),"/",""),4)),VALUE(MID(SUBSTITUTE(SUBSTITUTE(SUBSTITUTE(TRIM($P960),"-",""),".",""),"/",""),5,2)),VALUE(RIGHT(SUBSTITUTE(SUBSTITUTE(SUBSTITUTE(TRIM($P960),"-",""),".",""),"/",""),2))),DATEVALUE($P960))),""))</f>
        <v/>
      </c>
      <c r="Y960" s="56" t="str">
        <f aca="false">IF($M960="","",IFERROR(INDEX(강사DB!$D$4:$D$53,MATCH($M960,강사DB!$A$4:$A$53,0)),""))</f>
        <v/>
      </c>
      <c r="Z960" s="56" t="str">
        <f aca="false">IF($B960&lt;&gt;"결제완료","",IF(OR($Y960="",$J960=""),"",$Y960*$J960+MAX(0,N($K960)-1)*설정!$J$7))</f>
        <v/>
      </c>
      <c r="AA960" s="56" t="str">
        <f aca="false">IF(AND($D960&lt;&gt;"",$B960="결제완료"),N($N960),"")</f>
        <v/>
      </c>
      <c r="AB960" s="45" t="str">
        <f aca="false">IF($D960="","",IF($F960&lt;&gt;"",$F960,$D960)&amp;IF($B960="상담중"," (상담)",""))</f>
        <v/>
      </c>
      <c r="AC960" s="45" t="n">
        <f aca="false">IF(AND($D960&lt;&gt;"",OR($B960="결제완료",$B960="상담중")),1,0)</f>
        <v>0</v>
      </c>
      <c r="AD960" s="45" t="n">
        <f aca="false">IF(OR($Z960="",$U960=""),0,IFERROR(IF(COUNTIFS(INDEX(g_grid,0,2*MATCH($M960,강사DB!$A$4:$A$15,0)),"&lt;&gt;",g_s,"&lt;="&amp;$U960,g_e,"&gt;="&amp;$U960)&gt;0,1,0),0))</f>
        <v>0</v>
      </c>
      <c r="AE960" s="48"/>
      <c r="AF960" s="56" t="str">
        <f aca="false">IF(AND($D960&lt;&gt;"",$B960="결제완료",$T960="대여"),설정!$J$5,"")</f>
        <v/>
      </c>
      <c r="AG960" s="54" t="str">
        <f aca="false">IF($D960="","",IF(AND($E960="",$R960=""),$AB960,"☎ "&amp;IF($E960="","-",$E960)&amp;IF($R960&lt;&gt;"","  ※ "&amp;$R960,"")&amp;IF($B960="상담중"," (상담)","")))</f>
        <v/>
      </c>
      <c r="AH960" s="56" t="str">
        <f aca="false">IF(AND($D960&lt;&gt;"",$B960="결제완료",$O960="스마트스토어"),ROUND(N($N960)*설정!$J$6,0),"")</f>
        <v/>
      </c>
      <c r="AI960" s="54" t="str">
        <f aca="false">IF($D960="","",ROW())</f>
        <v/>
      </c>
      <c r="AJ960" s="54" t="n">
        <f aca="false">IF(OR($AC960&lt;&gt;1,$M960=""),0,IF(ISNUMBER(SEARCH("퇴사",IFERROR(INDEX(강사DB!$G$4:$G$53,MATCH($M960,강사DB!$A$4:$A$53,0)),""))),1,0))</f>
        <v>0</v>
      </c>
    </row>
    <row r="961" customFormat="false" ht="15" hidden="false" customHeight="false" outlineLevel="0" collapsed="false">
      <c r="A961" s="45" t="str">
        <f aca="false">IF($D961="","",COUNTA($D$5:$D961))</f>
        <v/>
      </c>
      <c r="B961" s="46"/>
      <c r="C961" s="47"/>
      <c r="D961" s="48"/>
      <c r="E961" s="48"/>
      <c r="F961" s="49"/>
      <c r="G961" s="47"/>
      <c r="H961" s="50"/>
      <c r="I961" s="50"/>
      <c r="J961" s="51" t="str">
        <f aca="false">IF(OR($V961="",$W961=""),"",ROUND(($W961-$V961)/60,2))</f>
        <v/>
      </c>
      <c r="K961" s="52" t="str">
        <f aca="false">IF($F961="","",LEN($F961)-LEN(SUBSTITUTE($F961,",",""))+1)</f>
        <v/>
      </c>
      <c r="L961" s="45" t="str">
        <f aca="false">IF($K961="","","1:"&amp;$K961)</f>
        <v/>
      </c>
      <c r="M961" s="46"/>
      <c r="N961" s="53"/>
      <c r="O961" s="46"/>
      <c r="P961" s="47"/>
      <c r="Q961" s="48"/>
      <c r="R961" s="49"/>
      <c r="S961" s="54" t="str">
        <f aca="false">IF(OR($AC961=0,$U961="",$M961="",$V961="",$W961=""),"",IF(COUNTIFS(m_teacher,$M961,m_date,$U961,m_active,1,m_start,"&lt;"&amp;$W961,m_end,"&gt;"&amp;$V961)&gt;1,"충돌",""))</f>
        <v/>
      </c>
      <c r="T961" s="48"/>
      <c r="U961" s="55" t="str">
        <f aca="false">IF($G961="","",IFERROR(IF(ISNUMBER($G961),IF($G961&gt;19000000,DATE(INT($G961/10000),MOD(INT($G961/100),100),MOD($G961,100)),INT($G961)),IF(LEN(SUBSTITUTE(SUBSTITUTE(SUBSTITUTE(TRIM($G961),"-",""),".",""),"/",""))=8,DATE(VALUE(LEFT(SUBSTITUTE(SUBSTITUTE(SUBSTITUTE(TRIM($G961),"-",""),".",""),"/",""),4)),VALUE(MID(SUBSTITUTE(SUBSTITUTE(SUBSTITUTE(TRIM($G961),"-",""),".",""),"/",""),5,2)),VALUE(RIGHT(SUBSTITUTE(SUBSTITUTE(SUBSTITUTE(TRIM($G961),"-",""),".",""),"/",""),2))),DATEVALUE($G961))),""))</f>
        <v/>
      </c>
      <c r="V961" s="52" t="str">
        <f aca="false">IF($H961="","",IFERROR(IF(IF(ISNUMBER($H961),$H961,IFERROR(TIMEVALUE($H961),VALUE($H961)))&gt;=100,INT(IF(ISNUMBER($H961),$H961,IFERROR(TIMEVALUE($H961),VALUE($H961)))/100)*60+MOD(IF(ISNUMBER($H961),$H961,IFERROR(TIMEVALUE($H961),VALUE($H961))),100),IF(IF(ISNUMBER($H961),$H961,IFERROR(TIMEVALUE($H961),VALUE($H961)))&gt;=1,ROUND(IF(ISNUMBER($H961),$H961,IFERROR(TIMEVALUE($H961),VALUE($H961)))*60,0),ROUND(MOD(IF(ISNUMBER($H961),$H961,IFERROR(TIMEVALUE($H961),VALUE($H961))),1)*1440,0))),""))</f>
        <v/>
      </c>
      <c r="W961" s="52" t="str">
        <f aca="false">IF($I961="","",IFERROR(IF(IF(ISNUMBER($I961),$I961,IFERROR(TIMEVALUE($I961),VALUE($I961)))&gt;=100,INT(IF(ISNUMBER($I961),$I961,IFERROR(TIMEVALUE($I961),VALUE($I961)))/100)*60+MOD(IF(ISNUMBER($I961),$I961,IFERROR(TIMEVALUE($I961),VALUE($I961))),100),IF(IF(ISNUMBER($I961),$I961,IFERROR(TIMEVALUE($I961),VALUE($I961)))&gt;=1,ROUND(IF(ISNUMBER($I961),$I961,IFERROR(TIMEVALUE($I961),VALUE($I961)))*60,0),ROUND(MOD(IF(ISNUMBER($I961),$I961,IFERROR(TIMEVALUE($I961),VALUE($I961))),1)*1440,0))),""))</f>
        <v/>
      </c>
      <c r="X961" s="55" t="str">
        <f aca="false">IF($P961="","",IFERROR(IF(ISNUMBER($P961),IF($P961&gt;19000000,DATE(INT($P961/10000),MOD(INT($P961/100),100),MOD($P961,100)),INT($P961)),IF(LEN(SUBSTITUTE(SUBSTITUTE(SUBSTITUTE(TRIM($P961),"-",""),".",""),"/",""))=8,DATE(VALUE(LEFT(SUBSTITUTE(SUBSTITUTE(SUBSTITUTE(TRIM($P961),"-",""),".",""),"/",""),4)),VALUE(MID(SUBSTITUTE(SUBSTITUTE(SUBSTITUTE(TRIM($P961),"-",""),".",""),"/",""),5,2)),VALUE(RIGHT(SUBSTITUTE(SUBSTITUTE(SUBSTITUTE(TRIM($P961),"-",""),".",""),"/",""),2))),DATEVALUE($P961))),""))</f>
        <v/>
      </c>
      <c r="Y961" s="56" t="str">
        <f aca="false">IF($M961="","",IFERROR(INDEX(강사DB!$D$4:$D$53,MATCH($M961,강사DB!$A$4:$A$53,0)),""))</f>
        <v/>
      </c>
      <c r="Z961" s="56" t="str">
        <f aca="false">IF($B961&lt;&gt;"결제완료","",IF(OR($Y961="",$J961=""),"",$Y961*$J961+MAX(0,N($K961)-1)*설정!$J$7))</f>
        <v/>
      </c>
      <c r="AA961" s="56" t="str">
        <f aca="false">IF(AND($D961&lt;&gt;"",$B961="결제완료"),N($N961),"")</f>
        <v/>
      </c>
      <c r="AB961" s="45" t="str">
        <f aca="false">IF($D961="","",IF($F961&lt;&gt;"",$F961,$D961)&amp;IF($B961="상담중"," (상담)",""))</f>
        <v/>
      </c>
      <c r="AC961" s="45" t="n">
        <f aca="false">IF(AND($D961&lt;&gt;"",OR($B961="결제완료",$B961="상담중")),1,0)</f>
        <v>0</v>
      </c>
      <c r="AD961" s="45" t="n">
        <f aca="false">IF(OR($Z961="",$U961=""),0,IFERROR(IF(COUNTIFS(INDEX(g_grid,0,2*MATCH($M961,강사DB!$A$4:$A$15,0)),"&lt;&gt;",g_s,"&lt;="&amp;$U961,g_e,"&gt;="&amp;$U961)&gt;0,1,0),0))</f>
        <v>0</v>
      </c>
      <c r="AE961" s="48"/>
      <c r="AF961" s="56" t="str">
        <f aca="false">IF(AND($D961&lt;&gt;"",$B961="결제완료",$T961="대여"),설정!$J$5,"")</f>
        <v/>
      </c>
      <c r="AG961" s="54" t="str">
        <f aca="false">IF($D961="","",IF(AND($E961="",$R961=""),$AB961,"☎ "&amp;IF($E961="","-",$E961)&amp;IF($R961&lt;&gt;"","  ※ "&amp;$R961,"")&amp;IF($B961="상담중"," (상담)","")))</f>
        <v/>
      </c>
      <c r="AH961" s="56" t="str">
        <f aca="false">IF(AND($D961&lt;&gt;"",$B961="결제완료",$O961="스마트스토어"),ROUND(N($N961)*설정!$J$6,0),"")</f>
        <v/>
      </c>
      <c r="AI961" s="54" t="str">
        <f aca="false">IF($D961="","",ROW())</f>
        <v/>
      </c>
      <c r="AJ961" s="54" t="n">
        <f aca="false">IF(OR($AC961&lt;&gt;1,$M961=""),0,IF(ISNUMBER(SEARCH("퇴사",IFERROR(INDEX(강사DB!$G$4:$G$53,MATCH($M961,강사DB!$A$4:$A$53,0)),""))),1,0))</f>
        <v>0</v>
      </c>
    </row>
    <row r="962" customFormat="false" ht="15" hidden="false" customHeight="false" outlineLevel="0" collapsed="false">
      <c r="A962" s="45" t="str">
        <f aca="false">IF($D962="","",COUNTA($D$5:$D962))</f>
        <v/>
      </c>
      <c r="B962" s="46"/>
      <c r="C962" s="47"/>
      <c r="D962" s="48"/>
      <c r="E962" s="48"/>
      <c r="F962" s="49"/>
      <c r="G962" s="47"/>
      <c r="H962" s="50"/>
      <c r="I962" s="50"/>
      <c r="J962" s="51" t="str">
        <f aca="false">IF(OR($V962="",$W962=""),"",ROUND(($W962-$V962)/60,2))</f>
        <v/>
      </c>
      <c r="K962" s="52" t="str">
        <f aca="false">IF($F962="","",LEN($F962)-LEN(SUBSTITUTE($F962,",",""))+1)</f>
        <v/>
      </c>
      <c r="L962" s="45" t="str">
        <f aca="false">IF($K962="","","1:"&amp;$K962)</f>
        <v/>
      </c>
      <c r="M962" s="46"/>
      <c r="N962" s="53"/>
      <c r="O962" s="46"/>
      <c r="P962" s="47"/>
      <c r="Q962" s="48"/>
      <c r="R962" s="49"/>
      <c r="S962" s="54" t="str">
        <f aca="false">IF(OR($AC962=0,$U962="",$M962="",$V962="",$W962=""),"",IF(COUNTIFS(m_teacher,$M962,m_date,$U962,m_active,1,m_start,"&lt;"&amp;$W962,m_end,"&gt;"&amp;$V962)&gt;1,"충돌",""))</f>
        <v/>
      </c>
      <c r="T962" s="48"/>
      <c r="U962" s="55" t="str">
        <f aca="false">IF($G962="","",IFERROR(IF(ISNUMBER($G962),IF($G962&gt;19000000,DATE(INT($G962/10000),MOD(INT($G962/100),100),MOD($G962,100)),INT($G962)),IF(LEN(SUBSTITUTE(SUBSTITUTE(SUBSTITUTE(TRIM($G962),"-",""),".",""),"/",""))=8,DATE(VALUE(LEFT(SUBSTITUTE(SUBSTITUTE(SUBSTITUTE(TRIM($G962),"-",""),".",""),"/",""),4)),VALUE(MID(SUBSTITUTE(SUBSTITUTE(SUBSTITUTE(TRIM($G962),"-",""),".",""),"/",""),5,2)),VALUE(RIGHT(SUBSTITUTE(SUBSTITUTE(SUBSTITUTE(TRIM($G962),"-",""),".",""),"/",""),2))),DATEVALUE($G962))),""))</f>
        <v/>
      </c>
      <c r="V962" s="52" t="str">
        <f aca="false">IF($H962="","",IFERROR(IF(IF(ISNUMBER($H962),$H962,IFERROR(TIMEVALUE($H962),VALUE($H962)))&gt;=100,INT(IF(ISNUMBER($H962),$H962,IFERROR(TIMEVALUE($H962),VALUE($H962)))/100)*60+MOD(IF(ISNUMBER($H962),$H962,IFERROR(TIMEVALUE($H962),VALUE($H962))),100),IF(IF(ISNUMBER($H962),$H962,IFERROR(TIMEVALUE($H962),VALUE($H962)))&gt;=1,ROUND(IF(ISNUMBER($H962),$H962,IFERROR(TIMEVALUE($H962),VALUE($H962)))*60,0),ROUND(MOD(IF(ISNUMBER($H962),$H962,IFERROR(TIMEVALUE($H962),VALUE($H962))),1)*1440,0))),""))</f>
        <v/>
      </c>
      <c r="W962" s="52" t="str">
        <f aca="false">IF($I962="","",IFERROR(IF(IF(ISNUMBER($I962),$I962,IFERROR(TIMEVALUE($I962),VALUE($I962)))&gt;=100,INT(IF(ISNUMBER($I962),$I962,IFERROR(TIMEVALUE($I962),VALUE($I962)))/100)*60+MOD(IF(ISNUMBER($I962),$I962,IFERROR(TIMEVALUE($I962),VALUE($I962))),100),IF(IF(ISNUMBER($I962),$I962,IFERROR(TIMEVALUE($I962),VALUE($I962)))&gt;=1,ROUND(IF(ISNUMBER($I962),$I962,IFERROR(TIMEVALUE($I962),VALUE($I962)))*60,0),ROUND(MOD(IF(ISNUMBER($I962),$I962,IFERROR(TIMEVALUE($I962),VALUE($I962))),1)*1440,0))),""))</f>
        <v/>
      </c>
      <c r="X962" s="55" t="str">
        <f aca="false">IF($P962="","",IFERROR(IF(ISNUMBER($P962),IF($P962&gt;19000000,DATE(INT($P962/10000),MOD(INT($P962/100),100),MOD($P962,100)),INT($P962)),IF(LEN(SUBSTITUTE(SUBSTITUTE(SUBSTITUTE(TRIM($P962),"-",""),".",""),"/",""))=8,DATE(VALUE(LEFT(SUBSTITUTE(SUBSTITUTE(SUBSTITUTE(TRIM($P962),"-",""),".",""),"/",""),4)),VALUE(MID(SUBSTITUTE(SUBSTITUTE(SUBSTITUTE(TRIM($P962),"-",""),".",""),"/",""),5,2)),VALUE(RIGHT(SUBSTITUTE(SUBSTITUTE(SUBSTITUTE(TRIM($P962),"-",""),".",""),"/",""),2))),DATEVALUE($P962))),""))</f>
        <v/>
      </c>
      <c r="Y962" s="56" t="str">
        <f aca="false">IF($M962="","",IFERROR(INDEX(강사DB!$D$4:$D$53,MATCH($M962,강사DB!$A$4:$A$53,0)),""))</f>
        <v/>
      </c>
      <c r="Z962" s="56" t="str">
        <f aca="false">IF($B962&lt;&gt;"결제완료","",IF(OR($Y962="",$J962=""),"",$Y962*$J962+MAX(0,N($K962)-1)*설정!$J$7))</f>
        <v/>
      </c>
      <c r="AA962" s="56" t="str">
        <f aca="false">IF(AND($D962&lt;&gt;"",$B962="결제완료"),N($N962),"")</f>
        <v/>
      </c>
      <c r="AB962" s="45" t="str">
        <f aca="false">IF($D962="","",IF($F962&lt;&gt;"",$F962,$D962)&amp;IF($B962="상담중"," (상담)",""))</f>
        <v/>
      </c>
      <c r="AC962" s="45" t="n">
        <f aca="false">IF(AND($D962&lt;&gt;"",OR($B962="결제완료",$B962="상담중")),1,0)</f>
        <v>0</v>
      </c>
      <c r="AD962" s="45" t="n">
        <f aca="false">IF(OR($Z962="",$U962=""),0,IFERROR(IF(COUNTIFS(INDEX(g_grid,0,2*MATCH($M962,강사DB!$A$4:$A$15,0)),"&lt;&gt;",g_s,"&lt;="&amp;$U962,g_e,"&gt;="&amp;$U962)&gt;0,1,0),0))</f>
        <v>0</v>
      </c>
      <c r="AE962" s="48"/>
      <c r="AF962" s="56" t="str">
        <f aca="false">IF(AND($D962&lt;&gt;"",$B962="결제완료",$T962="대여"),설정!$J$5,"")</f>
        <v/>
      </c>
      <c r="AG962" s="54" t="str">
        <f aca="false">IF($D962="","",IF(AND($E962="",$R962=""),$AB962,"☎ "&amp;IF($E962="","-",$E962)&amp;IF($R962&lt;&gt;"","  ※ "&amp;$R962,"")&amp;IF($B962="상담중"," (상담)","")))</f>
        <v/>
      </c>
      <c r="AH962" s="56" t="str">
        <f aca="false">IF(AND($D962&lt;&gt;"",$B962="결제완료",$O962="스마트스토어"),ROUND(N($N962)*설정!$J$6,0),"")</f>
        <v/>
      </c>
      <c r="AI962" s="54" t="str">
        <f aca="false">IF($D962="","",ROW())</f>
        <v/>
      </c>
      <c r="AJ962" s="54" t="n">
        <f aca="false">IF(OR($AC962&lt;&gt;1,$M962=""),0,IF(ISNUMBER(SEARCH("퇴사",IFERROR(INDEX(강사DB!$G$4:$G$53,MATCH($M962,강사DB!$A$4:$A$53,0)),""))),1,0))</f>
        <v>0</v>
      </c>
    </row>
    <row r="963" customFormat="false" ht="15" hidden="false" customHeight="false" outlineLevel="0" collapsed="false">
      <c r="A963" s="45" t="str">
        <f aca="false">IF($D963="","",COUNTA($D$5:$D963))</f>
        <v/>
      </c>
      <c r="B963" s="46"/>
      <c r="C963" s="47"/>
      <c r="D963" s="48"/>
      <c r="E963" s="48"/>
      <c r="F963" s="49"/>
      <c r="G963" s="47"/>
      <c r="H963" s="50"/>
      <c r="I963" s="50"/>
      <c r="J963" s="51" t="str">
        <f aca="false">IF(OR($V963="",$W963=""),"",ROUND(($W963-$V963)/60,2))</f>
        <v/>
      </c>
      <c r="K963" s="52" t="str">
        <f aca="false">IF($F963="","",LEN($F963)-LEN(SUBSTITUTE($F963,",",""))+1)</f>
        <v/>
      </c>
      <c r="L963" s="45" t="str">
        <f aca="false">IF($K963="","","1:"&amp;$K963)</f>
        <v/>
      </c>
      <c r="M963" s="46"/>
      <c r="N963" s="53"/>
      <c r="O963" s="46"/>
      <c r="P963" s="47"/>
      <c r="Q963" s="48"/>
      <c r="R963" s="49"/>
      <c r="S963" s="54" t="str">
        <f aca="false">IF(OR($AC963=0,$U963="",$M963="",$V963="",$W963=""),"",IF(COUNTIFS(m_teacher,$M963,m_date,$U963,m_active,1,m_start,"&lt;"&amp;$W963,m_end,"&gt;"&amp;$V963)&gt;1,"충돌",""))</f>
        <v/>
      </c>
      <c r="T963" s="48"/>
      <c r="U963" s="55" t="str">
        <f aca="false">IF($G963="","",IFERROR(IF(ISNUMBER($G963),IF($G963&gt;19000000,DATE(INT($G963/10000),MOD(INT($G963/100),100),MOD($G963,100)),INT($G963)),IF(LEN(SUBSTITUTE(SUBSTITUTE(SUBSTITUTE(TRIM($G963),"-",""),".",""),"/",""))=8,DATE(VALUE(LEFT(SUBSTITUTE(SUBSTITUTE(SUBSTITUTE(TRIM($G963),"-",""),".",""),"/",""),4)),VALUE(MID(SUBSTITUTE(SUBSTITUTE(SUBSTITUTE(TRIM($G963),"-",""),".",""),"/",""),5,2)),VALUE(RIGHT(SUBSTITUTE(SUBSTITUTE(SUBSTITUTE(TRIM($G963),"-",""),".",""),"/",""),2))),DATEVALUE($G963))),""))</f>
        <v/>
      </c>
      <c r="V963" s="52" t="str">
        <f aca="false">IF($H963="","",IFERROR(IF(IF(ISNUMBER($H963),$H963,IFERROR(TIMEVALUE($H963),VALUE($H963)))&gt;=100,INT(IF(ISNUMBER($H963),$H963,IFERROR(TIMEVALUE($H963),VALUE($H963)))/100)*60+MOD(IF(ISNUMBER($H963),$H963,IFERROR(TIMEVALUE($H963),VALUE($H963))),100),IF(IF(ISNUMBER($H963),$H963,IFERROR(TIMEVALUE($H963),VALUE($H963)))&gt;=1,ROUND(IF(ISNUMBER($H963),$H963,IFERROR(TIMEVALUE($H963),VALUE($H963)))*60,0),ROUND(MOD(IF(ISNUMBER($H963),$H963,IFERROR(TIMEVALUE($H963),VALUE($H963))),1)*1440,0))),""))</f>
        <v/>
      </c>
      <c r="W963" s="52" t="str">
        <f aca="false">IF($I963="","",IFERROR(IF(IF(ISNUMBER($I963),$I963,IFERROR(TIMEVALUE($I963),VALUE($I963)))&gt;=100,INT(IF(ISNUMBER($I963),$I963,IFERROR(TIMEVALUE($I963),VALUE($I963)))/100)*60+MOD(IF(ISNUMBER($I963),$I963,IFERROR(TIMEVALUE($I963),VALUE($I963))),100),IF(IF(ISNUMBER($I963),$I963,IFERROR(TIMEVALUE($I963),VALUE($I963)))&gt;=1,ROUND(IF(ISNUMBER($I963),$I963,IFERROR(TIMEVALUE($I963),VALUE($I963)))*60,0),ROUND(MOD(IF(ISNUMBER($I963),$I963,IFERROR(TIMEVALUE($I963),VALUE($I963))),1)*1440,0))),""))</f>
        <v/>
      </c>
      <c r="X963" s="55" t="str">
        <f aca="false">IF($P963="","",IFERROR(IF(ISNUMBER($P963),IF($P963&gt;19000000,DATE(INT($P963/10000),MOD(INT($P963/100),100),MOD($P963,100)),INT($P963)),IF(LEN(SUBSTITUTE(SUBSTITUTE(SUBSTITUTE(TRIM($P963),"-",""),".",""),"/",""))=8,DATE(VALUE(LEFT(SUBSTITUTE(SUBSTITUTE(SUBSTITUTE(TRIM($P963),"-",""),".",""),"/",""),4)),VALUE(MID(SUBSTITUTE(SUBSTITUTE(SUBSTITUTE(TRIM($P963),"-",""),".",""),"/",""),5,2)),VALUE(RIGHT(SUBSTITUTE(SUBSTITUTE(SUBSTITUTE(TRIM($P963),"-",""),".",""),"/",""),2))),DATEVALUE($P963))),""))</f>
        <v/>
      </c>
      <c r="Y963" s="56" t="str">
        <f aca="false">IF($M963="","",IFERROR(INDEX(강사DB!$D$4:$D$53,MATCH($M963,강사DB!$A$4:$A$53,0)),""))</f>
        <v/>
      </c>
      <c r="Z963" s="56" t="str">
        <f aca="false">IF($B963&lt;&gt;"결제완료","",IF(OR($Y963="",$J963=""),"",$Y963*$J963+MAX(0,N($K963)-1)*설정!$J$7))</f>
        <v/>
      </c>
      <c r="AA963" s="56" t="str">
        <f aca="false">IF(AND($D963&lt;&gt;"",$B963="결제완료"),N($N963),"")</f>
        <v/>
      </c>
      <c r="AB963" s="45" t="str">
        <f aca="false">IF($D963="","",IF($F963&lt;&gt;"",$F963,$D963)&amp;IF($B963="상담중"," (상담)",""))</f>
        <v/>
      </c>
      <c r="AC963" s="45" t="n">
        <f aca="false">IF(AND($D963&lt;&gt;"",OR($B963="결제완료",$B963="상담중")),1,0)</f>
        <v>0</v>
      </c>
      <c r="AD963" s="45" t="n">
        <f aca="false">IF(OR($Z963="",$U963=""),0,IFERROR(IF(COUNTIFS(INDEX(g_grid,0,2*MATCH($M963,강사DB!$A$4:$A$15,0)),"&lt;&gt;",g_s,"&lt;="&amp;$U963,g_e,"&gt;="&amp;$U963)&gt;0,1,0),0))</f>
        <v>0</v>
      </c>
      <c r="AE963" s="48"/>
      <c r="AF963" s="56" t="str">
        <f aca="false">IF(AND($D963&lt;&gt;"",$B963="결제완료",$T963="대여"),설정!$J$5,"")</f>
        <v/>
      </c>
      <c r="AG963" s="54" t="str">
        <f aca="false">IF($D963="","",IF(AND($E963="",$R963=""),$AB963,"☎ "&amp;IF($E963="","-",$E963)&amp;IF($R963&lt;&gt;"","  ※ "&amp;$R963,"")&amp;IF($B963="상담중"," (상담)","")))</f>
        <v/>
      </c>
      <c r="AH963" s="56" t="str">
        <f aca="false">IF(AND($D963&lt;&gt;"",$B963="결제완료",$O963="스마트스토어"),ROUND(N($N963)*설정!$J$6,0),"")</f>
        <v/>
      </c>
      <c r="AI963" s="54" t="str">
        <f aca="false">IF($D963="","",ROW())</f>
        <v/>
      </c>
      <c r="AJ963" s="54" t="n">
        <f aca="false">IF(OR($AC963&lt;&gt;1,$M963=""),0,IF(ISNUMBER(SEARCH("퇴사",IFERROR(INDEX(강사DB!$G$4:$G$53,MATCH($M963,강사DB!$A$4:$A$53,0)),""))),1,0))</f>
        <v>0</v>
      </c>
    </row>
    <row r="964" customFormat="false" ht="15" hidden="false" customHeight="false" outlineLevel="0" collapsed="false">
      <c r="A964" s="45" t="str">
        <f aca="false">IF($D964="","",COUNTA($D$5:$D964))</f>
        <v/>
      </c>
      <c r="B964" s="46"/>
      <c r="C964" s="47"/>
      <c r="D964" s="48"/>
      <c r="E964" s="48"/>
      <c r="F964" s="49"/>
      <c r="G964" s="47"/>
      <c r="H964" s="50"/>
      <c r="I964" s="50"/>
      <c r="J964" s="51" t="str">
        <f aca="false">IF(OR($V964="",$W964=""),"",ROUND(($W964-$V964)/60,2))</f>
        <v/>
      </c>
      <c r="K964" s="52" t="str">
        <f aca="false">IF($F964="","",LEN($F964)-LEN(SUBSTITUTE($F964,",",""))+1)</f>
        <v/>
      </c>
      <c r="L964" s="45" t="str">
        <f aca="false">IF($K964="","","1:"&amp;$K964)</f>
        <v/>
      </c>
      <c r="M964" s="46"/>
      <c r="N964" s="53"/>
      <c r="O964" s="46"/>
      <c r="P964" s="47"/>
      <c r="Q964" s="48"/>
      <c r="R964" s="49"/>
      <c r="S964" s="54" t="str">
        <f aca="false">IF(OR($AC964=0,$U964="",$M964="",$V964="",$W964=""),"",IF(COUNTIFS(m_teacher,$M964,m_date,$U964,m_active,1,m_start,"&lt;"&amp;$W964,m_end,"&gt;"&amp;$V964)&gt;1,"충돌",""))</f>
        <v/>
      </c>
      <c r="T964" s="48"/>
      <c r="U964" s="55" t="str">
        <f aca="false">IF($G964="","",IFERROR(IF(ISNUMBER($G964),IF($G964&gt;19000000,DATE(INT($G964/10000),MOD(INT($G964/100),100),MOD($G964,100)),INT($G964)),IF(LEN(SUBSTITUTE(SUBSTITUTE(SUBSTITUTE(TRIM($G964),"-",""),".",""),"/",""))=8,DATE(VALUE(LEFT(SUBSTITUTE(SUBSTITUTE(SUBSTITUTE(TRIM($G964),"-",""),".",""),"/",""),4)),VALUE(MID(SUBSTITUTE(SUBSTITUTE(SUBSTITUTE(TRIM($G964),"-",""),".",""),"/",""),5,2)),VALUE(RIGHT(SUBSTITUTE(SUBSTITUTE(SUBSTITUTE(TRIM($G964),"-",""),".",""),"/",""),2))),DATEVALUE($G964))),""))</f>
        <v/>
      </c>
      <c r="V964" s="52" t="str">
        <f aca="false">IF($H964="","",IFERROR(IF(IF(ISNUMBER($H964),$H964,IFERROR(TIMEVALUE($H964),VALUE($H964)))&gt;=100,INT(IF(ISNUMBER($H964),$H964,IFERROR(TIMEVALUE($H964),VALUE($H964)))/100)*60+MOD(IF(ISNUMBER($H964),$H964,IFERROR(TIMEVALUE($H964),VALUE($H964))),100),IF(IF(ISNUMBER($H964),$H964,IFERROR(TIMEVALUE($H964),VALUE($H964)))&gt;=1,ROUND(IF(ISNUMBER($H964),$H964,IFERROR(TIMEVALUE($H964),VALUE($H964)))*60,0),ROUND(MOD(IF(ISNUMBER($H964),$H964,IFERROR(TIMEVALUE($H964),VALUE($H964))),1)*1440,0))),""))</f>
        <v/>
      </c>
      <c r="W964" s="52" t="str">
        <f aca="false">IF($I964="","",IFERROR(IF(IF(ISNUMBER($I964),$I964,IFERROR(TIMEVALUE($I964),VALUE($I964)))&gt;=100,INT(IF(ISNUMBER($I964),$I964,IFERROR(TIMEVALUE($I964),VALUE($I964)))/100)*60+MOD(IF(ISNUMBER($I964),$I964,IFERROR(TIMEVALUE($I964),VALUE($I964))),100),IF(IF(ISNUMBER($I964),$I964,IFERROR(TIMEVALUE($I964),VALUE($I964)))&gt;=1,ROUND(IF(ISNUMBER($I964),$I964,IFERROR(TIMEVALUE($I964),VALUE($I964)))*60,0),ROUND(MOD(IF(ISNUMBER($I964),$I964,IFERROR(TIMEVALUE($I964),VALUE($I964))),1)*1440,0))),""))</f>
        <v/>
      </c>
      <c r="X964" s="55" t="str">
        <f aca="false">IF($P964="","",IFERROR(IF(ISNUMBER($P964),IF($P964&gt;19000000,DATE(INT($P964/10000),MOD(INT($P964/100),100),MOD($P964,100)),INT($P964)),IF(LEN(SUBSTITUTE(SUBSTITUTE(SUBSTITUTE(TRIM($P964),"-",""),".",""),"/",""))=8,DATE(VALUE(LEFT(SUBSTITUTE(SUBSTITUTE(SUBSTITUTE(TRIM($P964),"-",""),".",""),"/",""),4)),VALUE(MID(SUBSTITUTE(SUBSTITUTE(SUBSTITUTE(TRIM($P964),"-",""),".",""),"/",""),5,2)),VALUE(RIGHT(SUBSTITUTE(SUBSTITUTE(SUBSTITUTE(TRIM($P964),"-",""),".",""),"/",""),2))),DATEVALUE($P964))),""))</f>
        <v/>
      </c>
      <c r="Y964" s="56" t="str">
        <f aca="false">IF($M964="","",IFERROR(INDEX(강사DB!$D$4:$D$53,MATCH($M964,강사DB!$A$4:$A$53,0)),""))</f>
        <v/>
      </c>
      <c r="Z964" s="56" t="str">
        <f aca="false">IF($B964&lt;&gt;"결제완료","",IF(OR($Y964="",$J964=""),"",$Y964*$J964+MAX(0,N($K964)-1)*설정!$J$7))</f>
        <v/>
      </c>
      <c r="AA964" s="56" t="str">
        <f aca="false">IF(AND($D964&lt;&gt;"",$B964="결제완료"),N($N964),"")</f>
        <v/>
      </c>
      <c r="AB964" s="45" t="str">
        <f aca="false">IF($D964="","",IF($F964&lt;&gt;"",$F964,$D964)&amp;IF($B964="상담중"," (상담)",""))</f>
        <v/>
      </c>
      <c r="AC964" s="45" t="n">
        <f aca="false">IF(AND($D964&lt;&gt;"",OR($B964="결제완료",$B964="상담중")),1,0)</f>
        <v>0</v>
      </c>
      <c r="AD964" s="45" t="n">
        <f aca="false">IF(OR($Z964="",$U964=""),0,IFERROR(IF(COUNTIFS(INDEX(g_grid,0,2*MATCH($M964,강사DB!$A$4:$A$15,0)),"&lt;&gt;",g_s,"&lt;="&amp;$U964,g_e,"&gt;="&amp;$U964)&gt;0,1,0),0))</f>
        <v>0</v>
      </c>
      <c r="AE964" s="48"/>
      <c r="AF964" s="56" t="str">
        <f aca="false">IF(AND($D964&lt;&gt;"",$B964="결제완료",$T964="대여"),설정!$J$5,"")</f>
        <v/>
      </c>
      <c r="AG964" s="54" t="str">
        <f aca="false">IF($D964="","",IF(AND($E964="",$R964=""),$AB964,"☎ "&amp;IF($E964="","-",$E964)&amp;IF($R964&lt;&gt;"","  ※ "&amp;$R964,"")&amp;IF($B964="상담중"," (상담)","")))</f>
        <v/>
      </c>
      <c r="AH964" s="56" t="str">
        <f aca="false">IF(AND($D964&lt;&gt;"",$B964="결제완료",$O964="스마트스토어"),ROUND(N($N964)*설정!$J$6,0),"")</f>
        <v/>
      </c>
      <c r="AI964" s="54" t="str">
        <f aca="false">IF($D964="","",ROW())</f>
        <v/>
      </c>
      <c r="AJ964" s="54" t="n">
        <f aca="false">IF(OR($AC964&lt;&gt;1,$M964=""),0,IF(ISNUMBER(SEARCH("퇴사",IFERROR(INDEX(강사DB!$G$4:$G$53,MATCH($M964,강사DB!$A$4:$A$53,0)),""))),1,0))</f>
        <v>0</v>
      </c>
    </row>
    <row r="965" customFormat="false" ht="15" hidden="false" customHeight="false" outlineLevel="0" collapsed="false">
      <c r="A965" s="45" t="str">
        <f aca="false">IF($D965="","",COUNTA($D$5:$D965))</f>
        <v/>
      </c>
      <c r="B965" s="46"/>
      <c r="C965" s="47"/>
      <c r="D965" s="48"/>
      <c r="E965" s="48"/>
      <c r="F965" s="49"/>
      <c r="G965" s="47"/>
      <c r="H965" s="50"/>
      <c r="I965" s="50"/>
      <c r="J965" s="51" t="str">
        <f aca="false">IF(OR($V965="",$W965=""),"",ROUND(($W965-$V965)/60,2))</f>
        <v/>
      </c>
      <c r="K965" s="52" t="str">
        <f aca="false">IF($F965="","",LEN($F965)-LEN(SUBSTITUTE($F965,",",""))+1)</f>
        <v/>
      </c>
      <c r="L965" s="45" t="str">
        <f aca="false">IF($K965="","","1:"&amp;$K965)</f>
        <v/>
      </c>
      <c r="M965" s="46"/>
      <c r="N965" s="53"/>
      <c r="O965" s="46"/>
      <c r="P965" s="47"/>
      <c r="Q965" s="48"/>
      <c r="R965" s="49"/>
      <c r="S965" s="54" t="str">
        <f aca="false">IF(OR($AC965=0,$U965="",$M965="",$V965="",$W965=""),"",IF(COUNTIFS(m_teacher,$M965,m_date,$U965,m_active,1,m_start,"&lt;"&amp;$W965,m_end,"&gt;"&amp;$V965)&gt;1,"충돌",""))</f>
        <v/>
      </c>
      <c r="T965" s="48"/>
      <c r="U965" s="55" t="str">
        <f aca="false">IF($G965="","",IFERROR(IF(ISNUMBER($G965),IF($G965&gt;19000000,DATE(INT($G965/10000),MOD(INT($G965/100),100),MOD($G965,100)),INT($G965)),IF(LEN(SUBSTITUTE(SUBSTITUTE(SUBSTITUTE(TRIM($G965),"-",""),".",""),"/",""))=8,DATE(VALUE(LEFT(SUBSTITUTE(SUBSTITUTE(SUBSTITUTE(TRIM($G965),"-",""),".",""),"/",""),4)),VALUE(MID(SUBSTITUTE(SUBSTITUTE(SUBSTITUTE(TRIM($G965),"-",""),".",""),"/",""),5,2)),VALUE(RIGHT(SUBSTITUTE(SUBSTITUTE(SUBSTITUTE(TRIM($G965),"-",""),".",""),"/",""),2))),DATEVALUE($G965))),""))</f>
        <v/>
      </c>
      <c r="V965" s="52" t="str">
        <f aca="false">IF($H965="","",IFERROR(IF(IF(ISNUMBER($H965),$H965,IFERROR(TIMEVALUE($H965),VALUE($H965)))&gt;=100,INT(IF(ISNUMBER($H965),$H965,IFERROR(TIMEVALUE($H965),VALUE($H965)))/100)*60+MOD(IF(ISNUMBER($H965),$H965,IFERROR(TIMEVALUE($H965),VALUE($H965))),100),IF(IF(ISNUMBER($H965),$H965,IFERROR(TIMEVALUE($H965),VALUE($H965)))&gt;=1,ROUND(IF(ISNUMBER($H965),$H965,IFERROR(TIMEVALUE($H965),VALUE($H965)))*60,0),ROUND(MOD(IF(ISNUMBER($H965),$H965,IFERROR(TIMEVALUE($H965),VALUE($H965))),1)*1440,0))),""))</f>
        <v/>
      </c>
      <c r="W965" s="52" t="str">
        <f aca="false">IF($I965="","",IFERROR(IF(IF(ISNUMBER($I965),$I965,IFERROR(TIMEVALUE($I965),VALUE($I965)))&gt;=100,INT(IF(ISNUMBER($I965),$I965,IFERROR(TIMEVALUE($I965),VALUE($I965)))/100)*60+MOD(IF(ISNUMBER($I965),$I965,IFERROR(TIMEVALUE($I965),VALUE($I965))),100),IF(IF(ISNUMBER($I965),$I965,IFERROR(TIMEVALUE($I965),VALUE($I965)))&gt;=1,ROUND(IF(ISNUMBER($I965),$I965,IFERROR(TIMEVALUE($I965),VALUE($I965)))*60,0),ROUND(MOD(IF(ISNUMBER($I965),$I965,IFERROR(TIMEVALUE($I965),VALUE($I965))),1)*1440,0))),""))</f>
        <v/>
      </c>
      <c r="X965" s="55" t="str">
        <f aca="false">IF($P965="","",IFERROR(IF(ISNUMBER($P965),IF($P965&gt;19000000,DATE(INT($P965/10000),MOD(INT($P965/100),100),MOD($P965,100)),INT($P965)),IF(LEN(SUBSTITUTE(SUBSTITUTE(SUBSTITUTE(TRIM($P965),"-",""),".",""),"/",""))=8,DATE(VALUE(LEFT(SUBSTITUTE(SUBSTITUTE(SUBSTITUTE(TRIM($P965),"-",""),".",""),"/",""),4)),VALUE(MID(SUBSTITUTE(SUBSTITUTE(SUBSTITUTE(TRIM($P965),"-",""),".",""),"/",""),5,2)),VALUE(RIGHT(SUBSTITUTE(SUBSTITUTE(SUBSTITUTE(TRIM($P965),"-",""),".",""),"/",""),2))),DATEVALUE($P965))),""))</f>
        <v/>
      </c>
      <c r="Y965" s="56" t="str">
        <f aca="false">IF($M965="","",IFERROR(INDEX(강사DB!$D$4:$D$53,MATCH($M965,강사DB!$A$4:$A$53,0)),""))</f>
        <v/>
      </c>
      <c r="Z965" s="56" t="str">
        <f aca="false">IF($B965&lt;&gt;"결제완료","",IF(OR($Y965="",$J965=""),"",$Y965*$J965+MAX(0,N($K965)-1)*설정!$J$7))</f>
        <v/>
      </c>
      <c r="AA965" s="56" t="str">
        <f aca="false">IF(AND($D965&lt;&gt;"",$B965="결제완료"),N($N965),"")</f>
        <v/>
      </c>
      <c r="AB965" s="45" t="str">
        <f aca="false">IF($D965="","",IF($F965&lt;&gt;"",$F965,$D965)&amp;IF($B965="상담중"," (상담)",""))</f>
        <v/>
      </c>
      <c r="AC965" s="45" t="n">
        <f aca="false">IF(AND($D965&lt;&gt;"",OR($B965="결제완료",$B965="상담중")),1,0)</f>
        <v>0</v>
      </c>
      <c r="AD965" s="45" t="n">
        <f aca="false">IF(OR($Z965="",$U965=""),0,IFERROR(IF(COUNTIFS(INDEX(g_grid,0,2*MATCH($M965,강사DB!$A$4:$A$15,0)),"&lt;&gt;",g_s,"&lt;="&amp;$U965,g_e,"&gt;="&amp;$U965)&gt;0,1,0),0))</f>
        <v>0</v>
      </c>
      <c r="AE965" s="48"/>
      <c r="AF965" s="56" t="str">
        <f aca="false">IF(AND($D965&lt;&gt;"",$B965="결제완료",$T965="대여"),설정!$J$5,"")</f>
        <v/>
      </c>
      <c r="AG965" s="54" t="str">
        <f aca="false">IF($D965="","",IF(AND($E965="",$R965=""),$AB965,"☎ "&amp;IF($E965="","-",$E965)&amp;IF($R965&lt;&gt;"","  ※ "&amp;$R965,"")&amp;IF($B965="상담중"," (상담)","")))</f>
        <v/>
      </c>
      <c r="AH965" s="56" t="str">
        <f aca="false">IF(AND($D965&lt;&gt;"",$B965="결제완료",$O965="스마트스토어"),ROUND(N($N965)*설정!$J$6,0),"")</f>
        <v/>
      </c>
      <c r="AI965" s="54" t="str">
        <f aca="false">IF($D965="","",ROW())</f>
        <v/>
      </c>
      <c r="AJ965" s="54" t="n">
        <f aca="false">IF(OR($AC965&lt;&gt;1,$M965=""),0,IF(ISNUMBER(SEARCH("퇴사",IFERROR(INDEX(강사DB!$G$4:$G$53,MATCH($M965,강사DB!$A$4:$A$53,0)),""))),1,0))</f>
        <v>0</v>
      </c>
    </row>
    <row r="966" customFormat="false" ht="15" hidden="false" customHeight="false" outlineLevel="0" collapsed="false">
      <c r="A966" s="45" t="str">
        <f aca="false">IF($D966="","",COUNTA($D$5:$D966))</f>
        <v/>
      </c>
      <c r="B966" s="46"/>
      <c r="C966" s="47"/>
      <c r="D966" s="48"/>
      <c r="E966" s="48"/>
      <c r="F966" s="49"/>
      <c r="G966" s="47"/>
      <c r="H966" s="50"/>
      <c r="I966" s="50"/>
      <c r="J966" s="51" t="str">
        <f aca="false">IF(OR($V966="",$W966=""),"",ROUND(($W966-$V966)/60,2))</f>
        <v/>
      </c>
      <c r="K966" s="52" t="str">
        <f aca="false">IF($F966="","",LEN($F966)-LEN(SUBSTITUTE($F966,",",""))+1)</f>
        <v/>
      </c>
      <c r="L966" s="45" t="str">
        <f aca="false">IF($K966="","","1:"&amp;$K966)</f>
        <v/>
      </c>
      <c r="M966" s="46"/>
      <c r="N966" s="53"/>
      <c r="O966" s="46"/>
      <c r="P966" s="47"/>
      <c r="Q966" s="48"/>
      <c r="R966" s="49"/>
      <c r="S966" s="54" t="str">
        <f aca="false">IF(OR($AC966=0,$U966="",$M966="",$V966="",$W966=""),"",IF(COUNTIFS(m_teacher,$M966,m_date,$U966,m_active,1,m_start,"&lt;"&amp;$W966,m_end,"&gt;"&amp;$V966)&gt;1,"충돌",""))</f>
        <v/>
      </c>
      <c r="T966" s="48"/>
      <c r="U966" s="55" t="str">
        <f aca="false">IF($G966="","",IFERROR(IF(ISNUMBER($G966),IF($G966&gt;19000000,DATE(INT($G966/10000),MOD(INT($G966/100),100),MOD($G966,100)),INT($G966)),IF(LEN(SUBSTITUTE(SUBSTITUTE(SUBSTITUTE(TRIM($G966),"-",""),".",""),"/",""))=8,DATE(VALUE(LEFT(SUBSTITUTE(SUBSTITUTE(SUBSTITUTE(TRIM($G966),"-",""),".",""),"/",""),4)),VALUE(MID(SUBSTITUTE(SUBSTITUTE(SUBSTITUTE(TRIM($G966),"-",""),".",""),"/",""),5,2)),VALUE(RIGHT(SUBSTITUTE(SUBSTITUTE(SUBSTITUTE(TRIM($G966),"-",""),".",""),"/",""),2))),DATEVALUE($G966))),""))</f>
        <v/>
      </c>
      <c r="V966" s="52" t="str">
        <f aca="false">IF($H966="","",IFERROR(IF(IF(ISNUMBER($H966),$H966,IFERROR(TIMEVALUE($H966),VALUE($H966)))&gt;=100,INT(IF(ISNUMBER($H966),$H966,IFERROR(TIMEVALUE($H966),VALUE($H966)))/100)*60+MOD(IF(ISNUMBER($H966),$H966,IFERROR(TIMEVALUE($H966),VALUE($H966))),100),IF(IF(ISNUMBER($H966),$H966,IFERROR(TIMEVALUE($H966),VALUE($H966)))&gt;=1,ROUND(IF(ISNUMBER($H966),$H966,IFERROR(TIMEVALUE($H966),VALUE($H966)))*60,0),ROUND(MOD(IF(ISNUMBER($H966),$H966,IFERROR(TIMEVALUE($H966),VALUE($H966))),1)*1440,0))),""))</f>
        <v/>
      </c>
      <c r="W966" s="52" t="str">
        <f aca="false">IF($I966="","",IFERROR(IF(IF(ISNUMBER($I966),$I966,IFERROR(TIMEVALUE($I966),VALUE($I966)))&gt;=100,INT(IF(ISNUMBER($I966),$I966,IFERROR(TIMEVALUE($I966),VALUE($I966)))/100)*60+MOD(IF(ISNUMBER($I966),$I966,IFERROR(TIMEVALUE($I966),VALUE($I966))),100),IF(IF(ISNUMBER($I966),$I966,IFERROR(TIMEVALUE($I966),VALUE($I966)))&gt;=1,ROUND(IF(ISNUMBER($I966),$I966,IFERROR(TIMEVALUE($I966),VALUE($I966)))*60,0),ROUND(MOD(IF(ISNUMBER($I966),$I966,IFERROR(TIMEVALUE($I966),VALUE($I966))),1)*1440,0))),""))</f>
        <v/>
      </c>
      <c r="X966" s="55" t="str">
        <f aca="false">IF($P966="","",IFERROR(IF(ISNUMBER($P966),IF($P966&gt;19000000,DATE(INT($P966/10000),MOD(INT($P966/100),100),MOD($P966,100)),INT($P966)),IF(LEN(SUBSTITUTE(SUBSTITUTE(SUBSTITUTE(TRIM($P966),"-",""),".",""),"/",""))=8,DATE(VALUE(LEFT(SUBSTITUTE(SUBSTITUTE(SUBSTITUTE(TRIM($P966),"-",""),".",""),"/",""),4)),VALUE(MID(SUBSTITUTE(SUBSTITUTE(SUBSTITUTE(TRIM($P966),"-",""),".",""),"/",""),5,2)),VALUE(RIGHT(SUBSTITUTE(SUBSTITUTE(SUBSTITUTE(TRIM($P966),"-",""),".",""),"/",""),2))),DATEVALUE($P966))),""))</f>
        <v/>
      </c>
      <c r="Y966" s="56" t="str">
        <f aca="false">IF($M966="","",IFERROR(INDEX(강사DB!$D$4:$D$53,MATCH($M966,강사DB!$A$4:$A$53,0)),""))</f>
        <v/>
      </c>
      <c r="Z966" s="56" t="str">
        <f aca="false">IF($B966&lt;&gt;"결제완료","",IF(OR($Y966="",$J966=""),"",$Y966*$J966+MAX(0,N($K966)-1)*설정!$J$7))</f>
        <v/>
      </c>
      <c r="AA966" s="56" t="str">
        <f aca="false">IF(AND($D966&lt;&gt;"",$B966="결제완료"),N($N966),"")</f>
        <v/>
      </c>
      <c r="AB966" s="45" t="str">
        <f aca="false">IF($D966="","",IF($F966&lt;&gt;"",$F966,$D966)&amp;IF($B966="상담중"," (상담)",""))</f>
        <v/>
      </c>
      <c r="AC966" s="45" t="n">
        <f aca="false">IF(AND($D966&lt;&gt;"",OR($B966="결제완료",$B966="상담중")),1,0)</f>
        <v>0</v>
      </c>
      <c r="AD966" s="45" t="n">
        <f aca="false">IF(OR($Z966="",$U966=""),0,IFERROR(IF(COUNTIFS(INDEX(g_grid,0,2*MATCH($M966,강사DB!$A$4:$A$15,0)),"&lt;&gt;",g_s,"&lt;="&amp;$U966,g_e,"&gt;="&amp;$U966)&gt;0,1,0),0))</f>
        <v>0</v>
      </c>
      <c r="AE966" s="48"/>
      <c r="AF966" s="56" t="str">
        <f aca="false">IF(AND($D966&lt;&gt;"",$B966="결제완료",$T966="대여"),설정!$J$5,"")</f>
        <v/>
      </c>
      <c r="AG966" s="54" t="str">
        <f aca="false">IF($D966="","",IF(AND($E966="",$R966=""),$AB966,"☎ "&amp;IF($E966="","-",$E966)&amp;IF($R966&lt;&gt;"","  ※ "&amp;$R966,"")&amp;IF($B966="상담중"," (상담)","")))</f>
        <v/>
      </c>
      <c r="AH966" s="56" t="str">
        <f aca="false">IF(AND($D966&lt;&gt;"",$B966="결제완료",$O966="스마트스토어"),ROUND(N($N966)*설정!$J$6,0),"")</f>
        <v/>
      </c>
      <c r="AI966" s="54" t="str">
        <f aca="false">IF($D966="","",ROW())</f>
        <v/>
      </c>
      <c r="AJ966" s="54" t="n">
        <f aca="false">IF(OR($AC966&lt;&gt;1,$M966=""),0,IF(ISNUMBER(SEARCH("퇴사",IFERROR(INDEX(강사DB!$G$4:$G$53,MATCH($M966,강사DB!$A$4:$A$53,0)),""))),1,0))</f>
        <v>0</v>
      </c>
    </row>
    <row r="967" customFormat="false" ht="15" hidden="false" customHeight="false" outlineLevel="0" collapsed="false">
      <c r="A967" s="45" t="str">
        <f aca="false">IF($D967="","",COUNTA($D$5:$D967))</f>
        <v/>
      </c>
      <c r="B967" s="46"/>
      <c r="C967" s="47"/>
      <c r="D967" s="48"/>
      <c r="E967" s="48"/>
      <c r="F967" s="49"/>
      <c r="G967" s="47"/>
      <c r="H967" s="50"/>
      <c r="I967" s="50"/>
      <c r="J967" s="51" t="str">
        <f aca="false">IF(OR($V967="",$W967=""),"",ROUND(($W967-$V967)/60,2))</f>
        <v/>
      </c>
      <c r="K967" s="52" t="str">
        <f aca="false">IF($F967="","",LEN($F967)-LEN(SUBSTITUTE($F967,",",""))+1)</f>
        <v/>
      </c>
      <c r="L967" s="45" t="str">
        <f aca="false">IF($K967="","","1:"&amp;$K967)</f>
        <v/>
      </c>
      <c r="M967" s="46"/>
      <c r="N967" s="53"/>
      <c r="O967" s="46"/>
      <c r="P967" s="47"/>
      <c r="Q967" s="48"/>
      <c r="R967" s="49"/>
      <c r="S967" s="54" t="str">
        <f aca="false">IF(OR($AC967=0,$U967="",$M967="",$V967="",$W967=""),"",IF(COUNTIFS(m_teacher,$M967,m_date,$U967,m_active,1,m_start,"&lt;"&amp;$W967,m_end,"&gt;"&amp;$V967)&gt;1,"충돌",""))</f>
        <v/>
      </c>
      <c r="T967" s="48"/>
      <c r="U967" s="55" t="str">
        <f aca="false">IF($G967="","",IFERROR(IF(ISNUMBER($G967),IF($G967&gt;19000000,DATE(INT($G967/10000),MOD(INT($G967/100),100),MOD($G967,100)),INT($G967)),IF(LEN(SUBSTITUTE(SUBSTITUTE(SUBSTITUTE(TRIM($G967),"-",""),".",""),"/",""))=8,DATE(VALUE(LEFT(SUBSTITUTE(SUBSTITUTE(SUBSTITUTE(TRIM($G967),"-",""),".",""),"/",""),4)),VALUE(MID(SUBSTITUTE(SUBSTITUTE(SUBSTITUTE(TRIM($G967),"-",""),".",""),"/",""),5,2)),VALUE(RIGHT(SUBSTITUTE(SUBSTITUTE(SUBSTITUTE(TRIM($G967),"-",""),".",""),"/",""),2))),DATEVALUE($G967))),""))</f>
        <v/>
      </c>
      <c r="V967" s="52" t="str">
        <f aca="false">IF($H967="","",IFERROR(IF(IF(ISNUMBER($H967),$H967,IFERROR(TIMEVALUE($H967),VALUE($H967)))&gt;=100,INT(IF(ISNUMBER($H967),$H967,IFERROR(TIMEVALUE($H967),VALUE($H967)))/100)*60+MOD(IF(ISNUMBER($H967),$H967,IFERROR(TIMEVALUE($H967),VALUE($H967))),100),IF(IF(ISNUMBER($H967),$H967,IFERROR(TIMEVALUE($H967),VALUE($H967)))&gt;=1,ROUND(IF(ISNUMBER($H967),$H967,IFERROR(TIMEVALUE($H967),VALUE($H967)))*60,0),ROUND(MOD(IF(ISNUMBER($H967),$H967,IFERROR(TIMEVALUE($H967),VALUE($H967))),1)*1440,0))),""))</f>
        <v/>
      </c>
      <c r="W967" s="52" t="str">
        <f aca="false">IF($I967="","",IFERROR(IF(IF(ISNUMBER($I967),$I967,IFERROR(TIMEVALUE($I967),VALUE($I967)))&gt;=100,INT(IF(ISNUMBER($I967),$I967,IFERROR(TIMEVALUE($I967),VALUE($I967)))/100)*60+MOD(IF(ISNUMBER($I967),$I967,IFERROR(TIMEVALUE($I967),VALUE($I967))),100),IF(IF(ISNUMBER($I967),$I967,IFERROR(TIMEVALUE($I967),VALUE($I967)))&gt;=1,ROUND(IF(ISNUMBER($I967),$I967,IFERROR(TIMEVALUE($I967),VALUE($I967)))*60,0),ROUND(MOD(IF(ISNUMBER($I967),$I967,IFERROR(TIMEVALUE($I967),VALUE($I967))),1)*1440,0))),""))</f>
        <v/>
      </c>
      <c r="X967" s="55" t="str">
        <f aca="false">IF($P967="","",IFERROR(IF(ISNUMBER($P967),IF($P967&gt;19000000,DATE(INT($P967/10000),MOD(INT($P967/100),100),MOD($P967,100)),INT($P967)),IF(LEN(SUBSTITUTE(SUBSTITUTE(SUBSTITUTE(TRIM($P967),"-",""),".",""),"/",""))=8,DATE(VALUE(LEFT(SUBSTITUTE(SUBSTITUTE(SUBSTITUTE(TRIM($P967),"-",""),".",""),"/",""),4)),VALUE(MID(SUBSTITUTE(SUBSTITUTE(SUBSTITUTE(TRIM($P967),"-",""),".",""),"/",""),5,2)),VALUE(RIGHT(SUBSTITUTE(SUBSTITUTE(SUBSTITUTE(TRIM($P967),"-",""),".",""),"/",""),2))),DATEVALUE($P967))),""))</f>
        <v/>
      </c>
      <c r="Y967" s="56" t="str">
        <f aca="false">IF($M967="","",IFERROR(INDEX(강사DB!$D$4:$D$53,MATCH($M967,강사DB!$A$4:$A$53,0)),""))</f>
        <v/>
      </c>
      <c r="Z967" s="56" t="str">
        <f aca="false">IF($B967&lt;&gt;"결제완료","",IF(OR($Y967="",$J967=""),"",$Y967*$J967+MAX(0,N($K967)-1)*설정!$J$7))</f>
        <v/>
      </c>
      <c r="AA967" s="56" t="str">
        <f aca="false">IF(AND($D967&lt;&gt;"",$B967="결제완료"),N($N967),"")</f>
        <v/>
      </c>
      <c r="AB967" s="45" t="str">
        <f aca="false">IF($D967="","",IF($F967&lt;&gt;"",$F967,$D967)&amp;IF($B967="상담중"," (상담)",""))</f>
        <v/>
      </c>
      <c r="AC967" s="45" t="n">
        <f aca="false">IF(AND($D967&lt;&gt;"",OR($B967="결제완료",$B967="상담중")),1,0)</f>
        <v>0</v>
      </c>
      <c r="AD967" s="45" t="n">
        <f aca="false">IF(OR($Z967="",$U967=""),0,IFERROR(IF(COUNTIFS(INDEX(g_grid,0,2*MATCH($M967,강사DB!$A$4:$A$15,0)),"&lt;&gt;",g_s,"&lt;="&amp;$U967,g_e,"&gt;="&amp;$U967)&gt;0,1,0),0))</f>
        <v>0</v>
      </c>
      <c r="AE967" s="48"/>
      <c r="AF967" s="56" t="str">
        <f aca="false">IF(AND($D967&lt;&gt;"",$B967="결제완료",$T967="대여"),설정!$J$5,"")</f>
        <v/>
      </c>
      <c r="AG967" s="54" t="str">
        <f aca="false">IF($D967="","",IF(AND($E967="",$R967=""),$AB967,"☎ "&amp;IF($E967="","-",$E967)&amp;IF($R967&lt;&gt;"","  ※ "&amp;$R967,"")&amp;IF($B967="상담중"," (상담)","")))</f>
        <v/>
      </c>
      <c r="AH967" s="56" t="str">
        <f aca="false">IF(AND($D967&lt;&gt;"",$B967="결제완료",$O967="스마트스토어"),ROUND(N($N967)*설정!$J$6,0),"")</f>
        <v/>
      </c>
      <c r="AI967" s="54" t="str">
        <f aca="false">IF($D967="","",ROW())</f>
        <v/>
      </c>
      <c r="AJ967" s="54" t="n">
        <f aca="false">IF(OR($AC967&lt;&gt;1,$M967=""),0,IF(ISNUMBER(SEARCH("퇴사",IFERROR(INDEX(강사DB!$G$4:$G$53,MATCH($M967,강사DB!$A$4:$A$53,0)),""))),1,0))</f>
        <v>0</v>
      </c>
    </row>
    <row r="968" customFormat="false" ht="15" hidden="false" customHeight="false" outlineLevel="0" collapsed="false">
      <c r="A968" s="45" t="str">
        <f aca="false">IF($D968="","",COUNTA($D$5:$D968))</f>
        <v/>
      </c>
      <c r="B968" s="46"/>
      <c r="C968" s="47"/>
      <c r="D968" s="48"/>
      <c r="E968" s="48"/>
      <c r="F968" s="49"/>
      <c r="G968" s="47"/>
      <c r="H968" s="50"/>
      <c r="I968" s="50"/>
      <c r="J968" s="51" t="str">
        <f aca="false">IF(OR($V968="",$W968=""),"",ROUND(($W968-$V968)/60,2))</f>
        <v/>
      </c>
      <c r="K968" s="52" t="str">
        <f aca="false">IF($F968="","",LEN($F968)-LEN(SUBSTITUTE($F968,",",""))+1)</f>
        <v/>
      </c>
      <c r="L968" s="45" t="str">
        <f aca="false">IF($K968="","","1:"&amp;$K968)</f>
        <v/>
      </c>
      <c r="M968" s="46"/>
      <c r="N968" s="53"/>
      <c r="O968" s="46"/>
      <c r="P968" s="47"/>
      <c r="Q968" s="48"/>
      <c r="R968" s="49"/>
      <c r="S968" s="54" t="str">
        <f aca="false">IF(OR($AC968=0,$U968="",$M968="",$V968="",$W968=""),"",IF(COUNTIFS(m_teacher,$M968,m_date,$U968,m_active,1,m_start,"&lt;"&amp;$W968,m_end,"&gt;"&amp;$V968)&gt;1,"충돌",""))</f>
        <v/>
      </c>
      <c r="T968" s="48"/>
      <c r="U968" s="55" t="str">
        <f aca="false">IF($G968="","",IFERROR(IF(ISNUMBER($G968),IF($G968&gt;19000000,DATE(INT($G968/10000),MOD(INT($G968/100),100),MOD($G968,100)),INT($G968)),IF(LEN(SUBSTITUTE(SUBSTITUTE(SUBSTITUTE(TRIM($G968),"-",""),".",""),"/",""))=8,DATE(VALUE(LEFT(SUBSTITUTE(SUBSTITUTE(SUBSTITUTE(TRIM($G968),"-",""),".",""),"/",""),4)),VALUE(MID(SUBSTITUTE(SUBSTITUTE(SUBSTITUTE(TRIM($G968),"-",""),".",""),"/",""),5,2)),VALUE(RIGHT(SUBSTITUTE(SUBSTITUTE(SUBSTITUTE(TRIM($G968),"-",""),".",""),"/",""),2))),DATEVALUE($G968))),""))</f>
        <v/>
      </c>
      <c r="V968" s="52" t="str">
        <f aca="false">IF($H968="","",IFERROR(IF(IF(ISNUMBER($H968),$H968,IFERROR(TIMEVALUE($H968),VALUE($H968)))&gt;=100,INT(IF(ISNUMBER($H968),$H968,IFERROR(TIMEVALUE($H968),VALUE($H968)))/100)*60+MOD(IF(ISNUMBER($H968),$H968,IFERROR(TIMEVALUE($H968),VALUE($H968))),100),IF(IF(ISNUMBER($H968),$H968,IFERROR(TIMEVALUE($H968),VALUE($H968)))&gt;=1,ROUND(IF(ISNUMBER($H968),$H968,IFERROR(TIMEVALUE($H968),VALUE($H968)))*60,0),ROUND(MOD(IF(ISNUMBER($H968),$H968,IFERROR(TIMEVALUE($H968),VALUE($H968))),1)*1440,0))),""))</f>
        <v/>
      </c>
      <c r="W968" s="52" t="str">
        <f aca="false">IF($I968="","",IFERROR(IF(IF(ISNUMBER($I968),$I968,IFERROR(TIMEVALUE($I968),VALUE($I968)))&gt;=100,INT(IF(ISNUMBER($I968),$I968,IFERROR(TIMEVALUE($I968),VALUE($I968)))/100)*60+MOD(IF(ISNUMBER($I968),$I968,IFERROR(TIMEVALUE($I968),VALUE($I968))),100),IF(IF(ISNUMBER($I968),$I968,IFERROR(TIMEVALUE($I968),VALUE($I968)))&gt;=1,ROUND(IF(ISNUMBER($I968),$I968,IFERROR(TIMEVALUE($I968),VALUE($I968)))*60,0),ROUND(MOD(IF(ISNUMBER($I968),$I968,IFERROR(TIMEVALUE($I968),VALUE($I968))),1)*1440,0))),""))</f>
        <v/>
      </c>
      <c r="X968" s="55" t="str">
        <f aca="false">IF($P968="","",IFERROR(IF(ISNUMBER($P968),IF($P968&gt;19000000,DATE(INT($P968/10000),MOD(INT($P968/100),100),MOD($P968,100)),INT($P968)),IF(LEN(SUBSTITUTE(SUBSTITUTE(SUBSTITUTE(TRIM($P968),"-",""),".",""),"/",""))=8,DATE(VALUE(LEFT(SUBSTITUTE(SUBSTITUTE(SUBSTITUTE(TRIM($P968),"-",""),".",""),"/",""),4)),VALUE(MID(SUBSTITUTE(SUBSTITUTE(SUBSTITUTE(TRIM($P968),"-",""),".",""),"/",""),5,2)),VALUE(RIGHT(SUBSTITUTE(SUBSTITUTE(SUBSTITUTE(TRIM($P968),"-",""),".",""),"/",""),2))),DATEVALUE($P968))),""))</f>
        <v/>
      </c>
      <c r="Y968" s="56" t="str">
        <f aca="false">IF($M968="","",IFERROR(INDEX(강사DB!$D$4:$D$53,MATCH($M968,강사DB!$A$4:$A$53,0)),""))</f>
        <v/>
      </c>
      <c r="Z968" s="56" t="str">
        <f aca="false">IF($B968&lt;&gt;"결제완료","",IF(OR($Y968="",$J968=""),"",$Y968*$J968+MAX(0,N($K968)-1)*설정!$J$7))</f>
        <v/>
      </c>
      <c r="AA968" s="56" t="str">
        <f aca="false">IF(AND($D968&lt;&gt;"",$B968="결제완료"),N($N968),"")</f>
        <v/>
      </c>
      <c r="AB968" s="45" t="str">
        <f aca="false">IF($D968="","",IF($F968&lt;&gt;"",$F968,$D968)&amp;IF($B968="상담중"," (상담)",""))</f>
        <v/>
      </c>
      <c r="AC968" s="45" t="n">
        <f aca="false">IF(AND($D968&lt;&gt;"",OR($B968="결제완료",$B968="상담중")),1,0)</f>
        <v>0</v>
      </c>
      <c r="AD968" s="45" t="n">
        <f aca="false">IF(OR($Z968="",$U968=""),0,IFERROR(IF(COUNTIFS(INDEX(g_grid,0,2*MATCH($M968,강사DB!$A$4:$A$15,0)),"&lt;&gt;",g_s,"&lt;="&amp;$U968,g_e,"&gt;="&amp;$U968)&gt;0,1,0),0))</f>
        <v>0</v>
      </c>
      <c r="AE968" s="48"/>
      <c r="AF968" s="56" t="str">
        <f aca="false">IF(AND($D968&lt;&gt;"",$B968="결제완료",$T968="대여"),설정!$J$5,"")</f>
        <v/>
      </c>
      <c r="AG968" s="54" t="str">
        <f aca="false">IF($D968="","",IF(AND($E968="",$R968=""),$AB968,"☎ "&amp;IF($E968="","-",$E968)&amp;IF($R968&lt;&gt;"","  ※ "&amp;$R968,"")&amp;IF($B968="상담중"," (상담)","")))</f>
        <v/>
      </c>
      <c r="AH968" s="56" t="str">
        <f aca="false">IF(AND($D968&lt;&gt;"",$B968="결제완료",$O968="스마트스토어"),ROUND(N($N968)*설정!$J$6,0),"")</f>
        <v/>
      </c>
      <c r="AI968" s="54" t="str">
        <f aca="false">IF($D968="","",ROW())</f>
        <v/>
      </c>
      <c r="AJ968" s="54" t="n">
        <f aca="false">IF(OR($AC968&lt;&gt;1,$M968=""),0,IF(ISNUMBER(SEARCH("퇴사",IFERROR(INDEX(강사DB!$G$4:$G$53,MATCH($M968,강사DB!$A$4:$A$53,0)),""))),1,0))</f>
        <v>0</v>
      </c>
    </row>
    <row r="969" customFormat="false" ht="15" hidden="false" customHeight="false" outlineLevel="0" collapsed="false">
      <c r="A969" s="45" t="str">
        <f aca="false">IF($D969="","",COUNTA($D$5:$D969))</f>
        <v/>
      </c>
      <c r="B969" s="46"/>
      <c r="C969" s="47"/>
      <c r="D969" s="48"/>
      <c r="E969" s="48"/>
      <c r="F969" s="49"/>
      <c r="G969" s="47"/>
      <c r="H969" s="50"/>
      <c r="I969" s="50"/>
      <c r="J969" s="51" t="str">
        <f aca="false">IF(OR($V969="",$W969=""),"",ROUND(($W969-$V969)/60,2))</f>
        <v/>
      </c>
      <c r="K969" s="52" t="str">
        <f aca="false">IF($F969="","",LEN($F969)-LEN(SUBSTITUTE($F969,",",""))+1)</f>
        <v/>
      </c>
      <c r="L969" s="45" t="str">
        <f aca="false">IF($K969="","","1:"&amp;$K969)</f>
        <v/>
      </c>
      <c r="M969" s="46"/>
      <c r="N969" s="53"/>
      <c r="O969" s="46"/>
      <c r="P969" s="47"/>
      <c r="Q969" s="48"/>
      <c r="R969" s="49"/>
      <c r="S969" s="54" t="str">
        <f aca="false">IF(OR($AC969=0,$U969="",$M969="",$V969="",$W969=""),"",IF(COUNTIFS(m_teacher,$M969,m_date,$U969,m_active,1,m_start,"&lt;"&amp;$W969,m_end,"&gt;"&amp;$V969)&gt;1,"충돌",""))</f>
        <v/>
      </c>
      <c r="T969" s="48"/>
      <c r="U969" s="55" t="str">
        <f aca="false">IF($G969="","",IFERROR(IF(ISNUMBER($G969),IF($G969&gt;19000000,DATE(INT($G969/10000),MOD(INT($G969/100),100),MOD($G969,100)),INT($G969)),IF(LEN(SUBSTITUTE(SUBSTITUTE(SUBSTITUTE(TRIM($G969),"-",""),".",""),"/",""))=8,DATE(VALUE(LEFT(SUBSTITUTE(SUBSTITUTE(SUBSTITUTE(TRIM($G969),"-",""),".",""),"/",""),4)),VALUE(MID(SUBSTITUTE(SUBSTITUTE(SUBSTITUTE(TRIM($G969),"-",""),".",""),"/",""),5,2)),VALUE(RIGHT(SUBSTITUTE(SUBSTITUTE(SUBSTITUTE(TRIM($G969),"-",""),".",""),"/",""),2))),DATEVALUE($G969))),""))</f>
        <v/>
      </c>
      <c r="V969" s="52" t="str">
        <f aca="false">IF($H969="","",IFERROR(IF(IF(ISNUMBER($H969),$H969,IFERROR(TIMEVALUE($H969),VALUE($H969)))&gt;=100,INT(IF(ISNUMBER($H969),$H969,IFERROR(TIMEVALUE($H969),VALUE($H969)))/100)*60+MOD(IF(ISNUMBER($H969),$H969,IFERROR(TIMEVALUE($H969),VALUE($H969))),100),IF(IF(ISNUMBER($H969),$H969,IFERROR(TIMEVALUE($H969),VALUE($H969)))&gt;=1,ROUND(IF(ISNUMBER($H969),$H969,IFERROR(TIMEVALUE($H969),VALUE($H969)))*60,0),ROUND(MOD(IF(ISNUMBER($H969),$H969,IFERROR(TIMEVALUE($H969),VALUE($H969))),1)*1440,0))),""))</f>
        <v/>
      </c>
      <c r="W969" s="52" t="str">
        <f aca="false">IF($I969="","",IFERROR(IF(IF(ISNUMBER($I969),$I969,IFERROR(TIMEVALUE($I969),VALUE($I969)))&gt;=100,INT(IF(ISNUMBER($I969),$I969,IFERROR(TIMEVALUE($I969),VALUE($I969)))/100)*60+MOD(IF(ISNUMBER($I969),$I969,IFERROR(TIMEVALUE($I969),VALUE($I969))),100),IF(IF(ISNUMBER($I969),$I969,IFERROR(TIMEVALUE($I969),VALUE($I969)))&gt;=1,ROUND(IF(ISNUMBER($I969),$I969,IFERROR(TIMEVALUE($I969),VALUE($I969)))*60,0),ROUND(MOD(IF(ISNUMBER($I969),$I969,IFERROR(TIMEVALUE($I969),VALUE($I969))),1)*1440,0))),""))</f>
        <v/>
      </c>
      <c r="X969" s="55" t="str">
        <f aca="false">IF($P969="","",IFERROR(IF(ISNUMBER($P969),IF($P969&gt;19000000,DATE(INT($P969/10000),MOD(INT($P969/100),100),MOD($P969,100)),INT($P969)),IF(LEN(SUBSTITUTE(SUBSTITUTE(SUBSTITUTE(TRIM($P969),"-",""),".",""),"/",""))=8,DATE(VALUE(LEFT(SUBSTITUTE(SUBSTITUTE(SUBSTITUTE(TRIM($P969),"-",""),".",""),"/",""),4)),VALUE(MID(SUBSTITUTE(SUBSTITUTE(SUBSTITUTE(TRIM($P969),"-",""),".",""),"/",""),5,2)),VALUE(RIGHT(SUBSTITUTE(SUBSTITUTE(SUBSTITUTE(TRIM($P969),"-",""),".",""),"/",""),2))),DATEVALUE($P969))),""))</f>
        <v/>
      </c>
      <c r="Y969" s="56" t="str">
        <f aca="false">IF($M969="","",IFERROR(INDEX(강사DB!$D$4:$D$53,MATCH($M969,강사DB!$A$4:$A$53,0)),""))</f>
        <v/>
      </c>
      <c r="Z969" s="56" t="str">
        <f aca="false">IF($B969&lt;&gt;"결제완료","",IF(OR($Y969="",$J969=""),"",$Y969*$J969+MAX(0,N($K969)-1)*설정!$J$7))</f>
        <v/>
      </c>
      <c r="AA969" s="56" t="str">
        <f aca="false">IF(AND($D969&lt;&gt;"",$B969="결제완료"),N($N969),"")</f>
        <v/>
      </c>
      <c r="AB969" s="45" t="str">
        <f aca="false">IF($D969="","",IF($F969&lt;&gt;"",$F969,$D969)&amp;IF($B969="상담중"," (상담)",""))</f>
        <v/>
      </c>
      <c r="AC969" s="45" t="n">
        <f aca="false">IF(AND($D969&lt;&gt;"",OR($B969="결제완료",$B969="상담중")),1,0)</f>
        <v>0</v>
      </c>
      <c r="AD969" s="45" t="n">
        <f aca="false">IF(OR($Z969="",$U969=""),0,IFERROR(IF(COUNTIFS(INDEX(g_grid,0,2*MATCH($M969,강사DB!$A$4:$A$15,0)),"&lt;&gt;",g_s,"&lt;="&amp;$U969,g_e,"&gt;="&amp;$U969)&gt;0,1,0),0))</f>
        <v>0</v>
      </c>
      <c r="AE969" s="48"/>
      <c r="AF969" s="56" t="str">
        <f aca="false">IF(AND($D969&lt;&gt;"",$B969="결제완료",$T969="대여"),설정!$J$5,"")</f>
        <v/>
      </c>
      <c r="AG969" s="54" t="str">
        <f aca="false">IF($D969="","",IF(AND($E969="",$R969=""),$AB969,"☎ "&amp;IF($E969="","-",$E969)&amp;IF($R969&lt;&gt;"","  ※ "&amp;$R969,"")&amp;IF($B969="상담중"," (상담)","")))</f>
        <v/>
      </c>
      <c r="AH969" s="56" t="str">
        <f aca="false">IF(AND($D969&lt;&gt;"",$B969="결제완료",$O969="스마트스토어"),ROUND(N($N969)*설정!$J$6,0),"")</f>
        <v/>
      </c>
      <c r="AI969" s="54" t="str">
        <f aca="false">IF($D969="","",ROW())</f>
        <v/>
      </c>
      <c r="AJ969" s="54" t="n">
        <f aca="false">IF(OR($AC969&lt;&gt;1,$M969=""),0,IF(ISNUMBER(SEARCH("퇴사",IFERROR(INDEX(강사DB!$G$4:$G$53,MATCH($M969,강사DB!$A$4:$A$53,0)),""))),1,0))</f>
        <v>0</v>
      </c>
    </row>
    <row r="970" customFormat="false" ht="15" hidden="false" customHeight="false" outlineLevel="0" collapsed="false">
      <c r="A970" s="45" t="str">
        <f aca="false">IF($D970="","",COUNTA($D$5:$D970))</f>
        <v/>
      </c>
      <c r="B970" s="46"/>
      <c r="C970" s="47"/>
      <c r="D970" s="48"/>
      <c r="E970" s="48"/>
      <c r="F970" s="49"/>
      <c r="G970" s="47"/>
      <c r="H970" s="50"/>
      <c r="I970" s="50"/>
      <c r="J970" s="51" t="str">
        <f aca="false">IF(OR($V970="",$W970=""),"",ROUND(($W970-$V970)/60,2))</f>
        <v/>
      </c>
      <c r="K970" s="52" t="str">
        <f aca="false">IF($F970="","",LEN($F970)-LEN(SUBSTITUTE($F970,",",""))+1)</f>
        <v/>
      </c>
      <c r="L970" s="45" t="str">
        <f aca="false">IF($K970="","","1:"&amp;$K970)</f>
        <v/>
      </c>
      <c r="M970" s="46"/>
      <c r="N970" s="53"/>
      <c r="O970" s="46"/>
      <c r="P970" s="47"/>
      <c r="Q970" s="48"/>
      <c r="R970" s="49"/>
      <c r="S970" s="54" t="str">
        <f aca="false">IF(OR($AC970=0,$U970="",$M970="",$V970="",$W970=""),"",IF(COUNTIFS(m_teacher,$M970,m_date,$U970,m_active,1,m_start,"&lt;"&amp;$W970,m_end,"&gt;"&amp;$V970)&gt;1,"충돌",""))</f>
        <v/>
      </c>
      <c r="T970" s="48"/>
      <c r="U970" s="55" t="str">
        <f aca="false">IF($G970="","",IFERROR(IF(ISNUMBER($G970),IF($G970&gt;19000000,DATE(INT($G970/10000),MOD(INT($G970/100),100),MOD($G970,100)),INT($G970)),IF(LEN(SUBSTITUTE(SUBSTITUTE(SUBSTITUTE(TRIM($G970),"-",""),".",""),"/",""))=8,DATE(VALUE(LEFT(SUBSTITUTE(SUBSTITUTE(SUBSTITUTE(TRIM($G970),"-",""),".",""),"/",""),4)),VALUE(MID(SUBSTITUTE(SUBSTITUTE(SUBSTITUTE(TRIM($G970),"-",""),".",""),"/",""),5,2)),VALUE(RIGHT(SUBSTITUTE(SUBSTITUTE(SUBSTITUTE(TRIM($G970),"-",""),".",""),"/",""),2))),DATEVALUE($G970))),""))</f>
        <v/>
      </c>
      <c r="V970" s="52" t="str">
        <f aca="false">IF($H970="","",IFERROR(IF(IF(ISNUMBER($H970),$H970,IFERROR(TIMEVALUE($H970),VALUE($H970)))&gt;=100,INT(IF(ISNUMBER($H970),$H970,IFERROR(TIMEVALUE($H970),VALUE($H970)))/100)*60+MOD(IF(ISNUMBER($H970),$H970,IFERROR(TIMEVALUE($H970),VALUE($H970))),100),IF(IF(ISNUMBER($H970),$H970,IFERROR(TIMEVALUE($H970),VALUE($H970)))&gt;=1,ROUND(IF(ISNUMBER($H970),$H970,IFERROR(TIMEVALUE($H970),VALUE($H970)))*60,0),ROUND(MOD(IF(ISNUMBER($H970),$H970,IFERROR(TIMEVALUE($H970),VALUE($H970))),1)*1440,0))),""))</f>
        <v/>
      </c>
      <c r="W970" s="52" t="str">
        <f aca="false">IF($I970="","",IFERROR(IF(IF(ISNUMBER($I970),$I970,IFERROR(TIMEVALUE($I970),VALUE($I970)))&gt;=100,INT(IF(ISNUMBER($I970),$I970,IFERROR(TIMEVALUE($I970),VALUE($I970)))/100)*60+MOD(IF(ISNUMBER($I970),$I970,IFERROR(TIMEVALUE($I970),VALUE($I970))),100),IF(IF(ISNUMBER($I970),$I970,IFERROR(TIMEVALUE($I970),VALUE($I970)))&gt;=1,ROUND(IF(ISNUMBER($I970),$I970,IFERROR(TIMEVALUE($I970),VALUE($I970)))*60,0),ROUND(MOD(IF(ISNUMBER($I970),$I970,IFERROR(TIMEVALUE($I970),VALUE($I970))),1)*1440,0))),""))</f>
        <v/>
      </c>
      <c r="X970" s="55" t="str">
        <f aca="false">IF($P970="","",IFERROR(IF(ISNUMBER($P970),IF($P970&gt;19000000,DATE(INT($P970/10000),MOD(INT($P970/100),100),MOD($P970,100)),INT($P970)),IF(LEN(SUBSTITUTE(SUBSTITUTE(SUBSTITUTE(TRIM($P970),"-",""),".",""),"/",""))=8,DATE(VALUE(LEFT(SUBSTITUTE(SUBSTITUTE(SUBSTITUTE(TRIM($P970),"-",""),".",""),"/",""),4)),VALUE(MID(SUBSTITUTE(SUBSTITUTE(SUBSTITUTE(TRIM($P970),"-",""),".",""),"/",""),5,2)),VALUE(RIGHT(SUBSTITUTE(SUBSTITUTE(SUBSTITUTE(TRIM($P970),"-",""),".",""),"/",""),2))),DATEVALUE($P970))),""))</f>
        <v/>
      </c>
      <c r="Y970" s="56" t="str">
        <f aca="false">IF($M970="","",IFERROR(INDEX(강사DB!$D$4:$D$53,MATCH($M970,강사DB!$A$4:$A$53,0)),""))</f>
        <v/>
      </c>
      <c r="Z970" s="56" t="str">
        <f aca="false">IF($B970&lt;&gt;"결제완료","",IF(OR($Y970="",$J970=""),"",$Y970*$J970+MAX(0,N($K970)-1)*설정!$J$7))</f>
        <v/>
      </c>
      <c r="AA970" s="56" t="str">
        <f aca="false">IF(AND($D970&lt;&gt;"",$B970="결제완료"),N($N970),"")</f>
        <v/>
      </c>
      <c r="AB970" s="45" t="str">
        <f aca="false">IF($D970="","",IF($F970&lt;&gt;"",$F970,$D970)&amp;IF($B970="상담중"," (상담)",""))</f>
        <v/>
      </c>
      <c r="AC970" s="45" t="n">
        <f aca="false">IF(AND($D970&lt;&gt;"",OR($B970="결제완료",$B970="상담중")),1,0)</f>
        <v>0</v>
      </c>
      <c r="AD970" s="45" t="n">
        <f aca="false">IF(OR($Z970="",$U970=""),0,IFERROR(IF(COUNTIFS(INDEX(g_grid,0,2*MATCH($M970,강사DB!$A$4:$A$15,0)),"&lt;&gt;",g_s,"&lt;="&amp;$U970,g_e,"&gt;="&amp;$U970)&gt;0,1,0),0))</f>
        <v>0</v>
      </c>
      <c r="AE970" s="48"/>
      <c r="AF970" s="56" t="str">
        <f aca="false">IF(AND($D970&lt;&gt;"",$B970="결제완료",$T970="대여"),설정!$J$5,"")</f>
        <v/>
      </c>
      <c r="AG970" s="54" t="str">
        <f aca="false">IF($D970="","",IF(AND($E970="",$R970=""),$AB970,"☎ "&amp;IF($E970="","-",$E970)&amp;IF($R970&lt;&gt;"","  ※ "&amp;$R970,"")&amp;IF($B970="상담중"," (상담)","")))</f>
        <v/>
      </c>
      <c r="AH970" s="56" t="str">
        <f aca="false">IF(AND($D970&lt;&gt;"",$B970="결제완료",$O970="스마트스토어"),ROUND(N($N970)*설정!$J$6,0),"")</f>
        <v/>
      </c>
      <c r="AI970" s="54" t="str">
        <f aca="false">IF($D970="","",ROW())</f>
        <v/>
      </c>
      <c r="AJ970" s="54" t="n">
        <f aca="false">IF(OR($AC970&lt;&gt;1,$M970=""),0,IF(ISNUMBER(SEARCH("퇴사",IFERROR(INDEX(강사DB!$G$4:$G$53,MATCH($M970,강사DB!$A$4:$A$53,0)),""))),1,0))</f>
        <v>0</v>
      </c>
    </row>
    <row r="971" customFormat="false" ht="15" hidden="false" customHeight="false" outlineLevel="0" collapsed="false">
      <c r="A971" s="45" t="str">
        <f aca="false">IF($D971="","",COUNTA($D$5:$D971))</f>
        <v/>
      </c>
      <c r="B971" s="46"/>
      <c r="C971" s="47"/>
      <c r="D971" s="48"/>
      <c r="E971" s="48"/>
      <c r="F971" s="49"/>
      <c r="G971" s="47"/>
      <c r="H971" s="50"/>
      <c r="I971" s="50"/>
      <c r="J971" s="51" t="str">
        <f aca="false">IF(OR($V971="",$W971=""),"",ROUND(($W971-$V971)/60,2))</f>
        <v/>
      </c>
      <c r="K971" s="52" t="str">
        <f aca="false">IF($F971="","",LEN($F971)-LEN(SUBSTITUTE($F971,",",""))+1)</f>
        <v/>
      </c>
      <c r="L971" s="45" t="str">
        <f aca="false">IF($K971="","","1:"&amp;$K971)</f>
        <v/>
      </c>
      <c r="M971" s="46"/>
      <c r="N971" s="53"/>
      <c r="O971" s="46"/>
      <c r="P971" s="47"/>
      <c r="Q971" s="48"/>
      <c r="R971" s="49"/>
      <c r="S971" s="54" t="str">
        <f aca="false">IF(OR($AC971=0,$U971="",$M971="",$V971="",$W971=""),"",IF(COUNTIFS(m_teacher,$M971,m_date,$U971,m_active,1,m_start,"&lt;"&amp;$W971,m_end,"&gt;"&amp;$V971)&gt;1,"충돌",""))</f>
        <v/>
      </c>
      <c r="T971" s="48"/>
      <c r="U971" s="55" t="str">
        <f aca="false">IF($G971="","",IFERROR(IF(ISNUMBER($G971),IF($G971&gt;19000000,DATE(INT($G971/10000),MOD(INT($G971/100),100),MOD($G971,100)),INT($G971)),IF(LEN(SUBSTITUTE(SUBSTITUTE(SUBSTITUTE(TRIM($G971),"-",""),".",""),"/",""))=8,DATE(VALUE(LEFT(SUBSTITUTE(SUBSTITUTE(SUBSTITUTE(TRIM($G971),"-",""),".",""),"/",""),4)),VALUE(MID(SUBSTITUTE(SUBSTITUTE(SUBSTITUTE(TRIM($G971),"-",""),".",""),"/",""),5,2)),VALUE(RIGHT(SUBSTITUTE(SUBSTITUTE(SUBSTITUTE(TRIM($G971),"-",""),".",""),"/",""),2))),DATEVALUE($G971))),""))</f>
        <v/>
      </c>
      <c r="V971" s="52" t="str">
        <f aca="false">IF($H971="","",IFERROR(IF(IF(ISNUMBER($H971),$H971,IFERROR(TIMEVALUE($H971),VALUE($H971)))&gt;=100,INT(IF(ISNUMBER($H971),$H971,IFERROR(TIMEVALUE($H971),VALUE($H971)))/100)*60+MOD(IF(ISNUMBER($H971),$H971,IFERROR(TIMEVALUE($H971),VALUE($H971))),100),IF(IF(ISNUMBER($H971),$H971,IFERROR(TIMEVALUE($H971),VALUE($H971)))&gt;=1,ROUND(IF(ISNUMBER($H971),$H971,IFERROR(TIMEVALUE($H971),VALUE($H971)))*60,0),ROUND(MOD(IF(ISNUMBER($H971),$H971,IFERROR(TIMEVALUE($H971),VALUE($H971))),1)*1440,0))),""))</f>
        <v/>
      </c>
      <c r="W971" s="52" t="str">
        <f aca="false">IF($I971="","",IFERROR(IF(IF(ISNUMBER($I971),$I971,IFERROR(TIMEVALUE($I971),VALUE($I971)))&gt;=100,INT(IF(ISNUMBER($I971),$I971,IFERROR(TIMEVALUE($I971),VALUE($I971)))/100)*60+MOD(IF(ISNUMBER($I971),$I971,IFERROR(TIMEVALUE($I971),VALUE($I971))),100),IF(IF(ISNUMBER($I971),$I971,IFERROR(TIMEVALUE($I971),VALUE($I971)))&gt;=1,ROUND(IF(ISNUMBER($I971),$I971,IFERROR(TIMEVALUE($I971),VALUE($I971)))*60,0),ROUND(MOD(IF(ISNUMBER($I971),$I971,IFERROR(TIMEVALUE($I971),VALUE($I971))),1)*1440,0))),""))</f>
        <v/>
      </c>
      <c r="X971" s="55" t="str">
        <f aca="false">IF($P971="","",IFERROR(IF(ISNUMBER($P971),IF($P971&gt;19000000,DATE(INT($P971/10000),MOD(INT($P971/100),100),MOD($P971,100)),INT($P971)),IF(LEN(SUBSTITUTE(SUBSTITUTE(SUBSTITUTE(TRIM($P971),"-",""),".",""),"/",""))=8,DATE(VALUE(LEFT(SUBSTITUTE(SUBSTITUTE(SUBSTITUTE(TRIM($P971),"-",""),".",""),"/",""),4)),VALUE(MID(SUBSTITUTE(SUBSTITUTE(SUBSTITUTE(TRIM($P971),"-",""),".",""),"/",""),5,2)),VALUE(RIGHT(SUBSTITUTE(SUBSTITUTE(SUBSTITUTE(TRIM($P971),"-",""),".",""),"/",""),2))),DATEVALUE($P971))),""))</f>
        <v/>
      </c>
      <c r="Y971" s="56" t="str">
        <f aca="false">IF($M971="","",IFERROR(INDEX(강사DB!$D$4:$D$53,MATCH($M971,강사DB!$A$4:$A$53,0)),""))</f>
        <v/>
      </c>
      <c r="Z971" s="56" t="str">
        <f aca="false">IF($B971&lt;&gt;"결제완료","",IF(OR($Y971="",$J971=""),"",$Y971*$J971+MAX(0,N($K971)-1)*설정!$J$7))</f>
        <v/>
      </c>
      <c r="AA971" s="56" t="str">
        <f aca="false">IF(AND($D971&lt;&gt;"",$B971="결제완료"),N($N971),"")</f>
        <v/>
      </c>
      <c r="AB971" s="45" t="str">
        <f aca="false">IF($D971="","",IF($F971&lt;&gt;"",$F971,$D971)&amp;IF($B971="상담중"," (상담)",""))</f>
        <v/>
      </c>
      <c r="AC971" s="45" t="n">
        <f aca="false">IF(AND($D971&lt;&gt;"",OR($B971="결제완료",$B971="상담중")),1,0)</f>
        <v>0</v>
      </c>
      <c r="AD971" s="45" t="n">
        <f aca="false">IF(OR($Z971="",$U971=""),0,IFERROR(IF(COUNTIFS(INDEX(g_grid,0,2*MATCH($M971,강사DB!$A$4:$A$15,0)),"&lt;&gt;",g_s,"&lt;="&amp;$U971,g_e,"&gt;="&amp;$U971)&gt;0,1,0),0))</f>
        <v>0</v>
      </c>
      <c r="AE971" s="48"/>
      <c r="AF971" s="56" t="str">
        <f aca="false">IF(AND($D971&lt;&gt;"",$B971="결제완료",$T971="대여"),설정!$J$5,"")</f>
        <v/>
      </c>
      <c r="AG971" s="54" t="str">
        <f aca="false">IF($D971="","",IF(AND($E971="",$R971=""),$AB971,"☎ "&amp;IF($E971="","-",$E971)&amp;IF($R971&lt;&gt;"","  ※ "&amp;$R971,"")&amp;IF($B971="상담중"," (상담)","")))</f>
        <v/>
      </c>
      <c r="AH971" s="56" t="str">
        <f aca="false">IF(AND($D971&lt;&gt;"",$B971="결제완료",$O971="스마트스토어"),ROUND(N($N971)*설정!$J$6,0),"")</f>
        <v/>
      </c>
      <c r="AI971" s="54" t="str">
        <f aca="false">IF($D971="","",ROW())</f>
        <v/>
      </c>
      <c r="AJ971" s="54" t="n">
        <f aca="false">IF(OR($AC971&lt;&gt;1,$M971=""),0,IF(ISNUMBER(SEARCH("퇴사",IFERROR(INDEX(강사DB!$G$4:$G$53,MATCH($M971,강사DB!$A$4:$A$53,0)),""))),1,0))</f>
        <v>0</v>
      </c>
    </row>
    <row r="972" customFormat="false" ht="15" hidden="false" customHeight="false" outlineLevel="0" collapsed="false">
      <c r="A972" s="45" t="str">
        <f aca="false">IF($D972="","",COUNTA($D$5:$D972))</f>
        <v/>
      </c>
      <c r="B972" s="46"/>
      <c r="C972" s="47"/>
      <c r="D972" s="48"/>
      <c r="E972" s="48"/>
      <c r="F972" s="49"/>
      <c r="G972" s="47"/>
      <c r="H972" s="50"/>
      <c r="I972" s="50"/>
      <c r="J972" s="51" t="str">
        <f aca="false">IF(OR($V972="",$W972=""),"",ROUND(($W972-$V972)/60,2))</f>
        <v/>
      </c>
      <c r="K972" s="52" t="str">
        <f aca="false">IF($F972="","",LEN($F972)-LEN(SUBSTITUTE($F972,",",""))+1)</f>
        <v/>
      </c>
      <c r="L972" s="45" t="str">
        <f aca="false">IF($K972="","","1:"&amp;$K972)</f>
        <v/>
      </c>
      <c r="M972" s="46"/>
      <c r="N972" s="53"/>
      <c r="O972" s="46"/>
      <c r="P972" s="47"/>
      <c r="Q972" s="48"/>
      <c r="R972" s="49"/>
      <c r="S972" s="54" t="str">
        <f aca="false">IF(OR($AC972=0,$U972="",$M972="",$V972="",$W972=""),"",IF(COUNTIFS(m_teacher,$M972,m_date,$U972,m_active,1,m_start,"&lt;"&amp;$W972,m_end,"&gt;"&amp;$V972)&gt;1,"충돌",""))</f>
        <v/>
      </c>
      <c r="T972" s="48"/>
      <c r="U972" s="55" t="str">
        <f aca="false">IF($G972="","",IFERROR(IF(ISNUMBER($G972),IF($G972&gt;19000000,DATE(INT($G972/10000),MOD(INT($G972/100),100),MOD($G972,100)),INT($G972)),IF(LEN(SUBSTITUTE(SUBSTITUTE(SUBSTITUTE(TRIM($G972),"-",""),".",""),"/",""))=8,DATE(VALUE(LEFT(SUBSTITUTE(SUBSTITUTE(SUBSTITUTE(TRIM($G972),"-",""),".",""),"/",""),4)),VALUE(MID(SUBSTITUTE(SUBSTITUTE(SUBSTITUTE(TRIM($G972),"-",""),".",""),"/",""),5,2)),VALUE(RIGHT(SUBSTITUTE(SUBSTITUTE(SUBSTITUTE(TRIM($G972),"-",""),".",""),"/",""),2))),DATEVALUE($G972))),""))</f>
        <v/>
      </c>
      <c r="V972" s="52" t="str">
        <f aca="false">IF($H972="","",IFERROR(IF(IF(ISNUMBER($H972),$H972,IFERROR(TIMEVALUE($H972),VALUE($H972)))&gt;=100,INT(IF(ISNUMBER($H972),$H972,IFERROR(TIMEVALUE($H972),VALUE($H972)))/100)*60+MOD(IF(ISNUMBER($H972),$H972,IFERROR(TIMEVALUE($H972),VALUE($H972))),100),IF(IF(ISNUMBER($H972),$H972,IFERROR(TIMEVALUE($H972),VALUE($H972)))&gt;=1,ROUND(IF(ISNUMBER($H972),$H972,IFERROR(TIMEVALUE($H972),VALUE($H972)))*60,0),ROUND(MOD(IF(ISNUMBER($H972),$H972,IFERROR(TIMEVALUE($H972),VALUE($H972))),1)*1440,0))),""))</f>
        <v/>
      </c>
      <c r="W972" s="52" t="str">
        <f aca="false">IF($I972="","",IFERROR(IF(IF(ISNUMBER($I972),$I972,IFERROR(TIMEVALUE($I972),VALUE($I972)))&gt;=100,INT(IF(ISNUMBER($I972),$I972,IFERROR(TIMEVALUE($I972),VALUE($I972)))/100)*60+MOD(IF(ISNUMBER($I972),$I972,IFERROR(TIMEVALUE($I972),VALUE($I972))),100),IF(IF(ISNUMBER($I972),$I972,IFERROR(TIMEVALUE($I972),VALUE($I972)))&gt;=1,ROUND(IF(ISNUMBER($I972),$I972,IFERROR(TIMEVALUE($I972),VALUE($I972)))*60,0),ROUND(MOD(IF(ISNUMBER($I972),$I972,IFERROR(TIMEVALUE($I972),VALUE($I972))),1)*1440,0))),""))</f>
        <v/>
      </c>
      <c r="X972" s="55" t="str">
        <f aca="false">IF($P972="","",IFERROR(IF(ISNUMBER($P972),IF($P972&gt;19000000,DATE(INT($P972/10000),MOD(INT($P972/100),100),MOD($P972,100)),INT($P972)),IF(LEN(SUBSTITUTE(SUBSTITUTE(SUBSTITUTE(TRIM($P972),"-",""),".",""),"/",""))=8,DATE(VALUE(LEFT(SUBSTITUTE(SUBSTITUTE(SUBSTITUTE(TRIM($P972),"-",""),".",""),"/",""),4)),VALUE(MID(SUBSTITUTE(SUBSTITUTE(SUBSTITUTE(TRIM($P972),"-",""),".",""),"/",""),5,2)),VALUE(RIGHT(SUBSTITUTE(SUBSTITUTE(SUBSTITUTE(TRIM($P972),"-",""),".",""),"/",""),2))),DATEVALUE($P972))),""))</f>
        <v/>
      </c>
      <c r="Y972" s="56" t="str">
        <f aca="false">IF($M972="","",IFERROR(INDEX(강사DB!$D$4:$D$53,MATCH($M972,강사DB!$A$4:$A$53,0)),""))</f>
        <v/>
      </c>
      <c r="Z972" s="56" t="str">
        <f aca="false">IF($B972&lt;&gt;"결제완료","",IF(OR($Y972="",$J972=""),"",$Y972*$J972+MAX(0,N($K972)-1)*설정!$J$7))</f>
        <v/>
      </c>
      <c r="AA972" s="56" t="str">
        <f aca="false">IF(AND($D972&lt;&gt;"",$B972="결제완료"),N($N972),"")</f>
        <v/>
      </c>
      <c r="AB972" s="45" t="str">
        <f aca="false">IF($D972="","",IF($F972&lt;&gt;"",$F972,$D972)&amp;IF($B972="상담중"," (상담)",""))</f>
        <v/>
      </c>
      <c r="AC972" s="45" t="n">
        <f aca="false">IF(AND($D972&lt;&gt;"",OR($B972="결제완료",$B972="상담중")),1,0)</f>
        <v>0</v>
      </c>
      <c r="AD972" s="45" t="n">
        <f aca="false">IF(OR($Z972="",$U972=""),0,IFERROR(IF(COUNTIFS(INDEX(g_grid,0,2*MATCH($M972,강사DB!$A$4:$A$15,0)),"&lt;&gt;",g_s,"&lt;="&amp;$U972,g_e,"&gt;="&amp;$U972)&gt;0,1,0),0))</f>
        <v>0</v>
      </c>
      <c r="AE972" s="48"/>
      <c r="AF972" s="56" t="str">
        <f aca="false">IF(AND($D972&lt;&gt;"",$B972="결제완료",$T972="대여"),설정!$J$5,"")</f>
        <v/>
      </c>
      <c r="AG972" s="54" t="str">
        <f aca="false">IF($D972="","",IF(AND($E972="",$R972=""),$AB972,"☎ "&amp;IF($E972="","-",$E972)&amp;IF($R972&lt;&gt;"","  ※ "&amp;$R972,"")&amp;IF($B972="상담중"," (상담)","")))</f>
        <v/>
      </c>
      <c r="AH972" s="56" t="str">
        <f aca="false">IF(AND($D972&lt;&gt;"",$B972="결제완료",$O972="스마트스토어"),ROUND(N($N972)*설정!$J$6,0),"")</f>
        <v/>
      </c>
      <c r="AI972" s="54" t="str">
        <f aca="false">IF($D972="","",ROW())</f>
        <v/>
      </c>
      <c r="AJ972" s="54" t="n">
        <f aca="false">IF(OR($AC972&lt;&gt;1,$M972=""),0,IF(ISNUMBER(SEARCH("퇴사",IFERROR(INDEX(강사DB!$G$4:$G$53,MATCH($M972,강사DB!$A$4:$A$53,0)),""))),1,0))</f>
        <v>0</v>
      </c>
    </row>
    <row r="973" customFormat="false" ht="15" hidden="false" customHeight="false" outlineLevel="0" collapsed="false">
      <c r="A973" s="45" t="str">
        <f aca="false">IF($D973="","",COUNTA($D$5:$D973))</f>
        <v/>
      </c>
      <c r="B973" s="46"/>
      <c r="C973" s="47"/>
      <c r="D973" s="48"/>
      <c r="E973" s="48"/>
      <c r="F973" s="49"/>
      <c r="G973" s="47"/>
      <c r="H973" s="50"/>
      <c r="I973" s="50"/>
      <c r="J973" s="51" t="str">
        <f aca="false">IF(OR($V973="",$W973=""),"",ROUND(($W973-$V973)/60,2))</f>
        <v/>
      </c>
      <c r="K973" s="52" t="str">
        <f aca="false">IF($F973="","",LEN($F973)-LEN(SUBSTITUTE($F973,",",""))+1)</f>
        <v/>
      </c>
      <c r="L973" s="45" t="str">
        <f aca="false">IF($K973="","","1:"&amp;$K973)</f>
        <v/>
      </c>
      <c r="M973" s="46"/>
      <c r="N973" s="53"/>
      <c r="O973" s="46"/>
      <c r="P973" s="47"/>
      <c r="Q973" s="48"/>
      <c r="R973" s="49"/>
      <c r="S973" s="54" t="str">
        <f aca="false">IF(OR($AC973=0,$U973="",$M973="",$V973="",$W973=""),"",IF(COUNTIFS(m_teacher,$M973,m_date,$U973,m_active,1,m_start,"&lt;"&amp;$W973,m_end,"&gt;"&amp;$V973)&gt;1,"충돌",""))</f>
        <v/>
      </c>
      <c r="T973" s="48"/>
      <c r="U973" s="55" t="str">
        <f aca="false">IF($G973="","",IFERROR(IF(ISNUMBER($G973),IF($G973&gt;19000000,DATE(INT($G973/10000),MOD(INT($G973/100),100),MOD($G973,100)),INT($G973)),IF(LEN(SUBSTITUTE(SUBSTITUTE(SUBSTITUTE(TRIM($G973),"-",""),".",""),"/",""))=8,DATE(VALUE(LEFT(SUBSTITUTE(SUBSTITUTE(SUBSTITUTE(TRIM($G973),"-",""),".",""),"/",""),4)),VALUE(MID(SUBSTITUTE(SUBSTITUTE(SUBSTITUTE(TRIM($G973),"-",""),".",""),"/",""),5,2)),VALUE(RIGHT(SUBSTITUTE(SUBSTITUTE(SUBSTITUTE(TRIM($G973),"-",""),".",""),"/",""),2))),DATEVALUE($G973))),""))</f>
        <v/>
      </c>
      <c r="V973" s="52" t="str">
        <f aca="false">IF($H973="","",IFERROR(IF(IF(ISNUMBER($H973),$H973,IFERROR(TIMEVALUE($H973),VALUE($H973)))&gt;=100,INT(IF(ISNUMBER($H973),$H973,IFERROR(TIMEVALUE($H973),VALUE($H973)))/100)*60+MOD(IF(ISNUMBER($H973),$H973,IFERROR(TIMEVALUE($H973),VALUE($H973))),100),IF(IF(ISNUMBER($H973),$H973,IFERROR(TIMEVALUE($H973),VALUE($H973)))&gt;=1,ROUND(IF(ISNUMBER($H973),$H973,IFERROR(TIMEVALUE($H973),VALUE($H973)))*60,0),ROUND(MOD(IF(ISNUMBER($H973),$H973,IFERROR(TIMEVALUE($H973),VALUE($H973))),1)*1440,0))),""))</f>
        <v/>
      </c>
      <c r="W973" s="52" t="str">
        <f aca="false">IF($I973="","",IFERROR(IF(IF(ISNUMBER($I973),$I973,IFERROR(TIMEVALUE($I973),VALUE($I973)))&gt;=100,INT(IF(ISNUMBER($I973),$I973,IFERROR(TIMEVALUE($I973),VALUE($I973)))/100)*60+MOD(IF(ISNUMBER($I973),$I973,IFERROR(TIMEVALUE($I973),VALUE($I973))),100),IF(IF(ISNUMBER($I973),$I973,IFERROR(TIMEVALUE($I973),VALUE($I973)))&gt;=1,ROUND(IF(ISNUMBER($I973),$I973,IFERROR(TIMEVALUE($I973),VALUE($I973)))*60,0),ROUND(MOD(IF(ISNUMBER($I973),$I973,IFERROR(TIMEVALUE($I973),VALUE($I973))),1)*1440,0))),""))</f>
        <v/>
      </c>
      <c r="X973" s="55" t="str">
        <f aca="false">IF($P973="","",IFERROR(IF(ISNUMBER($P973),IF($P973&gt;19000000,DATE(INT($P973/10000),MOD(INT($P973/100),100),MOD($P973,100)),INT($P973)),IF(LEN(SUBSTITUTE(SUBSTITUTE(SUBSTITUTE(TRIM($P973),"-",""),".",""),"/",""))=8,DATE(VALUE(LEFT(SUBSTITUTE(SUBSTITUTE(SUBSTITUTE(TRIM($P973),"-",""),".",""),"/",""),4)),VALUE(MID(SUBSTITUTE(SUBSTITUTE(SUBSTITUTE(TRIM($P973),"-",""),".",""),"/",""),5,2)),VALUE(RIGHT(SUBSTITUTE(SUBSTITUTE(SUBSTITUTE(TRIM($P973),"-",""),".",""),"/",""),2))),DATEVALUE($P973))),""))</f>
        <v/>
      </c>
      <c r="Y973" s="56" t="str">
        <f aca="false">IF($M973="","",IFERROR(INDEX(강사DB!$D$4:$D$53,MATCH($M973,강사DB!$A$4:$A$53,0)),""))</f>
        <v/>
      </c>
      <c r="Z973" s="56" t="str">
        <f aca="false">IF($B973&lt;&gt;"결제완료","",IF(OR($Y973="",$J973=""),"",$Y973*$J973+MAX(0,N($K973)-1)*설정!$J$7))</f>
        <v/>
      </c>
      <c r="AA973" s="56" t="str">
        <f aca="false">IF(AND($D973&lt;&gt;"",$B973="결제완료"),N($N973),"")</f>
        <v/>
      </c>
      <c r="AB973" s="45" t="str">
        <f aca="false">IF($D973="","",IF($F973&lt;&gt;"",$F973,$D973)&amp;IF($B973="상담중"," (상담)",""))</f>
        <v/>
      </c>
      <c r="AC973" s="45" t="n">
        <f aca="false">IF(AND($D973&lt;&gt;"",OR($B973="결제완료",$B973="상담중")),1,0)</f>
        <v>0</v>
      </c>
      <c r="AD973" s="45" t="n">
        <f aca="false">IF(OR($Z973="",$U973=""),0,IFERROR(IF(COUNTIFS(INDEX(g_grid,0,2*MATCH($M973,강사DB!$A$4:$A$15,0)),"&lt;&gt;",g_s,"&lt;="&amp;$U973,g_e,"&gt;="&amp;$U973)&gt;0,1,0),0))</f>
        <v>0</v>
      </c>
      <c r="AE973" s="48"/>
      <c r="AF973" s="56" t="str">
        <f aca="false">IF(AND($D973&lt;&gt;"",$B973="결제완료",$T973="대여"),설정!$J$5,"")</f>
        <v/>
      </c>
      <c r="AG973" s="54" t="str">
        <f aca="false">IF($D973="","",IF(AND($E973="",$R973=""),$AB973,"☎ "&amp;IF($E973="","-",$E973)&amp;IF($R973&lt;&gt;"","  ※ "&amp;$R973,"")&amp;IF($B973="상담중"," (상담)","")))</f>
        <v/>
      </c>
      <c r="AH973" s="56" t="str">
        <f aca="false">IF(AND($D973&lt;&gt;"",$B973="결제완료",$O973="스마트스토어"),ROUND(N($N973)*설정!$J$6,0),"")</f>
        <v/>
      </c>
      <c r="AI973" s="54" t="str">
        <f aca="false">IF($D973="","",ROW())</f>
        <v/>
      </c>
      <c r="AJ973" s="54" t="n">
        <f aca="false">IF(OR($AC973&lt;&gt;1,$M973=""),0,IF(ISNUMBER(SEARCH("퇴사",IFERROR(INDEX(강사DB!$G$4:$G$53,MATCH($M973,강사DB!$A$4:$A$53,0)),""))),1,0))</f>
        <v>0</v>
      </c>
    </row>
    <row r="974" customFormat="false" ht="15" hidden="false" customHeight="false" outlineLevel="0" collapsed="false">
      <c r="A974" s="45" t="str">
        <f aca="false">IF($D974="","",COUNTA($D$5:$D974))</f>
        <v/>
      </c>
      <c r="B974" s="46"/>
      <c r="C974" s="47"/>
      <c r="D974" s="48"/>
      <c r="E974" s="48"/>
      <c r="F974" s="49"/>
      <c r="G974" s="47"/>
      <c r="H974" s="50"/>
      <c r="I974" s="50"/>
      <c r="J974" s="51" t="str">
        <f aca="false">IF(OR($V974="",$W974=""),"",ROUND(($W974-$V974)/60,2))</f>
        <v/>
      </c>
      <c r="K974" s="52" t="str">
        <f aca="false">IF($F974="","",LEN($F974)-LEN(SUBSTITUTE($F974,",",""))+1)</f>
        <v/>
      </c>
      <c r="L974" s="45" t="str">
        <f aca="false">IF($K974="","","1:"&amp;$K974)</f>
        <v/>
      </c>
      <c r="M974" s="46"/>
      <c r="N974" s="53"/>
      <c r="O974" s="46"/>
      <c r="P974" s="47"/>
      <c r="Q974" s="48"/>
      <c r="R974" s="49"/>
      <c r="S974" s="54" t="str">
        <f aca="false">IF(OR($AC974=0,$U974="",$M974="",$V974="",$W974=""),"",IF(COUNTIFS(m_teacher,$M974,m_date,$U974,m_active,1,m_start,"&lt;"&amp;$W974,m_end,"&gt;"&amp;$V974)&gt;1,"충돌",""))</f>
        <v/>
      </c>
      <c r="T974" s="48"/>
      <c r="U974" s="55" t="str">
        <f aca="false">IF($G974="","",IFERROR(IF(ISNUMBER($G974),IF($G974&gt;19000000,DATE(INT($G974/10000),MOD(INT($G974/100),100),MOD($G974,100)),INT($G974)),IF(LEN(SUBSTITUTE(SUBSTITUTE(SUBSTITUTE(TRIM($G974),"-",""),".",""),"/",""))=8,DATE(VALUE(LEFT(SUBSTITUTE(SUBSTITUTE(SUBSTITUTE(TRIM($G974),"-",""),".",""),"/",""),4)),VALUE(MID(SUBSTITUTE(SUBSTITUTE(SUBSTITUTE(TRIM($G974),"-",""),".",""),"/",""),5,2)),VALUE(RIGHT(SUBSTITUTE(SUBSTITUTE(SUBSTITUTE(TRIM($G974),"-",""),".",""),"/",""),2))),DATEVALUE($G974))),""))</f>
        <v/>
      </c>
      <c r="V974" s="52" t="str">
        <f aca="false">IF($H974="","",IFERROR(IF(IF(ISNUMBER($H974),$H974,IFERROR(TIMEVALUE($H974),VALUE($H974)))&gt;=100,INT(IF(ISNUMBER($H974),$H974,IFERROR(TIMEVALUE($H974),VALUE($H974)))/100)*60+MOD(IF(ISNUMBER($H974),$H974,IFERROR(TIMEVALUE($H974),VALUE($H974))),100),IF(IF(ISNUMBER($H974),$H974,IFERROR(TIMEVALUE($H974),VALUE($H974)))&gt;=1,ROUND(IF(ISNUMBER($H974),$H974,IFERROR(TIMEVALUE($H974),VALUE($H974)))*60,0),ROUND(MOD(IF(ISNUMBER($H974),$H974,IFERROR(TIMEVALUE($H974),VALUE($H974))),1)*1440,0))),""))</f>
        <v/>
      </c>
      <c r="W974" s="52" t="str">
        <f aca="false">IF($I974="","",IFERROR(IF(IF(ISNUMBER($I974),$I974,IFERROR(TIMEVALUE($I974),VALUE($I974)))&gt;=100,INT(IF(ISNUMBER($I974),$I974,IFERROR(TIMEVALUE($I974),VALUE($I974)))/100)*60+MOD(IF(ISNUMBER($I974),$I974,IFERROR(TIMEVALUE($I974),VALUE($I974))),100),IF(IF(ISNUMBER($I974),$I974,IFERROR(TIMEVALUE($I974),VALUE($I974)))&gt;=1,ROUND(IF(ISNUMBER($I974),$I974,IFERROR(TIMEVALUE($I974),VALUE($I974)))*60,0),ROUND(MOD(IF(ISNUMBER($I974),$I974,IFERROR(TIMEVALUE($I974),VALUE($I974))),1)*1440,0))),""))</f>
        <v/>
      </c>
      <c r="X974" s="55" t="str">
        <f aca="false">IF($P974="","",IFERROR(IF(ISNUMBER($P974),IF($P974&gt;19000000,DATE(INT($P974/10000),MOD(INT($P974/100),100),MOD($P974,100)),INT($P974)),IF(LEN(SUBSTITUTE(SUBSTITUTE(SUBSTITUTE(TRIM($P974),"-",""),".",""),"/",""))=8,DATE(VALUE(LEFT(SUBSTITUTE(SUBSTITUTE(SUBSTITUTE(TRIM($P974),"-",""),".",""),"/",""),4)),VALUE(MID(SUBSTITUTE(SUBSTITUTE(SUBSTITUTE(TRIM($P974),"-",""),".",""),"/",""),5,2)),VALUE(RIGHT(SUBSTITUTE(SUBSTITUTE(SUBSTITUTE(TRIM($P974),"-",""),".",""),"/",""),2))),DATEVALUE($P974))),""))</f>
        <v/>
      </c>
      <c r="Y974" s="56" t="str">
        <f aca="false">IF($M974="","",IFERROR(INDEX(강사DB!$D$4:$D$53,MATCH($M974,강사DB!$A$4:$A$53,0)),""))</f>
        <v/>
      </c>
      <c r="Z974" s="56" t="str">
        <f aca="false">IF($B974&lt;&gt;"결제완료","",IF(OR($Y974="",$J974=""),"",$Y974*$J974+MAX(0,N($K974)-1)*설정!$J$7))</f>
        <v/>
      </c>
      <c r="AA974" s="56" t="str">
        <f aca="false">IF(AND($D974&lt;&gt;"",$B974="결제완료"),N($N974),"")</f>
        <v/>
      </c>
      <c r="AB974" s="45" t="str">
        <f aca="false">IF($D974="","",IF($F974&lt;&gt;"",$F974,$D974)&amp;IF($B974="상담중"," (상담)",""))</f>
        <v/>
      </c>
      <c r="AC974" s="45" t="n">
        <f aca="false">IF(AND($D974&lt;&gt;"",OR($B974="결제완료",$B974="상담중")),1,0)</f>
        <v>0</v>
      </c>
      <c r="AD974" s="45" t="n">
        <f aca="false">IF(OR($Z974="",$U974=""),0,IFERROR(IF(COUNTIFS(INDEX(g_grid,0,2*MATCH($M974,강사DB!$A$4:$A$15,0)),"&lt;&gt;",g_s,"&lt;="&amp;$U974,g_e,"&gt;="&amp;$U974)&gt;0,1,0),0))</f>
        <v>0</v>
      </c>
      <c r="AE974" s="48"/>
      <c r="AF974" s="56" t="str">
        <f aca="false">IF(AND($D974&lt;&gt;"",$B974="결제완료",$T974="대여"),설정!$J$5,"")</f>
        <v/>
      </c>
      <c r="AG974" s="54" t="str">
        <f aca="false">IF($D974="","",IF(AND($E974="",$R974=""),$AB974,"☎ "&amp;IF($E974="","-",$E974)&amp;IF($R974&lt;&gt;"","  ※ "&amp;$R974,"")&amp;IF($B974="상담중"," (상담)","")))</f>
        <v/>
      </c>
      <c r="AH974" s="56" t="str">
        <f aca="false">IF(AND($D974&lt;&gt;"",$B974="결제완료",$O974="스마트스토어"),ROUND(N($N974)*설정!$J$6,0),"")</f>
        <v/>
      </c>
      <c r="AI974" s="54" t="str">
        <f aca="false">IF($D974="","",ROW())</f>
        <v/>
      </c>
      <c r="AJ974" s="54" t="n">
        <f aca="false">IF(OR($AC974&lt;&gt;1,$M974=""),0,IF(ISNUMBER(SEARCH("퇴사",IFERROR(INDEX(강사DB!$G$4:$G$53,MATCH($M974,강사DB!$A$4:$A$53,0)),""))),1,0))</f>
        <v>0</v>
      </c>
    </row>
    <row r="975" customFormat="false" ht="15" hidden="false" customHeight="false" outlineLevel="0" collapsed="false">
      <c r="A975" s="45" t="str">
        <f aca="false">IF($D975="","",COUNTA($D$5:$D975))</f>
        <v/>
      </c>
      <c r="B975" s="46"/>
      <c r="C975" s="47"/>
      <c r="D975" s="48"/>
      <c r="E975" s="48"/>
      <c r="F975" s="49"/>
      <c r="G975" s="47"/>
      <c r="H975" s="50"/>
      <c r="I975" s="50"/>
      <c r="J975" s="51" t="str">
        <f aca="false">IF(OR($V975="",$W975=""),"",ROUND(($W975-$V975)/60,2))</f>
        <v/>
      </c>
      <c r="K975" s="52" t="str">
        <f aca="false">IF($F975="","",LEN($F975)-LEN(SUBSTITUTE($F975,",",""))+1)</f>
        <v/>
      </c>
      <c r="L975" s="45" t="str">
        <f aca="false">IF($K975="","","1:"&amp;$K975)</f>
        <v/>
      </c>
      <c r="M975" s="46"/>
      <c r="N975" s="53"/>
      <c r="O975" s="46"/>
      <c r="P975" s="47"/>
      <c r="Q975" s="48"/>
      <c r="R975" s="49"/>
      <c r="S975" s="54" t="str">
        <f aca="false">IF(OR($AC975=0,$U975="",$M975="",$V975="",$W975=""),"",IF(COUNTIFS(m_teacher,$M975,m_date,$U975,m_active,1,m_start,"&lt;"&amp;$W975,m_end,"&gt;"&amp;$V975)&gt;1,"충돌",""))</f>
        <v/>
      </c>
      <c r="T975" s="48"/>
      <c r="U975" s="55" t="str">
        <f aca="false">IF($G975="","",IFERROR(IF(ISNUMBER($G975),IF($G975&gt;19000000,DATE(INT($G975/10000),MOD(INT($G975/100),100),MOD($G975,100)),INT($G975)),IF(LEN(SUBSTITUTE(SUBSTITUTE(SUBSTITUTE(TRIM($G975),"-",""),".",""),"/",""))=8,DATE(VALUE(LEFT(SUBSTITUTE(SUBSTITUTE(SUBSTITUTE(TRIM($G975),"-",""),".",""),"/",""),4)),VALUE(MID(SUBSTITUTE(SUBSTITUTE(SUBSTITUTE(TRIM($G975),"-",""),".",""),"/",""),5,2)),VALUE(RIGHT(SUBSTITUTE(SUBSTITUTE(SUBSTITUTE(TRIM($G975),"-",""),".",""),"/",""),2))),DATEVALUE($G975))),""))</f>
        <v/>
      </c>
      <c r="V975" s="52" t="str">
        <f aca="false">IF($H975="","",IFERROR(IF(IF(ISNUMBER($H975),$H975,IFERROR(TIMEVALUE($H975),VALUE($H975)))&gt;=100,INT(IF(ISNUMBER($H975),$H975,IFERROR(TIMEVALUE($H975),VALUE($H975)))/100)*60+MOD(IF(ISNUMBER($H975),$H975,IFERROR(TIMEVALUE($H975),VALUE($H975))),100),IF(IF(ISNUMBER($H975),$H975,IFERROR(TIMEVALUE($H975),VALUE($H975)))&gt;=1,ROUND(IF(ISNUMBER($H975),$H975,IFERROR(TIMEVALUE($H975),VALUE($H975)))*60,0),ROUND(MOD(IF(ISNUMBER($H975),$H975,IFERROR(TIMEVALUE($H975),VALUE($H975))),1)*1440,0))),""))</f>
        <v/>
      </c>
      <c r="W975" s="52" t="str">
        <f aca="false">IF($I975="","",IFERROR(IF(IF(ISNUMBER($I975),$I975,IFERROR(TIMEVALUE($I975),VALUE($I975)))&gt;=100,INT(IF(ISNUMBER($I975),$I975,IFERROR(TIMEVALUE($I975),VALUE($I975)))/100)*60+MOD(IF(ISNUMBER($I975),$I975,IFERROR(TIMEVALUE($I975),VALUE($I975))),100),IF(IF(ISNUMBER($I975),$I975,IFERROR(TIMEVALUE($I975),VALUE($I975)))&gt;=1,ROUND(IF(ISNUMBER($I975),$I975,IFERROR(TIMEVALUE($I975),VALUE($I975)))*60,0),ROUND(MOD(IF(ISNUMBER($I975),$I975,IFERROR(TIMEVALUE($I975),VALUE($I975))),1)*1440,0))),""))</f>
        <v/>
      </c>
      <c r="X975" s="55" t="str">
        <f aca="false">IF($P975="","",IFERROR(IF(ISNUMBER($P975),IF($P975&gt;19000000,DATE(INT($P975/10000),MOD(INT($P975/100),100),MOD($P975,100)),INT($P975)),IF(LEN(SUBSTITUTE(SUBSTITUTE(SUBSTITUTE(TRIM($P975),"-",""),".",""),"/",""))=8,DATE(VALUE(LEFT(SUBSTITUTE(SUBSTITUTE(SUBSTITUTE(TRIM($P975),"-",""),".",""),"/",""),4)),VALUE(MID(SUBSTITUTE(SUBSTITUTE(SUBSTITUTE(TRIM($P975),"-",""),".",""),"/",""),5,2)),VALUE(RIGHT(SUBSTITUTE(SUBSTITUTE(SUBSTITUTE(TRIM($P975),"-",""),".",""),"/",""),2))),DATEVALUE($P975))),""))</f>
        <v/>
      </c>
      <c r="Y975" s="56" t="str">
        <f aca="false">IF($M975="","",IFERROR(INDEX(강사DB!$D$4:$D$53,MATCH($M975,강사DB!$A$4:$A$53,0)),""))</f>
        <v/>
      </c>
      <c r="Z975" s="56" t="str">
        <f aca="false">IF($B975&lt;&gt;"결제완료","",IF(OR($Y975="",$J975=""),"",$Y975*$J975+MAX(0,N($K975)-1)*설정!$J$7))</f>
        <v/>
      </c>
      <c r="AA975" s="56" t="str">
        <f aca="false">IF(AND($D975&lt;&gt;"",$B975="결제완료"),N($N975),"")</f>
        <v/>
      </c>
      <c r="AB975" s="45" t="str">
        <f aca="false">IF($D975="","",IF($F975&lt;&gt;"",$F975,$D975)&amp;IF($B975="상담중"," (상담)",""))</f>
        <v/>
      </c>
      <c r="AC975" s="45" t="n">
        <f aca="false">IF(AND($D975&lt;&gt;"",OR($B975="결제완료",$B975="상담중")),1,0)</f>
        <v>0</v>
      </c>
      <c r="AD975" s="45" t="n">
        <f aca="false">IF(OR($Z975="",$U975=""),0,IFERROR(IF(COUNTIFS(INDEX(g_grid,0,2*MATCH($M975,강사DB!$A$4:$A$15,0)),"&lt;&gt;",g_s,"&lt;="&amp;$U975,g_e,"&gt;="&amp;$U975)&gt;0,1,0),0))</f>
        <v>0</v>
      </c>
      <c r="AE975" s="48"/>
      <c r="AF975" s="56" t="str">
        <f aca="false">IF(AND($D975&lt;&gt;"",$B975="결제완료",$T975="대여"),설정!$J$5,"")</f>
        <v/>
      </c>
      <c r="AG975" s="54" t="str">
        <f aca="false">IF($D975="","",IF(AND($E975="",$R975=""),$AB975,"☎ "&amp;IF($E975="","-",$E975)&amp;IF($R975&lt;&gt;"","  ※ "&amp;$R975,"")&amp;IF($B975="상담중"," (상담)","")))</f>
        <v/>
      </c>
      <c r="AH975" s="56" t="str">
        <f aca="false">IF(AND($D975&lt;&gt;"",$B975="결제완료",$O975="스마트스토어"),ROUND(N($N975)*설정!$J$6,0),"")</f>
        <v/>
      </c>
      <c r="AI975" s="54" t="str">
        <f aca="false">IF($D975="","",ROW())</f>
        <v/>
      </c>
      <c r="AJ975" s="54" t="n">
        <f aca="false">IF(OR($AC975&lt;&gt;1,$M975=""),0,IF(ISNUMBER(SEARCH("퇴사",IFERROR(INDEX(강사DB!$G$4:$G$53,MATCH($M975,강사DB!$A$4:$A$53,0)),""))),1,0))</f>
        <v>0</v>
      </c>
    </row>
    <row r="976" customFormat="false" ht="15" hidden="false" customHeight="false" outlineLevel="0" collapsed="false">
      <c r="A976" s="45" t="str">
        <f aca="false">IF($D976="","",COUNTA($D$5:$D976))</f>
        <v/>
      </c>
      <c r="B976" s="46"/>
      <c r="C976" s="47"/>
      <c r="D976" s="48"/>
      <c r="E976" s="48"/>
      <c r="F976" s="49"/>
      <c r="G976" s="47"/>
      <c r="H976" s="50"/>
      <c r="I976" s="50"/>
      <c r="J976" s="51" t="str">
        <f aca="false">IF(OR($V976="",$W976=""),"",ROUND(($W976-$V976)/60,2))</f>
        <v/>
      </c>
      <c r="K976" s="52" t="str">
        <f aca="false">IF($F976="","",LEN($F976)-LEN(SUBSTITUTE($F976,",",""))+1)</f>
        <v/>
      </c>
      <c r="L976" s="45" t="str">
        <f aca="false">IF($K976="","","1:"&amp;$K976)</f>
        <v/>
      </c>
      <c r="M976" s="46"/>
      <c r="N976" s="53"/>
      <c r="O976" s="46"/>
      <c r="P976" s="47"/>
      <c r="Q976" s="48"/>
      <c r="R976" s="49"/>
      <c r="S976" s="54" t="str">
        <f aca="false">IF(OR($AC976=0,$U976="",$M976="",$V976="",$W976=""),"",IF(COUNTIFS(m_teacher,$M976,m_date,$U976,m_active,1,m_start,"&lt;"&amp;$W976,m_end,"&gt;"&amp;$V976)&gt;1,"충돌",""))</f>
        <v/>
      </c>
      <c r="T976" s="48"/>
      <c r="U976" s="55" t="str">
        <f aca="false">IF($G976="","",IFERROR(IF(ISNUMBER($G976),IF($G976&gt;19000000,DATE(INT($G976/10000),MOD(INT($G976/100),100),MOD($G976,100)),INT($G976)),IF(LEN(SUBSTITUTE(SUBSTITUTE(SUBSTITUTE(TRIM($G976),"-",""),".",""),"/",""))=8,DATE(VALUE(LEFT(SUBSTITUTE(SUBSTITUTE(SUBSTITUTE(TRIM($G976),"-",""),".",""),"/",""),4)),VALUE(MID(SUBSTITUTE(SUBSTITUTE(SUBSTITUTE(TRIM($G976),"-",""),".",""),"/",""),5,2)),VALUE(RIGHT(SUBSTITUTE(SUBSTITUTE(SUBSTITUTE(TRIM($G976),"-",""),".",""),"/",""),2))),DATEVALUE($G976))),""))</f>
        <v/>
      </c>
      <c r="V976" s="52" t="str">
        <f aca="false">IF($H976="","",IFERROR(IF(IF(ISNUMBER($H976),$H976,IFERROR(TIMEVALUE($H976),VALUE($H976)))&gt;=100,INT(IF(ISNUMBER($H976),$H976,IFERROR(TIMEVALUE($H976),VALUE($H976)))/100)*60+MOD(IF(ISNUMBER($H976),$H976,IFERROR(TIMEVALUE($H976),VALUE($H976))),100),IF(IF(ISNUMBER($H976),$H976,IFERROR(TIMEVALUE($H976),VALUE($H976)))&gt;=1,ROUND(IF(ISNUMBER($H976),$H976,IFERROR(TIMEVALUE($H976),VALUE($H976)))*60,0),ROUND(MOD(IF(ISNUMBER($H976),$H976,IFERROR(TIMEVALUE($H976),VALUE($H976))),1)*1440,0))),""))</f>
        <v/>
      </c>
      <c r="W976" s="52" t="str">
        <f aca="false">IF($I976="","",IFERROR(IF(IF(ISNUMBER($I976),$I976,IFERROR(TIMEVALUE($I976),VALUE($I976)))&gt;=100,INT(IF(ISNUMBER($I976),$I976,IFERROR(TIMEVALUE($I976),VALUE($I976)))/100)*60+MOD(IF(ISNUMBER($I976),$I976,IFERROR(TIMEVALUE($I976),VALUE($I976))),100),IF(IF(ISNUMBER($I976),$I976,IFERROR(TIMEVALUE($I976),VALUE($I976)))&gt;=1,ROUND(IF(ISNUMBER($I976),$I976,IFERROR(TIMEVALUE($I976),VALUE($I976)))*60,0),ROUND(MOD(IF(ISNUMBER($I976),$I976,IFERROR(TIMEVALUE($I976),VALUE($I976))),1)*1440,0))),""))</f>
        <v/>
      </c>
      <c r="X976" s="55" t="str">
        <f aca="false">IF($P976="","",IFERROR(IF(ISNUMBER($P976),IF($P976&gt;19000000,DATE(INT($P976/10000),MOD(INT($P976/100),100),MOD($P976,100)),INT($P976)),IF(LEN(SUBSTITUTE(SUBSTITUTE(SUBSTITUTE(TRIM($P976),"-",""),".",""),"/",""))=8,DATE(VALUE(LEFT(SUBSTITUTE(SUBSTITUTE(SUBSTITUTE(TRIM($P976),"-",""),".",""),"/",""),4)),VALUE(MID(SUBSTITUTE(SUBSTITUTE(SUBSTITUTE(TRIM($P976),"-",""),".",""),"/",""),5,2)),VALUE(RIGHT(SUBSTITUTE(SUBSTITUTE(SUBSTITUTE(TRIM($P976),"-",""),".",""),"/",""),2))),DATEVALUE($P976))),""))</f>
        <v/>
      </c>
      <c r="Y976" s="56" t="str">
        <f aca="false">IF($M976="","",IFERROR(INDEX(강사DB!$D$4:$D$53,MATCH($M976,강사DB!$A$4:$A$53,0)),""))</f>
        <v/>
      </c>
      <c r="Z976" s="56" t="str">
        <f aca="false">IF($B976&lt;&gt;"결제완료","",IF(OR($Y976="",$J976=""),"",$Y976*$J976+MAX(0,N($K976)-1)*설정!$J$7))</f>
        <v/>
      </c>
      <c r="AA976" s="56" t="str">
        <f aca="false">IF(AND($D976&lt;&gt;"",$B976="결제완료"),N($N976),"")</f>
        <v/>
      </c>
      <c r="AB976" s="45" t="str">
        <f aca="false">IF($D976="","",IF($F976&lt;&gt;"",$F976,$D976)&amp;IF($B976="상담중"," (상담)",""))</f>
        <v/>
      </c>
      <c r="AC976" s="45" t="n">
        <f aca="false">IF(AND($D976&lt;&gt;"",OR($B976="결제완료",$B976="상담중")),1,0)</f>
        <v>0</v>
      </c>
      <c r="AD976" s="45" t="n">
        <f aca="false">IF(OR($Z976="",$U976=""),0,IFERROR(IF(COUNTIFS(INDEX(g_grid,0,2*MATCH($M976,강사DB!$A$4:$A$15,0)),"&lt;&gt;",g_s,"&lt;="&amp;$U976,g_e,"&gt;="&amp;$U976)&gt;0,1,0),0))</f>
        <v>0</v>
      </c>
      <c r="AE976" s="48"/>
      <c r="AF976" s="56" t="str">
        <f aca="false">IF(AND($D976&lt;&gt;"",$B976="결제완료",$T976="대여"),설정!$J$5,"")</f>
        <v/>
      </c>
      <c r="AG976" s="54" t="str">
        <f aca="false">IF($D976="","",IF(AND($E976="",$R976=""),$AB976,"☎ "&amp;IF($E976="","-",$E976)&amp;IF($R976&lt;&gt;"","  ※ "&amp;$R976,"")&amp;IF($B976="상담중"," (상담)","")))</f>
        <v/>
      </c>
      <c r="AH976" s="56" t="str">
        <f aca="false">IF(AND($D976&lt;&gt;"",$B976="결제완료",$O976="스마트스토어"),ROUND(N($N976)*설정!$J$6,0),"")</f>
        <v/>
      </c>
      <c r="AI976" s="54" t="str">
        <f aca="false">IF($D976="","",ROW())</f>
        <v/>
      </c>
      <c r="AJ976" s="54" t="n">
        <f aca="false">IF(OR($AC976&lt;&gt;1,$M976=""),0,IF(ISNUMBER(SEARCH("퇴사",IFERROR(INDEX(강사DB!$G$4:$G$53,MATCH($M976,강사DB!$A$4:$A$53,0)),""))),1,0))</f>
        <v>0</v>
      </c>
    </row>
    <row r="977" customFormat="false" ht="15" hidden="false" customHeight="false" outlineLevel="0" collapsed="false">
      <c r="A977" s="45" t="str">
        <f aca="false">IF($D977="","",COUNTA($D$5:$D977))</f>
        <v/>
      </c>
      <c r="B977" s="46"/>
      <c r="C977" s="47"/>
      <c r="D977" s="48"/>
      <c r="E977" s="48"/>
      <c r="F977" s="49"/>
      <c r="G977" s="47"/>
      <c r="H977" s="50"/>
      <c r="I977" s="50"/>
      <c r="J977" s="51" t="str">
        <f aca="false">IF(OR($V977="",$W977=""),"",ROUND(($W977-$V977)/60,2))</f>
        <v/>
      </c>
      <c r="K977" s="52" t="str">
        <f aca="false">IF($F977="","",LEN($F977)-LEN(SUBSTITUTE($F977,",",""))+1)</f>
        <v/>
      </c>
      <c r="L977" s="45" t="str">
        <f aca="false">IF($K977="","","1:"&amp;$K977)</f>
        <v/>
      </c>
      <c r="M977" s="46"/>
      <c r="N977" s="53"/>
      <c r="O977" s="46"/>
      <c r="P977" s="47"/>
      <c r="Q977" s="48"/>
      <c r="R977" s="49"/>
      <c r="S977" s="54" t="str">
        <f aca="false">IF(OR($AC977=0,$U977="",$M977="",$V977="",$W977=""),"",IF(COUNTIFS(m_teacher,$M977,m_date,$U977,m_active,1,m_start,"&lt;"&amp;$W977,m_end,"&gt;"&amp;$V977)&gt;1,"충돌",""))</f>
        <v/>
      </c>
      <c r="T977" s="48"/>
      <c r="U977" s="55" t="str">
        <f aca="false">IF($G977="","",IFERROR(IF(ISNUMBER($G977),IF($G977&gt;19000000,DATE(INT($G977/10000),MOD(INT($G977/100),100),MOD($G977,100)),INT($G977)),IF(LEN(SUBSTITUTE(SUBSTITUTE(SUBSTITUTE(TRIM($G977),"-",""),".",""),"/",""))=8,DATE(VALUE(LEFT(SUBSTITUTE(SUBSTITUTE(SUBSTITUTE(TRIM($G977),"-",""),".",""),"/",""),4)),VALUE(MID(SUBSTITUTE(SUBSTITUTE(SUBSTITUTE(TRIM($G977),"-",""),".",""),"/",""),5,2)),VALUE(RIGHT(SUBSTITUTE(SUBSTITUTE(SUBSTITUTE(TRIM($G977),"-",""),".",""),"/",""),2))),DATEVALUE($G977))),""))</f>
        <v/>
      </c>
      <c r="V977" s="52" t="str">
        <f aca="false">IF($H977="","",IFERROR(IF(IF(ISNUMBER($H977),$H977,IFERROR(TIMEVALUE($H977),VALUE($H977)))&gt;=100,INT(IF(ISNUMBER($H977),$H977,IFERROR(TIMEVALUE($H977),VALUE($H977)))/100)*60+MOD(IF(ISNUMBER($H977),$H977,IFERROR(TIMEVALUE($H977),VALUE($H977))),100),IF(IF(ISNUMBER($H977),$H977,IFERROR(TIMEVALUE($H977),VALUE($H977)))&gt;=1,ROUND(IF(ISNUMBER($H977),$H977,IFERROR(TIMEVALUE($H977),VALUE($H977)))*60,0),ROUND(MOD(IF(ISNUMBER($H977),$H977,IFERROR(TIMEVALUE($H977),VALUE($H977))),1)*1440,0))),""))</f>
        <v/>
      </c>
      <c r="W977" s="52" t="str">
        <f aca="false">IF($I977="","",IFERROR(IF(IF(ISNUMBER($I977),$I977,IFERROR(TIMEVALUE($I977),VALUE($I977)))&gt;=100,INT(IF(ISNUMBER($I977),$I977,IFERROR(TIMEVALUE($I977),VALUE($I977)))/100)*60+MOD(IF(ISNUMBER($I977),$I977,IFERROR(TIMEVALUE($I977),VALUE($I977))),100),IF(IF(ISNUMBER($I977),$I977,IFERROR(TIMEVALUE($I977),VALUE($I977)))&gt;=1,ROUND(IF(ISNUMBER($I977),$I977,IFERROR(TIMEVALUE($I977),VALUE($I977)))*60,0),ROUND(MOD(IF(ISNUMBER($I977),$I977,IFERROR(TIMEVALUE($I977),VALUE($I977))),1)*1440,0))),""))</f>
        <v/>
      </c>
      <c r="X977" s="55" t="str">
        <f aca="false">IF($P977="","",IFERROR(IF(ISNUMBER($P977),IF($P977&gt;19000000,DATE(INT($P977/10000),MOD(INT($P977/100),100),MOD($P977,100)),INT($P977)),IF(LEN(SUBSTITUTE(SUBSTITUTE(SUBSTITUTE(TRIM($P977),"-",""),".",""),"/",""))=8,DATE(VALUE(LEFT(SUBSTITUTE(SUBSTITUTE(SUBSTITUTE(TRIM($P977),"-",""),".",""),"/",""),4)),VALUE(MID(SUBSTITUTE(SUBSTITUTE(SUBSTITUTE(TRIM($P977),"-",""),".",""),"/",""),5,2)),VALUE(RIGHT(SUBSTITUTE(SUBSTITUTE(SUBSTITUTE(TRIM($P977),"-",""),".",""),"/",""),2))),DATEVALUE($P977))),""))</f>
        <v/>
      </c>
      <c r="Y977" s="56" t="str">
        <f aca="false">IF($M977="","",IFERROR(INDEX(강사DB!$D$4:$D$53,MATCH($M977,강사DB!$A$4:$A$53,0)),""))</f>
        <v/>
      </c>
      <c r="Z977" s="56" t="str">
        <f aca="false">IF($B977&lt;&gt;"결제완료","",IF(OR($Y977="",$J977=""),"",$Y977*$J977+MAX(0,N($K977)-1)*설정!$J$7))</f>
        <v/>
      </c>
      <c r="AA977" s="56" t="str">
        <f aca="false">IF(AND($D977&lt;&gt;"",$B977="결제완료"),N($N977),"")</f>
        <v/>
      </c>
      <c r="AB977" s="45" t="str">
        <f aca="false">IF($D977="","",IF($F977&lt;&gt;"",$F977,$D977)&amp;IF($B977="상담중"," (상담)",""))</f>
        <v/>
      </c>
      <c r="AC977" s="45" t="n">
        <f aca="false">IF(AND($D977&lt;&gt;"",OR($B977="결제완료",$B977="상담중")),1,0)</f>
        <v>0</v>
      </c>
      <c r="AD977" s="45" t="n">
        <f aca="false">IF(OR($Z977="",$U977=""),0,IFERROR(IF(COUNTIFS(INDEX(g_grid,0,2*MATCH($M977,강사DB!$A$4:$A$15,0)),"&lt;&gt;",g_s,"&lt;="&amp;$U977,g_e,"&gt;="&amp;$U977)&gt;0,1,0),0))</f>
        <v>0</v>
      </c>
      <c r="AE977" s="48"/>
      <c r="AF977" s="56" t="str">
        <f aca="false">IF(AND($D977&lt;&gt;"",$B977="결제완료",$T977="대여"),설정!$J$5,"")</f>
        <v/>
      </c>
      <c r="AG977" s="54" t="str">
        <f aca="false">IF($D977="","",IF(AND($E977="",$R977=""),$AB977,"☎ "&amp;IF($E977="","-",$E977)&amp;IF($R977&lt;&gt;"","  ※ "&amp;$R977,"")&amp;IF($B977="상담중"," (상담)","")))</f>
        <v/>
      </c>
      <c r="AH977" s="56" t="str">
        <f aca="false">IF(AND($D977&lt;&gt;"",$B977="결제완료",$O977="스마트스토어"),ROUND(N($N977)*설정!$J$6,0),"")</f>
        <v/>
      </c>
      <c r="AI977" s="54" t="str">
        <f aca="false">IF($D977="","",ROW())</f>
        <v/>
      </c>
      <c r="AJ977" s="54" t="n">
        <f aca="false">IF(OR($AC977&lt;&gt;1,$M977=""),0,IF(ISNUMBER(SEARCH("퇴사",IFERROR(INDEX(강사DB!$G$4:$G$53,MATCH($M977,강사DB!$A$4:$A$53,0)),""))),1,0))</f>
        <v>0</v>
      </c>
    </row>
    <row r="978" customFormat="false" ht="15" hidden="false" customHeight="false" outlineLevel="0" collapsed="false">
      <c r="A978" s="45" t="str">
        <f aca="false">IF($D978="","",COUNTA($D$5:$D978))</f>
        <v/>
      </c>
      <c r="B978" s="46"/>
      <c r="C978" s="47"/>
      <c r="D978" s="48"/>
      <c r="E978" s="48"/>
      <c r="F978" s="49"/>
      <c r="G978" s="47"/>
      <c r="H978" s="50"/>
      <c r="I978" s="50"/>
      <c r="J978" s="51" t="str">
        <f aca="false">IF(OR($V978="",$W978=""),"",ROUND(($W978-$V978)/60,2))</f>
        <v/>
      </c>
      <c r="K978" s="52" t="str">
        <f aca="false">IF($F978="","",LEN($F978)-LEN(SUBSTITUTE($F978,",",""))+1)</f>
        <v/>
      </c>
      <c r="L978" s="45" t="str">
        <f aca="false">IF($K978="","","1:"&amp;$K978)</f>
        <v/>
      </c>
      <c r="M978" s="46"/>
      <c r="N978" s="53"/>
      <c r="O978" s="46"/>
      <c r="P978" s="47"/>
      <c r="Q978" s="48"/>
      <c r="R978" s="49"/>
      <c r="S978" s="54" t="str">
        <f aca="false">IF(OR($AC978=0,$U978="",$M978="",$V978="",$W978=""),"",IF(COUNTIFS(m_teacher,$M978,m_date,$U978,m_active,1,m_start,"&lt;"&amp;$W978,m_end,"&gt;"&amp;$V978)&gt;1,"충돌",""))</f>
        <v/>
      </c>
      <c r="T978" s="48"/>
      <c r="U978" s="55" t="str">
        <f aca="false">IF($G978="","",IFERROR(IF(ISNUMBER($G978),IF($G978&gt;19000000,DATE(INT($G978/10000),MOD(INT($G978/100),100),MOD($G978,100)),INT($G978)),IF(LEN(SUBSTITUTE(SUBSTITUTE(SUBSTITUTE(TRIM($G978),"-",""),".",""),"/",""))=8,DATE(VALUE(LEFT(SUBSTITUTE(SUBSTITUTE(SUBSTITUTE(TRIM($G978),"-",""),".",""),"/",""),4)),VALUE(MID(SUBSTITUTE(SUBSTITUTE(SUBSTITUTE(TRIM($G978),"-",""),".",""),"/",""),5,2)),VALUE(RIGHT(SUBSTITUTE(SUBSTITUTE(SUBSTITUTE(TRIM($G978),"-",""),".",""),"/",""),2))),DATEVALUE($G978))),""))</f>
        <v/>
      </c>
      <c r="V978" s="52" t="str">
        <f aca="false">IF($H978="","",IFERROR(IF(IF(ISNUMBER($H978),$H978,IFERROR(TIMEVALUE($H978),VALUE($H978)))&gt;=100,INT(IF(ISNUMBER($H978),$H978,IFERROR(TIMEVALUE($H978),VALUE($H978)))/100)*60+MOD(IF(ISNUMBER($H978),$H978,IFERROR(TIMEVALUE($H978),VALUE($H978))),100),IF(IF(ISNUMBER($H978),$H978,IFERROR(TIMEVALUE($H978),VALUE($H978)))&gt;=1,ROUND(IF(ISNUMBER($H978),$H978,IFERROR(TIMEVALUE($H978),VALUE($H978)))*60,0),ROUND(MOD(IF(ISNUMBER($H978),$H978,IFERROR(TIMEVALUE($H978),VALUE($H978))),1)*1440,0))),""))</f>
        <v/>
      </c>
      <c r="W978" s="52" t="str">
        <f aca="false">IF($I978="","",IFERROR(IF(IF(ISNUMBER($I978),$I978,IFERROR(TIMEVALUE($I978),VALUE($I978)))&gt;=100,INT(IF(ISNUMBER($I978),$I978,IFERROR(TIMEVALUE($I978),VALUE($I978)))/100)*60+MOD(IF(ISNUMBER($I978),$I978,IFERROR(TIMEVALUE($I978),VALUE($I978))),100),IF(IF(ISNUMBER($I978),$I978,IFERROR(TIMEVALUE($I978),VALUE($I978)))&gt;=1,ROUND(IF(ISNUMBER($I978),$I978,IFERROR(TIMEVALUE($I978),VALUE($I978)))*60,0),ROUND(MOD(IF(ISNUMBER($I978),$I978,IFERROR(TIMEVALUE($I978),VALUE($I978))),1)*1440,0))),""))</f>
        <v/>
      </c>
      <c r="X978" s="55" t="str">
        <f aca="false">IF($P978="","",IFERROR(IF(ISNUMBER($P978),IF($P978&gt;19000000,DATE(INT($P978/10000),MOD(INT($P978/100),100),MOD($P978,100)),INT($P978)),IF(LEN(SUBSTITUTE(SUBSTITUTE(SUBSTITUTE(TRIM($P978),"-",""),".",""),"/",""))=8,DATE(VALUE(LEFT(SUBSTITUTE(SUBSTITUTE(SUBSTITUTE(TRIM($P978),"-",""),".",""),"/",""),4)),VALUE(MID(SUBSTITUTE(SUBSTITUTE(SUBSTITUTE(TRIM($P978),"-",""),".",""),"/",""),5,2)),VALUE(RIGHT(SUBSTITUTE(SUBSTITUTE(SUBSTITUTE(TRIM($P978),"-",""),".",""),"/",""),2))),DATEVALUE($P978))),""))</f>
        <v/>
      </c>
      <c r="Y978" s="56" t="str">
        <f aca="false">IF($M978="","",IFERROR(INDEX(강사DB!$D$4:$D$53,MATCH($M978,강사DB!$A$4:$A$53,0)),""))</f>
        <v/>
      </c>
      <c r="Z978" s="56" t="str">
        <f aca="false">IF($B978&lt;&gt;"결제완료","",IF(OR($Y978="",$J978=""),"",$Y978*$J978+MAX(0,N($K978)-1)*설정!$J$7))</f>
        <v/>
      </c>
      <c r="AA978" s="56" t="str">
        <f aca="false">IF(AND($D978&lt;&gt;"",$B978="결제완료"),N($N978),"")</f>
        <v/>
      </c>
      <c r="AB978" s="45" t="str">
        <f aca="false">IF($D978="","",IF($F978&lt;&gt;"",$F978,$D978)&amp;IF($B978="상담중"," (상담)",""))</f>
        <v/>
      </c>
      <c r="AC978" s="45" t="n">
        <f aca="false">IF(AND($D978&lt;&gt;"",OR($B978="결제완료",$B978="상담중")),1,0)</f>
        <v>0</v>
      </c>
      <c r="AD978" s="45" t="n">
        <f aca="false">IF(OR($Z978="",$U978=""),0,IFERROR(IF(COUNTIFS(INDEX(g_grid,0,2*MATCH($M978,강사DB!$A$4:$A$15,0)),"&lt;&gt;",g_s,"&lt;="&amp;$U978,g_e,"&gt;="&amp;$U978)&gt;0,1,0),0))</f>
        <v>0</v>
      </c>
      <c r="AE978" s="48"/>
      <c r="AF978" s="56" t="str">
        <f aca="false">IF(AND($D978&lt;&gt;"",$B978="결제완료",$T978="대여"),설정!$J$5,"")</f>
        <v/>
      </c>
      <c r="AG978" s="54" t="str">
        <f aca="false">IF($D978="","",IF(AND($E978="",$R978=""),$AB978,"☎ "&amp;IF($E978="","-",$E978)&amp;IF($R978&lt;&gt;"","  ※ "&amp;$R978,"")&amp;IF($B978="상담중"," (상담)","")))</f>
        <v/>
      </c>
      <c r="AH978" s="56" t="str">
        <f aca="false">IF(AND($D978&lt;&gt;"",$B978="결제완료",$O978="스마트스토어"),ROUND(N($N978)*설정!$J$6,0),"")</f>
        <v/>
      </c>
      <c r="AI978" s="54" t="str">
        <f aca="false">IF($D978="","",ROW())</f>
        <v/>
      </c>
      <c r="AJ978" s="54" t="n">
        <f aca="false">IF(OR($AC978&lt;&gt;1,$M978=""),0,IF(ISNUMBER(SEARCH("퇴사",IFERROR(INDEX(강사DB!$G$4:$G$53,MATCH($M978,강사DB!$A$4:$A$53,0)),""))),1,0))</f>
        <v>0</v>
      </c>
    </row>
    <row r="979" customFormat="false" ht="15" hidden="false" customHeight="false" outlineLevel="0" collapsed="false">
      <c r="A979" s="45" t="str">
        <f aca="false">IF($D979="","",COUNTA($D$5:$D979))</f>
        <v/>
      </c>
      <c r="B979" s="46"/>
      <c r="C979" s="47"/>
      <c r="D979" s="48"/>
      <c r="E979" s="48"/>
      <c r="F979" s="49"/>
      <c r="G979" s="47"/>
      <c r="H979" s="50"/>
      <c r="I979" s="50"/>
      <c r="J979" s="51" t="str">
        <f aca="false">IF(OR($V979="",$W979=""),"",ROUND(($W979-$V979)/60,2))</f>
        <v/>
      </c>
      <c r="K979" s="52" t="str">
        <f aca="false">IF($F979="","",LEN($F979)-LEN(SUBSTITUTE($F979,",",""))+1)</f>
        <v/>
      </c>
      <c r="L979" s="45" t="str">
        <f aca="false">IF($K979="","","1:"&amp;$K979)</f>
        <v/>
      </c>
      <c r="M979" s="46"/>
      <c r="N979" s="53"/>
      <c r="O979" s="46"/>
      <c r="P979" s="47"/>
      <c r="Q979" s="48"/>
      <c r="R979" s="49"/>
      <c r="S979" s="54" t="str">
        <f aca="false">IF(OR($AC979=0,$U979="",$M979="",$V979="",$W979=""),"",IF(COUNTIFS(m_teacher,$M979,m_date,$U979,m_active,1,m_start,"&lt;"&amp;$W979,m_end,"&gt;"&amp;$V979)&gt;1,"충돌",""))</f>
        <v/>
      </c>
      <c r="T979" s="48"/>
      <c r="U979" s="55" t="str">
        <f aca="false">IF($G979="","",IFERROR(IF(ISNUMBER($G979),IF($G979&gt;19000000,DATE(INT($G979/10000),MOD(INT($G979/100),100),MOD($G979,100)),INT($G979)),IF(LEN(SUBSTITUTE(SUBSTITUTE(SUBSTITUTE(TRIM($G979),"-",""),".",""),"/",""))=8,DATE(VALUE(LEFT(SUBSTITUTE(SUBSTITUTE(SUBSTITUTE(TRIM($G979),"-",""),".",""),"/",""),4)),VALUE(MID(SUBSTITUTE(SUBSTITUTE(SUBSTITUTE(TRIM($G979),"-",""),".",""),"/",""),5,2)),VALUE(RIGHT(SUBSTITUTE(SUBSTITUTE(SUBSTITUTE(TRIM($G979),"-",""),".",""),"/",""),2))),DATEVALUE($G979))),""))</f>
        <v/>
      </c>
      <c r="V979" s="52" t="str">
        <f aca="false">IF($H979="","",IFERROR(IF(IF(ISNUMBER($H979),$H979,IFERROR(TIMEVALUE($H979),VALUE($H979)))&gt;=100,INT(IF(ISNUMBER($H979),$H979,IFERROR(TIMEVALUE($H979),VALUE($H979)))/100)*60+MOD(IF(ISNUMBER($H979),$H979,IFERROR(TIMEVALUE($H979),VALUE($H979))),100),IF(IF(ISNUMBER($H979),$H979,IFERROR(TIMEVALUE($H979),VALUE($H979)))&gt;=1,ROUND(IF(ISNUMBER($H979),$H979,IFERROR(TIMEVALUE($H979),VALUE($H979)))*60,0),ROUND(MOD(IF(ISNUMBER($H979),$H979,IFERROR(TIMEVALUE($H979),VALUE($H979))),1)*1440,0))),""))</f>
        <v/>
      </c>
      <c r="W979" s="52" t="str">
        <f aca="false">IF($I979="","",IFERROR(IF(IF(ISNUMBER($I979),$I979,IFERROR(TIMEVALUE($I979),VALUE($I979)))&gt;=100,INT(IF(ISNUMBER($I979),$I979,IFERROR(TIMEVALUE($I979),VALUE($I979)))/100)*60+MOD(IF(ISNUMBER($I979),$I979,IFERROR(TIMEVALUE($I979),VALUE($I979))),100),IF(IF(ISNUMBER($I979),$I979,IFERROR(TIMEVALUE($I979),VALUE($I979)))&gt;=1,ROUND(IF(ISNUMBER($I979),$I979,IFERROR(TIMEVALUE($I979),VALUE($I979)))*60,0),ROUND(MOD(IF(ISNUMBER($I979),$I979,IFERROR(TIMEVALUE($I979),VALUE($I979))),1)*1440,0))),""))</f>
        <v/>
      </c>
      <c r="X979" s="55" t="str">
        <f aca="false">IF($P979="","",IFERROR(IF(ISNUMBER($P979),IF($P979&gt;19000000,DATE(INT($P979/10000),MOD(INT($P979/100),100),MOD($P979,100)),INT($P979)),IF(LEN(SUBSTITUTE(SUBSTITUTE(SUBSTITUTE(TRIM($P979),"-",""),".",""),"/",""))=8,DATE(VALUE(LEFT(SUBSTITUTE(SUBSTITUTE(SUBSTITUTE(TRIM($P979),"-",""),".",""),"/",""),4)),VALUE(MID(SUBSTITUTE(SUBSTITUTE(SUBSTITUTE(TRIM($P979),"-",""),".",""),"/",""),5,2)),VALUE(RIGHT(SUBSTITUTE(SUBSTITUTE(SUBSTITUTE(TRIM($P979),"-",""),".",""),"/",""),2))),DATEVALUE($P979))),""))</f>
        <v/>
      </c>
      <c r="Y979" s="56" t="str">
        <f aca="false">IF($M979="","",IFERROR(INDEX(강사DB!$D$4:$D$53,MATCH($M979,강사DB!$A$4:$A$53,0)),""))</f>
        <v/>
      </c>
      <c r="Z979" s="56" t="str">
        <f aca="false">IF($B979&lt;&gt;"결제완료","",IF(OR($Y979="",$J979=""),"",$Y979*$J979+MAX(0,N($K979)-1)*설정!$J$7))</f>
        <v/>
      </c>
      <c r="AA979" s="56" t="str">
        <f aca="false">IF(AND($D979&lt;&gt;"",$B979="결제완료"),N($N979),"")</f>
        <v/>
      </c>
      <c r="AB979" s="45" t="str">
        <f aca="false">IF($D979="","",IF($F979&lt;&gt;"",$F979,$D979)&amp;IF($B979="상담중"," (상담)",""))</f>
        <v/>
      </c>
      <c r="AC979" s="45" t="n">
        <f aca="false">IF(AND($D979&lt;&gt;"",OR($B979="결제완료",$B979="상담중")),1,0)</f>
        <v>0</v>
      </c>
      <c r="AD979" s="45" t="n">
        <f aca="false">IF(OR($Z979="",$U979=""),0,IFERROR(IF(COUNTIFS(INDEX(g_grid,0,2*MATCH($M979,강사DB!$A$4:$A$15,0)),"&lt;&gt;",g_s,"&lt;="&amp;$U979,g_e,"&gt;="&amp;$U979)&gt;0,1,0),0))</f>
        <v>0</v>
      </c>
      <c r="AE979" s="48"/>
      <c r="AF979" s="56" t="str">
        <f aca="false">IF(AND($D979&lt;&gt;"",$B979="결제완료",$T979="대여"),설정!$J$5,"")</f>
        <v/>
      </c>
      <c r="AG979" s="54" t="str">
        <f aca="false">IF($D979="","",IF(AND($E979="",$R979=""),$AB979,"☎ "&amp;IF($E979="","-",$E979)&amp;IF($R979&lt;&gt;"","  ※ "&amp;$R979,"")&amp;IF($B979="상담중"," (상담)","")))</f>
        <v/>
      </c>
      <c r="AH979" s="56" t="str">
        <f aca="false">IF(AND($D979&lt;&gt;"",$B979="결제완료",$O979="스마트스토어"),ROUND(N($N979)*설정!$J$6,0),"")</f>
        <v/>
      </c>
      <c r="AI979" s="54" t="str">
        <f aca="false">IF($D979="","",ROW())</f>
        <v/>
      </c>
      <c r="AJ979" s="54" t="n">
        <f aca="false">IF(OR($AC979&lt;&gt;1,$M979=""),0,IF(ISNUMBER(SEARCH("퇴사",IFERROR(INDEX(강사DB!$G$4:$G$53,MATCH($M979,강사DB!$A$4:$A$53,0)),""))),1,0))</f>
        <v>0</v>
      </c>
    </row>
    <row r="980" customFormat="false" ht="15" hidden="false" customHeight="false" outlineLevel="0" collapsed="false">
      <c r="A980" s="45" t="str">
        <f aca="false">IF($D980="","",COUNTA($D$5:$D980))</f>
        <v/>
      </c>
      <c r="B980" s="46"/>
      <c r="C980" s="47"/>
      <c r="D980" s="48"/>
      <c r="E980" s="48"/>
      <c r="F980" s="49"/>
      <c r="G980" s="47"/>
      <c r="H980" s="50"/>
      <c r="I980" s="50"/>
      <c r="J980" s="51" t="str">
        <f aca="false">IF(OR($V980="",$W980=""),"",ROUND(($W980-$V980)/60,2))</f>
        <v/>
      </c>
      <c r="K980" s="52" t="str">
        <f aca="false">IF($F980="","",LEN($F980)-LEN(SUBSTITUTE($F980,",",""))+1)</f>
        <v/>
      </c>
      <c r="L980" s="45" t="str">
        <f aca="false">IF($K980="","","1:"&amp;$K980)</f>
        <v/>
      </c>
      <c r="M980" s="46"/>
      <c r="N980" s="53"/>
      <c r="O980" s="46"/>
      <c r="P980" s="47"/>
      <c r="Q980" s="48"/>
      <c r="R980" s="49"/>
      <c r="S980" s="54" t="str">
        <f aca="false">IF(OR($AC980=0,$U980="",$M980="",$V980="",$W980=""),"",IF(COUNTIFS(m_teacher,$M980,m_date,$U980,m_active,1,m_start,"&lt;"&amp;$W980,m_end,"&gt;"&amp;$V980)&gt;1,"충돌",""))</f>
        <v/>
      </c>
      <c r="T980" s="48"/>
      <c r="U980" s="55" t="str">
        <f aca="false">IF($G980="","",IFERROR(IF(ISNUMBER($G980),IF($G980&gt;19000000,DATE(INT($G980/10000),MOD(INT($G980/100),100),MOD($G980,100)),INT($G980)),IF(LEN(SUBSTITUTE(SUBSTITUTE(SUBSTITUTE(TRIM($G980),"-",""),".",""),"/",""))=8,DATE(VALUE(LEFT(SUBSTITUTE(SUBSTITUTE(SUBSTITUTE(TRIM($G980),"-",""),".",""),"/",""),4)),VALUE(MID(SUBSTITUTE(SUBSTITUTE(SUBSTITUTE(TRIM($G980),"-",""),".",""),"/",""),5,2)),VALUE(RIGHT(SUBSTITUTE(SUBSTITUTE(SUBSTITUTE(TRIM($G980),"-",""),".",""),"/",""),2))),DATEVALUE($G980))),""))</f>
        <v/>
      </c>
      <c r="V980" s="52" t="str">
        <f aca="false">IF($H980="","",IFERROR(IF(IF(ISNUMBER($H980),$H980,IFERROR(TIMEVALUE($H980),VALUE($H980)))&gt;=100,INT(IF(ISNUMBER($H980),$H980,IFERROR(TIMEVALUE($H980),VALUE($H980)))/100)*60+MOD(IF(ISNUMBER($H980),$H980,IFERROR(TIMEVALUE($H980),VALUE($H980))),100),IF(IF(ISNUMBER($H980),$H980,IFERROR(TIMEVALUE($H980),VALUE($H980)))&gt;=1,ROUND(IF(ISNUMBER($H980),$H980,IFERROR(TIMEVALUE($H980),VALUE($H980)))*60,0),ROUND(MOD(IF(ISNUMBER($H980),$H980,IFERROR(TIMEVALUE($H980),VALUE($H980))),1)*1440,0))),""))</f>
        <v/>
      </c>
      <c r="W980" s="52" t="str">
        <f aca="false">IF($I980="","",IFERROR(IF(IF(ISNUMBER($I980),$I980,IFERROR(TIMEVALUE($I980),VALUE($I980)))&gt;=100,INT(IF(ISNUMBER($I980),$I980,IFERROR(TIMEVALUE($I980),VALUE($I980)))/100)*60+MOD(IF(ISNUMBER($I980),$I980,IFERROR(TIMEVALUE($I980),VALUE($I980))),100),IF(IF(ISNUMBER($I980),$I980,IFERROR(TIMEVALUE($I980),VALUE($I980)))&gt;=1,ROUND(IF(ISNUMBER($I980),$I980,IFERROR(TIMEVALUE($I980),VALUE($I980)))*60,0),ROUND(MOD(IF(ISNUMBER($I980),$I980,IFERROR(TIMEVALUE($I980),VALUE($I980))),1)*1440,0))),""))</f>
        <v/>
      </c>
      <c r="X980" s="55" t="str">
        <f aca="false">IF($P980="","",IFERROR(IF(ISNUMBER($P980),IF($P980&gt;19000000,DATE(INT($P980/10000),MOD(INT($P980/100),100),MOD($P980,100)),INT($P980)),IF(LEN(SUBSTITUTE(SUBSTITUTE(SUBSTITUTE(TRIM($P980),"-",""),".",""),"/",""))=8,DATE(VALUE(LEFT(SUBSTITUTE(SUBSTITUTE(SUBSTITUTE(TRIM($P980),"-",""),".",""),"/",""),4)),VALUE(MID(SUBSTITUTE(SUBSTITUTE(SUBSTITUTE(TRIM($P980),"-",""),".",""),"/",""),5,2)),VALUE(RIGHT(SUBSTITUTE(SUBSTITUTE(SUBSTITUTE(TRIM($P980),"-",""),".",""),"/",""),2))),DATEVALUE($P980))),""))</f>
        <v/>
      </c>
      <c r="Y980" s="56" t="str">
        <f aca="false">IF($M980="","",IFERROR(INDEX(강사DB!$D$4:$D$53,MATCH($M980,강사DB!$A$4:$A$53,0)),""))</f>
        <v/>
      </c>
      <c r="Z980" s="56" t="str">
        <f aca="false">IF($B980&lt;&gt;"결제완료","",IF(OR($Y980="",$J980=""),"",$Y980*$J980+MAX(0,N($K980)-1)*설정!$J$7))</f>
        <v/>
      </c>
      <c r="AA980" s="56" t="str">
        <f aca="false">IF(AND($D980&lt;&gt;"",$B980="결제완료"),N($N980),"")</f>
        <v/>
      </c>
      <c r="AB980" s="45" t="str">
        <f aca="false">IF($D980="","",IF($F980&lt;&gt;"",$F980,$D980)&amp;IF($B980="상담중"," (상담)",""))</f>
        <v/>
      </c>
      <c r="AC980" s="45" t="n">
        <f aca="false">IF(AND($D980&lt;&gt;"",OR($B980="결제완료",$B980="상담중")),1,0)</f>
        <v>0</v>
      </c>
      <c r="AD980" s="45" t="n">
        <f aca="false">IF(OR($Z980="",$U980=""),0,IFERROR(IF(COUNTIFS(INDEX(g_grid,0,2*MATCH($M980,강사DB!$A$4:$A$15,0)),"&lt;&gt;",g_s,"&lt;="&amp;$U980,g_e,"&gt;="&amp;$U980)&gt;0,1,0),0))</f>
        <v>0</v>
      </c>
      <c r="AE980" s="48"/>
      <c r="AF980" s="56" t="str">
        <f aca="false">IF(AND($D980&lt;&gt;"",$B980="결제완료",$T980="대여"),설정!$J$5,"")</f>
        <v/>
      </c>
      <c r="AG980" s="54" t="str">
        <f aca="false">IF($D980="","",IF(AND($E980="",$R980=""),$AB980,"☎ "&amp;IF($E980="","-",$E980)&amp;IF($R980&lt;&gt;"","  ※ "&amp;$R980,"")&amp;IF($B980="상담중"," (상담)","")))</f>
        <v/>
      </c>
      <c r="AH980" s="56" t="str">
        <f aca="false">IF(AND($D980&lt;&gt;"",$B980="결제완료",$O980="스마트스토어"),ROUND(N($N980)*설정!$J$6,0),"")</f>
        <v/>
      </c>
      <c r="AI980" s="54" t="str">
        <f aca="false">IF($D980="","",ROW())</f>
        <v/>
      </c>
      <c r="AJ980" s="54" t="n">
        <f aca="false">IF(OR($AC980&lt;&gt;1,$M980=""),0,IF(ISNUMBER(SEARCH("퇴사",IFERROR(INDEX(강사DB!$G$4:$G$53,MATCH($M980,강사DB!$A$4:$A$53,0)),""))),1,0))</f>
        <v>0</v>
      </c>
    </row>
    <row r="981" customFormat="false" ht="15" hidden="false" customHeight="false" outlineLevel="0" collapsed="false">
      <c r="A981" s="45" t="str">
        <f aca="false">IF($D981="","",COUNTA($D$5:$D981))</f>
        <v/>
      </c>
      <c r="B981" s="46"/>
      <c r="C981" s="47"/>
      <c r="D981" s="48"/>
      <c r="E981" s="48"/>
      <c r="F981" s="49"/>
      <c r="G981" s="47"/>
      <c r="H981" s="50"/>
      <c r="I981" s="50"/>
      <c r="J981" s="51" t="str">
        <f aca="false">IF(OR($V981="",$W981=""),"",ROUND(($W981-$V981)/60,2))</f>
        <v/>
      </c>
      <c r="K981" s="52" t="str">
        <f aca="false">IF($F981="","",LEN($F981)-LEN(SUBSTITUTE($F981,",",""))+1)</f>
        <v/>
      </c>
      <c r="L981" s="45" t="str">
        <f aca="false">IF($K981="","","1:"&amp;$K981)</f>
        <v/>
      </c>
      <c r="M981" s="46"/>
      <c r="N981" s="53"/>
      <c r="O981" s="46"/>
      <c r="P981" s="47"/>
      <c r="Q981" s="48"/>
      <c r="R981" s="49"/>
      <c r="S981" s="54" t="str">
        <f aca="false">IF(OR($AC981=0,$U981="",$M981="",$V981="",$W981=""),"",IF(COUNTIFS(m_teacher,$M981,m_date,$U981,m_active,1,m_start,"&lt;"&amp;$W981,m_end,"&gt;"&amp;$V981)&gt;1,"충돌",""))</f>
        <v/>
      </c>
      <c r="T981" s="48"/>
      <c r="U981" s="55" t="str">
        <f aca="false">IF($G981="","",IFERROR(IF(ISNUMBER($G981),IF($G981&gt;19000000,DATE(INT($G981/10000),MOD(INT($G981/100),100),MOD($G981,100)),INT($G981)),IF(LEN(SUBSTITUTE(SUBSTITUTE(SUBSTITUTE(TRIM($G981),"-",""),".",""),"/",""))=8,DATE(VALUE(LEFT(SUBSTITUTE(SUBSTITUTE(SUBSTITUTE(TRIM($G981),"-",""),".",""),"/",""),4)),VALUE(MID(SUBSTITUTE(SUBSTITUTE(SUBSTITUTE(TRIM($G981),"-",""),".",""),"/",""),5,2)),VALUE(RIGHT(SUBSTITUTE(SUBSTITUTE(SUBSTITUTE(TRIM($G981),"-",""),".",""),"/",""),2))),DATEVALUE($G981))),""))</f>
        <v/>
      </c>
      <c r="V981" s="52" t="str">
        <f aca="false">IF($H981="","",IFERROR(IF(IF(ISNUMBER($H981),$H981,IFERROR(TIMEVALUE($H981),VALUE($H981)))&gt;=100,INT(IF(ISNUMBER($H981),$H981,IFERROR(TIMEVALUE($H981),VALUE($H981)))/100)*60+MOD(IF(ISNUMBER($H981),$H981,IFERROR(TIMEVALUE($H981),VALUE($H981))),100),IF(IF(ISNUMBER($H981),$H981,IFERROR(TIMEVALUE($H981),VALUE($H981)))&gt;=1,ROUND(IF(ISNUMBER($H981),$H981,IFERROR(TIMEVALUE($H981),VALUE($H981)))*60,0),ROUND(MOD(IF(ISNUMBER($H981),$H981,IFERROR(TIMEVALUE($H981),VALUE($H981))),1)*1440,0))),""))</f>
        <v/>
      </c>
      <c r="W981" s="52" t="str">
        <f aca="false">IF($I981="","",IFERROR(IF(IF(ISNUMBER($I981),$I981,IFERROR(TIMEVALUE($I981),VALUE($I981)))&gt;=100,INT(IF(ISNUMBER($I981),$I981,IFERROR(TIMEVALUE($I981),VALUE($I981)))/100)*60+MOD(IF(ISNUMBER($I981),$I981,IFERROR(TIMEVALUE($I981),VALUE($I981))),100),IF(IF(ISNUMBER($I981),$I981,IFERROR(TIMEVALUE($I981),VALUE($I981)))&gt;=1,ROUND(IF(ISNUMBER($I981),$I981,IFERROR(TIMEVALUE($I981),VALUE($I981)))*60,0),ROUND(MOD(IF(ISNUMBER($I981),$I981,IFERROR(TIMEVALUE($I981),VALUE($I981))),1)*1440,0))),""))</f>
        <v/>
      </c>
      <c r="X981" s="55" t="str">
        <f aca="false">IF($P981="","",IFERROR(IF(ISNUMBER($P981),IF($P981&gt;19000000,DATE(INT($P981/10000),MOD(INT($P981/100),100),MOD($P981,100)),INT($P981)),IF(LEN(SUBSTITUTE(SUBSTITUTE(SUBSTITUTE(TRIM($P981),"-",""),".",""),"/",""))=8,DATE(VALUE(LEFT(SUBSTITUTE(SUBSTITUTE(SUBSTITUTE(TRIM($P981),"-",""),".",""),"/",""),4)),VALUE(MID(SUBSTITUTE(SUBSTITUTE(SUBSTITUTE(TRIM($P981),"-",""),".",""),"/",""),5,2)),VALUE(RIGHT(SUBSTITUTE(SUBSTITUTE(SUBSTITUTE(TRIM($P981),"-",""),".",""),"/",""),2))),DATEVALUE($P981))),""))</f>
        <v/>
      </c>
      <c r="Y981" s="56" t="str">
        <f aca="false">IF($M981="","",IFERROR(INDEX(강사DB!$D$4:$D$53,MATCH($M981,강사DB!$A$4:$A$53,0)),""))</f>
        <v/>
      </c>
      <c r="Z981" s="56" t="str">
        <f aca="false">IF($B981&lt;&gt;"결제완료","",IF(OR($Y981="",$J981=""),"",$Y981*$J981+MAX(0,N($K981)-1)*설정!$J$7))</f>
        <v/>
      </c>
      <c r="AA981" s="56" t="str">
        <f aca="false">IF(AND($D981&lt;&gt;"",$B981="결제완료"),N($N981),"")</f>
        <v/>
      </c>
      <c r="AB981" s="45" t="str">
        <f aca="false">IF($D981="","",IF($F981&lt;&gt;"",$F981,$D981)&amp;IF($B981="상담중"," (상담)",""))</f>
        <v/>
      </c>
      <c r="AC981" s="45" t="n">
        <f aca="false">IF(AND($D981&lt;&gt;"",OR($B981="결제완료",$B981="상담중")),1,0)</f>
        <v>0</v>
      </c>
      <c r="AD981" s="45" t="n">
        <f aca="false">IF(OR($Z981="",$U981=""),0,IFERROR(IF(COUNTIFS(INDEX(g_grid,0,2*MATCH($M981,강사DB!$A$4:$A$15,0)),"&lt;&gt;",g_s,"&lt;="&amp;$U981,g_e,"&gt;="&amp;$U981)&gt;0,1,0),0))</f>
        <v>0</v>
      </c>
      <c r="AE981" s="48"/>
      <c r="AF981" s="56" t="str">
        <f aca="false">IF(AND($D981&lt;&gt;"",$B981="결제완료",$T981="대여"),설정!$J$5,"")</f>
        <v/>
      </c>
      <c r="AG981" s="54" t="str">
        <f aca="false">IF($D981="","",IF(AND($E981="",$R981=""),$AB981,"☎ "&amp;IF($E981="","-",$E981)&amp;IF($R981&lt;&gt;"","  ※ "&amp;$R981,"")&amp;IF($B981="상담중"," (상담)","")))</f>
        <v/>
      </c>
      <c r="AH981" s="56" t="str">
        <f aca="false">IF(AND($D981&lt;&gt;"",$B981="결제완료",$O981="스마트스토어"),ROUND(N($N981)*설정!$J$6,0),"")</f>
        <v/>
      </c>
      <c r="AI981" s="54" t="str">
        <f aca="false">IF($D981="","",ROW())</f>
        <v/>
      </c>
      <c r="AJ981" s="54" t="n">
        <f aca="false">IF(OR($AC981&lt;&gt;1,$M981=""),0,IF(ISNUMBER(SEARCH("퇴사",IFERROR(INDEX(강사DB!$G$4:$G$53,MATCH($M981,강사DB!$A$4:$A$53,0)),""))),1,0))</f>
        <v>0</v>
      </c>
    </row>
    <row r="982" customFormat="false" ht="15" hidden="false" customHeight="false" outlineLevel="0" collapsed="false">
      <c r="A982" s="45" t="str">
        <f aca="false">IF($D982="","",COUNTA($D$5:$D982))</f>
        <v/>
      </c>
      <c r="B982" s="46"/>
      <c r="C982" s="47"/>
      <c r="D982" s="48"/>
      <c r="E982" s="48"/>
      <c r="F982" s="49"/>
      <c r="G982" s="47"/>
      <c r="H982" s="50"/>
      <c r="I982" s="50"/>
      <c r="J982" s="51" t="str">
        <f aca="false">IF(OR($V982="",$W982=""),"",ROUND(($W982-$V982)/60,2))</f>
        <v/>
      </c>
      <c r="K982" s="52" t="str">
        <f aca="false">IF($F982="","",LEN($F982)-LEN(SUBSTITUTE($F982,",",""))+1)</f>
        <v/>
      </c>
      <c r="L982" s="45" t="str">
        <f aca="false">IF($K982="","","1:"&amp;$K982)</f>
        <v/>
      </c>
      <c r="M982" s="46"/>
      <c r="N982" s="53"/>
      <c r="O982" s="46"/>
      <c r="P982" s="47"/>
      <c r="Q982" s="48"/>
      <c r="R982" s="49"/>
      <c r="S982" s="54" t="str">
        <f aca="false">IF(OR($AC982=0,$U982="",$M982="",$V982="",$W982=""),"",IF(COUNTIFS(m_teacher,$M982,m_date,$U982,m_active,1,m_start,"&lt;"&amp;$W982,m_end,"&gt;"&amp;$V982)&gt;1,"충돌",""))</f>
        <v/>
      </c>
      <c r="T982" s="48"/>
      <c r="U982" s="55" t="str">
        <f aca="false">IF($G982="","",IFERROR(IF(ISNUMBER($G982),IF($G982&gt;19000000,DATE(INT($G982/10000),MOD(INT($G982/100),100),MOD($G982,100)),INT($G982)),IF(LEN(SUBSTITUTE(SUBSTITUTE(SUBSTITUTE(TRIM($G982),"-",""),".",""),"/",""))=8,DATE(VALUE(LEFT(SUBSTITUTE(SUBSTITUTE(SUBSTITUTE(TRIM($G982),"-",""),".",""),"/",""),4)),VALUE(MID(SUBSTITUTE(SUBSTITUTE(SUBSTITUTE(TRIM($G982),"-",""),".",""),"/",""),5,2)),VALUE(RIGHT(SUBSTITUTE(SUBSTITUTE(SUBSTITUTE(TRIM($G982),"-",""),".",""),"/",""),2))),DATEVALUE($G982))),""))</f>
        <v/>
      </c>
      <c r="V982" s="52" t="str">
        <f aca="false">IF($H982="","",IFERROR(IF(IF(ISNUMBER($H982),$H982,IFERROR(TIMEVALUE($H982),VALUE($H982)))&gt;=100,INT(IF(ISNUMBER($H982),$H982,IFERROR(TIMEVALUE($H982),VALUE($H982)))/100)*60+MOD(IF(ISNUMBER($H982),$H982,IFERROR(TIMEVALUE($H982),VALUE($H982))),100),IF(IF(ISNUMBER($H982),$H982,IFERROR(TIMEVALUE($H982),VALUE($H982)))&gt;=1,ROUND(IF(ISNUMBER($H982),$H982,IFERROR(TIMEVALUE($H982),VALUE($H982)))*60,0),ROUND(MOD(IF(ISNUMBER($H982),$H982,IFERROR(TIMEVALUE($H982),VALUE($H982))),1)*1440,0))),""))</f>
        <v/>
      </c>
      <c r="W982" s="52" t="str">
        <f aca="false">IF($I982="","",IFERROR(IF(IF(ISNUMBER($I982),$I982,IFERROR(TIMEVALUE($I982),VALUE($I982)))&gt;=100,INT(IF(ISNUMBER($I982),$I982,IFERROR(TIMEVALUE($I982),VALUE($I982)))/100)*60+MOD(IF(ISNUMBER($I982),$I982,IFERROR(TIMEVALUE($I982),VALUE($I982))),100),IF(IF(ISNUMBER($I982),$I982,IFERROR(TIMEVALUE($I982),VALUE($I982)))&gt;=1,ROUND(IF(ISNUMBER($I982),$I982,IFERROR(TIMEVALUE($I982),VALUE($I982)))*60,0),ROUND(MOD(IF(ISNUMBER($I982),$I982,IFERROR(TIMEVALUE($I982),VALUE($I982))),1)*1440,0))),""))</f>
        <v/>
      </c>
      <c r="X982" s="55" t="str">
        <f aca="false">IF($P982="","",IFERROR(IF(ISNUMBER($P982),IF($P982&gt;19000000,DATE(INT($P982/10000),MOD(INT($P982/100),100),MOD($P982,100)),INT($P982)),IF(LEN(SUBSTITUTE(SUBSTITUTE(SUBSTITUTE(TRIM($P982),"-",""),".",""),"/",""))=8,DATE(VALUE(LEFT(SUBSTITUTE(SUBSTITUTE(SUBSTITUTE(TRIM($P982),"-",""),".",""),"/",""),4)),VALUE(MID(SUBSTITUTE(SUBSTITUTE(SUBSTITUTE(TRIM($P982),"-",""),".",""),"/",""),5,2)),VALUE(RIGHT(SUBSTITUTE(SUBSTITUTE(SUBSTITUTE(TRIM($P982),"-",""),".",""),"/",""),2))),DATEVALUE($P982))),""))</f>
        <v/>
      </c>
      <c r="Y982" s="56" t="str">
        <f aca="false">IF($M982="","",IFERROR(INDEX(강사DB!$D$4:$D$53,MATCH($M982,강사DB!$A$4:$A$53,0)),""))</f>
        <v/>
      </c>
      <c r="Z982" s="56" t="str">
        <f aca="false">IF($B982&lt;&gt;"결제완료","",IF(OR($Y982="",$J982=""),"",$Y982*$J982+MAX(0,N($K982)-1)*설정!$J$7))</f>
        <v/>
      </c>
      <c r="AA982" s="56" t="str">
        <f aca="false">IF(AND($D982&lt;&gt;"",$B982="결제완료"),N($N982),"")</f>
        <v/>
      </c>
      <c r="AB982" s="45" t="str">
        <f aca="false">IF($D982="","",IF($F982&lt;&gt;"",$F982,$D982)&amp;IF($B982="상담중"," (상담)",""))</f>
        <v/>
      </c>
      <c r="AC982" s="45" t="n">
        <f aca="false">IF(AND($D982&lt;&gt;"",OR($B982="결제완료",$B982="상담중")),1,0)</f>
        <v>0</v>
      </c>
      <c r="AD982" s="45" t="n">
        <f aca="false">IF(OR($Z982="",$U982=""),0,IFERROR(IF(COUNTIFS(INDEX(g_grid,0,2*MATCH($M982,강사DB!$A$4:$A$15,0)),"&lt;&gt;",g_s,"&lt;="&amp;$U982,g_e,"&gt;="&amp;$U982)&gt;0,1,0),0))</f>
        <v>0</v>
      </c>
      <c r="AE982" s="48"/>
      <c r="AF982" s="56" t="str">
        <f aca="false">IF(AND($D982&lt;&gt;"",$B982="결제완료",$T982="대여"),설정!$J$5,"")</f>
        <v/>
      </c>
      <c r="AG982" s="54" t="str">
        <f aca="false">IF($D982="","",IF(AND($E982="",$R982=""),$AB982,"☎ "&amp;IF($E982="","-",$E982)&amp;IF($R982&lt;&gt;"","  ※ "&amp;$R982,"")&amp;IF($B982="상담중"," (상담)","")))</f>
        <v/>
      </c>
      <c r="AH982" s="56" t="str">
        <f aca="false">IF(AND($D982&lt;&gt;"",$B982="결제완료",$O982="스마트스토어"),ROUND(N($N982)*설정!$J$6,0),"")</f>
        <v/>
      </c>
      <c r="AI982" s="54" t="str">
        <f aca="false">IF($D982="","",ROW())</f>
        <v/>
      </c>
      <c r="AJ982" s="54" t="n">
        <f aca="false">IF(OR($AC982&lt;&gt;1,$M982=""),0,IF(ISNUMBER(SEARCH("퇴사",IFERROR(INDEX(강사DB!$G$4:$G$53,MATCH($M982,강사DB!$A$4:$A$53,0)),""))),1,0))</f>
        <v>0</v>
      </c>
    </row>
    <row r="983" customFormat="false" ht="15" hidden="false" customHeight="false" outlineLevel="0" collapsed="false">
      <c r="A983" s="45" t="str">
        <f aca="false">IF($D983="","",COUNTA($D$5:$D983))</f>
        <v/>
      </c>
      <c r="B983" s="46"/>
      <c r="C983" s="47"/>
      <c r="D983" s="48"/>
      <c r="E983" s="48"/>
      <c r="F983" s="49"/>
      <c r="G983" s="47"/>
      <c r="H983" s="50"/>
      <c r="I983" s="50"/>
      <c r="J983" s="51" t="str">
        <f aca="false">IF(OR($V983="",$W983=""),"",ROUND(($W983-$V983)/60,2))</f>
        <v/>
      </c>
      <c r="K983" s="52" t="str">
        <f aca="false">IF($F983="","",LEN($F983)-LEN(SUBSTITUTE($F983,",",""))+1)</f>
        <v/>
      </c>
      <c r="L983" s="45" t="str">
        <f aca="false">IF($K983="","","1:"&amp;$K983)</f>
        <v/>
      </c>
      <c r="M983" s="46"/>
      <c r="N983" s="53"/>
      <c r="O983" s="46"/>
      <c r="P983" s="47"/>
      <c r="Q983" s="48"/>
      <c r="R983" s="49"/>
      <c r="S983" s="54" t="str">
        <f aca="false">IF(OR($AC983=0,$U983="",$M983="",$V983="",$W983=""),"",IF(COUNTIFS(m_teacher,$M983,m_date,$U983,m_active,1,m_start,"&lt;"&amp;$W983,m_end,"&gt;"&amp;$V983)&gt;1,"충돌",""))</f>
        <v/>
      </c>
      <c r="T983" s="48"/>
      <c r="U983" s="55" t="str">
        <f aca="false">IF($G983="","",IFERROR(IF(ISNUMBER($G983),IF($G983&gt;19000000,DATE(INT($G983/10000),MOD(INT($G983/100),100),MOD($G983,100)),INT($G983)),IF(LEN(SUBSTITUTE(SUBSTITUTE(SUBSTITUTE(TRIM($G983),"-",""),".",""),"/",""))=8,DATE(VALUE(LEFT(SUBSTITUTE(SUBSTITUTE(SUBSTITUTE(TRIM($G983),"-",""),".",""),"/",""),4)),VALUE(MID(SUBSTITUTE(SUBSTITUTE(SUBSTITUTE(TRIM($G983),"-",""),".",""),"/",""),5,2)),VALUE(RIGHT(SUBSTITUTE(SUBSTITUTE(SUBSTITUTE(TRIM($G983),"-",""),".",""),"/",""),2))),DATEVALUE($G983))),""))</f>
        <v/>
      </c>
      <c r="V983" s="52" t="str">
        <f aca="false">IF($H983="","",IFERROR(IF(IF(ISNUMBER($H983),$H983,IFERROR(TIMEVALUE($H983),VALUE($H983)))&gt;=100,INT(IF(ISNUMBER($H983),$H983,IFERROR(TIMEVALUE($H983),VALUE($H983)))/100)*60+MOD(IF(ISNUMBER($H983),$H983,IFERROR(TIMEVALUE($H983),VALUE($H983))),100),IF(IF(ISNUMBER($H983),$H983,IFERROR(TIMEVALUE($H983),VALUE($H983)))&gt;=1,ROUND(IF(ISNUMBER($H983),$H983,IFERROR(TIMEVALUE($H983),VALUE($H983)))*60,0),ROUND(MOD(IF(ISNUMBER($H983),$H983,IFERROR(TIMEVALUE($H983),VALUE($H983))),1)*1440,0))),""))</f>
        <v/>
      </c>
      <c r="W983" s="52" t="str">
        <f aca="false">IF($I983="","",IFERROR(IF(IF(ISNUMBER($I983),$I983,IFERROR(TIMEVALUE($I983),VALUE($I983)))&gt;=100,INT(IF(ISNUMBER($I983),$I983,IFERROR(TIMEVALUE($I983),VALUE($I983)))/100)*60+MOD(IF(ISNUMBER($I983),$I983,IFERROR(TIMEVALUE($I983),VALUE($I983))),100),IF(IF(ISNUMBER($I983),$I983,IFERROR(TIMEVALUE($I983),VALUE($I983)))&gt;=1,ROUND(IF(ISNUMBER($I983),$I983,IFERROR(TIMEVALUE($I983),VALUE($I983)))*60,0),ROUND(MOD(IF(ISNUMBER($I983),$I983,IFERROR(TIMEVALUE($I983),VALUE($I983))),1)*1440,0))),""))</f>
        <v/>
      </c>
      <c r="X983" s="55" t="str">
        <f aca="false">IF($P983="","",IFERROR(IF(ISNUMBER($P983),IF($P983&gt;19000000,DATE(INT($P983/10000),MOD(INT($P983/100),100),MOD($P983,100)),INT($P983)),IF(LEN(SUBSTITUTE(SUBSTITUTE(SUBSTITUTE(TRIM($P983),"-",""),".",""),"/",""))=8,DATE(VALUE(LEFT(SUBSTITUTE(SUBSTITUTE(SUBSTITUTE(TRIM($P983),"-",""),".",""),"/",""),4)),VALUE(MID(SUBSTITUTE(SUBSTITUTE(SUBSTITUTE(TRIM($P983),"-",""),".",""),"/",""),5,2)),VALUE(RIGHT(SUBSTITUTE(SUBSTITUTE(SUBSTITUTE(TRIM($P983),"-",""),".",""),"/",""),2))),DATEVALUE($P983))),""))</f>
        <v/>
      </c>
      <c r="Y983" s="56" t="str">
        <f aca="false">IF($M983="","",IFERROR(INDEX(강사DB!$D$4:$D$53,MATCH($M983,강사DB!$A$4:$A$53,0)),""))</f>
        <v/>
      </c>
      <c r="Z983" s="56" t="str">
        <f aca="false">IF($B983&lt;&gt;"결제완료","",IF(OR($Y983="",$J983=""),"",$Y983*$J983+MAX(0,N($K983)-1)*설정!$J$7))</f>
        <v/>
      </c>
      <c r="AA983" s="56" t="str">
        <f aca="false">IF(AND($D983&lt;&gt;"",$B983="결제완료"),N($N983),"")</f>
        <v/>
      </c>
      <c r="AB983" s="45" t="str">
        <f aca="false">IF($D983="","",IF($F983&lt;&gt;"",$F983,$D983)&amp;IF($B983="상담중"," (상담)",""))</f>
        <v/>
      </c>
      <c r="AC983" s="45" t="n">
        <f aca="false">IF(AND($D983&lt;&gt;"",OR($B983="결제완료",$B983="상담중")),1,0)</f>
        <v>0</v>
      </c>
      <c r="AD983" s="45" t="n">
        <f aca="false">IF(OR($Z983="",$U983=""),0,IFERROR(IF(COUNTIFS(INDEX(g_grid,0,2*MATCH($M983,강사DB!$A$4:$A$15,0)),"&lt;&gt;",g_s,"&lt;="&amp;$U983,g_e,"&gt;="&amp;$U983)&gt;0,1,0),0))</f>
        <v>0</v>
      </c>
      <c r="AE983" s="48"/>
      <c r="AF983" s="56" t="str">
        <f aca="false">IF(AND($D983&lt;&gt;"",$B983="결제완료",$T983="대여"),설정!$J$5,"")</f>
        <v/>
      </c>
      <c r="AG983" s="54" t="str">
        <f aca="false">IF($D983="","",IF(AND($E983="",$R983=""),$AB983,"☎ "&amp;IF($E983="","-",$E983)&amp;IF($R983&lt;&gt;"","  ※ "&amp;$R983,"")&amp;IF($B983="상담중"," (상담)","")))</f>
        <v/>
      </c>
      <c r="AH983" s="56" t="str">
        <f aca="false">IF(AND($D983&lt;&gt;"",$B983="결제완료",$O983="스마트스토어"),ROUND(N($N983)*설정!$J$6,0),"")</f>
        <v/>
      </c>
      <c r="AI983" s="54" t="str">
        <f aca="false">IF($D983="","",ROW())</f>
        <v/>
      </c>
      <c r="AJ983" s="54" t="n">
        <f aca="false">IF(OR($AC983&lt;&gt;1,$M983=""),0,IF(ISNUMBER(SEARCH("퇴사",IFERROR(INDEX(강사DB!$G$4:$G$53,MATCH($M983,강사DB!$A$4:$A$53,0)),""))),1,0))</f>
        <v>0</v>
      </c>
    </row>
    <row r="984" customFormat="false" ht="15" hidden="false" customHeight="false" outlineLevel="0" collapsed="false">
      <c r="A984" s="45" t="str">
        <f aca="false">IF($D984="","",COUNTA($D$5:$D984))</f>
        <v/>
      </c>
      <c r="B984" s="46"/>
      <c r="C984" s="47"/>
      <c r="D984" s="48"/>
      <c r="E984" s="48"/>
      <c r="F984" s="49"/>
      <c r="G984" s="47"/>
      <c r="H984" s="50"/>
      <c r="I984" s="50"/>
      <c r="J984" s="51" t="str">
        <f aca="false">IF(OR($V984="",$W984=""),"",ROUND(($W984-$V984)/60,2))</f>
        <v/>
      </c>
      <c r="K984" s="52" t="str">
        <f aca="false">IF($F984="","",LEN($F984)-LEN(SUBSTITUTE($F984,",",""))+1)</f>
        <v/>
      </c>
      <c r="L984" s="45" t="str">
        <f aca="false">IF($K984="","","1:"&amp;$K984)</f>
        <v/>
      </c>
      <c r="M984" s="46"/>
      <c r="N984" s="53"/>
      <c r="O984" s="46"/>
      <c r="P984" s="47"/>
      <c r="Q984" s="48"/>
      <c r="R984" s="49"/>
      <c r="S984" s="54" t="str">
        <f aca="false">IF(OR($AC984=0,$U984="",$M984="",$V984="",$W984=""),"",IF(COUNTIFS(m_teacher,$M984,m_date,$U984,m_active,1,m_start,"&lt;"&amp;$W984,m_end,"&gt;"&amp;$V984)&gt;1,"충돌",""))</f>
        <v/>
      </c>
      <c r="T984" s="48"/>
      <c r="U984" s="55" t="str">
        <f aca="false">IF($G984="","",IFERROR(IF(ISNUMBER($G984),IF($G984&gt;19000000,DATE(INT($G984/10000),MOD(INT($G984/100),100),MOD($G984,100)),INT($G984)),IF(LEN(SUBSTITUTE(SUBSTITUTE(SUBSTITUTE(TRIM($G984),"-",""),".",""),"/",""))=8,DATE(VALUE(LEFT(SUBSTITUTE(SUBSTITUTE(SUBSTITUTE(TRIM($G984),"-",""),".",""),"/",""),4)),VALUE(MID(SUBSTITUTE(SUBSTITUTE(SUBSTITUTE(TRIM($G984),"-",""),".",""),"/",""),5,2)),VALUE(RIGHT(SUBSTITUTE(SUBSTITUTE(SUBSTITUTE(TRIM($G984),"-",""),".",""),"/",""),2))),DATEVALUE($G984))),""))</f>
        <v/>
      </c>
      <c r="V984" s="52" t="str">
        <f aca="false">IF($H984="","",IFERROR(IF(IF(ISNUMBER($H984),$H984,IFERROR(TIMEVALUE($H984),VALUE($H984)))&gt;=100,INT(IF(ISNUMBER($H984),$H984,IFERROR(TIMEVALUE($H984),VALUE($H984)))/100)*60+MOD(IF(ISNUMBER($H984),$H984,IFERROR(TIMEVALUE($H984),VALUE($H984))),100),IF(IF(ISNUMBER($H984),$H984,IFERROR(TIMEVALUE($H984),VALUE($H984)))&gt;=1,ROUND(IF(ISNUMBER($H984),$H984,IFERROR(TIMEVALUE($H984),VALUE($H984)))*60,0),ROUND(MOD(IF(ISNUMBER($H984),$H984,IFERROR(TIMEVALUE($H984),VALUE($H984))),1)*1440,0))),""))</f>
        <v/>
      </c>
      <c r="W984" s="52" t="str">
        <f aca="false">IF($I984="","",IFERROR(IF(IF(ISNUMBER($I984),$I984,IFERROR(TIMEVALUE($I984),VALUE($I984)))&gt;=100,INT(IF(ISNUMBER($I984),$I984,IFERROR(TIMEVALUE($I984),VALUE($I984)))/100)*60+MOD(IF(ISNUMBER($I984),$I984,IFERROR(TIMEVALUE($I984),VALUE($I984))),100),IF(IF(ISNUMBER($I984),$I984,IFERROR(TIMEVALUE($I984),VALUE($I984)))&gt;=1,ROUND(IF(ISNUMBER($I984),$I984,IFERROR(TIMEVALUE($I984),VALUE($I984)))*60,0),ROUND(MOD(IF(ISNUMBER($I984),$I984,IFERROR(TIMEVALUE($I984),VALUE($I984))),1)*1440,0))),""))</f>
        <v/>
      </c>
      <c r="X984" s="55" t="str">
        <f aca="false">IF($P984="","",IFERROR(IF(ISNUMBER($P984),IF($P984&gt;19000000,DATE(INT($P984/10000),MOD(INT($P984/100),100),MOD($P984,100)),INT($P984)),IF(LEN(SUBSTITUTE(SUBSTITUTE(SUBSTITUTE(TRIM($P984),"-",""),".",""),"/",""))=8,DATE(VALUE(LEFT(SUBSTITUTE(SUBSTITUTE(SUBSTITUTE(TRIM($P984),"-",""),".",""),"/",""),4)),VALUE(MID(SUBSTITUTE(SUBSTITUTE(SUBSTITUTE(TRIM($P984),"-",""),".",""),"/",""),5,2)),VALUE(RIGHT(SUBSTITUTE(SUBSTITUTE(SUBSTITUTE(TRIM($P984),"-",""),".",""),"/",""),2))),DATEVALUE($P984))),""))</f>
        <v/>
      </c>
      <c r="Y984" s="56" t="str">
        <f aca="false">IF($M984="","",IFERROR(INDEX(강사DB!$D$4:$D$53,MATCH($M984,강사DB!$A$4:$A$53,0)),""))</f>
        <v/>
      </c>
      <c r="Z984" s="56" t="str">
        <f aca="false">IF($B984&lt;&gt;"결제완료","",IF(OR($Y984="",$J984=""),"",$Y984*$J984+MAX(0,N($K984)-1)*설정!$J$7))</f>
        <v/>
      </c>
      <c r="AA984" s="56" t="str">
        <f aca="false">IF(AND($D984&lt;&gt;"",$B984="결제완료"),N($N984),"")</f>
        <v/>
      </c>
      <c r="AB984" s="45" t="str">
        <f aca="false">IF($D984="","",IF($F984&lt;&gt;"",$F984,$D984)&amp;IF($B984="상담중"," (상담)",""))</f>
        <v/>
      </c>
      <c r="AC984" s="45" t="n">
        <f aca="false">IF(AND($D984&lt;&gt;"",OR($B984="결제완료",$B984="상담중")),1,0)</f>
        <v>0</v>
      </c>
      <c r="AD984" s="45" t="n">
        <f aca="false">IF(OR($Z984="",$U984=""),0,IFERROR(IF(COUNTIFS(INDEX(g_grid,0,2*MATCH($M984,강사DB!$A$4:$A$15,0)),"&lt;&gt;",g_s,"&lt;="&amp;$U984,g_e,"&gt;="&amp;$U984)&gt;0,1,0),0))</f>
        <v>0</v>
      </c>
      <c r="AE984" s="48"/>
      <c r="AF984" s="56" t="str">
        <f aca="false">IF(AND($D984&lt;&gt;"",$B984="결제완료",$T984="대여"),설정!$J$5,"")</f>
        <v/>
      </c>
      <c r="AG984" s="54" t="str">
        <f aca="false">IF($D984="","",IF(AND($E984="",$R984=""),$AB984,"☎ "&amp;IF($E984="","-",$E984)&amp;IF($R984&lt;&gt;"","  ※ "&amp;$R984,"")&amp;IF($B984="상담중"," (상담)","")))</f>
        <v/>
      </c>
      <c r="AH984" s="56" t="str">
        <f aca="false">IF(AND($D984&lt;&gt;"",$B984="결제완료",$O984="스마트스토어"),ROUND(N($N984)*설정!$J$6,0),"")</f>
        <v/>
      </c>
      <c r="AI984" s="54" t="str">
        <f aca="false">IF($D984="","",ROW())</f>
        <v/>
      </c>
      <c r="AJ984" s="54" t="n">
        <f aca="false">IF(OR($AC984&lt;&gt;1,$M984=""),0,IF(ISNUMBER(SEARCH("퇴사",IFERROR(INDEX(강사DB!$G$4:$G$53,MATCH($M984,강사DB!$A$4:$A$53,0)),""))),1,0))</f>
        <v>0</v>
      </c>
    </row>
    <row r="985" customFormat="false" ht="15" hidden="false" customHeight="false" outlineLevel="0" collapsed="false">
      <c r="A985" s="45" t="str">
        <f aca="false">IF($D985="","",COUNTA($D$5:$D985))</f>
        <v/>
      </c>
      <c r="B985" s="46"/>
      <c r="C985" s="47"/>
      <c r="D985" s="48"/>
      <c r="E985" s="48"/>
      <c r="F985" s="49"/>
      <c r="G985" s="47"/>
      <c r="H985" s="50"/>
      <c r="I985" s="50"/>
      <c r="J985" s="51" t="str">
        <f aca="false">IF(OR($V985="",$W985=""),"",ROUND(($W985-$V985)/60,2))</f>
        <v/>
      </c>
      <c r="K985" s="52" t="str">
        <f aca="false">IF($F985="","",LEN($F985)-LEN(SUBSTITUTE($F985,",",""))+1)</f>
        <v/>
      </c>
      <c r="L985" s="45" t="str">
        <f aca="false">IF($K985="","","1:"&amp;$K985)</f>
        <v/>
      </c>
      <c r="M985" s="46"/>
      <c r="N985" s="53"/>
      <c r="O985" s="46"/>
      <c r="P985" s="47"/>
      <c r="Q985" s="48"/>
      <c r="R985" s="49"/>
      <c r="S985" s="54" t="str">
        <f aca="false">IF(OR($AC985=0,$U985="",$M985="",$V985="",$W985=""),"",IF(COUNTIFS(m_teacher,$M985,m_date,$U985,m_active,1,m_start,"&lt;"&amp;$W985,m_end,"&gt;"&amp;$V985)&gt;1,"충돌",""))</f>
        <v/>
      </c>
      <c r="T985" s="48"/>
      <c r="U985" s="55" t="str">
        <f aca="false">IF($G985="","",IFERROR(IF(ISNUMBER($G985),IF($G985&gt;19000000,DATE(INT($G985/10000),MOD(INT($G985/100),100),MOD($G985,100)),INT($G985)),IF(LEN(SUBSTITUTE(SUBSTITUTE(SUBSTITUTE(TRIM($G985),"-",""),".",""),"/",""))=8,DATE(VALUE(LEFT(SUBSTITUTE(SUBSTITUTE(SUBSTITUTE(TRIM($G985),"-",""),".",""),"/",""),4)),VALUE(MID(SUBSTITUTE(SUBSTITUTE(SUBSTITUTE(TRIM($G985),"-",""),".",""),"/",""),5,2)),VALUE(RIGHT(SUBSTITUTE(SUBSTITUTE(SUBSTITUTE(TRIM($G985),"-",""),".",""),"/",""),2))),DATEVALUE($G985))),""))</f>
        <v/>
      </c>
      <c r="V985" s="52" t="str">
        <f aca="false">IF($H985="","",IFERROR(IF(IF(ISNUMBER($H985),$H985,IFERROR(TIMEVALUE($H985),VALUE($H985)))&gt;=100,INT(IF(ISNUMBER($H985),$H985,IFERROR(TIMEVALUE($H985),VALUE($H985)))/100)*60+MOD(IF(ISNUMBER($H985),$H985,IFERROR(TIMEVALUE($H985),VALUE($H985))),100),IF(IF(ISNUMBER($H985),$H985,IFERROR(TIMEVALUE($H985),VALUE($H985)))&gt;=1,ROUND(IF(ISNUMBER($H985),$H985,IFERROR(TIMEVALUE($H985),VALUE($H985)))*60,0),ROUND(MOD(IF(ISNUMBER($H985),$H985,IFERROR(TIMEVALUE($H985),VALUE($H985))),1)*1440,0))),""))</f>
        <v/>
      </c>
      <c r="W985" s="52" t="str">
        <f aca="false">IF($I985="","",IFERROR(IF(IF(ISNUMBER($I985),$I985,IFERROR(TIMEVALUE($I985),VALUE($I985)))&gt;=100,INT(IF(ISNUMBER($I985),$I985,IFERROR(TIMEVALUE($I985),VALUE($I985)))/100)*60+MOD(IF(ISNUMBER($I985),$I985,IFERROR(TIMEVALUE($I985),VALUE($I985))),100),IF(IF(ISNUMBER($I985),$I985,IFERROR(TIMEVALUE($I985),VALUE($I985)))&gt;=1,ROUND(IF(ISNUMBER($I985),$I985,IFERROR(TIMEVALUE($I985),VALUE($I985)))*60,0),ROUND(MOD(IF(ISNUMBER($I985),$I985,IFERROR(TIMEVALUE($I985),VALUE($I985))),1)*1440,0))),""))</f>
        <v/>
      </c>
      <c r="X985" s="55" t="str">
        <f aca="false">IF($P985="","",IFERROR(IF(ISNUMBER($P985),IF($P985&gt;19000000,DATE(INT($P985/10000),MOD(INT($P985/100),100),MOD($P985,100)),INT($P985)),IF(LEN(SUBSTITUTE(SUBSTITUTE(SUBSTITUTE(TRIM($P985),"-",""),".",""),"/",""))=8,DATE(VALUE(LEFT(SUBSTITUTE(SUBSTITUTE(SUBSTITUTE(TRIM($P985),"-",""),".",""),"/",""),4)),VALUE(MID(SUBSTITUTE(SUBSTITUTE(SUBSTITUTE(TRIM($P985),"-",""),".",""),"/",""),5,2)),VALUE(RIGHT(SUBSTITUTE(SUBSTITUTE(SUBSTITUTE(TRIM($P985),"-",""),".",""),"/",""),2))),DATEVALUE($P985))),""))</f>
        <v/>
      </c>
      <c r="Y985" s="56" t="str">
        <f aca="false">IF($M985="","",IFERROR(INDEX(강사DB!$D$4:$D$53,MATCH($M985,강사DB!$A$4:$A$53,0)),""))</f>
        <v/>
      </c>
      <c r="Z985" s="56" t="str">
        <f aca="false">IF($B985&lt;&gt;"결제완료","",IF(OR($Y985="",$J985=""),"",$Y985*$J985+MAX(0,N($K985)-1)*설정!$J$7))</f>
        <v/>
      </c>
      <c r="AA985" s="56" t="str">
        <f aca="false">IF(AND($D985&lt;&gt;"",$B985="결제완료"),N($N985),"")</f>
        <v/>
      </c>
      <c r="AB985" s="45" t="str">
        <f aca="false">IF($D985="","",IF($F985&lt;&gt;"",$F985,$D985)&amp;IF($B985="상담중"," (상담)",""))</f>
        <v/>
      </c>
      <c r="AC985" s="45" t="n">
        <f aca="false">IF(AND($D985&lt;&gt;"",OR($B985="결제완료",$B985="상담중")),1,0)</f>
        <v>0</v>
      </c>
      <c r="AD985" s="45" t="n">
        <f aca="false">IF(OR($Z985="",$U985=""),0,IFERROR(IF(COUNTIFS(INDEX(g_grid,0,2*MATCH($M985,강사DB!$A$4:$A$15,0)),"&lt;&gt;",g_s,"&lt;="&amp;$U985,g_e,"&gt;="&amp;$U985)&gt;0,1,0),0))</f>
        <v>0</v>
      </c>
      <c r="AE985" s="48"/>
      <c r="AF985" s="56" t="str">
        <f aca="false">IF(AND($D985&lt;&gt;"",$B985="결제완료",$T985="대여"),설정!$J$5,"")</f>
        <v/>
      </c>
      <c r="AG985" s="54" t="str">
        <f aca="false">IF($D985="","",IF(AND($E985="",$R985=""),$AB985,"☎ "&amp;IF($E985="","-",$E985)&amp;IF($R985&lt;&gt;"","  ※ "&amp;$R985,"")&amp;IF($B985="상담중"," (상담)","")))</f>
        <v/>
      </c>
      <c r="AH985" s="56" t="str">
        <f aca="false">IF(AND($D985&lt;&gt;"",$B985="결제완료",$O985="스마트스토어"),ROUND(N($N985)*설정!$J$6,0),"")</f>
        <v/>
      </c>
      <c r="AI985" s="54" t="str">
        <f aca="false">IF($D985="","",ROW())</f>
        <v/>
      </c>
      <c r="AJ985" s="54" t="n">
        <f aca="false">IF(OR($AC985&lt;&gt;1,$M985=""),0,IF(ISNUMBER(SEARCH("퇴사",IFERROR(INDEX(강사DB!$G$4:$G$53,MATCH($M985,강사DB!$A$4:$A$53,0)),""))),1,0))</f>
        <v>0</v>
      </c>
    </row>
    <row r="986" customFormat="false" ht="15" hidden="false" customHeight="false" outlineLevel="0" collapsed="false">
      <c r="A986" s="45" t="str">
        <f aca="false">IF($D986="","",COUNTA($D$5:$D986))</f>
        <v/>
      </c>
      <c r="B986" s="46"/>
      <c r="C986" s="47"/>
      <c r="D986" s="48"/>
      <c r="E986" s="48"/>
      <c r="F986" s="49"/>
      <c r="G986" s="47"/>
      <c r="H986" s="50"/>
      <c r="I986" s="50"/>
      <c r="J986" s="51" t="str">
        <f aca="false">IF(OR($V986="",$W986=""),"",ROUND(($W986-$V986)/60,2))</f>
        <v/>
      </c>
      <c r="K986" s="52" t="str">
        <f aca="false">IF($F986="","",LEN($F986)-LEN(SUBSTITUTE($F986,",",""))+1)</f>
        <v/>
      </c>
      <c r="L986" s="45" t="str">
        <f aca="false">IF($K986="","","1:"&amp;$K986)</f>
        <v/>
      </c>
      <c r="M986" s="46"/>
      <c r="N986" s="53"/>
      <c r="O986" s="46"/>
      <c r="P986" s="47"/>
      <c r="Q986" s="48"/>
      <c r="R986" s="49"/>
      <c r="S986" s="54" t="str">
        <f aca="false">IF(OR($AC986=0,$U986="",$M986="",$V986="",$W986=""),"",IF(COUNTIFS(m_teacher,$M986,m_date,$U986,m_active,1,m_start,"&lt;"&amp;$W986,m_end,"&gt;"&amp;$V986)&gt;1,"충돌",""))</f>
        <v/>
      </c>
      <c r="T986" s="48"/>
      <c r="U986" s="55" t="str">
        <f aca="false">IF($G986="","",IFERROR(IF(ISNUMBER($G986),IF($G986&gt;19000000,DATE(INT($G986/10000),MOD(INT($G986/100),100),MOD($G986,100)),INT($G986)),IF(LEN(SUBSTITUTE(SUBSTITUTE(SUBSTITUTE(TRIM($G986),"-",""),".",""),"/",""))=8,DATE(VALUE(LEFT(SUBSTITUTE(SUBSTITUTE(SUBSTITUTE(TRIM($G986),"-",""),".",""),"/",""),4)),VALUE(MID(SUBSTITUTE(SUBSTITUTE(SUBSTITUTE(TRIM($G986),"-",""),".",""),"/",""),5,2)),VALUE(RIGHT(SUBSTITUTE(SUBSTITUTE(SUBSTITUTE(TRIM($G986),"-",""),".",""),"/",""),2))),DATEVALUE($G986))),""))</f>
        <v/>
      </c>
      <c r="V986" s="52" t="str">
        <f aca="false">IF($H986="","",IFERROR(IF(IF(ISNUMBER($H986),$H986,IFERROR(TIMEVALUE($H986),VALUE($H986)))&gt;=100,INT(IF(ISNUMBER($H986),$H986,IFERROR(TIMEVALUE($H986),VALUE($H986)))/100)*60+MOD(IF(ISNUMBER($H986),$H986,IFERROR(TIMEVALUE($H986),VALUE($H986))),100),IF(IF(ISNUMBER($H986),$H986,IFERROR(TIMEVALUE($H986),VALUE($H986)))&gt;=1,ROUND(IF(ISNUMBER($H986),$H986,IFERROR(TIMEVALUE($H986),VALUE($H986)))*60,0),ROUND(MOD(IF(ISNUMBER($H986),$H986,IFERROR(TIMEVALUE($H986),VALUE($H986))),1)*1440,0))),""))</f>
        <v/>
      </c>
      <c r="W986" s="52" t="str">
        <f aca="false">IF($I986="","",IFERROR(IF(IF(ISNUMBER($I986),$I986,IFERROR(TIMEVALUE($I986),VALUE($I986)))&gt;=100,INT(IF(ISNUMBER($I986),$I986,IFERROR(TIMEVALUE($I986),VALUE($I986)))/100)*60+MOD(IF(ISNUMBER($I986),$I986,IFERROR(TIMEVALUE($I986),VALUE($I986))),100),IF(IF(ISNUMBER($I986),$I986,IFERROR(TIMEVALUE($I986),VALUE($I986)))&gt;=1,ROUND(IF(ISNUMBER($I986),$I986,IFERROR(TIMEVALUE($I986),VALUE($I986)))*60,0),ROUND(MOD(IF(ISNUMBER($I986),$I986,IFERROR(TIMEVALUE($I986),VALUE($I986))),1)*1440,0))),""))</f>
        <v/>
      </c>
      <c r="X986" s="55" t="str">
        <f aca="false">IF($P986="","",IFERROR(IF(ISNUMBER($P986),IF($P986&gt;19000000,DATE(INT($P986/10000),MOD(INT($P986/100),100),MOD($P986,100)),INT($P986)),IF(LEN(SUBSTITUTE(SUBSTITUTE(SUBSTITUTE(TRIM($P986),"-",""),".",""),"/",""))=8,DATE(VALUE(LEFT(SUBSTITUTE(SUBSTITUTE(SUBSTITUTE(TRIM($P986),"-",""),".",""),"/",""),4)),VALUE(MID(SUBSTITUTE(SUBSTITUTE(SUBSTITUTE(TRIM($P986),"-",""),".",""),"/",""),5,2)),VALUE(RIGHT(SUBSTITUTE(SUBSTITUTE(SUBSTITUTE(TRIM($P986),"-",""),".",""),"/",""),2))),DATEVALUE($P986))),""))</f>
        <v/>
      </c>
      <c r="Y986" s="56" t="str">
        <f aca="false">IF($M986="","",IFERROR(INDEX(강사DB!$D$4:$D$53,MATCH($M986,강사DB!$A$4:$A$53,0)),""))</f>
        <v/>
      </c>
      <c r="Z986" s="56" t="str">
        <f aca="false">IF($B986&lt;&gt;"결제완료","",IF(OR($Y986="",$J986=""),"",$Y986*$J986+MAX(0,N($K986)-1)*설정!$J$7))</f>
        <v/>
      </c>
      <c r="AA986" s="56" t="str">
        <f aca="false">IF(AND($D986&lt;&gt;"",$B986="결제완료"),N($N986),"")</f>
        <v/>
      </c>
      <c r="AB986" s="45" t="str">
        <f aca="false">IF($D986="","",IF($F986&lt;&gt;"",$F986,$D986)&amp;IF($B986="상담중"," (상담)",""))</f>
        <v/>
      </c>
      <c r="AC986" s="45" t="n">
        <f aca="false">IF(AND($D986&lt;&gt;"",OR($B986="결제완료",$B986="상담중")),1,0)</f>
        <v>0</v>
      </c>
      <c r="AD986" s="45" t="n">
        <f aca="false">IF(OR($Z986="",$U986=""),0,IFERROR(IF(COUNTIFS(INDEX(g_grid,0,2*MATCH($M986,강사DB!$A$4:$A$15,0)),"&lt;&gt;",g_s,"&lt;="&amp;$U986,g_e,"&gt;="&amp;$U986)&gt;0,1,0),0))</f>
        <v>0</v>
      </c>
      <c r="AE986" s="48"/>
      <c r="AF986" s="56" t="str">
        <f aca="false">IF(AND($D986&lt;&gt;"",$B986="결제완료",$T986="대여"),설정!$J$5,"")</f>
        <v/>
      </c>
      <c r="AG986" s="54" t="str">
        <f aca="false">IF($D986="","",IF(AND($E986="",$R986=""),$AB986,"☎ "&amp;IF($E986="","-",$E986)&amp;IF($R986&lt;&gt;"","  ※ "&amp;$R986,"")&amp;IF($B986="상담중"," (상담)","")))</f>
        <v/>
      </c>
      <c r="AH986" s="56" t="str">
        <f aca="false">IF(AND($D986&lt;&gt;"",$B986="결제완료",$O986="스마트스토어"),ROUND(N($N986)*설정!$J$6,0),"")</f>
        <v/>
      </c>
      <c r="AI986" s="54" t="str">
        <f aca="false">IF($D986="","",ROW())</f>
        <v/>
      </c>
      <c r="AJ986" s="54" t="n">
        <f aca="false">IF(OR($AC986&lt;&gt;1,$M986=""),0,IF(ISNUMBER(SEARCH("퇴사",IFERROR(INDEX(강사DB!$G$4:$G$53,MATCH($M986,강사DB!$A$4:$A$53,0)),""))),1,0))</f>
        <v>0</v>
      </c>
    </row>
    <row r="987" customFormat="false" ht="15" hidden="false" customHeight="false" outlineLevel="0" collapsed="false">
      <c r="A987" s="45" t="str">
        <f aca="false">IF($D987="","",COUNTA($D$5:$D987))</f>
        <v/>
      </c>
      <c r="B987" s="46"/>
      <c r="C987" s="47"/>
      <c r="D987" s="48"/>
      <c r="E987" s="48"/>
      <c r="F987" s="49"/>
      <c r="G987" s="47"/>
      <c r="H987" s="50"/>
      <c r="I987" s="50"/>
      <c r="J987" s="51" t="str">
        <f aca="false">IF(OR($V987="",$W987=""),"",ROUND(($W987-$V987)/60,2))</f>
        <v/>
      </c>
      <c r="K987" s="52" t="str">
        <f aca="false">IF($F987="","",LEN($F987)-LEN(SUBSTITUTE($F987,",",""))+1)</f>
        <v/>
      </c>
      <c r="L987" s="45" t="str">
        <f aca="false">IF($K987="","","1:"&amp;$K987)</f>
        <v/>
      </c>
      <c r="M987" s="46"/>
      <c r="N987" s="53"/>
      <c r="O987" s="46"/>
      <c r="P987" s="47"/>
      <c r="Q987" s="48"/>
      <c r="R987" s="49"/>
      <c r="S987" s="54" t="str">
        <f aca="false">IF(OR($AC987=0,$U987="",$M987="",$V987="",$W987=""),"",IF(COUNTIFS(m_teacher,$M987,m_date,$U987,m_active,1,m_start,"&lt;"&amp;$W987,m_end,"&gt;"&amp;$V987)&gt;1,"충돌",""))</f>
        <v/>
      </c>
      <c r="T987" s="48"/>
      <c r="U987" s="55" t="str">
        <f aca="false">IF($G987="","",IFERROR(IF(ISNUMBER($G987),IF($G987&gt;19000000,DATE(INT($G987/10000),MOD(INT($G987/100),100),MOD($G987,100)),INT($G987)),IF(LEN(SUBSTITUTE(SUBSTITUTE(SUBSTITUTE(TRIM($G987),"-",""),".",""),"/",""))=8,DATE(VALUE(LEFT(SUBSTITUTE(SUBSTITUTE(SUBSTITUTE(TRIM($G987),"-",""),".",""),"/",""),4)),VALUE(MID(SUBSTITUTE(SUBSTITUTE(SUBSTITUTE(TRIM($G987),"-",""),".",""),"/",""),5,2)),VALUE(RIGHT(SUBSTITUTE(SUBSTITUTE(SUBSTITUTE(TRIM($G987),"-",""),".",""),"/",""),2))),DATEVALUE($G987))),""))</f>
        <v/>
      </c>
      <c r="V987" s="52" t="str">
        <f aca="false">IF($H987="","",IFERROR(IF(IF(ISNUMBER($H987),$H987,IFERROR(TIMEVALUE($H987),VALUE($H987)))&gt;=100,INT(IF(ISNUMBER($H987),$H987,IFERROR(TIMEVALUE($H987),VALUE($H987)))/100)*60+MOD(IF(ISNUMBER($H987),$H987,IFERROR(TIMEVALUE($H987),VALUE($H987))),100),IF(IF(ISNUMBER($H987),$H987,IFERROR(TIMEVALUE($H987),VALUE($H987)))&gt;=1,ROUND(IF(ISNUMBER($H987),$H987,IFERROR(TIMEVALUE($H987),VALUE($H987)))*60,0),ROUND(MOD(IF(ISNUMBER($H987),$H987,IFERROR(TIMEVALUE($H987),VALUE($H987))),1)*1440,0))),""))</f>
        <v/>
      </c>
      <c r="W987" s="52" t="str">
        <f aca="false">IF($I987="","",IFERROR(IF(IF(ISNUMBER($I987),$I987,IFERROR(TIMEVALUE($I987),VALUE($I987)))&gt;=100,INT(IF(ISNUMBER($I987),$I987,IFERROR(TIMEVALUE($I987),VALUE($I987)))/100)*60+MOD(IF(ISNUMBER($I987),$I987,IFERROR(TIMEVALUE($I987),VALUE($I987))),100),IF(IF(ISNUMBER($I987),$I987,IFERROR(TIMEVALUE($I987),VALUE($I987)))&gt;=1,ROUND(IF(ISNUMBER($I987),$I987,IFERROR(TIMEVALUE($I987),VALUE($I987)))*60,0),ROUND(MOD(IF(ISNUMBER($I987),$I987,IFERROR(TIMEVALUE($I987),VALUE($I987))),1)*1440,0))),""))</f>
        <v/>
      </c>
      <c r="X987" s="55" t="str">
        <f aca="false">IF($P987="","",IFERROR(IF(ISNUMBER($P987),IF($P987&gt;19000000,DATE(INT($P987/10000),MOD(INT($P987/100),100),MOD($P987,100)),INT($P987)),IF(LEN(SUBSTITUTE(SUBSTITUTE(SUBSTITUTE(TRIM($P987),"-",""),".",""),"/",""))=8,DATE(VALUE(LEFT(SUBSTITUTE(SUBSTITUTE(SUBSTITUTE(TRIM($P987),"-",""),".",""),"/",""),4)),VALUE(MID(SUBSTITUTE(SUBSTITUTE(SUBSTITUTE(TRIM($P987),"-",""),".",""),"/",""),5,2)),VALUE(RIGHT(SUBSTITUTE(SUBSTITUTE(SUBSTITUTE(TRIM($P987),"-",""),".",""),"/",""),2))),DATEVALUE($P987))),""))</f>
        <v/>
      </c>
      <c r="Y987" s="56" t="str">
        <f aca="false">IF($M987="","",IFERROR(INDEX(강사DB!$D$4:$D$53,MATCH($M987,강사DB!$A$4:$A$53,0)),""))</f>
        <v/>
      </c>
      <c r="Z987" s="56" t="str">
        <f aca="false">IF($B987&lt;&gt;"결제완료","",IF(OR($Y987="",$J987=""),"",$Y987*$J987+MAX(0,N($K987)-1)*설정!$J$7))</f>
        <v/>
      </c>
      <c r="AA987" s="56" t="str">
        <f aca="false">IF(AND($D987&lt;&gt;"",$B987="결제완료"),N($N987),"")</f>
        <v/>
      </c>
      <c r="AB987" s="45" t="str">
        <f aca="false">IF($D987="","",IF($F987&lt;&gt;"",$F987,$D987)&amp;IF($B987="상담중"," (상담)",""))</f>
        <v/>
      </c>
      <c r="AC987" s="45" t="n">
        <f aca="false">IF(AND($D987&lt;&gt;"",OR($B987="결제완료",$B987="상담중")),1,0)</f>
        <v>0</v>
      </c>
      <c r="AD987" s="45" t="n">
        <f aca="false">IF(OR($Z987="",$U987=""),0,IFERROR(IF(COUNTIFS(INDEX(g_grid,0,2*MATCH($M987,강사DB!$A$4:$A$15,0)),"&lt;&gt;",g_s,"&lt;="&amp;$U987,g_e,"&gt;="&amp;$U987)&gt;0,1,0),0))</f>
        <v>0</v>
      </c>
      <c r="AE987" s="48"/>
      <c r="AF987" s="56" t="str">
        <f aca="false">IF(AND($D987&lt;&gt;"",$B987="결제완료",$T987="대여"),설정!$J$5,"")</f>
        <v/>
      </c>
      <c r="AG987" s="54" t="str">
        <f aca="false">IF($D987="","",IF(AND($E987="",$R987=""),$AB987,"☎ "&amp;IF($E987="","-",$E987)&amp;IF($R987&lt;&gt;"","  ※ "&amp;$R987,"")&amp;IF($B987="상담중"," (상담)","")))</f>
        <v/>
      </c>
      <c r="AH987" s="56" t="str">
        <f aca="false">IF(AND($D987&lt;&gt;"",$B987="결제완료",$O987="스마트스토어"),ROUND(N($N987)*설정!$J$6,0),"")</f>
        <v/>
      </c>
      <c r="AI987" s="54" t="str">
        <f aca="false">IF($D987="","",ROW())</f>
        <v/>
      </c>
      <c r="AJ987" s="54" t="n">
        <f aca="false">IF(OR($AC987&lt;&gt;1,$M987=""),0,IF(ISNUMBER(SEARCH("퇴사",IFERROR(INDEX(강사DB!$G$4:$G$53,MATCH($M987,강사DB!$A$4:$A$53,0)),""))),1,0))</f>
        <v>0</v>
      </c>
    </row>
    <row r="988" customFormat="false" ht="15" hidden="false" customHeight="false" outlineLevel="0" collapsed="false">
      <c r="A988" s="45" t="str">
        <f aca="false">IF($D988="","",COUNTA($D$5:$D988))</f>
        <v/>
      </c>
      <c r="B988" s="46"/>
      <c r="C988" s="47"/>
      <c r="D988" s="48"/>
      <c r="E988" s="48"/>
      <c r="F988" s="49"/>
      <c r="G988" s="47"/>
      <c r="H988" s="50"/>
      <c r="I988" s="50"/>
      <c r="J988" s="51" t="str">
        <f aca="false">IF(OR($V988="",$W988=""),"",ROUND(($W988-$V988)/60,2))</f>
        <v/>
      </c>
      <c r="K988" s="52" t="str">
        <f aca="false">IF($F988="","",LEN($F988)-LEN(SUBSTITUTE($F988,",",""))+1)</f>
        <v/>
      </c>
      <c r="L988" s="45" t="str">
        <f aca="false">IF($K988="","","1:"&amp;$K988)</f>
        <v/>
      </c>
      <c r="M988" s="46"/>
      <c r="N988" s="53"/>
      <c r="O988" s="46"/>
      <c r="P988" s="47"/>
      <c r="Q988" s="48"/>
      <c r="R988" s="49"/>
      <c r="S988" s="54" t="str">
        <f aca="false">IF(OR($AC988=0,$U988="",$M988="",$V988="",$W988=""),"",IF(COUNTIFS(m_teacher,$M988,m_date,$U988,m_active,1,m_start,"&lt;"&amp;$W988,m_end,"&gt;"&amp;$V988)&gt;1,"충돌",""))</f>
        <v/>
      </c>
      <c r="T988" s="48"/>
      <c r="U988" s="55" t="str">
        <f aca="false">IF($G988="","",IFERROR(IF(ISNUMBER($G988),IF($G988&gt;19000000,DATE(INT($G988/10000),MOD(INT($G988/100),100),MOD($G988,100)),INT($G988)),IF(LEN(SUBSTITUTE(SUBSTITUTE(SUBSTITUTE(TRIM($G988),"-",""),".",""),"/",""))=8,DATE(VALUE(LEFT(SUBSTITUTE(SUBSTITUTE(SUBSTITUTE(TRIM($G988),"-",""),".",""),"/",""),4)),VALUE(MID(SUBSTITUTE(SUBSTITUTE(SUBSTITUTE(TRIM($G988),"-",""),".",""),"/",""),5,2)),VALUE(RIGHT(SUBSTITUTE(SUBSTITUTE(SUBSTITUTE(TRIM($G988),"-",""),".",""),"/",""),2))),DATEVALUE($G988))),""))</f>
        <v/>
      </c>
      <c r="V988" s="52" t="str">
        <f aca="false">IF($H988="","",IFERROR(IF(IF(ISNUMBER($H988),$H988,IFERROR(TIMEVALUE($H988),VALUE($H988)))&gt;=100,INT(IF(ISNUMBER($H988),$H988,IFERROR(TIMEVALUE($H988),VALUE($H988)))/100)*60+MOD(IF(ISNUMBER($H988),$H988,IFERROR(TIMEVALUE($H988),VALUE($H988))),100),IF(IF(ISNUMBER($H988),$H988,IFERROR(TIMEVALUE($H988),VALUE($H988)))&gt;=1,ROUND(IF(ISNUMBER($H988),$H988,IFERROR(TIMEVALUE($H988),VALUE($H988)))*60,0),ROUND(MOD(IF(ISNUMBER($H988),$H988,IFERROR(TIMEVALUE($H988),VALUE($H988))),1)*1440,0))),""))</f>
        <v/>
      </c>
      <c r="W988" s="52" t="str">
        <f aca="false">IF($I988="","",IFERROR(IF(IF(ISNUMBER($I988),$I988,IFERROR(TIMEVALUE($I988),VALUE($I988)))&gt;=100,INT(IF(ISNUMBER($I988),$I988,IFERROR(TIMEVALUE($I988),VALUE($I988)))/100)*60+MOD(IF(ISNUMBER($I988),$I988,IFERROR(TIMEVALUE($I988),VALUE($I988))),100),IF(IF(ISNUMBER($I988),$I988,IFERROR(TIMEVALUE($I988),VALUE($I988)))&gt;=1,ROUND(IF(ISNUMBER($I988),$I988,IFERROR(TIMEVALUE($I988),VALUE($I988)))*60,0),ROUND(MOD(IF(ISNUMBER($I988),$I988,IFERROR(TIMEVALUE($I988),VALUE($I988))),1)*1440,0))),""))</f>
        <v/>
      </c>
      <c r="X988" s="55" t="str">
        <f aca="false">IF($P988="","",IFERROR(IF(ISNUMBER($P988),IF($P988&gt;19000000,DATE(INT($P988/10000),MOD(INT($P988/100),100),MOD($P988,100)),INT($P988)),IF(LEN(SUBSTITUTE(SUBSTITUTE(SUBSTITUTE(TRIM($P988),"-",""),".",""),"/",""))=8,DATE(VALUE(LEFT(SUBSTITUTE(SUBSTITUTE(SUBSTITUTE(TRIM($P988),"-",""),".",""),"/",""),4)),VALUE(MID(SUBSTITUTE(SUBSTITUTE(SUBSTITUTE(TRIM($P988),"-",""),".",""),"/",""),5,2)),VALUE(RIGHT(SUBSTITUTE(SUBSTITUTE(SUBSTITUTE(TRIM($P988),"-",""),".",""),"/",""),2))),DATEVALUE($P988))),""))</f>
        <v/>
      </c>
      <c r="Y988" s="56" t="str">
        <f aca="false">IF($M988="","",IFERROR(INDEX(강사DB!$D$4:$D$53,MATCH($M988,강사DB!$A$4:$A$53,0)),""))</f>
        <v/>
      </c>
      <c r="Z988" s="56" t="str">
        <f aca="false">IF($B988&lt;&gt;"결제완료","",IF(OR($Y988="",$J988=""),"",$Y988*$J988+MAX(0,N($K988)-1)*설정!$J$7))</f>
        <v/>
      </c>
      <c r="AA988" s="56" t="str">
        <f aca="false">IF(AND($D988&lt;&gt;"",$B988="결제완료"),N($N988),"")</f>
        <v/>
      </c>
      <c r="AB988" s="45" t="str">
        <f aca="false">IF($D988="","",IF($F988&lt;&gt;"",$F988,$D988)&amp;IF($B988="상담중"," (상담)",""))</f>
        <v/>
      </c>
      <c r="AC988" s="45" t="n">
        <f aca="false">IF(AND($D988&lt;&gt;"",OR($B988="결제완료",$B988="상담중")),1,0)</f>
        <v>0</v>
      </c>
      <c r="AD988" s="45" t="n">
        <f aca="false">IF(OR($Z988="",$U988=""),0,IFERROR(IF(COUNTIFS(INDEX(g_grid,0,2*MATCH($M988,강사DB!$A$4:$A$15,0)),"&lt;&gt;",g_s,"&lt;="&amp;$U988,g_e,"&gt;="&amp;$U988)&gt;0,1,0),0))</f>
        <v>0</v>
      </c>
      <c r="AE988" s="48"/>
      <c r="AF988" s="56" t="str">
        <f aca="false">IF(AND($D988&lt;&gt;"",$B988="결제완료",$T988="대여"),설정!$J$5,"")</f>
        <v/>
      </c>
      <c r="AG988" s="54" t="str">
        <f aca="false">IF($D988="","",IF(AND($E988="",$R988=""),$AB988,"☎ "&amp;IF($E988="","-",$E988)&amp;IF($R988&lt;&gt;"","  ※ "&amp;$R988,"")&amp;IF($B988="상담중"," (상담)","")))</f>
        <v/>
      </c>
      <c r="AH988" s="56" t="str">
        <f aca="false">IF(AND($D988&lt;&gt;"",$B988="결제완료",$O988="스마트스토어"),ROUND(N($N988)*설정!$J$6,0),"")</f>
        <v/>
      </c>
      <c r="AI988" s="54" t="str">
        <f aca="false">IF($D988="","",ROW())</f>
        <v/>
      </c>
      <c r="AJ988" s="54" t="n">
        <f aca="false">IF(OR($AC988&lt;&gt;1,$M988=""),0,IF(ISNUMBER(SEARCH("퇴사",IFERROR(INDEX(강사DB!$G$4:$G$53,MATCH($M988,강사DB!$A$4:$A$53,0)),""))),1,0))</f>
        <v>0</v>
      </c>
    </row>
    <row r="989" customFormat="false" ht="15" hidden="false" customHeight="false" outlineLevel="0" collapsed="false">
      <c r="A989" s="45" t="str">
        <f aca="false">IF($D989="","",COUNTA($D$5:$D989))</f>
        <v/>
      </c>
      <c r="B989" s="46"/>
      <c r="C989" s="47"/>
      <c r="D989" s="48"/>
      <c r="E989" s="48"/>
      <c r="F989" s="49"/>
      <c r="G989" s="47"/>
      <c r="H989" s="50"/>
      <c r="I989" s="50"/>
      <c r="J989" s="51" t="str">
        <f aca="false">IF(OR($V989="",$W989=""),"",ROUND(($W989-$V989)/60,2))</f>
        <v/>
      </c>
      <c r="K989" s="52" t="str">
        <f aca="false">IF($F989="","",LEN($F989)-LEN(SUBSTITUTE($F989,",",""))+1)</f>
        <v/>
      </c>
      <c r="L989" s="45" t="str">
        <f aca="false">IF($K989="","","1:"&amp;$K989)</f>
        <v/>
      </c>
      <c r="M989" s="46"/>
      <c r="N989" s="53"/>
      <c r="O989" s="46"/>
      <c r="P989" s="47"/>
      <c r="Q989" s="48"/>
      <c r="R989" s="49"/>
      <c r="S989" s="54" t="str">
        <f aca="false">IF(OR($AC989=0,$U989="",$M989="",$V989="",$W989=""),"",IF(COUNTIFS(m_teacher,$M989,m_date,$U989,m_active,1,m_start,"&lt;"&amp;$W989,m_end,"&gt;"&amp;$V989)&gt;1,"충돌",""))</f>
        <v/>
      </c>
      <c r="T989" s="48"/>
      <c r="U989" s="55" t="str">
        <f aca="false">IF($G989="","",IFERROR(IF(ISNUMBER($G989),IF($G989&gt;19000000,DATE(INT($G989/10000),MOD(INT($G989/100),100),MOD($G989,100)),INT($G989)),IF(LEN(SUBSTITUTE(SUBSTITUTE(SUBSTITUTE(TRIM($G989),"-",""),".",""),"/",""))=8,DATE(VALUE(LEFT(SUBSTITUTE(SUBSTITUTE(SUBSTITUTE(TRIM($G989),"-",""),".",""),"/",""),4)),VALUE(MID(SUBSTITUTE(SUBSTITUTE(SUBSTITUTE(TRIM($G989),"-",""),".",""),"/",""),5,2)),VALUE(RIGHT(SUBSTITUTE(SUBSTITUTE(SUBSTITUTE(TRIM($G989),"-",""),".",""),"/",""),2))),DATEVALUE($G989))),""))</f>
        <v/>
      </c>
      <c r="V989" s="52" t="str">
        <f aca="false">IF($H989="","",IFERROR(IF(IF(ISNUMBER($H989),$H989,IFERROR(TIMEVALUE($H989),VALUE($H989)))&gt;=100,INT(IF(ISNUMBER($H989),$H989,IFERROR(TIMEVALUE($H989),VALUE($H989)))/100)*60+MOD(IF(ISNUMBER($H989),$H989,IFERROR(TIMEVALUE($H989),VALUE($H989))),100),IF(IF(ISNUMBER($H989),$H989,IFERROR(TIMEVALUE($H989),VALUE($H989)))&gt;=1,ROUND(IF(ISNUMBER($H989),$H989,IFERROR(TIMEVALUE($H989),VALUE($H989)))*60,0),ROUND(MOD(IF(ISNUMBER($H989),$H989,IFERROR(TIMEVALUE($H989),VALUE($H989))),1)*1440,0))),""))</f>
        <v/>
      </c>
      <c r="W989" s="52" t="str">
        <f aca="false">IF($I989="","",IFERROR(IF(IF(ISNUMBER($I989),$I989,IFERROR(TIMEVALUE($I989),VALUE($I989)))&gt;=100,INT(IF(ISNUMBER($I989),$I989,IFERROR(TIMEVALUE($I989),VALUE($I989)))/100)*60+MOD(IF(ISNUMBER($I989),$I989,IFERROR(TIMEVALUE($I989),VALUE($I989))),100),IF(IF(ISNUMBER($I989),$I989,IFERROR(TIMEVALUE($I989),VALUE($I989)))&gt;=1,ROUND(IF(ISNUMBER($I989),$I989,IFERROR(TIMEVALUE($I989),VALUE($I989)))*60,0),ROUND(MOD(IF(ISNUMBER($I989),$I989,IFERROR(TIMEVALUE($I989),VALUE($I989))),1)*1440,0))),""))</f>
        <v/>
      </c>
      <c r="X989" s="55" t="str">
        <f aca="false">IF($P989="","",IFERROR(IF(ISNUMBER($P989),IF($P989&gt;19000000,DATE(INT($P989/10000),MOD(INT($P989/100),100),MOD($P989,100)),INT($P989)),IF(LEN(SUBSTITUTE(SUBSTITUTE(SUBSTITUTE(TRIM($P989),"-",""),".",""),"/",""))=8,DATE(VALUE(LEFT(SUBSTITUTE(SUBSTITUTE(SUBSTITUTE(TRIM($P989),"-",""),".",""),"/",""),4)),VALUE(MID(SUBSTITUTE(SUBSTITUTE(SUBSTITUTE(TRIM($P989),"-",""),".",""),"/",""),5,2)),VALUE(RIGHT(SUBSTITUTE(SUBSTITUTE(SUBSTITUTE(TRIM($P989),"-",""),".",""),"/",""),2))),DATEVALUE($P989))),""))</f>
        <v/>
      </c>
      <c r="Y989" s="56" t="str">
        <f aca="false">IF($M989="","",IFERROR(INDEX(강사DB!$D$4:$D$53,MATCH($M989,강사DB!$A$4:$A$53,0)),""))</f>
        <v/>
      </c>
      <c r="Z989" s="56" t="str">
        <f aca="false">IF($B989&lt;&gt;"결제완료","",IF(OR($Y989="",$J989=""),"",$Y989*$J989+MAX(0,N($K989)-1)*설정!$J$7))</f>
        <v/>
      </c>
      <c r="AA989" s="56" t="str">
        <f aca="false">IF(AND($D989&lt;&gt;"",$B989="결제완료"),N($N989),"")</f>
        <v/>
      </c>
      <c r="AB989" s="45" t="str">
        <f aca="false">IF($D989="","",IF($F989&lt;&gt;"",$F989,$D989)&amp;IF($B989="상담중"," (상담)",""))</f>
        <v/>
      </c>
      <c r="AC989" s="45" t="n">
        <f aca="false">IF(AND($D989&lt;&gt;"",OR($B989="결제완료",$B989="상담중")),1,0)</f>
        <v>0</v>
      </c>
      <c r="AD989" s="45" t="n">
        <f aca="false">IF(OR($Z989="",$U989=""),0,IFERROR(IF(COUNTIFS(INDEX(g_grid,0,2*MATCH($M989,강사DB!$A$4:$A$15,0)),"&lt;&gt;",g_s,"&lt;="&amp;$U989,g_e,"&gt;="&amp;$U989)&gt;0,1,0),0))</f>
        <v>0</v>
      </c>
      <c r="AE989" s="48"/>
      <c r="AF989" s="56" t="str">
        <f aca="false">IF(AND($D989&lt;&gt;"",$B989="결제완료",$T989="대여"),설정!$J$5,"")</f>
        <v/>
      </c>
      <c r="AG989" s="54" t="str">
        <f aca="false">IF($D989="","",IF(AND($E989="",$R989=""),$AB989,"☎ "&amp;IF($E989="","-",$E989)&amp;IF($R989&lt;&gt;"","  ※ "&amp;$R989,"")&amp;IF($B989="상담중"," (상담)","")))</f>
        <v/>
      </c>
      <c r="AH989" s="56" t="str">
        <f aca="false">IF(AND($D989&lt;&gt;"",$B989="결제완료",$O989="스마트스토어"),ROUND(N($N989)*설정!$J$6,0),"")</f>
        <v/>
      </c>
      <c r="AI989" s="54" t="str">
        <f aca="false">IF($D989="","",ROW())</f>
        <v/>
      </c>
      <c r="AJ989" s="54" t="n">
        <f aca="false">IF(OR($AC989&lt;&gt;1,$M989=""),0,IF(ISNUMBER(SEARCH("퇴사",IFERROR(INDEX(강사DB!$G$4:$G$53,MATCH($M989,강사DB!$A$4:$A$53,0)),""))),1,0))</f>
        <v>0</v>
      </c>
    </row>
    <row r="990" customFormat="false" ht="15" hidden="false" customHeight="false" outlineLevel="0" collapsed="false">
      <c r="A990" s="45" t="str">
        <f aca="false">IF($D990="","",COUNTA($D$5:$D990))</f>
        <v/>
      </c>
      <c r="B990" s="46"/>
      <c r="C990" s="47"/>
      <c r="D990" s="48"/>
      <c r="E990" s="48"/>
      <c r="F990" s="49"/>
      <c r="G990" s="47"/>
      <c r="H990" s="50"/>
      <c r="I990" s="50"/>
      <c r="J990" s="51" t="str">
        <f aca="false">IF(OR($V990="",$W990=""),"",ROUND(($W990-$V990)/60,2))</f>
        <v/>
      </c>
      <c r="K990" s="52" t="str">
        <f aca="false">IF($F990="","",LEN($F990)-LEN(SUBSTITUTE($F990,",",""))+1)</f>
        <v/>
      </c>
      <c r="L990" s="45" t="str">
        <f aca="false">IF($K990="","","1:"&amp;$K990)</f>
        <v/>
      </c>
      <c r="M990" s="46"/>
      <c r="N990" s="53"/>
      <c r="O990" s="46"/>
      <c r="P990" s="47"/>
      <c r="Q990" s="48"/>
      <c r="R990" s="49"/>
      <c r="S990" s="54" t="str">
        <f aca="false">IF(OR($AC990=0,$U990="",$M990="",$V990="",$W990=""),"",IF(COUNTIFS(m_teacher,$M990,m_date,$U990,m_active,1,m_start,"&lt;"&amp;$W990,m_end,"&gt;"&amp;$V990)&gt;1,"충돌",""))</f>
        <v/>
      </c>
      <c r="T990" s="48"/>
      <c r="U990" s="55" t="str">
        <f aca="false">IF($G990="","",IFERROR(IF(ISNUMBER($G990),IF($G990&gt;19000000,DATE(INT($G990/10000),MOD(INT($G990/100),100),MOD($G990,100)),INT($G990)),IF(LEN(SUBSTITUTE(SUBSTITUTE(SUBSTITUTE(TRIM($G990),"-",""),".",""),"/",""))=8,DATE(VALUE(LEFT(SUBSTITUTE(SUBSTITUTE(SUBSTITUTE(TRIM($G990),"-",""),".",""),"/",""),4)),VALUE(MID(SUBSTITUTE(SUBSTITUTE(SUBSTITUTE(TRIM($G990),"-",""),".",""),"/",""),5,2)),VALUE(RIGHT(SUBSTITUTE(SUBSTITUTE(SUBSTITUTE(TRIM($G990),"-",""),".",""),"/",""),2))),DATEVALUE($G990))),""))</f>
        <v/>
      </c>
      <c r="V990" s="52" t="str">
        <f aca="false">IF($H990="","",IFERROR(IF(IF(ISNUMBER($H990),$H990,IFERROR(TIMEVALUE($H990),VALUE($H990)))&gt;=100,INT(IF(ISNUMBER($H990),$H990,IFERROR(TIMEVALUE($H990),VALUE($H990)))/100)*60+MOD(IF(ISNUMBER($H990),$H990,IFERROR(TIMEVALUE($H990),VALUE($H990))),100),IF(IF(ISNUMBER($H990),$H990,IFERROR(TIMEVALUE($H990),VALUE($H990)))&gt;=1,ROUND(IF(ISNUMBER($H990),$H990,IFERROR(TIMEVALUE($H990),VALUE($H990)))*60,0),ROUND(MOD(IF(ISNUMBER($H990),$H990,IFERROR(TIMEVALUE($H990),VALUE($H990))),1)*1440,0))),""))</f>
        <v/>
      </c>
      <c r="W990" s="52" t="str">
        <f aca="false">IF($I990="","",IFERROR(IF(IF(ISNUMBER($I990),$I990,IFERROR(TIMEVALUE($I990),VALUE($I990)))&gt;=100,INT(IF(ISNUMBER($I990),$I990,IFERROR(TIMEVALUE($I990),VALUE($I990)))/100)*60+MOD(IF(ISNUMBER($I990),$I990,IFERROR(TIMEVALUE($I990),VALUE($I990))),100),IF(IF(ISNUMBER($I990),$I990,IFERROR(TIMEVALUE($I990),VALUE($I990)))&gt;=1,ROUND(IF(ISNUMBER($I990),$I990,IFERROR(TIMEVALUE($I990),VALUE($I990)))*60,0),ROUND(MOD(IF(ISNUMBER($I990),$I990,IFERROR(TIMEVALUE($I990),VALUE($I990))),1)*1440,0))),""))</f>
        <v/>
      </c>
      <c r="X990" s="55" t="str">
        <f aca="false">IF($P990="","",IFERROR(IF(ISNUMBER($P990),IF($P990&gt;19000000,DATE(INT($P990/10000),MOD(INT($P990/100),100),MOD($P990,100)),INT($P990)),IF(LEN(SUBSTITUTE(SUBSTITUTE(SUBSTITUTE(TRIM($P990),"-",""),".",""),"/",""))=8,DATE(VALUE(LEFT(SUBSTITUTE(SUBSTITUTE(SUBSTITUTE(TRIM($P990),"-",""),".",""),"/",""),4)),VALUE(MID(SUBSTITUTE(SUBSTITUTE(SUBSTITUTE(TRIM($P990),"-",""),".",""),"/",""),5,2)),VALUE(RIGHT(SUBSTITUTE(SUBSTITUTE(SUBSTITUTE(TRIM($P990),"-",""),".",""),"/",""),2))),DATEVALUE($P990))),""))</f>
        <v/>
      </c>
      <c r="Y990" s="56" t="str">
        <f aca="false">IF($M990="","",IFERROR(INDEX(강사DB!$D$4:$D$53,MATCH($M990,강사DB!$A$4:$A$53,0)),""))</f>
        <v/>
      </c>
      <c r="Z990" s="56" t="str">
        <f aca="false">IF($B990&lt;&gt;"결제완료","",IF(OR($Y990="",$J990=""),"",$Y990*$J990+MAX(0,N($K990)-1)*설정!$J$7))</f>
        <v/>
      </c>
      <c r="AA990" s="56" t="str">
        <f aca="false">IF(AND($D990&lt;&gt;"",$B990="결제완료"),N($N990),"")</f>
        <v/>
      </c>
      <c r="AB990" s="45" t="str">
        <f aca="false">IF($D990="","",IF($F990&lt;&gt;"",$F990,$D990)&amp;IF($B990="상담중"," (상담)",""))</f>
        <v/>
      </c>
      <c r="AC990" s="45" t="n">
        <f aca="false">IF(AND($D990&lt;&gt;"",OR($B990="결제완료",$B990="상담중")),1,0)</f>
        <v>0</v>
      </c>
      <c r="AD990" s="45" t="n">
        <f aca="false">IF(OR($Z990="",$U990=""),0,IFERROR(IF(COUNTIFS(INDEX(g_grid,0,2*MATCH($M990,강사DB!$A$4:$A$15,0)),"&lt;&gt;",g_s,"&lt;="&amp;$U990,g_e,"&gt;="&amp;$U990)&gt;0,1,0),0))</f>
        <v>0</v>
      </c>
      <c r="AE990" s="48"/>
      <c r="AF990" s="56" t="str">
        <f aca="false">IF(AND($D990&lt;&gt;"",$B990="결제완료",$T990="대여"),설정!$J$5,"")</f>
        <v/>
      </c>
      <c r="AG990" s="54" t="str">
        <f aca="false">IF($D990="","",IF(AND($E990="",$R990=""),$AB990,"☎ "&amp;IF($E990="","-",$E990)&amp;IF($R990&lt;&gt;"","  ※ "&amp;$R990,"")&amp;IF($B990="상담중"," (상담)","")))</f>
        <v/>
      </c>
      <c r="AH990" s="56" t="str">
        <f aca="false">IF(AND($D990&lt;&gt;"",$B990="결제완료",$O990="스마트스토어"),ROUND(N($N990)*설정!$J$6,0),"")</f>
        <v/>
      </c>
      <c r="AI990" s="54" t="str">
        <f aca="false">IF($D990="","",ROW())</f>
        <v/>
      </c>
      <c r="AJ990" s="54" t="n">
        <f aca="false">IF(OR($AC990&lt;&gt;1,$M990=""),0,IF(ISNUMBER(SEARCH("퇴사",IFERROR(INDEX(강사DB!$G$4:$G$53,MATCH($M990,강사DB!$A$4:$A$53,0)),""))),1,0))</f>
        <v>0</v>
      </c>
    </row>
    <row r="991" customFormat="false" ht="15" hidden="false" customHeight="false" outlineLevel="0" collapsed="false">
      <c r="A991" s="45" t="str">
        <f aca="false">IF($D991="","",COUNTA($D$5:$D991))</f>
        <v/>
      </c>
      <c r="B991" s="46"/>
      <c r="C991" s="47"/>
      <c r="D991" s="48"/>
      <c r="E991" s="48"/>
      <c r="F991" s="49"/>
      <c r="G991" s="47"/>
      <c r="H991" s="50"/>
      <c r="I991" s="50"/>
      <c r="J991" s="51" t="str">
        <f aca="false">IF(OR($V991="",$W991=""),"",ROUND(($W991-$V991)/60,2))</f>
        <v/>
      </c>
      <c r="K991" s="52" t="str">
        <f aca="false">IF($F991="","",LEN($F991)-LEN(SUBSTITUTE($F991,",",""))+1)</f>
        <v/>
      </c>
      <c r="L991" s="45" t="str">
        <f aca="false">IF($K991="","","1:"&amp;$K991)</f>
        <v/>
      </c>
      <c r="M991" s="46"/>
      <c r="N991" s="53"/>
      <c r="O991" s="46"/>
      <c r="P991" s="47"/>
      <c r="Q991" s="48"/>
      <c r="R991" s="49"/>
      <c r="S991" s="54" t="str">
        <f aca="false">IF(OR($AC991=0,$U991="",$M991="",$V991="",$W991=""),"",IF(COUNTIFS(m_teacher,$M991,m_date,$U991,m_active,1,m_start,"&lt;"&amp;$W991,m_end,"&gt;"&amp;$V991)&gt;1,"충돌",""))</f>
        <v/>
      </c>
      <c r="T991" s="48"/>
      <c r="U991" s="55" t="str">
        <f aca="false">IF($G991="","",IFERROR(IF(ISNUMBER($G991),IF($G991&gt;19000000,DATE(INT($G991/10000),MOD(INT($G991/100),100),MOD($G991,100)),INT($G991)),IF(LEN(SUBSTITUTE(SUBSTITUTE(SUBSTITUTE(TRIM($G991),"-",""),".",""),"/",""))=8,DATE(VALUE(LEFT(SUBSTITUTE(SUBSTITUTE(SUBSTITUTE(TRIM($G991),"-",""),".",""),"/",""),4)),VALUE(MID(SUBSTITUTE(SUBSTITUTE(SUBSTITUTE(TRIM($G991),"-",""),".",""),"/",""),5,2)),VALUE(RIGHT(SUBSTITUTE(SUBSTITUTE(SUBSTITUTE(TRIM($G991),"-",""),".",""),"/",""),2))),DATEVALUE($G991))),""))</f>
        <v/>
      </c>
      <c r="V991" s="52" t="str">
        <f aca="false">IF($H991="","",IFERROR(IF(IF(ISNUMBER($H991),$H991,IFERROR(TIMEVALUE($H991),VALUE($H991)))&gt;=100,INT(IF(ISNUMBER($H991),$H991,IFERROR(TIMEVALUE($H991),VALUE($H991)))/100)*60+MOD(IF(ISNUMBER($H991),$H991,IFERROR(TIMEVALUE($H991),VALUE($H991))),100),IF(IF(ISNUMBER($H991),$H991,IFERROR(TIMEVALUE($H991),VALUE($H991)))&gt;=1,ROUND(IF(ISNUMBER($H991),$H991,IFERROR(TIMEVALUE($H991),VALUE($H991)))*60,0),ROUND(MOD(IF(ISNUMBER($H991),$H991,IFERROR(TIMEVALUE($H991),VALUE($H991))),1)*1440,0))),""))</f>
        <v/>
      </c>
      <c r="W991" s="52" t="str">
        <f aca="false">IF($I991="","",IFERROR(IF(IF(ISNUMBER($I991),$I991,IFERROR(TIMEVALUE($I991),VALUE($I991)))&gt;=100,INT(IF(ISNUMBER($I991),$I991,IFERROR(TIMEVALUE($I991),VALUE($I991)))/100)*60+MOD(IF(ISNUMBER($I991),$I991,IFERROR(TIMEVALUE($I991),VALUE($I991))),100),IF(IF(ISNUMBER($I991),$I991,IFERROR(TIMEVALUE($I991),VALUE($I991)))&gt;=1,ROUND(IF(ISNUMBER($I991),$I991,IFERROR(TIMEVALUE($I991),VALUE($I991)))*60,0),ROUND(MOD(IF(ISNUMBER($I991),$I991,IFERROR(TIMEVALUE($I991),VALUE($I991))),1)*1440,0))),""))</f>
        <v/>
      </c>
      <c r="X991" s="55" t="str">
        <f aca="false">IF($P991="","",IFERROR(IF(ISNUMBER($P991),IF($P991&gt;19000000,DATE(INT($P991/10000),MOD(INT($P991/100),100),MOD($P991,100)),INT($P991)),IF(LEN(SUBSTITUTE(SUBSTITUTE(SUBSTITUTE(TRIM($P991),"-",""),".",""),"/",""))=8,DATE(VALUE(LEFT(SUBSTITUTE(SUBSTITUTE(SUBSTITUTE(TRIM($P991),"-",""),".",""),"/",""),4)),VALUE(MID(SUBSTITUTE(SUBSTITUTE(SUBSTITUTE(TRIM($P991),"-",""),".",""),"/",""),5,2)),VALUE(RIGHT(SUBSTITUTE(SUBSTITUTE(SUBSTITUTE(TRIM($P991),"-",""),".",""),"/",""),2))),DATEVALUE($P991))),""))</f>
        <v/>
      </c>
      <c r="Y991" s="56" t="str">
        <f aca="false">IF($M991="","",IFERROR(INDEX(강사DB!$D$4:$D$53,MATCH($M991,강사DB!$A$4:$A$53,0)),""))</f>
        <v/>
      </c>
      <c r="Z991" s="56" t="str">
        <f aca="false">IF($B991&lt;&gt;"결제완료","",IF(OR($Y991="",$J991=""),"",$Y991*$J991+MAX(0,N($K991)-1)*설정!$J$7))</f>
        <v/>
      </c>
      <c r="AA991" s="56" t="str">
        <f aca="false">IF(AND($D991&lt;&gt;"",$B991="결제완료"),N($N991),"")</f>
        <v/>
      </c>
      <c r="AB991" s="45" t="str">
        <f aca="false">IF($D991="","",IF($F991&lt;&gt;"",$F991,$D991)&amp;IF($B991="상담중"," (상담)",""))</f>
        <v/>
      </c>
      <c r="AC991" s="45" t="n">
        <f aca="false">IF(AND($D991&lt;&gt;"",OR($B991="결제완료",$B991="상담중")),1,0)</f>
        <v>0</v>
      </c>
      <c r="AD991" s="45" t="n">
        <f aca="false">IF(OR($Z991="",$U991=""),0,IFERROR(IF(COUNTIFS(INDEX(g_grid,0,2*MATCH($M991,강사DB!$A$4:$A$15,0)),"&lt;&gt;",g_s,"&lt;="&amp;$U991,g_e,"&gt;="&amp;$U991)&gt;0,1,0),0))</f>
        <v>0</v>
      </c>
      <c r="AE991" s="48"/>
      <c r="AF991" s="56" t="str">
        <f aca="false">IF(AND($D991&lt;&gt;"",$B991="결제완료",$T991="대여"),설정!$J$5,"")</f>
        <v/>
      </c>
      <c r="AG991" s="54" t="str">
        <f aca="false">IF($D991="","",IF(AND($E991="",$R991=""),$AB991,"☎ "&amp;IF($E991="","-",$E991)&amp;IF($R991&lt;&gt;"","  ※ "&amp;$R991,"")&amp;IF($B991="상담중"," (상담)","")))</f>
        <v/>
      </c>
      <c r="AH991" s="56" t="str">
        <f aca="false">IF(AND($D991&lt;&gt;"",$B991="결제완료",$O991="스마트스토어"),ROUND(N($N991)*설정!$J$6,0),"")</f>
        <v/>
      </c>
      <c r="AI991" s="54" t="str">
        <f aca="false">IF($D991="","",ROW())</f>
        <v/>
      </c>
      <c r="AJ991" s="54" t="n">
        <f aca="false">IF(OR($AC991&lt;&gt;1,$M991=""),0,IF(ISNUMBER(SEARCH("퇴사",IFERROR(INDEX(강사DB!$G$4:$G$53,MATCH($M991,강사DB!$A$4:$A$53,0)),""))),1,0))</f>
        <v>0</v>
      </c>
    </row>
    <row r="992" customFormat="false" ht="15" hidden="false" customHeight="false" outlineLevel="0" collapsed="false">
      <c r="A992" s="45" t="str">
        <f aca="false">IF($D992="","",COUNTA($D$5:$D992))</f>
        <v/>
      </c>
      <c r="B992" s="46"/>
      <c r="C992" s="47"/>
      <c r="D992" s="48"/>
      <c r="E992" s="48"/>
      <c r="F992" s="49"/>
      <c r="G992" s="47"/>
      <c r="H992" s="50"/>
      <c r="I992" s="50"/>
      <c r="J992" s="51" t="str">
        <f aca="false">IF(OR($V992="",$W992=""),"",ROUND(($W992-$V992)/60,2))</f>
        <v/>
      </c>
      <c r="K992" s="52" t="str">
        <f aca="false">IF($F992="","",LEN($F992)-LEN(SUBSTITUTE($F992,",",""))+1)</f>
        <v/>
      </c>
      <c r="L992" s="45" t="str">
        <f aca="false">IF($K992="","","1:"&amp;$K992)</f>
        <v/>
      </c>
      <c r="M992" s="46"/>
      <c r="N992" s="53"/>
      <c r="O992" s="46"/>
      <c r="P992" s="47"/>
      <c r="Q992" s="48"/>
      <c r="R992" s="49"/>
      <c r="S992" s="54" t="str">
        <f aca="false">IF(OR($AC992=0,$U992="",$M992="",$V992="",$W992=""),"",IF(COUNTIFS(m_teacher,$M992,m_date,$U992,m_active,1,m_start,"&lt;"&amp;$W992,m_end,"&gt;"&amp;$V992)&gt;1,"충돌",""))</f>
        <v/>
      </c>
      <c r="T992" s="48"/>
      <c r="U992" s="55" t="str">
        <f aca="false">IF($G992="","",IFERROR(IF(ISNUMBER($G992),IF($G992&gt;19000000,DATE(INT($G992/10000),MOD(INT($G992/100),100),MOD($G992,100)),INT($G992)),IF(LEN(SUBSTITUTE(SUBSTITUTE(SUBSTITUTE(TRIM($G992),"-",""),".",""),"/",""))=8,DATE(VALUE(LEFT(SUBSTITUTE(SUBSTITUTE(SUBSTITUTE(TRIM($G992),"-",""),".",""),"/",""),4)),VALUE(MID(SUBSTITUTE(SUBSTITUTE(SUBSTITUTE(TRIM($G992),"-",""),".",""),"/",""),5,2)),VALUE(RIGHT(SUBSTITUTE(SUBSTITUTE(SUBSTITUTE(TRIM($G992),"-",""),".",""),"/",""),2))),DATEVALUE($G992))),""))</f>
        <v/>
      </c>
      <c r="V992" s="52" t="str">
        <f aca="false">IF($H992="","",IFERROR(IF(IF(ISNUMBER($H992),$H992,IFERROR(TIMEVALUE($H992),VALUE($H992)))&gt;=100,INT(IF(ISNUMBER($H992),$H992,IFERROR(TIMEVALUE($H992),VALUE($H992)))/100)*60+MOD(IF(ISNUMBER($H992),$H992,IFERROR(TIMEVALUE($H992),VALUE($H992))),100),IF(IF(ISNUMBER($H992),$H992,IFERROR(TIMEVALUE($H992),VALUE($H992)))&gt;=1,ROUND(IF(ISNUMBER($H992),$H992,IFERROR(TIMEVALUE($H992),VALUE($H992)))*60,0),ROUND(MOD(IF(ISNUMBER($H992),$H992,IFERROR(TIMEVALUE($H992),VALUE($H992))),1)*1440,0))),""))</f>
        <v/>
      </c>
      <c r="W992" s="52" t="str">
        <f aca="false">IF($I992="","",IFERROR(IF(IF(ISNUMBER($I992),$I992,IFERROR(TIMEVALUE($I992),VALUE($I992)))&gt;=100,INT(IF(ISNUMBER($I992),$I992,IFERROR(TIMEVALUE($I992),VALUE($I992)))/100)*60+MOD(IF(ISNUMBER($I992),$I992,IFERROR(TIMEVALUE($I992),VALUE($I992))),100),IF(IF(ISNUMBER($I992),$I992,IFERROR(TIMEVALUE($I992),VALUE($I992)))&gt;=1,ROUND(IF(ISNUMBER($I992),$I992,IFERROR(TIMEVALUE($I992),VALUE($I992)))*60,0),ROUND(MOD(IF(ISNUMBER($I992),$I992,IFERROR(TIMEVALUE($I992),VALUE($I992))),1)*1440,0))),""))</f>
        <v/>
      </c>
      <c r="X992" s="55" t="str">
        <f aca="false">IF($P992="","",IFERROR(IF(ISNUMBER($P992),IF($P992&gt;19000000,DATE(INT($P992/10000),MOD(INT($P992/100),100),MOD($P992,100)),INT($P992)),IF(LEN(SUBSTITUTE(SUBSTITUTE(SUBSTITUTE(TRIM($P992),"-",""),".",""),"/",""))=8,DATE(VALUE(LEFT(SUBSTITUTE(SUBSTITUTE(SUBSTITUTE(TRIM($P992),"-",""),".",""),"/",""),4)),VALUE(MID(SUBSTITUTE(SUBSTITUTE(SUBSTITUTE(TRIM($P992),"-",""),".",""),"/",""),5,2)),VALUE(RIGHT(SUBSTITUTE(SUBSTITUTE(SUBSTITUTE(TRIM($P992),"-",""),".",""),"/",""),2))),DATEVALUE($P992))),""))</f>
        <v/>
      </c>
      <c r="Y992" s="56" t="str">
        <f aca="false">IF($M992="","",IFERROR(INDEX(강사DB!$D$4:$D$53,MATCH($M992,강사DB!$A$4:$A$53,0)),""))</f>
        <v/>
      </c>
      <c r="Z992" s="56" t="str">
        <f aca="false">IF($B992&lt;&gt;"결제완료","",IF(OR($Y992="",$J992=""),"",$Y992*$J992+MAX(0,N($K992)-1)*설정!$J$7))</f>
        <v/>
      </c>
      <c r="AA992" s="56" t="str">
        <f aca="false">IF(AND($D992&lt;&gt;"",$B992="결제완료"),N($N992),"")</f>
        <v/>
      </c>
      <c r="AB992" s="45" t="str">
        <f aca="false">IF($D992="","",IF($F992&lt;&gt;"",$F992,$D992)&amp;IF($B992="상담중"," (상담)",""))</f>
        <v/>
      </c>
      <c r="AC992" s="45" t="n">
        <f aca="false">IF(AND($D992&lt;&gt;"",OR($B992="결제완료",$B992="상담중")),1,0)</f>
        <v>0</v>
      </c>
      <c r="AD992" s="45" t="n">
        <f aca="false">IF(OR($Z992="",$U992=""),0,IFERROR(IF(COUNTIFS(INDEX(g_grid,0,2*MATCH($M992,강사DB!$A$4:$A$15,0)),"&lt;&gt;",g_s,"&lt;="&amp;$U992,g_e,"&gt;="&amp;$U992)&gt;0,1,0),0))</f>
        <v>0</v>
      </c>
      <c r="AE992" s="48"/>
      <c r="AF992" s="56" t="str">
        <f aca="false">IF(AND($D992&lt;&gt;"",$B992="결제완료",$T992="대여"),설정!$J$5,"")</f>
        <v/>
      </c>
      <c r="AG992" s="54" t="str">
        <f aca="false">IF($D992="","",IF(AND($E992="",$R992=""),$AB992,"☎ "&amp;IF($E992="","-",$E992)&amp;IF($R992&lt;&gt;"","  ※ "&amp;$R992,"")&amp;IF($B992="상담중"," (상담)","")))</f>
        <v/>
      </c>
      <c r="AH992" s="56" t="str">
        <f aca="false">IF(AND($D992&lt;&gt;"",$B992="결제완료",$O992="스마트스토어"),ROUND(N($N992)*설정!$J$6,0),"")</f>
        <v/>
      </c>
      <c r="AI992" s="54" t="str">
        <f aca="false">IF($D992="","",ROW())</f>
        <v/>
      </c>
      <c r="AJ992" s="54" t="n">
        <f aca="false">IF(OR($AC992&lt;&gt;1,$M992=""),0,IF(ISNUMBER(SEARCH("퇴사",IFERROR(INDEX(강사DB!$G$4:$G$53,MATCH($M992,강사DB!$A$4:$A$53,0)),""))),1,0))</f>
        <v>0</v>
      </c>
    </row>
    <row r="993" customFormat="false" ht="15" hidden="false" customHeight="false" outlineLevel="0" collapsed="false">
      <c r="A993" s="45" t="str">
        <f aca="false">IF($D993="","",COUNTA($D$5:$D993))</f>
        <v/>
      </c>
      <c r="B993" s="46"/>
      <c r="C993" s="47"/>
      <c r="D993" s="48"/>
      <c r="E993" s="48"/>
      <c r="F993" s="49"/>
      <c r="G993" s="47"/>
      <c r="H993" s="50"/>
      <c r="I993" s="50"/>
      <c r="J993" s="51" t="str">
        <f aca="false">IF(OR($V993="",$W993=""),"",ROUND(($W993-$V993)/60,2))</f>
        <v/>
      </c>
      <c r="K993" s="52" t="str">
        <f aca="false">IF($F993="","",LEN($F993)-LEN(SUBSTITUTE($F993,",",""))+1)</f>
        <v/>
      </c>
      <c r="L993" s="45" t="str">
        <f aca="false">IF($K993="","","1:"&amp;$K993)</f>
        <v/>
      </c>
      <c r="M993" s="46"/>
      <c r="N993" s="53"/>
      <c r="O993" s="46"/>
      <c r="P993" s="47"/>
      <c r="Q993" s="48"/>
      <c r="R993" s="49"/>
      <c r="S993" s="54" t="str">
        <f aca="false">IF(OR($AC993=0,$U993="",$M993="",$V993="",$W993=""),"",IF(COUNTIFS(m_teacher,$M993,m_date,$U993,m_active,1,m_start,"&lt;"&amp;$W993,m_end,"&gt;"&amp;$V993)&gt;1,"충돌",""))</f>
        <v/>
      </c>
      <c r="T993" s="48"/>
      <c r="U993" s="55" t="str">
        <f aca="false">IF($G993="","",IFERROR(IF(ISNUMBER($G993),IF($G993&gt;19000000,DATE(INT($G993/10000),MOD(INT($G993/100),100),MOD($G993,100)),INT($G993)),IF(LEN(SUBSTITUTE(SUBSTITUTE(SUBSTITUTE(TRIM($G993),"-",""),".",""),"/",""))=8,DATE(VALUE(LEFT(SUBSTITUTE(SUBSTITUTE(SUBSTITUTE(TRIM($G993),"-",""),".",""),"/",""),4)),VALUE(MID(SUBSTITUTE(SUBSTITUTE(SUBSTITUTE(TRIM($G993),"-",""),".",""),"/",""),5,2)),VALUE(RIGHT(SUBSTITUTE(SUBSTITUTE(SUBSTITUTE(TRIM($G993),"-",""),".",""),"/",""),2))),DATEVALUE($G993))),""))</f>
        <v/>
      </c>
      <c r="V993" s="52" t="str">
        <f aca="false">IF($H993="","",IFERROR(IF(IF(ISNUMBER($H993),$H993,IFERROR(TIMEVALUE($H993),VALUE($H993)))&gt;=100,INT(IF(ISNUMBER($H993),$H993,IFERROR(TIMEVALUE($H993),VALUE($H993)))/100)*60+MOD(IF(ISNUMBER($H993),$H993,IFERROR(TIMEVALUE($H993),VALUE($H993))),100),IF(IF(ISNUMBER($H993),$H993,IFERROR(TIMEVALUE($H993),VALUE($H993)))&gt;=1,ROUND(IF(ISNUMBER($H993),$H993,IFERROR(TIMEVALUE($H993),VALUE($H993)))*60,0),ROUND(MOD(IF(ISNUMBER($H993),$H993,IFERROR(TIMEVALUE($H993),VALUE($H993))),1)*1440,0))),""))</f>
        <v/>
      </c>
      <c r="W993" s="52" t="str">
        <f aca="false">IF($I993="","",IFERROR(IF(IF(ISNUMBER($I993),$I993,IFERROR(TIMEVALUE($I993),VALUE($I993)))&gt;=100,INT(IF(ISNUMBER($I993),$I993,IFERROR(TIMEVALUE($I993),VALUE($I993)))/100)*60+MOD(IF(ISNUMBER($I993),$I993,IFERROR(TIMEVALUE($I993),VALUE($I993))),100),IF(IF(ISNUMBER($I993),$I993,IFERROR(TIMEVALUE($I993),VALUE($I993)))&gt;=1,ROUND(IF(ISNUMBER($I993),$I993,IFERROR(TIMEVALUE($I993),VALUE($I993)))*60,0),ROUND(MOD(IF(ISNUMBER($I993),$I993,IFERROR(TIMEVALUE($I993),VALUE($I993))),1)*1440,0))),""))</f>
        <v/>
      </c>
      <c r="X993" s="55" t="str">
        <f aca="false">IF($P993="","",IFERROR(IF(ISNUMBER($P993),IF($P993&gt;19000000,DATE(INT($P993/10000),MOD(INT($P993/100),100),MOD($P993,100)),INT($P993)),IF(LEN(SUBSTITUTE(SUBSTITUTE(SUBSTITUTE(TRIM($P993),"-",""),".",""),"/",""))=8,DATE(VALUE(LEFT(SUBSTITUTE(SUBSTITUTE(SUBSTITUTE(TRIM($P993),"-",""),".",""),"/",""),4)),VALUE(MID(SUBSTITUTE(SUBSTITUTE(SUBSTITUTE(TRIM($P993),"-",""),".",""),"/",""),5,2)),VALUE(RIGHT(SUBSTITUTE(SUBSTITUTE(SUBSTITUTE(TRIM($P993),"-",""),".",""),"/",""),2))),DATEVALUE($P993))),""))</f>
        <v/>
      </c>
      <c r="Y993" s="56" t="str">
        <f aca="false">IF($M993="","",IFERROR(INDEX(강사DB!$D$4:$D$53,MATCH($M993,강사DB!$A$4:$A$53,0)),""))</f>
        <v/>
      </c>
      <c r="Z993" s="56" t="str">
        <f aca="false">IF($B993&lt;&gt;"결제완료","",IF(OR($Y993="",$J993=""),"",$Y993*$J993+MAX(0,N($K993)-1)*설정!$J$7))</f>
        <v/>
      </c>
      <c r="AA993" s="56" t="str">
        <f aca="false">IF(AND($D993&lt;&gt;"",$B993="결제완료"),N($N993),"")</f>
        <v/>
      </c>
      <c r="AB993" s="45" t="str">
        <f aca="false">IF($D993="","",IF($F993&lt;&gt;"",$F993,$D993)&amp;IF($B993="상담중"," (상담)",""))</f>
        <v/>
      </c>
      <c r="AC993" s="45" t="n">
        <f aca="false">IF(AND($D993&lt;&gt;"",OR($B993="결제완료",$B993="상담중")),1,0)</f>
        <v>0</v>
      </c>
      <c r="AD993" s="45" t="n">
        <f aca="false">IF(OR($Z993="",$U993=""),0,IFERROR(IF(COUNTIFS(INDEX(g_grid,0,2*MATCH($M993,강사DB!$A$4:$A$15,0)),"&lt;&gt;",g_s,"&lt;="&amp;$U993,g_e,"&gt;="&amp;$U993)&gt;0,1,0),0))</f>
        <v>0</v>
      </c>
      <c r="AE993" s="48"/>
      <c r="AF993" s="56" t="str">
        <f aca="false">IF(AND($D993&lt;&gt;"",$B993="결제완료",$T993="대여"),설정!$J$5,"")</f>
        <v/>
      </c>
      <c r="AG993" s="54" t="str">
        <f aca="false">IF($D993="","",IF(AND($E993="",$R993=""),$AB993,"☎ "&amp;IF($E993="","-",$E993)&amp;IF($R993&lt;&gt;"","  ※ "&amp;$R993,"")&amp;IF($B993="상담중"," (상담)","")))</f>
        <v/>
      </c>
      <c r="AH993" s="56" t="str">
        <f aca="false">IF(AND($D993&lt;&gt;"",$B993="결제완료",$O993="스마트스토어"),ROUND(N($N993)*설정!$J$6,0),"")</f>
        <v/>
      </c>
      <c r="AI993" s="54" t="str">
        <f aca="false">IF($D993="","",ROW())</f>
        <v/>
      </c>
      <c r="AJ993" s="54" t="n">
        <f aca="false">IF(OR($AC993&lt;&gt;1,$M993=""),0,IF(ISNUMBER(SEARCH("퇴사",IFERROR(INDEX(강사DB!$G$4:$G$53,MATCH($M993,강사DB!$A$4:$A$53,0)),""))),1,0))</f>
        <v>0</v>
      </c>
    </row>
    <row r="994" customFormat="false" ht="15" hidden="false" customHeight="false" outlineLevel="0" collapsed="false">
      <c r="A994" s="45" t="str">
        <f aca="false">IF($D994="","",COUNTA($D$5:$D994))</f>
        <v/>
      </c>
      <c r="B994" s="46"/>
      <c r="C994" s="47"/>
      <c r="D994" s="48"/>
      <c r="E994" s="48"/>
      <c r="F994" s="49"/>
      <c r="G994" s="47"/>
      <c r="H994" s="50"/>
      <c r="I994" s="50"/>
      <c r="J994" s="51" t="str">
        <f aca="false">IF(OR($V994="",$W994=""),"",ROUND(($W994-$V994)/60,2))</f>
        <v/>
      </c>
      <c r="K994" s="52" t="str">
        <f aca="false">IF($F994="","",LEN($F994)-LEN(SUBSTITUTE($F994,",",""))+1)</f>
        <v/>
      </c>
      <c r="L994" s="45" t="str">
        <f aca="false">IF($K994="","","1:"&amp;$K994)</f>
        <v/>
      </c>
      <c r="M994" s="46"/>
      <c r="N994" s="53"/>
      <c r="O994" s="46"/>
      <c r="P994" s="47"/>
      <c r="Q994" s="48"/>
      <c r="R994" s="49"/>
      <c r="S994" s="54" t="str">
        <f aca="false">IF(OR($AC994=0,$U994="",$M994="",$V994="",$W994=""),"",IF(COUNTIFS(m_teacher,$M994,m_date,$U994,m_active,1,m_start,"&lt;"&amp;$W994,m_end,"&gt;"&amp;$V994)&gt;1,"충돌",""))</f>
        <v/>
      </c>
      <c r="T994" s="48"/>
      <c r="U994" s="55" t="str">
        <f aca="false">IF($G994="","",IFERROR(IF(ISNUMBER($G994),IF($G994&gt;19000000,DATE(INT($G994/10000),MOD(INT($G994/100),100),MOD($G994,100)),INT($G994)),IF(LEN(SUBSTITUTE(SUBSTITUTE(SUBSTITUTE(TRIM($G994),"-",""),".",""),"/",""))=8,DATE(VALUE(LEFT(SUBSTITUTE(SUBSTITUTE(SUBSTITUTE(TRIM($G994),"-",""),".",""),"/",""),4)),VALUE(MID(SUBSTITUTE(SUBSTITUTE(SUBSTITUTE(TRIM($G994),"-",""),".",""),"/",""),5,2)),VALUE(RIGHT(SUBSTITUTE(SUBSTITUTE(SUBSTITUTE(TRIM($G994),"-",""),".",""),"/",""),2))),DATEVALUE($G994))),""))</f>
        <v/>
      </c>
      <c r="V994" s="52" t="str">
        <f aca="false">IF($H994="","",IFERROR(IF(IF(ISNUMBER($H994),$H994,IFERROR(TIMEVALUE($H994),VALUE($H994)))&gt;=100,INT(IF(ISNUMBER($H994),$H994,IFERROR(TIMEVALUE($H994),VALUE($H994)))/100)*60+MOD(IF(ISNUMBER($H994),$H994,IFERROR(TIMEVALUE($H994),VALUE($H994))),100),IF(IF(ISNUMBER($H994),$H994,IFERROR(TIMEVALUE($H994),VALUE($H994)))&gt;=1,ROUND(IF(ISNUMBER($H994),$H994,IFERROR(TIMEVALUE($H994),VALUE($H994)))*60,0),ROUND(MOD(IF(ISNUMBER($H994),$H994,IFERROR(TIMEVALUE($H994),VALUE($H994))),1)*1440,0))),""))</f>
        <v/>
      </c>
      <c r="W994" s="52" t="str">
        <f aca="false">IF($I994="","",IFERROR(IF(IF(ISNUMBER($I994),$I994,IFERROR(TIMEVALUE($I994),VALUE($I994)))&gt;=100,INT(IF(ISNUMBER($I994),$I994,IFERROR(TIMEVALUE($I994),VALUE($I994)))/100)*60+MOD(IF(ISNUMBER($I994),$I994,IFERROR(TIMEVALUE($I994),VALUE($I994))),100),IF(IF(ISNUMBER($I994),$I994,IFERROR(TIMEVALUE($I994),VALUE($I994)))&gt;=1,ROUND(IF(ISNUMBER($I994),$I994,IFERROR(TIMEVALUE($I994),VALUE($I994)))*60,0),ROUND(MOD(IF(ISNUMBER($I994),$I994,IFERROR(TIMEVALUE($I994),VALUE($I994))),1)*1440,0))),""))</f>
        <v/>
      </c>
      <c r="X994" s="55" t="str">
        <f aca="false">IF($P994="","",IFERROR(IF(ISNUMBER($P994),IF($P994&gt;19000000,DATE(INT($P994/10000),MOD(INT($P994/100),100),MOD($P994,100)),INT($P994)),IF(LEN(SUBSTITUTE(SUBSTITUTE(SUBSTITUTE(TRIM($P994),"-",""),".",""),"/",""))=8,DATE(VALUE(LEFT(SUBSTITUTE(SUBSTITUTE(SUBSTITUTE(TRIM($P994),"-",""),".",""),"/",""),4)),VALUE(MID(SUBSTITUTE(SUBSTITUTE(SUBSTITUTE(TRIM($P994),"-",""),".",""),"/",""),5,2)),VALUE(RIGHT(SUBSTITUTE(SUBSTITUTE(SUBSTITUTE(TRIM($P994),"-",""),".",""),"/",""),2))),DATEVALUE($P994))),""))</f>
        <v/>
      </c>
      <c r="Y994" s="56" t="str">
        <f aca="false">IF($M994="","",IFERROR(INDEX(강사DB!$D$4:$D$53,MATCH($M994,강사DB!$A$4:$A$53,0)),""))</f>
        <v/>
      </c>
      <c r="Z994" s="56" t="str">
        <f aca="false">IF($B994&lt;&gt;"결제완료","",IF(OR($Y994="",$J994=""),"",$Y994*$J994+MAX(0,N($K994)-1)*설정!$J$7))</f>
        <v/>
      </c>
      <c r="AA994" s="56" t="str">
        <f aca="false">IF(AND($D994&lt;&gt;"",$B994="결제완료"),N($N994),"")</f>
        <v/>
      </c>
      <c r="AB994" s="45" t="str">
        <f aca="false">IF($D994="","",IF($F994&lt;&gt;"",$F994,$D994)&amp;IF($B994="상담중"," (상담)",""))</f>
        <v/>
      </c>
      <c r="AC994" s="45" t="n">
        <f aca="false">IF(AND($D994&lt;&gt;"",OR($B994="결제완료",$B994="상담중")),1,0)</f>
        <v>0</v>
      </c>
      <c r="AD994" s="45" t="n">
        <f aca="false">IF(OR($Z994="",$U994=""),0,IFERROR(IF(COUNTIFS(INDEX(g_grid,0,2*MATCH($M994,강사DB!$A$4:$A$15,0)),"&lt;&gt;",g_s,"&lt;="&amp;$U994,g_e,"&gt;="&amp;$U994)&gt;0,1,0),0))</f>
        <v>0</v>
      </c>
      <c r="AE994" s="48"/>
      <c r="AF994" s="56" t="str">
        <f aca="false">IF(AND($D994&lt;&gt;"",$B994="결제완료",$T994="대여"),설정!$J$5,"")</f>
        <v/>
      </c>
      <c r="AG994" s="54" t="str">
        <f aca="false">IF($D994="","",IF(AND($E994="",$R994=""),$AB994,"☎ "&amp;IF($E994="","-",$E994)&amp;IF($R994&lt;&gt;"","  ※ "&amp;$R994,"")&amp;IF($B994="상담중"," (상담)","")))</f>
        <v/>
      </c>
      <c r="AH994" s="56" t="str">
        <f aca="false">IF(AND($D994&lt;&gt;"",$B994="결제완료",$O994="스마트스토어"),ROUND(N($N994)*설정!$J$6,0),"")</f>
        <v/>
      </c>
      <c r="AI994" s="54" t="str">
        <f aca="false">IF($D994="","",ROW())</f>
        <v/>
      </c>
      <c r="AJ994" s="54" t="n">
        <f aca="false">IF(OR($AC994&lt;&gt;1,$M994=""),0,IF(ISNUMBER(SEARCH("퇴사",IFERROR(INDEX(강사DB!$G$4:$G$53,MATCH($M994,강사DB!$A$4:$A$53,0)),""))),1,0))</f>
        <v>0</v>
      </c>
    </row>
    <row r="995" customFormat="false" ht="15" hidden="false" customHeight="false" outlineLevel="0" collapsed="false">
      <c r="A995" s="45" t="str">
        <f aca="false">IF($D995="","",COUNTA($D$5:$D995))</f>
        <v/>
      </c>
      <c r="B995" s="46"/>
      <c r="C995" s="47"/>
      <c r="D995" s="48"/>
      <c r="E995" s="48"/>
      <c r="F995" s="49"/>
      <c r="G995" s="47"/>
      <c r="H995" s="50"/>
      <c r="I995" s="50"/>
      <c r="J995" s="51" t="str">
        <f aca="false">IF(OR($V995="",$W995=""),"",ROUND(($W995-$V995)/60,2))</f>
        <v/>
      </c>
      <c r="K995" s="52" t="str">
        <f aca="false">IF($F995="","",LEN($F995)-LEN(SUBSTITUTE($F995,",",""))+1)</f>
        <v/>
      </c>
      <c r="L995" s="45" t="str">
        <f aca="false">IF($K995="","","1:"&amp;$K995)</f>
        <v/>
      </c>
      <c r="M995" s="46"/>
      <c r="N995" s="53"/>
      <c r="O995" s="46"/>
      <c r="P995" s="47"/>
      <c r="Q995" s="48"/>
      <c r="R995" s="49"/>
      <c r="S995" s="54" t="str">
        <f aca="false">IF(OR($AC995=0,$U995="",$M995="",$V995="",$W995=""),"",IF(COUNTIFS(m_teacher,$M995,m_date,$U995,m_active,1,m_start,"&lt;"&amp;$W995,m_end,"&gt;"&amp;$V995)&gt;1,"충돌",""))</f>
        <v/>
      </c>
      <c r="T995" s="48"/>
      <c r="U995" s="55" t="str">
        <f aca="false">IF($G995="","",IFERROR(IF(ISNUMBER($G995),IF($G995&gt;19000000,DATE(INT($G995/10000),MOD(INT($G995/100),100),MOD($G995,100)),INT($G995)),IF(LEN(SUBSTITUTE(SUBSTITUTE(SUBSTITUTE(TRIM($G995),"-",""),".",""),"/",""))=8,DATE(VALUE(LEFT(SUBSTITUTE(SUBSTITUTE(SUBSTITUTE(TRIM($G995),"-",""),".",""),"/",""),4)),VALUE(MID(SUBSTITUTE(SUBSTITUTE(SUBSTITUTE(TRIM($G995),"-",""),".",""),"/",""),5,2)),VALUE(RIGHT(SUBSTITUTE(SUBSTITUTE(SUBSTITUTE(TRIM($G995),"-",""),".",""),"/",""),2))),DATEVALUE($G995))),""))</f>
        <v/>
      </c>
      <c r="V995" s="52" t="str">
        <f aca="false">IF($H995="","",IFERROR(IF(IF(ISNUMBER($H995),$H995,IFERROR(TIMEVALUE($H995),VALUE($H995)))&gt;=100,INT(IF(ISNUMBER($H995),$H995,IFERROR(TIMEVALUE($H995),VALUE($H995)))/100)*60+MOD(IF(ISNUMBER($H995),$H995,IFERROR(TIMEVALUE($H995),VALUE($H995))),100),IF(IF(ISNUMBER($H995),$H995,IFERROR(TIMEVALUE($H995),VALUE($H995)))&gt;=1,ROUND(IF(ISNUMBER($H995),$H995,IFERROR(TIMEVALUE($H995),VALUE($H995)))*60,0),ROUND(MOD(IF(ISNUMBER($H995),$H995,IFERROR(TIMEVALUE($H995),VALUE($H995))),1)*1440,0))),""))</f>
        <v/>
      </c>
      <c r="W995" s="52" t="str">
        <f aca="false">IF($I995="","",IFERROR(IF(IF(ISNUMBER($I995),$I995,IFERROR(TIMEVALUE($I995),VALUE($I995)))&gt;=100,INT(IF(ISNUMBER($I995),$I995,IFERROR(TIMEVALUE($I995),VALUE($I995)))/100)*60+MOD(IF(ISNUMBER($I995),$I995,IFERROR(TIMEVALUE($I995),VALUE($I995))),100),IF(IF(ISNUMBER($I995),$I995,IFERROR(TIMEVALUE($I995),VALUE($I995)))&gt;=1,ROUND(IF(ISNUMBER($I995),$I995,IFERROR(TIMEVALUE($I995),VALUE($I995)))*60,0),ROUND(MOD(IF(ISNUMBER($I995),$I995,IFERROR(TIMEVALUE($I995),VALUE($I995))),1)*1440,0))),""))</f>
        <v/>
      </c>
      <c r="X995" s="55" t="str">
        <f aca="false">IF($P995="","",IFERROR(IF(ISNUMBER($P995),IF($P995&gt;19000000,DATE(INT($P995/10000),MOD(INT($P995/100),100),MOD($P995,100)),INT($P995)),IF(LEN(SUBSTITUTE(SUBSTITUTE(SUBSTITUTE(TRIM($P995),"-",""),".",""),"/",""))=8,DATE(VALUE(LEFT(SUBSTITUTE(SUBSTITUTE(SUBSTITUTE(TRIM($P995),"-",""),".",""),"/",""),4)),VALUE(MID(SUBSTITUTE(SUBSTITUTE(SUBSTITUTE(TRIM($P995),"-",""),".",""),"/",""),5,2)),VALUE(RIGHT(SUBSTITUTE(SUBSTITUTE(SUBSTITUTE(TRIM($P995),"-",""),".",""),"/",""),2))),DATEVALUE($P995))),""))</f>
        <v/>
      </c>
      <c r="Y995" s="56" t="str">
        <f aca="false">IF($M995="","",IFERROR(INDEX(강사DB!$D$4:$D$53,MATCH($M995,강사DB!$A$4:$A$53,0)),""))</f>
        <v/>
      </c>
      <c r="Z995" s="56" t="str">
        <f aca="false">IF($B995&lt;&gt;"결제완료","",IF(OR($Y995="",$J995=""),"",$Y995*$J995+MAX(0,N($K995)-1)*설정!$J$7))</f>
        <v/>
      </c>
      <c r="AA995" s="56" t="str">
        <f aca="false">IF(AND($D995&lt;&gt;"",$B995="결제완료"),N($N995),"")</f>
        <v/>
      </c>
      <c r="AB995" s="45" t="str">
        <f aca="false">IF($D995="","",IF($F995&lt;&gt;"",$F995,$D995)&amp;IF($B995="상담중"," (상담)",""))</f>
        <v/>
      </c>
      <c r="AC995" s="45" t="n">
        <f aca="false">IF(AND($D995&lt;&gt;"",OR($B995="결제완료",$B995="상담중")),1,0)</f>
        <v>0</v>
      </c>
      <c r="AD995" s="45" t="n">
        <f aca="false">IF(OR($Z995="",$U995=""),0,IFERROR(IF(COUNTIFS(INDEX(g_grid,0,2*MATCH($M995,강사DB!$A$4:$A$15,0)),"&lt;&gt;",g_s,"&lt;="&amp;$U995,g_e,"&gt;="&amp;$U995)&gt;0,1,0),0))</f>
        <v>0</v>
      </c>
      <c r="AE995" s="48"/>
      <c r="AF995" s="56" t="str">
        <f aca="false">IF(AND($D995&lt;&gt;"",$B995="결제완료",$T995="대여"),설정!$J$5,"")</f>
        <v/>
      </c>
      <c r="AG995" s="54" t="str">
        <f aca="false">IF($D995="","",IF(AND($E995="",$R995=""),$AB995,"☎ "&amp;IF($E995="","-",$E995)&amp;IF($R995&lt;&gt;"","  ※ "&amp;$R995,"")&amp;IF($B995="상담중"," (상담)","")))</f>
        <v/>
      </c>
      <c r="AH995" s="56" t="str">
        <f aca="false">IF(AND($D995&lt;&gt;"",$B995="결제완료",$O995="스마트스토어"),ROUND(N($N995)*설정!$J$6,0),"")</f>
        <v/>
      </c>
      <c r="AI995" s="54" t="str">
        <f aca="false">IF($D995="","",ROW())</f>
        <v/>
      </c>
      <c r="AJ995" s="54" t="n">
        <f aca="false">IF(OR($AC995&lt;&gt;1,$M995=""),0,IF(ISNUMBER(SEARCH("퇴사",IFERROR(INDEX(강사DB!$G$4:$G$53,MATCH($M995,강사DB!$A$4:$A$53,0)),""))),1,0))</f>
        <v>0</v>
      </c>
    </row>
    <row r="996" customFormat="false" ht="15" hidden="false" customHeight="false" outlineLevel="0" collapsed="false">
      <c r="A996" s="45" t="str">
        <f aca="false">IF($D996="","",COUNTA($D$5:$D996))</f>
        <v/>
      </c>
      <c r="B996" s="46"/>
      <c r="C996" s="47"/>
      <c r="D996" s="48"/>
      <c r="E996" s="48"/>
      <c r="F996" s="49"/>
      <c r="G996" s="47"/>
      <c r="H996" s="50"/>
      <c r="I996" s="50"/>
      <c r="J996" s="51" t="str">
        <f aca="false">IF(OR($V996="",$W996=""),"",ROUND(($W996-$V996)/60,2))</f>
        <v/>
      </c>
      <c r="K996" s="52" t="str">
        <f aca="false">IF($F996="","",LEN($F996)-LEN(SUBSTITUTE($F996,",",""))+1)</f>
        <v/>
      </c>
      <c r="L996" s="45" t="str">
        <f aca="false">IF($K996="","","1:"&amp;$K996)</f>
        <v/>
      </c>
      <c r="M996" s="46"/>
      <c r="N996" s="53"/>
      <c r="O996" s="46"/>
      <c r="P996" s="47"/>
      <c r="Q996" s="48"/>
      <c r="R996" s="49"/>
      <c r="S996" s="54" t="str">
        <f aca="false">IF(OR($AC996=0,$U996="",$M996="",$V996="",$W996=""),"",IF(COUNTIFS(m_teacher,$M996,m_date,$U996,m_active,1,m_start,"&lt;"&amp;$W996,m_end,"&gt;"&amp;$V996)&gt;1,"충돌",""))</f>
        <v/>
      </c>
      <c r="T996" s="48"/>
      <c r="U996" s="55" t="str">
        <f aca="false">IF($G996="","",IFERROR(IF(ISNUMBER($G996),IF($G996&gt;19000000,DATE(INT($G996/10000),MOD(INT($G996/100),100),MOD($G996,100)),INT($G996)),IF(LEN(SUBSTITUTE(SUBSTITUTE(SUBSTITUTE(TRIM($G996),"-",""),".",""),"/",""))=8,DATE(VALUE(LEFT(SUBSTITUTE(SUBSTITUTE(SUBSTITUTE(TRIM($G996),"-",""),".",""),"/",""),4)),VALUE(MID(SUBSTITUTE(SUBSTITUTE(SUBSTITUTE(TRIM($G996),"-",""),".",""),"/",""),5,2)),VALUE(RIGHT(SUBSTITUTE(SUBSTITUTE(SUBSTITUTE(TRIM($G996),"-",""),".",""),"/",""),2))),DATEVALUE($G996))),""))</f>
        <v/>
      </c>
      <c r="V996" s="52" t="str">
        <f aca="false">IF($H996="","",IFERROR(IF(IF(ISNUMBER($H996),$H996,IFERROR(TIMEVALUE($H996),VALUE($H996)))&gt;=100,INT(IF(ISNUMBER($H996),$H996,IFERROR(TIMEVALUE($H996),VALUE($H996)))/100)*60+MOD(IF(ISNUMBER($H996),$H996,IFERROR(TIMEVALUE($H996),VALUE($H996))),100),IF(IF(ISNUMBER($H996),$H996,IFERROR(TIMEVALUE($H996),VALUE($H996)))&gt;=1,ROUND(IF(ISNUMBER($H996),$H996,IFERROR(TIMEVALUE($H996),VALUE($H996)))*60,0),ROUND(MOD(IF(ISNUMBER($H996),$H996,IFERROR(TIMEVALUE($H996),VALUE($H996))),1)*1440,0))),""))</f>
        <v/>
      </c>
      <c r="W996" s="52" t="str">
        <f aca="false">IF($I996="","",IFERROR(IF(IF(ISNUMBER($I996),$I996,IFERROR(TIMEVALUE($I996),VALUE($I996)))&gt;=100,INT(IF(ISNUMBER($I996),$I996,IFERROR(TIMEVALUE($I996),VALUE($I996)))/100)*60+MOD(IF(ISNUMBER($I996),$I996,IFERROR(TIMEVALUE($I996),VALUE($I996))),100),IF(IF(ISNUMBER($I996),$I996,IFERROR(TIMEVALUE($I996),VALUE($I996)))&gt;=1,ROUND(IF(ISNUMBER($I996),$I996,IFERROR(TIMEVALUE($I996),VALUE($I996)))*60,0),ROUND(MOD(IF(ISNUMBER($I996),$I996,IFERROR(TIMEVALUE($I996),VALUE($I996))),1)*1440,0))),""))</f>
        <v/>
      </c>
      <c r="X996" s="55" t="str">
        <f aca="false">IF($P996="","",IFERROR(IF(ISNUMBER($P996),IF($P996&gt;19000000,DATE(INT($P996/10000),MOD(INT($P996/100),100),MOD($P996,100)),INT($P996)),IF(LEN(SUBSTITUTE(SUBSTITUTE(SUBSTITUTE(TRIM($P996),"-",""),".",""),"/",""))=8,DATE(VALUE(LEFT(SUBSTITUTE(SUBSTITUTE(SUBSTITUTE(TRIM($P996),"-",""),".",""),"/",""),4)),VALUE(MID(SUBSTITUTE(SUBSTITUTE(SUBSTITUTE(TRIM($P996),"-",""),".",""),"/",""),5,2)),VALUE(RIGHT(SUBSTITUTE(SUBSTITUTE(SUBSTITUTE(TRIM($P996),"-",""),".",""),"/",""),2))),DATEVALUE($P996))),""))</f>
        <v/>
      </c>
      <c r="Y996" s="56" t="str">
        <f aca="false">IF($M996="","",IFERROR(INDEX(강사DB!$D$4:$D$53,MATCH($M996,강사DB!$A$4:$A$53,0)),""))</f>
        <v/>
      </c>
      <c r="Z996" s="56" t="str">
        <f aca="false">IF($B996&lt;&gt;"결제완료","",IF(OR($Y996="",$J996=""),"",$Y996*$J996+MAX(0,N($K996)-1)*설정!$J$7))</f>
        <v/>
      </c>
      <c r="AA996" s="56" t="str">
        <f aca="false">IF(AND($D996&lt;&gt;"",$B996="결제완료"),N($N996),"")</f>
        <v/>
      </c>
      <c r="AB996" s="45" t="str">
        <f aca="false">IF($D996="","",IF($F996&lt;&gt;"",$F996,$D996)&amp;IF($B996="상담중"," (상담)",""))</f>
        <v/>
      </c>
      <c r="AC996" s="45" t="n">
        <f aca="false">IF(AND($D996&lt;&gt;"",OR($B996="결제완료",$B996="상담중")),1,0)</f>
        <v>0</v>
      </c>
      <c r="AD996" s="45" t="n">
        <f aca="false">IF(OR($Z996="",$U996=""),0,IFERROR(IF(COUNTIFS(INDEX(g_grid,0,2*MATCH($M996,강사DB!$A$4:$A$15,0)),"&lt;&gt;",g_s,"&lt;="&amp;$U996,g_e,"&gt;="&amp;$U996)&gt;0,1,0),0))</f>
        <v>0</v>
      </c>
      <c r="AE996" s="48"/>
      <c r="AF996" s="56" t="str">
        <f aca="false">IF(AND($D996&lt;&gt;"",$B996="결제완료",$T996="대여"),설정!$J$5,"")</f>
        <v/>
      </c>
      <c r="AG996" s="54" t="str">
        <f aca="false">IF($D996="","",IF(AND($E996="",$R996=""),$AB996,"☎ "&amp;IF($E996="","-",$E996)&amp;IF($R996&lt;&gt;"","  ※ "&amp;$R996,"")&amp;IF($B996="상담중"," (상담)","")))</f>
        <v/>
      </c>
      <c r="AH996" s="56" t="str">
        <f aca="false">IF(AND($D996&lt;&gt;"",$B996="결제완료",$O996="스마트스토어"),ROUND(N($N996)*설정!$J$6,0),"")</f>
        <v/>
      </c>
      <c r="AI996" s="54" t="str">
        <f aca="false">IF($D996="","",ROW())</f>
        <v/>
      </c>
      <c r="AJ996" s="54" t="n">
        <f aca="false">IF(OR($AC996&lt;&gt;1,$M996=""),0,IF(ISNUMBER(SEARCH("퇴사",IFERROR(INDEX(강사DB!$G$4:$G$53,MATCH($M996,강사DB!$A$4:$A$53,0)),""))),1,0))</f>
        <v>0</v>
      </c>
    </row>
    <row r="997" customFormat="false" ht="15" hidden="false" customHeight="false" outlineLevel="0" collapsed="false">
      <c r="A997" s="45" t="str">
        <f aca="false">IF($D997="","",COUNTA($D$5:$D997))</f>
        <v/>
      </c>
      <c r="B997" s="46"/>
      <c r="C997" s="47"/>
      <c r="D997" s="48"/>
      <c r="E997" s="48"/>
      <c r="F997" s="49"/>
      <c r="G997" s="47"/>
      <c r="H997" s="50"/>
      <c r="I997" s="50"/>
      <c r="J997" s="51" t="str">
        <f aca="false">IF(OR($V997="",$W997=""),"",ROUND(($W997-$V997)/60,2))</f>
        <v/>
      </c>
      <c r="K997" s="52" t="str">
        <f aca="false">IF($F997="","",LEN($F997)-LEN(SUBSTITUTE($F997,",",""))+1)</f>
        <v/>
      </c>
      <c r="L997" s="45" t="str">
        <f aca="false">IF($K997="","","1:"&amp;$K997)</f>
        <v/>
      </c>
      <c r="M997" s="46"/>
      <c r="N997" s="53"/>
      <c r="O997" s="46"/>
      <c r="P997" s="47"/>
      <c r="Q997" s="48"/>
      <c r="R997" s="49"/>
      <c r="S997" s="54" t="str">
        <f aca="false">IF(OR($AC997=0,$U997="",$M997="",$V997="",$W997=""),"",IF(COUNTIFS(m_teacher,$M997,m_date,$U997,m_active,1,m_start,"&lt;"&amp;$W997,m_end,"&gt;"&amp;$V997)&gt;1,"충돌",""))</f>
        <v/>
      </c>
      <c r="T997" s="48"/>
      <c r="U997" s="55" t="str">
        <f aca="false">IF($G997="","",IFERROR(IF(ISNUMBER($G997),IF($G997&gt;19000000,DATE(INT($G997/10000),MOD(INT($G997/100),100),MOD($G997,100)),INT($G997)),IF(LEN(SUBSTITUTE(SUBSTITUTE(SUBSTITUTE(TRIM($G997),"-",""),".",""),"/",""))=8,DATE(VALUE(LEFT(SUBSTITUTE(SUBSTITUTE(SUBSTITUTE(TRIM($G997),"-",""),".",""),"/",""),4)),VALUE(MID(SUBSTITUTE(SUBSTITUTE(SUBSTITUTE(TRIM($G997),"-",""),".",""),"/",""),5,2)),VALUE(RIGHT(SUBSTITUTE(SUBSTITUTE(SUBSTITUTE(TRIM($G997),"-",""),".",""),"/",""),2))),DATEVALUE($G997))),""))</f>
        <v/>
      </c>
      <c r="V997" s="52" t="str">
        <f aca="false">IF($H997="","",IFERROR(IF(IF(ISNUMBER($H997),$H997,IFERROR(TIMEVALUE($H997),VALUE($H997)))&gt;=100,INT(IF(ISNUMBER($H997),$H997,IFERROR(TIMEVALUE($H997),VALUE($H997)))/100)*60+MOD(IF(ISNUMBER($H997),$H997,IFERROR(TIMEVALUE($H997),VALUE($H997))),100),IF(IF(ISNUMBER($H997),$H997,IFERROR(TIMEVALUE($H997),VALUE($H997)))&gt;=1,ROUND(IF(ISNUMBER($H997),$H997,IFERROR(TIMEVALUE($H997),VALUE($H997)))*60,0),ROUND(MOD(IF(ISNUMBER($H997),$H997,IFERROR(TIMEVALUE($H997),VALUE($H997))),1)*1440,0))),""))</f>
        <v/>
      </c>
      <c r="W997" s="52" t="str">
        <f aca="false">IF($I997="","",IFERROR(IF(IF(ISNUMBER($I997),$I997,IFERROR(TIMEVALUE($I997),VALUE($I997)))&gt;=100,INT(IF(ISNUMBER($I997),$I997,IFERROR(TIMEVALUE($I997),VALUE($I997)))/100)*60+MOD(IF(ISNUMBER($I997),$I997,IFERROR(TIMEVALUE($I997),VALUE($I997))),100),IF(IF(ISNUMBER($I997),$I997,IFERROR(TIMEVALUE($I997),VALUE($I997)))&gt;=1,ROUND(IF(ISNUMBER($I997),$I997,IFERROR(TIMEVALUE($I997),VALUE($I997)))*60,0),ROUND(MOD(IF(ISNUMBER($I997),$I997,IFERROR(TIMEVALUE($I997),VALUE($I997))),1)*1440,0))),""))</f>
        <v/>
      </c>
      <c r="X997" s="55" t="str">
        <f aca="false">IF($P997="","",IFERROR(IF(ISNUMBER($P997),IF($P997&gt;19000000,DATE(INT($P997/10000),MOD(INT($P997/100),100),MOD($P997,100)),INT($P997)),IF(LEN(SUBSTITUTE(SUBSTITUTE(SUBSTITUTE(TRIM($P997),"-",""),".",""),"/",""))=8,DATE(VALUE(LEFT(SUBSTITUTE(SUBSTITUTE(SUBSTITUTE(TRIM($P997),"-",""),".",""),"/",""),4)),VALUE(MID(SUBSTITUTE(SUBSTITUTE(SUBSTITUTE(TRIM($P997),"-",""),".",""),"/",""),5,2)),VALUE(RIGHT(SUBSTITUTE(SUBSTITUTE(SUBSTITUTE(TRIM($P997),"-",""),".",""),"/",""),2))),DATEVALUE($P997))),""))</f>
        <v/>
      </c>
      <c r="Y997" s="56" t="str">
        <f aca="false">IF($M997="","",IFERROR(INDEX(강사DB!$D$4:$D$53,MATCH($M997,강사DB!$A$4:$A$53,0)),""))</f>
        <v/>
      </c>
      <c r="Z997" s="56" t="str">
        <f aca="false">IF($B997&lt;&gt;"결제완료","",IF(OR($Y997="",$J997=""),"",$Y997*$J997+MAX(0,N($K997)-1)*설정!$J$7))</f>
        <v/>
      </c>
      <c r="AA997" s="56" t="str">
        <f aca="false">IF(AND($D997&lt;&gt;"",$B997="결제완료"),N($N997),"")</f>
        <v/>
      </c>
      <c r="AB997" s="45" t="str">
        <f aca="false">IF($D997="","",IF($F997&lt;&gt;"",$F997,$D997)&amp;IF($B997="상담중"," (상담)",""))</f>
        <v/>
      </c>
      <c r="AC997" s="45" t="n">
        <f aca="false">IF(AND($D997&lt;&gt;"",OR($B997="결제완료",$B997="상담중")),1,0)</f>
        <v>0</v>
      </c>
      <c r="AD997" s="45" t="n">
        <f aca="false">IF(OR($Z997="",$U997=""),0,IFERROR(IF(COUNTIFS(INDEX(g_grid,0,2*MATCH($M997,강사DB!$A$4:$A$15,0)),"&lt;&gt;",g_s,"&lt;="&amp;$U997,g_e,"&gt;="&amp;$U997)&gt;0,1,0),0))</f>
        <v>0</v>
      </c>
      <c r="AE997" s="48"/>
      <c r="AF997" s="56" t="str">
        <f aca="false">IF(AND($D997&lt;&gt;"",$B997="결제완료",$T997="대여"),설정!$J$5,"")</f>
        <v/>
      </c>
      <c r="AG997" s="54" t="str">
        <f aca="false">IF($D997="","",IF(AND($E997="",$R997=""),$AB997,"☎ "&amp;IF($E997="","-",$E997)&amp;IF($R997&lt;&gt;"","  ※ "&amp;$R997,"")&amp;IF($B997="상담중"," (상담)","")))</f>
        <v/>
      </c>
      <c r="AH997" s="56" t="str">
        <f aca="false">IF(AND($D997&lt;&gt;"",$B997="결제완료",$O997="스마트스토어"),ROUND(N($N997)*설정!$J$6,0),"")</f>
        <v/>
      </c>
      <c r="AI997" s="54" t="str">
        <f aca="false">IF($D997="","",ROW())</f>
        <v/>
      </c>
      <c r="AJ997" s="54" t="n">
        <f aca="false">IF(OR($AC997&lt;&gt;1,$M997=""),0,IF(ISNUMBER(SEARCH("퇴사",IFERROR(INDEX(강사DB!$G$4:$G$53,MATCH($M997,강사DB!$A$4:$A$53,0)),""))),1,0))</f>
        <v>0</v>
      </c>
    </row>
    <row r="998" customFormat="false" ht="15" hidden="false" customHeight="false" outlineLevel="0" collapsed="false">
      <c r="A998" s="45" t="str">
        <f aca="false">IF($D998="","",COUNTA($D$5:$D998))</f>
        <v/>
      </c>
      <c r="B998" s="46"/>
      <c r="C998" s="47"/>
      <c r="D998" s="48"/>
      <c r="E998" s="48"/>
      <c r="F998" s="49"/>
      <c r="G998" s="47"/>
      <c r="H998" s="50"/>
      <c r="I998" s="50"/>
      <c r="J998" s="51" t="str">
        <f aca="false">IF(OR($V998="",$W998=""),"",ROUND(($W998-$V998)/60,2))</f>
        <v/>
      </c>
      <c r="K998" s="52" t="str">
        <f aca="false">IF($F998="","",LEN($F998)-LEN(SUBSTITUTE($F998,",",""))+1)</f>
        <v/>
      </c>
      <c r="L998" s="45" t="str">
        <f aca="false">IF($K998="","","1:"&amp;$K998)</f>
        <v/>
      </c>
      <c r="M998" s="46"/>
      <c r="N998" s="53"/>
      <c r="O998" s="46"/>
      <c r="P998" s="47"/>
      <c r="Q998" s="48"/>
      <c r="R998" s="49"/>
      <c r="S998" s="54" t="str">
        <f aca="false">IF(OR($AC998=0,$U998="",$M998="",$V998="",$W998=""),"",IF(COUNTIFS(m_teacher,$M998,m_date,$U998,m_active,1,m_start,"&lt;"&amp;$W998,m_end,"&gt;"&amp;$V998)&gt;1,"충돌",""))</f>
        <v/>
      </c>
      <c r="T998" s="48"/>
      <c r="U998" s="55" t="str">
        <f aca="false">IF($G998="","",IFERROR(IF(ISNUMBER($G998),IF($G998&gt;19000000,DATE(INT($G998/10000),MOD(INT($G998/100),100),MOD($G998,100)),INT($G998)),IF(LEN(SUBSTITUTE(SUBSTITUTE(SUBSTITUTE(TRIM($G998),"-",""),".",""),"/",""))=8,DATE(VALUE(LEFT(SUBSTITUTE(SUBSTITUTE(SUBSTITUTE(TRIM($G998),"-",""),".",""),"/",""),4)),VALUE(MID(SUBSTITUTE(SUBSTITUTE(SUBSTITUTE(TRIM($G998),"-",""),".",""),"/",""),5,2)),VALUE(RIGHT(SUBSTITUTE(SUBSTITUTE(SUBSTITUTE(TRIM($G998),"-",""),".",""),"/",""),2))),DATEVALUE($G998))),""))</f>
        <v/>
      </c>
      <c r="V998" s="52" t="str">
        <f aca="false">IF($H998="","",IFERROR(IF(IF(ISNUMBER($H998),$H998,IFERROR(TIMEVALUE($H998),VALUE($H998)))&gt;=100,INT(IF(ISNUMBER($H998),$H998,IFERROR(TIMEVALUE($H998),VALUE($H998)))/100)*60+MOD(IF(ISNUMBER($H998),$H998,IFERROR(TIMEVALUE($H998),VALUE($H998))),100),IF(IF(ISNUMBER($H998),$H998,IFERROR(TIMEVALUE($H998),VALUE($H998)))&gt;=1,ROUND(IF(ISNUMBER($H998),$H998,IFERROR(TIMEVALUE($H998),VALUE($H998)))*60,0),ROUND(MOD(IF(ISNUMBER($H998),$H998,IFERROR(TIMEVALUE($H998),VALUE($H998))),1)*1440,0))),""))</f>
        <v/>
      </c>
      <c r="W998" s="52" t="str">
        <f aca="false">IF($I998="","",IFERROR(IF(IF(ISNUMBER($I998),$I998,IFERROR(TIMEVALUE($I998),VALUE($I998)))&gt;=100,INT(IF(ISNUMBER($I998),$I998,IFERROR(TIMEVALUE($I998),VALUE($I998)))/100)*60+MOD(IF(ISNUMBER($I998),$I998,IFERROR(TIMEVALUE($I998),VALUE($I998))),100),IF(IF(ISNUMBER($I998),$I998,IFERROR(TIMEVALUE($I998),VALUE($I998)))&gt;=1,ROUND(IF(ISNUMBER($I998),$I998,IFERROR(TIMEVALUE($I998),VALUE($I998)))*60,0),ROUND(MOD(IF(ISNUMBER($I998),$I998,IFERROR(TIMEVALUE($I998),VALUE($I998))),1)*1440,0))),""))</f>
        <v/>
      </c>
      <c r="X998" s="55" t="str">
        <f aca="false">IF($P998="","",IFERROR(IF(ISNUMBER($P998),IF($P998&gt;19000000,DATE(INT($P998/10000),MOD(INT($P998/100),100),MOD($P998,100)),INT($P998)),IF(LEN(SUBSTITUTE(SUBSTITUTE(SUBSTITUTE(TRIM($P998),"-",""),".",""),"/",""))=8,DATE(VALUE(LEFT(SUBSTITUTE(SUBSTITUTE(SUBSTITUTE(TRIM($P998),"-",""),".",""),"/",""),4)),VALUE(MID(SUBSTITUTE(SUBSTITUTE(SUBSTITUTE(TRIM($P998),"-",""),".",""),"/",""),5,2)),VALUE(RIGHT(SUBSTITUTE(SUBSTITUTE(SUBSTITUTE(TRIM($P998),"-",""),".",""),"/",""),2))),DATEVALUE($P998))),""))</f>
        <v/>
      </c>
      <c r="Y998" s="56" t="str">
        <f aca="false">IF($M998="","",IFERROR(INDEX(강사DB!$D$4:$D$53,MATCH($M998,강사DB!$A$4:$A$53,0)),""))</f>
        <v/>
      </c>
      <c r="Z998" s="56" t="str">
        <f aca="false">IF($B998&lt;&gt;"결제완료","",IF(OR($Y998="",$J998=""),"",$Y998*$J998+MAX(0,N($K998)-1)*설정!$J$7))</f>
        <v/>
      </c>
      <c r="AA998" s="56" t="str">
        <f aca="false">IF(AND($D998&lt;&gt;"",$B998="결제완료"),N($N998),"")</f>
        <v/>
      </c>
      <c r="AB998" s="45" t="str">
        <f aca="false">IF($D998="","",IF($F998&lt;&gt;"",$F998,$D998)&amp;IF($B998="상담중"," (상담)",""))</f>
        <v/>
      </c>
      <c r="AC998" s="45" t="n">
        <f aca="false">IF(AND($D998&lt;&gt;"",OR($B998="결제완료",$B998="상담중")),1,0)</f>
        <v>0</v>
      </c>
      <c r="AD998" s="45" t="n">
        <f aca="false">IF(OR($Z998="",$U998=""),0,IFERROR(IF(COUNTIFS(INDEX(g_grid,0,2*MATCH($M998,강사DB!$A$4:$A$15,0)),"&lt;&gt;",g_s,"&lt;="&amp;$U998,g_e,"&gt;="&amp;$U998)&gt;0,1,0),0))</f>
        <v>0</v>
      </c>
      <c r="AE998" s="48"/>
      <c r="AF998" s="56" t="str">
        <f aca="false">IF(AND($D998&lt;&gt;"",$B998="결제완료",$T998="대여"),설정!$J$5,"")</f>
        <v/>
      </c>
      <c r="AG998" s="54" t="str">
        <f aca="false">IF($D998="","",IF(AND($E998="",$R998=""),$AB998,"☎ "&amp;IF($E998="","-",$E998)&amp;IF($R998&lt;&gt;"","  ※ "&amp;$R998,"")&amp;IF($B998="상담중"," (상담)","")))</f>
        <v/>
      </c>
      <c r="AH998" s="56" t="str">
        <f aca="false">IF(AND($D998&lt;&gt;"",$B998="결제완료",$O998="스마트스토어"),ROUND(N($N998)*설정!$J$6,0),"")</f>
        <v/>
      </c>
      <c r="AI998" s="54" t="str">
        <f aca="false">IF($D998="","",ROW())</f>
        <v/>
      </c>
      <c r="AJ998" s="54" t="n">
        <f aca="false">IF(OR($AC998&lt;&gt;1,$M998=""),0,IF(ISNUMBER(SEARCH("퇴사",IFERROR(INDEX(강사DB!$G$4:$G$53,MATCH($M998,강사DB!$A$4:$A$53,0)),""))),1,0))</f>
        <v>0</v>
      </c>
    </row>
    <row r="999" customFormat="false" ht="15" hidden="false" customHeight="false" outlineLevel="0" collapsed="false">
      <c r="A999" s="45" t="str">
        <f aca="false">IF($D999="","",COUNTA($D$5:$D999))</f>
        <v/>
      </c>
      <c r="B999" s="46"/>
      <c r="C999" s="47"/>
      <c r="D999" s="48"/>
      <c r="E999" s="48"/>
      <c r="F999" s="49"/>
      <c r="G999" s="47"/>
      <c r="H999" s="50"/>
      <c r="I999" s="50"/>
      <c r="J999" s="51" t="str">
        <f aca="false">IF(OR($V999="",$W999=""),"",ROUND(($W999-$V999)/60,2))</f>
        <v/>
      </c>
      <c r="K999" s="52" t="str">
        <f aca="false">IF($F999="","",LEN($F999)-LEN(SUBSTITUTE($F999,",",""))+1)</f>
        <v/>
      </c>
      <c r="L999" s="45" t="str">
        <f aca="false">IF($K999="","","1:"&amp;$K999)</f>
        <v/>
      </c>
      <c r="M999" s="46"/>
      <c r="N999" s="53"/>
      <c r="O999" s="46"/>
      <c r="P999" s="47"/>
      <c r="Q999" s="48"/>
      <c r="R999" s="49"/>
      <c r="S999" s="54" t="str">
        <f aca="false">IF(OR($AC999=0,$U999="",$M999="",$V999="",$W999=""),"",IF(COUNTIFS(m_teacher,$M999,m_date,$U999,m_active,1,m_start,"&lt;"&amp;$W999,m_end,"&gt;"&amp;$V999)&gt;1,"충돌",""))</f>
        <v/>
      </c>
      <c r="T999" s="48"/>
      <c r="U999" s="55" t="str">
        <f aca="false">IF($G999="","",IFERROR(IF(ISNUMBER($G999),IF($G999&gt;19000000,DATE(INT($G999/10000),MOD(INT($G999/100),100),MOD($G999,100)),INT($G999)),IF(LEN(SUBSTITUTE(SUBSTITUTE(SUBSTITUTE(TRIM($G999),"-",""),".",""),"/",""))=8,DATE(VALUE(LEFT(SUBSTITUTE(SUBSTITUTE(SUBSTITUTE(TRIM($G999),"-",""),".",""),"/",""),4)),VALUE(MID(SUBSTITUTE(SUBSTITUTE(SUBSTITUTE(TRIM($G999),"-",""),".",""),"/",""),5,2)),VALUE(RIGHT(SUBSTITUTE(SUBSTITUTE(SUBSTITUTE(TRIM($G999),"-",""),".",""),"/",""),2))),DATEVALUE($G999))),""))</f>
        <v/>
      </c>
      <c r="V999" s="52" t="str">
        <f aca="false">IF($H999="","",IFERROR(IF(IF(ISNUMBER($H999),$H999,IFERROR(TIMEVALUE($H999),VALUE($H999)))&gt;=100,INT(IF(ISNUMBER($H999),$H999,IFERROR(TIMEVALUE($H999),VALUE($H999)))/100)*60+MOD(IF(ISNUMBER($H999),$H999,IFERROR(TIMEVALUE($H999),VALUE($H999))),100),IF(IF(ISNUMBER($H999),$H999,IFERROR(TIMEVALUE($H999),VALUE($H999)))&gt;=1,ROUND(IF(ISNUMBER($H999),$H999,IFERROR(TIMEVALUE($H999),VALUE($H999)))*60,0),ROUND(MOD(IF(ISNUMBER($H999),$H999,IFERROR(TIMEVALUE($H999),VALUE($H999))),1)*1440,0))),""))</f>
        <v/>
      </c>
      <c r="W999" s="52" t="str">
        <f aca="false">IF($I999="","",IFERROR(IF(IF(ISNUMBER($I999),$I999,IFERROR(TIMEVALUE($I999),VALUE($I999)))&gt;=100,INT(IF(ISNUMBER($I999),$I999,IFERROR(TIMEVALUE($I999),VALUE($I999)))/100)*60+MOD(IF(ISNUMBER($I999),$I999,IFERROR(TIMEVALUE($I999),VALUE($I999))),100),IF(IF(ISNUMBER($I999),$I999,IFERROR(TIMEVALUE($I999),VALUE($I999)))&gt;=1,ROUND(IF(ISNUMBER($I999),$I999,IFERROR(TIMEVALUE($I999),VALUE($I999)))*60,0),ROUND(MOD(IF(ISNUMBER($I999),$I999,IFERROR(TIMEVALUE($I999),VALUE($I999))),1)*1440,0))),""))</f>
        <v/>
      </c>
      <c r="X999" s="55" t="str">
        <f aca="false">IF($P999="","",IFERROR(IF(ISNUMBER($P999),IF($P999&gt;19000000,DATE(INT($P999/10000),MOD(INT($P999/100),100),MOD($P999,100)),INT($P999)),IF(LEN(SUBSTITUTE(SUBSTITUTE(SUBSTITUTE(TRIM($P999),"-",""),".",""),"/",""))=8,DATE(VALUE(LEFT(SUBSTITUTE(SUBSTITUTE(SUBSTITUTE(TRIM($P999),"-",""),".",""),"/",""),4)),VALUE(MID(SUBSTITUTE(SUBSTITUTE(SUBSTITUTE(TRIM($P999),"-",""),".",""),"/",""),5,2)),VALUE(RIGHT(SUBSTITUTE(SUBSTITUTE(SUBSTITUTE(TRIM($P999),"-",""),".",""),"/",""),2))),DATEVALUE($P999))),""))</f>
        <v/>
      </c>
      <c r="Y999" s="56" t="str">
        <f aca="false">IF($M999="","",IFERROR(INDEX(강사DB!$D$4:$D$53,MATCH($M999,강사DB!$A$4:$A$53,0)),""))</f>
        <v/>
      </c>
      <c r="Z999" s="56" t="str">
        <f aca="false">IF($B999&lt;&gt;"결제완료","",IF(OR($Y999="",$J999=""),"",$Y999*$J999+MAX(0,N($K999)-1)*설정!$J$7))</f>
        <v/>
      </c>
      <c r="AA999" s="56" t="str">
        <f aca="false">IF(AND($D999&lt;&gt;"",$B999="결제완료"),N($N999),"")</f>
        <v/>
      </c>
      <c r="AB999" s="45" t="str">
        <f aca="false">IF($D999="","",IF($F999&lt;&gt;"",$F999,$D999)&amp;IF($B999="상담중"," (상담)",""))</f>
        <v/>
      </c>
      <c r="AC999" s="45" t="n">
        <f aca="false">IF(AND($D999&lt;&gt;"",OR($B999="결제완료",$B999="상담중")),1,0)</f>
        <v>0</v>
      </c>
      <c r="AD999" s="45" t="n">
        <f aca="false">IF(OR($Z999="",$U999=""),0,IFERROR(IF(COUNTIFS(INDEX(g_grid,0,2*MATCH($M999,강사DB!$A$4:$A$15,0)),"&lt;&gt;",g_s,"&lt;="&amp;$U999,g_e,"&gt;="&amp;$U999)&gt;0,1,0),0))</f>
        <v>0</v>
      </c>
      <c r="AE999" s="48"/>
      <c r="AF999" s="56" t="str">
        <f aca="false">IF(AND($D999&lt;&gt;"",$B999="결제완료",$T999="대여"),설정!$J$5,"")</f>
        <v/>
      </c>
      <c r="AG999" s="54" t="str">
        <f aca="false">IF($D999="","",IF(AND($E999="",$R999=""),$AB999,"☎ "&amp;IF($E999="","-",$E999)&amp;IF($R999&lt;&gt;"","  ※ "&amp;$R999,"")&amp;IF($B999="상담중"," (상담)","")))</f>
        <v/>
      </c>
      <c r="AH999" s="56" t="str">
        <f aca="false">IF(AND($D999&lt;&gt;"",$B999="결제완료",$O999="스마트스토어"),ROUND(N($N999)*설정!$J$6,0),"")</f>
        <v/>
      </c>
      <c r="AI999" s="54" t="str">
        <f aca="false">IF($D999="","",ROW())</f>
        <v/>
      </c>
      <c r="AJ999" s="54" t="n">
        <f aca="false">IF(OR($AC999&lt;&gt;1,$M999=""),0,IF(ISNUMBER(SEARCH("퇴사",IFERROR(INDEX(강사DB!$G$4:$G$53,MATCH($M999,강사DB!$A$4:$A$53,0)),""))),1,0))</f>
        <v>0</v>
      </c>
    </row>
    <row r="1000" customFormat="false" ht="15" hidden="false" customHeight="false" outlineLevel="0" collapsed="false">
      <c r="A1000" s="45" t="str">
        <f aca="false">IF($D1000="","",COUNTA($D$5:$D1000))</f>
        <v/>
      </c>
      <c r="B1000" s="46"/>
      <c r="C1000" s="47"/>
      <c r="D1000" s="48"/>
      <c r="E1000" s="48"/>
      <c r="F1000" s="49"/>
      <c r="G1000" s="47"/>
      <c r="H1000" s="50"/>
      <c r="I1000" s="50"/>
      <c r="J1000" s="51" t="str">
        <f aca="false">IF(OR($V1000="",$W1000=""),"",ROUND(($W1000-$V1000)/60,2))</f>
        <v/>
      </c>
      <c r="K1000" s="52" t="str">
        <f aca="false">IF($F1000="","",LEN($F1000)-LEN(SUBSTITUTE($F1000,",",""))+1)</f>
        <v/>
      </c>
      <c r="L1000" s="45" t="str">
        <f aca="false">IF($K1000="","","1:"&amp;$K1000)</f>
        <v/>
      </c>
      <c r="M1000" s="46"/>
      <c r="N1000" s="53"/>
      <c r="O1000" s="46"/>
      <c r="P1000" s="47"/>
      <c r="Q1000" s="48"/>
      <c r="R1000" s="49"/>
      <c r="S1000" s="54" t="str">
        <f aca="false">IF(OR($AC1000=0,$U1000="",$M1000="",$V1000="",$W1000=""),"",IF(COUNTIFS(m_teacher,$M1000,m_date,$U1000,m_active,1,m_start,"&lt;"&amp;$W1000,m_end,"&gt;"&amp;$V1000)&gt;1,"충돌",""))</f>
        <v/>
      </c>
      <c r="T1000" s="48"/>
      <c r="U1000" s="55" t="str">
        <f aca="false">IF($G1000="","",IFERROR(IF(ISNUMBER($G1000),IF($G1000&gt;19000000,DATE(INT($G1000/10000),MOD(INT($G1000/100),100),MOD($G1000,100)),INT($G1000)),IF(LEN(SUBSTITUTE(SUBSTITUTE(SUBSTITUTE(TRIM($G1000),"-",""),".",""),"/",""))=8,DATE(VALUE(LEFT(SUBSTITUTE(SUBSTITUTE(SUBSTITUTE(TRIM($G1000),"-",""),".",""),"/",""),4)),VALUE(MID(SUBSTITUTE(SUBSTITUTE(SUBSTITUTE(TRIM($G1000),"-",""),".",""),"/",""),5,2)),VALUE(RIGHT(SUBSTITUTE(SUBSTITUTE(SUBSTITUTE(TRIM($G1000),"-",""),".",""),"/",""),2))),DATEVALUE($G1000))),""))</f>
        <v/>
      </c>
      <c r="V1000" s="52" t="str">
        <f aca="false">IF($H1000="","",IFERROR(IF(IF(ISNUMBER($H1000),$H1000,IFERROR(TIMEVALUE($H1000),VALUE($H1000)))&gt;=100,INT(IF(ISNUMBER($H1000),$H1000,IFERROR(TIMEVALUE($H1000),VALUE($H1000)))/100)*60+MOD(IF(ISNUMBER($H1000),$H1000,IFERROR(TIMEVALUE($H1000),VALUE($H1000))),100),IF(IF(ISNUMBER($H1000),$H1000,IFERROR(TIMEVALUE($H1000),VALUE($H1000)))&gt;=1,ROUND(IF(ISNUMBER($H1000),$H1000,IFERROR(TIMEVALUE($H1000),VALUE($H1000)))*60,0),ROUND(MOD(IF(ISNUMBER($H1000),$H1000,IFERROR(TIMEVALUE($H1000),VALUE($H1000))),1)*1440,0))),""))</f>
        <v/>
      </c>
      <c r="W1000" s="52" t="str">
        <f aca="false">IF($I1000="","",IFERROR(IF(IF(ISNUMBER($I1000),$I1000,IFERROR(TIMEVALUE($I1000),VALUE($I1000)))&gt;=100,INT(IF(ISNUMBER($I1000),$I1000,IFERROR(TIMEVALUE($I1000),VALUE($I1000)))/100)*60+MOD(IF(ISNUMBER($I1000),$I1000,IFERROR(TIMEVALUE($I1000),VALUE($I1000))),100),IF(IF(ISNUMBER($I1000),$I1000,IFERROR(TIMEVALUE($I1000),VALUE($I1000)))&gt;=1,ROUND(IF(ISNUMBER($I1000),$I1000,IFERROR(TIMEVALUE($I1000),VALUE($I1000)))*60,0),ROUND(MOD(IF(ISNUMBER($I1000),$I1000,IFERROR(TIMEVALUE($I1000),VALUE($I1000))),1)*1440,0))),""))</f>
        <v/>
      </c>
      <c r="X1000" s="55" t="str">
        <f aca="false">IF($P1000="","",IFERROR(IF(ISNUMBER($P1000),IF($P1000&gt;19000000,DATE(INT($P1000/10000),MOD(INT($P1000/100),100),MOD($P1000,100)),INT($P1000)),IF(LEN(SUBSTITUTE(SUBSTITUTE(SUBSTITUTE(TRIM($P1000),"-",""),".",""),"/",""))=8,DATE(VALUE(LEFT(SUBSTITUTE(SUBSTITUTE(SUBSTITUTE(TRIM($P1000),"-",""),".",""),"/",""),4)),VALUE(MID(SUBSTITUTE(SUBSTITUTE(SUBSTITUTE(TRIM($P1000),"-",""),".",""),"/",""),5,2)),VALUE(RIGHT(SUBSTITUTE(SUBSTITUTE(SUBSTITUTE(TRIM($P1000),"-",""),".",""),"/",""),2))),DATEVALUE($P1000))),""))</f>
        <v/>
      </c>
      <c r="Y1000" s="56" t="str">
        <f aca="false">IF($M1000="","",IFERROR(INDEX(강사DB!$D$4:$D$53,MATCH($M1000,강사DB!$A$4:$A$53,0)),""))</f>
        <v/>
      </c>
      <c r="Z1000" s="56" t="str">
        <f aca="false">IF($B1000&lt;&gt;"결제완료","",IF(OR($Y1000="",$J1000=""),"",$Y1000*$J1000+MAX(0,N($K1000)-1)*설정!$J$7))</f>
        <v/>
      </c>
      <c r="AA1000" s="56" t="str">
        <f aca="false">IF(AND($D1000&lt;&gt;"",$B1000="결제완료"),N($N1000),"")</f>
        <v/>
      </c>
      <c r="AB1000" s="45" t="str">
        <f aca="false">IF($D1000="","",IF($F1000&lt;&gt;"",$F1000,$D1000)&amp;IF($B1000="상담중"," (상담)",""))</f>
        <v/>
      </c>
      <c r="AC1000" s="45" t="n">
        <f aca="false">IF(AND($D1000&lt;&gt;"",OR($B1000="결제완료",$B1000="상담중")),1,0)</f>
        <v>0</v>
      </c>
      <c r="AD1000" s="45" t="n">
        <f aca="false">IF(OR($Z1000="",$U1000=""),0,IFERROR(IF(COUNTIFS(INDEX(g_grid,0,2*MATCH($M1000,강사DB!$A$4:$A$15,0)),"&lt;&gt;",g_s,"&lt;="&amp;$U1000,g_e,"&gt;="&amp;$U1000)&gt;0,1,0),0))</f>
        <v>0</v>
      </c>
      <c r="AE1000" s="48"/>
      <c r="AF1000" s="56" t="str">
        <f aca="false">IF(AND($D1000&lt;&gt;"",$B1000="결제완료",$T1000="대여"),설정!$J$5,"")</f>
        <v/>
      </c>
      <c r="AG1000" s="54" t="str">
        <f aca="false">IF($D1000="","",IF(AND($E1000="",$R1000=""),$AB1000,"☎ "&amp;IF($E1000="","-",$E1000)&amp;IF($R1000&lt;&gt;"","  ※ "&amp;$R1000,"")&amp;IF($B1000="상담중"," (상담)","")))</f>
        <v/>
      </c>
      <c r="AH1000" s="56" t="str">
        <f aca="false">IF(AND($D1000&lt;&gt;"",$B1000="결제완료",$O1000="스마트스토어"),ROUND(N($N1000)*설정!$J$6,0),"")</f>
        <v/>
      </c>
      <c r="AI1000" s="54" t="str">
        <f aca="false">IF($D1000="","",ROW())</f>
        <v/>
      </c>
      <c r="AJ1000" s="54" t="n">
        <f aca="false">IF(OR($AC1000&lt;&gt;1,$M1000=""),0,IF(ISNUMBER(SEARCH("퇴사",IFERROR(INDEX(강사DB!$G$4:$G$53,MATCH($M1000,강사DB!$A$4:$A$53,0)),""))),1,0))</f>
        <v>0</v>
      </c>
    </row>
    <row r="1001" customFormat="false" ht="15" hidden="false" customHeight="false" outlineLevel="0" collapsed="false">
      <c r="A1001" s="45" t="str">
        <f aca="false">IF($D1001="","",COUNTA($D$5:$D1001))</f>
        <v/>
      </c>
      <c r="B1001" s="46"/>
      <c r="C1001" s="47"/>
      <c r="D1001" s="48"/>
      <c r="E1001" s="48"/>
      <c r="F1001" s="49"/>
      <c r="G1001" s="47"/>
      <c r="H1001" s="50"/>
      <c r="I1001" s="50"/>
      <c r="J1001" s="51" t="str">
        <f aca="false">IF(OR($V1001="",$W1001=""),"",ROUND(($W1001-$V1001)/60,2))</f>
        <v/>
      </c>
      <c r="K1001" s="52" t="str">
        <f aca="false">IF($F1001="","",LEN($F1001)-LEN(SUBSTITUTE($F1001,",",""))+1)</f>
        <v/>
      </c>
      <c r="L1001" s="45" t="str">
        <f aca="false">IF($K1001="","","1:"&amp;$K1001)</f>
        <v/>
      </c>
      <c r="M1001" s="46"/>
      <c r="N1001" s="53"/>
      <c r="O1001" s="46"/>
      <c r="P1001" s="47"/>
      <c r="Q1001" s="48"/>
      <c r="R1001" s="49"/>
      <c r="S1001" s="54" t="str">
        <f aca="false">IF(OR($AC1001=0,$U1001="",$M1001="",$V1001="",$W1001=""),"",IF(COUNTIFS(m_teacher,$M1001,m_date,$U1001,m_active,1,m_start,"&lt;"&amp;$W1001,m_end,"&gt;"&amp;$V1001)&gt;1,"충돌",""))</f>
        <v/>
      </c>
      <c r="T1001" s="48"/>
      <c r="U1001" s="55" t="str">
        <f aca="false">IF($G1001="","",IFERROR(IF(ISNUMBER($G1001),IF($G1001&gt;19000000,DATE(INT($G1001/10000),MOD(INT($G1001/100),100),MOD($G1001,100)),INT($G1001)),IF(LEN(SUBSTITUTE(SUBSTITUTE(SUBSTITUTE(TRIM($G1001),"-",""),".",""),"/",""))=8,DATE(VALUE(LEFT(SUBSTITUTE(SUBSTITUTE(SUBSTITUTE(TRIM($G1001),"-",""),".",""),"/",""),4)),VALUE(MID(SUBSTITUTE(SUBSTITUTE(SUBSTITUTE(TRIM($G1001),"-",""),".",""),"/",""),5,2)),VALUE(RIGHT(SUBSTITUTE(SUBSTITUTE(SUBSTITUTE(TRIM($G1001),"-",""),".",""),"/",""),2))),DATEVALUE($G1001))),""))</f>
        <v/>
      </c>
      <c r="V1001" s="52" t="str">
        <f aca="false">IF($H1001="","",IFERROR(IF(IF(ISNUMBER($H1001),$H1001,IFERROR(TIMEVALUE($H1001),VALUE($H1001)))&gt;=100,INT(IF(ISNUMBER($H1001),$H1001,IFERROR(TIMEVALUE($H1001),VALUE($H1001)))/100)*60+MOD(IF(ISNUMBER($H1001),$H1001,IFERROR(TIMEVALUE($H1001),VALUE($H1001))),100),IF(IF(ISNUMBER($H1001),$H1001,IFERROR(TIMEVALUE($H1001),VALUE($H1001)))&gt;=1,ROUND(IF(ISNUMBER($H1001),$H1001,IFERROR(TIMEVALUE($H1001),VALUE($H1001)))*60,0),ROUND(MOD(IF(ISNUMBER($H1001),$H1001,IFERROR(TIMEVALUE($H1001),VALUE($H1001))),1)*1440,0))),""))</f>
        <v/>
      </c>
      <c r="W1001" s="52" t="str">
        <f aca="false">IF($I1001="","",IFERROR(IF(IF(ISNUMBER($I1001),$I1001,IFERROR(TIMEVALUE($I1001),VALUE($I1001)))&gt;=100,INT(IF(ISNUMBER($I1001),$I1001,IFERROR(TIMEVALUE($I1001),VALUE($I1001)))/100)*60+MOD(IF(ISNUMBER($I1001),$I1001,IFERROR(TIMEVALUE($I1001),VALUE($I1001))),100),IF(IF(ISNUMBER($I1001),$I1001,IFERROR(TIMEVALUE($I1001),VALUE($I1001)))&gt;=1,ROUND(IF(ISNUMBER($I1001),$I1001,IFERROR(TIMEVALUE($I1001),VALUE($I1001)))*60,0),ROUND(MOD(IF(ISNUMBER($I1001),$I1001,IFERROR(TIMEVALUE($I1001),VALUE($I1001))),1)*1440,0))),""))</f>
        <v/>
      </c>
      <c r="X1001" s="55" t="str">
        <f aca="false">IF($P1001="","",IFERROR(IF(ISNUMBER($P1001),IF($P1001&gt;19000000,DATE(INT($P1001/10000),MOD(INT($P1001/100),100),MOD($P1001,100)),INT($P1001)),IF(LEN(SUBSTITUTE(SUBSTITUTE(SUBSTITUTE(TRIM($P1001),"-",""),".",""),"/",""))=8,DATE(VALUE(LEFT(SUBSTITUTE(SUBSTITUTE(SUBSTITUTE(TRIM($P1001),"-",""),".",""),"/",""),4)),VALUE(MID(SUBSTITUTE(SUBSTITUTE(SUBSTITUTE(TRIM($P1001),"-",""),".",""),"/",""),5,2)),VALUE(RIGHT(SUBSTITUTE(SUBSTITUTE(SUBSTITUTE(TRIM($P1001),"-",""),".",""),"/",""),2))),DATEVALUE($P1001))),""))</f>
        <v/>
      </c>
      <c r="Y1001" s="56" t="str">
        <f aca="false">IF($M1001="","",IFERROR(INDEX(강사DB!$D$4:$D$53,MATCH($M1001,강사DB!$A$4:$A$53,0)),""))</f>
        <v/>
      </c>
      <c r="Z1001" s="56" t="str">
        <f aca="false">IF($B1001&lt;&gt;"결제완료","",IF(OR($Y1001="",$J1001=""),"",$Y1001*$J1001+MAX(0,N($K1001)-1)*설정!$J$7))</f>
        <v/>
      </c>
      <c r="AA1001" s="56" t="str">
        <f aca="false">IF(AND($D1001&lt;&gt;"",$B1001="결제완료"),N($N1001),"")</f>
        <v/>
      </c>
      <c r="AB1001" s="45" t="str">
        <f aca="false">IF($D1001="","",IF($F1001&lt;&gt;"",$F1001,$D1001)&amp;IF($B1001="상담중"," (상담)",""))</f>
        <v/>
      </c>
      <c r="AC1001" s="45" t="n">
        <f aca="false">IF(AND($D1001&lt;&gt;"",OR($B1001="결제완료",$B1001="상담중")),1,0)</f>
        <v>0</v>
      </c>
      <c r="AD1001" s="45" t="n">
        <f aca="false">IF(OR($Z1001="",$U1001=""),0,IFERROR(IF(COUNTIFS(INDEX(g_grid,0,2*MATCH($M1001,강사DB!$A$4:$A$15,0)),"&lt;&gt;",g_s,"&lt;="&amp;$U1001,g_e,"&gt;="&amp;$U1001)&gt;0,1,0),0))</f>
        <v>0</v>
      </c>
      <c r="AE1001" s="48"/>
      <c r="AF1001" s="56" t="str">
        <f aca="false">IF(AND($D1001&lt;&gt;"",$B1001="결제완료",$T1001="대여"),설정!$J$5,"")</f>
        <v/>
      </c>
      <c r="AG1001" s="54" t="str">
        <f aca="false">IF($D1001="","",IF(AND($E1001="",$R1001=""),$AB1001,"☎ "&amp;IF($E1001="","-",$E1001)&amp;IF($R1001&lt;&gt;"","  ※ "&amp;$R1001,"")&amp;IF($B1001="상담중"," (상담)","")))</f>
        <v/>
      </c>
      <c r="AH1001" s="56" t="str">
        <f aca="false">IF(AND($D1001&lt;&gt;"",$B1001="결제완료",$O1001="스마트스토어"),ROUND(N($N1001)*설정!$J$6,0),"")</f>
        <v/>
      </c>
      <c r="AI1001" s="54" t="str">
        <f aca="false">IF($D1001="","",ROW())</f>
        <v/>
      </c>
      <c r="AJ1001" s="54" t="n">
        <f aca="false">IF(OR($AC1001&lt;&gt;1,$M1001=""),0,IF(ISNUMBER(SEARCH("퇴사",IFERROR(INDEX(강사DB!$G$4:$G$53,MATCH($M1001,강사DB!$A$4:$A$53,0)),""))),1,0))</f>
        <v>0</v>
      </c>
    </row>
    <row r="1002" customFormat="false" ht="15" hidden="false" customHeight="false" outlineLevel="0" collapsed="false">
      <c r="A1002" s="45" t="str">
        <f aca="false">IF($D1002="","",COUNTA($D$5:$D1002))</f>
        <v/>
      </c>
      <c r="B1002" s="46"/>
      <c r="C1002" s="47"/>
      <c r="D1002" s="48"/>
      <c r="E1002" s="48"/>
      <c r="F1002" s="49"/>
      <c r="G1002" s="47"/>
      <c r="H1002" s="50"/>
      <c r="I1002" s="50"/>
      <c r="J1002" s="51" t="str">
        <f aca="false">IF(OR($V1002="",$W1002=""),"",ROUND(($W1002-$V1002)/60,2))</f>
        <v/>
      </c>
      <c r="K1002" s="52" t="str">
        <f aca="false">IF($F1002="","",LEN($F1002)-LEN(SUBSTITUTE($F1002,",",""))+1)</f>
        <v/>
      </c>
      <c r="L1002" s="45" t="str">
        <f aca="false">IF($K1002="","","1:"&amp;$K1002)</f>
        <v/>
      </c>
      <c r="M1002" s="46"/>
      <c r="N1002" s="53"/>
      <c r="O1002" s="46"/>
      <c r="P1002" s="47"/>
      <c r="Q1002" s="48"/>
      <c r="R1002" s="49"/>
      <c r="S1002" s="54" t="str">
        <f aca="false">IF(OR($AC1002=0,$U1002="",$M1002="",$V1002="",$W1002=""),"",IF(COUNTIFS(m_teacher,$M1002,m_date,$U1002,m_active,1,m_start,"&lt;"&amp;$W1002,m_end,"&gt;"&amp;$V1002)&gt;1,"충돌",""))</f>
        <v/>
      </c>
      <c r="T1002" s="48"/>
      <c r="U1002" s="55" t="str">
        <f aca="false">IF($G1002="","",IFERROR(IF(ISNUMBER($G1002),IF($G1002&gt;19000000,DATE(INT($G1002/10000),MOD(INT($G1002/100),100),MOD($G1002,100)),INT($G1002)),IF(LEN(SUBSTITUTE(SUBSTITUTE(SUBSTITUTE(TRIM($G1002),"-",""),".",""),"/",""))=8,DATE(VALUE(LEFT(SUBSTITUTE(SUBSTITUTE(SUBSTITUTE(TRIM($G1002),"-",""),".",""),"/",""),4)),VALUE(MID(SUBSTITUTE(SUBSTITUTE(SUBSTITUTE(TRIM($G1002),"-",""),".",""),"/",""),5,2)),VALUE(RIGHT(SUBSTITUTE(SUBSTITUTE(SUBSTITUTE(TRIM($G1002),"-",""),".",""),"/",""),2))),DATEVALUE($G1002))),""))</f>
        <v/>
      </c>
      <c r="V1002" s="52" t="str">
        <f aca="false">IF($H1002="","",IFERROR(IF(IF(ISNUMBER($H1002),$H1002,IFERROR(TIMEVALUE($H1002),VALUE($H1002)))&gt;=100,INT(IF(ISNUMBER($H1002),$H1002,IFERROR(TIMEVALUE($H1002),VALUE($H1002)))/100)*60+MOD(IF(ISNUMBER($H1002),$H1002,IFERROR(TIMEVALUE($H1002),VALUE($H1002))),100),IF(IF(ISNUMBER($H1002),$H1002,IFERROR(TIMEVALUE($H1002),VALUE($H1002)))&gt;=1,ROUND(IF(ISNUMBER($H1002),$H1002,IFERROR(TIMEVALUE($H1002),VALUE($H1002)))*60,0),ROUND(MOD(IF(ISNUMBER($H1002),$H1002,IFERROR(TIMEVALUE($H1002),VALUE($H1002))),1)*1440,0))),""))</f>
        <v/>
      </c>
      <c r="W1002" s="52" t="str">
        <f aca="false">IF($I1002="","",IFERROR(IF(IF(ISNUMBER($I1002),$I1002,IFERROR(TIMEVALUE($I1002),VALUE($I1002)))&gt;=100,INT(IF(ISNUMBER($I1002),$I1002,IFERROR(TIMEVALUE($I1002),VALUE($I1002)))/100)*60+MOD(IF(ISNUMBER($I1002),$I1002,IFERROR(TIMEVALUE($I1002),VALUE($I1002))),100),IF(IF(ISNUMBER($I1002),$I1002,IFERROR(TIMEVALUE($I1002),VALUE($I1002)))&gt;=1,ROUND(IF(ISNUMBER($I1002),$I1002,IFERROR(TIMEVALUE($I1002),VALUE($I1002)))*60,0),ROUND(MOD(IF(ISNUMBER($I1002),$I1002,IFERROR(TIMEVALUE($I1002),VALUE($I1002))),1)*1440,0))),""))</f>
        <v/>
      </c>
      <c r="X1002" s="55" t="str">
        <f aca="false">IF($P1002="","",IFERROR(IF(ISNUMBER($P1002),IF($P1002&gt;19000000,DATE(INT($P1002/10000),MOD(INT($P1002/100),100),MOD($P1002,100)),INT($P1002)),IF(LEN(SUBSTITUTE(SUBSTITUTE(SUBSTITUTE(TRIM($P1002),"-",""),".",""),"/",""))=8,DATE(VALUE(LEFT(SUBSTITUTE(SUBSTITUTE(SUBSTITUTE(TRIM($P1002),"-",""),".",""),"/",""),4)),VALUE(MID(SUBSTITUTE(SUBSTITUTE(SUBSTITUTE(TRIM($P1002),"-",""),".",""),"/",""),5,2)),VALUE(RIGHT(SUBSTITUTE(SUBSTITUTE(SUBSTITUTE(TRIM($P1002),"-",""),".",""),"/",""),2))),DATEVALUE($P1002))),""))</f>
        <v/>
      </c>
      <c r="Y1002" s="56" t="str">
        <f aca="false">IF($M1002="","",IFERROR(INDEX(강사DB!$D$4:$D$53,MATCH($M1002,강사DB!$A$4:$A$53,0)),""))</f>
        <v/>
      </c>
      <c r="Z1002" s="56" t="str">
        <f aca="false">IF($B1002&lt;&gt;"결제완료","",IF(OR($Y1002="",$J1002=""),"",$Y1002*$J1002+MAX(0,N($K1002)-1)*설정!$J$7))</f>
        <v/>
      </c>
      <c r="AA1002" s="56" t="str">
        <f aca="false">IF(AND($D1002&lt;&gt;"",$B1002="결제완료"),N($N1002),"")</f>
        <v/>
      </c>
      <c r="AB1002" s="45" t="str">
        <f aca="false">IF($D1002="","",IF($F1002&lt;&gt;"",$F1002,$D1002)&amp;IF($B1002="상담중"," (상담)",""))</f>
        <v/>
      </c>
      <c r="AC1002" s="45" t="n">
        <f aca="false">IF(AND($D1002&lt;&gt;"",OR($B1002="결제완료",$B1002="상담중")),1,0)</f>
        <v>0</v>
      </c>
      <c r="AD1002" s="45" t="n">
        <f aca="false">IF(OR($Z1002="",$U1002=""),0,IFERROR(IF(COUNTIFS(INDEX(g_grid,0,2*MATCH($M1002,강사DB!$A$4:$A$15,0)),"&lt;&gt;",g_s,"&lt;="&amp;$U1002,g_e,"&gt;="&amp;$U1002)&gt;0,1,0),0))</f>
        <v>0</v>
      </c>
      <c r="AE1002" s="48"/>
      <c r="AF1002" s="56" t="str">
        <f aca="false">IF(AND($D1002&lt;&gt;"",$B1002="결제완료",$T1002="대여"),설정!$J$5,"")</f>
        <v/>
      </c>
      <c r="AG1002" s="54" t="str">
        <f aca="false">IF($D1002="","",IF(AND($E1002="",$R1002=""),$AB1002,"☎ "&amp;IF($E1002="","-",$E1002)&amp;IF($R1002&lt;&gt;"","  ※ "&amp;$R1002,"")&amp;IF($B1002="상담중"," (상담)","")))</f>
        <v/>
      </c>
      <c r="AH1002" s="56" t="str">
        <f aca="false">IF(AND($D1002&lt;&gt;"",$B1002="결제완료",$O1002="스마트스토어"),ROUND(N($N1002)*설정!$J$6,0),"")</f>
        <v/>
      </c>
      <c r="AI1002" s="54" t="str">
        <f aca="false">IF($D1002="","",ROW())</f>
        <v/>
      </c>
      <c r="AJ1002" s="54" t="n">
        <f aca="false">IF(OR($AC1002&lt;&gt;1,$M1002=""),0,IF(ISNUMBER(SEARCH("퇴사",IFERROR(INDEX(강사DB!$G$4:$G$53,MATCH($M1002,강사DB!$A$4:$A$53,0)),""))),1,0))</f>
        <v>0</v>
      </c>
    </row>
    <row r="1003" customFormat="false" ht="15" hidden="false" customHeight="false" outlineLevel="0" collapsed="false">
      <c r="A1003" s="45" t="str">
        <f aca="false">IF($D1003="","",COUNTA($D$5:$D1003))</f>
        <v/>
      </c>
      <c r="B1003" s="46"/>
      <c r="C1003" s="47"/>
      <c r="D1003" s="48"/>
      <c r="E1003" s="48"/>
      <c r="F1003" s="49"/>
      <c r="G1003" s="47"/>
      <c r="H1003" s="50"/>
      <c r="I1003" s="50"/>
      <c r="J1003" s="51" t="str">
        <f aca="false">IF(OR($V1003="",$W1003=""),"",ROUND(($W1003-$V1003)/60,2))</f>
        <v/>
      </c>
      <c r="K1003" s="52" t="str">
        <f aca="false">IF($F1003="","",LEN($F1003)-LEN(SUBSTITUTE($F1003,",",""))+1)</f>
        <v/>
      </c>
      <c r="L1003" s="45" t="str">
        <f aca="false">IF($K1003="","","1:"&amp;$K1003)</f>
        <v/>
      </c>
      <c r="M1003" s="46"/>
      <c r="N1003" s="53"/>
      <c r="O1003" s="46"/>
      <c r="P1003" s="47"/>
      <c r="Q1003" s="48"/>
      <c r="R1003" s="49"/>
      <c r="S1003" s="54" t="str">
        <f aca="false">IF(OR($AC1003=0,$U1003="",$M1003="",$V1003="",$W1003=""),"",IF(COUNTIFS(m_teacher,$M1003,m_date,$U1003,m_active,1,m_start,"&lt;"&amp;$W1003,m_end,"&gt;"&amp;$V1003)&gt;1,"충돌",""))</f>
        <v/>
      </c>
      <c r="T1003" s="48"/>
      <c r="U1003" s="55" t="str">
        <f aca="false">IF($G1003="","",IFERROR(IF(ISNUMBER($G1003),IF($G1003&gt;19000000,DATE(INT($G1003/10000),MOD(INT($G1003/100),100),MOD($G1003,100)),INT($G1003)),IF(LEN(SUBSTITUTE(SUBSTITUTE(SUBSTITUTE(TRIM($G1003),"-",""),".",""),"/",""))=8,DATE(VALUE(LEFT(SUBSTITUTE(SUBSTITUTE(SUBSTITUTE(TRIM($G1003),"-",""),".",""),"/",""),4)),VALUE(MID(SUBSTITUTE(SUBSTITUTE(SUBSTITUTE(TRIM($G1003),"-",""),".",""),"/",""),5,2)),VALUE(RIGHT(SUBSTITUTE(SUBSTITUTE(SUBSTITUTE(TRIM($G1003),"-",""),".",""),"/",""),2))),DATEVALUE($G1003))),""))</f>
        <v/>
      </c>
      <c r="V1003" s="52" t="str">
        <f aca="false">IF($H1003="","",IFERROR(IF(IF(ISNUMBER($H1003),$H1003,IFERROR(TIMEVALUE($H1003),VALUE($H1003)))&gt;=100,INT(IF(ISNUMBER($H1003),$H1003,IFERROR(TIMEVALUE($H1003),VALUE($H1003)))/100)*60+MOD(IF(ISNUMBER($H1003),$H1003,IFERROR(TIMEVALUE($H1003),VALUE($H1003))),100),IF(IF(ISNUMBER($H1003),$H1003,IFERROR(TIMEVALUE($H1003),VALUE($H1003)))&gt;=1,ROUND(IF(ISNUMBER($H1003),$H1003,IFERROR(TIMEVALUE($H1003),VALUE($H1003)))*60,0),ROUND(MOD(IF(ISNUMBER($H1003),$H1003,IFERROR(TIMEVALUE($H1003),VALUE($H1003))),1)*1440,0))),""))</f>
        <v/>
      </c>
      <c r="W1003" s="52" t="str">
        <f aca="false">IF($I1003="","",IFERROR(IF(IF(ISNUMBER($I1003),$I1003,IFERROR(TIMEVALUE($I1003),VALUE($I1003)))&gt;=100,INT(IF(ISNUMBER($I1003),$I1003,IFERROR(TIMEVALUE($I1003),VALUE($I1003)))/100)*60+MOD(IF(ISNUMBER($I1003),$I1003,IFERROR(TIMEVALUE($I1003),VALUE($I1003))),100),IF(IF(ISNUMBER($I1003),$I1003,IFERROR(TIMEVALUE($I1003),VALUE($I1003)))&gt;=1,ROUND(IF(ISNUMBER($I1003),$I1003,IFERROR(TIMEVALUE($I1003),VALUE($I1003)))*60,0),ROUND(MOD(IF(ISNUMBER($I1003),$I1003,IFERROR(TIMEVALUE($I1003),VALUE($I1003))),1)*1440,0))),""))</f>
        <v/>
      </c>
      <c r="X1003" s="55" t="str">
        <f aca="false">IF($P1003="","",IFERROR(IF(ISNUMBER($P1003),IF($P1003&gt;19000000,DATE(INT($P1003/10000),MOD(INT($P1003/100),100),MOD($P1003,100)),INT($P1003)),IF(LEN(SUBSTITUTE(SUBSTITUTE(SUBSTITUTE(TRIM($P1003),"-",""),".",""),"/",""))=8,DATE(VALUE(LEFT(SUBSTITUTE(SUBSTITUTE(SUBSTITUTE(TRIM($P1003),"-",""),".",""),"/",""),4)),VALUE(MID(SUBSTITUTE(SUBSTITUTE(SUBSTITUTE(TRIM($P1003),"-",""),".",""),"/",""),5,2)),VALUE(RIGHT(SUBSTITUTE(SUBSTITUTE(SUBSTITUTE(TRIM($P1003),"-",""),".",""),"/",""),2))),DATEVALUE($P1003))),""))</f>
        <v/>
      </c>
      <c r="Y1003" s="56" t="str">
        <f aca="false">IF($M1003="","",IFERROR(INDEX(강사DB!$D$4:$D$53,MATCH($M1003,강사DB!$A$4:$A$53,0)),""))</f>
        <v/>
      </c>
      <c r="Z1003" s="56" t="str">
        <f aca="false">IF($B1003&lt;&gt;"결제완료","",IF(OR($Y1003="",$J1003=""),"",$Y1003*$J1003+MAX(0,N($K1003)-1)*설정!$J$7))</f>
        <v/>
      </c>
      <c r="AA1003" s="56" t="str">
        <f aca="false">IF(AND($D1003&lt;&gt;"",$B1003="결제완료"),N($N1003),"")</f>
        <v/>
      </c>
      <c r="AB1003" s="45" t="str">
        <f aca="false">IF($D1003="","",IF($F1003&lt;&gt;"",$F1003,$D1003)&amp;IF($B1003="상담중"," (상담)",""))</f>
        <v/>
      </c>
      <c r="AC1003" s="45" t="n">
        <f aca="false">IF(AND($D1003&lt;&gt;"",OR($B1003="결제완료",$B1003="상담중")),1,0)</f>
        <v>0</v>
      </c>
      <c r="AD1003" s="45" t="n">
        <f aca="false">IF(OR($Z1003="",$U1003=""),0,IFERROR(IF(COUNTIFS(INDEX(g_grid,0,2*MATCH($M1003,강사DB!$A$4:$A$15,0)),"&lt;&gt;",g_s,"&lt;="&amp;$U1003,g_e,"&gt;="&amp;$U1003)&gt;0,1,0),0))</f>
        <v>0</v>
      </c>
      <c r="AE1003" s="48"/>
      <c r="AF1003" s="56" t="str">
        <f aca="false">IF(AND($D1003&lt;&gt;"",$B1003="결제완료",$T1003="대여"),설정!$J$5,"")</f>
        <v/>
      </c>
      <c r="AG1003" s="54" t="str">
        <f aca="false">IF($D1003="","",IF(AND($E1003="",$R1003=""),$AB1003,"☎ "&amp;IF($E1003="","-",$E1003)&amp;IF($R1003&lt;&gt;"","  ※ "&amp;$R1003,"")&amp;IF($B1003="상담중"," (상담)","")))</f>
        <v/>
      </c>
      <c r="AH1003" s="56" t="str">
        <f aca="false">IF(AND($D1003&lt;&gt;"",$B1003="결제완료",$O1003="스마트스토어"),ROUND(N($N1003)*설정!$J$6,0),"")</f>
        <v/>
      </c>
      <c r="AI1003" s="54" t="str">
        <f aca="false">IF($D1003="","",ROW())</f>
        <v/>
      </c>
      <c r="AJ1003" s="54" t="n">
        <f aca="false">IF(OR($AC1003&lt;&gt;1,$M1003=""),0,IF(ISNUMBER(SEARCH("퇴사",IFERROR(INDEX(강사DB!$G$4:$G$53,MATCH($M1003,강사DB!$A$4:$A$53,0)),""))),1,0))</f>
        <v>0</v>
      </c>
    </row>
    <row r="1004" customFormat="false" ht="15" hidden="false" customHeight="false" outlineLevel="0" collapsed="false">
      <c r="A1004" s="45" t="str">
        <f aca="false">IF($D1004="","",COUNTA($D$5:$D1004))</f>
        <v/>
      </c>
      <c r="B1004" s="46"/>
      <c r="C1004" s="47"/>
      <c r="D1004" s="48"/>
      <c r="E1004" s="48"/>
      <c r="F1004" s="49"/>
      <c r="G1004" s="47"/>
      <c r="H1004" s="50"/>
      <c r="I1004" s="50"/>
      <c r="J1004" s="51" t="str">
        <f aca="false">IF(OR($V1004="",$W1004=""),"",ROUND(($W1004-$V1004)/60,2))</f>
        <v/>
      </c>
      <c r="K1004" s="52" t="str">
        <f aca="false">IF($F1004="","",LEN($F1004)-LEN(SUBSTITUTE($F1004,",",""))+1)</f>
        <v/>
      </c>
      <c r="L1004" s="45" t="str">
        <f aca="false">IF($K1004="","","1:"&amp;$K1004)</f>
        <v/>
      </c>
      <c r="M1004" s="46"/>
      <c r="N1004" s="53"/>
      <c r="O1004" s="46"/>
      <c r="P1004" s="47"/>
      <c r="Q1004" s="48"/>
      <c r="R1004" s="49"/>
      <c r="S1004" s="54" t="str">
        <f aca="false">IF(OR($AC1004=0,$U1004="",$M1004="",$V1004="",$W1004=""),"",IF(COUNTIFS(m_teacher,$M1004,m_date,$U1004,m_active,1,m_start,"&lt;"&amp;$W1004,m_end,"&gt;"&amp;$V1004)&gt;1,"충돌",""))</f>
        <v/>
      </c>
      <c r="T1004" s="48"/>
      <c r="U1004" s="55" t="str">
        <f aca="false">IF($G1004="","",IFERROR(IF(ISNUMBER($G1004),IF($G1004&gt;19000000,DATE(INT($G1004/10000),MOD(INT($G1004/100),100),MOD($G1004,100)),INT($G1004)),IF(LEN(SUBSTITUTE(SUBSTITUTE(SUBSTITUTE(TRIM($G1004),"-",""),".",""),"/",""))=8,DATE(VALUE(LEFT(SUBSTITUTE(SUBSTITUTE(SUBSTITUTE(TRIM($G1004),"-",""),".",""),"/",""),4)),VALUE(MID(SUBSTITUTE(SUBSTITUTE(SUBSTITUTE(TRIM($G1004),"-",""),".",""),"/",""),5,2)),VALUE(RIGHT(SUBSTITUTE(SUBSTITUTE(SUBSTITUTE(TRIM($G1004),"-",""),".",""),"/",""),2))),DATEVALUE($G1004))),""))</f>
        <v/>
      </c>
      <c r="V1004" s="52" t="str">
        <f aca="false">IF($H1004="","",IFERROR(IF(IF(ISNUMBER($H1004),$H1004,IFERROR(TIMEVALUE($H1004),VALUE($H1004)))&gt;=100,INT(IF(ISNUMBER($H1004),$H1004,IFERROR(TIMEVALUE($H1004),VALUE($H1004)))/100)*60+MOD(IF(ISNUMBER($H1004),$H1004,IFERROR(TIMEVALUE($H1004),VALUE($H1004))),100),IF(IF(ISNUMBER($H1004),$H1004,IFERROR(TIMEVALUE($H1004),VALUE($H1004)))&gt;=1,ROUND(IF(ISNUMBER($H1004),$H1004,IFERROR(TIMEVALUE($H1004),VALUE($H1004)))*60,0),ROUND(MOD(IF(ISNUMBER($H1004),$H1004,IFERROR(TIMEVALUE($H1004),VALUE($H1004))),1)*1440,0))),""))</f>
        <v/>
      </c>
      <c r="W1004" s="52" t="str">
        <f aca="false">IF($I1004="","",IFERROR(IF(IF(ISNUMBER($I1004),$I1004,IFERROR(TIMEVALUE($I1004),VALUE($I1004)))&gt;=100,INT(IF(ISNUMBER($I1004),$I1004,IFERROR(TIMEVALUE($I1004),VALUE($I1004)))/100)*60+MOD(IF(ISNUMBER($I1004),$I1004,IFERROR(TIMEVALUE($I1004),VALUE($I1004))),100),IF(IF(ISNUMBER($I1004),$I1004,IFERROR(TIMEVALUE($I1004),VALUE($I1004)))&gt;=1,ROUND(IF(ISNUMBER($I1004),$I1004,IFERROR(TIMEVALUE($I1004),VALUE($I1004)))*60,0),ROUND(MOD(IF(ISNUMBER($I1004),$I1004,IFERROR(TIMEVALUE($I1004),VALUE($I1004))),1)*1440,0))),""))</f>
        <v/>
      </c>
      <c r="X1004" s="55" t="str">
        <f aca="false">IF($P1004="","",IFERROR(IF(ISNUMBER($P1004),IF($P1004&gt;19000000,DATE(INT($P1004/10000),MOD(INT($P1004/100),100),MOD($P1004,100)),INT($P1004)),IF(LEN(SUBSTITUTE(SUBSTITUTE(SUBSTITUTE(TRIM($P1004),"-",""),".",""),"/",""))=8,DATE(VALUE(LEFT(SUBSTITUTE(SUBSTITUTE(SUBSTITUTE(TRIM($P1004),"-",""),".",""),"/",""),4)),VALUE(MID(SUBSTITUTE(SUBSTITUTE(SUBSTITUTE(TRIM($P1004),"-",""),".",""),"/",""),5,2)),VALUE(RIGHT(SUBSTITUTE(SUBSTITUTE(SUBSTITUTE(TRIM($P1004),"-",""),".",""),"/",""),2))),DATEVALUE($P1004))),""))</f>
        <v/>
      </c>
      <c r="Y1004" s="56" t="str">
        <f aca="false">IF($M1004="","",IFERROR(INDEX(강사DB!$D$4:$D$53,MATCH($M1004,강사DB!$A$4:$A$53,0)),""))</f>
        <v/>
      </c>
      <c r="Z1004" s="56" t="str">
        <f aca="false">IF($B1004&lt;&gt;"결제완료","",IF(OR($Y1004="",$J1004=""),"",$Y1004*$J1004+MAX(0,N($K1004)-1)*설정!$J$7))</f>
        <v/>
      </c>
      <c r="AA1004" s="56" t="str">
        <f aca="false">IF(AND($D1004&lt;&gt;"",$B1004="결제완료"),N($N1004),"")</f>
        <v/>
      </c>
      <c r="AB1004" s="45" t="str">
        <f aca="false">IF($D1004="","",IF($F1004&lt;&gt;"",$F1004,$D1004)&amp;IF($B1004="상담중"," (상담)",""))</f>
        <v/>
      </c>
      <c r="AC1004" s="45" t="n">
        <f aca="false">IF(AND($D1004&lt;&gt;"",OR($B1004="결제완료",$B1004="상담중")),1,0)</f>
        <v>0</v>
      </c>
      <c r="AD1004" s="45" t="n">
        <f aca="false">IF(OR($Z1004="",$U1004=""),0,IFERROR(IF(COUNTIFS(INDEX(g_grid,0,2*MATCH($M1004,강사DB!$A$4:$A$15,0)),"&lt;&gt;",g_s,"&lt;="&amp;$U1004,g_e,"&gt;="&amp;$U1004)&gt;0,1,0),0))</f>
        <v>0</v>
      </c>
      <c r="AE1004" s="48"/>
      <c r="AF1004" s="56" t="str">
        <f aca="false">IF(AND($D1004&lt;&gt;"",$B1004="결제완료",$T1004="대여"),설정!$J$5,"")</f>
        <v/>
      </c>
      <c r="AG1004" s="54" t="str">
        <f aca="false">IF($D1004="","",IF(AND($E1004="",$R1004=""),$AB1004,"☎ "&amp;IF($E1004="","-",$E1004)&amp;IF($R1004&lt;&gt;"","  ※ "&amp;$R1004,"")&amp;IF($B1004="상담중"," (상담)","")))</f>
        <v/>
      </c>
      <c r="AH1004" s="56" t="str">
        <f aca="false">IF(AND($D1004&lt;&gt;"",$B1004="결제완료",$O1004="스마트스토어"),ROUND(N($N1004)*설정!$J$6,0),"")</f>
        <v/>
      </c>
      <c r="AI1004" s="54" t="str">
        <f aca="false">IF($D1004="","",ROW())</f>
        <v/>
      </c>
      <c r="AJ1004" s="54" t="n">
        <f aca="false">IF(OR($AC1004&lt;&gt;1,$M1004=""),0,IF(ISNUMBER(SEARCH("퇴사",IFERROR(INDEX(강사DB!$G$4:$G$53,MATCH($M1004,강사DB!$A$4:$A$53,0)),""))),1,0))</f>
        <v>0</v>
      </c>
    </row>
  </sheetData>
  <autoFilter ref="A4:AE1004"/>
  <mergeCells count="3">
    <mergeCell ref="A1:S1"/>
    <mergeCell ref="A2:S2"/>
    <mergeCell ref="A3:S3"/>
  </mergeCells>
  <conditionalFormatting sqref="M5:M1004">
    <cfRule type="expression" priority="2" aboveAverage="0" equalAverage="0" bottom="0" percent="0" rank="0" text="" dxfId="8">
      <formula>$AJ5=1</formula>
    </cfRule>
  </conditionalFormatting>
  <conditionalFormatting sqref="S5:S1004">
    <cfRule type="expression" priority="3" aboveAverage="0" equalAverage="0" bottom="0" percent="0" rank="0" text="" dxfId="8">
      <formula>$S5="충돌"</formula>
    </cfRule>
  </conditionalFormatting>
  <conditionalFormatting sqref="G5:G1004">
    <cfRule type="expression" priority="4" aboveAverage="0" equalAverage="0" bottom="0" percent="0" rank="0" text="" dxfId="8">
      <formula>AND($G5&lt;&gt;"",$U5="")</formula>
    </cfRule>
  </conditionalFormatting>
  <conditionalFormatting sqref="P5:P1004">
    <cfRule type="expression" priority="5" aboveAverage="0" equalAverage="0" bottom="0" percent="0" rank="0" text="" dxfId="8">
      <formula>AND($P5&lt;&gt;"",$X5="")</formula>
    </cfRule>
  </conditionalFormatting>
  <conditionalFormatting sqref="H5:H1004">
    <cfRule type="expression" priority="6" aboveAverage="0" equalAverage="0" bottom="0" percent="0" rank="0" text="" dxfId="8">
      <formula>AND($H5&lt;&gt;"",$V5="")</formula>
    </cfRule>
  </conditionalFormatting>
  <conditionalFormatting sqref="I5:I1004">
    <cfRule type="expression" priority="7" aboveAverage="0" equalAverage="0" bottom="0" percent="0" rank="0" text="" dxfId="8">
      <formula>AND($I5&lt;&gt;"",$W5="")</formula>
    </cfRule>
  </conditionalFormatting>
  <conditionalFormatting sqref="A5:AE1004">
    <cfRule type="expression" priority="8" aboveAverage="0" equalAverage="0" bottom="0" percent="0" rank="0" text="" dxfId="9">
      <formula>$B5="취소"</formula>
    </cfRule>
    <cfRule type="expression" priority="9" aboveAverage="0" equalAverage="0" bottom="0" percent="0" rank="0" text="" dxfId="10">
      <formula>$B5="상담중"</formula>
    </cfRule>
  </conditionalFormatting>
  <dataValidations count="7">
    <dataValidation allowBlank="true" errorStyle="stop" operator="between" showDropDown="false" showErrorMessage="true" showInputMessage="false" sqref="B5:B1004" type="list">
      <formula1>설정!$A$4:$A$6</formula1>
      <formula2>0</formula2>
    </dataValidation>
    <dataValidation allowBlank="true" errorStyle="stop" operator="between" showDropDown="false" showErrorMessage="false" showInputMessage="false" sqref="H5:I1004" type="list">
      <formula1>설정!$G$4:$G$35</formula1>
      <formula2>0</formula2>
    </dataValidation>
    <dataValidation allowBlank="true" errorStyle="stop" operator="between" showDropDown="false" showErrorMessage="true" showInputMessage="false" sqref="M5:M1004" type="list">
      <formula1>설정!$N$4:$N$53</formula1>
      <formula2>0</formula2>
    </dataValidation>
    <dataValidation allowBlank="true" errorStyle="stop" operator="between" showDropDown="false" showErrorMessage="true" showInputMessage="false" sqref="O5:O1004" type="list">
      <formula1>설정!$B$4:$B$15</formula1>
      <formula2>0</formula2>
    </dataValidation>
    <dataValidation allowBlank="true" errorStyle="stop" operator="between" showDropDown="false" showErrorMessage="true" showInputMessage="false" sqref="Q5:Q1004" type="list">
      <formula1>설정!$C$4:$C$20</formula1>
      <formula2>0</formula2>
    </dataValidation>
    <dataValidation allowBlank="true" errorStyle="stop" operator="between" showDropDown="false" showErrorMessage="true" showInputMessage="false" sqref="AE5:AE1004" type="list">
      <formula1>"작성완료,미작성"</formula1>
      <formula2>0</formula2>
    </dataValidation>
    <dataValidation allowBlank="true" errorStyle="stop" operator="between" showDropDown="false" showErrorMessage="true" showInputMessage="false" sqref="T5:T1004" type="list">
      <formula1>설정!$L$4:$L$5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E9A6B"/>
    <pageSetUpPr fitToPage="false"/>
  </sheetPr>
  <dimension ref="A1:BR8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7"/>
    <col collapsed="false" customWidth="true" hidden="false" outlineLevel="0" max="14" min="3" style="0" width="15"/>
    <col collapsed="false" customWidth="true" hidden="false" outlineLevel="0" max="15" min="15" style="0" width="9"/>
    <col collapsed="false" customWidth="true" hidden="false" outlineLevel="0" max="16" min="16" style="0" width="7"/>
    <col collapsed="false" customWidth="true" hidden="false" outlineLevel="0" max="28" min="17" style="0" width="15"/>
    <col collapsed="false" customWidth="true" hidden="false" outlineLevel="0" max="29" min="29" style="0" width="9"/>
    <col collapsed="false" customWidth="true" hidden="false" outlineLevel="0" max="30" min="30" style="0" width="7"/>
    <col collapsed="false" customWidth="true" hidden="false" outlineLevel="0" max="42" min="31" style="0" width="15"/>
    <col collapsed="false" customWidth="true" hidden="false" outlineLevel="0" max="43" min="43" style="0" width="9"/>
    <col collapsed="false" customWidth="true" hidden="false" outlineLevel="0" max="44" min="44" style="0" width="7"/>
    <col collapsed="false" customWidth="true" hidden="false" outlineLevel="0" max="56" min="45" style="0" width="15"/>
    <col collapsed="false" customWidth="true" hidden="false" outlineLevel="0" max="57" min="57" style="0" width="9"/>
    <col collapsed="false" customWidth="true" hidden="false" outlineLevel="0" max="58" min="58" style="0" width="7"/>
    <col collapsed="false" customWidth="true" hidden="false" outlineLevel="0" max="70" min="59" style="0" width="15"/>
  </cols>
  <sheetData>
    <row r="1" customFormat="false" ht="30" hidden="false" customHeight="true" outlineLevel="0" collapsed="false">
      <c r="A1" s="1" t="s">
        <v>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customFormat="false" ht="33.75" hidden="false" customHeight="true" outlineLevel="0" collapsed="false">
      <c r="A2" s="3" t="s">
        <v>86</v>
      </c>
      <c r="B2" s="3"/>
      <c r="C2" s="57" t="n">
        <v>46357</v>
      </c>
      <c r="D2" s="57"/>
      <c r="E2" s="3" t="s">
        <v>87</v>
      </c>
      <c r="F2" s="3"/>
      <c r="G2" s="58" t="n">
        <f aca="false">$C$2-WEEKDAY($C$2,2)+1</f>
        <v>46356</v>
      </c>
      <c r="H2" s="58"/>
      <c r="I2" s="59" t="s">
        <v>88</v>
      </c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9"/>
      <c r="AU2" s="59"/>
      <c r="AV2" s="59"/>
      <c r="AW2" s="59"/>
      <c r="AX2" s="59"/>
      <c r="AY2" s="59"/>
      <c r="AZ2" s="59"/>
      <c r="BA2" s="59"/>
      <c r="BB2" s="59"/>
      <c r="BC2" s="59"/>
      <c r="BD2" s="59"/>
      <c r="BE2" s="59"/>
      <c r="BF2" s="59"/>
      <c r="BG2" s="59"/>
      <c r="BH2" s="59"/>
      <c r="BI2" s="59"/>
      <c r="BJ2" s="59"/>
      <c r="BK2" s="59"/>
      <c r="BL2" s="59"/>
      <c r="BM2" s="59"/>
      <c r="BN2" s="59"/>
      <c r="BO2" s="59"/>
      <c r="BP2" s="59"/>
      <c r="BQ2" s="59"/>
      <c r="BR2" s="59"/>
    </row>
    <row r="3" customFormat="false" ht="21.75" hidden="false" customHeight="true" outlineLevel="0" collapsed="false">
      <c r="A3" s="60" t="str">
        <f aca="false">"1주차   "&amp;TEXT($G$2+0,"m/d")&amp;" ~ "&amp;TEXT($G$2+6,"m/d")</f>
        <v>1주차   11/30 ~ 12/6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 t="str">
        <f aca="false">"2주차   "&amp;TEXT($G$2+7,"m/d")&amp;" ~ "&amp;TEXT($G$2+13,"m/d")</f>
        <v>2주차   12/7 ~ 12/13</v>
      </c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 t="str">
        <f aca="false">"3주차   "&amp;TEXT($G$2+14,"m/d")&amp;" ~ "&amp;TEXT($G$2+20,"m/d")</f>
        <v>3주차   12/14 ~ 12/20</v>
      </c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 t="str">
        <f aca="false">"4주차   "&amp;TEXT($G$2+21,"m/d")&amp;" ~ "&amp;TEXT($G$2+27,"m/d")</f>
        <v>4주차   12/21 ~ 12/27</v>
      </c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 t="str">
        <f aca="false">"5주차   "&amp;TEXT($G$2+28,"m/d")&amp;" ~ "&amp;TEXT($G$2+34,"m/d")</f>
        <v>5주차   12/28 ~ 1/3</v>
      </c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</row>
    <row r="4" customFormat="false" ht="21.75" hidden="false" customHeight="true" outlineLevel="0" collapsed="false">
      <c r="A4" s="61" t="s">
        <v>89</v>
      </c>
      <c r="B4" s="62" t="s">
        <v>90</v>
      </c>
      <c r="C4" s="63" t="str">
        <f aca="false">IF(설정!$N$4="","",설정!$N$4)</f>
        <v>김건진</v>
      </c>
      <c r="D4" s="64" t="str">
        <f aca="false">IF(설정!$N$5="","",설정!$N$5)</f>
        <v>김준태</v>
      </c>
      <c r="E4" s="65" t="str">
        <f aca="false">IF(설정!$N$6="","",설정!$N$6)</f>
        <v>이민규</v>
      </c>
      <c r="F4" s="66" t="str">
        <f aca="false">IF(설정!$N$7="","",설정!$N$7)</f>
        <v>송지성</v>
      </c>
      <c r="G4" s="67" t="str">
        <f aca="false">IF(설정!$N$8="","",설정!$N$8)</f>
        <v>박세근</v>
      </c>
      <c r="H4" s="68" t="str">
        <f aca="false">IF(설정!$N$9="","",설정!$N$9)</f>
        <v>프리랜서A</v>
      </c>
      <c r="I4" s="69" t="str">
        <f aca="false">IF(설정!$N$10="","",설정!$N$10)</f>
        <v>프리랜서B</v>
      </c>
      <c r="J4" s="70" t="str">
        <f aca="false">IF(설정!$N$11="","",설정!$N$11)</f>
        <v/>
      </c>
      <c r="K4" s="71" t="str">
        <f aca="false">IF(설정!$N$12="","",설정!$N$12)</f>
        <v/>
      </c>
      <c r="L4" s="72" t="str">
        <f aca="false">IF(설정!$N$13="","",설정!$N$13)</f>
        <v/>
      </c>
      <c r="M4" s="73" t="str">
        <f aca="false">IF(설정!$N$14="","",설정!$N$14)</f>
        <v/>
      </c>
      <c r="N4" s="74" t="str">
        <f aca="false">IF(설정!$N$15="","",설정!$N$15)</f>
        <v/>
      </c>
      <c r="O4" s="61" t="s">
        <v>89</v>
      </c>
      <c r="P4" s="62" t="s">
        <v>90</v>
      </c>
      <c r="Q4" s="63" t="str">
        <f aca="false">IF(설정!$N$4="","",설정!$N$4)</f>
        <v>김건진</v>
      </c>
      <c r="R4" s="64" t="str">
        <f aca="false">IF(설정!$N$5="","",설정!$N$5)</f>
        <v>김준태</v>
      </c>
      <c r="S4" s="65" t="str">
        <f aca="false">IF(설정!$N$6="","",설정!$N$6)</f>
        <v>이민규</v>
      </c>
      <c r="T4" s="66" t="str">
        <f aca="false">IF(설정!$N$7="","",설정!$N$7)</f>
        <v>송지성</v>
      </c>
      <c r="U4" s="67" t="str">
        <f aca="false">IF(설정!$N$8="","",설정!$N$8)</f>
        <v>박세근</v>
      </c>
      <c r="V4" s="68" t="str">
        <f aca="false">IF(설정!$N$9="","",설정!$N$9)</f>
        <v>프리랜서A</v>
      </c>
      <c r="W4" s="69" t="str">
        <f aca="false">IF(설정!$N$10="","",설정!$N$10)</f>
        <v>프리랜서B</v>
      </c>
      <c r="X4" s="70" t="str">
        <f aca="false">IF(설정!$N$11="","",설정!$N$11)</f>
        <v/>
      </c>
      <c r="Y4" s="71" t="str">
        <f aca="false">IF(설정!$N$12="","",설정!$N$12)</f>
        <v/>
      </c>
      <c r="Z4" s="72" t="str">
        <f aca="false">IF(설정!$N$13="","",설정!$N$13)</f>
        <v/>
      </c>
      <c r="AA4" s="73" t="str">
        <f aca="false">IF(설정!$N$14="","",설정!$N$14)</f>
        <v/>
      </c>
      <c r="AB4" s="74" t="str">
        <f aca="false">IF(설정!$N$15="","",설정!$N$15)</f>
        <v/>
      </c>
      <c r="AC4" s="61" t="s">
        <v>89</v>
      </c>
      <c r="AD4" s="62" t="s">
        <v>90</v>
      </c>
      <c r="AE4" s="63" t="str">
        <f aca="false">IF(설정!$N$4="","",설정!$N$4)</f>
        <v>김건진</v>
      </c>
      <c r="AF4" s="64" t="str">
        <f aca="false">IF(설정!$N$5="","",설정!$N$5)</f>
        <v>김준태</v>
      </c>
      <c r="AG4" s="65" t="str">
        <f aca="false">IF(설정!$N$6="","",설정!$N$6)</f>
        <v>이민규</v>
      </c>
      <c r="AH4" s="66" t="str">
        <f aca="false">IF(설정!$N$7="","",설정!$N$7)</f>
        <v>송지성</v>
      </c>
      <c r="AI4" s="67" t="str">
        <f aca="false">IF(설정!$N$8="","",설정!$N$8)</f>
        <v>박세근</v>
      </c>
      <c r="AJ4" s="68" t="str">
        <f aca="false">IF(설정!$N$9="","",설정!$N$9)</f>
        <v>프리랜서A</v>
      </c>
      <c r="AK4" s="69" t="str">
        <f aca="false">IF(설정!$N$10="","",설정!$N$10)</f>
        <v>프리랜서B</v>
      </c>
      <c r="AL4" s="70" t="str">
        <f aca="false">IF(설정!$N$11="","",설정!$N$11)</f>
        <v/>
      </c>
      <c r="AM4" s="71" t="str">
        <f aca="false">IF(설정!$N$12="","",설정!$N$12)</f>
        <v/>
      </c>
      <c r="AN4" s="72" t="str">
        <f aca="false">IF(설정!$N$13="","",설정!$N$13)</f>
        <v/>
      </c>
      <c r="AO4" s="73" t="str">
        <f aca="false">IF(설정!$N$14="","",설정!$N$14)</f>
        <v/>
      </c>
      <c r="AP4" s="74" t="str">
        <f aca="false">IF(설정!$N$15="","",설정!$N$15)</f>
        <v/>
      </c>
      <c r="AQ4" s="61" t="s">
        <v>89</v>
      </c>
      <c r="AR4" s="62" t="s">
        <v>90</v>
      </c>
      <c r="AS4" s="63" t="str">
        <f aca="false">IF(설정!$N$4="","",설정!$N$4)</f>
        <v>김건진</v>
      </c>
      <c r="AT4" s="64" t="str">
        <f aca="false">IF(설정!$N$5="","",설정!$N$5)</f>
        <v>김준태</v>
      </c>
      <c r="AU4" s="65" t="str">
        <f aca="false">IF(설정!$N$6="","",설정!$N$6)</f>
        <v>이민규</v>
      </c>
      <c r="AV4" s="66" t="str">
        <f aca="false">IF(설정!$N$7="","",설정!$N$7)</f>
        <v>송지성</v>
      </c>
      <c r="AW4" s="67" t="str">
        <f aca="false">IF(설정!$N$8="","",설정!$N$8)</f>
        <v>박세근</v>
      </c>
      <c r="AX4" s="68" t="str">
        <f aca="false">IF(설정!$N$9="","",설정!$N$9)</f>
        <v>프리랜서A</v>
      </c>
      <c r="AY4" s="69" t="str">
        <f aca="false">IF(설정!$N$10="","",설정!$N$10)</f>
        <v>프리랜서B</v>
      </c>
      <c r="AZ4" s="70" t="str">
        <f aca="false">IF(설정!$N$11="","",설정!$N$11)</f>
        <v/>
      </c>
      <c r="BA4" s="71" t="str">
        <f aca="false">IF(설정!$N$12="","",설정!$N$12)</f>
        <v/>
      </c>
      <c r="BB4" s="72" t="str">
        <f aca="false">IF(설정!$N$13="","",설정!$N$13)</f>
        <v/>
      </c>
      <c r="BC4" s="73" t="str">
        <f aca="false">IF(설정!$N$14="","",설정!$N$14)</f>
        <v/>
      </c>
      <c r="BD4" s="74" t="str">
        <f aca="false">IF(설정!$N$15="","",설정!$N$15)</f>
        <v/>
      </c>
      <c r="BE4" s="61" t="s">
        <v>89</v>
      </c>
      <c r="BF4" s="62" t="s">
        <v>90</v>
      </c>
      <c r="BG4" s="63" t="str">
        <f aca="false">IF(설정!$N$4="","",설정!$N$4)</f>
        <v>김건진</v>
      </c>
      <c r="BH4" s="64" t="str">
        <f aca="false">IF(설정!$N$5="","",설정!$N$5)</f>
        <v>김준태</v>
      </c>
      <c r="BI4" s="65" t="str">
        <f aca="false">IF(설정!$N$6="","",설정!$N$6)</f>
        <v>이민규</v>
      </c>
      <c r="BJ4" s="66" t="str">
        <f aca="false">IF(설정!$N$7="","",설정!$N$7)</f>
        <v>송지성</v>
      </c>
      <c r="BK4" s="67" t="str">
        <f aca="false">IF(설정!$N$8="","",설정!$N$8)</f>
        <v>박세근</v>
      </c>
      <c r="BL4" s="68" t="str">
        <f aca="false">IF(설정!$N$9="","",설정!$N$9)</f>
        <v>프리랜서A</v>
      </c>
      <c r="BM4" s="69" t="str">
        <f aca="false">IF(설정!$N$10="","",설정!$N$10)</f>
        <v>프리랜서B</v>
      </c>
      <c r="BN4" s="70" t="str">
        <f aca="false">IF(설정!$N$11="","",설정!$N$11)</f>
        <v/>
      </c>
      <c r="BO4" s="71" t="str">
        <f aca="false">IF(설정!$N$12="","",설정!$N$12)</f>
        <v/>
      </c>
      <c r="BP4" s="72" t="str">
        <f aca="false">IF(설정!$N$13="","",설정!$N$13)</f>
        <v/>
      </c>
      <c r="BQ4" s="73" t="str">
        <f aca="false">IF(설정!$N$14="","",설정!$N$14)</f>
        <v/>
      </c>
      <c r="BR4" s="74" t="str">
        <f aca="false">IF(설정!$N$15="","",설정!$N$15)</f>
        <v/>
      </c>
    </row>
    <row r="5" customFormat="false" ht="19.5" hidden="false" customHeight="true" outlineLevel="0" collapsed="false">
      <c r="A5" s="75" t="str">
        <f aca="false">IF(MONTH(($G$2+0))&lt;&gt;MONTH($C$2),"",CHOOSE(WEEKDAY(($G$2+0),2),"월","화","수","목","금","토","일")&amp;CHAR(10)&amp;TEXT(($G$2+0),"m/d"))</f>
        <v/>
      </c>
      <c r="B5" s="76" t="s">
        <v>91</v>
      </c>
      <c r="C5" s="77" t="str">
        <f aca="false">IF(OR(C$4="",MONTH(($G$2+0))&lt;&gt;MONTH($C$2)),"",IF(COUNTIFS(m_teacher,C$4,m_date,($G$2+0),m_active,1,m_start,"&lt;"&amp;600,m_end,"&gt;"&amp;0)=0,"",IF(COUNTIFS(m_teacher,C$4,m_date,($G$2+0),m_active,1,m_start,"&lt;"&amp;600,m_end,"&gt;"&amp;0)&gt;1,"충돌",HYPERLINK("#'관리자_MASTER'!D"&amp;_xlfn.MAXIFS(m_row,m_teacher,C$4,m_date,($G$2+0),m_active,1,m_start,"&lt;"&amp;600,m_end,"&gt;"&amp;0),INDEX(m_label,_xlfn.MAXIFS(m_row,m_teacher,C$4,m_date,($G$2+0),m_active,1,m_start,"&lt;"&amp;600,m_end,"&gt;"&amp;0))))))</f>
        <v/>
      </c>
      <c r="D5" s="77" t="str">
        <f aca="false">IF(OR(D$4="",MONTH(($G$2+0))&lt;&gt;MONTH($C$2)),"",IF(COUNTIFS(m_teacher,D$4,m_date,($G$2+0),m_active,1,m_start,"&lt;"&amp;600,m_end,"&gt;"&amp;0)=0,"",IF(COUNTIFS(m_teacher,D$4,m_date,($G$2+0),m_active,1,m_start,"&lt;"&amp;600,m_end,"&gt;"&amp;0)&gt;1,"충돌",HYPERLINK("#'관리자_MASTER'!D"&amp;_xlfn.MAXIFS(m_row,m_teacher,D$4,m_date,($G$2+0),m_active,1,m_start,"&lt;"&amp;600,m_end,"&gt;"&amp;0),INDEX(m_label,_xlfn.MAXIFS(m_row,m_teacher,D$4,m_date,($G$2+0),m_active,1,m_start,"&lt;"&amp;600,m_end,"&gt;"&amp;0))))))</f>
        <v/>
      </c>
      <c r="E5" s="77" t="str">
        <f aca="false">IF(OR(E$4="",MONTH(($G$2+0))&lt;&gt;MONTH($C$2)),"",IF(COUNTIFS(m_teacher,E$4,m_date,($G$2+0),m_active,1,m_start,"&lt;"&amp;600,m_end,"&gt;"&amp;0)=0,"",IF(COUNTIFS(m_teacher,E$4,m_date,($G$2+0),m_active,1,m_start,"&lt;"&amp;600,m_end,"&gt;"&amp;0)&gt;1,"충돌",HYPERLINK("#'관리자_MASTER'!D"&amp;_xlfn.MAXIFS(m_row,m_teacher,E$4,m_date,($G$2+0),m_active,1,m_start,"&lt;"&amp;600,m_end,"&gt;"&amp;0),INDEX(m_label,_xlfn.MAXIFS(m_row,m_teacher,E$4,m_date,($G$2+0),m_active,1,m_start,"&lt;"&amp;600,m_end,"&gt;"&amp;0))))))</f>
        <v/>
      </c>
      <c r="F5" s="77" t="str">
        <f aca="false">IF(OR(F$4="",MONTH(($G$2+0))&lt;&gt;MONTH($C$2)),"",IF(COUNTIFS(m_teacher,F$4,m_date,($G$2+0),m_active,1,m_start,"&lt;"&amp;600,m_end,"&gt;"&amp;0)=0,"",IF(COUNTIFS(m_teacher,F$4,m_date,($G$2+0),m_active,1,m_start,"&lt;"&amp;600,m_end,"&gt;"&amp;0)&gt;1,"충돌",HYPERLINK("#'관리자_MASTER'!D"&amp;_xlfn.MAXIFS(m_row,m_teacher,F$4,m_date,($G$2+0),m_active,1,m_start,"&lt;"&amp;600,m_end,"&gt;"&amp;0),INDEX(m_label,_xlfn.MAXIFS(m_row,m_teacher,F$4,m_date,($G$2+0),m_active,1,m_start,"&lt;"&amp;600,m_end,"&gt;"&amp;0))))))</f>
        <v/>
      </c>
      <c r="G5" s="77" t="str">
        <f aca="false">IF(OR(G$4="",MONTH(($G$2+0))&lt;&gt;MONTH($C$2)),"",IF(COUNTIFS(m_teacher,G$4,m_date,($G$2+0),m_active,1,m_start,"&lt;"&amp;600,m_end,"&gt;"&amp;0)=0,"",IF(COUNTIFS(m_teacher,G$4,m_date,($G$2+0),m_active,1,m_start,"&lt;"&amp;600,m_end,"&gt;"&amp;0)&gt;1,"충돌",HYPERLINK("#'관리자_MASTER'!D"&amp;_xlfn.MAXIFS(m_row,m_teacher,G$4,m_date,($G$2+0),m_active,1,m_start,"&lt;"&amp;600,m_end,"&gt;"&amp;0),INDEX(m_label,_xlfn.MAXIFS(m_row,m_teacher,G$4,m_date,($G$2+0),m_active,1,m_start,"&lt;"&amp;600,m_end,"&gt;"&amp;0))))))</f>
        <v/>
      </c>
      <c r="H5" s="77" t="str">
        <f aca="false">IF(OR(H$4="",MONTH(($G$2+0))&lt;&gt;MONTH($C$2)),"",IF(COUNTIFS(m_teacher,H$4,m_date,($G$2+0),m_active,1,m_start,"&lt;"&amp;600,m_end,"&gt;"&amp;0)=0,"",IF(COUNTIFS(m_teacher,H$4,m_date,($G$2+0),m_active,1,m_start,"&lt;"&amp;600,m_end,"&gt;"&amp;0)&gt;1,"충돌",HYPERLINK("#'관리자_MASTER'!D"&amp;_xlfn.MAXIFS(m_row,m_teacher,H$4,m_date,($G$2+0),m_active,1,m_start,"&lt;"&amp;600,m_end,"&gt;"&amp;0),INDEX(m_label,_xlfn.MAXIFS(m_row,m_teacher,H$4,m_date,($G$2+0),m_active,1,m_start,"&lt;"&amp;600,m_end,"&gt;"&amp;0))))))</f>
        <v/>
      </c>
      <c r="I5" s="77" t="str">
        <f aca="false">IF(OR(I$4="",MONTH(($G$2+0))&lt;&gt;MONTH($C$2)),"",IF(COUNTIFS(m_teacher,I$4,m_date,($G$2+0),m_active,1,m_start,"&lt;"&amp;600,m_end,"&gt;"&amp;0)=0,"",IF(COUNTIFS(m_teacher,I$4,m_date,($G$2+0),m_active,1,m_start,"&lt;"&amp;600,m_end,"&gt;"&amp;0)&gt;1,"충돌",HYPERLINK("#'관리자_MASTER'!D"&amp;_xlfn.MAXIFS(m_row,m_teacher,I$4,m_date,($G$2+0),m_active,1,m_start,"&lt;"&amp;600,m_end,"&gt;"&amp;0),INDEX(m_label,_xlfn.MAXIFS(m_row,m_teacher,I$4,m_date,($G$2+0),m_active,1,m_start,"&lt;"&amp;600,m_end,"&gt;"&amp;0))))))</f>
        <v/>
      </c>
      <c r="J5" s="77" t="str">
        <f aca="false">IF(OR(J$4="",MONTH(($G$2+0))&lt;&gt;MONTH($C$2)),"",IF(COUNTIFS(m_teacher,J$4,m_date,($G$2+0),m_active,1,m_start,"&lt;"&amp;600,m_end,"&gt;"&amp;0)=0,"",IF(COUNTIFS(m_teacher,J$4,m_date,($G$2+0),m_active,1,m_start,"&lt;"&amp;600,m_end,"&gt;"&amp;0)&gt;1,"충돌",HYPERLINK("#'관리자_MASTER'!D"&amp;_xlfn.MAXIFS(m_row,m_teacher,J$4,m_date,($G$2+0),m_active,1,m_start,"&lt;"&amp;600,m_end,"&gt;"&amp;0),INDEX(m_label,_xlfn.MAXIFS(m_row,m_teacher,J$4,m_date,($G$2+0),m_active,1,m_start,"&lt;"&amp;600,m_end,"&gt;"&amp;0))))))</f>
        <v/>
      </c>
      <c r="K5" s="77" t="str">
        <f aca="false">IF(OR(K$4="",MONTH(($G$2+0))&lt;&gt;MONTH($C$2)),"",IF(COUNTIFS(m_teacher,K$4,m_date,($G$2+0),m_active,1,m_start,"&lt;"&amp;600,m_end,"&gt;"&amp;0)=0,"",IF(COUNTIFS(m_teacher,K$4,m_date,($G$2+0),m_active,1,m_start,"&lt;"&amp;600,m_end,"&gt;"&amp;0)&gt;1,"충돌",HYPERLINK("#'관리자_MASTER'!D"&amp;_xlfn.MAXIFS(m_row,m_teacher,K$4,m_date,($G$2+0),m_active,1,m_start,"&lt;"&amp;600,m_end,"&gt;"&amp;0),INDEX(m_label,_xlfn.MAXIFS(m_row,m_teacher,K$4,m_date,($G$2+0),m_active,1,m_start,"&lt;"&amp;600,m_end,"&gt;"&amp;0))))))</f>
        <v/>
      </c>
      <c r="L5" s="77" t="str">
        <f aca="false">IF(OR(L$4="",MONTH(($G$2+0))&lt;&gt;MONTH($C$2)),"",IF(COUNTIFS(m_teacher,L$4,m_date,($G$2+0),m_active,1,m_start,"&lt;"&amp;600,m_end,"&gt;"&amp;0)=0,"",IF(COUNTIFS(m_teacher,L$4,m_date,($G$2+0),m_active,1,m_start,"&lt;"&amp;600,m_end,"&gt;"&amp;0)&gt;1,"충돌",HYPERLINK("#'관리자_MASTER'!D"&amp;_xlfn.MAXIFS(m_row,m_teacher,L$4,m_date,($G$2+0),m_active,1,m_start,"&lt;"&amp;600,m_end,"&gt;"&amp;0),INDEX(m_label,_xlfn.MAXIFS(m_row,m_teacher,L$4,m_date,($G$2+0),m_active,1,m_start,"&lt;"&amp;600,m_end,"&gt;"&amp;0))))))</f>
        <v/>
      </c>
      <c r="M5" s="77" t="str">
        <f aca="false">IF(OR(M$4="",MONTH(($G$2+0))&lt;&gt;MONTH($C$2)),"",IF(COUNTIFS(m_teacher,M$4,m_date,($G$2+0),m_active,1,m_start,"&lt;"&amp;600,m_end,"&gt;"&amp;0)=0,"",IF(COUNTIFS(m_teacher,M$4,m_date,($G$2+0),m_active,1,m_start,"&lt;"&amp;600,m_end,"&gt;"&amp;0)&gt;1,"충돌",HYPERLINK("#'관리자_MASTER'!D"&amp;_xlfn.MAXIFS(m_row,m_teacher,M$4,m_date,($G$2+0),m_active,1,m_start,"&lt;"&amp;600,m_end,"&gt;"&amp;0),INDEX(m_label,_xlfn.MAXIFS(m_row,m_teacher,M$4,m_date,($G$2+0),m_active,1,m_start,"&lt;"&amp;600,m_end,"&gt;"&amp;0))))))</f>
        <v/>
      </c>
      <c r="N5" s="77" t="str">
        <f aca="false">IF(OR(N$4="",MONTH(($G$2+0))&lt;&gt;MONTH($C$2)),"",IF(COUNTIFS(m_teacher,N$4,m_date,($G$2+0),m_active,1,m_start,"&lt;"&amp;600,m_end,"&gt;"&amp;0)=0,"",IF(COUNTIFS(m_teacher,N$4,m_date,($G$2+0),m_active,1,m_start,"&lt;"&amp;600,m_end,"&gt;"&amp;0)&gt;1,"충돌",HYPERLINK("#'관리자_MASTER'!D"&amp;_xlfn.MAXIFS(m_row,m_teacher,N$4,m_date,($G$2+0),m_active,1,m_start,"&lt;"&amp;600,m_end,"&gt;"&amp;0),INDEX(m_label,_xlfn.MAXIFS(m_row,m_teacher,N$4,m_date,($G$2+0),m_active,1,m_start,"&lt;"&amp;600,m_end,"&gt;"&amp;0))))))</f>
        <v/>
      </c>
      <c r="O5" s="78" t="str">
        <f aca="false">IF(MONTH(($G$2+7))&lt;&gt;MONTH($C$2),"",CHOOSE(WEEKDAY(($G$2+7),2),"월","화","수","목","금","토","일")&amp;CHAR(10)&amp;TEXT(($G$2+7),"m/d"))</f>
        <v>월
12/7</v>
      </c>
      <c r="P5" s="79" t="s">
        <v>91</v>
      </c>
      <c r="Q5" s="80" t="str">
        <f aca="false">IF(OR(Q$4="",MONTH(($G$2+7))&lt;&gt;MONTH($C$2)),"",IF(COUNTIFS(m_teacher,Q$4,m_date,($G$2+7),m_active,1,m_start,"&lt;"&amp;600,m_end,"&gt;"&amp;0)=0,"",IF(COUNTIFS(m_teacher,Q$4,m_date,($G$2+7),m_active,1,m_start,"&lt;"&amp;600,m_end,"&gt;"&amp;0)&gt;1,"충돌",HYPERLINK("#'관리자_MASTER'!D"&amp;_xlfn.MAXIFS(m_row,m_teacher,Q$4,m_date,($G$2+7),m_active,1,m_start,"&lt;"&amp;600,m_end,"&gt;"&amp;0),INDEX(m_label,_xlfn.MAXIFS(m_row,m_teacher,Q$4,m_date,($G$2+7),m_active,1,m_start,"&lt;"&amp;600,m_end,"&gt;"&amp;0))))))</f>
        <v/>
      </c>
      <c r="R5" s="80" t="str">
        <f aca="false">IF(OR(R$4="",MONTH(($G$2+7))&lt;&gt;MONTH($C$2)),"",IF(COUNTIFS(m_teacher,R$4,m_date,($G$2+7),m_active,1,m_start,"&lt;"&amp;600,m_end,"&gt;"&amp;0)=0,"",IF(COUNTIFS(m_teacher,R$4,m_date,($G$2+7),m_active,1,m_start,"&lt;"&amp;600,m_end,"&gt;"&amp;0)&gt;1,"충돌",HYPERLINK("#'관리자_MASTER'!D"&amp;_xlfn.MAXIFS(m_row,m_teacher,R$4,m_date,($G$2+7),m_active,1,m_start,"&lt;"&amp;600,m_end,"&gt;"&amp;0),INDEX(m_label,_xlfn.MAXIFS(m_row,m_teacher,R$4,m_date,($G$2+7),m_active,1,m_start,"&lt;"&amp;600,m_end,"&gt;"&amp;0))))))</f>
        <v/>
      </c>
      <c r="S5" s="80" t="str">
        <f aca="false">IF(OR(S$4="",MONTH(($G$2+7))&lt;&gt;MONTH($C$2)),"",IF(COUNTIFS(m_teacher,S$4,m_date,($G$2+7),m_active,1,m_start,"&lt;"&amp;600,m_end,"&gt;"&amp;0)=0,"",IF(COUNTIFS(m_teacher,S$4,m_date,($G$2+7),m_active,1,m_start,"&lt;"&amp;600,m_end,"&gt;"&amp;0)&gt;1,"충돌",HYPERLINK("#'관리자_MASTER'!D"&amp;_xlfn.MAXIFS(m_row,m_teacher,S$4,m_date,($G$2+7),m_active,1,m_start,"&lt;"&amp;600,m_end,"&gt;"&amp;0),INDEX(m_label,_xlfn.MAXIFS(m_row,m_teacher,S$4,m_date,($G$2+7),m_active,1,m_start,"&lt;"&amp;600,m_end,"&gt;"&amp;0))))))</f>
        <v/>
      </c>
      <c r="T5" s="80" t="str">
        <f aca="false">IF(OR(T$4="",MONTH(($G$2+7))&lt;&gt;MONTH($C$2)),"",IF(COUNTIFS(m_teacher,T$4,m_date,($G$2+7),m_active,1,m_start,"&lt;"&amp;600,m_end,"&gt;"&amp;0)=0,"",IF(COUNTIFS(m_teacher,T$4,m_date,($G$2+7),m_active,1,m_start,"&lt;"&amp;600,m_end,"&gt;"&amp;0)&gt;1,"충돌",HYPERLINK("#'관리자_MASTER'!D"&amp;_xlfn.MAXIFS(m_row,m_teacher,T$4,m_date,($G$2+7),m_active,1,m_start,"&lt;"&amp;600,m_end,"&gt;"&amp;0),INDEX(m_label,_xlfn.MAXIFS(m_row,m_teacher,T$4,m_date,($G$2+7),m_active,1,m_start,"&lt;"&amp;600,m_end,"&gt;"&amp;0))))))</f>
        <v/>
      </c>
      <c r="U5" s="80" t="str">
        <f aca="false">IF(OR(U$4="",MONTH(($G$2+7))&lt;&gt;MONTH($C$2)),"",IF(COUNTIFS(m_teacher,U$4,m_date,($G$2+7),m_active,1,m_start,"&lt;"&amp;600,m_end,"&gt;"&amp;0)=0,"",IF(COUNTIFS(m_teacher,U$4,m_date,($G$2+7),m_active,1,m_start,"&lt;"&amp;600,m_end,"&gt;"&amp;0)&gt;1,"충돌",HYPERLINK("#'관리자_MASTER'!D"&amp;_xlfn.MAXIFS(m_row,m_teacher,U$4,m_date,($G$2+7),m_active,1,m_start,"&lt;"&amp;600,m_end,"&gt;"&amp;0),INDEX(m_label,_xlfn.MAXIFS(m_row,m_teacher,U$4,m_date,($G$2+7),m_active,1,m_start,"&lt;"&amp;600,m_end,"&gt;"&amp;0))))))</f>
        <v/>
      </c>
      <c r="V5" s="80" t="str">
        <f aca="false">IF(OR(V$4="",MONTH(($G$2+7))&lt;&gt;MONTH($C$2)),"",IF(COUNTIFS(m_teacher,V$4,m_date,($G$2+7),m_active,1,m_start,"&lt;"&amp;600,m_end,"&gt;"&amp;0)=0,"",IF(COUNTIFS(m_teacher,V$4,m_date,($G$2+7),m_active,1,m_start,"&lt;"&amp;600,m_end,"&gt;"&amp;0)&gt;1,"충돌",HYPERLINK("#'관리자_MASTER'!D"&amp;_xlfn.MAXIFS(m_row,m_teacher,V$4,m_date,($G$2+7),m_active,1,m_start,"&lt;"&amp;600,m_end,"&gt;"&amp;0),INDEX(m_label,_xlfn.MAXIFS(m_row,m_teacher,V$4,m_date,($G$2+7),m_active,1,m_start,"&lt;"&amp;600,m_end,"&gt;"&amp;0))))))</f>
        <v/>
      </c>
      <c r="W5" s="80" t="str">
        <f aca="false">IF(OR(W$4="",MONTH(($G$2+7))&lt;&gt;MONTH($C$2)),"",IF(COUNTIFS(m_teacher,W$4,m_date,($G$2+7),m_active,1,m_start,"&lt;"&amp;600,m_end,"&gt;"&amp;0)=0,"",IF(COUNTIFS(m_teacher,W$4,m_date,($G$2+7),m_active,1,m_start,"&lt;"&amp;600,m_end,"&gt;"&amp;0)&gt;1,"충돌",HYPERLINK("#'관리자_MASTER'!D"&amp;_xlfn.MAXIFS(m_row,m_teacher,W$4,m_date,($G$2+7),m_active,1,m_start,"&lt;"&amp;600,m_end,"&gt;"&amp;0),INDEX(m_label,_xlfn.MAXIFS(m_row,m_teacher,W$4,m_date,($G$2+7),m_active,1,m_start,"&lt;"&amp;600,m_end,"&gt;"&amp;0))))))</f>
        <v/>
      </c>
      <c r="X5" s="80" t="str">
        <f aca="false">IF(OR(X$4="",MONTH(($G$2+7))&lt;&gt;MONTH($C$2)),"",IF(COUNTIFS(m_teacher,X$4,m_date,($G$2+7),m_active,1,m_start,"&lt;"&amp;600,m_end,"&gt;"&amp;0)=0,"",IF(COUNTIFS(m_teacher,X$4,m_date,($G$2+7),m_active,1,m_start,"&lt;"&amp;600,m_end,"&gt;"&amp;0)&gt;1,"충돌",HYPERLINK("#'관리자_MASTER'!D"&amp;_xlfn.MAXIFS(m_row,m_teacher,X$4,m_date,($G$2+7),m_active,1,m_start,"&lt;"&amp;600,m_end,"&gt;"&amp;0),INDEX(m_label,_xlfn.MAXIFS(m_row,m_teacher,X$4,m_date,($G$2+7),m_active,1,m_start,"&lt;"&amp;600,m_end,"&gt;"&amp;0))))))</f>
        <v/>
      </c>
      <c r="Y5" s="80" t="str">
        <f aca="false">IF(OR(Y$4="",MONTH(($G$2+7))&lt;&gt;MONTH($C$2)),"",IF(COUNTIFS(m_teacher,Y$4,m_date,($G$2+7),m_active,1,m_start,"&lt;"&amp;600,m_end,"&gt;"&amp;0)=0,"",IF(COUNTIFS(m_teacher,Y$4,m_date,($G$2+7),m_active,1,m_start,"&lt;"&amp;600,m_end,"&gt;"&amp;0)&gt;1,"충돌",HYPERLINK("#'관리자_MASTER'!D"&amp;_xlfn.MAXIFS(m_row,m_teacher,Y$4,m_date,($G$2+7),m_active,1,m_start,"&lt;"&amp;600,m_end,"&gt;"&amp;0),INDEX(m_label,_xlfn.MAXIFS(m_row,m_teacher,Y$4,m_date,($G$2+7),m_active,1,m_start,"&lt;"&amp;600,m_end,"&gt;"&amp;0))))))</f>
        <v/>
      </c>
      <c r="Z5" s="80" t="str">
        <f aca="false">IF(OR(Z$4="",MONTH(($G$2+7))&lt;&gt;MONTH($C$2)),"",IF(COUNTIFS(m_teacher,Z$4,m_date,($G$2+7),m_active,1,m_start,"&lt;"&amp;600,m_end,"&gt;"&amp;0)=0,"",IF(COUNTIFS(m_teacher,Z$4,m_date,($G$2+7),m_active,1,m_start,"&lt;"&amp;600,m_end,"&gt;"&amp;0)&gt;1,"충돌",HYPERLINK("#'관리자_MASTER'!D"&amp;_xlfn.MAXIFS(m_row,m_teacher,Z$4,m_date,($G$2+7),m_active,1,m_start,"&lt;"&amp;600,m_end,"&gt;"&amp;0),INDEX(m_label,_xlfn.MAXIFS(m_row,m_teacher,Z$4,m_date,($G$2+7),m_active,1,m_start,"&lt;"&amp;600,m_end,"&gt;"&amp;0))))))</f>
        <v/>
      </c>
      <c r="AA5" s="80" t="str">
        <f aca="false">IF(OR(AA$4="",MONTH(($G$2+7))&lt;&gt;MONTH($C$2)),"",IF(COUNTIFS(m_teacher,AA$4,m_date,($G$2+7),m_active,1,m_start,"&lt;"&amp;600,m_end,"&gt;"&amp;0)=0,"",IF(COUNTIFS(m_teacher,AA$4,m_date,($G$2+7),m_active,1,m_start,"&lt;"&amp;600,m_end,"&gt;"&amp;0)&gt;1,"충돌",HYPERLINK("#'관리자_MASTER'!D"&amp;_xlfn.MAXIFS(m_row,m_teacher,AA$4,m_date,($G$2+7),m_active,1,m_start,"&lt;"&amp;600,m_end,"&gt;"&amp;0),INDEX(m_label,_xlfn.MAXIFS(m_row,m_teacher,AA$4,m_date,($G$2+7),m_active,1,m_start,"&lt;"&amp;600,m_end,"&gt;"&amp;0))))))</f>
        <v/>
      </c>
      <c r="AB5" s="80" t="str">
        <f aca="false">IF(OR(AB$4="",MONTH(($G$2+7))&lt;&gt;MONTH($C$2)),"",IF(COUNTIFS(m_teacher,AB$4,m_date,($G$2+7),m_active,1,m_start,"&lt;"&amp;600,m_end,"&gt;"&amp;0)=0,"",IF(COUNTIFS(m_teacher,AB$4,m_date,($G$2+7),m_active,1,m_start,"&lt;"&amp;600,m_end,"&gt;"&amp;0)&gt;1,"충돌",HYPERLINK("#'관리자_MASTER'!D"&amp;_xlfn.MAXIFS(m_row,m_teacher,AB$4,m_date,($G$2+7),m_active,1,m_start,"&lt;"&amp;600,m_end,"&gt;"&amp;0),INDEX(m_label,_xlfn.MAXIFS(m_row,m_teacher,AB$4,m_date,($G$2+7),m_active,1,m_start,"&lt;"&amp;600,m_end,"&gt;"&amp;0))))))</f>
        <v/>
      </c>
      <c r="AC5" s="78" t="str">
        <f aca="false">IF(MONTH(($G$2+14))&lt;&gt;MONTH($C$2),"",CHOOSE(WEEKDAY(($G$2+14),2),"월","화","수","목","금","토","일")&amp;CHAR(10)&amp;TEXT(($G$2+14),"m/d"))</f>
        <v>월
12/14</v>
      </c>
      <c r="AD5" s="79" t="s">
        <v>91</v>
      </c>
      <c r="AE5" s="80" t="str">
        <f aca="false">IF(OR(AE$4="",MONTH(($G$2+14))&lt;&gt;MONTH($C$2)),"",IF(COUNTIFS(m_teacher,AE$4,m_date,($G$2+14),m_active,1,m_start,"&lt;"&amp;600,m_end,"&gt;"&amp;0)=0,"",IF(COUNTIFS(m_teacher,AE$4,m_date,($G$2+14),m_active,1,m_start,"&lt;"&amp;600,m_end,"&gt;"&amp;0)&gt;1,"충돌",HYPERLINK("#'관리자_MASTER'!D"&amp;_xlfn.MAXIFS(m_row,m_teacher,AE$4,m_date,($G$2+14),m_active,1,m_start,"&lt;"&amp;600,m_end,"&gt;"&amp;0),INDEX(m_label,_xlfn.MAXIFS(m_row,m_teacher,AE$4,m_date,($G$2+14),m_active,1,m_start,"&lt;"&amp;600,m_end,"&gt;"&amp;0))))))</f>
        <v/>
      </c>
      <c r="AF5" s="80" t="str">
        <f aca="false">IF(OR(AF$4="",MONTH(($G$2+14))&lt;&gt;MONTH($C$2)),"",IF(COUNTIFS(m_teacher,AF$4,m_date,($G$2+14),m_active,1,m_start,"&lt;"&amp;600,m_end,"&gt;"&amp;0)=0,"",IF(COUNTIFS(m_teacher,AF$4,m_date,($G$2+14),m_active,1,m_start,"&lt;"&amp;600,m_end,"&gt;"&amp;0)&gt;1,"충돌",HYPERLINK("#'관리자_MASTER'!D"&amp;_xlfn.MAXIFS(m_row,m_teacher,AF$4,m_date,($G$2+14),m_active,1,m_start,"&lt;"&amp;600,m_end,"&gt;"&amp;0),INDEX(m_label,_xlfn.MAXIFS(m_row,m_teacher,AF$4,m_date,($G$2+14),m_active,1,m_start,"&lt;"&amp;600,m_end,"&gt;"&amp;0))))))</f>
        <v/>
      </c>
      <c r="AG5" s="80" t="str">
        <f aca="false">IF(OR(AG$4="",MONTH(($G$2+14))&lt;&gt;MONTH($C$2)),"",IF(COUNTIFS(m_teacher,AG$4,m_date,($G$2+14),m_active,1,m_start,"&lt;"&amp;600,m_end,"&gt;"&amp;0)=0,"",IF(COUNTIFS(m_teacher,AG$4,m_date,($G$2+14),m_active,1,m_start,"&lt;"&amp;600,m_end,"&gt;"&amp;0)&gt;1,"충돌",HYPERLINK("#'관리자_MASTER'!D"&amp;_xlfn.MAXIFS(m_row,m_teacher,AG$4,m_date,($G$2+14),m_active,1,m_start,"&lt;"&amp;600,m_end,"&gt;"&amp;0),INDEX(m_label,_xlfn.MAXIFS(m_row,m_teacher,AG$4,m_date,($G$2+14),m_active,1,m_start,"&lt;"&amp;600,m_end,"&gt;"&amp;0))))))</f>
        <v/>
      </c>
      <c r="AH5" s="80" t="str">
        <f aca="false">IF(OR(AH$4="",MONTH(($G$2+14))&lt;&gt;MONTH($C$2)),"",IF(COUNTIFS(m_teacher,AH$4,m_date,($G$2+14),m_active,1,m_start,"&lt;"&amp;600,m_end,"&gt;"&amp;0)=0,"",IF(COUNTIFS(m_teacher,AH$4,m_date,($G$2+14),m_active,1,m_start,"&lt;"&amp;600,m_end,"&gt;"&amp;0)&gt;1,"충돌",HYPERLINK("#'관리자_MASTER'!D"&amp;_xlfn.MAXIFS(m_row,m_teacher,AH$4,m_date,($G$2+14),m_active,1,m_start,"&lt;"&amp;600,m_end,"&gt;"&amp;0),INDEX(m_label,_xlfn.MAXIFS(m_row,m_teacher,AH$4,m_date,($G$2+14),m_active,1,m_start,"&lt;"&amp;600,m_end,"&gt;"&amp;0))))))</f>
        <v/>
      </c>
      <c r="AI5" s="80" t="str">
        <f aca="false">IF(OR(AI$4="",MONTH(($G$2+14))&lt;&gt;MONTH($C$2)),"",IF(COUNTIFS(m_teacher,AI$4,m_date,($G$2+14),m_active,1,m_start,"&lt;"&amp;600,m_end,"&gt;"&amp;0)=0,"",IF(COUNTIFS(m_teacher,AI$4,m_date,($G$2+14),m_active,1,m_start,"&lt;"&amp;600,m_end,"&gt;"&amp;0)&gt;1,"충돌",HYPERLINK("#'관리자_MASTER'!D"&amp;_xlfn.MAXIFS(m_row,m_teacher,AI$4,m_date,($G$2+14),m_active,1,m_start,"&lt;"&amp;600,m_end,"&gt;"&amp;0),INDEX(m_label,_xlfn.MAXIFS(m_row,m_teacher,AI$4,m_date,($G$2+14),m_active,1,m_start,"&lt;"&amp;600,m_end,"&gt;"&amp;0))))))</f>
        <v/>
      </c>
      <c r="AJ5" s="80" t="str">
        <f aca="false">IF(OR(AJ$4="",MONTH(($G$2+14))&lt;&gt;MONTH($C$2)),"",IF(COUNTIFS(m_teacher,AJ$4,m_date,($G$2+14),m_active,1,m_start,"&lt;"&amp;600,m_end,"&gt;"&amp;0)=0,"",IF(COUNTIFS(m_teacher,AJ$4,m_date,($G$2+14),m_active,1,m_start,"&lt;"&amp;600,m_end,"&gt;"&amp;0)&gt;1,"충돌",HYPERLINK("#'관리자_MASTER'!D"&amp;_xlfn.MAXIFS(m_row,m_teacher,AJ$4,m_date,($G$2+14),m_active,1,m_start,"&lt;"&amp;600,m_end,"&gt;"&amp;0),INDEX(m_label,_xlfn.MAXIFS(m_row,m_teacher,AJ$4,m_date,($G$2+14),m_active,1,m_start,"&lt;"&amp;600,m_end,"&gt;"&amp;0))))))</f>
        <v/>
      </c>
      <c r="AK5" s="80" t="str">
        <f aca="false">IF(OR(AK$4="",MONTH(($G$2+14))&lt;&gt;MONTH($C$2)),"",IF(COUNTIFS(m_teacher,AK$4,m_date,($G$2+14),m_active,1,m_start,"&lt;"&amp;600,m_end,"&gt;"&amp;0)=0,"",IF(COUNTIFS(m_teacher,AK$4,m_date,($G$2+14),m_active,1,m_start,"&lt;"&amp;600,m_end,"&gt;"&amp;0)&gt;1,"충돌",HYPERLINK("#'관리자_MASTER'!D"&amp;_xlfn.MAXIFS(m_row,m_teacher,AK$4,m_date,($G$2+14),m_active,1,m_start,"&lt;"&amp;600,m_end,"&gt;"&amp;0),INDEX(m_label,_xlfn.MAXIFS(m_row,m_teacher,AK$4,m_date,($G$2+14),m_active,1,m_start,"&lt;"&amp;600,m_end,"&gt;"&amp;0))))))</f>
        <v/>
      </c>
      <c r="AL5" s="80" t="str">
        <f aca="false">IF(OR(AL$4="",MONTH(($G$2+14))&lt;&gt;MONTH($C$2)),"",IF(COUNTIFS(m_teacher,AL$4,m_date,($G$2+14),m_active,1,m_start,"&lt;"&amp;600,m_end,"&gt;"&amp;0)=0,"",IF(COUNTIFS(m_teacher,AL$4,m_date,($G$2+14),m_active,1,m_start,"&lt;"&amp;600,m_end,"&gt;"&amp;0)&gt;1,"충돌",HYPERLINK("#'관리자_MASTER'!D"&amp;_xlfn.MAXIFS(m_row,m_teacher,AL$4,m_date,($G$2+14),m_active,1,m_start,"&lt;"&amp;600,m_end,"&gt;"&amp;0),INDEX(m_label,_xlfn.MAXIFS(m_row,m_teacher,AL$4,m_date,($G$2+14),m_active,1,m_start,"&lt;"&amp;600,m_end,"&gt;"&amp;0))))))</f>
        <v/>
      </c>
      <c r="AM5" s="80" t="str">
        <f aca="false">IF(OR(AM$4="",MONTH(($G$2+14))&lt;&gt;MONTH($C$2)),"",IF(COUNTIFS(m_teacher,AM$4,m_date,($G$2+14),m_active,1,m_start,"&lt;"&amp;600,m_end,"&gt;"&amp;0)=0,"",IF(COUNTIFS(m_teacher,AM$4,m_date,($G$2+14),m_active,1,m_start,"&lt;"&amp;600,m_end,"&gt;"&amp;0)&gt;1,"충돌",HYPERLINK("#'관리자_MASTER'!D"&amp;_xlfn.MAXIFS(m_row,m_teacher,AM$4,m_date,($G$2+14),m_active,1,m_start,"&lt;"&amp;600,m_end,"&gt;"&amp;0),INDEX(m_label,_xlfn.MAXIFS(m_row,m_teacher,AM$4,m_date,($G$2+14),m_active,1,m_start,"&lt;"&amp;600,m_end,"&gt;"&amp;0))))))</f>
        <v/>
      </c>
      <c r="AN5" s="80" t="str">
        <f aca="false">IF(OR(AN$4="",MONTH(($G$2+14))&lt;&gt;MONTH($C$2)),"",IF(COUNTIFS(m_teacher,AN$4,m_date,($G$2+14),m_active,1,m_start,"&lt;"&amp;600,m_end,"&gt;"&amp;0)=0,"",IF(COUNTIFS(m_teacher,AN$4,m_date,($G$2+14),m_active,1,m_start,"&lt;"&amp;600,m_end,"&gt;"&amp;0)&gt;1,"충돌",HYPERLINK("#'관리자_MASTER'!D"&amp;_xlfn.MAXIFS(m_row,m_teacher,AN$4,m_date,($G$2+14),m_active,1,m_start,"&lt;"&amp;600,m_end,"&gt;"&amp;0),INDEX(m_label,_xlfn.MAXIFS(m_row,m_teacher,AN$4,m_date,($G$2+14),m_active,1,m_start,"&lt;"&amp;600,m_end,"&gt;"&amp;0))))))</f>
        <v/>
      </c>
      <c r="AO5" s="80" t="str">
        <f aca="false">IF(OR(AO$4="",MONTH(($G$2+14))&lt;&gt;MONTH($C$2)),"",IF(COUNTIFS(m_teacher,AO$4,m_date,($G$2+14),m_active,1,m_start,"&lt;"&amp;600,m_end,"&gt;"&amp;0)=0,"",IF(COUNTIFS(m_teacher,AO$4,m_date,($G$2+14),m_active,1,m_start,"&lt;"&amp;600,m_end,"&gt;"&amp;0)&gt;1,"충돌",HYPERLINK("#'관리자_MASTER'!D"&amp;_xlfn.MAXIFS(m_row,m_teacher,AO$4,m_date,($G$2+14),m_active,1,m_start,"&lt;"&amp;600,m_end,"&gt;"&amp;0),INDEX(m_label,_xlfn.MAXIFS(m_row,m_teacher,AO$4,m_date,($G$2+14),m_active,1,m_start,"&lt;"&amp;600,m_end,"&gt;"&amp;0))))))</f>
        <v/>
      </c>
      <c r="AP5" s="80" t="str">
        <f aca="false">IF(OR(AP$4="",MONTH(($G$2+14))&lt;&gt;MONTH($C$2)),"",IF(COUNTIFS(m_teacher,AP$4,m_date,($G$2+14),m_active,1,m_start,"&lt;"&amp;600,m_end,"&gt;"&amp;0)=0,"",IF(COUNTIFS(m_teacher,AP$4,m_date,($G$2+14),m_active,1,m_start,"&lt;"&amp;600,m_end,"&gt;"&amp;0)&gt;1,"충돌",HYPERLINK("#'관리자_MASTER'!D"&amp;_xlfn.MAXIFS(m_row,m_teacher,AP$4,m_date,($G$2+14),m_active,1,m_start,"&lt;"&amp;600,m_end,"&gt;"&amp;0),INDEX(m_label,_xlfn.MAXIFS(m_row,m_teacher,AP$4,m_date,($G$2+14),m_active,1,m_start,"&lt;"&amp;600,m_end,"&gt;"&amp;0))))))</f>
        <v/>
      </c>
      <c r="AQ5" s="78" t="str">
        <f aca="false">IF(MONTH(($G$2+21))&lt;&gt;MONTH($C$2),"",CHOOSE(WEEKDAY(($G$2+21),2),"월","화","수","목","금","토","일")&amp;CHAR(10)&amp;TEXT(($G$2+21),"m/d"))</f>
        <v>월
12/21</v>
      </c>
      <c r="AR5" s="79" t="s">
        <v>91</v>
      </c>
      <c r="AS5" s="80" t="str">
        <f aca="false">IF(OR(AS$4="",MONTH(($G$2+21))&lt;&gt;MONTH($C$2)),"",IF(COUNTIFS(m_teacher,AS$4,m_date,($G$2+21),m_active,1,m_start,"&lt;"&amp;600,m_end,"&gt;"&amp;0)=0,"",IF(COUNTIFS(m_teacher,AS$4,m_date,($G$2+21),m_active,1,m_start,"&lt;"&amp;600,m_end,"&gt;"&amp;0)&gt;1,"충돌",HYPERLINK("#'관리자_MASTER'!D"&amp;_xlfn.MAXIFS(m_row,m_teacher,AS$4,m_date,($G$2+21),m_active,1,m_start,"&lt;"&amp;600,m_end,"&gt;"&amp;0),INDEX(m_label,_xlfn.MAXIFS(m_row,m_teacher,AS$4,m_date,($G$2+21),m_active,1,m_start,"&lt;"&amp;600,m_end,"&gt;"&amp;0))))))</f>
        <v/>
      </c>
      <c r="AT5" s="80" t="str">
        <f aca="false">IF(OR(AT$4="",MONTH(($G$2+21))&lt;&gt;MONTH($C$2)),"",IF(COUNTIFS(m_teacher,AT$4,m_date,($G$2+21),m_active,1,m_start,"&lt;"&amp;600,m_end,"&gt;"&amp;0)=0,"",IF(COUNTIFS(m_teacher,AT$4,m_date,($G$2+21),m_active,1,m_start,"&lt;"&amp;600,m_end,"&gt;"&amp;0)&gt;1,"충돌",HYPERLINK("#'관리자_MASTER'!D"&amp;_xlfn.MAXIFS(m_row,m_teacher,AT$4,m_date,($G$2+21),m_active,1,m_start,"&lt;"&amp;600,m_end,"&gt;"&amp;0),INDEX(m_label,_xlfn.MAXIFS(m_row,m_teacher,AT$4,m_date,($G$2+21),m_active,1,m_start,"&lt;"&amp;600,m_end,"&gt;"&amp;0))))))</f>
        <v/>
      </c>
      <c r="AU5" s="80" t="str">
        <f aca="false">IF(OR(AU$4="",MONTH(($G$2+21))&lt;&gt;MONTH($C$2)),"",IF(COUNTIFS(m_teacher,AU$4,m_date,($G$2+21),m_active,1,m_start,"&lt;"&amp;600,m_end,"&gt;"&amp;0)=0,"",IF(COUNTIFS(m_teacher,AU$4,m_date,($G$2+21),m_active,1,m_start,"&lt;"&amp;600,m_end,"&gt;"&amp;0)&gt;1,"충돌",HYPERLINK("#'관리자_MASTER'!D"&amp;_xlfn.MAXIFS(m_row,m_teacher,AU$4,m_date,($G$2+21),m_active,1,m_start,"&lt;"&amp;600,m_end,"&gt;"&amp;0),INDEX(m_label,_xlfn.MAXIFS(m_row,m_teacher,AU$4,m_date,($G$2+21),m_active,1,m_start,"&lt;"&amp;600,m_end,"&gt;"&amp;0))))))</f>
        <v/>
      </c>
      <c r="AV5" s="80" t="str">
        <f aca="false">IF(OR(AV$4="",MONTH(($G$2+21))&lt;&gt;MONTH($C$2)),"",IF(COUNTIFS(m_teacher,AV$4,m_date,($G$2+21),m_active,1,m_start,"&lt;"&amp;600,m_end,"&gt;"&amp;0)=0,"",IF(COUNTIFS(m_teacher,AV$4,m_date,($G$2+21),m_active,1,m_start,"&lt;"&amp;600,m_end,"&gt;"&amp;0)&gt;1,"충돌",HYPERLINK("#'관리자_MASTER'!D"&amp;_xlfn.MAXIFS(m_row,m_teacher,AV$4,m_date,($G$2+21),m_active,1,m_start,"&lt;"&amp;600,m_end,"&gt;"&amp;0),INDEX(m_label,_xlfn.MAXIFS(m_row,m_teacher,AV$4,m_date,($G$2+21),m_active,1,m_start,"&lt;"&amp;600,m_end,"&gt;"&amp;0))))))</f>
        <v/>
      </c>
      <c r="AW5" s="80" t="str">
        <f aca="false">IF(OR(AW$4="",MONTH(($G$2+21))&lt;&gt;MONTH($C$2)),"",IF(COUNTIFS(m_teacher,AW$4,m_date,($G$2+21),m_active,1,m_start,"&lt;"&amp;600,m_end,"&gt;"&amp;0)=0,"",IF(COUNTIFS(m_teacher,AW$4,m_date,($G$2+21),m_active,1,m_start,"&lt;"&amp;600,m_end,"&gt;"&amp;0)&gt;1,"충돌",HYPERLINK("#'관리자_MASTER'!D"&amp;_xlfn.MAXIFS(m_row,m_teacher,AW$4,m_date,($G$2+21),m_active,1,m_start,"&lt;"&amp;600,m_end,"&gt;"&amp;0),INDEX(m_label,_xlfn.MAXIFS(m_row,m_teacher,AW$4,m_date,($G$2+21),m_active,1,m_start,"&lt;"&amp;600,m_end,"&gt;"&amp;0))))))</f>
        <v/>
      </c>
      <c r="AX5" s="80" t="str">
        <f aca="false">IF(OR(AX$4="",MONTH(($G$2+21))&lt;&gt;MONTH($C$2)),"",IF(COUNTIFS(m_teacher,AX$4,m_date,($G$2+21),m_active,1,m_start,"&lt;"&amp;600,m_end,"&gt;"&amp;0)=0,"",IF(COUNTIFS(m_teacher,AX$4,m_date,($G$2+21),m_active,1,m_start,"&lt;"&amp;600,m_end,"&gt;"&amp;0)&gt;1,"충돌",HYPERLINK("#'관리자_MASTER'!D"&amp;_xlfn.MAXIFS(m_row,m_teacher,AX$4,m_date,($G$2+21),m_active,1,m_start,"&lt;"&amp;600,m_end,"&gt;"&amp;0),INDEX(m_label,_xlfn.MAXIFS(m_row,m_teacher,AX$4,m_date,($G$2+21),m_active,1,m_start,"&lt;"&amp;600,m_end,"&gt;"&amp;0))))))</f>
        <v/>
      </c>
      <c r="AY5" s="80" t="str">
        <f aca="false">IF(OR(AY$4="",MONTH(($G$2+21))&lt;&gt;MONTH($C$2)),"",IF(COUNTIFS(m_teacher,AY$4,m_date,($G$2+21),m_active,1,m_start,"&lt;"&amp;600,m_end,"&gt;"&amp;0)=0,"",IF(COUNTIFS(m_teacher,AY$4,m_date,($G$2+21),m_active,1,m_start,"&lt;"&amp;600,m_end,"&gt;"&amp;0)&gt;1,"충돌",HYPERLINK("#'관리자_MASTER'!D"&amp;_xlfn.MAXIFS(m_row,m_teacher,AY$4,m_date,($G$2+21),m_active,1,m_start,"&lt;"&amp;600,m_end,"&gt;"&amp;0),INDEX(m_label,_xlfn.MAXIFS(m_row,m_teacher,AY$4,m_date,($G$2+21),m_active,1,m_start,"&lt;"&amp;600,m_end,"&gt;"&amp;0))))))</f>
        <v/>
      </c>
      <c r="AZ5" s="80" t="str">
        <f aca="false">IF(OR(AZ$4="",MONTH(($G$2+21))&lt;&gt;MONTH($C$2)),"",IF(COUNTIFS(m_teacher,AZ$4,m_date,($G$2+21),m_active,1,m_start,"&lt;"&amp;600,m_end,"&gt;"&amp;0)=0,"",IF(COUNTIFS(m_teacher,AZ$4,m_date,($G$2+21),m_active,1,m_start,"&lt;"&amp;600,m_end,"&gt;"&amp;0)&gt;1,"충돌",HYPERLINK("#'관리자_MASTER'!D"&amp;_xlfn.MAXIFS(m_row,m_teacher,AZ$4,m_date,($G$2+21),m_active,1,m_start,"&lt;"&amp;600,m_end,"&gt;"&amp;0),INDEX(m_label,_xlfn.MAXIFS(m_row,m_teacher,AZ$4,m_date,($G$2+21),m_active,1,m_start,"&lt;"&amp;600,m_end,"&gt;"&amp;0))))))</f>
        <v/>
      </c>
      <c r="BA5" s="80" t="str">
        <f aca="false">IF(OR(BA$4="",MONTH(($G$2+21))&lt;&gt;MONTH($C$2)),"",IF(COUNTIFS(m_teacher,BA$4,m_date,($G$2+21),m_active,1,m_start,"&lt;"&amp;600,m_end,"&gt;"&amp;0)=0,"",IF(COUNTIFS(m_teacher,BA$4,m_date,($G$2+21),m_active,1,m_start,"&lt;"&amp;600,m_end,"&gt;"&amp;0)&gt;1,"충돌",HYPERLINK("#'관리자_MASTER'!D"&amp;_xlfn.MAXIFS(m_row,m_teacher,BA$4,m_date,($G$2+21),m_active,1,m_start,"&lt;"&amp;600,m_end,"&gt;"&amp;0),INDEX(m_label,_xlfn.MAXIFS(m_row,m_teacher,BA$4,m_date,($G$2+21),m_active,1,m_start,"&lt;"&amp;600,m_end,"&gt;"&amp;0))))))</f>
        <v/>
      </c>
      <c r="BB5" s="80" t="str">
        <f aca="false">IF(OR(BB$4="",MONTH(($G$2+21))&lt;&gt;MONTH($C$2)),"",IF(COUNTIFS(m_teacher,BB$4,m_date,($G$2+21),m_active,1,m_start,"&lt;"&amp;600,m_end,"&gt;"&amp;0)=0,"",IF(COUNTIFS(m_teacher,BB$4,m_date,($G$2+21),m_active,1,m_start,"&lt;"&amp;600,m_end,"&gt;"&amp;0)&gt;1,"충돌",HYPERLINK("#'관리자_MASTER'!D"&amp;_xlfn.MAXIFS(m_row,m_teacher,BB$4,m_date,($G$2+21),m_active,1,m_start,"&lt;"&amp;600,m_end,"&gt;"&amp;0),INDEX(m_label,_xlfn.MAXIFS(m_row,m_teacher,BB$4,m_date,($G$2+21),m_active,1,m_start,"&lt;"&amp;600,m_end,"&gt;"&amp;0))))))</f>
        <v/>
      </c>
      <c r="BC5" s="80" t="str">
        <f aca="false">IF(OR(BC$4="",MONTH(($G$2+21))&lt;&gt;MONTH($C$2)),"",IF(COUNTIFS(m_teacher,BC$4,m_date,($G$2+21),m_active,1,m_start,"&lt;"&amp;600,m_end,"&gt;"&amp;0)=0,"",IF(COUNTIFS(m_teacher,BC$4,m_date,($G$2+21),m_active,1,m_start,"&lt;"&amp;600,m_end,"&gt;"&amp;0)&gt;1,"충돌",HYPERLINK("#'관리자_MASTER'!D"&amp;_xlfn.MAXIFS(m_row,m_teacher,BC$4,m_date,($G$2+21),m_active,1,m_start,"&lt;"&amp;600,m_end,"&gt;"&amp;0),INDEX(m_label,_xlfn.MAXIFS(m_row,m_teacher,BC$4,m_date,($G$2+21),m_active,1,m_start,"&lt;"&amp;600,m_end,"&gt;"&amp;0))))))</f>
        <v/>
      </c>
      <c r="BD5" s="80" t="str">
        <f aca="false">IF(OR(BD$4="",MONTH(($G$2+21))&lt;&gt;MONTH($C$2)),"",IF(COUNTIFS(m_teacher,BD$4,m_date,($G$2+21),m_active,1,m_start,"&lt;"&amp;600,m_end,"&gt;"&amp;0)=0,"",IF(COUNTIFS(m_teacher,BD$4,m_date,($G$2+21),m_active,1,m_start,"&lt;"&amp;600,m_end,"&gt;"&amp;0)&gt;1,"충돌",HYPERLINK("#'관리자_MASTER'!D"&amp;_xlfn.MAXIFS(m_row,m_teacher,BD$4,m_date,($G$2+21),m_active,1,m_start,"&lt;"&amp;600,m_end,"&gt;"&amp;0),INDEX(m_label,_xlfn.MAXIFS(m_row,m_teacher,BD$4,m_date,($G$2+21),m_active,1,m_start,"&lt;"&amp;600,m_end,"&gt;"&amp;0))))))</f>
        <v/>
      </c>
      <c r="BE5" s="78" t="str">
        <f aca="false">IF(MONTH(($G$2+28))&lt;&gt;MONTH($C$2),"",CHOOSE(WEEKDAY(($G$2+28),2),"월","화","수","목","금","토","일")&amp;CHAR(10)&amp;TEXT(($G$2+28),"m/d"))</f>
        <v>월
12/28</v>
      </c>
      <c r="BF5" s="79" t="s">
        <v>91</v>
      </c>
      <c r="BG5" s="80" t="str">
        <f aca="false">IF(OR(BG$4="",MONTH(($G$2+28))&lt;&gt;MONTH($C$2)),"",IF(COUNTIFS(m_teacher,BG$4,m_date,($G$2+28),m_active,1,m_start,"&lt;"&amp;600,m_end,"&gt;"&amp;0)=0,"",IF(COUNTIFS(m_teacher,BG$4,m_date,($G$2+28),m_active,1,m_start,"&lt;"&amp;600,m_end,"&gt;"&amp;0)&gt;1,"충돌",HYPERLINK("#'관리자_MASTER'!D"&amp;_xlfn.MAXIFS(m_row,m_teacher,BG$4,m_date,($G$2+28),m_active,1,m_start,"&lt;"&amp;600,m_end,"&gt;"&amp;0),INDEX(m_label,_xlfn.MAXIFS(m_row,m_teacher,BG$4,m_date,($G$2+28),m_active,1,m_start,"&lt;"&amp;600,m_end,"&gt;"&amp;0))))))</f>
        <v/>
      </c>
      <c r="BH5" s="80" t="str">
        <f aca="false">IF(OR(BH$4="",MONTH(($G$2+28))&lt;&gt;MONTH($C$2)),"",IF(COUNTIFS(m_teacher,BH$4,m_date,($G$2+28),m_active,1,m_start,"&lt;"&amp;600,m_end,"&gt;"&amp;0)=0,"",IF(COUNTIFS(m_teacher,BH$4,m_date,($G$2+28),m_active,1,m_start,"&lt;"&amp;600,m_end,"&gt;"&amp;0)&gt;1,"충돌",HYPERLINK("#'관리자_MASTER'!D"&amp;_xlfn.MAXIFS(m_row,m_teacher,BH$4,m_date,($G$2+28),m_active,1,m_start,"&lt;"&amp;600,m_end,"&gt;"&amp;0),INDEX(m_label,_xlfn.MAXIFS(m_row,m_teacher,BH$4,m_date,($G$2+28),m_active,1,m_start,"&lt;"&amp;600,m_end,"&gt;"&amp;0))))))</f>
        <v/>
      </c>
      <c r="BI5" s="80" t="str">
        <f aca="false">IF(OR(BI$4="",MONTH(($G$2+28))&lt;&gt;MONTH($C$2)),"",IF(COUNTIFS(m_teacher,BI$4,m_date,($G$2+28),m_active,1,m_start,"&lt;"&amp;600,m_end,"&gt;"&amp;0)=0,"",IF(COUNTIFS(m_teacher,BI$4,m_date,($G$2+28),m_active,1,m_start,"&lt;"&amp;600,m_end,"&gt;"&amp;0)&gt;1,"충돌",HYPERLINK("#'관리자_MASTER'!D"&amp;_xlfn.MAXIFS(m_row,m_teacher,BI$4,m_date,($G$2+28),m_active,1,m_start,"&lt;"&amp;600,m_end,"&gt;"&amp;0),INDEX(m_label,_xlfn.MAXIFS(m_row,m_teacher,BI$4,m_date,($G$2+28),m_active,1,m_start,"&lt;"&amp;600,m_end,"&gt;"&amp;0))))))</f>
        <v/>
      </c>
      <c r="BJ5" s="80" t="str">
        <f aca="false">IF(OR(BJ$4="",MONTH(($G$2+28))&lt;&gt;MONTH($C$2)),"",IF(COUNTIFS(m_teacher,BJ$4,m_date,($G$2+28),m_active,1,m_start,"&lt;"&amp;600,m_end,"&gt;"&amp;0)=0,"",IF(COUNTIFS(m_teacher,BJ$4,m_date,($G$2+28),m_active,1,m_start,"&lt;"&amp;600,m_end,"&gt;"&amp;0)&gt;1,"충돌",HYPERLINK("#'관리자_MASTER'!D"&amp;_xlfn.MAXIFS(m_row,m_teacher,BJ$4,m_date,($G$2+28),m_active,1,m_start,"&lt;"&amp;600,m_end,"&gt;"&amp;0),INDEX(m_label,_xlfn.MAXIFS(m_row,m_teacher,BJ$4,m_date,($G$2+28),m_active,1,m_start,"&lt;"&amp;600,m_end,"&gt;"&amp;0))))))</f>
        <v/>
      </c>
      <c r="BK5" s="80" t="str">
        <f aca="false">IF(OR(BK$4="",MONTH(($G$2+28))&lt;&gt;MONTH($C$2)),"",IF(COUNTIFS(m_teacher,BK$4,m_date,($G$2+28),m_active,1,m_start,"&lt;"&amp;600,m_end,"&gt;"&amp;0)=0,"",IF(COUNTIFS(m_teacher,BK$4,m_date,($G$2+28),m_active,1,m_start,"&lt;"&amp;600,m_end,"&gt;"&amp;0)&gt;1,"충돌",HYPERLINK("#'관리자_MASTER'!D"&amp;_xlfn.MAXIFS(m_row,m_teacher,BK$4,m_date,($G$2+28),m_active,1,m_start,"&lt;"&amp;600,m_end,"&gt;"&amp;0),INDEX(m_label,_xlfn.MAXIFS(m_row,m_teacher,BK$4,m_date,($G$2+28),m_active,1,m_start,"&lt;"&amp;600,m_end,"&gt;"&amp;0))))))</f>
        <v/>
      </c>
      <c r="BL5" s="80" t="str">
        <f aca="false">IF(OR(BL$4="",MONTH(($G$2+28))&lt;&gt;MONTH($C$2)),"",IF(COUNTIFS(m_teacher,BL$4,m_date,($G$2+28),m_active,1,m_start,"&lt;"&amp;600,m_end,"&gt;"&amp;0)=0,"",IF(COUNTIFS(m_teacher,BL$4,m_date,($G$2+28),m_active,1,m_start,"&lt;"&amp;600,m_end,"&gt;"&amp;0)&gt;1,"충돌",HYPERLINK("#'관리자_MASTER'!D"&amp;_xlfn.MAXIFS(m_row,m_teacher,BL$4,m_date,($G$2+28),m_active,1,m_start,"&lt;"&amp;600,m_end,"&gt;"&amp;0),INDEX(m_label,_xlfn.MAXIFS(m_row,m_teacher,BL$4,m_date,($G$2+28),m_active,1,m_start,"&lt;"&amp;600,m_end,"&gt;"&amp;0))))))</f>
        <v/>
      </c>
      <c r="BM5" s="80" t="str">
        <f aca="false">IF(OR(BM$4="",MONTH(($G$2+28))&lt;&gt;MONTH($C$2)),"",IF(COUNTIFS(m_teacher,BM$4,m_date,($G$2+28),m_active,1,m_start,"&lt;"&amp;600,m_end,"&gt;"&amp;0)=0,"",IF(COUNTIFS(m_teacher,BM$4,m_date,($G$2+28),m_active,1,m_start,"&lt;"&amp;600,m_end,"&gt;"&amp;0)&gt;1,"충돌",HYPERLINK("#'관리자_MASTER'!D"&amp;_xlfn.MAXIFS(m_row,m_teacher,BM$4,m_date,($G$2+28),m_active,1,m_start,"&lt;"&amp;600,m_end,"&gt;"&amp;0),INDEX(m_label,_xlfn.MAXIFS(m_row,m_teacher,BM$4,m_date,($G$2+28),m_active,1,m_start,"&lt;"&amp;600,m_end,"&gt;"&amp;0))))))</f>
        <v/>
      </c>
      <c r="BN5" s="80" t="str">
        <f aca="false">IF(OR(BN$4="",MONTH(($G$2+28))&lt;&gt;MONTH($C$2)),"",IF(COUNTIFS(m_teacher,BN$4,m_date,($G$2+28),m_active,1,m_start,"&lt;"&amp;600,m_end,"&gt;"&amp;0)=0,"",IF(COUNTIFS(m_teacher,BN$4,m_date,($G$2+28),m_active,1,m_start,"&lt;"&amp;600,m_end,"&gt;"&amp;0)&gt;1,"충돌",HYPERLINK("#'관리자_MASTER'!D"&amp;_xlfn.MAXIFS(m_row,m_teacher,BN$4,m_date,($G$2+28),m_active,1,m_start,"&lt;"&amp;600,m_end,"&gt;"&amp;0),INDEX(m_label,_xlfn.MAXIFS(m_row,m_teacher,BN$4,m_date,($G$2+28),m_active,1,m_start,"&lt;"&amp;600,m_end,"&gt;"&amp;0))))))</f>
        <v/>
      </c>
      <c r="BO5" s="80" t="str">
        <f aca="false">IF(OR(BO$4="",MONTH(($G$2+28))&lt;&gt;MONTH($C$2)),"",IF(COUNTIFS(m_teacher,BO$4,m_date,($G$2+28),m_active,1,m_start,"&lt;"&amp;600,m_end,"&gt;"&amp;0)=0,"",IF(COUNTIFS(m_teacher,BO$4,m_date,($G$2+28),m_active,1,m_start,"&lt;"&amp;600,m_end,"&gt;"&amp;0)&gt;1,"충돌",HYPERLINK("#'관리자_MASTER'!D"&amp;_xlfn.MAXIFS(m_row,m_teacher,BO$4,m_date,($G$2+28),m_active,1,m_start,"&lt;"&amp;600,m_end,"&gt;"&amp;0),INDEX(m_label,_xlfn.MAXIFS(m_row,m_teacher,BO$4,m_date,($G$2+28),m_active,1,m_start,"&lt;"&amp;600,m_end,"&gt;"&amp;0))))))</f>
        <v/>
      </c>
      <c r="BP5" s="80" t="str">
        <f aca="false">IF(OR(BP$4="",MONTH(($G$2+28))&lt;&gt;MONTH($C$2)),"",IF(COUNTIFS(m_teacher,BP$4,m_date,($G$2+28),m_active,1,m_start,"&lt;"&amp;600,m_end,"&gt;"&amp;0)=0,"",IF(COUNTIFS(m_teacher,BP$4,m_date,($G$2+28),m_active,1,m_start,"&lt;"&amp;600,m_end,"&gt;"&amp;0)&gt;1,"충돌",HYPERLINK("#'관리자_MASTER'!D"&amp;_xlfn.MAXIFS(m_row,m_teacher,BP$4,m_date,($G$2+28),m_active,1,m_start,"&lt;"&amp;600,m_end,"&gt;"&amp;0),INDEX(m_label,_xlfn.MAXIFS(m_row,m_teacher,BP$4,m_date,($G$2+28),m_active,1,m_start,"&lt;"&amp;600,m_end,"&gt;"&amp;0))))))</f>
        <v/>
      </c>
      <c r="BQ5" s="80" t="str">
        <f aca="false">IF(OR(BQ$4="",MONTH(($G$2+28))&lt;&gt;MONTH($C$2)),"",IF(COUNTIFS(m_teacher,BQ$4,m_date,($G$2+28),m_active,1,m_start,"&lt;"&amp;600,m_end,"&gt;"&amp;0)=0,"",IF(COUNTIFS(m_teacher,BQ$4,m_date,($G$2+28),m_active,1,m_start,"&lt;"&amp;600,m_end,"&gt;"&amp;0)&gt;1,"충돌",HYPERLINK("#'관리자_MASTER'!D"&amp;_xlfn.MAXIFS(m_row,m_teacher,BQ$4,m_date,($G$2+28),m_active,1,m_start,"&lt;"&amp;600,m_end,"&gt;"&amp;0),INDEX(m_label,_xlfn.MAXIFS(m_row,m_teacher,BQ$4,m_date,($G$2+28),m_active,1,m_start,"&lt;"&amp;600,m_end,"&gt;"&amp;0))))))</f>
        <v/>
      </c>
      <c r="BR5" s="80" t="str">
        <f aca="false">IF(OR(BR$4="",MONTH(($G$2+28))&lt;&gt;MONTH($C$2)),"",IF(COUNTIFS(m_teacher,BR$4,m_date,($G$2+28),m_active,1,m_start,"&lt;"&amp;600,m_end,"&gt;"&amp;0)=0,"",IF(COUNTIFS(m_teacher,BR$4,m_date,($G$2+28),m_active,1,m_start,"&lt;"&amp;600,m_end,"&gt;"&amp;0)&gt;1,"충돌",HYPERLINK("#'관리자_MASTER'!D"&amp;_xlfn.MAXIFS(m_row,m_teacher,BR$4,m_date,($G$2+28),m_active,1,m_start,"&lt;"&amp;600,m_end,"&gt;"&amp;0),INDEX(m_label,_xlfn.MAXIFS(m_row,m_teacher,BR$4,m_date,($G$2+28),m_active,1,m_start,"&lt;"&amp;600,m_end,"&gt;"&amp;0))))))</f>
        <v/>
      </c>
    </row>
    <row r="6" customFormat="false" ht="19.5" hidden="false" customHeight="true" outlineLevel="0" collapsed="false">
      <c r="A6" s="75"/>
      <c r="B6" s="76" t="s">
        <v>92</v>
      </c>
      <c r="C6" s="81" t="str">
        <f aca="false">IF(OR(C$4="",MONTH(($G$2+0))&lt;&gt;MONTH($C$2)),"",IF(COUNTIFS(m_teacher,C$4,m_date,($G$2+0),m_active,1,m_start,"&lt;"&amp;660,m_end,"&gt;"&amp;600)=0,"",IF(COUNTIFS(m_teacher,C$4,m_date,($G$2+0),m_active,1,m_start,"&lt;"&amp;660,m_end,"&gt;"&amp;600)&gt;1,"충돌",HYPERLINK("#'관리자_MASTER'!D"&amp;_xlfn.MAXIFS(m_row,m_teacher,C$4,m_date,($G$2+0),m_active,1,m_start,"&lt;"&amp;660,m_end,"&gt;"&amp;600),INDEX(m_label,_xlfn.MAXIFS(m_row,m_teacher,C$4,m_date,($G$2+0),m_active,1,m_start,"&lt;"&amp;660,m_end,"&gt;"&amp;600))))))</f>
        <v/>
      </c>
      <c r="D6" s="81" t="str">
        <f aca="false">IF(OR(D$4="",MONTH(($G$2+0))&lt;&gt;MONTH($C$2)),"",IF(COUNTIFS(m_teacher,D$4,m_date,($G$2+0),m_active,1,m_start,"&lt;"&amp;660,m_end,"&gt;"&amp;600)=0,"",IF(COUNTIFS(m_teacher,D$4,m_date,($G$2+0),m_active,1,m_start,"&lt;"&amp;660,m_end,"&gt;"&amp;600)&gt;1,"충돌",HYPERLINK("#'관리자_MASTER'!D"&amp;_xlfn.MAXIFS(m_row,m_teacher,D$4,m_date,($G$2+0),m_active,1,m_start,"&lt;"&amp;660,m_end,"&gt;"&amp;600),INDEX(m_label,_xlfn.MAXIFS(m_row,m_teacher,D$4,m_date,($G$2+0),m_active,1,m_start,"&lt;"&amp;660,m_end,"&gt;"&amp;600))))))</f>
        <v/>
      </c>
      <c r="E6" s="81" t="str">
        <f aca="false">IF(OR(E$4="",MONTH(($G$2+0))&lt;&gt;MONTH($C$2)),"",IF(COUNTIFS(m_teacher,E$4,m_date,($G$2+0),m_active,1,m_start,"&lt;"&amp;660,m_end,"&gt;"&amp;600)=0,"",IF(COUNTIFS(m_teacher,E$4,m_date,($G$2+0),m_active,1,m_start,"&lt;"&amp;660,m_end,"&gt;"&amp;600)&gt;1,"충돌",HYPERLINK("#'관리자_MASTER'!D"&amp;_xlfn.MAXIFS(m_row,m_teacher,E$4,m_date,($G$2+0),m_active,1,m_start,"&lt;"&amp;660,m_end,"&gt;"&amp;600),INDEX(m_label,_xlfn.MAXIFS(m_row,m_teacher,E$4,m_date,($G$2+0),m_active,1,m_start,"&lt;"&amp;660,m_end,"&gt;"&amp;600))))))</f>
        <v/>
      </c>
      <c r="F6" s="81" t="str">
        <f aca="false">IF(OR(F$4="",MONTH(($G$2+0))&lt;&gt;MONTH($C$2)),"",IF(COUNTIFS(m_teacher,F$4,m_date,($G$2+0),m_active,1,m_start,"&lt;"&amp;660,m_end,"&gt;"&amp;600)=0,"",IF(COUNTIFS(m_teacher,F$4,m_date,($G$2+0),m_active,1,m_start,"&lt;"&amp;660,m_end,"&gt;"&amp;600)&gt;1,"충돌",HYPERLINK("#'관리자_MASTER'!D"&amp;_xlfn.MAXIFS(m_row,m_teacher,F$4,m_date,($G$2+0),m_active,1,m_start,"&lt;"&amp;660,m_end,"&gt;"&amp;600),INDEX(m_label,_xlfn.MAXIFS(m_row,m_teacher,F$4,m_date,($G$2+0),m_active,1,m_start,"&lt;"&amp;660,m_end,"&gt;"&amp;600))))))</f>
        <v/>
      </c>
      <c r="G6" s="81" t="str">
        <f aca="false">IF(OR(G$4="",MONTH(($G$2+0))&lt;&gt;MONTH($C$2)),"",IF(COUNTIFS(m_teacher,G$4,m_date,($G$2+0),m_active,1,m_start,"&lt;"&amp;660,m_end,"&gt;"&amp;600)=0,"",IF(COUNTIFS(m_teacher,G$4,m_date,($G$2+0),m_active,1,m_start,"&lt;"&amp;660,m_end,"&gt;"&amp;600)&gt;1,"충돌",HYPERLINK("#'관리자_MASTER'!D"&amp;_xlfn.MAXIFS(m_row,m_teacher,G$4,m_date,($G$2+0),m_active,1,m_start,"&lt;"&amp;660,m_end,"&gt;"&amp;600),INDEX(m_label,_xlfn.MAXIFS(m_row,m_teacher,G$4,m_date,($G$2+0),m_active,1,m_start,"&lt;"&amp;660,m_end,"&gt;"&amp;600))))))</f>
        <v/>
      </c>
      <c r="H6" s="81" t="str">
        <f aca="false">IF(OR(H$4="",MONTH(($G$2+0))&lt;&gt;MONTH($C$2)),"",IF(COUNTIFS(m_teacher,H$4,m_date,($G$2+0),m_active,1,m_start,"&lt;"&amp;660,m_end,"&gt;"&amp;600)=0,"",IF(COUNTIFS(m_teacher,H$4,m_date,($G$2+0),m_active,1,m_start,"&lt;"&amp;660,m_end,"&gt;"&amp;600)&gt;1,"충돌",HYPERLINK("#'관리자_MASTER'!D"&amp;_xlfn.MAXIFS(m_row,m_teacher,H$4,m_date,($G$2+0),m_active,1,m_start,"&lt;"&amp;660,m_end,"&gt;"&amp;600),INDEX(m_label,_xlfn.MAXIFS(m_row,m_teacher,H$4,m_date,($G$2+0),m_active,1,m_start,"&lt;"&amp;660,m_end,"&gt;"&amp;600))))))</f>
        <v/>
      </c>
      <c r="I6" s="81" t="str">
        <f aca="false">IF(OR(I$4="",MONTH(($G$2+0))&lt;&gt;MONTH($C$2)),"",IF(COUNTIFS(m_teacher,I$4,m_date,($G$2+0),m_active,1,m_start,"&lt;"&amp;660,m_end,"&gt;"&amp;600)=0,"",IF(COUNTIFS(m_teacher,I$4,m_date,($G$2+0),m_active,1,m_start,"&lt;"&amp;660,m_end,"&gt;"&amp;600)&gt;1,"충돌",HYPERLINK("#'관리자_MASTER'!D"&amp;_xlfn.MAXIFS(m_row,m_teacher,I$4,m_date,($G$2+0),m_active,1,m_start,"&lt;"&amp;660,m_end,"&gt;"&amp;600),INDEX(m_label,_xlfn.MAXIFS(m_row,m_teacher,I$4,m_date,($G$2+0),m_active,1,m_start,"&lt;"&amp;660,m_end,"&gt;"&amp;600))))))</f>
        <v/>
      </c>
      <c r="J6" s="81" t="str">
        <f aca="false">IF(OR(J$4="",MONTH(($G$2+0))&lt;&gt;MONTH($C$2)),"",IF(COUNTIFS(m_teacher,J$4,m_date,($G$2+0),m_active,1,m_start,"&lt;"&amp;660,m_end,"&gt;"&amp;600)=0,"",IF(COUNTIFS(m_teacher,J$4,m_date,($G$2+0),m_active,1,m_start,"&lt;"&amp;660,m_end,"&gt;"&amp;600)&gt;1,"충돌",HYPERLINK("#'관리자_MASTER'!D"&amp;_xlfn.MAXIFS(m_row,m_teacher,J$4,m_date,($G$2+0),m_active,1,m_start,"&lt;"&amp;660,m_end,"&gt;"&amp;600),INDEX(m_label,_xlfn.MAXIFS(m_row,m_teacher,J$4,m_date,($G$2+0),m_active,1,m_start,"&lt;"&amp;660,m_end,"&gt;"&amp;600))))))</f>
        <v/>
      </c>
      <c r="K6" s="81" t="str">
        <f aca="false">IF(OR(K$4="",MONTH(($G$2+0))&lt;&gt;MONTH($C$2)),"",IF(COUNTIFS(m_teacher,K$4,m_date,($G$2+0),m_active,1,m_start,"&lt;"&amp;660,m_end,"&gt;"&amp;600)=0,"",IF(COUNTIFS(m_teacher,K$4,m_date,($G$2+0),m_active,1,m_start,"&lt;"&amp;660,m_end,"&gt;"&amp;600)&gt;1,"충돌",HYPERLINK("#'관리자_MASTER'!D"&amp;_xlfn.MAXIFS(m_row,m_teacher,K$4,m_date,($G$2+0),m_active,1,m_start,"&lt;"&amp;660,m_end,"&gt;"&amp;600),INDEX(m_label,_xlfn.MAXIFS(m_row,m_teacher,K$4,m_date,($G$2+0),m_active,1,m_start,"&lt;"&amp;660,m_end,"&gt;"&amp;600))))))</f>
        <v/>
      </c>
      <c r="L6" s="81" t="str">
        <f aca="false">IF(OR(L$4="",MONTH(($G$2+0))&lt;&gt;MONTH($C$2)),"",IF(COUNTIFS(m_teacher,L$4,m_date,($G$2+0),m_active,1,m_start,"&lt;"&amp;660,m_end,"&gt;"&amp;600)=0,"",IF(COUNTIFS(m_teacher,L$4,m_date,($G$2+0),m_active,1,m_start,"&lt;"&amp;660,m_end,"&gt;"&amp;600)&gt;1,"충돌",HYPERLINK("#'관리자_MASTER'!D"&amp;_xlfn.MAXIFS(m_row,m_teacher,L$4,m_date,($G$2+0),m_active,1,m_start,"&lt;"&amp;660,m_end,"&gt;"&amp;600),INDEX(m_label,_xlfn.MAXIFS(m_row,m_teacher,L$4,m_date,($G$2+0),m_active,1,m_start,"&lt;"&amp;660,m_end,"&gt;"&amp;600))))))</f>
        <v/>
      </c>
      <c r="M6" s="81" t="str">
        <f aca="false">IF(OR(M$4="",MONTH(($G$2+0))&lt;&gt;MONTH($C$2)),"",IF(COUNTIFS(m_teacher,M$4,m_date,($G$2+0),m_active,1,m_start,"&lt;"&amp;660,m_end,"&gt;"&amp;600)=0,"",IF(COUNTIFS(m_teacher,M$4,m_date,($G$2+0),m_active,1,m_start,"&lt;"&amp;660,m_end,"&gt;"&amp;600)&gt;1,"충돌",HYPERLINK("#'관리자_MASTER'!D"&amp;_xlfn.MAXIFS(m_row,m_teacher,M$4,m_date,($G$2+0),m_active,1,m_start,"&lt;"&amp;660,m_end,"&gt;"&amp;600),INDEX(m_label,_xlfn.MAXIFS(m_row,m_teacher,M$4,m_date,($G$2+0),m_active,1,m_start,"&lt;"&amp;660,m_end,"&gt;"&amp;600))))))</f>
        <v/>
      </c>
      <c r="N6" s="81" t="str">
        <f aca="false">IF(OR(N$4="",MONTH(($G$2+0))&lt;&gt;MONTH($C$2)),"",IF(COUNTIFS(m_teacher,N$4,m_date,($G$2+0),m_active,1,m_start,"&lt;"&amp;660,m_end,"&gt;"&amp;600)=0,"",IF(COUNTIFS(m_teacher,N$4,m_date,($G$2+0),m_active,1,m_start,"&lt;"&amp;660,m_end,"&gt;"&amp;600)&gt;1,"충돌",HYPERLINK("#'관리자_MASTER'!D"&amp;_xlfn.MAXIFS(m_row,m_teacher,N$4,m_date,($G$2+0),m_active,1,m_start,"&lt;"&amp;660,m_end,"&gt;"&amp;600),INDEX(m_label,_xlfn.MAXIFS(m_row,m_teacher,N$4,m_date,($G$2+0),m_active,1,m_start,"&lt;"&amp;660,m_end,"&gt;"&amp;600))))))</f>
        <v/>
      </c>
      <c r="O6" s="78"/>
      <c r="P6" s="79" t="s">
        <v>92</v>
      </c>
      <c r="Q6" s="82" t="str">
        <f aca="false">IF(OR(Q$4="",MONTH(($G$2+7))&lt;&gt;MONTH($C$2)),"",IF(COUNTIFS(m_teacher,Q$4,m_date,($G$2+7),m_active,1,m_start,"&lt;"&amp;660,m_end,"&gt;"&amp;600)=0,"",IF(COUNTIFS(m_teacher,Q$4,m_date,($G$2+7),m_active,1,m_start,"&lt;"&amp;660,m_end,"&gt;"&amp;600)&gt;1,"충돌",HYPERLINK("#'관리자_MASTER'!D"&amp;_xlfn.MAXIFS(m_row,m_teacher,Q$4,m_date,($G$2+7),m_active,1,m_start,"&lt;"&amp;660,m_end,"&gt;"&amp;600),INDEX(m_label,_xlfn.MAXIFS(m_row,m_teacher,Q$4,m_date,($G$2+7),m_active,1,m_start,"&lt;"&amp;660,m_end,"&gt;"&amp;600))))))</f>
        <v/>
      </c>
      <c r="R6" s="82" t="str">
        <f aca="false">IF(OR(R$4="",MONTH(($G$2+7))&lt;&gt;MONTH($C$2)),"",IF(COUNTIFS(m_teacher,R$4,m_date,($G$2+7),m_active,1,m_start,"&lt;"&amp;660,m_end,"&gt;"&amp;600)=0,"",IF(COUNTIFS(m_teacher,R$4,m_date,($G$2+7),m_active,1,m_start,"&lt;"&amp;660,m_end,"&gt;"&amp;600)&gt;1,"충돌",HYPERLINK("#'관리자_MASTER'!D"&amp;_xlfn.MAXIFS(m_row,m_teacher,R$4,m_date,($G$2+7),m_active,1,m_start,"&lt;"&amp;660,m_end,"&gt;"&amp;600),INDEX(m_label,_xlfn.MAXIFS(m_row,m_teacher,R$4,m_date,($G$2+7),m_active,1,m_start,"&lt;"&amp;660,m_end,"&gt;"&amp;600))))))</f>
        <v/>
      </c>
      <c r="S6" s="82" t="str">
        <f aca="false">IF(OR(S$4="",MONTH(($G$2+7))&lt;&gt;MONTH($C$2)),"",IF(COUNTIFS(m_teacher,S$4,m_date,($G$2+7),m_active,1,m_start,"&lt;"&amp;660,m_end,"&gt;"&amp;600)=0,"",IF(COUNTIFS(m_teacher,S$4,m_date,($G$2+7),m_active,1,m_start,"&lt;"&amp;660,m_end,"&gt;"&amp;600)&gt;1,"충돌",HYPERLINK("#'관리자_MASTER'!D"&amp;_xlfn.MAXIFS(m_row,m_teacher,S$4,m_date,($G$2+7),m_active,1,m_start,"&lt;"&amp;660,m_end,"&gt;"&amp;600),INDEX(m_label,_xlfn.MAXIFS(m_row,m_teacher,S$4,m_date,($G$2+7),m_active,1,m_start,"&lt;"&amp;660,m_end,"&gt;"&amp;600))))))</f>
        <v/>
      </c>
      <c r="T6" s="82" t="str">
        <f aca="false">IF(OR(T$4="",MONTH(($G$2+7))&lt;&gt;MONTH($C$2)),"",IF(COUNTIFS(m_teacher,T$4,m_date,($G$2+7),m_active,1,m_start,"&lt;"&amp;660,m_end,"&gt;"&amp;600)=0,"",IF(COUNTIFS(m_teacher,T$4,m_date,($G$2+7),m_active,1,m_start,"&lt;"&amp;660,m_end,"&gt;"&amp;600)&gt;1,"충돌",HYPERLINK("#'관리자_MASTER'!D"&amp;_xlfn.MAXIFS(m_row,m_teacher,T$4,m_date,($G$2+7),m_active,1,m_start,"&lt;"&amp;660,m_end,"&gt;"&amp;600),INDEX(m_label,_xlfn.MAXIFS(m_row,m_teacher,T$4,m_date,($G$2+7),m_active,1,m_start,"&lt;"&amp;660,m_end,"&gt;"&amp;600))))))</f>
        <v/>
      </c>
      <c r="U6" s="82" t="str">
        <f aca="false">IF(OR(U$4="",MONTH(($G$2+7))&lt;&gt;MONTH($C$2)),"",IF(COUNTIFS(m_teacher,U$4,m_date,($G$2+7),m_active,1,m_start,"&lt;"&amp;660,m_end,"&gt;"&amp;600)=0,"",IF(COUNTIFS(m_teacher,U$4,m_date,($G$2+7),m_active,1,m_start,"&lt;"&amp;660,m_end,"&gt;"&amp;600)&gt;1,"충돌",HYPERLINK("#'관리자_MASTER'!D"&amp;_xlfn.MAXIFS(m_row,m_teacher,U$4,m_date,($G$2+7),m_active,1,m_start,"&lt;"&amp;660,m_end,"&gt;"&amp;600),INDEX(m_label,_xlfn.MAXIFS(m_row,m_teacher,U$4,m_date,($G$2+7),m_active,1,m_start,"&lt;"&amp;660,m_end,"&gt;"&amp;600))))))</f>
        <v/>
      </c>
      <c r="V6" s="82" t="str">
        <f aca="false">IF(OR(V$4="",MONTH(($G$2+7))&lt;&gt;MONTH($C$2)),"",IF(COUNTIFS(m_teacher,V$4,m_date,($G$2+7),m_active,1,m_start,"&lt;"&amp;660,m_end,"&gt;"&amp;600)=0,"",IF(COUNTIFS(m_teacher,V$4,m_date,($G$2+7),m_active,1,m_start,"&lt;"&amp;660,m_end,"&gt;"&amp;600)&gt;1,"충돌",HYPERLINK("#'관리자_MASTER'!D"&amp;_xlfn.MAXIFS(m_row,m_teacher,V$4,m_date,($G$2+7),m_active,1,m_start,"&lt;"&amp;660,m_end,"&gt;"&amp;600),INDEX(m_label,_xlfn.MAXIFS(m_row,m_teacher,V$4,m_date,($G$2+7),m_active,1,m_start,"&lt;"&amp;660,m_end,"&gt;"&amp;600))))))</f>
        <v/>
      </c>
      <c r="W6" s="82" t="str">
        <f aca="false">IF(OR(W$4="",MONTH(($G$2+7))&lt;&gt;MONTH($C$2)),"",IF(COUNTIFS(m_teacher,W$4,m_date,($G$2+7),m_active,1,m_start,"&lt;"&amp;660,m_end,"&gt;"&amp;600)=0,"",IF(COUNTIFS(m_teacher,W$4,m_date,($G$2+7),m_active,1,m_start,"&lt;"&amp;660,m_end,"&gt;"&amp;600)&gt;1,"충돌",HYPERLINK("#'관리자_MASTER'!D"&amp;_xlfn.MAXIFS(m_row,m_teacher,W$4,m_date,($G$2+7),m_active,1,m_start,"&lt;"&amp;660,m_end,"&gt;"&amp;600),INDEX(m_label,_xlfn.MAXIFS(m_row,m_teacher,W$4,m_date,($G$2+7),m_active,1,m_start,"&lt;"&amp;660,m_end,"&gt;"&amp;600))))))</f>
        <v/>
      </c>
      <c r="X6" s="82" t="str">
        <f aca="false">IF(OR(X$4="",MONTH(($G$2+7))&lt;&gt;MONTH($C$2)),"",IF(COUNTIFS(m_teacher,X$4,m_date,($G$2+7),m_active,1,m_start,"&lt;"&amp;660,m_end,"&gt;"&amp;600)=0,"",IF(COUNTIFS(m_teacher,X$4,m_date,($G$2+7),m_active,1,m_start,"&lt;"&amp;660,m_end,"&gt;"&amp;600)&gt;1,"충돌",HYPERLINK("#'관리자_MASTER'!D"&amp;_xlfn.MAXIFS(m_row,m_teacher,X$4,m_date,($G$2+7),m_active,1,m_start,"&lt;"&amp;660,m_end,"&gt;"&amp;600),INDEX(m_label,_xlfn.MAXIFS(m_row,m_teacher,X$4,m_date,($G$2+7),m_active,1,m_start,"&lt;"&amp;660,m_end,"&gt;"&amp;600))))))</f>
        <v/>
      </c>
      <c r="Y6" s="82" t="str">
        <f aca="false">IF(OR(Y$4="",MONTH(($G$2+7))&lt;&gt;MONTH($C$2)),"",IF(COUNTIFS(m_teacher,Y$4,m_date,($G$2+7),m_active,1,m_start,"&lt;"&amp;660,m_end,"&gt;"&amp;600)=0,"",IF(COUNTIFS(m_teacher,Y$4,m_date,($G$2+7),m_active,1,m_start,"&lt;"&amp;660,m_end,"&gt;"&amp;600)&gt;1,"충돌",HYPERLINK("#'관리자_MASTER'!D"&amp;_xlfn.MAXIFS(m_row,m_teacher,Y$4,m_date,($G$2+7),m_active,1,m_start,"&lt;"&amp;660,m_end,"&gt;"&amp;600),INDEX(m_label,_xlfn.MAXIFS(m_row,m_teacher,Y$4,m_date,($G$2+7),m_active,1,m_start,"&lt;"&amp;660,m_end,"&gt;"&amp;600))))))</f>
        <v/>
      </c>
      <c r="Z6" s="82" t="str">
        <f aca="false">IF(OR(Z$4="",MONTH(($G$2+7))&lt;&gt;MONTH($C$2)),"",IF(COUNTIFS(m_teacher,Z$4,m_date,($G$2+7),m_active,1,m_start,"&lt;"&amp;660,m_end,"&gt;"&amp;600)=0,"",IF(COUNTIFS(m_teacher,Z$4,m_date,($G$2+7),m_active,1,m_start,"&lt;"&amp;660,m_end,"&gt;"&amp;600)&gt;1,"충돌",HYPERLINK("#'관리자_MASTER'!D"&amp;_xlfn.MAXIFS(m_row,m_teacher,Z$4,m_date,($G$2+7),m_active,1,m_start,"&lt;"&amp;660,m_end,"&gt;"&amp;600),INDEX(m_label,_xlfn.MAXIFS(m_row,m_teacher,Z$4,m_date,($G$2+7),m_active,1,m_start,"&lt;"&amp;660,m_end,"&gt;"&amp;600))))))</f>
        <v/>
      </c>
      <c r="AA6" s="82" t="str">
        <f aca="false">IF(OR(AA$4="",MONTH(($G$2+7))&lt;&gt;MONTH($C$2)),"",IF(COUNTIFS(m_teacher,AA$4,m_date,($G$2+7),m_active,1,m_start,"&lt;"&amp;660,m_end,"&gt;"&amp;600)=0,"",IF(COUNTIFS(m_teacher,AA$4,m_date,($G$2+7),m_active,1,m_start,"&lt;"&amp;660,m_end,"&gt;"&amp;600)&gt;1,"충돌",HYPERLINK("#'관리자_MASTER'!D"&amp;_xlfn.MAXIFS(m_row,m_teacher,AA$4,m_date,($G$2+7),m_active,1,m_start,"&lt;"&amp;660,m_end,"&gt;"&amp;600),INDEX(m_label,_xlfn.MAXIFS(m_row,m_teacher,AA$4,m_date,($G$2+7),m_active,1,m_start,"&lt;"&amp;660,m_end,"&gt;"&amp;600))))))</f>
        <v/>
      </c>
      <c r="AB6" s="82" t="str">
        <f aca="false">IF(OR(AB$4="",MONTH(($G$2+7))&lt;&gt;MONTH($C$2)),"",IF(COUNTIFS(m_teacher,AB$4,m_date,($G$2+7),m_active,1,m_start,"&lt;"&amp;660,m_end,"&gt;"&amp;600)=0,"",IF(COUNTIFS(m_teacher,AB$4,m_date,($G$2+7),m_active,1,m_start,"&lt;"&amp;660,m_end,"&gt;"&amp;600)&gt;1,"충돌",HYPERLINK("#'관리자_MASTER'!D"&amp;_xlfn.MAXIFS(m_row,m_teacher,AB$4,m_date,($G$2+7),m_active,1,m_start,"&lt;"&amp;660,m_end,"&gt;"&amp;600),INDEX(m_label,_xlfn.MAXIFS(m_row,m_teacher,AB$4,m_date,($G$2+7),m_active,1,m_start,"&lt;"&amp;660,m_end,"&gt;"&amp;600))))))</f>
        <v/>
      </c>
      <c r="AC6" s="78"/>
      <c r="AD6" s="79" t="s">
        <v>92</v>
      </c>
      <c r="AE6" s="82" t="str">
        <f aca="false">IF(OR(AE$4="",MONTH(($G$2+14))&lt;&gt;MONTH($C$2)),"",IF(COUNTIFS(m_teacher,AE$4,m_date,($G$2+14),m_active,1,m_start,"&lt;"&amp;660,m_end,"&gt;"&amp;600)=0,"",IF(COUNTIFS(m_teacher,AE$4,m_date,($G$2+14),m_active,1,m_start,"&lt;"&amp;660,m_end,"&gt;"&amp;600)&gt;1,"충돌",HYPERLINK("#'관리자_MASTER'!D"&amp;_xlfn.MAXIFS(m_row,m_teacher,AE$4,m_date,($G$2+14),m_active,1,m_start,"&lt;"&amp;660,m_end,"&gt;"&amp;600),INDEX(m_label,_xlfn.MAXIFS(m_row,m_teacher,AE$4,m_date,($G$2+14),m_active,1,m_start,"&lt;"&amp;660,m_end,"&gt;"&amp;600))))))</f>
        <v/>
      </c>
      <c r="AF6" s="82" t="str">
        <f aca="false">IF(OR(AF$4="",MONTH(($G$2+14))&lt;&gt;MONTH($C$2)),"",IF(COUNTIFS(m_teacher,AF$4,m_date,($G$2+14),m_active,1,m_start,"&lt;"&amp;660,m_end,"&gt;"&amp;600)=0,"",IF(COUNTIFS(m_teacher,AF$4,m_date,($G$2+14),m_active,1,m_start,"&lt;"&amp;660,m_end,"&gt;"&amp;600)&gt;1,"충돌",HYPERLINK("#'관리자_MASTER'!D"&amp;_xlfn.MAXIFS(m_row,m_teacher,AF$4,m_date,($G$2+14),m_active,1,m_start,"&lt;"&amp;660,m_end,"&gt;"&amp;600),INDEX(m_label,_xlfn.MAXIFS(m_row,m_teacher,AF$4,m_date,($G$2+14),m_active,1,m_start,"&lt;"&amp;660,m_end,"&gt;"&amp;600))))))</f>
        <v/>
      </c>
      <c r="AG6" s="82" t="str">
        <f aca="false">IF(OR(AG$4="",MONTH(($G$2+14))&lt;&gt;MONTH($C$2)),"",IF(COUNTIFS(m_teacher,AG$4,m_date,($G$2+14),m_active,1,m_start,"&lt;"&amp;660,m_end,"&gt;"&amp;600)=0,"",IF(COUNTIFS(m_teacher,AG$4,m_date,($G$2+14),m_active,1,m_start,"&lt;"&amp;660,m_end,"&gt;"&amp;600)&gt;1,"충돌",HYPERLINK("#'관리자_MASTER'!D"&amp;_xlfn.MAXIFS(m_row,m_teacher,AG$4,m_date,($G$2+14),m_active,1,m_start,"&lt;"&amp;660,m_end,"&gt;"&amp;600),INDEX(m_label,_xlfn.MAXIFS(m_row,m_teacher,AG$4,m_date,($G$2+14),m_active,1,m_start,"&lt;"&amp;660,m_end,"&gt;"&amp;600))))))</f>
        <v/>
      </c>
      <c r="AH6" s="82" t="str">
        <f aca="false">IF(OR(AH$4="",MONTH(($G$2+14))&lt;&gt;MONTH($C$2)),"",IF(COUNTIFS(m_teacher,AH$4,m_date,($G$2+14),m_active,1,m_start,"&lt;"&amp;660,m_end,"&gt;"&amp;600)=0,"",IF(COUNTIFS(m_teacher,AH$4,m_date,($G$2+14),m_active,1,m_start,"&lt;"&amp;660,m_end,"&gt;"&amp;600)&gt;1,"충돌",HYPERLINK("#'관리자_MASTER'!D"&amp;_xlfn.MAXIFS(m_row,m_teacher,AH$4,m_date,($G$2+14),m_active,1,m_start,"&lt;"&amp;660,m_end,"&gt;"&amp;600),INDEX(m_label,_xlfn.MAXIFS(m_row,m_teacher,AH$4,m_date,($G$2+14),m_active,1,m_start,"&lt;"&amp;660,m_end,"&gt;"&amp;600))))))</f>
        <v/>
      </c>
      <c r="AI6" s="82" t="str">
        <f aca="false">IF(OR(AI$4="",MONTH(($G$2+14))&lt;&gt;MONTH($C$2)),"",IF(COUNTIFS(m_teacher,AI$4,m_date,($G$2+14),m_active,1,m_start,"&lt;"&amp;660,m_end,"&gt;"&amp;600)=0,"",IF(COUNTIFS(m_teacher,AI$4,m_date,($G$2+14),m_active,1,m_start,"&lt;"&amp;660,m_end,"&gt;"&amp;600)&gt;1,"충돌",HYPERLINK("#'관리자_MASTER'!D"&amp;_xlfn.MAXIFS(m_row,m_teacher,AI$4,m_date,($G$2+14),m_active,1,m_start,"&lt;"&amp;660,m_end,"&gt;"&amp;600),INDEX(m_label,_xlfn.MAXIFS(m_row,m_teacher,AI$4,m_date,($G$2+14),m_active,1,m_start,"&lt;"&amp;660,m_end,"&gt;"&amp;600))))))</f>
        <v/>
      </c>
      <c r="AJ6" s="82" t="str">
        <f aca="false">IF(OR(AJ$4="",MONTH(($G$2+14))&lt;&gt;MONTH($C$2)),"",IF(COUNTIFS(m_teacher,AJ$4,m_date,($G$2+14),m_active,1,m_start,"&lt;"&amp;660,m_end,"&gt;"&amp;600)=0,"",IF(COUNTIFS(m_teacher,AJ$4,m_date,($G$2+14),m_active,1,m_start,"&lt;"&amp;660,m_end,"&gt;"&amp;600)&gt;1,"충돌",HYPERLINK("#'관리자_MASTER'!D"&amp;_xlfn.MAXIFS(m_row,m_teacher,AJ$4,m_date,($G$2+14),m_active,1,m_start,"&lt;"&amp;660,m_end,"&gt;"&amp;600),INDEX(m_label,_xlfn.MAXIFS(m_row,m_teacher,AJ$4,m_date,($G$2+14),m_active,1,m_start,"&lt;"&amp;660,m_end,"&gt;"&amp;600))))))</f>
        <v/>
      </c>
      <c r="AK6" s="82" t="str">
        <f aca="false">IF(OR(AK$4="",MONTH(($G$2+14))&lt;&gt;MONTH($C$2)),"",IF(COUNTIFS(m_teacher,AK$4,m_date,($G$2+14),m_active,1,m_start,"&lt;"&amp;660,m_end,"&gt;"&amp;600)=0,"",IF(COUNTIFS(m_teacher,AK$4,m_date,($G$2+14),m_active,1,m_start,"&lt;"&amp;660,m_end,"&gt;"&amp;600)&gt;1,"충돌",HYPERLINK("#'관리자_MASTER'!D"&amp;_xlfn.MAXIFS(m_row,m_teacher,AK$4,m_date,($G$2+14),m_active,1,m_start,"&lt;"&amp;660,m_end,"&gt;"&amp;600),INDEX(m_label,_xlfn.MAXIFS(m_row,m_teacher,AK$4,m_date,($G$2+14),m_active,1,m_start,"&lt;"&amp;660,m_end,"&gt;"&amp;600))))))</f>
        <v/>
      </c>
      <c r="AL6" s="82" t="str">
        <f aca="false">IF(OR(AL$4="",MONTH(($G$2+14))&lt;&gt;MONTH($C$2)),"",IF(COUNTIFS(m_teacher,AL$4,m_date,($G$2+14),m_active,1,m_start,"&lt;"&amp;660,m_end,"&gt;"&amp;600)=0,"",IF(COUNTIFS(m_teacher,AL$4,m_date,($G$2+14),m_active,1,m_start,"&lt;"&amp;660,m_end,"&gt;"&amp;600)&gt;1,"충돌",HYPERLINK("#'관리자_MASTER'!D"&amp;_xlfn.MAXIFS(m_row,m_teacher,AL$4,m_date,($G$2+14),m_active,1,m_start,"&lt;"&amp;660,m_end,"&gt;"&amp;600),INDEX(m_label,_xlfn.MAXIFS(m_row,m_teacher,AL$4,m_date,($G$2+14),m_active,1,m_start,"&lt;"&amp;660,m_end,"&gt;"&amp;600))))))</f>
        <v/>
      </c>
      <c r="AM6" s="82" t="str">
        <f aca="false">IF(OR(AM$4="",MONTH(($G$2+14))&lt;&gt;MONTH($C$2)),"",IF(COUNTIFS(m_teacher,AM$4,m_date,($G$2+14),m_active,1,m_start,"&lt;"&amp;660,m_end,"&gt;"&amp;600)=0,"",IF(COUNTIFS(m_teacher,AM$4,m_date,($G$2+14),m_active,1,m_start,"&lt;"&amp;660,m_end,"&gt;"&amp;600)&gt;1,"충돌",HYPERLINK("#'관리자_MASTER'!D"&amp;_xlfn.MAXIFS(m_row,m_teacher,AM$4,m_date,($G$2+14),m_active,1,m_start,"&lt;"&amp;660,m_end,"&gt;"&amp;600),INDEX(m_label,_xlfn.MAXIFS(m_row,m_teacher,AM$4,m_date,($G$2+14),m_active,1,m_start,"&lt;"&amp;660,m_end,"&gt;"&amp;600))))))</f>
        <v/>
      </c>
      <c r="AN6" s="82" t="str">
        <f aca="false">IF(OR(AN$4="",MONTH(($G$2+14))&lt;&gt;MONTH($C$2)),"",IF(COUNTIFS(m_teacher,AN$4,m_date,($G$2+14),m_active,1,m_start,"&lt;"&amp;660,m_end,"&gt;"&amp;600)=0,"",IF(COUNTIFS(m_teacher,AN$4,m_date,($G$2+14),m_active,1,m_start,"&lt;"&amp;660,m_end,"&gt;"&amp;600)&gt;1,"충돌",HYPERLINK("#'관리자_MASTER'!D"&amp;_xlfn.MAXIFS(m_row,m_teacher,AN$4,m_date,($G$2+14),m_active,1,m_start,"&lt;"&amp;660,m_end,"&gt;"&amp;600),INDEX(m_label,_xlfn.MAXIFS(m_row,m_teacher,AN$4,m_date,($G$2+14),m_active,1,m_start,"&lt;"&amp;660,m_end,"&gt;"&amp;600))))))</f>
        <v/>
      </c>
      <c r="AO6" s="82" t="str">
        <f aca="false">IF(OR(AO$4="",MONTH(($G$2+14))&lt;&gt;MONTH($C$2)),"",IF(COUNTIFS(m_teacher,AO$4,m_date,($G$2+14),m_active,1,m_start,"&lt;"&amp;660,m_end,"&gt;"&amp;600)=0,"",IF(COUNTIFS(m_teacher,AO$4,m_date,($G$2+14),m_active,1,m_start,"&lt;"&amp;660,m_end,"&gt;"&amp;600)&gt;1,"충돌",HYPERLINK("#'관리자_MASTER'!D"&amp;_xlfn.MAXIFS(m_row,m_teacher,AO$4,m_date,($G$2+14),m_active,1,m_start,"&lt;"&amp;660,m_end,"&gt;"&amp;600),INDEX(m_label,_xlfn.MAXIFS(m_row,m_teacher,AO$4,m_date,($G$2+14),m_active,1,m_start,"&lt;"&amp;660,m_end,"&gt;"&amp;600))))))</f>
        <v/>
      </c>
      <c r="AP6" s="82" t="str">
        <f aca="false">IF(OR(AP$4="",MONTH(($G$2+14))&lt;&gt;MONTH($C$2)),"",IF(COUNTIFS(m_teacher,AP$4,m_date,($G$2+14),m_active,1,m_start,"&lt;"&amp;660,m_end,"&gt;"&amp;600)=0,"",IF(COUNTIFS(m_teacher,AP$4,m_date,($G$2+14),m_active,1,m_start,"&lt;"&amp;660,m_end,"&gt;"&amp;600)&gt;1,"충돌",HYPERLINK("#'관리자_MASTER'!D"&amp;_xlfn.MAXIFS(m_row,m_teacher,AP$4,m_date,($G$2+14),m_active,1,m_start,"&lt;"&amp;660,m_end,"&gt;"&amp;600),INDEX(m_label,_xlfn.MAXIFS(m_row,m_teacher,AP$4,m_date,($G$2+14),m_active,1,m_start,"&lt;"&amp;660,m_end,"&gt;"&amp;600))))))</f>
        <v/>
      </c>
      <c r="AQ6" s="78"/>
      <c r="AR6" s="79" t="s">
        <v>92</v>
      </c>
      <c r="AS6" s="82" t="str">
        <f aca="false">IF(OR(AS$4="",MONTH(($G$2+21))&lt;&gt;MONTH($C$2)),"",IF(COUNTIFS(m_teacher,AS$4,m_date,($G$2+21),m_active,1,m_start,"&lt;"&amp;660,m_end,"&gt;"&amp;600)=0,"",IF(COUNTIFS(m_teacher,AS$4,m_date,($G$2+21),m_active,1,m_start,"&lt;"&amp;660,m_end,"&gt;"&amp;600)&gt;1,"충돌",HYPERLINK("#'관리자_MASTER'!D"&amp;_xlfn.MAXIFS(m_row,m_teacher,AS$4,m_date,($G$2+21),m_active,1,m_start,"&lt;"&amp;660,m_end,"&gt;"&amp;600),INDEX(m_label,_xlfn.MAXIFS(m_row,m_teacher,AS$4,m_date,($G$2+21),m_active,1,m_start,"&lt;"&amp;660,m_end,"&gt;"&amp;600))))))</f>
        <v/>
      </c>
      <c r="AT6" s="82" t="str">
        <f aca="false">IF(OR(AT$4="",MONTH(($G$2+21))&lt;&gt;MONTH($C$2)),"",IF(COUNTIFS(m_teacher,AT$4,m_date,($G$2+21),m_active,1,m_start,"&lt;"&amp;660,m_end,"&gt;"&amp;600)=0,"",IF(COUNTIFS(m_teacher,AT$4,m_date,($G$2+21),m_active,1,m_start,"&lt;"&amp;660,m_end,"&gt;"&amp;600)&gt;1,"충돌",HYPERLINK("#'관리자_MASTER'!D"&amp;_xlfn.MAXIFS(m_row,m_teacher,AT$4,m_date,($G$2+21),m_active,1,m_start,"&lt;"&amp;660,m_end,"&gt;"&amp;600),INDEX(m_label,_xlfn.MAXIFS(m_row,m_teacher,AT$4,m_date,($G$2+21),m_active,1,m_start,"&lt;"&amp;660,m_end,"&gt;"&amp;600))))))</f>
        <v/>
      </c>
      <c r="AU6" s="82" t="str">
        <f aca="false">IF(OR(AU$4="",MONTH(($G$2+21))&lt;&gt;MONTH($C$2)),"",IF(COUNTIFS(m_teacher,AU$4,m_date,($G$2+21),m_active,1,m_start,"&lt;"&amp;660,m_end,"&gt;"&amp;600)=0,"",IF(COUNTIFS(m_teacher,AU$4,m_date,($G$2+21),m_active,1,m_start,"&lt;"&amp;660,m_end,"&gt;"&amp;600)&gt;1,"충돌",HYPERLINK("#'관리자_MASTER'!D"&amp;_xlfn.MAXIFS(m_row,m_teacher,AU$4,m_date,($G$2+21),m_active,1,m_start,"&lt;"&amp;660,m_end,"&gt;"&amp;600),INDEX(m_label,_xlfn.MAXIFS(m_row,m_teacher,AU$4,m_date,($G$2+21),m_active,1,m_start,"&lt;"&amp;660,m_end,"&gt;"&amp;600))))))</f>
        <v/>
      </c>
      <c r="AV6" s="82" t="str">
        <f aca="false">IF(OR(AV$4="",MONTH(($G$2+21))&lt;&gt;MONTH($C$2)),"",IF(COUNTIFS(m_teacher,AV$4,m_date,($G$2+21),m_active,1,m_start,"&lt;"&amp;660,m_end,"&gt;"&amp;600)=0,"",IF(COUNTIFS(m_teacher,AV$4,m_date,($G$2+21),m_active,1,m_start,"&lt;"&amp;660,m_end,"&gt;"&amp;600)&gt;1,"충돌",HYPERLINK("#'관리자_MASTER'!D"&amp;_xlfn.MAXIFS(m_row,m_teacher,AV$4,m_date,($G$2+21),m_active,1,m_start,"&lt;"&amp;660,m_end,"&gt;"&amp;600),INDEX(m_label,_xlfn.MAXIFS(m_row,m_teacher,AV$4,m_date,($G$2+21),m_active,1,m_start,"&lt;"&amp;660,m_end,"&gt;"&amp;600))))))</f>
        <v/>
      </c>
      <c r="AW6" s="82" t="str">
        <f aca="false">IF(OR(AW$4="",MONTH(($G$2+21))&lt;&gt;MONTH($C$2)),"",IF(COUNTIFS(m_teacher,AW$4,m_date,($G$2+21),m_active,1,m_start,"&lt;"&amp;660,m_end,"&gt;"&amp;600)=0,"",IF(COUNTIFS(m_teacher,AW$4,m_date,($G$2+21),m_active,1,m_start,"&lt;"&amp;660,m_end,"&gt;"&amp;600)&gt;1,"충돌",HYPERLINK("#'관리자_MASTER'!D"&amp;_xlfn.MAXIFS(m_row,m_teacher,AW$4,m_date,($G$2+21),m_active,1,m_start,"&lt;"&amp;660,m_end,"&gt;"&amp;600),INDEX(m_label,_xlfn.MAXIFS(m_row,m_teacher,AW$4,m_date,($G$2+21),m_active,1,m_start,"&lt;"&amp;660,m_end,"&gt;"&amp;600))))))</f>
        <v/>
      </c>
      <c r="AX6" s="82" t="str">
        <f aca="false">IF(OR(AX$4="",MONTH(($G$2+21))&lt;&gt;MONTH($C$2)),"",IF(COUNTIFS(m_teacher,AX$4,m_date,($G$2+21),m_active,1,m_start,"&lt;"&amp;660,m_end,"&gt;"&amp;600)=0,"",IF(COUNTIFS(m_teacher,AX$4,m_date,($G$2+21),m_active,1,m_start,"&lt;"&amp;660,m_end,"&gt;"&amp;600)&gt;1,"충돌",HYPERLINK("#'관리자_MASTER'!D"&amp;_xlfn.MAXIFS(m_row,m_teacher,AX$4,m_date,($G$2+21),m_active,1,m_start,"&lt;"&amp;660,m_end,"&gt;"&amp;600),INDEX(m_label,_xlfn.MAXIFS(m_row,m_teacher,AX$4,m_date,($G$2+21),m_active,1,m_start,"&lt;"&amp;660,m_end,"&gt;"&amp;600))))))</f>
        <v/>
      </c>
      <c r="AY6" s="82" t="str">
        <f aca="false">IF(OR(AY$4="",MONTH(($G$2+21))&lt;&gt;MONTH($C$2)),"",IF(COUNTIFS(m_teacher,AY$4,m_date,($G$2+21),m_active,1,m_start,"&lt;"&amp;660,m_end,"&gt;"&amp;600)=0,"",IF(COUNTIFS(m_teacher,AY$4,m_date,($G$2+21),m_active,1,m_start,"&lt;"&amp;660,m_end,"&gt;"&amp;600)&gt;1,"충돌",HYPERLINK("#'관리자_MASTER'!D"&amp;_xlfn.MAXIFS(m_row,m_teacher,AY$4,m_date,($G$2+21),m_active,1,m_start,"&lt;"&amp;660,m_end,"&gt;"&amp;600),INDEX(m_label,_xlfn.MAXIFS(m_row,m_teacher,AY$4,m_date,($G$2+21),m_active,1,m_start,"&lt;"&amp;660,m_end,"&gt;"&amp;600))))))</f>
        <v/>
      </c>
      <c r="AZ6" s="82" t="str">
        <f aca="false">IF(OR(AZ$4="",MONTH(($G$2+21))&lt;&gt;MONTH($C$2)),"",IF(COUNTIFS(m_teacher,AZ$4,m_date,($G$2+21),m_active,1,m_start,"&lt;"&amp;660,m_end,"&gt;"&amp;600)=0,"",IF(COUNTIFS(m_teacher,AZ$4,m_date,($G$2+21),m_active,1,m_start,"&lt;"&amp;660,m_end,"&gt;"&amp;600)&gt;1,"충돌",HYPERLINK("#'관리자_MASTER'!D"&amp;_xlfn.MAXIFS(m_row,m_teacher,AZ$4,m_date,($G$2+21),m_active,1,m_start,"&lt;"&amp;660,m_end,"&gt;"&amp;600),INDEX(m_label,_xlfn.MAXIFS(m_row,m_teacher,AZ$4,m_date,($G$2+21),m_active,1,m_start,"&lt;"&amp;660,m_end,"&gt;"&amp;600))))))</f>
        <v/>
      </c>
      <c r="BA6" s="82" t="str">
        <f aca="false">IF(OR(BA$4="",MONTH(($G$2+21))&lt;&gt;MONTH($C$2)),"",IF(COUNTIFS(m_teacher,BA$4,m_date,($G$2+21),m_active,1,m_start,"&lt;"&amp;660,m_end,"&gt;"&amp;600)=0,"",IF(COUNTIFS(m_teacher,BA$4,m_date,($G$2+21),m_active,1,m_start,"&lt;"&amp;660,m_end,"&gt;"&amp;600)&gt;1,"충돌",HYPERLINK("#'관리자_MASTER'!D"&amp;_xlfn.MAXIFS(m_row,m_teacher,BA$4,m_date,($G$2+21),m_active,1,m_start,"&lt;"&amp;660,m_end,"&gt;"&amp;600),INDEX(m_label,_xlfn.MAXIFS(m_row,m_teacher,BA$4,m_date,($G$2+21),m_active,1,m_start,"&lt;"&amp;660,m_end,"&gt;"&amp;600))))))</f>
        <v/>
      </c>
      <c r="BB6" s="82" t="str">
        <f aca="false">IF(OR(BB$4="",MONTH(($G$2+21))&lt;&gt;MONTH($C$2)),"",IF(COUNTIFS(m_teacher,BB$4,m_date,($G$2+21),m_active,1,m_start,"&lt;"&amp;660,m_end,"&gt;"&amp;600)=0,"",IF(COUNTIFS(m_teacher,BB$4,m_date,($G$2+21),m_active,1,m_start,"&lt;"&amp;660,m_end,"&gt;"&amp;600)&gt;1,"충돌",HYPERLINK("#'관리자_MASTER'!D"&amp;_xlfn.MAXIFS(m_row,m_teacher,BB$4,m_date,($G$2+21),m_active,1,m_start,"&lt;"&amp;660,m_end,"&gt;"&amp;600),INDEX(m_label,_xlfn.MAXIFS(m_row,m_teacher,BB$4,m_date,($G$2+21),m_active,1,m_start,"&lt;"&amp;660,m_end,"&gt;"&amp;600))))))</f>
        <v/>
      </c>
      <c r="BC6" s="82" t="str">
        <f aca="false">IF(OR(BC$4="",MONTH(($G$2+21))&lt;&gt;MONTH($C$2)),"",IF(COUNTIFS(m_teacher,BC$4,m_date,($G$2+21),m_active,1,m_start,"&lt;"&amp;660,m_end,"&gt;"&amp;600)=0,"",IF(COUNTIFS(m_teacher,BC$4,m_date,($G$2+21),m_active,1,m_start,"&lt;"&amp;660,m_end,"&gt;"&amp;600)&gt;1,"충돌",HYPERLINK("#'관리자_MASTER'!D"&amp;_xlfn.MAXIFS(m_row,m_teacher,BC$4,m_date,($G$2+21),m_active,1,m_start,"&lt;"&amp;660,m_end,"&gt;"&amp;600),INDEX(m_label,_xlfn.MAXIFS(m_row,m_teacher,BC$4,m_date,($G$2+21),m_active,1,m_start,"&lt;"&amp;660,m_end,"&gt;"&amp;600))))))</f>
        <v/>
      </c>
      <c r="BD6" s="82" t="str">
        <f aca="false">IF(OR(BD$4="",MONTH(($G$2+21))&lt;&gt;MONTH($C$2)),"",IF(COUNTIFS(m_teacher,BD$4,m_date,($G$2+21),m_active,1,m_start,"&lt;"&amp;660,m_end,"&gt;"&amp;600)=0,"",IF(COUNTIFS(m_teacher,BD$4,m_date,($G$2+21),m_active,1,m_start,"&lt;"&amp;660,m_end,"&gt;"&amp;600)&gt;1,"충돌",HYPERLINK("#'관리자_MASTER'!D"&amp;_xlfn.MAXIFS(m_row,m_teacher,BD$4,m_date,($G$2+21),m_active,1,m_start,"&lt;"&amp;660,m_end,"&gt;"&amp;600),INDEX(m_label,_xlfn.MAXIFS(m_row,m_teacher,BD$4,m_date,($G$2+21),m_active,1,m_start,"&lt;"&amp;660,m_end,"&gt;"&amp;600))))))</f>
        <v/>
      </c>
      <c r="BE6" s="78"/>
      <c r="BF6" s="79" t="s">
        <v>92</v>
      </c>
      <c r="BG6" s="82" t="str">
        <f aca="false">IF(OR(BG$4="",MONTH(($G$2+28))&lt;&gt;MONTH($C$2)),"",IF(COUNTIFS(m_teacher,BG$4,m_date,($G$2+28),m_active,1,m_start,"&lt;"&amp;660,m_end,"&gt;"&amp;600)=0,"",IF(COUNTIFS(m_teacher,BG$4,m_date,($G$2+28),m_active,1,m_start,"&lt;"&amp;660,m_end,"&gt;"&amp;600)&gt;1,"충돌",HYPERLINK("#'관리자_MASTER'!D"&amp;_xlfn.MAXIFS(m_row,m_teacher,BG$4,m_date,($G$2+28),m_active,1,m_start,"&lt;"&amp;660,m_end,"&gt;"&amp;600),INDEX(m_label,_xlfn.MAXIFS(m_row,m_teacher,BG$4,m_date,($G$2+28),m_active,1,m_start,"&lt;"&amp;660,m_end,"&gt;"&amp;600))))))</f>
        <v/>
      </c>
      <c r="BH6" s="82" t="str">
        <f aca="false">IF(OR(BH$4="",MONTH(($G$2+28))&lt;&gt;MONTH($C$2)),"",IF(COUNTIFS(m_teacher,BH$4,m_date,($G$2+28),m_active,1,m_start,"&lt;"&amp;660,m_end,"&gt;"&amp;600)=0,"",IF(COUNTIFS(m_teacher,BH$4,m_date,($G$2+28),m_active,1,m_start,"&lt;"&amp;660,m_end,"&gt;"&amp;600)&gt;1,"충돌",HYPERLINK("#'관리자_MASTER'!D"&amp;_xlfn.MAXIFS(m_row,m_teacher,BH$4,m_date,($G$2+28),m_active,1,m_start,"&lt;"&amp;660,m_end,"&gt;"&amp;600),INDEX(m_label,_xlfn.MAXIFS(m_row,m_teacher,BH$4,m_date,($G$2+28),m_active,1,m_start,"&lt;"&amp;660,m_end,"&gt;"&amp;600))))))</f>
        <v/>
      </c>
      <c r="BI6" s="82" t="str">
        <f aca="false">IF(OR(BI$4="",MONTH(($G$2+28))&lt;&gt;MONTH($C$2)),"",IF(COUNTIFS(m_teacher,BI$4,m_date,($G$2+28),m_active,1,m_start,"&lt;"&amp;660,m_end,"&gt;"&amp;600)=0,"",IF(COUNTIFS(m_teacher,BI$4,m_date,($G$2+28),m_active,1,m_start,"&lt;"&amp;660,m_end,"&gt;"&amp;600)&gt;1,"충돌",HYPERLINK("#'관리자_MASTER'!D"&amp;_xlfn.MAXIFS(m_row,m_teacher,BI$4,m_date,($G$2+28),m_active,1,m_start,"&lt;"&amp;660,m_end,"&gt;"&amp;600),INDEX(m_label,_xlfn.MAXIFS(m_row,m_teacher,BI$4,m_date,($G$2+28),m_active,1,m_start,"&lt;"&amp;660,m_end,"&gt;"&amp;600))))))</f>
        <v/>
      </c>
      <c r="BJ6" s="82" t="str">
        <f aca="false">IF(OR(BJ$4="",MONTH(($G$2+28))&lt;&gt;MONTH($C$2)),"",IF(COUNTIFS(m_teacher,BJ$4,m_date,($G$2+28),m_active,1,m_start,"&lt;"&amp;660,m_end,"&gt;"&amp;600)=0,"",IF(COUNTIFS(m_teacher,BJ$4,m_date,($G$2+28),m_active,1,m_start,"&lt;"&amp;660,m_end,"&gt;"&amp;600)&gt;1,"충돌",HYPERLINK("#'관리자_MASTER'!D"&amp;_xlfn.MAXIFS(m_row,m_teacher,BJ$4,m_date,($G$2+28),m_active,1,m_start,"&lt;"&amp;660,m_end,"&gt;"&amp;600),INDEX(m_label,_xlfn.MAXIFS(m_row,m_teacher,BJ$4,m_date,($G$2+28),m_active,1,m_start,"&lt;"&amp;660,m_end,"&gt;"&amp;600))))))</f>
        <v/>
      </c>
      <c r="BK6" s="82" t="str">
        <f aca="false">IF(OR(BK$4="",MONTH(($G$2+28))&lt;&gt;MONTH($C$2)),"",IF(COUNTIFS(m_teacher,BK$4,m_date,($G$2+28),m_active,1,m_start,"&lt;"&amp;660,m_end,"&gt;"&amp;600)=0,"",IF(COUNTIFS(m_teacher,BK$4,m_date,($G$2+28),m_active,1,m_start,"&lt;"&amp;660,m_end,"&gt;"&amp;600)&gt;1,"충돌",HYPERLINK("#'관리자_MASTER'!D"&amp;_xlfn.MAXIFS(m_row,m_teacher,BK$4,m_date,($G$2+28),m_active,1,m_start,"&lt;"&amp;660,m_end,"&gt;"&amp;600),INDEX(m_label,_xlfn.MAXIFS(m_row,m_teacher,BK$4,m_date,($G$2+28),m_active,1,m_start,"&lt;"&amp;660,m_end,"&gt;"&amp;600))))))</f>
        <v/>
      </c>
      <c r="BL6" s="82" t="str">
        <f aca="false">IF(OR(BL$4="",MONTH(($G$2+28))&lt;&gt;MONTH($C$2)),"",IF(COUNTIFS(m_teacher,BL$4,m_date,($G$2+28),m_active,1,m_start,"&lt;"&amp;660,m_end,"&gt;"&amp;600)=0,"",IF(COUNTIFS(m_teacher,BL$4,m_date,($G$2+28),m_active,1,m_start,"&lt;"&amp;660,m_end,"&gt;"&amp;600)&gt;1,"충돌",HYPERLINK("#'관리자_MASTER'!D"&amp;_xlfn.MAXIFS(m_row,m_teacher,BL$4,m_date,($G$2+28),m_active,1,m_start,"&lt;"&amp;660,m_end,"&gt;"&amp;600),INDEX(m_label,_xlfn.MAXIFS(m_row,m_teacher,BL$4,m_date,($G$2+28),m_active,1,m_start,"&lt;"&amp;660,m_end,"&gt;"&amp;600))))))</f>
        <v/>
      </c>
      <c r="BM6" s="82" t="str">
        <f aca="false">IF(OR(BM$4="",MONTH(($G$2+28))&lt;&gt;MONTH($C$2)),"",IF(COUNTIFS(m_teacher,BM$4,m_date,($G$2+28),m_active,1,m_start,"&lt;"&amp;660,m_end,"&gt;"&amp;600)=0,"",IF(COUNTIFS(m_teacher,BM$4,m_date,($G$2+28),m_active,1,m_start,"&lt;"&amp;660,m_end,"&gt;"&amp;600)&gt;1,"충돌",HYPERLINK("#'관리자_MASTER'!D"&amp;_xlfn.MAXIFS(m_row,m_teacher,BM$4,m_date,($G$2+28),m_active,1,m_start,"&lt;"&amp;660,m_end,"&gt;"&amp;600),INDEX(m_label,_xlfn.MAXIFS(m_row,m_teacher,BM$4,m_date,($G$2+28),m_active,1,m_start,"&lt;"&amp;660,m_end,"&gt;"&amp;600))))))</f>
        <v/>
      </c>
      <c r="BN6" s="82" t="str">
        <f aca="false">IF(OR(BN$4="",MONTH(($G$2+28))&lt;&gt;MONTH($C$2)),"",IF(COUNTIFS(m_teacher,BN$4,m_date,($G$2+28),m_active,1,m_start,"&lt;"&amp;660,m_end,"&gt;"&amp;600)=0,"",IF(COUNTIFS(m_teacher,BN$4,m_date,($G$2+28),m_active,1,m_start,"&lt;"&amp;660,m_end,"&gt;"&amp;600)&gt;1,"충돌",HYPERLINK("#'관리자_MASTER'!D"&amp;_xlfn.MAXIFS(m_row,m_teacher,BN$4,m_date,($G$2+28),m_active,1,m_start,"&lt;"&amp;660,m_end,"&gt;"&amp;600),INDEX(m_label,_xlfn.MAXIFS(m_row,m_teacher,BN$4,m_date,($G$2+28),m_active,1,m_start,"&lt;"&amp;660,m_end,"&gt;"&amp;600))))))</f>
        <v/>
      </c>
      <c r="BO6" s="82" t="str">
        <f aca="false">IF(OR(BO$4="",MONTH(($G$2+28))&lt;&gt;MONTH($C$2)),"",IF(COUNTIFS(m_teacher,BO$4,m_date,($G$2+28),m_active,1,m_start,"&lt;"&amp;660,m_end,"&gt;"&amp;600)=0,"",IF(COUNTIFS(m_teacher,BO$4,m_date,($G$2+28),m_active,1,m_start,"&lt;"&amp;660,m_end,"&gt;"&amp;600)&gt;1,"충돌",HYPERLINK("#'관리자_MASTER'!D"&amp;_xlfn.MAXIFS(m_row,m_teacher,BO$4,m_date,($G$2+28),m_active,1,m_start,"&lt;"&amp;660,m_end,"&gt;"&amp;600),INDEX(m_label,_xlfn.MAXIFS(m_row,m_teacher,BO$4,m_date,($G$2+28),m_active,1,m_start,"&lt;"&amp;660,m_end,"&gt;"&amp;600))))))</f>
        <v/>
      </c>
      <c r="BP6" s="82" t="str">
        <f aca="false">IF(OR(BP$4="",MONTH(($G$2+28))&lt;&gt;MONTH($C$2)),"",IF(COUNTIFS(m_teacher,BP$4,m_date,($G$2+28),m_active,1,m_start,"&lt;"&amp;660,m_end,"&gt;"&amp;600)=0,"",IF(COUNTIFS(m_teacher,BP$4,m_date,($G$2+28),m_active,1,m_start,"&lt;"&amp;660,m_end,"&gt;"&amp;600)&gt;1,"충돌",HYPERLINK("#'관리자_MASTER'!D"&amp;_xlfn.MAXIFS(m_row,m_teacher,BP$4,m_date,($G$2+28),m_active,1,m_start,"&lt;"&amp;660,m_end,"&gt;"&amp;600),INDEX(m_label,_xlfn.MAXIFS(m_row,m_teacher,BP$4,m_date,($G$2+28),m_active,1,m_start,"&lt;"&amp;660,m_end,"&gt;"&amp;600))))))</f>
        <v/>
      </c>
      <c r="BQ6" s="82" t="str">
        <f aca="false">IF(OR(BQ$4="",MONTH(($G$2+28))&lt;&gt;MONTH($C$2)),"",IF(COUNTIFS(m_teacher,BQ$4,m_date,($G$2+28),m_active,1,m_start,"&lt;"&amp;660,m_end,"&gt;"&amp;600)=0,"",IF(COUNTIFS(m_teacher,BQ$4,m_date,($G$2+28),m_active,1,m_start,"&lt;"&amp;660,m_end,"&gt;"&amp;600)&gt;1,"충돌",HYPERLINK("#'관리자_MASTER'!D"&amp;_xlfn.MAXIFS(m_row,m_teacher,BQ$4,m_date,($G$2+28),m_active,1,m_start,"&lt;"&amp;660,m_end,"&gt;"&amp;600),INDEX(m_label,_xlfn.MAXIFS(m_row,m_teacher,BQ$4,m_date,($G$2+28),m_active,1,m_start,"&lt;"&amp;660,m_end,"&gt;"&amp;600))))))</f>
        <v/>
      </c>
      <c r="BR6" s="82" t="str">
        <f aca="false">IF(OR(BR$4="",MONTH(($G$2+28))&lt;&gt;MONTH($C$2)),"",IF(COUNTIFS(m_teacher,BR$4,m_date,($G$2+28),m_active,1,m_start,"&lt;"&amp;660,m_end,"&gt;"&amp;600)=0,"",IF(COUNTIFS(m_teacher,BR$4,m_date,($G$2+28),m_active,1,m_start,"&lt;"&amp;660,m_end,"&gt;"&amp;600)&gt;1,"충돌",HYPERLINK("#'관리자_MASTER'!D"&amp;_xlfn.MAXIFS(m_row,m_teacher,BR$4,m_date,($G$2+28),m_active,1,m_start,"&lt;"&amp;660,m_end,"&gt;"&amp;600),INDEX(m_label,_xlfn.MAXIFS(m_row,m_teacher,BR$4,m_date,($G$2+28),m_active,1,m_start,"&lt;"&amp;660,m_end,"&gt;"&amp;600))))))</f>
        <v/>
      </c>
    </row>
    <row r="7" customFormat="false" ht="19.5" hidden="false" customHeight="true" outlineLevel="0" collapsed="false">
      <c r="A7" s="75"/>
      <c r="B7" s="76" t="s">
        <v>93</v>
      </c>
      <c r="C7" s="81" t="str">
        <f aca="false">IF(OR(C$4="",MONTH(($G$2+0))&lt;&gt;MONTH($C$2)),"",IF(COUNTIFS(m_teacher,C$4,m_date,($G$2+0),m_active,1,m_start,"&lt;"&amp;720,m_end,"&gt;"&amp;660)=0,"",IF(COUNTIFS(m_teacher,C$4,m_date,($G$2+0),m_active,1,m_start,"&lt;"&amp;720,m_end,"&gt;"&amp;660)&gt;1,"충돌",HYPERLINK("#'관리자_MASTER'!D"&amp;_xlfn.MAXIFS(m_row,m_teacher,C$4,m_date,($G$2+0),m_active,1,m_start,"&lt;"&amp;720,m_end,"&gt;"&amp;660),INDEX(m_label,_xlfn.MAXIFS(m_row,m_teacher,C$4,m_date,($G$2+0),m_active,1,m_start,"&lt;"&amp;720,m_end,"&gt;"&amp;660))))))</f>
        <v/>
      </c>
      <c r="D7" s="81" t="str">
        <f aca="false">IF(OR(D$4="",MONTH(($G$2+0))&lt;&gt;MONTH($C$2)),"",IF(COUNTIFS(m_teacher,D$4,m_date,($G$2+0),m_active,1,m_start,"&lt;"&amp;720,m_end,"&gt;"&amp;660)=0,"",IF(COUNTIFS(m_teacher,D$4,m_date,($G$2+0),m_active,1,m_start,"&lt;"&amp;720,m_end,"&gt;"&amp;660)&gt;1,"충돌",HYPERLINK("#'관리자_MASTER'!D"&amp;_xlfn.MAXIFS(m_row,m_teacher,D$4,m_date,($G$2+0),m_active,1,m_start,"&lt;"&amp;720,m_end,"&gt;"&amp;660),INDEX(m_label,_xlfn.MAXIFS(m_row,m_teacher,D$4,m_date,($G$2+0),m_active,1,m_start,"&lt;"&amp;720,m_end,"&gt;"&amp;660))))))</f>
        <v/>
      </c>
      <c r="E7" s="81" t="str">
        <f aca="false">IF(OR(E$4="",MONTH(($G$2+0))&lt;&gt;MONTH($C$2)),"",IF(COUNTIFS(m_teacher,E$4,m_date,($G$2+0),m_active,1,m_start,"&lt;"&amp;720,m_end,"&gt;"&amp;660)=0,"",IF(COUNTIFS(m_teacher,E$4,m_date,($G$2+0),m_active,1,m_start,"&lt;"&amp;720,m_end,"&gt;"&amp;660)&gt;1,"충돌",HYPERLINK("#'관리자_MASTER'!D"&amp;_xlfn.MAXIFS(m_row,m_teacher,E$4,m_date,($G$2+0),m_active,1,m_start,"&lt;"&amp;720,m_end,"&gt;"&amp;660),INDEX(m_label,_xlfn.MAXIFS(m_row,m_teacher,E$4,m_date,($G$2+0),m_active,1,m_start,"&lt;"&amp;720,m_end,"&gt;"&amp;660))))))</f>
        <v/>
      </c>
      <c r="F7" s="81" t="str">
        <f aca="false">IF(OR(F$4="",MONTH(($G$2+0))&lt;&gt;MONTH($C$2)),"",IF(COUNTIFS(m_teacher,F$4,m_date,($G$2+0),m_active,1,m_start,"&lt;"&amp;720,m_end,"&gt;"&amp;660)=0,"",IF(COUNTIFS(m_teacher,F$4,m_date,($G$2+0),m_active,1,m_start,"&lt;"&amp;720,m_end,"&gt;"&amp;660)&gt;1,"충돌",HYPERLINK("#'관리자_MASTER'!D"&amp;_xlfn.MAXIFS(m_row,m_teacher,F$4,m_date,($G$2+0),m_active,1,m_start,"&lt;"&amp;720,m_end,"&gt;"&amp;660),INDEX(m_label,_xlfn.MAXIFS(m_row,m_teacher,F$4,m_date,($G$2+0),m_active,1,m_start,"&lt;"&amp;720,m_end,"&gt;"&amp;660))))))</f>
        <v/>
      </c>
      <c r="G7" s="81" t="str">
        <f aca="false">IF(OR(G$4="",MONTH(($G$2+0))&lt;&gt;MONTH($C$2)),"",IF(COUNTIFS(m_teacher,G$4,m_date,($G$2+0),m_active,1,m_start,"&lt;"&amp;720,m_end,"&gt;"&amp;660)=0,"",IF(COUNTIFS(m_teacher,G$4,m_date,($G$2+0),m_active,1,m_start,"&lt;"&amp;720,m_end,"&gt;"&amp;660)&gt;1,"충돌",HYPERLINK("#'관리자_MASTER'!D"&amp;_xlfn.MAXIFS(m_row,m_teacher,G$4,m_date,($G$2+0),m_active,1,m_start,"&lt;"&amp;720,m_end,"&gt;"&amp;660),INDEX(m_label,_xlfn.MAXIFS(m_row,m_teacher,G$4,m_date,($G$2+0),m_active,1,m_start,"&lt;"&amp;720,m_end,"&gt;"&amp;660))))))</f>
        <v/>
      </c>
      <c r="H7" s="81" t="str">
        <f aca="false">IF(OR(H$4="",MONTH(($G$2+0))&lt;&gt;MONTH($C$2)),"",IF(COUNTIFS(m_teacher,H$4,m_date,($G$2+0),m_active,1,m_start,"&lt;"&amp;720,m_end,"&gt;"&amp;660)=0,"",IF(COUNTIFS(m_teacher,H$4,m_date,($G$2+0),m_active,1,m_start,"&lt;"&amp;720,m_end,"&gt;"&amp;660)&gt;1,"충돌",HYPERLINK("#'관리자_MASTER'!D"&amp;_xlfn.MAXIFS(m_row,m_teacher,H$4,m_date,($G$2+0),m_active,1,m_start,"&lt;"&amp;720,m_end,"&gt;"&amp;660),INDEX(m_label,_xlfn.MAXIFS(m_row,m_teacher,H$4,m_date,($G$2+0),m_active,1,m_start,"&lt;"&amp;720,m_end,"&gt;"&amp;660))))))</f>
        <v/>
      </c>
      <c r="I7" s="81" t="str">
        <f aca="false">IF(OR(I$4="",MONTH(($G$2+0))&lt;&gt;MONTH($C$2)),"",IF(COUNTIFS(m_teacher,I$4,m_date,($G$2+0),m_active,1,m_start,"&lt;"&amp;720,m_end,"&gt;"&amp;660)=0,"",IF(COUNTIFS(m_teacher,I$4,m_date,($G$2+0),m_active,1,m_start,"&lt;"&amp;720,m_end,"&gt;"&amp;660)&gt;1,"충돌",HYPERLINK("#'관리자_MASTER'!D"&amp;_xlfn.MAXIFS(m_row,m_teacher,I$4,m_date,($G$2+0),m_active,1,m_start,"&lt;"&amp;720,m_end,"&gt;"&amp;660),INDEX(m_label,_xlfn.MAXIFS(m_row,m_teacher,I$4,m_date,($G$2+0),m_active,1,m_start,"&lt;"&amp;720,m_end,"&gt;"&amp;660))))))</f>
        <v/>
      </c>
      <c r="J7" s="81" t="str">
        <f aca="false">IF(OR(J$4="",MONTH(($G$2+0))&lt;&gt;MONTH($C$2)),"",IF(COUNTIFS(m_teacher,J$4,m_date,($G$2+0),m_active,1,m_start,"&lt;"&amp;720,m_end,"&gt;"&amp;660)=0,"",IF(COUNTIFS(m_teacher,J$4,m_date,($G$2+0),m_active,1,m_start,"&lt;"&amp;720,m_end,"&gt;"&amp;660)&gt;1,"충돌",HYPERLINK("#'관리자_MASTER'!D"&amp;_xlfn.MAXIFS(m_row,m_teacher,J$4,m_date,($G$2+0),m_active,1,m_start,"&lt;"&amp;720,m_end,"&gt;"&amp;660),INDEX(m_label,_xlfn.MAXIFS(m_row,m_teacher,J$4,m_date,($G$2+0),m_active,1,m_start,"&lt;"&amp;720,m_end,"&gt;"&amp;660))))))</f>
        <v/>
      </c>
      <c r="K7" s="81" t="str">
        <f aca="false">IF(OR(K$4="",MONTH(($G$2+0))&lt;&gt;MONTH($C$2)),"",IF(COUNTIFS(m_teacher,K$4,m_date,($G$2+0),m_active,1,m_start,"&lt;"&amp;720,m_end,"&gt;"&amp;660)=0,"",IF(COUNTIFS(m_teacher,K$4,m_date,($G$2+0),m_active,1,m_start,"&lt;"&amp;720,m_end,"&gt;"&amp;660)&gt;1,"충돌",HYPERLINK("#'관리자_MASTER'!D"&amp;_xlfn.MAXIFS(m_row,m_teacher,K$4,m_date,($G$2+0),m_active,1,m_start,"&lt;"&amp;720,m_end,"&gt;"&amp;660),INDEX(m_label,_xlfn.MAXIFS(m_row,m_teacher,K$4,m_date,($G$2+0),m_active,1,m_start,"&lt;"&amp;720,m_end,"&gt;"&amp;660))))))</f>
        <v/>
      </c>
      <c r="L7" s="81" t="str">
        <f aca="false">IF(OR(L$4="",MONTH(($G$2+0))&lt;&gt;MONTH($C$2)),"",IF(COUNTIFS(m_teacher,L$4,m_date,($G$2+0),m_active,1,m_start,"&lt;"&amp;720,m_end,"&gt;"&amp;660)=0,"",IF(COUNTIFS(m_teacher,L$4,m_date,($G$2+0),m_active,1,m_start,"&lt;"&amp;720,m_end,"&gt;"&amp;660)&gt;1,"충돌",HYPERLINK("#'관리자_MASTER'!D"&amp;_xlfn.MAXIFS(m_row,m_teacher,L$4,m_date,($G$2+0),m_active,1,m_start,"&lt;"&amp;720,m_end,"&gt;"&amp;660),INDEX(m_label,_xlfn.MAXIFS(m_row,m_teacher,L$4,m_date,($G$2+0),m_active,1,m_start,"&lt;"&amp;720,m_end,"&gt;"&amp;660))))))</f>
        <v/>
      </c>
      <c r="M7" s="81" t="str">
        <f aca="false">IF(OR(M$4="",MONTH(($G$2+0))&lt;&gt;MONTH($C$2)),"",IF(COUNTIFS(m_teacher,M$4,m_date,($G$2+0),m_active,1,m_start,"&lt;"&amp;720,m_end,"&gt;"&amp;660)=0,"",IF(COUNTIFS(m_teacher,M$4,m_date,($G$2+0),m_active,1,m_start,"&lt;"&amp;720,m_end,"&gt;"&amp;660)&gt;1,"충돌",HYPERLINK("#'관리자_MASTER'!D"&amp;_xlfn.MAXIFS(m_row,m_teacher,M$4,m_date,($G$2+0),m_active,1,m_start,"&lt;"&amp;720,m_end,"&gt;"&amp;660),INDEX(m_label,_xlfn.MAXIFS(m_row,m_teacher,M$4,m_date,($G$2+0),m_active,1,m_start,"&lt;"&amp;720,m_end,"&gt;"&amp;660))))))</f>
        <v/>
      </c>
      <c r="N7" s="81" t="str">
        <f aca="false">IF(OR(N$4="",MONTH(($G$2+0))&lt;&gt;MONTH($C$2)),"",IF(COUNTIFS(m_teacher,N$4,m_date,($G$2+0),m_active,1,m_start,"&lt;"&amp;720,m_end,"&gt;"&amp;660)=0,"",IF(COUNTIFS(m_teacher,N$4,m_date,($G$2+0),m_active,1,m_start,"&lt;"&amp;720,m_end,"&gt;"&amp;660)&gt;1,"충돌",HYPERLINK("#'관리자_MASTER'!D"&amp;_xlfn.MAXIFS(m_row,m_teacher,N$4,m_date,($G$2+0),m_active,1,m_start,"&lt;"&amp;720,m_end,"&gt;"&amp;660),INDEX(m_label,_xlfn.MAXIFS(m_row,m_teacher,N$4,m_date,($G$2+0),m_active,1,m_start,"&lt;"&amp;720,m_end,"&gt;"&amp;660))))))</f>
        <v/>
      </c>
      <c r="O7" s="78"/>
      <c r="P7" s="79" t="s">
        <v>93</v>
      </c>
      <c r="Q7" s="82" t="str">
        <f aca="false">IF(OR(Q$4="",MONTH(($G$2+7))&lt;&gt;MONTH($C$2)),"",IF(COUNTIFS(m_teacher,Q$4,m_date,($G$2+7),m_active,1,m_start,"&lt;"&amp;720,m_end,"&gt;"&amp;660)=0,"",IF(COUNTIFS(m_teacher,Q$4,m_date,($G$2+7),m_active,1,m_start,"&lt;"&amp;720,m_end,"&gt;"&amp;660)&gt;1,"충돌",HYPERLINK("#'관리자_MASTER'!D"&amp;_xlfn.MAXIFS(m_row,m_teacher,Q$4,m_date,($G$2+7),m_active,1,m_start,"&lt;"&amp;720,m_end,"&gt;"&amp;660),INDEX(m_label,_xlfn.MAXIFS(m_row,m_teacher,Q$4,m_date,($G$2+7),m_active,1,m_start,"&lt;"&amp;720,m_end,"&gt;"&amp;660))))))</f>
        <v/>
      </c>
      <c r="R7" s="82" t="str">
        <f aca="false">IF(OR(R$4="",MONTH(($G$2+7))&lt;&gt;MONTH($C$2)),"",IF(COUNTIFS(m_teacher,R$4,m_date,($G$2+7),m_active,1,m_start,"&lt;"&amp;720,m_end,"&gt;"&amp;660)=0,"",IF(COUNTIFS(m_teacher,R$4,m_date,($G$2+7),m_active,1,m_start,"&lt;"&amp;720,m_end,"&gt;"&amp;660)&gt;1,"충돌",HYPERLINK("#'관리자_MASTER'!D"&amp;_xlfn.MAXIFS(m_row,m_teacher,R$4,m_date,($G$2+7),m_active,1,m_start,"&lt;"&amp;720,m_end,"&gt;"&amp;660),INDEX(m_label,_xlfn.MAXIFS(m_row,m_teacher,R$4,m_date,($G$2+7),m_active,1,m_start,"&lt;"&amp;720,m_end,"&gt;"&amp;660))))))</f>
        <v/>
      </c>
      <c r="S7" s="82" t="str">
        <f aca="false">IF(OR(S$4="",MONTH(($G$2+7))&lt;&gt;MONTH($C$2)),"",IF(COUNTIFS(m_teacher,S$4,m_date,($G$2+7),m_active,1,m_start,"&lt;"&amp;720,m_end,"&gt;"&amp;660)=0,"",IF(COUNTIFS(m_teacher,S$4,m_date,($G$2+7),m_active,1,m_start,"&lt;"&amp;720,m_end,"&gt;"&amp;660)&gt;1,"충돌",HYPERLINK("#'관리자_MASTER'!D"&amp;_xlfn.MAXIFS(m_row,m_teacher,S$4,m_date,($G$2+7),m_active,1,m_start,"&lt;"&amp;720,m_end,"&gt;"&amp;660),INDEX(m_label,_xlfn.MAXIFS(m_row,m_teacher,S$4,m_date,($G$2+7),m_active,1,m_start,"&lt;"&amp;720,m_end,"&gt;"&amp;660))))))</f>
        <v/>
      </c>
      <c r="T7" s="82" t="str">
        <f aca="false">IF(OR(T$4="",MONTH(($G$2+7))&lt;&gt;MONTH($C$2)),"",IF(COUNTIFS(m_teacher,T$4,m_date,($G$2+7),m_active,1,m_start,"&lt;"&amp;720,m_end,"&gt;"&amp;660)=0,"",IF(COUNTIFS(m_teacher,T$4,m_date,($G$2+7),m_active,1,m_start,"&lt;"&amp;720,m_end,"&gt;"&amp;660)&gt;1,"충돌",HYPERLINK("#'관리자_MASTER'!D"&amp;_xlfn.MAXIFS(m_row,m_teacher,T$4,m_date,($G$2+7),m_active,1,m_start,"&lt;"&amp;720,m_end,"&gt;"&amp;660),INDEX(m_label,_xlfn.MAXIFS(m_row,m_teacher,T$4,m_date,($G$2+7),m_active,1,m_start,"&lt;"&amp;720,m_end,"&gt;"&amp;660))))))</f>
        <v/>
      </c>
      <c r="U7" s="82" t="str">
        <f aca="false">IF(OR(U$4="",MONTH(($G$2+7))&lt;&gt;MONTH($C$2)),"",IF(COUNTIFS(m_teacher,U$4,m_date,($G$2+7),m_active,1,m_start,"&lt;"&amp;720,m_end,"&gt;"&amp;660)=0,"",IF(COUNTIFS(m_teacher,U$4,m_date,($G$2+7),m_active,1,m_start,"&lt;"&amp;720,m_end,"&gt;"&amp;660)&gt;1,"충돌",HYPERLINK("#'관리자_MASTER'!D"&amp;_xlfn.MAXIFS(m_row,m_teacher,U$4,m_date,($G$2+7),m_active,1,m_start,"&lt;"&amp;720,m_end,"&gt;"&amp;660),INDEX(m_label,_xlfn.MAXIFS(m_row,m_teacher,U$4,m_date,($G$2+7),m_active,1,m_start,"&lt;"&amp;720,m_end,"&gt;"&amp;660))))))</f>
        <v/>
      </c>
      <c r="V7" s="82" t="str">
        <f aca="false">IF(OR(V$4="",MONTH(($G$2+7))&lt;&gt;MONTH($C$2)),"",IF(COUNTIFS(m_teacher,V$4,m_date,($G$2+7),m_active,1,m_start,"&lt;"&amp;720,m_end,"&gt;"&amp;660)=0,"",IF(COUNTIFS(m_teacher,V$4,m_date,($G$2+7),m_active,1,m_start,"&lt;"&amp;720,m_end,"&gt;"&amp;660)&gt;1,"충돌",HYPERLINK("#'관리자_MASTER'!D"&amp;_xlfn.MAXIFS(m_row,m_teacher,V$4,m_date,($G$2+7),m_active,1,m_start,"&lt;"&amp;720,m_end,"&gt;"&amp;660),INDEX(m_label,_xlfn.MAXIFS(m_row,m_teacher,V$4,m_date,($G$2+7),m_active,1,m_start,"&lt;"&amp;720,m_end,"&gt;"&amp;660))))))</f>
        <v/>
      </c>
      <c r="W7" s="82" t="str">
        <f aca="false">IF(OR(W$4="",MONTH(($G$2+7))&lt;&gt;MONTH($C$2)),"",IF(COUNTIFS(m_teacher,W$4,m_date,($G$2+7),m_active,1,m_start,"&lt;"&amp;720,m_end,"&gt;"&amp;660)=0,"",IF(COUNTIFS(m_teacher,W$4,m_date,($G$2+7),m_active,1,m_start,"&lt;"&amp;720,m_end,"&gt;"&amp;660)&gt;1,"충돌",HYPERLINK("#'관리자_MASTER'!D"&amp;_xlfn.MAXIFS(m_row,m_teacher,W$4,m_date,($G$2+7),m_active,1,m_start,"&lt;"&amp;720,m_end,"&gt;"&amp;660),INDEX(m_label,_xlfn.MAXIFS(m_row,m_teacher,W$4,m_date,($G$2+7),m_active,1,m_start,"&lt;"&amp;720,m_end,"&gt;"&amp;660))))))</f>
        <v/>
      </c>
      <c r="X7" s="82" t="str">
        <f aca="false">IF(OR(X$4="",MONTH(($G$2+7))&lt;&gt;MONTH($C$2)),"",IF(COUNTIFS(m_teacher,X$4,m_date,($G$2+7),m_active,1,m_start,"&lt;"&amp;720,m_end,"&gt;"&amp;660)=0,"",IF(COUNTIFS(m_teacher,X$4,m_date,($G$2+7),m_active,1,m_start,"&lt;"&amp;720,m_end,"&gt;"&amp;660)&gt;1,"충돌",HYPERLINK("#'관리자_MASTER'!D"&amp;_xlfn.MAXIFS(m_row,m_teacher,X$4,m_date,($G$2+7),m_active,1,m_start,"&lt;"&amp;720,m_end,"&gt;"&amp;660),INDEX(m_label,_xlfn.MAXIFS(m_row,m_teacher,X$4,m_date,($G$2+7),m_active,1,m_start,"&lt;"&amp;720,m_end,"&gt;"&amp;660))))))</f>
        <v/>
      </c>
      <c r="Y7" s="82" t="str">
        <f aca="false">IF(OR(Y$4="",MONTH(($G$2+7))&lt;&gt;MONTH($C$2)),"",IF(COUNTIFS(m_teacher,Y$4,m_date,($G$2+7),m_active,1,m_start,"&lt;"&amp;720,m_end,"&gt;"&amp;660)=0,"",IF(COUNTIFS(m_teacher,Y$4,m_date,($G$2+7),m_active,1,m_start,"&lt;"&amp;720,m_end,"&gt;"&amp;660)&gt;1,"충돌",HYPERLINK("#'관리자_MASTER'!D"&amp;_xlfn.MAXIFS(m_row,m_teacher,Y$4,m_date,($G$2+7),m_active,1,m_start,"&lt;"&amp;720,m_end,"&gt;"&amp;660),INDEX(m_label,_xlfn.MAXIFS(m_row,m_teacher,Y$4,m_date,($G$2+7),m_active,1,m_start,"&lt;"&amp;720,m_end,"&gt;"&amp;660))))))</f>
        <v/>
      </c>
      <c r="Z7" s="82" t="str">
        <f aca="false">IF(OR(Z$4="",MONTH(($G$2+7))&lt;&gt;MONTH($C$2)),"",IF(COUNTIFS(m_teacher,Z$4,m_date,($G$2+7),m_active,1,m_start,"&lt;"&amp;720,m_end,"&gt;"&amp;660)=0,"",IF(COUNTIFS(m_teacher,Z$4,m_date,($G$2+7),m_active,1,m_start,"&lt;"&amp;720,m_end,"&gt;"&amp;660)&gt;1,"충돌",HYPERLINK("#'관리자_MASTER'!D"&amp;_xlfn.MAXIFS(m_row,m_teacher,Z$4,m_date,($G$2+7),m_active,1,m_start,"&lt;"&amp;720,m_end,"&gt;"&amp;660),INDEX(m_label,_xlfn.MAXIFS(m_row,m_teacher,Z$4,m_date,($G$2+7),m_active,1,m_start,"&lt;"&amp;720,m_end,"&gt;"&amp;660))))))</f>
        <v/>
      </c>
      <c r="AA7" s="82" t="str">
        <f aca="false">IF(OR(AA$4="",MONTH(($G$2+7))&lt;&gt;MONTH($C$2)),"",IF(COUNTIFS(m_teacher,AA$4,m_date,($G$2+7),m_active,1,m_start,"&lt;"&amp;720,m_end,"&gt;"&amp;660)=0,"",IF(COUNTIFS(m_teacher,AA$4,m_date,($G$2+7),m_active,1,m_start,"&lt;"&amp;720,m_end,"&gt;"&amp;660)&gt;1,"충돌",HYPERLINK("#'관리자_MASTER'!D"&amp;_xlfn.MAXIFS(m_row,m_teacher,AA$4,m_date,($G$2+7),m_active,1,m_start,"&lt;"&amp;720,m_end,"&gt;"&amp;660),INDEX(m_label,_xlfn.MAXIFS(m_row,m_teacher,AA$4,m_date,($G$2+7),m_active,1,m_start,"&lt;"&amp;720,m_end,"&gt;"&amp;660))))))</f>
        <v/>
      </c>
      <c r="AB7" s="82" t="str">
        <f aca="false">IF(OR(AB$4="",MONTH(($G$2+7))&lt;&gt;MONTH($C$2)),"",IF(COUNTIFS(m_teacher,AB$4,m_date,($G$2+7),m_active,1,m_start,"&lt;"&amp;720,m_end,"&gt;"&amp;660)=0,"",IF(COUNTIFS(m_teacher,AB$4,m_date,($G$2+7),m_active,1,m_start,"&lt;"&amp;720,m_end,"&gt;"&amp;660)&gt;1,"충돌",HYPERLINK("#'관리자_MASTER'!D"&amp;_xlfn.MAXIFS(m_row,m_teacher,AB$4,m_date,($G$2+7),m_active,1,m_start,"&lt;"&amp;720,m_end,"&gt;"&amp;660),INDEX(m_label,_xlfn.MAXIFS(m_row,m_teacher,AB$4,m_date,($G$2+7),m_active,1,m_start,"&lt;"&amp;720,m_end,"&gt;"&amp;660))))))</f>
        <v/>
      </c>
      <c r="AC7" s="78"/>
      <c r="AD7" s="79" t="s">
        <v>93</v>
      </c>
      <c r="AE7" s="82" t="str">
        <f aca="false">IF(OR(AE$4="",MONTH(($G$2+14))&lt;&gt;MONTH($C$2)),"",IF(COUNTIFS(m_teacher,AE$4,m_date,($G$2+14),m_active,1,m_start,"&lt;"&amp;720,m_end,"&gt;"&amp;660)=0,"",IF(COUNTIFS(m_teacher,AE$4,m_date,($G$2+14),m_active,1,m_start,"&lt;"&amp;720,m_end,"&gt;"&amp;660)&gt;1,"충돌",HYPERLINK("#'관리자_MASTER'!D"&amp;_xlfn.MAXIFS(m_row,m_teacher,AE$4,m_date,($G$2+14),m_active,1,m_start,"&lt;"&amp;720,m_end,"&gt;"&amp;660),INDEX(m_label,_xlfn.MAXIFS(m_row,m_teacher,AE$4,m_date,($G$2+14),m_active,1,m_start,"&lt;"&amp;720,m_end,"&gt;"&amp;660))))))</f>
        <v/>
      </c>
      <c r="AF7" s="82" t="str">
        <f aca="false">IF(OR(AF$4="",MONTH(($G$2+14))&lt;&gt;MONTH($C$2)),"",IF(COUNTIFS(m_teacher,AF$4,m_date,($G$2+14),m_active,1,m_start,"&lt;"&amp;720,m_end,"&gt;"&amp;660)=0,"",IF(COUNTIFS(m_teacher,AF$4,m_date,($G$2+14),m_active,1,m_start,"&lt;"&amp;720,m_end,"&gt;"&amp;660)&gt;1,"충돌",HYPERLINK("#'관리자_MASTER'!D"&amp;_xlfn.MAXIFS(m_row,m_teacher,AF$4,m_date,($G$2+14),m_active,1,m_start,"&lt;"&amp;720,m_end,"&gt;"&amp;660),INDEX(m_label,_xlfn.MAXIFS(m_row,m_teacher,AF$4,m_date,($G$2+14),m_active,1,m_start,"&lt;"&amp;720,m_end,"&gt;"&amp;660))))))</f>
        <v/>
      </c>
      <c r="AG7" s="82" t="str">
        <f aca="false">IF(OR(AG$4="",MONTH(($G$2+14))&lt;&gt;MONTH($C$2)),"",IF(COUNTIFS(m_teacher,AG$4,m_date,($G$2+14),m_active,1,m_start,"&lt;"&amp;720,m_end,"&gt;"&amp;660)=0,"",IF(COUNTIFS(m_teacher,AG$4,m_date,($G$2+14),m_active,1,m_start,"&lt;"&amp;720,m_end,"&gt;"&amp;660)&gt;1,"충돌",HYPERLINK("#'관리자_MASTER'!D"&amp;_xlfn.MAXIFS(m_row,m_teacher,AG$4,m_date,($G$2+14),m_active,1,m_start,"&lt;"&amp;720,m_end,"&gt;"&amp;660),INDEX(m_label,_xlfn.MAXIFS(m_row,m_teacher,AG$4,m_date,($G$2+14),m_active,1,m_start,"&lt;"&amp;720,m_end,"&gt;"&amp;660))))))</f>
        <v/>
      </c>
      <c r="AH7" s="82" t="str">
        <f aca="false">IF(OR(AH$4="",MONTH(($G$2+14))&lt;&gt;MONTH($C$2)),"",IF(COUNTIFS(m_teacher,AH$4,m_date,($G$2+14),m_active,1,m_start,"&lt;"&amp;720,m_end,"&gt;"&amp;660)=0,"",IF(COUNTIFS(m_teacher,AH$4,m_date,($G$2+14),m_active,1,m_start,"&lt;"&amp;720,m_end,"&gt;"&amp;660)&gt;1,"충돌",HYPERLINK("#'관리자_MASTER'!D"&amp;_xlfn.MAXIFS(m_row,m_teacher,AH$4,m_date,($G$2+14),m_active,1,m_start,"&lt;"&amp;720,m_end,"&gt;"&amp;660),INDEX(m_label,_xlfn.MAXIFS(m_row,m_teacher,AH$4,m_date,($G$2+14),m_active,1,m_start,"&lt;"&amp;720,m_end,"&gt;"&amp;660))))))</f>
        <v/>
      </c>
      <c r="AI7" s="82" t="str">
        <f aca="false">IF(OR(AI$4="",MONTH(($G$2+14))&lt;&gt;MONTH($C$2)),"",IF(COUNTIFS(m_teacher,AI$4,m_date,($G$2+14),m_active,1,m_start,"&lt;"&amp;720,m_end,"&gt;"&amp;660)=0,"",IF(COUNTIFS(m_teacher,AI$4,m_date,($G$2+14),m_active,1,m_start,"&lt;"&amp;720,m_end,"&gt;"&amp;660)&gt;1,"충돌",HYPERLINK("#'관리자_MASTER'!D"&amp;_xlfn.MAXIFS(m_row,m_teacher,AI$4,m_date,($G$2+14),m_active,1,m_start,"&lt;"&amp;720,m_end,"&gt;"&amp;660),INDEX(m_label,_xlfn.MAXIFS(m_row,m_teacher,AI$4,m_date,($G$2+14),m_active,1,m_start,"&lt;"&amp;720,m_end,"&gt;"&amp;660))))))</f>
        <v/>
      </c>
      <c r="AJ7" s="82" t="str">
        <f aca="false">IF(OR(AJ$4="",MONTH(($G$2+14))&lt;&gt;MONTH($C$2)),"",IF(COUNTIFS(m_teacher,AJ$4,m_date,($G$2+14),m_active,1,m_start,"&lt;"&amp;720,m_end,"&gt;"&amp;660)=0,"",IF(COUNTIFS(m_teacher,AJ$4,m_date,($G$2+14),m_active,1,m_start,"&lt;"&amp;720,m_end,"&gt;"&amp;660)&gt;1,"충돌",HYPERLINK("#'관리자_MASTER'!D"&amp;_xlfn.MAXIFS(m_row,m_teacher,AJ$4,m_date,($G$2+14),m_active,1,m_start,"&lt;"&amp;720,m_end,"&gt;"&amp;660),INDEX(m_label,_xlfn.MAXIFS(m_row,m_teacher,AJ$4,m_date,($G$2+14),m_active,1,m_start,"&lt;"&amp;720,m_end,"&gt;"&amp;660))))))</f>
        <v/>
      </c>
      <c r="AK7" s="82" t="str">
        <f aca="false">IF(OR(AK$4="",MONTH(($G$2+14))&lt;&gt;MONTH($C$2)),"",IF(COUNTIFS(m_teacher,AK$4,m_date,($G$2+14),m_active,1,m_start,"&lt;"&amp;720,m_end,"&gt;"&amp;660)=0,"",IF(COUNTIFS(m_teacher,AK$4,m_date,($G$2+14),m_active,1,m_start,"&lt;"&amp;720,m_end,"&gt;"&amp;660)&gt;1,"충돌",HYPERLINK("#'관리자_MASTER'!D"&amp;_xlfn.MAXIFS(m_row,m_teacher,AK$4,m_date,($G$2+14),m_active,1,m_start,"&lt;"&amp;720,m_end,"&gt;"&amp;660),INDEX(m_label,_xlfn.MAXIFS(m_row,m_teacher,AK$4,m_date,($G$2+14),m_active,1,m_start,"&lt;"&amp;720,m_end,"&gt;"&amp;660))))))</f>
        <v/>
      </c>
      <c r="AL7" s="82" t="str">
        <f aca="false">IF(OR(AL$4="",MONTH(($G$2+14))&lt;&gt;MONTH($C$2)),"",IF(COUNTIFS(m_teacher,AL$4,m_date,($G$2+14),m_active,1,m_start,"&lt;"&amp;720,m_end,"&gt;"&amp;660)=0,"",IF(COUNTIFS(m_teacher,AL$4,m_date,($G$2+14),m_active,1,m_start,"&lt;"&amp;720,m_end,"&gt;"&amp;660)&gt;1,"충돌",HYPERLINK("#'관리자_MASTER'!D"&amp;_xlfn.MAXIFS(m_row,m_teacher,AL$4,m_date,($G$2+14),m_active,1,m_start,"&lt;"&amp;720,m_end,"&gt;"&amp;660),INDEX(m_label,_xlfn.MAXIFS(m_row,m_teacher,AL$4,m_date,($G$2+14),m_active,1,m_start,"&lt;"&amp;720,m_end,"&gt;"&amp;660))))))</f>
        <v/>
      </c>
      <c r="AM7" s="82" t="str">
        <f aca="false">IF(OR(AM$4="",MONTH(($G$2+14))&lt;&gt;MONTH($C$2)),"",IF(COUNTIFS(m_teacher,AM$4,m_date,($G$2+14),m_active,1,m_start,"&lt;"&amp;720,m_end,"&gt;"&amp;660)=0,"",IF(COUNTIFS(m_teacher,AM$4,m_date,($G$2+14),m_active,1,m_start,"&lt;"&amp;720,m_end,"&gt;"&amp;660)&gt;1,"충돌",HYPERLINK("#'관리자_MASTER'!D"&amp;_xlfn.MAXIFS(m_row,m_teacher,AM$4,m_date,($G$2+14),m_active,1,m_start,"&lt;"&amp;720,m_end,"&gt;"&amp;660),INDEX(m_label,_xlfn.MAXIFS(m_row,m_teacher,AM$4,m_date,($G$2+14),m_active,1,m_start,"&lt;"&amp;720,m_end,"&gt;"&amp;660))))))</f>
        <v/>
      </c>
      <c r="AN7" s="82" t="str">
        <f aca="false">IF(OR(AN$4="",MONTH(($G$2+14))&lt;&gt;MONTH($C$2)),"",IF(COUNTIFS(m_teacher,AN$4,m_date,($G$2+14),m_active,1,m_start,"&lt;"&amp;720,m_end,"&gt;"&amp;660)=0,"",IF(COUNTIFS(m_teacher,AN$4,m_date,($G$2+14),m_active,1,m_start,"&lt;"&amp;720,m_end,"&gt;"&amp;660)&gt;1,"충돌",HYPERLINK("#'관리자_MASTER'!D"&amp;_xlfn.MAXIFS(m_row,m_teacher,AN$4,m_date,($G$2+14),m_active,1,m_start,"&lt;"&amp;720,m_end,"&gt;"&amp;660),INDEX(m_label,_xlfn.MAXIFS(m_row,m_teacher,AN$4,m_date,($G$2+14),m_active,1,m_start,"&lt;"&amp;720,m_end,"&gt;"&amp;660))))))</f>
        <v/>
      </c>
      <c r="AO7" s="82" t="str">
        <f aca="false">IF(OR(AO$4="",MONTH(($G$2+14))&lt;&gt;MONTH($C$2)),"",IF(COUNTIFS(m_teacher,AO$4,m_date,($G$2+14),m_active,1,m_start,"&lt;"&amp;720,m_end,"&gt;"&amp;660)=0,"",IF(COUNTIFS(m_teacher,AO$4,m_date,($G$2+14),m_active,1,m_start,"&lt;"&amp;720,m_end,"&gt;"&amp;660)&gt;1,"충돌",HYPERLINK("#'관리자_MASTER'!D"&amp;_xlfn.MAXIFS(m_row,m_teacher,AO$4,m_date,($G$2+14),m_active,1,m_start,"&lt;"&amp;720,m_end,"&gt;"&amp;660),INDEX(m_label,_xlfn.MAXIFS(m_row,m_teacher,AO$4,m_date,($G$2+14),m_active,1,m_start,"&lt;"&amp;720,m_end,"&gt;"&amp;660))))))</f>
        <v/>
      </c>
      <c r="AP7" s="82" t="str">
        <f aca="false">IF(OR(AP$4="",MONTH(($G$2+14))&lt;&gt;MONTH($C$2)),"",IF(COUNTIFS(m_teacher,AP$4,m_date,($G$2+14),m_active,1,m_start,"&lt;"&amp;720,m_end,"&gt;"&amp;660)=0,"",IF(COUNTIFS(m_teacher,AP$4,m_date,($G$2+14),m_active,1,m_start,"&lt;"&amp;720,m_end,"&gt;"&amp;660)&gt;1,"충돌",HYPERLINK("#'관리자_MASTER'!D"&amp;_xlfn.MAXIFS(m_row,m_teacher,AP$4,m_date,($G$2+14),m_active,1,m_start,"&lt;"&amp;720,m_end,"&gt;"&amp;660),INDEX(m_label,_xlfn.MAXIFS(m_row,m_teacher,AP$4,m_date,($G$2+14),m_active,1,m_start,"&lt;"&amp;720,m_end,"&gt;"&amp;660))))))</f>
        <v/>
      </c>
      <c r="AQ7" s="78"/>
      <c r="AR7" s="79" t="s">
        <v>93</v>
      </c>
      <c r="AS7" s="82" t="str">
        <f aca="false">IF(OR(AS$4="",MONTH(($G$2+21))&lt;&gt;MONTH($C$2)),"",IF(COUNTIFS(m_teacher,AS$4,m_date,($G$2+21),m_active,1,m_start,"&lt;"&amp;720,m_end,"&gt;"&amp;660)=0,"",IF(COUNTIFS(m_teacher,AS$4,m_date,($G$2+21),m_active,1,m_start,"&lt;"&amp;720,m_end,"&gt;"&amp;660)&gt;1,"충돌",HYPERLINK("#'관리자_MASTER'!D"&amp;_xlfn.MAXIFS(m_row,m_teacher,AS$4,m_date,($G$2+21),m_active,1,m_start,"&lt;"&amp;720,m_end,"&gt;"&amp;660),INDEX(m_label,_xlfn.MAXIFS(m_row,m_teacher,AS$4,m_date,($G$2+21),m_active,1,m_start,"&lt;"&amp;720,m_end,"&gt;"&amp;660))))))</f>
        <v/>
      </c>
      <c r="AT7" s="82" t="str">
        <f aca="false">IF(OR(AT$4="",MONTH(($G$2+21))&lt;&gt;MONTH($C$2)),"",IF(COUNTIFS(m_teacher,AT$4,m_date,($G$2+21),m_active,1,m_start,"&lt;"&amp;720,m_end,"&gt;"&amp;660)=0,"",IF(COUNTIFS(m_teacher,AT$4,m_date,($G$2+21),m_active,1,m_start,"&lt;"&amp;720,m_end,"&gt;"&amp;660)&gt;1,"충돌",HYPERLINK("#'관리자_MASTER'!D"&amp;_xlfn.MAXIFS(m_row,m_teacher,AT$4,m_date,($G$2+21),m_active,1,m_start,"&lt;"&amp;720,m_end,"&gt;"&amp;660),INDEX(m_label,_xlfn.MAXIFS(m_row,m_teacher,AT$4,m_date,($G$2+21),m_active,1,m_start,"&lt;"&amp;720,m_end,"&gt;"&amp;660))))))</f>
        <v/>
      </c>
      <c r="AU7" s="82" t="str">
        <f aca="false">IF(OR(AU$4="",MONTH(($G$2+21))&lt;&gt;MONTH($C$2)),"",IF(COUNTIFS(m_teacher,AU$4,m_date,($G$2+21),m_active,1,m_start,"&lt;"&amp;720,m_end,"&gt;"&amp;660)=0,"",IF(COUNTIFS(m_teacher,AU$4,m_date,($G$2+21),m_active,1,m_start,"&lt;"&amp;720,m_end,"&gt;"&amp;660)&gt;1,"충돌",HYPERLINK("#'관리자_MASTER'!D"&amp;_xlfn.MAXIFS(m_row,m_teacher,AU$4,m_date,($G$2+21),m_active,1,m_start,"&lt;"&amp;720,m_end,"&gt;"&amp;660),INDEX(m_label,_xlfn.MAXIFS(m_row,m_teacher,AU$4,m_date,($G$2+21),m_active,1,m_start,"&lt;"&amp;720,m_end,"&gt;"&amp;660))))))</f>
        <v/>
      </c>
      <c r="AV7" s="82" t="str">
        <f aca="false">IF(OR(AV$4="",MONTH(($G$2+21))&lt;&gt;MONTH($C$2)),"",IF(COUNTIFS(m_teacher,AV$4,m_date,($G$2+21),m_active,1,m_start,"&lt;"&amp;720,m_end,"&gt;"&amp;660)=0,"",IF(COUNTIFS(m_teacher,AV$4,m_date,($G$2+21),m_active,1,m_start,"&lt;"&amp;720,m_end,"&gt;"&amp;660)&gt;1,"충돌",HYPERLINK("#'관리자_MASTER'!D"&amp;_xlfn.MAXIFS(m_row,m_teacher,AV$4,m_date,($G$2+21),m_active,1,m_start,"&lt;"&amp;720,m_end,"&gt;"&amp;660),INDEX(m_label,_xlfn.MAXIFS(m_row,m_teacher,AV$4,m_date,($G$2+21),m_active,1,m_start,"&lt;"&amp;720,m_end,"&gt;"&amp;660))))))</f>
        <v/>
      </c>
      <c r="AW7" s="82" t="str">
        <f aca="false">IF(OR(AW$4="",MONTH(($G$2+21))&lt;&gt;MONTH($C$2)),"",IF(COUNTIFS(m_teacher,AW$4,m_date,($G$2+21),m_active,1,m_start,"&lt;"&amp;720,m_end,"&gt;"&amp;660)=0,"",IF(COUNTIFS(m_teacher,AW$4,m_date,($G$2+21),m_active,1,m_start,"&lt;"&amp;720,m_end,"&gt;"&amp;660)&gt;1,"충돌",HYPERLINK("#'관리자_MASTER'!D"&amp;_xlfn.MAXIFS(m_row,m_teacher,AW$4,m_date,($G$2+21),m_active,1,m_start,"&lt;"&amp;720,m_end,"&gt;"&amp;660),INDEX(m_label,_xlfn.MAXIFS(m_row,m_teacher,AW$4,m_date,($G$2+21),m_active,1,m_start,"&lt;"&amp;720,m_end,"&gt;"&amp;660))))))</f>
        <v/>
      </c>
      <c r="AX7" s="82" t="str">
        <f aca="false">IF(OR(AX$4="",MONTH(($G$2+21))&lt;&gt;MONTH($C$2)),"",IF(COUNTIFS(m_teacher,AX$4,m_date,($G$2+21),m_active,1,m_start,"&lt;"&amp;720,m_end,"&gt;"&amp;660)=0,"",IF(COUNTIFS(m_teacher,AX$4,m_date,($G$2+21),m_active,1,m_start,"&lt;"&amp;720,m_end,"&gt;"&amp;660)&gt;1,"충돌",HYPERLINK("#'관리자_MASTER'!D"&amp;_xlfn.MAXIFS(m_row,m_teacher,AX$4,m_date,($G$2+21),m_active,1,m_start,"&lt;"&amp;720,m_end,"&gt;"&amp;660),INDEX(m_label,_xlfn.MAXIFS(m_row,m_teacher,AX$4,m_date,($G$2+21),m_active,1,m_start,"&lt;"&amp;720,m_end,"&gt;"&amp;660))))))</f>
        <v/>
      </c>
      <c r="AY7" s="82" t="str">
        <f aca="false">IF(OR(AY$4="",MONTH(($G$2+21))&lt;&gt;MONTH($C$2)),"",IF(COUNTIFS(m_teacher,AY$4,m_date,($G$2+21),m_active,1,m_start,"&lt;"&amp;720,m_end,"&gt;"&amp;660)=0,"",IF(COUNTIFS(m_teacher,AY$4,m_date,($G$2+21),m_active,1,m_start,"&lt;"&amp;720,m_end,"&gt;"&amp;660)&gt;1,"충돌",HYPERLINK("#'관리자_MASTER'!D"&amp;_xlfn.MAXIFS(m_row,m_teacher,AY$4,m_date,($G$2+21),m_active,1,m_start,"&lt;"&amp;720,m_end,"&gt;"&amp;660),INDEX(m_label,_xlfn.MAXIFS(m_row,m_teacher,AY$4,m_date,($G$2+21),m_active,1,m_start,"&lt;"&amp;720,m_end,"&gt;"&amp;660))))))</f>
        <v/>
      </c>
      <c r="AZ7" s="82" t="str">
        <f aca="false">IF(OR(AZ$4="",MONTH(($G$2+21))&lt;&gt;MONTH($C$2)),"",IF(COUNTIFS(m_teacher,AZ$4,m_date,($G$2+21),m_active,1,m_start,"&lt;"&amp;720,m_end,"&gt;"&amp;660)=0,"",IF(COUNTIFS(m_teacher,AZ$4,m_date,($G$2+21),m_active,1,m_start,"&lt;"&amp;720,m_end,"&gt;"&amp;660)&gt;1,"충돌",HYPERLINK("#'관리자_MASTER'!D"&amp;_xlfn.MAXIFS(m_row,m_teacher,AZ$4,m_date,($G$2+21),m_active,1,m_start,"&lt;"&amp;720,m_end,"&gt;"&amp;660),INDEX(m_label,_xlfn.MAXIFS(m_row,m_teacher,AZ$4,m_date,($G$2+21),m_active,1,m_start,"&lt;"&amp;720,m_end,"&gt;"&amp;660))))))</f>
        <v/>
      </c>
      <c r="BA7" s="82" t="str">
        <f aca="false">IF(OR(BA$4="",MONTH(($G$2+21))&lt;&gt;MONTH($C$2)),"",IF(COUNTIFS(m_teacher,BA$4,m_date,($G$2+21),m_active,1,m_start,"&lt;"&amp;720,m_end,"&gt;"&amp;660)=0,"",IF(COUNTIFS(m_teacher,BA$4,m_date,($G$2+21),m_active,1,m_start,"&lt;"&amp;720,m_end,"&gt;"&amp;660)&gt;1,"충돌",HYPERLINK("#'관리자_MASTER'!D"&amp;_xlfn.MAXIFS(m_row,m_teacher,BA$4,m_date,($G$2+21),m_active,1,m_start,"&lt;"&amp;720,m_end,"&gt;"&amp;660),INDEX(m_label,_xlfn.MAXIFS(m_row,m_teacher,BA$4,m_date,($G$2+21),m_active,1,m_start,"&lt;"&amp;720,m_end,"&gt;"&amp;660))))))</f>
        <v/>
      </c>
      <c r="BB7" s="82" t="str">
        <f aca="false">IF(OR(BB$4="",MONTH(($G$2+21))&lt;&gt;MONTH($C$2)),"",IF(COUNTIFS(m_teacher,BB$4,m_date,($G$2+21),m_active,1,m_start,"&lt;"&amp;720,m_end,"&gt;"&amp;660)=0,"",IF(COUNTIFS(m_teacher,BB$4,m_date,($G$2+21),m_active,1,m_start,"&lt;"&amp;720,m_end,"&gt;"&amp;660)&gt;1,"충돌",HYPERLINK("#'관리자_MASTER'!D"&amp;_xlfn.MAXIFS(m_row,m_teacher,BB$4,m_date,($G$2+21),m_active,1,m_start,"&lt;"&amp;720,m_end,"&gt;"&amp;660),INDEX(m_label,_xlfn.MAXIFS(m_row,m_teacher,BB$4,m_date,($G$2+21),m_active,1,m_start,"&lt;"&amp;720,m_end,"&gt;"&amp;660))))))</f>
        <v/>
      </c>
      <c r="BC7" s="82" t="str">
        <f aca="false">IF(OR(BC$4="",MONTH(($G$2+21))&lt;&gt;MONTH($C$2)),"",IF(COUNTIFS(m_teacher,BC$4,m_date,($G$2+21),m_active,1,m_start,"&lt;"&amp;720,m_end,"&gt;"&amp;660)=0,"",IF(COUNTIFS(m_teacher,BC$4,m_date,($G$2+21),m_active,1,m_start,"&lt;"&amp;720,m_end,"&gt;"&amp;660)&gt;1,"충돌",HYPERLINK("#'관리자_MASTER'!D"&amp;_xlfn.MAXIFS(m_row,m_teacher,BC$4,m_date,($G$2+21),m_active,1,m_start,"&lt;"&amp;720,m_end,"&gt;"&amp;660),INDEX(m_label,_xlfn.MAXIFS(m_row,m_teacher,BC$4,m_date,($G$2+21),m_active,1,m_start,"&lt;"&amp;720,m_end,"&gt;"&amp;660))))))</f>
        <v/>
      </c>
      <c r="BD7" s="82" t="str">
        <f aca="false">IF(OR(BD$4="",MONTH(($G$2+21))&lt;&gt;MONTH($C$2)),"",IF(COUNTIFS(m_teacher,BD$4,m_date,($G$2+21),m_active,1,m_start,"&lt;"&amp;720,m_end,"&gt;"&amp;660)=0,"",IF(COUNTIFS(m_teacher,BD$4,m_date,($G$2+21),m_active,1,m_start,"&lt;"&amp;720,m_end,"&gt;"&amp;660)&gt;1,"충돌",HYPERLINK("#'관리자_MASTER'!D"&amp;_xlfn.MAXIFS(m_row,m_teacher,BD$4,m_date,($G$2+21),m_active,1,m_start,"&lt;"&amp;720,m_end,"&gt;"&amp;660),INDEX(m_label,_xlfn.MAXIFS(m_row,m_teacher,BD$4,m_date,($G$2+21),m_active,1,m_start,"&lt;"&amp;720,m_end,"&gt;"&amp;660))))))</f>
        <v/>
      </c>
      <c r="BE7" s="78"/>
      <c r="BF7" s="79" t="s">
        <v>93</v>
      </c>
      <c r="BG7" s="82" t="str">
        <f aca="false">IF(OR(BG$4="",MONTH(($G$2+28))&lt;&gt;MONTH($C$2)),"",IF(COUNTIFS(m_teacher,BG$4,m_date,($G$2+28),m_active,1,m_start,"&lt;"&amp;720,m_end,"&gt;"&amp;660)=0,"",IF(COUNTIFS(m_teacher,BG$4,m_date,($G$2+28),m_active,1,m_start,"&lt;"&amp;720,m_end,"&gt;"&amp;660)&gt;1,"충돌",HYPERLINK("#'관리자_MASTER'!D"&amp;_xlfn.MAXIFS(m_row,m_teacher,BG$4,m_date,($G$2+28),m_active,1,m_start,"&lt;"&amp;720,m_end,"&gt;"&amp;660),INDEX(m_label,_xlfn.MAXIFS(m_row,m_teacher,BG$4,m_date,($G$2+28),m_active,1,m_start,"&lt;"&amp;720,m_end,"&gt;"&amp;660))))))</f>
        <v/>
      </c>
      <c r="BH7" s="82" t="str">
        <f aca="false">IF(OR(BH$4="",MONTH(($G$2+28))&lt;&gt;MONTH($C$2)),"",IF(COUNTIFS(m_teacher,BH$4,m_date,($G$2+28),m_active,1,m_start,"&lt;"&amp;720,m_end,"&gt;"&amp;660)=0,"",IF(COUNTIFS(m_teacher,BH$4,m_date,($G$2+28),m_active,1,m_start,"&lt;"&amp;720,m_end,"&gt;"&amp;660)&gt;1,"충돌",HYPERLINK("#'관리자_MASTER'!D"&amp;_xlfn.MAXIFS(m_row,m_teacher,BH$4,m_date,($G$2+28),m_active,1,m_start,"&lt;"&amp;720,m_end,"&gt;"&amp;660),INDEX(m_label,_xlfn.MAXIFS(m_row,m_teacher,BH$4,m_date,($G$2+28),m_active,1,m_start,"&lt;"&amp;720,m_end,"&gt;"&amp;660))))))</f>
        <v/>
      </c>
      <c r="BI7" s="82" t="str">
        <f aca="false">IF(OR(BI$4="",MONTH(($G$2+28))&lt;&gt;MONTH($C$2)),"",IF(COUNTIFS(m_teacher,BI$4,m_date,($G$2+28),m_active,1,m_start,"&lt;"&amp;720,m_end,"&gt;"&amp;660)=0,"",IF(COUNTIFS(m_teacher,BI$4,m_date,($G$2+28),m_active,1,m_start,"&lt;"&amp;720,m_end,"&gt;"&amp;660)&gt;1,"충돌",HYPERLINK("#'관리자_MASTER'!D"&amp;_xlfn.MAXIFS(m_row,m_teacher,BI$4,m_date,($G$2+28),m_active,1,m_start,"&lt;"&amp;720,m_end,"&gt;"&amp;660),INDEX(m_label,_xlfn.MAXIFS(m_row,m_teacher,BI$4,m_date,($G$2+28),m_active,1,m_start,"&lt;"&amp;720,m_end,"&gt;"&amp;660))))))</f>
        <v/>
      </c>
      <c r="BJ7" s="82" t="str">
        <f aca="false">IF(OR(BJ$4="",MONTH(($G$2+28))&lt;&gt;MONTH($C$2)),"",IF(COUNTIFS(m_teacher,BJ$4,m_date,($G$2+28),m_active,1,m_start,"&lt;"&amp;720,m_end,"&gt;"&amp;660)=0,"",IF(COUNTIFS(m_teacher,BJ$4,m_date,($G$2+28),m_active,1,m_start,"&lt;"&amp;720,m_end,"&gt;"&amp;660)&gt;1,"충돌",HYPERLINK("#'관리자_MASTER'!D"&amp;_xlfn.MAXIFS(m_row,m_teacher,BJ$4,m_date,($G$2+28),m_active,1,m_start,"&lt;"&amp;720,m_end,"&gt;"&amp;660),INDEX(m_label,_xlfn.MAXIFS(m_row,m_teacher,BJ$4,m_date,($G$2+28),m_active,1,m_start,"&lt;"&amp;720,m_end,"&gt;"&amp;660))))))</f>
        <v/>
      </c>
      <c r="BK7" s="82" t="str">
        <f aca="false">IF(OR(BK$4="",MONTH(($G$2+28))&lt;&gt;MONTH($C$2)),"",IF(COUNTIFS(m_teacher,BK$4,m_date,($G$2+28),m_active,1,m_start,"&lt;"&amp;720,m_end,"&gt;"&amp;660)=0,"",IF(COUNTIFS(m_teacher,BK$4,m_date,($G$2+28),m_active,1,m_start,"&lt;"&amp;720,m_end,"&gt;"&amp;660)&gt;1,"충돌",HYPERLINK("#'관리자_MASTER'!D"&amp;_xlfn.MAXIFS(m_row,m_teacher,BK$4,m_date,($G$2+28),m_active,1,m_start,"&lt;"&amp;720,m_end,"&gt;"&amp;660),INDEX(m_label,_xlfn.MAXIFS(m_row,m_teacher,BK$4,m_date,($G$2+28),m_active,1,m_start,"&lt;"&amp;720,m_end,"&gt;"&amp;660))))))</f>
        <v/>
      </c>
      <c r="BL7" s="82" t="str">
        <f aca="false">IF(OR(BL$4="",MONTH(($G$2+28))&lt;&gt;MONTH($C$2)),"",IF(COUNTIFS(m_teacher,BL$4,m_date,($G$2+28),m_active,1,m_start,"&lt;"&amp;720,m_end,"&gt;"&amp;660)=0,"",IF(COUNTIFS(m_teacher,BL$4,m_date,($G$2+28),m_active,1,m_start,"&lt;"&amp;720,m_end,"&gt;"&amp;660)&gt;1,"충돌",HYPERLINK("#'관리자_MASTER'!D"&amp;_xlfn.MAXIFS(m_row,m_teacher,BL$4,m_date,($G$2+28),m_active,1,m_start,"&lt;"&amp;720,m_end,"&gt;"&amp;660),INDEX(m_label,_xlfn.MAXIFS(m_row,m_teacher,BL$4,m_date,($G$2+28),m_active,1,m_start,"&lt;"&amp;720,m_end,"&gt;"&amp;660))))))</f>
        <v/>
      </c>
      <c r="BM7" s="82" t="str">
        <f aca="false">IF(OR(BM$4="",MONTH(($G$2+28))&lt;&gt;MONTH($C$2)),"",IF(COUNTIFS(m_teacher,BM$4,m_date,($G$2+28),m_active,1,m_start,"&lt;"&amp;720,m_end,"&gt;"&amp;660)=0,"",IF(COUNTIFS(m_teacher,BM$4,m_date,($G$2+28),m_active,1,m_start,"&lt;"&amp;720,m_end,"&gt;"&amp;660)&gt;1,"충돌",HYPERLINK("#'관리자_MASTER'!D"&amp;_xlfn.MAXIFS(m_row,m_teacher,BM$4,m_date,($G$2+28),m_active,1,m_start,"&lt;"&amp;720,m_end,"&gt;"&amp;660),INDEX(m_label,_xlfn.MAXIFS(m_row,m_teacher,BM$4,m_date,($G$2+28),m_active,1,m_start,"&lt;"&amp;720,m_end,"&gt;"&amp;660))))))</f>
        <v/>
      </c>
      <c r="BN7" s="82" t="str">
        <f aca="false">IF(OR(BN$4="",MONTH(($G$2+28))&lt;&gt;MONTH($C$2)),"",IF(COUNTIFS(m_teacher,BN$4,m_date,($G$2+28),m_active,1,m_start,"&lt;"&amp;720,m_end,"&gt;"&amp;660)=0,"",IF(COUNTIFS(m_teacher,BN$4,m_date,($G$2+28),m_active,1,m_start,"&lt;"&amp;720,m_end,"&gt;"&amp;660)&gt;1,"충돌",HYPERLINK("#'관리자_MASTER'!D"&amp;_xlfn.MAXIFS(m_row,m_teacher,BN$4,m_date,($G$2+28),m_active,1,m_start,"&lt;"&amp;720,m_end,"&gt;"&amp;660),INDEX(m_label,_xlfn.MAXIFS(m_row,m_teacher,BN$4,m_date,($G$2+28),m_active,1,m_start,"&lt;"&amp;720,m_end,"&gt;"&amp;660))))))</f>
        <v/>
      </c>
      <c r="BO7" s="82" t="str">
        <f aca="false">IF(OR(BO$4="",MONTH(($G$2+28))&lt;&gt;MONTH($C$2)),"",IF(COUNTIFS(m_teacher,BO$4,m_date,($G$2+28),m_active,1,m_start,"&lt;"&amp;720,m_end,"&gt;"&amp;660)=0,"",IF(COUNTIFS(m_teacher,BO$4,m_date,($G$2+28),m_active,1,m_start,"&lt;"&amp;720,m_end,"&gt;"&amp;660)&gt;1,"충돌",HYPERLINK("#'관리자_MASTER'!D"&amp;_xlfn.MAXIFS(m_row,m_teacher,BO$4,m_date,($G$2+28),m_active,1,m_start,"&lt;"&amp;720,m_end,"&gt;"&amp;660),INDEX(m_label,_xlfn.MAXIFS(m_row,m_teacher,BO$4,m_date,($G$2+28),m_active,1,m_start,"&lt;"&amp;720,m_end,"&gt;"&amp;660))))))</f>
        <v/>
      </c>
      <c r="BP7" s="82" t="str">
        <f aca="false">IF(OR(BP$4="",MONTH(($G$2+28))&lt;&gt;MONTH($C$2)),"",IF(COUNTIFS(m_teacher,BP$4,m_date,($G$2+28),m_active,1,m_start,"&lt;"&amp;720,m_end,"&gt;"&amp;660)=0,"",IF(COUNTIFS(m_teacher,BP$4,m_date,($G$2+28),m_active,1,m_start,"&lt;"&amp;720,m_end,"&gt;"&amp;660)&gt;1,"충돌",HYPERLINK("#'관리자_MASTER'!D"&amp;_xlfn.MAXIFS(m_row,m_teacher,BP$4,m_date,($G$2+28),m_active,1,m_start,"&lt;"&amp;720,m_end,"&gt;"&amp;660),INDEX(m_label,_xlfn.MAXIFS(m_row,m_teacher,BP$4,m_date,($G$2+28),m_active,1,m_start,"&lt;"&amp;720,m_end,"&gt;"&amp;660))))))</f>
        <v/>
      </c>
      <c r="BQ7" s="82" t="str">
        <f aca="false">IF(OR(BQ$4="",MONTH(($G$2+28))&lt;&gt;MONTH($C$2)),"",IF(COUNTIFS(m_teacher,BQ$4,m_date,($G$2+28),m_active,1,m_start,"&lt;"&amp;720,m_end,"&gt;"&amp;660)=0,"",IF(COUNTIFS(m_teacher,BQ$4,m_date,($G$2+28),m_active,1,m_start,"&lt;"&amp;720,m_end,"&gt;"&amp;660)&gt;1,"충돌",HYPERLINK("#'관리자_MASTER'!D"&amp;_xlfn.MAXIFS(m_row,m_teacher,BQ$4,m_date,($G$2+28),m_active,1,m_start,"&lt;"&amp;720,m_end,"&gt;"&amp;660),INDEX(m_label,_xlfn.MAXIFS(m_row,m_teacher,BQ$4,m_date,($G$2+28),m_active,1,m_start,"&lt;"&amp;720,m_end,"&gt;"&amp;660))))))</f>
        <v/>
      </c>
      <c r="BR7" s="82" t="str">
        <f aca="false">IF(OR(BR$4="",MONTH(($G$2+28))&lt;&gt;MONTH($C$2)),"",IF(COUNTIFS(m_teacher,BR$4,m_date,($G$2+28),m_active,1,m_start,"&lt;"&amp;720,m_end,"&gt;"&amp;660)=0,"",IF(COUNTIFS(m_teacher,BR$4,m_date,($G$2+28),m_active,1,m_start,"&lt;"&amp;720,m_end,"&gt;"&amp;660)&gt;1,"충돌",HYPERLINK("#'관리자_MASTER'!D"&amp;_xlfn.MAXIFS(m_row,m_teacher,BR$4,m_date,($G$2+28),m_active,1,m_start,"&lt;"&amp;720,m_end,"&gt;"&amp;660),INDEX(m_label,_xlfn.MAXIFS(m_row,m_teacher,BR$4,m_date,($G$2+28),m_active,1,m_start,"&lt;"&amp;720,m_end,"&gt;"&amp;660))))))</f>
        <v/>
      </c>
    </row>
    <row r="8" customFormat="false" ht="19.5" hidden="false" customHeight="true" outlineLevel="0" collapsed="false">
      <c r="A8" s="75"/>
      <c r="B8" s="76" t="s">
        <v>94</v>
      </c>
      <c r="C8" s="81" t="str">
        <f aca="false">IF(OR(C$4="",MONTH(($G$2+0))&lt;&gt;MONTH($C$2)),"",IF(COUNTIFS(m_teacher,C$4,m_date,($G$2+0),m_active,1,m_start,"&lt;"&amp;780,m_end,"&gt;"&amp;720)=0,"",IF(COUNTIFS(m_teacher,C$4,m_date,($G$2+0),m_active,1,m_start,"&lt;"&amp;780,m_end,"&gt;"&amp;720)&gt;1,"충돌",HYPERLINK("#'관리자_MASTER'!D"&amp;_xlfn.MAXIFS(m_row,m_teacher,C$4,m_date,($G$2+0),m_active,1,m_start,"&lt;"&amp;780,m_end,"&gt;"&amp;720),INDEX(m_label,_xlfn.MAXIFS(m_row,m_teacher,C$4,m_date,($G$2+0),m_active,1,m_start,"&lt;"&amp;780,m_end,"&gt;"&amp;720))))))</f>
        <v/>
      </c>
      <c r="D8" s="81" t="str">
        <f aca="false">IF(OR(D$4="",MONTH(($G$2+0))&lt;&gt;MONTH($C$2)),"",IF(COUNTIFS(m_teacher,D$4,m_date,($G$2+0),m_active,1,m_start,"&lt;"&amp;780,m_end,"&gt;"&amp;720)=0,"",IF(COUNTIFS(m_teacher,D$4,m_date,($G$2+0),m_active,1,m_start,"&lt;"&amp;780,m_end,"&gt;"&amp;720)&gt;1,"충돌",HYPERLINK("#'관리자_MASTER'!D"&amp;_xlfn.MAXIFS(m_row,m_teacher,D$4,m_date,($G$2+0),m_active,1,m_start,"&lt;"&amp;780,m_end,"&gt;"&amp;720),INDEX(m_label,_xlfn.MAXIFS(m_row,m_teacher,D$4,m_date,($G$2+0),m_active,1,m_start,"&lt;"&amp;780,m_end,"&gt;"&amp;720))))))</f>
        <v/>
      </c>
      <c r="E8" s="81" t="str">
        <f aca="false">IF(OR(E$4="",MONTH(($G$2+0))&lt;&gt;MONTH($C$2)),"",IF(COUNTIFS(m_teacher,E$4,m_date,($G$2+0),m_active,1,m_start,"&lt;"&amp;780,m_end,"&gt;"&amp;720)=0,"",IF(COUNTIFS(m_teacher,E$4,m_date,($G$2+0),m_active,1,m_start,"&lt;"&amp;780,m_end,"&gt;"&amp;720)&gt;1,"충돌",HYPERLINK("#'관리자_MASTER'!D"&amp;_xlfn.MAXIFS(m_row,m_teacher,E$4,m_date,($G$2+0),m_active,1,m_start,"&lt;"&amp;780,m_end,"&gt;"&amp;720),INDEX(m_label,_xlfn.MAXIFS(m_row,m_teacher,E$4,m_date,($G$2+0),m_active,1,m_start,"&lt;"&amp;780,m_end,"&gt;"&amp;720))))))</f>
        <v/>
      </c>
      <c r="F8" s="81" t="str">
        <f aca="false">IF(OR(F$4="",MONTH(($G$2+0))&lt;&gt;MONTH($C$2)),"",IF(COUNTIFS(m_teacher,F$4,m_date,($G$2+0),m_active,1,m_start,"&lt;"&amp;780,m_end,"&gt;"&amp;720)=0,"",IF(COUNTIFS(m_teacher,F$4,m_date,($G$2+0),m_active,1,m_start,"&lt;"&amp;780,m_end,"&gt;"&amp;720)&gt;1,"충돌",HYPERLINK("#'관리자_MASTER'!D"&amp;_xlfn.MAXIFS(m_row,m_teacher,F$4,m_date,($G$2+0),m_active,1,m_start,"&lt;"&amp;780,m_end,"&gt;"&amp;720),INDEX(m_label,_xlfn.MAXIFS(m_row,m_teacher,F$4,m_date,($G$2+0),m_active,1,m_start,"&lt;"&amp;780,m_end,"&gt;"&amp;720))))))</f>
        <v/>
      </c>
      <c r="G8" s="81" t="str">
        <f aca="false">IF(OR(G$4="",MONTH(($G$2+0))&lt;&gt;MONTH($C$2)),"",IF(COUNTIFS(m_teacher,G$4,m_date,($G$2+0),m_active,1,m_start,"&lt;"&amp;780,m_end,"&gt;"&amp;720)=0,"",IF(COUNTIFS(m_teacher,G$4,m_date,($G$2+0),m_active,1,m_start,"&lt;"&amp;780,m_end,"&gt;"&amp;720)&gt;1,"충돌",HYPERLINK("#'관리자_MASTER'!D"&amp;_xlfn.MAXIFS(m_row,m_teacher,G$4,m_date,($G$2+0),m_active,1,m_start,"&lt;"&amp;780,m_end,"&gt;"&amp;720),INDEX(m_label,_xlfn.MAXIFS(m_row,m_teacher,G$4,m_date,($G$2+0),m_active,1,m_start,"&lt;"&amp;780,m_end,"&gt;"&amp;720))))))</f>
        <v/>
      </c>
      <c r="H8" s="81" t="str">
        <f aca="false">IF(OR(H$4="",MONTH(($G$2+0))&lt;&gt;MONTH($C$2)),"",IF(COUNTIFS(m_teacher,H$4,m_date,($G$2+0),m_active,1,m_start,"&lt;"&amp;780,m_end,"&gt;"&amp;720)=0,"",IF(COUNTIFS(m_teacher,H$4,m_date,($G$2+0),m_active,1,m_start,"&lt;"&amp;780,m_end,"&gt;"&amp;720)&gt;1,"충돌",HYPERLINK("#'관리자_MASTER'!D"&amp;_xlfn.MAXIFS(m_row,m_teacher,H$4,m_date,($G$2+0),m_active,1,m_start,"&lt;"&amp;780,m_end,"&gt;"&amp;720),INDEX(m_label,_xlfn.MAXIFS(m_row,m_teacher,H$4,m_date,($G$2+0),m_active,1,m_start,"&lt;"&amp;780,m_end,"&gt;"&amp;720))))))</f>
        <v/>
      </c>
      <c r="I8" s="81" t="str">
        <f aca="false">IF(OR(I$4="",MONTH(($G$2+0))&lt;&gt;MONTH($C$2)),"",IF(COUNTIFS(m_teacher,I$4,m_date,($G$2+0),m_active,1,m_start,"&lt;"&amp;780,m_end,"&gt;"&amp;720)=0,"",IF(COUNTIFS(m_teacher,I$4,m_date,($G$2+0),m_active,1,m_start,"&lt;"&amp;780,m_end,"&gt;"&amp;720)&gt;1,"충돌",HYPERLINK("#'관리자_MASTER'!D"&amp;_xlfn.MAXIFS(m_row,m_teacher,I$4,m_date,($G$2+0),m_active,1,m_start,"&lt;"&amp;780,m_end,"&gt;"&amp;720),INDEX(m_label,_xlfn.MAXIFS(m_row,m_teacher,I$4,m_date,($G$2+0),m_active,1,m_start,"&lt;"&amp;780,m_end,"&gt;"&amp;720))))))</f>
        <v/>
      </c>
      <c r="J8" s="81" t="str">
        <f aca="false">IF(OR(J$4="",MONTH(($G$2+0))&lt;&gt;MONTH($C$2)),"",IF(COUNTIFS(m_teacher,J$4,m_date,($G$2+0),m_active,1,m_start,"&lt;"&amp;780,m_end,"&gt;"&amp;720)=0,"",IF(COUNTIFS(m_teacher,J$4,m_date,($G$2+0),m_active,1,m_start,"&lt;"&amp;780,m_end,"&gt;"&amp;720)&gt;1,"충돌",HYPERLINK("#'관리자_MASTER'!D"&amp;_xlfn.MAXIFS(m_row,m_teacher,J$4,m_date,($G$2+0),m_active,1,m_start,"&lt;"&amp;780,m_end,"&gt;"&amp;720),INDEX(m_label,_xlfn.MAXIFS(m_row,m_teacher,J$4,m_date,($G$2+0),m_active,1,m_start,"&lt;"&amp;780,m_end,"&gt;"&amp;720))))))</f>
        <v/>
      </c>
      <c r="K8" s="81" t="str">
        <f aca="false">IF(OR(K$4="",MONTH(($G$2+0))&lt;&gt;MONTH($C$2)),"",IF(COUNTIFS(m_teacher,K$4,m_date,($G$2+0),m_active,1,m_start,"&lt;"&amp;780,m_end,"&gt;"&amp;720)=0,"",IF(COUNTIFS(m_teacher,K$4,m_date,($G$2+0),m_active,1,m_start,"&lt;"&amp;780,m_end,"&gt;"&amp;720)&gt;1,"충돌",HYPERLINK("#'관리자_MASTER'!D"&amp;_xlfn.MAXIFS(m_row,m_teacher,K$4,m_date,($G$2+0),m_active,1,m_start,"&lt;"&amp;780,m_end,"&gt;"&amp;720),INDEX(m_label,_xlfn.MAXIFS(m_row,m_teacher,K$4,m_date,($G$2+0),m_active,1,m_start,"&lt;"&amp;780,m_end,"&gt;"&amp;720))))))</f>
        <v/>
      </c>
      <c r="L8" s="81" t="str">
        <f aca="false">IF(OR(L$4="",MONTH(($G$2+0))&lt;&gt;MONTH($C$2)),"",IF(COUNTIFS(m_teacher,L$4,m_date,($G$2+0),m_active,1,m_start,"&lt;"&amp;780,m_end,"&gt;"&amp;720)=0,"",IF(COUNTIFS(m_teacher,L$4,m_date,($G$2+0),m_active,1,m_start,"&lt;"&amp;780,m_end,"&gt;"&amp;720)&gt;1,"충돌",HYPERLINK("#'관리자_MASTER'!D"&amp;_xlfn.MAXIFS(m_row,m_teacher,L$4,m_date,($G$2+0),m_active,1,m_start,"&lt;"&amp;780,m_end,"&gt;"&amp;720),INDEX(m_label,_xlfn.MAXIFS(m_row,m_teacher,L$4,m_date,($G$2+0),m_active,1,m_start,"&lt;"&amp;780,m_end,"&gt;"&amp;720))))))</f>
        <v/>
      </c>
      <c r="M8" s="81" t="str">
        <f aca="false">IF(OR(M$4="",MONTH(($G$2+0))&lt;&gt;MONTH($C$2)),"",IF(COUNTIFS(m_teacher,M$4,m_date,($G$2+0),m_active,1,m_start,"&lt;"&amp;780,m_end,"&gt;"&amp;720)=0,"",IF(COUNTIFS(m_teacher,M$4,m_date,($G$2+0),m_active,1,m_start,"&lt;"&amp;780,m_end,"&gt;"&amp;720)&gt;1,"충돌",HYPERLINK("#'관리자_MASTER'!D"&amp;_xlfn.MAXIFS(m_row,m_teacher,M$4,m_date,($G$2+0),m_active,1,m_start,"&lt;"&amp;780,m_end,"&gt;"&amp;720),INDEX(m_label,_xlfn.MAXIFS(m_row,m_teacher,M$4,m_date,($G$2+0),m_active,1,m_start,"&lt;"&amp;780,m_end,"&gt;"&amp;720))))))</f>
        <v/>
      </c>
      <c r="N8" s="81" t="str">
        <f aca="false">IF(OR(N$4="",MONTH(($G$2+0))&lt;&gt;MONTH($C$2)),"",IF(COUNTIFS(m_teacher,N$4,m_date,($G$2+0),m_active,1,m_start,"&lt;"&amp;780,m_end,"&gt;"&amp;720)=0,"",IF(COUNTIFS(m_teacher,N$4,m_date,($G$2+0),m_active,1,m_start,"&lt;"&amp;780,m_end,"&gt;"&amp;720)&gt;1,"충돌",HYPERLINK("#'관리자_MASTER'!D"&amp;_xlfn.MAXIFS(m_row,m_teacher,N$4,m_date,($G$2+0),m_active,1,m_start,"&lt;"&amp;780,m_end,"&gt;"&amp;720),INDEX(m_label,_xlfn.MAXIFS(m_row,m_teacher,N$4,m_date,($G$2+0),m_active,1,m_start,"&lt;"&amp;780,m_end,"&gt;"&amp;720))))))</f>
        <v/>
      </c>
      <c r="O8" s="78"/>
      <c r="P8" s="79" t="s">
        <v>94</v>
      </c>
      <c r="Q8" s="82" t="str">
        <f aca="false">IF(OR(Q$4="",MONTH(($G$2+7))&lt;&gt;MONTH($C$2)),"",IF(COUNTIFS(m_teacher,Q$4,m_date,($G$2+7),m_active,1,m_start,"&lt;"&amp;780,m_end,"&gt;"&amp;720)=0,"",IF(COUNTIFS(m_teacher,Q$4,m_date,($G$2+7),m_active,1,m_start,"&lt;"&amp;780,m_end,"&gt;"&amp;720)&gt;1,"충돌",HYPERLINK("#'관리자_MASTER'!D"&amp;_xlfn.MAXIFS(m_row,m_teacher,Q$4,m_date,($G$2+7),m_active,1,m_start,"&lt;"&amp;780,m_end,"&gt;"&amp;720),INDEX(m_label,_xlfn.MAXIFS(m_row,m_teacher,Q$4,m_date,($G$2+7),m_active,1,m_start,"&lt;"&amp;780,m_end,"&gt;"&amp;720))))))</f>
        <v/>
      </c>
      <c r="R8" s="82" t="str">
        <f aca="false">IF(OR(R$4="",MONTH(($G$2+7))&lt;&gt;MONTH($C$2)),"",IF(COUNTIFS(m_teacher,R$4,m_date,($G$2+7),m_active,1,m_start,"&lt;"&amp;780,m_end,"&gt;"&amp;720)=0,"",IF(COUNTIFS(m_teacher,R$4,m_date,($G$2+7),m_active,1,m_start,"&lt;"&amp;780,m_end,"&gt;"&amp;720)&gt;1,"충돌",HYPERLINK("#'관리자_MASTER'!D"&amp;_xlfn.MAXIFS(m_row,m_teacher,R$4,m_date,($G$2+7),m_active,1,m_start,"&lt;"&amp;780,m_end,"&gt;"&amp;720),INDEX(m_label,_xlfn.MAXIFS(m_row,m_teacher,R$4,m_date,($G$2+7),m_active,1,m_start,"&lt;"&amp;780,m_end,"&gt;"&amp;720))))))</f>
        <v/>
      </c>
      <c r="S8" s="82" t="str">
        <f aca="false">IF(OR(S$4="",MONTH(($G$2+7))&lt;&gt;MONTH($C$2)),"",IF(COUNTIFS(m_teacher,S$4,m_date,($G$2+7),m_active,1,m_start,"&lt;"&amp;780,m_end,"&gt;"&amp;720)=0,"",IF(COUNTIFS(m_teacher,S$4,m_date,($G$2+7),m_active,1,m_start,"&lt;"&amp;780,m_end,"&gt;"&amp;720)&gt;1,"충돌",HYPERLINK("#'관리자_MASTER'!D"&amp;_xlfn.MAXIFS(m_row,m_teacher,S$4,m_date,($G$2+7),m_active,1,m_start,"&lt;"&amp;780,m_end,"&gt;"&amp;720),INDEX(m_label,_xlfn.MAXIFS(m_row,m_teacher,S$4,m_date,($G$2+7),m_active,1,m_start,"&lt;"&amp;780,m_end,"&gt;"&amp;720))))))</f>
        <v/>
      </c>
      <c r="T8" s="82" t="str">
        <f aca="false">IF(OR(T$4="",MONTH(($G$2+7))&lt;&gt;MONTH($C$2)),"",IF(COUNTIFS(m_teacher,T$4,m_date,($G$2+7),m_active,1,m_start,"&lt;"&amp;780,m_end,"&gt;"&amp;720)=0,"",IF(COUNTIFS(m_teacher,T$4,m_date,($G$2+7),m_active,1,m_start,"&lt;"&amp;780,m_end,"&gt;"&amp;720)&gt;1,"충돌",HYPERLINK("#'관리자_MASTER'!D"&amp;_xlfn.MAXIFS(m_row,m_teacher,T$4,m_date,($G$2+7),m_active,1,m_start,"&lt;"&amp;780,m_end,"&gt;"&amp;720),INDEX(m_label,_xlfn.MAXIFS(m_row,m_teacher,T$4,m_date,($G$2+7),m_active,1,m_start,"&lt;"&amp;780,m_end,"&gt;"&amp;720))))))</f>
        <v/>
      </c>
      <c r="U8" s="82" t="str">
        <f aca="false">IF(OR(U$4="",MONTH(($G$2+7))&lt;&gt;MONTH($C$2)),"",IF(COUNTIFS(m_teacher,U$4,m_date,($G$2+7),m_active,1,m_start,"&lt;"&amp;780,m_end,"&gt;"&amp;720)=0,"",IF(COUNTIFS(m_teacher,U$4,m_date,($G$2+7),m_active,1,m_start,"&lt;"&amp;780,m_end,"&gt;"&amp;720)&gt;1,"충돌",HYPERLINK("#'관리자_MASTER'!D"&amp;_xlfn.MAXIFS(m_row,m_teacher,U$4,m_date,($G$2+7),m_active,1,m_start,"&lt;"&amp;780,m_end,"&gt;"&amp;720),INDEX(m_label,_xlfn.MAXIFS(m_row,m_teacher,U$4,m_date,($G$2+7),m_active,1,m_start,"&lt;"&amp;780,m_end,"&gt;"&amp;720))))))</f>
        <v/>
      </c>
      <c r="V8" s="82" t="str">
        <f aca="false">IF(OR(V$4="",MONTH(($G$2+7))&lt;&gt;MONTH($C$2)),"",IF(COUNTIFS(m_teacher,V$4,m_date,($G$2+7),m_active,1,m_start,"&lt;"&amp;780,m_end,"&gt;"&amp;720)=0,"",IF(COUNTIFS(m_teacher,V$4,m_date,($G$2+7),m_active,1,m_start,"&lt;"&amp;780,m_end,"&gt;"&amp;720)&gt;1,"충돌",HYPERLINK("#'관리자_MASTER'!D"&amp;_xlfn.MAXIFS(m_row,m_teacher,V$4,m_date,($G$2+7),m_active,1,m_start,"&lt;"&amp;780,m_end,"&gt;"&amp;720),INDEX(m_label,_xlfn.MAXIFS(m_row,m_teacher,V$4,m_date,($G$2+7),m_active,1,m_start,"&lt;"&amp;780,m_end,"&gt;"&amp;720))))))</f>
        <v/>
      </c>
      <c r="W8" s="82" t="str">
        <f aca="false">IF(OR(W$4="",MONTH(($G$2+7))&lt;&gt;MONTH($C$2)),"",IF(COUNTIFS(m_teacher,W$4,m_date,($G$2+7),m_active,1,m_start,"&lt;"&amp;780,m_end,"&gt;"&amp;720)=0,"",IF(COUNTIFS(m_teacher,W$4,m_date,($G$2+7),m_active,1,m_start,"&lt;"&amp;780,m_end,"&gt;"&amp;720)&gt;1,"충돌",HYPERLINK("#'관리자_MASTER'!D"&amp;_xlfn.MAXIFS(m_row,m_teacher,W$4,m_date,($G$2+7),m_active,1,m_start,"&lt;"&amp;780,m_end,"&gt;"&amp;720),INDEX(m_label,_xlfn.MAXIFS(m_row,m_teacher,W$4,m_date,($G$2+7),m_active,1,m_start,"&lt;"&amp;780,m_end,"&gt;"&amp;720))))))</f>
        <v/>
      </c>
      <c r="X8" s="82" t="str">
        <f aca="false">IF(OR(X$4="",MONTH(($G$2+7))&lt;&gt;MONTH($C$2)),"",IF(COUNTIFS(m_teacher,X$4,m_date,($G$2+7),m_active,1,m_start,"&lt;"&amp;780,m_end,"&gt;"&amp;720)=0,"",IF(COUNTIFS(m_teacher,X$4,m_date,($G$2+7),m_active,1,m_start,"&lt;"&amp;780,m_end,"&gt;"&amp;720)&gt;1,"충돌",HYPERLINK("#'관리자_MASTER'!D"&amp;_xlfn.MAXIFS(m_row,m_teacher,X$4,m_date,($G$2+7),m_active,1,m_start,"&lt;"&amp;780,m_end,"&gt;"&amp;720),INDEX(m_label,_xlfn.MAXIFS(m_row,m_teacher,X$4,m_date,($G$2+7),m_active,1,m_start,"&lt;"&amp;780,m_end,"&gt;"&amp;720))))))</f>
        <v/>
      </c>
      <c r="Y8" s="82" t="str">
        <f aca="false">IF(OR(Y$4="",MONTH(($G$2+7))&lt;&gt;MONTH($C$2)),"",IF(COUNTIFS(m_teacher,Y$4,m_date,($G$2+7),m_active,1,m_start,"&lt;"&amp;780,m_end,"&gt;"&amp;720)=0,"",IF(COUNTIFS(m_teacher,Y$4,m_date,($G$2+7),m_active,1,m_start,"&lt;"&amp;780,m_end,"&gt;"&amp;720)&gt;1,"충돌",HYPERLINK("#'관리자_MASTER'!D"&amp;_xlfn.MAXIFS(m_row,m_teacher,Y$4,m_date,($G$2+7),m_active,1,m_start,"&lt;"&amp;780,m_end,"&gt;"&amp;720),INDEX(m_label,_xlfn.MAXIFS(m_row,m_teacher,Y$4,m_date,($G$2+7),m_active,1,m_start,"&lt;"&amp;780,m_end,"&gt;"&amp;720))))))</f>
        <v/>
      </c>
      <c r="Z8" s="82" t="str">
        <f aca="false">IF(OR(Z$4="",MONTH(($G$2+7))&lt;&gt;MONTH($C$2)),"",IF(COUNTIFS(m_teacher,Z$4,m_date,($G$2+7),m_active,1,m_start,"&lt;"&amp;780,m_end,"&gt;"&amp;720)=0,"",IF(COUNTIFS(m_teacher,Z$4,m_date,($G$2+7),m_active,1,m_start,"&lt;"&amp;780,m_end,"&gt;"&amp;720)&gt;1,"충돌",HYPERLINK("#'관리자_MASTER'!D"&amp;_xlfn.MAXIFS(m_row,m_teacher,Z$4,m_date,($G$2+7),m_active,1,m_start,"&lt;"&amp;780,m_end,"&gt;"&amp;720),INDEX(m_label,_xlfn.MAXIFS(m_row,m_teacher,Z$4,m_date,($G$2+7),m_active,1,m_start,"&lt;"&amp;780,m_end,"&gt;"&amp;720))))))</f>
        <v/>
      </c>
      <c r="AA8" s="82" t="str">
        <f aca="false">IF(OR(AA$4="",MONTH(($G$2+7))&lt;&gt;MONTH($C$2)),"",IF(COUNTIFS(m_teacher,AA$4,m_date,($G$2+7),m_active,1,m_start,"&lt;"&amp;780,m_end,"&gt;"&amp;720)=0,"",IF(COUNTIFS(m_teacher,AA$4,m_date,($G$2+7),m_active,1,m_start,"&lt;"&amp;780,m_end,"&gt;"&amp;720)&gt;1,"충돌",HYPERLINK("#'관리자_MASTER'!D"&amp;_xlfn.MAXIFS(m_row,m_teacher,AA$4,m_date,($G$2+7),m_active,1,m_start,"&lt;"&amp;780,m_end,"&gt;"&amp;720),INDEX(m_label,_xlfn.MAXIFS(m_row,m_teacher,AA$4,m_date,($G$2+7),m_active,1,m_start,"&lt;"&amp;780,m_end,"&gt;"&amp;720))))))</f>
        <v/>
      </c>
      <c r="AB8" s="82" t="str">
        <f aca="false">IF(OR(AB$4="",MONTH(($G$2+7))&lt;&gt;MONTH($C$2)),"",IF(COUNTIFS(m_teacher,AB$4,m_date,($G$2+7),m_active,1,m_start,"&lt;"&amp;780,m_end,"&gt;"&amp;720)=0,"",IF(COUNTIFS(m_teacher,AB$4,m_date,($G$2+7),m_active,1,m_start,"&lt;"&amp;780,m_end,"&gt;"&amp;720)&gt;1,"충돌",HYPERLINK("#'관리자_MASTER'!D"&amp;_xlfn.MAXIFS(m_row,m_teacher,AB$4,m_date,($G$2+7),m_active,1,m_start,"&lt;"&amp;780,m_end,"&gt;"&amp;720),INDEX(m_label,_xlfn.MAXIFS(m_row,m_teacher,AB$4,m_date,($G$2+7),m_active,1,m_start,"&lt;"&amp;780,m_end,"&gt;"&amp;720))))))</f>
        <v/>
      </c>
      <c r="AC8" s="78"/>
      <c r="AD8" s="79" t="s">
        <v>94</v>
      </c>
      <c r="AE8" s="82" t="str">
        <f aca="false">IF(OR(AE$4="",MONTH(($G$2+14))&lt;&gt;MONTH($C$2)),"",IF(COUNTIFS(m_teacher,AE$4,m_date,($G$2+14),m_active,1,m_start,"&lt;"&amp;780,m_end,"&gt;"&amp;720)=0,"",IF(COUNTIFS(m_teacher,AE$4,m_date,($G$2+14),m_active,1,m_start,"&lt;"&amp;780,m_end,"&gt;"&amp;720)&gt;1,"충돌",HYPERLINK("#'관리자_MASTER'!D"&amp;_xlfn.MAXIFS(m_row,m_teacher,AE$4,m_date,($G$2+14),m_active,1,m_start,"&lt;"&amp;780,m_end,"&gt;"&amp;720),INDEX(m_label,_xlfn.MAXIFS(m_row,m_teacher,AE$4,m_date,($G$2+14),m_active,1,m_start,"&lt;"&amp;780,m_end,"&gt;"&amp;720))))))</f>
        <v/>
      </c>
      <c r="AF8" s="82" t="str">
        <f aca="false">IF(OR(AF$4="",MONTH(($G$2+14))&lt;&gt;MONTH($C$2)),"",IF(COUNTIFS(m_teacher,AF$4,m_date,($G$2+14),m_active,1,m_start,"&lt;"&amp;780,m_end,"&gt;"&amp;720)=0,"",IF(COUNTIFS(m_teacher,AF$4,m_date,($G$2+14),m_active,1,m_start,"&lt;"&amp;780,m_end,"&gt;"&amp;720)&gt;1,"충돌",HYPERLINK("#'관리자_MASTER'!D"&amp;_xlfn.MAXIFS(m_row,m_teacher,AF$4,m_date,($G$2+14),m_active,1,m_start,"&lt;"&amp;780,m_end,"&gt;"&amp;720),INDEX(m_label,_xlfn.MAXIFS(m_row,m_teacher,AF$4,m_date,($G$2+14),m_active,1,m_start,"&lt;"&amp;780,m_end,"&gt;"&amp;720))))))</f>
        <v/>
      </c>
      <c r="AG8" s="82" t="str">
        <f aca="false">IF(OR(AG$4="",MONTH(($G$2+14))&lt;&gt;MONTH($C$2)),"",IF(COUNTIFS(m_teacher,AG$4,m_date,($G$2+14),m_active,1,m_start,"&lt;"&amp;780,m_end,"&gt;"&amp;720)=0,"",IF(COUNTIFS(m_teacher,AG$4,m_date,($G$2+14),m_active,1,m_start,"&lt;"&amp;780,m_end,"&gt;"&amp;720)&gt;1,"충돌",HYPERLINK("#'관리자_MASTER'!D"&amp;_xlfn.MAXIFS(m_row,m_teacher,AG$4,m_date,($G$2+14),m_active,1,m_start,"&lt;"&amp;780,m_end,"&gt;"&amp;720),INDEX(m_label,_xlfn.MAXIFS(m_row,m_teacher,AG$4,m_date,($G$2+14),m_active,1,m_start,"&lt;"&amp;780,m_end,"&gt;"&amp;720))))))</f>
        <v/>
      </c>
      <c r="AH8" s="82" t="str">
        <f aca="false">IF(OR(AH$4="",MONTH(($G$2+14))&lt;&gt;MONTH($C$2)),"",IF(COUNTIFS(m_teacher,AH$4,m_date,($G$2+14),m_active,1,m_start,"&lt;"&amp;780,m_end,"&gt;"&amp;720)=0,"",IF(COUNTIFS(m_teacher,AH$4,m_date,($G$2+14),m_active,1,m_start,"&lt;"&amp;780,m_end,"&gt;"&amp;720)&gt;1,"충돌",HYPERLINK("#'관리자_MASTER'!D"&amp;_xlfn.MAXIFS(m_row,m_teacher,AH$4,m_date,($G$2+14),m_active,1,m_start,"&lt;"&amp;780,m_end,"&gt;"&amp;720),INDEX(m_label,_xlfn.MAXIFS(m_row,m_teacher,AH$4,m_date,($G$2+14),m_active,1,m_start,"&lt;"&amp;780,m_end,"&gt;"&amp;720))))))</f>
        <v/>
      </c>
      <c r="AI8" s="82" t="str">
        <f aca="false">IF(OR(AI$4="",MONTH(($G$2+14))&lt;&gt;MONTH($C$2)),"",IF(COUNTIFS(m_teacher,AI$4,m_date,($G$2+14),m_active,1,m_start,"&lt;"&amp;780,m_end,"&gt;"&amp;720)=0,"",IF(COUNTIFS(m_teacher,AI$4,m_date,($G$2+14),m_active,1,m_start,"&lt;"&amp;780,m_end,"&gt;"&amp;720)&gt;1,"충돌",HYPERLINK("#'관리자_MASTER'!D"&amp;_xlfn.MAXIFS(m_row,m_teacher,AI$4,m_date,($G$2+14),m_active,1,m_start,"&lt;"&amp;780,m_end,"&gt;"&amp;720),INDEX(m_label,_xlfn.MAXIFS(m_row,m_teacher,AI$4,m_date,($G$2+14),m_active,1,m_start,"&lt;"&amp;780,m_end,"&gt;"&amp;720))))))</f>
        <v/>
      </c>
      <c r="AJ8" s="82" t="str">
        <f aca="false">IF(OR(AJ$4="",MONTH(($G$2+14))&lt;&gt;MONTH($C$2)),"",IF(COUNTIFS(m_teacher,AJ$4,m_date,($G$2+14),m_active,1,m_start,"&lt;"&amp;780,m_end,"&gt;"&amp;720)=0,"",IF(COUNTIFS(m_teacher,AJ$4,m_date,($G$2+14),m_active,1,m_start,"&lt;"&amp;780,m_end,"&gt;"&amp;720)&gt;1,"충돌",HYPERLINK("#'관리자_MASTER'!D"&amp;_xlfn.MAXIFS(m_row,m_teacher,AJ$4,m_date,($G$2+14),m_active,1,m_start,"&lt;"&amp;780,m_end,"&gt;"&amp;720),INDEX(m_label,_xlfn.MAXIFS(m_row,m_teacher,AJ$4,m_date,($G$2+14),m_active,1,m_start,"&lt;"&amp;780,m_end,"&gt;"&amp;720))))))</f>
        <v/>
      </c>
      <c r="AK8" s="82" t="str">
        <f aca="false">IF(OR(AK$4="",MONTH(($G$2+14))&lt;&gt;MONTH($C$2)),"",IF(COUNTIFS(m_teacher,AK$4,m_date,($G$2+14),m_active,1,m_start,"&lt;"&amp;780,m_end,"&gt;"&amp;720)=0,"",IF(COUNTIFS(m_teacher,AK$4,m_date,($G$2+14),m_active,1,m_start,"&lt;"&amp;780,m_end,"&gt;"&amp;720)&gt;1,"충돌",HYPERLINK("#'관리자_MASTER'!D"&amp;_xlfn.MAXIFS(m_row,m_teacher,AK$4,m_date,($G$2+14),m_active,1,m_start,"&lt;"&amp;780,m_end,"&gt;"&amp;720),INDEX(m_label,_xlfn.MAXIFS(m_row,m_teacher,AK$4,m_date,($G$2+14),m_active,1,m_start,"&lt;"&amp;780,m_end,"&gt;"&amp;720))))))</f>
        <v/>
      </c>
      <c r="AL8" s="82" t="str">
        <f aca="false">IF(OR(AL$4="",MONTH(($G$2+14))&lt;&gt;MONTH($C$2)),"",IF(COUNTIFS(m_teacher,AL$4,m_date,($G$2+14),m_active,1,m_start,"&lt;"&amp;780,m_end,"&gt;"&amp;720)=0,"",IF(COUNTIFS(m_teacher,AL$4,m_date,($G$2+14),m_active,1,m_start,"&lt;"&amp;780,m_end,"&gt;"&amp;720)&gt;1,"충돌",HYPERLINK("#'관리자_MASTER'!D"&amp;_xlfn.MAXIFS(m_row,m_teacher,AL$4,m_date,($G$2+14),m_active,1,m_start,"&lt;"&amp;780,m_end,"&gt;"&amp;720),INDEX(m_label,_xlfn.MAXIFS(m_row,m_teacher,AL$4,m_date,($G$2+14),m_active,1,m_start,"&lt;"&amp;780,m_end,"&gt;"&amp;720))))))</f>
        <v/>
      </c>
      <c r="AM8" s="82" t="str">
        <f aca="false">IF(OR(AM$4="",MONTH(($G$2+14))&lt;&gt;MONTH($C$2)),"",IF(COUNTIFS(m_teacher,AM$4,m_date,($G$2+14),m_active,1,m_start,"&lt;"&amp;780,m_end,"&gt;"&amp;720)=0,"",IF(COUNTIFS(m_teacher,AM$4,m_date,($G$2+14),m_active,1,m_start,"&lt;"&amp;780,m_end,"&gt;"&amp;720)&gt;1,"충돌",HYPERLINK("#'관리자_MASTER'!D"&amp;_xlfn.MAXIFS(m_row,m_teacher,AM$4,m_date,($G$2+14),m_active,1,m_start,"&lt;"&amp;780,m_end,"&gt;"&amp;720),INDEX(m_label,_xlfn.MAXIFS(m_row,m_teacher,AM$4,m_date,($G$2+14),m_active,1,m_start,"&lt;"&amp;780,m_end,"&gt;"&amp;720))))))</f>
        <v/>
      </c>
      <c r="AN8" s="82" t="str">
        <f aca="false">IF(OR(AN$4="",MONTH(($G$2+14))&lt;&gt;MONTH($C$2)),"",IF(COUNTIFS(m_teacher,AN$4,m_date,($G$2+14),m_active,1,m_start,"&lt;"&amp;780,m_end,"&gt;"&amp;720)=0,"",IF(COUNTIFS(m_teacher,AN$4,m_date,($G$2+14),m_active,1,m_start,"&lt;"&amp;780,m_end,"&gt;"&amp;720)&gt;1,"충돌",HYPERLINK("#'관리자_MASTER'!D"&amp;_xlfn.MAXIFS(m_row,m_teacher,AN$4,m_date,($G$2+14),m_active,1,m_start,"&lt;"&amp;780,m_end,"&gt;"&amp;720),INDEX(m_label,_xlfn.MAXIFS(m_row,m_teacher,AN$4,m_date,($G$2+14),m_active,1,m_start,"&lt;"&amp;780,m_end,"&gt;"&amp;720))))))</f>
        <v/>
      </c>
      <c r="AO8" s="82" t="str">
        <f aca="false">IF(OR(AO$4="",MONTH(($G$2+14))&lt;&gt;MONTH($C$2)),"",IF(COUNTIFS(m_teacher,AO$4,m_date,($G$2+14),m_active,1,m_start,"&lt;"&amp;780,m_end,"&gt;"&amp;720)=0,"",IF(COUNTIFS(m_teacher,AO$4,m_date,($G$2+14),m_active,1,m_start,"&lt;"&amp;780,m_end,"&gt;"&amp;720)&gt;1,"충돌",HYPERLINK("#'관리자_MASTER'!D"&amp;_xlfn.MAXIFS(m_row,m_teacher,AO$4,m_date,($G$2+14),m_active,1,m_start,"&lt;"&amp;780,m_end,"&gt;"&amp;720),INDEX(m_label,_xlfn.MAXIFS(m_row,m_teacher,AO$4,m_date,($G$2+14),m_active,1,m_start,"&lt;"&amp;780,m_end,"&gt;"&amp;720))))))</f>
        <v/>
      </c>
      <c r="AP8" s="82" t="str">
        <f aca="false">IF(OR(AP$4="",MONTH(($G$2+14))&lt;&gt;MONTH($C$2)),"",IF(COUNTIFS(m_teacher,AP$4,m_date,($G$2+14),m_active,1,m_start,"&lt;"&amp;780,m_end,"&gt;"&amp;720)=0,"",IF(COUNTIFS(m_teacher,AP$4,m_date,($G$2+14),m_active,1,m_start,"&lt;"&amp;780,m_end,"&gt;"&amp;720)&gt;1,"충돌",HYPERLINK("#'관리자_MASTER'!D"&amp;_xlfn.MAXIFS(m_row,m_teacher,AP$4,m_date,($G$2+14),m_active,1,m_start,"&lt;"&amp;780,m_end,"&gt;"&amp;720),INDEX(m_label,_xlfn.MAXIFS(m_row,m_teacher,AP$4,m_date,($G$2+14),m_active,1,m_start,"&lt;"&amp;780,m_end,"&gt;"&amp;720))))))</f>
        <v/>
      </c>
      <c r="AQ8" s="78"/>
      <c r="AR8" s="79" t="s">
        <v>94</v>
      </c>
      <c r="AS8" s="82" t="str">
        <f aca="false">IF(OR(AS$4="",MONTH(($G$2+21))&lt;&gt;MONTH($C$2)),"",IF(COUNTIFS(m_teacher,AS$4,m_date,($G$2+21),m_active,1,m_start,"&lt;"&amp;780,m_end,"&gt;"&amp;720)=0,"",IF(COUNTIFS(m_teacher,AS$4,m_date,($G$2+21),m_active,1,m_start,"&lt;"&amp;780,m_end,"&gt;"&amp;720)&gt;1,"충돌",HYPERLINK("#'관리자_MASTER'!D"&amp;_xlfn.MAXIFS(m_row,m_teacher,AS$4,m_date,($G$2+21),m_active,1,m_start,"&lt;"&amp;780,m_end,"&gt;"&amp;720),INDEX(m_label,_xlfn.MAXIFS(m_row,m_teacher,AS$4,m_date,($G$2+21),m_active,1,m_start,"&lt;"&amp;780,m_end,"&gt;"&amp;720))))))</f>
        <v/>
      </c>
      <c r="AT8" s="82" t="str">
        <f aca="false">IF(OR(AT$4="",MONTH(($G$2+21))&lt;&gt;MONTH($C$2)),"",IF(COUNTIFS(m_teacher,AT$4,m_date,($G$2+21),m_active,1,m_start,"&lt;"&amp;780,m_end,"&gt;"&amp;720)=0,"",IF(COUNTIFS(m_teacher,AT$4,m_date,($G$2+21),m_active,1,m_start,"&lt;"&amp;780,m_end,"&gt;"&amp;720)&gt;1,"충돌",HYPERLINK("#'관리자_MASTER'!D"&amp;_xlfn.MAXIFS(m_row,m_teacher,AT$4,m_date,($G$2+21),m_active,1,m_start,"&lt;"&amp;780,m_end,"&gt;"&amp;720),INDEX(m_label,_xlfn.MAXIFS(m_row,m_teacher,AT$4,m_date,($G$2+21),m_active,1,m_start,"&lt;"&amp;780,m_end,"&gt;"&amp;720))))))</f>
        <v/>
      </c>
      <c r="AU8" s="82" t="str">
        <f aca="false">IF(OR(AU$4="",MONTH(($G$2+21))&lt;&gt;MONTH($C$2)),"",IF(COUNTIFS(m_teacher,AU$4,m_date,($G$2+21),m_active,1,m_start,"&lt;"&amp;780,m_end,"&gt;"&amp;720)=0,"",IF(COUNTIFS(m_teacher,AU$4,m_date,($G$2+21),m_active,1,m_start,"&lt;"&amp;780,m_end,"&gt;"&amp;720)&gt;1,"충돌",HYPERLINK("#'관리자_MASTER'!D"&amp;_xlfn.MAXIFS(m_row,m_teacher,AU$4,m_date,($G$2+21),m_active,1,m_start,"&lt;"&amp;780,m_end,"&gt;"&amp;720),INDEX(m_label,_xlfn.MAXIFS(m_row,m_teacher,AU$4,m_date,($G$2+21),m_active,1,m_start,"&lt;"&amp;780,m_end,"&gt;"&amp;720))))))</f>
        <v/>
      </c>
      <c r="AV8" s="82" t="str">
        <f aca="false">IF(OR(AV$4="",MONTH(($G$2+21))&lt;&gt;MONTH($C$2)),"",IF(COUNTIFS(m_teacher,AV$4,m_date,($G$2+21),m_active,1,m_start,"&lt;"&amp;780,m_end,"&gt;"&amp;720)=0,"",IF(COUNTIFS(m_teacher,AV$4,m_date,($G$2+21),m_active,1,m_start,"&lt;"&amp;780,m_end,"&gt;"&amp;720)&gt;1,"충돌",HYPERLINK("#'관리자_MASTER'!D"&amp;_xlfn.MAXIFS(m_row,m_teacher,AV$4,m_date,($G$2+21),m_active,1,m_start,"&lt;"&amp;780,m_end,"&gt;"&amp;720),INDEX(m_label,_xlfn.MAXIFS(m_row,m_teacher,AV$4,m_date,($G$2+21),m_active,1,m_start,"&lt;"&amp;780,m_end,"&gt;"&amp;720))))))</f>
        <v/>
      </c>
      <c r="AW8" s="82" t="str">
        <f aca="false">IF(OR(AW$4="",MONTH(($G$2+21))&lt;&gt;MONTH($C$2)),"",IF(COUNTIFS(m_teacher,AW$4,m_date,($G$2+21),m_active,1,m_start,"&lt;"&amp;780,m_end,"&gt;"&amp;720)=0,"",IF(COUNTIFS(m_teacher,AW$4,m_date,($G$2+21),m_active,1,m_start,"&lt;"&amp;780,m_end,"&gt;"&amp;720)&gt;1,"충돌",HYPERLINK("#'관리자_MASTER'!D"&amp;_xlfn.MAXIFS(m_row,m_teacher,AW$4,m_date,($G$2+21),m_active,1,m_start,"&lt;"&amp;780,m_end,"&gt;"&amp;720),INDEX(m_label,_xlfn.MAXIFS(m_row,m_teacher,AW$4,m_date,($G$2+21),m_active,1,m_start,"&lt;"&amp;780,m_end,"&gt;"&amp;720))))))</f>
        <v/>
      </c>
      <c r="AX8" s="82" t="str">
        <f aca="false">IF(OR(AX$4="",MONTH(($G$2+21))&lt;&gt;MONTH($C$2)),"",IF(COUNTIFS(m_teacher,AX$4,m_date,($G$2+21),m_active,1,m_start,"&lt;"&amp;780,m_end,"&gt;"&amp;720)=0,"",IF(COUNTIFS(m_teacher,AX$4,m_date,($G$2+21),m_active,1,m_start,"&lt;"&amp;780,m_end,"&gt;"&amp;720)&gt;1,"충돌",HYPERLINK("#'관리자_MASTER'!D"&amp;_xlfn.MAXIFS(m_row,m_teacher,AX$4,m_date,($G$2+21),m_active,1,m_start,"&lt;"&amp;780,m_end,"&gt;"&amp;720),INDEX(m_label,_xlfn.MAXIFS(m_row,m_teacher,AX$4,m_date,($G$2+21),m_active,1,m_start,"&lt;"&amp;780,m_end,"&gt;"&amp;720))))))</f>
        <v/>
      </c>
      <c r="AY8" s="82" t="str">
        <f aca="false">IF(OR(AY$4="",MONTH(($G$2+21))&lt;&gt;MONTH($C$2)),"",IF(COUNTIFS(m_teacher,AY$4,m_date,($G$2+21),m_active,1,m_start,"&lt;"&amp;780,m_end,"&gt;"&amp;720)=0,"",IF(COUNTIFS(m_teacher,AY$4,m_date,($G$2+21),m_active,1,m_start,"&lt;"&amp;780,m_end,"&gt;"&amp;720)&gt;1,"충돌",HYPERLINK("#'관리자_MASTER'!D"&amp;_xlfn.MAXIFS(m_row,m_teacher,AY$4,m_date,($G$2+21),m_active,1,m_start,"&lt;"&amp;780,m_end,"&gt;"&amp;720),INDEX(m_label,_xlfn.MAXIFS(m_row,m_teacher,AY$4,m_date,($G$2+21),m_active,1,m_start,"&lt;"&amp;780,m_end,"&gt;"&amp;720))))))</f>
        <v/>
      </c>
      <c r="AZ8" s="82" t="str">
        <f aca="false">IF(OR(AZ$4="",MONTH(($G$2+21))&lt;&gt;MONTH($C$2)),"",IF(COUNTIFS(m_teacher,AZ$4,m_date,($G$2+21),m_active,1,m_start,"&lt;"&amp;780,m_end,"&gt;"&amp;720)=0,"",IF(COUNTIFS(m_teacher,AZ$4,m_date,($G$2+21),m_active,1,m_start,"&lt;"&amp;780,m_end,"&gt;"&amp;720)&gt;1,"충돌",HYPERLINK("#'관리자_MASTER'!D"&amp;_xlfn.MAXIFS(m_row,m_teacher,AZ$4,m_date,($G$2+21),m_active,1,m_start,"&lt;"&amp;780,m_end,"&gt;"&amp;720),INDEX(m_label,_xlfn.MAXIFS(m_row,m_teacher,AZ$4,m_date,($G$2+21),m_active,1,m_start,"&lt;"&amp;780,m_end,"&gt;"&amp;720))))))</f>
        <v/>
      </c>
      <c r="BA8" s="82" t="str">
        <f aca="false">IF(OR(BA$4="",MONTH(($G$2+21))&lt;&gt;MONTH($C$2)),"",IF(COUNTIFS(m_teacher,BA$4,m_date,($G$2+21),m_active,1,m_start,"&lt;"&amp;780,m_end,"&gt;"&amp;720)=0,"",IF(COUNTIFS(m_teacher,BA$4,m_date,($G$2+21),m_active,1,m_start,"&lt;"&amp;780,m_end,"&gt;"&amp;720)&gt;1,"충돌",HYPERLINK("#'관리자_MASTER'!D"&amp;_xlfn.MAXIFS(m_row,m_teacher,BA$4,m_date,($G$2+21),m_active,1,m_start,"&lt;"&amp;780,m_end,"&gt;"&amp;720),INDEX(m_label,_xlfn.MAXIFS(m_row,m_teacher,BA$4,m_date,($G$2+21),m_active,1,m_start,"&lt;"&amp;780,m_end,"&gt;"&amp;720))))))</f>
        <v/>
      </c>
      <c r="BB8" s="82" t="str">
        <f aca="false">IF(OR(BB$4="",MONTH(($G$2+21))&lt;&gt;MONTH($C$2)),"",IF(COUNTIFS(m_teacher,BB$4,m_date,($G$2+21),m_active,1,m_start,"&lt;"&amp;780,m_end,"&gt;"&amp;720)=0,"",IF(COUNTIFS(m_teacher,BB$4,m_date,($G$2+21),m_active,1,m_start,"&lt;"&amp;780,m_end,"&gt;"&amp;720)&gt;1,"충돌",HYPERLINK("#'관리자_MASTER'!D"&amp;_xlfn.MAXIFS(m_row,m_teacher,BB$4,m_date,($G$2+21),m_active,1,m_start,"&lt;"&amp;780,m_end,"&gt;"&amp;720),INDEX(m_label,_xlfn.MAXIFS(m_row,m_teacher,BB$4,m_date,($G$2+21),m_active,1,m_start,"&lt;"&amp;780,m_end,"&gt;"&amp;720))))))</f>
        <v/>
      </c>
      <c r="BC8" s="82" t="str">
        <f aca="false">IF(OR(BC$4="",MONTH(($G$2+21))&lt;&gt;MONTH($C$2)),"",IF(COUNTIFS(m_teacher,BC$4,m_date,($G$2+21),m_active,1,m_start,"&lt;"&amp;780,m_end,"&gt;"&amp;720)=0,"",IF(COUNTIFS(m_teacher,BC$4,m_date,($G$2+21),m_active,1,m_start,"&lt;"&amp;780,m_end,"&gt;"&amp;720)&gt;1,"충돌",HYPERLINK("#'관리자_MASTER'!D"&amp;_xlfn.MAXIFS(m_row,m_teacher,BC$4,m_date,($G$2+21),m_active,1,m_start,"&lt;"&amp;780,m_end,"&gt;"&amp;720),INDEX(m_label,_xlfn.MAXIFS(m_row,m_teacher,BC$4,m_date,($G$2+21),m_active,1,m_start,"&lt;"&amp;780,m_end,"&gt;"&amp;720))))))</f>
        <v/>
      </c>
      <c r="BD8" s="82" t="str">
        <f aca="false">IF(OR(BD$4="",MONTH(($G$2+21))&lt;&gt;MONTH($C$2)),"",IF(COUNTIFS(m_teacher,BD$4,m_date,($G$2+21),m_active,1,m_start,"&lt;"&amp;780,m_end,"&gt;"&amp;720)=0,"",IF(COUNTIFS(m_teacher,BD$4,m_date,($G$2+21),m_active,1,m_start,"&lt;"&amp;780,m_end,"&gt;"&amp;720)&gt;1,"충돌",HYPERLINK("#'관리자_MASTER'!D"&amp;_xlfn.MAXIFS(m_row,m_teacher,BD$4,m_date,($G$2+21),m_active,1,m_start,"&lt;"&amp;780,m_end,"&gt;"&amp;720),INDEX(m_label,_xlfn.MAXIFS(m_row,m_teacher,BD$4,m_date,($G$2+21),m_active,1,m_start,"&lt;"&amp;780,m_end,"&gt;"&amp;720))))))</f>
        <v/>
      </c>
      <c r="BE8" s="78"/>
      <c r="BF8" s="79" t="s">
        <v>94</v>
      </c>
      <c r="BG8" s="82" t="str">
        <f aca="false">IF(OR(BG$4="",MONTH(($G$2+28))&lt;&gt;MONTH($C$2)),"",IF(COUNTIFS(m_teacher,BG$4,m_date,($G$2+28),m_active,1,m_start,"&lt;"&amp;780,m_end,"&gt;"&amp;720)=0,"",IF(COUNTIFS(m_teacher,BG$4,m_date,($G$2+28),m_active,1,m_start,"&lt;"&amp;780,m_end,"&gt;"&amp;720)&gt;1,"충돌",HYPERLINK("#'관리자_MASTER'!D"&amp;_xlfn.MAXIFS(m_row,m_teacher,BG$4,m_date,($G$2+28),m_active,1,m_start,"&lt;"&amp;780,m_end,"&gt;"&amp;720),INDEX(m_label,_xlfn.MAXIFS(m_row,m_teacher,BG$4,m_date,($G$2+28),m_active,1,m_start,"&lt;"&amp;780,m_end,"&gt;"&amp;720))))))</f>
        <v/>
      </c>
      <c r="BH8" s="82" t="str">
        <f aca="false">IF(OR(BH$4="",MONTH(($G$2+28))&lt;&gt;MONTH($C$2)),"",IF(COUNTIFS(m_teacher,BH$4,m_date,($G$2+28),m_active,1,m_start,"&lt;"&amp;780,m_end,"&gt;"&amp;720)=0,"",IF(COUNTIFS(m_teacher,BH$4,m_date,($G$2+28),m_active,1,m_start,"&lt;"&amp;780,m_end,"&gt;"&amp;720)&gt;1,"충돌",HYPERLINK("#'관리자_MASTER'!D"&amp;_xlfn.MAXIFS(m_row,m_teacher,BH$4,m_date,($G$2+28),m_active,1,m_start,"&lt;"&amp;780,m_end,"&gt;"&amp;720),INDEX(m_label,_xlfn.MAXIFS(m_row,m_teacher,BH$4,m_date,($G$2+28),m_active,1,m_start,"&lt;"&amp;780,m_end,"&gt;"&amp;720))))))</f>
        <v/>
      </c>
      <c r="BI8" s="82" t="str">
        <f aca="false">IF(OR(BI$4="",MONTH(($G$2+28))&lt;&gt;MONTH($C$2)),"",IF(COUNTIFS(m_teacher,BI$4,m_date,($G$2+28),m_active,1,m_start,"&lt;"&amp;780,m_end,"&gt;"&amp;720)=0,"",IF(COUNTIFS(m_teacher,BI$4,m_date,($G$2+28),m_active,1,m_start,"&lt;"&amp;780,m_end,"&gt;"&amp;720)&gt;1,"충돌",HYPERLINK("#'관리자_MASTER'!D"&amp;_xlfn.MAXIFS(m_row,m_teacher,BI$4,m_date,($G$2+28),m_active,1,m_start,"&lt;"&amp;780,m_end,"&gt;"&amp;720),INDEX(m_label,_xlfn.MAXIFS(m_row,m_teacher,BI$4,m_date,($G$2+28),m_active,1,m_start,"&lt;"&amp;780,m_end,"&gt;"&amp;720))))))</f>
        <v/>
      </c>
      <c r="BJ8" s="82" t="str">
        <f aca="false">IF(OR(BJ$4="",MONTH(($G$2+28))&lt;&gt;MONTH($C$2)),"",IF(COUNTIFS(m_teacher,BJ$4,m_date,($G$2+28),m_active,1,m_start,"&lt;"&amp;780,m_end,"&gt;"&amp;720)=0,"",IF(COUNTIFS(m_teacher,BJ$4,m_date,($G$2+28),m_active,1,m_start,"&lt;"&amp;780,m_end,"&gt;"&amp;720)&gt;1,"충돌",HYPERLINK("#'관리자_MASTER'!D"&amp;_xlfn.MAXIFS(m_row,m_teacher,BJ$4,m_date,($G$2+28),m_active,1,m_start,"&lt;"&amp;780,m_end,"&gt;"&amp;720),INDEX(m_label,_xlfn.MAXIFS(m_row,m_teacher,BJ$4,m_date,($G$2+28),m_active,1,m_start,"&lt;"&amp;780,m_end,"&gt;"&amp;720))))))</f>
        <v/>
      </c>
      <c r="BK8" s="82" t="str">
        <f aca="false">IF(OR(BK$4="",MONTH(($G$2+28))&lt;&gt;MONTH($C$2)),"",IF(COUNTIFS(m_teacher,BK$4,m_date,($G$2+28),m_active,1,m_start,"&lt;"&amp;780,m_end,"&gt;"&amp;720)=0,"",IF(COUNTIFS(m_teacher,BK$4,m_date,($G$2+28),m_active,1,m_start,"&lt;"&amp;780,m_end,"&gt;"&amp;720)&gt;1,"충돌",HYPERLINK("#'관리자_MASTER'!D"&amp;_xlfn.MAXIFS(m_row,m_teacher,BK$4,m_date,($G$2+28),m_active,1,m_start,"&lt;"&amp;780,m_end,"&gt;"&amp;720),INDEX(m_label,_xlfn.MAXIFS(m_row,m_teacher,BK$4,m_date,($G$2+28),m_active,1,m_start,"&lt;"&amp;780,m_end,"&gt;"&amp;720))))))</f>
        <v/>
      </c>
      <c r="BL8" s="82" t="str">
        <f aca="false">IF(OR(BL$4="",MONTH(($G$2+28))&lt;&gt;MONTH($C$2)),"",IF(COUNTIFS(m_teacher,BL$4,m_date,($G$2+28),m_active,1,m_start,"&lt;"&amp;780,m_end,"&gt;"&amp;720)=0,"",IF(COUNTIFS(m_teacher,BL$4,m_date,($G$2+28),m_active,1,m_start,"&lt;"&amp;780,m_end,"&gt;"&amp;720)&gt;1,"충돌",HYPERLINK("#'관리자_MASTER'!D"&amp;_xlfn.MAXIFS(m_row,m_teacher,BL$4,m_date,($G$2+28),m_active,1,m_start,"&lt;"&amp;780,m_end,"&gt;"&amp;720),INDEX(m_label,_xlfn.MAXIFS(m_row,m_teacher,BL$4,m_date,($G$2+28),m_active,1,m_start,"&lt;"&amp;780,m_end,"&gt;"&amp;720))))))</f>
        <v/>
      </c>
      <c r="BM8" s="82" t="str">
        <f aca="false">IF(OR(BM$4="",MONTH(($G$2+28))&lt;&gt;MONTH($C$2)),"",IF(COUNTIFS(m_teacher,BM$4,m_date,($G$2+28),m_active,1,m_start,"&lt;"&amp;780,m_end,"&gt;"&amp;720)=0,"",IF(COUNTIFS(m_teacher,BM$4,m_date,($G$2+28),m_active,1,m_start,"&lt;"&amp;780,m_end,"&gt;"&amp;720)&gt;1,"충돌",HYPERLINK("#'관리자_MASTER'!D"&amp;_xlfn.MAXIFS(m_row,m_teacher,BM$4,m_date,($G$2+28),m_active,1,m_start,"&lt;"&amp;780,m_end,"&gt;"&amp;720),INDEX(m_label,_xlfn.MAXIFS(m_row,m_teacher,BM$4,m_date,($G$2+28),m_active,1,m_start,"&lt;"&amp;780,m_end,"&gt;"&amp;720))))))</f>
        <v/>
      </c>
      <c r="BN8" s="82" t="str">
        <f aca="false">IF(OR(BN$4="",MONTH(($G$2+28))&lt;&gt;MONTH($C$2)),"",IF(COUNTIFS(m_teacher,BN$4,m_date,($G$2+28),m_active,1,m_start,"&lt;"&amp;780,m_end,"&gt;"&amp;720)=0,"",IF(COUNTIFS(m_teacher,BN$4,m_date,($G$2+28),m_active,1,m_start,"&lt;"&amp;780,m_end,"&gt;"&amp;720)&gt;1,"충돌",HYPERLINK("#'관리자_MASTER'!D"&amp;_xlfn.MAXIFS(m_row,m_teacher,BN$4,m_date,($G$2+28),m_active,1,m_start,"&lt;"&amp;780,m_end,"&gt;"&amp;720),INDEX(m_label,_xlfn.MAXIFS(m_row,m_teacher,BN$4,m_date,($G$2+28),m_active,1,m_start,"&lt;"&amp;780,m_end,"&gt;"&amp;720))))))</f>
        <v/>
      </c>
      <c r="BO8" s="82" t="str">
        <f aca="false">IF(OR(BO$4="",MONTH(($G$2+28))&lt;&gt;MONTH($C$2)),"",IF(COUNTIFS(m_teacher,BO$4,m_date,($G$2+28),m_active,1,m_start,"&lt;"&amp;780,m_end,"&gt;"&amp;720)=0,"",IF(COUNTIFS(m_teacher,BO$4,m_date,($G$2+28),m_active,1,m_start,"&lt;"&amp;780,m_end,"&gt;"&amp;720)&gt;1,"충돌",HYPERLINK("#'관리자_MASTER'!D"&amp;_xlfn.MAXIFS(m_row,m_teacher,BO$4,m_date,($G$2+28),m_active,1,m_start,"&lt;"&amp;780,m_end,"&gt;"&amp;720),INDEX(m_label,_xlfn.MAXIFS(m_row,m_teacher,BO$4,m_date,($G$2+28),m_active,1,m_start,"&lt;"&amp;780,m_end,"&gt;"&amp;720))))))</f>
        <v/>
      </c>
      <c r="BP8" s="82" t="str">
        <f aca="false">IF(OR(BP$4="",MONTH(($G$2+28))&lt;&gt;MONTH($C$2)),"",IF(COUNTIFS(m_teacher,BP$4,m_date,($G$2+28),m_active,1,m_start,"&lt;"&amp;780,m_end,"&gt;"&amp;720)=0,"",IF(COUNTIFS(m_teacher,BP$4,m_date,($G$2+28),m_active,1,m_start,"&lt;"&amp;780,m_end,"&gt;"&amp;720)&gt;1,"충돌",HYPERLINK("#'관리자_MASTER'!D"&amp;_xlfn.MAXIFS(m_row,m_teacher,BP$4,m_date,($G$2+28),m_active,1,m_start,"&lt;"&amp;780,m_end,"&gt;"&amp;720),INDEX(m_label,_xlfn.MAXIFS(m_row,m_teacher,BP$4,m_date,($G$2+28),m_active,1,m_start,"&lt;"&amp;780,m_end,"&gt;"&amp;720))))))</f>
        <v/>
      </c>
      <c r="BQ8" s="82" t="str">
        <f aca="false">IF(OR(BQ$4="",MONTH(($G$2+28))&lt;&gt;MONTH($C$2)),"",IF(COUNTIFS(m_teacher,BQ$4,m_date,($G$2+28),m_active,1,m_start,"&lt;"&amp;780,m_end,"&gt;"&amp;720)=0,"",IF(COUNTIFS(m_teacher,BQ$4,m_date,($G$2+28),m_active,1,m_start,"&lt;"&amp;780,m_end,"&gt;"&amp;720)&gt;1,"충돌",HYPERLINK("#'관리자_MASTER'!D"&amp;_xlfn.MAXIFS(m_row,m_teacher,BQ$4,m_date,($G$2+28),m_active,1,m_start,"&lt;"&amp;780,m_end,"&gt;"&amp;720),INDEX(m_label,_xlfn.MAXIFS(m_row,m_teacher,BQ$4,m_date,($G$2+28),m_active,1,m_start,"&lt;"&amp;780,m_end,"&gt;"&amp;720))))))</f>
        <v/>
      </c>
      <c r="BR8" s="82" t="str">
        <f aca="false">IF(OR(BR$4="",MONTH(($G$2+28))&lt;&gt;MONTH($C$2)),"",IF(COUNTIFS(m_teacher,BR$4,m_date,($G$2+28),m_active,1,m_start,"&lt;"&amp;780,m_end,"&gt;"&amp;720)=0,"",IF(COUNTIFS(m_teacher,BR$4,m_date,($G$2+28),m_active,1,m_start,"&lt;"&amp;780,m_end,"&gt;"&amp;720)&gt;1,"충돌",HYPERLINK("#'관리자_MASTER'!D"&amp;_xlfn.MAXIFS(m_row,m_teacher,BR$4,m_date,($G$2+28),m_active,1,m_start,"&lt;"&amp;780,m_end,"&gt;"&amp;720),INDEX(m_label,_xlfn.MAXIFS(m_row,m_teacher,BR$4,m_date,($G$2+28),m_active,1,m_start,"&lt;"&amp;780,m_end,"&gt;"&amp;720))))))</f>
        <v/>
      </c>
    </row>
    <row r="9" customFormat="false" ht="19.5" hidden="false" customHeight="true" outlineLevel="0" collapsed="false">
      <c r="A9" s="75"/>
      <c r="B9" s="76" t="s">
        <v>95</v>
      </c>
      <c r="C9" s="81" t="str">
        <f aca="false">IF(OR(C$4="",MONTH(($G$2+0))&lt;&gt;MONTH($C$2)),"",IF(COUNTIFS(m_teacher,C$4,m_date,($G$2+0),m_active,1,m_start,"&lt;"&amp;840,m_end,"&gt;"&amp;780)=0,"",IF(COUNTIFS(m_teacher,C$4,m_date,($G$2+0),m_active,1,m_start,"&lt;"&amp;840,m_end,"&gt;"&amp;780)&gt;1,"충돌",HYPERLINK("#'관리자_MASTER'!D"&amp;_xlfn.MAXIFS(m_row,m_teacher,C$4,m_date,($G$2+0),m_active,1,m_start,"&lt;"&amp;840,m_end,"&gt;"&amp;780),INDEX(m_label,_xlfn.MAXIFS(m_row,m_teacher,C$4,m_date,($G$2+0),m_active,1,m_start,"&lt;"&amp;840,m_end,"&gt;"&amp;780))))))</f>
        <v/>
      </c>
      <c r="D9" s="81" t="str">
        <f aca="false">IF(OR(D$4="",MONTH(($G$2+0))&lt;&gt;MONTH($C$2)),"",IF(COUNTIFS(m_teacher,D$4,m_date,($G$2+0),m_active,1,m_start,"&lt;"&amp;840,m_end,"&gt;"&amp;780)=0,"",IF(COUNTIFS(m_teacher,D$4,m_date,($G$2+0),m_active,1,m_start,"&lt;"&amp;840,m_end,"&gt;"&amp;780)&gt;1,"충돌",HYPERLINK("#'관리자_MASTER'!D"&amp;_xlfn.MAXIFS(m_row,m_teacher,D$4,m_date,($G$2+0),m_active,1,m_start,"&lt;"&amp;840,m_end,"&gt;"&amp;780),INDEX(m_label,_xlfn.MAXIFS(m_row,m_teacher,D$4,m_date,($G$2+0),m_active,1,m_start,"&lt;"&amp;840,m_end,"&gt;"&amp;780))))))</f>
        <v/>
      </c>
      <c r="E9" s="81" t="str">
        <f aca="false">IF(OR(E$4="",MONTH(($G$2+0))&lt;&gt;MONTH($C$2)),"",IF(COUNTIFS(m_teacher,E$4,m_date,($G$2+0),m_active,1,m_start,"&lt;"&amp;840,m_end,"&gt;"&amp;780)=0,"",IF(COUNTIFS(m_teacher,E$4,m_date,($G$2+0),m_active,1,m_start,"&lt;"&amp;840,m_end,"&gt;"&amp;780)&gt;1,"충돌",HYPERLINK("#'관리자_MASTER'!D"&amp;_xlfn.MAXIFS(m_row,m_teacher,E$4,m_date,($G$2+0),m_active,1,m_start,"&lt;"&amp;840,m_end,"&gt;"&amp;780),INDEX(m_label,_xlfn.MAXIFS(m_row,m_teacher,E$4,m_date,($G$2+0),m_active,1,m_start,"&lt;"&amp;840,m_end,"&gt;"&amp;780))))))</f>
        <v/>
      </c>
      <c r="F9" s="81" t="str">
        <f aca="false">IF(OR(F$4="",MONTH(($G$2+0))&lt;&gt;MONTH($C$2)),"",IF(COUNTIFS(m_teacher,F$4,m_date,($G$2+0),m_active,1,m_start,"&lt;"&amp;840,m_end,"&gt;"&amp;780)=0,"",IF(COUNTIFS(m_teacher,F$4,m_date,($G$2+0),m_active,1,m_start,"&lt;"&amp;840,m_end,"&gt;"&amp;780)&gt;1,"충돌",HYPERLINK("#'관리자_MASTER'!D"&amp;_xlfn.MAXIFS(m_row,m_teacher,F$4,m_date,($G$2+0),m_active,1,m_start,"&lt;"&amp;840,m_end,"&gt;"&amp;780),INDEX(m_label,_xlfn.MAXIFS(m_row,m_teacher,F$4,m_date,($G$2+0),m_active,1,m_start,"&lt;"&amp;840,m_end,"&gt;"&amp;780))))))</f>
        <v/>
      </c>
      <c r="G9" s="81" t="str">
        <f aca="false">IF(OR(G$4="",MONTH(($G$2+0))&lt;&gt;MONTH($C$2)),"",IF(COUNTIFS(m_teacher,G$4,m_date,($G$2+0),m_active,1,m_start,"&lt;"&amp;840,m_end,"&gt;"&amp;780)=0,"",IF(COUNTIFS(m_teacher,G$4,m_date,($G$2+0),m_active,1,m_start,"&lt;"&amp;840,m_end,"&gt;"&amp;780)&gt;1,"충돌",HYPERLINK("#'관리자_MASTER'!D"&amp;_xlfn.MAXIFS(m_row,m_teacher,G$4,m_date,($G$2+0),m_active,1,m_start,"&lt;"&amp;840,m_end,"&gt;"&amp;780),INDEX(m_label,_xlfn.MAXIFS(m_row,m_teacher,G$4,m_date,($G$2+0),m_active,1,m_start,"&lt;"&amp;840,m_end,"&gt;"&amp;780))))))</f>
        <v/>
      </c>
      <c r="H9" s="81" t="str">
        <f aca="false">IF(OR(H$4="",MONTH(($G$2+0))&lt;&gt;MONTH($C$2)),"",IF(COUNTIFS(m_teacher,H$4,m_date,($G$2+0),m_active,1,m_start,"&lt;"&amp;840,m_end,"&gt;"&amp;780)=0,"",IF(COUNTIFS(m_teacher,H$4,m_date,($G$2+0),m_active,1,m_start,"&lt;"&amp;840,m_end,"&gt;"&amp;780)&gt;1,"충돌",HYPERLINK("#'관리자_MASTER'!D"&amp;_xlfn.MAXIFS(m_row,m_teacher,H$4,m_date,($G$2+0),m_active,1,m_start,"&lt;"&amp;840,m_end,"&gt;"&amp;780),INDEX(m_label,_xlfn.MAXIFS(m_row,m_teacher,H$4,m_date,($G$2+0),m_active,1,m_start,"&lt;"&amp;840,m_end,"&gt;"&amp;780))))))</f>
        <v/>
      </c>
      <c r="I9" s="81" t="str">
        <f aca="false">IF(OR(I$4="",MONTH(($G$2+0))&lt;&gt;MONTH($C$2)),"",IF(COUNTIFS(m_teacher,I$4,m_date,($G$2+0),m_active,1,m_start,"&lt;"&amp;840,m_end,"&gt;"&amp;780)=0,"",IF(COUNTIFS(m_teacher,I$4,m_date,($G$2+0),m_active,1,m_start,"&lt;"&amp;840,m_end,"&gt;"&amp;780)&gt;1,"충돌",HYPERLINK("#'관리자_MASTER'!D"&amp;_xlfn.MAXIFS(m_row,m_teacher,I$4,m_date,($G$2+0),m_active,1,m_start,"&lt;"&amp;840,m_end,"&gt;"&amp;780),INDEX(m_label,_xlfn.MAXIFS(m_row,m_teacher,I$4,m_date,($G$2+0),m_active,1,m_start,"&lt;"&amp;840,m_end,"&gt;"&amp;780))))))</f>
        <v/>
      </c>
      <c r="J9" s="81" t="str">
        <f aca="false">IF(OR(J$4="",MONTH(($G$2+0))&lt;&gt;MONTH($C$2)),"",IF(COUNTIFS(m_teacher,J$4,m_date,($G$2+0),m_active,1,m_start,"&lt;"&amp;840,m_end,"&gt;"&amp;780)=0,"",IF(COUNTIFS(m_teacher,J$4,m_date,($G$2+0),m_active,1,m_start,"&lt;"&amp;840,m_end,"&gt;"&amp;780)&gt;1,"충돌",HYPERLINK("#'관리자_MASTER'!D"&amp;_xlfn.MAXIFS(m_row,m_teacher,J$4,m_date,($G$2+0),m_active,1,m_start,"&lt;"&amp;840,m_end,"&gt;"&amp;780),INDEX(m_label,_xlfn.MAXIFS(m_row,m_teacher,J$4,m_date,($G$2+0),m_active,1,m_start,"&lt;"&amp;840,m_end,"&gt;"&amp;780))))))</f>
        <v/>
      </c>
      <c r="K9" s="81" t="str">
        <f aca="false">IF(OR(K$4="",MONTH(($G$2+0))&lt;&gt;MONTH($C$2)),"",IF(COUNTIFS(m_teacher,K$4,m_date,($G$2+0),m_active,1,m_start,"&lt;"&amp;840,m_end,"&gt;"&amp;780)=0,"",IF(COUNTIFS(m_teacher,K$4,m_date,($G$2+0),m_active,1,m_start,"&lt;"&amp;840,m_end,"&gt;"&amp;780)&gt;1,"충돌",HYPERLINK("#'관리자_MASTER'!D"&amp;_xlfn.MAXIFS(m_row,m_teacher,K$4,m_date,($G$2+0),m_active,1,m_start,"&lt;"&amp;840,m_end,"&gt;"&amp;780),INDEX(m_label,_xlfn.MAXIFS(m_row,m_teacher,K$4,m_date,($G$2+0),m_active,1,m_start,"&lt;"&amp;840,m_end,"&gt;"&amp;780))))))</f>
        <v/>
      </c>
      <c r="L9" s="81" t="str">
        <f aca="false">IF(OR(L$4="",MONTH(($G$2+0))&lt;&gt;MONTH($C$2)),"",IF(COUNTIFS(m_teacher,L$4,m_date,($G$2+0),m_active,1,m_start,"&lt;"&amp;840,m_end,"&gt;"&amp;780)=0,"",IF(COUNTIFS(m_teacher,L$4,m_date,($G$2+0),m_active,1,m_start,"&lt;"&amp;840,m_end,"&gt;"&amp;780)&gt;1,"충돌",HYPERLINK("#'관리자_MASTER'!D"&amp;_xlfn.MAXIFS(m_row,m_teacher,L$4,m_date,($G$2+0),m_active,1,m_start,"&lt;"&amp;840,m_end,"&gt;"&amp;780),INDEX(m_label,_xlfn.MAXIFS(m_row,m_teacher,L$4,m_date,($G$2+0),m_active,1,m_start,"&lt;"&amp;840,m_end,"&gt;"&amp;780))))))</f>
        <v/>
      </c>
      <c r="M9" s="81" t="str">
        <f aca="false">IF(OR(M$4="",MONTH(($G$2+0))&lt;&gt;MONTH($C$2)),"",IF(COUNTIFS(m_teacher,M$4,m_date,($G$2+0),m_active,1,m_start,"&lt;"&amp;840,m_end,"&gt;"&amp;780)=0,"",IF(COUNTIFS(m_teacher,M$4,m_date,($G$2+0),m_active,1,m_start,"&lt;"&amp;840,m_end,"&gt;"&amp;780)&gt;1,"충돌",HYPERLINK("#'관리자_MASTER'!D"&amp;_xlfn.MAXIFS(m_row,m_teacher,M$4,m_date,($G$2+0),m_active,1,m_start,"&lt;"&amp;840,m_end,"&gt;"&amp;780),INDEX(m_label,_xlfn.MAXIFS(m_row,m_teacher,M$4,m_date,($G$2+0),m_active,1,m_start,"&lt;"&amp;840,m_end,"&gt;"&amp;780))))))</f>
        <v/>
      </c>
      <c r="N9" s="81" t="str">
        <f aca="false">IF(OR(N$4="",MONTH(($G$2+0))&lt;&gt;MONTH($C$2)),"",IF(COUNTIFS(m_teacher,N$4,m_date,($G$2+0),m_active,1,m_start,"&lt;"&amp;840,m_end,"&gt;"&amp;780)=0,"",IF(COUNTIFS(m_teacher,N$4,m_date,($G$2+0),m_active,1,m_start,"&lt;"&amp;840,m_end,"&gt;"&amp;780)&gt;1,"충돌",HYPERLINK("#'관리자_MASTER'!D"&amp;_xlfn.MAXIFS(m_row,m_teacher,N$4,m_date,($G$2+0),m_active,1,m_start,"&lt;"&amp;840,m_end,"&gt;"&amp;780),INDEX(m_label,_xlfn.MAXIFS(m_row,m_teacher,N$4,m_date,($G$2+0),m_active,1,m_start,"&lt;"&amp;840,m_end,"&gt;"&amp;780))))))</f>
        <v/>
      </c>
      <c r="O9" s="78"/>
      <c r="P9" s="79" t="s">
        <v>95</v>
      </c>
      <c r="Q9" s="82" t="str">
        <f aca="false">IF(OR(Q$4="",MONTH(($G$2+7))&lt;&gt;MONTH($C$2)),"",IF(COUNTIFS(m_teacher,Q$4,m_date,($G$2+7),m_active,1,m_start,"&lt;"&amp;840,m_end,"&gt;"&amp;780)=0,"",IF(COUNTIFS(m_teacher,Q$4,m_date,($G$2+7),m_active,1,m_start,"&lt;"&amp;840,m_end,"&gt;"&amp;780)&gt;1,"충돌",HYPERLINK("#'관리자_MASTER'!D"&amp;_xlfn.MAXIFS(m_row,m_teacher,Q$4,m_date,($G$2+7),m_active,1,m_start,"&lt;"&amp;840,m_end,"&gt;"&amp;780),INDEX(m_label,_xlfn.MAXIFS(m_row,m_teacher,Q$4,m_date,($G$2+7),m_active,1,m_start,"&lt;"&amp;840,m_end,"&gt;"&amp;780))))))</f>
        <v/>
      </c>
      <c r="R9" s="82" t="str">
        <f aca="false">IF(OR(R$4="",MONTH(($G$2+7))&lt;&gt;MONTH($C$2)),"",IF(COUNTIFS(m_teacher,R$4,m_date,($G$2+7),m_active,1,m_start,"&lt;"&amp;840,m_end,"&gt;"&amp;780)=0,"",IF(COUNTIFS(m_teacher,R$4,m_date,($G$2+7),m_active,1,m_start,"&lt;"&amp;840,m_end,"&gt;"&amp;780)&gt;1,"충돌",HYPERLINK("#'관리자_MASTER'!D"&amp;_xlfn.MAXIFS(m_row,m_teacher,R$4,m_date,($G$2+7),m_active,1,m_start,"&lt;"&amp;840,m_end,"&gt;"&amp;780),INDEX(m_label,_xlfn.MAXIFS(m_row,m_teacher,R$4,m_date,($G$2+7),m_active,1,m_start,"&lt;"&amp;840,m_end,"&gt;"&amp;780))))))</f>
        <v/>
      </c>
      <c r="S9" s="82" t="str">
        <f aca="false">IF(OR(S$4="",MONTH(($G$2+7))&lt;&gt;MONTH($C$2)),"",IF(COUNTIFS(m_teacher,S$4,m_date,($G$2+7),m_active,1,m_start,"&lt;"&amp;840,m_end,"&gt;"&amp;780)=0,"",IF(COUNTIFS(m_teacher,S$4,m_date,($G$2+7),m_active,1,m_start,"&lt;"&amp;840,m_end,"&gt;"&amp;780)&gt;1,"충돌",HYPERLINK("#'관리자_MASTER'!D"&amp;_xlfn.MAXIFS(m_row,m_teacher,S$4,m_date,($G$2+7),m_active,1,m_start,"&lt;"&amp;840,m_end,"&gt;"&amp;780),INDEX(m_label,_xlfn.MAXIFS(m_row,m_teacher,S$4,m_date,($G$2+7),m_active,1,m_start,"&lt;"&amp;840,m_end,"&gt;"&amp;780))))))</f>
        <v/>
      </c>
      <c r="T9" s="82" t="str">
        <f aca="false">IF(OR(T$4="",MONTH(($G$2+7))&lt;&gt;MONTH($C$2)),"",IF(COUNTIFS(m_teacher,T$4,m_date,($G$2+7),m_active,1,m_start,"&lt;"&amp;840,m_end,"&gt;"&amp;780)=0,"",IF(COUNTIFS(m_teacher,T$4,m_date,($G$2+7),m_active,1,m_start,"&lt;"&amp;840,m_end,"&gt;"&amp;780)&gt;1,"충돌",HYPERLINK("#'관리자_MASTER'!D"&amp;_xlfn.MAXIFS(m_row,m_teacher,T$4,m_date,($G$2+7),m_active,1,m_start,"&lt;"&amp;840,m_end,"&gt;"&amp;780),INDEX(m_label,_xlfn.MAXIFS(m_row,m_teacher,T$4,m_date,($G$2+7),m_active,1,m_start,"&lt;"&amp;840,m_end,"&gt;"&amp;780))))))</f>
        <v/>
      </c>
      <c r="U9" s="82" t="str">
        <f aca="false">IF(OR(U$4="",MONTH(($G$2+7))&lt;&gt;MONTH($C$2)),"",IF(COUNTIFS(m_teacher,U$4,m_date,($G$2+7),m_active,1,m_start,"&lt;"&amp;840,m_end,"&gt;"&amp;780)=0,"",IF(COUNTIFS(m_teacher,U$4,m_date,($G$2+7),m_active,1,m_start,"&lt;"&amp;840,m_end,"&gt;"&amp;780)&gt;1,"충돌",HYPERLINK("#'관리자_MASTER'!D"&amp;_xlfn.MAXIFS(m_row,m_teacher,U$4,m_date,($G$2+7),m_active,1,m_start,"&lt;"&amp;840,m_end,"&gt;"&amp;780),INDEX(m_label,_xlfn.MAXIFS(m_row,m_teacher,U$4,m_date,($G$2+7),m_active,1,m_start,"&lt;"&amp;840,m_end,"&gt;"&amp;780))))))</f>
        <v/>
      </c>
      <c r="V9" s="82" t="str">
        <f aca="false">IF(OR(V$4="",MONTH(($G$2+7))&lt;&gt;MONTH($C$2)),"",IF(COUNTIFS(m_teacher,V$4,m_date,($G$2+7),m_active,1,m_start,"&lt;"&amp;840,m_end,"&gt;"&amp;780)=0,"",IF(COUNTIFS(m_teacher,V$4,m_date,($G$2+7),m_active,1,m_start,"&lt;"&amp;840,m_end,"&gt;"&amp;780)&gt;1,"충돌",HYPERLINK("#'관리자_MASTER'!D"&amp;_xlfn.MAXIFS(m_row,m_teacher,V$4,m_date,($G$2+7),m_active,1,m_start,"&lt;"&amp;840,m_end,"&gt;"&amp;780),INDEX(m_label,_xlfn.MAXIFS(m_row,m_teacher,V$4,m_date,($G$2+7),m_active,1,m_start,"&lt;"&amp;840,m_end,"&gt;"&amp;780))))))</f>
        <v/>
      </c>
      <c r="W9" s="82" t="str">
        <f aca="false">IF(OR(W$4="",MONTH(($G$2+7))&lt;&gt;MONTH($C$2)),"",IF(COUNTIFS(m_teacher,W$4,m_date,($G$2+7),m_active,1,m_start,"&lt;"&amp;840,m_end,"&gt;"&amp;780)=0,"",IF(COUNTIFS(m_teacher,W$4,m_date,($G$2+7),m_active,1,m_start,"&lt;"&amp;840,m_end,"&gt;"&amp;780)&gt;1,"충돌",HYPERLINK("#'관리자_MASTER'!D"&amp;_xlfn.MAXIFS(m_row,m_teacher,W$4,m_date,($G$2+7),m_active,1,m_start,"&lt;"&amp;840,m_end,"&gt;"&amp;780),INDEX(m_label,_xlfn.MAXIFS(m_row,m_teacher,W$4,m_date,($G$2+7),m_active,1,m_start,"&lt;"&amp;840,m_end,"&gt;"&amp;780))))))</f>
        <v/>
      </c>
      <c r="X9" s="82" t="str">
        <f aca="false">IF(OR(X$4="",MONTH(($G$2+7))&lt;&gt;MONTH($C$2)),"",IF(COUNTIFS(m_teacher,X$4,m_date,($G$2+7),m_active,1,m_start,"&lt;"&amp;840,m_end,"&gt;"&amp;780)=0,"",IF(COUNTIFS(m_teacher,X$4,m_date,($G$2+7),m_active,1,m_start,"&lt;"&amp;840,m_end,"&gt;"&amp;780)&gt;1,"충돌",HYPERLINK("#'관리자_MASTER'!D"&amp;_xlfn.MAXIFS(m_row,m_teacher,X$4,m_date,($G$2+7),m_active,1,m_start,"&lt;"&amp;840,m_end,"&gt;"&amp;780),INDEX(m_label,_xlfn.MAXIFS(m_row,m_teacher,X$4,m_date,($G$2+7),m_active,1,m_start,"&lt;"&amp;840,m_end,"&gt;"&amp;780))))))</f>
        <v/>
      </c>
      <c r="Y9" s="82" t="str">
        <f aca="false">IF(OR(Y$4="",MONTH(($G$2+7))&lt;&gt;MONTH($C$2)),"",IF(COUNTIFS(m_teacher,Y$4,m_date,($G$2+7),m_active,1,m_start,"&lt;"&amp;840,m_end,"&gt;"&amp;780)=0,"",IF(COUNTIFS(m_teacher,Y$4,m_date,($G$2+7),m_active,1,m_start,"&lt;"&amp;840,m_end,"&gt;"&amp;780)&gt;1,"충돌",HYPERLINK("#'관리자_MASTER'!D"&amp;_xlfn.MAXIFS(m_row,m_teacher,Y$4,m_date,($G$2+7),m_active,1,m_start,"&lt;"&amp;840,m_end,"&gt;"&amp;780),INDEX(m_label,_xlfn.MAXIFS(m_row,m_teacher,Y$4,m_date,($G$2+7),m_active,1,m_start,"&lt;"&amp;840,m_end,"&gt;"&amp;780))))))</f>
        <v/>
      </c>
      <c r="Z9" s="82" t="str">
        <f aca="false">IF(OR(Z$4="",MONTH(($G$2+7))&lt;&gt;MONTH($C$2)),"",IF(COUNTIFS(m_teacher,Z$4,m_date,($G$2+7),m_active,1,m_start,"&lt;"&amp;840,m_end,"&gt;"&amp;780)=0,"",IF(COUNTIFS(m_teacher,Z$4,m_date,($G$2+7),m_active,1,m_start,"&lt;"&amp;840,m_end,"&gt;"&amp;780)&gt;1,"충돌",HYPERLINK("#'관리자_MASTER'!D"&amp;_xlfn.MAXIFS(m_row,m_teacher,Z$4,m_date,($G$2+7),m_active,1,m_start,"&lt;"&amp;840,m_end,"&gt;"&amp;780),INDEX(m_label,_xlfn.MAXIFS(m_row,m_teacher,Z$4,m_date,($G$2+7),m_active,1,m_start,"&lt;"&amp;840,m_end,"&gt;"&amp;780))))))</f>
        <v/>
      </c>
      <c r="AA9" s="82" t="str">
        <f aca="false">IF(OR(AA$4="",MONTH(($G$2+7))&lt;&gt;MONTH($C$2)),"",IF(COUNTIFS(m_teacher,AA$4,m_date,($G$2+7),m_active,1,m_start,"&lt;"&amp;840,m_end,"&gt;"&amp;780)=0,"",IF(COUNTIFS(m_teacher,AA$4,m_date,($G$2+7),m_active,1,m_start,"&lt;"&amp;840,m_end,"&gt;"&amp;780)&gt;1,"충돌",HYPERLINK("#'관리자_MASTER'!D"&amp;_xlfn.MAXIFS(m_row,m_teacher,AA$4,m_date,($G$2+7),m_active,1,m_start,"&lt;"&amp;840,m_end,"&gt;"&amp;780),INDEX(m_label,_xlfn.MAXIFS(m_row,m_teacher,AA$4,m_date,($G$2+7),m_active,1,m_start,"&lt;"&amp;840,m_end,"&gt;"&amp;780))))))</f>
        <v/>
      </c>
      <c r="AB9" s="82" t="str">
        <f aca="false">IF(OR(AB$4="",MONTH(($G$2+7))&lt;&gt;MONTH($C$2)),"",IF(COUNTIFS(m_teacher,AB$4,m_date,($G$2+7),m_active,1,m_start,"&lt;"&amp;840,m_end,"&gt;"&amp;780)=0,"",IF(COUNTIFS(m_teacher,AB$4,m_date,($G$2+7),m_active,1,m_start,"&lt;"&amp;840,m_end,"&gt;"&amp;780)&gt;1,"충돌",HYPERLINK("#'관리자_MASTER'!D"&amp;_xlfn.MAXIFS(m_row,m_teacher,AB$4,m_date,($G$2+7),m_active,1,m_start,"&lt;"&amp;840,m_end,"&gt;"&amp;780),INDEX(m_label,_xlfn.MAXIFS(m_row,m_teacher,AB$4,m_date,($G$2+7),m_active,1,m_start,"&lt;"&amp;840,m_end,"&gt;"&amp;780))))))</f>
        <v/>
      </c>
      <c r="AC9" s="78"/>
      <c r="AD9" s="79" t="s">
        <v>95</v>
      </c>
      <c r="AE9" s="82" t="str">
        <f aca="false">IF(OR(AE$4="",MONTH(($G$2+14))&lt;&gt;MONTH($C$2)),"",IF(COUNTIFS(m_teacher,AE$4,m_date,($G$2+14),m_active,1,m_start,"&lt;"&amp;840,m_end,"&gt;"&amp;780)=0,"",IF(COUNTIFS(m_teacher,AE$4,m_date,($G$2+14),m_active,1,m_start,"&lt;"&amp;840,m_end,"&gt;"&amp;780)&gt;1,"충돌",HYPERLINK("#'관리자_MASTER'!D"&amp;_xlfn.MAXIFS(m_row,m_teacher,AE$4,m_date,($G$2+14),m_active,1,m_start,"&lt;"&amp;840,m_end,"&gt;"&amp;780),INDEX(m_label,_xlfn.MAXIFS(m_row,m_teacher,AE$4,m_date,($G$2+14),m_active,1,m_start,"&lt;"&amp;840,m_end,"&gt;"&amp;780))))))</f>
        <v/>
      </c>
      <c r="AF9" s="82" t="str">
        <f aca="false">IF(OR(AF$4="",MONTH(($G$2+14))&lt;&gt;MONTH($C$2)),"",IF(COUNTIFS(m_teacher,AF$4,m_date,($G$2+14),m_active,1,m_start,"&lt;"&amp;840,m_end,"&gt;"&amp;780)=0,"",IF(COUNTIFS(m_teacher,AF$4,m_date,($G$2+14),m_active,1,m_start,"&lt;"&amp;840,m_end,"&gt;"&amp;780)&gt;1,"충돌",HYPERLINK("#'관리자_MASTER'!D"&amp;_xlfn.MAXIFS(m_row,m_teacher,AF$4,m_date,($G$2+14),m_active,1,m_start,"&lt;"&amp;840,m_end,"&gt;"&amp;780),INDEX(m_label,_xlfn.MAXIFS(m_row,m_teacher,AF$4,m_date,($G$2+14),m_active,1,m_start,"&lt;"&amp;840,m_end,"&gt;"&amp;780))))))</f>
        <v/>
      </c>
      <c r="AG9" s="82" t="str">
        <f aca="false">IF(OR(AG$4="",MONTH(($G$2+14))&lt;&gt;MONTH($C$2)),"",IF(COUNTIFS(m_teacher,AG$4,m_date,($G$2+14),m_active,1,m_start,"&lt;"&amp;840,m_end,"&gt;"&amp;780)=0,"",IF(COUNTIFS(m_teacher,AG$4,m_date,($G$2+14),m_active,1,m_start,"&lt;"&amp;840,m_end,"&gt;"&amp;780)&gt;1,"충돌",HYPERLINK("#'관리자_MASTER'!D"&amp;_xlfn.MAXIFS(m_row,m_teacher,AG$4,m_date,($G$2+14),m_active,1,m_start,"&lt;"&amp;840,m_end,"&gt;"&amp;780),INDEX(m_label,_xlfn.MAXIFS(m_row,m_teacher,AG$4,m_date,($G$2+14),m_active,1,m_start,"&lt;"&amp;840,m_end,"&gt;"&amp;780))))))</f>
        <v/>
      </c>
      <c r="AH9" s="82" t="str">
        <f aca="false">IF(OR(AH$4="",MONTH(($G$2+14))&lt;&gt;MONTH($C$2)),"",IF(COUNTIFS(m_teacher,AH$4,m_date,($G$2+14),m_active,1,m_start,"&lt;"&amp;840,m_end,"&gt;"&amp;780)=0,"",IF(COUNTIFS(m_teacher,AH$4,m_date,($G$2+14),m_active,1,m_start,"&lt;"&amp;840,m_end,"&gt;"&amp;780)&gt;1,"충돌",HYPERLINK("#'관리자_MASTER'!D"&amp;_xlfn.MAXIFS(m_row,m_teacher,AH$4,m_date,($G$2+14),m_active,1,m_start,"&lt;"&amp;840,m_end,"&gt;"&amp;780),INDEX(m_label,_xlfn.MAXIFS(m_row,m_teacher,AH$4,m_date,($G$2+14),m_active,1,m_start,"&lt;"&amp;840,m_end,"&gt;"&amp;780))))))</f>
        <v/>
      </c>
      <c r="AI9" s="82" t="str">
        <f aca="false">IF(OR(AI$4="",MONTH(($G$2+14))&lt;&gt;MONTH($C$2)),"",IF(COUNTIFS(m_teacher,AI$4,m_date,($G$2+14),m_active,1,m_start,"&lt;"&amp;840,m_end,"&gt;"&amp;780)=0,"",IF(COUNTIFS(m_teacher,AI$4,m_date,($G$2+14),m_active,1,m_start,"&lt;"&amp;840,m_end,"&gt;"&amp;780)&gt;1,"충돌",HYPERLINK("#'관리자_MASTER'!D"&amp;_xlfn.MAXIFS(m_row,m_teacher,AI$4,m_date,($G$2+14),m_active,1,m_start,"&lt;"&amp;840,m_end,"&gt;"&amp;780),INDEX(m_label,_xlfn.MAXIFS(m_row,m_teacher,AI$4,m_date,($G$2+14),m_active,1,m_start,"&lt;"&amp;840,m_end,"&gt;"&amp;780))))))</f>
        <v/>
      </c>
      <c r="AJ9" s="82" t="str">
        <f aca="false">IF(OR(AJ$4="",MONTH(($G$2+14))&lt;&gt;MONTH($C$2)),"",IF(COUNTIFS(m_teacher,AJ$4,m_date,($G$2+14),m_active,1,m_start,"&lt;"&amp;840,m_end,"&gt;"&amp;780)=0,"",IF(COUNTIFS(m_teacher,AJ$4,m_date,($G$2+14),m_active,1,m_start,"&lt;"&amp;840,m_end,"&gt;"&amp;780)&gt;1,"충돌",HYPERLINK("#'관리자_MASTER'!D"&amp;_xlfn.MAXIFS(m_row,m_teacher,AJ$4,m_date,($G$2+14),m_active,1,m_start,"&lt;"&amp;840,m_end,"&gt;"&amp;780),INDEX(m_label,_xlfn.MAXIFS(m_row,m_teacher,AJ$4,m_date,($G$2+14),m_active,1,m_start,"&lt;"&amp;840,m_end,"&gt;"&amp;780))))))</f>
        <v/>
      </c>
      <c r="AK9" s="82" t="str">
        <f aca="false">IF(OR(AK$4="",MONTH(($G$2+14))&lt;&gt;MONTH($C$2)),"",IF(COUNTIFS(m_teacher,AK$4,m_date,($G$2+14),m_active,1,m_start,"&lt;"&amp;840,m_end,"&gt;"&amp;780)=0,"",IF(COUNTIFS(m_teacher,AK$4,m_date,($G$2+14),m_active,1,m_start,"&lt;"&amp;840,m_end,"&gt;"&amp;780)&gt;1,"충돌",HYPERLINK("#'관리자_MASTER'!D"&amp;_xlfn.MAXIFS(m_row,m_teacher,AK$4,m_date,($G$2+14),m_active,1,m_start,"&lt;"&amp;840,m_end,"&gt;"&amp;780),INDEX(m_label,_xlfn.MAXIFS(m_row,m_teacher,AK$4,m_date,($G$2+14),m_active,1,m_start,"&lt;"&amp;840,m_end,"&gt;"&amp;780))))))</f>
        <v/>
      </c>
      <c r="AL9" s="82" t="str">
        <f aca="false">IF(OR(AL$4="",MONTH(($G$2+14))&lt;&gt;MONTH($C$2)),"",IF(COUNTIFS(m_teacher,AL$4,m_date,($G$2+14),m_active,1,m_start,"&lt;"&amp;840,m_end,"&gt;"&amp;780)=0,"",IF(COUNTIFS(m_teacher,AL$4,m_date,($G$2+14),m_active,1,m_start,"&lt;"&amp;840,m_end,"&gt;"&amp;780)&gt;1,"충돌",HYPERLINK("#'관리자_MASTER'!D"&amp;_xlfn.MAXIFS(m_row,m_teacher,AL$4,m_date,($G$2+14),m_active,1,m_start,"&lt;"&amp;840,m_end,"&gt;"&amp;780),INDEX(m_label,_xlfn.MAXIFS(m_row,m_teacher,AL$4,m_date,($G$2+14),m_active,1,m_start,"&lt;"&amp;840,m_end,"&gt;"&amp;780))))))</f>
        <v/>
      </c>
      <c r="AM9" s="82" t="str">
        <f aca="false">IF(OR(AM$4="",MONTH(($G$2+14))&lt;&gt;MONTH($C$2)),"",IF(COUNTIFS(m_teacher,AM$4,m_date,($G$2+14),m_active,1,m_start,"&lt;"&amp;840,m_end,"&gt;"&amp;780)=0,"",IF(COUNTIFS(m_teacher,AM$4,m_date,($G$2+14),m_active,1,m_start,"&lt;"&amp;840,m_end,"&gt;"&amp;780)&gt;1,"충돌",HYPERLINK("#'관리자_MASTER'!D"&amp;_xlfn.MAXIFS(m_row,m_teacher,AM$4,m_date,($G$2+14),m_active,1,m_start,"&lt;"&amp;840,m_end,"&gt;"&amp;780),INDEX(m_label,_xlfn.MAXIFS(m_row,m_teacher,AM$4,m_date,($G$2+14),m_active,1,m_start,"&lt;"&amp;840,m_end,"&gt;"&amp;780))))))</f>
        <v/>
      </c>
      <c r="AN9" s="82" t="str">
        <f aca="false">IF(OR(AN$4="",MONTH(($G$2+14))&lt;&gt;MONTH($C$2)),"",IF(COUNTIFS(m_teacher,AN$4,m_date,($G$2+14),m_active,1,m_start,"&lt;"&amp;840,m_end,"&gt;"&amp;780)=0,"",IF(COUNTIFS(m_teacher,AN$4,m_date,($G$2+14),m_active,1,m_start,"&lt;"&amp;840,m_end,"&gt;"&amp;780)&gt;1,"충돌",HYPERLINK("#'관리자_MASTER'!D"&amp;_xlfn.MAXIFS(m_row,m_teacher,AN$4,m_date,($G$2+14),m_active,1,m_start,"&lt;"&amp;840,m_end,"&gt;"&amp;780),INDEX(m_label,_xlfn.MAXIFS(m_row,m_teacher,AN$4,m_date,($G$2+14),m_active,1,m_start,"&lt;"&amp;840,m_end,"&gt;"&amp;780))))))</f>
        <v/>
      </c>
      <c r="AO9" s="82" t="str">
        <f aca="false">IF(OR(AO$4="",MONTH(($G$2+14))&lt;&gt;MONTH($C$2)),"",IF(COUNTIFS(m_teacher,AO$4,m_date,($G$2+14),m_active,1,m_start,"&lt;"&amp;840,m_end,"&gt;"&amp;780)=0,"",IF(COUNTIFS(m_teacher,AO$4,m_date,($G$2+14),m_active,1,m_start,"&lt;"&amp;840,m_end,"&gt;"&amp;780)&gt;1,"충돌",HYPERLINK("#'관리자_MASTER'!D"&amp;_xlfn.MAXIFS(m_row,m_teacher,AO$4,m_date,($G$2+14),m_active,1,m_start,"&lt;"&amp;840,m_end,"&gt;"&amp;780),INDEX(m_label,_xlfn.MAXIFS(m_row,m_teacher,AO$4,m_date,($G$2+14),m_active,1,m_start,"&lt;"&amp;840,m_end,"&gt;"&amp;780))))))</f>
        <v/>
      </c>
      <c r="AP9" s="82" t="str">
        <f aca="false">IF(OR(AP$4="",MONTH(($G$2+14))&lt;&gt;MONTH($C$2)),"",IF(COUNTIFS(m_teacher,AP$4,m_date,($G$2+14),m_active,1,m_start,"&lt;"&amp;840,m_end,"&gt;"&amp;780)=0,"",IF(COUNTIFS(m_teacher,AP$4,m_date,($G$2+14),m_active,1,m_start,"&lt;"&amp;840,m_end,"&gt;"&amp;780)&gt;1,"충돌",HYPERLINK("#'관리자_MASTER'!D"&amp;_xlfn.MAXIFS(m_row,m_teacher,AP$4,m_date,($G$2+14),m_active,1,m_start,"&lt;"&amp;840,m_end,"&gt;"&amp;780),INDEX(m_label,_xlfn.MAXIFS(m_row,m_teacher,AP$4,m_date,($G$2+14),m_active,1,m_start,"&lt;"&amp;840,m_end,"&gt;"&amp;780))))))</f>
        <v/>
      </c>
      <c r="AQ9" s="78"/>
      <c r="AR9" s="79" t="s">
        <v>95</v>
      </c>
      <c r="AS9" s="82" t="str">
        <f aca="false">IF(OR(AS$4="",MONTH(($G$2+21))&lt;&gt;MONTH($C$2)),"",IF(COUNTIFS(m_teacher,AS$4,m_date,($G$2+21),m_active,1,m_start,"&lt;"&amp;840,m_end,"&gt;"&amp;780)=0,"",IF(COUNTIFS(m_teacher,AS$4,m_date,($G$2+21),m_active,1,m_start,"&lt;"&amp;840,m_end,"&gt;"&amp;780)&gt;1,"충돌",HYPERLINK("#'관리자_MASTER'!D"&amp;_xlfn.MAXIFS(m_row,m_teacher,AS$4,m_date,($G$2+21),m_active,1,m_start,"&lt;"&amp;840,m_end,"&gt;"&amp;780),INDEX(m_label,_xlfn.MAXIFS(m_row,m_teacher,AS$4,m_date,($G$2+21),m_active,1,m_start,"&lt;"&amp;840,m_end,"&gt;"&amp;780))))))</f>
        <v/>
      </c>
      <c r="AT9" s="82" t="str">
        <f aca="false">IF(OR(AT$4="",MONTH(($G$2+21))&lt;&gt;MONTH($C$2)),"",IF(COUNTIFS(m_teacher,AT$4,m_date,($G$2+21),m_active,1,m_start,"&lt;"&amp;840,m_end,"&gt;"&amp;780)=0,"",IF(COUNTIFS(m_teacher,AT$4,m_date,($G$2+21),m_active,1,m_start,"&lt;"&amp;840,m_end,"&gt;"&amp;780)&gt;1,"충돌",HYPERLINK("#'관리자_MASTER'!D"&amp;_xlfn.MAXIFS(m_row,m_teacher,AT$4,m_date,($G$2+21),m_active,1,m_start,"&lt;"&amp;840,m_end,"&gt;"&amp;780),INDEX(m_label,_xlfn.MAXIFS(m_row,m_teacher,AT$4,m_date,($G$2+21),m_active,1,m_start,"&lt;"&amp;840,m_end,"&gt;"&amp;780))))))</f>
        <v/>
      </c>
      <c r="AU9" s="82" t="str">
        <f aca="false">IF(OR(AU$4="",MONTH(($G$2+21))&lt;&gt;MONTH($C$2)),"",IF(COUNTIFS(m_teacher,AU$4,m_date,($G$2+21),m_active,1,m_start,"&lt;"&amp;840,m_end,"&gt;"&amp;780)=0,"",IF(COUNTIFS(m_teacher,AU$4,m_date,($G$2+21),m_active,1,m_start,"&lt;"&amp;840,m_end,"&gt;"&amp;780)&gt;1,"충돌",HYPERLINK("#'관리자_MASTER'!D"&amp;_xlfn.MAXIFS(m_row,m_teacher,AU$4,m_date,($G$2+21),m_active,1,m_start,"&lt;"&amp;840,m_end,"&gt;"&amp;780),INDEX(m_label,_xlfn.MAXIFS(m_row,m_teacher,AU$4,m_date,($G$2+21),m_active,1,m_start,"&lt;"&amp;840,m_end,"&gt;"&amp;780))))))</f>
        <v/>
      </c>
      <c r="AV9" s="82" t="str">
        <f aca="false">IF(OR(AV$4="",MONTH(($G$2+21))&lt;&gt;MONTH($C$2)),"",IF(COUNTIFS(m_teacher,AV$4,m_date,($G$2+21),m_active,1,m_start,"&lt;"&amp;840,m_end,"&gt;"&amp;780)=0,"",IF(COUNTIFS(m_teacher,AV$4,m_date,($G$2+21),m_active,1,m_start,"&lt;"&amp;840,m_end,"&gt;"&amp;780)&gt;1,"충돌",HYPERLINK("#'관리자_MASTER'!D"&amp;_xlfn.MAXIFS(m_row,m_teacher,AV$4,m_date,($G$2+21),m_active,1,m_start,"&lt;"&amp;840,m_end,"&gt;"&amp;780),INDEX(m_label,_xlfn.MAXIFS(m_row,m_teacher,AV$4,m_date,($G$2+21),m_active,1,m_start,"&lt;"&amp;840,m_end,"&gt;"&amp;780))))))</f>
        <v/>
      </c>
      <c r="AW9" s="82" t="str">
        <f aca="false">IF(OR(AW$4="",MONTH(($G$2+21))&lt;&gt;MONTH($C$2)),"",IF(COUNTIFS(m_teacher,AW$4,m_date,($G$2+21),m_active,1,m_start,"&lt;"&amp;840,m_end,"&gt;"&amp;780)=0,"",IF(COUNTIFS(m_teacher,AW$4,m_date,($G$2+21),m_active,1,m_start,"&lt;"&amp;840,m_end,"&gt;"&amp;780)&gt;1,"충돌",HYPERLINK("#'관리자_MASTER'!D"&amp;_xlfn.MAXIFS(m_row,m_teacher,AW$4,m_date,($G$2+21),m_active,1,m_start,"&lt;"&amp;840,m_end,"&gt;"&amp;780),INDEX(m_label,_xlfn.MAXIFS(m_row,m_teacher,AW$4,m_date,($G$2+21),m_active,1,m_start,"&lt;"&amp;840,m_end,"&gt;"&amp;780))))))</f>
        <v/>
      </c>
      <c r="AX9" s="82" t="str">
        <f aca="false">IF(OR(AX$4="",MONTH(($G$2+21))&lt;&gt;MONTH($C$2)),"",IF(COUNTIFS(m_teacher,AX$4,m_date,($G$2+21),m_active,1,m_start,"&lt;"&amp;840,m_end,"&gt;"&amp;780)=0,"",IF(COUNTIFS(m_teacher,AX$4,m_date,($G$2+21),m_active,1,m_start,"&lt;"&amp;840,m_end,"&gt;"&amp;780)&gt;1,"충돌",HYPERLINK("#'관리자_MASTER'!D"&amp;_xlfn.MAXIFS(m_row,m_teacher,AX$4,m_date,($G$2+21),m_active,1,m_start,"&lt;"&amp;840,m_end,"&gt;"&amp;780),INDEX(m_label,_xlfn.MAXIFS(m_row,m_teacher,AX$4,m_date,($G$2+21),m_active,1,m_start,"&lt;"&amp;840,m_end,"&gt;"&amp;780))))))</f>
        <v/>
      </c>
      <c r="AY9" s="82" t="str">
        <f aca="false">IF(OR(AY$4="",MONTH(($G$2+21))&lt;&gt;MONTH($C$2)),"",IF(COUNTIFS(m_teacher,AY$4,m_date,($G$2+21),m_active,1,m_start,"&lt;"&amp;840,m_end,"&gt;"&amp;780)=0,"",IF(COUNTIFS(m_teacher,AY$4,m_date,($G$2+21),m_active,1,m_start,"&lt;"&amp;840,m_end,"&gt;"&amp;780)&gt;1,"충돌",HYPERLINK("#'관리자_MASTER'!D"&amp;_xlfn.MAXIFS(m_row,m_teacher,AY$4,m_date,($G$2+21),m_active,1,m_start,"&lt;"&amp;840,m_end,"&gt;"&amp;780),INDEX(m_label,_xlfn.MAXIFS(m_row,m_teacher,AY$4,m_date,($G$2+21),m_active,1,m_start,"&lt;"&amp;840,m_end,"&gt;"&amp;780))))))</f>
        <v/>
      </c>
      <c r="AZ9" s="82" t="str">
        <f aca="false">IF(OR(AZ$4="",MONTH(($G$2+21))&lt;&gt;MONTH($C$2)),"",IF(COUNTIFS(m_teacher,AZ$4,m_date,($G$2+21),m_active,1,m_start,"&lt;"&amp;840,m_end,"&gt;"&amp;780)=0,"",IF(COUNTIFS(m_teacher,AZ$4,m_date,($G$2+21),m_active,1,m_start,"&lt;"&amp;840,m_end,"&gt;"&amp;780)&gt;1,"충돌",HYPERLINK("#'관리자_MASTER'!D"&amp;_xlfn.MAXIFS(m_row,m_teacher,AZ$4,m_date,($G$2+21),m_active,1,m_start,"&lt;"&amp;840,m_end,"&gt;"&amp;780),INDEX(m_label,_xlfn.MAXIFS(m_row,m_teacher,AZ$4,m_date,($G$2+21),m_active,1,m_start,"&lt;"&amp;840,m_end,"&gt;"&amp;780))))))</f>
        <v/>
      </c>
      <c r="BA9" s="82" t="str">
        <f aca="false">IF(OR(BA$4="",MONTH(($G$2+21))&lt;&gt;MONTH($C$2)),"",IF(COUNTIFS(m_teacher,BA$4,m_date,($G$2+21),m_active,1,m_start,"&lt;"&amp;840,m_end,"&gt;"&amp;780)=0,"",IF(COUNTIFS(m_teacher,BA$4,m_date,($G$2+21),m_active,1,m_start,"&lt;"&amp;840,m_end,"&gt;"&amp;780)&gt;1,"충돌",HYPERLINK("#'관리자_MASTER'!D"&amp;_xlfn.MAXIFS(m_row,m_teacher,BA$4,m_date,($G$2+21),m_active,1,m_start,"&lt;"&amp;840,m_end,"&gt;"&amp;780),INDEX(m_label,_xlfn.MAXIFS(m_row,m_teacher,BA$4,m_date,($G$2+21),m_active,1,m_start,"&lt;"&amp;840,m_end,"&gt;"&amp;780))))))</f>
        <v/>
      </c>
      <c r="BB9" s="82" t="str">
        <f aca="false">IF(OR(BB$4="",MONTH(($G$2+21))&lt;&gt;MONTH($C$2)),"",IF(COUNTIFS(m_teacher,BB$4,m_date,($G$2+21),m_active,1,m_start,"&lt;"&amp;840,m_end,"&gt;"&amp;780)=0,"",IF(COUNTIFS(m_teacher,BB$4,m_date,($G$2+21),m_active,1,m_start,"&lt;"&amp;840,m_end,"&gt;"&amp;780)&gt;1,"충돌",HYPERLINK("#'관리자_MASTER'!D"&amp;_xlfn.MAXIFS(m_row,m_teacher,BB$4,m_date,($G$2+21),m_active,1,m_start,"&lt;"&amp;840,m_end,"&gt;"&amp;780),INDEX(m_label,_xlfn.MAXIFS(m_row,m_teacher,BB$4,m_date,($G$2+21),m_active,1,m_start,"&lt;"&amp;840,m_end,"&gt;"&amp;780))))))</f>
        <v/>
      </c>
      <c r="BC9" s="82" t="str">
        <f aca="false">IF(OR(BC$4="",MONTH(($G$2+21))&lt;&gt;MONTH($C$2)),"",IF(COUNTIFS(m_teacher,BC$4,m_date,($G$2+21),m_active,1,m_start,"&lt;"&amp;840,m_end,"&gt;"&amp;780)=0,"",IF(COUNTIFS(m_teacher,BC$4,m_date,($G$2+21),m_active,1,m_start,"&lt;"&amp;840,m_end,"&gt;"&amp;780)&gt;1,"충돌",HYPERLINK("#'관리자_MASTER'!D"&amp;_xlfn.MAXIFS(m_row,m_teacher,BC$4,m_date,($G$2+21),m_active,1,m_start,"&lt;"&amp;840,m_end,"&gt;"&amp;780),INDEX(m_label,_xlfn.MAXIFS(m_row,m_teacher,BC$4,m_date,($G$2+21),m_active,1,m_start,"&lt;"&amp;840,m_end,"&gt;"&amp;780))))))</f>
        <v/>
      </c>
      <c r="BD9" s="82" t="str">
        <f aca="false">IF(OR(BD$4="",MONTH(($G$2+21))&lt;&gt;MONTH($C$2)),"",IF(COUNTIFS(m_teacher,BD$4,m_date,($G$2+21),m_active,1,m_start,"&lt;"&amp;840,m_end,"&gt;"&amp;780)=0,"",IF(COUNTIFS(m_teacher,BD$4,m_date,($G$2+21),m_active,1,m_start,"&lt;"&amp;840,m_end,"&gt;"&amp;780)&gt;1,"충돌",HYPERLINK("#'관리자_MASTER'!D"&amp;_xlfn.MAXIFS(m_row,m_teacher,BD$4,m_date,($G$2+21),m_active,1,m_start,"&lt;"&amp;840,m_end,"&gt;"&amp;780),INDEX(m_label,_xlfn.MAXIFS(m_row,m_teacher,BD$4,m_date,($G$2+21),m_active,1,m_start,"&lt;"&amp;840,m_end,"&gt;"&amp;780))))))</f>
        <v/>
      </c>
      <c r="BE9" s="78"/>
      <c r="BF9" s="79" t="s">
        <v>95</v>
      </c>
      <c r="BG9" s="82" t="str">
        <f aca="false">IF(OR(BG$4="",MONTH(($G$2+28))&lt;&gt;MONTH($C$2)),"",IF(COUNTIFS(m_teacher,BG$4,m_date,($G$2+28),m_active,1,m_start,"&lt;"&amp;840,m_end,"&gt;"&amp;780)=0,"",IF(COUNTIFS(m_teacher,BG$4,m_date,($G$2+28),m_active,1,m_start,"&lt;"&amp;840,m_end,"&gt;"&amp;780)&gt;1,"충돌",HYPERLINK("#'관리자_MASTER'!D"&amp;_xlfn.MAXIFS(m_row,m_teacher,BG$4,m_date,($G$2+28),m_active,1,m_start,"&lt;"&amp;840,m_end,"&gt;"&amp;780),INDEX(m_label,_xlfn.MAXIFS(m_row,m_teacher,BG$4,m_date,($G$2+28),m_active,1,m_start,"&lt;"&amp;840,m_end,"&gt;"&amp;780))))))</f>
        <v/>
      </c>
      <c r="BH9" s="82" t="str">
        <f aca="false">IF(OR(BH$4="",MONTH(($G$2+28))&lt;&gt;MONTH($C$2)),"",IF(COUNTIFS(m_teacher,BH$4,m_date,($G$2+28),m_active,1,m_start,"&lt;"&amp;840,m_end,"&gt;"&amp;780)=0,"",IF(COUNTIFS(m_teacher,BH$4,m_date,($G$2+28),m_active,1,m_start,"&lt;"&amp;840,m_end,"&gt;"&amp;780)&gt;1,"충돌",HYPERLINK("#'관리자_MASTER'!D"&amp;_xlfn.MAXIFS(m_row,m_teacher,BH$4,m_date,($G$2+28),m_active,1,m_start,"&lt;"&amp;840,m_end,"&gt;"&amp;780),INDEX(m_label,_xlfn.MAXIFS(m_row,m_teacher,BH$4,m_date,($G$2+28),m_active,1,m_start,"&lt;"&amp;840,m_end,"&gt;"&amp;780))))))</f>
        <v/>
      </c>
      <c r="BI9" s="82" t="str">
        <f aca="false">IF(OR(BI$4="",MONTH(($G$2+28))&lt;&gt;MONTH($C$2)),"",IF(COUNTIFS(m_teacher,BI$4,m_date,($G$2+28),m_active,1,m_start,"&lt;"&amp;840,m_end,"&gt;"&amp;780)=0,"",IF(COUNTIFS(m_teacher,BI$4,m_date,($G$2+28),m_active,1,m_start,"&lt;"&amp;840,m_end,"&gt;"&amp;780)&gt;1,"충돌",HYPERLINK("#'관리자_MASTER'!D"&amp;_xlfn.MAXIFS(m_row,m_teacher,BI$4,m_date,($G$2+28),m_active,1,m_start,"&lt;"&amp;840,m_end,"&gt;"&amp;780),INDEX(m_label,_xlfn.MAXIFS(m_row,m_teacher,BI$4,m_date,($G$2+28),m_active,1,m_start,"&lt;"&amp;840,m_end,"&gt;"&amp;780))))))</f>
        <v/>
      </c>
      <c r="BJ9" s="82" t="str">
        <f aca="false">IF(OR(BJ$4="",MONTH(($G$2+28))&lt;&gt;MONTH($C$2)),"",IF(COUNTIFS(m_teacher,BJ$4,m_date,($G$2+28),m_active,1,m_start,"&lt;"&amp;840,m_end,"&gt;"&amp;780)=0,"",IF(COUNTIFS(m_teacher,BJ$4,m_date,($G$2+28),m_active,1,m_start,"&lt;"&amp;840,m_end,"&gt;"&amp;780)&gt;1,"충돌",HYPERLINK("#'관리자_MASTER'!D"&amp;_xlfn.MAXIFS(m_row,m_teacher,BJ$4,m_date,($G$2+28),m_active,1,m_start,"&lt;"&amp;840,m_end,"&gt;"&amp;780),INDEX(m_label,_xlfn.MAXIFS(m_row,m_teacher,BJ$4,m_date,($G$2+28),m_active,1,m_start,"&lt;"&amp;840,m_end,"&gt;"&amp;780))))))</f>
        <v/>
      </c>
      <c r="BK9" s="82" t="str">
        <f aca="false">IF(OR(BK$4="",MONTH(($G$2+28))&lt;&gt;MONTH($C$2)),"",IF(COUNTIFS(m_teacher,BK$4,m_date,($G$2+28),m_active,1,m_start,"&lt;"&amp;840,m_end,"&gt;"&amp;780)=0,"",IF(COUNTIFS(m_teacher,BK$4,m_date,($G$2+28),m_active,1,m_start,"&lt;"&amp;840,m_end,"&gt;"&amp;780)&gt;1,"충돌",HYPERLINK("#'관리자_MASTER'!D"&amp;_xlfn.MAXIFS(m_row,m_teacher,BK$4,m_date,($G$2+28),m_active,1,m_start,"&lt;"&amp;840,m_end,"&gt;"&amp;780),INDEX(m_label,_xlfn.MAXIFS(m_row,m_teacher,BK$4,m_date,($G$2+28),m_active,1,m_start,"&lt;"&amp;840,m_end,"&gt;"&amp;780))))))</f>
        <v/>
      </c>
      <c r="BL9" s="82" t="str">
        <f aca="false">IF(OR(BL$4="",MONTH(($G$2+28))&lt;&gt;MONTH($C$2)),"",IF(COUNTIFS(m_teacher,BL$4,m_date,($G$2+28),m_active,1,m_start,"&lt;"&amp;840,m_end,"&gt;"&amp;780)=0,"",IF(COUNTIFS(m_teacher,BL$4,m_date,($G$2+28),m_active,1,m_start,"&lt;"&amp;840,m_end,"&gt;"&amp;780)&gt;1,"충돌",HYPERLINK("#'관리자_MASTER'!D"&amp;_xlfn.MAXIFS(m_row,m_teacher,BL$4,m_date,($G$2+28),m_active,1,m_start,"&lt;"&amp;840,m_end,"&gt;"&amp;780),INDEX(m_label,_xlfn.MAXIFS(m_row,m_teacher,BL$4,m_date,($G$2+28),m_active,1,m_start,"&lt;"&amp;840,m_end,"&gt;"&amp;780))))))</f>
        <v/>
      </c>
      <c r="BM9" s="82" t="str">
        <f aca="false">IF(OR(BM$4="",MONTH(($G$2+28))&lt;&gt;MONTH($C$2)),"",IF(COUNTIFS(m_teacher,BM$4,m_date,($G$2+28),m_active,1,m_start,"&lt;"&amp;840,m_end,"&gt;"&amp;780)=0,"",IF(COUNTIFS(m_teacher,BM$4,m_date,($G$2+28),m_active,1,m_start,"&lt;"&amp;840,m_end,"&gt;"&amp;780)&gt;1,"충돌",HYPERLINK("#'관리자_MASTER'!D"&amp;_xlfn.MAXIFS(m_row,m_teacher,BM$4,m_date,($G$2+28),m_active,1,m_start,"&lt;"&amp;840,m_end,"&gt;"&amp;780),INDEX(m_label,_xlfn.MAXIFS(m_row,m_teacher,BM$4,m_date,($G$2+28),m_active,1,m_start,"&lt;"&amp;840,m_end,"&gt;"&amp;780))))))</f>
        <v/>
      </c>
      <c r="BN9" s="82" t="str">
        <f aca="false">IF(OR(BN$4="",MONTH(($G$2+28))&lt;&gt;MONTH($C$2)),"",IF(COUNTIFS(m_teacher,BN$4,m_date,($G$2+28),m_active,1,m_start,"&lt;"&amp;840,m_end,"&gt;"&amp;780)=0,"",IF(COUNTIFS(m_teacher,BN$4,m_date,($G$2+28),m_active,1,m_start,"&lt;"&amp;840,m_end,"&gt;"&amp;780)&gt;1,"충돌",HYPERLINK("#'관리자_MASTER'!D"&amp;_xlfn.MAXIFS(m_row,m_teacher,BN$4,m_date,($G$2+28),m_active,1,m_start,"&lt;"&amp;840,m_end,"&gt;"&amp;780),INDEX(m_label,_xlfn.MAXIFS(m_row,m_teacher,BN$4,m_date,($G$2+28),m_active,1,m_start,"&lt;"&amp;840,m_end,"&gt;"&amp;780))))))</f>
        <v/>
      </c>
      <c r="BO9" s="82" t="str">
        <f aca="false">IF(OR(BO$4="",MONTH(($G$2+28))&lt;&gt;MONTH($C$2)),"",IF(COUNTIFS(m_teacher,BO$4,m_date,($G$2+28),m_active,1,m_start,"&lt;"&amp;840,m_end,"&gt;"&amp;780)=0,"",IF(COUNTIFS(m_teacher,BO$4,m_date,($G$2+28),m_active,1,m_start,"&lt;"&amp;840,m_end,"&gt;"&amp;780)&gt;1,"충돌",HYPERLINK("#'관리자_MASTER'!D"&amp;_xlfn.MAXIFS(m_row,m_teacher,BO$4,m_date,($G$2+28),m_active,1,m_start,"&lt;"&amp;840,m_end,"&gt;"&amp;780),INDEX(m_label,_xlfn.MAXIFS(m_row,m_teacher,BO$4,m_date,($G$2+28),m_active,1,m_start,"&lt;"&amp;840,m_end,"&gt;"&amp;780))))))</f>
        <v/>
      </c>
      <c r="BP9" s="82" t="str">
        <f aca="false">IF(OR(BP$4="",MONTH(($G$2+28))&lt;&gt;MONTH($C$2)),"",IF(COUNTIFS(m_teacher,BP$4,m_date,($G$2+28),m_active,1,m_start,"&lt;"&amp;840,m_end,"&gt;"&amp;780)=0,"",IF(COUNTIFS(m_teacher,BP$4,m_date,($G$2+28),m_active,1,m_start,"&lt;"&amp;840,m_end,"&gt;"&amp;780)&gt;1,"충돌",HYPERLINK("#'관리자_MASTER'!D"&amp;_xlfn.MAXIFS(m_row,m_teacher,BP$4,m_date,($G$2+28),m_active,1,m_start,"&lt;"&amp;840,m_end,"&gt;"&amp;780),INDEX(m_label,_xlfn.MAXIFS(m_row,m_teacher,BP$4,m_date,($G$2+28),m_active,1,m_start,"&lt;"&amp;840,m_end,"&gt;"&amp;780))))))</f>
        <v/>
      </c>
      <c r="BQ9" s="82" t="str">
        <f aca="false">IF(OR(BQ$4="",MONTH(($G$2+28))&lt;&gt;MONTH($C$2)),"",IF(COUNTIFS(m_teacher,BQ$4,m_date,($G$2+28),m_active,1,m_start,"&lt;"&amp;840,m_end,"&gt;"&amp;780)=0,"",IF(COUNTIFS(m_teacher,BQ$4,m_date,($G$2+28),m_active,1,m_start,"&lt;"&amp;840,m_end,"&gt;"&amp;780)&gt;1,"충돌",HYPERLINK("#'관리자_MASTER'!D"&amp;_xlfn.MAXIFS(m_row,m_teacher,BQ$4,m_date,($G$2+28),m_active,1,m_start,"&lt;"&amp;840,m_end,"&gt;"&amp;780),INDEX(m_label,_xlfn.MAXIFS(m_row,m_teacher,BQ$4,m_date,($G$2+28),m_active,1,m_start,"&lt;"&amp;840,m_end,"&gt;"&amp;780))))))</f>
        <v/>
      </c>
      <c r="BR9" s="82" t="str">
        <f aca="false">IF(OR(BR$4="",MONTH(($G$2+28))&lt;&gt;MONTH($C$2)),"",IF(COUNTIFS(m_teacher,BR$4,m_date,($G$2+28),m_active,1,m_start,"&lt;"&amp;840,m_end,"&gt;"&amp;780)=0,"",IF(COUNTIFS(m_teacher,BR$4,m_date,($G$2+28),m_active,1,m_start,"&lt;"&amp;840,m_end,"&gt;"&amp;780)&gt;1,"충돌",HYPERLINK("#'관리자_MASTER'!D"&amp;_xlfn.MAXIFS(m_row,m_teacher,BR$4,m_date,($G$2+28),m_active,1,m_start,"&lt;"&amp;840,m_end,"&gt;"&amp;780),INDEX(m_label,_xlfn.MAXIFS(m_row,m_teacher,BR$4,m_date,($G$2+28),m_active,1,m_start,"&lt;"&amp;840,m_end,"&gt;"&amp;780))))))</f>
        <v/>
      </c>
    </row>
    <row r="10" customFormat="false" ht="19.5" hidden="false" customHeight="true" outlineLevel="0" collapsed="false">
      <c r="A10" s="75"/>
      <c r="B10" s="76" t="s">
        <v>96</v>
      </c>
      <c r="C10" s="81" t="str">
        <f aca="false">IF(OR(C$4="",MONTH(($G$2+0))&lt;&gt;MONTH($C$2)),"",IF(COUNTIFS(m_teacher,C$4,m_date,($G$2+0),m_active,1,m_start,"&lt;"&amp;900,m_end,"&gt;"&amp;840)=0,"",IF(COUNTIFS(m_teacher,C$4,m_date,($G$2+0),m_active,1,m_start,"&lt;"&amp;900,m_end,"&gt;"&amp;840)&gt;1,"충돌",HYPERLINK("#'관리자_MASTER'!D"&amp;_xlfn.MAXIFS(m_row,m_teacher,C$4,m_date,($G$2+0),m_active,1,m_start,"&lt;"&amp;900,m_end,"&gt;"&amp;840),INDEX(m_label,_xlfn.MAXIFS(m_row,m_teacher,C$4,m_date,($G$2+0),m_active,1,m_start,"&lt;"&amp;900,m_end,"&gt;"&amp;840))))))</f>
        <v/>
      </c>
      <c r="D10" s="81" t="str">
        <f aca="false">IF(OR(D$4="",MONTH(($G$2+0))&lt;&gt;MONTH($C$2)),"",IF(COUNTIFS(m_teacher,D$4,m_date,($G$2+0),m_active,1,m_start,"&lt;"&amp;900,m_end,"&gt;"&amp;840)=0,"",IF(COUNTIFS(m_teacher,D$4,m_date,($G$2+0),m_active,1,m_start,"&lt;"&amp;900,m_end,"&gt;"&amp;840)&gt;1,"충돌",HYPERLINK("#'관리자_MASTER'!D"&amp;_xlfn.MAXIFS(m_row,m_teacher,D$4,m_date,($G$2+0),m_active,1,m_start,"&lt;"&amp;900,m_end,"&gt;"&amp;840),INDEX(m_label,_xlfn.MAXIFS(m_row,m_teacher,D$4,m_date,($G$2+0),m_active,1,m_start,"&lt;"&amp;900,m_end,"&gt;"&amp;840))))))</f>
        <v/>
      </c>
      <c r="E10" s="81" t="str">
        <f aca="false">IF(OR(E$4="",MONTH(($G$2+0))&lt;&gt;MONTH($C$2)),"",IF(COUNTIFS(m_teacher,E$4,m_date,($G$2+0),m_active,1,m_start,"&lt;"&amp;900,m_end,"&gt;"&amp;840)=0,"",IF(COUNTIFS(m_teacher,E$4,m_date,($G$2+0),m_active,1,m_start,"&lt;"&amp;900,m_end,"&gt;"&amp;840)&gt;1,"충돌",HYPERLINK("#'관리자_MASTER'!D"&amp;_xlfn.MAXIFS(m_row,m_teacher,E$4,m_date,($G$2+0),m_active,1,m_start,"&lt;"&amp;900,m_end,"&gt;"&amp;840),INDEX(m_label,_xlfn.MAXIFS(m_row,m_teacher,E$4,m_date,($G$2+0),m_active,1,m_start,"&lt;"&amp;900,m_end,"&gt;"&amp;840))))))</f>
        <v/>
      </c>
      <c r="F10" s="81" t="str">
        <f aca="false">IF(OR(F$4="",MONTH(($G$2+0))&lt;&gt;MONTH($C$2)),"",IF(COUNTIFS(m_teacher,F$4,m_date,($G$2+0),m_active,1,m_start,"&lt;"&amp;900,m_end,"&gt;"&amp;840)=0,"",IF(COUNTIFS(m_teacher,F$4,m_date,($G$2+0),m_active,1,m_start,"&lt;"&amp;900,m_end,"&gt;"&amp;840)&gt;1,"충돌",HYPERLINK("#'관리자_MASTER'!D"&amp;_xlfn.MAXIFS(m_row,m_teacher,F$4,m_date,($G$2+0),m_active,1,m_start,"&lt;"&amp;900,m_end,"&gt;"&amp;840),INDEX(m_label,_xlfn.MAXIFS(m_row,m_teacher,F$4,m_date,($G$2+0),m_active,1,m_start,"&lt;"&amp;900,m_end,"&gt;"&amp;840))))))</f>
        <v/>
      </c>
      <c r="G10" s="81" t="str">
        <f aca="false">IF(OR(G$4="",MONTH(($G$2+0))&lt;&gt;MONTH($C$2)),"",IF(COUNTIFS(m_teacher,G$4,m_date,($G$2+0),m_active,1,m_start,"&lt;"&amp;900,m_end,"&gt;"&amp;840)=0,"",IF(COUNTIFS(m_teacher,G$4,m_date,($G$2+0),m_active,1,m_start,"&lt;"&amp;900,m_end,"&gt;"&amp;840)&gt;1,"충돌",HYPERLINK("#'관리자_MASTER'!D"&amp;_xlfn.MAXIFS(m_row,m_teacher,G$4,m_date,($G$2+0),m_active,1,m_start,"&lt;"&amp;900,m_end,"&gt;"&amp;840),INDEX(m_label,_xlfn.MAXIFS(m_row,m_teacher,G$4,m_date,($G$2+0),m_active,1,m_start,"&lt;"&amp;900,m_end,"&gt;"&amp;840))))))</f>
        <v/>
      </c>
      <c r="H10" s="81" t="str">
        <f aca="false">IF(OR(H$4="",MONTH(($G$2+0))&lt;&gt;MONTH($C$2)),"",IF(COUNTIFS(m_teacher,H$4,m_date,($G$2+0),m_active,1,m_start,"&lt;"&amp;900,m_end,"&gt;"&amp;840)=0,"",IF(COUNTIFS(m_teacher,H$4,m_date,($G$2+0),m_active,1,m_start,"&lt;"&amp;900,m_end,"&gt;"&amp;840)&gt;1,"충돌",HYPERLINK("#'관리자_MASTER'!D"&amp;_xlfn.MAXIFS(m_row,m_teacher,H$4,m_date,($G$2+0),m_active,1,m_start,"&lt;"&amp;900,m_end,"&gt;"&amp;840),INDEX(m_label,_xlfn.MAXIFS(m_row,m_teacher,H$4,m_date,($G$2+0),m_active,1,m_start,"&lt;"&amp;900,m_end,"&gt;"&amp;840))))))</f>
        <v/>
      </c>
      <c r="I10" s="81" t="str">
        <f aca="false">IF(OR(I$4="",MONTH(($G$2+0))&lt;&gt;MONTH($C$2)),"",IF(COUNTIFS(m_teacher,I$4,m_date,($G$2+0),m_active,1,m_start,"&lt;"&amp;900,m_end,"&gt;"&amp;840)=0,"",IF(COUNTIFS(m_teacher,I$4,m_date,($G$2+0),m_active,1,m_start,"&lt;"&amp;900,m_end,"&gt;"&amp;840)&gt;1,"충돌",HYPERLINK("#'관리자_MASTER'!D"&amp;_xlfn.MAXIFS(m_row,m_teacher,I$4,m_date,($G$2+0),m_active,1,m_start,"&lt;"&amp;900,m_end,"&gt;"&amp;840),INDEX(m_label,_xlfn.MAXIFS(m_row,m_teacher,I$4,m_date,($G$2+0),m_active,1,m_start,"&lt;"&amp;900,m_end,"&gt;"&amp;840))))))</f>
        <v/>
      </c>
      <c r="J10" s="81" t="str">
        <f aca="false">IF(OR(J$4="",MONTH(($G$2+0))&lt;&gt;MONTH($C$2)),"",IF(COUNTIFS(m_teacher,J$4,m_date,($G$2+0),m_active,1,m_start,"&lt;"&amp;900,m_end,"&gt;"&amp;840)=0,"",IF(COUNTIFS(m_teacher,J$4,m_date,($G$2+0),m_active,1,m_start,"&lt;"&amp;900,m_end,"&gt;"&amp;840)&gt;1,"충돌",HYPERLINK("#'관리자_MASTER'!D"&amp;_xlfn.MAXIFS(m_row,m_teacher,J$4,m_date,($G$2+0),m_active,1,m_start,"&lt;"&amp;900,m_end,"&gt;"&amp;840),INDEX(m_label,_xlfn.MAXIFS(m_row,m_teacher,J$4,m_date,($G$2+0),m_active,1,m_start,"&lt;"&amp;900,m_end,"&gt;"&amp;840))))))</f>
        <v/>
      </c>
      <c r="K10" s="81" t="str">
        <f aca="false">IF(OR(K$4="",MONTH(($G$2+0))&lt;&gt;MONTH($C$2)),"",IF(COUNTIFS(m_teacher,K$4,m_date,($G$2+0),m_active,1,m_start,"&lt;"&amp;900,m_end,"&gt;"&amp;840)=0,"",IF(COUNTIFS(m_teacher,K$4,m_date,($G$2+0),m_active,1,m_start,"&lt;"&amp;900,m_end,"&gt;"&amp;840)&gt;1,"충돌",HYPERLINK("#'관리자_MASTER'!D"&amp;_xlfn.MAXIFS(m_row,m_teacher,K$4,m_date,($G$2+0),m_active,1,m_start,"&lt;"&amp;900,m_end,"&gt;"&amp;840),INDEX(m_label,_xlfn.MAXIFS(m_row,m_teacher,K$4,m_date,($G$2+0),m_active,1,m_start,"&lt;"&amp;900,m_end,"&gt;"&amp;840))))))</f>
        <v/>
      </c>
      <c r="L10" s="81" t="str">
        <f aca="false">IF(OR(L$4="",MONTH(($G$2+0))&lt;&gt;MONTH($C$2)),"",IF(COUNTIFS(m_teacher,L$4,m_date,($G$2+0),m_active,1,m_start,"&lt;"&amp;900,m_end,"&gt;"&amp;840)=0,"",IF(COUNTIFS(m_teacher,L$4,m_date,($G$2+0),m_active,1,m_start,"&lt;"&amp;900,m_end,"&gt;"&amp;840)&gt;1,"충돌",HYPERLINK("#'관리자_MASTER'!D"&amp;_xlfn.MAXIFS(m_row,m_teacher,L$4,m_date,($G$2+0),m_active,1,m_start,"&lt;"&amp;900,m_end,"&gt;"&amp;840),INDEX(m_label,_xlfn.MAXIFS(m_row,m_teacher,L$4,m_date,($G$2+0),m_active,1,m_start,"&lt;"&amp;900,m_end,"&gt;"&amp;840))))))</f>
        <v/>
      </c>
      <c r="M10" s="81" t="str">
        <f aca="false">IF(OR(M$4="",MONTH(($G$2+0))&lt;&gt;MONTH($C$2)),"",IF(COUNTIFS(m_teacher,M$4,m_date,($G$2+0),m_active,1,m_start,"&lt;"&amp;900,m_end,"&gt;"&amp;840)=0,"",IF(COUNTIFS(m_teacher,M$4,m_date,($G$2+0),m_active,1,m_start,"&lt;"&amp;900,m_end,"&gt;"&amp;840)&gt;1,"충돌",HYPERLINK("#'관리자_MASTER'!D"&amp;_xlfn.MAXIFS(m_row,m_teacher,M$4,m_date,($G$2+0),m_active,1,m_start,"&lt;"&amp;900,m_end,"&gt;"&amp;840),INDEX(m_label,_xlfn.MAXIFS(m_row,m_teacher,M$4,m_date,($G$2+0),m_active,1,m_start,"&lt;"&amp;900,m_end,"&gt;"&amp;840))))))</f>
        <v/>
      </c>
      <c r="N10" s="81" t="str">
        <f aca="false">IF(OR(N$4="",MONTH(($G$2+0))&lt;&gt;MONTH($C$2)),"",IF(COUNTIFS(m_teacher,N$4,m_date,($G$2+0),m_active,1,m_start,"&lt;"&amp;900,m_end,"&gt;"&amp;840)=0,"",IF(COUNTIFS(m_teacher,N$4,m_date,($G$2+0),m_active,1,m_start,"&lt;"&amp;900,m_end,"&gt;"&amp;840)&gt;1,"충돌",HYPERLINK("#'관리자_MASTER'!D"&amp;_xlfn.MAXIFS(m_row,m_teacher,N$4,m_date,($G$2+0),m_active,1,m_start,"&lt;"&amp;900,m_end,"&gt;"&amp;840),INDEX(m_label,_xlfn.MAXIFS(m_row,m_teacher,N$4,m_date,($G$2+0),m_active,1,m_start,"&lt;"&amp;900,m_end,"&gt;"&amp;840))))))</f>
        <v/>
      </c>
      <c r="O10" s="78"/>
      <c r="P10" s="79" t="s">
        <v>96</v>
      </c>
      <c r="Q10" s="82" t="str">
        <f aca="false">IF(OR(Q$4="",MONTH(($G$2+7))&lt;&gt;MONTH($C$2)),"",IF(COUNTIFS(m_teacher,Q$4,m_date,($G$2+7),m_active,1,m_start,"&lt;"&amp;900,m_end,"&gt;"&amp;840)=0,"",IF(COUNTIFS(m_teacher,Q$4,m_date,($G$2+7),m_active,1,m_start,"&lt;"&amp;900,m_end,"&gt;"&amp;840)&gt;1,"충돌",HYPERLINK("#'관리자_MASTER'!D"&amp;_xlfn.MAXIFS(m_row,m_teacher,Q$4,m_date,($G$2+7),m_active,1,m_start,"&lt;"&amp;900,m_end,"&gt;"&amp;840),INDEX(m_label,_xlfn.MAXIFS(m_row,m_teacher,Q$4,m_date,($G$2+7),m_active,1,m_start,"&lt;"&amp;900,m_end,"&gt;"&amp;840))))))</f>
        <v/>
      </c>
      <c r="R10" s="82" t="str">
        <f aca="false">IF(OR(R$4="",MONTH(($G$2+7))&lt;&gt;MONTH($C$2)),"",IF(COUNTIFS(m_teacher,R$4,m_date,($G$2+7),m_active,1,m_start,"&lt;"&amp;900,m_end,"&gt;"&amp;840)=0,"",IF(COUNTIFS(m_teacher,R$4,m_date,($G$2+7),m_active,1,m_start,"&lt;"&amp;900,m_end,"&gt;"&amp;840)&gt;1,"충돌",HYPERLINK("#'관리자_MASTER'!D"&amp;_xlfn.MAXIFS(m_row,m_teacher,R$4,m_date,($G$2+7),m_active,1,m_start,"&lt;"&amp;900,m_end,"&gt;"&amp;840),INDEX(m_label,_xlfn.MAXIFS(m_row,m_teacher,R$4,m_date,($G$2+7),m_active,1,m_start,"&lt;"&amp;900,m_end,"&gt;"&amp;840))))))</f>
        <v/>
      </c>
      <c r="S10" s="82" t="str">
        <f aca="false">IF(OR(S$4="",MONTH(($G$2+7))&lt;&gt;MONTH($C$2)),"",IF(COUNTIFS(m_teacher,S$4,m_date,($G$2+7),m_active,1,m_start,"&lt;"&amp;900,m_end,"&gt;"&amp;840)=0,"",IF(COUNTIFS(m_teacher,S$4,m_date,($G$2+7),m_active,1,m_start,"&lt;"&amp;900,m_end,"&gt;"&amp;840)&gt;1,"충돌",HYPERLINK("#'관리자_MASTER'!D"&amp;_xlfn.MAXIFS(m_row,m_teacher,S$4,m_date,($G$2+7),m_active,1,m_start,"&lt;"&amp;900,m_end,"&gt;"&amp;840),INDEX(m_label,_xlfn.MAXIFS(m_row,m_teacher,S$4,m_date,($G$2+7),m_active,1,m_start,"&lt;"&amp;900,m_end,"&gt;"&amp;840))))))</f>
        <v/>
      </c>
      <c r="T10" s="82" t="str">
        <f aca="false">IF(OR(T$4="",MONTH(($G$2+7))&lt;&gt;MONTH($C$2)),"",IF(COUNTIFS(m_teacher,T$4,m_date,($G$2+7),m_active,1,m_start,"&lt;"&amp;900,m_end,"&gt;"&amp;840)=0,"",IF(COUNTIFS(m_teacher,T$4,m_date,($G$2+7),m_active,1,m_start,"&lt;"&amp;900,m_end,"&gt;"&amp;840)&gt;1,"충돌",HYPERLINK("#'관리자_MASTER'!D"&amp;_xlfn.MAXIFS(m_row,m_teacher,T$4,m_date,($G$2+7),m_active,1,m_start,"&lt;"&amp;900,m_end,"&gt;"&amp;840),INDEX(m_label,_xlfn.MAXIFS(m_row,m_teacher,T$4,m_date,($G$2+7),m_active,1,m_start,"&lt;"&amp;900,m_end,"&gt;"&amp;840))))))</f>
        <v/>
      </c>
      <c r="U10" s="82" t="str">
        <f aca="false">IF(OR(U$4="",MONTH(($G$2+7))&lt;&gt;MONTH($C$2)),"",IF(COUNTIFS(m_teacher,U$4,m_date,($G$2+7),m_active,1,m_start,"&lt;"&amp;900,m_end,"&gt;"&amp;840)=0,"",IF(COUNTIFS(m_teacher,U$4,m_date,($G$2+7),m_active,1,m_start,"&lt;"&amp;900,m_end,"&gt;"&amp;840)&gt;1,"충돌",HYPERLINK("#'관리자_MASTER'!D"&amp;_xlfn.MAXIFS(m_row,m_teacher,U$4,m_date,($G$2+7),m_active,1,m_start,"&lt;"&amp;900,m_end,"&gt;"&amp;840),INDEX(m_label,_xlfn.MAXIFS(m_row,m_teacher,U$4,m_date,($G$2+7),m_active,1,m_start,"&lt;"&amp;900,m_end,"&gt;"&amp;840))))))</f>
        <v/>
      </c>
      <c r="V10" s="82" t="str">
        <f aca="false">IF(OR(V$4="",MONTH(($G$2+7))&lt;&gt;MONTH($C$2)),"",IF(COUNTIFS(m_teacher,V$4,m_date,($G$2+7),m_active,1,m_start,"&lt;"&amp;900,m_end,"&gt;"&amp;840)=0,"",IF(COUNTIFS(m_teacher,V$4,m_date,($G$2+7),m_active,1,m_start,"&lt;"&amp;900,m_end,"&gt;"&amp;840)&gt;1,"충돌",HYPERLINK("#'관리자_MASTER'!D"&amp;_xlfn.MAXIFS(m_row,m_teacher,V$4,m_date,($G$2+7),m_active,1,m_start,"&lt;"&amp;900,m_end,"&gt;"&amp;840),INDEX(m_label,_xlfn.MAXIFS(m_row,m_teacher,V$4,m_date,($G$2+7),m_active,1,m_start,"&lt;"&amp;900,m_end,"&gt;"&amp;840))))))</f>
        <v/>
      </c>
      <c r="W10" s="82" t="str">
        <f aca="false">IF(OR(W$4="",MONTH(($G$2+7))&lt;&gt;MONTH($C$2)),"",IF(COUNTIFS(m_teacher,W$4,m_date,($G$2+7),m_active,1,m_start,"&lt;"&amp;900,m_end,"&gt;"&amp;840)=0,"",IF(COUNTIFS(m_teacher,W$4,m_date,($G$2+7),m_active,1,m_start,"&lt;"&amp;900,m_end,"&gt;"&amp;840)&gt;1,"충돌",HYPERLINK("#'관리자_MASTER'!D"&amp;_xlfn.MAXIFS(m_row,m_teacher,W$4,m_date,($G$2+7),m_active,1,m_start,"&lt;"&amp;900,m_end,"&gt;"&amp;840),INDEX(m_label,_xlfn.MAXIFS(m_row,m_teacher,W$4,m_date,($G$2+7),m_active,1,m_start,"&lt;"&amp;900,m_end,"&gt;"&amp;840))))))</f>
        <v/>
      </c>
      <c r="X10" s="82" t="str">
        <f aca="false">IF(OR(X$4="",MONTH(($G$2+7))&lt;&gt;MONTH($C$2)),"",IF(COUNTIFS(m_teacher,X$4,m_date,($G$2+7),m_active,1,m_start,"&lt;"&amp;900,m_end,"&gt;"&amp;840)=0,"",IF(COUNTIFS(m_teacher,X$4,m_date,($G$2+7),m_active,1,m_start,"&lt;"&amp;900,m_end,"&gt;"&amp;840)&gt;1,"충돌",HYPERLINK("#'관리자_MASTER'!D"&amp;_xlfn.MAXIFS(m_row,m_teacher,X$4,m_date,($G$2+7),m_active,1,m_start,"&lt;"&amp;900,m_end,"&gt;"&amp;840),INDEX(m_label,_xlfn.MAXIFS(m_row,m_teacher,X$4,m_date,($G$2+7),m_active,1,m_start,"&lt;"&amp;900,m_end,"&gt;"&amp;840))))))</f>
        <v/>
      </c>
      <c r="Y10" s="82" t="str">
        <f aca="false">IF(OR(Y$4="",MONTH(($G$2+7))&lt;&gt;MONTH($C$2)),"",IF(COUNTIFS(m_teacher,Y$4,m_date,($G$2+7),m_active,1,m_start,"&lt;"&amp;900,m_end,"&gt;"&amp;840)=0,"",IF(COUNTIFS(m_teacher,Y$4,m_date,($G$2+7),m_active,1,m_start,"&lt;"&amp;900,m_end,"&gt;"&amp;840)&gt;1,"충돌",HYPERLINK("#'관리자_MASTER'!D"&amp;_xlfn.MAXIFS(m_row,m_teacher,Y$4,m_date,($G$2+7),m_active,1,m_start,"&lt;"&amp;900,m_end,"&gt;"&amp;840),INDEX(m_label,_xlfn.MAXIFS(m_row,m_teacher,Y$4,m_date,($G$2+7),m_active,1,m_start,"&lt;"&amp;900,m_end,"&gt;"&amp;840))))))</f>
        <v/>
      </c>
      <c r="Z10" s="82" t="str">
        <f aca="false">IF(OR(Z$4="",MONTH(($G$2+7))&lt;&gt;MONTH($C$2)),"",IF(COUNTIFS(m_teacher,Z$4,m_date,($G$2+7),m_active,1,m_start,"&lt;"&amp;900,m_end,"&gt;"&amp;840)=0,"",IF(COUNTIFS(m_teacher,Z$4,m_date,($G$2+7),m_active,1,m_start,"&lt;"&amp;900,m_end,"&gt;"&amp;840)&gt;1,"충돌",HYPERLINK("#'관리자_MASTER'!D"&amp;_xlfn.MAXIFS(m_row,m_teacher,Z$4,m_date,($G$2+7),m_active,1,m_start,"&lt;"&amp;900,m_end,"&gt;"&amp;840),INDEX(m_label,_xlfn.MAXIFS(m_row,m_teacher,Z$4,m_date,($G$2+7),m_active,1,m_start,"&lt;"&amp;900,m_end,"&gt;"&amp;840))))))</f>
        <v/>
      </c>
      <c r="AA10" s="82" t="str">
        <f aca="false">IF(OR(AA$4="",MONTH(($G$2+7))&lt;&gt;MONTH($C$2)),"",IF(COUNTIFS(m_teacher,AA$4,m_date,($G$2+7),m_active,1,m_start,"&lt;"&amp;900,m_end,"&gt;"&amp;840)=0,"",IF(COUNTIFS(m_teacher,AA$4,m_date,($G$2+7),m_active,1,m_start,"&lt;"&amp;900,m_end,"&gt;"&amp;840)&gt;1,"충돌",HYPERLINK("#'관리자_MASTER'!D"&amp;_xlfn.MAXIFS(m_row,m_teacher,AA$4,m_date,($G$2+7),m_active,1,m_start,"&lt;"&amp;900,m_end,"&gt;"&amp;840),INDEX(m_label,_xlfn.MAXIFS(m_row,m_teacher,AA$4,m_date,($G$2+7),m_active,1,m_start,"&lt;"&amp;900,m_end,"&gt;"&amp;840))))))</f>
        <v/>
      </c>
      <c r="AB10" s="82" t="str">
        <f aca="false">IF(OR(AB$4="",MONTH(($G$2+7))&lt;&gt;MONTH($C$2)),"",IF(COUNTIFS(m_teacher,AB$4,m_date,($G$2+7),m_active,1,m_start,"&lt;"&amp;900,m_end,"&gt;"&amp;840)=0,"",IF(COUNTIFS(m_teacher,AB$4,m_date,($G$2+7),m_active,1,m_start,"&lt;"&amp;900,m_end,"&gt;"&amp;840)&gt;1,"충돌",HYPERLINK("#'관리자_MASTER'!D"&amp;_xlfn.MAXIFS(m_row,m_teacher,AB$4,m_date,($G$2+7),m_active,1,m_start,"&lt;"&amp;900,m_end,"&gt;"&amp;840),INDEX(m_label,_xlfn.MAXIFS(m_row,m_teacher,AB$4,m_date,($G$2+7),m_active,1,m_start,"&lt;"&amp;900,m_end,"&gt;"&amp;840))))))</f>
        <v/>
      </c>
      <c r="AC10" s="78"/>
      <c r="AD10" s="79" t="s">
        <v>96</v>
      </c>
      <c r="AE10" s="82" t="str">
        <f aca="false">IF(OR(AE$4="",MONTH(($G$2+14))&lt;&gt;MONTH($C$2)),"",IF(COUNTIFS(m_teacher,AE$4,m_date,($G$2+14),m_active,1,m_start,"&lt;"&amp;900,m_end,"&gt;"&amp;840)=0,"",IF(COUNTIFS(m_teacher,AE$4,m_date,($G$2+14),m_active,1,m_start,"&lt;"&amp;900,m_end,"&gt;"&amp;840)&gt;1,"충돌",HYPERLINK("#'관리자_MASTER'!D"&amp;_xlfn.MAXIFS(m_row,m_teacher,AE$4,m_date,($G$2+14),m_active,1,m_start,"&lt;"&amp;900,m_end,"&gt;"&amp;840),INDEX(m_label,_xlfn.MAXIFS(m_row,m_teacher,AE$4,m_date,($G$2+14),m_active,1,m_start,"&lt;"&amp;900,m_end,"&gt;"&amp;840))))))</f>
        <v/>
      </c>
      <c r="AF10" s="82" t="str">
        <f aca="false">IF(OR(AF$4="",MONTH(($G$2+14))&lt;&gt;MONTH($C$2)),"",IF(COUNTIFS(m_teacher,AF$4,m_date,($G$2+14),m_active,1,m_start,"&lt;"&amp;900,m_end,"&gt;"&amp;840)=0,"",IF(COUNTIFS(m_teacher,AF$4,m_date,($G$2+14),m_active,1,m_start,"&lt;"&amp;900,m_end,"&gt;"&amp;840)&gt;1,"충돌",HYPERLINK("#'관리자_MASTER'!D"&amp;_xlfn.MAXIFS(m_row,m_teacher,AF$4,m_date,($G$2+14),m_active,1,m_start,"&lt;"&amp;900,m_end,"&gt;"&amp;840),INDEX(m_label,_xlfn.MAXIFS(m_row,m_teacher,AF$4,m_date,($G$2+14),m_active,1,m_start,"&lt;"&amp;900,m_end,"&gt;"&amp;840))))))</f>
        <v/>
      </c>
      <c r="AG10" s="82" t="str">
        <f aca="false">IF(OR(AG$4="",MONTH(($G$2+14))&lt;&gt;MONTH($C$2)),"",IF(COUNTIFS(m_teacher,AG$4,m_date,($G$2+14),m_active,1,m_start,"&lt;"&amp;900,m_end,"&gt;"&amp;840)=0,"",IF(COUNTIFS(m_teacher,AG$4,m_date,($G$2+14),m_active,1,m_start,"&lt;"&amp;900,m_end,"&gt;"&amp;840)&gt;1,"충돌",HYPERLINK("#'관리자_MASTER'!D"&amp;_xlfn.MAXIFS(m_row,m_teacher,AG$4,m_date,($G$2+14),m_active,1,m_start,"&lt;"&amp;900,m_end,"&gt;"&amp;840),INDEX(m_label,_xlfn.MAXIFS(m_row,m_teacher,AG$4,m_date,($G$2+14),m_active,1,m_start,"&lt;"&amp;900,m_end,"&gt;"&amp;840))))))</f>
        <v/>
      </c>
      <c r="AH10" s="82" t="str">
        <f aca="false">IF(OR(AH$4="",MONTH(($G$2+14))&lt;&gt;MONTH($C$2)),"",IF(COUNTIFS(m_teacher,AH$4,m_date,($G$2+14),m_active,1,m_start,"&lt;"&amp;900,m_end,"&gt;"&amp;840)=0,"",IF(COUNTIFS(m_teacher,AH$4,m_date,($G$2+14),m_active,1,m_start,"&lt;"&amp;900,m_end,"&gt;"&amp;840)&gt;1,"충돌",HYPERLINK("#'관리자_MASTER'!D"&amp;_xlfn.MAXIFS(m_row,m_teacher,AH$4,m_date,($G$2+14),m_active,1,m_start,"&lt;"&amp;900,m_end,"&gt;"&amp;840),INDEX(m_label,_xlfn.MAXIFS(m_row,m_teacher,AH$4,m_date,($G$2+14),m_active,1,m_start,"&lt;"&amp;900,m_end,"&gt;"&amp;840))))))</f>
        <v/>
      </c>
      <c r="AI10" s="82" t="str">
        <f aca="false">IF(OR(AI$4="",MONTH(($G$2+14))&lt;&gt;MONTH($C$2)),"",IF(COUNTIFS(m_teacher,AI$4,m_date,($G$2+14),m_active,1,m_start,"&lt;"&amp;900,m_end,"&gt;"&amp;840)=0,"",IF(COUNTIFS(m_teacher,AI$4,m_date,($G$2+14),m_active,1,m_start,"&lt;"&amp;900,m_end,"&gt;"&amp;840)&gt;1,"충돌",HYPERLINK("#'관리자_MASTER'!D"&amp;_xlfn.MAXIFS(m_row,m_teacher,AI$4,m_date,($G$2+14),m_active,1,m_start,"&lt;"&amp;900,m_end,"&gt;"&amp;840),INDEX(m_label,_xlfn.MAXIFS(m_row,m_teacher,AI$4,m_date,($G$2+14),m_active,1,m_start,"&lt;"&amp;900,m_end,"&gt;"&amp;840))))))</f>
        <v/>
      </c>
      <c r="AJ10" s="82" t="str">
        <f aca="false">IF(OR(AJ$4="",MONTH(($G$2+14))&lt;&gt;MONTH($C$2)),"",IF(COUNTIFS(m_teacher,AJ$4,m_date,($G$2+14),m_active,1,m_start,"&lt;"&amp;900,m_end,"&gt;"&amp;840)=0,"",IF(COUNTIFS(m_teacher,AJ$4,m_date,($G$2+14),m_active,1,m_start,"&lt;"&amp;900,m_end,"&gt;"&amp;840)&gt;1,"충돌",HYPERLINK("#'관리자_MASTER'!D"&amp;_xlfn.MAXIFS(m_row,m_teacher,AJ$4,m_date,($G$2+14),m_active,1,m_start,"&lt;"&amp;900,m_end,"&gt;"&amp;840),INDEX(m_label,_xlfn.MAXIFS(m_row,m_teacher,AJ$4,m_date,($G$2+14),m_active,1,m_start,"&lt;"&amp;900,m_end,"&gt;"&amp;840))))))</f>
        <v/>
      </c>
      <c r="AK10" s="82" t="str">
        <f aca="false">IF(OR(AK$4="",MONTH(($G$2+14))&lt;&gt;MONTH($C$2)),"",IF(COUNTIFS(m_teacher,AK$4,m_date,($G$2+14),m_active,1,m_start,"&lt;"&amp;900,m_end,"&gt;"&amp;840)=0,"",IF(COUNTIFS(m_teacher,AK$4,m_date,($G$2+14),m_active,1,m_start,"&lt;"&amp;900,m_end,"&gt;"&amp;840)&gt;1,"충돌",HYPERLINK("#'관리자_MASTER'!D"&amp;_xlfn.MAXIFS(m_row,m_teacher,AK$4,m_date,($G$2+14),m_active,1,m_start,"&lt;"&amp;900,m_end,"&gt;"&amp;840),INDEX(m_label,_xlfn.MAXIFS(m_row,m_teacher,AK$4,m_date,($G$2+14),m_active,1,m_start,"&lt;"&amp;900,m_end,"&gt;"&amp;840))))))</f>
        <v/>
      </c>
      <c r="AL10" s="82" t="str">
        <f aca="false">IF(OR(AL$4="",MONTH(($G$2+14))&lt;&gt;MONTH($C$2)),"",IF(COUNTIFS(m_teacher,AL$4,m_date,($G$2+14),m_active,1,m_start,"&lt;"&amp;900,m_end,"&gt;"&amp;840)=0,"",IF(COUNTIFS(m_teacher,AL$4,m_date,($G$2+14),m_active,1,m_start,"&lt;"&amp;900,m_end,"&gt;"&amp;840)&gt;1,"충돌",HYPERLINK("#'관리자_MASTER'!D"&amp;_xlfn.MAXIFS(m_row,m_teacher,AL$4,m_date,($G$2+14),m_active,1,m_start,"&lt;"&amp;900,m_end,"&gt;"&amp;840),INDEX(m_label,_xlfn.MAXIFS(m_row,m_teacher,AL$4,m_date,($G$2+14),m_active,1,m_start,"&lt;"&amp;900,m_end,"&gt;"&amp;840))))))</f>
        <v/>
      </c>
      <c r="AM10" s="82" t="str">
        <f aca="false">IF(OR(AM$4="",MONTH(($G$2+14))&lt;&gt;MONTH($C$2)),"",IF(COUNTIFS(m_teacher,AM$4,m_date,($G$2+14),m_active,1,m_start,"&lt;"&amp;900,m_end,"&gt;"&amp;840)=0,"",IF(COUNTIFS(m_teacher,AM$4,m_date,($G$2+14),m_active,1,m_start,"&lt;"&amp;900,m_end,"&gt;"&amp;840)&gt;1,"충돌",HYPERLINK("#'관리자_MASTER'!D"&amp;_xlfn.MAXIFS(m_row,m_teacher,AM$4,m_date,($G$2+14),m_active,1,m_start,"&lt;"&amp;900,m_end,"&gt;"&amp;840),INDEX(m_label,_xlfn.MAXIFS(m_row,m_teacher,AM$4,m_date,($G$2+14),m_active,1,m_start,"&lt;"&amp;900,m_end,"&gt;"&amp;840))))))</f>
        <v/>
      </c>
      <c r="AN10" s="82" t="str">
        <f aca="false">IF(OR(AN$4="",MONTH(($G$2+14))&lt;&gt;MONTH($C$2)),"",IF(COUNTIFS(m_teacher,AN$4,m_date,($G$2+14),m_active,1,m_start,"&lt;"&amp;900,m_end,"&gt;"&amp;840)=0,"",IF(COUNTIFS(m_teacher,AN$4,m_date,($G$2+14),m_active,1,m_start,"&lt;"&amp;900,m_end,"&gt;"&amp;840)&gt;1,"충돌",HYPERLINK("#'관리자_MASTER'!D"&amp;_xlfn.MAXIFS(m_row,m_teacher,AN$4,m_date,($G$2+14),m_active,1,m_start,"&lt;"&amp;900,m_end,"&gt;"&amp;840),INDEX(m_label,_xlfn.MAXIFS(m_row,m_teacher,AN$4,m_date,($G$2+14),m_active,1,m_start,"&lt;"&amp;900,m_end,"&gt;"&amp;840))))))</f>
        <v/>
      </c>
      <c r="AO10" s="82" t="str">
        <f aca="false">IF(OR(AO$4="",MONTH(($G$2+14))&lt;&gt;MONTH($C$2)),"",IF(COUNTIFS(m_teacher,AO$4,m_date,($G$2+14),m_active,1,m_start,"&lt;"&amp;900,m_end,"&gt;"&amp;840)=0,"",IF(COUNTIFS(m_teacher,AO$4,m_date,($G$2+14),m_active,1,m_start,"&lt;"&amp;900,m_end,"&gt;"&amp;840)&gt;1,"충돌",HYPERLINK("#'관리자_MASTER'!D"&amp;_xlfn.MAXIFS(m_row,m_teacher,AO$4,m_date,($G$2+14),m_active,1,m_start,"&lt;"&amp;900,m_end,"&gt;"&amp;840),INDEX(m_label,_xlfn.MAXIFS(m_row,m_teacher,AO$4,m_date,($G$2+14),m_active,1,m_start,"&lt;"&amp;900,m_end,"&gt;"&amp;840))))))</f>
        <v/>
      </c>
      <c r="AP10" s="82" t="str">
        <f aca="false">IF(OR(AP$4="",MONTH(($G$2+14))&lt;&gt;MONTH($C$2)),"",IF(COUNTIFS(m_teacher,AP$4,m_date,($G$2+14),m_active,1,m_start,"&lt;"&amp;900,m_end,"&gt;"&amp;840)=0,"",IF(COUNTIFS(m_teacher,AP$4,m_date,($G$2+14),m_active,1,m_start,"&lt;"&amp;900,m_end,"&gt;"&amp;840)&gt;1,"충돌",HYPERLINK("#'관리자_MASTER'!D"&amp;_xlfn.MAXIFS(m_row,m_teacher,AP$4,m_date,($G$2+14),m_active,1,m_start,"&lt;"&amp;900,m_end,"&gt;"&amp;840),INDEX(m_label,_xlfn.MAXIFS(m_row,m_teacher,AP$4,m_date,($G$2+14),m_active,1,m_start,"&lt;"&amp;900,m_end,"&gt;"&amp;840))))))</f>
        <v/>
      </c>
      <c r="AQ10" s="78"/>
      <c r="AR10" s="79" t="s">
        <v>96</v>
      </c>
      <c r="AS10" s="82" t="str">
        <f aca="false">IF(OR(AS$4="",MONTH(($G$2+21))&lt;&gt;MONTH($C$2)),"",IF(COUNTIFS(m_teacher,AS$4,m_date,($G$2+21),m_active,1,m_start,"&lt;"&amp;900,m_end,"&gt;"&amp;840)=0,"",IF(COUNTIFS(m_teacher,AS$4,m_date,($G$2+21),m_active,1,m_start,"&lt;"&amp;900,m_end,"&gt;"&amp;840)&gt;1,"충돌",HYPERLINK("#'관리자_MASTER'!D"&amp;_xlfn.MAXIFS(m_row,m_teacher,AS$4,m_date,($G$2+21),m_active,1,m_start,"&lt;"&amp;900,m_end,"&gt;"&amp;840),INDEX(m_label,_xlfn.MAXIFS(m_row,m_teacher,AS$4,m_date,($G$2+21),m_active,1,m_start,"&lt;"&amp;900,m_end,"&gt;"&amp;840))))))</f>
        <v/>
      </c>
      <c r="AT10" s="82" t="str">
        <f aca="false">IF(OR(AT$4="",MONTH(($G$2+21))&lt;&gt;MONTH($C$2)),"",IF(COUNTIFS(m_teacher,AT$4,m_date,($G$2+21),m_active,1,m_start,"&lt;"&amp;900,m_end,"&gt;"&amp;840)=0,"",IF(COUNTIFS(m_teacher,AT$4,m_date,($G$2+21),m_active,1,m_start,"&lt;"&amp;900,m_end,"&gt;"&amp;840)&gt;1,"충돌",HYPERLINK("#'관리자_MASTER'!D"&amp;_xlfn.MAXIFS(m_row,m_teacher,AT$4,m_date,($G$2+21),m_active,1,m_start,"&lt;"&amp;900,m_end,"&gt;"&amp;840),INDEX(m_label,_xlfn.MAXIFS(m_row,m_teacher,AT$4,m_date,($G$2+21),m_active,1,m_start,"&lt;"&amp;900,m_end,"&gt;"&amp;840))))))</f>
        <v/>
      </c>
      <c r="AU10" s="82" t="str">
        <f aca="false">IF(OR(AU$4="",MONTH(($G$2+21))&lt;&gt;MONTH($C$2)),"",IF(COUNTIFS(m_teacher,AU$4,m_date,($G$2+21),m_active,1,m_start,"&lt;"&amp;900,m_end,"&gt;"&amp;840)=0,"",IF(COUNTIFS(m_teacher,AU$4,m_date,($G$2+21),m_active,1,m_start,"&lt;"&amp;900,m_end,"&gt;"&amp;840)&gt;1,"충돌",HYPERLINK("#'관리자_MASTER'!D"&amp;_xlfn.MAXIFS(m_row,m_teacher,AU$4,m_date,($G$2+21),m_active,1,m_start,"&lt;"&amp;900,m_end,"&gt;"&amp;840),INDEX(m_label,_xlfn.MAXIFS(m_row,m_teacher,AU$4,m_date,($G$2+21),m_active,1,m_start,"&lt;"&amp;900,m_end,"&gt;"&amp;840))))))</f>
        <v/>
      </c>
      <c r="AV10" s="82" t="str">
        <f aca="false">IF(OR(AV$4="",MONTH(($G$2+21))&lt;&gt;MONTH($C$2)),"",IF(COUNTIFS(m_teacher,AV$4,m_date,($G$2+21),m_active,1,m_start,"&lt;"&amp;900,m_end,"&gt;"&amp;840)=0,"",IF(COUNTIFS(m_teacher,AV$4,m_date,($G$2+21),m_active,1,m_start,"&lt;"&amp;900,m_end,"&gt;"&amp;840)&gt;1,"충돌",HYPERLINK("#'관리자_MASTER'!D"&amp;_xlfn.MAXIFS(m_row,m_teacher,AV$4,m_date,($G$2+21),m_active,1,m_start,"&lt;"&amp;900,m_end,"&gt;"&amp;840),INDEX(m_label,_xlfn.MAXIFS(m_row,m_teacher,AV$4,m_date,($G$2+21),m_active,1,m_start,"&lt;"&amp;900,m_end,"&gt;"&amp;840))))))</f>
        <v/>
      </c>
      <c r="AW10" s="82" t="str">
        <f aca="false">IF(OR(AW$4="",MONTH(($G$2+21))&lt;&gt;MONTH($C$2)),"",IF(COUNTIFS(m_teacher,AW$4,m_date,($G$2+21),m_active,1,m_start,"&lt;"&amp;900,m_end,"&gt;"&amp;840)=0,"",IF(COUNTIFS(m_teacher,AW$4,m_date,($G$2+21),m_active,1,m_start,"&lt;"&amp;900,m_end,"&gt;"&amp;840)&gt;1,"충돌",HYPERLINK("#'관리자_MASTER'!D"&amp;_xlfn.MAXIFS(m_row,m_teacher,AW$4,m_date,($G$2+21),m_active,1,m_start,"&lt;"&amp;900,m_end,"&gt;"&amp;840),INDEX(m_label,_xlfn.MAXIFS(m_row,m_teacher,AW$4,m_date,($G$2+21),m_active,1,m_start,"&lt;"&amp;900,m_end,"&gt;"&amp;840))))))</f>
        <v/>
      </c>
      <c r="AX10" s="82" t="str">
        <f aca="false">IF(OR(AX$4="",MONTH(($G$2+21))&lt;&gt;MONTH($C$2)),"",IF(COUNTIFS(m_teacher,AX$4,m_date,($G$2+21),m_active,1,m_start,"&lt;"&amp;900,m_end,"&gt;"&amp;840)=0,"",IF(COUNTIFS(m_teacher,AX$4,m_date,($G$2+21),m_active,1,m_start,"&lt;"&amp;900,m_end,"&gt;"&amp;840)&gt;1,"충돌",HYPERLINK("#'관리자_MASTER'!D"&amp;_xlfn.MAXIFS(m_row,m_teacher,AX$4,m_date,($G$2+21),m_active,1,m_start,"&lt;"&amp;900,m_end,"&gt;"&amp;840),INDEX(m_label,_xlfn.MAXIFS(m_row,m_teacher,AX$4,m_date,($G$2+21),m_active,1,m_start,"&lt;"&amp;900,m_end,"&gt;"&amp;840))))))</f>
        <v/>
      </c>
      <c r="AY10" s="82" t="str">
        <f aca="false">IF(OR(AY$4="",MONTH(($G$2+21))&lt;&gt;MONTH($C$2)),"",IF(COUNTIFS(m_teacher,AY$4,m_date,($G$2+21),m_active,1,m_start,"&lt;"&amp;900,m_end,"&gt;"&amp;840)=0,"",IF(COUNTIFS(m_teacher,AY$4,m_date,($G$2+21),m_active,1,m_start,"&lt;"&amp;900,m_end,"&gt;"&amp;840)&gt;1,"충돌",HYPERLINK("#'관리자_MASTER'!D"&amp;_xlfn.MAXIFS(m_row,m_teacher,AY$4,m_date,($G$2+21),m_active,1,m_start,"&lt;"&amp;900,m_end,"&gt;"&amp;840),INDEX(m_label,_xlfn.MAXIFS(m_row,m_teacher,AY$4,m_date,($G$2+21),m_active,1,m_start,"&lt;"&amp;900,m_end,"&gt;"&amp;840))))))</f>
        <v/>
      </c>
      <c r="AZ10" s="82" t="str">
        <f aca="false">IF(OR(AZ$4="",MONTH(($G$2+21))&lt;&gt;MONTH($C$2)),"",IF(COUNTIFS(m_teacher,AZ$4,m_date,($G$2+21),m_active,1,m_start,"&lt;"&amp;900,m_end,"&gt;"&amp;840)=0,"",IF(COUNTIFS(m_teacher,AZ$4,m_date,($G$2+21),m_active,1,m_start,"&lt;"&amp;900,m_end,"&gt;"&amp;840)&gt;1,"충돌",HYPERLINK("#'관리자_MASTER'!D"&amp;_xlfn.MAXIFS(m_row,m_teacher,AZ$4,m_date,($G$2+21),m_active,1,m_start,"&lt;"&amp;900,m_end,"&gt;"&amp;840),INDEX(m_label,_xlfn.MAXIFS(m_row,m_teacher,AZ$4,m_date,($G$2+21),m_active,1,m_start,"&lt;"&amp;900,m_end,"&gt;"&amp;840))))))</f>
        <v/>
      </c>
      <c r="BA10" s="82" t="str">
        <f aca="false">IF(OR(BA$4="",MONTH(($G$2+21))&lt;&gt;MONTH($C$2)),"",IF(COUNTIFS(m_teacher,BA$4,m_date,($G$2+21),m_active,1,m_start,"&lt;"&amp;900,m_end,"&gt;"&amp;840)=0,"",IF(COUNTIFS(m_teacher,BA$4,m_date,($G$2+21),m_active,1,m_start,"&lt;"&amp;900,m_end,"&gt;"&amp;840)&gt;1,"충돌",HYPERLINK("#'관리자_MASTER'!D"&amp;_xlfn.MAXIFS(m_row,m_teacher,BA$4,m_date,($G$2+21),m_active,1,m_start,"&lt;"&amp;900,m_end,"&gt;"&amp;840),INDEX(m_label,_xlfn.MAXIFS(m_row,m_teacher,BA$4,m_date,($G$2+21),m_active,1,m_start,"&lt;"&amp;900,m_end,"&gt;"&amp;840))))))</f>
        <v/>
      </c>
      <c r="BB10" s="82" t="str">
        <f aca="false">IF(OR(BB$4="",MONTH(($G$2+21))&lt;&gt;MONTH($C$2)),"",IF(COUNTIFS(m_teacher,BB$4,m_date,($G$2+21),m_active,1,m_start,"&lt;"&amp;900,m_end,"&gt;"&amp;840)=0,"",IF(COUNTIFS(m_teacher,BB$4,m_date,($G$2+21),m_active,1,m_start,"&lt;"&amp;900,m_end,"&gt;"&amp;840)&gt;1,"충돌",HYPERLINK("#'관리자_MASTER'!D"&amp;_xlfn.MAXIFS(m_row,m_teacher,BB$4,m_date,($G$2+21),m_active,1,m_start,"&lt;"&amp;900,m_end,"&gt;"&amp;840),INDEX(m_label,_xlfn.MAXIFS(m_row,m_teacher,BB$4,m_date,($G$2+21),m_active,1,m_start,"&lt;"&amp;900,m_end,"&gt;"&amp;840))))))</f>
        <v/>
      </c>
      <c r="BC10" s="82" t="str">
        <f aca="false">IF(OR(BC$4="",MONTH(($G$2+21))&lt;&gt;MONTH($C$2)),"",IF(COUNTIFS(m_teacher,BC$4,m_date,($G$2+21),m_active,1,m_start,"&lt;"&amp;900,m_end,"&gt;"&amp;840)=0,"",IF(COUNTIFS(m_teacher,BC$4,m_date,($G$2+21),m_active,1,m_start,"&lt;"&amp;900,m_end,"&gt;"&amp;840)&gt;1,"충돌",HYPERLINK("#'관리자_MASTER'!D"&amp;_xlfn.MAXIFS(m_row,m_teacher,BC$4,m_date,($G$2+21),m_active,1,m_start,"&lt;"&amp;900,m_end,"&gt;"&amp;840),INDEX(m_label,_xlfn.MAXIFS(m_row,m_teacher,BC$4,m_date,($G$2+21),m_active,1,m_start,"&lt;"&amp;900,m_end,"&gt;"&amp;840))))))</f>
        <v/>
      </c>
      <c r="BD10" s="82" t="str">
        <f aca="false">IF(OR(BD$4="",MONTH(($G$2+21))&lt;&gt;MONTH($C$2)),"",IF(COUNTIFS(m_teacher,BD$4,m_date,($G$2+21),m_active,1,m_start,"&lt;"&amp;900,m_end,"&gt;"&amp;840)=0,"",IF(COUNTIFS(m_teacher,BD$4,m_date,($G$2+21),m_active,1,m_start,"&lt;"&amp;900,m_end,"&gt;"&amp;840)&gt;1,"충돌",HYPERLINK("#'관리자_MASTER'!D"&amp;_xlfn.MAXIFS(m_row,m_teacher,BD$4,m_date,($G$2+21),m_active,1,m_start,"&lt;"&amp;900,m_end,"&gt;"&amp;840),INDEX(m_label,_xlfn.MAXIFS(m_row,m_teacher,BD$4,m_date,($G$2+21),m_active,1,m_start,"&lt;"&amp;900,m_end,"&gt;"&amp;840))))))</f>
        <v/>
      </c>
      <c r="BE10" s="78"/>
      <c r="BF10" s="79" t="s">
        <v>96</v>
      </c>
      <c r="BG10" s="82" t="str">
        <f aca="false">IF(OR(BG$4="",MONTH(($G$2+28))&lt;&gt;MONTH($C$2)),"",IF(COUNTIFS(m_teacher,BG$4,m_date,($G$2+28),m_active,1,m_start,"&lt;"&amp;900,m_end,"&gt;"&amp;840)=0,"",IF(COUNTIFS(m_teacher,BG$4,m_date,($G$2+28),m_active,1,m_start,"&lt;"&amp;900,m_end,"&gt;"&amp;840)&gt;1,"충돌",HYPERLINK("#'관리자_MASTER'!D"&amp;_xlfn.MAXIFS(m_row,m_teacher,BG$4,m_date,($G$2+28),m_active,1,m_start,"&lt;"&amp;900,m_end,"&gt;"&amp;840),INDEX(m_label,_xlfn.MAXIFS(m_row,m_teacher,BG$4,m_date,($G$2+28),m_active,1,m_start,"&lt;"&amp;900,m_end,"&gt;"&amp;840))))))</f>
        <v/>
      </c>
      <c r="BH10" s="82" t="str">
        <f aca="false">IF(OR(BH$4="",MONTH(($G$2+28))&lt;&gt;MONTH($C$2)),"",IF(COUNTIFS(m_teacher,BH$4,m_date,($G$2+28),m_active,1,m_start,"&lt;"&amp;900,m_end,"&gt;"&amp;840)=0,"",IF(COUNTIFS(m_teacher,BH$4,m_date,($G$2+28),m_active,1,m_start,"&lt;"&amp;900,m_end,"&gt;"&amp;840)&gt;1,"충돌",HYPERLINK("#'관리자_MASTER'!D"&amp;_xlfn.MAXIFS(m_row,m_teacher,BH$4,m_date,($G$2+28),m_active,1,m_start,"&lt;"&amp;900,m_end,"&gt;"&amp;840),INDEX(m_label,_xlfn.MAXIFS(m_row,m_teacher,BH$4,m_date,($G$2+28),m_active,1,m_start,"&lt;"&amp;900,m_end,"&gt;"&amp;840))))))</f>
        <v/>
      </c>
      <c r="BI10" s="82" t="str">
        <f aca="false">IF(OR(BI$4="",MONTH(($G$2+28))&lt;&gt;MONTH($C$2)),"",IF(COUNTIFS(m_teacher,BI$4,m_date,($G$2+28),m_active,1,m_start,"&lt;"&amp;900,m_end,"&gt;"&amp;840)=0,"",IF(COUNTIFS(m_teacher,BI$4,m_date,($G$2+28),m_active,1,m_start,"&lt;"&amp;900,m_end,"&gt;"&amp;840)&gt;1,"충돌",HYPERLINK("#'관리자_MASTER'!D"&amp;_xlfn.MAXIFS(m_row,m_teacher,BI$4,m_date,($G$2+28),m_active,1,m_start,"&lt;"&amp;900,m_end,"&gt;"&amp;840),INDEX(m_label,_xlfn.MAXIFS(m_row,m_teacher,BI$4,m_date,($G$2+28),m_active,1,m_start,"&lt;"&amp;900,m_end,"&gt;"&amp;840))))))</f>
        <v/>
      </c>
      <c r="BJ10" s="82" t="str">
        <f aca="false">IF(OR(BJ$4="",MONTH(($G$2+28))&lt;&gt;MONTH($C$2)),"",IF(COUNTIFS(m_teacher,BJ$4,m_date,($G$2+28),m_active,1,m_start,"&lt;"&amp;900,m_end,"&gt;"&amp;840)=0,"",IF(COUNTIFS(m_teacher,BJ$4,m_date,($G$2+28),m_active,1,m_start,"&lt;"&amp;900,m_end,"&gt;"&amp;840)&gt;1,"충돌",HYPERLINK("#'관리자_MASTER'!D"&amp;_xlfn.MAXIFS(m_row,m_teacher,BJ$4,m_date,($G$2+28),m_active,1,m_start,"&lt;"&amp;900,m_end,"&gt;"&amp;840),INDEX(m_label,_xlfn.MAXIFS(m_row,m_teacher,BJ$4,m_date,($G$2+28),m_active,1,m_start,"&lt;"&amp;900,m_end,"&gt;"&amp;840))))))</f>
        <v/>
      </c>
      <c r="BK10" s="82" t="str">
        <f aca="false">IF(OR(BK$4="",MONTH(($G$2+28))&lt;&gt;MONTH($C$2)),"",IF(COUNTIFS(m_teacher,BK$4,m_date,($G$2+28),m_active,1,m_start,"&lt;"&amp;900,m_end,"&gt;"&amp;840)=0,"",IF(COUNTIFS(m_teacher,BK$4,m_date,($G$2+28),m_active,1,m_start,"&lt;"&amp;900,m_end,"&gt;"&amp;840)&gt;1,"충돌",HYPERLINK("#'관리자_MASTER'!D"&amp;_xlfn.MAXIFS(m_row,m_teacher,BK$4,m_date,($G$2+28),m_active,1,m_start,"&lt;"&amp;900,m_end,"&gt;"&amp;840),INDEX(m_label,_xlfn.MAXIFS(m_row,m_teacher,BK$4,m_date,($G$2+28),m_active,1,m_start,"&lt;"&amp;900,m_end,"&gt;"&amp;840))))))</f>
        <v/>
      </c>
      <c r="BL10" s="82" t="str">
        <f aca="false">IF(OR(BL$4="",MONTH(($G$2+28))&lt;&gt;MONTH($C$2)),"",IF(COUNTIFS(m_teacher,BL$4,m_date,($G$2+28),m_active,1,m_start,"&lt;"&amp;900,m_end,"&gt;"&amp;840)=0,"",IF(COUNTIFS(m_teacher,BL$4,m_date,($G$2+28),m_active,1,m_start,"&lt;"&amp;900,m_end,"&gt;"&amp;840)&gt;1,"충돌",HYPERLINK("#'관리자_MASTER'!D"&amp;_xlfn.MAXIFS(m_row,m_teacher,BL$4,m_date,($G$2+28),m_active,1,m_start,"&lt;"&amp;900,m_end,"&gt;"&amp;840),INDEX(m_label,_xlfn.MAXIFS(m_row,m_teacher,BL$4,m_date,($G$2+28),m_active,1,m_start,"&lt;"&amp;900,m_end,"&gt;"&amp;840))))))</f>
        <v/>
      </c>
      <c r="BM10" s="82" t="str">
        <f aca="false">IF(OR(BM$4="",MONTH(($G$2+28))&lt;&gt;MONTH($C$2)),"",IF(COUNTIFS(m_teacher,BM$4,m_date,($G$2+28),m_active,1,m_start,"&lt;"&amp;900,m_end,"&gt;"&amp;840)=0,"",IF(COUNTIFS(m_teacher,BM$4,m_date,($G$2+28),m_active,1,m_start,"&lt;"&amp;900,m_end,"&gt;"&amp;840)&gt;1,"충돌",HYPERLINK("#'관리자_MASTER'!D"&amp;_xlfn.MAXIFS(m_row,m_teacher,BM$4,m_date,($G$2+28),m_active,1,m_start,"&lt;"&amp;900,m_end,"&gt;"&amp;840),INDEX(m_label,_xlfn.MAXIFS(m_row,m_teacher,BM$4,m_date,($G$2+28),m_active,1,m_start,"&lt;"&amp;900,m_end,"&gt;"&amp;840))))))</f>
        <v/>
      </c>
      <c r="BN10" s="82" t="str">
        <f aca="false">IF(OR(BN$4="",MONTH(($G$2+28))&lt;&gt;MONTH($C$2)),"",IF(COUNTIFS(m_teacher,BN$4,m_date,($G$2+28),m_active,1,m_start,"&lt;"&amp;900,m_end,"&gt;"&amp;840)=0,"",IF(COUNTIFS(m_teacher,BN$4,m_date,($G$2+28),m_active,1,m_start,"&lt;"&amp;900,m_end,"&gt;"&amp;840)&gt;1,"충돌",HYPERLINK("#'관리자_MASTER'!D"&amp;_xlfn.MAXIFS(m_row,m_teacher,BN$4,m_date,($G$2+28),m_active,1,m_start,"&lt;"&amp;900,m_end,"&gt;"&amp;840),INDEX(m_label,_xlfn.MAXIFS(m_row,m_teacher,BN$4,m_date,($G$2+28),m_active,1,m_start,"&lt;"&amp;900,m_end,"&gt;"&amp;840))))))</f>
        <v/>
      </c>
      <c r="BO10" s="82" t="str">
        <f aca="false">IF(OR(BO$4="",MONTH(($G$2+28))&lt;&gt;MONTH($C$2)),"",IF(COUNTIFS(m_teacher,BO$4,m_date,($G$2+28),m_active,1,m_start,"&lt;"&amp;900,m_end,"&gt;"&amp;840)=0,"",IF(COUNTIFS(m_teacher,BO$4,m_date,($G$2+28),m_active,1,m_start,"&lt;"&amp;900,m_end,"&gt;"&amp;840)&gt;1,"충돌",HYPERLINK("#'관리자_MASTER'!D"&amp;_xlfn.MAXIFS(m_row,m_teacher,BO$4,m_date,($G$2+28),m_active,1,m_start,"&lt;"&amp;900,m_end,"&gt;"&amp;840),INDEX(m_label,_xlfn.MAXIFS(m_row,m_teacher,BO$4,m_date,($G$2+28),m_active,1,m_start,"&lt;"&amp;900,m_end,"&gt;"&amp;840))))))</f>
        <v/>
      </c>
      <c r="BP10" s="82" t="str">
        <f aca="false">IF(OR(BP$4="",MONTH(($G$2+28))&lt;&gt;MONTH($C$2)),"",IF(COUNTIFS(m_teacher,BP$4,m_date,($G$2+28),m_active,1,m_start,"&lt;"&amp;900,m_end,"&gt;"&amp;840)=0,"",IF(COUNTIFS(m_teacher,BP$4,m_date,($G$2+28),m_active,1,m_start,"&lt;"&amp;900,m_end,"&gt;"&amp;840)&gt;1,"충돌",HYPERLINK("#'관리자_MASTER'!D"&amp;_xlfn.MAXIFS(m_row,m_teacher,BP$4,m_date,($G$2+28),m_active,1,m_start,"&lt;"&amp;900,m_end,"&gt;"&amp;840),INDEX(m_label,_xlfn.MAXIFS(m_row,m_teacher,BP$4,m_date,($G$2+28),m_active,1,m_start,"&lt;"&amp;900,m_end,"&gt;"&amp;840))))))</f>
        <v/>
      </c>
      <c r="BQ10" s="82" t="str">
        <f aca="false">IF(OR(BQ$4="",MONTH(($G$2+28))&lt;&gt;MONTH($C$2)),"",IF(COUNTIFS(m_teacher,BQ$4,m_date,($G$2+28),m_active,1,m_start,"&lt;"&amp;900,m_end,"&gt;"&amp;840)=0,"",IF(COUNTIFS(m_teacher,BQ$4,m_date,($G$2+28),m_active,1,m_start,"&lt;"&amp;900,m_end,"&gt;"&amp;840)&gt;1,"충돌",HYPERLINK("#'관리자_MASTER'!D"&amp;_xlfn.MAXIFS(m_row,m_teacher,BQ$4,m_date,($G$2+28),m_active,1,m_start,"&lt;"&amp;900,m_end,"&gt;"&amp;840),INDEX(m_label,_xlfn.MAXIFS(m_row,m_teacher,BQ$4,m_date,($G$2+28),m_active,1,m_start,"&lt;"&amp;900,m_end,"&gt;"&amp;840))))))</f>
        <v/>
      </c>
      <c r="BR10" s="82" t="str">
        <f aca="false">IF(OR(BR$4="",MONTH(($G$2+28))&lt;&gt;MONTH($C$2)),"",IF(COUNTIFS(m_teacher,BR$4,m_date,($G$2+28),m_active,1,m_start,"&lt;"&amp;900,m_end,"&gt;"&amp;840)=0,"",IF(COUNTIFS(m_teacher,BR$4,m_date,($G$2+28),m_active,1,m_start,"&lt;"&amp;900,m_end,"&gt;"&amp;840)&gt;1,"충돌",HYPERLINK("#'관리자_MASTER'!D"&amp;_xlfn.MAXIFS(m_row,m_teacher,BR$4,m_date,($G$2+28),m_active,1,m_start,"&lt;"&amp;900,m_end,"&gt;"&amp;840),INDEX(m_label,_xlfn.MAXIFS(m_row,m_teacher,BR$4,m_date,($G$2+28),m_active,1,m_start,"&lt;"&amp;900,m_end,"&gt;"&amp;840))))))</f>
        <v/>
      </c>
    </row>
    <row r="11" customFormat="false" ht="19.5" hidden="false" customHeight="true" outlineLevel="0" collapsed="false">
      <c r="A11" s="75"/>
      <c r="B11" s="76" t="s">
        <v>97</v>
      </c>
      <c r="C11" s="81" t="str">
        <f aca="false">IF(OR(C$4="",MONTH(($G$2+0))&lt;&gt;MONTH($C$2)),"",IF(COUNTIFS(m_teacher,C$4,m_date,($G$2+0),m_active,1,m_start,"&lt;"&amp;960,m_end,"&gt;"&amp;900)=0,"",IF(COUNTIFS(m_teacher,C$4,m_date,($G$2+0),m_active,1,m_start,"&lt;"&amp;960,m_end,"&gt;"&amp;900)&gt;1,"충돌",HYPERLINK("#'관리자_MASTER'!D"&amp;_xlfn.MAXIFS(m_row,m_teacher,C$4,m_date,($G$2+0),m_active,1,m_start,"&lt;"&amp;960,m_end,"&gt;"&amp;900),INDEX(m_label,_xlfn.MAXIFS(m_row,m_teacher,C$4,m_date,($G$2+0),m_active,1,m_start,"&lt;"&amp;960,m_end,"&gt;"&amp;900))))))</f>
        <v/>
      </c>
      <c r="D11" s="81" t="str">
        <f aca="false">IF(OR(D$4="",MONTH(($G$2+0))&lt;&gt;MONTH($C$2)),"",IF(COUNTIFS(m_teacher,D$4,m_date,($G$2+0),m_active,1,m_start,"&lt;"&amp;960,m_end,"&gt;"&amp;900)=0,"",IF(COUNTIFS(m_teacher,D$4,m_date,($G$2+0),m_active,1,m_start,"&lt;"&amp;960,m_end,"&gt;"&amp;900)&gt;1,"충돌",HYPERLINK("#'관리자_MASTER'!D"&amp;_xlfn.MAXIFS(m_row,m_teacher,D$4,m_date,($G$2+0),m_active,1,m_start,"&lt;"&amp;960,m_end,"&gt;"&amp;900),INDEX(m_label,_xlfn.MAXIFS(m_row,m_teacher,D$4,m_date,($G$2+0),m_active,1,m_start,"&lt;"&amp;960,m_end,"&gt;"&amp;900))))))</f>
        <v/>
      </c>
      <c r="E11" s="81" t="str">
        <f aca="false">IF(OR(E$4="",MONTH(($G$2+0))&lt;&gt;MONTH($C$2)),"",IF(COUNTIFS(m_teacher,E$4,m_date,($G$2+0),m_active,1,m_start,"&lt;"&amp;960,m_end,"&gt;"&amp;900)=0,"",IF(COUNTIFS(m_teacher,E$4,m_date,($G$2+0),m_active,1,m_start,"&lt;"&amp;960,m_end,"&gt;"&amp;900)&gt;1,"충돌",HYPERLINK("#'관리자_MASTER'!D"&amp;_xlfn.MAXIFS(m_row,m_teacher,E$4,m_date,($G$2+0),m_active,1,m_start,"&lt;"&amp;960,m_end,"&gt;"&amp;900),INDEX(m_label,_xlfn.MAXIFS(m_row,m_teacher,E$4,m_date,($G$2+0),m_active,1,m_start,"&lt;"&amp;960,m_end,"&gt;"&amp;900))))))</f>
        <v/>
      </c>
      <c r="F11" s="81" t="str">
        <f aca="false">IF(OR(F$4="",MONTH(($G$2+0))&lt;&gt;MONTH($C$2)),"",IF(COUNTIFS(m_teacher,F$4,m_date,($G$2+0),m_active,1,m_start,"&lt;"&amp;960,m_end,"&gt;"&amp;900)=0,"",IF(COUNTIFS(m_teacher,F$4,m_date,($G$2+0),m_active,1,m_start,"&lt;"&amp;960,m_end,"&gt;"&amp;900)&gt;1,"충돌",HYPERLINK("#'관리자_MASTER'!D"&amp;_xlfn.MAXIFS(m_row,m_teacher,F$4,m_date,($G$2+0),m_active,1,m_start,"&lt;"&amp;960,m_end,"&gt;"&amp;900),INDEX(m_label,_xlfn.MAXIFS(m_row,m_teacher,F$4,m_date,($G$2+0),m_active,1,m_start,"&lt;"&amp;960,m_end,"&gt;"&amp;900))))))</f>
        <v/>
      </c>
      <c r="G11" s="81" t="str">
        <f aca="false">IF(OR(G$4="",MONTH(($G$2+0))&lt;&gt;MONTH($C$2)),"",IF(COUNTIFS(m_teacher,G$4,m_date,($G$2+0),m_active,1,m_start,"&lt;"&amp;960,m_end,"&gt;"&amp;900)=0,"",IF(COUNTIFS(m_teacher,G$4,m_date,($G$2+0),m_active,1,m_start,"&lt;"&amp;960,m_end,"&gt;"&amp;900)&gt;1,"충돌",HYPERLINK("#'관리자_MASTER'!D"&amp;_xlfn.MAXIFS(m_row,m_teacher,G$4,m_date,($G$2+0),m_active,1,m_start,"&lt;"&amp;960,m_end,"&gt;"&amp;900),INDEX(m_label,_xlfn.MAXIFS(m_row,m_teacher,G$4,m_date,($G$2+0),m_active,1,m_start,"&lt;"&amp;960,m_end,"&gt;"&amp;900))))))</f>
        <v/>
      </c>
      <c r="H11" s="81" t="str">
        <f aca="false">IF(OR(H$4="",MONTH(($G$2+0))&lt;&gt;MONTH($C$2)),"",IF(COUNTIFS(m_teacher,H$4,m_date,($G$2+0),m_active,1,m_start,"&lt;"&amp;960,m_end,"&gt;"&amp;900)=0,"",IF(COUNTIFS(m_teacher,H$4,m_date,($G$2+0),m_active,1,m_start,"&lt;"&amp;960,m_end,"&gt;"&amp;900)&gt;1,"충돌",HYPERLINK("#'관리자_MASTER'!D"&amp;_xlfn.MAXIFS(m_row,m_teacher,H$4,m_date,($G$2+0),m_active,1,m_start,"&lt;"&amp;960,m_end,"&gt;"&amp;900),INDEX(m_label,_xlfn.MAXIFS(m_row,m_teacher,H$4,m_date,($G$2+0),m_active,1,m_start,"&lt;"&amp;960,m_end,"&gt;"&amp;900))))))</f>
        <v/>
      </c>
      <c r="I11" s="81" t="str">
        <f aca="false">IF(OR(I$4="",MONTH(($G$2+0))&lt;&gt;MONTH($C$2)),"",IF(COUNTIFS(m_teacher,I$4,m_date,($G$2+0),m_active,1,m_start,"&lt;"&amp;960,m_end,"&gt;"&amp;900)=0,"",IF(COUNTIFS(m_teacher,I$4,m_date,($G$2+0),m_active,1,m_start,"&lt;"&amp;960,m_end,"&gt;"&amp;900)&gt;1,"충돌",HYPERLINK("#'관리자_MASTER'!D"&amp;_xlfn.MAXIFS(m_row,m_teacher,I$4,m_date,($G$2+0),m_active,1,m_start,"&lt;"&amp;960,m_end,"&gt;"&amp;900),INDEX(m_label,_xlfn.MAXIFS(m_row,m_teacher,I$4,m_date,($G$2+0),m_active,1,m_start,"&lt;"&amp;960,m_end,"&gt;"&amp;900))))))</f>
        <v/>
      </c>
      <c r="J11" s="81" t="str">
        <f aca="false">IF(OR(J$4="",MONTH(($G$2+0))&lt;&gt;MONTH($C$2)),"",IF(COUNTIFS(m_teacher,J$4,m_date,($G$2+0),m_active,1,m_start,"&lt;"&amp;960,m_end,"&gt;"&amp;900)=0,"",IF(COUNTIFS(m_teacher,J$4,m_date,($G$2+0),m_active,1,m_start,"&lt;"&amp;960,m_end,"&gt;"&amp;900)&gt;1,"충돌",HYPERLINK("#'관리자_MASTER'!D"&amp;_xlfn.MAXIFS(m_row,m_teacher,J$4,m_date,($G$2+0),m_active,1,m_start,"&lt;"&amp;960,m_end,"&gt;"&amp;900),INDEX(m_label,_xlfn.MAXIFS(m_row,m_teacher,J$4,m_date,($G$2+0),m_active,1,m_start,"&lt;"&amp;960,m_end,"&gt;"&amp;900))))))</f>
        <v/>
      </c>
      <c r="K11" s="81" t="str">
        <f aca="false">IF(OR(K$4="",MONTH(($G$2+0))&lt;&gt;MONTH($C$2)),"",IF(COUNTIFS(m_teacher,K$4,m_date,($G$2+0),m_active,1,m_start,"&lt;"&amp;960,m_end,"&gt;"&amp;900)=0,"",IF(COUNTIFS(m_teacher,K$4,m_date,($G$2+0),m_active,1,m_start,"&lt;"&amp;960,m_end,"&gt;"&amp;900)&gt;1,"충돌",HYPERLINK("#'관리자_MASTER'!D"&amp;_xlfn.MAXIFS(m_row,m_teacher,K$4,m_date,($G$2+0),m_active,1,m_start,"&lt;"&amp;960,m_end,"&gt;"&amp;900),INDEX(m_label,_xlfn.MAXIFS(m_row,m_teacher,K$4,m_date,($G$2+0),m_active,1,m_start,"&lt;"&amp;960,m_end,"&gt;"&amp;900))))))</f>
        <v/>
      </c>
      <c r="L11" s="81" t="str">
        <f aca="false">IF(OR(L$4="",MONTH(($G$2+0))&lt;&gt;MONTH($C$2)),"",IF(COUNTIFS(m_teacher,L$4,m_date,($G$2+0),m_active,1,m_start,"&lt;"&amp;960,m_end,"&gt;"&amp;900)=0,"",IF(COUNTIFS(m_teacher,L$4,m_date,($G$2+0),m_active,1,m_start,"&lt;"&amp;960,m_end,"&gt;"&amp;900)&gt;1,"충돌",HYPERLINK("#'관리자_MASTER'!D"&amp;_xlfn.MAXIFS(m_row,m_teacher,L$4,m_date,($G$2+0),m_active,1,m_start,"&lt;"&amp;960,m_end,"&gt;"&amp;900),INDEX(m_label,_xlfn.MAXIFS(m_row,m_teacher,L$4,m_date,($G$2+0),m_active,1,m_start,"&lt;"&amp;960,m_end,"&gt;"&amp;900))))))</f>
        <v/>
      </c>
      <c r="M11" s="81" t="str">
        <f aca="false">IF(OR(M$4="",MONTH(($G$2+0))&lt;&gt;MONTH($C$2)),"",IF(COUNTIFS(m_teacher,M$4,m_date,($G$2+0),m_active,1,m_start,"&lt;"&amp;960,m_end,"&gt;"&amp;900)=0,"",IF(COUNTIFS(m_teacher,M$4,m_date,($G$2+0),m_active,1,m_start,"&lt;"&amp;960,m_end,"&gt;"&amp;900)&gt;1,"충돌",HYPERLINK("#'관리자_MASTER'!D"&amp;_xlfn.MAXIFS(m_row,m_teacher,M$4,m_date,($G$2+0),m_active,1,m_start,"&lt;"&amp;960,m_end,"&gt;"&amp;900),INDEX(m_label,_xlfn.MAXIFS(m_row,m_teacher,M$4,m_date,($G$2+0),m_active,1,m_start,"&lt;"&amp;960,m_end,"&gt;"&amp;900))))))</f>
        <v/>
      </c>
      <c r="N11" s="81" t="str">
        <f aca="false">IF(OR(N$4="",MONTH(($G$2+0))&lt;&gt;MONTH($C$2)),"",IF(COUNTIFS(m_teacher,N$4,m_date,($G$2+0),m_active,1,m_start,"&lt;"&amp;960,m_end,"&gt;"&amp;900)=0,"",IF(COUNTIFS(m_teacher,N$4,m_date,($G$2+0),m_active,1,m_start,"&lt;"&amp;960,m_end,"&gt;"&amp;900)&gt;1,"충돌",HYPERLINK("#'관리자_MASTER'!D"&amp;_xlfn.MAXIFS(m_row,m_teacher,N$4,m_date,($G$2+0),m_active,1,m_start,"&lt;"&amp;960,m_end,"&gt;"&amp;900),INDEX(m_label,_xlfn.MAXIFS(m_row,m_teacher,N$4,m_date,($G$2+0),m_active,1,m_start,"&lt;"&amp;960,m_end,"&gt;"&amp;900))))))</f>
        <v/>
      </c>
      <c r="O11" s="78"/>
      <c r="P11" s="79" t="s">
        <v>97</v>
      </c>
      <c r="Q11" s="82" t="str">
        <f aca="false">IF(OR(Q$4="",MONTH(($G$2+7))&lt;&gt;MONTH($C$2)),"",IF(COUNTIFS(m_teacher,Q$4,m_date,($G$2+7),m_active,1,m_start,"&lt;"&amp;960,m_end,"&gt;"&amp;900)=0,"",IF(COUNTIFS(m_teacher,Q$4,m_date,($G$2+7),m_active,1,m_start,"&lt;"&amp;960,m_end,"&gt;"&amp;900)&gt;1,"충돌",HYPERLINK("#'관리자_MASTER'!D"&amp;_xlfn.MAXIFS(m_row,m_teacher,Q$4,m_date,($G$2+7),m_active,1,m_start,"&lt;"&amp;960,m_end,"&gt;"&amp;900),INDEX(m_label,_xlfn.MAXIFS(m_row,m_teacher,Q$4,m_date,($G$2+7),m_active,1,m_start,"&lt;"&amp;960,m_end,"&gt;"&amp;900))))))</f>
        <v/>
      </c>
      <c r="R11" s="82" t="str">
        <f aca="false">IF(OR(R$4="",MONTH(($G$2+7))&lt;&gt;MONTH($C$2)),"",IF(COUNTIFS(m_teacher,R$4,m_date,($G$2+7),m_active,1,m_start,"&lt;"&amp;960,m_end,"&gt;"&amp;900)=0,"",IF(COUNTIFS(m_teacher,R$4,m_date,($G$2+7),m_active,1,m_start,"&lt;"&amp;960,m_end,"&gt;"&amp;900)&gt;1,"충돌",HYPERLINK("#'관리자_MASTER'!D"&amp;_xlfn.MAXIFS(m_row,m_teacher,R$4,m_date,($G$2+7),m_active,1,m_start,"&lt;"&amp;960,m_end,"&gt;"&amp;900),INDEX(m_label,_xlfn.MAXIFS(m_row,m_teacher,R$4,m_date,($G$2+7),m_active,1,m_start,"&lt;"&amp;960,m_end,"&gt;"&amp;900))))))</f>
        <v/>
      </c>
      <c r="S11" s="82" t="str">
        <f aca="false">IF(OR(S$4="",MONTH(($G$2+7))&lt;&gt;MONTH($C$2)),"",IF(COUNTIFS(m_teacher,S$4,m_date,($G$2+7),m_active,1,m_start,"&lt;"&amp;960,m_end,"&gt;"&amp;900)=0,"",IF(COUNTIFS(m_teacher,S$4,m_date,($G$2+7),m_active,1,m_start,"&lt;"&amp;960,m_end,"&gt;"&amp;900)&gt;1,"충돌",HYPERLINK("#'관리자_MASTER'!D"&amp;_xlfn.MAXIFS(m_row,m_teacher,S$4,m_date,($G$2+7),m_active,1,m_start,"&lt;"&amp;960,m_end,"&gt;"&amp;900),INDEX(m_label,_xlfn.MAXIFS(m_row,m_teacher,S$4,m_date,($G$2+7),m_active,1,m_start,"&lt;"&amp;960,m_end,"&gt;"&amp;900))))))</f>
        <v/>
      </c>
      <c r="T11" s="82" t="str">
        <f aca="false">IF(OR(T$4="",MONTH(($G$2+7))&lt;&gt;MONTH($C$2)),"",IF(COUNTIFS(m_teacher,T$4,m_date,($G$2+7),m_active,1,m_start,"&lt;"&amp;960,m_end,"&gt;"&amp;900)=0,"",IF(COUNTIFS(m_teacher,T$4,m_date,($G$2+7),m_active,1,m_start,"&lt;"&amp;960,m_end,"&gt;"&amp;900)&gt;1,"충돌",HYPERLINK("#'관리자_MASTER'!D"&amp;_xlfn.MAXIFS(m_row,m_teacher,T$4,m_date,($G$2+7),m_active,1,m_start,"&lt;"&amp;960,m_end,"&gt;"&amp;900),INDEX(m_label,_xlfn.MAXIFS(m_row,m_teacher,T$4,m_date,($G$2+7),m_active,1,m_start,"&lt;"&amp;960,m_end,"&gt;"&amp;900))))))</f>
        <v/>
      </c>
      <c r="U11" s="82" t="str">
        <f aca="false">IF(OR(U$4="",MONTH(($G$2+7))&lt;&gt;MONTH($C$2)),"",IF(COUNTIFS(m_teacher,U$4,m_date,($G$2+7),m_active,1,m_start,"&lt;"&amp;960,m_end,"&gt;"&amp;900)=0,"",IF(COUNTIFS(m_teacher,U$4,m_date,($G$2+7),m_active,1,m_start,"&lt;"&amp;960,m_end,"&gt;"&amp;900)&gt;1,"충돌",HYPERLINK("#'관리자_MASTER'!D"&amp;_xlfn.MAXIFS(m_row,m_teacher,U$4,m_date,($G$2+7),m_active,1,m_start,"&lt;"&amp;960,m_end,"&gt;"&amp;900),INDEX(m_label,_xlfn.MAXIFS(m_row,m_teacher,U$4,m_date,($G$2+7),m_active,1,m_start,"&lt;"&amp;960,m_end,"&gt;"&amp;900))))))</f>
        <v/>
      </c>
      <c r="V11" s="82" t="str">
        <f aca="false">IF(OR(V$4="",MONTH(($G$2+7))&lt;&gt;MONTH($C$2)),"",IF(COUNTIFS(m_teacher,V$4,m_date,($G$2+7),m_active,1,m_start,"&lt;"&amp;960,m_end,"&gt;"&amp;900)=0,"",IF(COUNTIFS(m_teacher,V$4,m_date,($G$2+7),m_active,1,m_start,"&lt;"&amp;960,m_end,"&gt;"&amp;900)&gt;1,"충돌",HYPERLINK("#'관리자_MASTER'!D"&amp;_xlfn.MAXIFS(m_row,m_teacher,V$4,m_date,($G$2+7),m_active,1,m_start,"&lt;"&amp;960,m_end,"&gt;"&amp;900),INDEX(m_label,_xlfn.MAXIFS(m_row,m_teacher,V$4,m_date,($G$2+7),m_active,1,m_start,"&lt;"&amp;960,m_end,"&gt;"&amp;900))))))</f>
        <v/>
      </c>
      <c r="W11" s="82" t="str">
        <f aca="false">IF(OR(W$4="",MONTH(($G$2+7))&lt;&gt;MONTH($C$2)),"",IF(COUNTIFS(m_teacher,W$4,m_date,($G$2+7),m_active,1,m_start,"&lt;"&amp;960,m_end,"&gt;"&amp;900)=0,"",IF(COUNTIFS(m_teacher,W$4,m_date,($G$2+7),m_active,1,m_start,"&lt;"&amp;960,m_end,"&gt;"&amp;900)&gt;1,"충돌",HYPERLINK("#'관리자_MASTER'!D"&amp;_xlfn.MAXIFS(m_row,m_teacher,W$4,m_date,($G$2+7),m_active,1,m_start,"&lt;"&amp;960,m_end,"&gt;"&amp;900),INDEX(m_label,_xlfn.MAXIFS(m_row,m_teacher,W$4,m_date,($G$2+7),m_active,1,m_start,"&lt;"&amp;960,m_end,"&gt;"&amp;900))))))</f>
        <v/>
      </c>
      <c r="X11" s="82" t="str">
        <f aca="false">IF(OR(X$4="",MONTH(($G$2+7))&lt;&gt;MONTH($C$2)),"",IF(COUNTIFS(m_teacher,X$4,m_date,($G$2+7),m_active,1,m_start,"&lt;"&amp;960,m_end,"&gt;"&amp;900)=0,"",IF(COUNTIFS(m_teacher,X$4,m_date,($G$2+7),m_active,1,m_start,"&lt;"&amp;960,m_end,"&gt;"&amp;900)&gt;1,"충돌",HYPERLINK("#'관리자_MASTER'!D"&amp;_xlfn.MAXIFS(m_row,m_teacher,X$4,m_date,($G$2+7),m_active,1,m_start,"&lt;"&amp;960,m_end,"&gt;"&amp;900),INDEX(m_label,_xlfn.MAXIFS(m_row,m_teacher,X$4,m_date,($G$2+7),m_active,1,m_start,"&lt;"&amp;960,m_end,"&gt;"&amp;900))))))</f>
        <v/>
      </c>
      <c r="Y11" s="82" t="str">
        <f aca="false">IF(OR(Y$4="",MONTH(($G$2+7))&lt;&gt;MONTH($C$2)),"",IF(COUNTIFS(m_teacher,Y$4,m_date,($G$2+7),m_active,1,m_start,"&lt;"&amp;960,m_end,"&gt;"&amp;900)=0,"",IF(COUNTIFS(m_teacher,Y$4,m_date,($G$2+7),m_active,1,m_start,"&lt;"&amp;960,m_end,"&gt;"&amp;900)&gt;1,"충돌",HYPERLINK("#'관리자_MASTER'!D"&amp;_xlfn.MAXIFS(m_row,m_teacher,Y$4,m_date,($G$2+7),m_active,1,m_start,"&lt;"&amp;960,m_end,"&gt;"&amp;900),INDEX(m_label,_xlfn.MAXIFS(m_row,m_teacher,Y$4,m_date,($G$2+7),m_active,1,m_start,"&lt;"&amp;960,m_end,"&gt;"&amp;900))))))</f>
        <v/>
      </c>
      <c r="Z11" s="82" t="str">
        <f aca="false">IF(OR(Z$4="",MONTH(($G$2+7))&lt;&gt;MONTH($C$2)),"",IF(COUNTIFS(m_teacher,Z$4,m_date,($G$2+7),m_active,1,m_start,"&lt;"&amp;960,m_end,"&gt;"&amp;900)=0,"",IF(COUNTIFS(m_teacher,Z$4,m_date,($G$2+7),m_active,1,m_start,"&lt;"&amp;960,m_end,"&gt;"&amp;900)&gt;1,"충돌",HYPERLINK("#'관리자_MASTER'!D"&amp;_xlfn.MAXIFS(m_row,m_teacher,Z$4,m_date,($G$2+7),m_active,1,m_start,"&lt;"&amp;960,m_end,"&gt;"&amp;900),INDEX(m_label,_xlfn.MAXIFS(m_row,m_teacher,Z$4,m_date,($G$2+7),m_active,1,m_start,"&lt;"&amp;960,m_end,"&gt;"&amp;900))))))</f>
        <v/>
      </c>
      <c r="AA11" s="82" t="str">
        <f aca="false">IF(OR(AA$4="",MONTH(($G$2+7))&lt;&gt;MONTH($C$2)),"",IF(COUNTIFS(m_teacher,AA$4,m_date,($G$2+7),m_active,1,m_start,"&lt;"&amp;960,m_end,"&gt;"&amp;900)=0,"",IF(COUNTIFS(m_teacher,AA$4,m_date,($G$2+7),m_active,1,m_start,"&lt;"&amp;960,m_end,"&gt;"&amp;900)&gt;1,"충돌",HYPERLINK("#'관리자_MASTER'!D"&amp;_xlfn.MAXIFS(m_row,m_teacher,AA$4,m_date,($G$2+7),m_active,1,m_start,"&lt;"&amp;960,m_end,"&gt;"&amp;900),INDEX(m_label,_xlfn.MAXIFS(m_row,m_teacher,AA$4,m_date,($G$2+7),m_active,1,m_start,"&lt;"&amp;960,m_end,"&gt;"&amp;900))))))</f>
        <v/>
      </c>
      <c r="AB11" s="82" t="str">
        <f aca="false">IF(OR(AB$4="",MONTH(($G$2+7))&lt;&gt;MONTH($C$2)),"",IF(COUNTIFS(m_teacher,AB$4,m_date,($G$2+7),m_active,1,m_start,"&lt;"&amp;960,m_end,"&gt;"&amp;900)=0,"",IF(COUNTIFS(m_teacher,AB$4,m_date,($G$2+7),m_active,1,m_start,"&lt;"&amp;960,m_end,"&gt;"&amp;900)&gt;1,"충돌",HYPERLINK("#'관리자_MASTER'!D"&amp;_xlfn.MAXIFS(m_row,m_teacher,AB$4,m_date,($G$2+7),m_active,1,m_start,"&lt;"&amp;960,m_end,"&gt;"&amp;900),INDEX(m_label,_xlfn.MAXIFS(m_row,m_teacher,AB$4,m_date,($G$2+7),m_active,1,m_start,"&lt;"&amp;960,m_end,"&gt;"&amp;900))))))</f>
        <v/>
      </c>
      <c r="AC11" s="78"/>
      <c r="AD11" s="79" t="s">
        <v>97</v>
      </c>
      <c r="AE11" s="82" t="str">
        <f aca="false">IF(OR(AE$4="",MONTH(($G$2+14))&lt;&gt;MONTH($C$2)),"",IF(COUNTIFS(m_teacher,AE$4,m_date,($G$2+14),m_active,1,m_start,"&lt;"&amp;960,m_end,"&gt;"&amp;900)=0,"",IF(COUNTIFS(m_teacher,AE$4,m_date,($G$2+14),m_active,1,m_start,"&lt;"&amp;960,m_end,"&gt;"&amp;900)&gt;1,"충돌",HYPERLINK("#'관리자_MASTER'!D"&amp;_xlfn.MAXIFS(m_row,m_teacher,AE$4,m_date,($G$2+14),m_active,1,m_start,"&lt;"&amp;960,m_end,"&gt;"&amp;900),INDEX(m_label,_xlfn.MAXIFS(m_row,m_teacher,AE$4,m_date,($G$2+14),m_active,1,m_start,"&lt;"&amp;960,m_end,"&gt;"&amp;900))))))</f>
        <v/>
      </c>
      <c r="AF11" s="82" t="str">
        <f aca="false">IF(OR(AF$4="",MONTH(($G$2+14))&lt;&gt;MONTH($C$2)),"",IF(COUNTIFS(m_teacher,AF$4,m_date,($G$2+14),m_active,1,m_start,"&lt;"&amp;960,m_end,"&gt;"&amp;900)=0,"",IF(COUNTIFS(m_teacher,AF$4,m_date,($G$2+14),m_active,1,m_start,"&lt;"&amp;960,m_end,"&gt;"&amp;900)&gt;1,"충돌",HYPERLINK("#'관리자_MASTER'!D"&amp;_xlfn.MAXIFS(m_row,m_teacher,AF$4,m_date,($G$2+14),m_active,1,m_start,"&lt;"&amp;960,m_end,"&gt;"&amp;900),INDEX(m_label,_xlfn.MAXIFS(m_row,m_teacher,AF$4,m_date,($G$2+14),m_active,1,m_start,"&lt;"&amp;960,m_end,"&gt;"&amp;900))))))</f>
        <v/>
      </c>
      <c r="AG11" s="82" t="str">
        <f aca="false">IF(OR(AG$4="",MONTH(($G$2+14))&lt;&gt;MONTH($C$2)),"",IF(COUNTIFS(m_teacher,AG$4,m_date,($G$2+14),m_active,1,m_start,"&lt;"&amp;960,m_end,"&gt;"&amp;900)=0,"",IF(COUNTIFS(m_teacher,AG$4,m_date,($G$2+14),m_active,1,m_start,"&lt;"&amp;960,m_end,"&gt;"&amp;900)&gt;1,"충돌",HYPERLINK("#'관리자_MASTER'!D"&amp;_xlfn.MAXIFS(m_row,m_teacher,AG$4,m_date,($G$2+14),m_active,1,m_start,"&lt;"&amp;960,m_end,"&gt;"&amp;900),INDEX(m_label,_xlfn.MAXIFS(m_row,m_teacher,AG$4,m_date,($G$2+14),m_active,1,m_start,"&lt;"&amp;960,m_end,"&gt;"&amp;900))))))</f>
        <v/>
      </c>
      <c r="AH11" s="82" t="str">
        <f aca="false">IF(OR(AH$4="",MONTH(($G$2+14))&lt;&gt;MONTH($C$2)),"",IF(COUNTIFS(m_teacher,AH$4,m_date,($G$2+14),m_active,1,m_start,"&lt;"&amp;960,m_end,"&gt;"&amp;900)=0,"",IF(COUNTIFS(m_teacher,AH$4,m_date,($G$2+14),m_active,1,m_start,"&lt;"&amp;960,m_end,"&gt;"&amp;900)&gt;1,"충돌",HYPERLINK("#'관리자_MASTER'!D"&amp;_xlfn.MAXIFS(m_row,m_teacher,AH$4,m_date,($G$2+14),m_active,1,m_start,"&lt;"&amp;960,m_end,"&gt;"&amp;900),INDEX(m_label,_xlfn.MAXIFS(m_row,m_teacher,AH$4,m_date,($G$2+14),m_active,1,m_start,"&lt;"&amp;960,m_end,"&gt;"&amp;900))))))</f>
        <v/>
      </c>
      <c r="AI11" s="82" t="str">
        <f aca="false">IF(OR(AI$4="",MONTH(($G$2+14))&lt;&gt;MONTH($C$2)),"",IF(COUNTIFS(m_teacher,AI$4,m_date,($G$2+14),m_active,1,m_start,"&lt;"&amp;960,m_end,"&gt;"&amp;900)=0,"",IF(COUNTIFS(m_teacher,AI$4,m_date,($G$2+14),m_active,1,m_start,"&lt;"&amp;960,m_end,"&gt;"&amp;900)&gt;1,"충돌",HYPERLINK("#'관리자_MASTER'!D"&amp;_xlfn.MAXIFS(m_row,m_teacher,AI$4,m_date,($G$2+14),m_active,1,m_start,"&lt;"&amp;960,m_end,"&gt;"&amp;900),INDEX(m_label,_xlfn.MAXIFS(m_row,m_teacher,AI$4,m_date,($G$2+14),m_active,1,m_start,"&lt;"&amp;960,m_end,"&gt;"&amp;900))))))</f>
        <v/>
      </c>
      <c r="AJ11" s="82" t="str">
        <f aca="false">IF(OR(AJ$4="",MONTH(($G$2+14))&lt;&gt;MONTH($C$2)),"",IF(COUNTIFS(m_teacher,AJ$4,m_date,($G$2+14),m_active,1,m_start,"&lt;"&amp;960,m_end,"&gt;"&amp;900)=0,"",IF(COUNTIFS(m_teacher,AJ$4,m_date,($G$2+14),m_active,1,m_start,"&lt;"&amp;960,m_end,"&gt;"&amp;900)&gt;1,"충돌",HYPERLINK("#'관리자_MASTER'!D"&amp;_xlfn.MAXIFS(m_row,m_teacher,AJ$4,m_date,($G$2+14),m_active,1,m_start,"&lt;"&amp;960,m_end,"&gt;"&amp;900),INDEX(m_label,_xlfn.MAXIFS(m_row,m_teacher,AJ$4,m_date,($G$2+14),m_active,1,m_start,"&lt;"&amp;960,m_end,"&gt;"&amp;900))))))</f>
        <v/>
      </c>
      <c r="AK11" s="82" t="str">
        <f aca="false">IF(OR(AK$4="",MONTH(($G$2+14))&lt;&gt;MONTH($C$2)),"",IF(COUNTIFS(m_teacher,AK$4,m_date,($G$2+14),m_active,1,m_start,"&lt;"&amp;960,m_end,"&gt;"&amp;900)=0,"",IF(COUNTIFS(m_teacher,AK$4,m_date,($G$2+14),m_active,1,m_start,"&lt;"&amp;960,m_end,"&gt;"&amp;900)&gt;1,"충돌",HYPERLINK("#'관리자_MASTER'!D"&amp;_xlfn.MAXIFS(m_row,m_teacher,AK$4,m_date,($G$2+14),m_active,1,m_start,"&lt;"&amp;960,m_end,"&gt;"&amp;900),INDEX(m_label,_xlfn.MAXIFS(m_row,m_teacher,AK$4,m_date,($G$2+14),m_active,1,m_start,"&lt;"&amp;960,m_end,"&gt;"&amp;900))))))</f>
        <v/>
      </c>
      <c r="AL11" s="82" t="str">
        <f aca="false">IF(OR(AL$4="",MONTH(($G$2+14))&lt;&gt;MONTH($C$2)),"",IF(COUNTIFS(m_teacher,AL$4,m_date,($G$2+14),m_active,1,m_start,"&lt;"&amp;960,m_end,"&gt;"&amp;900)=0,"",IF(COUNTIFS(m_teacher,AL$4,m_date,($G$2+14),m_active,1,m_start,"&lt;"&amp;960,m_end,"&gt;"&amp;900)&gt;1,"충돌",HYPERLINK("#'관리자_MASTER'!D"&amp;_xlfn.MAXIFS(m_row,m_teacher,AL$4,m_date,($G$2+14),m_active,1,m_start,"&lt;"&amp;960,m_end,"&gt;"&amp;900),INDEX(m_label,_xlfn.MAXIFS(m_row,m_teacher,AL$4,m_date,($G$2+14),m_active,1,m_start,"&lt;"&amp;960,m_end,"&gt;"&amp;900))))))</f>
        <v/>
      </c>
      <c r="AM11" s="82" t="str">
        <f aca="false">IF(OR(AM$4="",MONTH(($G$2+14))&lt;&gt;MONTH($C$2)),"",IF(COUNTIFS(m_teacher,AM$4,m_date,($G$2+14),m_active,1,m_start,"&lt;"&amp;960,m_end,"&gt;"&amp;900)=0,"",IF(COUNTIFS(m_teacher,AM$4,m_date,($G$2+14),m_active,1,m_start,"&lt;"&amp;960,m_end,"&gt;"&amp;900)&gt;1,"충돌",HYPERLINK("#'관리자_MASTER'!D"&amp;_xlfn.MAXIFS(m_row,m_teacher,AM$4,m_date,($G$2+14),m_active,1,m_start,"&lt;"&amp;960,m_end,"&gt;"&amp;900),INDEX(m_label,_xlfn.MAXIFS(m_row,m_teacher,AM$4,m_date,($G$2+14),m_active,1,m_start,"&lt;"&amp;960,m_end,"&gt;"&amp;900))))))</f>
        <v/>
      </c>
      <c r="AN11" s="82" t="str">
        <f aca="false">IF(OR(AN$4="",MONTH(($G$2+14))&lt;&gt;MONTH($C$2)),"",IF(COUNTIFS(m_teacher,AN$4,m_date,($G$2+14),m_active,1,m_start,"&lt;"&amp;960,m_end,"&gt;"&amp;900)=0,"",IF(COUNTIFS(m_teacher,AN$4,m_date,($G$2+14),m_active,1,m_start,"&lt;"&amp;960,m_end,"&gt;"&amp;900)&gt;1,"충돌",HYPERLINK("#'관리자_MASTER'!D"&amp;_xlfn.MAXIFS(m_row,m_teacher,AN$4,m_date,($G$2+14),m_active,1,m_start,"&lt;"&amp;960,m_end,"&gt;"&amp;900),INDEX(m_label,_xlfn.MAXIFS(m_row,m_teacher,AN$4,m_date,($G$2+14),m_active,1,m_start,"&lt;"&amp;960,m_end,"&gt;"&amp;900))))))</f>
        <v/>
      </c>
      <c r="AO11" s="82" t="str">
        <f aca="false">IF(OR(AO$4="",MONTH(($G$2+14))&lt;&gt;MONTH($C$2)),"",IF(COUNTIFS(m_teacher,AO$4,m_date,($G$2+14),m_active,1,m_start,"&lt;"&amp;960,m_end,"&gt;"&amp;900)=0,"",IF(COUNTIFS(m_teacher,AO$4,m_date,($G$2+14),m_active,1,m_start,"&lt;"&amp;960,m_end,"&gt;"&amp;900)&gt;1,"충돌",HYPERLINK("#'관리자_MASTER'!D"&amp;_xlfn.MAXIFS(m_row,m_teacher,AO$4,m_date,($G$2+14),m_active,1,m_start,"&lt;"&amp;960,m_end,"&gt;"&amp;900),INDEX(m_label,_xlfn.MAXIFS(m_row,m_teacher,AO$4,m_date,($G$2+14),m_active,1,m_start,"&lt;"&amp;960,m_end,"&gt;"&amp;900))))))</f>
        <v/>
      </c>
      <c r="AP11" s="82" t="str">
        <f aca="false">IF(OR(AP$4="",MONTH(($G$2+14))&lt;&gt;MONTH($C$2)),"",IF(COUNTIFS(m_teacher,AP$4,m_date,($G$2+14),m_active,1,m_start,"&lt;"&amp;960,m_end,"&gt;"&amp;900)=0,"",IF(COUNTIFS(m_teacher,AP$4,m_date,($G$2+14),m_active,1,m_start,"&lt;"&amp;960,m_end,"&gt;"&amp;900)&gt;1,"충돌",HYPERLINK("#'관리자_MASTER'!D"&amp;_xlfn.MAXIFS(m_row,m_teacher,AP$4,m_date,($G$2+14),m_active,1,m_start,"&lt;"&amp;960,m_end,"&gt;"&amp;900),INDEX(m_label,_xlfn.MAXIFS(m_row,m_teacher,AP$4,m_date,($G$2+14),m_active,1,m_start,"&lt;"&amp;960,m_end,"&gt;"&amp;900))))))</f>
        <v/>
      </c>
      <c r="AQ11" s="78"/>
      <c r="AR11" s="79" t="s">
        <v>97</v>
      </c>
      <c r="AS11" s="82" t="str">
        <f aca="false">IF(OR(AS$4="",MONTH(($G$2+21))&lt;&gt;MONTH($C$2)),"",IF(COUNTIFS(m_teacher,AS$4,m_date,($G$2+21),m_active,1,m_start,"&lt;"&amp;960,m_end,"&gt;"&amp;900)=0,"",IF(COUNTIFS(m_teacher,AS$4,m_date,($G$2+21),m_active,1,m_start,"&lt;"&amp;960,m_end,"&gt;"&amp;900)&gt;1,"충돌",HYPERLINK("#'관리자_MASTER'!D"&amp;_xlfn.MAXIFS(m_row,m_teacher,AS$4,m_date,($G$2+21),m_active,1,m_start,"&lt;"&amp;960,m_end,"&gt;"&amp;900),INDEX(m_label,_xlfn.MAXIFS(m_row,m_teacher,AS$4,m_date,($G$2+21),m_active,1,m_start,"&lt;"&amp;960,m_end,"&gt;"&amp;900))))))</f>
        <v/>
      </c>
      <c r="AT11" s="82" t="str">
        <f aca="false">IF(OR(AT$4="",MONTH(($G$2+21))&lt;&gt;MONTH($C$2)),"",IF(COUNTIFS(m_teacher,AT$4,m_date,($G$2+21),m_active,1,m_start,"&lt;"&amp;960,m_end,"&gt;"&amp;900)=0,"",IF(COUNTIFS(m_teacher,AT$4,m_date,($G$2+21),m_active,1,m_start,"&lt;"&amp;960,m_end,"&gt;"&amp;900)&gt;1,"충돌",HYPERLINK("#'관리자_MASTER'!D"&amp;_xlfn.MAXIFS(m_row,m_teacher,AT$4,m_date,($G$2+21),m_active,1,m_start,"&lt;"&amp;960,m_end,"&gt;"&amp;900),INDEX(m_label,_xlfn.MAXIFS(m_row,m_teacher,AT$4,m_date,($G$2+21),m_active,1,m_start,"&lt;"&amp;960,m_end,"&gt;"&amp;900))))))</f>
        <v/>
      </c>
      <c r="AU11" s="82" t="str">
        <f aca="false">IF(OR(AU$4="",MONTH(($G$2+21))&lt;&gt;MONTH($C$2)),"",IF(COUNTIFS(m_teacher,AU$4,m_date,($G$2+21),m_active,1,m_start,"&lt;"&amp;960,m_end,"&gt;"&amp;900)=0,"",IF(COUNTIFS(m_teacher,AU$4,m_date,($G$2+21),m_active,1,m_start,"&lt;"&amp;960,m_end,"&gt;"&amp;900)&gt;1,"충돌",HYPERLINK("#'관리자_MASTER'!D"&amp;_xlfn.MAXIFS(m_row,m_teacher,AU$4,m_date,($G$2+21),m_active,1,m_start,"&lt;"&amp;960,m_end,"&gt;"&amp;900),INDEX(m_label,_xlfn.MAXIFS(m_row,m_teacher,AU$4,m_date,($G$2+21),m_active,1,m_start,"&lt;"&amp;960,m_end,"&gt;"&amp;900))))))</f>
        <v/>
      </c>
      <c r="AV11" s="82" t="str">
        <f aca="false">IF(OR(AV$4="",MONTH(($G$2+21))&lt;&gt;MONTH($C$2)),"",IF(COUNTIFS(m_teacher,AV$4,m_date,($G$2+21),m_active,1,m_start,"&lt;"&amp;960,m_end,"&gt;"&amp;900)=0,"",IF(COUNTIFS(m_teacher,AV$4,m_date,($G$2+21),m_active,1,m_start,"&lt;"&amp;960,m_end,"&gt;"&amp;900)&gt;1,"충돌",HYPERLINK("#'관리자_MASTER'!D"&amp;_xlfn.MAXIFS(m_row,m_teacher,AV$4,m_date,($G$2+21),m_active,1,m_start,"&lt;"&amp;960,m_end,"&gt;"&amp;900),INDEX(m_label,_xlfn.MAXIFS(m_row,m_teacher,AV$4,m_date,($G$2+21),m_active,1,m_start,"&lt;"&amp;960,m_end,"&gt;"&amp;900))))))</f>
        <v/>
      </c>
      <c r="AW11" s="82" t="str">
        <f aca="false">IF(OR(AW$4="",MONTH(($G$2+21))&lt;&gt;MONTH($C$2)),"",IF(COUNTIFS(m_teacher,AW$4,m_date,($G$2+21),m_active,1,m_start,"&lt;"&amp;960,m_end,"&gt;"&amp;900)=0,"",IF(COUNTIFS(m_teacher,AW$4,m_date,($G$2+21),m_active,1,m_start,"&lt;"&amp;960,m_end,"&gt;"&amp;900)&gt;1,"충돌",HYPERLINK("#'관리자_MASTER'!D"&amp;_xlfn.MAXIFS(m_row,m_teacher,AW$4,m_date,($G$2+21),m_active,1,m_start,"&lt;"&amp;960,m_end,"&gt;"&amp;900),INDEX(m_label,_xlfn.MAXIFS(m_row,m_teacher,AW$4,m_date,($G$2+21),m_active,1,m_start,"&lt;"&amp;960,m_end,"&gt;"&amp;900))))))</f>
        <v/>
      </c>
      <c r="AX11" s="82" t="str">
        <f aca="false">IF(OR(AX$4="",MONTH(($G$2+21))&lt;&gt;MONTH($C$2)),"",IF(COUNTIFS(m_teacher,AX$4,m_date,($G$2+21),m_active,1,m_start,"&lt;"&amp;960,m_end,"&gt;"&amp;900)=0,"",IF(COUNTIFS(m_teacher,AX$4,m_date,($G$2+21),m_active,1,m_start,"&lt;"&amp;960,m_end,"&gt;"&amp;900)&gt;1,"충돌",HYPERLINK("#'관리자_MASTER'!D"&amp;_xlfn.MAXIFS(m_row,m_teacher,AX$4,m_date,($G$2+21),m_active,1,m_start,"&lt;"&amp;960,m_end,"&gt;"&amp;900),INDEX(m_label,_xlfn.MAXIFS(m_row,m_teacher,AX$4,m_date,($G$2+21),m_active,1,m_start,"&lt;"&amp;960,m_end,"&gt;"&amp;900))))))</f>
        <v/>
      </c>
      <c r="AY11" s="82" t="str">
        <f aca="false">IF(OR(AY$4="",MONTH(($G$2+21))&lt;&gt;MONTH($C$2)),"",IF(COUNTIFS(m_teacher,AY$4,m_date,($G$2+21),m_active,1,m_start,"&lt;"&amp;960,m_end,"&gt;"&amp;900)=0,"",IF(COUNTIFS(m_teacher,AY$4,m_date,($G$2+21),m_active,1,m_start,"&lt;"&amp;960,m_end,"&gt;"&amp;900)&gt;1,"충돌",HYPERLINK("#'관리자_MASTER'!D"&amp;_xlfn.MAXIFS(m_row,m_teacher,AY$4,m_date,($G$2+21),m_active,1,m_start,"&lt;"&amp;960,m_end,"&gt;"&amp;900),INDEX(m_label,_xlfn.MAXIFS(m_row,m_teacher,AY$4,m_date,($G$2+21),m_active,1,m_start,"&lt;"&amp;960,m_end,"&gt;"&amp;900))))))</f>
        <v/>
      </c>
      <c r="AZ11" s="82" t="str">
        <f aca="false">IF(OR(AZ$4="",MONTH(($G$2+21))&lt;&gt;MONTH($C$2)),"",IF(COUNTIFS(m_teacher,AZ$4,m_date,($G$2+21),m_active,1,m_start,"&lt;"&amp;960,m_end,"&gt;"&amp;900)=0,"",IF(COUNTIFS(m_teacher,AZ$4,m_date,($G$2+21),m_active,1,m_start,"&lt;"&amp;960,m_end,"&gt;"&amp;900)&gt;1,"충돌",HYPERLINK("#'관리자_MASTER'!D"&amp;_xlfn.MAXIFS(m_row,m_teacher,AZ$4,m_date,($G$2+21),m_active,1,m_start,"&lt;"&amp;960,m_end,"&gt;"&amp;900),INDEX(m_label,_xlfn.MAXIFS(m_row,m_teacher,AZ$4,m_date,($G$2+21),m_active,1,m_start,"&lt;"&amp;960,m_end,"&gt;"&amp;900))))))</f>
        <v/>
      </c>
      <c r="BA11" s="82" t="str">
        <f aca="false">IF(OR(BA$4="",MONTH(($G$2+21))&lt;&gt;MONTH($C$2)),"",IF(COUNTIFS(m_teacher,BA$4,m_date,($G$2+21),m_active,1,m_start,"&lt;"&amp;960,m_end,"&gt;"&amp;900)=0,"",IF(COUNTIFS(m_teacher,BA$4,m_date,($G$2+21),m_active,1,m_start,"&lt;"&amp;960,m_end,"&gt;"&amp;900)&gt;1,"충돌",HYPERLINK("#'관리자_MASTER'!D"&amp;_xlfn.MAXIFS(m_row,m_teacher,BA$4,m_date,($G$2+21),m_active,1,m_start,"&lt;"&amp;960,m_end,"&gt;"&amp;900),INDEX(m_label,_xlfn.MAXIFS(m_row,m_teacher,BA$4,m_date,($G$2+21),m_active,1,m_start,"&lt;"&amp;960,m_end,"&gt;"&amp;900))))))</f>
        <v/>
      </c>
      <c r="BB11" s="82" t="str">
        <f aca="false">IF(OR(BB$4="",MONTH(($G$2+21))&lt;&gt;MONTH($C$2)),"",IF(COUNTIFS(m_teacher,BB$4,m_date,($G$2+21),m_active,1,m_start,"&lt;"&amp;960,m_end,"&gt;"&amp;900)=0,"",IF(COUNTIFS(m_teacher,BB$4,m_date,($G$2+21),m_active,1,m_start,"&lt;"&amp;960,m_end,"&gt;"&amp;900)&gt;1,"충돌",HYPERLINK("#'관리자_MASTER'!D"&amp;_xlfn.MAXIFS(m_row,m_teacher,BB$4,m_date,($G$2+21),m_active,1,m_start,"&lt;"&amp;960,m_end,"&gt;"&amp;900),INDEX(m_label,_xlfn.MAXIFS(m_row,m_teacher,BB$4,m_date,($G$2+21),m_active,1,m_start,"&lt;"&amp;960,m_end,"&gt;"&amp;900))))))</f>
        <v/>
      </c>
      <c r="BC11" s="82" t="str">
        <f aca="false">IF(OR(BC$4="",MONTH(($G$2+21))&lt;&gt;MONTH($C$2)),"",IF(COUNTIFS(m_teacher,BC$4,m_date,($G$2+21),m_active,1,m_start,"&lt;"&amp;960,m_end,"&gt;"&amp;900)=0,"",IF(COUNTIFS(m_teacher,BC$4,m_date,($G$2+21),m_active,1,m_start,"&lt;"&amp;960,m_end,"&gt;"&amp;900)&gt;1,"충돌",HYPERLINK("#'관리자_MASTER'!D"&amp;_xlfn.MAXIFS(m_row,m_teacher,BC$4,m_date,($G$2+21),m_active,1,m_start,"&lt;"&amp;960,m_end,"&gt;"&amp;900),INDEX(m_label,_xlfn.MAXIFS(m_row,m_teacher,BC$4,m_date,($G$2+21),m_active,1,m_start,"&lt;"&amp;960,m_end,"&gt;"&amp;900))))))</f>
        <v/>
      </c>
      <c r="BD11" s="82" t="str">
        <f aca="false">IF(OR(BD$4="",MONTH(($G$2+21))&lt;&gt;MONTH($C$2)),"",IF(COUNTIFS(m_teacher,BD$4,m_date,($G$2+21),m_active,1,m_start,"&lt;"&amp;960,m_end,"&gt;"&amp;900)=0,"",IF(COUNTIFS(m_teacher,BD$4,m_date,($G$2+21),m_active,1,m_start,"&lt;"&amp;960,m_end,"&gt;"&amp;900)&gt;1,"충돌",HYPERLINK("#'관리자_MASTER'!D"&amp;_xlfn.MAXIFS(m_row,m_teacher,BD$4,m_date,($G$2+21),m_active,1,m_start,"&lt;"&amp;960,m_end,"&gt;"&amp;900),INDEX(m_label,_xlfn.MAXIFS(m_row,m_teacher,BD$4,m_date,($G$2+21),m_active,1,m_start,"&lt;"&amp;960,m_end,"&gt;"&amp;900))))))</f>
        <v/>
      </c>
      <c r="BE11" s="78"/>
      <c r="BF11" s="79" t="s">
        <v>97</v>
      </c>
      <c r="BG11" s="82" t="str">
        <f aca="false">IF(OR(BG$4="",MONTH(($G$2+28))&lt;&gt;MONTH($C$2)),"",IF(COUNTIFS(m_teacher,BG$4,m_date,($G$2+28),m_active,1,m_start,"&lt;"&amp;960,m_end,"&gt;"&amp;900)=0,"",IF(COUNTIFS(m_teacher,BG$4,m_date,($G$2+28),m_active,1,m_start,"&lt;"&amp;960,m_end,"&gt;"&amp;900)&gt;1,"충돌",HYPERLINK("#'관리자_MASTER'!D"&amp;_xlfn.MAXIFS(m_row,m_teacher,BG$4,m_date,($G$2+28),m_active,1,m_start,"&lt;"&amp;960,m_end,"&gt;"&amp;900),INDEX(m_label,_xlfn.MAXIFS(m_row,m_teacher,BG$4,m_date,($G$2+28),m_active,1,m_start,"&lt;"&amp;960,m_end,"&gt;"&amp;900))))))</f>
        <v/>
      </c>
      <c r="BH11" s="82" t="str">
        <f aca="false">IF(OR(BH$4="",MONTH(($G$2+28))&lt;&gt;MONTH($C$2)),"",IF(COUNTIFS(m_teacher,BH$4,m_date,($G$2+28),m_active,1,m_start,"&lt;"&amp;960,m_end,"&gt;"&amp;900)=0,"",IF(COUNTIFS(m_teacher,BH$4,m_date,($G$2+28),m_active,1,m_start,"&lt;"&amp;960,m_end,"&gt;"&amp;900)&gt;1,"충돌",HYPERLINK("#'관리자_MASTER'!D"&amp;_xlfn.MAXIFS(m_row,m_teacher,BH$4,m_date,($G$2+28),m_active,1,m_start,"&lt;"&amp;960,m_end,"&gt;"&amp;900),INDEX(m_label,_xlfn.MAXIFS(m_row,m_teacher,BH$4,m_date,($G$2+28),m_active,1,m_start,"&lt;"&amp;960,m_end,"&gt;"&amp;900))))))</f>
        <v/>
      </c>
      <c r="BI11" s="82" t="str">
        <f aca="false">IF(OR(BI$4="",MONTH(($G$2+28))&lt;&gt;MONTH($C$2)),"",IF(COUNTIFS(m_teacher,BI$4,m_date,($G$2+28),m_active,1,m_start,"&lt;"&amp;960,m_end,"&gt;"&amp;900)=0,"",IF(COUNTIFS(m_teacher,BI$4,m_date,($G$2+28),m_active,1,m_start,"&lt;"&amp;960,m_end,"&gt;"&amp;900)&gt;1,"충돌",HYPERLINK("#'관리자_MASTER'!D"&amp;_xlfn.MAXIFS(m_row,m_teacher,BI$4,m_date,($G$2+28),m_active,1,m_start,"&lt;"&amp;960,m_end,"&gt;"&amp;900),INDEX(m_label,_xlfn.MAXIFS(m_row,m_teacher,BI$4,m_date,($G$2+28),m_active,1,m_start,"&lt;"&amp;960,m_end,"&gt;"&amp;900))))))</f>
        <v/>
      </c>
      <c r="BJ11" s="82" t="str">
        <f aca="false">IF(OR(BJ$4="",MONTH(($G$2+28))&lt;&gt;MONTH($C$2)),"",IF(COUNTIFS(m_teacher,BJ$4,m_date,($G$2+28),m_active,1,m_start,"&lt;"&amp;960,m_end,"&gt;"&amp;900)=0,"",IF(COUNTIFS(m_teacher,BJ$4,m_date,($G$2+28),m_active,1,m_start,"&lt;"&amp;960,m_end,"&gt;"&amp;900)&gt;1,"충돌",HYPERLINK("#'관리자_MASTER'!D"&amp;_xlfn.MAXIFS(m_row,m_teacher,BJ$4,m_date,($G$2+28),m_active,1,m_start,"&lt;"&amp;960,m_end,"&gt;"&amp;900),INDEX(m_label,_xlfn.MAXIFS(m_row,m_teacher,BJ$4,m_date,($G$2+28),m_active,1,m_start,"&lt;"&amp;960,m_end,"&gt;"&amp;900))))))</f>
        <v/>
      </c>
      <c r="BK11" s="82" t="str">
        <f aca="false">IF(OR(BK$4="",MONTH(($G$2+28))&lt;&gt;MONTH($C$2)),"",IF(COUNTIFS(m_teacher,BK$4,m_date,($G$2+28),m_active,1,m_start,"&lt;"&amp;960,m_end,"&gt;"&amp;900)=0,"",IF(COUNTIFS(m_teacher,BK$4,m_date,($G$2+28),m_active,1,m_start,"&lt;"&amp;960,m_end,"&gt;"&amp;900)&gt;1,"충돌",HYPERLINK("#'관리자_MASTER'!D"&amp;_xlfn.MAXIFS(m_row,m_teacher,BK$4,m_date,($G$2+28),m_active,1,m_start,"&lt;"&amp;960,m_end,"&gt;"&amp;900),INDEX(m_label,_xlfn.MAXIFS(m_row,m_teacher,BK$4,m_date,($G$2+28),m_active,1,m_start,"&lt;"&amp;960,m_end,"&gt;"&amp;900))))))</f>
        <v/>
      </c>
      <c r="BL11" s="82" t="str">
        <f aca="false">IF(OR(BL$4="",MONTH(($G$2+28))&lt;&gt;MONTH($C$2)),"",IF(COUNTIFS(m_teacher,BL$4,m_date,($G$2+28),m_active,1,m_start,"&lt;"&amp;960,m_end,"&gt;"&amp;900)=0,"",IF(COUNTIFS(m_teacher,BL$4,m_date,($G$2+28),m_active,1,m_start,"&lt;"&amp;960,m_end,"&gt;"&amp;900)&gt;1,"충돌",HYPERLINK("#'관리자_MASTER'!D"&amp;_xlfn.MAXIFS(m_row,m_teacher,BL$4,m_date,($G$2+28),m_active,1,m_start,"&lt;"&amp;960,m_end,"&gt;"&amp;900),INDEX(m_label,_xlfn.MAXIFS(m_row,m_teacher,BL$4,m_date,($G$2+28),m_active,1,m_start,"&lt;"&amp;960,m_end,"&gt;"&amp;900))))))</f>
        <v/>
      </c>
      <c r="BM11" s="82" t="str">
        <f aca="false">IF(OR(BM$4="",MONTH(($G$2+28))&lt;&gt;MONTH($C$2)),"",IF(COUNTIFS(m_teacher,BM$4,m_date,($G$2+28),m_active,1,m_start,"&lt;"&amp;960,m_end,"&gt;"&amp;900)=0,"",IF(COUNTIFS(m_teacher,BM$4,m_date,($G$2+28),m_active,1,m_start,"&lt;"&amp;960,m_end,"&gt;"&amp;900)&gt;1,"충돌",HYPERLINK("#'관리자_MASTER'!D"&amp;_xlfn.MAXIFS(m_row,m_teacher,BM$4,m_date,($G$2+28),m_active,1,m_start,"&lt;"&amp;960,m_end,"&gt;"&amp;900),INDEX(m_label,_xlfn.MAXIFS(m_row,m_teacher,BM$4,m_date,($G$2+28),m_active,1,m_start,"&lt;"&amp;960,m_end,"&gt;"&amp;900))))))</f>
        <v/>
      </c>
      <c r="BN11" s="82" t="str">
        <f aca="false">IF(OR(BN$4="",MONTH(($G$2+28))&lt;&gt;MONTH($C$2)),"",IF(COUNTIFS(m_teacher,BN$4,m_date,($G$2+28),m_active,1,m_start,"&lt;"&amp;960,m_end,"&gt;"&amp;900)=0,"",IF(COUNTIFS(m_teacher,BN$4,m_date,($G$2+28),m_active,1,m_start,"&lt;"&amp;960,m_end,"&gt;"&amp;900)&gt;1,"충돌",HYPERLINK("#'관리자_MASTER'!D"&amp;_xlfn.MAXIFS(m_row,m_teacher,BN$4,m_date,($G$2+28),m_active,1,m_start,"&lt;"&amp;960,m_end,"&gt;"&amp;900),INDEX(m_label,_xlfn.MAXIFS(m_row,m_teacher,BN$4,m_date,($G$2+28),m_active,1,m_start,"&lt;"&amp;960,m_end,"&gt;"&amp;900))))))</f>
        <v/>
      </c>
      <c r="BO11" s="82" t="str">
        <f aca="false">IF(OR(BO$4="",MONTH(($G$2+28))&lt;&gt;MONTH($C$2)),"",IF(COUNTIFS(m_teacher,BO$4,m_date,($G$2+28),m_active,1,m_start,"&lt;"&amp;960,m_end,"&gt;"&amp;900)=0,"",IF(COUNTIFS(m_teacher,BO$4,m_date,($G$2+28),m_active,1,m_start,"&lt;"&amp;960,m_end,"&gt;"&amp;900)&gt;1,"충돌",HYPERLINK("#'관리자_MASTER'!D"&amp;_xlfn.MAXIFS(m_row,m_teacher,BO$4,m_date,($G$2+28),m_active,1,m_start,"&lt;"&amp;960,m_end,"&gt;"&amp;900),INDEX(m_label,_xlfn.MAXIFS(m_row,m_teacher,BO$4,m_date,($G$2+28),m_active,1,m_start,"&lt;"&amp;960,m_end,"&gt;"&amp;900))))))</f>
        <v/>
      </c>
      <c r="BP11" s="82" t="str">
        <f aca="false">IF(OR(BP$4="",MONTH(($G$2+28))&lt;&gt;MONTH($C$2)),"",IF(COUNTIFS(m_teacher,BP$4,m_date,($G$2+28),m_active,1,m_start,"&lt;"&amp;960,m_end,"&gt;"&amp;900)=0,"",IF(COUNTIFS(m_teacher,BP$4,m_date,($G$2+28),m_active,1,m_start,"&lt;"&amp;960,m_end,"&gt;"&amp;900)&gt;1,"충돌",HYPERLINK("#'관리자_MASTER'!D"&amp;_xlfn.MAXIFS(m_row,m_teacher,BP$4,m_date,($G$2+28),m_active,1,m_start,"&lt;"&amp;960,m_end,"&gt;"&amp;900),INDEX(m_label,_xlfn.MAXIFS(m_row,m_teacher,BP$4,m_date,($G$2+28),m_active,1,m_start,"&lt;"&amp;960,m_end,"&gt;"&amp;900))))))</f>
        <v/>
      </c>
      <c r="BQ11" s="82" t="str">
        <f aca="false">IF(OR(BQ$4="",MONTH(($G$2+28))&lt;&gt;MONTH($C$2)),"",IF(COUNTIFS(m_teacher,BQ$4,m_date,($G$2+28),m_active,1,m_start,"&lt;"&amp;960,m_end,"&gt;"&amp;900)=0,"",IF(COUNTIFS(m_teacher,BQ$4,m_date,($G$2+28),m_active,1,m_start,"&lt;"&amp;960,m_end,"&gt;"&amp;900)&gt;1,"충돌",HYPERLINK("#'관리자_MASTER'!D"&amp;_xlfn.MAXIFS(m_row,m_teacher,BQ$4,m_date,($G$2+28),m_active,1,m_start,"&lt;"&amp;960,m_end,"&gt;"&amp;900),INDEX(m_label,_xlfn.MAXIFS(m_row,m_teacher,BQ$4,m_date,($G$2+28),m_active,1,m_start,"&lt;"&amp;960,m_end,"&gt;"&amp;900))))))</f>
        <v/>
      </c>
      <c r="BR11" s="82" t="str">
        <f aca="false">IF(OR(BR$4="",MONTH(($G$2+28))&lt;&gt;MONTH($C$2)),"",IF(COUNTIFS(m_teacher,BR$4,m_date,($G$2+28),m_active,1,m_start,"&lt;"&amp;960,m_end,"&gt;"&amp;900)=0,"",IF(COUNTIFS(m_teacher,BR$4,m_date,($G$2+28),m_active,1,m_start,"&lt;"&amp;960,m_end,"&gt;"&amp;900)&gt;1,"충돌",HYPERLINK("#'관리자_MASTER'!D"&amp;_xlfn.MAXIFS(m_row,m_teacher,BR$4,m_date,($G$2+28),m_active,1,m_start,"&lt;"&amp;960,m_end,"&gt;"&amp;900),INDEX(m_label,_xlfn.MAXIFS(m_row,m_teacher,BR$4,m_date,($G$2+28),m_active,1,m_start,"&lt;"&amp;960,m_end,"&gt;"&amp;900))))))</f>
        <v/>
      </c>
    </row>
    <row r="12" customFormat="false" ht="19.5" hidden="false" customHeight="true" outlineLevel="0" collapsed="false">
      <c r="A12" s="75"/>
      <c r="B12" s="76" t="s">
        <v>98</v>
      </c>
      <c r="C12" s="81" t="str">
        <f aca="false">IF(OR(C$4="",MONTH(($G$2+0))&lt;&gt;MONTH($C$2)),"",IF(COUNTIFS(m_teacher,C$4,m_date,($G$2+0),m_active,1,m_start,"&lt;"&amp;1020,m_end,"&gt;"&amp;960)=0,"",IF(COUNTIFS(m_teacher,C$4,m_date,($G$2+0),m_active,1,m_start,"&lt;"&amp;1020,m_end,"&gt;"&amp;960)&gt;1,"충돌",HYPERLINK("#'관리자_MASTER'!D"&amp;_xlfn.MAXIFS(m_row,m_teacher,C$4,m_date,($G$2+0),m_active,1,m_start,"&lt;"&amp;1020,m_end,"&gt;"&amp;960),INDEX(m_label,_xlfn.MAXIFS(m_row,m_teacher,C$4,m_date,($G$2+0),m_active,1,m_start,"&lt;"&amp;1020,m_end,"&gt;"&amp;960))))))</f>
        <v/>
      </c>
      <c r="D12" s="81" t="str">
        <f aca="false">IF(OR(D$4="",MONTH(($G$2+0))&lt;&gt;MONTH($C$2)),"",IF(COUNTIFS(m_teacher,D$4,m_date,($G$2+0),m_active,1,m_start,"&lt;"&amp;1020,m_end,"&gt;"&amp;960)=0,"",IF(COUNTIFS(m_teacher,D$4,m_date,($G$2+0),m_active,1,m_start,"&lt;"&amp;1020,m_end,"&gt;"&amp;960)&gt;1,"충돌",HYPERLINK("#'관리자_MASTER'!D"&amp;_xlfn.MAXIFS(m_row,m_teacher,D$4,m_date,($G$2+0),m_active,1,m_start,"&lt;"&amp;1020,m_end,"&gt;"&amp;960),INDEX(m_label,_xlfn.MAXIFS(m_row,m_teacher,D$4,m_date,($G$2+0),m_active,1,m_start,"&lt;"&amp;1020,m_end,"&gt;"&amp;960))))))</f>
        <v/>
      </c>
      <c r="E12" s="81" t="str">
        <f aca="false">IF(OR(E$4="",MONTH(($G$2+0))&lt;&gt;MONTH($C$2)),"",IF(COUNTIFS(m_teacher,E$4,m_date,($G$2+0),m_active,1,m_start,"&lt;"&amp;1020,m_end,"&gt;"&amp;960)=0,"",IF(COUNTIFS(m_teacher,E$4,m_date,($G$2+0),m_active,1,m_start,"&lt;"&amp;1020,m_end,"&gt;"&amp;960)&gt;1,"충돌",HYPERLINK("#'관리자_MASTER'!D"&amp;_xlfn.MAXIFS(m_row,m_teacher,E$4,m_date,($G$2+0),m_active,1,m_start,"&lt;"&amp;1020,m_end,"&gt;"&amp;960),INDEX(m_label,_xlfn.MAXIFS(m_row,m_teacher,E$4,m_date,($G$2+0),m_active,1,m_start,"&lt;"&amp;1020,m_end,"&gt;"&amp;960))))))</f>
        <v/>
      </c>
      <c r="F12" s="81" t="str">
        <f aca="false">IF(OR(F$4="",MONTH(($G$2+0))&lt;&gt;MONTH($C$2)),"",IF(COUNTIFS(m_teacher,F$4,m_date,($G$2+0),m_active,1,m_start,"&lt;"&amp;1020,m_end,"&gt;"&amp;960)=0,"",IF(COUNTIFS(m_teacher,F$4,m_date,($G$2+0),m_active,1,m_start,"&lt;"&amp;1020,m_end,"&gt;"&amp;960)&gt;1,"충돌",HYPERLINK("#'관리자_MASTER'!D"&amp;_xlfn.MAXIFS(m_row,m_teacher,F$4,m_date,($G$2+0),m_active,1,m_start,"&lt;"&amp;1020,m_end,"&gt;"&amp;960),INDEX(m_label,_xlfn.MAXIFS(m_row,m_teacher,F$4,m_date,($G$2+0),m_active,1,m_start,"&lt;"&amp;1020,m_end,"&gt;"&amp;960))))))</f>
        <v/>
      </c>
      <c r="G12" s="81" t="str">
        <f aca="false">IF(OR(G$4="",MONTH(($G$2+0))&lt;&gt;MONTH($C$2)),"",IF(COUNTIFS(m_teacher,G$4,m_date,($G$2+0),m_active,1,m_start,"&lt;"&amp;1020,m_end,"&gt;"&amp;960)=0,"",IF(COUNTIFS(m_teacher,G$4,m_date,($G$2+0),m_active,1,m_start,"&lt;"&amp;1020,m_end,"&gt;"&amp;960)&gt;1,"충돌",HYPERLINK("#'관리자_MASTER'!D"&amp;_xlfn.MAXIFS(m_row,m_teacher,G$4,m_date,($G$2+0),m_active,1,m_start,"&lt;"&amp;1020,m_end,"&gt;"&amp;960),INDEX(m_label,_xlfn.MAXIFS(m_row,m_teacher,G$4,m_date,($G$2+0),m_active,1,m_start,"&lt;"&amp;1020,m_end,"&gt;"&amp;960))))))</f>
        <v/>
      </c>
      <c r="H12" s="81" t="str">
        <f aca="false">IF(OR(H$4="",MONTH(($G$2+0))&lt;&gt;MONTH($C$2)),"",IF(COUNTIFS(m_teacher,H$4,m_date,($G$2+0),m_active,1,m_start,"&lt;"&amp;1020,m_end,"&gt;"&amp;960)=0,"",IF(COUNTIFS(m_teacher,H$4,m_date,($G$2+0),m_active,1,m_start,"&lt;"&amp;1020,m_end,"&gt;"&amp;960)&gt;1,"충돌",HYPERLINK("#'관리자_MASTER'!D"&amp;_xlfn.MAXIFS(m_row,m_teacher,H$4,m_date,($G$2+0),m_active,1,m_start,"&lt;"&amp;1020,m_end,"&gt;"&amp;960),INDEX(m_label,_xlfn.MAXIFS(m_row,m_teacher,H$4,m_date,($G$2+0),m_active,1,m_start,"&lt;"&amp;1020,m_end,"&gt;"&amp;960))))))</f>
        <v/>
      </c>
      <c r="I12" s="81" t="str">
        <f aca="false">IF(OR(I$4="",MONTH(($G$2+0))&lt;&gt;MONTH($C$2)),"",IF(COUNTIFS(m_teacher,I$4,m_date,($G$2+0),m_active,1,m_start,"&lt;"&amp;1020,m_end,"&gt;"&amp;960)=0,"",IF(COUNTIFS(m_teacher,I$4,m_date,($G$2+0),m_active,1,m_start,"&lt;"&amp;1020,m_end,"&gt;"&amp;960)&gt;1,"충돌",HYPERLINK("#'관리자_MASTER'!D"&amp;_xlfn.MAXIFS(m_row,m_teacher,I$4,m_date,($G$2+0),m_active,1,m_start,"&lt;"&amp;1020,m_end,"&gt;"&amp;960),INDEX(m_label,_xlfn.MAXIFS(m_row,m_teacher,I$4,m_date,($G$2+0),m_active,1,m_start,"&lt;"&amp;1020,m_end,"&gt;"&amp;960))))))</f>
        <v/>
      </c>
      <c r="J12" s="81" t="str">
        <f aca="false">IF(OR(J$4="",MONTH(($G$2+0))&lt;&gt;MONTH($C$2)),"",IF(COUNTIFS(m_teacher,J$4,m_date,($G$2+0),m_active,1,m_start,"&lt;"&amp;1020,m_end,"&gt;"&amp;960)=0,"",IF(COUNTIFS(m_teacher,J$4,m_date,($G$2+0),m_active,1,m_start,"&lt;"&amp;1020,m_end,"&gt;"&amp;960)&gt;1,"충돌",HYPERLINK("#'관리자_MASTER'!D"&amp;_xlfn.MAXIFS(m_row,m_teacher,J$4,m_date,($G$2+0),m_active,1,m_start,"&lt;"&amp;1020,m_end,"&gt;"&amp;960),INDEX(m_label,_xlfn.MAXIFS(m_row,m_teacher,J$4,m_date,($G$2+0),m_active,1,m_start,"&lt;"&amp;1020,m_end,"&gt;"&amp;960))))))</f>
        <v/>
      </c>
      <c r="K12" s="81" t="str">
        <f aca="false">IF(OR(K$4="",MONTH(($G$2+0))&lt;&gt;MONTH($C$2)),"",IF(COUNTIFS(m_teacher,K$4,m_date,($G$2+0),m_active,1,m_start,"&lt;"&amp;1020,m_end,"&gt;"&amp;960)=0,"",IF(COUNTIFS(m_teacher,K$4,m_date,($G$2+0),m_active,1,m_start,"&lt;"&amp;1020,m_end,"&gt;"&amp;960)&gt;1,"충돌",HYPERLINK("#'관리자_MASTER'!D"&amp;_xlfn.MAXIFS(m_row,m_teacher,K$4,m_date,($G$2+0),m_active,1,m_start,"&lt;"&amp;1020,m_end,"&gt;"&amp;960),INDEX(m_label,_xlfn.MAXIFS(m_row,m_teacher,K$4,m_date,($G$2+0),m_active,1,m_start,"&lt;"&amp;1020,m_end,"&gt;"&amp;960))))))</f>
        <v/>
      </c>
      <c r="L12" s="81" t="str">
        <f aca="false">IF(OR(L$4="",MONTH(($G$2+0))&lt;&gt;MONTH($C$2)),"",IF(COUNTIFS(m_teacher,L$4,m_date,($G$2+0),m_active,1,m_start,"&lt;"&amp;1020,m_end,"&gt;"&amp;960)=0,"",IF(COUNTIFS(m_teacher,L$4,m_date,($G$2+0),m_active,1,m_start,"&lt;"&amp;1020,m_end,"&gt;"&amp;960)&gt;1,"충돌",HYPERLINK("#'관리자_MASTER'!D"&amp;_xlfn.MAXIFS(m_row,m_teacher,L$4,m_date,($G$2+0),m_active,1,m_start,"&lt;"&amp;1020,m_end,"&gt;"&amp;960),INDEX(m_label,_xlfn.MAXIFS(m_row,m_teacher,L$4,m_date,($G$2+0),m_active,1,m_start,"&lt;"&amp;1020,m_end,"&gt;"&amp;960))))))</f>
        <v/>
      </c>
      <c r="M12" s="81" t="str">
        <f aca="false">IF(OR(M$4="",MONTH(($G$2+0))&lt;&gt;MONTH($C$2)),"",IF(COUNTIFS(m_teacher,M$4,m_date,($G$2+0),m_active,1,m_start,"&lt;"&amp;1020,m_end,"&gt;"&amp;960)=0,"",IF(COUNTIFS(m_teacher,M$4,m_date,($G$2+0),m_active,1,m_start,"&lt;"&amp;1020,m_end,"&gt;"&amp;960)&gt;1,"충돌",HYPERLINK("#'관리자_MASTER'!D"&amp;_xlfn.MAXIFS(m_row,m_teacher,M$4,m_date,($G$2+0),m_active,1,m_start,"&lt;"&amp;1020,m_end,"&gt;"&amp;960),INDEX(m_label,_xlfn.MAXIFS(m_row,m_teacher,M$4,m_date,($G$2+0),m_active,1,m_start,"&lt;"&amp;1020,m_end,"&gt;"&amp;960))))))</f>
        <v/>
      </c>
      <c r="N12" s="81" t="str">
        <f aca="false">IF(OR(N$4="",MONTH(($G$2+0))&lt;&gt;MONTH($C$2)),"",IF(COUNTIFS(m_teacher,N$4,m_date,($G$2+0),m_active,1,m_start,"&lt;"&amp;1020,m_end,"&gt;"&amp;960)=0,"",IF(COUNTIFS(m_teacher,N$4,m_date,($G$2+0),m_active,1,m_start,"&lt;"&amp;1020,m_end,"&gt;"&amp;960)&gt;1,"충돌",HYPERLINK("#'관리자_MASTER'!D"&amp;_xlfn.MAXIFS(m_row,m_teacher,N$4,m_date,($G$2+0),m_active,1,m_start,"&lt;"&amp;1020,m_end,"&gt;"&amp;960),INDEX(m_label,_xlfn.MAXIFS(m_row,m_teacher,N$4,m_date,($G$2+0),m_active,1,m_start,"&lt;"&amp;1020,m_end,"&gt;"&amp;960))))))</f>
        <v/>
      </c>
      <c r="O12" s="78"/>
      <c r="P12" s="79" t="s">
        <v>98</v>
      </c>
      <c r="Q12" s="82" t="str">
        <f aca="false">IF(OR(Q$4="",MONTH(($G$2+7))&lt;&gt;MONTH($C$2)),"",IF(COUNTIFS(m_teacher,Q$4,m_date,($G$2+7),m_active,1,m_start,"&lt;"&amp;1020,m_end,"&gt;"&amp;960)=0,"",IF(COUNTIFS(m_teacher,Q$4,m_date,($G$2+7),m_active,1,m_start,"&lt;"&amp;1020,m_end,"&gt;"&amp;960)&gt;1,"충돌",HYPERLINK("#'관리자_MASTER'!D"&amp;_xlfn.MAXIFS(m_row,m_teacher,Q$4,m_date,($G$2+7),m_active,1,m_start,"&lt;"&amp;1020,m_end,"&gt;"&amp;960),INDEX(m_label,_xlfn.MAXIFS(m_row,m_teacher,Q$4,m_date,($G$2+7),m_active,1,m_start,"&lt;"&amp;1020,m_end,"&gt;"&amp;960))))))</f>
        <v/>
      </c>
      <c r="R12" s="82" t="str">
        <f aca="false">IF(OR(R$4="",MONTH(($G$2+7))&lt;&gt;MONTH($C$2)),"",IF(COUNTIFS(m_teacher,R$4,m_date,($G$2+7),m_active,1,m_start,"&lt;"&amp;1020,m_end,"&gt;"&amp;960)=0,"",IF(COUNTIFS(m_teacher,R$4,m_date,($G$2+7),m_active,1,m_start,"&lt;"&amp;1020,m_end,"&gt;"&amp;960)&gt;1,"충돌",HYPERLINK("#'관리자_MASTER'!D"&amp;_xlfn.MAXIFS(m_row,m_teacher,R$4,m_date,($G$2+7),m_active,1,m_start,"&lt;"&amp;1020,m_end,"&gt;"&amp;960),INDEX(m_label,_xlfn.MAXIFS(m_row,m_teacher,R$4,m_date,($G$2+7),m_active,1,m_start,"&lt;"&amp;1020,m_end,"&gt;"&amp;960))))))</f>
        <v/>
      </c>
      <c r="S12" s="82" t="str">
        <f aca="false">IF(OR(S$4="",MONTH(($G$2+7))&lt;&gt;MONTH($C$2)),"",IF(COUNTIFS(m_teacher,S$4,m_date,($G$2+7),m_active,1,m_start,"&lt;"&amp;1020,m_end,"&gt;"&amp;960)=0,"",IF(COUNTIFS(m_teacher,S$4,m_date,($G$2+7),m_active,1,m_start,"&lt;"&amp;1020,m_end,"&gt;"&amp;960)&gt;1,"충돌",HYPERLINK("#'관리자_MASTER'!D"&amp;_xlfn.MAXIFS(m_row,m_teacher,S$4,m_date,($G$2+7),m_active,1,m_start,"&lt;"&amp;1020,m_end,"&gt;"&amp;960),INDEX(m_label,_xlfn.MAXIFS(m_row,m_teacher,S$4,m_date,($G$2+7),m_active,1,m_start,"&lt;"&amp;1020,m_end,"&gt;"&amp;960))))))</f>
        <v/>
      </c>
      <c r="T12" s="82" t="str">
        <f aca="false">IF(OR(T$4="",MONTH(($G$2+7))&lt;&gt;MONTH($C$2)),"",IF(COUNTIFS(m_teacher,T$4,m_date,($G$2+7),m_active,1,m_start,"&lt;"&amp;1020,m_end,"&gt;"&amp;960)=0,"",IF(COUNTIFS(m_teacher,T$4,m_date,($G$2+7),m_active,1,m_start,"&lt;"&amp;1020,m_end,"&gt;"&amp;960)&gt;1,"충돌",HYPERLINK("#'관리자_MASTER'!D"&amp;_xlfn.MAXIFS(m_row,m_teacher,T$4,m_date,($G$2+7),m_active,1,m_start,"&lt;"&amp;1020,m_end,"&gt;"&amp;960),INDEX(m_label,_xlfn.MAXIFS(m_row,m_teacher,T$4,m_date,($G$2+7),m_active,1,m_start,"&lt;"&amp;1020,m_end,"&gt;"&amp;960))))))</f>
        <v/>
      </c>
      <c r="U12" s="82" t="str">
        <f aca="false">IF(OR(U$4="",MONTH(($G$2+7))&lt;&gt;MONTH($C$2)),"",IF(COUNTIFS(m_teacher,U$4,m_date,($G$2+7),m_active,1,m_start,"&lt;"&amp;1020,m_end,"&gt;"&amp;960)=0,"",IF(COUNTIFS(m_teacher,U$4,m_date,($G$2+7),m_active,1,m_start,"&lt;"&amp;1020,m_end,"&gt;"&amp;960)&gt;1,"충돌",HYPERLINK("#'관리자_MASTER'!D"&amp;_xlfn.MAXIFS(m_row,m_teacher,U$4,m_date,($G$2+7),m_active,1,m_start,"&lt;"&amp;1020,m_end,"&gt;"&amp;960),INDEX(m_label,_xlfn.MAXIFS(m_row,m_teacher,U$4,m_date,($G$2+7),m_active,1,m_start,"&lt;"&amp;1020,m_end,"&gt;"&amp;960))))))</f>
        <v/>
      </c>
      <c r="V12" s="82" t="str">
        <f aca="false">IF(OR(V$4="",MONTH(($G$2+7))&lt;&gt;MONTH($C$2)),"",IF(COUNTIFS(m_teacher,V$4,m_date,($G$2+7),m_active,1,m_start,"&lt;"&amp;1020,m_end,"&gt;"&amp;960)=0,"",IF(COUNTIFS(m_teacher,V$4,m_date,($G$2+7),m_active,1,m_start,"&lt;"&amp;1020,m_end,"&gt;"&amp;960)&gt;1,"충돌",HYPERLINK("#'관리자_MASTER'!D"&amp;_xlfn.MAXIFS(m_row,m_teacher,V$4,m_date,($G$2+7),m_active,1,m_start,"&lt;"&amp;1020,m_end,"&gt;"&amp;960),INDEX(m_label,_xlfn.MAXIFS(m_row,m_teacher,V$4,m_date,($G$2+7),m_active,1,m_start,"&lt;"&amp;1020,m_end,"&gt;"&amp;960))))))</f>
        <v/>
      </c>
      <c r="W12" s="82" t="str">
        <f aca="false">IF(OR(W$4="",MONTH(($G$2+7))&lt;&gt;MONTH($C$2)),"",IF(COUNTIFS(m_teacher,W$4,m_date,($G$2+7),m_active,1,m_start,"&lt;"&amp;1020,m_end,"&gt;"&amp;960)=0,"",IF(COUNTIFS(m_teacher,W$4,m_date,($G$2+7),m_active,1,m_start,"&lt;"&amp;1020,m_end,"&gt;"&amp;960)&gt;1,"충돌",HYPERLINK("#'관리자_MASTER'!D"&amp;_xlfn.MAXIFS(m_row,m_teacher,W$4,m_date,($G$2+7),m_active,1,m_start,"&lt;"&amp;1020,m_end,"&gt;"&amp;960),INDEX(m_label,_xlfn.MAXIFS(m_row,m_teacher,W$4,m_date,($G$2+7),m_active,1,m_start,"&lt;"&amp;1020,m_end,"&gt;"&amp;960))))))</f>
        <v/>
      </c>
      <c r="X12" s="82" t="str">
        <f aca="false">IF(OR(X$4="",MONTH(($G$2+7))&lt;&gt;MONTH($C$2)),"",IF(COUNTIFS(m_teacher,X$4,m_date,($G$2+7),m_active,1,m_start,"&lt;"&amp;1020,m_end,"&gt;"&amp;960)=0,"",IF(COUNTIFS(m_teacher,X$4,m_date,($G$2+7),m_active,1,m_start,"&lt;"&amp;1020,m_end,"&gt;"&amp;960)&gt;1,"충돌",HYPERLINK("#'관리자_MASTER'!D"&amp;_xlfn.MAXIFS(m_row,m_teacher,X$4,m_date,($G$2+7),m_active,1,m_start,"&lt;"&amp;1020,m_end,"&gt;"&amp;960),INDEX(m_label,_xlfn.MAXIFS(m_row,m_teacher,X$4,m_date,($G$2+7),m_active,1,m_start,"&lt;"&amp;1020,m_end,"&gt;"&amp;960))))))</f>
        <v/>
      </c>
      <c r="Y12" s="82" t="str">
        <f aca="false">IF(OR(Y$4="",MONTH(($G$2+7))&lt;&gt;MONTH($C$2)),"",IF(COUNTIFS(m_teacher,Y$4,m_date,($G$2+7),m_active,1,m_start,"&lt;"&amp;1020,m_end,"&gt;"&amp;960)=0,"",IF(COUNTIFS(m_teacher,Y$4,m_date,($G$2+7),m_active,1,m_start,"&lt;"&amp;1020,m_end,"&gt;"&amp;960)&gt;1,"충돌",HYPERLINK("#'관리자_MASTER'!D"&amp;_xlfn.MAXIFS(m_row,m_teacher,Y$4,m_date,($G$2+7),m_active,1,m_start,"&lt;"&amp;1020,m_end,"&gt;"&amp;960),INDEX(m_label,_xlfn.MAXIFS(m_row,m_teacher,Y$4,m_date,($G$2+7),m_active,1,m_start,"&lt;"&amp;1020,m_end,"&gt;"&amp;960))))))</f>
        <v/>
      </c>
      <c r="Z12" s="82" t="str">
        <f aca="false">IF(OR(Z$4="",MONTH(($G$2+7))&lt;&gt;MONTH($C$2)),"",IF(COUNTIFS(m_teacher,Z$4,m_date,($G$2+7),m_active,1,m_start,"&lt;"&amp;1020,m_end,"&gt;"&amp;960)=0,"",IF(COUNTIFS(m_teacher,Z$4,m_date,($G$2+7),m_active,1,m_start,"&lt;"&amp;1020,m_end,"&gt;"&amp;960)&gt;1,"충돌",HYPERLINK("#'관리자_MASTER'!D"&amp;_xlfn.MAXIFS(m_row,m_teacher,Z$4,m_date,($G$2+7),m_active,1,m_start,"&lt;"&amp;1020,m_end,"&gt;"&amp;960),INDEX(m_label,_xlfn.MAXIFS(m_row,m_teacher,Z$4,m_date,($G$2+7),m_active,1,m_start,"&lt;"&amp;1020,m_end,"&gt;"&amp;960))))))</f>
        <v/>
      </c>
      <c r="AA12" s="82" t="str">
        <f aca="false">IF(OR(AA$4="",MONTH(($G$2+7))&lt;&gt;MONTH($C$2)),"",IF(COUNTIFS(m_teacher,AA$4,m_date,($G$2+7),m_active,1,m_start,"&lt;"&amp;1020,m_end,"&gt;"&amp;960)=0,"",IF(COUNTIFS(m_teacher,AA$4,m_date,($G$2+7),m_active,1,m_start,"&lt;"&amp;1020,m_end,"&gt;"&amp;960)&gt;1,"충돌",HYPERLINK("#'관리자_MASTER'!D"&amp;_xlfn.MAXIFS(m_row,m_teacher,AA$4,m_date,($G$2+7),m_active,1,m_start,"&lt;"&amp;1020,m_end,"&gt;"&amp;960),INDEX(m_label,_xlfn.MAXIFS(m_row,m_teacher,AA$4,m_date,($G$2+7),m_active,1,m_start,"&lt;"&amp;1020,m_end,"&gt;"&amp;960))))))</f>
        <v/>
      </c>
      <c r="AB12" s="82" t="str">
        <f aca="false">IF(OR(AB$4="",MONTH(($G$2+7))&lt;&gt;MONTH($C$2)),"",IF(COUNTIFS(m_teacher,AB$4,m_date,($G$2+7),m_active,1,m_start,"&lt;"&amp;1020,m_end,"&gt;"&amp;960)=0,"",IF(COUNTIFS(m_teacher,AB$4,m_date,($G$2+7),m_active,1,m_start,"&lt;"&amp;1020,m_end,"&gt;"&amp;960)&gt;1,"충돌",HYPERLINK("#'관리자_MASTER'!D"&amp;_xlfn.MAXIFS(m_row,m_teacher,AB$4,m_date,($G$2+7),m_active,1,m_start,"&lt;"&amp;1020,m_end,"&gt;"&amp;960),INDEX(m_label,_xlfn.MAXIFS(m_row,m_teacher,AB$4,m_date,($G$2+7),m_active,1,m_start,"&lt;"&amp;1020,m_end,"&gt;"&amp;960))))))</f>
        <v/>
      </c>
      <c r="AC12" s="78"/>
      <c r="AD12" s="79" t="s">
        <v>98</v>
      </c>
      <c r="AE12" s="82" t="str">
        <f aca="false">IF(OR(AE$4="",MONTH(($G$2+14))&lt;&gt;MONTH($C$2)),"",IF(COUNTIFS(m_teacher,AE$4,m_date,($G$2+14),m_active,1,m_start,"&lt;"&amp;1020,m_end,"&gt;"&amp;960)=0,"",IF(COUNTIFS(m_teacher,AE$4,m_date,($G$2+14),m_active,1,m_start,"&lt;"&amp;1020,m_end,"&gt;"&amp;960)&gt;1,"충돌",HYPERLINK("#'관리자_MASTER'!D"&amp;_xlfn.MAXIFS(m_row,m_teacher,AE$4,m_date,($G$2+14),m_active,1,m_start,"&lt;"&amp;1020,m_end,"&gt;"&amp;960),INDEX(m_label,_xlfn.MAXIFS(m_row,m_teacher,AE$4,m_date,($G$2+14),m_active,1,m_start,"&lt;"&amp;1020,m_end,"&gt;"&amp;960))))))</f>
        <v/>
      </c>
      <c r="AF12" s="82" t="str">
        <f aca="false">IF(OR(AF$4="",MONTH(($G$2+14))&lt;&gt;MONTH($C$2)),"",IF(COUNTIFS(m_teacher,AF$4,m_date,($G$2+14),m_active,1,m_start,"&lt;"&amp;1020,m_end,"&gt;"&amp;960)=0,"",IF(COUNTIFS(m_teacher,AF$4,m_date,($G$2+14),m_active,1,m_start,"&lt;"&amp;1020,m_end,"&gt;"&amp;960)&gt;1,"충돌",HYPERLINK("#'관리자_MASTER'!D"&amp;_xlfn.MAXIFS(m_row,m_teacher,AF$4,m_date,($G$2+14),m_active,1,m_start,"&lt;"&amp;1020,m_end,"&gt;"&amp;960),INDEX(m_label,_xlfn.MAXIFS(m_row,m_teacher,AF$4,m_date,($G$2+14),m_active,1,m_start,"&lt;"&amp;1020,m_end,"&gt;"&amp;960))))))</f>
        <v/>
      </c>
      <c r="AG12" s="82" t="str">
        <f aca="false">IF(OR(AG$4="",MONTH(($G$2+14))&lt;&gt;MONTH($C$2)),"",IF(COUNTIFS(m_teacher,AG$4,m_date,($G$2+14),m_active,1,m_start,"&lt;"&amp;1020,m_end,"&gt;"&amp;960)=0,"",IF(COUNTIFS(m_teacher,AG$4,m_date,($G$2+14),m_active,1,m_start,"&lt;"&amp;1020,m_end,"&gt;"&amp;960)&gt;1,"충돌",HYPERLINK("#'관리자_MASTER'!D"&amp;_xlfn.MAXIFS(m_row,m_teacher,AG$4,m_date,($G$2+14),m_active,1,m_start,"&lt;"&amp;1020,m_end,"&gt;"&amp;960),INDEX(m_label,_xlfn.MAXIFS(m_row,m_teacher,AG$4,m_date,($G$2+14),m_active,1,m_start,"&lt;"&amp;1020,m_end,"&gt;"&amp;960))))))</f>
        <v/>
      </c>
      <c r="AH12" s="82" t="str">
        <f aca="false">IF(OR(AH$4="",MONTH(($G$2+14))&lt;&gt;MONTH($C$2)),"",IF(COUNTIFS(m_teacher,AH$4,m_date,($G$2+14),m_active,1,m_start,"&lt;"&amp;1020,m_end,"&gt;"&amp;960)=0,"",IF(COUNTIFS(m_teacher,AH$4,m_date,($G$2+14),m_active,1,m_start,"&lt;"&amp;1020,m_end,"&gt;"&amp;960)&gt;1,"충돌",HYPERLINK("#'관리자_MASTER'!D"&amp;_xlfn.MAXIFS(m_row,m_teacher,AH$4,m_date,($G$2+14),m_active,1,m_start,"&lt;"&amp;1020,m_end,"&gt;"&amp;960),INDEX(m_label,_xlfn.MAXIFS(m_row,m_teacher,AH$4,m_date,($G$2+14),m_active,1,m_start,"&lt;"&amp;1020,m_end,"&gt;"&amp;960))))))</f>
        <v/>
      </c>
      <c r="AI12" s="82" t="str">
        <f aca="false">IF(OR(AI$4="",MONTH(($G$2+14))&lt;&gt;MONTH($C$2)),"",IF(COUNTIFS(m_teacher,AI$4,m_date,($G$2+14),m_active,1,m_start,"&lt;"&amp;1020,m_end,"&gt;"&amp;960)=0,"",IF(COUNTIFS(m_teacher,AI$4,m_date,($G$2+14),m_active,1,m_start,"&lt;"&amp;1020,m_end,"&gt;"&amp;960)&gt;1,"충돌",HYPERLINK("#'관리자_MASTER'!D"&amp;_xlfn.MAXIFS(m_row,m_teacher,AI$4,m_date,($G$2+14),m_active,1,m_start,"&lt;"&amp;1020,m_end,"&gt;"&amp;960),INDEX(m_label,_xlfn.MAXIFS(m_row,m_teacher,AI$4,m_date,($G$2+14),m_active,1,m_start,"&lt;"&amp;1020,m_end,"&gt;"&amp;960))))))</f>
        <v/>
      </c>
      <c r="AJ12" s="82" t="str">
        <f aca="false">IF(OR(AJ$4="",MONTH(($G$2+14))&lt;&gt;MONTH($C$2)),"",IF(COUNTIFS(m_teacher,AJ$4,m_date,($G$2+14),m_active,1,m_start,"&lt;"&amp;1020,m_end,"&gt;"&amp;960)=0,"",IF(COUNTIFS(m_teacher,AJ$4,m_date,($G$2+14),m_active,1,m_start,"&lt;"&amp;1020,m_end,"&gt;"&amp;960)&gt;1,"충돌",HYPERLINK("#'관리자_MASTER'!D"&amp;_xlfn.MAXIFS(m_row,m_teacher,AJ$4,m_date,($G$2+14),m_active,1,m_start,"&lt;"&amp;1020,m_end,"&gt;"&amp;960),INDEX(m_label,_xlfn.MAXIFS(m_row,m_teacher,AJ$4,m_date,($G$2+14),m_active,1,m_start,"&lt;"&amp;1020,m_end,"&gt;"&amp;960))))))</f>
        <v/>
      </c>
      <c r="AK12" s="82" t="str">
        <f aca="false">IF(OR(AK$4="",MONTH(($G$2+14))&lt;&gt;MONTH($C$2)),"",IF(COUNTIFS(m_teacher,AK$4,m_date,($G$2+14),m_active,1,m_start,"&lt;"&amp;1020,m_end,"&gt;"&amp;960)=0,"",IF(COUNTIFS(m_teacher,AK$4,m_date,($G$2+14),m_active,1,m_start,"&lt;"&amp;1020,m_end,"&gt;"&amp;960)&gt;1,"충돌",HYPERLINK("#'관리자_MASTER'!D"&amp;_xlfn.MAXIFS(m_row,m_teacher,AK$4,m_date,($G$2+14),m_active,1,m_start,"&lt;"&amp;1020,m_end,"&gt;"&amp;960),INDEX(m_label,_xlfn.MAXIFS(m_row,m_teacher,AK$4,m_date,($G$2+14),m_active,1,m_start,"&lt;"&amp;1020,m_end,"&gt;"&amp;960))))))</f>
        <v/>
      </c>
      <c r="AL12" s="82" t="str">
        <f aca="false">IF(OR(AL$4="",MONTH(($G$2+14))&lt;&gt;MONTH($C$2)),"",IF(COUNTIFS(m_teacher,AL$4,m_date,($G$2+14),m_active,1,m_start,"&lt;"&amp;1020,m_end,"&gt;"&amp;960)=0,"",IF(COUNTIFS(m_teacher,AL$4,m_date,($G$2+14),m_active,1,m_start,"&lt;"&amp;1020,m_end,"&gt;"&amp;960)&gt;1,"충돌",HYPERLINK("#'관리자_MASTER'!D"&amp;_xlfn.MAXIFS(m_row,m_teacher,AL$4,m_date,($G$2+14),m_active,1,m_start,"&lt;"&amp;1020,m_end,"&gt;"&amp;960),INDEX(m_label,_xlfn.MAXIFS(m_row,m_teacher,AL$4,m_date,($G$2+14),m_active,1,m_start,"&lt;"&amp;1020,m_end,"&gt;"&amp;960))))))</f>
        <v/>
      </c>
      <c r="AM12" s="82" t="str">
        <f aca="false">IF(OR(AM$4="",MONTH(($G$2+14))&lt;&gt;MONTH($C$2)),"",IF(COUNTIFS(m_teacher,AM$4,m_date,($G$2+14),m_active,1,m_start,"&lt;"&amp;1020,m_end,"&gt;"&amp;960)=0,"",IF(COUNTIFS(m_teacher,AM$4,m_date,($G$2+14),m_active,1,m_start,"&lt;"&amp;1020,m_end,"&gt;"&amp;960)&gt;1,"충돌",HYPERLINK("#'관리자_MASTER'!D"&amp;_xlfn.MAXIFS(m_row,m_teacher,AM$4,m_date,($G$2+14),m_active,1,m_start,"&lt;"&amp;1020,m_end,"&gt;"&amp;960),INDEX(m_label,_xlfn.MAXIFS(m_row,m_teacher,AM$4,m_date,($G$2+14),m_active,1,m_start,"&lt;"&amp;1020,m_end,"&gt;"&amp;960))))))</f>
        <v/>
      </c>
      <c r="AN12" s="82" t="str">
        <f aca="false">IF(OR(AN$4="",MONTH(($G$2+14))&lt;&gt;MONTH($C$2)),"",IF(COUNTIFS(m_teacher,AN$4,m_date,($G$2+14),m_active,1,m_start,"&lt;"&amp;1020,m_end,"&gt;"&amp;960)=0,"",IF(COUNTIFS(m_teacher,AN$4,m_date,($G$2+14),m_active,1,m_start,"&lt;"&amp;1020,m_end,"&gt;"&amp;960)&gt;1,"충돌",HYPERLINK("#'관리자_MASTER'!D"&amp;_xlfn.MAXIFS(m_row,m_teacher,AN$4,m_date,($G$2+14),m_active,1,m_start,"&lt;"&amp;1020,m_end,"&gt;"&amp;960),INDEX(m_label,_xlfn.MAXIFS(m_row,m_teacher,AN$4,m_date,($G$2+14),m_active,1,m_start,"&lt;"&amp;1020,m_end,"&gt;"&amp;960))))))</f>
        <v/>
      </c>
      <c r="AO12" s="82" t="str">
        <f aca="false">IF(OR(AO$4="",MONTH(($G$2+14))&lt;&gt;MONTH($C$2)),"",IF(COUNTIFS(m_teacher,AO$4,m_date,($G$2+14),m_active,1,m_start,"&lt;"&amp;1020,m_end,"&gt;"&amp;960)=0,"",IF(COUNTIFS(m_teacher,AO$4,m_date,($G$2+14),m_active,1,m_start,"&lt;"&amp;1020,m_end,"&gt;"&amp;960)&gt;1,"충돌",HYPERLINK("#'관리자_MASTER'!D"&amp;_xlfn.MAXIFS(m_row,m_teacher,AO$4,m_date,($G$2+14),m_active,1,m_start,"&lt;"&amp;1020,m_end,"&gt;"&amp;960),INDEX(m_label,_xlfn.MAXIFS(m_row,m_teacher,AO$4,m_date,($G$2+14),m_active,1,m_start,"&lt;"&amp;1020,m_end,"&gt;"&amp;960))))))</f>
        <v/>
      </c>
      <c r="AP12" s="82" t="str">
        <f aca="false">IF(OR(AP$4="",MONTH(($G$2+14))&lt;&gt;MONTH($C$2)),"",IF(COUNTIFS(m_teacher,AP$4,m_date,($G$2+14),m_active,1,m_start,"&lt;"&amp;1020,m_end,"&gt;"&amp;960)=0,"",IF(COUNTIFS(m_teacher,AP$4,m_date,($G$2+14),m_active,1,m_start,"&lt;"&amp;1020,m_end,"&gt;"&amp;960)&gt;1,"충돌",HYPERLINK("#'관리자_MASTER'!D"&amp;_xlfn.MAXIFS(m_row,m_teacher,AP$4,m_date,($G$2+14),m_active,1,m_start,"&lt;"&amp;1020,m_end,"&gt;"&amp;960),INDEX(m_label,_xlfn.MAXIFS(m_row,m_teacher,AP$4,m_date,($G$2+14),m_active,1,m_start,"&lt;"&amp;1020,m_end,"&gt;"&amp;960))))))</f>
        <v/>
      </c>
      <c r="AQ12" s="78"/>
      <c r="AR12" s="79" t="s">
        <v>98</v>
      </c>
      <c r="AS12" s="82" t="str">
        <f aca="false">IF(OR(AS$4="",MONTH(($G$2+21))&lt;&gt;MONTH($C$2)),"",IF(COUNTIFS(m_teacher,AS$4,m_date,($G$2+21),m_active,1,m_start,"&lt;"&amp;1020,m_end,"&gt;"&amp;960)=0,"",IF(COUNTIFS(m_teacher,AS$4,m_date,($G$2+21),m_active,1,m_start,"&lt;"&amp;1020,m_end,"&gt;"&amp;960)&gt;1,"충돌",HYPERLINK("#'관리자_MASTER'!D"&amp;_xlfn.MAXIFS(m_row,m_teacher,AS$4,m_date,($G$2+21),m_active,1,m_start,"&lt;"&amp;1020,m_end,"&gt;"&amp;960),INDEX(m_label,_xlfn.MAXIFS(m_row,m_teacher,AS$4,m_date,($G$2+21),m_active,1,m_start,"&lt;"&amp;1020,m_end,"&gt;"&amp;960))))))</f>
        <v/>
      </c>
      <c r="AT12" s="82" t="str">
        <f aca="false">IF(OR(AT$4="",MONTH(($G$2+21))&lt;&gt;MONTH($C$2)),"",IF(COUNTIFS(m_teacher,AT$4,m_date,($G$2+21),m_active,1,m_start,"&lt;"&amp;1020,m_end,"&gt;"&amp;960)=0,"",IF(COUNTIFS(m_teacher,AT$4,m_date,($G$2+21),m_active,1,m_start,"&lt;"&amp;1020,m_end,"&gt;"&amp;960)&gt;1,"충돌",HYPERLINK("#'관리자_MASTER'!D"&amp;_xlfn.MAXIFS(m_row,m_teacher,AT$4,m_date,($G$2+21),m_active,1,m_start,"&lt;"&amp;1020,m_end,"&gt;"&amp;960),INDEX(m_label,_xlfn.MAXIFS(m_row,m_teacher,AT$4,m_date,($G$2+21),m_active,1,m_start,"&lt;"&amp;1020,m_end,"&gt;"&amp;960))))))</f>
        <v/>
      </c>
      <c r="AU12" s="82" t="str">
        <f aca="false">IF(OR(AU$4="",MONTH(($G$2+21))&lt;&gt;MONTH($C$2)),"",IF(COUNTIFS(m_teacher,AU$4,m_date,($G$2+21),m_active,1,m_start,"&lt;"&amp;1020,m_end,"&gt;"&amp;960)=0,"",IF(COUNTIFS(m_teacher,AU$4,m_date,($G$2+21),m_active,1,m_start,"&lt;"&amp;1020,m_end,"&gt;"&amp;960)&gt;1,"충돌",HYPERLINK("#'관리자_MASTER'!D"&amp;_xlfn.MAXIFS(m_row,m_teacher,AU$4,m_date,($G$2+21),m_active,1,m_start,"&lt;"&amp;1020,m_end,"&gt;"&amp;960),INDEX(m_label,_xlfn.MAXIFS(m_row,m_teacher,AU$4,m_date,($G$2+21),m_active,1,m_start,"&lt;"&amp;1020,m_end,"&gt;"&amp;960))))))</f>
        <v/>
      </c>
      <c r="AV12" s="82" t="str">
        <f aca="false">IF(OR(AV$4="",MONTH(($G$2+21))&lt;&gt;MONTH($C$2)),"",IF(COUNTIFS(m_teacher,AV$4,m_date,($G$2+21),m_active,1,m_start,"&lt;"&amp;1020,m_end,"&gt;"&amp;960)=0,"",IF(COUNTIFS(m_teacher,AV$4,m_date,($G$2+21),m_active,1,m_start,"&lt;"&amp;1020,m_end,"&gt;"&amp;960)&gt;1,"충돌",HYPERLINK("#'관리자_MASTER'!D"&amp;_xlfn.MAXIFS(m_row,m_teacher,AV$4,m_date,($G$2+21),m_active,1,m_start,"&lt;"&amp;1020,m_end,"&gt;"&amp;960),INDEX(m_label,_xlfn.MAXIFS(m_row,m_teacher,AV$4,m_date,($G$2+21),m_active,1,m_start,"&lt;"&amp;1020,m_end,"&gt;"&amp;960))))))</f>
        <v/>
      </c>
      <c r="AW12" s="82" t="str">
        <f aca="false">IF(OR(AW$4="",MONTH(($G$2+21))&lt;&gt;MONTH($C$2)),"",IF(COUNTIFS(m_teacher,AW$4,m_date,($G$2+21),m_active,1,m_start,"&lt;"&amp;1020,m_end,"&gt;"&amp;960)=0,"",IF(COUNTIFS(m_teacher,AW$4,m_date,($G$2+21),m_active,1,m_start,"&lt;"&amp;1020,m_end,"&gt;"&amp;960)&gt;1,"충돌",HYPERLINK("#'관리자_MASTER'!D"&amp;_xlfn.MAXIFS(m_row,m_teacher,AW$4,m_date,($G$2+21),m_active,1,m_start,"&lt;"&amp;1020,m_end,"&gt;"&amp;960),INDEX(m_label,_xlfn.MAXIFS(m_row,m_teacher,AW$4,m_date,($G$2+21),m_active,1,m_start,"&lt;"&amp;1020,m_end,"&gt;"&amp;960))))))</f>
        <v/>
      </c>
      <c r="AX12" s="82" t="str">
        <f aca="false">IF(OR(AX$4="",MONTH(($G$2+21))&lt;&gt;MONTH($C$2)),"",IF(COUNTIFS(m_teacher,AX$4,m_date,($G$2+21),m_active,1,m_start,"&lt;"&amp;1020,m_end,"&gt;"&amp;960)=0,"",IF(COUNTIFS(m_teacher,AX$4,m_date,($G$2+21),m_active,1,m_start,"&lt;"&amp;1020,m_end,"&gt;"&amp;960)&gt;1,"충돌",HYPERLINK("#'관리자_MASTER'!D"&amp;_xlfn.MAXIFS(m_row,m_teacher,AX$4,m_date,($G$2+21),m_active,1,m_start,"&lt;"&amp;1020,m_end,"&gt;"&amp;960),INDEX(m_label,_xlfn.MAXIFS(m_row,m_teacher,AX$4,m_date,($G$2+21),m_active,1,m_start,"&lt;"&amp;1020,m_end,"&gt;"&amp;960))))))</f>
        <v/>
      </c>
      <c r="AY12" s="82" t="str">
        <f aca="false">IF(OR(AY$4="",MONTH(($G$2+21))&lt;&gt;MONTH($C$2)),"",IF(COUNTIFS(m_teacher,AY$4,m_date,($G$2+21),m_active,1,m_start,"&lt;"&amp;1020,m_end,"&gt;"&amp;960)=0,"",IF(COUNTIFS(m_teacher,AY$4,m_date,($G$2+21),m_active,1,m_start,"&lt;"&amp;1020,m_end,"&gt;"&amp;960)&gt;1,"충돌",HYPERLINK("#'관리자_MASTER'!D"&amp;_xlfn.MAXIFS(m_row,m_teacher,AY$4,m_date,($G$2+21),m_active,1,m_start,"&lt;"&amp;1020,m_end,"&gt;"&amp;960),INDEX(m_label,_xlfn.MAXIFS(m_row,m_teacher,AY$4,m_date,($G$2+21),m_active,1,m_start,"&lt;"&amp;1020,m_end,"&gt;"&amp;960))))))</f>
        <v/>
      </c>
      <c r="AZ12" s="82" t="str">
        <f aca="false">IF(OR(AZ$4="",MONTH(($G$2+21))&lt;&gt;MONTH($C$2)),"",IF(COUNTIFS(m_teacher,AZ$4,m_date,($G$2+21),m_active,1,m_start,"&lt;"&amp;1020,m_end,"&gt;"&amp;960)=0,"",IF(COUNTIFS(m_teacher,AZ$4,m_date,($G$2+21),m_active,1,m_start,"&lt;"&amp;1020,m_end,"&gt;"&amp;960)&gt;1,"충돌",HYPERLINK("#'관리자_MASTER'!D"&amp;_xlfn.MAXIFS(m_row,m_teacher,AZ$4,m_date,($G$2+21),m_active,1,m_start,"&lt;"&amp;1020,m_end,"&gt;"&amp;960),INDEX(m_label,_xlfn.MAXIFS(m_row,m_teacher,AZ$4,m_date,($G$2+21),m_active,1,m_start,"&lt;"&amp;1020,m_end,"&gt;"&amp;960))))))</f>
        <v/>
      </c>
      <c r="BA12" s="82" t="str">
        <f aca="false">IF(OR(BA$4="",MONTH(($G$2+21))&lt;&gt;MONTH($C$2)),"",IF(COUNTIFS(m_teacher,BA$4,m_date,($G$2+21),m_active,1,m_start,"&lt;"&amp;1020,m_end,"&gt;"&amp;960)=0,"",IF(COUNTIFS(m_teacher,BA$4,m_date,($G$2+21),m_active,1,m_start,"&lt;"&amp;1020,m_end,"&gt;"&amp;960)&gt;1,"충돌",HYPERLINK("#'관리자_MASTER'!D"&amp;_xlfn.MAXIFS(m_row,m_teacher,BA$4,m_date,($G$2+21),m_active,1,m_start,"&lt;"&amp;1020,m_end,"&gt;"&amp;960),INDEX(m_label,_xlfn.MAXIFS(m_row,m_teacher,BA$4,m_date,($G$2+21),m_active,1,m_start,"&lt;"&amp;1020,m_end,"&gt;"&amp;960))))))</f>
        <v/>
      </c>
      <c r="BB12" s="82" t="str">
        <f aca="false">IF(OR(BB$4="",MONTH(($G$2+21))&lt;&gt;MONTH($C$2)),"",IF(COUNTIFS(m_teacher,BB$4,m_date,($G$2+21),m_active,1,m_start,"&lt;"&amp;1020,m_end,"&gt;"&amp;960)=0,"",IF(COUNTIFS(m_teacher,BB$4,m_date,($G$2+21),m_active,1,m_start,"&lt;"&amp;1020,m_end,"&gt;"&amp;960)&gt;1,"충돌",HYPERLINK("#'관리자_MASTER'!D"&amp;_xlfn.MAXIFS(m_row,m_teacher,BB$4,m_date,($G$2+21),m_active,1,m_start,"&lt;"&amp;1020,m_end,"&gt;"&amp;960),INDEX(m_label,_xlfn.MAXIFS(m_row,m_teacher,BB$4,m_date,($G$2+21),m_active,1,m_start,"&lt;"&amp;1020,m_end,"&gt;"&amp;960))))))</f>
        <v/>
      </c>
      <c r="BC12" s="82" t="str">
        <f aca="false">IF(OR(BC$4="",MONTH(($G$2+21))&lt;&gt;MONTH($C$2)),"",IF(COUNTIFS(m_teacher,BC$4,m_date,($G$2+21),m_active,1,m_start,"&lt;"&amp;1020,m_end,"&gt;"&amp;960)=0,"",IF(COUNTIFS(m_teacher,BC$4,m_date,($G$2+21),m_active,1,m_start,"&lt;"&amp;1020,m_end,"&gt;"&amp;960)&gt;1,"충돌",HYPERLINK("#'관리자_MASTER'!D"&amp;_xlfn.MAXIFS(m_row,m_teacher,BC$4,m_date,($G$2+21),m_active,1,m_start,"&lt;"&amp;1020,m_end,"&gt;"&amp;960),INDEX(m_label,_xlfn.MAXIFS(m_row,m_teacher,BC$4,m_date,($G$2+21),m_active,1,m_start,"&lt;"&amp;1020,m_end,"&gt;"&amp;960))))))</f>
        <v/>
      </c>
      <c r="BD12" s="82" t="str">
        <f aca="false">IF(OR(BD$4="",MONTH(($G$2+21))&lt;&gt;MONTH($C$2)),"",IF(COUNTIFS(m_teacher,BD$4,m_date,($G$2+21),m_active,1,m_start,"&lt;"&amp;1020,m_end,"&gt;"&amp;960)=0,"",IF(COUNTIFS(m_teacher,BD$4,m_date,($G$2+21),m_active,1,m_start,"&lt;"&amp;1020,m_end,"&gt;"&amp;960)&gt;1,"충돌",HYPERLINK("#'관리자_MASTER'!D"&amp;_xlfn.MAXIFS(m_row,m_teacher,BD$4,m_date,($G$2+21),m_active,1,m_start,"&lt;"&amp;1020,m_end,"&gt;"&amp;960),INDEX(m_label,_xlfn.MAXIFS(m_row,m_teacher,BD$4,m_date,($G$2+21),m_active,1,m_start,"&lt;"&amp;1020,m_end,"&gt;"&amp;960))))))</f>
        <v/>
      </c>
      <c r="BE12" s="78"/>
      <c r="BF12" s="79" t="s">
        <v>98</v>
      </c>
      <c r="BG12" s="82" t="str">
        <f aca="false">IF(OR(BG$4="",MONTH(($G$2+28))&lt;&gt;MONTH($C$2)),"",IF(COUNTIFS(m_teacher,BG$4,m_date,($G$2+28),m_active,1,m_start,"&lt;"&amp;1020,m_end,"&gt;"&amp;960)=0,"",IF(COUNTIFS(m_teacher,BG$4,m_date,($G$2+28),m_active,1,m_start,"&lt;"&amp;1020,m_end,"&gt;"&amp;960)&gt;1,"충돌",HYPERLINK("#'관리자_MASTER'!D"&amp;_xlfn.MAXIFS(m_row,m_teacher,BG$4,m_date,($G$2+28),m_active,1,m_start,"&lt;"&amp;1020,m_end,"&gt;"&amp;960),INDEX(m_label,_xlfn.MAXIFS(m_row,m_teacher,BG$4,m_date,($G$2+28),m_active,1,m_start,"&lt;"&amp;1020,m_end,"&gt;"&amp;960))))))</f>
        <v/>
      </c>
      <c r="BH12" s="82" t="str">
        <f aca="false">IF(OR(BH$4="",MONTH(($G$2+28))&lt;&gt;MONTH($C$2)),"",IF(COUNTIFS(m_teacher,BH$4,m_date,($G$2+28),m_active,1,m_start,"&lt;"&amp;1020,m_end,"&gt;"&amp;960)=0,"",IF(COUNTIFS(m_teacher,BH$4,m_date,($G$2+28),m_active,1,m_start,"&lt;"&amp;1020,m_end,"&gt;"&amp;960)&gt;1,"충돌",HYPERLINK("#'관리자_MASTER'!D"&amp;_xlfn.MAXIFS(m_row,m_teacher,BH$4,m_date,($G$2+28),m_active,1,m_start,"&lt;"&amp;1020,m_end,"&gt;"&amp;960),INDEX(m_label,_xlfn.MAXIFS(m_row,m_teacher,BH$4,m_date,($G$2+28),m_active,1,m_start,"&lt;"&amp;1020,m_end,"&gt;"&amp;960))))))</f>
        <v/>
      </c>
      <c r="BI12" s="82" t="str">
        <f aca="false">IF(OR(BI$4="",MONTH(($G$2+28))&lt;&gt;MONTH($C$2)),"",IF(COUNTIFS(m_teacher,BI$4,m_date,($G$2+28),m_active,1,m_start,"&lt;"&amp;1020,m_end,"&gt;"&amp;960)=0,"",IF(COUNTIFS(m_teacher,BI$4,m_date,($G$2+28),m_active,1,m_start,"&lt;"&amp;1020,m_end,"&gt;"&amp;960)&gt;1,"충돌",HYPERLINK("#'관리자_MASTER'!D"&amp;_xlfn.MAXIFS(m_row,m_teacher,BI$4,m_date,($G$2+28),m_active,1,m_start,"&lt;"&amp;1020,m_end,"&gt;"&amp;960),INDEX(m_label,_xlfn.MAXIFS(m_row,m_teacher,BI$4,m_date,($G$2+28),m_active,1,m_start,"&lt;"&amp;1020,m_end,"&gt;"&amp;960))))))</f>
        <v/>
      </c>
      <c r="BJ12" s="82" t="str">
        <f aca="false">IF(OR(BJ$4="",MONTH(($G$2+28))&lt;&gt;MONTH($C$2)),"",IF(COUNTIFS(m_teacher,BJ$4,m_date,($G$2+28),m_active,1,m_start,"&lt;"&amp;1020,m_end,"&gt;"&amp;960)=0,"",IF(COUNTIFS(m_teacher,BJ$4,m_date,($G$2+28),m_active,1,m_start,"&lt;"&amp;1020,m_end,"&gt;"&amp;960)&gt;1,"충돌",HYPERLINK("#'관리자_MASTER'!D"&amp;_xlfn.MAXIFS(m_row,m_teacher,BJ$4,m_date,($G$2+28),m_active,1,m_start,"&lt;"&amp;1020,m_end,"&gt;"&amp;960),INDEX(m_label,_xlfn.MAXIFS(m_row,m_teacher,BJ$4,m_date,($G$2+28),m_active,1,m_start,"&lt;"&amp;1020,m_end,"&gt;"&amp;960))))))</f>
        <v/>
      </c>
      <c r="BK12" s="82" t="str">
        <f aca="false">IF(OR(BK$4="",MONTH(($G$2+28))&lt;&gt;MONTH($C$2)),"",IF(COUNTIFS(m_teacher,BK$4,m_date,($G$2+28),m_active,1,m_start,"&lt;"&amp;1020,m_end,"&gt;"&amp;960)=0,"",IF(COUNTIFS(m_teacher,BK$4,m_date,($G$2+28),m_active,1,m_start,"&lt;"&amp;1020,m_end,"&gt;"&amp;960)&gt;1,"충돌",HYPERLINK("#'관리자_MASTER'!D"&amp;_xlfn.MAXIFS(m_row,m_teacher,BK$4,m_date,($G$2+28),m_active,1,m_start,"&lt;"&amp;1020,m_end,"&gt;"&amp;960),INDEX(m_label,_xlfn.MAXIFS(m_row,m_teacher,BK$4,m_date,($G$2+28),m_active,1,m_start,"&lt;"&amp;1020,m_end,"&gt;"&amp;960))))))</f>
        <v/>
      </c>
      <c r="BL12" s="82" t="str">
        <f aca="false">IF(OR(BL$4="",MONTH(($G$2+28))&lt;&gt;MONTH($C$2)),"",IF(COUNTIFS(m_teacher,BL$4,m_date,($G$2+28),m_active,1,m_start,"&lt;"&amp;1020,m_end,"&gt;"&amp;960)=0,"",IF(COUNTIFS(m_teacher,BL$4,m_date,($G$2+28),m_active,1,m_start,"&lt;"&amp;1020,m_end,"&gt;"&amp;960)&gt;1,"충돌",HYPERLINK("#'관리자_MASTER'!D"&amp;_xlfn.MAXIFS(m_row,m_teacher,BL$4,m_date,($G$2+28),m_active,1,m_start,"&lt;"&amp;1020,m_end,"&gt;"&amp;960),INDEX(m_label,_xlfn.MAXIFS(m_row,m_teacher,BL$4,m_date,($G$2+28),m_active,1,m_start,"&lt;"&amp;1020,m_end,"&gt;"&amp;960))))))</f>
        <v/>
      </c>
      <c r="BM12" s="82" t="str">
        <f aca="false">IF(OR(BM$4="",MONTH(($G$2+28))&lt;&gt;MONTH($C$2)),"",IF(COUNTIFS(m_teacher,BM$4,m_date,($G$2+28),m_active,1,m_start,"&lt;"&amp;1020,m_end,"&gt;"&amp;960)=0,"",IF(COUNTIFS(m_teacher,BM$4,m_date,($G$2+28),m_active,1,m_start,"&lt;"&amp;1020,m_end,"&gt;"&amp;960)&gt;1,"충돌",HYPERLINK("#'관리자_MASTER'!D"&amp;_xlfn.MAXIFS(m_row,m_teacher,BM$4,m_date,($G$2+28),m_active,1,m_start,"&lt;"&amp;1020,m_end,"&gt;"&amp;960),INDEX(m_label,_xlfn.MAXIFS(m_row,m_teacher,BM$4,m_date,($G$2+28),m_active,1,m_start,"&lt;"&amp;1020,m_end,"&gt;"&amp;960))))))</f>
        <v/>
      </c>
      <c r="BN12" s="82" t="str">
        <f aca="false">IF(OR(BN$4="",MONTH(($G$2+28))&lt;&gt;MONTH($C$2)),"",IF(COUNTIFS(m_teacher,BN$4,m_date,($G$2+28),m_active,1,m_start,"&lt;"&amp;1020,m_end,"&gt;"&amp;960)=0,"",IF(COUNTIFS(m_teacher,BN$4,m_date,($G$2+28),m_active,1,m_start,"&lt;"&amp;1020,m_end,"&gt;"&amp;960)&gt;1,"충돌",HYPERLINK("#'관리자_MASTER'!D"&amp;_xlfn.MAXIFS(m_row,m_teacher,BN$4,m_date,($G$2+28),m_active,1,m_start,"&lt;"&amp;1020,m_end,"&gt;"&amp;960),INDEX(m_label,_xlfn.MAXIFS(m_row,m_teacher,BN$4,m_date,($G$2+28),m_active,1,m_start,"&lt;"&amp;1020,m_end,"&gt;"&amp;960))))))</f>
        <v/>
      </c>
      <c r="BO12" s="82" t="str">
        <f aca="false">IF(OR(BO$4="",MONTH(($G$2+28))&lt;&gt;MONTH($C$2)),"",IF(COUNTIFS(m_teacher,BO$4,m_date,($G$2+28),m_active,1,m_start,"&lt;"&amp;1020,m_end,"&gt;"&amp;960)=0,"",IF(COUNTIFS(m_teacher,BO$4,m_date,($G$2+28),m_active,1,m_start,"&lt;"&amp;1020,m_end,"&gt;"&amp;960)&gt;1,"충돌",HYPERLINK("#'관리자_MASTER'!D"&amp;_xlfn.MAXIFS(m_row,m_teacher,BO$4,m_date,($G$2+28),m_active,1,m_start,"&lt;"&amp;1020,m_end,"&gt;"&amp;960),INDEX(m_label,_xlfn.MAXIFS(m_row,m_teacher,BO$4,m_date,($G$2+28),m_active,1,m_start,"&lt;"&amp;1020,m_end,"&gt;"&amp;960))))))</f>
        <v/>
      </c>
      <c r="BP12" s="82" t="str">
        <f aca="false">IF(OR(BP$4="",MONTH(($G$2+28))&lt;&gt;MONTH($C$2)),"",IF(COUNTIFS(m_teacher,BP$4,m_date,($G$2+28),m_active,1,m_start,"&lt;"&amp;1020,m_end,"&gt;"&amp;960)=0,"",IF(COUNTIFS(m_teacher,BP$4,m_date,($G$2+28),m_active,1,m_start,"&lt;"&amp;1020,m_end,"&gt;"&amp;960)&gt;1,"충돌",HYPERLINK("#'관리자_MASTER'!D"&amp;_xlfn.MAXIFS(m_row,m_teacher,BP$4,m_date,($G$2+28),m_active,1,m_start,"&lt;"&amp;1020,m_end,"&gt;"&amp;960),INDEX(m_label,_xlfn.MAXIFS(m_row,m_teacher,BP$4,m_date,($G$2+28),m_active,1,m_start,"&lt;"&amp;1020,m_end,"&gt;"&amp;960))))))</f>
        <v/>
      </c>
      <c r="BQ12" s="82" t="str">
        <f aca="false">IF(OR(BQ$4="",MONTH(($G$2+28))&lt;&gt;MONTH($C$2)),"",IF(COUNTIFS(m_teacher,BQ$4,m_date,($G$2+28),m_active,1,m_start,"&lt;"&amp;1020,m_end,"&gt;"&amp;960)=0,"",IF(COUNTIFS(m_teacher,BQ$4,m_date,($G$2+28),m_active,1,m_start,"&lt;"&amp;1020,m_end,"&gt;"&amp;960)&gt;1,"충돌",HYPERLINK("#'관리자_MASTER'!D"&amp;_xlfn.MAXIFS(m_row,m_teacher,BQ$4,m_date,($G$2+28),m_active,1,m_start,"&lt;"&amp;1020,m_end,"&gt;"&amp;960),INDEX(m_label,_xlfn.MAXIFS(m_row,m_teacher,BQ$4,m_date,($G$2+28),m_active,1,m_start,"&lt;"&amp;1020,m_end,"&gt;"&amp;960))))))</f>
        <v/>
      </c>
      <c r="BR12" s="82" t="str">
        <f aca="false">IF(OR(BR$4="",MONTH(($G$2+28))&lt;&gt;MONTH($C$2)),"",IF(COUNTIFS(m_teacher,BR$4,m_date,($G$2+28),m_active,1,m_start,"&lt;"&amp;1020,m_end,"&gt;"&amp;960)=0,"",IF(COUNTIFS(m_teacher,BR$4,m_date,($G$2+28),m_active,1,m_start,"&lt;"&amp;1020,m_end,"&gt;"&amp;960)&gt;1,"충돌",HYPERLINK("#'관리자_MASTER'!D"&amp;_xlfn.MAXIFS(m_row,m_teacher,BR$4,m_date,($G$2+28),m_active,1,m_start,"&lt;"&amp;1020,m_end,"&gt;"&amp;960),INDEX(m_label,_xlfn.MAXIFS(m_row,m_teacher,BR$4,m_date,($G$2+28),m_active,1,m_start,"&lt;"&amp;1020,m_end,"&gt;"&amp;960))))))</f>
        <v/>
      </c>
    </row>
    <row r="13" customFormat="false" ht="19.5" hidden="false" customHeight="true" outlineLevel="0" collapsed="false">
      <c r="A13" s="75"/>
      <c r="B13" s="76" t="s">
        <v>99</v>
      </c>
      <c r="C13" s="81" t="str">
        <f aca="false">IF(OR(C$4="",MONTH(($G$2+0))&lt;&gt;MONTH($C$2)),"",IF(COUNTIFS(m_teacher,C$4,m_date,($G$2+0),m_active,1,m_start,"&lt;"&amp;1080,m_end,"&gt;"&amp;1020)=0,"",IF(COUNTIFS(m_teacher,C$4,m_date,($G$2+0),m_active,1,m_start,"&lt;"&amp;1080,m_end,"&gt;"&amp;1020)&gt;1,"충돌",HYPERLINK("#'관리자_MASTER'!D"&amp;_xlfn.MAXIFS(m_row,m_teacher,C$4,m_date,($G$2+0),m_active,1,m_start,"&lt;"&amp;1080,m_end,"&gt;"&amp;1020),INDEX(m_label,_xlfn.MAXIFS(m_row,m_teacher,C$4,m_date,($G$2+0),m_active,1,m_start,"&lt;"&amp;1080,m_end,"&gt;"&amp;1020))))))</f>
        <v/>
      </c>
      <c r="D13" s="81" t="str">
        <f aca="false">IF(OR(D$4="",MONTH(($G$2+0))&lt;&gt;MONTH($C$2)),"",IF(COUNTIFS(m_teacher,D$4,m_date,($G$2+0),m_active,1,m_start,"&lt;"&amp;1080,m_end,"&gt;"&amp;1020)=0,"",IF(COUNTIFS(m_teacher,D$4,m_date,($G$2+0),m_active,1,m_start,"&lt;"&amp;1080,m_end,"&gt;"&amp;1020)&gt;1,"충돌",HYPERLINK("#'관리자_MASTER'!D"&amp;_xlfn.MAXIFS(m_row,m_teacher,D$4,m_date,($G$2+0),m_active,1,m_start,"&lt;"&amp;1080,m_end,"&gt;"&amp;1020),INDEX(m_label,_xlfn.MAXIFS(m_row,m_teacher,D$4,m_date,($G$2+0),m_active,1,m_start,"&lt;"&amp;1080,m_end,"&gt;"&amp;1020))))))</f>
        <v/>
      </c>
      <c r="E13" s="81" t="str">
        <f aca="false">IF(OR(E$4="",MONTH(($G$2+0))&lt;&gt;MONTH($C$2)),"",IF(COUNTIFS(m_teacher,E$4,m_date,($G$2+0),m_active,1,m_start,"&lt;"&amp;1080,m_end,"&gt;"&amp;1020)=0,"",IF(COUNTIFS(m_teacher,E$4,m_date,($G$2+0),m_active,1,m_start,"&lt;"&amp;1080,m_end,"&gt;"&amp;1020)&gt;1,"충돌",HYPERLINK("#'관리자_MASTER'!D"&amp;_xlfn.MAXIFS(m_row,m_teacher,E$4,m_date,($G$2+0),m_active,1,m_start,"&lt;"&amp;1080,m_end,"&gt;"&amp;1020),INDEX(m_label,_xlfn.MAXIFS(m_row,m_teacher,E$4,m_date,($G$2+0),m_active,1,m_start,"&lt;"&amp;1080,m_end,"&gt;"&amp;1020))))))</f>
        <v/>
      </c>
      <c r="F13" s="81" t="str">
        <f aca="false">IF(OR(F$4="",MONTH(($G$2+0))&lt;&gt;MONTH($C$2)),"",IF(COUNTIFS(m_teacher,F$4,m_date,($G$2+0),m_active,1,m_start,"&lt;"&amp;1080,m_end,"&gt;"&amp;1020)=0,"",IF(COUNTIFS(m_teacher,F$4,m_date,($G$2+0),m_active,1,m_start,"&lt;"&amp;1080,m_end,"&gt;"&amp;1020)&gt;1,"충돌",HYPERLINK("#'관리자_MASTER'!D"&amp;_xlfn.MAXIFS(m_row,m_teacher,F$4,m_date,($G$2+0),m_active,1,m_start,"&lt;"&amp;1080,m_end,"&gt;"&amp;1020),INDEX(m_label,_xlfn.MAXIFS(m_row,m_teacher,F$4,m_date,($G$2+0),m_active,1,m_start,"&lt;"&amp;1080,m_end,"&gt;"&amp;1020))))))</f>
        <v/>
      </c>
      <c r="G13" s="81" t="str">
        <f aca="false">IF(OR(G$4="",MONTH(($G$2+0))&lt;&gt;MONTH($C$2)),"",IF(COUNTIFS(m_teacher,G$4,m_date,($G$2+0),m_active,1,m_start,"&lt;"&amp;1080,m_end,"&gt;"&amp;1020)=0,"",IF(COUNTIFS(m_teacher,G$4,m_date,($G$2+0),m_active,1,m_start,"&lt;"&amp;1080,m_end,"&gt;"&amp;1020)&gt;1,"충돌",HYPERLINK("#'관리자_MASTER'!D"&amp;_xlfn.MAXIFS(m_row,m_teacher,G$4,m_date,($G$2+0),m_active,1,m_start,"&lt;"&amp;1080,m_end,"&gt;"&amp;1020),INDEX(m_label,_xlfn.MAXIFS(m_row,m_teacher,G$4,m_date,($G$2+0),m_active,1,m_start,"&lt;"&amp;1080,m_end,"&gt;"&amp;1020))))))</f>
        <v/>
      </c>
      <c r="H13" s="81" t="str">
        <f aca="false">IF(OR(H$4="",MONTH(($G$2+0))&lt;&gt;MONTH($C$2)),"",IF(COUNTIFS(m_teacher,H$4,m_date,($G$2+0),m_active,1,m_start,"&lt;"&amp;1080,m_end,"&gt;"&amp;1020)=0,"",IF(COUNTIFS(m_teacher,H$4,m_date,($G$2+0),m_active,1,m_start,"&lt;"&amp;1080,m_end,"&gt;"&amp;1020)&gt;1,"충돌",HYPERLINK("#'관리자_MASTER'!D"&amp;_xlfn.MAXIFS(m_row,m_teacher,H$4,m_date,($G$2+0),m_active,1,m_start,"&lt;"&amp;1080,m_end,"&gt;"&amp;1020),INDEX(m_label,_xlfn.MAXIFS(m_row,m_teacher,H$4,m_date,($G$2+0),m_active,1,m_start,"&lt;"&amp;1080,m_end,"&gt;"&amp;1020))))))</f>
        <v/>
      </c>
      <c r="I13" s="81" t="str">
        <f aca="false">IF(OR(I$4="",MONTH(($G$2+0))&lt;&gt;MONTH($C$2)),"",IF(COUNTIFS(m_teacher,I$4,m_date,($G$2+0),m_active,1,m_start,"&lt;"&amp;1080,m_end,"&gt;"&amp;1020)=0,"",IF(COUNTIFS(m_teacher,I$4,m_date,($G$2+0),m_active,1,m_start,"&lt;"&amp;1080,m_end,"&gt;"&amp;1020)&gt;1,"충돌",HYPERLINK("#'관리자_MASTER'!D"&amp;_xlfn.MAXIFS(m_row,m_teacher,I$4,m_date,($G$2+0),m_active,1,m_start,"&lt;"&amp;1080,m_end,"&gt;"&amp;1020),INDEX(m_label,_xlfn.MAXIFS(m_row,m_teacher,I$4,m_date,($G$2+0),m_active,1,m_start,"&lt;"&amp;1080,m_end,"&gt;"&amp;1020))))))</f>
        <v/>
      </c>
      <c r="J13" s="81" t="str">
        <f aca="false">IF(OR(J$4="",MONTH(($G$2+0))&lt;&gt;MONTH($C$2)),"",IF(COUNTIFS(m_teacher,J$4,m_date,($G$2+0),m_active,1,m_start,"&lt;"&amp;1080,m_end,"&gt;"&amp;1020)=0,"",IF(COUNTIFS(m_teacher,J$4,m_date,($G$2+0),m_active,1,m_start,"&lt;"&amp;1080,m_end,"&gt;"&amp;1020)&gt;1,"충돌",HYPERLINK("#'관리자_MASTER'!D"&amp;_xlfn.MAXIFS(m_row,m_teacher,J$4,m_date,($G$2+0),m_active,1,m_start,"&lt;"&amp;1080,m_end,"&gt;"&amp;1020),INDEX(m_label,_xlfn.MAXIFS(m_row,m_teacher,J$4,m_date,($G$2+0),m_active,1,m_start,"&lt;"&amp;1080,m_end,"&gt;"&amp;1020))))))</f>
        <v/>
      </c>
      <c r="K13" s="81" t="str">
        <f aca="false">IF(OR(K$4="",MONTH(($G$2+0))&lt;&gt;MONTH($C$2)),"",IF(COUNTIFS(m_teacher,K$4,m_date,($G$2+0),m_active,1,m_start,"&lt;"&amp;1080,m_end,"&gt;"&amp;1020)=0,"",IF(COUNTIFS(m_teacher,K$4,m_date,($G$2+0),m_active,1,m_start,"&lt;"&amp;1080,m_end,"&gt;"&amp;1020)&gt;1,"충돌",HYPERLINK("#'관리자_MASTER'!D"&amp;_xlfn.MAXIFS(m_row,m_teacher,K$4,m_date,($G$2+0),m_active,1,m_start,"&lt;"&amp;1080,m_end,"&gt;"&amp;1020),INDEX(m_label,_xlfn.MAXIFS(m_row,m_teacher,K$4,m_date,($G$2+0),m_active,1,m_start,"&lt;"&amp;1080,m_end,"&gt;"&amp;1020))))))</f>
        <v/>
      </c>
      <c r="L13" s="81" t="str">
        <f aca="false">IF(OR(L$4="",MONTH(($G$2+0))&lt;&gt;MONTH($C$2)),"",IF(COUNTIFS(m_teacher,L$4,m_date,($G$2+0),m_active,1,m_start,"&lt;"&amp;1080,m_end,"&gt;"&amp;1020)=0,"",IF(COUNTIFS(m_teacher,L$4,m_date,($G$2+0),m_active,1,m_start,"&lt;"&amp;1080,m_end,"&gt;"&amp;1020)&gt;1,"충돌",HYPERLINK("#'관리자_MASTER'!D"&amp;_xlfn.MAXIFS(m_row,m_teacher,L$4,m_date,($G$2+0),m_active,1,m_start,"&lt;"&amp;1080,m_end,"&gt;"&amp;1020),INDEX(m_label,_xlfn.MAXIFS(m_row,m_teacher,L$4,m_date,($G$2+0),m_active,1,m_start,"&lt;"&amp;1080,m_end,"&gt;"&amp;1020))))))</f>
        <v/>
      </c>
      <c r="M13" s="81" t="str">
        <f aca="false">IF(OR(M$4="",MONTH(($G$2+0))&lt;&gt;MONTH($C$2)),"",IF(COUNTIFS(m_teacher,M$4,m_date,($G$2+0),m_active,1,m_start,"&lt;"&amp;1080,m_end,"&gt;"&amp;1020)=0,"",IF(COUNTIFS(m_teacher,M$4,m_date,($G$2+0),m_active,1,m_start,"&lt;"&amp;1080,m_end,"&gt;"&amp;1020)&gt;1,"충돌",HYPERLINK("#'관리자_MASTER'!D"&amp;_xlfn.MAXIFS(m_row,m_teacher,M$4,m_date,($G$2+0),m_active,1,m_start,"&lt;"&amp;1080,m_end,"&gt;"&amp;1020),INDEX(m_label,_xlfn.MAXIFS(m_row,m_teacher,M$4,m_date,($G$2+0),m_active,1,m_start,"&lt;"&amp;1080,m_end,"&gt;"&amp;1020))))))</f>
        <v/>
      </c>
      <c r="N13" s="81" t="str">
        <f aca="false">IF(OR(N$4="",MONTH(($G$2+0))&lt;&gt;MONTH($C$2)),"",IF(COUNTIFS(m_teacher,N$4,m_date,($G$2+0),m_active,1,m_start,"&lt;"&amp;1080,m_end,"&gt;"&amp;1020)=0,"",IF(COUNTIFS(m_teacher,N$4,m_date,($G$2+0),m_active,1,m_start,"&lt;"&amp;1080,m_end,"&gt;"&amp;1020)&gt;1,"충돌",HYPERLINK("#'관리자_MASTER'!D"&amp;_xlfn.MAXIFS(m_row,m_teacher,N$4,m_date,($G$2+0),m_active,1,m_start,"&lt;"&amp;1080,m_end,"&gt;"&amp;1020),INDEX(m_label,_xlfn.MAXIFS(m_row,m_teacher,N$4,m_date,($G$2+0),m_active,1,m_start,"&lt;"&amp;1080,m_end,"&gt;"&amp;1020))))))</f>
        <v/>
      </c>
      <c r="O13" s="78"/>
      <c r="P13" s="79" t="s">
        <v>99</v>
      </c>
      <c r="Q13" s="82" t="str">
        <f aca="false">IF(OR(Q$4="",MONTH(($G$2+7))&lt;&gt;MONTH($C$2)),"",IF(COUNTIFS(m_teacher,Q$4,m_date,($G$2+7),m_active,1,m_start,"&lt;"&amp;1080,m_end,"&gt;"&amp;1020)=0,"",IF(COUNTIFS(m_teacher,Q$4,m_date,($G$2+7),m_active,1,m_start,"&lt;"&amp;1080,m_end,"&gt;"&amp;1020)&gt;1,"충돌",HYPERLINK("#'관리자_MASTER'!D"&amp;_xlfn.MAXIFS(m_row,m_teacher,Q$4,m_date,($G$2+7),m_active,1,m_start,"&lt;"&amp;1080,m_end,"&gt;"&amp;1020),INDEX(m_label,_xlfn.MAXIFS(m_row,m_teacher,Q$4,m_date,($G$2+7),m_active,1,m_start,"&lt;"&amp;1080,m_end,"&gt;"&amp;1020))))))</f>
        <v/>
      </c>
      <c r="R13" s="82" t="str">
        <f aca="false">IF(OR(R$4="",MONTH(($G$2+7))&lt;&gt;MONTH($C$2)),"",IF(COUNTIFS(m_teacher,R$4,m_date,($G$2+7),m_active,1,m_start,"&lt;"&amp;1080,m_end,"&gt;"&amp;1020)=0,"",IF(COUNTIFS(m_teacher,R$4,m_date,($G$2+7),m_active,1,m_start,"&lt;"&amp;1080,m_end,"&gt;"&amp;1020)&gt;1,"충돌",HYPERLINK("#'관리자_MASTER'!D"&amp;_xlfn.MAXIFS(m_row,m_teacher,R$4,m_date,($G$2+7),m_active,1,m_start,"&lt;"&amp;1080,m_end,"&gt;"&amp;1020),INDEX(m_label,_xlfn.MAXIFS(m_row,m_teacher,R$4,m_date,($G$2+7),m_active,1,m_start,"&lt;"&amp;1080,m_end,"&gt;"&amp;1020))))))</f>
        <v/>
      </c>
      <c r="S13" s="82" t="str">
        <f aca="false">IF(OR(S$4="",MONTH(($G$2+7))&lt;&gt;MONTH($C$2)),"",IF(COUNTIFS(m_teacher,S$4,m_date,($G$2+7),m_active,1,m_start,"&lt;"&amp;1080,m_end,"&gt;"&amp;1020)=0,"",IF(COUNTIFS(m_teacher,S$4,m_date,($G$2+7),m_active,1,m_start,"&lt;"&amp;1080,m_end,"&gt;"&amp;1020)&gt;1,"충돌",HYPERLINK("#'관리자_MASTER'!D"&amp;_xlfn.MAXIFS(m_row,m_teacher,S$4,m_date,($G$2+7),m_active,1,m_start,"&lt;"&amp;1080,m_end,"&gt;"&amp;1020),INDEX(m_label,_xlfn.MAXIFS(m_row,m_teacher,S$4,m_date,($G$2+7),m_active,1,m_start,"&lt;"&amp;1080,m_end,"&gt;"&amp;1020))))))</f>
        <v/>
      </c>
      <c r="T13" s="82" t="str">
        <f aca="false">IF(OR(T$4="",MONTH(($G$2+7))&lt;&gt;MONTH($C$2)),"",IF(COUNTIFS(m_teacher,T$4,m_date,($G$2+7),m_active,1,m_start,"&lt;"&amp;1080,m_end,"&gt;"&amp;1020)=0,"",IF(COUNTIFS(m_teacher,T$4,m_date,($G$2+7),m_active,1,m_start,"&lt;"&amp;1080,m_end,"&gt;"&amp;1020)&gt;1,"충돌",HYPERLINK("#'관리자_MASTER'!D"&amp;_xlfn.MAXIFS(m_row,m_teacher,T$4,m_date,($G$2+7),m_active,1,m_start,"&lt;"&amp;1080,m_end,"&gt;"&amp;1020),INDEX(m_label,_xlfn.MAXIFS(m_row,m_teacher,T$4,m_date,($G$2+7),m_active,1,m_start,"&lt;"&amp;1080,m_end,"&gt;"&amp;1020))))))</f>
        <v/>
      </c>
      <c r="U13" s="82" t="str">
        <f aca="false">IF(OR(U$4="",MONTH(($G$2+7))&lt;&gt;MONTH($C$2)),"",IF(COUNTIFS(m_teacher,U$4,m_date,($G$2+7),m_active,1,m_start,"&lt;"&amp;1080,m_end,"&gt;"&amp;1020)=0,"",IF(COUNTIFS(m_teacher,U$4,m_date,($G$2+7),m_active,1,m_start,"&lt;"&amp;1080,m_end,"&gt;"&amp;1020)&gt;1,"충돌",HYPERLINK("#'관리자_MASTER'!D"&amp;_xlfn.MAXIFS(m_row,m_teacher,U$4,m_date,($G$2+7),m_active,1,m_start,"&lt;"&amp;1080,m_end,"&gt;"&amp;1020),INDEX(m_label,_xlfn.MAXIFS(m_row,m_teacher,U$4,m_date,($G$2+7),m_active,1,m_start,"&lt;"&amp;1080,m_end,"&gt;"&amp;1020))))))</f>
        <v/>
      </c>
      <c r="V13" s="82" t="str">
        <f aca="false">IF(OR(V$4="",MONTH(($G$2+7))&lt;&gt;MONTH($C$2)),"",IF(COUNTIFS(m_teacher,V$4,m_date,($G$2+7),m_active,1,m_start,"&lt;"&amp;1080,m_end,"&gt;"&amp;1020)=0,"",IF(COUNTIFS(m_teacher,V$4,m_date,($G$2+7),m_active,1,m_start,"&lt;"&amp;1080,m_end,"&gt;"&amp;1020)&gt;1,"충돌",HYPERLINK("#'관리자_MASTER'!D"&amp;_xlfn.MAXIFS(m_row,m_teacher,V$4,m_date,($G$2+7),m_active,1,m_start,"&lt;"&amp;1080,m_end,"&gt;"&amp;1020),INDEX(m_label,_xlfn.MAXIFS(m_row,m_teacher,V$4,m_date,($G$2+7),m_active,1,m_start,"&lt;"&amp;1080,m_end,"&gt;"&amp;1020))))))</f>
        <v/>
      </c>
      <c r="W13" s="82" t="str">
        <f aca="false">IF(OR(W$4="",MONTH(($G$2+7))&lt;&gt;MONTH($C$2)),"",IF(COUNTIFS(m_teacher,W$4,m_date,($G$2+7),m_active,1,m_start,"&lt;"&amp;1080,m_end,"&gt;"&amp;1020)=0,"",IF(COUNTIFS(m_teacher,W$4,m_date,($G$2+7),m_active,1,m_start,"&lt;"&amp;1080,m_end,"&gt;"&amp;1020)&gt;1,"충돌",HYPERLINK("#'관리자_MASTER'!D"&amp;_xlfn.MAXIFS(m_row,m_teacher,W$4,m_date,($G$2+7),m_active,1,m_start,"&lt;"&amp;1080,m_end,"&gt;"&amp;1020),INDEX(m_label,_xlfn.MAXIFS(m_row,m_teacher,W$4,m_date,($G$2+7),m_active,1,m_start,"&lt;"&amp;1080,m_end,"&gt;"&amp;1020))))))</f>
        <v/>
      </c>
      <c r="X13" s="82" t="str">
        <f aca="false">IF(OR(X$4="",MONTH(($G$2+7))&lt;&gt;MONTH($C$2)),"",IF(COUNTIFS(m_teacher,X$4,m_date,($G$2+7),m_active,1,m_start,"&lt;"&amp;1080,m_end,"&gt;"&amp;1020)=0,"",IF(COUNTIFS(m_teacher,X$4,m_date,($G$2+7),m_active,1,m_start,"&lt;"&amp;1080,m_end,"&gt;"&amp;1020)&gt;1,"충돌",HYPERLINK("#'관리자_MASTER'!D"&amp;_xlfn.MAXIFS(m_row,m_teacher,X$4,m_date,($G$2+7),m_active,1,m_start,"&lt;"&amp;1080,m_end,"&gt;"&amp;1020),INDEX(m_label,_xlfn.MAXIFS(m_row,m_teacher,X$4,m_date,($G$2+7),m_active,1,m_start,"&lt;"&amp;1080,m_end,"&gt;"&amp;1020))))))</f>
        <v/>
      </c>
      <c r="Y13" s="82" t="str">
        <f aca="false">IF(OR(Y$4="",MONTH(($G$2+7))&lt;&gt;MONTH($C$2)),"",IF(COUNTIFS(m_teacher,Y$4,m_date,($G$2+7),m_active,1,m_start,"&lt;"&amp;1080,m_end,"&gt;"&amp;1020)=0,"",IF(COUNTIFS(m_teacher,Y$4,m_date,($G$2+7),m_active,1,m_start,"&lt;"&amp;1080,m_end,"&gt;"&amp;1020)&gt;1,"충돌",HYPERLINK("#'관리자_MASTER'!D"&amp;_xlfn.MAXIFS(m_row,m_teacher,Y$4,m_date,($G$2+7),m_active,1,m_start,"&lt;"&amp;1080,m_end,"&gt;"&amp;1020),INDEX(m_label,_xlfn.MAXIFS(m_row,m_teacher,Y$4,m_date,($G$2+7),m_active,1,m_start,"&lt;"&amp;1080,m_end,"&gt;"&amp;1020))))))</f>
        <v/>
      </c>
      <c r="Z13" s="82" t="str">
        <f aca="false">IF(OR(Z$4="",MONTH(($G$2+7))&lt;&gt;MONTH($C$2)),"",IF(COUNTIFS(m_teacher,Z$4,m_date,($G$2+7),m_active,1,m_start,"&lt;"&amp;1080,m_end,"&gt;"&amp;1020)=0,"",IF(COUNTIFS(m_teacher,Z$4,m_date,($G$2+7),m_active,1,m_start,"&lt;"&amp;1080,m_end,"&gt;"&amp;1020)&gt;1,"충돌",HYPERLINK("#'관리자_MASTER'!D"&amp;_xlfn.MAXIFS(m_row,m_teacher,Z$4,m_date,($G$2+7),m_active,1,m_start,"&lt;"&amp;1080,m_end,"&gt;"&amp;1020),INDEX(m_label,_xlfn.MAXIFS(m_row,m_teacher,Z$4,m_date,($G$2+7),m_active,1,m_start,"&lt;"&amp;1080,m_end,"&gt;"&amp;1020))))))</f>
        <v/>
      </c>
      <c r="AA13" s="82" t="str">
        <f aca="false">IF(OR(AA$4="",MONTH(($G$2+7))&lt;&gt;MONTH($C$2)),"",IF(COUNTIFS(m_teacher,AA$4,m_date,($G$2+7),m_active,1,m_start,"&lt;"&amp;1080,m_end,"&gt;"&amp;1020)=0,"",IF(COUNTIFS(m_teacher,AA$4,m_date,($G$2+7),m_active,1,m_start,"&lt;"&amp;1080,m_end,"&gt;"&amp;1020)&gt;1,"충돌",HYPERLINK("#'관리자_MASTER'!D"&amp;_xlfn.MAXIFS(m_row,m_teacher,AA$4,m_date,($G$2+7),m_active,1,m_start,"&lt;"&amp;1080,m_end,"&gt;"&amp;1020),INDEX(m_label,_xlfn.MAXIFS(m_row,m_teacher,AA$4,m_date,($G$2+7),m_active,1,m_start,"&lt;"&amp;1080,m_end,"&gt;"&amp;1020))))))</f>
        <v/>
      </c>
      <c r="AB13" s="82" t="str">
        <f aca="false">IF(OR(AB$4="",MONTH(($G$2+7))&lt;&gt;MONTH($C$2)),"",IF(COUNTIFS(m_teacher,AB$4,m_date,($G$2+7),m_active,1,m_start,"&lt;"&amp;1080,m_end,"&gt;"&amp;1020)=0,"",IF(COUNTIFS(m_teacher,AB$4,m_date,($G$2+7),m_active,1,m_start,"&lt;"&amp;1080,m_end,"&gt;"&amp;1020)&gt;1,"충돌",HYPERLINK("#'관리자_MASTER'!D"&amp;_xlfn.MAXIFS(m_row,m_teacher,AB$4,m_date,($G$2+7),m_active,1,m_start,"&lt;"&amp;1080,m_end,"&gt;"&amp;1020),INDEX(m_label,_xlfn.MAXIFS(m_row,m_teacher,AB$4,m_date,($G$2+7),m_active,1,m_start,"&lt;"&amp;1080,m_end,"&gt;"&amp;1020))))))</f>
        <v/>
      </c>
      <c r="AC13" s="78"/>
      <c r="AD13" s="79" t="s">
        <v>99</v>
      </c>
      <c r="AE13" s="82" t="str">
        <f aca="false">IF(OR(AE$4="",MONTH(($G$2+14))&lt;&gt;MONTH($C$2)),"",IF(COUNTIFS(m_teacher,AE$4,m_date,($G$2+14),m_active,1,m_start,"&lt;"&amp;1080,m_end,"&gt;"&amp;1020)=0,"",IF(COUNTIFS(m_teacher,AE$4,m_date,($G$2+14),m_active,1,m_start,"&lt;"&amp;1080,m_end,"&gt;"&amp;1020)&gt;1,"충돌",HYPERLINK("#'관리자_MASTER'!D"&amp;_xlfn.MAXIFS(m_row,m_teacher,AE$4,m_date,($G$2+14),m_active,1,m_start,"&lt;"&amp;1080,m_end,"&gt;"&amp;1020),INDEX(m_label,_xlfn.MAXIFS(m_row,m_teacher,AE$4,m_date,($G$2+14),m_active,1,m_start,"&lt;"&amp;1080,m_end,"&gt;"&amp;1020))))))</f>
        <v/>
      </c>
      <c r="AF13" s="82" t="str">
        <f aca="false">IF(OR(AF$4="",MONTH(($G$2+14))&lt;&gt;MONTH($C$2)),"",IF(COUNTIFS(m_teacher,AF$4,m_date,($G$2+14),m_active,1,m_start,"&lt;"&amp;1080,m_end,"&gt;"&amp;1020)=0,"",IF(COUNTIFS(m_teacher,AF$4,m_date,($G$2+14),m_active,1,m_start,"&lt;"&amp;1080,m_end,"&gt;"&amp;1020)&gt;1,"충돌",HYPERLINK("#'관리자_MASTER'!D"&amp;_xlfn.MAXIFS(m_row,m_teacher,AF$4,m_date,($G$2+14),m_active,1,m_start,"&lt;"&amp;1080,m_end,"&gt;"&amp;1020),INDEX(m_label,_xlfn.MAXIFS(m_row,m_teacher,AF$4,m_date,($G$2+14),m_active,1,m_start,"&lt;"&amp;1080,m_end,"&gt;"&amp;1020))))))</f>
        <v/>
      </c>
      <c r="AG13" s="82" t="str">
        <f aca="false">IF(OR(AG$4="",MONTH(($G$2+14))&lt;&gt;MONTH($C$2)),"",IF(COUNTIFS(m_teacher,AG$4,m_date,($G$2+14),m_active,1,m_start,"&lt;"&amp;1080,m_end,"&gt;"&amp;1020)=0,"",IF(COUNTIFS(m_teacher,AG$4,m_date,($G$2+14),m_active,1,m_start,"&lt;"&amp;1080,m_end,"&gt;"&amp;1020)&gt;1,"충돌",HYPERLINK("#'관리자_MASTER'!D"&amp;_xlfn.MAXIFS(m_row,m_teacher,AG$4,m_date,($G$2+14),m_active,1,m_start,"&lt;"&amp;1080,m_end,"&gt;"&amp;1020),INDEX(m_label,_xlfn.MAXIFS(m_row,m_teacher,AG$4,m_date,($G$2+14),m_active,1,m_start,"&lt;"&amp;1080,m_end,"&gt;"&amp;1020))))))</f>
        <v/>
      </c>
      <c r="AH13" s="82" t="str">
        <f aca="false">IF(OR(AH$4="",MONTH(($G$2+14))&lt;&gt;MONTH($C$2)),"",IF(COUNTIFS(m_teacher,AH$4,m_date,($G$2+14),m_active,1,m_start,"&lt;"&amp;1080,m_end,"&gt;"&amp;1020)=0,"",IF(COUNTIFS(m_teacher,AH$4,m_date,($G$2+14),m_active,1,m_start,"&lt;"&amp;1080,m_end,"&gt;"&amp;1020)&gt;1,"충돌",HYPERLINK("#'관리자_MASTER'!D"&amp;_xlfn.MAXIFS(m_row,m_teacher,AH$4,m_date,($G$2+14),m_active,1,m_start,"&lt;"&amp;1080,m_end,"&gt;"&amp;1020),INDEX(m_label,_xlfn.MAXIFS(m_row,m_teacher,AH$4,m_date,($G$2+14),m_active,1,m_start,"&lt;"&amp;1080,m_end,"&gt;"&amp;1020))))))</f>
        <v/>
      </c>
      <c r="AI13" s="82" t="str">
        <f aca="false">IF(OR(AI$4="",MONTH(($G$2+14))&lt;&gt;MONTH($C$2)),"",IF(COUNTIFS(m_teacher,AI$4,m_date,($G$2+14),m_active,1,m_start,"&lt;"&amp;1080,m_end,"&gt;"&amp;1020)=0,"",IF(COUNTIFS(m_teacher,AI$4,m_date,($G$2+14),m_active,1,m_start,"&lt;"&amp;1080,m_end,"&gt;"&amp;1020)&gt;1,"충돌",HYPERLINK("#'관리자_MASTER'!D"&amp;_xlfn.MAXIFS(m_row,m_teacher,AI$4,m_date,($G$2+14),m_active,1,m_start,"&lt;"&amp;1080,m_end,"&gt;"&amp;1020),INDEX(m_label,_xlfn.MAXIFS(m_row,m_teacher,AI$4,m_date,($G$2+14),m_active,1,m_start,"&lt;"&amp;1080,m_end,"&gt;"&amp;1020))))))</f>
        <v/>
      </c>
      <c r="AJ13" s="82" t="str">
        <f aca="false">IF(OR(AJ$4="",MONTH(($G$2+14))&lt;&gt;MONTH($C$2)),"",IF(COUNTIFS(m_teacher,AJ$4,m_date,($G$2+14),m_active,1,m_start,"&lt;"&amp;1080,m_end,"&gt;"&amp;1020)=0,"",IF(COUNTIFS(m_teacher,AJ$4,m_date,($G$2+14),m_active,1,m_start,"&lt;"&amp;1080,m_end,"&gt;"&amp;1020)&gt;1,"충돌",HYPERLINK("#'관리자_MASTER'!D"&amp;_xlfn.MAXIFS(m_row,m_teacher,AJ$4,m_date,($G$2+14),m_active,1,m_start,"&lt;"&amp;1080,m_end,"&gt;"&amp;1020),INDEX(m_label,_xlfn.MAXIFS(m_row,m_teacher,AJ$4,m_date,($G$2+14),m_active,1,m_start,"&lt;"&amp;1080,m_end,"&gt;"&amp;1020))))))</f>
        <v/>
      </c>
      <c r="AK13" s="82" t="str">
        <f aca="false">IF(OR(AK$4="",MONTH(($G$2+14))&lt;&gt;MONTH($C$2)),"",IF(COUNTIFS(m_teacher,AK$4,m_date,($G$2+14),m_active,1,m_start,"&lt;"&amp;1080,m_end,"&gt;"&amp;1020)=0,"",IF(COUNTIFS(m_teacher,AK$4,m_date,($G$2+14),m_active,1,m_start,"&lt;"&amp;1080,m_end,"&gt;"&amp;1020)&gt;1,"충돌",HYPERLINK("#'관리자_MASTER'!D"&amp;_xlfn.MAXIFS(m_row,m_teacher,AK$4,m_date,($G$2+14),m_active,1,m_start,"&lt;"&amp;1080,m_end,"&gt;"&amp;1020),INDEX(m_label,_xlfn.MAXIFS(m_row,m_teacher,AK$4,m_date,($G$2+14),m_active,1,m_start,"&lt;"&amp;1080,m_end,"&gt;"&amp;1020))))))</f>
        <v/>
      </c>
      <c r="AL13" s="82" t="str">
        <f aca="false">IF(OR(AL$4="",MONTH(($G$2+14))&lt;&gt;MONTH($C$2)),"",IF(COUNTIFS(m_teacher,AL$4,m_date,($G$2+14),m_active,1,m_start,"&lt;"&amp;1080,m_end,"&gt;"&amp;1020)=0,"",IF(COUNTIFS(m_teacher,AL$4,m_date,($G$2+14),m_active,1,m_start,"&lt;"&amp;1080,m_end,"&gt;"&amp;1020)&gt;1,"충돌",HYPERLINK("#'관리자_MASTER'!D"&amp;_xlfn.MAXIFS(m_row,m_teacher,AL$4,m_date,($G$2+14),m_active,1,m_start,"&lt;"&amp;1080,m_end,"&gt;"&amp;1020),INDEX(m_label,_xlfn.MAXIFS(m_row,m_teacher,AL$4,m_date,($G$2+14),m_active,1,m_start,"&lt;"&amp;1080,m_end,"&gt;"&amp;1020))))))</f>
        <v/>
      </c>
      <c r="AM13" s="82" t="str">
        <f aca="false">IF(OR(AM$4="",MONTH(($G$2+14))&lt;&gt;MONTH($C$2)),"",IF(COUNTIFS(m_teacher,AM$4,m_date,($G$2+14),m_active,1,m_start,"&lt;"&amp;1080,m_end,"&gt;"&amp;1020)=0,"",IF(COUNTIFS(m_teacher,AM$4,m_date,($G$2+14),m_active,1,m_start,"&lt;"&amp;1080,m_end,"&gt;"&amp;1020)&gt;1,"충돌",HYPERLINK("#'관리자_MASTER'!D"&amp;_xlfn.MAXIFS(m_row,m_teacher,AM$4,m_date,($G$2+14),m_active,1,m_start,"&lt;"&amp;1080,m_end,"&gt;"&amp;1020),INDEX(m_label,_xlfn.MAXIFS(m_row,m_teacher,AM$4,m_date,($G$2+14),m_active,1,m_start,"&lt;"&amp;1080,m_end,"&gt;"&amp;1020))))))</f>
        <v/>
      </c>
      <c r="AN13" s="82" t="str">
        <f aca="false">IF(OR(AN$4="",MONTH(($G$2+14))&lt;&gt;MONTH($C$2)),"",IF(COUNTIFS(m_teacher,AN$4,m_date,($G$2+14),m_active,1,m_start,"&lt;"&amp;1080,m_end,"&gt;"&amp;1020)=0,"",IF(COUNTIFS(m_teacher,AN$4,m_date,($G$2+14),m_active,1,m_start,"&lt;"&amp;1080,m_end,"&gt;"&amp;1020)&gt;1,"충돌",HYPERLINK("#'관리자_MASTER'!D"&amp;_xlfn.MAXIFS(m_row,m_teacher,AN$4,m_date,($G$2+14),m_active,1,m_start,"&lt;"&amp;1080,m_end,"&gt;"&amp;1020),INDEX(m_label,_xlfn.MAXIFS(m_row,m_teacher,AN$4,m_date,($G$2+14),m_active,1,m_start,"&lt;"&amp;1080,m_end,"&gt;"&amp;1020))))))</f>
        <v/>
      </c>
      <c r="AO13" s="82" t="str">
        <f aca="false">IF(OR(AO$4="",MONTH(($G$2+14))&lt;&gt;MONTH($C$2)),"",IF(COUNTIFS(m_teacher,AO$4,m_date,($G$2+14),m_active,1,m_start,"&lt;"&amp;1080,m_end,"&gt;"&amp;1020)=0,"",IF(COUNTIFS(m_teacher,AO$4,m_date,($G$2+14),m_active,1,m_start,"&lt;"&amp;1080,m_end,"&gt;"&amp;1020)&gt;1,"충돌",HYPERLINK("#'관리자_MASTER'!D"&amp;_xlfn.MAXIFS(m_row,m_teacher,AO$4,m_date,($G$2+14),m_active,1,m_start,"&lt;"&amp;1080,m_end,"&gt;"&amp;1020),INDEX(m_label,_xlfn.MAXIFS(m_row,m_teacher,AO$4,m_date,($G$2+14),m_active,1,m_start,"&lt;"&amp;1080,m_end,"&gt;"&amp;1020))))))</f>
        <v/>
      </c>
      <c r="AP13" s="82" t="str">
        <f aca="false">IF(OR(AP$4="",MONTH(($G$2+14))&lt;&gt;MONTH($C$2)),"",IF(COUNTIFS(m_teacher,AP$4,m_date,($G$2+14),m_active,1,m_start,"&lt;"&amp;1080,m_end,"&gt;"&amp;1020)=0,"",IF(COUNTIFS(m_teacher,AP$4,m_date,($G$2+14),m_active,1,m_start,"&lt;"&amp;1080,m_end,"&gt;"&amp;1020)&gt;1,"충돌",HYPERLINK("#'관리자_MASTER'!D"&amp;_xlfn.MAXIFS(m_row,m_teacher,AP$4,m_date,($G$2+14),m_active,1,m_start,"&lt;"&amp;1080,m_end,"&gt;"&amp;1020),INDEX(m_label,_xlfn.MAXIFS(m_row,m_teacher,AP$4,m_date,($G$2+14),m_active,1,m_start,"&lt;"&amp;1080,m_end,"&gt;"&amp;1020))))))</f>
        <v/>
      </c>
      <c r="AQ13" s="78"/>
      <c r="AR13" s="79" t="s">
        <v>99</v>
      </c>
      <c r="AS13" s="82" t="str">
        <f aca="false">IF(OR(AS$4="",MONTH(($G$2+21))&lt;&gt;MONTH($C$2)),"",IF(COUNTIFS(m_teacher,AS$4,m_date,($G$2+21),m_active,1,m_start,"&lt;"&amp;1080,m_end,"&gt;"&amp;1020)=0,"",IF(COUNTIFS(m_teacher,AS$4,m_date,($G$2+21),m_active,1,m_start,"&lt;"&amp;1080,m_end,"&gt;"&amp;1020)&gt;1,"충돌",HYPERLINK("#'관리자_MASTER'!D"&amp;_xlfn.MAXIFS(m_row,m_teacher,AS$4,m_date,($G$2+21),m_active,1,m_start,"&lt;"&amp;1080,m_end,"&gt;"&amp;1020),INDEX(m_label,_xlfn.MAXIFS(m_row,m_teacher,AS$4,m_date,($G$2+21),m_active,1,m_start,"&lt;"&amp;1080,m_end,"&gt;"&amp;1020))))))</f>
        <v/>
      </c>
      <c r="AT13" s="82" t="str">
        <f aca="false">IF(OR(AT$4="",MONTH(($G$2+21))&lt;&gt;MONTH($C$2)),"",IF(COUNTIFS(m_teacher,AT$4,m_date,($G$2+21),m_active,1,m_start,"&lt;"&amp;1080,m_end,"&gt;"&amp;1020)=0,"",IF(COUNTIFS(m_teacher,AT$4,m_date,($G$2+21),m_active,1,m_start,"&lt;"&amp;1080,m_end,"&gt;"&amp;1020)&gt;1,"충돌",HYPERLINK("#'관리자_MASTER'!D"&amp;_xlfn.MAXIFS(m_row,m_teacher,AT$4,m_date,($G$2+21),m_active,1,m_start,"&lt;"&amp;1080,m_end,"&gt;"&amp;1020),INDEX(m_label,_xlfn.MAXIFS(m_row,m_teacher,AT$4,m_date,($G$2+21),m_active,1,m_start,"&lt;"&amp;1080,m_end,"&gt;"&amp;1020))))))</f>
        <v/>
      </c>
      <c r="AU13" s="82" t="str">
        <f aca="false">IF(OR(AU$4="",MONTH(($G$2+21))&lt;&gt;MONTH($C$2)),"",IF(COUNTIFS(m_teacher,AU$4,m_date,($G$2+21),m_active,1,m_start,"&lt;"&amp;1080,m_end,"&gt;"&amp;1020)=0,"",IF(COUNTIFS(m_teacher,AU$4,m_date,($G$2+21),m_active,1,m_start,"&lt;"&amp;1080,m_end,"&gt;"&amp;1020)&gt;1,"충돌",HYPERLINK("#'관리자_MASTER'!D"&amp;_xlfn.MAXIFS(m_row,m_teacher,AU$4,m_date,($G$2+21),m_active,1,m_start,"&lt;"&amp;1080,m_end,"&gt;"&amp;1020),INDEX(m_label,_xlfn.MAXIFS(m_row,m_teacher,AU$4,m_date,($G$2+21),m_active,1,m_start,"&lt;"&amp;1080,m_end,"&gt;"&amp;1020))))))</f>
        <v/>
      </c>
      <c r="AV13" s="82" t="str">
        <f aca="false">IF(OR(AV$4="",MONTH(($G$2+21))&lt;&gt;MONTH($C$2)),"",IF(COUNTIFS(m_teacher,AV$4,m_date,($G$2+21),m_active,1,m_start,"&lt;"&amp;1080,m_end,"&gt;"&amp;1020)=0,"",IF(COUNTIFS(m_teacher,AV$4,m_date,($G$2+21),m_active,1,m_start,"&lt;"&amp;1080,m_end,"&gt;"&amp;1020)&gt;1,"충돌",HYPERLINK("#'관리자_MASTER'!D"&amp;_xlfn.MAXIFS(m_row,m_teacher,AV$4,m_date,($G$2+21),m_active,1,m_start,"&lt;"&amp;1080,m_end,"&gt;"&amp;1020),INDEX(m_label,_xlfn.MAXIFS(m_row,m_teacher,AV$4,m_date,($G$2+21),m_active,1,m_start,"&lt;"&amp;1080,m_end,"&gt;"&amp;1020))))))</f>
        <v/>
      </c>
      <c r="AW13" s="82" t="str">
        <f aca="false">IF(OR(AW$4="",MONTH(($G$2+21))&lt;&gt;MONTH($C$2)),"",IF(COUNTIFS(m_teacher,AW$4,m_date,($G$2+21),m_active,1,m_start,"&lt;"&amp;1080,m_end,"&gt;"&amp;1020)=0,"",IF(COUNTIFS(m_teacher,AW$4,m_date,($G$2+21),m_active,1,m_start,"&lt;"&amp;1080,m_end,"&gt;"&amp;1020)&gt;1,"충돌",HYPERLINK("#'관리자_MASTER'!D"&amp;_xlfn.MAXIFS(m_row,m_teacher,AW$4,m_date,($G$2+21),m_active,1,m_start,"&lt;"&amp;1080,m_end,"&gt;"&amp;1020),INDEX(m_label,_xlfn.MAXIFS(m_row,m_teacher,AW$4,m_date,($G$2+21),m_active,1,m_start,"&lt;"&amp;1080,m_end,"&gt;"&amp;1020))))))</f>
        <v/>
      </c>
      <c r="AX13" s="82" t="str">
        <f aca="false">IF(OR(AX$4="",MONTH(($G$2+21))&lt;&gt;MONTH($C$2)),"",IF(COUNTIFS(m_teacher,AX$4,m_date,($G$2+21),m_active,1,m_start,"&lt;"&amp;1080,m_end,"&gt;"&amp;1020)=0,"",IF(COUNTIFS(m_teacher,AX$4,m_date,($G$2+21),m_active,1,m_start,"&lt;"&amp;1080,m_end,"&gt;"&amp;1020)&gt;1,"충돌",HYPERLINK("#'관리자_MASTER'!D"&amp;_xlfn.MAXIFS(m_row,m_teacher,AX$4,m_date,($G$2+21),m_active,1,m_start,"&lt;"&amp;1080,m_end,"&gt;"&amp;1020),INDEX(m_label,_xlfn.MAXIFS(m_row,m_teacher,AX$4,m_date,($G$2+21),m_active,1,m_start,"&lt;"&amp;1080,m_end,"&gt;"&amp;1020))))))</f>
        <v/>
      </c>
      <c r="AY13" s="82" t="str">
        <f aca="false">IF(OR(AY$4="",MONTH(($G$2+21))&lt;&gt;MONTH($C$2)),"",IF(COUNTIFS(m_teacher,AY$4,m_date,($G$2+21),m_active,1,m_start,"&lt;"&amp;1080,m_end,"&gt;"&amp;1020)=0,"",IF(COUNTIFS(m_teacher,AY$4,m_date,($G$2+21),m_active,1,m_start,"&lt;"&amp;1080,m_end,"&gt;"&amp;1020)&gt;1,"충돌",HYPERLINK("#'관리자_MASTER'!D"&amp;_xlfn.MAXIFS(m_row,m_teacher,AY$4,m_date,($G$2+21),m_active,1,m_start,"&lt;"&amp;1080,m_end,"&gt;"&amp;1020),INDEX(m_label,_xlfn.MAXIFS(m_row,m_teacher,AY$4,m_date,($G$2+21),m_active,1,m_start,"&lt;"&amp;1080,m_end,"&gt;"&amp;1020))))))</f>
        <v/>
      </c>
      <c r="AZ13" s="82" t="str">
        <f aca="false">IF(OR(AZ$4="",MONTH(($G$2+21))&lt;&gt;MONTH($C$2)),"",IF(COUNTIFS(m_teacher,AZ$4,m_date,($G$2+21),m_active,1,m_start,"&lt;"&amp;1080,m_end,"&gt;"&amp;1020)=0,"",IF(COUNTIFS(m_teacher,AZ$4,m_date,($G$2+21),m_active,1,m_start,"&lt;"&amp;1080,m_end,"&gt;"&amp;1020)&gt;1,"충돌",HYPERLINK("#'관리자_MASTER'!D"&amp;_xlfn.MAXIFS(m_row,m_teacher,AZ$4,m_date,($G$2+21),m_active,1,m_start,"&lt;"&amp;1080,m_end,"&gt;"&amp;1020),INDEX(m_label,_xlfn.MAXIFS(m_row,m_teacher,AZ$4,m_date,($G$2+21),m_active,1,m_start,"&lt;"&amp;1080,m_end,"&gt;"&amp;1020))))))</f>
        <v/>
      </c>
      <c r="BA13" s="82" t="str">
        <f aca="false">IF(OR(BA$4="",MONTH(($G$2+21))&lt;&gt;MONTH($C$2)),"",IF(COUNTIFS(m_teacher,BA$4,m_date,($G$2+21),m_active,1,m_start,"&lt;"&amp;1080,m_end,"&gt;"&amp;1020)=0,"",IF(COUNTIFS(m_teacher,BA$4,m_date,($G$2+21),m_active,1,m_start,"&lt;"&amp;1080,m_end,"&gt;"&amp;1020)&gt;1,"충돌",HYPERLINK("#'관리자_MASTER'!D"&amp;_xlfn.MAXIFS(m_row,m_teacher,BA$4,m_date,($G$2+21),m_active,1,m_start,"&lt;"&amp;1080,m_end,"&gt;"&amp;1020),INDEX(m_label,_xlfn.MAXIFS(m_row,m_teacher,BA$4,m_date,($G$2+21),m_active,1,m_start,"&lt;"&amp;1080,m_end,"&gt;"&amp;1020))))))</f>
        <v/>
      </c>
      <c r="BB13" s="82" t="str">
        <f aca="false">IF(OR(BB$4="",MONTH(($G$2+21))&lt;&gt;MONTH($C$2)),"",IF(COUNTIFS(m_teacher,BB$4,m_date,($G$2+21),m_active,1,m_start,"&lt;"&amp;1080,m_end,"&gt;"&amp;1020)=0,"",IF(COUNTIFS(m_teacher,BB$4,m_date,($G$2+21),m_active,1,m_start,"&lt;"&amp;1080,m_end,"&gt;"&amp;1020)&gt;1,"충돌",HYPERLINK("#'관리자_MASTER'!D"&amp;_xlfn.MAXIFS(m_row,m_teacher,BB$4,m_date,($G$2+21),m_active,1,m_start,"&lt;"&amp;1080,m_end,"&gt;"&amp;1020),INDEX(m_label,_xlfn.MAXIFS(m_row,m_teacher,BB$4,m_date,($G$2+21),m_active,1,m_start,"&lt;"&amp;1080,m_end,"&gt;"&amp;1020))))))</f>
        <v/>
      </c>
      <c r="BC13" s="82" t="str">
        <f aca="false">IF(OR(BC$4="",MONTH(($G$2+21))&lt;&gt;MONTH($C$2)),"",IF(COUNTIFS(m_teacher,BC$4,m_date,($G$2+21),m_active,1,m_start,"&lt;"&amp;1080,m_end,"&gt;"&amp;1020)=0,"",IF(COUNTIFS(m_teacher,BC$4,m_date,($G$2+21),m_active,1,m_start,"&lt;"&amp;1080,m_end,"&gt;"&amp;1020)&gt;1,"충돌",HYPERLINK("#'관리자_MASTER'!D"&amp;_xlfn.MAXIFS(m_row,m_teacher,BC$4,m_date,($G$2+21),m_active,1,m_start,"&lt;"&amp;1080,m_end,"&gt;"&amp;1020),INDEX(m_label,_xlfn.MAXIFS(m_row,m_teacher,BC$4,m_date,($G$2+21),m_active,1,m_start,"&lt;"&amp;1080,m_end,"&gt;"&amp;1020))))))</f>
        <v/>
      </c>
      <c r="BD13" s="82" t="str">
        <f aca="false">IF(OR(BD$4="",MONTH(($G$2+21))&lt;&gt;MONTH($C$2)),"",IF(COUNTIFS(m_teacher,BD$4,m_date,($G$2+21),m_active,1,m_start,"&lt;"&amp;1080,m_end,"&gt;"&amp;1020)=0,"",IF(COUNTIFS(m_teacher,BD$4,m_date,($G$2+21),m_active,1,m_start,"&lt;"&amp;1080,m_end,"&gt;"&amp;1020)&gt;1,"충돌",HYPERLINK("#'관리자_MASTER'!D"&amp;_xlfn.MAXIFS(m_row,m_teacher,BD$4,m_date,($G$2+21),m_active,1,m_start,"&lt;"&amp;1080,m_end,"&gt;"&amp;1020),INDEX(m_label,_xlfn.MAXIFS(m_row,m_teacher,BD$4,m_date,($G$2+21),m_active,1,m_start,"&lt;"&amp;1080,m_end,"&gt;"&amp;1020))))))</f>
        <v/>
      </c>
      <c r="BE13" s="78"/>
      <c r="BF13" s="79" t="s">
        <v>99</v>
      </c>
      <c r="BG13" s="82" t="str">
        <f aca="false">IF(OR(BG$4="",MONTH(($G$2+28))&lt;&gt;MONTH($C$2)),"",IF(COUNTIFS(m_teacher,BG$4,m_date,($G$2+28),m_active,1,m_start,"&lt;"&amp;1080,m_end,"&gt;"&amp;1020)=0,"",IF(COUNTIFS(m_teacher,BG$4,m_date,($G$2+28),m_active,1,m_start,"&lt;"&amp;1080,m_end,"&gt;"&amp;1020)&gt;1,"충돌",HYPERLINK("#'관리자_MASTER'!D"&amp;_xlfn.MAXIFS(m_row,m_teacher,BG$4,m_date,($G$2+28),m_active,1,m_start,"&lt;"&amp;1080,m_end,"&gt;"&amp;1020),INDEX(m_label,_xlfn.MAXIFS(m_row,m_teacher,BG$4,m_date,($G$2+28),m_active,1,m_start,"&lt;"&amp;1080,m_end,"&gt;"&amp;1020))))))</f>
        <v/>
      </c>
      <c r="BH13" s="82" t="str">
        <f aca="false">IF(OR(BH$4="",MONTH(($G$2+28))&lt;&gt;MONTH($C$2)),"",IF(COUNTIFS(m_teacher,BH$4,m_date,($G$2+28),m_active,1,m_start,"&lt;"&amp;1080,m_end,"&gt;"&amp;1020)=0,"",IF(COUNTIFS(m_teacher,BH$4,m_date,($G$2+28),m_active,1,m_start,"&lt;"&amp;1080,m_end,"&gt;"&amp;1020)&gt;1,"충돌",HYPERLINK("#'관리자_MASTER'!D"&amp;_xlfn.MAXIFS(m_row,m_teacher,BH$4,m_date,($G$2+28),m_active,1,m_start,"&lt;"&amp;1080,m_end,"&gt;"&amp;1020),INDEX(m_label,_xlfn.MAXIFS(m_row,m_teacher,BH$4,m_date,($G$2+28),m_active,1,m_start,"&lt;"&amp;1080,m_end,"&gt;"&amp;1020))))))</f>
        <v/>
      </c>
      <c r="BI13" s="82" t="str">
        <f aca="false">IF(OR(BI$4="",MONTH(($G$2+28))&lt;&gt;MONTH($C$2)),"",IF(COUNTIFS(m_teacher,BI$4,m_date,($G$2+28),m_active,1,m_start,"&lt;"&amp;1080,m_end,"&gt;"&amp;1020)=0,"",IF(COUNTIFS(m_teacher,BI$4,m_date,($G$2+28),m_active,1,m_start,"&lt;"&amp;1080,m_end,"&gt;"&amp;1020)&gt;1,"충돌",HYPERLINK("#'관리자_MASTER'!D"&amp;_xlfn.MAXIFS(m_row,m_teacher,BI$4,m_date,($G$2+28),m_active,1,m_start,"&lt;"&amp;1080,m_end,"&gt;"&amp;1020),INDEX(m_label,_xlfn.MAXIFS(m_row,m_teacher,BI$4,m_date,($G$2+28),m_active,1,m_start,"&lt;"&amp;1080,m_end,"&gt;"&amp;1020))))))</f>
        <v/>
      </c>
      <c r="BJ13" s="82" t="str">
        <f aca="false">IF(OR(BJ$4="",MONTH(($G$2+28))&lt;&gt;MONTH($C$2)),"",IF(COUNTIFS(m_teacher,BJ$4,m_date,($G$2+28),m_active,1,m_start,"&lt;"&amp;1080,m_end,"&gt;"&amp;1020)=0,"",IF(COUNTIFS(m_teacher,BJ$4,m_date,($G$2+28),m_active,1,m_start,"&lt;"&amp;1080,m_end,"&gt;"&amp;1020)&gt;1,"충돌",HYPERLINK("#'관리자_MASTER'!D"&amp;_xlfn.MAXIFS(m_row,m_teacher,BJ$4,m_date,($G$2+28),m_active,1,m_start,"&lt;"&amp;1080,m_end,"&gt;"&amp;1020),INDEX(m_label,_xlfn.MAXIFS(m_row,m_teacher,BJ$4,m_date,($G$2+28),m_active,1,m_start,"&lt;"&amp;1080,m_end,"&gt;"&amp;1020))))))</f>
        <v/>
      </c>
      <c r="BK13" s="82" t="str">
        <f aca="false">IF(OR(BK$4="",MONTH(($G$2+28))&lt;&gt;MONTH($C$2)),"",IF(COUNTIFS(m_teacher,BK$4,m_date,($G$2+28),m_active,1,m_start,"&lt;"&amp;1080,m_end,"&gt;"&amp;1020)=0,"",IF(COUNTIFS(m_teacher,BK$4,m_date,($G$2+28),m_active,1,m_start,"&lt;"&amp;1080,m_end,"&gt;"&amp;1020)&gt;1,"충돌",HYPERLINK("#'관리자_MASTER'!D"&amp;_xlfn.MAXIFS(m_row,m_teacher,BK$4,m_date,($G$2+28),m_active,1,m_start,"&lt;"&amp;1080,m_end,"&gt;"&amp;1020),INDEX(m_label,_xlfn.MAXIFS(m_row,m_teacher,BK$4,m_date,($G$2+28),m_active,1,m_start,"&lt;"&amp;1080,m_end,"&gt;"&amp;1020))))))</f>
        <v/>
      </c>
      <c r="BL13" s="82" t="str">
        <f aca="false">IF(OR(BL$4="",MONTH(($G$2+28))&lt;&gt;MONTH($C$2)),"",IF(COUNTIFS(m_teacher,BL$4,m_date,($G$2+28),m_active,1,m_start,"&lt;"&amp;1080,m_end,"&gt;"&amp;1020)=0,"",IF(COUNTIFS(m_teacher,BL$4,m_date,($G$2+28),m_active,1,m_start,"&lt;"&amp;1080,m_end,"&gt;"&amp;1020)&gt;1,"충돌",HYPERLINK("#'관리자_MASTER'!D"&amp;_xlfn.MAXIFS(m_row,m_teacher,BL$4,m_date,($G$2+28),m_active,1,m_start,"&lt;"&amp;1080,m_end,"&gt;"&amp;1020),INDEX(m_label,_xlfn.MAXIFS(m_row,m_teacher,BL$4,m_date,($G$2+28),m_active,1,m_start,"&lt;"&amp;1080,m_end,"&gt;"&amp;1020))))))</f>
        <v/>
      </c>
      <c r="BM13" s="82" t="str">
        <f aca="false">IF(OR(BM$4="",MONTH(($G$2+28))&lt;&gt;MONTH($C$2)),"",IF(COUNTIFS(m_teacher,BM$4,m_date,($G$2+28),m_active,1,m_start,"&lt;"&amp;1080,m_end,"&gt;"&amp;1020)=0,"",IF(COUNTIFS(m_teacher,BM$4,m_date,($G$2+28),m_active,1,m_start,"&lt;"&amp;1080,m_end,"&gt;"&amp;1020)&gt;1,"충돌",HYPERLINK("#'관리자_MASTER'!D"&amp;_xlfn.MAXIFS(m_row,m_teacher,BM$4,m_date,($G$2+28),m_active,1,m_start,"&lt;"&amp;1080,m_end,"&gt;"&amp;1020),INDEX(m_label,_xlfn.MAXIFS(m_row,m_teacher,BM$4,m_date,($G$2+28),m_active,1,m_start,"&lt;"&amp;1080,m_end,"&gt;"&amp;1020))))))</f>
        <v/>
      </c>
      <c r="BN13" s="82" t="str">
        <f aca="false">IF(OR(BN$4="",MONTH(($G$2+28))&lt;&gt;MONTH($C$2)),"",IF(COUNTIFS(m_teacher,BN$4,m_date,($G$2+28),m_active,1,m_start,"&lt;"&amp;1080,m_end,"&gt;"&amp;1020)=0,"",IF(COUNTIFS(m_teacher,BN$4,m_date,($G$2+28),m_active,1,m_start,"&lt;"&amp;1080,m_end,"&gt;"&amp;1020)&gt;1,"충돌",HYPERLINK("#'관리자_MASTER'!D"&amp;_xlfn.MAXIFS(m_row,m_teacher,BN$4,m_date,($G$2+28),m_active,1,m_start,"&lt;"&amp;1080,m_end,"&gt;"&amp;1020),INDEX(m_label,_xlfn.MAXIFS(m_row,m_teacher,BN$4,m_date,($G$2+28),m_active,1,m_start,"&lt;"&amp;1080,m_end,"&gt;"&amp;1020))))))</f>
        <v/>
      </c>
      <c r="BO13" s="82" t="str">
        <f aca="false">IF(OR(BO$4="",MONTH(($G$2+28))&lt;&gt;MONTH($C$2)),"",IF(COUNTIFS(m_teacher,BO$4,m_date,($G$2+28),m_active,1,m_start,"&lt;"&amp;1080,m_end,"&gt;"&amp;1020)=0,"",IF(COUNTIFS(m_teacher,BO$4,m_date,($G$2+28),m_active,1,m_start,"&lt;"&amp;1080,m_end,"&gt;"&amp;1020)&gt;1,"충돌",HYPERLINK("#'관리자_MASTER'!D"&amp;_xlfn.MAXIFS(m_row,m_teacher,BO$4,m_date,($G$2+28),m_active,1,m_start,"&lt;"&amp;1080,m_end,"&gt;"&amp;1020),INDEX(m_label,_xlfn.MAXIFS(m_row,m_teacher,BO$4,m_date,($G$2+28),m_active,1,m_start,"&lt;"&amp;1080,m_end,"&gt;"&amp;1020))))))</f>
        <v/>
      </c>
      <c r="BP13" s="82" t="str">
        <f aca="false">IF(OR(BP$4="",MONTH(($G$2+28))&lt;&gt;MONTH($C$2)),"",IF(COUNTIFS(m_teacher,BP$4,m_date,($G$2+28),m_active,1,m_start,"&lt;"&amp;1080,m_end,"&gt;"&amp;1020)=0,"",IF(COUNTIFS(m_teacher,BP$4,m_date,($G$2+28),m_active,1,m_start,"&lt;"&amp;1080,m_end,"&gt;"&amp;1020)&gt;1,"충돌",HYPERLINK("#'관리자_MASTER'!D"&amp;_xlfn.MAXIFS(m_row,m_teacher,BP$4,m_date,($G$2+28),m_active,1,m_start,"&lt;"&amp;1080,m_end,"&gt;"&amp;1020),INDEX(m_label,_xlfn.MAXIFS(m_row,m_teacher,BP$4,m_date,($G$2+28),m_active,1,m_start,"&lt;"&amp;1080,m_end,"&gt;"&amp;1020))))))</f>
        <v/>
      </c>
      <c r="BQ13" s="82" t="str">
        <f aca="false">IF(OR(BQ$4="",MONTH(($G$2+28))&lt;&gt;MONTH($C$2)),"",IF(COUNTIFS(m_teacher,BQ$4,m_date,($G$2+28),m_active,1,m_start,"&lt;"&amp;1080,m_end,"&gt;"&amp;1020)=0,"",IF(COUNTIFS(m_teacher,BQ$4,m_date,($G$2+28),m_active,1,m_start,"&lt;"&amp;1080,m_end,"&gt;"&amp;1020)&gt;1,"충돌",HYPERLINK("#'관리자_MASTER'!D"&amp;_xlfn.MAXIFS(m_row,m_teacher,BQ$4,m_date,($G$2+28),m_active,1,m_start,"&lt;"&amp;1080,m_end,"&gt;"&amp;1020),INDEX(m_label,_xlfn.MAXIFS(m_row,m_teacher,BQ$4,m_date,($G$2+28),m_active,1,m_start,"&lt;"&amp;1080,m_end,"&gt;"&amp;1020))))))</f>
        <v/>
      </c>
      <c r="BR13" s="82" t="str">
        <f aca="false">IF(OR(BR$4="",MONTH(($G$2+28))&lt;&gt;MONTH($C$2)),"",IF(COUNTIFS(m_teacher,BR$4,m_date,($G$2+28),m_active,1,m_start,"&lt;"&amp;1080,m_end,"&gt;"&amp;1020)=0,"",IF(COUNTIFS(m_teacher,BR$4,m_date,($G$2+28),m_active,1,m_start,"&lt;"&amp;1080,m_end,"&gt;"&amp;1020)&gt;1,"충돌",HYPERLINK("#'관리자_MASTER'!D"&amp;_xlfn.MAXIFS(m_row,m_teacher,BR$4,m_date,($G$2+28),m_active,1,m_start,"&lt;"&amp;1080,m_end,"&gt;"&amp;1020),INDEX(m_label,_xlfn.MAXIFS(m_row,m_teacher,BR$4,m_date,($G$2+28),m_active,1,m_start,"&lt;"&amp;1080,m_end,"&gt;"&amp;1020))))))</f>
        <v/>
      </c>
    </row>
    <row r="14" customFormat="false" ht="19.5" hidden="false" customHeight="true" outlineLevel="0" collapsed="false">
      <c r="A14" s="75"/>
      <c r="B14" s="76" t="s">
        <v>100</v>
      </c>
      <c r="C14" s="81" t="str">
        <f aca="false">IF(OR(C$4="",MONTH(($G$2+0))&lt;&gt;MONTH($C$2)),"",IF(COUNTIFS(m_teacher,C$4,m_date,($G$2+0),m_active,1,m_start,"&lt;"&amp;1140,m_end,"&gt;"&amp;1080)=0,"",IF(COUNTIFS(m_teacher,C$4,m_date,($G$2+0),m_active,1,m_start,"&lt;"&amp;1140,m_end,"&gt;"&amp;1080)&gt;1,"충돌",HYPERLINK("#'관리자_MASTER'!D"&amp;_xlfn.MAXIFS(m_row,m_teacher,C$4,m_date,($G$2+0),m_active,1,m_start,"&lt;"&amp;1140,m_end,"&gt;"&amp;1080),INDEX(m_label,_xlfn.MAXIFS(m_row,m_teacher,C$4,m_date,($G$2+0),m_active,1,m_start,"&lt;"&amp;1140,m_end,"&gt;"&amp;1080))))))</f>
        <v/>
      </c>
      <c r="D14" s="81" t="str">
        <f aca="false">IF(OR(D$4="",MONTH(($G$2+0))&lt;&gt;MONTH($C$2)),"",IF(COUNTIFS(m_teacher,D$4,m_date,($G$2+0),m_active,1,m_start,"&lt;"&amp;1140,m_end,"&gt;"&amp;1080)=0,"",IF(COUNTIFS(m_teacher,D$4,m_date,($G$2+0),m_active,1,m_start,"&lt;"&amp;1140,m_end,"&gt;"&amp;1080)&gt;1,"충돌",HYPERLINK("#'관리자_MASTER'!D"&amp;_xlfn.MAXIFS(m_row,m_teacher,D$4,m_date,($G$2+0),m_active,1,m_start,"&lt;"&amp;1140,m_end,"&gt;"&amp;1080),INDEX(m_label,_xlfn.MAXIFS(m_row,m_teacher,D$4,m_date,($G$2+0),m_active,1,m_start,"&lt;"&amp;1140,m_end,"&gt;"&amp;1080))))))</f>
        <v/>
      </c>
      <c r="E14" s="81" t="str">
        <f aca="false">IF(OR(E$4="",MONTH(($G$2+0))&lt;&gt;MONTH($C$2)),"",IF(COUNTIFS(m_teacher,E$4,m_date,($G$2+0),m_active,1,m_start,"&lt;"&amp;1140,m_end,"&gt;"&amp;1080)=0,"",IF(COUNTIFS(m_teacher,E$4,m_date,($G$2+0),m_active,1,m_start,"&lt;"&amp;1140,m_end,"&gt;"&amp;1080)&gt;1,"충돌",HYPERLINK("#'관리자_MASTER'!D"&amp;_xlfn.MAXIFS(m_row,m_teacher,E$4,m_date,($G$2+0),m_active,1,m_start,"&lt;"&amp;1140,m_end,"&gt;"&amp;1080),INDEX(m_label,_xlfn.MAXIFS(m_row,m_teacher,E$4,m_date,($G$2+0),m_active,1,m_start,"&lt;"&amp;1140,m_end,"&gt;"&amp;1080))))))</f>
        <v/>
      </c>
      <c r="F14" s="81" t="str">
        <f aca="false">IF(OR(F$4="",MONTH(($G$2+0))&lt;&gt;MONTH($C$2)),"",IF(COUNTIFS(m_teacher,F$4,m_date,($G$2+0),m_active,1,m_start,"&lt;"&amp;1140,m_end,"&gt;"&amp;1080)=0,"",IF(COUNTIFS(m_teacher,F$4,m_date,($G$2+0),m_active,1,m_start,"&lt;"&amp;1140,m_end,"&gt;"&amp;1080)&gt;1,"충돌",HYPERLINK("#'관리자_MASTER'!D"&amp;_xlfn.MAXIFS(m_row,m_teacher,F$4,m_date,($G$2+0),m_active,1,m_start,"&lt;"&amp;1140,m_end,"&gt;"&amp;1080),INDEX(m_label,_xlfn.MAXIFS(m_row,m_teacher,F$4,m_date,($G$2+0),m_active,1,m_start,"&lt;"&amp;1140,m_end,"&gt;"&amp;1080))))))</f>
        <v/>
      </c>
      <c r="G14" s="81" t="str">
        <f aca="false">IF(OR(G$4="",MONTH(($G$2+0))&lt;&gt;MONTH($C$2)),"",IF(COUNTIFS(m_teacher,G$4,m_date,($G$2+0),m_active,1,m_start,"&lt;"&amp;1140,m_end,"&gt;"&amp;1080)=0,"",IF(COUNTIFS(m_teacher,G$4,m_date,($G$2+0),m_active,1,m_start,"&lt;"&amp;1140,m_end,"&gt;"&amp;1080)&gt;1,"충돌",HYPERLINK("#'관리자_MASTER'!D"&amp;_xlfn.MAXIFS(m_row,m_teacher,G$4,m_date,($G$2+0),m_active,1,m_start,"&lt;"&amp;1140,m_end,"&gt;"&amp;1080),INDEX(m_label,_xlfn.MAXIFS(m_row,m_teacher,G$4,m_date,($G$2+0),m_active,1,m_start,"&lt;"&amp;1140,m_end,"&gt;"&amp;1080))))))</f>
        <v/>
      </c>
      <c r="H14" s="81" t="str">
        <f aca="false">IF(OR(H$4="",MONTH(($G$2+0))&lt;&gt;MONTH($C$2)),"",IF(COUNTIFS(m_teacher,H$4,m_date,($G$2+0),m_active,1,m_start,"&lt;"&amp;1140,m_end,"&gt;"&amp;1080)=0,"",IF(COUNTIFS(m_teacher,H$4,m_date,($G$2+0),m_active,1,m_start,"&lt;"&amp;1140,m_end,"&gt;"&amp;1080)&gt;1,"충돌",HYPERLINK("#'관리자_MASTER'!D"&amp;_xlfn.MAXIFS(m_row,m_teacher,H$4,m_date,($G$2+0),m_active,1,m_start,"&lt;"&amp;1140,m_end,"&gt;"&amp;1080),INDEX(m_label,_xlfn.MAXIFS(m_row,m_teacher,H$4,m_date,($G$2+0),m_active,1,m_start,"&lt;"&amp;1140,m_end,"&gt;"&amp;1080))))))</f>
        <v/>
      </c>
      <c r="I14" s="81" t="str">
        <f aca="false">IF(OR(I$4="",MONTH(($G$2+0))&lt;&gt;MONTH($C$2)),"",IF(COUNTIFS(m_teacher,I$4,m_date,($G$2+0),m_active,1,m_start,"&lt;"&amp;1140,m_end,"&gt;"&amp;1080)=0,"",IF(COUNTIFS(m_teacher,I$4,m_date,($G$2+0),m_active,1,m_start,"&lt;"&amp;1140,m_end,"&gt;"&amp;1080)&gt;1,"충돌",HYPERLINK("#'관리자_MASTER'!D"&amp;_xlfn.MAXIFS(m_row,m_teacher,I$4,m_date,($G$2+0),m_active,1,m_start,"&lt;"&amp;1140,m_end,"&gt;"&amp;1080),INDEX(m_label,_xlfn.MAXIFS(m_row,m_teacher,I$4,m_date,($G$2+0),m_active,1,m_start,"&lt;"&amp;1140,m_end,"&gt;"&amp;1080))))))</f>
        <v/>
      </c>
      <c r="J14" s="81" t="str">
        <f aca="false">IF(OR(J$4="",MONTH(($G$2+0))&lt;&gt;MONTH($C$2)),"",IF(COUNTIFS(m_teacher,J$4,m_date,($G$2+0),m_active,1,m_start,"&lt;"&amp;1140,m_end,"&gt;"&amp;1080)=0,"",IF(COUNTIFS(m_teacher,J$4,m_date,($G$2+0),m_active,1,m_start,"&lt;"&amp;1140,m_end,"&gt;"&amp;1080)&gt;1,"충돌",HYPERLINK("#'관리자_MASTER'!D"&amp;_xlfn.MAXIFS(m_row,m_teacher,J$4,m_date,($G$2+0),m_active,1,m_start,"&lt;"&amp;1140,m_end,"&gt;"&amp;1080),INDEX(m_label,_xlfn.MAXIFS(m_row,m_teacher,J$4,m_date,($G$2+0),m_active,1,m_start,"&lt;"&amp;1140,m_end,"&gt;"&amp;1080))))))</f>
        <v/>
      </c>
      <c r="K14" s="81" t="str">
        <f aca="false">IF(OR(K$4="",MONTH(($G$2+0))&lt;&gt;MONTH($C$2)),"",IF(COUNTIFS(m_teacher,K$4,m_date,($G$2+0),m_active,1,m_start,"&lt;"&amp;1140,m_end,"&gt;"&amp;1080)=0,"",IF(COUNTIFS(m_teacher,K$4,m_date,($G$2+0),m_active,1,m_start,"&lt;"&amp;1140,m_end,"&gt;"&amp;1080)&gt;1,"충돌",HYPERLINK("#'관리자_MASTER'!D"&amp;_xlfn.MAXIFS(m_row,m_teacher,K$4,m_date,($G$2+0),m_active,1,m_start,"&lt;"&amp;1140,m_end,"&gt;"&amp;1080),INDEX(m_label,_xlfn.MAXIFS(m_row,m_teacher,K$4,m_date,($G$2+0),m_active,1,m_start,"&lt;"&amp;1140,m_end,"&gt;"&amp;1080))))))</f>
        <v/>
      </c>
      <c r="L14" s="81" t="str">
        <f aca="false">IF(OR(L$4="",MONTH(($G$2+0))&lt;&gt;MONTH($C$2)),"",IF(COUNTIFS(m_teacher,L$4,m_date,($G$2+0),m_active,1,m_start,"&lt;"&amp;1140,m_end,"&gt;"&amp;1080)=0,"",IF(COUNTIFS(m_teacher,L$4,m_date,($G$2+0),m_active,1,m_start,"&lt;"&amp;1140,m_end,"&gt;"&amp;1080)&gt;1,"충돌",HYPERLINK("#'관리자_MASTER'!D"&amp;_xlfn.MAXIFS(m_row,m_teacher,L$4,m_date,($G$2+0),m_active,1,m_start,"&lt;"&amp;1140,m_end,"&gt;"&amp;1080),INDEX(m_label,_xlfn.MAXIFS(m_row,m_teacher,L$4,m_date,($G$2+0),m_active,1,m_start,"&lt;"&amp;1140,m_end,"&gt;"&amp;1080))))))</f>
        <v/>
      </c>
      <c r="M14" s="81" t="str">
        <f aca="false">IF(OR(M$4="",MONTH(($G$2+0))&lt;&gt;MONTH($C$2)),"",IF(COUNTIFS(m_teacher,M$4,m_date,($G$2+0),m_active,1,m_start,"&lt;"&amp;1140,m_end,"&gt;"&amp;1080)=0,"",IF(COUNTIFS(m_teacher,M$4,m_date,($G$2+0),m_active,1,m_start,"&lt;"&amp;1140,m_end,"&gt;"&amp;1080)&gt;1,"충돌",HYPERLINK("#'관리자_MASTER'!D"&amp;_xlfn.MAXIFS(m_row,m_teacher,M$4,m_date,($G$2+0),m_active,1,m_start,"&lt;"&amp;1140,m_end,"&gt;"&amp;1080),INDEX(m_label,_xlfn.MAXIFS(m_row,m_teacher,M$4,m_date,($G$2+0),m_active,1,m_start,"&lt;"&amp;1140,m_end,"&gt;"&amp;1080))))))</f>
        <v/>
      </c>
      <c r="N14" s="81" t="str">
        <f aca="false">IF(OR(N$4="",MONTH(($G$2+0))&lt;&gt;MONTH($C$2)),"",IF(COUNTIFS(m_teacher,N$4,m_date,($G$2+0),m_active,1,m_start,"&lt;"&amp;1140,m_end,"&gt;"&amp;1080)=0,"",IF(COUNTIFS(m_teacher,N$4,m_date,($G$2+0),m_active,1,m_start,"&lt;"&amp;1140,m_end,"&gt;"&amp;1080)&gt;1,"충돌",HYPERLINK("#'관리자_MASTER'!D"&amp;_xlfn.MAXIFS(m_row,m_teacher,N$4,m_date,($G$2+0),m_active,1,m_start,"&lt;"&amp;1140,m_end,"&gt;"&amp;1080),INDEX(m_label,_xlfn.MAXIFS(m_row,m_teacher,N$4,m_date,($G$2+0),m_active,1,m_start,"&lt;"&amp;1140,m_end,"&gt;"&amp;1080))))))</f>
        <v/>
      </c>
      <c r="O14" s="78"/>
      <c r="P14" s="79" t="s">
        <v>100</v>
      </c>
      <c r="Q14" s="82" t="str">
        <f aca="false">IF(OR(Q$4="",MONTH(($G$2+7))&lt;&gt;MONTH($C$2)),"",IF(COUNTIFS(m_teacher,Q$4,m_date,($G$2+7),m_active,1,m_start,"&lt;"&amp;1140,m_end,"&gt;"&amp;1080)=0,"",IF(COUNTIFS(m_teacher,Q$4,m_date,($G$2+7),m_active,1,m_start,"&lt;"&amp;1140,m_end,"&gt;"&amp;1080)&gt;1,"충돌",HYPERLINK("#'관리자_MASTER'!D"&amp;_xlfn.MAXIFS(m_row,m_teacher,Q$4,m_date,($G$2+7),m_active,1,m_start,"&lt;"&amp;1140,m_end,"&gt;"&amp;1080),INDEX(m_label,_xlfn.MAXIFS(m_row,m_teacher,Q$4,m_date,($G$2+7),m_active,1,m_start,"&lt;"&amp;1140,m_end,"&gt;"&amp;1080))))))</f>
        <v/>
      </c>
      <c r="R14" s="82" t="str">
        <f aca="false">IF(OR(R$4="",MONTH(($G$2+7))&lt;&gt;MONTH($C$2)),"",IF(COUNTIFS(m_teacher,R$4,m_date,($G$2+7),m_active,1,m_start,"&lt;"&amp;1140,m_end,"&gt;"&amp;1080)=0,"",IF(COUNTIFS(m_teacher,R$4,m_date,($G$2+7),m_active,1,m_start,"&lt;"&amp;1140,m_end,"&gt;"&amp;1080)&gt;1,"충돌",HYPERLINK("#'관리자_MASTER'!D"&amp;_xlfn.MAXIFS(m_row,m_teacher,R$4,m_date,($G$2+7),m_active,1,m_start,"&lt;"&amp;1140,m_end,"&gt;"&amp;1080),INDEX(m_label,_xlfn.MAXIFS(m_row,m_teacher,R$4,m_date,($G$2+7),m_active,1,m_start,"&lt;"&amp;1140,m_end,"&gt;"&amp;1080))))))</f>
        <v/>
      </c>
      <c r="S14" s="82" t="str">
        <f aca="false">IF(OR(S$4="",MONTH(($G$2+7))&lt;&gt;MONTH($C$2)),"",IF(COUNTIFS(m_teacher,S$4,m_date,($G$2+7),m_active,1,m_start,"&lt;"&amp;1140,m_end,"&gt;"&amp;1080)=0,"",IF(COUNTIFS(m_teacher,S$4,m_date,($G$2+7),m_active,1,m_start,"&lt;"&amp;1140,m_end,"&gt;"&amp;1080)&gt;1,"충돌",HYPERLINK("#'관리자_MASTER'!D"&amp;_xlfn.MAXIFS(m_row,m_teacher,S$4,m_date,($G$2+7),m_active,1,m_start,"&lt;"&amp;1140,m_end,"&gt;"&amp;1080),INDEX(m_label,_xlfn.MAXIFS(m_row,m_teacher,S$4,m_date,($G$2+7),m_active,1,m_start,"&lt;"&amp;1140,m_end,"&gt;"&amp;1080))))))</f>
        <v/>
      </c>
      <c r="T14" s="82" t="str">
        <f aca="false">IF(OR(T$4="",MONTH(($G$2+7))&lt;&gt;MONTH($C$2)),"",IF(COUNTIFS(m_teacher,T$4,m_date,($G$2+7),m_active,1,m_start,"&lt;"&amp;1140,m_end,"&gt;"&amp;1080)=0,"",IF(COUNTIFS(m_teacher,T$4,m_date,($G$2+7),m_active,1,m_start,"&lt;"&amp;1140,m_end,"&gt;"&amp;1080)&gt;1,"충돌",HYPERLINK("#'관리자_MASTER'!D"&amp;_xlfn.MAXIFS(m_row,m_teacher,T$4,m_date,($G$2+7),m_active,1,m_start,"&lt;"&amp;1140,m_end,"&gt;"&amp;1080),INDEX(m_label,_xlfn.MAXIFS(m_row,m_teacher,T$4,m_date,($G$2+7),m_active,1,m_start,"&lt;"&amp;1140,m_end,"&gt;"&amp;1080))))))</f>
        <v/>
      </c>
      <c r="U14" s="82" t="str">
        <f aca="false">IF(OR(U$4="",MONTH(($G$2+7))&lt;&gt;MONTH($C$2)),"",IF(COUNTIFS(m_teacher,U$4,m_date,($G$2+7),m_active,1,m_start,"&lt;"&amp;1140,m_end,"&gt;"&amp;1080)=0,"",IF(COUNTIFS(m_teacher,U$4,m_date,($G$2+7),m_active,1,m_start,"&lt;"&amp;1140,m_end,"&gt;"&amp;1080)&gt;1,"충돌",HYPERLINK("#'관리자_MASTER'!D"&amp;_xlfn.MAXIFS(m_row,m_teacher,U$4,m_date,($G$2+7),m_active,1,m_start,"&lt;"&amp;1140,m_end,"&gt;"&amp;1080),INDEX(m_label,_xlfn.MAXIFS(m_row,m_teacher,U$4,m_date,($G$2+7),m_active,1,m_start,"&lt;"&amp;1140,m_end,"&gt;"&amp;1080))))))</f>
        <v/>
      </c>
      <c r="V14" s="82" t="str">
        <f aca="false">IF(OR(V$4="",MONTH(($G$2+7))&lt;&gt;MONTH($C$2)),"",IF(COUNTIFS(m_teacher,V$4,m_date,($G$2+7),m_active,1,m_start,"&lt;"&amp;1140,m_end,"&gt;"&amp;1080)=0,"",IF(COUNTIFS(m_teacher,V$4,m_date,($G$2+7),m_active,1,m_start,"&lt;"&amp;1140,m_end,"&gt;"&amp;1080)&gt;1,"충돌",HYPERLINK("#'관리자_MASTER'!D"&amp;_xlfn.MAXIFS(m_row,m_teacher,V$4,m_date,($G$2+7),m_active,1,m_start,"&lt;"&amp;1140,m_end,"&gt;"&amp;1080),INDEX(m_label,_xlfn.MAXIFS(m_row,m_teacher,V$4,m_date,($G$2+7),m_active,1,m_start,"&lt;"&amp;1140,m_end,"&gt;"&amp;1080))))))</f>
        <v/>
      </c>
      <c r="W14" s="82" t="str">
        <f aca="false">IF(OR(W$4="",MONTH(($G$2+7))&lt;&gt;MONTH($C$2)),"",IF(COUNTIFS(m_teacher,W$4,m_date,($G$2+7),m_active,1,m_start,"&lt;"&amp;1140,m_end,"&gt;"&amp;1080)=0,"",IF(COUNTIFS(m_teacher,W$4,m_date,($G$2+7),m_active,1,m_start,"&lt;"&amp;1140,m_end,"&gt;"&amp;1080)&gt;1,"충돌",HYPERLINK("#'관리자_MASTER'!D"&amp;_xlfn.MAXIFS(m_row,m_teacher,W$4,m_date,($G$2+7),m_active,1,m_start,"&lt;"&amp;1140,m_end,"&gt;"&amp;1080),INDEX(m_label,_xlfn.MAXIFS(m_row,m_teacher,W$4,m_date,($G$2+7),m_active,1,m_start,"&lt;"&amp;1140,m_end,"&gt;"&amp;1080))))))</f>
        <v/>
      </c>
      <c r="X14" s="82" t="str">
        <f aca="false">IF(OR(X$4="",MONTH(($G$2+7))&lt;&gt;MONTH($C$2)),"",IF(COUNTIFS(m_teacher,X$4,m_date,($G$2+7),m_active,1,m_start,"&lt;"&amp;1140,m_end,"&gt;"&amp;1080)=0,"",IF(COUNTIFS(m_teacher,X$4,m_date,($G$2+7),m_active,1,m_start,"&lt;"&amp;1140,m_end,"&gt;"&amp;1080)&gt;1,"충돌",HYPERLINK("#'관리자_MASTER'!D"&amp;_xlfn.MAXIFS(m_row,m_teacher,X$4,m_date,($G$2+7),m_active,1,m_start,"&lt;"&amp;1140,m_end,"&gt;"&amp;1080),INDEX(m_label,_xlfn.MAXIFS(m_row,m_teacher,X$4,m_date,($G$2+7),m_active,1,m_start,"&lt;"&amp;1140,m_end,"&gt;"&amp;1080))))))</f>
        <v/>
      </c>
      <c r="Y14" s="82" t="str">
        <f aca="false">IF(OR(Y$4="",MONTH(($G$2+7))&lt;&gt;MONTH($C$2)),"",IF(COUNTIFS(m_teacher,Y$4,m_date,($G$2+7),m_active,1,m_start,"&lt;"&amp;1140,m_end,"&gt;"&amp;1080)=0,"",IF(COUNTIFS(m_teacher,Y$4,m_date,($G$2+7),m_active,1,m_start,"&lt;"&amp;1140,m_end,"&gt;"&amp;1080)&gt;1,"충돌",HYPERLINK("#'관리자_MASTER'!D"&amp;_xlfn.MAXIFS(m_row,m_teacher,Y$4,m_date,($G$2+7),m_active,1,m_start,"&lt;"&amp;1140,m_end,"&gt;"&amp;1080),INDEX(m_label,_xlfn.MAXIFS(m_row,m_teacher,Y$4,m_date,($G$2+7),m_active,1,m_start,"&lt;"&amp;1140,m_end,"&gt;"&amp;1080))))))</f>
        <v/>
      </c>
      <c r="Z14" s="82" t="str">
        <f aca="false">IF(OR(Z$4="",MONTH(($G$2+7))&lt;&gt;MONTH($C$2)),"",IF(COUNTIFS(m_teacher,Z$4,m_date,($G$2+7),m_active,1,m_start,"&lt;"&amp;1140,m_end,"&gt;"&amp;1080)=0,"",IF(COUNTIFS(m_teacher,Z$4,m_date,($G$2+7),m_active,1,m_start,"&lt;"&amp;1140,m_end,"&gt;"&amp;1080)&gt;1,"충돌",HYPERLINK("#'관리자_MASTER'!D"&amp;_xlfn.MAXIFS(m_row,m_teacher,Z$4,m_date,($G$2+7),m_active,1,m_start,"&lt;"&amp;1140,m_end,"&gt;"&amp;1080),INDEX(m_label,_xlfn.MAXIFS(m_row,m_teacher,Z$4,m_date,($G$2+7),m_active,1,m_start,"&lt;"&amp;1140,m_end,"&gt;"&amp;1080))))))</f>
        <v/>
      </c>
      <c r="AA14" s="82" t="str">
        <f aca="false">IF(OR(AA$4="",MONTH(($G$2+7))&lt;&gt;MONTH($C$2)),"",IF(COUNTIFS(m_teacher,AA$4,m_date,($G$2+7),m_active,1,m_start,"&lt;"&amp;1140,m_end,"&gt;"&amp;1080)=0,"",IF(COUNTIFS(m_teacher,AA$4,m_date,($G$2+7),m_active,1,m_start,"&lt;"&amp;1140,m_end,"&gt;"&amp;1080)&gt;1,"충돌",HYPERLINK("#'관리자_MASTER'!D"&amp;_xlfn.MAXIFS(m_row,m_teacher,AA$4,m_date,($G$2+7),m_active,1,m_start,"&lt;"&amp;1140,m_end,"&gt;"&amp;1080),INDEX(m_label,_xlfn.MAXIFS(m_row,m_teacher,AA$4,m_date,($G$2+7),m_active,1,m_start,"&lt;"&amp;1140,m_end,"&gt;"&amp;1080))))))</f>
        <v/>
      </c>
      <c r="AB14" s="82" t="str">
        <f aca="false">IF(OR(AB$4="",MONTH(($G$2+7))&lt;&gt;MONTH($C$2)),"",IF(COUNTIFS(m_teacher,AB$4,m_date,($G$2+7),m_active,1,m_start,"&lt;"&amp;1140,m_end,"&gt;"&amp;1080)=0,"",IF(COUNTIFS(m_teacher,AB$4,m_date,($G$2+7),m_active,1,m_start,"&lt;"&amp;1140,m_end,"&gt;"&amp;1080)&gt;1,"충돌",HYPERLINK("#'관리자_MASTER'!D"&amp;_xlfn.MAXIFS(m_row,m_teacher,AB$4,m_date,($G$2+7),m_active,1,m_start,"&lt;"&amp;1140,m_end,"&gt;"&amp;1080),INDEX(m_label,_xlfn.MAXIFS(m_row,m_teacher,AB$4,m_date,($G$2+7),m_active,1,m_start,"&lt;"&amp;1140,m_end,"&gt;"&amp;1080))))))</f>
        <v/>
      </c>
      <c r="AC14" s="78"/>
      <c r="AD14" s="79" t="s">
        <v>100</v>
      </c>
      <c r="AE14" s="82" t="str">
        <f aca="false">IF(OR(AE$4="",MONTH(($G$2+14))&lt;&gt;MONTH($C$2)),"",IF(COUNTIFS(m_teacher,AE$4,m_date,($G$2+14),m_active,1,m_start,"&lt;"&amp;1140,m_end,"&gt;"&amp;1080)=0,"",IF(COUNTIFS(m_teacher,AE$4,m_date,($G$2+14),m_active,1,m_start,"&lt;"&amp;1140,m_end,"&gt;"&amp;1080)&gt;1,"충돌",HYPERLINK("#'관리자_MASTER'!D"&amp;_xlfn.MAXIFS(m_row,m_teacher,AE$4,m_date,($G$2+14),m_active,1,m_start,"&lt;"&amp;1140,m_end,"&gt;"&amp;1080),INDEX(m_label,_xlfn.MAXIFS(m_row,m_teacher,AE$4,m_date,($G$2+14),m_active,1,m_start,"&lt;"&amp;1140,m_end,"&gt;"&amp;1080))))))</f>
        <v/>
      </c>
      <c r="AF14" s="82" t="str">
        <f aca="false">IF(OR(AF$4="",MONTH(($G$2+14))&lt;&gt;MONTH($C$2)),"",IF(COUNTIFS(m_teacher,AF$4,m_date,($G$2+14),m_active,1,m_start,"&lt;"&amp;1140,m_end,"&gt;"&amp;1080)=0,"",IF(COUNTIFS(m_teacher,AF$4,m_date,($G$2+14),m_active,1,m_start,"&lt;"&amp;1140,m_end,"&gt;"&amp;1080)&gt;1,"충돌",HYPERLINK("#'관리자_MASTER'!D"&amp;_xlfn.MAXIFS(m_row,m_teacher,AF$4,m_date,($G$2+14),m_active,1,m_start,"&lt;"&amp;1140,m_end,"&gt;"&amp;1080),INDEX(m_label,_xlfn.MAXIFS(m_row,m_teacher,AF$4,m_date,($G$2+14),m_active,1,m_start,"&lt;"&amp;1140,m_end,"&gt;"&amp;1080))))))</f>
        <v/>
      </c>
      <c r="AG14" s="82" t="str">
        <f aca="false">IF(OR(AG$4="",MONTH(($G$2+14))&lt;&gt;MONTH($C$2)),"",IF(COUNTIFS(m_teacher,AG$4,m_date,($G$2+14),m_active,1,m_start,"&lt;"&amp;1140,m_end,"&gt;"&amp;1080)=0,"",IF(COUNTIFS(m_teacher,AG$4,m_date,($G$2+14),m_active,1,m_start,"&lt;"&amp;1140,m_end,"&gt;"&amp;1080)&gt;1,"충돌",HYPERLINK("#'관리자_MASTER'!D"&amp;_xlfn.MAXIFS(m_row,m_teacher,AG$4,m_date,($G$2+14),m_active,1,m_start,"&lt;"&amp;1140,m_end,"&gt;"&amp;1080),INDEX(m_label,_xlfn.MAXIFS(m_row,m_teacher,AG$4,m_date,($G$2+14),m_active,1,m_start,"&lt;"&amp;1140,m_end,"&gt;"&amp;1080))))))</f>
        <v/>
      </c>
      <c r="AH14" s="82" t="str">
        <f aca="false">IF(OR(AH$4="",MONTH(($G$2+14))&lt;&gt;MONTH($C$2)),"",IF(COUNTIFS(m_teacher,AH$4,m_date,($G$2+14),m_active,1,m_start,"&lt;"&amp;1140,m_end,"&gt;"&amp;1080)=0,"",IF(COUNTIFS(m_teacher,AH$4,m_date,($G$2+14),m_active,1,m_start,"&lt;"&amp;1140,m_end,"&gt;"&amp;1080)&gt;1,"충돌",HYPERLINK("#'관리자_MASTER'!D"&amp;_xlfn.MAXIFS(m_row,m_teacher,AH$4,m_date,($G$2+14),m_active,1,m_start,"&lt;"&amp;1140,m_end,"&gt;"&amp;1080),INDEX(m_label,_xlfn.MAXIFS(m_row,m_teacher,AH$4,m_date,($G$2+14),m_active,1,m_start,"&lt;"&amp;1140,m_end,"&gt;"&amp;1080))))))</f>
        <v/>
      </c>
      <c r="AI14" s="82" t="str">
        <f aca="false">IF(OR(AI$4="",MONTH(($G$2+14))&lt;&gt;MONTH($C$2)),"",IF(COUNTIFS(m_teacher,AI$4,m_date,($G$2+14),m_active,1,m_start,"&lt;"&amp;1140,m_end,"&gt;"&amp;1080)=0,"",IF(COUNTIFS(m_teacher,AI$4,m_date,($G$2+14),m_active,1,m_start,"&lt;"&amp;1140,m_end,"&gt;"&amp;1080)&gt;1,"충돌",HYPERLINK("#'관리자_MASTER'!D"&amp;_xlfn.MAXIFS(m_row,m_teacher,AI$4,m_date,($G$2+14),m_active,1,m_start,"&lt;"&amp;1140,m_end,"&gt;"&amp;1080),INDEX(m_label,_xlfn.MAXIFS(m_row,m_teacher,AI$4,m_date,($G$2+14),m_active,1,m_start,"&lt;"&amp;1140,m_end,"&gt;"&amp;1080))))))</f>
        <v/>
      </c>
      <c r="AJ14" s="82" t="str">
        <f aca="false">IF(OR(AJ$4="",MONTH(($G$2+14))&lt;&gt;MONTH($C$2)),"",IF(COUNTIFS(m_teacher,AJ$4,m_date,($G$2+14),m_active,1,m_start,"&lt;"&amp;1140,m_end,"&gt;"&amp;1080)=0,"",IF(COUNTIFS(m_teacher,AJ$4,m_date,($G$2+14),m_active,1,m_start,"&lt;"&amp;1140,m_end,"&gt;"&amp;1080)&gt;1,"충돌",HYPERLINK("#'관리자_MASTER'!D"&amp;_xlfn.MAXIFS(m_row,m_teacher,AJ$4,m_date,($G$2+14),m_active,1,m_start,"&lt;"&amp;1140,m_end,"&gt;"&amp;1080),INDEX(m_label,_xlfn.MAXIFS(m_row,m_teacher,AJ$4,m_date,($G$2+14),m_active,1,m_start,"&lt;"&amp;1140,m_end,"&gt;"&amp;1080))))))</f>
        <v/>
      </c>
      <c r="AK14" s="82" t="str">
        <f aca="false">IF(OR(AK$4="",MONTH(($G$2+14))&lt;&gt;MONTH($C$2)),"",IF(COUNTIFS(m_teacher,AK$4,m_date,($G$2+14),m_active,1,m_start,"&lt;"&amp;1140,m_end,"&gt;"&amp;1080)=0,"",IF(COUNTIFS(m_teacher,AK$4,m_date,($G$2+14),m_active,1,m_start,"&lt;"&amp;1140,m_end,"&gt;"&amp;1080)&gt;1,"충돌",HYPERLINK("#'관리자_MASTER'!D"&amp;_xlfn.MAXIFS(m_row,m_teacher,AK$4,m_date,($G$2+14),m_active,1,m_start,"&lt;"&amp;1140,m_end,"&gt;"&amp;1080),INDEX(m_label,_xlfn.MAXIFS(m_row,m_teacher,AK$4,m_date,($G$2+14),m_active,1,m_start,"&lt;"&amp;1140,m_end,"&gt;"&amp;1080))))))</f>
        <v/>
      </c>
      <c r="AL14" s="82" t="str">
        <f aca="false">IF(OR(AL$4="",MONTH(($G$2+14))&lt;&gt;MONTH($C$2)),"",IF(COUNTIFS(m_teacher,AL$4,m_date,($G$2+14),m_active,1,m_start,"&lt;"&amp;1140,m_end,"&gt;"&amp;1080)=0,"",IF(COUNTIFS(m_teacher,AL$4,m_date,($G$2+14),m_active,1,m_start,"&lt;"&amp;1140,m_end,"&gt;"&amp;1080)&gt;1,"충돌",HYPERLINK("#'관리자_MASTER'!D"&amp;_xlfn.MAXIFS(m_row,m_teacher,AL$4,m_date,($G$2+14),m_active,1,m_start,"&lt;"&amp;1140,m_end,"&gt;"&amp;1080),INDEX(m_label,_xlfn.MAXIFS(m_row,m_teacher,AL$4,m_date,($G$2+14),m_active,1,m_start,"&lt;"&amp;1140,m_end,"&gt;"&amp;1080))))))</f>
        <v/>
      </c>
      <c r="AM14" s="82" t="str">
        <f aca="false">IF(OR(AM$4="",MONTH(($G$2+14))&lt;&gt;MONTH($C$2)),"",IF(COUNTIFS(m_teacher,AM$4,m_date,($G$2+14),m_active,1,m_start,"&lt;"&amp;1140,m_end,"&gt;"&amp;1080)=0,"",IF(COUNTIFS(m_teacher,AM$4,m_date,($G$2+14),m_active,1,m_start,"&lt;"&amp;1140,m_end,"&gt;"&amp;1080)&gt;1,"충돌",HYPERLINK("#'관리자_MASTER'!D"&amp;_xlfn.MAXIFS(m_row,m_teacher,AM$4,m_date,($G$2+14),m_active,1,m_start,"&lt;"&amp;1140,m_end,"&gt;"&amp;1080),INDEX(m_label,_xlfn.MAXIFS(m_row,m_teacher,AM$4,m_date,($G$2+14),m_active,1,m_start,"&lt;"&amp;1140,m_end,"&gt;"&amp;1080))))))</f>
        <v/>
      </c>
      <c r="AN14" s="82" t="str">
        <f aca="false">IF(OR(AN$4="",MONTH(($G$2+14))&lt;&gt;MONTH($C$2)),"",IF(COUNTIFS(m_teacher,AN$4,m_date,($G$2+14),m_active,1,m_start,"&lt;"&amp;1140,m_end,"&gt;"&amp;1080)=0,"",IF(COUNTIFS(m_teacher,AN$4,m_date,($G$2+14),m_active,1,m_start,"&lt;"&amp;1140,m_end,"&gt;"&amp;1080)&gt;1,"충돌",HYPERLINK("#'관리자_MASTER'!D"&amp;_xlfn.MAXIFS(m_row,m_teacher,AN$4,m_date,($G$2+14),m_active,1,m_start,"&lt;"&amp;1140,m_end,"&gt;"&amp;1080),INDEX(m_label,_xlfn.MAXIFS(m_row,m_teacher,AN$4,m_date,($G$2+14),m_active,1,m_start,"&lt;"&amp;1140,m_end,"&gt;"&amp;1080))))))</f>
        <v/>
      </c>
      <c r="AO14" s="82" t="str">
        <f aca="false">IF(OR(AO$4="",MONTH(($G$2+14))&lt;&gt;MONTH($C$2)),"",IF(COUNTIFS(m_teacher,AO$4,m_date,($G$2+14),m_active,1,m_start,"&lt;"&amp;1140,m_end,"&gt;"&amp;1080)=0,"",IF(COUNTIFS(m_teacher,AO$4,m_date,($G$2+14),m_active,1,m_start,"&lt;"&amp;1140,m_end,"&gt;"&amp;1080)&gt;1,"충돌",HYPERLINK("#'관리자_MASTER'!D"&amp;_xlfn.MAXIFS(m_row,m_teacher,AO$4,m_date,($G$2+14),m_active,1,m_start,"&lt;"&amp;1140,m_end,"&gt;"&amp;1080),INDEX(m_label,_xlfn.MAXIFS(m_row,m_teacher,AO$4,m_date,($G$2+14),m_active,1,m_start,"&lt;"&amp;1140,m_end,"&gt;"&amp;1080))))))</f>
        <v/>
      </c>
      <c r="AP14" s="82" t="str">
        <f aca="false">IF(OR(AP$4="",MONTH(($G$2+14))&lt;&gt;MONTH($C$2)),"",IF(COUNTIFS(m_teacher,AP$4,m_date,($G$2+14),m_active,1,m_start,"&lt;"&amp;1140,m_end,"&gt;"&amp;1080)=0,"",IF(COUNTIFS(m_teacher,AP$4,m_date,($G$2+14),m_active,1,m_start,"&lt;"&amp;1140,m_end,"&gt;"&amp;1080)&gt;1,"충돌",HYPERLINK("#'관리자_MASTER'!D"&amp;_xlfn.MAXIFS(m_row,m_teacher,AP$4,m_date,($G$2+14),m_active,1,m_start,"&lt;"&amp;1140,m_end,"&gt;"&amp;1080),INDEX(m_label,_xlfn.MAXIFS(m_row,m_teacher,AP$4,m_date,($G$2+14),m_active,1,m_start,"&lt;"&amp;1140,m_end,"&gt;"&amp;1080))))))</f>
        <v/>
      </c>
      <c r="AQ14" s="78"/>
      <c r="AR14" s="79" t="s">
        <v>100</v>
      </c>
      <c r="AS14" s="82" t="str">
        <f aca="false">IF(OR(AS$4="",MONTH(($G$2+21))&lt;&gt;MONTH($C$2)),"",IF(COUNTIFS(m_teacher,AS$4,m_date,($G$2+21),m_active,1,m_start,"&lt;"&amp;1140,m_end,"&gt;"&amp;1080)=0,"",IF(COUNTIFS(m_teacher,AS$4,m_date,($G$2+21),m_active,1,m_start,"&lt;"&amp;1140,m_end,"&gt;"&amp;1080)&gt;1,"충돌",HYPERLINK("#'관리자_MASTER'!D"&amp;_xlfn.MAXIFS(m_row,m_teacher,AS$4,m_date,($G$2+21),m_active,1,m_start,"&lt;"&amp;1140,m_end,"&gt;"&amp;1080),INDEX(m_label,_xlfn.MAXIFS(m_row,m_teacher,AS$4,m_date,($G$2+21),m_active,1,m_start,"&lt;"&amp;1140,m_end,"&gt;"&amp;1080))))))</f>
        <v/>
      </c>
      <c r="AT14" s="82" t="str">
        <f aca="false">IF(OR(AT$4="",MONTH(($G$2+21))&lt;&gt;MONTH($C$2)),"",IF(COUNTIFS(m_teacher,AT$4,m_date,($G$2+21),m_active,1,m_start,"&lt;"&amp;1140,m_end,"&gt;"&amp;1080)=0,"",IF(COUNTIFS(m_teacher,AT$4,m_date,($G$2+21),m_active,1,m_start,"&lt;"&amp;1140,m_end,"&gt;"&amp;1080)&gt;1,"충돌",HYPERLINK("#'관리자_MASTER'!D"&amp;_xlfn.MAXIFS(m_row,m_teacher,AT$4,m_date,($G$2+21),m_active,1,m_start,"&lt;"&amp;1140,m_end,"&gt;"&amp;1080),INDEX(m_label,_xlfn.MAXIFS(m_row,m_teacher,AT$4,m_date,($G$2+21),m_active,1,m_start,"&lt;"&amp;1140,m_end,"&gt;"&amp;1080))))))</f>
        <v/>
      </c>
      <c r="AU14" s="82" t="str">
        <f aca="false">IF(OR(AU$4="",MONTH(($G$2+21))&lt;&gt;MONTH($C$2)),"",IF(COUNTIFS(m_teacher,AU$4,m_date,($G$2+21),m_active,1,m_start,"&lt;"&amp;1140,m_end,"&gt;"&amp;1080)=0,"",IF(COUNTIFS(m_teacher,AU$4,m_date,($G$2+21),m_active,1,m_start,"&lt;"&amp;1140,m_end,"&gt;"&amp;1080)&gt;1,"충돌",HYPERLINK("#'관리자_MASTER'!D"&amp;_xlfn.MAXIFS(m_row,m_teacher,AU$4,m_date,($G$2+21),m_active,1,m_start,"&lt;"&amp;1140,m_end,"&gt;"&amp;1080),INDEX(m_label,_xlfn.MAXIFS(m_row,m_teacher,AU$4,m_date,($G$2+21),m_active,1,m_start,"&lt;"&amp;1140,m_end,"&gt;"&amp;1080))))))</f>
        <v/>
      </c>
      <c r="AV14" s="82" t="str">
        <f aca="false">IF(OR(AV$4="",MONTH(($G$2+21))&lt;&gt;MONTH($C$2)),"",IF(COUNTIFS(m_teacher,AV$4,m_date,($G$2+21),m_active,1,m_start,"&lt;"&amp;1140,m_end,"&gt;"&amp;1080)=0,"",IF(COUNTIFS(m_teacher,AV$4,m_date,($G$2+21),m_active,1,m_start,"&lt;"&amp;1140,m_end,"&gt;"&amp;1080)&gt;1,"충돌",HYPERLINK("#'관리자_MASTER'!D"&amp;_xlfn.MAXIFS(m_row,m_teacher,AV$4,m_date,($G$2+21),m_active,1,m_start,"&lt;"&amp;1140,m_end,"&gt;"&amp;1080),INDEX(m_label,_xlfn.MAXIFS(m_row,m_teacher,AV$4,m_date,($G$2+21),m_active,1,m_start,"&lt;"&amp;1140,m_end,"&gt;"&amp;1080))))))</f>
        <v/>
      </c>
      <c r="AW14" s="82" t="str">
        <f aca="false">IF(OR(AW$4="",MONTH(($G$2+21))&lt;&gt;MONTH($C$2)),"",IF(COUNTIFS(m_teacher,AW$4,m_date,($G$2+21),m_active,1,m_start,"&lt;"&amp;1140,m_end,"&gt;"&amp;1080)=0,"",IF(COUNTIFS(m_teacher,AW$4,m_date,($G$2+21),m_active,1,m_start,"&lt;"&amp;1140,m_end,"&gt;"&amp;1080)&gt;1,"충돌",HYPERLINK("#'관리자_MASTER'!D"&amp;_xlfn.MAXIFS(m_row,m_teacher,AW$4,m_date,($G$2+21),m_active,1,m_start,"&lt;"&amp;1140,m_end,"&gt;"&amp;1080),INDEX(m_label,_xlfn.MAXIFS(m_row,m_teacher,AW$4,m_date,($G$2+21),m_active,1,m_start,"&lt;"&amp;1140,m_end,"&gt;"&amp;1080))))))</f>
        <v/>
      </c>
      <c r="AX14" s="82" t="str">
        <f aca="false">IF(OR(AX$4="",MONTH(($G$2+21))&lt;&gt;MONTH($C$2)),"",IF(COUNTIFS(m_teacher,AX$4,m_date,($G$2+21),m_active,1,m_start,"&lt;"&amp;1140,m_end,"&gt;"&amp;1080)=0,"",IF(COUNTIFS(m_teacher,AX$4,m_date,($G$2+21),m_active,1,m_start,"&lt;"&amp;1140,m_end,"&gt;"&amp;1080)&gt;1,"충돌",HYPERLINK("#'관리자_MASTER'!D"&amp;_xlfn.MAXIFS(m_row,m_teacher,AX$4,m_date,($G$2+21),m_active,1,m_start,"&lt;"&amp;1140,m_end,"&gt;"&amp;1080),INDEX(m_label,_xlfn.MAXIFS(m_row,m_teacher,AX$4,m_date,($G$2+21),m_active,1,m_start,"&lt;"&amp;1140,m_end,"&gt;"&amp;1080))))))</f>
        <v/>
      </c>
      <c r="AY14" s="82" t="str">
        <f aca="false">IF(OR(AY$4="",MONTH(($G$2+21))&lt;&gt;MONTH($C$2)),"",IF(COUNTIFS(m_teacher,AY$4,m_date,($G$2+21),m_active,1,m_start,"&lt;"&amp;1140,m_end,"&gt;"&amp;1080)=0,"",IF(COUNTIFS(m_teacher,AY$4,m_date,($G$2+21),m_active,1,m_start,"&lt;"&amp;1140,m_end,"&gt;"&amp;1080)&gt;1,"충돌",HYPERLINK("#'관리자_MASTER'!D"&amp;_xlfn.MAXIFS(m_row,m_teacher,AY$4,m_date,($G$2+21),m_active,1,m_start,"&lt;"&amp;1140,m_end,"&gt;"&amp;1080),INDEX(m_label,_xlfn.MAXIFS(m_row,m_teacher,AY$4,m_date,($G$2+21),m_active,1,m_start,"&lt;"&amp;1140,m_end,"&gt;"&amp;1080))))))</f>
        <v/>
      </c>
      <c r="AZ14" s="82" t="str">
        <f aca="false">IF(OR(AZ$4="",MONTH(($G$2+21))&lt;&gt;MONTH($C$2)),"",IF(COUNTIFS(m_teacher,AZ$4,m_date,($G$2+21),m_active,1,m_start,"&lt;"&amp;1140,m_end,"&gt;"&amp;1080)=0,"",IF(COUNTIFS(m_teacher,AZ$4,m_date,($G$2+21),m_active,1,m_start,"&lt;"&amp;1140,m_end,"&gt;"&amp;1080)&gt;1,"충돌",HYPERLINK("#'관리자_MASTER'!D"&amp;_xlfn.MAXIFS(m_row,m_teacher,AZ$4,m_date,($G$2+21),m_active,1,m_start,"&lt;"&amp;1140,m_end,"&gt;"&amp;1080),INDEX(m_label,_xlfn.MAXIFS(m_row,m_teacher,AZ$4,m_date,($G$2+21),m_active,1,m_start,"&lt;"&amp;1140,m_end,"&gt;"&amp;1080))))))</f>
        <v/>
      </c>
      <c r="BA14" s="82" t="str">
        <f aca="false">IF(OR(BA$4="",MONTH(($G$2+21))&lt;&gt;MONTH($C$2)),"",IF(COUNTIFS(m_teacher,BA$4,m_date,($G$2+21),m_active,1,m_start,"&lt;"&amp;1140,m_end,"&gt;"&amp;1080)=0,"",IF(COUNTIFS(m_teacher,BA$4,m_date,($G$2+21),m_active,1,m_start,"&lt;"&amp;1140,m_end,"&gt;"&amp;1080)&gt;1,"충돌",HYPERLINK("#'관리자_MASTER'!D"&amp;_xlfn.MAXIFS(m_row,m_teacher,BA$4,m_date,($G$2+21),m_active,1,m_start,"&lt;"&amp;1140,m_end,"&gt;"&amp;1080),INDEX(m_label,_xlfn.MAXIFS(m_row,m_teacher,BA$4,m_date,($G$2+21),m_active,1,m_start,"&lt;"&amp;1140,m_end,"&gt;"&amp;1080))))))</f>
        <v/>
      </c>
      <c r="BB14" s="82" t="str">
        <f aca="false">IF(OR(BB$4="",MONTH(($G$2+21))&lt;&gt;MONTH($C$2)),"",IF(COUNTIFS(m_teacher,BB$4,m_date,($G$2+21),m_active,1,m_start,"&lt;"&amp;1140,m_end,"&gt;"&amp;1080)=0,"",IF(COUNTIFS(m_teacher,BB$4,m_date,($G$2+21),m_active,1,m_start,"&lt;"&amp;1140,m_end,"&gt;"&amp;1080)&gt;1,"충돌",HYPERLINK("#'관리자_MASTER'!D"&amp;_xlfn.MAXIFS(m_row,m_teacher,BB$4,m_date,($G$2+21),m_active,1,m_start,"&lt;"&amp;1140,m_end,"&gt;"&amp;1080),INDEX(m_label,_xlfn.MAXIFS(m_row,m_teacher,BB$4,m_date,($G$2+21),m_active,1,m_start,"&lt;"&amp;1140,m_end,"&gt;"&amp;1080))))))</f>
        <v/>
      </c>
      <c r="BC14" s="82" t="str">
        <f aca="false">IF(OR(BC$4="",MONTH(($G$2+21))&lt;&gt;MONTH($C$2)),"",IF(COUNTIFS(m_teacher,BC$4,m_date,($G$2+21),m_active,1,m_start,"&lt;"&amp;1140,m_end,"&gt;"&amp;1080)=0,"",IF(COUNTIFS(m_teacher,BC$4,m_date,($G$2+21),m_active,1,m_start,"&lt;"&amp;1140,m_end,"&gt;"&amp;1080)&gt;1,"충돌",HYPERLINK("#'관리자_MASTER'!D"&amp;_xlfn.MAXIFS(m_row,m_teacher,BC$4,m_date,($G$2+21),m_active,1,m_start,"&lt;"&amp;1140,m_end,"&gt;"&amp;1080),INDEX(m_label,_xlfn.MAXIFS(m_row,m_teacher,BC$4,m_date,($G$2+21),m_active,1,m_start,"&lt;"&amp;1140,m_end,"&gt;"&amp;1080))))))</f>
        <v/>
      </c>
      <c r="BD14" s="82" t="str">
        <f aca="false">IF(OR(BD$4="",MONTH(($G$2+21))&lt;&gt;MONTH($C$2)),"",IF(COUNTIFS(m_teacher,BD$4,m_date,($G$2+21),m_active,1,m_start,"&lt;"&amp;1140,m_end,"&gt;"&amp;1080)=0,"",IF(COUNTIFS(m_teacher,BD$4,m_date,($G$2+21),m_active,1,m_start,"&lt;"&amp;1140,m_end,"&gt;"&amp;1080)&gt;1,"충돌",HYPERLINK("#'관리자_MASTER'!D"&amp;_xlfn.MAXIFS(m_row,m_teacher,BD$4,m_date,($G$2+21),m_active,1,m_start,"&lt;"&amp;1140,m_end,"&gt;"&amp;1080),INDEX(m_label,_xlfn.MAXIFS(m_row,m_teacher,BD$4,m_date,($G$2+21),m_active,1,m_start,"&lt;"&amp;1140,m_end,"&gt;"&amp;1080))))))</f>
        <v/>
      </c>
      <c r="BE14" s="78"/>
      <c r="BF14" s="79" t="s">
        <v>100</v>
      </c>
      <c r="BG14" s="82" t="str">
        <f aca="false">IF(OR(BG$4="",MONTH(($G$2+28))&lt;&gt;MONTH($C$2)),"",IF(COUNTIFS(m_teacher,BG$4,m_date,($G$2+28),m_active,1,m_start,"&lt;"&amp;1140,m_end,"&gt;"&amp;1080)=0,"",IF(COUNTIFS(m_teacher,BG$4,m_date,($G$2+28),m_active,1,m_start,"&lt;"&amp;1140,m_end,"&gt;"&amp;1080)&gt;1,"충돌",HYPERLINK("#'관리자_MASTER'!D"&amp;_xlfn.MAXIFS(m_row,m_teacher,BG$4,m_date,($G$2+28),m_active,1,m_start,"&lt;"&amp;1140,m_end,"&gt;"&amp;1080),INDEX(m_label,_xlfn.MAXIFS(m_row,m_teacher,BG$4,m_date,($G$2+28),m_active,1,m_start,"&lt;"&amp;1140,m_end,"&gt;"&amp;1080))))))</f>
        <v/>
      </c>
      <c r="BH14" s="82" t="str">
        <f aca="false">IF(OR(BH$4="",MONTH(($G$2+28))&lt;&gt;MONTH($C$2)),"",IF(COUNTIFS(m_teacher,BH$4,m_date,($G$2+28),m_active,1,m_start,"&lt;"&amp;1140,m_end,"&gt;"&amp;1080)=0,"",IF(COUNTIFS(m_teacher,BH$4,m_date,($G$2+28),m_active,1,m_start,"&lt;"&amp;1140,m_end,"&gt;"&amp;1080)&gt;1,"충돌",HYPERLINK("#'관리자_MASTER'!D"&amp;_xlfn.MAXIFS(m_row,m_teacher,BH$4,m_date,($G$2+28),m_active,1,m_start,"&lt;"&amp;1140,m_end,"&gt;"&amp;1080),INDEX(m_label,_xlfn.MAXIFS(m_row,m_teacher,BH$4,m_date,($G$2+28),m_active,1,m_start,"&lt;"&amp;1140,m_end,"&gt;"&amp;1080))))))</f>
        <v/>
      </c>
      <c r="BI14" s="82" t="str">
        <f aca="false">IF(OR(BI$4="",MONTH(($G$2+28))&lt;&gt;MONTH($C$2)),"",IF(COUNTIFS(m_teacher,BI$4,m_date,($G$2+28),m_active,1,m_start,"&lt;"&amp;1140,m_end,"&gt;"&amp;1080)=0,"",IF(COUNTIFS(m_teacher,BI$4,m_date,($G$2+28),m_active,1,m_start,"&lt;"&amp;1140,m_end,"&gt;"&amp;1080)&gt;1,"충돌",HYPERLINK("#'관리자_MASTER'!D"&amp;_xlfn.MAXIFS(m_row,m_teacher,BI$4,m_date,($G$2+28),m_active,1,m_start,"&lt;"&amp;1140,m_end,"&gt;"&amp;1080),INDEX(m_label,_xlfn.MAXIFS(m_row,m_teacher,BI$4,m_date,($G$2+28),m_active,1,m_start,"&lt;"&amp;1140,m_end,"&gt;"&amp;1080))))))</f>
        <v/>
      </c>
      <c r="BJ14" s="82" t="str">
        <f aca="false">IF(OR(BJ$4="",MONTH(($G$2+28))&lt;&gt;MONTH($C$2)),"",IF(COUNTIFS(m_teacher,BJ$4,m_date,($G$2+28),m_active,1,m_start,"&lt;"&amp;1140,m_end,"&gt;"&amp;1080)=0,"",IF(COUNTIFS(m_teacher,BJ$4,m_date,($G$2+28),m_active,1,m_start,"&lt;"&amp;1140,m_end,"&gt;"&amp;1080)&gt;1,"충돌",HYPERLINK("#'관리자_MASTER'!D"&amp;_xlfn.MAXIFS(m_row,m_teacher,BJ$4,m_date,($G$2+28),m_active,1,m_start,"&lt;"&amp;1140,m_end,"&gt;"&amp;1080),INDEX(m_label,_xlfn.MAXIFS(m_row,m_teacher,BJ$4,m_date,($G$2+28),m_active,1,m_start,"&lt;"&amp;1140,m_end,"&gt;"&amp;1080))))))</f>
        <v/>
      </c>
      <c r="BK14" s="82" t="str">
        <f aca="false">IF(OR(BK$4="",MONTH(($G$2+28))&lt;&gt;MONTH($C$2)),"",IF(COUNTIFS(m_teacher,BK$4,m_date,($G$2+28),m_active,1,m_start,"&lt;"&amp;1140,m_end,"&gt;"&amp;1080)=0,"",IF(COUNTIFS(m_teacher,BK$4,m_date,($G$2+28),m_active,1,m_start,"&lt;"&amp;1140,m_end,"&gt;"&amp;1080)&gt;1,"충돌",HYPERLINK("#'관리자_MASTER'!D"&amp;_xlfn.MAXIFS(m_row,m_teacher,BK$4,m_date,($G$2+28),m_active,1,m_start,"&lt;"&amp;1140,m_end,"&gt;"&amp;1080),INDEX(m_label,_xlfn.MAXIFS(m_row,m_teacher,BK$4,m_date,($G$2+28),m_active,1,m_start,"&lt;"&amp;1140,m_end,"&gt;"&amp;1080))))))</f>
        <v/>
      </c>
      <c r="BL14" s="82" t="str">
        <f aca="false">IF(OR(BL$4="",MONTH(($G$2+28))&lt;&gt;MONTH($C$2)),"",IF(COUNTIFS(m_teacher,BL$4,m_date,($G$2+28),m_active,1,m_start,"&lt;"&amp;1140,m_end,"&gt;"&amp;1080)=0,"",IF(COUNTIFS(m_teacher,BL$4,m_date,($G$2+28),m_active,1,m_start,"&lt;"&amp;1140,m_end,"&gt;"&amp;1080)&gt;1,"충돌",HYPERLINK("#'관리자_MASTER'!D"&amp;_xlfn.MAXIFS(m_row,m_teacher,BL$4,m_date,($G$2+28),m_active,1,m_start,"&lt;"&amp;1140,m_end,"&gt;"&amp;1080),INDEX(m_label,_xlfn.MAXIFS(m_row,m_teacher,BL$4,m_date,($G$2+28),m_active,1,m_start,"&lt;"&amp;1140,m_end,"&gt;"&amp;1080))))))</f>
        <v/>
      </c>
      <c r="BM14" s="82" t="str">
        <f aca="false">IF(OR(BM$4="",MONTH(($G$2+28))&lt;&gt;MONTH($C$2)),"",IF(COUNTIFS(m_teacher,BM$4,m_date,($G$2+28),m_active,1,m_start,"&lt;"&amp;1140,m_end,"&gt;"&amp;1080)=0,"",IF(COUNTIFS(m_teacher,BM$4,m_date,($G$2+28),m_active,1,m_start,"&lt;"&amp;1140,m_end,"&gt;"&amp;1080)&gt;1,"충돌",HYPERLINK("#'관리자_MASTER'!D"&amp;_xlfn.MAXIFS(m_row,m_teacher,BM$4,m_date,($G$2+28),m_active,1,m_start,"&lt;"&amp;1140,m_end,"&gt;"&amp;1080),INDEX(m_label,_xlfn.MAXIFS(m_row,m_teacher,BM$4,m_date,($G$2+28),m_active,1,m_start,"&lt;"&amp;1140,m_end,"&gt;"&amp;1080))))))</f>
        <v/>
      </c>
      <c r="BN14" s="82" t="str">
        <f aca="false">IF(OR(BN$4="",MONTH(($G$2+28))&lt;&gt;MONTH($C$2)),"",IF(COUNTIFS(m_teacher,BN$4,m_date,($G$2+28),m_active,1,m_start,"&lt;"&amp;1140,m_end,"&gt;"&amp;1080)=0,"",IF(COUNTIFS(m_teacher,BN$4,m_date,($G$2+28),m_active,1,m_start,"&lt;"&amp;1140,m_end,"&gt;"&amp;1080)&gt;1,"충돌",HYPERLINK("#'관리자_MASTER'!D"&amp;_xlfn.MAXIFS(m_row,m_teacher,BN$4,m_date,($G$2+28),m_active,1,m_start,"&lt;"&amp;1140,m_end,"&gt;"&amp;1080),INDEX(m_label,_xlfn.MAXIFS(m_row,m_teacher,BN$4,m_date,($G$2+28),m_active,1,m_start,"&lt;"&amp;1140,m_end,"&gt;"&amp;1080))))))</f>
        <v/>
      </c>
      <c r="BO14" s="82" t="str">
        <f aca="false">IF(OR(BO$4="",MONTH(($G$2+28))&lt;&gt;MONTH($C$2)),"",IF(COUNTIFS(m_teacher,BO$4,m_date,($G$2+28),m_active,1,m_start,"&lt;"&amp;1140,m_end,"&gt;"&amp;1080)=0,"",IF(COUNTIFS(m_teacher,BO$4,m_date,($G$2+28),m_active,1,m_start,"&lt;"&amp;1140,m_end,"&gt;"&amp;1080)&gt;1,"충돌",HYPERLINK("#'관리자_MASTER'!D"&amp;_xlfn.MAXIFS(m_row,m_teacher,BO$4,m_date,($G$2+28),m_active,1,m_start,"&lt;"&amp;1140,m_end,"&gt;"&amp;1080),INDEX(m_label,_xlfn.MAXIFS(m_row,m_teacher,BO$4,m_date,($G$2+28),m_active,1,m_start,"&lt;"&amp;1140,m_end,"&gt;"&amp;1080))))))</f>
        <v/>
      </c>
      <c r="BP14" s="82" t="str">
        <f aca="false">IF(OR(BP$4="",MONTH(($G$2+28))&lt;&gt;MONTH($C$2)),"",IF(COUNTIFS(m_teacher,BP$4,m_date,($G$2+28),m_active,1,m_start,"&lt;"&amp;1140,m_end,"&gt;"&amp;1080)=0,"",IF(COUNTIFS(m_teacher,BP$4,m_date,($G$2+28),m_active,1,m_start,"&lt;"&amp;1140,m_end,"&gt;"&amp;1080)&gt;1,"충돌",HYPERLINK("#'관리자_MASTER'!D"&amp;_xlfn.MAXIFS(m_row,m_teacher,BP$4,m_date,($G$2+28),m_active,1,m_start,"&lt;"&amp;1140,m_end,"&gt;"&amp;1080),INDEX(m_label,_xlfn.MAXIFS(m_row,m_teacher,BP$4,m_date,($G$2+28),m_active,1,m_start,"&lt;"&amp;1140,m_end,"&gt;"&amp;1080))))))</f>
        <v/>
      </c>
      <c r="BQ14" s="82" t="str">
        <f aca="false">IF(OR(BQ$4="",MONTH(($G$2+28))&lt;&gt;MONTH($C$2)),"",IF(COUNTIFS(m_teacher,BQ$4,m_date,($G$2+28),m_active,1,m_start,"&lt;"&amp;1140,m_end,"&gt;"&amp;1080)=0,"",IF(COUNTIFS(m_teacher,BQ$4,m_date,($G$2+28),m_active,1,m_start,"&lt;"&amp;1140,m_end,"&gt;"&amp;1080)&gt;1,"충돌",HYPERLINK("#'관리자_MASTER'!D"&amp;_xlfn.MAXIFS(m_row,m_teacher,BQ$4,m_date,($G$2+28),m_active,1,m_start,"&lt;"&amp;1140,m_end,"&gt;"&amp;1080),INDEX(m_label,_xlfn.MAXIFS(m_row,m_teacher,BQ$4,m_date,($G$2+28),m_active,1,m_start,"&lt;"&amp;1140,m_end,"&gt;"&amp;1080))))))</f>
        <v/>
      </c>
      <c r="BR14" s="82" t="str">
        <f aca="false">IF(OR(BR$4="",MONTH(($G$2+28))&lt;&gt;MONTH($C$2)),"",IF(COUNTIFS(m_teacher,BR$4,m_date,($G$2+28),m_active,1,m_start,"&lt;"&amp;1140,m_end,"&gt;"&amp;1080)=0,"",IF(COUNTIFS(m_teacher,BR$4,m_date,($G$2+28),m_active,1,m_start,"&lt;"&amp;1140,m_end,"&gt;"&amp;1080)&gt;1,"충돌",HYPERLINK("#'관리자_MASTER'!D"&amp;_xlfn.MAXIFS(m_row,m_teacher,BR$4,m_date,($G$2+28),m_active,1,m_start,"&lt;"&amp;1140,m_end,"&gt;"&amp;1080),INDEX(m_label,_xlfn.MAXIFS(m_row,m_teacher,BR$4,m_date,($G$2+28),m_active,1,m_start,"&lt;"&amp;1140,m_end,"&gt;"&amp;1080))))))</f>
        <v/>
      </c>
    </row>
    <row r="15" customFormat="false" ht="19.5" hidden="false" customHeight="true" outlineLevel="0" collapsed="false">
      <c r="A15" s="75"/>
      <c r="B15" s="83" t="s">
        <v>101</v>
      </c>
      <c r="C15" s="84" t="str">
        <f aca="false">IF(OR(C$4="",MONTH(($G$2+0))&lt;&gt;MONTH($C$2)),"",IF(COUNTIFS(m_teacher,C$4,m_date,($G$2+0),m_active,1,m_start,"&lt;"&amp;1440,m_end,"&gt;"&amp;1140)=0,"",IF(COUNTIFS(m_teacher,C$4,m_date,($G$2+0),m_active,1,m_start,"&lt;"&amp;1440,m_end,"&gt;"&amp;1140)&gt;1,"충돌",HYPERLINK("#'관리자_MASTER'!D"&amp;_xlfn.MAXIFS(m_row,m_teacher,C$4,m_date,($G$2+0),m_active,1,m_start,"&lt;"&amp;1440,m_end,"&gt;"&amp;1140),INDEX(m_label,_xlfn.MAXIFS(m_row,m_teacher,C$4,m_date,($G$2+0),m_active,1,m_start,"&lt;"&amp;1440,m_end,"&gt;"&amp;1140))))))</f>
        <v/>
      </c>
      <c r="D15" s="84" t="str">
        <f aca="false">IF(OR(D$4="",MONTH(($G$2+0))&lt;&gt;MONTH($C$2)),"",IF(COUNTIFS(m_teacher,D$4,m_date,($G$2+0),m_active,1,m_start,"&lt;"&amp;1440,m_end,"&gt;"&amp;1140)=0,"",IF(COUNTIFS(m_teacher,D$4,m_date,($G$2+0),m_active,1,m_start,"&lt;"&amp;1440,m_end,"&gt;"&amp;1140)&gt;1,"충돌",HYPERLINK("#'관리자_MASTER'!D"&amp;_xlfn.MAXIFS(m_row,m_teacher,D$4,m_date,($G$2+0),m_active,1,m_start,"&lt;"&amp;1440,m_end,"&gt;"&amp;1140),INDEX(m_label,_xlfn.MAXIFS(m_row,m_teacher,D$4,m_date,($G$2+0),m_active,1,m_start,"&lt;"&amp;1440,m_end,"&gt;"&amp;1140))))))</f>
        <v/>
      </c>
      <c r="E15" s="84" t="str">
        <f aca="false">IF(OR(E$4="",MONTH(($G$2+0))&lt;&gt;MONTH($C$2)),"",IF(COUNTIFS(m_teacher,E$4,m_date,($G$2+0),m_active,1,m_start,"&lt;"&amp;1440,m_end,"&gt;"&amp;1140)=0,"",IF(COUNTIFS(m_teacher,E$4,m_date,($G$2+0),m_active,1,m_start,"&lt;"&amp;1440,m_end,"&gt;"&amp;1140)&gt;1,"충돌",HYPERLINK("#'관리자_MASTER'!D"&amp;_xlfn.MAXIFS(m_row,m_teacher,E$4,m_date,($G$2+0),m_active,1,m_start,"&lt;"&amp;1440,m_end,"&gt;"&amp;1140),INDEX(m_label,_xlfn.MAXIFS(m_row,m_teacher,E$4,m_date,($G$2+0),m_active,1,m_start,"&lt;"&amp;1440,m_end,"&gt;"&amp;1140))))))</f>
        <v/>
      </c>
      <c r="F15" s="84" t="str">
        <f aca="false">IF(OR(F$4="",MONTH(($G$2+0))&lt;&gt;MONTH($C$2)),"",IF(COUNTIFS(m_teacher,F$4,m_date,($G$2+0),m_active,1,m_start,"&lt;"&amp;1440,m_end,"&gt;"&amp;1140)=0,"",IF(COUNTIFS(m_teacher,F$4,m_date,($G$2+0),m_active,1,m_start,"&lt;"&amp;1440,m_end,"&gt;"&amp;1140)&gt;1,"충돌",HYPERLINK("#'관리자_MASTER'!D"&amp;_xlfn.MAXIFS(m_row,m_teacher,F$4,m_date,($G$2+0),m_active,1,m_start,"&lt;"&amp;1440,m_end,"&gt;"&amp;1140),INDEX(m_label,_xlfn.MAXIFS(m_row,m_teacher,F$4,m_date,($G$2+0),m_active,1,m_start,"&lt;"&amp;1440,m_end,"&gt;"&amp;1140))))))</f>
        <v/>
      </c>
      <c r="G15" s="84" t="str">
        <f aca="false">IF(OR(G$4="",MONTH(($G$2+0))&lt;&gt;MONTH($C$2)),"",IF(COUNTIFS(m_teacher,G$4,m_date,($G$2+0),m_active,1,m_start,"&lt;"&amp;1440,m_end,"&gt;"&amp;1140)=0,"",IF(COUNTIFS(m_teacher,G$4,m_date,($G$2+0),m_active,1,m_start,"&lt;"&amp;1440,m_end,"&gt;"&amp;1140)&gt;1,"충돌",HYPERLINK("#'관리자_MASTER'!D"&amp;_xlfn.MAXIFS(m_row,m_teacher,G$4,m_date,($G$2+0),m_active,1,m_start,"&lt;"&amp;1440,m_end,"&gt;"&amp;1140),INDEX(m_label,_xlfn.MAXIFS(m_row,m_teacher,G$4,m_date,($G$2+0),m_active,1,m_start,"&lt;"&amp;1440,m_end,"&gt;"&amp;1140))))))</f>
        <v/>
      </c>
      <c r="H15" s="84" t="str">
        <f aca="false">IF(OR(H$4="",MONTH(($G$2+0))&lt;&gt;MONTH($C$2)),"",IF(COUNTIFS(m_teacher,H$4,m_date,($G$2+0),m_active,1,m_start,"&lt;"&amp;1440,m_end,"&gt;"&amp;1140)=0,"",IF(COUNTIFS(m_teacher,H$4,m_date,($G$2+0),m_active,1,m_start,"&lt;"&amp;1440,m_end,"&gt;"&amp;1140)&gt;1,"충돌",HYPERLINK("#'관리자_MASTER'!D"&amp;_xlfn.MAXIFS(m_row,m_teacher,H$4,m_date,($G$2+0),m_active,1,m_start,"&lt;"&amp;1440,m_end,"&gt;"&amp;1140),INDEX(m_label,_xlfn.MAXIFS(m_row,m_teacher,H$4,m_date,($G$2+0),m_active,1,m_start,"&lt;"&amp;1440,m_end,"&gt;"&amp;1140))))))</f>
        <v/>
      </c>
      <c r="I15" s="84" t="str">
        <f aca="false">IF(OR(I$4="",MONTH(($G$2+0))&lt;&gt;MONTH($C$2)),"",IF(COUNTIFS(m_teacher,I$4,m_date,($G$2+0),m_active,1,m_start,"&lt;"&amp;1440,m_end,"&gt;"&amp;1140)=0,"",IF(COUNTIFS(m_teacher,I$4,m_date,($G$2+0),m_active,1,m_start,"&lt;"&amp;1440,m_end,"&gt;"&amp;1140)&gt;1,"충돌",HYPERLINK("#'관리자_MASTER'!D"&amp;_xlfn.MAXIFS(m_row,m_teacher,I$4,m_date,($G$2+0),m_active,1,m_start,"&lt;"&amp;1440,m_end,"&gt;"&amp;1140),INDEX(m_label,_xlfn.MAXIFS(m_row,m_teacher,I$4,m_date,($G$2+0),m_active,1,m_start,"&lt;"&amp;1440,m_end,"&gt;"&amp;1140))))))</f>
        <v/>
      </c>
      <c r="J15" s="84" t="str">
        <f aca="false">IF(OR(J$4="",MONTH(($G$2+0))&lt;&gt;MONTH($C$2)),"",IF(COUNTIFS(m_teacher,J$4,m_date,($G$2+0),m_active,1,m_start,"&lt;"&amp;1440,m_end,"&gt;"&amp;1140)=0,"",IF(COUNTIFS(m_teacher,J$4,m_date,($G$2+0),m_active,1,m_start,"&lt;"&amp;1440,m_end,"&gt;"&amp;1140)&gt;1,"충돌",HYPERLINK("#'관리자_MASTER'!D"&amp;_xlfn.MAXIFS(m_row,m_teacher,J$4,m_date,($G$2+0),m_active,1,m_start,"&lt;"&amp;1440,m_end,"&gt;"&amp;1140),INDEX(m_label,_xlfn.MAXIFS(m_row,m_teacher,J$4,m_date,($G$2+0),m_active,1,m_start,"&lt;"&amp;1440,m_end,"&gt;"&amp;1140))))))</f>
        <v/>
      </c>
      <c r="K15" s="84" t="str">
        <f aca="false">IF(OR(K$4="",MONTH(($G$2+0))&lt;&gt;MONTH($C$2)),"",IF(COUNTIFS(m_teacher,K$4,m_date,($G$2+0),m_active,1,m_start,"&lt;"&amp;1440,m_end,"&gt;"&amp;1140)=0,"",IF(COUNTIFS(m_teacher,K$4,m_date,($G$2+0),m_active,1,m_start,"&lt;"&amp;1440,m_end,"&gt;"&amp;1140)&gt;1,"충돌",HYPERLINK("#'관리자_MASTER'!D"&amp;_xlfn.MAXIFS(m_row,m_teacher,K$4,m_date,($G$2+0),m_active,1,m_start,"&lt;"&amp;1440,m_end,"&gt;"&amp;1140),INDEX(m_label,_xlfn.MAXIFS(m_row,m_teacher,K$4,m_date,($G$2+0),m_active,1,m_start,"&lt;"&amp;1440,m_end,"&gt;"&amp;1140))))))</f>
        <v/>
      </c>
      <c r="L15" s="84" t="str">
        <f aca="false">IF(OR(L$4="",MONTH(($G$2+0))&lt;&gt;MONTH($C$2)),"",IF(COUNTIFS(m_teacher,L$4,m_date,($G$2+0),m_active,1,m_start,"&lt;"&amp;1440,m_end,"&gt;"&amp;1140)=0,"",IF(COUNTIFS(m_teacher,L$4,m_date,($G$2+0),m_active,1,m_start,"&lt;"&amp;1440,m_end,"&gt;"&amp;1140)&gt;1,"충돌",HYPERLINK("#'관리자_MASTER'!D"&amp;_xlfn.MAXIFS(m_row,m_teacher,L$4,m_date,($G$2+0),m_active,1,m_start,"&lt;"&amp;1440,m_end,"&gt;"&amp;1140),INDEX(m_label,_xlfn.MAXIFS(m_row,m_teacher,L$4,m_date,($G$2+0),m_active,1,m_start,"&lt;"&amp;1440,m_end,"&gt;"&amp;1140))))))</f>
        <v/>
      </c>
      <c r="M15" s="84" t="str">
        <f aca="false">IF(OR(M$4="",MONTH(($G$2+0))&lt;&gt;MONTH($C$2)),"",IF(COUNTIFS(m_teacher,M$4,m_date,($G$2+0),m_active,1,m_start,"&lt;"&amp;1440,m_end,"&gt;"&amp;1140)=0,"",IF(COUNTIFS(m_teacher,M$4,m_date,($G$2+0),m_active,1,m_start,"&lt;"&amp;1440,m_end,"&gt;"&amp;1140)&gt;1,"충돌",HYPERLINK("#'관리자_MASTER'!D"&amp;_xlfn.MAXIFS(m_row,m_teacher,M$4,m_date,($G$2+0),m_active,1,m_start,"&lt;"&amp;1440,m_end,"&gt;"&amp;1140),INDEX(m_label,_xlfn.MAXIFS(m_row,m_teacher,M$4,m_date,($G$2+0),m_active,1,m_start,"&lt;"&amp;1440,m_end,"&gt;"&amp;1140))))))</f>
        <v/>
      </c>
      <c r="N15" s="84" t="str">
        <f aca="false">IF(OR(N$4="",MONTH(($G$2+0))&lt;&gt;MONTH($C$2)),"",IF(COUNTIFS(m_teacher,N$4,m_date,($G$2+0),m_active,1,m_start,"&lt;"&amp;1440,m_end,"&gt;"&amp;1140)=0,"",IF(COUNTIFS(m_teacher,N$4,m_date,($G$2+0),m_active,1,m_start,"&lt;"&amp;1440,m_end,"&gt;"&amp;1140)&gt;1,"충돌",HYPERLINK("#'관리자_MASTER'!D"&amp;_xlfn.MAXIFS(m_row,m_teacher,N$4,m_date,($G$2+0),m_active,1,m_start,"&lt;"&amp;1440,m_end,"&gt;"&amp;1140),INDEX(m_label,_xlfn.MAXIFS(m_row,m_teacher,N$4,m_date,($G$2+0),m_active,1,m_start,"&lt;"&amp;1440,m_end,"&gt;"&amp;1140))))))</f>
        <v/>
      </c>
      <c r="O15" s="78"/>
      <c r="P15" s="85" t="s">
        <v>101</v>
      </c>
      <c r="Q15" s="86" t="str">
        <f aca="false">IF(OR(Q$4="",MONTH(($G$2+7))&lt;&gt;MONTH($C$2)),"",IF(COUNTIFS(m_teacher,Q$4,m_date,($G$2+7),m_active,1,m_start,"&lt;"&amp;1440,m_end,"&gt;"&amp;1140)=0,"",IF(COUNTIFS(m_teacher,Q$4,m_date,($G$2+7),m_active,1,m_start,"&lt;"&amp;1440,m_end,"&gt;"&amp;1140)&gt;1,"충돌",HYPERLINK("#'관리자_MASTER'!D"&amp;_xlfn.MAXIFS(m_row,m_teacher,Q$4,m_date,($G$2+7),m_active,1,m_start,"&lt;"&amp;1440,m_end,"&gt;"&amp;1140),INDEX(m_label,_xlfn.MAXIFS(m_row,m_teacher,Q$4,m_date,($G$2+7),m_active,1,m_start,"&lt;"&amp;1440,m_end,"&gt;"&amp;1140))))))</f>
        <v/>
      </c>
      <c r="R15" s="86" t="str">
        <f aca="false">IF(OR(R$4="",MONTH(($G$2+7))&lt;&gt;MONTH($C$2)),"",IF(COUNTIFS(m_teacher,R$4,m_date,($G$2+7),m_active,1,m_start,"&lt;"&amp;1440,m_end,"&gt;"&amp;1140)=0,"",IF(COUNTIFS(m_teacher,R$4,m_date,($G$2+7),m_active,1,m_start,"&lt;"&amp;1440,m_end,"&gt;"&amp;1140)&gt;1,"충돌",HYPERLINK("#'관리자_MASTER'!D"&amp;_xlfn.MAXIFS(m_row,m_teacher,R$4,m_date,($G$2+7),m_active,1,m_start,"&lt;"&amp;1440,m_end,"&gt;"&amp;1140),INDEX(m_label,_xlfn.MAXIFS(m_row,m_teacher,R$4,m_date,($G$2+7),m_active,1,m_start,"&lt;"&amp;1440,m_end,"&gt;"&amp;1140))))))</f>
        <v/>
      </c>
      <c r="S15" s="86" t="str">
        <f aca="false">IF(OR(S$4="",MONTH(($G$2+7))&lt;&gt;MONTH($C$2)),"",IF(COUNTIFS(m_teacher,S$4,m_date,($G$2+7),m_active,1,m_start,"&lt;"&amp;1440,m_end,"&gt;"&amp;1140)=0,"",IF(COUNTIFS(m_teacher,S$4,m_date,($G$2+7),m_active,1,m_start,"&lt;"&amp;1440,m_end,"&gt;"&amp;1140)&gt;1,"충돌",HYPERLINK("#'관리자_MASTER'!D"&amp;_xlfn.MAXIFS(m_row,m_teacher,S$4,m_date,($G$2+7),m_active,1,m_start,"&lt;"&amp;1440,m_end,"&gt;"&amp;1140),INDEX(m_label,_xlfn.MAXIFS(m_row,m_teacher,S$4,m_date,($G$2+7),m_active,1,m_start,"&lt;"&amp;1440,m_end,"&gt;"&amp;1140))))))</f>
        <v/>
      </c>
      <c r="T15" s="86" t="str">
        <f aca="false">IF(OR(T$4="",MONTH(($G$2+7))&lt;&gt;MONTH($C$2)),"",IF(COUNTIFS(m_teacher,T$4,m_date,($G$2+7),m_active,1,m_start,"&lt;"&amp;1440,m_end,"&gt;"&amp;1140)=0,"",IF(COUNTIFS(m_teacher,T$4,m_date,($G$2+7),m_active,1,m_start,"&lt;"&amp;1440,m_end,"&gt;"&amp;1140)&gt;1,"충돌",HYPERLINK("#'관리자_MASTER'!D"&amp;_xlfn.MAXIFS(m_row,m_teacher,T$4,m_date,($G$2+7),m_active,1,m_start,"&lt;"&amp;1440,m_end,"&gt;"&amp;1140),INDEX(m_label,_xlfn.MAXIFS(m_row,m_teacher,T$4,m_date,($G$2+7),m_active,1,m_start,"&lt;"&amp;1440,m_end,"&gt;"&amp;1140))))))</f>
        <v/>
      </c>
      <c r="U15" s="86" t="str">
        <f aca="false">IF(OR(U$4="",MONTH(($G$2+7))&lt;&gt;MONTH($C$2)),"",IF(COUNTIFS(m_teacher,U$4,m_date,($G$2+7),m_active,1,m_start,"&lt;"&amp;1440,m_end,"&gt;"&amp;1140)=0,"",IF(COUNTIFS(m_teacher,U$4,m_date,($G$2+7),m_active,1,m_start,"&lt;"&amp;1440,m_end,"&gt;"&amp;1140)&gt;1,"충돌",HYPERLINK("#'관리자_MASTER'!D"&amp;_xlfn.MAXIFS(m_row,m_teacher,U$4,m_date,($G$2+7),m_active,1,m_start,"&lt;"&amp;1440,m_end,"&gt;"&amp;1140),INDEX(m_label,_xlfn.MAXIFS(m_row,m_teacher,U$4,m_date,($G$2+7),m_active,1,m_start,"&lt;"&amp;1440,m_end,"&gt;"&amp;1140))))))</f>
        <v/>
      </c>
      <c r="V15" s="86" t="str">
        <f aca="false">IF(OR(V$4="",MONTH(($G$2+7))&lt;&gt;MONTH($C$2)),"",IF(COUNTIFS(m_teacher,V$4,m_date,($G$2+7),m_active,1,m_start,"&lt;"&amp;1440,m_end,"&gt;"&amp;1140)=0,"",IF(COUNTIFS(m_teacher,V$4,m_date,($G$2+7),m_active,1,m_start,"&lt;"&amp;1440,m_end,"&gt;"&amp;1140)&gt;1,"충돌",HYPERLINK("#'관리자_MASTER'!D"&amp;_xlfn.MAXIFS(m_row,m_teacher,V$4,m_date,($G$2+7),m_active,1,m_start,"&lt;"&amp;1440,m_end,"&gt;"&amp;1140),INDEX(m_label,_xlfn.MAXIFS(m_row,m_teacher,V$4,m_date,($G$2+7),m_active,1,m_start,"&lt;"&amp;1440,m_end,"&gt;"&amp;1140))))))</f>
        <v/>
      </c>
      <c r="W15" s="86" t="str">
        <f aca="false">IF(OR(W$4="",MONTH(($G$2+7))&lt;&gt;MONTH($C$2)),"",IF(COUNTIFS(m_teacher,W$4,m_date,($G$2+7),m_active,1,m_start,"&lt;"&amp;1440,m_end,"&gt;"&amp;1140)=0,"",IF(COUNTIFS(m_teacher,W$4,m_date,($G$2+7),m_active,1,m_start,"&lt;"&amp;1440,m_end,"&gt;"&amp;1140)&gt;1,"충돌",HYPERLINK("#'관리자_MASTER'!D"&amp;_xlfn.MAXIFS(m_row,m_teacher,W$4,m_date,($G$2+7),m_active,1,m_start,"&lt;"&amp;1440,m_end,"&gt;"&amp;1140),INDEX(m_label,_xlfn.MAXIFS(m_row,m_teacher,W$4,m_date,($G$2+7),m_active,1,m_start,"&lt;"&amp;1440,m_end,"&gt;"&amp;1140))))))</f>
        <v/>
      </c>
      <c r="X15" s="86" t="str">
        <f aca="false">IF(OR(X$4="",MONTH(($G$2+7))&lt;&gt;MONTH($C$2)),"",IF(COUNTIFS(m_teacher,X$4,m_date,($G$2+7),m_active,1,m_start,"&lt;"&amp;1440,m_end,"&gt;"&amp;1140)=0,"",IF(COUNTIFS(m_teacher,X$4,m_date,($G$2+7),m_active,1,m_start,"&lt;"&amp;1440,m_end,"&gt;"&amp;1140)&gt;1,"충돌",HYPERLINK("#'관리자_MASTER'!D"&amp;_xlfn.MAXIFS(m_row,m_teacher,X$4,m_date,($G$2+7),m_active,1,m_start,"&lt;"&amp;1440,m_end,"&gt;"&amp;1140),INDEX(m_label,_xlfn.MAXIFS(m_row,m_teacher,X$4,m_date,($G$2+7),m_active,1,m_start,"&lt;"&amp;1440,m_end,"&gt;"&amp;1140))))))</f>
        <v/>
      </c>
      <c r="Y15" s="86" t="str">
        <f aca="false">IF(OR(Y$4="",MONTH(($G$2+7))&lt;&gt;MONTH($C$2)),"",IF(COUNTIFS(m_teacher,Y$4,m_date,($G$2+7),m_active,1,m_start,"&lt;"&amp;1440,m_end,"&gt;"&amp;1140)=0,"",IF(COUNTIFS(m_teacher,Y$4,m_date,($G$2+7),m_active,1,m_start,"&lt;"&amp;1440,m_end,"&gt;"&amp;1140)&gt;1,"충돌",HYPERLINK("#'관리자_MASTER'!D"&amp;_xlfn.MAXIFS(m_row,m_teacher,Y$4,m_date,($G$2+7),m_active,1,m_start,"&lt;"&amp;1440,m_end,"&gt;"&amp;1140),INDEX(m_label,_xlfn.MAXIFS(m_row,m_teacher,Y$4,m_date,($G$2+7),m_active,1,m_start,"&lt;"&amp;1440,m_end,"&gt;"&amp;1140))))))</f>
        <v/>
      </c>
      <c r="Z15" s="86" t="str">
        <f aca="false">IF(OR(Z$4="",MONTH(($G$2+7))&lt;&gt;MONTH($C$2)),"",IF(COUNTIFS(m_teacher,Z$4,m_date,($G$2+7),m_active,1,m_start,"&lt;"&amp;1440,m_end,"&gt;"&amp;1140)=0,"",IF(COUNTIFS(m_teacher,Z$4,m_date,($G$2+7),m_active,1,m_start,"&lt;"&amp;1440,m_end,"&gt;"&amp;1140)&gt;1,"충돌",HYPERLINK("#'관리자_MASTER'!D"&amp;_xlfn.MAXIFS(m_row,m_teacher,Z$4,m_date,($G$2+7),m_active,1,m_start,"&lt;"&amp;1440,m_end,"&gt;"&amp;1140),INDEX(m_label,_xlfn.MAXIFS(m_row,m_teacher,Z$4,m_date,($G$2+7),m_active,1,m_start,"&lt;"&amp;1440,m_end,"&gt;"&amp;1140))))))</f>
        <v/>
      </c>
      <c r="AA15" s="86" t="str">
        <f aca="false">IF(OR(AA$4="",MONTH(($G$2+7))&lt;&gt;MONTH($C$2)),"",IF(COUNTIFS(m_teacher,AA$4,m_date,($G$2+7),m_active,1,m_start,"&lt;"&amp;1440,m_end,"&gt;"&amp;1140)=0,"",IF(COUNTIFS(m_teacher,AA$4,m_date,($G$2+7),m_active,1,m_start,"&lt;"&amp;1440,m_end,"&gt;"&amp;1140)&gt;1,"충돌",HYPERLINK("#'관리자_MASTER'!D"&amp;_xlfn.MAXIFS(m_row,m_teacher,AA$4,m_date,($G$2+7),m_active,1,m_start,"&lt;"&amp;1440,m_end,"&gt;"&amp;1140),INDEX(m_label,_xlfn.MAXIFS(m_row,m_teacher,AA$4,m_date,($G$2+7),m_active,1,m_start,"&lt;"&amp;1440,m_end,"&gt;"&amp;1140))))))</f>
        <v/>
      </c>
      <c r="AB15" s="86" t="str">
        <f aca="false">IF(OR(AB$4="",MONTH(($G$2+7))&lt;&gt;MONTH($C$2)),"",IF(COUNTIFS(m_teacher,AB$4,m_date,($G$2+7),m_active,1,m_start,"&lt;"&amp;1440,m_end,"&gt;"&amp;1140)=0,"",IF(COUNTIFS(m_teacher,AB$4,m_date,($G$2+7),m_active,1,m_start,"&lt;"&amp;1440,m_end,"&gt;"&amp;1140)&gt;1,"충돌",HYPERLINK("#'관리자_MASTER'!D"&amp;_xlfn.MAXIFS(m_row,m_teacher,AB$4,m_date,($G$2+7),m_active,1,m_start,"&lt;"&amp;1440,m_end,"&gt;"&amp;1140),INDEX(m_label,_xlfn.MAXIFS(m_row,m_teacher,AB$4,m_date,($G$2+7),m_active,1,m_start,"&lt;"&amp;1440,m_end,"&gt;"&amp;1140))))))</f>
        <v/>
      </c>
      <c r="AC15" s="78"/>
      <c r="AD15" s="85" t="s">
        <v>101</v>
      </c>
      <c r="AE15" s="86" t="str">
        <f aca="false">IF(OR(AE$4="",MONTH(($G$2+14))&lt;&gt;MONTH($C$2)),"",IF(COUNTIFS(m_teacher,AE$4,m_date,($G$2+14),m_active,1,m_start,"&lt;"&amp;1440,m_end,"&gt;"&amp;1140)=0,"",IF(COUNTIFS(m_teacher,AE$4,m_date,($G$2+14),m_active,1,m_start,"&lt;"&amp;1440,m_end,"&gt;"&amp;1140)&gt;1,"충돌",HYPERLINK("#'관리자_MASTER'!D"&amp;_xlfn.MAXIFS(m_row,m_teacher,AE$4,m_date,($G$2+14),m_active,1,m_start,"&lt;"&amp;1440,m_end,"&gt;"&amp;1140),INDEX(m_label,_xlfn.MAXIFS(m_row,m_teacher,AE$4,m_date,($G$2+14),m_active,1,m_start,"&lt;"&amp;1440,m_end,"&gt;"&amp;1140))))))</f>
        <v/>
      </c>
      <c r="AF15" s="86" t="str">
        <f aca="false">IF(OR(AF$4="",MONTH(($G$2+14))&lt;&gt;MONTH($C$2)),"",IF(COUNTIFS(m_teacher,AF$4,m_date,($G$2+14),m_active,1,m_start,"&lt;"&amp;1440,m_end,"&gt;"&amp;1140)=0,"",IF(COUNTIFS(m_teacher,AF$4,m_date,($G$2+14),m_active,1,m_start,"&lt;"&amp;1440,m_end,"&gt;"&amp;1140)&gt;1,"충돌",HYPERLINK("#'관리자_MASTER'!D"&amp;_xlfn.MAXIFS(m_row,m_teacher,AF$4,m_date,($G$2+14),m_active,1,m_start,"&lt;"&amp;1440,m_end,"&gt;"&amp;1140),INDEX(m_label,_xlfn.MAXIFS(m_row,m_teacher,AF$4,m_date,($G$2+14),m_active,1,m_start,"&lt;"&amp;1440,m_end,"&gt;"&amp;1140))))))</f>
        <v/>
      </c>
      <c r="AG15" s="86" t="str">
        <f aca="false">IF(OR(AG$4="",MONTH(($G$2+14))&lt;&gt;MONTH($C$2)),"",IF(COUNTIFS(m_teacher,AG$4,m_date,($G$2+14),m_active,1,m_start,"&lt;"&amp;1440,m_end,"&gt;"&amp;1140)=0,"",IF(COUNTIFS(m_teacher,AG$4,m_date,($G$2+14),m_active,1,m_start,"&lt;"&amp;1440,m_end,"&gt;"&amp;1140)&gt;1,"충돌",HYPERLINK("#'관리자_MASTER'!D"&amp;_xlfn.MAXIFS(m_row,m_teacher,AG$4,m_date,($G$2+14),m_active,1,m_start,"&lt;"&amp;1440,m_end,"&gt;"&amp;1140),INDEX(m_label,_xlfn.MAXIFS(m_row,m_teacher,AG$4,m_date,($G$2+14),m_active,1,m_start,"&lt;"&amp;1440,m_end,"&gt;"&amp;1140))))))</f>
        <v/>
      </c>
      <c r="AH15" s="86" t="str">
        <f aca="false">IF(OR(AH$4="",MONTH(($G$2+14))&lt;&gt;MONTH($C$2)),"",IF(COUNTIFS(m_teacher,AH$4,m_date,($G$2+14),m_active,1,m_start,"&lt;"&amp;1440,m_end,"&gt;"&amp;1140)=0,"",IF(COUNTIFS(m_teacher,AH$4,m_date,($G$2+14),m_active,1,m_start,"&lt;"&amp;1440,m_end,"&gt;"&amp;1140)&gt;1,"충돌",HYPERLINK("#'관리자_MASTER'!D"&amp;_xlfn.MAXIFS(m_row,m_teacher,AH$4,m_date,($G$2+14),m_active,1,m_start,"&lt;"&amp;1440,m_end,"&gt;"&amp;1140),INDEX(m_label,_xlfn.MAXIFS(m_row,m_teacher,AH$4,m_date,($G$2+14),m_active,1,m_start,"&lt;"&amp;1440,m_end,"&gt;"&amp;1140))))))</f>
        <v/>
      </c>
      <c r="AI15" s="86" t="str">
        <f aca="false">IF(OR(AI$4="",MONTH(($G$2+14))&lt;&gt;MONTH($C$2)),"",IF(COUNTIFS(m_teacher,AI$4,m_date,($G$2+14),m_active,1,m_start,"&lt;"&amp;1440,m_end,"&gt;"&amp;1140)=0,"",IF(COUNTIFS(m_teacher,AI$4,m_date,($G$2+14),m_active,1,m_start,"&lt;"&amp;1440,m_end,"&gt;"&amp;1140)&gt;1,"충돌",HYPERLINK("#'관리자_MASTER'!D"&amp;_xlfn.MAXIFS(m_row,m_teacher,AI$4,m_date,($G$2+14),m_active,1,m_start,"&lt;"&amp;1440,m_end,"&gt;"&amp;1140),INDEX(m_label,_xlfn.MAXIFS(m_row,m_teacher,AI$4,m_date,($G$2+14),m_active,1,m_start,"&lt;"&amp;1440,m_end,"&gt;"&amp;1140))))))</f>
        <v/>
      </c>
      <c r="AJ15" s="86" t="str">
        <f aca="false">IF(OR(AJ$4="",MONTH(($G$2+14))&lt;&gt;MONTH($C$2)),"",IF(COUNTIFS(m_teacher,AJ$4,m_date,($G$2+14),m_active,1,m_start,"&lt;"&amp;1440,m_end,"&gt;"&amp;1140)=0,"",IF(COUNTIFS(m_teacher,AJ$4,m_date,($G$2+14),m_active,1,m_start,"&lt;"&amp;1440,m_end,"&gt;"&amp;1140)&gt;1,"충돌",HYPERLINK("#'관리자_MASTER'!D"&amp;_xlfn.MAXIFS(m_row,m_teacher,AJ$4,m_date,($G$2+14),m_active,1,m_start,"&lt;"&amp;1440,m_end,"&gt;"&amp;1140),INDEX(m_label,_xlfn.MAXIFS(m_row,m_teacher,AJ$4,m_date,($G$2+14),m_active,1,m_start,"&lt;"&amp;1440,m_end,"&gt;"&amp;1140))))))</f>
        <v/>
      </c>
      <c r="AK15" s="86" t="str">
        <f aca="false">IF(OR(AK$4="",MONTH(($G$2+14))&lt;&gt;MONTH($C$2)),"",IF(COUNTIFS(m_teacher,AK$4,m_date,($G$2+14),m_active,1,m_start,"&lt;"&amp;1440,m_end,"&gt;"&amp;1140)=0,"",IF(COUNTIFS(m_teacher,AK$4,m_date,($G$2+14),m_active,1,m_start,"&lt;"&amp;1440,m_end,"&gt;"&amp;1140)&gt;1,"충돌",HYPERLINK("#'관리자_MASTER'!D"&amp;_xlfn.MAXIFS(m_row,m_teacher,AK$4,m_date,($G$2+14),m_active,1,m_start,"&lt;"&amp;1440,m_end,"&gt;"&amp;1140),INDEX(m_label,_xlfn.MAXIFS(m_row,m_teacher,AK$4,m_date,($G$2+14),m_active,1,m_start,"&lt;"&amp;1440,m_end,"&gt;"&amp;1140))))))</f>
        <v/>
      </c>
      <c r="AL15" s="86" t="str">
        <f aca="false">IF(OR(AL$4="",MONTH(($G$2+14))&lt;&gt;MONTH($C$2)),"",IF(COUNTIFS(m_teacher,AL$4,m_date,($G$2+14),m_active,1,m_start,"&lt;"&amp;1440,m_end,"&gt;"&amp;1140)=0,"",IF(COUNTIFS(m_teacher,AL$4,m_date,($G$2+14),m_active,1,m_start,"&lt;"&amp;1440,m_end,"&gt;"&amp;1140)&gt;1,"충돌",HYPERLINK("#'관리자_MASTER'!D"&amp;_xlfn.MAXIFS(m_row,m_teacher,AL$4,m_date,($G$2+14),m_active,1,m_start,"&lt;"&amp;1440,m_end,"&gt;"&amp;1140),INDEX(m_label,_xlfn.MAXIFS(m_row,m_teacher,AL$4,m_date,($G$2+14),m_active,1,m_start,"&lt;"&amp;1440,m_end,"&gt;"&amp;1140))))))</f>
        <v/>
      </c>
      <c r="AM15" s="86" t="str">
        <f aca="false">IF(OR(AM$4="",MONTH(($G$2+14))&lt;&gt;MONTH($C$2)),"",IF(COUNTIFS(m_teacher,AM$4,m_date,($G$2+14),m_active,1,m_start,"&lt;"&amp;1440,m_end,"&gt;"&amp;1140)=0,"",IF(COUNTIFS(m_teacher,AM$4,m_date,($G$2+14),m_active,1,m_start,"&lt;"&amp;1440,m_end,"&gt;"&amp;1140)&gt;1,"충돌",HYPERLINK("#'관리자_MASTER'!D"&amp;_xlfn.MAXIFS(m_row,m_teacher,AM$4,m_date,($G$2+14),m_active,1,m_start,"&lt;"&amp;1440,m_end,"&gt;"&amp;1140),INDEX(m_label,_xlfn.MAXIFS(m_row,m_teacher,AM$4,m_date,($G$2+14),m_active,1,m_start,"&lt;"&amp;1440,m_end,"&gt;"&amp;1140))))))</f>
        <v/>
      </c>
      <c r="AN15" s="86" t="str">
        <f aca="false">IF(OR(AN$4="",MONTH(($G$2+14))&lt;&gt;MONTH($C$2)),"",IF(COUNTIFS(m_teacher,AN$4,m_date,($G$2+14),m_active,1,m_start,"&lt;"&amp;1440,m_end,"&gt;"&amp;1140)=0,"",IF(COUNTIFS(m_teacher,AN$4,m_date,($G$2+14),m_active,1,m_start,"&lt;"&amp;1440,m_end,"&gt;"&amp;1140)&gt;1,"충돌",HYPERLINK("#'관리자_MASTER'!D"&amp;_xlfn.MAXIFS(m_row,m_teacher,AN$4,m_date,($G$2+14),m_active,1,m_start,"&lt;"&amp;1440,m_end,"&gt;"&amp;1140),INDEX(m_label,_xlfn.MAXIFS(m_row,m_teacher,AN$4,m_date,($G$2+14),m_active,1,m_start,"&lt;"&amp;1440,m_end,"&gt;"&amp;1140))))))</f>
        <v/>
      </c>
      <c r="AO15" s="86" t="str">
        <f aca="false">IF(OR(AO$4="",MONTH(($G$2+14))&lt;&gt;MONTH($C$2)),"",IF(COUNTIFS(m_teacher,AO$4,m_date,($G$2+14),m_active,1,m_start,"&lt;"&amp;1440,m_end,"&gt;"&amp;1140)=0,"",IF(COUNTIFS(m_teacher,AO$4,m_date,($G$2+14),m_active,1,m_start,"&lt;"&amp;1440,m_end,"&gt;"&amp;1140)&gt;1,"충돌",HYPERLINK("#'관리자_MASTER'!D"&amp;_xlfn.MAXIFS(m_row,m_teacher,AO$4,m_date,($G$2+14),m_active,1,m_start,"&lt;"&amp;1440,m_end,"&gt;"&amp;1140),INDEX(m_label,_xlfn.MAXIFS(m_row,m_teacher,AO$4,m_date,($G$2+14),m_active,1,m_start,"&lt;"&amp;1440,m_end,"&gt;"&amp;1140))))))</f>
        <v/>
      </c>
      <c r="AP15" s="86" t="str">
        <f aca="false">IF(OR(AP$4="",MONTH(($G$2+14))&lt;&gt;MONTH($C$2)),"",IF(COUNTIFS(m_teacher,AP$4,m_date,($G$2+14),m_active,1,m_start,"&lt;"&amp;1440,m_end,"&gt;"&amp;1140)=0,"",IF(COUNTIFS(m_teacher,AP$4,m_date,($G$2+14),m_active,1,m_start,"&lt;"&amp;1440,m_end,"&gt;"&amp;1140)&gt;1,"충돌",HYPERLINK("#'관리자_MASTER'!D"&amp;_xlfn.MAXIFS(m_row,m_teacher,AP$4,m_date,($G$2+14),m_active,1,m_start,"&lt;"&amp;1440,m_end,"&gt;"&amp;1140),INDEX(m_label,_xlfn.MAXIFS(m_row,m_teacher,AP$4,m_date,($G$2+14),m_active,1,m_start,"&lt;"&amp;1440,m_end,"&gt;"&amp;1140))))))</f>
        <v/>
      </c>
      <c r="AQ15" s="78"/>
      <c r="AR15" s="85" t="s">
        <v>101</v>
      </c>
      <c r="AS15" s="86" t="str">
        <f aca="false">IF(OR(AS$4="",MONTH(($G$2+21))&lt;&gt;MONTH($C$2)),"",IF(COUNTIFS(m_teacher,AS$4,m_date,($G$2+21),m_active,1,m_start,"&lt;"&amp;1440,m_end,"&gt;"&amp;1140)=0,"",IF(COUNTIFS(m_teacher,AS$4,m_date,($G$2+21),m_active,1,m_start,"&lt;"&amp;1440,m_end,"&gt;"&amp;1140)&gt;1,"충돌",HYPERLINK("#'관리자_MASTER'!D"&amp;_xlfn.MAXIFS(m_row,m_teacher,AS$4,m_date,($G$2+21),m_active,1,m_start,"&lt;"&amp;1440,m_end,"&gt;"&amp;1140),INDEX(m_label,_xlfn.MAXIFS(m_row,m_teacher,AS$4,m_date,($G$2+21),m_active,1,m_start,"&lt;"&amp;1440,m_end,"&gt;"&amp;1140))))))</f>
        <v/>
      </c>
      <c r="AT15" s="86" t="str">
        <f aca="false">IF(OR(AT$4="",MONTH(($G$2+21))&lt;&gt;MONTH($C$2)),"",IF(COUNTIFS(m_teacher,AT$4,m_date,($G$2+21),m_active,1,m_start,"&lt;"&amp;1440,m_end,"&gt;"&amp;1140)=0,"",IF(COUNTIFS(m_teacher,AT$4,m_date,($G$2+21),m_active,1,m_start,"&lt;"&amp;1440,m_end,"&gt;"&amp;1140)&gt;1,"충돌",HYPERLINK("#'관리자_MASTER'!D"&amp;_xlfn.MAXIFS(m_row,m_teacher,AT$4,m_date,($G$2+21),m_active,1,m_start,"&lt;"&amp;1440,m_end,"&gt;"&amp;1140),INDEX(m_label,_xlfn.MAXIFS(m_row,m_teacher,AT$4,m_date,($G$2+21),m_active,1,m_start,"&lt;"&amp;1440,m_end,"&gt;"&amp;1140))))))</f>
        <v/>
      </c>
      <c r="AU15" s="86" t="str">
        <f aca="false">IF(OR(AU$4="",MONTH(($G$2+21))&lt;&gt;MONTH($C$2)),"",IF(COUNTIFS(m_teacher,AU$4,m_date,($G$2+21),m_active,1,m_start,"&lt;"&amp;1440,m_end,"&gt;"&amp;1140)=0,"",IF(COUNTIFS(m_teacher,AU$4,m_date,($G$2+21),m_active,1,m_start,"&lt;"&amp;1440,m_end,"&gt;"&amp;1140)&gt;1,"충돌",HYPERLINK("#'관리자_MASTER'!D"&amp;_xlfn.MAXIFS(m_row,m_teacher,AU$4,m_date,($G$2+21),m_active,1,m_start,"&lt;"&amp;1440,m_end,"&gt;"&amp;1140),INDEX(m_label,_xlfn.MAXIFS(m_row,m_teacher,AU$4,m_date,($G$2+21),m_active,1,m_start,"&lt;"&amp;1440,m_end,"&gt;"&amp;1140))))))</f>
        <v/>
      </c>
      <c r="AV15" s="86" t="str">
        <f aca="false">IF(OR(AV$4="",MONTH(($G$2+21))&lt;&gt;MONTH($C$2)),"",IF(COUNTIFS(m_teacher,AV$4,m_date,($G$2+21),m_active,1,m_start,"&lt;"&amp;1440,m_end,"&gt;"&amp;1140)=0,"",IF(COUNTIFS(m_teacher,AV$4,m_date,($G$2+21),m_active,1,m_start,"&lt;"&amp;1440,m_end,"&gt;"&amp;1140)&gt;1,"충돌",HYPERLINK("#'관리자_MASTER'!D"&amp;_xlfn.MAXIFS(m_row,m_teacher,AV$4,m_date,($G$2+21),m_active,1,m_start,"&lt;"&amp;1440,m_end,"&gt;"&amp;1140),INDEX(m_label,_xlfn.MAXIFS(m_row,m_teacher,AV$4,m_date,($G$2+21),m_active,1,m_start,"&lt;"&amp;1440,m_end,"&gt;"&amp;1140))))))</f>
        <v/>
      </c>
      <c r="AW15" s="86" t="str">
        <f aca="false">IF(OR(AW$4="",MONTH(($G$2+21))&lt;&gt;MONTH($C$2)),"",IF(COUNTIFS(m_teacher,AW$4,m_date,($G$2+21),m_active,1,m_start,"&lt;"&amp;1440,m_end,"&gt;"&amp;1140)=0,"",IF(COUNTIFS(m_teacher,AW$4,m_date,($G$2+21),m_active,1,m_start,"&lt;"&amp;1440,m_end,"&gt;"&amp;1140)&gt;1,"충돌",HYPERLINK("#'관리자_MASTER'!D"&amp;_xlfn.MAXIFS(m_row,m_teacher,AW$4,m_date,($G$2+21),m_active,1,m_start,"&lt;"&amp;1440,m_end,"&gt;"&amp;1140),INDEX(m_label,_xlfn.MAXIFS(m_row,m_teacher,AW$4,m_date,($G$2+21),m_active,1,m_start,"&lt;"&amp;1440,m_end,"&gt;"&amp;1140))))))</f>
        <v/>
      </c>
      <c r="AX15" s="86" t="str">
        <f aca="false">IF(OR(AX$4="",MONTH(($G$2+21))&lt;&gt;MONTH($C$2)),"",IF(COUNTIFS(m_teacher,AX$4,m_date,($G$2+21),m_active,1,m_start,"&lt;"&amp;1440,m_end,"&gt;"&amp;1140)=0,"",IF(COUNTIFS(m_teacher,AX$4,m_date,($G$2+21),m_active,1,m_start,"&lt;"&amp;1440,m_end,"&gt;"&amp;1140)&gt;1,"충돌",HYPERLINK("#'관리자_MASTER'!D"&amp;_xlfn.MAXIFS(m_row,m_teacher,AX$4,m_date,($G$2+21),m_active,1,m_start,"&lt;"&amp;1440,m_end,"&gt;"&amp;1140),INDEX(m_label,_xlfn.MAXIFS(m_row,m_teacher,AX$4,m_date,($G$2+21),m_active,1,m_start,"&lt;"&amp;1440,m_end,"&gt;"&amp;1140))))))</f>
        <v/>
      </c>
      <c r="AY15" s="86" t="str">
        <f aca="false">IF(OR(AY$4="",MONTH(($G$2+21))&lt;&gt;MONTH($C$2)),"",IF(COUNTIFS(m_teacher,AY$4,m_date,($G$2+21),m_active,1,m_start,"&lt;"&amp;1440,m_end,"&gt;"&amp;1140)=0,"",IF(COUNTIFS(m_teacher,AY$4,m_date,($G$2+21),m_active,1,m_start,"&lt;"&amp;1440,m_end,"&gt;"&amp;1140)&gt;1,"충돌",HYPERLINK("#'관리자_MASTER'!D"&amp;_xlfn.MAXIFS(m_row,m_teacher,AY$4,m_date,($G$2+21),m_active,1,m_start,"&lt;"&amp;1440,m_end,"&gt;"&amp;1140),INDEX(m_label,_xlfn.MAXIFS(m_row,m_teacher,AY$4,m_date,($G$2+21),m_active,1,m_start,"&lt;"&amp;1440,m_end,"&gt;"&amp;1140))))))</f>
        <v/>
      </c>
      <c r="AZ15" s="86" t="str">
        <f aca="false">IF(OR(AZ$4="",MONTH(($G$2+21))&lt;&gt;MONTH($C$2)),"",IF(COUNTIFS(m_teacher,AZ$4,m_date,($G$2+21),m_active,1,m_start,"&lt;"&amp;1440,m_end,"&gt;"&amp;1140)=0,"",IF(COUNTIFS(m_teacher,AZ$4,m_date,($G$2+21),m_active,1,m_start,"&lt;"&amp;1440,m_end,"&gt;"&amp;1140)&gt;1,"충돌",HYPERLINK("#'관리자_MASTER'!D"&amp;_xlfn.MAXIFS(m_row,m_teacher,AZ$4,m_date,($G$2+21),m_active,1,m_start,"&lt;"&amp;1440,m_end,"&gt;"&amp;1140),INDEX(m_label,_xlfn.MAXIFS(m_row,m_teacher,AZ$4,m_date,($G$2+21),m_active,1,m_start,"&lt;"&amp;1440,m_end,"&gt;"&amp;1140))))))</f>
        <v/>
      </c>
      <c r="BA15" s="86" t="str">
        <f aca="false">IF(OR(BA$4="",MONTH(($G$2+21))&lt;&gt;MONTH($C$2)),"",IF(COUNTIFS(m_teacher,BA$4,m_date,($G$2+21),m_active,1,m_start,"&lt;"&amp;1440,m_end,"&gt;"&amp;1140)=0,"",IF(COUNTIFS(m_teacher,BA$4,m_date,($G$2+21),m_active,1,m_start,"&lt;"&amp;1440,m_end,"&gt;"&amp;1140)&gt;1,"충돌",HYPERLINK("#'관리자_MASTER'!D"&amp;_xlfn.MAXIFS(m_row,m_teacher,BA$4,m_date,($G$2+21),m_active,1,m_start,"&lt;"&amp;1440,m_end,"&gt;"&amp;1140),INDEX(m_label,_xlfn.MAXIFS(m_row,m_teacher,BA$4,m_date,($G$2+21),m_active,1,m_start,"&lt;"&amp;1440,m_end,"&gt;"&amp;1140))))))</f>
        <v/>
      </c>
      <c r="BB15" s="86" t="str">
        <f aca="false">IF(OR(BB$4="",MONTH(($G$2+21))&lt;&gt;MONTH($C$2)),"",IF(COUNTIFS(m_teacher,BB$4,m_date,($G$2+21),m_active,1,m_start,"&lt;"&amp;1440,m_end,"&gt;"&amp;1140)=0,"",IF(COUNTIFS(m_teacher,BB$4,m_date,($G$2+21),m_active,1,m_start,"&lt;"&amp;1440,m_end,"&gt;"&amp;1140)&gt;1,"충돌",HYPERLINK("#'관리자_MASTER'!D"&amp;_xlfn.MAXIFS(m_row,m_teacher,BB$4,m_date,($G$2+21),m_active,1,m_start,"&lt;"&amp;1440,m_end,"&gt;"&amp;1140),INDEX(m_label,_xlfn.MAXIFS(m_row,m_teacher,BB$4,m_date,($G$2+21),m_active,1,m_start,"&lt;"&amp;1440,m_end,"&gt;"&amp;1140))))))</f>
        <v/>
      </c>
      <c r="BC15" s="86" t="str">
        <f aca="false">IF(OR(BC$4="",MONTH(($G$2+21))&lt;&gt;MONTH($C$2)),"",IF(COUNTIFS(m_teacher,BC$4,m_date,($G$2+21),m_active,1,m_start,"&lt;"&amp;1440,m_end,"&gt;"&amp;1140)=0,"",IF(COUNTIFS(m_teacher,BC$4,m_date,($G$2+21),m_active,1,m_start,"&lt;"&amp;1440,m_end,"&gt;"&amp;1140)&gt;1,"충돌",HYPERLINK("#'관리자_MASTER'!D"&amp;_xlfn.MAXIFS(m_row,m_teacher,BC$4,m_date,($G$2+21),m_active,1,m_start,"&lt;"&amp;1440,m_end,"&gt;"&amp;1140),INDEX(m_label,_xlfn.MAXIFS(m_row,m_teacher,BC$4,m_date,($G$2+21),m_active,1,m_start,"&lt;"&amp;1440,m_end,"&gt;"&amp;1140))))))</f>
        <v/>
      </c>
      <c r="BD15" s="86" t="str">
        <f aca="false">IF(OR(BD$4="",MONTH(($G$2+21))&lt;&gt;MONTH($C$2)),"",IF(COUNTIFS(m_teacher,BD$4,m_date,($G$2+21),m_active,1,m_start,"&lt;"&amp;1440,m_end,"&gt;"&amp;1140)=0,"",IF(COUNTIFS(m_teacher,BD$4,m_date,($G$2+21),m_active,1,m_start,"&lt;"&amp;1440,m_end,"&gt;"&amp;1140)&gt;1,"충돌",HYPERLINK("#'관리자_MASTER'!D"&amp;_xlfn.MAXIFS(m_row,m_teacher,BD$4,m_date,($G$2+21),m_active,1,m_start,"&lt;"&amp;1440,m_end,"&gt;"&amp;1140),INDEX(m_label,_xlfn.MAXIFS(m_row,m_teacher,BD$4,m_date,($G$2+21),m_active,1,m_start,"&lt;"&amp;1440,m_end,"&gt;"&amp;1140))))))</f>
        <v/>
      </c>
      <c r="BE15" s="78"/>
      <c r="BF15" s="85" t="s">
        <v>101</v>
      </c>
      <c r="BG15" s="86" t="str">
        <f aca="false">IF(OR(BG$4="",MONTH(($G$2+28))&lt;&gt;MONTH($C$2)),"",IF(COUNTIFS(m_teacher,BG$4,m_date,($G$2+28),m_active,1,m_start,"&lt;"&amp;1440,m_end,"&gt;"&amp;1140)=0,"",IF(COUNTIFS(m_teacher,BG$4,m_date,($G$2+28),m_active,1,m_start,"&lt;"&amp;1440,m_end,"&gt;"&amp;1140)&gt;1,"충돌",HYPERLINK("#'관리자_MASTER'!D"&amp;_xlfn.MAXIFS(m_row,m_teacher,BG$4,m_date,($G$2+28),m_active,1,m_start,"&lt;"&amp;1440,m_end,"&gt;"&amp;1140),INDEX(m_label,_xlfn.MAXIFS(m_row,m_teacher,BG$4,m_date,($G$2+28),m_active,1,m_start,"&lt;"&amp;1440,m_end,"&gt;"&amp;1140))))))</f>
        <v/>
      </c>
      <c r="BH15" s="86" t="str">
        <f aca="false">IF(OR(BH$4="",MONTH(($G$2+28))&lt;&gt;MONTH($C$2)),"",IF(COUNTIFS(m_teacher,BH$4,m_date,($G$2+28),m_active,1,m_start,"&lt;"&amp;1440,m_end,"&gt;"&amp;1140)=0,"",IF(COUNTIFS(m_teacher,BH$4,m_date,($G$2+28),m_active,1,m_start,"&lt;"&amp;1440,m_end,"&gt;"&amp;1140)&gt;1,"충돌",HYPERLINK("#'관리자_MASTER'!D"&amp;_xlfn.MAXIFS(m_row,m_teacher,BH$4,m_date,($G$2+28),m_active,1,m_start,"&lt;"&amp;1440,m_end,"&gt;"&amp;1140),INDEX(m_label,_xlfn.MAXIFS(m_row,m_teacher,BH$4,m_date,($G$2+28),m_active,1,m_start,"&lt;"&amp;1440,m_end,"&gt;"&amp;1140))))))</f>
        <v/>
      </c>
      <c r="BI15" s="86" t="str">
        <f aca="false">IF(OR(BI$4="",MONTH(($G$2+28))&lt;&gt;MONTH($C$2)),"",IF(COUNTIFS(m_teacher,BI$4,m_date,($G$2+28),m_active,1,m_start,"&lt;"&amp;1440,m_end,"&gt;"&amp;1140)=0,"",IF(COUNTIFS(m_teacher,BI$4,m_date,($G$2+28),m_active,1,m_start,"&lt;"&amp;1440,m_end,"&gt;"&amp;1140)&gt;1,"충돌",HYPERLINK("#'관리자_MASTER'!D"&amp;_xlfn.MAXIFS(m_row,m_teacher,BI$4,m_date,($G$2+28),m_active,1,m_start,"&lt;"&amp;1440,m_end,"&gt;"&amp;1140),INDEX(m_label,_xlfn.MAXIFS(m_row,m_teacher,BI$4,m_date,($G$2+28),m_active,1,m_start,"&lt;"&amp;1440,m_end,"&gt;"&amp;1140))))))</f>
        <v/>
      </c>
      <c r="BJ15" s="86" t="str">
        <f aca="false">IF(OR(BJ$4="",MONTH(($G$2+28))&lt;&gt;MONTH($C$2)),"",IF(COUNTIFS(m_teacher,BJ$4,m_date,($G$2+28),m_active,1,m_start,"&lt;"&amp;1440,m_end,"&gt;"&amp;1140)=0,"",IF(COUNTIFS(m_teacher,BJ$4,m_date,($G$2+28),m_active,1,m_start,"&lt;"&amp;1440,m_end,"&gt;"&amp;1140)&gt;1,"충돌",HYPERLINK("#'관리자_MASTER'!D"&amp;_xlfn.MAXIFS(m_row,m_teacher,BJ$4,m_date,($G$2+28),m_active,1,m_start,"&lt;"&amp;1440,m_end,"&gt;"&amp;1140),INDEX(m_label,_xlfn.MAXIFS(m_row,m_teacher,BJ$4,m_date,($G$2+28),m_active,1,m_start,"&lt;"&amp;1440,m_end,"&gt;"&amp;1140))))))</f>
        <v/>
      </c>
      <c r="BK15" s="86" t="str">
        <f aca="false">IF(OR(BK$4="",MONTH(($G$2+28))&lt;&gt;MONTH($C$2)),"",IF(COUNTIFS(m_teacher,BK$4,m_date,($G$2+28),m_active,1,m_start,"&lt;"&amp;1440,m_end,"&gt;"&amp;1140)=0,"",IF(COUNTIFS(m_teacher,BK$4,m_date,($G$2+28),m_active,1,m_start,"&lt;"&amp;1440,m_end,"&gt;"&amp;1140)&gt;1,"충돌",HYPERLINK("#'관리자_MASTER'!D"&amp;_xlfn.MAXIFS(m_row,m_teacher,BK$4,m_date,($G$2+28),m_active,1,m_start,"&lt;"&amp;1440,m_end,"&gt;"&amp;1140),INDEX(m_label,_xlfn.MAXIFS(m_row,m_teacher,BK$4,m_date,($G$2+28),m_active,1,m_start,"&lt;"&amp;1440,m_end,"&gt;"&amp;1140))))))</f>
        <v/>
      </c>
      <c r="BL15" s="86" t="str">
        <f aca="false">IF(OR(BL$4="",MONTH(($G$2+28))&lt;&gt;MONTH($C$2)),"",IF(COUNTIFS(m_teacher,BL$4,m_date,($G$2+28),m_active,1,m_start,"&lt;"&amp;1440,m_end,"&gt;"&amp;1140)=0,"",IF(COUNTIFS(m_teacher,BL$4,m_date,($G$2+28),m_active,1,m_start,"&lt;"&amp;1440,m_end,"&gt;"&amp;1140)&gt;1,"충돌",HYPERLINK("#'관리자_MASTER'!D"&amp;_xlfn.MAXIFS(m_row,m_teacher,BL$4,m_date,($G$2+28),m_active,1,m_start,"&lt;"&amp;1440,m_end,"&gt;"&amp;1140),INDEX(m_label,_xlfn.MAXIFS(m_row,m_teacher,BL$4,m_date,($G$2+28),m_active,1,m_start,"&lt;"&amp;1440,m_end,"&gt;"&amp;1140))))))</f>
        <v/>
      </c>
      <c r="BM15" s="86" t="str">
        <f aca="false">IF(OR(BM$4="",MONTH(($G$2+28))&lt;&gt;MONTH($C$2)),"",IF(COUNTIFS(m_teacher,BM$4,m_date,($G$2+28),m_active,1,m_start,"&lt;"&amp;1440,m_end,"&gt;"&amp;1140)=0,"",IF(COUNTIFS(m_teacher,BM$4,m_date,($G$2+28),m_active,1,m_start,"&lt;"&amp;1440,m_end,"&gt;"&amp;1140)&gt;1,"충돌",HYPERLINK("#'관리자_MASTER'!D"&amp;_xlfn.MAXIFS(m_row,m_teacher,BM$4,m_date,($G$2+28),m_active,1,m_start,"&lt;"&amp;1440,m_end,"&gt;"&amp;1140),INDEX(m_label,_xlfn.MAXIFS(m_row,m_teacher,BM$4,m_date,($G$2+28),m_active,1,m_start,"&lt;"&amp;1440,m_end,"&gt;"&amp;1140))))))</f>
        <v/>
      </c>
      <c r="BN15" s="86" t="str">
        <f aca="false">IF(OR(BN$4="",MONTH(($G$2+28))&lt;&gt;MONTH($C$2)),"",IF(COUNTIFS(m_teacher,BN$4,m_date,($G$2+28),m_active,1,m_start,"&lt;"&amp;1440,m_end,"&gt;"&amp;1140)=0,"",IF(COUNTIFS(m_teacher,BN$4,m_date,($G$2+28),m_active,1,m_start,"&lt;"&amp;1440,m_end,"&gt;"&amp;1140)&gt;1,"충돌",HYPERLINK("#'관리자_MASTER'!D"&amp;_xlfn.MAXIFS(m_row,m_teacher,BN$4,m_date,($G$2+28),m_active,1,m_start,"&lt;"&amp;1440,m_end,"&gt;"&amp;1140),INDEX(m_label,_xlfn.MAXIFS(m_row,m_teacher,BN$4,m_date,($G$2+28),m_active,1,m_start,"&lt;"&amp;1440,m_end,"&gt;"&amp;1140))))))</f>
        <v/>
      </c>
      <c r="BO15" s="86" t="str">
        <f aca="false">IF(OR(BO$4="",MONTH(($G$2+28))&lt;&gt;MONTH($C$2)),"",IF(COUNTIFS(m_teacher,BO$4,m_date,($G$2+28),m_active,1,m_start,"&lt;"&amp;1440,m_end,"&gt;"&amp;1140)=0,"",IF(COUNTIFS(m_teacher,BO$4,m_date,($G$2+28),m_active,1,m_start,"&lt;"&amp;1440,m_end,"&gt;"&amp;1140)&gt;1,"충돌",HYPERLINK("#'관리자_MASTER'!D"&amp;_xlfn.MAXIFS(m_row,m_teacher,BO$4,m_date,($G$2+28),m_active,1,m_start,"&lt;"&amp;1440,m_end,"&gt;"&amp;1140),INDEX(m_label,_xlfn.MAXIFS(m_row,m_teacher,BO$4,m_date,($G$2+28),m_active,1,m_start,"&lt;"&amp;1440,m_end,"&gt;"&amp;1140))))))</f>
        <v/>
      </c>
      <c r="BP15" s="86" t="str">
        <f aca="false">IF(OR(BP$4="",MONTH(($G$2+28))&lt;&gt;MONTH($C$2)),"",IF(COUNTIFS(m_teacher,BP$4,m_date,($G$2+28),m_active,1,m_start,"&lt;"&amp;1440,m_end,"&gt;"&amp;1140)=0,"",IF(COUNTIFS(m_teacher,BP$4,m_date,($G$2+28),m_active,1,m_start,"&lt;"&amp;1440,m_end,"&gt;"&amp;1140)&gt;1,"충돌",HYPERLINK("#'관리자_MASTER'!D"&amp;_xlfn.MAXIFS(m_row,m_teacher,BP$4,m_date,($G$2+28),m_active,1,m_start,"&lt;"&amp;1440,m_end,"&gt;"&amp;1140),INDEX(m_label,_xlfn.MAXIFS(m_row,m_teacher,BP$4,m_date,($G$2+28),m_active,1,m_start,"&lt;"&amp;1440,m_end,"&gt;"&amp;1140))))))</f>
        <v/>
      </c>
      <c r="BQ15" s="86" t="str">
        <f aca="false">IF(OR(BQ$4="",MONTH(($G$2+28))&lt;&gt;MONTH($C$2)),"",IF(COUNTIFS(m_teacher,BQ$4,m_date,($G$2+28),m_active,1,m_start,"&lt;"&amp;1440,m_end,"&gt;"&amp;1140)=0,"",IF(COUNTIFS(m_teacher,BQ$4,m_date,($G$2+28),m_active,1,m_start,"&lt;"&amp;1440,m_end,"&gt;"&amp;1140)&gt;1,"충돌",HYPERLINK("#'관리자_MASTER'!D"&amp;_xlfn.MAXIFS(m_row,m_teacher,BQ$4,m_date,($G$2+28),m_active,1,m_start,"&lt;"&amp;1440,m_end,"&gt;"&amp;1140),INDEX(m_label,_xlfn.MAXIFS(m_row,m_teacher,BQ$4,m_date,($G$2+28),m_active,1,m_start,"&lt;"&amp;1440,m_end,"&gt;"&amp;1140))))))</f>
        <v/>
      </c>
      <c r="BR15" s="86" t="str">
        <f aca="false">IF(OR(BR$4="",MONTH(($G$2+28))&lt;&gt;MONTH($C$2)),"",IF(COUNTIFS(m_teacher,BR$4,m_date,($G$2+28),m_active,1,m_start,"&lt;"&amp;1440,m_end,"&gt;"&amp;1140)=0,"",IF(COUNTIFS(m_teacher,BR$4,m_date,($G$2+28),m_active,1,m_start,"&lt;"&amp;1440,m_end,"&gt;"&amp;1140)&gt;1,"충돌",HYPERLINK("#'관리자_MASTER'!D"&amp;_xlfn.MAXIFS(m_row,m_teacher,BR$4,m_date,($G$2+28),m_active,1,m_start,"&lt;"&amp;1440,m_end,"&gt;"&amp;1140),INDEX(m_label,_xlfn.MAXIFS(m_row,m_teacher,BR$4,m_date,($G$2+28),m_active,1,m_start,"&lt;"&amp;1440,m_end,"&gt;"&amp;1140))))))</f>
        <v/>
      </c>
    </row>
    <row r="16" customFormat="false" ht="19.5" hidden="false" customHeight="true" outlineLevel="0" collapsed="false">
      <c r="A16" s="78" t="str">
        <f aca="false">IF(MONTH(($G$2+1))&lt;&gt;MONTH($C$2),"",CHOOSE(WEEKDAY(($G$2+1),2),"월","화","수","목","금","토","일")&amp;CHAR(10)&amp;TEXT(($G$2+1),"m/d"))</f>
        <v>화
12/1</v>
      </c>
      <c r="B16" s="79" t="s">
        <v>91</v>
      </c>
      <c r="C16" s="87" t="str">
        <f aca="false">IF(OR(C$4="",MONTH(($G$2+1))&lt;&gt;MONTH($C$2)),"",IF(COUNTIFS(m_teacher,C$4,m_date,($G$2+1),m_active,1,m_start,"&lt;"&amp;600,m_end,"&gt;"&amp;0)=0,"",IF(COUNTIFS(m_teacher,C$4,m_date,($G$2+1),m_active,1,m_start,"&lt;"&amp;600,m_end,"&gt;"&amp;0)&gt;1,"충돌",HYPERLINK("#'관리자_MASTER'!D"&amp;_xlfn.MAXIFS(m_row,m_teacher,C$4,m_date,($G$2+1),m_active,1,m_start,"&lt;"&amp;600,m_end,"&gt;"&amp;0),INDEX(m_label,_xlfn.MAXIFS(m_row,m_teacher,C$4,m_date,($G$2+1),m_active,1,m_start,"&lt;"&amp;600,m_end,"&gt;"&amp;0))))))</f>
        <v/>
      </c>
      <c r="D16" s="87" t="str">
        <f aca="false">IF(OR(D$4="",MONTH(($G$2+1))&lt;&gt;MONTH($C$2)),"",IF(COUNTIFS(m_teacher,D$4,m_date,($G$2+1),m_active,1,m_start,"&lt;"&amp;600,m_end,"&gt;"&amp;0)=0,"",IF(COUNTIFS(m_teacher,D$4,m_date,($G$2+1),m_active,1,m_start,"&lt;"&amp;600,m_end,"&gt;"&amp;0)&gt;1,"충돌",HYPERLINK("#'관리자_MASTER'!D"&amp;_xlfn.MAXIFS(m_row,m_teacher,D$4,m_date,($G$2+1),m_active,1,m_start,"&lt;"&amp;600,m_end,"&gt;"&amp;0),INDEX(m_label,_xlfn.MAXIFS(m_row,m_teacher,D$4,m_date,($G$2+1),m_active,1,m_start,"&lt;"&amp;600,m_end,"&gt;"&amp;0))))))</f>
        <v/>
      </c>
      <c r="E16" s="87" t="str">
        <f aca="false">IF(OR(E$4="",MONTH(($G$2+1))&lt;&gt;MONTH($C$2)),"",IF(COUNTIFS(m_teacher,E$4,m_date,($G$2+1),m_active,1,m_start,"&lt;"&amp;600,m_end,"&gt;"&amp;0)=0,"",IF(COUNTIFS(m_teacher,E$4,m_date,($G$2+1),m_active,1,m_start,"&lt;"&amp;600,m_end,"&gt;"&amp;0)&gt;1,"충돌",HYPERLINK("#'관리자_MASTER'!D"&amp;_xlfn.MAXIFS(m_row,m_teacher,E$4,m_date,($G$2+1),m_active,1,m_start,"&lt;"&amp;600,m_end,"&gt;"&amp;0),INDEX(m_label,_xlfn.MAXIFS(m_row,m_teacher,E$4,m_date,($G$2+1),m_active,1,m_start,"&lt;"&amp;600,m_end,"&gt;"&amp;0))))))</f>
        <v/>
      </c>
      <c r="F16" s="87" t="str">
        <f aca="false">IF(OR(F$4="",MONTH(($G$2+1))&lt;&gt;MONTH($C$2)),"",IF(COUNTIFS(m_teacher,F$4,m_date,($G$2+1),m_active,1,m_start,"&lt;"&amp;600,m_end,"&gt;"&amp;0)=0,"",IF(COUNTIFS(m_teacher,F$4,m_date,($G$2+1),m_active,1,m_start,"&lt;"&amp;600,m_end,"&gt;"&amp;0)&gt;1,"충돌",HYPERLINK("#'관리자_MASTER'!D"&amp;_xlfn.MAXIFS(m_row,m_teacher,F$4,m_date,($G$2+1),m_active,1,m_start,"&lt;"&amp;600,m_end,"&gt;"&amp;0),INDEX(m_label,_xlfn.MAXIFS(m_row,m_teacher,F$4,m_date,($G$2+1),m_active,1,m_start,"&lt;"&amp;600,m_end,"&gt;"&amp;0))))))</f>
        <v/>
      </c>
      <c r="G16" s="87" t="str">
        <f aca="false">IF(OR(G$4="",MONTH(($G$2+1))&lt;&gt;MONTH($C$2)),"",IF(COUNTIFS(m_teacher,G$4,m_date,($G$2+1),m_active,1,m_start,"&lt;"&amp;600,m_end,"&gt;"&amp;0)=0,"",IF(COUNTIFS(m_teacher,G$4,m_date,($G$2+1),m_active,1,m_start,"&lt;"&amp;600,m_end,"&gt;"&amp;0)&gt;1,"충돌",HYPERLINK("#'관리자_MASTER'!D"&amp;_xlfn.MAXIFS(m_row,m_teacher,G$4,m_date,($G$2+1),m_active,1,m_start,"&lt;"&amp;600,m_end,"&gt;"&amp;0),INDEX(m_label,_xlfn.MAXIFS(m_row,m_teacher,G$4,m_date,($G$2+1),m_active,1,m_start,"&lt;"&amp;600,m_end,"&gt;"&amp;0))))))</f>
        <v/>
      </c>
      <c r="H16" s="87" t="str">
        <f aca="false">IF(OR(H$4="",MONTH(($G$2+1))&lt;&gt;MONTH($C$2)),"",IF(COUNTIFS(m_teacher,H$4,m_date,($G$2+1),m_active,1,m_start,"&lt;"&amp;600,m_end,"&gt;"&amp;0)=0,"",IF(COUNTIFS(m_teacher,H$4,m_date,($G$2+1),m_active,1,m_start,"&lt;"&amp;600,m_end,"&gt;"&amp;0)&gt;1,"충돌",HYPERLINK("#'관리자_MASTER'!D"&amp;_xlfn.MAXIFS(m_row,m_teacher,H$4,m_date,($G$2+1),m_active,1,m_start,"&lt;"&amp;600,m_end,"&gt;"&amp;0),INDEX(m_label,_xlfn.MAXIFS(m_row,m_teacher,H$4,m_date,($G$2+1),m_active,1,m_start,"&lt;"&amp;600,m_end,"&gt;"&amp;0))))))</f>
        <v/>
      </c>
      <c r="I16" s="87" t="str">
        <f aca="false">IF(OR(I$4="",MONTH(($G$2+1))&lt;&gt;MONTH($C$2)),"",IF(COUNTIFS(m_teacher,I$4,m_date,($G$2+1),m_active,1,m_start,"&lt;"&amp;600,m_end,"&gt;"&amp;0)=0,"",IF(COUNTIFS(m_teacher,I$4,m_date,($G$2+1),m_active,1,m_start,"&lt;"&amp;600,m_end,"&gt;"&amp;0)&gt;1,"충돌",HYPERLINK("#'관리자_MASTER'!D"&amp;_xlfn.MAXIFS(m_row,m_teacher,I$4,m_date,($G$2+1),m_active,1,m_start,"&lt;"&amp;600,m_end,"&gt;"&amp;0),INDEX(m_label,_xlfn.MAXIFS(m_row,m_teacher,I$4,m_date,($G$2+1),m_active,1,m_start,"&lt;"&amp;600,m_end,"&gt;"&amp;0))))))</f>
        <v/>
      </c>
      <c r="J16" s="87" t="str">
        <f aca="false">IF(OR(J$4="",MONTH(($G$2+1))&lt;&gt;MONTH($C$2)),"",IF(COUNTIFS(m_teacher,J$4,m_date,($G$2+1),m_active,1,m_start,"&lt;"&amp;600,m_end,"&gt;"&amp;0)=0,"",IF(COUNTIFS(m_teacher,J$4,m_date,($G$2+1),m_active,1,m_start,"&lt;"&amp;600,m_end,"&gt;"&amp;0)&gt;1,"충돌",HYPERLINK("#'관리자_MASTER'!D"&amp;_xlfn.MAXIFS(m_row,m_teacher,J$4,m_date,($G$2+1),m_active,1,m_start,"&lt;"&amp;600,m_end,"&gt;"&amp;0),INDEX(m_label,_xlfn.MAXIFS(m_row,m_teacher,J$4,m_date,($G$2+1),m_active,1,m_start,"&lt;"&amp;600,m_end,"&gt;"&amp;0))))))</f>
        <v/>
      </c>
      <c r="K16" s="87" t="str">
        <f aca="false">IF(OR(K$4="",MONTH(($G$2+1))&lt;&gt;MONTH($C$2)),"",IF(COUNTIFS(m_teacher,K$4,m_date,($G$2+1),m_active,1,m_start,"&lt;"&amp;600,m_end,"&gt;"&amp;0)=0,"",IF(COUNTIFS(m_teacher,K$4,m_date,($G$2+1),m_active,1,m_start,"&lt;"&amp;600,m_end,"&gt;"&amp;0)&gt;1,"충돌",HYPERLINK("#'관리자_MASTER'!D"&amp;_xlfn.MAXIFS(m_row,m_teacher,K$4,m_date,($G$2+1),m_active,1,m_start,"&lt;"&amp;600,m_end,"&gt;"&amp;0),INDEX(m_label,_xlfn.MAXIFS(m_row,m_teacher,K$4,m_date,($G$2+1),m_active,1,m_start,"&lt;"&amp;600,m_end,"&gt;"&amp;0))))))</f>
        <v/>
      </c>
      <c r="L16" s="87" t="str">
        <f aca="false">IF(OR(L$4="",MONTH(($G$2+1))&lt;&gt;MONTH($C$2)),"",IF(COUNTIFS(m_teacher,L$4,m_date,($G$2+1),m_active,1,m_start,"&lt;"&amp;600,m_end,"&gt;"&amp;0)=0,"",IF(COUNTIFS(m_teacher,L$4,m_date,($G$2+1),m_active,1,m_start,"&lt;"&amp;600,m_end,"&gt;"&amp;0)&gt;1,"충돌",HYPERLINK("#'관리자_MASTER'!D"&amp;_xlfn.MAXIFS(m_row,m_teacher,L$4,m_date,($G$2+1),m_active,1,m_start,"&lt;"&amp;600,m_end,"&gt;"&amp;0),INDEX(m_label,_xlfn.MAXIFS(m_row,m_teacher,L$4,m_date,($G$2+1),m_active,1,m_start,"&lt;"&amp;600,m_end,"&gt;"&amp;0))))))</f>
        <v/>
      </c>
      <c r="M16" s="87" t="str">
        <f aca="false">IF(OR(M$4="",MONTH(($G$2+1))&lt;&gt;MONTH($C$2)),"",IF(COUNTIFS(m_teacher,M$4,m_date,($G$2+1),m_active,1,m_start,"&lt;"&amp;600,m_end,"&gt;"&amp;0)=0,"",IF(COUNTIFS(m_teacher,M$4,m_date,($G$2+1),m_active,1,m_start,"&lt;"&amp;600,m_end,"&gt;"&amp;0)&gt;1,"충돌",HYPERLINK("#'관리자_MASTER'!D"&amp;_xlfn.MAXIFS(m_row,m_teacher,M$4,m_date,($G$2+1),m_active,1,m_start,"&lt;"&amp;600,m_end,"&gt;"&amp;0),INDEX(m_label,_xlfn.MAXIFS(m_row,m_teacher,M$4,m_date,($G$2+1),m_active,1,m_start,"&lt;"&amp;600,m_end,"&gt;"&amp;0))))))</f>
        <v/>
      </c>
      <c r="N16" s="87" t="str">
        <f aca="false">IF(OR(N$4="",MONTH(($G$2+1))&lt;&gt;MONTH($C$2)),"",IF(COUNTIFS(m_teacher,N$4,m_date,($G$2+1),m_active,1,m_start,"&lt;"&amp;600,m_end,"&gt;"&amp;0)=0,"",IF(COUNTIFS(m_teacher,N$4,m_date,($G$2+1),m_active,1,m_start,"&lt;"&amp;600,m_end,"&gt;"&amp;0)&gt;1,"충돌",HYPERLINK("#'관리자_MASTER'!D"&amp;_xlfn.MAXIFS(m_row,m_teacher,N$4,m_date,($G$2+1),m_active,1,m_start,"&lt;"&amp;600,m_end,"&gt;"&amp;0),INDEX(m_label,_xlfn.MAXIFS(m_row,m_teacher,N$4,m_date,($G$2+1),m_active,1,m_start,"&lt;"&amp;600,m_end,"&gt;"&amp;0))))))</f>
        <v/>
      </c>
      <c r="O16" s="78" t="str">
        <f aca="false">IF(MONTH(($G$2+8))&lt;&gt;MONTH($C$2),"",CHOOSE(WEEKDAY(($G$2+8),2),"월","화","수","목","금","토","일")&amp;CHAR(10)&amp;TEXT(($G$2+8),"m/d"))</f>
        <v>화
12/8</v>
      </c>
      <c r="P16" s="79" t="s">
        <v>91</v>
      </c>
      <c r="Q16" s="87" t="str">
        <f aca="false">IF(OR(Q$4="",MONTH(($G$2+8))&lt;&gt;MONTH($C$2)),"",IF(COUNTIFS(m_teacher,Q$4,m_date,($G$2+8),m_active,1,m_start,"&lt;"&amp;600,m_end,"&gt;"&amp;0)=0,"",IF(COUNTIFS(m_teacher,Q$4,m_date,($G$2+8),m_active,1,m_start,"&lt;"&amp;600,m_end,"&gt;"&amp;0)&gt;1,"충돌",HYPERLINK("#'관리자_MASTER'!D"&amp;_xlfn.MAXIFS(m_row,m_teacher,Q$4,m_date,($G$2+8),m_active,1,m_start,"&lt;"&amp;600,m_end,"&gt;"&amp;0),INDEX(m_label,_xlfn.MAXIFS(m_row,m_teacher,Q$4,m_date,($G$2+8),m_active,1,m_start,"&lt;"&amp;600,m_end,"&gt;"&amp;0))))))</f>
        <v/>
      </c>
      <c r="R16" s="87" t="str">
        <f aca="false">IF(OR(R$4="",MONTH(($G$2+8))&lt;&gt;MONTH($C$2)),"",IF(COUNTIFS(m_teacher,R$4,m_date,($G$2+8),m_active,1,m_start,"&lt;"&amp;600,m_end,"&gt;"&amp;0)=0,"",IF(COUNTIFS(m_teacher,R$4,m_date,($G$2+8),m_active,1,m_start,"&lt;"&amp;600,m_end,"&gt;"&amp;0)&gt;1,"충돌",HYPERLINK("#'관리자_MASTER'!D"&amp;_xlfn.MAXIFS(m_row,m_teacher,R$4,m_date,($G$2+8),m_active,1,m_start,"&lt;"&amp;600,m_end,"&gt;"&amp;0),INDEX(m_label,_xlfn.MAXIFS(m_row,m_teacher,R$4,m_date,($G$2+8),m_active,1,m_start,"&lt;"&amp;600,m_end,"&gt;"&amp;0))))))</f>
        <v/>
      </c>
      <c r="S16" s="87" t="str">
        <f aca="false">IF(OR(S$4="",MONTH(($G$2+8))&lt;&gt;MONTH($C$2)),"",IF(COUNTIFS(m_teacher,S$4,m_date,($G$2+8),m_active,1,m_start,"&lt;"&amp;600,m_end,"&gt;"&amp;0)=0,"",IF(COUNTIFS(m_teacher,S$4,m_date,($G$2+8),m_active,1,m_start,"&lt;"&amp;600,m_end,"&gt;"&amp;0)&gt;1,"충돌",HYPERLINK("#'관리자_MASTER'!D"&amp;_xlfn.MAXIFS(m_row,m_teacher,S$4,m_date,($G$2+8),m_active,1,m_start,"&lt;"&amp;600,m_end,"&gt;"&amp;0),INDEX(m_label,_xlfn.MAXIFS(m_row,m_teacher,S$4,m_date,($G$2+8),m_active,1,m_start,"&lt;"&amp;600,m_end,"&gt;"&amp;0))))))</f>
        <v/>
      </c>
      <c r="T16" s="87" t="str">
        <f aca="false">IF(OR(T$4="",MONTH(($G$2+8))&lt;&gt;MONTH($C$2)),"",IF(COUNTIFS(m_teacher,T$4,m_date,($G$2+8),m_active,1,m_start,"&lt;"&amp;600,m_end,"&gt;"&amp;0)=0,"",IF(COUNTIFS(m_teacher,T$4,m_date,($G$2+8),m_active,1,m_start,"&lt;"&amp;600,m_end,"&gt;"&amp;0)&gt;1,"충돌",HYPERLINK("#'관리자_MASTER'!D"&amp;_xlfn.MAXIFS(m_row,m_teacher,T$4,m_date,($G$2+8),m_active,1,m_start,"&lt;"&amp;600,m_end,"&gt;"&amp;0),INDEX(m_label,_xlfn.MAXIFS(m_row,m_teacher,T$4,m_date,($G$2+8),m_active,1,m_start,"&lt;"&amp;600,m_end,"&gt;"&amp;0))))))</f>
        <v/>
      </c>
      <c r="U16" s="87" t="str">
        <f aca="false">IF(OR(U$4="",MONTH(($G$2+8))&lt;&gt;MONTH($C$2)),"",IF(COUNTIFS(m_teacher,U$4,m_date,($G$2+8),m_active,1,m_start,"&lt;"&amp;600,m_end,"&gt;"&amp;0)=0,"",IF(COUNTIFS(m_teacher,U$4,m_date,($G$2+8),m_active,1,m_start,"&lt;"&amp;600,m_end,"&gt;"&amp;0)&gt;1,"충돌",HYPERLINK("#'관리자_MASTER'!D"&amp;_xlfn.MAXIFS(m_row,m_teacher,U$4,m_date,($G$2+8),m_active,1,m_start,"&lt;"&amp;600,m_end,"&gt;"&amp;0),INDEX(m_label,_xlfn.MAXIFS(m_row,m_teacher,U$4,m_date,($G$2+8),m_active,1,m_start,"&lt;"&amp;600,m_end,"&gt;"&amp;0))))))</f>
        <v/>
      </c>
      <c r="V16" s="87" t="str">
        <f aca="false">IF(OR(V$4="",MONTH(($G$2+8))&lt;&gt;MONTH($C$2)),"",IF(COUNTIFS(m_teacher,V$4,m_date,($G$2+8),m_active,1,m_start,"&lt;"&amp;600,m_end,"&gt;"&amp;0)=0,"",IF(COUNTIFS(m_teacher,V$4,m_date,($G$2+8),m_active,1,m_start,"&lt;"&amp;600,m_end,"&gt;"&amp;0)&gt;1,"충돌",HYPERLINK("#'관리자_MASTER'!D"&amp;_xlfn.MAXIFS(m_row,m_teacher,V$4,m_date,($G$2+8),m_active,1,m_start,"&lt;"&amp;600,m_end,"&gt;"&amp;0),INDEX(m_label,_xlfn.MAXIFS(m_row,m_teacher,V$4,m_date,($G$2+8),m_active,1,m_start,"&lt;"&amp;600,m_end,"&gt;"&amp;0))))))</f>
        <v/>
      </c>
      <c r="W16" s="87" t="str">
        <f aca="false">IF(OR(W$4="",MONTH(($G$2+8))&lt;&gt;MONTH($C$2)),"",IF(COUNTIFS(m_teacher,W$4,m_date,($G$2+8),m_active,1,m_start,"&lt;"&amp;600,m_end,"&gt;"&amp;0)=0,"",IF(COUNTIFS(m_teacher,W$4,m_date,($G$2+8),m_active,1,m_start,"&lt;"&amp;600,m_end,"&gt;"&amp;0)&gt;1,"충돌",HYPERLINK("#'관리자_MASTER'!D"&amp;_xlfn.MAXIFS(m_row,m_teacher,W$4,m_date,($G$2+8),m_active,1,m_start,"&lt;"&amp;600,m_end,"&gt;"&amp;0),INDEX(m_label,_xlfn.MAXIFS(m_row,m_teacher,W$4,m_date,($G$2+8),m_active,1,m_start,"&lt;"&amp;600,m_end,"&gt;"&amp;0))))))</f>
        <v/>
      </c>
      <c r="X16" s="87" t="str">
        <f aca="false">IF(OR(X$4="",MONTH(($G$2+8))&lt;&gt;MONTH($C$2)),"",IF(COUNTIFS(m_teacher,X$4,m_date,($G$2+8),m_active,1,m_start,"&lt;"&amp;600,m_end,"&gt;"&amp;0)=0,"",IF(COUNTIFS(m_teacher,X$4,m_date,($G$2+8),m_active,1,m_start,"&lt;"&amp;600,m_end,"&gt;"&amp;0)&gt;1,"충돌",HYPERLINK("#'관리자_MASTER'!D"&amp;_xlfn.MAXIFS(m_row,m_teacher,X$4,m_date,($G$2+8),m_active,1,m_start,"&lt;"&amp;600,m_end,"&gt;"&amp;0),INDEX(m_label,_xlfn.MAXIFS(m_row,m_teacher,X$4,m_date,($G$2+8),m_active,1,m_start,"&lt;"&amp;600,m_end,"&gt;"&amp;0))))))</f>
        <v/>
      </c>
      <c r="Y16" s="87" t="str">
        <f aca="false">IF(OR(Y$4="",MONTH(($G$2+8))&lt;&gt;MONTH($C$2)),"",IF(COUNTIFS(m_teacher,Y$4,m_date,($G$2+8),m_active,1,m_start,"&lt;"&amp;600,m_end,"&gt;"&amp;0)=0,"",IF(COUNTIFS(m_teacher,Y$4,m_date,($G$2+8),m_active,1,m_start,"&lt;"&amp;600,m_end,"&gt;"&amp;0)&gt;1,"충돌",HYPERLINK("#'관리자_MASTER'!D"&amp;_xlfn.MAXIFS(m_row,m_teacher,Y$4,m_date,($G$2+8),m_active,1,m_start,"&lt;"&amp;600,m_end,"&gt;"&amp;0),INDEX(m_label,_xlfn.MAXIFS(m_row,m_teacher,Y$4,m_date,($G$2+8),m_active,1,m_start,"&lt;"&amp;600,m_end,"&gt;"&amp;0))))))</f>
        <v/>
      </c>
      <c r="Z16" s="87" t="str">
        <f aca="false">IF(OR(Z$4="",MONTH(($G$2+8))&lt;&gt;MONTH($C$2)),"",IF(COUNTIFS(m_teacher,Z$4,m_date,($G$2+8),m_active,1,m_start,"&lt;"&amp;600,m_end,"&gt;"&amp;0)=0,"",IF(COUNTIFS(m_teacher,Z$4,m_date,($G$2+8),m_active,1,m_start,"&lt;"&amp;600,m_end,"&gt;"&amp;0)&gt;1,"충돌",HYPERLINK("#'관리자_MASTER'!D"&amp;_xlfn.MAXIFS(m_row,m_teacher,Z$4,m_date,($G$2+8),m_active,1,m_start,"&lt;"&amp;600,m_end,"&gt;"&amp;0),INDEX(m_label,_xlfn.MAXIFS(m_row,m_teacher,Z$4,m_date,($G$2+8),m_active,1,m_start,"&lt;"&amp;600,m_end,"&gt;"&amp;0))))))</f>
        <v/>
      </c>
      <c r="AA16" s="87" t="str">
        <f aca="false">IF(OR(AA$4="",MONTH(($G$2+8))&lt;&gt;MONTH($C$2)),"",IF(COUNTIFS(m_teacher,AA$4,m_date,($G$2+8),m_active,1,m_start,"&lt;"&amp;600,m_end,"&gt;"&amp;0)=0,"",IF(COUNTIFS(m_teacher,AA$4,m_date,($G$2+8),m_active,1,m_start,"&lt;"&amp;600,m_end,"&gt;"&amp;0)&gt;1,"충돌",HYPERLINK("#'관리자_MASTER'!D"&amp;_xlfn.MAXIFS(m_row,m_teacher,AA$4,m_date,($G$2+8),m_active,1,m_start,"&lt;"&amp;600,m_end,"&gt;"&amp;0),INDEX(m_label,_xlfn.MAXIFS(m_row,m_teacher,AA$4,m_date,($G$2+8),m_active,1,m_start,"&lt;"&amp;600,m_end,"&gt;"&amp;0))))))</f>
        <v/>
      </c>
      <c r="AB16" s="87" t="str">
        <f aca="false">IF(OR(AB$4="",MONTH(($G$2+8))&lt;&gt;MONTH($C$2)),"",IF(COUNTIFS(m_teacher,AB$4,m_date,($G$2+8),m_active,1,m_start,"&lt;"&amp;600,m_end,"&gt;"&amp;0)=0,"",IF(COUNTIFS(m_teacher,AB$4,m_date,($G$2+8),m_active,1,m_start,"&lt;"&amp;600,m_end,"&gt;"&amp;0)&gt;1,"충돌",HYPERLINK("#'관리자_MASTER'!D"&amp;_xlfn.MAXIFS(m_row,m_teacher,AB$4,m_date,($G$2+8),m_active,1,m_start,"&lt;"&amp;600,m_end,"&gt;"&amp;0),INDEX(m_label,_xlfn.MAXIFS(m_row,m_teacher,AB$4,m_date,($G$2+8),m_active,1,m_start,"&lt;"&amp;600,m_end,"&gt;"&amp;0))))))</f>
        <v/>
      </c>
      <c r="AC16" s="78" t="str">
        <f aca="false">IF(MONTH(($G$2+15))&lt;&gt;MONTH($C$2),"",CHOOSE(WEEKDAY(($G$2+15),2),"월","화","수","목","금","토","일")&amp;CHAR(10)&amp;TEXT(($G$2+15),"m/d"))</f>
        <v>화
12/15</v>
      </c>
      <c r="AD16" s="79" t="s">
        <v>91</v>
      </c>
      <c r="AE16" s="87" t="str">
        <f aca="false">IF(OR(AE$4="",MONTH(($G$2+15))&lt;&gt;MONTH($C$2)),"",IF(COUNTIFS(m_teacher,AE$4,m_date,($G$2+15),m_active,1,m_start,"&lt;"&amp;600,m_end,"&gt;"&amp;0)=0,"",IF(COUNTIFS(m_teacher,AE$4,m_date,($G$2+15),m_active,1,m_start,"&lt;"&amp;600,m_end,"&gt;"&amp;0)&gt;1,"충돌",HYPERLINK("#'관리자_MASTER'!D"&amp;_xlfn.MAXIFS(m_row,m_teacher,AE$4,m_date,($G$2+15),m_active,1,m_start,"&lt;"&amp;600,m_end,"&gt;"&amp;0),INDEX(m_label,_xlfn.MAXIFS(m_row,m_teacher,AE$4,m_date,($G$2+15),m_active,1,m_start,"&lt;"&amp;600,m_end,"&gt;"&amp;0))))))</f>
        <v/>
      </c>
      <c r="AF16" s="87" t="str">
        <f aca="false">IF(OR(AF$4="",MONTH(($G$2+15))&lt;&gt;MONTH($C$2)),"",IF(COUNTIFS(m_teacher,AF$4,m_date,($G$2+15),m_active,1,m_start,"&lt;"&amp;600,m_end,"&gt;"&amp;0)=0,"",IF(COUNTIFS(m_teacher,AF$4,m_date,($G$2+15),m_active,1,m_start,"&lt;"&amp;600,m_end,"&gt;"&amp;0)&gt;1,"충돌",HYPERLINK("#'관리자_MASTER'!D"&amp;_xlfn.MAXIFS(m_row,m_teacher,AF$4,m_date,($G$2+15),m_active,1,m_start,"&lt;"&amp;600,m_end,"&gt;"&amp;0),INDEX(m_label,_xlfn.MAXIFS(m_row,m_teacher,AF$4,m_date,($G$2+15),m_active,1,m_start,"&lt;"&amp;600,m_end,"&gt;"&amp;0))))))</f>
        <v/>
      </c>
      <c r="AG16" s="87" t="str">
        <f aca="false">IF(OR(AG$4="",MONTH(($G$2+15))&lt;&gt;MONTH($C$2)),"",IF(COUNTIFS(m_teacher,AG$4,m_date,($G$2+15),m_active,1,m_start,"&lt;"&amp;600,m_end,"&gt;"&amp;0)=0,"",IF(COUNTIFS(m_teacher,AG$4,m_date,($G$2+15),m_active,1,m_start,"&lt;"&amp;600,m_end,"&gt;"&amp;0)&gt;1,"충돌",HYPERLINK("#'관리자_MASTER'!D"&amp;_xlfn.MAXIFS(m_row,m_teacher,AG$4,m_date,($G$2+15),m_active,1,m_start,"&lt;"&amp;600,m_end,"&gt;"&amp;0),INDEX(m_label,_xlfn.MAXIFS(m_row,m_teacher,AG$4,m_date,($G$2+15),m_active,1,m_start,"&lt;"&amp;600,m_end,"&gt;"&amp;0))))))</f>
        <v/>
      </c>
      <c r="AH16" s="87" t="str">
        <f aca="false">IF(OR(AH$4="",MONTH(($G$2+15))&lt;&gt;MONTH($C$2)),"",IF(COUNTIFS(m_teacher,AH$4,m_date,($G$2+15),m_active,1,m_start,"&lt;"&amp;600,m_end,"&gt;"&amp;0)=0,"",IF(COUNTIFS(m_teacher,AH$4,m_date,($G$2+15),m_active,1,m_start,"&lt;"&amp;600,m_end,"&gt;"&amp;0)&gt;1,"충돌",HYPERLINK("#'관리자_MASTER'!D"&amp;_xlfn.MAXIFS(m_row,m_teacher,AH$4,m_date,($G$2+15),m_active,1,m_start,"&lt;"&amp;600,m_end,"&gt;"&amp;0),INDEX(m_label,_xlfn.MAXIFS(m_row,m_teacher,AH$4,m_date,($G$2+15),m_active,1,m_start,"&lt;"&amp;600,m_end,"&gt;"&amp;0))))))</f>
        <v/>
      </c>
      <c r="AI16" s="87" t="str">
        <f aca="false">IF(OR(AI$4="",MONTH(($G$2+15))&lt;&gt;MONTH($C$2)),"",IF(COUNTIFS(m_teacher,AI$4,m_date,($G$2+15),m_active,1,m_start,"&lt;"&amp;600,m_end,"&gt;"&amp;0)=0,"",IF(COUNTIFS(m_teacher,AI$4,m_date,($G$2+15),m_active,1,m_start,"&lt;"&amp;600,m_end,"&gt;"&amp;0)&gt;1,"충돌",HYPERLINK("#'관리자_MASTER'!D"&amp;_xlfn.MAXIFS(m_row,m_teacher,AI$4,m_date,($G$2+15),m_active,1,m_start,"&lt;"&amp;600,m_end,"&gt;"&amp;0),INDEX(m_label,_xlfn.MAXIFS(m_row,m_teacher,AI$4,m_date,($G$2+15),m_active,1,m_start,"&lt;"&amp;600,m_end,"&gt;"&amp;0))))))</f>
        <v/>
      </c>
      <c r="AJ16" s="87" t="str">
        <f aca="false">IF(OR(AJ$4="",MONTH(($G$2+15))&lt;&gt;MONTH($C$2)),"",IF(COUNTIFS(m_teacher,AJ$4,m_date,($G$2+15),m_active,1,m_start,"&lt;"&amp;600,m_end,"&gt;"&amp;0)=0,"",IF(COUNTIFS(m_teacher,AJ$4,m_date,($G$2+15),m_active,1,m_start,"&lt;"&amp;600,m_end,"&gt;"&amp;0)&gt;1,"충돌",HYPERLINK("#'관리자_MASTER'!D"&amp;_xlfn.MAXIFS(m_row,m_teacher,AJ$4,m_date,($G$2+15),m_active,1,m_start,"&lt;"&amp;600,m_end,"&gt;"&amp;0),INDEX(m_label,_xlfn.MAXIFS(m_row,m_teacher,AJ$4,m_date,($G$2+15),m_active,1,m_start,"&lt;"&amp;600,m_end,"&gt;"&amp;0))))))</f>
        <v/>
      </c>
      <c r="AK16" s="87" t="str">
        <f aca="false">IF(OR(AK$4="",MONTH(($G$2+15))&lt;&gt;MONTH($C$2)),"",IF(COUNTIFS(m_teacher,AK$4,m_date,($G$2+15),m_active,1,m_start,"&lt;"&amp;600,m_end,"&gt;"&amp;0)=0,"",IF(COUNTIFS(m_teacher,AK$4,m_date,($G$2+15),m_active,1,m_start,"&lt;"&amp;600,m_end,"&gt;"&amp;0)&gt;1,"충돌",HYPERLINK("#'관리자_MASTER'!D"&amp;_xlfn.MAXIFS(m_row,m_teacher,AK$4,m_date,($G$2+15),m_active,1,m_start,"&lt;"&amp;600,m_end,"&gt;"&amp;0),INDEX(m_label,_xlfn.MAXIFS(m_row,m_teacher,AK$4,m_date,($G$2+15),m_active,1,m_start,"&lt;"&amp;600,m_end,"&gt;"&amp;0))))))</f>
        <v/>
      </c>
      <c r="AL16" s="87" t="str">
        <f aca="false">IF(OR(AL$4="",MONTH(($G$2+15))&lt;&gt;MONTH($C$2)),"",IF(COUNTIFS(m_teacher,AL$4,m_date,($G$2+15),m_active,1,m_start,"&lt;"&amp;600,m_end,"&gt;"&amp;0)=0,"",IF(COUNTIFS(m_teacher,AL$4,m_date,($G$2+15),m_active,1,m_start,"&lt;"&amp;600,m_end,"&gt;"&amp;0)&gt;1,"충돌",HYPERLINK("#'관리자_MASTER'!D"&amp;_xlfn.MAXIFS(m_row,m_teacher,AL$4,m_date,($G$2+15),m_active,1,m_start,"&lt;"&amp;600,m_end,"&gt;"&amp;0),INDEX(m_label,_xlfn.MAXIFS(m_row,m_teacher,AL$4,m_date,($G$2+15),m_active,1,m_start,"&lt;"&amp;600,m_end,"&gt;"&amp;0))))))</f>
        <v/>
      </c>
      <c r="AM16" s="87" t="str">
        <f aca="false">IF(OR(AM$4="",MONTH(($G$2+15))&lt;&gt;MONTH($C$2)),"",IF(COUNTIFS(m_teacher,AM$4,m_date,($G$2+15),m_active,1,m_start,"&lt;"&amp;600,m_end,"&gt;"&amp;0)=0,"",IF(COUNTIFS(m_teacher,AM$4,m_date,($G$2+15),m_active,1,m_start,"&lt;"&amp;600,m_end,"&gt;"&amp;0)&gt;1,"충돌",HYPERLINK("#'관리자_MASTER'!D"&amp;_xlfn.MAXIFS(m_row,m_teacher,AM$4,m_date,($G$2+15),m_active,1,m_start,"&lt;"&amp;600,m_end,"&gt;"&amp;0),INDEX(m_label,_xlfn.MAXIFS(m_row,m_teacher,AM$4,m_date,($G$2+15),m_active,1,m_start,"&lt;"&amp;600,m_end,"&gt;"&amp;0))))))</f>
        <v/>
      </c>
      <c r="AN16" s="87" t="str">
        <f aca="false">IF(OR(AN$4="",MONTH(($G$2+15))&lt;&gt;MONTH($C$2)),"",IF(COUNTIFS(m_teacher,AN$4,m_date,($G$2+15),m_active,1,m_start,"&lt;"&amp;600,m_end,"&gt;"&amp;0)=0,"",IF(COUNTIFS(m_teacher,AN$4,m_date,($G$2+15),m_active,1,m_start,"&lt;"&amp;600,m_end,"&gt;"&amp;0)&gt;1,"충돌",HYPERLINK("#'관리자_MASTER'!D"&amp;_xlfn.MAXIFS(m_row,m_teacher,AN$4,m_date,($G$2+15),m_active,1,m_start,"&lt;"&amp;600,m_end,"&gt;"&amp;0),INDEX(m_label,_xlfn.MAXIFS(m_row,m_teacher,AN$4,m_date,($G$2+15),m_active,1,m_start,"&lt;"&amp;600,m_end,"&gt;"&amp;0))))))</f>
        <v/>
      </c>
      <c r="AO16" s="87" t="str">
        <f aca="false">IF(OR(AO$4="",MONTH(($G$2+15))&lt;&gt;MONTH($C$2)),"",IF(COUNTIFS(m_teacher,AO$4,m_date,($G$2+15),m_active,1,m_start,"&lt;"&amp;600,m_end,"&gt;"&amp;0)=0,"",IF(COUNTIFS(m_teacher,AO$4,m_date,($G$2+15),m_active,1,m_start,"&lt;"&amp;600,m_end,"&gt;"&amp;0)&gt;1,"충돌",HYPERLINK("#'관리자_MASTER'!D"&amp;_xlfn.MAXIFS(m_row,m_teacher,AO$4,m_date,($G$2+15),m_active,1,m_start,"&lt;"&amp;600,m_end,"&gt;"&amp;0),INDEX(m_label,_xlfn.MAXIFS(m_row,m_teacher,AO$4,m_date,($G$2+15),m_active,1,m_start,"&lt;"&amp;600,m_end,"&gt;"&amp;0))))))</f>
        <v/>
      </c>
      <c r="AP16" s="87" t="str">
        <f aca="false">IF(OR(AP$4="",MONTH(($G$2+15))&lt;&gt;MONTH($C$2)),"",IF(COUNTIFS(m_teacher,AP$4,m_date,($G$2+15),m_active,1,m_start,"&lt;"&amp;600,m_end,"&gt;"&amp;0)=0,"",IF(COUNTIFS(m_teacher,AP$4,m_date,($G$2+15),m_active,1,m_start,"&lt;"&amp;600,m_end,"&gt;"&amp;0)&gt;1,"충돌",HYPERLINK("#'관리자_MASTER'!D"&amp;_xlfn.MAXIFS(m_row,m_teacher,AP$4,m_date,($G$2+15),m_active,1,m_start,"&lt;"&amp;600,m_end,"&gt;"&amp;0),INDEX(m_label,_xlfn.MAXIFS(m_row,m_teacher,AP$4,m_date,($G$2+15),m_active,1,m_start,"&lt;"&amp;600,m_end,"&gt;"&amp;0))))))</f>
        <v/>
      </c>
      <c r="AQ16" s="78" t="str">
        <f aca="false">IF(MONTH(($G$2+22))&lt;&gt;MONTH($C$2),"",CHOOSE(WEEKDAY(($G$2+22),2),"월","화","수","목","금","토","일")&amp;CHAR(10)&amp;TEXT(($G$2+22),"m/d"))</f>
        <v>화
12/22</v>
      </c>
      <c r="AR16" s="79" t="s">
        <v>91</v>
      </c>
      <c r="AS16" s="87" t="str">
        <f aca="false">IF(OR(AS$4="",MONTH(($G$2+22))&lt;&gt;MONTH($C$2)),"",IF(COUNTIFS(m_teacher,AS$4,m_date,($G$2+22),m_active,1,m_start,"&lt;"&amp;600,m_end,"&gt;"&amp;0)=0,"",IF(COUNTIFS(m_teacher,AS$4,m_date,($G$2+22),m_active,1,m_start,"&lt;"&amp;600,m_end,"&gt;"&amp;0)&gt;1,"충돌",HYPERLINK("#'관리자_MASTER'!D"&amp;_xlfn.MAXIFS(m_row,m_teacher,AS$4,m_date,($G$2+22),m_active,1,m_start,"&lt;"&amp;600,m_end,"&gt;"&amp;0),INDEX(m_label,_xlfn.MAXIFS(m_row,m_teacher,AS$4,m_date,($G$2+22),m_active,1,m_start,"&lt;"&amp;600,m_end,"&gt;"&amp;0))))))</f>
        <v/>
      </c>
      <c r="AT16" s="87" t="str">
        <f aca="false">IF(OR(AT$4="",MONTH(($G$2+22))&lt;&gt;MONTH($C$2)),"",IF(COUNTIFS(m_teacher,AT$4,m_date,($G$2+22),m_active,1,m_start,"&lt;"&amp;600,m_end,"&gt;"&amp;0)=0,"",IF(COUNTIFS(m_teacher,AT$4,m_date,($G$2+22),m_active,1,m_start,"&lt;"&amp;600,m_end,"&gt;"&amp;0)&gt;1,"충돌",HYPERLINK("#'관리자_MASTER'!D"&amp;_xlfn.MAXIFS(m_row,m_teacher,AT$4,m_date,($G$2+22),m_active,1,m_start,"&lt;"&amp;600,m_end,"&gt;"&amp;0),INDEX(m_label,_xlfn.MAXIFS(m_row,m_teacher,AT$4,m_date,($G$2+22),m_active,1,m_start,"&lt;"&amp;600,m_end,"&gt;"&amp;0))))))</f>
        <v/>
      </c>
      <c r="AU16" s="87" t="str">
        <f aca="false">IF(OR(AU$4="",MONTH(($G$2+22))&lt;&gt;MONTH($C$2)),"",IF(COUNTIFS(m_teacher,AU$4,m_date,($G$2+22),m_active,1,m_start,"&lt;"&amp;600,m_end,"&gt;"&amp;0)=0,"",IF(COUNTIFS(m_teacher,AU$4,m_date,($G$2+22),m_active,1,m_start,"&lt;"&amp;600,m_end,"&gt;"&amp;0)&gt;1,"충돌",HYPERLINK("#'관리자_MASTER'!D"&amp;_xlfn.MAXIFS(m_row,m_teacher,AU$4,m_date,($G$2+22),m_active,1,m_start,"&lt;"&amp;600,m_end,"&gt;"&amp;0),INDEX(m_label,_xlfn.MAXIFS(m_row,m_teacher,AU$4,m_date,($G$2+22),m_active,1,m_start,"&lt;"&amp;600,m_end,"&gt;"&amp;0))))))</f>
        <v/>
      </c>
      <c r="AV16" s="87" t="str">
        <f aca="false">IF(OR(AV$4="",MONTH(($G$2+22))&lt;&gt;MONTH($C$2)),"",IF(COUNTIFS(m_teacher,AV$4,m_date,($G$2+22),m_active,1,m_start,"&lt;"&amp;600,m_end,"&gt;"&amp;0)=0,"",IF(COUNTIFS(m_teacher,AV$4,m_date,($G$2+22),m_active,1,m_start,"&lt;"&amp;600,m_end,"&gt;"&amp;0)&gt;1,"충돌",HYPERLINK("#'관리자_MASTER'!D"&amp;_xlfn.MAXIFS(m_row,m_teacher,AV$4,m_date,($G$2+22),m_active,1,m_start,"&lt;"&amp;600,m_end,"&gt;"&amp;0),INDEX(m_label,_xlfn.MAXIFS(m_row,m_teacher,AV$4,m_date,($G$2+22),m_active,1,m_start,"&lt;"&amp;600,m_end,"&gt;"&amp;0))))))</f>
        <v/>
      </c>
      <c r="AW16" s="87" t="str">
        <f aca="false">IF(OR(AW$4="",MONTH(($G$2+22))&lt;&gt;MONTH($C$2)),"",IF(COUNTIFS(m_teacher,AW$4,m_date,($G$2+22),m_active,1,m_start,"&lt;"&amp;600,m_end,"&gt;"&amp;0)=0,"",IF(COUNTIFS(m_teacher,AW$4,m_date,($G$2+22),m_active,1,m_start,"&lt;"&amp;600,m_end,"&gt;"&amp;0)&gt;1,"충돌",HYPERLINK("#'관리자_MASTER'!D"&amp;_xlfn.MAXIFS(m_row,m_teacher,AW$4,m_date,($G$2+22),m_active,1,m_start,"&lt;"&amp;600,m_end,"&gt;"&amp;0),INDEX(m_label,_xlfn.MAXIFS(m_row,m_teacher,AW$4,m_date,($G$2+22),m_active,1,m_start,"&lt;"&amp;600,m_end,"&gt;"&amp;0))))))</f>
        <v/>
      </c>
      <c r="AX16" s="87" t="str">
        <f aca="false">IF(OR(AX$4="",MONTH(($G$2+22))&lt;&gt;MONTH($C$2)),"",IF(COUNTIFS(m_teacher,AX$4,m_date,($G$2+22),m_active,1,m_start,"&lt;"&amp;600,m_end,"&gt;"&amp;0)=0,"",IF(COUNTIFS(m_teacher,AX$4,m_date,($G$2+22),m_active,1,m_start,"&lt;"&amp;600,m_end,"&gt;"&amp;0)&gt;1,"충돌",HYPERLINK("#'관리자_MASTER'!D"&amp;_xlfn.MAXIFS(m_row,m_teacher,AX$4,m_date,($G$2+22),m_active,1,m_start,"&lt;"&amp;600,m_end,"&gt;"&amp;0),INDEX(m_label,_xlfn.MAXIFS(m_row,m_teacher,AX$4,m_date,($G$2+22),m_active,1,m_start,"&lt;"&amp;600,m_end,"&gt;"&amp;0))))))</f>
        <v/>
      </c>
      <c r="AY16" s="87" t="str">
        <f aca="false">IF(OR(AY$4="",MONTH(($G$2+22))&lt;&gt;MONTH($C$2)),"",IF(COUNTIFS(m_teacher,AY$4,m_date,($G$2+22),m_active,1,m_start,"&lt;"&amp;600,m_end,"&gt;"&amp;0)=0,"",IF(COUNTIFS(m_teacher,AY$4,m_date,($G$2+22),m_active,1,m_start,"&lt;"&amp;600,m_end,"&gt;"&amp;0)&gt;1,"충돌",HYPERLINK("#'관리자_MASTER'!D"&amp;_xlfn.MAXIFS(m_row,m_teacher,AY$4,m_date,($G$2+22),m_active,1,m_start,"&lt;"&amp;600,m_end,"&gt;"&amp;0),INDEX(m_label,_xlfn.MAXIFS(m_row,m_teacher,AY$4,m_date,($G$2+22),m_active,1,m_start,"&lt;"&amp;600,m_end,"&gt;"&amp;0))))))</f>
        <v/>
      </c>
      <c r="AZ16" s="87" t="str">
        <f aca="false">IF(OR(AZ$4="",MONTH(($G$2+22))&lt;&gt;MONTH($C$2)),"",IF(COUNTIFS(m_teacher,AZ$4,m_date,($G$2+22),m_active,1,m_start,"&lt;"&amp;600,m_end,"&gt;"&amp;0)=0,"",IF(COUNTIFS(m_teacher,AZ$4,m_date,($G$2+22),m_active,1,m_start,"&lt;"&amp;600,m_end,"&gt;"&amp;0)&gt;1,"충돌",HYPERLINK("#'관리자_MASTER'!D"&amp;_xlfn.MAXIFS(m_row,m_teacher,AZ$4,m_date,($G$2+22),m_active,1,m_start,"&lt;"&amp;600,m_end,"&gt;"&amp;0),INDEX(m_label,_xlfn.MAXIFS(m_row,m_teacher,AZ$4,m_date,($G$2+22),m_active,1,m_start,"&lt;"&amp;600,m_end,"&gt;"&amp;0))))))</f>
        <v/>
      </c>
      <c r="BA16" s="87" t="str">
        <f aca="false">IF(OR(BA$4="",MONTH(($G$2+22))&lt;&gt;MONTH($C$2)),"",IF(COUNTIFS(m_teacher,BA$4,m_date,($G$2+22),m_active,1,m_start,"&lt;"&amp;600,m_end,"&gt;"&amp;0)=0,"",IF(COUNTIFS(m_teacher,BA$4,m_date,($G$2+22),m_active,1,m_start,"&lt;"&amp;600,m_end,"&gt;"&amp;0)&gt;1,"충돌",HYPERLINK("#'관리자_MASTER'!D"&amp;_xlfn.MAXIFS(m_row,m_teacher,BA$4,m_date,($G$2+22),m_active,1,m_start,"&lt;"&amp;600,m_end,"&gt;"&amp;0),INDEX(m_label,_xlfn.MAXIFS(m_row,m_teacher,BA$4,m_date,($G$2+22),m_active,1,m_start,"&lt;"&amp;600,m_end,"&gt;"&amp;0))))))</f>
        <v/>
      </c>
      <c r="BB16" s="87" t="str">
        <f aca="false">IF(OR(BB$4="",MONTH(($G$2+22))&lt;&gt;MONTH($C$2)),"",IF(COUNTIFS(m_teacher,BB$4,m_date,($G$2+22),m_active,1,m_start,"&lt;"&amp;600,m_end,"&gt;"&amp;0)=0,"",IF(COUNTIFS(m_teacher,BB$4,m_date,($G$2+22),m_active,1,m_start,"&lt;"&amp;600,m_end,"&gt;"&amp;0)&gt;1,"충돌",HYPERLINK("#'관리자_MASTER'!D"&amp;_xlfn.MAXIFS(m_row,m_teacher,BB$4,m_date,($G$2+22),m_active,1,m_start,"&lt;"&amp;600,m_end,"&gt;"&amp;0),INDEX(m_label,_xlfn.MAXIFS(m_row,m_teacher,BB$4,m_date,($G$2+22),m_active,1,m_start,"&lt;"&amp;600,m_end,"&gt;"&amp;0))))))</f>
        <v/>
      </c>
      <c r="BC16" s="87" t="str">
        <f aca="false">IF(OR(BC$4="",MONTH(($G$2+22))&lt;&gt;MONTH($C$2)),"",IF(COUNTIFS(m_teacher,BC$4,m_date,($G$2+22),m_active,1,m_start,"&lt;"&amp;600,m_end,"&gt;"&amp;0)=0,"",IF(COUNTIFS(m_teacher,BC$4,m_date,($G$2+22),m_active,1,m_start,"&lt;"&amp;600,m_end,"&gt;"&amp;0)&gt;1,"충돌",HYPERLINK("#'관리자_MASTER'!D"&amp;_xlfn.MAXIFS(m_row,m_teacher,BC$4,m_date,($G$2+22),m_active,1,m_start,"&lt;"&amp;600,m_end,"&gt;"&amp;0),INDEX(m_label,_xlfn.MAXIFS(m_row,m_teacher,BC$4,m_date,($G$2+22),m_active,1,m_start,"&lt;"&amp;600,m_end,"&gt;"&amp;0))))))</f>
        <v/>
      </c>
      <c r="BD16" s="87" t="str">
        <f aca="false">IF(OR(BD$4="",MONTH(($G$2+22))&lt;&gt;MONTH($C$2)),"",IF(COUNTIFS(m_teacher,BD$4,m_date,($G$2+22),m_active,1,m_start,"&lt;"&amp;600,m_end,"&gt;"&amp;0)=0,"",IF(COUNTIFS(m_teacher,BD$4,m_date,($G$2+22),m_active,1,m_start,"&lt;"&amp;600,m_end,"&gt;"&amp;0)&gt;1,"충돌",HYPERLINK("#'관리자_MASTER'!D"&amp;_xlfn.MAXIFS(m_row,m_teacher,BD$4,m_date,($G$2+22),m_active,1,m_start,"&lt;"&amp;600,m_end,"&gt;"&amp;0),INDEX(m_label,_xlfn.MAXIFS(m_row,m_teacher,BD$4,m_date,($G$2+22),m_active,1,m_start,"&lt;"&amp;600,m_end,"&gt;"&amp;0))))))</f>
        <v/>
      </c>
      <c r="BE16" s="78" t="str">
        <f aca="false">IF(MONTH(($G$2+29))&lt;&gt;MONTH($C$2),"",CHOOSE(WEEKDAY(($G$2+29),2),"월","화","수","목","금","토","일")&amp;CHAR(10)&amp;TEXT(($G$2+29),"m/d"))</f>
        <v>화
12/29</v>
      </c>
      <c r="BF16" s="79" t="s">
        <v>91</v>
      </c>
      <c r="BG16" s="87" t="str">
        <f aca="false">IF(OR(BG$4="",MONTH(($G$2+29))&lt;&gt;MONTH($C$2)),"",IF(COUNTIFS(m_teacher,BG$4,m_date,($G$2+29),m_active,1,m_start,"&lt;"&amp;600,m_end,"&gt;"&amp;0)=0,"",IF(COUNTIFS(m_teacher,BG$4,m_date,($G$2+29),m_active,1,m_start,"&lt;"&amp;600,m_end,"&gt;"&amp;0)&gt;1,"충돌",HYPERLINK("#'관리자_MASTER'!D"&amp;_xlfn.MAXIFS(m_row,m_teacher,BG$4,m_date,($G$2+29),m_active,1,m_start,"&lt;"&amp;600,m_end,"&gt;"&amp;0),INDEX(m_label,_xlfn.MAXIFS(m_row,m_teacher,BG$4,m_date,($G$2+29),m_active,1,m_start,"&lt;"&amp;600,m_end,"&gt;"&amp;0))))))</f>
        <v/>
      </c>
      <c r="BH16" s="87" t="str">
        <f aca="false">IF(OR(BH$4="",MONTH(($G$2+29))&lt;&gt;MONTH($C$2)),"",IF(COUNTIFS(m_teacher,BH$4,m_date,($G$2+29),m_active,1,m_start,"&lt;"&amp;600,m_end,"&gt;"&amp;0)=0,"",IF(COUNTIFS(m_teacher,BH$4,m_date,($G$2+29),m_active,1,m_start,"&lt;"&amp;600,m_end,"&gt;"&amp;0)&gt;1,"충돌",HYPERLINK("#'관리자_MASTER'!D"&amp;_xlfn.MAXIFS(m_row,m_teacher,BH$4,m_date,($G$2+29),m_active,1,m_start,"&lt;"&amp;600,m_end,"&gt;"&amp;0),INDEX(m_label,_xlfn.MAXIFS(m_row,m_teacher,BH$4,m_date,($G$2+29),m_active,1,m_start,"&lt;"&amp;600,m_end,"&gt;"&amp;0))))))</f>
        <v/>
      </c>
      <c r="BI16" s="87" t="str">
        <f aca="false">IF(OR(BI$4="",MONTH(($G$2+29))&lt;&gt;MONTH($C$2)),"",IF(COUNTIFS(m_teacher,BI$4,m_date,($G$2+29),m_active,1,m_start,"&lt;"&amp;600,m_end,"&gt;"&amp;0)=0,"",IF(COUNTIFS(m_teacher,BI$4,m_date,($G$2+29),m_active,1,m_start,"&lt;"&amp;600,m_end,"&gt;"&amp;0)&gt;1,"충돌",HYPERLINK("#'관리자_MASTER'!D"&amp;_xlfn.MAXIFS(m_row,m_teacher,BI$4,m_date,($G$2+29),m_active,1,m_start,"&lt;"&amp;600,m_end,"&gt;"&amp;0),INDEX(m_label,_xlfn.MAXIFS(m_row,m_teacher,BI$4,m_date,($G$2+29),m_active,1,m_start,"&lt;"&amp;600,m_end,"&gt;"&amp;0))))))</f>
        <v/>
      </c>
      <c r="BJ16" s="87" t="str">
        <f aca="false">IF(OR(BJ$4="",MONTH(($G$2+29))&lt;&gt;MONTH($C$2)),"",IF(COUNTIFS(m_teacher,BJ$4,m_date,($G$2+29),m_active,1,m_start,"&lt;"&amp;600,m_end,"&gt;"&amp;0)=0,"",IF(COUNTIFS(m_teacher,BJ$4,m_date,($G$2+29),m_active,1,m_start,"&lt;"&amp;600,m_end,"&gt;"&amp;0)&gt;1,"충돌",HYPERLINK("#'관리자_MASTER'!D"&amp;_xlfn.MAXIFS(m_row,m_teacher,BJ$4,m_date,($G$2+29),m_active,1,m_start,"&lt;"&amp;600,m_end,"&gt;"&amp;0),INDEX(m_label,_xlfn.MAXIFS(m_row,m_teacher,BJ$4,m_date,($G$2+29),m_active,1,m_start,"&lt;"&amp;600,m_end,"&gt;"&amp;0))))))</f>
        <v/>
      </c>
      <c r="BK16" s="87" t="str">
        <f aca="false">IF(OR(BK$4="",MONTH(($G$2+29))&lt;&gt;MONTH($C$2)),"",IF(COUNTIFS(m_teacher,BK$4,m_date,($G$2+29),m_active,1,m_start,"&lt;"&amp;600,m_end,"&gt;"&amp;0)=0,"",IF(COUNTIFS(m_teacher,BK$4,m_date,($G$2+29),m_active,1,m_start,"&lt;"&amp;600,m_end,"&gt;"&amp;0)&gt;1,"충돌",HYPERLINK("#'관리자_MASTER'!D"&amp;_xlfn.MAXIFS(m_row,m_teacher,BK$4,m_date,($G$2+29),m_active,1,m_start,"&lt;"&amp;600,m_end,"&gt;"&amp;0),INDEX(m_label,_xlfn.MAXIFS(m_row,m_teacher,BK$4,m_date,($G$2+29),m_active,1,m_start,"&lt;"&amp;600,m_end,"&gt;"&amp;0))))))</f>
        <v/>
      </c>
      <c r="BL16" s="87" t="str">
        <f aca="false">IF(OR(BL$4="",MONTH(($G$2+29))&lt;&gt;MONTH($C$2)),"",IF(COUNTIFS(m_teacher,BL$4,m_date,($G$2+29),m_active,1,m_start,"&lt;"&amp;600,m_end,"&gt;"&amp;0)=0,"",IF(COUNTIFS(m_teacher,BL$4,m_date,($G$2+29),m_active,1,m_start,"&lt;"&amp;600,m_end,"&gt;"&amp;0)&gt;1,"충돌",HYPERLINK("#'관리자_MASTER'!D"&amp;_xlfn.MAXIFS(m_row,m_teacher,BL$4,m_date,($G$2+29),m_active,1,m_start,"&lt;"&amp;600,m_end,"&gt;"&amp;0),INDEX(m_label,_xlfn.MAXIFS(m_row,m_teacher,BL$4,m_date,($G$2+29),m_active,1,m_start,"&lt;"&amp;600,m_end,"&gt;"&amp;0))))))</f>
        <v/>
      </c>
      <c r="BM16" s="87" t="str">
        <f aca="false">IF(OR(BM$4="",MONTH(($G$2+29))&lt;&gt;MONTH($C$2)),"",IF(COUNTIFS(m_teacher,BM$4,m_date,($G$2+29),m_active,1,m_start,"&lt;"&amp;600,m_end,"&gt;"&amp;0)=0,"",IF(COUNTIFS(m_teacher,BM$4,m_date,($G$2+29),m_active,1,m_start,"&lt;"&amp;600,m_end,"&gt;"&amp;0)&gt;1,"충돌",HYPERLINK("#'관리자_MASTER'!D"&amp;_xlfn.MAXIFS(m_row,m_teacher,BM$4,m_date,($G$2+29),m_active,1,m_start,"&lt;"&amp;600,m_end,"&gt;"&amp;0),INDEX(m_label,_xlfn.MAXIFS(m_row,m_teacher,BM$4,m_date,($G$2+29),m_active,1,m_start,"&lt;"&amp;600,m_end,"&gt;"&amp;0))))))</f>
        <v/>
      </c>
      <c r="BN16" s="87" t="str">
        <f aca="false">IF(OR(BN$4="",MONTH(($G$2+29))&lt;&gt;MONTH($C$2)),"",IF(COUNTIFS(m_teacher,BN$4,m_date,($G$2+29),m_active,1,m_start,"&lt;"&amp;600,m_end,"&gt;"&amp;0)=0,"",IF(COUNTIFS(m_teacher,BN$4,m_date,($G$2+29),m_active,1,m_start,"&lt;"&amp;600,m_end,"&gt;"&amp;0)&gt;1,"충돌",HYPERLINK("#'관리자_MASTER'!D"&amp;_xlfn.MAXIFS(m_row,m_teacher,BN$4,m_date,($G$2+29),m_active,1,m_start,"&lt;"&amp;600,m_end,"&gt;"&amp;0),INDEX(m_label,_xlfn.MAXIFS(m_row,m_teacher,BN$4,m_date,($G$2+29),m_active,1,m_start,"&lt;"&amp;600,m_end,"&gt;"&amp;0))))))</f>
        <v/>
      </c>
      <c r="BO16" s="87" t="str">
        <f aca="false">IF(OR(BO$4="",MONTH(($G$2+29))&lt;&gt;MONTH($C$2)),"",IF(COUNTIFS(m_teacher,BO$4,m_date,($G$2+29),m_active,1,m_start,"&lt;"&amp;600,m_end,"&gt;"&amp;0)=0,"",IF(COUNTIFS(m_teacher,BO$4,m_date,($G$2+29),m_active,1,m_start,"&lt;"&amp;600,m_end,"&gt;"&amp;0)&gt;1,"충돌",HYPERLINK("#'관리자_MASTER'!D"&amp;_xlfn.MAXIFS(m_row,m_teacher,BO$4,m_date,($G$2+29),m_active,1,m_start,"&lt;"&amp;600,m_end,"&gt;"&amp;0),INDEX(m_label,_xlfn.MAXIFS(m_row,m_teacher,BO$4,m_date,($G$2+29),m_active,1,m_start,"&lt;"&amp;600,m_end,"&gt;"&amp;0))))))</f>
        <v/>
      </c>
      <c r="BP16" s="87" t="str">
        <f aca="false">IF(OR(BP$4="",MONTH(($G$2+29))&lt;&gt;MONTH($C$2)),"",IF(COUNTIFS(m_teacher,BP$4,m_date,($G$2+29),m_active,1,m_start,"&lt;"&amp;600,m_end,"&gt;"&amp;0)=0,"",IF(COUNTIFS(m_teacher,BP$4,m_date,($G$2+29),m_active,1,m_start,"&lt;"&amp;600,m_end,"&gt;"&amp;0)&gt;1,"충돌",HYPERLINK("#'관리자_MASTER'!D"&amp;_xlfn.MAXIFS(m_row,m_teacher,BP$4,m_date,($G$2+29),m_active,1,m_start,"&lt;"&amp;600,m_end,"&gt;"&amp;0),INDEX(m_label,_xlfn.MAXIFS(m_row,m_teacher,BP$4,m_date,($G$2+29),m_active,1,m_start,"&lt;"&amp;600,m_end,"&gt;"&amp;0))))))</f>
        <v/>
      </c>
      <c r="BQ16" s="87" t="str">
        <f aca="false">IF(OR(BQ$4="",MONTH(($G$2+29))&lt;&gt;MONTH($C$2)),"",IF(COUNTIFS(m_teacher,BQ$4,m_date,($G$2+29),m_active,1,m_start,"&lt;"&amp;600,m_end,"&gt;"&amp;0)=0,"",IF(COUNTIFS(m_teacher,BQ$4,m_date,($G$2+29),m_active,1,m_start,"&lt;"&amp;600,m_end,"&gt;"&amp;0)&gt;1,"충돌",HYPERLINK("#'관리자_MASTER'!D"&amp;_xlfn.MAXIFS(m_row,m_teacher,BQ$4,m_date,($G$2+29),m_active,1,m_start,"&lt;"&amp;600,m_end,"&gt;"&amp;0),INDEX(m_label,_xlfn.MAXIFS(m_row,m_teacher,BQ$4,m_date,($G$2+29),m_active,1,m_start,"&lt;"&amp;600,m_end,"&gt;"&amp;0))))))</f>
        <v/>
      </c>
      <c r="BR16" s="87" t="str">
        <f aca="false">IF(OR(BR$4="",MONTH(($G$2+29))&lt;&gt;MONTH($C$2)),"",IF(COUNTIFS(m_teacher,BR$4,m_date,($G$2+29),m_active,1,m_start,"&lt;"&amp;600,m_end,"&gt;"&amp;0)=0,"",IF(COUNTIFS(m_teacher,BR$4,m_date,($G$2+29),m_active,1,m_start,"&lt;"&amp;600,m_end,"&gt;"&amp;0)&gt;1,"충돌",HYPERLINK("#'관리자_MASTER'!D"&amp;_xlfn.MAXIFS(m_row,m_teacher,BR$4,m_date,($G$2+29),m_active,1,m_start,"&lt;"&amp;600,m_end,"&gt;"&amp;0),INDEX(m_label,_xlfn.MAXIFS(m_row,m_teacher,BR$4,m_date,($G$2+29),m_active,1,m_start,"&lt;"&amp;600,m_end,"&gt;"&amp;0))))))</f>
        <v/>
      </c>
    </row>
    <row r="17" customFormat="false" ht="19.5" hidden="false" customHeight="true" outlineLevel="0" collapsed="false">
      <c r="A17" s="78"/>
      <c r="B17" s="79" t="s">
        <v>92</v>
      </c>
      <c r="C17" s="88" t="str">
        <f aca="false">IF(OR(C$4="",MONTH(($G$2+1))&lt;&gt;MONTH($C$2)),"",IF(COUNTIFS(m_teacher,C$4,m_date,($G$2+1),m_active,1,m_start,"&lt;"&amp;660,m_end,"&gt;"&amp;600)=0,"",IF(COUNTIFS(m_teacher,C$4,m_date,($G$2+1),m_active,1,m_start,"&lt;"&amp;660,m_end,"&gt;"&amp;600)&gt;1,"충돌",HYPERLINK("#'관리자_MASTER'!D"&amp;_xlfn.MAXIFS(m_row,m_teacher,C$4,m_date,($G$2+1),m_active,1,m_start,"&lt;"&amp;660,m_end,"&gt;"&amp;600),INDEX(m_label,_xlfn.MAXIFS(m_row,m_teacher,C$4,m_date,($G$2+1),m_active,1,m_start,"&lt;"&amp;660,m_end,"&gt;"&amp;600))))))</f>
        <v/>
      </c>
      <c r="D17" s="88" t="str">
        <f aca="false">IF(OR(D$4="",MONTH(($G$2+1))&lt;&gt;MONTH($C$2)),"",IF(COUNTIFS(m_teacher,D$4,m_date,($G$2+1),m_active,1,m_start,"&lt;"&amp;660,m_end,"&gt;"&amp;600)=0,"",IF(COUNTIFS(m_teacher,D$4,m_date,($G$2+1),m_active,1,m_start,"&lt;"&amp;660,m_end,"&gt;"&amp;600)&gt;1,"충돌",HYPERLINK("#'관리자_MASTER'!D"&amp;_xlfn.MAXIFS(m_row,m_teacher,D$4,m_date,($G$2+1),m_active,1,m_start,"&lt;"&amp;660,m_end,"&gt;"&amp;600),INDEX(m_label,_xlfn.MAXIFS(m_row,m_teacher,D$4,m_date,($G$2+1),m_active,1,m_start,"&lt;"&amp;660,m_end,"&gt;"&amp;600))))))</f>
        <v/>
      </c>
      <c r="E17" s="88" t="str">
        <f aca="false">IF(OR(E$4="",MONTH(($G$2+1))&lt;&gt;MONTH($C$2)),"",IF(COUNTIFS(m_teacher,E$4,m_date,($G$2+1),m_active,1,m_start,"&lt;"&amp;660,m_end,"&gt;"&amp;600)=0,"",IF(COUNTIFS(m_teacher,E$4,m_date,($G$2+1),m_active,1,m_start,"&lt;"&amp;660,m_end,"&gt;"&amp;600)&gt;1,"충돌",HYPERLINK("#'관리자_MASTER'!D"&amp;_xlfn.MAXIFS(m_row,m_teacher,E$4,m_date,($G$2+1),m_active,1,m_start,"&lt;"&amp;660,m_end,"&gt;"&amp;600),INDEX(m_label,_xlfn.MAXIFS(m_row,m_teacher,E$4,m_date,($G$2+1),m_active,1,m_start,"&lt;"&amp;660,m_end,"&gt;"&amp;600))))))</f>
        <v/>
      </c>
      <c r="F17" s="88" t="str">
        <f aca="false">IF(OR(F$4="",MONTH(($G$2+1))&lt;&gt;MONTH($C$2)),"",IF(COUNTIFS(m_teacher,F$4,m_date,($G$2+1),m_active,1,m_start,"&lt;"&amp;660,m_end,"&gt;"&amp;600)=0,"",IF(COUNTIFS(m_teacher,F$4,m_date,($G$2+1),m_active,1,m_start,"&lt;"&amp;660,m_end,"&gt;"&amp;600)&gt;1,"충돌",HYPERLINK("#'관리자_MASTER'!D"&amp;_xlfn.MAXIFS(m_row,m_teacher,F$4,m_date,($G$2+1),m_active,1,m_start,"&lt;"&amp;660,m_end,"&gt;"&amp;600),INDEX(m_label,_xlfn.MAXIFS(m_row,m_teacher,F$4,m_date,($G$2+1),m_active,1,m_start,"&lt;"&amp;660,m_end,"&gt;"&amp;600))))))</f>
        <v/>
      </c>
      <c r="G17" s="88" t="str">
        <f aca="false">IF(OR(G$4="",MONTH(($G$2+1))&lt;&gt;MONTH($C$2)),"",IF(COUNTIFS(m_teacher,G$4,m_date,($G$2+1),m_active,1,m_start,"&lt;"&amp;660,m_end,"&gt;"&amp;600)=0,"",IF(COUNTIFS(m_teacher,G$4,m_date,($G$2+1),m_active,1,m_start,"&lt;"&amp;660,m_end,"&gt;"&amp;600)&gt;1,"충돌",HYPERLINK("#'관리자_MASTER'!D"&amp;_xlfn.MAXIFS(m_row,m_teacher,G$4,m_date,($G$2+1),m_active,1,m_start,"&lt;"&amp;660,m_end,"&gt;"&amp;600),INDEX(m_label,_xlfn.MAXIFS(m_row,m_teacher,G$4,m_date,($G$2+1),m_active,1,m_start,"&lt;"&amp;660,m_end,"&gt;"&amp;600))))))</f>
        <v/>
      </c>
      <c r="H17" s="88" t="str">
        <f aca="false">IF(OR(H$4="",MONTH(($G$2+1))&lt;&gt;MONTH($C$2)),"",IF(COUNTIFS(m_teacher,H$4,m_date,($G$2+1),m_active,1,m_start,"&lt;"&amp;660,m_end,"&gt;"&amp;600)=0,"",IF(COUNTIFS(m_teacher,H$4,m_date,($G$2+1),m_active,1,m_start,"&lt;"&amp;660,m_end,"&gt;"&amp;600)&gt;1,"충돌",HYPERLINK("#'관리자_MASTER'!D"&amp;_xlfn.MAXIFS(m_row,m_teacher,H$4,m_date,($G$2+1),m_active,1,m_start,"&lt;"&amp;660,m_end,"&gt;"&amp;600),INDEX(m_label,_xlfn.MAXIFS(m_row,m_teacher,H$4,m_date,($G$2+1),m_active,1,m_start,"&lt;"&amp;660,m_end,"&gt;"&amp;600))))))</f>
        <v/>
      </c>
      <c r="I17" s="88" t="str">
        <f aca="false">IF(OR(I$4="",MONTH(($G$2+1))&lt;&gt;MONTH($C$2)),"",IF(COUNTIFS(m_teacher,I$4,m_date,($G$2+1),m_active,1,m_start,"&lt;"&amp;660,m_end,"&gt;"&amp;600)=0,"",IF(COUNTIFS(m_teacher,I$4,m_date,($G$2+1),m_active,1,m_start,"&lt;"&amp;660,m_end,"&gt;"&amp;600)&gt;1,"충돌",HYPERLINK("#'관리자_MASTER'!D"&amp;_xlfn.MAXIFS(m_row,m_teacher,I$4,m_date,($G$2+1),m_active,1,m_start,"&lt;"&amp;660,m_end,"&gt;"&amp;600),INDEX(m_label,_xlfn.MAXIFS(m_row,m_teacher,I$4,m_date,($G$2+1),m_active,1,m_start,"&lt;"&amp;660,m_end,"&gt;"&amp;600))))))</f>
        <v/>
      </c>
      <c r="J17" s="88" t="str">
        <f aca="false">IF(OR(J$4="",MONTH(($G$2+1))&lt;&gt;MONTH($C$2)),"",IF(COUNTIFS(m_teacher,J$4,m_date,($G$2+1),m_active,1,m_start,"&lt;"&amp;660,m_end,"&gt;"&amp;600)=0,"",IF(COUNTIFS(m_teacher,J$4,m_date,($G$2+1),m_active,1,m_start,"&lt;"&amp;660,m_end,"&gt;"&amp;600)&gt;1,"충돌",HYPERLINK("#'관리자_MASTER'!D"&amp;_xlfn.MAXIFS(m_row,m_teacher,J$4,m_date,($G$2+1),m_active,1,m_start,"&lt;"&amp;660,m_end,"&gt;"&amp;600),INDEX(m_label,_xlfn.MAXIFS(m_row,m_teacher,J$4,m_date,($G$2+1),m_active,1,m_start,"&lt;"&amp;660,m_end,"&gt;"&amp;600))))))</f>
        <v/>
      </c>
      <c r="K17" s="88" t="str">
        <f aca="false">IF(OR(K$4="",MONTH(($G$2+1))&lt;&gt;MONTH($C$2)),"",IF(COUNTIFS(m_teacher,K$4,m_date,($G$2+1),m_active,1,m_start,"&lt;"&amp;660,m_end,"&gt;"&amp;600)=0,"",IF(COUNTIFS(m_teacher,K$4,m_date,($G$2+1),m_active,1,m_start,"&lt;"&amp;660,m_end,"&gt;"&amp;600)&gt;1,"충돌",HYPERLINK("#'관리자_MASTER'!D"&amp;_xlfn.MAXIFS(m_row,m_teacher,K$4,m_date,($G$2+1),m_active,1,m_start,"&lt;"&amp;660,m_end,"&gt;"&amp;600),INDEX(m_label,_xlfn.MAXIFS(m_row,m_teacher,K$4,m_date,($G$2+1),m_active,1,m_start,"&lt;"&amp;660,m_end,"&gt;"&amp;600))))))</f>
        <v/>
      </c>
      <c r="L17" s="88" t="str">
        <f aca="false">IF(OR(L$4="",MONTH(($G$2+1))&lt;&gt;MONTH($C$2)),"",IF(COUNTIFS(m_teacher,L$4,m_date,($G$2+1),m_active,1,m_start,"&lt;"&amp;660,m_end,"&gt;"&amp;600)=0,"",IF(COUNTIFS(m_teacher,L$4,m_date,($G$2+1),m_active,1,m_start,"&lt;"&amp;660,m_end,"&gt;"&amp;600)&gt;1,"충돌",HYPERLINK("#'관리자_MASTER'!D"&amp;_xlfn.MAXIFS(m_row,m_teacher,L$4,m_date,($G$2+1),m_active,1,m_start,"&lt;"&amp;660,m_end,"&gt;"&amp;600),INDEX(m_label,_xlfn.MAXIFS(m_row,m_teacher,L$4,m_date,($G$2+1),m_active,1,m_start,"&lt;"&amp;660,m_end,"&gt;"&amp;600))))))</f>
        <v/>
      </c>
      <c r="M17" s="88" t="str">
        <f aca="false">IF(OR(M$4="",MONTH(($G$2+1))&lt;&gt;MONTH($C$2)),"",IF(COUNTIFS(m_teacher,M$4,m_date,($G$2+1),m_active,1,m_start,"&lt;"&amp;660,m_end,"&gt;"&amp;600)=0,"",IF(COUNTIFS(m_teacher,M$4,m_date,($G$2+1),m_active,1,m_start,"&lt;"&amp;660,m_end,"&gt;"&amp;600)&gt;1,"충돌",HYPERLINK("#'관리자_MASTER'!D"&amp;_xlfn.MAXIFS(m_row,m_teacher,M$4,m_date,($G$2+1),m_active,1,m_start,"&lt;"&amp;660,m_end,"&gt;"&amp;600),INDEX(m_label,_xlfn.MAXIFS(m_row,m_teacher,M$4,m_date,($G$2+1),m_active,1,m_start,"&lt;"&amp;660,m_end,"&gt;"&amp;600))))))</f>
        <v/>
      </c>
      <c r="N17" s="88" t="str">
        <f aca="false">IF(OR(N$4="",MONTH(($G$2+1))&lt;&gt;MONTH($C$2)),"",IF(COUNTIFS(m_teacher,N$4,m_date,($G$2+1),m_active,1,m_start,"&lt;"&amp;660,m_end,"&gt;"&amp;600)=0,"",IF(COUNTIFS(m_teacher,N$4,m_date,($G$2+1),m_active,1,m_start,"&lt;"&amp;660,m_end,"&gt;"&amp;600)&gt;1,"충돌",HYPERLINK("#'관리자_MASTER'!D"&amp;_xlfn.MAXIFS(m_row,m_teacher,N$4,m_date,($G$2+1),m_active,1,m_start,"&lt;"&amp;660,m_end,"&gt;"&amp;600),INDEX(m_label,_xlfn.MAXIFS(m_row,m_teacher,N$4,m_date,($G$2+1),m_active,1,m_start,"&lt;"&amp;660,m_end,"&gt;"&amp;600))))))</f>
        <v/>
      </c>
      <c r="O17" s="78"/>
      <c r="P17" s="79" t="s">
        <v>92</v>
      </c>
      <c r="Q17" s="88" t="str">
        <f aca="false">IF(OR(Q$4="",MONTH(($G$2+8))&lt;&gt;MONTH($C$2)),"",IF(COUNTIFS(m_teacher,Q$4,m_date,($G$2+8),m_active,1,m_start,"&lt;"&amp;660,m_end,"&gt;"&amp;600)=0,"",IF(COUNTIFS(m_teacher,Q$4,m_date,($G$2+8),m_active,1,m_start,"&lt;"&amp;660,m_end,"&gt;"&amp;600)&gt;1,"충돌",HYPERLINK("#'관리자_MASTER'!D"&amp;_xlfn.MAXIFS(m_row,m_teacher,Q$4,m_date,($G$2+8),m_active,1,m_start,"&lt;"&amp;660,m_end,"&gt;"&amp;600),INDEX(m_label,_xlfn.MAXIFS(m_row,m_teacher,Q$4,m_date,($G$2+8),m_active,1,m_start,"&lt;"&amp;660,m_end,"&gt;"&amp;600))))))</f>
        <v/>
      </c>
      <c r="R17" s="88" t="str">
        <f aca="false">IF(OR(R$4="",MONTH(($G$2+8))&lt;&gt;MONTH($C$2)),"",IF(COUNTIFS(m_teacher,R$4,m_date,($G$2+8),m_active,1,m_start,"&lt;"&amp;660,m_end,"&gt;"&amp;600)=0,"",IF(COUNTIFS(m_teacher,R$4,m_date,($G$2+8),m_active,1,m_start,"&lt;"&amp;660,m_end,"&gt;"&amp;600)&gt;1,"충돌",HYPERLINK("#'관리자_MASTER'!D"&amp;_xlfn.MAXIFS(m_row,m_teacher,R$4,m_date,($G$2+8),m_active,1,m_start,"&lt;"&amp;660,m_end,"&gt;"&amp;600),INDEX(m_label,_xlfn.MAXIFS(m_row,m_teacher,R$4,m_date,($G$2+8),m_active,1,m_start,"&lt;"&amp;660,m_end,"&gt;"&amp;600))))))</f>
        <v/>
      </c>
      <c r="S17" s="88" t="str">
        <f aca="false">IF(OR(S$4="",MONTH(($G$2+8))&lt;&gt;MONTH($C$2)),"",IF(COUNTIFS(m_teacher,S$4,m_date,($G$2+8),m_active,1,m_start,"&lt;"&amp;660,m_end,"&gt;"&amp;600)=0,"",IF(COUNTIFS(m_teacher,S$4,m_date,($G$2+8),m_active,1,m_start,"&lt;"&amp;660,m_end,"&gt;"&amp;600)&gt;1,"충돌",HYPERLINK("#'관리자_MASTER'!D"&amp;_xlfn.MAXIFS(m_row,m_teacher,S$4,m_date,($G$2+8),m_active,1,m_start,"&lt;"&amp;660,m_end,"&gt;"&amp;600),INDEX(m_label,_xlfn.MAXIFS(m_row,m_teacher,S$4,m_date,($G$2+8),m_active,1,m_start,"&lt;"&amp;660,m_end,"&gt;"&amp;600))))))</f>
        <v/>
      </c>
      <c r="T17" s="88" t="str">
        <f aca="false">IF(OR(T$4="",MONTH(($G$2+8))&lt;&gt;MONTH($C$2)),"",IF(COUNTIFS(m_teacher,T$4,m_date,($G$2+8),m_active,1,m_start,"&lt;"&amp;660,m_end,"&gt;"&amp;600)=0,"",IF(COUNTIFS(m_teacher,T$4,m_date,($G$2+8),m_active,1,m_start,"&lt;"&amp;660,m_end,"&gt;"&amp;600)&gt;1,"충돌",HYPERLINK("#'관리자_MASTER'!D"&amp;_xlfn.MAXIFS(m_row,m_teacher,T$4,m_date,($G$2+8),m_active,1,m_start,"&lt;"&amp;660,m_end,"&gt;"&amp;600),INDEX(m_label,_xlfn.MAXIFS(m_row,m_teacher,T$4,m_date,($G$2+8),m_active,1,m_start,"&lt;"&amp;660,m_end,"&gt;"&amp;600))))))</f>
        <v/>
      </c>
      <c r="U17" s="88" t="str">
        <f aca="false">IF(OR(U$4="",MONTH(($G$2+8))&lt;&gt;MONTH($C$2)),"",IF(COUNTIFS(m_teacher,U$4,m_date,($G$2+8),m_active,1,m_start,"&lt;"&amp;660,m_end,"&gt;"&amp;600)=0,"",IF(COUNTIFS(m_teacher,U$4,m_date,($G$2+8),m_active,1,m_start,"&lt;"&amp;660,m_end,"&gt;"&amp;600)&gt;1,"충돌",HYPERLINK("#'관리자_MASTER'!D"&amp;_xlfn.MAXIFS(m_row,m_teacher,U$4,m_date,($G$2+8),m_active,1,m_start,"&lt;"&amp;660,m_end,"&gt;"&amp;600),INDEX(m_label,_xlfn.MAXIFS(m_row,m_teacher,U$4,m_date,($G$2+8),m_active,1,m_start,"&lt;"&amp;660,m_end,"&gt;"&amp;600))))))</f>
        <v/>
      </c>
      <c r="V17" s="88" t="str">
        <f aca="false">IF(OR(V$4="",MONTH(($G$2+8))&lt;&gt;MONTH($C$2)),"",IF(COUNTIFS(m_teacher,V$4,m_date,($G$2+8),m_active,1,m_start,"&lt;"&amp;660,m_end,"&gt;"&amp;600)=0,"",IF(COUNTIFS(m_teacher,V$4,m_date,($G$2+8),m_active,1,m_start,"&lt;"&amp;660,m_end,"&gt;"&amp;600)&gt;1,"충돌",HYPERLINK("#'관리자_MASTER'!D"&amp;_xlfn.MAXIFS(m_row,m_teacher,V$4,m_date,($G$2+8),m_active,1,m_start,"&lt;"&amp;660,m_end,"&gt;"&amp;600),INDEX(m_label,_xlfn.MAXIFS(m_row,m_teacher,V$4,m_date,($G$2+8),m_active,1,m_start,"&lt;"&amp;660,m_end,"&gt;"&amp;600))))))</f>
        <v/>
      </c>
      <c r="W17" s="88" t="str">
        <f aca="false">IF(OR(W$4="",MONTH(($G$2+8))&lt;&gt;MONTH($C$2)),"",IF(COUNTIFS(m_teacher,W$4,m_date,($G$2+8),m_active,1,m_start,"&lt;"&amp;660,m_end,"&gt;"&amp;600)=0,"",IF(COUNTIFS(m_teacher,W$4,m_date,($G$2+8),m_active,1,m_start,"&lt;"&amp;660,m_end,"&gt;"&amp;600)&gt;1,"충돌",HYPERLINK("#'관리자_MASTER'!D"&amp;_xlfn.MAXIFS(m_row,m_teacher,W$4,m_date,($G$2+8),m_active,1,m_start,"&lt;"&amp;660,m_end,"&gt;"&amp;600),INDEX(m_label,_xlfn.MAXIFS(m_row,m_teacher,W$4,m_date,($G$2+8),m_active,1,m_start,"&lt;"&amp;660,m_end,"&gt;"&amp;600))))))</f>
        <v/>
      </c>
      <c r="X17" s="88" t="str">
        <f aca="false">IF(OR(X$4="",MONTH(($G$2+8))&lt;&gt;MONTH($C$2)),"",IF(COUNTIFS(m_teacher,X$4,m_date,($G$2+8),m_active,1,m_start,"&lt;"&amp;660,m_end,"&gt;"&amp;600)=0,"",IF(COUNTIFS(m_teacher,X$4,m_date,($G$2+8),m_active,1,m_start,"&lt;"&amp;660,m_end,"&gt;"&amp;600)&gt;1,"충돌",HYPERLINK("#'관리자_MASTER'!D"&amp;_xlfn.MAXIFS(m_row,m_teacher,X$4,m_date,($G$2+8),m_active,1,m_start,"&lt;"&amp;660,m_end,"&gt;"&amp;600),INDEX(m_label,_xlfn.MAXIFS(m_row,m_teacher,X$4,m_date,($G$2+8),m_active,1,m_start,"&lt;"&amp;660,m_end,"&gt;"&amp;600))))))</f>
        <v/>
      </c>
      <c r="Y17" s="88" t="str">
        <f aca="false">IF(OR(Y$4="",MONTH(($G$2+8))&lt;&gt;MONTH($C$2)),"",IF(COUNTIFS(m_teacher,Y$4,m_date,($G$2+8),m_active,1,m_start,"&lt;"&amp;660,m_end,"&gt;"&amp;600)=0,"",IF(COUNTIFS(m_teacher,Y$4,m_date,($G$2+8),m_active,1,m_start,"&lt;"&amp;660,m_end,"&gt;"&amp;600)&gt;1,"충돌",HYPERLINK("#'관리자_MASTER'!D"&amp;_xlfn.MAXIFS(m_row,m_teacher,Y$4,m_date,($G$2+8),m_active,1,m_start,"&lt;"&amp;660,m_end,"&gt;"&amp;600),INDEX(m_label,_xlfn.MAXIFS(m_row,m_teacher,Y$4,m_date,($G$2+8),m_active,1,m_start,"&lt;"&amp;660,m_end,"&gt;"&amp;600))))))</f>
        <v/>
      </c>
      <c r="Z17" s="88" t="str">
        <f aca="false">IF(OR(Z$4="",MONTH(($G$2+8))&lt;&gt;MONTH($C$2)),"",IF(COUNTIFS(m_teacher,Z$4,m_date,($G$2+8),m_active,1,m_start,"&lt;"&amp;660,m_end,"&gt;"&amp;600)=0,"",IF(COUNTIFS(m_teacher,Z$4,m_date,($G$2+8),m_active,1,m_start,"&lt;"&amp;660,m_end,"&gt;"&amp;600)&gt;1,"충돌",HYPERLINK("#'관리자_MASTER'!D"&amp;_xlfn.MAXIFS(m_row,m_teacher,Z$4,m_date,($G$2+8),m_active,1,m_start,"&lt;"&amp;660,m_end,"&gt;"&amp;600),INDEX(m_label,_xlfn.MAXIFS(m_row,m_teacher,Z$4,m_date,($G$2+8),m_active,1,m_start,"&lt;"&amp;660,m_end,"&gt;"&amp;600))))))</f>
        <v/>
      </c>
      <c r="AA17" s="88" t="str">
        <f aca="false">IF(OR(AA$4="",MONTH(($G$2+8))&lt;&gt;MONTH($C$2)),"",IF(COUNTIFS(m_teacher,AA$4,m_date,($G$2+8),m_active,1,m_start,"&lt;"&amp;660,m_end,"&gt;"&amp;600)=0,"",IF(COUNTIFS(m_teacher,AA$4,m_date,($G$2+8),m_active,1,m_start,"&lt;"&amp;660,m_end,"&gt;"&amp;600)&gt;1,"충돌",HYPERLINK("#'관리자_MASTER'!D"&amp;_xlfn.MAXIFS(m_row,m_teacher,AA$4,m_date,($G$2+8),m_active,1,m_start,"&lt;"&amp;660,m_end,"&gt;"&amp;600),INDEX(m_label,_xlfn.MAXIFS(m_row,m_teacher,AA$4,m_date,($G$2+8),m_active,1,m_start,"&lt;"&amp;660,m_end,"&gt;"&amp;600))))))</f>
        <v/>
      </c>
      <c r="AB17" s="88" t="str">
        <f aca="false">IF(OR(AB$4="",MONTH(($G$2+8))&lt;&gt;MONTH($C$2)),"",IF(COUNTIFS(m_teacher,AB$4,m_date,($G$2+8),m_active,1,m_start,"&lt;"&amp;660,m_end,"&gt;"&amp;600)=0,"",IF(COUNTIFS(m_teacher,AB$4,m_date,($G$2+8),m_active,1,m_start,"&lt;"&amp;660,m_end,"&gt;"&amp;600)&gt;1,"충돌",HYPERLINK("#'관리자_MASTER'!D"&amp;_xlfn.MAXIFS(m_row,m_teacher,AB$4,m_date,($G$2+8),m_active,1,m_start,"&lt;"&amp;660,m_end,"&gt;"&amp;600),INDEX(m_label,_xlfn.MAXIFS(m_row,m_teacher,AB$4,m_date,($G$2+8),m_active,1,m_start,"&lt;"&amp;660,m_end,"&gt;"&amp;600))))))</f>
        <v/>
      </c>
      <c r="AC17" s="78"/>
      <c r="AD17" s="79" t="s">
        <v>92</v>
      </c>
      <c r="AE17" s="88" t="str">
        <f aca="false">IF(OR(AE$4="",MONTH(($G$2+15))&lt;&gt;MONTH($C$2)),"",IF(COUNTIFS(m_teacher,AE$4,m_date,($G$2+15),m_active,1,m_start,"&lt;"&amp;660,m_end,"&gt;"&amp;600)=0,"",IF(COUNTIFS(m_teacher,AE$4,m_date,($G$2+15),m_active,1,m_start,"&lt;"&amp;660,m_end,"&gt;"&amp;600)&gt;1,"충돌",HYPERLINK("#'관리자_MASTER'!D"&amp;_xlfn.MAXIFS(m_row,m_teacher,AE$4,m_date,($G$2+15),m_active,1,m_start,"&lt;"&amp;660,m_end,"&gt;"&amp;600),INDEX(m_label,_xlfn.MAXIFS(m_row,m_teacher,AE$4,m_date,($G$2+15),m_active,1,m_start,"&lt;"&amp;660,m_end,"&gt;"&amp;600))))))</f>
        <v/>
      </c>
      <c r="AF17" s="88" t="str">
        <f aca="false">IF(OR(AF$4="",MONTH(($G$2+15))&lt;&gt;MONTH($C$2)),"",IF(COUNTIFS(m_teacher,AF$4,m_date,($G$2+15),m_active,1,m_start,"&lt;"&amp;660,m_end,"&gt;"&amp;600)=0,"",IF(COUNTIFS(m_teacher,AF$4,m_date,($G$2+15),m_active,1,m_start,"&lt;"&amp;660,m_end,"&gt;"&amp;600)&gt;1,"충돌",HYPERLINK("#'관리자_MASTER'!D"&amp;_xlfn.MAXIFS(m_row,m_teacher,AF$4,m_date,($G$2+15),m_active,1,m_start,"&lt;"&amp;660,m_end,"&gt;"&amp;600),INDEX(m_label,_xlfn.MAXIFS(m_row,m_teacher,AF$4,m_date,($G$2+15),m_active,1,m_start,"&lt;"&amp;660,m_end,"&gt;"&amp;600))))))</f>
        <v/>
      </c>
      <c r="AG17" s="88" t="str">
        <f aca="false">IF(OR(AG$4="",MONTH(($G$2+15))&lt;&gt;MONTH($C$2)),"",IF(COUNTIFS(m_teacher,AG$4,m_date,($G$2+15),m_active,1,m_start,"&lt;"&amp;660,m_end,"&gt;"&amp;600)=0,"",IF(COUNTIFS(m_teacher,AG$4,m_date,($G$2+15),m_active,1,m_start,"&lt;"&amp;660,m_end,"&gt;"&amp;600)&gt;1,"충돌",HYPERLINK("#'관리자_MASTER'!D"&amp;_xlfn.MAXIFS(m_row,m_teacher,AG$4,m_date,($G$2+15),m_active,1,m_start,"&lt;"&amp;660,m_end,"&gt;"&amp;600),INDEX(m_label,_xlfn.MAXIFS(m_row,m_teacher,AG$4,m_date,($G$2+15),m_active,1,m_start,"&lt;"&amp;660,m_end,"&gt;"&amp;600))))))</f>
        <v/>
      </c>
      <c r="AH17" s="88" t="str">
        <f aca="false">IF(OR(AH$4="",MONTH(($G$2+15))&lt;&gt;MONTH($C$2)),"",IF(COUNTIFS(m_teacher,AH$4,m_date,($G$2+15),m_active,1,m_start,"&lt;"&amp;660,m_end,"&gt;"&amp;600)=0,"",IF(COUNTIFS(m_teacher,AH$4,m_date,($G$2+15),m_active,1,m_start,"&lt;"&amp;660,m_end,"&gt;"&amp;600)&gt;1,"충돌",HYPERLINK("#'관리자_MASTER'!D"&amp;_xlfn.MAXIFS(m_row,m_teacher,AH$4,m_date,($G$2+15),m_active,1,m_start,"&lt;"&amp;660,m_end,"&gt;"&amp;600),INDEX(m_label,_xlfn.MAXIFS(m_row,m_teacher,AH$4,m_date,($G$2+15),m_active,1,m_start,"&lt;"&amp;660,m_end,"&gt;"&amp;600))))))</f>
        <v/>
      </c>
      <c r="AI17" s="88" t="str">
        <f aca="false">IF(OR(AI$4="",MONTH(($G$2+15))&lt;&gt;MONTH($C$2)),"",IF(COUNTIFS(m_teacher,AI$4,m_date,($G$2+15),m_active,1,m_start,"&lt;"&amp;660,m_end,"&gt;"&amp;600)=0,"",IF(COUNTIFS(m_teacher,AI$4,m_date,($G$2+15),m_active,1,m_start,"&lt;"&amp;660,m_end,"&gt;"&amp;600)&gt;1,"충돌",HYPERLINK("#'관리자_MASTER'!D"&amp;_xlfn.MAXIFS(m_row,m_teacher,AI$4,m_date,($G$2+15),m_active,1,m_start,"&lt;"&amp;660,m_end,"&gt;"&amp;600),INDEX(m_label,_xlfn.MAXIFS(m_row,m_teacher,AI$4,m_date,($G$2+15),m_active,1,m_start,"&lt;"&amp;660,m_end,"&gt;"&amp;600))))))</f>
        <v/>
      </c>
      <c r="AJ17" s="88" t="str">
        <f aca="false">IF(OR(AJ$4="",MONTH(($G$2+15))&lt;&gt;MONTH($C$2)),"",IF(COUNTIFS(m_teacher,AJ$4,m_date,($G$2+15),m_active,1,m_start,"&lt;"&amp;660,m_end,"&gt;"&amp;600)=0,"",IF(COUNTIFS(m_teacher,AJ$4,m_date,($G$2+15),m_active,1,m_start,"&lt;"&amp;660,m_end,"&gt;"&amp;600)&gt;1,"충돌",HYPERLINK("#'관리자_MASTER'!D"&amp;_xlfn.MAXIFS(m_row,m_teacher,AJ$4,m_date,($G$2+15),m_active,1,m_start,"&lt;"&amp;660,m_end,"&gt;"&amp;600),INDEX(m_label,_xlfn.MAXIFS(m_row,m_teacher,AJ$4,m_date,($G$2+15),m_active,1,m_start,"&lt;"&amp;660,m_end,"&gt;"&amp;600))))))</f>
        <v/>
      </c>
      <c r="AK17" s="88" t="str">
        <f aca="false">IF(OR(AK$4="",MONTH(($G$2+15))&lt;&gt;MONTH($C$2)),"",IF(COUNTIFS(m_teacher,AK$4,m_date,($G$2+15),m_active,1,m_start,"&lt;"&amp;660,m_end,"&gt;"&amp;600)=0,"",IF(COUNTIFS(m_teacher,AK$4,m_date,($G$2+15),m_active,1,m_start,"&lt;"&amp;660,m_end,"&gt;"&amp;600)&gt;1,"충돌",HYPERLINK("#'관리자_MASTER'!D"&amp;_xlfn.MAXIFS(m_row,m_teacher,AK$4,m_date,($G$2+15),m_active,1,m_start,"&lt;"&amp;660,m_end,"&gt;"&amp;600),INDEX(m_label,_xlfn.MAXIFS(m_row,m_teacher,AK$4,m_date,($G$2+15),m_active,1,m_start,"&lt;"&amp;660,m_end,"&gt;"&amp;600))))))</f>
        <v/>
      </c>
      <c r="AL17" s="88" t="str">
        <f aca="false">IF(OR(AL$4="",MONTH(($G$2+15))&lt;&gt;MONTH($C$2)),"",IF(COUNTIFS(m_teacher,AL$4,m_date,($G$2+15),m_active,1,m_start,"&lt;"&amp;660,m_end,"&gt;"&amp;600)=0,"",IF(COUNTIFS(m_teacher,AL$4,m_date,($G$2+15),m_active,1,m_start,"&lt;"&amp;660,m_end,"&gt;"&amp;600)&gt;1,"충돌",HYPERLINK("#'관리자_MASTER'!D"&amp;_xlfn.MAXIFS(m_row,m_teacher,AL$4,m_date,($G$2+15),m_active,1,m_start,"&lt;"&amp;660,m_end,"&gt;"&amp;600),INDEX(m_label,_xlfn.MAXIFS(m_row,m_teacher,AL$4,m_date,($G$2+15),m_active,1,m_start,"&lt;"&amp;660,m_end,"&gt;"&amp;600))))))</f>
        <v/>
      </c>
      <c r="AM17" s="88" t="str">
        <f aca="false">IF(OR(AM$4="",MONTH(($G$2+15))&lt;&gt;MONTH($C$2)),"",IF(COUNTIFS(m_teacher,AM$4,m_date,($G$2+15),m_active,1,m_start,"&lt;"&amp;660,m_end,"&gt;"&amp;600)=0,"",IF(COUNTIFS(m_teacher,AM$4,m_date,($G$2+15),m_active,1,m_start,"&lt;"&amp;660,m_end,"&gt;"&amp;600)&gt;1,"충돌",HYPERLINK("#'관리자_MASTER'!D"&amp;_xlfn.MAXIFS(m_row,m_teacher,AM$4,m_date,($G$2+15),m_active,1,m_start,"&lt;"&amp;660,m_end,"&gt;"&amp;600),INDEX(m_label,_xlfn.MAXIFS(m_row,m_teacher,AM$4,m_date,($G$2+15),m_active,1,m_start,"&lt;"&amp;660,m_end,"&gt;"&amp;600))))))</f>
        <v/>
      </c>
      <c r="AN17" s="88" t="str">
        <f aca="false">IF(OR(AN$4="",MONTH(($G$2+15))&lt;&gt;MONTH($C$2)),"",IF(COUNTIFS(m_teacher,AN$4,m_date,($G$2+15),m_active,1,m_start,"&lt;"&amp;660,m_end,"&gt;"&amp;600)=0,"",IF(COUNTIFS(m_teacher,AN$4,m_date,($G$2+15),m_active,1,m_start,"&lt;"&amp;660,m_end,"&gt;"&amp;600)&gt;1,"충돌",HYPERLINK("#'관리자_MASTER'!D"&amp;_xlfn.MAXIFS(m_row,m_teacher,AN$4,m_date,($G$2+15),m_active,1,m_start,"&lt;"&amp;660,m_end,"&gt;"&amp;600),INDEX(m_label,_xlfn.MAXIFS(m_row,m_teacher,AN$4,m_date,($G$2+15),m_active,1,m_start,"&lt;"&amp;660,m_end,"&gt;"&amp;600))))))</f>
        <v/>
      </c>
      <c r="AO17" s="88" t="str">
        <f aca="false">IF(OR(AO$4="",MONTH(($G$2+15))&lt;&gt;MONTH($C$2)),"",IF(COUNTIFS(m_teacher,AO$4,m_date,($G$2+15),m_active,1,m_start,"&lt;"&amp;660,m_end,"&gt;"&amp;600)=0,"",IF(COUNTIFS(m_teacher,AO$4,m_date,($G$2+15),m_active,1,m_start,"&lt;"&amp;660,m_end,"&gt;"&amp;600)&gt;1,"충돌",HYPERLINK("#'관리자_MASTER'!D"&amp;_xlfn.MAXIFS(m_row,m_teacher,AO$4,m_date,($G$2+15),m_active,1,m_start,"&lt;"&amp;660,m_end,"&gt;"&amp;600),INDEX(m_label,_xlfn.MAXIFS(m_row,m_teacher,AO$4,m_date,($G$2+15),m_active,1,m_start,"&lt;"&amp;660,m_end,"&gt;"&amp;600))))))</f>
        <v/>
      </c>
      <c r="AP17" s="88" t="str">
        <f aca="false">IF(OR(AP$4="",MONTH(($G$2+15))&lt;&gt;MONTH($C$2)),"",IF(COUNTIFS(m_teacher,AP$4,m_date,($G$2+15),m_active,1,m_start,"&lt;"&amp;660,m_end,"&gt;"&amp;600)=0,"",IF(COUNTIFS(m_teacher,AP$4,m_date,($G$2+15),m_active,1,m_start,"&lt;"&amp;660,m_end,"&gt;"&amp;600)&gt;1,"충돌",HYPERLINK("#'관리자_MASTER'!D"&amp;_xlfn.MAXIFS(m_row,m_teacher,AP$4,m_date,($G$2+15),m_active,1,m_start,"&lt;"&amp;660,m_end,"&gt;"&amp;600),INDEX(m_label,_xlfn.MAXIFS(m_row,m_teacher,AP$4,m_date,($G$2+15),m_active,1,m_start,"&lt;"&amp;660,m_end,"&gt;"&amp;600))))))</f>
        <v/>
      </c>
      <c r="AQ17" s="78"/>
      <c r="AR17" s="79" t="s">
        <v>92</v>
      </c>
      <c r="AS17" s="88" t="str">
        <f aca="false">IF(OR(AS$4="",MONTH(($G$2+22))&lt;&gt;MONTH($C$2)),"",IF(COUNTIFS(m_teacher,AS$4,m_date,($G$2+22),m_active,1,m_start,"&lt;"&amp;660,m_end,"&gt;"&amp;600)=0,"",IF(COUNTIFS(m_teacher,AS$4,m_date,($G$2+22),m_active,1,m_start,"&lt;"&amp;660,m_end,"&gt;"&amp;600)&gt;1,"충돌",HYPERLINK("#'관리자_MASTER'!D"&amp;_xlfn.MAXIFS(m_row,m_teacher,AS$4,m_date,($G$2+22),m_active,1,m_start,"&lt;"&amp;660,m_end,"&gt;"&amp;600),INDEX(m_label,_xlfn.MAXIFS(m_row,m_teacher,AS$4,m_date,($G$2+22),m_active,1,m_start,"&lt;"&amp;660,m_end,"&gt;"&amp;600))))))</f>
        <v/>
      </c>
      <c r="AT17" s="88" t="str">
        <f aca="false">IF(OR(AT$4="",MONTH(($G$2+22))&lt;&gt;MONTH($C$2)),"",IF(COUNTIFS(m_teacher,AT$4,m_date,($G$2+22),m_active,1,m_start,"&lt;"&amp;660,m_end,"&gt;"&amp;600)=0,"",IF(COUNTIFS(m_teacher,AT$4,m_date,($G$2+22),m_active,1,m_start,"&lt;"&amp;660,m_end,"&gt;"&amp;600)&gt;1,"충돌",HYPERLINK("#'관리자_MASTER'!D"&amp;_xlfn.MAXIFS(m_row,m_teacher,AT$4,m_date,($G$2+22),m_active,1,m_start,"&lt;"&amp;660,m_end,"&gt;"&amp;600),INDEX(m_label,_xlfn.MAXIFS(m_row,m_teacher,AT$4,m_date,($G$2+22),m_active,1,m_start,"&lt;"&amp;660,m_end,"&gt;"&amp;600))))))</f>
        <v/>
      </c>
      <c r="AU17" s="88" t="str">
        <f aca="false">IF(OR(AU$4="",MONTH(($G$2+22))&lt;&gt;MONTH($C$2)),"",IF(COUNTIFS(m_teacher,AU$4,m_date,($G$2+22),m_active,1,m_start,"&lt;"&amp;660,m_end,"&gt;"&amp;600)=0,"",IF(COUNTIFS(m_teacher,AU$4,m_date,($G$2+22),m_active,1,m_start,"&lt;"&amp;660,m_end,"&gt;"&amp;600)&gt;1,"충돌",HYPERLINK("#'관리자_MASTER'!D"&amp;_xlfn.MAXIFS(m_row,m_teacher,AU$4,m_date,($G$2+22),m_active,1,m_start,"&lt;"&amp;660,m_end,"&gt;"&amp;600),INDEX(m_label,_xlfn.MAXIFS(m_row,m_teacher,AU$4,m_date,($G$2+22),m_active,1,m_start,"&lt;"&amp;660,m_end,"&gt;"&amp;600))))))</f>
        <v/>
      </c>
      <c r="AV17" s="88" t="str">
        <f aca="false">IF(OR(AV$4="",MONTH(($G$2+22))&lt;&gt;MONTH($C$2)),"",IF(COUNTIFS(m_teacher,AV$4,m_date,($G$2+22),m_active,1,m_start,"&lt;"&amp;660,m_end,"&gt;"&amp;600)=0,"",IF(COUNTIFS(m_teacher,AV$4,m_date,($G$2+22),m_active,1,m_start,"&lt;"&amp;660,m_end,"&gt;"&amp;600)&gt;1,"충돌",HYPERLINK("#'관리자_MASTER'!D"&amp;_xlfn.MAXIFS(m_row,m_teacher,AV$4,m_date,($G$2+22),m_active,1,m_start,"&lt;"&amp;660,m_end,"&gt;"&amp;600),INDEX(m_label,_xlfn.MAXIFS(m_row,m_teacher,AV$4,m_date,($G$2+22),m_active,1,m_start,"&lt;"&amp;660,m_end,"&gt;"&amp;600))))))</f>
        <v/>
      </c>
      <c r="AW17" s="88" t="str">
        <f aca="false">IF(OR(AW$4="",MONTH(($G$2+22))&lt;&gt;MONTH($C$2)),"",IF(COUNTIFS(m_teacher,AW$4,m_date,($G$2+22),m_active,1,m_start,"&lt;"&amp;660,m_end,"&gt;"&amp;600)=0,"",IF(COUNTIFS(m_teacher,AW$4,m_date,($G$2+22),m_active,1,m_start,"&lt;"&amp;660,m_end,"&gt;"&amp;600)&gt;1,"충돌",HYPERLINK("#'관리자_MASTER'!D"&amp;_xlfn.MAXIFS(m_row,m_teacher,AW$4,m_date,($G$2+22),m_active,1,m_start,"&lt;"&amp;660,m_end,"&gt;"&amp;600),INDEX(m_label,_xlfn.MAXIFS(m_row,m_teacher,AW$4,m_date,($G$2+22),m_active,1,m_start,"&lt;"&amp;660,m_end,"&gt;"&amp;600))))))</f>
        <v/>
      </c>
      <c r="AX17" s="88" t="str">
        <f aca="false">IF(OR(AX$4="",MONTH(($G$2+22))&lt;&gt;MONTH($C$2)),"",IF(COUNTIFS(m_teacher,AX$4,m_date,($G$2+22),m_active,1,m_start,"&lt;"&amp;660,m_end,"&gt;"&amp;600)=0,"",IF(COUNTIFS(m_teacher,AX$4,m_date,($G$2+22),m_active,1,m_start,"&lt;"&amp;660,m_end,"&gt;"&amp;600)&gt;1,"충돌",HYPERLINK("#'관리자_MASTER'!D"&amp;_xlfn.MAXIFS(m_row,m_teacher,AX$4,m_date,($G$2+22),m_active,1,m_start,"&lt;"&amp;660,m_end,"&gt;"&amp;600),INDEX(m_label,_xlfn.MAXIFS(m_row,m_teacher,AX$4,m_date,($G$2+22),m_active,1,m_start,"&lt;"&amp;660,m_end,"&gt;"&amp;600))))))</f>
        <v/>
      </c>
      <c r="AY17" s="88" t="str">
        <f aca="false">IF(OR(AY$4="",MONTH(($G$2+22))&lt;&gt;MONTH($C$2)),"",IF(COUNTIFS(m_teacher,AY$4,m_date,($G$2+22),m_active,1,m_start,"&lt;"&amp;660,m_end,"&gt;"&amp;600)=0,"",IF(COUNTIFS(m_teacher,AY$4,m_date,($G$2+22),m_active,1,m_start,"&lt;"&amp;660,m_end,"&gt;"&amp;600)&gt;1,"충돌",HYPERLINK("#'관리자_MASTER'!D"&amp;_xlfn.MAXIFS(m_row,m_teacher,AY$4,m_date,($G$2+22),m_active,1,m_start,"&lt;"&amp;660,m_end,"&gt;"&amp;600),INDEX(m_label,_xlfn.MAXIFS(m_row,m_teacher,AY$4,m_date,($G$2+22),m_active,1,m_start,"&lt;"&amp;660,m_end,"&gt;"&amp;600))))))</f>
        <v/>
      </c>
      <c r="AZ17" s="88" t="str">
        <f aca="false">IF(OR(AZ$4="",MONTH(($G$2+22))&lt;&gt;MONTH($C$2)),"",IF(COUNTIFS(m_teacher,AZ$4,m_date,($G$2+22),m_active,1,m_start,"&lt;"&amp;660,m_end,"&gt;"&amp;600)=0,"",IF(COUNTIFS(m_teacher,AZ$4,m_date,($G$2+22),m_active,1,m_start,"&lt;"&amp;660,m_end,"&gt;"&amp;600)&gt;1,"충돌",HYPERLINK("#'관리자_MASTER'!D"&amp;_xlfn.MAXIFS(m_row,m_teacher,AZ$4,m_date,($G$2+22),m_active,1,m_start,"&lt;"&amp;660,m_end,"&gt;"&amp;600),INDEX(m_label,_xlfn.MAXIFS(m_row,m_teacher,AZ$4,m_date,($G$2+22),m_active,1,m_start,"&lt;"&amp;660,m_end,"&gt;"&amp;600))))))</f>
        <v/>
      </c>
      <c r="BA17" s="88" t="str">
        <f aca="false">IF(OR(BA$4="",MONTH(($G$2+22))&lt;&gt;MONTH($C$2)),"",IF(COUNTIFS(m_teacher,BA$4,m_date,($G$2+22),m_active,1,m_start,"&lt;"&amp;660,m_end,"&gt;"&amp;600)=0,"",IF(COUNTIFS(m_teacher,BA$4,m_date,($G$2+22),m_active,1,m_start,"&lt;"&amp;660,m_end,"&gt;"&amp;600)&gt;1,"충돌",HYPERLINK("#'관리자_MASTER'!D"&amp;_xlfn.MAXIFS(m_row,m_teacher,BA$4,m_date,($G$2+22),m_active,1,m_start,"&lt;"&amp;660,m_end,"&gt;"&amp;600),INDEX(m_label,_xlfn.MAXIFS(m_row,m_teacher,BA$4,m_date,($G$2+22),m_active,1,m_start,"&lt;"&amp;660,m_end,"&gt;"&amp;600))))))</f>
        <v/>
      </c>
      <c r="BB17" s="88" t="str">
        <f aca="false">IF(OR(BB$4="",MONTH(($G$2+22))&lt;&gt;MONTH($C$2)),"",IF(COUNTIFS(m_teacher,BB$4,m_date,($G$2+22),m_active,1,m_start,"&lt;"&amp;660,m_end,"&gt;"&amp;600)=0,"",IF(COUNTIFS(m_teacher,BB$4,m_date,($G$2+22),m_active,1,m_start,"&lt;"&amp;660,m_end,"&gt;"&amp;600)&gt;1,"충돌",HYPERLINK("#'관리자_MASTER'!D"&amp;_xlfn.MAXIFS(m_row,m_teacher,BB$4,m_date,($G$2+22),m_active,1,m_start,"&lt;"&amp;660,m_end,"&gt;"&amp;600),INDEX(m_label,_xlfn.MAXIFS(m_row,m_teacher,BB$4,m_date,($G$2+22),m_active,1,m_start,"&lt;"&amp;660,m_end,"&gt;"&amp;600))))))</f>
        <v/>
      </c>
      <c r="BC17" s="88" t="str">
        <f aca="false">IF(OR(BC$4="",MONTH(($G$2+22))&lt;&gt;MONTH($C$2)),"",IF(COUNTIFS(m_teacher,BC$4,m_date,($G$2+22),m_active,1,m_start,"&lt;"&amp;660,m_end,"&gt;"&amp;600)=0,"",IF(COUNTIFS(m_teacher,BC$4,m_date,($G$2+22),m_active,1,m_start,"&lt;"&amp;660,m_end,"&gt;"&amp;600)&gt;1,"충돌",HYPERLINK("#'관리자_MASTER'!D"&amp;_xlfn.MAXIFS(m_row,m_teacher,BC$4,m_date,($G$2+22),m_active,1,m_start,"&lt;"&amp;660,m_end,"&gt;"&amp;600),INDEX(m_label,_xlfn.MAXIFS(m_row,m_teacher,BC$4,m_date,($G$2+22),m_active,1,m_start,"&lt;"&amp;660,m_end,"&gt;"&amp;600))))))</f>
        <v/>
      </c>
      <c r="BD17" s="88" t="str">
        <f aca="false">IF(OR(BD$4="",MONTH(($G$2+22))&lt;&gt;MONTH($C$2)),"",IF(COUNTIFS(m_teacher,BD$4,m_date,($G$2+22),m_active,1,m_start,"&lt;"&amp;660,m_end,"&gt;"&amp;600)=0,"",IF(COUNTIFS(m_teacher,BD$4,m_date,($G$2+22),m_active,1,m_start,"&lt;"&amp;660,m_end,"&gt;"&amp;600)&gt;1,"충돌",HYPERLINK("#'관리자_MASTER'!D"&amp;_xlfn.MAXIFS(m_row,m_teacher,BD$4,m_date,($G$2+22),m_active,1,m_start,"&lt;"&amp;660,m_end,"&gt;"&amp;600),INDEX(m_label,_xlfn.MAXIFS(m_row,m_teacher,BD$4,m_date,($G$2+22),m_active,1,m_start,"&lt;"&amp;660,m_end,"&gt;"&amp;600))))))</f>
        <v/>
      </c>
      <c r="BE17" s="78"/>
      <c r="BF17" s="79" t="s">
        <v>92</v>
      </c>
      <c r="BG17" s="88" t="str">
        <f aca="false">IF(OR(BG$4="",MONTH(($G$2+29))&lt;&gt;MONTH($C$2)),"",IF(COUNTIFS(m_teacher,BG$4,m_date,($G$2+29),m_active,1,m_start,"&lt;"&amp;660,m_end,"&gt;"&amp;600)=0,"",IF(COUNTIFS(m_teacher,BG$4,m_date,($G$2+29),m_active,1,m_start,"&lt;"&amp;660,m_end,"&gt;"&amp;600)&gt;1,"충돌",HYPERLINK("#'관리자_MASTER'!D"&amp;_xlfn.MAXIFS(m_row,m_teacher,BG$4,m_date,($G$2+29),m_active,1,m_start,"&lt;"&amp;660,m_end,"&gt;"&amp;600),INDEX(m_label,_xlfn.MAXIFS(m_row,m_teacher,BG$4,m_date,($G$2+29),m_active,1,m_start,"&lt;"&amp;660,m_end,"&gt;"&amp;600))))))</f>
        <v/>
      </c>
      <c r="BH17" s="88" t="str">
        <f aca="false">IF(OR(BH$4="",MONTH(($G$2+29))&lt;&gt;MONTH($C$2)),"",IF(COUNTIFS(m_teacher,BH$4,m_date,($G$2+29),m_active,1,m_start,"&lt;"&amp;660,m_end,"&gt;"&amp;600)=0,"",IF(COUNTIFS(m_teacher,BH$4,m_date,($G$2+29),m_active,1,m_start,"&lt;"&amp;660,m_end,"&gt;"&amp;600)&gt;1,"충돌",HYPERLINK("#'관리자_MASTER'!D"&amp;_xlfn.MAXIFS(m_row,m_teacher,BH$4,m_date,($G$2+29),m_active,1,m_start,"&lt;"&amp;660,m_end,"&gt;"&amp;600),INDEX(m_label,_xlfn.MAXIFS(m_row,m_teacher,BH$4,m_date,($G$2+29),m_active,1,m_start,"&lt;"&amp;660,m_end,"&gt;"&amp;600))))))</f>
        <v/>
      </c>
      <c r="BI17" s="88" t="str">
        <f aca="false">IF(OR(BI$4="",MONTH(($G$2+29))&lt;&gt;MONTH($C$2)),"",IF(COUNTIFS(m_teacher,BI$4,m_date,($G$2+29),m_active,1,m_start,"&lt;"&amp;660,m_end,"&gt;"&amp;600)=0,"",IF(COUNTIFS(m_teacher,BI$4,m_date,($G$2+29),m_active,1,m_start,"&lt;"&amp;660,m_end,"&gt;"&amp;600)&gt;1,"충돌",HYPERLINK("#'관리자_MASTER'!D"&amp;_xlfn.MAXIFS(m_row,m_teacher,BI$4,m_date,($G$2+29),m_active,1,m_start,"&lt;"&amp;660,m_end,"&gt;"&amp;600),INDEX(m_label,_xlfn.MAXIFS(m_row,m_teacher,BI$4,m_date,($G$2+29),m_active,1,m_start,"&lt;"&amp;660,m_end,"&gt;"&amp;600))))))</f>
        <v/>
      </c>
      <c r="BJ17" s="88" t="str">
        <f aca="false">IF(OR(BJ$4="",MONTH(($G$2+29))&lt;&gt;MONTH($C$2)),"",IF(COUNTIFS(m_teacher,BJ$4,m_date,($G$2+29),m_active,1,m_start,"&lt;"&amp;660,m_end,"&gt;"&amp;600)=0,"",IF(COUNTIFS(m_teacher,BJ$4,m_date,($G$2+29),m_active,1,m_start,"&lt;"&amp;660,m_end,"&gt;"&amp;600)&gt;1,"충돌",HYPERLINK("#'관리자_MASTER'!D"&amp;_xlfn.MAXIFS(m_row,m_teacher,BJ$4,m_date,($G$2+29),m_active,1,m_start,"&lt;"&amp;660,m_end,"&gt;"&amp;600),INDEX(m_label,_xlfn.MAXIFS(m_row,m_teacher,BJ$4,m_date,($G$2+29),m_active,1,m_start,"&lt;"&amp;660,m_end,"&gt;"&amp;600))))))</f>
        <v/>
      </c>
      <c r="BK17" s="88" t="str">
        <f aca="false">IF(OR(BK$4="",MONTH(($G$2+29))&lt;&gt;MONTH($C$2)),"",IF(COUNTIFS(m_teacher,BK$4,m_date,($G$2+29),m_active,1,m_start,"&lt;"&amp;660,m_end,"&gt;"&amp;600)=0,"",IF(COUNTIFS(m_teacher,BK$4,m_date,($G$2+29),m_active,1,m_start,"&lt;"&amp;660,m_end,"&gt;"&amp;600)&gt;1,"충돌",HYPERLINK("#'관리자_MASTER'!D"&amp;_xlfn.MAXIFS(m_row,m_teacher,BK$4,m_date,($G$2+29),m_active,1,m_start,"&lt;"&amp;660,m_end,"&gt;"&amp;600),INDEX(m_label,_xlfn.MAXIFS(m_row,m_teacher,BK$4,m_date,($G$2+29),m_active,1,m_start,"&lt;"&amp;660,m_end,"&gt;"&amp;600))))))</f>
        <v/>
      </c>
      <c r="BL17" s="88" t="str">
        <f aca="false">IF(OR(BL$4="",MONTH(($G$2+29))&lt;&gt;MONTH($C$2)),"",IF(COUNTIFS(m_teacher,BL$4,m_date,($G$2+29),m_active,1,m_start,"&lt;"&amp;660,m_end,"&gt;"&amp;600)=0,"",IF(COUNTIFS(m_teacher,BL$4,m_date,($G$2+29),m_active,1,m_start,"&lt;"&amp;660,m_end,"&gt;"&amp;600)&gt;1,"충돌",HYPERLINK("#'관리자_MASTER'!D"&amp;_xlfn.MAXIFS(m_row,m_teacher,BL$4,m_date,($G$2+29),m_active,1,m_start,"&lt;"&amp;660,m_end,"&gt;"&amp;600),INDEX(m_label,_xlfn.MAXIFS(m_row,m_teacher,BL$4,m_date,($G$2+29),m_active,1,m_start,"&lt;"&amp;660,m_end,"&gt;"&amp;600))))))</f>
        <v/>
      </c>
      <c r="BM17" s="88" t="str">
        <f aca="false">IF(OR(BM$4="",MONTH(($G$2+29))&lt;&gt;MONTH($C$2)),"",IF(COUNTIFS(m_teacher,BM$4,m_date,($G$2+29),m_active,1,m_start,"&lt;"&amp;660,m_end,"&gt;"&amp;600)=0,"",IF(COUNTIFS(m_teacher,BM$4,m_date,($G$2+29),m_active,1,m_start,"&lt;"&amp;660,m_end,"&gt;"&amp;600)&gt;1,"충돌",HYPERLINK("#'관리자_MASTER'!D"&amp;_xlfn.MAXIFS(m_row,m_teacher,BM$4,m_date,($G$2+29),m_active,1,m_start,"&lt;"&amp;660,m_end,"&gt;"&amp;600),INDEX(m_label,_xlfn.MAXIFS(m_row,m_teacher,BM$4,m_date,($G$2+29),m_active,1,m_start,"&lt;"&amp;660,m_end,"&gt;"&amp;600))))))</f>
        <v/>
      </c>
      <c r="BN17" s="88" t="str">
        <f aca="false">IF(OR(BN$4="",MONTH(($G$2+29))&lt;&gt;MONTH($C$2)),"",IF(COUNTIFS(m_teacher,BN$4,m_date,($G$2+29),m_active,1,m_start,"&lt;"&amp;660,m_end,"&gt;"&amp;600)=0,"",IF(COUNTIFS(m_teacher,BN$4,m_date,($G$2+29),m_active,1,m_start,"&lt;"&amp;660,m_end,"&gt;"&amp;600)&gt;1,"충돌",HYPERLINK("#'관리자_MASTER'!D"&amp;_xlfn.MAXIFS(m_row,m_teacher,BN$4,m_date,($G$2+29),m_active,1,m_start,"&lt;"&amp;660,m_end,"&gt;"&amp;600),INDEX(m_label,_xlfn.MAXIFS(m_row,m_teacher,BN$4,m_date,($G$2+29),m_active,1,m_start,"&lt;"&amp;660,m_end,"&gt;"&amp;600))))))</f>
        <v/>
      </c>
      <c r="BO17" s="88" t="str">
        <f aca="false">IF(OR(BO$4="",MONTH(($G$2+29))&lt;&gt;MONTH($C$2)),"",IF(COUNTIFS(m_teacher,BO$4,m_date,($G$2+29),m_active,1,m_start,"&lt;"&amp;660,m_end,"&gt;"&amp;600)=0,"",IF(COUNTIFS(m_teacher,BO$4,m_date,($G$2+29),m_active,1,m_start,"&lt;"&amp;660,m_end,"&gt;"&amp;600)&gt;1,"충돌",HYPERLINK("#'관리자_MASTER'!D"&amp;_xlfn.MAXIFS(m_row,m_teacher,BO$4,m_date,($G$2+29),m_active,1,m_start,"&lt;"&amp;660,m_end,"&gt;"&amp;600),INDEX(m_label,_xlfn.MAXIFS(m_row,m_teacher,BO$4,m_date,($G$2+29),m_active,1,m_start,"&lt;"&amp;660,m_end,"&gt;"&amp;600))))))</f>
        <v/>
      </c>
      <c r="BP17" s="88" t="str">
        <f aca="false">IF(OR(BP$4="",MONTH(($G$2+29))&lt;&gt;MONTH($C$2)),"",IF(COUNTIFS(m_teacher,BP$4,m_date,($G$2+29),m_active,1,m_start,"&lt;"&amp;660,m_end,"&gt;"&amp;600)=0,"",IF(COUNTIFS(m_teacher,BP$4,m_date,($G$2+29),m_active,1,m_start,"&lt;"&amp;660,m_end,"&gt;"&amp;600)&gt;1,"충돌",HYPERLINK("#'관리자_MASTER'!D"&amp;_xlfn.MAXIFS(m_row,m_teacher,BP$4,m_date,($G$2+29),m_active,1,m_start,"&lt;"&amp;660,m_end,"&gt;"&amp;600),INDEX(m_label,_xlfn.MAXIFS(m_row,m_teacher,BP$4,m_date,($G$2+29),m_active,1,m_start,"&lt;"&amp;660,m_end,"&gt;"&amp;600))))))</f>
        <v/>
      </c>
      <c r="BQ17" s="88" t="str">
        <f aca="false">IF(OR(BQ$4="",MONTH(($G$2+29))&lt;&gt;MONTH($C$2)),"",IF(COUNTIFS(m_teacher,BQ$4,m_date,($G$2+29),m_active,1,m_start,"&lt;"&amp;660,m_end,"&gt;"&amp;600)=0,"",IF(COUNTIFS(m_teacher,BQ$4,m_date,($G$2+29),m_active,1,m_start,"&lt;"&amp;660,m_end,"&gt;"&amp;600)&gt;1,"충돌",HYPERLINK("#'관리자_MASTER'!D"&amp;_xlfn.MAXIFS(m_row,m_teacher,BQ$4,m_date,($G$2+29),m_active,1,m_start,"&lt;"&amp;660,m_end,"&gt;"&amp;600),INDEX(m_label,_xlfn.MAXIFS(m_row,m_teacher,BQ$4,m_date,($G$2+29),m_active,1,m_start,"&lt;"&amp;660,m_end,"&gt;"&amp;600))))))</f>
        <v/>
      </c>
      <c r="BR17" s="88" t="str">
        <f aca="false">IF(OR(BR$4="",MONTH(($G$2+29))&lt;&gt;MONTH($C$2)),"",IF(COUNTIFS(m_teacher,BR$4,m_date,($G$2+29),m_active,1,m_start,"&lt;"&amp;660,m_end,"&gt;"&amp;600)=0,"",IF(COUNTIFS(m_teacher,BR$4,m_date,($G$2+29),m_active,1,m_start,"&lt;"&amp;660,m_end,"&gt;"&amp;600)&gt;1,"충돌",HYPERLINK("#'관리자_MASTER'!D"&amp;_xlfn.MAXIFS(m_row,m_teacher,BR$4,m_date,($G$2+29),m_active,1,m_start,"&lt;"&amp;660,m_end,"&gt;"&amp;600),INDEX(m_label,_xlfn.MAXIFS(m_row,m_teacher,BR$4,m_date,($G$2+29),m_active,1,m_start,"&lt;"&amp;660,m_end,"&gt;"&amp;600))))))</f>
        <v/>
      </c>
    </row>
    <row r="18" customFormat="false" ht="19.5" hidden="false" customHeight="true" outlineLevel="0" collapsed="false">
      <c r="A18" s="78"/>
      <c r="B18" s="79" t="s">
        <v>93</v>
      </c>
      <c r="C18" s="88" t="str">
        <f aca="false">IF(OR(C$4="",MONTH(($G$2+1))&lt;&gt;MONTH($C$2)),"",IF(COUNTIFS(m_teacher,C$4,m_date,($G$2+1),m_active,1,m_start,"&lt;"&amp;720,m_end,"&gt;"&amp;660)=0,"",IF(COUNTIFS(m_teacher,C$4,m_date,($G$2+1),m_active,1,m_start,"&lt;"&amp;720,m_end,"&gt;"&amp;660)&gt;1,"충돌",HYPERLINK("#'관리자_MASTER'!D"&amp;_xlfn.MAXIFS(m_row,m_teacher,C$4,m_date,($G$2+1),m_active,1,m_start,"&lt;"&amp;720,m_end,"&gt;"&amp;660),INDEX(m_label,_xlfn.MAXIFS(m_row,m_teacher,C$4,m_date,($G$2+1),m_active,1,m_start,"&lt;"&amp;720,m_end,"&gt;"&amp;660))))))</f>
        <v/>
      </c>
      <c r="D18" s="88" t="str">
        <f aca="false">IF(OR(D$4="",MONTH(($G$2+1))&lt;&gt;MONTH($C$2)),"",IF(COUNTIFS(m_teacher,D$4,m_date,($G$2+1),m_active,1,m_start,"&lt;"&amp;720,m_end,"&gt;"&amp;660)=0,"",IF(COUNTIFS(m_teacher,D$4,m_date,($G$2+1),m_active,1,m_start,"&lt;"&amp;720,m_end,"&gt;"&amp;660)&gt;1,"충돌",HYPERLINK("#'관리자_MASTER'!D"&amp;_xlfn.MAXIFS(m_row,m_teacher,D$4,m_date,($G$2+1),m_active,1,m_start,"&lt;"&amp;720,m_end,"&gt;"&amp;660),INDEX(m_label,_xlfn.MAXIFS(m_row,m_teacher,D$4,m_date,($G$2+1),m_active,1,m_start,"&lt;"&amp;720,m_end,"&gt;"&amp;660))))))</f>
        <v/>
      </c>
      <c r="E18" s="88" t="str">
        <f aca="false">IF(OR(E$4="",MONTH(($G$2+1))&lt;&gt;MONTH($C$2)),"",IF(COUNTIFS(m_teacher,E$4,m_date,($G$2+1),m_active,1,m_start,"&lt;"&amp;720,m_end,"&gt;"&amp;660)=0,"",IF(COUNTIFS(m_teacher,E$4,m_date,($G$2+1),m_active,1,m_start,"&lt;"&amp;720,m_end,"&gt;"&amp;660)&gt;1,"충돌",HYPERLINK("#'관리자_MASTER'!D"&amp;_xlfn.MAXIFS(m_row,m_teacher,E$4,m_date,($G$2+1),m_active,1,m_start,"&lt;"&amp;720,m_end,"&gt;"&amp;660),INDEX(m_label,_xlfn.MAXIFS(m_row,m_teacher,E$4,m_date,($G$2+1),m_active,1,m_start,"&lt;"&amp;720,m_end,"&gt;"&amp;660))))))</f>
        <v/>
      </c>
      <c r="F18" s="88" t="str">
        <f aca="false">IF(OR(F$4="",MONTH(($G$2+1))&lt;&gt;MONTH($C$2)),"",IF(COUNTIFS(m_teacher,F$4,m_date,($G$2+1),m_active,1,m_start,"&lt;"&amp;720,m_end,"&gt;"&amp;660)=0,"",IF(COUNTIFS(m_teacher,F$4,m_date,($G$2+1),m_active,1,m_start,"&lt;"&amp;720,m_end,"&gt;"&amp;660)&gt;1,"충돌",HYPERLINK("#'관리자_MASTER'!D"&amp;_xlfn.MAXIFS(m_row,m_teacher,F$4,m_date,($G$2+1),m_active,1,m_start,"&lt;"&amp;720,m_end,"&gt;"&amp;660),INDEX(m_label,_xlfn.MAXIFS(m_row,m_teacher,F$4,m_date,($G$2+1),m_active,1,m_start,"&lt;"&amp;720,m_end,"&gt;"&amp;660))))))</f>
        <v/>
      </c>
      <c r="G18" s="88" t="str">
        <f aca="false">IF(OR(G$4="",MONTH(($G$2+1))&lt;&gt;MONTH($C$2)),"",IF(COUNTIFS(m_teacher,G$4,m_date,($G$2+1),m_active,1,m_start,"&lt;"&amp;720,m_end,"&gt;"&amp;660)=0,"",IF(COUNTIFS(m_teacher,G$4,m_date,($G$2+1),m_active,1,m_start,"&lt;"&amp;720,m_end,"&gt;"&amp;660)&gt;1,"충돌",HYPERLINK("#'관리자_MASTER'!D"&amp;_xlfn.MAXIFS(m_row,m_teacher,G$4,m_date,($G$2+1),m_active,1,m_start,"&lt;"&amp;720,m_end,"&gt;"&amp;660),INDEX(m_label,_xlfn.MAXIFS(m_row,m_teacher,G$4,m_date,($G$2+1),m_active,1,m_start,"&lt;"&amp;720,m_end,"&gt;"&amp;660))))))</f>
        <v/>
      </c>
      <c r="H18" s="88" t="str">
        <f aca="false">IF(OR(H$4="",MONTH(($G$2+1))&lt;&gt;MONTH($C$2)),"",IF(COUNTIFS(m_teacher,H$4,m_date,($G$2+1),m_active,1,m_start,"&lt;"&amp;720,m_end,"&gt;"&amp;660)=0,"",IF(COUNTIFS(m_teacher,H$4,m_date,($G$2+1),m_active,1,m_start,"&lt;"&amp;720,m_end,"&gt;"&amp;660)&gt;1,"충돌",HYPERLINK("#'관리자_MASTER'!D"&amp;_xlfn.MAXIFS(m_row,m_teacher,H$4,m_date,($G$2+1),m_active,1,m_start,"&lt;"&amp;720,m_end,"&gt;"&amp;660),INDEX(m_label,_xlfn.MAXIFS(m_row,m_teacher,H$4,m_date,($G$2+1),m_active,1,m_start,"&lt;"&amp;720,m_end,"&gt;"&amp;660))))))</f>
        <v/>
      </c>
      <c r="I18" s="88" t="str">
        <f aca="false">IF(OR(I$4="",MONTH(($G$2+1))&lt;&gt;MONTH($C$2)),"",IF(COUNTIFS(m_teacher,I$4,m_date,($G$2+1),m_active,1,m_start,"&lt;"&amp;720,m_end,"&gt;"&amp;660)=0,"",IF(COUNTIFS(m_teacher,I$4,m_date,($G$2+1),m_active,1,m_start,"&lt;"&amp;720,m_end,"&gt;"&amp;660)&gt;1,"충돌",HYPERLINK("#'관리자_MASTER'!D"&amp;_xlfn.MAXIFS(m_row,m_teacher,I$4,m_date,($G$2+1),m_active,1,m_start,"&lt;"&amp;720,m_end,"&gt;"&amp;660),INDEX(m_label,_xlfn.MAXIFS(m_row,m_teacher,I$4,m_date,($G$2+1),m_active,1,m_start,"&lt;"&amp;720,m_end,"&gt;"&amp;660))))))</f>
        <v/>
      </c>
      <c r="J18" s="88" t="str">
        <f aca="false">IF(OR(J$4="",MONTH(($G$2+1))&lt;&gt;MONTH($C$2)),"",IF(COUNTIFS(m_teacher,J$4,m_date,($G$2+1),m_active,1,m_start,"&lt;"&amp;720,m_end,"&gt;"&amp;660)=0,"",IF(COUNTIFS(m_teacher,J$4,m_date,($G$2+1),m_active,1,m_start,"&lt;"&amp;720,m_end,"&gt;"&amp;660)&gt;1,"충돌",HYPERLINK("#'관리자_MASTER'!D"&amp;_xlfn.MAXIFS(m_row,m_teacher,J$4,m_date,($G$2+1),m_active,1,m_start,"&lt;"&amp;720,m_end,"&gt;"&amp;660),INDEX(m_label,_xlfn.MAXIFS(m_row,m_teacher,J$4,m_date,($G$2+1),m_active,1,m_start,"&lt;"&amp;720,m_end,"&gt;"&amp;660))))))</f>
        <v/>
      </c>
      <c r="K18" s="88" t="str">
        <f aca="false">IF(OR(K$4="",MONTH(($G$2+1))&lt;&gt;MONTH($C$2)),"",IF(COUNTIFS(m_teacher,K$4,m_date,($G$2+1),m_active,1,m_start,"&lt;"&amp;720,m_end,"&gt;"&amp;660)=0,"",IF(COUNTIFS(m_teacher,K$4,m_date,($G$2+1),m_active,1,m_start,"&lt;"&amp;720,m_end,"&gt;"&amp;660)&gt;1,"충돌",HYPERLINK("#'관리자_MASTER'!D"&amp;_xlfn.MAXIFS(m_row,m_teacher,K$4,m_date,($G$2+1),m_active,1,m_start,"&lt;"&amp;720,m_end,"&gt;"&amp;660),INDEX(m_label,_xlfn.MAXIFS(m_row,m_teacher,K$4,m_date,($G$2+1),m_active,1,m_start,"&lt;"&amp;720,m_end,"&gt;"&amp;660))))))</f>
        <v/>
      </c>
      <c r="L18" s="88" t="str">
        <f aca="false">IF(OR(L$4="",MONTH(($G$2+1))&lt;&gt;MONTH($C$2)),"",IF(COUNTIFS(m_teacher,L$4,m_date,($G$2+1),m_active,1,m_start,"&lt;"&amp;720,m_end,"&gt;"&amp;660)=0,"",IF(COUNTIFS(m_teacher,L$4,m_date,($G$2+1),m_active,1,m_start,"&lt;"&amp;720,m_end,"&gt;"&amp;660)&gt;1,"충돌",HYPERLINK("#'관리자_MASTER'!D"&amp;_xlfn.MAXIFS(m_row,m_teacher,L$4,m_date,($G$2+1),m_active,1,m_start,"&lt;"&amp;720,m_end,"&gt;"&amp;660),INDEX(m_label,_xlfn.MAXIFS(m_row,m_teacher,L$4,m_date,($G$2+1),m_active,1,m_start,"&lt;"&amp;720,m_end,"&gt;"&amp;660))))))</f>
        <v/>
      </c>
      <c r="M18" s="88" t="str">
        <f aca="false">IF(OR(M$4="",MONTH(($G$2+1))&lt;&gt;MONTH($C$2)),"",IF(COUNTIFS(m_teacher,M$4,m_date,($G$2+1),m_active,1,m_start,"&lt;"&amp;720,m_end,"&gt;"&amp;660)=0,"",IF(COUNTIFS(m_teacher,M$4,m_date,($G$2+1),m_active,1,m_start,"&lt;"&amp;720,m_end,"&gt;"&amp;660)&gt;1,"충돌",HYPERLINK("#'관리자_MASTER'!D"&amp;_xlfn.MAXIFS(m_row,m_teacher,M$4,m_date,($G$2+1),m_active,1,m_start,"&lt;"&amp;720,m_end,"&gt;"&amp;660),INDEX(m_label,_xlfn.MAXIFS(m_row,m_teacher,M$4,m_date,($G$2+1),m_active,1,m_start,"&lt;"&amp;720,m_end,"&gt;"&amp;660))))))</f>
        <v/>
      </c>
      <c r="N18" s="88" t="str">
        <f aca="false">IF(OR(N$4="",MONTH(($G$2+1))&lt;&gt;MONTH($C$2)),"",IF(COUNTIFS(m_teacher,N$4,m_date,($G$2+1),m_active,1,m_start,"&lt;"&amp;720,m_end,"&gt;"&amp;660)=0,"",IF(COUNTIFS(m_teacher,N$4,m_date,($G$2+1),m_active,1,m_start,"&lt;"&amp;720,m_end,"&gt;"&amp;660)&gt;1,"충돌",HYPERLINK("#'관리자_MASTER'!D"&amp;_xlfn.MAXIFS(m_row,m_teacher,N$4,m_date,($G$2+1),m_active,1,m_start,"&lt;"&amp;720,m_end,"&gt;"&amp;660),INDEX(m_label,_xlfn.MAXIFS(m_row,m_teacher,N$4,m_date,($G$2+1),m_active,1,m_start,"&lt;"&amp;720,m_end,"&gt;"&amp;660))))))</f>
        <v/>
      </c>
      <c r="O18" s="78"/>
      <c r="P18" s="79" t="s">
        <v>93</v>
      </c>
      <c r="Q18" s="88" t="str">
        <f aca="false">IF(OR(Q$4="",MONTH(($G$2+8))&lt;&gt;MONTH($C$2)),"",IF(COUNTIFS(m_teacher,Q$4,m_date,($G$2+8),m_active,1,m_start,"&lt;"&amp;720,m_end,"&gt;"&amp;660)=0,"",IF(COUNTIFS(m_teacher,Q$4,m_date,($G$2+8),m_active,1,m_start,"&lt;"&amp;720,m_end,"&gt;"&amp;660)&gt;1,"충돌",HYPERLINK("#'관리자_MASTER'!D"&amp;_xlfn.MAXIFS(m_row,m_teacher,Q$4,m_date,($G$2+8),m_active,1,m_start,"&lt;"&amp;720,m_end,"&gt;"&amp;660),INDEX(m_label,_xlfn.MAXIFS(m_row,m_teacher,Q$4,m_date,($G$2+8),m_active,1,m_start,"&lt;"&amp;720,m_end,"&gt;"&amp;660))))))</f>
        <v/>
      </c>
      <c r="R18" s="88" t="str">
        <f aca="false">IF(OR(R$4="",MONTH(($G$2+8))&lt;&gt;MONTH($C$2)),"",IF(COUNTIFS(m_teacher,R$4,m_date,($G$2+8),m_active,1,m_start,"&lt;"&amp;720,m_end,"&gt;"&amp;660)=0,"",IF(COUNTIFS(m_teacher,R$4,m_date,($G$2+8),m_active,1,m_start,"&lt;"&amp;720,m_end,"&gt;"&amp;660)&gt;1,"충돌",HYPERLINK("#'관리자_MASTER'!D"&amp;_xlfn.MAXIFS(m_row,m_teacher,R$4,m_date,($G$2+8),m_active,1,m_start,"&lt;"&amp;720,m_end,"&gt;"&amp;660),INDEX(m_label,_xlfn.MAXIFS(m_row,m_teacher,R$4,m_date,($G$2+8),m_active,1,m_start,"&lt;"&amp;720,m_end,"&gt;"&amp;660))))))</f>
        <v/>
      </c>
      <c r="S18" s="88" t="str">
        <f aca="false">IF(OR(S$4="",MONTH(($G$2+8))&lt;&gt;MONTH($C$2)),"",IF(COUNTIFS(m_teacher,S$4,m_date,($G$2+8),m_active,1,m_start,"&lt;"&amp;720,m_end,"&gt;"&amp;660)=0,"",IF(COUNTIFS(m_teacher,S$4,m_date,($G$2+8),m_active,1,m_start,"&lt;"&amp;720,m_end,"&gt;"&amp;660)&gt;1,"충돌",HYPERLINK("#'관리자_MASTER'!D"&amp;_xlfn.MAXIFS(m_row,m_teacher,S$4,m_date,($G$2+8),m_active,1,m_start,"&lt;"&amp;720,m_end,"&gt;"&amp;660),INDEX(m_label,_xlfn.MAXIFS(m_row,m_teacher,S$4,m_date,($G$2+8),m_active,1,m_start,"&lt;"&amp;720,m_end,"&gt;"&amp;660))))))</f>
        <v/>
      </c>
      <c r="T18" s="88" t="str">
        <f aca="false">IF(OR(T$4="",MONTH(($G$2+8))&lt;&gt;MONTH($C$2)),"",IF(COUNTIFS(m_teacher,T$4,m_date,($G$2+8),m_active,1,m_start,"&lt;"&amp;720,m_end,"&gt;"&amp;660)=0,"",IF(COUNTIFS(m_teacher,T$4,m_date,($G$2+8),m_active,1,m_start,"&lt;"&amp;720,m_end,"&gt;"&amp;660)&gt;1,"충돌",HYPERLINK("#'관리자_MASTER'!D"&amp;_xlfn.MAXIFS(m_row,m_teacher,T$4,m_date,($G$2+8),m_active,1,m_start,"&lt;"&amp;720,m_end,"&gt;"&amp;660),INDEX(m_label,_xlfn.MAXIFS(m_row,m_teacher,T$4,m_date,($G$2+8),m_active,1,m_start,"&lt;"&amp;720,m_end,"&gt;"&amp;660))))))</f>
        <v/>
      </c>
      <c r="U18" s="88" t="str">
        <f aca="false">IF(OR(U$4="",MONTH(($G$2+8))&lt;&gt;MONTH($C$2)),"",IF(COUNTIFS(m_teacher,U$4,m_date,($G$2+8),m_active,1,m_start,"&lt;"&amp;720,m_end,"&gt;"&amp;660)=0,"",IF(COUNTIFS(m_teacher,U$4,m_date,($G$2+8),m_active,1,m_start,"&lt;"&amp;720,m_end,"&gt;"&amp;660)&gt;1,"충돌",HYPERLINK("#'관리자_MASTER'!D"&amp;_xlfn.MAXIFS(m_row,m_teacher,U$4,m_date,($G$2+8),m_active,1,m_start,"&lt;"&amp;720,m_end,"&gt;"&amp;660),INDEX(m_label,_xlfn.MAXIFS(m_row,m_teacher,U$4,m_date,($G$2+8),m_active,1,m_start,"&lt;"&amp;720,m_end,"&gt;"&amp;660))))))</f>
        <v/>
      </c>
      <c r="V18" s="88" t="str">
        <f aca="false">IF(OR(V$4="",MONTH(($G$2+8))&lt;&gt;MONTH($C$2)),"",IF(COUNTIFS(m_teacher,V$4,m_date,($G$2+8),m_active,1,m_start,"&lt;"&amp;720,m_end,"&gt;"&amp;660)=0,"",IF(COUNTIFS(m_teacher,V$4,m_date,($G$2+8),m_active,1,m_start,"&lt;"&amp;720,m_end,"&gt;"&amp;660)&gt;1,"충돌",HYPERLINK("#'관리자_MASTER'!D"&amp;_xlfn.MAXIFS(m_row,m_teacher,V$4,m_date,($G$2+8),m_active,1,m_start,"&lt;"&amp;720,m_end,"&gt;"&amp;660),INDEX(m_label,_xlfn.MAXIFS(m_row,m_teacher,V$4,m_date,($G$2+8),m_active,1,m_start,"&lt;"&amp;720,m_end,"&gt;"&amp;660))))))</f>
        <v/>
      </c>
      <c r="W18" s="88" t="str">
        <f aca="false">IF(OR(W$4="",MONTH(($G$2+8))&lt;&gt;MONTH($C$2)),"",IF(COUNTIFS(m_teacher,W$4,m_date,($G$2+8),m_active,1,m_start,"&lt;"&amp;720,m_end,"&gt;"&amp;660)=0,"",IF(COUNTIFS(m_teacher,W$4,m_date,($G$2+8),m_active,1,m_start,"&lt;"&amp;720,m_end,"&gt;"&amp;660)&gt;1,"충돌",HYPERLINK("#'관리자_MASTER'!D"&amp;_xlfn.MAXIFS(m_row,m_teacher,W$4,m_date,($G$2+8),m_active,1,m_start,"&lt;"&amp;720,m_end,"&gt;"&amp;660),INDEX(m_label,_xlfn.MAXIFS(m_row,m_teacher,W$4,m_date,($G$2+8),m_active,1,m_start,"&lt;"&amp;720,m_end,"&gt;"&amp;660))))))</f>
        <v/>
      </c>
      <c r="X18" s="88" t="str">
        <f aca="false">IF(OR(X$4="",MONTH(($G$2+8))&lt;&gt;MONTH($C$2)),"",IF(COUNTIFS(m_teacher,X$4,m_date,($G$2+8),m_active,1,m_start,"&lt;"&amp;720,m_end,"&gt;"&amp;660)=0,"",IF(COUNTIFS(m_teacher,X$4,m_date,($G$2+8),m_active,1,m_start,"&lt;"&amp;720,m_end,"&gt;"&amp;660)&gt;1,"충돌",HYPERLINK("#'관리자_MASTER'!D"&amp;_xlfn.MAXIFS(m_row,m_teacher,X$4,m_date,($G$2+8),m_active,1,m_start,"&lt;"&amp;720,m_end,"&gt;"&amp;660),INDEX(m_label,_xlfn.MAXIFS(m_row,m_teacher,X$4,m_date,($G$2+8),m_active,1,m_start,"&lt;"&amp;720,m_end,"&gt;"&amp;660))))))</f>
        <v/>
      </c>
      <c r="Y18" s="88" t="str">
        <f aca="false">IF(OR(Y$4="",MONTH(($G$2+8))&lt;&gt;MONTH($C$2)),"",IF(COUNTIFS(m_teacher,Y$4,m_date,($G$2+8),m_active,1,m_start,"&lt;"&amp;720,m_end,"&gt;"&amp;660)=0,"",IF(COUNTIFS(m_teacher,Y$4,m_date,($G$2+8),m_active,1,m_start,"&lt;"&amp;720,m_end,"&gt;"&amp;660)&gt;1,"충돌",HYPERLINK("#'관리자_MASTER'!D"&amp;_xlfn.MAXIFS(m_row,m_teacher,Y$4,m_date,($G$2+8),m_active,1,m_start,"&lt;"&amp;720,m_end,"&gt;"&amp;660),INDEX(m_label,_xlfn.MAXIFS(m_row,m_teacher,Y$4,m_date,($G$2+8),m_active,1,m_start,"&lt;"&amp;720,m_end,"&gt;"&amp;660))))))</f>
        <v/>
      </c>
      <c r="Z18" s="88" t="str">
        <f aca="false">IF(OR(Z$4="",MONTH(($G$2+8))&lt;&gt;MONTH($C$2)),"",IF(COUNTIFS(m_teacher,Z$4,m_date,($G$2+8),m_active,1,m_start,"&lt;"&amp;720,m_end,"&gt;"&amp;660)=0,"",IF(COUNTIFS(m_teacher,Z$4,m_date,($G$2+8),m_active,1,m_start,"&lt;"&amp;720,m_end,"&gt;"&amp;660)&gt;1,"충돌",HYPERLINK("#'관리자_MASTER'!D"&amp;_xlfn.MAXIFS(m_row,m_teacher,Z$4,m_date,($G$2+8),m_active,1,m_start,"&lt;"&amp;720,m_end,"&gt;"&amp;660),INDEX(m_label,_xlfn.MAXIFS(m_row,m_teacher,Z$4,m_date,($G$2+8),m_active,1,m_start,"&lt;"&amp;720,m_end,"&gt;"&amp;660))))))</f>
        <v/>
      </c>
      <c r="AA18" s="88" t="str">
        <f aca="false">IF(OR(AA$4="",MONTH(($G$2+8))&lt;&gt;MONTH($C$2)),"",IF(COUNTIFS(m_teacher,AA$4,m_date,($G$2+8),m_active,1,m_start,"&lt;"&amp;720,m_end,"&gt;"&amp;660)=0,"",IF(COUNTIFS(m_teacher,AA$4,m_date,($G$2+8),m_active,1,m_start,"&lt;"&amp;720,m_end,"&gt;"&amp;660)&gt;1,"충돌",HYPERLINK("#'관리자_MASTER'!D"&amp;_xlfn.MAXIFS(m_row,m_teacher,AA$4,m_date,($G$2+8),m_active,1,m_start,"&lt;"&amp;720,m_end,"&gt;"&amp;660),INDEX(m_label,_xlfn.MAXIFS(m_row,m_teacher,AA$4,m_date,($G$2+8),m_active,1,m_start,"&lt;"&amp;720,m_end,"&gt;"&amp;660))))))</f>
        <v/>
      </c>
      <c r="AB18" s="88" t="str">
        <f aca="false">IF(OR(AB$4="",MONTH(($G$2+8))&lt;&gt;MONTH($C$2)),"",IF(COUNTIFS(m_teacher,AB$4,m_date,($G$2+8),m_active,1,m_start,"&lt;"&amp;720,m_end,"&gt;"&amp;660)=0,"",IF(COUNTIFS(m_teacher,AB$4,m_date,($G$2+8),m_active,1,m_start,"&lt;"&amp;720,m_end,"&gt;"&amp;660)&gt;1,"충돌",HYPERLINK("#'관리자_MASTER'!D"&amp;_xlfn.MAXIFS(m_row,m_teacher,AB$4,m_date,($G$2+8),m_active,1,m_start,"&lt;"&amp;720,m_end,"&gt;"&amp;660),INDEX(m_label,_xlfn.MAXIFS(m_row,m_teacher,AB$4,m_date,($G$2+8),m_active,1,m_start,"&lt;"&amp;720,m_end,"&gt;"&amp;660))))))</f>
        <v/>
      </c>
      <c r="AC18" s="78"/>
      <c r="AD18" s="79" t="s">
        <v>93</v>
      </c>
      <c r="AE18" s="88" t="str">
        <f aca="false">IF(OR(AE$4="",MONTH(($G$2+15))&lt;&gt;MONTH($C$2)),"",IF(COUNTIFS(m_teacher,AE$4,m_date,($G$2+15),m_active,1,m_start,"&lt;"&amp;720,m_end,"&gt;"&amp;660)=0,"",IF(COUNTIFS(m_teacher,AE$4,m_date,($G$2+15),m_active,1,m_start,"&lt;"&amp;720,m_end,"&gt;"&amp;660)&gt;1,"충돌",HYPERLINK("#'관리자_MASTER'!D"&amp;_xlfn.MAXIFS(m_row,m_teacher,AE$4,m_date,($G$2+15),m_active,1,m_start,"&lt;"&amp;720,m_end,"&gt;"&amp;660),INDEX(m_label,_xlfn.MAXIFS(m_row,m_teacher,AE$4,m_date,($G$2+15),m_active,1,m_start,"&lt;"&amp;720,m_end,"&gt;"&amp;660))))))</f>
        <v/>
      </c>
      <c r="AF18" s="88" t="str">
        <f aca="false">IF(OR(AF$4="",MONTH(($G$2+15))&lt;&gt;MONTH($C$2)),"",IF(COUNTIFS(m_teacher,AF$4,m_date,($G$2+15),m_active,1,m_start,"&lt;"&amp;720,m_end,"&gt;"&amp;660)=0,"",IF(COUNTIFS(m_teacher,AF$4,m_date,($G$2+15),m_active,1,m_start,"&lt;"&amp;720,m_end,"&gt;"&amp;660)&gt;1,"충돌",HYPERLINK("#'관리자_MASTER'!D"&amp;_xlfn.MAXIFS(m_row,m_teacher,AF$4,m_date,($G$2+15),m_active,1,m_start,"&lt;"&amp;720,m_end,"&gt;"&amp;660),INDEX(m_label,_xlfn.MAXIFS(m_row,m_teacher,AF$4,m_date,($G$2+15),m_active,1,m_start,"&lt;"&amp;720,m_end,"&gt;"&amp;660))))))</f>
        <v/>
      </c>
      <c r="AG18" s="88" t="str">
        <f aca="false">IF(OR(AG$4="",MONTH(($G$2+15))&lt;&gt;MONTH($C$2)),"",IF(COUNTIFS(m_teacher,AG$4,m_date,($G$2+15),m_active,1,m_start,"&lt;"&amp;720,m_end,"&gt;"&amp;660)=0,"",IF(COUNTIFS(m_teacher,AG$4,m_date,($G$2+15),m_active,1,m_start,"&lt;"&amp;720,m_end,"&gt;"&amp;660)&gt;1,"충돌",HYPERLINK("#'관리자_MASTER'!D"&amp;_xlfn.MAXIFS(m_row,m_teacher,AG$4,m_date,($G$2+15),m_active,1,m_start,"&lt;"&amp;720,m_end,"&gt;"&amp;660),INDEX(m_label,_xlfn.MAXIFS(m_row,m_teacher,AG$4,m_date,($G$2+15),m_active,1,m_start,"&lt;"&amp;720,m_end,"&gt;"&amp;660))))))</f>
        <v/>
      </c>
      <c r="AH18" s="88" t="str">
        <f aca="false">IF(OR(AH$4="",MONTH(($G$2+15))&lt;&gt;MONTH($C$2)),"",IF(COUNTIFS(m_teacher,AH$4,m_date,($G$2+15),m_active,1,m_start,"&lt;"&amp;720,m_end,"&gt;"&amp;660)=0,"",IF(COUNTIFS(m_teacher,AH$4,m_date,($G$2+15),m_active,1,m_start,"&lt;"&amp;720,m_end,"&gt;"&amp;660)&gt;1,"충돌",HYPERLINK("#'관리자_MASTER'!D"&amp;_xlfn.MAXIFS(m_row,m_teacher,AH$4,m_date,($G$2+15),m_active,1,m_start,"&lt;"&amp;720,m_end,"&gt;"&amp;660),INDEX(m_label,_xlfn.MAXIFS(m_row,m_teacher,AH$4,m_date,($G$2+15),m_active,1,m_start,"&lt;"&amp;720,m_end,"&gt;"&amp;660))))))</f>
        <v/>
      </c>
      <c r="AI18" s="88" t="str">
        <f aca="false">IF(OR(AI$4="",MONTH(($G$2+15))&lt;&gt;MONTH($C$2)),"",IF(COUNTIFS(m_teacher,AI$4,m_date,($G$2+15),m_active,1,m_start,"&lt;"&amp;720,m_end,"&gt;"&amp;660)=0,"",IF(COUNTIFS(m_teacher,AI$4,m_date,($G$2+15),m_active,1,m_start,"&lt;"&amp;720,m_end,"&gt;"&amp;660)&gt;1,"충돌",HYPERLINK("#'관리자_MASTER'!D"&amp;_xlfn.MAXIFS(m_row,m_teacher,AI$4,m_date,($G$2+15),m_active,1,m_start,"&lt;"&amp;720,m_end,"&gt;"&amp;660),INDEX(m_label,_xlfn.MAXIFS(m_row,m_teacher,AI$4,m_date,($G$2+15),m_active,1,m_start,"&lt;"&amp;720,m_end,"&gt;"&amp;660))))))</f>
        <v/>
      </c>
      <c r="AJ18" s="88" t="str">
        <f aca="false">IF(OR(AJ$4="",MONTH(($G$2+15))&lt;&gt;MONTH($C$2)),"",IF(COUNTIFS(m_teacher,AJ$4,m_date,($G$2+15),m_active,1,m_start,"&lt;"&amp;720,m_end,"&gt;"&amp;660)=0,"",IF(COUNTIFS(m_teacher,AJ$4,m_date,($G$2+15),m_active,1,m_start,"&lt;"&amp;720,m_end,"&gt;"&amp;660)&gt;1,"충돌",HYPERLINK("#'관리자_MASTER'!D"&amp;_xlfn.MAXIFS(m_row,m_teacher,AJ$4,m_date,($G$2+15),m_active,1,m_start,"&lt;"&amp;720,m_end,"&gt;"&amp;660),INDEX(m_label,_xlfn.MAXIFS(m_row,m_teacher,AJ$4,m_date,($G$2+15),m_active,1,m_start,"&lt;"&amp;720,m_end,"&gt;"&amp;660))))))</f>
        <v/>
      </c>
      <c r="AK18" s="88" t="str">
        <f aca="false">IF(OR(AK$4="",MONTH(($G$2+15))&lt;&gt;MONTH($C$2)),"",IF(COUNTIFS(m_teacher,AK$4,m_date,($G$2+15),m_active,1,m_start,"&lt;"&amp;720,m_end,"&gt;"&amp;660)=0,"",IF(COUNTIFS(m_teacher,AK$4,m_date,($G$2+15),m_active,1,m_start,"&lt;"&amp;720,m_end,"&gt;"&amp;660)&gt;1,"충돌",HYPERLINK("#'관리자_MASTER'!D"&amp;_xlfn.MAXIFS(m_row,m_teacher,AK$4,m_date,($G$2+15),m_active,1,m_start,"&lt;"&amp;720,m_end,"&gt;"&amp;660),INDEX(m_label,_xlfn.MAXIFS(m_row,m_teacher,AK$4,m_date,($G$2+15),m_active,1,m_start,"&lt;"&amp;720,m_end,"&gt;"&amp;660))))))</f>
        <v/>
      </c>
      <c r="AL18" s="88" t="str">
        <f aca="false">IF(OR(AL$4="",MONTH(($G$2+15))&lt;&gt;MONTH($C$2)),"",IF(COUNTIFS(m_teacher,AL$4,m_date,($G$2+15),m_active,1,m_start,"&lt;"&amp;720,m_end,"&gt;"&amp;660)=0,"",IF(COUNTIFS(m_teacher,AL$4,m_date,($G$2+15),m_active,1,m_start,"&lt;"&amp;720,m_end,"&gt;"&amp;660)&gt;1,"충돌",HYPERLINK("#'관리자_MASTER'!D"&amp;_xlfn.MAXIFS(m_row,m_teacher,AL$4,m_date,($G$2+15),m_active,1,m_start,"&lt;"&amp;720,m_end,"&gt;"&amp;660),INDEX(m_label,_xlfn.MAXIFS(m_row,m_teacher,AL$4,m_date,($G$2+15),m_active,1,m_start,"&lt;"&amp;720,m_end,"&gt;"&amp;660))))))</f>
        <v/>
      </c>
      <c r="AM18" s="88" t="str">
        <f aca="false">IF(OR(AM$4="",MONTH(($G$2+15))&lt;&gt;MONTH($C$2)),"",IF(COUNTIFS(m_teacher,AM$4,m_date,($G$2+15),m_active,1,m_start,"&lt;"&amp;720,m_end,"&gt;"&amp;660)=0,"",IF(COUNTIFS(m_teacher,AM$4,m_date,($G$2+15),m_active,1,m_start,"&lt;"&amp;720,m_end,"&gt;"&amp;660)&gt;1,"충돌",HYPERLINK("#'관리자_MASTER'!D"&amp;_xlfn.MAXIFS(m_row,m_teacher,AM$4,m_date,($G$2+15),m_active,1,m_start,"&lt;"&amp;720,m_end,"&gt;"&amp;660),INDEX(m_label,_xlfn.MAXIFS(m_row,m_teacher,AM$4,m_date,($G$2+15),m_active,1,m_start,"&lt;"&amp;720,m_end,"&gt;"&amp;660))))))</f>
        <v/>
      </c>
      <c r="AN18" s="88" t="str">
        <f aca="false">IF(OR(AN$4="",MONTH(($G$2+15))&lt;&gt;MONTH($C$2)),"",IF(COUNTIFS(m_teacher,AN$4,m_date,($G$2+15),m_active,1,m_start,"&lt;"&amp;720,m_end,"&gt;"&amp;660)=0,"",IF(COUNTIFS(m_teacher,AN$4,m_date,($G$2+15),m_active,1,m_start,"&lt;"&amp;720,m_end,"&gt;"&amp;660)&gt;1,"충돌",HYPERLINK("#'관리자_MASTER'!D"&amp;_xlfn.MAXIFS(m_row,m_teacher,AN$4,m_date,($G$2+15),m_active,1,m_start,"&lt;"&amp;720,m_end,"&gt;"&amp;660),INDEX(m_label,_xlfn.MAXIFS(m_row,m_teacher,AN$4,m_date,($G$2+15),m_active,1,m_start,"&lt;"&amp;720,m_end,"&gt;"&amp;660))))))</f>
        <v/>
      </c>
      <c r="AO18" s="88" t="str">
        <f aca="false">IF(OR(AO$4="",MONTH(($G$2+15))&lt;&gt;MONTH($C$2)),"",IF(COUNTIFS(m_teacher,AO$4,m_date,($G$2+15),m_active,1,m_start,"&lt;"&amp;720,m_end,"&gt;"&amp;660)=0,"",IF(COUNTIFS(m_teacher,AO$4,m_date,($G$2+15),m_active,1,m_start,"&lt;"&amp;720,m_end,"&gt;"&amp;660)&gt;1,"충돌",HYPERLINK("#'관리자_MASTER'!D"&amp;_xlfn.MAXIFS(m_row,m_teacher,AO$4,m_date,($G$2+15),m_active,1,m_start,"&lt;"&amp;720,m_end,"&gt;"&amp;660),INDEX(m_label,_xlfn.MAXIFS(m_row,m_teacher,AO$4,m_date,($G$2+15),m_active,1,m_start,"&lt;"&amp;720,m_end,"&gt;"&amp;660))))))</f>
        <v/>
      </c>
      <c r="AP18" s="88" t="str">
        <f aca="false">IF(OR(AP$4="",MONTH(($G$2+15))&lt;&gt;MONTH($C$2)),"",IF(COUNTIFS(m_teacher,AP$4,m_date,($G$2+15),m_active,1,m_start,"&lt;"&amp;720,m_end,"&gt;"&amp;660)=0,"",IF(COUNTIFS(m_teacher,AP$4,m_date,($G$2+15),m_active,1,m_start,"&lt;"&amp;720,m_end,"&gt;"&amp;660)&gt;1,"충돌",HYPERLINK("#'관리자_MASTER'!D"&amp;_xlfn.MAXIFS(m_row,m_teacher,AP$4,m_date,($G$2+15),m_active,1,m_start,"&lt;"&amp;720,m_end,"&gt;"&amp;660),INDEX(m_label,_xlfn.MAXIFS(m_row,m_teacher,AP$4,m_date,($G$2+15),m_active,1,m_start,"&lt;"&amp;720,m_end,"&gt;"&amp;660))))))</f>
        <v/>
      </c>
      <c r="AQ18" s="78"/>
      <c r="AR18" s="79" t="s">
        <v>93</v>
      </c>
      <c r="AS18" s="88" t="str">
        <f aca="false">IF(OR(AS$4="",MONTH(($G$2+22))&lt;&gt;MONTH($C$2)),"",IF(COUNTIFS(m_teacher,AS$4,m_date,($G$2+22),m_active,1,m_start,"&lt;"&amp;720,m_end,"&gt;"&amp;660)=0,"",IF(COUNTIFS(m_teacher,AS$4,m_date,($G$2+22),m_active,1,m_start,"&lt;"&amp;720,m_end,"&gt;"&amp;660)&gt;1,"충돌",HYPERLINK("#'관리자_MASTER'!D"&amp;_xlfn.MAXIFS(m_row,m_teacher,AS$4,m_date,($G$2+22),m_active,1,m_start,"&lt;"&amp;720,m_end,"&gt;"&amp;660),INDEX(m_label,_xlfn.MAXIFS(m_row,m_teacher,AS$4,m_date,($G$2+22),m_active,1,m_start,"&lt;"&amp;720,m_end,"&gt;"&amp;660))))))</f>
        <v/>
      </c>
      <c r="AT18" s="88" t="str">
        <f aca="false">IF(OR(AT$4="",MONTH(($G$2+22))&lt;&gt;MONTH($C$2)),"",IF(COUNTIFS(m_teacher,AT$4,m_date,($G$2+22),m_active,1,m_start,"&lt;"&amp;720,m_end,"&gt;"&amp;660)=0,"",IF(COUNTIFS(m_teacher,AT$4,m_date,($G$2+22),m_active,1,m_start,"&lt;"&amp;720,m_end,"&gt;"&amp;660)&gt;1,"충돌",HYPERLINK("#'관리자_MASTER'!D"&amp;_xlfn.MAXIFS(m_row,m_teacher,AT$4,m_date,($G$2+22),m_active,1,m_start,"&lt;"&amp;720,m_end,"&gt;"&amp;660),INDEX(m_label,_xlfn.MAXIFS(m_row,m_teacher,AT$4,m_date,($G$2+22),m_active,1,m_start,"&lt;"&amp;720,m_end,"&gt;"&amp;660))))))</f>
        <v/>
      </c>
      <c r="AU18" s="88" t="str">
        <f aca="false">IF(OR(AU$4="",MONTH(($G$2+22))&lt;&gt;MONTH($C$2)),"",IF(COUNTIFS(m_teacher,AU$4,m_date,($G$2+22),m_active,1,m_start,"&lt;"&amp;720,m_end,"&gt;"&amp;660)=0,"",IF(COUNTIFS(m_teacher,AU$4,m_date,($G$2+22),m_active,1,m_start,"&lt;"&amp;720,m_end,"&gt;"&amp;660)&gt;1,"충돌",HYPERLINK("#'관리자_MASTER'!D"&amp;_xlfn.MAXIFS(m_row,m_teacher,AU$4,m_date,($G$2+22),m_active,1,m_start,"&lt;"&amp;720,m_end,"&gt;"&amp;660),INDEX(m_label,_xlfn.MAXIFS(m_row,m_teacher,AU$4,m_date,($G$2+22),m_active,1,m_start,"&lt;"&amp;720,m_end,"&gt;"&amp;660))))))</f>
        <v/>
      </c>
      <c r="AV18" s="88" t="str">
        <f aca="false">IF(OR(AV$4="",MONTH(($G$2+22))&lt;&gt;MONTH($C$2)),"",IF(COUNTIFS(m_teacher,AV$4,m_date,($G$2+22),m_active,1,m_start,"&lt;"&amp;720,m_end,"&gt;"&amp;660)=0,"",IF(COUNTIFS(m_teacher,AV$4,m_date,($G$2+22),m_active,1,m_start,"&lt;"&amp;720,m_end,"&gt;"&amp;660)&gt;1,"충돌",HYPERLINK("#'관리자_MASTER'!D"&amp;_xlfn.MAXIFS(m_row,m_teacher,AV$4,m_date,($G$2+22),m_active,1,m_start,"&lt;"&amp;720,m_end,"&gt;"&amp;660),INDEX(m_label,_xlfn.MAXIFS(m_row,m_teacher,AV$4,m_date,($G$2+22),m_active,1,m_start,"&lt;"&amp;720,m_end,"&gt;"&amp;660))))))</f>
        <v/>
      </c>
      <c r="AW18" s="88" t="str">
        <f aca="false">IF(OR(AW$4="",MONTH(($G$2+22))&lt;&gt;MONTH($C$2)),"",IF(COUNTIFS(m_teacher,AW$4,m_date,($G$2+22),m_active,1,m_start,"&lt;"&amp;720,m_end,"&gt;"&amp;660)=0,"",IF(COUNTIFS(m_teacher,AW$4,m_date,($G$2+22),m_active,1,m_start,"&lt;"&amp;720,m_end,"&gt;"&amp;660)&gt;1,"충돌",HYPERLINK("#'관리자_MASTER'!D"&amp;_xlfn.MAXIFS(m_row,m_teacher,AW$4,m_date,($G$2+22),m_active,1,m_start,"&lt;"&amp;720,m_end,"&gt;"&amp;660),INDEX(m_label,_xlfn.MAXIFS(m_row,m_teacher,AW$4,m_date,($G$2+22),m_active,1,m_start,"&lt;"&amp;720,m_end,"&gt;"&amp;660))))))</f>
        <v/>
      </c>
      <c r="AX18" s="88" t="str">
        <f aca="false">IF(OR(AX$4="",MONTH(($G$2+22))&lt;&gt;MONTH($C$2)),"",IF(COUNTIFS(m_teacher,AX$4,m_date,($G$2+22),m_active,1,m_start,"&lt;"&amp;720,m_end,"&gt;"&amp;660)=0,"",IF(COUNTIFS(m_teacher,AX$4,m_date,($G$2+22),m_active,1,m_start,"&lt;"&amp;720,m_end,"&gt;"&amp;660)&gt;1,"충돌",HYPERLINK("#'관리자_MASTER'!D"&amp;_xlfn.MAXIFS(m_row,m_teacher,AX$4,m_date,($G$2+22),m_active,1,m_start,"&lt;"&amp;720,m_end,"&gt;"&amp;660),INDEX(m_label,_xlfn.MAXIFS(m_row,m_teacher,AX$4,m_date,($G$2+22),m_active,1,m_start,"&lt;"&amp;720,m_end,"&gt;"&amp;660))))))</f>
        <v/>
      </c>
      <c r="AY18" s="88" t="str">
        <f aca="false">IF(OR(AY$4="",MONTH(($G$2+22))&lt;&gt;MONTH($C$2)),"",IF(COUNTIFS(m_teacher,AY$4,m_date,($G$2+22),m_active,1,m_start,"&lt;"&amp;720,m_end,"&gt;"&amp;660)=0,"",IF(COUNTIFS(m_teacher,AY$4,m_date,($G$2+22),m_active,1,m_start,"&lt;"&amp;720,m_end,"&gt;"&amp;660)&gt;1,"충돌",HYPERLINK("#'관리자_MASTER'!D"&amp;_xlfn.MAXIFS(m_row,m_teacher,AY$4,m_date,($G$2+22),m_active,1,m_start,"&lt;"&amp;720,m_end,"&gt;"&amp;660),INDEX(m_label,_xlfn.MAXIFS(m_row,m_teacher,AY$4,m_date,($G$2+22),m_active,1,m_start,"&lt;"&amp;720,m_end,"&gt;"&amp;660))))))</f>
        <v/>
      </c>
      <c r="AZ18" s="88" t="str">
        <f aca="false">IF(OR(AZ$4="",MONTH(($G$2+22))&lt;&gt;MONTH($C$2)),"",IF(COUNTIFS(m_teacher,AZ$4,m_date,($G$2+22),m_active,1,m_start,"&lt;"&amp;720,m_end,"&gt;"&amp;660)=0,"",IF(COUNTIFS(m_teacher,AZ$4,m_date,($G$2+22),m_active,1,m_start,"&lt;"&amp;720,m_end,"&gt;"&amp;660)&gt;1,"충돌",HYPERLINK("#'관리자_MASTER'!D"&amp;_xlfn.MAXIFS(m_row,m_teacher,AZ$4,m_date,($G$2+22),m_active,1,m_start,"&lt;"&amp;720,m_end,"&gt;"&amp;660),INDEX(m_label,_xlfn.MAXIFS(m_row,m_teacher,AZ$4,m_date,($G$2+22),m_active,1,m_start,"&lt;"&amp;720,m_end,"&gt;"&amp;660))))))</f>
        <v/>
      </c>
      <c r="BA18" s="88" t="str">
        <f aca="false">IF(OR(BA$4="",MONTH(($G$2+22))&lt;&gt;MONTH($C$2)),"",IF(COUNTIFS(m_teacher,BA$4,m_date,($G$2+22),m_active,1,m_start,"&lt;"&amp;720,m_end,"&gt;"&amp;660)=0,"",IF(COUNTIFS(m_teacher,BA$4,m_date,($G$2+22),m_active,1,m_start,"&lt;"&amp;720,m_end,"&gt;"&amp;660)&gt;1,"충돌",HYPERLINK("#'관리자_MASTER'!D"&amp;_xlfn.MAXIFS(m_row,m_teacher,BA$4,m_date,($G$2+22),m_active,1,m_start,"&lt;"&amp;720,m_end,"&gt;"&amp;660),INDEX(m_label,_xlfn.MAXIFS(m_row,m_teacher,BA$4,m_date,($G$2+22),m_active,1,m_start,"&lt;"&amp;720,m_end,"&gt;"&amp;660))))))</f>
        <v/>
      </c>
      <c r="BB18" s="88" t="str">
        <f aca="false">IF(OR(BB$4="",MONTH(($G$2+22))&lt;&gt;MONTH($C$2)),"",IF(COUNTIFS(m_teacher,BB$4,m_date,($G$2+22),m_active,1,m_start,"&lt;"&amp;720,m_end,"&gt;"&amp;660)=0,"",IF(COUNTIFS(m_teacher,BB$4,m_date,($G$2+22),m_active,1,m_start,"&lt;"&amp;720,m_end,"&gt;"&amp;660)&gt;1,"충돌",HYPERLINK("#'관리자_MASTER'!D"&amp;_xlfn.MAXIFS(m_row,m_teacher,BB$4,m_date,($G$2+22),m_active,1,m_start,"&lt;"&amp;720,m_end,"&gt;"&amp;660),INDEX(m_label,_xlfn.MAXIFS(m_row,m_teacher,BB$4,m_date,($G$2+22),m_active,1,m_start,"&lt;"&amp;720,m_end,"&gt;"&amp;660))))))</f>
        <v/>
      </c>
      <c r="BC18" s="88" t="str">
        <f aca="false">IF(OR(BC$4="",MONTH(($G$2+22))&lt;&gt;MONTH($C$2)),"",IF(COUNTIFS(m_teacher,BC$4,m_date,($G$2+22),m_active,1,m_start,"&lt;"&amp;720,m_end,"&gt;"&amp;660)=0,"",IF(COUNTIFS(m_teacher,BC$4,m_date,($G$2+22),m_active,1,m_start,"&lt;"&amp;720,m_end,"&gt;"&amp;660)&gt;1,"충돌",HYPERLINK("#'관리자_MASTER'!D"&amp;_xlfn.MAXIFS(m_row,m_teacher,BC$4,m_date,($G$2+22),m_active,1,m_start,"&lt;"&amp;720,m_end,"&gt;"&amp;660),INDEX(m_label,_xlfn.MAXIFS(m_row,m_teacher,BC$4,m_date,($G$2+22),m_active,1,m_start,"&lt;"&amp;720,m_end,"&gt;"&amp;660))))))</f>
        <v/>
      </c>
      <c r="BD18" s="88" t="str">
        <f aca="false">IF(OR(BD$4="",MONTH(($G$2+22))&lt;&gt;MONTH($C$2)),"",IF(COUNTIFS(m_teacher,BD$4,m_date,($G$2+22),m_active,1,m_start,"&lt;"&amp;720,m_end,"&gt;"&amp;660)=0,"",IF(COUNTIFS(m_teacher,BD$4,m_date,($G$2+22),m_active,1,m_start,"&lt;"&amp;720,m_end,"&gt;"&amp;660)&gt;1,"충돌",HYPERLINK("#'관리자_MASTER'!D"&amp;_xlfn.MAXIFS(m_row,m_teacher,BD$4,m_date,($G$2+22),m_active,1,m_start,"&lt;"&amp;720,m_end,"&gt;"&amp;660),INDEX(m_label,_xlfn.MAXIFS(m_row,m_teacher,BD$4,m_date,($G$2+22),m_active,1,m_start,"&lt;"&amp;720,m_end,"&gt;"&amp;660))))))</f>
        <v/>
      </c>
      <c r="BE18" s="78"/>
      <c r="BF18" s="79" t="s">
        <v>93</v>
      </c>
      <c r="BG18" s="88" t="str">
        <f aca="false">IF(OR(BG$4="",MONTH(($G$2+29))&lt;&gt;MONTH($C$2)),"",IF(COUNTIFS(m_teacher,BG$4,m_date,($G$2+29),m_active,1,m_start,"&lt;"&amp;720,m_end,"&gt;"&amp;660)=0,"",IF(COUNTIFS(m_teacher,BG$4,m_date,($G$2+29),m_active,1,m_start,"&lt;"&amp;720,m_end,"&gt;"&amp;660)&gt;1,"충돌",HYPERLINK("#'관리자_MASTER'!D"&amp;_xlfn.MAXIFS(m_row,m_teacher,BG$4,m_date,($G$2+29),m_active,1,m_start,"&lt;"&amp;720,m_end,"&gt;"&amp;660),INDEX(m_label,_xlfn.MAXIFS(m_row,m_teacher,BG$4,m_date,($G$2+29),m_active,1,m_start,"&lt;"&amp;720,m_end,"&gt;"&amp;660))))))</f>
        <v/>
      </c>
      <c r="BH18" s="88" t="str">
        <f aca="false">IF(OR(BH$4="",MONTH(($G$2+29))&lt;&gt;MONTH($C$2)),"",IF(COUNTIFS(m_teacher,BH$4,m_date,($G$2+29),m_active,1,m_start,"&lt;"&amp;720,m_end,"&gt;"&amp;660)=0,"",IF(COUNTIFS(m_teacher,BH$4,m_date,($G$2+29),m_active,1,m_start,"&lt;"&amp;720,m_end,"&gt;"&amp;660)&gt;1,"충돌",HYPERLINK("#'관리자_MASTER'!D"&amp;_xlfn.MAXIFS(m_row,m_teacher,BH$4,m_date,($G$2+29),m_active,1,m_start,"&lt;"&amp;720,m_end,"&gt;"&amp;660),INDEX(m_label,_xlfn.MAXIFS(m_row,m_teacher,BH$4,m_date,($G$2+29),m_active,1,m_start,"&lt;"&amp;720,m_end,"&gt;"&amp;660))))))</f>
        <v/>
      </c>
      <c r="BI18" s="88" t="str">
        <f aca="false">IF(OR(BI$4="",MONTH(($G$2+29))&lt;&gt;MONTH($C$2)),"",IF(COUNTIFS(m_teacher,BI$4,m_date,($G$2+29),m_active,1,m_start,"&lt;"&amp;720,m_end,"&gt;"&amp;660)=0,"",IF(COUNTIFS(m_teacher,BI$4,m_date,($G$2+29),m_active,1,m_start,"&lt;"&amp;720,m_end,"&gt;"&amp;660)&gt;1,"충돌",HYPERLINK("#'관리자_MASTER'!D"&amp;_xlfn.MAXIFS(m_row,m_teacher,BI$4,m_date,($G$2+29),m_active,1,m_start,"&lt;"&amp;720,m_end,"&gt;"&amp;660),INDEX(m_label,_xlfn.MAXIFS(m_row,m_teacher,BI$4,m_date,($G$2+29),m_active,1,m_start,"&lt;"&amp;720,m_end,"&gt;"&amp;660))))))</f>
        <v/>
      </c>
      <c r="BJ18" s="88" t="str">
        <f aca="false">IF(OR(BJ$4="",MONTH(($G$2+29))&lt;&gt;MONTH($C$2)),"",IF(COUNTIFS(m_teacher,BJ$4,m_date,($G$2+29),m_active,1,m_start,"&lt;"&amp;720,m_end,"&gt;"&amp;660)=0,"",IF(COUNTIFS(m_teacher,BJ$4,m_date,($G$2+29),m_active,1,m_start,"&lt;"&amp;720,m_end,"&gt;"&amp;660)&gt;1,"충돌",HYPERLINK("#'관리자_MASTER'!D"&amp;_xlfn.MAXIFS(m_row,m_teacher,BJ$4,m_date,($G$2+29),m_active,1,m_start,"&lt;"&amp;720,m_end,"&gt;"&amp;660),INDEX(m_label,_xlfn.MAXIFS(m_row,m_teacher,BJ$4,m_date,($G$2+29),m_active,1,m_start,"&lt;"&amp;720,m_end,"&gt;"&amp;660))))))</f>
        <v/>
      </c>
      <c r="BK18" s="88" t="str">
        <f aca="false">IF(OR(BK$4="",MONTH(($G$2+29))&lt;&gt;MONTH($C$2)),"",IF(COUNTIFS(m_teacher,BK$4,m_date,($G$2+29),m_active,1,m_start,"&lt;"&amp;720,m_end,"&gt;"&amp;660)=0,"",IF(COUNTIFS(m_teacher,BK$4,m_date,($G$2+29),m_active,1,m_start,"&lt;"&amp;720,m_end,"&gt;"&amp;660)&gt;1,"충돌",HYPERLINK("#'관리자_MASTER'!D"&amp;_xlfn.MAXIFS(m_row,m_teacher,BK$4,m_date,($G$2+29),m_active,1,m_start,"&lt;"&amp;720,m_end,"&gt;"&amp;660),INDEX(m_label,_xlfn.MAXIFS(m_row,m_teacher,BK$4,m_date,($G$2+29),m_active,1,m_start,"&lt;"&amp;720,m_end,"&gt;"&amp;660))))))</f>
        <v/>
      </c>
      <c r="BL18" s="88" t="str">
        <f aca="false">IF(OR(BL$4="",MONTH(($G$2+29))&lt;&gt;MONTH($C$2)),"",IF(COUNTIFS(m_teacher,BL$4,m_date,($G$2+29),m_active,1,m_start,"&lt;"&amp;720,m_end,"&gt;"&amp;660)=0,"",IF(COUNTIFS(m_teacher,BL$4,m_date,($G$2+29),m_active,1,m_start,"&lt;"&amp;720,m_end,"&gt;"&amp;660)&gt;1,"충돌",HYPERLINK("#'관리자_MASTER'!D"&amp;_xlfn.MAXIFS(m_row,m_teacher,BL$4,m_date,($G$2+29),m_active,1,m_start,"&lt;"&amp;720,m_end,"&gt;"&amp;660),INDEX(m_label,_xlfn.MAXIFS(m_row,m_teacher,BL$4,m_date,($G$2+29),m_active,1,m_start,"&lt;"&amp;720,m_end,"&gt;"&amp;660))))))</f>
        <v/>
      </c>
      <c r="BM18" s="88" t="str">
        <f aca="false">IF(OR(BM$4="",MONTH(($G$2+29))&lt;&gt;MONTH($C$2)),"",IF(COUNTIFS(m_teacher,BM$4,m_date,($G$2+29),m_active,1,m_start,"&lt;"&amp;720,m_end,"&gt;"&amp;660)=0,"",IF(COUNTIFS(m_teacher,BM$4,m_date,($G$2+29),m_active,1,m_start,"&lt;"&amp;720,m_end,"&gt;"&amp;660)&gt;1,"충돌",HYPERLINK("#'관리자_MASTER'!D"&amp;_xlfn.MAXIFS(m_row,m_teacher,BM$4,m_date,($G$2+29),m_active,1,m_start,"&lt;"&amp;720,m_end,"&gt;"&amp;660),INDEX(m_label,_xlfn.MAXIFS(m_row,m_teacher,BM$4,m_date,($G$2+29),m_active,1,m_start,"&lt;"&amp;720,m_end,"&gt;"&amp;660))))))</f>
        <v/>
      </c>
      <c r="BN18" s="88" t="str">
        <f aca="false">IF(OR(BN$4="",MONTH(($G$2+29))&lt;&gt;MONTH($C$2)),"",IF(COUNTIFS(m_teacher,BN$4,m_date,($G$2+29),m_active,1,m_start,"&lt;"&amp;720,m_end,"&gt;"&amp;660)=0,"",IF(COUNTIFS(m_teacher,BN$4,m_date,($G$2+29),m_active,1,m_start,"&lt;"&amp;720,m_end,"&gt;"&amp;660)&gt;1,"충돌",HYPERLINK("#'관리자_MASTER'!D"&amp;_xlfn.MAXIFS(m_row,m_teacher,BN$4,m_date,($G$2+29),m_active,1,m_start,"&lt;"&amp;720,m_end,"&gt;"&amp;660),INDEX(m_label,_xlfn.MAXIFS(m_row,m_teacher,BN$4,m_date,($G$2+29),m_active,1,m_start,"&lt;"&amp;720,m_end,"&gt;"&amp;660))))))</f>
        <v/>
      </c>
      <c r="BO18" s="88" t="str">
        <f aca="false">IF(OR(BO$4="",MONTH(($G$2+29))&lt;&gt;MONTH($C$2)),"",IF(COUNTIFS(m_teacher,BO$4,m_date,($G$2+29),m_active,1,m_start,"&lt;"&amp;720,m_end,"&gt;"&amp;660)=0,"",IF(COUNTIFS(m_teacher,BO$4,m_date,($G$2+29),m_active,1,m_start,"&lt;"&amp;720,m_end,"&gt;"&amp;660)&gt;1,"충돌",HYPERLINK("#'관리자_MASTER'!D"&amp;_xlfn.MAXIFS(m_row,m_teacher,BO$4,m_date,($G$2+29),m_active,1,m_start,"&lt;"&amp;720,m_end,"&gt;"&amp;660),INDEX(m_label,_xlfn.MAXIFS(m_row,m_teacher,BO$4,m_date,($G$2+29),m_active,1,m_start,"&lt;"&amp;720,m_end,"&gt;"&amp;660))))))</f>
        <v/>
      </c>
      <c r="BP18" s="88" t="str">
        <f aca="false">IF(OR(BP$4="",MONTH(($G$2+29))&lt;&gt;MONTH($C$2)),"",IF(COUNTIFS(m_teacher,BP$4,m_date,($G$2+29),m_active,1,m_start,"&lt;"&amp;720,m_end,"&gt;"&amp;660)=0,"",IF(COUNTIFS(m_teacher,BP$4,m_date,($G$2+29),m_active,1,m_start,"&lt;"&amp;720,m_end,"&gt;"&amp;660)&gt;1,"충돌",HYPERLINK("#'관리자_MASTER'!D"&amp;_xlfn.MAXIFS(m_row,m_teacher,BP$4,m_date,($G$2+29),m_active,1,m_start,"&lt;"&amp;720,m_end,"&gt;"&amp;660),INDEX(m_label,_xlfn.MAXIFS(m_row,m_teacher,BP$4,m_date,($G$2+29),m_active,1,m_start,"&lt;"&amp;720,m_end,"&gt;"&amp;660))))))</f>
        <v/>
      </c>
      <c r="BQ18" s="88" t="str">
        <f aca="false">IF(OR(BQ$4="",MONTH(($G$2+29))&lt;&gt;MONTH($C$2)),"",IF(COUNTIFS(m_teacher,BQ$4,m_date,($G$2+29),m_active,1,m_start,"&lt;"&amp;720,m_end,"&gt;"&amp;660)=0,"",IF(COUNTIFS(m_teacher,BQ$4,m_date,($G$2+29),m_active,1,m_start,"&lt;"&amp;720,m_end,"&gt;"&amp;660)&gt;1,"충돌",HYPERLINK("#'관리자_MASTER'!D"&amp;_xlfn.MAXIFS(m_row,m_teacher,BQ$4,m_date,($G$2+29),m_active,1,m_start,"&lt;"&amp;720,m_end,"&gt;"&amp;660),INDEX(m_label,_xlfn.MAXIFS(m_row,m_teacher,BQ$4,m_date,($G$2+29),m_active,1,m_start,"&lt;"&amp;720,m_end,"&gt;"&amp;660))))))</f>
        <v/>
      </c>
      <c r="BR18" s="88" t="str">
        <f aca="false">IF(OR(BR$4="",MONTH(($G$2+29))&lt;&gt;MONTH($C$2)),"",IF(COUNTIFS(m_teacher,BR$4,m_date,($G$2+29),m_active,1,m_start,"&lt;"&amp;720,m_end,"&gt;"&amp;660)=0,"",IF(COUNTIFS(m_teacher,BR$4,m_date,($G$2+29),m_active,1,m_start,"&lt;"&amp;720,m_end,"&gt;"&amp;660)&gt;1,"충돌",HYPERLINK("#'관리자_MASTER'!D"&amp;_xlfn.MAXIFS(m_row,m_teacher,BR$4,m_date,($G$2+29),m_active,1,m_start,"&lt;"&amp;720,m_end,"&gt;"&amp;660),INDEX(m_label,_xlfn.MAXIFS(m_row,m_teacher,BR$4,m_date,($G$2+29),m_active,1,m_start,"&lt;"&amp;720,m_end,"&gt;"&amp;660))))))</f>
        <v/>
      </c>
    </row>
    <row r="19" customFormat="false" ht="19.5" hidden="false" customHeight="true" outlineLevel="0" collapsed="false">
      <c r="A19" s="78"/>
      <c r="B19" s="79" t="s">
        <v>94</v>
      </c>
      <c r="C19" s="88" t="str">
        <f aca="false">IF(OR(C$4="",MONTH(($G$2+1))&lt;&gt;MONTH($C$2)),"",IF(COUNTIFS(m_teacher,C$4,m_date,($G$2+1),m_active,1,m_start,"&lt;"&amp;780,m_end,"&gt;"&amp;720)=0,"",IF(COUNTIFS(m_teacher,C$4,m_date,($G$2+1),m_active,1,m_start,"&lt;"&amp;780,m_end,"&gt;"&amp;720)&gt;1,"충돌",HYPERLINK("#'관리자_MASTER'!D"&amp;_xlfn.MAXIFS(m_row,m_teacher,C$4,m_date,($G$2+1),m_active,1,m_start,"&lt;"&amp;780,m_end,"&gt;"&amp;720),INDEX(m_label,_xlfn.MAXIFS(m_row,m_teacher,C$4,m_date,($G$2+1),m_active,1,m_start,"&lt;"&amp;780,m_end,"&gt;"&amp;720))))))</f>
        <v/>
      </c>
      <c r="D19" s="88" t="str">
        <f aca="false">IF(OR(D$4="",MONTH(($G$2+1))&lt;&gt;MONTH($C$2)),"",IF(COUNTIFS(m_teacher,D$4,m_date,($G$2+1),m_active,1,m_start,"&lt;"&amp;780,m_end,"&gt;"&amp;720)=0,"",IF(COUNTIFS(m_teacher,D$4,m_date,($G$2+1),m_active,1,m_start,"&lt;"&amp;780,m_end,"&gt;"&amp;720)&gt;1,"충돌",HYPERLINK("#'관리자_MASTER'!D"&amp;_xlfn.MAXIFS(m_row,m_teacher,D$4,m_date,($G$2+1),m_active,1,m_start,"&lt;"&amp;780,m_end,"&gt;"&amp;720),INDEX(m_label,_xlfn.MAXIFS(m_row,m_teacher,D$4,m_date,($G$2+1),m_active,1,m_start,"&lt;"&amp;780,m_end,"&gt;"&amp;720))))))</f>
        <v/>
      </c>
      <c r="E19" s="88" t="str">
        <f aca="false">IF(OR(E$4="",MONTH(($G$2+1))&lt;&gt;MONTH($C$2)),"",IF(COUNTIFS(m_teacher,E$4,m_date,($G$2+1),m_active,1,m_start,"&lt;"&amp;780,m_end,"&gt;"&amp;720)=0,"",IF(COUNTIFS(m_teacher,E$4,m_date,($G$2+1),m_active,1,m_start,"&lt;"&amp;780,m_end,"&gt;"&amp;720)&gt;1,"충돌",HYPERLINK("#'관리자_MASTER'!D"&amp;_xlfn.MAXIFS(m_row,m_teacher,E$4,m_date,($G$2+1),m_active,1,m_start,"&lt;"&amp;780,m_end,"&gt;"&amp;720),INDEX(m_label,_xlfn.MAXIFS(m_row,m_teacher,E$4,m_date,($G$2+1),m_active,1,m_start,"&lt;"&amp;780,m_end,"&gt;"&amp;720))))))</f>
        <v/>
      </c>
      <c r="F19" s="88" t="str">
        <f aca="false">IF(OR(F$4="",MONTH(($G$2+1))&lt;&gt;MONTH($C$2)),"",IF(COUNTIFS(m_teacher,F$4,m_date,($G$2+1),m_active,1,m_start,"&lt;"&amp;780,m_end,"&gt;"&amp;720)=0,"",IF(COUNTIFS(m_teacher,F$4,m_date,($G$2+1),m_active,1,m_start,"&lt;"&amp;780,m_end,"&gt;"&amp;720)&gt;1,"충돌",HYPERLINK("#'관리자_MASTER'!D"&amp;_xlfn.MAXIFS(m_row,m_teacher,F$4,m_date,($G$2+1),m_active,1,m_start,"&lt;"&amp;780,m_end,"&gt;"&amp;720),INDEX(m_label,_xlfn.MAXIFS(m_row,m_teacher,F$4,m_date,($G$2+1),m_active,1,m_start,"&lt;"&amp;780,m_end,"&gt;"&amp;720))))))</f>
        <v/>
      </c>
      <c r="G19" s="88" t="str">
        <f aca="false">IF(OR(G$4="",MONTH(($G$2+1))&lt;&gt;MONTH($C$2)),"",IF(COUNTIFS(m_teacher,G$4,m_date,($G$2+1),m_active,1,m_start,"&lt;"&amp;780,m_end,"&gt;"&amp;720)=0,"",IF(COUNTIFS(m_teacher,G$4,m_date,($G$2+1),m_active,1,m_start,"&lt;"&amp;780,m_end,"&gt;"&amp;720)&gt;1,"충돌",HYPERLINK("#'관리자_MASTER'!D"&amp;_xlfn.MAXIFS(m_row,m_teacher,G$4,m_date,($G$2+1),m_active,1,m_start,"&lt;"&amp;780,m_end,"&gt;"&amp;720),INDEX(m_label,_xlfn.MAXIFS(m_row,m_teacher,G$4,m_date,($G$2+1),m_active,1,m_start,"&lt;"&amp;780,m_end,"&gt;"&amp;720))))))</f>
        <v/>
      </c>
      <c r="H19" s="88" t="str">
        <f aca="false">IF(OR(H$4="",MONTH(($G$2+1))&lt;&gt;MONTH($C$2)),"",IF(COUNTIFS(m_teacher,H$4,m_date,($G$2+1),m_active,1,m_start,"&lt;"&amp;780,m_end,"&gt;"&amp;720)=0,"",IF(COUNTIFS(m_teacher,H$4,m_date,($G$2+1),m_active,1,m_start,"&lt;"&amp;780,m_end,"&gt;"&amp;720)&gt;1,"충돌",HYPERLINK("#'관리자_MASTER'!D"&amp;_xlfn.MAXIFS(m_row,m_teacher,H$4,m_date,($G$2+1),m_active,1,m_start,"&lt;"&amp;780,m_end,"&gt;"&amp;720),INDEX(m_label,_xlfn.MAXIFS(m_row,m_teacher,H$4,m_date,($G$2+1),m_active,1,m_start,"&lt;"&amp;780,m_end,"&gt;"&amp;720))))))</f>
        <v/>
      </c>
      <c r="I19" s="88" t="str">
        <f aca="false">IF(OR(I$4="",MONTH(($G$2+1))&lt;&gt;MONTH($C$2)),"",IF(COUNTIFS(m_teacher,I$4,m_date,($G$2+1),m_active,1,m_start,"&lt;"&amp;780,m_end,"&gt;"&amp;720)=0,"",IF(COUNTIFS(m_teacher,I$4,m_date,($G$2+1),m_active,1,m_start,"&lt;"&amp;780,m_end,"&gt;"&amp;720)&gt;1,"충돌",HYPERLINK("#'관리자_MASTER'!D"&amp;_xlfn.MAXIFS(m_row,m_teacher,I$4,m_date,($G$2+1),m_active,1,m_start,"&lt;"&amp;780,m_end,"&gt;"&amp;720),INDEX(m_label,_xlfn.MAXIFS(m_row,m_teacher,I$4,m_date,($G$2+1),m_active,1,m_start,"&lt;"&amp;780,m_end,"&gt;"&amp;720))))))</f>
        <v/>
      </c>
      <c r="J19" s="88" t="str">
        <f aca="false">IF(OR(J$4="",MONTH(($G$2+1))&lt;&gt;MONTH($C$2)),"",IF(COUNTIFS(m_teacher,J$4,m_date,($G$2+1),m_active,1,m_start,"&lt;"&amp;780,m_end,"&gt;"&amp;720)=0,"",IF(COUNTIFS(m_teacher,J$4,m_date,($G$2+1),m_active,1,m_start,"&lt;"&amp;780,m_end,"&gt;"&amp;720)&gt;1,"충돌",HYPERLINK("#'관리자_MASTER'!D"&amp;_xlfn.MAXIFS(m_row,m_teacher,J$4,m_date,($G$2+1),m_active,1,m_start,"&lt;"&amp;780,m_end,"&gt;"&amp;720),INDEX(m_label,_xlfn.MAXIFS(m_row,m_teacher,J$4,m_date,($G$2+1),m_active,1,m_start,"&lt;"&amp;780,m_end,"&gt;"&amp;720))))))</f>
        <v/>
      </c>
      <c r="K19" s="88" t="str">
        <f aca="false">IF(OR(K$4="",MONTH(($G$2+1))&lt;&gt;MONTH($C$2)),"",IF(COUNTIFS(m_teacher,K$4,m_date,($G$2+1),m_active,1,m_start,"&lt;"&amp;780,m_end,"&gt;"&amp;720)=0,"",IF(COUNTIFS(m_teacher,K$4,m_date,($G$2+1),m_active,1,m_start,"&lt;"&amp;780,m_end,"&gt;"&amp;720)&gt;1,"충돌",HYPERLINK("#'관리자_MASTER'!D"&amp;_xlfn.MAXIFS(m_row,m_teacher,K$4,m_date,($G$2+1),m_active,1,m_start,"&lt;"&amp;780,m_end,"&gt;"&amp;720),INDEX(m_label,_xlfn.MAXIFS(m_row,m_teacher,K$4,m_date,($G$2+1),m_active,1,m_start,"&lt;"&amp;780,m_end,"&gt;"&amp;720))))))</f>
        <v/>
      </c>
      <c r="L19" s="88" t="str">
        <f aca="false">IF(OR(L$4="",MONTH(($G$2+1))&lt;&gt;MONTH($C$2)),"",IF(COUNTIFS(m_teacher,L$4,m_date,($G$2+1),m_active,1,m_start,"&lt;"&amp;780,m_end,"&gt;"&amp;720)=0,"",IF(COUNTIFS(m_teacher,L$4,m_date,($G$2+1),m_active,1,m_start,"&lt;"&amp;780,m_end,"&gt;"&amp;720)&gt;1,"충돌",HYPERLINK("#'관리자_MASTER'!D"&amp;_xlfn.MAXIFS(m_row,m_teacher,L$4,m_date,($G$2+1),m_active,1,m_start,"&lt;"&amp;780,m_end,"&gt;"&amp;720),INDEX(m_label,_xlfn.MAXIFS(m_row,m_teacher,L$4,m_date,($G$2+1),m_active,1,m_start,"&lt;"&amp;780,m_end,"&gt;"&amp;720))))))</f>
        <v/>
      </c>
      <c r="M19" s="88" t="str">
        <f aca="false">IF(OR(M$4="",MONTH(($G$2+1))&lt;&gt;MONTH($C$2)),"",IF(COUNTIFS(m_teacher,M$4,m_date,($G$2+1),m_active,1,m_start,"&lt;"&amp;780,m_end,"&gt;"&amp;720)=0,"",IF(COUNTIFS(m_teacher,M$4,m_date,($G$2+1),m_active,1,m_start,"&lt;"&amp;780,m_end,"&gt;"&amp;720)&gt;1,"충돌",HYPERLINK("#'관리자_MASTER'!D"&amp;_xlfn.MAXIFS(m_row,m_teacher,M$4,m_date,($G$2+1),m_active,1,m_start,"&lt;"&amp;780,m_end,"&gt;"&amp;720),INDEX(m_label,_xlfn.MAXIFS(m_row,m_teacher,M$4,m_date,($G$2+1),m_active,1,m_start,"&lt;"&amp;780,m_end,"&gt;"&amp;720))))))</f>
        <v/>
      </c>
      <c r="N19" s="88" t="str">
        <f aca="false">IF(OR(N$4="",MONTH(($G$2+1))&lt;&gt;MONTH($C$2)),"",IF(COUNTIFS(m_teacher,N$4,m_date,($G$2+1),m_active,1,m_start,"&lt;"&amp;780,m_end,"&gt;"&amp;720)=0,"",IF(COUNTIFS(m_teacher,N$4,m_date,($G$2+1),m_active,1,m_start,"&lt;"&amp;780,m_end,"&gt;"&amp;720)&gt;1,"충돌",HYPERLINK("#'관리자_MASTER'!D"&amp;_xlfn.MAXIFS(m_row,m_teacher,N$4,m_date,($G$2+1),m_active,1,m_start,"&lt;"&amp;780,m_end,"&gt;"&amp;720),INDEX(m_label,_xlfn.MAXIFS(m_row,m_teacher,N$4,m_date,($G$2+1),m_active,1,m_start,"&lt;"&amp;780,m_end,"&gt;"&amp;720))))))</f>
        <v/>
      </c>
      <c r="O19" s="78"/>
      <c r="P19" s="79" t="s">
        <v>94</v>
      </c>
      <c r="Q19" s="88" t="str">
        <f aca="false">IF(OR(Q$4="",MONTH(($G$2+8))&lt;&gt;MONTH($C$2)),"",IF(COUNTIFS(m_teacher,Q$4,m_date,($G$2+8),m_active,1,m_start,"&lt;"&amp;780,m_end,"&gt;"&amp;720)=0,"",IF(COUNTIFS(m_teacher,Q$4,m_date,($G$2+8),m_active,1,m_start,"&lt;"&amp;780,m_end,"&gt;"&amp;720)&gt;1,"충돌",HYPERLINK("#'관리자_MASTER'!D"&amp;_xlfn.MAXIFS(m_row,m_teacher,Q$4,m_date,($G$2+8),m_active,1,m_start,"&lt;"&amp;780,m_end,"&gt;"&amp;720),INDEX(m_label,_xlfn.MAXIFS(m_row,m_teacher,Q$4,m_date,($G$2+8),m_active,1,m_start,"&lt;"&amp;780,m_end,"&gt;"&amp;720))))))</f>
        <v/>
      </c>
      <c r="R19" s="88" t="str">
        <f aca="false">IF(OR(R$4="",MONTH(($G$2+8))&lt;&gt;MONTH($C$2)),"",IF(COUNTIFS(m_teacher,R$4,m_date,($G$2+8),m_active,1,m_start,"&lt;"&amp;780,m_end,"&gt;"&amp;720)=0,"",IF(COUNTIFS(m_teacher,R$4,m_date,($G$2+8),m_active,1,m_start,"&lt;"&amp;780,m_end,"&gt;"&amp;720)&gt;1,"충돌",HYPERLINK("#'관리자_MASTER'!D"&amp;_xlfn.MAXIFS(m_row,m_teacher,R$4,m_date,($G$2+8),m_active,1,m_start,"&lt;"&amp;780,m_end,"&gt;"&amp;720),INDEX(m_label,_xlfn.MAXIFS(m_row,m_teacher,R$4,m_date,($G$2+8),m_active,1,m_start,"&lt;"&amp;780,m_end,"&gt;"&amp;720))))))</f>
        <v/>
      </c>
      <c r="S19" s="88" t="str">
        <f aca="false">IF(OR(S$4="",MONTH(($G$2+8))&lt;&gt;MONTH($C$2)),"",IF(COUNTIFS(m_teacher,S$4,m_date,($G$2+8),m_active,1,m_start,"&lt;"&amp;780,m_end,"&gt;"&amp;720)=0,"",IF(COUNTIFS(m_teacher,S$4,m_date,($G$2+8),m_active,1,m_start,"&lt;"&amp;780,m_end,"&gt;"&amp;720)&gt;1,"충돌",HYPERLINK("#'관리자_MASTER'!D"&amp;_xlfn.MAXIFS(m_row,m_teacher,S$4,m_date,($G$2+8),m_active,1,m_start,"&lt;"&amp;780,m_end,"&gt;"&amp;720),INDEX(m_label,_xlfn.MAXIFS(m_row,m_teacher,S$4,m_date,($G$2+8),m_active,1,m_start,"&lt;"&amp;780,m_end,"&gt;"&amp;720))))))</f>
        <v/>
      </c>
      <c r="T19" s="88" t="str">
        <f aca="false">IF(OR(T$4="",MONTH(($G$2+8))&lt;&gt;MONTH($C$2)),"",IF(COUNTIFS(m_teacher,T$4,m_date,($G$2+8),m_active,1,m_start,"&lt;"&amp;780,m_end,"&gt;"&amp;720)=0,"",IF(COUNTIFS(m_teacher,T$4,m_date,($G$2+8),m_active,1,m_start,"&lt;"&amp;780,m_end,"&gt;"&amp;720)&gt;1,"충돌",HYPERLINK("#'관리자_MASTER'!D"&amp;_xlfn.MAXIFS(m_row,m_teacher,T$4,m_date,($G$2+8),m_active,1,m_start,"&lt;"&amp;780,m_end,"&gt;"&amp;720),INDEX(m_label,_xlfn.MAXIFS(m_row,m_teacher,T$4,m_date,($G$2+8),m_active,1,m_start,"&lt;"&amp;780,m_end,"&gt;"&amp;720))))))</f>
        <v/>
      </c>
      <c r="U19" s="88" t="str">
        <f aca="false">IF(OR(U$4="",MONTH(($G$2+8))&lt;&gt;MONTH($C$2)),"",IF(COUNTIFS(m_teacher,U$4,m_date,($G$2+8),m_active,1,m_start,"&lt;"&amp;780,m_end,"&gt;"&amp;720)=0,"",IF(COUNTIFS(m_teacher,U$4,m_date,($G$2+8),m_active,1,m_start,"&lt;"&amp;780,m_end,"&gt;"&amp;720)&gt;1,"충돌",HYPERLINK("#'관리자_MASTER'!D"&amp;_xlfn.MAXIFS(m_row,m_teacher,U$4,m_date,($G$2+8),m_active,1,m_start,"&lt;"&amp;780,m_end,"&gt;"&amp;720),INDEX(m_label,_xlfn.MAXIFS(m_row,m_teacher,U$4,m_date,($G$2+8),m_active,1,m_start,"&lt;"&amp;780,m_end,"&gt;"&amp;720))))))</f>
        <v/>
      </c>
      <c r="V19" s="88" t="str">
        <f aca="false">IF(OR(V$4="",MONTH(($G$2+8))&lt;&gt;MONTH($C$2)),"",IF(COUNTIFS(m_teacher,V$4,m_date,($G$2+8),m_active,1,m_start,"&lt;"&amp;780,m_end,"&gt;"&amp;720)=0,"",IF(COUNTIFS(m_teacher,V$4,m_date,($G$2+8),m_active,1,m_start,"&lt;"&amp;780,m_end,"&gt;"&amp;720)&gt;1,"충돌",HYPERLINK("#'관리자_MASTER'!D"&amp;_xlfn.MAXIFS(m_row,m_teacher,V$4,m_date,($G$2+8),m_active,1,m_start,"&lt;"&amp;780,m_end,"&gt;"&amp;720),INDEX(m_label,_xlfn.MAXIFS(m_row,m_teacher,V$4,m_date,($G$2+8),m_active,1,m_start,"&lt;"&amp;780,m_end,"&gt;"&amp;720))))))</f>
        <v/>
      </c>
      <c r="W19" s="88" t="str">
        <f aca="false">IF(OR(W$4="",MONTH(($G$2+8))&lt;&gt;MONTH($C$2)),"",IF(COUNTIFS(m_teacher,W$4,m_date,($G$2+8),m_active,1,m_start,"&lt;"&amp;780,m_end,"&gt;"&amp;720)=0,"",IF(COUNTIFS(m_teacher,W$4,m_date,($G$2+8),m_active,1,m_start,"&lt;"&amp;780,m_end,"&gt;"&amp;720)&gt;1,"충돌",HYPERLINK("#'관리자_MASTER'!D"&amp;_xlfn.MAXIFS(m_row,m_teacher,W$4,m_date,($G$2+8),m_active,1,m_start,"&lt;"&amp;780,m_end,"&gt;"&amp;720),INDEX(m_label,_xlfn.MAXIFS(m_row,m_teacher,W$4,m_date,($G$2+8),m_active,1,m_start,"&lt;"&amp;780,m_end,"&gt;"&amp;720))))))</f>
        <v/>
      </c>
      <c r="X19" s="88" t="str">
        <f aca="false">IF(OR(X$4="",MONTH(($G$2+8))&lt;&gt;MONTH($C$2)),"",IF(COUNTIFS(m_teacher,X$4,m_date,($G$2+8),m_active,1,m_start,"&lt;"&amp;780,m_end,"&gt;"&amp;720)=0,"",IF(COUNTIFS(m_teacher,X$4,m_date,($G$2+8),m_active,1,m_start,"&lt;"&amp;780,m_end,"&gt;"&amp;720)&gt;1,"충돌",HYPERLINK("#'관리자_MASTER'!D"&amp;_xlfn.MAXIFS(m_row,m_teacher,X$4,m_date,($G$2+8),m_active,1,m_start,"&lt;"&amp;780,m_end,"&gt;"&amp;720),INDEX(m_label,_xlfn.MAXIFS(m_row,m_teacher,X$4,m_date,($G$2+8),m_active,1,m_start,"&lt;"&amp;780,m_end,"&gt;"&amp;720))))))</f>
        <v/>
      </c>
      <c r="Y19" s="88" t="str">
        <f aca="false">IF(OR(Y$4="",MONTH(($G$2+8))&lt;&gt;MONTH($C$2)),"",IF(COUNTIFS(m_teacher,Y$4,m_date,($G$2+8),m_active,1,m_start,"&lt;"&amp;780,m_end,"&gt;"&amp;720)=0,"",IF(COUNTIFS(m_teacher,Y$4,m_date,($G$2+8),m_active,1,m_start,"&lt;"&amp;780,m_end,"&gt;"&amp;720)&gt;1,"충돌",HYPERLINK("#'관리자_MASTER'!D"&amp;_xlfn.MAXIFS(m_row,m_teacher,Y$4,m_date,($G$2+8),m_active,1,m_start,"&lt;"&amp;780,m_end,"&gt;"&amp;720),INDEX(m_label,_xlfn.MAXIFS(m_row,m_teacher,Y$4,m_date,($G$2+8),m_active,1,m_start,"&lt;"&amp;780,m_end,"&gt;"&amp;720))))))</f>
        <v/>
      </c>
      <c r="Z19" s="88" t="str">
        <f aca="false">IF(OR(Z$4="",MONTH(($G$2+8))&lt;&gt;MONTH($C$2)),"",IF(COUNTIFS(m_teacher,Z$4,m_date,($G$2+8),m_active,1,m_start,"&lt;"&amp;780,m_end,"&gt;"&amp;720)=0,"",IF(COUNTIFS(m_teacher,Z$4,m_date,($G$2+8),m_active,1,m_start,"&lt;"&amp;780,m_end,"&gt;"&amp;720)&gt;1,"충돌",HYPERLINK("#'관리자_MASTER'!D"&amp;_xlfn.MAXIFS(m_row,m_teacher,Z$4,m_date,($G$2+8),m_active,1,m_start,"&lt;"&amp;780,m_end,"&gt;"&amp;720),INDEX(m_label,_xlfn.MAXIFS(m_row,m_teacher,Z$4,m_date,($G$2+8),m_active,1,m_start,"&lt;"&amp;780,m_end,"&gt;"&amp;720))))))</f>
        <v/>
      </c>
      <c r="AA19" s="88" t="str">
        <f aca="false">IF(OR(AA$4="",MONTH(($G$2+8))&lt;&gt;MONTH($C$2)),"",IF(COUNTIFS(m_teacher,AA$4,m_date,($G$2+8),m_active,1,m_start,"&lt;"&amp;780,m_end,"&gt;"&amp;720)=0,"",IF(COUNTIFS(m_teacher,AA$4,m_date,($G$2+8),m_active,1,m_start,"&lt;"&amp;780,m_end,"&gt;"&amp;720)&gt;1,"충돌",HYPERLINK("#'관리자_MASTER'!D"&amp;_xlfn.MAXIFS(m_row,m_teacher,AA$4,m_date,($G$2+8),m_active,1,m_start,"&lt;"&amp;780,m_end,"&gt;"&amp;720),INDEX(m_label,_xlfn.MAXIFS(m_row,m_teacher,AA$4,m_date,($G$2+8),m_active,1,m_start,"&lt;"&amp;780,m_end,"&gt;"&amp;720))))))</f>
        <v/>
      </c>
      <c r="AB19" s="88" t="str">
        <f aca="false">IF(OR(AB$4="",MONTH(($G$2+8))&lt;&gt;MONTH($C$2)),"",IF(COUNTIFS(m_teacher,AB$4,m_date,($G$2+8),m_active,1,m_start,"&lt;"&amp;780,m_end,"&gt;"&amp;720)=0,"",IF(COUNTIFS(m_teacher,AB$4,m_date,($G$2+8),m_active,1,m_start,"&lt;"&amp;780,m_end,"&gt;"&amp;720)&gt;1,"충돌",HYPERLINK("#'관리자_MASTER'!D"&amp;_xlfn.MAXIFS(m_row,m_teacher,AB$4,m_date,($G$2+8),m_active,1,m_start,"&lt;"&amp;780,m_end,"&gt;"&amp;720),INDEX(m_label,_xlfn.MAXIFS(m_row,m_teacher,AB$4,m_date,($G$2+8),m_active,1,m_start,"&lt;"&amp;780,m_end,"&gt;"&amp;720))))))</f>
        <v/>
      </c>
      <c r="AC19" s="78"/>
      <c r="AD19" s="79" t="s">
        <v>94</v>
      </c>
      <c r="AE19" s="88" t="str">
        <f aca="false">IF(OR(AE$4="",MONTH(($G$2+15))&lt;&gt;MONTH($C$2)),"",IF(COUNTIFS(m_teacher,AE$4,m_date,($G$2+15),m_active,1,m_start,"&lt;"&amp;780,m_end,"&gt;"&amp;720)=0,"",IF(COUNTIFS(m_teacher,AE$4,m_date,($G$2+15),m_active,1,m_start,"&lt;"&amp;780,m_end,"&gt;"&amp;720)&gt;1,"충돌",HYPERLINK("#'관리자_MASTER'!D"&amp;_xlfn.MAXIFS(m_row,m_teacher,AE$4,m_date,($G$2+15),m_active,1,m_start,"&lt;"&amp;780,m_end,"&gt;"&amp;720),INDEX(m_label,_xlfn.MAXIFS(m_row,m_teacher,AE$4,m_date,($G$2+15),m_active,1,m_start,"&lt;"&amp;780,m_end,"&gt;"&amp;720))))))</f>
        <v/>
      </c>
      <c r="AF19" s="88" t="str">
        <f aca="false">IF(OR(AF$4="",MONTH(($G$2+15))&lt;&gt;MONTH($C$2)),"",IF(COUNTIFS(m_teacher,AF$4,m_date,($G$2+15),m_active,1,m_start,"&lt;"&amp;780,m_end,"&gt;"&amp;720)=0,"",IF(COUNTIFS(m_teacher,AF$4,m_date,($G$2+15),m_active,1,m_start,"&lt;"&amp;780,m_end,"&gt;"&amp;720)&gt;1,"충돌",HYPERLINK("#'관리자_MASTER'!D"&amp;_xlfn.MAXIFS(m_row,m_teacher,AF$4,m_date,($G$2+15),m_active,1,m_start,"&lt;"&amp;780,m_end,"&gt;"&amp;720),INDEX(m_label,_xlfn.MAXIFS(m_row,m_teacher,AF$4,m_date,($G$2+15),m_active,1,m_start,"&lt;"&amp;780,m_end,"&gt;"&amp;720))))))</f>
        <v/>
      </c>
      <c r="AG19" s="88" t="str">
        <f aca="false">IF(OR(AG$4="",MONTH(($G$2+15))&lt;&gt;MONTH($C$2)),"",IF(COUNTIFS(m_teacher,AG$4,m_date,($G$2+15),m_active,1,m_start,"&lt;"&amp;780,m_end,"&gt;"&amp;720)=0,"",IF(COUNTIFS(m_teacher,AG$4,m_date,($G$2+15),m_active,1,m_start,"&lt;"&amp;780,m_end,"&gt;"&amp;720)&gt;1,"충돌",HYPERLINK("#'관리자_MASTER'!D"&amp;_xlfn.MAXIFS(m_row,m_teacher,AG$4,m_date,($G$2+15),m_active,1,m_start,"&lt;"&amp;780,m_end,"&gt;"&amp;720),INDEX(m_label,_xlfn.MAXIFS(m_row,m_teacher,AG$4,m_date,($G$2+15),m_active,1,m_start,"&lt;"&amp;780,m_end,"&gt;"&amp;720))))))</f>
        <v/>
      </c>
      <c r="AH19" s="88" t="str">
        <f aca="false">IF(OR(AH$4="",MONTH(($G$2+15))&lt;&gt;MONTH($C$2)),"",IF(COUNTIFS(m_teacher,AH$4,m_date,($G$2+15),m_active,1,m_start,"&lt;"&amp;780,m_end,"&gt;"&amp;720)=0,"",IF(COUNTIFS(m_teacher,AH$4,m_date,($G$2+15),m_active,1,m_start,"&lt;"&amp;780,m_end,"&gt;"&amp;720)&gt;1,"충돌",HYPERLINK("#'관리자_MASTER'!D"&amp;_xlfn.MAXIFS(m_row,m_teacher,AH$4,m_date,($G$2+15),m_active,1,m_start,"&lt;"&amp;780,m_end,"&gt;"&amp;720),INDEX(m_label,_xlfn.MAXIFS(m_row,m_teacher,AH$4,m_date,($G$2+15),m_active,1,m_start,"&lt;"&amp;780,m_end,"&gt;"&amp;720))))))</f>
        <v/>
      </c>
      <c r="AI19" s="88" t="str">
        <f aca="false">IF(OR(AI$4="",MONTH(($G$2+15))&lt;&gt;MONTH($C$2)),"",IF(COUNTIFS(m_teacher,AI$4,m_date,($G$2+15),m_active,1,m_start,"&lt;"&amp;780,m_end,"&gt;"&amp;720)=0,"",IF(COUNTIFS(m_teacher,AI$4,m_date,($G$2+15),m_active,1,m_start,"&lt;"&amp;780,m_end,"&gt;"&amp;720)&gt;1,"충돌",HYPERLINK("#'관리자_MASTER'!D"&amp;_xlfn.MAXIFS(m_row,m_teacher,AI$4,m_date,($G$2+15),m_active,1,m_start,"&lt;"&amp;780,m_end,"&gt;"&amp;720),INDEX(m_label,_xlfn.MAXIFS(m_row,m_teacher,AI$4,m_date,($G$2+15),m_active,1,m_start,"&lt;"&amp;780,m_end,"&gt;"&amp;720))))))</f>
        <v/>
      </c>
      <c r="AJ19" s="88" t="str">
        <f aca="false">IF(OR(AJ$4="",MONTH(($G$2+15))&lt;&gt;MONTH($C$2)),"",IF(COUNTIFS(m_teacher,AJ$4,m_date,($G$2+15),m_active,1,m_start,"&lt;"&amp;780,m_end,"&gt;"&amp;720)=0,"",IF(COUNTIFS(m_teacher,AJ$4,m_date,($G$2+15),m_active,1,m_start,"&lt;"&amp;780,m_end,"&gt;"&amp;720)&gt;1,"충돌",HYPERLINK("#'관리자_MASTER'!D"&amp;_xlfn.MAXIFS(m_row,m_teacher,AJ$4,m_date,($G$2+15),m_active,1,m_start,"&lt;"&amp;780,m_end,"&gt;"&amp;720),INDEX(m_label,_xlfn.MAXIFS(m_row,m_teacher,AJ$4,m_date,($G$2+15),m_active,1,m_start,"&lt;"&amp;780,m_end,"&gt;"&amp;720))))))</f>
        <v/>
      </c>
      <c r="AK19" s="88" t="str">
        <f aca="false">IF(OR(AK$4="",MONTH(($G$2+15))&lt;&gt;MONTH($C$2)),"",IF(COUNTIFS(m_teacher,AK$4,m_date,($G$2+15),m_active,1,m_start,"&lt;"&amp;780,m_end,"&gt;"&amp;720)=0,"",IF(COUNTIFS(m_teacher,AK$4,m_date,($G$2+15),m_active,1,m_start,"&lt;"&amp;780,m_end,"&gt;"&amp;720)&gt;1,"충돌",HYPERLINK("#'관리자_MASTER'!D"&amp;_xlfn.MAXIFS(m_row,m_teacher,AK$4,m_date,($G$2+15),m_active,1,m_start,"&lt;"&amp;780,m_end,"&gt;"&amp;720),INDEX(m_label,_xlfn.MAXIFS(m_row,m_teacher,AK$4,m_date,($G$2+15),m_active,1,m_start,"&lt;"&amp;780,m_end,"&gt;"&amp;720))))))</f>
        <v/>
      </c>
      <c r="AL19" s="88" t="str">
        <f aca="false">IF(OR(AL$4="",MONTH(($G$2+15))&lt;&gt;MONTH($C$2)),"",IF(COUNTIFS(m_teacher,AL$4,m_date,($G$2+15),m_active,1,m_start,"&lt;"&amp;780,m_end,"&gt;"&amp;720)=0,"",IF(COUNTIFS(m_teacher,AL$4,m_date,($G$2+15),m_active,1,m_start,"&lt;"&amp;780,m_end,"&gt;"&amp;720)&gt;1,"충돌",HYPERLINK("#'관리자_MASTER'!D"&amp;_xlfn.MAXIFS(m_row,m_teacher,AL$4,m_date,($G$2+15),m_active,1,m_start,"&lt;"&amp;780,m_end,"&gt;"&amp;720),INDEX(m_label,_xlfn.MAXIFS(m_row,m_teacher,AL$4,m_date,($G$2+15),m_active,1,m_start,"&lt;"&amp;780,m_end,"&gt;"&amp;720))))))</f>
        <v/>
      </c>
      <c r="AM19" s="88" t="str">
        <f aca="false">IF(OR(AM$4="",MONTH(($G$2+15))&lt;&gt;MONTH($C$2)),"",IF(COUNTIFS(m_teacher,AM$4,m_date,($G$2+15),m_active,1,m_start,"&lt;"&amp;780,m_end,"&gt;"&amp;720)=0,"",IF(COUNTIFS(m_teacher,AM$4,m_date,($G$2+15),m_active,1,m_start,"&lt;"&amp;780,m_end,"&gt;"&amp;720)&gt;1,"충돌",HYPERLINK("#'관리자_MASTER'!D"&amp;_xlfn.MAXIFS(m_row,m_teacher,AM$4,m_date,($G$2+15),m_active,1,m_start,"&lt;"&amp;780,m_end,"&gt;"&amp;720),INDEX(m_label,_xlfn.MAXIFS(m_row,m_teacher,AM$4,m_date,($G$2+15),m_active,1,m_start,"&lt;"&amp;780,m_end,"&gt;"&amp;720))))))</f>
        <v/>
      </c>
      <c r="AN19" s="88" t="str">
        <f aca="false">IF(OR(AN$4="",MONTH(($G$2+15))&lt;&gt;MONTH($C$2)),"",IF(COUNTIFS(m_teacher,AN$4,m_date,($G$2+15),m_active,1,m_start,"&lt;"&amp;780,m_end,"&gt;"&amp;720)=0,"",IF(COUNTIFS(m_teacher,AN$4,m_date,($G$2+15),m_active,1,m_start,"&lt;"&amp;780,m_end,"&gt;"&amp;720)&gt;1,"충돌",HYPERLINK("#'관리자_MASTER'!D"&amp;_xlfn.MAXIFS(m_row,m_teacher,AN$4,m_date,($G$2+15),m_active,1,m_start,"&lt;"&amp;780,m_end,"&gt;"&amp;720),INDEX(m_label,_xlfn.MAXIFS(m_row,m_teacher,AN$4,m_date,($G$2+15),m_active,1,m_start,"&lt;"&amp;780,m_end,"&gt;"&amp;720))))))</f>
        <v/>
      </c>
      <c r="AO19" s="88" t="str">
        <f aca="false">IF(OR(AO$4="",MONTH(($G$2+15))&lt;&gt;MONTH($C$2)),"",IF(COUNTIFS(m_teacher,AO$4,m_date,($G$2+15),m_active,1,m_start,"&lt;"&amp;780,m_end,"&gt;"&amp;720)=0,"",IF(COUNTIFS(m_teacher,AO$4,m_date,($G$2+15),m_active,1,m_start,"&lt;"&amp;780,m_end,"&gt;"&amp;720)&gt;1,"충돌",HYPERLINK("#'관리자_MASTER'!D"&amp;_xlfn.MAXIFS(m_row,m_teacher,AO$4,m_date,($G$2+15),m_active,1,m_start,"&lt;"&amp;780,m_end,"&gt;"&amp;720),INDEX(m_label,_xlfn.MAXIFS(m_row,m_teacher,AO$4,m_date,($G$2+15),m_active,1,m_start,"&lt;"&amp;780,m_end,"&gt;"&amp;720))))))</f>
        <v/>
      </c>
      <c r="AP19" s="88" t="str">
        <f aca="false">IF(OR(AP$4="",MONTH(($G$2+15))&lt;&gt;MONTH($C$2)),"",IF(COUNTIFS(m_teacher,AP$4,m_date,($G$2+15),m_active,1,m_start,"&lt;"&amp;780,m_end,"&gt;"&amp;720)=0,"",IF(COUNTIFS(m_teacher,AP$4,m_date,($G$2+15),m_active,1,m_start,"&lt;"&amp;780,m_end,"&gt;"&amp;720)&gt;1,"충돌",HYPERLINK("#'관리자_MASTER'!D"&amp;_xlfn.MAXIFS(m_row,m_teacher,AP$4,m_date,($G$2+15),m_active,1,m_start,"&lt;"&amp;780,m_end,"&gt;"&amp;720),INDEX(m_label,_xlfn.MAXIFS(m_row,m_teacher,AP$4,m_date,($G$2+15),m_active,1,m_start,"&lt;"&amp;780,m_end,"&gt;"&amp;720))))))</f>
        <v/>
      </c>
      <c r="AQ19" s="78"/>
      <c r="AR19" s="79" t="s">
        <v>94</v>
      </c>
      <c r="AS19" s="88" t="str">
        <f aca="false">IF(OR(AS$4="",MONTH(($G$2+22))&lt;&gt;MONTH($C$2)),"",IF(COUNTIFS(m_teacher,AS$4,m_date,($G$2+22),m_active,1,m_start,"&lt;"&amp;780,m_end,"&gt;"&amp;720)=0,"",IF(COUNTIFS(m_teacher,AS$4,m_date,($G$2+22),m_active,1,m_start,"&lt;"&amp;780,m_end,"&gt;"&amp;720)&gt;1,"충돌",HYPERLINK("#'관리자_MASTER'!D"&amp;_xlfn.MAXIFS(m_row,m_teacher,AS$4,m_date,($G$2+22),m_active,1,m_start,"&lt;"&amp;780,m_end,"&gt;"&amp;720),INDEX(m_label,_xlfn.MAXIFS(m_row,m_teacher,AS$4,m_date,($G$2+22),m_active,1,m_start,"&lt;"&amp;780,m_end,"&gt;"&amp;720))))))</f>
        <v/>
      </c>
      <c r="AT19" s="88" t="str">
        <f aca="false">IF(OR(AT$4="",MONTH(($G$2+22))&lt;&gt;MONTH($C$2)),"",IF(COUNTIFS(m_teacher,AT$4,m_date,($G$2+22),m_active,1,m_start,"&lt;"&amp;780,m_end,"&gt;"&amp;720)=0,"",IF(COUNTIFS(m_teacher,AT$4,m_date,($G$2+22),m_active,1,m_start,"&lt;"&amp;780,m_end,"&gt;"&amp;720)&gt;1,"충돌",HYPERLINK("#'관리자_MASTER'!D"&amp;_xlfn.MAXIFS(m_row,m_teacher,AT$4,m_date,($G$2+22),m_active,1,m_start,"&lt;"&amp;780,m_end,"&gt;"&amp;720),INDEX(m_label,_xlfn.MAXIFS(m_row,m_teacher,AT$4,m_date,($G$2+22),m_active,1,m_start,"&lt;"&amp;780,m_end,"&gt;"&amp;720))))))</f>
        <v/>
      </c>
      <c r="AU19" s="88" t="str">
        <f aca="false">IF(OR(AU$4="",MONTH(($G$2+22))&lt;&gt;MONTH($C$2)),"",IF(COUNTIFS(m_teacher,AU$4,m_date,($G$2+22),m_active,1,m_start,"&lt;"&amp;780,m_end,"&gt;"&amp;720)=0,"",IF(COUNTIFS(m_teacher,AU$4,m_date,($G$2+22),m_active,1,m_start,"&lt;"&amp;780,m_end,"&gt;"&amp;720)&gt;1,"충돌",HYPERLINK("#'관리자_MASTER'!D"&amp;_xlfn.MAXIFS(m_row,m_teacher,AU$4,m_date,($G$2+22),m_active,1,m_start,"&lt;"&amp;780,m_end,"&gt;"&amp;720),INDEX(m_label,_xlfn.MAXIFS(m_row,m_teacher,AU$4,m_date,($G$2+22),m_active,1,m_start,"&lt;"&amp;780,m_end,"&gt;"&amp;720))))))</f>
        <v/>
      </c>
      <c r="AV19" s="88" t="str">
        <f aca="false">IF(OR(AV$4="",MONTH(($G$2+22))&lt;&gt;MONTH($C$2)),"",IF(COUNTIFS(m_teacher,AV$4,m_date,($G$2+22),m_active,1,m_start,"&lt;"&amp;780,m_end,"&gt;"&amp;720)=0,"",IF(COUNTIFS(m_teacher,AV$4,m_date,($G$2+22),m_active,1,m_start,"&lt;"&amp;780,m_end,"&gt;"&amp;720)&gt;1,"충돌",HYPERLINK("#'관리자_MASTER'!D"&amp;_xlfn.MAXIFS(m_row,m_teacher,AV$4,m_date,($G$2+22),m_active,1,m_start,"&lt;"&amp;780,m_end,"&gt;"&amp;720),INDEX(m_label,_xlfn.MAXIFS(m_row,m_teacher,AV$4,m_date,($G$2+22),m_active,1,m_start,"&lt;"&amp;780,m_end,"&gt;"&amp;720))))))</f>
        <v/>
      </c>
      <c r="AW19" s="88" t="str">
        <f aca="false">IF(OR(AW$4="",MONTH(($G$2+22))&lt;&gt;MONTH($C$2)),"",IF(COUNTIFS(m_teacher,AW$4,m_date,($G$2+22),m_active,1,m_start,"&lt;"&amp;780,m_end,"&gt;"&amp;720)=0,"",IF(COUNTIFS(m_teacher,AW$4,m_date,($G$2+22),m_active,1,m_start,"&lt;"&amp;780,m_end,"&gt;"&amp;720)&gt;1,"충돌",HYPERLINK("#'관리자_MASTER'!D"&amp;_xlfn.MAXIFS(m_row,m_teacher,AW$4,m_date,($G$2+22),m_active,1,m_start,"&lt;"&amp;780,m_end,"&gt;"&amp;720),INDEX(m_label,_xlfn.MAXIFS(m_row,m_teacher,AW$4,m_date,($G$2+22),m_active,1,m_start,"&lt;"&amp;780,m_end,"&gt;"&amp;720))))))</f>
        <v/>
      </c>
      <c r="AX19" s="88" t="str">
        <f aca="false">IF(OR(AX$4="",MONTH(($G$2+22))&lt;&gt;MONTH($C$2)),"",IF(COUNTIFS(m_teacher,AX$4,m_date,($G$2+22),m_active,1,m_start,"&lt;"&amp;780,m_end,"&gt;"&amp;720)=0,"",IF(COUNTIFS(m_teacher,AX$4,m_date,($G$2+22),m_active,1,m_start,"&lt;"&amp;780,m_end,"&gt;"&amp;720)&gt;1,"충돌",HYPERLINK("#'관리자_MASTER'!D"&amp;_xlfn.MAXIFS(m_row,m_teacher,AX$4,m_date,($G$2+22),m_active,1,m_start,"&lt;"&amp;780,m_end,"&gt;"&amp;720),INDEX(m_label,_xlfn.MAXIFS(m_row,m_teacher,AX$4,m_date,($G$2+22),m_active,1,m_start,"&lt;"&amp;780,m_end,"&gt;"&amp;720))))))</f>
        <v/>
      </c>
      <c r="AY19" s="88" t="str">
        <f aca="false">IF(OR(AY$4="",MONTH(($G$2+22))&lt;&gt;MONTH($C$2)),"",IF(COUNTIFS(m_teacher,AY$4,m_date,($G$2+22),m_active,1,m_start,"&lt;"&amp;780,m_end,"&gt;"&amp;720)=0,"",IF(COUNTIFS(m_teacher,AY$4,m_date,($G$2+22),m_active,1,m_start,"&lt;"&amp;780,m_end,"&gt;"&amp;720)&gt;1,"충돌",HYPERLINK("#'관리자_MASTER'!D"&amp;_xlfn.MAXIFS(m_row,m_teacher,AY$4,m_date,($G$2+22),m_active,1,m_start,"&lt;"&amp;780,m_end,"&gt;"&amp;720),INDEX(m_label,_xlfn.MAXIFS(m_row,m_teacher,AY$4,m_date,($G$2+22),m_active,1,m_start,"&lt;"&amp;780,m_end,"&gt;"&amp;720))))))</f>
        <v/>
      </c>
      <c r="AZ19" s="88" t="str">
        <f aca="false">IF(OR(AZ$4="",MONTH(($G$2+22))&lt;&gt;MONTH($C$2)),"",IF(COUNTIFS(m_teacher,AZ$4,m_date,($G$2+22),m_active,1,m_start,"&lt;"&amp;780,m_end,"&gt;"&amp;720)=0,"",IF(COUNTIFS(m_teacher,AZ$4,m_date,($G$2+22),m_active,1,m_start,"&lt;"&amp;780,m_end,"&gt;"&amp;720)&gt;1,"충돌",HYPERLINK("#'관리자_MASTER'!D"&amp;_xlfn.MAXIFS(m_row,m_teacher,AZ$4,m_date,($G$2+22),m_active,1,m_start,"&lt;"&amp;780,m_end,"&gt;"&amp;720),INDEX(m_label,_xlfn.MAXIFS(m_row,m_teacher,AZ$4,m_date,($G$2+22),m_active,1,m_start,"&lt;"&amp;780,m_end,"&gt;"&amp;720))))))</f>
        <v/>
      </c>
      <c r="BA19" s="88" t="str">
        <f aca="false">IF(OR(BA$4="",MONTH(($G$2+22))&lt;&gt;MONTH($C$2)),"",IF(COUNTIFS(m_teacher,BA$4,m_date,($G$2+22),m_active,1,m_start,"&lt;"&amp;780,m_end,"&gt;"&amp;720)=0,"",IF(COUNTIFS(m_teacher,BA$4,m_date,($G$2+22),m_active,1,m_start,"&lt;"&amp;780,m_end,"&gt;"&amp;720)&gt;1,"충돌",HYPERLINK("#'관리자_MASTER'!D"&amp;_xlfn.MAXIFS(m_row,m_teacher,BA$4,m_date,($G$2+22),m_active,1,m_start,"&lt;"&amp;780,m_end,"&gt;"&amp;720),INDEX(m_label,_xlfn.MAXIFS(m_row,m_teacher,BA$4,m_date,($G$2+22),m_active,1,m_start,"&lt;"&amp;780,m_end,"&gt;"&amp;720))))))</f>
        <v/>
      </c>
      <c r="BB19" s="88" t="str">
        <f aca="false">IF(OR(BB$4="",MONTH(($G$2+22))&lt;&gt;MONTH($C$2)),"",IF(COUNTIFS(m_teacher,BB$4,m_date,($G$2+22),m_active,1,m_start,"&lt;"&amp;780,m_end,"&gt;"&amp;720)=0,"",IF(COUNTIFS(m_teacher,BB$4,m_date,($G$2+22),m_active,1,m_start,"&lt;"&amp;780,m_end,"&gt;"&amp;720)&gt;1,"충돌",HYPERLINK("#'관리자_MASTER'!D"&amp;_xlfn.MAXIFS(m_row,m_teacher,BB$4,m_date,($G$2+22),m_active,1,m_start,"&lt;"&amp;780,m_end,"&gt;"&amp;720),INDEX(m_label,_xlfn.MAXIFS(m_row,m_teacher,BB$4,m_date,($G$2+22),m_active,1,m_start,"&lt;"&amp;780,m_end,"&gt;"&amp;720))))))</f>
        <v/>
      </c>
      <c r="BC19" s="88" t="str">
        <f aca="false">IF(OR(BC$4="",MONTH(($G$2+22))&lt;&gt;MONTH($C$2)),"",IF(COUNTIFS(m_teacher,BC$4,m_date,($G$2+22),m_active,1,m_start,"&lt;"&amp;780,m_end,"&gt;"&amp;720)=0,"",IF(COUNTIFS(m_teacher,BC$4,m_date,($G$2+22),m_active,1,m_start,"&lt;"&amp;780,m_end,"&gt;"&amp;720)&gt;1,"충돌",HYPERLINK("#'관리자_MASTER'!D"&amp;_xlfn.MAXIFS(m_row,m_teacher,BC$4,m_date,($G$2+22),m_active,1,m_start,"&lt;"&amp;780,m_end,"&gt;"&amp;720),INDEX(m_label,_xlfn.MAXIFS(m_row,m_teacher,BC$4,m_date,($G$2+22),m_active,1,m_start,"&lt;"&amp;780,m_end,"&gt;"&amp;720))))))</f>
        <v/>
      </c>
      <c r="BD19" s="88" t="str">
        <f aca="false">IF(OR(BD$4="",MONTH(($G$2+22))&lt;&gt;MONTH($C$2)),"",IF(COUNTIFS(m_teacher,BD$4,m_date,($G$2+22),m_active,1,m_start,"&lt;"&amp;780,m_end,"&gt;"&amp;720)=0,"",IF(COUNTIFS(m_teacher,BD$4,m_date,($G$2+22),m_active,1,m_start,"&lt;"&amp;780,m_end,"&gt;"&amp;720)&gt;1,"충돌",HYPERLINK("#'관리자_MASTER'!D"&amp;_xlfn.MAXIFS(m_row,m_teacher,BD$4,m_date,($G$2+22),m_active,1,m_start,"&lt;"&amp;780,m_end,"&gt;"&amp;720),INDEX(m_label,_xlfn.MAXIFS(m_row,m_teacher,BD$4,m_date,($G$2+22),m_active,1,m_start,"&lt;"&amp;780,m_end,"&gt;"&amp;720))))))</f>
        <v/>
      </c>
      <c r="BE19" s="78"/>
      <c r="BF19" s="79" t="s">
        <v>94</v>
      </c>
      <c r="BG19" s="88" t="str">
        <f aca="false">IF(OR(BG$4="",MONTH(($G$2+29))&lt;&gt;MONTH($C$2)),"",IF(COUNTIFS(m_teacher,BG$4,m_date,($G$2+29),m_active,1,m_start,"&lt;"&amp;780,m_end,"&gt;"&amp;720)=0,"",IF(COUNTIFS(m_teacher,BG$4,m_date,($G$2+29),m_active,1,m_start,"&lt;"&amp;780,m_end,"&gt;"&amp;720)&gt;1,"충돌",HYPERLINK("#'관리자_MASTER'!D"&amp;_xlfn.MAXIFS(m_row,m_teacher,BG$4,m_date,($G$2+29),m_active,1,m_start,"&lt;"&amp;780,m_end,"&gt;"&amp;720),INDEX(m_label,_xlfn.MAXIFS(m_row,m_teacher,BG$4,m_date,($G$2+29),m_active,1,m_start,"&lt;"&amp;780,m_end,"&gt;"&amp;720))))))</f>
        <v/>
      </c>
      <c r="BH19" s="88" t="str">
        <f aca="false">IF(OR(BH$4="",MONTH(($G$2+29))&lt;&gt;MONTH($C$2)),"",IF(COUNTIFS(m_teacher,BH$4,m_date,($G$2+29),m_active,1,m_start,"&lt;"&amp;780,m_end,"&gt;"&amp;720)=0,"",IF(COUNTIFS(m_teacher,BH$4,m_date,($G$2+29),m_active,1,m_start,"&lt;"&amp;780,m_end,"&gt;"&amp;720)&gt;1,"충돌",HYPERLINK("#'관리자_MASTER'!D"&amp;_xlfn.MAXIFS(m_row,m_teacher,BH$4,m_date,($G$2+29),m_active,1,m_start,"&lt;"&amp;780,m_end,"&gt;"&amp;720),INDEX(m_label,_xlfn.MAXIFS(m_row,m_teacher,BH$4,m_date,($G$2+29),m_active,1,m_start,"&lt;"&amp;780,m_end,"&gt;"&amp;720))))))</f>
        <v/>
      </c>
      <c r="BI19" s="88" t="str">
        <f aca="false">IF(OR(BI$4="",MONTH(($G$2+29))&lt;&gt;MONTH($C$2)),"",IF(COUNTIFS(m_teacher,BI$4,m_date,($G$2+29),m_active,1,m_start,"&lt;"&amp;780,m_end,"&gt;"&amp;720)=0,"",IF(COUNTIFS(m_teacher,BI$4,m_date,($G$2+29),m_active,1,m_start,"&lt;"&amp;780,m_end,"&gt;"&amp;720)&gt;1,"충돌",HYPERLINK("#'관리자_MASTER'!D"&amp;_xlfn.MAXIFS(m_row,m_teacher,BI$4,m_date,($G$2+29),m_active,1,m_start,"&lt;"&amp;780,m_end,"&gt;"&amp;720),INDEX(m_label,_xlfn.MAXIFS(m_row,m_teacher,BI$4,m_date,($G$2+29),m_active,1,m_start,"&lt;"&amp;780,m_end,"&gt;"&amp;720))))))</f>
        <v/>
      </c>
      <c r="BJ19" s="88" t="str">
        <f aca="false">IF(OR(BJ$4="",MONTH(($G$2+29))&lt;&gt;MONTH($C$2)),"",IF(COUNTIFS(m_teacher,BJ$4,m_date,($G$2+29),m_active,1,m_start,"&lt;"&amp;780,m_end,"&gt;"&amp;720)=0,"",IF(COUNTIFS(m_teacher,BJ$4,m_date,($G$2+29),m_active,1,m_start,"&lt;"&amp;780,m_end,"&gt;"&amp;720)&gt;1,"충돌",HYPERLINK("#'관리자_MASTER'!D"&amp;_xlfn.MAXIFS(m_row,m_teacher,BJ$4,m_date,($G$2+29),m_active,1,m_start,"&lt;"&amp;780,m_end,"&gt;"&amp;720),INDEX(m_label,_xlfn.MAXIFS(m_row,m_teacher,BJ$4,m_date,($G$2+29),m_active,1,m_start,"&lt;"&amp;780,m_end,"&gt;"&amp;720))))))</f>
        <v/>
      </c>
      <c r="BK19" s="88" t="str">
        <f aca="false">IF(OR(BK$4="",MONTH(($G$2+29))&lt;&gt;MONTH($C$2)),"",IF(COUNTIFS(m_teacher,BK$4,m_date,($G$2+29),m_active,1,m_start,"&lt;"&amp;780,m_end,"&gt;"&amp;720)=0,"",IF(COUNTIFS(m_teacher,BK$4,m_date,($G$2+29),m_active,1,m_start,"&lt;"&amp;780,m_end,"&gt;"&amp;720)&gt;1,"충돌",HYPERLINK("#'관리자_MASTER'!D"&amp;_xlfn.MAXIFS(m_row,m_teacher,BK$4,m_date,($G$2+29),m_active,1,m_start,"&lt;"&amp;780,m_end,"&gt;"&amp;720),INDEX(m_label,_xlfn.MAXIFS(m_row,m_teacher,BK$4,m_date,($G$2+29),m_active,1,m_start,"&lt;"&amp;780,m_end,"&gt;"&amp;720))))))</f>
        <v/>
      </c>
      <c r="BL19" s="88" t="str">
        <f aca="false">IF(OR(BL$4="",MONTH(($G$2+29))&lt;&gt;MONTH($C$2)),"",IF(COUNTIFS(m_teacher,BL$4,m_date,($G$2+29),m_active,1,m_start,"&lt;"&amp;780,m_end,"&gt;"&amp;720)=0,"",IF(COUNTIFS(m_teacher,BL$4,m_date,($G$2+29),m_active,1,m_start,"&lt;"&amp;780,m_end,"&gt;"&amp;720)&gt;1,"충돌",HYPERLINK("#'관리자_MASTER'!D"&amp;_xlfn.MAXIFS(m_row,m_teacher,BL$4,m_date,($G$2+29),m_active,1,m_start,"&lt;"&amp;780,m_end,"&gt;"&amp;720),INDEX(m_label,_xlfn.MAXIFS(m_row,m_teacher,BL$4,m_date,($G$2+29),m_active,1,m_start,"&lt;"&amp;780,m_end,"&gt;"&amp;720))))))</f>
        <v/>
      </c>
      <c r="BM19" s="88" t="str">
        <f aca="false">IF(OR(BM$4="",MONTH(($G$2+29))&lt;&gt;MONTH($C$2)),"",IF(COUNTIFS(m_teacher,BM$4,m_date,($G$2+29),m_active,1,m_start,"&lt;"&amp;780,m_end,"&gt;"&amp;720)=0,"",IF(COUNTIFS(m_teacher,BM$4,m_date,($G$2+29),m_active,1,m_start,"&lt;"&amp;780,m_end,"&gt;"&amp;720)&gt;1,"충돌",HYPERLINK("#'관리자_MASTER'!D"&amp;_xlfn.MAXIFS(m_row,m_teacher,BM$4,m_date,($G$2+29),m_active,1,m_start,"&lt;"&amp;780,m_end,"&gt;"&amp;720),INDEX(m_label,_xlfn.MAXIFS(m_row,m_teacher,BM$4,m_date,($G$2+29),m_active,1,m_start,"&lt;"&amp;780,m_end,"&gt;"&amp;720))))))</f>
        <v/>
      </c>
      <c r="BN19" s="88" t="str">
        <f aca="false">IF(OR(BN$4="",MONTH(($G$2+29))&lt;&gt;MONTH($C$2)),"",IF(COUNTIFS(m_teacher,BN$4,m_date,($G$2+29),m_active,1,m_start,"&lt;"&amp;780,m_end,"&gt;"&amp;720)=0,"",IF(COUNTIFS(m_teacher,BN$4,m_date,($G$2+29),m_active,1,m_start,"&lt;"&amp;780,m_end,"&gt;"&amp;720)&gt;1,"충돌",HYPERLINK("#'관리자_MASTER'!D"&amp;_xlfn.MAXIFS(m_row,m_teacher,BN$4,m_date,($G$2+29),m_active,1,m_start,"&lt;"&amp;780,m_end,"&gt;"&amp;720),INDEX(m_label,_xlfn.MAXIFS(m_row,m_teacher,BN$4,m_date,($G$2+29),m_active,1,m_start,"&lt;"&amp;780,m_end,"&gt;"&amp;720))))))</f>
        <v/>
      </c>
      <c r="BO19" s="88" t="str">
        <f aca="false">IF(OR(BO$4="",MONTH(($G$2+29))&lt;&gt;MONTH($C$2)),"",IF(COUNTIFS(m_teacher,BO$4,m_date,($G$2+29),m_active,1,m_start,"&lt;"&amp;780,m_end,"&gt;"&amp;720)=0,"",IF(COUNTIFS(m_teacher,BO$4,m_date,($G$2+29),m_active,1,m_start,"&lt;"&amp;780,m_end,"&gt;"&amp;720)&gt;1,"충돌",HYPERLINK("#'관리자_MASTER'!D"&amp;_xlfn.MAXIFS(m_row,m_teacher,BO$4,m_date,($G$2+29),m_active,1,m_start,"&lt;"&amp;780,m_end,"&gt;"&amp;720),INDEX(m_label,_xlfn.MAXIFS(m_row,m_teacher,BO$4,m_date,($G$2+29),m_active,1,m_start,"&lt;"&amp;780,m_end,"&gt;"&amp;720))))))</f>
        <v/>
      </c>
      <c r="BP19" s="88" t="str">
        <f aca="false">IF(OR(BP$4="",MONTH(($G$2+29))&lt;&gt;MONTH($C$2)),"",IF(COUNTIFS(m_teacher,BP$4,m_date,($G$2+29),m_active,1,m_start,"&lt;"&amp;780,m_end,"&gt;"&amp;720)=0,"",IF(COUNTIFS(m_teacher,BP$4,m_date,($G$2+29),m_active,1,m_start,"&lt;"&amp;780,m_end,"&gt;"&amp;720)&gt;1,"충돌",HYPERLINK("#'관리자_MASTER'!D"&amp;_xlfn.MAXIFS(m_row,m_teacher,BP$4,m_date,($G$2+29),m_active,1,m_start,"&lt;"&amp;780,m_end,"&gt;"&amp;720),INDEX(m_label,_xlfn.MAXIFS(m_row,m_teacher,BP$4,m_date,($G$2+29),m_active,1,m_start,"&lt;"&amp;780,m_end,"&gt;"&amp;720))))))</f>
        <v/>
      </c>
      <c r="BQ19" s="88" t="str">
        <f aca="false">IF(OR(BQ$4="",MONTH(($G$2+29))&lt;&gt;MONTH($C$2)),"",IF(COUNTIFS(m_teacher,BQ$4,m_date,($G$2+29),m_active,1,m_start,"&lt;"&amp;780,m_end,"&gt;"&amp;720)=0,"",IF(COUNTIFS(m_teacher,BQ$4,m_date,($G$2+29),m_active,1,m_start,"&lt;"&amp;780,m_end,"&gt;"&amp;720)&gt;1,"충돌",HYPERLINK("#'관리자_MASTER'!D"&amp;_xlfn.MAXIFS(m_row,m_teacher,BQ$4,m_date,($G$2+29),m_active,1,m_start,"&lt;"&amp;780,m_end,"&gt;"&amp;720),INDEX(m_label,_xlfn.MAXIFS(m_row,m_teacher,BQ$4,m_date,($G$2+29),m_active,1,m_start,"&lt;"&amp;780,m_end,"&gt;"&amp;720))))))</f>
        <v/>
      </c>
      <c r="BR19" s="88" t="str">
        <f aca="false">IF(OR(BR$4="",MONTH(($G$2+29))&lt;&gt;MONTH($C$2)),"",IF(COUNTIFS(m_teacher,BR$4,m_date,($G$2+29),m_active,1,m_start,"&lt;"&amp;780,m_end,"&gt;"&amp;720)=0,"",IF(COUNTIFS(m_teacher,BR$4,m_date,($G$2+29),m_active,1,m_start,"&lt;"&amp;780,m_end,"&gt;"&amp;720)&gt;1,"충돌",HYPERLINK("#'관리자_MASTER'!D"&amp;_xlfn.MAXIFS(m_row,m_teacher,BR$4,m_date,($G$2+29),m_active,1,m_start,"&lt;"&amp;780,m_end,"&gt;"&amp;720),INDEX(m_label,_xlfn.MAXIFS(m_row,m_teacher,BR$4,m_date,($G$2+29),m_active,1,m_start,"&lt;"&amp;780,m_end,"&gt;"&amp;720))))))</f>
        <v/>
      </c>
    </row>
    <row r="20" customFormat="false" ht="19.5" hidden="false" customHeight="true" outlineLevel="0" collapsed="false">
      <c r="A20" s="78"/>
      <c r="B20" s="79" t="s">
        <v>95</v>
      </c>
      <c r="C20" s="88" t="str">
        <f aca="false">IF(OR(C$4="",MONTH(($G$2+1))&lt;&gt;MONTH($C$2)),"",IF(COUNTIFS(m_teacher,C$4,m_date,($G$2+1),m_active,1,m_start,"&lt;"&amp;840,m_end,"&gt;"&amp;780)=0,"",IF(COUNTIFS(m_teacher,C$4,m_date,($G$2+1),m_active,1,m_start,"&lt;"&amp;840,m_end,"&gt;"&amp;780)&gt;1,"충돌",HYPERLINK("#'관리자_MASTER'!D"&amp;_xlfn.MAXIFS(m_row,m_teacher,C$4,m_date,($G$2+1),m_active,1,m_start,"&lt;"&amp;840,m_end,"&gt;"&amp;780),INDEX(m_label,_xlfn.MAXIFS(m_row,m_teacher,C$4,m_date,($G$2+1),m_active,1,m_start,"&lt;"&amp;840,m_end,"&gt;"&amp;780))))))</f>
        <v/>
      </c>
      <c r="D20" s="88" t="str">
        <f aca="false">IF(OR(D$4="",MONTH(($G$2+1))&lt;&gt;MONTH($C$2)),"",IF(COUNTIFS(m_teacher,D$4,m_date,($G$2+1),m_active,1,m_start,"&lt;"&amp;840,m_end,"&gt;"&amp;780)=0,"",IF(COUNTIFS(m_teacher,D$4,m_date,($G$2+1),m_active,1,m_start,"&lt;"&amp;840,m_end,"&gt;"&amp;780)&gt;1,"충돌",HYPERLINK("#'관리자_MASTER'!D"&amp;_xlfn.MAXIFS(m_row,m_teacher,D$4,m_date,($G$2+1),m_active,1,m_start,"&lt;"&amp;840,m_end,"&gt;"&amp;780),INDEX(m_label,_xlfn.MAXIFS(m_row,m_teacher,D$4,m_date,($G$2+1),m_active,1,m_start,"&lt;"&amp;840,m_end,"&gt;"&amp;780))))))</f>
        <v/>
      </c>
      <c r="E20" s="88" t="str">
        <f aca="false">IF(OR(E$4="",MONTH(($G$2+1))&lt;&gt;MONTH($C$2)),"",IF(COUNTIFS(m_teacher,E$4,m_date,($G$2+1),m_active,1,m_start,"&lt;"&amp;840,m_end,"&gt;"&amp;780)=0,"",IF(COUNTIFS(m_teacher,E$4,m_date,($G$2+1),m_active,1,m_start,"&lt;"&amp;840,m_end,"&gt;"&amp;780)&gt;1,"충돌",HYPERLINK("#'관리자_MASTER'!D"&amp;_xlfn.MAXIFS(m_row,m_teacher,E$4,m_date,($G$2+1),m_active,1,m_start,"&lt;"&amp;840,m_end,"&gt;"&amp;780),INDEX(m_label,_xlfn.MAXIFS(m_row,m_teacher,E$4,m_date,($G$2+1),m_active,1,m_start,"&lt;"&amp;840,m_end,"&gt;"&amp;780))))))</f>
        <v/>
      </c>
      <c r="F20" s="88" t="str">
        <f aca="false">IF(OR(F$4="",MONTH(($G$2+1))&lt;&gt;MONTH($C$2)),"",IF(COUNTIFS(m_teacher,F$4,m_date,($G$2+1),m_active,1,m_start,"&lt;"&amp;840,m_end,"&gt;"&amp;780)=0,"",IF(COUNTIFS(m_teacher,F$4,m_date,($G$2+1),m_active,1,m_start,"&lt;"&amp;840,m_end,"&gt;"&amp;780)&gt;1,"충돌",HYPERLINK("#'관리자_MASTER'!D"&amp;_xlfn.MAXIFS(m_row,m_teacher,F$4,m_date,($G$2+1),m_active,1,m_start,"&lt;"&amp;840,m_end,"&gt;"&amp;780),INDEX(m_label,_xlfn.MAXIFS(m_row,m_teacher,F$4,m_date,($G$2+1),m_active,1,m_start,"&lt;"&amp;840,m_end,"&gt;"&amp;780))))))</f>
        <v/>
      </c>
      <c r="G20" s="88" t="str">
        <f aca="false">IF(OR(G$4="",MONTH(($G$2+1))&lt;&gt;MONTH($C$2)),"",IF(COUNTIFS(m_teacher,G$4,m_date,($G$2+1),m_active,1,m_start,"&lt;"&amp;840,m_end,"&gt;"&amp;780)=0,"",IF(COUNTIFS(m_teacher,G$4,m_date,($G$2+1),m_active,1,m_start,"&lt;"&amp;840,m_end,"&gt;"&amp;780)&gt;1,"충돌",HYPERLINK("#'관리자_MASTER'!D"&amp;_xlfn.MAXIFS(m_row,m_teacher,G$4,m_date,($G$2+1),m_active,1,m_start,"&lt;"&amp;840,m_end,"&gt;"&amp;780),INDEX(m_label,_xlfn.MAXIFS(m_row,m_teacher,G$4,m_date,($G$2+1),m_active,1,m_start,"&lt;"&amp;840,m_end,"&gt;"&amp;780))))))</f>
        <v/>
      </c>
      <c r="H20" s="88" t="str">
        <f aca="false">IF(OR(H$4="",MONTH(($G$2+1))&lt;&gt;MONTH($C$2)),"",IF(COUNTIFS(m_teacher,H$4,m_date,($G$2+1),m_active,1,m_start,"&lt;"&amp;840,m_end,"&gt;"&amp;780)=0,"",IF(COUNTIFS(m_teacher,H$4,m_date,($G$2+1),m_active,1,m_start,"&lt;"&amp;840,m_end,"&gt;"&amp;780)&gt;1,"충돌",HYPERLINK("#'관리자_MASTER'!D"&amp;_xlfn.MAXIFS(m_row,m_teacher,H$4,m_date,($G$2+1),m_active,1,m_start,"&lt;"&amp;840,m_end,"&gt;"&amp;780),INDEX(m_label,_xlfn.MAXIFS(m_row,m_teacher,H$4,m_date,($G$2+1),m_active,1,m_start,"&lt;"&amp;840,m_end,"&gt;"&amp;780))))))</f>
        <v/>
      </c>
      <c r="I20" s="88" t="str">
        <f aca="false">IF(OR(I$4="",MONTH(($G$2+1))&lt;&gt;MONTH($C$2)),"",IF(COUNTIFS(m_teacher,I$4,m_date,($G$2+1),m_active,1,m_start,"&lt;"&amp;840,m_end,"&gt;"&amp;780)=0,"",IF(COUNTIFS(m_teacher,I$4,m_date,($G$2+1),m_active,1,m_start,"&lt;"&amp;840,m_end,"&gt;"&amp;780)&gt;1,"충돌",HYPERLINK("#'관리자_MASTER'!D"&amp;_xlfn.MAXIFS(m_row,m_teacher,I$4,m_date,($G$2+1),m_active,1,m_start,"&lt;"&amp;840,m_end,"&gt;"&amp;780),INDEX(m_label,_xlfn.MAXIFS(m_row,m_teacher,I$4,m_date,($G$2+1),m_active,1,m_start,"&lt;"&amp;840,m_end,"&gt;"&amp;780))))))</f>
        <v/>
      </c>
      <c r="J20" s="88" t="str">
        <f aca="false">IF(OR(J$4="",MONTH(($G$2+1))&lt;&gt;MONTH($C$2)),"",IF(COUNTIFS(m_teacher,J$4,m_date,($G$2+1),m_active,1,m_start,"&lt;"&amp;840,m_end,"&gt;"&amp;780)=0,"",IF(COUNTIFS(m_teacher,J$4,m_date,($G$2+1),m_active,1,m_start,"&lt;"&amp;840,m_end,"&gt;"&amp;780)&gt;1,"충돌",HYPERLINK("#'관리자_MASTER'!D"&amp;_xlfn.MAXIFS(m_row,m_teacher,J$4,m_date,($G$2+1),m_active,1,m_start,"&lt;"&amp;840,m_end,"&gt;"&amp;780),INDEX(m_label,_xlfn.MAXIFS(m_row,m_teacher,J$4,m_date,($G$2+1),m_active,1,m_start,"&lt;"&amp;840,m_end,"&gt;"&amp;780))))))</f>
        <v/>
      </c>
      <c r="K20" s="88" t="str">
        <f aca="false">IF(OR(K$4="",MONTH(($G$2+1))&lt;&gt;MONTH($C$2)),"",IF(COUNTIFS(m_teacher,K$4,m_date,($G$2+1),m_active,1,m_start,"&lt;"&amp;840,m_end,"&gt;"&amp;780)=0,"",IF(COUNTIFS(m_teacher,K$4,m_date,($G$2+1),m_active,1,m_start,"&lt;"&amp;840,m_end,"&gt;"&amp;780)&gt;1,"충돌",HYPERLINK("#'관리자_MASTER'!D"&amp;_xlfn.MAXIFS(m_row,m_teacher,K$4,m_date,($G$2+1),m_active,1,m_start,"&lt;"&amp;840,m_end,"&gt;"&amp;780),INDEX(m_label,_xlfn.MAXIFS(m_row,m_teacher,K$4,m_date,($G$2+1),m_active,1,m_start,"&lt;"&amp;840,m_end,"&gt;"&amp;780))))))</f>
        <v/>
      </c>
      <c r="L20" s="88" t="str">
        <f aca="false">IF(OR(L$4="",MONTH(($G$2+1))&lt;&gt;MONTH($C$2)),"",IF(COUNTIFS(m_teacher,L$4,m_date,($G$2+1),m_active,1,m_start,"&lt;"&amp;840,m_end,"&gt;"&amp;780)=0,"",IF(COUNTIFS(m_teacher,L$4,m_date,($G$2+1),m_active,1,m_start,"&lt;"&amp;840,m_end,"&gt;"&amp;780)&gt;1,"충돌",HYPERLINK("#'관리자_MASTER'!D"&amp;_xlfn.MAXIFS(m_row,m_teacher,L$4,m_date,($G$2+1),m_active,1,m_start,"&lt;"&amp;840,m_end,"&gt;"&amp;780),INDEX(m_label,_xlfn.MAXIFS(m_row,m_teacher,L$4,m_date,($G$2+1),m_active,1,m_start,"&lt;"&amp;840,m_end,"&gt;"&amp;780))))))</f>
        <v/>
      </c>
      <c r="M20" s="88" t="str">
        <f aca="false">IF(OR(M$4="",MONTH(($G$2+1))&lt;&gt;MONTH($C$2)),"",IF(COUNTIFS(m_teacher,M$4,m_date,($G$2+1),m_active,1,m_start,"&lt;"&amp;840,m_end,"&gt;"&amp;780)=0,"",IF(COUNTIFS(m_teacher,M$4,m_date,($G$2+1),m_active,1,m_start,"&lt;"&amp;840,m_end,"&gt;"&amp;780)&gt;1,"충돌",HYPERLINK("#'관리자_MASTER'!D"&amp;_xlfn.MAXIFS(m_row,m_teacher,M$4,m_date,($G$2+1),m_active,1,m_start,"&lt;"&amp;840,m_end,"&gt;"&amp;780),INDEX(m_label,_xlfn.MAXIFS(m_row,m_teacher,M$4,m_date,($G$2+1),m_active,1,m_start,"&lt;"&amp;840,m_end,"&gt;"&amp;780))))))</f>
        <v/>
      </c>
      <c r="N20" s="88" t="str">
        <f aca="false">IF(OR(N$4="",MONTH(($G$2+1))&lt;&gt;MONTH($C$2)),"",IF(COUNTIFS(m_teacher,N$4,m_date,($G$2+1),m_active,1,m_start,"&lt;"&amp;840,m_end,"&gt;"&amp;780)=0,"",IF(COUNTIFS(m_teacher,N$4,m_date,($G$2+1),m_active,1,m_start,"&lt;"&amp;840,m_end,"&gt;"&amp;780)&gt;1,"충돌",HYPERLINK("#'관리자_MASTER'!D"&amp;_xlfn.MAXIFS(m_row,m_teacher,N$4,m_date,($G$2+1),m_active,1,m_start,"&lt;"&amp;840,m_end,"&gt;"&amp;780),INDEX(m_label,_xlfn.MAXIFS(m_row,m_teacher,N$4,m_date,($G$2+1),m_active,1,m_start,"&lt;"&amp;840,m_end,"&gt;"&amp;780))))))</f>
        <v/>
      </c>
      <c r="O20" s="78"/>
      <c r="P20" s="79" t="s">
        <v>95</v>
      </c>
      <c r="Q20" s="88" t="str">
        <f aca="false">IF(OR(Q$4="",MONTH(($G$2+8))&lt;&gt;MONTH($C$2)),"",IF(COUNTIFS(m_teacher,Q$4,m_date,($G$2+8),m_active,1,m_start,"&lt;"&amp;840,m_end,"&gt;"&amp;780)=0,"",IF(COUNTIFS(m_teacher,Q$4,m_date,($G$2+8),m_active,1,m_start,"&lt;"&amp;840,m_end,"&gt;"&amp;780)&gt;1,"충돌",HYPERLINK("#'관리자_MASTER'!D"&amp;_xlfn.MAXIFS(m_row,m_teacher,Q$4,m_date,($G$2+8),m_active,1,m_start,"&lt;"&amp;840,m_end,"&gt;"&amp;780),INDEX(m_label,_xlfn.MAXIFS(m_row,m_teacher,Q$4,m_date,($G$2+8),m_active,1,m_start,"&lt;"&amp;840,m_end,"&gt;"&amp;780))))))</f>
        <v/>
      </c>
      <c r="R20" s="88" t="str">
        <f aca="false">IF(OR(R$4="",MONTH(($G$2+8))&lt;&gt;MONTH($C$2)),"",IF(COUNTIFS(m_teacher,R$4,m_date,($G$2+8),m_active,1,m_start,"&lt;"&amp;840,m_end,"&gt;"&amp;780)=0,"",IF(COUNTIFS(m_teacher,R$4,m_date,($G$2+8),m_active,1,m_start,"&lt;"&amp;840,m_end,"&gt;"&amp;780)&gt;1,"충돌",HYPERLINK("#'관리자_MASTER'!D"&amp;_xlfn.MAXIFS(m_row,m_teacher,R$4,m_date,($G$2+8),m_active,1,m_start,"&lt;"&amp;840,m_end,"&gt;"&amp;780),INDEX(m_label,_xlfn.MAXIFS(m_row,m_teacher,R$4,m_date,($G$2+8),m_active,1,m_start,"&lt;"&amp;840,m_end,"&gt;"&amp;780))))))</f>
        <v/>
      </c>
      <c r="S20" s="88" t="str">
        <f aca="false">IF(OR(S$4="",MONTH(($G$2+8))&lt;&gt;MONTH($C$2)),"",IF(COUNTIFS(m_teacher,S$4,m_date,($G$2+8),m_active,1,m_start,"&lt;"&amp;840,m_end,"&gt;"&amp;780)=0,"",IF(COUNTIFS(m_teacher,S$4,m_date,($G$2+8),m_active,1,m_start,"&lt;"&amp;840,m_end,"&gt;"&amp;780)&gt;1,"충돌",HYPERLINK("#'관리자_MASTER'!D"&amp;_xlfn.MAXIFS(m_row,m_teacher,S$4,m_date,($G$2+8),m_active,1,m_start,"&lt;"&amp;840,m_end,"&gt;"&amp;780),INDEX(m_label,_xlfn.MAXIFS(m_row,m_teacher,S$4,m_date,($G$2+8),m_active,1,m_start,"&lt;"&amp;840,m_end,"&gt;"&amp;780))))))</f>
        <v/>
      </c>
      <c r="T20" s="88" t="str">
        <f aca="false">IF(OR(T$4="",MONTH(($G$2+8))&lt;&gt;MONTH($C$2)),"",IF(COUNTIFS(m_teacher,T$4,m_date,($G$2+8),m_active,1,m_start,"&lt;"&amp;840,m_end,"&gt;"&amp;780)=0,"",IF(COUNTIFS(m_teacher,T$4,m_date,($G$2+8),m_active,1,m_start,"&lt;"&amp;840,m_end,"&gt;"&amp;780)&gt;1,"충돌",HYPERLINK("#'관리자_MASTER'!D"&amp;_xlfn.MAXIFS(m_row,m_teacher,T$4,m_date,($G$2+8),m_active,1,m_start,"&lt;"&amp;840,m_end,"&gt;"&amp;780),INDEX(m_label,_xlfn.MAXIFS(m_row,m_teacher,T$4,m_date,($G$2+8),m_active,1,m_start,"&lt;"&amp;840,m_end,"&gt;"&amp;780))))))</f>
        <v/>
      </c>
      <c r="U20" s="88" t="str">
        <f aca="false">IF(OR(U$4="",MONTH(($G$2+8))&lt;&gt;MONTH($C$2)),"",IF(COUNTIFS(m_teacher,U$4,m_date,($G$2+8),m_active,1,m_start,"&lt;"&amp;840,m_end,"&gt;"&amp;780)=0,"",IF(COUNTIFS(m_teacher,U$4,m_date,($G$2+8),m_active,1,m_start,"&lt;"&amp;840,m_end,"&gt;"&amp;780)&gt;1,"충돌",HYPERLINK("#'관리자_MASTER'!D"&amp;_xlfn.MAXIFS(m_row,m_teacher,U$4,m_date,($G$2+8),m_active,1,m_start,"&lt;"&amp;840,m_end,"&gt;"&amp;780),INDEX(m_label,_xlfn.MAXIFS(m_row,m_teacher,U$4,m_date,($G$2+8),m_active,1,m_start,"&lt;"&amp;840,m_end,"&gt;"&amp;780))))))</f>
        <v/>
      </c>
      <c r="V20" s="88" t="str">
        <f aca="false">IF(OR(V$4="",MONTH(($G$2+8))&lt;&gt;MONTH($C$2)),"",IF(COUNTIFS(m_teacher,V$4,m_date,($G$2+8),m_active,1,m_start,"&lt;"&amp;840,m_end,"&gt;"&amp;780)=0,"",IF(COUNTIFS(m_teacher,V$4,m_date,($G$2+8),m_active,1,m_start,"&lt;"&amp;840,m_end,"&gt;"&amp;780)&gt;1,"충돌",HYPERLINK("#'관리자_MASTER'!D"&amp;_xlfn.MAXIFS(m_row,m_teacher,V$4,m_date,($G$2+8),m_active,1,m_start,"&lt;"&amp;840,m_end,"&gt;"&amp;780),INDEX(m_label,_xlfn.MAXIFS(m_row,m_teacher,V$4,m_date,($G$2+8),m_active,1,m_start,"&lt;"&amp;840,m_end,"&gt;"&amp;780))))))</f>
        <v/>
      </c>
      <c r="W20" s="88" t="str">
        <f aca="false">IF(OR(W$4="",MONTH(($G$2+8))&lt;&gt;MONTH($C$2)),"",IF(COUNTIFS(m_teacher,W$4,m_date,($G$2+8),m_active,1,m_start,"&lt;"&amp;840,m_end,"&gt;"&amp;780)=0,"",IF(COUNTIFS(m_teacher,W$4,m_date,($G$2+8),m_active,1,m_start,"&lt;"&amp;840,m_end,"&gt;"&amp;780)&gt;1,"충돌",HYPERLINK("#'관리자_MASTER'!D"&amp;_xlfn.MAXIFS(m_row,m_teacher,W$4,m_date,($G$2+8),m_active,1,m_start,"&lt;"&amp;840,m_end,"&gt;"&amp;780),INDEX(m_label,_xlfn.MAXIFS(m_row,m_teacher,W$4,m_date,($G$2+8),m_active,1,m_start,"&lt;"&amp;840,m_end,"&gt;"&amp;780))))))</f>
        <v/>
      </c>
      <c r="X20" s="88" t="str">
        <f aca="false">IF(OR(X$4="",MONTH(($G$2+8))&lt;&gt;MONTH($C$2)),"",IF(COUNTIFS(m_teacher,X$4,m_date,($G$2+8),m_active,1,m_start,"&lt;"&amp;840,m_end,"&gt;"&amp;780)=0,"",IF(COUNTIFS(m_teacher,X$4,m_date,($G$2+8),m_active,1,m_start,"&lt;"&amp;840,m_end,"&gt;"&amp;780)&gt;1,"충돌",HYPERLINK("#'관리자_MASTER'!D"&amp;_xlfn.MAXIFS(m_row,m_teacher,X$4,m_date,($G$2+8),m_active,1,m_start,"&lt;"&amp;840,m_end,"&gt;"&amp;780),INDEX(m_label,_xlfn.MAXIFS(m_row,m_teacher,X$4,m_date,($G$2+8),m_active,1,m_start,"&lt;"&amp;840,m_end,"&gt;"&amp;780))))))</f>
        <v/>
      </c>
      <c r="Y20" s="88" t="str">
        <f aca="false">IF(OR(Y$4="",MONTH(($G$2+8))&lt;&gt;MONTH($C$2)),"",IF(COUNTIFS(m_teacher,Y$4,m_date,($G$2+8),m_active,1,m_start,"&lt;"&amp;840,m_end,"&gt;"&amp;780)=0,"",IF(COUNTIFS(m_teacher,Y$4,m_date,($G$2+8),m_active,1,m_start,"&lt;"&amp;840,m_end,"&gt;"&amp;780)&gt;1,"충돌",HYPERLINK("#'관리자_MASTER'!D"&amp;_xlfn.MAXIFS(m_row,m_teacher,Y$4,m_date,($G$2+8),m_active,1,m_start,"&lt;"&amp;840,m_end,"&gt;"&amp;780),INDEX(m_label,_xlfn.MAXIFS(m_row,m_teacher,Y$4,m_date,($G$2+8),m_active,1,m_start,"&lt;"&amp;840,m_end,"&gt;"&amp;780))))))</f>
        <v/>
      </c>
      <c r="Z20" s="88" t="str">
        <f aca="false">IF(OR(Z$4="",MONTH(($G$2+8))&lt;&gt;MONTH($C$2)),"",IF(COUNTIFS(m_teacher,Z$4,m_date,($G$2+8),m_active,1,m_start,"&lt;"&amp;840,m_end,"&gt;"&amp;780)=0,"",IF(COUNTIFS(m_teacher,Z$4,m_date,($G$2+8),m_active,1,m_start,"&lt;"&amp;840,m_end,"&gt;"&amp;780)&gt;1,"충돌",HYPERLINK("#'관리자_MASTER'!D"&amp;_xlfn.MAXIFS(m_row,m_teacher,Z$4,m_date,($G$2+8),m_active,1,m_start,"&lt;"&amp;840,m_end,"&gt;"&amp;780),INDEX(m_label,_xlfn.MAXIFS(m_row,m_teacher,Z$4,m_date,($G$2+8),m_active,1,m_start,"&lt;"&amp;840,m_end,"&gt;"&amp;780))))))</f>
        <v/>
      </c>
      <c r="AA20" s="88" t="str">
        <f aca="false">IF(OR(AA$4="",MONTH(($G$2+8))&lt;&gt;MONTH($C$2)),"",IF(COUNTIFS(m_teacher,AA$4,m_date,($G$2+8),m_active,1,m_start,"&lt;"&amp;840,m_end,"&gt;"&amp;780)=0,"",IF(COUNTIFS(m_teacher,AA$4,m_date,($G$2+8),m_active,1,m_start,"&lt;"&amp;840,m_end,"&gt;"&amp;780)&gt;1,"충돌",HYPERLINK("#'관리자_MASTER'!D"&amp;_xlfn.MAXIFS(m_row,m_teacher,AA$4,m_date,($G$2+8),m_active,1,m_start,"&lt;"&amp;840,m_end,"&gt;"&amp;780),INDEX(m_label,_xlfn.MAXIFS(m_row,m_teacher,AA$4,m_date,($G$2+8),m_active,1,m_start,"&lt;"&amp;840,m_end,"&gt;"&amp;780))))))</f>
        <v/>
      </c>
      <c r="AB20" s="88" t="str">
        <f aca="false">IF(OR(AB$4="",MONTH(($G$2+8))&lt;&gt;MONTH($C$2)),"",IF(COUNTIFS(m_teacher,AB$4,m_date,($G$2+8),m_active,1,m_start,"&lt;"&amp;840,m_end,"&gt;"&amp;780)=0,"",IF(COUNTIFS(m_teacher,AB$4,m_date,($G$2+8),m_active,1,m_start,"&lt;"&amp;840,m_end,"&gt;"&amp;780)&gt;1,"충돌",HYPERLINK("#'관리자_MASTER'!D"&amp;_xlfn.MAXIFS(m_row,m_teacher,AB$4,m_date,($G$2+8),m_active,1,m_start,"&lt;"&amp;840,m_end,"&gt;"&amp;780),INDEX(m_label,_xlfn.MAXIFS(m_row,m_teacher,AB$4,m_date,($G$2+8),m_active,1,m_start,"&lt;"&amp;840,m_end,"&gt;"&amp;780))))))</f>
        <v/>
      </c>
      <c r="AC20" s="78"/>
      <c r="AD20" s="79" t="s">
        <v>95</v>
      </c>
      <c r="AE20" s="88" t="str">
        <f aca="false">IF(OR(AE$4="",MONTH(($G$2+15))&lt;&gt;MONTH($C$2)),"",IF(COUNTIFS(m_teacher,AE$4,m_date,($G$2+15),m_active,1,m_start,"&lt;"&amp;840,m_end,"&gt;"&amp;780)=0,"",IF(COUNTIFS(m_teacher,AE$4,m_date,($G$2+15),m_active,1,m_start,"&lt;"&amp;840,m_end,"&gt;"&amp;780)&gt;1,"충돌",HYPERLINK("#'관리자_MASTER'!D"&amp;_xlfn.MAXIFS(m_row,m_teacher,AE$4,m_date,($G$2+15),m_active,1,m_start,"&lt;"&amp;840,m_end,"&gt;"&amp;780),INDEX(m_label,_xlfn.MAXIFS(m_row,m_teacher,AE$4,m_date,($G$2+15),m_active,1,m_start,"&lt;"&amp;840,m_end,"&gt;"&amp;780))))))</f>
        <v/>
      </c>
      <c r="AF20" s="88" t="str">
        <f aca="false">IF(OR(AF$4="",MONTH(($G$2+15))&lt;&gt;MONTH($C$2)),"",IF(COUNTIFS(m_teacher,AF$4,m_date,($G$2+15),m_active,1,m_start,"&lt;"&amp;840,m_end,"&gt;"&amp;780)=0,"",IF(COUNTIFS(m_teacher,AF$4,m_date,($G$2+15),m_active,1,m_start,"&lt;"&amp;840,m_end,"&gt;"&amp;780)&gt;1,"충돌",HYPERLINK("#'관리자_MASTER'!D"&amp;_xlfn.MAXIFS(m_row,m_teacher,AF$4,m_date,($G$2+15),m_active,1,m_start,"&lt;"&amp;840,m_end,"&gt;"&amp;780),INDEX(m_label,_xlfn.MAXIFS(m_row,m_teacher,AF$4,m_date,($G$2+15),m_active,1,m_start,"&lt;"&amp;840,m_end,"&gt;"&amp;780))))))</f>
        <v/>
      </c>
      <c r="AG20" s="88" t="str">
        <f aca="false">IF(OR(AG$4="",MONTH(($G$2+15))&lt;&gt;MONTH($C$2)),"",IF(COUNTIFS(m_teacher,AG$4,m_date,($G$2+15),m_active,1,m_start,"&lt;"&amp;840,m_end,"&gt;"&amp;780)=0,"",IF(COUNTIFS(m_teacher,AG$4,m_date,($G$2+15),m_active,1,m_start,"&lt;"&amp;840,m_end,"&gt;"&amp;780)&gt;1,"충돌",HYPERLINK("#'관리자_MASTER'!D"&amp;_xlfn.MAXIFS(m_row,m_teacher,AG$4,m_date,($G$2+15),m_active,1,m_start,"&lt;"&amp;840,m_end,"&gt;"&amp;780),INDEX(m_label,_xlfn.MAXIFS(m_row,m_teacher,AG$4,m_date,($G$2+15),m_active,1,m_start,"&lt;"&amp;840,m_end,"&gt;"&amp;780))))))</f>
        <v/>
      </c>
      <c r="AH20" s="88" t="str">
        <f aca="false">IF(OR(AH$4="",MONTH(($G$2+15))&lt;&gt;MONTH($C$2)),"",IF(COUNTIFS(m_teacher,AH$4,m_date,($G$2+15),m_active,1,m_start,"&lt;"&amp;840,m_end,"&gt;"&amp;780)=0,"",IF(COUNTIFS(m_teacher,AH$4,m_date,($G$2+15),m_active,1,m_start,"&lt;"&amp;840,m_end,"&gt;"&amp;780)&gt;1,"충돌",HYPERLINK("#'관리자_MASTER'!D"&amp;_xlfn.MAXIFS(m_row,m_teacher,AH$4,m_date,($G$2+15),m_active,1,m_start,"&lt;"&amp;840,m_end,"&gt;"&amp;780),INDEX(m_label,_xlfn.MAXIFS(m_row,m_teacher,AH$4,m_date,($G$2+15),m_active,1,m_start,"&lt;"&amp;840,m_end,"&gt;"&amp;780))))))</f>
        <v/>
      </c>
      <c r="AI20" s="88" t="str">
        <f aca="false">IF(OR(AI$4="",MONTH(($G$2+15))&lt;&gt;MONTH($C$2)),"",IF(COUNTIFS(m_teacher,AI$4,m_date,($G$2+15),m_active,1,m_start,"&lt;"&amp;840,m_end,"&gt;"&amp;780)=0,"",IF(COUNTIFS(m_teacher,AI$4,m_date,($G$2+15),m_active,1,m_start,"&lt;"&amp;840,m_end,"&gt;"&amp;780)&gt;1,"충돌",HYPERLINK("#'관리자_MASTER'!D"&amp;_xlfn.MAXIFS(m_row,m_teacher,AI$4,m_date,($G$2+15),m_active,1,m_start,"&lt;"&amp;840,m_end,"&gt;"&amp;780),INDEX(m_label,_xlfn.MAXIFS(m_row,m_teacher,AI$4,m_date,($G$2+15),m_active,1,m_start,"&lt;"&amp;840,m_end,"&gt;"&amp;780))))))</f>
        <v/>
      </c>
      <c r="AJ20" s="88" t="str">
        <f aca="false">IF(OR(AJ$4="",MONTH(($G$2+15))&lt;&gt;MONTH($C$2)),"",IF(COUNTIFS(m_teacher,AJ$4,m_date,($G$2+15),m_active,1,m_start,"&lt;"&amp;840,m_end,"&gt;"&amp;780)=0,"",IF(COUNTIFS(m_teacher,AJ$4,m_date,($G$2+15),m_active,1,m_start,"&lt;"&amp;840,m_end,"&gt;"&amp;780)&gt;1,"충돌",HYPERLINK("#'관리자_MASTER'!D"&amp;_xlfn.MAXIFS(m_row,m_teacher,AJ$4,m_date,($G$2+15),m_active,1,m_start,"&lt;"&amp;840,m_end,"&gt;"&amp;780),INDEX(m_label,_xlfn.MAXIFS(m_row,m_teacher,AJ$4,m_date,($G$2+15),m_active,1,m_start,"&lt;"&amp;840,m_end,"&gt;"&amp;780))))))</f>
        <v/>
      </c>
      <c r="AK20" s="88" t="str">
        <f aca="false">IF(OR(AK$4="",MONTH(($G$2+15))&lt;&gt;MONTH($C$2)),"",IF(COUNTIFS(m_teacher,AK$4,m_date,($G$2+15),m_active,1,m_start,"&lt;"&amp;840,m_end,"&gt;"&amp;780)=0,"",IF(COUNTIFS(m_teacher,AK$4,m_date,($G$2+15),m_active,1,m_start,"&lt;"&amp;840,m_end,"&gt;"&amp;780)&gt;1,"충돌",HYPERLINK("#'관리자_MASTER'!D"&amp;_xlfn.MAXIFS(m_row,m_teacher,AK$4,m_date,($G$2+15),m_active,1,m_start,"&lt;"&amp;840,m_end,"&gt;"&amp;780),INDEX(m_label,_xlfn.MAXIFS(m_row,m_teacher,AK$4,m_date,($G$2+15),m_active,1,m_start,"&lt;"&amp;840,m_end,"&gt;"&amp;780))))))</f>
        <v/>
      </c>
      <c r="AL20" s="88" t="str">
        <f aca="false">IF(OR(AL$4="",MONTH(($G$2+15))&lt;&gt;MONTH($C$2)),"",IF(COUNTIFS(m_teacher,AL$4,m_date,($G$2+15),m_active,1,m_start,"&lt;"&amp;840,m_end,"&gt;"&amp;780)=0,"",IF(COUNTIFS(m_teacher,AL$4,m_date,($G$2+15),m_active,1,m_start,"&lt;"&amp;840,m_end,"&gt;"&amp;780)&gt;1,"충돌",HYPERLINK("#'관리자_MASTER'!D"&amp;_xlfn.MAXIFS(m_row,m_teacher,AL$4,m_date,($G$2+15),m_active,1,m_start,"&lt;"&amp;840,m_end,"&gt;"&amp;780),INDEX(m_label,_xlfn.MAXIFS(m_row,m_teacher,AL$4,m_date,($G$2+15),m_active,1,m_start,"&lt;"&amp;840,m_end,"&gt;"&amp;780))))))</f>
        <v/>
      </c>
      <c r="AM20" s="88" t="str">
        <f aca="false">IF(OR(AM$4="",MONTH(($G$2+15))&lt;&gt;MONTH($C$2)),"",IF(COUNTIFS(m_teacher,AM$4,m_date,($G$2+15),m_active,1,m_start,"&lt;"&amp;840,m_end,"&gt;"&amp;780)=0,"",IF(COUNTIFS(m_teacher,AM$4,m_date,($G$2+15),m_active,1,m_start,"&lt;"&amp;840,m_end,"&gt;"&amp;780)&gt;1,"충돌",HYPERLINK("#'관리자_MASTER'!D"&amp;_xlfn.MAXIFS(m_row,m_teacher,AM$4,m_date,($G$2+15),m_active,1,m_start,"&lt;"&amp;840,m_end,"&gt;"&amp;780),INDEX(m_label,_xlfn.MAXIFS(m_row,m_teacher,AM$4,m_date,($G$2+15),m_active,1,m_start,"&lt;"&amp;840,m_end,"&gt;"&amp;780))))))</f>
        <v/>
      </c>
      <c r="AN20" s="88" t="str">
        <f aca="false">IF(OR(AN$4="",MONTH(($G$2+15))&lt;&gt;MONTH($C$2)),"",IF(COUNTIFS(m_teacher,AN$4,m_date,($G$2+15),m_active,1,m_start,"&lt;"&amp;840,m_end,"&gt;"&amp;780)=0,"",IF(COUNTIFS(m_teacher,AN$4,m_date,($G$2+15),m_active,1,m_start,"&lt;"&amp;840,m_end,"&gt;"&amp;780)&gt;1,"충돌",HYPERLINK("#'관리자_MASTER'!D"&amp;_xlfn.MAXIFS(m_row,m_teacher,AN$4,m_date,($G$2+15),m_active,1,m_start,"&lt;"&amp;840,m_end,"&gt;"&amp;780),INDEX(m_label,_xlfn.MAXIFS(m_row,m_teacher,AN$4,m_date,($G$2+15),m_active,1,m_start,"&lt;"&amp;840,m_end,"&gt;"&amp;780))))))</f>
        <v/>
      </c>
      <c r="AO20" s="88" t="str">
        <f aca="false">IF(OR(AO$4="",MONTH(($G$2+15))&lt;&gt;MONTH($C$2)),"",IF(COUNTIFS(m_teacher,AO$4,m_date,($G$2+15),m_active,1,m_start,"&lt;"&amp;840,m_end,"&gt;"&amp;780)=0,"",IF(COUNTIFS(m_teacher,AO$4,m_date,($G$2+15),m_active,1,m_start,"&lt;"&amp;840,m_end,"&gt;"&amp;780)&gt;1,"충돌",HYPERLINK("#'관리자_MASTER'!D"&amp;_xlfn.MAXIFS(m_row,m_teacher,AO$4,m_date,($G$2+15),m_active,1,m_start,"&lt;"&amp;840,m_end,"&gt;"&amp;780),INDEX(m_label,_xlfn.MAXIFS(m_row,m_teacher,AO$4,m_date,($G$2+15),m_active,1,m_start,"&lt;"&amp;840,m_end,"&gt;"&amp;780))))))</f>
        <v/>
      </c>
      <c r="AP20" s="88" t="str">
        <f aca="false">IF(OR(AP$4="",MONTH(($G$2+15))&lt;&gt;MONTH($C$2)),"",IF(COUNTIFS(m_teacher,AP$4,m_date,($G$2+15),m_active,1,m_start,"&lt;"&amp;840,m_end,"&gt;"&amp;780)=0,"",IF(COUNTIFS(m_teacher,AP$4,m_date,($G$2+15),m_active,1,m_start,"&lt;"&amp;840,m_end,"&gt;"&amp;780)&gt;1,"충돌",HYPERLINK("#'관리자_MASTER'!D"&amp;_xlfn.MAXIFS(m_row,m_teacher,AP$4,m_date,($G$2+15),m_active,1,m_start,"&lt;"&amp;840,m_end,"&gt;"&amp;780),INDEX(m_label,_xlfn.MAXIFS(m_row,m_teacher,AP$4,m_date,($G$2+15),m_active,1,m_start,"&lt;"&amp;840,m_end,"&gt;"&amp;780))))))</f>
        <v/>
      </c>
      <c r="AQ20" s="78"/>
      <c r="AR20" s="79" t="s">
        <v>95</v>
      </c>
      <c r="AS20" s="88" t="str">
        <f aca="false">IF(OR(AS$4="",MONTH(($G$2+22))&lt;&gt;MONTH($C$2)),"",IF(COUNTIFS(m_teacher,AS$4,m_date,($G$2+22),m_active,1,m_start,"&lt;"&amp;840,m_end,"&gt;"&amp;780)=0,"",IF(COUNTIFS(m_teacher,AS$4,m_date,($G$2+22),m_active,1,m_start,"&lt;"&amp;840,m_end,"&gt;"&amp;780)&gt;1,"충돌",HYPERLINK("#'관리자_MASTER'!D"&amp;_xlfn.MAXIFS(m_row,m_teacher,AS$4,m_date,($G$2+22),m_active,1,m_start,"&lt;"&amp;840,m_end,"&gt;"&amp;780),INDEX(m_label,_xlfn.MAXIFS(m_row,m_teacher,AS$4,m_date,($G$2+22),m_active,1,m_start,"&lt;"&amp;840,m_end,"&gt;"&amp;780))))))</f>
        <v/>
      </c>
      <c r="AT20" s="88" t="str">
        <f aca="false">IF(OR(AT$4="",MONTH(($G$2+22))&lt;&gt;MONTH($C$2)),"",IF(COUNTIFS(m_teacher,AT$4,m_date,($G$2+22),m_active,1,m_start,"&lt;"&amp;840,m_end,"&gt;"&amp;780)=0,"",IF(COUNTIFS(m_teacher,AT$4,m_date,($G$2+22),m_active,1,m_start,"&lt;"&amp;840,m_end,"&gt;"&amp;780)&gt;1,"충돌",HYPERLINK("#'관리자_MASTER'!D"&amp;_xlfn.MAXIFS(m_row,m_teacher,AT$4,m_date,($G$2+22),m_active,1,m_start,"&lt;"&amp;840,m_end,"&gt;"&amp;780),INDEX(m_label,_xlfn.MAXIFS(m_row,m_teacher,AT$4,m_date,($G$2+22),m_active,1,m_start,"&lt;"&amp;840,m_end,"&gt;"&amp;780))))))</f>
        <v/>
      </c>
      <c r="AU20" s="88" t="str">
        <f aca="false">IF(OR(AU$4="",MONTH(($G$2+22))&lt;&gt;MONTH($C$2)),"",IF(COUNTIFS(m_teacher,AU$4,m_date,($G$2+22),m_active,1,m_start,"&lt;"&amp;840,m_end,"&gt;"&amp;780)=0,"",IF(COUNTIFS(m_teacher,AU$4,m_date,($G$2+22),m_active,1,m_start,"&lt;"&amp;840,m_end,"&gt;"&amp;780)&gt;1,"충돌",HYPERLINK("#'관리자_MASTER'!D"&amp;_xlfn.MAXIFS(m_row,m_teacher,AU$4,m_date,($G$2+22),m_active,1,m_start,"&lt;"&amp;840,m_end,"&gt;"&amp;780),INDEX(m_label,_xlfn.MAXIFS(m_row,m_teacher,AU$4,m_date,($G$2+22),m_active,1,m_start,"&lt;"&amp;840,m_end,"&gt;"&amp;780))))))</f>
        <v/>
      </c>
      <c r="AV20" s="88" t="str">
        <f aca="false">IF(OR(AV$4="",MONTH(($G$2+22))&lt;&gt;MONTH($C$2)),"",IF(COUNTIFS(m_teacher,AV$4,m_date,($G$2+22),m_active,1,m_start,"&lt;"&amp;840,m_end,"&gt;"&amp;780)=0,"",IF(COUNTIFS(m_teacher,AV$4,m_date,($G$2+22),m_active,1,m_start,"&lt;"&amp;840,m_end,"&gt;"&amp;780)&gt;1,"충돌",HYPERLINK("#'관리자_MASTER'!D"&amp;_xlfn.MAXIFS(m_row,m_teacher,AV$4,m_date,($G$2+22),m_active,1,m_start,"&lt;"&amp;840,m_end,"&gt;"&amp;780),INDEX(m_label,_xlfn.MAXIFS(m_row,m_teacher,AV$4,m_date,($G$2+22),m_active,1,m_start,"&lt;"&amp;840,m_end,"&gt;"&amp;780))))))</f>
        <v/>
      </c>
      <c r="AW20" s="88" t="str">
        <f aca="false">IF(OR(AW$4="",MONTH(($G$2+22))&lt;&gt;MONTH($C$2)),"",IF(COUNTIFS(m_teacher,AW$4,m_date,($G$2+22),m_active,1,m_start,"&lt;"&amp;840,m_end,"&gt;"&amp;780)=0,"",IF(COUNTIFS(m_teacher,AW$4,m_date,($G$2+22),m_active,1,m_start,"&lt;"&amp;840,m_end,"&gt;"&amp;780)&gt;1,"충돌",HYPERLINK("#'관리자_MASTER'!D"&amp;_xlfn.MAXIFS(m_row,m_teacher,AW$4,m_date,($G$2+22),m_active,1,m_start,"&lt;"&amp;840,m_end,"&gt;"&amp;780),INDEX(m_label,_xlfn.MAXIFS(m_row,m_teacher,AW$4,m_date,($G$2+22),m_active,1,m_start,"&lt;"&amp;840,m_end,"&gt;"&amp;780))))))</f>
        <v/>
      </c>
      <c r="AX20" s="88" t="str">
        <f aca="false">IF(OR(AX$4="",MONTH(($G$2+22))&lt;&gt;MONTH($C$2)),"",IF(COUNTIFS(m_teacher,AX$4,m_date,($G$2+22),m_active,1,m_start,"&lt;"&amp;840,m_end,"&gt;"&amp;780)=0,"",IF(COUNTIFS(m_teacher,AX$4,m_date,($G$2+22),m_active,1,m_start,"&lt;"&amp;840,m_end,"&gt;"&amp;780)&gt;1,"충돌",HYPERLINK("#'관리자_MASTER'!D"&amp;_xlfn.MAXIFS(m_row,m_teacher,AX$4,m_date,($G$2+22),m_active,1,m_start,"&lt;"&amp;840,m_end,"&gt;"&amp;780),INDEX(m_label,_xlfn.MAXIFS(m_row,m_teacher,AX$4,m_date,($G$2+22),m_active,1,m_start,"&lt;"&amp;840,m_end,"&gt;"&amp;780))))))</f>
        <v/>
      </c>
      <c r="AY20" s="88" t="str">
        <f aca="false">IF(OR(AY$4="",MONTH(($G$2+22))&lt;&gt;MONTH($C$2)),"",IF(COUNTIFS(m_teacher,AY$4,m_date,($G$2+22),m_active,1,m_start,"&lt;"&amp;840,m_end,"&gt;"&amp;780)=0,"",IF(COUNTIFS(m_teacher,AY$4,m_date,($G$2+22),m_active,1,m_start,"&lt;"&amp;840,m_end,"&gt;"&amp;780)&gt;1,"충돌",HYPERLINK("#'관리자_MASTER'!D"&amp;_xlfn.MAXIFS(m_row,m_teacher,AY$4,m_date,($G$2+22),m_active,1,m_start,"&lt;"&amp;840,m_end,"&gt;"&amp;780),INDEX(m_label,_xlfn.MAXIFS(m_row,m_teacher,AY$4,m_date,($G$2+22),m_active,1,m_start,"&lt;"&amp;840,m_end,"&gt;"&amp;780))))))</f>
        <v/>
      </c>
      <c r="AZ20" s="88" t="str">
        <f aca="false">IF(OR(AZ$4="",MONTH(($G$2+22))&lt;&gt;MONTH($C$2)),"",IF(COUNTIFS(m_teacher,AZ$4,m_date,($G$2+22),m_active,1,m_start,"&lt;"&amp;840,m_end,"&gt;"&amp;780)=0,"",IF(COUNTIFS(m_teacher,AZ$4,m_date,($G$2+22),m_active,1,m_start,"&lt;"&amp;840,m_end,"&gt;"&amp;780)&gt;1,"충돌",HYPERLINK("#'관리자_MASTER'!D"&amp;_xlfn.MAXIFS(m_row,m_teacher,AZ$4,m_date,($G$2+22),m_active,1,m_start,"&lt;"&amp;840,m_end,"&gt;"&amp;780),INDEX(m_label,_xlfn.MAXIFS(m_row,m_teacher,AZ$4,m_date,($G$2+22),m_active,1,m_start,"&lt;"&amp;840,m_end,"&gt;"&amp;780))))))</f>
        <v/>
      </c>
      <c r="BA20" s="88" t="str">
        <f aca="false">IF(OR(BA$4="",MONTH(($G$2+22))&lt;&gt;MONTH($C$2)),"",IF(COUNTIFS(m_teacher,BA$4,m_date,($G$2+22),m_active,1,m_start,"&lt;"&amp;840,m_end,"&gt;"&amp;780)=0,"",IF(COUNTIFS(m_teacher,BA$4,m_date,($G$2+22),m_active,1,m_start,"&lt;"&amp;840,m_end,"&gt;"&amp;780)&gt;1,"충돌",HYPERLINK("#'관리자_MASTER'!D"&amp;_xlfn.MAXIFS(m_row,m_teacher,BA$4,m_date,($G$2+22),m_active,1,m_start,"&lt;"&amp;840,m_end,"&gt;"&amp;780),INDEX(m_label,_xlfn.MAXIFS(m_row,m_teacher,BA$4,m_date,($G$2+22),m_active,1,m_start,"&lt;"&amp;840,m_end,"&gt;"&amp;780))))))</f>
        <v/>
      </c>
      <c r="BB20" s="88" t="str">
        <f aca="false">IF(OR(BB$4="",MONTH(($G$2+22))&lt;&gt;MONTH($C$2)),"",IF(COUNTIFS(m_teacher,BB$4,m_date,($G$2+22),m_active,1,m_start,"&lt;"&amp;840,m_end,"&gt;"&amp;780)=0,"",IF(COUNTIFS(m_teacher,BB$4,m_date,($G$2+22),m_active,1,m_start,"&lt;"&amp;840,m_end,"&gt;"&amp;780)&gt;1,"충돌",HYPERLINK("#'관리자_MASTER'!D"&amp;_xlfn.MAXIFS(m_row,m_teacher,BB$4,m_date,($G$2+22),m_active,1,m_start,"&lt;"&amp;840,m_end,"&gt;"&amp;780),INDEX(m_label,_xlfn.MAXIFS(m_row,m_teacher,BB$4,m_date,($G$2+22),m_active,1,m_start,"&lt;"&amp;840,m_end,"&gt;"&amp;780))))))</f>
        <v/>
      </c>
      <c r="BC20" s="88" t="str">
        <f aca="false">IF(OR(BC$4="",MONTH(($G$2+22))&lt;&gt;MONTH($C$2)),"",IF(COUNTIFS(m_teacher,BC$4,m_date,($G$2+22),m_active,1,m_start,"&lt;"&amp;840,m_end,"&gt;"&amp;780)=0,"",IF(COUNTIFS(m_teacher,BC$4,m_date,($G$2+22),m_active,1,m_start,"&lt;"&amp;840,m_end,"&gt;"&amp;780)&gt;1,"충돌",HYPERLINK("#'관리자_MASTER'!D"&amp;_xlfn.MAXIFS(m_row,m_teacher,BC$4,m_date,($G$2+22),m_active,1,m_start,"&lt;"&amp;840,m_end,"&gt;"&amp;780),INDEX(m_label,_xlfn.MAXIFS(m_row,m_teacher,BC$4,m_date,($G$2+22),m_active,1,m_start,"&lt;"&amp;840,m_end,"&gt;"&amp;780))))))</f>
        <v/>
      </c>
      <c r="BD20" s="88" t="str">
        <f aca="false">IF(OR(BD$4="",MONTH(($G$2+22))&lt;&gt;MONTH($C$2)),"",IF(COUNTIFS(m_teacher,BD$4,m_date,($G$2+22),m_active,1,m_start,"&lt;"&amp;840,m_end,"&gt;"&amp;780)=0,"",IF(COUNTIFS(m_teacher,BD$4,m_date,($G$2+22),m_active,1,m_start,"&lt;"&amp;840,m_end,"&gt;"&amp;780)&gt;1,"충돌",HYPERLINK("#'관리자_MASTER'!D"&amp;_xlfn.MAXIFS(m_row,m_teacher,BD$4,m_date,($G$2+22),m_active,1,m_start,"&lt;"&amp;840,m_end,"&gt;"&amp;780),INDEX(m_label,_xlfn.MAXIFS(m_row,m_teacher,BD$4,m_date,($G$2+22),m_active,1,m_start,"&lt;"&amp;840,m_end,"&gt;"&amp;780))))))</f>
        <v/>
      </c>
      <c r="BE20" s="78"/>
      <c r="BF20" s="79" t="s">
        <v>95</v>
      </c>
      <c r="BG20" s="88" t="str">
        <f aca="false">IF(OR(BG$4="",MONTH(($G$2+29))&lt;&gt;MONTH($C$2)),"",IF(COUNTIFS(m_teacher,BG$4,m_date,($G$2+29),m_active,1,m_start,"&lt;"&amp;840,m_end,"&gt;"&amp;780)=0,"",IF(COUNTIFS(m_teacher,BG$4,m_date,($G$2+29),m_active,1,m_start,"&lt;"&amp;840,m_end,"&gt;"&amp;780)&gt;1,"충돌",HYPERLINK("#'관리자_MASTER'!D"&amp;_xlfn.MAXIFS(m_row,m_teacher,BG$4,m_date,($G$2+29),m_active,1,m_start,"&lt;"&amp;840,m_end,"&gt;"&amp;780),INDEX(m_label,_xlfn.MAXIFS(m_row,m_teacher,BG$4,m_date,($G$2+29),m_active,1,m_start,"&lt;"&amp;840,m_end,"&gt;"&amp;780))))))</f>
        <v/>
      </c>
      <c r="BH20" s="88" t="str">
        <f aca="false">IF(OR(BH$4="",MONTH(($G$2+29))&lt;&gt;MONTH($C$2)),"",IF(COUNTIFS(m_teacher,BH$4,m_date,($G$2+29),m_active,1,m_start,"&lt;"&amp;840,m_end,"&gt;"&amp;780)=0,"",IF(COUNTIFS(m_teacher,BH$4,m_date,($G$2+29),m_active,1,m_start,"&lt;"&amp;840,m_end,"&gt;"&amp;780)&gt;1,"충돌",HYPERLINK("#'관리자_MASTER'!D"&amp;_xlfn.MAXIFS(m_row,m_teacher,BH$4,m_date,($G$2+29),m_active,1,m_start,"&lt;"&amp;840,m_end,"&gt;"&amp;780),INDEX(m_label,_xlfn.MAXIFS(m_row,m_teacher,BH$4,m_date,($G$2+29),m_active,1,m_start,"&lt;"&amp;840,m_end,"&gt;"&amp;780))))))</f>
        <v/>
      </c>
      <c r="BI20" s="88" t="str">
        <f aca="false">IF(OR(BI$4="",MONTH(($G$2+29))&lt;&gt;MONTH($C$2)),"",IF(COUNTIFS(m_teacher,BI$4,m_date,($G$2+29),m_active,1,m_start,"&lt;"&amp;840,m_end,"&gt;"&amp;780)=0,"",IF(COUNTIFS(m_teacher,BI$4,m_date,($G$2+29),m_active,1,m_start,"&lt;"&amp;840,m_end,"&gt;"&amp;780)&gt;1,"충돌",HYPERLINK("#'관리자_MASTER'!D"&amp;_xlfn.MAXIFS(m_row,m_teacher,BI$4,m_date,($G$2+29),m_active,1,m_start,"&lt;"&amp;840,m_end,"&gt;"&amp;780),INDEX(m_label,_xlfn.MAXIFS(m_row,m_teacher,BI$4,m_date,($G$2+29),m_active,1,m_start,"&lt;"&amp;840,m_end,"&gt;"&amp;780))))))</f>
        <v/>
      </c>
      <c r="BJ20" s="88" t="str">
        <f aca="false">IF(OR(BJ$4="",MONTH(($G$2+29))&lt;&gt;MONTH($C$2)),"",IF(COUNTIFS(m_teacher,BJ$4,m_date,($G$2+29),m_active,1,m_start,"&lt;"&amp;840,m_end,"&gt;"&amp;780)=0,"",IF(COUNTIFS(m_teacher,BJ$4,m_date,($G$2+29),m_active,1,m_start,"&lt;"&amp;840,m_end,"&gt;"&amp;780)&gt;1,"충돌",HYPERLINK("#'관리자_MASTER'!D"&amp;_xlfn.MAXIFS(m_row,m_teacher,BJ$4,m_date,($G$2+29),m_active,1,m_start,"&lt;"&amp;840,m_end,"&gt;"&amp;780),INDEX(m_label,_xlfn.MAXIFS(m_row,m_teacher,BJ$4,m_date,($G$2+29),m_active,1,m_start,"&lt;"&amp;840,m_end,"&gt;"&amp;780))))))</f>
        <v/>
      </c>
      <c r="BK20" s="88" t="str">
        <f aca="false">IF(OR(BK$4="",MONTH(($G$2+29))&lt;&gt;MONTH($C$2)),"",IF(COUNTIFS(m_teacher,BK$4,m_date,($G$2+29),m_active,1,m_start,"&lt;"&amp;840,m_end,"&gt;"&amp;780)=0,"",IF(COUNTIFS(m_teacher,BK$4,m_date,($G$2+29),m_active,1,m_start,"&lt;"&amp;840,m_end,"&gt;"&amp;780)&gt;1,"충돌",HYPERLINK("#'관리자_MASTER'!D"&amp;_xlfn.MAXIFS(m_row,m_teacher,BK$4,m_date,($G$2+29),m_active,1,m_start,"&lt;"&amp;840,m_end,"&gt;"&amp;780),INDEX(m_label,_xlfn.MAXIFS(m_row,m_teacher,BK$4,m_date,($G$2+29),m_active,1,m_start,"&lt;"&amp;840,m_end,"&gt;"&amp;780))))))</f>
        <v/>
      </c>
      <c r="BL20" s="88" t="str">
        <f aca="false">IF(OR(BL$4="",MONTH(($G$2+29))&lt;&gt;MONTH($C$2)),"",IF(COUNTIFS(m_teacher,BL$4,m_date,($G$2+29),m_active,1,m_start,"&lt;"&amp;840,m_end,"&gt;"&amp;780)=0,"",IF(COUNTIFS(m_teacher,BL$4,m_date,($G$2+29),m_active,1,m_start,"&lt;"&amp;840,m_end,"&gt;"&amp;780)&gt;1,"충돌",HYPERLINK("#'관리자_MASTER'!D"&amp;_xlfn.MAXIFS(m_row,m_teacher,BL$4,m_date,($G$2+29),m_active,1,m_start,"&lt;"&amp;840,m_end,"&gt;"&amp;780),INDEX(m_label,_xlfn.MAXIFS(m_row,m_teacher,BL$4,m_date,($G$2+29),m_active,1,m_start,"&lt;"&amp;840,m_end,"&gt;"&amp;780))))))</f>
        <v/>
      </c>
      <c r="BM20" s="88" t="str">
        <f aca="false">IF(OR(BM$4="",MONTH(($G$2+29))&lt;&gt;MONTH($C$2)),"",IF(COUNTIFS(m_teacher,BM$4,m_date,($G$2+29),m_active,1,m_start,"&lt;"&amp;840,m_end,"&gt;"&amp;780)=0,"",IF(COUNTIFS(m_teacher,BM$4,m_date,($G$2+29),m_active,1,m_start,"&lt;"&amp;840,m_end,"&gt;"&amp;780)&gt;1,"충돌",HYPERLINK("#'관리자_MASTER'!D"&amp;_xlfn.MAXIFS(m_row,m_teacher,BM$4,m_date,($G$2+29),m_active,1,m_start,"&lt;"&amp;840,m_end,"&gt;"&amp;780),INDEX(m_label,_xlfn.MAXIFS(m_row,m_teacher,BM$4,m_date,($G$2+29),m_active,1,m_start,"&lt;"&amp;840,m_end,"&gt;"&amp;780))))))</f>
        <v/>
      </c>
      <c r="BN20" s="88" t="str">
        <f aca="false">IF(OR(BN$4="",MONTH(($G$2+29))&lt;&gt;MONTH($C$2)),"",IF(COUNTIFS(m_teacher,BN$4,m_date,($G$2+29),m_active,1,m_start,"&lt;"&amp;840,m_end,"&gt;"&amp;780)=0,"",IF(COUNTIFS(m_teacher,BN$4,m_date,($G$2+29),m_active,1,m_start,"&lt;"&amp;840,m_end,"&gt;"&amp;780)&gt;1,"충돌",HYPERLINK("#'관리자_MASTER'!D"&amp;_xlfn.MAXIFS(m_row,m_teacher,BN$4,m_date,($G$2+29),m_active,1,m_start,"&lt;"&amp;840,m_end,"&gt;"&amp;780),INDEX(m_label,_xlfn.MAXIFS(m_row,m_teacher,BN$4,m_date,($G$2+29),m_active,1,m_start,"&lt;"&amp;840,m_end,"&gt;"&amp;780))))))</f>
        <v/>
      </c>
      <c r="BO20" s="88" t="str">
        <f aca="false">IF(OR(BO$4="",MONTH(($G$2+29))&lt;&gt;MONTH($C$2)),"",IF(COUNTIFS(m_teacher,BO$4,m_date,($G$2+29),m_active,1,m_start,"&lt;"&amp;840,m_end,"&gt;"&amp;780)=0,"",IF(COUNTIFS(m_teacher,BO$4,m_date,($G$2+29),m_active,1,m_start,"&lt;"&amp;840,m_end,"&gt;"&amp;780)&gt;1,"충돌",HYPERLINK("#'관리자_MASTER'!D"&amp;_xlfn.MAXIFS(m_row,m_teacher,BO$4,m_date,($G$2+29),m_active,1,m_start,"&lt;"&amp;840,m_end,"&gt;"&amp;780),INDEX(m_label,_xlfn.MAXIFS(m_row,m_teacher,BO$4,m_date,($G$2+29),m_active,1,m_start,"&lt;"&amp;840,m_end,"&gt;"&amp;780))))))</f>
        <v/>
      </c>
      <c r="BP20" s="88" t="str">
        <f aca="false">IF(OR(BP$4="",MONTH(($G$2+29))&lt;&gt;MONTH($C$2)),"",IF(COUNTIFS(m_teacher,BP$4,m_date,($G$2+29),m_active,1,m_start,"&lt;"&amp;840,m_end,"&gt;"&amp;780)=0,"",IF(COUNTIFS(m_teacher,BP$4,m_date,($G$2+29),m_active,1,m_start,"&lt;"&amp;840,m_end,"&gt;"&amp;780)&gt;1,"충돌",HYPERLINK("#'관리자_MASTER'!D"&amp;_xlfn.MAXIFS(m_row,m_teacher,BP$4,m_date,($G$2+29),m_active,1,m_start,"&lt;"&amp;840,m_end,"&gt;"&amp;780),INDEX(m_label,_xlfn.MAXIFS(m_row,m_teacher,BP$4,m_date,($G$2+29),m_active,1,m_start,"&lt;"&amp;840,m_end,"&gt;"&amp;780))))))</f>
        <v/>
      </c>
      <c r="BQ20" s="88" t="str">
        <f aca="false">IF(OR(BQ$4="",MONTH(($G$2+29))&lt;&gt;MONTH($C$2)),"",IF(COUNTIFS(m_teacher,BQ$4,m_date,($G$2+29),m_active,1,m_start,"&lt;"&amp;840,m_end,"&gt;"&amp;780)=0,"",IF(COUNTIFS(m_teacher,BQ$4,m_date,($G$2+29),m_active,1,m_start,"&lt;"&amp;840,m_end,"&gt;"&amp;780)&gt;1,"충돌",HYPERLINK("#'관리자_MASTER'!D"&amp;_xlfn.MAXIFS(m_row,m_teacher,BQ$4,m_date,($G$2+29),m_active,1,m_start,"&lt;"&amp;840,m_end,"&gt;"&amp;780),INDEX(m_label,_xlfn.MAXIFS(m_row,m_teacher,BQ$4,m_date,($G$2+29),m_active,1,m_start,"&lt;"&amp;840,m_end,"&gt;"&amp;780))))))</f>
        <v/>
      </c>
      <c r="BR20" s="88" t="str">
        <f aca="false">IF(OR(BR$4="",MONTH(($G$2+29))&lt;&gt;MONTH($C$2)),"",IF(COUNTIFS(m_teacher,BR$4,m_date,($G$2+29),m_active,1,m_start,"&lt;"&amp;840,m_end,"&gt;"&amp;780)=0,"",IF(COUNTIFS(m_teacher,BR$4,m_date,($G$2+29),m_active,1,m_start,"&lt;"&amp;840,m_end,"&gt;"&amp;780)&gt;1,"충돌",HYPERLINK("#'관리자_MASTER'!D"&amp;_xlfn.MAXIFS(m_row,m_teacher,BR$4,m_date,($G$2+29),m_active,1,m_start,"&lt;"&amp;840,m_end,"&gt;"&amp;780),INDEX(m_label,_xlfn.MAXIFS(m_row,m_teacher,BR$4,m_date,($G$2+29),m_active,1,m_start,"&lt;"&amp;840,m_end,"&gt;"&amp;780))))))</f>
        <v/>
      </c>
    </row>
    <row r="21" customFormat="false" ht="19.5" hidden="false" customHeight="true" outlineLevel="0" collapsed="false">
      <c r="A21" s="78"/>
      <c r="B21" s="79" t="s">
        <v>96</v>
      </c>
      <c r="C21" s="88" t="str">
        <f aca="false">IF(OR(C$4="",MONTH(($G$2+1))&lt;&gt;MONTH($C$2)),"",IF(COUNTIFS(m_teacher,C$4,m_date,($G$2+1),m_active,1,m_start,"&lt;"&amp;900,m_end,"&gt;"&amp;840)=0,"",IF(COUNTIFS(m_teacher,C$4,m_date,($G$2+1),m_active,1,m_start,"&lt;"&amp;900,m_end,"&gt;"&amp;840)&gt;1,"충돌",HYPERLINK("#'관리자_MASTER'!D"&amp;_xlfn.MAXIFS(m_row,m_teacher,C$4,m_date,($G$2+1),m_active,1,m_start,"&lt;"&amp;900,m_end,"&gt;"&amp;840),INDEX(m_label,_xlfn.MAXIFS(m_row,m_teacher,C$4,m_date,($G$2+1),m_active,1,m_start,"&lt;"&amp;900,m_end,"&gt;"&amp;840))))))</f>
        <v/>
      </c>
      <c r="D21" s="88" t="str">
        <f aca="false">IF(OR(D$4="",MONTH(($G$2+1))&lt;&gt;MONTH($C$2)),"",IF(COUNTIFS(m_teacher,D$4,m_date,($G$2+1),m_active,1,m_start,"&lt;"&amp;900,m_end,"&gt;"&amp;840)=0,"",IF(COUNTIFS(m_teacher,D$4,m_date,($G$2+1),m_active,1,m_start,"&lt;"&amp;900,m_end,"&gt;"&amp;840)&gt;1,"충돌",HYPERLINK("#'관리자_MASTER'!D"&amp;_xlfn.MAXIFS(m_row,m_teacher,D$4,m_date,($G$2+1),m_active,1,m_start,"&lt;"&amp;900,m_end,"&gt;"&amp;840),INDEX(m_label,_xlfn.MAXIFS(m_row,m_teacher,D$4,m_date,($G$2+1),m_active,1,m_start,"&lt;"&amp;900,m_end,"&gt;"&amp;840))))))</f>
        <v/>
      </c>
      <c r="E21" s="88" t="str">
        <f aca="false">IF(OR(E$4="",MONTH(($G$2+1))&lt;&gt;MONTH($C$2)),"",IF(COUNTIFS(m_teacher,E$4,m_date,($G$2+1),m_active,1,m_start,"&lt;"&amp;900,m_end,"&gt;"&amp;840)=0,"",IF(COUNTIFS(m_teacher,E$4,m_date,($G$2+1),m_active,1,m_start,"&lt;"&amp;900,m_end,"&gt;"&amp;840)&gt;1,"충돌",HYPERLINK("#'관리자_MASTER'!D"&amp;_xlfn.MAXIFS(m_row,m_teacher,E$4,m_date,($G$2+1),m_active,1,m_start,"&lt;"&amp;900,m_end,"&gt;"&amp;840),INDEX(m_label,_xlfn.MAXIFS(m_row,m_teacher,E$4,m_date,($G$2+1),m_active,1,m_start,"&lt;"&amp;900,m_end,"&gt;"&amp;840))))))</f>
        <v/>
      </c>
      <c r="F21" s="88" t="str">
        <f aca="false">IF(OR(F$4="",MONTH(($G$2+1))&lt;&gt;MONTH($C$2)),"",IF(COUNTIFS(m_teacher,F$4,m_date,($G$2+1),m_active,1,m_start,"&lt;"&amp;900,m_end,"&gt;"&amp;840)=0,"",IF(COUNTIFS(m_teacher,F$4,m_date,($G$2+1),m_active,1,m_start,"&lt;"&amp;900,m_end,"&gt;"&amp;840)&gt;1,"충돌",HYPERLINK("#'관리자_MASTER'!D"&amp;_xlfn.MAXIFS(m_row,m_teacher,F$4,m_date,($G$2+1),m_active,1,m_start,"&lt;"&amp;900,m_end,"&gt;"&amp;840),INDEX(m_label,_xlfn.MAXIFS(m_row,m_teacher,F$4,m_date,($G$2+1),m_active,1,m_start,"&lt;"&amp;900,m_end,"&gt;"&amp;840))))))</f>
        <v/>
      </c>
      <c r="G21" s="88" t="str">
        <f aca="false">IF(OR(G$4="",MONTH(($G$2+1))&lt;&gt;MONTH($C$2)),"",IF(COUNTIFS(m_teacher,G$4,m_date,($G$2+1),m_active,1,m_start,"&lt;"&amp;900,m_end,"&gt;"&amp;840)=0,"",IF(COUNTIFS(m_teacher,G$4,m_date,($G$2+1),m_active,1,m_start,"&lt;"&amp;900,m_end,"&gt;"&amp;840)&gt;1,"충돌",HYPERLINK("#'관리자_MASTER'!D"&amp;_xlfn.MAXIFS(m_row,m_teacher,G$4,m_date,($G$2+1),m_active,1,m_start,"&lt;"&amp;900,m_end,"&gt;"&amp;840),INDEX(m_label,_xlfn.MAXIFS(m_row,m_teacher,G$4,m_date,($G$2+1),m_active,1,m_start,"&lt;"&amp;900,m_end,"&gt;"&amp;840))))))</f>
        <v/>
      </c>
      <c r="H21" s="88" t="str">
        <f aca="false">IF(OR(H$4="",MONTH(($G$2+1))&lt;&gt;MONTH($C$2)),"",IF(COUNTIFS(m_teacher,H$4,m_date,($G$2+1),m_active,1,m_start,"&lt;"&amp;900,m_end,"&gt;"&amp;840)=0,"",IF(COUNTIFS(m_teacher,H$4,m_date,($G$2+1),m_active,1,m_start,"&lt;"&amp;900,m_end,"&gt;"&amp;840)&gt;1,"충돌",HYPERLINK("#'관리자_MASTER'!D"&amp;_xlfn.MAXIFS(m_row,m_teacher,H$4,m_date,($G$2+1),m_active,1,m_start,"&lt;"&amp;900,m_end,"&gt;"&amp;840),INDEX(m_label,_xlfn.MAXIFS(m_row,m_teacher,H$4,m_date,($G$2+1),m_active,1,m_start,"&lt;"&amp;900,m_end,"&gt;"&amp;840))))))</f>
        <v/>
      </c>
      <c r="I21" s="88" t="str">
        <f aca="false">IF(OR(I$4="",MONTH(($G$2+1))&lt;&gt;MONTH($C$2)),"",IF(COUNTIFS(m_teacher,I$4,m_date,($G$2+1),m_active,1,m_start,"&lt;"&amp;900,m_end,"&gt;"&amp;840)=0,"",IF(COUNTIFS(m_teacher,I$4,m_date,($G$2+1),m_active,1,m_start,"&lt;"&amp;900,m_end,"&gt;"&amp;840)&gt;1,"충돌",HYPERLINK("#'관리자_MASTER'!D"&amp;_xlfn.MAXIFS(m_row,m_teacher,I$4,m_date,($G$2+1),m_active,1,m_start,"&lt;"&amp;900,m_end,"&gt;"&amp;840),INDEX(m_label,_xlfn.MAXIFS(m_row,m_teacher,I$4,m_date,($G$2+1),m_active,1,m_start,"&lt;"&amp;900,m_end,"&gt;"&amp;840))))))</f>
        <v/>
      </c>
      <c r="J21" s="88" t="str">
        <f aca="false">IF(OR(J$4="",MONTH(($G$2+1))&lt;&gt;MONTH($C$2)),"",IF(COUNTIFS(m_teacher,J$4,m_date,($G$2+1),m_active,1,m_start,"&lt;"&amp;900,m_end,"&gt;"&amp;840)=0,"",IF(COUNTIFS(m_teacher,J$4,m_date,($G$2+1),m_active,1,m_start,"&lt;"&amp;900,m_end,"&gt;"&amp;840)&gt;1,"충돌",HYPERLINK("#'관리자_MASTER'!D"&amp;_xlfn.MAXIFS(m_row,m_teacher,J$4,m_date,($G$2+1),m_active,1,m_start,"&lt;"&amp;900,m_end,"&gt;"&amp;840),INDEX(m_label,_xlfn.MAXIFS(m_row,m_teacher,J$4,m_date,($G$2+1),m_active,1,m_start,"&lt;"&amp;900,m_end,"&gt;"&amp;840))))))</f>
        <v/>
      </c>
      <c r="K21" s="88" t="str">
        <f aca="false">IF(OR(K$4="",MONTH(($G$2+1))&lt;&gt;MONTH($C$2)),"",IF(COUNTIFS(m_teacher,K$4,m_date,($G$2+1),m_active,1,m_start,"&lt;"&amp;900,m_end,"&gt;"&amp;840)=0,"",IF(COUNTIFS(m_teacher,K$4,m_date,($G$2+1),m_active,1,m_start,"&lt;"&amp;900,m_end,"&gt;"&amp;840)&gt;1,"충돌",HYPERLINK("#'관리자_MASTER'!D"&amp;_xlfn.MAXIFS(m_row,m_teacher,K$4,m_date,($G$2+1),m_active,1,m_start,"&lt;"&amp;900,m_end,"&gt;"&amp;840),INDEX(m_label,_xlfn.MAXIFS(m_row,m_teacher,K$4,m_date,($G$2+1),m_active,1,m_start,"&lt;"&amp;900,m_end,"&gt;"&amp;840))))))</f>
        <v/>
      </c>
      <c r="L21" s="88" t="str">
        <f aca="false">IF(OR(L$4="",MONTH(($G$2+1))&lt;&gt;MONTH($C$2)),"",IF(COUNTIFS(m_teacher,L$4,m_date,($G$2+1),m_active,1,m_start,"&lt;"&amp;900,m_end,"&gt;"&amp;840)=0,"",IF(COUNTIFS(m_teacher,L$4,m_date,($G$2+1),m_active,1,m_start,"&lt;"&amp;900,m_end,"&gt;"&amp;840)&gt;1,"충돌",HYPERLINK("#'관리자_MASTER'!D"&amp;_xlfn.MAXIFS(m_row,m_teacher,L$4,m_date,($G$2+1),m_active,1,m_start,"&lt;"&amp;900,m_end,"&gt;"&amp;840),INDEX(m_label,_xlfn.MAXIFS(m_row,m_teacher,L$4,m_date,($G$2+1),m_active,1,m_start,"&lt;"&amp;900,m_end,"&gt;"&amp;840))))))</f>
        <v/>
      </c>
      <c r="M21" s="88" t="str">
        <f aca="false">IF(OR(M$4="",MONTH(($G$2+1))&lt;&gt;MONTH($C$2)),"",IF(COUNTIFS(m_teacher,M$4,m_date,($G$2+1),m_active,1,m_start,"&lt;"&amp;900,m_end,"&gt;"&amp;840)=0,"",IF(COUNTIFS(m_teacher,M$4,m_date,($G$2+1),m_active,1,m_start,"&lt;"&amp;900,m_end,"&gt;"&amp;840)&gt;1,"충돌",HYPERLINK("#'관리자_MASTER'!D"&amp;_xlfn.MAXIFS(m_row,m_teacher,M$4,m_date,($G$2+1),m_active,1,m_start,"&lt;"&amp;900,m_end,"&gt;"&amp;840),INDEX(m_label,_xlfn.MAXIFS(m_row,m_teacher,M$4,m_date,($G$2+1),m_active,1,m_start,"&lt;"&amp;900,m_end,"&gt;"&amp;840))))))</f>
        <v/>
      </c>
      <c r="N21" s="88" t="str">
        <f aca="false">IF(OR(N$4="",MONTH(($G$2+1))&lt;&gt;MONTH($C$2)),"",IF(COUNTIFS(m_teacher,N$4,m_date,($G$2+1),m_active,1,m_start,"&lt;"&amp;900,m_end,"&gt;"&amp;840)=0,"",IF(COUNTIFS(m_teacher,N$4,m_date,($G$2+1),m_active,1,m_start,"&lt;"&amp;900,m_end,"&gt;"&amp;840)&gt;1,"충돌",HYPERLINK("#'관리자_MASTER'!D"&amp;_xlfn.MAXIFS(m_row,m_teacher,N$4,m_date,($G$2+1),m_active,1,m_start,"&lt;"&amp;900,m_end,"&gt;"&amp;840),INDEX(m_label,_xlfn.MAXIFS(m_row,m_teacher,N$4,m_date,($G$2+1),m_active,1,m_start,"&lt;"&amp;900,m_end,"&gt;"&amp;840))))))</f>
        <v/>
      </c>
      <c r="O21" s="78"/>
      <c r="P21" s="79" t="s">
        <v>96</v>
      </c>
      <c r="Q21" s="88" t="str">
        <f aca="false">IF(OR(Q$4="",MONTH(($G$2+8))&lt;&gt;MONTH($C$2)),"",IF(COUNTIFS(m_teacher,Q$4,m_date,($G$2+8),m_active,1,m_start,"&lt;"&amp;900,m_end,"&gt;"&amp;840)=0,"",IF(COUNTIFS(m_teacher,Q$4,m_date,($G$2+8),m_active,1,m_start,"&lt;"&amp;900,m_end,"&gt;"&amp;840)&gt;1,"충돌",HYPERLINK("#'관리자_MASTER'!D"&amp;_xlfn.MAXIFS(m_row,m_teacher,Q$4,m_date,($G$2+8),m_active,1,m_start,"&lt;"&amp;900,m_end,"&gt;"&amp;840),INDEX(m_label,_xlfn.MAXIFS(m_row,m_teacher,Q$4,m_date,($G$2+8),m_active,1,m_start,"&lt;"&amp;900,m_end,"&gt;"&amp;840))))))</f>
        <v/>
      </c>
      <c r="R21" s="88" t="str">
        <f aca="false">IF(OR(R$4="",MONTH(($G$2+8))&lt;&gt;MONTH($C$2)),"",IF(COUNTIFS(m_teacher,R$4,m_date,($G$2+8),m_active,1,m_start,"&lt;"&amp;900,m_end,"&gt;"&amp;840)=0,"",IF(COUNTIFS(m_teacher,R$4,m_date,($G$2+8),m_active,1,m_start,"&lt;"&amp;900,m_end,"&gt;"&amp;840)&gt;1,"충돌",HYPERLINK("#'관리자_MASTER'!D"&amp;_xlfn.MAXIFS(m_row,m_teacher,R$4,m_date,($G$2+8),m_active,1,m_start,"&lt;"&amp;900,m_end,"&gt;"&amp;840),INDEX(m_label,_xlfn.MAXIFS(m_row,m_teacher,R$4,m_date,($G$2+8),m_active,1,m_start,"&lt;"&amp;900,m_end,"&gt;"&amp;840))))))</f>
        <v/>
      </c>
      <c r="S21" s="88" t="str">
        <f aca="false">IF(OR(S$4="",MONTH(($G$2+8))&lt;&gt;MONTH($C$2)),"",IF(COUNTIFS(m_teacher,S$4,m_date,($G$2+8),m_active,1,m_start,"&lt;"&amp;900,m_end,"&gt;"&amp;840)=0,"",IF(COUNTIFS(m_teacher,S$4,m_date,($G$2+8),m_active,1,m_start,"&lt;"&amp;900,m_end,"&gt;"&amp;840)&gt;1,"충돌",HYPERLINK("#'관리자_MASTER'!D"&amp;_xlfn.MAXIFS(m_row,m_teacher,S$4,m_date,($G$2+8),m_active,1,m_start,"&lt;"&amp;900,m_end,"&gt;"&amp;840),INDEX(m_label,_xlfn.MAXIFS(m_row,m_teacher,S$4,m_date,($G$2+8),m_active,1,m_start,"&lt;"&amp;900,m_end,"&gt;"&amp;840))))))</f>
        <v/>
      </c>
      <c r="T21" s="88" t="str">
        <f aca="false">IF(OR(T$4="",MONTH(($G$2+8))&lt;&gt;MONTH($C$2)),"",IF(COUNTIFS(m_teacher,T$4,m_date,($G$2+8),m_active,1,m_start,"&lt;"&amp;900,m_end,"&gt;"&amp;840)=0,"",IF(COUNTIFS(m_teacher,T$4,m_date,($G$2+8),m_active,1,m_start,"&lt;"&amp;900,m_end,"&gt;"&amp;840)&gt;1,"충돌",HYPERLINK("#'관리자_MASTER'!D"&amp;_xlfn.MAXIFS(m_row,m_teacher,T$4,m_date,($G$2+8),m_active,1,m_start,"&lt;"&amp;900,m_end,"&gt;"&amp;840),INDEX(m_label,_xlfn.MAXIFS(m_row,m_teacher,T$4,m_date,($G$2+8),m_active,1,m_start,"&lt;"&amp;900,m_end,"&gt;"&amp;840))))))</f>
        <v/>
      </c>
      <c r="U21" s="88" t="str">
        <f aca="false">IF(OR(U$4="",MONTH(($G$2+8))&lt;&gt;MONTH($C$2)),"",IF(COUNTIFS(m_teacher,U$4,m_date,($G$2+8),m_active,1,m_start,"&lt;"&amp;900,m_end,"&gt;"&amp;840)=0,"",IF(COUNTIFS(m_teacher,U$4,m_date,($G$2+8),m_active,1,m_start,"&lt;"&amp;900,m_end,"&gt;"&amp;840)&gt;1,"충돌",HYPERLINK("#'관리자_MASTER'!D"&amp;_xlfn.MAXIFS(m_row,m_teacher,U$4,m_date,($G$2+8),m_active,1,m_start,"&lt;"&amp;900,m_end,"&gt;"&amp;840),INDEX(m_label,_xlfn.MAXIFS(m_row,m_teacher,U$4,m_date,($G$2+8),m_active,1,m_start,"&lt;"&amp;900,m_end,"&gt;"&amp;840))))))</f>
        <v/>
      </c>
      <c r="V21" s="88" t="str">
        <f aca="false">IF(OR(V$4="",MONTH(($G$2+8))&lt;&gt;MONTH($C$2)),"",IF(COUNTIFS(m_teacher,V$4,m_date,($G$2+8),m_active,1,m_start,"&lt;"&amp;900,m_end,"&gt;"&amp;840)=0,"",IF(COUNTIFS(m_teacher,V$4,m_date,($G$2+8),m_active,1,m_start,"&lt;"&amp;900,m_end,"&gt;"&amp;840)&gt;1,"충돌",HYPERLINK("#'관리자_MASTER'!D"&amp;_xlfn.MAXIFS(m_row,m_teacher,V$4,m_date,($G$2+8),m_active,1,m_start,"&lt;"&amp;900,m_end,"&gt;"&amp;840),INDEX(m_label,_xlfn.MAXIFS(m_row,m_teacher,V$4,m_date,($G$2+8),m_active,1,m_start,"&lt;"&amp;900,m_end,"&gt;"&amp;840))))))</f>
        <v/>
      </c>
      <c r="W21" s="88" t="str">
        <f aca="false">IF(OR(W$4="",MONTH(($G$2+8))&lt;&gt;MONTH($C$2)),"",IF(COUNTIFS(m_teacher,W$4,m_date,($G$2+8),m_active,1,m_start,"&lt;"&amp;900,m_end,"&gt;"&amp;840)=0,"",IF(COUNTIFS(m_teacher,W$4,m_date,($G$2+8),m_active,1,m_start,"&lt;"&amp;900,m_end,"&gt;"&amp;840)&gt;1,"충돌",HYPERLINK("#'관리자_MASTER'!D"&amp;_xlfn.MAXIFS(m_row,m_teacher,W$4,m_date,($G$2+8),m_active,1,m_start,"&lt;"&amp;900,m_end,"&gt;"&amp;840),INDEX(m_label,_xlfn.MAXIFS(m_row,m_teacher,W$4,m_date,($G$2+8),m_active,1,m_start,"&lt;"&amp;900,m_end,"&gt;"&amp;840))))))</f>
        <v/>
      </c>
      <c r="X21" s="88" t="str">
        <f aca="false">IF(OR(X$4="",MONTH(($G$2+8))&lt;&gt;MONTH($C$2)),"",IF(COUNTIFS(m_teacher,X$4,m_date,($G$2+8),m_active,1,m_start,"&lt;"&amp;900,m_end,"&gt;"&amp;840)=0,"",IF(COUNTIFS(m_teacher,X$4,m_date,($G$2+8),m_active,1,m_start,"&lt;"&amp;900,m_end,"&gt;"&amp;840)&gt;1,"충돌",HYPERLINK("#'관리자_MASTER'!D"&amp;_xlfn.MAXIFS(m_row,m_teacher,X$4,m_date,($G$2+8),m_active,1,m_start,"&lt;"&amp;900,m_end,"&gt;"&amp;840),INDEX(m_label,_xlfn.MAXIFS(m_row,m_teacher,X$4,m_date,($G$2+8),m_active,1,m_start,"&lt;"&amp;900,m_end,"&gt;"&amp;840))))))</f>
        <v/>
      </c>
      <c r="Y21" s="88" t="str">
        <f aca="false">IF(OR(Y$4="",MONTH(($G$2+8))&lt;&gt;MONTH($C$2)),"",IF(COUNTIFS(m_teacher,Y$4,m_date,($G$2+8),m_active,1,m_start,"&lt;"&amp;900,m_end,"&gt;"&amp;840)=0,"",IF(COUNTIFS(m_teacher,Y$4,m_date,($G$2+8),m_active,1,m_start,"&lt;"&amp;900,m_end,"&gt;"&amp;840)&gt;1,"충돌",HYPERLINK("#'관리자_MASTER'!D"&amp;_xlfn.MAXIFS(m_row,m_teacher,Y$4,m_date,($G$2+8),m_active,1,m_start,"&lt;"&amp;900,m_end,"&gt;"&amp;840),INDEX(m_label,_xlfn.MAXIFS(m_row,m_teacher,Y$4,m_date,($G$2+8),m_active,1,m_start,"&lt;"&amp;900,m_end,"&gt;"&amp;840))))))</f>
        <v/>
      </c>
      <c r="Z21" s="88" t="str">
        <f aca="false">IF(OR(Z$4="",MONTH(($G$2+8))&lt;&gt;MONTH($C$2)),"",IF(COUNTIFS(m_teacher,Z$4,m_date,($G$2+8),m_active,1,m_start,"&lt;"&amp;900,m_end,"&gt;"&amp;840)=0,"",IF(COUNTIFS(m_teacher,Z$4,m_date,($G$2+8),m_active,1,m_start,"&lt;"&amp;900,m_end,"&gt;"&amp;840)&gt;1,"충돌",HYPERLINK("#'관리자_MASTER'!D"&amp;_xlfn.MAXIFS(m_row,m_teacher,Z$4,m_date,($G$2+8),m_active,1,m_start,"&lt;"&amp;900,m_end,"&gt;"&amp;840),INDEX(m_label,_xlfn.MAXIFS(m_row,m_teacher,Z$4,m_date,($G$2+8),m_active,1,m_start,"&lt;"&amp;900,m_end,"&gt;"&amp;840))))))</f>
        <v/>
      </c>
      <c r="AA21" s="88" t="str">
        <f aca="false">IF(OR(AA$4="",MONTH(($G$2+8))&lt;&gt;MONTH($C$2)),"",IF(COUNTIFS(m_teacher,AA$4,m_date,($G$2+8),m_active,1,m_start,"&lt;"&amp;900,m_end,"&gt;"&amp;840)=0,"",IF(COUNTIFS(m_teacher,AA$4,m_date,($G$2+8),m_active,1,m_start,"&lt;"&amp;900,m_end,"&gt;"&amp;840)&gt;1,"충돌",HYPERLINK("#'관리자_MASTER'!D"&amp;_xlfn.MAXIFS(m_row,m_teacher,AA$4,m_date,($G$2+8),m_active,1,m_start,"&lt;"&amp;900,m_end,"&gt;"&amp;840),INDEX(m_label,_xlfn.MAXIFS(m_row,m_teacher,AA$4,m_date,($G$2+8),m_active,1,m_start,"&lt;"&amp;900,m_end,"&gt;"&amp;840))))))</f>
        <v/>
      </c>
      <c r="AB21" s="88" t="str">
        <f aca="false">IF(OR(AB$4="",MONTH(($G$2+8))&lt;&gt;MONTH($C$2)),"",IF(COUNTIFS(m_teacher,AB$4,m_date,($G$2+8),m_active,1,m_start,"&lt;"&amp;900,m_end,"&gt;"&amp;840)=0,"",IF(COUNTIFS(m_teacher,AB$4,m_date,($G$2+8),m_active,1,m_start,"&lt;"&amp;900,m_end,"&gt;"&amp;840)&gt;1,"충돌",HYPERLINK("#'관리자_MASTER'!D"&amp;_xlfn.MAXIFS(m_row,m_teacher,AB$4,m_date,($G$2+8),m_active,1,m_start,"&lt;"&amp;900,m_end,"&gt;"&amp;840),INDEX(m_label,_xlfn.MAXIFS(m_row,m_teacher,AB$4,m_date,($G$2+8),m_active,1,m_start,"&lt;"&amp;900,m_end,"&gt;"&amp;840))))))</f>
        <v/>
      </c>
      <c r="AC21" s="78"/>
      <c r="AD21" s="79" t="s">
        <v>96</v>
      </c>
      <c r="AE21" s="88" t="str">
        <f aca="false">IF(OR(AE$4="",MONTH(($G$2+15))&lt;&gt;MONTH($C$2)),"",IF(COUNTIFS(m_teacher,AE$4,m_date,($G$2+15),m_active,1,m_start,"&lt;"&amp;900,m_end,"&gt;"&amp;840)=0,"",IF(COUNTIFS(m_teacher,AE$4,m_date,($G$2+15),m_active,1,m_start,"&lt;"&amp;900,m_end,"&gt;"&amp;840)&gt;1,"충돌",HYPERLINK("#'관리자_MASTER'!D"&amp;_xlfn.MAXIFS(m_row,m_teacher,AE$4,m_date,($G$2+15),m_active,1,m_start,"&lt;"&amp;900,m_end,"&gt;"&amp;840),INDEX(m_label,_xlfn.MAXIFS(m_row,m_teacher,AE$4,m_date,($G$2+15),m_active,1,m_start,"&lt;"&amp;900,m_end,"&gt;"&amp;840))))))</f>
        <v/>
      </c>
      <c r="AF21" s="88" t="str">
        <f aca="false">IF(OR(AF$4="",MONTH(($G$2+15))&lt;&gt;MONTH($C$2)),"",IF(COUNTIFS(m_teacher,AF$4,m_date,($G$2+15),m_active,1,m_start,"&lt;"&amp;900,m_end,"&gt;"&amp;840)=0,"",IF(COUNTIFS(m_teacher,AF$4,m_date,($G$2+15),m_active,1,m_start,"&lt;"&amp;900,m_end,"&gt;"&amp;840)&gt;1,"충돌",HYPERLINK("#'관리자_MASTER'!D"&amp;_xlfn.MAXIFS(m_row,m_teacher,AF$4,m_date,($G$2+15),m_active,1,m_start,"&lt;"&amp;900,m_end,"&gt;"&amp;840),INDEX(m_label,_xlfn.MAXIFS(m_row,m_teacher,AF$4,m_date,($G$2+15),m_active,1,m_start,"&lt;"&amp;900,m_end,"&gt;"&amp;840))))))</f>
        <v/>
      </c>
      <c r="AG21" s="88" t="str">
        <f aca="false">IF(OR(AG$4="",MONTH(($G$2+15))&lt;&gt;MONTH($C$2)),"",IF(COUNTIFS(m_teacher,AG$4,m_date,($G$2+15),m_active,1,m_start,"&lt;"&amp;900,m_end,"&gt;"&amp;840)=0,"",IF(COUNTIFS(m_teacher,AG$4,m_date,($G$2+15),m_active,1,m_start,"&lt;"&amp;900,m_end,"&gt;"&amp;840)&gt;1,"충돌",HYPERLINK("#'관리자_MASTER'!D"&amp;_xlfn.MAXIFS(m_row,m_teacher,AG$4,m_date,($G$2+15),m_active,1,m_start,"&lt;"&amp;900,m_end,"&gt;"&amp;840),INDEX(m_label,_xlfn.MAXIFS(m_row,m_teacher,AG$4,m_date,($G$2+15),m_active,1,m_start,"&lt;"&amp;900,m_end,"&gt;"&amp;840))))))</f>
        <v/>
      </c>
      <c r="AH21" s="88" t="str">
        <f aca="false">IF(OR(AH$4="",MONTH(($G$2+15))&lt;&gt;MONTH($C$2)),"",IF(COUNTIFS(m_teacher,AH$4,m_date,($G$2+15),m_active,1,m_start,"&lt;"&amp;900,m_end,"&gt;"&amp;840)=0,"",IF(COUNTIFS(m_teacher,AH$4,m_date,($G$2+15),m_active,1,m_start,"&lt;"&amp;900,m_end,"&gt;"&amp;840)&gt;1,"충돌",HYPERLINK("#'관리자_MASTER'!D"&amp;_xlfn.MAXIFS(m_row,m_teacher,AH$4,m_date,($G$2+15),m_active,1,m_start,"&lt;"&amp;900,m_end,"&gt;"&amp;840),INDEX(m_label,_xlfn.MAXIFS(m_row,m_teacher,AH$4,m_date,($G$2+15),m_active,1,m_start,"&lt;"&amp;900,m_end,"&gt;"&amp;840))))))</f>
        <v/>
      </c>
      <c r="AI21" s="88" t="str">
        <f aca="false">IF(OR(AI$4="",MONTH(($G$2+15))&lt;&gt;MONTH($C$2)),"",IF(COUNTIFS(m_teacher,AI$4,m_date,($G$2+15),m_active,1,m_start,"&lt;"&amp;900,m_end,"&gt;"&amp;840)=0,"",IF(COUNTIFS(m_teacher,AI$4,m_date,($G$2+15),m_active,1,m_start,"&lt;"&amp;900,m_end,"&gt;"&amp;840)&gt;1,"충돌",HYPERLINK("#'관리자_MASTER'!D"&amp;_xlfn.MAXIFS(m_row,m_teacher,AI$4,m_date,($G$2+15),m_active,1,m_start,"&lt;"&amp;900,m_end,"&gt;"&amp;840),INDEX(m_label,_xlfn.MAXIFS(m_row,m_teacher,AI$4,m_date,($G$2+15),m_active,1,m_start,"&lt;"&amp;900,m_end,"&gt;"&amp;840))))))</f>
        <v/>
      </c>
      <c r="AJ21" s="88" t="str">
        <f aca="false">IF(OR(AJ$4="",MONTH(($G$2+15))&lt;&gt;MONTH($C$2)),"",IF(COUNTIFS(m_teacher,AJ$4,m_date,($G$2+15),m_active,1,m_start,"&lt;"&amp;900,m_end,"&gt;"&amp;840)=0,"",IF(COUNTIFS(m_teacher,AJ$4,m_date,($G$2+15),m_active,1,m_start,"&lt;"&amp;900,m_end,"&gt;"&amp;840)&gt;1,"충돌",HYPERLINK("#'관리자_MASTER'!D"&amp;_xlfn.MAXIFS(m_row,m_teacher,AJ$4,m_date,($G$2+15),m_active,1,m_start,"&lt;"&amp;900,m_end,"&gt;"&amp;840),INDEX(m_label,_xlfn.MAXIFS(m_row,m_teacher,AJ$4,m_date,($G$2+15),m_active,1,m_start,"&lt;"&amp;900,m_end,"&gt;"&amp;840))))))</f>
        <v/>
      </c>
      <c r="AK21" s="88" t="str">
        <f aca="false">IF(OR(AK$4="",MONTH(($G$2+15))&lt;&gt;MONTH($C$2)),"",IF(COUNTIFS(m_teacher,AK$4,m_date,($G$2+15),m_active,1,m_start,"&lt;"&amp;900,m_end,"&gt;"&amp;840)=0,"",IF(COUNTIFS(m_teacher,AK$4,m_date,($G$2+15),m_active,1,m_start,"&lt;"&amp;900,m_end,"&gt;"&amp;840)&gt;1,"충돌",HYPERLINK("#'관리자_MASTER'!D"&amp;_xlfn.MAXIFS(m_row,m_teacher,AK$4,m_date,($G$2+15),m_active,1,m_start,"&lt;"&amp;900,m_end,"&gt;"&amp;840),INDEX(m_label,_xlfn.MAXIFS(m_row,m_teacher,AK$4,m_date,($G$2+15),m_active,1,m_start,"&lt;"&amp;900,m_end,"&gt;"&amp;840))))))</f>
        <v/>
      </c>
      <c r="AL21" s="88" t="str">
        <f aca="false">IF(OR(AL$4="",MONTH(($G$2+15))&lt;&gt;MONTH($C$2)),"",IF(COUNTIFS(m_teacher,AL$4,m_date,($G$2+15),m_active,1,m_start,"&lt;"&amp;900,m_end,"&gt;"&amp;840)=0,"",IF(COUNTIFS(m_teacher,AL$4,m_date,($G$2+15),m_active,1,m_start,"&lt;"&amp;900,m_end,"&gt;"&amp;840)&gt;1,"충돌",HYPERLINK("#'관리자_MASTER'!D"&amp;_xlfn.MAXIFS(m_row,m_teacher,AL$4,m_date,($G$2+15),m_active,1,m_start,"&lt;"&amp;900,m_end,"&gt;"&amp;840),INDEX(m_label,_xlfn.MAXIFS(m_row,m_teacher,AL$4,m_date,($G$2+15),m_active,1,m_start,"&lt;"&amp;900,m_end,"&gt;"&amp;840))))))</f>
        <v/>
      </c>
      <c r="AM21" s="88" t="str">
        <f aca="false">IF(OR(AM$4="",MONTH(($G$2+15))&lt;&gt;MONTH($C$2)),"",IF(COUNTIFS(m_teacher,AM$4,m_date,($G$2+15),m_active,1,m_start,"&lt;"&amp;900,m_end,"&gt;"&amp;840)=0,"",IF(COUNTIFS(m_teacher,AM$4,m_date,($G$2+15),m_active,1,m_start,"&lt;"&amp;900,m_end,"&gt;"&amp;840)&gt;1,"충돌",HYPERLINK("#'관리자_MASTER'!D"&amp;_xlfn.MAXIFS(m_row,m_teacher,AM$4,m_date,($G$2+15),m_active,1,m_start,"&lt;"&amp;900,m_end,"&gt;"&amp;840),INDEX(m_label,_xlfn.MAXIFS(m_row,m_teacher,AM$4,m_date,($G$2+15),m_active,1,m_start,"&lt;"&amp;900,m_end,"&gt;"&amp;840))))))</f>
        <v/>
      </c>
      <c r="AN21" s="88" t="str">
        <f aca="false">IF(OR(AN$4="",MONTH(($G$2+15))&lt;&gt;MONTH($C$2)),"",IF(COUNTIFS(m_teacher,AN$4,m_date,($G$2+15),m_active,1,m_start,"&lt;"&amp;900,m_end,"&gt;"&amp;840)=0,"",IF(COUNTIFS(m_teacher,AN$4,m_date,($G$2+15),m_active,1,m_start,"&lt;"&amp;900,m_end,"&gt;"&amp;840)&gt;1,"충돌",HYPERLINK("#'관리자_MASTER'!D"&amp;_xlfn.MAXIFS(m_row,m_teacher,AN$4,m_date,($G$2+15),m_active,1,m_start,"&lt;"&amp;900,m_end,"&gt;"&amp;840),INDEX(m_label,_xlfn.MAXIFS(m_row,m_teacher,AN$4,m_date,($G$2+15),m_active,1,m_start,"&lt;"&amp;900,m_end,"&gt;"&amp;840))))))</f>
        <v/>
      </c>
      <c r="AO21" s="88" t="str">
        <f aca="false">IF(OR(AO$4="",MONTH(($G$2+15))&lt;&gt;MONTH($C$2)),"",IF(COUNTIFS(m_teacher,AO$4,m_date,($G$2+15),m_active,1,m_start,"&lt;"&amp;900,m_end,"&gt;"&amp;840)=0,"",IF(COUNTIFS(m_teacher,AO$4,m_date,($G$2+15),m_active,1,m_start,"&lt;"&amp;900,m_end,"&gt;"&amp;840)&gt;1,"충돌",HYPERLINK("#'관리자_MASTER'!D"&amp;_xlfn.MAXIFS(m_row,m_teacher,AO$4,m_date,($G$2+15),m_active,1,m_start,"&lt;"&amp;900,m_end,"&gt;"&amp;840),INDEX(m_label,_xlfn.MAXIFS(m_row,m_teacher,AO$4,m_date,($G$2+15),m_active,1,m_start,"&lt;"&amp;900,m_end,"&gt;"&amp;840))))))</f>
        <v/>
      </c>
      <c r="AP21" s="88" t="str">
        <f aca="false">IF(OR(AP$4="",MONTH(($G$2+15))&lt;&gt;MONTH($C$2)),"",IF(COUNTIFS(m_teacher,AP$4,m_date,($G$2+15),m_active,1,m_start,"&lt;"&amp;900,m_end,"&gt;"&amp;840)=0,"",IF(COUNTIFS(m_teacher,AP$4,m_date,($G$2+15),m_active,1,m_start,"&lt;"&amp;900,m_end,"&gt;"&amp;840)&gt;1,"충돌",HYPERLINK("#'관리자_MASTER'!D"&amp;_xlfn.MAXIFS(m_row,m_teacher,AP$4,m_date,($G$2+15),m_active,1,m_start,"&lt;"&amp;900,m_end,"&gt;"&amp;840),INDEX(m_label,_xlfn.MAXIFS(m_row,m_teacher,AP$4,m_date,($G$2+15),m_active,1,m_start,"&lt;"&amp;900,m_end,"&gt;"&amp;840))))))</f>
        <v/>
      </c>
      <c r="AQ21" s="78"/>
      <c r="AR21" s="79" t="s">
        <v>96</v>
      </c>
      <c r="AS21" s="88" t="str">
        <f aca="false">IF(OR(AS$4="",MONTH(($G$2+22))&lt;&gt;MONTH($C$2)),"",IF(COUNTIFS(m_teacher,AS$4,m_date,($G$2+22),m_active,1,m_start,"&lt;"&amp;900,m_end,"&gt;"&amp;840)=0,"",IF(COUNTIFS(m_teacher,AS$4,m_date,($G$2+22),m_active,1,m_start,"&lt;"&amp;900,m_end,"&gt;"&amp;840)&gt;1,"충돌",HYPERLINK("#'관리자_MASTER'!D"&amp;_xlfn.MAXIFS(m_row,m_teacher,AS$4,m_date,($G$2+22),m_active,1,m_start,"&lt;"&amp;900,m_end,"&gt;"&amp;840),INDEX(m_label,_xlfn.MAXIFS(m_row,m_teacher,AS$4,m_date,($G$2+22),m_active,1,m_start,"&lt;"&amp;900,m_end,"&gt;"&amp;840))))))</f>
        <v/>
      </c>
      <c r="AT21" s="88" t="str">
        <f aca="false">IF(OR(AT$4="",MONTH(($G$2+22))&lt;&gt;MONTH($C$2)),"",IF(COUNTIFS(m_teacher,AT$4,m_date,($G$2+22),m_active,1,m_start,"&lt;"&amp;900,m_end,"&gt;"&amp;840)=0,"",IF(COUNTIFS(m_teacher,AT$4,m_date,($G$2+22),m_active,1,m_start,"&lt;"&amp;900,m_end,"&gt;"&amp;840)&gt;1,"충돌",HYPERLINK("#'관리자_MASTER'!D"&amp;_xlfn.MAXIFS(m_row,m_teacher,AT$4,m_date,($G$2+22),m_active,1,m_start,"&lt;"&amp;900,m_end,"&gt;"&amp;840),INDEX(m_label,_xlfn.MAXIFS(m_row,m_teacher,AT$4,m_date,($G$2+22),m_active,1,m_start,"&lt;"&amp;900,m_end,"&gt;"&amp;840))))))</f>
        <v/>
      </c>
      <c r="AU21" s="88" t="str">
        <f aca="false">IF(OR(AU$4="",MONTH(($G$2+22))&lt;&gt;MONTH($C$2)),"",IF(COUNTIFS(m_teacher,AU$4,m_date,($G$2+22),m_active,1,m_start,"&lt;"&amp;900,m_end,"&gt;"&amp;840)=0,"",IF(COUNTIFS(m_teacher,AU$4,m_date,($G$2+22),m_active,1,m_start,"&lt;"&amp;900,m_end,"&gt;"&amp;840)&gt;1,"충돌",HYPERLINK("#'관리자_MASTER'!D"&amp;_xlfn.MAXIFS(m_row,m_teacher,AU$4,m_date,($G$2+22),m_active,1,m_start,"&lt;"&amp;900,m_end,"&gt;"&amp;840),INDEX(m_label,_xlfn.MAXIFS(m_row,m_teacher,AU$4,m_date,($G$2+22),m_active,1,m_start,"&lt;"&amp;900,m_end,"&gt;"&amp;840))))))</f>
        <v/>
      </c>
      <c r="AV21" s="88" t="str">
        <f aca="false">IF(OR(AV$4="",MONTH(($G$2+22))&lt;&gt;MONTH($C$2)),"",IF(COUNTIFS(m_teacher,AV$4,m_date,($G$2+22),m_active,1,m_start,"&lt;"&amp;900,m_end,"&gt;"&amp;840)=0,"",IF(COUNTIFS(m_teacher,AV$4,m_date,($G$2+22),m_active,1,m_start,"&lt;"&amp;900,m_end,"&gt;"&amp;840)&gt;1,"충돌",HYPERLINK("#'관리자_MASTER'!D"&amp;_xlfn.MAXIFS(m_row,m_teacher,AV$4,m_date,($G$2+22),m_active,1,m_start,"&lt;"&amp;900,m_end,"&gt;"&amp;840),INDEX(m_label,_xlfn.MAXIFS(m_row,m_teacher,AV$4,m_date,($G$2+22),m_active,1,m_start,"&lt;"&amp;900,m_end,"&gt;"&amp;840))))))</f>
        <v/>
      </c>
      <c r="AW21" s="88" t="str">
        <f aca="false">IF(OR(AW$4="",MONTH(($G$2+22))&lt;&gt;MONTH($C$2)),"",IF(COUNTIFS(m_teacher,AW$4,m_date,($G$2+22),m_active,1,m_start,"&lt;"&amp;900,m_end,"&gt;"&amp;840)=0,"",IF(COUNTIFS(m_teacher,AW$4,m_date,($G$2+22),m_active,1,m_start,"&lt;"&amp;900,m_end,"&gt;"&amp;840)&gt;1,"충돌",HYPERLINK("#'관리자_MASTER'!D"&amp;_xlfn.MAXIFS(m_row,m_teacher,AW$4,m_date,($G$2+22),m_active,1,m_start,"&lt;"&amp;900,m_end,"&gt;"&amp;840),INDEX(m_label,_xlfn.MAXIFS(m_row,m_teacher,AW$4,m_date,($G$2+22),m_active,1,m_start,"&lt;"&amp;900,m_end,"&gt;"&amp;840))))))</f>
        <v/>
      </c>
      <c r="AX21" s="88" t="str">
        <f aca="false">IF(OR(AX$4="",MONTH(($G$2+22))&lt;&gt;MONTH($C$2)),"",IF(COUNTIFS(m_teacher,AX$4,m_date,($G$2+22),m_active,1,m_start,"&lt;"&amp;900,m_end,"&gt;"&amp;840)=0,"",IF(COUNTIFS(m_teacher,AX$4,m_date,($G$2+22),m_active,1,m_start,"&lt;"&amp;900,m_end,"&gt;"&amp;840)&gt;1,"충돌",HYPERLINK("#'관리자_MASTER'!D"&amp;_xlfn.MAXIFS(m_row,m_teacher,AX$4,m_date,($G$2+22),m_active,1,m_start,"&lt;"&amp;900,m_end,"&gt;"&amp;840),INDEX(m_label,_xlfn.MAXIFS(m_row,m_teacher,AX$4,m_date,($G$2+22),m_active,1,m_start,"&lt;"&amp;900,m_end,"&gt;"&amp;840))))))</f>
        <v/>
      </c>
      <c r="AY21" s="88" t="str">
        <f aca="false">IF(OR(AY$4="",MONTH(($G$2+22))&lt;&gt;MONTH($C$2)),"",IF(COUNTIFS(m_teacher,AY$4,m_date,($G$2+22),m_active,1,m_start,"&lt;"&amp;900,m_end,"&gt;"&amp;840)=0,"",IF(COUNTIFS(m_teacher,AY$4,m_date,($G$2+22),m_active,1,m_start,"&lt;"&amp;900,m_end,"&gt;"&amp;840)&gt;1,"충돌",HYPERLINK("#'관리자_MASTER'!D"&amp;_xlfn.MAXIFS(m_row,m_teacher,AY$4,m_date,($G$2+22),m_active,1,m_start,"&lt;"&amp;900,m_end,"&gt;"&amp;840),INDEX(m_label,_xlfn.MAXIFS(m_row,m_teacher,AY$4,m_date,($G$2+22),m_active,1,m_start,"&lt;"&amp;900,m_end,"&gt;"&amp;840))))))</f>
        <v/>
      </c>
      <c r="AZ21" s="88" t="str">
        <f aca="false">IF(OR(AZ$4="",MONTH(($G$2+22))&lt;&gt;MONTH($C$2)),"",IF(COUNTIFS(m_teacher,AZ$4,m_date,($G$2+22),m_active,1,m_start,"&lt;"&amp;900,m_end,"&gt;"&amp;840)=0,"",IF(COUNTIFS(m_teacher,AZ$4,m_date,($G$2+22),m_active,1,m_start,"&lt;"&amp;900,m_end,"&gt;"&amp;840)&gt;1,"충돌",HYPERLINK("#'관리자_MASTER'!D"&amp;_xlfn.MAXIFS(m_row,m_teacher,AZ$4,m_date,($G$2+22),m_active,1,m_start,"&lt;"&amp;900,m_end,"&gt;"&amp;840),INDEX(m_label,_xlfn.MAXIFS(m_row,m_teacher,AZ$4,m_date,($G$2+22),m_active,1,m_start,"&lt;"&amp;900,m_end,"&gt;"&amp;840))))))</f>
        <v/>
      </c>
      <c r="BA21" s="88" t="str">
        <f aca="false">IF(OR(BA$4="",MONTH(($G$2+22))&lt;&gt;MONTH($C$2)),"",IF(COUNTIFS(m_teacher,BA$4,m_date,($G$2+22),m_active,1,m_start,"&lt;"&amp;900,m_end,"&gt;"&amp;840)=0,"",IF(COUNTIFS(m_teacher,BA$4,m_date,($G$2+22),m_active,1,m_start,"&lt;"&amp;900,m_end,"&gt;"&amp;840)&gt;1,"충돌",HYPERLINK("#'관리자_MASTER'!D"&amp;_xlfn.MAXIFS(m_row,m_teacher,BA$4,m_date,($G$2+22),m_active,1,m_start,"&lt;"&amp;900,m_end,"&gt;"&amp;840),INDEX(m_label,_xlfn.MAXIFS(m_row,m_teacher,BA$4,m_date,($G$2+22),m_active,1,m_start,"&lt;"&amp;900,m_end,"&gt;"&amp;840))))))</f>
        <v/>
      </c>
      <c r="BB21" s="88" t="str">
        <f aca="false">IF(OR(BB$4="",MONTH(($G$2+22))&lt;&gt;MONTH($C$2)),"",IF(COUNTIFS(m_teacher,BB$4,m_date,($G$2+22),m_active,1,m_start,"&lt;"&amp;900,m_end,"&gt;"&amp;840)=0,"",IF(COUNTIFS(m_teacher,BB$4,m_date,($G$2+22),m_active,1,m_start,"&lt;"&amp;900,m_end,"&gt;"&amp;840)&gt;1,"충돌",HYPERLINK("#'관리자_MASTER'!D"&amp;_xlfn.MAXIFS(m_row,m_teacher,BB$4,m_date,($G$2+22),m_active,1,m_start,"&lt;"&amp;900,m_end,"&gt;"&amp;840),INDEX(m_label,_xlfn.MAXIFS(m_row,m_teacher,BB$4,m_date,($G$2+22),m_active,1,m_start,"&lt;"&amp;900,m_end,"&gt;"&amp;840))))))</f>
        <v/>
      </c>
      <c r="BC21" s="88" t="str">
        <f aca="false">IF(OR(BC$4="",MONTH(($G$2+22))&lt;&gt;MONTH($C$2)),"",IF(COUNTIFS(m_teacher,BC$4,m_date,($G$2+22),m_active,1,m_start,"&lt;"&amp;900,m_end,"&gt;"&amp;840)=0,"",IF(COUNTIFS(m_teacher,BC$4,m_date,($G$2+22),m_active,1,m_start,"&lt;"&amp;900,m_end,"&gt;"&amp;840)&gt;1,"충돌",HYPERLINK("#'관리자_MASTER'!D"&amp;_xlfn.MAXIFS(m_row,m_teacher,BC$4,m_date,($G$2+22),m_active,1,m_start,"&lt;"&amp;900,m_end,"&gt;"&amp;840),INDEX(m_label,_xlfn.MAXIFS(m_row,m_teacher,BC$4,m_date,($G$2+22),m_active,1,m_start,"&lt;"&amp;900,m_end,"&gt;"&amp;840))))))</f>
        <v/>
      </c>
      <c r="BD21" s="88" t="str">
        <f aca="false">IF(OR(BD$4="",MONTH(($G$2+22))&lt;&gt;MONTH($C$2)),"",IF(COUNTIFS(m_teacher,BD$4,m_date,($G$2+22),m_active,1,m_start,"&lt;"&amp;900,m_end,"&gt;"&amp;840)=0,"",IF(COUNTIFS(m_teacher,BD$4,m_date,($G$2+22),m_active,1,m_start,"&lt;"&amp;900,m_end,"&gt;"&amp;840)&gt;1,"충돌",HYPERLINK("#'관리자_MASTER'!D"&amp;_xlfn.MAXIFS(m_row,m_teacher,BD$4,m_date,($G$2+22),m_active,1,m_start,"&lt;"&amp;900,m_end,"&gt;"&amp;840),INDEX(m_label,_xlfn.MAXIFS(m_row,m_teacher,BD$4,m_date,($G$2+22),m_active,1,m_start,"&lt;"&amp;900,m_end,"&gt;"&amp;840))))))</f>
        <v/>
      </c>
      <c r="BE21" s="78"/>
      <c r="BF21" s="79" t="s">
        <v>96</v>
      </c>
      <c r="BG21" s="88" t="str">
        <f aca="false">IF(OR(BG$4="",MONTH(($G$2+29))&lt;&gt;MONTH($C$2)),"",IF(COUNTIFS(m_teacher,BG$4,m_date,($G$2+29),m_active,1,m_start,"&lt;"&amp;900,m_end,"&gt;"&amp;840)=0,"",IF(COUNTIFS(m_teacher,BG$4,m_date,($G$2+29),m_active,1,m_start,"&lt;"&amp;900,m_end,"&gt;"&amp;840)&gt;1,"충돌",HYPERLINK("#'관리자_MASTER'!D"&amp;_xlfn.MAXIFS(m_row,m_teacher,BG$4,m_date,($G$2+29),m_active,1,m_start,"&lt;"&amp;900,m_end,"&gt;"&amp;840),INDEX(m_label,_xlfn.MAXIFS(m_row,m_teacher,BG$4,m_date,($G$2+29),m_active,1,m_start,"&lt;"&amp;900,m_end,"&gt;"&amp;840))))))</f>
        <v/>
      </c>
      <c r="BH21" s="88" t="str">
        <f aca="false">IF(OR(BH$4="",MONTH(($G$2+29))&lt;&gt;MONTH($C$2)),"",IF(COUNTIFS(m_teacher,BH$4,m_date,($G$2+29),m_active,1,m_start,"&lt;"&amp;900,m_end,"&gt;"&amp;840)=0,"",IF(COUNTIFS(m_teacher,BH$4,m_date,($G$2+29),m_active,1,m_start,"&lt;"&amp;900,m_end,"&gt;"&amp;840)&gt;1,"충돌",HYPERLINK("#'관리자_MASTER'!D"&amp;_xlfn.MAXIFS(m_row,m_teacher,BH$4,m_date,($G$2+29),m_active,1,m_start,"&lt;"&amp;900,m_end,"&gt;"&amp;840),INDEX(m_label,_xlfn.MAXIFS(m_row,m_teacher,BH$4,m_date,($G$2+29),m_active,1,m_start,"&lt;"&amp;900,m_end,"&gt;"&amp;840))))))</f>
        <v/>
      </c>
      <c r="BI21" s="88" t="str">
        <f aca="false">IF(OR(BI$4="",MONTH(($G$2+29))&lt;&gt;MONTH($C$2)),"",IF(COUNTIFS(m_teacher,BI$4,m_date,($G$2+29),m_active,1,m_start,"&lt;"&amp;900,m_end,"&gt;"&amp;840)=0,"",IF(COUNTIFS(m_teacher,BI$4,m_date,($G$2+29),m_active,1,m_start,"&lt;"&amp;900,m_end,"&gt;"&amp;840)&gt;1,"충돌",HYPERLINK("#'관리자_MASTER'!D"&amp;_xlfn.MAXIFS(m_row,m_teacher,BI$4,m_date,($G$2+29),m_active,1,m_start,"&lt;"&amp;900,m_end,"&gt;"&amp;840),INDEX(m_label,_xlfn.MAXIFS(m_row,m_teacher,BI$4,m_date,($G$2+29),m_active,1,m_start,"&lt;"&amp;900,m_end,"&gt;"&amp;840))))))</f>
        <v/>
      </c>
      <c r="BJ21" s="88" t="str">
        <f aca="false">IF(OR(BJ$4="",MONTH(($G$2+29))&lt;&gt;MONTH($C$2)),"",IF(COUNTIFS(m_teacher,BJ$4,m_date,($G$2+29),m_active,1,m_start,"&lt;"&amp;900,m_end,"&gt;"&amp;840)=0,"",IF(COUNTIFS(m_teacher,BJ$4,m_date,($G$2+29),m_active,1,m_start,"&lt;"&amp;900,m_end,"&gt;"&amp;840)&gt;1,"충돌",HYPERLINK("#'관리자_MASTER'!D"&amp;_xlfn.MAXIFS(m_row,m_teacher,BJ$4,m_date,($G$2+29),m_active,1,m_start,"&lt;"&amp;900,m_end,"&gt;"&amp;840),INDEX(m_label,_xlfn.MAXIFS(m_row,m_teacher,BJ$4,m_date,($G$2+29),m_active,1,m_start,"&lt;"&amp;900,m_end,"&gt;"&amp;840))))))</f>
        <v/>
      </c>
      <c r="BK21" s="88" t="str">
        <f aca="false">IF(OR(BK$4="",MONTH(($G$2+29))&lt;&gt;MONTH($C$2)),"",IF(COUNTIFS(m_teacher,BK$4,m_date,($G$2+29),m_active,1,m_start,"&lt;"&amp;900,m_end,"&gt;"&amp;840)=0,"",IF(COUNTIFS(m_teacher,BK$4,m_date,($G$2+29),m_active,1,m_start,"&lt;"&amp;900,m_end,"&gt;"&amp;840)&gt;1,"충돌",HYPERLINK("#'관리자_MASTER'!D"&amp;_xlfn.MAXIFS(m_row,m_teacher,BK$4,m_date,($G$2+29),m_active,1,m_start,"&lt;"&amp;900,m_end,"&gt;"&amp;840),INDEX(m_label,_xlfn.MAXIFS(m_row,m_teacher,BK$4,m_date,($G$2+29),m_active,1,m_start,"&lt;"&amp;900,m_end,"&gt;"&amp;840))))))</f>
        <v/>
      </c>
      <c r="BL21" s="88" t="str">
        <f aca="false">IF(OR(BL$4="",MONTH(($G$2+29))&lt;&gt;MONTH($C$2)),"",IF(COUNTIFS(m_teacher,BL$4,m_date,($G$2+29),m_active,1,m_start,"&lt;"&amp;900,m_end,"&gt;"&amp;840)=0,"",IF(COUNTIFS(m_teacher,BL$4,m_date,($G$2+29),m_active,1,m_start,"&lt;"&amp;900,m_end,"&gt;"&amp;840)&gt;1,"충돌",HYPERLINK("#'관리자_MASTER'!D"&amp;_xlfn.MAXIFS(m_row,m_teacher,BL$4,m_date,($G$2+29),m_active,1,m_start,"&lt;"&amp;900,m_end,"&gt;"&amp;840),INDEX(m_label,_xlfn.MAXIFS(m_row,m_teacher,BL$4,m_date,($G$2+29),m_active,1,m_start,"&lt;"&amp;900,m_end,"&gt;"&amp;840))))))</f>
        <v/>
      </c>
      <c r="BM21" s="88" t="str">
        <f aca="false">IF(OR(BM$4="",MONTH(($G$2+29))&lt;&gt;MONTH($C$2)),"",IF(COUNTIFS(m_teacher,BM$4,m_date,($G$2+29),m_active,1,m_start,"&lt;"&amp;900,m_end,"&gt;"&amp;840)=0,"",IF(COUNTIFS(m_teacher,BM$4,m_date,($G$2+29),m_active,1,m_start,"&lt;"&amp;900,m_end,"&gt;"&amp;840)&gt;1,"충돌",HYPERLINK("#'관리자_MASTER'!D"&amp;_xlfn.MAXIFS(m_row,m_teacher,BM$4,m_date,($G$2+29),m_active,1,m_start,"&lt;"&amp;900,m_end,"&gt;"&amp;840),INDEX(m_label,_xlfn.MAXIFS(m_row,m_teacher,BM$4,m_date,($G$2+29),m_active,1,m_start,"&lt;"&amp;900,m_end,"&gt;"&amp;840))))))</f>
        <v/>
      </c>
      <c r="BN21" s="88" t="str">
        <f aca="false">IF(OR(BN$4="",MONTH(($G$2+29))&lt;&gt;MONTH($C$2)),"",IF(COUNTIFS(m_teacher,BN$4,m_date,($G$2+29),m_active,1,m_start,"&lt;"&amp;900,m_end,"&gt;"&amp;840)=0,"",IF(COUNTIFS(m_teacher,BN$4,m_date,($G$2+29),m_active,1,m_start,"&lt;"&amp;900,m_end,"&gt;"&amp;840)&gt;1,"충돌",HYPERLINK("#'관리자_MASTER'!D"&amp;_xlfn.MAXIFS(m_row,m_teacher,BN$4,m_date,($G$2+29),m_active,1,m_start,"&lt;"&amp;900,m_end,"&gt;"&amp;840),INDEX(m_label,_xlfn.MAXIFS(m_row,m_teacher,BN$4,m_date,($G$2+29),m_active,1,m_start,"&lt;"&amp;900,m_end,"&gt;"&amp;840))))))</f>
        <v/>
      </c>
      <c r="BO21" s="88" t="str">
        <f aca="false">IF(OR(BO$4="",MONTH(($G$2+29))&lt;&gt;MONTH($C$2)),"",IF(COUNTIFS(m_teacher,BO$4,m_date,($G$2+29),m_active,1,m_start,"&lt;"&amp;900,m_end,"&gt;"&amp;840)=0,"",IF(COUNTIFS(m_teacher,BO$4,m_date,($G$2+29),m_active,1,m_start,"&lt;"&amp;900,m_end,"&gt;"&amp;840)&gt;1,"충돌",HYPERLINK("#'관리자_MASTER'!D"&amp;_xlfn.MAXIFS(m_row,m_teacher,BO$4,m_date,($G$2+29),m_active,1,m_start,"&lt;"&amp;900,m_end,"&gt;"&amp;840),INDEX(m_label,_xlfn.MAXIFS(m_row,m_teacher,BO$4,m_date,($G$2+29),m_active,1,m_start,"&lt;"&amp;900,m_end,"&gt;"&amp;840))))))</f>
        <v/>
      </c>
      <c r="BP21" s="88" t="str">
        <f aca="false">IF(OR(BP$4="",MONTH(($G$2+29))&lt;&gt;MONTH($C$2)),"",IF(COUNTIFS(m_teacher,BP$4,m_date,($G$2+29),m_active,1,m_start,"&lt;"&amp;900,m_end,"&gt;"&amp;840)=0,"",IF(COUNTIFS(m_teacher,BP$4,m_date,($G$2+29),m_active,1,m_start,"&lt;"&amp;900,m_end,"&gt;"&amp;840)&gt;1,"충돌",HYPERLINK("#'관리자_MASTER'!D"&amp;_xlfn.MAXIFS(m_row,m_teacher,BP$4,m_date,($G$2+29),m_active,1,m_start,"&lt;"&amp;900,m_end,"&gt;"&amp;840),INDEX(m_label,_xlfn.MAXIFS(m_row,m_teacher,BP$4,m_date,($G$2+29),m_active,1,m_start,"&lt;"&amp;900,m_end,"&gt;"&amp;840))))))</f>
        <v/>
      </c>
      <c r="BQ21" s="88" t="str">
        <f aca="false">IF(OR(BQ$4="",MONTH(($G$2+29))&lt;&gt;MONTH($C$2)),"",IF(COUNTIFS(m_teacher,BQ$4,m_date,($G$2+29),m_active,1,m_start,"&lt;"&amp;900,m_end,"&gt;"&amp;840)=0,"",IF(COUNTIFS(m_teacher,BQ$4,m_date,($G$2+29),m_active,1,m_start,"&lt;"&amp;900,m_end,"&gt;"&amp;840)&gt;1,"충돌",HYPERLINK("#'관리자_MASTER'!D"&amp;_xlfn.MAXIFS(m_row,m_teacher,BQ$4,m_date,($G$2+29),m_active,1,m_start,"&lt;"&amp;900,m_end,"&gt;"&amp;840),INDEX(m_label,_xlfn.MAXIFS(m_row,m_teacher,BQ$4,m_date,($G$2+29),m_active,1,m_start,"&lt;"&amp;900,m_end,"&gt;"&amp;840))))))</f>
        <v/>
      </c>
      <c r="BR21" s="88" t="str">
        <f aca="false">IF(OR(BR$4="",MONTH(($G$2+29))&lt;&gt;MONTH($C$2)),"",IF(COUNTIFS(m_teacher,BR$4,m_date,($G$2+29),m_active,1,m_start,"&lt;"&amp;900,m_end,"&gt;"&amp;840)=0,"",IF(COUNTIFS(m_teacher,BR$4,m_date,($G$2+29),m_active,1,m_start,"&lt;"&amp;900,m_end,"&gt;"&amp;840)&gt;1,"충돌",HYPERLINK("#'관리자_MASTER'!D"&amp;_xlfn.MAXIFS(m_row,m_teacher,BR$4,m_date,($G$2+29),m_active,1,m_start,"&lt;"&amp;900,m_end,"&gt;"&amp;840),INDEX(m_label,_xlfn.MAXIFS(m_row,m_teacher,BR$4,m_date,($G$2+29),m_active,1,m_start,"&lt;"&amp;900,m_end,"&gt;"&amp;840))))))</f>
        <v/>
      </c>
    </row>
    <row r="22" customFormat="false" ht="19.5" hidden="false" customHeight="true" outlineLevel="0" collapsed="false">
      <c r="A22" s="78"/>
      <c r="B22" s="79" t="s">
        <v>97</v>
      </c>
      <c r="C22" s="88" t="str">
        <f aca="false">IF(OR(C$4="",MONTH(($G$2+1))&lt;&gt;MONTH($C$2)),"",IF(COUNTIFS(m_teacher,C$4,m_date,($G$2+1),m_active,1,m_start,"&lt;"&amp;960,m_end,"&gt;"&amp;900)=0,"",IF(COUNTIFS(m_teacher,C$4,m_date,($G$2+1),m_active,1,m_start,"&lt;"&amp;960,m_end,"&gt;"&amp;900)&gt;1,"충돌",HYPERLINK("#'관리자_MASTER'!D"&amp;_xlfn.MAXIFS(m_row,m_teacher,C$4,m_date,($G$2+1),m_active,1,m_start,"&lt;"&amp;960,m_end,"&gt;"&amp;900),INDEX(m_label,_xlfn.MAXIFS(m_row,m_teacher,C$4,m_date,($G$2+1),m_active,1,m_start,"&lt;"&amp;960,m_end,"&gt;"&amp;900))))))</f>
        <v/>
      </c>
      <c r="D22" s="88" t="str">
        <f aca="false">IF(OR(D$4="",MONTH(($G$2+1))&lt;&gt;MONTH($C$2)),"",IF(COUNTIFS(m_teacher,D$4,m_date,($G$2+1),m_active,1,m_start,"&lt;"&amp;960,m_end,"&gt;"&amp;900)=0,"",IF(COUNTIFS(m_teacher,D$4,m_date,($G$2+1),m_active,1,m_start,"&lt;"&amp;960,m_end,"&gt;"&amp;900)&gt;1,"충돌",HYPERLINK("#'관리자_MASTER'!D"&amp;_xlfn.MAXIFS(m_row,m_teacher,D$4,m_date,($G$2+1),m_active,1,m_start,"&lt;"&amp;960,m_end,"&gt;"&amp;900),INDEX(m_label,_xlfn.MAXIFS(m_row,m_teacher,D$4,m_date,($G$2+1),m_active,1,m_start,"&lt;"&amp;960,m_end,"&gt;"&amp;900))))))</f>
        <v/>
      </c>
      <c r="E22" s="88" t="str">
        <f aca="false">IF(OR(E$4="",MONTH(($G$2+1))&lt;&gt;MONTH($C$2)),"",IF(COUNTIFS(m_teacher,E$4,m_date,($G$2+1),m_active,1,m_start,"&lt;"&amp;960,m_end,"&gt;"&amp;900)=0,"",IF(COUNTIFS(m_teacher,E$4,m_date,($G$2+1),m_active,1,m_start,"&lt;"&amp;960,m_end,"&gt;"&amp;900)&gt;1,"충돌",HYPERLINK("#'관리자_MASTER'!D"&amp;_xlfn.MAXIFS(m_row,m_teacher,E$4,m_date,($G$2+1),m_active,1,m_start,"&lt;"&amp;960,m_end,"&gt;"&amp;900),INDEX(m_label,_xlfn.MAXIFS(m_row,m_teacher,E$4,m_date,($G$2+1),m_active,1,m_start,"&lt;"&amp;960,m_end,"&gt;"&amp;900))))))</f>
        <v/>
      </c>
      <c r="F22" s="88" t="str">
        <f aca="false">IF(OR(F$4="",MONTH(($G$2+1))&lt;&gt;MONTH($C$2)),"",IF(COUNTIFS(m_teacher,F$4,m_date,($G$2+1),m_active,1,m_start,"&lt;"&amp;960,m_end,"&gt;"&amp;900)=0,"",IF(COUNTIFS(m_teacher,F$4,m_date,($G$2+1),m_active,1,m_start,"&lt;"&amp;960,m_end,"&gt;"&amp;900)&gt;1,"충돌",HYPERLINK("#'관리자_MASTER'!D"&amp;_xlfn.MAXIFS(m_row,m_teacher,F$4,m_date,($G$2+1),m_active,1,m_start,"&lt;"&amp;960,m_end,"&gt;"&amp;900),INDEX(m_label,_xlfn.MAXIFS(m_row,m_teacher,F$4,m_date,($G$2+1),m_active,1,m_start,"&lt;"&amp;960,m_end,"&gt;"&amp;900))))))</f>
        <v/>
      </c>
      <c r="G22" s="88" t="str">
        <f aca="false">IF(OR(G$4="",MONTH(($G$2+1))&lt;&gt;MONTH($C$2)),"",IF(COUNTIFS(m_teacher,G$4,m_date,($G$2+1),m_active,1,m_start,"&lt;"&amp;960,m_end,"&gt;"&amp;900)=0,"",IF(COUNTIFS(m_teacher,G$4,m_date,($G$2+1),m_active,1,m_start,"&lt;"&amp;960,m_end,"&gt;"&amp;900)&gt;1,"충돌",HYPERLINK("#'관리자_MASTER'!D"&amp;_xlfn.MAXIFS(m_row,m_teacher,G$4,m_date,($G$2+1),m_active,1,m_start,"&lt;"&amp;960,m_end,"&gt;"&amp;900),INDEX(m_label,_xlfn.MAXIFS(m_row,m_teacher,G$4,m_date,($G$2+1),m_active,1,m_start,"&lt;"&amp;960,m_end,"&gt;"&amp;900))))))</f>
        <v/>
      </c>
      <c r="H22" s="88" t="str">
        <f aca="false">IF(OR(H$4="",MONTH(($G$2+1))&lt;&gt;MONTH($C$2)),"",IF(COUNTIFS(m_teacher,H$4,m_date,($G$2+1),m_active,1,m_start,"&lt;"&amp;960,m_end,"&gt;"&amp;900)=0,"",IF(COUNTIFS(m_teacher,H$4,m_date,($G$2+1),m_active,1,m_start,"&lt;"&amp;960,m_end,"&gt;"&amp;900)&gt;1,"충돌",HYPERLINK("#'관리자_MASTER'!D"&amp;_xlfn.MAXIFS(m_row,m_teacher,H$4,m_date,($G$2+1),m_active,1,m_start,"&lt;"&amp;960,m_end,"&gt;"&amp;900),INDEX(m_label,_xlfn.MAXIFS(m_row,m_teacher,H$4,m_date,($G$2+1),m_active,1,m_start,"&lt;"&amp;960,m_end,"&gt;"&amp;900))))))</f>
        <v/>
      </c>
      <c r="I22" s="88" t="str">
        <f aca="false">IF(OR(I$4="",MONTH(($G$2+1))&lt;&gt;MONTH($C$2)),"",IF(COUNTIFS(m_teacher,I$4,m_date,($G$2+1),m_active,1,m_start,"&lt;"&amp;960,m_end,"&gt;"&amp;900)=0,"",IF(COUNTIFS(m_teacher,I$4,m_date,($G$2+1),m_active,1,m_start,"&lt;"&amp;960,m_end,"&gt;"&amp;900)&gt;1,"충돌",HYPERLINK("#'관리자_MASTER'!D"&amp;_xlfn.MAXIFS(m_row,m_teacher,I$4,m_date,($G$2+1),m_active,1,m_start,"&lt;"&amp;960,m_end,"&gt;"&amp;900),INDEX(m_label,_xlfn.MAXIFS(m_row,m_teacher,I$4,m_date,($G$2+1),m_active,1,m_start,"&lt;"&amp;960,m_end,"&gt;"&amp;900))))))</f>
        <v/>
      </c>
      <c r="J22" s="88" t="str">
        <f aca="false">IF(OR(J$4="",MONTH(($G$2+1))&lt;&gt;MONTH($C$2)),"",IF(COUNTIFS(m_teacher,J$4,m_date,($G$2+1),m_active,1,m_start,"&lt;"&amp;960,m_end,"&gt;"&amp;900)=0,"",IF(COUNTIFS(m_teacher,J$4,m_date,($G$2+1),m_active,1,m_start,"&lt;"&amp;960,m_end,"&gt;"&amp;900)&gt;1,"충돌",HYPERLINK("#'관리자_MASTER'!D"&amp;_xlfn.MAXIFS(m_row,m_teacher,J$4,m_date,($G$2+1),m_active,1,m_start,"&lt;"&amp;960,m_end,"&gt;"&amp;900),INDEX(m_label,_xlfn.MAXIFS(m_row,m_teacher,J$4,m_date,($G$2+1),m_active,1,m_start,"&lt;"&amp;960,m_end,"&gt;"&amp;900))))))</f>
        <v/>
      </c>
      <c r="K22" s="88" t="str">
        <f aca="false">IF(OR(K$4="",MONTH(($G$2+1))&lt;&gt;MONTH($C$2)),"",IF(COUNTIFS(m_teacher,K$4,m_date,($G$2+1),m_active,1,m_start,"&lt;"&amp;960,m_end,"&gt;"&amp;900)=0,"",IF(COUNTIFS(m_teacher,K$4,m_date,($G$2+1),m_active,1,m_start,"&lt;"&amp;960,m_end,"&gt;"&amp;900)&gt;1,"충돌",HYPERLINK("#'관리자_MASTER'!D"&amp;_xlfn.MAXIFS(m_row,m_teacher,K$4,m_date,($G$2+1),m_active,1,m_start,"&lt;"&amp;960,m_end,"&gt;"&amp;900),INDEX(m_label,_xlfn.MAXIFS(m_row,m_teacher,K$4,m_date,($G$2+1),m_active,1,m_start,"&lt;"&amp;960,m_end,"&gt;"&amp;900))))))</f>
        <v/>
      </c>
      <c r="L22" s="88" t="str">
        <f aca="false">IF(OR(L$4="",MONTH(($G$2+1))&lt;&gt;MONTH($C$2)),"",IF(COUNTIFS(m_teacher,L$4,m_date,($G$2+1),m_active,1,m_start,"&lt;"&amp;960,m_end,"&gt;"&amp;900)=0,"",IF(COUNTIFS(m_teacher,L$4,m_date,($G$2+1),m_active,1,m_start,"&lt;"&amp;960,m_end,"&gt;"&amp;900)&gt;1,"충돌",HYPERLINK("#'관리자_MASTER'!D"&amp;_xlfn.MAXIFS(m_row,m_teacher,L$4,m_date,($G$2+1),m_active,1,m_start,"&lt;"&amp;960,m_end,"&gt;"&amp;900),INDEX(m_label,_xlfn.MAXIFS(m_row,m_teacher,L$4,m_date,($G$2+1),m_active,1,m_start,"&lt;"&amp;960,m_end,"&gt;"&amp;900))))))</f>
        <v/>
      </c>
      <c r="M22" s="88" t="str">
        <f aca="false">IF(OR(M$4="",MONTH(($G$2+1))&lt;&gt;MONTH($C$2)),"",IF(COUNTIFS(m_teacher,M$4,m_date,($G$2+1),m_active,1,m_start,"&lt;"&amp;960,m_end,"&gt;"&amp;900)=0,"",IF(COUNTIFS(m_teacher,M$4,m_date,($G$2+1),m_active,1,m_start,"&lt;"&amp;960,m_end,"&gt;"&amp;900)&gt;1,"충돌",HYPERLINK("#'관리자_MASTER'!D"&amp;_xlfn.MAXIFS(m_row,m_teacher,M$4,m_date,($G$2+1),m_active,1,m_start,"&lt;"&amp;960,m_end,"&gt;"&amp;900),INDEX(m_label,_xlfn.MAXIFS(m_row,m_teacher,M$4,m_date,($G$2+1),m_active,1,m_start,"&lt;"&amp;960,m_end,"&gt;"&amp;900))))))</f>
        <v/>
      </c>
      <c r="N22" s="88" t="str">
        <f aca="false">IF(OR(N$4="",MONTH(($G$2+1))&lt;&gt;MONTH($C$2)),"",IF(COUNTIFS(m_teacher,N$4,m_date,($G$2+1),m_active,1,m_start,"&lt;"&amp;960,m_end,"&gt;"&amp;900)=0,"",IF(COUNTIFS(m_teacher,N$4,m_date,($G$2+1),m_active,1,m_start,"&lt;"&amp;960,m_end,"&gt;"&amp;900)&gt;1,"충돌",HYPERLINK("#'관리자_MASTER'!D"&amp;_xlfn.MAXIFS(m_row,m_teacher,N$4,m_date,($G$2+1),m_active,1,m_start,"&lt;"&amp;960,m_end,"&gt;"&amp;900),INDEX(m_label,_xlfn.MAXIFS(m_row,m_teacher,N$4,m_date,($G$2+1),m_active,1,m_start,"&lt;"&amp;960,m_end,"&gt;"&amp;900))))))</f>
        <v/>
      </c>
      <c r="O22" s="78"/>
      <c r="P22" s="79" t="s">
        <v>97</v>
      </c>
      <c r="Q22" s="88" t="str">
        <f aca="false">IF(OR(Q$4="",MONTH(($G$2+8))&lt;&gt;MONTH($C$2)),"",IF(COUNTIFS(m_teacher,Q$4,m_date,($G$2+8),m_active,1,m_start,"&lt;"&amp;960,m_end,"&gt;"&amp;900)=0,"",IF(COUNTIFS(m_teacher,Q$4,m_date,($G$2+8),m_active,1,m_start,"&lt;"&amp;960,m_end,"&gt;"&amp;900)&gt;1,"충돌",HYPERLINK("#'관리자_MASTER'!D"&amp;_xlfn.MAXIFS(m_row,m_teacher,Q$4,m_date,($G$2+8),m_active,1,m_start,"&lt;"&amp;960,m_end,"&gt;"&amp;900),INDEX(m_label,_xlfn.MAXIFS(m_row,m_teacher,Q$4,m_date,($G$2+8),m_active,1,m_start,"&lt;"&amp;960,m_end,"&gt;"&amp;900))))))</f>
        <v/>
      </c>
      <c r="R22" s="88" t="str">
        <f aca="false">IF(OR(R$4="",MONTH(($G$2+8))&lt;&gt;MONTH($C$2)),"",IF(COUNTIFS(m_teacher,R$4,m_date,($G$2+8),m_active,1,m_start,"&lt;"&amp;960,m_end,"&gt;"&amp;900)=0,"",IF(COUNTIFS(m_teacher,R$4,m_date,($G$2+8),m_active,1,m_start,"&lt;"&amp;960,m_end,"&gt;"&amp;900)&gt;1,"충돌",HYPERLINK("#'관리자_MASTER'!D"&amp;_xlfn.MAXIFS(m_row,m_teacher,R$4,m_date,($G$2+8),m_active,1,m_start,"&lt;"&amp;960,m_end,"&gt;"&amp;900),INDEX(m_label,_xlfn.MAXIFS(m_row,m_teacher,R$4,m_date,($G$2+8),m_active,1,m_start,"&lt;"&amp;960,m_end,"&gt;"&amp;900))))))</f>
        <v/>
      </c>
      <c r="S22" s="88" t="str">
        <f aca="false">IF(OR(S$4="",MONTH(($G$2+8))&lt;&gt;MONTH($C$2)),"",IF(COUNTIFS(m_teacher,S$4,m_date,($G$2+8),m_active,1,m_start,"&lt;"&amp;960,m_end,"&gt;"&amp;900)=0,"",IF(COUNTIFS(m_teacher,S$4,m_date,($G$2+8),m_active,1,m_start,"&lt;"&amp;960,m_end,"&gt;"&amp;900)&gt;1,"충돌",HYPERLINK("#'관리자_MASTER'!D"&amp;_xlfn.MAXIFS(m_row,m_teacher,S$4,m_date,($G$2+8),m_active,1,m_start,"&lt;"&amp;960,m_end,"&gt;"&amp;900),INDEX(m_label,_xlfn.MAXIFS(m_row,m_teacher,S$4,m_date,($G$2+8),m_active,1,m_start,"&lt;"&amp;960,m_end,"&gt;"&amp;900))))))</f>
        <v/>
      </c>
      <c r="T22" s="88" t="str">
        <f aca="false">IF(OR(T$4="",MONTH(($G$2+8))&lt;&gt;MONTH($C$2)),"",IF(COUNTIFS(m_teacher,T$4,m_date,($G$2+8),m_active,1,m_start,"&lt;"&amp;960,m_end,"&gt;"&amp;900)=0,"",IF(COUNTIFS(m_teacher,T$4,m_date,($G$2+8),m_active,1,m_start,"&lt;"&amp;960,m_end,"&gt;"&amp;900)&gt;1,"충돌",HYPERLINK("#'관리자_MASTER'!D"&amp;_xlfn.MAXIFS(m_row,m_teacher,T$4,m_date,($G$2+8),m_active,1,m_start,"&lt;"&amp;960,m_end,"&gt;"&amp;900),INDEX(m_label,_xlfn.MAXIFS(m_row,m_teacher,T$4,m_date,($G$2+8),m_active,1,m_start,"&lt;"&amp;960,m_end,"&gt;"&amp;900))))))</f>
        <v/>
      </c>
      <c r="U22" s="88" t="str">
        <f aca="false">IF(OR(U$4="",MONTH(($G$2+8))&lt;&gt;MONTH($C$2)),"",IF(COUNTIFS(m_teacher,U$4,m_date,($G$2+8),m_active,1,m_start,"&lt;"&amp;960,m_end,"&gt;"&amp;900)=0,"",IF(COUNTIFS(m_teacher,U$4,m_date,($G$2+8),m_active,1,m_start,"&lt;"&amp;960,m_end,"&gt;"&amp;900)&gt;1,"충돌",HYPERLINK("#'관리자_MASTER'!D"&amp;_xlfn.MAXIFS(m_row,m_teacher,U$4,m_date,($G$2+8),m_active,1,m_start,"&lt;"&amp;960,m_end,"&gt;"&amp;900),INDEX(m_label,_xlfn.MAXIFS(m_row,m_teacher,U$4,m_date,($G$2+8),m_active,1,m_start,"&lt;"&amp;960,m_end,"&gt;"&amp;900))))))</f>
        <v/>
      </c>
      <c r="V22" s="88" t="str">
        <f aca="false">IF(OR(V$4="",MONTH(($G$2+8))&lt;&gt;MONTH($C$2)),"",IF(COUNTIFS(m_teacher,V$4,m_date,($G$2+8),m_active,1,m_start,"&lt;"&amp;960,m_end,"&gt;"&amp;900)=0,"",IF(COUNTIFS(m_teacher,V$4,m_date,($G$2+8),m_active,1,m_start,"&lt;"&amp;960,m_end,"&gt;"&amp;900)&gt;1,"충돌",HYPERLINK("#'관리자_MASTER'!D"&amp;_xlfn.MAXIFS(m_row,m_teacher,V$4,m_date,($G$2+8),m_active,1,m_start,"&lt;"&amp;960,m_end,"&gt;"&amp;900),INDEX(m_label,_xlfn.MAXIFS(m_row,m_teacher,V$4,m_date,($G$2+8),m_active,1,m_start,"&lt;"&amp;960,m_end,"&gt;"&amp;900))))))</f>
        <v/>
      </c>
      <c r="W22" s="88" t="str">
        <f aca="false">IF(OR(W$4="",MONTH(($G$2+8))&lt;&gt;MONTH($C$2)),"",IF(COUNTIFS(m_teacher,W$4,m_date,($G$2+8),m_active,1,m_start,"&lt;"&amp;960,m_end,"&gt;"&amp;900)=0,"",IF(COUNTIFS(m_teacher,W$4,m_date,($G$2+8),m_active,1,m_start,"&lt;"&amp;960,m_end,"&gt;"&amp;900)&gt;1,"충돌",HYPERLINK("#'관리자_MASTER'!D"&amp;_xlfn.MAXIFS(m_row,m_teacher,W$4,m_date,($G$2+8),m_active,1,m_start,"&lt;"&amp;960,m_end,"&gt;"&amp;900),INDEX(m_label,_xlfn.MAXIFS(m_row,m_teacher,W$4,m_date,($G$2+8),m_active,1,m_start,"&lt;"&amp;960,m_end,"&gt;"&amp;900))))))</f>
        <v/>
      </c>
      <c r="X22" s="88" t="str">
        <f aca="false">IF(OR(X$4="",MONTH(($G$2+8))&lt;&gt;MONTH($C$2)),"",IF(COUNTIFS(m_teacher,X$4,m_date,($G$2+8),m_active,1,m_start,"&lt;"&amp;960,m_end,"&gt;"&amp;900)=0,"",IF(COUNTIFS(m_teacher,X$4,m_date,($G$2+8),m_active,1,m_start,"&lt;"&amp;960,m_end,"&gt;"&amp;900)&gt;1,"충돌",HYPERLINK("#'관리자_MASTER'!D"&amp;_xlfn.MAXIFS(m_row,m_teacher,X$4,m_date,($G$2+8),m_active,1,m_start,"&lt;"&amp;960,m_end,"&gt;"&amp;900),INDEX(m_label,_xlfn.MAXIFS(m_row,m_teacher,X$4,m_date,($G$2+8),m_active,1,m_start,"&lt;"&amp;960,m_end,"&gt;"&amp;900))))))</f>
        <v/>
      </c>
      <c r="Y22" s="88" t="str">
        <f aca="false">IF(OR(Y$4="",MONTH(($G$2+8))&lt;&gt;MONTH($C$2)),"",IF(COUNTIFS(m_teacher,Y$4,m_date,($G$2+8),m_active,1,m_start,"&lt;"&amp;960,m_end,"&gt;"&amp;900)=0,"",IF(COUNTIFS(m_teacher,Y$4,m_date,($G$2+8),m_active,1,m_start,"&lt;"&amp;960,m_end,"&gt;"&amp;900)&gt;1,"충돌",HYPERLINK("#'관리자_MASTER'!D"&amp;_xlfn.MAXIFS(m_row,m_teacher,Y$4,m_date,($G$2+8),m_active,1,m_start,"&lt;"&amp;960,m_end,"&gt;"&amp;900),INDEX(m_label,_xlfn.MAXIFS(m_row,m_teacher,Y$4,m_date,($G$2+8),m_active,1,m_start,"&lt;"&amp;960,m_end,"&gt;"&amp;900))))))</f>
        <v/>
      </c>
      <c r="Z22" s="88" t="str">
        <f aca="false">IF(OR(Z$4="",MONTH(($G$2+8))&lt;&gt;MONTH($C$2)),"",IF(COUNTIFS(m_teacher,Z$4,m_date,($G$2+8),m_active,1,m_start,"&lt;"&amp;960,m_end,"&gt;"&amp;900)=0,"",IF(COUNTIFS(m_teacher,Z$4,m_date,($G$2+8),m_active,1,m_start,"&lt;"&amp;960,m_end,"&gt;"&amp;900)&gt;1,"충돌",HYPERLINK("#'관리자_MASTER'!D"&amp;_xlfn.MAXIFS(m_row,m_teacher,Z$4,m_date,($G$2+8),m_active,1,m_start,"&lt;"&amp;960,m_end,"&gt;"&amp;900),INDEX(m_label,_xlfn.MAXIFS(m_row,m_teacher,Z$4,m_date,($G$2+8),m_active,1,m_start,"&lt;"&amp;960,m_end,"&gt;"&amp;900))))))</f>
        <v/>
      </c>
      <c r="AA22" s="88" t="str">
        <f aca="false">IF(OR(AA$4="",MONTH(($G$2+8))&lt;&gt;MONTH($C$2)),"",IF(COUNTIFS(m_teacher,AA$4,m_date,($G$2+8),m_active,1,m_start,"&lt;"&amp;960,m_end,"&gt;"&amp;900)=0,"",IF(COUNTIFS(m_teacher,AA$4,m_date,($G$2+8),m_active,1,m_start,"&lt;"&amp;960,m_end,"&gt;"&amp;900)&gt;1,"충돌",HYPERLINK("#'관리자_MASTER'!D"&amp;_xlfn.MAXIFS(m_row,m_teacher,AA$4,m_date,($G$2+8),m_active,1,m_start,"&lt;"&amp;960,m_end,"&gt;"&amp;900),INDEX(m_label,_xlfn.MAXIFS(m_row,m_teacher,AA$4,m_date,($G$2+8),m_active,1,m_start,"&lt;"&amp;960,m_end,"&gt;"&amp;900))))))</f>
        <v/>
      </c>
      <c r="AB22" s="88" t="str">
        <f aca="false">IF(OR(AB$4="",MONTH(($G$2+8))&lt;&gt;MONTH($C$2)),"",IF(COUNTIFS(m_teacher,AB$4,m_date,($G$2+8),m_active,1,m_start,"&lt;"&amp;960,m_end,"&gt;"&amp;900)=0,"",IF(COUNTIFS(m_teacher,AB$4,m_date,($G$2+8),m_active,1,m_start,"&lt;"&amp;960,m_end,"&gt;"&amp;900)&gt;1,"충돌",HYPERLINK("#'관리자_MASTER'!D"&amp;_xlfn.MAXIFS(m_row,m_teacher,AB$4,m_date,($G$2+8),m_active,1,m_start,"&lt;"&amp;960,m_end,"&gt;"&amp;900),INDEX(m_label,_xlfn.MAXIFS(m_row,m_teacher,AB$4,m_date,($G$2+8),m_active,1,m_start,"&lt;"&amp;960,m_end,"&gt;"&amp;900))))))</f>
        <v/>
      </c>
      <c r="AC22" s="78"/>
      <c r="AD22" s="79" t="s">
        <v>97</v>
      </c>
      <c r="AE22" s="88" t="str">
        <f aca="false">IF(OR(AE$4="",MONTH(($G$2+15))&lt;&gt;MONTH($C$2)),"",IF(COUNTIFS(m_teacher,AE$4,m_date,($G$2+15),m_active,1,m_start,"&lt;"&amp;960,m_end,"&gt;"&amp;900)=0,"",IF(COUNTIFS(m_teacher,AE$4,m_date,($G$2+15),m_active,1,m_start,"&lt;"&amp;960,m_end,"&gt;"&amp;900)&gt;1,"충돌",HYPERLINK("#'관리자_MASTER'!D"&amp;_xlfn.MAXIFS(m_row,m_teacher,AE$4,m_date,($G$2+15),m_active,1,m_start,"&lt;"&amp;960,m_end,"&gt;"&amp;900),INDEX(m_label,_xlfn.MAXIFS(m_row,m_teacher,AE$4,m_date,($G$2+15),m_active,1,m_start,"&lt;"&amp;960,m_end,"&gt;"&amp;900))))))</f>
        <v/>
      </c>
      <c r="AF22" s="88" t="str">
        <f aca="false">IF(OR(AF$4="",MONTH(($G$2+15))&lt;&gt;MONTH($C$2)),"",IF(COUNTIFS(m_teacher,AF$4,m_date,($G$2+15),m_active,1,m_start,"&lt;"&amp;960,m_end,"&gt;"&amp;900)=0,"",IF(COUNTIFS(m_teacher,AF$4,m_date,($G$2+15),m_active,1,m_start,"&lt;"&amp;960,m_end,"&gt;"&amp;900)&gt;1,"충돌",HYPERLINK("#'관리자_MASTER'!D"&amp;_xlfn.MAXIFS(m_row,m_teacher,AF$4,m_date,($G$2+15),m_active,1,m_start,"&lt;"&amp;960,m_end,"&gt;"&amp;900),INDEX(m_label,_xlfn.MAXIFS(m_row,m_teacher,AF$4,m_date,($G$2+15),m_active,1,m_start,"&lt;"&amp;960,m_end,"&gt;"&amp;900))))))</f>
        <v/>
      </c>
      <c r="AG22" s="88" t="str">
        <f aca="false">IF(OR(AG$4="",MONTH(($G$2+15))&lt;&gt;MONTH($C$2)),"",IF(COUNTIFS(m_teacher,AG$4,m_date,($G$2+15),m_active,1,m_start,"&lt;"&amp;960,m_end,"&gt;"&amp;900)=0,"",IF(COUNTIFS(m_teacher,AG$4,m_date,($G$2+15),m_active,1,m_start,"&lt;"&amp;960,m_end,"&gt;"&amp;900)&gt;1,"충돌",HYPERLINK("#'관리자_MASTER'!D"&amp;_xlfn.MAXIFS(m_row,m_teacher,AG$4,m_date,($G$2+15),m_active,1,m_start,"&lt;"&amp;960,m_end,"&gt;"&amp;900),INDEX(m_label,_xlfn.MAXIFS(m_row,m_teacher,AG$4,m_date,($G$2+15),m_active,1,m_start,"&lt;"&amp;960,m_end,"&gt;"&amp;900))))))</f>
        <v/>
      </c>
      <c r="AH22" s="88" t="str">
        <f aca="false">IF(OR(AH$4="",MONTH(($G$2+15))&lt;&gt;MONTH($C$2)),"",IF(COUNTIFS(m_teacher,AH$4,m_date,($G$2+15),m_active,1,m_start,"&lt;"&amp;960,m_end,"&gt;"&amp;900)=0,"",IF(COUNTIFS(m_teacher,AH$4,m_date,($G$2+15),m_active,1,m_start,"&lt;"&amp;960,m_end,"&gt;"&amp;900)&gt;1,"충돌",HYPERLINK("#'관리자_MASTER'!D"&amp;_xlfn.MAXIFS(m_row,m_teacher,AH$4,m_date,($G$2+15),m_active,1,m_start,"&lt;"&amp;960,m_end,"&gt;"&amp;900),INDEX(m_label,_xlfn.MAXIFS(m_row,m_teacher,AH$4,m_date,($G$2+15),m_active,1,m_start,"&lt;"&amp;960,m_end,"&gt;"&amp;900))))))</f>
        <v/>
      </c>
      <c r="AI22" s="88" t="str">
        <f aca="false">IF(OR(AI$4="",MONTH(($G$2+15))&lt;&gt;MONTH($C$2)),"",IF(COUNTIFS(m_teacher,AI$4,m_date,($G$2+15),m_active,1,m_start,"&lt;"&amp;960,m_end,"&gt;"&amp;900)=0,"",IF(COUNTIFS(m_teacher,AI$4,m_date,($G$2+15),m_active,1,m_start,"&lt;"&amp;960,m_end,"&gt;"&amp;900)&gt;1,"충돌",HYPERLINK("#'관리자_MASTER'!D"&amp;_xlfn.MAXIFS(m_row,m_teacher,AI$4,m_date,($G$2+15),m_active,1,m_start,"&lt;"&amp;960,m_end,"&gt;"&amp;900),INDEX(m_label,_xlfn.MAXIFS(m_row,m_teacher,AI$4,m_date,($G$2+15),m_active,1,m_start,"&lt;"&amp;960,m_end,"&gt;"&amp;900))))))</f>
        <v/>
      </c>
      <c r="AJ22" s="88" t="str">
        <f aca="false">IF(OR(AJ$4="",MONTH(($G$2+15))&lt;&gt;MONTH($C$2)),"",IF(COUNTIFS(m_teacher,AJ$4,m_date,($G$2+15),m_active,1,m_start,"&lt;"&amp;960,m_end,"&gt;"&amp;900)=0,"",IF(COUNTIFS(m_teacher,AJ$4,m_date,($G$2+15),m_active,1,m_start,"&lt;"&amp;960,m_end,"&gt;"&amp;900)&gt;1,"충돌",HYPERLINK("#'관리자_MASTER'!D"&amp;_xlfn.MAXIFS(m_row,m_teacher,AJ$4,m_date,($G$2+15),m_active,1,m_start,"&lt;"&amp;960,m_end,"&gt;"&amp;900),INDEX(m_label,_xlfn.MAXIFS(m_row,m_teacher,AJ$4,m_date,($G$2+15),m_active,1,m_start,"&lt;"&amp;960,m_end,"&gt;"&amp;900))))))</f>
        <v/>
      </c>
      <c r="AK22" s="88" t="str">
        <f aca="false">IF(OR(AK$4="",MONTH(($G$2+15))&lt;&gt;MONTH($C$2)),"",IF(COUNTIFS(m_teacher,AK$4,m_date,($G$2+15),m_active,1,m_start,"&lt;"&amp;960,m_end,"&gt;"&amp;900)=0,"",IF(COUNTIFS(m_teacher,AK$4,m_date,($G$2+15),m_active,1,m_start,"&lt;"&amp;960,m_end,"&gt;"&amp;900)&gt;1,"충돌",HYPERLINK("#'관리자_MASTER'!D"&amp;_xlfn.MAXIFS(m_row,m_teacher,AK$4,m_date,($G$2+15),m_active,1,m_start,"&lt;"&amp;960,m_end,"&gt;"&amp;900),INDEX(m_label,_xlfn.MAXIFS(m_row,m_teacher,AK$4,m_date,($G$2+15),m_active,1,m_start,"&lt;"&amp;960,m_end,"&gt;"&amp;900))))))</f>
        <v/>
      </c>
      <c r="AL22" s="88" t="str">
        <f aca="false">IF(OR(AL$4="",MONTH(($G$2+15))&lt;&gt;MONTH($C$2)),"",IF(COUNTIFS(m_teacher,AL$4,m_date,($G$2+15),m_active,1,m_start,"&lt;"&amp;960,m_end,"&gt;"&amp;900)=0,"",IF(COUNTIFS(m_teacher,AL$4,m_date,($G$2+15),m_active,1,m_start,"&lt;"&amp;960,m_end,"&gt;"&amp;900)&gt;1,"충돌",HYPERLINK("#'관리자_MASTER'!D"&amp;_xlfn.MAXIFS(m_row,m_teacher,AL$4,m_date,($G$2+15),m_active,1,m_start,"&lt;"&amp;960,m_end,"&gt;"&amp;900),INDEX(m_label,_xlfn.MAXIFS(m_row,m_teacher,AL$4,m_date,($G$2+15),m_active,1,m_start,"&lt;"&amp;960,m_end,"&gt;"&amp;900))))))</f>
        <v/>
      </c>
      <c r="AM22" s="88" t="str">
        <f aca="false">IF(OR(AM$4="",MONTH(($G$2+15))&lt;&gt;MONTH($C$2)),"",IF(COUNTIFS(m_teacher,AM$4,m_date,($G$2+15),m_active,1,m_start,"&lt;"&amp;960,m_end,"&gt;"&amp;900)=0,"",IF(COUNTIFS(m_teacher,AM$4,m_date,($G$2+15),m_active,1,m_start,"&lt;"&amp;960,m_end,"&gt;"&amp;900)&gt;1,"충돌",HYPERLINK("#'관리자_MASTER'!D"&amp;_xlfn.MAXIFS(m_row,m_teacher,AM$4,m_date,($G$2+15),m_active,1,m_start,"&lt;"&amp;960,m_end,"&gt;"&amp;900),INDEX(m_label,_xlfn.MAXIFS(m_row,m_teacher,AM$4,m_date,($G$2+15),m_active,1,m_start,"&lt;"&amp;960,m_end,"&gt;"&amp;900))))))</f>
        <v/>
      </c>
      <c r="AN22" s="88" t="str">
        <f aca="false">IF(OR(AN$4="",MONTH(($G$2+15))&lt;&gt;MONTH($C$2)),"",IF(COUNTIFS(m_teacher,AN$4,m_date,($G$2+15),m_active,1,m_start,"&lt;"&amp;960,m_end,"&gt;"&amp;900)=0,"",IF(COUNTIFS(m_teacher,AN$4,m_date,($G$2+15),m_active,1,m_start,"&lt;"&amp;960,m_end,"&gt;"&amp;900)&gt;1,"충돌",HYPERLINK("#'관리자_MASTER'!D"&amp;_xlfn.MAXIFS(m_row,m_teacher,AN$4,m_date,($G$2+15),m_active,1,m_start,"&lt;"&amp;960,m_end,"&gt;"&amp;900),INDEX(m_label,_xlfn.MAXIFS(m_row,m_teacher,AN$4,m_date,($G$2+15),m_active,1,m_start,"&lt;"&amp;960,m_end,"&gt;"&amp;900))))))</f>
        <v/>
      </c>
      <c r="AO22" s="88" t="str">
        <f aca="false">IF(OR(AO$4="",MONTH(($G$2+15))&lt;&gt;MONTH($C$2)),"",IF(COUNTIFS(m_teacher,AO$4,m_date,($G$2+15),m_active,1,m_start,"&lt;"&amp;960,m_end,"&gt;"&amp;900)=0,"",IF(COUNTIFS(m_teacher,AO$4,m_date,($G$2+15),m_active,1,m_start,"&lt;"&amp;960,m_end,"&gt;"&amp;900)&gt;1,"충돌",HYPERLINK("#'관리자_MASTER'!D"&amp;_xlfn.MAXIFS(m_row,m_teacher,AO$4,m_date,($G$2+15),m_active,1,m_start,"&lt;"&amp;960,m_end,"&gt;"&amp;900),INDEX(m_label,_xlfn.MAXIFS(m_row,m_teacher,AO$4,m_date,($G$2+15),m_active,1,m_start,"&lt;"&amp;960,m_end,"&gt;"&amp;900))))))</f>
        <v/>
      </c>
      <c r="AP22" s="88" t="str">
        <f aca="false">IF(OR(AP$4="",MONTH(($G$2+15))&lt;&gt;MONTH($C$2)),"",IF(COUNTIFS(m_teacher,AP$4,m_date,($G$2+15),m_active,1,m_start,"&lt;"&amp;960,m_end,"&gt;"&amp;900)=0,"",IF(COUNTIFS(m_teacher,AP$4,m_date,($G$2+15),m_active,1,m_start,"&lt;"&amp;960,m_end,"&gt;"&amp;900)&gt;1,"충돌",HYPERLINK("#'관리자_MASTER'!D"&amp;_xlfn.MAXIFS(m_row,m_teacher,AP$4,m_date,($G$2+15),m_active,1,m_start,"&lt;"&amp;960,m_end,"&gt;"&amp;900),INDEX(m_label,_xlfn.MAXIFS(m_row,m_teacher,AP$4,m_date,($G$2+15),m_active,1,m_start,"&lt;"&amp;960,m_end,"&gt;"&amp;900))))))</f>
        <v/>
      </c>
      <c r="AQ22" s="78"/>
      <c r="AR22" s="79" t="s">
        <v>97</v>
      </c>
      <c r="AS22" s="88" t="str">
        <f aca="false">IF(OR(AS$4="",MONTH(($G$2+22))&lt;&gt;MONTH($C$2)),"",IF(COUNTIFS(m_teacher,AS$4,m_date,($G$2+22),m_active,1,m_start,"&lt;"&amp;960,m_end,"&gt;"&amp;900)=0,"",IF(COUNTIFS(m_teacher,AS$4,m_date,($G$2+22),m_active,1,m_start,"&lt;"&amp;960,m_end,"&gt;"&amp;900)&gt;1,"충돌",HYPERLINK("#'관리자_MASTER'!D"&amp;_xlfn.MAXIFS(m_row,m_teacher,AS$4,m_date,($G$2+22),m_active,1,m_start,"&lt;"&amp;960,m_end,"&gt;"&amp;900),INDEX(m_label,_xlfn.MAXIFS(m_row,m_teacher,AS$4,m_date,($G$2+22),m_active,1,m_start,"&lt;"&amp;960,m_end,"&gt;"&amp;900))))))</f>
        <v/>
      </c>
      <c r="AT22" s="88" t="str">
        <f aca="false">IF(OR(AT$4="",MONTH(($G$2+22))&lt;&gt;MONTH($C$2)),"",IF(COUNTIFS(m_teacher,AT$4,m_date,($G$2+22),m_active,1,m_start,"&lt;"&amp;960,m_end,"&gt;"&amp;900)=0,"",IF(COUNTIFS(m_teacher,AT$4,m_date,($G$2+22),m_active,1,m_start,"&lt;"&amp;960,m_end,"&gt;"&amp;900)&gt;1,"충돌",HYPERLINK("#'관리자_MASTER'!D"&amp;_xlfn.MAXIFS(m_row,m_teacher,AT$4,m_date,($G$2+22),m_active,1,m_start,"&lt;"&amp;960,m_end,"&gt;"&amp;900),INDEX(m_label,_xlfn.MAXIFS(m_row,m_teacher,AT$4,m_date,($G$2+22),m_active,1,m_start,"&lt;"&amp;960,m_end,"&gt;"&amp;900))))))</f>
        <v/>
      </c>
      <c r="AU22" s="88" t="str">
        <f aca="false">IF(OR(AU$4="",MONTH(($G$2+22))&lt;&gt;MONTH($C$2)),"",IF(COUNTIFS(m_teacher,AU$4,m_date,($G$2+22),m_active,1,m_start,"&lt;"&amp;960,m_end,"&gt;"&amp;900)=0,"",IF(COUNTIFS(m_teacher,AU$4,m_date,($G$2+22),m_active,1,m_start,"&lt;"&amp;960,m_end,"&gt;"&amp;900)&gt;1,"충돌",HYPERLINK("#'관리자_MASTER'!D"&amp;_xlfn.MAXIFS(m_row,m_teacher,AU$4,m_date,($G$2+22),m_active,1,m_start,"&lt;"&amp;960,m_end,"&gt;"&amp;900),INDEX(m_label,_xlfn.MAXIFS(m_row,m_teacher,AU$4,m_date,($G$2+22),m_active,1,m_start,"&lt;"&amp;960,m_end,"&gt;"&amp;900))))))</f>
        <v/>
      </c>
      <c r="AV22" s="88" t="str">
        <f aca="false">IF(OR(AV$4="",MONTH(($G$2+22))&lt;&gt;MONTH($C$2)),"",IF(COUNTIFS(m_teacher,AV$4,m_date,($G$2+22),m_active,1,m_start,"&lt;"&amp;960,m_end,"&gt;"&amp;900)=0,"",IF(COUNTIFS(m_teacher,AV$4,m_date,($G$2+22),m_active,1,m_start,"&lt;"&amp;960,m_end,"&gt;"&amp;900)&gt;1,"충돌",HYPERLINK("#'관리자_MASTER'!D"&amp;_xlfn.MAXIFS(m_row,m_teacher,AV$4,m_date,($G$2+22),m_active,1,m_start,"&lt;"&amp;960,m_end,"&gt;"&amp;900),INDEX(m_label,_xlfn.MAXIFS(m_row,m_teacher,AV$4,m_date,($G$2+22),m_active,1,m_start,"&lt;"&amp;960,m_end,"&gt;"&amp;900))))))</f>
        <v/>
      </c>
      <c r="AW22" s="88" t="str">
        <f aca="false">IF(OR(AW$4="",MONTH(($G$2+22))&lt;&gt;MONTH($C$2)),"",IF(COUNTIFS(m_teacher,AW$4,m_date,($G$2+22),m_active,1,m_start,"&lt;"&amp;960,m_end,"&gt;"&amp;900)=0,"",IF(COUNTIFS(m_teacher,AW$4,m_date,($G$2+22),m_active,1,m_start,"&lt;"&amp;960,m_end,"&gt;"&amp;900)&gt;1,"충돌",HYPERLINK("#'관리자_MASTER'!D"&amp;_xlfn.MAXIFS(m_row,m_teacher,AW$4,m_date,($G$2+22),m_active,1,m_start,"&lt;"&amp;960,m_end,"&gt;"&amp;900),INDEX(m_label,_xlfn.MAXIFS(m_row,m_teacher,AW$4,m_date,($G$2+22),m_active,1,m_start,"&lt;"&amp;960,m_end,"&gt;"&amp;900))))))</f>
        <v/>
      </c>
      <c r="AX22" s="88" t="str">
        <f aca="false">IF(OR(AX$4="",MONTH(($G$2+22))&lt;&gt;MONTH($C$2)),"",IF(COUNTIFS(m_teacher,AX$4,m_date,($G$2+22),m_active,1,m_start,"&lt;"&amp;960,m_end,"&gt;"&amp;900)=0,"",IF(COUNTIFS(m_teacher,AX$4,m_date,($G$2+22),m_active,1,m_start,"&lt;"&amp;960,m_end,"&gt;"&amp;900)&gt;1,"충돌",HYPERLINK("#'관리자_MASTER'!D"&amp;_xlfn.MAXIFS(m_row,m_teacher,AX$4,m_date,($G$2+22),m_active,1,m_start,"&lt;"&amp;960,m_end,"&gt;"&amp;900),INDEX(m_label,_xlfn.MAXIFS(m_row,m_teacher,AX$4,m_date,($G$2+22),m_active,1,m_start,"&lt;"&amp;960,m_end,"&gt;"&amp;900))))))</f>
        <v/>
      </c>
      <c r="AY22" s="88" t="str">
        <f aca="false">IF(OR(AY$4="",MONTH(($G$2+22))&lt;&gt;MONTH($C$2)),"",IF(COUNTIFS(m_teacher,AY$4,m_date,($G$2+22),m_active,1,m_start,"&lt;"&amp;960,m_end,"&gt;"&amp;900)=0,"",IF(COUNTIFS(m_teacher,AY$4,m_date,($G$2+22),m_active,1,m_start,"&lt;"&amp;960,m_end,"&gt;"&amp;900)&gt;1,"충돌",HYPERLINK("#'관리자_MASTER'!D"&amp;_xlfn.MAXIFS(m_row,m_teacher,AY$4,m_date,($G$2+22),m_active,1,m_start,"&lt;"&amp;960,m_end,"&gt;"&amp;900),INDEX(m_label,_xlfn.MAXIFS(m_row,m_teacher,AY$4,m_date,($G$2+22),m_active,1,m_start,"&lt;"&amp;960,m_end,"&gt;"&amp;900))))))</f>
        <v/>
      </c>
      <c r="AZ22" s="88" t="str">
        <f aca="false">IF(OR(AZ$4="",MONTH(($G$2+22))&lt;&gt;MONTH($C$2)),"",IF(COUNTIFS(m_teacher,AZ$4,m_date,($G$2+22),m_active,1,m_start,"&lt;"&amp;960,m_end,"&gt;"&amp;900)=0,"",IF(COUNTIFS(m_teacher,AZ$4,m_date,($G$2+22),m_active,1,m_start,"&lt;"&amp;960,m_end,"&gt;"&amp;900)&gt;1,"충돌",HYPERLINK("#'관리자_MASTER'!D"&amp;_xlfn.MAXIFS(m_row,m_teacher,AZ$4,m_date,($G$2+22),m_active,1,m_start,"&lt;"&amp;960,m_end,"&gt;"&amp;900),INDEX(m_label,_xlfn.MAXIFS(m_row,m_teacher,AZ$4,m_date,($G$2+22),m_active,1,m_start,"&lt;"&amp;960,m_end,"&gt;"&amp;900))))))</f>
        <v/>
      </c>
      <c r="BA22" s="88" t="str">
        <f aca="false">IF(OR(BA$4="",MONTH(($G$2+22))&lt;&gt;MONTH($C$2)),"",IF(COUNTIFS(m_teacher,BA$4,m_date,($G$2+22),m_active,1,m_start,"&lt;"&amp;960,m_end,"&gt;"&amp;900)=0,"",IF(COUNTIFS(m_teacher,BA$4,m_date,($G$2+22),m_active,1,m_start,"&lt;"&amp;960,m_end,"&gt;"&amp;900)&gt;1,"충돌",HYPERLINK("#'관리자_MASTER'!D"&amp;_xlfn.MAXIFS(m_row,m_teacher,BA$4,m_date,($G$2+22),m_active,1,m_start,"&lt;"&amp;960,m_end,"&gt;"&amp;900),INDEX(m_label,_xlfn.MAXIFS(m_row,m_teacher,BA$4,m_date,($G$2+22),m_active,1,m_start,"&lt;"&amp;960,m_end,"&gt;"&amp;900))))))</f>
        <v/>
      </c>
      <c r="BB22" s="88" t="str">
        <f aca="false">IF(OR(BB$4="",MONTH(($G$2+22))&lt;&gt;MONTH($C$2)),"",IF(COUNTIFS(m_teacher,BB$4,m_date,($G$2+22),m_active,1,m_start,"&lt;"&amp;960,m_end,"&gt;"&amp;900)=0,"",IF(COUNTIFS(m_teacher,BB$4,m_date,($G$2+22),m_active,1,m_start,"&lt;"&amp;960,m_end,"&gt;"&amp;900)&gt;1,"충돌",HYPERLINK("#'관리자_MASTER'!D"&amp;_xlfn.MAXIFS(m_row,m_teacher,BB$4,m_date,($G$2+22),m_active,1,m_start,"&lt;"&amp;960,m_end,"&gt;"&amp;900),INDEX(m_label,_xlfn.MAXIFS(m_row,m_teacher,BB$4,m_date,($G$2+22),m_active,1,m_start,"&lt;"&amp;960,m_end,"&gt;"&amp;900))))))</f>
        <v/>
      </c>
      <c r="BC22" s="88" t="str">
        <f aca="false">IF(OR(BC$4="",MONTH(($G$2+22))&lt;&gt;MONTH($C$2)),"",IF(COUNTIFS(m_teacher,BC$4,m_date,($G$2+22),m_active,1,m_start,"&lt;"&amp;960,m_end,"&gt;"&amp;900)=0,"",IF(COUNTIFS(m_teacher,BC$4,m_date,($G$2+22),m_active,1,m_start,"&lt;"&amp;960,m_end,"&gt;"&amp;900)&gt;1,"충돌",HYPERLINK("#'관리자_MASTER'!D"&amp;_xlfn.MAXIFS(m_row,m_teacher,BC$4,m_date,($G$2+22),m_active,1,m_start,"&lt;"&amp;960,m_end,"&gt;"&amp;900),INDEX(m_label,_xlfn.MAXIFS(m_row,m_teacher,BC$4,m_date,($G$2+22),m_active,1,m_start,"&lt;"&amp;960,m_end,"&gt;"&amp;900))))))</f>
        <v/>
      </c>
      <c r="BD22" s="88" t="str">
        <f aca="false">IF(OR(BD$4="",MONTH(($G$2+22))&lt;&gt;MONTH($C$2)),"",IF(COUNTIFS(m_teacher,BD$4,m_date,($G$2+22),m_active,1,m_start,"&lt;"&amp;960,m_end,"&gt;"&amp;900)=0,"",IF(COUNTIFS(m_teacher,BD$4,m_date,($G$2+22),m_active,1,m_start,"&lt;"&amp;960,m_end,"&gt;"&amp;900)&gt;1,"충돌",HYPERLINK("#'관리자_MASTER'!D"&amp;_xlfn.MAXIFS(m_row,m_teacher,BD$4,m_date,($G$2+22),m_active,1,m_start,"&lt;"&amp;960,m_end,"&gt;"&amp;900),INDEX(m_label,_xlfn.MAXIFS(m_row,m_teacher,BD$4,m_date,($G$2+22),m_active,1,m_start,"&lt;"&amp;960,m_end,"&gt;"&amp;900))))))</f>
        <v/>
      </c>
      <c r="BE22" s="78"/>
      <c r="BF22" s="79" t="s">
        <v>97</v>
      </c>
      <c r="BG22" s="88" t="str">
        <f aca="false">IF(OR(BG$4="",MONTH(($G$2+29))&lt;&gt;MONTH($C$2)),"",IF(COUNTIFS(m_teacher,BG$4,m_date,($G$2+29),m_active,1,m_start,"&lt;"&amp;960,m_end,"&gt;"&amp;900)=0,"",IF(COUNTIFS(m_teacher,BG$4,m_date,($G$2+29),m_active,1,m_start,"&lt;"&amp;960,m_end,"&gt;"&amp;900)&gt;1,"충돌",HYPERLINK("#'관리자_MASTER'!D"&amp;_xlfn.MAXIFS(m_row,m_teacher,BG$4,m_date,($G$2+29),m_active,1,m_start,"&lt;"&amp;960,m_end,"&gt;"&amp;900),INDEX(m_label,_xlfn.MAXIFS(m_row,m_teacher,BG$4,m_date,($G$2+29),m_active,1,m_start,"&lt;"&amp;960,m_end,"&gt;"&amp;900))))))</f>
        <v/>
      </c>
      <c r="BH22" s="88" t="str">
        <f aca="false">IF(OR(BH$4="",MONTH(($G$2+29))&lt;&gt;MONTH($C$2)),"",IF(COUNTIFS(m_teacher,BH$4,m_date,($G$2+29),m_active,1,m_start,"&lt;"&amp;960,m_end,"&gt;"&amp;900)=0,"",IF(COUNTIFS(m_teacher,BH$4,m_date,($G$2+29),m_active,1,m_start,"&lt;"&amp;960,m_end,"&gt;"&amp;900)&gt;1,"충돌",HYPERLINK("#'관리자_MASTER'!D"&amp;_xlfn.MAXIFS(m_row,m_teacher,BH$4,m_date,($G$2+29),m_active,1,m_start,"&lt;"&amp;960,m_end,"&gt;"&amp;900),INDEX(m_label,_xlfn.MAXIFS(m_row,m_teacher,BH$4,m_date,($G$2+29),m_active,1,m_start,"&lt;"&amp;960,m_end,"&gt;"&amp;900))))))</f>
        <v/>
      </c>
      <c r="BI22" s="88" t="str">
        <f aca="false">IF(OR(BI$4="",MONTH(($G$2+29))&lt;&gt;MONTH($C$2)),"",IF(COUNTIFS(m_teacher,BI$4,m_date,($G$2+29),m_active,1,m_start,"&lt;"&amp;960,m_end,"&gt;"&amp;900)=0,"",IF(COUNTIFS(m_teacher,BI$4,m_date,($G$2+29),m_active,1,m_start,"&lt;"&amp;960,m_end,"&gt;"&amp;900)&gt;1,"충돌",HYPERLINK("#'관리자_MASTER'!D"&amp;_xlfn.MAXIFS(m_row,m_teacher,BI$4,m_date,($G$2+29),m_active,1,m_start,"&lt;"&amp;960,m_end,"&gt;"&amp;900),INDEX(m_label,_xlfn.MAXIFS(m_row,m_teacher,BI$4,m_date,($G$2+29),m_active,1,m_start,"&lt;"&amp;960,m_end,"&gt;"&amp;900))))))</f>
        <v/>
      </c>
      <c r="BJ22" s="88" t="str">
        <f aca="false">IF(OR(BJ$4="",MONTH(($G$2+29))&lt;&gt;MONTH($C$2)),"",IF(COUNTIFS(m_teacher,BJ$4,m_date,($G$2+29),m_active,1,m_start,"&lt;"&amp;960,m_end,"&gt;"&amp;900)=0,"",IF(COUNTIFS(m_teacher,BJ$4,m_date,($G$2+29),m_active,1,m_start,"&lt;"&amp;960,m_end,"&gt;"&amp;900)&gt;1,"충돌",HYPERLINK("#'관리자_MASTER'!D"&amp;_xlfn.MAXIFS(m_row,m_teacher,BJ$4,m_date,($G$2+29),m_active,1,m_start,"&lt;"&amp;960,m_end,"&gt;"&amp;900),INDEX(m_label,_xlfn.MAXIFS(m_row,m_teacher,BJ$4,m_date,($G$2+29),m_active,1,m_start,"&lt;"&amp;960,m_end,"&gt;"&amp;900))))))</f>
        <v/>
      </c>
      <c r="BK22" s="88" t="str">
        <f aca="false">IF(OR(BK$4="",MONTH(($G$2+29))&lt;&gt;MONTH($C$2)),"",IF(COUNTIFS(m_teacher,BK$4,m_date,($G$2+29),m_active,1,m_start,"&lt;"&amp;960,m_end,"&gt;"&amp;900)=0,"",IF(COUNTIFS(m_teacher,BK$4,m_date,($G$2+29),m_active,1,m_start,"&lt;"&amp;960,m_end,"&gt;"&amp;900)&gt;1,"충돌",HYPERLINK("#'관리자_MASTER'!D"&amp;_xlfn.MAXIFS(m_row,m_teacher,BK$4,m_date,($G$2+29),m_active,1,m_start,"&lt;"&amp;960,m_end,"&gt;"&amp;900),INDEX(m_label,_xlfn.MAXIFS(m_row,m_teacher,BK$4,m_date,($G$2+29),m_active,1,m_start,"&lt;"&amp;960,m_end,"&gt;"&amp;900))))))</f>
        <v/>
      </c>
      <c r="BL22" s="88" t="str">
        <f aca="false">IF(OR(BL$4="",MONTH(($G$2+29))&lt;&gt;MONTH($C$2)),"",IF(COUNTIFS(m_teacher,BL$4,m_date,($G$2+29),m_active,1,m_start,"&lt;"&amp;960,m_end,"&gt;"&amp;900)=0,"",IF(COUNTIFS(m_teacher,BL$4,m_date,($G$2+29),m_active,1,m_start,"&lt;"&amp;960,m_end,"&gt;"&amp;900)&gt;1,"충돌",HYPERLINK("#'관리자_MASTER'!D"&amp;_xlfn.MAXIFS(m_row,m_teacher,BL$4,m_date,($G$2+29),m_active,1,m_start,"&lt;"&amp;960,m_end,"&gt;"&amp;900),INDEX(m_label,_xlfn.MAXIFS(m_row,m_teacher,BL$4,m_date,($G$2+29),m_active,1,m_start,"&lt;"&amp;960,m_end,"&gt;"&amp;900))))))</f>
        <v/>
      </c>
      <c r="BM22" s="88" t="str">
        <f aca="false">IF(OR(BM$4="",MONTH(($G$2+29))&lt;&gt;MONTH($C$2)),"",IF(COUNTIFS(m_teacher,BM$4,m_date,($G$2+29),m_active,1,m_start,"&lt;"&amp;960,m_end,"&gt;"&amp;900)=0,"",IF(COUNTIFS(m_teacher,BM$4,m_date,($G$2+29),m_active,1,m_start,"&lt;"&amp;960,m_end,"&gt;"&amp;900)&gt;1,"충돌",HYPERLINK("#'관리자_MASTER'!D"&amp;_xlfn.MAXIFS(m_row,m_teacher,BM$4,m_date,($G$2+29),m_active,1,m_start,"&lt;"&amp;960,m_end,"&gt;"&amp;900),INDEX(m_label,_xlfn.MAXIFS(m_row,m_teacher,BM$4,m_date,($G$2+29),m_active,1,m_start,"&lt;"&amp;960,m_end,"&gt;"&amp;900))))))</f>
        <v/>
      </c>
      <c r="BN22" s="88" t="str">
        <f aca="false">IF(OR(BN$4="",MONTH(($G$2+29))&lt;&gt;MONTH($C$2)),"",IF(COUNTIFS(m_teacher,BN$4,m_date,($G$2+29),m_active,1,m_start,"&lt;"&amp;960,m_end,"&gt;"&amp;900)=0,"",IF(COUNTIFS(m_teacher,BN$4,m_date,($G$2+29),m_active,1,m_start,"&lt;"&amp;960,m_end,"&gt;"&amp;900)&gt;1,"충돌",HYPERLINK("#'관리자_MASTER'!D"&amp;_xlfn.MAXIFS(m_row,m_teacher,BN$4,m_date,($G$2+29),m_active,1,m_start,"&lt;"&amp;960,m_end,"&gt;"&amp;900),INDEX(m_label,_xlfn.MAXIFS(m_row,m_teacher,BN$4,m_date,($G$2+29),m_active,1,m_start,"&lt;"&amp;960,m_end,"&gt;"&amp;900))))))</f>
        <v/>
      </c>
      <c r="BO22" s="88" t="str">
        <f aca="false">IF(OR(BO$4="",MONTH(($G$2+29))&lt;&gt;MONTH($C$2)),"",IF(COUNTIFS(m_teacher,BO$4,m_date,($G$2+29),m_active,1,m_start,"&lt;"&amp;960,m_end,"&gt;"&amp;900)=0,"",IF(COUNTIFS(m_teacher,BO$4,m_date,($G$2+29),m_active,1,m_start,"&lt;"&amp;960,m_end,"&gt;"&amp;900)&gt;1,"충돌",HYPERLINK("#'관리자_MASTER'!D"&amp;_xlfn.MAXIFS(m_row,m_teacher,BO$4,m_date,($G$2+29),m_active,1,m_start,"&lt;"&amp;960,m_end,"&gt;"&amp;900),INDEX(m_label,_xlfn.MAXIFS(m_row,m_teacher,BO$4,m_date,($G$2+29),m_active,1,m_start,"&lt;"&amp;960,m_end,"&gt;"&amp;900))))))</f>
        <v/>
      </c>
      <c r="BP22" s="88" t="str">
        <f aca="false">IF(OR(BP$4="",MONTH(($G$2+29))&lt;&gt;MONTH($C$2)),"",IF(COUNTIFS(m_teacher,BP$4,m_date,($G$2+29),m_active,1,m_start,"&lt;"&amp;960,m_end,"&gt;"&amp;900)=0,"",IF(COUNTIFS(m_teacher,BP$4,m_date,($G$2+29),m_active,1,m_start,"&lt;"&amp;960,m_end,"&gt;"&amp;900)&gt;1,"충돌",HYPERLINK("#'관리자_MASTER'!D"&amp;_xlfn.MAXIFS(m_row,m_teacher,BP$4,m_date,($G$2+29),m_active,1,m_start,"&lt;"&amp;960,m_end,"&gt;"&amp;900),INDEX(m_label,_xlfn.MAXIFS(m_row,m_teacher,BP$4,m_date,($G$2+29),m_active,1,m_start,"&lt;"&amp;960,m_end,"&gt;"&amp;900))))))</f>
        <v/>
      </c>
      <c r="BQ22" s="88" t="str">
        <f aca="false">IF(OR(BQ$4="",MONTH(($G$2+29))&lt;&gt;MONTH($C$2)),"",IF(COUNTIFS(m_teacher,BQ$4,m_date,($G$2+29),m_active,1,m_start,"&lt;"&amp;960,m_end,"&gt;"&amp;900)=0,"",IF(COUNTIFS(m_teacher,BQ$4,m_date,($G$2+29),m_active,1,m_start,"&lt;"&amp;960,m_end,"&gt;"&amp;900)&gt;1,"충돌",HYPERLINK("#'관리자_MASTER'!D"&amp;_xlfn.MAXIFS(m_row,m_teacher,BQ$4,m_date,($G$2+29),m_active,1,m_start,"&lt;"&amp;960,m_end,"&gt;"&amp;900),INDEX(m_label,_xlfn.MAXIFS(m_row,m_teacher,BQ$4,m_date,($G$2+29),m_active,1,m_start,"&lt;"&amp;960,m_end,"&gt;"&amp;900))))))</f>
        <v/>
      </c>
      <c r="BR22" s="88" t="str">
        <f aca="false">IF(OR(BR$4="",MONTH(($G$2+29))&lt;&gt;MONTH($C$2)),"",IF(COUNTIFS(m_teacher,BR$4,m_date,($G$2+29),m_active,1,m_start,"&lt;"&amp;960,m_end,"&gt;"&amp;900)=0,"",IF(COUNTIFS(m_teacher,BR$4,m_date,($G$2+29),m_active,1,m_start,"&lt;"&amp;960,m_end,"&gt;"&amp;900)&gt;1,"충돌",HYPERLINK("#'관리자_MASTER'!D"&amp;_xlfn.MAXIFS(m_row,m_teacher,BR$4,m_date,($G$2+29),m_active,1,m_start,"&lt;"&amp;960,m_end,"&gt;"&amp;900),INDEX(m_label,_xlfn.MAXIFS(m_row,m_teacher,BR$4,m_date,($G$2+29),m_active,1,m_start,"&lt;"&amp;960,m_end,"&gt;"&amp;900))))))</f>
        <v/>
      </c>
    </row>
    <row r="23" customFormat="false" ht="19.5" hidden="false" customHeight="true" outlineLevel="0" collapsed="false">
      <c r="A23" s="78"/>
      <c r="B23" s="79" t="s">
        <v>98</v>
      </c>
      <c r="C23" s="88" t="str">
        <f aca="false">IF(OR(C$4="",MONTH(($G$2+1))&lt;&gt;MONTH($C$2)),"",IF(COUNTIFS(m_teacher,C$4,m_date,($G$2+1),m_active,1,m_start,"&lt;"&amp;1020,m_end,"&gt;"&amp;960)=0,"",IF(COUNTIFS(m_teacher,C$4,m_date,($G$2+1),m_active,1,m_start,"&lt;"&amp;1020,m_end,"&gt;"&amp;960)&gt;1,"충돌",HYPERLINK("#'관리자_MASTER'!D"&amp;_xlfn.MAXIFS(m_row,m_teacher,C$4,m_date,($G$2+1),m_active,1,m_start,"&lt;"&amp;1020,m_end,"&gt;"&amp;960),INDEX(m_label,_xlfn.MAXIFS(m_row,m_teacher,C$4,m_date,($G$2+1),m_active,1,m_start,"&lt;"&amp;1020,m_end,"&gt;"&amp;960))))))</f>
        <v/>
      </c>
      <c r="D23" s="88" t="str">
        <f aca="false">IF(OR(D$4="",MONTH(($G$2+1))&lt;&gt;MONTH($C$2)),"",IF(COUNTIFS(m_teacher,D$4,m_date,($G$2+1),m_active,1,m_start,"&lt;"&amp;1020,m_end,"&gt;"&amp;960)=0,"",IF(COUNTIFS(m_teacher,D$4,m_date,($G$2+1),m_active,1,m_start,"&lt;"&amp;1020,m_end,"&gt;"&amp;960)&gt;1,"충돌",HYPERLINK("#'관리자_MASTER'!D"&amp;_xlfn.MAXIFS(m_row,m_teacher,D$4,m_date,($G$2+1),m_active,1,m_start,"&lt;"&amp;1020,m_end,"&gt;"&amp;960),INDEX(m_label,_xlfn.MAXIFS(m_row,m_teacher,D$4,m_date,($G$2+1),m_active,1,m_start,"&lt;"&amp;1020,m_end,"&gt;"&amp;960))))))</f>
        <v/>
      </c>
      <c r="E23" s="88" t="str">
        <f aca="false">IF(OR(E$4="",MONTH(($G$2+1))&lt;&gt;MONTH($C$2)),"",IF(COUNTIFS(m_teacher,E$4,m_date,($G$2+1),m_active,1,m_start,"&lt;"&amp;1020,m_end,"&gt;"&amp;960)=0,"",IF(COUNTIFS(m_teacher,E$4,m_date,($G$2+1),m_active,1,m_start,"&lt;"&amp;1020,m_end,"&gt;"&amp;960)&gt;1,"충돌",HYPERLINK("#'관리자_MASTER'!D"&amp;_xlfn.MAXIFS(m_row,m_teacher,E$4,m_date,($G$2+1),m_active,1,m_start,"&lt;"&amp;1020,m_end,"&gt;"&amp;960),INDEX(m_label,_xlfn.MAXIFS(m_row,m_teacher,E$4,m_date,($G$2+1),m_active,1,m_start,"&lt;"&amp;1020,m_end,"&gt;"&amp;960))))))</f>
        <v/>
      </c>
      <c r="F23" s="88" t="str">
        <f aca="false">IF(OR(F$4="",MONTH(($G$2+1))&lt;&gt;MONTH($C$2)),"",IF(COUNTIFS(m_teacher,F$4,m_date,($G$2+1),m_active,1,m_start,"&lt;"&amp;1020,m_end,"&gt;"&amp;960)=0,"",IF(COUNTIFS(m_teacher,F$4,m_date,($G$2+1),m_active,1,m_start,"&lt;"&amp;1020,m_end,"&gt;"&amp;960)&gt;1,"충돌",HYPERLINK("#'관리자_MASTER'!D"&amp;_xlfn.MAXIFS(m_row,m_teacher,F$4,m_date,($G$2+1),m_active,1,m_start,"&lt;"&amp;1020,m_end,"&gt;"&amp;960),INDEX(m_label,_xlfn.MAXIFS(m_row,m_teacher,F$4,m_date,($G$2+1),m_active,1,m_start,"&lt;"&amp;1020,m_end,"&gt;"&amp;960))))))</f>
        <v/>
      </c>
      <c r="G23" s="88" t="str">
        <f aca="false">IF(OR(G$4="",MONTH(($G$2+1))&lt;&gt;MONTH($C$2)),"",IF(COUNTIFS(m_teacher,G$4,m_date,($G$2+1),m_active,1,m_start,"&lt;"&amp;1020,m_end,"&gt;"&amp;960)=0,"",IF(COUNTIFS(m_teacher,G$4,m_date,($G$2+1),m_active,1,m_start,"&lt;"&amp;1020,m_end,"&gt;"&amp;960)&gt;1,"충돌",HYPERLINK("#'관리자_MASTER'!D"&amp;_xlfn.MAXIFS(m_row,m_teacher,G$4,m_date,($G$2+1),m_active,1,m_start,"&lt;"&amp;1020,m_end,"&gt;"&amp;960),INDEX(m_label,_xlfn.MAXIFS(m_row,m_teacher,G$4,m_date,($G$2+1),m_active,1,m_start,"&lt;"&amp;1020,m_end,"&gt;"&amp;960))))))</f>
        <v/>
      </c>
      <c r="H23" s="88" t="str">
        <f aca="false">IF(OR(H$4="",MONTH(($G$2+1))&lt;&gt;MONTH($C$2)),"",IF(COUNTIFS(m_teacher,H$4,m_date,($G$2+1),m_active,1,m_start,"&lt;"&amp;1020,m_end,"&gt;"&amp;960)=0,"",IF(COUNTIFS(m_teacher,H$4,m_date,($G$2+1),m_active,1,m_start,"&lt;"&amp;1020,m_end,"&gt;"&amp;960)&gt;1,"충돌",HYPERLINK("#'관리자_MASTER'!D"&amp;_xlfn.MAXIFS(m_row,m_teacher,H$4,m_date,($G$2+1),m_active,1,m_start,"&lt;"&amp;1020,m_end,"&gt;"&amp;960),INDEX(m_label,_xlfn.MAXIFS(m_row,m_teacher,H$4,m_date,($G$2+1),m_active,1,m_start,"&lt;"&amp;1020,m_end,"&gt;"&amp;960))))))</f>
        <v/>
      </c>
      <c r="I23" s="88" t="str">
        <f aca="false">IF(OR(I$4="",MONTH(($G$2+1))&lt;&gt;MONTH($C$2)),"",IF(COUNTIFS(m_teacher,I$4,m_date,($G$2+1),m_active,1,m_start,"&lt;"&amp;1020,m_end,"&gt;"&amp;960)=0,"",IF(COUNTIFS(m_teacher,I$4,m_date,($G$2+1),m_active,1,m_start,"&lt;"&amp;1020,m_end,"&gt;"&amp;960)&gt;1,"충돌",HYPERLINK("#'관리자_MASTER'!D"&amp;_xlfn.MAXIFS(m_row,m_teacher,I$4,m_date,($G$2+1),m_active,1,m_start,"&lt;"&amp;1020,m_end,"&gt;"&amp;960),INDEX(m_label,_xlfn.MAXIFS(m_row,m_teacher,I$4,m_date,($G$2+1),m_active,1,m_start,"&lt;"&amp;1020,m_end,"&gt;"&amp;960))))))</f>
        <v/>
      </c>
      <c r="J23" s="88" t="str">
        <f aca="false">IF(OR(J$4="",MONTH(($G$2+1))&lt;&gt;MONTH($C$2)),"",IF(COUNTIFS(m_teacher,J$4,m_date,($G$2+1),m_active,1,m_start,"&lt;"&amp;1020,m_end,"&gt;"&amp;960)=0,"",IF(COUNTIFS(m_teacher,J$4,m_date,($G$2+1),m_active,1,m_start,"&lt;"&amp;1020,m_end,"&gt;"&amp;960)&gt;1,"충돌",HYPERLINK("#'관리자_MASTER'!D"&amp;_xlfn.MAXIFS(m_row,m_teacher,J$4,m_date,($G$2+1),m_active,1,m_start,"&lt;"&amp;1020,m_end,"&gt;"&amp;960),INDEX(m_label,_xlfn.MAXIFS(m_row,m_teacher,J$4,m_date,($G$2+1),m_active,1,m_start,"&lt;"&amp;1020,m_end,"&gt;"&amp;960))))))</f>
        <v/>
      </c>
      <c r="K23" s="88" t="str">
        <f aca="false">IF(OR(K$4="",MONTH(($G$2+1))&lt;&gt;MONTH($C$2)),"",IF(COUNTIFS(m_teacher,K$4,m_date,($G$2+1),m_active,1,m_start,"&lt;"&amp;1020,m_end,"&gt;"&amp;960)=0,"",IF(COUNTIFS(m_teacher,K$4,m_date,($G$2+1),m_active,1,m_start,"&lt;"&amp;1020,m_end,"&gt;"&amp;960)&gt;1,"충돌",HYPERLINK("#'관리자_MASTER'!D"&amp;_xlfn.MAXIFS(m_row,m_teacher,K$4,m_date,($G$2+1),m_active,1,m_start,"&lt;"&amp;1020,m_end,"&gt;"&amp;960),INDEX(m_label,_xlfn.MAXIFS(m_row,m_teacher,K$4,m_date,($G$2+1),m_active,1,m_start,"&lt;"&amp;1020,m_end,"&gt;"&amp;960))))))</f>
        <v/>
      </c>
      <c r="L23" s="88" t="str">
        <f aca="false">IF(OR(L$4="",MONTH(($G$2+1))&lt;&gt;MONTH($C$2)),"",IF(COUNTIFS(m_teacher,L$4,m_date,($G$2+1),m_active,1,m_start,"&lt;"&amp;1020,m_end,"&gt;"&amp;960)=0,"",IF(COUNTIFS(m_teacher,L$4,m_date,($G$2+1),m_active,1,m_start,"&lt;"&amp;1020,m_end,"&gt;"&amp;960)&gt;1,"충돌",HYPERLINK("#'관리자_MASTER'!D"&amp;_xlfn.MAXIFS(m_row,m_teacher,L$4,m_date,($G$2+1),m_active,1,m_start,"&lt;"&amp;1020,m_end,"&gt;"&amp;960),INDEX(m_label,_xlfn.MAXIFS(m_row,m_teacher,L$4,m_date,($G$2+1),m_active,1,m_start,"&lt;"&amp;1020,m_end,"&gt;"&amp;960))))))</f>
        <v/>
      </c>
      <c r="M23" s="88" t="str">
        <f aca="false">IF(OR(M$4="",MONTH(($G$2+1))&lt;&gt;MONTH($C$2)),"",IF(COUNTIFS(m_teacher,M$4,m_date,($G$2+1),m_active,1,m_start,"&lt;"&amp;1020,m_end,"&gt;"&amp;960)=0,"",IF(COUNTIFS(m_teacher,M$4,m_date,($G$2+1),m_active,1,m_start,"&lt;"&amp;1020,m_end,"&gt;"&amp;960)&gt;1,"충돌",HYPERLINK("#'관리자_MASTER'!D"&amp;_xlfn.MAXIFS(m_row,m_teacher,M$4,m_date,($G$2+1),m_active,1,m_start,"&lt;"&amp;1020,m_end,"&gt;"&amp;960),INDEX(m_label,_xlfn.MAXIFS(m_row,m_teacher,M$4,m_date,($G$2+1),m_active,1,m_start,"&lt;"&amp;1020,m_end,"&gt;"&amp;960))))))</f>
        <v/>
      </c>
      <c r="N23" s="88" t="str">
        <f aca="false">IF(OR(N$4="",MONTH(($G$2+1))&lt;&gt;MONTH($C$2)),"",IF(COUNTIFS(m_teacher,N$4,m_date,($G$2+1),m_active,1,m_start,"&lt;"&amp;1020,m_end,"&gt;"&amp;960)=0,"",IF(COUNTIFS(m_teacher,N$4,m_date,($G$2+1),m_active,1,m_start,"&lt;"&amp;1020,m_end,"&gt;"&amp;960)&gt;1,"충돌",HYPERLINK("#'관리자_MASTER'!D"&amp;_xlfn.MAXIFS(m_row,m_teacher,N$4,m_date,($G$2+1),m_active,1,m_start,"&lt;"&amp;1020,m_end,"&gt;"&amp;960),INDEX(m_label,_xlfn.MAXIFS(m_row,m_teacher,N$4,m_date,($G$2+1),m_active,1,m_start,"&lt;"&amp;1020,m_end,"&gt;"&amp;960))))))</f>
        <v/>
      </c>
      <c r="O23" s="78"/>
      <c r="P23" s="79" t="s">
        <v>98</v>
      </c>
      <c r="Q23" s="88" t="str">
        <f aca="false">IF(OR(Q$4="",MONTH(($G$2+8))&lt;&gt;MONTH($C$2)),"",IF(COUNTIFS(m_teacher,Q$4,m_date,($G$2+8),m_active,1,m_start,"&lt;"&amp;1020,m_end,"&gt;"&amp;960)=0,"",IF(COUNTIFS(m_teacher,Q$4,m_date,($G$2+8),m_active,1,m_start,"&lt;"&amp;1020,m_end,"&gt;"&amp;960)&gt;1,"충돌",HYPERLINK("#'관리자_MASTER'!D"&amp;_xlfn.MAXIFS(m_row,m_teacher,Q$4,m_date,($G$2+8),m_active,1,m_start,"&lt;"&amp;1020,m_end,"&gt;"&amp;960),INDEX(m_label,_xlfn.MAXIFS(m_row,m_teacher,Q$4,m_date,($G$2+8),m_active,1,m_start,"&lt;"&amp;1020,m_end,"&gt;"&amp;960))))))</f>
        <v/>
      </c>
      <c r="R23" s="88" t="str">
        <f aca="false">IF(OR(R$4="",MONTH(($G$2+8))&lt;&gt;MONTH($C$2)),"",IF(COUNTIFS(m_teacher,R$4,m_date,($G$2+8),m_active,1,m_start,"&lt;"&amp;1020,m_end,"&gt;"&amp;960)=0,"",IF(COUNTIFS(m_teacher,R$4,m_date,($G$2+8),m_active,1,m_start,"&lt;"&amp;1020,m_end,"&gt;"&amp;960)&gt;1,"충돌",HYPERLINK("#'관리자_MASTER'!D"&amp;_xlfn.MAXIFS(m_row,m_teacher,R$4,m_date,($G$2+8),m_active,1,m_start,"&lt;"&amp;1020,m_end,"&gt;"&amp;960),INDEX(m_label,_xlfn.MAXIFS(m_row,m_teacher,R$4,m_date,($G$2+8),m_active,1,m_start,"&lt;"&amp;1020,m_end,"&gt;"&amp;960))))))</f>
        <v/>
      </c>
      <c r="S23" s="88" t="str">
        <f aca="false">IF(OR(S$4="",MONTH(($G$2+8))&lt;&gt;MONTH($C$2)),"",IF(COUNTIFS(m_teacher,S$4,m_date,($G$2+8),m_active,1,m_start,"&lt;"&amp;1020,m_end,"&gt;"&amp;960)=0,"",IF(COUNTIFS(m_teacher,S$4,m_date,($G$2+8),m_active,1,m_start,"&lt;"&amp;1020,m_end,"&gt;"&amp;960)&gt;1,"충돌",HYPERLINK("#'관리자_MASTER'!D"&amp;_xlfn.MAXIFS(m_row,m_teacher,S$4,m_date,($G$2+8),m_active,1,m_start,"&lt;"&amp;1020,m_end,"&gt;"&amp;960),INDEX(m_label,_xlfn.MAXIFS(m_row,m_teacher,S$4,m_date,($G$2+8),m_active,1,m_start,"&lt;"&amp;1020,m_end,"&gt;"&amp;960))))))</f>
        <v/>
      </c>
      <c r="T23" s="88" t="str">
        <f aca="false">IF(OR(T$4="",MONTH(($G$2+8))&lt;&gt;MONTH($C$2)),"",IF(COUNTIFS(m_teacher,T$4,m_date,($G$2+8),m_active,1,m_start,"&lt;"&amp;1020,m_end,"&gt;"&amp;960)=0,"",IF(COUNTIFS(m_teacher,T$4,m_date,($G$2+8),m_active,1,m_start,"&lt;"&amp;1020,m_end,"&gt;"&amp;960)&gt;1,"충돌",HYPERLINK("#'관리자_MASTER'!D"&amp;_xlfn.MAXIFS(m_row,m_teacher,T$4,m_date,($G$2+8),m_active,1,m_start,"&lt;"&amp;1020,m_end,"&gt;"&amp;960),INDEX(m_label,_xlfn.MAXIFS(m_row,m_teacher,T$4,m_date,($G$2+8),m_active,1,m_start,"&lt;"&amp;1020,m_end,"&gt;"&amp;960))))))</f>
        <v/>
      </c>
      <c r="U23" s="88" t="str">
        <f aca="false">IF(OR(U$4="",MONTH(($G$2+8))&lt;&gt;MONTH($C$2)),"",IF(COUNTIFS(m_teacher,U$4,m_date,($G$2+8),m_active,1,m_start,"&lt;"&amp;1020,m_end,"&gt;"&amp;960)=0,"",IF(COUNTIFS(m_teacher,U$4,m_date,($G$2+8),m_active,1,m_start,"&lt;"&amp;1020,m_end,"&gt;"&amp;960)&gt;1,"충돌",HYPERLINK("#'관리자_MASTER'!D"&amp;_xlfn.MAXIFS(m_row,m_teacher,U$4,m_date,($G$2+8),m_active,1,m_start,"&lt;"&amp;1020,m_end,"&gt;"&amp;960),INDEX(m_label,_xlfn.MAXIFS(m_row,m_teacher,U$4,m_date,($G$2+8),m_active,1,m_start,"&lt;"&amp;1020,m_end,"&gt;"&amp;960))))))</f>
        <v/>
      </c>
      <c r="V23" s="88" t="str">
        <f aca="false">IF(OR(V$4="",MONTH(($G$2+8))&lt;&gt;MONTH($C$2)),"",IF(COUNTIFS(m_teacher,V$4,m_date,($G$2+8),m_active,1,m_start,"&lt;"&amp;1020,m_end,"&gt;"&amp;960)=0,"",IF(COUNTIFS(m_teacher,V$4,m_date,($G$2+8),m_active,1,m_start,"&lt;"&amp;1020,m_end,"&gt;"&amp;960)&gt;1,"충돌",HYPERLINK("#'관리자_MASTER'!D"&amp;_xlfn.MAXIFS(m_row,m_teacher,V$4,m_date,($G$2+8),m_active,1,m_start,"&lt;"&amp;1020,m_end,"&gt;"&amp;960),INDEX(m_label,_xlfn.MAXIFS(m_row,m_teacher,V$4,m_date,($G$2+8),m_active,1,m_start,"&lt;"&amp;1020,m_end,"&gt;"&amp;960))))))</f>
        <v/>
      </c>
      <c r="W23" s="88" t="str">
        <f aca="false">IF(OR(W$4="",MONTH(($G$2+8))&lt;&gt;MONTH($C$2)),"",IF(COUNTIFS(m_teacher,W$4,m_date,($G$2+8),m_active,1,m_start,"&lt;"&amp;1020,m_end,"&gt;"&amp;960)=0,"",IF(COUNTIFS(m_teacher,W$4,m_date,($G$2+8),m_active,1,m_start,"&lt;"&amp;1020,m_end,"&gt;"&amp;960)&gt;1,"충돌",HYPERLINK("#'관리자_MASTER'!D"&amp;_xlfn.MAXIFS(m_row,m_teacher,W$4,m_date,($G$2+8),m_active,1,m_start,"&lt;"&amp;1020,m_end,"&gt;"&amp;960),INDEX(m_label,_xlfn.MAXIFS(m_row,m_teacher,W$4,m_date,($G$2+8),m_active,1,m_start,"&lt;"&amp;1020,m_end,"&gt;"&amp;960))))))</f>
        <v/>
      </c>
      <c r="X23" s="88" t="str">
        <f aca="false">IF(OR(X$4="",MONTH(($G$2+8))&lt;&gt;MONTH($C$2)),"",IF(COUNTIFS(m_teacher,X$4,m_date,($G$2+8),m_active,1,m_start,"&lt;"&amp;1020,m_end,"&gt;"&amp;960)=0,"",IF(COUNTIFS(m_teacher,X$4,m_date,($G$2+8),m_active,1,m_start,"&lt;"&amp;1020,m_end,"&gt;"&amp;960)&gt;1,"충돌",HYPERLINK("#'관리자_MASTER'!D"&amp;_xlfn.MAXIFS(m_row,m_teacher,X$4,m_date,($G$2+8),m_active,1,m_start,"&lt;"&amp;1020,m_end,"&gt;"&amp;960),INDEX(m_label,_xlfn.MAXIFS(m_row,m_teacher,X$4,m_date,($G$2+8),m_active,1,m_start,"&lt;"&amp;1020,m_end,"&gt;"&amp;960))))))</f>
        <v/>
      </c>
      <c r="Y23" s="88" t="str">
        <f aca="false">IF(OR(Y$4="",MONTH(($G$2+8))&lt;&gt;MONTH($C$2)),"",IF(COUNTIFS(m_teacher,Y$4,m_date,($G$2+8),m_active,1,m_start,"&lt;"&amp;1020,m_end,"&gt;"&amp;960)=0,"",IF(COUNTIFS(m_teacher,Y$4,m_date,($G$2+8),m_active,1,m_start,"&lt;"&amp;1020,m_end,"&gt;"&amp;960)&gt;1,"충돌",HYPERLINK("#'관리자_MASTER'!D"&amp;_xlfn.MAXIFS(m_row,m_teacher,Y$4,m_date,($G$2+8),m_active,1,m_start,"&lt;"&amp;1020,m_end,"&gt;"&amp;960),INDEX(m_label,_xlfn.MAXIFS(m_row,m_teacher,Y$4,m_date,($G$2+8),m_active,1,m_start,"&lt;"&amp;1020,m_end,"&gt;"&amp;960))))))</f>
        <v/>
      </c>
      <c r="Z23" s="88" t="str">
        <f aca="false">IF(OR(Z$4="",MONTH(($G$2+8))&lt;&gt;MONTH($C$2)),"",IF(COUNTIFS(m_teacher,Z$4,m_date,($G$2+8),m_active,1,m_start,"&lt;"&amp;1020,m_end,"&gt;"&amp;960)=0,"",IF(COUNTIFS(m_teacher,Z$4,m_date,($G$2+8),m_active,1,m_start,"&lt;"&amp;1020,m_end,"&gt;"&amp;960)&gt;1,"충돌",HYPERLINK("#'관리자_MASTER'!D"&amp;_xlfn.MAXIFS(m_row,m_teacher,Z$4,m_date,($G$2+8),m_active,1,m_start,"&lt;"&amp;1020,m_end,"&gt;"&amp;960),INDEX(m_label,_xlfn.MAXIFS(m_row,m_teacher,Z$4,m_date,($G$2+8),m_active,1,m_start,"&lt;"&amp;1020,m_end,"&gt;"&amp;960))))))</f>
        <v/>
      </c>
      <c r="AA23" s="88" t="str">
        <f aca="false">IF(OR(AA$4="",MONTH(($G$2+8))&lt;&gt;MONTH($C$2)),"",IF(COUNTIFS(m_teacher,AA$4,m_date,($G$2+8),m_active,1,m_start,"&lt;"&amp;1020,m_end,"&gt;"&amp;960)=0,"",IF(COUNTIFS(m_teacher,AA$4,m_date,($G$2+8),m_active,1,m_start,"&lt;"&amp;1020,m_end,"&gt;"&amp;960)&gt;1,"충돌",HYPERLINK("#'관리자_MASTER'!D"&amp;_xlfn.MAXIFS(m_row,m_teacher,AA$4,m_date,($G$2+8),m_active,1,m_start,"&lt;"&amp;1020,m_end,"&gt;"&amp;960),INDEX(m_label,_xlfn.MAXIFS(m_row,m_teacher,AA$4,m_date,($G$2+8),m_active,1,m_start,"&lt;"&amp;1020,m_end,"&gt;"&amp;960))))))</f>
        <v/>
      </c>
      <c r="AB23" s="88" t="str">
        <f aca="false">IF(OR(AB$4="",MONTH(($G$2+8))&lt;&gt;MONTH($C$2)),"",IF(COUNTIFS(m_teacher,AB$4,m_date,($G$2+8),m_active,1,m_start,"&lt;"&amp;1020,m_end,"&gt;"&amp;960)=0,"",IF(COUNTIFS(m_teacher,AB$4,m_date,($G$2+8),m_active,1,m_start,"&lt;"&amp;1020,m_end,"&gt;"&amp;960)&gt;1,"충돌",HYPERLINK("#'관리자_MASTER'!D"&amp;_xlfn.MAXIFS(m_row,m_teacher,AB$4,m_date,($G$2+8),m_active,1,m_start,"&lt;"&amp;1020,m_end,"&gt;"&amp;960),INDEX(m_label,_xlfn.MAXIFS(m_row,m_teacher,AB$4,m_date,($G$2+8),m_active,1,m_start,"&lt;"&amp;1020,m_end,"&gt;"&amp;960))))))</f>
        <v/>
      </c>
      <c r="AC23" s="78"/>
      <c r="AD23" s="79" t="s">
        <v>98</v>
      </c>
      <c r="AE23" s="88" t="str">
        <f aca="false">IF(OR(AE$4="",MONTH(($G$2+15))&lt;&gt;MONTH($C$2)),"",IF(COUNTIFS(m_teacher,AE$4,m_date,($G$2+15),m_active,1,m_start,"&lt;"&amp;1020,m_end,"&gt;"&amp;960)=0,"",IF(COUNTIFS(m_teacher,AE$4,m_date,($G$2+15),m_active,1,m_start,"&lt;"&amp;1020,m_end,"&gt;"&amp;960)&gt;1,"충돌",HYPERLINK("#'관리자_MASTER'!D"&amp;_xlfn.MAXIFS(m_row,m_teacher,AE$4,m_date,($G$2+15),m_active,1,m_start,"&lt;"&amp;1020,m_end,"&gt;"&amp;960),INDEX(m_label,_xlfn.MAXIFS(m_row,m_teacher,AE$4,m_date,($G$2+15),m_active,1,m_start,"&lt;"&amp;1020,m_end,"&gt;"&amp;960))))))</f>
        <v/>
      </c>
      <c r="AF23" s="88" t="str">
        <f aca="false">IF(OR(AF$4="",MONTH(($G$2+15))&lt;&gt;MONTH($C$2)),"",IF(COUNTIFS(m_teacher,AF$4,m_date,($G$2+15),m_active,1,m_start,"&lt;"&amp;1020,m_end,"&gt;"&amp;960)=0,"",IF(COUNTIFS(m_teacher,AF$4,m_date,($G$2+15),m_active,1,m_start,"&lt;"&amp;1020,m_end,"&gt;"&amp;960)&gt;1,"충돌",HYPERLINK("#'관리자_MASTER'!D"&amp;_xlfn.MAXIFS(m_row,m_teacher,AF$4,m_date,($G$2+15),m_active,1,m_start,"&lt;"&amp;1020,m_end,"&gt;"&amp;960),INDEX(m_label,_xlfn.MAXIFS(m_row,m_teacher,AF$4,m_date,($G$2+15),m_active,1,m_start,"&lt;"&amp;1020,m_end,"&gt;"&amp;960))))))</f>
        <v/>
      </c>
      <c r="AG23" s="88" t="str">
        <f aca="false">IF(OR(AG$4="",MONTH(($G$2+15))&lt;&gt;MONTH($C$2)),"",IF(COUNTIFS(m_teacher,AG$4,m_date,($G$2+15),m_active,1,m_start,"&lt;"&amp;1020,m_end,"&gt;"&amp;960)=0,"",IF(COUNTIFS(m_teacher,AG$4,m_date,($G$2+15),m_active,1,m_start,"&lt;"&amp;1020,m_end,"&gt;"&amp;960)&gt;1,"충돌",HYPERLINK("#'관리자_MASTER'!D"&amp;_xlfn.MAXIFS(m_row,m_teacher,AG$4,m_date,($G$2+15),m_active,1,m_start,"&lt;"&amp;1020,m_end,"&gt;"&amp;960),INDEX(m_label,_xlfn.MAXIFS(m_row,m_teacher,AG$4,m_date,($G$2+15),m_active,1,m_start,"&lt;"&amp;1020,m_end,"&gt;"&amp;960))))))</f>
        <v/>
      </c>
      <c r="AH23" s="88" t="str">
        <f aca="false">IF(OR(AH$4="",MONTH(($G$2+15))&lt;&gt;MONTH($C$2)),"",IF(COUNTIFS(m_teacher,AH$4,m_date,($G$2+15),m_active,1,m_start,"&lt;"&amp;1020,m_end,"&gt;"&amp;960)=0,"",IF(COUNTIFS(m_teacher,AH$4,m_date,($G$2+15),m_active,1,m_start,"&lt;"&amp;1020,m_end,"&gt;"&amp;960)&gt;1,"충돌",HYPERLINK("#'관리자_MASTER'!D"&amp;_xlfn.MAXIFS(m_row,m_teacher,AH$4,m_date,($G$2+15),m_active,1,m_start,"&lt;"&amp;1020,m_end,"&gt;"&amp;960),INDEX(m_label,_xlfn.MAXIFS(m_row,m_teacher,AH$4,m_date,($G$2+15),m_active,1,m_start,"&lt;"&amp;1020,m_end,"&gt;"&amp;960))))))</f>
        <v/>
      </c>
      <c r="AI23" s="88" t="str">
        <f aca="false">IF(OR(AI$4="",MONTH(($G$2+15))&lt;&gt;MONTH($C$2)),"",IF(COUNTIFS(m_teacher,AI$4,m_date,($G$2+15),m_active,1,m_start,"&lt;"&amp;1020,m_end,"&gt;"&amp;960)=0,"",IF(COUNTIFS(m_teacher,AI$4,m_date,($G$2+15),m_active,1,m_start,"&lt;"&amp;1020,m_end,"&gt;"&amp;960)&gt;1,"충돌",HYPERLINK("#'관리자_MASTER'!D"&amp;_xlfn.MAXIFS(m_row,m_teacher,AI$4,m_date,($G$2+15),m_active,1,m_start,"&lt;"&amp;1020,m_end,"&gt;"&amp;960),INDEX(m_label,_xlfn.MAXIFS(m_row,m_teacher,AI$4,m_date,($G$2+15),m_active,1,m_start,"&lt;"&amp;1020,m_end,"&gt;"&amp;960))))))</f>
        <v/>
      </c>
      <c r="AJ23" s="88" t="str">
        <f aca="false">IF(OR(AJ$4="",MONTH(($G$2+15))&lt;&gt;MONTH($C$2)),"",IF(COUNTIFS(m_teacher,AJ$4,m_date,($G$2+15),m_active,1,m_start,"&lt;"&amp;1020,m_end,"&gt;"&amp;960)=0,"",IF(COUNTIFS(m_teacher,AJ$4,m_date,($G$2+15),m_active,1,m_start,"&lt;"&amp;1020,m_end,"&gt;"&amp;960)&gt;1,"충돌",HYPERLINK("#'관리자_MASTER'!D"&amp;_xlfn.MAXIFS(m_row,m_teacher,AJ$4,m_date,($G$2+15),m_active,1,m_start,"&lt;"&amp;1020,m_end,"&gt;"&amp;960),INDEX(m_label,_xlfn.MAXIFS(m_row,m_teacher,AJ$4,m_date,($G$2+15),m_active,1,m_start,"&lt;"&amp;1020,m_end,"&gt;"&amp;960))))))</f>
        <v/>
      </c>
      <c r="AK23" s="88" t="str">
        <f aca="false">IF(OR(AK$4="",MONTH(($G$2+15))&lt;&gt;MONTH($C$2)),"",IF(COUNTIFS(m_teacher,AK$4,m_date,($G$2+15),m_active,1,m_start,"&lt;"&amp;1020,m_end,"&gt;"&amp;960)=0,"",IF(COUNTIFS(m_teacher,AK$4,m_date,($G$2+15),m_active,1,m_start,"&lt;"&amp;1020,m_end,"&gt;"&amp;960)&gt;1,"충돌",HYPERLINK("#'관리자_MASTER'!D"&amp;_xlfn.MAXIFS(m_row,m_teacher,AK$4,m_date,($G$2+15),m_active,1,m_start,"&lt;"&amp;1020,m_end,"&gt;"&amp;960),INDEX(m_label,_xlfn.MAXIFS(m_row,m_teacher,AK$4,m_date,($G$2+15),m_active,1,m_start,"&lt;"&amp;1020,m_end,"&gt;"&amp;960))))))</f>
        <v/>
      </c>
      <c r="AL23" s="88" t="str">
        <f aca="false">IF(OR(AL$4="",MONTH(($G$2+15))&lt;&gt;MONTH($C$2)),"",IF(COUNTIFS(m_teacher,AL$4,m_date,($G$2+15),m_active,1,m_start,"&lt;"&amp;1020,m_end,"&gt;"&amp;960)=0,"",IF(COUNTIFS(m_teacher,AL$4,m_date,($G$2+15),m_active,1,m_start,"&lt;"&amp;1020,m_end,"&gt;"&amp;960)&gt;1,"충돌",HYPERLINK("#'관리자_MASTER'!D"&amp;_xlfn.MAXIFS(m_row,m_teacher,AL$4,m_date,($G$2+15),m_active,1,m_start,"&lt;"&amp;1020,m_end,"&gt;"&amp;960),INDEX(m_label,_xlfn.MAXIFS(m_row,m_teacher,AL$4,m_date,($G$2+15),m_active,1,m_start,"&lt;"&amp;1020,m_end,"&gt;"&amp;960))))))</f>
        <v/>
      </c>
      <c r="AM23" s="88" t="str">
        <f aca="false">IF(OR(AM$4="",MONTH(($G$2+15))&lt;&gt;MONTH($C$2)),"",IF(COUNTIFS(m_teacher,AM$4,m_date,($G$2+15),m_active,1,m_start,"&lt;"&amp;1020,m_end,"&gt;"&amp;960)=0,"",IF(COUNTIFS(m_teacher,AM$4,m_date,($G$2+15),m_active,1,m_start,"&lt;"&amp;1020,m_end,"&gt;"&amp;960)&gt;1,"충돌",HYPERLINK("#'관리자_MASTER'!D"&amp;_xlfn.MAXIFS(m_row,m_teacher,AM$4,m_date,($G$2+15),m_active,1,m_start,"&lt;"&amp;1020,m_end,"&gt;"&amp;960),INDEX(m_label,_xlfn.MAXIFS(m_row,m_teacher,AM$4,m_date,($G$2+15),m_active,1,m_start,"&lt;"&amp;1020,m_end,"&gt;"&amp;960))))))</f>
        <v/>
      </c>
      <c r="AN23" s="88" t="str">
        <f aca="false">IF(OR(AN$4="",MONTH(($G$2+15))&lt;&gt;MONTH($C$2)),"",IF(COUNTIFS(m_teacher,AN$4,m_date,($G$2+15),m_active,1,m_start,"&lt;"&amp;1020,m_end,"&gt;"&amp;960)=0,"",IF(COUNTIFS(m_teacher,AN$4,m_date,($G$2+15),m_active,1,m_start,"&lt;"&amp;1020,m_end,"&gt;"&amp;960)&gt;1,"충돌",HYPERLINK("#'관리자_MASTER'!D"&amp;_xlfn.MAXIFS(m_row,m_teacher,AN$4,m_date,($G$2+15),m_active,1,m_start,"&lt;"&amp;1020,m_end,"&gt;"&amp;960),INDEX(m_label,_xlfn.MAXIFS(m_row,m_teacher,AN$4,m_date,($G$2+15),m_active,1,m_start,"&lt;"&amp;1020,m_end,"&gt;"&amp;960))))))</f>
        <v/>
      </c>
      <c r="AO23" s="88" t="str">
        <f aca="false">IF(OR(AO$4="",MONTH(($G$2+15))&lt;&gt;MONTH($C$2)),"",IF(COUNTIFS(m_teacher,AO$4,m_date,($G$2+15),m_active,1,m_start,"&lt;"&amp;1020,m_end,"&gt;"&amp;960)=0,"",IF(COUNTIFS(m_teacher,AO$4,m_date,($G$2+15),m_active,1,m_start,"&lt;"&amp;1020,m_end,"&gt;"&amp;960)&gt;1,"충돌",HYPERLINK("#'관리자_MASTER'!D"&amp;_xlfn.MAXIFS(m_row,m_teacher,AO$4,m_date,($G$2+15),m_active,1,m_start,"&lt;"&amp;1020,m_end,"&gt;"&amp;960),INDEX(m_label,_xlfn.MAXIFS(m_row,m_teacher,AO$4,m_date,($G$2+15),m_active,1,m_start,"&lt;"&amp;1020,m_end,"&gt;"&amp;960))))))</f>
        <v/>
      </c>
      <c r="AP23" s="88" t="str">
        <f aca="false">IF(OR(AP$4="",MONTH(($G$2+15))&lt;&gt;MONTH($C$2)),"",IF(COUNTIFS(m_teacher,AP$4,m_date,($G$2+15),m_active,1,m_start,"&lt;"&amp;1020,m_end,"&gt;"&amp;960)=0,"",IF(COUNTIFS(m_teacher,AP$4,m_date,($G$2+15),m_active,1,m_start,"&lt;"&amp;1020,m_end,"&gt;"&amp;960)&gt;1,"충돌",HYPERLINK("#'관리자_MASTER'!D"&amp;_xlfn.MAXIFS(m_row,m_teacher,AP$4,m_date,($G$2+15),m_active,1,m_start,"&lt;"&amp;1020,m_end,"&gt;"&amp;960),INDEX(m_label,_xlfn.MAXIFS(m_row,m_teacher,AP$4,m_date,($G$2+15),m_active,1,m_start,"&lt;"&amp;1020,m_end,"&gt;"&amp;960))))))</f>
        <v/>
      </c>
      <c r="AQ23" s="78"/>
      <c r="AR23" s="79" t="s">
        <v>98</v>
      </c>
      <c r="AS23" s="88" t="str">
        <f aca="false">IF(OR(AS$4="",MONTH(($G$2+22))&lt;&gt;MONTH($C$2)),"",IF(COUNTIFS(m_teacher,AS$4,m_date,($G$2+22),m_active,1,m_start,"&lt;"&amp;1020,m_end,"&gt;"&amp;960)=0,"",IF(COUNTIFS(m_teacher,AS$4,m_date,($G$2+22),m_active,1,m_start,"&lt;"&amp;1020,m_end,"&gt;"&amp;960)&gt;1,"충돌",HYPERLINK("#'관리자_MASTER'!D"&amp;_xlfn.MAXIFS(m_row,m_teacher,AS$4,m_date,($G$2+22),m_active,1,m_start,"&lt;"&amp;1020,m_end,"&gt;"&amp;960),INDEX(m_label,_xlfn.MAXIFS(m_row,m_teacher,AS$4,m_date,($G$2+22),m_active,1,m_start,"&lt;"&amp;1020,m_end,"&gt;"&amp;960))))))</f>
        <v/>
      </c>
      <c r="AT23" s="88" t="str">
        <f aca="false">IF(OR(AT$4="",MONTH(($G$2+22))&lt;&gt;MONTH($C$2)),"",IF(COUNTIFS(m_teacher,AT$4,m_date,($G$2+22),m_active,1,m_start,"&lt;"&amp;1020,m_end,"&gt;"&amp;960)=0,"",IF(COUNTIFS(m_teacher,AT$4,m_date,($G$2+22),m_active,1,m_start,"&lt;"&amp;1020,m_end,"&gt;"&amp;960)&gt;1,"충돌",HYPERLINK("#'관리자_MASTER'!D"&amp;_xlfn.MAXIFS(m_row,m_teacher,AT$4,m_date,($G$2+22),m_active,1,m_start,"&lt;"&amp;1020,m_end,"&gt;"&amp;960),INDEX(m_label,_xlfn.MAXIFS(m_row,m_teacher,AT$4,m_date,($G$2+22),m_active,1,m_start,"&lt;"&amp;1020,m_end,"&gt;"&amp;960))))))</f>
        <v/>
      </c>
      <c r="AU23" s="88" t="str">
        <f aca="false">IF(OR(AU$4="",MONTH(($G$2+22))&lt;&gt;MONTH($C$2)),"",IF(COUNTIFS(m_teacher,AU$4,m_date,($G$2+22),m_active,1,m_start,"&lt;"&amp;1020,m_end,"&gt;"&amp;960)=0,"",IF(COUNTIFS(m_teacher,AU$4,m_date,($G$2+22),m_active,1,m_start,"&lt;"&amp;1020,m_end,"&gt;"&amp;960)&gt;1,"충돌",HYPERLINK("#'관리자_MASTER'!D"&amp;_xlfn.MAXIFS(m_row,m_teacher,AU$4,m_date,($G$2+22),m_active,1,m_start,"&lt;"&amp;1020,m_end,"&gt;"&amp;960),INDEX(m_label,_xlfn.MAXIFS(m_row,m_teacher,AU$4,m_date,($G$2+22),m_active,1,m_start,"&lt;"&amp;1020,m_end,"&gt;"&amp;960))))))</f>
        <v/>
      </c>
      <c r="AV23" s="88" t="str">
        <f aca="false">IF(OR(AV$4="",MONTH(($G$2+22))&lt;&gt;MONTH($C$2)),"",IF(COUNTIFS(m_teacher,AV$4,m_date,($G$2+22),m_active,1,m_start,"&lt;"&amp;1020,m_end,"&gt;"&amp;960)=0,"",IF(COUNTIFS(m_teacher,AV$4,m_date,($G$2+22),m_active,1,m_start,"&lt;"&amp;1020,m_end,"&gt;"&amp;960)&gt;1,"충돌",HYPERLINK("#'관리자_MASTER'!D"&amp;_xlfn.MAXIFS(m_row,m_teacher,AV$4,m_date,($G$2+22),m_active,1,m_start,"&lt;"&amp;1020,m_end,"&gt;"&amp;960),INDEX(m_label,_xlfn.MAXIFS(m_row,m_teacher,AV$4,m_date,($G$2+22),m_active,1,m_start,"&lt;"&amp;1020,m_end,"&gt;"&amp;960))))))</f>
        <v/>
      </c>
      <c r="AW23" s="88" t="str">
        <f aca="false">IF(OR(AW$4="",MONTH(($G$2+22))&lt;&gt;MONTH($C$2)),"",IF(COUNTIFS(m_teacher,AW$4,m_date,($G$2+22),m_active,1,m_start,"&lt;"&amp;1020,m_end,"&gt;"&amp;960)=0,"",IF(COUNTIFS(m_teacher,AW$4,m_date,($G$2+22),m_active,1,m_start,"&lt;"&amp;1020,m_end,"&gt;"&amp;960)&gt;1,"충돌",HYPERLINK("#'관리자_MASTER'!D"&amp;_xlfn.MAXIFS(m_row,m_teacher,AW$4,m_date,($G$2+22),m_active,1,m_start,"&lt;"&amp;1020,m_end,"&gt;"&amp;960),INDEX(m_label,_xlfn.MAXIFS(m_row,m_teacher,AW$4,m_date,($G$2+22),m_active,1,m_start,"&lt;"&amp;1020,m_end,"&gt;"&amp;960))))))</f>
        <v/>
      </c>
      <c r="AX23" s="88" t="str">
        <f aca="false">IF(OR(AX$4="",MONTH(($G$2+22))&lt;&gt;MONTH($C$2)),"",IF(COUNTIFS(m_teacher,AX$4,m_date,($G$2+22),m_active,1,m_start,"&lt;"&amp;1020,m_end,"&gt;"&amp;960)=0,"",IF(COUNTIFS(m_teacher,AX$4,m_date,($G$2+22),m_active,1,m_start,"&lt;"&amp;1020,m_end,"&gt;"&amp;960)&gt;1,"충돌",HYPERLINK("#'관리자_MASTER'!D"&amp;_xlfn.MAXIFS(m_row,m_teacher,AX$4,m_date,($G$2+22),m_active,1,m_start,"&lt;"&amp;1020,m_end,"&gt;"&amp;960),INDEX(m_label,_xlfn.MAXIFS(m_row,m_teacher,AX$4,m_date,($G$2+22),m_active,1,m_start,"&lt;"&amp;1020,m_end,"&gt;"&amp;960))))))</f>
        <v/>
      </c>
      <c r="AY23" s="88" t="str">
        <f aca="false">IF(OR(AY$4="",MONTH(($G$2+22))&lt;&gt;MONTH($C$2)),"",IF(COUNTIFS(m_teacher,AY$4,m_date,($G$2+22),m_active,1,m_start,"&lt;"&amp;1020,m_end,"&gt;"&amp;960)=0,"",IF(COUNTIFS(m_teacher,AY$4,m_date,($G$2+22),m_active,1,m_start,"&lt;"&amp;1020,m_end,"&gt;"&amp;960)&gt;1,"충돌",HYPERLINK("#'관리자_MASTER'!D"&amp;_xlfn.MAXIFS(m_row,m_teacher,AY$4,m_date,($G$2+22),m_active,1,m_start,"&lt;"&amp;1020,m_end,"&gt;"&amp;960),INDEX(m_label,_xlfn.MAXIFS(m_row,m_teacher,AY$4,m_date,($G$2+22),m_active,1,m_start,"&lt;"&amp;1020,m_end,"&gt;"&amp;960))))))</f>
        <v/>
      </c>
      <c r="AZ23" s="88" t="str">
        <f aca="false">IF(OR(AZ$4="",MONTH(($G$2+22))&lt;&gt;MONTH($C$2)),"",IF(COUNTIFS(m_teacher,AZ$4,m_date,($G$2+22),m_active,1,m_start,"&lt;"&amp;1020,m_end,"&gt;"&amp;960)=0,"",IF(COUNTIFS(m_teacher,AZ$4,m_date,($G$2+22),m_active,1,m_start,"&lt;"&amp;1020,m_end,"&gt;"&amp;960)&gt;1,"충돌",HYPERLINK("#'관리자_MASTER'!D"&amp;_xlfn.MAXIFS(m_row,m_teacher,AZ$4,m_date,($G$2+22),m_active,1,m_start,"&lt;"&amp;1020,m_end,"&gt;"&amp;960),INDEX(m_label,_xlfn.MAXIFS(m_row,m_teacher,AZ$4,m_date,($G$2+22),m_active,1,m_start,"&lt;"&amp;1020,m_end,"&gt;"&amp;960))))))</f>
        <v/>
      </c>
      <c r="BA23" s="88" t="str">
        <f aca="false">IF(OR(BA$4="",MONTH(($G$2+22))&lt;&gt;MONTH($C$2)),"",IF(COUNTIFS(m_teacher,BA$4,m_date,($G$2+22),m_active,1,m_start,"&lt;"&amp;1020,m_end,"&gt;"&amp;960)=0,"",IF(COUNTIFS(m_teacher,BA$4,m_date,($G$2+22),m_active,1,m_start,"&lt;"&amp;1020,m_end,"&gt;"&amp;960)&gt;1,"충돌",HYPERLINK("#'관리자_MASTER'!D"&amp;_xlfn.MAXIFS(m_row,m_teacher,BA$4,m_date,($G$2+22),m_active,1,m_start,"&lt;"&amp;1020,m_end,"&gt;"&amp;960),INDEX(m_label,_xlfn.MAXIFS(m_row,m_teacher,BA$4,m_date,($G$2+22),m_active,1,m_start,"&lt;"&amp;1020,m_end,"&gt;"&amp;960))))))</f>
        <v/>
      </c>
      <c r="BB23" s="88" t="str">
        <f aca="false">IF(OR(BB$4="",MONTH(($G$2+22))&lt;&gt;MONTH($C$2)),"",IF(COUNTIFS(m_teacher,BB$4,m_date,($G$2+22),m_active,1,m_start,"&lt;"&amp;1020,m_end,"&gt;"&amp;960)=0,"",IF(COUNTIFS(m_teacher,BB$4,m_date,($G$2+22),m_active,1,m_start,"&lt;"&amp;1020,m_end,"&gt;"&amp;960)&gt;1,"충돌",HYPERLINK("#'관리자_MASTER'!D"&amp;_xlfn.MAXIFS(m_row,m_teacher,BB$4,m_date,($G$2+22),m_active,1,m_start,"&lt;"&amp;1020,m_end,"&gt;"&amp;960),INDEX(m_label,_xlfn.MAXIFS(m_row,m_teacher,BB$4,m_date,($G$2+22),m_active,1,m_start,"&lt;"&amp;1020,m_end,"&gt;"&amp;960))))))</f>
        <v/>
      </c>
      <c r="BC23" s="88" t="str">
        <f aca="false">IF(OR(BC$4="",MONTH(($G$2+22))&lt;&gt;MONTH($C$2)),"",IF(COUNTIFS(m_teacher,BC$4,m_date,($G$2+22),m_active,1,m_start,"&lt;"&amp;1020,m_end,"&gt;"&amp;960)=0,"",IF(COUNTIFS(m_teacher,BC$4,m_date,($G$2+22),m_active,1,m_start,"&lt;"&amp;1020,m_end,"&gt;"&amp;960)&gt;1,"충돌",HYPERLINK("#'관리자_MASTER'!D"&amp;_xlfn.MAXIFS(m_row,m_teacher,BC$4,m_date,($G$2+22),m_active,1,m_start,"&lt;"&amp;1020,m_end,"&gt;"&amp;960),INDEX(m_label,_xlfn.MAXIFS(m_row,m_teacher,BC$4,m_date,($G$2+22),m_active,1,m_start,"&lt;"&amp;1020,m_end,"&gt;"&amp;960))))))</f>
        <v/>
      </c>
      <c r="BD23" s="88" t="str">
        <f aca="false">IF(OR(BD$4="",MONTH(($G$2+22))&lt;&gt;MONTH($C$2)),"",IF(COUNTIFS(m_teacher,BD$4,m_date,($G$2+22),m_active,1,m_start,"&lt;"&amp;1020,m_end,"&gt;"&amp;960)=0,"",IF(COUNTIFS(m_teacher,BD$4,m_date,($G$2+22),m_active,1,m_start,"&lt;"&amp;1020,m_end,"&gt;"&amp;960)&gt;1,"충돌",HYPERLINK("#'관리자_MASTER'!D"&amp;_xlfn.MAXIFS(m_row,m_teacher,BD$4,m_date,($G$2+22),m_active,1,m_start,"&lt;"&amp;1020,m_end,"&gt;"&amp;960),INDEX(m_label,_xlfn.MAXIFS(m_row,m_teacher,BD$4,m_date,($G$2+22),m_active,1,m_start,"&lt;"&amp;1020,m_end,"&gt;"&amp;960))))))</f>
        <v/>
      </c>
      <c r="BE23" s="78"/>
      <c r="BF23" s="79" t="s">
        <v>98</v>
      </c>
      <c r="BG23" s="88" t="str">
        <f aca="false">IF(OR(BG$4="",MONTH(($G$2+29))&lt;&gt;MONTH($C$2)),"",IF(COUNTIFS(m_teacher,BG$4,m_date,($G$2+29),m_active,1,m_start,"&lt;"&amp;1020,m_end,"&gt;"&amp;960)=0,"",IF(COUNTIFS(m_teacher,BG$4,m_date,($G$2+29),m_active,1,m_start,"&lt;"&amp;1020,m_end,"&gt;"&amp;960)&gt;1,"충돌",HYPERLINK("#'관리자_MASTER'!D"&amp;_xlfn.MAXIFS(m_row,m_teacher,BG$4,m_date,($G$2+29),m_active,1,m_start,"&lt;"&amp;1020,m_end,"&gt;"&amp;960),INDEX(m_label,_xlfn.MAXIFS(m_row,m_teacher,BG$4,m_date,($G$2+29),m_active,1,m_start,"&lt;"&amp;1020,m_end,"&gt;"&amp;960))))))</f>
        <v/>
      </c>
      <c r="BH23" s="88" t="str">
        <f aca="false">IF(OR(BH$4="",MONTH(($G$2+29))&lt;&gt;MONTH($C$2)),"",IF(COUNTIFS(m_teacher,BH$4,m_date,($G$2+29),m_active,1,m_start,"&lt;"&amp;1020,m_end,"&gt;"&amp;960)=0,"",IF(COUNTIFS(m_teacher,BH$4,m_date,($G$2+29),m_active,1,m_start,"&lt;"&amp;1020,m_end,"&gt;"&amp;960)&gt;1,"충돌",HYPERLINK("#'관리자_MASTER'!D"&amp;_xlfn.MAXIFS(m_row,m_teacher,BH$4,m_date,($G$2+29),m_active,1,m_start,"&lt;"&amp;1020,m_end,"&gt;"&amp;960),INDEX(m_label,_xlfn.MAXIFS(m_row,m_teacher,BH$4,m_date,($G$2+29),m_active,1,m_start,"&lt;"&amp;1020,m_end,"&gt;"&amp;960))))))</f>
        <v/>
      </c>
      <c r="BI23" s="88" t="str">
        <f aca="false">IF(OR(BI$4="",MONTH(($G$2+29))&lt;&gt;MONTH($C$2)),"",IF(COUNTIFS(m_teacher,BI$4,m_date,($G$2+29),m_active,1,m_start,"&lt;"&amp;1020,m_end,"&gt;"&amp;960)=0,"",IF(COUNTIFS(m_teacher,BI$4,m_date,($G$2+29),m_active,1,m_start,"&lt;"&amp;1020,m_end,"&gt;"&amp;960)&gt;1,"충돌",HYPERLINK("#'관리자_MASTER'!D"&amp;_xlfn.MAXIFS(m_row,m_teacher,BI$4,m_date,($G$2+29),m_active,1,m_start,"&lt;"&amp;1020,m_end,"&gt;"&amp;960),INDEX(m_label,_xlfn.MAXIFS(m_row,m_teacher,BI$4,m_date,($G$2+29),m_active,1,m_start,"&lt;"&amp;1020,m_end,"&gt;"&amp;960))))))</f>
        <v/>
      </c>
      <c r="BJ23" s="88" t="str">
        <f aca="false">IF(OR(BJ$4="",MONTH(($G$2+29))&lt;&gt;MONTH($C$2)),"",IF(COUNTIFS(m_teacher,BJ$4,m_date,($G$2+29),m_active,1,m_start,"&lt;"&amp;1020,m_end,"&gt;"&amp;960)=0,"",IF(COUNTIFS(m_teacher,BJ$4,m_date,($G$2+29),m_active,1,m_start,"&lt;"&amp;1020,m_end,"&gt;"&amp;960)&gt;1,"충돌",HYPERLINK("#'관리자_MASTER'!D"&amp;_xlfn.MAXIFS(m_row,m_teacher,BJ$4,m_date,($G$2+29),m_active,1,m_start,"&lt;"&amp;1020,m_end,"&gt;"&amp;960),INDEX(m_label,_xlfn.MAXIFS(m_row,m_teacher,BJ$4,m_date,($G$2+29),m_active,1,m_start,"&lt;"&amp;1020,m_end,"&gt;"&amp;960))))))</f>
        <v/>
      </c>
      <c r="BK23" s="88" t="str">
        <f aca="false">IF(OR(BK$4="",MONTH(($G$2+29))&lt;&gt;MONTH($C$2)),"",IF(COUNTIFS(m_teacher,BK$4,m_date,($G$2+29),m_active,1,m_start,"&lt;"&amp;1020,m_end,"&gt;"&amp;960)=0,"",IF(COUNTIFS(m_teacher,BK$4,m_date,($G$2+29),m_active,1,m_start,"&lt;"&amp;1020,m_end,"&gt;"&amp;960)&gt;1,"충돌",HYPERLINK("#'관리자_MASTER'!D"&amp;_xlfn.MAXIFS(m_row,m_teacher,BK$4,m_date,($G$2+29),m_active,1,m_start,"&lt;"&amp;1020,m_end,"&gt;"&amp;960),INDEX(m_label,_xlfn.MAXIFS(m_row,m_teacher,BK$4,m_date,($G$2+29),m_active,1,m_start,"&lt;"&amp;1020,m_end,"&gt;"&amp;960))))))</f>
        <v/>
      </c>
      <c r="BL23" s="88" t="str">
        <f aca="false">IF(OR(BL$4="",MONTH(($G$2+29))&lt;&gt;MONTH($C$2)),"",IF(COUNTIFS(m_teacher,BL$4,m_date,($G$2+29),m_active,1,m_start,"&lt;"&amp;1020,m_end,"&gt;"&amp;960)=0,"",IF(COUNTIFS(m_teacher,BL$4,m_date,($G$2+29),m_active,1,m_start,"&lt;"&amp;1020,m_end,"&gt;"&amp;960)&gt;1,"충돌",HYPERLINK("#'관리자_MASTER'!D"&amp;_xlfn.MAXIFS(m_row,m_teacher,BL$4,m_date,($G$2+29),m_active,1,m_start,"&lt;"&amp;1020,m_end,"&gt;"&amp;960),INDEX(m_label,_xlfn.MAXIFS(m_row,m_teacher,BL$4,m_date,($G$2+29),m_active,1,m_start,"&lt;"&amp;1020,m_end,"&gt;"&amp;960))))))</f>
        <v/>
      </c>
      <c r="BM23" s="88" t="str">
        <f aca="false">IF(OR(BM$4="",MONTH(($G$2+29))&lt;&gt;MONTH($C$2)),"",IF(COUNTIFS(m_teacher,BM$4,m_date,($G$2+29),m_active,1,m_start,"&lt;"&amp;1020,m_end,"&gt;"&amp;960)=0,"",IF(COUNTIFS(m_teacher,BM$4,m_date,($G$2+29),m_active,1,m_start,"&lt;"&amp;1020,m_end,"&gt;"&amp;960)&gt;1,"충돌",HYPERLINK("#'관리자_MASTER'!D"&amp;_xlfn.MAXIFS(m_row,m_teacher,BM$4,m_date,($G$2+29),m_active,1,m_start,"&lt;"&amp;1020,m_end,"&gt;"&amp;960),INDEX(m_label,_xlfn.MAXIFS(m_row,m_teacher,BM$4,m_date,($G$2+29),m_active,1,m_start,"&lt;"&amp;1020,m_end,"&gt;"&amp;960))))))</f>
        <v/>
      </c>
      <c r="BN23" s="88" t="str">
        <f aca="false">IF(OR(BN$4="",MONTH(($G$2+29))&lt;&gt;MONTH($C$2)),"",IF(COUNTIFS(m_teacher,BN$4,m_date,($G$2+29),m_active,1,m_start,"&lt;"&amp;1020,m_end,"&gt;"&amp;960)=0,"",IF(COUNTIFS(m_teacher,BN$4,m_date,($G$2+29),m_active,1,m_start,"&lt;"&amp;1020,m_end,"&gt;"&amp;960)&gt;1,"충돌",HYPERLINK("#'관리자_MASTER'!D"&amp;_xlfn.MAXIFS(m_row,m_teacher,BN$4,m_date,($G$2+29),m_active,1,m_start,"&lt;"&amp;1020,m_end,"&gt;"&amp;960),INDEX(m_label,_xlfn.MAXIFS(m_row,m_teacher,BN$4,m_date,($G$2+29),m_active,1,m_start,"&lt;"&amp;1020,m_end,"&gt;"&amp;960))))))</f>
        <v/>
      </c>
      <c r="BO23" s="88" t="str">
        <f aca="false">IF(OR(BO$4="",MONTH(($G$2+29))&lt;&gt;MONTH($C$2)),"",IF(COUNTIFS(m_teacher,BO$4,m_date,($G$2+29),m_active,1,m_start,"&lt;"&amp;1020,m_end,"&gt;"&amp;960)=0,"",IF(COUNTIFS(m_teacher,BO$4,m_date,($G$2+29),m_active,1,m_start,"&lt;"&amp;1020,m_end,"&gt;"&amp;960)&gt;1,"충돌",HYPERLINK("#'관리자_MASTER'!D"&amp;_xlfn.MAXIFS(m_row,m_teacher,BO$4,m_date,($G$2+29),m_active,1,m_start,"&lt;"&amp;1020,m_end,"&gt;"&amp;960),INDEX(m_label,_xlfn.MAXIFS(m_row,m_teacher,BO$4,m_date,($G$2+29),m_active,1,m_start,"&lt;"&amp;1020,m_end,"&gt;"&amp;960))))))</f>
        <v/>
      </c>
      <c r="BP23" s="88" t="str">
        <f aca="false">IF(OR(BP$4="",MONTH(($G$2+29))&lt;&gt;MONTH($C$2)),"",IF(COUNTIFS(m_teacher,BP$4,m_date,($G$2+29),m_active,1,m_start,"&lt;"&amp;1020,m_end,"&gt;"&amp;960)=0,"",IF(COUNTIFS(m_teacher,BP$4,m_date,($G$2+29),m_active,1,m_start,"&lt;"&amp;1020,m_end,"&gt;"&amp;960)&gt;1,"충돌",HYPERLINK("#'관리자_MASTER'!D"&amp;_xlfn.MAXIFS(m_row,m_teacher,BP$4,m_date,($G$2+29),m_active,1,m_start,"&lt;"&amp;1020,m_end,"&gt;"&amp;960),INDEX(m_label,_xlfn.MAXIFS(m_row,m_teacher,BP$4,m_date,($G$2+29),m_active,1,m_start,"&lt;"&amp;1020,m_end,"&gt;"&amp;960))))))</f>
        <v/>
      </c>
      <c r="BQ23" s="88" t="str">
        <f aca="false">IF(OR(BQ$4="",MONTH(($G$2+29))&lt;&gt;MONTH($C$2)),"",IF(COUNTIFS(m_teacher,BQ$4,m_date,($G$2+29),m_active,1,m_start,"&lt;"&amp;1020,m_end,"&gt;"&amp;960)=0,"",IF(COUNTIFS(m_teacher,BQ$4,m_date,($G$2+29),m_active,1,m_start,"&lt;"&amp;1020,m_end,"&gt;"&amp;960)&gt;1,"충돌",HYPERLINK("#'관리자_MASTER'!D"&amp;_xlfn.MAXIFS(m_row,m_teacher,BQ$4,m_date,($G$2+29),m_active,1,m_start,"&lt;"&amp;1020,m_end,"&gt;"&amp;960),INDEX(m_label,_xlfn.MAXIFS(m_row,m_teacher,BQ$4,m_date,($G$2+29),m_active,1,m_start,"&lt;"&amp;1020,m_end,"&gt;"&amp;960))))))</f>
        <v/>
      </c>
      <c r="BR23" s="88" t="str">
        <f aca="false">IF(OR(BR$4="",MONTH(($G$2+29))&lt;&gt;MONTH($C$2)),"",IF(COUNTIFS(m_teacher,BR$4,m_date,($G$2+29),m_active,1,m_start,"&lt;"&amp;1020,m_end,"&gt;"&amp;960)=0,"",IF(COUNTIFS(m_teacher,BR$4,m_date,($G$2+29),m_active,1,m_start,"&lt;"&amp;1020,m_end,"&gt;"&amp;960)&gt;1,"충돌",HYPERLINK("#'관리자_MASTER'!D"&amp;_xlfn.MAXIFS(m_row,m_teacher,BR$4,m_date,($G$2+29),m_active,1,m_start,"&lt;"&amp;1020,m_end,"&gt;"&amp;960),INDEX(m_label,_xlfn.MAXIFS(m_row,m_teacher,BR$4,m_date,($G$2+29),m_active,1,m_start,"&lt;"&amp;1020,m_end,"&gt;"&amp;960))))))</f>
        <v/>
      </c>
    </row>
    <row r="24" customFormat="false" ht="19.5" hidden="false" customHeight="true" outlineLevel="0" collapsed="false">
      <c r="A24" s="78"/>
      <c r="B24" s="79" t="s">
        <v>99</v>
      </c>
      <c r="C24" s="88" t="str">
        <f aca="false">IF(OR(C$4="",MONTH(($G$2+1))&lt;&gt;MONTH($C$2)),"",IF(COUNTIFS(m_teacher,C$4,m_date,($G$2+1),m_active,1,m_start,"&lt;"&amp;1080,m_end,"&gt;"&amp;1020)=0,"",IF(COUNTIFS(m_teacher,C$4,m_date,($G$2+1),m_active,1,m_start,"&lt;"&amp;1080,m_end,"&gt;"&amp;1020)&gt;1,"충돌",HYPERLINK("#'관리자_MASTER'!D"&amp;_xlfn.MAXIFS(m_row,m_teacher,C$4,m_date,($G$2+1),m_active,1,m_start,"&lt;"&amp;1080,m_end,"&gt;"&amp;1020),INDEX(m_label,_xlfn.MAXIFS(m_row,m_teacher,C$4,m_date,($G$2+1),m_active,1,m_start,"&lt;"&amp;1080,m_end,"&gt;"&amp;1020))))))</f>
        <v/>
      </c>
      <c r="D24" s="88" t="str">
        <f aca="false">IF(OR(D$4="",MONTH(($G$2+1))&lt;&gt;MONTH($C$2)),"",IF(COUNTIFS(m_teacher,D$4,m_date,($G$2+1),m_active,1,m_start,"&lt;"&amp;1080,m_end,"&gt;"&amp;1020)=0,"",IF(COUNTIFS(m_teacher,D$4,m_date,($G$2+1),m_active,1,m_start,"&lt;"&amp;1080,m_end,"&gt;"&amp;1020)&gt;1,"충돌",HYPERLINK("#'관리자_MASTER'!D"&amp;_xlfn.MAXIFS(m_row,m_teacher,D$4,m_date,($G$2+1),m_active,1,m_start,"&lt;"&amp;1080,m_end,"&gt;"&amp;1020),INDEX(m_label,_xlfn.MAXIFS(m_row,m_teacher,D$4,m_date,($G$2+1),m_active,1,m_start,"&lt;"&amp;1080,m_end,"&gt;"&amp;1020))))))</f>
        <v/>
      </c>
      <c r="E24" s="88" t="str">
        <f aca="false">IF(OR(E$4="",MONTH(($G$2+1))&lt;&gt;MONTH($C$2)),"",IF(COUNTIFS(m_teacher,E$4,m_date,($G$2+1),m_active,1,m_start,"&lt;"&amp;1080,m_end,"&gt;"&amp;1020)=0,"",IF(COUNTIFS(m_teacher,E$4,m_date,($G$2+1),m_active,1,m_start,"&lt;"&amp;1080,m_end,"&gt;"&amp;1020)&gt;1,"충돌",HYPERLINK("#'관리자_MASTER'!D"&amp;_xlfn.MAXIFS(m_row,m_teacher,E$4,m_date,($G$2+1),m_active,1,m_start,"&lt;"&amp;1080,m_end,"&gt;"&amp;1020),INDEX(m_label,_xlfn.MAXIFS(m_row,m_teacher,E$4,m_date,($G$2+1),m_active,1,m_start,"&lt;"&amp;1080,m_end,"&gt;"&amp;1020))))))</f>
        <v/>
      </c>
      <c r="F24" s="88" t="str">
        <f aca="false">IF(OR(F$4="",MONTH(($G$2+1))&lt;&gt;MONTH($C$2)),"",IF(COUNTIFS(m_teacher,F$4,m_date,($G$2+1),m_active,1,m_start,"&lt;"&amp;1080,m_end,"&gt;"&amp;1020)=0,"",IF(COUNTIFS(m_teacher,F$4,m_date,($G$2+1),m_active,1,m_start,"&lt;"&amp;1080,m_end,"&gt;"&amp;1020)&gt;1,"충돌",HYPERLINK("#'관리자_MASTER'!D"&amp;_xlfn.MAXIFS(m_row,m_teacher,F$4,m_date,($G$2+1),m_active,1,m_start,"&lt;"&amp;1080,m_end,"&gt;"&amp;1020),INDEX(m_label,_xlfn.MAXIFS(m_row,m_teacher,F$4,m_date,($G$2+1),m_active,1,m_start,"&lt;"&amp;1080,m_end,"&gt;"&amp;1020))))))</f>
        <v/>
      </c>
      <c r="G24" s="88" t="str">
        <f aca="false">IF(OR(G$4="",MONTH(($G$2+1))&lt;&gt;MONTH($C$2)),"",IF(COUNTIFS(m_teacher,G$4,m_date,($G$2+1),m_active,1,m_start,"&lt;"&amp;1080,m_end,"&gt;"&amp;1020)=0,"",IF(COUNTIFS(m_teacher,G$4,m_date,($G$2+1),m_active,1,m_start,"&lt;"&amp;1080,m_end,"&gt;"&amp;1020)&gt;1,"충돌",HYPERLINK("#'관리자_MASTER'!D"&amp;_xlfn.MAXIFS(m_row,m_teacher,G$4,m_date,($G$2+1),m_active,1,m_start,"&lt;"&amp;1080,m_end,"&gt;"&amp;1020),INDEX(m_label,_xlfn.MAXIFS(m_row,m_teacher,G$4,m_date,($G$2+1),m_active,1,m_start,"&lt;"&amp;1080,m_end,"&gt;"&amp;1020))))))</f>
        <v/>
      </c>
      <c r="H24" s="88" t="str">
        <f aca="false">IF(OR(H$4="",MONTH(($G$2+1))&lt;&gt;MONTH($C$2)),"",IF(COUNTIFS(m_teacher,H$4,m_date,($G$2+1),m_active,1,m_start,"&lt;"&amp;1080,m_end,"&gt;"&amp;1020)=0,"",IF(COUNTIFS(m_teacher,H$4,m_date,($G$2+1),m_active,1,m_start,"&lt;"&amp;1080,m_end,"&gt;"&amp;1020)&gt;1,"충돌",HYPERLINK("#'관리자_MASTER'!D"&amp;_xlfn.MAXIFS(m_row,m_teacher,H$4,m_date,($G$2+1),m_active,1,m_start,"&lt;"&amp;1080,m_end,"&gt;"&amp;1020),INDEX(m_label,_xlfn.MAXIFS(m_row,m_teacher,H$4,m_date,($G$2+1),m_active,1,m_start,"&lt;"&amp;1080,m_end,"&gt;"&amp;1020))))))</f>
        <v/>
      </c>
      <c r="I24" s="88" t="str">
        <f aca="false">IF(OR(I$4="",MONTH(($G$2+1))&lt;&gt;MONTH($C$2)),"",IF(COUNTIFS(m_teacher,I$4,m_date,($G$2+1),m_active,1,m_start,"&lt;"&amp;1080,m_end,"&gt;"&amp;1020)=0,"",IF(COUNTIFS(m_teacher,I$4,m_date,($G$2+1),m_active,1,m_start,"&lt;"&amp;1080,m_end,"&gt;"&amp;1020)&gt;1,"충돌",HYPERLINK("#'관리자_MASTER'!D"&amp;_xlfn.MAXIFS(m_row,m_teacher,I$4,m_date,($G$2+1),m_active,1,m_start,"&lt;"&amp;1080,m_end,"&gt;"&amp;1020),INDEX(m_label,_xlfn.MAXIFS(m_row,m_teacher,I$4,m_date,($G$2+1),m_active,1,m_start,"&lt;"&amp;1080,m_end,"&gt;"&amp;1020))))))</f>
        <v/>
      </c>
      <c r="J24" s="88" t="str">
        <f aca="false">IF(OR(J$4="",MONTH(($G$2+1))&lt;&gt;MONTH($C$2)),"",IF(COUNTIFS(m_teacher,J$4,m_date,($G$2+1),m_active,1,m_start,"&lt;"&amp;1080,m_end,"&gt;"&amp;1020)=0,"",IF(COUNTIFS(m_teacher,J$4,m_date,($G$2+1),m_active,1,m_start,"&lt;"&amp;1080,m_end,"&gt;"&amp;1020)&gt;1,"충돌",HYPERLINK("#'관리자_MASTER'!D"&amp;_xlfn.MAXIFS(m_row,m_teacher,J$4,m_date,($G$2+1),m_active,1,m_start,"&lt;"&amp;1080,m_end,"&gt;"&amp;1020),INDEX(m_label,_xlfn.MAXIFS(m_row,m_teacher,J$4,m_date,($G$2+1),m_active,1,m_start,"&lt;"&amp;1080,m_end,"&gt;"&amp;1020))))))</f>
        <v/>
      </c>
      <c r="K24" s="88" t="str">
        <f aca="false">IF(OR(K$4="",MONTH(($G$2+1))&lt;&gt;MONTH($C$2)),"",IF(COUNTIFS(m_teacher,K$4,m_date,($G$2+1),m_active,1,m_start,"&lt;"&amp;1080,m_end,"&gt;"&amp;1020)=0,"",IF(COUNTIFS(m_teacher,K$4,m_date,($G$2+1),m_active,1,m_start,"&lt;"&amp;1080,m_end,"&gt;"&amp;1020)&gt;1,"충돌",HYPERLINK("#'관리자_MASTER'!D"&amp;_xlfn.MAXIFS(m_row,m_teacher,K$4,m_date,($G$2+1),m_active,1,m_start,"&lt;"&amp;1080,m_end,"&gt;"&amp;1020),INDEX(m_label,_xlfn.MAXIFS(m_row,m_teacher,K$4,m_date,($G$2+1),m_active,1,m_start,"&lt;"&amp;1080,m_end,"&gt;"&amp;1020))))))</f>
        <v/>
      </c>
      <c r="L24" s="88" t="str">
        <f aca="false">IF(OR(L$4="",MONTH(($G$2+1))&lt;&gt;MONTH($C$2)),"",IF(COUNTIFS(m_teacher,L$4,m_date,($G$2+1),m_active,1,m_start,"&lt;"&amp;1080,m_end,"&gt;"&amp;1020)=0,"",IF(COUNTIFS(m_teacher,L$4,m_date,($G$2+1),m_active,1,m_start,"&lt;"&amp;1080,m_end,"&gt;"&amp;1020)&gt;1,"충돌",HYPERLINK("#'관리자_MASTER'!D"&amp;_xlfn.MAXIFS(m_row,m_teacher,L$4,m_date,($G$2+1),m_active,1,m_start,"&lt;"&amp;1080,m_end,"&gt;"&amp;1020),INDEX(m_label,_xlfn.MAXIFS(m_row,m_teacher,L$4,m_date,($G$2+1),m_active,1,m_start,"&lt;"&amp;1080,m_end,"&gt;"&amp;1020))))))</f>
        <v/>
      </c>
      <c r="M24" s="88" t="str">
        <f aca="false">IF(OR(M$4="",MONTH(($G$2+1))&lt;&gt;MONTH($C$2)),"",IF(COUNTIFS(m_teacher,M$4,m_date,($G$2+1),m_active,1,m_start,"&lt;"&amp;1080,m_end,"&gt;"&amp;1020)=0,"",IF(COUNTIFS(m_teacher,M$4,m_date,($G$2+1),m_active,1,m_start,"&lt;"&amp;1080,m_end,"&gt;"&amp;1020)&gt;1,"충돌",HYPERLINK("#'관리자_MASTER'!D"&amp;_xlfn.MAXIFS(m_row,m_teacher,M$4,m_date,($G$2+1),m_active,1,m_start,"&lt;"&amp;1080,m_end,"&gt;"&amp;1020),INDEX(m_label,_xlfn.MAXIFS(m_row,m_teacher,M$4,m_date,($G$2+1),m_active,1,m_start,"&lt;"&amp;1080,m_end,"&gt;"&amp;1020))))))</f>
        <v/>
      </c>
      <c r="N24" s="88" t="str">
        <f aca="false">IF(OR(N$4="",MONTH(($G$2+1))&lt;&gt;MONTH($C$2)),"",IF(COUNTIFS(m_teacher,N$4,m_date,($G$2+1),m_active,1,m_start,"&lt;"&amp;1080,m_end,"&gt;"&amp;1020)=0,"",IF(COUNTIFS(m_teacher,N$4,m_date,($G$2+1),m_active,1,m_start,"&lt;"&amp;1080,m_end,"&gt;"&amp;1020)&gt;1,"충돌",HYPERLINK("#'관리자_MASTER'!D"&amp;_xlfn.MAXIFS(m_row,m_teacher,N$4,m_date,($G$2+1),m_active,1,m_start,"&lt;"&amp;1080,m_end,"&gt;"&amp;1020),INDEX(m_label,_xlfn.MAXIFS(m_row,m_teacher,N$4,m_date,($G$2+1),m_active,1,m_start,"&lt;"&amp;1080,m_end,"&gt;"&amp;1020))))))</f>
        <v/>
      </c>
      <c r="O24" s="78"/>
      <c r="P24" s="79" t="s">
        <v>99</v>
      </c>
      <c r="Q24" s="88" t="str">
        <f aca="false">IF(OR(Q$4="",MONTH(($G$2+8))&lt;&gt;MONTH($C$2)),"",IF(COUNTIFS(m_teacher,Q$4,m_date,($G$2+8),m_active,1,m_start,"&lt;"&amp;1080,m_end,"&gt;"&amp;1020)=0,"",IF(COUNTIFS(m_teacher,Q$4,m_date,($G$2+8),m_active,1,m_start,"&lt;"&amp;1080,m_end,"&gt;"&amp;1020)&gt;1,"충돌",HYPERLINK("#'관리자_MASTER'!D"&amp;_xlfn.MAXIFS(m_row,m_teacher,Q$4,m_date,($G$2+8),m_active,1,m_start,"&lt;"&amp;1080,m_end,"&gt;"&amp;1020),INDEX(m_label,_xlfn.MAXIFS(m_row,m_teacher,Q$4,m_date,($G$2+8),m_active,1,m_start,"&lt;"&amp;1080,m_end,"&gt;"&amp;1020))))))</f>
        <v/>
      </c>
      <c r="R24" s="88" t="str">
        <f aca="false">IF(OR(R$4="",MONTH(($G$2+8))&lt;&gt;MONTH($C$2)),"",IF(COUNTIFS(m_teacher,R$4,m_date,($G$2+8),m_active,1,m_start,"&lt;"&amp;1080,m_end,"&gt;"&amp;1020)=0,"",IF(COUNTIFS(m_teacher,R$4,m_date,($G$2+8),m_active,1,m_start,"&lt;"&amp;1080,m_end,"&gt;"&amp;1020)&gt;1,"충돌",HYPERLINK("#'관리자_MASTER'!D"&amp;_xlfn.MAXIFS(m_row,m_teacher,R$4,m_date,($G$2+8),m_active,1,m_start,"&lt;"&amp;1080,m_end,"&gt;"&amp;1020),INDEX(m_label,_xlfn.MAXIFS(m_row,m_teacher,R$4,m_date,($G$2+8),m_active,1,m_start,"&lt;"&amp;1080,m_end,"&gt;"&amp;1020))))))</f>
        <v/>
      </c>
      <c r="S24" s="88" t="str">
        <f aca="false">IF(OR(S$4="",MONTH(($G$2+8))&lt;&gt;MONTH($C$2)),"",IF(COUNTIFS(m_teacher,S$4,m_date,($G$2+8),m_active,1,m_start,"&lt;"&amp;1080,m_end,"&gt;"&amp;1020)=0,"",IF(COUNTIFS(m_teacher,S$4,m_date,($G$2+8),m_active,1,m_start,"&lt;"&amp;1080,m_end,"&gt;"&amp;1020)&gt;1,"충돌",HYPERLINK("#'관리자_MASTER'!D"&amp;_xlfn.MAXIFS(m_row,m_teacher,S$4,m_date,($G$2+8),m_active,1,m_start,"&lt;"&amp;1080,m_end,"&gt;"&amp;1020),INDEX(m_label,_xlfn.MAXIFS(m_row,m_teacher,S$4,m_date,($G$2+8),m_active,1,m_start,"&lt;"&amp;1080,m_end,"&gt;"&amp;1020))))))</f>
        <v/>
      </c>
      <c r="T24" s="88" t="str">
        <f aca="false">IF(OR(T$4="",MONTH(($G$2+8))&lt;&gt;MONTH($C$2)),"",IF(COUNTIFS(m_teacher,T$4,m_date,($G$2+8),m_active,1,m_start,"&lt;"&amp;1080,m_end,"&gt;"&amp;1020)=0,"",IF(COUNTIFS(m_teacher,T$4,m_date,($G$2+8),m_active,1,m_start,"&lt;"&amp;1080,m_end,"&gt;"&amp;1020)&gt;1,"충돌",HYPERLINK("#'관리자_MASTER'!D"&amp;_xlfn.MAXIFS(m_row,m_teacher,T$4,m_date,($G$2+8),m_active,1,m_start,"&lt;"&amp;1080,m_end,"&gt;"&amp;1020),INDEX(m_label,_xlfn.MAXIFS(m_row,m_teacher,T$4,m_date,($G$2+8),m_active,1,m_start,"&lt;"&amp;1080,m_end,"&gt;"&amp;1020))))))</f>
        <v/>
      </c>
      <c r="U24" s="88" t="str">
        <f aca="false">IF(OR(U$4="",MONTH(($G$2+8))&lt;&gt;MONTH($C$2)),"",IF(COUNTIFS(m_teacher,U$4,m_date,($G$2+8),m_active,1,m_start,"&lt;"&amp;1080,m_end,"&gt;"&amp;1020)=0,"",IF(COUNTIFS(m_teacher,U$4,m_date,($G$2+8),m_active,1,m_start,"&lt;"&amp;1080,m_end,"&gt;"&amp;1020)&gt;1,"충돌",HYPERLINK("#'관리자_MASTER'!D"&amp;_xlfn.MAXIFS(m_row,m_teacher,U$4,m_date,($G$2+8),m_active,1,m_start,"&lt;"&amp;1080,m_end,"&gt;"&amp;1020),INDEX(m_label,_xlfn.MAXIFS(m_row,m_teacher,U$4,m_date,($G$2+8),m_active,1,m_start,"&lt;"&amp;1080,m_end,"&gt;"&amp;1020))))))</f>
        <v/>
      </c>
      <c r="V24" s="88" t="str">
        <f aca="false">IF(OR(V$4="",MONTH(($G$2+8))&lt;&gt;MONTH($C$2)),"",IF(COUNTIFS(m_teacher,V$4,m_date,($G$2+8),m_active,1,m_start,"&lt;"&amp;1080,m_end,"&gt;"&amp;1020)=0,"",IF(COUNTIFS(m_teacher,V$4,m_date,($G$2+8),m_active,1,m_start,"&lt;"&amp;1080,m_end,"&gt;"&amp;1020)&gt;1,"충돌",HYPERLINK("#'관리자_MASTER'!D"&amp;_xlfn.MAXIFS(m_row,m_teacher,V$4,m_date,($G$2+8),m_active,1,m_start,"&lt;"&amp;1080,m_end,"&gt;"&amp;1020),INDEX(m_label,_xlfn.MAXIFS(m_row,m_teacher,V$4,m_date,($G$2+8),m_active,1,m_start,"&lt;"&amp;1080,m_end,"&gt;"&amp;1020))))))</f>
        <v/>
      </c>
      <c r="W24" s="88" t="str">
        <f aca="false">IF(OR(W$4="",MONTH(($G$2+8))&lt;&gt;MONTH($C$2)),"",IF(COUNTIFS(m_teacher,W$4,m_date,($G$2+8),m_active,1,m_start,"&lt;"&amp;1080,m_end,"&gt;"&amp;1020)=0,"",IF(COUNTIFS(m_teacher,W$4,m_date,($G$2+8),m_active,1,m_start,"&lt;"&amp;1080,m_end,"&gt;"&amp;1020)&gt;1,"충돌",HYPERLINK("#'관리자_MASTER'!D"&amp;_xlfn.MAXIFS(m_row,m_teacher,W$4,m_date,($G$2+8),m_active,1,m_start,"&lt;"&amp;1080,m_end,"&gt;"&amp;1020),INDEX(m_label,_xlfn.MAXIFS(m_row,m_teacher,W$4,m_date,($G$2+8),m_active,1,m_start,"&lt;"&amp;1080,m_end,"&gt;"&amp;1020))))))</f>
        <v/>
      </c>
      <c r="X24" s="88" t="str">
        <f aca="false">IF(OR(X$4="",MONTH(($G$2+8))&lt;&gt;MONTH($C$2)),"",IF(COUNTIFS(m_teacher,X$4,m_date,($G$2+8),m_active,1,m_start,"&lt;"&amp;1080,m_end,"&gt;"&amp;1020)=0,"",IF(COUNTIFS(m_teacher,X$4,m_date,($G$2+8),m_active,1,m_start,"&lt;"&amp;1080,m_end,"&gt;"&amp;1020)&gt;1,"충돌",HYPERLINK("#'관리자_MASTER'!D"&amp;_xlfn.MAXIFS(m_row,m_teacher,X$4,m_date,($G$2+8),m_active,1,m_start,"&lt;"&amp;1080,m_end,"&gt;"&amp;1020),INDEX(m_label,_xlfn.MAXIFS(m_row,m_teacher,X$4,m_date,($G$2+8),m_active,1,m_start,"&lt;"&amp;1080,m_end,"&gt;"&amp;1020))))))</f>
        <v/>
      </c>
      <c r="Y24" s="88" t="str">
        <f aca="false">IF(OR(Y$4="",MONTH(($G$2+8))&lt;&gt;MONTH($C$2)),"",IF(COUNTIFS(m_teacher,Y$4,m_date,($G$2+8),m_active,1,m_start,"&lt;"&amp;1080,m_end,"&gt;"&amp;1020)=0,"",IF(COUNTIFS(m_teacher,Y$4,m_date,($G$2+8),m_active,1,m_start,"&lt;"&amp;1080,m_end,"&gt;"&amp;1020)&gt;1,"충돌",HYPERLINK("#'관리자_MASTER'!D"&amp;_xlfn.MAXIFS(m_row,m_teacher,Y$4,m_date,($G$2+8),m_active,1,m_start,"&lt;"&amp;1080,m_end,"&gt;"&amp;1020),INDEX(m_label,_xlfn.MAXIFS(m_row,m_teacher,Y$4,m_date,($G$2+8),m_active,1,m_start,"&lt;"&amp;1080,m_end,"&gt;"&amp;1020))))))</f>
        <v/>
      </c>
      <c r="Z24" s="88" t="str">
        <f aca="false">IF(OR(Z$4="",MONTH(($G$2+8))&lt;&gt;MONTH($C$2)),"",IF(COUNTIFS(m_teacher,Z$4,m_date,($G$2+8),m_active,1,m_start,"&lt;"&amp;1080,m_end,"&gt;"&amp;1020)=0,"",IF(COUNTIFS(m_teacher,Z$4,m_date,($G$2+8),m_active,1,m_start,"&lt;"&amp;1080,m_end,"&gt;"&amp;1020)&gt;1,"충돌",HYPERLINK("#'관리자_MASTER'!D"&amp;_xlfn.MAXIFS(m_row,m_teacher,Z$4,m_date,($G$2+8),m_active,1,m_start,"&lt;"&amp;1080,m_end,"&gt;"&amp;1020),INDEX(m_label,_xlfn.MAXIFS(m_row,m_teacher,Z$4,m_date,($G$2+8),m_active,1,m_start,"&lt;"&amp;1080,m_end,"&gt;"&amp;1020))))))</f>
        <v/>
      </c>
      <c r="AA24" s="88" t="str">
        <f aca="false">IF(OR(AA$4="",MONTH(($G$2+8))&lt;&gt;MONTH($C$2)),"",IF(COUNTIFS(m_teacher,AA$4,m_date,($G$2+8),m_active,1,m_start,"&lt;"&amp;1080,m_end,"&gt;"&amp;1020)=0,"",IF(COUNTIFS(m_teacher,AA$4,m_date,($G$2+8),m_active,1,m_start,"&lt;"&amp;1080,m_end,"&gt;"&amp;1020)&gt;1,"충돌",HYPERLINK("#'관리자_MASTER'!D"&amp;_xlfn.MAXIFS(m_row,m_teacher,AA$4,m_date,($G$2+8),m_active,1,m_start,"&lt;"&amp;1080,m_end,"&gt;"&amp;1020),INDEX(m_label,_xlfn.MAXIFS(m_row,m_teacher,AA$4,m_date,($G$2+8),m_active,1,m_start,"&lt;"&amp;1080,m_end,"&gt;"&amp;1020))))))</f>
        <v/>
      </c>
      <c r="AB24" s="88" t="str">
        <f aca="false">IF(OR(AB$4="",MONTH(($G$2+8))&lt;&gt;MONTH($C$2)),"",IF(COUNTIFS(m_teacher,AB$4,m_date,($G$2+8),m_active,1,m_start,"&lt;"&amp;1080,m_end,"&gt;"&amp;1020)=0,"",IF(COUNTIFS(m_teacher,AB$4,m_date,($G$2+8),m_active,1,m_start,"&lt;"&amp;1080,m_end,"&gt;"&amp;1020)&gt;1,"충돌",HYPERLINK("#'관리자_MASTER'!D"&amp;_xlfn.MAXIFS(m_row,m_teacher,AB$4,m_date,($G$2+8),m_active,1,m_start,"&lt;"&amp;1080,m_end,"&gt;"&amp;1020),INDEX(m_label,_xlfn.MAXIFS(m_row,m_teacher,AB$4,m_date,($G$2+8),m_active,1,m_start,"&lt;"&amp;1080,m_end,"&gt;"&amp;1020))))))</f>
        <v/>
      </c>
      <c r="AC24" s="78"/>
      <c r="AD24" s="79" t="s">
        <v>99</v>
      </c>
      <c r="AE24" s="88" t="str">
        <f aca="false">IF(OR(AE$4="",MONTH(($G$2+15))&lt;&gt;MONTH($C$2)),"",IF(COUNTIFS(m_teacher,AE$4,m_date,($G$2+15),m_active,1,m_start,"&lt;"&amp;1080,m_end,"&gt;"&amp;1020)=0,"",IF(COUNTIFS(m_teacher,AE$4,m_date,($G$2+15),m_active,1,m_start,"&lt;"&amp;1080,m_end,"&gt;"&amp;1020)&gt;1,"충돌",HYPERLINK("#'관리자_MASTER'!D"&amp;_xlfn.MAXIFS(m_row,m_teacher,AE$4,m_date,($G$2+15),m_active,1,m_start,"&lt;"&amp;1080,m_end,"&gt;"&amp;1020),INDEX(m_label,_xlfn.MAXIFS(m_row,m_teacher,AE$4,m_date,($G$2+15),m_active,1,m_start,"&lt;"&amp;1080,m_end,"&gt;"&amp;1020))))))</f>
        <v/>
      </c>
      <c r="AF24" s="88" t="str">
        <f aca="false">IF(OR(AF$4="",MONTH(($G$2+15))&lt;&gt;MONTH($C$2)),"",IF(COUNTIFS(m_teacher,AF$4,m_date,($G$2+15),m_active,1,m_start,"&lt;"&amp;1080,m_end,"&gt;"&amp;1020)=0,"",IF(COUNTIFS(m_teacher,AF$4,m_date,($G$2+15),m_active,1,m_start,"&lt;"&amp;1080,m_end,"&gt;"&amp;1020)&gt;1,"충돌",HYPERLINK("#'관리자_MASTER'!D"&amp;_xlfn.MAXIFS(m_row,m_teacher,AF$4,m_date,($G$2+15),m_active,1,m_start,"&lt;"&amp;1080,m_end,"&gt;"&amp;1020),INDEX(m_label,_xlfn.MAXIFS(m_row,m_teacher,AF$4,m_date,($G$2+15),m_active,1,m_start,"&lt;"&amp;1080,m_end,"&gt;"&amp;1020))))))</f>
        <v/>
      </c>
      <c r="AG24" s="88" t="str">
        <f aca="false">IF(OR(AG$4="",MONTH(($G$2+15))&lt;&gt;MONTH($C$2)),"",IF(COUNTIFS(m_teacher,AG$4,m_date,($G$2+15),m_active,1,m_start,"&lt;"&amp;1080,m_end,"&gt;"&amp;1020)=0,"",IF(COUNTIFS(m_teacher,AG$4,m_date,($G$2+15),m_active,1,m_start,"&lt;"&amp;1080,m_end,"&gt;"&amp;1020)&gt;1,"충돌",HYPERLINK("#'관리자_MASTER'!D"&amp;_xlfn.MAXIFS(m_row,m_teacher,AG$4,m_date,($G$2+15),m_active,1,m_start,"&lt;"&amp;1080,m_end,"&gt;"&amp;1020),INDEX(m_label,_xlfn.MAXIFS(m_row,m_teacher,AG$4,m_date,($G$2+15),m_active,1,m_start,"&lt;"&amp;1080,m_end,"&gt;"&amp;1020))))))</f>
        <v/>
      </c>
      <c r="AH24" s="88" t="str">
        <f aca="false">IF(OR(AH$4="",MONTH(($G$2+15))&lt;&gt;MONTH($C$2)),"",IF(COUNTIFS(m_teacher,AH$4,m_date,($G$2+15),m_active,1,m_start,"&lt;"&amp;1080,m_end,"&gt;"&amp;1020)=0,"",IF(COUNTIFS(m_teacher,AH$4,m_date,($G$2+15),m_active,1,m_start,"&lt;"&amp;1080,m_end,"&gt;"&amp;1020)&gt;1,"충돌",HYPERLINK("#'관리자_MASTER'!D"&amp;_xlfn.MAXIFS(m_row,m_teacher,AH$4,m_date,($G$2+15),m_active,1,m_start,"&lt;"&amp;1080,m_end,"&gt;"&amp;1020),INDEX(m_label,_xlfn.MAXIFS(m_row,m_teacher,AH$4,m_date,($G$2+15),m_active,1,m_start,"&lt;"&amp;1080,m_end,"&gt;"&amp;1020))))))</f>
        <v/>
      </c>
      <c r="AI24" s="88" t="str">
        <f aca="false">IF(OR(AI$4="",MONTH(($G$2+15))&lt;&gt;MONTH($C$2)),"",IF(COUNTIFS(m_teacher,AI$4,m_date,($G$2+15),m_active,1,m_start,"&lt;"&amp;1080,m_end,"&gt;"&amp;1020)=0,"",IF(COUNTIFS(m_teacher,AI$4,m_date,($G$2+15),m_active,1,m_start,"&lt;"&amp;1080,m_end,"&gt;"&amp;1020)&gt;1,"충돌",HYPERLINK("#'관리자_MASTER'!D"&amp;_xlfn.MAXIFS(m_row,m_teacher,AI$4,m_date,($G$2+15),m_active,1,m_start,"&lt;"&amp;1080,m_end,"&gt;"&amp;1020),INDEX(m_label,_xlfn.MAXIFS(m_row,m_teacher,AI$4,m_date,($G$2+15),m_active,1,m_start,"&lt;"&amp;1080,m_end,"&gt;"&amp;1020))))))</f>
        <v/>
      </c>
      <c r="AJ24" s="88" t="str">
        <f aca="false">IF(OR(AJ$4="",MONTH(($G$2+15))&lt;&gt;MONTH($C$2)),"",IF(COUNTIFS(m_teacher,AJ$4,m_date,($G$2+15),m_active,1,m_start,"&lt;"&amp;1080,m_end,"&gt;"&amp;1020)=0,"",IF(COUNTIFS(m_teacher,AJ$4,m_date,($G$2+15),m_active,1,m_start,"&lt;"&amp;1080,m_end,"&gt;"&amp;1020)&gt;1,"충돌",HYPERLINK("#'관리자_MASTER'!D"&amp;_xlfn.MAXIFS(m_row,m_teacher,AJ$4,m_date,($G$2+15),m_active,1,m_start,"&lt;"&amp;1080,m_end,"&gt;"&amp;1020),INDEX(m_label,_xlfn.MAXIFS(m_row,m_teacher,AJ$4,m_date,($G$2+15),m_active,1,m_start,"&lt;"&amp;1080,m_end,"&gt;"&amp;1020))))))</f>
        <v/>
      </c>
      <c r="AK24" s="88" t="str">
        <f aca="false">IF(OR(AK$4="",MONTH(($G$2+15))&lt;&gt;MONTH($C$2)),"",IF(COUNTIFS(m_teacher,AK$4,m_date,($G$2+15),m_active,1,m_start,"&lt;"&amp;1080,m_end,"&gt;"&amp;1020)=0,"",IF(COUNTIFS(m_teacher,AK$4,m_date,($G$2+15),m_active,1,m_start,"&lt;"&amp;1080,m_end,"&gt;"&amp;1020)&gt;1,"충돌",HYPERLINK("#'관리자_MASTER'!D"&amp;_xlfn.MAXIFS(m_row,m_teacher,AK$4,m_date,($G$2+15),m_active,1,m_start,"&lt;"&amp;1080,m_end,"&gt;"&amp;1020),INDEX(m_label,_xlfn.MAXIFS(m_row,m_teacher,AK$4,m_date,($G$2+15),m_active,1,m_start,"&lt;"&amp;1080,m_end,"&gt;"&amp;1020))))))</f>
        <v/>
      </c>
      <c r="AL24" s="88" t="str">
        <f aca="false">IF(OR(AL$4="",MONTH(($G$2+15))&lt;&gt;MONTH($C$2)),"",IF(COUNTIFS(m_teacher,AL$4,m_date,($G$2+15),m_active,1,m_start,"&lt;"&amp;1080,m_end,"&gt;"&amp;1020)=0,"",IF(COUNTIFS(m_teacher,AL$4,m_date,($G$2+15),m_active,1,m_start,"&lt;"&amp;1080,m_end,"&gt;"&amp;1020)&gt;1,"충돌",HYPERLINK("#'관리자_MASTER'!D"&amp;_xlfn.MAXIFS(m_row,m_teacher,AL$4,m_date,($G$2+15),m_active,1,m_start,"&lt;"&amp;1080,m_end,"&gt;"&amp;1020),INDEX(m_label,_xlfn.MAXIFS(m_row,m_teacher,AL$4,m_date,($G$2+15),m_active,1,m_start,"&lt;"&amp;1080,m_end,"&gt;"&amp;1020))))))</f>
        <v/>
      </c>
      <c r="AM24" s="88" t="str">
        <f aca="false">IF(OR(AM$4="",MONTH(($G$2+15))&lt;&gt;MONTH($C$2)),"",IF(COUNTIFS(m_teacher,AM$4,m_date,($G$2+15),m_active,1,m_start,"&lt;"&amp;1080,m_end,"&gt;"&amp;1020)=0,"",IF(COUNTIFS(m_teacher,AM$4,m_date,($G$2+15),m_active,1,m_start,"&lt;"&amp;1080,m_end,"&gt;"&amp;1020)&gt;1,"충돌",HYPERLINK("#'관리자_MASTER'!D"&amp;_xlfn.MAXIFS(m_row,m_teacher,AM$4,m_date,($G$2+15),m_active,1,m_start,"&lt;"&amp;1080,m_end,"&gt;"&amp;1020),INDEX(m_label,_xlfn.MAXIFS(m_row,m_teacher,AM$4,m_date,($G$2+15),m_active,1,m_start,"&lt;"&amp;1080,m_end,"&gt;"&amp;1020))))))</f>
        <v/>
      </c>
      <c r="AN24" s="88" t="str">
        <f aca="false">IF(OR(AN$4="",MONTH(($G$2+15))&lt;&gt;MONTH($C$2)),"",IF(COUNTIFS(m_teacher,AN$4,m_date,($G$2+15),m_active,1,m_start,"&lt;"&amp;1080,m_end,"&gt;"&amp;1020)=0,"",IF(COUNTIFS(m_teacher,AN$4,m_date,($G$2+15),m_active,1,m_start,"&lt;"&amp;1080,m_end,"&gt;"&amp;1020)&gt;1,"충돌",HYPERLINK("#'관리자_MASTER'!D"&amp;_xlfn.MAXIFS(m_row,m_teacher,AN$4,m_date,($G$2+15),m_active,1,m_start,"&lt;"&amp;1080,m_end,"&gt;"&amp;1020),INDEX(m_label,_xlfn.MAXIFS(m_row,m_teacher,AN$4,m_date,($G$2+15),m_active,1,m_start,"&lt;"&amp;1080,m_end,"&gt;"&amp;1020))))))</f>
        <v/>
      </c>
      <c r="AO24" s="88" t="str">
        <f aca="false">IF(OR(AO$4="",MONTH(($G$2+15))&lt;&gt;MONTH($C$2)),"",IF(COUNTIFS(m_teacher,AO$4,m_date,($G$2+15),m_active,1,m_start,"&lt;"&amp;1080,m_end,"&gt;"&amp;1020)=0,"",IF(COUNTIFS(m_teacher,AO$4,m_date,($G$2+15),m_active,1,m_start,"&lt;"&amp;1080,m_end,"&gt;"&amp;1020)&gt;1,"충돌",HYPERLINK("#'관리자_MASTER'!D"&amp;_xlfn.MAXIFS(m_row,m_teacher,AO$4,m_date,($G$2+15),m_active,1,m_start,"&lt;"&amp;1080,m_end,"&gt;"&amp;1020),INDEX(m_label,_xlfn.MAXIFS(m_row,m_teacher,AO$4,m_date,($G$2+15),m_active,1,m_start,"&lt;"&amp;1080,m_end,"&gt;"&amp;1020))))))</f>
        <v/>
      </c>
      <c r="AP24" s="88" t="str">
        <f aca="false">IF(OR(AP$4="",MONTH(($G$2+15))&lt;&gt;MONTH($C$2)),"",IF(COUNTIFS(m_teacher,AP$4,m_date,($G$2+15),m_active,1,m_start,"&lt;"&amp;1080,m_end,"&gt;"&amp;1020)=0,"",IF(COUNTIFS(m_teacher,AP$4,m_date,($G$2+15),m_active,1,m_start,"&lt;"&amp;1080,m_end,"&gt;"&amp;1020)&gt;1,"충돌",HYPERLINK("#'관리자_MASTER'!D"&amp;_xlfn.MAXIFS(m_row,m_teacher,AP$4,m_date,($G$2+15),m_active,1,m_start,"&lt;"&amp;1080,m_end,"&gt;"&amp;1020),INDEX(m_label,_xlfn.MAXIFS(m_row,m_teacher,AP$4,m_date,($G$2+15),m_active,1,m_start,"&lt;"&amp;1080,m_end,"&gt;"&amp;1020))))))</f>
        <v/>
      </c>
      <c r="AQ24" s="78"/>
      <c r="AR24" s="79" t="s">
        <v>99</v>
      </c>
      <c r="AS24" s="88" t="str">
        <f aca="false">IF(OR(AS$4="",MONTH(($G$2+22))&lt;&gt;MONTH($C$2)),"",IF(COUNTIFS(m_teacher,AS$4,m_date,($G$2+22),m_active,1,m_start,"&lt;"&amp;1080,m_end,"&gt;"&amp;1020)=0,"",IF(COUNTIFS(m_teacher,AS$4,m_date,($G$2+22),m_active,1,m_start,"&lt;"&amp;1080,m_end,"&gt;"&amp;1020)&gt;1,"충돌",HYPERLINK("#'관리자_MASTER'!D"&amp;_xlfn.MAXIFS(m_row,m_teacher,AS$4,m_date,($G$2+22),m_active,1,m_start,"&lt;"&amp;1080,m_end,"&gt;"&amp;1020),INDEX(m_label,_xlfn.MAXIFS(m_row,m_teacher,AS$4,m_date,($G$2+22),m_active,1,m_start,"&lt;"&amp;1080,m_end,"&gt;"&amp;1020))))))</f>
        <v/>
      </c>
      <c r="AT24" s="88" t="str">
        <f aca="false">IF(OR(AT$4="",MONTH(($G$2+22))&lt;&gt;MONTH($C$2)),"",IF(COUNTIFS(m_teacher,AT$4,m_date,($G$2+22),m_active,1,m_start,"&lt;"&amp;1080,m_end,"&gt;"&amp;1020)=0,"",IF(COUNTIFS(m_teacher,AT$4,m_date,($G$2+22),m_active,1,m_start,"&lt;"&amp;1080,m_end,"&gt;"&amp;1020)&gt;1,"충돌",HYPERLINK("#'관리자_MASTER'!D"&amp;_xlfn.MAXIFS(m_row,m_teacher,AT$4,m_date,($G$2+22),m_active,1,m_start,"&lt;"&amp;1080,m_end,"&gt;"&amp;1020),INDEX(m_label,_xlfn.MAXIFS(m_row,m_teacher,AT$4,m_date,($G$2+22),m_active,1,m_start,"&lt;"&amp;1080,m_end,"&gt;"&amp;1020))))))</f>
        <v/>
      </c>
      <c r="AU24" s="88" t="str">
        <f aca="false">IF(OR(AU$4="",MONTH(($G$2+22))&lt;&gt;MONTH($C$2)),"",IF(COUNTIFS(m_teacher,AU$4,m_date,($G$2+22),m_active,1,m_start,"&lt;"&amp;1080,m_end,"&gt;"&amp;1020)=0,"",IF(COUNTIFS(m_teacher,AU$4,m_date,($G$2+22),m_active,1,m_start,"&lt;"&amp;1080,m_end,"&gt;"&amp;1020)&gt;1,"충돌",HYPERLINK("#'관리자_MASTER'!D"&amp;_xlfn.MAXIFS(m_row,m_teacher,AU$4,m_date,($G$2+22),m_active,1,m_start,"&lt;"&amp;1080,m_end,"&gt;"&amp;1020),INDEX(m_label,_xlfn.MAXIFS(m_row,m_teacher,AU$4,m_date,($G$2+22),m_active,1,m_start,"&lt;"&amp;1080,m_end,"&gt;"&amp;1020))))))</f>
        <v/>
      </c>
      <c r="AV24" s="88" t="str">
        <f aca="false">IF(OR(AV$4="",MONTH(($G$2+22))&lt;&gt;MONTH($C$2)),"",IF(COUNTIFS(m_teacher,AV$4,m_date,($G$2+22),m_active,1,m_start,"&lt;"&amp;1080,m_end,"&gt;"&amp;1020)=0,"",IF(COUNTIFS(m_teacher,AV$4,m_date,($G$2+22),m_active,1,m_start,"&lt;"&amp;1080,m_end,"&gt;"&amp;1020)&gt;1,"충돌",HYPERLINK("#'관리자_MASTER'!D"&amp;_xlfn.MAXIFS(m_row,m_teacher,AV$4,m_date,($G$2+22),m_active,1,m_start,"&lt;"&amp;1080,m_end,"&gt;"&amp;1020),INDEX(m_label,_xlfn.MAXIFS(m_row,m_teacher,AV$4,m_date,($G$2+22),m_active,1,m_start,"&lt;"&amp;1080,m_end,"&gt;"&amp;1020))))))</f>
        <v/>
      </c>
      <c r="AW24" s="88" t="str">
        <f aca="false">IF(OR(AW$4="",MONTH(($G$2+22))&lt;&gt;MONTH($C$2)),"",IF(COUNTIFS(m_teacher,AW$4,m_date,($G$2+22),m_active,1,m_start,"&lt;"&amp;1080,m_end,"&gt;"&amp;1020)=0,"",IF(COUNTIFS(m_teacher,AW$4,m_date,($G$2+22),m_active,1,m_start,"&lt;"&amp;1080,m_end,"&gt;"&amp;1020)&gt;1,"충돌",HYPERLINK("#'관리자_MASTER'!D"&amp;_xlfn.MAXIFS(m_row,m_teacher,AW$4,m_date,($G$2+22),m_active,1,m_start,"&lt;"&amp;1080,m_end,"&gt;"&amp;1020),INDEX(m_label,_xlfn.MAXIFS(m_row,m_teacher,AW$4,m_date,($G$2+22),m_active,1,m_start,"&lt;"&amp;1080,m_end,"&gt;"&amp;1020))))))</f>
        <v/>
      </c>
      <c r="AX24" s="88" t="str">
        <f aca="false">IF(OR(AX$4="",MONTH(($G$2+22))&lt;&gt;MONTH($C$2)),"",IF(COUNTIFS(m_teacher,AX$4,m_date,($G$2+22),m_active,1,m_start,"&lt;"&amp;1080,m_end,"&gt;"&amp;1020)=0,"",IF(COUNTIFS(m_teacher,AX$4,m_date,($G$2+22),m_active,1,m_start,"&lt;"&amp;1080,m_end,"&gt;"&amp;1020)&gt;1,"충돌",HYPERLINK("#'관리자_MASTER'!D"&amp;_xlfn.MAXIFS(m_row,m_teacher,AX$4,m_date,($G$2+22),m_active,1,m_start,"&lt;"&amp;1080,m_end,"&gt;"&amp;1020),INDEX(m_label,_xlfn.MAXIFS(m_row,m_teacher,AX$4,m_date,($G$2+22),m_active,1,m_start,"&lt;"&amp;1080,m_end,"&gt;"&amp;1020))))))</f>
        <v/>
      </c>
      <c r="AY24" s="88" t="str">
        <f aca="false">IF(OR(AY$4="",MONTH(($G$2+22))&lt;&gt;MONTH($C$2)),"",IF(COUNTIFS(m_teacher,AY$4,m_date,($G$2+22),m_active,1,m_start,"&lt;"&amp;1080,m_end,"&gt;"&amp;1020)=0,"",IF(COUNTIFS(m_teacher,AY$4,m_date,($G$2+22),m_active,1,m_start,"&lt;"&amp;1080,m_end,"&gt;"&amp;1020)&gt;1,"충돌",HYPERLINK("#'관리자_MASTER'!D"&amp;_xlfn.MAXIFS(m_row,m_teacher,AY$4,m_date,($G$2+22),m_active,1,m_start,"&lt;"&amp;1080,m_end,"&gt;"&amp;1020),INDEX(m_label,_xlfn.MAXIFS(m_row,m_teacher,AY$4,m_date,($G$2+22),m_active,1,m_start,"&lt;"&amp;1080,m_end,"&gt;"&amp;1020))))))</f>
        <v/>
      </c>
      <c r="AZ24" s="88" t="str">
        <f aca="false">IF(OR(AZ$4="",MONTH(($G$2+22))&lt;&gt;MONTH($C$2)),"",IF(COUNTIFS(m_teacher,AZ$4,m_date,($G$2+22),m_active,1,m_start,"&lt;"&amp;1080,m_end,"&gt;"&amp;1020)=0,"",IF(COUNTIFS(m_teacher,AZ$4,m_date,($G$2+22),m_active,1,m_start,"&lt;"&amp;1080,m_end,"&gt;"&amp;1020)&gt;1,"충돌",HYPERLINK("#'관리자_MASTER'!D"&amp;_xlfn.MAXIFS(m_row,m_teacher,AZ$4,m_date,($G$2+22),m_active,1,m_start,"&lt;"&amp;1080,m_end,"&gt;"&amp;1020),INDEX(m_label,_xlfn.MAXIFS(m_row,m_teacher,AZ$4,m_date,($G$2+22),m_active,1,m_start,"&lt;"&amp;1080,m_end,"&gt;"&amp;1020))))))</f>
        <v/>
      </c>
      <c r="BA24" s="88" t="str">
        <f aca="false">IF(OR(BA$4="",MONTH(($G$2+22))&lt;&gt;MONTH($C$2)),"",IF(COUNTIFS(m_teacher,BA$4,m_date,($G$2+22),m_active,1,m_start,"&lt;"&amp;1080,m_end,"&gt;"&amp;1020)=0,"",IF(COUNTIFS(m_teacher,BA$4,m_date,($G$2+22),m_active,1,m_start,"&lt;"&amp;1080,m_end,"&gt;"&amp;1020)&gt;1,"충돌",HYPERLINK("#'관리자_MASTER'!D"&amp;_xlfn.MAXIFS(m_row,m_teacher,BA$4,m_date,($G$2+22),m_active,1,m_start,"&lt;"&amp;1080,m_end,"&gt;"&amp;1020),INDEX(m_label,_xlfn.MAXIFS(m_row,m_teacher,BA$4,m_date,($G$2+22),m_active,1,m_start,"&lt;"&amp;1080,m_end,"&gt;"&amp;1020))))))</f>
        <v/>
      </c>
      <c r="BB24" s="88" t="str">
        <f aca="false">IF(OR(BB$4="",MONTH(($G$2+22))&lt;&gt;MONTH($C$2)),"",IF(COUNTIFS(m_teacher,BB$4,m_date,($G$2+22),m_active,1,m_start,"&lt;"&amp;1080,m_end,"&gt;"&amp;1020)=0,"",IF(COUNTIFS(m_teacher,BB$4,m_date,($G$2+22),m_active,1,m_start,"&lt;"&amp;1080,m_end,"&gt;"&amp;1020)&gt;1,"충돌",HYPERLINK("#'관리자_MASTER'!D"&amp;_xlfn.MAXIFS(m_row,m_teacher,BB$4,m_date,($G$2+22),m_active,1,m_start,"&lt;"&amp;1080,m_end,"&gt;"&amp;1020),INDEX(m_label,_xlfn.MAXIFS(m_row,m_teacher,BB$4,m_date,($G$2+22),m_active,1,m_start,"&lt;"&amp;1080,m_end,"&gt;"&amp;1020))))))</f>
        <v/>
      </c>
      <c r="BC24" s="88" t="str">
        <f aca="false">IF(OR(BC$4="",MONTH(($G$2+22))&lt;&gt;MONTH($C$2)),"",IF(COUNTIFS(m_teacher,BC$4,m_date,($G$2+22),m_active,1,m_start,"&lt;"&amp;1080,m_end,"&gt;"&amp;1020)=0,"",IF(COUNTIFS(m_teacher,BC$4,m_date,($G$2+22),m_active,1,m_start,"&lt;"&amp;1080,m_end,"&gt;"&amp;1020)&gt;1,"충돌",HYPERLINK("#'관리자_MASTER'!D"&amp;_xlfn.MAXIFS(m_row,m_teacher,BC$4,m_date,($G$2+22),m_active,1,m_start,"&lt;"&amp;1080,m_end,"&gt;"&amp;1020),INDEX(m_label,_xlfn.MAXIFS(m_row,m_teacher,BC$4,m_date,($G$2+22),m_active,1,m_start,"&lt;"&amp;1080,m_end,"&gt;"&amp;1020))))))</f>
        <v/>
      </c>
      <c r="BD24" s="88" t="str">
        <f aca="false">IF(OR(BD$4="",MONTH(($G$2+22))&lt;&gt;MONTH($C$2)),"",IF(COUNTIFS(m_teacher,BD$4,m_date,($G$2+22),m_active,1,m_start,"&lt;"&amp;1080,m_end,"&gt;"&amp;1020)=0,"",IF(COUNTIFS(m_teacher,BD$4,m_date,($G$2+22),m_active,1,m_start,"&lt;"&amp;1080,m_end,"&gt;"&amp;1020)&gt;1,"충돌",HYPERLINK("#'관리자_MASTER'!D"&amp;_xlfn.MAXIFS(m_row,m_teacher,BD$4,m_date,($G$2+22),m_active,1,m_start,"&lt;"&amp;1080,m_end,"&gt;"&amp;1020),INDEX(m_label,_xlfn.MAXIFS(m_row,m_teacher,BD$4,m_date,($G$2+22),m_active,1,m_start,"&lt;"&amp;1080,m_end,"&gt;"&amp;1020))))))</f>
        <v/>
      </c>
      <c r="BE24" s="78"/>
      <c r="BF24" s="79" t="s">
        <v>99</v>
      </c>
      <c r="BG24" s="88" t="str">
        <f aca="false">IF(OR(BG$4="",MONTH(($G$2+29))&lt;&gt;MONTH($C$2)),"",IF(COUNTIFS(m_teacher,BG$4,m_date,($G$2+29),m_active,1,m_start,"&lt;"&amp;1080,m_end,"&gt;"&amp;1020)=0,"",IF(COUNTIFS(m_teacher,BG$4,m_date,($G$2+29),m_active,1,m_start,"&lt;"&amp;1080,m_end,"&gt;"&amp;1020)&gt;1,"충돌",HYPERLINK("#'관리자_MASTER'!D"&amp;_xlfn.MAXIFS(m_row,m_teacher,BG$4,m_date,($G$2+29),m_active,1,m_start,"&lt;"&amp;1080,m_end,"&gt;"&amp;1020),INDEX(m_label,_xlfn.MAXIFS(m_row,m_teacher,BG$4,m_date,($G$2+29),m_active,1,m_start,"&lt;"&amp;1080,m_end,"&gt;"&amp;1020))))))</f>
        <v/>
      </c>
      <c r="BH24" s="88" t="str">
        <f aca="false">IF(OR(BH$4="",MONTH(($G$2+29))&lt;&gt;MONTH($C$2)),"",IF(COUNTIFS(m_teacher,BH$4,m_date,($G$2+29),m_active,1,m_start,"&lt;"&amp;1080,m_end,"&gt;"&amp;1020)=0,"",IF(COUNTIFS(m_teacher,BH$4,m_date,($G$2+29),m_active,1,m_start,"&lt;"&amp;1080,m_end,"&gt;"&amp;1020)&gt;1,"충돌",HYPERLINK("#'관리자_MASTER'!D"&amp;_xlfn.MAXIFS(m_row,m_teacher,BH$4,m_date,($G$2+29),m_active,1,m_start,"&lt;"&amp;1080,m_end,"&gt;"&amp;1020),INDEX(m_label,_xlfn.MAXIFS(m_row,m_teacher,BH$4,m_date,($G$2+29),m_active,1,m_start,"&lt;"&amp;1080,m_end,"&gt;"&amp;1020))))))</f>
        <v/>
      </c>
      <c r="BI24" s="88" t="str">
        <f aca="false">IF(OR(BI$4="",MONTH(($G$2+29))&lt;&gt;MONTH($C$2)),"",IF(COUNTIFS(m_teacher,BI$4,m_date,($G$2+29),m_active,1,m_start,"&lt;"&amp;1080,m_end,"&gt;"&amp;1020)=0,"",IF(COUNTIFS(m_teacher,BI$4,m_date,($G$2+29),m_active,1,m_start,"&lt;"&amp;1080,m_end,"&gt;"&amp;1020)&gt;1,"충돌",HYPERLINK("#'관리자_MASTER'!D"&amp;_xlfn.MAXIFS(m_row,m_teacher,BI$4,m_date,($G$2+29),m_active,1,m_start,"&lt;"&amp;1080,m_end,"&gt;"&amp;1020),INDEX(m_label,_xlfn.MAXIFS(m_row,m_teacher,BI$4,m_date,($G$2+29),m_active,1,m_start,"&lt;"&amp;1080,m_end,"&gt;"&amp;1020))))))</f>
        <v/>
      </c>
      <c r="BJ24" s="88" t="str">
        <f aca="false">IF(OR(BJ$4="",MONTH(($G$2+29))&lt;&gt;MONTH($C$2)),"",IF(COUNTIFS(m_teacher,BJ$4,m_date,($G$2+29),m_active,1,m_start,"&lt;"&amp;1080,m_end,"&gt;"&amp;1020)=0,"",IF(COUNTIFS(m_teacher,BJ$4,m_date,($G$2+29),m_active,1,m_start,"&lt;"&amp;1080,m_end,"&gt;"&amp;1020)&gt;1,"충돌",HYPERLINK("#'관리자_MASTER'!D"&amp;_xlfn.MAXIFS(m_row,m_teacher,BJ$4,m_date,($G$2+29),m_active,1,m_start,"&lt;"&amp;1080,m_end,"&gt;"&amp;1020),INDEX(m_label,_xlfn.MAXIFS(m_row,m_teacher,BJ$4,m_date,($G$2+29),m_active,1,m_start,"&lt;"&amp;1080,m_end,"&gt;"&amp;1020))))))</f>
        <v/>
      </c>
      <c r="BK24" s="88" t="str">
        <f aca="false">IF(OR(BK$4="",MONTH(($G$2+29))&lt;&gt;MONTH($C$2)),"",IF(COUNTIFS(m_teacher,BK$4,m_date,($G$2+29),m_active,1,m_start,"&lt;"&amp;1080,m_end,"&gt;"&amp;1020)=0,"",IF(COUNTIFS(m_teacher,BK$4,m_date,($G$2+29),m_active,1,m_start,"&lt;"&amp;1080,m_end,"&gt;"&amp;1020)&gt;1,"충돌",HYPERLINK("#'관리자_MASTER'!D"&amp;_xlfn.MAXIFS(m_row,m_teacher,BK$4,m_date,($G$2+29),m_active,1,m_start,"&lt;"&amp;1080,m_end,"&gt;"&amp;1020),INDEX(m_label,_xlfn.MAXIFS(m_row,m_teacher,BK$4,m_date,($G$2+29),m_active,1,m_start,"&lt;"&amp;1080,m_end,"&gt;"&amp;1020))))))</f>
        <v/>
      </c>
      <c r="BL24" s="88" t="str">
        <f aca="false">IF(OR(BL$4="",MONTH(($G$2+29))&lt;&gt;MONTH($C$2)),"",IF(COUNTIFS(m_teacher,BL$4,m_date,($G$2+29),m_active,1,m_start,"&lt;"&amp;1080,m_end,"&gt;"&amp;1020)=0,"",IF(COUNTIFS(m_teacher,BL$4,m_date,($G$2+29),m_active,1,m_start,"&lt;"&amp;1080,m_end,"&gt;"&amp;1020)&gt;1,"충돌",HYPERLINK("#'관리자_MASTER'!D"&amp;_xlfn.MAXIFS(m_row,m_teacher,BL$4,m_date,($G$2+29),m_active,1,m_start,"&lt;"&amp;1080,m_end,"&gt;"&amp;1020),INDEX(m_label,_xlfn.MAXIFS(m_row,m_teacher,BL$4,m_date,($G$2+29),m_active,1,m_start,"&lt;"&amp;1080,m_end,"&gt;"&amp;1020))))))</f>
        <v/>
      </c>
      <c r="BM24" s="88" t="str">
        <f aca="false">IF(OR(BM$4="",MONTH(($G$2+29))&lt;&gt;MONTH($C$2)),"",IF(COUNTIFS(m_teacher,BM$4,m_date,($G$2+29),m_active,1,m_start,"&lt;"&amp;1080,m_end,"&gt;"&amp;1020)=0,"",IF(COUNTIFS(m_teacher,BM$4,m_date,($G$2+29),m_active,1,m_start,"&lt;"&amp;1080,m_end,"&gt;"&amp;1020)&gt;1,"충돌",HYPERLINK("#'관리자_MASTER'!D"&amp;_xlfn.MAXIFS(m_row,m_teacher,BM$4,m_date,($G$2+29),m_active,1,m_start,"&lt;"&amp;1080,m_end,"&gt;"&amp;1020),INDEX(m_label,_xlfn.MAXIFS(m_row,m_teacher,BM$4,m_date,($G$2+29),m_active,1,m_start,"&lt;"&amp;1080,m_end,"&gt;"&amp;1020))))))</f>
        <v/>
      </c>
      <c r="BN24" s="88" t="str">
        <f aca="false">IF(OR(BN$4="",MONTH(($G$2+29))&lt;&gt;MONTH($C$2)),"",IF(COUNTIFS(m_teacher,BN$4,m_date,($G$2+29),m_active,1,m_start,"&lt;"&amp;1080,m_end,"&gt;"&amp;1020)=0,"",IF(COUNTIFS(m_teacher,BN$4,m_date,($G$2+29),m_active,1,m_start,"&lt;"&amp;1080,m_end,"&gt;"&amp;1020)&gt;1,"충돌",HYPERLINK("#'관리자_MASTER'!D"&amp;_xlfn.MAXIFS(m_row,m_teacher,BN$4,m_date,($G$2+29),m_active,1,m_start,"&lt;"&amp;1080,m_end,"&gt;"&amp;1020),INDEX(m_label,_xlfn.MAXIFS(m_row,m_teacher,BN$4,m_date,($G$2+29),m_active,1,m_start,"&lt;"&amp;1080,m_end,"&gt;"&amp;1020))))))</f>
        <v/>
      </c>
      <c r="BO24" s="88" t="str">
        <f aca="false">IF(OR(BO$4="",MONTH(($G$2+29))&lt;&gt;MONTH($C$2)),"",IF(COUNTIFS(m_teacher,BO$4,m_date,($G$2+29),m_active,1,m_start,"&lt;"&amp;1080,m_end,"&gt;"&amp;1020)=0,"",IF(COUNTIFS(m_teacher,BO$4,m_date,($G$2+29),m_active,1,m_start,"&lt;"&amp;1080,m_end,"&gt;"&amp;1020)&gt;1,"충돌",HYPERLINK("#'관리자_MASTER'!D"&amp;_xlfn.MAXIFS(m_row,m_teacher,BO$4,m_date,($G$2+29),m_active,1,m_start,"&lt;"&amp;1080,m_end,"&gt;"&amp;1020),INDEX(m_label,_xlfn.MAXIFS(m_row,m_teacher,BO$4,m_date,($G$2+29),m_active,1,m_start,"&lt;"&amp;1080,m_end,"&gt;"&amp;1020))))))</f>
        <v/>
      </c>
      <c r="BP24" s="88" t="str">
        <f aca="false">IF(OR(BP$4="",MONTH(($G$2+29))&lt;&gt;MONTH($C$2)),"",IF(COUNTIFS(m_teacher,BP$4,m_date,($G$2+29),m_active,1,m_start,"&lt;"&amp;1080,m_end,"&gt;"&amp;1020)=0,"",IF(COUNTIFS(m_teacher,BP$4,m_date,($G$2+29),m_active,1,m_start,"&lt;"&amp;1080,m_end,"&gt;"&amp;1020)&gt;1,"충돌",HYPERLINK("#'관리자_MASTER'!D"&amp;_xlfn.MAXIFS(m_row,m_teacher,BP$4,m_date,($G$2+29),m_active,1,m_start,"&lt;"&amp;1080,m_end,"&gt;"&amp;1020),INDEX(m_label,_xlfn.MAXIFS(m_row,m_teacher,BP$4,m_date,($G$2+29),m_active,1,m_start,"&lt;"&amp;1080,m_end,"&gt;"&amp;1020))))))</f>
        <v/>
      </c>
      <c r="BQ24" s="88" t="str">
        <f aca="false">IF(OR(BQ$4="",MONTH(($G$2+29))&lt;&gt;MONTH($C$2)),"",IF(COUNTIFS(m_teacher,BQ$4,m_date,($G$2+29),m_active,1,m_start,"&lt;"&amp;1080,m_end,"&gt;"&amp;1020)=0,"",IF(COUNTIFS(m_teacher,BQ$4,m_date,($G$2+29),m_active,1,m_start,"&lt;"&amp;1080,m_end,"&gt;"&amp;1020)&gt;1,"충돌",HYPERLINK("#'관리자_MASTER'!D"&amp;_xlfn.MAXIFS(m_row,m_teacher,BQ$4,m_date,($G$2+29),m_active,1,m_start,"&lt;"&amp;1080,m_end,"&gt;"&amp;1020),INDEX(m_label,_xlfn.MAXIFS(m_row,m_teacher,BQ$4,m_date,($G$2+29),m_active,1,m_start,"&lt;"&amp;1080,m_end,"&gt;"&amp;1020))))))</f>
        <v/>
      </c>
      <c r="BR24" s="88" t="str">
        <f aca="false">IF(OR(BR$4="",MONTH(($G$2+29))&lt;&gt;MONTH($C$2)),"",IF(COUNTIFS(m_teacher,BR$4,m_date,($G$2+29),m_active,1,m_start,"&lt;"&amp;1080,m_end,"&gt;"&amp;1020)=0,"",IF(COUNTIFS(m_teacher,BR$4,m_date,($G$2+29),m_active,1,m_start,"&lt;"&amp;1080,m_end,"&gt;"&amp;1020)&gt;1,"충돌",HYPERLINK("#'관리자_MASTER'!D"&amp;_xlfn.MAXIFS(m_row,m_teacher,BR$4,m_date,($G$2+29),m_active,1,m_start,"&lt;"&amp;1080,m_end,"&gt;"&amp;1020),INDEX(m_label,_xlfn.MAXIFS(m_row,m_teacher,BR$4,m_date,($G$2+29),m_active,1,m_start,"&lt;"&amp;1080,m_end,"&gt;"&amp;1020))))))</f>
        <v/>
      </c>
    </row>
    <row r="25" customFormat="false" ht="19.5" hidden="false" customHeight="true" outlineLevel="0" collapsed="false">
      <c r="A25" s="78"/>
      <c r="B25" s="79" t="s">
        <v>100</v>
      </c>
      <c r="C25" s="88" t="str">
        <f aca="false">IF(OR(C$4="",MONTH(($G$2+1))&lt;&gt;MONTH($C$2)),"",IF(COUNTIFS(m_teacher,C$4,m_date,($G$2+1),m_active,1,m_start,"&lt;"&amp;1140,m_end,"&gt;"&amp;1080)=0,"",IF(COUNTIFS(m_teacher,C$4,m_date,($G$2+1),m_active,1,m_start,"&lt;"&amp;1140,m_end,"&gt;"&amp;1080)&gt;1,"충돌",HYPERLINK("#'관리자_MASTER'!D"&amp;_xlfn.MAXIFS(m_row,m_teacher,C$4,m_date,($G$2+1),m_active,1,m_start,"&lt;"&amp;1140,m_end,"&gt;"&amp;1080),INDEX(m_label,_xlfn.MAXIFS(m_row,m_teacher,C$4,m_date,($G$2+1),m_active,1,m_start,"&lt;"&amp;1140,m_end,"&gt;"&amp;1080))))))</f>
        <v/>
      </c>
      <c r="D25" s="88" t="str">
        <f aca="false">IF(OR(D$4="",MONTH(($G$2+1))&lt;&gt;MONTH($C$2)),"",IF(COUNTIFS(m_teacher,D$4,m_date,($G$2+1),m_active,1,m_start,"&lt;"&amp;1140,m_end,"&gt;"&amp;1080)=0,"",IF(COUNTIFS(m_teacher,D$4,m_date,($G$2+1),m_active,1,m_start,"&lt;"&amp;1140,m_end,"&gt;"&amp;1080)&gt;1,"충돌",HYPERLINK("#'관리자_MASTER'!D"&amp;_xlfn.MAXIFS(m_row,m_teacher,D$4,m_date,($G$2+1),m_active,1,m_start,"&lt;"&amp;1140,m_end,"&gt;"&amp;1080),INDEX(m_label,_xlfn.MAXIFS(m_row,m_teacher,D$4,m_date,($G$2+1),m_active,1,m_start,"&lt;"&amp;1140,m_end,"&gt;"&amp;1080))))))</f>
        <v/>
      </c>
      <c r="E25" s="88" t="str">
        <f aca="false">IF(OR(E$4="",MONTH(($G$2+1))&lt;&gt;MONTH($C$2)),"",IF(COUNTIFS(m_teacher,E$4,m_date,($G$2+1),m_active,1,m_start,"&lt;"&amp;1140,m_end,"&gt;"&amp;1080)=0,"",IF(COUNTIFS(m_teacher,E$4,m_date,($G$2+1),m_active,1,m_start,"&lt;"&amp;1140,m_end,"&gt;"&amp;1080)&gt;1,"충돌",HYPERLINK("#'관리자_MASTER'!D"&amp;_xlfn.MAXIFS(m_row,m_teacher,E$4,m_date,($G$2+1),m_active,1,m_start,"&lt;"&amp;1140,m_end,"&gt;"&amp;1080),INDEX(m_label,_xlfn.MAXIFS(m_row,m_teacher,E$4,m_date,($G$2+1),m_active,1,m_start,"&lt;"&amp;1140,m_end,"&gt;"&amp;1080))))))</f>
        <v/>
      </c>
      <c r="F25" s="88" t="str">
        <f aca="false">IF(OR(F$4="",MONTH(($G$2+1))&lt;&gt;MONTH($C$2)),"",IF(COUNTIFS(m_teacher,F$4,m_date,($G$2+1),m_active,1,m_start,"&lt;"&amp;1140,m_end,"&gt;"&amp;1080)=0,"",IF(COUNTIFS(m_teacher,F$4,m_date,($G$2+1),m_active,1,m_start,"&lt;"&amp;1140,m_end,"&gt;"&amp;1080)&gt;1,"충돌",HYPERLINK("#'관리자_MASTER'!D"&amp;_xlfn.MAXIFS(m_row,m_teacher,F$4,m_date,($G$2+1),m_active,1,m_start,"&lt;"&amp;1140,m_end,"&gt;"&amp;1080),INDEX(m_label,_xlfn.MAXIFS(m_row,m_teacher,F$4,m_date,($G$2+1),m_active,1,m_start,"&lt;"&amp;1140,m_end,"&gt;"&amp;1080))))))</f>
        <v/>
      </c>
      <c r="G25" s="88" t="str">
        <f aca="false">IF(OR(G$4="",MONTH(($G$2+1))&lt;&gt;MONTH($C$2)),"",IF(COUNTIFS(m_teacher,G$4,m_date,($G$2+1),m_active,1,m_start,"&lt;"&amp;1140,m_end,"&gt;"&amp;1080)=0,"",IF(COUNTIFS(m_teacher,G$4,m_date,($G$2+1),m_active,1,m_start,"&lt;"&amp;1140,m_end,"&gt;"&amp;1080)&gt;1,"충돌",HYPERLINK("#'관리자_MASTER'!D"&amp;_xlfn.MAXIFS(m_row,m_teacher,G$4,m_date,($G$2+1),m_active,1,m_start,"&lt;"&amp;1140,m_end,"&gt;"&amp;1080),INDEX(m_label,_xlfn.MAXIFS(m_row,m_teacher,G$4,m_date,($G$2+1),m_active,1,m_start,"&lt;"&amp;1140,m_end,"&gt;"&amp;1080))))))</f>
        <v/>
      </c>
      <c r="H25" s="88" t="str">
        <f aca="false">IF(OR(H$4="",MONTH(($G$2+1))&lt;&gt;MONTH($C$2)),"",IF(COUNTIFS(m_teacher,H$4,m_date,($G$2+1),m_active,1,m_start,"&lt;"&amp;1140,m_end,"&gt;"&amp;1080)=0,"",IF(COUNTIFS(m_teacher,H$4,m_date,($G$2+1),m_active,1,m_start,"&lt;"&amp;1140,m_end,"&gt;"&amp;1080)&gt;1,"충돌",HYPERLINK("#'관리자_MASTER'!D"&amp;_xlfn.MAXIFS(m_row,m_teacher,H$4,m_date,($G$2+1),m_active,1,m_start,"&lt;"&amp;1140,m_end,"&gt;"&amp;1080),INDEX(m_label,_xlfn.MAXIFS(m_row,m_teacher,H$4,m_date,($G$2+1),m_active,1,m_start,"&lt;"&amp;1140,m_end,"&gt;"&amp;1080))))))</f>
        <v/>
      </c>
      <c r="I25" s="88" t="str">
        <f aca="false">IF(OR(I$4="",MONTH(($G$2+1))&lt;&gt;MONTH($C$2)),"",IF(COUNTIFS(m_teacher,I$4,m_date,($G$2+1),m_active,1,m_start,"&lt;"&amp;1140,m_end,"&gt;"&amp;1080)=0,"",IF(COUNTIFS(m_teacher,I$4,m_date,($G$2+1),m_active,1,m_start,"&lt;"&amp;1140,m_end,"&gt;"&amp;1080)&gt;1,"충돌",HYPERLINK("#'관리자_MASTER'!D"&amp;_xlfn.MAXIFS(m_row,m_teacher,I$4,m_date,($G$2+1),m_active,1,m_start,"&lt;"&amp;1140,m_end,"&gt;"&amp;1080),INDEX(m_label,_xlfn.MAXIFS(m_row,m_teacher,I$4,m_date,($G$2+1),m_active,1,m_start,"&lt;"&amp;1140,m_end,"&gt;"&amp;1080))))))</f>
        <v/>
      </c>
      <c r="J25" s="88" t="str">
        <f aca="false">IF(OR(J$4="",MONTH(($G$2+1))&lt;&gt;MONTH($C$2)),"",IF(COUNTIFS(m_teacher,J$4,m_date,($G$2+1),m_active,1,m_start,"&lt;"&amp;1140,m_end,"&gt;"&amp;1080)=0,"",IF(COUNTIFS(m_teacher,J$4,m_date,($G$2+1),m_active,1,m_start,"&lt;"&amp;1140,m_end,"&gt;"&amp;1080)&gt;1,"충돌",HYPERLINK("#'관리자_MASTER'!D"&amp;_xlfn.MAXIFS(m_row,m_teacher,J$4,m_date,($G$2+1),m_active,1,m_start,"&lt;"&amp;1140,m_end,"&gt;"&amp;1080),INDEX(m_label,_xlfn.MAXIFS(m_row,m_teacher,J$4,m_date,($G$2+1),m_active,1,m_start,"&lt;"&amp;1140,m_end,"&gt;"&amp;1080))))))</f>
        <v/>
      </c>
      <c r="K25" s="88" t="str">
        <f aca="false">IF(OR(K$4="",MONTH(($G$2+1))&lt;&gt;MONTH($C$2)),"",IF(COUNTIFS(m_teacher,K$4,m_date,($G$2+1),m_active,1,m_start,"&lt;"&amp;1140,m_end,"&gt;"&amp;1080)=0,"",IF(COUNTIFS(m_teacher,K$4,m_date,($G$2+1),m_active,1,m_start,"&lt;"&amp;1140,m_end,"&gt;"&amp;1080)&gt;1,"충돌",HYPERLINK("#'관리자_MASTER'!D"&amp;_xlfn.MAXIFS(m_row,m_teacher,K$4,m_date,($G$2+1),m_active,1,m_start,"&lt;"&amp;1140,m_end,"&gt;"&amp;1080),INDEX(m_label,_xlfn.MAXIFS(m_row,m_teacher,K$4,m_date,($G$2+1),m_active,1,m_start,"&lt;"&amp;1140,m_end,"&gt;"&amp;1080))))))</f>
        <v/>
      </c>
      <c r="L25" s="88" t="str">
        <f aca="false">IF(OR(L$4="",MONTH(($G$2+1))&lt;&gt;MONTH($C$2)),"",IF(COUNTIFS(m_teacher,L$4,m_date,($G$2+1),m_active,1,m_start,"&lt;"&amp;1140,m_end,"&gt;"&amp;1080)=0,"",IF(COUNTIFS(m_teacher,L$4,m_date,($G$2+1),m_active,1,m_start,"&lt;"&amp;1140,m_end,"&gt;"&amp;1080)&gt;1,"충돌",HYPERLINK("#'관리자_MASTER'!D"&amp;_xlfn.MAXIFS(m_row,m_teacher,L$4,m_date,($G$2+1),m_active,1,m_start,"&lt;"&amp;1140,m_end,"&gt;"&amp;1080),INDEX(m_label,_xlfn.MAXIFS(m_row,m_teacher,L$4,m_date,($G$2+1),m_active,1,m_start,"&lt;"&amp;1140,m_end,"&gt;"&amp;1080))))))</f>
        <v/>
      </c>
      <c r="M25" s="88" t="str">
        <f aca="false">IF(OR(M$4="",MONTH(($G$2+1))&lt;&gt;MONTH($C$2)),"",IF(COUNTIFS(m_teacher,M$4,m_date,($G$2+1),m_active,1,m_start,"&lt;"&amp;1140,m_end,"&gt;"&amp;1080)=0,"",IF(COUNTIFS(m_teacher,M$4,m_date,($G$2+1),m_active,1,m_start,"&lt;"&amp;1140,m_end,"&gt;"&amp;1080)&gt;1,"충돌",HYPERLINK("#'관리자_MASTER'!D"&amp;_xlfn.MAXIFS(m_row,m_teacher,M$4,m_date,($G$2+1),m_active,1,m_start,"&lt;"&amp;1140,m_end,"&gt;"&amp;1080),INDEX(m_label,_xlfn.MAXIFS(m_row,m_teacher,M$4,m_date,($G$2+1),m_active,1,m_start,"&lt;"&amp;1140,m_end,"&gt;"&amp;1080))))))</f>
        <v/>
      </c>
      <c r="N25" s="88" t="str">
        <f aca="false">IF(OR(N$4="",MONTH(($G$2+1))&lt;&gt;MONTH($C$2)),"",IF(COUNTIFS(m_teacher,N$4,m_date,($G$2+1),m_active,1,m_start,"&lt;"&amp;1140,m_end,"&gt;"&amp;1080)=0,"",IF(COUNTIFS(m_teacher,N$4,m_date,($G$2+1),m_active,1,m_start,"&lt;"&amp;1140,m_end,"&gt;"&amp;1080)&gt;1,"충돌",HYPERLINK("#'관리자_MASTER'!D"&amp;_xlfn.MAXIFS(m_row,m_teacher,N$4,m_date,($G$2+1),m_active,1,m_start,"&lt;"&amp;1140,m_end,"&gt;"&amp;1080),INDEX(m_label,_xlfn.MAXIFS(m_row,m_teacher,N$4,m_date,($G$2+1),m_active,1,m_start,"&lt;"&amp;1140,m_end,"&gt;"&amp;1080))))))</f>
        <v/>
      </c>
      <c r="O25" s="78"/>
      <c r="P25" s="79" t="s">
        <v>100</v>
      </c>
      <c r="Q25" s="88" t="str">
        <f aca="false">IF(OR(Q$4="",MONTH(($G$2+8))&lt;&gt;MONTH($C$2)),"",IF(COUNTIFS(m_teacher,Q$4,m_date,($G$2+8),m_active,1,m_start,"&lt;"&amp;1140,m_end,"&gt;"&amp;1080)=0,"",IF(COUNTIFS(m_teacher,Q$4,m_date,($G$2+8),m_active,1,m_start,"&lt;"&amp;1140,m_end,"&gt;"&amp;1080)&gt;1,"충돌",HYPERLINK("#'관리자_MASTER'!D"&amp;_xlfn.MAXIFS(m_row,m_teacher,Q$4,m_date,($G$2+8),m_active,1,m_start,"&lt;"&amp;1140,m_end,"&gt;"&amp;1080),INDEX(m_label,_xlfn.MAXIFS(m_row,m_teacher,Q$4,m_date,($G$2+8),m_active,1,m_start,"&lt;"&amp;1140,m_end,"&gt;"&amp;1080))))))</f>
        <v/>
      </c>
      <c r="R25" s="88" t="str">
        <f aca="false">IF(OR(R$4="",MONTH(($G$2+8))&lt;&gt;MONTH($C$2)),"",IF(COUNTIFS(m_teacher,R$4,m_date,($G$2+8),m_active,1,m_start,"&lt;"&amp;1140,m_end,"&gt;"&amp;1080)=0,"",IF(COUNTIFS(m_teacher,R$4,m_date,($G$2+8),m_active,1,m_start,"&lt;"&amp;1140,m_end,"&gt;"&amp;1080)&gt;1,"충돌",HYPERLINK("#'관리자_MASTER'!D"&amp;_xlfn.MAXIFS(m_row,m_teacher,R$4,m_date,($G$2+8),m_active,1,m_start,"&lt;"&amp;1140,m_end,"&gt;"&amp;1080),INDEX(m_label,_xlfn.MAXIFS(m_row,m_teacher,R$4,m_date,($G$2+8),m_active,1,m_start,"&lt;"&amp;1140,m_end,"&gt;"&amp;1080))))))</f>
        <v/>
      </c>
      <c r="S25" s="88" t="str">
        <f aca="false">IF(OR(S$4="",MONTH(($G$2+8))&lt;&gt;MONTH($C$2)),"",IF(COUNTIFS(m_teacher,S$4,m_date,($G$2+8),m_active,1,m_start,"&lt;"&amp;1140,m_end,"&gt;"&amp;1080)=0,"",IF(COUNTIFS(m_teacher,S$4,m_date,($G$2+8),m_active,1,m_start,"&lt;"&amp;1140,m_end,"&gt;"&amp;1080)&gt;1,"충돌",HYPERLINK("#'관리자_MASTER'!D"&amp;_xlfn.MAXIFS(m_row,m_teacher,S$4,m_date,($G$2+8),m_active,1,m_start,"&lt;"&amp;1140,m_end,"&gt;"&amp;1080),INDEX(m_label,_xlfn.MAXIFS(m_row,m_teacher,S$4,m_date,($G$2+8),m_active,1,m_start,"&lt;"&amp;1140,m_end,"&gt;"&amp;1080))))))</f>
        <v/>
      </c>
      <c r="T25" s="88" t="str">
        <f aca="false">IF(OR(T$4="",MONTH(($G$2+8))&lt;&gt;MONTH($C$2)),"",IF(COUNTIFS(m_teacher,T$4,m_date,($G$2+8),m_active,1,m_start,"&lt;"&amp;1140,m_end,"&gt;"&amp;1080)=0,"",IF(COUNTIFS(m_teacher,T$4,m_date,($G$2+8),m_active,1,m_start,"&lt;"&amp;1140,m_end,"&gt;"&amp;1080)&gt;1,"충돌",HYPERLINK("#'관리자_MASTER'!D"&amp;_xlfn.MAXIFS(m_row,m_teacher,T$4,m_date,($G$2+8),m_active,1,m_start,"&lt;"&amp;1140,m_end,"&gt;"&amp;1080),INDEX(m_label,_xlfn.MAXIFS(m_row,m_teacher,T$4,m_date,($G$2+8),m_active,1,m_start,"&lt;"&amp;1140,m_end,"&gt;"&amp;1080))))))</f>
        <v/>
      </c>
      <c r="U25" s="88" t="str">
        <f aca="false">IF(OR(U$4="",MONTH(($G$2+8))&lt;&gt;MONTH($C$2)),"",IF(COUNTIFS(m_teacher,U$4,m_date,($G$2+8),m_active,1,m_start,"&lt;"&amp;1140,m_end,"&gt;"&amp;1080)=0,"",IF(COUNTIFS(m_teacher,U$4,m_date,($G$2+8),m_active,1,m_start,"&lt;"&amp;1140,m_end,"&gt;"&amp;1080)&gt;1,"충돌",HYPERLINK("#'관리자_MASTER'!D"&amp;_xlfn.MAXIFS(m_row,m_teacher,U$4,m_date,($G$2+8),m_active,1,m_start,"&lt;"&amp;1140,m_end,"&gt;"&amp;1080),INDEX(m_label,_xlfn.MAXIFS(m_row,m_teacher,U$4,m_date,($G$2+8),m_active,1,m_start,"&lt;"&amp;1140,m_end,"&gt;"&amp;1080))))))</f>
        <v/>
      </c>
      <c r="V25" s="88" t="str">
        <f aca="false">IF(OR(V$4="",MONTH(($G$2+8))&lt;&gt;MONTH($C$2)),"",IF(COUNTIFS(m_teacher,V$4,m_date,($G$2+8),m_active,1,m_start,"&lt;"&amp;1140,m_end,"&gt;"&amp;1080)=0,"",IF(COUNTIFS(m_teacher,V$4,m_date,($G$2+8),m_active,1,m_start,"&lt;"&amp;1140,m_end,"&gt;"&amp;1080)&gt;1,"충돌",HYPERLINK("#'관리자_MASTER'!D"&amp;_xlfn.MAXIFS(m_row,m_teacher,V$4,m_date,($G$2+8),m_active,1,m_start,"&lt;"&amp;1140,m_end,"&gt;"&amp;1080),INDEX(m_label,_xlfn.MAXIFS(m_row,m_teacher,V$4,m_date,($G$2+8),m_active,1,m_start,"&lt;"&amp;1140,m_end,"&gt;"&amp;1080))))))</f>
        <v/>
      </c>
      <c r="W25" s="88" t="str">
        <f aca="false">IF(OR(W$4="",MONTH(($G$2+8))&lt;&gt;MONTH($C$2)),"",IF(COUNTIFS(m_teacher,W$4,m_date,($G$2+8),m_active,1,m_start,"&lt;"&amp;1140,m_end,"&gt;"&amp;1080)=0,"",IF(COUNTIFS(m_teacher,W$4,m_date,($G$2+8),m_active,1,m_start,"&lt;"&amp;1140,m_end,"&gt;"&amp;1080)&gt;1,"충돌",HYPERLINK("#'관리자_MASTER'!D"&amp;_xlfn.MAXIFS(m_row,m_teacher,W$4,m_date,($G$2+8),m_active,1,m_start,"&lt;"&amp;1140,m_end,"&gt;"&amp;1080),INDEX(m_label,_xlfn.MAXIFS(m_row,m_teacher,W$4,m_date,($G$2+8),m_active,1,m_start,"&lt;"&amp;1140,m_end,"&gt;"&amp;1080))))))</f>
        <v/>
      </c>
      <c r="X25" s="88" t="str">
        <f aca="false">IF(OR(X$4="",MONTH(($G$2+8))&lt;&gt;MONTH($C$2)),"",IF(COUNTIFS(m_teacher,X$4,m_date,($G$2+8),m_active,1,m_start,"&lt;"&amp;1140,m_end,"&gt;"&amp;1080)=0,"",IF(COUNTIFS(m_teacher,X$4,m_date,($G$2+8),m_active,1,m_start,"&lt;"&amp;1140,m_end,"&gt;"&amp;1080)&gt;1,"충돌",HYPERLINK("#'관리자_MASTER'!D"&amp;_xlfn.MAXIFS(m_row,m_teacher,X$4,m_date,($G$2+8),m_active,1,m_start,"&lt;"&amp;1140,m_end,"&gt;"&amp;1080),INDEX(m_label,_xlfn.MAXIFS(m_row,m_teacher,X$4,m_date,($G$2+8),m_active,1,m_start,"&lt;"&amp;1140,m_end,"&gt;"&amp;1080))))))</f>
        <v/>
      </c>
      <c r="Y25" s="88" t="str">
        <f aca="false">IF(OR(Y$4="",MONTH(($G$2+8))&lt;&gt;MONTH($C$2)),"",IF(COUNTIFS(m_teacher,Y$4,m_date,($G$2+8),m_active,1,m_start,"&lt;"&amp;1140,m_end,"&gt;"&amp;1080)=0,"",IF(COUNTIFS(m_teacher,Y$4,m_date,($G$2+8),m_active,1,m_start,"&lt;"&amp;1140,m_end,"&gt;"&amp;1080)&gt;1,"충돌",HYPERLINK("#'관리자_MASTER'!D"&amp;_xlfn.MAXIFS(m_row,m_teacher,Y$4,m_date,($G$2+8),m_active,1,m_start,"&lt;"&amp;1140,m_end,"&gt;"&amp;1080),INDEX(m_label,_xlfn.MAXIFS(m_row,m_teacher,Y$4,m_date,($G$2+8),m_active,1,m_start,"&lt;"&amp;1140,m_end,"&gt;"&amp;1080))))))</f>
        <v/>
      </c>
      <c r="Z25" s="88" t="str">
        <f aca="false">IF(OR(Z$4="",MONTH(($G$2+8))&lt;&gt;MONTH($C$2)),"",IF(COUNTIFS(m_teacher,Z$4,m_date,($G$2+8),m_active,1,m_start,"&lt;"&amp;1140,m_end,"&gt;"&amp;1080)=0,"",IF(COUNTIFS(m_teacher,Z$4,m_date,($G$2+8),m_active,1,m_start,"&lt;"&amp;1140,m_end,"&gt;"&amp;1080)&gt;1,"충돌",HYPERLINK("#'관리자_MASTER'!D"&amp;_xlfn.MAXIFS(m_row,m_teacher,Z$4,m_date,($G$2+8),m_active,1,m_start,"&lt;"&amp;1140,m_end,"&gt;"&amp;1080),INDEX(m_label,_xlfn.MAXIFS(m_row,m_teacher,Z$4,m_date,($G$2+8),m_active,1,m_start,"&lt;"&amp;1140,m_end,"&gt;"&amp;1080))))))</f>
        <v/>
      </c>
      <c r="AA25" s="88" t="str">
        <f aca="false">IF(OR(AA$4="",MONTH(($G$2+8))&lt;&gt;MONTH($C$2)),"",IF(COUNTIFS(m_teacher,AA$4,m_date,($G$2+8),m_active,1,m_start,"&lt;"&amp;1140,m_end,"&gt;"&amp;1080)=0,"",IF(COUNTIFS(m_teacher,AA$4,m_date,($G$2+8),m_active,1,m_start,"&lt;"&amp;1140,m_end,"&gt;"&amp;1080)&gt;1,"충돌",HYPERLINK("#'관리자_MASTER'!D"&amp;_xlfn.MAXIFS(m_row,m_teacher,AA$4,m_date,($G$2+8),m_active,1,m_start,"&lt;"&amp;1140,m_end,"&gt;"&amp;1080),INDEX(m_label,_xlfn.MAXIFS(m_row,m_teacher,AA$4,m_date,($G$2+8),m_active,1,m_start,"&lt;"&amp;1140,m_end,"&gt;"&amp;1080))))))</f>
        <v/>
      </c>
      <c r="AB25" s="88" t="str">
        <f aca="false">IF(OR(AB$4="",MONTH(($G$2+8))&lt;&gt;MONTH($C$2)),"",IF(COUNTIFS(m_teacher,AB$4,m_date,($G$2+8),m_active,1,m_start,"&lt;"&amp;1140,m_end,"&gt;"&amp;1080)=0,"",IF(COUNTIFS(m_teacher,AB$4,m_date,($G$2+8),m_active,1,m_start,"&lt;"&amp;1140,m_end,"&gt;"&amp;1080)&gt;1,"충돌",HYPERLINK("#'관리자_MASTER'!D"&amp;_xlfn.MAXIFS(m_row,m_teacher,AB$4,m_date,($G$2+8),m_active,1,m_start,"&lt;"&amp;1140,m_end,"&gt;"&amp;1080),INDEX(m_label,_xlfn.MAXIFS(m_row,m_teacher,AB$4,m_date,($G$2+8),m_active,1,m_start,"&lt;"&amp;1140,m_end,"&gt;"&amp;1080))))))</f>
        <v/>
      </c>
      <c r="AC25" s="78"/>
      <c r="AD25" s="79" t="s">
        <v>100</v>
      </c>
      <c r="AE25" s="88" t="str">
        <f aca="false">IF(OR(AE$4="",MONTH(($G$2+15))&lt;&gt;MONTH($C$2)),"",IF(COUNTIFS(m_teacher,AE$4,m_date,($G$2+15),m_active,1,m_start,"&lt;"&amp;1140,m_end,"&gt;"&amp;1080)=0,"",IF(COUNTIFS(m_teacher,AE$4,m_date,($G$2+15),m_active,1,m_start,"&lt;"&amp;1140,m_end,"&gt;"&amp;1080)&gt;1,"충돌",HYPERLINK("#'관리자_MASTER'!D"&amp;_xlfn.MAXIFS(m_row,m_teacher,AE$4,m_date,($G$2+15),m_active,1,m_start,"&lt;"&amp;1140,m_end,"&gt;"&amp;1080),INDEX(m_label,_xlfn.MAXIFS(m_row,m_teacher,AE$4,m_date,($G$2+15),m_active,1,m_start,"&lt;"&amp;1140,m_end,"&gt;"&amp;1080))))))</f>
        <v/>
      </c>
      <c r="AF25" s="88" t="str">
        <f aca="false">IF(OR(AF$4="",MONTH(($G$2+15))&lt;&gt;MONTH($C$2)),"",IF(COUNTIFS(m_teacher,AF$4,m_date,($G$2+15),m_active,1,m_start,"&lt;"&amp;1140,m_end,"&gt;"&amp;1080)=0,"",IF(COUNTIFS(m_teacher,AF$4,m_date,($G$2+15),m_active,1,m_start,"&lt;"&amp;1140,m_end,"&gt;"&amp;1080)&gt;1,"충돌",HYPERLINK("#'관리자_MASTER'!D"&amp;_xlfn.MAXIFS(m_row,m_teacher,AF$4,m_date,($G$2+15),m_active,1,m_start,"&lt;"&amp;1140,m_end,"&gt;"&amp;1080),INDEX(m_label,_xlfn.MAXIFS(m_row,m_teacher,AF$4,m_date,($G$2+15),m_active,1,m_start,"&lt;"&amp;1140,m_end,"&gt;"&amp;1080))))))</f>
        <v/>
      </c>
      <c r="AG25" s="88" t="str">
        <f aca="false">IF(OR(AG$4="",MONTH(($G$2+15))&lt;&gt;MONTH($C$2)),"",IF(COUNTIFS(m_teacher,AG$4,m_date,($G$2+15),m_active,1,m_start,"&lt;"&amp;1140,m_end,"&gt;"&amp;1080)=0,"",IF(COUNTIFS(m_teacher,AG$4,m_date,($G$2+15),m_active,1,m_start,"&lt;"&amp;1140,m_end,"&gt;"&amp;1080)&gt;1,"충돌",HYPERLINK("#'관리자_MASTER'!D"&amp;_xlfn.MAXIFS(m_row,m_teacher,AG$4,m_date,($G$2+15),m_active,1,m_start,"&lt;"&amp;1140,m_end,"&gt;"&amp;1080),INDEX(m_label,_xlfn.MAXIFS(m_row,m_teacher,AG$4,m_date,($G$2+15),m_active,1,m_start,"&lt;"&amp;1140,m_end,"&gt;"&amp;1080))))))</f>
        <v/>
      </c>
      <c r="AH25" s="88" t="str">
        <f aca="false">IF(OR(AH$4="",MONTH(($G$2+15))&lt;&gt;MONTH($C$2)),"",IF(COUNTIFS(m_teacher,AH$4,m_date,($G$2+15),m_active,1,m_start,"&lt;"&amp;1140,m_end,"&gt;"&amp;1080)=0,"",IF(COUNTIFS(m_teacher,AH$4,m_date,($G$2+15),m_active,1,m_start,"&lt;"&amp;1140,m_end,"&gt;"&amp;1080)&gt;1,"충돌",HYPERLINK("#'관리자_MASTER'!D"&amp;_xlfn.MAXIFS(m_row,m_teacher,AH$4,m_date,($G$2+15),m_active,1,m_start,"&lt;"&amp;1140,m_end,"&gt;"&amp;1080),INDEX(m_label,_xlfn.MAXIFS(m_row,m_teacher,AH$4,m_date,($G$2+15),m_active,1,m_start,"&lt;"&amp;1140,m_end,"&gt;"&amp;1080))))))</f>
        <v/>
      </c>
      <c r="AI25" s="88" t="str">
        <f aca="false">IF(OR(AI$4="",MONTH(($G$2+15))&lt;&gt;MONTH($C$2)),"",IF(COUNTIFS(m_teacher,AI$4,m_date,($G$2+15),m_active,1,m_start,"&lt;"&amp;1140,m_end,"&gt;"&amp;1080)=0,"",IF(COUNTIFS(m_teacher,AI$4,m_date,($G$2+15),m_active,1,m_start,"&lt;"&amp;1140,m_end,"&gt;"&amp;1080)&gt;1,"충돌",HYPERLINK("#'관리자_MASTER'!D"&amp;_xlfn.MAXIFS(m_row,m_teacher,AI$4,m_date,($G$2+15),m_active,1,m_start,"&lt;"&amp;1140,m_end,"&gt;"&amp;1080),INDEX(m_label,_xlfn.MAXIFS(m_row,m_teacher,AI$4,m_date,($G$2+15),m_active,1,m_start,"&lt;"&amp;1140,m_end,"&gt;"&amp;1080))))))</f>
        <v/>
      </c>
      <c r="AJ25" s="88" t="str">
        <f aca="false">IF(OR(AJ$4="",MONTH(($G$2+15))&lt;&gt;MONTH($C$2)),"",IF(COUNTIFS(m_teacher,AJ$4,m_date,($G$2+15),m_active,1,m_start,"&lt;"&amp;1140,m_end,"&gt;"&amp;1080)=0,"",IF(COUNTIFS(m_teacher,AJ$4,m_date,($G$2+15),m_active,1,m_start,"&lt;"&amp;1140,m_end,"&gt;"&amp;1080)&gt;1,"충돌",HYPERLINK("#'관리자_MASTER'!D"&amp;_xlfn.MAXIFS(m_row,m_teacher,AJ$4,m_date,($G$2+15),m_active,1,m_start,"&lt;"&amp;1140,m_end,"&gt;"&amp;1080),INDEX(m_label,_xlfn.MAXIFS(m_row,m_teacher,AJ$4,m_date,($G$2+15),m_active,1,m_start,"&lt;"&amp;1140,m_end,"&gt;"&amp;1080))))))</f>
        <v/>
      </c>
      <c r="AK25" s="88" t="str">
        <f aca="false">IF(OR(AK$4="",MONTH(($G$2+15))&lt;&gt;MONTH($C$2)),"",IF(COUNTIFS(m_teacher,AK$4,m_date,($G$2+15),m_active,1,m_start,"&lt;"&amp;1140,m_end,"&gt;"&amp;1080)=0,"",IF(COUNTIFS(m_teacher,AK$4,m_date,($G$2+15),m_active,1,m_start,"&lt;"&amp;1140,m_end,"&gt;"&amp;1080)&gt;1,"충돌",HYPERLINK("#'관리자_MASTER'!D"&amp;_xlfn.MAXIFS(m_row,m_teacher,AK$4,m_date,($G$2+15),m_active,1,m_start,"&lt;"&amp;1140,m_end,"&gt;"&amp;1080),INDEX(m_label,_xlfn.MAXIFS(m_row,m_teacher,AK$4,m_date,($G$2+15),m_active,1,m_start,"&lt;"&amp;1140,m_end,"&gt;"&amp;1080))))))</f>
        <v/>
      </c>
      <c r="AL25" s="88" t="str">
        <f aca="false">IF(OR(AL$4="",MONTH(($G$2+15))&lt;&gt;MONTH($C$2)),"",IF(COUNTIFS(m_teacher,AL$4,m_date,($G$2+15),m_active,1,m_start,"&lt;"&amp;1140,m_end,"&gt;"&amp;1080)=0,"",IF(COUNTIFS(m_teacher,AL$4,m_date,($G$2+15),m_active,1,m_start,"&lt;"&amp;1140,m_end,"&gt;"&amp;1080)&gt;1,"충돌",HYPERLINK("#'관리자_MASTER'!D"&amp;_xlfn.MAXIFS(m_row,m_teacher,AL$4,m_date,($G$2+15),m_active,1,m_start,"&lt;"&amp;1140,m_end,"&gt;"&amp;1080),INDEX(m_label,_xlfn.MAXIFS(m_row,m_teacher,AL$4,m_date,($G$2+15),m_active,1,m_start,"&lt;"&amp;1140,m_end,"&gt;"&amp;1080))))))</f>
        <v/>
      </c>
      <c r="AM25" s="88" t="str">
        <f aca="false">IF(OR(AM$4="",MONTH(($G$2+15))&lt;&gt;MONTH($C$2)),"",IF(COUNTIFS(m_teacher,AM$4,m_date,($G$2+15),m_active,1,m_start,"&lt;"&amp;1140,m_end,"&gt;"&amp;1080)=0,"",IF(COUNTIFS(m_teacher,AM$4,m_date,($G$2+15),m_active,1,m_start,"&lt;"&amp;1140,m_end,"&gt;"&amp;1080)&gt;1,"충돌",HYPERLINK("#'관리자_MASTER'!D"&amp;_xlfn.MAXIFS(m_row,m_teacher,AM$4,m_date,($G$2+15),m_active,1,m_start,"&lt;"&amp;1140,m_end,"&gt;"&amp;1080),INDEX(m_label,_xlfn.MAXIFS(m_row,m_teacher,AM$4,m_date,($G$2+15),m_active,1,m_start,"&lt;"&amp;1140,m_end,"&gt;"&amp;1080))))))</f>
        <v/>
      </c>
      <c r="AN25" s="88" t="str">
        <f aca="false">IF(OR(AN$4="",MONTH(($G$2+15))&lt;&gt;MONTH($C$2)),"",IF(COUNTIFS(m_teacher,AN$4,m_date,($G$2+15),m_active,1,m_start,"&lt;"&amp;1140,m_end,"&gt;"&amp;1080)=0,"",IF(COUNTIFS(m_teacher,AN$4,m_date,($G$2+15),m_active,1,m_start,"&lt;"&amp;1140,m_end,"&gt;"&amp;1080)&gt;1,"충돌",HYPERLINK("#'관리자_MASTER'!D"&amp;_xlfn.MAXIFS(m_row,m_teacher,AN$4,m_date,($G$2+15),m_active,1,m_start,"&lt;"&amp;1140,m_end,"&gt;"&amp;1080),INDEX(m_label,_xlfn.MAXIFS(m_row,m_teacher,AN$4,m_date,($G$2+15),m_active,1,m_start,"&lt;"&amp;1140,m_end,"&gt;"&amp;1080))))))</f>
        <v/>
      </c>
      <c r="AO25" s="88" t="str">
        <f aca="false">IF(OR(AO$4="",MONTH(($G$2+15))&lt;&gt;MONTH($C$2)),"",IF(COUNTIFS(m_teacher,AO$4,m_date,($G$2+15),m_active,1,m_start,"&lt;"&amp;1140,m_end,"&gt;"&amp;1080)=0,"",IF(COUNTIFS(m_teacher,AO$4,m_date,($G$2+15),m_active,1,m_start,"&lt;"&amp;1140,m_end,"&gt;"&amp;1080)&gt;1,"충돌",HYPERLINK("#'관리자_MASTER'!D"&amp;_xlfn.MAXIFS(m_row,m_teacher,AO$4,m_date,($G$2+15),m_active,1,m_start,"&lt;"&amp;1140,m_end,"&gt;"&amp;1080),INDEX(m_label,_xlfn.MAXIFS(m_row,m_teacher,AO$4,m_date,($G$2+15),m_active,1,m_start,"&lt;"&amp;1140,m_end,"&gt;"&amp;1080))))))</f>
        <v/>
      </c>
      <c r="AP25" s="88" t="str">
        <f aca="false">IF(OR(AP$4="",MONTH(($G$2+15))&lt;&gt;MONTH($C$2)),"",IF(COUNTIFS(m_teacher,AP$4,m_date,($G$2+15),m_active,1,m_start,"&lt;"&amp;1140,m_end,"&gt;"&amp;1080)=0,"",IF(COUNTIFS(m_teacher,AP$4,m_date,($G$2+15),m_active,1,m_start,"&lt;"&amp;1140,m_end,"&gt;"&amp;1080)&gt;1,"충돌",HYPERLINK("#'관리자_MASTER'!D"&amp;_xlfn.MAXIFS(m_row,m_teacher,AP$4,m_date,($G$2+15),m_active,1,m_start,"&lt;"&amp;1140,m_end,"&gt;"&amp;1080),INDEX(m_label,_xlfn.MAXIFS(m_row,m_teacher,AP$4,m_date,($G$2+15),m_active,1,m_start,"&lt;"&amp;1140,m_end,"&gt;"&amp;1080))))))</f>
        <v/>
      </c>
      <c r="AQ25" s="78"/>
      <c r="AR25" s="79" t="s">
        <v>100</v>
      </c>
      <c r="AS25" s="88" t="str">
        <f aca="false">IF(OR(AS$4="",MONTH(($G$2+22))&lt;&gt;MONTH($C$2)),"",IF(COUNTIFS(m_teacher,AS$4,m_date,($G$2+22),m_active,1,m_start,"&lt;"&amp;1140,m_end,"&gt;"&amp;1080)=0,"",IF(COUNTIFS(m_teacher,AS$4,m_date,($G$2+22),m_active,1,m_start,"&lt;"&amp;1140,m_end,"&gt;"&amp;1080)&gt;1,"충돌",HYPERLINK("#'관리자_MASTER'!D"&amp;_xlfn.MAXIFS(m_row,m_teacher,AS$4,m_date,($G$2+22),m_active,1,m_start,"&lt;"&amp;1140,m_end,"&gt;"&amp;1080),INDEX(m_label,_xlfn.MAXIFS(m_row,m_teacher,AS$4,m_date,($G$2+22),m_active,1,m_start,"&lt;"&amp;1140,m_end,"&gt;"&amp;1080))))))</f>
        <v/>
      </c>
      <c r="AT25" s="88" t="str">
        <f aca="false">IF(OR(AT$4="",MONTH(($G$2+22))&lt;&gt;MONTH($C$2)),"",IF(COUNTIFS(m_teacher,AT$4,m_date,($G$2+22),m_active,1,m_start,"&lt;"&amp;1140,m_end,"&gt;"&amp;1080)=0,"",IF(COUNTIFS(m_teacher,AT$4,m_date,($G$2+22),m_active,1,m_start,"&lt;"&amp;1140,m_end,"&gt;"&amp;1080)&gt;1,"충돌",HYPERLINK("#'관리자_MASTER'!D"&amp;_xlfn.MAXIFS(m_row,m_teacher,AT$4,m_date,($G$2+22),m_active,1,m_start,"&lt;"&amp;1140,m_end,"&gt;"&amp;1080),INDEX(m_label,_xlfn.MAXIFS(m_row,m_teacher,AT$4,m_date,($G$2+22),m_active,1,m_start,"&lt;"&amp;1140,m_end,"&gt;"&amp;1080))))))</f>
        <v/>
      </c>
      <c r="AU25" s="88" t="str">
        <f aca="false">IF(OR(AU$4="",MONTH(($G$2+22))&lt;&gt;MONTH($C$2)),"",IF(COUNTIFS(m_teacher,AU$4,m_date,($G$2+22),m_active,1,m_start,"&lt;"&amp;1140,m_end,"&gt;"&amp;1080)=0,"",IF(COUNTIFS(m_teacher,AU$4,m_date,($G$2+22),m_active,1,m_start,"&lt;"&amp;1140,m_end,"&gt;"&amp;1080)&gt;1,"충돌",HYPERLINK("#'관리자_MASTER'!D"&amp;_xlfn.MAXIFS(m_row,m_teacher,AU$4,m_date,($G$2+22),m_active,1,m_start,"&lt;"&amp;1140,m_end,"&gt;"&amp;1080),INDEX(m_label,_xlfn.MAXIFS(m_row,m_teacher,AU$4,m_date,($G$2+22),m_active,1,m_start,"&lt;"&amp;1140,m_end,"&gt;"&amp;1080))))))</f>
        <v/>
      </c>
      <c r="AV25" s="88" t="str">
        <f aca="false">IF(OR(AV$4="",MONTH(($G$2+22))&lt;&gt;MONTH($C$2)),"",IF(COUNTIFS(m_teacher,AV$4,m_date,($G$2+22),m_active,1,m_start,"&lt;"&amp;1140,m_end,"&gt;"&amp;1080)=0,"",IF(COUNTIFS(m_teacher,AV$4,m_date,($G$2+22),m_active,1,m_start,"&lt;"&amp;1140,m_end,"&gt;"&amp;1080)&gt;1,"충돌",HYPERLINK("#'관리자_MASTER'!D"&amp;_xlfn.MAXIFS(m_row,m_teacher,AV$4,m_date,($G$2+22),m_active,1,m_start,"&lt;"&amp;1140,m_end,"&gt;"&amp;1080),INDEX(m_label,_xlfn.MAXIFS(m_row,m_teacher,AV$4,m_date,($G$2+22),m_active,1,m_start,"&lt;"&amp;1140,m_end,"&gt;"&amp;1080))))))</f>
        <v/>
      </c>
      <c r="AW25" s="88" t="str">
        <f aca="false">IF(OR(AW$4="",MONTH(($G$2+22))&lt;&gt;MONTH($C$2)),"",IF(COUNTIFS(m_teacher,AW$4,m_date,($G$2+22),m_active,1,m_start,"&lt;"&amp;1140,m_end,"&gt;"&amp;1080)=0,"",IF(COUNTIFS(m_teacher,AW$4,m_date,($G$2+22),m_active,1,m_start,"&lt;"&amp;1140,m_end,"&gt;"&amp;1080)&gt;1,"충돌",HYPERLINK("#'관리자_MASTER'!D"&amp;_xlfn.MAXIFS(m_row,m_teacher,AW$4,m_date,($G$2+22),m_active,1,m_start,"&lt;"&amp;1140,m_end,"&gt;"&amp;1080),INDEX(m_label,_xlfn.MAXIFS(m_row,m_teacher,AW$4,m_date,($G$2+22),m_active,1,m_start,"&lt;"&amp;1140,m_end,"&gt;"&amp;1080))))))</f>
        <v/>
      </c>
      <c r="AX25" s="88" t="str">
        <f aca="false">IF(OR(AX$4="",MONTH(($G$2+22))&lt;&gt;MONTH($C$2)),"",IF(COUNTIFS(m_teacher,AX$4,m_date,($G$2+22),m_active,1,m_start,"&lt;"&amp;1140,m_end,"&gt;"&amp;1080)=0,"",IF(COUNTIFS(m_teacher,AX$4,m_date,($G$2+22),m_active,1,m_start,"&lt;"&amp;1140,m_end,"&gt;"&amp;1080)&gt;1,"충돌",HYPERLINK("#'관리자_MASTER'!D"&amp;_xlfn.MAXIFS(m_row,m_teacher,AX$4,m_date,($G$2+22),m_active,1,m_start,"&lt;"&amp;1140,m_end,"&gt;"&amp;1080),INDEX(m_label,_xlfn.MAXIFS(m_row,m_teacher,AX$4,m_date,($G$2+22),m_active,1,m_start,"&lt;"&amp;1140,m_end,"&gt;"&amp;1080))))))</f>
        <v/>
      </c>
      <c r="AY25" s="88" t="str">
        <f aca="false">IF(OR(AY$4="",MONTH(($G$2+22))&lt;&gt;MONTH($C$2)),"",IF(COUNTIFS(m_teacher,AY$4,m_date,($G$2+22),m_active,1,m_start,"&lt;"&amp;1140,m_end,"&gt;"&amp;1080)=0,"",IF(COUNTIFS(m_teacher,AY$4,m_date,($G$2+22),m_active,1,m_start,"&lt;"&amp;1140,m_end,"&gt;"&amp;1080)&gt;1,"충돌",HYPERLINK("#'관리자_MASTER'!D"&amp;_xlfn.MAXIFS(m_row,m_teacher,AY$4,m_date,($G$2+22),m_active,1,m_start,"&lt;"&amp;1140,m_end,"&gt;"&amp;1080),INDEX(m_label,_xlfn.MAXIFS(m_row,m_teacher,AY$4,m_date,($G$2+22),m_active,1,m_start,"&lt;"&amp;1140,m_end,"&gt;"&amp;1080))))))</f>
        <v/>
      </c>
      <c r="AZ25" s="88" t="str">
        <f aca="false">IF(OR(AZ$4="",MONTH(($G$2+22))&lt;&gt;MONTH($C$2)),"",IF(COUNTIFS(m_teacher,AZ$4,m_date,($G$2+22),m_active,1,m_start,"&lt;"&amp;1140,m_end,"&gt;"&amp;1080)=0,"",IF(COUNTIFS(m_teacher,AZ$4,m_date,($G$2+22),m_active,1,m_start,"&lt;"&amp;1140,m_end,"&gt;"&amp;1080)&gt;1,"충돌",HYPERLINK("#'관리자_MASTER'!D"&amp;_xlfn.MAXIFS(m_row,m_teacher,AZ$4,m_date,($G$2+22),m_active,1,m_start,"&lt;"&amp;1140,m_end,"&gt;"&amp;1080),INDEX(m_label,_xlfn.MAXIFS(m_row,m_teacher,AZ$4,m_date,($G$2+22),m_active,1,m_start,"&lt;"&amp;1140,m_end,"&gt;"&amp;1080))))))</f>
        <v/>
      </c>
      <c r="BA25" s="88" t="str">
        <f aca="false">IF(OR(BA$4="",MONTH(($G$2+22))&lt;&gt;MONTH($C$2)),"",IF(COUNTIFS(m_teacher,BA$4,m_date,($G$2+22),m_active,1,m_start,"&lt;"&amp;1140,m_end,"&gt;"&amp;1080)=0,"",IF(COUNTIFS(m_teacher,BA$4,m_date,($G$2+22),m_active,1,m_start,"&lt;"&amp;1140,m_end,"&gt;"&amp;1080)&gt;1,"충돌",HYPERLINK("#'관리자_MASTER'!D"&amp;_xlfn.MAXIFS(m_row,m_teacher,BA$4,m_date,($G$2+22),m_active,1,m_start,"&lt;"&amp;1140,m_end,"&gt;"&amp;1080),INDEX(m_label,_xlfn.MAXIFS(m_row,m_teacher,BA$4,m_date,($G$2+22),m_active,1,m_start,"&lt;"&amp;1140,m_end,"&gt;"&amp;1080))))))</f>
        <v/>
      </c>
      <c r="BB25" s="88" t="str">
        <f aca="false">IF(OR(BB$4="",MONTH(($G$2+22))&lt;&gt;MONTH($C$2)),"",IF(COUNTIFS(m_teacher,BB$4,m_date,($G$2+22),m_active,1,m_start,"&lt;"&amp;1140,m_end,"&gt;"&amp;1080)=0,"",IF(COUNTIFS(m_teacher,BB$4,m_date,($G$2+22),m_active,1,m_start,"&lt;"&amp;1140,m_end,"&gt;"&amp;1080)&gt;1,"충돌",HYPERLINK("#'관리자_MASTER'!D"&amp;_xlfn.MAXIFS(m_row,m_teacher,BB$4,m_date,($G$2+22),m_active,1,m_start,"&lt;"&amp;1140,m_end,"&gt;"&amp;1080),INDEX(m_label,_xlfn.MAXIFS(m_row,m_teacher,BB$4,m_date,($G$2+22),m_active,1,m_start,"&lt;"&amp;1140,m_end,"&gt;"&amp;1080))))))</f>
        <v/>
      </c>
      <c r="BC25" s="88" t="str">
        <f aca="false">IF(OR(BC$4="",MONTH(($G$2+22))&lt;&gt;MONTH($C$2)),"",IF(COUNTIFS(m_teacher,BC$4,m_date,($G$2+22),m_active,1,m_start,"&lt;"&amp;1140,m_end,"&gt;"&amp;1080)=0,"",IF(COUNTIFS(m_teacher,BC$4,m_date,($G$2+22),m_active,1,m_start,"&lt;"&amp;1140,m_end,"&gt;"&amp;1080)&gt;1,"충돌",HYPERLINK("#'관리자_MASTER'!D"&amp;_xlfn.MAXIFS(m_row,m_teacher,BC$4,m_date,($G$2+22),m_active,1,m_start,"&lt;"&amp;1140,m_end,"&gt;"&amp;1080),INDEX(m_label,_xlfn.MAXIFS(m_row,m_teacher,BC$4,m_date,($G$2+22),m_active,1,m_start,"&lt;"&amp;1140,m_end,"&gt;"&amp;1080))))))</f>
        <v/>
      </c>
      <c r="BD25" s="88" t="str">
        <f aca="false">IF(OR(BD$4="",MONTH(($G$2+22))&lt;&gt;MONTH($C$2)),"",IF(COUNTIFS(m_teacher,BD$4,m_date,($G$2+22),m_active,1,m_start,"&lt;"&amp;1140,m_end,"&gt;"&amp;1080)=0,"",IF(COUNTIFS(m_teacher,BD$4,m_date,($G$2+22),m_active,1,m_start,"&lt;"&amp;1140,m_end,"&gt;"&amp;1080)&gt;1,"충돌",HYPERLINK("#'관리자_MASTER'!D"&amp;_xlfn.MAXIFS(m_row,m_teacher,BD$4,m_date,($G$2+22),m_active,1,m_start,"&lt;"&amp;1140,m_end,"&gt;"&amp;1080),INDEX(m_label,_xlfn.MAXIFS(m_row,m_teacher,BD$4,m_date,($G$2+22),m_active,1,m_start,"&lt;"&amp;1140,m_end,"&gt;"&amp;1080))))))</f>
        <v/>
      </c>
      <c r="BE25" s="78"/>
      <c r="BF25" s="79" t="s">
        <v>100</v>
      </c>
      <c r="BG25" s="88" t="str">
        <f aca="false">IF(OR(BG$4="",MONTH(($G$2+29))&lt;&gt;MONTH($C$2)),"",IF(COUNTIFS(m_teacher,BG$4,m_date,($G$2+29),m_active,1,m_start,"&lt;"&amp;1140,m_end,"&gt;"&amp;1080)=0,"",IF(COUNTIFS(m_teacher,BG$4,m_date,($G$2+29),m_active,1,m_start,"&lt;"&amp;1140,m_end,"&gt;"&amp;1080)&gt;1,"충돌",HYPERLINK("#'관리자_MASTER'!D"&amp;_xlfn.MAXIFS(m_row,m_teacher,BG$4,m_date,($G$2+29),m_active,1,m_start,"&lt;"&amp;1140,m_end,"&gt;"&amp;1080),INDEX(m_label,_xlfn.MAXIFS(m_row,m_teacher,BG$4,m_date,($G$2+29),m_active,1,m_start,"&lt;"&amp;1140,m_end,"&gt;"&amp;1080))))))</f>
        <v/>
      </c>
      <c r="BH25" s="88" t="str">
        <f aca="false">IF(OR(BH$4="",MONTH(($G$2+29))&lt;&gt;MONTH($C$2)),"",IF(COUNTIFS(m_teacher,BH$4,m_date,($G$2+29),m_active,1,m_start,"&lt;"&amp;1140,m_end,"&gt;"&amp;1080)=0,"",IF(COUNTIFS(m_teacher,BH$4,m_date,($G$2+29),m_active,1,m_start,"&lt;"&amp;1140,m_end,"&gt;"&amp;1080)&gt;1,"충돌",HYPERLINK("#'관리자_MASTER'!D"&amp;_xlfn.MAXIFS(m_row,m_teacher,BH$4,m_date,($G$2+29),m_active,1,m_start,"&lt;"&amp;1140,m_end,"&gt;"&amp;1080),INDEX(m_label,_xlfn.MAXIFS(m_row,m_teacher,BH$4,m_date,($G$2+29),m_active,1,m_start,"&lt;"&amp;1140,m_end,"&gt;"&amp;1080))))))</f>
        <v/>
      </c>
      <c r="BI25" s="88" t="str">
        <f aca="false">IF(OR(BI$4="",MONTH(($G$2+29))&lt;&gt;MONTH($C$2)),"",IF(COUNTIFS(m_teacher,BI$4,m_date,($G$2+29),m_active,1,m_start,"&lt;"&amp;1140,m_end,"&gt;"&amp;1080)=0,"",IF(COUNTIFS(m_teacher,BI$4,m_date,($G$2+29),m_active,1,m_start,"&lt;"&amp;1140,m_end,"&gt;"&amp;1080)&gt;1,"충돌",HYPERLINK("#'관리자_MASTER'!D"&amp;_xlfn.MAXIFS(m_row,m_teacher,BI$4,m_date,($G$2+29),m_active,1,m_start,"&lt;"&amp;1140,m_end,"&gt;"&amp;1080),INDEX(m_label,_xlfn.MAXIFS(m_row,m_teacher,BI$4,m_date,($G$2+29),m_active,1,m_start,"&lt;"&amp;1140,m_end,"&gt;"&amp;1080))))))</f>
        <v/>
      </c>
      <c r="BJ25" s="88" t="str">
        <f aca="false">IF(OR(BJ$4="",MONTH(($G$2+29))&lt;&gt;MONTH($C$2)),"",IF(COUNTIFS(m_teacher,BJ$4,m_date,($G$2+29),m_active,1,m_start,"&lt;"&amp;1140,m_end,"&gt;"&amp;1080)=0,"",IF(COUNTIFS(m_teacher,BJ$4,m_date,($G$2+29),m_active,1,m_start,"&lt;"&amp;1140,m_end,"&gt;"&amp;1080)&gt;1,"충돌",HYPERLINK("#'관리자_MASTER'!D"&amp;_xlfn.MAXIFS(m_row,m_teacher,BJ$4,m_date,($G$2+29),m_active,1,m_start,"&lt;"&amp;1140,m_end,"&gt;"&amp;1080),INDEX(m_label,_xlfn.MAXIFS(m_row,m_teacher,BJ$4,m_date,($G$2+29),m_active,1,m_start,"&lt;"&amp;1140,m_end,"&gt;"&amp;1080))))))</f>
        <v/>
      </c>
      <c r="BK25" s="88" t="str">
        <f aca="false">IF(OR(BK$4="",MONTH(($G$2+29))&lt;&gt;MONTH($C$2)),"",IF(COUNTIFS(m_teacher,BK$4,m_date,($G$2+29),m_active,1,m_start,"&lt;"&amp;1140,m_end,"&gt;"&amp;1080)=0,"",IF(COUNTIFS(m_teacher,BK$4,m_date,($G$2+29),m_active,1,m_start,"&lt;"&amp;1140,m_end,"&gt;"&amp;1080)&gt;1,"충돌",HYPERLINK("#'관리자_MASTER'!D"&amp;_xlfn.MAXIFS(m_row,m_teacher,BK$4,m_date,($G$2+29),m_active,1,m_start,"&lt;"&amp;1140,m_end,"&gt;"&amp;1080),INDEX(m_label,_xlfn.MAXIFS(m_row,m_teacher,BK$4,m_date,($G$2+29),m_active,1,m_start,"&lt;"&amp;1140,m_end,"&gt;"&amp;1080))))))</f>
        <v/>
      </c>
      <c r="BL25" s="88" t="str">
        <f aca="false">IF(OR(BL$4="",MONTH(($G$2+29))&lt;&gt;MONTH($C$2)),"",IF(COUNTIFS(m_teacher,BL$4,m_date,($G$2+29),m_active,1,m_start,"&lt;"&amp;1140,m_end,"&gt;"&amp;1080)=0,"",IF(COUNTIFS(m_teacher,BL$4,m_date,($G$2+29),m_active,1,m_start,"&lt;"&amp;1140,m_end,"&gt;"&amp;1080)&gt;1,"충돌",HYPERLINK("#'관리자_MASTER'!D"&amp;_xlfn.MAXIFS(m_row,m_teacher,BL$4,m_date,($G$2+29),m_active,1,m_start,"&lt;"&amp;1140,m_end,"&gt;"&amp;1080),INDEX(m_label,_xlfn.MAXIFS(m_row,m_teacher,BL$4,m_date,($G$2+29),m_active,1,m_start,"&lt;"&amp;1140,m_end,"&gt;"&amp;1080))))))</f>
        <v/>
      </c>
      <c r="BM25" s="88" t="str">
        <f aca="false">IF(OR(BM$4="",MONTH(($G$2+29))&lt;&gt;MONTH($C$2)),"",IF(COUNTIFS(m_teacher,BM$4,m_date,($G$2+29),m_active,1,m_start,"&lt;"&amp;1140,m_end,"&gt;"&amp;1080)=0,"",IF(COUNTIFS(m_teacher,BM$4,m_date,($G$2+29),m_active,1,m_start,"&lt;"&amp;1140,m_end,"&gt;"&amp;1080)&gt;1,"충돌",HYPERLINK("#'관리자_MASTER'!D"&amp;_xlfn.MAXIFS(m_row,m_teacher,BM$4,m_date,($G$2+29),m_active,1,m_start,"&lt;"&amp;1140,m_end,"&gt;"&amp;1080),INDEX(m_label,_xlfn.MAXIFS(m_row,m_teacher,BM$4,m_date,($G$2+29),m_active,1,m_start,"&lt;"&amp;1140,m_end,"&gt;"&amp;1080))))))</f>
        <v/>
      </c>
      <c r="BN25" s="88" t="str">
        <f aca="false">IF(OR(BN$4="",MONTH(($G$2+29))&lt;&gt;MONTH($C$2)),"",IF(COUNTIFS(m_teacher,BN$4,m_date,($G$2+29),m_active,1,m_start,"&lt;"&amp;1140,m_end,"&gt;"&amp;1080)=0,"",IF(COUNTIFS(m_teacher,BN$4,m_date,($G$2+29),m_active,1,m_start,"&lt;"&amp;1140,m_end,"&gt;"&amp;1080)&gt;1,"충돌",HYPERLINK("#'관리자_MASTER'!D"&amp;_xlfn.MAXIFS(m_row,m_teacher,BN$4,m_date,($G$2+29),m_active,1,m_start,"&lt;"&amp;1140,m_end,"&gt;"&amp;1080),INDEX(m_label,_xlfn.MAXIFS(m_row,m_teacher,BN$4,m_date,($G$2+29),m_active,1,m_start,"&lt;"&amp;1140,m_end,"&gt;"&amp;1080))))))</f>
        <v/>
      </c>
      <c r="BO25" s="88" t="str">
        <f aca="false">IF(OR(BO$4="",MONTH(($G$2+29))&lt;&gt;MONTH($C$2)),"",IF(COUNTIFS(m_teacher,BO$4,m_date,($G$2+29),m_active,1,m_start,"&lt;"&amp;1140,m_end,"&gt;"&amp;1080)=0,"",IF(COUNTIFS(m_teacher,BO$4,m_date,($G$2+29),m_active,1,m_start,"&lt;"&amp;1140,m_end,"&gt;"&amp;1080)&gt;1,"충돌",HYPERLINK("#'관리자_MASTER'!D"&amp;_xlfn.MAXIFS(m_row,m_teacher,BO$4,m_date,($G$2+29),m_active,1,m_start,"&lt;"&amp;1140,m_end,"&gt;"&amp;1080),INDEX(m_label,_xlfn.MAXIFS(m_row,m_teacher,BO$4,m_date,($G$2+29),m_active,1,m_start,"&lt;"&amp;1140,m_end,"&gt;"&amp;1080))))))</f>
        <v/>
      </c>
      <c r="BP25" s="88" t="str">
        <f aca="false">IF(OR(BP$4="",MONTH(($G$2+29))&lt;&gt;MONTH($C$2)),"",IF(COUNTIFS(m_teacher,BP$4,m_date,($G$2+29),m_active,1,m_start,"&lt;"&amp;1140,m_end,"&gt;"&amp;1080)=0,"",IF(COUNTIFS(m_teacher,BP$4,m_date,($G$2+29),m_active,1,m_start,"&lt;"&amp;1140,m_end,"&gt;"&amp;1080)&gt;1,"충돌",HYPERLINK("#'관리자_MASTER'!D"&amp;_xlfn.MAXIFS(m_row,m_teacher,BP$4,m_date,($G$2+29),m_active,1,m_start,"&lt;"&amp;1140,m_end,"&gt;"&amp;1080),INDEX(m_label,_xlfn.MAXIFS(m_row,m_teacher,BP$4,m_date,($G$2+29),m_active,1,m_start,"&lt;"&amp;1140,m_end,"&gt;"&amp;1080))))))</f>
        <v/>
      </c>
      <c r="BQ25" s="88" t="str">
        <f aca="false">IF(OR(BQ$4="",MONTH(($G$2+29))&lt;&gt;MONTH($C$2)),"",IF(COUNTIFS(m_teacher,BQ$4,m_date,($G$2+29),m_active,1,m_start,"&lt;"&amp;1140,m_end,"&gt;"&amp;1080)=0,"",IF(COUNTIFS(m_teacher,BQ$4,m_date,($G$2+29),m_active,1,m_start,"&lt;"&amp;1140,m_end,"&gt;"&amp;1080)&gt;1,"충돌",HYPERLINK("#'관리자_MASTER'!D"&amp;_xlfn.MAXIFS(m_row,m_teacher,BQ$4,m_date,($G$2+29),m_active,1,m_start,"&lt;"&amp;1140,m_end,"&gt;"&amp;1080),INDEX(m_label,_xlfn.MAXIFS(m_row,m_teacher,BQ$4,m_date,($G$2+29),m_active,1,m_start,"&lt;"&amp;1140,m_end,"&gt;"&amp;1080))))))</f>
        <v/>
      </c>
      <c r="BR25" s="88" t="str">
        <f aca="false">IF(OR(BR$4="",MONTH(($G$2+29))&lt;&gt;MONTH($C$2)),"",IF(COUNTIFS(m_teacher,BR$4,m_date,($G$2+29),m_active,1,m_start,"&lt;"&amp;1140,m_end,"&gt;"&amp;1080)=0,"",IF(COUNTIFS(m_teacher,BR$4,m_date,($G$2+29),m_active,1,m_start,"&lt;"&amp;1140,m_end,"&gt;"&amp;1080)&gt;1,"충돌",HYPERLINK("#'관리자_MASTER'!D"&amp;_xlfn.MAXIFS(m_row,m_teacher,BR$4,m_date,($G$2+29),m_active,1,m_start,"&lt;"&amp;1140,m_end,"&gt;"&amp;1080),INDEX(m_label,_xlfn.MAXIFS(m_row,m_teacher,BR$4,m_date,($G$2+29),m_active,1,m_start,"&lt;"&amp;1140,m_end,"&gt;"&amp;1080))))))</f>
        <v/>
      </c>
    </row>
    <row r="26" customFormat="false" ht="19.5" hidden="false" customHeight="true" outlineLevel="0" collapsed="false">
      <c r="A26" s="78"/>
      <c r="B26" s="85" t="s">
        <v>101</v>
      </c>
      <c r="C26" s="89" t="str">
        <f aca="false">IF(OR(C$4="",MONTH(($G$2+1))&lt;&gt;MONTH($C$2)),"",IF(COUNTIFS(m_teacher,C$4,m_date,($G$2+1),m_active,1,m_start,"&lt;"&amp;1440,m_end,"&gt;"&amp;1140)=0,"",IF(COUNTIFS(m_teacher,C$4,m_date,($G$2+1),m_active,1,m_start,"&lt;"&amp;1440,m_end,"&gt;"&amp;1140)&gt;1,"충돌",HYPERLINK("#'관리자_MASTER'!D"&amp;_xlfn.MAXIFS(m_row,m_teacher,C$4,m_date,($G$2+1),m_active,1,m_start,"&lt;"&amp;1440,m_end,"&gt;"&amp;1140),INDEX(m_label,_xlfn.MAXIFS(m_row,m_teacher,C$4,m_date,($G$2+1),m_active,1,m_start,"&lt;"&amp;1440,m_end,"&gt;"&amp;1140))))))</f>
        <v/>
      </c>
      <c r="D26" s="89" t="str">
        <f aca="false">IF(OR(D$4="",MONTH(($G$2+1))&lt;&gt;MONTH($C$2)),"",IF(COUNTIFS(m_teacher,D$4,m_date,($G$2+1),m_active,1,m_start,"&lt;"&amp;1440,m_end,"&gt;"&amp;1140)=0,"",IF(COUNTIFS(m_teacher,D$4,m_date,($G$2+1),m_active,1,m_start,"&lt;"&amp;1440,m_end,"&gt;"&amp;1140)&gt;1,"충돌",HYPERLINK("#'관리자_MASTER'!D"&amp;_xlfn.MAXIFS(m_row,m_teacher,D$4,m_date,($G$2+1),m_active,1,m_start,"&lt;"&amp;1440,m_end,"&gt;"&amp;1140),INDEX(m_label,_xlfn.MAXIFS(m_row,m_teacher,D$4,m_date,($G$2+1),m_active,1,m_start,"&lt;"&amp;1440,m_end,"&gt;"&amp;1140))))))</f>
        <v/>
      </c>
      <c r="E26" s="89" t="str">
        <f aca="false">IF(OR(E$4="",MONTH(($G$2+1))&lt;&gt;MONTH($C$2)),"",IF(COUNTIFS(m_teacher,E$4,m_date,($G$2+1),m_active,1,m_start,"&lt;"&amp;1440,m_end,"&gt;"&amp;1140)=0,"",IF(COUNTIFS(m_teacher,E$4,m_date,($G$2+1),m_active,1,m_start,"&lt;"&amp;1440,m_end,"&gt;"&amp;1140)&gt;1,"충돌",HYPERLINK("#'관리자_MASTER'!D"&amp;_xlfn.MAXIFS(m_row,m_teacher,E$4,m_date,($G$2+1),m_active,1,m_start,"&lt;"&amp;1440,m_end,"&gt;"&amp;1140),INDEX(m_label,_xlfn.MAXIFS(m_row,m_teacher,E$4,m_date,($G$2+1),m_active,1,m_start,"&lt;"&amp;1440,m_end,"&gt;"&amp;1140))))))</f>
        <v/>
      </c>
      <c r="F26" s="89" t="str">
        <f aca="false">IF(OR(F$4="",MONTH(($G$2+1))&lt;&gt;MONTH($C$2)),"",IF(COUNTIFS(m_teacher,F$4,m_date,($G$2+1),m_active,1,m_start,"&lt;"&amp;1440,m_end,"&gt;"&amp;1140)=0,"",IF(COUNTIFS(m_teacher,F$4,m_date,($G$2+1),m_active,1,m_start,"&lt;"&amp;1440,m_end,"&gt;"&amp;1140)&gt;1,"충돌",HYPERLINK("#'관리자_MASTER'!D"&amp;_xlfn.MAXIFS(m_row,m_teacher,F$4,m_date,($G$2+1),m_active,1,m_start,"&lt;"&amp;1440,m_end,"&gt;"&amp;1140),INDEX(m_label,_xlfn.MAXIFS(m_row,m_teacher,F$4,m_date,($G$2+1),m_active,1,m_start,"&lt;"&amp;1440,m_end,"&gt;"&amp;1140))))))</f>
        <v/>
      </c>
      <c r="G26" s="89" t="str">
        <f aca="false">IF(OR(G$4="",MONTH(($G$2+1))&lt;&gt;MONTH($C$2)),"",IF(COUNTIFS(m_teacher,G$4,m_date,($G$2+1),m_active,1,m_start,"&lt;"&amp;1440,m_end,"&gt;"&amp;1140)=0,"",IF(COUNTIFS(m_teacher,G$4,m_date,($G$2+1),m_active,1,m_start,"&lt;"&amp;1440,m_end,"&gt;"&amp;1140)&gt;1,"충돌",HYPERLINK("#'관리자_MASTER'!D"&amp;_xlfn.MAXIFS(m_row,m_teacher,G$4,m_date,($G$2+1),m_active,1,m_start,"&lt;"&amp;1440,m_end,"&gt;"&amp;1140),INDEX(m_label,_xlfn.MAXIFS(m_row,m_teacher,G$4,m_date,($G$2+1),m_active,1,m_start,"&lt;"&amp;1440,m_end,"&gt;"&amp;1140))))))</f>
        <v/>
      </c>
      <c r="H26" s="89" t="str">
        <f aca="false">IF(OR(H$4="",MONTH(($G$2+1))&lt;&gt;MONTH($C$2)),"",IF(COUNTIFS(m_teacher,H$4,m_date,($G$2+1),m_active,1,m_start,"&lt;"&amp;1440,m_end,"&gt;"&amp;1140)=0,"",IF(COUNTIFS(m_teacher,H$4,m_date,($G$2+1),m_active,1,m_start,"&lt;"&amp;1440,m_end,"&gt;"&amp;1140)&gt;1,"충돌",HYPERLINK("#'관리자_MASTER'!D"&amp;_xlfn.MAXIFS(m_row,m_teacher,H$4,m_date,($G$2+1),m_active,1,m_start,"&lt;"&amp;1440,m_end,"&gt;"&amp;1140),INDEX(m_label,_xlfn.MAXIFS(m_row,m_teacher,H$4,m_date,($G$2+1),m_active,1,m_start,"&lt;"&amp;1440,m_end,"&gt;"&amp;1140))))))</f>
        <v/>
      </c>
      <c r="I26" s="89" t="str">
        <f aca="false">IF(OR(I$4="",MONTH(($G$2+1))&lt;&gt;MONTH($C$2)),"",IF(COUNTIFS(m_teacher,I$4,m_date,($G$2+1),m_active,1,m_start,"&lt;"&amp;1440,m_end,"&gt;"&amp;1140)=0,"",IF(COUNTIFS(m_teacher,I$4,m_date,($G$2+1),m_active,1,m_start,"&lt;"&amp;1440,m_end,"&gt;"&amp;1140)&gt;1,"충돌",HYPERLINK("#'관리자_MASTER'!D"&amp;_xlfn.MAXIFS(m_row,m_teacher,I$4,m_date,($G$2+1),m_active,1,m_start,"&lt;"&amp;1440,m_end,"&gt;"&amp;1140),INDEX(m_label,_xlfn.MAXIFS(m_row,m_teacher,I$4,m_date,($G$2+1),m_active,1,m_start,"&lt;"&amp;1440,m_end,"&gt;"&amp;1140))))))</f>
        <v/>
      </c>
      <c r="J26" s="89" t="str">
        <f aca="false">IF(OR(J$4="",MONTH(($G$2+1))&lt;&gt;MONTH($C$2)),"",IF(COUNTIFS(m_teacher,J$4,m_date,($G$2+1),m_active,1,m_start,"&lt;"&amp;1440,m_end,"&gt;"&amp;1140)=0,"",IF(COUNTIFS(m_teacher,J$4,m_date,($G$2+1),m_active,1,m_start,"&lt;"&amp;1440,m_end,"&gt;"&amp;1140)&gt;1,"충돌",HYPERLINK("#'관리자_MASTER'!D"&amp;_xlfn.MAXIFS(m_row,m_teacher,J$4,m_date,($G$2+1),m_active,1,m_start,"&lt;"&amp;1440,m_end,"&gt;"&amp;1140),INDEX(m_label,_xlfn.MAXIFS(m_row,m_teacher,J$4,m_date,($G$2+1),m_active,1,m_start,"&lt;"&amp;1440,m_end,"&gt;"&amp;1140))))))</f>
        <v/>
      </c>
      <c r="K26" s="89" t="str">
        <f aca="false">IF(OR(K$4="",MONTH(($G$2+1))&lt;&gt;MONTH($C$2)),"",IF(COUNTIFS(m_teacher,K$4,m_date,($G$2+1),m_active,1,m_start,"&lt;"&amp;1440,m_end,"&gt;"&amp;1140)=0,"",IF(COUNTIFS(m_teacher,K$4,m_date,($G$2+1),m_active,1,m_start,"&lt;"&amp;1440,m_end,"&gt;"&amp;1140)&gt;1,"충돌",HYPERLINK("#'관리자_MASTER'!D"&amp;_xlfn.MAXIFS(m_row,m_teacher,K$4,m_date,($G$2+1),m_active,1,m_start,"&lt;"&amp;1440,m_end,"&gt;"&amp;1140),INDEX(m_label,_xlfn.MAXIFS(m_row,m_teacher,K$4,m_date,($G$2+1),m_active,1,m_start,"&lt;"&amp;1440,m_end,"&gt;"&amp;1140))))))</f>
        <v/>
      </c>
      <c r="L26" s="89" t="str">
        <f aca="false">IF(OR(L$4="",MONTH(($G$2+1))&lt;&gt;MONTH($C$2)),"",IF(COUNTIFS(m_teacher,L$4,m_date,($G$2+1),m_active,1,m_start,"&lt;"&amp;1440,m_end,"&gt;"&amp;1140)=0,"",IF(COUNTIFS(m_teacher,L$4,m_date,($G$2+1),m_active,1,m_start,"&lt;"&amp;1440,m_end,"&gt;"&amp;1140)&gt;1,"충돌",HYPERLINK("#'관리자_MASTER'!D"&amp;_xlfn.MAXIFS(m_row,m_teacher,L$4,m_date,($G$2+1),m_active,1,m_start,"&lt;"&amp;1440,m_end,"&gt;"&amp;1140),INDEX(m_label,_xlfn.MAXIFS(m_row,m_teacher,L$4,m_date,($G$2+1),m_active,1,m_start,"&lt;"&amp;1440,m_end,"&gt;"&amp;1140))))))</f>
        <v/>
      </c>
      <c r="M26" s="89" t="str">
        <f aca="false">IF(OR(M$4="",MONTH(($G$2+1))&lt;&gt;MONTH($C$2)),"",IF(COUNTIFS(m_teacher,M$4,m_date,($G$2+1),m_active,1,m_start,"&lt;"&amp;1440,m_end,"&gt;"&amp;1140)=0,"",IF(COUNTIFS(m_teacher,M$4,m_date,($G$2+1),m_active,1,m_start,"&lt;"&amp;1440,m_end,"&gt;"&amp;1140)&gt;1,"충돌",HYPERLINK("#'관리자_MASTER'!D"&amp;_xlfn.MAXIFS(m_row,m_teacher,M$4,m_date,($G$2+1),m_active,1,m_start,"&lt;"&amp;1440,m_end,"&gt;"&amp;1140),INDEX(m_label,_xlfn.MAXIFS(m_row,m_teacher,M$4,m_date,($G$2+1),m_active,1,m_start,"&lt;"&amp;1440,m_end,"&gt;"&amp;1140))))))</f>
        <v/>
      </c>
      <c r="N26" s="89" t="str">
        <f aca="false">IF(OR(N$4="",MONTH(($G$2+1))&lt;&gt;MONTH($C$2)),"",IF(COUNTIFS(m_teacher,N$4,m_date,($G$2+1),m_active,1,m_start,"&lt;"&amp;1440,m_end,"&gt;"&amp;1140)=0,"",IF(COUNTIFS(m_teacher,N$4,m_date,($G$2+1),m_active,1,m_start,"&lt;"&amp;1440,m_end,"&gt;"&amp;1140)&gt;1,"충돌",HYPERLINK("#'관리자_MASTER'!D"&amp;_xlfn.MAXIFS(m_row,m_teacher,N$4,m_date,($G$2+1),m_active,1,m_start,"&lt;"&amp;1440,m_end,"&gt;"&amp;1140),INDEX(m_label,_xlfn.MAXIFS(m_row,m_teacher,N$4,m_date,($G$2+1),m_active,1,m_start,"&lt;"&amp;1440,m_end,"&gt;"&amp;1140))))))</f>
        <v/>
      </c>
      <c r="O26" s="78"/>
      <c r="P26" s="85" t="s">
        <v>101</v>
      </c>
      <c r="Q26" s="89" t="str">
        <f aca="false">IF(OR(Q$4="",MONTH(($G$2+8))&lt;&gt;MONTH($C$2)),"",IF(COUNTIFS(m_teacher,Q$4,m_date,($G$2+8),m_active,1,m_start,"&lt;"&amp;1440,m_end,"&gt;"&amp;1140)=0,"",IF(COUNTIFS(m_teacher,Q$4,m_date,($G$2+8),m_active,1,m_start,"&lt;"&amp;1440,m_end,"&gt;"&amp;1140)&gt;1,"충돌",HYPERLINK("#'관리자_MASTER'!D"&amp;_xlfn.MAXIFS(m_row,m_teacher,Q$4,m_date,($G$2+8),m_active,1,m_start,"&lt;"&amp;1440,m_end,"&gt;"&amp;1140),INDEX(m_label,_xlfn.MAXIFS(m_row,m_teacher,Q$4,m_date,($G$2+8),m_active,1,m_start,"&lt;"&amp;1440,m_end,"&gt;"&amp;1140))))))</f>
        <v/>
      </c>
      <c r="R26" s="89" t="str">
        <f aca="false">IF(OR(R$4="",MONTH(($G$2+8))&lt;&gt;MONTH($C$2)),"",IF(COUNTIFS(m_teacher,R$4,m_date,($G$2+8),m_active,1,m_start,"&lt;"&amp;1440,m_end,"&gt;"&amp;1140)=0,"",IF(COUNTIFS(m_teacher,R$4,m_date,($G$2+8),m_active,1,m_start,"&lt;"&amp;1440,m_end,"&gt;"&amp;1140)&gt;1,"충돌",HYPERLINK("#'관리자_MASTER'!D"&amp;_xlfn.MAXIFS(m_row,m_teacher,R$4,m_date,($G$2+8),m_active,1,m_start,"&lt;"&amp;1440,m_end,"&gt;"&amp;1140),INDEX(m_label,_xlfn.MAXIFS(m_row,m_teacher,R$4,m_date,($G$2+8),m_active,1,m_start,"&lt;"&amp;1440,m_end,"&gt;"&amp;1140))))))</f>
        <v/>
      </c>
      <c r="S26" s="89" t="str">
        <f aca="false">IF(OR(S$4="",MONTH(($G$2+8))&lt;&gt;MONTH($C$2)),"",IF(COUNTIFS(m_teacher,S$4,m_date,($G$2+8),m_active,1,m_start,"&lt;"&amp;1440,m_end,"&gt;"&amp;1140)=0,"",IF(COUNTIFS(m_teacher,S$4,m_date,($G$2+8),m_active,1,m_start,"&lt;"&amp;1440,m_end,"&gt;"&amp;1140)&gt;1,"충돌",HYPERLINK("#'관리자_MASTER'!D"&amp;_xlfn.MAXIFS(m_row,m_teacher,S$4,m_date,($G$2+8),m_active,1,m_start,"&lt;"&amp;1440,m_end,"&gt;"&amp;1140),INDEX(m_label,_xlfn.MAXIFS(m_row,m_teacher,S$4,m_date,($G$2+8),m_active,1,m_start,"&lt;"&amp;1440,m_end,"&gt;"&amp;1140))))))</f>
        <v/>
      </c>
      <c r="T26" s="89" t="str">
        <f aca="false">IF(OR(T$4="",MONTH(($G$2+8))&lt;&gt;MONTH($C$2)),"",IF(COUNTIFS(m_teacher,T$4,m_date,($G$2+8),m_active,1,m_start,"&lt;"&amp;1440,m_end,"&gt;"&amp;1140)=0,"",IF(COUNTIFS(m_teacher,T$4,m_date,($G$2+8),m_active,1,m_start,"&lt;"&amp;1440,m_end,"&gt;"&amp;1140)&gt;1,"충돌",HYPERLINK("#'관리자_MASTER'!D"&amp;_xlfn.MAXIFS(m_row,m_teacher,T$4,m_date,($G$2+8),m_active,1,m_start,"&lt;"&amp;1440,m_end,"&gt;"&amp;1140),INDEX(m_label,_xlfn.MAXIFS(m_row,m_teacher,T$4,m_date,($G$2+8),m_active,1,m_start,"&lt;"&amp;1440,m_end,"&gt;"&amp;1140))))))</f>
        <v/>
      </c>
      <c r="U26" s="89" t="str">
        <f aca="false">IF(OR(U$4="",MONTH(($G$2+8))&lt;&gt;MONTH($C$2)),"",IF(COUNTIFS(m_teacher,U$4,m_date,($G$2+8),m_active,1,m_start,"&lt;"&amp;1440,m_end,"&gt;"&amp;1140)=0,"",IF(COUNTIFS(m_teacher,U$4,m_date,($G$2+8),m_active,1,m_start,"&lt;"&amp;1440,m_end,"&gt;"&amp;1140)&gt;1,"충돌",HYPERLINK("#'관리자_MASTER'!D"&amp;_xlfn.MAXIFS(m_row,m_teacher,U$4,m_date,($G$2+8),m_active,1,m_start,"&lt;"&amp;1440,m_end,"&gt;"&amp;1140),INDEX(m_label,_xlfn.MAXIFS(m_row,m_teacher,U$4,m_date,($G$2+8),m_active,1,m_start,"&lt;"&amp;1440,m_end,"&gt;"&amp;1140))))))</f>
        <v/>
      </c>
      <c r="V26" s="89" t="str">
        <f aca="false">IF(OR(V$4="",MONTH(($G$2+8))&lt;&gt;MONTH($C$2)),"",IF(COUNTIFS(m_teacher,V$4,m_date,($G$2+8),m_active,1,m_start,"&lt;"&amp;1440,m_end,"&gt;"&amp;1140)=0,"",IF(COUNTIFS(m_teacher,V$4,m_date,($G$2+8),m_active,1,m_start,"&lt;"&amp;1440,m_end,"&gt;"&amp;1140)&gt;1,"충돌",HYPERLINK("#'관리자_MASTER'!D"&amp;_xlfn.MAXIFS(m_row,m_teacher,V$4,m_date,($G$2+8),m_active,1,m_start,"&lt;"&amp;1440,m_end,"&gt;"&amp;1140),INDEX(m_label,_xlfn.MAXIFS(m_row,m_teacher,V$4,m_date,($G$2+8),m_active,1,m_start,"&lt;"&amp;1440,m_end,"&gt;"&amp;1140))))))</f>
        <v/>
      </c>
      <c r="W26" s="89" t="str">
        <f aca="false">IF(OR(W$4="",MONTH(($G$2+8))&lt;&gt;MONTH($C$2)),"",IF(COUNTIFS(m_teacher,W$4,m_date,($G$2+8),m_active,1,m_start,"&lt;"&amp;1440,m_end,"&gt;"&amp;1140)=0,"",IF(COUNTIFS(m_teacher,W$4,m_date,($G$2+8),m_active,1,m_start,"&lt;"&amp;1440,m_end,"&gt;"&amp;1140)&gt;1,"충돌",HYPERLINK("#'관리자_MASTER'!D"&amp;_xlfn.MAXIFS(m_row,m_teacher,W$4,m_date,($G$2+8),m_active,1,m_start,"&lt;"&amp;1440,m_end,"&gt;"&amp;1140),INDEX(m_label,_xlfn.MAXIFS(m_row,m_teacher,W$4,m_date,($G$2+8),m_active,1,m_start,"&lt;"&amp;1440,m_end,"&gt;"&amp;1140))))))</f>
        <v/>
      </c>
      <c r="X26" s="89" t="str">
        <f aca="false">IF(OR(X$4="",MONTH(($G$2+8))&lt;&gt;MONTH($C$2)),"",IF(COUNTIFS(m_teacher,X$4,m_date,($G$2+8),m_active,1,m_start,"&lt;"&amp;1440,m_end,"&gt;"&amp;1140)=0,"",IF(COUNTIFS(m_teacher,X$4,m_date,($G$2+8),m_active,1,m_start,"&lt;"&amp;1440,m_end,"&gt;"&amp;1140)&gt;1,"충돌",HYPERLINK("#'관리자_MASTER'!D"&amp;_xlfn.MAXIFS(m_row,m_teacher,X$4,m_date,($G$2+8),m_active,1,m_start,"&lt;"&amp;1440,m_end,"&gt;"&amp;1140),INDEX(m_label,_xlfn.MAXIFS(m_row,m_teacher,X$4,m_date,($G$2+8),m_active,1,m_start,"&lt;"&amp;1440,m_end,"&gt;"&amp;1140))))))</f>
        <v/>
      </c>
      <c r="Y26" s="89" t="str">
        <f aca="false">IF(OR(Y$4="",MONTH(($G$2+8))&lt;&gt;MONTH($C$2)),"",IF(COUNTIFS(m_teacher,Y$4,m_date,($G$2+8),m_active,1,m_start,"&lt;"&amp;1440,m_end,"&gt;"&amp;1140)=0,"",IF(COUNTIFS(m_teacher,Y$4,m_date,($G$2+8),m_active,1,m_start,"&lt;"&amp;1440,m_end,"&gt;"&amp;1140)&gt;1,"충돌",HYPERLINK("#'관리자_MASTER'!D"&amp;_xlfn.MAXIFS(m_row,m_teacher,Y$4,m_date,($G$2+8),m_active,1,m_start,"&lt;"&amp;1440,m_end,"&gt;"&amp;1140),INDEX(m_label,_xlfn.MAXIFS(m_row,m_teacher,Y$4,m_date,($G$2+8),m_active,1,m_start,"&lt;"&amp;1440,m_end,"&gt;"&amp;1140))))))</f>
        <v/>
      </c>
      <c r="Z26" s="89" t="str">
        <f aca="false">IF(OR(Z$4="",MONTH(($G$2+8))&lt;&gt;MONTH($C$2)),"",IF(COUNTIFS(m_teacher,Z$4,m_date,($G$2+8),m_active,1,m_start,"&lt;"&amp;1440,m_end,"&gt;"&amp;1140)=0,"",IF(COUNTIFS(m_teacher,Z$4,m_date,($G$2+8),m_active,1,m_start,"&lt;"&amp;1440,m_end,"&gt;"&amp;1140)&gt;1,"충돌",HYPERLINK("#'관리자_MASTER'!D"&amp;_xlfn.MAXIFS(m_row,m_teacher,Z$4,m_date,($G$2+8),m_active,1,m_start,"&lt;"&amp;1440,m_end,"&gt;"&amp;1140),INDEX(m_label,_xlfn.MAXIFS(m_row,m_teacher,Z$4,m_date,($G$2+8),m_active,1,m_start,"&lt;"&amp;1440,m_end,"&gt;"&amp;1140))))))</f>
        <v/>
      </c>
      <c r="AA26" s="89" t="str">
        <f aca="false">IF(OR(AA$4="",MONTH(($G$2+8))&lt;&gt;MONTH($C$2)),"",IF(COUNTIFS(m_teacher,AA$4,m_date,($G$2+8),m_active,1,m_start,"&lt;"&amp;1440,m_end,"&gt;"&amp;1140)=0,"",IF(COUNTIFS(m_teacher,AA$4,m_date,($G$2+8),m_active,1,m_start,"&lt;"&amp;1440,m_end,"&gt;"&amp;1140)&gt;1,"충돌",HYPERLINK("#'관리자_MASTER'!D"&amp;_xlfn.MAXIFS(m_row,m_teacher,AA$4,m_date,($G$2+8),m_active,1,m_start,"&lt;"&amp;1440,m_end,"&gt;"&amp;1140),INDEX(m_label,_xlfn.MAXIFS(m_row,m_teacher,AA$4,m_date,($G$2+8),m_active,1,m_start,"&lt;"&amp;1440,m_end,"&gt;"&amp;1140))))))</f>
        <v/>
      </c>
      <c r="AB26" s="89" t="str">
        <f aca="false">IF(OR(AB$4="",MONTH(($G$2+8))&lt;&gt;MONTH($C$2)),"",IF(COUNTIFS(m_teacher,AB$4,m_date,($G$2+8),m_active,1,m_start,"&lt;"&amp;1440,m_end,"&gt;"&amp;1140)=0,"",IF(COUNTIFS(m_teacher,AB$4,m_date,($G$2+8),m_active,1,m_start,"&lt;"&amp;1440,m_end,"&gt;"&amp;1140)&gt;1,"충돌",HYPERLINK("#'관리자_MASTER'!D"&amp;_xlfn.MAXIFS(m_row,m_teacher,AB$4,m_date,($G$2+8),m_active,1,m_start,"&lt;"&amp;1440,m_end,"&gt;"&amp;1140),INDEX(m_label,_xlfn.MAXIFS(m_row,m_teacher,AB$4,m_date,($G$2+8),m_active,1,m_start,"&lt;"&amp;1440,m_end,"&gt;"&amp;1140))))))</f>
        <v/>
      </c>
      <c r="AC26" s="78"/>
      <c r="AD26" s="85" t="s">
        <v>101</v>
      </c>
      <c r="AE26" s="89" t="str">
        <f aca="false">IF(OR(AE$4="",MONTH(($G$2+15))&lt;&gt;MONTH($C$2)),"",IF(COUNTIFS(m_teacher,AE$4,m_date,($G$2+15),m_active,1,m_start,"&lt;"&amp;1440,m_end,"&gt;"&amp;1140)=0,"",IF(COUNTIFS(m_teacher,AE$4,m_date,($G$2+15),m_active,1,m_start,"&lt;"&amp;1440,m_end,"&gt;"&amp;1140)&gt;1,"충돌",HYPERLINK("#'관리자_MASTER'!D"&amp;_xlfn.MAXIFS(m_row,m_teacher,AE$4,m_date,($G$2+15),m_active,1,m_start,"&lt;"&amp;1440,m_end,"&gt;"&amp;1140),INDEX(m_label,_xlfn.MAXIFS(m_row,m_teacher,AE$4,m_date,($G$2+15),m_active,1,m_start,"&lt;"&amp;1440,m_end,"&gt;"&amp;1140))))))</f>
        <v/>
      </c>
      <c r="AF26" s="89" t="str">
        <f aca="false">IF(OR(AF$4="",MONTH(($G$2+15))&lt;&gt;MONTH($C$2)),"",IF(COUNTIFS(m_teacher,AF$4,m_date,($G$2+15),m_active,1,m_start,"&lt;"&amp;1440,m_end,"&gt;"&amp;1140)=0,"",IF(COUNTIFS(m_teacher,AF$4,m_date,($G$2+15),m_active,1,m_start,"&lt;"&amp;1440,m_end,"&gt;"&amp;1140)&gt;1,"충돌",HYPERLINK("#'관리자_MASTER'!D"&amp;_xlfn.MAXIFS(m_row,m_teacher,AF$4,m_date,($G$2+15),m_active,1,m_start,"&lt;"&amp;1440,m_end,"&gt;"&amp;1140),INDEX(m_label,_xlfn.MAXIFS(m_row,m_teacher,AF$4,m_date,($G$2+15),m_active,1,m_start,"&lt;"&amp;1440,m_end,"&gt;"&amp;1140))))))</f>
        <v/>
      </c>
      <c r="AG26" s="89" t="str">
        <f aca="false">IF(OR(AG$4="",MONTH(($G$2+15))&lt;&gt;MONTH($C$2)),"",IF(COUNTIFS(m_teacher,AG$4,m_date,($G$2+15),m_active,1,m_start,"&lt;"&amp;1440,m_end,"&gt;"&amp;1140)=0,"",IF(COUNTIFS(m_teacher,AG$4,m_date,($G$2+15),m_active,1,m_start,"&lt;"&amp;1440,m_end,"&gt;"&amp;1140)&gt;1,"충돌",HYPERLINK("#'관리자_MASTER'!D"&amp;_xlfn.MAXIFS(m_row,m_teacher,AG$4,m_date,($G$2+15),m_active,1,m_start,"&lt;"&amp;1440,m_end,"&gt;"&amp;1140),INDEX(m_label,_xlfn.MAXIFS(m_row,m_teacher,AG$4,m_date,($G$2+15),m_active,1,m_start,"&lt;"&amp;1440,m_end,"&gt;"&amp;1140))))))</f>
        <v/>
      </c>
      <c r="AH26" s="89" t="str">
        <f aca="false">IF(OR(AH$4="",MONTH(($G$2+15))&lt;&gt;MONTH($C$2)),"",IF(COUNTIFS(m_teacher,AH$4,m_date,($G$2+15),m_active,1,m_start,"&lt;"&amp;1440,m_end,"&gt;"&amp;1140)=0,"",IF(COUNTIFS(m_teacher,AH$4,m_date,($G$2+15),m_active,1,m_start,"&lt;"&amp;1440,m_end,"&gt;"&amp;1140)&gt;1,"충돌",HYPERLINK("#'관리자_MASTER'!D"&amp;_xlfn.MAXIFS(m_row,m_teacher,AH$4,m_date,($G$2+15),m_active,1,m_start,"&lt;"&amp;1440,m_end,"&gt;"&amp;1140),INDEX(m_label,_xlfn.MAXIFS(m_row,m_teacher,AH$4,m_date,($G$2+15),m_active,1,m_start,"&lt;"&amp;1440,m_end,"&gt;"&amp;1140))))))</f>
        <v/>
      </c>
      <c r="AI26" s="89" t="str">
        <f aca="false">IF(OR(AI$4="",MONTH(($G$2+15))&lt;&gt;MONTH($C$2)),"",IF(COUNTIFS(m_teacher,AI$4,m_date,($G$2+15),m_active,1,m_start,"&lt;"&amp;1440,m_end,"&gt;"&amp;1140)=0,"",IF(COUNTIFS(m_teacher,AI$4,m_date,($G$2+15),m_active,1,m_start,"&lt;"&amp;1440,m_end,"&gt;"&amp;1140)&gt;1,"충돌",HYPERLINK("#'관리자_MASTER'!D"&amp;_xlfn.MAXIFS(m_row,m_teacher,AI$4,m_date,($G$2+15),m_active,1,m_start,"&lt;"&amp;1440,m_end,"&gt;"&amp;1140),INDEX(m_label,_xlfn.MAXIFS(m_row,m_teacher,AI$4,m_date,($G$2+15),m_active,1,m_start,"&lt;"&amp;1440,m_end,"&gt;"&amp;1140))))))</f>
        <v/>
      </c>
      <c r="AJ26" s="89" t="str">
        <f aca="false">IF(OR(AJ$4="",MONTH(($G$2+15))&lt;&gt;MONTH($C$2)),"",IF(COUNTIFS(m_teacher,AJ$4,m_date,($G$2+15),m_active,1,m_start,"&lt;"&amp;1440,m_end,"&gt;"&amp;1140)=0,"",IF(COUNTIFS(m_teacher,AJ$4,m_date,($G$2+15),m_active,1,m_start,"&lt;"&amp;1440,m_end,"&gt;"&amp;1140)&gt;1,"충돌",HYPERLINK("#'관리자_MASTER'!D"&amp;_xlfn.MAXIFS(m_row,m_teacher,AJ$4,m_date,($G$2+15),m_active,1,m_start,"&lt;"&amp;1440,m_end,"&gt;"&amp;1140),INDEX(m_label,_xlfn.MAXIFS(m_row,m_teacher,AJ$4,m_date,($G$2+15),m_active,1,m_start,"&lt;"&amp;1440,m_end,"&gt;"&amp;1140))))))</f>
        <v/>
      </c>
      <c r="AK26" s="89" t="str">
        <f aca="false">IF(OR(AK$4="",MONTH(($G$2+15))&lt;&gt;MONTH($C$2)),"",IF(COUNTIFS(m_teacher,AK$4,m_date,($G$2+15),m_active,1,m_start,"&lt;"&amp;1440,m_end,"&gt;"&amp;1140)=0,"",IF(COUNTIFS(m_teacher,AK$4,m_date,($G$2+15),m_active,1,m_start,"&lt;"&amp;1440,m_end,"&gt;"&amp;1140)&gt;1,"충돌",HYPERLINK("#'관리자_MASTER'!D"&amp;_xlfn.MAXIFS(m_row,m_teacher,AK$4,m_date,($G$2+15),m_active,1,m_start,"&lt;"&amp;1440,m_end,"&gt;"&amp;1140),INDEX(m_label,_xlfn.MAXIFS(m_row,m_teacher,AK$4,m_date,($G$2+15),m_active,1,m_start,"&lt;"&amp;1440,m_end,"&gt;"&amp;1140))))))</f>
        <v/>
      </c>
      <c r="AL26" s="89" t="str">
        <f aca="false">IF(OR(AL$4="",MONTH(($G$2+15))&lt;&gt;MONTH($C$2)),"",IF(COUNTIFS(m_teacher,AL$4,m_date,($G$2+15),m_active,1,m_start,"&lt;"&amp;1440,m_end,"&gt;"&amp;1140)=0,"",IF(COUNTIFS(m_teacher,AL$4,m_date,($G$2+15),m_active,1,m_start,"&lt;"&amp;1440,m_end,"&gt;"&amp;1140)&gt;1,"충돌",HYPERLINK("#'관리자_MASTER'!D"&amp;_xlfn.MAXIFS(m_row,m_teacher,AL$4,m_date,($G$2+15),m_active,1,m_start,"&lt;"&amp;1440,m_end,"&gt;"&amp;1140),INDEX(m_label,_xlfn.MAXIFS(m_row,m_teacher,AL$4,m_date,($G$2+15),m_active,1,m_start,"&lt;"&amp;1440,m_end,"&gt;"&amp;1140))))))</f>
        <v/>
      </c>
      <c r="AM26" s="89" t="str">
        <f aca="false">IF(OR(AM$4="",MONTH(($G$2+15))&lt;&gt;MONTH($C$2)),"",IF(COUNTIFS(m_teacher,AM$4,m_date,($G$2+15),m_active,1,m_start,"&lt;"&amp;1440,m_end,"&gt;"&amp;1140)=0,"",IF(COUNTIFS(m_teacher,AM$4,m_date,($G$2+15),m_active,1,m_start,"&lt;"&amp;1440,m_end,"&gt;"&amp;1140)&gt;1,"충돌",HYPERLINK("#'관리자_MASTER'!D"&amp;_xlfn.MAXIFS(m_row,m_teacher,AM$4,m_date,($G$2+15),m_active,1,m_start,"&lt;"&amp;1440,m_end,"&gt;"&amp;1140),INDEX(m_label,_xlfn.MAXIFS(m_row,m_teacher,AM$4,m_date,($G$2+15),m_active,1,m_start,"&lt;"&amp;1440,m_end,"&gt;"&amp;1140))))))</f>
        <v/>
      </c>
      <c r="AN26" s="89" t="str">
        <f aca="false">IF(OR(AN$4="",MONTH(($G$2+15))&lt;&gt;MONTH($C$2)),"",IF(COUNTIFS(m_teacher,AN$4,m_date,($G$2+15),m_active,1,m_start,"&lt;"&amp;1440,m_end,"&gt;"&amp;1140)=0,"",IF(COUNTIFS(m_teacher,AN$4,m_date,($G$2+15),m_active,1,m_start,"&lt;"&amp;1440,m_end,"&gt;"&amp;1140)&gt;1,"충돌",HYPERLINK("#'관리자_MASTER'!D"&amp;_xlfn.MAXIFS(m_row,m_teacher,AN$4,m_date,($G$2+15),m_active,1,m_start,"&lt;"&amp;1440,m_end,"&gt;"&amp;1140),INDEX(m_label,_xlfn.MAXIFS(m_row,m_teacher,AN$4,m_date,($G$2+15),m_active,1,m_start,"&lt;"&amp;1440,m_end,"&gt;"&amp;1140))))))</f>
        <v/>
      </c>
      <c r="AO26" s="89" t="str">
        <f aca="false">IF(OR(AO$4="",MONTH(($G$2+15))&lt;&gt;MONTH($C$2)),"",IF(COUNTIFS(m_teacher,AO$4,m_date,($G$2+15),m_active,1,m_start,"&lt;"&amp;1440,m_end,"&gt;"&amp;1140)=0,"",IF(COUNTIFS(m_teacher,AO$4,m_date,($G$2+15),m_active,1,m_start,"&lt;"&amp;1440,m_end,"&gt;"&amp;1140)&gt;1,"충돌",HYPERLINK("#'관리자_MASTER'!D"&amp;_xlfn.MAXIFS(m_row,m_teacher,AO$4,m_date,($G$2+15),m_active,1,m_start,"&lt;"&amp;1440,m_end,"&gt;"&amp;1140),INDEX(m_label,_xlfn.MAXIFS(m_row,m_teacher,AO$4,m_date,($G$2+15),m_active,1,m_start,"&lt;"&amp;1440,m_end,"&gt;"&amp;1140))))))</f>
        <v/>
      </c>
      <c r="AP26" s="89" t="str">
        <f aca="false">IF(OR(AP$4="",MONTH(($G$2+15))&lt;&gt;MONTH($C$2)),"",IF(COUNTIFS(m_teacher,AP$4,m_date,($G$2+15),m_active,1,m_start,"&lt;"&amp;1440,m_end,"&gt;"&amp;1140)=0,"",IF(COUNTIFS(m_teacher,AP$4,m_date,($G$2+15),m_active,1,m_start,"&lt;"&amp;1440,m_end,"&gt;"&amp;1140)&gt;1,"충돌",HYPERLINK("#'관리자_MASTER'!D"&amp;_xlfn.MAXIFS(m_row,m_teacher,AP$4,m_date,($G$2+15),m_active,1,m_start,"&lt;"&amp;1440,m_end,"&gt;"&amp;1140),INDEX(m_label,_xlfn.MAXIFS(m_row,m_teacher,AP$4,m_date,($G$2+15),m_active,1,m_start,"&lt;"&amp;1440,m_end,"&gt;"&amp;1140))))))</f>
        <v/>
      </c>
      <c r="AQ26" s="78"/>
      <c r="AR26" s="85" t="s">
        <v>101</v>
      </c>
      <c r="AS26" s="89" t="str">
        <f aca="false">IF(OR(AS$4="",MONTH(($G$2+22))&lt;&gt;MONTH($C$2)),"",IF(COUNTIFS(m_teacher,AS$4,m_date,($G$2+22),m_active,1,m_start,"&lt;"&amp;1440,m_end,"&gt;"&amp;1140)=0,"",IF(COUNTIFS(m_teacher,AS$4,m_date,($G$2+22),m_active,1,m_start,"&lt;"&amp;1440,m_end,"&gt;"&amp;1140)&gt;1,"충돌",HYPERLINK("#'관리자_MASTER'!D"&amp;_xlfn.MAXIFS(m_row,m_teacher,AS$4,m_date,($G$2+22),m_active,1,m_start,"&lt;"&amp;1440,m_end,"&gt;"&amp;1140),INDEX(m_label,_xlfn.MAXIFS(m_row,m_teacher,AS$4,m_date,($G$2+22),m_active,1,m_start,"&lt;"&amp;1440,m_end,"&gt;"&amp;1140))))))</f>
        <v/>
      </c>
      <c r="AT26" s="89" t="str">
        <f aca="false">IF(OR(AT$4="",MONTH(($G$2+22))&lt;&gt;MONTH($C$2)),"",IF(COUNTIFS(m_teacher,AT$4,m_date,($G$2+22),m_active,1,m_start,"&lt;"&amp;1440,m_end,"&gt;"&amp;1140)=0,"",IF(COUNTIFS(m_teacher,AT$4,m_date,($G$2+22),m_active,1,m_start,"&lt;"&amp;1440,m_end,"&gt;"&amp;1140)&gt;1,"충돌",HYPERLINK("#'관리자_MASTER'!D"&amp;_xlfn.MAXIFS(m_row,m_teacher,AT$4,m_date,($G$2+22),m_active,1,m_start,"&lt;"&amp;1440,m_end,"&gt;"&amp;1140),INDEX(m_label,_xlfn.MAXIFS(m_row,m_teacher,AT$4,m_date,($G$2+22),m_active,1,m_start,"&lt;"&amp;1440,m_end,"&gt;"&amp;1140))))))</f>
        <v/>
      </c>
      <c r="AU26" s="89" t="str">
        <f aca="false">IF(OR(AU$4="",MONTH(($G$2+22))&lt;&gt;MONTH($C$2)),"",IF(COUNTIFS(m_teacher,AU$4,m_date,($G$2+22),m_active,1,m_start,"&lt;"&amp;1440,m_end,"&gt;"&amp;1140)=0,"",IF(COUNTIFS(m_teacher,AU$4,m_date,($G$2+22),m_active,1,m_start,"&lt;"&amp;1440,m_end,"&gt;"&amp;1140)&gt;1,"충돌",HYPERLINK("#'관리자_MASTER'!D"&amp;_xlfn.MAXIFS(m_row,m_teacher,AU$4,m_date,($G$2+22),m_active,1,m_start,"&lt;"&amp;1440,m_end,"&gt;"&amp;1140),INDEX(m_label,_xlfn.MAXIFS(m_row,m_teacher,AU$4,m_date,($G$2+22),m_active,1,m_start,"&lt;"&amp;1440,m_end,"&gt;"&amp;1140))))))</f>
        <v/>
      </c>
      <c r="AV26" s="89" t="str">
        <f aca="false">IF(OR(AV$4="",MONTH(($G$2+22))&lt;&gt;MONTH($C$2)),"",IF(COUNTIFS(m_teacher,AV$4,m_date,($G$2+22),m_active,1,m_start,"&lt;"&amp;1440,m_end,"&gt;"&amp;1140)=0,"",IF(COUNTIFS(m_teacher,AV$4,m_date,($G$2+22),m_active,1,m_start,"&lt;"&amp;1440,m_end,"&gt;"&amp;1140)&gt;1,"충돌",HYPERLINK("#'관리자_MASTER'!D"&amp;_xlfn.MAXIFS(m_row,m_teacher,AV$4,m_date,($G$2+22),m_active,1,m_start,"&lt;"&amp;1440,m_end,"&gt;"&amp;1140),INDEX(m_label,_xlfn.MAXIFS(m_row,m_teacher,AV$4,m_date,($G$2+22),m_active,1,m_start,"&lt;"&amp;1440,m_end,"&gt;"&amp;1140))))))</f>
        <v/>
      </c>
      <c r="AW26" s="89" t="str">
        <f aca="false">IF(OR(AW$4="",MONTH(($G$2+22))&lt;&gt;MONTH($C$2)),"",IF(COUNTIFS(m_teacher,AW$4,m_date,($G$2+22),m_active,1,m_start,"&lt;"&amp;1440,m_end,"&gt;"&amp;1140)=0,"",IF(COUNTIFS(m_teacher,AW$4,m_date,($G$2+22),m_active,1,m_start,"&lt;"&amp;1440,m_end,"&gt;"&amp;1140)&gt;1,"충돌",HYPERLINK("#'관리자_MASTER'!D"&amp;_xlfn.MAXIFS(m_row,m_teacher,AW$4,m_date,($G$2+22),m_active,1,m_start,"&lt;"&amp;1440,m_end,"&gt;"&amp;1140),INDEX(m_label,_xlfn.MAXIFS(m_row,m_teacher,AW$4,m_date,($G$2+22),m_active,1,m_start,"&lt;"&amp;1440,m_end,"&gt;"&amp;1140))))))</f>
        <v/>
      </c>
      <c r="AX26" s="89" t="str">
        <f aca="false">IF(OR(AX$4="",MONTH(($G$2+22))&lt;&gt;MONTH($C$2)),"",IF(COUNTIFS(m_teacher,AX$4,m_date,($G$2+22),m_active,1,m_start,"&lt;"&amp;1440,m_end,"&gt;"&amp;1140)=0,"",IF(COUNTIFS(m_teacher,AX$4,m_date,($G$2+22),m_active,1,m_start,"&lt;"&amp;1440,m_end,"&gt;"&amp;1140)&gt;1,"충돌",HYPERLINK("#'관리자_MASTER'!D"&amp;_xlfn.MAXIFS(m_row,m_teacher,AX$4,m_date,($G$2+22),m_active,1,m_start,"&lt;"&amp;1440,m_end,"&gt;"&amp;1140),INDEX(m_label,_xlfn.MAXIFS(m_row,m_teacher,AX$4,m_date,($G$2+22),m_active,1,m_start,"&lt;"&amp;1440,m_end,"&gt;"&amp;1140))))))</f>
        <v/>
      </c>
      <c r="AY26" s="89" t="str">
        <f aca="false">IF(OR(AY$4="",MONTH(($G$2+22))&lt;&gt;MONTH($C$2)),"",IF(COUNTIFS(m_teacher,AY$4,m_date,($G$2+22),m_active,1,m_start,"&lt;"&amp;1440,m_end,"&gt;"&amp;1140)=0,"",IF(COUNTIFS(m_teacher,AY$4,m_date,($G$2+22),m_active,1,m_start,"&lt;"&amp;1440,m_end,"&gt;"&amp;1140)&gt;1,"충돌",HYPERLINK("#'관리자_MASTER'!D"&amp;_xlfn.MAXIFS(m_row,m_teacher,AY$4,m_date,($G$2+22),m_active,1,m_start,"&lt;"&amp;1440,m_end,"&gt;"&amp;1140),INDEX(m_label,_xlfn.MAXIFS(m_row,m_teacher,AY$4,m_date,($G$2+22),m_active,1,m_start,"&lt;"&amp;1440,m_end,"&gt;"&amp;1140))))))</f>
        <v/>
      </c>
      <c r="AZ26" s="89" t="str">
        <f aca="false">IF(OR(AZ$4="",MONTH(($G$2+22))&lt;&gt;MONTH($C$2)),"",IF(COUNTIFS(m_teacher,AZ$4,m_date,($G$2+22),m_active,1,m_start,"&lt;"&amp;1440,m_end,"&gt;"&amp;1140)=0,"",IF(COUNTIFS(m_teacher,AZ$4,m_date,($G$2+22),m_active,1,m_start,"&lt;"&amp;1440,m_end,"&gt;"&amp;1140)&gt;1,"충돌",HYPERLINK("#'관리자_MASTER'!D"&amp;_xlfn.MAXIFS(m_row,m_teacher,AZ$4,m_date,($G$2+22),m_active,1,m_start,"&lt;"&amp;1440,m_end,"&gt;"&amp;1140),INDEX(m_label,_xlfn.MAXIFS(m_row,m_teacher,AZ$4,m_date,($G$2+22),m_active,1,m_start,"&lt;"&amp;1440,m_end,"&gt;"&amp;1140))))))</f>
        <v/>
      </c>
      <c r="BA26" s="89" t="str">
        <f aca="false">IF(OR(BA$4="",MONTH(($G$2+22))&lt;&gt;MONTH($C$2)),"",IF(COUNTIFS(m_teacher,BA$4,m_date,($G$2+22),m_active,1,m_start,"&lt;"&amp;1440,m_end,"&gt;"&amp;1140)=0,"",IF(COUNTIFS(m_teacher,BA$4,m_date,($G$2+22),m_active,1,m_start,"&lt;"&amp;1440,m_end,"&gt;"&amp;1140)&gt;1,"충돌",HYPERLINK("#'관리자_MASTER'!D"&amp;_xlfn.MAXIFS(m_row,m_teacher,BA$4,m_date,($G$2+22),m_active,1,m_start,"&lt;"&amp;1440,m_end,"&gt;"&amp;1140),INDEX(m_label,_xlfn.MAXIFS(m_row,m_teacher,BA$4,m_date,($G$2+22),m_active,1,m_start,"&lt;"&amp;1440,m_end,"&gt;"&amp;1140))))))</f>
        <v/>
      </c>
      <c r="BB26" s="89" t="str">
        <f aca="false">IF(OR(BB$4="",MONTH(($G$2+22))&lt;&gt;MONTH($C$2)),"",IF(COUNTIFS(m_teacher,BB$4,m_date,($G$2+22),m_active,1,m_start,"&lt;"&amp;1440,m_end,"&gt;"&amp;1140)=0,"",IF(COUNTIFS(m_teacher,BB$4,m_date,($G$2+22),m_active,1,m_start,"&lt;"&amp;1440,m_end,"&gt;"&amp;1140)&gt;1,"충돌",HYPERLINK("#'관리자_MASTER'!D"&amp;_xlfn.MAXIFS(m_row,m_teacher,BB$4,m_date,($G$2+22),m_active,1,m_start,"&lt;"&amp;1440,m_end,"&gt;"&amp;1140),INDEX(m_label,_xlfn.MAXIFS(m_row,m_teacher,BB$4,m_date,($G$2+22),m_active,1,m_start,"&lt;"&amp;1440,m_end,"&gt;"&amp;1140))))))</f>
        <v/>
      </c>
      <c r="BC26" s="89" t="str">
        <f aca="false">IF(OR(BC$4="",MONTH(($G$2+22))&lt;&gt;MONTH($C$2)),"",IF(COUNTIFS(m_teacher,BC$4,m_date,($G$2+22),m_active,1,m_start,"&lt;"&amp;1440,m_end,"&gt;"&amp;1140)=0,"",IF(COUNTIFS(m_teacher,BC$4,m_date,($G$2+22),m_active,1,m_start,"&lt;"&amp;1440,m_end,"&gt;"&amp;1140)&gt;1,"충돌",HYPERLINK("#'관리자_MASTER'!D"&amp;_xlfn.MAXIFS(m_row,m_teacher,BC$4,m_date,($G$2+22),m_active,1,m_start,"&lt;"&amp;1440,m_end,"&gt;"&amp;1140),INDEX(m_label,_xlfn.MAXIFS(m_row,m_teacher,BC$4,m_date,($G$2+22),m_active,1,m_start,"&lt;"&amp;1440,m_end,"&gt;"&amp;1140))))))</f>
        <v/>
      </c>
      <c r="BD26" s="89" t="str">
        <f aca="false">IF(OR(BD$4="",MONTH(($G$2+22))&lt;&gt;MONTH($C$2)),"",IF(COUNTIFS(m_teacher,BD$4,m_date,($G$2+22),m_active,1,m_start,"&lt;"&amp;1440,m_end,"&gt;"&amp;1140)=0,"",IF(COUNTIFS(m_teacher,BD$4,m_date,($G$2+22),m_active,1,m_start,"&lt;"&amp;1440,m_end,"&gt;"&amp;1140)&gt;1,"충돌",HYPERLINK("#'관리자_MASTER'!D"&amp;_xlfn.MAXIFS(m_row,m_teacher,BD$4,m_date,($G$2+22),m_active,1,m_start,"&lt;"&amp;1440,m_end,"&gt;"&amp;1140),INDEX(m_label,_xlfn.MAXIFS(m_row,m_teacher,BD$4,m_date,($G$2+22),m_active,1,m_start,"&lt;"&amp;1440,m_end,"&gt;"&amp;1140))))))</f>
        <v/>
      </c>
      <c r="BE26" s="78"/>
      <c r="BF26" s="85" t="s">
        <v>101</v>
      </c>
      <c r="BG26" s="89" t="str">
        <f aca="false">IF(OR(BG$4="",MONTH(($G$2+29))&lt;&gt;MONTH($C$2)),"",IF(COUNTIFS(m_teacher,BG$4,m_date,($G$2+29),m_active,1,m_start,"&lt;"&amp;1440,m_end,"&gt;"&amp;1140)=0,"",IF(COUNTIFS(m_teacher,BG$4,m_date,($G$2+29),m_active,1,m_start,"&lt;"&amp;1440,m_end,"&gt;"&amp;1140)&gt;1,"충돌",HYPERLINK("#'관리자_MASTER'!D"&amp;_xlfn.MAXIFS(m_row,m_teacher,BG$4,m_date,($G$2+29),m_active,1,m_start,"&lt;"&amp;1440,m_end,"&gt;"&amp;1140),INDEX(m_label,_xlfn.MAXIFS(m_row,m_teacher,BG$4,m_date,($G$2+29),m_active,1,m_start,"&lt;"&amp;1440,m_end,"&gt;"&amp;1140))))))</f>
        <v/>
      </c>
      <c r="BH26" s="89" t="str">
        <f aca="false">IF(OR(BH$4="",MONTH(($G$2+29))&lt;&gt;MONTH($C$2)),"",IF(COUNTIFS(m_teacher,BH$4,m_date,($G$2+29),m_active,1,m_start,"&lt;"&amp;1440,m_end,"&gt;"&amp;1140)=0,"",IF(COUNTIFS(m_teacher,BH$4,m_date,($G$2+29),m_active,1,m_start,"&lt;"&amp;1440,m_end,"&gt;"&amp;1140)&gt;1,"충돌",HYPERLINK("#'관리자_MASTER'!D"&amp;_xlfn.MAXIFS(m_row,m_teacher,BH$4,m_date,($G$2+29),m_active,1,m_start,"&lt;"&amp;1440,m_end,"&gt;"&amp;1140),INDEX(m_label,_xlfn.MAXIFS(m_row,m_teacher,BH$4,m_date,($G$2+29),m_active,1,m_start,"&lt;"&amp;1440,m_end,"&gt;"&amp;1140))))))</f>
        <v/>
      </c>
      <c r="BI26" s="89" t="str">
        <f aca="false">IF(OR(BI$4="",MONTH(($G$2+29))&lt;&gt;MONTH($C$2)),"",IF(COUNTIFS(m_teacher,BI$4,m_date,($G$2+29),m_active,1,m_start,"&lt;"&amp;1440,m_end,"&gt;"&amp;1140)=0,"",IF(COUNTIFS(m_teacher,BI$4,m_date,($G$2+29),m_active,1,m_start,"&lt;"&amp;1440,m_end,"&gt;"&amp;1140)&gt;1,"충돌",HYPERLINK("#'관리자_MASTER'!D"&amp;_xlfn.MAXIFS(m_row,m_teacher,BI$4,m_date,($G$2+29),m_active,1,m_start,"&lt;"&amp;1440,m_end,"&gt;"&amp;1140),INDEX(m_label,_xlfn.MAXIFS(m_row,m_teacher,BI$4,m_date,($G$2+29),m_active,1,m_start,"&lt;"&amp;1440,m_end,"&gt;"&amp;1140))))))</f>
        <v/>
      </c>
      <c r="BJ26" s="89" t="str">
        <f aca="false">IF(OR(BJ$4="",MONTH(($G$2+29))&lt;&gt;MONTH($C$2)),"",IF(COUNTIFS(m_teacher,BJ$4,m_date,($G$2+29),m_active,1,m_start,"&lt;"&amp;1440,m_end,"&gt;"&amp;1140)=0,"",IF(COUNTIFS(m_teacher,BJ$4,m_date,($G$2+29),m_active,1,m_start,"&lt;"&amp;1440,m_end,"&gt;"&amp;1140)&gt;1,"충돌",HYPERLINK("#'관리자_MASTER'!D"&amp;_xlfn.MAXIFS(m_row,m_teacher,BJ$4,m_date,($G$2+29),m_active,1,m_start,"&lt;"&amp;1440,m_end,"&gt;"&amp;1140),INDEX(m_label,_xlfn.MAXIFS(m_row,m_teacher,BJ$4,m_date,($G$2+29),m_active,1,m_start,"&lt;"&amp;1440,m_end,"&gt;"&amp;1140))))))</f>
        <v/>
      </c>
      <c r="BK26" s="89" t="str">
        <f aca="false">IF(OR(BK$4="",MONTH(($G$2+29))&lt;&gt;MONTH($C$2)),"",IF(COUNTIFS(m_teacher,BK$4,m_date,($G$2+29),m_active,1,m_start,"&lt;"&amp;1440,m_end,"&gt;"&amp;1140)=0,"",IF(COUNTIFS(m_teacher,BK$4,m_date,($G$2+29),m_active,1,m_start,"&lt;"&amp;1440,m_end,"&gt;"&amp;1140)&gt;1,"충돌",HYPERLINK("#'관리자_MASTER'!D"&amp;_xlfn.MAXIFS(m_row,m_teacher,BK$4,m_date,($G$2+29),m_active,1,m_start,"&lt;"&amp;1440,m_end,"&gt;"&amp;1140),INDEX(m_label,_xlfn.MAXIFS(m_row,m_teacher,BK$4,m_date,($G$2+29),m_active,1,m_start,"&lt;"&amp;1440,m_end,"&gt;"&amp;1140))))))</f>
        <v/>
      </c>
      <c r="BL26" s="89" t="str">
        <f aca="false">IF(OR(BL$4="",MONTH(($G$2+29))&lt;&gt;MONTH($C$2)),"",IF(COUNTIFS(m_teacher,BL$4,m_date,($G$2+29),m_active,1,m_start,"&lt;"&amp;1440,m_end,"&gt;"&amp;1140)=0,"",IF(COUNTIFS(m_teacher,BL$4,m_date,($G$2+29),m_active,1,m_start,"&lt;"&amp;1440,m_end,"&gt;"&amp;1140)&gt;1,"충돌",HYPERLINK("#'관리자_MASTER'!D"&amp;_xlfn.MAXIFS(m_row,m_teacher,BL$4,m_date,($G$2+29),m_active,1,m_start,"&lt;"&amp;1440,m_end,"&gt;"&amp;1140),INDEX(m_label,_xlfn.MAXIFS(m_row,m_teacher,BL$4,m_date,($G$2+29),m_active,1,m_start,"&lt;"&amp;1440,m_end,"&gt;"&amp;1140))))))</f>
        <v/>
      </c>
      <c r="BM26" s="89" t="str">
        <f aca="false">IF(OR(BM$4="",MONTH(($G$2+29))&lt;&gt;MONTH($C$2)),"",IF(COUNTIFS(m_teacher,BM$4,m_date,($G$2+29),m_active,1,m_start,"&lt;"&amp;1440,m_end,"&gt;"&amp;1140)=0,"",IF(COUNTIFS(m_teacher,BM$4,m_date,($G$2+29),m_active,1,m_start,"&lt;"&amp;1440,m_end,"&gt;"&amp;1140)&gt;1,"충돌",HYPERLINK("#'관리자_MASTER'!D"&amp;_xlfn.MAXIFS(m_row,m_teacher,BM$4,m_date,($G$2+29),m_active,1,m_start,"&lt;"&amp;1440,m_end,"&gt;"&amp;1140),INDEX(m_label,_xlfn.MAXIFS(m_row,m_teacher,BM$4,m_date,($G$2+29),m_active,1,m_start,"&lt;"&amp;1440,m_end,"&gt;"&amp;1140))))))</f>
        <v/>
      </c>
      <c r="BN26" s="89" t="str">
        <f aca="false">IF(OR(BN$4="",MONTH(($G$2+29))&lt;&gt;MONTH($C$2)),"",IF(COUNTIFS(m_teacher,BN$4,m_date,($G$2+29),m_active,1,m_start,"&lt;"&amp;1440,m_end,"&gt;"&amp;1140)=0,"",IF(COUNTIFS(m_teacher,BN$4,m_date,($G$2+29),m_active,1,m_start,"&lt;"&amp;1440,m_end,"&gt;"&amp;1140)&gt;1,"충돌",HYPERLINK("#'관리자_MASTER'!D"&amp;_xlfn.MAXIFS(m_row,m_teacher,BN$4,m_date,($G$2+29),m_active,1,m_start,"&lt;"&amp;1440,m_end,"&gt;"&amp;1140),INDEX(m_label,_xlfn.MAXIFS(m_row,m_teacher,BN$4,m_date,($G$2+29),m_active,1,m_start,"&lt;"&amp;1440,m_end,"&gt;"&amp;1140))))))</f>
        <v/>
      </c>
      <c r="BO26" s="89" t="str">
        <f aca="false">IF(OR(BO$4="",MONTH(($G$2+29))&lt;&gt;MONTH($C$2)),"",IF(COUNTIFS(m_teacher,BO$4,m_date,($G$2+29),m_active,1,m_start,"&lt;"&amp;1440,m_end,"&gt;"&amp;1140)=0,"",IF(COUNTIFS(m_teacher,BO$4,m_date,($G$2+29),m_active,1,m_start,"&lt;"&amp;1440,m_end,"&gt;"&amp;1140)&gt;1,"충돌",HYPERLINK("#'관리자_MASTER'!D"&amp;_xlfn.MAXIFS(m_row,m_teacher,BO$4,m_date,($G$2+29),m_active,1,m_start,"&lt;"&amp;1440,m_end,"&gt;"&amp;1140),INDEX(m_label,_xlfn.MAXIFS(m_row,m_teacher,BO$4,m_date,($G$2+29),m_active,1,m_start,"&lt;"&amp;1440,m_end,"&gt;"&amp;1140))))))</f>
        <v/>
      </c>
      <c r="BP26" s="89" t="str">
        <f aca="false">IF(OR(BP$4="",MONTH(($G$2+29))&lt;&gt;MONTH($C$2)),"",IF(COUNTIFS(m_teacher,BP$4,m_date,($G$2+29),m_active,1,m_start,"&lt;"&amp;1440,m_end,"&gt;"&amp;1140)=0,"",IF(COUNTIFS(m_teacher,BP$4,m_date,($G$2+29),m_active,1,m_start,"&lt;"&amp;1440,m_end,"&gt;"&amp;1140)&gt;1,"충돌",HYPERLINK("#'관리자_MASTER'!D"&amp;_xlfn.MAXIFS(m_row,m_teacher,BP$4,m_date,($G$2+29),m_active,1,m_start,"&lt;"&amp;1440,m_end,"&gt;"&amp;1140),INDEX(m_label,_xlfn.MAXIFS(m_row,m_teacher,BP$4,m_date,($G$2+29),m_active,1,m_start,"&lt;"&amp;1440,m_end,"&gt;"&amp;1140))))))</f>
        <v/>
      </c>
      <c r="BQ26" s="89" t="str">
        <f aca="false">IF(OR(BQ$4="",MONTH(($G$2+29))&lt;&gt;MONTH($C$2)),"",IF(COUNTIFS(m_teacher,BQ$4,m_date,($G$2+29),m_active,1,m_start,"&lt;"&amp;1440,m_end,"&gt;"&amp;1140)=0,"",IF(COUNTIFS(m_teacher,BQ$4,m_date,($G$2+29),m_active,1,m_start,"&lt;"&amp;1440,m_end,"&gt;"&amp;1140)&gt;1,"충돌",HYPERLINK("#'관리자_MASTER'!D"&amp;_xlfn.MAXIFS(m_row,m_teacher,BQ$4,m_date,($G$2+29),m_active,1,m_start,"&lt;"&amp;1440,m_end,"&gt;"&amp;1140),INDEX(m_label,_xlfn.MAXIFS(m_row,m_teacher,BQ$4,m_date,($G$2+29),m_active,1,m_start,"&lt;"&amp;1440,m_end,"&gt;"&amp;1140))))))</f>
        <v/>
      </c>
      <c r="BR26" s="89" t="str">
        <f aca="false">IF(OR(BR$4="",MONTH(($G$2+29))&lt;&gt;MONTH($C$2)),"",IF(COUNTIFS(m_teacher,BR$4,m_date,($G$2+29),m_active,1,m_start,"&lt;"&amp;1440,m_end,"&gt;"&amp;1140)=0,"",IF(COUNTIFS(m_teacher,BR$4,m_date,($G$2+29),m_active,1,m_start,"&lt;"&amp;1440,m_end,"&gt;"&amp;1140)&gt;1,"충돌",HYPERLINK("#'관리자_MASTER'!D"&amp;_xlfn.MAXIFS(m_row,m_teacher,BR$4,m_date,($G$2+29),m_active,1,m_start,"&lt;"&amp;1440,m_end,"&gt;"&amp;1140),INDEX(m_label,_xlfn.MAXIFS(m_row,m_teacher,BR$4,m_date,($G$2+29),m_active,1,m_start,"&lt;"&amp;1440,m_end,"&gt;"&amp;1140))))))</f>
        <v/>
      </c>
    </row>
    <row r="27" customFormat="false" ht="19.5" hidden="false" customHeight="true" outlineLevel="0" collapsed="false">
      <c r="A27" s="78" t="str">
        <f aca="false">IF(MONTH(($G$2+2))&lt;&gt;MONTH($C$2),"",CHOOSE(WEEKDAY(($G$2+2),2),"월","화","수","목","금","토","일")&amp;CHAR(10)&amp;TEXT(($G$2+2),"m/d"))</f>
        <v>수
12/2</v>
      </c>
      <c r="B27" s="79" t="s">
        <v>91</v>
      </c>
      <c r="C27" s="80" t="str">
        <f aca="false">IF(OR(C$4="",MONTH(($G$2+2))&lt;&gt;MONTH($C$2)),"",IF(COUNTIFS(m_teacher,C$4,m_date,($G$2+2),m_active,1,m_start,"&lt;"&amp;600,m_end,"&gt;"&amp;0)=0,"",IF(COUNTIFS(m_teacher,C$4,m_date,($G$2+2),m_active,1,m_start,"&lt;"&amp;600,m_end,"&gt;"&amp;0)&gt;1,"충돌",HYPERLINK("#'관리자_MASTER'!D"&amp;_xlfn.MAXIFS(m_row,m_teacher,C$4,m_date,($G$2+2),m_active,1,m_start,"&lt;"&amp;600,m_end,"&gt;"&amp;0),INDEX(m_label,_xlfn.MAXIFS(m_row,m_teacher,C$4,m_date,($G$2+2),m_active,1,m_start,"&lt;"&amp;600,m_end,"&gt;"&amp;0))))))</f>
        <v/>
      </c>
      <c r="D27" s="80" t="str">
        <f aca="false">IF(OR(D$4="",MONTH(($G$2+2))&lt;&gt;MONTH($C$2)),"",IF(COUNTIFS(m_teacher,D$4,m_date,($G$2+2),m_active,1,m_start,"&lt;"&amp;600,m_end,"&gt;"&amp;0)=0,"",IF(COUNTIFS(m_teacher,D$4,m_date,($G$2+2),m_active,1,m_start,"&lt;"&amp;600,m_end,"&gt;"&amp;0)&gt;1,"충돌",HYPERLINK("#'관리자_MASTER'!D"&amp;_xlfn.MAXIFS(m_row,m_teacher,D$4,m_date,($G$2+2),m_active,1,m_start,"&lt;"&amp;600,m_end,"&gt;"&amp;0),INDEX(m_label,_xlfn.MAXIFS(m_row,m_teacher,D$4,m_date,($G$2+2),m_active,1,m_start,"&lt;"&amp;600,m_end,"&gt;"&amp;0))))))</f>
        <v/>
      </c>
      <c r="E27" s="80" t="str">
        <f aca="false">IF(OR(E$4="",MONTH(($G$2+2))&lt;&gt;MONTH($C$2)),"",IF(COUNTIFS(m_teacher,E$4,m_date,($G$2+2),m_active,1,m_start,"&lt;"&amp;600,m_end,"&gt;"&amp;0)=0,"",IF(COUNTIFS(m_teacher,E$4,m_date,($G$2+2),m_active,1,m_start,"&lt;"&amp;600,m_end,"&gt;"&amp;0)&gt;1,"충돌",HYPERLINK("#'관리자_MASTER'!D"&amp;_xlfn.MAXIFS(m_row,m_teacher,E$4,m_date,($G$2+2),m_active,1,m_start,"&lt;"&amp;600,m_end,"&gt;"&amp;0),INDEX(m_label,_xlfn.MAXIFS(m_row,m_teacher,E$4,m_date,($G$2+2),m_active,1,m_start,"&lt;"&amp;600,m_end,"&gt;"&amp;0))))))</f>
        <v/>
      </c>
      <c r="F27" s="80" t="str">
        <f aca="false">IF(OR(F$4="",MONTH(($G$2+2))&lt;&gt;MONTH($C$2)),"",IF(COUNTIFS(m_teacher,F$4,m_date,($G$2+2),m_active,1,m_start,"&lt;"&amp;600,m_end,"&gt;"&amp;0)=0,"",IF(COUNTIFS(m_teacher,F$4,m_date,($G$2+2),m_active,1,m_start,"&lt;"&amp;600,m_end,"&gt;"&amp;0)&gt;1,"충돌",HYPERLINK("#'관리자_MASTER'!D"&amp;_xlfn.MAXIFS(m_row,m_teacher,F$4,m_date,($G$2+2),m_active,1,m_start,"&lt;"&amp;600,m_end,"&gt;"&amp;0),INDEX(m_label,_xlfn.MAXIFS(m_row,m_teacher,F$4,m_date,($G$2+2),m_active,1,m_start,"&lt;"&amp;600,m_end,"&gt;"&amp;0))))))</f>
        <v/>
      </c>
      <c r="G27" s="80" t="str">
        <f aca="false">IF(OR(G$4="",MONTH(($G$2+2))&lt;&gt;MONTH($C$2)),"",IF(COUNTIFS(m_teacher,G$4,m_date,($G$2+2),m_active,1,m_start,"&lt;"&amp;600,m_end,"&gt;"&amp;0)=0,"",IF(COUNTIFS(m_teacher,G$4,m_date,($G$2+2),m_active,1,m_start,"&lt;"&amp;600,m_end,"&gt;"&amp;0)&gt;1,"충돌",HYPERLINK("#'관리자_MASTER'!D"&amp;_xlfn.MAXIFS(m_row,m_teacher,G$4,m_date,($G$2+2),m_active,1,m_start,"&lt;"&amp;600,m_end,"&gt;"&amp;0),INDEX(m_label,_xlfn.MAXIFS(m_row,m_teacher,G$4,m_date,($G$2+2),m_active,1,m_start,"&lt;"&amp;600,m_end,"&gt;"&amp;0))))))</f>
        <v/>
      </c>
      <c r="H27" s="80" t="str">
        <f aca="false">IF(OR(H$4="",MONTH(($G$2+2))&lt;&gt;MONTH($C$2)),"",IF(COUNTIFS(m_teacher,H$4,m_date,($G$2+2),m_active,1,m_start,"&lt;"&amp;600,m_end,"&gt;"&amp;0)=0,"",IF(COUNTIFS(m_teacher,H$4,m_date,($G$2+2),m_active,1,m_start,"&lt;"&amp;600,m_end,"&gt;"&amp;0)&gt;1,"충돌",HYPERLINK("#'관리자_MASTER'!D"&amp;_xlfn.MAXIFS(m_row,m_teacher,H$4,m_date,($G$2+2),m_active,1,m_start,"&lt;"&amp;600,m_end,"&gt;"&amp;0),INDEX(m_label,_xlfn.MAXIFS(m_row,m_teacher,H$4,m_date,($G$2+2),m_active,1,m_start,"&lt;"&amp;600,m_end,"&gt;"&amp;0))))))</f>
        <v/>
      </c>
      <c r="I27" s="80" t="str">
        <f aca="false">IF(OR(I$4="",MONTH(($G$2+2))&lt;&gt;MONTH($C$2)),"",IF(COUNTIFS(m_teacher,I$4,m_date,($G$2+2),m_active,1,m_start,"&lt;"&amp;600,m_end,"&gt;"&amp;0)=0,"",IF(COUNTIFS(m_teacher,I$4,m_date,($G$2+2),m_active,1,m_start,"&lt;"&amp;600,m_end,"&gt;"&amp;0)&gt;1,"충돌",HYPERLINK("#'관리자_MASTER'!D"&amp;_xlfn.MAXIFS(m_row,m_teacher,I$4,m_date,($G$2+2),m_active,1,m_start,"&lt;"&amp;600,m_end,"&gt;"&amp;0),INDEX(m_label,_xlfn.MAXIFS(m_row,m_teacher,I$4,m_date,($G$2+2),m_active,1,m_start,"&lt;"&amp;600,m_end,"&gt;"&amp;0))))))</f>
        <v/>
      </c>
      <c r="J27" s="80" t="str">
        <f aca="false">IF(OR(J$4="",MONTH(($G$2+2))&lt;&gt;MONTH($C$2)),"",IF(COUNTIFS(m_teacher,J$4,m_date,($G$2+2),m_active,1,m_start,"&lt;"&amp;600,m_end,"&gt;"&amp;0)=0,"",IF(COUNTIFS(m_teacher,J$4,m_date,($G$2+2),m_active,1,m_start,"&lt;"&amp;600,m_end,"&gt;"&amp;0)&gt;1,"충돌",HYPERLINK("#'관리자_MASTER'!D"&amp;_xlfn.MAXIFS(m_row,m_teacher,J$4,m_date,($G$2+2),m_active,1,m_start,"&lt;"&amp;600,m_end,"&gt;"&amp;0),INDEX(m_label,_xlfn.MAXIFS(m_row,m_teacher,J$4,m_date,($G$2+2),m_active,1,m_start,"&lt;"&amp;600,m_end,"&gt;"&amp;0))))))</f>
        <v/>
      </c>
      <c r="K27" s="80" t="str">
        <f aca="false">IF(OR(K$4="",MONTH(($G$2+2))&lt;&gt;MONTH($C$2)),"",IF(COUNTIFS(m_teacher,K$4,m_date,($G$2+2),m_active,1,m_start,"&lt;"&amp;600,m_end,"&gt;"&amp;0)=0,"",IF(COUNTIFS(m_teacher,K$4,m_date,($G$2+2),m_active,1,m_start,"&lt;"&amp;600,m_end,"&gt;"&amp;0)&gt;1,"충돌",HYPERLINK("#'관리자_MASTER'!D"&amp;_xlfn.MAXIFS(m_row,m_teacher,K$4,m_date,($G$2+2),m_active,1,m_start,"&lt;"&amp;600,m_end,"&gt;"&amp;0),INDEX(m_label,_xlfn.MAXIFS(m_row,m_teacher,K$4,m_date,($G$2+2),m_active,1,m_start,"&lt;"&amp;600,m_end,"&gt;"&amp;0))))))</f>
        <v/>
      </c>
      <c r="L27" s="80" t="str">
        <f aca="false">IF(OR(L$4="",MONTH(($G$2+2))&lt;&gt;MONTH($C$2)),"",IF(COUNTIFS(m_teacher,L$4,m_date,($G$2+2),m_active,1,m_start,"&lt;"&amp;600,m_end,"&gt;"&amp;0)=0,"",IF(COUNTIFS(m_teacher,L$4,m_date,($G$2+2),m_active,1,m_start,"&lt;"&amp;600,m_end,"&gt;"&amp;0)&gt;1,"충돌",HYPERLINK("#'관리자_MASTER'!D"&amp;_xlfn.MAXIFS(m_row,m_teacher,L$4,m_date,($G$2+2),m_active,1,m_start,"&lt;"&amp;600,m_end,"&gt;"&amp;0),INDEX(m_label,_xlfn.MAXIFS(m_row,m_teacher,L$4,m_date,($G$2+2),m_active,1,m_start,"&lt;"&amp;600,m_end,"&gt;"&amp;0))))))</f>
        <v/>
      </c>
      <c r="M27" s="80" t="str">
        <f aca="false">IF(OR(M$4="",MONTH(($G$2+2))&lt;&gt;MONTH($C$2)),"",IF(COUNTIFS(m_teacher,M$4,m_date,($G$2+2),m_active,1,m_start,"&lt;"&amp;600,m_end,"&gt;"&amp;0)=0,"",IF(COUNTIFS(m_teacher,M$4,m_date,($G$2+2),m_active,1,m_start,"&lt;"&amp;600,m_end,"&gt;"&amp;0)&gt;1,"충돌",HYPERLINK("#'관리자_MASTER'!D"&amp;_xlfn.MAXIFS(m_row,m_teacher,M$4,m_date,($G$2+2),m_active,1,m_start,"&lt;"&amp;600,m_end,"&gt;"&amp;0),INDEX(m_label,_xlfn.MAXIFS(m_row,m_teacher,M$4,m_date,($G$2+2),m_active,1,m_start,"&lt;"&amp;600,m_end,"&gt;"&amp;0))))))</f>
        <v/>
      </c>
      <c r="N27" s="80" t="str">
        <f aca="false">IF(OR(N$4="",MONTH(($G$2+2))&lt;&gt;MONTH($C$2)),"",IF(COUNTIFS(m_teacher,N$4,m_date,($G$2+2),m_active,1,m_start,"&lt;"&amp;600,m_end,"&gt;"&amp;0)=0,"",IF(COUNTIFS(m_teacher,N$4,m_date,($G$2+2),m_active,1,m_start,"&lt;"&amp;600,m_end,"&gt;"&amp;0)&gt;1,"충돌",HYPERLINK("#'관리자_MASTER'!D"&amp;_xlfn.MAXIFS(m_row,m_teacher,N$4,m_date,($G$2+2),m_active,1,m_start,"&lt;"&amp;600,m_end,"&gt;"&amp;0),INDEX(m_label,_xlfn.MAXIFS(m_row,m_teacher,N$4,m_date,($G$2+2),m_active,1,m_start,"&lt;"&amp;600,m_end,"&gt;"&amp;0))))))</f>
        <v/>
      </c>
      <c r="O27" s="78" t="str">
        <f aca="false">IF(MONTH(($G$2+9))&lt;&gt;MONTH($C$2),"",CHOOSE(WEEKDAY(($G$2+9),2),"월","화","수","목","금","토","일")&amp;CHAR(10)&amp;TEXT(($G$2+9),"m/d"))</f>
        <v>수
12/9</v>
      </c>
      <c r="P27" s="79" t="s">
        <v>91</v>
      </c>
      <c r="Q27" s="80" t="str">
        <f aca="false">IF(OR(Q$4="",MONTH(($G$2+9))&lt;&gt;MONTH($C$2)),"",IF(COUNTIFS(m_teacher,Q$4,m_date,($G$2+9),m_active,1,m_start,"&lt;"&amp;600,m_end,"&gt;"&amp;0)=0,"",IF(COUNTIFS(m_teacher,Q$4,m_date,($G$2+9),m_active,1,m_start,"&lt;"&amp;600,m_end,"&gt;"&amp;0)&gt;1,"충돌",HYPERLINK("#'관리자_MASTER'!D"&amp;_xlfn.MAXIFS(m_row,m_teacher,Q$4,m_date,($G$2+9),m_active,1,m_start,"&lt;"&amp;600,m_end,"&gt;"&amp;0),INDEX(m_label,_xlfn.MAXIFS(m_row,m_teacher,Q$4,m_date,($G$2+9),m_active,1,m_start,"&lt;"&amp;600,m_end,"&gt;"&amp;0))))))</f>
        <v/>
      </c>
      <c r="R27" s="80" t="str">
        <f aca="false">IF(OR(R$4="",MONTH(($G$2+9))&lt;&gt;MONTH($C$2)),"",IF(COUNTIFS(m_teacher,R$4,m_date,($G$2+9),m_active,1,m_start,"&lt;"&amp;600,m_end,"&gt;"&amp;0)=0,"",IF(COUNTIFS(m_teacher,R$4,m_date,($G$2+9),m_active,1,m_start,"&lt;"&amp;600,m_end,"&gt;"&amp;0)&gt;1,"충돌",HYPERLINK("#'관리자_MASTER'!D"&amp;_xlfn.MAXIFS(m_row,m_teacher,R$4,m_date,($G$2+9),m_active,1,m_start,"&lt;"&amp;600,m_end,"&gt;"&amp;0),INDEX(m_label,_xlfn.MAXIFS(m_row,m_teacher,R$4,m_date,($G$2+9),m_active,1,m_start,"&lt;"&amp;600,m_end,"&gt;"&amp;0))))))</f>
        <v/>
      </c>
      <c r="S27" s="80" t="str">
        <f aca="false">IF(OR(S$4="",MONTH(($G$2+9))&lt;&gt;MONTH($C$2)),"",IF(COUNTIFS(m_teacher,S$4,m_date,($G$2+9),m_active,1,m_start,"&lt;"&amp;600,m_end,"&gt;"&amp;0)=0,"",IF(COUNTIFS(m_teacher,S$4,m_date,($G$2+9),m_active,1,m_start,"&lt;"&amp;600,m_end,"&gt;"&amp;0)&gt;1,"충돌",HYPERLINK("#'관리자_MASTER'!D"&amp;_xlfn.MAXIFS(m_row,m_teacher,S$4,m_date,($G$2+9),m_active,1,m_start,"&lt;"&amp;600,m_end,"&gt;"&amp;0),INDEX(m_label,_xlfn.MAXIFS(m_row,m_teacher,S$4,m_date,($G$2+9),m_active,1,m_start,"&lt;"&amp;600,m_end,"&gt;"&amp;0))))))</f>
        <v/>
      </c>
      <c r="T27" s="80" t="str">
        <f aca="false">IF(OR(T$4="",MONTH(($G$2+9))&lt;&gt;MONTH($C$2)),"",IF(COUNTIFS(m_teacher,T$4,m_date,($G$2+9),m_active,1,m_start,"&lt;"&amp;600,m_end,"&gt;"&amp;0)=0,"",IF(COUNTIFS(m_teacher,T$4,m_date,($G$2+9),m_active,1,m_start,"&lt;"&amp;600,m_end,"&gt;"&amp;0)&gt;1,"충돌",HYPERLINK("#'관리자_MASTER'!D"&amp;_xlfn.MAXIFS(m_row,m_teacher,T$4,m_date,($G$2+9),m_active,1,m_start,"&lt;"&amp;600,m_end,"&gt;"&amp;0),INDEX(m_label,_xlfn.MAXIFS(m_row,m_teacher,T$4,m_date,($G$2+9),m_active,1,m_start,"&lt;"&amp;600,m_end,"&gt;"&amp;0))))))</f>
        <v/>
      </c>
      <c r="U27" s="80" t="str">
        <f aca="false">IF(OR(U$4="",MONTH(($G$2+9))&lt;&gt;MONTH($C$2)),"",IF(COUNTIFS(m_teacher,U$4,m_date,($G$2+9),m_active,1,m_start,"&lt;"&amp;600,m_end,"&gt;"&amp;0)=0,"",IF(COUNTIFS(m_teacher,U$4,m_date,($G$2+9),m_active,1,m_start,"&lt;"&amp;600,m_end,"&gt;"&amp;0)&gt;1,"충돌",HYPERLINK("#'관리자_MASTER'!D"&amp;_xlfn.MAXIFS(m_row,m_teacher,U$4,m_date,($G$2+9),m_active,1,m_start,"&lt;"&amp;600,m_end,"&gt;"&amp;0),INDEX(m_label,_xlfn.MAXIFS(m_row,m_teacher,U$4,m_date,($G$2+9),m_active,1,m_start,"&lt;"&amp;600,m_end,"&gt;"&amp;0))))))</f>
        <v/>
      </c>
      <c r="V27" s="80" t="str">
        <f aca="false">IF(OR(V$4="",MONTH(($G$2+9))&lt;&gt;MONTH($C$2)),"",IF(COUNTIFS(m_teacher,V$4,m_date,($G$2+9),m_active,1,m_start,"&lt;"&amp;600,m_end,"&gt;"&amp;0)=0,"",IF(COUNTIFS(m_teacher,V$4,m_date,($G$2+9),m_active,1,m_start,"&lt;"&amp;600,m_end,"&gt;"&amp;0)&gt;1,"충돌",HYPERLINK("#'관리자_MASTER'!D"&amp;_xlfn.MAXIFS(m_row,m_teacher,V$4,m_date,($G$2+9),m_active,1,m_start,"&lt;"&amp;600,m_end,"&gt;"&amp;0),INDEX(m_label,_xlfn.MAXIFS(m_row,m_teacher,V$4,m_date,($G$2+9),m_active,1,m_start,"&lt;"&amp;600,m_end,"&gt;"&amp;0))))))</f>
        <v/>
      </c>
      <c r="W27" s="80" t="str">
        <f aca="false">IF(OR(W$4="",MONTH(($G$2+9))&lt;&gt;MONTH($C$2)),"",IF(COUNTIFS(m_teacher,W$4,m_date,($G$2+9),m_active,1,m_start,"&lt;"&amp;600,m_end,"&gt;"&amp;0)=0,"",IF(COUNTIFS(m_teacher,W$4,m_date,($G$2+9),m_active,1,m_start,"&lt;"&amp;600,m_end,"&gt;"&amp;0)&gt;1,"충돌",HYPERLINK("#'관리자_MASTER'!D"&amp;_xlfn.MAXIFS(m_row,m_teacher,W$4,m_date,($G$2+9),m_active,1,m_start,"&lt;"&amp;600,m_end,"&gt;"&amp;0),INDEX(m_label,_xlfn.MAXIFS(m_row,m_teacher,W$4,m_date,($G$2+9),m_active,1,m_start,"&lt;"&amp;600,m_end,"&gt;"&amp;0))))))</f>
        <v/>
      </c>
      <c r="X27" s="80" t="str">
        <f aca="false">IF(OR(X$4="",MONTH(($G$2+9))&lt;&gt;MONTH($C$2)),"",IF(COUNTIFS(m_teacher,X$4,m_date,($G$2+9),m_active,1,m_start,"&lt;"&amp;600,m_end,"&gt;"&amp;0)=0,"",IF(COUNTIFS(m_teacher,X$4,m_date,($G$2+9),m_active,1,m_start,"&lt;"&amp;600,m_end,"&gt;"&amp;0)&gt;1,"충돌",HYPERLINK("#'관리자_MASTER'!D"&amp;_xlfn.MAXIFS(m_row,m_teacher,X$4,m_date,($G$2+9),m_active,1,m_start,"&lt;"&amp;600,m_end,"&gt;"&amp;0),INDEX(m_label,_xlfn.MAXIFS(m_row,m_teacher,X$4,m_date,($G$2+9),m_active,1,m_start,"&lt;"&amp;600,m_end,"&gt;"&amp;0))))))</f>
        <v/>
      </c>
      <c r="Y27" s="80" t="str">
        <f aca="false">IF(OR(Y$4="",MONTH(($G$2+9))&lt;&gt;MONTH($C$2)),"",IF(COUNTIFS(m_teacher,Y$4,m_date,($G$2+9),m_active,1,m_start,"&lt;"&amp;600,m_end,"&gt;"&amp;0)=0,"",IF(COUNTIFS(m_teacher,Y$4,m_date,($G$2+9),m_active,1,m_start,"&lt;"&amp;600,m_end,"&gt;"&amp;0)&gt;1,"충돌",HYPERLINK("#'관리자_MASTER'!D"&amp;_xlfn.MAXIFS(m_row,m_teacher,Y$4,m_date,($G$2+9),m_active,1,m_start,"&lt;"&amp;600,m_end,"&gt;"&amp;0),INDEX(m_label,_xlfn.MAXIFS(m_row,m_teacher,Y$4,m_date,($G$2+9),m_active,1,m_start,"&lt;"&amp;600,m_end,"&gt;"&amp;0))))))</f>
        <v/>
      </c>
      <c r="Z27" s="80" t="str">
        <f aca="false">IF(OR(Z$4="",MONTH(($G$2+9))&lt;&gt;MONTH($C$2)),"",IF(COUNTIFS(m_teacher,Z$4,m_date,($G$2+9),m_active,1,m_start,"&lt;"&amp;600,m_end,"&gt;"&amp;0)=0,"",IF(COUNTIFS(m_teacher,Z$4,m_date,($G$2+9),m_active,1,m_start,"&lt;"&amp;600,m_end,"&gt;"&amp;0)&gt;1,"충돌",HYPERLINK("#'관리자_MASTER'!D"&amp;_xlfn.MAXIFS(m_row,m_teacher,Z$4,m_date,($G$2+9),m_active,1,m_start,"&lt;"&amp;600,m_end,"&gt;"&amp;0),INDEX(m_label,_xlfn.MAXIFS(m_row,m_teacher,Z$4,m_date,($G$2+9),m_active,1,m_start,"&lt;"&amp;600,m_end,"&gt;"&amp;0))))))</f>
        <v/>
      </c>
      <c r="AA27" s="80" t="str">
        <f aca="false">IF(OR(AA$4="",MONTH(($G$2+9))&lt;&gt;MONTH($C$2)),"",IF(COUNTIFS(m_teacher,AA$4,m_date,($G$2+9),m_active,1,m_start,"&lt;"&amp;600,m_end,"&gt;"&amp;0)=0,"",IF(COUNTIFS(m_teacher,AA$4,m_date,($G$2+9),m_active,1,m_start,"&lt;"&amp;600,m_end,"&gt;"&amp;0)&gt;1,"충돌",HYPERLINK("#'관리자_MASTER'!D"&amp;_xlfn.MAXIFS(m_row,m_teacher,AA$4,m_date,($G$2+9),m_active,1,m_start,"&lt;"&amp;600,m_end,"&gt;"&amp;0),INDEX(m_label,_xlfn.MAXIFS(m_row,m_teacher,AA$4,m_date,($G$2+9),m_active,1,m_start,"&lt;"&amp;600,m_end,"&gt;"&amp;0))))))</f>
        <v/>
      </c>
      <c r="AB27" s="80" t="str">
        <f aca="false">IF(OR(AB$4="",MONTH(($G$2+9))&lt;&gt;MONTH($C$2)),"",IF(COUNTIFS(m_teacher,AB$4,m_date,($G$2+9),m_active,1,m_start,"&lt;"&amp;600,m_end,"&gt;"&amp;0)=0,"",IF(COUNTIFS(m_teacher,AB$4,m_date,($G$2+9),m_active,1,m_start,"&lt;"&amp;600,m_end,"&gt;"&amp;0)&gt;1,"충돌",HYPERLINK("#'관리자_MASTER'!D"&amp;_xlfn.MAXIFS(m_row,m_teacher,AB$4,m_date,($G$2+9),m_active,1,m_start,"&lt;"&amp;600,m_end,"&gt;"&amp;0),INDEX(m_label,_xlfn.MAXIFS(m_row,m_teacher,AB$4,m_date,($G$2+9),m_active,1,m_start,"&lt;"&amp;600,m_end,"&gt;"&amp;0))))))</f>
        <v/>
      </c>
      <c r="AC27" s="78" t="str">
        <f aca="false">IF(MONTH(($G$2+16))&lt;&gt;MONTH($C$2),"",CHOOSE(WEEKDAY(($G$2+16),2),"월","화","수","목","금","토","일")&amp;CHAR(10)&amp;TEXT(($G$2+16),"m/d"))</f>
        <v>수
12/16</v>
      </c>
      <c r="AD27" s="79" t="s">
        <v>91</v>
      </c>
      <c r="AE27" s="80" t="str">
        <f aca="false">IF(OR(AE$4="",MONTH(($G$2+16))&lt;&gt;MONTH($C$2)),"",IF(COUNTIFS(m_teacher,AE$4,m_date,($G$2+16),m_active,1,m_start,"&lt;"&amp;600,m_end,"&gt;"&amp;0)=0,"",IF(COUNTIFS(m_teacher,AE$4,m_date,($G$2+16),m_active,1,m_start,"&lt;"&amp;600,m_end,"&gt;"&amp;0)&gt;1,"충돌",HYPERLINK("#'관리자_MASTER'!D"&amp;_xlfn.MAXIFS(m_row,m_teacher,AE$4,m_date,($G$2+16),m_active,1,m_start,"&lt;"&amp;600,m_end,"&gt;"&amp;0),INDEX(m_label,_xlfn.MAXIFS(m_row,m_teacher,AE$4,m_date,($G$2+16),m_active,1,m_start,"&lt;"&amp;600,m_end,"&gt;"&amp;0))))))</f>
        <v/>
      </c>
      <c r="AF27" s="80" t="str">
        <f aca="false">IF(OR(AF$4="",MONTH(($G$2+16))&lt;&gt;MONTH($C$2)),"",IF(COUNTIFS(m_teacher,AF$4,m_date,($G$2+16),m_active,1,m_start,"&lt;"&amp;600,m_end,"&gt;"&amp;0)=0,"",IF(COUNTIFS(m_teacher,AF$4,m_date,($G$2+16),m_active,1,m_start,"&lt;"&amp;600,m_end,"&gt;"&amp;0)&gt;1,"충돌",HYPERLINK("#'관리자_MASTER'!D"&amp;_xlfn.MAXIFS(m_row,m_teacher,AF$4,m_date,($G$2+16),m_active,1,m_start,"&lt;"&amp;600,m_end,"&gt;"&amp;0),INDEX(m_label,_xlfn.MAXIFS(m_row,m_teacher,AF$4,m_date,($G$2+16),m_active,1,m_start,"&lt;"&amp;600,m_end,"&gt;"&amp;0))))))</f>
        <v/>
      </c>
      <c r="AG27" s="80" t="str">
        <f aca="false">IF(OR(AG$4="",MONTH(($G$2+16))&lt;&gt;MONTH($C$2)),"",IF(COUNTIFS(m_teacher,AG$4,m_date,($G$2+16),m_active,1,m_start,"&lt;"&amp;600,m_end,"&gt;"&amp;0)=0,"",IF(COUNTIFS(m_teacher,AG$4,m_date,($G$2+16),m_active,1,m_start,"&lt;"&amp;600,m_end,"&gt;"&amp;0)&gt;1,"충돌",HYPERLINK("#'관리자_MASTER'!D"&amp;_xlfn.MAXIFS(m_row,m_teacher,AG$4,m_date,($G$2+16),m_active,1,m_start,"&lt;"&amp;600,m_end,"&gt;"&amp;0),INDEX(m_label,_xlfn.MAXIFS(m_row,m_teacher,AG$4,m_date,($G$2+16),m_active,1,m_start,"&lt;"&amp;600,m_end,"&gt;"&amp;0))))))</f>
        <v/>
      </c>
      <c r="AH27" s="80" t="str">
        <f aca="false">IF(OR(AH$4="",MONTH(($G$2+16))&lt;&gt;MONTH($C$2)),"",IF(COUNTIFS(m_teacher,AH$4,m_date,($G$2+16),m_active,1,m_start,"&lt;"&amp;600,m_end,"&gt;"&amp;0)=0,"",IF(COUNTIFS(m_teacher,AH$4,m_date,($G$2+16),m_active,1,m_start,"&lt;"&amp;600,m_end,"&gt;"&amp;0)&gt;1,"충돌",HYPERLINK("#'관리자_MASTER'!D"&amp;_xlfn.MAXIFS(m_row,m_teacher,AH$4,m_date,($G$2+16),m_active,1,m_start,"&lt;"&amp;600,m_end,"&gt;"&amp;0),INDEX(m_label,_xlfn.MAXIFS(m_row,m_teacher,AH$4,m_date,($G$2+16),m_active,1,m_start,"&lt;"&amp;600,m_end,"&gt;"&amp;0))))))</f>
        <v/>
      </c>
      <c r="AI27" s="80" t="str">
        <f aca="false">IF(OR(AI$4="",MONTH(($G$2+16))&lt;&gt;MONTH($C$2)),"",IF(COUNTIFS(m_teacher,AI$4,m_date,($G$2+16),m_active,1,m_start,"&lt;"&amp;600,m_end,"&gt;"&amp;0)=0,"",IF(COUNTIFS(m_teacher,AI$4,m_date,($G$2+16),m_active,1,m_start,"&lt;"&amp;600,m_end,"&gt;"&amp;0)&gt;1,"충돌",HYPERLINK("#'관리자_MASTER'!D"&amp;_xlfn.MAXIFS(m_row,m_teacher,AI$4,m_date,($G$2+16),m_active,1,m_start,"&lt;"&amp;600,m_end,"&gt;"&amp;0),INDEX(m_label,_xlfn.MAXIFS(m_row,m_teacher,AI$4,m_date,($G$2+16),m_active,1,m_start,"&lt;"&amp;600,m_end,"&gt;"&amp;0))))))</f>
        <v/>
      </c>
      <c r="AJ27" s="80" t="str">
        <f aca="false">IF(OR(AJ$4="",MONTH(($G$2+16))&lt;&gt;MONTH($C$2)),"",IF(COUNTIFS(m_teacher,AJ$4,m_date,($G$2+16),m_active,1,m_start,"&lt;"&amp;600,m_end,"&gt;"&amp;0)=0,"",IF(COUNTIFS(m_teacher,AJ$4,m_date,($G$2+16),m_active,1,m_start,"&lt;"&amp;600,m_end,"&gt;"&amp;0)&gt;1,"충돌",HYPERLINK("#'관리자_MASTER'!D"&amp;_xlfn.MAXIFS(m_row,m_teacher,AJ$4,m_date,($G$2+16),m_active,1,m_start,"&lt;"&amp;600,m_end,"&gt;"&amp;0),INDEX(m_label,_xlfn.MAXIFS(m_row,m_teacher,AJ$4,m_date,($G$2+16),m_active,1,m_start,"&lt;"&amp;600,m_end,"&gt;"&amp;0))))))</f>
        <v/>
      </c>
      <c r="AK27" s="80" t="str">
        <f aca="false">IF(OR(AK$4="",MONTH(($G$2+16))&lt;&gt;MONTH($C$2)),"",IF(COUNTIFS(m_teacher,AK$4,m_date,($G$2+16),m_active,1,m_start,"&lt;"&amp;600,m_end,"&gt;"&amp;0)=0,"",IF(COUNTIFS(m_teacher,AK$4,m_date,($G$2+16),m_active,1,m_start,"&lt;"&amp;600,m_end,"&gt;"&amp;0)&gt;1,"충돌",HYPERLINK("#'관리자_MASTER'!D"&amp;_xlfn.MAXIFS(m_row,m_teacher,AK$4,m_date,($G$2+16),m_active,1,m_start,"&lt;"&amp;600,m_end,"&gt;"&amp;0),INDEX(m_label,_xlfn.MAXIFS(m_row,m_teacher,AK$4,m_date,($G$2+16),m_active,1,m_start,"&lt;"&amp;600,m_end,"&gt;"&amp;0))))))</f>
        <v/>
      </c>
      <c r="AL27" s="80" t="str">
        <f aca="false">IF(OR(AL$4="",MONTH(($G$2+16))&lt;&gt;MONTH($C$2)),"",IF(COUNTIFS(m_teacher,AL$4,m_date,($G$2+16),m_active,1,m_start,"&lt;"&amp;600,m_end,"&gt;"&amp;0)=0,"",IF(COUNTIFS(m_teacher,AL$4,m_date,($G$2+16),m_active,1,m_start,"&lt;"&amp;600,m_end,"&gt;"&amp;0)&gt;1,"충돌",HYPERLINK("#'관리자_MASTER'!D"&amp;_xlfn.MAXIFS(m_row,m_teacher,AL$4,m_date,($G$2+16),m_active,1,m_start,"&lt;"&amp;600,m_end,"&gt;"&amp;0),INDEX(m_label,_xlfn.MAXIFS(m_row,m_teacher,AL$4,m_date,($G$2+16),m_active,1,m_start,"&lt;"&amp;600,m_end,"&gt;"&amp;0))))))</f>
        <v/>
      </c>
      <c r="AM27" s="80" t="str">
        <f aca="false">IF(OR(AM$4="",MONTH(($G$2+16))&lt;&gt;MONTH($C$2)),"",IF(COUNTIFS(m_teacher,AM$4,m_date,($G$2+16),m_active,1,m_start,"&lt;"&amp;600,m_end,"&gt;"&amp;0)=0,"",IF(COUNTIFS(m_teacher,AM$4,m_date,($G$2+16),m_active,1,m_start,"&lt;"&amp;600,m_end,"&gt;"&amp;0)&gt;1,"충돌",HYPERLINK("#'관리자_MASTER'!D"&amp;_xlfn.MAXIFS(m_row,m_teacher,AM$4,m_date,($G$2+16),m_active,1,m_start,"&lt;"&amp;600,m_end,"&gt;"&amp;0),INDEX(m_label,_xlfn.MAXIFS(m_row,m_teacher,AM$4,m_date,($G$2+16),m_active,1,m_start,"&lt;"&amp;600,m_end,"&gt;"&amp;0))))))</f>
        <v/>
      </c>
      <c r="AN27" s="80" t="str">
        <f aca="false">IF(OR(AN$4="",MONTH(($G$2+16))&lt;&gt;MONTH($C$2)),"",IF(COUNTIFS(m_teacher,AN$4,m_date,($G$2+16),m_active,1,m_start,"&lt;"&amp;600,m_end,"&gt;"&amp;0)=0,"",IF(COUNTIFS(m_teacher,AN$4,m_date,($G$2+16),m_active,1,m_start,"&lt;"&amp;600,m_end,"&gt;"&amp;0)&gt;1,"충돌",HYPERLINK("#'관리자_MASTER'!D"&amp;_xlfn.MAXIFS(m_row,m_teacher,AN$4,m_date,($G$2+16),m_active,1,m_start,"&lt;"&amp;600,m_end,"&gt;"&amp;0),INDEX(m_label,_xlfn.MAXIFS(m_row,m_teacher,AN$4,m_date,($G$2+16),m_active,1,m_start,"&lt;"&amp;600,m_end,"&gt;"&amp;0))))))</f>
        <v/>
      </c>
      <c r="AO27" s="80" t="str">
        <f aca="false">IF(OR(AO$4="",MONTH(($G$2+16))&lt;&gt;MONTH($C$2)),"",IF(COUNTIFS(m_teacher,AO$4,m_date,($G$2+16),m_active,1,m_start,"&lt;"&amp;600,m_end,"&gt;"&amp;0)=0,"",IF(COUNTIFS(m_teacher,AO$4,m_date,($G$2+16),m_active,1,m_start,"&lt;"&amp;600,m_end,"&gt;"&amp;0)&gt;1,"충돌",HYPERLINK("#'관리자_MASTER'!D"&amp;_xlfn.MAXIFS(m_row,m_teacher,AO$4,m_date,($G$2+16),m_active,1,m_start,"&lt;"&amp;600,m_end,"&gt;"&amp;0),INDEX(m_label,_xlfn.MAXIFS(m_row,m_teacher,AO$4,m_date,($G$2+16),m_active,1,m_start,"&lt;"&amp;600,m_end,"&gt;"&amp;0))))))</f>
        <v/>
      </c>
      <c r="AP27" s="80" t="str">
        <f aca="false">IF(OR(AP$4="",MONTH(($G$2+16))&lt;&gt;MONTH($C$2)),"",IF(COUNTIFS(m_teacher,AP$4,m_date,($G$2+16),m_active,1,m_start,"&lt;"&amp;600,m_end,"&gt;"&amp;0)=0,"",IF(COUNTIFS(m_teacher,AP$4,m_date,($G$2+16),m_active,1,m_start,"&lt;"&amp;600,m_end,"&gt;"&amp;0)&gt;1,"충돌",HYPERLINK("#'관리자_MASTER'!D"&amp;_xlfn.MAXIFS(m_row,m_teacher,AP$4,m_date,($G$2+16),m_active,1,m_start,"&lt;"&amp;600,m_end,"&gt;"&amp;0),INDEX(m_label,_xlfn.MAXIFS(m_row,m_teacher,AP$4,m_date,($G$2+16),m_active,1,m_start,"&lt;"&amp;600,m_end,"&gt;"&amp;0))))))</f>
        <v/>
      </c>
      <c r="AQ27" s="78" t="str">
        <f aca="false">IF(MONTH(($G$2+23))&lt;&gt;MONTH($C$2),"",CHOOSE(WEEKDAY(($G$2+23),2),"월","화","수","목","금","토","일")&amp;CHAR(10)&amp;TEXT(($G$2+23),"m/d"))</f>
        <v>수
12/23</v>
      </c>
      <c r="AR27" s="79" t="s">
        <v>91</v>
      </c>
      <c r="AS27" s="80" t="str">
        <f aca="false">IF(OR(AS$4="",MONTH(($G$2+23))&lt;&gt;MONTH($C$2)),"",IF(COUNTIFS(m_teacher,AS$4,m_date,($G$2+23),m_active,1,m_start,"&lt;"&amp;600,m_end,"&gt;"&amp;0)=0,"",IF(COUNTIFS(m_teacher,AS$4,m_date,($G$2+23),m_active,1,m_start,"&lt;"&amp;600,m_end,"&gt;"&amp;0)&gt;1,"충돌",HYPERLINK("#'관리자_MASTER'!D"&amp;_xlfn.MAXIFS(m_row,m_teacher,AS$4,m_date,($G$2+23),m_active,1,m_start,"&lt;"&amp;600,m_end,"&gt;"&amp;0),INDEX(m_label,_xlfn.MAXIFS(m_row,m_teacher,AS$4,m_date,($G$2+23),m_active,1,m_start,"&lt;"&amp;600,m_end,"&gt;"&amp;0))))))</f>
        <v/>
      </c>
      <c r="AT27" s="80" t="str">
        <f aca="false">IF(OR(AT$4="",MONTH(($G$2+23))&lt;&gt;MONTH($C$2)),"",IF(COUNTIFS(m_teacher,AT$4,m_date,($G$2+23),m_active,1,m_start,"&lt;"&amp;600,m_end,"&gt;"&amp;0)=0,"",IF(COUNTIFS(m_teacher,AT$4,m_date,($G$2+23),m_active,1,m_start,"&lt;"&amp;600,m_end,"&gt;"&amp;0)&gt;1,"충돌",HYPERLINK("#'관리자_MASTER'!D"&amp;_xlfn.MAXIFS(m_row,m_teacher,AT$4,m_date,($G$2+23),m_active,1,m_start,"&lt;"&amp;600,m_end,"&gt;"&amp;0),INDEX(m_label,_xlfn.MAXIFS(m_row,m_teacher,AT$4,m_date,($G$2+23),m_active,1,m_start,"&lt;"&amp;600,m_end,"&gt;"&amp;0))))))</f>
        <v/>
      </c>
      <c r="AU27" s="80" t="str">
        <f aca="false">IF(OR(AU$4="",MONTH(($G$2+23))&lt;&gt;MONTH($C$2)),"",IF(COUNTIFS(m_teacher,AU$4,m_date,($G$2+23),m_active,1,m_start,"&lt;"&amp;600,m_end,"&gt;"&amp;0)=0,"",IF(COUNTIFS(m_teacher,AU$4,m_date,($G$2+23),m_active,1,m_start,"&lt;"&amp;600,m_end,"&gt;"&amp;0)&gt;1,"충돌",HYPERLINK("#'관리자_MASTER'!D"&amp;_xlfn.MAXIFS(m_row,m_teacher,AU$4,m_date,($G$2+23),m_active,1,m_start,"&lt;"&amp;600,m_end,"&gt;"&amp;0),INDEX(m_label,_xlfn.MAXIFS(m_row,m_teacher,AU$4,m_date,($G$2+23),m_active,1,m_start,"&lt;"&amp;600,m_end,"&gt;"&amp;0))))))</f>
        <v/>
      </c>
      <c r="AV27" s="80" t="str">
        <f aca="false">IF(OR(AV$4="",MONTH(($G$2+23))&lt;&gt;MONTH($C$2)),"",IF(COUNTIFS(m_teacher,AV$4,m_date,($G$2+23),m_active,1,m_start,"&lt;"&amp;600,m_end,"&gt;"&amp;0)=0,"",IF(COUNTIFS(m_teacher,AV$4,m_date,($G$2+23),m_active,1,m_start,"&lt;"&amp;600,m_end,"&gt;"&amp;0)&gt;1,"충돌",HYPERLINK("#'관리자_MASTER'!D"&amp;_xlfn.MAXIFS(m_row,m_teacher,AV$4,m_date,($G$2+23),m_active,1,m_start,"&lt;"&amp;600,m_end,"&gt;"&amp;0),INDEX(m_label,_xlfn.MAXIFS(m_row,m_teacher,AV$4,m_date,($G$2+23),m_active,1,m_start,"&lt;"&amp;600,m_end,"&gt;"&amp;0))))))</f>
        <v/>
      </c>
      <c r="AW27" s="80" t="str">
        <f aca="false">IF(OR(AW$4="",MONTH(($G$2+23))&lt;&gt;MONTH($C$2)),"",IF(COUNTIFS(m_teacher,AW$4,m_date,($G$2+23),m_active,1,m_start,"&lt;"&amp;600,m_end,"&gt;"&amp;0)=0,"",IF(COUNTIFS(m_teacher,AW$4,m_date,($G$2+23),m_active,1,m_start,"&lt;"&amp;600,m_end,"&gt;"&amp;0)&gt;1,"충돌",HYPERLINK("#'관리자_MASTER'!D"&amp;_xlfn.MAXIFS(m_row,m_teacher,AW$4,m_date,($G$2+23),m_active,1,m_start,"&lt;"&amp;600,m_end,"&gt;"&amp;0),INDEX(m_label,_xlfn.MAXIFS(m_row,m_teacher,AW$4,m_date,($G$2+23),m_active,1,m_start,"&lt;"&amp;600,m_end,"&gt;"&amp;0))))))</f>
        <v/>
      </c>
      <c r="AX27" s="80" t="str">
        <f aca="false">IF(OR(AX$4="",MONTH(($G$2+23))&lt;&gt;MONTH($C$2)),"",IF(COUNTIFS(m_teacher,AX$4,m_date,($G$2+23),m_active,1,m_start,"&lt;"&amp;600,m_end,"&gt;"&amp;0)=0,"",IF(COUNTIFS(m_teacher,AX$4,m_date,($G$2+23),m_active,1,m_start,"&lt;"&amp;600,m_end,"&gt;"&amp;0)&gt;1,"충돌",HYPERLINK("#'관리자_MASTER'!D"&amp;_xlfn.MAXIFS(m_row,m_teacher,AX$4,m_date,($G$2+23),m_active,1,m_start,"&lt;"&amp;600,m_end,"&gt;"&amp;0),INDEX(m_label,_xlfn.MAXIFS(m_row,m_teacher,AX$4,m_date,($G$2+23),m_active,1,m_start,"&lt;"&amp;600,m_end,"&gt;"&amp;0))))))</f>
        <v/>
      </c>
      <c r="AY27" s="80" t="str">
        <f aca="false">IF(OR(AY$4="",MONTH(($G$2+23))&lt;&gt;MONTH($C$2)),"",IF(COUNTIFS(m_teacher,AY$4,m_date,($G$2+23),m_active,1,m_start,"&lt;"&amp;600,m_end,"&gt;"&amp;0)=0,"",IF(COUNTIFS(m_teacher,AY$4,m_date,($G$2+23),m_active,1,m_start,"&lt;"&amp;600,m_end,"&gt;"&amp;0)&gt;1,"충돌",HYPERLINK("#'관리자_MASTER'!D"&amp;_xlfn.MAXIFS(m_row,m_teacher,AY$4,m_date,($G$2+23),m_active,1,m_start,"&lt;"&amp;600,m_end,"&gt;"&amp;0),INDEX(m_label,_xlfn.MAXIFS(m_row,m_teacher,AY$4,m_date,($G$2+23),m_active,1,m_start,"&lt;"&amp;600,m_end,"&gt;"&amp;0))))))</f>
        <v/>
      </c>
      <c r="AZ27" s="80" t="str">
        <f aca="false">IF(OR(AZ$4="",MONTH(($G$2+23))&lt;&gt;MONTH($C$2)),"",IF(COUNTIFS(m_teacher,AZ$4,m_date,($G$2+23),m_active,1,m_start,"&lt;"&amp;600,m_end,"&gt;"&amp;0)=0,"",IF(COUNTIFS(m_teacher,AZ$4,m_date,($G$2+23),m_active,1,m_start,"&lt;"&amp;600,m_end,"&gt;"&amp;0)&gt;1,"충돌",HYPERLINK("#'관리자_MASTER'!D"&amp;_xlfn.MAXIFS(m_row,m_teacher,AZ$4,m_date,($G$2+23),m_active,1,m_start,"&lt;"&amp;600,m_end,"&gt;"&amp;0),INDEX(m_label,_xlfn.MAXIFS(m_row,m_teacher,AZ$4,m_date,($G$2+23),m_active,1,m_start,"&lt;"&amp;600,m_end,"&gt;"&amp;0))))))</f>
        <v/>
      </c>
      <c r="BA27" s="80" t="str">
        <f aca="false">IF(OR(BA$4="",MONTH(($G$2+23))&lt;&gt;MONTH($C$2)),"",IF(COUNTIFS(m_teacher,BA$4,m_date,($G$2+23),m_active,1,m_start,"&lt;"&amp;600,m_end,"&gt;"&amp;0)=0,"",IF(COUNTIFS(m_teacher,BA$4,m_date,($G$2+23),m_active,1,m_start,"&lt;"&amp;600,m_end,"&gt;"&amp;0)&gt;1,"충돌",HYPERLINK("#'관리자_MASTER'!D"&amp;_xlfn.MAXIFS(m_row,m_teacher,BA$4,m_date,($G$2+23),m_active,1,m_start,"&lt;"&amp;600,m_end,"&gt;"&amp;0),INDEX(m_label,_xlfn.MAXIFS(m_row,m_teacher,BA$4,m_date,($G$2+23),m_active,1,m_start,"&lt;"&amp;600,m_end,"&gt;"&amp;0))))))</f>
        <v/>
      </c>
      <c r="BB27" s="80" t="str">
        <f aca="false">IF(OR(BB$4="",MONTH(($G$2+23))&lt;&gt;MONTH($C$2)),"",IF(COUNTIFS(m_teacher,BB$4,m_date,($G$2+23),m_active,1,m_start,"&lt;"&amp;600,m_end,"&gt;"&amp;0)=0,"",IF(COUNTIFS(m_teacher,BB$4,m_date,($G$2+23),m_active,1,m_start,"&lt;"&amp;600,m_end,"&gt;"&amp;0)&gt;1,"충돌",HYPERLINK("#'관리자_MASTER'!D"&amp;_xlfn.MAXIFS(m_row,m_teacher,BB$4,m_date,($G$2+23),m_active,1,m_start,"&lt;"&amp;600,m_end,"&gt;"&amp;0),INDEX(m_label,_xlfn.MAXIFS(m_row,m_teacher,BB$4,m_date,($G$2+23),m_active,1,m_start,"&lt;"&amp;600,m_end,"&gt;"&amp;0))))))</f>
        <v/>
      </c>
      <c r="BC27" s="80" t="str">
        <f aca="false">IF(OR(BC$4="",MONTH(($G$2+23))&lt;&gt;MONTH($C$2)),"",IF(COUNTIFS(m_teacher,BC$4,m_date,($G$2+23),m_active,1,m_start,"&lt;"&amp;600,m_end,"&gt;"&amp;0)=0,"",IF(COUNTIFS(m_teacher,BC$4,m_date,($G$2+23),m_active,1,m_start,"&lt;"&amp;600,m_end,"&gt;"&amp;0)&gt;1,"충돌",HYPERLINK("#'관리자_MASTER'!D"&amp;_xlfn.MAXIFS(m_row,m_teacher,BC$4,m_date,($G$2+23),m_active,1,m_start,"&lt;"&amp;600,m_end,"&gt;"&amp;0),INDEX(m_label,_xlfn.MAXIFS(m_row,m_teacher,BC$4,m_date,($G$2+23),m_active,1,m_start,"&lt;"&amp;600,m_end,"&gt;"&amp;0))))))</f>
        <v/>
      </c>
      <c r="BD27" s="80" t="str">
        <f aca="false">IF(OR(BD$4="",MONTH(($G$2+23))&lt;&gt;MONTH($C$2)),"",IF(COUNTIFS(m_teacher,BD$4,m_date,($G$2+23),m_active,1,m_start,"&lt;"&amp;600,m_end,"&gt;"&amp;0)=0,"",IF(COUNTIFS(m_teacher,BD$4,m_date,($G$2+23),m_active,1,m_start,"&lt;"&amp;600,m_end,"&gt;"&amp;0)&gt;1,"충돌",HYPERLINK("#'관리자_MASTER'!D"&amp;_xlfn.MAXIFS(m_row,m_teacher,BD$4,m_date,($G$2+23),m_active,1,m_start,"&lt;"&amp;600,m_end,"&gt;"&amp;0),INDEX(m_label,_xlfn.MAXIFS(m_row,m_teacher,BD$4,m_date,($G$2+23),m_active,1,m_start,"&lt;"&amp;600,m_end,"&gt;"&amp;0))))))</f>
        <v/>
      </c>
      <c r="BE27" s="78" t="str">
        <f aca="false">IF(MONTH(($G$2+30))&lt;&gt;MONTH($C$2),"",CHOOSE(WEEKDAY(($G$2+30),2),"월","화","수","목","금","토","일")&amp;CHAR(10)&amp;TEXT(($G$2+30),"m/d"))</f>
        <v>수
12/30</v>
      </c>
      <c r="BF27" s="79" t="s">
        <v>91</v>
      </c>
      <c r="BG27" s="80" t="str">
        <f aca="false">IF(OR(BG$4="",MONTH(($G$2+30))&lt;&gt;MONTH($C$2)),"",IF(COUNTIFS(m_teacher,BG$4,m_date,($G$2+30),m_active,1,m_start,"&lt;"&amp;600,m_end,"&gt;"&amp;0)=0,"",IF(COUNTIFS(m_teacher,BG$4,m_date,($G$2+30),m_active,1,m_start,"&lt;"&amp;600,m_end,"&gt;"&amp;0)&gt;1,"충돌",HYPERLINK("#'관리자_MASTER'!D"&amp;_xlfn.MAXIFS(m_row,m_teacher,BG$4,m_date,($G$2+30),m_active,1,m_start,"&lt;"&amp;600,m_end,"&gt;"&amp;0),INDEX(m_label,_xlfn.MAXIFS(m_row,m_teacher,BG$4,m_date,($G$2+30),m_active,1,m_start,"&lt;"&amp;600,m_end,"&gt;"&amp;0))))))</f>
        <v/>
      </c>
      <c r="BH27" s="80" t="str">
        <f aca="false">IF(OR(BH$4="",MONTH(($G$2+30))&lt;&gt;MONTH($C$2)),"",IF(COUNTIFS(m_teacher,BH$4,m_date,($G$2+30),m_active,1,m_start,"&lt;"&amp;600,m_end,"&gt;"&amp;0)=0,"",IF(COUNTIFS(m_teacher,BH$4,m_date,($G$2+30),m_active,1,m_start,"&lt;"&amp;600,m_end,"&gt;"&amp;0)&gt;1,"충돌",HYPERLINK("#'관리자_MASTER'!D"&amp;_xlfn.MAXIFS(m_row,m_teacher,BH$4,m_date,($G$2+30),m_active,1,m_start,"&lt;"&amp;600,m_end,"&gt;"&amp;0),INDEX(m_label,_xlfn.MAXIFS(m_row,m_teacher,BH$4,m_date,($G$2+30),m_active,1,m_start,"&lt;"&amp;600,m_end,"&gt;"&amp;0))))))</f>
        <v/>
      </c>
      <c r="BI27" s="80" t="str">
        <f aca="false">IF(OR(BI$4="",MONTH(($G$2+30))&lt;&gt;MONTH($C$2)),"",IF(COUNTIFS(m_teacher,BI$4,m_date,($G$2+30),m_active,1,m_start,"&lt;"&amp;600,m_end,"&gt;"&amp;0)=0,"",IF(COUNTIFS(m_teacher,BI$4,m_date,($G$2+30),m_active,1,m_start,"&lt;"&amp;600,m_end,"&gt;"&amp;0)&gt;1,"충돌",HYPERLINK("#'관리자_MASTER'!D"&amp;_xlfn.MAXIFS(m_row,m_teacher,BI$4,m_date,($G$2+30),m_active,1,m_start,"&lt;"&amp;600,m_end,"&gt;"&amp;0),INDEX(m_label,_xlfn.MAXIFS(m_row,m_teacher,BI$4,m_date,($G$2+30),m_active,1,m_start,"&lt;"&amp;600,m_end,"&gt;"&amp;0))))))</f>
        <v/>
      </c>
      <c r="BJ27" s="80" t="str">
        <f aca="false">IF(OR(BJ$4="",MONTH(($G$2+30))&lt;&gt;MONTH($C$2)),"",IF(COUNTIFS(m_teacher,BJ$4,m_date,($G$2+30),m_active,1,m_start,"&lt;"&amp;600,m_end,"&gt;"&amp;0)=0,"",IF(COUNTIFS(m_teacher,BJ$4,m_date,($G$2+30),m_active,1,m_start,"&lt;"&amp;600,m_end,"&gt;"&amp;0)&gt;1,"충돌",HYPERLINK("#'관리자_MASTER'!D"&amp;_xlfn.MAXIFS(m_row,m_teacher,BJ$4,m_date,($G$2+30),m_active,1,m_start,"&lt;"&amp;600,m_end,"&gt;"&amp;0),INDEX(m_label,_xlfn.MAXIFS(m_row,m_teacher,BJ$4,m_date,($G$2+30),m_active,1,m_start,"&lt;"&amp;600,m_end,"&gt;"&amp;0))))))</f>
        <v/>
      </c>
      <c r="BK27" s="80" t="str">
        <f aca="false">IF(OR(BK$4="",MONTH(($G$2+30))&lt;&gt;MONTH($C$2)),"",IF(COUNTIFS(m_teacher,BK$4,m_date,($G$2+30),m_active,1,m_start,"&lt;"&amp;600,m_end,"&gt;"&amp;0)=0,"",IF(COUNTIFS(m_teacher,BK$4,m_date,($G$2+30),m_active,1,m_start,"&lt;"&amp;600,m_end,"&gt;"&amp;0)&gt;1,"충돌",HYPERLINK("#'관리자_MASTER'!D"&amp;_xlfn.MAXIFS(m_row,m_teacher,BK$4,m_date,($G$2+30),m_active,1,m_start,"&lt;"&amp;600,m_end,"&gt;"&amp;0),INDEX(m_label,_xlfn.MAXIFS(m_row,m_teacher,BK$4,m_date,($G$2+30),m_active,1,m_start,"&lt;"&amp;600,m_end,"&gt;"&amp;0))))))</f>
        <v/>
      </c>
      <c r="BL27" s="80" t="str">
        <f aca="false">IF(OR(BL$4="",MONTH(($G$2+30))&lt;&gt;MONTH($C$2)),"",IF(COUNTIFS(m_teacher,BL$4,m_date,($G$2+30),m_active,1,m_start,"&lt;"&amp;600,m_end,"&gt;"&amp;0)=0,"",IF(COUNTIFS(m_teacher,BL$4,m_date,($G$2+30),m_active,1,m_start,"&lt;"&amp;600,m_end,"&gt;"&amp;0)&gt;1,"충돌",HYPERLINK("#'관리자_MASTER'!D"&amp;_xlfn.MAXIFS(m_row,m_teacher,BL$4,m_date,($G$2+30),m_active,1,m_start,"&lt;"&amp;600,m_end,"&gt;"&amp;0),INDEX(m_label,_xlfn.MAXIFS(m_row,m_teacher,BL$4,m_date,($G$2+30),m_active,1,m_start,"&lt;"&amp;600,m_end,"&gt;"&amp;0))))))</f>
        <v/>
      </c>
      <c r="BM27" s="80" t="str">
        <f aca="false">IF(OR(BM$4="",MONTH(($G$2+30))&lt;&gt;MONTH($C$2)),"",IF(COUNTIFS(m_teacher,BM$4,m_date,($G$2+30),m_active,1,m_start,"&lt;"&amp;600,m_end,"&gt;"&amp;0)=0,"",IF(COUNTIFS(m_teacher,BM$4,m_date,($G$2+30),m_active,1,m_start,"&lt;"&amp;600,m_end,"&gt;"&amp;0)&gt;1,"충돌",HYPERLINK("#'관리자_MASTER'!D"&amp;_xlfn.MAXIFS(m_row,m_teacher,BM$4,m_date,($G$2+30),m_active,1,m_start,"&lt;"&amp;600,m_end,"&gt;"&amp;0),INDEX(m_label,_xlfn.MAXIFS(m_row,m_teacher,BM$4,m_date,($G$2+30),m_active,1,m_start,"&lt;"&amp;600,m_end,"&gt;"&amp;0))))))</f>
        <v/>
      </c>
      <c r="BN27" s="80" t="str">
        <f aca="false">IF(OR(BN$4="",MONTH(($G$2+30))&lt;&gt;MONTH($C$2)),"",IF(COUNTIFS(m_teacher,BN$4,m_date,($G$2+30),m_active,1,m_start,"&lt;"&amp;600,m_end,"&gt;"&amp;0)=0,"",IF(COUNTIFS(m_teacher,BN$4,m_date,($G$2+30),m_active,1,m_start,"&lt;"&amp;600,m_end,"&gt;"&amp;0)&gt;1,"충돌",HYPERLINK("#'관리자_MASTER'!D"&amp;_xlfn.MAXIFS(m_row,m_teacher,BN$4,m_date,($G$2+30),m_active,1,m_start,"&lt;"&amp;600,m_end,"&gt;"&amp;0),INDEX(m_label,_xlfn.MAXIFS(m_row,m_teacher,BN$4,m_date,($G$2+30),m_active,1,m_start,"&lt;"&amp;600,m_end,"&gt;"&amp;0))))))</f>
        <v/>
      </c>
      <c r="BO27" s="80" t="str">
        <f aca="false">IF(OR(BO$4="",MONTH(($G$2+30))&lt;&gt;MONTH($C$2)),"",IF(COUNTIFS(m_teacher,BO$4,m_date,($G$2+30),m_active,1,m_start,"&lt;"&amp;600,m_end,"&gt;"&amp;0)=0,"",IF(COUNTIFS(m_teacher,BO$4,m_date,($G$2+30),m_active,1,m_start,"&lt;"&amp;600,m_end,"&gt;"&amp;0)&gt;1,"충돌",HYPERLINK("#'관리자_MASTER'!D"&amp;_xlfn.MAXIFS(m_row,m_teacher,BO$4,m_date,($G$2+30),m_active,1,m_start,"&lt;"&amp;600,m_end,"&gt;"&amp;0),INDEX(m_label,_xlfn.MAXIFS(m_row,m_teacher,BO$4,m_date,($G$2+30),m_active,1,m_start,"&lt;"&amp;600,m_end,"&gt;"&amp;0))))))</f>
        <v/>
      </c>
      <c r="BP27" s="80" t="str">
        <f aca="false">IF(OR(BP$4="",MONTH(($G$2+30))&lt;&gt;MONTH($C$2)),"",IF(COUNTIFS(m_teacher,BP$4,m_date,($G$2+30),m_active,1,m_start,"&lt;"&amp;600,m_end,"&gt;"&amp;0)=0,"",IF(COUNTIFS(m_teacher,BP$4,m_date,($G$2+30),m_active,1,m_start,"&lt;"&amp;600,m_end,"&gt;"&amp;0)&gt;1,"충돌",HYPERLINK("#'관리자_MASTER'!D"&amp;_xlfn.MAXIFS(m_row,m_teacher,BP$4,m_date,($G$2+30),m_active,1,m_start,"&lt;"&amp;600,m_end,"&gt;"&amp;0),INDEX(m_label,_xlfn.MAXIFS(m_row,m_teacher,BP$4,m_date,($G$2+30),m_active,1,m_start,"&lt;"&amp;600,m_end,"&gt;"&amp;0))))))</f>
        <v/>
      </c>
      <c r="BQ27" s="80" t="str">
        <f aca="false">IF(OR(BQ$4="",MONTH(($G$2+30))&lt;&gt;MONTH($C$2)),"",IF(COUNTIFS(m_teacher,BQ$4,m_date,($G$2+30),m_active,1,m_start,"&lt;"&amp;600,m_end,"&gt;"&amp;0)=0,"",IF(COUNTIFS(m_teacher,BQ$4,m_date,($G$2+30),m_active,1,m_start,"&lt;"&amp;600,m_end,"&gt;"&amp;0)&gt;1,"충돌",HYPERLINK("#'관리자_MASTER'!D"&amp;_xlfn.MAXIFS(m_row,m_teacher,BQ$4,m_date,($G$2+30),m_active,1,m_start,"&lt;"&amp;600,m_end,"&gt;"&amp;0),INDEX(m_label,_xlfn.MAXIFS(m_row,m_teacher,BQ$4,m_date,($G$2+30),m_active,1,m_start,"&lt;"&amp;600,m_end,"&gt;"&amp;0))))))</f>
        <v/>
      </c>
      <c r="BR27" s="80" t="str">
        <f aca="false">IF(OR(BR$4="",MONTH(($G$2+30))&lt;&gt;MONTH($C$2)),"",IF(COUNTIFS(m_teacher,BR$4,m_date,($G$2+30),m_active,1,m_start,"&lt;"&amp;600,m_end,"&gt;"&amp;0)=0,"",IF(COUNTIFS(m_teacher,BR$4,m_date,($G$2+30),m_active,1,m_start,"&lt;"&amp;600,m_end,"&gt;"&amp;0)&gt;1,"충돌",HYPERLINK("#'관리자_MASTER'!D"&amp;_xlfn.MAXIFS(m_row,m_teacher,BR$4,m_date,($G$2+30),m_active,1,m_start,"&lt;"&amp;600,m_end,"&gt;"&amp;0),INDEX(m_label,_xlfn.MAXIFS(m_row,m_teacher,BR$4,m_date,($G$2+30),m_active,1,m_start,"&lt;"&amp;600,m_end,"&gt;"&amp;0))))))</f>
        <v/>
      </c>
    </row>
    <row r="28" customFormat="false" ht="19.5" hidden="false" customHeight="true" outlineLevel="0" collapsed="false">
      <c r="A28" s="78"/>
      <c r="B28" s="79" t="s">
        <v>92</v>
      </c>
      <c r="C28" s="82" t="str">
        <f aca="false">IF(OR(C$4="",MONTH(($G$2+2))&lt;&gt;MONTH($C$2)),"",IF(COUNTIFS(m_teacher,C$4,m_date,($G$2+2),m_active,1,m_start,"&lt;"&amp;660,m_end,"&gt;"&amp;600)=0,"",IF(COUNTIFS(m_teacher,C$4,m_date,($G$2+2),m_active,1,m_start,"&lt;"&amp;660,m_end,"&gt;"&amp;600)&gt;1,"충돌",HYPERLINK("#'관리자_MASTER'!D"&amp;_xlfn.MAXIFS(m_row,m_teacher,C$4,m_date,($G$2+2),m_active,1,m_start,"&lt;"&amp;660,m_end,"&gt;"&amp;600),INDEX(m_label,_xlfn.MAXIFS(m_row,m_teacher,C$4,m_date,($G$2+2),m_active,1,m_start,"&lt;"&amp;660,m_end,"&gt;"&amp;600))))))</f>
        <v/>
      </c>
      <c r="D28" s="82" t="str">
        <f aca="false">IF(OR(D$4="",MONTH(($G$2+2))&lt;&gt;MONTH($C$2)),"",IF(COUNTIFS(m_teacher,D$4,m_date,($G$2+2),m_active,1,m_start,"&lt;"&amp;660,m_end,"&gt;"&amp;600)=0,"",IF(COUNTIFS(m_teacher,D$4,m_date,($G$2+2),m_active,1,m_start,"&lt;"&amp;660,m_end,"&gt;"&amp;600)&gt;1,"충돌",HYPERLINK("#'관리자_MASTER'!D"&amp;_xlfn.MAXIFS(m_row,m_teacher,D$4,m_date,($G$2+2),m_active,1,m_start,"&lt;"&amp;660,m_end,"&gt;"&amp;600),INDEX(m_label,_xlfn.MAXIFS(m_row,m_teacher,D$4,m_date,($G$2+2),m_active,1,m_start,"&lt;"&amp;660,m_end,"&gt;"&amp;600))))))</f>
        <v/>
      </c>
      <c r="E28" s="82" t="str">
        <f aca="false">IF(OR(E$4="",MONTH(($G$2+2))&lt;&gt;MONTH($C$2)),"",IF(COUNTIFS(m_teacher,E$4,m_date,($G$2+2),m_active,1,m_start,"&lt;"&amp;660,m_end,"&gt;"&amp;600)=0,"",IF(COUNTIFS(m_teacher,E$4,m_date,($G$2+2),m_active,1,m_start,"&lt;"&amp;660,m_end,"&gt;"&amp;600)&gt;1,"충돌",HYPERLINK("#'관리자_MASTER'!D"&amp;_xlfn.MAXIFS(m_row,m_teacher,E$4,m_date,($G$2+2),m_active,1,m_start,"&lt;"&amp;660,m_end,"&gt;"&amp;600),INDEX(m_label,_xlfn.MAXIFS(m_row,m_teacher,E$4,m_date,($G$2+2),m_active,1,m_start,"&lt;"&amp;660,m_end,"&gt;"&amp;600))))))</f>
        <v/>
      </c>
      <c r="F28" s="82" t="str">
        <f aca="false">IF(OR(F$4="",MONTH(($G$2+2))&lt;&gt;MONTH($C$2)),"",IF(COUNTIFS(m_teacher,F$4,m_date,($G$2+2),m_active,1,m_start,"&lt;"&amp;660,m_end,"&gt;"&amp;600)=0,"",IF(COUNTIFS(m_teacher,F$4,m_date,($G$2+2),m_active,1,m_start,"&lt;"&amp;660,m_end,"&gt;"&amp;600)&gt;1,"충돌",HYPERLINK("#'관리자_MASTER'!D"&amp;_xlfn.MAXIFS(m_row,m_teacher,F$4,m_date,($G$2+2),m_active,1,m_start,"&lt;"&amp;660,m_end,"&gt;"&amp;600),INDEX(m_label,_xlfn.MAXIFS(m_row,m_teacher,F$4,m_date,($G$2+2),m_active,1,m_start,"&lt;"&amp;660,m_end,"&gt;"&amp;600))))))</f>
        <v/>
      </c>
      <c r="G28" s="82" t="str">
        <f aca="false">IF(OR(G$4="",MONTH(($G$2+2))&lt;&gt;MONTH($C$2)),"",IF(COUNTIFS(m_teacher,G$4,m_date,($G$2+2),m_active,1,m_start,"&lt;"&amp;660,m_end,"&gt;"&amp;600)=0,"",IF(COUNTIFS(m_teacher,G$4,m_date,($G$2+2),m_active,1,m_start,"&lt;"&amp;660,m_end,"&gt;"&amp;600)&gt;1,"충돌",HYPERLINK("#'관리자_MASTER'!D"&amp;_xlfn.MAXIFS(m_row,m_teacher,G$4,m_date,($G$2+2),m_active,1,m_start,"&lt;"&amp;660,m_end,"&gt;"&amp;600),INDEX(m_label,_xlfn.MAXIFS(m_row,m_teacher,G$4,m_date,($G$2+2),m_active,1,m_start,"&lt;"&amp;660,m_end,"&gt;"&amp;600))))))</f>
        <v/>
      </c>
      <c r="H28" s="82" t="str">
        <f aca="false">IF(OR(H$4="",MONTH(($G$2+2))&lt;&gt;MONTH($C$2)),"",IF(COUNTIFS(m_teacher,H$4,m_date,($G$2+2),m_active,1,m_start,"&lt;"&amp;660,m_end,"&gt;"&amp;600)=0,"",IF(COUNTIFS(m_teacher,H$4,m_date,($G$2+2),m_active,1,m_start,"&lt;"&amp;660,m_end,"&gt;"&amp;600)&gt;1,"충돌",HYPERLINK("#'관리자_MASTER'!D"&amp;_xlfn.MAXIFS(m_row,m_teacher,H$4,m_date,($G$2+2),m_active,1,m_start,"&lt;"&amp;660,m_end,"&gt;"&amp;600),INDEX(m_label,_xlfn.MAXIFS(m_row,m_teacher,H$4,m_date,($G$2+2),m_active,1,m_start,"&lt;"&amp;660,m_end,"&gt;"&amp;600))))))</f>
        <v/>
      </c>
      <c r="I28" s="82" t="str">
        <f aca="false">IF(OR(I$4="",MONTH(($G$2+2))&lt;&gt;MONTH($C$2)),"",IF(COUNTIFS(m_teacher,I$4,m_date,($G$2+2),m_active,1,m_start,"&lt;"&amp;660,m_end,"&gt;"&amp;600)=0,"",IF(COUNTIFS(m_teacher,I$4,m_date,($G$2+2),m_active,1,m_start,"&lt;"&amp;660,m_end,"&gt;"&amp;600)&gt;1,"충돌",HYPERLINK("#'관리자_MASTER'!D"&amp;_xlfn.MAXIFS(m_row,m_teacher,I$4,m_date,($G$2+2),m_active,1,m_start,"&lt;"&amp;660,m_end,"&gt;"&amp;600),INDEX(m_label,_xlfn.MAXIFS(m_row,m_teacher,I$4,m_date,($G$2+2),m_active,1,m_start,"&lt;"&amp;660,m_end,"&gt;"&amp;600))))))</f>
        <v/>
      </c>
      <c r="J28" s="82" t="str">
        <f aca="false">IF(OR(J$4="",MONTH(($G$2+2))&lt;&gt;MONTH($C$2)),"",IF(COUNTIFS(m_teacher,J$4,m_date,($G$2+2),m_active,1,m_start,"&lt;"&amp;660,m_end,"&gt;"&amp;600)=0,"",IF(COUNTIFS(m_teacher,J$4,m_date,($G$2+2),m_active,1,m_start,"&lt;"&amp;660,m_end,"&gt;"&amp;600)&gt;1,"충돌",HYPERLINK("#'관리자_MASTER'!D"&amp;_xlfn.MAXIFS(m_row,m_teacher,J$4,m_date,($G$2+2),m_active,1,m_start,"&lt;"&amp;660,m_end,"&gt;"&amp;600),INDEX(m_label,_xlfn.MAXIFS(m_row,m_teacher,J$4,m_date,($G$2+2),m_active,1,m_start,"&lt;"&amp;660,m_end,"&gt;"&amp;600))))))</f>
        <v/>
      </c>
      <c r="K28" s="82" t="str">
        <f aca="false">IF(OR(K$4="",MONTH(($G$2+2))&lt;&gt;MONTH($C$2)),"",IF(COUNTIFS(m_teacher,K$4,m_date,($G$2+2),m_active,1,m_start,"&lt;"&amp;660,m_end,"&gt;"&amp;600)=0,"",IF(COUNTIFS(m_teacher,K$4,m_date,($G$2+2),m_active,1,m_start,"&lt;"&amp;660,m_end,"&gt;"&amp;600)&gt;1,"충돌",HYPERLINK("#'관리자_MASTER'!D"&amp;_xlfn.MAXIFS(m_row,m_teacher,K$4,m_date,($G$2+2),m_active,1,m_start,"&lt;"&amp;660,m_end,"&gt;"&amp;600),INDEX(m_label,_xlfn.MAXIFS(m_row,m_teacher,K$4,m_date,($G$2+2),m_active,1,m_start,"&lt;"&amp;660,m_end,"&gt;"&amp;600))))))</f>
        <v/>
      </c>
      <c r="L28" s="82" t="str">
        <f aca="false">IF(OR(L$4="",MONTH(($G$2+2))&lt;&gt;MONTH($C$2)),"",IF(COUNTIFS(m_teacher,L$4,m_date,($G$2+2),m_active,1,m_start,"&lt;"&amp;660,m_end,"&gt;"&amp;600)=0,"",IF(COUNTIFS(m_teacher,L$4,m_date,($G$2+2),m_active,1,m_start,"&lt;"&amp;660,m_end,"&gt;"&amp;600)&gt;1,"충돌",HYPERLINK("#'관리자_MASTER'!D"&amp;_xlfn.MAXIFS(m_row,m_teacher,L$4,m_date,($G$2+2),m_active,1,m_start,"&lt;"&amp;660,m_end,"&gt;"&amp;600),INDEX(m_label,_xlfn.MAXIFS(m_row,m_teacher,L$4,m_date,($G$2+2),m_active,1,m_start,"&lt;"&amp;660,m_end,"&gt;"&amp;600))))))</f>
        <v/>
      </c>
      <c r="M28" s="82" t="str">
        <f aca="false">IF(OR(M$4="",MONTH(($G$2+2))&lt;&gt;MONTH($C$2)),"",IF(COUNTIFS(m_teacher,M$4,m_date,($G$2+2),m_active,1,m_start,"&lt;"&amp;660,m_end,"&gt;"&amp;600)=0,"",IF(COUNTIFS(m_teacher,M$4,m_date,($G$2+2),m_active,1,m_start,"&lt;"&amp;660,m_end,"&gt;"&amp;600)&gt;1,"충돌",HYPERLINK("#'관리자_MASTER'!D"&amp;_xlfn.MAXIFS(m_row,m_teacher,M$4,m_date,($G$2+2),m_active,1,m_start,"&lt;"&amp;660,m_end,"&gt;"&amp;600),INDEX(m_label,_xlfn.MAXIFS(m_row,m_teacher,M$4,m_date,($G$2+2),m_active,1,m_start,"&lt;"&amp;660,m_end,"&gt;"&amp;600))))))</f>
        <v/>
      </c>
      <c r="N28" s="82" t="str">
        <f aca="false">IF(OR(N$4="",MONTH(($G$2+2))&lt;&gt;MONTH($C$2)),"",IF(COUNTIFS(m_teacher,N$4,m_date,($G$2+2),m_active,1,m_start,"&lt;"&amp;660,m_end,"&gt;"&amp;600)=0,"",IF(COUNTIFS(m_teacher,N$4,m_date,($G$2+2),m_active,1,m_start,"&lt;"&amp;660,m_end,"&gt;"&amp;600)&gt;1,"충돌",HYPERLINK("#'관리자_MASTER'!D"&amp;_xlfn.MAXIFS(m_row,m_teacher,N$4,m_date,($G$2+2),m_active,1,m_start,"&lt;"&amp;660,m_end,"&gt;"&amp;600),INDEX(m_label,_xlfn.MAXIFS(m_row,m_teacher,N$4,m_date,($G$2+2),m_active,1,m_start,"&lt;"&amp;660,m_end,"&gt;"&amp;600))))))</f>
        <v/>
      </c>
      <c r="O28" s="78"/>
      <c r="P28" s="79" t="s">
        <v>92</v>
      </c>
      <c r="Q28" s="82" t="str">
        <f aca="false">IF(OR(Q$4="",MONTH(($G$2+9))&lt;&gt;MONTH($C$2)),"",IF(COUNTIFS(m_teacher,Q$4,m_date,($G$2+9),m_active,1,m_start,"&lt;"&amp;660,m_end,"&gt;"&amp;600)=0,"",IF(COUNTIFS(m_teacher,Q$4,m_date,($G$2+9),m_active,1,m_start,"&lt;"&amp;660,m_end,"&gt;"&amp;600)&gt;1,"충돌",HYPERLINK("#'관리자_MASTER'!D"&amp;_xlfn.MAXIFS(m_row,m_teacher,Q$4,m_date,($G$2+9),m_active,1,m_start,"&lt;"&amp;660,m_end,"&gt;"&amp;600),INDEX(m_label,_xlfn.MAXIFS(m_row,m_teacher,Q$4,m_date,($G$2+9),m_active,1,m_start,"&lt;"&amp;660,m_end,"&gt;"&amp;600))))))</f>
        <v/>
      </c>
      <c r="R28" s="82" t="str">
        <f aca="false">IF(OR(R$4="",MONTH(($G$2+9))&lt;&gt;MONTH($C$2)),"",IF(COUNTIFS(m_teacher,R$4,m_date,($G$2+9),m_active,1,m_start,"&lt;"&amp;660,m_end,"&gt;"&amp;600)=0,"",IF(COUNTIFS(m_teacher,R$4,m_date,($G$2+9),m_active,1,m_start,"&lt;"&amp;660,m_end,"&gt;"&amp;600)&gt;1,"충돌",HYPERLINK("#'관리자_MASTER'!D"&amp;_xlfn.MAXIFS(m_row,m_teacher,R$4,m_date,($G$2+9),m_active,1,m_start,"&lt;"&amp;660,m_end,"&gt;"&amp;600),INDEX(m_label,_xlfn.MAXIFS(m_row,m_teacher,R$4,m_date,($G$2+9),m_active,1,m_start,"&lt;"&amp;660,m_end,"&gt;"&amp;600))))))</f>
        <v/>
      </c>
      <c r="S28" s="82" t="str">
        <f aca="false">IF(OR(S$4="",MONTH(($G$2+9))&lt;&gt;MONTH($C$2)),"",IF(COUNTIFS(m_teacher,S$4,m_date,($G$2+9),m_active,1,m_start,"&lt;"&amp;660,m_end,"&gt;"&amp;600)=0,"",IF(COUNTIFS(m_teacher,S$4,m_date,($G$2+9),m_active,1,m_start,"&lt;"&amp;660,m_end,"&gt;"&amp;600)&gt;1,"충돌",HYPERLINK("#'관리자_MASTER'!D"&amp;_xlfn.MAXIFS(m_row,m_teacher,S$4,m_date,($G$2+9),m_active,1,m_start,"&lt;"&amp;660,m_end,"&gt;"&amp;600),INDEX(m_label,_xlfn.MAXIFS(m_row,m_teacher,S$4,m_date,($G$2+9),m_active,1,m_start,"&lt;"&amp;660,m_end,"&gt;"&amp;600))))))</f>
        <v/>
      </c>
      <c r="T28" s="82" t="str">
        <f aca="false">IF(OR(T$4="",MONTH(($G$2+9))&lt;&gt;MONTH($C$2)),"",IF(COUNTIFS(m_teacher,T$4,m_date,($G$2+9),m_active,1,m_start,"&lt;"&amp;660,m_end,"&gt;"&amp;600)=0,"",IF(COUNTIFS(m_teacher,T$4,m_date,($G$2+9),m_active,1,m_start,"&lt;"&amp;660,m_end,"&gt;"&amp;600)&gt;1,"충돌",HYPERLINK("#'관리자_MASTER'!D"&amp;_xlfn.MAXIFS(m_row,m_teacher,T$4,m_date,($G$2+9),m_active,1,m_start,"&lt;"&amp;660,m_end,"&gt;"&amp;600),INDEX(m_label,_xlfn.MAXIFS(m_row,m_teacher,T$4,m_date,($G$2+9),m_active,1,m_start,"&lt;"&amp;660,m_end,"&gt;"&amp;600))))))</f>
        <v/>
      </c>
      <c r="U28" s="82" t="str">
        <f aca="false">IF(OR(U$4="",MONTH(($G$2+9))&lt;&gt;MONTH($C$2)),"",IF(COUNTIFS(m_teacher,U$4,m_date,($G$2+9),m_active,1,m_start,"&lt;"&amp;660,m_end,"&gt;"&amp;600)=0,"",IF(COUNTIFS(m_teacher,U$4,m_date,($G$2+9),m_active,1,m_start,"&lt;"&amp;660,m_end,"&gt;"&amp;600)&gt;1,"충돌",HYPERLINK("#'관리자_MASTER'!D"&amp;_xlfn.MAXIFS(m_row,m_teacher,U$4,m_date,($G$2+9),m_active,1,m_start,"&lt;"&amp;660,m_end,"&gt;"&amp;600),INDEX(m_label,_xlfn.MAXIFS(m_row,m_teacher,U$4,m_date,($G$2+9),m_active,1,m_start,"&lt;"&amp;660,m_end,"&gt;"&amp;600))))))</f>
        <v/>
      </c>
      <c r="V28" s="82" t="str">
        <f aca="false">IF(OR(V$4="",MONTH(($G$2+9))&lt;&gt;MONTH($C$2)),"",IF(COUNTIFS(m_teacher,V$4,m_date,($G$2+9),m_active,1,m_start,"&lt;"&amp;660,m_end,"&gt;"&amp;600)=0,"",IF(COUNTIFS(m_teacher,V$4,m_date,($G$2+9),m_active,1,m_start,"&lt;"&amp;660,m_end,"&gt;"&amp;600)&gt;1,"충돌",HYPERLINK("#'관리자_MASTER'!D"&amp;_xlfn.MAXIFS(m_row,m_teacher,V$4,m_date,($G$2+9),m_active,1,m_start,"&lt;"&amp;660,m_end,"&gt;"&amp;600),INDEX(m_label,_xlfn.MAXIFS(m_row,m_teacher,V$4,m_date,($G$2+9),m_active,1,m_start,"&lt;"&amp;660,m_end,"&gt;"&amp;600))))))</f>
        <v/>
      </c>
      <c r="W28" s="82" t="str">
        <f aca="false">IF(OR(W$4="",MONTH(($G$2+9))&lt;&gt;MONTH($C$2)),"",IF(COUNTIFS(m_teacher,W$4,m_date,($G$2+9),m_active,1,m_start,"&lt;"&amp;660,m_end,"&gt;"&amp;600)=0,"",IF(COUNTIFS(m_teacher,W$4,m_date,($G$2+9),m_active,1,m_start,"&lt;"&amp;660,m_end,"&gt;"&amp;600)&gt;1,"충돌",HYPERLINK("#'관리자_MASTER'!D"&amp;_xlfn.MAXIFS(m_row,m_teacher,W$4,m_date,($G$2+9),m_active,1,m_start,"&lt;"&amp;660,m_end,"&gt;"&amp;600),INDEX(m_label,_xlfn.MAXIFS(m_row,m_teacher,W$4,m_date,($G$2+9),m_active,1,m_start,"&lt;"&amp;660,m_end,"&gt;"&amp;600))))))</f>
        <v/>
      </c>
      <c r="X28" s="82" t="str">
        <f aca="false">IF(OR(X$4="",MONTH(($G$2+9))&lt;&gt;MONTH($C$2)),"",IF(COUNTIFS(m_teacher,X$4,m_date,($G$2+9),m_active,1,m_start,"&lt;"&amp;660,m_end,"&gt;"&amp;600)=0,"",IF(COUNTIFS(m_teacher,X$4,m_date,($G$2+9),m_active,1,m_start,"&lt;"&amp;660,m_end,"&gt;"&amp;600)&gt;1,"충돌",HYPERLINK("#'관리자_MASTER'!D"&amp;_xlfn.MAXIFS(m_row,m_teacher,X$4,m_date,($G$2+9),m_active,1,m_start,"&lt;"&amp;660,m_end,"&gt;"&amp;600),INDEX(m_label,_xlfn.MAXIFS(m_row,m_teacher,X$4,m_date,($G$2+9),m_active,1,m_start,"&lt;"&amp;660,m_end,"&gt;"&amp;600))))))</f>
        <v/>
      </c>
      <c r="Y28" s="82" t="str">
        <f aca="false">IF(OR(Y$4="",MONTH(($G$2+9))&lt;&gt;MONTH($C$2)),"",IF(COUNTIFS(m_teacher,Y$4,m_date,($G$2+9),m_active,1,m_start,"&lt;"&amp;660,m_end,"&gt;"&amp;600)=0,"",IF(COUNTIFS(m_teacher,Y$4,m_date,($G$2+9),m_active,1,m_start,"&lt;"&amp;660,m_end,"&gt;"&amp;600)&gt;1,"충돌",HYPERLINK("#'관리자_MASTER'!D"&amp;_xlfn.MAXIFS(m_row,m_teacher,Y$4,m_date,($G$2+9),m_active,1,m_start,"&lt;"&amp;660,m_end,"&gt;"&amp;600),INDEX(m_label,_xlfn.MAXIFS(m_row,m_teacher,Y$4,m_date,($G$2+9),m_active,1,m_start,"&lt;"&amp;660,m_end,"&gt;"&amp;600))))))</f>
        <v/>
      </c>
      <c r="Z28" s="82" t="str">
        <f aca="false">IF(OR(Z$4="",MONTH(($G$2+9))&lt;&gt;MONTH($C$2)),"",IF(COUNTIFS(m_teacher,Z$4,m_date,($G$2+9),m_active,1,m_start,"&lt;"&amp;660,m_end,"&gt;"&amp;600)=0,"",IF(COUNTIFS(m_teacher,Z$4,m_date,($G$2+9),m_active,1,m_start,"&lt;"&amp;660,m_end,"&gt;"&amp;600)&gt;1,"충돌",HYPERLINK("#'관리자_MASTER'!D"&amp;_xlfn.MAXIFS(m_row,m_teacher,Z$4,m_date,($G$2+9),m_active,1,m_start,"&lt;"&amp;660,m_end,"&gt;"&amp;600),INDEX(m_label,_xlfn.MAXIFS(m_row,m_teacher,Z$4,m_date,($G$2+9),m_active,1,m_start,"&lt;"&amp;660,m_end,"&gt;"&amp;600))))))</f>
        <v/>
      </c>
      <c r="AA28" s="82" t="str">
        <f aca="false">IF(OR(AA$4="",MONTH(($G$2+9))&lt;&gt;MONTH($C$2)),"",IF(COUNTIFS(m_teacher,AA$4,m_date,($G$2+9),m_active,1,m_start,"&lt;"&amp;660,m_end,"&gt;"&amp;600)=0,"",IF(COUNTIFS(m_teacher,AA$4,m_date,($G$2+9),m_active,1,m_start,"&lt;"&amp;660,m_end,"&gt;"&amp;600)&gt;1,"충돌",HYPERLINK("#'관리자_MASTER'!D"&amp;_xlfn.MAXIFS(m_row,m_teacher,AA$4,m_date,($G$2+9),m_active,1,m_start,"&lt;"&amp;660,m_end,"&gt;"&amp;600),INDEX(m_label,_xlfn.MAXIFS(m_row,m_teacher,AA$4,m_date,($G$2+9),m_active,1,m_start,"&lt;"&amp;660,m_end,"&gt;"&amp;600))))))</f>
        <v/>
      </c>
      <c r="AB28" s="82" t="str">
        <f aca="false">IF(OR(AB$4="",MONTH(($G$2+9))&lt;&gt;MONTH($C$2)),"",IF(COUNTIFS(m_teacher,AB$4,m_date,($G$2+9),m_active,1,m_start,"&lt;"&amp;660,m_end,"&gt;"&amp;600)=0,"",IF(COUNTIFS(m_teacher,AB$4,m_date,($G$2+9),m_active,1,m_start,"&lt;"&amp;660,m_end,"&gt;"&amp;600)&gt;1,"충돌",HYPERLINK("#'관리자_MASTER'!D"&amp;_xlfn.MAXIFS(m_row,m_teacher,AB$4,m_date,($G$2+9),m_active,1,m_start,"&lt;"&amp;660,m_end,"&gt;"&amp;600),INDEX(m_label,_xlfn.MAXIFS(m_row,m_teacher,AB$4,m_date,($G$2+9),m_active,1,m_start,"&lt;"&amp;660,m_end,"&gt;"&amp;600))))))</f>
        <v/>
      </c>
      <c r="AC28" s="78"/>
      <c r="AD28" s="79" t="s">
        <v>92</v>
      </c>
      <c r="AE28" s="82" t="str">
        <f aca="false">IF(OR(AE$4="",MONTH(($G$2+16))&lt;&gt;MONTH($C$2)),"",IF(COUNTIFS(m_teacher,AE$4,m_date,($G$2+16),m_active,1,m_start,"&lt;"&amp;660,m_end,"&gt;"&amp;600)=0,"",IF(COUNTIFS(m_teacher,AE$4,m_date,($G$2+16),m_active,1,m_start,"&lt;"&amp;660,m_end,"&gt;"&amp;600)&gt;1,"충돌",HYPERLINK("#'관리자_MASTER'!D"&amp;_xlfn.MAXIFS(m_row,m_teacher,AE$4,m_date,($G$2+16),m_active,1,m_start,"&lt;"&amp;660,m_end,"&gt;"&amp;600),INDEX(m_label,_xlfn.MAXIFS(m_row,m_teacher,AE$4,m_date,($G$2+16),m_active,1,m_start,"&lt;"&amp;660,m_end,"&gt;"&amp;600))))))</f>
        <v/>
      </c>
      <c r="AF28" s="82" t="str">
        <f aca="false">IF(OR(AF$4="",MONTH(($G$2+16))&lt;&gt;MONTH($C$2)),"",IF(COUNTIFS(m_teacher,AF$4,m_date,($G$2+16),m_active,1,m_start,"&lt;"&amp;660,m_end,"&gt;"&amp;600)=0,"",IF(COUNTIFS(m_teacher,AF$4,m_date,($G$2+16),m_active,1,m_start,"&lt;"&amp;660,m_end,"&gt;"&amp;600)&gt;1,"충돌",HYPERLINK("#'관리자_MASTER'!D"&amp;_xlfn.MAXIFS(m_row,m_teacher,AF$4,m_date,($G$2+16),m_active,1,m_start,"&lt;"&amp;660,m_end,"&gt;"&amp;600),INDEX(m_label,_xlfn.MAXIFS(m_row,m_teacher,AF$4,m_date,($G$2+16),m_active,1,m_start,"&lt;"&amp;660,m_end,"&gt;"&amp;600))))))</f>
        <v/>
      </c>
      <c r="AG28" s="82" t="str">
        <f aca="false">IF(OR(AG$4="",MONTH(($G$2+16))&lt;&gt;MONTH($C$2)),"",IF(COUNTIFS(m_teacher,AG$4,m_date,($G$2+16),m_active,1,m_start,"&lt;"&amp;660,m_end,"&gt;"&amp;600)=0,"",IF(COUNTIFS(m_teacher,AG$4,m_date,($G$2+16),m_active,1,m_start,"&lt;"&amp;660,m_end,"&gt;"&amp;600)&gt;1,"충돌",HYPERLINK("#'관리자_MASTER'!D"&amp;_xlfn.MAXIFS(m_row,m_teacher,AG$4,m_date,($G$2+16),m_active,1,m_start,"&lt;"&amp;660,m_end,"&gt;"&amp;600),INDEX(m_label,_xlfn.MAXIFS(m_row,m_teacher,AG$4,m_date,($G$2+16),m_active,1,m_start,"&lt;"&amp;660,m_end,"&gt;"&amp;600))))))</f>
        <v/>
      </c>
      <c r="AH28" s="82" t="str">
        <f aca="false">IF(OR(AH$4="",MONTH(($G$2+16))&lt;&gt;MONTH($C$2)),"",IF(COUNTIFS(m_teacher,AH$4,m_date,($G$2+16),m_active,1,m_start,"&lt;"&amp;660,m_end,"&gt;"&amp;600)=0,"",IF(COUNTIFS(m_teacher,AH$4,m_date,($G$2+16),m_active,1,m_start,"&lt;"&amp;660,m_end,"&gt;"&amp;600)&gt;1,"충돌",HYPERLINK("#'관리자_MASTER'!D"&amp;_xlfn.MAXIFS(m_row,m_teacher,AH$4,m_date,($G$2+16),m_active,1,m_start,"&lt;"&amp;660,m_end,"&gt;"&amp;600),INDEX(m_label,_xlfn.MAXIFS(m_row,m_teacher,AH$4,m_date,($G$2+16),m_active,1,m_start,"&lt;"&amp;660,m_end,"&gt;"&amp;600))))))</f>
        <v/>
      </c>
      <c r="AI28" s="82" t="str">
        <f aca="false">IF(OR(AI$4="",MONTH(($G$2+16))&lt;&gt;MONTH($C$2)),"",IF(COUNTIFS(m_teacher,AI$4,m_date,($G$2+16),m_active,1,m_start,"&lt;"&amp;660,m_end,"&gt;"&amp;600)=0,"",IF(COUNTIFS(m_teacher,AI$4,m_date,($G$2+16),m_active,1,m_start,"&lt;"&amp;660,m_end,"&gt;"&amp;600)&gt;1,"충돌",HYPERLINK("#'관리자_MASTER'!D"&amp;_xlfn.MAXIFS(m_row,m_teacher,AI$4,m_date,($G$2+16),m_active,1,m_start,"&lt;"&amp;660,m_end,"&gt;"&amp;600),INDEX(m_label,_xlfn.MAXIFS(m_row,m_teacher,AI$4,m_date,($G$2+16),m_active,1,m_start,"&lt;"&amp;660,m_end,"&gt;"&amp;600))))))</f>
        <v/>
      </c>
      <c r="AJ28" s="82" t="str">
        <f aca="false">IF(OR(AJ$4="",MONTH(($G$2+16))&lt;&gt;MONTH($C$2)),"",IF(COUNTIFS(m_teacher,AJ$4,m_date,($G$2+16),m_active,1,m_start,"&lt;"&amp;660,m_end,"&gt;"&amp;600)=0,"",IF(COUNTIFS(m_teacher,AJ$4,m_date,($G$2+16),m_active,1,m_start,"&lt;"&amp;660,m_end,"&gt;"&amp;600)&gt;1,"충돌",HYPERLINK("#'관리자_MASTER'!D"&amp;_xlfn.MAXIFS(m_row,m_teacher,AJ$4,m_date,($G$2+16),m_active,1,m_start,"&lt;"&amp;660,m_end,"&gt;"&amp;600),INDEX(m_label,_xlfn.MAXIFS(m_row,m_teacher,AJ$4,m_date,($G$2+16),m_active,1,m_start,"&lt;"&amp;660,m_end,"&gt;"&amp;600))))))</f>
        <v/>
      </c>
      <c r="AK28" s="82" t="str">
        <f aca="false">IF(OR(AK$4="",MONTH(($G$2+16))&lt;&gt;MONTH($C$2)),"",IF(COUNTIFS(m_teacher,AK$4,m_date,($G$2+16),m_active,1,m_start,"&lt;"&amp;660,m_end,"&gt;"&amp;600)=0,"",IF(COUNTIFS(m_teacher,AK$4,m_date,($G$2+16),m_active,1,m_start,"&lt;"&amp;660,m_end,"&gt;"&amp;600)&gt;1,"충돌",HYPERLINK("#'관리자_MASTER'!D"&amp;_xlfn.MAXIFS(m_row,m_teacher,AK$4,m_date,($G$2+16),m_active,1,m_start,"&lt;"&amp;660,m_end,"&gt;"&amp;600),INDEX(m_label,_xlfn.MAXIFS(m_row,m_teacher,AK$4,m_date,($G$2+16),m_active,1,m_start,"&lt;"&amp;660,m_end,"&gt;"&amp;600))))))</f>
        <v/>
      </c>
      <c r="AL28" s="82" t="str">
        <f aca="false">IF(OR(AL$4="",MONTH(($G$2+16))&lt;&gt;MONTH($C$2)),"",IF(COUNTIFS(m_teacher,AL$4,m_date,($G$2+16),m_active,1,m_start,"&lt;"&amp;660,m_end,"&gt;"&amp;600)=0,"",IF(COUNTIFS(m_teacher,AL$4,m_date,($G$2+16),m_active,1,m_start,"&lt;"&amp;660,m_end,"&gt;"&amp;600)&gt;1,"충돌",HYPERLINK("#'관리자_MASTER'!D"&amp;_xlfn.MAXIFS(m_row,m_teacher,AL$4,m_date,($G$2+16),m_active,1,m_start,"&lt;"&amp;660,m_end,"&gt;"&amp;600),INDEX(m_label,_xlfn.MAXIFS(m_row,m_teacher,AL$4,m_date,($G$2+16),m_active,1,m_start,"&lt;"&amp;660,m_end,"&gt;"&amp;600))))))</f>
        <v/>
      </c>
      <c r="AM28" s="82" t="str">
        <f aca="false">IF(OR(AM$4="",MONTH(($G$2+16))&lt;&gt;MONTH($C$2)),"",IF(COUNTIFS(m_teacher,AM$4,m_date,($G$2+16),m_active,1,m_start,"&lt;"&amp;660,m_end,"&gt;"&amp;600)=0,"",IF(COUNTIFS(m_teacher,AM$4,m_date,($G$2+16),m_active,1,m_start,"&lt;"&amp;660,m_end,"&gt;"&amp;600)&gt;1,"충돌",HYPERLINK("#'관리자_MASTER'!D"&amp;_xlfn.MAXIFS(m_row,m_teacher,AM$4,m_date,($G$2+16),m_active,1,m_start,"&lt;"&amp;660,m_end,"&gt;"&amp;600),INDEX(m_label,_xlfn.MAXIFS(m_row,m_teacher,AM$4,m_date,($G$2+16),m_active,1,m_start,"&lt;"&amp;660,m_end,"&gt;"&amp;600))))))</f>
        <v/>
      </c>
      <c r="AN28" s="82" t="str">
        <f aca="false">IF(OR(AN$4="",MONTH(($G$2+16))&lt;&gt;MONTH($C$2)),"",IF(COUNTIFS(m_teacher,AN$4,m_date,($G$2+16),m_active,1,m_start,"&lt;"&amp;660,m_end,"&gt;"&amp;600)=0,"",IF(COUNTIFS(m_teacher,AN$4,m_date,($G$2+16),m_active,1,m_start,"&lt;"&amp;660,m_end,"&gt;"&amp;600)&gt;1,"충돌",HYPERLINK("#'관리자_MASTER'!D"&amp;_xlfn.MAXIFS(m_row,m_teacher,AN$4,m_date,($G$2+16),m_active,1,m_start,"&lt;"&amp;660,m_end,"&gt;"&amp;600),INDEX(m_label,_xlfn.MAXIFS(m_row,m_teacher,AN$4,m_date,($G$2+16),m_active,1,m_start,"&lt;"&amp;660,m_end,"&gt;"&amp;600))))))</f>
        <v/>
      </c>
      <c r="AO28" s="82" t="str">
        <f aca="false">IF(OR(AO$4="",MONTH(($G$2+16))&lt;&gt;MONTH($C$2)),"",IF(COUNTIFS(m_teacher,AO$4,m_date,($G$2+16),m_active,1,m_start,"&lt;"&amp;660,m_end,"&gt;"&amp;600)=0,"",IF(COUNTIFS(m_teacher,AO$4,m_date,($G$2+16),m_active,1,m_start,"&lt;"&amp;660,m_end,"&gt;"&amp;600)&gt;1,"충돌",HYPERLINK("#'관리자_MASTER'!D"&amp;_xlfn.MAXIFS(m_row,m_teacher,AO$4,m_date,($G$2+16),m_active,1,m_start,"&lt;"&amp;660,m_end,"&gt;"&amp;600),INDEX(m_label,_xlfn.MAXIFS(m_row,m_teacher,AO$4,m_date,($G$2+16),m_active,1,m_start,"&lt;"&amp;660,m_end,"&gt;"&amp;600))))))</f>
        <v/>
      </c>
      <c r="AP28" s="82" t="str">
        <f aca="false">IF(OR(AP$4="",MONTH(($G$2+16))&lt;&gt;MONTH($C$2)),"",IF(COUNTIFS(m_teacher,AP$4,m_date,($G$2+16),m_active,1,m_start,"&lt;"&amp;660,m_end,"&gt;"&amp;600)=0,"",IF(COUNTIFS(m_teacher,AP$4,m_date,($G$2+16),m_active,1,m_start,"&lt;"&amp;660,m_end,"&gt;"&amp;600)&gt;1,"충돌",HYPERLINK("#'관리자_MASTER'!D"&amp;_xlfn.MAXIFS(m_row,m_teacher,AP$4,m_date,($G$2+16),m_active,1,m_start,"&lt;"&amp;660,m_end,"&gt;"&amp;600),INDEX(m_label,_xlfn.MAXIFS(m_row,m_teacher,AP$4,m_date,($G$2+16),m_active,1,m_start,"&lt;"&amp;660,m_end,"&gt;"&amp;600))))))</f>
        <v/>
      </c>
      <c r="AQ28" s="78"/>
      <c r="AR28" s="79" t="s">
        <v>92</v>
      </c>
      <c r="AS28" s="82" t="str">
        <f aca="false">IF(OR(AS$4="",MONTH(($G$2+23))&lt;&gt;MONTH($C$2)),"",IF(COUNTIFS(m_teacher,AS$4,m_date,($G$2+23),m_active,1,m_start,"&lt;"&amp;660,m_end,"&gt;"&amp;600)=0,"",IF(COUNTIFS(m_teacher,AS$4,m_date,($G$2+23),m_active,1,m_start,"&lt;"&amp;660,m_end,"&gt;"&amp;600)&gt;1,"충돌",HYPERLINK("#'관리자_MASTER'!D"&amp;_xlfn.MAXIFS(m_row,m_teacher,AS$4,m_date,($G$2+23),m_active,1,m_start,"&lt;"&amp;660,m_end,"&gt;"&amp;600),INDEX(m_label,_xlfn.MAXIFS(m_row,m_teacher,AS$4,m_date,($G$2+23),m_active,1,m_start,"&lt;"&amp;660,m_end,"&gt;"&amp;600))))))</f>
        <v/>
      </c>
      <c r="AT28" s="82" t="str">
        <f aca="false">IF(OR(AT$4="",MONTH(($G$2+23))&lt;&gt;MONTH($C$2)),"",IF(COUNTIFS(m_teacher,AT$4,m_date,($G$2+23),m_active,1,m_start,"&lt;"&amp;660,m_end,"&gt;"&amp;600)=0,"",IF(COUNTIFS(m_teacher,AT$4,m_date,($G$2+23),m_active,1,m_start,"&lt;"&amp;660,m_end,"&gt;"&amp;600)&gt;1,"충돌",HYPERLINK("#'관리자_MASTER'!D"&amp;_xlfn.MAXIFS(m_row,m_teacher,AT$4,m_date,($G$2+23),m_active,1,m_start,"&lt;"&amp;660,m_end,"&gt;"&amp;600),INDEX(m_label,_xlfn.MAXIFS(m_row,m_teacher,AT$4,m_date,($G$2+23),m_active,1,m_start,"&lt;"&amp;660,m_end,"&gt;"&amp;600))))))</f>
        <v/>
      </c>
      <c r="AU28" s="82" t="str">
        <f aca="false">IF(OR(AU$4="",MONTH(($G$2+23))&lt;&gt;MONTH($C$2)),"",IF(COUNTIFS(m_teacher,AU$4,m_date,($G$2+23),m_active,1,m_start,"&lt;"&amp;660,m_end,"&gt;"&amp;600)=0,"",IF(COUNTIFS(m_teacher,AU$4,m_date,($G$2+23),m_active,1,m_start,"&lt;"&amp;660,m_end,"&gt;"&amp;600)&gt;1,"충돌",HYPERLINK("#'관리자_MASTER'!D"&amp;_xlfn.MAXIFS(m_row,m_teacher,AU$4,m_date,($G$2+23),m_active,1,m_start,"&lt;"&amp;660,m_end,"&gt;"&amp;600),INDEX(m_label,_xlfn.MAXIFS(m_row,m_teacher,AU$4,m_date,($G$2+23),m_active,1,m_start,"&lt;"&amp;660,m_end,"&gt;"&amp;600))))))</f>
        <v/>
      </c>
      <c r="AV28" s="82" t="str">
        <f aca="false">IF(OR(AV$4="",MONTH(($G$2+23))&lt;&gt;MONTH($C$2)),"",IF(COUNTIFS(m_teacher,AV$4,m_date,($G$2+23),m_active,1,m_start,"&lt;"&amp;660,m_end,"&gt;"&amp;600)=0,"",IF(COUNTIFS(m_teacher,AV$4,m_date,($G$2+23),m_active,1,m_start,"&lt;"&amp;660,m_end,"&gt;"&amp;600)&gt;1,"충돌",HYPERLINK("#'관리자_MASTER'!D"&amp;_xlfn.MAXIFS(m_row,m_teacher,AV$4,m_date,($G$2+23),m_active,1,m_start,"&lt;"&amp;660,m_end,"&gt;"&amp;600),INDEX(m_label,_xlfn.MAXIFS(m_row,m_teacher,AV$4,m_date,($G$2+23),m_active,1,m_start,"&lt;"&amp;660,m_end,"&gt;"&amp;600))))))</f>
        <v/>
      </c>
      <c r="AW28" s="82" t="str">
        <f aca="false">IF(OR(AW$4="",MONTH(($G$2+23))&lt;&gt;MONTH($C$2)),"",IF(COUNTIFS(m_teacher,AW$4,m_date,($G$2+23),m_active,1,m_start,"&lt;"&amp;660,m_end,"&gt;"&amp;600)=0,"",IF(COUNTIFS(m_teacher,AW$4,m_date,($G$2+23),m_active,1,m_start,"&lt;"&amp;660,m_end,"&gt;"&amp;600)&gt;1,"충돌",HYPERLINK("#'관리자_MASTER'!D"&amp;_xlfn.MAXIFS(m_row,m_teacher,AW$4,m_date,($G$2+23),m_active,1,m_start,"&lt;"&amp;660,m_end,"&gt;"&amp;600),INDEX(m_label,_xlfn.MAXIFS(m_row,m_teacher,AW$4,m_date,($G$2+23),m_active,1,m_start,"&lt;"&amp;660,m_end,"&gt;"&amp;600))))))</f>
        <v/>
      </c>
      <c r="AX28" s="82" t="str">
        <f aca="false">IF(OR(AX$4="",MONTH(($G$2+23))&lt;&gt;MONTH($C$2)),"",IF(COUNTIFS(m_teacher,AX$4,m_date,($G$2+23),m_active,1,m_start,"&lt;"&amp;660,m_end,"&gt;"&amp;600)=0,"",IF(COUNTIFS(m_teacher,AX$4,m_date,($G$2+23),m_active,1,m_start,"&lt;"&amp;660,m_end,"&gt;"&amp;600)&gt;1,"충돌",HYPERLINK("#'관리자_MASTER'!D"&amp;_xlfn.MAXIFS(m_row,m_teacher,AX$4,m_date,($G$2+23),m_active,1,m_start,"&lt;"&amp;660,m_end,"&gt;"&amp;600),INDEX(m_label,_xlfn.MAXIFS(m_row,m_teacher,AX$4,m_date,($G$2+23),m_active,1,m_start,"&lt;"&amp;660,m_end,"&gt;"&amp;600))))))</f>
        <v/>
      </c>
      <c r="AY28" s="82" t="str">
        <f aca="false">IF(OR(AY$4="",MONTH(($G$2+23))&lt;&gt;MONTH($C$2)),"",IF(COUNTIFS(m_teacher,AY$4,m_date,($G$2+23),m_active,1,m_start,"&lt;"&amp;660,m_end,"&gt;"&amp;600)=0,"",IF(COUNTIFS(m_teacher,AY$4,m_date,($G$2+23),m_active,1,m_start,"&lt;"&amp;660,m_end,"&gt;"&amp;600)&gt;1,"충돌",HYPERLINK("#'관리자_MASTER'!D"&amp;_xlfn.MAXIFS(m_row,m_teacher,AY$4,m_date,($G$2+23),m_active,1,m_start,"&lt;"&amp;660,m_end,"&gt;"&amp;600),INDEX(m_label,_xlfn.MAXIFS(m_row,m_teacher,AY$4,m_date,($G$2+23),m_active,1,m_start,"&lt;"&amp;660,m_end,"&gt;"&amp;600))))))</f>
        <v/>
      </c>
      <c r="AZ28" s="82" t="str">
        <f aca="false">IF(OR(AZ$4="",MONTH(($G$2+23))&lt;&gt;MONTH($C$2)),"",IF(COUNTIFS(m_teacher,AZ$4,m_date,($G$2+23),m_active,1,m_start,"&lt;"&amp;660,m_end,"&gt;"&amp;600)=0,"",IF(COUNTIFS(m_teacher,AZ$4,m_date,($G$2+23),m_active,1,m_start,"&lt;"&amp;660,m_end,"&gt;"&amp;600)&gt;1,"충돌",HYPERLINK("#'관리자_MASTER'!D"&amp;_xlfn.MAXIFS(m_row,m_teacher,AZ$4,m_date,($G$2+23),m_active,1,m_start,"&lt;"&amp;660,m_end,"&gt;"&amp;600),INDEX(m_label,_xlfn.MAXIFS(m_row,m_teacher,AZ$4,m_date,($G$2+23),m_active,1,m_start,"&lt;"&amp;660,m_end,"&gt;"&amp;600))))))</f>
        <v/>
      </c>
      <c r="BA28" s="82" t="str">
        <f aca="false">IF(OR(BA$4="",MONTH(($G$2+23))&lt;&gt;MONTH($C$2)),"",IF(COUNTIFS(m_teacher,BA$4,m_date,($G$2+23),m_active,1,m_start,"&lt;"&amp;660,m_end,"&gt;"&amp;600)=0,"",IF(COUNTIFS(m_teacher,BA$4,m_date,($G$2+23),m_active,1,m_start,"&lt;"&amp;660,m_end,"&gt;"&amp;600)&gt;1,"충돌",HYPERLINK("#'관리자_MASTER'!D"&amp;_xlfn.MAXIFS(m_row,m_teacher,BA$4,m_date,($G$2+23),m_active,1,m_start,"&lt;"&amp;660,m_end,"&gt;"&amp;600),INDEX(m_label,_xlfn.MAXIFS(m_row,m_teacher,BA$4,m_date,($G$2+23),m_active,1,m_start,"&lt;"&amp;660,m_end,"&gt;"&amp;600))))))</f>
        <v/>
      </c>
      <c r="BB28" s="82" t="str">
        <f aca="false">IF(OR(BB$4="",MONTH(($G$2+23))&lt;&gt;MONTH($C$2)),"",IF(COUNTIFS(m_teacher,BB$4,m_date,($G$2+23),m_active,1,m_start,"&lt;"&amp;660,m_end,"&gt;"&amp;600)=0,"",IF(COUNTIFS(m_teacher,BB$4,m_date,($G$2+23),m_active,1,m_start,"&lt;"&amp;660,m_end,"&gt;"&amp;600)&gt;1,"충돌",HYPERLINK("#'관리자_MASTER'!D"&amp;_xlfn.MAXIFS(m_row,m_teacher,BB$4,m_date,($G$2+23),m_active,1,m_start,"&lt;"&amp;660,m_end,"&gt;"&amp;600),INDEX(m_label,_xlfn.MAXIFS(m_row,m_teacher,BB$4,m_date,($G$2+23),m_active,1,m_start,"&lt;"&amp;660,m_end,"&gt;"&amp;600))))))</f>
        <v/>
      </c>
      <c r="BC28" s="82" t="str">
        <f aca="false">IF(OR(BC$4="",MONTH(($G$2+23))&lt;&gt;MONTH($C$2)),"",IF(COUNTIFS(m_teacher,BC$4,m_date,($G$2+23),m_active,1,m_start,"&lt;"&amp;660,m_end,"&gt;"&amp;600)=0,"",IF(COUNTIFS(m_teacher,BC$4,m_date,($G$2+23),m_active,1,m_start,"&lt;"&amp;660,m_end,"&gt;"&amp;600)&gt;1,"충돌",HYPERLINK("#'관리자_MASTER'!D"&amp;_xlfn.MAXIFS(m_row,m_teacher,BC$4,m_date,($G$2+23),m_active,1,m_start,"&lt;"&amp;660,m_end,"&gt;"&amp;600),INDEX(m_label,_xlfn.MAXIFS(m_row,m_teacher,BC$4,m_date,($G$2+23),m_active,1,m_start,"&lt;"&amp;660,m_end,"&gt;"&amp;600))))))</f>
        <v/>
      </c>
      <c r="BD28" s="82" t="str">
        <f aca="false">IF(OR(BD$4="",MONTH(($G$2+23))&lt;&gt;MONTH($C$2)),"",IF(COUNTIFS(m_teacher,BD$4,m_date,($G$2+23),m_active,1,m_start,"&lt;"&amp;660,m_end,"&gt;"&amp;600)=0,"",IF(COUNTIFS(m_teacher,BD$4,m_date,($G$2+23),m_active,1,m_start,"&lt;"&amp;660,m_end,"&gt;"&amp;600)&gt;1,"충돌",HYPERLINK("#'관리자_MASTER'!D"&amp;_xlfn.MAXIFS(m_row,m_teacher,BD$4,m_date,($G$2+23),m_active,1,m_start,"&lt;"&amp;660,m_end,"&gt;"&amp;600),INDEX(m_label,_xlfn.MAXIFS(m_row,m_teacher,BD$4,m_date,($G$2+23),m_active,1,m_start,"&lt;"&amp;660,m_end,"&gt;"&amp;600))))))</f>
        <v/>
      </c>
      <c r="BE28" s="78"/>
      <c r="BF28" s="79" t="s">
        <v>92</v>
      </c>
      <c r="BG28" s="82" t="str">
        <f aca="false">IF(OR(BG$4="",MONTH(($G$2+30))&lt;&gt;MONTH($C$2)),"",IF(COUNTIFS(m_teacher,BG$4,m_date,($G$2+30),m_active,1,m_start,"&lt;"&amp;660,m_end,"&gt;"&amp;600)=0,"",IF(COUNTIFS(m_teacher,BG$4,m_date,($G$2+30),m_active,1,m_start,"&lt;"&amp;660,m_end,"&gt;"&amp;600)&gt;1,"충돌",HYPERLINK("#'관리자_MASTER'!D"&amp;_xlfn.MAXIFS(m_row,m_teacher,BG$4,m_date,($G$2+30),m_active,1,m_start,"&lt;"&amp;660,m_end,"&gt;"&amp;600),INDEX(m_label,_xlfn.MAXIFS(m_row,m_teacher,BG$4,m_date,($G$2+30),m_active,1,m_start,"&lt;"&amp;660,m_end,"&gt;"&amp;600))))))</f>
        <v/>
      </c>
      <c r="BH28" s="82" t="str">
        <f aca="false">IF(OR(BH$4="",MONTH(($G$2+30))&lt;&gt;MONTH($C$2)),"",IF(COUNTIFS(m_teacher,BH$4,m_date,($G$2+30),m_active,1,m_start,"&lt;"&amp;660,m_end,"&gt;"&amp;600)=0,"",IF(COUNTIFS(m_teacher,BH$4,m_date,($G$2+30),m_active,1,m_start,"&lt;"&amp;660,m_end,"&gt;"&amp;600)&gt;1,"충돌",HYPERLINK("#'관리자_MASTER'!D"&amp;_xlfn.MAXIFS(m_row,m_teacher,BH$4,m_date,($G$2+30),m_active,1,m_start,"&lt;"&amp;660,m_end,"&gt;"&amp;600),INDEX(m_label,_xlfn.MAXIFS(m_row,m_teacher,BH$4,m_date,($G$2+30),m_active,1,m_start,"&lt;"&amp;660,m_end,"&gt;"&amp;600))))))</f>
        <v/>
      </c>
      <c r="BI28" s="82" t="str">
        <f aca="false">IF(OR(BI$4="",MONTH(($G$2+30))&lt;&gt;MONTH($C$2)),"",IF(COUNTIFS(m_teacher,BI$4,m_date,($G$2+30),m_active,1,m_start,"&lt;"&amp;660,m_end,"&gt;"&amp;600)=0,"",IF(COUNTIFS(m_teacher,BI$4,m_date,($G$2+30),m_active,1,m_start,"&lt;"&amp;660,m_end,"&gt;"&amp;600)&gt;1,"충돌",HYPERLINK("#'관리자_MASTER'!D"&amp;_xlfn.MAXIFS(m_row,m_teacher,BI$4,m_date,($G$2+30),m_active,1,m_start,"&lt;"&amp;660,m_end,"&gt;"&amp;600),INDEX(m_label,_xlfn.MAXIFS(m_row,m_teacher,BI$4,m_date,($G$2+30),m_active,1,m_start,"&lt;"&amp;660,m_end,"&gt;"&amp;600))))))</f>
        <v/>
      </c>
      <c r="BJ28" s="82" t="str">
        <f aca="false">IF(OR(BJ$4="",MONTH(($G$2+30))&lt;&gt;MONTH($C$2)),"",IF(COUNTIFS(m_teacher,BJ$4,m_date,($G$2+30),m_active,1,m_start,"&lt;"&amp;660,m_end,"&gt;"&amp;600)=0,"",IF(COUNTIFS(m_teacher,BJ$4,m_date,($G$2+30),m_active,1,m_start,"&lt;"&amp;660,m_end,"&gt;"&amp;600)&gt;1,"충돌",HYPERLINK("#'관리자_MASTER'!D"&amp;_xlfn.MAXIFS(m_row,m_teacher,BJ$4,m_date,($G$2+30),m_active,1,m_start,"&lt;"&amp;660,m_end,"&gt;"&amp;600),INDEX(m_label,_xlfn.MAXIFS(m_row,m_teacher,BJ$4,m_date,($G$2+30),m_active,1,m_start,"&lt;"&amp;660,m_end,"&gt;"&amp;600))))))</f>
        <v/>
      </c>
      <c r="BK28" s="82" t="str">
        <f aca="false">IF(OR(BK$4="",MONTH(($G$2+30))&lt;&gt;MONTH($C$2)),"",IF(COUNTIFS(m_teacher,BK$4,m_date,($G$2+30),m_active,1,m_start,"&lt;"&amp;660,m_end,"&gt;"&amp;600)=0,"",IF(COUNTIFS(m_teacher,BK$4,m_date,($G$2+30),m_active,1,m_start,"&lt;"&amp;660,m_end,"&gt;"&amp;600)&gt;1,"충돌",HYPERLINK("#'관리자_MASTER'!D"&amp;_xlfn.MAXIFS(m_row,m_teacher,BK$4,m_date,($G$2+30),m_active,1,m_start,"&lt;"&amp;660,m_end,"&gt;"&amp;600),INDEX(m_label,_xlfn.MAXIFS(m_row,m_teacher,BK$4,m_date,($G$2+30),m_active,1,m_start,"&lt;"&amp;660,m_end,"&gt;"&amp;600))))))</f>
        <v/>
      </c>
      <c r="BL28" s="82" t="str">
        <f aca="false">IF(OR(BL$4="",MONTH(($G$2+30))&lt;&gt;MONTH($C$2)),"",IF(COUNTIFS(m_teacher,BL$4,m_date,($G$2+30),m_active,1,m_start,"&lt;"&amp;660,m_end,"&gt;"&amp;600)=0,"",IF(COUNTIFS(m_teacher,BL$4,m_date,($G$2+30),m_active,1,m_start,"&lt;"&amp;660,m_end,"&gt;"&amp;600)&gt;1,"충돌",HYPERLINK("#'관리자_MASTER'!D"&amp;_xlfn.MAXIFS(m_row,m_teacher,BL$4,m_date,($G$2+30),m_active,1,m_start,"&lt;"&amp;660,m_end,"&gt;"&amp;600),INDEX(m_label,_xlfn.MAXIFS(m_row,m_teacher,BL$4,m_date,($G$2+30),m_active,1,m_start,"&lt;"&amp;660,m_end,"&gt;"&amp;600))))))</f>
        <v/>
      </c>
      <c r="BM28" s="82" t="str">
        <f aca="false">IF(OR(BM$4="",MONTH(($G$2+30))&lt;&gt;MONTH($C$2)),"",IF(COUNTIFS(m_teacher,BM$4,m_date,($G$2+30),m_active,1,m_start,"&lt;"&amp;660,m_end,"&gt;"&amp;600)=0,"",IF(COUNTIFS(m_teacher,BM$4,m_date,($G$2+30),m_active,1,m_start,"&lt;"&amp;660,m_end,"&gt;"&amp;600)&gt;1,"충돌",HYPERLINK("#'관리자_MASTER'!D"&amp;_xlfn.MAXIFS(m_row,m_teacher,BM$4,m_date,($G$2+30),m_active,1,m_start,"&lt;"&amp;660,m_end,"&gt;"&amp;600),INDEX(m_label,_xlfn.MAXIFS(m_row,m_teacher,BM$4,m_date,($G$2+30),m_active,1,m_start,"&lt;"&amp;660,m_end,"&gt;"&amp;600))))))</f>
        <v/>
      </c>
      <c r="BN28" s="82" t="str">
        <f aca="false">IF(OR(BN$4="",MONTH(($G$2+30))&lt;&gt;MONTH($C$2)),"",IF(COUNTIFS(m_teacher,BN$4,m_date,($G$2+30),m_active,1,m_start,"&lt;"&amp;660,m_end,"&gt;"&amp;600)=0,"",IF(COUNTIFS(m_teacher,BN$4,m_date,($G$2+30),m_active,1,m_start,"&lt;"&amp;660,m_end,"&gt;"&amp;600)&gt;1,"충돌",HYPERLINK("#'관리자_MASTER'!D"&amp;_xlfn.MAXIFS(m_row,m_teacher,BN$4,m_date,($G$2+30),m_active,1,m_start,"&lt;"&amp;660,m_end,"&gt;"&amp;600),INDEX(m_label,_xlfn.MAXIFS(m_row,m_teacher,BN$4,m_date,($G$2+30),m_active,1,m_start,"&lt;"&amp;660,m_end,"&gt;"&amp;600))))))</f>
        <v/>
      </c>
      <c r="BO28" s="82" t="str">
        <f aca="false">IF(OR(BO$4="",MONTH(($G$2+30))&lt;&gt;MONTH($C$2)),"",IF(COUNTIFS(m_teacher,BO$4,m_date,($G$2+30),m_active,1,m_start,"&lt;"&amp;660,m_end,"&gt;"&amp;600)=0,"",IF(COUNTIFS(m_teacher,BO$4,m_date,($G$2+30),m_active,1,m_start,"&lt;"&amp;660,m_end,"&gt;"&amp;600)&gt;1,"충돌",HYPERLINK("#'관리자_MASTER'!D"&amp;_xlfn.MAXIFS(m_row,m_teacher,BO$4,m_date,($G$2+30),m_active,1,m_start,"&lt;"&amp;660,m_end,"&gt;"&amp;600),INDEX(m_label,_xlfn.MAXIFS(m_row,m_teacher,BO$4,m_date,($G$2+30),m_active,1,m_start,"&lt;"&amp;660,m_end,"&gt;"&amp;600))))))</f>
        <v/>
      </c>
      <c r="BP28" s="82" t="str">
        <f aca="false">IF(OR(BP$4="",MONTH(($G$2+30))&lt;&gt;MONTH($C$2)),"",IF(COUNTIFS(m_teacher,BP$4,m_date,($G$2+30),m_active,1,m_start,"&lt;"&amp;660,m_end,"&gt;"&amp;600)=0,"",IF(COUNTIFS(m_teacher,BP$4,m_date,($G$2+30),m_active,1,m_start,"&lt;"&amp;660,m_end,"&gt;"&amp;600)&gt;1,"충돌",HYPERLINK("#'관리자_MASTER'!D"&amp;_xlfn.MAXIFS(m_row,m_teacher,BP$4,m_date,($G$2+30),m_active,1,m_start,"&lt;"&amp;660,m_end,"&gt;"&amp;600),INDEX(m_label,_xlfn.MAXIFS(m_row,m_teacher,BP$4,m_date,($G$2+30),m_active,1,m_start,"&lt;"&amp;660,m_end,"&gt;"&amp;600))))))</f>
        <v/>
      </c>
      <c r="BQ28" s="82" t="str">
        <f aca="false">IF(OR(BQ$4="",MONTH(($G$2+30))&lt;&gt;MONTH($C$2)),"",IF(COUNTIFS(m_teacher,BQ$4,m_date,($G$2+30),m_active,1,m_start,"&lt;"&amp;660,m_end,"&gt;"&amp;600)=0,"",IF(COUNTIFS(m_teacher,BQ$4,m_date,($G$2+30),m_active,1,m_start,"&lt;"&amp;660,m_end,"&gt;"&amp;600)&gt;1,"충돌",HYPERLINK("#'관리자_MASTER'!D"&amp;_xlfn.MAXIFS(m_row,m_teacher,BQ$4,m_date,($G$2+30),m_active,1,m_start,"&lt;"&amp;660,m_end,"&gt;"&amp;600),INDEX(m_label,_xlfn.MAXIFS(m_row,m_teacher,BQ$4,m_date,($G$2+30),m_active,1,m_start,"&lt;"&amp;660,m_end,"&gt;"&amp;600))))))</f>
        <v/>
      </c>
      <c r="BR28" s="82" t="str">
        <f aca="false">IF(OR(BR$4="",MONTH(($G$2+30))&lt;&gt;MONTH($C$2)),"",IF(COUNTIFS(m_teacher,BR$4,m_date,($G$2+30),m_active,1,m_start,"&lt;"&amp;660,m_end,"&gt;"&amp;600)=0,"",IF(COUNTIFS(m_teacher,BR$4,m_date,($G$2+30),m_active,1,m_start,"&lt;"&amp;660,m_end,"&gt;"&amp;600)&gt;1,"충돌",HYPERLINK("#'관리자_MASTER'!D"&amp;_xlfn.MAXIFS(m_row,m_teacher,BR$4,m_date,($G$2+30),m_active,1,m_start,"&lt;"&amp;660,m_end,"&gt;"&amp;600),INDEX(m_label,_xlfn.MAXIFS(m_row,m_teacher,BR$4,m_date,($G$2+30),m_active,1,m_start,"&lt;"&amp;660,m_end,"&gt;"&amp;600))))))</f>
        <v/>
      </c>
    </row>
    <row r="29" customFormat="false" ht="19.5" hidden="false" customHeight="true" outlineLevel="0" collapsed="false">
      <c r="A29" s="78"/>
      <c r="B29" s="79" t="s">
        <v>93</v>
      </c>
      <c r="C29" s="82" t="str">
        <f aca="false">IF(OR(C$4="",MONTH(($G$2+2))&lt;&gt;MONTH($C$2)),"",IF(COUNTIFS(m_teacher,C$4,m_date,($G$2+2),m_active,1,m_start,"&lt;"&amp;720,m_end,"&gt;"&amp;660)=0,"",IF(COUNTIFS(m_teacher,C$4,m_date,($G$2+2),m_active,1,m_start,"&lt;"&amp;720,m_end,"&gt;"&amp;660)&gt;1,"충돌",HYPERLINK("#'관리자_MASTER'!D"&amp;_xlfn.MAXIFS(m_row,m_teacher,C$4,m_date,($G$2+2),m_active,1,m_start,"&lt;"&amp;720,m_end,"&gt;"&amp;660),INDEX(m_label,_xlfn.MAXIFS(m_row,m_teacher,C$4,m_date,($G$2+2),m_active,1,m_start,"&lt;"&amp;720,m_end,"&gt;"&amp;660))))))</f>
        <v/>
      </c>
      <c r="D29" s="82" t="str">
        <f aca="false">IF(OR(D$4="",MONTH(($G$2+2))&lt;&gt;MONTH($C$2)),"",IF(COUNTIFS(m_teacher,D$4,m_date,($G$2+2),m_active,1,m_start,"&lt;"&amp;720,m_end,"&gt;"&amp;660)=0,"",IF(COUNTIFS(m_teacher,D$4,m_date,($G$2+2),m_active,1,m_start,"&lt;"&amp;720,m_end,"&gt;"&amp;660)&gt;1,"충돌",HYPERLINK("#'관리자_MASTER'!D"&amp;_xlfn.MAXIFS(m_row,m_teacher,D$4,m_date,($G$2+2),m_active,1,m_start,"&lt;"&amp;720,m_end,"&gt;"&amp;660),INDEX(m_label,_xlfn.MAXIFS(m_row,m_teacher,D$4,m_date,($G$2+2),m_active,1,m_start,"&lt;"&amp;720,m_end,"&gt;"&amp;660))))))</f>
        <v/>
      </c>
      <c r="E29" s="82" t="str">
        <f aca="false">IF(OR(E$4="",MONTH(($G$2+2))&lt;&gt;MONTH($C$2)),"",IF(COUNTIFS(m_teacher,E$4,m_date,($G$2+2),m_active,1,m_start,"&lt;"&amp;720,m_end,"&gt;"&amp;660)=0,"",IF(COUNTIFS(m_teacher,E$4,m_date,($G$2+2),m_active,1,m_start,"&lt;"&amp;720,m_end,"&gt;"&amp;660)&gt;1,"충돌",HYPERLINK("#'관리자_MASTER'!D"&amp;_xlfn.MAXIFS(m_row,m_teacher,E$4,m_date,($G$2+2),m_active,1,m_start,"&lt;"&amp;720,m_end,"&gt;"&amp;660),INDEX(m_label,_xlfn.MAXIFS(m_row,m_teacher,E$4,m_date,($G$2+2),m_active,1,m_start,"&lt;"&amp;720,m_end,"&gt;"&amp;660))))))</f>
        <v/>
      </c>
      <c r="F29" s="82" t="str">
        <f aca="false">IF(OR(F$4="",MONTH(($G$2+2))&lt;&gt;MONTH($C$2)),"",IF(COUNTIFS(m_teacher,F$4,m_date,($G$2+2),m_active,1,m_start,"&lt;"&amp;720,m_end,"&gt;"&amp;660)=0,"",IF(COUNTIFS(m_teacher,F$4,m_date,($G$2+2),m_active,1,m_start,"&lt;"&amp;720,m_end,"&gt;"&amp;660)&gt;1,"충돌",HYPERLINK("#'관리자_MASTER'!D"&amp;_xlfn.MAXIFS(m_row,m_teacher,F$4,m_date,($G$2+2),m_active,1,m_start,"&lt;"&amp;720,m_end,"&gt;"&amp;660),INDEX(m_label,_xlfn.MAXIFS(m_row,m_teacher,F$4,m_date,($G$2+2),m_active,1,m_start,"&lt;"&amp;720,m_end,"&gt;"&amp;660))))))</f>
        <v/>
      </c>
      <c r="G29" s="82" t="str">
        <f aca="false">IF(OR(G$4="",MONTH(($G$2+2))&lt;&gt;MONTH($C$2)),"",IF(COUNTIFS(m_teacher,G$4,m_date,($G$2+2),m_active,1,m_start,"&lt;"&amp;720,m_end,"&gt;"&amp;660)=0,"",IF(COUNTIFS(m_teacher,G$4,m_date,($G$2+2),m_active,1,m_start,"&lt;"&amp;720,m_end,"&gt;"&amp;660)&gt;1,"충돌",HYPERLINK("#'관리자_MASTER'!D"&amp;_xlfn.MAXIFS(m_row,m_teacher,G$4,m_date,($G$2+2),m_active,1,m_start,"&lt;"&amp;720,m_end,"&gt;"&amp;660),INDEX(m_label,_xlfn.MAXIFS(m_row,m_teacher,G$4,m_date,($G$2+2),m_active,1,m_start,"&lt;"&amp;720,m_end,"&gt;"&amp;660))))))</f>
        <v/>
      </c>
      <c r="H29" s="82" t="str">
        <f aca="false">IF(OR(H$4="",MONTH(($G$2+2))&lt;&gt;MONTH($C$2)),"",IF(COUNTIFS(m_teacher,H$4,m_date,($G$2+2),m_active,1,m_start,"&lt;"&amp;720,m_end,"&gt;"&amp;660)=0,"",IF(COUNTIFS(m_teacher,H$4,m_date,($G$2+2),m_active,1,m_start,"&lt;"&amp;720,m_end,"&gt;"&amp;660)&gt;1,"충돌",HYPERLINK("#'관리자_MASTER'!D"&amp;_xlfn.MAXIFS(m_row,m_teacher,H$4,m_date,($G$2+2),m_active,1,m_start,"&lt;"&amp;720,m_end,"&gt;"&amp;660),INDEX(m_label,_xlfn.MAXIFS(m_row,m_teacher,H$4,m_date,($G$2+2),m_active,1,m_start,"&lt;"&amp;720,m_end,"&gt;"&amp;660))))))</f>
        <v/>
      </c>
      <c r="I29" s="82" t="str">
        <f aca="false">IF(OR(I$4="",MONTH(($G$2+2))&lt;&gt;MONTH($C$2)),"",IF(COUNTIFS(m_teacher,I$4,m_date,($G$2+2),m_active,1,m_start,"&lt;"&amp;720,m_end,"&gt;"&amp;660)=0,"",IF(COUNTIFS(m_teacher,I$4,m_date,($G$2+2),m_active,1,m_start,"&lt;"&amp;720,m_end,"&gt;"&amp;660)&gt;1,"충돌",HYPERLINK("#'관리자_MASTER'!D"&amp;_xlfn.MAXIFS(m_row,m_teacher,I$4,m_date,($G$2+2),m_active,1,m_start,"&lt;"&amp;720,m_end,"&gt;"&amp;660),INDEX(m_label,_xlfn.MAXIFS(m_row,m_teacher,I$4,m_date,($G$2+2),m_active,1,m_start,"&lt;"&amp;720,m_end,"&gt;"&amp;660))))))</f>
        <v/>
      </c>
      <c r="J29" s="82" t="str">
        <f aca="false">IF(OR(J$4="",MONTH(($G$2+2))&lt;&gt;MONTH($C$2)),"",IF(COUNTIFS(m_teacher,J$4,m_date,($G$2+2),m_active,1,m_start,"&lt;"&amp;720,m_end,"&gt;"&amp;660)=0,"",IF(COUNTIFS(m_teacher,J$4,m_date,($G$2+2),m_active,1,m_start,"&lt;"&amp;720,m_end,"&gt;"&amp;660)&gt;1,"충돌",HYPERLINK("#'관리자_MASTER'!D"&amp;_xlfn.MAXIFS(m_row,m_teacher,J$4,m_date,($G$2+2),m_active,1,m_start,"&lt;"&amp;720,m_end,"&gt;"&amp;660),INDEX(m_label,_xlfn.MAXIFS(m_row,m_teacher,J$4,m_date,($G$2+2),m_active,1,m_start,"&lt;"&amp;720,m_end,"&gt;"&amp;660))))))</f>
        <v/>
      </c>
      <c r="K29" s="82" t="str">
        <f aca="false">IF(OR(K$4="",MONTH(($G$2+2))&lt;&gt;MONTH($C$2)),"",IF(COUNTIFS(m_teacher,K$4,m_date,($G$2+2),m_active,1,m_start,"&lt;"&amp;720,m_end,"&gt;"&amp;660)=0,"",IF(COUNTIFS(m_teacher,K$4,m_date,($G$2+2),m_active,1,m_start,"&lt;"&amp;720,m_end,"&gt;"&amp;660)&gt;1,"충돌",HYPERLINK("#'관리자_MASTER'!D"&amp;_xlfn.MAXIFS(m_row,m_teacher,K$4,m_date,($G$2+2),m_active,1,m_start,"&lt;"&amp;720,m_end,"&gt;"&amp;660),INDEX(m_label,_xlfn.MAXIFS(m_row,m_teacher,K$4,m_date,($G$2+2),m_active,1,m_start,"&lt;"&amp;720,m_end,"&gt;"&amp;660))))))</f>
        <v/>
      </c>
      <c r="L29" s="82" t="str">
        <f aca="false">IF(OR(L$4="",MONTH(($G$2+2))&lt;&gt;MONTH($C$2)),"",IF(COUNTIFS(m_teacher,L$4,m_date,($G$2+2),m_active,1,m_start,"&lt;"&amp;720,m_end,"&gt;"&amp;660)=0,"",IF(COUNTIFS(m_teacher,L$4,m_date,($G$2+2),m_active,1,m_start,"&lt;"&amp;720,m_end,"&gt;"&amp;660)&gt;1,"충돌",HYPERLINK("#'관리자_MASTER'!D"&amp;_xlfn.MAXIFS(m_row,m_teacher,L$4,m_date,($G$2+2),m_active,1,m_start,"&lt;"&amp;720,m_end,"&gt;"&amp;660),INDEX(m_label,_xlfn.MAXIFS(m_row,m_teacher,L$4,m_date,($G$2+2),m_active,1,m_start,"&lt;"&amp;720,m_end,"&gt;"&amp;660))))))</f>
        <v/>
      </c>
      <c r="M29" s="82" t="str">
        <f aca="false">IF(OR(M$4="",MONTH(($G$2+2))&lt;&gt;MONTH($C$2)),"",IF(COUNTIFS(m_teacher,M$4,m_date,($G$2+2),m_active,1,m_start,"&lt;"&amp;720,m_end,"&gt;"&amp;660)=0,"",IF(COUNTIFS(m_teacher,M$4,m_date,($G$2+2),m_active,1,m_start,"&lt;"&amp;720,m_end,"&gt;"&amp;660)&gt;1,"충돌",HYPERLINK("#'관리자_MASTER'!D"&amp;_xlfn.MAXIFS(m_row,m_teacher,M$4,m_date,($G$2+2),m_active,1,m_start,"&lt;"&amp;720,m_end,"&gt;"&amp;660),INDEX(m_label,_xlfn.MAXIFS(m_row,m_teacher,M$4,m_date,($G$2+2),m_active,1,m_start,"&lt;"&amp;720,m_end,"&gt;"&amp;660))))))</f>
        <v/>
      </c>
      <c r="N29" s="82" t="str">
        <f aca="false">IF(OR(N$4="",MONTH(($G$2+2))&lt;&gt;MONTH($C$2)),"",IF(COUNTIFS(m_teacher,N$4,m_date,($G$2+2),m_active,1,m_start,"&lt;"&amp;720,m_end,"&gt;"&amp;660)=0,"",IF(COUNTIFS(m_teacher,N$4,m_date,($G$2+2),m_active,1,m_start,"&lt;"&amp;720,m_end,"&gt;"&amp;660)&gt;1,"충돌",HYPERLINK("#'관리자_MASTER'!D"&amp;_xlfn.MAXIFS(m_row,m_teacher,N$4,m_date,($G$2+2),m_active,1,m_start,"&lt;"&amp;720,m_end,"&gt;"&amp;660),INDEX(m_label,_xlfn.MAXIFS(m_row,m_teacher,N$4,m_date,($G$2+2),m_active,1,m_start,"&lt;"&amp;720,m_end,"&gt;"&amp;660))))))</f>
        <v/>
      </c>
      <c r="O29" s="78"/>
      <c r="P29" s="79" t="s">
        <v>93</v>
      </c>
      <c r="Q29" s="82" t="str">
        <f aca="false">IF(OR(Q$4="",MONTH(($G$2+9))&lt;&gt;MONTH($C$2)),"",IF(COUNTIFS(m_teacher,Q$4,m_date,($G$2+9),m_active,1,m_start,"&lt;"&amp;720,m_end,"&gt;"&amp;660)=0,"",IF(COUNTIFS(m_teacher,Q$4,m_date,($G$2+9),m_active,1,m_start,"&lt;"&amp;720,m_end,"&gt;"&amp;660)&gt;1,"충돌",HYPERLINK("#'관리자_MASTER'!D"&amp;_xlfn.MAXIFS(m_row,m_teacher,Q$4,m_date,($G$2+9),m_active,1,m_start,"&lt;"&amp;720,m_end,"&gt;"&amp;660),INDEX(m_label,_xlfn.MAXIFS(m_row,m_teacher,Q$4,m_date,($G$2+9),m_active,1,m_start,"&lt;"&amp;720,m_end,"&gt;"&amp;660))))))</f>
        <v/>
      </c>
      <c r="R29" s="82" t="str">
        <f aca="false">IF(OR(R$4="",MONTH(($G$2+9))&lt;&gt;MONTH($C$2)),"",IF(COUNTIFS(m_teacher,R$4,m_date,($G$2+9),m_active,1,m_start,"&lt;"&amp;720,m_end,"&gt;"&amp;660)=0,"",IF(COUNTIFS(m_teacher,R$4,m_date,($G$2+9),m_active,1,m_start,"&lt;"&amp;720,m_end,"&gt;"&amp;660)&gt;1,"충돌",HYPERLINK("#'관리자_MASTER'!D"&amp;_xlfn.MAXIFS(m_row,m_teacher,R$4,m_date,($G$2+9),m_active,1,m_start,"&lt;"&amp;720,m_end,"&gt;"&amp;660),INDEX(m_label,_xlfn.MAXIFS(m_row,m_teacher,R$4,m_date,($G$2+9),m_active,1,m_start,"&lt;"&amp;720,m_end,"&gt;"&amp;660))))))</f>
        <v/>
      </c>
      <c r="S29" s="82" t="str">
        <f aca="false">IF(OR(S$4="",MONTH(($G$2+9))&lt;&gt;MONTH($C$2)),"",IF(COUNTIFS(m_teacher,S$4,m_date,($G$2+9),m_active,1,m_start,"&lt;"&amp;720,m_end,"&gt;"&amp;660)=0,"",IF(COUNTIFS(m_teacher,S$4,m_date,($G$2+9),m_active,1,m_start,"&lt;"&amp;720,m_end,"&gt;"&amp;660)&gt;1,"충돌",HYPERLINK("#'관리자_MASTER'!D"&amp;_xlfn.MAXIFS(m_row,m_teacher,S$4,m_date,($G$2+9),m_active,1,m_start,"&lt;"&amp;720,m_end,"&gt;"&amp;660),INDEX(m_label,_xlfn.MAXIFS(m_row,m_teacher,S$4,m_date,($G$2+9),m_active,1,m_start,"&lt;"&amp;720,m_end,"&gt;"&amp;660))))))</f>
        <v/>
      </c>
      <c r="T29" s="82" t="str">
        <f aca="false">IF(OR(T$4="",MONTH(($G$2+9))&lt;&gt;MONTH($C$2)),"",IF(COUNTIFS(m_teacher,T$4,m_date,($G$2+9),m_active,1,m_start,"&lt;"&amp;720,m_end,"&gt;"&amp;660)=0,"",IF(COUNTIFS(m_teacher,T$4,m_date,($G$2+9),m_active,1,m_start,"&lt;"&amp;720,m_end,"&gt;"&amp;660)&gt;1,"충돌",HYPERLINK("#'관리자_MASTER'!D"&amp;_xlfn.MAXIFS(m_row,m_teacher,T$4,m_date,($G$2+9),m_active,1,m_start,"&lt;"&amp;720,m_end,"&gt;"&amp;660),INDEX(m_label,_xlfn.MAXIFS(m_row,m_teacher,T$4,m_date,($G$2+9),m_active,1,m_start,"&lt;"&amp;720,m_end,"&gt;"&amp;660))))))</f>
        <v/>
      </c>
      <c r="U29" s="82" t="str">
        <f aca="false">IF(OR(U$4="",MONTH(($G$2+9))&lt;&gt;MONTH($C$2)),"",IF(COUNTIFS(m_teacher,U$4,m_date,($G$2+9),m_active,1,m_start,"&lt;"&amp;720,m_end,"&gt;"&amp;660)=0,"",IF(COUNTIFS(m_teacher,U$4,m_date,($G$2+9),m_active,1,m_start,"&lt;"&amp;720,m_end,"&gt;"&amp;660)&gt;1,"충돌",HYPERLINK("#'관리자_MASTER'!D"&amp;_xlfn.MAXIFS(m_row,m_teacher,U$4,m_date,($G$2+9),m_active,1,m_start,"&lt;"&amp;720,m_end,"&gt;"&amp;660),INDEX(m_label,_xlfn.MAXIFS(m_row,m_teacher,U$4,m_date,($G$2+9),m_active,1,m_start,"&lt;"&amp;720,m_end,"&gt;"&amp;660))))))</f>
        <v/>
      </c>
      <c r="V29" s="82" t="str">
        <f aca="false">IF(OR(V$4="",MONTH(($G$2+9))&lt;&gt;MONTH($C$2)),"",IF(COUNTIFS(m_teacher,V$4,m_date,($G$2+9),m_active,1,m_start,"&lt;"&amp;720,m_end,"&gt;"&amp;660)=0,"",IF(COUNTIFS(m_teacher,V$4,m_date,($G$2+9),m_active,1,m_start,"&lt;"&amp;720,m_end,"&gt;"&amp;660)&gt;1,"충돌",HYPERLINK("#'관리자_MASTER'!D"&amp;_xlfn.MAXIFS(m_row,m_teacher,V$4,m_date,($G$2+9),m_active,1,m_start,"&lt;"&amp;720,m_end,"&gt;"&amp;660),INDEX(m_label,_xlfn.MAXIFS(m_row,m_teacher,V$4,m_date,($G$2+9),m_active,1,m_start,"&lt;"&amp;720,m_end,"&gt;"&amp;660))))))</f>
        <v/>
      </c>
      <c r="W29" s="82" t="str">
        <f aca="false">IF(OR(W$4="",MONTH(($G$2+9))&lt;&gt;MONTH($C$2)),"",IF(COUNTIFS(m_teacher,W$4,m_date,($G$2+9),m_active,1,m_start,"&lt;"&amp;720,m_end,"&gt;"&amp;660)=0,"",IF(COUNTIFS(m_teacher,W$4,m_date,($G$2+9),m_active,1,m_start,"&lt;"&amp;720,m_end,"&gt;"&amp;660)&gt;1,"충돌",HYPERLINK("#'관리자_MASTER'!D"&amp;_xlfn.MAXIFS(m_row,m_teacher,W$4,m_date,($G$2+9),m_active,1,m_start,"&lt;"&amp;720,m_end,"&gt;"&amp;660),INDEX(m_label,_xlfn.MAXIFS(m_row,m_teacher,W$4,m_date,($G$2+9),m_active,1,m_start,"&lt;"&amp;720,m_end,"&gt;"&amp;660))))))</f>
        <v/>
      </c>
      <c r="X29" s="82" t="str">
        <f aca="false">IF(OR(X$4="",MONTH(($G$2+9))&lt;&gt;MONTH($C$2)),"",IF(COUNTIFS(m_teacher,X$4,m_date,($G$2+9),m_active,1,m_start,"&lt;"&amp;720,m_end,"&gt;"&amp;660)=0,"",IF(COUNTIFS(m_teacher,X$4,m_date,($G$2+9),m_active,1,m_start,"&lt;"&amp;720,m_end,"&gt;"&amp;660)&gt;1,"충돌",HYPERLINK("#'관리자_MASTER'!D"&amp;_xlfn.MAXIFS(m_row,m_teacher,X$4,m_date,($G$2+9),m_active,1,m_start,"&lt;"&amp;720,m_end,"&gt;"&amp;660),INDEX(m_label,_xlfn.MAXIFS(m_row,m_teacher,X$4,m_date,($G$2+9),m_active,1,m_start,"&lt;"&amp;720,m_end,"&gt;"&amp;660))))))</f>
        <v/>
      </c>
      <c r="Y29" s="82" t="str">
        <f aca="false">IF(OR(Y$4="",MONTH(($G$2+9))&lt;&gt;MONTH($C$2)),"",IF(COUNTIFS(m_teacher,Y$4,m_date,($G$2+9),m_active,1,m_start,"&lt;"&amp;720,m_end,"&gt;"&amp;660)=0,"",IF(COUNTIFS(m_teacher,Y$4,m_date,($G$2+9),m_active,1,m_start,"&lt;"&amp;720,m_end,"&gt;"&amp;660)&gt;1,"충돌",HYPERLINK("#'관리자_MASTER'!D"&amp;_xlfn.MAXIFS(m_row,m_teacher,Y$4,m_date,($G$2+9),m_active,1,m_start,"&lt;"&amp;720,m_end,"&gt;"&amp;660),INDEX(m_label,_xlfn.MAXIFS(m_row,m_teacher,Y$4,m_date,($G$2+9),m_active,1,m_start,"&lt;"&amp;720,m_end,"&gt;"&amp;660))))))</f>
        <v/>
      </c>
      <c r="Z29" s="82" t="str">
        <f aca="false">IF(OR(Z$4="",MONTH(($G$2+9))&lt;&gt;MONTH($C$2)),"",IF(COUNTIFS(m_teacher,Z$4,m_date,($G$2+9),m_active,1,m_start,"&lt;"&amp;720,m_end,"&gt;"&amp;660)=0,"",IF(COUNTIFS(m_teacher,Z$4,m_date,($G$2+9),m_active,1,m_start,"&lt;"&amp;720,m_end,"&gt;"&amp;660)&gt;1,"충돌",HYPERLINK("#'관리자_MASTER'!D"&amp;_xlfn.MAXIFS(m_row,m_teacher,Z$4,m_date,($G$2+9),m_active,1,m_start,"&lt;"&amp;720,m_end,"&gt;"&amp;660),INDEX(m_label,_xlfn.MAXIFS(m_row,m_teacher,Z$4,m_date,($G$2+9),m_active,1,m_start,"&lt;"&amp;720,m_end,"&gt;"&amp;660))))))</f>
        <v/>
      </c>
      <c r="AA29" s="82" t="str">
        <f aca="false">IF(OR(AA$4="",MONTH(($G$2+9))&lt;&gt;MONTH($C$2)),"",IF(COUNTIFS(m_teacher,AA$4,m_date,($G$2+9),m_active,1,m_start,"&lt;"&amp;720,m_end,"&gt;"&amp;660)=0,"",IF(COUNTIFS(m_teacher,AA$4,m_date,($G$2+9),m_active,1,m_start,"&lt;"&amp;720,m_end,"&gt;"&amp;660)&gt;1,"충돌",HYPERLINK("#'관리자_MASTER'!D"&amp;_xlfn.MAXIFS(m_row,m_teacher,AA$4,m_date,($G$2+9),m_active,1,m_start,"&lt;"&amp;720,m_end,"&gt;"&amp;660),INDEX(m_label,_xlfn.MAXIFS(m_row,m_teacher,AA$4,m_date,($G$2+9),m_active,1,m_start,"&lt;"&amp;720,m_end,"&gt;"&amp;660))))))</f>
        <v/>
      </c>
      <c r="AB29" s="82" t="str">
        <f aca="false">IF(OR(AB$4="",MONTH(($G$2+9))&lt;&gt;MONTH($C$2)),"",IF(COUNTIFS(m_teacher,AB$4,m_date,($G$2+9),m_active,1,m_start,"&lt;"&amp;720,m_end,"&gt;"&amp;660)=0,"",IF(COUNTIFS(m_teacher,AB$4,m_date,($G$2+9),m_active,1,m_start,"&lt;"&amp;720,m_end,"&gt;"&amp;660)&gt;1,"충돌",HYPERLINK("#'관리자_MASTER'!D"&amp;_xlfn.MAXIFS(m_row,m_teacher,AB$4,m_date,($G$2+9),m_active,1,m_start,"&lt;"&amp;720,m_end,"&gt;"&amp;660),INDEX(m_label,_xlfn.MAXIFS(m_row,m_teacher,AB$4,m_date,($G$2+9),m_active,1,m_start,"&lt;"&amp;720,m_end,"&gt;"&amp;660))))))</f>
        <v/>
      </c>
      <c r="AC29" s="78"/>
      <c r="AD29" s="79" t="s">
        <v>93</v>
      </c>
      <c r="AE29" s="82" t="str">
        <f aca="false">IF(OR(AE$4="",MONTH(($G$2+16))&lt;&gt;MONTH($C$2)),"",IF(COUNTIFS(m_teacher,AE$4,m_date,($G$2+16),m_active,1,m_start,"&lt;"&amp;720,m_end,"&gt;"&amp;660)=0,"",IF(COUNTIFS(m_teacher,AE$4,m_date,($G$2+16),m_active,1,m_start,"&lt;"&amp;720,m_end,"&gt;"&amp;660)&gt;1,"충돌",HYPERLINK("#'관리자_MASTER'!D"&amp;_xlfn.MAXIFS(m_row,m_teacher,AE$4,m_date,($G$2+16),m_active,1,m_start,"&lt;"&amp;720,m_end,"&gt;"&amp;660),INDEX(m_label,_xlfn.MAXIFS(m_row,m_teacher,AE$4,m_date,($G$2+16),m_active,1,m_start,"&lt;"&amp;720,m_end,"&gt;"&amp;660))))))</f>
        <v/>
      </c>
      <c r="AF29" s="82" t="str">
        <f aca="false">IF(OR(AF$4="",MONTH(($G$2+16))&lt;&gt;MONTH($C$2)),"",IF(COUNTIFS(m_teacher,AF$4,m_date,($G$2+16),m_active,1,m_start,"&lt;"&amp;720,m_end,"&gt;"&amp;660)=0,"",IF(COUNTIFS(m_teacher,AF$4,m_date,($G$2+16),m_active,1,m_start,"&lt;"&amp;720,m_end,"&gt;"&amp;660)&gt;1,"충돌",HYPERLINK("#'관리자_MASTER'!D"&amp;_xlfn.MAXIFS(m_row,m_teacher,AF$4,m_date,($G$2+16),m_active,1,m_start,"&lt;"&amp;720,m_end,"&gt;"&amp;660),INDEX(m_label,_xlfn.MAXIFS(m_row,m_teacher,AF$4,m_date,($G$2+16),m_active,1,m_start,"&lt;"&amp;720,m_end,"&gt;"&amp;660))))))</f>
        <v/>
      </c>
      <c r="AG29" s="82" t="str">
        <f aca="false">IF(OR(AG$4="",MONTH(($G$2+16))&lt;&gt;MONTH($C$2)),"",IF(COUNTIFS(m_teacher,AG$4,m_date,($G$2+16),m_active,1,m_start,"&lt;"&amp;720,m_end,"&gt;"&amp;660)=0,"",IF(COUNTIFS(m_teacher,AG$4,m_date,($G$2+16),m_active,1,m_start,"&lt;"&amp;720,m_end,"&gt;"&amp;660)&gt;1,"충돌",HYPERLINK("#'관리자_MASTER'!D"&amp;_xlfn.MAXIFS(m_row,m_teacher,AG$4,m_date,($G$2+16),m_active,1,m_start,"&lt;"&amp;720,m_end,"&gt;"&amp;660),INDEX(m_label,_xlfn.MAXIFS(m_row,m_teacher,AG$4,m_date,($G$2+16),m_active,1,m_start,"&lt;"&amp;720,m_end,"&gt;"&amp;660))))))</f>
        <v/>
      </c>
      <c r="AH29" s="82" t="str">
        <f aca="false">IF(OR(AH$4="",MONTH(($G$2+16))&lt;&gt;MONTH($C$2)),"",IF(COUNTIFS(m_teacher,AH$4,m_date,($G$2+16),m_active,1,m_start,"&lt;"&amp;720,m_end,"&gt;"&amp;660)=0,"",IF(COUNTIFS(m_teacher,AH$4,m_date,($G$2+16),m_active,1,m_start,"&lt;"&amp;720,m_end,"&gt;"&amp;660)&gt;1,"충돌",HYPERLINK("#'관리자_MASTER'!D"&amp;_xlfn.MAXIFS(m_row,m_teacher,AH$4,m_date,($G$2+16),m_active,1,m_start,"&lt;"&amp;720,m_end,"&gt;"&amp;660),INDEX(m_label,_xlfn.MAXIFS(m_row,m_teacher,AH$4,m_date,($G$2+16),m_active,1,m_start,"&lt;"&amp;720,m_end,"&gt;"&amp;660))))))</f>
        <v/>
      </c>
      <c r="AI29" s="82" t="str">
        <f aca="false">IF(OR(AI$4="",MONTH(($G$2+16))&lt;&gt;MONTH($C$2)),"",IF(COUNTIFS(m_teacher,AI$4,m_date,($G$2+16),m_active,1,m_start,"&lt;"&amp;720,m_end,"&gt;"&amp;660)=0,"",IF(COUNTIFS(m_teacher,AI$4,m_date,($G$2+16),m_active,1,m_start,"&lt;"&amp;720,m_end,"&gt;"&amp;660)&gt;1,"충돌",HYPERLINK("#'관리자_MASTER'!D"&amp;_xlfn.MAXIFS(m_row,m_teacher,AI$4,m_date,($G$2+16),m_active,1,m_start,"&lt;"&amp;720,m_end,"&gt;"&amp;660),INDEX(m_label,_xlfn.MAXIFS(m_row,m_teacher,AI$4,m_date,($G$2+16),m_active,1,m_start,"&lt;"&amp;720,m_end,"&gt;"&amp;660))))))</f>
        <v/>
      </c>
      <c r="AJ29" s="82" t="str">
        <f aca="false">IF(OR(AJ$4="",MONTH(($G$2+16))&lt;&gt;MONTH($C$2)),"",IF(COUNTIFS(m_teacher,AJ$4,m_date,($G$2+16),m_active,1,m_start,"&lt;"&amp;720,m_end,"&gt;"&amp;660)=0,"",IF(COUNTIFS(m_teacher,AJ$4,m_date,($G$2+16),m_active,1,m_start,"&lt;"&amp;720,m_end,"&gt;"&amp;660)&gt;1,"충돌",HYPERLINK("#'관리자_MASTER'!D"&amp;_xlfn.MAXIFS(m_row,m_teacher,AJ$4,m_date,($G$2+16),m_active,1,m_start,"&lt;"&amp;720,m_end,"&gt;"&amp;660),INDEX(m_label,_xlfn.MAXIFS(m_row,m_teacher,AJ$4,m_date,($G$2+16),m_active,1,m_start,"&lt;"&amp;720,m_end,"&gt;"&amp;660))))))</f>
        <v/>
      </c>
      <c r="AK29" s="82" t="str">
        <f aca="false">IF(OR(AK$4="",MONTH(($G$2+16))&lt;&gt;MONTH($C$2)),"",IF(COUNTIFS(m_teacher,AK$4,m_date,($G$2+16),m_active,1,m_start,"&lt;"&amp;720,m_end,"&gt;"&amp;660)=0,"",IF(COUNTIFS(m_teacher,AK$4,m_date,($G$2+16),m_active,1,m_start,"&lt;"&amp;720,m_end,"&gt;"&amp;660)&gt;1,"충돌",HYPERLINK("#'관리자_MASTER'!D"&amp;_xlfn.MAXIFS(m_row,m_teacher,AK$4,m_date,($G$2+16),m_active,1,m_start,"&lt;"&amp;720,m_end,"&gt;"&amp;660),INDEX(m_label,_xlfn.MAXIFS(m_row,m_teacher,AK$4,m_date,($G$2+16),m_active,1,m_start,"&lt;"&amp;720,m_end,"&gt;"&amp;660))))))</f>
        <v/>
      </c>
      <c r="AL29" s="82" t="str">
        <f aca="false">IF(OR(AL$4="",MONTH(($G$2+16))&lt;&gt;MONTH($C$2)),"",IF(COUNTIFS(m_teacher,AL$4,m_date,($G$2+16),m_active,1,m_start,"&lt;"&amp;720,m_end,"&gt;"&amp;660)=0,"",IF(COUNTIFS(m_teacher,AL$4,m_date,($G$2+16),m_active,1,m_start,"&lt;"&amp;720,m_end,"&gt;"&amp;660)&gt;1,"충돌",HYPERLINK("#'관리자_MASTER'!D"&amp;_xlfn.MAXIFS(m_row,m_teacher,AL$4,m_date,($G$2+16),m_active,1,m_start,"&lt;"&amp;720,m_end,"&gt;"&amp;660),INDEX(m_label,_xlfn.MAXIFS(m_row,m_teacher,AL$4,m_date,($G$2+16),m_active,1,m_start,"&lt;"&amp;720,m_end,"&gt;"&amp;660))))))</f>
        <v/>
      </c>
      <c r="AM29" s="82" t="str">
        <f aca="false">IF(OR(AM$4="",MONTH(($G$2+16))&lt;&gt;MONTH($C$2)),"",IF(COUNTIFS(m_teacher,AM$4,m_date,($G$2+16),m_active,1,m_start,"&lt;"&amp;720,m_end,"&gt;"&amp;660)=0,"",IF(COUNTIFS(m_teacher,AM$4,m_date,($G$2+16),m_active,1,m_start,"&lt;"&amp;720,m_end,"&gt;"&amp;660)&gt;1,"충돌",HYPERLINK("#'관리자_MASTER'!D"&amp;_xlfn.MAXIFS(m_row,m_teacher,AM$4,m_date,($G$2+16),m_active,1,m_start,"&lt;"&amp;720,m_end,"&gt;"&amp;660),INDEX(m_label,_xlfn.MAXIFS(m_row,m_teacher,AM$4,m_date,($G$2+16),m_active,1,m_start,"&lt;"&amp;720,m_end,"&gt;"&amp;660))))))</f>
        <v/>
      </c>
      <c r="AN29" s="82" t="str">
        <f aca="false">IF(OR(AN$4="",MONTH(($G$2+16))&lt;&gt;MONTH($C$2)),"",IF(COUNTIFS(m_teacher,AN$4,m_date,($G$2+16),m_active,1,m_start,"&lt;"&amp;720,m_end,"&gt;"&amp;660)=0,"",IF(COUNTIFS(m_teacher,AN$4,m_date,($G$2+16),m_active,1,m_start,"&lt;"&amp;720,m_end,"&gt;"&amp;660)&gt;1,"충돌",HYPERLINK("#'관리자_MASTER'!D"&amp;_xlfn.MAXIFS(m_row,m_teacher,AN$4,m_date,($G$2+16),m_active,1,m_start,"&lt;"&amp;720,m_end,"&gt;"&amp;660),INDEX(m_label,_xlfn.MAXIFS(m_row,m_teacher,AN$4,m_date,($G$2+16),m_active,1,m_start,"&lt;"&amp;720,m_end,"&gt;"&amp;660))))))</f>
        <v/>
      </c>
      <c r="AO29" s="82" t="str">
        <f aca="false">IF(OR(AO$4="",MONTH(($G$2+16))&lt;&gt;MONTH($C$2)),"",IF(COUNTIFS(m_teacher,AO$4,m_date,($G$2+16),m_active,1,m_start,"&lt;"&amp;720,m_end,"&gt;"&amp;660)=0,"",IF(COUNTIFS(m_teacher,AO$4,m_date,($G$2+16),m_active,1,m_start,"&lt;"&amp;720,m_end,"&gt;"&amp;660)&gt;1,"충돌",HYPERLINK("#'관리자_MASTER'!D"&amp;_xlfn.MAXIFS(m_row,m_teacher,AO$4,m_date,($G$2+16),m_active,1,m_start,"&lt;"&amp;720,m_end,"&gt;"&amp;660),INDEX(m_label,_xlfn.MAXIFS(m_row,m_teacher,AO$4,m_date,($G$2+16),m_active,1,m_start,"&lt;"&amp;720,m_end,"&gt;"&amp;660))))))</f>
        <v/>
      </c>
      <c r="AP29" s="82" t="str">
        <f aca="false">IF(OR(AP$4="",MONTH(($G$2+16))&lt;&gt;MONTH($C$2)),"",IF(COUNTIFS(m_teacher,AP$4,m_date,($G$2+16),m_active,1,m_start,"&lt;"&amp;720,m_end,"&gt;"&amp;660)=0,"",IF(COUNTIFS(m_teacher,AP$4,m_date,($G$2+16),m_active,1,m_start,"&lt;"&amp;720,m_end,"&gt;"&amp;660)&gt;1,"충돌",HYPERLINK("#'관리자_MASTER'!D"&amp;_xlfn.MAXIFS(m_row,m_teacher,AP$4,m_date,($G$2+16),m_active,1,m_start,"&lt;"&amp;720,m_end,"&gt;"&amp;660),INDEX(m_label,_xlfn.MAXIFS(m_row,m_teacher,AP$4,m_date,($G$2+16),m_active,1,m_start,"&lt;"&amp;720,m_end,"&gt;"&amp;660))))))</f>
        <v/>
      </c>
      <c r="AQ29" s="78"/>
      <c r="AR29" s="79" t="s">
        <v>93</v>
      </c>
      <c r="AS29" s="82" t="str">
        <f aca="false">IF(OR(AS$4="",MONTH(($G$2+23))&lt;&gt;MONTH($C$2)),"",IF(COUNTIFS(m_teacher,AS$4,m_date,($G$2+23),m_active,1,m_start,"&lt;"&amp;720,m_end,"&gt;"&amp;660)=0,"",IF(COUNTIFS(m_teacher,AS$4,m_date,($G$2+23),m_active,1,m_start,"&lt;"&amp;720,m_end,"&gt;"&amp;660)&gt;1,"충돌",HYPERLINK("#'관리자_MASTER'!D"&amp;_xlfn.MAXIFS(m_row,m_teacher,AS$4,m_date,($G$2+23),m_active,1,m_start,"&lt;"&amp;720,m_end,"&gt;"&amp;660),INDEX(m_label,_xlfn.MAXIFS(m_row,m_teacher,AS$4,m_date,($G$2+23),m_active,1,m_start,"&lt;"&amp;720,m_end,"&gt;"&amp;660))))))</f>
        <v/>
      </c>
      <c r="AT29" s="82" t="str">
        <f aca="false">IF(OR(AT$4="",MONTH(($G$2+23))&lt;&gt;MONTH($C$2)),"",IF(COUNTIFS(m_teacher,AT$4,m_date,($G$2+23),m_active,1,m_start,"&lt;"&amp;720,m_end,"&gt;"&amp;660)=0,"",IF(COUNTIFS(m_teacher,AT$4,m_date,($G$2+23),m_active,1,m_start,"&lt;"&amp;720,m_end,"&gt;"&amp;660)&gt;1,"충돌",HYPERLINK("#'관리자_MASTER'!D"&amp;_xlfn.MAXIFS(m_row,m_teacher,AT$4,m_date,($G$2+23),m_active,1,m_start,"&lt;"&amp;720,m_end,"&gt;"&amp;660),INDEX(m_label,_xlfn.MAXIFS(m_row,m_teacher,AT$4,m_date,($G$2+23),m_active,1,m_start,"&lt;"&amp;720,m_end,"&gt;"&amp;660))))))</f>
        <v/>
      </c>
      <c r="AU29" s="82" t="str">
        <f aca="false">IF(OR(AU$4="",MONTH(($G$2+23))&lt;&gt;MONTH($C$2)),"",IF(COUNTIFS(m_teacher,AU$4,m_date,($G$2+23),m_active,1,m_start,"&lt;"&amp;720,m_end,"&gt;"&amp;660)=0,"",IF(COUNTIFS(m_teacher,AU$4,m_date,($G$2+23),m_active,1,m_start,"&lt;"&amp;720,m_end,"&gt;"&amp;660)&gt;1,"충돌",HYPERLINK("#'관리자_MASTER'!D"&amp;_xlfn.MAXIFS(m_row,m_teacher,AU$4,m_date,($G$2+23),m_active,1,m_start,"&lt;"&amp;720,m_end,"&gt;"&amp;660),INDEX(m_label,_xlfn.MAXIFS(m_row,m_teacher,AU$4,m_date,($G$2+23),m_active,1,m_start,"&lt;"&amp;720,m_end,"&gt;"&amp;660))))))</f>
        <v/>
      </c>
      <c r="AV29" s="82" t="str">
        <f aca="false">IF(OR(AV$4="",MONTH(($G$2+23))&lt;&gt;MONTH($C$2)),"",IF(COUNTIFS(m_teacher,AV$4,m_date,($G$2+23),m_active,1,m_start,"&lt;"&amp;720,m_end,"&gt;"&amp;660)=0,"",IF(COUNTIFS(m_teacher,AV$4,m_date,($G$2+23),m_active,1,m_start,"&lt;"&amp;720,m_end,"&gt;"&amp;660)&gt;1,"충돌",HYPERLINK("#'관리자_MASTER'!D"&amp;_xlfn.MAXIFS(m_row,m_teacher,AV$4,m_date,($G$2+23),m_active,1,m_start,"&lt;"&amp;720,m_end,"&gt;"&amp;660),INDEX(m_label,_xlfn.MAXIFS(m_row,m_teacher,AV$4,m_date,($G$2+23),m_active,1,m_start,"&lt;"&amp;720,m_end,"&gt;"&amp;660))))))</f>
        <v/>
      </c>
      <c r="AW29" s="82" t="str">
        <f aca="false">IF(OR(AW$4="",MONTH(($G$2+23))&lt;&gt;MONTH($C$2)),"",IF(COUNTIFS(m_teacher,AW$4,m_date,($G$2+23),m_active,1,m_start,"&lt;"&amp;720,m_end,"&gt;"&amp;660)=0,"",IF(COUNTIFS(m_teacher,AW$4,m_date,($G$2+23),m_active,1,m_start,"&lt;"&amp;720,m_end,"&gt;"&amp;660)&gt;1,"충돌",HYPERLINK("#'관리자_MASTER'!D"&amp;_xlfn.MAXIFS(m_row,m_teacher,AW$4,m_date,($G$2+23),m_active,1,m_start,"&lt;"&amp;720,m_end,"&gt;"&amp;660),INDEX(m_label,_xlfn.MAXIFS(m_row,m_teacher,AW$4,m_date,($G$2+23),m_active,1,m_start,"&lt;"&amp;720,m_end,"&gt;"&amp;660))))))</f>
        <v/>
      </c>
      <c r="AX29" s="82" t="str">
        <f aca="false">IF(OR(AX$4="",MONTH(($G$2+23))&lt;&gt;MONTH($C$2)),"",IF(COUNTIFS(m_teacher,AX$4,m_date,($G$2+23),m_active,1,m_start,"&lt;"&amp;720,m_end,"&gt;"&amp;660)=0,"",IF(COUNTIFS(m_teacher,AX$4,m_date,($G$2+23),m_active,1,m_start,"&lt;"&amp;720,m_end,"&gt;"&amp;660)&gt;1,"충돌",HYPERLINK("#'관리자_MASTER'!D"&amp;_xlfn.MAXIFS(m_row,m_teacher,AX$4,m_date,($G$2+23),m_active,1,m_start,"&lt;"&amp;720,m_end,"&gt;"&amp;660),INDEX(m_label,_xlfn.MAXIFS(m_row,m_teacher,AX$4,m_date,($G$2+23),m_active,1,m_start,"&lt;"&amp;720,m_end,"&gt;"&amp;660))))))</f>
        <v/>
      </c>
      <c r="AY29" s="82" t="str">
        <f aca="false">IF(OR(AY$4="",MONTH(($G$2+23))&lt;&gt;MONTH($C$2)),"",IF(COUNTIFS(m_teacher,AY$4,m_date,($G$2+23),m_active,1,m_start,"&lt;"&amp;720,m_end,"&gt;"&amp;660)=0,"",IF(COUNTIFS(m_teacher,AY$4,m_date,($G$2+23),m_active,1,m_start,"&lt;"&amp;720,m_end,"&gt;"&amp;660)&gt;1,"충돌",HYPERLINK("#'관리자_MASTER'!D"&amp;_xlfn.MAXIFS(m_row,m_teacher,AY$4,m_date,($G$2+23),m_active,1,m_start,"&lt;"&amp;720,m_end,"&gt;"&amp;660),INDEX(m_label,_xlfn.MAXIFS(m_row,m_teacher,AY$4,m_date,($G$2+23),m_active,1,m_start,"&lt;"&amp;720,m_end,"&gt;"&amp;660))))))</f>
        <v/>
      </c>
      <c r="AZ29" s="82" t="str">
        <f aca="false">IF(OR(AZ$4="",MONTH(($G$2+23))&lt;&gt;MONTH($C$2)),"",IF(COUNTIFS(m_teacher,AZ$4,m_date,($G$2+23),m_active,1,m_start,"&lt;"&amp;720,m_end,"&gt;"&amp;660)=0,"",IF(COUNTIFS(m_teacher,AZ$4,m_date,($G$2+23),m_active,1,m_start,"&lt;"&amp;720,m_end,"&gt;"&amp;660)&gt;1,"충돌",HYPERLINK("#'관리자_MASTER'!D"&amp;_xlfn.MAXIFS(m_row,m_teacher,AZ$4,m_date,($G$2+23),m_active,1,m_start,"&lt;"&amp;720,m_end,"&gt;"&amp;660),INDEX(m_label,_xlfn.MAXIFS(m_row,m_teacher,AZ$4,m_date,($G$2+23),m_active,1,m_start,"&lt;"&amp;720,m_end,"&gt;"&amp;660))))))</f>
        <v/>
      </c>
      <c r="BA29" s="82" t="str">
        <f aca="false">IF(OR(BA$4="",MONTH(($G$2+23))&lt;&gt;MONTH($C$2)),"",IF(COUNTIFS(m_teacher,BA$4,m_date,($G$2+23),m_active,1,m_start,"&lt;"&amp;720,m_end,"&gt;"&amp;660)=0,"",IF(COUNTIFS(m_teacher,BA$4,m_date,($G$2+23),m_active,1,m_start,"&lt;"&amp;720,m_end,"&gt;"&amp;660)&gt;1,"충돌",HYPERLINK("#'관리자_MASTER'!D"&amp;_xlfn.MAXIFS(m_row,m_teacher,BA$4,m_date,($G$2+23),m_active,1,m_start,"&lt;"&amp;720,m_end,"&gt;"&amp;660),INDEX(m_label,_xlfn.MAXIFS(m_row,m_teacher,BA$4,m_date,($G$2+23),m_active,1,m_start,"&lt;"&amp;720,m_end,"&gt;"&amp;660))))))</f>
        <v/>
      </c>
      <c r="BB29" s="82" t="str">
        <f aca="false">IF(OR(BB$4="",MONTH(($G$2+23))&lt;&gt;MONTH($C$2)),"",IF(COUNTIFS(m_teacher,BB$4,m_date,($G$2+23),m_active,1,m_start,"&lt;"&amp;720,m_end,"&gt;"&amp;660)=0,"",IF(COUNTIFS(m_teacher,BB$4,m_date,($G$2+23),m_active,1,m_start,"&lt;"&amp;720,m_end,"&gt;"&amp;660)&gt;1,"충돌",HYPERLINK("#'관리자_MASTER'!D"&amp;_xlfn.MAXIFS(m_row,m_teacher,BB$4,m_date,($G$2+23),m_active,1,m_start,"&lt;"&amp;720,m_end,"&gt;"&amp;660),INDEX(m_label,_xlfn.MAXIFS(m_row,m_teacher,BB$4,m_date,($G$2+23),m_active,1,m_start,"&lt;"&amp;720,m_end,"&gt;"&amp;660))))))</f>
        <v/>
      </c>
      <c r="BC29" s="82" t="str">
        <f aca="false">IF(OR(BC$4="",MONTH(($G$2+23))&lt;&gt;MONTH($C$2)),"",IF(COUNTIFS(m_teacher,BC$4,m_date,($G$2+23),m_active,1,m_start,"&lt;"&amp;720,m_end,"&gt;"&amp;660)=0,"",IF(COUNTIFS(m_teacher,BC$4,m_date,($G$2+23),m_active,1,m_start,"&lt;"&amp;720,m_end,"&gt;"&amp;660)&gt;1,"충돌",HYPERLINK("#'관리자_MASTER'!D"&amp;_xlfn.MAXIFS(m_row,m_teacher,BC$4,m_date,($G$2+23),m_active,1,m_start,"&lt;"&amp;720,m_end,"&gt;"&amp;660),INDEX(m_label,_xlfn.MAXIFS(m_row,m_teacher,BC$4,m_date,($G$2+23),m_active,1,m_start,"&lt;"&amp;720,m_end,"&gt;"&amp;660))))))</f>
        <v/>
      </c>
      <c r="BD29" s="82" t="str">
        <f aca="false">IF(OR(BD$4="",MONTH(($G$2+23))&lt;&gt;MONTH($C$2)),"",IF(COUNTIFS(m_teacher,BD$4,m_date,($G$2+23),m_active,1,m_start,"&lt;"&amp;720,m_end,"&gt;"&amp;660)=0,"",IF(COUNTIFS(m_teacher,BD$4,m_date,($G$2+23),m_active,1,m_start,"&lt;"&amp;720,m_end,"&gt;"&amp;660)&gt;1,"충돌",HYPERLINK("#'관리자_MASTER'!D"&amp;_xlfn.MAXIFS(m_row,m_teacher,BD$4,m_date,($G$2+23),m_active,1,m_start,"&lt;"&amp;720,m_end,"&gt;"&amp;660),INDEX(m_label,_xlfn.MAXIFS(m_row,m_teacher,BD$4,m_date,($G$2+23),m_active,1,m_start,"&lt;"&amp;720,m_end,"&gt;"&amp;660))))))</f>
        <v/>
      </c>
      <c r="BE29" s="78"/>
      <c r="BF29" s="79" t="s">
        <v>93</v>
      </c>
      <c r="BG29" s="82" t="str">
        <f aca="false">IF(OR(BG$4="",MONTH(($G$2+30))&lt;&gt;MONTH($C$2)),"",IF(COUNTIFS(m_teacher,BG$4,m_date,($G$2+30),m_active,1,m_start,"&lt;"&amp;720,m_end,"&gt;"&amp;660)=0,"",IF(COUNTIFS(m_teacher,BG$4,m_date,($G$2+30),m_active,1,m_start,"&lt;"&amp;720,m_end,"&gt;"&amp;660)&gt;1,"충돌",HYPERLINK("#'관리자_MASTER'!D"&amp;_xlfn.MAXIFS(m_row,m_teacher,BG$4,m_date,($G$2+30),m_active,1,m_start,"&lt;"&amp;720,m_end,"&gt;"&amp;660),INDEX(m_label,_xlfn.MAXIFS(m_row,m_teacher,BG$4,m_date,($G$2+30),m_active,1,m_start,"&lt;"&amp;720,m_end,"&gt;"&amp;660))))))</f>
        <v/>
      </c>
      <c r="BH29" s="82" t="str">
        <f aca="false">IF(OR(BH$4="",MONTH(($G$2+30))&lt;&gt;MONTH($C$2)),"",IF(COUNTIFS(m_teacher,BH$4,m_date,($G$2+30),m_active,1,m_start,"&lt;"&amp;720,m_end,"&gt;"&amp;660)=0,"",IF(COUNTIFS(m_teacher,BH$4,m_date,($G$2+30),m_active,1,m_start,"&lt;"&amp;720,m_end,"&gt;"&amp;660)&gt;1,"충돌",HYPERLINK("#'관리자_MASTER'!D"&amp;_xlfn.MAXIFS(m_row,m_teacher,BH$4,m_date,($G$2+30),m_active,1,m_start,"&lt;"&amp;720,m_end,"&gt;"&amp;660),INDEX(m_label,_xlfn.MAXIFS(m_row,m_teacher,BH$4,m_date,($G$2+30),m_active,1,m_start,"&lt;"&amp;720,m_end,"&gt;"&amp;660))))))</f>
        <v/>
      </c>
      <c r="BI29" s="82" t="str">
        <f aca="false">IF(OR(BI$4="",MONTH(($G$2+30))&lt;&gt;MONTH($C$2)),"",IF(COUNTIFS(m_teacher,BI$4,m_date,($G$2+30),m_active,1,m_start,"&lt;"&amp;720,m_end,"&gt;"&amp;660)=0,"",IF(COUNTIFS(m_teacher,BI$4,m_date,($G$2+30),m_active,1,m_start,"&lt;"&amp;720,m_end,"&gt;"&amp;660)&gt;1,"충돌",HYPERLINK("#'관리자_MASTER'!D"&amp;_xlfn.MAXIFS(m_row,m_teacher,BI$4,m_date,($G$2+30),m_active,1,m_start,"&lt;"&amp;720,m_end,"&gt;"&amp;660),INDEX(m_label,_xlfn.MAXIFS(m_row,m_teacher,BI$4,m_date,($G$2+30),m_active,1,m_start,"&lt;"&amp;720,m_end,"&gt;"&amp;660))))))</f>
        <v/>
      </c>
      <c r="BJ29" s="82" t="str">
        <f aca="false">IF(OR(BJ$4="",MONTH(($G$2+30))&lt;&gt;MONTH($C$2)),"",IF(COUNTIFS(m_teacher,BJ$4,m_date,($G$2+30),m_active,1,m_start,"&lt;"&amp;720,m_end,"&gt;"&amp;660)=0,"",IF(COUNTIFS(m_teacher,BJ$4,m_date,($G$2+30),m_active,1,m_start,"&lt;"&amp;720,m_end,"&gt;"&amp;660)&gt;1,"충돌",HYPERLINK("#'관리자_MASTER'!D"&amp;_xlfn.MAXIFS(m_row,m_teacher,BJ$4,m_date,($G$2+30),m_active,1,m_start,"&lt;"&amp;720,m_end,"&gt;"&amp;660),INDEX(m_label,_xlfn.MAXIFS(m_row,m_teacher,BJ$4,m_date,($G$2+30),m_active,1,m_start,"&lt;"&amp;720,m_end,"&gt;"&amp;660))))))</f>
        <v/>
      </c>
      <c r="BK29" s="82" t="str">
        <f aca="false">IF(OR(BK$4="",MONTH(($G$2+30))&lt;&gt;MONTH($C$2)),"",IF(COUNTIFS(m_teacher,BK$4,m_date,($G$2+30),m_active,1,m_start,"&lt;"&amp;720,m_end,"&gt;"&amp;660)=0,"",IF(COUNTIFS(m_teacher,BK$4,m_date,($G$2+30),m_active,1,m_start,"&lt;"&amp;720,m_end,"&gt;"&amp;660)&gt;1,"충돌",HYPERLINK("#'관리자_MASTER'!D"&amp;_xlfn.MAXIFS(m_row,m_teacher,BK$4,m_date,($G$2+30),m_active,1,m_start,"&lt;"&amp;720,m_end,"&gt;"&amp;660),INDEX(m_label,_xlfn.MAXIFS(m_row,m_teacher,BK$4,m_date,($G$2+30),m_active,1,m_start,"&lt;"&amp;720,m_end,"&gt;"&amp;660))))))</f>
        <v/>
      </c>
      <c r="BL29" s="82" t="str">
        <f aca="false">IF(OR(BL$4="",MONTH(($G$2+30))&lt;&gt;MONTH($C$2)),"",IF(COUNTIFS(m_teacher,BL$4,m_date,($G$2+30),m_active,1,m_start,"&lt;"&amp;720,m_end,"&gt;"&amp;660)=0,"",IF(COUNTIFS(m_teacher,BL$4,m_date,($G$2+30),m_active,1,m_start,"&lt;"&amp;720,m_end,"&gt;"&amp;660)&gt;1,"충돌",HYPERLINK("#'관리자_MASTER'!D"&amp;_xlfn.MAXIFS(m_row,m_teacher,BL$4,m_date,($G$2+30),m_active,1,m_start,"&lt;"&amp;720,m_end,"&gt;"&amp;660),INDEX(m_label,_xlfn.MAXIFS(m_row,m_teacher,BL$4,m_date,($G$2+30),m_active,1,m_start,"&lt;"&amp;720,m_end,"&gt;"&amp;660))))))</f>
        <v/>
      </c>
      <c r="BM29" s="82" t="str">
        <f aca="false">IF(OR(BM$4="",MONTH(($G$2+30))&lt;&gt;MONTH($C$2)),"",IF(COUNTIFS(m_teacher,BM$4,m_date,($G$2+30),m_active,1,m_start,"&lt;"&amp;720,m_end,"&gt;"&amp;660)=0,"",IF(COUNTIFS(m_teacher,BM$4,m_date,($G$2+30),m_active,1,m_start,"&lt;"&amp;720,m_end,"&gt;"&amp;660)&gt;1,"충돌",HYPERLINK("#'관리자_MASTER'!D"&amp;_xlfn.MAXIFS(m_row,m_teacher,BM$4,m_date,($G$2+30),m_active,1,m_start,"&lt;"&amp;720,m_end,"&gt;"&amp;660),INDEX(m_label,_xlfn.MAXIFS(m_row,m_teacher,BM$4,m_date,($G$2+30),m_active,1,m_start,"&lt;"&amp;720,m_end,"&gt;"&amp;660))))))</f>
        <v/>
      </c>
      <c r="BN29" s="82" t="str">
        <f aca="false">IF(OR(BN$4="",MONTH(($G$2+30))&lt;&gt;MONTH($C$2)),"",IF(COUNTIFS(m_teacher,BN$4,m_date,($G$2+30),m_active,1,m_start,"&lt;"&amp;720,m_end,"&gt;"&amp;660)=0,"",IF(COUNTIFS(m_teacher,BN$4,m_date,($G$2+30),m_active,1,m_start,"&lt;"&amp;720,m_end,"&gt;"&amp;660)&gt;1,"충돌",HYPERLINK("#'관리자_MASTER'!D"&amp;_xlfn.MAXIFS(m_row,m_teacher,BN$4,m_date,($G$2+30),m_active,1,m_start,"&lt;"&amp;720,m_end,"&gt;"&amp;660),INDEX(m_label,_xlfn.MAXIFS(m_row,m_teacher,BN$4,m_date,($G$2+30),m_active,1,m_start,"&lt;"&amp;720,m_end,"&gt;"&amp;660))))))</f>
        <v/>
      </c>
      <c r="BO29" s="82" t="str">
        <f aca="false">IF(OR(BO$4="",MONTH(($G$2+30))&lt;&gt;MONTH($C$2)),"",IF(COUNTIFS(m_teacher,BO$4,m_date,($G$2+30),m_active,1,m_start,"&lt;"&amp;720,m_end,"&gt;"&amp;660)=0,"",IF(COUNTIFS(m_teacher,BO$4,m_date,($G$2+30),m_active,1,m_start,"&lt;"&amp;720,m_end,"&gt;"&amp;660)&gt;1,"충돌",HYPERLINK("#'관리자_MASTER'!D"&amp;_xlfn.MAXIFS(m_row,m_teacher,BO$4,m_date,($G$2+30),m_active,1,m_start,"&lt;"&amp;720,m_end,"&gt;"&amp;660),INDEX(m_label,_xlfn.MAXIFS(m_row,m_teacher,BO$4,m_date,($G$2+30),m_active,1,m_start,"&lt;"&amp;720,m_end,"&gt;"&amp;660))))))</f>
        <v/>
      </c>
      <c r="BP29" s="82" t="str">
        <f aca="false">IF(OR(BP$4="",MONTH(($G$2+30))&lt;&gt;MONTH($C$2)),"",IF(COUNTIFS(m_teacher,BP$4,m_date,($G$2+30),m_active,1,m_start,"&lt;"&amp;720,m_end,"&gt;"&amp;660)=0,"",IF(COUNTIFS(m_teacher,BP$4,m_date,($G$2+30),m_active,1,m_start,"&lt;"&amp;720,m_end,"&gt;"&amp;660)&gt;1,"충돌",HYPERLINK("#'관리자_MASTER'!D"&amp;_xlfn.MAXIFS(m_row,m_teacher,BP$4,m_date,($G$2+30),m_active,1,m_start,"&lt;"&amp;720,m_end,"&gt;"&amp;660),INDEX(m_label,_xlfn.MAXIFS(m_row,m_teacher,BP$4,m_date,($G$2+30),m_active,1,m_start,"&lt;"&amp;720,m_end,"&gt;"&amp;660))))))</f>
        <v/>
      </c>
      <c r="BQ29" s="82" t="str">
        <f aca="false">IF(OR(BQ$4="",MONTH(($G$2+30))&lt;&gt;MONTH($C$2)),"",IF(COUNTIFS(m_teacher,BQ$4,m_date,($G$2+30),m_active,1,m_start,"&lt;"&amp;720,m_end,"&gt;"&amp;660)=0,"",IF(COUNTIFS(m_teacher,BQ$4,m_date,($G$2+30),m_active,1,m_start,"&lt;"&amp;720,m_end,"&gt;"&amp;660)&gt;1,"충돌",HYPERLINK("#'관리자_MASTER'!D"&amp;_xlfn.MAXIFS(m_row,m_teacher,BQ$4,m_date,($G$2+30),m_active,1,m_start,"&lt;"&amp;720,m_end,"&gt;"&amp;660),INDEX(m_label,_xlfn.MAXIFS(m_row,m_teacher,BQ$4,m_date,($G$2+30),m_active,1,m_start,"&lt;"&amp;720,m_end,"&gt;"&amp;660))))))</f>
        <v/>
      </c>
      <c r="BR29" s="82" t="str">
        <f aca="false">IF(OR(BR$4="",MONTH(($G$2+30))&lt;&gt;MONTH($C$2)),"",IF(COUNTIFS(m_teacher,BR$4,m_date,($G$2+30),m_active,1,m_start,"&lt;"&amp;720,m_end,"&gt;"&amp;660)=0,"",IF(COUNTIFS(m_teacher,BR$4,m_date,($G$2+30),m_active,1,m_start,"&lt;"&amp;720,m_end,"&gt;"&amp;660)&gt;1,"충돌",HYPERLINK("#'관리자_MASTER'!D"&amp;_xlfn.MAXIFS(m_row,m_teacher,BR$4,m_date,($G$2+30),m_active,1,m_start,"&lt;"&amp;720,m_end,"&gt;"&amp;660),INDEX(m_label,_xlfn.MAXIFS(m_row,m_teacher,BR$4,m_date,($G$2+30),m_active,1,m_start,"&lt;"&amp;720,m_end,"&gt;"&amp;660))))))</f>
        <v/>
      </c>
    </row>
    <row r="30" customFormat="false" ht="19.5" hidden="false" customHeight="true" outlineLevel="0" collapsed="false">
      <c r="A30" s="78"/>
      <c r="B30" s="79" t="s">
        <v>94</v>
      </c>
      <c r="C30" s="82" t="str">
        <f aca="false">IF(OR(C$4="",MONTH(($G$2+2))&lt;&gt;MONTH($C$2)),"",IF(COUNTIFS(m_teacher,C$4,m_date,($G$2+2),m_active,1,m_start,"&lt;"&amp;780,m_end,"&gt;"&amp;720)=0,"",IF(COUNTIFS(m_teacher,C$4,m_date,($G$2+2),m_active,1,m_start,"&lt;"&amp;780,m_end,"&gt;"&amp;720)&gt;1,"충돌",HYPERLINK("#'관리자_MASTER'!D"&amp;_xlfn.MAXIFS(m_row,m_teacher,C$4,m_date,($G$2+2),m_active,1,m_start,"&lt;"&amp;780,m_end,"&gt;"&amp;720),INDEX(m_label,_xlfn.MAXIFS(m_row,m_teacher,C$4,m_date,($G$2+2),m_active,1,m_start,"&lt;"&amp;780,m_end,"&gt;"&amp;720))))))</f>
        <v/>
      </c>
      <c r="D30" s="82" t="str">
        <f aca="false">IF(OR(D$4="",MONTH(($G$2+2))&lt;&gt;MONTH($C$2)),"",IF(COUNTIFS(m_teacher,D$4,m_date,($G$2+2),m_active,1,m_start,"&lt;"&amp;780,m_end,"&gt;"&amp;720)=0,"",IF(COUNTIFS(m_teacher,D$4,m_date,($G$2+2),m_active,1,m_start,"&lt;"&amp;780,m_end,"&gt;"&amp;720)&gt;1,"충돌",HYPERLINK("#'관리자_MASTER'!D"&amp;_xlfn.MAXIFS(m_row,m_teacher,D$4,m_date,($G$2+2),m_active,1,m_start,"&lt;"&amp;780,m_end,"&gt;"&amp;720),INDEX(m_label,_xlfn.MAXIFS(m_row,m_teacher,D$4,m_date,($G$2+2),m_active,1,m_start,"&lt;"&amp;780,m_end,"&gt;"&amp;720))))))</f>
        <v/>
      </c>
      <c r="E30" s="82" t="str">
        <f aca="false">IF(OR(E$4="",MONTH(($G$2+2))&lt;&gt;MONTH($C$2)),"",IF(COUNTIFS(m_teacher,E$4,m_date,($G$2+2),m_active,1,m_start,"&lt;"&amp;780,m_end,"&gt;"&amp;720)=0,"",IF(COUNTIFS(m_teacher,E$4,m_date,($G$2+2),m_active,1,m_start,"&lt;"&amp;780,m_end,"&gt;"&amp;720)&gt;1,"충돌",HYPERLINK("#'관리자_MASTER'!D"&amp;_xlfn.MAXIFS(m_row,m_teacher,E$4,m_date,($G$2+2),m_active,1,m_start,"&lt;"&amp;780,m_end,"&gt;"&amp;720),INDEX(m_label,_xlfn.MAXIFS(m_row,m_teacher,E$4,m_date,($G$2+2),m_active,1,m_start,"&lt;"&amp;780,m_end,"&gt;"&amp;720))))))</f>
        <v/>
      </c>
      <c r="F30" s="82" t="str">
        <f aca="false">IF(OR(F$4="",MONTH(($G$2+2))&lt;&gt;MONTH($C$2)),"",IF(COUNTIFS(m_teacher,F$4,m_date,($G$2+2),m_active,1,m_start,"&lt;"&amp;780,m_end,"&gt;"&amp;720)=0,"",IF(COUNTIFS(m_teacher,F$4,m_date,($G$2+2),m_active,1,m_start,"&lt;"&amp;780,m_end,"&gt;"&amp;720)&gt;1,"충돌",HYPERLINK("#'관리자_MASTER'!D"&amp;_xlfn.MAXIFS(m_row,m_teacher,F$4,m_date,($G$2+2),m_active,1,m_start,"&lt;"&amp;780,m_end,"&gt;"&amp;720),INDEX(m_label,_xlfn.MAXIFS(m_row,m_teacher,F$4,m_date,($G$2+2),m_active,1,m_start,"&lt;"&amp;780,m_end,"&gt;"&amp;720))))))</f>
        <v/>
      </c>
      <c r="G30" s="82" t="str">
        <f aca="false">IF(OR(G$4="",MONTH(($G$2+2))&lt;&gt;MONTH($C$2)),"",IF(COUNTIFS(m_teacher,G$4,m_date,($G$2+2),m_active,1,m_start,"&lt;"&amp;780,m_end,"&gt;"&amp;720)=0,"",IF(COUNTIFS(m_teacher,G$4,m_date,($G$2+2),m_active,1,m_start,"&lt;"&amp;780,m_end,"&gt;"&amp;720)&gt;1,"충돌",HYPERLINK("#'관리자_MASTER'!D"&amp;_xlfn.MAXIFS(m_row,m_teacher,G$4,m_date,($G$2+2),m_active,1,m_start,"&lt;"&amp;780,m_end,"&gt;"&amp;720),INDEX(m_label,_xlfn.MAXIFS(m_row,m_teacher,G$4,m_date,($G$2+2),m_active,1,m_start,"&lt;"&amp;780,m_end,"&gt;"&amp;720))))))</f>
        <v/>
      </c>
      <c r="H30" s="82" t="str">
        <f aca="false">IF(OR(H$4="",MONTH(($G$2+2))&lt;&gt;MONTH($C$2)),"",IF(COUNTIFS(m_teacher,H$4,m_date,($G$2+2),m_active,1,m_start,"&lt;"&amp;780,m_end,"&gt;"&amp;720)=0,"",IF(COUNTIFS(m_teacher,H$4,m_date,($G$2+2),m_active,1,m_start,"&lt;"&amp;780,m_end,"&gt;"&amp;720)&gt;1,"충돌",HYPERLINK("#'관리자_MASTER'!D"&amp;_xlfn.MAXIFS(m_row,m_teacher,H$4,m_date,($G$2+2),m_active,1,m_start,"&lt;"&amp;780,m_end,"&gt;"&amp;720),INDEX(m_label,_xlfn.MAXIFS(m_row,m_teacher,H$4,m_date,($G$2+2),m_active,1,m_start,"&lt;"&amp;780,m_end,"&gt;"&amp;720))))))</f>
        <v/>
      </c>
      <c r="I30" s="82" t="str">
        <f aca="false">IF(OR(I$4="",MONTH(($G$2+2))&lt;&gt;MONTH($C$2)),"",IF(COUNTIFS(m_teacher,I$4,m_date,($G$2+2),m_active,1,m_start,"&lt;"&amp;780,m_end,"&gt;"&amp;720)=0,"",IF(COUNTIFS(m_teacher,I$4,m_date,($G$2+2),m_active,1,m_start,"&lt;"&amp;780,m_end,"&gt;"&amp;720)&gt;1,"충돌",HYPERLINK("#'관리자_MASTER'!D"&amp;_xlfn.MAXIFS(m_row,m_teacher,I$4,m_date,($G$2+2),m_active,1,m_start,"&lt;"&amp;780,m_end,"&gt;"&amp;720),INDEX(m_label,_xlfn.MAXIFS(m_row,m_teacher,I$4,m_date,($G$2+2),m_active,1,m_start,"&lt;"&amp;780,m_end,"&gt;"&amp;720))))))</f>
        <v/>
      </c>
      <c r="J30" s="82" t="str">
        <f aca="false">IF(OR(J$4="",MONTH(($G$2+2))&lt;&gt;MONTH($C$2)),"",IF(COUNTIFS(m_teacher,J$4,m_date,($G$2+2),m_active,1,m_start,"&lt;"&amp;780,m_end,"&gt;"&amp;720)=0,"",IF(COUNTIFS(m_teacher,J$4,m_date,($G$2+2),m_active,1,m_start,"&lt;"&amp;780,m_end,"&gt;"&amp;720)&gt;1,"충돌",HYPERLINK("#'관리자_MASTER'!D"&amp;_xlfn.MAXIFS(m_row,m_teacher,J$4,m_date,($G$2+2),m_active,1,m_start,"&lt;"&amp;780,m_end,"&gt;"&amp;720),INDEX(m_label,_xlfn.MAXIFS(m_row,m_teacher,J$4,m_date,($G$2+2),m_active,1,m_start,"&lt;"&amp;780,m_end,"&gt;"&amp;720))))))</f>
        <v/>
      </c>
      <c r="K30" s="82" t="str">
        <f aca="false">IF(OR(K$4="",MONTH(($G$2+2))&lt;&gt;MONTH($C$2)),"",IF(COUNTIFS(m_teacher,K$4,m_date,($G$2+2),m_active,1,m_start,"&lt;"&amp;780,m_end,"&gt;"&amp;720)=0,"",IF(COUNTIFS(m_teacher,K$4,m_date,($G$2+2),m_active,1,m_start,"&lt;"&amp;780,m_end,"&gt;"&amp;720)&gt;1,"충돌",HYPERLINK("#'관리자_MASTER'!D"&amp;_xlfn.MAXIFS(m_row,m_teacher,K$4,m_date,($G$2+2),m_active,1,m_start,"&lt;"&amp;780,m_end,"&gt;"&amp;720),INDEX(m_label,_xlfn.MAXIFS(m_row,m_teacher,K$4,m_date,($G$2+2),m_active,1,m_start,"&lt;"&amp;780,m_end,"&gt;"&amp;720))))))</f>
        <v/>
      </c>
      <c r="L30" s="82" t="str">
        <f aca="false">IF(OR(L$4="",MONTH(($G$2+2))&lt;&gt;MONTH($C$2)),"",IF(COUNTIFS(m_teacher,L$4,m_date,($G$2+2),m_active,1,m_start,"&lt;"&amp;780,m_end,"&gt;"&amp;720)=0,"",IF(COUNTIFS(m_teacher,L$4,m_date,($G$2+2),m_active,1,m_start,"&lt;"&amp;780,m_end,"&gt;"&amp;720)&gt;1,"충돌",HYPERLINK("#'관리자_MASTER'!D"&amp;_xlfn.MAXIFS(m_row,m_teacher,L$4,m_date,($G$2+2),m_active,1,m_start,"&lt;"&amp;780,m_end,"&gt;"&amp;720),INDEX(m_label,_xlfn.MAXIFS(m_row,m_teacher,L$4,m_date,($G$2+2),m_active,1,m_start,"&lt;"&amp;780,m_end,"&gt;"&amp;720))))))</f>
        <v/>
      </c>
      <c r="M30" s="82" t="str">
        <f aca="false">IF(OR(M$4="",MONTH(($G$2+2))&lt;&gt;MONTH($C$2)),"",IF(COUNTIFS(m_teacher,M$4,m_date,($G$2+2),m_active,1,m_start,"&lt;"&amp;780,m_end,"&gt;"&amp;720)=0,"",IF(COUNTIFS(m_teacher,M$4,m_date,($G$2+2),m_active,1,m_start,"&lt;"&amp;780,m_end,"&gt;"&amp;720)&gt;1,"충돌",HYPERLINK("#'관리자_MASTER'!D"&amp;_xlfn.MAXIFS(m_row,m_teacher,M$4,m_date,($G$2+2),m_active,1,m_start,"&lt;"&amp;780,m_end,"&gt;"&amp;720),INDEX(m_label,_xlfn.MAXIFS(m_row,m_teacher,M$4,m_date,($G$2+2),m_active,1,m_start,"&lt;"&amp;780,m_end,"&gt;"&amp;720))))))</f>
        <v/>
      </c>
      <c r="N30" s="82" t="str">
        <f aca="false">IF(OR(N$4="",MONTH(($G$2+2))&lt;&gt;MONTH($C$2)),"",IF(COUNTIFS(m_teacher,N$4,m_date,($G$2+2),m_active,1,m_start,"&lt;"&amp;780,m_end,"&gt;"&amp;720)=0,"",IF(COUNTIFS(m_teacher,N$4,m_date,($G$2+2),m_active,1,m_start,"&lt;"&amp;780,m_end,"&gt;"&amp;720)&gt;1,"충돌",HYPERLINK("#'관리자_MASTER'!D"&amp;_xlfn.MAXIFS(m_row,m_teacher,N$4,m_date,($G$2+2),m_active,1,m_start,"&lt;"&amp;780,m_end,"&gt;"&amp;720),INDEX(m_label,_xlfn.MAXIFS(m_row,m_teacher,N$4,m_date,($G$2+2),m_active,1,m_start,"&lt;"&amp;780,m_end,"&gt;"&amp;720))))))</f>
        <v/>
      </c>
      <c r="O30" s="78"/>
      <c r="P30" s="79" t="s">
        <v>94</v>
      </c>
      <c r="Q30" s="82" t="str">
        <f aca="false">IF(OR(Q$4="",MONTH(($G$2+9))&lt;&gt;MONTH($C$2)),"",IF(COUNTIFS(m_teacher,Q$4,m_date,($G$2+9),m_active,1,m_start,"&lt;"&amp;780,m_end,"&gt;"&amp;720)=0,"",IF(COUNTIFS(m_teacher,Q$4,m_date,($G$2+9),m_active,1,m_start,"&lt;"&amp;780,m_end,"&gt;"&amp;720)&gt;1,"충돌",HYPERLINK("#'관리자_MASTER'!D"&amp;_xlfn.MAXIFS(m_row,m_teacher,Q$4,m_date,($G$2+9),m_active,1,m_start,"&lt;"&amp;780,m_end,"&gt;"&amp;720),INDEX(m_label,_xlfn.MAXIFS(m_row,m_teacher,Q$4,m_date,($G$2+9),m_active,1,m_start,"&lt;"&amp;780,m_end,"&gt;"&amp;720))))))</f>
        <v/>
      </c>
      <c r="R30" s="82" t="str">
        <f aca="false">IF(OR(R$4="",MONTH(($G$2+9))&lt;&gt;MONTH($C$2)),"",IF(COUNTIFS(m_teacher,R$4,m_date,($G$2+9),m_active,1,m_start,"&lt;"&amp;780,m_end,"&gt;"&amp;720)=0,"",IF(COUNTIFS(m_teacher,R$4,m_date,($G$2+9),m_active,1,m_start,"&lt;"&amp;780,m_end,"&gt;"&amp;720)&gt;1,"충돌",HYPERLINK("#'관리자_MASTER'!D"&amp;_xlfn.MAXIFS(m_row,m_teacher,R$4,m_date,($G$2+9),m_active,1,m_start,"&lt;"&amp;780,m_end,"&gt;"&amp;720),INDEX(m_label,_xlfn.MAXIFS(m_row,m_teacher,R$4,m_date,($G$2+9),m_active,1,m_start,"&lt;"&amp;780,m_end,"&gt;"&amp;720))))))</f>
        <v/>
      </c>
      <c r="S30" s="82" t="str">
        <f aca="false">IF(OR(S$4="",MONTH(($G$2+9))&lt;&gt;MONTH($C$2)),"",IF(COUNTIFS(m_teacher,S$4,m_date,($G$2+9),m_active,1,m_start,"&lt;"&amp;780,m_end,"&gt;"&amp;720)=0,"",IF(COUNTIFS(m_teacher,S$4,m_date,($G$2+9),m_active,1,m_start,"&lt;"&amp;780,m_end,"&gt;"&amp;720)&gt;1,"충돌",HYPERLINK("#'관리자_MASTER'!D"&amp;_xlfn.MAXIFS(m_row,m_teacher,S$4,m_date,($G$2+9),m_active,1,m_start,"&lt;"&amp;780,m_end,"&gt;"&amp;720),INDEX(m_label,_xlfn.MAXIFS(m_row,m_teacher,S$4,m_date,($G$2+9),m_active,1,m_start,"&lt;"&amp;780,m_end,"&gt;"&amp;720))))))</f>
        <v/>
      </c>
      <c r="T30" s="82" t="str">
        <f aca="false">IF(OR(T$4="",MONTH(($G$2+9))&lt;&gt;MONTH($C$2)),"",IF(COUNTIFS(m_teacher,T$4,m_date,($G$2+9),m_active,1,m_start,"&lt;"&amp;780,m_end,"&gt;"&amp;720)=0,"",IF(COUNTIFS(m_teacher,T$4,m_date,($G$2+9),m_active,1,m_start,"&lt;"&amp;780,m_end,"&gt;"&amp;720)&gt;1,"충돌",HYPERLINK("#'관리자_MASTER'!D"&amp;_xlfn.MAXIFS(m_row,m_teacher,T$4,m_date,($G$2+9),m_active,1,m_start,"&lt;"&amp;780,m_end,"&gt;"&amp;720),INDEX(m_label,_xlfn.MAXIFS(m_row,m_teacher,T$4,m_date,($G$2+9),m_active,1,m_start,"&lt;"&amp;780,m_end,"&gt;"&amp;720))))))</f>
        <v/>
      </c>
      <c r="U30" s="82" t="str">
        <f aca="false">IF(OR(U$4="",MONTH(($G$2+9))&lt;&gt;MONTH($C$2)),"",IF(COUNTIFS(m_teacher,U$4,m_date,($G$2+9),m_active,1,m_start,"&lt;"&amp;780,m_end,"&gt;"&amp;720)=0,"",IF(COUNTIFS(m_teacher,U$4,m_date,($G$2+9),m_active,1,m_start,"&lt;"&amp;780,m_end,"&gt;"&amp;720)&gt;1,"충돌",HYPERLINK("#'관리자_MASTER'!D"&amp;_xlfn.MAXIFS(m_row,m_teacher,U$4,m_date,($G$2+9),m_active,1,m_start,"&lt;"&amp;780,m_end,"&gt;"&amp;720),INDEX(m_label,_xlfn.MAXIFS(m_row,m_teacher,U$4,m_date,($G$2+9),m_active,1,m_start,"&lt;"&amp;780,m_end,"&gt;"&amp;720))))))</f>
        <v/>
      </c>
      <c r="V30" s="82" t="str">
        <f aca="false">IF(OR(V$4="",MONTH(($G$2+9))&lt;&gt;MONTH($C$2)),"",IF(COUNTIFS(m_teacher,V$4,m_date,($G$2+9),m_active,1,m_start,"&lt;"&amp;780,m_end,"&gt;"&amp;720)=0,"",IF(COUNTIFS(m_teacher,V$4,m_date,($G$2+9),m_active,1,m_start,"&lt;"&amp;780,m_end,"&gt;"&amp;720)&gt;1,"충돌",HYPERLINK("#'관리자_MASTER'!D"&amp;_xlfn.MAXIFS(m_row,m_teacher,V$4,m_date,($G$2+9),m_active,1,m_start,"&lt;"&amp;780,m_end,"&gt;"&amp;720),INDEX(m_label,_xlfn.MAXIFS(m_row,m_teacher,V$4,m_date,($G$2+9),m_active,1,m_start,"&lt;"&amp;780,m_end,"&gt;"&amp;720))))))</f>
        <v/>
      </c>
      <c r="W30" s="82" t="str">
        <f aca="false">IF(OR(W$4="",MONTH(($G$2+9))&lt;&gt;MONTH($C$2)),"",IF(COUNTIFS(m_teacher,W$4,m_date,($G$2+9),m_active,1,m_start,"&lt;"&amp;780,m_end,"&gt;"&amp;720)=0,"",IF(COUNTIFS(m_teacher,W$4,m_date,($G$2+9),m_active,1,m_start,"&lt;"&amp;780,m_end,"&gt;"&amp;720)&gt;1,"충돌",HYPERLINK("#'관리자_MASTER'!D"&amp;_xlfn.MAXIFS(m_row,m_teacher,W$4,m_date,($G$2+9),m_active,1,m_start,"&lt;"&amp;780,m_end,"&gt;"&amp;720),INDEX(m_label,_xlfn.MAXIFS(m_row,m_teacher,W$4,m_date,($G$2+9),m_active,1,m_start,"&lt;"&amp;780,m_end,"&gt;"&amp;720))))))</f>
        <v/>
      </c>
      <c r="X30" s="82" t="str">
        <f aca="false">IF(OR(X$4="",MONTH(($G$2+9))&lt;&gt;MONTH($C$2)),"",IF(COUNTIFS(m_teacher,X$4,m_date,($G$2+9),m_active,1,m_start,"&lt;"&amp;780,m_end,"&gt;"&amp;720)=0,"",IF(COUNTIFS(m_teacher,X$4,m_date,($G$2+9),m_active,1,m_start,"&lt;"&amp;780,m_end,"&gt;"&amp;720)&gt;1,"충돌",HYPERLINK("#'관리자_MASTER'!D"&amp;_xlfn.MAXIFS(m_row,m_teacher,X$4,m_date,($G$2+9),m_active,1,m_start,"&lt;"&amp;780,m_end,"&gt;"&amp;720),INDEX(m_label,_xlfn.MAXIFS(m_row,m_teacher,X$4,m_date,($G$2+9),m_active,1,m_start,"&lt;"&amp;780,m_end,"&gt;"&amp;720))))))</f>
        <v/>
      </c>
      <c r="Y30" s="82" t="str">
        <f aca="false">IF(OR(Y$4="",MONTH(($G$2+9))&lt;&gt;MONTH($C$2)),"",IF(COUNTIFS(m_teacher,Y$4,m_date,($G$2+9),m_active,1,m_start,"&lt;"&amp;780,m_end,"&gt;"&amp;720)=0,"",IF(COUNTIFS(m_teacher,Y$4,m_date,($G$2+9),m_active,1,m_start,"&lt;"&amp;780,m_end,"&gt;"&amp;720)&gt;1,"충돌",HYPERLINK("#'관리자_MASTER'!D"&amp;_xlfn.MAXIFS(m_row,m_teacher,Y$4,m_date,($G$2+9),m_active,1,m_start,"&lt;"&amp;780,m_end,"&gt;"&amp;720),INDEX(m_label,_xlfn.MAXIFS(m_row,m_teacher,Y$4,m_date,($G$2+9),m_active,1,m_start,"&lt;"&amp;780,m_end,"&gt;"&amp;720))))))</f>
        <v/>
      </c>
      <c r="Z30" s="82" t="str">
        <f aca="false">IF(OR(Z$4="",MONTH(($G$2+9))&lt;&gt;MONTH($C$2)),"",IF(COUNTIFS(m_teacher,Z$4,m_date,($G$2+9),m_active,1,m_start,"&lt;"&amp;780,m_end,"&gt;"&amp;720)=0,"",IF(COUNTIFS(m_teacher,Z$4,m_date,($G$2+9),m_active,1,m_start,"&lt;"&amp;780,m_end,"&gt;"&amp;720)&gt;1,"충돌",HYPERLINK("#'관리자_MASTER'!D"&amp;_xlfn.MAXIFS(m_row,m_teacher,Z$4,m_date,($G$2+9),m_active,1,m_start,"&lt;"&amp;780,m_end,"&gt;"&amp;720),INDEX(m_label,_xlfn.MAXIFS(m_row,m_teacher,Z$4,m_date,($G$2+9),m_active,1,m_start,"&lt;"&amp;780,m_end,"&gt;"&amp;720))))))</f>
        <v/>
      </c>
      <c r="AA30" s="82" t="str">
        <f aca="false">IF(OR(AA$4="",MONTH(($G$2+9))&lt;&gt;MONTH($C$2)),"",IF(COUNTIFS(m_teacher,AA$4,m_date,($G$2+9),m_active,1,m_start,"&lt;"&amp;780,m_end,"&gt;"&amp;720)=0,"",IF(COUNTIFS(m_teacher,AA$4,m_date,($G$2+9),m_active,1,m_start,"&lt;"&amp;780,m_end,"&gt;"&amp;720)&gt;1,"충돌",HYPERLINK("#'관리자_MASTER'!D"&amp;_xlfn.MAXIFS(m_row,m_teacher,AA$4,m_date,($G$2+9),m_active,1,m_start,"&lt;"&amp;780,m_end,"&gt;"&amp;720),INDEX(m_label,_xlfn.MAXIFS(m_row,m_teacher,AA$4,m_date,($G$2+9),m_active,1,m_start,"&lt;"&amp;780,m_end,"&gt;"&amp;720))))))</f>
        <v/>
      </c>
      <c r="AB30" s="82" t="str">
        <f aca="false">IF(OR(AB$4="",MONTH(($G$2+9))&lt;&gt;MONTH($C$2)),"",IF(COUNTIFS(m_teacher,AB$4,m_date,($G$2+9),m_active,1,m_start,"&lt;"&amp;780,m_end,"&gt;"&amp;720)=0,"",IF(COUNTIFS(m_teacher,AB$4,m_date,($G$2+9),m_active,1,m_start,"&lt;"&amp;780,m_end,"&gt;"&amp;720)&gt;1,"충돌",HYPERLINK("#'관리자_MASTER'!D"&amp;_xlfn.MAXIFS(m_row,m_teacher,AB$4,m_date,($G$2+9),m_active,1,m_start,"&lt;"&amp;780,m_end,"&gt;"&amp;720),INDEX(m_label,_xlfn.MAXIFS(m_row,m_teacher,AB$4,m_date,($G$2+9),m_active,1,m_start,"&lt;"&amp;780,m_end,"&gt;"&amp;720))))))</f>
        <v/>
      </c>
      <c r="AC30" s="78"/>
      <c r="AD30" s="79" t="s">
        <v>94</v>
      </c>
      <c r="AE30" s="82" t="str">
        <f aca="false">IF(OR(AE$4="",MONTH(($G$2+16))&lt;&gt;MONTH($C$2)),"",IF(COUNTIFS(m_teacher,AE$4,m_date,($G$2+16),m_active,1,m_start,"&lt;"&amp;780,m_end,"&gt;"&amp;720)=0,"",IF(COUNTIFS(m_teacher,AE$4,m_date,($G$2+16),m_active,1,m_start,"&lt;"&amp;780,m_end,"&gt;"&amp;720)&gt;1,"충돌",HYPERLINK("#'관리자_MASTER'!D"&amp;_xlfn.MAXIFS(m_row,m_teacher,AE$4,m_date,($G$2+16),m_active,1,m_start,"&lt;"&amp;780,m_end,"&gt;"&amp;720),INDEX(m_label,_xlfn.MAXIFS(m_row,m_teacher,AE$4,m_date,($G$2+16),m_active,1,m_start,"&lt;"&amp;780,m_end,"&gt;"&amp;720))))))</f>
        <v/>
      </c>
      <c r="AF30" s="82" t="str">
        <f aca="false">IF(OR(AF$4="",MONTH(($G$2+16))&lt;&gt;MONTH($C$2)),"",IF(COUNTIFS(m_teacher,AF$4,m_date,($G$2+16),m_active,1,m_start,"&lt;"&amp;780,m_end,"&gt;"&amp;720)=0,"",IF(COUNTIFS(m_teacher,AF$4,m_date,($G$2+16),m_active,1,m_start,"&lt;"&amp;780,m_end,"&gt;"&amp;720)&gt;1,"충돌",HYPERLINK("#'관리자_MASTER'!D"&amp;_xlfn.MAXIFS(m_row,m_teacher,AF$4,m_date,($G$2+16),m_active,1,m_start,"&lt;"&amp;780,m_end,"&gt;"&amp;720),INDEX(m_label,_xlfn.MAXIFS(m_row,m_teacher,AF$4,m_date,($G$2+16),m_active,1,m_start,"&lt;"&amp;780,m_end,"&gt;"&amp;720))))))</f>
        <v/>
      </c>
      <c r="AG30" s="82" t="str">
        <f aca="false">IF(OR(AG$4="",MONTH(($G$2+16))&lt;&gt;MONTH($C$2)),"",IF(COUNTIFS(m_teacher,AG$4,m_date,($G$2+16),m_active,1,m_start,"&lt;"&amp;780,m_end,"&gt;"&amp;720)=0,"",IF(COUNTIFS(m_teacher,AG$4,m_date,($G$2+16),m_active,1,m_start,"&lt;"&amp;780,m_end,"&gt;"&amp;720)&gt;1,"충돌",HYPERLINK("#'관리자_MASTER'!D"&amp;_xlfn.MAXIFS(m_row,m_teacher,AG$4,m_date,($G$2+16),m_active,1,m_start,"&lt;"&amp;780,m_end,"&gt;"&amp;720),INDEX(m_label,_xlfn.MAXIFS(m_row,m_teacher,AG$4,m_date,($G$2+16),m_active,1,m_start,"&lt;"&amp;780,m_end,"&gt;"&amp;720))))))</f>
        <v/>
      </c>
      <c r="AH30" s="82" t="str">
        <f aca="false">IF(OR(AH$4="",MONTH(($G$2+16))&lt;&gt;MONTH($C$2)),"",IF(COUNTIFS(m_teacher,AH$4,m_date,($G$2+16),m_active,1,m_start,"&lt;"&amp;780,m_end,"&gt;"&amp;720)=0,"",IF(COUNTIFS(m_teacher,AH$4,m_date,($G$2+16),m_active,1,m_start,"&lt;"&amp;780,m_end,"&gt;"&amp;720)&gt;1,"충돌",HYPERLINK("#'관리자_MASTER'!D"&amp;_xlfn.MAXIFS(m_row,m_teacher,AH$4,m_date,($G$2+16),m_active,1,m_start,"&lt;"&amp;780,m_end,"&gt;"&amp;720),INDEX(m_label,_xlfn.MAXIFS(m_row,m_teacher,AH$4,m_date,($G$2+16),m_active,1,m_start,"&lt;"&amp;780,m_end,"&gt;"&amp;720))))))</f>
        <v/>
      </c>
      <c r="AI30" s="82" t="str">
        <f aca="false">IF(OR(AI$4="",MONTH(($G$2+16))&lt;&gt;MONTH($C$2)),"",IF(COUNTIFS(m_teacher,AI$4,m_date,($G$2+16),m_active,1,m_start,"&lt;"&amp;780,m_end,"&gt;"&amp;720)=0,"",IF(COUNTIFS(m_teacher,AI$4,m_date,($G$2+16),m_active,1,m_start,"&lt;"&amp;780,m_end,"&gt;"&amp;720)&gt;1,"충돌",HYPERLINK("#'관리자_MASTER'!D"&amp;_xlfn.MAXIFS(m_row,m_teacher,AI$4,m_date,($G$2+16),m_active,1,m_start,"&lt;"&amp;780,m_end,"&gt;"&amp;720),INDEX(m_label,_xlfn.MAXIFS(m_row,m_teacher,AI$4,m_date,($G$2+16),m_active,1,m_start,"&lt;"&amp;780,m_end,"&gt;"&amp;720))))))</f>
        <v/>
      </c>
      <c r="AJ30" s="82" t="str">
        <f aca="false">IF(OR(AJ$4="",MONTH(($G$2+16))&lt;&gt;MONTH($C$2)),"",IF(COUNTIFS(m_teacher,AJ$4,m_date,($G$2+16),m_active,1,m_start,"&lt;"&amp;780,m_end,"&gt;"&amp;720)=0,"",IF(COUNTIFS(m_teacher,AJ$4,m_date,($G$2+16),m_active,1,m_start,"&lt;"&amp;780,m_end,"&gt;"&amp;720)&gt;1,"충돌",HYPERLINK("#'관리자_MASTER'!D"&amp;_xlfn.MAXIFS(m_row,m_teacher,AJ$4,m_date,($G$2+16),m_active,1,m_start,"&lt;"&amp;780,m_end,"&gt;"&amp;720),INDEX(m_label,_xlfn.MAXIFS(m_row,m_teacher,AJ$4,m_date,($G$2+16),m_active,1,m_start,"&lt;"&amp;780,m_end,"&gt;"&amp;720))))))</f>
        <v/>
      </c>
      <c r="AK30" s="82" t="str">
        <f aca="false">IF(OR(AK$4="",MONTH(($G$2+16))&lt;&gt;MONTH($C$2)),"",IF(COUNTIFS(m_teacher,AK$4,m_date,($G$2+16),m_active,1,m_start,"&lt;"&amp;780,m_end,"&gt;"&amp;720)=0,"",IF(COUNTIFS(m_teacher,AK$4,m_date,($G$2+16),m_active,1,m_start,"&lt;"&amp;780,m_end,"&gt;"&amp;720)&gt;1,"충돌",HYPERLINK("#'관리자_MASTER'!D"&amp;_xlfn.MAXIFS(m_row,m_teacher,AK$4,m_date,($G$2+16),m_active,1,m_start,"&lt;"&amp;780,m_end,"&gt;"&amp;720),INDEX(m_label,_xlfn.MAXIFS(m_row,m_teacher,AK$4,m_date,($G$2+16),m_active,1,m_start,"&lt;"&amp;780,m_end,"&gt;"&amp;720))))))</f>
        <v/>
      </c>
      <c r="AL30" s="82" t="str">
        <f aca="false">IF(OR(AL$4="",MONTH(($G$2+16))&lt;&gt;MONTH($C$2)),"",IF(COUNTIFS(m_teacher,AL$4,m_date,($G$2+16),m_active,1,m_start,"&lt;"&amp;780,m_end,"&gt;"&amp;720)=0,"",IF(COUNTIFS(m_teacher,AL$4,m_date,($G$2+16),m_active,1,m_start,"&lt;"&amp;780,m_end,"&gt;"&amp;720)&gt;1,"충돌",HYPERLINK("#'관리자_MASTER'!D"&amp;_xlfn.MAXIFS(m_row,m_teacher,AL$4,m_date,($G$2+16),m_active,1,m_start,"&lt;"&amp;780,m_end,"&gt;"&amp;720),INDEX(m_label,_xlfn.MAXIFS(m_row,m_teacher,AL$4,m_date,($G$2+16),m_active,1,m_start,"&lt;"&amp;780,m_end,"&gt;"&amp;720))))))</f>
        <v/>
      </c>
      <c r="AM30" s="82" t="str">
        <f aca="false">IF(OR(AM$4="",MONTH(($G$2+16))&lt;&gt;MONTH($C$2)),"",IF(COUNTIFS(m_teacher,AM$4,m_date,($G$2+16),m_active,1,m_start,"&lt;"&amp;780,m_end,"&gt;"&amp;720)=0,"",IF(COUNTIFS(m_teacher,AM$4,m_date,($G$2+16),m_active,1,m_start,"&lt;"&amp;780,m_end,"&gt;"&amp;720)&gt;1,"충돌",HYPERLINK("#'관리자_MASTER'!D"&amp;_xlfn.MAXIFS(m_row,m_teacher,AM$4,m_date,($G$2+16),m_active,1,m_start,"&lt;"&amp;780,m_end,"&gt;"&amp;720),INDEX(m_label,_xlfn.MAXIFS(m_row,m_teacher,AM$4,m_date,($G$2+16),m_active,1,m_start,"&lt;"&amp;780,m_end,"&gt;"&amp;720))))))</f>
        <v/>
      </c>
      <c r="AN30" s="82" t="str">
        <f aca="false">IF(OR(AN$4="",MONTH(($G$2+16))&lt;&gt;MONTH($C$2)),"",IF(COUNTIFS(m_teacher,AN$4,m_date,($G$2+16),m_active,1,m_start,"&lt;"&amp;780,m_end,"&gt;"&amp;720)=0,"",IF(COUNTIFS(m_teacher,AN$4,m_date,($G$2+16),m_active,1,m_start,"&lt;"&amp;780,m_end,"&gt;"&amp;720)&gt;1,"충돌",HYPERLINK("#'관리자_MASTER'!D"&amp;_xlfn.MAXIFS(m_row,m_teacher,AN$4,m_date,($G$2+16),m_active,1,m_start,"&lt;"&amp;780,m_end,"&gt;"&amp;720),INDEX(m_label,_xlfn.MAXIFS(m_row,m_teacher,AN$4,m_date,($G$2+16),m_active,1,m_start,"&lt;"&amp;780,m_end,"&gt;"&amp;720))))))</f>
        <v/>
      </c>
      <c r="AO30" s="82" t="str">
        <f aca="false">IF(OR(AO$4="",MONTH(($G$2+16))&lt;&gt;MONTH($C$2)),"",IF(COUNTIFS(m_teacher,AO$4,m_date,($G$2+16),m_active,1,m_start,"&lt;"&amp;780,m_end,"&gt;"&amp;720)=0,"",IF(COUNTIFS(m_teacher,AO$4,m_date,($G$2+16),m_active,1,m_start,"&lt;"&amp;780,m_end,"&gt;"&amp;720)&gt;1,"충돌",HYPERLINK("#'관리자_MASTER'!D"&amp;_xlfn.MAXIFS(m_row,m_teacher,AO$4,m_date,($G$2+16),m_active,1,m_start,"&lt;"&amp;780,m_end,"&gt;"&amp;720),INDEX(m_label,_xlfn.MAXIFS(m_row,m_teacher,AO$4,m_date,($G$2+16),m_active,1,m_start,"&lt;"&amp;780,m_end,"&gt;"&amp;720))))))</f>
        <v/>
      </c>
      <c r="AP30" s="82" t="str">
        <f aca="false">IF(OR(AP$4="",MONTH(($G$2+16))&lt;&gt;MONTH($C$2)),"",IF(COUNTIFS(m_teacher,AP$4,m_date,($G$2+16),m_active,1,m_start,"&lt;"&amp;780,m_end,"&gt;"&amp;720)=0,"",IF(COUNTIFS(m_teacher,AP$4,m_date,($G$2+16),m_active,1,m_start,"&lt;"&amp;780,m_end,"&gt;"&amp;720)&gt;1,"충돌",HYPERLINK("#'관리자_MASTER'!D"&amp;_xlfn.MAXIFS(m_row,m_teacher,AP$4,m_date,($G$2+16),m_active,1,m_start,"&lt;"&amp;780,m_end,"&gt;"&amp;720),INDEX(m_label,_xlfn.MAXIFS(m_row,m_teacher,AP$4,m_date,($G$2+16),m_active,1,m_start,"&lt;"&amp;780,m_end,"&gt;"&amp;720))))))</f>
        <v/>
      </c>
      <c r="AQ30" s="78"/>
      <c r="AR30" s="79" t="s">
        <v>94</v>
      </c>
      <c r="AS30" s="82" t="str">
        <f aca="false">IF(OR(AS$4="",MONTH(($G$2+23))&lt;&gt;MONTH($C$2)),"",IF(COUNTIFS(m_teacher,AS$4,m_date,($G$2+23),m_active,1,m_start,"&lt;"&amp;780,m_end,"&gt;"&amp;720)=0,"",IF(COUNTIFS(m_teacher,AS$4,m_date,($G$2+23),m_active,1,m_start,"&lt;"&amp;780,m_end,"&gt;"&amp;720)&gt;1,"충돌",HYPERLINK("#'관리자_MASTER'!D"&amp;_xlfn.MAXIFS(m_row,m_teacher,AS$4,m_date,($G$2+23),m_active,1,m_start,"&lt;"&amp;780,m_end,"&gt;"&amp;720),INDEX(m_label,_xlfn.MAXIFS(m_row,m_teacher,AS$4,m_date,($G$2+23),m_active,1,m_start,"&lt;"&amp;780,m_end,"&gt;"&amp;720))))))</f>
        <v/>
      </c>
      <c r="AT30" s="82" t="str">
        <f aca="false">IF(OR(AT$4="",MONTH(($G$2+23))&lt;&gt;MONTH($C$2)),"",IF(COUNTIFS(m_teacher,AT$4,m_date,($G$2+23),m_active,1,m_start,"&lt;"&amp;780,m_end,"&gt;"&amp;720)=0,"",IF(COUNTIFS(m_teacher,AT$4,m_date,($G$2+23),m_active,1,m_start,"&lt;"&amp;780,m_end,"&gt;"&amp;720)&gt;1,"충돌",HYPERLINK("#'관리자_MASTER'!D"&amp;_xlfn.MAXIFS(m_row,m_teacher,AT$4,m_date,($G$2+23),m_active,1,m_start,"&lt;"&amp;780,m_end,"&gt;"&amp;720),INDEX(m_label,_xlfn.MAXIFS(m_row,m_teacher,AT$4,m_date,($G$2+23),m_active,1,m_start,"&lt;"&amp;780,m_end,"&gt;"&amp;720))))))</f>
        <v/>
      </c>
      <c r="AU30" s="82" t="str">
        <f aca="false">IF(OR(AU$4="",MONTH(($G$2+23))&lt;&gt;MONTH($C$2)),"",IF(COUNTIFS(m_teacher,AU$4,m_date,($G$2+23),m_active,1,m_start,"&lt;"&amp;780,m_end,"&gt;"&amp;720)=0,"",IF(COUNTIFS(m_teacher,AU$4,m_date,($G$2+23),m_active,1,m_start,"&lt;"&amp;780,m_end,"&gt;"&amp;720)&gt;1,"충돌",HYPERLINK("#'관리자_MASTER'!D"&amp;_xlfn.MAXIFS(m_row,m_teacher,AU$4,m_date,($G$2+23),m_active,1,m_start,"&lt;"&amp;780,m_end,"&gt;"&amp;720),INDEX(m_label,_xlfn.MAXIFS(m_row,m_teacher,AU$4,m_date,($G$2+23),m_active,1,m_start,"&lt;"&amp;780,m_end,"&gt;"&amp;720))))))</f>
        <v/>
      </c>
      <c r="AV30" s="82" t="str">
        <f aca="false">IF(OR(AV$4="",MONTH(($G$2+23))&lt;&gt;MONTH($C$2)),"",IF(COUNTIFS(m_teacher,AV$4,m_date,($G$2+23),m_active,1,m_start,"&lt;"&amp;780,m_end,"&gt;"&amp;720)=0,"",IF(COUNTIFS(m_teacher,AV$4,m_date,($G$2+23),m_active,1,m_start,"&lt;"&amp;780,m_end,"&gt;"&amp;720)&gt;1,"충돌",HYPERLINK("#'관리자_MASTER'!D"&amp;_xlfn.MAXIFS(m_row,m_teacher,AV$4,m_date,($G$2+23),m_active,1,m_start,"&lt;"&amp;780,m_end,"&gt;"&amp;720),INDEX(m_label,_xlfn.MAXIFS(m_row,m_teacher,AV$4,m_date,($G$2+23),m_active,1,m_start,"&lt;"&amp;780,m_end,"&gt;"&amp;720))))))</f>
        <v/>
      </c>
      <c r="AW30" s="82" t="str">
        <f aca="false">IF(OR(AW$4="",MONTH(($G$2+23))&lt;&gt;MONTH($C$2)),"",IF(COUNTIFS(m_teacher,AW$4,m_date,($G$2+23),m_active,1,m_start,"&lt;"&amp;780,m_end,"&gt;"&amp;720)=0,"",IF(COUNTIFS(m_teacher,AW$4,m_date,($G$2+23),m_active,1,m_start,"&lt;"&amp;780,m_end,"&gt;"&amp;720)&gt;1,"충돌",HYPERLINK("#'관리자_MASTER'!D"&amp;_xlfn.MAXIFS(m_row,m_teacher,AW$4,m_date,($G$2+23),m_active,1,m_start,"&lt;"&amp;780,m_end,"&gt;"&amp;720),INDEX(m_label,_xlfn.MAXIFS(m_row,m_teacher,AW$4,m_date,($G$2+23),m_active,1,m_start,"&lt;"&amp;780,m_end,"&gt;"&amp;720))))))</f>
        <v/>
      </c>
      <c r="AX30" s="82" t="str">
        <f aca="false">IF(OR(AX$4="",MONTH(($G$2+23))&lt;&gt;MONTH($C$2)),"",IF(COUNTIFS(m_teacher,AX$4,m_date,($G$2+23),m_active,1,m_start,"&lt;"&amp;780,m_end,"&gt;"&amp;720)=0,"",IF(COUNTIFS(m_teacher,AX$4,m_date,($G$2+23),m_active,1,m_start,"&lt;"&amp;780,m_end,"&gt;"&amp;720)&gt;1,"충돌",HYPERLINK("#'관리자_MASTER'!D"&amp;_xlfn.MAXIFS(m_row,m_teacher,AX$4,m_date,($G$2+23),m_active,1,m_start,"&lt;"&amp;780,m_end,"&gt;"&amp;720),INDEX(m_label,_xlfn.MAXIFS(m_row,m_teacher,AX$4,m_date,($G$2+23),m_active,1,m_start,"&lt;"&amp;780,m_end,"&gt;"&amp;720))))))</f>
        <v/>
      </c>
      <c r="AY30" s="82" t="str">
        <f aca="false">IF(OR(AY$4="",MONTH(($G$2+23))&lt;&gt;MONTH($C$2)),"",IF(COUNTIFS(m_teacher,AY$4,m_date,($G$2+23),m_active,1,m_start,"&lt;"&amp;780,m_end,"&gt;"&amp;720)=0,"",IF(COUNTIFS(m_teacher,AY$4,m_date,($G$2+23),m_active,1,m_start,"&lt;"&amp;780,m_end,"&gt;"&amp;720)&gt;1,"충돌",HYPERLINK("#'관리자_MASTER'!D"&amp;_xlfn.MAXIFS(m_row,m_teacher,AY$4,m_date,($G$2+23),m_active,1,m_start,"&lt;"&amp;780,m_end,"&gt;"&amp;720),INDEX(m_label,_xlfn.MAXIFS(m_row,m_teacher,AY$4,m_date,($G$2+23),m_active,1,m_start,"&lt;"&amp;780,m_end,"&gt;"&amp;720))))))</f>
        <v/>
      </c>
      <c r="AZ30" s="82" t="str">
        <f aca="false">IF(OR(AZ$4="",MONTH(($G$2+23))&lt;&gt;MONTH($C$2)),"",IF(COUNTIFS(m_teacher,AZ$4,m_date,($G$2+23),m_active,1,m_start,"&lt;"&amp;780,m_end,"&gt;"&amp;720)=0,"",IF(COUNTIFS(m_teacher,AZ$4,m_date,($G$2+23),m_active,1,m_start,"&lt;"&amp;780,m_end,"&gt;"&amp;720)&gt;1,"충돌",HYPERLINK("#'관리자_MASTER'!D"&amp;_xlfn.MAXIFS(m_row,m_teacher,AZ$4,m_date,($G$2+23),m_active,1,m_start,"&lt;"&amp;780,m_end,"&gt;"&amp;720),INDEX(m_label,_xlfn.MAXIFS(m_row,m_teacher,AZ$4,m_date,($G$2+23),m_active,1,m_start,"&lt;"&amp;780,m_end,"&gt;"&amp;720))))))</f>
        <v/>
      </c>
      <c r="BA30" s="82" t="str">
        <f aca="false">IF(OR(BA$4="",MONTH(($G$2+23))&lt;&gt;MONTH($C$2)),"",IF(COUNTIFS(m_teacher,BA$4,m_date,($G$2+23),m_active,1,m_start,"&lt;"&amp;780,m_end,"&gt;"&amp;720)=0,"",IF(COUNTIFS(m_teacher,BA$4,m_date,($G$2+23),m_active,1,m_start,"&lt;"&amp;780,m_end,"&gt;"&amp;720)&gt;1,"충돌",HYPERLINK("#'관리자_MASTER'!D"&amp;_xlfn.MAXIFS(m_row,m_teacher,BA$4,m_date,($G$2+23),m_active,1,m_start,"&lt;"&amp;780,m_end,"&gt;"&amp;720),INDEX(m_label,_xlfn.MAXIFS(m_row,m_teacher,BA$4,m_date,($G$2+23),m_active,1,m_start,"&lt;"&amp;780,m_end,"&gt;"&amp;720))))))</f>
        <v/>
      </c>
      <c r="BB30" s="82" t="str">
        <f aca="false">IF(OR(BB$4="",MONTH(($G$2+23))&lt;&gt;MONTH($C$2)),"",IF(COUNTIFS(m_teacher,BB$4,m_date,($G$2+23),m_active,1,m_start,"&lt;"&amp;780,m_end,"&gt;"&amp;720)=0,"",IF(COUNTIFS(m_teacher,BB$4,m_date,($G$2+23),m_active,1,m_start,"&lt;"&amp;780,m_end,"&gt;"&amp;720)&gt;1,"충돌",HYPERLINK("#'관리자_MASTER'!D"&amp;_xlfn.MAXIFS(m_row,m_teacher,BB$4,m_date,($G$2+23),m_active,1,m_start,"&lt;"&amp;780,m_end,"&gt;"&amp;720),INDEX(m_label,_xlfn.MAXIFS(m_row,m_teacher,BB$4,m_date,($G$2+23),m_active,1,m_start,"&lt;"&amp;780,m_end,"&gt;"&amp;720))))))</f>
        <v/>
      </c>
      <c r="BC30" s="82" t="str">
        <f aca="false">IF(OR(BC$4="",MONTH(($G$2+23))&lt;&gt;MONTH($C$2)),"",IF(COUNTIFS(m_teacher,BC$4,m_date,($G$2+23),m_active,1,m_start,"&lt;"&amp;780,m_end,"&gt;"&amp;720)=0,"",IF(COUNTIFS(m_teacher,BC$4,m_date,($G$2+23),m_active,1,m_start,"&lt;"&amp;780,m_end,"&gt;"&amp;720)&gt;1,"충돌",HYPERLINK("#'관리자_MASTER'!D"&amp;_xlfn.MAXIFS(m_row,m_teacher,BC$4,m_date,($G$2+23),m_active,1,m_start,"&lt;"&amp;780,m_end,"&gt;"&amp;720),INDEX(m_label,_xlfn.MAXIFS(m_row,m_teacher,BC$4,m_date,($G$2+23),m_active,1,m_start,"&lt;"&amp;780,m_end,"&gt;"&amp;720))))))</f>
        <v/>
      </c>
      <c r="BD30" s="82" t="str">
        <f aca="false">IF(OR(BD$4="",MONTH(($G$2+23))&lt;&gt;MONTH($C$2)),"",IF(COUNTIFS(m_teacher,BD$4,m_date,($G$2+23),m_active,1,m_start,"&lt;"&amp;780,m_end,"&gt;"&amp;720)=0,"",IF(COUNTIFS(m_teacher,BD$4,m_date,($G$2+23),m_active,1,m_start,"&lt;"&amp;780,m_end,"&gt;"&amp;720)&gt;1,"충돌",HYPERLINK("#'관리자_MASTER'!D"&amp;_xlfn.MAXIFS(m_row,m_teacher,BD$4,m_date,($G$2+23),m_active,1,m_start,"&lt;"&amp;780,m_end,"&gt;"&amp;720),INDEX(m_label,_xlfn.MAXIFS(m_row,m_teacher,BD$4,m_date,($G$2+23),m_active,1,m_start,"&lt;"&amp;780,m_end,"&gt;"&amp;720))))))</f>
        <v/>
      </c>
      <c r="BE30" s="78"/>
      <c r="BF30" s="79" t="s">
        <v>94</v>
      </c>
      <c r="BG30" s="82" t="str">
        <f aca="false">IF(OR(BG$4="",MONTH(($G$2+30))&lt;&gt;MONTH($C$2)),"",IF(COUNTIFS(m_teacher,BG$4,m_date,($G$2+30),m_active,1,m_start,"&lt;"&amp;780,m_end,"&gt;"&amp;720)=0,"",IF(COUNTIFS(m_teacher,BG$4,m_date,($G$2+30),m_active,1,m_start,"&lt;"&amp;780,m_end,"&gt;"&amp;720)&gt;1,"충돌",HYPERLINK("#'관리자_MASTER'!D"&amp;_xlfn.MAXIFS(m_row,m_teacher,BG$4,m_date,($G$2+30),m_active,1,m_start,"&lt;"&amp;780,m_end,"&gt;"&amp;720),INDEX(m_label,_xlfn.MAXIFS(m_row,m_teacher,BG$4,m_date,($G$2+30),m_active,1,m_start,"&lt;"&amp;780,m_end,"&gt;"&amp;720))))))</f>
        <v/>
      </c>
      <c r="BH30" s="82" t="str">
        <f aca="false">IF(OR(BH$4="",MONTH(($G$2+30))&lt;&gt;MONTH($C$2)),"",IF(COUNTIFS(m_teacher,BH$4,m_date,($G$2+30),m_active,1,m_start,"&lt;"&amp;780,m_end,"&gt;"&amp;720)=0,"",IF(COUNTIFS(m_teacher,BH$4,m_date,($G$2+30),m_active,1,m_start,"&lt;"&amp;780,m_end,"&gt;"&amp;720)&gt;1,"충돌",HYPERLINK("#'관리자_MASTER'!D"&amp;_xlfn.MAXIFS(m_row,m_teacher,BH$4,m_date,($G$2+30),m_active,1,m_start,"&lt;"&amp;780,m_end,"&gt;"&amp;720),INDEX(m_label,_xlfn.MAXIFS(m_row,m_teacher,BH$4,m_date,($G$2+30),m_active,1,m_start,"&lt;"&amp;780,m_end,"&gt;"&amp;720))))))</f>
        <v/>
      </c>
      <c r="BI30" s="82" t="str">
        <f aca="false">IF(OR(BI$4="",MONTH(($G$2+30))&lt;&gt;MONTH($C$2)),"",IF(COUNTIFS(m_teacher,BI$4,m_date,($G$2+30),m_active,1,m_start,"&lt;"&amp;780,m_end,"&gt;"&amp;720)=0,"",IF(COUNTIFS(m_teacher,BI$4,m_date,($G$2+30),m_active,1,m_start,"&lt;"&amp;780,m_end,"&gt;"&amp;720)&gt;1,"충돌",HYPERLINK("#'관리자_MASTER'!D"&amp;_xlfn.MAXIFS(m_row,m_teacher,BI$4,m_date,($G$2+30),m_active,1,m_start,"&lt;"&amp;780,m_end,"&gt;"&amp;720),INDEX(m_label,_xlfn.MAXIFS(m_row,m_teacher,BI$4,m_date,($G$2+30),m_active,1,m_start,"&lt;"&amp;780,m_end,"&gt;"&amp;720))))))</f>
        <v/>
      </c>
      <c r="BJ30" s="82" t="str">
        <f aca="false">IF(OR(BJ$4="",MONTH(($G$2+30))&lt;&gt;MONTH($C$2)),"",IF(COUNTIFS(m_teacher,BJ$4,m_date,($G$2+30),m_active,1,m_start,"&lt;"&amp;780,m_end,"&gt;"&amp;720)=0,"",IF(COUNTIFS(m_teacher,BJ$4,m_date,($G$2+30),m_active,1,m_start,"&lt;"&amp;780,m_end,"&gt;"&amp;720)&gt;1,"충돌",HYPERLINK("#'관리자_MASTER'!D"&amp;_xlfn.MAXIFS(m_row,m_teacher,BJ$4,m_date,($G$2+30),m_active,1,m_start,"&lt;"&amp;780,m_end,"&gt;"&amp;720),INDEX(m_label,_xlfn.MAXIFS(m_row,m_teacher,BJ$4,m_date,($G$2+30),m_active,1,m_start,"&lt;"&amp;780,m_end,"&gt;"&amp;720))))))</f>
        <v/>
      </c>
      <c r="BK30" s="82" t="str">
        <f aca="false">IF(OR(BK$4="",MONTH(($G$2+30))&lt;&gt;MONTH($C$2)),"",IF(COUNTIFS(m_teacher,BK$4,m_date,($G$2+30),m_active,1,m_start,"&lt;"&amp;780,m_end,"&gt;"&amp;720)=0,"",IF(COUNTIFS(m_teacher,BK$4,m_date,($G$2+30),m_active,1,m_start,"&lt;"&amp;780,m_end,"&gt;"&amp;720)&gt;1,"충돌",HYPERLINK("#'관리자_MASTER'!D"&amp;_xlfn.MAXIFS(m_row,m_teacher,BK$4,m_date,($G$2+30),m_active,1,m_start,"&lt;"&amp;780,m_end,"&gt;"&amp;720),INDEX(m_label,_xlfn.MAXIFS(m_row,m_teacher,BK$4,m_date,($G$2+30),m_active,1,m_start,"&lt;"&amp;780,m_end,"&gt;"&amp;720))))))</f>
        <v/>
      </c>
      <c r="BL30" s="82" t="str">
        <f aca="false">IF(OR(BL$4="",MONTH(($G$2+30))&lt;&gt;MONTH($C$2)),"",IF(COUNTIFS(m_teacher,BL$4,m_date,($G$2+30),m_active,1,m_start,"&lt;"&amp;780,m_end,"&gt;"&amp;720)=0,"",IF(COUNTIFS(m_teacher,BL$4,m_date,($G$2+30),m_active,1,m_start,"&lt;"&amp;780,m_end,"&gt;"&amp;720)&gt;1,"충돌",HYPERLINK("#'관리자_MASTER'!D"&amp;_xlfn.MAXIFS(m_row,m_teacher,BL$4,m_date,($G$2+30),m_active,1,m_start,"&lt;"&amp;780,m_end,"&gt;"&amp;720),INDEX(m_label,_xlfn.MAXIFS(m_row,m_teacher,BL$4,m_date,($G$2+30),m_active,1,m_start,"&lt;"&amp;780,m_end,"&gt;"&amp;720))))))</f>
        <v/>
      </c>
      <c r="BM30" s="82" t="str">
        <f aca="false">IF(OR(BM$4="",MONTH(($G$2+30))&lt;&gt;MONTH($C$2)),"",IF(COUNTIFS(m_teacher,BM$4,m_date,($G$2+30),m_active,1,m_start,"&lt;"&amp;780,m_end,"&gt;"&amp;720)=0,"",IF(COUNTIFS(m_teacher,BM$4,m_date,($G$2+30),m_active,1,m_start,"&lt;"&amp;780,m_end,"&gt;"&amp;720)&gt;1,"충돌",HYPERLINK("#'관리자_MASTER'!D"&amp;_xlfn.MAXIFS(m_row,m_teacher,BM$4,m_date,($G$2+30),m_active,1,m_start,"&lt;"&amp;780,m_end,"&gt;"&amp;720),INDEX(m_label,_xlfn.MAXIFS(m_row,m_teacher,BM$4,m_date,($G$2+30),m_active,1,m_start,"&lt;"&amp;780,m_end,"&gt;"&amp;720))))))</f>
        <v/>
      </c>
      <c r="BN30" s="82" t="str">
        <f aca="false">IF(OR(BN$4="",MONTH(($G$2+30))&lt;&gt;MONTH($C$2)),"",IF(COUNTIFS(m_teacher,BN$4,m_date,($G$2+30),m_active,1,m_start,"&lt;"&amp;780,m_end,"&gt;"&amp;720)=0,"",IF(COUNTIFS(m_teacher,BN$4,m_date,($G$2+30),m_active,1,m_start,"&lt;"&amp;780,m_end,"&gt;"&amp;720)&gt;1,"충돌",HYPERLINK("#'관리자_MASTER'!D"&amp;_xlfn.MAXIFS(m_row,m_teacher,BN$4,m_date,($G$2+30),m_active,1,m_start,"&lt;"&amp;780,m_end,"&gt;"&amp;720),INDEX(m_label,_xlfn.MAXIFS(m_row,m_teacher,BN$4,m_date,($G$2+30),m_active,1,m_start,"&lt;"&amp;780,m_end,"&gt;"&amp;720))))))</f>
        <v/>
      </c>
      <c r="BO30" s="82" t="str">
        <f aca="false">IF(OR(BO$4="",MONTH(($G$2+30))&lt;&gt;MONTH($C$2)),"",IF(COUNTIFS(m_teacher,BO$4,m_date,($G$2+30),m_active,1,m_start,"&lt;"&amp;780,m_end,"&gt;"&amp;720)=0,"",IF(COUNTIFS(m_teacher,BO$4,m_date,($G$2+30),m_active,1,m_start,"&lt;"&amp;780,m_end,"&gt;"&amp;720)&gt;1,"충돌",HYPERLINK("#'관리자_MASTER'!D"&amp;_xlfn.MAXIFS(m_row,m_teacher,BO$4,m_date,($G$2+30),m_active,1,m_start,"&lt;"&amp;780,m_end,"&gt;"&amp;720),INDEX(m_label,_xlfn.MAXIFS(m_row,m_teacher,BO$4,m_date,($G$2+30),m_active,1,m_start,"&lt;"&amp;780,m_end,"&gt;"&amp;720))))))</f>
        <v/>
      </c>
      <c r="BP30" s="82" t="str">
        <f aca="false">IF(OR(BP$4="",MONTH(($G$2+30))&lt;&gt;MONTH($C$2)),"",IF(COUNTIFS(m_teacher,BP$4,m_date,($G$2+30),m_active,1,m_start,"&lt;"&amp;780,m_end,"&gt;"&amp;720)=0,"",IF(COUNTIFS(m_teacher,BP$4,m_date,($G$2+30),m_active,1,m_start,"&lt;"&amp;780,m_end,"&gt;"&amp;720)&gt;1,"충돌",HYPERLINK("#'관리자_MASTER'!D"&amp;_xlfn.MAXIFS(m_row,m_teacher,BP$4,m_date,($G$2+30),m_active,1,m_start,"&lt;"&amp;780,m_end,"&gt;"&amp;720),INDEX(m_label,_xlfn.MAXIFS(m_row,m_teacher,BP$4,m_date,($G$2+30),m_active,1,m_start,"&lt;"&amp;780,m_end,"&gt;"&amp;720))))))</f>
        <v/>
      </c>
      <c r="BQ30" s="82" t="str">
        <f aca="false">IF(OR(BQ$4="",MONTH(($G$2+30))&lt;&gt;MONTH($C$2)),"",IF(COUNTIFS(m_teacher,BQ$4,m_date,($G$2+30),m_active,1,m_start,"&lt;"&amp;780,m_end,"&gt;"&amp;720)=0,"",IF(COUNTIFS(m_teacher,BQ$4,m_date,($G$2+30),m_active,1,m_start,"&lt;"&amp;780,m_end,"&gt;"&amp;720)&gt;1,"충돌",HYPERLINK("#'관리자_MASTER'!D"&amp;_xlfn.MAXIFS(m_row,m_teacher,BQ$4,m_date,($G$2+30),m_active,1,m_start,"&lt;"&amp;780,m_end,"&gt;"&amp;720),INDEX(m_label,_xlfn.MAXIFS(m_row,m_teacher,BQ$4,m_date,($G$2+30),m_active,1,m_start,"&lt;"&amp;780,m_end,"&gt;"&amp;720))))))</f>
        <v/>
      </c>
      <c r="BR30" s="82" t="str">
        <f aca="false">IF(OR(BR$4="",MONTH(($G$2+30))&lt;&gt;MONTH($C$2)),"",IF(COUNTIFS(m_teacher,BR$4,m_date,($G$2+30),m_active,1,m_start,"&lt;"&amp;780,m_end,"&gt;"&amp;720)=0,"",IF(COUNTIFS(m_teacher,BR$4,m_date,($G$2+30),m_active,1,m_start,"&lt;"&amp;780,m_end,"&gt;"&amp;720)&gt;1,"충돌",HYPERLINK("#'관리자_MASTER'!D"&amp;_xlfn.MAXIFS(m_row,m_teacher,BR$4,m_date,($G$2+30),m_active,1,m_start,"&lt;"&amp;780,m_end,"&gt;"&amp;720),INDEX(m_label,_xlfn.MAXIFS(m_row,m_teacher,BR$4,m_date,($G$2+30),m_active,1,m_start,"&lt;"&amp;780,m_end,"&gt;"&amp;720))))))</f>
        <v/>
      </c>
    </row>
    <row r="31" customFormat="false" ht="19.5" hidden="false" customHeight="true" outlineLevel="0" collapsed="false">
      <c r="A31" s="78"/>
      <c r="B31" s="79" t="s">
        <v>95</v>
      </c>
      <c r="C31" s="82" t="str">
        <f aca="false">IF(OR(C$4="",MONTH(($G$2+2))&lt;&gt;MONTH($C$2)),"",IF(COUNTIFS(m_teacher,C$4,m_date,($G$2+2),m_active,1,m_start,"&lt;"&amp;840,m_end,"&gt;"&amp;780)=0,"",IF(COUNTIFS(m_teacher,C$4,m_date,($G$2+2),m_active,1,m_start,"&lt;"&amp;840,m_end,"&gt;"&amp;780)&gt;1,"충돌",HYPERLINK("#'관리자_MASTER'!D"&amp;_xlfn.MAXIFS(m_row,m_teacher,C$4,m_date,($G$2+2),m_active,1,m_start,"&lt;"&amp;840,m_end,"&gt;"&amp;780),INDEX(m_label,_xlfn.MAXIFS(m_row,m_teacher,C$4,m_date,($G$2+2),m_active,1,m_start,"&lt;"&amp;840,m_end,"&gt;"&amp;780))))))</f>
        <v/>
      </c>
      <c r="D31" s="82" t="str">
        <f aca="false">IF(OR(D$4="",MONTH(($G$2+2))&lt;&gt;MONTH($C$2)),"",IF(COUNTIFS(m_teacher,D$4,m_date,($G$2+2),m_active,1,m_start,"&lt;"&amp;840,m_end,"&gt;"&amp;780)=0,"",IF(COUNTIFS(m_teacher,D$4,m_date,($G$2+2),m_active,1,m_start,"&lt;"&amp;840,m_end,"&gt;"&amp;780)&gt;1,"충돌",HYPERLINK("#'관리자_MASTER'!D"&amp;_xlfn.MAXIFS(m_row,m_teacher,D$4,m_date,($G$2+2),m_active,1,m_start,"&lt;"&amp;840,m_end,"&gt;"&amp;780),INDEX(m_label,_xlfn.MAXIFS(m_row,m_teacher,D$4,m_date,($G$2+2),m_active,1,m_start,"&lt;"&amp;840,m_end,"&gt;"&amp;780))))))</f>
        <v/>
      </c>
      <c r="E31" s="82" t="str">
        <f aca="false">IF(OR(E$4="",MONTH(($G$2+2))&lt;&gt;MONTH($C$2)),"",IF(COUNTIFS(m_teacher,E$4,m_date,($G$2+2),m_active,1,m_start,"&lt;"&amp;840,m_end,"&gt;"&amp;780)=0,"",IF(COUNTIFS(m_teacher,E$4,m_date,($G$2+2),m_active,1,m_start,"&lt;"&amp;840,m_end,"&gt;"&amp;780)&gt;1,"충돌",HYPERLINK("#'관리자_MASTER'!D"&amp;_xlfn.MAXIFS(m_row,m_teacher,E$4,m_date,($G$2+2),m_active,1,m_start,"&lt;"&amp;840,m_end,"&gt;"&amp;780),INDEX(m_label,_xlfn.MAXIFS(m_row,m_teacher,E$4,m_date,($G$2+2),m_active,1,m_start,"&lt;"&amp;840,m_end,"&gt;"&amp;780))))))</f>
        <v/>
      </c>
      <c r="F31" s="82" t="str">
        <f aca="false">IF(OR(F$4="",MONTH(($G$2+2))&lt;&gt;MONTH($C$2)),"",IF(COUNTIFS(m_teacher,F$4,m_date,($G$2+2),m_active,1,m_start,"&lt;"&amp;840,m_end,"&gt;"&amp;780)=0,"",IF(COUNTIFS(m_teacher,F$4,m_date,($G$2+2),m_active,1,m_start,"&lt;"&amp;840,m_end,"&gt;"&amp;780)&gt;1,"충돌",HYPERLINK("#'관리자_MASTER'!D"&amp;_xlfn.MAXIFS(m_row,m_teacher,F$4,m_date,($G$2+2),m_active,1,m_start,"&lt;"&amp;840,m_end,"&gt;"&amp;780),INDEX(m_label,_xlfn.MAXIFS(m_row,m_teacher,F$4,m_date,($G$2+2),m_active,1,m_start,"&lt;"&amp;840,m_end,"&gt;"&amp;780))))))</f>
        <v/>
      </c>
      <c r="G31" s="82" t="str">
        <f aca="false">IF(OR(G$4="",MONTH(($G$2+2))&lt;&gt;MONTH($C$2)),"",IF(COUNTIFS(m_teacher,G$4,m_date,($G$2+2),m_active,1,m_start,"&lt;"&amp;840,m_end,"&gt;"&amp;780)=0,"",IF(COUNTIFS(m_teacher,G$4,m_date,($G$2+2),m_active,1,m_start,"&lt;"&amp;840,m_end,"&gt;"&amp;780)&gt;1,"충돌",HYPERLINK("#'관리자_MASTER'!D"&amp;_xlfn.MAXIFS(m_row,m_teacher,G$4,m_date,($G$2+2),m_active,1,m_start,"&lt;"&amp;840,m_end,"&gt;"&amp;780),INDEX(m_label,_xlfn.MAXIFS(m_row,m_teacher,G$4,m_date,($G$2+2),m_active,1,m_start,"&lt;"&amp;840,m_end,"&gt;"&amp;780))))))</f>
        <v/>
      </c>
      <c r="H31" s="82" t="str">
        <f aca="false">IF(OR(H$4="",MONTH(($G$2+2))&lt;&gt;MONTH($C$2)),"",IF(COUNTIFS(m_teacher,H$4,m_date,($G$2+2),m_active,1,m_start,"&lt;"&amp;840,m_end,"&gt;"&amp;780)=0,"",IF(COUNTIFS(m_teacher,H$4,m_date,($G$2+2),m_active,1,m_start,"&lt;"&amp;840,m_end,"&gt;"&amp;780)&gt;1,"충돌",HYPERLINK("#'관리자_MASTER'!D"&amp;_xlfn.MAXIFS(m_row,m_teacher,H$4,m_date,($G$2+2),m_active,1,m_start,"&lt;"&amp;840,m_end,"&gt;"&amp;780),INDEX(m_label,_xlfn.MAXIFS(m_row,m_teacher,H$4,m_date,($G$2+2),m_active,1,m_start,"&lt;"&amp;840,m_end,"&gt;"&amp;780))))))</f>
        <v/>
      </c>
      <c r="I31" s="82" t="str">
        <f aca="false">IF(OR(I$4="",MONTH(($G$2+2))&lt;&gt;MONTH($C$2)),"",IF(COUNTIFS(m_teacher,I$4,m_date,($G$2+2),m_active,1,m_start,"&lt;"&amp;840,m_end,"&gt;"&amp;780)=0,"",IF(COUNTIFS(m_teacher,I$4,m_date,($G$2+2),m_active,1,m_start,"&lt;"&amp;840,m_end,"&gt;"&amp;780)&gt;1,"충돌",HYPERLINK("#'관리자_MASTER'!D"&amp;_xlfn.MAXIFS(m_row,m_teacher,I$4,m_date,($G$2+2),m_active,1,m_start,"&lt;"&amp;840,m_end,"&gt;"&amp;780),INDEX(m_label,_xlfn.MAXIFS(m_row,m_teacher,I$4,m_date,($G$2+2),m_active,1,m_start,"&lt;"&amp;840,m_end,"&gt;"&amp;780))))))</f>
        <v/>
      </c>
      <c r="J31" s="82" t="str">
        <f aca="false">IF(OR(J$4="",MONTH(($G$2+2))&lt;&gt;MONTH($C$2)),"",IF(COUNTIFS(m_teacher,J$4,m_date,($G$2+2),m_active,1,m_start,"&lt;"&amp;840,m_end,"&gt;"&amp;780)=0,"",IF(COUNTIFS(m_teacher,J$4,m_date,($G$2+2),m_active,1,m_start,"&lt;"&amp;840,m_end,"&gt;"&amp;780)&gt;1,"충돌",HYPERLINK("#'관리자_MASTER'!D"&amp;_xlfn.MAXIFS(m_row,m_teacher,J$4,m_date,($G$2+2),m_active,1,m_start,"&lt;"&amp;840,m_end,"&gt;"&amp;780),INDEX(m_label,_xlfn.MAXIFS(m_row,m_teacher,J$4,m_date,($G$2+2),m_active,1,m_start,"&lt;"&amp;840,m_end,"&gt;"&amp;780))))))</f>
        <v/>
      </c>
      <c r="K31" s="82" t="str">
        <f aca="false">IF(OR(K$4="",MONTH(($G$2+2))&lt;&gt;MONTH($C$2)),"",IF(COUNTIFS(m_teacher,K$4,m_date,($G$2+2),m_active,1,m_start,"&lt;"&amp;840,m_end,"&gt;"&amp;780)=0,"",IF(COUNTIFS(m_teacher,K$4,m_date,($G$2+2),m_active,1,m_start,"&lt;"&amp;840,m_end,"&gt;"&amp;780)&gt;1,"충돌",HYPERLINK("#'관리자_MASTER'!D"&amp;_xlfn.MAXIFS(m_row,m_teacher,K$4,m_date,($G$2+2),m_active,1,m_start,"&lt;"&amp;840,m_end,"&gt;"&amp;780),INDEX(m_label,_xlfn.MAXIFS(m_row,m_teacher,K$4,m_date,($G$2+2),m_active,1,m_start,"&lt;"&amp;840,m_end,"&gt;"&amp;780))))))</f>
        <v/>
      </c>
      <c r="L31" s="82" t="str">
        <f aca="false">IF(OR(L$4="",MONTH(($G$2+2))&lt;&gt;MONTH($C$2)),"",IF(COUNTIFS(m_teacher,L$4,m_date,($G$2+2),m_active,1,m_start,"&lt;"&amp;840,m_end,"&gt;"&amp;780)=0,"",IF(COUNTIFS(m_teacher,L$4,m_date,($G$2+2),m_active,1,m_start,"&lt;"&amp;840,m_end,"&gt;"&amp;780)&gt;1,"충돌",HYPERLINK("#'관리자_MASTER'!D"&amp;_xlfn.MAXIFS(m_row,m_teacher,L$4,m_date,($G$2+2),m_active,1,m_start,"&lt;"&amp;840,m_end,"&gt;"&amp;780),INDEX(m_label,_xlfn.MAXIFS(m_row,m_teacher,L$4,m_date,($G$2+2),m_active,1,m_start,"&lt;"&amp;840,m_end,"&gt;"&amp;780))))))</f>
        <v/>
      </c>
      <c r="M31" s="82" t="str">
        <f aca="false">IF(OR(M$4="",MONTH(($G$2+2))&lt;&gt;MONTH($C$2)),"",IF(COUNTIFS(m_teacher,M$4,m_date,($G$2+2),m_active,1,m_start,"&lt;"&amp;840,m_end,"&gt;"&amp;780)=0,"",IF(COUNTIFS(m_teacher,M$4,m_date,($G$2+2),m_active,1,m_start,"&lt;"&amp;840,m_end,"&gt;"&amp;780)&gt;1,"충돌",HYPERLINK("#'관리자_MASTER'!D"&amp;_xlfn.MAXIFS(m_row,m_teacher,M$4,m_date,($G$2+2),m_active,1,m_start,"&lt;"&amp;840,m_end,"&gt;"&amp;780),INDEX(m_label,_xlfn.MAXIFS(m_row,m_teacher,M$4,m_date,($G$2+2),m_active,1,m_start,"&lt;"&amp;840,m_end,"&gt;"&amp;780))))))</f>
        <v/>
      </c>
      <c r="N31" s="82" t="str">
        <f aca="false">IF(OR(N$4="",MONTH(($G$2+2))&lt;&gt;MONTH($C$2)),"",IF(COUNTIFS(m_teacher,N$4,m_date,($G$2+2),m_active,1,m_start,"&lt;"&amp;840,m_end,"&gt;"&amp;780)=0,"",IF(COUNTIFS(m_teacher,N$4,m_date,($G$2+2),m_active,1,m_start,"&lt;"&amp;840,m_end,"&gt;"&amp;780)&gt;1,"충돌",HYPERLINK("#'관리자_MASTER'!D"&amp;_xlfn.MAXIFS(m_row,m_teacher,N$4,m_date,($G$2+2),m_active,1,m_start,"&lt;"&amp;840,m_end,"&gt;"&amp;780),INDEX(m_label,_xlfn.MAXIFS(m_row,m_teacher,N$4,m_date,($G$2+2),m_active,1,m_start,"&lt;"&amp;840,m_end,"&gt;"&amp;780))))))</f>
        <v/>
      </c>
      <c r="O31" s="78"/>
      <c r="P31" s="79" t="s">
        <v>95</v>
      </c>
      <c r="Q31" s="82" t="str">
        <f aca="false">IF(OR(Q$4="",MONTH(($G$2+9))&lt;&gt;MONTH($C$2)),"",IF(COUNTIFS(m_teacher,Q$4,m_date,($G$2+9),m_active,1,m_start,"&lt;"&amp;840,m_end,"&gt;"&amp;780)=0,"",IF(COUNTIFS(m_teacher,Q$4,m_date,($G$2+9),m_active,1,m_start,"&lt;"&amp;840,m_end,"&gt;"&amp;780)&gt;1,"충돌",HYPERLINK("#'관리자_MASTER'!D"&amp;_xlfn.MAXIFS(m_row,m_teacher,Q$4,m_date,($G$2+9),m_active,1,m_start,"&lt;"&amp;840,m_end,"&gt;"&amp;780),INDEX(m_label,_xlfn.MAXIFS(m_row,m_teacher,Q$4,m_date,($G$2+9),m_active,1,m_start,"&lt;"&amp;840,m_end,"&gt;"&amp;780))))))</f>
        <v/>
      </c>
      <c r="R31" s="82" t="str">
        <f aca="false">IF(OR(R$4="",MONTH(($G$2+9))&lt;&gt;MONTH($C$2)),"",IF(COUNTIFS(m_teacher,R$4,m_date,($G$2+9),m_active,1,m_start,"&lt;"&amp;840,m_end,"&gt;"&amp;780)=0,"",IF(COUNTIFS(m_teacher,R$4,m_date,($G$2+9),m_active,1,m_start,"&lt;"&amp;840,m_end,"&gt;"&amp;780)&gt;1,"충돌",HYPERLINK("#'관리자_MASTER'!D"&amp;_xlfn.MAXIFS(m_row,m_teacher,R$4,m_date,($G$2+9),m_active,1,m_start,"&lt;"&amp;840,m_end,"&gt;"&amp;780),INDEX(m_label,_xlfn.MAXIFS(m_row,m_teacher,R$4,m_date,($G$2+9),m_active,1,m_start,"&lt;"&amp;840,m_end,"&gt;"&amp;780))))))</f>
        <v/>
      </c>
      <c r="S31" s="82" t="str">
        <f aca="false">IF(OR(S$4="",MONTH(($G$2+9))&lt;&gt;MONTH($C$2)),"",IF(COUNTIFS(m_teacher,S$4,m_date,($G$2+9),m_active,1,m_start,"&lt;"&amp;840,m_end,"&gt;"&amp;780)=0,"",IF(COUNTIFS(m_teacher,S$4,m_date,($G$2+9),m_active,1,m_start,"&lt;"&amp;840,m_end,"&gt;"&amp;780)&gt;1,"충돌",HYPERLINK("#'관리자_MASTER'!D"&amp;_xlfn.MAXIFS(m_row,m_teacher,S$4,m_date,($G$2+9),m_active,1,m_start,"&lt;"&amp;840,m_end,"&gt;"&amp;780),INDEX(m_label,_xlfn.MAXIFS(m_row,m_teacher,S$4,m_date,($G$2+9),m_active,1,m_start,"&lt;"&amp;840,m_end,"&gt;"&amp;780))))))</f>
        <v/>
      </c>
      <c r="T31" s="82" t="str">
        <f aca="false">IF(OR(T$4="",MONTH(($G$2+9))&lt;&gt;MONTH($C$2)),"",IF(COUNTIFS(m_teacher,T$4,m_date,($G$2+9),m_active,1,m_start,"&lt;"&amp;840,m_end,"&gt;"&amp;780)=0,"",IF(COUNTIFS(m_teacher,T$4,m_date,($G$2+9),m_active,1,m_start,"&lt;"&amp;840,m_end,"&gt;"&amp;780)&gt;1,"충돌",HYPERLINK("#'관리자_MASTER'!D"&amp;_xlfn.MAXIFS(m_row,m_teacher,T$4,m_date,($G$2+9),m_active,1,m_start,"&lt;"&amp;840,m_end,"&gt;"&amp;780),INDEX(m_label,_xlfn.MAXIFS(m_row,m_teacher,T$4,m_date,($G$2+9),m_active,1,m_start,"&lt;"&amp;840,m_end,"&gt;"&amp;780))))))</f>
        <v/>
      </c>
      <c r="U31" s="82" t="str">
        <f aca="false">IF(OR(U$4="",MONTH(($G$2+9))&lt;&gt;MONTH($C$2)),"",IF(COUNTIFS(m_teacher,U$4,m_date,($G$2+9),m_active,1,m_start,"&lt;"&amp;840,m_end,"&gt;"&amp;780)=0,"",IF(COUNTIFS(m_teacher,U$4,m_date,($G$2+9),m_active,1,m_start,"&lt;"&amp;840,m_end,"&gt;"&amp;780)&gt;1,"충돌",HYPERLINK("#'관리자_MASTER'!D"&amp;_xlfn.MAXIFS(m_row,m_teacher,U$4,m_date,($G$2+9),m_active,1,m_start,"&lt;"&amp;840,m_end,"&gt;"&amp;780),INDEX(m_label,_xlfn.MAXIFS(m_row,m_teacher,U$4,m_date,($G$2+9),m_active,1,m_start,"&lt;"&amp;840,m_end,"&gt;"&amp;780))))))</f>
        <v/>
      </c>
      <c r="V31" s="82" t="str">
        <f aca="false">IF(OR(V$4="",MONTH(($G$2+9))&lt;&gt;MONTH($C$2)),"",IF(COUNTIFS(m_teacher,V$4,m_date,($G$2+9),m_active,1,m_start,"&lt;"&amp;840,m_end,"&gt;"&amp;780)=0,"",IF(COUNTIFS(m_teacher,V$4,m_date,($G$2+9),m_active,1,m_start,"&lt;"&amp;840,m_end,"&gt;"&amp;780)&gt;1,"충돌",HYPERLINK("#'관리자_MASTER'!D"&amp;_xlfn.MAXIFS(m_row,m_teacher,V$4,m_date,($G$2+9),m_active,1,m_start,"&lt;"&amp;840,m_end,"&gt;"&amp;780),INDEX(m_label,_xlfn.MAXIFS(m_row,m_teacher,V$4,m_date,($G$2+9),m_active,1,m_start,"&lt;"&amp;840,m_end,"&gt;"&amp;780))))))</f>
        <v/>
      </c>
      <c r="W31" s="82" t="str">
        <f aca="false">IF(OR(W$4="",MONTH(($G$2+9))&lt;&gt;MONTH($C$2)),"",IF(COUNTIFS(m_teacher,W$4,m_date,($G$2+9),m_active,1,m_start,"&lt;"&amp;840,m_end,"&gt;"&amp;780)=0,"",IF(COUNTIFS(m_teacher,W$4,m_date,($G$2+9),m_active,1,m_start,"&lt;"&amp;840,m_end,"&gt;"&amp;780)&gt;1,"충돌",HYPERLINK("#'관리자_MASTER'!D"&amp;_xlfn.MAXIFS(m_row,m_teacher,W$4,m_date,($G$2+9),m_active,1,m_start,"&lt;"&amp;840,m_end,"&gt;"&amp;780),INDEX(m_label,_xlfn.MAXIFS(m_row,m_teacher,W$4,m_date,($G$2+9),m_active,1,m_start,"&lt;"&amp;840,m_end,"&gt;"&amp;780))))))</f>
        <v/>
      </c>
      <c r="X31" s="82" t="str">
        <f aca="false">IF(OR(X$4="",MONTH(($G$2+9))&lt;&gt;MONTH($C$2)),"",IF(COUNTIFS(m_teacher,X$4,m_date,($G$2+9),m_active,1,m_start,"&lt;"&amp;840,m_end,"&gt;"&amp;780)=0,"",IF(COUNTIFS(m_teacher,X$4,m_date,($G$2+9),m_active,1,m_start,"&lt;"&amp;840,m_end,"&gt;"&amp;780)&gt;1,"충돌",HYPERLINK("#'관리자_MASTER'!D"&amp;_xlfn.MAXIFS(m_row,m_teacher,X$4,m_date,($G$2+9),m_active,1,m_start,"&lt;"&amp;840,m_end,"&gt;"&amp;780),INDEX(m_label,_xlfn.MAXIFS(m_row,m_teacher,X$4,m_date,($G$2+9),m_active,1,m_start,"&lt;"&amp;840,m_end,"&gt;"&amp;780))))))</f>
        <v/>
      </c>
      <c r="Y31" s="82" t="str">
        <f aca="false">IF(OR(Y$4="",MONTH(($G$2+9))&lt;&gt;MONTH($C$2)),"",IF(COUNTIFS(m_teacher,Y$4,m_date,($G$2+9),m_active,1,m_start,"&lt;"&amp;840,m_end,"&gt;"&amp;780)=0,"",IF(COUNTIFS(m_teacher,Y$4,m_date,($G$2+9),m_active,1,m_start,"&lt;"&amp;840,m_end,"&gt;"&amp;780)&gt;1,"충돌",HYPERLINK("#'관리자_MASTER'!D"&amp;_xlfn.MAXIFS(m_row,m_teacher,Y$4,m_date,($G$2+9),m_active,1,m_start,"&lt;"&amp;840,m_end,"&gt;"&amp;780),INDEX(m_label,_xlfn.MAXIFS(m_row,m_teacher,Y$4,m_date,($G$2+9),m_active,1,m_start,"&lt;"&amp;840,m_end,"&gt;"&amp;780))))))</f>
        <v/>
      </c>
      <c r="Z31" s="82" t="str">
        <f aca="false">IF(OR(Z$4="",MONTH(($G$2+9))&lt;&gt;MONTH($C$2)),"",IF(COUNTIFS(m_teacher,Z$4,m_date,($G$2+9),m_active,1,m_start,"&lt;"&amp;840,m_end,"&gt;"&amp;780)=0,"",IF(COUNTIFS(m_teacher,Z$4,m_date,($G$2+9),m_active,1,m_start,"&lt;"&amp;840,m_end,"&gt;"&amp;780)&gt;1,"충돌",HYPERLINK("#'관리자_MASTER'!D"&amp;_xlfn.MAXIFS(m_row,m_teacher,Z$4,m_date,($G$2+9),m_active,1,m_start,"&lt;"&amp;840,m_end,"&gt;"&amp;780),INDEX(m_label,_xlfn.MAXIFS(m_row,m_teacher,Z$4,m_date,($G$2+9),m_active,1,m_start,"&lt;"&amp;840,m_end,"&gt;"&amp;780))))))</f>
        <v/>
      </c>
      <c r="AA31" s="82" t="str">
        <f aca="false">IF(OR(AA$4="",MONTH(($G$2+9))&lt;&gt;MONTH($C$2)),"",IF(COUNTIFS(m_teacher,AA$4,m_date,($G$2+9),m_active,1,m_start,"&lt;"&amp;840,m_end,"&gt;"&amp;780)=0,"",IF(COUNTIFS(m_teacher,AA$4,m_date,($G$2+9),m_active,1,m_start,"&lt;"&amp;840,m_end,"&gt;"&amp;780)&gt;1,"충돌",HYPERLINK("#'관리자_MASTER'!D"&amp;_xlfn.MAXIFS(m_row,m_teacher,AA$4,m_date,($G$2+9),m_active,1,m_start,"&lt;"&amp;840,m_end,"&gt;"&amp;780),INDEX(m_label,_xlfn.MAXIFS(m_row,m_teacher,AA$4,m_date,($G$2+9),m_active,1,m_start,"&lt;"&amp;840,m_end,"&gt;"&amp;780))))))</f>
        <v/>
      </c>
      <c r="AB31" s="82" t="str">
        <f aca="false">IF(OR(AB$4="",MONTH(($G$2+9))&lt;&gt;MONTH($C$2)),"",IF(COUNTIFS(m_teacher,AB$4,m_date,($G$2+9),m_active,1,m_start,"&lt;"&amp;840,m_end,"&gt;"&amp;780)=0,"",IF(COUNTIFS(m_teacher,AB$4,m_date,($G$2+9),m_active,1,m_start,"&lt;"&amp;840,m_end,"&gt;"&amp;780)&gt;1,"충돌",HYPERLINK("#'관리자_MASTER'!D"&amp;_xlfn.MAXIFS(m_row,m_teacher,AB$4,m_date,($G$2+9),m_active,1,m_start,"&lt;"&amp;840,m_end,"&gt;"&amp;780),INDEX(m_label,_xlfn.MAXIFS(m_row,m_teacher,AB$4,m_date,($G$2+9),m_active,1,m_start,"&lt;"&amp;840,m_end,"&gt;"&amp;780))))))</f>
        <v/>
      </c>
      <c r="AC31" s="78"/>
      <c r="AD31" s="79" t="s">
        <v>95</v>
      </c>
      <c r="AE31" s="82" t="str">
        <f aca="false">IF(OR(AE$4="",MONTH(($G$2+16))&lt;&gt;MONTH($C$2)),"",IF(COUNTIFS(m_teacher,AE$4,m_date,($G$2+16),m_active,1,m_start,"&lt;"&amp;840,m_end,"&gt;"&amp;780)=0,"",IF(COUNTIFS(m_teacher,AE$4,m_date,($G$2+16),m_active,1,m_start,"&lt;"&amp;840,m_end,"&gt;"&amp;780)&gt;1,"충돌",HYPERLINK("#'관리자_MASTER'!D"&amp;_xlfn.MAXIFS(m_row,m_teacher,AE$4,m_date,($G$2+16),m_active,1,m_start,"&lt;"&amp;840,m_end,"&gt;"&amp;780),INDEX(m_label,_xlfn.MAXIFS(m_row,m_teacher,AE$4,m_date,($G$2+16),m_active,1,m_start,"&lt;"&amp;840,m_end,"&gt;"&amp;780))))))</f>
        <v/>
      </c>
      <c r="AF31" s="82" t="str">
        <f aca="false">IF(OR(AF$4="",MONTH(($G$2+16))&lt;&gt;MONTH($C$2)),"",IF(COUNTIFS(m_teacher,AF$4,m_date,($G$2+16),m_active,1,m_start,"&lt;"&amp;840,m_end,"&gt;"&amp;780)=0,"",IF(COUNTIFS(m_teacher,AF$4,m_date,($G$2+16),m_active,1,m_start,"&lt;"&amp;840,m_end,"&gt;"&amp;780)&gt;1,"충돌",HYPERLINK("#'관리자_MASTER'!D"&amp;_xlfn.MAXIFS(m_row,m_teacher,AF$4,m_date,($G$2+16),m_active,1,m_start,"&lt;"&amp;840,m_end,"&gt;"&amp;780),INDEX(m_label,_xlfn.MAXIFS(m_row,m_teacher,AF$4,m_date,($G$2+16),m_active,1,m_start,"&lt;"&amp;840,m_end,"&gt;"&amp;780))))))</f>
        <v/>
      </c>
      <c r="AG31" s="82" t="str">
        <f aca="false">IF(OR(AG$4="",MONTH(($G$2+16))&lt;&gt;MONTH($C$2)),"",IF(COUNTIFS(m_teacher,AG$4,m_date,($G$2+16),m_active,1,m_start,"&lt;"&amp;840,m_end,"&gt;"&amp;780)=0,"",IF(COUNTIFS(m_teacher,AG$4,m_date,($G$2+16),m_active,1,m_start,"&lt;"&amp;840,m_end,"&gt;"&amp;780)&gt;1,"충돌",HYPERLINK("#'관리자_MASTER'!D"&amp;_xlfn.MAXIFS(m_row,m_teacher,AG$4,m_date,($G$2+16),m_active,1,m_start,"&lt;"&amp;840,m_end,"&gt;"&amp;780),INDEX(m_label,_xlfn.MAXIFS(m_row,m_teacher,AG$4,m_date,($G$2+16),m_active,1,m_start,"&lt;"&amp;840,m_end,"&gt;"&amp;780))))))</f>
        <v/>
      </c>
      <c r="AH31" s="82" t="str">
        <f aca="false">IF(OR(AH$4="",MONTH(($G$2+16))&lt;&gt;MONTH($C$2)),"",IF(COUNTIFS(m_teacher,AH$4,m_date,($G$2+16),m_active,1,m_start,"&lt;"&amp;840,m_end,"&gt;"&amp;780)=0,"",IF(COUNTIFS(m_teacher,AH$4,m_date,($G$2+16),m_active,1,m_start,"&lt;"&amp;840,m_end,"&gt;"&amp;780)&gt;1,"충돌",HYPERLINK("#'관리자_MASTER'!D"&amp;_xlfn.MAXIFS(m_row,m_teacher,AH$4,m_date,($G$2+16),m_active,1,m_start,"&lt;"&amp;840,m_end,"&gt;"&amp;780),INDEX(m_label,_xlfn.MAXIFS(m_row,m_teacher,AH$4,m_date,($G$2+16),m_active,1,m_start,"&lt;"&amp;840,m_end,"&gt;"&amp;780))))))</f>
        <v/>
      </c>
      <c r="AI31" s="82" t="str">
        <f aca="false">IF(OR(AI$4="",MONTH(($G$2+16))&lt;&gt;MONTH($C$2)),"",IF(COUNTIFS(m_teacher,AI$4,m_date,($G$2+16),m_active,1,m_start,"&lt;"&amp;840,m_end,"&gt;"&amp;780)=0,"",IF(COUNTIFS(m_teacher,AI$4,m_date,($G$2+16),m_active,1,m_start,"&lt;"&amp;840,m_end,"&gt;"&amp;780)&gt;1,"충돌",HYPERLINK("#'관리자_MASTER'!D"&amp;_xlfn.MAXIFS(m_row,m_teacher,AI$4,m_date,($G$2+16),m_active,1,m_start,"&lt;"&amp;840,m_end,"&gt;"&amp;780),INDEX(m_label,_xlfn.MAXIFS(m_row,m_teacher,AI$4,m_date,($G$2+16),m_active,1,m_start,"&lt;"&amp;840,m_end,"&gt;"&amp;780))))))</f>
        <v/>
      </c>
      <c r="AJ31" s="82" t="str">
        <f aca="false">IF(OR(AJ$4="",MONTH(($G$2+16))&lt;&gt;MONTH($C$2)),"",IF(COUNTIFS(m_teacher,AJ$4,m_date,($G$2+16),m_active,1,m_start,"&lt;"&amp;840,m_end,"&gt;"&amp;780)=0,"",IF(COUNTIFS(m_teacher,AJ$4,m_date,($G$2+16),m_active,1,m_start,"&lt;"&amp;840,m_end,"&gt;"&amp;780)&gt;1,"충돌",HYPERLINK("#'관리자_MASTER'!D"&amp;_xlfn.MAXIFS(m_row,m_teacher,AJ$4,m_date,($G$2+16),m_active,1,m_start,"&lt;"&amp;840,m_end,"&gt;"&amp;780),INDEX(m_label,_xlfn.MAXIFS(m_row,m_teacher,AJ$4,m_date,($G$2+16),m_active,1,m_start,"&lt;"&amp;840,m_end,"&gt;"&amp;780))))))</f>
        <v/>
      </c>
      <c r="AK31" s="82" t="str">
        <f aca="false">IF(OR(AK$4="",MONTH(($G$2+16))&lt;&gt;MONTH($C$2)),"",IF(COUNTIFS(m_teacher,AK$4,m_date,($G$2+16),m_active,1,m_start,"&lt;"&amp;840,m_end,"&gt;"&amp;780)=0,"",IF(COUNTIFS(m_teacher,AK$4,m_date,($G$2+16),m_active,1,m_start,"&lt;"&amp;840,m_end,"&gt;"&amp;780)&gt;1,"충돌",HYPERLINK("#'관리자_MASTER'!D"&amp;_xlfn.MAXIFS(m_row,m_teacher,AK$4,m_date,($G$2+16),m_active,1,m_start,"&lt;"&amp;840,m_end,"&gt;"&amp;780),INDEX(m_label,_xlfn.MAXIFS(m_row,m_teacher,AK$4,m_date,($G$2+16),m_active,1,m_start,"&lt;"&amp;840,m_end,"&gt;"&amp;780))))))</f>
        <v/>
      </c>
      <c r="AL31" s="82" t="str">
        <f aca="false">IF(OR(AL$4="",MONTH(($G$2+16))&lt;&gt;MONTH($C$2)),"",IF(COUNTIFS(m_teacher,AL$4,m_date,($G$2+16),m_active,1,m_start,"&lt;"&amp;840,m_end,"&gt;"&amp;780)=0,"",IF(COUNTIFS(m_teacher,AL$4,m_date,($G$2+16),m_active,1,m_start,"&lt;"&amp;840,m_end,"&gt;"&amp;780)&gt;1,"충돌",HYPERLINK("#'관리자_MASTER'!D"&amp;_xlfn.MAXIFS(m_row,m_teacher,AL$4,m_date,($G$2+16),m_active,1,m_start,"&lt;"&amp;840,m_end,"&gt;"&amp;780),INDEX(m_label,_xlfn.MAXIFS(m_row,m_teacher,AL$4,m_date,($G$2+16),m_active,1,m_start,"&lt;"&amp;840,m_end,"&gt;"&amp;780))))))</f>
        <v/>
      </c>
      <c r="AM31" s="82" t="str">
        <f aca="false">IF(OR(AM$4="",MONTH(($G$2+16))&lt;&gt;MONTH($C$2)),"",IF(COUNTIFS(m_teacher,AM$4,m_date,($G$2+16),m_active,1,m_start,"&lt;"&amp;840,m_end,"&gt;"&amp;780)=0,"",IF(COUNTIFS(m_teacher,AM$4,m_date,($G$2+16),m_active,1,m_start,"&lt;"&amp;840,m_end,"&gt;"&amp;780)&gt;1,"충돌",HYPERLINK("#'관리자_MASTER'!D"&amp;_xlfn.MAXIFS(m_row,m_teacher,AM$4,m_date,($G$2+16),m_active,1,m_start,"&lt;"&amp;840,m_end,"&gt;"&amp;780),INDEX(m_label,_xlfn.MAXIFS(m_row,m_teacher,AM$4,m_date,($G$2+16),m_active,1,m_start,"&lt;"&amp;840,m_end,"&gt;"&amp;780))))))</f>
        <v/>
      </c>
      <c r="AN31" s="82" t="str">
        <f aca="false">IF(OR(AN$4="",MONTH(($G$2+16))&lt;&gt;MONTH($C$2)),"",IF(COUNTIFS(m_teacher,AN$4,m_date,($G$2+16),m_active,1,m_start,"&lt;"&amp;840,m_end,"&gt;"&amp;780)=0,"",IF(COUNTIFS(m_teacher,AN$4,m_date,($G$2+16),m_active,1,m_start,"&lt;"&amp;840,m_end,"&gt;"&amp;780)&gt;1,"충돌",HYPERLINK("#'관리자_MASTER'!D"&amp;_xlfn.MAXIFS(m_row,m_teacher,AN$4,m_date,($G$2+16),m_active,1,m_start,"&lt;"&amp;840,m_end,"&gt;"&amp;780),INDEX(m_label,_xlfn.MAXIFS(m_row,m_teacher,AN$4,m_date,($G$2+16),m_active,1,m_start,"&lt;"&amp;840,m_end,"&gt;"&amp;780))))))</f>
        <v/>
      </c>
      <c r="AO31" s="82" t="str">
        <f aca="false">IF(OR(AO$4="",MONTH(($G$2+16))&lt;&gt;MONTH($C$2)),"",IF(COUNTIFS(m_teacher,AO$4,m_date,($G$2+16),m_active,1,m_start,"&lt;"&amp;840,m_end,"&gt;"&amp;780)=0,"",IF(COUNTIFS(m_teacher,AO$4,m_date,($G$2+16),m_active,1,m_start,"&lt;"&amp;840,m_end,"&gt;"&amp;780)&gt;1,"충돌",HYPERLINK("#'관리자_MASTER'!D"&amp;_xlfn.MAXIFS(m_row,m_teacher,AO$4,m_date,($G$2+16),m_active,1,m_start,"&lt;"&amp;840,m_end,"&gt;"&amp;780),INDEX(m_label,_xlfn.MAXIFS(m_row,m_teacher,AO$4,m_date,($G$2+16),m_active,1,m_start,"&lt;"&amp;840,m_end,"&gt;"&amp;780))))))</f>
        <v/>
      </c>
      <c r="AP31" s="82" t="str">
        <f aca="false">IF(OR(AP$4="",MONTH(($G$2+16))&lt;&gt;MONTH($C$2)),"",IF(COUNTIFS(m_teacher,AP$4,m_date,($G$2+16),m_active,1,m_start,"&lt;"&amp;840,m_end,"&gt;"&amp;780)=0,"",IF(COUNTIFS(m_teacher,AP$4,m_date,($G$2+16),m_active,1,m_start,"&lt;"&amp;840,m_end,"&gt;"&amp;780)&gt;1,"충돌",HYPERLINK("#'관리자_MASTER'!D"&amp;_xlfn.MAXIFS(m_row,m_teacher,AP$4,m_date,($G$2+16),m_active,1,m_start,"&lt;"&amp;840,m_end,"&gt;"&amp;780),INDEX(m_label,_xlfn.MAXIFS(m_row,m_teacher,AP$4,m_date,($G$2+16),m_active,1,m_start,"&lt;"&amp;840,m_end,"&gt;"&amp;780))))))</f>
        <v/>
      </c>
      <c r="AQ31" s="78"/>
      <c r="AR31" s="79" t="s">
        <v>95</v>
      </c>
      <c r="AS31" s="82" t="str">
        <f aca="false">IF(OR(AS$4="",MONTH(($G$2+23))&lt;&gt;MONTH($C$2)),"",IF(COUNTIFS(m_teacher,AS$4,m_date,($G$2+23),m_active,1,m_start,"&lt;"&amp;840,m_end,"&gt;"&amp;780)=0,"",IF(COUNTIFS(m_teacher,AS$4,m_date,($G$2+23),m_active,1,m_start,"&lt;"&amp;840,m_end,"&gt;"&amp;780)&gt;1,"충돌",HYPERLINK("#'관리자_MASTER'!D"&amp;_xlfn.MAXIFS(m_row,m_teacher,AS$4,m_date,($G$2+23),m_active,1,m_start,"&lt;"&amp;840,m_end,"&gt;"&amp;780),INDEX(m_label,_xlfn.MAXIFS(m_row,m_teacher,AS$4,m_date,($G$2+23),m_active,1,m_start,"&lt;"&amp;840,m_end,"&gt;"&amp;780))))))</f>
        <v/>
      </c>
      <c r="AT31" s="82" t="str">
        <f aca="false">IF(OR(AT$4="",MONTH(($G$2+23))&lt;&gt;MONTH($C$2)),"",IF(COUNTIFS(m_teacher,AT$4,m_date,($G$2+23),m_active,1,m_start,"&lt;"&amp;840,m_end,"&gt;"&amp;780)=0,"",IF(COUNTIFS(m_teacher,AT$4,m_date,($G$2+23),m_active,1,m_start,"&lt;"&amp;840,m_end,"&gt;"&amp;780)&gt;1,"충돌",HYPERLINK("#'관리자_MASTER'!D"&amp;_xlfn.MAXIFS(m_row,m_teacher,AT$4,m_date,($G$2+23),m_active,1,m_start,"&lt;"&amp;840,m_end,"&gt;"&amp;780),INDEX(m_label,_xlfn.MAXIFS(m_row,m_teacher,AT$4,m_date,($G$2+23),m_active,1,m_start,"&lt;"&amp;840,m_end,"&gt;"&amp;780))))))</f>
        <v/>
      </c>
      <c r="AU31" s="82" t="str">
        <f aca="false">IF(OR(AU$4="",MONTH(($G$2+23))&lt;&gt;MONTH($C$2)),"",IF(COUNTIFS(m_teacher,AU$4,m_date,($G$2+23),m_active,1,m_start,"&lt;"&amp;840,m_end,"&gt;"&amp;780)=0,"",IF(COUNTIFS(m_teacher,AU$4,m_date,($G$2+23),m_active,1,m_start,"&lt;"&amp;840,m_end,"&gt;"&amp;780)&gt;1,"충돌",HYPERLINK("#'관리자_MASTER'!D"&amp;_xlfn.MAXIFS(m_row,m_teacher,AU$4,m_date,($G$2+23),m_active,1,m_start,"&lt;"&amp;840,m_end,"&gt;"&amp;780),INDEX(m_label,_xlfn.MAXIFS(m_row,m_teacher,AU$4,m_date,($G$2+23),m_active,1,m_start,"&lt;"&amp;840,m_end,"&gt;"&amp;780))))))</f>
        <v/>
      </c>
      <c r="AV31" s="82" t="str">
        <f aca="false">IF(OR(AV$4="",MONTH(($G$2+23))&lt;&gt;MONTH($C$2)),"",IF(COUNTIFS(m_teacher,AV$4,m_date,($G$2+23),m_active,1,m_start,"&lt;"&amp;840,m_end,"&gt;"&amp;780)=0,"",IF(COUNTIFS(m_teacher,AV$4,m_date,($G$2+23),m_active,1,m_start,"&lt;"&amp;840,m_end,"&gt;"&amp;780)&gt;1,"충돌",HYPERLINK("#'관리자_MASTER'!D"&amp;_xlfn.MAXIFS(m_row,m_teacher,AV$4,m_date,($G$2+23),m_active,1,m_start,"&lt;"&amp;840,m_end,"&gt;"&amp;780),INDEX(m_label,_xlfn.MAXIFS(m_row,m_teacher,AV$4,m_date,($G$2+23),m_active,1,m_start,"&lt;"&amp;840,m_end,"&gt;"&amp;780))))))</f>
        <v/>
      </c>
      <c r="AW31" s="82" t="str">
        <f aca="false">IF(OR(AW$4="",MONTH(($G$2+23))&lt;&gt;MONTH($C$2)),"",IF(COUNTIFS(m_teacher,AW$4,m_date,($G$2+23),m_active,1,m_start,"&lt;"&amp;840,m_end,"&gt;"&amp;780)=0,"",IF(COUNTIFS(m_teacher,AW$4,m_date,($G$2+23),m_active,1,m_start,"&lt;"&amp;840,m_end,"&gt;"&amp;780)&gt;1,"충돌",HYPERLINK("#'관리자_MASTER'!D"&amp;_xlfn.MAXIFS(m_row,m_teacher,AW$4,m_date,($G$2+23),m_active,1,m_start,"&lt;"&amp;840,m_end,"&gt;"&amp;780),INDEX(m_label,_xlfn.MAXIFS(m_row,m_teacher,AW$4,m_date,($G$2+23),m_active,1,m_start,"&lt;"&amp;840,m_end,"&gt;"&amp;780))))))</f>
        <v/>
      </c>
      <c r="AX31" s="82" t="str">
        <f aca="false">IF(OR(AX$4="",MONTH(($G$2+23))&lt;&gt;MONTH($C$2)),"",IF(COUNTIFS(m_teacher,AX$4,m_date,($G$2+23),m_active,1,m_start,"&lt;"&amp;840,m_end,"&gt;"&amp;780)=0,"",IF(COUNTIFS(m_teacher,AX$4,m_date,($G$2+23),m_active,1,m_start,"&lt;"&amp;840,m_end,"&gt;"&amp;780)&gt;1,"충돌",HYPERLINK("#'관리자_MASTER'!D"&amp;_xlfn.MAXIFS(m_row,m_teacher,AX$4,m_date,($G$2+23),m_active,1,m_start,"&lt;"&amp;840,m_end,"&gt;"&amp;780),INDEX(m_label,_xlfn.MAXIFS(m_row,m_teacher,AX$4,m_date,($G$2+23),m_active,1,m_start,"&lt;"&amp;840,m_end,"&gt;"&amp;780))))))</f>
        <v/>
      </c>
      <c r="AY31" s="82" t="str">
        <f aca="false">IF(OR(AY$4="",MONTH(($G$2+23))&lt;&gt;MONTH($C$2)),"",IF(COUNTIFS(m_teacher,AY$4,m_date,($G$2+23),m_active,1,m_start,"&lt;"&amp;840,m_end,"&gt;"&amp;780)=0,"",IF(COUNTIFS(m_teacher,AY$4,m_date,($G$2+23),m_active,1,m_start,"&lt;"&amp;840,m_end,"&gt;"&amp;780)&gt;1,"충돌",HYPERLINK("#'관리자_MASTER'!D"&amp;_xlfn.MAXIFS(m_row,m_teacher,AY$4,m_date,($G$2+23),m_active,1,m_start,"&lt;"&amp;840,m_end,"&gt;"&amp;780),INDEX(m_label,_xlfn.MAXIFS(m_row,m_teacher,AY$4,m_date,($G$2+23),m_active,1,m_start,"&lt;"&amp;840,m_end,"&gt;"&amp;780))))))</f>
        <v/>
      </c>
      <c r="AZ31" s="82" t="str">
        <f aca="false">IF(OR(AZ$4="",MONTH(($G$2+23))&lt;&gt;MONTH($C$2)),"",IF(COUNTIFS(m_teacher,AZ$4,m_date,($G$2+23),m_active,1,m_start,"&lt;"&amp;840,m_end,"&gt;"&amp;780)=0,"",IF(COUNTIFS(m_teacher,AZ$4,m_date,($G$2+23),m_active,1,m_start,"&lt;"&amp;840,m_end,"&gt;"&amp;780)&gt;1,"충돌",HYPERLINK("#'관리자_MASTER'!D"&amp;_xlfn.MAXIFS(m_row,m_teacher,AZ$4,m_date,($G$2+23),m_active,1,m_start,"&lt;"&amp;840,m_end,"&gt;"&amp;780),INDEX(m_label,_xlfn.MAXIFS(m_row,m_teacher,AZ$4,m_date,($G$2+23),m_active,1,m_start,"&lt;"&amp;840,m_end,"&gt;"&amp;780))))))</f>
        <v/>
      </c>
      <c r="BA31" s="82" t="str">
        <f aca="false">IF(OR(BA$4="",MONTH(($G$2+23))&lt;&gt;MONTH($C$2)),"",IF(COUNTIFS(m_teacher,BA$4,m_date,($G$2+23),m_active,1,m_start,"&lt;"&amp;840,m_end,"&gt;"&amp;780)=0,"",IF(COUNTIFS(m_teacher,BA$4,m_date,($G$2+23),m_active,1,m_start,"&lt;"&amp;840,m_end,"&gt;"&amp;780)&gt;1,"충돌",HYPERLINK("#'관리자_MASTER'!D"&amp;_xlfn.MAXIFS(m_row,m_teacher,BA$4,m_date,($G$2+23),m_active,1,m_start,"&lt;"&amp;840,m_end,"&gt;"&amp;780),INDEX(m_label,_xlfn.MAXIFS(m_row,m_teacher,BA$4,m_date,($G$2+23),m_active,1,m_start,"&lt;"&amp;840,m_end,"&gt;"&amp;780))))))</f>
        <v/>
      </c>
      <c r="BB31" s="82" t="str">
        <f aca="false">IF(OR(BB$4="",MONTH(($G$2+23))&lt;&gt;MONTH($C$2)),"",IF(COUNTIFS(m_teacher,BB$4,m_date,($G$2+23),m_active,1,m_start,"&lt;"&amp;840,m_end,"&gt;"&amp;780)=0,"",IF(COUNTIFS(m_teacher,BB$4,m_date,($G$2+23),m_active,1,m_start,"&lt;"&amp;840,m_end,"&gt;"&amp;780)&gt;1,"충돌",HYPERLINK("#'관리자_MASTER'!D"&amp;_xlfn.MAXIFS(m_row,m_teacher,BB$4,m_date,($G$2+23),m_active,1,m_start,"&lt;"&amp;840,m_end,"&gt;"&amp;780),INDEX(m_label,_xlfn.MAXIFS(m_row,m_teacher,BB$4,m_date,($G$2+23),m_active,1,m_start,"&lt;"&amp;840,m_end,"&gt;"&amp;780))))))</f>
        <v/>
      </c>
      <c r="BC31" s="82" t="str">
        <f aca="false">IF(OR(BC$4="",MONTH(($G$2+23))&lt;&gt;MONTH($C$2)),"",IF(COUNTIFS(m_teacher,BC$4,m_date,($G$2+23),m_active,1,m_start,"&lt;"&amp;840,m_end,"&gt;"&amp;780)=0,"",IF(COUNTIFS(m_teacher,BC$4,m_date,($G$2+23),m_active,1,m_start,"&lt;"&amp;840,m_end,"&gt;"&amp;780)&gt;1,"충돌",HYPERLINK("#'관리자_MASTER'!D"&amp;_xlfn.MAXIFS(m_row,m_teacher,BC$4,m_date,($G$2+23),m_active,1,m_start,"&lt;"&amp;840,m_end,"&gt;"&amp;780),INDEX(m_label,_xlfn.MAXIFS(m_row,m_teacher,BC$4,m_date,($G$2+23),m_active,1,m_start,"&lt;"&amp;840,m_end,"&gt;"&amp;780))))))</f>
        <v/>
      </c>
      <c r="BD31" s="82" t="str">
        <f aca="false">IF(OR(BD$4="",MONTH(($G$2+23))&lt;&gt;MONTH($C$2)),"",IF(COUNTIFS(m_teacher,BD$4,m_date,($G$2+23),m_active,1,m_start,"&lt;"&amp;840,m_end,"&gt;"&amp;780)=0,"",IF(COUNTIFS(m_teacher,BD$4,m_date,($G$2+23),m_active,1,m_start,"&lt;"&amp;840,m_end,"&gt;"&amp;780)&gt;1,"충돌",HYPERLINK("#'관리자_MASTER'!D"&amp;_xlfn.MAXIFS(m_row,m_teacher,BD$4,m_date,($G$2+23),m_active,1,m_start,"&lt;"&amp;840,m_end,"&gt;"&amp;780),INDEX(m_label,_xlfn.MAXIFS(m_row,m_teacher,BD$4,m_date,($G$2+23),m_active,1,m_start,"&lt;"&amp;840,m_end,"&gt;"&amp;780))))))</f>
        <v/>
      </c>
      <c r="BE31" s="78"/>
      <c r="BF31" s="79" t="s">
        <v>95</v>
      </c>
      <c r="BG31" s="82" t="str">
        <f aca="false">IF(OR(BG$4="",MONTH(($G$2+30))&lt;&gt;MONTH($C$2)),"",IF(COUNTIFS(m_teacher,BG$4,m_date,($G$2+30),m_active,1,m_start,"&lt;"&amp;840,m_end,"&gt;"&amp;780)=0,"",IF(COUNTIFS(m_teacher,BG$4,m_date,($G$2+30),m_active,1,m_start,"&lt;"&amp;840,m_end,"&gt;"&amp;780)&gt;1,"충돌",HYPERLINK("#'관리자_MASTER'!D"&amp;_xlfn.MAXIFS(m_row,m_teacher,BG$4,m_date,($G$2+30),m_active,1,m_start,"&lt;"&amp;840,m_end,"&gt;"&amp;780),INDEX(m_label,_xlfn.MAXIFS(m_row,m_teacher,BG$4,m_date,($G$2+30),m_active,1,m_start,"&lt;"&amp;840,m_end,"&gt;"&amp;780))))))</f>
        <v/>
      </c>
      <c r="BH31" s="82" t="str">
        <f aca="false">IF(OR(BH$4="",MONTH(($G$2+30))&lt;&gt;MONTH($C$2)),"",IF(COUNTIFS(m_teacher,BH$4,m_date,($G$2+30),m_active,1,m_start,"&lt;"&amp;840,m_end,"&gt;"&amp;780)=0,"",IF(COUNTIFS(m_teacher,BH$4,m_date,($G$2+30),m_active,1,m_start,"&lt;"&amp;840,m_end,"&gt;"&amp;780)&gt;1,"충돌",HYPERLINK("#'관리자_MASTER'!D"&amp;_xlfn.MAXIFS(m_row,m_teacher,BH$4,m_date,($G$2+30),m_active,1,m_start,"&lt;"&amp;840,m_end,"&gt;"&amp;780),INDEX(m_label,_xlfn.MAXIFS(m_row,m_teacher,BH$4,m_date,($G$2+30),m_active,1,m_start,"&lt;"&amp;840,m_end,"&gt;"&amp;780))))))</f>
        <v/>
      </c>
      <c r="BI31" s="82" t="str">
        <f aca="false">IF(OR(BI$4="",MONTH(($G$2+30))&lt;&gt;MONTH($C$2)),"",IF(COUNTIFS(m_teacher,BI$4,m_date,($G$2+30),m_active,1,m_start,"&lt;"&amp;840,m_end,"&gt;"&amp;780)=0,"",IF(COUNTIFS(m_teacher,BI$4,m_date,($G$2+30),m_active,1,m_start,"&lt;"&amp;840,m_end,"&gt;"&amp;780)&gt;1,"충돌",HYPERLINK("#'관리자_MASTER'!D"&amp;_xlfn.MAXIFS(m_row,m_teacher,BI$4,m_date,($G$2+30),m_active,1,m_start,"&lt;"&amp;840,m_end,"&gt;"&amp;780),INDEX(m_label,_xlfn.MAXIFS(m_row,m_teacher,BI$4,m_date,($G$2+30),m_active,1,m_start,"&lt;"&amp;840,m_end,"&gt;"&amp;780))))))</f>
        <v/>
      </c>
      <c r="BJ31" s="82" t="str">
        <f aca="false">IF(OR(BJ$4="",MONTH(($G$2+30))&lt;&gt;MONTH($C$2)),"",IF(COUNTIFS(m_teacher,BJ$4,m_date,($G$2+30),m_active,1,m_start,"&lt;"&amp;840,m_end,"&gt;"&amp;780)=0,"",IF(COUNTIFS(m_teacher,BJ$4,m_date,($G$2+30),m_active,1,m_start,"&lt;"&amp;840,m_end,"&gt;"&amp;780)&gt;1,"충돌",HYPERLINK("#'관리자_MASTER'!D"&amp;_xlfn.MAXIFS(m_row,m_teacher,BJ$4,m_date,($G$2+30),m_active,1,m_start,"&lt;"&amp;840,m_end,"&gt;"&amp;780),INDEX(m_label,_xlfn.MAXIFS(m_row,m_teacher,BJ$4,m_date,($G$2+30),m_active,1,m_start,"&lt;"&amp;840,m_end,"&gt;"&amp;780))))))</f>
        <v/>
      </c>
      <c r="BK31" s="82" t="str">
        <f aca="false">IF(OR(BK$4="",MONTH(($G$2+30))&lt;&gt;MONTH($C$2)),"",IF(COUNTIFS(m_teacher,BK$4,m_date,($G$2+30),m_active,1,m_start,"&lt;"&amp;840,m_end,"&gt;"&amp;780)=0,"",IF(COUNTIFS(m_teacher,BK$4,m_date,($G$2+30),m_active,1,m_start,"&lt;"&amp;840,m_end,"&gt;"&amp;780)&gt;1,"충돌",HYPERLINK("#'관리자_MASTER'!D"&amp;_xlfn.MAXIFS(m_row,m_teacher,BK$4,m_date,($G$2+30),m_active,1,m_start,"&lt;"&amp;840,m_end,"&gt;"&amp;780),INDEX(m_label,_xlfn.MAXIFS(m_row,m_teacher,BK$4,m_date,($G$2+30),m_active,1,m_start,"&lt;"&amp;840,m_end,"&gt;"&amp;780))))))</f>
        <v/>
      </c>
      <c r="BL31" s="82" t="str">
        <f aca="false">IF(OR(BL$4="",MONTH(($G$2+30))&lt;&gt;MONTH($C$2)),"",IF(COUNTIFS(m_teacher,BL$4,m_date,($G$2+30),m_active,1,m_start,"&lt;"&amp;840,m_end,"&gt;"&amp;780)=0,"",IF(COUNTIFS(m_teacher,BL$4,m_date,($G$2+30),m_active,1,m_start,"&lt;"&amp;840,m_end,"&gt;"&amp;780)&gt;1,"충돌",HYPERLINK("#'관리자_MASTER'!D"&amp;_xlfn.MAXIFS(m_row,m_teacher,BL$4,m_date,($G$2+30),m_active,1,m_start,"&lt;"&amp;840,m_end,"&gt;"&amp;780),INDEX(m_label,_xlfn.MAXIFS(m_row,m_teacher,BL$4,m_date,($G$2+30),m_active,1,m_start,"&lt;"&amp;840,m_end,"&gt;"&amp;780))))))</f>
        <v/>
      </c>
      <c r="BM31" s="82" t="str">
        <f aca="false">IF(OR(BM$4="",MONTH(($G$2+30))&lt;&gt;MONTH($C$2)),"",IF(COUNTIFS(m_teacher,BM$4,m_date,($G$2+30),m_active,1,m_start,"&lt;"&amp;840,m_end,"&gt;"&amp;780)=0,"",IF(COUNTIFS(m_teacher,BM$4,m_date,($G$2+30),m_active,1,m_start,"&lt;"&amp;840,m_end,"&gt;"&amp;780)&gt;1,"충돌",HYPERLINK("#'관리자_MASTER'!D"&amp;_xlfn.MAXIFS(m_row,m_teacher,BM$4,m_date,($G$2+30),m_active,1,m_start,"&lt;"&amp;840,m_end,"&gt;"&amp;780),INDEX(m_label,_xlfn.MAXIFS(m_row,m_teacher,BM$4,m_date,($G$2+30),m_active,1,m_start,"&lt;"&amp;840,m_end,"&gt;"&amp;780))))))</f>
        <v/>
      </c>
      <c r="BN31" s="82" t="str">
        <f aca="false">IF(OR(BN$4="",MONTH(($G$2+30))&lt;&gt;MONTH($C$2)),"",IF(COUNTIFS(m_teacher,BN$4,m_date,($G$2+30),m_active,1,m_start,"&lt;"&amp;840,m_end,"&gt;"&amp;780)=0,"",IF(COUNTIFS(m_teacher,BN$4,m_date,($G$2+30),m_active,1,m_start,"&lt;"&amp;840,m_end,"&gt;"&amp;780)&gt;1,"충돌",HYPERLINK("#'관리자_MASTER'!D"&amp;_xlfn.MAXIFS(m_row,m_teacher,BN$4,m_date,($G$2+30),m_active,1,m_start,"&lt;"&amp;840,m_end,"&gt;"&amp;780),INDEX(m_label,_xlfn.MAXIFS(m_row,m_teacher,BN$4,m_date,($G$2+30),m_active,1,m_start,"&lt;"&amp;840,m_end,"&gt;"&amp;780))))))</f>
        <v/>
      </c>
      <c r="BO31" s="82" t="str">
        <f aca="false">IF(OR(BO$4="",MONTH(($G$2+30))&lt;&gt;MONTH($C$2)),"",IF(COUNTIFS(m_teacher,BO$4,m_date,($G$2+30),m_active,1,m_start,"&lt;"&amp;840,m_end,"&gt;"&amp;780)=0,"",IF(COUNTIFS(m_teacher,BO$4,m_date,($G$2+30),m_active,1,m_start,"&lt;"&amp;840,m_end,"&gt;"&amp;780)&gt;1,"충돌",HYPERLINK("#'관리자_MASTER'!D"&amp;_xlfn.MAXIFS(m_row,m_teacher,BO$4,m_date,($G$2+30),m_active,1,m_start,"&lt;"&amp;840,m_end,"&gt;"&amp;780),INDEX(m_label,_xlfn.MAXIFS(m_row,m_teacher,BO$4,m_date,($G$2+30),m_active,1,m_start,"&lt;"&amp;840,m_end,"&gt;"&amp;780))))))</f>
        <v/>
      </c>
      <c r="BP31" s="82" t="str">
        <f aca="false">IF(OR(BP$4="",MONTH(($G$2+30))&lt;&gt;MONTH($C$2)),"",IF(COUNTIFS(m_teacher,BP$4,m_date,($G$2+30),m_active,1,m_start,"&lt;"&amp;840,m_end,"&gt;"&amp;780)=0,"",IF(COUNTIFS(m_teacher,BP$4,m_date,($G$2+30),m_active,1,m_start,"&lt;"&amp;840,m_end,"&gt;"&amp;780)&gt;1,"충돌",HYPERLINK("#'관리자_MASTER'!D"&amp;_xlfn.MAXIFS(m_row,m_teacher,BP$4,m_date,($G$2+30),m_active,1,m_start,"&lt;"&amp;840,m_end,"&gt;"&amp;780),INDEX(m_label,_xlfn.MAXIFS(m_row,m_teacher,BP$4,m_date,($G$2+30),m_active,1,m_start,"&lt;"&amp;840,m_end,"&gt;"&amp;780))))))</f>
        <v/>
      </c>
      <c r="BQ31" s="82" t="str">
        <f aca="false">IF(OR(BQ$4="",MONTH(($G$2+30))&lt;&gt;MONTH($C$2)),"",IF(COUNTIFS(m_teacher,BQ$4,m_date,($G$2+30),m_active,1,m_start,"&lt;"&amp;840,m_end,"&gt;"&amp;780)=0,"",IF(COUNTIFS(m_teacher,BQ$4,m_date,($G$2+30),m_active,1,m_start,"&lt;"&amp;840,m_end,"&gt;"&amp;780)&gt;1,"충돌",HYPERLINK("#'관리자_MASTER'!D"&amp;_xlfn.MAXIFS(m_row,m_teacher,BQ$4,m_date,($G$2+30),m_active,1,m_start,"&lt;"&amp;840,m_end,"&gt;"&amp;780),INDEX(m_label,_xlfn.MAXIFS(m_row,m_teacher,BQ$4,m_date,($G$2+30),m_active,1,m_start,"&lt;"&amp;840,m_end,"&gt;"&amp;780))))))</f>
        <v/>
      </c>
      <c r="BR31" s="82" t="str">
        <f aca="false">IF(OR(BR$4="",MONTH(($G$2+30))&lt;&gt;MONTH($C$2)),"",IF(COUNTIFS(m_teacher,BR$4,m_date,($G$2+30),m_active,1,m_start,"&lt;"&amp;840,m_end,"&gt;"&amp;780)=0,"",IF(COUNTIFS(m_teacher,BR$4,m_date,($G$2+30),m_active,1,m_start,"&lt;"&amp;840,m_end,"&gt;"&amp;780)&gt;1,"충돌",HYPERLINK("#'관리자_MASTER'!D"&amp;_xlfn.MAXIFS(m_row,m_teacher,BR$4,m_date,($G$2+30),m_active,1,m_start,"&lt;"&amp;840,m_end,"&gt;"&amp;780),INDEX(m_label,_xlfn.MAXIFS(m_row,m_teacher,BR$4,m_date,($G$2+30),m_active,1,m_start,"&lt;"&amp;840,m_end,"&gt;"&amp;780))))))</f>
        <v/>
      </c>
    </row>
    <row r="32" customFormat="false" ht="19.5" hidden="false" customHeight="true" outlineLevel="0" collapsed="false">
      <c r="A32" s="78"/>
      <c r="B32" s="79" t="s">
        <v>96</v>
      </c>
      <c r="C32" s="82" t="str">
        <f aca="false">IF(OR(C$4="",MONTH(($G$2+2))&lt;&gt;MONTH($C$2)),"",IF(COUNTIFS(m_teacher,C$4,m_date,($G$2+2),m_active,1,m_start,"&lt;"&amp;900,m_end,"&gt;"&amp;840)=0,"",IF(COUNTIFS(m_teacher,C$4,m_date,($G$2+2),m_active,1,m_start,"&lt;"&amp;900,m_end,"&gt;"&amp;840)&gt;1,"충돌",HYPERLINK("#'관리자_MASTER'!D"&amp;_xlfn.MAXIFS(m_row,m_teacher,C$4,m_date,($G$2+2),m_active,1,m_start,"&lt;"&amp;900,m_end,"&gt;"&amp;840),INDEX(m_label,_xlfn.MAXIFS(m_row,m_teacher,C$4,m_date,($G$2+2),m_active,1,m_start,"&lt;"&amp;900,m_end,"&gt;"&amp;840))))))</f>
        <v/>
      </c>
      <c r="D32" s="82" t="str">
        <f aca="false">IF(OR(D$4="",MONTH(($G$2+2))&lt;&gt;MONTH($C$2)),"",IF(COUNTIFS(m_teacher,D$4,m_date,($G$2+2),m_active,1,m_start,"&lt;"&amp;900,m_end,"&gt;"&amp;840)=0,"",IF(COUNTIFS(m_teacher,D$4,m_date,($G$2+2),m_active,1,m_start,"&lt;"&amp;900,m_end,"&gt;"&amp;840)&gt;1,"충돌",HYPERLINK("#'관리자_MASTER'!D"&amp;_xlfn.MAXIFS(m_row,m_teacher,D$4,m_date,($G$2+2),m_active,1,m_start,"&lt;"&amp;900,m_end,"&gt;"&amp;840),INDEX(m_label,_xlfn.MAXIFS(m_row,m_teacher,D$4,m_date,($G$2+2),m_active,1,m_start,"&lt;"&amp;900,m_end,"&gt;"&amp;840))))))</f>
        <v/>
      </c>
      <c r="E32" s="82" t="str">
        <f aca="false">IF(OR(E$4="",MONTH(($G$2+2))&lt;&gt;MONTH($C$2)),"",IF(COUNTIFS(m_teacher,E$4,m_date,($G$2+2),m_active,1,m_start,"&lt;"&amp;900,m_end,"&gt;"&amp;840)=0,"",IF(COUNTIFS(m_teacher,E$4,m_date,($G$2+2),m_active,1,m_start,"&lt;"&amp;900,m_end,"&gt;"&amp;840)&gt;1,"충돌",HYPERLINK("#'관리자_MASTER'!D"&amp;_xlfn.MAXIFS(m_row,m_teacher,E$4,m_date,($G$2+2),m_active,1,m_start,"&lt;"&amp;900,m_end,"&gt;"&amp;840),INDEX(m_label,_xlfn.MAXIFS(m_row,m_teacher,E$4,m_date,($G$2+2),m_active,1,m_start,"&lt;"&amp;900,m_end,"&gt;"&amp;840))))))</f>
        <v/>
      </c>
      <c r="F32" s="82" t="str">
        <f aca="false">IF(OR(F$4="",MONTH(($G$2+2))&lt;&gt;MONTH($C$2)),"",IF(COUNTIFS(m_teacher,F$4,m_date,($G$2+2),m_active,1,m_start,"&lt;"&amp;900,m_end,"&gt;"&amp;840)=0,"",IF(COUNTIFS(m_teacher,F$4,m_date,($G$2+2),m_active,1,m_start,"&lt;"&amp;900,m_end,"&gt;"&amp;840)&gt;1,"충돌",HYPERLINK("#'관리자_MASTER'!D"&amp;_xlfn.MAXIFS(m_row,m_teacher,F$4,m_date,($G$2+2),m_active,1,m_start,"&lt;"&amp;900,m_end,"&gt;"&amp;840),INDEX(m_label,_xlfn.MAXIFS(m_row,m_teacher,F$4,m_date,($G$2+2),m_active,1,m_start,"&lt;"&amp;900,m_end,"&gt;"&amp;840))))))</f>
        <v/>
      </c>
      <c r="G32" s="82" t="str">
        <f aca="false">IF(OR(G$4="",MONTH(($G$2+2))&lt;&gt;MONTH($C$2)),"",IF(COUNTIFS(m_teacher,G$4,m_date,($G$2+2),m_active,1,m_start,"&lt;"&amp;900,m_end,"&gt;"&amp;840)=0,"",IF(COUNTIFS(m_teacher,G$4,m_date,($G$2+2),m_active,1,m_start,"&lt;"&amp;900,m_end,"&gt;"&amp;840)&gt;1,"충돌",HYPERLINK("#'관리자_MASTER'!D"&amp;_xlfn.MAXIFS(m_row,m_teacher,G$4,m_date,($G$2+2),m_active,1,m_start,"&lt;"&amp;900,m_end,"&gt;"&amp;840),INDEX(m_label,_xlfn.MAXIFS(m_row,m_teacher,G$4,m_date,($G$2+2),m_active,1,m_start,"&lt;"&amp;900,m_end,"&gt;"&amp;840))))))</f>
        <v/>
      </c>
      <c r="H32" s="82" t="str">
        <f aca="false">IF(OR(H$4="",MONTH(($G$2+2))&lt;&gt;MONTH($C$2)),"",IF(COUNTIFS(m_teacher,H$4,m_date,($G$2+2),m_active,1,m_start,"&lt;"&amp;900,m_end,"&gt;"&amp;840)=0,"",IF(COUNTIFS(m_teacher,H$4,m_date,($G$2+2),m_active,1,m_start,"&lt;"&amp;900,m_end,"&gt;"&amp;840)&gt;1,"충돌",HYPERLINK("#'관리자_MASTER'!D"&amp;_xlfn.MAXIFS(m_row,m_teacher,H$4,m_date,($G$2+2),m_active,1,m_start,"&lt;"&amp;900,m_end,"&gt;"&amp;840),INDEX(m_label,_xlfn.MAXIFS(m_row,m_teacher,H$4,m_date,($G$2+2),m_active,1,m_start,"&lt;"&amp;900,m_end,"&gt;"&amp;840))))))</f>
        <v/>
      </c>
      <c r="I32" s="82" t="str">
        <f aca="false">IF(OR(I$4="",MONTH(($G$2+2))&lt;&gt;MONTH($C$2)),"",IF(COUNTIFS(m_teacher,I$4,m_date,($G$2+2),m_active,1,m_start,"&lt;"&amp;900,m_end,"&gt;"&amp;840)=0,"",IF(COUNTIFS(m_teacher,I$4,m_date,($G$2+2),m_active,1,m_start,"&lt;"&amp;900,m_end,"&gt;"&amp;840)&gt;1,"충돌",HYPERLINK("#'관리자_MASTER'!D"&amp;_xlfn.MAXIFS(m_row,m_teacher,I$4,m_date,($G$2+2),m_active,1,m_start,"&lt;"&amp;900,m_end,"&gt;"&amp;840),INDEX(m_label,_xlfn.MAXIFS(m_row,m_teacher,I$4,m_date,($G$2+2),m_active,1,m_start,"&lt;"&amp;900,m_end,"&gt;"&amp;840))))))</f>
        <v/>
      </c>
      <c r="J32" s="82" t="str">
        <f aca="false">IF(OR(J$4="",MONTH(($G$2+2))&lt;&gt;MONTH($C$2)),"",IF(COUNTIFS(m_teacher,J$4,m_date,($G$2+2),m_active,1,m_start,"&lt;"&amp;900,m_end,"&gt;"&amp;840)=0,"",IF(COUNTIFS(m_teacher,J$4,m_date,($G$2+2),m_active,1,m_start,"&lt;"&amp;900,m_end,"&gt;"&amp;840)&gt;1,"충돌",HYPERLINK("#'관리자_MASTER'!D"&amp;_xlfn.MAXIFS(m_row,m_teacher,J$4,m_date,($G$2+2),m_active,1,m_start,"&lt;"&amp;900,m_end,"&gt;"&amp;840),INDEX(m_label,_xlfn.MAXIFS(m_row,m_teacher,J$4,m_date,($G$2+2),m_active,1,m_start,"&lt;"&amp;900,m_end,"&gt;"&amp;840))))))</f>
        <v/>
      </c>
      <c r="K32" s="82" t="str">
        <f aca="false">IF(OR(K$4="",MONTH(($G$2+2))&lt;&gt;MONTH($C$2)),"",IF(COUNTIFS(m_teacher,K$4,m_date,($G$2+2),m_active,1,m_start,"&lt;"&amp;900,m_end,"&gt;"&amp;840)=0,"",IF(COUNTIFS(m_teacher,K$4,m_date,($G$2+2),m_active,1,m_start,"&lt;"&amp;900,m_end,"&gt;"&amp;840)&gt;1,"충돌",HYPERLINK("#'관리자_MASTER'!D"&amp;_xlfn.MAXIFS(m_row,m_teacher,K$4,m_date,($G$2+2),m_active,1,m_start,"&lt;"&amp;900,m_end,"&gt;"&amp;840),INDEX(m_label,_xlfn.MAXIFS(m_row,m_teacher,K$4,m_date,($G$2+2),m_active,1,m_start,"&lt;"&amp;900,m_end,"&gt;"&amp;840))))))</f>
        <v/>
      </c>
      <c r="L32" s="82" t="str">
        <f aca="false">IF(OR(L$4="",MONTH(($G$2+2))&lt;&gt;MONTH($C$2)),"",IF(COUNTIFS(m_teacher,L$4,m_date,($G$2+2),m_active,1,m_start,"&lt;"&amp;900,m_end,"&gt;"&amp;840)=0,"",IF(COUNTIFS(m_teacher,L$4,m_date,($G$2+2),m_active,1,m_start,"&lt;"&amp;900,m_end,"&gt;"&amp;840)&gt;1,"충돌",HYPERLINK("#'관리자_MASTER'!D"&amp;_xlfn.MAXIFS(m_row,m_teacher,L$4,m_date,($G$2+2),m_active,1,m_start,"&lt;"&amp;900,m_end,"&gt;"&amp;840),INDEX(m_label,_xlfn.MAXIFS(m_row,m_teacher,L$4,m_date,($G$2+2),m_active,1,m_start,"&lt;"&amp;900,m_end,"&gt;"&amp;840))))))</f>
        <v/>
      </c>
      <c r="M32" s="82" t="str">
        <f aca="false">IF(OR(M$4="",MONTH(($G$2+2))&lt;&gt;MONTH($C$2)),"",IF(COUNTIFS(m_teacher,M$4,m_date,($G$2+2),m_active,1,m_start,"&lt;"&amp;900,m_end,"&gt;"&amp;840)=0,"",IF(COUNTIFS(m_teacher,M$4,m_date,($G$2+2),m_active,1,m_start,"&lt;"&amp;900,m_end,"&gt;"&amp;840)&gt;1,"충돌",HYPERLINK("#'관리자_MASTER'!D"&amp;_xlfn.MAXIFS(m_row,m_teacher,M$4,m_date,($G$2+2),m_active,1,m_start,"&lt;"&amp;900,m_end,"&gt;"&amp;840),INDEX(m_label,_xlfn.MAXIFS(m_row,m_teacher,M$4,m_date,($G$2+2),m_active,1,m_start,"&lt;"&amp;900,m_end,"&gt;"&amp;840))))))</f>
        <v/>
      </c>
      <c r="N32" s="82" t="str">
        <f aca="false">IF(OR(N$4="",MONTH(($G$2+2))&lt;&gt;MONTH($C$2)),"",IF(COUNTIFS(m_teacher,N$4,m_date,($G$2+2),m_active,1,m_start,"&lt;"&amp;900,m_end,"&gt;"&amp;840)=0,"",IF(COUNTIFS(m_teacher,N$4,m_date,($G$2+2),m_active,1,m_start,"&lt;"&amp;900,m_end,"&gt;"&amp;840)&gt;1,"충돌",HYPERLINK("#'관리자_MASTER'!D"&amp;_xlfn.MAXIFS(m_row,m_teacher,N$4,m_date,($G$2+2),m_active,1,m_start,"&lt;"&amp;900,m_end,"&gt;"&amp;840),INDEX(m_label,_xlfn.MAXIFS(m_row,m_teacher,N$4,m_date,($G$2+2),m_active,1,m_start,"&lt;"&amp;900,m_end,"&gt;"&amp;840))))))</f>
        <v/>
      </c>
      <c r="O32" s="78"/>
      <c r="P32" s="79" t="s">
        <v>96</v>
      </c>
      <c r="Q32" s="82" t="str">
        <f aca="false">IF(OR(Q$4="",MONTH(($G$2+9))&lt;&gt;MONTH($C$2)),"",IF(COUNTIFS(m_teacher,Q$4,m_date,($G$2+9),m_active,1,m_start,"&lt;"&amp;900,m_end,"&gt;"&amp;840)=0,"",IF(COUNTIFS(m_teacher,Q$4,m_date,($G$2+9),m_active,1,m_start,"&lt;"&amp;900,m_end,"&gt;"&amp;840)&gt;1,"충돌",HYPERLINK("#'관리자_MASTER'!D"&amp;_xlfn.MAXIFS(m_row,m_teacher,Q$4,m_date,($G$2+9),m_active,1,m_start,"&lt;"&amp;900,m_end,"&gt;"&amp;840),INDEX(m_label,_xlfn.MAXIFS(m_row,m_teacher,Q$4,m_date,($G$2+9),m_active,1,m_start,"&lt;"&amp;900,m_end,"&gt;"&amp;840))))))</f>
        <v/>
      </c>
      <c r="R32" s="82" t="str">
        <f aca="false">IF(OR(R$4="",MONTH(($G$2+9))&lt;&gt;MONTH($C$2)),"",IF(COUNTIFS(m_teacher,R$4,m_date,($G$2+9),m_active,1,m_start,"&lt;"&amp;900,m_end,"&gt;"&amp;840)=0,"",IF(COUNTIFS(m_teacher,R$4,m_date,($G$2+9),m_active,1,m_start,"&lt;"&amp;900,m_end,"&gt;"&amp;840)&gt;1,"충돌",HYPERLINK("#'관리자_MASTER'!D"&amp;_xlfn.MAXIFS(m_row,m_teacher,R$4,m_date,($G$2+9),m_active,1,m_start,"&lt;"&amp;900,m_end,"&gt;"&amp;840),INDEX(m_label,_xlfn.MAXIFS(m_row,m_teacher,R$4,m_date,($G$2+9),m_active,1,m_start,"&lt;"&amp;900,m_end,"&gt;"&amp;840))))))</f>
        <v/>
      </c>
      <c r="S32" s="82" t="str">
        <f aca="false">IF(OR(S$4="",MONTH(($G$2+9))&lt;&gt;MONTH($C$2)),"",IF(COUNTIFS(m_teacher,S$4,m_date,($G$2+9),m_active,1,m_start,"&lt;"&amp;900,m_end,"&gt;"&amp;840)=0,"",IF(COUNTIFS(m_teacher,S$4,m_date,($G$2+9),m_active,1,m_start,"&lt;"&amp;900,m_end,"&gt;"&amp;840)&gt;1,"충돌",HYPERLINK("#'관리자_MASTER'!D"&amp;_xlfn.MAXIFS(m_row,m_teacher,S$4,m_date,($G$2+9),m_active,1,m_start,"&lt;"&amp;900,m_end,"&gt;"&amp;840),INDEX(m_label,_xlfn.MAXIFS(m_row,m_teacher,S$4,m_date,($G$2+9),m_active,1,m_start,"&lt;"&amp;900,m_end,"&gt;"&amp;840))))))</f>
        <v/>
      </c>
      <c r="T32" s="82" t="str">
        <f aca="false">IF(OR(T$4="",MONTH(($G$2+9))&lt;&gt;MONTH($C$2)),"",IF(COUNTIFS(m_teacher,T$4,m_date,($G$2+9),m_active,1,m_start,"&lt;"&amp;900,m_end,"&gt;"&amp;840)=0,"",IF(COUNTIFS(m_teacher,T$4,m_date,($G$2+9),m_active,1,m_start,"&lt;"&amp;900,m_end,"&gt;"&amp;840)&gt;1,"충돌",HYPERLINK("#'관리자_MASTER'!D"&amp;_xlfn.MAXIFS(m_row,m_teacher,T$4,m_date,($G$2+9),m_active,1,m_start,"&lt;"&amp;900,m_end,"&gt;"&amp;840),INDEX(m_label,_xlfn.MAXIFS(m_row,m_teacher,T$4,m_date,($G$2+9),m_active,1,m_start,"&lt;"&amp;900,m_end,"&gt;"&amp;840))))))</f>
        <v/>
      </c>
      <c r="U32" s="82" t="str">
        <f aca="false">IF(OR(U$4="",MONTH(($G$2+9))&lt;&gt;MONTH($C$2)),"",IF(COUNTIFS(m_teacher,U$4,m_date,($G$2+9),m_active,1,m_start,"&lt;"&amp;900,m_end,"&gt;"&amp;840)=0,"",IF(COUNTIFS(m_teacher,U$4,m_date,($G$2+9),m_active,1,m_start,"&lt;"&amp;900,m_end,"&gt;"&amp;840)&gt;1,"충돌",HYPERLINK("#'관리자_MASTER'!D"&amp;_xlfn.MAXIFS(m_row,m_teacher,U$4,m_date,($G$2+9),m_active,1,m_start,"&lt;"&amp;900,m_end,"&gt;"&amp;840),INDEX(m_label,_xlfn.MAXIFS(m_row,m_teacher,U$4,m_date,($G$2+9),m_active,1,m_start,"&lt;"&amp;900,m_end,"&gt;"&amp;840))))))</f>
        <v/>
      </c>
      <c r="V32" s="82" t="str">
        <f aca="false">IF(OR(V$4="",MONTH(($G$2+9))&lt;&gt;MONTH($C$2)),"",IF(COUNTIFS(m_teacher,V$4,m_date,($G$2+9),m_active,1,m_start,"&lt;"&amp;900,m_end,"&gt;"&amp;840)=0,"",IF(COUNTIFS(m_teacher,V$4,m_date,($G$2+9),m_active,1,m_start,"&lt;"&amp;900,m_end,"&gt;"&amp;840)&gt;1,"충돌",HYPERLINK("#'관리자_MASTER'!D"&amp;_xlfn.MAXIFS(m_row,m_teacher,V$4,m_date,($G$2+9),m_active,1,m_start,"&lt;"&amp;900,m_end,"&gt;"&amp;840),INDEX(m_label,_xlfn.MAXIFS(m_row,m_teacher,V$4,m_date,($G$2+9),m_active,1,m_start,"&lt;"&amp;900,m_end,"&gt;"&amp;840))))))</f>
        <v/>
      </c>
      <c r="W32" s="82" t="str">
        <f aca="false">IF(OR(W$4="",MONTH(($G$2+9))&lt;&gt;MONTH($C$2)),"",IF(COUNTIFS(m_teacher,W$4,m_date,($G$2+9),m_active,1,m_start,"&lt;"&amp;900,m_end,"&gt;"&amp;840)=0,"",IF(COUNTIFS(m_teacher,W$4,m_date,($G$2+9),m_active,1,m_start,"&lt;"&amp;900,m_end,"&gt;"&amp;840)&gt;1,"충돌",HYPERLINK("#'관리자_MASTER'!D"&amp;_xlfn.MAXIFS(m_row,m_teacher,W$4,m_date,($G$2+9),m_active,1,m_start,"&lt;"&amp;900,m_end,"&gt;"&amp;840),INDEX(m_label,_xlfn.MAXIFS(m_row,m_teacher,W$4,m_date,($G$2+9),m_active,1,m_start,"&lt;"&amp;900,m_end,"&gt;"&amp;840))))))</f>
        <v/>
      </c>
      <c r="X32" s="82" t="str">
        <f aca="false">IF(OR(X$4="",MONTH(($G$2+9))&lt;&gt;MONTH($C$2)),"",IF(COUNTIFS(m_teacher,X$4,m_date,($G$2+9),m_active,1,m_start,"&lt;"&amp;900,m_end,"&gt;"&amp;840)=0,"",IF(COUNTIFS(m_teacher,X$4,m_date,($G$2+9),m_active,1,m_start,"&lt;"&amp;900,m_end,"&gt;"&amp;840)&gt;1,"충돌",HYPERLINK("#'관리자_MASTER'!D"&amp;_xlfn.MAXIFS(m_row,m_teacher,X$4,m_date,($G$2+9),m_active,1,m_start,"&lt;"&amp;900,m_end,"&gt;"&amp;840),INDEX(m_label,_xlfn.MAXIFS(m_row,m_teacher,X$4,m_date,($G$2+9),m_active,1,m_start,"&lt;"&amp;900,m_end,"&gt;"&amp;840))))))</f>
        <v/>
      </c>
      <c r="Y32" s="82" t="str">
        <f aca="false">IF(OR(Y$4="",MONTH(($G$2+9))&lt;&gt;MONTH($C$2)),"",IF(COUNTIFS(m_teacher,Y$4,m_date,($G$2+9),m_active,1,m_start,"&lt;"&amp;900,m_end,"&gt;"&amp;840)=0,"",IF(COUNTIFS(m_teacher,Y$4,m_date,($G$2+9),m_active,1,m_start,"&lt;"&amp;900,m_end,"&gt;"&amp;840)&gt;1,"충돌",HYPERLINK("#'관리자_MASTER'!D"&amp;_xlfn.MAXIFS(m_row,m_teacher,Y$4,m_date,($G$2+9),m_active,1,m_start,"&lt;"&amp;900,m_end,"&gt;"&amp;840),INDEX(m_label,_xlfn.MAXIFS(m_row,m_teacher,Y$4,m_date,($G$2+9),m_active,1,m_start,"&lt;"&amp;900,m_end,"&gt;"&amp;840))))))</f>
        <v/>
      </c>
      <c r="Z32" s="82" t="str">
        <f aca="false">IF(OR(Z$4="",MONTH(($G$2+9))&lt;&gt;MONTH($C$2)),"",IF(COUNTIFS(m_teacher,Z$4,m_date,($G$2+9),m_active,1,m_start,"&lt;"&amp;900,m_end,"&gt;"&amp;840)=0,"",IF(COUNTIFS(m_teacher,Z$4,m_date,($G$2+9),m_active,1,m_start,"&lt;"&amp;900,m_end,"&gt;"&amp;840)&gt;1,"충돌",HYPERLINK("#'관리자_MASTER'!D"&amp;_xlfn.MAXIFS(m_row,m_teacher,Z$4,m_date,($G$2+9),m_active,1,m_start,"&lt;"&amp;900,m_end,"&gt;"&amp;840),INDEX(m_label,_xlfn.MAXIFS(m_row,m_teacher,Z$4,m_date,($G$2+9),m_active,1,m_start,"&lt;"&amp;900,m_end,"&gt;"&amp;840))))))</f>
        <v/>
      </c>
      <c r="AA32" s="82" t="str">
        <f aca="false">IF(OR(AA$4="",MONTH(($G$2+9))&lt;&gt;MONTH($C$2)),"",IF(COUNTIFS(m_teacher,AA$4,m_date,($G$2+9),m_active,1,m_start,"&lt;"&amp;900,m_end,"&gt;"&amp;840)=0,"",IF(COUNTIFS(m_teacher,AA$4,m_date,($G$2+9),m_active,1,m_start,"&lt;"&amp;900,m_end,"&gt;"&amp;840)&gt;1,"충돌",HYPERLINK("#'관리자_MASTER'!D"&amp;_xlfn.MAXIFS(m_row,m_teacher,AA$4,m_date,($G$2+9),m_active,1,m_start,"&lt;"&amp;900,m_end,"&gt;"&amp;840),INDEX(m_label,_xlfn.MAXIFS(m_row,m_teacher,AA$4,m_date,($G$2+9),m_active,1,m_start,"&lt;"&amp;900,m_end,"&gt;"&amp;840))))))</f>
        <v/>
      </c>
      <c r="AB32" s="82" t="str">
        <f aca="false">IF(OR(AB$4="",MONTH(($G$2+9))&lt;&gt;MONTH($C$2)),"",IF(COUNTIFS(m_teacher,AB$4,m_date,($G$2+9),m_active,1,m_start,"&lt;"&amp;900,m_end,"&gt;"&amp;840)=0,"",IF(COUNTIFS(m_teacher,AB$4,m_date,($G$2+9),m_active,1,m_start,"&lt;"&amp;900,m_end,"&gt;"&amp;840)&gt;1,"충돌",HYPERLINK("#'관리자_MASTER'!D"&amp;_xlfn.MAXIFS(m_row,m_teacher,AB$4,m_date,($G$2+9),m_active,1,m_start,"&lt;"&amp;900,m_end,"&gt;"&amp;840),INDEX(m_label,_xlfn.MAXIFS(m_row,m_teacher,AB$4,m_date,($G$2+9),m_active,1,m_start,"&lt;"&amp;900,m_end,"&gt;"&amp;840))))))</f>
        <v/>
      </c>
      <c r="AC32" s="78"/>
      <c r="AD32" s="79" t="s">
        <v>96</v>
      </c>
      <c r="AE32" s="82" t="str">
        <f aca="false">IF(OR(AE$4="",MONTH(($G$2+16))&lt;&gt;MONTH($C$2)),"",IF(COUNTIFS(m_teacher,AE$4,m_date,($G$2+16),m_active,1,m_start,"&lt;"&amp;900,m_end,"&gt;"&amp;840)=0,"",IF(COUNTIFS(m_teacher,AE$4,m_date,($G$2+16),m_active,1,m_start,"&lt;"&amp;900,m_end,"&gt;"&amp;840)&gt;1,"충돌",HYPERLINK("#'관리자_MASTER'!D"&amp;_xlfn.MAXIFS(m_row,m_teacher,AE$4,m_date,($G$2+16),m_active,1,m_start,"&lt;"&amp;900,m_end,"&gt;"&amp;840),INDEX(m_label,_xlfn.MAXIFS(m_row,m_teacher,AE$4,m_date,($G$2+16),m_active,1,m_start,"&lt;"&amp;900,m_end,"&gt;"&amp;840))))))</f>
        <v/>
      </c>
      <c r="AF32" s="82" t="str">
        <f aca="false">IF(OR(AF$4="",MONTH(($G$2+16))&lt;&gt;MONTH($C$2)),"",IF(COUNTIFS(m_teacher,AF$4,m_date,($G$2+16),m_active,1,m_start,"&lt;"&amp;900,m_end,"&gt;"&amp;840)=0,"",IF(COUNTIFS(m_teacher,AF$4,m_date,($G$2+16),m_active,1,m_start,"&lt;"&amp;900,m_end,"&gt;"&amp;840)&gt;1,"충돌",HYPERLINK("#'관리자_MASTER'!D"&amp;_xlfn.MAXIFS(m_row,m_teacher,AF$4,m_date,($G$2+16),m_active,1,m_start,"&lt;"&amp;900,m_end,"&gt;"&amp;840),INDEX(m_label,_xlfn.MAXIFS(m_row,m_teacher,AF$4,m_date,($G$2+16),m_active,1,m_start,"&lt;"&amp;900,m_end,"&gt;"&amp;840))))))</f>
        <v/>
      </c>
      <c r="AG32" s="82" t="str">
        <f aca="false">IF(OR(AG$4="",MONTH(($G$2+16))&lt;&gt;MONTH($C$2)),"",IF(COUNTIFS(m_teacher,AG$4,m_date,($G$2+16),m_active,1,m_start,"&lt;"&amp;900,m_end,"&gt;"&amp;840)=0,"",IF(COUNTIFS(m_teacher,AG$4,m_date,($G$2+16),m_active,1,m_start,"&lt;"&amp;900,m_end,"&gt;"&amp;840)&gt;1,"충돌",HYPERLINK("#'관리자_MASTER'!D"&amp;_xlfn.MAXIFS(m_row,m_teacher,AG$4,m_date,($G$2+16),m_active,1,m_start,"&lt;"&amp;900,m_end,"&gt;"&amp;840),INDEX(m_label,_xlfn.MAXIFS(m_row,m_teacher,AG$4,m_date,($G$2+16),m_active,1,m_start,"&lt;"&amp;900,m_end,"&gt;"&amp;840))))))</f>
        <v/>
      </c>
      <c r="AH32" s="82" t="str">
        <f aca="false">IF(OR(AH$4="",MONTH(($G$2+16))&lt;&gt;MONTH($C$2)),"",IF(COUNTIFS(m_teacher,AH$4,m_date,($G$2+16),m_active,1,m_start,"&lt;"&amp;900,m_end,"&gt;"&amp;840)=0,"",IF(COUNTIFS(m_teacher,AH$4,m_date,($G$2+16),m_active,1,m_start,"&lt;"&amp;900,m_end,"&gt;"&amp;840)&gt;1,"충돌",HYPERLINK("#'관리자_MASTER'!D"&amp;_xlfn.MAXIFS(m_row,m_teacher,AH$4,m_date,($G$2+16),m_active,1,m_start,"&lt;"&amp;900,m_end,"&gt;"&amp;840),INDEX(m_label,_xlfn.MAXIFS(m_row,m_teacher,AH$4,m_date,($G$2+16),m_active,1,m_start,"&lt;"&amp;900,m_end,"&gt;"&amp;840))))))</f>
        <v/>
      </c>
      <c r="AI32" s="82" t="str">
        <f aca="false">IF(OR(AI$4="",MONTH(($G$2+16))&lt;&gt;MONTH($C$2)),"",IF(COUNTIFS(m_teacher,AI$4,m_date,($G$2+16),m_active,1,m_start,"&lt;"&amp;900,m_end,"&gt;"&amp;840)=0,"",IF(COUNTIFS(m_teacher,AI$4,m_date,($G$2+16),m_active,1,m_start,"&lt;"&amp;900,m_end,"&gt;"&amp;840)&gt;1,"충돌",HYPERLINK("#'관리자_MASTER'!D"&amp;_xlfn.MAXIFS(m_row,m_teacher,AI$4,m_date,($G$2+16),m_active,1,m_start,"&lt;"&amp;900,m_end,"&gt;"&amp;840),INDEX(m_label,_xlfn.MAXIFS(m_row,m_teacher,AI$4,m_date,($G$2+16),m_active,1,m_start,"&lt;"&amp;900,m_end,"&gt;"&amp;840))))))</f>
        <v/>
      </c>
      <c r="AJ32" s="82" t="str">
        <f aca="false">IF(OR(AJ$4="",MONTH(($G$2+16))&lt;&gt;MONTH($C$2)),"",IF(COUNTIFS(m_teacher,AJ$4,m_date,($G$2+16),m_active,1,m_start,"&lt;"&amp;900,m_end,"&gt;"&amp;840)=0,"",IF(COUNTIFS(m_teacher,AJ$4,m_date,($G$2+16),m_active,1,m_start,"&lt;"&amp;900,m_end,"&gt;"&amp;840)&gt;1,"충돌",HYPERLINK("#'관리자_MASTER'!D"&amp;_xlfn.MAXIFS(m_row,m_teacher,AJ$4,m_date,($G$2+16),m_active,1,m_start,"&lt;"&amp;900,m_end,"&gt;"&amp;840),INDEX(m_label,_xlfn.MAXIFS(m_row,m_teacher,AJ$4,m_date,($G$2+16),m_active,1,m_start,"&lt;"&amp;900,m_end,"&gt;"&amp;840))))))</f>
        <v/>
      </c>
      <c r="AK32" s="82" t="str">
        <f aca="false">IF(OR(AK$4="",MONTH(($G$2+16))&lt;&gt;MONTH($C$2)),"",IF(COUNTIFS(m_teacher,AK$4,m_date,($G$2+16),m_active,1,m_start,"&lt;"&amp;900,m_end,"&gt;"&amp;840)=0,"",IF(COUNTIFS(m_teacher,AK$4,m_date,($G$2+16),m_active,1,m_start,"&lt;"&amp;900,m_end,"&gt;"&amp;840)&gt;1,"충돌",HYPERLINK("#'관리자_MASTER'!D"&amp;_xlfn.MAXIFS(m_row,m_teacher,AK$4,m_date,($G$2+16),m_active,1,m_start,"&lt;"&amp;900,m_end,"&gt;"&amp;840),INDEX(m_label,_xlfn.MAXIFS(m_row,m_teacher,AK$4,m_date,($G$2+16),m_active,1,m_start,"&lt;"&amp;900,m_end,"&gt;"&amp;840))))))</f>
        <v/>
      </c>
      <c r="AL32" s="82" t="str">
        <f aca="false">IF(OR(AL$4="",MONTH(($G$2+16))&lt;&gt;MONTH($C$2)),"",IF(COUNTIFS(m_teacher,AL$4,m_date,($G$2+16),m_active,1,m_start,"&lt;"&amp;900,m_end,"&gt;"&amp;840)=0,"",IF(COUNTIFS(m_teacher,AL$4,m_date,($G$2+16),m_active,1,m_start,"&lt;"&amp;900,m_end,"&gt;"&amp;840)&gt;1,"충돌",HYPERLINK("#'관리자_MASTER'!D"&amp;_xlfn.MAXIFS(m_row,m_teacher,AL$4,m_date,($G$2+16),m_active,1,m_start,"&lt;"&amp;900,m_end,"&gt;"&amp;840),INDEX(m_label,_xlfn.MAXIFS(m_row,m_teacher,AL$4,m_date,($G$2+16),m_active,1,m_start,"&lt;"&amp;900,m_end,"&gt;"&amp;840))))))</f>
        <v/>
      </c>
      <c r="AM32" s="82" t="str">
        <f aca="false">IF(OR(AM$4="",MONTH(($G$2+16))&lt;&gt;MONTH($C$2)),"",IF(COUNTIFS(m_teacher,AM$4,m_date,($G$2+16),m_active,1,m_start,"&lt;"&amp;900,m_end,"&gt;"&amp;840)=0,"",IF(COUNTIFS(m_teacher,AM$4,m_date,($G$2+16),m_active,1,m_start,"&lt;"&amp;900,m_end,"&gt;"&amp;840)&gt;1,"충돌",HYPERLINK("#'관리자_MASTER'!D"&amp;_xlfn.MAXIFS(m_row,m_teacher,AM$4,m_date,($G$2+16),m_active,1,m_start,"&lt;"&amp;900,m_end,"&gt;"&amp;840),INDEX(m_label,_xlfn.MAXIFS(m_row,m_teacher,AM$4,m_date,($G$2+16),m_active,1,m_start,"&lt;"&amp;900,m_end,"&gt;"&amp;840))))))</f>
        <v/>
      </c>
      <c r="AN32" s="82" t="str">
        <f aca="false">IF(OR(AN$4="",MONTH(($G$2+16))&lt;&gt;MONTH($C$2)),"",IF(COUNTIFS(m_teacher,AN$4,m_date,($G$2+16),m_active,1,m_start,"&lt;"&amp;900,m_end,"&gt;"&amp;840)=0,"",IF(COUNTIFS(m_teacher,AN$4,m_date,($G$2+16),m_active,1,m_start,"&lt;"&amp;900,m_end,"&gt;"&amp;840)&gt;1,"충돌",HYPERLINK("#'관리자_MASTER'!D"&amp;_xlfn.MAXIFS(m_row,m_teacher,AN$4,m_date,($G$2+16),m_active,1,m_start,"&lt;"&amp;900,m_end,"&gt;"&amp;840),INDEX(m_label,_xlfn.MAXIFS(m_row,m_teacher,AN$4,m_date,($G$2+16),m_active,1,m_start,"&lt;"&amp;900,m_end,"&gt;"&amp;840))))))</f>
        <v/>
      </c>
      <c r="AO32" s="82" t="str">
        <f aca="false">IF(OR(AO$4="",MONTH(($G$2+16))&lt;&gt;MONTH($C$2)),"",IF(COUNTIFS(m_teacher,AO$4,m_date,($G$2+16),m_active,1,m_start,"&lt;"&amp;900,m_end,"&gt;"&amp;840)=0,"",IF(COUNTIFS(m_teacher,AO$4,m_date,($G$2+16),m_active,1,m_start,"&lt;"&amp;900,m_end,"&gt;"&amp;840)&gt;1,"충돌",HYPERLINK("#'관리자_MASTER'!D"&amp;_xlfn.MAXIFS(m_row,m_teacher,AO$4,m_date,($G$2+16),m_active,1,m_start,"&lt;"&amp;900,m_end,"&gt;"&amp;840),INDEX(m_label,_xlfn.MAXIFS(m_row,m_teacher,AO$4,m_date,($G$2+16),m_active,1,m_start,"&lt;"&amp;900,m_end,"&gt;"&amp;840))))))</f>
        <v/>
      </c>
      <c r="AP32" s="82" t="str">
        <f aca="false">IF(OR(AP$4="",MONTH(($G$2+16))&lt;&gt;MONTH($C$2)),"",IF(COUNTIFS(m_teacher,AP$4,m_date,($G$2+16),m_active,1,m_start,"&lt;"&amp;900,m_end,"&gt;"&amp;840)=0,"",IF(COUNTIFS(m_teacher,AP$4,m_date,($G$2+16),m_active,1,m_start,"&lt;"&amp;900,m_end,"&gt;"&amp;840)&gt;1,"충돌",HYPERLINK("#'관리자_MASTER'!D"&amp;_xlfn.MAXIFS(m_row,m_teacher,AP$4,m_date,($G$2+16),m_active,1,m_start,"&lt;"&amp;900,m_end,"&gt;"&amp;840),INDEX(m_label,_xlfn.MAXIFS(m_row,m_teacher,AP$4,m_date,($G$2+16),m_active,1,m_start,"&lt;"&amp;900,m_end,"&gt;"&amp;840))))))</f>
        <v/>
      </c>
      <c r="AQ32" s="78"/>
      <c r="AR32" s="79" t="s">
        <v>96</v>
      </c>
      <c r="AS32" s="82" t="str">
        <f aca="false">IF(OR(AS$4="",MONTH(($G$2+23))&lt;&gt;MONTH($C$2)),"",IF(COUNTIFS(m_teacher,AS$4,m_date,($G$2+23),m_active,1,m_start,"&lt;"&amp;900,m_end,"&gt;"&amp;840)=0,"",IF(COUNTIFS(m_teacher,AS$4,m_date,($G$2+23),m_active,1,m_start,"&lt;"&amp;900,m_end,"&gt;"&amp;840)&gt;1,"충돌",HYPERLINK("#'관리자_MASTER'!D"&amp;_xlfn.MAXIFS(m_row,m_teacher,AS$4,m_date,($G$2+23),m_active,1,m_start,"&lt;"&amp;900,m_end,"&gt;"&amp;840),INDEX(m_label,_xlfn.MAXIFS(m_row,m_teacher,AS$4,m_date,($G$2+23),m_active,1,m_start,"&lt;"&amp;900,m_end,"&gt;"&amp;840))))))</f>
        <v/>
      </c>
      <c r="AT32" s="82" t="str">
        <f aca="false">IF(OR(AT$4="",MONTH(($G$2+23))&lt;&gt;MONTH($C$2)),"",IF(COUNTIFS(m_teacher,AT$4,m_date,($G$2+23),m_active,1,m_start,"&lt;"&amp;900,m_end,"&gt;"&amp;840)=0,"",IF(COUNTIFS(m_teacher,AT$4,m_date,($G$2+23),m_active,1,m_start,"&lt;"&amp;900,m_end,"&gt;"&amp;840)&gt;1,"충돌",HYPERLINK("#'관리자_MASTER'!D"&amp;_xlfn.MAXIFS(m_row,m_teacher,AT$4,m_date,($G$2+23),m_active,1,m_start,"&lt;"&amp;900,m_end,"&gt;"&amp;840),INDEX(m_label,_xlfn.MAXIFS(m_row,m_teacher,AT$4,m_date,($G$2+23),m_active,1,m_start,"&lt;"&amp;900,m_end,"&gt;"&amp;840))))))</f>
        <v/>
      </c>
      <c r="AU32" s="82" t="str">
        <f aca="false">IF(OR(AU$4="",MONTH(($G$2+23))&lt;&gt;MONTH($C$2)),"",IF(COUNTIFS(m_teacher,AU$4,m_date,($G$2+23),m_active,1,m_start,"&lt;"&amp;900,m_end,"&gt;"&amp;840)=0,"",IF(COUNTIFS(m_teacher,AU$4,m_date,($G$2+23),m_active,1,m_start,"&lt;"&amp;900,m_end,"&gt;"&amp;840)&gt;1,"충돌",HYPERLINK("#'관리자_MASTER'!D"&amp;_xlfn.MAXIFS(m_row,m_teacher,AU$4,m_date,($G$2+23),m_active,1,m_start,"&lt;"&amp;900,m_end,"&gt;"&amp;840),INDEX(m_label,_xlfn.MAXIFS(m_row,m_teacher,AU$4,m_date,($G$2+23),m_active,1,m_start,"&lt;"&amp;900,m_end,"&gt;"&amp;840))))))</f>
        <v/>
      </c>
      <c r="AV32" s="82" t="str">
        <f aca="false">IF(OR(AV$4="",MONTH(($G$2+23))&lt;&gt;MONTH($C$2)),"",IF(COUNTIFS(m_teacher,AV$4,m_date,($G$2+23),m_active,1,m_start,"&lt;"&amp;900,m_end,"&gt;"&amp;840)=0,"",IF(COUNTIFS(m_teacher,AV$4,m_date,($G$2+23),m_active,1,m_start,"&lt;"&amp;900,m_end,"&gt;"&amp;840)&gt;1,"충돌",HYPERLINK("#'관리자_MASTER'!D"&amp;_xlfn.MAXIFS(m_row,m_teacher,AV$4,m_date,($G$2+23),m_active,1,m_start,"&lt;"&amp;900,m_end,"&gt;"&amp;840),INDEX(m_label,_xlfn.MAXIFS(m_row,m_teacher,AV$4,m_date,($G$2+23),m_active,1,m_start,"&lt;"&amp;900,m_end,"&gt;"&amp;840))))))</f>
        <v/>
      </c>
      <c r="AW32" s="82" t="str">
        <f aca="false">IF(OR(AW$4="",MONTH(($G$2+23))&lt;&gt;MONTH($C$2)),"",IF(COUNTIFS(m_teacher,AW$4,m_date,($G$2+23),m_active,1,m_start,"&lt;"&amp;900,m_end,"&gt;"&amp;840)=0,"",IF(COUNTIFS(m_teacher,AW$4,m_date,($G$2+23),m_active,1,m_start,"&lt;"&amp;900,m_end,"&gt;"&amp;840)&gt;1,"충돌",HYPERLINK("#'관리자_MASTER'!D"&amp;_xlfn.MAXIFS(m_row,m_teacher,AW$4,m_date,($G$2+23),m_active,1,m_start,"&lt;"&amp;900,m_end,"&gt;"&amp;840),INDEX(m_label,_xlfn.MAXIFS(m_row,m_teacher,AW$4,m_date,($G$2+23),m_active,1,m_start,"&lt;"&amp;900,m_end,"&gt;"&amp;840))))))</f>
        <v/>
      </c>
      <c r="AX32" s="82" t="str">
        <f aca="false">IF(OR(AX$4="",MONTH(($G$2+23))&lt;&gt;MONTH($C$2)),"",IF(COUNTIFS(m_teacher,AX$4,m_date,($G$2+23),m_active,1,m_start,"&lt;"&amp;900,m_end,"&gt;"&amp;840)=0,"",IF(COUNTIFS(m_teacher,AX$4,m_date,($G$2+23),m_active,1,m_start,"&lt;"&amp;900,m_end,"&gt;"&amp;840)&gt;1,"충돌",HYPERLINK("#'관리자_MASTER'!D"&amp;_xlfn.MAXIFS(m_row,m_teacher,AX$4,m_date,($G$2+23),m_active,1,m_start,"&lt;"&amp;900,m_end,"&gt;"&amp;840),INDEX(m_label,_xlfn.MAXIFS(m_row,m_teacher,AX$4,m_date,($G$2+23),m_active,1,m_start,"&lt;"&amp;900,m_end,"&gt;"&amp;840))))))</f>
        <v/>
      </c>
      <c r="AY32" s="82" t="str">
        <f aca="false">IF(OR(AY$4="",MONTH(($G$2+23))&lt;&gt;MONTH($C$2)),"",IF(COUNTIFS(m_teacher,AY$4,m_date,($G$2+23),m_active,1,m_start,"&lt;"&amp;900,m_end,"&gt;"&amp;840)=0,"",IF(COUNTIFS(m_teacher,AY$4,m_date,($G$2+23),m_active,1,m_start,"&lt;"&amp;900,m_end,"&gt;"&amp;840)&gt;1,"충돌",HYPERLINK("#'관리자_MASTER'!D"&amp;_xlfn.MAXIFS(m_row,m_teacher,AY$4,m_date,($G$2+23),m_active,1,m_start,"&lt;"&amp;900,m_end,"&gt;"&amp;840),INDEX(m_label,_xlfn.MAXIFS(m_row,m_teacher,AY$4,m_date,($G$2+23),m_active,1,m_start,"&lt;"&amp;900,m_end,"&gt;"&amp;840))))))</f>
        <v/>
      </c>
      <c r="AZ32" s="82" t="str">
        <f aca="false">IF(OR(AZ$4="",MONTH(($G$2+23))&lt;&gt;MONTH($C$2)),"",IF(COUNTIFS(m_teacher,AZ$4,m_date,($G$2+23),m_active,1,m_start,"&lt;"&amp;900,m_end,"&gt;"&amp;840)=0,"",IF(COUNTIFS(m_teacher,AZ$4,m_date,($G$2+23),m_active,1,m_start,"&lt;"&amp;900,m_end,"&gt;"&amp;840)&gt;1,"충돌",HYPERLINK("#'관리자_MASTER'!D"&amp;_xlfn.MAXIFS(m_row,m_teacher,AZ$4,m_date,($G$2+23),m_active,1,m_start,"&lt;"&amp;900,m_end,"&gt;"&amp;840),INDEX(m_label,_xlfn.MAXIFS(m_row,m_teacher,AZ$4,m_date,($G$2+23),m_active,1,m_start,"&lt;"&amp;900,m_end,"&gt;"&amp;840))))))</f>
        <v/>
      </c>
      <c r="BA32" s="82" t="str">
        <f aca="false">IF(OR(BA$4="",MONTH(($G$2+23))&lt;&gt;MONTH($C$2)),"",IF(COUNTIFS(m_teacher,BA$4,m_date,($G$2+23),m_active,1,m_start,"&lt;"&amp;900,m_end,"&gt;"&amp;840)=0,"",IF(COUNTIFS(m_teacher,BA$4,m_date,($G$2+23),m_active,1,m_start,"&lt;"&amp;900,m_end,"&gt;"&amp;840)&gt;1,"충돌",HYPERLINK("#'관리자_MASTER'!D"&amp;_xlfn.MAXIFS(m_row,m_teacher,BA$4,m_date,($G$2+23),m_active,1,m_start,"&lt;"&amp;900,m_end,"&gt;"&amp;840),INDEX(m_label,_xlfn.MAXIFS(m_row,m_teacher,BA$4,m_date,($G$2+23),m_active,1,m_start,"&lt;"&amp;900,m_end,"&gt;"&amp;840))))))</f>
        <v/>
      </c>
      <c r="BB32" s="82" t="str">
        <f aca="false">IF(OR(BB$4="",MONTH(($G$2+23))&lt;&gt;MONTH($C$2)),"",IF(COUNTIFS(m_teacher,BB$4,m_date,($G$2+23),m_active,1,m_start,"&lt;"&amp;900,m_end,"&gt;"&amp;840)=0,"",IF(COUNTIFS(m_teacher,BB$4,m_date,($G$2+23),m_active,1,m_start,"&lt;"&amp;900,m_end,"&gt;"&amp;840)&gt;1,"충돌",HYPERLINK("#'관리자_MASTER'!D"&amp;_xlfn.MAXIFS(m_row,m_teacher,BB$4,m_date,($G$2+23),m_active,1,m_start,"&lt;"&amp;900,m_end,"&gt;"&amp;840),INDEX(m_label,_xlfn.MAXIFS(m_row,m_teacher,BB$4,m_date,($G$2+23),m_active,1,m_start,"&lt;"&amp;900,m_end,"&gt;"&amp;840))))))</f>
        <v/>
      </c>
      <c r="BC32" s="82" t="str">
        <f aca="false">IF(OR(BC$4="",MONTH(($G$2+23))&lt;&gt;MONTH($C$2)),"",IF(COUNTIFS(m_teacher,BC$4,m_date,($G$2+23),m_active,1,m_start,"&lt;"&amp;900,m_end,"&gt;"&amp;840)=0,"",IF(COUNTIFS(m_teacher,BC$4,m_date,($G$2+23),m_active,1,m_start,"&lt;"&amp;900,m_end,"&gt;"&amp;840)&gt;1,"충돌",HYPERLINK("#'관리자_MASTER'!D"&amp;_xlfn.MAXIFS(m_row,m_teacher,BC$4,m_date,($G$2+23),m_active,1,m_start,"&lt;"&amp;900,m_end,"&gt;"&amp;840),INDEX(m_label,_xlfn.MAXIFS(m_row,m_teacher,BC$4,m_date,($G$2+23),m_active,1,m_start,"&lt;"&amp;900,m_end,"&gt;"&amp;840))))))</f>
        <v/>
      </c>
      <c r="BD32" s="82" t="str">
        <f aca="false">IF(OR(BD$4="",MONTH(($G$2+23))&lt;&gt;MONTH($C$2)),"",IF(COUNTIFS(m_teacher,BD$4,m_date,($G$2+23),m_active,1,m_start,"&lt;"&amp;900,m_end,"&gt;"&amp;840)=0,"",IF(COUNTIFS(m_teacher,BD$4,m_date,($G$2+23),m_active,1,m_start,"&lt;"&amp;900,m_end,"&gt;"&amp;840)&gt;1,"충돌",HYPERLINK("#'관리자_MASTER'!D"&amp;_xlfn.MAXIFS(m_row,m_teacher,BD$4,m_date,($G$2+23),m_active,1,m_start,"&lt;"&amp;900,m_end,"&gt;"&amp;840),INDEX(m_label,_xlfn.MAXIFS(m_row,m_teacher,BD$4,m_date,($G$2+23),m_active,1,m_start,"&lt;"&amp;900,m_end,"&gt;"&amp;840))))))</f>
        <v/>
      </c>
      <c r="BE32" s="78"/>
      <c r="BF32" s="79" t="s">
        <v>96</v>
      </c>
      <c r="BG32" s="82" t="str">
        <f aca="false">IF(OR(BG$4="",MONTH(($G$2+30))&lt;&gt;MONTH($C$2)),"",IF(COUNTIFS(m_teacher,BG$4,m_date,($G$2+30),m_active,1,m_start,"&lt;"&amp;900,m_end,"&gt;"&amp;840)=0,"",IF(COUNTIFS(m_teacher,BG$4,m_date,($G$2+30),m_active,1,m_start,"&lt;"&amp;900,m_end,"&gt;"&amp;840)&gt;1,"충돌",HYPERLINK("#'관리자_MASTER'!D"&amp;_xlfn.MAXIFS(m_row,m_teacher,BG$4,m_date,($G$2+30),m_active,1,m_start,"&lt;"&amp;900,m_end,"&gt;"&amp;840),INDEX(m_label,_xlfn.MAXIFS(m_row,m_teacher,BG$4,m_date,($G$2+30),m_active,1,m_start,"&lt;"&amp;900,m_end,"&gt;"&amp;840))))))</f>
        <v/>
      </c>
      <c r="BH32" s="82" t="str">
        <f aca="false">IF(OR(BH$4="",MONTH(($G$2+30))&lt;&gt;MONTH($C$2)),"",IF(COUNTIFS(m_teacher,BH$4,m_date,($G$2+30),m_active,1,m_start,"&lt;"&amp;900,m_end,"&gt;"&amp;840)=0,"",IF(COUNTIFS(m_teacher,BH$4,m_date,($G$2+30),m_active,1,m_start,"&lt;"&amp;900,m_end,"&gt;"&amp;840)&gt;1,"충돌",HYPERLINK("#'관리자_MASTER'!D"&amp;_xlfn.MAXIFS(m_row,m_teacher,BH$4,m_date,($G$2+30),m_active,1,m_start,"&lt;"&amp;900,m_end,"&gt;"&amp;840),INDEX(m_label,_xlfn.MAXIFS(m_row,m_teacher,BH$4,m_date,($G$2+30),m_active,1,m_start,"&lt;"&amp;900,m_end,"&gt;"&amp;840))))))</f>
        <v/>
      </c>
      <c r="BI32" s="82" t="str">
        <f aca="false">IF(OR(BI$4="",MONTH(($G$2+30))&lt;&gt;MONTH($C$2)),"",IF(COUNTIFS(m_teacher,BI$4,m_date,($G$2+30),m_active,1,m_start,"&lt;"&amp;900,m_end,"&gt;"&amp;840)=0,"",IF(COUNTIFS(m_teacher,BI$4,m_date,($G$2+30),m_active,1,m_start,"&lt;"&amp;900,m_end,"&gt;"&amp;840)&gt;1,"충돌",HYPERLINK("#'관리자_MASTER'!D"&amp;_xlfn.MAXIFS(m_row,m_teacher,BI$4,m_date,($G$2+30),m_active,1,m_start,"&lt;"&amp;900,m_end,"&gt;"&amp;840),INDEX(m_label,_xlfn.MAXIFS(m_row,m_teacher,BI$4,m_date,($G$2+30),m_active,1,m_start,"&lt;"&amp;900,m_end,"&gt;"&amp;840))))))</f>
        <v/>
      </c>
      <c r="BJ32" s="82" t="str">
        <f aca="false">IF(OR(BJ$4="",MONTH(($G$2+30))&lt;&gt;MONTH($C$2)),"",IF(COUNTIFS(m_teacher,BJ$4,m_date,($G$2+30),m_active,1,m_start,"&lt;"&amp;900,m_end,"&gt;"&amp;840)=0,"",IF(COUNTIFS(m_teacher,BJ$4,m_date,($G$2+30),m_active,1,m_start,"&lt;"&amp;900,m_end,"&gt;"&amp;840)&gt;1,"충돌",HYPERLINK("#'관리자_MASTER'!D"&amp;_xlfn.MAXIFS(m_row,m_teacher,BJ$4,m_date,($G$2+30),m_active,1,m_start,"&lt;"&amp;900,m_end,"&gt;"&amp;840),INDEX(m_label,_xlfn.MAXIFS(m_row,m_teacher,BJ$4,m_date,($G$2+30),m_active,1,m_start,"&lt;"&amp;900,m_end,"&gt;"&amp;840))))))</f>
        <v/>
      </c>
      <c r="BK32" s="82" t="str">
        <f aca="false">IF(OR(BK$4="",MONTH(($G$2+30))&lt;&gt;MONTH($C$2)),"",IF(COUNTIFS(m_teacher,BK$4,m_date,($G$2+30),m_active,1,m_start,"&lt;"&amp;900,m_end,"&gt;"&amp;840)=0,"",IF(COUNTIFS(m_teacher,BK$4,m_date,($G$2+30),m_active,1,m_start,"&lt;"&amp;900,m_end,"&gt;"&amp;840)&gt;1,"충돌",HYPERLINK("#'관리자_MASTER'!D"&amp;_xlfn.MAXIFS(m_row,m_teacher,BK$4,m_date,($G$2+30),m_active,1,m_start,"&lt;"&amp;900,m_end,"&gt;"&amp;840),INDEX(m_label,_xlfn.MAXIFS(m_row,m_teacher,BK$4,m_date,($G$2+30),m_active,1,m_start,"&lt;"&amp;900,m_end,"&gt;"&amp;840))))))</f>
        <v/>
      </c>
      <c r="BL32" s="82" t="str">
        <f aca="false">IF(OR(BL$4="",MONTH(($G$2+30))&lt;&gt;MONTH($C$2)),"",IF(COUNTIFS(m_teacher,BL$4,m_date,($G$2+30),m_active,1,m_start,"&lt;"&amp;900,m_end,"&gt;"&amp;840)=0,"",IF(COUNTIFS(m_teacher,BL$4,m_date,($G$2+30),m_active,1,m_start,"&lt;"&amp;900,m_end,"&gt;"&amp;840)&gt;1,"충돌",HYPERLINK("#'관리자_MASTER'!D"&amp;_xlfn.MAXIFS(m_row,m_teacher,BL$4,m_date,($G$2+30),m_active,1,m_start,"&lt;"&amp;900,m_end,"&gt;"&amp;840),INDEX(m_label,_xlfn.MAXIFS(m_row,m_teacher,BL$4,m_date,($G$2+30),m_active,1,m_start,"&lt;"&amp;900,m_end,"&gt;"&amp;840))))))</f>
        <v/>
      </c>
      <c r="BM32" s="82" t="str">
        <f aca="false">IF(OR(BM$4="",MONTH(($G$2+30))&lt;&gt;MONTH($C$2)),"",IF(COUNTIFS(m_teacher,BM$4,m_date,($G$2+30),m_active,1,m_start,"&lt;"&amp;900,m_end,"&gt;"&amp;840)=0,"",IF(COUNTIFS(m_teacher,BM$4,m_date,($G$2+30),m_active,1,m_start,"&lt;"&amp;900,m_end,"&gt;"&amp;840)&gt;1,"충돌",HYPERLINK("#'관리자_MASTER'!D"&amp;_xlfn.MAXIFS(m_row,m_teacher,BM$4,m_date,($G$2+30),m_active,1,m_start,"&lt;"&amp;900,m_end,"&gt;"&amp;840),INDEX(m_label,_xlfn.MAXIFS(m_row,m_teacher,BM$4,m_date,($G$2+30),m_active,1,m_start,"&lt;"&amp;900,m_end,"&gt;"&amp;840))))))</f>
        <v/>
      </c>
      <c r="BN32" s="82" t="str">
        <f aca="false">IF(OR(BN$4="",MONTH(($G$2+30))&lt;&gt;MONTH($C$2)),"",IF(COUNTIFS(m_teacher,BN$4,m_date,($G$2+30),m_active,1,m_start,"&lt;"&amp;900,m_end,"&gt;"&amp;840)=0,"",IF(COUNTIFS(m_teacher,BN$4,m_date,($G$2+30),m_active,1,m_start,"&lt;"&amp;900,m_end,"&gt;"&amp;840)&gt;1,"충돌",HYPERLINK("#'관리자_MASTER'!D"&amp;_xlfn.MAXIFS(m_row,m_teacher,BN$4,m_date,($G$2+30),m_active,1,m_start,"&lt;"&amp;900,m_end,"&gt;"&amp;840),INDEX(m_label,_xlfn.MAXIFS(m_row,m_teacher,BN$4,m_date,($G$2+30),m_active,1,m_start,"&lt;"&amp;900,m_end,"&gt;"&amp;840))))))</f>
        <v/>
      </c>
      <c r="BO32" s="82" t="str">
        <f aca="false">IF(OR(BO$4="",MONTH(($G$2+30))&lt;&gt;MONTH($C$2)),"",IF(COUNTIFS(m_teacher,BO$4,m_date,($G$2+30),m_active,1,m_start,"&lt;"&amp;900,m_end,"&gt;"&amp;840)=0,"",IF(COUNTIFS(m_teacher,BO$4,m_date,($G$2+30),m_active,1,m_start,"&lt;"&amp;900,m_end,"&gt;"&amp;840)&gt;1,"충돌",HYPERLINK("#'관리자_MASTER'!D"&amp;_xlfn.MAXIFS(m_row,m_teacher,BO$4,m_date,($G$2+30),m_active,1,m_start,"&lt;"&amp;900,m_end,"&gt;"&amp;840),INDEX(m_label,_xlfn.MAXIFS(m_row,m_teacher,BO$4,m_date,($G$2+30),m_active,1,m_start,"&lt;"&amp;900,m_end,"&gt;"&amp;840))))))</f>
        <v/>
      </c>
      <c r="BP32" s="82" t="str">
        <f aca="false">IF(OR(BP$4="",MONTH(($G$2+30))&lt;&gt;MONTH($C$2)),"",IF(COUNTIFS(m_teacher,BP$4,m_date,($G$2+30),m_active,1,m_start,"&lt;"&amp;900,m_end,"&gt;"&amp;840)=0,"",IF(COUNTIFS(m_teacher,BP$4,m_date,($G$2+30),m_active,1,m_start,"&lt;"&amp;900,m_end,"&gt;"&amp;840)&gt;1,"충돌",HYPERLINK("#'관리자_MASTER'!D"&amp;_xlfn.MAXIFS(m_row,m_teacher,BP$4,m_date,($G$2+30),m_active,1,m_start,"&lt;"&amp;900,m_end,"&gt;"&amp;840),INDEX(m_label,_xlfn.MAXIFS(m_row,m_teacher,BP$4,m_date,($G$2+30),m_active,1,m_start,"&lt;"&amp;900,m_end,"&gt;"&amp;840))))))</f>
        <v/>
      </c>
      <c r="BQ32" s="82" t="str">
        <f aca="false">IF(OR(BQ$4="",MONTH(($G$2+30))&lt;&gt;MONTH($C$2)),"",IF(COUNTIFS(m_teacher,BQ$4,m_date,($G$2+30),m_active,1,m_start,"&lt;"&amp;900,m_end,"&gt;"&amp;840)=0,"",IF(COUNTIFS(m_teacher,BQ$4,m_date,($G$2+30),m_active,1,m_start,"&lt;"&amp;900,m_end,"&gt;"&amp;840)&gt;1,"충돌",HYPERLINK("#'관리자_MASTER'!D"&amp;_xlfn.MAXIFS(m_row,m_teacher,BQ$4,m_date,($G$2+30),m_active,1,m_start,"&lt;"&amp;900,m_end,"&gt;"&amp;840),INDEX(m_label,_xlfn.MAXIFS(m_row,m_teacher,BQ$4,m_date,($G$2+30),m_active,1,m_start,"&lt;"&amp;900,m_end,"&gt;"&amp;840))))))</f>
        <v/>
      </c>
      <c r="BR32" s="82" t="str">
        <f aca="false">IF(OR(BR$4="",MONTH(($G$2+30))&lt;&gt;MONTH($C$2)),"",IF(COUNTIFS(m_teacher,BR$4,m_date,($G$2+30),m_active,1,m_start,"&lt;"&amp;900,m_end,"&gt;"&amp;840)=0,"",IF(COUNTIFS(m_teacher,BR$4,m_date,($G$2+30),m_active,1,m_start,"&lt;"&amp;900,m_end,"&gt;"&amp;840)&gt;1,"충돌",HYPERLINK("#'관리자_MASTER'!D"&amp;_xlfn.MAXIFS(m_row,m_teacher,BR$4,m_date,($G$2+30),m_active,1,m_start,"&lt;"&amp;900,m_end,"&gt;"&amp;840),INDEX(m_label,_xlfn.MAXIFS(m_row,m_teacher,BR$4,m_date,($G$2+30),m_active,1,m_start,"&lt;"&amp;900,m_end,"&gt;"&amp;840))))))</f>
        <v/>
      </c>
    </row>
    <row r="33" customFormat="false" ht="19.5" hidden="false" customHeight="true" outlineLevel="0" collapsed="false">
      <c r="A33" s="78"/>
      <c r="B33" s="79" t="s">
        <v>97</v>
      </c>
      <c r="C33" s="82" t="str">
        <f aca="false">IF(OR(C$4="",MONTH(($G$2+2))&lt;&gt;MONTH($C$2)),"",IF(COUNTIFS(m_teacher,C$4,m_date,($G$2+2),m_active,1,m_start,"&lt;"&amp;960,m_end,"&gt;"&amp;900)=0,"",IF(COUNTIFS(m_teacher,C$4,m_date,($G$2+2),m_active,1,m_start,"&lt;"&amp;960,m_end,"&gt;"&amp;900)&gt;1,"충돌",HYPERLINK("#'관리자_MASTER'!D"&amp;_xlfn.MAXIFS(m_row,m_teacher,C$4,m_date,($G$2+2),m_active,1,m_start,"&lt;"&amp;960,m_end,"&gt;"&amp;900),INDEX(m_label,_xlfn.MAXIFS(m_row,m_teacher,C$4,m_date,($G$2+2),m_active,1,m_start,"&lt;"&amp;960,m_end,"&gt;"&amp;900))))))</f>
        <v/>
      </c>
      <c r="D33" s="82" t="str">
        <f aca="false">IF(OR(D$4="",MONTH(($G$2+2))&lt;&gt;MONTH($C$2)),"",IF(COUNTIFS(m_teacher,D$4,m_date,($G$2+2),m_active,1,m_start,"&lt;"&amp;960,m_end,"&gt;"&amp;900)=0,"",IF(COUNTIFS(m_teacher,D$4,m_date,($G$2+2),m_active,1,m_start,"&lt;"&amp;960,m_end,"&gt;"&amp;900)&gt;1,"충돌",HYPERLINK("#'관리자_MASTER'!D"&amp;_xlfn.MAXIFS(m_row,m_teacher,D$4,m_date,($G$2+2),m_active,1,m_start,"&lt;"&amp;960,m_end,"&gt;"&amp;900),INDEX(m_label,_xlfn.MAXIFS(m_row,m_teacher,D$4,m_date,($G$2+2),m_active,1,m_start,"&lt;"&amp;960,m_end,"&gt;"&amp;900))))))</f>
        <v/>
      </c>
      <c r="E33" s="82" t="str">
        <f aca="false">IF(OR(E$4="",MONTH(($G$2+2))&lt;&gt;MONTH($C$2)),"",IF(COUNTIFS(m_teacher,E$4,m_date,($G$2+2),m_active,1,m_start,"&lt;"&amp;960,m_end,"&gt;"&amp;900)=0,"",IF(COUNTIFS(m_teacher,E$4,m_date,($G$2+2),m_active,1,m_start,"&lt;"&amp;960,m_end,"&gt;"&amp;900)&gt;1,"충돌",HYPERLINK("#'관리자_MASTER'!D"&amp;_xlfn.MAXIFS(m_row,m_teacher,E$4,m_date,($G$2+2),m_active,1,m_start,"&lt;"&amp;960,m_end,"&gt;"&amp;900),INDEX(m_label,_xlfn.MAXIFS(m_row,m_teacher,E$4,m_date,($G$2+2),m_active,1,m_start,"&lt;"&amp;960,m_end,"&gt;"&amp;900))))))</f>
        <v/>
      </c>
      <c r="F33" s="82" t="str">
        <f aca="false">IF(OR(F$4="",MONTH(($G$2+2))&lt;&gt;MONTH($C$2)),"",IF(COUNTIFS(m_teacher,F$4,m_date,($G$2+2),m_active,1,m_start,"&lt;"&amp;960,m_end,"&gt;"&amp;900)=0,"",IF(COUNTIFS(m_teacher,F$4,m_date,($G$2+2),m_active,1,m_start,"&lt;"&amp;960,m_end,"&gt;"&amp;900)&gt;1,"충돌",HYPERLINK("#'관리자_MASTER'!D"&amp;_xlfn.MAXIFS(m_row,m_teacher,F$4,m_date,($G$2+2),m_active,1,m_start,"&lt;"&amp;960,m_end,"&gt;"&amp;900),INDEX(m_label,_xlfn.MAXIFS(m_row,m_teacher,F$4,m_date,($G$2+2),m_active,1,m_start,"&lt;"&amp;960,m_end,"&gt;"&amp;900))))))</f>
        <v/>
      </c>
      <c r="G33" s="82" t="str">
        <f aca="false">IF(OR(G$4="",MONTH(($G$2+2))&lt;&gt;MONTH($C$2)),"",IF(COUNTIFS(m_teacher,G$4,m_date,($G$2+2),m_active,1,m_start,"&lt;"&amp;960,m_end,"&gt;"&amp;900)=0,"",IF(COUNTIFS(m_teacher,G$4,m_date,($G$2+2),m_active,1,m_start,"&lt;"&amp;960,m_end,"&gt;"&amp;900)&gt;1,"충돌",HYPERLINK("#'관리자_MASTER'!D"&amp;_xlfn.MAXIFS(m_row,m_teacher,G$4,m_date,($G$2+2),m_active,1,m_start,"&lt;"&amp;960,m_end,"&gt;"&amp;900),INDEX(m_label,_xlfn.MAXIFS(m_row,m_teacher,G$4,m_date,($G$2+2),m_active,1,m_start,"&lt;"&amp;960,m_end,"&gt;"&amp;900))))))</f>
        <v/>
      </c>
      <c r="H33" s="82" t="str">
        <f aca="false">IF(OR(H$4="",MONTH(($G$2+2))&lt;&gt;MONTH($C$2)),"",IF(COUNTIFS(m_teacher,H$4,m_date,($G$2+2),m_active,1,m_start,"&lt;"&amp;960,m_end,"&gt;"&amp;900)=0,"",IF(COUNTIFS(m_teacher,H$4,m_date,($G$2+2),m_active,1,m_start,"&lt;"&amp;960,m_end,"&gt;"&amp;900)&gt;1,"충돌",HYPERLINK("#'관리자_MASTER'!D"&amp;_xlfn.MAXIFS(m_row,m_teacher,H$4,m_date,($G$2+2),m_active,1,m_start,"&lt;"&amp;960,m_end,"&gt;"&amp;900),INDEX(m_label,_xlfn.MAXIFS(m_row,m_teacher,H$4,m_date,($G$2+2),m_active,1,m_start,"&lt;"&amp;960,m_end,"&gt;"&amp;900))))))</f>
        <v/>
      </c>
      <c r="I33" s="82" t="str">
        <f aca="false">IF(OR(I$4="",MONTH(($G$2+2))&lt;&gt;MONTH($C$2)),"",IF(COUNTIFS(m_teacher,I$4,m_date,($G$2+2),m_active,1,m_start,"&lt;"&amp;960,m_end,"&gt;"&amp;900)=0,"",IF(COUNTIFS(m_teacher,I$4,m_date,($G$2+2),m_active,1,m_start,"&lt;"&amp;960,m_end,"&gt;"&amp;900)&gt;1,"충돌",HYPERLINK("#'관리자_MASTER'!D"&amp;_xlfn.MAXIFS(m_row,m_teacher,I$4,m_date,($G$2+2),m_active,1,m_start,"&lt;"&amp;960,m_end,"&gt;"&amp;900),INDEX(m_label,_xlfn.MAXIFS(m_row,m_teacher,I$4,m_date,($G$2+2),m_active,1,m_start,"&lt;"&amp;960,m_end,"&gt;"&amp;900))))))</f>
        <v/>
      </c>
      <c r="J33" s="82" t="str">
        <f aca="false">IF(OR(J$4="",MONTH(($G$2+2))&lt;&gt;MONTH($C$2)),"",IF(COUNTIFS(m_teacher,J$4,m_date,($G$2+2),m_active,1,m_start,"&lt;"&amp;960,m_end,"&gt;"&amp;900)=0,"",IF(COUNTIFS(m_teacher,J$4,m_date,($G$2+2),m_active,1,m_start,"&lt;"&amp;960,m_end,"&gt;"&amp;900)&gt;1,"충돌",HYPERLINK("#'관리자_MASTER'!D"&amp;_xlfn.MAXIFS(m_row,m_teacher,J$4,m_date,($G$2+2),m_active,1,m_start,"&lt;"&amp;960,m_end,"&gt;"&amp;900),INDEX(m_label,_xlfn.MAXIFS(m_row,m_teacher,J$4,m_date,($G$2+2),m_active,1,m_start,"&lt;"&amp;960,m_end,"&gt;"&amp;900))))))</f>
        <v/>
      </c>
      <c r="K33" s="82" t="str">
        <f aca="false">IF(OR(K$4="",MONTH(($G$2+2))&lt;&gt;MONTH($C$2)),"",IF(COUNTIFS(m_teacher,K$4,m_date,($G$2+2),m_active,1,m_start,"&lt;"&amp;960,m_end,"&gt;"&amp;900)=0,"",IF(COUNTIFS(m_teacher,K$4,m_date,($G$2+2),m_active,1,m_start,"&lt;"&amp;960,m_end,"&gt;"&amp;900)&gt;1,"충돌",HYPERLINK("#'관리자_MASTER'!D"&amp;_xlfn.MAXIFS(m_row,m_teacher,K$4,m_date,($G$2+2),m_active,1,m_start,"&lt;"&amp;960,m_end,"&gt;"&amp;900),INDEX(m_label,_xlfn.MAXIFS(m_row,m_teacher,K$4,m_date,($G$2+2),m_active,1,m_start,"&lt;"&amp;960,m_end,"&gt;"&amp;900))))))</f>
        <v/>
      </c>
      <c r="L33" s="82" t="str">
        <f aca="false">IF(OR(L$4="",MONTH(($G$2+2))&lt;&gt;MONTH($C$2)),"",IF(COUNTIFS(m_teacher,L$4,m_date,($G$2+2),m_active,1,m_start,"&lt;"&amp;960,m_end,"&gt;"&amp;900)=0,"",IF(COUNTIFS(m_teacher,L$4,m_date,($G$2+2),m_active,1,m_start,"&lt;"&amp;960,m_end,"&gt;"&amp;900)&gt;1,"충돌",HYPERLINK("#'관리자_MASTER'!D"&amp;_xlfn.MAXIFS(m_row,m_teacher,L$4,m_date,($G$2+2),m_active,1,m_start,"&lt;"&amp;960,m_end,"&gt;"&amp;900),INDEX(m_label,_xlfn.MAXIFS(m_row,m_teacher,L$4,m_date,($G$2+2),m_active,1,m_start,"&lt;"&amp;960,m_end,"&gt;"&amp;900))))))</f>
        <v/>
      </c>
      <c r="M33" s="82" t="str">
        <f aca="false">IF(OR(M$4="",MONTH(($G$2+2))&lt;&gt;MONTH($C$2)),"",IF(COUNTIFS(m_teacher,M$4,m_date,($G$2+2),m_active,1,m_start,"&lt;"&amp;960,m_end,"&gt;"&amp;900)=0,"",IF(COUNTIFS(m_teacher,M$4,m_date,($G$2+2),m_active,1,m_start,"&lt;"&amp;960,m_end,"&gt;"&amp;900)&gt;1,"충돌",HYPERLINK("#'관리자_MASTER'!D"&amp;_xlfn.MAXIFS(m_row,m_teacher,M$4,m_date,($G$2+2),m_active,1,m_start,"&lt;"&amp;960,m_end,"&gt;"&amp;900),INDEX(m_label,_xlfn.MAXIFS(m_row,m_teacher,M$4,m_date,($G$2+2),m_active,1,m_start,"&lt;"&amp;960,m_end,"&gt;"&amp;900))))))</f>
        <v/>
      </c>
      <c r="N33" s="82" t="str">
        <f aca="false">IF(OR(N$4="",MONTH(($G$2+2))&lt;&gt;MONTH($C$2)),"",IF(COUNTIFS(m_teacher,N$4,m_date,($G$2+2),m_active,1,m_start,"&lt;"&amp;960,m_end,"&gt;"&amp;900)=0,"",IF(COUNTIFS(m_teacher,N$4,m_date,($G$2+2),m_active,1,m_start,"&lt;"&amp;960,m_end,"&gt;"&amp;900)&gt;1,"충돌",HYPERLINK("#'관리자_MASTER'!D"&amp;_xlfn.MAXIFS(m_row,m_teacher,N$4,m_date,($G$2+2),m_active,1,m_start,"&lt;"&amp;960,m_end,"&gt;"&amp;900),INDEX(m_label,_xlfn.MAXIFS(m_row,m_teacher,N$4,m_date,($G$2+2),m_active,1,m_start,"&lt;"&amp;960,m_end,"&gt;"&amp;900))))))</f>
        <v/>
      </c>
      <c r="O33" s="78"/>
      <c r="P33" s="79" t="s">
        <v>97</v>
      </c>
      <c r="Q33" s="82" t="str">
        <f aca="false">IF(OR(Q$4="",MONTH(($G$2+9))&lt;&gt;MONTH($C$2)),"",IF(COUNTIFS(m_teacher,Q$4,m_date,($G$2+9),m_active,1,m_start,"&lt;"&amp;960,m_end,"&gt;"&amp;900)=0,"",IF(COUNTIFS(m_teacher,Q$4,m_date,($G$2+9),m_active,1,m_start,"&lt;"&amp;960,m_end,"&gt;"&amp;900)&gt;1,"충돌",HYPERLINK("#'관리자_MASTER'!D"&amp;_xlfn.MAXIFS(m_row,m_teacher,Q$4,m_date,($G$2+9),m_active,1,m_start,"&lt;"&amp;960,m_end,"&gt;"&amp;900),INDEX(m_label,_xlfn.MAXIFS(m_row,m_teacher,Q$4,m_date,($G$2+9),m_active,1,m_start,"&lt;"&amp;960,m_end,"&gt;"&amp;900))))))</f>
        <v/>
      </c>
      <c r="R33" s="82" t="str">
        <f aca="false">IF(OR(R$4="",MONTH(($G$2+9))&lt;&gt;MONTH($C$2)),"",IF(COUNTIFS(m_teacher,R$4,m_date,($G$2+9),m_active,1,m_start,"&lt;"&amp;960,m_end,"&gt;"&amp;900)=0,"",IF(COUNTIFS(m_teacher,R$4,m_date,($G$2+9),m_active,1,m_start,"&lt;"&amp;960,m_end,"&gt;"&amp;900)&gt;1,"충돌",HYPERLINK("#'관리자_MASTER'!D"&amp;_xlfn.MAXIFS(m_row,m_teacher,R$4,m_date,($G$2+9),m_active,1,m_start,"&lt;"&amp;960,m_end,"&gt;"&amp;900),INDEX(m_label,_xlfn.MAXIFS(m_row,m_teacher,R$4,m_date,($G$2+9),m_active,1,m_start,"&lt;"&amp;960,m_end,"&gt;"&amp;900))))))</f>
        <v/>
      </c>
      <c r="S33" s="82" t="str">
        <f aca="false">IF(OR(S$4="",MONTH(($G$2+9))&lt;&gt;MONTH($C$2)),"",IF(COUNTIFS(m_teacher,S$4,m_date,($G$2+9),m_active,1,m_start,"&lt;"&amp;960,m_end,"&gt;"&amp;900)=0,"",IF(COUNTIFS(m_teacher,S$4,m_date,($G$2+9),m_active,1,m_start,"&lt;"&amp;960,m_end,"&gt;"&amp;900)&gt;1,"충돌",HYPERLINK("#'관리자_MASTER'!D"&amp;_xlfn.MAXIFS(m_row,m_teacher,S$4,m_date,($G$2+9),m_active,1,m_start,"&lt;"&amp;960,m_end,"&gt;"&amp;900),INDEX(m_label,_xlfn.MAXIFS(m_row,m_teacher,S$4,m_date,($G$2+9),m_active,1,m_start,"&lt;"&amp;960,m_end,"&gt;"&amp;900))))))</f>
        <v/>
      </c>
      <c r="T33" s="82" t="str">
        <f aca="false">IF(OR(T$4="",MONTH(($G$2+9))&lt;&gt;MONTH($C$2)),"",IF(COUNTIFS(m_teacher,T$4,m_date,($G$2+9),m_active,1,m_start,"&lt;"&amp;960,m_end,"&gt;"&amp;900)=0,"",IF(COUNTIFS(m_teacher,T$4,m_date,($G$2+9),m_active,1,m_start,"&lt;"&amp;960,m_end,"&gt;"&amp;900)&gt;1,"충돌",HYPERLINK("#'관리자_MASTER'!D"&amp;_xlfn.MAXIFS(m_row,m_teacher,T$4,m_date,($G$2+9),m_active,1,m_start,"&lt;"&amp;960,m_end,"&gt;"&amp;900),INDEX(m_label,_xlfn.MAXIFS(m_row,m_teacher,T$4,m_date,($G$2+9),m_active,1,m_start,"&lt;"&amp;960,m_end,"&gt;"&amp;900))))))</f>
        <v/>
      </c>
      <c r="U33" s="82" t="str">
        <f aca="false">IF(OR(U$4="",MONTH(($G$2+9))&lt;&gt;MONTH($C$2)),"",IF(COUNTIFS(m_teacher,U$4,m_date,($G$2+9),m_active,1,m_start,"&lt;"&amp;960,m_end,"&gt;"&amp;900)=0,"",IF(COUNTIFS(m_teacher,U$4,m_date,($G$2+9),m_active,1,m_start,"&lt;"&amp;960,m_end,"&gt;"&amp;900)&gt;1,"충돌",HYPERLINK("#'관리자_MASTER'!D"&amp;_xlfn.MAXIFS(m_row,m_teacher,U$4,m_date,($G$2+9),m_active,1,m_start,"&lt;"&amp;960,m_end,"&gt;"&amp;900),INDEX(m_label,_xlfn.MAXIFS(m_row,m_teacher,U$4,m_date,($G$2+9),m_active,1,m_start,"&lt;"&amp;960,m_end,"&gt;"&amp;900))))))</f>
        <v/>
      </c>
      <c r="V33" s="82" t="str">
        <f aca="false">IF(OR(V$4="",MONTH(($G$2+9))&lt;&gt;MONTH($C$2)),"",IF(COUNTIFS(m_teacher,V$4,m_date,($G$2+9),m_active,1,m_start,"&lt;"&amp;960,m_end,"&gt;"&amp;900)=0,"",IF(COUNTIFS(m_teacher,V$4,m_date,($G$2+9),m_active,1,m_start,"&lt;"&amp;960,m_end,"&gt;"&amp;900)&gt;1,"충돌",HYPERLINK("#'관리자_MASTER'!D"&amp;_xlfn.MAXIFS(m_row,m_teacher,V$4,m_date,($G$2+9),m_active,1,m_start,"&lt;"&amp;960,m_end,"&gt;"&amp;900),INDEX(m_label,_xlfn.MAXIFS(m_row,m_teacher,V$4,m_date,($G$2+9),m_active,1,m_start,"&lt;"&amp;960,m_end,"&gt;"&amp;900))))))</f>
        <v/>
      </c>
      <c r="W33" s="82" t="str">
        <f aca="false">IF(OR(W$4="",MONTH(($G$2+9))&lt;&gt;MONTH($C$2)),"",IF(COUNTIFS(m_teacher,W$4,m_date,($G$2+9),m_active,1,m_start,"&lt;"&amp;960,m_end,"&gt;"&amp;900)=0,"",IF(COUNTIFS(m_teacher,W$4,m_date,($G$2+9),m_active,1,m_start,"&lt;"&amp;960,m_end,"&gt;"&amp;900)&gt;1,"충돌",HYPERLINK("#'관리자_MASTER'!D"&amp;_xlfn.MAXIFS(m_row,m_teacher,W$4,m_date,($G$2+9),m_active,1,m_start,"&lt;"&amp;960,m_end,"&gt;"&amp;900),INDEX(m_label,_xlfn.MAXIFS(m_row,m_teacher,W$4,m_date,($G$2+9),m_active,1,m_start,"&lt;"&amp;960,m_end,"&gt;"&amp;900))))))</f>
        <v/>
      </c>
      <c r="X33" s="82" t="str">
        <f aca="false">IF(OR(X$4="",MONTH(($G$2+9))&lt;&gt;MONTH($C$2)),"",IF(COUNTIFS(m_teacher,X$4,m_date,($G$2+9),m_active,1,m_start,"&lt;"&amp;960,m_end,"&gt;"&amp;900)=0,"",IF(COUNTIFS(m_teacher,X$4,m_date,($G$2+9),m_active,1,m_start,"&lt;"&amp;960,m_end,"&gt;"&amp;900)&gt;1,"충돌",HYPERLINK("#'관리자_MASTER'!D"&amp;_xlfn.MAXIFS(m_row,m_teacher,X$4,m_date,($G$2+9),m_active,1,m_start,"&lt;"&amp;960,m_end,"&gt;"&amp;900),INDEX(m_label,_xlfn.MAXIFS(m_row,m_teacher,X$4,m_date,($G$2+9),m_active,1,m_start,"&lt;"&amp;960,m_end,"&gt;"&amp;900))))))</f>
        <v/>
      </c>
      <c r="Y33" s="82" t="str">
        <f aca="false">IF(OR(Y$4="",MONTH(($G$2+9))&lt;&gt;MONTH($C$2)),"",IF(COUNTIFS(m_teacher,Y$4,m_date,($G$2+9),m_active,1,m_start,"&lt;"&amp;960,m_end,"&gt;"&amp;900)=0,"",IF(COUNTIFS(m_teacher,Y$4,m_date,($G$2+9),m_active,1,m_start,"&lt;"&amp;960,m_end,"&gt;"&amp;900)&gt;1,"충돌",HYPERLINK("#'관리자_MASTER'!D"&amp;_xlfn.MAXIFS(m_row,m_teacher,Y$4,m_date,($G$2+9),m_active,1,m_start,"&lt;"&amp;960,m_end,"&gt;"&amp;900),INDEX(m_label,_xlfn.MAXIFS(m_row,m_teacher,Y$4,m_date,($G$2+9),m_active,1,m_start,"&lt;"&amp;960,m_end,"&gt;"&amp;900))))))</f>
        <v/>
      </c>
      <c r="Z33" s="82" t="str">
        <f aca="false">IF(OR(Z$4="",MONTH(($G$2+9))&lt;&gt;MONTH($C$2)),"",IF(COUNTIFS(m_teacher,Z$4,m_date,($G$2+9),m_active,1,m_start,"&lt;"&amp;960,m_end,"&gt;"&amp;900)=0,"",IF(COUNTIFS(m_teacher,Z$4,m_date,($G$2+9),m_active,1,m_start,"&lt;"&amp;960,m_end,"&gt;"&amp;900)&gt;1,"충돌",HYPERLINK("#'관리자_MASTER'!D"&amp;_xlfn.MAXIFS(m_row,m_teacher,Z$4,m_date,($G$2+9),m_active,1,m_start,"&lt;"&amp;960,m_end,"&gt;"&amp;900),INDEX(m_label,_xlfn.MAXIFS(m_row,m_teacher,Z$4,m_date,($G$2+9),m_active,1,m_start,"&lt;"&amp;960,m_end,"&gt;"&amp;900))))))</f>
        <v/>
      </c>
      <c r="AA33" s="82" t="str">
        <f aca="false">IF(OR(AA$4="",MONTH(($G$2+9))&lt;&gt;MONTH($C$2)),"",IF(COUNTIFS(m_teacher,AA$4,m_date,($G$2+9),m_active,1,m_start,"&lt;"&amp;960,m_end,"&gt;"&amp;900)=0,"",IF(COUNTIFS(m_teacher,AA$4,m_date,($G$2+9),m_active,1,m_start,"&lt;"&amp;960,m_end,"&gt;"&amp;900)&gt;1,"충돌",HYPERLINK("#'관리자_MASTER'!D"&amp;_xlfn.MAXIFS(m_row,m_teacher,AA$4,m_date,($G$2+9),m_active,1,m_start,"&lt;"&amp;960,m_end,"&gt;"&amp;900),INDEX(m_label,_xlfn.MAXIFS(m_row,m_teacher,AA$4,m_date,($G$2+9),m_active,1,m_start,"&lt;"&amp;960,m_end,"&gt;"&amp;900))))))</f>
        <v/>
      </c>
      <c r="AB33" s="82" t="str">
        <f aca="false">IF(OR(AB$4="",MONTH(($G$2+9))&lt;&gt;MONTH($C$2)),"",IF(COUNTIFS(m_teacher,AB$4,m_date,($G$2+9),m_active,1,m_start,"&lt;"&amp;960,m_end,"&gt;"&amp;900)=0,"",IF(COUNTIFS(m_teacher,AB$4,m_date,($G$2+9),m_active,1,m_start,"&lt;"&amp;960,m_end,"&gt;"&amp;900)&gt;1,"충돌",HYPERLINK("#'관리자_MASTER'!D"&amp;_xlfn.MAXIFS(m_row,m_teacher,AB$4,m_date,($G$2+9),m_active,1,m_start,"&lt;"&amp;960,m_end,"&gt;"&amp;900),INDEX(m_label,_xlfn.MAXIFS(m_row,m_teacher,AB$4,m_date,($G$2+9),m_active,1,m_start,"&lt;"&amp;960,m_end,"&gt;"&amp;900))))))</f>
        <v/>
      </c>
      <c r="AC33" s="78"/>
      <c r="AD33" s="79" t="s">
        <v>97</v>
      </c>
      <c r="AE33" s="82" t="str">
        <f aca="false">IF(OR(AE$4="",MONTH(($G$2+16))&lt;&gt;MONTH($C$2)),"",IF(COUNTIFS(m_teacher,AE$4,m_date,($G$2+16),m_active,1,m_start,"&lt;"&amp;960,m_end,"&gt;"&amp;900)=0,"",IF(COUNTIFS(m_teacher,AE$4,m_date,($G$2+16),m_active,1,m_start,"&lt;"&amp;960,m_end,"&gt;"&amp;900)&gt;1,"충돌",HYPERLINK("#'관리자_MASTER'!D"&amp;_xlfn.MAXIFS(m_row,m_teacher,AE$4,m_date,($G$2+16),m_active,1,m_start,"&lt;"&amp;960,m_end,"&gt;"&amp;900),INDEX(m_label,_xlfn.MAXIFS(m_row,m_teacher,AE$4,m_date,($G$2+16),m_active,1,m_start,"&lt;"&amp;960,m_end,"&gt;"&amp;900))))))</f>
        <v/>
      </c>
      <c r="AF33" s="82" t="str">
        <f aca="false">IF(OR(AF$4="",MONTH(($G$2+16))&lt;&gt;MONTH($C$2)),"",IF(COUNTIFS(m_teacher,AF$4,m_date,($G$2+16),m_active,1,m_start,"&lt;"&amp;960,m_end,"&gt;"&amp;900)=0,"",IF(COUNTIFS(m_teacher,AF$4,m_date,($G$2+16),m_active,1,m_start,"&lt;"&amp;960,m_end,"&gt;"&amp;900)&gt;1,"충돌",HYPERLINK("#'관리자_MASTER'!D"&amp;_xlfn.MAXIFS(m_row,m_teacher,AF$4,m_date,($G$2+16),m_active,1,m_start,"&lt;"&amp;960,m_end,"&gt;"&amp;900),INDEX(m_label,_xlfn.MAXIFS(m_row,m_teacher,AF$4,m_date,($G$2+16),m_active,1,m_start,"&lt;"&amp;960,m_end,"&gt;"&amp;900))))))</f>
        <v/>
      </c>
      <c r="AG33" s="82" t="str">
        <f aca="false">IF(OR(AG$4="",MONTH(($G$2+16))&lt;&gt;MONTH($C$2)),"",IF(COUNTIFS(m_teacher,AG$4,m_date,($G$2+16),m_active,1,m_start,"&lt;"&amp;960,m_end,"&gt;"&amp;900)=0,"",IF(COUNTIFS(m_teacher,AG$4,m_date,($G$2+16),m_active,1,m_start,"&lt;"&amp;960,m_end,"&gt;"&amp;900)&gt;1,"충돌",HYPERLINK("#'관리자_MASTER'!D"&amp;_xlfn.MAXIFS(m_row,m_teacher,AG$4,m_date,($G$2+16),m_active,1,m_start,"&lt;"&amp;960,m_end,"&gt;"&amp;900),INDEX(m_label,_xlfn.MAXIFS(m_row,m_teacher,AG$4,m_date,($G$2+16),m_active,1,m_start,"&lt;"&amp;960,m_end,"&gt;"&amp;900))))))</f>
        <v/>
      </c>
      <c r="AH33" s="82" t="str">
        <f aca="false">IF(OR(AH$4="",MONTH(($G$2+16))&lt;&gt;MONTH($C$2)),"",IF(COUNTIFS(m_teacher,AH$4,m_date,($G$2+16),m_active,1,m_start,"&lt;"&amp;960,m_end,"&gt;"&amp;900)=0,"",IF(COUNTIFS(m_teacher,AH$4,m_date,($G$2+16),m_active,1,m_start,"&lt;"&amp;960,m_end,"&gt;"&amp;900)&gt;1,"충돌",HYPERLINK("#'관리자_MASTER'!D"&amp;_xlfn.MAXIFS(m_row,m_teacher,AH$4,m_date,($G$2+16),m_active,1,m_start,"&lt;"&amp;960,m_end,"&gt;"&amp;900),INDEX(m_label,_xlfn.MAXIFS(m_row,m_teacher,AH$4,m_date,($G$2+16),m_active,1,m_start,"&lt;"&amp;960,m_end,"&gt;"&amp;900))))))</f>
        <v/>
      </c>
      <c r="AI33" s="82" t="str">
        <f aca="false">IF(OR(AI$4="",MONTH(($G$2+16))&lt;&gt;MONTH($C$2)),"",IF(COUNTIFS(m_teacher,AI$4,m_date,($G$2+16),m_active,1,m_start,"&lt;"&amp;960,m_end,"&gt;"&amp;900)=0,"",IF(COUNTIFS(m_teacher,AI$4,m_date,($G$2+16),m_active,1,m_start,"&lt;"&amp;960,m_end,"&gt;"&amp;900)&gt;1,"충돌",HYPERLINK("#'관리자_MASTER'!D"&amp;_xlfn.MAXIFS(m_row,m_teacher,AI$4,m_date,($G$2+16),m_active,1,m_start,"&lt;"&amp;960,m_end,"&gt;"&amp;900),INDEX(m_label,_xlfn.MAXIFS(m_row,m_teacher,AI$4,m_date,($G$2+16),m_active,1,m_start,"&lt;"&amp;960,m_end,"&gt;"&amp;900))))))</f>
        <v/>
      </c>
      <c r="AJ33" s="82" t="str">
        <f aca="false">IF(OR(AJ$4="",MONTH(($G$2+16))&lt;&gt;MONTH($C$2)),"",IF(COUNTIFS(m_teacher,AJ$4,m_date,($G$2+16),m_active,1,m_start,"&lt;"&amp;960,m_end,"&gt;"&amp;900)=0,"",IF(COUNTIFS(m_teacher,AJ$4,m_date,($G$2+16),m_active,1,m_start,"&lt;"&amp;960,m_end,"&gt;"&amp;900)&gt;1,"충돌",HYPERLINK("#'관리자_MASTER'!D"&amp;_xlfn.MAXIFS(m_row,m_teacher,AJ$4,m_date,($G$2+16),m_active,1,m_start,"&lt;"&amp;960,m_end,"&gt;"&amp;900),INDEX(m_label,_xlfn.MAXIFS(m_row,m_teacher,AJ$4,m_date,($G$2+16),m_active,1,m_start,"&lt;"&amp;960,m_end,"&gt;"&amp;900))))))</f>
        <v/>
      </c>
      <c r="AK33" s="82" t="str">
        <f aca="false">IF(OR(AK$4="",MONTH(($G$2+16))&lt;&gt;MONTH($C$2)),"",IF(COUNTIFS(m_teacher,AK$4,m_date,($G$2+16),m_active,1,m_start,"&lt;"&amp;960,m_end,"&gt;"&amp;900)=0,"",IF(COUNTIFS(m_teacher,AK$4,m_date,($G$2+16),m_active,1,m_start,"&lt;"&amp;960,m_end,"&gt;"&amp;900)&gt;1,"충돌",HYPERLINK("#'관리자_MASTER'!D"&amp;_xlfn.MAXIFS(m_row,m_teacher,AK$4,m_date,($G$2+16),m_active,1,m_start,"&lt;"&amp;960,m_end,"&gt;"&amp;900),INDEX(m_label,_xlfn.MAXIFS(m_row,m_teacher,AK$4,m_date,($G$2+16),m_active,1,m_start,"&lt;"&amp;960,m_end,"&gt;"&amp;900))))))</f>
        <v/>
      </c>
      <c r="AL33" s="82" t="str">
        <f aca="false">IF(OR(AL$4="",MONTH(($G$2+16))&lt;&gt;MONTH($C$2)),"",IF(COUNTIFS(m_teacher,AL$4,m_date,($G$2+16),m_active,1,m_start,"&lt;"&amp;960,m_end,"&gt;"&amp;900)=0,"",IF(COUNTIFS(m_teacher,AL$4,m_date,($G$2+16),m_active,1,m_start,"&lt;"&amp;960,m_end,"&gt;"&amp;900)&gt;1,"충돌",HYPERLINK("#'관리자_MASTER'!D"&amp;_xlfn.MAXIFS(m_row,m_teacher,AL$4,m_date,($G$2+16),m_active,1,m_start,"&lt;"&amp;960,m_end,"&gt;"&amp;900),INDEX(m_label,_xlfn.MAXIFS(m_row,m_teacher,AL$4,m_date,($G$2+16),m_active,1,m_start,"&lt;"&amp;960,m_end,"&gt;"&amp;900))))))</f>
        <v/>
      </c>
      <c r="AM33" s="82" t="str">
        <f aca="false">IF(OR(AM$4="",MONTH(($G$2+16))&lt;&gt;MONTH($C$2)),"",IF(COUNTIFS(m_teacher,AM$4,m_date,($G$2+16),m_active,1,m_start,"&lt;"&amp;960,m_end,"&gt;"&amp;900)=0,"",IF(COUNTIFS(m_teacher,AM$4,m_date,($G$2+16),m_active,1,m_start,"&lt;"&amp;960,m_end,"&gt;"&amp;900)&gt;1,"충돌",HYPERLINK("#'관리자_MASTER'!D"&amp;_xlfn.MAXIFS(m_row,m_teacher,AM$4,m_date,($G$2+16),m_active,1,m_start,"&lt;"&amp;960,m_end,"&gt;"&amp;900),INDEX(m_label,_xlfn.MAXIFS(m_row,m_teacher,AM$4,m_date,($G$2+16),m_active,1,m_start,"&lt;"&amp;960,m_end,"&gt;"&amp;900))))))</f>
        <v/>
      </c>
      <c r="AN33" s="82" t="str">
        <f aca="false">IF(OR(AN$4="",MONTH(($G$2+16))&lt;&gt;MONTH($C$2)),"",IF(COUNTIFS(m_teacher,AN$4,m_date,($G$2+16),m_active,1,m_start,"&lt;"&amp;960,m_end,"&gt;"&amp;900)=0,"",IF(COUNTIFS(m_teacher,AN$4,m_date,($G$2+16),m_active,1,m_start,"&lt;"&amp;960,m_end,"&gt;"&amp;900)&gt;1,"충돌",HYPERLINK("#'관리자_MASTER'!D"&amp;_xlfn.MAXIFS(m_row,m_teacher,AN$4,m_date,($G$2+16),m_active,1,m_start,"&lt;"&amp;960,m_end,"&gt;"&amp;900),INDEX(m_label,_xlfn.MAXIFS(m_row,m_teacher,AN$4,m_date,($G$2+16),m_active,1,m_start,"&lt;"&amp;960,m_end,"&gt;"&amp;900))))))</f>
        <v/>
      </c>
      <c r="AO33" s="82" t="str">
        <f aca="false">IF(OR(AO$4="",MONTH(($G$2+16))&lt;&gt;MONTH($C$2)),"",IF(COUNTIFS(m_teacher,AO$4,m_date,($G$2+16),m_active,1,m_start,"&lt;"&amp;960,m_end,"&gt;"&amp;900)=0,"",IF(COUNTIFS(m_teacher,AO$4,m_date,($G$2+16),m_active,1,m_start,"&lt;"&amp;960,m_end,"&gt;"&amp;900)&gt;1,"충돌",HYPERLINK("#'관리자_MASTER'!D"&amp;_xlfn.MAXIFS(m_row,m_teacher,AO$4,m_date,($G$2+16),m_active,1,m_start,"&lt;"&amp;960,m_end,"&gt;"&amp;900),INDEX(m_label,_xlfn.MAXIFS(m_row,m_teacher,AO$4,m_date,($G$2+16),m_active,1,m_start,"&lt;"&amp;960,m_end,"&gt;"&amp;900))))))</f>
        <v/>
      </c>
      <c r="AP33" s="82" t="str">
        <f aca="false">IF(OR(AP$4="",MONTH(($G$2+16))&lt;&gt;MONTH($C$2)),"",IF(COUNTIFS(m_teacher,AP$4,m_date,($G$2+16),m_active,1,m_start,"&lt;"&amp;960,m_end,"&gt;"&amp;900)=0,"",IF(COUNTIFS(m_teacher,AP$4,m_date,($G$2+16),m_active,1,m_start,"&lt;"&amp;960,m_end,"&gt;"&amp;900)&gt;1,"충돌",HYPERLINK("#'관리자_MASTER'!D"&amp;_xlfn.MAXIFS(m_row,m_teacher,AP$4,m_date,($G$2+16),m_active,1,m_start,"&lt;"&amp;960,m_end,"&gt;"&amp;900),INDEX(m_label,_xlfn.MAXIFS(m_row,m_teacher,AP$4,m_date,($G$2+16),m_active,1,m_start,"&lt;"&amp;960,m_end,"&gt;"&amp;900))))))</f>
        <v/>
      </c>
      <c r="AQ33" s="78"/>
      <c r="AR33" s="79" t="s">
        <v>97</v>
      </c>
      <c r="AS33" s="82" t="str">
        <f aca="false">IF(OR(AS$4="",MONTH(($G$2+23))&lt;&gt;MONTH($C$2)),"",IF(COUNTIFS(m_teacher,AS$4,m_date,($G$2+23),m_active,1,m_start,"&lt;"&amp;960,m_end,"&gt;"&amp;900)=0,"",IF(COUNTIFS(m_teacher,AS$4,m_date,($G$2+23),m_active,1,m_start,"&lt;"&amp;960,m_end,"&gt;"&amp;900)&gt;1,"충돌",HYPERLINK("#'관리자_MASTER'!D"&amp;_xlfn.MAXIFS(m_row,m_teacher,AS$4,m_date,($G$2+23),m_active,1,m_start,"&lt;"&amp;960,m_end,"&gt;"&amp;900),INDEX(m_label,_xlfn.MAXIFS(m_row,m_teacher,AS$4,m_date,($G$2+23),m_active,1,m_start,"&lt;"&amp;960,m_end,"&gt;"&amp;900))))))</f>
        <v/>
      </c>
      <c r="AT33" s="82" t="str">
        <f aca="false">IF(OR(AT$4="",MONTH(($G$2+23))&lt;&gt;MONTH($C$2)),"",IF(COUNTIFS(m_teacher,AT$4,m_date,($G$2+23),m_active,1,m_start,"&lt;"&amp;960,m_end,"&gt;"&amp;900)=0,"",IF(COUNTIFS(m_teacher,AT$4,m_date,($G$2+23),m_active,1,m_start,"&lt;"&amp;960,m_end,"&gt;"&amp;900)&gt;1,"충돌",HYPERLINK("#'관리자_MASTER'!D"&amp;_xlfn.MAXIFS(m_row,m_teacher,AT$4,m_date,($G$2+23),m_active,1,m_start,"&lt;"&amp;960,m_end,"&gt;"&amp;900),INDEX(m_label,_xlfn.MAXIFS(m_row,m_teacher,AT$4,m_date,($G$2+23),m_active,1,m_start,"&lt;"&amp;960,m_end,"&gt;"&amp;900))))))</f>
        <v/>
      </c>
      <c r="AU33" s="82" t="str">
        <f aca="false">IF(OR(AU$4="",MONTH(($G$2+23))&lt;&gt;MONTH($C$2)),"",IF(COUNTIFS(m_teacher,AU$4,m_date,($G$2+23),m_active,1,m_start,"&lt;"&amp;960,m_end,"&gt;"&amp;900)=0,"",IF(COUNTIFS(m_teacher,AU$4,m_date,($G$2+23),m_active,1,m_start,"&lt;"&amp;960,m_end,"&gt;"&amp;900)&gt;1,"충돌",HYPERLINK("#'관리자_MASTER'!D"&amp;_xlfn.MAXIFS(m_row,m_teacher,AU$4,m_date,($G$2+23),m_active,1,m_start,"&lt;"&amp;960,m_end,"&gt;"&amp;900),INDEX(m_label,_xlfn.MAXIFS(m_row,m_teacher,AU$4,m_date,($G$2+23),m_active,1,m_start,"&lt;"&amp;960,m_end,"&gt;"&amp;900))))))</f>
        <v/>
      </c>
      <c r="AV33" s="82" t="str">
        <f aca="false">IF(OR(AV$4="",MONTH(($G$2+23))&lt;&gt;MONTH($C$2)),"",IF(COUNTIFS(m_teacher,AV$4,m_date,($G$2+23),m_active,1,m_start,"&lt;"&amp;960,m_end,"&gt;"&amp;900)=0,"",IF(COUNTIFS(m_teacher,AV$4,m_date,($G$2+23),m_active,1,m_start,"&lt;"&amp;960,m_end,"&gt;"&amp;900)&gt;1,"충돌",HYPERLINK("#'관리자_MASTER'!D"&amp;_xlfn.MAXIFS(m_row,m_teacher,AV$4,m_date,($G$2+23),m_active,1,m_start,"&lt;"&amp;960,m_end,"&gt;"&amp;900),INDEX(m_label,_xlfn.MAXIFS(m_row,m_teacher,AV$4,m_date,($G$2+23),m_active,1,m_start,"&lt;"&amp;960,m_end,"&gt;"&amp;900))))))</f>
        <v/>
      </c>
      <c r="AW33" s="82" t="str">
        <f aca="false">IF(OR(AW$4="",MONTH(($G$2+23))&lt;&gt;MONTH($C$2)),"",IF(COUNTIFS(m_teacher,AW$4,m_date,($G$2+23),m_active,1,m_start,"&lt;"&amp;960,m_end,"&gt;"&amp;900)=0,"",IF(COUNTIFS(m_teacher,AW$4,m_date,($G$2+23),m_active,1,m_start,"&lt;"&amp;960,m_end,"&gt;"&amp;900)&gt;1,"충돌",HYPERLINK("#'관리자_MASTER'!D"&amp;_xlfn.MAXIFS(m_row,m_teacher,AW$4,m_date,($G$2+23),m_active,1,m_start,"&lt;"&amp;960,m_end,"&gt;"&amp;900),INDEX(m_label,_xlfn.MAXIFS(m_row,m_teacher,AW$4,m_date,($G$2+23),m_active,1,m_start,"&lt;"&amp;960,m_end,"&gt;"&amp;900))))))</f>
        <v/>
      </c>
      <c r="AX33" s="82" t="str">
        <f aca="false">IF(OR(AX$4="",MONTH(($G$2+23))&lt;&gt;MONTH($C$2)),"",IF(COUNTIFS(m_teacher,AX$4,m_date,($G$2+23),m_active,1,m_start,"&lt;"&amp;960,m_end,"&gt;"&amp;900)=0,"",IF(COUNTIFS(m_teacher,AX$4,m_date,($G$2+23),m_active,1,m_start,"&lt;"&amp;960,m_end,"&gt;"&amp;900)&gt;1,"충돌",HYPERLINK("#'관리자_MASTER'!D"&amp;_xlfn.MAXIFS(m_row,m_teacher,AX$4,m_date,($G$2+23),m_active,1,m_start,"&lt;"&amp;960,m_end,"&gt;"&amp;900),INDEX(m_label,_xlfn.MAXIFS(m_row,m_teacher,AX$4,m_date,($G$2+23),m_active,1,m_start,"&lt;"&amp;960,m_end,"&gt;"&amp;900))))))</f>
        <v/>
      </c>
      <c r="AY33" s="82" t="str">
        <f aca="false">IF(OR(AY$4="",MONTH(($G$2+23))&lt;&gt;MONTH($C$2)),"",IF(COUNTIFS(m_teacher,AY$4,m_date,($G$2+23),m_active,1,m_start,"&lt;"&amp;960,m_end,"&gt;"&amp;900)=0,"",IF(COUNTIFS(m_teacher,AY$4,m_date,($G$2+23),m_active,1,m_start,"&lt;"&amp;960,m_end,"&gt;"&amp;900)&gt;1,"충돌",HYPERLINK("#'관리자_MASTER'!D"&amp;_xlfn.MAXIFS(m_row,m_teacher,AY$4,m_date,($G$2+23),m_active,1,m_start,"&lt;"&amp;960,m_end,"&gt;"&amp;900),INDEX(m_label,_xlfn.MAXIFS(m_row,m_teacher,AY$4,m_date,($G$2+23),m_active,1,m_start,"&lt;"&amp;960,m_end,"&gt;"&amp;900))))))</f>
        <v/>
      </c>
      <c r="AZ33" s="82" t="str">
        <f aca="false">IF(OR(AZ$4="",MONTH(($G$2+23))&lt;&gt;MONTH($C$2)),"",IF(COUNTIFS(m_teacher,AZ$4,m_date,($G$2+23),m_active,1,m_start,"&lt;"&amp;960,m_end,"&gt;"&amp;900)=0,"",IF(COUNTIFS(m_teacher,AZ$4,m_date,($G$2+23),m_active,1,m_start,"&lt;"&amp;960,m_end,"&gt;"&amp;900)&gt;1,"충돌",HYPERLINK("#'관리자_MASTER'!D"&amp;_xlfn.MAXIFS(m_row,m_teacher,AZ$4,m_date,($G$2+23),m_active,1,m_start,"&lt;"&amp;960,m_end,"&gt;"&amp;900),INDEX(m_label,_xlfn.MAXIFS(m_row,m_teacher,AZ$4,m_date,($G$2+23),m_active,1,m_start,"&lt;"&amp;960,m_end,"&gt;"&amp;900))))))</f>
        <v/>
      </c>
      <c r="BA33" s="82" t="str">
        <f aca="false">IF(OR(BA$4="",MONTH(($G$2+23))&lt;&gt;MONTH($C$2)),"",IF(COUNTIFS(m_teacher,BA$4,m_date,($G$2+23),m_active,1,m_start,"&lt;"&amp;960,m_end,"&gt;"&amp;900)=0,"",IF(COUNTIFS(m_teacher,BA$4,m_date,($G$2+23),m_active,1,m_start,"&lt;"&amp;960,m_end,"&gt;"&amp;900)&gt;1,"충돌",HYPERLINK("#'관리자_MASTER'!D"&amp;_xlfn.MAXIFS(m_row,m_teacher,BA$4,m_date,($G$2+23),m_active,1,m_start,"&lt;"&amp;960,m_end,"&gt;"&amp;900),INDEX(m_label,_xlfn.MAXIFS(m_row,m_teacher,BA$4,m_date,($G$2+23),m_active,1,m_start,"&lt;"&amp;960,m_end,"&gt;"&amp;900))))))</f>
        <v/>
      </c>
      <c r="BB33" s="82" t="str">
        <f aca="false">IF(OR(BB$4="",MONTH(($G$2+23))&lt;&gt;MONTH($C$2)),"",IF(COUNTIFS(m_teacher,BB$4,m_date,($G$2+23),m_active,1,m_start,"&lt;"&amp;960,m_end,"&gt;"&amp;900)=0,"",IF(COUNTIFS(m_teacher,BB$4,m_date,($G$2+23),m_active,1,m_start,"&lt;"&amp;960,m_end,"&gt;"&amp;900)&gt;1,"충돌",HYPERLINK("#'관리자_MASTER'!D"&amp;_xlfn.MAXIFS(m_row,m_teacher,BB$4,m_date,($G$2+23),m_active,1,m_start,"&lt;"&amp;960,m_end,"&gt;"&amp;900),INDEX(m_label,_xlfn.MAXIFS(m_row,m_teacher,BB$4,m_date,($G$2+23),m_active,1,m_start,"&lt;"&amp;960,m_end,"&gt;"&amp;900))))))</f>
        <v/>
      </c>
      <c r="BC33" s="82" t="str">
        <f aca="false">IF(OR(BC$4="",MONTH(($G$2+23))&lt;&gt;MONTH($C$2)),"",IF(COUNTIFS(m_teacher,BC$4,m_date,($G$2+23),m_active,1,m_start,"&lt;"&amp;960,m_end,"&gt;"&amp;900)=0,"",IF(COUNTIFS(m_teacher,BC$4,m_date,($G$2+23),m_active,1,m_start,"&lt;"&amp;960,m_end,"&gt;"&amp;900)&gt;1,"충돌",HYPERLINK("#'관리자_MASTER'!D"&amp;_xlfn.MAXIFS(m_row,m_teacher,BC$4,m_date,($G$2+23),m_active,1,m_start,"&lt;"&amp;960,m_end,"&gt;"&amp;900),INDEX(m_label,_xlfn.MAXIFS(m_row,m_teacher,BC$4,m_date,($G$2+23),m_active,1,m_start,"&lt;"&amp;960,m_end,"&gt;"&amp;900))))))</f>
        <v/>
      </c>
      <c r="BD33" s="82" t="str">
        <f aca="false">IF(OR(BD$4="",MONTH(($G$2+23))&lt;&gt;MONTH($C$2)),"",IF(COUNTIFS(m_teacher,BD$4,m_date,($G$2+23),m_active,1,m_start,"&lt;"&amp;960,m_end,"&gt;"&amp;900)=0,"",IF(COUNTIFS(m_teacher,BD$4,m_date,($G$2+23),m_active,1,m_start,"&lt;"&amp;960,m_end,"&gt;"&amp;900)&gt;1,"충돌",HYPERLINK("#'관리자_MASTER'!D"&amp;_xlfn.MAXIFS(m_row,m_teacher,BD$4,m_date,($G$2+23),m_active,1,m_start,"&lt;"&amp;960,m_end,"&gt;"&amp;900),INDEX(m_label,_xlfn.MAXIFS(m_row,m_teacher,BD$4,m_date,($G$2+23),m_active,1,m_start,"&lt;"&amp;960,m_end,"&gt;"&amp;900))))))</f>
        <v/>
      </c>
      <c r="BE33" s="78"/>
      <c r="BF33" s="79" t="s">
        <v>97</v>
      </c>
      <c r="BG33" s="82" t="str">
        <f aca="false">IF(OR(BG$4="",MONTH(($G$2+30))&lt;&gt;MONTH($C$2)),"",IF(COUNTIFS(m_teacher,BG$4,m_date,($G$2+30),m_active,1,m_start,"&lt;"&amp;960,m_end,"&gt;"&amp;900)=0,"",IF(COUNTIFS(m_teacher,BG$4,m_date,($G$2+30),m_active,1,m_start,"&lt;"&amp;960,m_end,"&gt;"&amp;900)&gt;1,"충돌",HYPERLINK("#'관리자_MASTER'!D"&amp;_xlfn.MAXIFS(m_row,m_teacher,BG$4,m_date,($G$2+30),m_active,1,m_start,"&lt;"&amp;960,m_end,"&gt;"&amp;900),INDEX(m_label,_xlfn.MAXIFS(m_row,m_teacher,BG$4,m_date,($G$2+30),m_active,1,m_start,"&lt;"&amp;960,m_end,"&gt;"&amp;900))))))</f>
        <v/>
      </c>
      <c r="BH33" s="82" t="str">
        <f aca="false">IF(OR(BH$4="",MONTH(($G$2+30))&lt;&gt;MONTH($C$2)),"",IF(COUNTIFS(m_teacher,BH$4,m_date,($G$2+30),m_active,1,m_start,"&lt;"&amp;960,m_end,"&gt;"&amp;900)=0,"",IF(COUNTIFS(m_teacher,BH$4,m_date,($G$2+30),m_active,1,m_start,"&lt;"&amp;960,m_end,"&gt;"&amp;900)&gt;1,"충돌",HYPERLINK("#'관리자_MASTER'!D"&amp;_xlfn.MAXIFS(m_row,m_teacher,BH$4,m_date,($G$2+30),m_active,1,m_start,"&lt;"&amp;960,m_end,"&gt;"&amp;900),INDEX(m_label,_xlfn.MAXIFS(m_row,m_teacher,BH$4,m_date,($G$2+30),m_active,1,m_start,"&lt;"&amp;960,m_end,"&gt;"&amp;900))))))</f>
        <v/>
      </c>
      <c r="BI33" s="82" t="str">
        <f aca="false">IF(OR(BI$4="",MONTH(($G$2+30))&lt;&gt;MONTH($C$2)),"",IF(COUNTIFS(m_teacher,BI$4,m_date,($G$2+30),m_active,1,m_start,"&lt;"&amp;960,m_end,"&gt;"&amp;900)=0,"",IF(COUNTIFS(m_teacher,BI$4,m_date,($G$2+30),m_active,1,m_start,"&lt;"&amp;960,m_end,"&gt;"&amp;900)&gt;1,"충돌",HYPERLINK("#'관리자_MASTER'!D"&amp;_xlfn.MAXIFS(m_row,m_teacher,BI$4,m_date,($G$2+30),m_active,1,m_start,"&lt;"&amp;960,m_end,"&gt;"&amp;900),INDEX(m_label,_xlfn.MAXIFS(m_row,m_teacher,BI$4,m_date,($G$2+30),m_active,1,m_start,"&lt;"&amp;960,m_end,"&gt;"&amp;900))))))</f>
        <v/>
      </c>
      <c r="BJ33" s="82" t="str">
        <f aca="false">IF(OR(BJ$4="",MONTH(($G$2+30))&lt;&gt;MONTH($C$2)),"",IF(COUNTIFS(m_teacher,BJ$4,m_date,($G$2+30),m_active,1,m_start,"&lt;"&amp;960,m_end,"&gt;"&amp;900)=0,"",IF(COUNTIFS(m_teacher,BJ$4,m_date,($G$2+30),m_active,1,m_start,"&lt;"&amp;960,m_end,"&gt;"&amp;900)&gt;1,"충돌",HYPERLINK("#'관리자_MASTER'!D"&amp;_xlfn.MAXIFS(m_row,m_teacher,BJ$4,m_date,($G$2+30),m_active,1,m_start,"&lt;"&amp;960,m_end,"&gt;"&amp;900),INDEX(m_label,_xlfn.MAXIFS(m_row,m_teacher,BJ$4,m_date,($G$2+30),m_active,1,m_start,"&lt;"&amp;960,m_end,"&gt;"&amp;900))))))</f>
        <v/>
      </c>
      <c r="BK33" s="82" t="str">
        <f aca="false">IF(OR(BK$4="",MONTH(($G$2+30))&lt;&gt;MONTH($C$2)),"",IF(COUNTIFS(m_teacher,BK$4,m_date,($G$2+30),m_active,1,m_start,"&lt;"&amp;960,m_end,"&gt;"&amp;900)=0,"",IF(COUNTIFS(m_teacher,BK$4,m_date,($G$2+30),m_active,1,m_start,"&lt;"&amp;960,m_end,"&gt;"&amp;900)&gt;1,"충돌",HYPERLINK("#'관리자_MASTER'!D"&amp;_xlfn.MAXIFS(m_row,m_teacher,BK$4,m_date,($G$2+30),m_active,1,m_start,"&lt;"&amp;960,m_end,"&gt;"&amp;900),INDEX(m_label,_xlfn.MAXIFS(m_row,m_teacher,BK$4,m_date,($G$2+30),m_active,1,m_start,"&lt;"&amp;960,m_end,"&gt;"&amp;900))))))</f>
        <v/>
      </c>
      <c r="BL33" s="82" t="str">
        <f aca="false">IF(OR(BL$4="",MONTH(($G$2+30))&lt;&gt;MONTH($C$2)),"",IF(COUNTIFS(m_teacher,BL$4,m_date,($G$2+30),m_active,1,m_start,"&lt;"&amp;960,m_end,"&gt;"&amp;900)=0,"",IF(COUNTIFS(m_teacher,BL$4,m_date,($G$2+30),m_active,1,m_start,"&lt;"&amp;960,m_end,"&gt;"&amp;900)&gt;1,"충돌",HYPERLINK("#'관리자_MASTER'!D"&amp;_xlfn.MAXIFS(m_row,m_teacher,BL$4,m_date,($G$2+30),m_active,1,m_start,"&lt;"&amp;960,m_end,"&gt;"&amp;900),INDEX(m_label,_xlfn.MAXIFS(m_row,m_teacher,BL$4,m_date,($G$2+30),m_active,1,m_start,"&lt;"&amp;960,m_end,"&gt;"&amp;900))))))</f>
        <v/>
      </c>
      <c r="BM33" s="82" t="str">
        <f aca="false">IF(OR(BM$4="",MONTH(($G$2+30))&lt;&gt;MONTH($C$2)),"",IF(COUNTIFS(m_teacher,BM$4,m_date,($G$2+30),m_active,1,m_start,"&lt;"&amp;960,m_end,"&gt;"&amp;900)=0,"",IF(COUNTIFS(m_teacher,BM$4,m_date,($G$2+30),m_active,1,m_start,"&lt;"&amp;960,m_end,"&gt;"&amp;900)&gt;1,"충돌",HYPERLINK("#'관리자_MASTER'!D"&amp;_xlfn.MAXIFS(m_row,m_teacher,BM$4,m_date,($G$2+30),m_active,1,m_start,"&lt;"&amp;960,m_end,"&gt;"&amp;900),INDEX(m_label,_xlfn.MAXIFS(m_row,m_teacher,BM$4,m_date,($G$2+30),m_active,1,m_start,"&lt;"&amp;960,m_end,"&gt;"&amp;900))))))</f>
        <v/>
      </c>
      <c r="BN33" s="82" t="str">
        <f aca="false">IF(OR(BN$4="",MONTH(($G$2+30))&lt;&gt;MONTH($C$2)),"",IF(COUNTIFS(m_teacher,BN$4,m_date,($G$2+30),m_active,1,m_start,"&lt;"&amp;960,m_end,"&gt;"&amp;900)=0,"",IF(COUNTIFS(m_teacher,BN$4,m_date,($G$2+30),m_active,1,m_start,"&lt;"&amp;960,m_end,"&gt;"&amp;900)&gt;1,"충돌",HYPERLINK("#'관리자_MASTER'!D"&amp;_xlfn.MAXIFS(m_row,m_teacher,BN$4,m_date,($G$2+30),m_active,1,m_start,"&lt;"&amp;960,m_end,"&gt;"&amp;900),INDEX(m_label,_xlfn.MAXIFS(m_row,m_teacher,BN$4,m_date,($G$2+30),m_active,1,m_start,"&lt;"&amp;960,m_end,"&gt;"&amp;900))))))</f>
        <v/>
      </c>
      <c r="BO33" s="82" t="str">
        <f aca="false">IF(OR(BO$4="",MONTH(($G$2+30))&lt;&gt;MONTH($C$2)),"",IF(COUNTIFS(m_teacher,BO$4,m_date,($G$2+30),m_active,1,m_start,"&lt;"&amp;960,m_end,"&gt;"&amp;900)=0,"",IF(COUNTIFS(m_teacher,BO$4,m_date,($G$2+30),m_active,1,m_start,"&lt;"&amp;960,m_end,"&gt;"&amp;900)&gt;1,"충돌",HYPERLINK("#'관리자_MASTER'!D"&amp;_xlfn.MAXIFS(m_row,m_teacher,BO$4,m_date,($G$2+30),m_active,1,m_start,"&lt;"&amp;960,m_end,"&gt;"&amp;900),INDEX(m_label,_xlfn.MAXIFS(m_row,m_teacher,BO$4,m_date,($G$2+30),m_active,1,m_start,"&lt;"&amp;960,m_end,"&gt;"&amp;900))))))</f>
        <v/>
      </c>
      <c r="BP33" s="82" t="str">
        <f aca="false">IF(OR(BP$4="",MONTH(($G$2+30))&lt;&gt;MONTH($C$2)),"",IF(COUNTIFS(m_teacher,BP$4,m_date,($G$2+30),m_active,1,m_start,"&lt;"&amp;960,m_end,"&gt;"&amp;900)=0,"",IF(COUNTIFS(m_teacher,BP$4,m_date,($G$2+30),m_active,1,m_start,"&lt;"&amp;960,m_end,"&gt;"&amp;900)&gt;1,"충돌",HYPERLINK("#'관리자_MASTER'!D"&amp;_xlfn.MAXIFS(m_row,m_teacher,BP$4,m_date,($G$2+30),m_active,1,m_start,"&lt;"&amp;960,m_end,"&gt;"&amp;900),INDEX(m_label,_xlfn.MAXIFS(m_row,m_teacher,BP$4,m_date,($G$2+30),m_active,1,m_start,"&lt;"&amp;960,m_end,"&gt;"&amp;900))))))</f>
        <v/>
      </c>
      <c r="BQ33" s="82" t="str">
        <f aca="false">IF(OR(BQ$4="",MONTH(($G$2+30))&lt;&gt;MONTH($C$2)),"",IF(COUNTIFS(m_teacher,BQ$4,m_date,($G$2+30),m_active,1,m_start,"&lt;"&amp;960,m_end,"&gt;"&amp;900)=0,"",IF(COUNTIFS(m_teacher,BQ$4,m_date,($G$2+30),m_active,1,m_start,"&lt;"&amp;960,m_end,"&gt;"&amp;900)&gt;1,"충돌",HYPERLINK("#'관리자_MASTER'!D"&amp;_xlfn.MAXIFS(m_row,m_teacher,BQ$4,m_date,($G$2+30),m_active,1,m_start,"&lt;"&amp;960,m_end,"&gt;"&amp;900),INDEX(m_label,_xlfn.MAXIFS(m_row,m_teacher,BQ$4,m_date,($G$2+30),m_active,1,m_start,"&lt;"&amp;960,m_end,"&gt;"&amp;900))))))</f>
        <v/>
      </c>
      <c r="BR33" s="82" t="str">
        <f aca="false">IF(OR(BR$4="",MONTH(($G$2+30))&lt;&gt;MONTH($C$2)),"",IF(COUNTIFS(m_teacher,BR$4,m_date,($G$2+30),m_active,1,m_start,"&lt;"&amp;960,m_end,"&gt;"&amp;900)=0,"",IF(COUNTIFS(m_teacher,BR$4,m_date,($G$2+30),m_active,1,m_start,"&lt;"&amp;960,m_end,"&gt;"&amp;900)&gt;1,"충돌",HYPERLINK("#'관리자_MASTER'!D"&amp;_xlfn.MAXIFS(m_row,m_teacher,BR$4,m_date,($G$2+30),m_active,1,m_start,"&lt;"&amp;960,m_end,"&gt;"&amp;900),INDEX(m_label,_xlfn.MAXIFS(m_row,m_teacher,BR$4,m_date,($G$2+30),m_active,1,m_start,"&lt;"&amp;960,m_end,"&gt;"&amp;900))))))</f>
        <v/>
      </c>
    </row>
    <row r="34" customFormat="false" ht="19.5" hidden="false" customHeight="true" outlineLevel="0" collapsed="false">
      <c r="A34" s="78"/>
      <c r="B34" s="79" t="s">
        <v>98</v>
      </c>
      <c r="C34" s="82" t="str">
        <f aca="false">IF(OR(C$4="",MONTH(($G$2+2))&lt;&gt;MONTH($C$2)),"",IF(COUNTIFS(m_teacher,C$4,m_date,($G$2+2),m_active,1,m_start,"&lt;"&amp;1020,m_end,"&gt;"&amp;960)=0,"",IF(COUNTIFS(m_teacher,C$4,m_date,($G$2+2),m_active,1,m_start,"&lt;"&amp;1020,m_end,"&gt;"&amp;960)&gt;1,"충돌",HYPERLINK("#'관리자_MASTER'!D"&amp;_xlfn.MAXIFS(m_row,m_teacher,C$4,m_date,($G$2+2),m_active,1,m_start,"&lt;"&amp;1020,m_end,"&gt;"&amp;960),INDEX(m_label,_xlfn.MAXIFS(m_row,m_teacher,C$4,m_date,($G$2+2),m_active,1,m_start,"&lt;"&amp;1020,m_end,"&gt;"&amp;960))))))</f>
        <v/>
      </c>
      <c r="D34" s="82" t="str">
        <f aca="false">IF(OR(D$4="",MONTH(($G$2+2))&lt;&gt;MONTH($C$2)),"",IF(COUNTIFS(m_teacher,D$4,m_date,($G$2+2),m_active,1,m_start,"&lt;"&amp;1020,m_end,"&gt;"&amp;960)=0,"",IF(COUNTIFS(m_teacher,D$4,m_date,($G$2+2),m_active,1,m_start,"&lt;"&amp;1020,m_end,"&gt;"&amp;960)&gt;1,"충돌",HYPERLINK("#'관리자_MASTER'!D"&amp;_xlfn.MAXIFS(m_row,m_teacher,D$4,m_date,($G$2+2),m_active,1,m_start,"&lt;"&amp;1020,m_end,"&gt;"&amp;960),INDEX(m_label,_xlfn.MAXIFS(m_row,m_teacher,D$4,m_date,($G$2+2),m_active,1,m_start,"&lt;"&amp;1020,m_end,"&gt;"&amp;960))))))</f>
        <v/>
      </c>
      <c r="E34" s="82" t="str">
        <f aca="false">IF(OR(E$4="",MONTH(($G$2+2))&lt;&gt;MONTH($C$2)),"",IF(COUNTIFS(m_teacher,E$4,m_date,($G$2+2),m_active,1,m_start,"&lt;"&amp;1020,m_end,"&gt;"&amp;960)=0,"",IF(COUNTIFS(m_teacher,E$4,m_date,($G$2+2),m_active,1,m_start,"&lt;"&amp;1020,m_end,"&gt;"&amp;960)&gt;1,"충돌",HYPERLINK("#'관리자_MASTER'!D"&amp;_xlfn.MAXIFS(m_row,m_teacher,E$4,m_date,($G$2+2),m_active,1,m_start,"&lt;"&amp;1020,m_end,"&gt;"&amp;960),INDEX(m_label,_xlfn.MAXIFS(m_row,m_teacher,E$4,m_date,($G$2+2),m_active,1,m_start,"&lt;"&amp;1020,m_end,"&gt;"&amp;960))))))</f>
        <v/>
      </c>
      <c r="F34" s="82" t="str">
        <f aca="false">IF(OR(F$4="",MONTH(($G$2+2))&lt;&gt;MONTH($C$2)),"",IF(COUNTIFS(m_teacher,F$4,m_date,($G$2+2),m_active,1,m_start,"&lt;"&amp;1020,m_end,"&gt;"&amp;960)=0,"",IF(COUNTIFS(m_teacher,F$4,m_date,($G$2+2),m_active,1,m_start,"&lt;"&amp;1020,m_end,"&gt;"&amp;960)&gt;1,"충돌",HYPERLINK("#'관리자_MASTER'!D"&amp;_xlfn.MAXIFS(m_row,m_teacher,F$4,m_date,($G$2+2),m_active,1,m_start,"&lt;"&amp;1020,m_end,"&gt;"&amp;960),INDEX(m_label,_xlfn.MAXIFS(m_row,m_teacher,F$4,m_date,($G$2+2),m_active,1,m_start,"&lt;"&amp;1020,m_end,"&gt;"&amp;960))))))</f>
        <v/>
      </c>
      <c r="G34" s="82" t="str">
        <f aca="false">IF(OR(G$4="",MONTH(($G$2+2))&lt;&gt;MONTH($C$2)),"",IF(COUNTIFS(m_teacher,G$4,m_date,($G$2+2),m_active,1,m_start,"&lt;"&amp;1020,m_end,"&gt;"&amp;960)=0,"",IF(COUNTIFS(m_teacher,G$4,m_date,($G$2+2),m_active,1,m_start,"&lt;"&amp;1020,m_end,"&gt;"&amp;960)&gt;1,"충돌",HYPERLINK("#'관리자_MASTER'!D"&amp;_xlfn.MAXIFS(m_row,m_teacher,G$4,m_date,($G$2+2),m_active,1,m_start,"&lt;"&amp;1020,m_end,"&gt;"&amp;960),INDEX(m_label,_xlfn.MAXIFS(m_row,m_teacher,G$4,m_date,($G$2+2),m_active,1,m_start,"&lt;"&amp;1020,m_end,"&gt;"&amp;960))))))</f>
        <v/>
      </c>
      <c r="H34" s="82" t="str">
        <f aca="false">IF(OR(H$4="",MONTH(($G$2+2))&lt;&gt;MONTH($C$2)),"",IF(COUNTIFS(m_teacher,H$4,m_date,($G$2+2),m_active,1,m_start,"&lt;"&amp;1020,m_end,"&gt;"&amp;960)=0,"",IF(COUNTIFS(m_teacher,H$4,m_date,($G$2+2),m_active,1,m_start,"&lt;"&amp;1020,m_end,"&gt;"&amp;960)&gt;1,"충돌",HYPERLINK("#'관리자_MASTER'!D"&amp;_xlfn.MAXIFS(m_row,m_teacher,H$4,m_date,($G$2+2),m_active,1,m_start,"&lt;"&amp;1020,m_end,"&gt;"&amp;960),INDEX(m_label,_xlfn.MAXIFS(m_row,m_teacher,H$4,m_date,($G$2+2),m_active,1,m_start,"&lt;"&amp;1020,m_end,"&gt;"&amp;960))))))</f>
        <v/>
      </c>
      <c r="I34" s="82" t="str">
        <f aca="false">IF(OR(I$4="",MONTH(($G$2+2))&lt;&gt;MONTH($C$2)),"",IF(COUNTIFS(m_teacher,I$4,m_date,($G$2+2),m_active,1,m_start,"&lt;"&amp;1020,m_end,"&gt;"&amp;960)=0,"",IF(COUNTIFS(m_teacher,I$4,m_date,($G$2+2),m_active,1,m_start,"&lt;"&amp;1020,m_end,"&gt;"&amp;960)&gt;1,"충돌",HYPERLINK("#'관리자_MASTER'!D"&amp;_xlfn.MAXIFS(m_row,m_teacher,I$4,m_date,($G$2+2),m_active,1,m_start,"&lt;"&amp;1020,m_end,"&gt;"&amp;960),INDEX(m_label,_xlfn.MAXIFS(m_row,m_teacher,I$4,m_date,($G$2+2),m_active,1,m_start,"&lt;"&amp;1020,m_end,"&gt;"&amp;960))))))</f>
        <v/>
      </c>
      <c r="J34" s="82" t="str">
        <f aca="false">IF(OR(J$4="",MONTH(($G$2+2))&lt;&gt;MONTH($C$2)),"",IF(COUNTIFS(m_teacher,J$4,m_date,($G$2+2),m_active,1,m_start,"&lt;"&amp;1020,m_end,"&gt;"&amp;960)=0,"",IF(COUNTIFS(m_teacher,J$4,m_date,($G$2+2),m_active,1,m_start,"&lt;"&amp;1020,m_end,"&gt;"&amp;960)&gt;1,"충돌",HYPERLINK("#'관리자_MASTER'!D"&amp;_xlfn.MAXIFS(m_row,m_teacher,J$4,m_date,($G$2+2),m_active,1,m_start,"&lt;"&amp;1020,m_end,"&gt;"&amp;960),INDEX(m_label,_xlfn.MAXIFS(m_row,m_teacher,J$4,m_date,($G$2+2),m_active,1,m_start,"&lt;"&amp;1020,m_end,"&gt;"&amp;960))))))</f>
        <v/>
      </c>
      <c r="K34" s="82" t="str">
        <f aca="false">IF(OR(K$4="",MONTH(($G$2+2))&lt;&gt;MONTH($C$2)),"",IF(COUNTIFS(m_teacher,K$4,m_date,($G$2+2),m_active,1,m_start,"&lt;"&amp;1020,m_end,"&gt;"&amp;960)=0,"",IF(COUNTIFS(m_teacher,K$4,m_date,($G$2+2),m_active,1,m_start,"&lt;"&amp;1020,m_end,"&gt;"&amp;960)&gt;1,"충돌",HYPERLINK("#'관리자_MASTER'!D"&amp;_xlfn.MAXIFS(m_row,m_teacher,K$4,m_date,($G$2+2),m_active,1,m_start,"&lt;"&amp;1020,m_end,"&gt;"&amp;960),INDEX(m_label,_xlfn.MAXIFS(m_row,m_teacher,K$4,m_date,($G$2+2),m_active,1,m_start,"&lt;"&amp;1020,m_end,"&gt;"&amp;960))))))</f>
        <v/>
      </c>
      <c r="L34" s="82" t="str">
        <f aca="false">IF(OR(L$4="",MONTH(($G$2+2))&lt;&gt;MONTH($C$2)),"",IF(COUNTIFS(m_teacher,L$4,m_date,($G$2+2),m_active,1,m_start,"&lt;"&amp;1020,m_end,"&gt;"&amp;960)=0,"",IF(COUNTIFS(m_teacher,L$4,m_date,($G$2+2),m_active,1,m_start,"&lt;"&amp;1020,m_end,"&gt;"&amp;960)&gt;1,"충돌",HYPERLINK("#'관리자_MASTER'!D"&amp;_xlfn.MAXIFS(m_row,m_teacher,L$4,m_date,($G$2+2),m_active,1,m_start,"&lt;"&amp;1020,m_end,"&gt;"&amp;960),INDEX(m_label,_xlfn.MAXIFS(m_row,m_teacher,L$4,m_date,($G$2+2),m_active,1,m_start,"&lt;"&amp;1020,m_end,"&gt;"&amp;960))))))</f>
        <v/>
      </c>
      <c r="M34" s="82" t="str">
        <f aca="false">IF(OR(M$4="",MONTH(($G$2+2))&lt;&gt;MONTH($C$2)),"",IF(COUNTIFS(m_teacher,M$4,m_date,($G$2+2),m_active,1,m_start,"&lt;"&amp;1020,m_end,"&gt;"&amp;960)=0,"",IF(COUNTIFS(m_teacher,M$4,m_date,($G$2+2),m_active,1,m_start,"&lt;"&amp;1020,m_end,"&gt;"&amp;960)&gt;1,"충돌",HYPERLINK("#'관리자_MASTER'!D"&amp;_xlfn.MAXIFS(m_row,m_teacher,M$4,m_date,($G$2+2),m_active,1,m_start,"&lt;"&amp;1020,m_end,"&gt;"&amp;960),INDEX(m_label,_xlfn.MAXIFS(m_row,m_teacher,M$4,m_date,($G$2+2),m_active,1,m_start,"&lt;"&amp;1020,m_end,"&gt;"&amp;960))))))</f>
        <v/>
      </c>
      <c r="N34" s="82" t="str">
        <f aca="false">IF(OR(N$4="",MONTH(($G$2+2))&lt;&gt;MONTH($C$2)),"",IF(COUNTIFS(m_teacher,N$4,m_date,($G$2+2),m_active,1,m_start,"&lt;"&amp;1020,m_end,"&gt;"&amp;960)=0,"",IF(COUNTIFS(m_teacher,N$4,m_date,($G$2+2),m_active,1,m_start,"&lt;"&amp;1020,m_end,"&gt;"&amp;960)&gt;1,"충돌",HYPERLINK("#'관리자_MASTER'!D"&amp;_xlfn.MAXIFS(m_row,m_teacher,N$4,m_date,($G$2+2),m_active,1,m_start,"&lt;"&amp;1020,m_end,"&gt;"&amp;960),INDEX(m_label,_xlfn.MAXIFS(m_row,m_teacher,N$4,m_date,($G$2+2),m_active,1,m_start,"&lt;"&amp;1020,m_end,"&gt;"&amp;960))))))</f>
        <v/>
      </c>
      <c r="O34" s="78"/>
      <c r="P34" s="79" t="s">
        <v>98</v>
      </c>
      <c r="Q34" s="82" t="str">
        <f aca="false">IF(OR(Q$4="",MONTH(($G$2+9))&lt;&gt;MONTH($C$2)),"",IF(COUNTIFS(m_teacher,Q$4,m_date,($G$2+9),m_active,1,m_start,"&lt;"&amp;1020,m_end,"&gt;"&amp;960)=0,"",IF(COUNTIFS(m_teacher,Q$4,m_date,($G$2+9),m_active,1,m_start,"&lt;"&amp;1020,m_end,"&gt;"&amp;960)&gt;1,"충돌",HYPERLINK("#'관리자_MASTER'!D"&amp;_xlfn.MAXIFS(m_row,m_teacher,Q$4,m_date,($G$2+9),m_active,1,m_start,"&lt;"&amp;1020,m_end,"&gt;"&amp;960),INDEX(m_label,_xlfn.MAXIFS(m_row,m_teacher,Q$4,m_date,($G$2+9),m_active,1,m_start,"&lt;"&amp;1020,m_end,"&gt;"&amp;960))))))</f>
        <v/>
      </c>
      <c r="R34" s="82" t="str">
        <f aca="false">IF(OR(R$4="",MONTH(($G$2+9))&lt;&gt;MONTH($C$2)),"",IF(COUNTIFS(m_teacher,R$4,m_date,($G$2+9),m_active,1,m_start,"&lt;"&amp;1020,m_end,"&gt;"&amp;960)=0,"",IF(COUNTIFS(m_teacher,R$4,m_date,($G$2+9),m_active,1,m_start,"&lt;"&amp;1020,m_end,"&gt;"&amp;960)&gt;1,"충돌",HYPERLINK("#'관리자_MASTER'!D"&amp;_xlfn.MAXIFS(m_row,m_teacher,R$4,m_date,($G$2+9),m_active,1,m_start,"&lt;"&amp;1020,m_end,"&gt;"&amp;960),INDEX(m_label,_xlfn.MAXIFS(m_row,m_teacher,R$4,m_date,($G$2+9),m_active,1,m_start,"&lt;"&amp;1020,m_end,"&gt;"&amp;960))))))</f>
        <v/>
      </c>
      <c r="S34" s="82" t="str">
        <f aca="false">IF(OR(S$4="",MONTH(($G$2+9))&lt;&gt;MONTH($C$2)),"",IF(COUNTIFS(m_teacher,S$4,m_date,($G$2+9),m_active,1,m_start,"&lt;"&amp;1020,m_end,"&gt;"&amp;960)=0,"",IF(COUNTIFS(m_teacher,S$4,m_date,($G$2+9),m_active,1,m_start,"&lt;"&amp;1020,m_end,"&gt;"&amp;960)&gt;1,"충돌",HYPERLINK("#'관리자_MASTER'!D"&amp;_xlfn.MAXIFS(m_row,m_teacher,S$4,m_date,($G$2+9),m_active,1,m_start,"&lt;"&amp;1020,m_end,"&gt;"&amp;960),INDEX(m_label,_xlfn.MAXIFS(m_row,m_teacher,S$4,m_date,($G$2+9),m_active,1,m_start,"&lt;"&amp;1020,m_end,"&gt;"&amp;960))))))</f>
        <v/>
      </c>
      <c r="T34" s="82" t="str">
        <f aca="false">IF(OR(T$4="",MONTH(($G$2+9))&lt;&gt;MONTH($C$2)),"",IF(COUNTIFS(m_teacher,T$4,m_date,($G$2+9),m_active,1,m_start,"&lt;"&amp;1020,m_end,"&gt;"&amp;960)=0,"",IF(COUNTIFS(m_teacher,T$4,m_date,($G$2+9),m_active,1,m_start,"&lt;"&amp;1020,m_end,"&gt;"&amp;960)&gt;1,"충돌",HYPERLINK("#'관리자_MASTER'!D"&amp;_xlfn.MAXIFS(m_row,m_teacher,T$4,m_date,($G$2+9),m_active,1,m_start,"&lt;"&amp;1020,m_end,"&gt;"&amp;960),INDEX(m_label,_xlfn.MAXIFS(m_row,m_teacher,T$4,m_date,($G$2+9),m_active,1,m_start,"&lt;"&amp;1020,m_end,"&gt;"&amp;960))))))</f>
        <v/>
      </c>
      <c r="U34" s="82" t="str">
        <f aca="false">IF(OR(U$4="",MONTH(($G$2+9))&lt;&gt;MONTH($C$2)),"",IF(COUNTIFS(m_teacher,U$4,m_date,($G$2+9),m_active,1,m_start,"&lt;"&amp;1020,m_end,"&gt;"&amp;960)=0,"",IF(COUNTIFS(m_teacher,U$4,m_date,($G$2+9),m_active,1,m_start,"&lt;"&amp;1020,m_end,"&gt;"&amp;960)&gt;1,"충돌",HYPERLINK("#'관리자_MASTER'!D"&amp;_xlfn.MAXIFS(m_row,m_teacher,U$4,m_date,($G$2+9),m_active,1,m_start,"&lt;"&amp;1020,m_end,"&gt;"&amp;960),INDEX(m_label,_xlfn.MAXIFS(m_row,m_teacher,U$4,m_date,($G$2+9),m_active,1,m_start,"&lt;"&amp;1020,m_end,"&gt;"&amp;960))))))</f>
        <v/>
      </c>
      <c r="V34" s="82" t="str">
        <f aca="false">IF(OR(V$4="",MONTH(($G$2+9))&lt;&gt;MONTH($C$2)),"",IF(COUNTIFS(m_teacher,V$4,m_date,($G$2+9),m_active,1,m_start,"&lt;"&amp;1020,m_end,"&gt;"&amp;960)=0,"",IF(COUNTIFS(m_teacher,V$4,m_date,($G$2+9),m_active,1,m_start,"&lt;"&amp;1020,m_end,"&gt;"&amp;960)&gt;1,"충돌",HYPERLINK("#'관리자_MASTER'!D"&amp;_xlfn.MAXIFS(m_row,m_teacher,V$4,m_date,($G$2+9),m_active,1,m_start,"&lt;"&amp;1020,m_end,"&gt;"&amp;960),INDEX(m_label,_xlfn.MAXIFS(m_row,m_teacher,V$4,m_date,($G$2+9),m_active,1,m_start,"&lt;"&amp;1020,m_end,"&gt;"&amp;960))))))</f>
        <v/>
      </c>
      <c r="W34" s="82" t="str">
        <f aca="false">IF(OR(W$4="",MONTH(($G$2+9))&lt;&gt;MONTH($C$2)),"",IF(COUNTIFS(m_teacher,W$4,m_date,($G$2+9),m_active,1,m_start,"&lt;"&amp;1020,m_end,"&gt;"&amp;960)=0,"",IF(COUNTIFS(m_teacher,W$4,m_date,($G$2+9),m_active,1,m_start,"&lt;"&amp;1020,m_end,"&gt;"&amp;960)&gt;1,"충돌",HYPERLINK("#'관리자_MASTER'!D"&amp;_xlfn.MAXIFS(m_row,m_teacher,W$4,m_date,($G$2+9),m_active,1,m_start,"&lt;"&amp;1020,m_end,"&gt;"&amp;960),INDEX(m_label,_xlfn.MAXIFS(m_row,m_teacher,W$4,m_date,($G$2+9),m_active,1,m_start,"&lt;"&amp;1020,m_end,"&gt;"&amp;960))))))</f>
        <v/>
      </c>
      <c r="X34" s="82" t="str">
        <f aca="false">IF(OR(X$4="",MONTH(($G$2+9))&lt;&gt;MONTH($C$2)),"",IF(COUNTIFS(m_teacher,X$4,m_date,($G$2+9),m_active,1,m_start,"&lt;"&amp;1020,m_end,"&gt;"&amp;960)=0,"",IF(COUNTIFS(m_teacher,X$4,m_date,($G$2+9),m_active,1,m_start,"&lt;"&amp;1020,m_end,"&gt;"&amp;960)&gt;1,"충돌",HYPERLINK("#'관리자_MASTER'!D"&amp;_xlfn.MAXIFS(m_row,m_teacher,X$4,m_date,($G$2+9),m_active,1,m_start,"&lt;"&amp;1020,m_end,"&gt;"&amp;960),INDEX(m_label,_xlfn.MAXIFS(m_row,m_teacher,X$4,m_date,($G$2+9),m_active,1,m_start,"&lt;"&amp;1020,m_end,"&gt;"&amp;960))))))</f>
        <v/>
      </c>
      <c r="Y34" s="82" t="str">
        <f aca="false">IF(OR(Y$4="",MONTH(($G$2+9))&lt;&gt;MONTH($C$2)),"",IF(COUNTIFS(m_teacher,Y$4,m_date,($G$2+9),m_active,1,m_start,"&lt;"&amp;1020,m_end,"&gt;"&amp;960)=0,"",IF(COUNTIFS(m_teacher,Y$4,m_date,($G$2+9),m_active,1,m_start,"&lt;"&amp;1020,m_end,"&gt;"&amp;960)&gt;1,"충돌",HYPERLINK("#'관리자_MASTER'!D"&amp;_xlfn.MAXIFS(m_row,m_teacher,Y$4,m_date,($G$2+9),m_active,1,m_start,"&lt;"&amp;1020,m_end,"&gt;"&amp;960),INDEX(m_label,_xlfn.MAXIFS(m_row,m_teacher,Y$4,m_date,($G$2+9),m_active,1,m_start,"&lt;"&amp;1020,m_end,"&gt;"&amp;960))))))</f>
        <v/>
      </c>
      <c r="Z34" s="82" t="str">
        <f aca="false">IF(OR(Z$4="",MONTH(($G$2+9))&lt;&gt;MONTH($C$2)),"",IF(COUNTIFS(m_teacher,Z$4,m_date,($G$2+9),m_active,1,m_start,"&lt;"&amp;1020,m_end,"&gt;"&amp;960)=0,"",IF(COUNTIFS(m_teacher,Z$4,m_date,($G$2+9),m_active,1,m_start,"&lt;"&amp;1020,m_end,"&gt;"&amp;960)&gt;1,"충돌",HYPERLINK("#'관리자_MASTER'!D"&amp;_xlfn.MAXIFS(m_row,m_teacher,Z$4,m_date,($G$2+9),m_active,1,m_start,"&lt;"&amp;1020,m_end,"&gt;"&amp;960),INDEX(m_label,_xlfn.MAXIFS(m_row,m_teacher,Z$4,m_date,($G$2+9),m_active,1,m_start,"&lt;"&amp;1020,m_end,"&gt;"&amp;960))))))</f>
        <v/>
      </c>
      <c r="AA34" s="82" t="str">
        <f aca="false">IF(OR(AA$4="",MONTH(($G$2+9))&lt;&gt;MONTH($C$2)),"",IF(COUNTIFS(m_teacher,AA$4,m_date,($G$2+9),m_active,1,m_start,"&lt;"&amp;1020,m_end,"&gt;"&amp;960)=0,"",IF(COUNTIFS(m_teacher,AA$4,m_date,($G$2+9),m_active,1,m_start,"&lt;"&amp;1020,m_end,"&gt;"&amp;960)&gt;1,"충돌",HYPERLINK("#'관리자_MASTER'!D"&amp;_xlfn.MAXIFS(m_row,m_teacher,AA$4,m_date,($G$2+9),m_active,1,m_start,"&lt;"&amp;1020,m_end,"&gt;"&amp;960),INDEX(m_label,_xlfn.MAXIFS(m_row,m_teacher,AA$4,m_date,($G$2+9),m_active,1,m_start,"&lt;"&amp;1020,m_end,"&gt;"&amp;960))))))</f>
        <v/>
      </c>
      <c r="AB34" s="82" t="str">
        <f aca="false">IF(OR(AB$4="",MONTH(($G$2+9))&lt;&gt;MONTH($C$2)),"",IF(COUNTIFS(m_teacher,AB$4,m_date,($G$2+9),m_active,1,m_start,"&lt;"&amp;1020,m_end,"&gt;"&amp;960)=0,"",IF(COUNTIFS(m_teacher,AB$4,m_date,($G$2+9),m_active,1,m_start,"&lt;"&amp;1020,m_end,"&gt;"&amp;960)&gt;1,"충돌",HYPERLINK("#'관리자_MASTER'!D"&amp;_xlfn.MAXIFS(m_row,m_teacher,AB$4,m_date,($G$2+9),m_active,1,m_start,"&lt;"&amp;1020,m_end,"&gt;"&amp;960),INDEX(m_label,_xlfn.MAXIFS(m_row,m_teacher,AB$4,m_date,($G$2+9),m_active,1,m_start,"&lt;"&amp;1020,m_end,"&gt;"&amp;960))))))</f>
        <v/>
      </c>
      <c r="AC34" s="78"/>
      <c r="AD34" s="79" t="s">
        <v>98</v>
      </c>
      <c r="AE34" s="82" t="str">
        <f aca="false">IF(OR(AE$4="",MONTH(($G$2+16))&lt;&gt;MONTH($C$2)),"",IF(COUNTIFS(m_teacher,AE$4,m_date,($G$2+16),m_active,1,m_start,"&lt;"&amp;1020,m_end,"&gt;"&amp;960)=0,"",IF(COUNTIFS(m_teacher,AE$4,m_date,($G$2+16),m_active,1,m_start,"&lt;"&amp;1020,m_end,"&gt;"&amp;960)&gt;1,"충돌",HYPERLINK("#'관리자_MASTER'!D"&amp;_xlfn.MAXIFS(m_row,m_teacher,AE$4,m_date,($G$2+16),m_active,1,m_start,"&lt;"&amp;1020,m_end,"&gt;"&amp;960),INDEX(m_label,_xlfn.MAXIFS(m_row,m_teacher,AE$4,m_date,($G$2+16),m_active,1,m_start,"&lt;"&amp;1020,m_end,"&gt;"&amp;960))))))</f>
        <v/>
      </c>
      <c r="AF34" s="82" t="str">
        <f aca="false">IF(OR(AF$4="",MONTH(($G$2+16))&lt;&gt;MONTH($C$2)),"",IF(COUNTIFS(m_teacher,AF$4,m_date,($G$2+16),m_active,1,m_start,"&lt;"&amp;1020,m_end,"&gt;"&amp;960)=0,"",IF(COUNTIFS(m_teacher,AF$4,m_date,($G$2+16),m_active,1,m_start,"&lt;"&amp;1020,m_end,"&gt;"&amp;960)&gt;1,"충돌",HYPERLINK("#'관리자_MASTER'!D"&amp;_xlfn.MAXIFS(m_row,m_teacher,AF$4,m_date,($G$2+16),m_active,1,m_start,"&lt;"&amp;1020,m_end,"&gt;"&amp;960),INDEX(m_label,_xlfn.MAXIFS(m_row,m_teacher,AF$4,m_date,($G$2+16),m_active,1,m_start,"&lt;"&amp;1020,m_end,"&gt;"&amp;960))))))</f>
        <v/>
      </c>
      <c r="AG34" s="82" t="str">
        <f aca="false">IF(OR(AG$4="",MONTH(($G$2+16))&lt;&gt;MONTH($C$2)),"",IF(COUNTIFS(m_teacher,AG$4,m_date,($G$2+16),m_active,1,m_start,"&lt;"&amp;1020,m_end,"&gt;"&amp;960)=0,"",IF(COUNTIFS(m_teacher,AG$4,m_date,($G$2+16),m_active,1,m_start,"&lt;"&amp;1020,m_end,"&gt;"&amp;960)&gt;1,"충돌",HYPERLINK("#'관리자_MASTER'!D"&amp;_xlfn.MAXIFS(m_row,m_teacher,AG$4,m_date,($G$2+16),m_active,1,m_start,"&lt;"&amp;1020,m_end,"&gt;"&amp;960),INDEX(m_label,_xlfn.MAXIFS(m_row,m_teacher,AG$4,m_date,($G$2+16),m_active,1,m_start,"&lt;"&amp;1020,m_end,"&gt;"&amp;960))))))</f>
        <v/>
      </c>
      <c r="AH34" s="82" t="str">
        <f aca="false">IF(OR(AH$4="",MONTH(($G$2+16))&lt;&gt;MONTH($C$2)),"",IF(COUNTIFS(m_teacher,AH$4,m_date,($G$2+16),m_active,1,m_start,"&lt;"&amp;1020,m_end,"&gt;"&amp;960)=0,"",IF(COUNTIFS(m_teacher,AH$4,m_date,($G$2+16),m_active,1,m_start,"&lt;"&amp;1020,m_end,"&gt;"&amp;960)&gt;1,"충돌",HYPERLINK("#'관리자_MASTER'!D"&amp;_xlfn.MAXIFS(m_row,m_teacher,AH$4,m_date,($G$2+16),m_active,1,m_start,"&lt;"&amp;1020,m_end,"&gt;"&amp;960),INDEX(m_label,_xlfn.MAXIFS(m_row,m_teacher,AH$4,m_date,($G$2+16),m_active,1,m_start,"&lt;"&amp;1020,m_end,"&gt;"&amp;960))))))</f>
        <v/>
      </c>
      <c r="AI34" s="82" t="str">
        <f aca="false">IF(OR(AI$4="",MONTH(($G$2+16))&lt;&gt;MONTH($C$2)),"",IF(COUNTIFS(m_teacher,AI$4,m_date,($G$2+16),m_active,1,m_start,"&lt;"&amp;1020,m_end,"&gt;"&amp;960)=0,"",IF(COUNTIFS(m_teacher,AI$4,m_date,($G$2+16),m_active,1,m_start,"&lt;"&amp;1020,m_end,"&gt;"&amp;960)&gt;1,"충돌",HYPERLINK("#'관리자_MASTER'!D"&amp;_xlfn.MAXIFS(m_row,m_teacher,AI$4,m_date,($G$2+16),m_active,1,m_start,"&lt;"&amp;1020,m_end,"&gt;"&amp;960),INDEX(m_label,_xlfn.MAXIFS(m_row,m_teacher,AI$4,m_date,($G$2+16),m_active,1,m_start,"&lt;"&amp;1020,m_end,"&gt;"&amp;960))))))</f>
        <v/>
      </c>
      <c r="AJ34" s="82" t="str">
        <f aca="false">IF(OR(AJ$4="",MONTH(($G$2+16))&lt;&gt;MONTH($C$2)),"",IF(COUNTIFS(m_teacher,AJ$4,m_date,($G$2+16),m_active,1,m_start,"&lt;"&amp;1020,m_end,"&gt;"&amp;960)=0,"",IF(COUNTIFS(m_teacher,AJ$4,m_date,($G$2+16),m_active,1,m_start,"&lt;"&amp;1020,m_end,"&gt;"&amp;960)&gt;1,"충돌",HYPERLINK("#'관리자_MASTER'!D"&amp;_xlfn.MAXIFS(m_row,m_teacher,AJ$4,m_date,($G$2+16),m_active,1,m_start,"&lt;"&amp;1020,m_end,"&gt;"&amp;960),INDEX(m_label,_xlfn.MAXIFS(m_row,m_teacher,AJ$4,m_date,($G$2+16),m_active,1,m_start,"&lt;"&amp;1020,m_end,"&gt;"&amp;960))))))</f>
        <v/>
      </c>
      <c r="AK34" s="82" t="str">
        <f aca="false">IF(OR(AK$4="",MONTH(($G$2+16))&lt;&gt;MONTH($C$2)),"",IF(COUNTIFS(m_teacher,AK$4,m_date,($G$2+16),m_active,1,m_start,"&lt;"&amp;1020,m_end,"&gt;"&amp;960)=0,"",IF(COUNTIFS(m_teacher,AK$4,m_date,($G$2+16),m_active,1,m_start,"&lt;"&amp;1020,m_end,"&gt;"&amp;960)&gt;1,"충돌",HYPERLINK("#'관리자_MASTER'!D"&amp;_xlfn.MAXIFS(m_row,m_teacher,AK$4,m_date,($G$2+16),m_active,1,m_start,"&lt;"&amp;1020,m_end,"&gt;"&amp;960),INDEX(m_label,_xlfn.MAXIFS(m_row,m_teacher,AK$4,m_date,($G$2+16),m_active,1,m_start,"&lt;"&amp;1020,m_end,"&gt;"&amp;960))))))</f>
        <v/>
      </c>
      <c r="AL34" s="82" t="str">
        <f aca="false">IF(OR(AL$4="",MONTH(($G$2+16))&lt;&gt;MONTH($C$2)),"",IF(COUNTIFS(m_teacher,AL$4,m_date,($G$2+16),m_active,1,m_start,"&lt;"&amp;1020,m_end,"&gt;"&amp;960)=0,"",IF(COUNTIFS(m_teacher,AL$4,m_date,($G$2+16),m_active,1,m_start,"&lt;"&amp;1020,m_end,"&gt;"&amp;960)&gt;1,"충돌",HYPERLINK("#'관리자_MASTER'!D"&amp;_xlfn.MAXIFS(m_row,m_teacher,AL$4,m_date,($G$2+16),m_active,1,m_start,"&lt;"&amp;1020,m_end,"&gt;"&amp;960),INDEX(m_label,_xlfn.MAXIFS(m_row,m_teacher,AL$4,m_date,($G$2+16),m_active,1,m_start,"&lt;"&amp;1020,m_end,"&gt;"&amp;960))))))</f>
        <v/>
      </c>
      <c r="AM34" s="82" t="str">
        <f aca="false">IF(OR(AM$4="",MONTH(($G$2+16))&lt;&gt;MONTH($C$2)),"",IF(COUNTIFS(m_teacher,AM$4,m_date,($G$2+16),m_active,1,m_start,"&lt;"&amp;1020,m_end,"&gt;"&amp;960)=0,"",IF(COUNTIFS(m_teacher,AM$4,m_date,($G$2+16),m_active,1,m_start,"&lt;"&amp;1020,m_end,"&gt;"&amp;960)&gt;1,"충돌",HYPERLINK("#'관리자_MASTER'!D"&amp;_xlfn.MAXIFS(m_row,m_teacher,AM$4,m_date,($G$2+16),m_active,1,m_start,"&lt;"&amp;1020,m_end,"&gt;"&amp;960),INDEX(m_label,_xlfn.MAXIFS(m_row,m_teacher,AM$4,m_date,($G$2+16),m_active,1,m_start,"&lt;"&amp;1020,m_end,"&gt;"&amp;960))))))</f>
        <v/>
      </c>
      <c r="AN34" s="82" t="str">
        <f aca="false">IF(OR(AN$4="",MONTH(($G$2+16))&lt;&gt;MONTH($C$2)),"",IF(COUNTIFS(m_teacher,AN$4,m_date,($G$2+16),m_active,1,m_start,"&lt;"&amp;1020,m_end,"&gt;"&amp;960)=0,"",IF(COUNTIFS(m_teacher,AN$4,m_date,($G$2+16),m_active,1,m_start,"&lt;"&amp;1020,m_end,"&gt;"&amp;960)&gt;1,"충돌",HYPERLINK("#'관리자_MASTER'!D"&amp;_xlfn.MAXIFS(m_row,m_teacher,AN$4,m_date,($G$2+16),m_active,1,m_start,"&lt;"&amp;1020,m_end,"&gt;"&amp;960),INDEX(m_label,_xlfn.MAXIFS(m_row,m_teacher,AN$4,m_date,($G$2+16),m_active,1,m_start,"&lt;"&amp;1020,m_end,"&gt;"&amp;960))))))</f>
        <v/>
      </c>
      <c r="AO34" s="82" t="str">
        <f aca="false">IF(OR(AO$4="",MONTH(($G$2+16))&lt;&gt;MONTH($C$2)),"",IF(COUNTIFS(m_teacher,AO$4,m_date,($G$2+16),m_active,1,m_start,"&lt;"&amp;1020,m_end,"&gt;"&amp;960)=0,"",IF(COUNTIFS(m_teacher,AO$4,m_date,($G$2+16),m_active,1,m_start,"&lt;"&amp;1020,m_end,"&gt;"&amp;960)&gt;1,"충돌",HYPERLINK("#'관리자_MASTER'!D"&amp;_xlfn.MAXIFS(m_row,m_teacher,AO$4,m_date,($G$2+16),m_active,1,m_start,"&lt;"&amp;1020,m_end,"&gt;"&amp;960),INDEX(m_label,_xlfn.MAXIFS(m_row,m_teacher,AO$4,m_date,($G$2+16),m_active,1,m_start,"&lt;"&amp;1020,m_end,"&gt;"&amp;960))))))</f>
        <v/>
      </c>
      <c r="AP34" s="82" t="str">
        <f aca="false">IF(OR(AP$4="",MONTH(($G$2+16))&lt;&gt;MONTH($C$2)),"",IF(COUNTIFS(m_teacher,AP$4,m_date,($G$2+16),m_active,1,m_start,"&lt;"&amp;1020,m_end,"&gt;"&amp;960)=0,"",IF(COUNTIFS(m_teacher,AP$4,m_date,($G$2+16),m_active,1,m_start,"&lt;"&amp;1020,m_end,"&gt;"&amp;960)&gt;1,"충돌",HYPERLINK("#'관리자_MASTER'!D"&amp;_xlfn.MAXIFS(m_row,m_teacher,AP$4,m_date,($G$2+16),m_active,1,m_start,"&lt;"&amp;1020,m_end,"&gt;"&amp;960),INDEX(m_label,_xlfn.MAXIFS(m_row,m_teacher,AP$4,m_date,($G$2+16),m_active,1,m_start,"&lt;"&amp;1020,m_end,"&gt;"&amp;960))))))</f>
        <v/>
      </c>
      <c r="AQ34" s="78"/>
      <c r="AR34" s="79" t="s">
        <v>98</v>
      </c>
      <c r="AS34" s="82" t="str">
        <f aca="false">IF(OR(AS$4="",MONTH(($G$2+23))&lt;&gt;MONTH($C$2)),"",IF(COUNTIFS(m_teacher,AS$4,m_date,($G$2+23),m_active,1,m_start,"&lt;"&amp;1020,m_end,"&gt;"&amp;960)=0,"",IF(COUNTIFS(m_teacher,AS$4,m_date,($G$2+23),m_active,1,m_start,"&lt;"&amp;1020,m_end,"&gt;"&amp;960)&gt;1,"충돌",HYPERLINK("#'관리자_MASTER'!D"&amp;_xlfn.MAXIFS(m_row,m_teacher,AS$4,m_date,($G$2+23),m_active,1,m_start,"&lt;"&amp;1020,m_end,"&gt;"&amp;960),INDEX(m_label,_xlfn.MAXIFS(m_row,m_teacher,AS$4,m_date,($G$2+23),m_active,1,m_start,"&lt;"&amp;1020,m_end,"&gt;"&amp;960))))))</f>
        <v/>
      </c>
      <c r="AT34" s="82" t="str">
        <f aca="false">IF(OR(AT$4="",MONTH(($G$2+23))&lt;&gt;MONTH($C$2)),"",IF(COUNTIFS(m_teacher,AT$4,m_date,($G$2+23),m_active,1,m_start,"&lt;"&amp;1020,m_end,"&gt;"&amp;960)=0,"",IF(COUNTIFS(m_teacher,AT$4,m_date,($G$2+23),m_active,1,m_start,"&lt;"&amp;1020,m_end,"&gt;"&amp;960)&gt;1,"충돌",HYPERLINK("#'관리자_MASTER'!D"&amp;_xlfn.MAXIFS(m_row,m_teacher,AT$4,m_date,($G$2+23),m_active,1,m_start,"&lt;"&amp;1020,m_end,"&gt;"&amp;960),INDEX(m_label,_xlfn.MAXIFS(m_row,m_teacher,AT$4,m_date,($G$2+23),m_active,1,m_start,"&lt;"&amp;1020,m_end,"&gt;"&amp;960))))))</f>
        <v/>
      </c>
      <c r="AU34" s="82" t="str">
        <f aca="false">IF(OR(AU$4="",MONTH(($G$2+23))&lt;&gt;MONTH($C$2)),"",IF(COUNTIFS(m_teacher,AU$4,m_date,($G$2+23),m_active,1,m_start,"&lt;"&amp;1020,m_end,"&gt;"&amp;960)=0,"",IF(COUNTIFS(m_teacher,AU$4,m_date,($G$2+23),m_active,1,m_start,"&lt;"&amp;1020,m_end,"&gt;"&amp;960)&gt;1,"충돌",HYPERLINK("#'관리자_MASTER'!D"&amp;_xlfn.MAXIFS(m_row,m_teacher,AU$4,m_date,($G$2+23),m_active,1,m_start,"&lt;"&amp;1020,m_end,"&gt;"&amp;960),INDEX(m_label,_xlfn.MAXIFS(m_row,m_teacher,AU$4,m_date,($G$2+23),m_active,1,m_start,"&lt;"&amp;1020,m_end,"&gt;"&amp;960))))))</f>
        <v/>
      </c>
      <c r="AV34" s="82" t="str">
        <f aca="false">IF(OR(AV$4="",MONTH(($G$2+23))&lt;&gt;MONTH($C$2)),"",IF(COUNTIFS(m_teacher,AV$4,m_date,($G$2+23),m_active,1,m_start,"&lt;"&amp;1020,m_end,"&gt;"&amp;960)=0,"",IF(COUNTIFS(m_teacher,AV$4,m_date,($G$2+23),m_active,1,m_start,"&lt;"&amp;1020,m_end,"&gt;"&amp;960)&gt;1,"충돌",HYPERLINK("#'관리자_MASTER'!D"&amp;_xlfn.MAXIFS(m_row,m_teacher,AV$4,m_date,($G$2+23),m_active,1,m_start,"&lt;"&amp;1020,m_end,"&gt;"&amp;960),INDEX(m_label,_xlfn.MAXIFS(m_row,m_teacher,AV$4,m_date,($G$2+23),m_active,1,m_start,"&lt;"&amp;1020,m_end,"&gt;"&amp;960))))))</f>
        <v/>
      </c>
      <c r="AW34" s="82" t="str">
        <f aca="false">IF(OR(AW$4="",MONTH(($G$2+23))&lt;&gt;MONTH($C$2)),"",IF(COUNTIFS(m_teacher,AW$4,m_date,($G$2+23),m_active,1,m_start,"&lt;"&amp;1020,m_end,"&gt;"&amp;960)=0,"",IF(COUNTIFS(m_teacher,AW$4,m_date,($G$2+23),m_active,1,m_start,"&lt;"&amp;1020,m_end,"&gt;"&amp;960)&gt;1,"충돌",HYPERLINK("#'관리자_MASTER'!D"&amp;_xlfn.MAXIFS(m_row,m_teacher,AW$4,m_date,($G$2+23),m_active,1,m_start,"&lt;"&amp;1020,m_end,"&gt;"&amp;960),INDEX(m_label,_xlfn.MAXIFS(m_row,m_teacher,AW$4,m_date,($G$2+23),m_active,1,m_start,"&lt;"&amp;1020,m_end,"&gt;"&amp;960))))))</f>
        <v/>
      </c>
      <c r="AX34" s="82" t="str">
        <f aca="false">IF(OR(AX$4="",MONTH(($G$2+23))&lt;&gt;MONTH($C$2)),"",IF(COUNTIFS(m_teacher,AX$4,m_date,($G$2+23),m_active,1,m_start,"&lt;"&amp;1020,m_end,"&gt;"&amp;960)=0,"",IF(COUNTIFS(m_teacher,AX$4,m_date,($G$2+23),m_active,1,m_start,"&lt;"&amp;1020,m_end,"&gt;"&amp;960)&gt;1,"충돌",HYPERLINK("#'관리자_MASTER'!D"&amp;_xlfn.MAXIFS(m_row,m_teacher,AX$4,m_date,($G$2+23),m_active,1,m_start,"&lt;"&amp;1020,m_end,"&gt;"&amp;960),INDEX(m_label,_xlfn.MAXIFS(m_row,m_teacher,AX$4,m_date,($G$2+23),m_active,1,m_start,"&lt;"&amp;1020,m_end,"&gt;"&amp;960))))))</f>
        <v/>
      </c>
      <c r="AY34" s="82" t="str">
        <f aca="false">IF(OR(AY$4="",MONTH(($G$2+23))&lt;&gt;MONTH($C$2)),"",IF(COUNTIFS(m_teacher,AY$4,m_date,($G$2+23),m_active,1,m_start,"&lt;"&amp;1020,m_end,"&gt;"&amp;960)=0,"",IF(COUNTIFS(m_teacher,AY$4,m_date,($G$2+23),m_active,1,m_start,"&lt;"&amp;1020,m_end,"&gt;"&amp;960)&gt;1,"충돌",HYPERLINK("#'관리자_MASTER'!D"&amp;_xlfn.MAXIFS(m_row,m_teacher,AY$4,m_date,($G$2+23),m_active,1,m_start,"&lt;"&amp;1020,m_end,"&gt;"&amp;960),INDEX(m_label,_xlfn.MAXIFS(m_row,m_teacher,AY$4,m_date,($G$2+23),m_active,1,m_start,"&lt;"&amp;1020,m_end,"&gt;"&amp;960))))))</f>
        <v/>
      </c>
      <c r="AZ34" s="82" t="str">
        <f aca="false">IF(OR(AZ$4="",MONTH(($G$2+23))&lt;&gt;MONTH($C$2)),"",IF(COUNTIFS(m_teacher,AZ$4,m_date,($G$2+23),m_active,1,m_start,"&lt;"&amp;1020,m_end,"&gt;"&amp;960)=0,"",IF(COUNTIFS(m_teacher,AZ$4,m_date,($G$2+23),m_active,1,m_start,"&lt;"&amp;1020,m_end,"&gt;"&amp;960)&gt;1,"충돌",HYPERLINK("#'관리자_MASTER'!D"&amp;_xlfn.MAXIFS(m_row,m_teacher,AZ$4,m_date,($G$2+23),m_active,1,m_start,"&lt;"&amp;1020,m_end,"&gt;"&amp;960),INDEX(m_label,_xlfn.MAXIFS(m_row,m_teacher,AZ$4,m_date,($G$2+23),m_active,1,m_start,"&lt;"&amp;1020,m_end,"&gt;"&amp;960))))))</f>
        <v/>
      </c>
      <c r="BA34" s="82" t="str">
        <f aca="false">IF(OR(BA$4="",MONTH(($G$2+23))&lt;&gt;MONTH($C$2)),"",IF(COUNTIFS(m_teacher,BA$4,m_date,($G$2+23),m_active,1,m_start,"&lt;"&amp;1020,m_end,"&gt;"&amp;960)=0,"",IF(COUNTIFS(m_teacher,BA$4,m_date,($G$2+23),m_active,1,m_start,"&lt;"&amp;1020,m_end,"&gt;"&amp;960)&gt;1,"충돌",HYPERLINK("#'관리자_MASTER'!D"&amp;_xlfn.MAXIFS(m_row,m_teacher,BA$4,m_date,($G$2+23),m_active,1,m_start,"&lt;"&amp;1020,m_end,"&gt;"&amp;960),INDEX(m_label,_xlfn.MAXIFS(m_row,m_teacher,BA$4,m_date,($G$2+23),m_active,1,m_start,"&lt;"&amp;1020,m_end,"&gt;"&amp;960))))))</f>
        <v/>
      </c>
      <c r="BB34" s="82" t="str">
        <f aca="false">IF(OR(BB$4="",MONTH(($G$2+23))&lt;&gt;MONTH($C$2)),"",IF(COUNTIFS(m_teacher,BB$4,m_date,($G$2+23),m_active,1,m_start,"&lt;"&amp;1020,m_end,"&gt;"&amp;960)=0,"",IF(COUNTIFS(m_teacher,BB$4,m_date,($G$2+23),m_active,1,m_start,"&lt;"&amp;1020,m_end,"&gt;"&amp;960)&gt;1,"충돌",HYPERLINK("#'관리자_MASTER'!D"&amp;_xlfn.MAXIFS(m_row,m_teacher,BB$4,m_date,($G$2+23),m_active,1,m_start,"&lt;"&amp;1020,m_end,"&gt;"&amp;960),INDEX(m_label,_xlfn.MAXIFS(m_row,m_teacher,BB$4,m_date,($G$2+23),m_active,1,m_start,"&lt;"&amp;1020,m_end,"&gt;"&amp;960))))))</f>
        <v/>
      </c>
      <c r="BC34" s="82" t="str">
        <f aca="false">IF(OR(BC$4="",MONTH(($G$2+23))&lt;&gt;MONTH($C$2)),"",IF(COUNTIFS(m_teacher,BC$4,m_date,($G$2+23),m_active,1,m_start,"&lt;"&amp;1020,m_end,"&gt;"&amp;960)=0,"",IF(COUNTIFS(m_teacher,BC$4,m_date,($G$2+23),m_active,1,m_start,"&lt;"&amp;1020,m_end,"&gt;"&amp;960)&gt;1,"충돌",HYPERLINK("#'관리자_MASTER'!D"&amp;_xlfn.MAXIFS(m_row,m_teacher,BC$4,m_date,($G$2+23),m_active,1,m_start,"&lt;"&amp;1020,m_end,"&gt;"&amp;960),INDEX(m_label,_xlfn.MAXIFS(m_row,m_teacher,BC$4,m_date,($G$2+23),m_active,1,m_start,"&lt;"&amp;1020,m_end,"&gt;"&amp;960))))))</f>
        <v/>
      </c>
      <c r="BD34" s="82" t="str">
        <f aca="false">IF(OR(BD$4="",MONTH(($G$2+23))&lt;&gt;MONTH($C$2)),"",IF(COUNTIFS(m_teacher,BD$4,m_date,($G$2+23),m_active,1,m_start,"&lt;"&amp;1020,m_end,"&gt;"&amp;960)=0,"",IF(COUNTIFS(m_teacher,BD$4,m_date,($G$2+23),m_active,1,m_start,"&lt;"&amp;1020,m_end,"&gt;"&amp;960)&gt;1,"충돌",HYPERLINK("#'관리자_MASTER'!D"&amp;_xlfn.MAXIFS(m_row,m_teacher,BD$4,m_date,($G$2+23),m_active,1,m_start,"&lt;"&amp;1020,m_end,"&gt;"&amp;960),INDEX(m_label,_xlfn.MAXIFS(m_row,m_teacher,BD$4,m_date,($G$2+23),m_active,1,m_start,"&lt;"&amp;1020,m_end,"&gt;"&amp;960))))))</f>
        <v/>
      </c>
      <c r="BE34" s="78"/>
      <c r="BF34" s="79" t="s">
        <v>98</v>
      </c>
      <c r="BG34" s="82" t="str">
        <f aca="false">IF(OR(BG$4="",MONTH(($G$2+30))&lt;&gt;MONTH($C$2)),"",IF(COUNTIFS(m_teacher,BG$4,m_date,($G$2+30),m_active,1,m_start,"&lt;"&amp;1020,m_end,"&gt;"&amp;960)=0,"",IF(COUNTIFS(m_teacher,BG$4,m_date,($G$2+30),m_active,1,m_start,"&lt;"&amp;1020,m_end,"&gt;"&amp;960)&gt;1,"충돌",HYPERLINK("#'관리자_MASTER'!D"&amp;_xlfn.MAXIFS(m_row,m_teacher,BG$4,m_date,($G$2+30),m_active,1,m_start,"&lt;"&amp;1020,m_end,"&gt;"&amp;960),INDEX(m_label,_xlfn.MAXIFS(m_row,m_teacher,BG$4,m_date,($G$2+30),m_active,1,m_start,"&lt;"&amp;1020,m_end,"&gt;"&amp;960))))))</f>
        <v/>
      </c>
      <c r="BH34" s="82" t="str">
        <f aca="false">IF(OR(BH$4="",MONTH(($G$2+30))&lt;&gt;MONTH($C$2)),"",IF(COUNTIFS(m_teacher,BH$4,m_date,($G$2+30),m_active,1,m_start,"&lt;"&amp;1020,m_end,"&gt;"&amp;960)=0,"",IF(COUNTIFS(m_teacher,BH$4,m_date,($G$2+30),m_active,1,m_start,"&lt;"&amp;1020,m_end,"&gt;"&amp;960)&gt;1,"충돌",HYPERLINK("#'관리자_MASTER'!D"&amp;_xlfn.MAXIFS(m_row,m_teacher,BH$4,m_date,($G$2+30),m_active,1,m_start,"&lt;"&amp;1020,m_end,"&gt;"&amp;960),INDEX(m_label,_xlfn.MAXIFS(m_row,m_teacher,BH$4,m_date,($G$2+30),m_active,1,m_start,"&lt;"&amp;1020,m_end,"&gt;"&amp;960))))))</f>
        <v/>
      </c>
      <c r="BI34" s="82" t="str">
        <f aca="false">IF(OR(BI$4="",MONTH(($G$2+30))&lt;&gt;MONTH($C$2)),"",IF(COUNTIFS(m_teacher,BI$4,m_date,($G$2+30),m_active,1,m_start,"&lt;"&amp;1020,m_end,"&gt;"&amp;960)=0,"",IF(COUNTIFS(m_teacher,BI$4,m_date,($G$2+30),m_active,1,m_start,"&lt;"&amp;1020,m_end,"&gt;"&amp;960)&gt;1,"충돌",HYPERLINK("#'관리자_MASTER'!D"&amp;_xlfn.MAXIFS(m_row,m_teacher,BI$4,m_date,($G$2+30),m_active,1,m_start,"&lt;"&amp;1020,m_end,"&gt;"&amp;960),INDEX(m_label,_xlfn.MAXIFS(m_row,m_teacher,BI$4,m_date,($G$2+30),m_active,1,m_start,"&lt;"&amp;1020,m_end,"&gt;"&amp;960))))))</f>
        <v/>
      </c>
      <c r="BJ34" s="82" t="str">
        <f aca="false">IF(OR(BJ$4="",MONTH(($G$2+30))&lt;&gt;MONTH($C$2)),"",IF(COUNTIFS(m_teacher,BJ$4,m_date,($G$2+30),m_active,1,m_start,"&lt;"&amp;1020,m_end,"&gt;"&amp;960)=0,"",IF(COUNTIFS(m_teacher,BJ$4,m_date,($G$2+30),m_active,1,m_start,"&lt;"&amp;1020,m_end,"&gt;"&amp;960)&gt;1,"충돌",HYPERLINK("#'관리자_MASTER'!D"&amp;_xlfn.MAXIFS(m_row,m_teacher,BJ$4,m_date,($G$2+30),m_active,1,m_start,"&lt;"&amp;1020,m_end,"&gt;"&amp;960),INDEX(m_label,_xlfn.MAXIFS(m_row,m_teacher,BJ$4,m_date,($G$2+30),m_active,1,m_start,"&lt;"&amp;1020,m_end,"&gt;"&amp;960))))))</f>
        <v/>
      </c>
      <c r="BK34" s="82" t="str">
        <f aca="false">IF(OR(BK$4="",MONTH(($G$2+30))&lt;&gt;MONTH($C$2)),"",IF(COUNTIFS(m_teacher,BK$4,m_date,($G$2+30),m_active,1,m_start,"&lt;"&amp;1020,m_end,"&gt;"&amp;960)=0,"",IF(COUNTIFS(m_teacher,BK$4,m_date,($G$2+30),m_active,1,m_start,"&lt;"&amp;1020,m_end,"&gt;"&amp;960)&gt;1,"충돌",HYPERLINK("#'관리자_MASTER'!D"&amp;_xlfn.MAXIFS(m_row,m_teacher,BK$4,m_date,($G$2+30),m_active,1,m_start,"&lt;"&amp;1020,m_end,"&gt;"&amp;960),INDEX(m_label,_xlfn.MAXIFS(m_row,m_teacher,BK$4,m_date,($G$2+30),m_active,1,m_start,"&lt;"&amp;1020,m_end,"&gt;"&amp;960))))))</f>
        <v/>
      </c>
      <c r="BL34" s="82" t="str">
        <f aca="false">IF(OR(BL$4="",MONTH(($G$2+30))&lt;&gt;MONTH($C$2)),"",IF(COUNTIFS(m_teacher,BL$4,m_date,($G$2+30),m_active,1,m_start,"&lt;"&amp;1020,m_end,"&gt;"&amp;960)=0,"",IF(COUNTIFS(m_teacher,BL$4,m_date,($G$2+30),m_active,1,m_start,"&lt;"&amp;1020,m_end,"&gt;"&amp;960)&gt;1,"충돌",HYPERLINK("#'관리자_MASTER'!D"&amp;_xlfn.MAXIFS(m_row,m_teacher,BL$4,m_date,($G$2+30),m_active,1,m_start,"&lt;"&amp;1020,m_end,"&gt;"&amp;960),INDEX(m_label,_xlfn.MAXIFS(m_row,m_teacher,BL$4,m_date,($G$2+30),m_active,1,m_start,"&lt;"&amp;1020,m_end,"&gt;"&amp;960))))))</f>
        <v/>
      </c>
      <c r="BM34" s="82" t="str">
        <f aca="false">IF(OR(BM$4="",MONTH(($G$2+30))&lt;&gt;MONTH($C$2)),"",IF(COUNTIFS(m_teacher,BM$4,m_date,($G$2+30),m_active,1,m_start,"&lt;"&amp;1020,m_end,"&gt;"&amp;960)=0,"",IF(COUNTIFS(m_teacher,BM$4,m_date,($G$2+30),m_active,1,m_start,"&lt;"&amp;1020,m_end,"&gt;"&amp;960)&gt;1,"충돌",HYPERLINK("#'관리자_MASTER'!D"&amp;_xlfn.MAXIFS(m_row,m_teacher,BM$4,m_date,($G$2+30),m_active,1,m_start,"&lt;"&amp;1020,m_end,"&gt;"&amp;960),INDEX(m_label,_xlfn.MAXIFS(m_row,m_teacher,BM$4,m_date,($G$2+30),m_active,1,m_start,"&lt;"&amp;1020,m_end,"&gt;"&amp;960))))))</f>
        <v/>
      </c>
      <c r="BN34" s="82" t="str">
        <f aca="false">IF(OR(BN$4="",MONTH(($G$2+30))&lt;&gt;MONTH($C$2)),"",IF(COUNTIFS(m_teacher,BN$4,m_date,($G$2+30),m_active,1,m_start,"&lt;"&amp;1020,m_end,"&gt;"&amp;960)=0,"",IF(COUNTIFS(m_teacher,BN$4,m_date,($G$2+30),m_active,1,m_start,"&lt;"&amp;1020,m_end,"&gt;"&amp;960)&gt;1,"충돌",HYPERLINK("#'관리자_MASTER'!D"&amp;_xlfn.MAXIFS(m_row,m_teacher,BN$4,m_date,($G$2+30),m_active,1,m_start,"&lt;"&amp;1020,m_end,"&gt;"&amp;960),INDEX(m_label,_xlfn.MAXIFS(m_row,m_teacher,BN$4,m_date,($G$2+30),m_active,1,m_start,"&lt;"&amp;1020,m_end,"&gt;"&amp;960))))))</f>
        <v/>
      </c>
      <c r="BO34" s="82" t="str">
        <f aca="false">IF(OR(BO$4="",MONTH(($G$2+30))&lt;&gt;MONTH($C$2)),"",IF(COUNTIFS(m_teacher,BO$4,m_date,($G$2+30),m_active,1,m_start,"&lt;"&amp;1020,m_end,"&gt;"&amp;960)=0,"",IF(COUNTIFS(m_teacher,BO$4,m_date,($G$2+30),m_active,1,m_start,"&lt;"&amp;1020,m_end,"&gt;"&amp;960)&gt;1,"충돌",HYPERLINK("#'관리자_MASTER'!D"&amp;_xlfn.MAXIFS(m_row,m_teacher,BO$4,m_date,($G$2+30),m_active,1,m_start,"&lt;"&amp;1020,m_end,"&gt;"&amp;960),INDEX(m_label,_xlfn.MAXIFS(m_row,m_teacher,BO$4,m_date,($G$2+30),m_active,1,m_start,"&lt;"&amp;1020,m_end,"&gt;"&amp;960))))))</f>
        <v/>
      </c>
      <c r="BP34" s="82" t="str">
        <f aca="false">IF(OR(BP$4="",MONTH(($G$2+30))&lt;&gt;MONTH($C$2)),"",IF(COUNTIFS(m_teacher,BP$4,m_date,($G$2+30),m_active,1,m_start,"&lt;"&amp;1020,m_end,"&gt;"&amp;960)=0,"",IF(COUNTIFS(m_teacher,BP$4,m_date,($G$2+30),m_active,1,m_start,"&lt;"&amp;1020,m_end,"&gt;"&amp;960)&gt;1,"충돌",HYPERLINK("#'관리자_MASTER'!D"&amp;_xlfn.MAXIFS(m_row,m_teacher,BP$4,m_date,($G$2+30),m_active,1,m_start,"&lt;"&amp;1020,m_end,"&gt;"&amp;960),INDEX(m_label,_xlfn.MAXIFS(m_row,m_teacher,BP$4,m_date,($G$2+30),m_active,1,m_start,"&lt;"&amp;1020,m_end,"&gt;"&amp;960))))))</f>
        <v/>
      </c>
      <c r="BQ34" s="82" t="str">
        <f aca="false">IF(OR(BQ$4="",MONTH(($G$2+30))&lt;&gt;MONTH($C$2)),"",IF(COUNTIFS(m_teacher,BQ$4,m_date,($G$2+30),m_active,1,m_start,"&lt;"&amp;1020,m_end,"&gt;"&amp;960)=0,"",IF(COUNTIFS(m_teacher,BQ$4,m_date,($G$2+30),m_active,1,m_start,"&lt;"&amp;1020,m_end,"&gt;"&amp;960)&gt;1,"충돌",HYPERLINK("#'관리자_MASTER'!D"&amp;_xlfn.MAXIFS(m_row,m_teacher,BQ$4,m_date,($G$2+30),m_active,1,m_start,"&lt;"&amp;1020,m_end,"&gt;"&amp;960),INDEX(m_label,_xlfn.MAXIFS(m_row,m_teacher,BQ$4,m_date,($G$2+30),m_active,1,m_start,"&lt;"&amp;1020,m_end,"&gt;"&amp;960))))))</f>
        <v/>
      </c>
      <c r="BR34" s="82" t="str">
        <f aca="false">IF(OR(BR$4="",MONTH(($G$2+30))&lt;&gt;MONTH($C$2)),"",IF(COUNTIFS(m_teacher,BR$4,m_date,($G$2+30),m_active,1,m_start,"&lt;"&amp;1020,m_end,"&gt;"&amp;960)=0,"",IF(COUNTIFS(m_teacher,BR$4,m_date,($G$2+30),m_active,1,m_start,"&lt;"&amp;1020,m_end,"&gt;"&amp;960)&gt;1,"충돌",HYPERLINK("#'관리자_MASTER'!D"&amp;_xlfn.MAXIFS(m_row,m_teacher,BR$4,m_date,($G$2+30),m_active,1,m_start,"&lt;"&amp;1020,m_end,"&gt;"&amp;960),INDEX(m_label,_xlfn.MAXIFS(m_row,m_teacher,BR$4,m_date,($G$2+30),m_active,1,m_start,"&lt;"&amp;1020,m_end,"&gt;"&amp;960))))))</f>
        <v/>
      </c>
    </row>
    <row r="35" customFormat="false" ht="19.5" hidden="false" customHeight="true" outlineLevel="0" collapsed="false">
      <c r="A35" s="78"/>
      <c r="B35" s="79" t="s">
        <v>99</v>
      </c>
      <c r="C35" s="82" t="str">
        <f aca="false">IF(OR(C$4="",MONTH(($G$2+2))&lt;&gt;MONTH($C$2)),"",IF(COUNTIFS(m_teacher,C$4,m_date,($G$2+2),m_active,1,m_start,"&lt;"&amp;1080,m_end,"&gt;"&amp;1020)=0,"",IF(COUNTIFS(m_teacher,C$4,m_date,($G$2+2),m_active,1,m_start,"&lt;"&amp;1080,m_end,"&gt;"&amp;1020)&gt;1,"충돌",HYPERLINK("#'관리자_MASTER'!D"&amp;_xlfn.MAXIFS(m_row,m_teacher,C$4,m_date,($G$2+2),m_active,1,m_start,"&lt;"&amp;1080,m_end,"&gt;"&amp;1020),INDEX(m_label,_xlfn.MAXIFS(m_row,m_teacher,C$4,m_date,($G$2+2),m_active,1,m_start,"&lt;"&amp;1080,m_end,"&gt;"&amp;1020))))))</f>
        <v/>
      </c>
      <c r="D35" s="82" t="str">
        <f aca="false">IF(OR(D$4="",MONTH(($G$2+2))&lt;&gt;MONTH($C$2)),"",IF(COUNTIFS(m_teacher,D$4,m_date,($G$2+2),m_active,1,m_start,"&lt;"&amp;1080,m_end,"&gt;"&amp;1020)=0,"",IF(COUNTIFS(m_teacher,D$4,m_date,($G$2+2),m_active,1,m_start,"&lt;"&amp;1080,m_end,"&gt;"&amp;1020)&gt;1,"충돌",HYPERLINK("#'관리자_MASTER'!D"&amp;_xlfn.MAXIFS(m_row,m_teacher,D$4,m_date,($G$2+2),m_active,1,m_start,"&lt;"&amp;1080,m_end,"&gt;"&amp;1020),INDEX(m_label,_xlfn.MAXIFS(m_row,m_teacher,D$4,m_date,($G$2+2),m_active,1,m_start,"&lt;"&amp;1080,m_end,"&gt;"&amp;1020))))))</f>
        <v/>
      </c>
      <c r="E35" s="82" t="str">
        <f aca="false">IF(OR(E$4="",MONTH(($G$2+2))&lt;&gt;MONTH($C$2)),"",IF(COUNTIFS(m_teacher,E$4,m_date,($G$2+2),m_active,1,m_start,"&lt;"&amp;1080,m_end,"&gt;"&amp;1020)=0,"",IF(COUNTIFS(m_teacher,E$4,m_date,($G$2+2),m_active,1,m_start,"&lt;"&amp;1080,m_end,"&gt;"&amp;1020)&gt;1,"충돌",HYPERLINK("#'관리자_MASTER'!D"&amp;_xlfn.MAXIFS(m_row,m_teacher,E$4,m_date,($G$2+2),m_active,1,m_start,"&lt;"&amp;1080,m_end,"&gt;"&amp;1020),INDEX(m_label,_xlfn.MAXIFS(m_row,m_teacher,E$4,m_date,($G$2+2),m_active,1,m_start,"&lt;"&amp;1080,m_end,"&gt;"&amp;1020))))))</f>
        <v/>
      </c>
      <c r="F35" s="82" t="str">
        <f aca="false">IF(OR(F$4="",MONTH(($G$2+2))&lt;&gt;MONTH($C$2)),"",IF(COUNTIFS(m_teacher,F$4,m_date,($G$2+2),m_active,1,m_start,"&lt;"&amp;1080,m_end,"&gt;"&amp;1020)=0,"",IF(COUNTIFS(m_teacher,F$4,m_date,($G$2+2),m_active,1,m_start,"&lt;"&amp;1080,m_end,"&gt;"&amp;1020)&gt;1,"충돌",HYPERLINK("#'관리자_MASTER'!D"&amp;_xlfn.MAXIFS(m_row,m_teacher,F$4,m_date,($G$2+2),m_active,1,m_start,"&lt;"&amp;1080,m_end,"&gt;"&amp;1020),INDEX(m_label,_xlfn.MAXIFS(m_row,m_teacher,F$4,m_date,($G$2+2),m_active,1,m_start,"&lt;"&amp;1080,m_end,"&gt;"&amp;1020))))))</f>
        <v/>
      </c>
      <c r="G35" s="82" t="str">
        <f aca="false">IF(OR(G$4="",MONTH(($G$2+2))&lt;&gt;MONTH($C$2)),"",IF(COUNTIFS(m_teacher,G$4,m_date,($G$2+2),m_active,1,m_start,"&lt;"&amp;1080,m_end,"&gt;"&amp;1020)=0,"",IF(COUNTIFS(m_teacher,G$4,m_date,($G$2+2),m_active,1,m_start,"&lt;"&amp;1080,m_end,"&gt;"&amp;1020)&gt;1,"충돌",HYPERLINK("#'관리자_MASTER'!D"&amp;_xlfn.MAXIFS(m_row,m_teacher,G$4,m_date,($G$2+2),m_active,1,m_start,"&lt;"&amp;1080,m_end,"&gt;"&amp;1020),INDEX(m_label,_xlfn.MAXIFS(m_row,m_teacher,G$4,m_date,($G$2+2),m_active,1,m_start,"&lt;"&amp;1080,m_end,"&gt;"&amp;1020))))))</f>
        <v/>
      </c>
      <c r="H35" s="82" t="str">
        <f aca="false">IF(OR(H$4="",MONTH(($G$2+2))&lt;&gt;MONTH($C$2)),"",IF(COUNTIFS(m_teacher,H$4,m_date,($G$2+2),m_active,1,m_start,"&lt;"&amp;1080,m_end,"&gt;"&amp;1020)=0,"",IF(COUNTIFS(m_teacher,H$4,m_date,($G$2+2),m_active,1,m_start,"&lt;"&amp;1080,m_end,"&gt;"&amp;1020)&gt;1,"충돌",HYPERLINK("#'관리자_MASTER'!D"&amp;_xlfn.MAXIFS(m_row,m_teacher,H$4,m_date,($G$2+2),m_active,1,m_start,"&lt;"&amp;1080,m_end,"&gt;"&amp;1020),INDEX(m_label,_xlfn.MAXIFS(m_row,m_teacher,H$4,m_date,($G$2+2),m_active,1,m_start,"&lt;"&amp;1080,m_end,"&gt;"&amp;1020))))))</f>
        <v/>
      </c>
      <c r="I35" s="82" t="str">
        <f aca="false">IF(OR(I$4="",MONTH(($G$2+2))&lt;&gt;MONTH($C$2)),"",IF(COUNTIFS(m_teacher,I$4,m_date,($G$2+2),m_active,1,m_start,"&lt;"&amp;1080,m_end,"&gt;"&amp;1020)=0,"",IF(COUNTIFS(m_teacher,I$4,m_date,($G$2+2),m_active,1,m_start,"&lt;"&amp;1080,m_end,"&gt;"&amp;1020)&gt;1,"충돌",HYPERLINK("#'관리자_MASTER'!D"&amp;_xlfn.MAXIFS(m_row,m_teacher,I$4,m_date,($G$2+2),m_active,1,m_start,"&lt;"&amp;1080,m_end,"&gt;"&amp;1020),INDEX(m_label,_xlfn.MAXIFS(m_row,m_teacher,I$4,m_date,($G$2+2),m_active,1,m_start,"&lt;"&amp;1080,m_end,"&gt;"&amp;1020))))))</f>
        <v/>
      </c>
      <c r="J35" s="82" t="str">
        <f aca="false">IF(OR(J$4="",MONTH(($G$2+2))&lt;&gt;MONTH($C$2)),"",IF(COUNTIFS(m_teacher,J$4,m_date,($G$2+2),m_active,1,m_start,"&lt;"&amp;1080,m_end,"&gt;"&amp;1020)=0,"",IF(COUNTIFS(m_teacher,J$4,m_date,($G$2+2),m_active,1,m_start,"&lt;"&amp;1080,m_end,"&gt;"&amp;1020)&gt;1,"충돌",HYPERLINK("#'관리자_MASTER'!D"&amp;_xlfn.MAXIFS(m_row,m_teacher,J$4,m_date,($G$2+2),m_active,1,m_start,"&lt;"&amp;1080,m_end,"&gt;"&amp;1020),INDEX(m_label,_xlfn.MAXIFS(m_row,m_teacher,J$4,m_date,($G$2+2),m_active,1,m_start,"&lt;"&amp;1080,m_end,"&gt;"&amp;1020))))))</f>
        <v/>
      </c>
      <c r="K35" s="82" t="str">
        <f aca="false">IF(OR(K$4="",MONTH(($G$2+2))&lt;&gt;MONTH($C$2)),"",IF(COUNTIFS(m_teacher,K$4,m_date,($G$2+2),m_active,1,m_start,"&lt;"&amp;1080,m_end,"&gt;"&amp;1020)=0,"",IF(COUNTIFS(m_teacher,K$4,m_date,($G$2+2),m_active,1,m_start,"&lt;"&amp;1080,m_end,"&gt;"&amp;1020)&gt;1,"충돌",HYPERLINK("#'관리자_MASTER'!D"&amp;_xlfn.MAXIFS(m_row,m_teacher,K$4,m_date,($G$2+2),m_active,1,m_start,"&lt;"&amp;1080,m_end,"&gt;"&amp;1020),INDEX(m_label,_xlfn.MAXIFS(m_row,m_teacher,K$4,m_date,($G$2+2),m_active,1,m_start,"&lt;"&amp;1080,m_end,"&gt;"&amp;1020))))))</f>
        <v/>
      </c>
      <c r="L35" s="82" t="str">
        <f aca="false">IF(OR(L$4="",MONTH(($G$2+2))&lt;&gt;MONTH($C$2)),"",IF(COUNTIFS(m_teacher,L$4,m_date,($G$2+2),m_active,1,m_start,"&lt;"&amp;1080,m_end,"&gt;"&amp;1020)=0,"",IF(COUNTIFS(m_teacher,L$4,m_date,($G$2+2),m_active,1,m_start,"&lt;"&amp;1080,m_end,"&gt;"&amp;1020)&gt;1,"충돌",HYPERLINK("#'관리자_MASTER'!D"&amp;_xlfn.MAXIFS(m_row,m_teacher,L$4,m_date,($G$2+2),m_active,1,m_start,"&lt;"&amp;1080,m_end,"&gt;"&amp;1020),INDEX(m_label,_xlfn.MAXIFS(m_row,m_teacher,L$4,m_date,($G$2+2),m_active,1,m_start,"&lt;"&amp;1080,m_end,"&gt;"&amp;1020))))))</f>
        <v/>
      </c>
      <c r="M35" s="82" t="str">
        <f aca="false">IF(OR(M$4="",MONTH(($G$2+2))&lt;&gt;MONTH($C$2)),"",IF(COUNTIFS(m_teacher,M$4,m_date,($G$2+2),m_active,1,m_start,"&lt;"&amp;1080,m_end,"&gt;"&amp;1020)=0,"",IF(COUNTIFS(m_teacher,M$4,m_date,($G$2+2),m_active,1,m_start,"&lt;"&amp;1080,m_end,"&gt;"&amp;1020)&gt;1,"충돌",HYPERLINK("#'관리자_MASTER'!D"&amp;_xlfn.MAXIFS(m_row,m_teacher,M$4,m_date,($G$2+2),m_active,1,m_start,"&lt;"&amp;1080,m_end,"&gt;"&amp;1020),INDEX(m_label,_xlfn.MAXIFS(m_row,m_teacher,M$4,m_date,($G$2+2),m_active,1,m_start,"&lt;"&amp;1080,m_end,"&gt;"&amp;1020))))))</f>
        <v/>
      </c>
      <c r="N35" s="82" t="str">
        <f aca="false">IF(OR(N$4="",MONTH(($G$2+2))&lt;&gt;MONTH($C$2)),"",IF(COUNTIFS(m_teacher,N$4,m_date,($G$2+2),m_active,1,m_start,"&lt;"&amp;1080,m_end,"&gt;"&amp;1020)=0,"",IF(COUNTIFS(m_teacher,N$4,m_date,($G$2+2),m_active,1,m_start,"&lt;"&amp;1080,m_end,"&gt;"&amp;1020)&gt;1,"충돌",HYPERLINK("#'관리자_MASTER'!D"&amp;_xlfn.MAXIFS(m_row,m_teacher,N$4,m_date,($G$2+2),m_active,1,m_start,"&lt;"&amp;1080,m_end,"&gt;"&amp;1020),INDEX(m_label,_xlfn.MAXIFS(m_row,m_teacher,N$4,m_date,($G$2+2),m_active,1,m_start,"&lt;"&amp;1080,m_end,"&gt;"&amp;1020))))))</f>
        <v/>
      </c>
      <c r="O35" s="78"/>
      <c r="P35" s="79" t="s">
        <v>99</v>
      </c>
      <c r="Q35" s="82" t="str">
        <f aca="false">IF(OR(Q$4="",MONTH(($G$2+9))&lt;&gt;MONTH($C$2)),"",IF(COUNTIFS(m_teacher,Q$4,m_date,($G$2+9),m_active,1,m_start,"&lt;"&amp;1080,m_end,"&gt;"&amp;1020)=0,"",IF(COUNTIFS(m_teacher,Q$4,m_date,($G$2+9),m_active,1,m_start,"&lt;"&amp;1080,m_end,"&gt;"&amp;1020)&gt;1,"충돌",HYPERLINK("#'관리자_MASTER'!D"&amp;_xlfn.MAXIFS(m_row,m_teacher,Q$4,m_date,($G$2+9),m_active,1,m_start,"&lt;"&amp;1080,m_end,"&gt;"&amp;1020),INDEX(m_label,_xlfn.MAXIFS(m_row,m_teacher,Q$4,m_date,($G$2+9),m_active,1,m_start,"&lt;"&amp;1080,m_end,"&gt;"&amp;1020))))))</f>
        <v/>
      </c>
      <c r="R35" s="82" t="str">
        <f aca="false">IF(OR(R$4="",MONTH(($G$2+9))&lt;&gt;MONTH($C$2)),"",IF(COUNTIFS(m_teacher,R$4,m_date,($G$2+9),m_active,1,m_start,"&lt;"&amp;1080,m_end,"&gt;"&amp;1020)=0,"",IF(COUNTIFS(m_teacher,R$4,m_date,($G$2+9),m_active,1,m_start,"&lt;"&amp;1080,m_end,"&gt;"&amp;1020)&gt;1,"충돌",HYPERLINK("#'관리자_MASTER'!D"&amp;_xlfn.MAXIFS(m_row,m_teacher,R$4,m_date,($G$2+9),m_active,1,m_start,"&lt;"&amp;1080,m_end,"&gt;"&amp;1020),INDEX(m_label,_xlfn.MAXIFS(m_row,m_teacher,R$4,m_date,($G$2+9),m_active,1,m_start,"&lt;"&amp;1080,m_end,"&gt;"&amp;1020))))))</f>
        <v/>
      </c>
      <c r="S35" s="82" t="str">
        <f aca="false">IF(OR(S$4="",MONTH(($G$2+9))&lt;&gt;MONTH($C$2)),"",IF(COUNTIFS(m_teacher,S$4,m_date,($G$2+9),m_active,1,m_start,"&lt;"&amp;1080,m_end,"&gt;"&amp;1020)=0,"",IF(COUNTIFS(m_teacher,S$4,m_date,($G$2+9),m_active,1,m_start,"&lt;"&amp;1080,m_end,"&gt;"&amp;1020)&gt;1,"충돌",HYPERLINK("#'관리자_MASTER'!D"&amp;_xlfn.MAXIFS(m_row,m_teacher,S$4,m_date,($G$2+9),m_active,1,m_start,"&lt;"&amp;1080,m_end,"&gt;"&amp;1020),INDEX(m_label,_xlfn.MAXIFS(m_row,m_teacher,S$4,m_date,($G$2+9),m_active,1,m_start,"&lt;"&amp;1080,m_end,"&gt;"&amp;1020))))))</f>
        <v/>
      </c>
      <c r="T35" s="82" t="str">
        <f aca="false">IF(OR(T$4="",MONTH(($G$2+9))&lt;&gt;MONTH($C$2)),"",IF(COUNTIFS(m_teacher,T$4,m_date,($G$2+9),m_active,1,m_start,"&lt;"&amp;1080,m_end,"&gt;"&amp;1020)=0,"",IF(COUNTIFS(m_teacher,T$4,m_date,($G$2+9),m_active,1,m_start,"&lt;"&amp;1080,m_end,"&gt;"&amp;1020)&gt;1,"충돌",HYPERLINK("#'관리자_MASTER'!D"&amp;_xlfn.MAXIFS(m_row,m_teacher,T$4,m_date,($G$2+9),m_active,1,m_start,"&lt;"&amp;1080,m_end,"&gt;"&amp;1020),INDEX(m_label,_xlfn.MAXIFS(m_row,m_teacher,T$4,m_date,($G$2+9),m_active,1,m_start,"&lt;"&amp;1080,m_end,"&gt;"&amp;1020))))))</f>
        <v/>
      </c>
      <c r="U35" s="82" t="str">
        <f aca="false">IF(OR(U$4="",MONTH(($G$2+9))&lt;&gt;MONTH($C$2)),"",IF(COUNTIFS(m_teacher,U$4,m_date,($G$2+9),m_active,1,m_start,"&lt;"&amp;1080,m_end,"&gt;"&amp;1020)=0,"",IF(COUNTIFS(m_teacher,U$4,m_date,($G$2+9),m_active,1,m_start,"&lt;"&amp;1080,m_end,"&gt;"&amp;1020)&gt;1,"충돌",HYPERLINK("#'관리자_MASTER'!D"&amp;_xlfn.MAXIFS(m_row,m_teacher,U$4,m_date,($G$2+9),m_active,1,m_start,"&lt;"&amp;1080,m_end,"&gt;"&amp;1020),INDEX(m_label,_xlfn.MAXIFS(m_row,m_teacher,U$4,m_date,($G$2+9),m_active,1,m_start,"&lt;"&amp;1080,m_end,"&gt;"&amp;1020))))))</f>
        <v/>
      </c>
      <c r="V35" s="82" t="str">
        <f aca="false">IF(OR(V$4="",MONTH(($G$2+9))&lt;&gt;MONTH($C$2)),"",IF(COUNTIFS(m_teacher,V$4,m_date,($G$2+9),m_active,1,m_start,"&lt;"&amp;1080,m_end,"&gt;"&amp;1020)=0,"",IF(COUNTIFS(m_teacher,V$4,m_date,($G$2+9),m_active,1,m_start,"&lt;"&amp;1080,m_end,"&gt;"&amp;1020)&gt;1,"충돌",HYPERLINK("#'관리자_MASTER'!D"&amp;_xlfn.MAXIFS(m_row,m_teacher,V$4,m_date,($G$2+9),m_active,1,m_start,"&lt;"&amp;1080,m_end,"&gt;"&amp;1020),INDEX(m_label,_xlfn.MAXIFS(m_row,m_teacher,V$4,m_date,($G$2+9),m_active,1,m_start,"&lt;"&amp;1080,m_end,"&gt;"&amp;1020))))))</f>
        <v/>
      </c>
      <c r="W35" s="82" t="str">
        <f aca="false">IF(OR(W$4="",MONTH(($G$2+9))&lt;&gt;MONTH($C$2)),"",IF(COUNTIFS(m_teacher,W$4,m_date,($G$2+9),m_active,1,m_start,"&lt;"&amp;1080,m_end,"&gt;"&amp;1020)=0,"",IF(COUNTIFS(m_teacher,W$4,m_date,($G$2+9),m_active,1,m_start,"&lt;"&amp;1080,m_end,"&gt;"&amp;1020)&gt;1,"충돌",HYPERLINK("#'관리자_MASTER'!D"&amp;_xlfn.MAXIFS(m_row,m_teacher,W$4,m_date,($G$2+9),m_active,1,m_start,"&lt;"&amp;1080,m_end,"&gt;"&amp;1020),INDEX(m_label,_xlfn.MAXIFS(m_row,m_teacher,W$4,m_date,($G$2+9),m_active,1,m_start,"&lt;"&amp;1080,m_end,"&gt;"&amp;1020))))))</f>
        <v/>
      </c>
      <c r="X35" s="82" t="str">
        <f aca="false">IF(OR(X$4="",MONTH(($G$2+9))&lt;&gt;MONTH($C$2)),"",IF(COUNTIFS(m_teacher,X$4,m_date,($G$2+9),m_active,1,m_start,"&lt;"&amp;1080,m_end,"&gt;"&amp;1020)=0,"",IF(COUNTIFS(m_teacher,X$4,m_date,($G$2+9),m_active,1,m_start,"&lt;"&amp;1080,m_end,"&gt;"&amp;1020)&gt;1,"충돌",HYPERLINK("#'관리자_MASTER'!D"&amp;_xlfn.MAXIFS(m_row,m_teacher,X$4,m_date,($G$2+9),m_active,1,m_start,"&lt;"&amp;1080,m_end,"&gt;"&amp;1020),INDEX(m_label,_xlfn.MAXIFS(m_row,m_teacher,X$4,m_date,($G$2+9),m_active,1,m_start,"&lt;"&amp;1080,m_end,"&gt;"&amp;1020))))))</f>
        <v/>
      </c>
      <c r="Y35" s="82" t="str">
        <f aca="false">IF(OR(Y$4="",MONTH(($G$2+9))&lt;&gt;MONTH($C$2)),"",IF(COUNTIFS(m_teacher,Y$4,m_date,($G$2+9),m_active,1,m_start,"&lt;"&amp;1080,m_end,"&gt;"&amp;1020)=0,"",IF(COUNTIFS(m_teacher,Y$4,m_date,($G$2+9),m_active,1,m_start,"&lt;"&amp;1080,m_end,"&gt;"&amp;1020)&gt;1,"충돌",HYPERLINK("#'관리자_MASTER'!D"&amp;_xlfn.MAXIFS(m_row,m_teacher,Y$4,m_date,($G$2+9),m_active,1,m_start,"&lt;"&amp;1080,m_end,"&gt;"&amp;1020),INDEX(m_label,_xlfn.MAXIFS(m_row,m_teacher,Y$4,m_date,($G$2+9),m_active,1,m_start,"&lt;"&amp;1080,m_end,"&gt;"&amp;1020))))))</f>
        <v/>
      </c>
      <c r="Z35" s="82" t="str">
        <f aca="false">IF(OR(Z$4="",MONTH(($G$2+9))&lt;&gt;MONTH($C$2)),"",IF(COUNTIFS(m_teacher,Z$4,m_date,($G$2+9),m_active,1,m_start,"&lt;"&amp;1080,m_end,"&gt;"&amp;1020)=0,"",IF(COUNTIFS(m_teacher,Z$4,m_date,($G$2+9),m_active,1,m_start,"&lt;"&amp;1080,m_end,"&gt;"&amp;1020)&gt;1,"충돌",HYPERLINK("#'관리자_MASTER'!D"&amp;_xlfn.MAXIFS(m_row,m_teacher,Z$4,m_date,($G$2+9),m_active,1,m_start,"&lt;"&amp;1080,m_end,"&gt;"&amp;1020),INDEX(m_label,_xlfn.MAXIFS(m_row,m_teacher,Z$4,m_date,($G$2+9),m_active,1,m_start,"&lt;"&amp;1080,m_end,"&gt;"&amp;1020))))))</f>
        <v/>
      </c>
      <c r="AA35" s="82" t="str">
        <f aca="false">IF(OR(AA$4="",MONTH(($G$2+9))&lt;&gt;MONTH($C$2)),"",IF(COUNTIFS(m_teacher,AA$4,m_date,($G$2+9),m_active,1,m_start,"&lt;"&amp;1080,m_end,"&gt;"&amp;1020)=0,"",IF(COUNTIFS(m_teacher,AA$4,m_date,($G$2+9),m_active,1,m_start,"&lt;"&amp;1080,m_end,"&gt;"&amp;1020)&gt;1,"충돌",HYPERLINK("#'관리자_MASTER'!D"&amp;_xlfn.MAXIFS(m_row,m_teacher,AA$4,m_date,($G$2+9),m_active,1,m_start,"&lt;"&amp;1080,m_end,"&gt;"&amp;1020),INDEX(m_label,_xlfn.MAXIFS(m_row,m_teacher,AA$4,m_date,($G$2+9),m_active,1,m_start,"&lt;"&amp;1080,m_end,"&gt;"&amp;1020))))))</f>
        <v/>
      </c>
      <c r="AB35" s="82" t="str">
        <f aca="false">IF(OR(AB$4="",MONTH(($G$2+9))&lt;&gt;MONTH($C$2)),"",IF(COUNTIFS(m_teacher,AB$4,m_date,($G$2+9),m_active,1,m_start,"&lt;"&amp;1080,m_end,"&gt;"&amp;1020)=0,"",IF(COUNTIFS(m_teacher,AB$4,m_date,($G$2+9),m_active,1,m_start,"&lt;"&amp;1080,m_end,"&gt;"&amp;1020)&gt;1,"충돌",HYPERLINK("#'관리자_MASTER'!D"&amp;_xlfn.MAXIFS(m_row,m_teacher,AB$4,m_date,($G$2+9),m_active,1,m_start,"&lt;"&amp;1080,m_end,"&gt;"&amp;1020),INDEX(m_label,_xlfn.MAXIFS(m_row,m_teacher,AB$4,m_date,($G$2+9),m_active,1,m_start,"&lt;"&amp;1080,m_end,"&gt;"&amp;1020))))))</f>
        <v/>
      </c>
      <c r="AC35" s="78"/>
      <c r="AD35" s="79" t="s">
        <v>99</v>
      </c>
      <c r="AE35" s="82" t="str">
        <f aca="false">IF(OR(AE$4="",MONTH(($G$2+16))&lt;&gt;MONTH($C$2)),"",IF(COUNTIFS(m_teacher,AE$4,m_date,($G$2+16),m_active,1,m_start,"&lt;"&amp;1080,m_end,"&gt;"&amp;1020)=0,"",IF(COUNTIFS(m_teacher,AE$4,m_date,($G$2+16),m_active,1,m_start,"&lt;"&amp;1080,m_end,"&gt;"&amp;1020)&gt;1,"충돌",HYPERLINK("#'관리자_MASTER'!D"&amp;_xlfn.MAXIFS(m_row,m_teacher,AE$4,m_date,($G$2+16),m_active,1,m_start,"&lt;"&amp;1080,m_end,"&gt;"&amp;1020),INDEX(m_label,_xlfn.MAXIFS(m_row,m_teacher,AE$4,m_date,($G$2+16),m_active,1,m_start,"&lt;"&amp;1080,m_end,"&gt;"&amp;1020))))))</f>
        <v/>
      </c>
      <c r="AF35" s="82" t="str">
        <f aca="false">IF(OR(AF$4="",MONTH(($G$2+16))&lt;&gt;MONTH($C$2)),"",IF(COUNTIFS(m_teacher,AF$4,m_date,($G$2+16),m_active,1,m_start,"&lt;"&amp;1080,m_end,"&gt;"&amp;1020)=0,"",IF(COUNTIFS(m_teacher,AF$4,m_date,($G$2+16),m_active,1,m_start,"&lt;"&amp;1080,m_end,"&gt;"&amp;1020)&gt;1,"충돌",HYPERLINK("#'관리자_MASTER'!D"&amp;_xlfn.MAXIFS(m_row,m_teacher,AF$4,m_date,($G$2+16),m_active,1,m_start,"&lt;"&amp;1080,m_end,"&gt;"&amp;1020),INDEX(m_label,_xlfn.MAXIFS(m_row,m_teacher,AF$4,m_date,($G$2+16),m_active,1,m_start,"&lt;"&amp;1080,m_end,"&gt;"&amp;1020))))))</f>
        <v/>
      </c>
      <c r="AG35" s="82" t="str">
        <f aca="false">IF(OR(AG$4="",MONTH(($G$2+16))&lt;&gt;MONTH($C$2)),"",IF(COUNTIFS(m_teacher,AG$4,m_date,($G$2+16),m_active,1,m_start,"&lt;"&amp;1080,m_end,"&gt;"&amp;1020)=0,"",IF(COUNTIFS(m_teacher,AG$4,m_date,($G$2+16),m_active,1,m_start,"&lt;"&amp;1080,m_end,"&gt;"&amp;1020)&gt;1,"충돌",HYPERLINK("#'관리자_MASTER'!D"&amp;_xlfn.MAXIFS(m_row,m_teacher,AG$4,m_date,($G$2+16),m_active,1,m_start,"&lt;"&amp;1080,m_end,"&gt;"&amp;1020),INDEX(m_label,_xlfn.MAXIFS(m_row,m_teacher,AG$4,m_date,($G$2+16),m_active,1,m_start,"&lt;"&amp;1080,m_end,"&gt;"&amp;1020))))))</f>
        <v/>
      </c>
      <c r="AH35" s="82" t="str">
        <f aca="false">IF(OR(AH$4="",MONTH(($G$2+16))&lt;&gt;MONTH($C$2)),"",IF(COUNTIFS(m_teacher,AH$4,m_date,($G$2+16),m_active,1,m_start,"&lt;"&amp;1080,m_end,"&gt;"&amp;1020)=0,"",IF(COUNTIFS(m_teacher,AH$4,m_date,($G$2+16),m_active,1,m_start,"&lt;"&amp;1080,m_end,"&gt;"&amp;1020)&gt;1,"충돌",HYPERLINK("#'관리자_MASTER'!D"&amp;_xlfn.MAXIFS(m_row,m_teacher,AH$4,m_date,($G$2+16),m_active,1,m_start,"&lt;"&amp;1080,m_end,"&gt;"&amp;1020),INDEX(m_label,_xlfn.MAXIFS(m_row,m_teacher,AH$4,m_date,($G$2+16),m_active,1,m_start,"&lt;"&amp;1080,m_end,"&gt;"&amp;1020))))))</f>
        <v/>
      </c>
      <c r="AI35" s="82" t="str">
        <f aca="false">IF(OR(AI$4="",MONTH(($G$2+16))&lt;&gt;MONTH($C$2)),"",IF(COUNTIFS(m_teacher,AI$4,m_date,($G$2+16),m_active,1,m_start,"&lt;"&amp;1080,m_end,"&gt;"&amp;1020)=0,"",IF(COUNTIFS(m_teacher,AI$4,m_date,($G$2+16),m_active,1,m_start,"&lt;"&amp;1080,m_end,"&gt;"&amp;1020)&gt;1,"충돌",HYPERLINK("#'관리자_MASTER'!D"&amp;_xlfn.MAXIFS(m_row,m_teacher,AI$4,m_date,($G$2+16),m_active,1,m_start,"&lt;"&amp;1080,m_end,"&gt;"&amp;1020),INDEX(m_label,_xlfn.MAXIFS(m_row,m_teacher,AI$4,m_date,($G$2+16),m_active,1,m_start,"&lt;"&amp;1080,m_end,"&gt;"&amp;1020))))))</f>
        <v/>
      </c>
      <c r="AJ35" s="82" t="str">
        <f aca="false">IF(OR(AJ$4="",MONTH(($G$2+16))&lt;&gt;MONTH($C$2)),"",IF(COUNTIFS(m_teacher,AJ$4,m_date,($G$2+16),m_active,1,m_start,"&lt;"&amp;1080,m_end,"&gt;"&amp;1020)=0,"",IF(COUNTIFS(m_teacher,AJ$4,m_date,($G$2+16),m_active,1,m_start,"&lt;"&amp;1080,m_end,"&gt;"&amp;1020)&gt;1,"충돌",HYPERLINK("#'관리자_MASTER'!D"&amp;_xlfn.MAXIFS(m_row,m_teacher,AJ$4,m_date,($G$2+16),m_active,1,m_start,"&lt;"&amp;1080,m_end,"&gt;"&amp;1020),INDEX(m_label,_xlfn.MAXIFS(m_row,m_teacher,AJ$4,m_date,($G$2+16),m_active,1,m_start,"&lt;"&amp;1080,m_end,"&gt;"&amp;1020))))))</f>
        <v/>
      </c>
      <c r="AK35" s="82" t="str">
        <f aca="false">IF(OR(AK$4="",MONTH(($G$2+16))&lt;&gt;MONTH($C$2)),"",IF(COUNTIFS(m_teacher,AK$4,m_date,($G$2+16),m_active,1,m_start,"&lt;"&amp;1080,m_end,"&gt;"&amp;1020)=0,"",IF(COUNTIFS(m_teacher,AK$4,m_date,($G$2+16),m_active,1,m_start,"&lt;"&amp;1080,m_end,"&gt;"&amp;1020)&gt;1,"충돌",HYPERLINK("#'관리자_MASTER'!D"&amp;_xlfn.MAXIFS(m_row,m_teacher,AK$4,m_date,($G$2+16),m_active,1,m_start,"&lt;"&amp;1080,m_end,"&gt;"&amp;1020),INDEX(m_label,_xlfn.MAXIFS(m_row,m_teacher,AK$4,m_date,($G$2+16),m_active,1,m_start,"&lt;"&amp;1080,m_end,"&gt;"&amp;1020))))))</f>
        <v/>
      </c>
      <c r="AL35" s="82" t="str">
        <f aca="false">IF(OR(AL$4="",MONTH(($G$2+16))&lt;&gt;MONTH($C$2)),"",IF(COUNTIFS(m_teacher,AL$4,m_date,($G$2+16),m_active,1,m_start,"&lt;"&amp;1080,m_end,"&gt;"&amp;1020)=0,"",IF(COUNTIFS(m_teacher,AL$4,m_date,($G$2+16),m_active,1,m_start,"&lt;"&amp;1080,m_end,"&gt;"&amp;1020)&gt;1,"충돌",HYPERLINK("#'관리자_MASTER'!D"&amp;_xlfn.MAXIFS(m_row,m_teacher,AL$4,m_date,($G$2+16),m_active,1,m_start,"&lt;"&amp;1080,m_end,"&gt;"&amp;1020),INDEX(m_label,_xlfn.MAXIFS(m_row,m_teacher,AL$4,m_date,($G$2+16),m_active,1,m_start,"&lt;"&amp;1080,m_end,"&gt;"&amp;1020))))))</f>
        <v/>
      </c>
      <c r="AM35" s="82" t="str">
        <f aca="false">IF(OR(AM$4="",MONTH(($G$2+16))&lt;&gt;MONTH($C$2)),"",IF(COUNTIFS(m_teacher,AM$4,m_date,($G$2+16),m_active,1,m_start,"&lt;"&amp;1080,m_end,"&gt;"&amp;1020)=0,"",IF(COUNTIFS(m_teacher,AM$4,m_date,($G$2+16),m_active,1,m_start,"&lt;"&amp;1080,m_end,"&gt;"&amp;1020)&gt;1,"충돌",HYPERLINK("#'관리자_MASTER'!D"&amp;_xlfn.MAXIFS(m_row,m_teacher,AM$4,m_date,($G$2+16),m_active,1,m_start,"&lt;"&amp;1080,m_end,"&gt;"&amp;1020),INDEX(m_label,_xlfn.MAXIFS(m_row,m_teacher,AM$4,m_date,($G$2+16),m_active,1,m_start,"&lt;"&amp;1080,m_end,"&gt;"&amp;1020))))))</f>
        <v/>
      </c>
      <c r="AN35" s="82" t="str">
        <f aca="false">IF(OR(AN$4="",MONTH(($G$2+16))&lt;&gt;MONTH($C$2)),"",IF(COUNTIFS(m_teacher,AN$4,m_date,($G$2+16),m_active,1,m_start,"&lt;"&amp;1080,m_end,"&gt;"&amp;1020)=0,"",IF(COUNTIFS(m_teacher,AN$4,m_date,($G$2+16),m_active,1,m_start,"&lt;"&amp;1080,m_end,"&gt;"&amp;1020)&gt;1,"충돌",HYPERLINK("#'관리자_MASTER'!D"&amp;_xlfn.MAXIFS(m_row,m_teacher,AN$4,m_date,($G$2+16),m_active,1,m_start,"&lt;"&amp;1080,m_end,"&gt;"&amp;1020),INDEX(m_label,_xlfn.MAXIFS(m_row,m_teacher,AN$4,m_date,($G$2+16),m_active,1,m_start,"&lt;"&amp;1080,m_end,"&gt;"&amp;1020))))))</f>
        <v/>
      </c>
      <c r="AO35" s="82" t="str">
        <f aca="false">IF(OR(AO$4="",MONTH(($G$2+16))&lt;&gt;MONTH($C$2)),"",IF(COUNTIFS(m_teacher,AO$4,m_date,($G$2+16),m_active,1,m_start,"&lt;"&amp;1080,m_end,"&gt;"&amp;1020)=0,"",IF(COUNTIFS(m_teacher,AO$4,m_date,($G$2+16),m_active,1,m_start,"&lt;"&amp;1080,m_end,"&gt;"&amp;1020)&gt;1,"충돌",HYPERLINK("#'관리자_MASTER'!D"&amp;_xlfn.MAXIFS(m_row,m_teacher,AO$4,m_date,($G$2+16),m_active,1,m_start,"&lt;"&amp;1080,m_end,"&gt;"&amp;1020),INDEX(m_label,_xlfn.MAXIFS(m_row,m_teacher,AO$4,m_date,($G$2+16),m_active,1,m_start,"&lt;"&amp;1080,m_end,"&gt;"&amp;1020))))))</f>
        <v/>
      </c>
      <c r="AP35" s="82" t="str">
        <f aca="false">IF(OR(AP$4="",MONTH(($G$2+16))&lt;&gt;MONTH($C$2)),"",IF(COUNTIFS(m_teacher,AP$4,m_date,($G$2+16),m_active,1,m_start,"&lt;"&amp;1080,m_end,"&gt;"&amp;1020)=0,"",IF(COUNTIFS(m_teacher,AP$4,m_date,($G$2+16),m_active,1,m_start,"&lt;"&amp;1080,m_end,"&gt;"&amp;1020)&gt;1,"충돌",HYPERLINK("#'관리자_MASTER'!D"&amp;_xlfn.MAXIFS(m_row,m_teacher,AP$4,m_date,($G$2+16),m_active,1,m_start,"&lt;"&amp;1080,m_end,"&gt;"&amp;1020),INDEX(m_label,_xlfn.MAXIFS(m_row,m_teacher,AP$4,m_date,($G$2+16),m_active,1,m_start,"&lt;"&amp;1080,m_end,"&gt;"&amp;1020))))))</f>
        <v/>
      </c>
      <c r="AQ35" s="78"/>
      <c r="AR35" s="79" t="s">
        <v>99</v>
      </c>
      <c r="AS35" s="82" t="str">
        <f aca="false">IF(OR(AS$4="",MONTH(($G$2+23))&lt;&gt;MONTH($C$2)),"",IF(COUNTIFS(m_teacher,AS$4,m_date,($G$2+23),m_active,1,m_start,"&lt;"&amp;1080,m_end,"&gt;"&amp;1020)=0,"",IF(COUNTIFS(m_teacher,AS$4,m_date,($G$2+23),m_active,1,m_start,"&lt;"&amp;1080,m_end,"&gt;"&amp;1020)&gt;1,"충돌",HYPERLINK("#'관리자_MASTER'!D"&amp;_xlfn.MAXIFS(m_row,m_teacher,AS$4,m_date,($G$2+23),m_active,1,m_start,"&lt;"&amp;1080,m_end,"&gt;"&amp;1020),INDEX(m_label,_xlfn.MAXIFS(m_row,m_teacher,AS$4,m_date,($G$2+23),m_active,1,m_start,"&lt;"&amp;1080,m_end,"&gt;"&amp;1020))))))</f>
        <v/>
      </c>
      <c r="AT35" s="82" t="str">
        <f aca="false">IF(OR(AT$4="",MONTH(($G$2+23))&lt;&gt;MONTH($C$2)),"",IF(COUNTIFS(m_teacher,AT$4,m_date,($G$2+23),m_active,1,m_start,"&lt;"&amp;1080,m_end,"&gt;"&amp;1020)=0,"",IF(COUNTIFS(m_teacher,AT$4,m_date,($G$2+23),m_active,1,m_start,"&lt;"&amp;1080,m_end,"&gt;"&amp;1020)&gt;1,"충돌",HYPERLINK("#'관리자_MASTER'!D"&amp;_xlfn.MAXIFS(m_row,m_teacher,AT$4,m_date,($G$2+23),m_active,1,m_start,"&lt;"&amp;1080,m_end,"&gt;"&amp;1020),INDEX(m_label,_xlfn.MAXIFS(m_row,m_teacher,AT$4,m_date,($G$2+23),m_active,1,m_start,"&lt;"&amp;1080,m_end,"&gt;"&amp;1020))))))</f>
        <v/>
      </c>
      <c r="AU35" s="82" t="str">
        <f aca="false">IF(OR(AU$4="",MONTH(($G$2+23))&lt;&gt;MONTH($C$2)),"",IF(COUNTIFS(m_teacher,AU$4,m_date,($G$2+23),m_active,1,m_start,"&lt;"&amp;1080,m_end,"&gt;"&amp;1020)=0,"",IF(COUNTIFS(m_teacher,AU$4,m_date,($G$2+23),m_active,1,m_start,"&lt;"&amp;1080,m_end,"&gt;"&amp;1020)&gt;1,"충돌",HYPERLINK("#'관리자_MASTER'!D"&amp;_xlfn.MAXIFS(m_row,m_teacher,AU$4,m_date,($G$2+23),m_active,1,m_start,"&lt;"&amp;1080,m_end,"&gt;"&amp;1020),INDEX(m_label,_xlfn.MAXIFS(m_row,m_teacher,AU$4,m_date,($G$2+23),m_active,1,m_start,"&lt;"&amp;1080,m_end,"&gt;"&amp;1020))))))</f>
        <v/>
      </c>
      <c r="AV35" s="82" t="str">
        <f aca="false">IF(OR(AV$4="",MONTH(($G$2+23))&lt;&gt;MONTH($C$2)),"",IF(COUNTIFS(m_teacher,AV$4,m_date,($G$2+23),m_active,1,m_start,"&lt;"&amp;1080,m_end,"&gt;"&amp;1020)=0,"",IF(COUNTIFS(m_teacher,AV$4,m_date,($G$2+23),m_active,1,m_start,"&lt;"&amp;1080,m_end,"&gt;"&amp;1020)&gt;1,"충돌",HYPERLINK("#'관리자_MASTER'!D"&amp;_xlfn.MAXIFS(m_row,m_teacher,AV$4,m_date,($G$2+23),m_active,1,m_start,"&lt;"&amp;1080,m_end,"&gt;"&amp;1020),INDEX(m_label,_xlfn.MAXIFS(m_row,m_teacher,AV$4,m_date,($G$2+23),m_active,1,m_start,"&lt;"&amp;1080,m_end,"&gt;"&amp;1020))))))</f>
        <v/>
      </c>
      <c r="AW35" s="82" t="str">
        <f aca="false">IF(OR(AW$4="",MONTH(($G$2+23))&lt;&gt;MONTH($C$2)),"",IF(COUNTIFS(m_teacher,AW$4,m_date,($G$2+23),m_active,1,m_start,"&lt;"&amp;1080,m_end,"&gt;"&amp;1020)=0,"",IF(COUNTIFS(m_teacher,AW$4,m_date,($G$2+23),m_active,1,m_start,"&lt;"&amp;1080,m_end,"&gt;"&amp;1020)&gt;1,"충돌",HYPERLINK("#'관리자_MASTER'!D"&amp;_xlfn.MAXIFS(m_row,m_teacher,AW$4,m_date,($G$2+23),m_active,1,m_start,"&lt;"&amp;1080,m_end,"&gt;"&amp;1020),INDEX(m_label,_xlfn.MAXIFS(m_row,m_teacher,AW$4,m_date,($G$2+23),m_active,1,m_start,"&lt;"&amp;1080,m_end,"&gt;"&amp;1020))))))</f>
        <v/>
      </c>
      <c r="AX35" s="82" t="str">
        <f aca="false">IF(OR(AX$4="",MONTH(($G$2+23))&lt;&gt;MONTH($C$2)),"",IF(COUNTIFS(m_teacher,AX$4,m_date,($G$2+23),m_active,1,m_start,"&lt;"&amp;1080,m_end,"&gt;"&amp;1020)=0,"",IF(COUNTIFS(m_teacher,AX$4,m_date,($G$2+23),m_active,1,m_start,"&lt;"&amp;1080,m_end,"&gt;"&amp;1020)&gt;1,"충돌",HYPERLINK("#'관리자_MASTER'!D"&amp;_xlfn.MAXIFS(m_row,m_teacher,AX$4,m_date,($G$2+23),m_active,1,m_start,"&lt;"&amp;1080,m_end,"&gt;"&amp;1020),INDEX(m_label,_xlfn.MAXIFS(m_row,m_teacher,AX$4,m_date,($G$2+23),m_active,1,m_start,"&lt;"&amp;1080,m_end,"&gt;"&amp;1020))))))</f>
        <v/>
      </c>
      <c r="AY35" s="82" t="str">
        <f aca="false">IF(OR(AY$4="",MONTH(($G$2+23))&lt;&gt;MONTH($C$2)),"",IF(COUNTIFS(m_teacher,AY$4,m_date,($G$2+23),m_active,1,m_start,"&lt;"&amp;1080,m_end,"&gt;"&amp;1020)=0,"",IF(COUNTIFS(m_teacher,AY$4,m_date,($G$2+23),m_active,1,m_start,"&lt;"&amp;1080,m_end,"&gt;"&amp;1020)&gt;1,"충돌",HYPERLINK("#'관리자_MASTER'!D"&amp;_xlfn.MAXIFS(m_row,m_teacher,AY$4,m_date,($G$2+23),m_active,1,m_start,"&lt;"&amp;1080,m_end,"&gt;"&amp;1020),INDEX(m_label,_xlfn.MAXIFS(m_row,m_teacher,AY$4,m_date,($G$2+23),m_active,1,m_start,"&lt;"&amp;1080,m_end,"&gt;"&amp;1020))))))</f>
        <v/>
      </c>
      <c r="AZ35" s="82" t="str">
        <f aca="false">IF(OR(AZ$4="",MONTH(($G$2+23))&lt;&gt;MONTH($C$2)),"",IF(COUNTIFS(m_teacher,AZ$4,m_date,($G$2+23),m_active,1,m_start,"&lt;"&amp;1080,m_end,"&gt;"&amp;1020)=0,"",IF(COUNTIFS(m_teacher,AZ$4,m_date,($G$2+23),m_active,1,m_start,"&lt;"&amp;1080,m_end,"&gt;"&amp;1020)&gt;1,"충돌",HYPERLINK("#'관리자_MASTER'!D"&amp;_xlfn.MAXIFS(m_row,m_teacher,AZ$4,m_date,($G$2+23),m_active,1,m_start,"&lt;"&amp;1080,m_end,"&gt;"&amp;1020),INDEX(m_label,_xlfn.MAXIFS(m_row,m_teacher,AZ$4,m_date,($G$2+23),m_active,1,m_start,"&lt;"&amp;1080,m_end,"&gt;"&amp;1020))))))</f>
        <v/>
      </c>
      <c r="BA35" s="82" t="str">
        <f aca="false">IF(OR(BA$4="",MONTH(($G$2+23))&lt;&gt;MONTH($C$2)),"",IF(COUNTIFS(m_teacher,BA$4,m_date,($G$2+23),m_active,1,m_start,"&lt;"&amp;1080,m_end,"&gt;"&amp;1020)=0,"",IF(COUNTIFS(m_teacher,BA$4,m_date,($G$2+23),m_active,1,m_start,"&lt;"&amp;1080,m_end,"&gt;"&amp;1020)&gt;1,"충돌",HYPERLINK("#'관리자_MASTER'!D"&amp;_xlfn.MAXIFS(m_row,m_teacher,BA$4,m_date,($G$2+23),m_active,1,m_start,"&lt;"&amp;1080,m_end,"&gt;"&amp;1020),INDEX(m_label,_xlfn.MAXIFS(m_row,m_teacher,BA$4,m_date,($G$2+23),m_active,1,m_start,"&lt;"&amp;1080,m_end,"&gt;"&amp;1020))))))</f>
        <v/>
      </c>
      <c r="BB35" s="82" t="str">
        <f aca="false">IF(OR(BB$4="",MONTH(($G$2+23))&lt;&gt;MONTH($C$2)),"",IF(COUNTIFS(m_teacher,BB$4,m_date,($G$2+23),m_active,1,m_start,"&lt;"&amp;1080,m_end,"&gt;"&amp;1020)=0,"",IF(COUNTIFS(m_teacher,BB$4,m_date,($G$2+23),m_active,1,m_start,"&lt;"&amp;1080,m_end,"&gt;"&amp;1020)&gt;1,"충돌",HYPERLINK("#'관리자_MASTER'!D"&amp;_xlfn.MAXIFS(m_row,m_teacher,BB$4,m_date,($G$2+23),m_active,1,m_start,"&lt;"&amp;1080,m_end,"&gt;"&amp;1020),INDEX(m_label,_xlfn.MAXIFS(m_row,m_teacher,BB$4,m_date,($G$2+23),m_active,1,m_start,"&lt;"&amp;1080,m_end,"&gt;"&amp;1020))))))</f>
        <v/>
      </c>
      <c r="BC35" s="82" t="str">
        <f aca="false">IF(OR(BC$4="",MONTH(($G$2+23))&lt;&gt;MONTH($C$2)),"",IF(COUNTIFS(m_teacher,BC$4,m_date,($G$2+23),m_active,1,m_start,"&lt;"&amp;1080,m_end,"&gt;"&amp;1020)=0,"",IF(COUNTIFS(m_teacher,BC$4,m_date,($G$2+23),m_active,1,m_start,"&lt;"&amp;1080,m_end,"&gt;"&amp;1020)&gt;1,"충돌",HYPERLINK("#'관리자_MASTER'!D"&amp;_xlfn.MAXIFS(m_row,m_teacher,BC$4,m_date,($G$2+23),m_active,1,m_start,"&lt;"&amp;1080,m_end,"&gt;"&amp;1020),INDEX(m_label,_xlfn.MAXIFS(m_row,m_teacher,BC$4,m_date,($G$2+23),m_active,1,m_start,"&lt;"&amp;1080,m_end,"&gt;"&amp;1020))))))</f>
        <v/>
      </c>
      <c r="BD35" s="82" t="str">
        <f aca="false">IF(OR(BD$4="",MONTH(($G$2+23))&lt;&gt;MONTH($C$2)),"",IF(COUNTIFS(m_teacher,BD$4,m_date,($G$2+23),m_active,1,m_start,"&lt;"&amp;1080,m_end,"&gt;"&amp;1020)=0,"",IF(COUNTIFS(m_teacher,BD$4,m_date,($G$2+23),m_active,1,m_start,"&lt;"&amp;1080,m_end,"&gt;"&amp;1020)&gt;1,"충돌",HYPERLINK("#'관리자_MASTER'!D"&amp;_xlfn.MAXIFS(m_row,m_teacher,BD$4,m_date,($G$2+23),m_active,1,m_start,"&lt;"&amp;1080,m_end,"&gt;"&amp;1020),INDEX(m_label,_xlfn.MAXIFS(m_row,m_teacher,BD$4,m_date,($G$2+23),m_active,1,m_start,"&lt;"&amp;1080,m_end,"&gt;"&amp;1020))))))</f>
        <v/>
      </c>
      <c r="BE35" s="78"/>
      <c r="BF35" s="79" t="s">
        <v>99</v>
      </c>
      <c r="BG35" s="82" t="str">
        <f aca="false">IF(OR(BG$4="",MONTH(($G$2+30))&lt;&gt;MONTH($C$2)),"",IF(COUNTIFS(m_teacher,BG$4,m_date,($G$2+30),m_active,1,m_start,"&lt;"&amp;1080,m_end,"&gt;"&amp;1020)=0,"",IF(COUNTIFS(m_teacher,BG$4,m_date,($G$2+30),m_active,1,m_start,"&lt;"&amp;1080,m_end,"&gt;"&amp;1020)&gt;1,"충돌",HYPERLINK("#'관리자_MASTER'!D"&amp;_xlfn.MAXIFS(m_row,m_teacher,BG$4,m_date,($G$2+30),m_active,1,m_start,"&lt;"&amp;1080,m_end,"&gt;"&amp;1020),INDEX(m_label,_xlfn.MAXIFS(m_row,m_teacher,BG$4,m_date,($G$2+30),m_active,1,m_start,"&lt;"&amp;1080,m_end,"&gt;"&amp;1020))))))</f>
        <v/>
      </c>
      <c r="BH35" s="82" t="str">
        <f aca="false">IF(OR(BH$4="",MONTH(($G$2+30))&lt;&gt;MONTH($C$2)),"",IF(COUNTIFS(m_teacher,BH$4,m_date,($G$2+30),m_active,1,m_start,"&lt;"&amp;1080,m_end,"&gt;"&amp;1020)=0,"",IF(COUNTIFS(m_teacher,BH$4,m_date,($G$2+30),m_active,1,m_start,"&lt;"&amp;1080,m_end,"&gt;"&amp;1020)&gt;1,"충돌",HYPERLINK("#'관리자_MASTER'!D"&amp;_xlfn.MAXIFS(m_row,m_teacher,BH$4,m_date,($G$2+30),m_active,1,m_start,"&lt;"&amp;1080,m_end,"&gt;"&amp;1020),INDEX(m_label,_xlfn.MAXIFS(m_row,m_teacher,BH$4,m_date,($G$2+30),m_active,1,m_start,"&lt;"&amp;1080,m_end,"&gt;"&amp;1020))))))</f>
        <v/>
      </c>
      <c r="BI35" s="82" t="str">
        <f aca="false">IF(OR(BI$4="",MONTH(($G$2+30))&lt;&gt;MONTH($C$2)),"",IF(COUNTIFS(m_teacher,BI$4,m_date,($G$2+30),m_active,1,m_start,"&lt;"&amp;1080,m_end,"&gt;"&amp;1020)=0,"",IF(COUNTIFS(m_teacher,BI$4,m_date,($G$2+30),m_active,1,m_start,"&lt;"&amp;1080,m_end,"&gt;"&amp;1020)&gt;1,"충돌",HYPERLINK("#'관리자_MASTER'!D"&amp;_xlfn.MAXIFS(m_row,m_teacher,BI$4,m_date,($G$2+30),m_active,1,m_start,"&lt;"&amp;1080,m_end,"&gt;"&amp;1020),INDEX(m_label,_xlfn.MAXIFS(m_row,m_teacher,BI$4,m_date,($G$2+30),m_active,1,m_start,"&lt;"&amp;1080,m_end,"&gt;"&amp;1020))))))</f>
        <v/>
      </c>
      <c r="BJ35" s="82" t="str">
        <f aca="false">IF(OR(BJ$4="",MONTH(($G$2+30))&lt;&gt;MONTH($C$2)),"",IF(COUNTIFS(m_teacher,BJ$4,m_date,($G$2+30),m_active,1,m_start,"&lt;"&amp;1080,m_end,"&gt;"&amp;1020)=0,"",IF(COUNTIFS(m_teacher,BJ$4,m_date,($G$2+30),m_active,1,m_start,"&lt;"&amp;1080,m_end,"&gt;"&amp;1020)&gt;1,"충돌",HYPERLINK("#'관리자_MASTER'!D"&amp;_xlfn.MAXIFS(m_row,m_teacher,BJ$4,m_date,($G$2+30),m_active,1,m_start,"&lt;"&amp;1080,m_end,"&gt;"&amp;1020),INDEX(m_label,_xlfn.MAXIFS(m_row,m_teacher,BJ$4,m_date,($G$2+30),m_active,1,m_start,"&lt;"&amp;1080,m_end,"&gt;"&amp;1020))))))</f>
        <v/>
      </c>
      <c r="BK35" s="82" t="str">
        <f aca="false">IF(OR(BK$4="",MONTH(($G$2+30))&lt;&gt;MONTH($C$2)),"",IF(COUNTIFS(m_teacher,BK$4,m_date,($G$2+30),m_active,1,m_start,"&lt;"&amp;1080,m_end,"&gt;"&amp;1020)=0,"",IF(COUNTIFS(m_teacher,BK$4,m_date,($G$2+30),m_active,1,m_start,"&lt;"&amp;1080,m_end,"&gt;"&amp;1020)&gt;1,"충돌",HYPERLINK("#'관리자_MASTER'!D"&amp;_xlfn.MAXIFS(m_row,m_teacher,BK$4,m_date,($G$2+30),m_active,1,m_start,"&lt;"&amp;1080,m_end,"&gt;"&amp;1020),INDEX(m_label,_xlfn.MAXIFS(m_row,m_teacher,BK$4,m_date,($G$2+30),m_active,1,m_start,"&lt;"&amp;1080,m_end,"&gt;"&amp;1020))))))</f>
        <v/>
      </c>
      <c r="BL35" s="82" t="str">
        <f aca="false">IF(OR(BL$4="",MONTH(($G$2+30))&lt;&gt;MONTH($C$2)),"",IF(COUNTIFS(m_teacher,BL$4,m_date,($G$2+30),m_active,1,m_start,"&lt;"&amp;1080,m_end,"&gt;"&amp;1020)=0,"",IF(COUNTIFS(m_teacher,BL$4,m_date,($G$2+30),m_active,1,m_start,"&lt;"&amp;1080,m_end,"&gt;"&amp;1020)&gt;1,"충돌",HYPERLINK("#'관리자_MASTER'!D"&amp;_xlfn.MAXIFS(m_row,m_teacher,BL$4,m_date,($G$2+30),m_active,1,m_start,"&lt;"&amp;1080,m_end,"&gt;"&amp;1020),INDEX(m_label,_xlfn.MAXIFS(m_row,m_teacher,BL$4,m_date,($G$2+30),m_active,1,m_start,"&lt;"&amp;1080,m_end,"&gt;"&amp;1020))))))</f>
        <v/>
      </c>
      <c r="BM35" s="82" t="str">
        <f aca="false">IF(OR(BM$4="",MONTH(($G$2+30))&lt;&gt;MONTH($C$2)),"",IF(COUNTIFS(m_teacher,BM$4,m_date,($G$2+30),m_active,1,m_start,"&lt;"&amp;1080,m_end,"&gt;"&amp;1020)=0,"",IF(COUNTIFS(m_teacher,BM$4,m_date,($G$2+30),m_active,1,m_start,"&lt;"&amp;1080,m_end,"&gt;"&amp;1020)&gt;1,"충돌",HYPERLINK("#'관리자_MASTER'!D"&amp;_xlfn.MAXIFS(m_row,m_teacher,BM$4,m_date,($G$2+30),m_active,1,m_start,"&lt;"&amp;1080,m_end,"&gt;"&amp;1020),INDEX(m_label,_xlfn.MAXIFS(m_row,m_teacher,BM$4,m_date,($G$2+30),m_active,1,m_start,"&lt;"&amp;1080,m_end,"&gt;"&amp;1020))))))</f>
        <v/>
      </c>
      <c r="BN35" s="82" t="str">
        <f aca="false">IF(OR(BN$4="",MONTH(($G$2+30))&lt;&gt;MONTH($C$2)),"",IF(COUNTIFS(m_teacher,BN$4,m_date,($G$2+30),m_active,1,m_start,"&lt;"&amp;1080,m_end,"&gt;"&amp;1020)=0,"",IF(COUNTIFS(m_teacher,BN$4,m_date,($G$2+30),m_active,1,m_start,"&lt;"&amp;1080,m_end,"&gt;"&amp;1020)&gt;1,"충돌",HYPERLINK("#'관리자_MASTER'!D"&amp;_xlfn.MAXIFS(m_row,m_teacher,BN$4,m_date,($G$2+30),m_active,1,m_start,"&lt;"&amp;1080,m_end,"&gt;"&amp;1020),INDEX(m_label,_xlfn.MAXIFS(m_row,m_teacher,BN$4,m_date,($G$2+30),m_active,1,m_start,"&lt;"&amp;1080,m_end,"&gt;"&amp;1020))))))</f>
        <v/>
      </c>
      <c r="BO35" s="82" t="str">
        <f aca="false">IF(OR(BO$4="",MONTH(($G$2+30))&lt;&gt;MONTH($C$2)),"",IF(COUNTIFS(m_teacher,BO$4,m_date,($G$2+30),m_active,1,m_start,"&lt;"&amp;1080,m_end,"&gt;"&amp;1020)=0,"",IF(COUNTIFS(m_teacher,BO$4,m_date,($G$2+30),m_active,1,m_start,"&lt;"&amp;1080,m_end,"&gt;"&amp;1020)&gt;1,"충돌",HYPERLINK("#'관리자_MASTER'!D"&amp;_xlfn.MAXIFS(m_row,m_teacher,BO$4,m_date,($G$2+30),m_active,1,m_start,"&lt;"&amp;1080,m_end,"&gt;"&amp;1020),INDEX(m_label,_xlfn.MAXIFS(m_row,m_teacher,BO$4,m_date,($G$2+30),m_active,1,m_start,"&lt;"&amp;1080,m_end,"&gt;"&amp;1020))))))</f>
        <v/>
      </c>
      <c r="BP35" s="82" t="str">
        <f aca="false">IF(OR(BP$4="",MONTH(($G$2+30))&lt;&gt;MONTH($C$2)),"",IF(COUNTIFS(m_teacher,BP$4,m_date,($G$2+30),m_active,1,m_start,"&lt;"&amp;1080,m_end,"&gt;"&amp;1020)=0,"",IF(COUNTIFS(m_teacher,BP$4,m_date,($G$2+30),m_active,1,m_start,"&lt;"&amp;1080,m_end,"&gt;"&amp;1020)&gt;1,"충돌",HYPERLINK("#'관리자_MASTER'!D"&amp;_xlfn.MAXIFS(m_row,m_teacher,BP$4,m_date,($G$2+30),m_active,1,m_start,"&lt;"&amp;1080,m_end,"&gt;"&amp;1020),INDEX(m_label,_xlfn.MAXIFS(m_row,m_teacher,BP$4,m_date,($G$2+30),m_active,1,m_start,"&lt;"&amp;1080,m_end,"&gt;"&amp;1020))))))</f>
        <v/>
      </c>
      <c r="BQ35" s="82" t="str">
        <f aca="false">IF(OR(BQ$4="",MONTH(($G$2+30))&lt;&gt;MONTH($C$2)),"",IF(COUNTIFS(m_teacher,BQ$4,m_date,($G$2+30),m_active,1,m_start,"&lt;"&amp;1080,m_end,"&gt;"&amp;1020)=0,"",IF(COUNTIFS(m_teacher,BQ$4,m_date,($G$2+30),m_active,1,m_start,"&lt;"&amp;1080,m_end,"&gt;"&amp;1020)&gt;1,"충돌",HYPERLINK("#'관리자_MASTER'!D"&amp;_xlfn.MAXIFS(m_row,m_teacher,BQ$4,m_date,($G$2+30),m_active,1,m_start,"&lt;"&amp;1080,m_end,"&gt;"&amp;1020),INDEX(m_label,_xlfn.MAXIFS(m_row,m_teacher,BQ$4,m_date,($G$2+30),m_active,1,m_start,"&lt;"&amp;1080,m_end,"&gt;"&amp;1020))))))</f>
        <v/>
      </c>
      <c r="BR35" s="82" t="str">
        <f aca="false">IF(OR(BR$4="",MONTH(($G$2+30))&lt;&gt;MONTH($C$2)),"",IF(COUNTIFS(m_teacher,BR$4,m_date,($G$2+30),m_active,1,m_start,"&lt;"&amp;1080,m_end,"&gt;"&amp;1020)=0,"",IF(COUNTIFS(m_teacher,BR$4,m_date,($G$2+30),m_active,1,m_start,"&lt;"&amp;1080,m_end,"&gt;"&amp;1020)&gt;1,"충돌",HYPERLINK("#'관리자_MASTER'!D"&amp;_xlfn.MAXIFS(m_row,m_teacher,BR$4,m_date,($G$2+30),m_active,1,m_start,"&lt;"&amp;1080,m_end,"&gt;"&amp;1020),INDEX(m_label,_xlfn.MAXIFS(m_row,m_teacher,BR$4,m_date,($G$2+30),m_active,1,m_start,"&lt;"&amp;1080,m_end,"&gt;"&amp;1020))))))</f>
        <v/>
      </c>
    </row>
    <row r="36" customFormat="false" ht="19.5" hidden="false" customHeight="true" outlineLevel="0" collapsed="false">
      <c r="A36" s="78"/>
      <c r="B36" s="79" t="s">
        <v>100</v>
      </c>
      <c r="C36" s="82" t="str">
        <f aca="false">IF(OR(C$4="",MONTH(($G$2+2))&lt;&gt;MONTH($C$2)),"",IF(COUNTIFS(m_teacher,C$4,m_date,($G$2+2),m_active,1,m_start,"&lt;"&amp;1140,m_end,"&gt;"&amp;1080)=0,"",IF(COUNTIFS(m_teacher,C$4,m_date,($G$2+2),m_active,1,m_start,"&lt;"&amp;1140,m_end,"&gt;"&amp;1080)&gt;1,"충돌",HYPERLINK("#'관리자_MASTER'!D"&amp;_xlfn.MAXIFS(m_row,m_teacher,C$4,m_date,($G$2+2),m_active,1,m_start,"&lt;"&amp;1140,m_end,"&gt;"&amp;1080),INDEX(m_label,_xlfn.MAXIFS(m_row,m_teacher,C$4,m_date,($G$2+2),m_active,1,m_start,"&lt;"&amp;1140,m_end,"&gt;"&amp;1080))))))</f>
        <v/>
      </c>
      <c r="D36" s="82" t="str">
        <f aca="false">IF(OR(D$4="",MONTH(($G$2+2))&lt;&gt;MONTH($C$2)),"",IF(COUNTIFS(m_teacher,D$4,m_date,($G$2+2),m_active,1,m_start,"&lt;"&amp;1140,m_end,"&gt;"&amp;1080)=0,"",IF(COUNTIFS(m_teacher,D$4,m_date,($G$2+2),m_active,1,m_start,"&lt;"&amp;1140,m_end,"&gt;"&amp;1080)&gt;1,"충돌",HYPERLINK("#'관리자_MASTER'!D"&amp;_xlfn.MAXIFS(m_row,m_teacher,D$4,m_date,($G$2+2),m_active,1,m_start,"&lt;"&amp;1140,m_end,"&gt;"&amp;1080),INDEX(m_label,_xlfn.MAXIFS(m_row,m_teacher,D$4,m_date,($G$2+2),m_active,1,m_start,"&lt;"&amp;1140,m_end,"&gt;"&amp;1080))))))</f>
        <v/>
      </c>
      <c r="E36" s="82" t="str">
        <f aca="false">IF(OR(E$4="",MONTH(($G$2+2))&lt;&gt;MONTH($C$2)),"",IF(COUNTIFS(m_teacher,E$4,m_date,($G$2+2),m_active,1,m_start,"&lt;"&amp;1140,m_end,"&gt;"&amp;1080)=0,"",IF(COUNTIFS(m_teacher,E$4,m_date,($G$2+2),m_active,1,m_start,"&lt;"&amp;1140,m_end,"&gt;"&amp;1080)&gt;1,"충돌",HYPERLINK("#'관리자_MASTER'!D"&amp;_xlfn.MAXIFS(m_row,m_teacher,E$4,m_date,($G$2+2),m_active,1,m_start,"&lt;"&amp;1140,m_end,"&gt;"&amp;1080),INDEX(m_label,_xlfn.MAXIFS(m_row,m_teacher,E$4,m_date,($G$2+2),m_active,1,m_start,"&lt;"&amp;1140,m_end,"&gt;"&amp;1080))))))</f>
        <v/>
      </c>
      <c r="F36" s="82" t="str">
        <f aca="false">IF(OR(F$4="",MONTH(($G$2+2))&lt;&gt;MONTH($C$2)),"",IF(COUNTIFS(m_teacher,F$4,m_date,($G$2+2),m_active,1,m_start,"&lt;"&amp;1140,m_end,"&gt;"&amp;1080)=0,"",IF(COUNTIFS(m_teacher,F$4,m_date,($G$2+2),m_active,1,m_start,"&lt;"&amp;1140,m_end,"&gt;"&amp;1080)&gt;1,"충돌",HYPERLINK("#'관리자_MASTER'!D"&amp;_xlfn.MAXIFS(m_row,m_teacher,F$4,m_date,($G$2+2),m_active,1,m_start,"&lt;"&amp;1140,m_end,"&gt;"&amp;1080),INDEX(m_label,_xlfn.MAXIFS(m_row,m_teacher,F$4,m_date,($G$2+2),m_active,1,m_start,"&lt;"&amp;1140,m_end,"&gt;"&amp;1080))))))</f>
        <v/>
      </c>
      <c r="G36" s="82" t="str">
        <f aca="false">IF(OR(G$4="",MONTH(($G$2+2))&lt;&gt;MONTH($C$2)),"",IF(COUNTIFS(m_teacher,G$4,m_date,($G$2+2),m_active,1,m_start,"&lt;"&amp;1140,m_end,"&gt;"&amp;1080)=0,"",IF(COUNTIFS(m_teacher,G$4,m_date,($G$2+2),m_active,1,m_start,"&lt;"&amp;1140,m_end,"&gt;"&amp;1080)&gt;1,"충돌",HYPERLINK("#'관리자_MASTER'!D"&amp;_xlfn.MAXIFS(m_row,m_teacher,G$4,m_date,($G$2+2),m_active,1,m_start,"&lt;"&amp;1140,m_end,"&gt;"&amp;1080),INDEX(m_label,_xlfn.MAXIFS(m_row,m_teacher,G$4,m_date,($G$2+2),m_active,1,m_start,"&lt;"&amp;1140,m_end,"&gt;"&amp;1080))))))</f>
        <v/>
      </c>
      <c r="H36" s="82" t="str">
        <f aca="false">IF(OR(H$4="",MONTH(($G$2+2))&lt;&gt;MONTH($C$2)),"",IF(COUNTIFS(m_teacher,H$4,m_date,($G$2+2),m_active,1,m_start,"&lt;"&amp;1140,m_end,"&gt;"&amp;1080)=0,"",IF(COUNTIFS(m_teacher,H$4,m_date,($G$2+2),m_active,1,m_start,"&lt;"&amp;1140,m_end,"&gt;"&amp;1080)&gt;1,"충돌",HYPERLINK("#'관리자_MASTER'!D"&amp;_xlfn.MAXIFS(m_row,m_teacher,H$4,m_date,($G$2+2),m_active,1,m_start,"&lt;"&amp;1140,m_end,"&gt;"&amp;1080),INDEX(m_label,_xlfn.MAXIFS(m_row,m_teacher,H$4,m_date,($G$2+2),m_active,1,m_start,"&lt;"&amp;1140,m_end,"&gt;"&amp;1080))))))</f>
        <v/>
      </c>
      <c r="I36" s="82" t="str">
        <f aca="false">IF(OR(I$4="",MONTH(($G$2+2))&lt;&gt;MONTH($C$2)),"",IF(COUNTIFS(m_teacher,I$4,m_date,($G$2+2),m_active,1,m_start,"&lt;"&amp;1140,m_end,"&gt;"&amp;1080)=0,"",IF(COUNTIFS(m_teacher,I$4,m_date,($G$2+2),m_active,1,m_start,"&lt;"&amp;1140,m_end,"&gt;"&amp;1080)&gt;1,"충돌",HYPERLINK("#'관리자_MASTER'!D"&amp;_xlfn.MAXIFS(m_row,m_teacher,I$4,m_date,($G$2+2),m_active,1,m_start,"&lt;"&amp;1140,m_end,"&gt;"&amp;1080),INDEX(m_label,_xlfn.MAXIFS(m_row,m_teacher,I$4,m_date,($G$2+2),m_active,1,m_start,"&lt;"&amp;1140,m_end,"&gt;"&amp;1080))))))</f>
        <v/>
      </c>
      <c r="J36" s="82" t="str">
        <f aca="false">IF(OR(J$4="",MONTH(($G$2+2))&lt;&gt;MONTH($C$2)),"",IF(COUNTIFS(m_teacher,J$4,m_date,($G$2+2),m_active,1,m_start,"&lt;"&amp;1140,m_end,"&gt;"&amp;1080)=0,"",IF(COUNTIFS(m_teacher,J$4,m_date,($G$2+2),m_active,1,m_start,"&lt;"&amp;1140,m_end,"&gt;"&amp;1080)&gt;1,"충돌",HYPERLINK("#'관리자_MASTER'!D"&amp;_xlfn.MAXIFS(m_row,m_teacher,J$4,m_date,($G$2+2),m_active,1,m_start,"&lt;"&amp;1140,m_end,"&gt;"&amp;1080),INDEX(m_label,_xlfn.MAXIFS(m_row,m_teacher,J$4,m_date,($G$2+2),m_active,1,m_start,"&lt;"&amp;1140,m_end,"&gt;"&amp;1080))))))</f>
        <v/>
      </c>
      <c r="K36" s="82" t="str">
        <f aca="false">IF(OR(K$4="",MONTH(($G$2+2))&lt;&gt;MONTH($C$2)),"",IF(COUNTIFS(m_teacher,K$4,m_date,($G$2+2),m_active,1,m_start,"&lt;"&amp;1140,m_end,"&gt;"&amp;1080)=0,"",IF(COUNTIFS(m_teacher,K$4,m_date,($G$2+2),m_active,1,m_start,"&lt;"&amp;1140,m_end,"&gt;"&amp;1080)&gt;1,"충돌",HYPERLINK("#'관리자_MASTER'!D"&amp;_xlfn.MAXIFS(m_row,m_teacher,K$4,m_date,($G$2+2),m_active,1,m_start,"&lt;"&amp;1140,m_end,"&gt;"&amp;1080),INDEX(m_label,_xlfn.MAXIFS(m_row,m_teacher,K$4,m_date,($G$2+2),m_active,1,m_start,"&lt;"&amp;1140,m_end,"&gt;"&amp;1080))))))</f>
        <v/>
      </c>
      <c r="L36" s="82" t="str">
        <f aca="false">IF(OR(L$4="",MONTH(($G$2+2))&lt;&gt;MONTH($C$2)),"",IF(COUNTIFS(m_teacher,L$4,m_date,($G$2+2),m_active,1,m_start,"&lt;"&amp;1140,m_end,"&gt;"&amp;1080)=0,"",IF(COUNTIFS(m_teacher,L$4,m_date,($G$2+2),m_active,1,m_start,"&lt;"&amp;1140,m_end,"&gt;"&amp;1080)&gt;1,"충돌",HYPERLINK("#'관리자_MASTER'!D"&amp;_xlfn.MAXIFS(m_row,m_teacher,L$4,m_date,($G$2+2),m_active,1,m_start,"&lt;"&amp;1140,m_end,"&gt;"&amp;1080),INDEX(m_label,_xlfn.MAXIFS(m_row,m_teacher,L$4,m_date,($G$2+2),m_active,1,m_start,"&lt;"&amp;1140,m_end,"&gt;"&amp;1080))))))</f>
        <v/>
      </c>
      <c r="M36" s="82" t="str">
        <f aca="false">IF(OR(M$4="",MONTH(($G$2+2))&lt;&gt;MONTH($C$2)),"",IF(COUNTIFS(m_teacher,M$4,m_date,($G$2+2),m_active,1,m_start,"&lt;"&amp;1140,m_end,"&gt;"&amp;1080)=0,"",IF(COUNTIFS(m_teacher,M$4,m_date,($G$2+2),m_active,1,m_start,"&lt;"&amp;1140,m_end,"&gt;"&amp;1080)&gt;1,"충돌",HYPERLINK("#'관리자_MASTER'!D"&amp;_xlfn.MAXIFS(m_row,m_teacher,M$4,m_date,($G$2+2),m_active,1,m_start,"&lt;"&amp;1140,m_end,"&gt;"&amp;1080),INDEX(m_label,_xlfn.MAXIFS(m_row,m_teacher,M$4,m_date,($G$2+2),m_active,1,m_start,"&lt;"&amp;1140,m_end,"&gt;"&amp;1080))))))</f>
        <v/>
      </c>
      <c r="N36" s="82" t="str">
        <f aca="false">IF(OR(N$4="",MONTH(($G$2+2))&lt;&gt;MONTH($C$2)),"",IF(COUNTIFS(m_teacher,N$4,m_date,($G$2+2),m_active,1,m_start,"&lt;"&amp;1140,m_end,"&gt;"&amp;1080)=0,"",IF(COUNTIFS(m_teacher,N$4,m_date,($G$2+2),m_active,1,m_start,"&lt;"&amp;1140,m_end,"&gt;"&amp;1080)&gt;1,"충돌",HYPERLINK("#'관리자_MASTER'!D"&amp;_xlfn.MAXIFS(m_row,m_teacher,N$4,m_date,($G$2+2),m_active,1,m_start,"&lt;"&amp;1140,m_end,"&gt;"&amp;1080),INDEX(m_label,_xlfn.MAXIFS(m_row,m_teacher,N$4,m_date,($G$2+2),m_active,1,m_start,"&lt;"&amp;1140,m_end,"&gt;"&amp;1080))))))</f>
        <v/>
      </c>
      <c r="O36" s="78"/>
      <c r="P36" s="79" t="s">
        <v>100</v>
      </c>
      <c r="Q36" s="82" t="str">
        <f aca="false">IF(OR(Q$4="",MONTH(($G$2+9))&lt;&gt;MONTH($C$2)),"",IF(COUNTIFS(m_teacher,Q$4,m_date,($G$2+9),m_active,1,m_start,"&lt;"&amp;1140,m_end,"&gt;"&amp;1080)=0,"",IF(COUNTIFS(m_teacher,Q$4,m_date,($G$2+9),m_active,1,m_start,"&lt;"&amp;1140,m_end,"&gt;"&amp;1080)&gt;1,"충돌",HYPERLINK("#'관리자_MASTER'!D"&amp;_xlfn.MAXIFS(m_row,m_teacher,Q$4,m_date,($G$2+9),m_active,1,m_start,"&lt;"&amp;1140,m_end,"&gt;"&amp;1080),INDEX(m_label,_xlfn.MAXIFS(m_row,m_teacher,Q$4,m_date,($G$2+9),m_active,1,m_start,"&lt;"&amp;1140,m_end,"&gt;"&amp;1080))))))</f>
        <v/>
      </c>
      <c r="R36" s="82" t="str">
        <f aca="false">IF(OR(R$4="",MONTH(($G$2+9))&lt;&gt;MONTH($C$2)),"",IF(COUNTIFS(m_teacher,R$4,m_date,($G$2+9),m_active,1,m_start,"&lt;"&amp;1140,m_end,"&gt;"&amp;1080)=0,"",IF(COUNTIFS(m_teacher,R$4,m_date,($G$2+9),m_active,1,m_start,"&lt;"&amp;1140,m_end,"&gt;"&amp;1080)&gt;1,"충돌",HYPERLINK("#'관리자_MASTER'!D"&amp;_xlfn.MAXIFS(m_row,m_teacher,R$4,m_date,($G$2+9),m_active,1,m_start,"&lt;"&amp;1140,m_end,"&gt;"&amp;1080),INDEX(m_label,_xlfn.MAXIFS(m_row,m_teacher,R$4,m_date,($G$2+9),m_active,1,m_start,"&lt;"&amp;1140,m_end,"&gt;"&amp;1080))))))</f>
        <v/>
      </c>
      <c r="S36" s="82" t="str">
        <f aca="false">IF(OR(S$4="",MONTH(($G$2+9))&lt;&gt;MONTH($C$2)),"",IF(COUNTIFS(m_teacher,S$4,m_date,($G$2+9),m_active,1,m_start,"&lt;"&amp;1140,m_end,"&gt;"&amp;1080)=0,"",IF(COUNTIFS(m_teacher,S$4,m_date,($G$2+9),m_active,1,m_start,"&lt;"&amp;1140,m_end,"&gt;"&amp;1080)&gt;1,"충돌",HYPERLINK("#'관리자_MASTER'!D"&amp;_xlfn.MAXIFS(m_row,m_teacher,S$4,m_date,($G$2+9),m_active,1,m_start,"&lt;"&amp;1140,m_end,"&gt;"&amp;1080),INDEX(m_label,_xlfn.MAXIFS(m_row,m_teacher,S$4,m_date,($G$2+9),m_active,1,m_start,"&lt;"&amp;1140,m_end,"&gt;"&amp;1080))))))</f>
        <v/>
      </c>
      <c r="T36" s="82" t="str">
        <f aca="false">IF(OR(T$4="",MONTH(($G$2+9))&lt;&gt;MONTH($C$2)),"",IF(COUNTIFS(m_teacher,T$4,m_date,($G$2+9),m_active,1,m_start,"&lt;"&amp;1140,m_end,"&gt;"&amp;1080)=0,"",IF(COUNTIFS(m_teacher,T$4,m_date,($G$2+9),m_active,1,m_start,"&lt;"&amp;1140,m_end,"&gt;"&amp;1080)&gt;1,"충돌",HYPERLINK("#'관리자_MASTER'!D"&amp;_xlfn.MAXIFS(m_row,m_teacher,T$4,m_date,($G$2+9),m_active,1,m_start,"&lt;"&amp;1140,m_end,"&gt;"&amp;1080),INDEX(m_label,_xlfn.MAXIFS(m_row,m_teacher,T$4,m_date,($G$2+9),m_active,1,m_start,"&lt;"&amp;1140,m_end,"&gt;"&amp;1080))))))</f>
        <v/>
      </c>
      <c r="U36" s="82" t="str">
        <f aca="false">IF(OR(U$4="",MONTH(($G$2+9))&lt;&gt;MONTH($C$2)),"",IF(COUNTIFS(m_teacher,U$4,m_date,($G$2+9),m_active,1,m_start,"&lt;"&amp;1140,m_end,"&gt;"&amp;1080)=0,"",IF(COUNTIFS(m_teacher,U$4,m_date,($G$2+9),m_active,1,m_start,"&lt;"&amp;1140,m_end,"&gt;"&amp;1080)&gt;1,"충돌",HYPERLINK("#'관리자_MASTER'!D"&amp;_xlfn.MAXIFS(m_row,m_teacher,U$4,m_date,($G$2+9),m_active,1,m_start,"&lt;"&amp;1140,m_end,"&gt;"&amp;1080),INDEX(m_label,_xlfn.MAXIFS(m_row,m_teacher,U$4,m_date,($G$2+9),m_active,1,m_start,"&lt;"&amp;1140,m_end,"&gt;"&amp;1080))))))</f>
        <v/>
      </c>
      <c r="V36" s="82" t="str">
        <f aca="false">IF(OR(V$4="",MONTH(($G$2+9))&lt;&gt;MONTH($C$2)),"",IF(COUNTIFS(m_teacher,V$4,m_date,($G$2+9),m_active,1,m_start,"&lt;"&amp;1140,m_end,"&gt;"&amp;1080)=0,"",IF(COUNTIFS(m_teacher,V$4,m_date,($G$2+9),m_active,1,m_start,"&lt;"&amp;1140,m_end,"&gt;"&amp;1080)&gt;1,"충돌",HYPERLINK("#'관리자_MASTER'!D"&amp;_xlfn.MAXIFS(m_row,m_teacher,V$4,m_date,($G$2+9),m_active,1,m_start,"&lt;"&amp;1140,m_end,"&gt;"&amp;1080),INDEX(m_label,_xlfn.MAXIFS(m_row,m_teacher,V$4,m_date,($G$2+9),m_active,1,m_start,"&lt;"&amp;1140,m_end,"&gt;"&amp;1080))))))</f>
        <v/>
      </c>
      <c r="W36" s="82" t="str">
        <f aca="false">IF(OR(W$4="",MONTH(($G$2+9))&lt;&gt;MONTH($C$2)),"",IF(COUNTIFS(m_teacher,W$4,m_date,($G$2+9),m_active,1,m_start,"&lt;"&amp;1140,m_end,"&gt;"&amp;1080)=0,"",IF(COUNTIFS(m_teacher,W$4,m_date,($G$2+9),m_active,1,m_start,"&lt;"&amp;1140,m_end,"&gt;"&amp;1080)&gt;1,"충돌",HYPERLINK("#'관리자_MASTER'!D"&amp;_xlfn.MAXIFS(m_row,m_teacher,W$4,m_date,($G$2+9),m_active,1,m_start,"&lt;"&amp;1140,m_end,"&gt;"&amp;1080),INDEX(m_label,_xlfn.MAXIFS(m_row,m_teacher,W$4,m_date,($G$2+9),m_active,1,m_start,"&lt;"&amp;1140,m_end,"&gt;"&amp;1080))))))</f>
        <v/>
      </c>
      <c r="X36" s="82" t="str">
        <f aca="false">IF(OR(X$4="",MONTH(($G$2+9))&lt;&gt;MONTH($C$2)),"",IF(COUNTIFS(m_teacher,X$4,m_date,($G$2+9),m_active,1,m_start,"&lt;"&amp;1140,m_end,"&gt;"&amp;1080)=0,"",IF(COUNTIFS(m_teacher,X$4,m_date,($G$2+9),m_active,1,m_start,"&lt;"&amp;1140,m_end,"&gt;"&amp;1080)&gt;1,"충돌",HYPERLINK("#'관리자_MASTER'!D"&amp;_xlfn.MAXIFS(m_row,m_teacher,X$4,m_date,($G$2+9),m_active,1,m_start,"&lt;"&amp;1140,m_end,"&gt;"&amp;1080),INDEX(m_label,_xlfn.MAXIFS(m_row,m_teacher,X$4,m_date,($G$2+9),m_active,1,m_start,"&lt;"&amp;1140,m_end,"&gt;"&amp;1080))))))</f>
        <v/>
      </c>
      <c r="Y36" s="82" t="str">
        <f aca="false">IF(OR(Y$4="",MONTH(($G$2+9))&lt;&gt;MONTH($C$2)),"",IF(COUNTIFS(m_teacher,Y$4,m_date,($G$2+9),m_active,1,m_start,"&lt;"&amp;1140,m_end,"&gt;"&amp;1080)=0,"",IF(COUNTIFS(m_teacher,Y$4,m_date,($G$2+9),m_active,1,m_start,"&lt;"&amp;1140,m_end,"&gt;"&amp;1080)&gt;1,"충돌",HYPERLINK("#'관리자_MASTER'!D"&amp;_xlfn.MAXIFS(m_row,m_teacher,Y$4,m_date,($G$2+9),m_active,1,m_start,"&lt;"&amp;1140,m_end,"&gt;"&amp;1080),INDEX(m_label,_xlfn.MAXIFS(m_row,m_teacher,Y$4,m_date,($G$2+9),m_active,1,m_start,"&lt;"&amp;1140,m_end,"&gt;"&amp;1080))))))</f>
        <v/>
      </c>
      <c r="Z36" s="82" t="str">
        <f aca="false">IF(OR(Z$4="",MONTH(($G$2+9))&lt;&gt;MONTH($C$2)),"",IF(COUNTIFS(m_teacher,Z$4,m_date,($G$2+9),m_active,1,m_start,"&lt;"&amp;1140,m_end,"&gt;"&amp;1080)=0,"",IF(COUNTIFS(m_teacher,Z$4,m_date,($G$2+9),m_active,1,m_start,"&lt;"&amp;1140,m_end,"&gt;"&amp;1080)&gt;1,"충돌",HYPERLINK("#'관리자_MASTER'!D"&amp;_xlfn.MAXIFS(m_row,m_teacher,Z$4,m_date,($G$2+9),m_active,1,m_start,"&lt;"&amp;1140,m_end,"&gt;"&amp;1080),INDEX(m_label,_xlfn.MAXIFS(m_row,m_teacher,Z$4,m_date,($G$2+9),m_active,1,m_start,"&lt;"&amp;1140,m_end,"&gt;"&amp;1080))))))</f>
        <v/>
      </c>
      <c r="AA36" s="82" t="str">
        <f aca="false">IF(OR(AA$4="",MONTH(($G$2+9))&lt;&gt;MONTH($C$2)),"",IF(COUNTIFS(m_teacher,AA$4,m_date,($G$2+9),m_active,1,m_start,"&lt;"&amp;1140,m_end,"&gt;"&amp;1080)=0,"",IF(COUNTIFS(m_teacher,AA$4,m_date,($G$2+9),m_active,1,m_start,"&lt;"&amp;1140,m_end,"&gt;"&amp;1080)&gt;1,"충돌",HYPERLINK("#'관리자_MASTER'!D"&amp;_xlfn.MAXIFS(m_row,m_teacher,AA$4,m_date,($G$2+9),m_active,1,m_start,"&lt;"&amp;1140,m_end,"&gt;"&amp;1080),INDEX(m_label,_xlfn.MAXIFS(m_row,m_teacher,AA$4,m_date,($G$2+9),m_active,1,m_start,"&lt;"&amp;1140,m_end,"&gt;"&amp;1080))))))</f>
        <v/>
      </c>
      <c r="AB36" s="82" t="str">
        <f aca="false">IF(OR(AB$4="",MONTH(($G$2+9))&lt;&gt;MONTH($C$2)),"",IF(COUNTIFS(m_teacher,AB$4,m_date,($G$2+9),m_active,1,m_start,"&lt;"&amp;1140,m_end,"&gt;"&amp;1080)=0,"",IF(COUNTIFS(m_teacher,AB$4,m_date,($G$2+9),m_active,1,m_start,"&lt;"&amp;1140,m_end,"&gt;"&amp;1080)&gt;1,"충돌",HYPERLINK("#'관리자_MASTER'!D"&amp;_xlfn.MAXIFS(m_row,m_teacher,AB$4,m_date,($G$2+9),m_active,1,m_start,"&lt;"&amp;1140,m_end,"&gt;"&amp;1080),INDEX(m_label,_xlfn.MAXIFS(m_row,m_teacher,AB$4,m_date,($G$2+9),m_active,1,m_start,"&lt;"&amp;1140,m_end,"&gt;"&amp;1080))))))</f>
        <v/>
      </c>
      <c r="AC36" s="78"/>
      <c r="AD36" s="79" t="s">
        <v>100</v>
      </c>
      <c r="AE36" s="82" t="str">
        <f aca="false">IF(OR(AE$4="",MONTH(($G$2+16))&lt;&gt;MONTH($C$2)),"",IF(COUNTIFS(m_teacher,AE$4,m_date,($G$2+16),m_active,1,m_start,"&lt;"&amp;1140,m_end,"&gt;"&amp;1080)=0,"",IF(COUNTIFS(m_teacher,AE$4,m_date,($G$2+16),m_active,1,m_start,"&lt;"&amp;1140,m_end,"&gt;"&amp;1080)&gt;1,"충돌",HYPERLINK("#'관리자_MASTER'!D"&amp;_xlfn.MAXIFS(m_row,m_teacher,AE$4,m_date,($G$2+16),m_active,1,m_start,"&lt;"&amp;1140,m_end,"&gt;"&amp;1080),INDEX(m_label,_xlfn.MAXIFS(m_row,m_teacher,AE$4,m_date,($G$2+16),m_active,1,m_start,"&lt;"&amp;1140,m_end,"&gt;"&amp;1080))))))</f>
        <v/>
      </c>
      <c r="AF36" s="82" t="str">
        <f aca="false">IF(OR(AF$4="",MONTH(($G$2+16))&lt;&gt;MONTH($C$2)),"",IF(COUNTIFS(m_teacher,AF$4,m_date,($G$2+16),m_active,1,m_start,"&lt;"&amp;1140,m_end,"&gt;"&amp;1080)=0,"",IF(COUNTIFS(m_teacher,AF$4,m_date,($G$2+16),m_active,1,m_start,"&lt;"&amp;1140,m_end,"&gt;"&amp;1080)&gt;1,"충돌",HYPERLINK("#'관리자_MASTER'!D"&amp;_xlfn.MAXIFS(m_row,m_teacher,AF$4,m_date,($G$2+16),m_active,1,m_start,"&lt;"&amp;1140,m_end,"&gt;"&amp;1080),INDEX(m_label,_xlfn.MAXIFS(m_row,m_teacher,AF$4,m_date,($G$2+16),m_active,1,m_start,"&lt;"&amp;1140,m_end,"&gt;"&amp;1080))))))</f>
        <v/>
      </c>
      <c r="AG36" s="82" t="str">
        <f aca="false">IF(OR(AG$4="",MONTH(($G$2+16))&lt;&gt;MONTH($C$2)),"",IF(COUNTIFS(m_teacher,AG$4,m_date,($G$2+16),m_active,1,m_start,"&lt;"&amp;1140,m_end,"&gt;"&amp;1080)=0,"",IF(COUNTIFS(m_teacher,AG$4,m_date,($G$2+16),m_active,1,m_start,"&lt;"&amp;1140,m_end,"&gt;"&amp;1080)&gt;1,"충돌",HYPERLINK("#'관리자_MASTER'!D"&amp;_xlfn.MAXIFS(m_row,m_teacher,AG$4,m_date,($G$2+16),m_active,1,m_start,"&lt;"&amp;1140,m_end,"&gt;"&amp;1080),INDEX(m_label,_xlfn.MAXIFS(m_row,m_teacher,AG$4,m_date,($G$2+16),m_active,1,m_start,"&lt;"&amp;1140,m_end,"&gt;"&amp;1080))))))</f>
        <v/>
      </c>
      <c r="AH36" s="82" t="str">
        <f aca="false">IF(OR(AH$4="",MONTH(($G$2+16))&lt;&gt;MONTH($C$2)),"",IF(COUNTIFS(m_teacher,AH$4,m_date,($G$2+16),m_active,1,m_start,"&lt;"&amp;1140,m_end,"&gt;"&amp;1080)=0,"",IF(COUNTIFS(m_teacher,AH$4,m_date,($G$2+16),m_active,1,m_start,"&lt;"&amp;1140,m_end,"&gt;"&amp;1080)&gt;1,"충돌",HYPERLINK("#'관리자_MASTER'!D"&amp;_xlfn.MAXIFS(m_row,m_teacher,AH$4,m_date,($G$2+16),m_active,1,m_start,"&lt;"&amp;1140,m_end,"&gt;"&amp;1080),INDEX(m_label,_xlfn.MAXIFS(m_row,m_teacher,AH$4,m_date,($G$2+16),m_active,1,m_start,"&lt;"&amp;1140,m_end,"&gt;"&amp;1080))))))</f>
        <v/>
      </c>
      <c r="AI36" s="82" t="str">
        <f aca="false">IF(OR(AI$4="",MONTH(($G$2+16))&lt;&gt;MONTH($C$2)),"",IF(COUNTIFS(m_teacher,AI$4,m_date,($G$2+16),m_active,1,m_start,"&lt;"&amp;1140,m_end,"&gt;"&amp;1080)=0,"",IF(COUNTIFS(m_teacher,AI$4,m_date,($G$2+16),m_active,1,m_start,"&lt;"&amp;1140,m_end,"&gt;"&amp;1080)&gt;1,"충돌",HYPERLINK("#'관리자_MASTER'!D"&amp;_xlfn.MAXIFS(m_row,m_teacher,AI$4,m_date,($G$2+16),m_active,1,m_start,"&lt;"&amp;1140,m_end,"&gt;"&amp;1080),INDEX(m_label,_xlfn.MAXIFS(m_row,m_teacher,AI$4,m_date,($G$2+16),m_active,1,m_start,"&lt;"&amp;1140,m_end,"&gt;"&amp;1080))))))</f>
        <v/>
      </c>
      <c r="AJ36" s="82" t="str">
        <f aca="false">IF(OR(AJ$4="",MONTH(($G$2+16))&lt;&gt;MONTH($C$2)),"",IF(COUNTIFS(m_teacher,AJ$4,m_date,($G$2+16),m_active,1,m_start,"&lt;"&amp;1140,m_end,"&gt;"&amp;1080)=0,"",IF(COUNTIFS(m_teacher,AJ$4,m_date,($G$2+16),m_active,1,m_start,"&lt;"&amp;1140,m_end,"&gt;"&amp;1080)&gt;1,"충돌",HYPERLINK("#'관리자_MASTER'!D"&amp;_xlfn.MAXIFS(m_row,m_teacher,AJ$4,m_date,($G$2+16),m_active,1,m_start,"&lt;"&amp;1140,m_end,"&gt;"&amp;1080),INDEX(m_label,_xlfn.MAXIFS(m_row,m_teacher,AJ$4,m_date,($G$2+16),m_active,1,m_start,"&lt;"&amp;1140,m_end,"&gt;"&amp;1080))))))</f>
        <v/>
      </c>
      <c r="AK36" s="82" t="str">
        <f aca="false">IF(OR(AK$4="",MONTH(($G$2+16))&lt;&gt;MONTH($C$2)),"",IF(COUNTIFS(m_teacher,AK$4,m_date,($G$2+16),m_active,1,m_start,"&lt;"&amp;1140,m_end,"&gt;"&amp;1080)=0,"",IF(COUNTIFS(m_teacher,AK$4,m_date,($G$2+16),m_active,1,m_start,"&lt;"&amp;1140,m_end,"&gt;"&amp;1080)&gt;1,"충돌",HYPERLINK("#'관리자_MASTER'!D"&amp;_xlfn.MAXIFS(m_row,m_teacher,AK$4,m_date,($G$2+16),m_active,1,m_start,"&lt;"&amp;1140,m_end,"&gt;"&amp;1080),INDEX(m_label,_xlfn.MAXIFS(m_row,m_teacher,AK$4,m_date,($G$2+16),m_active,1,m_start,"&lt;"&amp;1140,m_end,"&gt;"&amp;1080))))))</f>
        <v/>
      </c>
      <c r="AL36" s="82" t="str">
        <f aca="false">IF(OR(AL$4="",MONTH(($G$2+16))&lt;&gt;MONTH($C$2)),"",IF(COUNTIFS(m_teacher,AL$4,m_date,($G$2+16),m_active,1,m_start,"&lt;"&amp;1140,m_end,"&gt;"&amp;1080)=0,"",IF(COUNTIFS(m_teacher,AL$4,m_date,($G$2+16),m_active,1,m_start,"&lt;"&amp;1140,m_end,"&gt;"&amp;1080)&gt;1,"충돌",HYPERLINK("#'관리자_MASTER'!D"&amp;_xlfn.MAXIFS(m_row,m_teacher,AL$4,m_date,($G$2+16),m_active,1,m_start,"&lt;"&amp;1140,m_end,"&gt;"&amp;1080),INDEX(m_label,_xlfn.MAXIFS(m_row,m_teacher,AL$4,m_date,($G$2+16),m_active,1,m_start,"&lt;"&amp;1140,m_end,"&gt;"&amp;1080))))))</f>
        <v/>
      </c>
      <c r="AM36" s="82" t="str">
        <f aca="false">IF(OR(AM$4="",MONTH(($G$2+16))&lt;&gt;MONTH($C$2)),"",IF(COUNTIFS(m_teacher,AM$4,m_date,($G$2+16),m_active,1,m_start,"&lt;"&amp;1140,m_end,"&gt;"&amp;1080)=0,"",IF(COUNTIFS(m_teacher,AM$4,m_date,($G$2+16),m_active,1,m_start,"&lt;"&amp;1140,m_end,"&gt;"&amp;1080)&gt;1,"충돌",HYPERLINK("#'관리자_MASTER'!D"&amp;_xlfn.MAXIFS(m_row,m_teacher,AM$4,m_date,($G$2+16),m_active,1,m_start,"&lt;"&amp;1140,m_end,"&gt;"&amp;1080),INDEX(m_label,_xlfn.MAXIFS(m_row,m_teacher,AM$4,m_date,($G$2+16),m_active,1,m_start,"&lt;"&amp;1140,m_end,"&gt;"&amp;1080))))))</f>
        <v/>
      </c>
      <c r="AN36" s="82" t="str">
        <f aca="false">IF(OR(AN$4="",MONTH(($G$2+16))&lt;&gt;MONTH($C$2)),"",IF(COUNTIFS(m_teacher,AN$4,m_date,($G$2+16),m_active,1,m_start,"&lt;"&amp;1140,m_end,"&gt;"&amp;1080)=0,"",IF(COUNTIFS(m_teacher,AN$4,m_date,($G$2+16),m_active,1,m_start,"&lt;"&amp;1140,m_end,"&gt;"&amp;1080)&gt;1,"충돌",HYPERLINK("#'관리자_MASTER'!D"&amp;_xlfn.MAXIFS(m_row,m_teacher,AN$4,m_date,($G$2+16),m_active,1,m_start,"&lt;"&amp;1140,m_end,"&gt;"&amp;1080),INDEX(m_label,_xlfn.MAXIFS(m_row,m_teacher,AN$4,m_date,($G$2+16),m_active,1,m_start,"&lt;"&amp;1140,m_end,"&gt;"&amp;1080))))))</f>
        <v/>
      </c>
      <c r="AO36" s="82" t="str">
        <f aca="false">IF(OR(AO$4="",MONTH(($G$2+16))&lt;&gt;MONTH($C$2)),"",IF(COUNTIFS(m_teacher,AO$4,m_date,($G$2+16),m_active,1,m_start,"&lt;"&amp;1140,m_end,"&gt;"&amp;1080)=0,"",IF(COUNTIFS(m_teacher,AO$4,m_date,($G$2+16),m_active,1,m_start,"&lt;"&amp;1140,m_end,"&gt;"&amp;1080)&gt;1,"충돌",HYPERLINK("#'관리자_MASTER'!D"&amp;_xlfn.MAXIFS(m_row,m_teacher,AO$4,m_date,($G$2+16),m_active,1,m_start,"&lt;"&amp;1140,m_end,"&gt;"&amp;1080),INDEX(m_label,_xlfn.MAXIFS(m_row,m_teacher,AO$4,m_date,($G$2+16),m_active,1,m_start,"&lt;"&amp;1140,m_end,"&gt;"&amp;1080))))))</f>
        <v/>
      </c>
      <c r="AP36" s="82" t="str">
        <f aca="false">IF(OR(AP$4="",MONTH(($G$2+16))&lt;&gt;MONTH($C$2)),"",IF(COUNTIFS(m_teacher,AP$4,m_date,($G$2+16),m_active,1,m_start,"&lt;"&amp;1140,m_end,"&gt;"&amp;1080)=0,"",IF(COUNTIFS(m_teacher,AP$4,m_date,($G$2+16),m_active,1,m_start,"&lt;"&amp;1140,m_end,"&gt;"&amp;1080)&gt;1,"충돌",HYPERLINK("#'관리자_MASTER'!D"&amp;_xlfn.MAXIFS(m_row,m_teacher,AP$4,m_date,($G$2+16),m_active,1,m_start,"&lt;"&amp;1140,m_end,"&gt;"&amp;1080),INDEX(m_label,_xlfn.MAXIFS(m_row,m_teacher,AP$4,m_date,($G$2+16),m_active,1,m_start,"&lt;"&amp;1140,m_end,"&gt;"&amp;1080))))))</f>
        <v/>
      </c>
      <c r="AQ36" s="78"/>
      <c r="AR36" s="79" t="s">
        <v>100</v>
      </c>
      <c r="AS36" s="82" t="str">
        <f aca="false">IF(OR(AS$4="",MONTH(($G$2+23))&lt;&gt;MONTH($C$2)),"",IF(COUNTIFS(m_teacher,AS$4,m_date,($G$2+23),m_active,1,m_start,"&lt;"&amp;1140,m_end,"&gt;"&amp;1080)=0,"",IF(COUNTIFS(m_teacher,AS$4,m_date,($G$2+23),m_active,1,m_start,"&lt;"&amp;1140,m_end,"&gt;"&amp;1080)&gt;1,"충돌",HYPERLINK("#'관리자_MASTER'!D"&amp;_xlfn.MAXIFS(m_row,m_teacher,AS$4,m_date,($G$2+23),m_active,1,m_start,"&lt;"&amp;1140,m_end,"&gt;"&amp;1080),INDEX(m_label,_xlfn.MAXIFS(m_row,m_teacher,AS$4,m_date,($G$2+23),m_active,1,m_start,"&lt;"&amp;1140,m_end,"&gt;"&amp;1080))))))</f>
        <v/>
      </c>
      <c r="AT36" s="82" t="str">
        <f aca="false">IF(OR(AT$4="",MONTH(($G$2+23))&lt;&gt;MONTH($C$2)),"",IF(COUNTIFS(m_teacher,AT$4,m_date,($G$2+23),m_active,1,m_start,"&lt;"&amp;1140,m_end,"&gt;"&amp;1080)=0,"",IF(COUNTIFS(m_teacher,AT$4,m_date,($G$2+23),m_active,1,m_start,"&lt;"&amp;1140,m_end,"&gt;"&amp;1080)&gt;1,"충돌",HYPERLINK("#'관리자_MASTER'!D"&amp;_xlfn.MAXIFS(m_row,m_teacher,AT$4,m_date,($G$2+23),m_active,1,m_start,"&lt;"&amp;1140,m_end,"&gt;"&amp;1080),INDEX(m_label,_xlfn.MAXIFS(m_row,m_teacher,AT$4,m_date,($G$2+23),m_active,1,m_start,"&lt;"&amp;1140,m_end,"&gt;"&amp;1080))))))</f>
        <v/>
      </c>
      <c r="AU36" s="82" t="str">
        <f aca="false">IF(OR(AU$4="",MONTH(($G$2+23))&lt;&gt;MONTH($C$2)),"",IF(COUNTIFS(m_teacher,AU$4,m_date,($G$2+23),m_active,1,m_start,"&lt;"&amp;1140,m_end,"&gt;"&amp;1080)=0,"",IF(COUNTIFS(m_teacher,AU$4,m_date,($G$2+23),m_active,1,m_start,"&lt;"&amp;1140,m_end,"&gt;"&amp;1080)&gt;1,"충돌",HYPERLINK("#'관리자_MASTER'!D"&amp;_xlfn.MAXIFS(m_row,m_teacher,AU$4,m_date,($G$2+23),m_active,1,m_start,"&lt;"&amp;1140,m_end,"&gt;"&amp;1080),INDEX(m_label,_xlfn.MAXIFS(m_row,m_teacher,AU$4,m_date,($G$2+23),m_active,1,m_start,"&lt;"&amp;1140,m_end,"&gt;"&amp;1080))))))</f>
        <v/>
      </c>
      <c r="AV36" s="82" t="str">
        <f aca="false">IF(OR(AV$4="",MONTH(($G$2+23))&lt;&gt;MONTH($C$2)),"",IF(COUNTIFS(m_teacher,AV$4,m_date,($G$2+23),m_active,1,m_start,"&lt;"&amp;1140,m_end,"&gt;"&amp;1080)=0,"",IF(COUNTIFS(m_teacher,AV$4,m_date,($G$2+23),m_active,1,m_start,"&lt;"&amp;1140,m_end,"&gt;"&amp;1080)&gt;1,"충돌",HYPERLINK("#'관리자_MASTER'!D"&amp;_xlfn.MAXIFS(m_row,m_teacher,AV$4,m_date,($G$2+23),m_active,1,m_start,"&lt;"&amp;1140,m_end,"&gt;"&amp;1080),INDEX(m_label,_xlfn.MAXIFS(m_row,m_teacher,AV$4,m_date,($G$2+23),m_active,1,m_start,"&lt;"&amp;1140,m_end,"&gt;"&amp;1080))))))</f>
        <v/>
      </c>
      <c r="AW36" s="82" t="str">
        <f aca="false">IF(OR(AW$4="",MONTH(($G$2+23))&lt;&gt;MONTH($C$2)),"",IF(COUNTIFS(m_teacher,AW$4,m_date,($G$2+23),m_active,1,m_start,"&lt;"&amp;1140,m_end,"&gt;"&amp;1080)=0,"",IF(COUNTIFS(m_teacher,AW$4,m_date,($G$2+23),m_active,1,m_start,"&lt;"&amp;1140,m_end,"&gt;"&amp;1080)&gt;1,"충돌",HYPERLINK("#'관리자_MASTER'!D"&amp;_xlfn.MAXIFS(m_row,m_teacher,AW$4,m_date,($G$2+23),m_active,1,m_start,"&lt;"&amp;1140,m_end,"&gt;"&amp;1080),INDEX(m_label,_xlfn.MAXIFS(m_row,m_teacher,AW$4,m_date,($G$2+23),m_active,1,m_start,"&lt;"&amp;1140,m_end,"&gt;"&amp;1080))))))</f>
        <v/>
      </c>
      <c r="AX36" s="82" t="str">
        <f aca="false">IF(OR(AX$4="",MONTH(($G$2+23))&lt;&gt;MONTH($C$2)),"",IF(COUNTIFS(m_teacher,AX$4,m_date,($G$2+23),m_active,1,m_start,"&lt;"&amp;1140,m_end,"&gt;"&amp;1080)=0,"",IF(COUNTIFS(m_teacher,AX$4,m_date,($G$2+23),m_active,1,m_start,"&lt;"&amp;1140,m_end,"&gt;"&amp;1080)&gt;1,"충돌",HYPERLINK("#'관리자_MASTER'!D"&amp;_xlfn.MAXIFS(m_row,m_teacher,AX$4,m_date,($G$2+23),m_active,1,m_start,"&lt;"&amp;1140,m_end,"&gt;"&amp;1080),INDEX(m_label,_xlfn.MAXIFS(m_row,m_teacher,AX$4,m_date,($G$2+23),m_active,1,m_start,"&lt;"&amp;1140,m_end,"&gt;"&amp;1080))))))</f>
        <v/>
      </c>
      <c r="AY36" s="82" t="str">
        <f aca="false">IF(OR(AY$4="",MONTH(($G$2+23))&lt;&gt;MONTH($C$2)),"",IF(COUNTIFS(m_teacher,AY$4,m_date,($G$2+23),m_active,1,m_start,"&lt;"&amp;1140,m_end,"&gt;"&amp;1080)=0,"",IF(COUNTIFS(m_teacher,AY$4,m_date,($G$2+23),m_active,1,m_start,"&lt;"&amp;1140,m_end,"&gt;"&amp;1080)&gt;1,"충돌",HYPERLINK("#'관리자_MASTER'!D"&amp;_xlfn.MAXIFS(m_row,m_teacher,AY$4,m_date,($G$2+23),m_active,1,m_start,"&lt;"&amp;1140,m_end,"&gt;"&amp;1080),INDEX(m_label,_xlfn.MAXIFS(m_row,m_teacher,AY$4,m_date,($G$2+23),m_active,1,m_start,"&lt;"&amp;1140,m_end,"&gt;"&amp;1080))))))</f>
        <v/>
      </c>
      <c r="AZ36" s="82" t="str">
        <f aca="false">IF(OR(AZ$4="",MONTH(($G$2+23))&lt;&gt;MONTH($C$2)),"",IF(COUNTIFS(m_teacher,AZ$4,m_date,($G$2+23),m_active,1,m_start,"&lt;"&amp;1140,m_end,"&gt;"&amp;1080)=0,"",IF(COUNTIFS(m_teacher,AZ$4,m_date,($G$2+23),m_active,1,m_start,"&lt;"&amp;1140,m_end,"&gt;"&amp;1080)&gt;1,"충돌",HYPERLINK("#'관리자_MASTER'!D"&amp;_xlfn.MAXIFS(m_row,m_teacher,AZ$4,m_date,($G$2+23),m_active,1,m_start,"&lt;"&amp;1140,m_end,"&gt;"&amp;1080),INDEX(m_label,_xlfn.MAXIFS(m_row,m_teacher,AZ$4,m_date,($G$2+23),m_active,1,m_start,"&lt;"&amp;1140,m_end,"&gt;"&amp;1080))))))</f>
        <v/>
      </c>
      <c r="BA36" s="82" t="str">
        <f aca="false">IF(OR(BA$4="",MONTH(($G$2+23))&lt;&gt;MONTH($C$2)),"",IF(COUNTIFS(m_teacher,BA$4,m_date,($G$2+23),m_active,1,m_start,"&lt;"&amp;1140,m_end,"&gt;"&amp;1080)=0,"",IF(COUNTIFS(m_teacher,BA$4,m_date,($G$2+23),m_active,1,m_start,"&lt;"&amp;1140,m_end,"&gt;"&amp;1080)&gt;1,"충돌",HYPERLINK("#'관리자_MASTER'!D"&amp;_xlfn.MAXIFS(m_row,m_teacher,BA$4,m_date,($G$2+23),m_active,1,m_start,"&lt;"&amp;1140,m_end,"&gt;"&amp;1080),INDEX(m_label,_xlfn.MAXIFS(m_row,m_teacher,BA$4,m_date,($G$2+23),m_active,1,m_start,"&lt;"&amp;1140,m_end,"&gt;"&amp;1080))))))</f>
        <v/>
      </c>
      <c r="BB36" s="82" t="str">
        <f aca="false">IF(OR(BB$4="",MONTH(($G$2+23))&lt;&gt;MONTH($C$2)),"",IF(COUNTIFS(m_teacher,BB$4,m_date,($G$2+23),m_active,1,m_start,"&lt;"&amp;1140,m_end,"&gt;"&amp;1080)=0,"",IF(COUNTIFS(m_teacher,BB$4,m_date,($G$2+23),m_active,1,m_start,"&lt;"&amp;1140,m_end,"&gt;"&amp;1080)&gt;1,"충돌",HYPERLINK("#'관리자_MASTER'!D"&amp;_xlfn.MAXIFS(m_row,m_teacher,BB$4,m_date,($G$2+23),m_active,1,m_start,"&lt;"&amp;1140,m_end,"&gt;"&amp;1080),INDEX(m_label,_xlfn.MAXIFS(m_row,m_teacher,BB$4,m_date,($G$2+23),m_active,1,m_start,"&lt;"&amp;1140,m_end,"&gt;"&amp;1080))))))</f>
        <v/>
      </c>
      <c r="BC36" s="82" t="str">
        <f aca="false">IF(OR(BC$4="",MONTH(($G$2+23))&lt;&gt;MONTH($C$2)),"",IF(COUNTIFS(m_teacher,BC$4,m_date,($G$2+23),m_active,1,m_start,"&lt;"&amp;1140,m_end,"&gt;"&amp;1080)=0,"",IF(COUNTIFS(m_teacher,BC$4,m_date,($G$2+23),m_active,1,m_start,"&lt;"&amp;1140,m_end,"&gt;"&amp;1080)&gt;1,"충돌",HYPERLINK("#'관리자_MASTER'!D"&amp;_xlfn.MAXIFS(m_row,m_teacher,BC$4,m_date,($G$2+23),m_active,1,m_start,"&lt;"&amp;1140,m_end,"&gt;"&amp;1080),INDEX(m_label,_xlfn.MAXIFS(m_row,m_teacher,BC$4,m_date,($G$2+23),m_active,1,m_start,"&lt;"&amp;1140,m_end,"&gt;"&amp;1080))))))</f>
        <v/>
      </c>
      <c r="BD36" s="82" t="str">
        <f aca="false">IF(OR(BD$4="",MONTH(($G$2+23))&lt;&gt;MONTH($C$2)),"",IF(COUNTIFS(m_teacher,BD$4,m_date,($G$2+23),m_active,1,m_start,"&lt;"&amp;1140,m_end,"&gt;"&amp;1080)=0,"",IF(COUNTIFS(m_teacher,BD$4,m_date,($G$2+23),m_active,1,m_start,"&lt;"&amp;1140,m_end,"&gt;"&amp;1080)&gt;1,"충돌",HYPERLINK("#'관리자_MASTER'!D"&amp;_xlfn.MAXIFS(m_row,m_teacher,BD$4,m_date,($G$2+23),m_active,1,m_start,"&lt;"&amp;1140,m_end,"&gt;"&amp;1080),INDEX(m_label,_xlfn.MAXIFS(m_row,m_teacher,BD$4,m_date,($G$2+23),m_active,1,m_start,"&lt;"&amp;1140,m_end,"&gt;"&amp;1080))))))</f>
        <v/>
      </c>
      <c r="BE36" s="78"/>
      <c r="BF36" s="79" t="s">
        <v>100</v>
      </c>
      <c r="BG36" s="82" t="str">
        <f aca="false">IF(OR(BG$4="",MONTH(($G$2+30))&lt;&gt;MONTH($C$2)),"",IF(COUNTIFS(m_teacher,BG$4,m_date,($G$2+30),m_active,1,m_start,"&lt;"&amp;1140,m_end,"&gt;"&amp;1080)=0,"",IF(COUNTIFS(m_teacher,BG$4,m_date,($G$2+30),m_active,1,m_start,"&lt;"&amp;1140,m_end,"&gt;"&amp;1080)&gt;1,"충돌",HYPERLINK("#'관리자_MASTER'!D"&amp;_xlfn.MAXIFS(m_row,m_teacher,BG$4,m_date,($G$2+30),m_active,1,m_start,"&lt;"&amp;1140,m_end,"&gt;"&amp;1080),INDEX(m_label,_xlfn.MAXIFS(m_row,m_teacher,BG$4,m_date,($G$2+30),m_active,1,m_start,"&lt;"&amp;1140,m_end,"&gt;"&amp;1080))))))</f>
        <v/>
      </c>
      <c r="BH36" s="82" t="str">
        <f aca="false">IF(OR(BH$4="",MONTH(($G$2+30))&lt;&gt;MONTH($C$2)),"",IF(COUNTIFS(m_teacher,BH$4,m_date,($G$2+30),m_active,1,m_start,"&lt;"&amp;1140,m_end,"&gt;"&amp;1080)=0,"",IF(COUNTIFS(m_teacher,BH$4,m_date,($G$2+30),m_active,1,m_start,"&lt;"&amp;1140,m_end,"&gt;"&amp;1080)&gt;1,"충돌",HYPERLINK("#'관리자_MASTER'!D"&amp;_xlfn.MAXIFS(m_row,m_teacher,BH$4,m_date,($G$2+30),m_active,1,m_start,"&lt;"&amp;1140,m_end,"&gt;"&amp;1080),INDEX(m_label,_xlfn.MAXIFS(m_row,m_teacher,BH$4,m_date,($G$2+30),m_active,1,m_start,"&lt;"&amp;1140,m_end,"&gt;"&amp;1080))))))</f>
        <v/>
      </c>
      <c r="BI36" s="82" t="str">
        <f aca="false">IF(OR(BI$4="",MONTH(($G$2+30))&lt;&gt;MONTH($C$2)),"",IF(COUNTIFS(m_teacher,BI$4,m_date,($G$2+30),m_active,1,m_start,"&lt;"&amp;1140,m_end,"&gt;"&amp;1080)=0,"",IF(COUNTIFS(m_teacher,BI$4,m_date,($G$2+30),m_active,1,m_start,"&lt;"&amp;1140,m_end,"&gt;"&amp;1080)&gt;1,"충돌",HYPERLINK("#'관리자_MASTER'!D"&amp;_xlfn.MAXIFS(m_row,m_teacher,BI$4,m_date,($G$2+30),m_active,1,m_start,"&lt;"&amp;1140,m_end,"&gt;"&amp;1080),INDEX(m_label,_xlfn.MAXIFS(m_row,m_teacher,BI$4,m_date,($G$2+30),m_active,1,m_start,"&lt;"&amp;1140,m_end,"&gt;"&amp;1080))))))</f>
        <v/>
      </c>
      <c r="BJ36" s="82" t="str">
        <f aca="false">IF(OR(BJ$4="",MONTH(($G$2+30))&lt;&gt;MONTH($C$2)),"",IF(COUNTIFS(m_teacher,BJ$4,m_date,($G$2+30),m_active,1,m_start,"&lt;"&amp;1140,m_end,"&gt;"&amp;1080)=0,"",IF(COUNTIFS(m_teacher,BJ$4,m_date,($G$2+30),m_active,1,m_start,"&lt;"&amp;1140,m_end,"&gt;"&amp;1080)&gt;1,"충돌",HYPERLINK("#'관리자_MASTER'!D"&amp;_xlfn.MAXIFS(m_row,m_teacher,BJ$4,m_date,($G$2+30),m_active,1,m_start,"&lt;"&amp;1140,m_end,"&gt;"&amp;1080),INDEX(m_label,_xlfn.MAXIFS(m_row,m_teacher,BJ$4,m_date,($G$2+30),m_active,1,m_start,"&lt;"&amp;1140,m_end,"&gt;"&amp;1080))))))</f>
        <v/>
      </c>
      <c r="BK36" s="82" t="str">
        <f aca="false">IF(OR(BK$4="",MONTH(($G$2+30))&lt;&gt;MONTH($C$2)),"",IF(COUNTIFS(m_teacher,BK$4,m_date,($G$2+30),m_active,1,m_start,"&lt;"&amp;1140,m_end,"&gt;"&amp;1080)=0,"",IF(COUNTIFS(m_teacher,BK$4,m_date,($G$2+30),m_active,1,m_start,"&lt;"&amp;1140,m_end,"&gt;"&amp;1080)&gt;1,"충돌",HYPERLINK("#'관리자_MASTER'!D"&amp;_xlfn.MAXIFS(m_row,m_teacher,BK$4,m_date,($G$2+30),m_active,1,m_start,"&lt;"&amp;1140,m_end,"&gt;"&amp;1080),INDEX(m_label,_xlfn.MAXIFS(m_row,m_teacher,BK$4,m_date,($G$2+30),m_active,1,m_start,"&lt;"&amp;1140,m_end,"&gt;"&amp;1080))))))</f>
        <v/>
      </c>
      <c r="BL36" s="82" t="str">
        <f aca="false">IF(OR(BL$4="",MONTH(($G$2+30))&lt;&gt;MONTH($C$2)),"",IF(COUNTIFS(m_teacher,BL$4,m_date,($G$2+30),m_active,1,m_start,"&lt;"&amp;1140,m_end,"&gt;"&amp;1080)=0,"",IF(COUNTIFS(m_teacher,BL$4,m_date,($G$2+30),m_active,1,m_start,"&lt;"&amp;1140,m_end,"&gt;"&amp;1080)&gt;1,"충돌",HYPERLINK("#'관리자_MASTER'!D"&amp;_xlfn.MAXIFS(m_row,m_teacher,BL$4,m_date,($G$2+30),m_active,1,m_start,"&lt;"&amp;1140,m_end,"&gt;"&amp;1080),INDEX(m_label,_xlfn.MAXIFS(m_row,m_teacher,BL$4,m_date,($G$2+30),m_active,1,m_start,"&lt;"&amp;1140,m_end,"&gt;"&amp;1080))))))</f>
        <v/>
      </c>
      <c r="BM36" s="82" t="str">
        <f aca="false">IF(OR(BM$4="",MONTH(($G$2+30))&lt;&gt;MONTH($C$2)),"",IF(COUNTIFS(m_teacher,BM$4,m_date,($G$2+30),m_active,1,m_start,"&lt;"&amp;1140,m_end,"&gt;"&amp;1080)=0,"",IF(COUNTIFS(m_teacher,BM$4,m_date,($G$2+30),m_active,1,m_start,"&lt;"&amp;1140,m_end,"&gt;"&amp;1080)&gt;1,"충돌",HYPERLINK("#'관리자_MASTER'!D"&amp;_xlfn.MAXIFS(m_row,m_teacher,BM$4,m_date,($G$2+30),m_active,1,m_start,"&lt;"&amp;1140,m_end,"&gt;"&amp;1080),INDEX(m_label,_xlfn.MAXIFS(m_row,m_teacher,BM$4,m_date,($G$2+30),m_active,1,m_start,"&lt;"&amp;1140,m_end,"&gt;"&amp;1080))))))</f>
        <v/>
      </c>
      <c r="BN36" s="82" t="str">
        <f aca="false">IF(OR(BN$4="",MONTH(($G$2+30))&lt;&gt;MONTH($C$2)),"",IF(COUNTIFS(m_teacher,BN$4,m_date,($G$2+30),m_active,1,m_start,"&lt;"&amp;1140,m_end,"&gt;"&amp;1080)=0,"",IF(COUNTIFS(m_teacher,BN$4,m_date,($G$2+30),m_active,1,m_start,"&lt;"&amp;1140,m_end,"&gt;"&amp;1080)&gt;1,"충돌",HYPERLINK("#'관리자_MASTER'!D"&amp;_xlfn.MAXIFS(m_row,m_teacher,BN$4,m_date,($G$2+30),m_active,1,m_start,"&lt;"&amp;1140,m_end,"&gt;"&amp;1080),INDEX(m_label,_xlfn.MAXIFS(m_row,m_teacher,BN$4,m_date,($G$2+30),m_active,1,m_start,"&lt;"&amp;1140,m_end,"&gt;"&amp;1080))))))</f>
        <v/>
      </c>
      <c r="BO36" s="82" t="str">
        <f aca="false">IF(OR(BO$4="",MONTH(($G$2+30))&lt;&gt;MONTH($C$2)),"",IF(COUNTIFS(m_teacher,BO$4,m_date,($G$2+30),m_active,1,m_start,"&lt;"&amp;1140,m_end,"&gt;"&amp;1080)=0,"",IF(COUNTIFS(m_teacher,BO$4,m_date,($G$2+30),m_active,1,m_start,"&lt;"&amp;1140,m_end,"&gt;"&amp;1080)&gt;1,"충돌",HYPERLINK("#'관리자_MASTER'!D"&amp;_xlfn.MAXIFS(m_row,m_teacher,BO$4,m_date,($G$2+30),m_active,1,m_start,"&lt;"&amp;1140,m_end,"&gt;"&amp;1080),INDEX(m_label,_xlfn.MAXIFS(m_row,m_teacher,BO$4,m_date,($G$2+30),m_active,1,m_start,"&lt;"&amp;1140,m_end,"&gt;"&amp;1080))))))</f>
        <v/>
      </c>
      <c r="BP36" s="82" t="str">
        <f aca="false">IF(OR(BP$4="",MONTH(($G$2+30))&lt;&gt;MONTH($C$2)),"",IF(COUNTIFS(m_teacher,BP$4,m_date,($G$2+30),m_active,1,m_start,"&lt;"&amp;1140,m_end,"&gt;"&amp;1080)=0,"",IF(COUNTIFS(m_teacher,BP$4,m_date,($G$2+30),m_active,1,m_start,"&lt;"&amp;1140,m_end,"&gt;"&amp;1080)&gt;1,"충돌",HYPERLINK("#'관리자_MASTER'!D"&amp;_xlfn.MAXIFS(m_row,m_teacher,BP$4,m_date,($G$2+30),m_active,1,m_start,"&lt;"&amp;1140,m_end,"&gt;"&amp;1080),INDEX(m_label,_xlfn.MAXIFS(m_row,m_teacher,BP$4,m_date,($G$2+30),m_active,1,m_start,"&lt;"&amp;1140,m_end,"&gt;"&amp;1080))))))</f>
        <v/>
      </c>
      <c r="BQ36" s="82" t="str">
        <f aca="false">IF(OR(BQ$4="",MONTH(($G$2+30))&lt;&gt;MONTH($C$2)),"",IF(COUNTIFS(m_teacher,BQ$4,m_date,($G$2+30),m_active,1,m_start,"&lt;"&amp;1140,m_end,"&gt;"&amp;1080)=0,"",IF(COUNTIFS(m_teacher,BQ$4,m_date,($G$2+30),m_active,1,m_start,"&lt;"&amp;1140,m_end,"&gt;"&amp;1080)&gt;1,"충돌",HYPERLINK("#'관리자_MASTER'!D"&amp;_xlfn.MAXIFS(m_row,m_teacher,BQ$4,m_date,($G$2+30),m_active,1,m_start,"&lt;"&amp;1140,m_end,"&gt;"&amp;1080),INDEX(m_label,_xlfn.MAXIFS(m_row,m_teacher,BQ$4,m_date,($G$2+30),m_active,1,m_start,"&lt;"&amp;1140,m_end,"&gt;"&amp;1080))))))</f>
        <v/>
      </c>
      <c r="BR36" s="82" t="str">
        <f aca="false">IF(OR(BR$4="",MONTH(($G$2+30))&lt;&gt;MONTH($C$2)),"",IF(COUNTIFS(m_teacher,BR$4,m_date,($G$2+30),m_active,1,m_start,"&lt;"&amp;1140,m_end,"&gt;"&amp;1080)=0,"",IF(COUNTIFS(m_teacher,BR$4,m_date,($G$2+30),m_active,1,m_start,"&lt;"&amp;1140,m_end,"&gt;"&amp;1080)&gt;1,"충돌",HYPERLINK("#'관리자_MASTER'!D"&amp;_xlfn.MAXIFS(m_row,m_teacher,BR$4,m_date,($G$2+30),m_active,1,m_start,"&lt;"&amp;1140,m_end,"&gt;"&amp;1080),INDEX(m_label,_xlfn.MAXIFS(m_row,m_teacher,BR$4,m_date,($G$2+30),m_active,1,m_start,"&lt;"&amp;1140,m_end,"&gt;"&amp;1080))))))</f>
        <v/>
      </c>
    </row>
    <row r="37" customFormat="false" ht="19.5" hidden="false" customHeight="true" outlineLevel="0" collapsed="false">
      <c r="A37" s="78"/>
      <c r="B37" s="85" t="s">
        <v>101</v>
      </c>
      <c r="C37" s="86" t="str">
        <f aca="false">IF(OR(C$4="",MONTH(($G$2+2))&lt;&gt;MONTH($C$2)),"",IF(COUNTIFS(m_teacher,C$4,m_date,($G$2+2),m_active,1,m_start,"&lt;"&amp;1440,m_end,"&gt;"&amp;1140)=0,"",IF(COUNTIFS(m_teacher,C$4,m_date,($G$2+2),m_active,1,m_start,"&lt;"&amp;1440,m_end,"&gt;"&amp;1140)&gt;1,"충돌",HYPERLINK("#'관리자_MASTER'!D"&amp;_xlfn.MAXIFS(m_row,m_teacher,C$4,m_date,($G$2+2),m_active,1,m_start,"&lt;"&amp;1440,m_end,"&gt;"&amp;1140),INDEX(m_label,_xlfn.MAXIFS(m_row,m_teacher,C$4,m_date,($G$2+2),m_active,1,m_start,"&lt;"&amp;1440,m_end,"&gt;"&amp;1140))))))</f>
        <v/>
      </c>
      <c r="D37" s="86" t="str">
        <f aca="false">IF(OR(D$4="",MONTH(($G$2+2))&lt;&gt;MONTH($C$2)),"",IF(COUNTIFS(m_teacher,D$4,m_date,($G$2+2),m_active,1,m_start,"&lt;"&amp;1440,m_end,"&gt;"&amp;1140)=0,"",IF(COUNTIFS(m_teacher,D$4,m_date,($G$2+2),m_active,1,m_start,"&lt;"&amp;1440,m_end,"&gt;"&amp;1140)&gt;1,"충돌",HYPERLINK("#'관리자_MASTER'!D"&amp;_xlfn.MAXIFS(m_row,m_teacher,D$4,m_date,($G$2+2),m_active,1,m_start,"&lt;"&amp;1440,m_end,"&gt;"&amp;1140),INDEX(m_label,_xlfn.MAXIFS(m_row,m_teacher,D$4,m_date,($G$2+2),m_active,1,m_start,"&lt;"&amp;1440,m_end,"&gt;"&amp;1140))))))</f>
        <v/>
      </c>
      <c r="E37" s="86" t="str">
        <f aca="false">IF(OR(E$4="",MONTH(($G$2+2))&lt;&gt;MONTH($C$2)),"",IF(COUNTIFS(m_teacher,E$4,m_date,($G$2+2),m_active,1,m_start,"&lt;"&amp;1440,m_end,"&gt;"&amp;1140)=0,"",IF(COUNTIFS(m_teacher,E$4,m_date,($G$2+2),m_active,1,m_start,"&lt;"&amp;1440,m_end,"&gt;"&amp;1140)&gt;1,"충돌",HYPERLINK("#'관리자_MASTER'!D"&amp;_xlfn.MAXIFS(m_row,m_teacher,E$4,m_date,($G$2+2),m_active,1,m_start,"&lt;"&amp;1440,m_end,"&gt;"&amp;1140),INDEX(m_label,_xlfn.MAXIFS(m_row,m_teacher,E$4,m_date,($G$2+2),m_active,1,m_start,"&lt;"&amp;1440,m_end,"&gt;"&amp;1140))))))</f>
        <v/>
      </c>
      <c r="F37" s="86" t="str">
        <f aca="false">IF(OR(F$4="",MONTH(($G$2+2))&lt;&gt;MONTH($C$2)),"",IF(COUNTIFS(m_teacher,F$4,m_date,($G$2+2),m_active,1,m_start,"&lt;"&amp;1440,m_end,"&gt;"&amp;1140)=0,"",IF(COUNTIFS(m_teacher,F$4,m_date,($G$2+2),m_active,1,m_start,"&lt;"&amp;1440,m_end,"&gt;"&amp;1140)&gt;1,"충돌",HYPERLINK("#'관리자_MASTER'!D"&amp;_xlfn.MAXIFS(m_row,m_teacher,F$4,m_date,($G$2+2),m_active,1,m_start,"&lt;"&amp;1440,m_end,"&gt;"&amp;1140),INDEX(m_label,_xlfn.MAXIFS(m_row,m_teacher,F$4,m_date,($G$2+2),m_active,1,m_start,"&lt;"&amp;1440,m_end,"&gt;"&amp;1140))))))</f>
        <v/>
      </c>
      <c r="G37" s="86" t="str">
        <f aca="false">IF(OR(G$4="",MONTH(($G$2+2))&lt;&gt;MONTH($C$2)),"",IF(COUNTIFS(m_teacher,G$4,m_date,($G$2+2),m_active,1,m_start,"&lt;"&amp;1440,m_end,"&gt;"&amp;1140)=0,"",IF(COUNTIFS(m_teacher,G$4,m_date,($G$2+2),m_active,1,m_start,"&lt;"&amp;1440,m_end,"&gt;"&amp;1140)&gt;1,"충돌",HYPERLINK("#'관리자_MASTER'!D"&amp;_xlfn.MAXIFS(m_row,m_teacher,G$4,m_date,($G$2+2),m_active,1,m_start,"&lt;"&amp;1440,m_end,"&gt;"&amp;1140),INDEX(m_label,_xlfn.MAXIFS(m_row,m_teacher,G$4,m_date,($G$2+2),m_active,1,m_start,"&lt;"&amp;1440,m_end,"&gt;"&amp;1140))))))</f>
        <v/>
      </c>
      <c r="H37" s="86" t="str">
        <f aca="false">IF(OR(H$4="",MONTH(($G$2+2))&lt;&gt;MONTH($C$2)),"",IF(COUNTIFS(m_teacher,H$4,m_date,($G$2+2),m_active,1,m_start,"&lt;"&amp;1440,m_end,"&gt;"&amp;1140)=0,"",IF(COUNTIFS(m_teacher,H$4,m_date,($G$2+2),m_active,1,m_start,"&lt;"&amp;1440,m_end,"&gt;"&amp;1140)&gt;1,"충돌",HYPERLINK("#'관리자_MASTER'!D"&amp;_xlfn.MAXIFS(m_row,m_teacher,H$4,m_date,($G$2+2),m_active,1,m_start,"&lt;"&amp;1440,m_end,"&gt;"&amp;1140),INDEX(m_label,_xlfn.MAXIFS(m_row,m_teacher,H$4,m_date,($G$2+2),m_active,1,m_start,"&lt;"&amp;1440,m_end,"&gt;"&amp;1140))))))</f>
        <v/>
      </c>
      <c r="I37" s="86" t="str">
        <f aca="false">IF(OR(I$4="",MONTH(($G$2+2))&lt;&gt;MONTH($C$2)),"",IF(COUNTIFS(m_teacher,I$4,m_date,($G$2+2),m_active,1,m_start,"&lt;"&amp;1440,m_end,"&gt;"&amp;1140)=0,"",IF(COUNTIFS(m_teacher,I$4,m_date,($G$2+2),m_active,1,m_start,"&lt;"&amp;1440,m_end,"&gt;"&amp;1140)&gt;1,"충돌",HYPERLINK("#'관리자_MASTER'!D"&amp;_xlfn.MAXIFS(m_row,m_teacher,I$4,m_date,($G$2+2),m_active,1,m_start,"&lt;"&amp;1440,m_end,"&gt;"&amp;1140),INDEX(m_label,_xlfn.MAXIFS(m_row,m_teacher,I$4,m_date,($G$2+2),m_active,1,m_start,"&lt;"&amp;1440,m_end,"&gt;"&amp;1140))))))</f>
        <v/>
      </c>
      <c r="J37" s="86" t="str">
        <f aca="false">IF(OR(J$4="",MONTH(($G$2+2))&lt;&gt;MONTH($C$2)),"",IF(COUNTIFS(m_teacher,J$4,m_date,($G$2+2),m_active,1,m_start,"&lt;"&amp;1440,m_end,"&gt;"&amp;1140)=0,"",IF(COUNTIFS(m_teacher,J$4,m_date,($G$2+2),m_active,1,m_start,"&lt;"&amp;1440,m_end,"&gt;"&amp;1140)&gt;1,"충돌",HYPERLINK("#'관리자_MASTER'!D"&amp;_xlfn.MAXIFS(m_row,m_teacher,J$4,m_date,($G$2+2),m_active,1,m_start,"&lt;"&amp;1440,m_end,"&gt;"&amp;1140),INDEX(m_label,_xlfn.MAXIFS(m_row,m_teacher,J$4,m_date,($G$2+2),m_active,1,m_start,"&lt;"&amp;1440,m_end,"&gt;"&amp;1140))))))</f>
        <v/>
      </c>
      <c r="K37" s="86" t="str">
        <f aca="false">IF(OR(K$4="",MONTH(($G$2+2))&lt;&gt;MONTH($C$2)),"",IF(COUNTIFS(m_teacher,K$4,m_date,($G$2+2),m_active,1,m_start,"&lt;"&amp;1440,m_end,"&gt;"&amp;1140)=0,"",IF(COUNTIFS(m_teacher,K$4,m_date,($G$2+2),m_active,1,m_start,"&lt;"&amp;1440,m_end,"&gt;"&amp;1140)&gt;1,"충돌",HYPERLINK("#'관리자_MASTER'!D"&amp;_xlfn.MAXIFS(m_row,m_teacher,K$4,m_date,($G$2+2),m_active,1,m_start,"&lt;"&amp;1440,m_end,"&gt;"&amp;1140),INDEX(m_label,_xlfn.MAXIFS(m_row,m_teacher,K$4,m_date,($G$2+2),m_active,1,m_start,"&lt;"&amp;1440,m_end,"&gt;"&amp;1140))))))</f>
        <v/>
      </c>
      <c r="L37" s="86" t="str">
        <f aca="false">IF(OR(L$4="",MONTH(($G$2+2))&lt;&gt;MONTH($C$2)),"",IF(COUNTIFS(m_teacher,L$4,m_date,($G$2+2),m_active,1,m_start,"&lt;"&amp;1440,m_end,"&gt;"&amp;1140)=0,"",IF(COUNTIFS(m_teacher,L$4,m_date,($G$2+2),m_active,1,m_start,"&lt;"&amp;1440,m_end,"&gt;"&amp;1140)&gt;1,"충돌",HYPERLINK("#'관리자_MASTER'!D"&amp;_xlfn.MAXIFS(m_row,m_teacher,L$4,m_date,($G$2+2),m_active,1,m_start,"&lt;"&amp;1440,m_end,"&gt;"&amp;1140),INDEX(m_label,_xlfn.MAXIFS(m_row,m_teacher,L$4,m_date,($G$2+2),m_active,1,m_start,"&lt;"&amp;1440,m_end,"&gt;"&amp;1140))))))</f>
        <v/>
      </c>
      <c r="M37" s="86" t="str">
        <f aca="false">IF(OR(M$4="",MONTH(($G$2+2))&lt;&gt;MONTH($C$2)),"",IF(COUNTIFS(m_teacher,M$4,m_date,($G$2+2),m_active,1,m_start,"&lt;"&amp;1440,m_end,"&gt;"&amp;1140)=0,"",IF(COUNTIFS(m_teacher,M$4,m_date,($G$2+2),m_active,1,m_start,"&lt;"&amp;1440,m_end,"&gt;"&amp;1140)&gt;1,"충돌",HYPERLINK("#'관리자_MASTER'!D"&amp;_xlfn.MAXIFS(m_row,m_teacher,M$4,m_date,($G$2+2),m_active,1,m_start,"&lt;"&amp;1440,m_end,"&gt;"&amp;1140),INDEX(m_label,_xlfn.MAXIFS(m_row,m_teacher,M$4,m_date,($G$2+2),m_active,1,m_start,"&lt;"&amp;1440,m_end,"&gt;"&amp;1140))))))</f>
        <v/>
      </c>
      <c r="N37" s="86" t="str">
        <f aca="false">IF(OR(N$4="",MONTH(($G$2+2))&lt;&gt;MONTH($C$2)),"",IF(COUNTIFS(m_teacher,N$4,m_date,($G$2+2),m_active,1,m_start,"&lt;"&amp;1440,m_end,"&gt;"&amp;1140)=0,"",IF(COUNTIFS(m_teacher,N$4,m_date,($G$2+2),m_active,1,m_start,"&lt;"&amp;1440,m_end,"&gt;"&amp;1140)&gt;1,"충돌",HYPERLINK("#'관리자_MASTER'!D"&amp;_xlfn.MAXIFS(m_row,m_teacher,N$4,m_date,($G$2+2),m_active,1,m_start,"&lt;"&amp;1440,m_end,"&gt;"&amp;1140),INDEX(m_label,_xlfn.MAXIFS(m_row,m_teacher,N$4,m_date,($G$2+2),m_active,1,m_start,"&lt;"&amp;1440,m_end,"&gt;"&amp;1140))))))</f>
        <v/>
      </c>
      <c r="O37" s="78"/>
      <c r="P37" s="85" t="s">
        <v>101</v>
      </c>
      <c r="Q37" s="86" t="str">
        <f aca="false">IF(OR(Q$4="",MONTH(($G$2+9))&lt;&gt;MONTH($C$2)),"",IF(COUNTIFS(m_teacher,Q$4,m_date,($G$2+9),m_active,1,m_start,"&lt;"&amp;1440,m_end,"&gt;"&amp;1140)=0,"",IF(COUNTIFS(m_teacher,Q$4,m_date,($G$2+9),m_active,1,m_start,"&lt;"&amp;1440,m_end,"&gt;"&amp;1140)&gt;1,"충돌",HYPERLINK("#'관리자_MASTER'!D"&amp;_xlfn.MAXIFS(m_row,m_teacher,Q$4,m_date,($G$2+9),m_active,1,m_start,"&lt;"&amp;1440,m_end,"&gt;"&amp;1140),INDEX(m_label,_xlfn.MAXIFS(m_row,m_teacher,Q$4,m_date,($G$2+9),m_active,1,m_start,"&lt;"&amp;1440,m_end,"&gt;"&amp;1140))))))</f>
        <v/>
      </c>
      <c r="R37" s="86" t="str">
        <f aca="false">IF(OR(R$4="",MONTH(($G$2+9))&lt;&gt;MONTH($C$2)),"",IF(COUNTIFS(m_teacher,R$4,m_date,($G$2+9),m_active,1,m_start,"&lt;"&amp;1440,m_end,"&gt;"&amp;1140)=0,"",IF(COUNTIFS(m_teacher,R$4,m_date,($G$2+9),m_active,1,m_start,"&lt;"&amp;1440,m_end,"&gt;"&amp;1140)&gt;1,"충돌",HYPERLINK("#'관리자_MASTER'!D"&amp;_xlfn.MAXIFS(m_row,m_teacher,R$4,m_date,($G$2+9),m_active,1,m_start,"&lt;"&amp;1440,m_end,"&gt;"&amp;1140),INDEX(m_label,_xlfn.MAXIFS(m_row,m_teacher,R$4,m_date,($G$2+9),m_active,1,m_start,"&lt;"&amp;1440,m_end,"&gt;"&amp;1140))))))</f>
        <v/>
      </c>
      <c r="S37" s="86" t="str">
        <f aca="false">IF(OR(S$4="",MONTH(($G$2+9))&lt;&gt;MONTH($C$2)),"",IF(COUNTIFS(m_teacher,S$4,m_date,($G$2+9),m_active,1,m_start,"&lt;"&amp;1440,m_end,"&gt;"&amp;1140)=0,"",IF(COUNTIFS(m_teacher,S$4,m_date,($G$2+9),m_active,1,m_start,"&lt;"&amp;1440,m_end,"&gt;"&amp;1140)&gt;1,"충돌",HYPERLINK("#'관리자_MASTER'!D"&amp;_xlfn.MAXIFS(m_row,m_teacher,S$4,m_date,($G$2+9),m_active,1,m_start,"&lt;"&amp;1440,m_end,"&gt;"&amp;1140),INDEX(m_label,_xlfn.MAXIFS(m_row,m_teacher,S$4,m_date,($G$2+9),m_active,1,m_start,"&lt;"&amp;1440,m_end,"&gt;"&amp;1140))))))</f>
        <v/>
      </c>
      <c r="T37" s="86" t="str">
        <f aca="false">IF(OR(T$4="",MONTH(($G$2+9))&lt;&gt;MONTH($C$2)),"",IF(COUNTIFS(m_teacher,T$4,m_date,($G$2+9),m_active,1,m_start,"&lt;"&amp;1440,m_end,"&gt;"&amp;1140)=0,"",IF(COUNTIFS(m_teacher,T$4,m_date,($G$2+9),m_active,1,m_start,"&lt;"&amp;1440,m_end,"&gt;"&amp;1140)&gt;1,"충돌",HYPERLINK("#'관리자_MASTER'!D"&amp;_xlfn.MAXIFS(m_row,m_teacher,T$4,m_date,($G$2+9),m_active,1,m_start,"&lt;"&amp;1440,m_end,"&gt;"&amp;1140),INDEX(m_label,_xlfn.MAXIFS(m_row,m_teacher,T$4,m_date,($G$2+9),m_active,1,m_start,"&lt;"&amp;1440,m_end,"&gt;"&amp;1140))))))</f>
        <v/>
      </c>
      <c r="U37" s="86" t="str">
        <f aca="false">IF(OR(U$4="",MONTH(($G$2+9))&lt;&gt;MONTH($C$2)),"",IF(COUNTIFS(m_teacher,U$4,m_date,($G$2+9),m_active,1,m_start,"&lt;"&amp;1440,m_end,"&gt;"&amp;1140)=0,"",IF(COUNTIFS(m_teacher,U$4,m_date,($G$2+9),m_active,1,m_start,"&lt;"&amp;1440,m_end,"&gt;"&amp;1140)&gt;1,"충돌",HYPERLINK("#'관리자_MASTER'!D"&amp;_xlfn.MAXIFS(m_row,m_teacher,U$4,m_date,($G$2+9),m_active,1,m_start,"&lt;"&amp;1440,m_end,"&gt;"&amp;1140),INDEX(m_label,_xlfn.MAXIFS(m_row,m_teacher,U$4,m_date,($G$2+9),m_active,1,m_start,"&lt;"&amp;1440,m_end,"&gt;"&amp;1140))))))</f>
        <v/>
      </c>
      <c r="V37" s="86" t="str">
        <f aca="false">IF(OR(V$4="",MONTH(($G$2+9))&lt;&gt;MONTH($C$2)),"",IF(COUNTIFS(m_teacher,V$4,m_date,($G$2+9),m_active,1,m_start,"&lt;"&amp;1440,m_end,"&gt;"&amp;1140)=0,"",IF(COUNTIFS(m_teacher,V$4,m_date,($G$2+9),m_active,1,m_start,"&lt;"&amp;1440,m_end,"&gt;"&amp;1140)&gt;1,"충돌",HYPERLINK("#'관리자_MASTER'!D"&amp;_xlfn.MAXIFS(m_row,m_teacher,V$4,m_date,($G$2+9),m_active,1,m_start,"&lt;"&amp;1440,m_end,"&gt;"&amp;1140),INDEX(m_label,_xlfn.MAXIFS(m_row,m_teacher,V$4,m_date,($G$2+9),m_active,1,m_start,"&lt;"&amp;1440,m_end,"&gt;"&amp;1140))))))</f>
        <v/>
      </c>
      <c r="W37" s="86" t="str">
        <f aca="false">IF(OR(W$4="",MONTH(($G$2+9))&lt;&gt;MONTH($C$2)),"",IF(COUNTIFS(m_teacher,W$4,m_date,($G$2+9),m_active,1,m_start,"&lt;"&amp;1440,m_end,"&gt;"&amp;1140)=0,"",IF(COUNTIFS(m_teacher,W$4,m_date,($G$2+9),m_active,1,m_start,"&lt;"&amp;1440,m_end,"&gt;"&amp;1140)&gt;1,"충돌",HYPERLINK("#'관리자_MASTER'!D"&amp;_xlfn.MAXIFS(m_row,m_teacher,W$4,m_date,($G$2+9),m_active,1,m_start,"&lt;"&amp;1440,m_end,"&gt;"&amp;1140),INDEX(m_label,_xlfn.MAXIFS(m_row,m_teacher,W$4,m_date,($G$2+9),m_active,1,m_start,"&lt;"&amp;1440,m_end,"&gt;"&amp;1140))))))</f>
        <v/>
      </c>
      <c r="X37" s="86" t="str">
        <f aca="false">IF(OR(X$4="",MONTH(($G$2+9))&lt;&gt;MONTH($C$2)),"",IF(COUNTIFS(m_teacher,X$4,m_date,($G$2+9),m_active,1,m_start,"&lt;"&amp;1440,m_end,"&gt;"&amp;1140)=0,"",IF(COUNTIFS(m_teacher,X$4,m_date,($G$2+9),m_active,1,m_start,"&lt;"&amp;1440,m_end,"&gt;"&amp;1140)&gt;1,"충돌",HYPERLINK("#'관리자_MASTER'!D"&amp;_xlfn.MAXIFS(m_row,m_teacher,X$4,m_date,($G$2+9),m_active,1,m_start,"&lt;"&amp;1440,m_end,"&gt;"&amp;1140),INDEX(m_label,_xlfn.MAXIFS(m_row,m_teacher,X$4,m_date,($G$2+9),m_active,1,m_start,"&lt;"&amp;1440,m_end,"&gt;"&amp;1140))))))</f>
        <v/>
      </c>
      <c r="Y37" s="86" t="str">
        <f aca="false">IF(OR(Y$4="",MONTH(($G$2+9))&lt;&gt;MONTH($C$2)),"",IF(COUNTIFS(m_teacher,Y$4,m_date,($G$2+9),m_active,1,m_start,"&lt;"&amp;1440,m_end,"&gt;"&amp;1140)=0,"",IF(COUNTIFS(m_teacher,Y$4,m_date,($G$2+9),m_active,1,m_start,"&lt;"&amp;1440,m_end,"&gt;"&amp;1140)&gt;1,"충돌",HYPERLINK("#'관리자_MASTER'!D"&amp;_xlfn.MAXIFS(m_row,m_teacher,Y$4,m_date,($G$2+9),m_active,1,m_start,"&lt;"&amp;1440,m_end,"&gt;"&amp;1140),INDEX(m_label,_xlfn.MAXIFS(m_row,m_teacher,Y$4,m_date,($G$2+9),m_active,1,m_start,"&lt;"&amp;1440,m_end,"&gt;"&amp;1140))))))</f>
        <v/>
      </c>
      <c r="Z37" s="86" t="str">
        <f aca="false">IF(OR(Z$4="",MONTH(($G$2+9))&lt;&gt;MONTH($C$2)),"",IF(COUNTIFS(m_teacher,Z$4,m_date,($G$2+9),m_active,1,m_start,"&lt;"&amp;1440,m_end,"&gt;"&amp;1140)=0,"",IF(COUNTIFS(m_teacher,Z$4,m_date,($G$2+9),m_active,1,m_start,"&lt;"&amp;1440,m_end,"&gt;"&amp;1140)&gt;1,"충돌",HYPERLINK("#'관리자_MASTER'!D"&amp;_xlfn.MAXIFS(m_row,m_teacher,Z$4,m_date,($G$2+9),m_active,1,m_start,"&lt;"&amp;1440,m_end,"&gt;"&amp;1140),INDEX(m_label,_xlfn.MAXIFS(m_row,m_teacher,Z$4,m_date,($G$2+9),m_active,1,m_start,"&lt;"&amp;1440,m_end,"&gt;"&amp;1140))))))</f>
        <v/>
      </c>
      <c r="AA37" s="86" t="str">
        <f aca="false">IF(OR(AA$4="",MONTH(($G$2+9))&lt;&gt;MONTH($C$2)),"",IF(COUNTIFS(m_teacher,AA$4,m_date,($G$2+9),m_active,1,m_start,"&lt;"&amp;1440,m_end,"&gt;"&amp;1140)=0,"",IF(COUNTIFS(m_teacher,AA$4,m_date,($G$2+9),m_active,1,m_start,"&lt;"&amp;1440,m_end,"&gt;"&amp;1140)&gt;1,"충돌",HYPERLINK("#'관리자_MASTER'!D"&amp;_xlfn.MAXIFS(m_row,m_teacher,AA$4,m_date,($G$2+9),m_active,1,m_start,"&lt;"&amp;1440,m_end,"&gt;"&amp;1140),INDEX(m_label,_xlfn.MAXIFS(m_row,m_teacher,AA$4,m_date,($G$2+9),m_active,1,m_start,"&lt;"&amp;1440,m_end,"&gt;"&amp;1140))))))</f>
        <v/>
      </c>
      <c r="AB37" s="86" t="str">
        <f aca="false">IF(OR(AB$4="",MONTH(($G$2+9))&lt;&gt;MONTH($C$2)),"",IF(COUNTIFS(m_teacher,AB$4,m_date,($G$2+9),m_active,1,m_start,"&lt;"&amp;1440,m_end,"&gt;"&amp;1140)=0,"",IF(COUNTIFS(m_teacher,AB$4,m_date,($G$2+9),m_active,1,m_start,"&lt;"&amp;1440,m_end,"&gt;"&amp;1140)&gt;1,"충돌",HYPERLINK("#'관리자_MASTER'!D"&amp;_xlfn.MAXIFS(m_row,m_teacher,AB$4,m_date,($G$2+9),m_active,1,m_start,"&lt;"&amp;1440,m_end,"&gt;"&amp;1140),INDEX(m_label,_xlfn.MAXIFS(m_row,m_teacher,AB$4,m_date,($G$2+9),m_active,1,m_start,"&lt;"&amp;1440,m_end,"&gt;"&amp;1140))))))</f>
        <v/>
      </c>
      <c r="AC37" s="78"/>
      <c r="AD37" s="85" t="s">
        <v>101</v>
      </c>
      <c r="AE37" s="86" t="str">
        <f aca="false">IF(OR(AE$4="",MONTH(($G$2+16))&lt;&gt;MONTH($C$2)),"",IF(COUNTIFS(m_teacher,AE$4,m_date,($G$2+16),m_active,1,m_start,"&lt;"&amp;1440,m_end,"&gt;"&amp;1140)=0,"",IF(COUNTIFS(m_teacher,AE$4,m_date,($G$2+16),m_active,1,m_start,"&lt;"&amp;1440,m_end,"&gt;"&amp;1140)&gt;1,"충돌",HYPERLINK("#'관리자_MASTER'!D"&amp;_xlfn.MAXIFS(m_row,m_teacher,AE$4,m_date,($G$2+16),m_active,1,m_start,"&lt;"&amp;1440,m_end,"&gt;"&amp;1140),INDEX(m_label,_xlfn.MAXIFS(m_row,m_teacher,AE$4,m_date,($G$2+16),m_active,1,m_start,"&lt;"&amp;1440,m_end,"&gt;"&amp;1140))))))</f>
        <v/>
      </c>
      <c r="AF37" s="86" t="str">
        <f aca="false">IF(OR(AF$4="",MONTH(($G$2+16))&lt;&gt;MONTH($C$2)),"",IF(COUNTIFS(m_teacher,AF$4,m_date,($G$2+16),m_active,1,m_start,"&lt;"&amp;1440,m_end,"&gt;"&amp;1140)=0,"",IF(COUNTIFS(m_teacher,AF$4,m_date,($G$2+16),m_active,1,m_start,"&lt;"&amp;1440,m_end,"&gt;"&amp;1140)&gt;1,"충돌",HYPERLINK("#'관리자_MASTER'!D"&amp;_xlfn.MAXIFS(m_row,m_teacher,AF$4,m_date,($G$2+16),m_active,1,m_start,"&lt;"&amp;1440,m_end,"&gt;"&amp;1140),INDEX(m_label,_xlfn.MAXIFS(m_row,m_teacher,AF$4,m_date,($G$2+16),m_active,1,m_start,"&lt;"&amp;1440,m_end,"&gt;"&amp;1140))))))</f>
        <v/>
      </c>
      <c r="AG37" s="86" t="str">
        <f aca="false">IF(OR(AG$4="",MONTH(($G$2+16))&lt;&gt;MONTH($C$2)),"",IF(COUNTIFS(m_teacher,AG$4,m_date,($G$2+16),m_active,1,m_start,"&lt;"&amp;1440,m_end,"&gt;"&amp;1140)=0,"",IF(COUNTIFS(m_teacher,AG$4,m_date,($G$2+16),m_active,1,m_start,"&lt;"&amp;1440,m_end,"&gt;"&amp;1140)&gt;1,"충돌",HYPERLINK("#'관리자_MASTER'!D"&amp;_xlfn.MAXIFS(m_row,m_teacher,AG$4,m_date,($G$2+16),m_active,1,m_start,"&lt;"&amp;1440,m_end,"&gt;"&amp;1140),INDEX(m_label,_xlfn.MAXIFS(m_row,m_teacher,AG$4,m_date,($G$2+16),m_active,1,m_start,"&lt;"&amp;1440,m_end,"&gt;"&amp;1140))))))</f>
        <v/>
      </c>
      <c r="AH37" s="86" t="str">
        <f aca="false">IF(OR(AH$4="",MONTH(($G$2+16))&lt;&gt;MONTH($C$2)),"",IF(COUNTIFS(m_teacher,AH$4,m_date,($G$2+16),m_active,1,m_start,"&lt;"&amp;1440,m_end,"&gt;"&amp;1140)=0,"",IF(COUNTIFS(m_teacher,AH$4,m_date,($G$2+16),m_active,1,m_start,"&lt;"&amp;1440,m_end,"&gt;"&amp;1140)&gt;1,"충돌",HYPERLINK("#'관리자_MASTER'!D"&amp;_xlfn.MAXIFS(m_row,m_teacher,AH$4,m_date,($G$2+16),m_active,1,m_start,"&lt;"&amp;1440,m_end,"&gt;"&amp;1140),INDEX(m_label,_xlfn.MAXIFS(m_row,m_teacher,AH$4,m_date,($G$2+16),m_active,1,m_start,"&lt;"&amp;1440,m_end,"&gt;"&amp;1140))))))</f>
        <v/>
      </c>
      <c r="AI37" s="86" t="str">
        <f aca="false">IF(OR(AI$4="",MONTH(($G$2+16))&lt;&gt;MONTH($C$2)),"",IF(COUNTIFS(m_teacher,AI$4,m_date,($G$2+16),m_active,1,m_start,"&lt;"&amp;1440,m_end,"&gt;"&amp;1140)=0,"",IF(COUNTIFS(m_teacher,AI$4,m_date,($G$2+16),m_active,1,m_start,"&lt;"&amp;1440,m_end,"&gt;"&amp;1140)&gt;1,"충돌",HYPERLINK("#'관리자_MASTER'!D"&amp;_xlfn.MAXIFS(m_row,m_teacher,AI$4,m_date,($G$2+16),m_active,1,m_start,"&lt;"&amp;1440,m_end,"&gt;"&amp;1140),INDEX(m_label,_xlfn.MAXIFS(m_row,m_teacher,AI$4,m_date,($G$2+16),m_active,1,m_start,"&lt;"&amp;1440,m_end,"&gt;"&amp;1140))))))</f>
        <v/>
      </c>
      <c r="AJ37" s="86" t="str">
        <f aca="false">IF(OR(AJ$4="",MONTH(($G$2+16))&lt;&gt;MONTH($C$2)),"",IF(COUNTIFS(m_teacher,AJ$4,m_date,($G$2+16),m_active,1,m_start,"&lt;"&amp;1440,m_end,"&gt;"&amp;1140)=0,"",IF(COUNTIFS(m_teacher,AJ$4,m_date,($G$2+16),m_active,1,m_start,"&lt;"&amp;1440,m_end,"&gt;"&amp;1140)&gt;1,"충돌",HYPERLINK("#'관리자_MASTER'!D"&amp;_xlfn.MAXIFS(m_row,m_teacher,AJ$4,m_date,($G$2+16),m_active,1,m_start,"&lt;"&amp;1440,m_end,"&gt;"&amp;1140),INDEX(m_label,_xlfn.MAXIFS(m_row,m_teacher,AJ$4,m_date,($G$2+16),m_active,1,m_start,"&lt;"&amp;1440,m_end,"&gt;"&amp;1140))))))</f>
        <v/>
      </c>
      <c r="AK37" s="86" t="str">
        <f aca="false">IF(OR(AK$4="",MONTH(($G$2+16))&lt;&gt;MONTH($C$2)),"",IF(COUNTIFS(m_teacher,AK$4,m_date,($G$2+16),m_active,1,m_start,"&lt;"&amp;1440,m_end,"&gt;"&amp;1140)=0,"",IF(COUNTIFS(m_teacher,AK$4,m_date,($G$2+16),m_active,1,m_start,"&lt;"&amp;1440,m_end,"&gt;"&amp;1140)&gt;1,"충돌",HYPERLINK("#'관리자_MASTER'!D"&amp;_xlfn.MAXIFS(m_row,m_teacher,AK$4,m_date,($G$2+16),m_active,1,m_start,"&lt;"&amp;1440,m_end,"&gt;"&amp;1140),INDEX(m_label,_xlfn.MAXIFS(m_row,m_teacher,AK$4,m_date,($G$2+16),m_active,1,m_start,"&lt;"&amp;1440,m_end,"&gt;"&amp;1140))))))</f>
        <v/>
      </c>
      <c r="AL37" s="86" t="str">
        <f aca="false">IF(OR(AL$4="",MONTH(($G$2+16))&lt;&gt;MONTH($C$2)),"",IF(COUNTIFS(m_teacher,AL$4,m_date,($G$2+16),m_active,1,m_start,"&lt;"&amp;1440,m_end,"&gt;"&amp;1140)=0,"",IF(COUNTIFS(m_teacher,AL$4,m_date,($G$2+16),m_active,1,m_start,"&lt;"&amp;1440,m_end,"&gt;"&amp;1140)&gt;1,"충돌",HYPERLINK("#'관리자_MASTER'!D"&amp;_xlfn.MAXIFS(m_row,m_teacher,AL$4,m_date,($G$2+16),m_active,1,m_start,"&lt;"&amp;1440,m_end,"&gt;"&amp;1140),INDEX(m_label,_xlfn.MAXIFS(m_row,m_teacher,AL$4,m_date,($G$2+16),m_active,1,m_start,"&lt;"&amp;1440,m_end,"&gt;"&amp;1140))))))</f>
        <v/>
      </c>
      <c r="AM37" s="86" t="str">
        <f aca="false">IF(OR(AM$4="",MONTH(($G$2+16))&lt;&gt;MONTH($C$2)),"",IF(COUNTIFS(m_teacher,AM$4,m_date,($G$2+16),m_active,1,m_start,"&lt;"&amp;1440,m_end,"&gt;"&amp;1140)=0,"",IF(COUNTIFS(m_teacher,AM$4,m_date,($G$2+16),m_active,1,m_start,"&lt;"&amp;1440,m_end,"&gt;"&amp;1140)&gt;1,"충돌",HYPERLINK("#'관리자_MASTER'!D"&amp;_xlfn.MAXIFS(m_row,m_teacher,AM$4,m_date,($G$2+16),m_active,1,m_start,"&lt;"&amp;1440,m_end,"&gt;"&amp;1140),INDEX(m_label,_xlfn.MAXIFS(m_row,m_teacher,AM$4,m_date,($G$2+16),m_active,1,m_start,"&lt;"&amp;1440,m_end,"&gt;"&amp;1140))))))</f>
        <v/>
      </c>
      <c r="AN37" s="86" t="str">
        <f aca="false">IF(OR(AN$4="",MONTH(($G$2+16))&lt;&gt;MONTH($C$2)),"",IF(COUNTIFS(m_teacher,AN$4,m_date,($G$2+16),m_active,1,m_start,"&lt;"&amp;1440,m_end,"&gt;"&amp;1140)=0,"",IF(COUNTIFS(m_teacher,AN$4,m_date,($G$2+16),m_active,1,m_start,"&lt;"&amp;1440,m_end,"&gt;"&amp;1140)&gt;1,"충돌",HYPERLINK("#'관리자_MASTER'!D"&amp;_xlfn.MAXIFS(m_row,m_teacher,AN$4,m_date,($G$2+16),m_active,1,m_start,"&lt;"&amp;1440,m_end,"&gt;"&amp;1140),INDEX(m_label,_xlfn.MAXIFS(m_row,m_teacher,AN$4,m_date,($G$2+16),m_active,1,m_start,"&lt;"&amp;1440,m_end,"&gt;"&amp;1140))))))</f>
        <v/>
      </c>
      <c r="AO37" s="86" t="str">
        <f aca="false">IF(OR(AO$4="",MONTH(($G$2+16))&lt;&gt;MONTH($C$2)),"",IF(COUNTIFS(m_teacher,AO$4,m_date,($G$2+16),m_active,1,m_start,"&lt;"&amp;1440,m_end,"&gt;"&amp;1140)=0,"",IF(COUNTIFS(m_teacher,AO$4,m_date,($G$2+16),m_active,1,m_start,"&lt;"&amp;1440,m_end,"&gt;"&amp;1140)&gt;1,"충돌",HYPERLINK("#'관리자_MASTER'!D"&amp;_xlfn.MAXIFS(m_row,m_teacher,AO$4,m_date,($G$2+16),m_active,1,m_start,"&lt;"&amp;1440,m_end,"&gt;"&amp;1140),INDEX(m_label,_xlfn.MAXIFS(m_row,m_teacher,AO$4,m_date,($G$2+16),m_active,1,m_start,"&lt;"&amp;1440,m_end,"&gt;"&amp;1140))))))</f>
        <v/>
      </c>
      <c r="AP37" s="86" t="str">
        <f aca="false">IF(OR(AP$4="",MONTH(($G$2+16))&lt;&gt;MONTH($C$2)),"",IF(COUNTIFS(m_teacher,AP$4,m_date,($G$2+16),m_active,1,m_start,"&lt;"&amp;1440,m_end,"&gt;"&amp;1140)=0,"",IF(COUNTIFS(m_teacher,AP$4,m_date,($G$2+16),m_active,1,m_start,"&lt;"&amp;1440,m_end,"&gt;"&amp;1140)&gt;1,"충돌",HYPERLINK("#'관리자_MASTER'!D"&amp;_xlfn.MAXIFS(m_row,m_teacher,AP$4,m_date,($G$2+16),m_active,1,m_start,"&lt;"&amp;1440,m_end,"&gt;"&amp;1140),INDEX(m_label,_xlfn.MAXIFS(m_row,m_teacher,AP$4,m_date,($G$2+16),m_active,1,m_start,"&lt;"&amp;1440,m_end,"&gt;"&amp;1140))))))</f>
        <v/>
      </c>
      <c r="AQ37" s="78"/>
      <c r="AR37" s="85" t="s">
        <v>101</v>
      </c>
      <c r="AS37" s="86" t="str">
        <f aca="false">IF(OR(AS$4="",MONTH(($G$2+23))&lt;&gt;MONTH($C$2)),"",IF(COUNTIFS(m_teacher,AS$4,m_date,($G$2+23),m_active,1,m_start,"&lt;"&amp;1440,m_end,"&gt;"&amp;1140)=0,"",IF(COUNTIFS(m_teacher,AS$4,m_date,($G$2+23),m_active,1,m_start,"&lt;"&amp;1440,m_end,"&gt;"&amp;1140)&gt;1,"충돌",HYPERLINK("#'관리자_MASTER'!D"&amp;_xlfn.MAXIFS(m_row,m_teacher,AS$4,m_date,($G$2+23),m_active,1,m_start,"&lt;"&amp;1440,m_end,"&gt;"&amp;1140),INDEX(m_label,_xlfn.MAXIFS(m_row,m_teacher,AS$4,m_date,($G$2+23),m_active,1,m_start,"&lt;"&amp;1440,m_end,"&gt;"&amp;1140))))))</f>
        <v/>
      </c>
      <c r="AT37" s="86" t="str">
        <f aca="false">IF(OR(AT$4="",MONTH(($G$2+23))&lt;&gt;MONTH($C$2)),"",IF(COUNTIFS(m_teacher,AT$4,m_date,($G$2+23),m_active,1,m_start,"&lt;"&amp;1440,m_end,"&gt;"&amp;1140)=0,"",IF(COUNTIFS(m_teacher,AT$4,m_date,($G$2+23),m_active,1,m_start,"&lt;"&amp;1440,m_end,"&gt;"&amp;1140)&gt;1,"충돌",HYPERLINK("#'관리자_MASTER'!D"&amp;_xlfn.MAXIFS(m_row,m_teacher,AT$4,m_date,($G$2+23),m_active,1,m_start,"&lt;"&amp;1440,m_end,"&gt;"&amp;1140),INDEX(m_label,_xlfn.MAXIFS(m_row,m_teacher,AT$4,m_date,($G$2+23),m_active,1,m_start,"&lt;"&amp;1440,m_end,"&gt;"&amp;1140))))))</f>
        <v/>
      </c>
      <c r="AU37" s="86" t="str">
        <f aca="false">IF(OR(AU$4="",MONTH(($G$2+23))&lt;&gt;MONTH($C$2)),"",IF(COUNTIFS(m_teacher,AU$4,m_date,($G$2+23),m_active,1,m_start,"&lt;"&amp;1440,m_end,"&gt;"&amp;1140)=0,"",IF(COUNTIFS(m_teacher,AU$4,m_date,($G$2+23),m_active,1,m_start,"&lt;"&amp;1440,m_end,"&gt;"&amp;1140)&gt;1,"충돌",HYPERLINK("#'관리자_MASTER'!D"&amp;_xlfn.MAXIFS(m_row,m_teacher,AU$4,m_date,($G$2+23),m_active,1,m_start,"&lt;"&amp;1440,m_end,"&gt;"&amp;1140),INDEX(m_label,_xlfn.MAXIFS(m_row,m_teacher,AU$4,m_date,($G$2+23),m_active,1,m_start,"&lt;"&amp;1440,m_end,"&gt;"&amp;1140))))))</f>
        <v/>
      </c>
      <c r="AV37" s="86" t="str">
        <f aca="false">IF(OR(AV$4="",MONTH(($G$2+23))&lt;&gt;MONTH($C$2)),"",IF(COUNTIFS(m_teacher,AV$4,m_date,($G$2+23),m_active,1,m_start,"&lt;"&amp;1440,m_end,"&gt;"&amp;1140)=0,"",IF(COUNTIFS(m_teacher,AV$4,m_date,($G$2+23),m_active,1,m_start,"&lt;"&amp;1440,m_end,"&gt;"&amp;1140)&gt;1,"충돌",HYPERLINK("#'관리자_MASTER'!D"&amp;_xlfn.MAXIFS(m_row,m_teacher,AV$4,m_date,($G$2+23),m_active,1,m_start,"&lt;"&amp;1440,m_end,"&gt;"&amp;1140),INDEX(m_label,_xlfn.MAXIFS(m_row,m_teacher,AV$4,m_date,($G$2+23),m_active,1,m_start,"&lt;"&amp;1440,m_end,"&gt;"&amp;1140))))))</f>
        <v/>
      </c>
      <c r="AW37" s="86" t="str">
        <f aca="false">IF(OR(AW$4="",MONTH(($G$2+23))&lt;&gt;MONTH($C$2)),"",IF(COUNTIFS(m_teacher,AW$4,m_date,($G$2+23),m_active,1,m_start,"&lt;"&amp;1440,m_end,"&gt;"&amp;1140)=0,"",IF(COUNTIFS(m_teacher,AW$4,m_date,($G$2+23),m_active,1,m_start,"&lt;"&amp;1440,m_end,"&gt;"&amp;1140)&gt;1,"충돌",HYPERLINK("#'관리자_MASTER'!D"&amp;_xlfn.MAXIFS(m_row,m_teacher,AW$4,m_date,($G$2+23),m_active,1,m_start,"&lt;"&amp;1440,m_end,"&gt;"&amp;1140),INDEX(m_label,_xlfn.MAXIFS(m_row,m_teacher,AW$4,m_date,($G$2+23),m_active,1,m_start,"&lt;"&amp;1440,m_end,"&gt;"&amp;1140))))))</f>
        <v/>
      </c>
      <c r="AX37" s="86" t="str">
        <f aca="false">IF(OR(AX$4="",MONTH(($G$2+23))&lt;&gt;MONTH($C$2)),"",IF(COUNTIFS(m_teacher,AX$4,m_date,($G$2+23),m_active,1,m_start,"&lt;"&amp;1440,m_end,"&gt;"&amp;1140)=0,"",IF(COUNTIFS(m_teacher,AX$4,m_date,($G$2+23),m_active,1,m_start,"&lt;"&amp;1440,m_end,"&gt;"&amp;1140)&gt;1,"충돌",HYPERLINK("#'관리자_MASTER'!D"&amp;_xlfn.MAXIFS(m_row,m_teacher,AX$4,m_date,($G$2+23),m_active,1,m_start,"&lt;"&amp;1440,m_end,"&gt;"&amp;1140),INDEX(m_label,_xlfn.MAXIFS(m_row,m_teacher,AX$4,m_date,($G$2+23),m_active,1,m_start,"&lt;"&amp;1440,m_end,"&gt;"&amp;1140))))))</f>
        <v/>
      </c>
      <c r="AY37" s="86" t="str">
        <f aca="false">IF(OR(AY$4="",MONTH(($G$2+23))&lt;&gt;MONTH($C$2)),"",IF(COUNTIFS(m_teacher,AY$4,m_date,($G$2+23),m_active,1,m_start,"&lt;"&amp;1440,m_end,"&gt;"&amp;1140)=0,"",IF(COUNTIFS(m_teacher,AY$4,m_date,($G$2+23),m_active,1,m_start,"&lt;"&amp;1440,m_end,"&gt;"&amp;1140)&gt;1,"충돌",HYPERLINK("#'관리자_MASTER'!D"&amp;_xlfn.MAXIFS(m_row,m_teacher,AY$4,m_date,($G$2+23),m_active,1,m_start,"&lt;"&amp;1440,m_end,"&gt;"&amp;1140),INDEX(m_label,_xlfn.MAXIFS(m_row,m_teacher,AY$4,m_date,($G$2+23),m_active,1,m_start,"&lt;"&amp;1440,m_end,"&gt;"&amp;1140))))))</f>
        <v/>
      </c>
      <c r="AZ37" s="86" t="str">
        <f aca="false">IF(OR(AZ$4="",MONTH(($G$2+23))&lt;&gt;MONTH($C$2)),"",IF(COUNTIFS(m_teacher,AZ$4,m_date,($G$2+23),m_active,1,m_start,"&lt;"&amp;1440,m_end,"&gt;"&amp;1140)=0,"",IF(COUNTIFS(m_teacher,AZ$4,m_date,($G$2+23),m_active,1,m_start,"&lt;"&amp;1440,m_end,"&gt;"&amp;1140)&gt;1,"충돌",HYPERLINK("#'관리자_MASTER'!D"&amp;_xlfn.MAXIFS(m_row,m_teacher,AZ$4,m_date,($G$2+23),m_active,1,m_start,"&lt;"&amp;1440,m_end,"&gt;"&amp;1140),INDEX(m_label,_xlfn.MAXIFS(m_row,m_teacher,AZ$4,m_date,($G$2+23),m_active,1,m_start,"&lt;"&amp;1440,m_end,"&gt;"&amp;1140))))))</f>
        <v/>
      </c>
      <c r="BA37" s="86" t="str">
        <f aca="false">IF(OR(BA$4="",MONTH(($G$2+23))&lt;&gt;MONTH($C$2)),"",IF(COUNTIFS(m_teacher,BA$4,m_date,($G$2+23),m_active,1,m_start,"&lt;"&amp;1440,m_end,"&gt;"&amp;1140)=0,"",IF(COUNTIFS(m_teacher,BA$4,m_date,($G$2+23),m_active,1,m_start,"&lt;"&amp;1440,m_end,"&gt;"&amp;1140)&gt;1,"충돌",HYPERLINK("#'관리자_MASTER'!D"&amp;_xlfn.MAXIFS(m_row,m_teacher,BA$4,m_date,($G$2+23),m_active,1,m_start,"&lt;"&amp;1440,m_end,"&gt;"&amp;1140),INDEX(m_label,_xlfn.MAXIFS(m_row,m_teacher,BA$4,m_date,($G$2+23),m_active,1,m_start,"&lt;"&amp;1440,m_end,"&gt;"&amp;1140))))))</f>
        <v/>
      </c>
      <c r="BB37" s="86" t="str">
        <f aca="false">IF(OR(BB$4="",MONTH(($G$2+23))&lt;&gt;MONTH($C$2)),"",IF(COUNTIFS(m_teacher,BB$4,m_date,($G$2+23),m_active,1,m_start,"&lt;"&amp;1440,m_end,"&gt;"&amp;1140)=0,"",IF(COUNTIFS(m_teacher,BB$4,m_date,($G$2+23),m_active,1,m_start,"&lt;"&amp;1440,m_end,"&gt;"&amp;1140)&gt;1,"충돌",HYPERLINK("#'관리자_MASTER'!D"&amp;_xlfn.MAXIFS(m_row,m_teacher,BB$4,m_date,($G$2+23),m_active,1,m_start,"&lt;"&amp;1440,m_end,"&gt;"&amp;1140),INDEX(m_label,_xlfn.MAXIFS(m_row,m_teacher,BB$4,m_date,($G$2+23),m_active,1,m_start,"&lt;"&amp;1440,m_end,"&gt;"&amp;1140))))))</f>
        <v/>
      </c>
      <c r="BC37" s="86" t="str">
        <f aca="false">IF(OR(BC$4="",MONTH(($G$2+23))&lt;&gt;MONTH($C$2)),"",IF(COUNTIFS(m_teacher,BC$4,m_date,($G$2+23),m_active,1,m_start,"&lt;"&amp;1440,m_end,"&gt;"&amp;1140)=0,"",IF(COUNTIFS(m_teacher,BC$4,m_date,($G$2+23),m_active,1,m_start,"&lt;"&amp;1440,m_end,"&gt;"&amp;1140)&gt;1,"충돌",HYPERLINK("#'관리자_MASTER'!D"&amp;_xlfn.MAXIFS(m_row,m_teacher,BC$4,m_date,($G$2+23),m_active,1,m_start,"&lt;"&amp;1440,m_end,"&gt;"&amp;1140),INDEX(m_label,_xlfn.MAXIFS(m_row,m_teacher,BC$4,m_date,($G$2+23),m_active,1,m_start,"&lt;"&amp;1440,m_end,"&gt;"&amp;1140))))))</f>
        <v/>
      </c>
      <c r="BD37" s="86" t="str">
        <f aca="false">IF(OR(BD$4="",MONTH(($G$2+23))&lt;&gt;MONTH($C$2)),"",IF(COUNTIFS(m_teacher,BD$4,m_date,($G$2+23),m_active,1,m_start,"&lt;"&amp;1440,m_end,"&gt;"&amp;1140)=0,"",IF(COUNTIFS(m_teacher,BD$4,m_date,($G$2+23),m_active,1,m_start,"&lt;"&amp;1440,m_end,"&gt;"&amp;1140)&gt;1,"충돌",HYPERLINK("#'관리자_MASTER'!D"&amp;_xlfn.MAXIFS(m_row,m_teacher,BD$4,m_date,($G$2+23),m_active,1,m_start,"&lt;"&amp;1440,m_end,"&gt;"&amp;1140),INDEX(m_label,_xlfn.MAXIFS(m_row,m_teacher,BD$4,m_date,($G$2+23),m_active,1,m_start,"&lt;"&amp;1440,m_end,"&gt;"&amp;1140))))))</f>
        <v/>
      </c>
      <c r="BE37" s="78"/>
      <c r="BF37" s="85" t="s">
        <v>101</v>
      </c>
      <c r="BG37" s="86" t="str">
        <f aca="false">IF(OR(BG$4="",MONTH(($G$2+30))&lt;&gt;MONTH($C$2)),"",IF(COUNTIFS(m_teacher,BG$4,m_date,($G$2+30),m_active,1,m_start,"&lt;"&amp;1440,m_end,"&gt;"&amp;1140)=0,"",IF(COUNTIFS(m_teacher,BG$4,m_date,($G$2+30),m_active,1,m_start,"&lt;"&amp;1440,m_end,"&gt;"&amp;1140)&gt;1,"충돌",HYPERLINK("#'관리자_MASTER'!D"&amp;_xlfn.MAXIFS(m_row,m_teacher,BG$4,m_date,($G$2+30),m_active,1,m_start,"&lt;"&amp;1440,m_end,"&gt;"&amp;1140),INDEX(m_label,_xlfn.MAXIFS(m_row,m_teacher,BG$4,m_date,($G$2+30),m_active,1,m_start,"&lt;"&amp;1440,m_end,"&gt;"&amp;1140))))))</f>
        <v/>
      </c>
      <c r="BH37" s="86" t="str">
        <f aca="false">IF(OR(BH$4="",MONTH(($G$2+30))&lt;&gt;MONTH($C$2)),"",IF(COUNTIFS(m_teacher,BH$4,m_date,($G$2+30),m_active,1,m_start,"&lt;"&amp;1440,m_end,"&gt;"&amp;1140)=0,"",IF(COUNTIFS(m_teacher,BH$4,m_date,($G$2+30),m_active,1,m_start,"&lt;"&amp;1440,m_end,"&gt;"&amp;1140)&gt;1,"충돌",HYPERLINK("#'관리자_MASTER'!D"&amp;_xlfn.MAXIFS(m_row,m_teacher,BH$4,m_date,($G$2+30),m_active,1,m_start,"&lt;"&amp;1440,m_end,"&gt;"&amp;1140),INDEX(m_label,_xlfn.MAXIFS(m_row,m_teacher,BH$4,m_date,($G$2+30),m_active,1,m_start,"&lt;"&amp;1440,m_end,"&gt;"&amp;1140))))))</f>
        <v/>
      </c>
      <c r="BI37" s="86" t="str">
        <f aca="false">IF(OR(BI$4="",MONTH(($G$2+30))&lt;&gt;MONTH($C$2)),"",IF(COUNTIFS(m_teacher,BI$4,m_date,($G$2+30),m_active,1,m_start,"&lt;"&amp;1440,m_end,"&gt;"&amp;1140)=0,"",IF(COUNTIFS(m_teacher,BI$4,m_date,($G$2+30),m_active,1,m_start,"&lt;"&amp;1440,m_end,"&gt;"&amp;1140)&gt;1,"충돌",HYPERLINK("#'관리자_MASTER'!D"&amp;_xlfn.MAXIFS(m_row,m_teacher,BI$4,m_date,($G$2+30),m_active,1,m_start,"&lt;"&amp;1440,m_end,"&gt;"&amp;1140),INDEX(m_label,_xlfn.MAXIFS(m_row,m_teacher,BI$4,m_date,($G$2+30),m_active,1,m_start,"&lt;"&amp;1440,m_end,"&gt;"&amp;1140))))))</f>
        <v/>
      </c>
      <c r="BJ37" s="86" t="str">
        <f aca="false">IF(OR(BJ$4="",MONTH(($G$2+30))&lt;&gt;MONTH($C$2)),"",IF(COUNTIFS(m_teacher,BJ$4,m_date,($G$2+30),m_active,1,m_start,"&lt;"&amp;1440,m_end,"&gt;"&amp;1140)=0,"",IF(COUNTIFS(m_teacher,BJ$4,m_date,($G$2+30),m_active,1,m_start,"&lt;"&amp;1440,m_end,"&gt;"&amp;1140)&gt;1,"충돌",HYPERLINK("#'관리자_MASTER'!D"&amp;_xlfn.MAXIFS(m_row,m_teacher,BJ$4,m_date,($G$2+30),m_active,1,m_start,"&lt;"&amp;1440,m_end,"&gt;"&amp;1140),INDEX(m_label,_xlfn.MAXIFS(m_row,m_teacher,BJ$4,m_date,($G$2+30),m_active,1,m_start,"&lt;"&amp;1440,m_end,"&gt;"&amp;1140))))))</f>
        <v/>
      </c>
      <c r="BK37" s="86" t="str">
        <f aca="false">IF(OR(BK$4="",MONTH(($G$2+30))&lt;&gt;MONTH($C$2)),"",IF(COUNTIFS(m_teacher,BK$4,m_date,($G$2+30),m_active,1,m_start,"&lt;"&amp;1440,m_end,"&gt;"&amp;1140)=0,"",IF(COUNTIFS(m_teacher,BK$4,m_date,($G$2+30),m_active,1,m_start,"&lt;"&amp;1440,m_end,"&gt;"&amp;1140)&gt;1,"충돌",HYPERLINK("#'관리자_MASTER'!D"&amp;_xlfn.MAXIFS(m_row,m_teacher,BK$4,m_date,($G$2+30),m_active,1,m_start,"&lt;"&amp;1440,m_end,"&gt;"&amp;1140),INDEX(m_label,_xlfn.MAXIFS(m_row,m_teacher,BK$4,m_date,($G$2+30),m_active,1,m_start,"&lt;"&amp;1440,m_end,"&gt;"&amp;1140))))))</f>
        <v/>
      </c>
      <c r="BL37" s="86" t="str">
        <f aca="false">IF(OR(BL$4="",MONTH(($G$2+30))&lt;&gt;MONTH($C$2)),"",IF(COUNTIFS(m_teacher,BL$4,m_date,($G$2+30),m_active,1,m_start,"&lt;"&amp;1440,m_end,"&gt;"&amp;1140)=0,"",IF(COUNTIFS(m_teacher,BL$4,m_date,($G$2+30),m_active,1,m_start,"&lt;"&amp;1440,m_end,"&gt;"&amp;1140)&gt;1,"충돌",HYPERLINK("#'관리자_MASTER'!D"&amp;_xlfn.MAXIFS(m_row,m_teacher,BL$4,m_date,($G$2+30),m_active,1,m_start,"&lt;"&amp;1440,m_end,"&gt;"&amp;1140),INDEX(m_label,_xlfn.MAXIFS(m_row,m_teacher,BL$4,m_date,($G$2+30),m_active,1,m_start,"&lt;"&amp;1440,m_end,"&gt;"&amp;1140))))))</f>
        <v/>
      </c>
      <c r="BM37" s="86" t="str">
        <f aca="false">IF(OR(BM$4="",MONTH(($G$2+30))&lt;&gt;MONTH($C$2)),"",IF(COUNTIFS(m_teacher,BM$4,m_date,($G$2+30),m_active,1,m_start,"&lt;"&amp;1440,m_end,"&gt;"&amp;1140)=0,"",IF(COUNTIFS(m_teacher,BM$4,m_date,($G$2+30),m_active,1,m_start,"&lt;"&amp;1440,m_end,"&gt;"&amp;1140)&gt;1,"충돌",HYPERLINK("#'관리자_MASTER'!D"&amp;_xlfn.MAXIFS(m_row,m_teacher,BM$4,m_date,($G$2+30),m_active,1,m_start,"&lt;"&amp;1440,m_end,"&gt;"&amp;1140),INDEX(m_label,_xlfn.MAXIFS(m_row,m_teacher,BM$4,m_date,($G$2+30),m_active,1,m_start,"&lt;"&amp;1440,m_end,"&gt;"&amp;1140))))))</f>
        <v/>
      </c>
      <c r="BN37" s="86" t="str">
        <f aca="false">IF(OR(BN$4="",MONTH(($G$2+30))&lt;&gt;MONTH($C$2)),"",IF(COUNTIFS(m_teacher,BN$4,m_date,($G$2+30),m_active,1,m_start,"&lt;"&amp;1440,m_end,"&gt;"&amp;1140)=0,"",IF(COUNTIFS(m_teacher,BN$4,m_date,($G$2+30),m_active,1,m_start,"&lt;"&amp;1440,m_end,"&gt;"&amp;1140)&gt;1,"충돌",HYPERLINK("#'관리자_MASTER'!D"&amp;_xlfn.MAXIFS(m_row,m_teacher,BN$4,m_date,($G$2+30),m_active,1,m_start,"&lt;"&amp;1440,m_end,"&gt;"&amp;1140),INDEX(m_label,_xlfn.MAXIFS(m_row,m_teacher,BN$4,m_date,($G$2+30),m_active,1,m_start,"&lt;"&amp;1440,m_end,"&gt;"&amp;1140))))))</f>
        <v/>
      </c>
      <c r="BO37" s="86" t="str">
        <f aca="false">IF(OR(BO$4="",MONTH(($G$2+30))&lt;&gt;MONTH($C$2)),"",IF(COUNTIFS(m_teacher,BO$4,m_date,($G$2+30),m_active,1,m_start,"&lt;"&amp;1440,m_end,"&gt;"&amp;1140)=0,"",IF(COUNTIFS(m_teacher,BO$4,m_date,($G$2+30),m_active,1,m_start,"&lt;"&amp;1440,m_end,"&gt;"&amp;1140)&gt;1,"충돌",HYPERLINK("#'관리자_MASTER'!D"&amp;_xlfn.MAXIFS(m_row,m_teacher,BO$4,m_date,($G$2+30),m_active,1,m_start,"&lt;"&amp;1440,m_end,"&gt;"&amp;1140),INDEX(m_label,_xlfn.MAXIFS(m_row,m_teacher,BO$4,m_date,($G$2+30),m_active,1,m_start,"&lt;"&amp;1440,m_end,"&gt;"&amp;1140))))))</f>
        <v/>
      </c>
      <c r="BP37" s="86" t="str">
        <f aca="false">IF(OR(BP$4="",MONTH(($G$2+30))&lt;&gt;MONTH($C$2)),"",IF(COUNTIFS(m_teacher,BP$4,m_date,($G$2+30),m_active,1,m_start,"&lt;"&amp;1440,m_end,"&gt;"&amp;1140)=0,"",IF(COUNTIFS(m_teacher,BP$4,m_date,($G$2+30),m_active,1,m_start,"&lt;"&amp;1440,m_end,"&gt;"&amp;1140)&gt;1,"충돌",HYPERLINK("#'관리자_MASTER'!D"&amp;_xlfn.MAXIFS(m_row,m_teacher,BP$4,m_date,($G$2+30),m_active,1,m_start,"&lt;"&amp;1440,m_end,"&gt;"&amp;1140),INDEX(m_label,_xlfn.MAXIFS(m_row,m_teacher,BP$4,m_date,($G$2+30),m_active,1,m_start,"&lt;"&amp;1440,m_end,"&gt;"&amp;1140))))))</f>
        <v/>
      </c>
      <c r="BQ37" s="86" t="str">
        <f aca="false">IF(OR(BQ$4="",MONTH(($G$2+30))&lt;&gt;MONTH($C$2)),"",IF(COUNTIFS(m_teacher,BQ$4,m_date,($G$2+30),m_active,1,m_start,"&lt;"&amp;1440,m_end,"&gt;"&amp;1140)=0,"",IF(COUNTIFS(m_teacher,BQ$4,m_date,($G$2+30),m_active,1,m_start,"&lt;"&amp;1440,m_end,"&gt;"&amp;1140)&gt;1,"충돌",HYPERLINK("#'관리자_MASTER'!D"&amp;_xlfn.MAXIFS(m_row,m_teacher,BQ$4,m_date,($G$2+30),m_active,1,m_start,"&lt;"&amp;1440,m_end,"&gt;"&amp;1140),INDEX(m_label,_xlfn.MAXIFS(m_row,m_teacher,BQ$4,m_date,($G$2+30),m_active,1,m_start,"&lt;"&amp;1440,m_end,"&gt;"&amp;1140))))))</f>
        <v/>
      </c>
      <c r="BR37" s="86" t="str">
        <f aca="false">IF(OR(BR$4="",MONTH(($G$2+30))&lt;&gt;MONTH($C$2)),"",IF(COUNTIFS(m_teacher,BR$4,m_date,($G$2+30),m_active,1,m_start,"&lt;"&amp;1440,m_end,"&gt;"&amp;1140)=0,"",IF(COUNTIFS(m_teacher,BR$4,m_date,($G$2+30),m_active,1,m_start,"&lt;"&amp;1440,m_end,"&gt;"&amp;1140)&gt;1,"충돌",HYPERLINK("#'관리자_MASTER'!D"&amp;_xlfn.MAXIFS(m_row,m_teacher,BR$4,m_date,($G$2+30),m_active,1,m_start,"&lt;"&amp;1440,m_end,"&gt;"&amp;1140),INDEX(m_label,_xlfn.MAXIFS(m_row,m_teacher,BR$4,m_date,($G$2+30),m_active,1,m_start,"&lt;"&amp;1440,m_end,"&gt;"&amp;1140))))))</f>
        <v/>
      </c>
    </row>
    <row r="38" customFormat="false" ht="19.5" hidden="false" customHeight="true" outlineLevel="0" collapsed="false">
      <c r="A38" s="78" t="str">
        <f aca="false">IF(MONTH(($G$2+3))&lt;&gt;MONTH($C$2),"",CHOOSE(WEEKDAY(($G$2+3),2),"월","화","수","목","금","토","일")&amp;CHAR(10)&amp;TEXT(($G$2+3),"m/d"))</f>
        <v>목
12/3</v>
      </c>
      <c r="B38" s="79" t="s">
        <v>91</v>
      </c>
      <c r="C38" s="87" t="str">
        <f aca="false">IF(OR(C$4="",MONTH(($G$2+3))&lt;&gt;MONTH($C$2)),"",IF(COUNTIFS(m_teacher,C$4,m_date,($G$2+3),m_active,1,m_start,"&lt;"&amp;600,m_end,"&gt;"&amp;0)=0,"",IF(COUNTIFS(m_teacher,C$4,m_date,($G$2+3),m_active,1,m_start,"&lt;"&amp;600,m_end,"&gt;"&amp;0)&gt;1,"충돌",HYPERLINK("#'관리자_MASTER'!D"&amp;_xlfn.MAXIFS(m_row,m_teacher,C$4,m_date,($G$2+3),m_active,1,m_start,"&lt;"&amp;600,m_end,"&gt;"&amp;0),INDEX(m_label,_xlfn.MAXIFS(m_row,m_teacher,C$4,m_date,($G$2+3),m_active,1,m_start,"&lt;"&amp;600,m_end,"&gt;"&amp;0))))))</f>
        <v/>
      </c>
      <c r="D38" s="87" t="str">
        <f aca="false">IF(OR(D$4="",MONTH(($G$2+3))&lt;&gt;MONTH($C$2)),"",IF(COUNTIFS(m_teacher,D$4,m_date,($G$2+3),m_active,1,m_start,"&lt;"&amp;600,m_end,"&gt;"&amp;0)=0,"",IF(COUNTIFS(m_teacher,D$4,m_date,($G$2+3),m_active,1,m_start,"&lt;"&amp;600,m_end,"&gt;"&amp;0)&gt;1,"충돌",HYPERLINK("#'관리자_MASTER'!D"&amp;_xlfn.MAXIFS(m_row,m_teacher,D$4,m_date,($G$2+3),m_active,1,m_start,"&lt;"&amp;600,m_end,"&gt;"&amp;0),INDEX(m_label,_xlfn.MAXIFS(m_row,m_teacher,D$4,m_date,($G$2+3),m_active,1,m_start,"&lt;"&amp;600,m_end,"&gt;"&amp;0))))))</f>
        <v/>
      </c>
      <c r="E38" s="87" t="str">
        <f aca="false">IF(OR(E$4="",MONTH(($G$2+3))&lt;&gt;MONTH($C$2)),"",IF(COUNTIFS(m_teacher,E$4,m_date,($G$2+3),m_active,1,m_start,"&lt;"&amp;600,m_end,"&gt;"&amp;0)=0,"",IF(COUNTIFS(m_teacher,E$4,m_date,($G$2+3),m_active,1,m_start,"&lt;"&amp;600,m_end,"&gt;"&amp;0)&gt;1,"충돌",HYPERLINK("#'관리자_MASTER'!D"&amp;_xlfn.MAXIFS(m_row,m_teacher,E$4,m_date,($G$2+3),m_active,1,m_start,"&lt;"&amp;600,m_end,"&gt;"&amp;0),INDEX(m_label,_xlfn.MAXIFS(m_row,m_teacher,E$4,m_date,($G$2+3),m_active,1,m_start,"&lt;"&amp;600,m_end,"&gt;"&amp;0))))))</f>
        <v/>
      </c>
      <c r="F38" s="87" t="str">
        <f aca="false">IF(OR(F$4="",MONTH(($G$2+3))&lt;&gt;MONTH($C$2)),"",IF(COUNTIFS(m_teacher,F$4,m_date,($G$2+3),m_active,1,m_start,"&lt;"&amp;600,m_end,"&gt;"&amp;0)=0,"",IF(COUNTIFS(m_teacher,F$4,m_date,($G$2+3),m_active,1,m_start,"&lt;"&amp;600,m_end,"&gt;"&amp;0)&gt;1,"충돌",HYPERLINK("#'관리자_MASTER'!D"&amp;_xlfn.MAXIFS(m_row,m_teacher,F$4,m_date,($G$2+3),m_active,1,m_start,"&lt;"&amp;600,m_end,"&gt;"&amp;0),INDEX(m_label,_xlfn.MAXIFS(m_row,m_teacher,F$4,m_date,($G$2+3),m_active,1,m_start,"&lt;"&amp;600,m_end,"&gt;"&amp;0))))))</f>
        <v/>
      </c>
      <c r="G38" s="87" t="str">
        <f aca="false">IF(OR(G$4="",MONTH(($G$2+3))&lt;&gt;MONTH($C$2)),"",IF(COUNTIFS(m_teacher,G$4,m_date,($G$2+3),m_active,1,m_start,"&lt;"&amp;600,m_end,"&gt;"&amp;0)=0,"",IF(COUNTIFS(m_teacher,G$4,m_date,($G$2+3),m_active,1,m_start,"&lt;"&amp;600,m_end,"&gt;"&amp;0)&gt;1,"충돌",HYPERLINK("#'관리자_MASTER'!D"&amp;_xlfn.MAXIFS(m_row,m_teacher,G$4,m_date,($G$2+3),m_active,1,m_start,"&lt;"&amp;600,m_end,"&gt;"&amp;0),INDEX(m_label,_xlfn.MAXIFS(m_row,m_teacher,G$4,m_date,($G$2+3),m_active,1,m_start,"&lt;"&amp;600,m_end,"&gt;"&amp;0))))))</f>
        <v/>
      </c>
      <c r="H38" s="87" t="str">
        <f aca="false">IF(OR(H$4="",MONTH(($G$2+3))&lt;&gt;MONTH($C$2)),"",IF(COUNTIFS(m_teacher,H$4,m_date,($G$2+3),m_active,1,m_start,"&lt;"&amp;600,m_end,"&gt;"&amp;0)=0,"",IF(COUNTIFS(m_teacher,H$4,m_date,($G$2+3),m_active,1,m_start,"&lt;"&amp;600,m_end,"&gt;"&amp;0)&gt;1,"충돌",HYPERLINK("#'관리자_MASTER'!D"&amp;_xlfn.MAXIFS(m_row,m_teacher,H$4,m_date,($G$2+3),m_active,1,m_start,"&lt;"&amp;600,m_end,"&gt;"&amp;0),INDEX(m_label,_xlfn.MAXIFS(m_row,m_teacher,H$4,m_date,($G$2+3),m_active,1,m_start,"&lt;"&amp;600,m_end,"&gt;"&amp;0))))))</f>
        <v/>
      </c>
      <c r="I38" s="87" t="str">
        <f aca="false">IF(OR(I$4="",MONTH(($G$2+3))&lt;&gt;MONTH($C$2)),"",IF(COUNTIFS(m_teacher,I$4,m_date,($G$2+3),m_active,1,m_start,"&lt;"&amp;600,m_end,"&gt;"&amp;0)=0,"",IF(COUNTIFS(m_teacher,I$4,m_date,($G$2+3),m_active,1,m_start,"&lt;"&amp;600,m_end,"&gt;"&amp;0)&gt;1,"충돌",HYPERLINK("#'관리자_MASTER'!D"&amp;_xlfn.MAXIFS(m_row,m_teacher,I$4,m_date,($G$2+3),m_active,1,m_start,"&lt;"&amp;600,m_end,"&gt;"&amp;0),INDEX(m_label,_xlfn.MAXIFS(m_row,m_teacher,I$4,m_date,($G$2+3),m_active,1,m_start,"&lt;"&amp;600,m_end,"&gt;"&amp;0))))))</f>
        <v/>
      </c>
      <c r="J38" s="87" t="str">
        <f aca="false">IF(OR(J$4="",MONTH(($G$2+3))&lt;&gt;MONTH($C$2)),"",IF(COUNTIFS(m_teacher,J$4,m_date,($G$2+3),m_active,1,m_start,"&lt;"&amp;600,m_end,"&gt;"&amp;0)=0,"",IF(COUNTIFS(m_teacher,J$4,m_date,($G$2+3),m_active,1,m_start,"&lt;"&amp;600,m_end,"&gt;"&amp;0)&gt;1,"충돌",HYPERLINK("#'관리자_MASTER'!D"&amp;_xlfn.MAXIFS(m_row,m_teacher,J$4,m_date,($G$2+3),m_active,1,m_start,"&lt;"&amp;600,m_end,"&gt;"&amp;0),INDEX(m_label,_xlfn.MAXIFS(m_row,m_teacher,J$4,m_date,($G$2+3),m_active,1,m_start,"&lt;"&amp;600,m_end,"&gt;"&amp;0))))))</f>
        <v/>
      </c>
      <c r="K38" s="87" t="str">
        <f aca="false">IF(OR(K$4="",MONTH(($G$2+3))&lt;&gt;MONTH($C$2)),"",IF(COUNTIFS(m_teacher,K$4,m_date,($G$2+3),m_active,1,m_start,"&lt;"&amp;600,m_end,"&gt;"&amp;0)=0,"",IF(COUNTIFS(m_teacher,K$4,m_date,($G$2+3),m_active,1,m_start,"&lt;"&amp;600,m_end,"&gt;"&amp;0)&gt;1,"충돌",HYPERLINK("#'관리자_MASTER'!D"&amp;_xlfn.MAXIFS(m_row,m_teacher,K$4,m_date,($G$2+3),m_active,1,m_start,"&lt;"&amp;600,m_end,"&gt;"&amp;0),INDEX(m_label,_xlfn.MAXIFS(m_row,m_teacher,K$4,m_date,($G$2+3),m_active,1,m_start,"&lt;"&amp;600,m_end,"&gt;"&amp;0))))))</f>
        <v/>
      </c>
      <c r="L38" s="87" t="str">
        <f aca="false">IF(OR(L$4="",MONTH(($G$2+3))&lt;&gt;MONTH($C$2)),"",IF(COUNTIFS(m_teacher,L$4,m_date,($G$2+3),m_active,1,m_start,"&lt;"&amp;600,m_end,"&gt;"&amp;0)=0,"",IF(COUNTIFS(m_teacher,L$4,m_date,($G$2+3),m_active,1,m_start,"&lt;"&amp;600,m_end,"&gt;"&amp;0)&gt;1,"충돌",HYPERLINK("#'관리자_MASTER'!D"&amp;_xlfn.MAXIFS(m_row,m_teacher,L$4,m_date,($G$2+3),m_active,1,m_start,"&lt;"&amp;600,m_end,"&gt;"&amp;0),INDEX(m_label,_xlfn.MAXIFS(m_row,m_teacher,L$4,m_date,($G$2+3),m_active,1,m_start,"&lt;"&amp;600,m_end,"&gt;"&amp;0))))))</f>
        <v/>
      </c>
      <c r="M38" s="87" t="str">
        <f aca="false">IF(OR(M$4="",MONTH(($G$2+3))&lt;&gt;MONTH($C$2)),"",IF(COUNTIFS(m_teacher,M$4,m_date,($G$2+3),m_active,1,m_start,"&lt;"&amp;600,m_end,"&gt;"&amp;0)=0,"",IF(COUNTIFS(m_teacher,M$4,m_date,($G$2+3),m_active,1,m_start,"&lt;"&amp;600,m_end,"&gt;"&amp;0)&gt;1,"충돌",HYPERLINK("#'관리자_MASTER'!D"&amp;_xlfn.MAXIFS(m_row,m_teacher,M$4,m_date,($G$2+3),m_active,1,m_start,"&lt;"&amp;600,m_end,"&gt;"&amp;0),INDEX(m_label,_xlfn.MAXIFS(m_row,m_teacher,M$4,m_date,($G$2+3),m_active,1,m_start,"&lt;"&amp;600,m_end,"&gt;"&amp;0))))))</f>
        <v/>
      </c>
      <c r="N38" s="87" t="str">
        <f aca="false">IF(OR(N$4="",MONTH(($G$2+3))&lt;&gt;MONTH($C$2)),"",IF(COUNTIFS(m_teacher,N$4,m_date,($G$2+3),m_active,1,m_start,"&lt;"&amp;600,m_end,"&gt;"&amp;0)=0,"",IF(COUNTIFS(m_teacher,N$4,m_date,($G$2+3),m_active,1,m_start,"&lt;"&amp;600,m_end,"&gt;"&amp;0)&gt;1,"충돌",HYPERLINK("#'관리자_MASTER'!D"&amp;_xlfn.MAXIFS(m_row,m_teacher,N$4,m_date,($G$2+3),m_active,1,m_start,"&lt;"&amp;600,m_end,"&gt;"&amp;0),INDEX(m_label,_xlfn.MAXIFS(m_row,m_teacher,N$4,m_date,($G$2+3),m_active,1,m_start,"&lt;"&amp;600,m_end,"&gt;"&amp;0))))))</f>
        <v/>
      </c>
      <c r="O38" s="78" t="str">
        <f aca="false">IF(MONTH(($G$2+10))&lt;&gt;MONTH($C$2),"",CHOOSE(WEEKDAY(($G$2+10),2),"월","화","수","목","금","토","일")&amp;CHAR(10)&amp;TEXT(($G$2+10),"m/d"))</f>
        <v>목
12/10</v>
      </c>
      <c r="P38" s="79" t="s">
        <v>91</v>
      </c>
      <c r="Q38" s="87" t="str">
        <f aca="false">IF(OR(Q$4="",MONTH(($G$2+10))&lt;&gt;MONTH($C$2)),"",IF(COUNTIFS(m_teacher,Q$4,m_date,($G$2+10),m_active,1,m_start,"&lt;"&amp;600,m_end,"&gt;"&amp;0)=0,"",IF(COUNTIFS(m_teacher,Q$4,m_date,($G$2+10),m_active,1,m_start,"&lt;"&amp;600,m_end,"&gt;"&amp;0)&gt;1,"충돌",HYPERLINK("#'관리자_MASTER'!D"&amp;_xlfn.MAXIFS(m_row,m_teacher,Q$4,m_date,($G$2+10),m_active,1,m_start,"&lt;"&amp;600,m_end,"&gt;"&amp;0),INDEX(m_label,_xlfn.MAXIFS(m_row,m_teacher,Q$4,m_date,($G$2+10),m_active,1,m_start,"&lt;"&amp;600,m_end,"&gt;"&amp;0))))))</f>
        <v/>
      </c>
      <c r="R38" s="87" t="str">
        <f aca="false">IF(OR(R$4="",MONTH(($G$2+10))&lt;&gt;MONTH($C$2)),"",IF(COUNTIFS(m_teacher,R$4,m_date,($G$2+10),m_active,1,m_start,"&lt;"&amp;600,m_end,"&gt;"&amp;0)=0,"",IF(COUNTIFS(m_teacher,R$4,m_date,($G$2+10),m_active,1,m_start,"&lt;"&amp;600,m_end,"&gt;"&amp;0)&gt;1,"충돌",HYPERLINK("#'관리자_MASTER'!D"&amp;_xlfn.MAXIFS(m_row,m_teacher,R$4,m_date,($G$2+10),m_active,1,m_start,"&lt;"&amp;600,m_end,"&gt;"&amp;0),INDEX(m_label,_xlfn.MAXIFS(m_row,m_teacher,R$4,m_date,($G$2+10),m_active,1,m_start,"&lt;"&amp;600,m_end,"&gt;"&amp;0))))))</f>
        <v/>
      </c>
      <c r="S38" s="87" t="str">
        <f aca="false">IF(OR(S$4="",MONTH(($G$2+10))&lt;&gt;MONTH($C$2)),"",IF(COUNTIFS(m_teacher,S$4,m_date,($G$2+10),m_active,1,m_start,"&lt;"&amp;600,m_end,"&gt;"&amp;0)=0,"",IF(COUNTIFS(m_teacher,S$4,m_date,($G$2+10),m_active,1,m_start,"&lt;"&amp;600,m_end,"&gt;"&amp;0)&gt;1,"충돌",HYPERLINK("#'관리자_MASTER'!D"&amp;_xlfn.MAXIFS(m_row,m_teacher,S$4,m_date,($G$2+10),m_active,1,m_start,"&lt;"&amp;600,m_end,"&gt;"&amp;0),INDEX(m_label,_xlfn.MAXIFS(m_row,m_teacher,S$4,m_date,($G$2+10),m_active,1,m_start,"&lt;"&amp;600,m_end,"&gt;"&amp;0))))))</f>
        <v/>
      </c>
      <c r="T38" s="87" t="str">
        <f aca="false">IF(OR(T$4="",MONTH(($G$2+10))&lt;&gt;MONTH($C$2)),"",IF(COUNTIFS(m_teacher,T$4,m_date,($G$2+10),m_active,1,m_start,"&lt;"&amp;600,m_end,"&gt;"&amp;0)=0,"",IF(COUNTIFS(m_teacher,T$4,m_date,($G$2+10),m_active,1,m_start,"&lt;"&amp;600,m_end,"&gt;"&amp;0)&gt;1,"충돌",HYPERLINK("#'관리자_MASTER'!D"&amp;_xlfn.MAXIFS(m_row,m_teacher,T$4,m_date,($G$2+10),m_active,1,m_start,"&lt;"&amp;600,m_end,"&gt;"&amp;0),INDEX(m_label,_xlfn.MAXIFS(m_row,m_teacher,T$4,m_date,($G$2+10),m_active,1,m_start,"&lt;"&amp;600,m_end,"&gt;"&amp;0))))))</f>
        <v/>
      </c>
      <c r="U38" s="87" t="str">
        <f aca="false">IF(OR(U$4="",MONTH(($G$2+10))&lt;&gt;MONTH($C$2)),"",IF(COUNTIFS(m_teacher,U$4,m_date,($G$2+10),m_active,1,m_start,"&lt;"&amp;600,m_end,"&gt;"&amp;0)=0,"",IF(COUNTIFS(m_teacher,U$4,m_date,($G$2+10),m_active,1,m_start,"&lt;"&amp;600,m_end,"&gt;"&amp;0)&gt;1,"충돌",HYPERLINK("#'관리자_MASTER'!D"&amp;_xlfn.MAXIFS(m_row,m_teacher,U$4,m_date,($G$2+10),m_active,1,m_start,"&lt;"&amp;600,m_end,"&gt;"&amp;0),INDEX(m_label,_xlfn.MAXIFS(m_row,m_teacher,U$4,m_date,($G$2+10),m_active,1,m_start,"&lt;"&amp;600,m_end,"&gt;"&amp;0))))))</f>
        <v/>
      </c>
      <c r="V38" s="87" t="str">
        <f aca="false">IF(OR(V$4="",MONTH(($G$2+10))&lt;&gt;MONTH($C$2)),"",IF(COUNTIFS(m_teacher,V$4,m_date,($G$2+10),m_active,1,m_start,"&lt;"&amp;600,m_end,"&gt;"&amp;0)=0,"",IF(COUNTIFS(m_teacher,V$4,m_date,($G$2+10),m_active,1,m_start,"&lt;"&amp;600,m_end,"&gt;"&amp;0)&gt;1,"충돌",HYPERLINK("#'관리자_MASTER'!D"&amp;_xlfn.MAXIFS(m_row,m_teacher,V$4,m_date,($G$2+10),m_active,1,m_start,"&lt;"&amp;600,m_end,"&gt;"&amp;0),INDEX(m_label,_xlfn.MAXIFS(m_row,m_teacher,V$4,m_date,($G$2+10),m_active,1,m_start,"&lt;"&amp;600,m_end,"&gt;"&amp;0))))))</f>
        <v/>
      </c>
      <c r="W38" s="87" t="str">
        <f aca="false">IF(OR(W$4="",MONTH(($G$2+10))&lt;&gt;MONTH($C$2)),"",IF(COUNTIFS(m_teacher,W$4,m_date,($G$2+10),m_active,1,m_start,"&lt;"&amp;600,m_end,"&gt;"&amp;0)=0,"",IF(COUNTIFS(m_teacher,W$4,m_date,($G$2+10),m_active,1,m_start,"&lt;"&amp;600,m_end,"&gt;"&amp;0)&gt;1,"충돌",HYPERLINK("#'관리자_MASTER'!D"&amp;_xlfn.MAXIFS(m_row,m_teacher,W$4,m_date,($G$2+10),m_active,1,m_start,"&lt;"&amp;600,m_end,"&gt;"&amp;0),INDEX(m_label,_xlfn.MAXIFS(m_row,m_teacher,W$4,m_date,($G$2+10),m_active,1,m_start,"&lt;"&amp;600,m_end,"&gt;"&amp;0))))))</f>
        <v/>
      </c>
      <c r="X38" s="87" t="str">
        <f aca="false">IF(OR(X$4="",MONTH(($G$2+10))&lt;&gt;MONTH($C$2)),"",IF(COUNTIFS(m_teacher,X$4,m_date,($G$2+10),m_active,1,m_start,"&lt;"&amp;600,m_end,"&gt;"&amp;0)=0,"",IF(COUNTIFS(m_teacher,X$4,m_date,($G$2+10),m_active,1,m_start,"&lt;"&amp;600,m_end,"&gt;"&amp;0)&gt;1,"충돌",HYPERLINK("#'관리자_MASTER'!D"&amp;_xlfn.MAXIFS(m_row,m_teacher,X$4,m_date,($G$2+10),m_active,1,m_start,"&lt;"&amp;600,m_end,"&gt;"&amp;0),INDEX(m_label,_xlfn.MAXIFS(m_row,m_teacher,X$4,m_date,($G$2+10),m_active,1,m_start,"&lt;"&amp;600,m_end,"&gt;"&amp;0))))))</f>
        <v/>
      </c>
      <c r="Y38" s="87" t="str">
        <f aca="false">IF(OR(Y$4="",MONTH(($G$2+10))&lt;&gt;MONTH($C$2)),"",IF(COUNTIFS(m_teacher,Y$4,m_date,($G$2+10),m_active,1,m_start,"&lt;"&amp;600,m_end,"&gt;"&amp;0)=0,"",IF(COUNTIFS(m_teacher,Y$4,m_date,($G$2+10),m_active,1,m_start,"&lt;"&amp;600,m_end,"&gt;"&amp;0)&gt;1,"충돌",HYPERLINK("#'관리자_MASTER'!D"&amp;_xlfn.MAXIFS(m_row,m_teacher,Y$4,m_date,($G$2+10),m_active,1,m_start,"&lt;"&amp;600,m_end,"&gt;"&amp;0),INDEX(m_label,_xlfn.MAXIFS(m_row,m_teacher,Y$4,m_date,($G$2+10),m_active,1,m_start,"&lt;"&amp;600,m_end,"&gt;"&amp;0))))))</f>
        <v/>
      </c>
      <c r="Z38" s="87" t="str">
        <f aca="false">IF(OR(Z$4="",MONTH(($G$2+10))&lt;&gt;MONTH($C$2)),"",IF(COUNTIFS(m_teacher,Z$4,m_date,($G$2+10),m_active,1,m_start,"&lt;"&amp;600,m_end,"&gt;"&amp;0)=0,"",IF(COUNTIFS(m_teacher,Z$4,m_date,($G$2+10),m_active,1,m_start,"&lt;"&amp;600,m_end,"&gt;"&amp;0)&gt;1,"충돌",HYPERLINK("#'관리자_MASTER'!D"&amp;_xlfn.MAXIFS(m_row,m_teacher,Z$4,m_date,($G$2+10),m_active,1,m_start,"&lt;"&amp;600,m_end,"&gt;"&amp;0),INDEX(m_label,_xlfn.MAXIFS(m_row,m_teacher,Z$4,m_date,($G$2+10),m_active,1,m_start,"&lt;"&amp;600,m_end,"&gt;"&amp;0))))))</f>
        <v/>
      </c>
      <c r="AA38" s="87" t="str">
        <f aca="false">IF(OR(AA$4="",MONTH(($G$2+10))&lt;&gt;MONTH($C$2)),"",IF(COUNTIFS(m_teacher,AA$4,m_date,($G$2+10),m_active,1,m_start,"&lt;"&amp;600,m_end,"&gt;"&amp;0)=0,"",IF(COUNTIFS(m_teacher,AA$4,m_date,($G$2+10),m_active,1,m_start,"&lt;"&amp;600,m_end,"&gt;"&amp;0)&gt;1,"충돌",HYPERLINK("#'관리자_MASTER'!D"&amp;_xlfn.MAXIFS(m_row,m_teacher,AA$4,m_date,($G$2+10),m_active,1,m_start,"&lt;"&amp;600,m_end,"&gt;"&amp;0),INDEX(m_label,_xlfn.MAXIFS(m_row,m_teacher,AA$4,m_date,($G$2+10),m_active,1,m_start,"&lt;"&amp;600,m_end,"&gt;"&amp;0))))))</f>
        <v/>
      </c>
      <c r="AB38" s="87" t="str">
        <f aca="false">IF(OR(AB$4="",MONTH(($G$2+10))&lt;&gt;MONTH($C$2)),"",IF(COUNTIFS(m_teacher,AB$4,m_date,($G$2+10),m_active,1,m_start,"&lt;"&amp;600,m_end,"&gt;"&amp;0)=0,"",IF(COUNTIFS(m_teacher,AB$4,m_date,($G$2+10),m_active,1,m_start,"&lt;"&amp;600,m_end,"&gt;"&amp;0)&gt;1,"충돌",HYPERLINK("#'관리자_MASTER'!D"&amp;_xlfn.MAXIFS(m_row,m_teacher,AB$4,m_date,($G$2+10),m_active,1,m_start,"&lt;"&amp;600,m_end,"&gt;"&amp;0),INDEX(m_label,_xlfn.MAXIFS(m_row,m_teacher,AB$4,m_date,($G$2+10),m_active,1,m_start,"&lt;"&amp;600,m_end,"&gt;"&amp;0))))))</f>
        <v/>
      </c>
      <c r="AC38" s="78" t="str">
        <f aca="false">IF(MONTH(($G$2+17))&lt;&gt;MONTH($C$2),"",CHOOSE(WEEKDAY(($G$2+17),2),"월","화","수","목","금","토","일")&amp;CHAR(10)&amp;TEXT(($G$2+17),"m/d"))</f>
        <v>목
12/17</v>
      </c>
      <c r="AD38" s="79" t="s">
        <v>91</v>
      </c>
      <c r="AE38" s="87" t="str">
        <f aca="false">IF(OR(AE$4="",MONTH(($G$2+17))&lt;&gt;MONTH($C$2)),"",IF(COUNTIFS(m_teacher,AE$4,m_date,($G$2+17),m_active,1,m_start,"&lt;"&amp;600,m_end,"&gt;"&amp;0)=0,"",IF(COUNTIFS(m_teacher,AE$4,m_date,($G$2+17),m_active,1,m_start,"&lt;"&amp;600,m_end,"&gt;"&amp;0)&gt;1,"충돌",HYPERLINK("#'관리자_MASTER'!D"&amp;_xlfn.MAXIFS(m_row,m_teacher,AE$4,m_date,($G$2+17),m_active,1,m_start,"&lt;"&amp;600,m_end,"&gt;"&amp;0),INDEX(m_label,_xlfn.MAXIFS(m_row,m_teacher,AE$4,m_date,($G$2+17),m_active,1,m_start,"&lt;"&amp;600,m_end,"&gt;"&amp;0))))))</f>
        <v/>
      </c>
      <c r="AF38" s="87" t="str">
        <f aca="false">IF(OR(AF$4="",MONTH(($G$2+17))&lt;&gt;MONTH($C$2)),"",IF(COUNTIFS(m_teacher,AF$4,m_date,($G$2+17),m_active,1,m_start,"&lt;"&amp;600,m_end,"&gt;"&amp;0)=0,"",IF(COUNTIFS(m_teacher,AF$4,m_date,($G$2+17),m_active,1,m_start,"&lt;"&amp;600,m_end,"&gt;"&amp;0)&gt;1,"충돌",HYPERLINK("#'관리자_MASTER'!D"&amp;_xlfn.MAXIFS(m_row,m_teacher,AF$4,m_date,($G$2+17),m_active,1,m_start,"&lt;"&amp;600,m_end,"&gt;"&amp;0),INDEX(m_label,_xlfn.MAXIFS(m_row,m_teacher,AF$4,m_date,($G$2+17),m_active,1,m_start,"&lt;"&amp;600,m_end,"&gt;"&amp;0))))))</f>
        <v/>
      </c>
      <c r="AG38" s="87" t="str">
        <f aca="false">IF(OR(AG$4="",MONTH(($G$2+17))&lt;&gt;MONTH($C$2)),"",IF(COUNTIFS(m_teacher,AG$4,m_date,($G$2+17),m_active,1,m_start,"&lt;"&amp;600,m_end,"&gt;"&amp;0)=0,"",IF(COUNTIFS(m_teacher,AG$4,m_date,($G$2+17),m_active,1,m_start,"&lt;"&amp;600,m_end,"&gt;"&amp;0)&gt;1,"충돌",HYPERLINK("#'관리자_MASTER'!D"&amp;_xlfn.MAXIFS(m_row,m_teacher,AG$4,m_date,($G$2+17),m_active,1,m_start,"&lt;"&amp;600,m_end,"&gt;"&amp;0),INDEX(m_label,_xlfn.MAXIFS(m_row,m_teacher,AG$4,m_date,($G$2+17),m_active,1,m_start,"&lt;"&amp;600,m_end,"&gt;"&amp;0))))))</f>
        <v/>
      </c>
      <c r="AH38" s="87" t="str">
        <f aca="false">IF(OR(AH$4="",MONTH(($G$2+17))&lt;&gt;MONTH($C$2)),"",IF(COUNTIFS(m_teacher,AH$4,m_date,($G$2+17),m_active,1,m_start,"&lt;"&amp;600,m_end,"&gt;"&amp;0)=0,"",IF(COUNTIFS(m_teacher,AH$4,m_date,($G$2+17),m_active,1,m_start,"&lt;"&amp;600,m_end,"&gt;"&amp;0)&gt;1,"충돌",HYPERLINK("#'관리자_MASTER'!D"&amp;_xlfn.MAXIFS(m_row,m_teacher,AH$4,m_date,($G$2+17),m_active,1,m_start,"&lt;"&amp;600,m_end,"&gt;"&amp;0),INDEX(m_label,_xlfn.MAXIFS(m_row,m_teacher,AH$4,m_date,($G$2+17),m_active,1,m_start,"&lt;"&amp;600,m_end,"&gt;"&amp;0))))))</f>
        <v/>
      </c>
      <c r="AI38" s="87" t="str">
        <f aca="false">IF(OR(AI$4="",MONTH(($G$2+17))&lt;&gt;MONTH($C$2)),"",IF(COUNTIFS(m_teacher,AI$4,m_date,($G$2+17),m_active,1,m_start,"&lt;"&amp;600,m_end,"&gt;"&amp;0)=0,"",IF(COUNTIFS(m_teacher,AI$4,m_date,($G$2+17),m_active,1,m_start,"&lt;"&amp;600,m_end,"&gt;"&amp;0)&gt;1,"충돌",HYPERLINK("#'관리자_MASTER'!D"&amp;_xlfn.MAXIFS(m_row,m_teacher,AI$4,m_date,($G$2+17),m_active,1,m_start,"&lt;"&amp;600,m_end,"&gt;"&amp;0),INDEX(m_label,_xlfn.MAXIFS(m_row,m_teacher,AI$4,m_date,($G$2+17),m_active,1,m_start,"&lt;"&amp;600,m_end,"&gt;"&amp;0))))))</f>
        <v/>
      </c>
      <c r="AJ38" s="87" t="str">
        <f aca="false">IF(OR(AJ$4="",MONTH(($G$2+17))&lt;&gt;MONTH($C$2)),"",IF(COUNTIFS(m_teacher,AJ$4,m_date,($G$2+17),m_active,1,m_start,"&lt;"&amp;600,m_end,"&gt;"&amp;0)=0,"",IF(COUNTIFS(m_teacher,AJ$4,m_date,($G$2+17),m_active,1,m_start,"&lt;"&amp;600,m_end,"&gt;"&amp;0)&gt;1,"충돌",HYPERLINK("#'관리자_MASTER'!D"&amp;_xlfn.MAXIFS(m_row,m_teacher,AJ$4,m_date,($G$2+17),m_active,1,m_start,"&lt;"&amp;600,m_end,"&gt;"&amp;0),INDEX(m_label,_xlfn.MAXIFS(m_row,m_teacher,AJ$4,m_date,($G$2+17),m_active,1,m_start,"&lt;"&amp;600,m_end,"&gt;"&amp;0))))))</f>
        <v/>
      </c>
      <c r="AK38" s="87" t="str">
        <f aca="false">IF(OR(AK$4="",MONTH(($G$2+17))&lt;&gt;MONTH($C$2)),"",IF(COUNTIFS(m_teacher,AK$4,m_date,($G$2+17),m_active,1,m_start,"&lt;"&amp;600,m_end,"&gt;"&amp;0)=0,"",IF(COUNTIFS(m_teacher,AK$4,m_date,($G$2+17),m_active,1,m_start,"&lt;"&amp;600,m_end,"&gt;"&amp;0)&gt;1,"충돌",HYPERLINK("#'관리자_MASTER'!D"&amp;_xlfn.MAXIFS(m_row,m_teacher,AK$4,m_date,($G$2+17),m_active,1,m_start,"&lt;"&amp;600,m_end,"&gt;"&amp;0),INDEX(m_label,_xlfn.MAXIFS(m_row,m_teacher,AK$4,m_date,($G$2+17),m_active,1,m_start,"&lt;"&amp;600,m_end,"&gt;"&amp;0))))))</f>
        <v/>
      </c>
      <c r="AL38" s="87" t="str">
        <f aca="false">IF(OR(AL$4="",MONTH(($G$2+17))&lt;&gt;MONTH($C$2)),"",IF(COUNTIFS(m_teacher,AL$4,m_date,($G$2+17),m_active,1,m_start,"&lt;"&amp;600,m_end,"&gt;"&amp;0)=0,"",IF(COUNTIFS(m_teacher,AL$4,m_date,($G$2+17),m_active,1,m_start,"&lt;"&amp;600,m_end,"&gt;"&amp;0)&gt;1,"충돌",HYPERLINK("#'관리자_MASTER'!D"&amp;_xlfn.MAXIFS(m_row,m_teacher,AL$4,m_date,($G$2+17),m_active,1,m_start,"&lt;"&amp;600,m_end,"&gt;"&amp;0),INDEX(m_label,_xlfn.MAXIFS(m_row,m_teacher,AL$4,m_date,($G$2+17),m_active,1,m_start,"&lt;"&amp;600,m_end,"&gt;"&amp;0))))))</f>
        <v/>
      </c>
      <c r="AM38" s="87" t="str">
        <f aca="false">IF(OR(AM$4="",MONTH(($G$2+17))&lt;&gt;MONTH($C$2)),"",IF(COUNTIFS(m_teacher,AM$4,m_date,($G$2+17),m_active,1,m_start,"&lt;"&amp;600,m_end,"&gt;"&amp;0)=0,"",IF(COUNTIFS(m_teacher,AM$4,m_date,($G$2+17),m_active,1,m_start,"&lt;"&amp;600,m_end,"&gt;"&amp;0)&gt;1,"충돌",HYPERLINK("#'관리자_MASTER'!D"&amp;_xlfn.MAXIFS(m_row,m_teacher,AM$4,m_date,($G$2+17),m_active,1,m_start,"&lt;"&amp;600,m_end,"&gt;"&amp;0),INDEX(m_label,_xlfn.MAXIFS(m_row,m_teacher,AM$4,m_date,($G$2+17),m_active,1,m_start,"&lt;"&amp;600,m_end,"&gt;"&amp;0))))))</f>
        <v/>
      </c>
      <c r="AN38" s="87" t="str">
        <f aca="false">IF(OR(AN$4="",MONTH(($G$2+17))&lt;&gt;MONTH($C$2)),"",IF(COUNTIFS(m_teacher,AN$4,m_date,($G$2+17),m_active,1,m_start,"&lt;"&amp;600,m_end,"&gt;"&amp;0)=0,"",IF(COUNTIFS(m_teacher,AN$4,m_date,($G$2+17),m_active,1,m_start,"&lt;"&amp;600,m_end,"&gt;"&amp;0)&gt;1,"충돌",HYPERLINK("#'관리자_MASTER'!D"&amp;_xlfn.MAXIFS(m_row,m_teacher,AN$4,m_date,($G$2+17),m_active,1,m_start,"&lt;"&amp;600,m_end,"&gt;"&amp;0),INDEX(m_label,_xlfn.MAXIFS(m_row,m_teacher,AN$4,m_date,($G$2+17),m_active,1,m_start,"&lt;"&amp;600,m_end,"&gt;"&amp;0))))))</f>
        <v/>
      </c>
      <c r="AO38" s="87" t="str">
        <f aca="false">IF(OR(AO$4="",MONTH(($G$2+17))&lt;&gt;MONTH($C$2)),"",IF(COUNTIFS(m_teacher,AO$4,m_date,($G$2+17),m_active,1,m_start,"&lt;"&amp;600,m_end,"&gt;"&amp;0)=0,"",IF(COUNTIFS(m_teacher,AO$4,m_date,($G$2+17),m_active,1,m_start,"&lt;"&amp;600,m_end,"&gt;"&amp;0)&gt;1,"충돌",HYPERLINK("#'관리자_MASTER'!D"&amp;_xlfn.MAXIFS(m_row,m_teacher,AO$4,m_date,($G$2+17),m_active,1,m_start,"&lt;"&amp;600,m_end,"&gt;"&amp;0),INDEX(m_label,_xlfn.MAXIFS(m_row,m_teacher,AO$4,m_date,($G$2+17),m_active,1,m_start,"&lt;"&amp;600,m_end,"&gt;"&amp;0))))))</f>
        <v/>
      </c>
      <c r="AP38" s="87" t="str">
        <f aca="false">IF(OR(AP$4="",MONTH(($G$2+17))&lt;&gt;MONTH($C$2)),"",IF(COUNTIFS(m_teacher,AP$4,m_date,($G$2+17),m_active,1,m_start,"&lt;"&amp;600,m_end,"&gt;"&amp;0)=0,"",IF(COUNTIFS(m_teacher,AP$4,m_date,($G$2+17),m_active,1,m_start,"&lt;"&amp;600,m_end,"&gt;"&amp;0)&gt;1,"충돌",HYPERLINK("#'관리자_MASTER'!D"&amp;_xlfn.MAXIFS(m_row,m_teacher,AP$4,m_date,($G$2+17),m_active,1,m_start,"&lt;"&amp;600,m_end,"&gt;"&amp;0),INDEX(m_label,_xlfn.MAXIFS(m_row,m_teacher,AP$4,m_date,($G$2+17),m_active,1,m_start,"&lt;"&amp;600,m_end,"&gt;"&amp;0))))))</f>
        <v/>
      </c>
      <c r="AQ38" s="78" t="str">
        <f aca="false">IF(MONTH(($G$2+24))&lt;&gt;MONTH($C$2),"",CHOOSE(WEEKDAY(($G$2+24),2),"월","화","수","목","금","토","일")&amp;CHAR(10)&amp;TEXT(($G$2+24),"m/d"))</f>
        <v>목
12/24</v>
      </c>
      <c r="AR38" s="79" t="s">
        <v>91</v>
      </c>
      <c r="AS38" s="87" t="str">
        <f aca="false">IF(OR(AS$4="",MONTH(($G$2+24))&lt;&gt;MONTH($C$2)),"",IF(COUNTIFS(m_teacher,AS$4,m_date,($G$2+24),m_active,1,m_start,"&lt;"&amp;600,m_end,"&gt;"&amp;0)=0,"",IF(COUNTIFS(m_teacher,AS$4,m_date,($G$2+24),m_active,1,m_start,"&lt;"&amp;600,m_end,"&gt;"&amp;0)&gt;1,"충돌",HYPERLINK("#'관리자_MASTER'!D"&amp;_xlfn.MAXIFS(m_row,m_teacher,AS$4,m_date,($G$2+24),m_active,1,m_start,"&lt;"&amp;600,m_end,"&gt;"&amp;0),INDEX(m_label,_xlfn.MAXIFS(m_row,m_teacher,AS$4,m_date,($G$2+24),m_active,1,m_start,"&lt;"&amp;600,m_end,"&gt;"&amp;0))))))</f>
        <v/>
      </c>
      <c r="AT38" s="87" t="str">
        <f aca="false">IF(OR(AT$4="",MONTH(($G$2+24))&lt;&gt;MONTH($C$2)),"",IF(COUNTIFS(m_teacher,AT$4,m_date,($G$2+24),m_active,1,m_start,"&lt;"&amp;600,m_end,"&gt;"&amp;0)=0,"",IF(COUNTIFS(m_teacher,AT$4,m_date,($G$2+24),m_active,1,m_start,"&lt;"&amp;600,m_end,"&gt;"&amp;0)&gt;1,"충돌",HYPERLINK("#'관리자_MASTER'!D"&amp;_xlfn.MAXIFS(m_row,m_teacher,AT$4,m_date,($G$2+24),m_active,1,m_start,"&lt;"&amp;600,m_end,"&gt;"&amp;0),INDEX(m_label,_xlfn.MAXIFS(m_row,m_teacher,AT$4,m_date,($G$2+24),m_active,1,m_start,"&lt;"&amp;600,m_end,"&gt;"&amp;0))))))</f>
        <v/>
      </c>
      <c r="AU38" s="87" t="str">
        <f aca="false">IF(OR(AU$4="",MONTH(($G$2+24))&lt;&gt;MONTH($C$2)),"",IF(COUNTIFS(m_teacher,AU$4,m_date,($G$2+24),m_active,1,m_start,"&lt;"&amp;600,m_end,"&gt;"&amp;0)=0,"",IF(COUNTIFS(m_teacher,AU$4,m_date,($G$2+24),m_active,1,m_start,"&lt;"&amp;600,m_end,"&gt;"&amp;0)&gt;1,"충돌",HYPERLINK("#'관리자_MASTER'!D"&amp;_xlfn.MAXIFS(m_row,m_teacher,AU$4,m_date,($G$2+24),m_active,1,m_start,"&lt;"&amp;600,m_end,"&gt;"&amp;0),INDEX(m_label,_xlfn.MAXIFS(m_row,m_teacher,AU$4,m_date,($G$2+24),m_active,1,m_start,"&lt;"&amp;600,m_end,"&gt;"&amp;0))))))</f>
        <v/>
      </c>
      <c r="AV38" s="87" t="str">
        <f aca="false">IF(OR(AV$4="",MONTH(($G$2+24))&lt;&gt;MONTH($C$2)),"",IF(COUNTIFS(m_teacher,AV$4,m_date,($G$2+24),m_active,1,m_start,"&lt;"&amp;600,m_end,"&gt;"&amp;0)=0,"",IF(COUNTIFS(m_teacher,AV$4,m_date,($G$2+24),m_active,1,m_start,"&lt;"&amp;600,m_end,"&gt;"&amp;0)&gt;1,"충돌",HYPERLINK("#'관리자_MASTER'!D"&amp;_xlfn.MAXIFS(m_row,m_teacher,AV$4,m_date,($G$2+24),m_active,1,m_start,"&lt;"&amp;600,m_end,"&gt;"&amp;0),INDEX(m_label,_xlfn.MAXIFS(m_row,m_teacher,AV$4,m_date,($G$2+24),m_active,1,m_start,"&lt;"&amp;600,m_end,"&gt;"&amp;0))))))</f>
        <v/>
      </c>
      <c r="AW38" s="87" t="str">
        <f aca="false">IF(OR(AW$4="",MONTH(($G$2+24))&lt;&gt;MONTH($C$2)),"",IF(COUNTIFS(m_teacher,AW$4,m_date,($G$2+24),m_active,1,m_start,"&lt;"&amp;600,m_end,"&gt;"&amp;0)=0,"",IF(COUNTIFS(m_teacher,AW$4,m_date,($G$2+24),m_active,1,m_start,"&lt;"&amp;600,m_end,"&gt;"&amp;0)&gt;1,"충돌",HYPERLINK("#'관리자_MASTER'!D"&amp;_xlfn.MAXIFS(m_row,m_teacher,AW$4,m_date,($G$2+24),m_active,1,m_start,"&lt;"&amp;600,m_end,"&gt;"&amp;0),INDEX(m_label,_xlfn.MAXIFS(m_row,m_teacher,AW$4,m_date,($G$2+24),m_active,1,m_start,"&lt;"&amp;600,m_end,"&gt;"&amp;0))))))</f>
        <v/>
      </c>
      <c r="AX38" s="87" t="str">
        <f aca="false">IF(OR(AX$4="",MONTH(($G$2+24))&lt;&gt;MONTH($C$2)),"",IF(COUNTIFS(m_teacher,AX$4,m_date,($G$2+24),m_active,1,m_start,"&lt;"&amp;600,m_end,"&gt;"&amp;0)=0,"",IF(COUNTIFS(m_teacher,AX$4,m_date,($G$2+24),m_active,1,m_start,"&lt;"&amp;600,m_end,"&gt;"&amp;0)&gt;1,"충돌",HYPERLINK("#'관리자_MASTER'!D"&amp;_xlfn.MAXIFS(m_row,m_teacher,AX$4,m_date,($G$2+24),m_active,1,m_start,"&lt;"&amp;600,m_end,"&gt;"&amp;0),INDEX(m_label,_xlfn.MAXIFS(m_row,m_teacher,AX$4,m_date,($G$2+24),m_active,1,m_start,"&lt;"&amp;600,m_end,"&gt;"&amp;0))))))</f>
        <v/>
      </c>
      <c r="AY38" s="87" t="str">
        <f aca="false">IF(OR(AY$4="",MONTH(($G$2+24))&lt;&gt;MONTH($C$2)),"",IF(COUNTIFS(m_teacher,AY$4,m_date,($G$2+24),m_active,1,m_start,"&lt;"&amp;600,m_end,"&gt;"&amp;0)=0,"",IF(COUNTIFS(m_teacher,AY$4,m_date,($G$2+24),m_active,1,m_start,"&lt;"&amp;600,m_end,"&gt;"&amp;0)&gt;1,"충돌",HYPERLINK("#'관리자_MASTER'!D"&amp;_xlfn.MAXIFS(m_row,m_teacher,AY$4,m_date,($G$2+24),m_active,1,m_start,"&lt;"&amp;600,m_end,"&gt;"&amp;0),INDEX(m_label,_xlfn.MAXIFS(m_row,m_teacher,AY$4,m_date,($G$2+24),m_active,1,m_start,"&lt;"&amp;600,m_end,"&gt;"&amp;0))))))</f>
        <v/>
      </c>
      <c r="AZ38" s="87" t="str">
        <f aca="false">IF(OR(AZ$4="",MONTH(($G$2+24))&lt;&gt;MONTH($C$2)),"",IF(COUNTIFS(m_teacher,AZ$4,m_date,($G$2+24),m_active,1,m_start,"&lt;"&amp;600,m_end,"&gt;"&amp;0)=0,"",IF(COUNTIFS(m_teacher,AZ$4,m_date,($G$2+24),m_active,1,m_start,"&lt;"&amp;600,m_end,"&gt;"&amp;0)&gt;1,"충돌",HYPERLINK("#'관리자_MASTER'!D"&amp;_xlfn.MAXIFS(m_row,m_teacher,AZ$4,m_date,($G$2+24),m_active,1,m_start,"&lt;"&amp;600,m_end,"&gt;"&amp;0),INDEX(m_label,_xlfn.MAXIFS(m_row,m_teacher,AZ$4,m_date,($G$2+24),m_active,1,m_start,"&lt;"&amp;600,m_end,"&gt;"&amp;0))))))</f>
        <v/>
      </c>
      <c r="BA38" s="87" t="str">
        <f aca="false">IF(OR(BA$4="",MONTH(($G$2+24))&lt;&gt;MONTH($C$2)),"",IF(COUNTIFS(m_teacher,BA$4,m_date,($G$2+24),m_active,1,m_start,"&lt;"&amp;600,m_end,"&gt;"&amp;0)=0,"",IF(COUNTIFS(m_teacher,BA$4,m_date,($G$2+24),m_active,1,m_start,"&lt;"&amp;600,m_end,"&gt;"&amp;0)&gt;1,"충돌",HYPERLINK("#'관리자_MASTER'!D"&amp;_xlfn.MAXIFS(m_row,m_teacher,BA$4,m_date,($G$2+24),m_active,1,m_start,"&lt;"&amp;600,m_end,"&gt;"&amp;0),INDEX(m_label,_xlfn.MAXIFS(m_row,m_teacher,BA$4,m_date,($G$2+24),m_active,1,m_start,"&lt;"&amp;600,m_end,"&gt;"&amp;0))))))</f>
        <v/>
      </c>
      <c r="BB38" s="87" t="str">
        <f aca="false">IF(OR(BB$4="",MONTH(($G$2+24))&lt;&gt;MONTH($C$2)),"",IF(COUNTIFS(m_teacher,BB$4,m_date,($G$2+24),m_active,1,m_start,"&lt;"&amp;600,m_end,"&gt;"&amp;0)=0,"",IF(COUNTIFS(m_teacher,BB$4,m_date,($G$2+24),m_active,1,m_start,"&lt;"&amp;600,m_end,"&gt;"&amp;0)&gt;1,"충돌",HYPERLINK("#'관리자_MASTER'!D"&amp;_xlfn.MAXIFS(m_row,m_teacher,BB$4,m_date,($G$2+24),m_active,1,m_start,"&lt;"&amp;600,m_end,"&gt;"&amp;0),INDEX(m_label,_xlfn.MAXIFS(m_row,m_teacher,BB$4,m_date,($G$2+24),m_active,1,m_start,"&lt;"&amp;600,m_end,"&gt;"&amp;0))))))</f>
        <v/>
      </c>
      <c r="BC38" s="87" t="str">
        <f aca="false">IF(OR(BC$4="",MONTH(($G$2+24))&lt;&gt;MONTH($C$2)),"",IF(COUNTIFS(m_teacher,BC$4,m_date,($G$2+24),m_active,1,m_start,"&lt;"&amp;600,m_end,"&gt;"&amp;0)=0,"",IF(COUNTIFS(m_teacher,BC$4,m_date,($G$2+24),m_active,1,m_start,"&lt;"&amp;600,m_end,"&gt;"&amp;0)&gt;1,"충돌",HYPERLINK("#'관리자_MASTER'!D"&amp;_xlfn.MAXIFS(m_row,m_teacher,BC$4,m_date,($G$2+24),m_active,1,m_start,"&lt;"&amp;600,m_end,"&gt;"&amp;0),INDEX(m_label,_xlfn.MAXIFS(m_row,m_teacher,BC$4,m_date,($G$2+24),m_active,1,m_start,"&lt;"&amp;600,m_end,"&gt;"&amp;0))))))</f>
        <v/>
      </c>
      <c r="BD38" s="87" t="str">
        <f aca="false">IF(OR(BD$4="",MONTH(($G$2+24))&lt;&gt;MONTH($C$2)),"",IF(COUNTIFS(m_teacher,BD$4,m_date,($G$2+24),m_active,1,m_start,"&lt;"&amp;600,m_end,"&gt;"&amp;0)=0,"",IF(COUNTIFS(m_teacher,BD$4,m_date,($G$2+24),m_active,1,m_start,"&lt;"&amp;600,m_end,"&gt;"&amp;0)&gt;1,"충돌",HYPERLINK("#'관리자_MASTER'!D"&amp;_xlfn.MAXIFS(m_row,m_teacher,BD$4,m_date,($G$2+24),m_active,1,m_start,"&lt;"&amp;600,m_end,"&gt;"&amp;0),INDEX(m_label,_xlfn.MAXIFS(m_row,m_teacher,BD$4,m_date,($G$2+24),m_active,1,m_start,"&lt;"&amp;600,m_end,"&gt;"&amp;0))))))</f>
        <v/>
      </c>
      <c r="BE38" s="78" t="str">
        <f aca="false">IF(MONTH(($G$2+31))&lt;&gt;MONTH($C$2),"",CHOOSE(WEEKDAY(($G$2+31),2),"월","화","수","목","금","토","일")&amp;CHAR(10)&amp;TEXT(($G$2+31),"m/d"))</f>
        <v>목
12/31</v>
      </c>
      <c r="BF38" s="79" t="s">
        <v>91</v>
      </c>
      <c r="BG38" s="87" t="str">
        <f aca="false">IF(OR(BG$4="",MONTH(($G$2+31))&lt;&gt;MONTH($C$2)),"",IF(COUNTIFS(m_teacher,BG$4,m_date,($G$2+31),m_active,1,m_start,"&lt;"&amp;600,m_end,"&gt;"&amp;0)=0,"",IF(COUNTIFS(m_teacher,BG$4,m_date,($G$2+31),m_active,1,m_start,"&lt;"&amp;600,m_end,"&gt;"&amp;0)&gt;1,"충돌",HYPERLINK("#'관리자_MASTER'!D"&amp;_xlfn.MAXIFS(m_row,m_teacher,BG$4,m_date,($G$2+31),m_active,1,m_start,"&lt;"&amp;600,m_end,"&gt;"&amp;0),INDEX(m_label,_xlfn.MAXIFS(m_row,m_teacher,BG$4,m_date,($G$2+31),m_active,1,m_start,"&lt;"&amp;600,m_end,"&gt;"&amp;0))))))</f>
        <v/>
      </c>
      <c r="BH38" s="87" t="str">
        <f aca="false">IF(OR(BH$4="",MONTH(($G$2+31))&lt;&gt;MONTH($C$2)),"",IF(COUNTIFS(m_teacher,BH$4,m_date,($G$2+31),m_active,1,m_start,"&lt;"&amp;600,m_end,"&gt;"&amp;0)=0,"",IF(COUNTIFS(m_teacher,BH$4,m_date,($G$2+31),m_active,1,m_start,"&lt;"&amp;600,m_end,"&gt;"&amp;0)&gt;1,"충돌",HYPERLINK("#'관리자_MASTER'!D"&amp;_xlfn.MAXIFS(m_row,m_teacher,BH$4,m_date,($G$2+31),m_active,1,m_start,"&lt;"&amp;600,m_end,"&gt;"&amp;0),INDEX(m_label,_xlfn.MAXIFS(m_row,m_teacher,BH$4,m_date,($G$2+31),m_active,1,m_start,"&lt;"&amp;600,m_end,"&gt;"&amp;0))))))</f>
        <v/>
      </c>
      <c r="BI38" s="87" t="str">
        <f aca="false">IF(OR(BI$4="",MONTH(($G$2+31))&lt;&gt;MONTH($C$2)),"",IF(COUNTIFS(m_teacher,BI$4,m_date,($G$2+31),m_active,1,m_start,"&lt;"&amp;600,m_end,"&gt;"&amp;0)=0,"",IF(COUNTIFS(m_teacher,BI$4,m_date,($G$2+31),m_active,1,m_start,"&lt;"&amp;600,m_end,"&gt;"&amp;0)&gt;1,"충돌",HYPERLINK("#'관리자_MASTER'!D"&amp;_xlfn.MAXIFS(m_row,m_teacher,BI$4,m_date,($G$2+31),m_active,1,m_start,"&lt;"&amp;600,m_end,"&gt;"&amp;0),INDEX(m_label,_xlfn.MAXIFS(m_row,m_teacher,BI$4,m_date,($G$2+31),m_active,1,m_start,"&lt;"&amp;600,m_end,"&gt;"&amp;0))))))</f>
        <v/>
      </c>
      <c r="BJ38" s="87" t="str">
        <f aca="false">IF(OR(BJ$4="",MONTH(($G$2+31))&lt;&gt;MONTH($C$2)),"",IF(COUNTIFS(m_teacher,BJ$4,m_date,($G$2+31),m_active,1,m_start,"&lt;"&amp;600,m_end,"&gt;"&amp;0)=0,"",IF(COUNTIFS(m_teacher,BJ$4,m_date,($G$2+31),m_active,1,m_start,"&lt;"&amp;600,m_end,"&gt;"&amp;0)&gt;1,"충돌",HYPERLINK("#'관리자_MASTER'!D"&amp;_xlfn.MAXIFS(m_row,m_teacher,BJ$4,m_date,($G$2+31),m_active,1,m_start,"&lt;"&amp;600,m_end,"&gt;"&amp;0),INDEX(m_label,_xlfn.MAXIFS(m_row,m_teacher,BJ$4,m_date,($G$2+31),m_active,1,m_start,"&lt;"&amp;600,m_end,"&gt;"&amp;0))))))</f>
        <v/>
      </c>
      <c r="BK38" s="87" t="str">
        <f aca="false">IF(OR(BK$4="",MONTH(($G$2+31))&lt;&gt;MONTH($C$2)),"",IF(COUNTIFS(m_teacher,BK$4,m_date,($G$2+31),m_active,1,m_start,"&lt;"&amp;600,m_end,"&gt;"&amp;0)=0,"",IF(COUNTIFS(m_teacher,BK$4,m_date,($G$2+31),m_active,1,m_start,"&lt;"&amp;600,m_end,"&gt;"&amp;0)&gt;1,"충돌",HYPERLINK("#'관리자_MASTER'!D"&amp;_xlfn.MAXIFS(m_row,m_teacher,BK$4,m_date,($G$2+31),m_active,1,m_start,"&lt;"&amp;600,m_end,"&gt;"&amp;0),INDEX(m_label,_xlfn.MAXIFS(m_row,m_teacher,BK$4,m_date,($G$2+31),m_active,1,m_start,"&lt;"&amp;600,m_end,"&gt;"&amp;0))))))</f>
        <v/>
      </c>
      <c r="BL38" s="87" t="str">
        <f aca="false">IF(OR(BL$4="",MONTH(($G$2+31))&lt;&gt;MONTH($C$2)),"",IF(COUNTIFS(m_teacher,BL$4,m_date,($G$2+31),m_active,1,m_start,"&lt;"&amp;600,m_end,"&gt;"&amp;0)=0,"",IF(COUNTIFS(m_teacher,BL$4,m_date,($G$2+31),m_active,1,m_start,"&lt;"&amp;600,m_end,"&gt;"&amp;0)&gt;1,"충돌",HYPERLINK("#'관리자_MASTER'!D"&amp;_xlfn.MAXIFS(m_row,m_teacher,BL$4,m_date,($G$2+31),m_active,1,m_start,"&lt;"&amp;600,m_end,"&gt;"&amp;0),INDEX(m_label,_xlfn.MAXIFS(m_row,m_teacher,BL$4,m_date,($G$2+31),m_active,1,m_start,"&lt;"&amp;600,m_end,"&gt;"&amp;0))))))</f>
        <v/>
      </c>
      <c r="BM38" s="87" t="str">
        <f aca="false">IF(OR(BM$4="",MONTH(($G$2+31))&lt;&gt;MONTH($C$2)),"",IF(COUNTIFS(m_teacher,BM$4,m_date,($G$2+31),m_active,1,m_start,"&lt;"&amp;600,m_end,"&gt;"&amp;0)=0,"",IF(COUNTIFS(m_teacher,BM$4,m_date,($G$2+31),m_active,1,m_start,"&lt;"&amp;600,m_end,"&gt;"&amp;0)&gt;1,"충돌",HYPERLINK("#'관리자_MASTER'!D"&amp;_xlfn.MAXIFS(m_row,m_teacher,BM$4,m_date,($G$2+31),m_active,1,m_start,"&lt;"&amp;600,m_end,"&gt;"&amp;0),INDEX(m_label,_xlfn.MAXIFS(m_row,m_teacher,BM$4,m_date,($G$2+31),m_active,1,m_start,"&lt;"&amp;600,m_end,"&gt;"&amp;0))))))</f>
        <v/>
      </c>
      <c r="BN38" s="87" t="str">
        <f aca="false">IF(OR(BN$4="",MONTH(($G$2+31))&lt;&gt;MONTH($C$2)),"",IF(COUNTIFS(m_teacher,BN$4,m_date,($G$2+31),m_active,1,m_start,"&lt;"&amp;600,m_end,"&gt;"&amp;0)=0,"",IF(COUNTIFS(m_teacher,BN$4,m_date,($G$2+31),m_active,1,m_start,"&lt;"&amp;600,m_end,"&gt;"&amp;0)&gt;1,"충돌",HYPERLINK("#'관리자_MASTER'!D"&amp;_xlfn.MAXIFS(m_row,m_teacher,BN$4,m_date,($G$2+31),m_active,1,m_start,"&lt;"&amp;600,m_end,"&gt;"&amp;0),INDEX(m_label,_xlfn.MAXIFS(m_row,m_teacher,BN$4,m_date,($G$2+31),m_active,1,m_start,"&lt;"&amp;600,m_end,"&gt;"&amp;0))))))</f>
        <v/>
      </c>
      <c r="BO38" s="87" t="str">
        <f aca="false">IF(OR(BO$4="",MONTH(($G$2+31))&lt;&gt;MONTH($C$2)),"",IF(COUNTIFS(m_teacher,BO$4,m_date,($G$2+31),m_active,1,m_start,"&lt;"&amp;600,m_end,"&gt;"&amp;0)=0,"",IF(COUNTIFS(m_teacher,BO$4,m_date,($G$2+31),m_active,1,m_start,"&lt;"&amp;600,m_end,"&gt;"&amp;0)&gt;1,"충돌",HYPERLINK("#'관리자_MASTER'!D"&amp;_xlfn.MAXIFS(m_row,m_teacher,BO$4,m_date,($G$2+31),m_active,1,m_start,"&lt;"&amp;600,m_end,"&gt;"&amp;0),INDEX(m_label,_xlfn.MAXIFS(m_row,m_teacher,BO$4,m_date,($G$2+31),m_active,1,m_start,"&lt;"&amp;600,m_end,"&gt;"&amp;0))))))</f>
        <v/>
      </c>
      <c r="BP38" s="87" t="str">
        <f aca="false">IF(OR(BP$4="",MONTH(($G$2+31))&lt;&gt;MONTH($C$2)),"",IF(COUNTIFS(m_teacher,BP$4,m_date,($G$2+31),m_active,1,m_start,"&lt;"&amp;600,m_end,"&gt;"&amp;0)=0,"",IF(COUNTIFS(m_teacher,BP$4,m_date,($G$2+31),m_active,1,m_start,"&lt;"&amp;600,m_end,"&gt;"&amp;0)&gt;1,"충돌",HYPERLINK("#'관리자_MASTER'!D"&amp;_xlfn.MAXIFS(m_row,m_teacher,BP$4,m_date,($G$2+31),m_active,1,m_start,"&lt;"&amp;600,m_end,"&gt;"&amp;0),INDEX(m_label,_xlfn.MAXIFS(m_row,m_teacher,BP$4,m_date,($G$2+31),m_active,1,m_start,"&lt;"&amp;600,m_end,"&gt;"&amp;0))))))</f>
        <v/>
      </c>
      <c r="BQ38" s="87" t="str">
        <f aca="false">IF(OR(BQ$4="",MONTH(($G$2+31))&lt;&gt;MONTH($C$2)),"",IF(COUNTIFS(m_teacher,BQ$4,m_date,($G$2+31),m_active,1,m_start,"&lt;"&amp;600,m_end,"&gt;"&amp;0)=0,"",IF(COUNTIFS(m_teacher,BQ$4,m_date,($G$2+31),m_active,1,m_start,"&lt;"&amp;600,m_end,"&gt;"&amp;0)&gt;1,"충돌",HYPERLINK("#'관리자_MASTER'!D"&amp;_xlfn.MAXIFS(m_row,m_teacher,BQ$4,m_date,($G$2+31),m_active,1,m_start,"&lt;"&amp;600,m_end,"&gt;"&amp;0),INDEX(m_label,_xlfn.MAXIFS(m_row,m_teacher,BQ$4,m_date,($G$2+31),m_active,1,m_start,"&lt;"&amp;600,m_end,"&gt;"&amp;0))))))</f>
        <v/>
      </c>
      <c r="BR38" s="87" t="str">
        <f aca="false">IF(OR(BR$4="",MONTH(($G$2+31))&lt;&gt;MONTH($C$2)),"",IF(COUNTIFS(m_teacher,BR$4,m_date,($G$2+31),m_active,1,m_start,"&lt;"&amp;600,m_end,"&gt;"&amp;0)=0,"",IF(COUNTIFS(m_teacher,BR$4,m_date,($G$2+31),m_active,1,m_start,"&lt;"&amp;600,m_end,"&gt;"&amp;0)&gt;1,"충돌",HYPERLINK("#'관리자_MASTER'!D"&amp;_xlfn.MAXIFS(m_row,m_teacher,BR$4,m_date,($G$2+31),m_active,1,m_start,"&lt;"&amp;600,m_end,"&gt;"&amp;0),INDEX(m_label,_xlfn.MAXIFS(m_row,m_teacher,BR$4,m_date,($G$2+31),m_active,1,m_start,"&lt;"&amp;600,m_end,"&gt;"&amp;0))))))</f>
        <v/>
      </c>
    </row>
    <row r="39" customFormat="false" ht="19.5" hidden="false" customHeight="true" outlineLevel="0" collapsed="false">
      <c r="A39" s="78"/>
      <c r="B39" s="79" t="s">
        <v>92</v>
      </c>
      <c r="C39" s="88" t="str">
        <f aca="false">IF(OR(C$4="",MONTH(($G$2+3))&lt;&gt;MONTH($C$2)),"",IF(COUNTIFS(m_teacher,C$4,m_date,($G$2+3),m_active,1,m_start,"&lt;"&amp;660,m_end,"&gt;"&amp;600)=0,"",IF(COUNTIFS(m_teacher,C$4,m_date,($G$2+3),m_active,1,m_start,"&lt;"&amp;660,m_end,"&gt;"&amp;600)&gt;1,"충돌",HYPERLINK("#'관리자_MASTER'!D"&amp;_xlfn.MAXIFS(m_row,m_teacher,C$4,m_date,($G$2+3),m_active,1,m_start,"&lt;"&amp;660,m_end,"&gt;"&amp;600),INDEX(m_label,_xlfn.MAXIFS(m_row,m_teacher,C$4,m_date,($G$2+3),m_active,1,m_start,"&lt;"&amp;660,m_end,"&gt;"&amp;600))))))</f>
        <v/>
      </c>
      <c r="D39" s="88" t="str">
        <f aca="false">IF(OR(D$4="",MONTH(($G$2+3))&lt;&gt;MONTH($C$2)),"",IF(COUNTIFS(m_teacher,D$4,m_date,($G$2+3),m_active,1,m_start,"&lt;"&amp;660,m_end,"&gt;"&amp;600)=0,"",IF(COUNTIFS(m_teacher,D$4,m_date,($G$2+3),m_active,1,m_start,"&lt;"&amp;660,m_end,"&gt;"&amp;600)&gt;1,"충돌",HYPERLINK("#'관리자_MASTER'!D"&amp;_xlfn.MAXIFS(m_row,m_teacher,D$4,m_date,($G$2+3),m_active,1,m_start,"&lt;"&amp;660,m_end,"&gt;"&amp;600),INDEX(m_label,_xlfn.MAXIFS(m_row,m_teacher,D$4,m_date,($G$2+3),m_active,1,m_start,"&lt;"&amp;660,m_end,"&gt;"&amp;600))))))</f>
        <v/>
      </c>
      <c r="E39" s="88" t="str">
        <f aca="false">IF(OR(E$4="",MONTH(($G$2+3))&lt;&gt;MONTH($C$2)),"",IF(COUNTIFS(m_teacher,E$4,m_date,($G$2+3),m_active,1,m_start,"&lt;"&amp;660,m_end,"&gt;"&amp;600)=0,"",IF(COUNTIFS(m_teacher,E$4,m_date,($G$2+3),m_active,1,m_start,"&lt;"&amp;660,m_end,"&gt;"&amp;600)&gt;1,"충돌",HYPERLINK("#'관리자_MASTER'!D"&amp;_xlfn.MAXIFS(m_row,m_teacher,E$4,m_date,($G$2+3),m_active,1,m_start,"&lt;"&amp;660,m_end,"&gt;"&amp;600),INDEX(m_label,_xlfn.MAXIFS(m_row,m_teacher,E$4,m_date,($G$2+3),m_active,1,m_start,"&lt;"&amp;660,m_end,"&gt;"&amp;600))))))</f>
        <v/>
      </c>
      <c r="F39" s="88" t="str">
        <f aca="false">IF(OR(F$4="",MONTH(($G$2+3))&lt;&gt;MONTH($C$2)),"",IF(COUNTIFS(m_teacher,F$4,m_date,($G$2+3),m_active,1,m_start,"&lt;"&amp;660,m_end,"&gt;"&amp;600)=0,"",IF(COUNTIFS(m_teacher,F$4,m_date,($G$2+3),m_active,1,m_start,"&lt;"&amp;660,m_end,"&gt;"&amp;600)&gt;1,"충돌",HYPERLINK("#'관리자_MASTER'!D"&amp;_xlfn.MAXIFS(m_row,m_teacher,F$4,m_date,($G$2+3),m_active,1,m_start,"&lt;"&amp;660,m_end,"&gt;"&amp;600),INDEX(m_label,_xlfn.MAXIFS(m_row,m_teacher,F$4,m_date,($G$2+3),m_active,1,m_start,"&lt;"&amp;660,m_end,"&gt;"&amp;600))))))</f>
        <v/>
      </c>
      <c r="G39" s="88" t="str">
        <f aca="false">IF(OR(G$4="",MONTH(($G$2+3))&lt;&gt;MONTH($C$2)),"",IF(COUNTIFS(m_teacher,G$4,m_date,($G$2+3),m_active,1,m_start,"&lt;"&amp;660,m_end,"&gt;"&amp;600)=0,"",IF(COUNTIFS(m_teacher,G$4,m_date,($G$2+3),m_active,1,m_start,"&lt;"&amp;660,m_end,"&gt;"&amp;600)&gt;1,"충돌",HYPERLINK("#'관리자_MASTER'!D"&amp;_xlfn.MAXIFS(m_row,m_teacher,G$4,m_date,($G$2+3),m_active,1,m_start,"&lt;"&amp;660,m_end,"&gt;"&amp;600),INDEX(m_label,_xlfn.MAXIFS(m_row,m_teacher,G$4,m_date,($G$2+3),m_active,1,m_start,"&lt;"&amp;660,m_end,"&gt;"&amp;600))))))</f>
        <v/>
      </c>
      <c r="H39" s="88" t="str">
        <f aca="false">IF(OR(H$4="",MONTH(($G$2+3))&lt;&gt;MONTH($C$2)),"",IF(COUNTIFS(m_teacher,H$4,m_date,($G$2+3),m_active,1,m_start,"&lt;"&amp;660,m_end,"&gt;"&amp;600)=0,"",IF(COUNTIFS(m_teacher,H$4,m_date,($G$2+3),m_active,1,m_start,"&lt;"&amp;660,m_end,"&gt;"&amp;600)&gt;1,"충돌",HYPERLINK("#'관리자_MASTER'!D"&amp;_xlfn.MAXIFS(m_row,m_teacher,H$4,m_date,($G$2+3),m_active,1,m_start,"&lt;"&amp;660,m_end,"&gt;"&amp;600),INDEX(m_label,_xlfn.MAXIFS(m_row,m_teacher,H$4,m_date,($G$2+3),m_active,1,m_start,"&lt;"&amp;660,m_end,"&gt;"&amp;600))))))</f>
        <v/>
      </c>
      <c r="I39" s="88" t="str">
        <f aca="false">IF(OR(I$4="",MONTH(($G$2+3))&lt;&gt;MONTH($C$2)),"",IF(COUNTIFS(m_teacher,I$4,m_date,($G$2+3),m_active,1,m_start,"&lt;"&amp;660,m_end,"&gt;"&amp;600)=0,"",IF(COUNTIFS(m_teacher,I$4,m_date,($G$2+3),m_active,1,m_start,"&lt;"&amp;660,m_end,"&gt;"&amp;600)&gt;1,"충돌",HYPERLINK("#'관리자_MASTER'!D"&amp;_xlfn.MAXIFS(m_row,m_teacher,I$4,m_date,($G$2+3),m_active,1,m_start,"&lt;"&amp;660,m_end,"&gt;"&amp;600),INDEX(m_label,_xlfn.MAXIFS(m_row,m_teacher,I$4,m_date,($G$2+3),m_active,1,m_start,"&lt;"&amp;660,m_end,"&gt;"&amp;600))))))</f>
        <v/>
      </c>
      <c r="J39" s="88" t="str">
        <f aca="false">IF(OR(J$4="",MONTH(($G$2+3))&lt;&gt;MONTH($C$2)),"",IF(COUNTIFS(m_teacher,J$4,m_date,($G$2+3),m_active,1,m_start,"&lt;"&amp;660,m_end,"&gt;"&amp;600)=0,"",IF(COUNTIFS(m_teacher,J$4,m_date,($G$2+3),m_active,1,m_start,"&lt;"&amp;660,m_end,"&gt;"&amp;600)&gt;1,"충돌",HYPERLINK("#'관리자_MASTER'!D"&amp;_xlfn.MAXIFS(m_row,m_teacher,J$4,m_date,($G$2+3),m_active,1,m_start,"&lt;"&amp;660,m_end,"&gt;"&amp;600),INDEX(m_label,_xlfn.MAXIFS(m_row,m_teacher,J$4,m_date,($G$2+3),m_active,1,m_start,"&lt;"&amp;660,m_end,"&gt;"&amp;600))))))</f>
        <v/>
      </c>
      <c r="K39" s="88" t="str">
        <f aca="false">IF(OR(K$4="",MONTH(($G$2+3))&lt;&gt;MONTH($C$2)),"",IF(COUNTIFS(m_teacher,K$4,m_date,($G$2+3),m_active,1,m_start,"&lt;"&amp;660,m_end,"&gt;"&amp;600)=0,"",IF(COUNTIFS(m_teacher,K$4,m_date,($G$2+3),m_active,1,m_start,"&lt;"&amp;660,m_end,"&gt;"&amp;600)&gt;1,"충돌",HYPERLINK("#'관리자_MASTER'!D"&amp;_xlfn.MAXIFS(m_row,m_teacher,K$4,m_date,($G$2+3),m_active,1,m_start,"&lt;"&amp;660,m_end,"&gt;"&amp;600),INDEX(m_label,_xlfn.MAXIFS(m_row,m_teacher,K$4,m_date,($G$2+3),m_active,1,m_start,"&lt;"&amp;660,m_end,"&gt;"&amp;600))))))</f>
        <v/>
      </c>
      <c r="L39" s="88" t="str">
        <f aca="false">IF(OR(L$4="",MONTH(($G$2+3))&lt;&gt;MONTH($C$2)),"",IF(COUNTIFS(m_teacher,L$4,m_date,($G$2+3),m_active,1,m_start,"&lt;"&amp;660,m_end,"&gt;"&amp;600)=0,"",IF(COUNTIFS(m_teacher,L$4,m_date,($G$2+3),m_active,1,m_start,"&lt;"&amp;660,m_end,"&gt;"&amp;600)&gt;1,"충돌",HYPERLINK("#'관리자_MASTER'!D"&amp;_xlfn.MAXIFS(m_row,m_teacher,L$4,m_date,($G$2+3),m_active,1,m_start,"&lt;"&amp;660,m_end,"&gt;"&amp;600),INDEX(m_label,_xlfn.MAXIFS(m_row,m_teacher,L$4,m_date,($G$2+3),m_active,1,m_start,"&lt;"&amp;660,m_end,"&gt;"&amp;600))))))</f>
        <v/>
      </c>
      <c r="M39" s="88" t="str">
        <f aca="false">IF(OR(M$4="",MONTH(($G$2+3))&lt;&gt;MONTH($C$2)),"",IF(COUNTIFS(m_teacher,M$4,m_date,($G$2+3),m_active,1,m_start,"&lt;"&amp;660,m_end,"&gt;"&amp;600)=0,"",IF(COUNTIFS(m_teacher,M$4,m_date,($G$2+3),m_active,1,m_start,"&lt;"&amp;660,m_end,"&gt;"&amp;600)&gt;1,"충돌",HYPERLINK("#'관리자_MASTER'!D"&amp;_xlfn.MAXIFS(m_row,m_teacher,M$4,m_date,($G$2+3),m_active,1,m_start,"&lt;"&amp;660,m_end,"&gt;"&amp;600),INDEX(m_label,_xlfn.MAXIFS(m_row,m_teacher,M$4,m_date,($G$2+3),m_active,1,m_start,"&lt;"&amp;660,m_end,"&gt;"&amp;600))))))</f>
        <v/>
      </c>
      <c r="N39" s="88" t="str">
        <f aca="false">IF(OR(N$4="",MONTH(($G$2+3))&lt;&gt;MONTH($C$2)),"",IF(COUNTIFS(m_teacher,N$4,m_date,($G$2+3),m_active,1,m_start,"&lt;"&amp;660,m_end,"&gt;"&amp;600)=0,"",IF(COUNTIFS(m_teacher,N$4,m_date,($G$2+3),m_active,1,m_start,"&lt;"&amp;660,m_end,"&gt;"&amp;600)&gt;1,"충돌",HYPERLINK("#'관리자_MASTER'!D"&amp;_xlfn.MAXIFS(m_row,m_teacher,N$4,m_date,($G$2+3),m_active,1,m_start,"&lt;"&amp;660,m_end,"&gt;"&amp;600),INDEX(m_label,_xlfn.MAXIFS(m_row,m_teacher,N$4,m_date,($G$2+3),m_active,1,m_start,"&lt;"&amp;660,m_end,"&gt;"&amp;600))))))</f>
        <v/>
      </c>
      <c r="O39" s="78"/>
      <c r="P39" s="79" t="s">
        <v>92</v>
      </c>
      <c r="Q39" s="88" t="str">
        <f aca="false">IF(OR(Q$4="",MONTH(($G$2+10))&lt;&gt;MONTH($C$2)),"",IF(COUNTIFS(m_teacher,Q$4,m_date,($G$2+10),m_active,1,m_start,"&lt;"&amp;660,m_end,"&gt;"&amp;600)=0,"",IF(COUNTIFS(m_teacher,Q$4,m_date,($G$2+10),m_active,1,m_start,"&lt;"&amp;660,m_end,"&gt;"&amp;600)&gt;1,"충돌",HYPERLINK("#'관리자_MASTER'!D"&amp;_xlfn.MAXIFS(m_row,m_teacher,Q$4,m_date,($G$2+10),m_active,1,m_start,"&lt;"&amp;660,m_end,"&gt;"&amp;600),INDEX(m_label,_xlfn.MAXIFS(m_row,m_teacher,Q$4,m_date,($G$2+10),m_active,1,m_start,"&lt;"&amp;660,m_end,"&gt;"&amp;600))))))</f>
        <v/>
      </c>
      <c r="R39" s="88" t="str">
        <f aca="false">IF(OR(R$4="",MONTH(($G$2+10))&lt;&gt;MONTH($C$2)),"",IF(COUNTIFS(m_teacher,R$4,m_date,($G$2+10),m_active,1,m_start,"&lt;"&amp;660,m_end,"&gt;"&amp;600)=0,"",IF(COUNTIFS(m_teacher,R$4,m_date,($G$2+10),m_active,1,m_start,"&lt;"&amp;660,m_end,"&gt;"&amp;600)&gt;1,"충돌",HYPERLINK("#'관리자_MASTER'!D"&amp;_xlfn.MAXIFS(m_row,m_teacher,R$4,m_date,($G$2+10),m_active,1,m_start,"&lt;"&amp;660,m_end,"&gt;"&amp;600),INDEX(m_label,_xlfn.MAXIFS(m_row,m_teacher,R$4,m_date,($G$2+10),m_active,1,m_start,"&lt;"&amp;660,m_end,"&gt;"&amp;600))))))</f>
        <v/>
      </c>
      <c r="S39" s="88" t="str">
        <f aca="false">IF(OR(S$4="",MONTH(($G$2+10))&lt;&gt;MONTH($C$2)),"",IF(COUNTIFS(m_teacher,S$4,m_date,($G$2+10),m_active,1,m_start,"&lt;"&amp;660,m_end,"&gt;"&amp;600)=0,"",IF(COUNTIFS(m_teacher,S$4,m_date,($G$2+10),m_active,1,m_start,"&lt;"&amp;660,m_end,"&gt;"&amp;600)&gt;1,"충돌",HYPERLINK("#'관리자_MASTER'!D"&amp;_xlfn.MAXIFS(m_row,m_teacher,S$4,m_date,($G$2+10),m_active,1,m_start,"&lt;"&amp;660,m_end,"&gt;"&amp;600),INDEX(m_label,_xlfn.MAXIFS(m_row,m_teacher,S$4,m_date,($G$2+10),m_active,1,m_start,"&lt;"&amp;660,m_end,"&gt;"&amp;600))))))</f>
        <v/>
      </c>
      <c r="T39" s="88" t="str">
        <f aca="false">IF(OR(T$4="",MONTH(($G$2+10))&lt;&gt;MONTH($C$2)),"",IF(COUNTIFS(m_teacher,T$4,m_date,($G$2+10),m_active,1,m_start,"&lt;"&amp;660,m_end,"&gt;"&amp;600)=0,"",IF(COUNTIFS(m_teacher,T$4,m_date,($G$2+10),m_active,1,m_start,"&lt;"&amp;660,m_end,"&gt;"&amp;600)&gt;1,"충돌",HYPERLINK("#'관리자_MASTER'!D"&amp;_xlfn.MAXIFS(m_row,m_teacher,T$4,m_date,($G$2+10),m_active,1,m_start,"&lt;"&amp;660,m_end,"&gt;"&amp;600),INDEX(m_label,_xlfn.MAXIFS(m_row,m_teacher,T$4,m_date,($G$2+10),m_active,1,m_start,"&lt;"&amp;660,m_end,"&gt;"&amp;600))))))</f>
        <v/>
      </c>
      <c r="U39" s="88" t="str">
        <f aca="false">IF(OR(U$4="",MONTH(($G$2+10))&lt;&gt;MONTH($C$2)),"",IF(COUNTIFS(m_teacher,U$4,m_date,($G$2+10),m_active,1,m_start,"&lt;"&amp;660,m_end,"&gt;"&amp;600)=0,"",IF(COUNTIFS(m_teacher,U$4,m_date,($G$2+10),m_active,1,m_start,"&lt;"&amp;660,m_end,"&gt;"&amp;600)&gt;1,"충돌",HYPERLINK("#'관리자_MASTER'!D"&amp;_xlfn.MAXIFS(m_row,m_teacher,U$4,m_date,($G$2+10),m_active,1,m_start,"&lt;"&amp;660,m_end,"&gt;"&amp;600),INDEX(m_label,_xlfn.MAXIFS(m_row,m_teacher,U$4,m_date,($G$2+10),m_active,1,m_start,"&lt;"&amp;660,m_end,"&gt;"&amp;600))))))</f>
        <v/>
      </c>
      <c r="V39" s="88" t="str">
        <f aca="false">IF(OR(V$4="",MONTH(($G$2+10))&lt;&gt;MONTH($C$2)),"",IF(COUNTIFS(m_teacher,V$4,m_date,($G$2+10),m_active,1,m_start,"&lt;"&amp;660,m_end,"&gt;"&amp;600)=0,"",IF(COUNTIFS(m_teacher,V$4,m_date,($G$2+10),m_active,1,m_start,"&lt;"&amp;660,m_end,"&gt;"&amp;600)&gt;1,"충돌",HYPERLINK("#'관리자_MASTER'!D"&amp;_xlfn.MAXIFS(m_row,m_teacher,V$4,m_date,($G$2+10),m_active,1,m_start,"&lt;"&amp;660,m_end,"&gt;"&amp;600),INDEX(m_label,_xlfn.MAXIFS(m_row,m_teacher,V$4,m_date,($G$2+10),m_active,1,m_start,"&lt;"&amp;660,m_end,"&gt;"&amp;600))))))</f>
        <v/>
      </c>
      <c r="W39" s="88" t="str">
        <f aca="false">IF(OR(W$4="",MONTH(($G$2+10))&lt;&gt;MONTH($C$2)),"",IF(COUNTIFS(m_teacher,W$4,m_date,($G$2+10),m_active,1,m_start,"&lt;"&amp;660,m_end,"&gt;"&amp;600)=0,"",IF(COUNTIFS(m_teacher,W$4,m_date,($G$2+10),m_active,1,m_start,"&lt;"&amp;660,m_end,"&gt;"&amp;600)&gt;1,"충돌",HYPERLINK("#'관리자_MASTER'!D"&amp;_xlfn.MAXIFS(m_row,m_teacher,W$4,m_date,($G$2+10),m_active,1,m_start,"&lt;"&amp;660,m_end,"&gt;"&amp;600),INDEX(m_label,_xlfn.MAXIFS(m_row,m_teacher,W$4,m_date,($G$2+10),m_active,1,m_start,"&lt;"&amp;660,m_end,"&gt;"&amp;600))))))</f>
        <v/>
      </c>
      <c r="X39" s="88" t="str">
        <f aca="false">IF(OR(X$4="",MONTH(($G$2+10))&lt;&gt;MONTH($C$2)),"",IF(COUNTIFS(m_teacher,X$4,m_date,($G$2+10),m_active,1,m_start,"&lt;"&amp;660,m_end,"&gt;"&amp;600)=0,"",IF(COUNTIFS(m_teacher,X$4,m_date,($G$2+10),m_active,1,m_start,"&lt;"&amp;660,m_end,"&gt;"&amp;600)&gt;1,"충돌",HYPERLINK("#'관리자_MASTER'!D"&amp;_xlfn.MAXIFS(m_row,m_teacher,X$4,m_date,($G$2+10),m_active,1,m_start,"&lt;"&amp;660,m_end,"&gt;"&amp;600),INDEX(m_label,_xlfn.MAXIFS(m_row,m_teacher,X$4,m_date,($G$2+10),m_active,1,m_start,"&lt;"&amp;660,m_end,"&gt;"&amp;600))))))</f>
        <v/>
      </c>
      <c r="Y39" s="88" t="str">
        <f aca="false">IF(OR(Y$4="",MONTH(($G$2+10))&lt;&gt;MONTH($C$2)),"",IF(COUNTIFS(m_teacher,Y$4,m_date,($G$2+10),m_active,1,m_start,"&lt;"&amp;660,m_end,"&gt;"&amp;600)=0,"",IF(COUNTIFS(m_teacher,Y$4,m_date,($G$2+10),m_active,1,m_start,"&lt;"&amp;660,m_end,"&gt;"&amp;600)&gt;1,"충돌",HYPERLINK("#'관리자_MASTER'!D"&amp;_xlfn.MAXIFS(m_row,m_teacher,Y$4,m_date,($G$2+10),m_active,1,m_start,"&lt;"&amp;660,m_end,"&gt;"&amp;600),INDEX(m_label,_xlfn.MAXIFS(m_row,m_teacher,Y$4,m_date,($G$2+10),m_active,1,m_start,"&lt;"&amp;660,m_end,"&gt;"&amp;600))))))</f>
        <v/>
      </c>
      <c r="Z39" s="88" t="str">
        <f aca="false">IF(OR(Z$4="",MONTH(($G$2+10))&lt;&gt;MONTH($C$2)),"",IF(COUNTIFS(m_teacher,Z$4,m_date,($G$2+10),m_active,1,m_start,"&lt;"&amp;660,m_end,"&gt;"&amp;600)=0,"",IF(COUNTIFS(m_teacher,Z$4,m_date,($G$2+10),m_active,1,m_start,"&lt;"&amp;660,m_end,"&gt;"&amp;600)&gt;1,"충돌",HYPERLINK("#'관리자_MASTER'!D"&amp;_xlfn.MAXIFS(m_row,m_teacher,Z$4,m_date,($G$2+10),m_active,1,m_start,"&lt;"&amp;660,m_end,"&gt;"&amp;600),INDEX(m_label,_xlfn.MAXIFS(m_row,m_teacher,Z$4,m_date,($G$2+10),m_active,1,m_start,"&lt;"&amp;660,m_end,"&gt;"&amp;600))))))</f>
        <v/>
      </c>
      <c r="AA39" s="88" t="str">
        <f aca="false">IF(OR(AA$4="",MONTH(($G$2+10))&lt;&gt;MONTH($C$2)),"",IF(COUNTIFS(m_teacher,AA$4,m_date,($G$2+10),m_active,1,m_start,"&lt;"&amp;660,m_end,"&gt;"&amp;600)=0,"",IF(COUNTIFS(m_teacher,AA$4,m_date,($G$2+10),m_active,1,m_start,"&lt;"&amp;660,m_end,"&gt;"&amp;600)&gt;1,"충돌",HYPERLINK("#'관리자_MASTER'!D"&amp;_xlfn.MAXIFS(m_row,m_teacher,AA$4,m_date,($G$2+10),m_active,1,m_start,"&lt;"&amp;660,m_end,"&gt;"&amp;600),INDEX(m_label,_xlfn.MAXIFS(m_row,m_teacher,AA$4,m_date,($G$2+10),m_active,1,m_start,"&lt;"&amp;660,m_end,"&gt;"&amp;600))))))</f>
        <v/>
      </c>
      <c r="AB39" s="88" t="str">
        <f aca="false">IF(OR(AB$4="",MONTH(($G$2+10))&lt;&gt;MONTH($C$2)),"",IF(COUNTIFS(m_teacher,AB$4,m_date,($G$2+10),m_active,1,m_start,"&lt;"&amp;660,m_end,"&gt;"&amp;600)=0,"",IF(COUNTIFS(m_teacher,AB$4,m_date,($G$2+10),m_active,1,m_start,"&lt;"&amp;660,m_end,"&gt;"&amp;600)&gt;1,"충돌",HYPERLINK("#'관리자_MASTER'!D"&amp;_xlfn.MAXIFS(m_row,m_teacher,AB$4,m_date,($G$2+10),m_active,1,m_start,"&lt;"&amp;660,m_end,"&gt;"&amp;600),INDEX(m_label,_xlfn.MAXIFS(m_row,m_teacher,AB$4,m_date,($G$2+10),m_active,1,m_start,"&lt;"&amp;660,m_end,"&gt;"&amp;600))))))</f>
        <v/>
      </c>
      <c r="AC39" s="78"/>
      <c r="AD39" s="79" t="s">
        <v>92</v>
      </c>
      <c r="AE39" s="88" t="str">
        <f aca="false">IF(OR(AE$4="",MONTH(($G$2+17))&lt;&gt;MONTH($C$2)),"",IF(COUNTIFS(m_teacher,AE$4,m_date,($G$2+17),m_active,1,m_start,"&lt;"&amp;660,m_end,"&gt;"&amp;600)=0,"",IF(COUNTIFS(m_teacher,AE$4,m_date,($G$2+17),m_active,1,m_start,"&lt;"&amp;660,m_end,"&gt;"&amp;600)&gt;1,"충돌",HYPERLINK("#'관리자_MASTER'!D"&amp;_xlfn.MAXIFS(m_row,m_teacher,AE$4,m_date,($G$2+17),m_active,1,m_start,"&lt;"&amp;660,m_end,"&gt;"&amp;600),INDEX(m_label,_xlfn.MAXIFS(m_row,m_teacher,AE$4,m_date,($G$2+17),m_active,1,m_start,"&lt;"&amp;660,m_end,"&gt;"&amp;600))))))</f>
        <v/>
      </c>
      <c r="AF39" s="88" t="str">
        <f aca="false">IF(OR(AF$4="",MONTH(($G$2+17))&lt;&gt;MONTH($C$2)),"",IF(COUNTIFS(m_teacher,AF$4,m_date,($G$2+17),m_active,1,m_start,"&lt;"&amp;660,m_end,"&gt;"&amp;600)=0,"",IF(COUNTIFS(m_teacher,AF$4,m_date,($G$2+17),m_active,1,m_start,"&lt;"&amp;660,m_end,"&gt;"&amp;600)&gt;1,"충돌",HYPERLINK("#'관리자_MASTER'!D"&amp;_xlfn.MAXIFS(m_row,m_teacher,AF$4,m_date,($G$2+17),m_active,1,m_start,"&lt;"&amp;660,m_end,"&gt;"&amp;600),INDEX(m_label,_xlfn.MAXIFS(m_row,m_teacher,AF$4,m_date,($G$2+17),m_active,1,m_start,"&lt;"&amp;660,m_end,"&gt;"&amp;600))))))</f>
        <v/>
      </c>
      <c r="AG39" s="88" t="str">
        <f aca="false">IF(OR(AG$4="",MONTH(($G$2+17))&lt;&gt;MONTH($C$2)),"",IF(COUNTIFS(m_teacher,AG$4,m_date,($G$2+17),m_active,1,m_start,"&lt;"&amp;660,m_end,"&gt;"&amp;600)=0,"",IF(COUNTIFS(m_teacher,AG$4,m_date,($G$2+17),m_active,1,m_start,"&lt;"&amp;660,m_end,"&gt;"&amp;600)&gt;1,"충돌",HYPERLINK("#'관리자_MASTER'!D"&amp;_xlfn.MAXIFS(m_row,m_teacher,AG$4,m_date,($G$2+17),m_active,1,m_start,"&lt;"&amp;660,m_end,"&gt;"&amp;600),INDEX(m_label,_xlfn.MAXIFS(m_row,m_teacher,AG$4,m_date,($G$2+17),m_active,1,m_start,"&lt;"&amp;660,m_end,"&gt;"&amp;600))))))</f>
        <v/>
      </c>
      <c r="AH39" s="88" t="str">
        <f aca="false">IF(OR(AH$4="",MONTH(($G$2+17))&lt;&gt;MONTH($C$2)),"",IF(COUNTIFS(m_teacher,AH$4,m_date,($G$2+17),m_active,1,m_start,"&lt;"&amp;660,m_end,"&gt;"&amp;600)=0,"",IF(COUNTIFS(m_teacher,AH$4,m_date,($G$2+17),m_active,1,m_start,"&lt;"&amp;660,m_end,"&gt;"&amp;600)&gt;1,"충돌",HYPERLINK("#'관리자_MASTER'!D"&amp;_xlfn.MAXIFS(m_row,m_teacher,AH$4,m_date,($G$2+17),m_active,1,m_start,"&lt;"&amp;660,m_end,"&gt;"&amp;600),INDEX(m_label,_xlfn.MAXIFS(m_row,m_teacher,AH$4,m_date,($G$2+17),m_active,1,m_start,"&lt;"&amp;660,m_end,"&gt;"&amp;600))))))</f>
        <v/>
      </c>
      <c r="AI39" s="88" t="str">
        <f aca="false">IF(OR(AI$4="",MONTH(($G$2+17))&lt;&gt;MONTH($C$2)),"",IF(COUNTIFS(m_teacher,AI$4,m_date,($G$2+17),m_active,1,m_start,"&lt;"&amp;660,m_end,"&gt;"&amp;600)=0,"",IF(COUNTIFS(m_teacher,AI$4,m_date,($G$2+17),m_active,1,m_start,"&lt;"&amp;660,m_end,"&gt;"&amp;600)&gt;1,"충돌",HYPERLINK("#'관리자_MASTER'!D"&amp;_xlfn.MAXIFS(m_row,m_teacher,AI$4,m_date,($G$2+17),m_active,1,m_start,"&lt;"&amp;660,m_end,"&gt;"&amp;600),INDEX(m_label,_xlfn.MAXIFS(m_row,m_teacher,AI$4,m_date,($G$2+17),m_active,1,m_start,"&lt;"&amp;660,m_end,"&gt;"&amp;600))))))</f>
        <v/>
      </c>
      <c r="AJ39" s="88" t="str">
        <f aca="false">IF(OR(AJ$4="",MONTH(($G$2+17))&lt;&gt;MONTH($C$2)),"",IF(COUNTIFS(m_teacher,AJ$4,m_date,($G$2+17),m_active,1,m_start,"&lt;"&amp;660,m_end,"&gt;"&amp;600)=0,"",IF(COUNTIFS(m_teacher,AJ$4,m_date,($G$2+17),m_active,1,m_start,"&lt;"&amp;660,m_end,"&gt;"&amp;600)&gt;1,"충돌",HYPERLINK("#'관리자_MASTER'!D"&amp;_xlfn.MAXIFS(m_row,m_teacher,AJ$4,m_date,($G$2+17),m_active,1,m_start,"&lt;"&amp;660,m_end,"&gt;"&amp;600),INDEX(m_label,_xlfn.MAXIFS(m_row,m_teacher,AJ$4,m_date,($G$2+17),m_active,1,m_start,"&lt;"&amp;660,m_end,"&gt;"&amp;600))))))</f>
        <v/>
      </c>
      <c r="AK39" s="88" t="str">
        <f aca="false">IF(OR(AK$4="",MONTH(($G$2+17))&lt;&gt;MONTH($C$2)),"",IF(COUNTIFS(m_teacher,AK$4,m_date,($G$2+17),m_active,1,m_start,"&lt;"&amp;660,m_end,"&gt;"&amp;600)=0,"",IF(COUNTIFS(m_teacher,AK$4,m_date,($G$2+17),m_active,1,m_start,"&lt;"&amp;660,m_end,"&gt;"&amp;600)&gt;1,"충돌",HYPERLINK("#'관리자_MASTER'!D"&amp;_xlfn.MAXIFS(m_row,m_teacher,AK$4,m_date,($G$2+17),m_active,1,m_start,"&lt;"&amp;660,m_end,"&gt;"&amp;600),INDEX(m_label,_xlfn.MAXIFS(m_row,m_teacher,AK$4,m_date,($G$2+17),m_active,1,m_start,"&lt;"&amp;660,m_end,"&gt;"&amp;600))))))</f>
        <v/>
      </c>
      <c r="AL39" s="88" t="str">
        <f aca="false">IF(OR(AL$4="",MONTH(($G$2+17))&lt;&gt;MONTH($C$2)),"",IF(COUNTIFS(m_teacher,AL$4,m_date,($G$2+17),m_active,1,m_start,"&lt;"&amp;660,m_end,"&gt;"&amp;600)=0,"",IF(COUNTIFS(m_teacher,AL$4,m_date,($G$2+17),m_active,1,m_start,"&lt;"&amp;660,m_end,"&gt;"&amp;600)&gt;1,"충돌",HYPERLINK("#'관리자_MASTER'!D"&amp;_xlfn.MAXIFS(m_row,m_teacher,AL$4,m_date,($G$2+17),m_active,1,m_start,"&lt;"&amp;660,m_end,"&gt;"&amp;600),INDEX(m_label,_xlfn.MAXIFS(m_row,m_teacher,AL$4,m_date,($G$2+17),m_active,1,m_start,"&lt;"&amp;660,m_end,"&gt;"&amp;600))))))</f>
        <v/>
      </c>
      <c r="AM39" s="88" t="str">
        <f aca="false">IF(OR(AM$4="",MONTH(($G$2+17))&lt;&gt;MONTH($C$2)),"",IF(COUNTIFS(m_teacher,AM$4,m_date,($G$2+17),m_active,1,m_start,"&lt;"&amp;660,m_end,"&gt;"&amp;600)=0,"",IF(COUNTIFS(m_teacher,AM$4,m_date,($G$2+17),m_active,1,m_start,"&lt;"&amp;660,m_end,"&gt;"&amp;600)&gt;1,"충돌",HYPERLINK("#'관리자_MASTER'!D"&amp;_xlfn.MAXIFS(m_row,m_teacher,AM$4,m_date,($G$2+17),m_active,1,m_start,"&lt;"&amp;660,m_end,"&gt;"&amp;600),INDEX(m_label,_xlfn.MAXIFS(m_row,m_teacher,AM$4,m_date,($G$2+17),m_active,1,m_start,"&lt;"&amp;660,m_end,"&gt;"&amp;600))))))</f>
        <v/>
      </c>
      <c r="AN39" s="88" t="str">
        <f aca="false">IF(OR(AN$4="",MONTH(($G$2+17))&lt;&gt;MONTH($C$2)),"",IF(COUNTIFS(m_teacher,AN$4,m_date,($G$2+17),m_active,1,m_start,"&lt;"&amp;660,m_end,"&gt;"&amp;600)=0,"",IF(COUNTIFS(m_teacher,AN$4,m_date,($G$2+17),m_active,1,m_start,"&lt;"&amp;660,m_end,"&gt;"&amp;600)&gt;1,"충돌",HYPERLINK("#'관리자_MASTER'!D"&amp;_xlfn.MAXIFS(m_row,m_teacher,AN$4,m_date,($G$2+17),m_active,1,m_start,"&lt;"&amp;660,m_end,"&gt;"&amp;600),INDEX(m_label,_xlfn.MAXIFS(m_row,m_teacher,AN$4,m_date,($G$2+17),m_active,1,m_start,"&lt;"&amp;660,m_end,"&gt;"&amp;600))))))</f>
        <v/>
      </c>
      <c r="AO39" s="88" t="str">
        <f aca="false">IF(OR(AO$4="",MONTH(($G$2+17))&lt;&gt;MONTH($C$2)),"",IF(COUNTIFS(m_teacher,AO$4,m_date,($G$2+17),m_active,1,m_start,"&lt;"&amp;660,m_end,"&gt;"&amp;600)=0,"",IF(COUNTIFS(m_teacher,AO$4,m_date,($G$2+17),m_active,1,m_start,"&lt;"&amp;660,m_end,"&gt;"&amp;600)&gt;1,"충돌",HYPERLINK("#'관리자_MASTER'!D"&amp;_xlfn.MAXIFS(m_row,m_teacher,AO$4,m_date,($G$2+17),m_active,1,m_start,"&lt;"&amp;660,m_end,"&gt;"&amp;600),INDEX(m_label,_xlfn.MAXIFS(m_row,m_teacher,AO$4,m_date,($G$2+17),m_active,1,m_start,"&lt;"&amp;660,m_end,"&gt;"&amp;600))))))</f>
        <v/>
      </c>
      <c r="AP39" s="88" t="str">
        <f aca="false">IF(OR(AP$4="",MONTH(($G$2+17))&lt;&gt;MONTH($C$2)),"",IF(COUNTIFS(m_teacher,AP$4,m_date,($G$2+17),m_active,1,m_start,"&lt;"&amp;660,m_end,"&gt;"&amp;600)=0,"",IF(COUNTIFS(m_teacher,AP$4,m_date,($G$2+17),m_active,1,m_start,"&lt;"&amp;660,m_end,"&gt;"&amp;600)&gt;1,"충돌",HYPERLINK("#'관리자_MASTER'!D"&amp;_xlfn.MAXIFS(m_row,m_teacher,AP$4,m_date,($G$2+17),m_active,1,m_start,"&lt;"&amp;660,m_end,"&gt;"&amp;600),INDEX(m_label,_xlfn.MAXIFS(m_row,m_teacher,AP$4,m_date,($G$2+17),m_active,1,m_start,"&lt;"&amp;660,m_end,"&gt;"&amp;600))))))</f>
        <v/>
      </c>
      <c r="AQ39" s="78"/>
      <c r="AR39" s="79" t="s">
        <v>92</v>
      </c>
      <c r="AS39" s="88" t="str">
        <f aca="false">IF(OR(AS$4="",MONTH(($G$2+24))&lt;&gt;MONTH($C$2)),"",IF(COUNTIFS(m_teacher,AS$4,m_date,($G$2+24),m_active,1,m_start,"&lt;"&amp;660,m_end,"&gt;"&amp;600)=0,"",IF(COUNTIFS(m_teacher,AS$4,m_date,($G$2+24),m_active,1,m_start,"&lt;"&amp;660,m_end,"&gt;"&amp;600)&gt;1,"충돌",HYPERLINK("#'관리자_MASTER'!D"&amp;_xlfn.MAXIFS(m_row,m_teacher,AS$4,m_date,($G$2+24),m_active,1,m_start,"&lt;"&amp;660,m_end,"&gt;"&amp;600),INDEX(m_label,_xlfn.MAXIFS(m_row,m_teacher,AS$4,m_date,($G$2+24),m_active,1,m_start,"&lt;"&amp;660,m_end,"&gt;"&amp;600))))))</f>
        <v/>
      </c>
      <c r="AT39" s="88" t="str">
        <f aca="false">IF(OR(AT$4="",MONTH(($G$2+24))&lt;&gt;MONTH($C$2)),"",IF(COUNTIFS(m_teacher,AT$4,m_date,($G$2+24),m_active,1,m_start,"&lt;"&amp;660,m_end,"&gt;"&amp;600)=0,"",IF(COUNTIFS(m_teacher,AT$4,m_date,($G$2+24),m_active,1,m_start,"&lt;"&amp;660,m_end,"&gt;"&amp;600)&gt;1,"충돌",HYPERLINK("#'관리자_MASTER'!D"&amp;_xlfn.MAXIFS(m_row,m_teacher,AT$4,m_date,($G$2+24),m_active,1,m_start,"&lt;"&amp;660,m_end,"&gt;"&amp;600),INDEX(m_label,_xlfn.MAXIFS(m_row,m_teacher,AT$4,m_date,($G$2+24),m_active,1,m_start,"&lt;"&amp;660,m_end,"&gt;"&amp;600))))))</f>
        <v/>
      </c>
      <c r="AU39" s="88" t="str">
        <f aca="false">IF(OR(AU$4="",MONTH(($G$2+24))&lt;&gt;MONTH($C$2)),"",IF(COUNTIFS(m_teacher,AU$4,m_date,($G$2+24),m_active,1,m_start,"&lt;"&amp;660,m_end,"&gt;"&amp;600)=0,"",IF(COUNTIFS(m_teacher,AU$4,m_date,($G$2+24),m_active,1,m_start,"&lt;"&amp;660,m_end,"&gt;"&amp;600)&gt;1,"충돌",HYPERLINK("#'관리자_MASTER'!D"&amp;_xlfn.MAXIFS(m_row,m_teacher,AU$4,m_date,($G$2+24),m_active,1,m_start,"&lt;"&amp;660,m_end,"&gt;"&amp;600),INDEX(m_label,_xlfn.MAXIFS(m_row,m_teacher,AU$4,m_date,($G$2+24),m_active,1,m_start,"&lt;"&amp;660,m_end,"&gt;"&amp;600))))))</f>
        <v/>
      </c>
      <c r="AV39" s="88" t="str">
        <f aca="false">IF(OR(AV$4="",MONTH(($G$2+24))&lt;&gt;MONTH($C$2)),"",IF(COUNTIFS(m_teacher,AV$4,m_date,($G$2+24),m_active,1,m_start,"&lt;"&amp;660,m_end,"&gt;"&amp;600)=0,"",IF(COUNTIFS(m_teacher,AV$4,m_date,($G$2+24),m_active,1,m_start,"&lt;"&amp;660,m_end,"&gt;"&amp;600)&gt;1,"충돌",HYPERLINK("#'관리자_MASTER'!D"&amp;_xlfn.MAXIFS(m_row,m_teacher,AV$4,m_date,($G$2+24),m_active,1,m_start,"&lt;"&amp;660,m_end,"&gt;"&amp;600),INDEX(m_label,_xlfn.MAXIFS(m_row,m_teacher,AV$4,m_date,($G$2+24),m_active,1,m_start,"&lt;"&amp;660,m_end,"&gt;"&amp;600))))))</f>
        <v/>
      </c>
      <c r="AW39" s="88" t="str">
        <f aca="false">IF(OR(AW$4="",MONTH(($G$2+24))&lt;&gt;MONTH($C$2)),"",IF(COUNTIFS(m_teacher,AW$4,m_date,($G$2+24),m_active,1,m_start,"&lt;"&amp;660,m_end,"&gt;"&amp;600)=0,"",IF(COUNTIFS(m_teacher,AW$4,m_date,($G$2+24),m_active,1,m_start,"&lt;"&amp;660,m_end,"&gt;"&amp;600)&gt;1,"충돌",HYPERLINK("#'관리자_MASTER'!D"&amp;_xlfn.MAXIFS(m_row,m_teacher,AW$4,m_date,($G$2+24),m_active,1,m_start,"&lt;"&amp;660,m_end,"&gt;"&amp;600),INDEX(m_label,_xlfn.MAXIFS(m_row,m_teacher,AW$4,m_date,($G$2+24),m_active,1,m_start,"&lt;"&amp;660,m_end,"&gt;"&amp;600))))))</f>
        <v/>
      </c>
      <c r="AX39" s="88" t="str">
        <f aca="false">IF(OR(AX$4="",MONTH(($G$2+24))&lt;&gt;MONTH($C$2)),"",IF(COUNTIFS(m_teacher,AX$4,m_date,($G$2+24),m_active,1,m_start,"&lt;"&amp;660,m_end,"&gt;"&amp;600)=0,"",IF(COUNTIFS(m_teacher,AX$4,m_date,($G$2+24),m_active,1,m_start,"&lt;"&amp;660,m_end,"&gt;"&amp;600)&gt;1,"충돌",HYPERLINK("#'관리자_MASTER'!D"&amp;_xlfn.MAXIFS(m_row,m_teacher,AX$4,m_date,($G$2+24),m_active,1,m_start,"&lt;"&amp;660,m_end,"&gt;"&amp;600),INDEX(m_label,_xlfn.MAXIFS(m_row,m_teacher,AX$4,m_date,($G$2+24),m_active,1,m_start,"&lt;"&amp;660,m_end,"&gt;"&amp;600))))))</f>
        <v/>
      </c>
      <c r="AY39" s="88" t="str">
        <f aca="false">IF(OR(AY$4="",MONTH(($G$2+24))&lt;&gt;MONTH($C$2)),"",IF(COUNTIFS(m_teacher,AY$4,m_date,($G$2+24),m_active,1,m_start,"&lt;"&amp;660,m_end,"&gt;"&amp;600)=0,"",IF(COUNTIFS(m_teacher,AY$4,m_date,($G$2+24),m_active,1,m_start,"&lt;"&amp;660,m_end,"&gt;"&amp;600)&gt;1,"충돌",HYPERLINK("#'관리자_MASTER'!D"&amp;_xlfn.MAXIFS(m_row,m_teacher,AY$4,m_date,($G$2+24),m_active,1,m_start,"&lt;"&amp;660,m_end,"&gt;"&amp;600),INDEX(m_label,_xlfn.MAXIFS(m_row,m_teacher,AY$4,m_date,($G$2+24),m_active,1,m_start,"&lt;"&amp;660,m_end,"&gt;"&amp;600))))))</f>
        <v/>
      </c>
      <c r="AZ39" s="88" t="str">
        <f aca="false">IF(OR(AZ$4="",MONTH(($G$2+24))&lt;&gt;MONTH($C$2)),"",IF(COUNTIFS(m_teacher,AZ$4,m_date,($G$2+24),m_active,1,m_start,"&lt;"&amp;660,m_end,"&gt;"&amp;600)=0,"",IF(COUNTIFS(m_teacher,AZ$4,m_date,($G$2+24),m_active,1,m_start,"&lt;"&amp;660,m_end,"&gt;"&amp;600)&gt;1,"충돌",HYPERLINK("#'관리자_MASTER'!D"&amp;_xlfn.MAXIFS(m_row,m_teacher,AZ$4,m_date,($G$2+24),m_active,1,m_start,"&lt;"&amp;660,m_end,"&gt;"&amp;600),INDEX(m_label,_xlfn.MAXIFS(m_row,m_teacher,AZ$4,m_date,($G$2+24),m_active,1,m_start,"&lt;"&amp;660,m_end,"&gt;"&amp;600))))))</f>
        <v/>
      </c>
      <c r="BA39" s="88" t="str">
        <f aca="false">IF(OR(BA$4="",MONTH(($G$2+24))&lt;&gt;MONTH($C$2)),"",IF(COUNTIFS(m_teacher,BA$4,m_date,($G$2+24),m_active,1,m_start,"&lt;"&amp;660,m_end,"&gt;"&amp;600)=0,"",IF(COUNTIFS(m_teacher,BA$4,m_date,($G$2+24),m_active,1,m_start,"&lt;"&amp;660,m_end,"&gt;"&amp;600)&gt;1,"충돌",HYPERLINK("#'관리자_MASTER'!D"&amp;_xlfn.MAXIFS(m_row,m_teacher,BA$4,m_date,($G$2+24),m_active,1,m_start,"&lt;"&amp;660,m_end,"&gt;"&amp;600),INDEX(m_label,_xlfn.MAXIFS(m_row,m_teacher,BA$4,m_date,($G$2+24),m_active,1,m_start,"&lt;"&amp;660,m_end,"&gt;"&amp;600))))))</f>
        <v/>
      </c>
      <c r="BB39" s="88" t="str">
        <f aca="false">IF(OR(BB$4="",MONTH(($G$2+24))&lt;&gt;MONTH($C$2)),"",IF(COUNTIFS(m_teacher,BB$4,m_date,($G$2+24),m_active,1,m_start,"&lt;"&amp;660,m_end,"&gt;"&amp;600)=0,"",IF(COUNTIFS(m_teacher,BB$4,m_date,($G$2+24),m_active,1,m_start,"&lt;"&amp;660,m_end,"&gt;"&amp;600)&gt;1,"충돌",HYPERLINK("#'관리자_MASTER'!D"&amp;_xlfn.MAXIFS(m_row,m_teacher,BB$4,m_date,($G$2+24),m_active,1,m_start,"&lt;"&amp;660,m_end,"&gt;"&amp;600),INDEX(m_label,_xlfn.MAXIFS(m_row,m_teacher,BB$4,m_date,($G$2+24),m_active,1,m_start,"&lt;"&amp;660,m_end,"&gt;"&amp;600))))))</f>
        <v/>
      </c>
      <c r="BC39" s="88" t="str">
        <f aca="false">IF(OR(BC$4="",MONTH(($G$2+24))&lt;&gt;MONTH($C$2)),"",IF(COUNTIFS(m_teacher,BC$4,m_date,($G$2+24),m_active,1,m_start,"&lt;"&amp;660,m_end,"&gt;"&amp;600)=0,"",IF(COUNTIFS(m_teacher,BC$4,m_date,($G$2+24),m_active,1,m_start,"&lt;"&amp;660,m_end,"&gt;"&amp;600)&gt;1,"충돌",HYPERLINK("#'관리자_MASTER'!D"&amp;_xlfn.MAXIFS(m_row,m_teacher,BC$4,m_date,($G$2+24),m_active,1,m_start,"&lt;"&amp;660,m_end,"&gt;"&amp;600),INDEX(m_label,_xlfn.MAXIFS(m_row,m_teacher,BC$4,m_date,($G$2+24),m_active,1,m_start,"&lt;"&amp;660,m_end,"&gt;"&amp;600))))))</f>
        <v/>
      </c>
      <c r="BD39" s="88" t="str">
        <f aca="false">IF(OR(BD$4="",MONTH(($G$2+24))&lt;&gt;MONTH($C$2)),"",IF(COUNTIFS(m_teacher,BD$4,m_date,($G$2+24),m_active,1,m_start,"&lt;"&amp;660,m_end,"&gt;"&amp;600)=0,"",IF(COUNTIFS(m_teacher,BD$4,m_date,($G$2+24),m_active,1,m_start,"&lt;"&amp;660,m_end,"&gt;"&amp;600)&gt;1,"충돌",HYPERLINK("#'관리자_MASTER'!D"&amp;_xlfn.MAXIFS(m_row,m_teacher,BD$4,m_date,($G$2+24),m_active,1,m_start,"&lt;"&amp;660,m_end,"&gt;"&amp;600),INDEX(m_label,_xlfn.MAXIFS(m_row,m_teacher,BD$4,m_date,($G$2+24),m_active,1,m_start,"&lt;"&amp;660,m_end,"&gt;"&amp;600))))))</f>
        <v/>
      </c>
      <c r="BE39" s="78"/>
      <c r="BF39" s="79" t="s">
        <v>92</v>
      </c>
      <c r="BG39" s="88" t="str">
        <f aca="false">IF(OR(BG$4="",MONTH(($G$2+31))&lt;&gt;MONTH($C$2)),"",IF(COUNTIFS(m_teacher,BG$4,m_date,($G$2+31),m_active,1,m_start,"&lt;"&amp;660,m_end,"&gt;"&amp;600)=0,"",IF(COUNTIFS(m_teacher,BG$4,m_date,($G$2+31),m_active,1,m_start,"&lt;"&amp;660,m_end,"&gt;"&amp;600)&gt;1,"충돌",HYPERLINK("#'관리자_MASTER'!D"&amp;_xlfn.MAXIFS(m_row,m_teacher,BG$4,m_date,($G$2+31),m_active,1,m_start,"&lt;"&amp;660,m_end,"&gt;"&amp;600),INDEX(m_label,_xlfn.MAXIFS(m_row,m_teacher,BG$4,m_date,($G$2+31),m_active,1,m_start,"&lt;"&amp;660,m_end,"&gt;"&amp;600))))))</f>
        <v/>
      </c>
      <c r="BH39" s="88" t="str">
        <f aca="false">IF(OR(BH$4="",MONTH(($G$2+31))&lt;&gt;MONTH($C$2)),"",IF(COUNTIFS(m_teacher,BH$4,m_date,($G$2+31),m_active,1,m_start,"&lt;"&amp;660,m_end,"&gt;"&amp;600)=0,"",IF(COUNTIFS(m_teacher,BH$4,m_date,($G$2+31),m_active,1,m_start,"&lt;"&amp;660,m_end,"&gt;"&amp;600)&gt;1,"충돌",HYPERLINK("#'관리자_MASTER'!D"&amp;_xlfn.MAXIFS(m_row,m_teacher,BH$4,m_date,($G$2+31),m_active,1,m_start,"&lt;"&amp;660,m_end,"&gt;"&amp;600),INDEX(m_label,_xlfn.MAXIFS(m_row,m_teacher,BH$4,m_date,($G$2+31),m_active,1,m_start,"&lt;"&amp;660,m_end,"&gt;"&amp;600))))))</f>
        <v/>
      </c>
      <c r="BI39" s="88" t="str">
        <f aca="false">IF(OR(BI$4="",MONTH(($G$2+31))&lt;&gt;MONTH($C$2)),"",IF(COUNTIFS(m_teacher,BI$4,m_date,($G$2+31),m_active,1,m_start,"&lt;"&amp;660,m_end,"&gt;"&amp;600)=0,"",IF(COUNTIFS(m_teacher,BI$4,m_date,($G$2+31),m_active,1,m_start,"&lt;"&amp;660,m_end,"&gt;"&amp;600)&gt;1,"충돌",HYPERLINK("#'관리자_MASTER'!D"&amp;_xlfn.MAXIFS(m_row,m_teacher,BI$4,m_date,($G$2+31),m_active,1,m_start,"&lt;"&amp;660,m_end,"&gt;"&amp;600),INDEX(m_label,_xlfn.MAXIFS(m_row,m_teacher,BI$4,m_date,($G$2+31),m_active,1,m_start,"&lt;"&amp;660,m_end,"&gt;"&amp;600))))))</f>
        <v/>
      </c>
      <c r="BJ39" s="88" t="str">
        <f aca="false">IF(OR(BJ$4="",MONTH(($G$2+31))&lt;&gt;MONTH($C$2)),"",IF(COUNTIFS(m_teacher,BJ$4,m_date,($G$2+31),m_active,1,m_start,"&lt;"&amp;660,m_end,"&gt;"&amp;600)=0,"",IF(COUNTIFS(m_teacher,BJ$4,m_date,($G$2+31),m_active,1,m_start,"&lt;"&amp;660,m_end,"&gt;"&amp;600)&gt;1,"충돌",HYPERLINK("#'관리자_MASTER'!D"&amp;_xlfn.MAXIFS(m_row,m_teacher,BJ$4,m_date,($G$2+31),m_active,1,m_start,"&lt;"&amp;660,m_end,"&gt;"&amp;600),INDEX(m_label,_xlfn.MAXIFS(m_row,m_teacher,BJ$4,m_date,($G$2+31),m_active,1,m_start,"&lt;"&amp;660,m_end,"&gt;"&amp;600))))))</f>
        <v/>
      </c>
      <c r="BK39" s="88" t="str">
        <f aca="false">IF(OR(BK$4="",MONTH(($G$2+31))&lt;&gt;MONTH($C$2)),"",IF(COUNTIFS(m_teacher,BK$4,m_date,($G$2+31),m_active,1,m_start,"&lt;"&amp;660,m_end,"&gt;"&amp;600)=0,"",IF(COUNTIFS(m_teacher,BK$4,m_date,($G$2+31),m_active,1,m_start,"&lt;"&amp;660,m_end,"&gt;"&amp;600)&gt;1,"충돌",HYPERLINK("#'관리자_MASTER'!D"&amp;_xlfn.MAXIFS(m_row,m_teacher,BK$4,m_date,($G$2+31),m_active,1,m_start,"&lt;"&amp;660,m_end,"&gt;"&amp;600),INDEX(m_label,_xlfn.MAXIFS(m_row,m_teacher,BK$4,m_date,($G$2+31),m_active,1,m_start,"&lt;"&amp;660,m_end,"&gt;"&amp;600))))))</f>
        <v/>
      </c>
      <c r="BL39" s="88" t="str">
        <f aca="false">IF(OR(BL$4="",MONTH(($G$2+31))&lt;&gt;MONTH($C$2)),"",IF(COUNTIFS(m_teacher,BL$4,m_date,($G$2+31),m_active,1,m_start,"&lt;"&amp;660,m_end,"&gt;"&amp;600)=0,"",IF(COUNTIFS(m_teacher,BL$4,m_date,($G$2+31),m_active,1,m_start,"&lt;"&amp;660,m_end,"&gt;"&amp;600)&gt;1,"충돌",HYPERLINK("#'관리자_MASTER'!D"&amp;_xlfn.MAXIFS(m_row,m_teacher,BL$4,m_date,($G$2+31),m_active,1,m_start,"&lt;"&amp;660,m_end,"&gt;"&amp;600),INDEX(m_label,_xlfn.MAXIFS(m_row,m_teacher,BL$4,m_date,($G$2+31),m_active,1,m_start,"&lt;"&amp;660,m_end,"&gt;"&amp;600))))))</f>
        <v/>
      </c>
      <c r="BM39" s="88" t="str">
        <f aca="false">IF(OR(BM$4="",MONTH(($G$2+31))&lt;&gt;MONTH($C$2)),"",IF(COUNTIFS(m_teacher,BM$4,m_date,($G$2+31),m_active,1,m_start,"&lt;"&amp;660,m_end,"&gt;"&amp;600)=0,"",IF(COUNTIFS(m_teacher,BM$4,m_date,($G$2+31),m_active,1,m_start,"&lt;"&amp;660,m_end,"&gt;"&amp;600)&gt;1,"충돌",HYPERLINK("#'관리자_MASTER'!D"&amp;_xlfn.MAXIFS(m_row,m_teacher,BM$4,m_date,($G$2+31),m_active,1,m_start,"&lt;"&amp;660,m_end,"&gt;"&amp;600),INDEX(m_label,_xlfn.MAXIFS(m_row,m_teacher,BM$4,m_date,($G$2+31),m_active,1,m_start,"&lt;"&amp;660,m_end,"&gt;"&amp;600))))))</f>
        <v/>
      </c>
      <c r="BN39" s="88" t="str">
        <f aca="false">IF(OR(BN$4="",MONTH(($G$2+31))&lt;&gt;MONTH($C$2)),"",IF(COUNTIFS(m_teacher,BN$4,m_date,($G$2+31),m_active,1,m_start,"&lt;"&amp;660,m_end,"&gt;"&amp;600)=0,"",IF(COUNTIFS(m_teacher,BN$4,m_date,($G$2+31),m_active,1,m_start,"&lt;"&amp;660,m_end,"&gt;"&amp;600)&gt;1,"충돌",HYPERLINK("#'관리자_MASTER'!D"&amp;_xlfn.MAXIFS(m_row,m_teacher,BN$4,m_date,($G$2+31),m_active,1,m_start,"&lt;"&amp;660,m_end,"&gt;"&amp;600),INDEX(m_label,_xlfn.MAXIFS(m_row,m_teacher,BN$4,m_date,($G$2+31),m_active,1,m_start,"&lt;"&amp;660,m_end,"&gt;"&amp;600))))))</f>
        <v/>
      </c>
      <c r="BO39" s="88" t="str">
        <f aca="false">IF(OR(BO$4="",MONTH(($G$2+31))&lt;&gt;MONTH($C$2)),"",IF(COUNTIFS(m_teacher,BO$4,m_date,($G$2+31),m_active,1,m_start,"&lt;"&amp;660,m_end,"&gt;"&amp;600)=0,"",IF(COUNTIFS(m_teacher,BO$4,m_date,($G$2+31),m_active,1,m_start,"&lt;"&amp;660,m_end,"&gt;"&amp;600)&gt;1,"충돌",HYPERLINK("#'관리자_MASTER'!D"&amp;_xlfn.MAXIFS(m_row,m_teacher,BO$4,m_date,($G$2+31),m_active,1,m_start,"&lt;"&amp;660,m_end,"&gt;"&amp;600),INDEX(m_label,_xlfn.MAXIFS(m_row,m_teacher,BO$4,m_date,($G$2+31),m_active,1,m_start,"&lt;"&amp;660,m_end,"&gt;"&amp;600))))))</f>
        <v/>
      </c>
      <c r="BP39" s="88" t="str">
        <f aca="false">IF(OR(BP$4="",MONTH(($G$2+31))&lt;&gt;MONTH($C$2)),"",IF(COUNTIFS(m_teacher,BP$4,m_date,($G$2+31),m_active,1,m_start,"&lt;"&amp;660,m_end,"&gt;"&amp;600)=0,"",IF(COUNTIFS(m_teacher,BP$4,m_date,($G$2+31),m_active,1,m_start,"&lt;"&amp;660,m_end,"&gt;"&amp;600)&gt;1,"충돌",HYPERLINK("#'관리자_MASTER'!D"&amp;_xlfn.MAXIFS(m_row,m_teacher,BP$4,m_date,($G$2+31),m_active,1,m_start,"&lt;"&amp;660,m_end,"&gt;"&amp;600),INDEX(m_label,_xlfn.MAXIFS(m_row,m_teacher,BP$4,m_date,($G$2+31),m_active,1,m_start,"&lt;"&amp;660,m_end,"&gt;"&amp;600))))))</f>
        <v/>
      </c>
      <c r="BQ39" s="88" t="str">
        <f aca="false">IF(OR(BQ$4="",MONTH(($G$2+31))&lt;&gt;MONTH($C$2)),"",IF(COUNTIFS(m_teacher,BQ$4,m_date,($G$2+31),m_active,1,m_start,"&lt;"&amp;660,m_end,"&gt;"&amp;600)=0,"",IF(COUNTIFS(m_teacher,BQ$4,m_date,($G$2+31),m_active,1,m_start,"&lt;"&amp;660,m_end,"&gt;"&amp;600)&gt;1,"충돌",HYPERLINK("#'관리자_MASTER'!D"&amp;_xlfn.MAXIFS(m_row,m_teacher,BQ$4,m_date,($G$2+31),m_active,1,m_start,"&lt;"&amp;660,m_end,"&gt;"&amp;600),INDEX(m_label,_xlfn.MAXIFS(m_row,m_teacher,BQ$4,m_date,($G$2+31),m_active,1,m_start,"&lt;"&amp;660,m_end,"&gt;"&amp;600))))))</f>
        <v/>
      </c>
      <c r="BR39" s="88" t="str">
        <f aca="false">IF(OR(BR$4="",MONTH(($G$2+31))&lt;&gt;MONTH($C$2)),"",IF(COUNTIFS(m_teacher,BR$4,m_date,($G$2+31),m_active,1,m_start,"&lt;"&amp;660,m_end,"&gt;"&amp;600)=0,"",IF(COUNTIFS(m_teacher,BR$4,m_date,($G$2+31),m_active,1,m_start,"&lt;"&amp;660,m_end,"&gt;"&amp;600)&gt;1,"충돌",HYPERLINK("#'관리자_MASTER'!D"&amp;_xlfn.MAXIFS(m_row,m_teacher,BR$4,m_date,($G$2+31),m_active,1,m_start,"&lt;"&amp;660,m_end,"&gt;"&amp;600),INDEX(m_label,_xlfn.MAXIFS(m_row,m_teacher,BR$4,m_date,($G$2+31),m_active,1,m_start,"&lt;"&amp;660,m_end,"&gt;"&amp;600))))))</f>
        <v/>
      </c>
    </row>
    <row r="40" customFormat="false" ht="19.5" hidden="false" customHeight="true" outlineLevel="0" collapsed="false">
      <c r="A40" s="78"/>
      <c r="B40" s="79" t="s">
        <v>93</v>
      </c>
      <c r="C40" s="88" t="str">
        <f aca="false">IF(OR(C$4="",MONTH(($G$2+3))&lt;&gt;MONTH($C$2)),"",IF(COUNTIFS(m_teacher,C$4,m_date,($G$2+3),m_active,1,m_start,"&lt;"&amp;720,m_end,"&gt;"&amp;660)=0,"",IF(COUNTIFS(m_teacher,C$4,m_date,($G$2+3),m_active,1,m_start,"&lt;"&amp;720,m_end,"&gt;"&amp;660)&gt;1,"충돌",HYPERLINK("#'관리자_MASTER'!D"&amp;_xlfn.MAXIFS(m_row,m_teacher,C$4,m_date,($G$2+3),m_active,1,m_start,"&lt;"&amp;720,m_end,"&gt;"&amp;660),INDEX(m_label,_xlfn.MAXIFS(m_row,m_teacher,C$4,m_date,($G$2+3),m_active,1,m_start,"&lt;"&amp;720,m_end,"&gt;"&amp;660))))))</f>
        <v/>
      </c>
      <c r="D40" s="88" t="str">
        <f aca="false">IF(OR(D$4="",MONTH(($G$2+3))&lt;&gt;MONTH($C$2)),"",IF(COUNTIFS(m_teacher,D$4,m_date,($G$2+3),m_active,1,m_start,"&lt;"&amp;720,m_end,"&gt;"&amp;660)=0,"",IF(COUNTIFS(m_teacher,D$4,m_date,($G$2+3),m_active,1,m_start,"&lt;"&amp;720,m_end,"&gt;"&amp;660)&gt;1,"충돌",HYPERLINK("#'관리자_MASTER'!D"&amp;_xlfn.MAXIFS(m_row,m_teacher,D$4,m_date,($G$2+3),m_active,1,m_start,"&lt;"&amp;720,m_end,"&gt;"&amp;660),INDEX(m_label,_xlfn.MAXIFS(m_row,m_teacher,D$4,m_date,($G$2+3),m_active,1,m_start,"&lt;"&amp;720,m_end,"&gt;"&amp;660))))))</f>
        <v/>
      </c>
      <c r="E40" s="88" t="str">
        <f aca="false">IF(OR(E$4="",MONTH(($G$2+3))&lt;&gt;MONTH($C$2)),"",IF(COUNTIFS(m_teacher,E$4,m_date,($G$2+3),m_active,1,m_start,"&lt;"&amp;720,m_end,"&gt;"&amp;660)=0,"",IF(COUNTIFS(m_teacher,E$4,m_date,($G$2+3),m_active,1,m_start,"&lt;"&amp;720,m_end,"&gt;"&amp;660)&gt;1,"충돌",HYPERLINK("#'관리자_MASTER'!D"&amp;_xlfn.MAXIFS(m_row,m_teacher,E$4,m_date,($G$2+3),m_active,1,m_start,"&lt;"&amp;720,m_end,"&gt;"&amp;660),INDEX(m_label,_xlfn.MAXIFS(m_row,m_teacher,E$4,m_date,($G$2+3),m_active,1,m_start,"&lt;"&amp;720,m_end,"&gt;"&amp;660))))))</f>
        <v/>
      </c>
      <c r="F40" s="88" t="str">
        <f aca="false">IF(OR(F$4="",MONTH(($G$2+3))&lt;&gt;MONTH($C$2)),"",IF(COUNTIFS(m_teacher,F$4,m_date,($G$2+3),m_active,1,m_start,"&lt;"&amp;720,m_end,"&gt;"&amp;660)=0,"",IF(COUNTIFS(m_teacher,F$4,m_date,($G$2+3),m_active,1,m_start,"&lt;"&amp;720,m_end,"&gt;"&amp;660)&gt;1,"충돌",HYPERLINK("#'관리자_MASTER'!D"&amp;_xlfn.MAXIFS(m_row,m_teacher,F$4,m_date,($G$2+3),m_active,1,m_start,"&lt;"&amp;720,m_end,"&gt;"&amp;660),INDEX(m_label,_xlfn.MAXIFS(m_row,m_teacher,F$4,m_date,($G$2+3),m_active,1,m_start,"&lt;"&amp;720,m_end,"&gt;"&amp;660))))))</f>
        <v/>
      </c>
      <c r="G40" s="88" t="str">
        <f aca="false">IF(OR(G$4="",MONTH(($G$2+3))&lt;&gt;MONTH($C$2)),"",IF(COUNTIFS(m_teacher,G$4,m_date,($G$2+3),m_active,1,m_start,"&lt;"&amp;720,m_end,"&gt;"&amp;660)=0,"",IF(COUNTIFS(m_teacher,G$4,m_date,($G$2+3),m_active,1,m_start,"&lt;"&amp;720,m_end,"&gt;"&amp;660)&gt;1,"충돌",HYPERLINK("#'관리자_MASTER'!D"&amp;_xlfn.MAXIFS(m_row,m_teacher,G$4,m_date,($G$2+3),m_active,1,m_start,"&lt;"&amp;720,m_end,"&gt;"&amp;660),INDEX(m_label,_xlfn.MAXIFS(m_row,m_teacher,G$4,m_date,($G$2+3),m_active,1,m_start,"&lt;"&amp;720,m_end,"&gt;"&amp;660))))))</f>
        <v/>
      </c>
      <c r="H40" s="88" t="str">
        <f aca="false">IF(OR(H$4="",MONTH(($G$2+3))&lt;&gt;MONTH($C$2)),"",IF(COUNTIFS(m_teacher,H$4,m_date,($G$2+3),m_active,1,m_start,"&lt;"&amp;720,m_end,"&gt;"&amp;660)=0,"",IF(COUNTIFS(m_teacher,H$4,m_date,($G$2+3),m_active,1,m_start,"&lt;"&amp;720,m_end,"&gt;"&amp;660)&gt;1,"충돌",HYPERLINK("#'관리자_MASTER'!D"&amp;_xlfn.MAXIFS(m_row,m_teacher,H$4,m_date,($G$2+3),m_active,1,m_start,"&lt;"&amp;720,m_end,"&gt;"&amp;660),INDEX(m_label,_xlfn.MAXIFS(m_row,m_teacher,H$4,m_date,($G$2+3),m_active,1,m_start,"&lt;"&amp;720,m_end,"&gt;"&amp;660))))))</f>
        <v/>
      </c>
      <c r="I40" s="88" t="str">
        <f aca="false">IF(OR(I$4="",MONTH(($G$2+3))&lt;&gt;MONTH($C$2)),"",IF(COUNTIFS(m_teacher,I$4,m_date,($G$2+3),m_active,1,m_start,"&lt;"&amp;720,m_end,"&gt;"&amp;660)=0,"",IF(COUNTIFS(m_teacher,I$4,m_date,($G$2+3),m_active,1,m_start,"&lt;"&amp;720,m_end,"&gt;"&amp;660)&gt;1,"충돌",HYPERLINK("#'관리자_MASTER'!D"&amp;_xlfn.MAXIFS(m_row,m_teacher,I$4,m_date,($G$2+3),m_active,1,m_start,"&lt;"&amp;720,m_end,"&gt;"&amp;660),INDEX(m_label,_xlfn.MAXIFS(m_row,m_teacher,I$4,m_date,($G$2+3),m_active,1,m_start,"&lt;"&amp;720,m_end,"&gt;"&amp;660))))))</f>
        <v/>
      </c>
      <c r="J40" s="88" t="str">
        <f aca="false">IF(OR(J$4="",MONTH(($G$2+3))&lt;&gt;MONTH($C$2)),"",IF(COUNTIFS(m_teacher,J$4,m_date,($G$2+3),m_active,1,m_start,"&lt;"&amp;720,m_end,"&gt;"&amp;660)=0,"",IF(COUNTIFS(m_teacher,J$4,m_date,($G$2+3),m_active,1,m_start,"&lt;"&amp;720,m_end,"&gt;"&amp;660)&gt;1,"충돌",HYPERLINK("#'관리자_MASTER'!D"&amp;_xlfn.MAXIFS(m_row,m_teacher,J$4,m_date,($G$2+3),m_active,1,m_start,"&lt;"&amp;720,m_end,"&gt;"&amp;660),INDEX(m_label,_xlfn.MAXIFS(m_row,m_teacher,J$4,m_date,($G$2+3),m_active,1,m_start,"&lt;"&amp;720,m_end,"&gt;"&amp;660))))))</f>
        <v/>
      </c>
      <c r="K40" s="88" t="str">
        <f aca="false">IF(OR(K$4="",MONTH(($G$2+3))&lt;&gt;MONTH($C$2)),"",IF(COUNTIFS(m_teacher,K$4,m_date,($G$2+3),m_active,1,m_start,"&lt;"&amp;720,m_end,"&gt;"&amp;660)=0,"",IF(COUNTIFS(m_teacher,K$4,m_date,($G$2+3),m_active,1,m_start,"&lt;"&amp;720,m_end,"&gt;"&amp;660)&gt;1,"충돌",HYPERLINK("#'관리자_MASTER'!D"&amp;_xlfn.MAXIFS(m_row,m_teacher,K$4,m_date,($G$2+3),m_active,1,m_start,"&lt;"&amp;720,m_end,"&gt;"&amp;660),INDEX(m_label,_xlfn.MAXIFS(m_row,m_teacher,K$4,m_date,($G$2+3),m_active,1,m_start,"&lt;"&amp;720,m_end,"&gt;"&amp;660))))))</f>
        <v/>
      </c>
      <c r="L40" s="88" t="str">
        <f aca="false">IF(OR(L$4="",MONTH(($G$2+3))&lt;&gt;MONTH($C$2)),"",IF(COUNTIFS(m_teacher,L$4,m_date,($G$2+3),m_active,1,m_start,"&lt;"&amp;720,m_end,"&gt;"&amp;660)=0,"",IF(COUNTIFS(m_teacher,L$4,m_date,($G$2+3),m_active,1,m_start,"&lt;"&amp;720,m_end,"&gt;"&amp;660)&gt;1,"충돌",HYPERLINK("#'관리자_MASTER'!D"&amp;_xlfn.MAXIFS(m_row,m_teacher,L$4,m_date,($G$2+3),m_active,1,m_start,"&lt;"&amp;720,m_end,"&gt;"&amp;660),INDEX(m_label,_xlfn.MAXIFS(m_row,m_teacher,L$4,m_date,($G$2+3),m_active,1,m_start,"&lt;"&amp;720,m_end,"&gt;"&amp;660))))))</f>
        <v/>
      </c>
      <c r="M40" s="88" t="str">
        <f aca="false">IF(OR(M$4="",MONTH(($G$2+3))&lt;&gt;MONTH($C$2)),"",IF(COUNTIFS(m_teacher,M$4,m_date,($G$2+3),m_active,1,m_start,"&lt;"&amp;720,m_end,"&gt;"&amp;660)=0,"",IF(COUNTIFS(m_teacher,M$4,m_date,($G$2+3),m_active,1,m_start,"&lt;"&amp;720,m_end,"&gt;"&amp;660)&gt;1,"충돌",HYPERLINK("#'관리자_MASTER'!D"&amp;_xlfn.MAXIFS(m_row,m_teacher,M$4,m_date,($G$2+3),m_active,1,m_start,"&lt;"&amp;720,m_end,"&gt;"&amp;660),INDEX(m_label,_xlfn.MAXIFS(m_row,m_teacher,M$4,m_date,($G$2+3),m_active,1,m_start,"&lt;"&amp;720,m_end,"&gt;"&amp;660))))))</f>
        <v/>
      </c>
      <c r="N40" s="88" t="str">
        <f aca="false">IF(OR(N$4="",MONTH(($G$2+3))&lt;&gt;MONTH($C$2)),"",IF(COUNTIFS(m_teacher,N$4,m_date,($G$2+3),m_active,1,m_start,"&lt;"&amp;720,m_end,"&gt;"&amp;660)=0,"",IF(COUNTIFS(m_teacher,N$4,m_date,($G$2+3),m_active,1,m_start,"&lt;"&amp;720,m_end,"&gt;"&amp;660)&gt;1,"충돌",HYPERLINK("#'관리자_MASTER'!D"&amp;_xlfn.MAXIFS(m_row,m_teacher,N$4,m_date,($G$2+3),m_active,1,m_start,"&lt;"&amp;720,m_end,"&gt;"&amp;660),INDEX(m_label,_xlfn.MAXIFS(m_row,m_teacher,N$4,m_date,($G$2+3),m_active,1,m_start,"&lt;"&amp;720,m_end,"&gt;"&amp;660))))))</f>
        <v/>
      </c>
      <c r="O40" s="78"/>
      <c r="P40" s="79" t="s">
        <v>93</v>
      </c>
      <c r="Q40" s="88" t="str">
        <f aca="false">IF(OR(Q$4="",MONTH(($G$2+10))&lt;&gt;MONTH($C$2)),"",IF(COUNTIFS(m_teacher,Q$4,m_date,($G$2+10),m_active,1,m_start,"&lt;"&amp;720,m_end,"&gt;"&amp;660)=0,"",IF(COUNTIFS(m_teacher,Q$4,m_date,($G$2+10),m_active,1,m_start,"&lt;"&amp;720,m_end,"&gt;"&amp;660)&gt;1,"충돌",HYPERLINK("#'관리자_MASTER'!D"&amp;_xlfn.MAXIFS(m_row,m_teacher,Q$4,m_date,($G$2+10),m_active,1,m_start,"&lt;"&amp;720,m_end,"&gt;"&amp;660),INDEX(m_label,_xlfn.MAXIFS(m_row,m_teacher,Q$4,m_date,($G$2+10),m_active,1,m_start,"&lt;"&amp;720,m_end,"&gt;"&amp;660))))))</f>
        <v/>
      </c>
      <c r="R40" s="88" t="str">
        <f aca="false">IF(OR(R$4="",MONTH(($G$2+10))&lt;&gt;MONTH($C$2)),"",IF(COUNTIFS(m_teacher,R$4,m_date,($G$2+10),m_active,1,m_start,"&lt;"&amp;720,m_end,"&gt;"&amp;660)=0,"",IF(COUNTIFS(m_teacher,R$4,m_date,($G$2+10),m_active,1,m_start,"&lt;"&amp;720,m_end,"&gt;"&amp;660)&gt;1,"충돌",HYPERLINK("#'관리자_MASTER'!D"&amp;_xlfn.MAXIFS(m_row,m_teacher,R$4,m_date,($G$2+10),m_active,1,m_start,"&lt;"&amp;720,m_end,"&gt;"&amp;660),INDEX(m_label,_xlfn.MAXIFS(m_row,m_teacher,R$4,m_date,($G$2+10),m_active,1,m_start,"&lt;"&amp;720,m_end,"&gt;"&amp;660))))))</f>
        <v/>
      </c>
      <c r="S40" s="88" t="str">
        <f aca="false">IF(OR(S$4="",MONTH(($G$2+10))&lt;&gt;MONTH($C$2)),"",IF(COUNTIFS(m_teacher,S$4,m_date,($G$2+10),m_active,1,m_start,"&lt;"&amp;720,m_end,"&gt;"&amp;660)=0,"",IF(COUNTIFS(m_teacher,S$4,m_date,($G$2+10),m_active,1,m_start,"&lt;"&amp;720,m_end,"&gt;"&amp;660)&gt;1,"충돌",HYPERLINK("#'관리자_MASTER'!D"&amp;_xlfn.MAXIFS(m_row,m_teacher,S$4,m_date,($G$2+10),m_active,1,m_start,"&lt;"&amp;720,m_end,"&gt;"&amp;660),INDEX(m_label,_xlfn.MAXIFS(m_row,m_teacher,S$4,m_date,($G$2+10),m_active,1,m_start,"&lt;"&amp;720,m_end,"&gt;"&amp;660))))))</f>
        <v/>
      </c>
      <c r="T40" s="88" t="str">
        <f aca="false">IF(OR(T$4="",MONTH(($G$2+10))&lt;&gt;MONTH($C$2)),"",IF(COUNTIFS(m_teacher,T$4,m_date,($G$2+10),m_active,1,m_start,"&lt;"&amp;720,m_end,"&gt;"&amp;660)=0,"",IF(COUNTIFS(m_teacher,T$4,m_date,($G$2+10),m_active,1,m_start,"&lt;"&amp;720,m_end,"&gt;"&amp;660)&gt;1,"충돌",HYPERLINK("#'관리자_MASTER'!D"&amp;_xlfn.MAXIFS(m_row,m_teacher,T$4,m_date,($G$2+10),m_active,1,m_start,"&lt;"&amp;720,m_end,"&gt;"&amp;660),INDEX(m_label,_xlfn.MAXIFS(m_row,m_teacher,T$4,m_date,($G$2+10),m_active,1,m_start,"&lt;"&amp;720,m_end,"&gt;"&amp;660))))))</f>
        <v/>
      </c>
      <c r="U40" s="88" t="str">
        <f aca="false">IF(OR(U$4="",MONTH(($G$2+10))&lt;&gt;MONTH($C$2)),"",IF(COUNTIFS(m_teacher,U$4,m_date,($G$2+10),m_active,1,m_start,"&lt;"&amp;720,m_end,"&gt;"&amp;660)=0,"",IF(COUNTIFS(m_teacher,U$4,m_date,($G$2+10),m_active,1,m_start,"&lt;"&amp;720,m_end,"&gt;"&amp;660)&gt;1,"충돌",HYPERLINK("#'관리자_MASTER'!D"&amp;_xlfn.MAXIFS(m_row,m_teacher,U$4,m_date,($G$2+10),m_active,1,m_start,"&lt;"&amp;720,m_end,"&gt;"&amp;660),INDEX(m_label,_xlfn.MAXIFS(m_row,m_teacher,U$4,m_date,($G$2+10),m_active,1,m_start,"&lt;"&amp;720,m_end,"&gt;"&amp;660))))))</f>
        <v/>
      </c>
      <c r="V40" s="88" t="str">
        <f aca="false">IF(OR(V$4="",MONTH(($G$2+10))&lt;&gt;MONTH($C$2)),"",IF(COUNTIFS(m_teacher,V$4,m_date,($G$2+10),m_active,1,m_start,"&lt;"&amp;720,m_end,"&gt;"&amp;660)=0,"",IF(COUNTIFS(m_teacher,V$4,m_date,($G$2+10),m_active,1,m_start,"&lt;"&amp;720,m_end,"&gt;"&amp;660)&gt;1,"충돌",HYPERLINK("#'관리자_MASTER'!D"&amp;_xlfn.MAXIFS(m_row,m_teacher,V$4,m_date,($G$2+10),m_active,1,m_start,"&lt;"&amp;720,m_end,"&gt;"&amp;660),INDEX(m_label,_xlfn.MAXIFS(m_row,m_teacher,V$4,m_date,($G$2+10),m_active,1,m_start,"&lt;"&amp;720,m_end,"&gt;"&amp;660))))))</f>
        <v/>
      </c>
      <c r="W40" s="88" t="str">
        <f aca="false">IF(OR(W$4="",MONTH(($G$2+10))&lt;&gt;MONTH($C$2)),"",IF(COUNTIFS(m_teacher,W$4,m_date,($G$2+10),m_active,1,m_start,"&lt;"&amp;720,m_end,"&gt;"&amp;660)=0,"",IF(COUNTIFS(m_teacher,W$4,m_date,($G$2+10),m_active,1,m_start,"&lt;"&amp;720,m_end,"&gt;"&amp;660)&gt;1,"충돌",HYPERLINK("#'관리자_MASTER'!D"&amp;_xlfn.MAXIFS(m_row,m_teacher,W$4,m_date,($G$2+10),m_active,1,m_start,"&lt;"&amp;720,m_end,"&gt;"&amp;660),INDEX(m_label,_xlfn.MAXIFS(m_row,m_teacher,W$4,m_date,($G$2+10),m_active,1,m_start,"&lt;"&amp;720,m_end,"&gt;"&amp;660))))))</f>
        <v/>
      </c>
      <c r="X40" s="88" t="str">
        <f aca="false">IF(OR(X$4="",MONTH(($G$2+10))&lt;&gt;MONTH($C$2)),"",IF(COUNTIFS(m_teacher,X$4,m_date,($G$2+10),m_active,1,m_start,"&lt;"&amp;720,m_end,"&gt;"&amp;660)=0,"",IF(COUNTIFS(m_teacher,X$4,m_date,($G$2+10),m_active,1,m_start,"&lt;"&amp;720,m_end,"&gt;"&amp;660)&gt;1,"충돌",HYPERLINK("#'관리자_MASTER'!D"&amp;_xlfn.MAXIFS(m_row,m_teacher,X$4,m_date,($G$2+10),m_active,1,m_start,"&lt;"&amp;720,m_end,"&gt;"&amp;660),INDEX(m_label,_xlfn.MAXIFS(m_row,m_teacher,X$4,m_date,($G$2+10),m_active,1,m_start,"&lt;"&amp;720,m_end,"&gt;"&amp;660))))))</f>
        <v/>
      </c>
      <c r="Y40" s="88" t="str">
        <f aca="false">IF(OR(Y$4="",MONTH(($G$2+10))&lt;&gt;MONTH($C$2)),"",IF(COUNTIFS(m_teacher,Y$4,m_date,($G$2+10),m_active,1,m_start,"&lt;"&amp;720,m_end,"&gt;"&amp;660)=0,"",IF(COUNTIFS(m_teacher,Y$4,m_date,($G$2+10),m_active,1,m_start,"&lt;"&amp;720,m_end,"&gt;"&amp;660)&gt;1,"충돌",HYPERLINK("#'관리자_MASTER'!D"&amp;_xlfn.MAXIFS(m_row,m_teacher,Y$4,m_date,($G$2+10),m_active,1,m_start,"&lt;"&amp;720,m_end,"&gt;"&amp;660),INDEX(m_label,_xlfn.MAXIFS(m_row,m_teacher,Y$4,m_date,($G$2+10),m_active,1,m_start,"&lt;"&amp;720,m_end,"&gt;"&amp;660))))))</f>
        <v/>
      </c>
      <c r="Z40" s="88" t="str">
        <f aca="false">IF(OR(Z$4="",MONTH(($G$2+10))&lt;&gt;MONTH($C$2)),"",IF(COUNTIFS(m_teacher,Z$4,m_date,($G$2+10),m_active,1,m_start,"&lt;"&amp;720,m_end,"&gt;"&amp;660)=0,"",IF(COUNTIFS(m_teacher,Z$4,m_date,($G$2+10),m_active,1,m_start,"&lt;"&amp;720,m_end,"&gt;"&amp;660)&gt;1,"충돌",HYPERLINK("#'관리자_MASTER'!D"&amp;_xlfn.MAXIFS(m_row,m_teacher,Z$4,m_date,($G$2+10),m_active,1,m_start,"&lt;"&amp;720,m_end,"&gt;"&amp;660),INDEX(m_label,_xlfn.MAXIFS(m_row,m_teacher,Z$4,m_date,($G$2+10),m_active,1,m_start,"&lt;"&amp;720,m_end,"&gt;"&amp;660))))))</f>
        <v/>
      </c>
      <c r="AA40" s="88" t="str">
        <f aca="false">IF(OR(AA$4="",MONTH(($G$2+10))&lt;&gt;MONTH($C$2)),"",IF(COUNTIFS(m_teacher,AA$4,m_date,($G$2+10),m_active,1,m_start,"&lt;"&amp;720,m_end,"&gt;"&amp;660)=0,"",IF(COUNTIFS(m_teacher,AA$4,m_date,($G$2+10),m_active,1,m_start,"&lt;"&amp;720,m_end,"&gt;"&amp;660)&gt;1,"충돌",HYPERLINK("#'관리자_MASTER'!D"&amp;_xlfn.MAXIFS(m_row,m_teacher,AA$4,m_date,($G$2+10),m_active,1,m_start,"&lt;"&amp;720,m_end,"&gt;"&amp;660),INDEX(m_label,_xlfn.MAXIFS(m_row,m_teacher,AA$4,m_date,($G$2+10),m_active,1,m_start,"&lt;"&amp;720,m_end,"&gt;"&amp;660))))))</f>
        <v/>
      </c>
      <c r="AB40" s="88" t="str">
        <f aca="false">IF(OR(AB$4="",MONTH(($G$2+10))&lt;&gt;MONTH($C$2)),"",IF(COUNTIFS(m_teacher,AB$4,m_date,($G$2+10),m_active,1,m_start,"&lt;"&amp;720,m_end,"&gt;"&amp;660)=0,"",IF(COUNTIFS(m_teacher,AB$4,m_date,($G$2+10),m_active,1,m_start,"&lt;"&amp;720,m_end,"&gt;"&amp;660)&gt;1,"충돌",HYPERLINK("#'관리자_MASTER'!D"&amp;_xlfn.MAXIFS(m_row,m_teacher,AB$4,m_date,($G$2+10),m_active,1,m_start,"&lt;"&amp;720,m_end,"&gt;"&amp;660),INDEX(m_label,_xlfn.MAXIFS(m_row,m_teacher,AB$4,m_date,($G$2+10),m_active,1,m_start,"&lt;"&amp;720,m_end,"&gt;"&amp;660))))))</f>
        <v/>
      </c>
      <c r="AC40" s="78"/>
      <c r="AD40" s="79" t="s">
        <v>93</v>
      </c>
      <c r="AE40" s="88" t="str">
        <f aca="false">IF(OR(AE$4="",MONTH(($G$2+17))&lt;&gt;MONTH($C$2)),"",IF(COUNTIFS(m_teacher,AE$4,m_date,($G$2+17),m_active,1,m_start,"&lt;"&amp;720,m_end,"&gt;"&amp;660)=0,"",IF(COUNTIFS(m_teacher,AE$4,m_date,($G$2+17),m_active,1,m_start,"&lt;"&amp;720,m_end,"&gt;"&amp;660)&gt;1,"충돌",HYPERLINK("#'관리자_MASTER'!D"&amp;_xlfn.MAXIFS(m_row,m_teacher,AE$4,m_date,($G$2+17),m_active,1,m_start,"&lt;"&amp;720,m_end,"&gt;"&amp;660),INDEX(m_label,_xlfn.MAXIFS(m_row,m_teacher,AE$4,m_date,($G$2+17),m_active,1,m_start,"&lt;"&amp;720,m_end,"&gt;"&amp;660))))))</f>
        <v/>
      </c>
      <c r="AF40" s="88" t="str">
        <f aca="false">IF(OR(AF$4="",MONTH(($G$2+17))&lt;&gt;MONTH($C$2)),"",IF(COUNTIFS(m_teacher,AF$4,m_date,($G$2+17),m_active,1,m_start,"&lt;"&amp;720,m_end,"&gt;"&amp;660)=0,"",IF(COUNTIFS(m_teacher,AF$4,m_date,($G$2+17),m_active,1,m_start,"&lt;"&amp;720,m_end,"&gt;"&amp;660)&gt;1,"충돌",HYPERLINK("#'관리자_MASTER'!D"&amp;_xlfn.MAXIFS(m_row,m_teacher,AF$4,m_date,($G$2+17),m_active,1,m_start,"&lt;"&amp;720,m_end,"&gt;"&amp;660),INDEX(m_label,_xlfn.MAXIFS(m_row,m_teacher,AF$4,m_date,($G$2+17),m_active,1,m_start,"&lt;"&amp;720,m_end,"&gt;"&amp;660))))))</f>
        <v/>
      </c>
      <c r="AG40" s="88" t="str">
        <f aca="false">IF(OR(AG$4="",MONTH(($G$2+17))&lt;&gt;MONTH($C$2)),"",IF(COUNTIFS(m_teacher,AG$4,m_date,($G$2+17),m_active,1,m_start,"&lt;"&amp;720,m_end,"&gt;"&amp;660)=0,"",IF(COUNTIFS(m_teacher,AG$4,m_date,($G$2+17),m_active,1,m_start,"&lt;"&amp;720,m_end,"&gt;"&amp;660)&gt;1,"충돌",HYPERLINK("#'관리자_MASTER'!D"&amp;_xlfn.MAXIFS(m_row,m_teacher,AG$4,m_date,($G$2+17),m_active,1,m_start,"&lt;"&amp;720,m_end,"&gt;"&amp;660),INDEX(m_label,_xlfn.MAXIFS(m_row,m_teacher,AG$4,m_date,($G$2+17),m_active,1,m_start,"&lt;"&amp;720,m_end,"&gt;"&amp;660))))))</f>
        <v/>
      </c>
      <c r="AH40" s="88" t="str">
        <f aca="false">IF(OR(AH$4="",MONTH(($G$2+17))&lt;&gt;MONTH($C$2)),"",IF(COUNTIFS(m_teacher,AH$4,m_date,($G$2+17),m_active,1,m_start,"&lt;"&amp;720,m_end,"&gt;"&amp;660)=0,"",IF(COUNTIFS(m_teacher,AH$4,m_date,($G$2+17),m_active,1,m_start,"&lt;"&amp;720,m_end,"&gt;"&amp;660)&gt;1,"충돌",HYPERLINK("#'관리자_MASTER'!D"&amp;_xlfn.MAXIFS(m_row,m_teacher,AH$4,m_date,($G$2+17),m_active,1,m_start,"&lt;"&amp;720,m_end,"&gt;"&amp;660),INDEX(m_label,_xlfn.MAXIFS(m_row,m_teacher,AH$4,m_date,($G$2+17),m_active,1,m_start,"&lt;"&amp;720,m_end,"&gt;"&amp;660))))))</f>
        <v/>
      </c>
      <c r="AI40" s="88" t="str">
        <f aca="false">IF(OR(AI$4="",MONTH(($G$2+17))&lt;&gt;MONTH($C$2)),"",IF(COUNTIFS(m_teacher,AI$4,m_date,($G$2+17),m_active,1,m_start,"&lt;"&amp;720,m_end,"&gt;"&amp;660)=0,"",IF(COUNTIFS(m_teacher,AI$4,m_date,($G$2+17),m_active,1,m_start,"&lt;"&amp;720,m_end,"&gt;"&amp;660)&gt;1,"충돌",HYPERLINK("#'관리자_MASTER'!D"&amp;_xlfn.MAXIFS(m_row,m_teacher,AI$4,m_date,($G$2+17),m_active,1,m_start,"&lt;"&amp;720,m_end,"&gt;"&amp;660),INDEX(m_label,_xlfn.MAXIFS(m_row,m_teacher,AI$4,m_date,($G$2+17),m_active,1,m_start,"&lt;"&amp;720,m_end,"&gt;"&amp;660))))))</f>
        <v/>
      </c>
      <c r="AJ40" s="88" t="str">
        <f aca="false">IF(OR(AJ$4="",MONTH(($G$2+17))&lt;&gt;MONTH($C$2)),"",IF(COUNTIFS(m_teacher,AJ$4,m_date,($G$2+17),m_active,1,m_start,"&lt;"&amp;720,m_end,"&gt;"&amp;660)=0,"",IF(COUNTIFS(m_teacher,AJ$4,m_date,($G$2+17),m_active,1,m_start,"&lt;"&amp;720,m_end,"&gt;"&amp;660)&gt;1,"충돌",HYPERLINK("#'관리자_MASTER'!D"&amp;_xlfn.MAXIFS(m_row,m_teacher,AJ$4,m_date,($G$2+17),m_active,1,m_start,"&lt;"&amp;720,m_end,"&gt;"&amp;660),INDEX(m_label,_xlfn.MAXIFS(m_row,m_teacher,AJ$4,m_date,($G$2+17),m_active,1,m_start,"&lt;"&amp;720,m_end,"&gt;"&amp;660))))))</f>
        <v/>
      </c>
      <c r="AK40" s="88" t="str">
        <f aca="false">IF(OR(AK$4="",MONTH(($G$2+17))&lt;&gt;MONTH($C$2)),"",IF(COUNTIFS(m_teacher,AK$4,m_date,($G$2+17),m_active,1,m_start,"&lt;"&amp;720,m_end,"&gt;"&amp;660)=0,"",IF(COUNTIFS(m_teacher,AK$4,m_date,($G$2+17),m_active,1,m_start,"&lt;"&amp;720,m_end,"&gt;"&amp;660)&gt;1,"충돌",HYPERLINK("#'관리자_MASTER'!D"&amp;_xlfn.MAXIFS(m_row,m_teacher,AK$4,m_date,($G$2+17),m_active,1,m_start,"&lt;"&amp;720,m_end,"&gt;"&amp;660),INDEX(m_label,_xlfn.MAXIFS(m_row,m_teacher,AK$4,m_date,($G$2+17),m_active,1,m_start,"&lt;"&amp;720,m_end,"&gt;"&amp;660))))))</f>
        <v/>
      </c>
      <c r="AL40" s="88" t="str">
        <f aca="false">IF(OR(AL$4="",MONTH(($G$2+17))&lt;&gt;MONTH($C$2)),"",IF(COUNTIFS(m_teacher,AL$4,m_date,($G$2+17),m_active,1,m_start,"&lt;"&amp;720,m_end,"&gt;"&amp;660)=0,"",IF(COUNTIFS(m_teacher,AL$4,m_date,($G$2+17),m_active,1,m_start,"&lt;"&amp;720,m_end,"&gt;"&amp;660)&gt;1,"충돌",HYPERLINK("#'관리자_MASTER'!D"&amp;_xlfn.MAXIFS(m_row,m_teacher,AL$4,m_date,($G$2+17),m_active,1,m_start,"&lt;"&amp;720,m_end,"&gt;"&amp;660),INDEX(m_label,_xlfn.MAXIFS(m_row,m_teacher,AL$4,m_date,($G$2+17),m_active,1,m_start,"&lt;"&amp;720,m_end,"&gt;"&amp;660))))))</f>
        <v/>
      </c>
      <c r="AM40" s="88" t="str">
        <f aca="false">IF(OR(AM$4="",MONTH(($G$2+17))&lt;&gt;MONTH($C$2)),"",IF(COUNTIFS(m_teacher,AM$4,m_date,($G$2+17),m_active,1,m_start,"&lt;"&amp;720,m_end,"&gt;"&amp;660)=0,"",IF(COUNTIFS(m_teacher,AM$4,m_date,($G$2+17),m_active,1,m_start,"&lt;"&amp;720,m_end,"&gt;"&amp;660)&gt;1,"충돌",HYPERLINK("#'관리자_MASTER'!D"&amp;_xlfn.MAXIFS(m_row,m_teacher,AM$4,m_date,($G$2+17),m_active,1,m_start,"&lt;"&amp;720,m_end,"&gt;"&amp;660),INDEX(m_label,_xlfn.MAXIFS(m_row,m_teacher,AM$4,m_date,($G$2+17),m_active,1,m_start,"&lt;"&amp;720,m_end,"&gt;"&amp;660))))))</f>
        <v/>
      </c>
      <c r="AN40" s="88" t="str">
        <f aca="false">IF(OR(AN$4="",MONTH(($G$2+17))&lt;&gt;MONTH($C$2)),"",IF(COUNTIFS(m_teacher,AN$4,m_date,($G$2+17),m_active,1,m_start,"&lt;"&amp;720,m_end,"&gt;"&amp;660)=0,"",IF(COUNTIFS(m_teacher,AN$4,m_date,($G$2+17),m_active,1,m_start,"&lt;"&amp;720,m_end,"&gt;"&amp;660)&gt;1,"충돌",HYPERLINK("#'관리자_MASTER'!D"&amp;_xlfn.MAXIFS(m_row,m_teacher,AN$4,m_date,($G$2+17),m_active,1,m_start,"&lt;"&amp;720,m_end,"&gt;"&amp;660),INDEX(m_label,_xlfn.MAXIFS(m_row,m_teacher,AN$4,m_date,($G$2+17),m_active,1,m_start,"&lt;"&amp;720,m_end,"&gt;"&amp;660))))))</f>
        <v/>
      </c>
      <c r="AO40" s="88" t="str">
        <f aca="false">IF(OR(AO$4="",MONTH(($G$2+17))&lt;&gt;MONTH($C$2)),"",IF(COUNTIFS(m_teacher,AO$4,m_date,($G$2+17),m_active,1,m_start,"&lt;"&amp;720,m_end,"&gt;"&amp;660)=0,"",IF(COUNTIFS(m_teacher,AO$4,m_date,($G$2+17),m_active,1,m_start,"&lt;"&amp;720,m_end,"&gt;"&amp;660)&gt;1,"충돌",HYPERLINK("#'관리자_MASTER'!D"&amp;_xlfn.MAXIFS(m_row,m_teacher,AO$4,m_date,($G$2+17),m_active,1,m_start,"&lt;"&amp;720,m_end,"&gt;"&amp;660),INDEX(m_label,_xlfn.MAXIFS(m_row,m_teacher,AO$4,m_date,($G$2+17),m_active,1,m_start,"&lt;"&amp;720,m_end,"&gt;"&amp;660))))))</f>
        <v/>
      </c>
      <c r="AP40" s="88" t="str">
        <f aca="false">IF(OR(AP$4="",MONTH(($G$2+17))&lt;&gt;MONTH($C$2)),"",IF(COUNTIFS(m_teacher,AP$4,m_date,($G$2+17),m_active,1,m_start,"&lt;"&amp;720,m_end,"&gt;"&amp;660)=0,"",IF(COUNTIFS(m_teacher,AP$4,m_date,($G$2+17),m_active,1,m_start,"&lt;"&amp;720,m_end,"&gt;"&amp;660)&gt;1,"충돌",HYPERLINK("#'관리자_MASTER'!D"&amp;_xlfn.MAXIFS(m_row,m_teacher,AP$4,m_date,($G$2+17),m_active,1,m_start,"&lt;"&amp;720,m_end,"&gt;"&amp;660),INDEX(m_label,_xlfn.MAXIFS(m_row,m_teacher,AP$4,m_date,($G$2+17),m_active,1,m_start,"&lt;"&amp;720,m_end,"&gt;"&amp;660))))))</f>
        <v/>
      </c>
      <c r="AQ40" s="78"/>
      <c r="AR40" s="79" t="s">
        <v>93</v>
      </c>
      <c r="AS40" s="88" t="str">
        <f aca="false">IF(OR(AS$4="",MONTH(($G$2+24))&lt;&gt;MONTH($C$2)),"",IF(COUNTIFS(m_teacher,AS$4,m_date,($G$2+24),m_active,1,m_start,"&lt;"&amp;720,m_end,"&gt;"&amp;660)=0,"",IF(COUNTIFS(m_teacher,AS$4,m_date,($G$2+24),m_active,1,m_start,"&lt;"&amp;720,m_end,"&gt;"&amp;660)&gt;1,"충돌",HYPERLINK("#'관리자_MASTER'!D"&amp;_xlfn.MAXIFS(m_row,m_teacher,AS$4,m_date,($G$2+24),m_active,1,m_start,"&lt;"&amp;720,m_end,"&gt;"&amp;660),INDEX(m_label,_xlfn.MAXIFS(m_row,m_teacher,AS$4,m_date,($G$2+24),m_active,1,m_start,"&lt;"&amp;720,m_end,"&gt;"&amp;660))))))</f>
        <v/>
      </c>
      <c r="AT40" s="88" t="str">
        <f aca="false">IF(OR(AT$4="",MONTH(($G$2+24))&lt;&gt;MONTH($C$2)),"",IF(COUNTIFS(m_teacher,AT$4,m_date,($G$2+24),m_active,1,m_start,"&lt;"&amp;720,m_end,"&gt;"&amp;660)=0,"",IF(COUNTIFS(m_teacher,AT$4,m_date,($G$2+24),m_active,1,m_start,"&lt;"&amp;720,m_end,"&gt;"&amp;660)&gt;1,"충돌",HYPERLINK("#'관리자_MASTER'!D"&amp;_xlfn.MAXIFS(m_row,m_teacher,AT$4,m_date,($G$2+24),m_active,1,m_start,"&lt;"&amp;720,m_end,"&gt;"&amp;660),INDEX(m_label,_xlfn.MAXIFS(m_row,m_teacher,AT$4,m_date,($G$2+24),m_active,1,m_start,"&lt;"&amp;720,m_end,"&gt;"&amp;660))))))</f>
        <v/>
      </c>
      <c r="AU40" s="88" t="str">
        <f aca="false">IF(OR(AU$4="",MONTH(($G$2+24))&lt;&gt;MONTH($C$2)),"",IF(COUNTIFS(m_teacher,AU$4,m_date,($G$2+24),m_active,1,m_start,"&lt;"&amp;720,m_end,"&gt;"&amp;660)=0,"",IF(COUNTIFS(m_teacher,AU$4,m_date,($G$2+24),m_active,1,m_start,"&lt;"&amp;720,m_end,"&gt;"&amp;660)&gt;1,"충돌",HYPERLINK("#'관리자_MASTER'!D"&amp;_xlfn.MAXIFS(m_row,m_teacher,AU$4,m_date,($G$2+24),m_active,1,m_start,"&lt;"&amp;720,m_end,"&gt;"&amp;660),INDEX(m_label,_xlfn.MAXIFS(m_row,m_teacher,AU$4,m_date,($G$2+24),m_active,1,m_start,"&lt;"&amp;720,m_end,"&gt;"&amp;660))))))</f>
        <v/>
      </c>
      <c r="AV40" s="88" t="str">
        <f aca="false">IF(OR(AV$4="",MONTH(($G$2+24))&lt;&gt;MONTH($C$2)),"",IF(COUNTIFS(m_teacher,AV$4,m_date,($G$2+24),m_active,1,m_start,"&lt;"&amp;720,m_end,"&gt;"&amp;660)=0,"",IF(COUNTIFS(m_teacher,AV$4,m_date,($G$2+24),m_active,1,m_start,"&lt;"&amp;720,m_end,"&gt;"&amp;660)&gt;1,"충돌",HYPERLINK("#'관리자_MASTER'!D"&amp;_xlfn.MAXIFS(m_row,m_teacher,AV$4,m_date,($G$2+24),m_active,1,m_start,"&lt;"&amp;720,m_end,"&gt;"&amp;660),INDEX(m_label,_xlfn.MAXIFS(m_row,m_teacher,AV$4,m_date,($G$2+24),m_active,1,m_start,"&lt;"&amp;720,m_end,"&gt;"&amp;660))))))</f>
        <v/>
      </c>
      <c r="AW40" s="88" t="str">
        <f aca="false">IF(OR(AW$4="",MONTH(($G$2+24))&lt;&gt;MONTH($C$2)),"",IF(COUNTIFS(m_teacher,AW$4,m_date,($G$2+24),m_active,1,m_start,"&lt;"&amp;720,m_end,"&gt;"&amp;660)=0,"",IF(COUNTIFS(m_teacher,AW$4,m_date,($G$2+24),m_active,1,m_start,"&lt;"&amp;720,m_end,"&gt;"&amp;660)&gt;1,"충돌",HYPERLINK("#'관리자_MASTER'!D"&amp;_xlfn.MAXIFS(m_row,m_teacher,AW$4,m_date,($G$2+24),m_active,1,m_start,"&lt;"&amp;720,m_end,"&gt;"&amp;660),INDEX(m_label,_xlfn.MAXIFS(m_row,m_teacher,AW$4,m_date,($G$2+24),m_active,1,m_start,"&lt;"&amp;720,m_end,"&gt;"&amp;660))))))</f>
        <v/>
      </c>
      <c r="AX40" s="88" t="str">
        <f aca="false">IF(OR(AX$4="",MONTH(($G$2+24))&lt;&gt;MONTH($C$2)),"",IF(COUNTIFS(m_teacher,AX$4,m_date,($G$2+24),m_active,1,m_start,"&lt;"&amp;720,m_end,"&gt;"&amp;660)=0,"",IF(COUNTIFS(m_teacher,AX$4,m_date,($G$2+24),m_active,1,m_start,"&lt;"&amp;720,m_end,"&gt;"&amp;660)&gt;1,"충돌",HYPERLINK("#'관리자_MASTER'!D"&amp;_xlfn.MAXIFS(m_row,m_teacher,AX$4,m_date,($G$2+24),m_active,1,m_start,"&lt;"&amp;720,m_end,"&gt;"&amp;660),INDEX(m_label,_xlfn.MAXIFS(m_row,m_teacher,AX$4,m_date,($G$2+24),m_active,1,m_start,"&lt;"&amp;720,m_end,"&gt;"&amp;660))))))</f>
        <v/>
      </c>
      <c r="AY40" s="88" t="str">
        <f aca="false">IF(OR(AY$4="",MONTH(($G$2+24))&lt;&gt;MONTH($C$2)),"",IF(COUNTIFS(m_teacher,AY$4,m_date,($G$2+24),m_active,1,m_start,"&lt;"&amp;720,m_end,"&gt;"&amp;660)=0,"",IF(COUNTIFS(m_teacher,AY$4,m_date,($G$2+24),m_active,1,m_start,"&lt;"&amp;720,m_end,"&gt;"&amp;660)&gt;1,"충돌",HYPERLINK("#'관리자_MASTER'!D"&amp;_xlfn.MAXIFS(m_row,m_teacher,AY$4,m_date,($G$2+24),m_active,1,m_start,"&lt;"&amp;720,m_end,"&gt;"&amp;660),INDEX(m_label,_xlfn.MAXIFS(m_row,m_teacher,AY$4,m_date,($G$2+24),m_active,1,m_start,"&lt;"&amp;720,m_end,"&gt;"&amp;660))))))</f>
        <v/>
      </c>
      <c r="AZ40" s="88" t="str">
        <f aca="false">IF(OR(AZ$4="",MONTH(($G$2+24))&lt;&gt;MONTH($C$2)),"",IF(COUNTIFS(m_teacher,AZ$4,m_date,($G$2+24),m_active,1,m_start,"&lt;"&amp;720,m_end,"&gt;"&amp;660)=0,"",IF(COUNTIFS(m_teacher,AZ$4,m_date,($G$2+24),m_active,1,m_start,"&lt;"&amp;720,m_end,"&gt;"&amp;660)&gt;1,"충돌",HYPERLINK("#'관리자_MASTER'!D"&amp;_xlfn.MAXIFS(m_row,m_teacher,AZ$4,m_date,($G$2+24),m_active,1,m_start,"&lt;"&amp;720,m_end,"&gt;"&amp;660),INDEX(m_label,_xlfn.MAXIFS(m_row,m_teacher,AZ$4,m_date,($G$2+24),m_active,1,m_start,"&lt;"&amp;720,m_end,"&gt;"&amp;660))))))</f>
        <v/>
      </c>
      <c r="BA40" s="88" t="str">
        <f aca="false">IF(OR(BA$4="",MONTH(($G$2+24))&lt;&gt;MONTH($C$2)),"",IF(COUNTIFS(m_teacher,BA$4,m_date,($G$2+24),m_active,1,m_start,"&lt;"&amp;720,m_end,"&gt;"&amp;660)=0,"",IF(COUNTIFS(m_teacher,BA$4,m_date,($G$2+24),m_active,1,m_start,"&lt;"&amp;720,m_end,"&gt;"&amp;660)&gt;1,"충돌",HYPERLINK("#'관리자_MASTER'!D"&amp;_xlfn.MAXIFS(m_row,m_teacher,BA$4,m_date,($G$2+24),m_active,1,m_start,"&lt;"&amp;720,m_end,"&gt;"&amp;660),INDEX(m_label,_xlfn.MAXIFS(m_row,m_teacher,BA$4,m_date,($G$2+24),m_active,1,m_start,"&lt;"&amp;720,m_end,"&gt;"&amp;660))))))</f>
        <v/>
      </c>
      <c r="BB40" s="88" t="str">
        <f aca="false">IF(OR(BB$4="",MONTH(($G$2+24))&lt;&gt;MONTH($C$2)),"",IF(COUNTIFS(m_teacher,BB$4,m_date,($G$2+24),m_active,1,m_start,"&lt;"&amp;720,m_end,"&gt;"&amp;660)=0,"",IF(COUNTIFS(m_teacher,BB$4,m_date,($G$2+24),m_active,1,m_start,"&lt;"&amp;720,m_end,"&gt;"&amp;660)&gt;1,"충돌",HYPERLINK("#'관리자_MASTER'!D"&amp;_xlfn.MAXIFS(m_row,m_teacher,BB$4,m_date,($G$2+24),m_active,1,m_start,"&lt;"&amp;720,m_end,"&gt;"&amp;660),INDEX(m_label,_xlfn.MAXIFS(m_row,m_teacher,BB$4,m_date,($G$2+24),m_active,1,m_start,"&lt;"&amp;720,m_end,"&gt;"&amp;660))))))</f>
        <v/>
      </c>
      <c r="BC40" s="88" t="str">
        <f aca="false">IF(OR(BC$4="",MONTH(($G$2+24))&lt;&gt;MONTH($C$2)),"",IF(COUNTIFS(m_teacher,BC$4,m_date,($G$2+24),m_active,1,m_start,"&lt;"&amp;720,m_end,"&gt;"&amp;660)=0,"",IF(COUNTIFS(m_teacher,BC$4,m_date,($G$2+24),m_active,1,m_start,"&lt;"&amp;720,m_end,"&gt;"&amp;660)&gt;1,"충돌",HYPERLINK("#'관리자_MASTER'!D"&amp;_xlfn.MAXIFS(m_row,m_teacher,BC$4,m_date,($G$2+24),m_active,1,m_start,"&lt;"&amp;720,m_end,"&gt;"&amp;660),INDEX(m_label,_xlfn.MAXIFS(m_row,m_teacher,BC$4,m_date,($G$2+24),m_active,1,m_start,"&lt;"&amp;720,m_end,"&gt;"&amp;660))))))</f>
        <v/>
      </c>
      <c r="BD40" s="88" t="str">
        <f aca="false">IF(OR(BD$4="",MONTH(($G$2+24))&lt;&gt;MONTH($C$2)),"",IF(COUNTIFS(m_teacher,BD$4,m_date,($G$2+24),m_active,1,m_start,"&lt;"&amp;720,m_end,"&gt;"&amp;660)=0,"",IF(COUNTIFS(m_teacher,BD$4,m_date,($G$2+24),m_active,1,m_start,"&lt;"&amp;720,m_end,"&gt;"&amp;660)&gt;1,"충돌",HYPERLINK("#'관리자_MASTER'!D"&amp;_xlfn.MAXIFS(m_row,m_teacher,BD$4,m_date,($G$2+24),m_active,1,m_start,"&lt;"&amp;720,m_end,"&gt;"&amp;660),INDEX(m_label,_xlfn.MAXIFS(m_row,m_teacher,BD$4,m_date,($G$2+24),m_active,1,m_start,"&lt;"&amp;720,m_end,"&gt;"&amp;660))))))</f>
        <v/>
      </c>
      <c r="BE40" s="78"/>
      <c r="BF40" s="79" t="s">
        <v>93</v>
      </c>
      <c r="BG40" s="88" t="str">
        <f aca="false">IF(OR(BG$4="",MONTH(($G$2+31))&lt;&gt;MONTH($C$2)),"",IF(COUNTIFS(m_teacher,BG$4,m_date,($G$2+31),m_active,1,m_start,"&lt;"&amp;720,m_end,"&gt;"&amp;660)=0,"",IF(COUNTIFS(m_teacher,BG$4,m_date,($G$2+31),m_active,1,m_start,"&lt;"&amp;720,m_end,"&gt;"&amp;660)&gt;1,"충돌",HYPERLINK("#'관리자_MASTER'!D"&amp;_xlfn.MAXIFS(m_row,m_teacher,BG$4,m_date,($G$2+31),m_active,1,m_start,"&lt;"&amp;720,m_end,"&gt;"&amp;660),INDEX(m_label,_xlfn.MAXIFS(m_row,m_teacher,BG$4,m_date,($G$2+31),m_active,1,m_start,"&lt;"&amp;720,m_end,"&gt;"&amp;660))))))</f>
        <v/>
      </c>
      <c r="BH40" s="88" t="str">
        <f aca="false">IF(OR(BH$4="",MONTH(($G$2+31))&lt;&gt;MONTH($C$2)),"",IF(COUNTIFS(m_teacher,BH$4,m_date,($G$2+31),m_active,1,m_start,"&lt;"&amp;720,m_end,"&gt;"&amp;660)=0,"",IF(COUNTIFS(m_teacher,BH$4,m_date,($G$2+31),m_active,1,m_start,"&lt;"&amp;720,m_end,"&gt;"&amp;660)&gt;1,"충돌",HYPERLINK("#'관리자_MASTER'!D"&amp;_xlfn.MAXIFS(m_row,m_teacher,BH$4,m_date,($G$2+31),m_active,1,m_start,"&lt;"&amp;720,m_end,"&gt;"&amp;660),INDEX(m_label,_xlfn.MAXIFS(m_row,m_teacher,BH$4,m_date,($G$2+31),m_active,1,m_start,"&lt;"&amp;720,m_end,"&gt;"&amp;660))))))</f>
        <v/>
      </c>
      <c r="BI40" s="88" t="str">
        <f aca="false">IF(OR(BI$4="",MONTH(($G$2+31))&lt;&gt;MONTH($C$2)),"",IF(COUNTIFS(m_teacher,BI$4,m_date,($G$2+31),m_active,1,m_start,"&lt;"&amp;720,m_end,"&gt;"&amp;660)=0,"",IF(COUNTIFS(m_teacher,BI$4,m_date,($G$2+31),m_active,1,m_start,"&lt;"&amp;720,m_end,"&gt;"&amp;660)&gt;1,"충돌",HYPERLINK("#'관리자_MASTER'!D"&amp;_xlfn.MAXIFS(m_row,m_teacher,BI$4,m_date,($G$2+31),m_active,1,m_start,"&lt;"&amp;720,m_end,"&gt;"&amp;660),INDEX(m_label,_xlfn.MAXIFS(m_row,m_teacher,BI$4,m_date,($G$2+31),m_active,1,m_start,"&lt;"&amp;720,m_end,"&gt;"&amp;660))))))</f>
        <v/>
      </c>
      <c r="BJ40" s="88" t="str">
        <f aca="false">IF(OR(BJ$4="",MONTH(($G$2+31))&lt;&gt;MONTH($C$2)),"",IF(COUNTIFS(m_teacher,BJ$4,m_date,($G$2+31),m_active,1,m_start,"&lt;"&amp;720,m_end,"&gt;"&amp;660)=0,"",IF(COUNTIFS(m_teacher,BJ$4,m_date,($G$2+31),m_active,1,m_start,"&lt;"&amp;720,m_end,"&gt;"&amp;660)&gt;1,"충돌",HYPERLINK("#'관리자_MASTER'!D"&amp;_xlfn.MAXIFS(m_row,m_teacher,BJ$4,m_date,($G$2+31),m_active,1,m_start,"&lt;"&amp;720,m_end,"&gt;"&amp;660),INDEX(m_label,_xlfn.MAXIFS(m_row,m_teacher,BJ$4,m_date,($G$2+31),m_active,1,m_start,"&lt;"&amp;720,m_end,"&gt;"&amp;660))))))</f>
        <v/>
      </c>
      <c r="BK40" s="88" t="str">
        <f aca="false">IF(OR(BK$4="",MONTH(($G$2+31))&lt;&gt;MONTH($C$2)),"",IF(COUNTIFS(m_teacher,BK$4,m_date,($G$2+31),m_active,1,m_start,"&lt;"&amp;720,m_end,"&gt;"&amp;660)=0,"",IF(COUNTIFS(m_teacher,BK$4,m_date,($G$2+31),m_active,1,m_start,"&lt;"&amp;720,m_end,"&gt;"&amp;660)&gt;1,"충돌",HYPERLINK("#'관리자_MASTER'!D"&amp;_xlfn.MAXIFS(m_row,m_teacher,BK$4,m_date,($G$2+31),m_active,1,m_start,"&lt;"&amp;720,m_end,"&gt;"&amp;660),INDEX(m_label,_xlfn.MAXIFS(m_row,m_teacher,BK$4,m_date,($G$2+31),m_active,1,m_start,"&lt;"&amp;720,m_end,"&gt;"&amp;660))))))</f>
        <v/>
      </c>
      <c r="BL40" s="88" t="str">
        <f aca="false">IF(OR(BL$4="",MONTH(($G$2+31))&lt;&gt;MONTH($C$2)),"",IF(COUNTIFS(m_teacher,BL$4,m_date,($G$2+31),m_active,1,m_start,"&lt;"&amp;720,m_end,"&gt;"&amp;660)=0,"",IF(COUNTIFS(m_teacher,BL$4,m_date,($G$2+31),m_active,1,m_start,"&lt;"&amp;720,m_end,"&gt;"&amp;660)&gt;1,"충돌",HYPERLINK("#'관리자_MASTER'!D"&amp;_xlfn.MAXIFS(m_row,m_teacher,BL$4,m_date,($G$2+31),m_active,1,m_start,"&lt;"&amp;720,m_end,"&gt;"&amp;660),INDEX(m_label,_xlfn.MAXIFS(m_row,m_teacher,BL$4,m_date,($G$2+31),m_active,1,m_start,"&lt;"&amp;720,m_end,"&gt;"&amp;660))))))</f>
        <v/>
      </c>
      <c r="BM40" s="88" t="str">
        <f aca="false">IF(OR(BM$4="",MONTH(($G$2+31))&lt;&gt;MONTH($C$2)),"",IF(COUNTIFS(m_teacher,BM$4,m_date,($G$2+31),m_active,1,m_start,"&lt;"&amp;720,m_end,"&gt;"&amp;660)=0,"",IF(COUNTIFS(m_teacher,BM$4,m_date,($G$2+31),m_active,1,m_start,"&lt;"&amp;720,m_end,"&gt;"&amp;660)&gt;1,"충돌",HYPERLINK("#'관리자_MASTER'!D"&amp;_xlfn.MAXIFS(m_row,m_teacher,BM$4,m_date,($G$2+31),m_active,1,m_start,"&lt;"&amp;720,m_end,"&gt;"&amp;660),INDEX(m_label,_xlfn.MAXIFS(m_row,m_teacher,BM$4,m_date,($G$2+31),m_active,1,m_start,"&lt;"&amp;720,m_end,"&gt;"&amp;660))))))</f>
        <v/>
      </c>
      <c r="BN40" s="88" t="str">
        <f aca="false">IF(OR(BN$4="",MONTH(($G$2+31))&lt;&gt;MONTH($C$2)),"",IF(COUNTIFS(m_teacher,BN$4,m_date,($G$2+31),m_active,1,m_start,"&lt;"&amp;720,m_end,"&gt;"&amp;660)=0,"",IF(COUNTIFS(m_teacher,BN$4,m_date,($G$2+31),m_active,1,m_start,"&lt;"&amp;720,m_end,"&gt;"&amp;660)&gt;1,"충돌",HYPERLINK("#'관리자_MASTER'!D"&amp;_xlfn.MAXIFS(m_row,m_teacher,BN$4,m_date,($G$2+31),m_active,1,m_start,"&lt;"&amp;720,m_end,"&gt;"&amp;660),INDEX(m_label,_xlfn.MAXIFS(m_row,m_teacher,BN$4,m_date,($G$2+31),m_active,1,m_start,"&lt;"&amp;720,m_end,"&gt;"&amp;660))))))</f>
        <v/>
      </c>
      <c r="BO40" s="88" t="str">
        <f aca="false">IF(OR(BO$4="",MONTH(($G$2+31))&lt;&gt;MONTH($C$2)),"",IF(COUNTIFS(m_teacher,BO$4,m_date,($G$2+31),m_active,1,m_start,"&lt;"&amp;720,m_end,"&gt;"&amp;660)=0,"",IF(COUNTIFS(m_teacher,BO$4,m_date,($G$2+31),m_active,1,m_start,"&lt;"&amp;720,m_end,"&gt;"&amp;660)&gt;1,"충돌",HYPERLINK("#'관리자_MASTER'!D"&amp;_xlfn.MAXIFS(m_row,m_teacher,BO$4,m_date,($G$2+31),m_active,1,m_start,"&lt;"&amp;720,m_end,"&gt;"&amp;660),INDEX(m_label,_xlfn.MAXIFS(m_row,m_teacher,BO$4,m_date,($G$2+31),m_active,1,m_start,"&lt;"&amp;720,m_end,"&gt;"&amp;660))))))</f>
        <v/>
      </c>
      <c r="BP40" s="88" t="str">
        <f aca="false">IF(OR(BP$4="",MONTH(($G$2+31))&lt;&gt;MONTH($C$2)),"",IF(COUNTIFS(m_teacher,BP$4,m_date,($G$2+31),m_active,1,m_start,"&lt;"&amp;720,m_end,"&gt;"&amp;660)=0,"",IF(COUNTIFS(m_teacher,BP$4,m_date,($G$2+31),m_active,1,m_start,"&lt;"&amp;720,m_end,"&gt;"&amp;660)&gt;1,"충돌",HYPERLINK("#'관리자_MASTER'!D"&amp;_xlfn.MAXIFS(m_row,m_teacher,BP$4,m_date,($G$2+31),m_active,1,m_start,"&lt;"&amp;720,m_end,"&gt;"&amp;660),INDEX(m_label,_xlfn.MAXIFS(m_row,m_teacher,BP$4,m_date,($G$2+31),m_active,1,m_start,"&lt;"&amp;720,m_end,"&gt;"&amp;660))))))</f>
        <v/>
      </c>
      <c r="BQ40" s="88" t="str">
        <f aca="false">IF(OR(BQ$4="",MONTH(($G$2+31))&lt;&gt;MONTH($C$2)),"",IF(COUNTIFS(m_teacher,BQ$4,m_date,($G$2+31),m_active,1,m_start,"&lt;"&amp;720,m_end,"&gt;"&amp;660)=0,"",IF(COUNTIFS(m_teacher,BQ$4,m_date,($G$2+31),m_active,1,m_start,"&lt;"&amp;720,m_end,"&gt;"&amp;660)&gt;1,"충돌",HYPERLINK("#'관리자_MASTER'!D"&amp;_xlfn.MAXIFS(m_row,m_teacher,BQ$4,m_date,($G$2+31),m_active,1,m_start,"&lt;"&amp;720,m_end,"&gt;"&amp;660),INDEX(m_label,_xlfn.MAXIFS(m_row,m_teacher,BQ$4,m_date,($G$2+31),m_active,1,m_start,"&lt;"&amp;720,m_end,"&gt;"&amp;660))))))</f>
        <v/>
      </c>
      <c r="BR40" s="88" t="str">
        <f aca="false">IF(OR(BR$4="",MONTH(($G$2+31))&lt;&gt;MONTH($C$2)),"",IF(COUNTIFS(m_teacher,BR$4,m_date,($G$2+31),m_active,1,m_start,"&lt;"&amp;720,m_end,"&gt;"&amp;660)=0,"",IF(COUNTIFS(m_teacher,BR$4,m_date,($G$2+31),m_active,1,m_start,"&lt;"&amp;720,m_end,"&gt;"&amp;660)&gt;1,"충돌",HYPERLINK("#'관리자_MASTER'!D"&amp;_xlfn.MAXIFS(m_row,m_teacher,BR$4,m_date,($G$2+31),m_active,1,m_start,"&lt;"&amp;720,m_end,"&gt;"&amp;660),INDEX(m_label,_xlfn.MAXIFS(m_row,m_teacher,BR$4,m_date,($G$2+31),m_active,1,m_start,"&lt;"&amp;720,m_end,"&gt;"&amp;660))))))</f>
        <v/>
      </c>
    </row>
    <row r="41" customFormat="false" ht="19.5" hidden="false" customHeight="true" outlineLevel="0" collapsed="false">
      <c r="A41" s="78"/>
      <c r="B41" s="79" t="s">
        <v>94</v>
      </c>
      <c r="C41" s="88" t="str">
        <f aca="false">IF(OR(C$4="",MONTH(($G$2+3))&lt;&gt;MONTH($C$2)),"",IF(COUNTIFS(m_teacher,C$4,m_date,($G$2+3),m_active,1,m_start,"&lt;"&amp;780,m_end,"&gt;"&amp;720)=0,"",IF(COUNTIFS(m_teacher,C$4,m_date,($G$2+3),m_active,1,m_start,"&lt;"&amp;780,m_end,"&gt;"&amp;720)&gt;1,"충돌",HYPERLINK("#'관리자_MASTER'!D"&amp;_xlfn.MAXIFS(m_row,m_teacher,C$4,m_date,($G$2+3),m_active,1,m_start,"&lt;"&amp;780,m_end,"&gt;"&amp;720),INDEX(m_label,_xlfn.MAXIFS(m_row,m_teacher,C$4,m_date,($G$2+3),m_active,1,m_start,"&lt;"&amp;780,m_end,"&gt;"&amp;720))))))</f>
        <v/>
      </c>
      <c r="D41" s="88" t="str">
        <f aca="false">IF(OR(D$4="",MONTH(($G$2+3))&lt;&gt;MONTH($C$2)),"",IF(COUNTIFS(m_teacher,D$4,m_date,($G$2+3),m_active,1,m_start,"&lt;"&amp;780,m_end,"&gt;"&amp;720)=0,"",IF(COUNTIFS(m_teacher,D$4,m_date,($G$2+3),m_active,1,m_start,"&lt;"&amp;780,m_end,"&gt;"&amp;720)&gt;1,"충돌",HYPERLINK("#'관리자_MASTER'!D"&amp;_xlfn.MAXIFS(m_row,m_teacher,D$4,m_date,($G$2+3),m_active,1,m_start,"&lt;"&amp;780,m_end,"&gt;"&amp;720),INDEX(m_label,_xlfn.MAXIFS(m_row,m_teacher,D$4,m_date,($G$2+3),m_active,1,m_start,"&lt;"&amp;780,m_end,"&gt;"&amp;720))))))</f>
        <v/>
      </c>
      <c r="E41" s="88" t="str">
        <f aca="false">IF(OR(E$4="",MONTH(($G$2+3))&lt;&gt;MONTH($C$2)),"",IF(COUNTIFS(m_teacher,E$4,m_date,($G$2+3),m_active,1,m_start,"&lt;"&amp;780,m_end,"&gt;"&amp;720)=0,"",IF(COUNTIFS(m_teacher,E$4,m_date,($G$2+3),m_active,1,m_start,"&lt;"&amp;780,m_end,"&gt;"&amp;720)&gt;1,"충돌",HYPERLINK("#'관리자_MASTER'!D"&amp;_xlfn.MAXIFS(m_row,m_teacher,E$4,m_date,($G$2+3),m_active,1,m_start,"&lt;"&amp;780,m_end,"&gt;"&amp;720),INDEX(m_label,_xlfn.MAXIFS(m_row,m_teacher,E$4,m_date,($G$2+3),m_active,1,m_start,"&lt;"&amp;780,m_end,"&gt;"&amp;720))))))</f>
        <v/>
      </c>
      <c r="F41" s="88" t="str">
        <f aca="false">IF(OR(F$4="",MONTH(($G$2+3))&lt;&gt;MONTH($C$2)),"",IF(COUNTIFS(m_teacher,F$4,m_date,($G$2+3),m_active,1,m_start,"&lt;"&amp;780,m_end,"&gt;"&amp;720)=0,"",IF(COUNTIFS(m_teacher,F$4,m_date,($G$2+3),m_active,1,m_start,"&lt;"&amp;780,m_end,"&gt;"&amp;720)&gt;1,"충돌",HYPERLINK("#'관리자_MASTER'!D"&amp;_xlfn.MAXIFS(m_row,m_teacher,F$4,m_date,($G$2+3),m_active,1,m_start,"&lt;"&amp;780,m_end,"&gt;"&amp;720),INDEX(m_label,_xlfn.MAXIFS(m_row,m_teacher,F$4,m_date,($G$2+3),m_active,1,m_start,"&lt;"&amp;780,m_end,"&gt;"&amp;720))))))</f>
        <v/>
      </c>
      <c r="G41" s="88" t="str">
        <f aca="false">IF(OR(G$4="",MONTH(($G$2+3))&lt;&gt;MONTH($C$2)),"",IF(COUNTIFS(m_teacher,G$4,m_date,($G$2+3),m_active,1,m_start,"&lt;"&amp;780,m_end,"&gt;"&amp;720)=0,"",IF(COUNTIFS(m_teacher,G$4,m_date,($G$2+3),m_active,1,m_start,"&lt;"&amp;780,m_end,"&gt;"&amp;720)&gt;1,"충돌",HYPERLINK("#'관리자_MASTER'!D"&amp;_xlfn.MAXIFS(m_row,m_teacher,G$4,m_date,($G$2+3),m_active,1,m_start,"&lt;"&amp;780,m_end,"&gt;"&amp;720),INDEX(m_label,_xlfn.MAXIFS(m_row,m_teacher,G$4,m_date,($G$2+3),m_active,1,m_start,"&lt;"&amp;780,m_end,"&gt;"&amp;720))))))</f>
        <v/>
      </c>
      <c r="H41" s="88" t="str">
        <f aca="false">IF(OR(H$4="",MONTH(($G$2+3))&lt;&gt;MONTH($C$2)),"",IF(COUNTIFS(m_teacher,H$4,m_date,($G$2+3),m_active,1,m_start,"&lt;"&amp;780,m_end,"&gt;"&amp;720)=0,"",IF(COUNTIFS(m_teacher,H$4,m_date,($G$2+3),m_active,1,m_start,"&lt;"&amp;780,m_end,"&gt;"&amp;720)&gt;1,"충돌",HYPERLINK("#'관리자_MASTER'!D"&amp;_xlfn.MAXIFS(m_row,m_teacher,H$4,m_date,($G$2+3),m_active,1,m_start,"&lt;"&amp;780,m_end,"&gt;"&amp;720),INDEX(m_label,_xlfn.MAXIFS(m_row,m_teacher,H$4,m_date,($G$2+3),m_active,1,m_start,"&lt;"&amp;780,m_end,"&gt;"&amp;720))))))</f>
        <v/>
      </c>
      <c r="I41" s="88" t="str">
        <f aca="false">IF(OR(I$4="",MONTH(($G$2+3))&lt;&gt;MONTH($C$2)),"",IF(COUNTIFS(m_teacher,I$4,m_date,($G$2+3),m_active,1,m_start,"&lt;"&amp;780,m_end,"&gt;"&amp;720)=0,"",IF(COUNTIFS(m_teacher,I$4,m_date,($G$2+3),m_active,1,m_start,"&lt;"&amp;780,m_end,"&gt;"&amp;720)&gt;1,"충돌",HYPERLINK("#'관리자_MASTER'!D"&amp;_xlfn.MAXIFS(m_row,m_teacher,I$4,m_date,($G$2+3),m_active,1,m_start,"&lt;"&amp;780,m_end,"&gt;"&amp;720),INDEX(m_label,_xlfn.MAXIFS(m_row,m_teacher,I$4,m_date,($G$2+3),m_active,1,m_start,"&lt;"&amp;780,m_end,"&gt;"&amp;720))))))</f>
        <v/>
      </c>
      <c r="J41" s="88" t="str">
        <f aca="false">IF(OR(J$4="",MONTH(($G$2+3))&lt;&gt;MONTH($C$2)),"",IF(COUNTIFS(m_teacher,J$4,m_date,($G$2+3),m_active,1,m_start,"&lt;"&amp;780,m_end,"&gt;"&amp;720)=0,"",IF(COUNTIFS(m_teacher,J$4,m_date,($G$2+3),m_active,1,m_start,"&lt;"&amp;780,m_end,"&gt;"&amp;720)&gt;1,"충돌",HYPERLINK("#'관리자_MASTER'!D"&amp;_xlfn.MAXIFS(m_row,m_teacher,J$4,m_date,($G$2+3),m_active,1,m_start,"&lt;"&amp;780,m_end,"&gt;"&amp;720),INDEX(m_label,_xlfn.MAXIFS(m_row,m_teacher,J$4,m_date,($G$2+3),m_active,1,m_start,"&lt;"&amp;780,m_end,"&gt;"&amp;720))))))</f>
        <v/>
      </c>
      <c r="K41" s="88" t="str">
        <f aca="false">IF(OR(K$4="",MONTH(($G$2+3))&lt;&gt;MONTH($C$2)),"",IF(COUNTIFS(m_teacher,K$4,m_date,($G$2+3),m_active,1,m_start,"&lt;"&amp;780,m_end,"&gt;"&amp;720)=0,"",IF(COUNTIFS(m_teacher,K$4,m_date,($G$2+3),m_active,1,m_start,"&lt;"&amp;780,m_end,"&gt;"&amp;720)&gt;1,"충돌",HYPERLINK("#'관리자_MASTER'!D"&amp;_xlfn.MAXIFS(m_row,m_teacher,K$4,m_date,($G$2+3),m_active,1,m_start,"&lt;"&amp;780,m_end,"&gt;"&amp;720),INDEX(m_label,_xlfn.MAXIFS(m_row,m_teacher,K$4,m_date,($G$2+3),m_active,1,m_start,"&lt;"&amp;780,m_end,"&gt;"&amp;720))))))</f>
        <v/>
      </c>
      <c r="L41" s="88" t="str">
        <f aca="false">IF(OR(L$4="",MONTH(($G$2+3))&lt;&gt;MONTH($C$2)),"",IF(COUNTIFS(m_teacher,L$4,m_date,($G$2+3),m_active,1,m_start,"&lt;"&amp;780,m_end,"&gt;"&amp;720)=0,"",IF(COUNTIFS(m_teacher,L$4,m_date,($G$2+3),m_active,1,m_start,"&lt;"&amp;780,m_end,"&gt;"&amp;720)&gt;1,"충돌",HYPERLINK("#'관리자_MASTER'!D"&amp;_xlfn.MAXIFS(m_row,m_teacher,L$4,m_date,($G$2+3),m_active,1,m_start,"&lt;"&amp;780,m_end,"&gt;"&amp;720),INDEX(m_label,_xlfn.MAXIFS(m_row,m_teacher,L$4,m_date,($G$2+3),m_active,1,m_start,"&lt;"&amp;780,m_end,"&gt;"&amp;720))))))</f>
        <v/>
      </c>
      <c r="M41" s="88" t="str">
        <f aca="false">IF(OR(M$4="",MONTH(($G$2+3))&lt;&gt;MONTH($C$2)),"",IF(COUNTIFS(m_teacher,M$4,m_date,($G$2+3),m_active,1,m_start,"&lt;"&amp;780,m_end,"&gt;"&amp;720)=0,"",IF(COUNTIFS(m_teacher,M$4,m_date,($G$2+3),m_active,1,m_start,"&lt;"&amp;780,m_end,"&gt;"&amp;720)&gt;1,"충돌",HYPERLINK("#'관리자_MASTER'!D"&amp;_xlfn.MAXIFS(m_row,m_teacher,M$4,m_date,($G$2+3),m_active,1,m_start,"&lt;"&amp;780,m_end,"&gt;"&amp;720),INDEX(m_label,_xlfn.MAXIFS(m_row,m_teacher,M$4,m_date,($G$2+3),m_active,1,m_start,"&lt;"&amp;780,m_end,"&gt;"&amp;720))))))</f>
        <v/>
      </c>
      <c r="N41" s="88" t="str">
        <f aca="false">IF(OR(N$4="",MONTH(($G$2+3))&lt;&gt;MONTH($C$2)),"",IF(COUNTIFS(m_teacher,N$4,m_date,($G$2+3),m_active,1,m_start,"&lt;"&amp;780,m_end,"&gt;"&amp;720)=0,"",IF(COUNTIFS(m_teacher,N$4,m_date,($G$2+3),m_active,1,m_start,"&lt;"&amp;780,m_end,"&gt;"&amp;720)&gt;1,"충돌",HYPERLINK("#'관리자_MASTER'!D"&amp;_xlfn.MAXIFS(m_row,m_teacher,N$4,m_date,($G$2+3),m_active,1,m_start,"&lt;"&amp;780,m_end,"&gt;"&amp;720),INDEX(m_label,_xlfn.MAXIFS(m_row,m_teacher,N$4,m_date,($G$2+3),m_active,1,m_start,"&lt;"&amp;780,m_end,"&gt;"&amp;720))))))</f>
        <v/>
      </c>
      <c r="O41" s="78"/>
      <c r="P41" s="79" t="s">
        <v>94</v>
      </c>
      <c r="Q41" s="88" t="str">
        <f aca="false">IF(OR(Q$4="",MONTH(($G$2+10))&lt;&gt;MONTH($C$2)),"",IF(COUNTIFS(m_teacher,Q$4,m_date,($G$2+10),m_active,1,m_start,"&lt;"&amp;780,m_end,"&gt;"&amp;720)=0,"",IF(COUNTIFS(m_teacher,Q$4,m_date,($G$2+10),m_active,1,m_start,"&lt;"&amp;780,m_end,"&gt;"&amp;720)&gt;1,"충돌",HYPERLINK("#'관리자_MASTER'!D"&amp;_xlfn.MAXIFS(m_row,m_teacher,Q$4,m_date,($G$2+10),m_active,1,m_start,"&lt;"&amp;780,m_end,"&gt;"&amp;720),INDEX(m_label,_xlfn.MAXIFS(m_row,m_teacher,Q$4,m_date,($G$2+10),m_active,1,m_start,"&lt;"&amp;780,m_end,"&gt;"&amp;720))))))</f>
        <v/>
      </c>
      <c r="R41" s="88" t="str">
        <f aca="false">IF(OR(R$4="",MONTH(($G$2+10))&lt;&gt;MONTH($C$2)),"",IF(COUNTIFS(m_teacher,R$4,m_date,($G$2+10),m_active,1,m_start,"&lt;"&amp;780,m_end,"&gt;"&amp;720)=0,"",IF(COUNTIFS(m_teacher,R$4,m_date,($G$2+10),m_active,1,m_start,"&lt;"&amp;780,m_end,"&gt;"&amp;720)&gt;1,"충돌",HYPERLINK("#'관리자_MASTER'!D"&amp;_xlfn.MAXIFS(m_row,m_teacher,R$4,m_date,($G$2+10),m_active,1,m_start,"&lt;"&amp;780,m_end,"&gt;"&amp;720),INDEX(m_label,_xlfn.MAXIFS(m_row,m_teacher,R$4,m_date,($G$2+10),m_active,1,m_start,"&lt;"&amp;780,m_end,"&gt;"&amp;720))))))</f>
        <v/>
      </c>
      <c r="S41" s="88" t="str">
        <f aca="false">IF(OR(S$4="",MONTH(($G$2+10))&lt;&gt;MONTH($C$2)),"",IF(COUNTIFS(m_teacher,S$4,m_date,($G$2+10),m_active,1,m_start,"&lt;"&amp;780,m_end,"&gt;"&amp;720)=0,"",IF(COUNTIFS(m_teacher,S$4,m_date,($G$2+10),m_active,1,m_start,"&lt;"&amp;780,m_end,"&gt;"&amp;720)&gt;1,"충돌",HYPERLINK("#'관리자_MASTER'!D"&amp;_xlfn.MAXIFS(m_row,m_teacher,S$4,m_date,($G$2+10),m_active,1,m_start,"&lt;"&amp;780,m_end,"&gt;"&amp;720),INDEX(m_label,_xlfn.MAXIFS(m_row,m_teacher,S$4,m_date,($G$2+10),m_active,1,m_start,"&lt;"&amp;780,m_end,"&gt;"&amp;720))))))</f>
        <v/>
      </c>
      <c r="T41" s="88" t="str">
        <f aca="false">IF(OR(T$4="",MONTH(($G$2+10))&lt;&gt;MONTH($C$2)),"",IF(COUNTIFS(m_teacher,T$4,m_date,($G$2+10),m_active,1,m_start,"&lt;"&amp;780,m_end,"&gt;"&amp;720)=0,"",IF(COUNTIFS(m_teacher,T$4,m_date,($G$2+10),m_active,1,m_start,"&lt;"&amp;780,m_end,"&gt;"&amp;720)&gt;1,"충돌",HYPERLINK("#'관리자_MASTER'!D"&amp;_xlfn.MAXIFS(m_row,m_teacher,T$4,m_date,($G$2+10),m_active,1,m_start,"&lt;"&amp;780,m_end,"&gt;"&amp;720),INDEX(m_label,_xlfn.MAXIFS(m_row,m_teacher,T$4,m_date,($G$2+10),m_active,1,m_start,"&lt;"&amp;780,m_end,"&gt;"&amp;720))))))</f>
        <v/>
      </c>
      <c r="U41" s="88" t="str">
        <f aca="false">IF(OR(U$4="",MONTH(($G$2+10))&lt;&gt;MONTH($C$2)),"",IF(COUNTIFS(m_teacher,U$4,m_date,($G$2+10),m_active,1,m_start,"&lt;"&amp;780,m_end,"&gt;"&amp;720)=0,"",IF(COUNTIFS(m_teacher,U$4,m_date,($G$2+10),m_active,1,m_start,"&lt;"&amp;780,m_end,"&gt;"&amp;720)&gt;1,"충돌",HYPERLINK("#'관리자_MASTER'!D"&amp;_xlfn.MAXIFS(m_row,m_teacher,U$4,m_date,($G$2+10),m_active,1,m_start,"&lt;"&amp;780,m_end,"&gt;"&amp;720),INDEX(m_label,_xlfn.MAXIFS(m_row,m_teacher,U$4,m_date,($G$2+10),m_active,1,m_start,"&lt;"&amp;780,m_end,"&gt;"&amp;720))))))</f>
        <v/>
      </c>
      <c r="V41" s="88" t="str">
        <f aca="false">IF(OR(V$4="",MONTH(($G$2+10))&lt;&gt;MONTH($C$2)),"",IF(COUNTIFS(m_teacher,V$4,m_date,($G$2+10),m_active,1,m_start,"&lt;"&amp;780,m_end,"&gt;"&amp;720)=0,"",IF(COUNTIFS(m_teacher,V$4,m_date,($G$2+10),m_active,1,m_start,"&lt;"&amp;780,m_end,"&gt;"&amp;720)&gt;1,"충돌",HYPERLINK("#'관리자_MASTER'!D"&amp;_xlfn.MAXIFS(m_row,m_teacher,V$4,m_date,($G$2+10),m_active,1,m_start,"&lt;"&amp;780,m_end,"&gt;"&amp;720),INDEX(m_label,_xlfn.MAXIFS(m_row,m_teacher,V$4,m_date,($G$2+10),m_active,1,m_start,"&lt;"&amp;780,m_end,"&gt;"&amp;720))))))</f>
        <v/>
      </c>
      <c r="W41" s="88" t="str">
        <f aca="false">IF(OR(W$4="",MONTH(($G$2+10))&lt;&gt;MONTH($C$2)),"",IF(COUNTIFS(m_teacher,W$4,m_date,($G$2+10),m_active,1,m_start,"&lt;"&amp;780,m_end,"&gt;"&amp;720)=0,"",IF(COUNTIFS(m_teacher,W$4,m_date,($G$2+10),m_active,1,m_start,"&lt;"&amp;780,m_end,"&gt;"&amp;720)&gt;1,"충돌",HYPERLINK("#'관리자_MASTER'!D"&amp;_xlfn.MAXIFS(m_row,m_teacher,W$4,m_date,($G$2+10),m_active,1,m_start,"&lt;"&amp;780,m_end,"&gt;"&amp;720),INDEX(m_label,_xlfn.MAXIFS(m_row,m_teacher,W$4,m_date,($G$2+10),m_active,1,m_start,"&lt;"&amp;780,m_end,"&gt;"&amp;720))))))</f>
        <v/>
      </c>
      <c r="X41" s="88" t="str">
        <f aca="false">IF(OR(X$4="",MONTH(($G$2+10))&lt;&gt;MONTH($C$2)),"",IF(COUNTIFS(m_teacher,X$4,m_date,($G$2+10),m_active,1,m_start,"&lt;"&amp;780,m_end,"&gt;"&amp;720)=0,"",IF(COUNTIFS(m_teacher,X$4,m_date,($G$2+10),m_active,1,m_start,"&lt;"&amp;780,m_end,"&gt;"&amp;720)&gt;1,"충돌",HYPERLINK("#'관리자_MASTER'!D"&amp;_xlfn.MAXIFS(m_row,m_teacher,X$4,m_date,($G$2+10),m_active,1,m_start,"&lt;"&amp;780,m_end,"&gt;"&amp;720),INDEX(m_label,_xlfn.MAXIFS(m_row,m_teacher,X$4,m_date,($G$2+10),m_active,1,m_start,"&lt;"&amp;780,m_end,"&gt;"&amp;720))))))</f>
        <v/>
      </c>
      <c r="Y41" s="88" t="str">
        <f aca="false">IF(OR(Y$4="",MONTH(($G$2+10))&lt;&gt;MONTH($C$2)),"",IF(COUNTIFS(m_teacher,Y$4,m_date,($G$2+10),m_active,1,m_start,"&lt;"&amp;780,m_end,"&gt;"&amp;720)=0,"",IF(COUNTIFS(m_teacher,Y$4,m_date,($G$2+10),m_active,1,m_start,"&lt;"&amp;780,m_end,"&gt;"&amp;720)&gt;1,"충돌",HYPERLINK("#'관리자_MASTER'!D"&amp;_xlfn.MAXIFS(m_row,m_teacher,Y$4,m_date,($G$2+10),m_active,1,m_start,"&lt;"&amp;780,m_end,"&gt;"&amp;720),INDEX(m_label,_xlfn.MAXIFS(m_row,m_teacher,Y$4,m_date,($G$2+10),m_active,1,m_start,"&lt;"&amp;780,m_end,"&gt;"&amp;720))))))</f>
        <v/>
      </c>
      <c r="Z41" s="88" t="str">
        <f aca="false">IF(OR(Z$4="",MONTH(($G$2+10))&lt;&gt;MONTH($C$2)),"",IF(COUNTIFS(m_teacher,Z$4,m_date,($G$2+10),m_active,1,m_start,"&lt;"&amp;780,m_end,"&gt;"&amp;720)=0,"",IF(COUNTIFS(m_teacher,Z$4,m_date,($G$2+10),m_active,1,m_start,"&lt;"&amp;780,m_end,"&gt;"&amp;720)&gt;1,"충돌",HYPERLINK("#'관리자_MASTER'!D"&amp;_xlfn.MAXIFS(m_row,m_teacher,Z$4,m_date,($G$2+10),m_active,1,m_start,"&lt;"&amp;780,m_end,"&gt;"&amp;720),INDEX(m_label,_xlfn.MAXIFS(m_row,m_teacher,Z$4,m_date,($G$2+10),m_active,1,m_start,"&lt;"&amp;780,m_end,"&gt;"&amp;720))))))</f>
        <v/>
      </c>
      <c r="AA41" s="88" t="str">
        <f aca="false">IF(OR(AA$4="",MONTH(($G$2+10))&lt;&gt;MONTH($C$2)),"",IF(COUNTIFS(m_teacher,AA$4,m_date,($G$2+10),m_active,1,m_start,"&lt;"&amp;780,m_end,"&gt;"&amp;720)=0,"",IF(COUNTIFS(m_teacher,AA$4,m_date,($G$2+10),m_active,1,m_start,"&lt;"&amp;780,m_end,"&gt;"&amp;720)&gt;1,"충돌",HYPERLINK("#'관리자_MASTER'!D"&amp;_xlfn.MAXIFS(m_row,m_teacher,AA$4,m_date,($G$2+10),m_active,1,m_start,"&lt;"&amp;780,m_end,"&gt;"&amp;720),INDEX(m_label,_xlfn.MAXIFS(m_row,m_teacher,AA$4,m_date,($G$2+10),m_active,1,m_start,"&lt;"&amp;780,m_end,"&gt;"&amp;720))))))</f>
        <v/>
      </c>
      <c r="AB41" s="88" t="str">
        <f aca="false">IF(OR(AB$4="",MONTH(($G$2+10))&lt;&gt;MONTH($C$2)),"",IF(COUNTIFS(m_teacher,AB$4,m_date,($G$2+10),m_active,1,m_start,"&lt;"&amp;780,m_end,"&gt;"&amp;720)=0,"",IF(COUNTIFS(m_teacher,AB$4,m_date,($G$2+10),m_active,1,m_start,"&lt;"&amp;780,m_end,"&gt;"&amp;720)&gt;1,"충돌",HYPERLINK("#'관리자_MASTER'!D"&amp;_xlfn.MAXIFS(m_row,m_teacher,AB$4,m_date,($G$2+10),m_active,1,m_start,"&lt;"&amp;780,m_end,"&gt;"&amp;720),INDEX(m_label,_xlfn.MAXIFS(m_row,m_teacher,AB$4,m_date,($G$2+10),m_active,1,m_start,"&lt;"&amp;780,m_end,"&gt;"&amp;720))))))</f>
        <v/>
      </c>
      <c r="AC41" s="78"/>
      <c r="AD41" s="79" t="s">
        <v>94</v>
      </c>
      <c r="AE41" s="88" t="str">
        <f aca="false">IF(OR(AE$4="",MONTH(($G$2+17))&lt;&gt;MONTH($C$2)),"",IF(COUNTIFS(m_teacher,AE$4,m_date,($G$2+17),m_active,1,m_start,"&lt;"&amp;780,m_end,"&gt;"&amp;720)=0,"",IF(COUNTIFS(m_teacher,AE$4,m_date,($G$2+17),m_active,1,m_start,"&lt;"&amp;780,m_end,"&gt;"&amp;720)&gt;1,"충돌",HYPERLINK("#'관리자_MASTER'!D"&amp;_xlfn.MAXIFS(m_row,m_teacher,AE$4,m_date,($G$2+17),m_active,1,m_start,"&lt;"&amp;780,m_end,"&gt;"&amp;720),INDEX(m_label,_xlfn.MAXIFS(m_row,m_teacher,AE$4,m_date,($G$2+17),m_active,1,m_start,"&lt;"&amp;780,m_end,"&gt;"&amp;720))))))</f>
        <v/>
      </c>
      <c r="AF41" s="88" t="str">
        <f aca="false">IF(OR(AF$4="",MONTH(($G$2+17))&lt;&gt;MONTH($C$2)),"",IF(COUNTIFS(m_teacher,AF$4,m_date,($G$2+17),m_active,1,m_start,"&lt;"&amp;780,m_end,"&gt;"&amp;720)=0,"",IF(COUNTIFS(m_teacher,AF$4,m_date,($G$2+17),m_active,1,m_start,"&lt;"&amp;780,m_end,"&gt;"&amp;720)&gt;1,"충돌",HYPERLINK("#'관리자_MASTER'!D"&amp;_xlfn.MAXIFS(m_row,m_teacher,AF$4,m_date,($G$2+17),m_active,1,m_start,"&lt;"&amp;780,m_end,"&gt;"&amp;720),INDEX(m_label,_xlfn.MAXIFS(m_row,m_teacher,AF$4,m_date,($G$2+17),m_active,1,m_start,"&lt;"&amp;780,m_end,"&gt;"&amp;720))))))</f>
        <v/>
      </c>
      <c r="AG41" s="88" t="str">
        <f aca="false">IF(OR(AG$4="",MONTH(($G$2+17))&lt;&gt;MONTH($C$2)),"",IF(COUNTIFS(m_teacher,AG$4,m_date,($G$2+17),m_active,1,m_start,"&lt;"&amp;780,m_end,"&gt;"&amp;720)=0,"",IF(COUNTIFS(m_teacher,AG$4,m_date,($G$2+17),m_active,1,m_start,"&lt;"&amp;780,m_end,"&gt;"&amp;720)&gt;1,"충돌",HYPERLINK("#'관리자_MASTER'!D"&amp;_xlfn.MAXIFS(m_row,m_teacher,AG$4,m_date,($G$2+17),m_active,1,m_start,"&lt;"&amp;780,m_end,"&gt;"&amp;720),INDEX(m_label,_xlfn.MAXIFS(m_row,m_teacher,AG$4,m_date,($G$2+17),m_active,1,m_start,"&lt;"&amp;780,m_end,"&gt;"&amp;720))))))</f>
        <v/>
      </c>
      <c r="AH41" s="88" t="str">
        <f aca="false">IF(OR(AH$4="",MONTH(($G$2+17))&lt;&gt;MONTH($C$2)),"",IF(COUNTIFS(m_teacher,AH$4,m_date,($G$2+17),m_active,1,m_start,"&lt;"&amp;780,m_end,"&gt;"&amp;720)=0,"",IF(COUNTIFS(m_teacher,AH$4,m_date,($G$2+17),m_active,1,m_start,"&lt;"&amp;780,m_end,"&gt;"&amp;720)&gt;1,"충돌",HYPERLINK("#'관리자_MASTER'!D"&amp;_xlfn.MAXIFS(m_row,m_teacher,AH$4,m_date,($G$2+17),m_active,1,m_start,"&lt;"&amp;780,m_end,"&gt;"&amp;720),INDEX(m_label,_xlfn.MAXIFS(m_row,m_teacher,AH$4,m_date,($G$2+17),m_active,1,m_start,"&lt;"&amp;780,m_end,"&gt;"&amp;720))))))</f>
        <v/>
      </c>
      <c r="AI41" s="88" t="str">
        <f aca="false">IF(OR(AI$4="",MONTH(($G$2+17))&lt;&gt;MONTH($C$2)),"",IF(COUNTIFS(m_teacher,AI$4,m_date,($G$2+17),m_active,1,m_start,"&lt;"&amp;780,m_end,"&gt;"&amp;720)=0,"",IF(COUNTIFS(m_teacher,AI$4,m_date,($G$2+17),m_active,1,m_start,"&lt;"&amp;780,m_end,"&gt;"&amp;720)&gt;1,"충돌",HYPERLINK("#'관리자_MASTER'!D"&amp;_xlfn.MAXIFS(m_row,m_teacher,AI$4,m_date,($G$2+17),m_active,1,m_start,"&lt;"&amp;780,m_end,"&gt;"&amp;720),INDEX(m_label,_xlfn.MAXIFS(m_row,m_teacher,AI$4,m_date,($G$2+17),m_active,1,m_start,"&lt;"&amp;780,m_end,"&gt;"&amp;720))))))</f>
        <v/>
      </c>
      <c r="AJ41" s="88" t="str">
        <f aca="false">IF(OR(AJ$4="",MONTH(($G$2+17))&lt;&gt;MONTH($C$2)),"",IF(COUNTIFS(m_teacher,AJ$4,m_date,($G$2+17),m_active,1,m_start,"&lt;"&amp;780,m_end,"&gt;"&amp;720)=0,"",IF(COUNTIFS(m_teacher,AJ$4,m_date,($G$2+17),m_active,1,m_start,"&lt;"&amp;780,m_end,"&gt;"&amp;720)&gt;1,"충돌",HYPERLINK("#'관리자_MASTER'!D"&amp;_xlfn.MAXIFS(m_row,m_teacher,AJ$4,m_date,($G$2+17),m_active,1,m_start,"&lt;"&amp;780,m_end,"&gt;"&amp;720),INDEX(m_label,_xlfn.MAXIFS(m_row,m_teacher,AJ$4,m_date,($G$2+17),m_active,1,m_start,"&lt;"&amp;780,m_end,"&gt;"&amp;720))))))</f>
        <v/>
      </c>
      <c r="AK41" s="88" t="str">
        <f aca="false">IF(OR(AK$4="",MONTH(($G$2+17))&lt;&gt;MONTH($C$2)),"",IF(COUNTIFS(m_teacher,AK$4,m_date,($G$2+17),m_active,1,m_start,"&lt;"&amp;780,m_end,"&gt;"&amp;720)=0,"",IF(COUNTIFS(m_teacher,AK$4,m_date,($G$2+17),m_active,1,m_start,"&lt;"&amp;780,m_end,"&gt;"&amp;720)&gt;1,"충돌",HYPERLINK("#'관리자_MASTER'!D"&amp;_xlfn.MAXIFS(m_row,m_teacher,AK$4,m_date,($G$2+17),m_active,1,m_start,"&lt;"&amp;780,m_end,"&gt;"&amp;720),INDEX(m_label,_xlfn.MAXIFS(m_row,m_teacher,AK$4,m_date,($G$2+17),m_active,1,m_start,"&lt;"&amp;780,m_end,"&gt;"&amp;720))))))</f>
        <v/>
      </c>
      <c r="AL41" s="88" t="str">
        <f aca="false">IF(OR(AL$4="",MONTH(($G$2+17))&lt;&gt;MONTH($C$2)),"",IF(COUNTIFS(m_teacher,AL$4,m_date,($G$2+17),m_active,1,m_start,"&lt;"&amp;780,m_end,"&gt;"&amp;720)=0,"",IF(COUNTIFS(m_teacher,AL$4,m_date,($G$2+17),m_active,1,m_start,"&lt;"&amp;780,m_end,"&gt;"&amp;720)&gt;1,"충돌",HYPERLINK("#'관리자_MASTER'!D"&amp;_xlfn.MAXIFS(m_row,m_teacher,AL$4,m_date,($G$2+17),m_active,1,m_start,"&lt;"&amp;780,m_end,"&gt;"&amp;720),INDEX(m_label,_xlfn.MAXIFS(m_row,m_teacher,AL$4,m_date,($G$2+17),m_active,1,m_start,"&lt;"&amp;780,m_end,"&gt;"&amp;720))))))</f>
        <v/>
      </c>
      <c r="AM41" s="88" t="str">
        <f aca="false">IF(OR(AM$4="",MONTH(($G$2+17))&lt;&gt;MONTH($C$2)),"",IF(COUNTIFS(m_teacher,AM$4,m_date,($G$2+17),m_active,1,m_start,"&lt;"&amp;780,m_end,"&gt;"&amp;720)=0,"",IF(COUNTIFS(m_teacher,AM$4,m_date,($G$2+17),m_active,1,m_start,"&lt;"&amp;780,m_end,"&gt;"&amp;720)&gt;1,"충돌",HYPERLINK("#'관리자_MASTER'!D"&amp;_xlfn.MAXIFS(m_row,m_teacher,AM$4,m_date,($G$2+17),m_active,1,m_start,"&lt;"&amp;780,m_end,"&gt;"&amp;720),INDEX(m_label,_xlfn.MAXIFS(m_row,m_teacher,AM$4,m_date,($G$2+17),m_active,1,m_start,"&lt;"&amp;780,m_end,"&gt;"&amp;720))))))</f>
        <v/>
      </c>
      <c r="AN41" s="88" t="str">
        <f aca="false">IF(OR(AN$4="",MONTH(($G$2+17))&lt;&gt;MONTH($C$2)),"",IF(COUNTIFS(m_teacher,AN$4,m_date,($G$2+17),m_active,1,m_start,"&lt;"&amp;780,m_end,"&gt;"&amp;720)=0,"",IF(COUNTIFS(m_teacher,AN$4,m_date,($G$2+17),m_active,1,m_start,"&lt;"&amp;780,m_end,"&gt;"&amp;720)&gt;1,"충돌",HYPERLINK("#'관리자_MASTER'!D"&amp;_xlfn.MAXIFS(m_row,m_teacher,AN$4,m_date,($G$2+17),m_active,1,m_start,"&lt;"&amp;780,m_end,"&gt;"&amp;720),INDEX(m_label,_xlfn.MAXIFS(m_row,m_teacher,AN$4,m_date,($G$2+17),m_active,1,m_start,"&lt;"&amp;780,m_end,"&gt;"&amp;720))))))</f>
        <v/>
      </c>
      <c r="AO41" s="88" t="str">
        <f aca="false">IF(OR(AO$4="",MONTH(($G$2+17))&lt;&gt;MONTH($C$2)),"",IF(COUNTIFS(m_teacher,AO$4,m_date,($G$2+17),m_active,1,m_start,"&lt;"&amp;780,m_end,"&gt;"&amp;720)=0,"",IF(COUNTIFS(m_teacher,AO$4,m_date,($G$2+17),m_active,1,m_start,"&lt;"&amp;780,m_end,"&gt;"&amp;720)&gt;1,"충돌",HYPERLINK("#'관리자_MASTER'!D"&amp;_xlfn.MAXIFS(m_row,m_teacher,AO$4,m_date,($G$2+17),m_active,1,m_start,"&lt;"&amp;780,m_end,"&gt;"&amp;720),INDEX(m_label,_xlfn.MAXIFS(m_row,m_teacher,AO$4,m_date,($G$2+17),m_active,1,m_start,"&lt;"&amp;780,m_end,"&gt;"&amp;720))))))</f>
        <v/>
      </c>
      <c r="AP41" s="88" t="str">
        <f aca="false">IF(OR(AP$4="",MONTH(($G$2+17))&lt;&gt;MONTH($C$2)),"",IF(COUNTIFS(m_teacher,AP$4,m_date,($G$2+17),m_active,1,m_start,"&lt;"&amp;780,m_end,"&gt;"&amp;720)=0,"",IF(COUNTIFS(m_teacher,AP$4,m_date,($G$2+17),m_active,1,m_start,"&lt;"&amp;780,m_end,"&gt;"&amp;720)&gt;1,"충돌",HYPERLINK("#'관리자_MASTER'!D"&amp;_xlfn.MAXIFS(m_row,m_teacher,AP$4,m_date,($G$2+17),m_active,1,m_start,"&lt;"&amp;780,m_end,"&gt;"&amp;720),INDEX(m_label,_xlfn.MAXIFS(m_row,m_teacher,AP$4,m_date,($G$2+17),m_active,1,m_start,"&lt;"&amp;780,m_end,"&gt;"&amp;720))))))</f>
        <v/>
      </c>
      <c r="AQ41" s="78"/>
      <c r="AR41" s="79" t="s">
        <v>94</v>
      </c>
      <c r="AS41" s="88" t="str">
        <f aca="false">IF(OR(AS$4="",MONTH(($G$2+24))&lt;&gt;MONTH($C$2)),"",IF(COUNTIFS(m_teacher,AS$4,m_date,($G$2+24),m_active,1,m_start,"&lt;"&amp;780,m_end,"&gt;"&amp;720)=0,"",IF(COUNTIFS(m_teacher,AS$4,m_date,($G$2+24),m_active,1,m_start,"&lt;"&amp;780,m_end,"&gt;"&amp;720)&gt;1,"충돌",HYPERLINK("#'관리자_MASTER'!D"&amp;_xlfn.MAXIFS(m_row,m_teacher,AS$4,m_date,($G$2+24),m_active,1,m_start,"&lt;"&amp;780,m_end,"&gt;"&amp;720),INDEX(m_label,_xlfn.MAXIFS(m_row,m_teacher,AS$4,m_date,($G$2+24),m_active,1,m_start,"&lt;"&amp;780,m_end,"&gt;"&amp;720))))))</f>
        <v/>
      </c>
      <c r="AT41" s="88" t="str">
        <f aca="false">IF(OR(AT$4="",MONTH(($G$2+24))&lt;&gt;MONTH($C$2)),"",IF(COUNTIFS(m_teacher,AT$4,m_date,($G$2+24),m_active,1,m_start,"&lt;"&amp;780,m_end,"&gt;"&amp;720)=0,"",IF(COUNTIFS(m_teacher,AT$4,m_date,($G$2+24),m_active,1,m_start,"&lt;"&amp;780,m_end,"&gt;"&amp;720)&gt;1,"충돌",HYPERLINK("#'관리자_MASTER'!D"&amp;_xlfn.MAXIFS(m_row,m_teacher,AT$4,m_date,($G$2+24),m_active,1,m_start,"&lt;"&amp;780,m_end,"&gt;"&amp;720),INDEX(m_label,_xlfn.MAXIFS(m_row,m_teacher,AT$4,m_date,($G$2+24),m_active,1,m_start,"&lt;"&amp;780,m_end,"&gt;"&amp;720))))))</f>
        <v/>
      </c>
      <c r="AU41" s="88" t="str">
        <f aca="false">IF(OR(AU$4="",MONTH(($G$2+24))&lt;&gt;MONTH($C$2)),"",IF(COUNTIFS(m_teacher,AU$4,m_date,($G$2+24),m_active,1,m_start,"&lt;"&amp;780,m_end,"&gt;"&amp;720)=0,"",IF(COUNTIFS(m_teacher,AU$4,m_date,($G$2+24),m_active,1,m_start,"&lt;"&amp;780,m_end,"&gt;"&amp;720)&gt;1,"충돌",HYPERLINK("#'관리자_MASTER'!D"&amp;_xlfn.MAXIFS(m_row,m_teacher,AU$4,m_date,($G$2+24),m_active,1,m_start,"&lt;"&amp;780,m_end,"&gt;"&amp;720),INDEX(m_label,_xlfn.MAXIFS(m_row,m_teacher,AU$4,m_date,($G$2+24),m_active,1,m_start,"&lt;"&amp;780,m_end,"&gt;"&amp;720))))))</f>
        <v/>
      </c>
      <c r="AV41" s="88" t="str">
        <f aca="false">IF(OR(AV$4="",MONTH(($G$2+24))&lt;&gt;MONTH($C$2)),"",IF(COUNTIFS(m_teacher,AV$4,m_date,($G$2+24),m_active,1,m_start,"&lt;"&amp;780,m_end,"&gt;"&amp;720)=0,"",IF(COUNTIFS(m_teacher,AV$4,m_date,($G$2+24),m_active,1,m_start,"&lt;"&amp;780,m_end,"&gt;"&amp;720)&gt;1,"충돌",HYPERLINK("#'관리자_MASTER'!D"&amp;_xlfn.MAXIFS(m_row,m_teacher,AV$4,m_date,($G$2+24),m_active,1,m_start,"&lt;"&amp;780,m_end,"&gt;"&amp;720),INDEX(m_label,_xlfn.MAXIFS(m_row,m_teacher,AV$4,m_date,($G$2+24),m_active,1,m_start,"&lt;"&amp;780,m_end,"&gt;"&amp;720))))))</f>
        <v/>
      </c>
      <c r="AW41" s="88" t="str">
        <f aca="false">IF(OR(AW$4="",MONTH(($G$2+24))&lt;&gt;MONTH($C$2)),"",IF(COUNTIFS(m_teacher,AW$4,m_date,($G$2+24),m_active,1,m_start,"&lt;"&amp;780,m_end,"&gt;"&amp;720)=0,"",IF(COUNTIFS(m_teacher,AW$4,m_date,($G$2+24),m_active,1,m_start,"&lt;"&amp;780,m_end,"&gt;"&amp;720)&gt;1,"충돌",HYPERLINK("#'관리자_MASTER'!D"&amp;_xlfn.MAXIFS(m_row,m_teacher,AW$4,m_date,($G$2+24),m_active,1,m_start,"&lt;"&amp;780,m_end,"&gt;"&amp;720),INDEX(m_label,_xlfn.MAXIFS(m_row,m_teacher,AW$4,m_date,($G$2+24),m_active,1,m_start,"&lt;"&amp;780,m_end,"&gt;"&amp;720))))))</f>
        <v/>
      </c>
      <c r="AX41" s="88" t="str">
        <f aca="false">IF(OR(AX$4="",MONTH(($G$2+24))&lt;&gt;MONTH($C$2)),"",IF(COUNTIFS(m_teacher,AX$4,m_date,($G$2+24),m_active,1,m_start,"&lt;"&amp;780,m_end,"&gt;"&amp;720)=0,"",IF(COUNTIFS(m_teacher,AX$4,m_date,($G$2+24),m_active,1,m_start,"&lt;"&amp;780,m_end,"&gt;"&amp;720)&gt;1,"충돌",HYPERLINK("#'관리자_MASTER'!D"&amp;_xlfn.MAXIFS(m_row,m_teacher,AX$4,m_date,($G$2+24),m_active,1,m_start,"&lt;"&amp;780,m_end,"&gt;"&amp;720),INDEX(m_label,_xlfn.MAXIFS(m_row,m_teacher,AX$4,m_date,($G$2+24),m_active,1,m_start,"&lt;"&amp;780,m_end,"&gt;"&amp;720))))))</f>
        <v/>
      </c>
      <c r="AY41" s="88" t="str">
        <f aca="false">IF(OR(AY$4="",MONTH(($G$2+24))&lt;&gt;MONTH($C$2)),"",IF(COUNTIFS(m_teacher,AY$4,m_date,($G$2+24),m_active,1,m_start,"&lt;"&amp;780,m_end,"&gt;"&amp;720)=0,"",IF(COUNTIFS(m_teacher,AY$4,m_date,($G$2+24),m_active,1,m_start,"&lt;"&amp;780,m_end,"&gt;"&amp;720)&gt;1,"충돌",HYPERLINK("#'관리자_MASTER'!D"&amp;_xlfn.MAXIFS(m_row,m_teacher,AY$4,m_date,($G$2+24),m_active,1,m_start,"&lt;"&amp;780,m_end,"&gt;"&amp;720),INDEX(m_label,_xlfn.MAXIFS(m_row,m_teacher,AY$4,m_date,($G$2+24),m_active,1,m_start,"&lt;"&amp;780,m_end,"&gt;"&amp;720))))))</f>
        <v/>
      </c>
      <c r="AZ41" s="88" t="str">
        <f aca="false">IF(OR(AZ$4="",MONTH(($G$2+24))&lt;&gt;MONTH($C$2)),"",IF(COUNTIFS(m_teacher,AZ$4,m_date,($G$2+24),m_active,1,m_start,"&lt;"&amp;780,m_end,"&gt;"&amp;720)=0,"",IF(COUNTIFS(m_teacher,AZ$4,m_date,($G$2+24),m_active,1,m_start,"&lt;"&amp;780,m_end,"&gt;"&amp;720)&gt;1,"충돌",HYPERLINK("#'관리자_MASTER'!D"&amp;_xlfn.MAXIFS(m_row,m_teacher,AZ$4,m_date,($G$2+24),m_active,1,m_start,"&lt;"&amp;780,m_end,"&gt;"&amp;720),INDEX(m_label,_xlfn.MAXIFS(m_row,m_teacher,AZ$4,m_date,($G$2+24),m_active,1,m_start,"&lt;"&amp;780,m_end,"&gt;"&amp;720))))))</f>
        <v/>
      </c>
      <c r="BA41" s="88" t="str">
        <f aca="false">IF(OR(BA$4="",MONTH(($G$2+24))&lt;&gt;MONTH($C$2)),"",IF(COUNTIFS(m_teacher,BA$4,m_date,($G$2+24),m_active,1,m_start,"&lt;"&amp;780,m_end,"&gt;"&amp;720)=0,"",IF(COUNTIFS(m_teacher,BA$4,m_date,($G$2+24),m_active,1,m_start,"&lt;"&amp;780,m_end,"&gt;"&amp;720)&gt;1,"충돌",HYPERLINK("#'관리자_MASTER'!D"&amp;_xlfn.MAXIFS(m_row,m_teacher,BA$4,m_date,($G$2+24),m_active,1,m_start,"&lt;"&amp;780,m_end,"&gt;"&amp;720),INDEX(m_label,_xlfn.MAXIFS(m_row,m_teacher,BA$4,m_date,($G$2+24),m_active,1,m_start,"&lt;"&amp;780,m_end,"&gt;"&amp;720))))))</f>
        <v/>
      </c>
      <c r="BB41" s="88" t="str">
        <f aca="false">IF(OR(BB$4="",MONTH(($G$2+24))&lt;&gt;MONTH($C$2)),"",IF(COUNTIFS(m_teacher,BB$4,m_date,($G$2+24),m_active,1,m_start,"&lt;"&amp;780,m_end,"&gt;"&amp;720)=0,"",IF(COUNTIFS(m_teacher,BB$4,m_date,($G$2+24),m_active,1,m_start,"&lt;"&amp;780,m_end,"&gt;"&amp;720)&gt;1,"충돌",HYPERLINK("#'관리자_MASTER'!D"&amp;_xlfn.MAXIFS(m_row,m_teacher,BB$4,m_date,($G$2+24),m_active,1,m_start,"&lt;"&amp;780,m_end,"&gt;"&amp;720),INDEX(m_label,_xlfn.MAXIFS(m_row,m_teacher,BB$4,m_date,($G$2+24),m_active,1,m_start,"&lt;"&amp;780,m_end,"&gt;"&amp;720))))))</f>
        <v/>
      </c>
      <c r="BC41" s="88" t="str">
        <f aca="false">IF(OR(BC$4="",MONTH(($G$2+24))&lt;&gt;MONTH($C$2)),"",IF(COUNTIFS(m_teacher,BC$4,m_date,($G$2+24),m_active,1,m_start,"&lt;"&amp;780,m_end,"&gt;"&amp;720)=0,"",IF(COUNTIFS(m_teacher,BC$4,m_date,($G$2+24),m_active,1,m_start,"&lt;"&amp;780,m_end,"&gt;"&amp;720)&gt;1,"충돌",HYPERLINK("#'관리자_MASTER'!D"&amp;_xlfn.MAXIFS(m_row,m_teacher,BC$4,m_date,($G$2+24),m_active,1,m_start,"&lt;"&amp;780,m_end,"&gt;"&amp;720),INDEX(m_label,_xlfn.MAXIFS(m_row,m_teacher,BC$4,m_date,($G$2+24),m_active,1,m_start,"&lt;"&amp;780,m_end,"&gt;"&amp;720))))))</f>
        <v/>
      </c>
      <c r="BD41" s="88" t="str">
        <f aca="false">IF(OR(BD$4="",MONTH(($G$2+24))&lt;&gt;MONTH($C$2)),"",IF(COUNTIFS(m_teacher,BD$4,m_date,($G$2+24),m_active,1,m_start,"&lt;"&amp;780,m_end,"&gt;"&amp;720)=0,"",IF(COUNTIFS(m_teacher,BD$4,m_date,($G$2+24),m_active,1,m_start,"&lt;"&amp;780,m_end,"&gt;"&amp;720)&gt;1,"충돌",HYPERLINK("#'관리자_MASTER'!D"&amp;_xlfn.MAXIFS(m_row,m_teacher,BD$4,m_date,($G$2+24),m_active,1,m_start,"&lt;"&amp;780,m_end,"&gt;"&amp;720),INDEX(m_label,_xlfn.MAXIFS(m_row,m_teacher,BD$4,m_date,($G$2+24),m_active,1,m_start,"&lt;"&amp;780,m_end,"&gt;"&amp;720))))))</f>
        <v/>
      </c>
      <c r="BE41" s="78"/>
      <c r="BF41" s="79" t="s">
        <v>94</v>
      </c>
      <c r="BG41" s="88" t="str">
        <f aca="false">IF(OR(BG$4="",MONTH(($G$2+31))&lt;&gt;MONTH($C$2)),"",IF(COUNTIFS(m_teacher,BG$4,m_date,($G$2+31),m_active,1,m_start,"&lt;"&amp;780,m_end,"&gt;"&amp;720)=0,"",IF(COUNTIFS(m_teacher,BG$4,m_date,($G$2+31),m_active,1,m_start,"&lt;"&amp;780,m_end,"&gt;"&amp;720)&gt;1,"충돌",HYPERLINK("#'관리자_MASTER'!D"&amp;_xlfn.MAXIFS(m_row,m_teacher,BG$4,m_date,($G$2+31),m_active,1,m_start,"&lt;"&amp;780,m_end,"&gt;"&amp;720),INDEX(m_label,_xlfn.MAXIFS(m_row,m_teacher,BG$4,m_date,($G$2+31),m_active,1,m_start,"&lt;"&amp;780,m_end,"&gt;"&amp;720))))))</f>
        <v/>
      </c>
      <c r="BH41" s="88" t="str">
        <f aca="false">IF(OR(BH$4="",MONTH(($G$2+31))&lt;&gt;MONTH($C$2)),"",IF(COUNTIFS(m_teacher,BH$4,m_date,($G$2+31),m_active,1,m_start,"&lt;"&amp;780,m_end,"&gt;"&amp;720)=0,"",IF(COUNTIFS(m_teacher,BH$4,m_date,($G$2+31),m_active,1,m_start,"&lt;"&amp;780,m_end,"&gt;"&amp;720)&gt;1,"충돌",HYPERLINK("#'관리자_MASTER'!D"&amp;_xlfn.MAXIFS(m_row,m_teacher,BH$4,m_date,($G$2+31),m_active,1,m_start,"&lt;"&amp;780,m_end,"&gt;"&amp;720),INDEX(m_label,_xlfn.MAXIFS(m_row,m_teacher,BH$4,m_date,($G$2+31),m_active,1,m_start,"&lt;"&amp;780,m_end,"&gt;"&amp;720))))))</f>
        <v/>
      </c>
      <c r="BI41" s="88" t="str">
        <f aca="false">IF(OR(BI$4="",MONTH(($G$2+31))&lt;&gt;MONTH($C$2)),"",IF(COUNTIFS(m_teacher,BI$4,m_date,($G$2+31),m_active,1,m_start,"&lt;"&amp;780,m_end,"&gt;"&amp;720)=0,"",IF(COUNTIFS(m_teacher,BI$4,m_date,($G$2+31),m_active,1,m_start,"&lt;"&amp;780,m_end,"&gt;"&amp;720)&gt;1,"충돌",HYPERLINK("#'관리자_MASTER'!D"&amp;_xlfn.MAXIFS(m_row,m_teacher,BI$4,m_date,($G$2+31),m_active,1,m_start,"&lt;"&amp;780,m_end,"&gt;"&amp;720),INDEX(m_label,_xlfn.MAXIFS(m_row,m_teacher,BI$4,m_date,($G$2+31),m_active,1,m_start,"&lt;"&amp;780,m_end,"&gt;"&amp;720))))))</f>
        <v/>
      </c>
      <c r="BJ41" s="88" t="str">
        <f aca="false">IF(OR(BJ$4="",MONTH(($G$2+31))&lt;&gt;MONTH($C$2)),"",IF(COUNTIFS(m_teacher,BJ$4,m_date,($G$2+31),m_active,1,m_start,"&lt;"&amp;780,m_end,"&gt;"&amp;720)=0,"",IF(COUNTIFS(m_teacher,BJ$4,m_date,($G$2+31),m_active,1,m_start,"&lt;"&amp;780,m_end,"&gt;"&amp;720)&gt;1,"충돌",HYPERLINK("#'관리자_MASTER'!D"&amp;_xlfn.MAXIFS(m_row,m_teacher,BJ$4,m_date,($G$2+31),m_active,1,m_start,"&lt;"&amp;780,m_end,"&gt;"&amp;720),INDEX(m_label,_xlfn.MAXIFS(m_row,m_teacher,BJ$4,m_date,($G$2+31),m_active,1,m_start,"&lt;"&amp;780,m_end,"&gt;"&amp;720))))))</f>
        <v/>
      </c>
      <c r="BK41" s="88" t="str">
        <f aca="false">IF(OR(BK$4="",MONTH(($G$2+31))&lt;&gt;MONTH($C$2)),"",IF(COUNTIFS(m_teacher,BK$4,m_date,($G$2+31),m_active,1,m_start,"&lt;"&amp;780,m_end,"&gt;"&amp;720)=0,"",IF(COUNTIFS(m_teacher,BK$4,m_date,($G$2+31),m_active,1,m_start,"&lt;"&amp;780,m_end,"&gt;"&amp;720)&gt;1,"충돌",HYPERLINK("#'관리자_MASTER'!D"&amp;_xlfn.MAXIFS(m_row,m_teacher,BK$4,m_date,($G$2+31),m_active,1,m_start,"&lt;"&amp;780,m_end,"&gt;"&amp;720),INDEX(m_label,_xlfn.MAXIFS(m_row,m_teacher,BK$4,m_date,($G$2+31),m_active,1,m_start,"&lt;"&amp;780,m_end,"&gt;"&amp;720))))))</f>
        <v/>
      </c>
      <c r="BL41" s="88" t="str">
        <f aca="false">IF(OR(BL$4="",MONTH(($G$2+31))&lt;&gt;MONTH($C$2)),"",IF(COUNTIFS(m_teacher,BL$4,m_date,($G$2+31),m_active,1,m_start,"&lt;"&amp;780,m_end,"&gt;"&amp;720)=0,"",IF(COUNTIFS(m_teacher,BL$4,m_date,($G$2+31),m_active,1,m_start,"&lt;"&amp;780,m_end,"&gt;"&amp;720)&gt;1,"충돌",HYPERLINK("#'관리자_MASTER'!D"&amp;_xlfn.MAXIFS(m_row,m_teacher,BL$4,m_date,($G$2+31),m_active,1,m_start,"&lt;"&amp;780,m_end,"&gt;"&amp;720),INDEX(m_label,_xlfn.MAXIFS(m_row,m_teacher,BL$4,m_date,($G$2+31),m_active,1,m_start,"&lt;"&amp;780,m_end,"&gt;"&amp;720))))))</f>
        <v/>
      </c>
      <c r="BM41" s="88" t="str">
        <f aca="false">IF(OR(BM$4="",MONTH(($G$2+31))&lt;&gt;MONTH($C$2)),"",IF(COUNTIFS(m_teacher,BM$4,m_date,($G$2+31),m_active,1,m_start,"&lt;"&amp;780,m_end,"&gt;"&amp;720)=0,"",IF(COUNTIFS(m_teacher,BM$4,m_date,($G$2+31),m_active,1,m_start,"&lt;"&amp;780,m_end,"&gt;"&amp;720)&gt;1,"충돌",HYPERLINK("#'관리자_MASTER'!D"&amp;_xlfn.MAXIFS(m_row,m_teacher,BM$4,m_date,($G$2+31),m_active,1,m_start,"&lt;"&amp;780,m_end,"&gt;"&amp;720),INDEX(m_label,_xlfn.MAXIFS(m_row,m_teacher,BM$4,m_date,($G$2+31),m_active,1,m_start,"&lt;"&amp;780,m_end,"&gt;"&amp;720))))))</f>
        <v/>
      </c>
      <c r="BN41" s="88" t="str">
        <f aca="false">IF(OR(BN$4="",MONTH(($G$2+31))&lt;&gt;MONTH($C$2)),"",IF(COUNTIFS(m_teacher,BN$4,m_date,($G$2+31),m_active,1,m_start,"&lt;"&amp;780,m_end,"&gt;"&amp;720)=0,"",IF(COUNTIFS(m_teacher,BN$4,m_date,($G$2+31),m_active,1,m_start,"&lt;"&amp;780,m_end,"&gt;"&amp;720)&gt;1,"충돌",HYPERLINK("#'관리자_MASTER'!D"&amp;_xlfn.MAXIFS(m_row,m_teacher,BN$4,m_date,($G$2+31),m_active,1,m_start,"&lt;"&amp;780,m_end,"&gt;"&amp;720),INDEX(m_label,_xlfn.MAXIFS(m_row,m_teacher,BN$4,m_date,($G$2+31),m_active,1,m_start,"&lt;"&amp;780,m_end,"&gt;"&amp;720))))))</f>
        <v/>
      </c>
      <c r="BO41" s="88" t="str">
        <f aca="false">IF(OR(BO$4="",MONTH(($G$2+31))&lt;&gt;MONTH($C$2)),"",IF(COUNTIFS(m_teacher,BO$4,m_date,($G$2+31),m_active,1,m_start,"&lt;"&amp;780,m_end,"&gt;"&amp;720)=0,"",IF(COUNTIFS(m_teacher,BO$4,m_date,($G$2+31),m_active,1,m_start,"&lt;"&amp;780,m_end,"&gt;"&amp;720)&gt;1,"충돌",HYPERLINK("#'관리자_MASTER'!D"&amp;_xlfn.MAXIFS(m_row,m_teacher,BO$4,m_date,($G$2+31),m_active,1,m_start,"&lt;"&amp;780,m_end,"&gt;"&amp;720),INDEX(m_label,_xlfn.MAXIFS(m_row,m_teacher,BO$4,m_date,($G$2+31),m_active,1,m_start,"&lt;"&amp;780,m_end,"&gt;"&amp;720))))))</f>
        <v/>
      </c>
      <c r="BP41" s="88" t="str">
        <f aca="false">IF(OR(BP$4="",MONTH(($G$2+31))&lt;&gt;MONTH($C$2)),"",IF(COUNTIFS(m_teacher,BP$4,m_date,($G$2+31),m_active,1,m_start,"&lt;"&amp;780,m_end,"&gt;"&amp;720)=0,"",IF(COUNTIFS(m_teacher,BP$4,m_date,($G$2+31),m_active,1,m_start,"&lt;"&amp;780,m_end,"&gt;"&amp;720)&gt;1,"충돌",HYPERLINK("#'관리자_MASTER'!D"&amp;_xlfn.MAXIFS(m_row,m_teacher,BP$4,m_date,($G$2+31),m_active,1,m_start,"&lt;"&amp;780,m_end,"&gt;"&amp;720),INDEX(m_label,_xlfn.MAXIFS(m_row,m_teacher,BP$4,m_date,($G$2+31),m_active,1,m_start,"&lt;"&amp;780,m_end,"&gt;"&amp;720))))))</f>
        <v/>
      </c>
      <c r="BQ41" s="88" t="str">
        <f aca="false">IF(OR(BQ$4="",MONTH(($G$2+31))&lt;&gt;MONTH($C$2)),"",IF(COUNTIFS(m_teacher,BQ$4,m_date,($G$2+31),m_active,1,m_start,"&lt;"&amp;780,m_end,"&gt;"&amp;720)=0,"",IF(COUNTIFS(m_teacher,BQ$4,m_date,($G$2+31),m_active,1,m_start,"&lt;"&amp;780,m_end,"&gt;"&amp;720)&gt;1,"충돌",HYPERLINK("#'관리자_MASTER'!D"&amp;_xlfn.MAXIFS(m_row,m_teacher,BQ$4,m_date,($G$2+31),m_active,1,m_start,"&lt;"&amp;780,m_end,"&gt;"&amp;720),INDEX(m_label,_xlfn.MAXIFS(m_row,m_teacher,BQ$4,m_date,($G$2+31),m_active,1,m_start,"&lt;"&amp;780,m_end,"&gt;"&amp;720))))))</f>
        <v/>
      </c>
      <c r="BR41" s="88" t="str">
        <f aca="false">IF(OR(BR$4="",MONTH(($G$2+31))&lt;&gt;MONTH($C$2)),"",IF(COUNTIFS(m_teacher,BR$4,m_date,($G$2+31),m_active,1,m_start,"&lt;"&amp;780,m_end,"&gt;"&amp;720)=0,"",IF(COUNTIFS(m_teacher,BR$4,m_date,($G$2+31),m_active,1,m_start,"&lt;"&amp;780,m_end,"&gt;"&amp;720)&gt;1,"충돌",HYPERLINK("#'관리자_MASTER'!D"&amp;_xlfn.MAXIFS(m_row,m_teacher,BR$4,m_date,($G$2+31),m_active,1,m_start,"&lt;"&amp;780,m_end,"&gt;"&amp;720),INDEX(m_label,_xlfn.MAXIFS(m_row,m_teacher,BR$4,m_date,($G$2+31),m_active,1,m_start,"&lt;"&amp;780,m_end,"&gt;"&amp;720))))))</f>
        <v/>
      </c>
    </row>
    <row r="42" customFormat="false" ht="19.5" hidden="false" customHeight="true" outlineLevel="0" collapsed="false">
      <c r="A42" s="78"/>
      <c r="B42" s="79" t="s">
        <v>95</v>
      </c>
      <c r="C42" s="88" t="str">
        <f aca="false">IF(OR(C$4="",MONTH(($G$2+3))&lt;&gt;MONTH($C$2)),"",IF(COUNTIFS(m_teacher,C$4,m_date,($G$2+3),m_active,1,m_start,"&lt;"&amp;840,m_end,"&gt;"&amp;780)=0,"",IF(COUNTIFS(m_teacher,C$4,m_date,($G$2+3),m_active,1,m_start,"&lt;"&amp;840,m_end,"&gt;"&amp;780)&gt;1,"충돌",HYPERLINK("#'관리자_MASTER'!D"&amp;_xlfn.MAXIFS(m_row,m_teacher,C$4,m_date,($G$2+3),m_active,1,m_start,"&lt;"&amp;840,m_end,"&gt;"&amp;780),INDEX(m_label,_xlfn.MAXIFS(m_row,m_teacher,C$4,m_date,($G$2+3),m_active,1,m_start,"&lt;"&amp;840,m_end,"&gt;"&amp;780))))))</f>
        <v/>
      </c>
      <c r="D42" s="88" t="str">
        <f aca="false">IF(OR(D$4="",MONTH(($G$2+3))&lt;&gt;MONTH($C$2)),"",IF(COUNTIFS(m_teacher,D$4,m_date,($G$2+3),m_active,1,m_start,"&lt;"&amp;840,m_end,"&gt;"&amp;780)=0,"",IF(COUNTIFS(m_teacher,D$4,m_date,($G$2+3),m_active,1,m_start,"&lt;"&amp;840,m_end,"&gt;"&amp;780)&gt;1,"충돌",HYPERLINK("#'관리자_MASTER'!D"&amp;_xlfn.MAXIFS(m_row,m_teacher,D$4,m_date,($G$2+3),m_active,1,m_start,"&lt;"&amp;840,m_end,"&gt;"&amp;780),INDEX(m_label,_xlfn.MAXIFS(m_row,m_teacher,D$4,m_date,($G$2+3),m_active,1,m_start,"&lt;"&amp;840,m_end,"&gt;"&amp;780))))))</f>
        <v/>
      </c>
      <c r="E42" s="88" t="str">
        <f aca="false">IF(OR(E$4="",MONTH(($G$2+3))&lt;&gt;MONTH($C$2)),"",IF(COUNTIFS(m_teacher,E$4,m_date,($G$2+3),m_active,1,m_start,"&lt;"&amp;840,m_end,"&gt;"&amp;780)=0,"",IF(COUNTIFS(m_teacher,E$4,m_date,($G$2+3),m_active,1,m_start,"&lt;"&amp;840,m_end,"&gt;"&amp;780)&gt;1,"충돌",HYPERLINK("#'관리자_MASTER'!D"&amp;_xlfn.MAXIFS(m_row,m_teacher,E$4,m_date,($G$2+3),m_active,1,m_start,"&lt;"&amp;840,m_end,"&gt;"&amp;780),INDEX(m_label,_xlfn.MAXIFS(m_row,m_teacher,E$4,m_date,($G$2+3),m_active,1,m_start,"&lt;"&amp;840,m_end,"&gt;"&amp;780))))))</f>
        <v/>
      </c>
      <c r="F42" s="88" t="str">
        <f aca="false">IF(OR(F$4="",MONTH(($G$2+3))&lt;&gt;MONTH($C$2)),"",IF(COUNTIFS(m_teacher,F$4,m_date,($G$2+3),m_active,1,m_start,"&lt;"&amp;840,m_end,"&gt;"&amp;780)=0,"",IF(COUNTIFS(m_teacher,F$4,m_date,($G$2+3),m_active,1,m_start,"&lt;"&amp;840,m_end,"&gt;"&amp;780)&gt;1,"충돌",HYPERLINK("#'관리자_MASTER'!D"&amp;_xlfn.MAXIFS(m_row,m_teacher,F$4,m_date,($G$2+3),m_active,1,m_start,"&lt;"&amp;840,m_end,"&gt;"&amp;780),INDEX(m_label,_xlfn.MAXIFS(m_row,m_teacher,F$4,m_date,($G$2+3),m_active,1,m_start,"&lt;"&amp;840,m_end,"&gt;"&amp;780))))))</f>
        <v/>
      </c>
      <c r="G42" s="88" t="str">
        <f aca="false">IF(OR(G$4="",MONTH(($G$2+3))&lt;&gt;MONTH($C$2)),"",IF(COUNTIFS(m_teacher,G$4,m_date,($G$2+3),m_active,1,m_start,"&lt;"&amp;840,m_end,"&gt;"&amp;780)=0,"",IF(COUNTIFS(m_teacher,G$4,m_date,($G$2+3),m_active,1,m_start,"&lt;"&amp;840,m_end,"&gt;"&amp;780)&gt;1,"충돌",HYPERLINK("#'관리자_MASTER'!D"&amp;_xlfn.MAXIFS(m_row,m_teacher,G$4,m_date,($G$2+3),m_active,1,m_start,"&lt;"&amp;840,m_end,"&gt;"&amp;780),INDEX(m_label,_xlfn.MAXIFS(m_row,m_teacher,G$4,m_date,($G$2+3),m_active,1,m_start,"&lt;"&amp;840,m_end,"&gt;"&amp;780))))))</f>
        <v/>
      </c>
      <c r="H42" s="88" t="str">
        <f aca="false">IF(OR(H$4="",MONTH(($G$2+3))&lt;&gt;MONTH($C$2)),"",IF(COUNTIFS(m_teacher,H$4,m_date,($G$2+3),m_active,1,m_start,"&lt;"&amp;840,m_end,"&gt;"&amp;780)=0,"",IF(COUNTIFS(m_teacher,H$4,m_date,($G$2+3),m_active,1,m_start,"&lt;"&amp;840,m_end,"&gt;"&amp;780)&gt;1,"충돌",HYPERLINK("#'관리자_MASTER'!D"&amp;_xlfn.MAXIFS(m_row,m_teacher,H$4,m_date,($G$2+3),m_active,1,m_start,"&lt;"&amp;840,m_end,"&gt;"&amp;780),INDEX(m_label,_xlfn.MAXIFS(m_row,m_teacher,H$4,m_date,($G$2+3),m_active,1,m_start,"&lt;"&amp;840,m_end,"&gt;"&amp;780))))))</f>
        <v/>
      </c>
      <c r="I42" s="88" t="str">
        <f aca="false">IF(OR(I$4="",MONTH(($G$2+3))&lt;&gt;MONTH($C$2)),"",IF(COUNTIFS(m_teacher,I$4,m_date,($G$2+3),m_active,1,m_start,"&lt;"&amp;840,m_end,"&gt;"&amp;780)=0,"",IF(COUNTIFS(m_teacher,I$4,m_date,($G$2+3),m_active,1,m_start,"&lt;"&amp;840,m_end,"&gt;"&amp;780)&gt;1,"충돌",HYPERLINK("#'관리자_MASTER'!D"&amp;_xlfn.MAXIFS(m_row,m_teacher,I$4,m_date,($G$2+3),m_active,1,m_start,"&lt;"&amp;840,m_end,"&gt;"&amp;780),INDEX(m_label,_xlfn.MAXIFS(m_row,m_teacher,I$4,m_date,($G$2+3),m_active,1,m_start,"&lt;"&amp;840,m_end,"&gt;"&amp;780))))))</f>
        <v/>
      </c>
      <c r="J42" s="88" t="str">
        <f aca="false">IF(OR(J$4="",MONTH(($G$2+3))&lt;&gt;MONTH($C$2)),"",IF(COUNTIFS(m_teacher,J$4,m_date,($G$2+3),m_active,1,m_start,"&lt;"&amp;840,m_end,"&gt;"&amp;780)=0,"",IF(COUNTIFS(m_teacher,J$4,m_date,($G$2+3),m_active,1,m_start,"&lt;"&amp;840,m_end,"&gt;"&amp;780)&gt;1,"충돌",HYPERLINK("#'관리자_MASTER'!D"&amp;_xlfn.MAXIFS(m_row,m_teacher,J$4,m_date,($G$2+3),m_active,1,m_start,"&lt;"&amp;840,m_end,"&gt;"&amp;780),INDEX(m_label,_xlfn.MAXIFS(m_row,m_teacher,J$4,m_date,($G$2+3),m_active,1,m_start,"&lt;"&amp;840,m_end,"&gt;"&amp;780))))))</f>
        <v/>
      </c>
      <c r="K42" s="88" t="str">
        <f aca="false">IF(OR(K$4="",MONTH(($G$2+3))&lt;&gt;MONTH($C$2)),"",IF(COUNTIFS(m_teacher,K$4,m_date,($G$2+3),m_active,1,m_start,"&lt;"&amp;840,m_end,"&gt;"&amp;780)=0,"",IF(COUNTIFS(m_teacher,K$4,m_date,($G$2+3),m_active,1,m_start,"&lt;"&amp;840,m_end,"&gt;"&amp;780)&gt;1,"충돌",HYPERLINK("#'관리자_MASTER'!D"&amp;_xlfn.MAXIFS(m_row,m_teacher,K$4,m_date,($G$2+3),m_active,1,m_start,"&lt;"&amp;840,m_end,"&gt;"&amp;780),INDEX(m_label,_xlfn.MAXIFS(m_row,m_teacher,K$4,m_date,($G$2+3),m_active,1,m_start,"&lt;"&amp;840,m_end,"&gt;"&amp;780))))))</f>
        <v/>
      </c>
      <c r="L42" s="88" t="str">
        <f aca="false">IF(OR(L$4="",MONTH(($G$2+3))&lt;&gt;MONTH($C$2)),"",IF(COUNTIFS(m_teacher,L$4,m_date,($G$2+3),m_active,1,m_start,"&lt;"&amp;840,m_end,"&gt;"&amp;780)=0,"",IF(COUNTIFS(m_teacher,L$4,m_date,($G$2+3),m_active,1,m_start,"&lt;"&amp;840,m_end,"&gt;"&amp;780)&gt;1,"충돌",HYPERLINK("#'관리자_MASTER'!D"&amp;_xlfn.MAXIFS(m_row,m_teacher,L$4,m_date,($G$2+3),m_active,1,m_start,"&lt;"&amp;840,m_end,"&gt;"&amp;780),INDEX(m_label,_xlfn.MAXIFS(m_row,m_teacher,L$4,m_date,($G$2+3),m_active,1,m_start,"&lt;"&amp;840,m_end,"&gt;"&amp;780))))))</f>
        <v/>
      </c>
      <c r="M42" s="88" t="str">
        <f aca="false">IF(OR(M$4="",MONTH(($G$2+3))&lt;&gt;MONTH($C$2)),"",IF(COUNTIFS(m_teacher,M$4,m_date,($G$2+3),m_active,1,m_start,"&lt;"&amp;840,m_end,"&gt;"&amp;780)=0,"",IF(COUNTIFS(m_teacher,M$4,m_date,($G$2+3),m_active,1,m_start,"&lt;"&amp;840,m_end,"&gt;"&amp;780)&gt;1,"충돌",HYPERLINK("#'관리자_MASTER'!D"&amp;_xlfn.MAXIFS(m_row,m_teacher,M$4,m_date,($G$2+3),m_active,1,m_start,"&lt;"&amp;840,m_end,"&gt;"&amp;780),INDEX(m_label,_xlfn.MAXIFS(m_row,m_teacher,M$4,m_date,($G$2+3),m_active,1,m_start,"&lt;"&amp;840,m_end,"&gt;"&amp;780))))))</f>
        <v/>
      </c>
      <c r="N42" s="88" t="str">
        <f aca="false">IF(OR(N$4="",MONTH(($G$2+3))&lt;&gt;MONTH($C$2)),"",IF(COUNTIFS(m_teacher,N$4,m_date,($G$2+3),m_active,1,m_start,"&lt;"&amp;840,m_end,"&gt;"&amp;780)=0,"",IF(COUNTIFS(m_teacher,N$4,m_date,($G$2+3),m_active,1,m_start,"&lt;"&amp;840,m_end,"&gt;"&amp;780)&gt;1,"충돌",HYPERLINK("#'관리자_MASTER'!D"&amp;_xlfn.MAXIFS(m_row,m_teacher,N$4,m_date,($G$2+3),m_active,1,m_start,"&lt;"&amp;840,m_end,"&gt;"&amp;780),INDEX(m_label,_xlfn.MAXIFS(m_row,m_teacher,N$4,m_date,($G$2+3),m_active,1,m_start,"&lt;"&amp;840,m_end,"&gt;"&amp;780))))))</f>
        <v/>
      </c>
      <c r="O42" s="78"/>
      <c r="P42" s="79" t="s">
        <v>95</v>
      </c>
      <c r="Q42" s="88" t="str">
        <f aca="false">IF(OR(Q$4="",MONTH(($G$2+10))&lt;&gt;MONTH($C$2)),"",IF(COUNTIFS(m_teacher,Q$4,m_date,($G$2+10),m_active,1,m_start,"&lt;"&amp;840,m_end,"&gt;"&amp;780)=0,"",IF(COUNTIFS(m_teacher,Q$4,m_date,($G$2+10),m_active,1,m_start,"&lt;"&amp;840,m_end,"&gt;"&amp;780)&gt;1,"충돌",HYPERLINK("#'관리자_MASTER'!D"&amp;_xlfn.MAXIFS(m_row,m_teacher,Q$4,m_date,($G$2+10),m_active,1,m_start,"&lt;"&amp;840,m_end,"&gt;"&amp;780),INDEX(m_label,_xlfn.MAXIFS(m_row,m_teacher,Q$4,m_date,($G$2+10),m_active,1,m_start,"&lt;"&amp;840,m_end,"&gt;"&amp;780))))))</f>
        <v/>
      </c>
      <c r="R42" s="88" t="str">
        <f aca="false">IF(OR(R$4="",MONTH(($G$2+10))&lt;&gt;MONTH($C$2)),"",IF(COUNTIFS(m_teacher,R$4,m_date,($G$2+10),m_active,1,m_start,"&lt;"&amp;840,m_end,"&gt;"&amp;780)=0,"",IF(COUNTIFS(m_teacher,R$4,m_date,($G$2+10),m_active,1,m_start,"&lt;"&amp;840,m_end,"&gt;"&amp;780)&gt;1,"충돌",HYPERLINK("#'관리자_MASTER'!D"&amp;_xlfn.MAXIFS(m_row,m_teacher,R$4,m_date,($G$2+10),m_active,1,m_start,"&lt;"&amp;840,m_end,"&gt;"&amp;780),INDEX(m_label,_xlfn.MAXIFS(m_row,m_teacher,R$4,m_date,($G$2+10),m_active,1,m_start,"&lt;"&amp;840,m_end,"&gt;"&amp;780))))))</f>
        <v/>
      </c>
      <c r="S42" s="88" t="str">
        <f aca="false">IF(OR(S$4="",MONTH(($G$2+10))&lt;&gt;MONTH($C$2)),"",IF(COUNTIFS(m_teacher,S$4,m_date,($G$2+10),m_active,1,m_start,"&lt;"&amp;840,m_end,"&gt;"&amp;780)=0,"",IF(COUNTIFS(m_teacher,S$4,m_date,($G$2+10),m_active,1,m_start,"&lt;"&amp;840,m_end,"&gt;"&amp;780)&gt;1,"충돌",HYPERLINK("#'관리자_MASTER'!D"&amp;_xlfn.MAXIFS(m_row,m_teacher,S$4,m_date,($G$2+10),m_active,1,m_start,"&lt;"&amp;840,m_end,"&gt;"&amp;780),INDEX(m_label,_xlfn.MAXIFS(m_row,m_teacher,S$4,m_date,($G$2+10),m_active,1,m_start,"&lt;"&amp;840,m_end,"&gt;"&amp;780))))))</f>
        <v/>
      </c>
      <c r="T42" s="88" t="str">
        <f aca="false">IF(OR(T$4="",MONTH(($G$2+10))&lt;&gt;MONTH($C$2)),"",IF(COUNTIFS(m_teacher,T$4,m_date,($G$2+10),m_active,1,m_start,"&lt;"&amp;840,m_end,"&gt;"&amp;780)=0,"",IF(COUNTIFS(m_teacher,T$4,m_date,($G$2+10),m_active,1,m_start,"&lt;"&amp;840,m_end,"&gt;"&amp;780)&gt;1,"충돌",HYPERLINK("#'관리자_MASTER'!D"&amp;_xlfn.MAXIFS(m_row,m_teacher,T$4,m_date,($G$2+10),m_active,1,m_start,"&lt;"&amp;840,m_end,"&gt;"&amp;780),INDEX(m_label,_xlfn.MAXIFS(m_row,m_teacher,T$4,m_date,($G$2+10),m_active,1,m_start,"&lt;"&amp;840,m_end,"&gt;"&amp;780))))))</f>
        <v/>
      </c>
      <c r="U42" s="88" t="str">
        <f aca="false">IF(OR(U$4="",MONTH(($G$2+10))&lt;&gt;MONTH($C$2)),"",IF(COUNTIFS(m_teacher,U$4,m_date,($G$2+10),m_active,1,m_start,"&lt;"&amp;840,m_end,"&gt;"&amp;780)=0,"",IF(COUNTIFS(m_teacher,U$4,m_date,($G$2+10),m_active,1,m_start,"&lt;"&amp;840,m_end,"&gt;"&amp;780)&gt;1,"충돌",HYPERLINK("#'관리자_MASTER'!D"&amp;_xlfn.MAXIFS(m_row,m_teacher,U$4,m_date,($G$2+10),m_active,1,m_start,"&lt;"&amp;840,m_end,"&gt;"&amp;780),INDEX(m_label,_xlfn.MAXIFS(m_row,m_teacher,U$4,m_date,($G$2+10),m_active,1,m_start,"&lt;"&amp;840,m_end,"&gt;"&amp;780))))))</f>
        <v/>
      </c>
      <c r="V42" s="88" t="str">
        <f aca="false">IF(OR(V$4="",MONTH(($G$2+10))&lt;&gt;MONTH($C$2)),"",IF(COUNTIFS(m_teacher,V$4,m_date,($G$2+10),m_active,1,m_start,"&lt;"&amp;840,m_end,"&gt;"&amp;780)=0,"",IF(COUNTIFS(m_teacher,V$4,m_date,($G$2+10),m_active,1,m_start,"&lt;"&amp;840,m_end,"&gt;"&amp;780)&gt;1,"충돌",HYPERLINK("#'관리자_MASTER'!D"&amp;_xlfn.MAXIFS(m_row,m_teacher,V$4,m_date,($G$2+10),m_active,1,m_start,"&lt;"&amp;840,m_end,"&gt;"&amp;780),INDEX(m_label,_xlfn.MAXIFS(m_row,m_teacher,V$4,m_date,($G$2+10),m_active,1,m_start,"&lt;"&amp;840,m_end,"&gt;"&amp;780))))))</f>
        <v/>
      </c>
      <c r="W42" s="88" t="str">
        <f aca="false">IF(OR(W$4="",MONTH(($G$2+10))&lt;&gt;MONTH($C$2)),"",IF(COUNTIFS(m_teacher,W$4,m_date,($G$2+10),m_active,1,m_start,"&lt;"&amp;840,m_end,"&gt;"&amp;780)=0,"",IF(COUNTIFS(m_teacher,W$4,m_date,($G$2+10),m_active,1,m_start,"&lt;"&amp;840,m_end,"&gt;"&amp;780)&gt;1,"충돌",HYPERLINK("#'관리자_MASTER'!D"&amp;_xlfn.MAXIFS(m_row,m_teacher,W$4,m_date,($G$2+10),m_active,1,m_start,"&lt;"&amp;840,m_end,"&gt;"&amp;780),INDEX(m_label,_xlfn.MAXIFS(m_row,m_teacher,W$4,m_date,($G$2+10),m_active,1,m_start,"&lt;"&amp;840,m_end,"&gt;"&amp;780))))))</f>
        <v/>
      </c>
      <c r="X42" s="88" t="str">
        <f aca="false">IF(OR(X$4="",MONTH(($G$2+10))&lt;&gt;MONTH($C$2)),"",IF(COUNTIFS(m_teacher,X$4,m_date,($G$2+10),m_active,1,m_start,"&lt;"&amp;840,m_end,"&gt;"&amp;780)=0,"",IF(COUNTIFS(m_teacher,X$4,m_date,($G$2+10),m_active,1,m_start,"&lt;"&amp;840,m_end,"&gt;"&amp;780)&gt;1,"충돌",HYPERLINK("#'관리자_MASTER'!D"&amp;_xlfn.MAXIFS(m_row,m_teacher,X$4,m_date,($G$2+10),m_active,1,m_start,"&lt;"&amp;840,m_end,"&gt;"&amp;780),INDEX(m_label,_xlfn.MAXIFS(m_row,m_teacher,X$4,m_date,($G$2+10),m_active,1,m_start,"&lt;"&amp;840,m_end,"&gt;"&amp;780))))))</f>
        <v/>
      </c>
      <c r="Y42" s="88" t="str">
        <f aca="false">IF(OR(Y$4="",MONTH(($G$2+10))&lt;&gt;MONTH($C$2)),"",IF(COUNTIFS(m_teacher,Y$4,m_date,($G$2+10),m_active,1,m_start,"&lt;"&amp;840,m_end,"&gt;"&amp;780)=0,"",IF(COUNTIFS(m_teacher,Y$4,m_date,($G$2+10),m_active,1,m_start,"&lt;"&amp;840,m_end,"&gt;"&amp;780)&gt;1,"충돌",HYPERLINK("#'관리자_MASTER'!D"&amp;_xlfn.MAXIFS(m_row,m_teacher,Y$4,m_date,($G$2+10),m_active,1,m_start,"&lt;"&amp;840,m_end,"&gt;"&amp;780),INDEX(m_label,_xlfn.MAXIFS(m_row,m_teacher,Y$4,m_date,($G$2+10),m_active,1,m_start,"&lt;"&amp;840,m_end,"&gt;"&amp;780))))))</f>
        <v/>
      </c>
      <c r="Z42" s="88" t="str">
        <f aca="false">IF(OR(Z$4="",MONTH(($G$2+10))&lt;&gt;MONTH($C$2)),"",IF(COUNTIFS(m_teacher,Z$4,m_date,($G$2+10),m_active,1,m_start,"&lt;"&amp;840,m_end,"&gt;"&amp;780)=0,"",IF(COUNTIFS(m_teacher,Z$4,m_date,($G$2+10),m_active,1,m_start,"&lt;"&amp;840,m_end,"&gt;"&amp;780)&gt;1,"충돌",HYPERLINK("#'관리자_MASTER'!D"&amp;_xlfn.MAXIFS(m_row,m_teacher,Z$4,m_date,($G$2+10),m_active,1,m_start,"&lt;"&amp;840,m_end,"&gt;"&amp;780),INDEX(m_label,_xlfn.MAXIFS(m_row,m_teacher,Z$4,m_date,($G$2+10),m_active,1,m_start,"&lt;"&amp;840,m_end,"&gt;"&amp;780))))))</f>
        <v/>
      </c>
      <c r="AA42" s="88" t="str">
        <f aca="false">IF(OR(AA$4="",MONTH(($G$2+10))&lt;&gt;MONTH($C$2)),"",IF(COUNTIFS(m_teacher,AA$4,m_date,($G$2+10),m_active,1,m_start,"&lt;"&amp;840,m_end,"&gt;"&amp;780)=0,"",IF(COUNTIFS(m_teacher,AA$4,m_date,($G$2+10),m_active,1,m_start,"&lt;"&amp;840,m_end,"&gt;"&amp;780)&gt;1,"충돌",HYPERLINK("#'관리자_MASTER'!D"&amp;_xlfn.MAXIFS(m_row,m_teacher,AA$4,m_date,($G$2+10),m_active,1,m_start,"&lt;"&amp;840,m_end,"&gt;"&amp;780),INDEX(m_label,_xlfn.MAXIFS(m_row,m_teacher,AA$4,m_date,($G$2+10),m_active,1,m_start,"&lt;"&amp;840,m_end,"&gt;"&amp;780))))))</f>
        <v/>
      </c>
      <c r="AB42" s="88" t="str">
        <f aca="false">IF(OR(AB$4="",MONTH(($G$2+10))&lt;&gt;MONTH($C$2)),"",IF(COUNTIFS(m_teacher,AB$4,m_date,($G$2+10),m_active,1,m_start,"&lt;"&amp;840,m_end,"&gt;"&amp;780)=0,"",IF(COUNTIFS(m_teacher,AB$4,m_date,($G$2+10),m_active,1,m_start,"&lt;"&amp;840,m_end,"&gt;"&amp;780)&gt;1,"충돌",HYPERLINK("#'관리자_MASTER'!D"&amp;_xlfn.MAXIFS(m_row,m_teacher,AB$4,m_date,($G$2+10),m_active,1,m_start,"&lt;"&amp;840,m_end,"&gt;"&amp;780),INDEX(m_label,_xlfn.MAXIFS(m_row,m_teacher,AB$4,m_date,($G$2+10),m_active,1,m_start,"&lt;"&amp;840,m_end,"&gt;"&amp;780))))))</f>
        <v/>
      </c>
      <c r="AC42" s="78"/>
      <c r="AD42" s="79" t="s">
        <v>95</v>
      </c>
      <c r="AE42" s="88" t="str">
        <f aca="false">IF(OR(AE$4="",MONTH(($G$2+17))&lt;&gt;MONTH($C$2)),"",IF(COUNTIFS(m_teacher,AE$4,m_date,($G$2+17),m_active,1,m_start,"&lt;"&amp;840,m_end,"&gt;"&amp;780)=0,"",IF(COUNTIFS(m_teacher,AE$4,m_date,($G$2+17),m_active,1,m_start,"&lt;"&amp;840,m_end,"&gt;"&amp;780)&gt;1,"충돌",HYPERLINK("#'관리자_MASTER'!D"&amp;_xlfn.MAXIFS(m_row,m_teacher,AE$4,m_date,($G$2+17),m_active,1,m_start,"&lt;"&amp;840,m_end,"&gt;"&amp;780),INDEX(m_label,_xlfn.MAXIFS(m_row,m_teacher,AE$4,m_date,($G$2+17),m_active,1,m_start,"&lt;"&amp;840,m_end,"&gt;"&amp;780))))))</f>
        <v/>
      </c>
      <c r="AF42" s="88" t="str">
        <f aca="false">IF(OR(AF$4="",MONTH(($G$2+17))&lt;&gt;MONTH($C$2)),"",IF(COUNTIFS(m_teacher,AF$4,m_date,($G$2+17),m_active,1,m_start,"&lt;"&amp;840,m_end,"&gt;"&amp;780)=0,"",IF(COUNTIFS(m_teacher,AF$4,m_date,($G$2+17),m_active,1,m_start,"&lt;"&amp;840,m_end,"&gt;"&amp;780)&gt;1,"충돌",HYPERLINK("#'관리자_MASTER'!D"&amp;_xlfn.MAXIFS(m_row,m_teacher,AF$4,m_date,($G$2+17),m_active,1,m_start,"&lt;"&amp;840,m_end,"&gt;"&amp;780),INDEX(m_label,_xlfn.MAXIFS(m_row,m_teacher,AF$4,m_date,($G$2+17),m_active,1,m_start,"&lt;"&amp;840,m_end,"&gt;"&amp;780))))))</f>
        <v/>
      </c>
      <c r="AG42" s="88" t="str">
        <f aca="false">IF(OR(AG$4="",MONTH(($G$2+17))&lt;&gt;MONTH($C$2)),"",IF(COUNTIFS(m_teacher,AG$4,m_date,($G$2+17),m_active,1,m_start,"&lt;"&amp;840,m_end,"&gt;"&amp;780)=0,"",IF(COUNTIFS(m_teacher,AG$4,m_date,($G$2+17),m_active,1,m_start,"&lt;"&amp;840,m_end,"&gt;"&amp;780)&gt;1,"충돌",HYPERLINK("#'관리자_MASTER'!D"&amp;_xlfn.MAXIFS(m_row,m_teacher,AG$4,m_date,($G$2+17),m_active,1,m_start,"&lt;"&amp;840,m_end,"&gt;"&amp;780),INDEX(m_label,_xlfn.MAXIFS(m_row,m_teacher,AG$4,m_date,($G$2+17),m_active,1,m_start,"&lt;"&amp;840,m_end,"&gt;"&amp;780))))))</f>
        <v/>
      </c>
      <c r="AH42" s="88" t="str">
        <f aca="false">IF(OR(AH$4="",MONTH(($G$2+17))&lt;&gt;MONTH($C$2)),"",IF(COUNTIFS(m_teacher,AH$4,m_date,($G$2+17),m_active,1,m_start,"&lt;"&amp;840,m_end,"&gt;"&amp;780)=0,"",IF(COUNTIFS(m_teacher,AH$4,m_date,($G$2+17),m_active,1,m_start,"&lt;"&amp;840,m_end,"&gt;"&amp;780)&gt;1,"충돌",HYPERLINK("#'관리자_MASTER'!D"&amp;_xlfn.MAXIFS(m_row,m_teacher,AH$4,m_date,($G$2+17),m_active,1,m_start,"&lt;"&amp;840,m_end,"&gt;"&amp;780),INDEX(m_label,_xlfn.MAXIFS(m_row,m_teacher,AH$4,m_date,($G$2+17),m_active,1,m_start,"&lt;"&amp;840,m_end,"&gt;"&amp;780))))))</f>
        <v/>
      </c>
      <c r="AI42" s="88" t="str">
        <f aca="false">IF(OR(AI$4="",MONTH(($G$2+17))&lt;&gt;MONTH($C$2)),"",IF(COUNTIFS(m_teacher,AI$4,m_date,($G$2+17),m_active,1,m_start,"&lt;"&amp;840,m_end,"&gt;"&amp;780)=0,"",IF(COUNTIFS(m_teacher,AI$4,m_date,($G$2+17),m_active,1,m_start,"&lt;"&amp;840,m_end,"&gt;"&amp;780)&gt;1,"충돌",HYPERLINK("#'관리자_MASTER'!D"&amp;_xlfn.MAXIFS(m_row,m_teacher,AI$4,m_date,($G$2+17),m_active,1,m_start,"&lt;"&amp;840,m_end,"&gt;"&amp;780),INDEX(m_label,_xlfn.MAXIFS(m_row,m_teacher,AI$4,m_date,($G$2+17),m_active,1,m_start,"&lt;"&amp;840,m_end,"&gt;"&amp;780))))))</f>
        <v/>
      </c>
      <c r="AJ42" s="88" t="str">
        <f aca="false">IF(OR(AJ$4="",MONTH(($G$2+17))&lt;&gt;MONTH($C$2)),"",IF(COUNTIFS(m_teacher,AJ$4,m_date,($G$2+17),m_active,1,m_start,"&lt;"&amp;840,m_end,"&gt;"&amp;780)=0,"",IF(COUNTIFS(m_teacher,AJ$4,m_date,($G$2+17),m_active,1,m_start,"&lt;"&amp;840,m_end,"&gt;"&amp;780)&gt;1,"충돌",HYPERLINK("#'관리자_MASTER'!D"&amp;_xlfn.MAXIFS(m_row,m_teacher,AJ$4,m_date,($G$2+17),m_active,1,m_start,"&lt;"&amp;840,m_end,"&gt;"&amp;780),INDEX(m_label,_xlfn.MAXIFS(m_row,m_teacher,AJ$4,m_date,($G$2+17),m_active,1,m_start,"&lt;"&amp;840,m_end,"&gt;"&amp;780))))))</f>
        <v/>
      </c>
      <c r="AK42" s="88" t="str">
        <f aca="false">IF(OR(AK$4="",MONTH(($G$2+17))&lt;&gt;MONTH($C$2)),"",IF(COUNTIFS(m_teacher,AK$4,m_date,($G$2+17),m_active,1,m_start,"&lt;"&amp;840,m_end,"&gt;"&amp;780)=0,"",IF(COUNTIFS(m_teacher,AK$4,m_date,($G$2+17),m_active,1,m_start,"&lt;"&amp;840,m_end,"&gt;"&amp;780)&gt;1,"충돌",HYPERLINK("#'관리자_MASTER'!D"&amp;_xlfn.MAXIFS(m_row,m_teacher,AK$4,m_date,($G$2+17),m_active,1,m_start,"&lt;"&amp;840,m_end,"&gt;"&amp;780),INDEX(m_label,_xlfn.MAXIFS(m_row,m_teacher,AK$4,m_date,($G$2+17),m_active,1,m_start,"&lt;"&amp;840,m_end,"&gt;"&amp;780))))))</f>
        <v/>
      </c>
      <c r="AL42" s="88" t="str">
        <f aca="false">IF(OR(AL$4="",MONTH(($G$2+17))&lt;&gt;MONTH($C$2)),"",IF(COUNTIFS(m_teacher,AL$4,m_date,($G$2+17),m_active,1,m_start,"&lt;"&amp;840,m_end,"&gt;"&amp;780)=0,"",IF(COUNTIFS(m_teacher,AL$4,m_date,($G$2+17),m_active,1,m_start,"&lt;"&amp;840,m_end,"&gt;"&amp;780)&gt;1,"충돌",HYPERLINK("#'관리자_MASTER'!D"&amp;_xlfn.MAXIFS(m_row,m_teacher,AL$4,m_date,($G$2+17),m_active,1,m_start,"&lt;"&amp;840,m_end,"&gt;"&amp;780),INDEX(m_label,_xlfn.MAXIFS(m_row,m_teacher,AL$4,m_date,($G$2+17),m_active,1,m_start,"&lt;"&amp;840,m_end,"&gt;"&amp;780))))))</f>
        <v/>
      </c>
      <c r="AM42" s="88" t="str">
        <f aca="false">IF(OR(AM$4="",MONTH(($G$2+17))&lt;&gt;MONTH($C$2)),"",IF(COUNTIFS(m_teacher,AM$4,m_date,($G$2+17),m_active,1,m_start,"&lt;"&amp;840,m_end,"&gt;"&amp;780)=0,"",IF(COUNTIFS(m_teacher,AM$4,m_date,($G$2+17),m_active,1,m_start,"&lt;"&amp;840,m_end,"&gt;"&amp;780)&gt;1,"충돌",HYPERLINK("#'관리자_MASTER'!D"&amp;_xlfn.MAXIFS(m_row,m_teacher,AM$4,m_date,($G$2+17),m_active,1,m_start,"&lt;"&amp;840,m_end,"&gt;"&amp;780),INDEX(m_label,_xlfn.MAXIFS(m_row,m_teacher,AM$4,m_date,($G$2+17),m_active,1,m_start,"&lt;"&amp;840,m_end,"&gt;"&amp;780))))))</f>
        <v/>
      </c>
      <c r="AN42" s="88" t="str">
        <f aca="false">IF(OR(AN$4="",MONTH(($G$2+17))&lt;&gt;MONTH($C$2)),"",IF(COUNTIFS(m_teacher,AN$4,m_date,($G$2+17),m_active,1,m_start,"&lt;"&amp;840,m_end,"&gt;"&amp;780)=0,"",IF(COUNTIFS(m_teacher,AN$4,m_date,($G$2+17),m_active,1,m_start,"&lt;"&amp;840,m_end,"&gt;"&amp;780)&gt;1,"충돌",HYPERLINK("#'관리자_MASTER'!D"&amp;_xlfn.MAXIFS(m_row,m_teacher,AN$4,m_date,($G$2+17),m_active,1,m_start,"&lt;"&amp;840,m_end,"&gt;"&amp;780),INDEX(m_label,_xlfn.MAXIFS(m_row,m_teacher,AN$4,m_date,($G$2+17),m_active,1,m_start,"&lt;"&amp;840,m_end,"&gt;"&amp;780))))))</f>
        <v/>
      </c>
      <c r="AO42" s="88" t="str">
        <f aca="false">IF(OR(AO$4="",MONTH(($G$2+17))&lt;&gt;MONTH($C$2)),"",IF(COUNTIFS(m_teacher,AO$4,m_date,($G$2+17),m_active,1,m_start,"&lt;"&amp;840,m_end,"&gt;"&amp;780)=0,"",IF(COUNTIFS(m_teacher,AO$4,m_date,($G$2+17),m_active,1,m_start,"&lt;"&amp;840,m_end,"&gt;"&amp;780)&gt;1,"충돌",HYPERLINK("#'관리자_MASTER'!D"&amp;_xlfn.MAXIFS(m_row,m_teacher,AO$4,m_date,($G$2+17),m_active,1,m_start,"&lt;"&amp;840,m_end,"&gt;"&amp;780),INDEX(m_label,_xlfn.MAXIFS(m_row,m_teacher,AO$4,m_date,($G$2+17),m_active,1,m_start,"&lt;"&amp;840,m_end,"&gt;"&amp;780))))))</f>
        <v/>
      </c>
      <c r="AP42" s="88" t="str">
        <f aca="false">IF(OR(AP$4="",MONTH(($G$2+17))&lt;&gt;MONTH($C$2)),"",IF(COUNTIFS(m_teacher,AP$4,m_date,($G$2+17),m_active,1,m_start,"&lt;"&amp;840,m_end,"&gt;"&amp;780)=0,"",IF(COUNTIFS(m_teacher,AP$4,m_date,($G$2+17),m_active,1,m_start,"&lt;"&amp;840,m_end,"&gt;"&amp;780)&gt;1,"충돌",HYPERLINK("#'관리자_MASTER'!D"&amp;_xlfn.MAXIFS(m_row,m_teacher,AP$4,m_date,($G$2+17),m_active,1,m_start,"&lt;"&amp;840,m_end,"&gt;"&amp;780),INDEX(m_label,_xlfn.MAXIFS(m_row,m_teacher,AP$4,m_date,($G$2+17),m_active,1,m_start,"&lt;"&amp;840,m_end,"&gt;"&amp;780))))))</f>
        <v/>
      </c>
      <c r="AQ42" s="78"/>
      <c r="AR42" s="79" t="s">
        <v>95</v>
      </c>
      <c r="AS42" s="88" t="str">
        <f aca="false">IF(OR(AS$4="",MONTH(($G$2+24))&lt;&gt;MONTH($C$2)),"",IF(COUNTIFS(m_teacher,AS$4,m_date,($G$2+24),m_active,1,m_start,"&lt;"&amp;840,m_end,"&gt;"&amp;780)=0,"",IF(COUNTIFS(m_teacher,AS$4,m_date,($G$2+24),m_active,1,m_start,"&lt;"&amp;840,m_end,"&gt;"&amp;780)&gt;1,"충돌",HYPERLINK("#'관리자_MASTER'!D"&amp;_xlfn.MAXIFS(m_row,m_teacher,AS$4,m_date,($G$2+24),m_active,1,m_start,"&lt;"&amp;840,m_end,"&gt;"&amp;780),INDEX(m_label,_xlfn.MAXIFS(m_row,m_teacher,AS$4,m_date,($G$2+24),m_active,1,m_start,"&lt;"&amp;840,m_end,"&gt;"&amp;780))))))</f>
        <v/>
      </c>
      <c r="AT42" s="88" t="str">
        <f aca="false">IF(OR(AT$4="",MONTH(($G$2+24))&lt;&gt;MONTH($C$2)),"",IF(COUNTIFS(m_teacher,AT$4,m_date,($G$2+24),m_active,1,m_start,"&lt;"&amp;840,m_end,"&gt;"&amp;780)=0,"",IF(COUNTIFS(m_teacher,AT$4,m_date,($G$2+24),m_active,1,m_start,"&lt;"&amp;840,m_end,"&gt;"&amp;780)&gt;1,"충돌",HYPERLINK("#'관리자_MASTER'!D"&amp;_xlfn.MAXIFS(m_row,m_teacher,AT$4,m_date,($G$2+24),m_active,1,m_start,"&lt;"&amp;840,m_end,"&gt;"&amp;780),INDEX(m_label,_xlfn.MAXIFS(m_row,m_teacher,AT$4,m_date,($G$2+24),m_active,1,m_start,"&lt;"&amp;840,m_end,"&gt;"&amp;780))))))</f>
        <v/>
      </c>
      <c r="AU42" s="88" t="str">
        <f aca="false">IF(OR(AU$4="",MONTH(($G$2+24))&lt;&gt;MONTH($C$2)),"",IF(COUNTIFS(m_teacher,AU$4,m_date,($G$2+24),m_active,1,m_start,"&lt;"&amp;840,m_end,"&gt;"&amp;780)=0,"",IF(COUNTIFS(m_teacher,AU$4,m_date,($G$2+24),m_active,1,m_start,"&lt;"&amp;840,m_end,"&gt;"&amp;780)&gt;1,"충돌",HYPERLINK("#'관리자_MASTER'!D"&amp;_xlfn.MAXIFS(m_row,m_teacher,AU$4,m_date,($G$2+24),m_active,1,m_start,"&lt;"&amp;840,m_end,"&gt;"&amp;780),INDEX(m_label,_xlfn.MAXIFS(m_row,m_teacher,AU$4,m_date,($G$2+24),m_active,1,m_start,"&lt;"&amp;840,m_end,"&gt;"&amp;780))))))</f>
        <v/>
      </c>
      <c r="AV42" s="88" t="str">
        <f aca="false">IF(OR(AV$4="",MONTH(($G$2+24))&lt;&gt;MONTH($C$2)),"",IF(COUNTIFS(m_teacher,AV$4,m_date,($G$2+24),m_active,1,m_start,"&lt;"&amp;840,m_end,"&gt;"&amp;780)=0,"",IF(COUNTIFS(m_teacher,AV$4,m_date,($G$2+24),m_active,1,m_start,"&lt;"&amp;840,m_end,"&gt;"&amp;780)&gt;1,"충돌",HYPERLINK("#'관리자_MASTER'!D"&amp;_xlfn.MAXIFS(m_row,m_teacher,AV$4,m_date,($G$2+24),m_active,1,m_start,"&lt;"&amp;840,m_end,"&gt;"&amp;780),INDEX(m_label,_xlfn.MAXIFS(m_row,m_teacher,AV$4,m_date,($G$2+24),m_active,1,m_start,"&lt;"&amp;840,m_end,"&gt;"&amp;780))))))</f>
        <v/>
      </c>
      <c r="AW42" s="88" t="str">
        <f aca="false">IF(OR(AW$4="",MONTH(($G$2+24))&lt;&gt;MONTH($C$2)),"",IF(COUNTIFS(m_teacher,AW$4,m_date,($G$2+24),m_active,1,m_start,"&lt;"&amp;840,m_end,"&gt;"&amp;780)=0,"",IF(COUNTIFS(m_teacher,AW$4,m_date,($G$2+24),m_active,1,m_start,"&lt;"&amp;840,m_end,"&gt;"&amp;780)&gt;1,"충돌",HYPERLINK("#'관리자_MASTER'!D"&amp;_xlfn.MAXIFS(m_row,m_teacher,AW$4,m_date,($G$2+24),m_active,1,m_start,"&lt;"&amp;840,m_end,"&gt;"&amp;780),INDEX(m_label,_xlfn.MAXIFS(m_row,m_teacher,AW$4,m_date,($G$2+24),m_active,1,m_start,"&lt;"&amp;840,m_end,"&gt;"&amp;780))))))</f>
        <v/>
      </c>
      <c r="AX42" s="88" t="str">
        <f aca="false">IF(OR(AX$4="",MONTH(($G$2+24))&lt;&gt;MONTH($C$2)),"",IF(COUNTIFS(m_teacher,AX$4,m_date,($G$2+24),m_active,1,m_start,"&lt;"&amp;840,m_end,"&gt;"&amp;780)=0,"",IF(COUNTIFS(m_teacher,AX$4,m_date,($G$2+24),m_active,1,m_start,"&lt;"&amp;840,m_end,"&gt;"&amp;780)&gt;1,"충돌",HYPERLINK("#'관리자_MASTER'!D"&amp;_xlfn.MAXIFS(m_row,m_teacher,AX$4,m_date,($G$2+24),m_active,1,m_start,"&lt;"&amp;840,m_end,"&gt;"&amp;780),INDEX(m_label,_xlfn.MAXIFS(m_row,m_teacher,AX$4,m_date,($G$2+24),m_active,1,m_start,"&lt;"&amp;840,m_end,"&gt;"&amp;780))))))</f>
        <v/>
      </c>
      <c r="AY42" s="88" t="str">
        <f aca="false">IF(OR(AY$4="",MONTH(($G$2+24))&lt;&gt;MONTH($C$2)),"",IF(COUNTIFS(m_teacher,AY$4,m_date,($G$2+24),m_active,1,m_start,"&lt;"&amp;840,m_end,"&gt;"&amp;780)=0,"",IF(COUNTIFS(m_teacher,AY$4,m_date,($G$2+24),m_active,1,m_start,"&lt;"&amp;840,m_end,"&gt;"&amp;780)&gt;1,"충돌",HYPERLINK("#'관리자_MASTER'!D"&amp;_xlfn.MAXIFS(m_row,m_teacher,AY$4,m_date,($G$2+24),m_active,1,m_start,"&lt;"&amp;840,m_end,"&gt;"&amp;780),INDEX(m_label,_xlfn.MAXIFS(m_row,m_teacher,AY$4,m_date,($G$2+24),m_active,1,m_start,"&lt;"&amp;840,m_end,"&gt;"&amp;780))))))</f>
        <v/>
      </c>
      <c r="AZ42" s="88" t="str">
        <f aca="false">IF(OR(AZ$4="",MONTH(($G$2+24))&lt;&gt;MONTH($C$2)),"",IF(COUNTIFS(m_teacher,AZ$4,m_date,($G$2+24),m_active,1,m_start,"&lt;"&amp;840,m_end,"&gt;"&amp;780)=0,"",IF(COUNTIFS(m_teacher,AZ$4,m_date,($G$2+24),m_active,1,m_start,"&lt;"&amp;840,m_end,"&gt;"&amp;780)&gt;1,"충돌",HYPERLINK("#'관리자_MASTER'!D"&amp;_xlfn.MAXIFS(m_row,m_teacher,AZ$4,m_date,($G$2+24),m_active,1,m_start,"&lt;"&amp;840,m_end,"&gt;"&amp;780),INDEX(m_label,_xlfn.MAXIFS(m_row,m_teacher,AZ$4,m_date,($G$2+24),m_active,1,m_start,"&lt;"&amp;840,m_end,"&gt;"&amp;780))))))</f>
        <v/>
      </c>
      <c r="BA42" s="88" t="str">
        <f aca="false">IF(OR(BA$4="",MONTH(($G$2+24))&lt;&gt;MONTH($C$2)),"",IF(COUNTIFS(m_teacher,BA$4,m_date,($G$2+24),m_active,1,m_start,"&lt;"&amp;840,m_end,"&gt;"&amp;780)=0,"",IF(COUNTIFS(m_teacher,BA$4,m_date,($G$2+24),m_active,1,m_start,"&lt;"&amp;840,m_end,"&gt;"&amp;780)&gt;1,"충돌",HYPERLINK("#'관리자_MASTER'!D"&amp;_xlfn.MAXIFS(m_row,m_teacher,BA$4,m_date,($G$2+24),m_active,1,m_start,"&lt;"&amp;840,m_end,"&gt;"&amp;780),INDEX(m_label,_xlfn.MAXIFS(m_row,m_teacher,BA$4,m_date,($G$2+24),m_active,1,m_start,"&lt;"&amp;840,m_end,"&gt;"&amp;780))))))</f>
        <v/>
      </c>
      <c r="BB42" s="88" t="str">
        <f aca="false">IF(OR(BB$4="",MONTH(($G$2+24))&lt;&gt;MONTH($C$2)),"",IF(COUNTIFS(m_teacher,BB$4,m_date,($G$2+24),m_active,1,m_start,"&lt;"&amp;840,m_end,"&gt;"&amp;780)=0,"",IF(COUNTIFS(m_teacher,BB$4,m_date,($G$2+24),m_active,1,m_start,"&lt;"&amp;840,m_end,"&gt;"&amp;780)&gt;1,"충돌",HYPERLINK("#'관리자_MASTER'!D"&amp;_xlfn.MAXIFS(m_row,m_teacher,BB$4,m_date,($G$2+24),m_active,1,m_start,"&lt;"&amp;840,m_end,"&gt;"&amp;780),INDEX(m_label,_xlfn.MAXIFS(m_row,m_teacher,BB$4,m_date,($G$2+24),m_active,1,m_start,"&lt;"&amp;840,m_end,"&gt;"&amp;780))))))</f>
        <v/>
      </c>
      <c r="BC42" s="88" t="str">
        <f aca="false">IF(OR(BC$4="",MONTH(($G$2+24))&lt;&gt;MONTH($C$2)),"",IF(COUNTIFS(m_teacher,BC$4,m_date,($G$2+24),m_active,1,m_start,"&lt;"&amp;840,m_end,"&gt;"&amp;780)=0,"",IF(COUNTIFS(m_teacher,BC$4,m_date,($G$2+24),m_active,1,m_start,"&lt;"&amp;840,m_end,"&gt;"&amp;780)&gt;1,"충돌",HYPERLINK("#'관리자_MASTER'!D"&amp;_xlfn.MAXIFS(m_row,m_teacher,BC$4,m_date,($G$2+24),m_active,1,m_start,"&lt;"&amp;840,m_end,"&gt;"&amp;780),INDEX(m_label,_xlfn.MAXIFS(m_row,m_teacher,BC$4,m_date,($G$2+24),m_active,1,m_start,"&lt;"&amp;840,m_end,"&gt;"&amp;780))))))</f>
        <v/>
      </c>
      <c r="BD42" s="88" t="str">
        <f aca="false">IF(OR(BD$4="",MONTH(($G$2+24))&lt;&gt;MONTH($C$2)),"",IF(COUNTIFS(m_teacher,BD$4,m_date,($G$2+24),m_active,1,m_start,"&lt;"&amp;840,m_end,"&gt;"&amp;780)=0,"",IF(COUNTIFS(m_teacher,BD$4,m_date,($G$2+24),m_active,1,m_start,"&lt;"&amp;840,m_end,"&gt;"&amp;780)&gt;1,"충돌",HYPERLINK("#'관리자_MASTER'!D"&amp;_xlfn.MAXIFS(m_row,m_teacher,BD$4,m_date,($G$2+24),m_active,1,m_start,"&lt;"&amp;840,m_end,"&gt;"&amp;780),INDEX(m_label,_xlfn.MAXIFS(m_row,m_teacher,BD$4,m_date,($G$2+24),m_active,1,m_start,"&lt;"&amp;840,m_end,"&gt;"&amp;780))))))</f>
        <v/>
      </c>
      <c r="BE42" s="78"/>
      <c r="BF42" s="79" t="s">
        <v>95</v>
      </c>
      <c r="BG42" s="88" t="str">
        <f aca="false">IF(OR(BG$4="",MONTH(($G$2+31))&lt;&gt;MONTH($C$2)),"",IF(COUNTIFS(m_teacher,BG$4,m_date,($G$2+31),m_active,1,m_start,"&lt;"&amp;840,m_end,"&gt;"&amp;780)=0,"",IF(COUNTIFS(m_teacher,BG$4,m_date,($G$2+31),m_active,1,m_start,"&lt;"&amp;840,m_end,"&gt;"&amp;780)&gt;1,"충돌",HYPERLINK("#'관리자_MASTER'!D"&amp;_xlfn.MAXIFS(m_row,m_teacher,BG$4,m_date,($G$2+31),m_active,1,m_start,"&lt;"&amp;840,m_end,"&gt;"&amp;780),INDEX(m_label,_xlfn.MAXIFS(m_row,m_teacher,BG$4,m_date,($G$2+31),m_active,1,m_start,"&lt;"&amp;840,m_end,"&gt;"&amp;780))))))</f>
        <v/>
      </c>
      <c r="BH42" s="88" t="str">
        <f aca="false">IF(OR(BH$4="",MONTH(($G$2+31))&lt;&gt;MONTH($C$2)),"",IF(COUNTIFS(m_teacher,BH$4,m_date,($G$2+31),m_active,1,m_start,"&lt;"&amp;840,m_end,"&gt;"&amp;780)=0,"",IF(COUNTIFS(m_teacher,BH$4,m_date,($G$2+31),m_active,1,m_start,"&lt;"&amp;840,m_end,"&gt;"&amp;780)&gt;1,"충돌",HYPERLINK("#'관리자_MASTER'!D"&amp;_xlfn.MAXIFS(m_row,m_teacher,BH$4,m_date,($G$2+31),m_active,1,m_start,"&lt;"&amp;840,m_end,"&gt;"&amp;780),INDEX(m_label,_xlfn.MAXIFS(m_row,m_teacher,BH$4,m_date,($G$2+31),m_active,1,m_start,"&lt;"&amp;840,m_end,"&gt;"&amp;780))))))</f>
        <v/>
      </c>
      <c r="BI42" s="88" t="str">
        <f aca="false">IF(OR(BI$4="",MONTH(($G$2+31))&lt;&gt;MONTH($C$2)),"",IF(COUNTIFS(m_teacher,BI$4,m_date,($G$2+31),m_active,1,m_start,"&lt;"&amp;840,m_end,"&gt;"&amp;780)=0,"",IF(COUNTIFS(m_teacher,BI$4,m_date,($G$2+31),m_active,1,m_start,"&lt;"&amp;840,m_end,"&gt;"&amp;780)&gt;1,"충돌",HYPERLINK("#'관리자_MASTER'!D"&amp;_xlfn.MAXIFS(m_row,m_teacher,BI$4,m_date,($G$2+31),m_active,1,m_start,"&lt;"&amp;840,m_end,"&gt;"&amp;780),INDEX(m_label,_xlfn.MAXIFS(m_row,m_teacher,BI$4,m_date,($G$2+31),m_active,1,m_start,"&lt;"&amp;840,m_end,"&gt;"&amp;780))))))</f>
        <v/>
      </c>
      <c r="BJ42" s="88" t="str">
        <f aca="false">IF(OR(BJ$4="",MONTH(($G$2+31))&lt;&gt;MONTH($C$2)),"",IF(COUNTIFS(m_teacher,BJ$4,m_date,($G$2+31),m_active,1,m_start,"&lt;"&amp;840,m_end,"&gt;"&amp;780)=0,"",IF(COUNTIFS(m_teacher,BJ$4,m_date,($G$2+31),m_active,1,m_start,"&lt;"&amp;840,m_end,"&gt;"&amp;780)&gt;1,"충돌",HYPERLINK("#'관리자_MASTER'!D"&amp;_xlfn.MAXIFS(m_row,m_teacher,BJ$4,m_date,($G$2+31),m_active,1,m_start,"&lt;"&amp;840,m_end,"&gt;"&amp;780),INDEX(m_label,_xlfn.MAXIFS(m_row,m_teacher,BJ$4,m_date,($G$2+31),m_active,1,m_start,"&lt;"&amp;840,m_end,"&gt;"&amp;780))))))</f>
        <v/>
      </c>
      <c r="BK42" s="88" t="str">
        <f aca="false">IF(OR(BK$4="",MONTH(($G$2+31))&lt;&gt;MONTH($C$2)),"",IF(COUNTIFS(m_teacher,BK$4,m_date,($G$2+31),m_active,1,m_start,"&lt;"&amp;840,m_end,"&gt;"&amp;780)=0,"",IF(COUNTIFS(m_teacher,BK$4,m_date,($G$2+31),m_active,1,m_start,"&lt;"&amp;840,m_end,"&gt;"&amp;780)&gt;1,"충돌",HYPERLINK("#'관리자_MASTER'!D"&amp;_xlfn.MAXIFS(m_row,m_teacher,BK$4,m_date,($G$2+31),m_active,1,m_start,"&lt;"&amp;840,m_end,"&gt;"&amp;780),INDEX(m_label,_xlfn.MAXIFS(m_row,m_teacher,BK$4,m_date,($G$2+31),m_active,1,m_start,"&lt;"&amp;840,m_end,"&gt;"&amp;780))))))</f>
        <v/>
      </c>
      <c r="BL42" s="88" t="str">
        <f aca="false">IF(OR(BL$4="",MONTH(($G$2+31))&lt;&gt;MONTH($C$2)),"",IF(COUNTIFS(m_teacher,BL$4,m_date,($G$2+31),m_active,1,m_start,"&lt;"&amp;840,m_end,"&gt;"&amp;780)=0,"",IF(COUNTIFS(m_teacher,BL$4,m_date,($G$2+31),m_active,1,m_start,"&lt;"&amp;840,m_end,"&gt;"&amp;780)&gt;1,"충돌",HYPERLINK("#'관리자_MASTER'!D"&amp;_xlfn.MAXIFS(m_row,m_teacher,BL$4,m_date,($G$2+31),m_active,1,m_start,"&lt;"&amp;840,m_end,"&gt;"&amp;780),INDEX(m_label,_xlfn.MAXIFS(m_row,m_teacher,BL$4,m_date,($G$2+31),m_active,1,m_start,"&lt;"&amp;840,m_end,"&gt;"&amp;780))))))</f>
        <v/>
      </c>
      <c r="BM42" s="88" t="str">
        <f aca="false">IF(OR(BM$4="",MONTH(($G$2+31))&lt;&gt;MONTH($C$2)),"",IF(COUNTIFS(m_teacher,BM$4,m_date,($G$2+31),m_active,1,m_start,"&lt;"&amp;840,m_end,"&gt;"&amp;780)=0,"",IF(COUNTIFS(m_teacher,BM$4,m_date,($G$2+31),m_active,1,m_start,"&lt;"&amp;840,m_end,"&gt;"&amp;780)&gt;1,"충돌",HYPERLINK("#'관리자_MASTER'!D"&amp;_xlfn.MAXIFS(m_row,m_teacher,BM$4,m_date,($G$2+31),m_active,1,m_start,"&lt;"&amp;840,m_end,"&gt;"&amp;780),INDEX(m_label,_xlfn.MAXIFS(m_row,m_teacher,BM$4,m_date,($G$2+31),m_active,1,m_start,"&lt;"&amp;840,m_end,"&gt;"&amp;780))))))</f>
        <v/>
      </c>
      <c r="BN42" s="88" t="str">
        <f aca="false">IF(OR(BN$4="",MONTH(($G$2+31))&lt;&gt;MONTH($C$2)),"",IF(COUNTIFS(m_teacher,BN$4,m_date,($G$2+31),m_active,1,m_start,"&lt;"&amp;840,m_end,"&gt;"&amp;780)=0,"",IF(COUNTIFS(m_teacher,BN$4,m_date,($G$2+31),m_active,1,m_start,"&lt;"&amp;840,m_end,"&gt;"&amp;780)&gt;1,"충돌",HYPERLINK("#'관리자_MASTER'!D"&amp;_xlfn.MAXIFS(m_row,m_teacher,BN$4,m_date,($G$2+31),m_active,1,m_start,"&lt;"&amp;840,m_end,"&gt;"&amp;780),INDEX(m_label,_xlfn.MAXIFS(m_row,m_teacher,BN$4,m_date,($G$2+31),m_active,1,m_start,"&lt;"&amp;840,m_end,"&gt;"&amp;780))))))</f>
        <v/>
      </c>
      <c r="BO42" s="88" t="str">
        <f aca="false">IF(OR(BO$4="",MONTH(($G$2+31))&lt;&gt;MONTH($C$2)),"",IF(COUNTIFS(m_teacher,BO$4,m_date,($G$2+31),m_active,1,m_start,"&lt;"&amp;840,m_end,"&gt;"&amp;780)=0,"",IF(COUNTIFS(m_teacher,BO$4,m_date,($G$2+31),m_active,1,m_start,"&lt;"&amp;840,m_end,"&gt;"&amp;780)&gt;1,"충돌",HYPERLINK("#'관리자_MASTER'!D"&amp;_xlfn.MAXIFS(m_row,m_teacher,BO$4,m_date,($G$2+31),m_active,1,m_start,"&lt;"&amp;840,m_end,"&gt;"&amp;780),INDEX(m_label,_xlfn.MAXIFS(m_row,m_teacher,BO$4,m_date,($G$2+31),m_active,1,m_start,"&lt;"&amp;840,m_end,"&gt;"&amp;780))))))</f>
        <v/>
      </c>
      <c r="BP42" s="88" t="str">
        <f aca="false">IF(OR(BP$4="",MONTH(($G$2+31))&lt;&gt;MONTH($C$2)),"",IF(COUNTIFS(m_teacher,BP$4,m_date,($G$2+31),m_active,1,m_start,"&lt;"&amp;840,m_end,"&gt;"&amp;780)=0,"",IF(COUNTIFS(m_teacher,BP$4,m_date,($G$2+31),m_active,1,m_start,"&lt;"&amp;840,m_end,"&gt;"&amp;780)&gt;1,"충돌",HYPERLINK("#'관리자_MASTER'!D"&amp;_xlfn.MAXIFS(m_row,m_teacher,BP$4,m_date,($G$2+31),m_active,1,m_start,"&lt;"&amp;840,m_end,"&gt;"&amp;780),INDEX(m_label,_xlfn.MAXIFS(m_row,m_teacher,BP$4,m_date,($G$2+31),m_active,1,m_start,"&lt;"&amp;840,m_end,"&gt;"&amp;780))))))</f>
        <v/>
      </c>
      <c r="BQ42" s="88" t="str">
        <f aca="false">IF(OR(BQ$4="",MONTH(($G$2+31))&lt;&gt;MONTH($C$2)),"",IF(COUNTIFS(m_teacher,BQ$4,m_date,($G$2+31),m_active,1,m_start,"&lt;"&amp;840,m_end,"&gt;"&amp;780)=0,"",IF(COUNTIFS(m_teacher,BQ$4,m_date,($G$2+31),m_active,1,m_start,"&lt;"&amp;840,m_end,"&gt;"&amp;780)&gt;1,"충돌",HYPERLINK("#'관리자_MASTER'!D"&amp;_xlfn.MAXIFS(m_row,m_teacher,BQ$4,m_date,($G$2+31),m_active,1,m_start,"&lt;"&amp;840,m_end,"&gt;"&amp;780),INDEX(m_label,_xlfn.MAXIFS(m_row,m_teacher,BQ$4,m_date,($G$2+31),m_active,1,m_start,"&lt;"&amp;840,m_end,"&gt;"&amp;780))))))</f>
        <v/>
      </c>
      <c r="BR42" s="88" t="str">
        <f aca="false">IF(OR(BR$4="",MONTH(($G$2+31))&lt;&gt;MONTH($C$2)),"",IF(COUNTIFS(m_teacher,BR$4,m_date,($G$2+31),m_active,1,m_start,"&lt;"&amp;840,m_end,"&gt;"&amp;780)=0,"",IF(COUNTIFS(m_teacher,BR$4,m_date,($G$2+31),m_active,1,m_start,"&lt;"&amp;840,m_end,"&gt;"&amp;780)&gt;1,"충돌",HYPERLINK("#'관리자_MASTER'!D"&amp;_xlfn.MAXIFS(m_row,m_teacher,BR$4,m_date,($G$2+31),m_active,1,m_start,"&lt;"&amp;840,m_end,"&gt;"&amp;780),INDEX(m_label,_xlfn.MAXIFS(m_row,m_teacher,BR$4,m_date,($G$2+31),m_active,1,m_start,"&lt;"&amp;840,m_end,"&gt;"&amp;780))))))</f>
        <v/>
      </c>
    </row>
    <row r="43" customFormat="false" ht="19.5" hidden="false" customHeight="true" outlineLevel="0" collapsed="false">
      <c r="A43" s="78"/>
      <c r="B43" s="79" t="s">
        <v>96</v>
      </c>
      <c r="C43" s="88" t="str">
        <f aca="false">IF(OR(C$4="",MONTH(($G$2+3))&lt;&gt;MONTH($C$2)),"",IF(COUNTIFS(m_teacher,C$4,m_date,($G$2+3),m_active,1,m_start,"&lt;"&amp;900,m_end,"&gt;"&amp;840)=0,"",IF(COUNTIFS(m_teacher,C$4,m_date,($G$2+3),m_active,1,m_start,"&lt;"&amp;900,m_end,"&gt;"&amp;840)&gt;1,"충돌",HYPERLINK("#'관리자_MASTER'!D"&amp;_xlfn.MAXIFS(m_row,m_teacher,C$4,m_date,($G$2+3),m_active,1,m_start,"&lt;"&amp;900,m_end,"&gt;"&amp;840),INDEX(m_label,_xlfn.MAXIFS(m_row,m_teacher,C$4,m_date,($G$2+3),m_active,1,m_start,"&lt;"&amp;900,m_end,"&gt;"&amp;840))))))</f>
        <v/>
      </c>
      <c r="D43" s="88" t="str">
        <f aca="false">IF(OR(D$4="",MONTH(($G$2+3))&lt;&gt;MONTH($C$2)),"",IF(COUNTIFS(m_teacher,D$4,m_date,($G$2+3),m_active,1,m_start,"&lt;"&amp;900,m_end,"&gt;"&amp;840)=0,"",IF(COUNTIFS(m_teacher,D$4,m_date,($G$2+3),m_active,1,m_start,"&lt;"&amp;900,m_end,"&gt;"&amp;840)&gt;1,"충돌",HYPERLINK("#'관리자_MASTER'!D"&amp;_xlfn.MAXIFS(m_row,m_teacher,D$4,m_date,($G$2+3),m_active,1,m_start,"&lt;"&amp;900,m_end,"&gt;"&amp;840),INDEX(m_label,_xlfn.MAXIFS(m_row,m_teacher,D$4,m_date,($G$2+3),m_active,1,m_start,"&lt;"&amp;900,m_end,"&gt;"&amp;840))))))</f>
        <v/>
      </c>
      <c r="E43" s="88" t="str">
        <f aca="false">IF(OR(E$4="",MONTH(($G$2+3))&lt;&gt;MONTH($C$2)),"",IF(COUNTIFS(m_teacher,E$4,m_date,($G$2+3),m_active,1,m_start,"&lt;"&amp;900,m_end,"&gt;"&amp;840)=0,"",IF(COUNTIFS(m_teacher,E$4,m_date,($G$2+3),m_active,1,m_start,"&lt;"&amp;900,m_end,"&gt;"&amp;840)&gt;1,"충돌",HYPERLINK("#'관리자_MASTER'!D"&amp;_xlfn.MAXIFS(m_row,m_teacher,E$4,m_date,($G$2+3),m_active,1,m_start,"&lt;"&amp;900,m_end,"&gt;"&amp;840),INDEX(m_label,_xlfn.MAXIFS(m_row,m_teacher,E$4,m_date,($G$2+3),m_active,1,m_start,"&lt;"&amp;900,m_end,"&gt;"&amp;840))))))</f>
        <v/>
      </c>
      <c r="F43" s="88" t="str">
        <f aca="false">IF(OR(F$4="",MONTH(($G$2+3))&lt;&gt;MONTH($C$2)),"",IF(COUNTIFS(m_teacher,F$4,m_date,($G$2+3),m_active,1,m_start,"&lt;"&amp;900,m_end,"&gt;"&amp;840)=0,"",IF(COUNTIFS(m_teacher,F$4,m_date,($G$2+3),m_active,1,m_start,"&lt;"&amp;900,m_end,"&gt;"&amp;840)&gt;1,"충돌",HYPERLINK("#'관리자_MASTER'!D"&amp;_xlfn.MAXIFS(m_row,m_teacher,F$4,m_date,($G$2+3),m_active,1,m_start,"&lt;"&amp;900,m_end,"&gt;"&amp;840),INDEX(m_label,_xlfn.MAXIFS(m_row,m_teacher,F$4,m_date,($G$2+3),m_active,1,m_start,"&lt;"&amp;900,m_end,"&gt;"&amp;840))))))</f>
        <v/>
      </c>
      <c r="G43" s="88" t="str">
        <f aca="false">IF(OR(G$4="",MONTH(($G$2+3))&lt;&gt;MONTH($C$2)),"",IF(COUNTIFS(m_teacher,G$4,m_date,($G$2+3),m_active,1,m_start,"&lt;"&amp;900,m_end,"&gt;"&amp;840)=0,"",IF(COUNTIFS(m_teacher,G$4,m_date,($G$2+3),m_active,1,m_start,"&lt;"&amp;900,m_end,"&gt;"&amp;840)&gt;1,"충돌",HYPERLINK("#'관리자_MASTER'!D"&amp;_xlfn.MAXIFS(m_row,m_teacher,G$4,m_date,($G$2+3),m_active,1,m_start,"&lt;"&amp;900,m_end,"&gt;"&amp;840),INDEX(m_label,_xlfn.MAXIFS(m_row,m_teacher,G$4,m_date,($G$2+3),m_active,1,m_start,"&lt;"&amp;900,m_end,"&gt;"&amp;840))))))</f>
        <v/>
      </c>
      <c r="H43" s="88" t="str">
        <f aca="false">IF(OR(H$4="",MONTH(($G$2+3))&lt;&gt;MONTH($C$2)),"",IF(COUNTIFS(m_teacher,H$4,m_date,($G$2+3),m_active,1,m_start,"&lt;"&amp;900,m_end,"&gt;"&amp;840)=0,"",IF(COUNTIFS(m_teacher,H$4,m_date,($G$2+3),m_active,1,m_start,"&lt;"&amp;900,m_end,"&gt;"&amp;840)&gt;1,"충돌",HYPERLINK("#'관리자_MASTER'!D"&amp;_xlfn.MAXIFS(m_row,m_teacher,H$4,m_date,($G$2+3),m_active,1,m_start,"&lt;"&amp;900,m_end,"&gt;"&amp;840),INDEX(m_label,_xlfn.MAXIFS(m_row,m_teacher,H$4,m_date,($G$2+3),m_active,1,m_start,"&lt;"&amp;900,m_end,"&gt;"&amp;840))))))</f>
        <v/>
      </c>
      <c r="I43" s="88" t="str">
        <f aca="false">IF(OR(I$4="",MONTH(($G$2+3))&lt;&gt;MONTH($C$2)),"",IF(COUNTIFS(m_teacher,I$4,m_date,($G$2+3),m_active,1,m_start,"&lt;"&amp;900,m_end,"&gt;"&amp;840)=0,"",IF(COUNTIFS(m_teacher,I$4,m_date,($G$2+3),m_active,1,m_start,"&lt;"&amp;900,m_end,"&gt;"&amp;840)&gt;1,"충돌",HYPERLINK("#'관리자_MASTER'!D"&amp;_xlfn.MAXIFS(m_row,m_teacher,I$4,m_date,($G$2+3),m_active,1,m_start,"&lt;"&amp;900,m_end,"&gt;"&amp;840),INDEX(m_label,_xlfn.MAXIFS(m_row,m_teacher,I$4,m_date,($G$2+3),m_active,1,m_start,"&lt;"&amp;900,m_end,"&gt;"&amp;840))))))</f>
        <v/>
      </c>
      <c r="J43" s="88" t="str">
        <f aca="false">IF(OR(J$4="",MONTH(($G$2+3))&lt;&gt;MONTH($C$2)),"",IF(COUNTIFS(m_teacher,J$4,m_date,($G$2+3),m_active,1,m_start,"&lt;"&amp;900,m_end,"&gt;"&amp;840)=0,"",IF(COUNTIFS(m_teacher,J$4,m_date,($G$2+3),m_active,1,m_start,"&lt;"&amp;900,m_end,"&gt;"&amp;840)&gt;1,"충돌",HYPERLINK("#'관리자_MASTER'!D"&amp;_xlfn.MAXIFS(m_row,m_teacher,J$4,m_date,($G$2+3),m_active,1,m_start,"&lt;"&amp;900,m_end,"&gt;"&amp;840),INDEX(m_label,_xlfn.MAXIFS(m_row,m_teacher,J$4,m_date,($G$2+3),m_active,1,m_start,"&lt;"&amp;900,m_end,"&gt;"&amp;840))))))</f>
        <v/>
      </c>
      <c r="K43" s="88" t="str">
        <f aca="false">IF(OR(K$4="",MONTH(($G$2+3))&lt;&gt;MONTH($C$2)),"",IF(COUNTIFS(m_teacher,K$4,m_date,($G$2+3),m_active,1,m_start,"&lt;"&amp;900,m_end,"&gt;"&amp;840)=0,"",IF(COUNTIFS(m_teacher,K$4,m_date,($G$2+3),m_active,1,m_start,"&lt;"&amp;900,m_end,"&gt;"&amp;840)&gt;1,"충돌",HYPERLINK("#'관리자_MASTER'!D"&amp;_xlfn.MAXIFS(m_row,m_teacher,K$4,m_date,($G$2+3),m_active,1,m_start,"&lt;"&amp;900,m_end,"&gt;"&amp;840),INDEX(m_label,_xlfn.MAXIFS(m_row,m_teacher,K$4,m_date,($G$2+3),m_active,1,m_start,"&lt;"&amp;900,m_end,"&gt;"&amp;840))))))</f>
        <v/>
      </c>
      <c r="L43" s="88" t="str">
        <f aca="false">IF(OR(L$4="",MONTH(($G$2+3))&lt;&gt;MONTH($C$2)),"",IF(COUNTIFS(m_teacher,L$4,m_date,($G$2+3),m_active,1,m_start,"&lt;"&amp;900,m_end,"&gt;"&amp;840)=0,"",IF(COUNTIFS(m_teacher,L$4,m_date,($G$2+3),m_active,1,m_start,"&lt;"&amp;900,m_end,"&gt;"&amp;840)&gt;1,"충돌",HYPERLINK("#'관리자_MASTER'!D"&amp;_xlfn.MAXIFS(m_row,m_teacher,L$4,m_date,($G$2+3),m_active,1,m_start,"&lt;"&amp;900,m_end,"&gt;"&amp;840),INDEX(m_label,_xlfn.MAXIFS(m_row,m_teacher,L$4,m_date,($G$2+3),m_active,1,m_start,"&lt;"&amp;900,m_end,"&gt;"&amp;840))))))</f>
        <v/>
      </c>
      <c r="M43" s="88" t="str">
        <f aca="false">IF(OR(M$4="",MONTH(($G$2+3))&lt;&gt;MONTH($C$2)),"",IF(COUNTIFS(m_teacher,M$4,m_date,($G$2+3),m_active,1,m_start,"&lt;"&amp;900,m_end,"&gt;"&amp;840)=0,"",IF(COUNTIFS(m_teacher,M$4,m_date,($G$2+3),m_active,1,m_start,"&lt;"&amp;900,m_end,"&gt;"&amp;840)&gt;1,"충돌",HYPERLINK("#'관리자_MASTER'!D"&amp;_xlfn.MAXIFS(m_row,m_teacher,M$4,m_date,($G$2+3),m_active,1,m_start,"&lt;"&amp;900,m_end,"&gt;"&amp;840),INDEX(m_label,_xlfn.MAXIFS(m_row,m_teacher,M$4,m_date,($G$2+3),m_active,1,m_start,"&lt;"&amp;900,m_end,"&gt;"&amp;840))))))</f>
        <v/>
      </c>
      <c r="N43" s="88" t="str">
        <f aca="false">IF(OR(N$4="",MONTH(($G$2+3))&lt;&gt;MONTH($C$2)),"",IF(COUNTIFS(m_teacher,N$4,m_date,($G$2+3),m_active,1,m_start,"&lt;"&amp;900,m_end,"&gt;"&amp;840)=0,"",IF(COUNTIFS(m_teacher,N$4,m_date,($G$2+3),m_active,1,m_start,"&lt;"&amp;900,m_end,"&gt;"&amp;840)&gt;1,"충돌",HYPERLINK("#'관리자_MASTER'!D"&amp;_xlfn.MAXIFS(m_row,m_teacher,N$4,m_date,($G$2+3),m_active,1,m_start,"&lt;"&amp;900,m_end,"&gt;"&amp;840),INDEX(m_label,_xlfn.MAXIFS(m_row,m_teacher,N$4,m_date,($G$2+3),m_active,1,m_start,"&lt;"&amp;900,m_end,"&gt;"&amp;840))))))</f>
        <v/>
      </c>
      <c r="O43" s="78"/>
      <c r="P43" s="79" t="s">
        <v>96</v>
      </c>
      <c r="Q43" s="88" t="str">
        <f aca="false">IF(OR(Q$4="",MONTH(($G$2+10))&lt;&gt;MONTH($C$2)),"",IF(COUNTIFS(m_teacher,Q$4,m_date,($G$2+10),m_active,1,m_start,"&lt;"&amp;900,m_end,"&gt;"&amp;840)=0,"",IF(COUNTIFS(m_teacher,Q$4,m_date,($G$2+10),m_active,1,m_start,"&lt;"&amp;900,m_end,"&gt;"&amp;840)&gt;1,"충돌",HYPERLINK("#'관리자_MASTER'!D"&amp;_xlfn.MAXIFS(m_row,m_teacher,Q$4,m_date,($G$2+10),m_active,1,m_start,"&lt;"&amp;900,m_end,"&gt;"&amp;840),INDEX(m_label,_xlfn.MAXIFS(m_row,m_teacher,Q$4,m_date,($G$2+10),m_active,1,m_start,"&lt;"&amp;900,m_end,"&gt;"&amp;840))))))</f>
        <v/>
      </c>
      <c r="R43" s="88" t="str">
        <f aca="false">IF(OR(R$4="",MONTH(($G$2+10))&lt;&gt;MONTH($C$2)),"",IF(COUNTIFS(m_teacher,R$4,m_date,($G$2+10),m_active,1,m_start,"&lt;"&amp;900,m_end,"&gt;"&amp;840)=0,"",IF(COUNTIFS(m_teacher,R$4,m_date,($G$2+10),m_active,1,m_start,"&lt;"&amp;900,m_end,"&gt;"&amp;840)&gt;1,"충돌",HYPERLINK("#'관리자_MASTER'!D"&amp;_xlfn.MAXIFS(m_row,m_teacher,R$4,m_date,($G$2+10),m_active,1,m_start,"&lt;"&amp;900,m_end,"&gt;"&amp;840),INDEX(m_label,_xlfn.MAXIFS(m_row,m_teacher,R$4,m_date,($G$2+10),m_active,1,m_start,"&lt;"&amp;900,m_end,"&gt;"&amp;840))))))</f>
        <v/>
      </c>
      <c r="S43" s="88" t="str">
        <f aca="false">IF(OR(S$4="",MONTH(($G$2+10))&lt;&gt;MONTH($C$2)),"",IF(COUNTIFS(m_teacher,S$4,m_date,($G$2+10),m_active,1,m_start,"&lt;"&amp;900,m_end,"&gt;"&amp;840)=0,"",IF(COUNTIFS(m_teacher,S$4,m_date,($G$2+10),m_active,1,m_start,"&lt;"&amp;900,m_end,"&gt;"&amp;840)&gt;1,"충돌",HYPERLINK("#'관리자_MASTER'!D"&amp;_xlfn.MAXIFS(m_row,m_teacher,S$4,m_date,($G$2+10),m_active,1,m_start,"&lt;"&amp;900,m_end,"&gt;"&amp;840),INDEX(m_label,_xlfn.MAXIFS(m_row,m_teacher,S$4,m_date,($G$2+10),m_active,1,m_start,"&lt;"&amp;900,m_end,"&gt;"&amp;840))))))</f>
        <v/>
      </c>
      <c r="T43" s="88" t="str">
        <f aca="false">IF(OR(T$4="",MONTH(($G$2+10))&lt;&gt;MONTH($C$2)),"",IF(COUNTIFS(m_teacher,T$4,m_date,($G$2+10),m_active,1,m_start,"&lt;"&amp;900,m_end,"&gt;"&amp;840)=0,"",IF(COUNTIFS(m_teacher,T$4,m_date,($G$2+10),m_active,1,m_start,"&lt;"&amp;900,m_end,"&gt;"&amp;840)&gt;1,"충돌",HYPERLINK("#'관리자_MASTER'!D"&amp;_xlfn.MAXIFS(m_row,m_teacher,T$4,m_date,($G$2+10),m_active,1,m_start,"&lt;"&amp;900,m_end,"&gt;"&amp;840),INDEX(m_label,_xlfn.MAXIFS(m_row,m_teacher,T$4,m_date,($G$2+10),m_active,1,m_start,"&lt;"&amp;900,m_end,"&gt;"&amp;840))))))</f>
        <v/>
      </c>
      <c r="U43" s="88" t="str">
        <f aca="false">IF(OR(U$4="",MONTH(($G$2+10))&lt;&gt;MONTH($C$2)),"",IF(COUNTIFS(m_teacher,U$4,m_date,($G$2+10),m_active,1,m_start,"&lt;"&amp;900,m_end,"&gt;"&amp;840)=0,"",IF(COUNTIFS(m_teacher,U$4,m_date,($G$2+10),m_active,1,m_start,"&lt;"&amp;900,m_end,"&gt;"&amp;840)&gt;1,"충돌",HYPERLINK("#'관리자_MASTER'!D"&amp;_xlfn.MAXIFS(m_row,m_teacher,U$4,m_date,($G$2+10),m_active,1,m_start,"&lt;"&amp;900,m_end,"&gt;"&amp;840),INDEX(m_label,_xlfn.MAXIFS(m_row,m_teacher,U$4,m_date,($G$2+10),m_active,1,m_start,"&lt;"&amp;900,m_end,"&gt;"&amp;840))))))</f>
        <v/>
      </c>
      <c r="V43" s="88" t="str">
        <f aca="false">IF(OR(V$4="",MONTH(($G$2+10))&lt;&gt;MONTH($C$2)),"",IF(COUNTIFS(m_teacher,V$4,m_date,($G$2+10),m_active,1,m_start,"&lt;"&amp;900,m_end,"&gt;"&amp;840)=0,"",IF(COUNTIFS(m_teacher,V$4,m_date,($G$2+10),m_active,1,m_start,"&lt;"&amp;900,m_end,"&gt;"&amp;840)&gt;1,"충돌",HYPERLINK("#'관리자_MASTER'!D"&amp;_xlfn.MAXIFS(m_row,m_teacher,V$4,m_date,($G$2+10),m_active,1,m_start,"&lt;"&amp;900,m_end,"&gt;"&amp;840),INDEX(m_label,_xlfn.MAXIFS(m_row,m_teacher,V$4,m_date,($G$2+10),m_active,1,m_start,"&lt;"&amp;900,m_end,"&gt;"&amp;840))))))</f>
        <v/>
      </c>
      <c r="W43" s="88" t="str">
        <f aca="false">IF(OR(W$4="",MONTH(($G$2+10))&lt;&gt;MONTH($C$2)),"",IF(COUNTIFS(m_teacher,W$4,m_date,($G$2+10),m_active,1,m_start,"&lt;"&amp;900,m_end,"&gt;"&amp;840)=0,"",IF(COUNTIFS(m_teacher,W$4,m_date,($G$2+10),m_active,1,m_start,"&lt;"&amp;900,m_end,"&gt;"&amp;840)&gt;1,"충돌",HYPERLINK("#'관리자_MASTER'!D"&amp;_xlfn.MAXIFS(m_row,m_teacher,W$4,m_date,($G$2+10),m_active,1,m_start,"&lt;"&amp;900,m_end,"&gt;"&amp;840),INDEX(m_label,_xlfn.MAXIFS(m_row,m_teacher,W$4,m_date,($G$2+10),m_active,1,m_start,"&lt;"&amp;900,m_end,"&gt;"&amp;840))))))</f>
        <v/>
      </c>
      <c r="X43" s="88" t="str">
        <f aca="false">IF(OR(X$4="",MONTH(($G$2+10))&lt;&gt;MONTH($C$2)),"",IF(COUNTIFS(m_teacher,X$4,m_date,($G$2+10),m_active,1,m_start,"&lt;"&amp;900,m_end,"&gt;"&amp;840)=0,"",IF(COUNTIFS(m_teacher,X$4,m_date,($G$2+10),m_active,1,m_start,"&lt;"&amp;900,m_end,"&gt;"&amp;840)&gt;1,"충돌",HYPERLINK("#'관리자_MASTER'!D"&amp;_xlfn.MAXIFS(m_row,m_teacher,X$4,m_date,($G$2+10),m_active,1,m_start,"&lt;"&amp;900,m_end,"&gt;"&amp;840),INDEX(m_label,_xlfn.MAXIFS(m_row,m_teacher,X$4,m_date,($G$2+10),m_active,1,m_start,"&lt;"&amp;900,m_end,"&gt;"&amp;840))))))</f>
        <v/>
      </c>
      <c r="Y43" s="88" t="str">
        <f aca="false">IF(OR(Y$4="",MONTH(($G$2+10))&lt;&gt;MONTH($C$2)),"",IF(COUNTIFS(m_teacher,Y$4,m_date,($G$2+10),m_active,1,m_start,"&lt;"&amp;900,m_end,"&gt;"&amp;840)=0,"",IF(COUNTIFS(m_teacher,Y$4,m_date,($G$2+10),m_active,1,m_start,"&lt;"&amp;900,m_end,"&gt;"&amp;840)&gt;1,"충돌",HYPERLINK("#'관리자_MASTER'!D"&amp;_xlfn.MAXIFS(m_row,m_teacher,Y$4,m_date,($G$2+10),m_active,1,m_start,"&lt;"&amp;900,m_end,"&gt;"&amp;840),INDEX(m_label,_xlfn.MAXIFS(m_row,m_teacher,Y$4,m_date,($G$2+10),m_active,1,m_start,"&lt;"&amp;900,m_end,"&gt;"&amp;840))))))</f>
        <v/>
      </c>
      <c r="Z43" s="88" t="str">
        <f aca="false">IF(OR(Z$4="",MONTH(($G$2+10))&lt;&gt;MONTH($C$2)),"",IF(COUNTIFS(m_teacher,Z$4,m_date,($G$2+10),m_active,1,m_start,"&lt;"&amp;900,m_end,"&gt;"&amp;840)=0,"",IF(COUNTIFS(m_teacher,Z$4,m_date,($G$2+10),m_active,1,m_start,"&lt;"&amp;900,m_end,"&gt;"&amp;840)&gt;1,"충돌",HYPERLINK("#'관리자_MASTER'!D"&amp;_xlfn.MAXIFS(m_row,m_teacher,Z$4,m_date,($G$2+10),m_active,1,m_start,"&lt;"&amp;900,m_end,"&gt;"&amp;840),INDEX(m_label,_xlfn.MAXIFS(m_row,m_teacher,Z$4,m_date,($G$2+10),m_active,1,m_start,"&lt;"&amp;900,m_end,"&gt;"&amp;840))))))</f>
        <v/>
      </c>
      <c r="AA43" s="88" t="str">
        <f aca="false">IF(OR(AA$4="",MONTH(($G$2+10))&lt;&gt;MONTH($C$2)),"",IF(COUNTIFS(m_teacher,AA$4,m_date,($G$2+10),m_active,1,m_start,"&lt;"&amp;900,m_end,"&gt;"&amp;840)=0,"",IF(COUNTIFS(m_teacher,AA$4,m_date,($G$2+10),m_active,1,m_start,"&lt;"&amp;900,m_end,"&gt;"&amp;840)&gt;1,"충돌",HYPERLINK("#'관리자_MASTER'!D"&amp;_xlfn.MAXIFS(m_row,m_teacher,AA$4,m_date,($G$2+10),m_active,1,m_start,"&lt;"&amp;900,m_end,"&gt;"&amp;840),INDEX(m_label,_xlfn.MAXIFS(m_row,m_teacher,AA$4,m_date,($G$2+10),m_active,1,m_start,"&lt;"&amp;900,m_end,"&gt;"&amp;840))))))</f>
        <v/>
      </c>
      <c r="AB43" s="88" t="str">
        <f aca="false">IF(OR(AB$4="",MONTH(($G$2+10))&lt;&gt;MONTH($C$2)),"",IF(COUNTIFS(m_teacher,AB$4,m_date,($G$2+10),m_active,1,m_start,"&lt;"&amp;900,m_end,"&gt;"&amp;840)=0,"",IF(COUNTIFS(m_teacher,AB$4,m_date,($G$2+10),m_active,1,m_start,"&lt;"&amp;900,m_end,"&gt;"&amp;840)&gt;1,"충돌",HYPERLINK("#'관리자_MASTER'!D"&amp;_xlfn.MAXIFS(m_row,m_teacher,AB$4,m_date,($G$2+10),m_active,1,m_start,"&lt;"&amp;900,m_end,"&gt;"&amp;840),INDEX(m_label,_xlfn.MAXIFS(m_row,m_teacher,AB$4,m_date,($G$2+10),m_active,1,m_start,"&lt;"&amp;900,m_end,"&gt;"&amp;840))))))</f>
        <v/>
      </c>
      <c r="AC43" s="78"/>
      <c r="AD43" s="79" t="s">
        <v>96</v>
      </c>
      <c r="AE43" s="88" t="str">
        <f aca="false">IF(OR(AE$4="",MONTH(($G$2+17))&lt;&gt;MONTH($C$2)),"",IF(COUNTIFS(m_teacher,AE$4,m_date,($G$2+17),m_active,1,m_start,"&lt;"&amp;900,m_end,"&gt;"&amp;840)=0,"",IF(COUNTIFS(m_teacher,AE$4,m_date,($G$2+17),m_active,1,m_start,"&lt;"&amp;900,m_end,"&gt;"&amp;840)&gt;1,"충돌",HYPERLINK("#'관리자_MASTER'!D"&amp;_xlfn.MAXIFS(m_row,m_teacher,AE$4,m_date,($G$2+17),m_active,1,m_start,"&lt;"&amp;900,m_end,"&gt;"&amp;840),INDEX(m_label,_xlfn.MAXIFS(m_row,m_teacher,AE$4,m_date,($G$2+17),m_active,1,m_start,"&lt;"&amp;900,m_end,"&gt;"&amp;840))))))</f>
        <v/>
      </c>
      <c r="AF43" s="88" t="str">
        <f aca="false">IF(OR(AF$4="",MONTH(($G$2+17))&lt;&gt;MONTH($C$2)),"",IF(COUNTIFS(m_teacher,AF$4,m_date,($G$2+17),m_active,1,m_start,"&lt;"&amp;900,m_end,"&gt;"&amp;840)=0,"",IF(COUNTIFS(m_teacher,AF$4,m_date,($G$2+17),m_active,1,m_start,"&lt;"&amp;900,m_end,"&gt;"&amp;840)&gt;1,"충돌",HYPERLINK("#'관리자_MASTER'!D"&amp;_xlfn.MAXIFS(m_row,m_teacher,AF$4,m_date,($G$2+17),m_active,1,m_start,"&lt;"&amp;900,m_end,"&gt;"&amp;840),INDEX(m_label,_xlfn.MAXIFS(m_row,m_teacher,AF$4,m_date,($G$2+17),m_active,1,m_start,"&lt;"&amp;900,m_end,"&gt;"&amp;840))))))</f>
        <v/>
      </c>
      <c r="AG43" s="88" t="str">
        <f aca="false">IF(OR(AG$4="",MONTH(($G$2+17))&lt;&gt;MONTH($C$2)),"",IF(COUNTIFS(m_teacher,AG$4,m_date,($G$2+17),m_active,1,m_start,"&lt;"&amp;900,m_end,"&gt;"&amp;840)=0,"",IF(COUNTIFS(m_teacher,AG$4,m_date,($G$2+17),m_active,1,m_start,"&lt;"&amp;900,m_end,"&gt;"&amp;840)&gt;1,"충돌",HYPERLINK("#'관리자_MASTER'!D"&amp;_xlfn.MAXIFS(m_row,m_teacher,AG$4,m_date,($G$2+17),m_active,1,m_start,"&lt;"&amp;900,m_end,"&gt;"&amp;840),INDEX(m_label,_xlfn.MAXIFS(m_row,m_teacher,AG$4,m_date,($G$2+17),m_active,1,m_start,"&lt;"&amp;900,m_end,"&gt;"&amp;840))))))</f>
        <v/>
      </c>
      <c r="AH43" s="88" t="str">
        <f aca="false">IF(OR(AH$4="",MONTH(($G$2+17))&lt;&gt;MONTH($C$2)),"",IF(COUNTIFS(m_teacher,AH$4,m_date,($G$2+17),m_active,1,m_start,"&lt;"&amp;900,m_end,"&gt;"&amp;840)=0,"",IF(COUNTIFS(m_teacher,AH$4,m_date,($G$2+17),m_active,1,m_start,"&lt;"&amp;900,m_end,"&gt;"&amp;840)&gt;1,"충돌",HYPERLINK("#'관리자_MASTER'!D"&amp;_xlfn.MAXIFS(m_row,m_teacher,AH$4,m_date,($G$2+17),m_active,1,m_start,"&lt;"&amp;900,m_end,"&gt;"&amp;840),INDEX(m_label,_xlfn.MAXIFS(m_row,m_teacher,AH$4,m_date,($G$2+17),m_active,1,m_start,"&lt;"&amp;900,m_end,"&gt;"&amp;840))))))</f>
        <v/>
      </c>
      <c r="AI43" s="88" t="str">
        <f aca="false">IF(OR(AI$4="",MONTH(($G$2+17))&lt;&gt;MONTH($C$2)),"",IF(COUNTIFS(m_teacher,AI$4,m_date,($G$2+17),m_active,1,m_start,"&lt;"&amp;900,m_end,"&gt;"&amp;840)=0,"",IF(COUNTIFS(m_teacher,AI$4,m_date,($G$2+17),m_active,1,m_start,"&lt;"&amp;900,m_end,"&gt;"&amp;840)&gt;1,"충돌",HYPERLINK("#'관리자_MASTER'!D"&amp;_xlfn.MAXIFS(m_row,m_teacher,AI$4,m_date,($G$2+17),m_active,1,m_start,"&lt;"&amp;900,m_end,"&gt;"&amp;840),INDEX(m_label,_xlfn.MAXIFS(m_row,m_teacher,AI$4,m_date,($G$2+17),m_active,1,m_start,"&lt;"&amp;900,m_end,"&gt;"&amp;840))))))</f>
        <v/>
      </c>
      <c r="AJ43" s="88" t="str">
        <f aca="false">IF(OR(AJ$4="",MONTH(($G$2+17))&lt;&gt;MONTH($C$2)),"",IF(COUNTIFS(m_teacher,AJ$4,m_date,($G$2+17),m_active,1,m_start,"&lt;"&amp;900,m_end,"&gt;"&amp;840)=0,"",IF(COUNTIFS(m_teacher,AJ$4,m_date,($G$2+17),m_active,1,m_start,"&lt;"&amp;900,m_end,"&gt;"&amp;840)&gt;1,"충돌",HYPERLINK("#'관리자_MASTER'!D"&amp;_xlfn.MAXIFS(m_row,m_teacher,AJ$4,m_date,($G$2+17),m_active,1,m_start,"&lt;"&amp;900,m_end,"&gt;"&amp;840),INDEX(m_label,_xlfn.MAXIFS(m_row,m_teacher,AJ$4,m_date,($G$2+17),m_active,1,m_start,"&lt;"&amp;900,m_end,"&gt;"&amp;840))))))</f>
        <v/>
      </c>
      <c r="AK43" s="88" t="str">
        <f aca="false">IF(OR(AK$4="",MONTH(($G$2+17))&lt;&gt;MONTH($C$2)),"",IF(COUNTIFS(m_teacher,AK$4,m_date,($G$2+17),m_active,1,m_start,"&lt;"&amp;900,m_end,"&gt;"&amp;840)=0,"",IF(COUNTIFS(m_teacher,AK$4,m_date,($G$2+17),m_active,1,m_start,"&lt;"&amp;900,m_end,"&gt;"&amp;840)&gt;1,"충돌",HYPERLINK("#'관리자_MASTER'!D"&amp;_xlfn.MAXIFS(m_row,m_teacher,AK$4,m_date,($G$2+17),m_active,1,m_start,"&lt;"&amp;900,m_end,"&gt;"&amp;840),INDEX(m_label,_xlfn.MAXIFS(m_row,m_teacher,AK$4,m_date,($G$2+17),m_active,1,m_start,"&lt;"&amp;900,m_end,"&gt;"&amp;840))))))</f>
        <v/>
      </c>
      <c r="AL43" s="88" t="str">
        <f aca="false">IF(OR(AL$4="",MONTH(($G$2+17))&lt;&gt;MONTH($C$2)),"",IF(COUNTIFS(m_teacher,AL$4,m_date,($G$2+17),m_active,1,m_start,"&lt;"&amp;900,m_end,"&gt;"&amp;840)=0,"",IF(COUNTIFS(m_teacher,AL$4,m_date,($G$2+17),m_active,1,m_start,"&lt;"&amp;900,m_end,"&gt;"&amp;840)&gt;1,"충돌",HYPERLINK("#'관리자_MASTER'!D"&amp;_xlfn.MAXIFS(m_row,m_teacher,AL$4,m_date,($G$2+17),m_active,1,m_start,"&lt;"&amp;900,m_end,"&gt;"&amp;840),INDEX(m_label,_xlfn.MAXIFS(m_row,m_teacher,AL$4,m_date,($G$2+17),m_active,1,m_start,"&lt;"&amp;900,m_end,"&gt;"&amp;840))))))</f>
        <v/>
      </c>
      <c r="AM43" s="88" t="str">
        <f aca="false">IF(OR(AM$4="",MONTH(($G$2+17))&lt;&gt;MONTH($C$2)),"",IF(COUNTIFS(m_teacher,AM$4,m_date,($G$2+17),m_active,1,m_start,"&lt;"&amp;900,m_end,"&gt;"&amp;840)=0,"",IF(COUNTIFS(m_teacher,AM$4,m_date,($G$2+17),m_active,1,m_start,"&lt;"&amp;900,m_end,"&gt;"&amp;840)&gt;1,"충돌",HYPERLINK("#'관리자_MASTER'!D"&amp;_xlfn.MAXIFS(m_row,m_teacher,AM$4,m_date,($G$2+17),m_active,1,m_start,"&lt;"&amp;900,m_end,"&gt;"&amp;840),INDEX(m_label,_xlfn.MAXIFS(m_row,m_teacher,AM$4,m_date,($G$2+17),m_active,1,m_start,"&lt;"&amp;900,m_end,"&gt;"&amp;840))))))</f>
        <v/>
      </c>
      <c r="AN43" s="88" t="str">
        <f aca="false">IF(OR(AN$4="",MONTH(($G$2+17))&lt;&gt;MONTH($C$2)),"",IF(COUNTIFS(m_teacher,AN$4,m_date,($G$2+17),m_active,1,m_start,"&lt;"&amp;900,m_end,"&gt;"&amp;840)=0,"",IF(COUNTIFS(m_teacher,AN$4,m_date,($G$2+17),m_active,1,m_start,"&lt;"&amp;900,m_end,"&gt;"&amp;840)&gt;1,"충돌",HYPERLINK("#'관리자_MASTER'!D"&amp;_xlfn.MAXIFS(m_row,m_teacher,AN$4,m_date,($G$2+17),m_active,1,m_start,"&lt;"&amp;900,m_end,"&gt;"&amp;840),INDEX(m_label,_xlfn.MAXIFS(m_row,m_teacher,AN$4,m_date,($G$2+17),m_active,1,m_start,"&lt;"&amp;900,m_end,"&gt;"&amp;840))))))</f>
        <v/>
      </c>
      <c r="AO43" s="88" t="str">
        <f aca="false">IF(OR(AO$4="",MONTH(($G$2+17))&lt;&gt;MONTH($C$2)),"",IF(COUNTIFS(m_teacher,AO$4,m_date,($G$2+17),m_active,1,m_start,"&lt;"&amp;900,m_end,"&gt;"&amp;840)=0,"",IF(COUNTIFS(m_teacher,AO$4,m_date,($G$2+17),m_active,1,m_start,"&lt;"&amp;900,m_end,"&gt;"&amp;840)&gt;1,"충돌",HYPERLINK("#'관리자_MASTER'!D"&amp;_xlfn.MAXIFS(m_row,m_teacher,AO$4,m_date,($G$2+17),m_active,1,m_start,"&lt;"&amp;900,m_end,"&gt;"&amp;840),INDEX(m_label,_xlfn.MAXIFS(m_row,m_teacher,AO$4,m_date,($G$2+17),m_active,1,m_start,"&lt;"&amp;900,m_end,"&gt;"&amp;840))))))</f>
        <v/>
      </c>
      <c r="AP43" s="88" t="str">
        <f aca="false">IF(OR(AP$4="",MONTH(($G$2+17))&lt;&gt;MONTH($C$2)),"",IF(COUNTIFS(m_teacher,AP$4,m_date,($G$2+17),m_active,1,m_start,"&lt;"&amp;900,m_end,"&gt;"&amp;840)=0,"",IF(COUNTIFS(m_teacher,AP$4,m_date,($G$2+17),m_active,1,m_start,"&lt;"&amp;900,m_end,"&gt;"&amp;840)&gt;1,"충돌",HYPERLINK("#'관리자_MASTER'!D"&amp;_xlfn.MAXIFS(m_row,m_teacher,AP$4,m_date,($G$2+17),m_active,1,m_start,"&lt;"&amp;900,m_end,"&gt;"&amp;840),INDEX(m_label,_xlfn.MAXIFS(m_row,m_teacher,AP$4,m_date,($G$2+17),m_active,1,m_start,"&lt;"&amp;900,m_end,"&gt;"&amp;840))))))</f>
        <v/>
      </c>
      <c r="AQ43" s="78"/>
      <c r="AR43" s="79" t="s">
        <v>96</v>
      </c>
      <c r="AS43" s="88" t="str">
        <f aca="false">IF(OR(AS$4="",MONTH(($G$2+24))&lt;&gt;MONTH($C$2)),"",IF(COUNTIFS(m_teacher,AS$4,m_date,($G$2+24),m_active,1,m_start,"&lt;"&amp;900,m_end,"&gt;"&amp;840)=0,"",IF(COUNTIFS(m_teacher,AS$4,m_date,($G$2+24),m_active,1,m_start,"&lt;"&amp;900,m_end,"&gt;"&amp;840)&gt;1,"충돌",HYPERLINK("#'관리자_MASTER'!D"&amp;_xlfn.MAXIFS(m_row,m_teacher,AS$4,m_date,($G$2+24),m_active,1,m_start,"&lt;"&amp;900,m_end,"&gt;"&amp;840),INDEX(m_label,_xlfn.MAXIFS(m_row,m_teacher,AS$4,m_date,($G$2+24),m_active,1,m_start,"&lt;"&amp;900,m_end,"&gt;"&amp;840))))))</f>
        <v/>
      </c>
      <c r="AT43" s="88" t="str">
        <f aca="false">IF(OR(AT$4="",MONTH(($G$2+24))&lt;&gt;MONTH($C$2)),"",IF(COUNTIFS(m_teacher,AT$4,m_date,($G$2+24),m_active,1,m_start,"&lt;"&amp;900,m_end,"&gt;"&amp;840)=0,"",IF(COUNTIFS(m_teacher,AT$4,m_date,($G$2+24),m_active,1,m_start,"&lt;"&amp;900,m_end,"&gt;"&amp;840)&gt;1,"충돌",HYPERLINK("#'관리자_MASTER'!D"&amp;_xlfn.MAXIFS(m_row,m_teacher,AT$4,m_date,($G$2+24),m_active,1,m_start,"&lt;"&amp;900,m_end,"&gt;"&amp;840),INDEX(m_label,_xlfn.MAXIFS(m_row,m_teacher,AT$4,m_date,($G$2+24),m_active,1,m_start,"&lt;"&amp;900,m_end,"&gt;"&amp;840))))))</f>
        <v/>
      </c>
      <c r="AU43" s="88" t="str">
        <f aca="false">IF(OR(AU$4="",MONTH(($G$2+24))&lt;&gt;MONTH($C$2)),"",IF(COUNTIFS(m_teacher,AU$4,m_date,($G$2+24),m_active,1,m_start,"&lt;"&amp;900,m_end,"&gt;"&amp;840)=0,"",IF(COUNTIFS(m_teacher,AU$4,m_date,($G$2+24),m_active,1,m_start,"&lt;"&amp;900,m_end,"&gt;"&amp;840)&gt;1,"충돌",HYPERLINK("#'관리자_MASTER'!D"&amp;_xlfn.MAXIFS(m_row,m_teacher,AU$4,m_date,($G$2+24),m_active,1,m_start,"&lt;"&amp;900,m_end,"&gt;"&amp;840),INDEX(m_label,_xlfn.MAXIFS(m_row,m_teacher,AU$4,m_date,($G$2+24),m_active,1,m_start,"&lt;"&amp;900,m_end,"&gt;"&amp;840))))))</f>
        <v/>
      </c>
      <c r="AV43" s="88" t="str">
        <f aca="false">IF(OR(AV$4="",MONTH(($G$2+24))&lt;&gt;MONTH($C$2)),"",IF(COUNTIFS(m_teacher,AV$4,m_date,($G$2+24),m_active,1,m_start,"&lt;"&amp;900,m_end,"&gt;"&amp;840)=0,"",IF(COUNTIFS(m_teacher,AV$4,m_date,($G$2+24),m_active,1,m_start,"&lt;"&amp;900,m_end,"&gt;"&amp;840)&gt;1,"충돌",HYPERLINK("#'관리자_MASTER'!D"&amp;_xlfn.MAXIFS(m_row,m_teacher,AV$4,m_date,($G$2+24),m_active,1,m_start,"&lt;"&amp;900,m_end,"&gt;"&amp;840),INDEX(m_label,_xlfn.MAXIFS(m_row,m_teacher,AV$4,m_date,($G$2+24),m_active,1,m_start,"&lt;"&amp;900,m_end,"&gt;"&amp;840))))))</f>
        <v/>
      </c>
      <c r="AW43" s="88" t="str">
        <f aca="false">IF(OR(AW$4="",MONTH(($G$2+24))&lt;&gt;MONTH($C$2)),"",IF(COUNTIFS(m_teacher,AW$4,m_date,($G$2+24),m_active,1,m_start,"&lt;"&amp;900,m_end,"&gt;"&amp;840)=0,"",IF(COUNTIFS(m_teacher,AW$4,m_date,($G$2+24),m_active,1,m_start,"&lt;"&amp;900,m_end,"&gt;"&amp;840)&gt;1,"충돌",HYPERLINK("#'관리자_MASTER'!D"&amp;_xlfn.MAXIFS(m_row,m_teacher,AW$4,m_date,($G$2+24),m_active,1,m_start,"&lt;"&amp;900,m_end,"&gt;"&amp;840),INDEX(m_label,_xlfn.MAXIFS(m_row,m_teacher,AW$4,m_date,($G$2+24),m_active,1,m_start,"&lt;"&amp;900,m_end,"&gt;"&amp;840))))))</f>
        <v/>
      </c>
      <c r="AX43" s="88" t="str">
        <f aca="false">IF(OR(AX$4="",MONTH(($G$2+24))&lt;&gt;MONTH($C$2)),"",IF(COUNTIFS(m_teacher,AX$4,m_date,($G$2+24),m_active,1,m_start,"&lt;"&amp;900,m_end,"&gt;"&amp;840)=0,"",IF(COUNTIFS(m_teacher,AX$4,m_date,($G$2+24),m_active,1,m_start,"&lt;"&amp;900,m_end,"&gt;"&amp;840)&gt;1,"충돌",HYPERLINK("#'관리자_MASTER'!D"&amp;_xlfn.MAXIFS(m_row,m_teacher,AX$4,m_date,($G$2+24),m_active,1,m_start,"&lt;"&amp;900,m_end,"&gt;"&amp;840),INDEX(m_label,_xlfn.MAXIFS(m_row,m_teacher,AX$4,m_date,($G$2+24),m_active,1,m_start,"&lt;"&amp;900,m_end,"&gt;"&amp;840))))))</f>
        <v/>
      </c>
      <c r="AY43" s="88" t="str">
        <f aca="false">IF(OR(AY$4="",MONTH(($G$2+24))&lt;&gt;MONTH($C$2)),"",IF(COUNTIFS(m_teacher,AY$4,m_date,($G$2+24),m_active,1,m_start,"&lt;"&amp;900,m_end,"&gt;"&amp;840)=0,"",IF(COUNTIFS(m_teacher,AY$4,m_date,($G$2+24),m_active,1,m_start,"&lt;"&amp;900,m_end,"&gt;"&amp;840)&gt;1,"충돌",HYPERLINK("#'관리자_MASTER'!D"&amp;_xlfn.MAXIFS(m_row,m_teacher,AY$4,m_date,($G$2+24),m_active,1,m_start,"&lt;"&amp;900,m_end,"&gt;"&amp;840),INDEX(m_label,_xlfn.MAXIFS(m_row,m_teacher,AY$4,m_date,($G$2+24),m_active,1,m_start,"&lt;"&amp;900,m_end,"&gt;"&amp;840))))))</f>
        <v/>
      </c>
      <c r="AZ43" s="88" t="str">
        <f aca="false">IF(OR(AZ$4="",MONTH(($G$2+24))&lt;&gt;MONTH($C$2)),"",IF(COUNTIFS(m_teacher,AZ$4,m_date,($G$2+24),m_active,1,m_start,"&lt;"&amp;900,m_end,"&gt;"&amp;840)=0,"",IF(COUNTIFS(m_teacher,AZ$4,m_date,($G$2+24),m_active,1,m_start,"&lt;"&amp;900,m_end,"&gt;"&amp;840)&gt;1,"충돌",HYPERLINK("#'관리자_MASTER'!D"&amp;_xlfn.MAXIFS(m_row,m_teacher,AZ$4,m_date,($G$2+24),m_active,1,m_start,"&lt;"&amp;900,m_end,"&gt;"&amp;840),INDEX(m_label,_xlfn.MAXIFS(m_row,m_teacher,AZ$4,m_date,($G$2+24),m_active,1,m_start,"&lt;"&amp;900,m_end,"&gt;"&amp;840))))))</f>
        <v/>
      </c>
      <c r="BA43" s="88" t="str">
        <f aca="false">IF(OR(BA$4="",MONTH(($G$2+24))&lt;&gt;MONTH($C$2)),"",IF(COUNTIFS(m_teacher,BA$4,m_date,($G$2+24),m_active,1,m_start,"&lt;"&amp;900,m_end,"&gt;"&amp;840)=0,"",IF(COUNTIFS(m_teacher,BA$4,m_date,($G$2+24),m_active,1,m_start,"&lt;"&amp;900,m_end,"&gt;"&amp;840)&gt;1,"충돌",HYPERLINK("#'관리자_MASTER'!D"&amp;_xlfn.MAXIFS(m_row,m_teacher,BA$4,m_date,($G$2+24),m_active,1,m_start,"&lt;"&amp;900,m_end,"&gt;"&amp;840),INDEX(m_label,_xlfn.MAXIFS(m_row,m_teacher,BA$4,m_date,($G$2+24),m_active,1,m_start,"&lt;"&amp;900,m_end,"&gt;"&amp;840))))))</f>
        <v/>
      </c>
      <c r="BB43" s="88" t="str">
        <f aca="false">IF(OR(BB$4="",MONTH(($G$2+24))&lt;&gt;MONTH($C$2)),"",IF(COUNTIFS(m_teacher,BB$4,m_date,($G$2+24),m_active,1,m_start,"&lt;"&amp;900,m_end,"&gt;"&amp;840)=0,"",IF(COUNTIFS(m_teacher,BB$4,m_date,($G$2+24),m_active,1,m_start,"&lt;"&amp;900,m_end,"&gt;"&amp;840)&gt;1,"충돌",HYPERLINK("#'관리자_MASTER'!D"&amp;_xlfn.MAXIFS(m_row,m_teacher,BB$4,m_date,($G$2+24),m_active,1,m_start,"&lt;"&amp;900,m_end,"&gt;"&amp;840),INDEX(m_label,_xlfn.MAXIFS(m_row,m_teacher,BB$4,m_date,($G$2+24),m_active,1,m_start,"&lt;"&amp;900,m_end,"&gt;"&amp;840))))))</f>
        <v/>
      </c>
      <c r="BC43" s="88" t="str">
        <f aca="false">IF(OR(BC$4="",MONTH(($G$2+24))&lt;&gt;MONTH($C$2)),"",IF(COUNTIFS(m_teacher,BC$4,m_date,($G$2+24),m_active,1,m_start,"&lt;"&amp;900,m_end,"&gt;"&amp;840)=0,"",IF(COUNTIFS(m_teacher,BC$4,m_date,($G$2+24),m_active,1,m_start,"&lt;"&amp;900,m_end,"&gt;"&amp;840)&gt;1,"충돌",HYPERLINK("#'관리자_MASTER'!D"&amp;_xlfn.MAXIFS(m_row,m_teacher,BC$4,m_date,($G$2+24),m_active,1,m_start,"&lt;"&amp;900,m_end,"&gt;"&amp;840),INDEX(m_label,_xlfn.MAXIFS(m_row,m_teacher,BC$4,m_date,($G$2+24),m_active,1,m_start,"&lt;"&amp;900,m_end,"&gt;"&amp;840))))))</f>
        <v/>
      </c>
      <c r="BD43" s="88" t="str">
        <f aca="false">IF(OR(BD$4="",MONTH(($G$2+24))&lt;&gt;MONTH($C$2)),"",IF(COUNTIFS(m_teacher,BD$4,m_date,($G$2+24),m_active,1,m_start,"&lt;"&amp;900,m_end,"&gt;"&amp;840)=0,"",IF(COUNTIFS(m_teacher,BD$4,m_date,($G$2+24),m_active,1,m_start,"&lt;"&amp;900,m_end,"&gt;"&amp;840)&gt;1,"충돌",HYPERLINK("#'관리자_MASTER'!D"&amp;_xlfn.MAXIFS(m_row,m_teacher,BD$4,m_date,($G$2+24),m_active,1,m_start,"&lt;"&amp;900,m_end,"&gt;"&amp;840),INDEX(m_label,_xlfn.MAXIFS(m_row,m_teacher,BD$4,m_date,($G$2+24),m_active,1,m_start,"&lt;"&amp;900,m_end,"&gt;"&amp;840))))))</f>
        <v/>
      </c>
      <c r="BE43" s="78"/>
      <c r="BF43" s="79" t="s">
        <v>96</v>
      </c>
      <c r="BG43" s="88" t="str">
        <f aca="false">IF(OR(BG$4="",MONTH(($G$2+31))&lt;&gt;MONTH($C$2)),"",IF(COUNTIFS(m_teacher,BG$4,m_date,($G$2+31),m_active,1,m_start,"&lt;"&amp;900,m_end,"&gt;"&amp;840)=0,"",IF(COUNTIFS(m_teacher,BG$4,m_date,($G$2+31),m_active,1,m_start,"&lt;"&amp;900,m_end,"&gt;"&amp;840)&gt;1,"충돌",HYPERLINK("#'관리자_MASTER'!D"&amp;_xlfn.MAXIFS(m_row,m_teacher,BG$4,m_date,($G$2+31),m_active,1,m_start,"&lt;"&amp;900,m_end,"&gt;"&amp;840),INDEX(m_label,_xlfn.MAXIFS(m_row,m_teacher,BG$4,m_date,($G$2+31),m_active,1,m_start,"&lt;"&amp;900,m_end,"&gt;"&amp;840))))))</f>
        <v/>
      </c>
      <c r="BH43" s="88" t="str">
        <f aca="false">IF(OR(BH$4="",MONTH(($G$2+31))&lt;&gt;MONTH($C$2)),"",IF(COUNTIFS(m_teacher,BH$4,m_date,($G$2+31),m_active,1,m_start,"&lt;"&amp;900,m_end,"&gt;"&amp;840)=0,"",IF(COUNTIFS(m_teacher,BH$4,m_date,($G$2+31),m_active,1,m_start,"&lt;"&amp;900,m_end,"&gt;"&amp;840)&gt;1,"충돌",HYPERLINK("#'관리자_MASTER'!D"&amp;_xlfn.MAXIFS(m_row,m_teacher,BH$4,m_date,($G$2+31),m_active,1,m_start,"&lt;"&amp;900,m_end,"&gt;"&amp;840),INDEX(m_label,_xlfn.MAXIFS(m_row,m_teacher,BH$4,m_date,($G$2+31),m_active,1,m_start,"&lt;"&amp;900,m_end,"&gt;"&amp;840))))))</f>
        <v/>
      </c>
      <c r="BI43" s="88" t="str">
        <f aca="false">IF(OR(BI$4="",MONTH(($G$2+31))&lt;&gt;MONTH($C$2)),"",IF(COUNTIFS(m_teacher,BI$4,m_date,($G$2+31),m_active,1,m_start,"&lt;"&amp;900,m_end,"&gt;"&amp;840)=0,"",IF(COUNTIFS(m_teacher,BI$4,m_date,($G$2+31),m_active,1,m_start,"&lt;"&amp;900,m_end,"&gt;"&amp;840)&gt;1,"충돌",HYPERLINK("#'관리자_MASTER'!D"&amp;_xlfn.MAXIFS(m_row,m_teacher,BI$4,m_date,($G$2+31),m_active,1,m_start,"&lt;"&amp;900,m_end,"&gt;"&amp;840),INDEX(m_label,_xlfn.MAXIFS(m_row,m_teacher,BI$4,m_date,($G$2+31),m_active,1,m_start,"&lt;"&amp;900,m_end,"&gt;"&amp;840))))))</f>
        <v/>
      </c>
      <c r="BJ43" s="88" t="str">
        <f aca="false">IF(OR(BJ$4="",MONTH(($G$2+31))&lt;&gt;MONTH($C$2)),"",IF(COUNTIFS(m_teacher,BJ$4,m_date,($G$2+31),m_active,1,m_start,"&lt;"&amp;900,m_end,"&gt;"&amp;840)=0,"",IF(COUNTIFS(m_teacher,BJ$4,m_date,($G$2+31),m_active,1,m_start,"&lt;"&amp;900,m_end,"&gt;"&amp;840)&gt;1,"충돌",HYPERLINK("#'관리자_MASTER'!D"&amp;_xlfn.MAXIFS(m_row,m_teacher,BJ$4,m_date,($G$2+31),m_active,1,m_start,"&lt;"&amp;900,m_end,"&gt;"&amp;840),INDEX(m_label,_xlfn.MAXIFS(m_row,m_teacher,BJ$4,m_date,($G$2+31),m_active,1,m_start,"&lt;"&amp;900,m_end,"&gt;"&amp;840))))))</f>
        <v/>
      </c>
      <c r="BK43" s="88" t="str">
        <f aca="false">IF(OR(BK$4="",MONTH(($G$2+31))&lt;&gt;MONTH($C$2)),"",IF(COUNTIFS(m_teacher,BK$4,m_date,($G$2+31),m_active,1,m_start,"&lt;"&amp;900,m_end,"&gt;"&amp;840)=0,"",IF(COUNTIFS(m_teacher,BK$4,m_date,($G$2+31),m_active,1,m_start,"&lt;"&amp;900,m_end,"&gt;"&amp;840)&gt;1,"충돌",HYPERLINK("#'관리자_MASTER'!D"&amp;_xlfn.MAXIFS(m_row,m_teacher,BK$4,m_date,($G$2+31),m_active,1,m_start,"&lt;"&amp;900,m_end,"&gt;"&amp;840),INDEX(m_label,_xlfn.MAXIFS(m_row,m_teacher,BK$4,m_date,($G$2+31),m_active,1,m_start,"&lt;"&amp;900,m_end,"&gt;"&amp;840))))))</f>
        <v/>
      </c>
      <c r="BL43" s="88" t="str">
        <f aca="false">IF(OR(BL$4="",MONTH(($G$2+31))&lt;&gt;MONTH($C$2)),"",IF(COUNTIFS(m_teacher,BL$4,m_date,($G$2+31),m_active,1,m_start,"&lt;"&amp;900,m_end,"&gt;"&amp;840)=0,"",IF(COUNTIFS(m_teacher,BL$4,m_date,($G$2+31),m_active,1,m_start,"&lt;"&amp;900,m_end,"&gt;"&amp;840)&gt;1,"충돌",HYPERLINK("#'관리자_MASTER'!D"&amp;_xlfn.MAXIFS(m_row,m_teacher,BL$4,m_date,($G$2+31),m_active,1,m_start,"&lt;"&amp;900,m_end,"&gt;"&amp;840),INDEX(m_label,_xlfn.MAXIFS(m_row,m_teacher,BL$4,m_date,($G$2+31),m_active,1,m_start,"&lt;"&amp;900,m_end,"&gt;"&amp;840))))))</f>
        <v/>
      </c>
      <c r="BM43" s="88" t="str">
        <f aca="false">IF(OR(BM$4="",MONTH(($G$2+31))&lt;&gt;MONTH($C$2)),"",IF(COUNTIFS(m_teacher,BM$4,m_date,($G$2+31),m_active,1,m_start,"&lt;"&amp;900,m_end,"&gt;"&amp;840)=0,"",IF(COUNTIFS(m_teacher,BM$4,m_date,($G$2+31),m_active,1,m_start,"&lt;"&amp;900,m_end,"&gt;"&amp;840)&gt;1,"충돌",HYPERLINK("#'관리자_MASTER'!D"&amp;_xlfn.MAXIFS(m_row,m_teacher,BM$4,m_date,($G$2+31),m_active,1,m_start,"&lt;"&amp;900,m_end,"&gt;"&amp;840),INDEX(m_label,_xlfn.MAXIFS(m_row,m_teacher,BM$4,m_date,($G$2+31),m_active,1,m_start,"&lt;"&amp;900,m_end,"&gt;"&amp;840))))))</f>
        <v/>
      </c>
      <c r="BN43" s="88" t="str">
        <f aca="false">IF(OR(BN$4="",MONTH(($G$2+31))&lt;&gt;MONTH($C$2)),"",IF(COUNTIFS(m_teacher,BN$4,m_date,($G$2+31),m_active,1,m_start,"&lt;"&amp;900,m_end,"&gt;"&amp;840)=0,"",IF(COUNTIFS(m_teacher,BN$4,m_date,($G$2+31),m_active,1,m_start,"&lt;"&amp;900,m_end,"&gt;"&amp;840)&gt;1,"충돌",HYPERLINK("#'관리자_MASTER'!D"&amp;_xlfn.MAXIFS(m_row,m_teacher,BN$4,m_date,($G$2+31),m_active,1,m_start,"&lt;"&amp;900,m_end,"&gt;"&amp;840),INDEX(m_label,_xlfn.MAXIFS(m_row,m_teacher,BN$4,m_date,($G$2+31),m_active,1,m_start,"&lt;"&amp;900,m_end,"&gt;"&amp;840))))))</f>
        <v/>
      </c>
      <c r="BO43" s="88" t="str">
        <f aca="false">IF(OR(BO$4="",MONTH(($G$2+31))&lt;&gt;MONTH($C$2)),"",IF(COUNTIFS(m_teacher,BO$4,m_date,($G$2+31),m_active,1,m_start,"&lt;"&amp;900,m_end,"&gt;"&amp;840)=0,"",IF(COUNTIFS(m_teacher,BO$4,m_date,($G$2+31),m_active,1,m_start,"&lt;"&amp;900,m_end,"&gt;"&amp;840)&gt;1,"충돌",HYPERLINK("#'관리자_MASTER'!D"&amp;_xlfn.MAXIFS(m_row,m_teacher,BO$4,m_date,($G$2+31),m_active,1,m_start,"&lt;"&amp;900,m_end,"&gt;"&amp;840),INDEX(m_label,_xlfn.MAXIFS(m_row,m_teacher,BO$4,m_date,($G$2+31),m_active,1,m_start,"&lt;"&amp;900,m_end,"&gt;"&amp;840))))))</f>
        <v/>
      </c>
      <c r="BP43" s="88" t="str">
        <f aca="false">IF(OR(BP$4="",MONTH(($G$2+31))&lt;&gt;MONTH($C$2)),"",IF(COUNTIFS(m_teacher,BP$4,m_date,($G$2+31),m_active,1,m_start,"&lt;"&amp;900,m_end,"&gt;"&amp;840)=0,"",IF(COUNTIFS(m_teacher,BP$4,m_date,($G$2+31),m_active,1,m_start,"&lt;"&amp;900,m_end,"&gt;"&amp;840)&gt;1,"충돌",HYPERLINK("#'관리자_MASTER'!D"&amp;_xlfn.MAXIFS(m_row,m_teacher,BP$4,m_date,($G$2+31),m_active,1,m_start,"&lt;"&amp;900,m_end,"&gt;"&amp;840),INDEX(m_label,_xlfn.MAXIFS(m_row,m_teacher,BP$4,m_date,($G$2+31),m_active,1,m_start,"&lt;"&amp;900,m_end,"&gt;"&amp;840))))))</f>
        <v/>
      </c>
      <c r="BQ43" s="88" t="str">
        <f aca="false">IF(OR(BQ$4="",MONTH(($G$2+31))&lt;&gt;MONTH($C$2)),"",IF(COUNTIFS(m_teacher,BQ$4,m_date,($G$2+31),m_active,1,m_start,"&lt;"&amp;900,m_end,"&gt;"&amp;840)=0,"",IF(COUNTIFS(m_teacher,BQ$4,m_date,($G$2+31),m_active,1,m_start,"&lt;"&amp;900,m_end,"&gt;"&amp;840)&gt;1,"충돌",HYPERLINK("#'관리자_MASTER'!D"&amp;_xlfn.MAXIFS(m_row,m_teacher,BQ$4,m_date,($G$2+31),m_active,1,m_start,"&lt;"&amp;900,m_end,"&gt;"&amp;840),INDEX(m_label,_xlfn.MAXIFS(m_row,m_teacher,BQ$4,m_date,($G$2+31),m_active,1,m_start,"&lt;"&amp;900,m_end,"&gt;"&amp;840))))))</f>
        <v/>
      </c>
      <c r="BR43" s="88" t="str">
        <f aca="false">IF(OR(BR$4="",MONTH(($G$2+31))&lt;&gt;MONTH($C$2)),"",IF(COUNTIFS(m_teacher,BR$4,m_date,($G$2+31),m_active,1,m_start,"&lt;"&amp;900,m_end,"&gt;"&amp;840)=0,"",IF(COUNTIFS(m_teacher,BR$4,m_date,($G$2+31),m_active,1,m_start,"&lt;"&amp;900,m_end,"&gt;"&amp;840)&gt;1,"충돌",HYPERLINK("#'관리자_MASTER'!D"&amp;_xlfn.MAXIFS(m_row,m_teacher,BR$4,m_date,($G$2+31),m_active,1,m_start,"&lt;"&amp;900,m_end,"&gt;"&amp;840),INDEX(m_label,_xlfn.MAXIFS(m_row,m_teacher,BR$4,m_date,($G$2+31),m_active,1,m_start,"&lt;"&amp;900,m_end,"&gt;"&amp;840))))))</f>
        <v/>
      </c>
    </row>
    <row r="44" customFormat="false" ht="19.5" hidden="false" customHeight="true" outlineLevel="0" collapsed="false">
      <c r="A44" s="78"/>
      <c r="B44" s="79" t="s">
        <v>97</v>
      </c>
      <c r="C44" s="88" t="str">
        <f aca="false">IF(OR(C$4="",MONTH(($G$2+3))&lt;&gt;MONTH($C$2)),"",IF(COUNTIFS(m_teacher,C$4,m_date,($G$2+3),m_active,1,m_start,"&lt;"&amp;960,m_end,"&gt;"&amp;900)=0,"",IF(COUNTIFS(m_teacher,C$4,m_date,($G$2+3),m_active,1,m_start,"&lt;"&amp;960,m_end,"&gt;"&amp;900)&gt;1,"충돌",HYPERLINK("#'관리자_MASTER'!D"&amp;_xlfn.MAXIFS(m_row,m_teacher,C$4,m_date,($G$2+3),m_active,1,m_start,"&lt;"&amp;960,m_end,"&gt;"&amp;900),INDEX(m_label,_xlfn.MAXIFS(m_row,m_teacher,C$4,m_date,($G$2+3),m_active,1,m_start,"&lt;"&amp;960,m_end,"&gt;"&amp;900))))))</f>
        <v/>
      </c>
      <c r="D44" s="88" t="str">
        <f aca="false">IF(OR(D$4="",MONTH(($G$2+3))&lt;&gt;MONTH($C$2)),"",IF(COUNTIFS(m_teacher,D$4,m_date,($G$2+3),m_active,1,m_start,"&lt;"&amp;960,m_end,"&gt;"&amp;900)=0,"",IF(COUNTIFS(m_teacher,D$4,m_date,($G$2+3),m_active,1,m_start,"&lt;"&amp;960,m_end,"&gt;"&amp;900)&gt;1,"충돌",HYPERLINK("#'관리자_MASTER'!D"&amp;_xlfn.MAXIFS(m_row,m_teacher,D$4,m_date,($G$2+3),m_active,1,m_start,"&lt;"&amp;960,m_end,"&gt;"&amp;900),INDEX(m_label,_xlfn.MAXIFS(m_row,m_teacher,D$4,m_date,($G$2+3),m_active,1,m_start,"&lt;"&amp;960,m_end,"&gt;"&amp;900))))))</f>
        <v/>
      </c>
      <c r="E44" s="88" t="str">
        <f aca="false">IF(OR(E$4="",MONTH(($G$2+3))&lt;&gt;MONTH($C$2)),"",IF(COUNTIFS(m_teacher,E$4,m_date,($G$2+3),m_active,1,m_start,"&lt;"&amp;960,m_end,"&gt;"&amp;900)=0,"",IF(COUNTIFS(m_teacher,E$4,m_date,($G$2+3),m_active,1,m_start,"&lt;"&amp;960,m_end,"&gt;"&amp;900)&gt;1,"충돌",HYPERLINK("#'관리자_MASTER'!D"&amp;_xlfn.MAXIFS(m_row,m_teacher,E$4,m_date,($G$2+3),m_active,1,m_start,"&lt;"&amp;960,m_end,"&gt;"&amp;900),INDEX(m_label,_xlfn.MAXIFS(m_row,m_teacher,E$4,m_date,($G$2+3),m_active,1,m_start,"&lt;"&amp;960,m_end,"&gt;"&amp;900))))))</f>
        <v/>
      </c>
      <c r="F44" s="88" t="str">
        <f aca="false">IF(OR(F$4="",MONTH(($G$2+3))&lt;&gt;MONTH($C$2)),"",IF(COUNTIFS(m_teacher,F$4,m_date,($G$2+3),m_active,1,m_start,"&lt;"&amp;960,m_end,"&gt;"&amp;900)=0,"",IF(COUNTIFS(m_teacher,F$4,m_date,($G$2+3),m_active,1,m_start,"&lt;"&amp;960,m_end,"&gt;"&amp;900)&gt;1,"충돌",HYPERLINK("#'관리자_MASTER'!D"&amp;_xlfn.MAXIFS(m_row,m_teacher,F$4,m_date,($G$2+3),m_active,1,m_start,"&lt;"&amp;960,m_end,"&gt;"&amp;900),INDEX(m_label,_xlfn.MAXIFS(m_row,m_teacher,F$4,m_date,($G$2+3),m_active,1,m_start,"&lt;"&amp;960,m_end,"&gt;"&amp;900))))))</f>
        <v/>
      </c>
      <c r="G44" s="88" t="str">
        <f aca="false">IF(OR(G$4="",MONTH(($G$2+3))&lt;&gt;MONTH($C$2)),"",IF(COUNTIFS(m_teacher,G$4,m_date,($G$2+3),m_active,1,m_start,"&lt;"&amp;960,m_end,"&gt;"&amp;900)=0,"",IF(COUNTIFS(m_teacher,G$4,m_date,($G$2+3),m_active,1,m_start,"&lt;"&amp;960,m_end,"&gt;"&amp;900)&gt;1,"충돌",HYPERLINK("#'관리자_MASTER'!D"&amp;_xlfn.MAXIFS(m_row,m_teacher,G$4,m_date,($G$2+3),m_active,1,m_start,"&lt;"&amp;960,m_end,"&gt;"&amp;900),INDEX(m_label,_xlfn.MAXIFS(m_row,m_teacher,G$4,m_date,($G$2+3),m_active,1,m_start,"&lt;"&amp;960,m_end,"&gt;"&amp;900))))))</f>
        <v/>
      </c>
      <c r="H44" s="88" t="str">
        <f aca="false">IF(OR(H$4="",MONTH(($G$2+3))&lt;&gt;MONTH($C$2)),"",IF(COUNTIFS(m_teacher,H$4,m_date,($G$2+3),m_active,1,m_start,"&lt;"&amp;960,m_end,"&gt;"&amp;900)=0,"",IF(COUNTIFS(m_teacher,H$4,m_date,($G$2+3),m_active,1,m_start,"&lt;"&amp;960,m_end,"&gt;"&amp;900)&gt;1,"충돌",HYPERLINK("#'관리자_MASTER'!D"&amp;_xlfn.MAXIFS(m_row,m_teacher,H$4,m_date,($G$2+3),m_active,1,m_start,"&lt;"&amp;960,m_end,"&gt;"&amp;900),INDEX(m_label,_xlfn.MAXIFS(m_row,m_teacher,H$4,m_date,($G$2+3),m_active,1,m_start,"&lt;"&amp;960,m_end,"&gt;"&amp;900))))))</f>
        <v/>
      </c>
      <c r="I44" s="88" t="str">
        <f aca="false">IF(OR(I$4="",MONTH(($G$2+3))&lt;&gt;MONTH($C$2)),"",IF(COUNTIFS(m_teacher,I$4,m_date,($G$2+3),m_active,1,m_start,"&lt;"&amp;960,m_end,"&gt;"&amp;900)=0,"",IF(COUNTIFS(m_teacher,I$4,m_date,($G$2+3),m_active,1,m_start,"&lt;"&amp;960,m_end,"&gt;"&amp;900)&gt;1,"충돌",HYPERLINK("#'관리자_MASTER'!D"&amp;_xlfn.MAXIFS(m_row,m_teacher,I$4,m_date,($G$2+3),m_active,1,m_start,"&lt;"&amp;960,m_end,"&gt;"&amp;900),INDEX(m_label,_xlfn.MAXIFS(m_row,m_teacher,I$4,m_date,($G$2+3),m_active,1,m_start,"&lt;"&amp;960,m_end,"&gt;"&amp;900))))))</f>
        <v/>
      </c>
      <c r="J44" s="88" t="str">
        <f aca="false">IF(OR(J$4="",MONTH(($G$2+3))&lt;&gt;MONTH($C$2)),"",IF(COUNTIFS(m_teacher,J$4,m_date,($G$2+3),m_active,1,m_start,"&lt;"&amp;960,m_end,"&gt;"&amp;900)=0,"",IF(COUNTIFS(m_teacher,J$4,m_date,($G$2+3),m_active,1,m_start,"&lt;"&amp;960,m_end,"&gt;"&amp;900)&gt;1,"충돌",HYPERLINK("#'관리자_MASTER'!D"&amp;_xlfn.MAXIFS(m_row,m_teacher,J$4,m_date,($G$2+3),m_active,1,m_start,"&lt;"&amp;960,m_end,"&gt;"&amp;900),INDEX(m_label,_xlfn.MAXIFS(m_row,m_teacher,J$4,m_date,($G$2+3),m_active,1,m_start,"&lt;"&amp;960,m_end,"&gt;"&amp;900))))))</f>
        <v/>
      </c>
      <c r="K44" s="88" t="str">
        <f aca="false">IF(OR(K$4="",MONTH(($G$2+3))&lt;&gt;MONTH($C$2)),"",IF(COUNTIFS(m_teacher,K$4,m_date,($G$2+3),m_active,1,m_start,"&lt;"&amp;960,m_end,"&gt;"&amp;900)=0,"",IF(COUNTIFS(m_teacher,K$4,m_date,($G$2+3),m_active,1,m_start,"&lt;"&amp;960,m_end,"&gt;"&amp;900)&gt;1,"충돌",HYPERLINK("#'관리자_MASTER'!D"&amp;_xlfn.MAXIFS(m_row,m_teacher,K$4,m_date,($G$2+3),m_active,1,m_start,"&lt;"&amp;960,m_end,"&gt;"&amp;900),INDEX(m_label,_xlfn.MAXIFS(m_row,m_teacher,K$4,m_date,($G$2+3),m_active,1,m_start,"&lt;"&amp;960,m_end,"&gt;"&amp;900))))))</f>
        <v/>
      </c>
      <c r="L44" s="88" t="str">
        <f aca="false">IF(OR(L$4="",MONTH(($G$2+3))&lt;&gt;MONTH($C$2)),"",IF(COUNTIFS(m_teacher,L$4,m_date,($G$2+3),m_active,1,m_start,"&lt;"&amp;960,m_end,"&gt;"&amp;900)=0,"",IF(COUNTIFS(m_teacher,L$4,m_date,($G$2+3),m_active,1,m_start,"&lt;"&amp;960,m_end,"&gt;"&amp;900)&gt;1,"충돌",HYPERLINK("#'관리자_MASTER'!D"&amp;_xlfn.MAXIFS(m_row,m_teacher,L$4,m_date,($G$2+3),m_active,1,m_start,"&lt;"&amp;960,m_end,"&gt;"&amp;900),INDEX(m_label,_xlfn.MAXIFS(m_row,m_teacher,L$4,m_date,($G$2+3),m_active,1,m_start,"&lt;"&amp;960,m_end,"&gt;"&amp;900))))))</f>
        <v/>
      </c>
      <c r="M44" s="88" t="str">
        <f aca="false">IF(OR(M$4="",MONTH(($G$2+3))&lt;&gt;MONTH($C$2)),"",IF(COUNTIFS(m_teacher,M$4,m_date,($G$2+3),m_active,1,m_start,"&lt;"&amp;960,m_end,"&gt;"&amp;900)=0,"",IF(COUNTIFS(m_teacher,M$4,m_date,($G$2+3),m_active,1,m_start,"&lt;"&amp;960,m_end,"&gt;"&amp;900)&gt;1,"충돌",HYPERLINK("#'관리자_MASTER'!D"&amp;_xlfn.MAXIFS(m_row,m_teacher,M$4,m_date,($G$2+3),m_active,1,m_start,"&lt;"&amp;960,m_end,"&gt;"&amp;900),INDEX(m_label,_xlfn.MAXIFS(m_row,m_teacher,M$4,m_date,($G$2+3),m_active,1,m_start,"&lt;"&amp;960,m_end,"&gt;"&amp;900))))))</f>
        <v/>
      </c>
      <c r="N44" s="88" t="str">
        <f aca="false">IF(OR(N$4="",MONTH(($G$2+3))&lt;&gt;MONTH($C$2)),"",IF(COUNTIFS(m_teacher,N$4,m_date,($G$2+3),m_active,1,m_start,"&lt;"&amp;960,m_end,"&gt;"&amp;900)=0,"",IF(COUNTIFS(m_teacher,N$4,m_date,($G$2+3),m_active,1,m_start,"&lt;"&amp;960,m_end,"&gt;"&amp;900)&gt;1,"충돌",HYPERLINK("#'관리자_MASTER'!D"&amp;_xlfn.MAXIFS(m_row,m_teacher,N$4,m_date,($G$2+3),m_active,1,m_start,"&lt;"&amp;960,m_end,"&gt;"&amp;900),INDEX(m_label,_xlfn.MAXIFS(m_row,m_teacher,N$4,m_date,($G$2+3),m_active,1,m_start,"&lt;"&amp;960,m_end,"&gt;"&amp;900))))))</f>
        <v/>
      </c>
      <c r="O44" s="78"/>
      <c r="P44" s="79" t="s">
        <v>97</v>
      </c>
      <c r="Q44" s="88" t="str">
        <f aca="false">IF(OR(Q$4="",MONTH(($G$2+10))&lt;&gt;MONTH($C$2)),"",IF(COUNTIFS(m_teacher,Q$4,m_date,($G$2+10),m_active,1,m_start,"&lt;"&amp;960,m_end,"&gt;"&amp;900)=0,"",IF(COUNTIFS(m_teacher,Q$4,m_date,($G$2+10),m_active,1,m_start,"&lt;"&amp;960,m_end,"&gt;"&amp;900)&gt;1,"충돌",HYPERLINK("#'관리자_MASTER'!D"&amp;_xlfn.MAXIFS(m_row,m_teacher,Q$4,m_date,($G$2+10),m_active,1,m_start,"&lt;"&amp;960,m_end,"&gt;"&amp;900),INDEX(m_label,_xlfn.MAXIFS(m_row,m_teacher,Q$4,m_date,($G$2+10),m_active,1,m_start,"&lt;"&amp;960,m_end,"&gt;"&amp;900))))))</f>
        <v/>
      </c>
      <c r="R44" s="88" t="str">
        <f aca="false">IF(OR(R$4="",MONTH(($G$2+10))&lt;&gt;MONTH($C$2)),"",IF(COUNTIFS(m_teacher,R$4,m_date,($G$2+10),m_active,1,m_start,"&lt;"&amp;960,m_end,"&gt;"&amp;900)=0,"",IF(COUNTIFS(m_teacher,R$4,m_date,($G$2+10),m_active,1,m_start,"&lt;"&amp;960,m_end,"&gt;"&amp;900)&gt;1,"충돌",HYPERLINK("#'관리자_MASTER'!D"&amp;_xlfn.MAXIFS(m_row,m_teacher,R$4,m_date,($G$2+10),m_active,1,m_start,"&lt;"&amp;960,m_end,"&gt;"&amp;900),INDEX(m_label,_xlfn.MAXIFS(m_row,m_teacher,R$4,m_date,($G$2+10),m_active,1,m_start,"&lt;"&amp;960,m_end,"&gt;"&amp;900))))))</f>
        <v/>
      </c>
      <c r="S44" s="88" t="str">
        <f aca="false">IF(OR(S$4="",MONTH(($G$2+10))&lt;&gt;MONTH($C$2)),"",IF(COUNTIFS(m_teacher,S$4,m_date,($G$2+10),m_active,1,m_start,"&lt;"&amp;960,m_end,"&gt;"&amp;900)=0,"",IF(COUNTIFS(m_teacher,S$4,m_date,($G$2+10),m_active,1,m_start,"&lt;"&amp;960,m_end,"&gt;"&amp;900)&gt;1,"충돌",HYPERLINK("#'관리자_MASTER'!D"&amp;_xlfn.MAXIFS(m_row,m_teacher,S$4,m_date,($G$2+10),m_active,1,m_start,"&lt;"&amp;960,m_end,"&gt;"&amp;900),INDEX(m_label,_xlfn.MAXIFS(m_row,m_teacher,S$4,m_date,($G$2+10),m_active,1,m_start,"&lt;"&amp;960,m_end,"&gt;"&amp;900))))))</f>
        <v/>
      </c>
      <c r="T44" s="88" t="str">
        <f aca="false">IF(OR(T$4="",MONTH(($G$2+10))&lt;&gt;MONTH($C$2)),"",IF(COUNTIFS(m_teacher,T$4,m_date,($G$2+10),m_active,1,m_start,"&lt;"&amp;960,m_end,"&gt;"&amp;900)=0,"",IF(COUNTIFS(m_teacher,T$4,m_date,($G$2+10),m_active,1,m_start,"&lt;"&amp;960,m_end,"&gt;"&amp;900)&gt;1,"충돌",HYPERLINK("#'관리자_MASTER'!D"&amp;_xlfn.MAXIFS(m_row,m_teacher,T$4,m_date,($G$2+10),m_active,1,m_start,"&lt;"&amp;960,m_end,"&gt;"&amp;900),INDEX(m_label,_xlfn.MAXIFS(m_row,m_teacher,T$4,m_date,($G$2+10),m_active,1,m_start,"&lt;"&amp;960,m_end,"&gt;"&amp;900))))))</f>
        <v/>
      </c>
      <c r="U44" s="88" t="str">
        <f aca="false">IF(OR(U$4="",MONTH(($G$2+10))&lt;&gt;MONTH($C$2)),"",IF(COUNTIFS(m_teacher,U$4,m_date,($G$2+10),m_active,1,m_start,"&lt;"&amp;960,m_end,"&gt;"&amp;900)=0,"",IF(COUNTIFS(m_teacher,U$4,m_date,($G$2+10),m_active,1,m_start,"&lt;"&amp;960,m_end,"&gt;"&amp;900)&gt;1,"충돌",HYPERLINK("#'관리자_MASTER'!D"&amp;_xlfn.MAXIFS(m_row,m_teacher,U$4,m_date,($G$2+10),m_active,1,m_start,"&lt;"&amp;960,m_end,"&gt;"&amp;900),INDEX(m_label,_xlfn.MAXIFS(m_row,m_teacher,U$4,m_date,($G$2+10),m_active,1,m_start,"&lt;"&amp;960,m_end,"&gt;"&amp;900))))))</f>
        <v/>
      </c>
      <c r="V44" s="88" t="str">
        <f aca="false">IF(OR(V$4="",MONTH(($G$2+10))&lt;&gt;MONTH($C$2)),"",IF(COUNTIFS(m_teacher,V$4,m_date,($G$2+10),m_active,1,m_start,"&lt;"&amp;960,m_end,"&gt;"&amp;900)=0,"",IF(COUNTIFS(m_teacher,V$4,m_date,($G$2+10),m_active,1,m_start,"&lt;"&amp;960,m_end,"&gt;"&amp;900)&gt;1,"충돌",HYPERLINK("#'관리자_MASTER'!D"&amp;_xlfn.MAXIFS(m_row,m_teacher,V$4,m_date,($G$2+10),m_active,1,m_start,"&lt;"&amp;960,m_end,"&gt;"&amp;900),INDEX(m_label,_xlfn.MAXIFS(m_row,m_teacher,V$4,m_date,($G$2+10),m_active,1,m_start,"&lt;"&amp;960,m_end,"&gt;"&amp;900))))))</f>
        <v/>
      </c>
      <c r="W44" s="88" t="str">
        <f aca="false">IF(OR(W$4="",MONTH(($G$2+10))&lt;&gt;MONTH($C$2)),"",IF(COUNTIFS(m_teacher,W$4,m_date,($G$2+10),m_active,1,m_start,"&lt;"&amp;960,m_end,"&gt;"&amp;900)=0,"",IF(COUNTIFS(m_teacher,W$4,m_date,($G$2+10),m_active,1,m_start,"&lt;"&amp;960,m_end,"&gt;"&amp;900)&gt;1,"충돌",HYPERLINK("#'관리자_MASTER'!D"&amp;_xlfn.MAXIFS(m_row,m_teacher,W$4,m_date,($G$2+10),m_active,1,m_start,"&lt;"&amp;960,m_end,"&gt;"&amp;900),INDEX(m_label,_xlfn.MAXIFS(m_row,m_teacher,W$4,m_date,($G$2+10),m_active,1,m_start,"&lt;"&amp;960,m_end,"&gt;"&amp;900))))))</f>
        <v/>
      </c>
      <c r="X44" s="88" t="str">
        <f aca="false">IF(OR(X$4="",MONTH(($G$2+10))&lt;&gt;MONTH($C$2)),"",IF(COUNTIFS(m_teacher,X$4,m_date,($G$2+10),m_active,1,m_start,"&lt;"&amp;960,m_end,"&gt;"&amp;900)=0,"",IF(COUNTIFS(m_teacher,X$4,m_date,($G$2+10),m_active,1,m_start,"&lt;"&amp;960,m_end,"&gt;"&amp;900)&gt;1,"충돌",HYPERLINK("#'관리자_MASTER'!D"&amp;_xlfn.MAXIFS(m_row,m_teacher,X$4,m_date,($G$2+10),m_active,1,m_start,"&lt;"&amp;960,m_end,"&gt;"&amp;900),INDEX(m_label,_xlfn.MAXIFS(m_row,m_teacher,X$4,m_date,($G$2+10),m_active,1,m_start,"&lt;"&amp;960,m_end,"&gt;"&amp;900))))))</f>
        <v/>
      </c>
      <c r="Y44" s="88" t="str">
        <f aca="false">IF(OR(Y$4="",MONTH(($G$2+10))&lt;&gt;MONTH($C$2)),"",IF(COUNTIFS(m_teacher,Y$4,m_date,($G$2+10),m_active,1,m_start,"&lt;"&amp;960,m_end,"&gt;"&amp;900)=0,"",IF(COUNTIFS(m_teacher,Y$4,m_date,($G$2+10),m_active,1,m_start,"&lt;"&amp;960,m_end,"&gt;"&amp;900)&gt;1,"충돌",HYPERLINK("#'관리자_MASTER'!D"&amp;_xlfn.MAXIFS(m_row,m_teacher,Y$4,m_date,($G$2+10),m_active,1,m_start,"&lt;"&amp;960,m_end,"&gt;"&amp;900),INDEX(m_label,_xlfn.MAXIFS(m_row,m_teacher,Y$4,m_date,($G$2+10),m_active,1,m_start,"&lt;"&amp;960,m_end,"&gt;"&amp;900))))))</f>
        <v/>
      </c>
      <c r="Z44" s="88" t="str">
        <f aca="false">IF(OR(Z$4="",MONTH(($G$2+10))&lt;&gt;MONTH($C$2)),"",IF(COUNTIFS(m_teacher,Z$4,m_date,($G$2+10),m_active,1,m_start,"&lt;"&amp;960,m_end,"&gt;"&amp;900)=0,"",IF(COUNTIFS(m_teacher,Z$4,m_date,($G$2+10),m_active,1,m_start,"&lt;"&amp;960,m_end,"&gt;"&amp;900)&gt;1,"충돌",HYPERLINK("#'관리자_MASTER'!D"&amp;_xlfn.MAXIFS(m_row,m_teacher,Z$4,m_date,($G$2+10),m_active,1,m_start,"&lt;"&amp;960,m_end,"&gt;"&amp;900),INDEX(m_label,_xlfn.MAXIFS(m_row,m_teacher,Z$4,m_date,($G$2+10),m_active,1,m_start,"&lt;"&amp;960,m_end,"&gt;"&amp;900))))))</f>
        <v/>
      </c>
      <c r="AA44" s="88" t="str">
        <f aca="false">IF(OR(AA$4="",MONTH(($G$2+10))&lt;&gt;MONTH($C$2)),"",IF(COUNTIFS(m_teacher,AA$4,m_date,($G$2+10),m_active,1,m_start,"&lt;"&amp;960,m_end,"&gt;"&amp;900)=0,"",IF(COUNTIFS(m_teacher,AA$4,m_date,($G$2+10),m_active,1,m_start,"&lt;"&amp;960,m_end,"&gt;"&amp;900)&gt;1,"충돌",HYPERLINK("#'관리자_MASTER'!D"&amp;_xlfn.MAXIFS(m_row,m_teacher,AA$4,m_date,($G$2+10),m_active,1,m_start,"&lt;"&amp;960,m_end,"&gt;"&amp;900),INDEX(m_label,_xlfn.MAXIFS(m_row,m_teacher,AA$4,m_date,($G$2+10),m_active,1,m_start,"&lt;"&amp;960,m_end,"&gt;"&amp;900))))))</f>
        <v/>
      </c>
      <c r="AB44" s="88" t="str">
        <f aca="false">IF(OR(AB$4="",MONTH(($G$2+10))&lt;&gt;MONTH($C$2)),"",IF(COUNTIFS(m_teacher,AB$4,m_date,($G$2+10),m_active,1,m_start,"&lt;"&amp;960,m_end,"&gt;"&amp;900)=0,"",IF(COUNTIFS(m_teacher,AB$4,m_date,($G$2+10),m_active,1,m_start,"&lt;"&amp;960,m_end,"&gt;"&amp;900)&gt;1,"충돌",HYPERLINK("#'관리자_MASTER'!D"&amp;_xlfn.MAXIFS(m_row,m_teacher,AB$4,m_date,($G$2+10),m_active,1,m_start,"&lt;"&amp;960,m_end,"&gt;"&amp;900),INDEX(m_label,_xlfn.MAXIFS(m_row,m_teacher,AB$4,m_date,($G$2+10),m_active,1,m_start,"&lt;"&amp;960,m_end,"&gt;"&amp;900))))))</f>
        <v/>
      </c>
      <c r="AC44" s="78"/>
      <c r="AD44" s="79" t="s">
        <v>97</v>
      </c>
      <c r="AE44" s="88" t="str">
        <f aca="false">IF(OR(AE$4="",MONTH(($G$2+17))&lt;&gt;MONTH($C$2)),"",IF(COUNTIFS(m_teacher,AE$4,m_date,($G$2+17),m_active,1,m_start,"&lt;"&amp;960,m_end,"&gt;"&amp;900)=0,"",IF(COUNTIFS(m_teacher,AE$4,m_date,($G$2+17),m_active,1,m_start,"&lt;"&amp;960,m_end,"&gt;"&amp;900)&gt;1,"충돌",HYPERLINK("#'관리자_MASTER'!D"&amp;_xlfn.MAXIFS(m_row,m_teacher,AE$4,m_date,($G$2+17),m_active,1,m_start,"&lt;"&amp;960,m_end,"&gt;"&amp;900),INDEX(m_label,_xlfn.MAXIFS(m_row,m_teacher,AE$4,m_date,($G$2+17),m_active,1,m_start,"&lt;"&amp;960,m_end,"&gt;"&amp;900))))))</f>
        <v/>
      </c>
      <c r="AF44" s="88" t="str">
        <f aca="false">IF(OR(AF$4="",MONTH(($G$2+17))&lt;&gt;MONTH($C$2)),"",IF(COUNTIFS(m_teacher,AF$4,m_date,($G$2+17),m_active,1,m_start,"&lt;"&amp;960,m_end,"&gt;"&amp;900)=0,"",IF(COUNTIFS(m_teacher,AF$4,m_date,($G$2+17),m_active,1,m_start,"&lt;"&amp;960,m_end,"&gt;"&amp;900)&gt;1,"충돌",HYPERLINK("#'관리자_MASTER'!D"&amp;_xlfn.MAXIFS(m_row,m_teacher,AF$4,m_date,($G$2+17),m_active,1,m_start,"&lt;"&amp;960,m_end,"&gt;"&amp;900),INDEX(m_label,_xlfn.MAXIFS(m_row,m_teacher,AF$4,m_date,($G$2+17),m_active,1,m_start,"&lt;"&amp;960,m_end,"&gt;"&amp;900))))))</f>
        <v/>
      </c>
      <c r="AG44" s="88" t="str">
        <f aca="false">IF(OR(AG$4="",MONTH(($G$2+17))&lt;&gt;MONTH($C$2)),"",IF(COUNTIFS(m_teacher,AG$4,m_date,($G$2+17),m_active,1,m_start,"&lt;"&amp;960,m_end,"&gt;"&amp;900)=0,"",IF(COUNTIFS(m_teacher,AG$4,m_date,($G$2+17),m_active,1,m_start,"&lt;"&amp;960,m_end,"&gt;"&amp;900)&gt;1,"충돌",HYPERLINK("#'관리자_MASTER'!D"&amp;_xlfn.MAXIFS(m_row,m_teacher,AG$4,m_date,($G$2+17),m_active,1,m_start,"&lt;"&amp;960,m_end,"&gt;"&amp;900),INDEX(m_label,_xlfn.MAXIFS(m_row,m_teacher,AG$4,m_date,($G$2+17),m_active,1,m_start,"&lt;"&amp;960,m_end,"&gt;"&amp;900))))))</f>
        <v/>
      </c>
      <c r="AH44" s="88" t="str">
        <f aca="false">IF(OR(AH$4="",MONTH(($G$2+17))&lt;&gt;MONTH($C$2)),"",IF(COUNTIFS(m_teacher,AH$4,m_date,($G$2+17),m_active,1,m_start,"&lt;"&amp;960,m_end,"&gt;"&amp;900)=0,"",IF(COUNTIFS(m_teacher,AH$4,m_date,($G$2+17),m_active,1,m_start,"&lt;"&amp;960,m_end,"&gt;"&amp;900)&gt;1,"충돌",HYPERLINK("#'관리자_MASTER'!D"&amp;_xlfn.MAXIFS(m_row,m_teacher,AH$4,m_date,($G$2+17),m_active,1,m_start,"&lt;"&amp;960,m_end,"&gt;"&amp;900),INDEX(m_label,_xlfn.MAXIFS(m_row,m_teacher,AH$4,m_date,($G$2+17),m_active,1,m_start,"&lt;"&amp;960,m_end,"&gt;"&amp;900))))))</f>
        <v/>
      </c>
      <c r="AI44" s="88" t="str">
        <f aca="false">IF(OR(AI$4="",MONTH(($G$2+17))&lt;&gt;MONTH($C$2)),"",IF(COUNTIFS(m_teacher,AI$4,m_date,($G$2+17),m_active,1,m_start,"&lt;"&amp;960,m_end,"&gt;"&amp;900)=0,"",IF(COUNTIFS(m_teacher,AI$4,m_date,($G$2+17),m_active,1,m_start,"&lt;"&amp;960,m_end,"&gt;"&amp;900)&gt;1,"충돌",HYPERLINK("#'관리자_MASTER'!D"&amp;_xlfn.MAXIFS(m_row,m_teacher,AI$4,m_date,($G$2+17),m_active,1,m_start,"&lt;"&amp;960,m_end,"&gt;"&amp;900),INDEX(m_label,_xlfn.MAXIFS(m_row,m_teacher,AI$4,m_date,($G$2+17),m_active,1,m_start,"&lt;"&amp;960,m_end,"&gt;"&amp;900))))))</f>
        <v/>
      </c>
      <c r="AJ44" s="88" t="str">
        <f aca="false">IF(OR(AJ$4="",MONTH(($G$2+17))&lt;&gt;MONTH($C$2)),"",IF(COUNTIFS(m_teacher,AJ$4,m_date,($G$2+17),m_active,1,m_start,"&lt;"&amp;960,m_end,"&gt;"&amp;900)=0,"",IF(COUNTIFS(m_teacher,AJ$4,m_date,($G$2+17),m_active,1,m_start,"&lt;"&amp;960,m_end,"&gt;"&amp;900)&gt;1,"충돌",HYPERLINK("#'관리자_MASTER'!D"&amp;_xlfn.MAXIFS(m_row,m_teacher,AJ$4,m_date,($G$2+17),m_active,1,m_start,"&lt;"&amp;960,m_end,"&gt;"&amp;900),INDEX(m_label,_xlfn.MAXIFS(m_row,m_teacher,AJ$4,m_date,($G$2+17),m_active,1,m_start,"&lt;"&amp;960,m_end,"&gt;"&amp;900))))))</f>
        <v/>
      </c>
      <c r="AK44" s="88" t="str">
        <f aca="false">IF(OR(AK$4="",MONTH(($G$2+17))&lt;&gt;MONTH($C$2)),"",IF(COUNTIFS(m_teacher,AK$4,m_date,($G$2+17),m_active,1,m_start,"&lt;"&amp;960,m_end,"&gt;"&amp;900)=0,"",IF(COUNTIFS(m_teacher,AK$4,m_date,($G$2+17),m_active,1,m_start,"&lt;"&amp;960,m_end,"&gt;"&amp;900)&gt;1,"충돌",HYPERLINK("#'관리자_MASTER'!D"&amp;_xlfn.MAXIFS(m_row,m_teacher,AK$4,m_date,($G$2+17),m_active,1,m_start,"&lt;"&amp;960,m_end,"&gt;"&amp;900),INDEX(m_label,_xlfn.MAXIFS(m_row,m_teacher,AK$4,m_date,($G$2+17),m_active,1,m_start,"&lt;"&amp;960,m_end,"&gt;"&amp;900))))))</f>
        <v/>
      </c>
      <c r="AL44" s="88" t="str">
        <f aca="false">IF(OR(AL$4="",MONTH(($G$2+17))&lt;&gt;MONTH($C$2)),"",IF(COUNTIFS(m_teacher,AL$4,m_date,($G$2+17),m_active,1,m_start,"&lt;"&amp;960,m_end,"&gt;"&amp;900)=0,"",IF(COUNTIFS(m_teacher,AL$4,m_date,($G$2+17),m_active,1,m_start,"&lt;"&amp;960,m_end,"&gt;"&amp;900)&gt;1,"충돌",HYPERLINK("#'관리자_MASTER'!D"&amp;_xlfn.MAXIFS(m_row,m_teacher,AL$4,m_date,($G$2+17),m_active,1,m_start,"&lt;"&amp;960,m_end,"&gt;"&amp;900),INDEX(m_label,_xlfn.MAXIFS(m_row,m_teacher,AL$4,m_date,($G$2+17),m_active,1,m_start,"&lt;"&amp;960,m_end,"&gt;"&amp;900))))))</f>
        <v/>
      </c>
      <c r="AM44" s="88" t="str">
        <f aca="false">IF(OR(AM$4="",MONTH(($G$2+17))&lt;&gt;MONTH($C$2)),"",IF(COUNTIFS(m_teacher,AM$4,m_date,($G$2+17),m_active,1,m_start,"&lt;"&amp;960,m_end,"&gt;"&amp;900)=0,"",IF(COUNTIFS(m_teacher,AM$4,m_date,($G$2+17),m_active,1,m_start,"&lt;"&amp;960,m_end,"&gt;"&amp;900)&gt;1,"충돌",HYPERLINK("#'관리자_MASTER'!D"&amp;_xlfn.MAXIFS(m_row,m_teacher,AM$4,m_date,($G$2+17),m_active,1,m_start,"&lt;"&amp;960,m_end,"&gt;"&amp;900),INDEX(m_label,_xlfn.MAXIFS(m_row,m_teacher,AM$4,m_date,($G$2+17),m_active,1,m_start,"&lt;"&amp;960,m_end,"&gt;"&amp;900))))))</f>
        <v/>
      </c>
      <c r="AN44" s="88" t="str">
        <f aca="false">IF(OR(AN$4="",MONTH(($G$2+17))&lt;&gt;MONTH($C$2)),"",IF(COUNTIFS(m_teacher,AN$4,m_date,($G$2+17),m_active,1,m_start,"&lt;"&amp;960,m_end,"&gt;"&amp;900)=0,"",IF(COUNTIFS(m_teacher,AN$4,m_date,($G$2+17),m_active,1,m_start,"&lt;"&amp;960,m_end,"&gt;"&amp;900)&gt;1,"충돌",HYPERLINK("#'관리자_MASTER'!D"&amp;_xlfn.MAXIFS(m_row,m_teacher,AN$4,m_date,($G$2+17),m_active,1,m_start,"&lt;"&amp;960,m_end,"&gt;"&amp;900),INDEX(m_label,_xlfn.MAXIFS(m_row,m_teacher,AN$4,m_date,($G$2+17),m_active,1,m_start,"&lt;"&amp;960,m_end,"&gt;"&amp;900))))))</f>
        <v/>
      </c>
      <c r="AO44" s="88" t="str">
        <f aca="false">IF(OR(AO$4="",MONTH(($G$2+17))&lt;&gt;MONTH($C$2)),"",IF(COUNTIFS(m_teacher,AO$4,m_date,($G$2+17),m_active,1,m_start,"&lt;"&amp;960,m_end,"&gt;"&amp;900)=0,"",IF(COUNTIFS(m_teacher,AO$4,m_date,($G$2+17),m_active,1,m_start,"&lt;"&amp;960,m_end,"&gt;"&amp;900)&gt;1,"충돌",HYPERLINK("#'관리자_MASTER'!D"&amp;_xlfn.MAXIFS(m_row,m_teacher,AO$4,m_date,($G$2+17),m_active,1,m_start,"&lt;"&amp;960,m_end,"&gt;"&amp;900),INDEX(m_label,_xlfn.MAXIFS(m_row,m_teacher,AO$4,m_date,($G$2+17),m_active,1,m_start,"&lt;"&amp;960,m_end,"&gt;"&amp;900))))))</f>
        <v/>
      </c>
      <c r="AP44" s="88" t="str">
        <f aca="false">IF(OR(AP$4="",MONTH(($G$2+17))&lt;&gt;MONTH($C$2)),"",IF(COUNTIFS(m_teacher,AP$4,m_date,($G$2+17),m_active,1,m_start,"&lt;"&amp;960,m_end,"&gt;"&amp;900)=0,"",IF(COUNTIFS(m_teacher,AP$4,m_date,($G$2+17),m_active,1,m_start,"&lt;"&amp;960,m_end,"&gt;"&amp;900)&gt;1,"충돌",HYPERLINK("#'관리자_MASTER'!D"&amp;_xlfn.MAXIFS(m_row,m_teacher,AP$4,m_date,($G$2+17),m_active,1,m_start,"&lt;"&amp;960,m_end,"&gt;"&amp;900),INDEX(m_label,_xlfn.MAXIFS(m_row,m_teacher,AP$4,m_date,($G$2+17),m_active,1,m_start,"&lt;"&amp;960,m_end,"&gt;"&amp;900))))))</f>
        <v/>
      </c>
      <c r="AQ44" s="78"/>
      <c r="AR44" s="79" t="s">
        <v>97</v>
      </c>
      <c r="AS44" s="88" t="str">
        <f aca="false">IF(OR(AS$4="",MONTH(($G$2+24))&lt;&gt;MONTH($C$2)),"",IF(COUNTIFS(m_teacher,AS$4,m_date,($G$2+24),m_active,1,m_start,"&lt;"&amp;960,m_end,"&gt;"&amp;900)=0,"",IF(COUNTIFS(m_teacher,AS$4,m_date,($G$2+24),m_active,1,m_start,"&lt;"&amp;960,m_end,"&gt;"&amp;900)&gt;1,"충돌",HYPERLINK("#'관리자_MASTER'!D"&amp;_xlfn.MAXIFS(m_row,m_teacher,AS$4,m_date,($G$2+24),m_active,1,m_start,"&lt;"&amp;960,m_end,"&gt;"&amp;900),INDEX(m_label,_xlfn.MAXIFS(m_row,m_teacher,AS$4,m_date,($G$2+24),m_active,1,m_start,"&lt;"&amp;960,m_end,"&gt;"&amp;900))))))</f>
        <v/>
      </c>
      <c r="AT44" s="88" t="str">
        <f aca="false">IF(OR(AT$4="",MONTH(($G$2+24))&lt;&gt;MONTH($C$2)),"",IF(COUNTIFS(m_teacher,AT$4,m_date,($G$2+24),m_active,1,m_start,"&lt;"&amp;960,m_end,"&gt;"&amp;900)=0,"",IF(COUNTIFS(m_teacher,AT$4,m_date,($G$2+24),m_active,1,m_start,"&lt;"&amp;960,m_end,"&gt;"&amp;900)&gt;1,"충돌",HYPERLINK("#'관리자_MASTER'!D"&amp;_xlfn.MAXIFS(m_row,m_teacher,AT$4,m_date,($G$2+24),m_active,1,m_start,"&lt;"&amp;960,m_end,"&gt;"&amp;900),INDEX(m_label,_xlfn.MAXIFS(m_row,m_teacher,AT$4,m_date,($G$2+24),m_active,1,m_start,"&lt;"&amp;960,m_end,"&gt;"&amp;900))))))</f>
        <v/>
      </c>
      <c r="AU44" s="88" t="str">
        <f aca="false">IF(OR(AU$4="",MONTH(($G$2+24))&lt;&gt;MONTH($C$2)),"",IF(COUNTIFS(m_teacher,AU$4,m_date,($G$2+24),m_active,1,m_start,"&lt;"&amp;960,m_end,"&gt;"&amp;900)=0,"",IF(COUNTIFS(m_teacher,AU$4,m_date,($G$2+24),m_active,1,m_start,"&lt;"&amp;960,m_end,"&gt;"&amp;900)&gt;1,"충돌",HYPERLINK("#'관리자_MASTER'!D"&amp;_xlfn.MAXIFS(m_row,m_teacher,AU$4,m_date,($G$2+24),m_active,1,m_start,"&lt;"&amp;960,m_end,"&gt;"&amp;900),INDEX(m_label,_xlfn.MAXIFS(m_row,m_teacher,AU$4,m_date,($G$2+24),m_active,1,m_start,"&lt;"&amp;960,m_end,"&gt;"&amp;900))))))</f>
        <v/>
      </c>
      <c r="AV44" s="88" t="str">
        <f aca="false">IF(OR(AV$4="",MONTH(($G$2+24))&lt;&gt;MONTH($C$2)),"",IF(COUNTIFS(m_teacher,AV$4,m_date,($G$2+24),m_active,1,m_start,"&lt;"&amp;960,m_end,"&gt;"&amp;900)=0,"",IF(COUNTIFS(m_teacher,AV$4,m_date,($G$2+24),m_active,1,m_start,"&lt;"&amp;960,m_end,"&gt;"&amp;900)&gt;1,"충돌",HYPERLINK("#'관리자_MASTER'!D"&amp;_xlfn.MAXIFS(m_row,m_teacher,AV$4,m_date,($G$2+24),m_active,1,m_start,"&lt;"&amp;960,m_end,"&gt;"&amp;900),INDEX(m_label,_xlfn.MAXIFS(m_row,m_teacher,AV$4,m_date,($G$2+24),m_active,1,m_start,"&lt;"&amp;960,m_end,"&gt;"&amp;900))))))</f>
        <v/>
      </c>
      <c r="AW44" s="88" t="str">
        <f aca="false">IF(OR(AW$4="",MONTH(($G$2+24))&lt;&gt;MONTH($C$2)),"",IF(COUNTIFS(m_teacher,AW$4,m_date,($G$2+24),m_active,1,m_start,"&lt;"&amp;960,m_end,"&gt;"&amp;900)=0,"",IF(COUNTIFS(m_teacher,AW$4,m_date,($G$2+24),m_active,1,m_start,"&lt;"&amp;960,m_end,"&gt;"&amp;900)&gt;1,"충돌",HYPERLINK("#'관리자_MASTER'!D"&amp;_xlfn.MAXIFS(m_row,m_teacher,AW$4,m_date,($G$2+24),m_active,1,m_start,"&lt;"&amp;960,m_end,"&gt;"&amp;900),INDEX(m_label,_xlfn.MAXIFS(m_row,m_teacher,AW$4,m_date,($G$2+24),m_active,1,m_start,"&lt;"&amp;960,m_end,"&gt;"&amp;900))))))</f>
        <v/>
      </c>
      <c r="AX44" s="88" t="str">
        <f aca="false">IF(OR(AX$4="",MONTH(($G$2+24))&lt;&gt;MONTH($C$2)),"",IF(COUNTIFS(m_teacher,AX$4,m_date,($G$2+24),m_active,1,m_start,"&lt;"&amp;960,m_end,"&gt;"&amp;900)=0,"",IF(COUNTIFS(m_teacher,AX$4,m_date,($G$2+24),m_active,1,m_start,"&lt;"&amp;960,m_end,"&gt;"&amp;900)&gt;1,"충돌",HYPERLINK("#'관리자_MASTER'!D"&amp;_xlfn.MAXIFS(m_row,m_teacher,AX$4,m_date,($G$2+24),m_active,1,m_start,"&lt;"&amp;960,m_end,"&gt;"&amp;900),INDEX(m_label,_xlfn.MAXIFS(m_row,m_teacher,AX$4,m_date,($G$2+24),m_active,1,m_start,"&lt;"&amp;960,m_end,"&gt;"&amp;900))))))</f>
        <v/>
      </c>
      <c r="AY44" s="88" t="str">
        <f aca="false">IF(OR(AY$4="",MONTH(($G$2+24))&lt;&gt;MONTH($C$2)),"",IF(COUNTIFS(m_teacher,AY$4,m_date,($G$2+24),m_active,1,m_start,"&lt;"&amp;960,m_end,"&gt;"&amp;900)=0,"",IF(COUNTIFS(m_teacher,AY$4,m_date,($G$2+24),m_active,1,m_start,"&lt;"&amp;960,m_end,"&gt;"&amp;900)&gt;1,"충돌",HYPERLINK("#'관리자_MASTER'!D"&amp;_xlfn.MAXIFS(m_row,m_teacher,AY$4,m_date,($G$2+24),m_active,1,m_start,"&lt;"&amp;960,m_end,"&gt;"&amp;900),INDEX(m_label,_xlfn.MAXIFS(m_row,m_teacher,AY$4,m_date,($G$2+24),m_active,1,m_start,"&lt;"&amp;960,m_end,"&gt;"&amp;900))))))</f>
        <v/>
      </c>
      <c r="AZ44" s="88" t="str">
        <f aca="false">IF(OR(AZ$4="",MONTH(($G$2+24))&lt;&gt;MONTH($C$2)),"",IF(COUNTIFS(m_teacher,AZ$4,m_date,($G$2+24),m_active,1,m_start,"&lt;"&amp;960,m_end,"&gt;"&amp;900)=0,"",IF(COUNTIFS(m_teacher,AZ$4,m_date,($G$2+24),m_active,1,m_start,"&lt;"&amp;960,m_end,"&gt;"&amp;900)&gt;1,"충돌",HYPERLINK("#'관리자_MASTER'!D"&amp;_xlfn.MAXIFS(m_row,m_teacher,AZ$4,m_date,($G$2+24),m_active,1,m_start,"&lt;"&amp;960,m_end,"&gt;"&amp;900),INDEX(m_label,_xlfn.MAXIFS(m_row,m_teacher,AZ$4,m_date,($G$2+24),m_active,1,m_start,"&lt;"&amp;960,m_end,"&gt;"&amp;900))))))</f>
        <v/>
      </c>
      <c r="BA44" s="88" t="str">
        <f aca="false">IF(OR(BA$4="",MONTH(($G$2+24))&lt;&gt;MONTH($C$2)),"",IF(COUNTIFS(m_teacher,BA$4,m_date,($G$2+24),m_active,1,m_start,"&lt;"&amp;960,m_end,"&gt;"&amp;900)=0,"",IF(COUNTIFS(m_teacher,BA$4,m_date,($G$2+24),m_active,1,m_start,"&lt;"&amp;960,m_end,"&gt;"&amp;900)&gt;1,"충돌",HYPERLINK("#'관리자_MASTER'!D"&amp;_xlfn.MAXIFS(m_row,m_teacher,BA$4,m_date,($G$2+24),m_active,1,m_start,"&lt;"&amp;960,m_end,"&gt;"&amp;900),INDEX(m_label,_xlfn.MAXIFS(m_row,m_teacher,BA$4,m_date,($G$2+24),m_active,1,m_start,"&lt;"&amp;960,m_end,"&gt;"&amp;900))))))</f>
        <v/>
      </c>
      <c r="BB44" s="88" t="str">
        <f aca="false">IF(OR(BB$4="",MONTH(($G$2+24))&lt;&gt;MONTH($C$2)),"",IF(COUNTIFS(m_teacher,BB$4,m_date,($G$2+24),m_active,1,m_start,"&lt;"&amp;960,m_end,"&gt;"&amp;900)=0,"",IF(COUNTIFS(m_teacher,BB$4,m_date,($G$2+24),m_active,1,m_start,"&lt;"&amp;960,m_end,"&gt;"&amp;900)&gt;1,"충돌",HYPERLINK("#'관리자_MASTER'!D"&amp;_xlfn.MAXIFS(m_row,m_teacher,BB$4,m_date,($G$2+24),m_active,1,m_start,"&lt;"&amp;960,m_end,"&gt;"&amp;900),INDEX(m_label,_xlfn.MAXIFS(m_row,m_teacher,BB$4,m_date,($G$2+24),m_active,1,m_start,"&lt;"&amp;960,m_end,"&gt;"&amp;900))))))</f>
        <v/>
      </c>
      <c r="BC44" s="88" t="str">
        <f aca="false">IF(OR(BC$4="",MONTH(($G$2+24))&lt;&gt;MONTH($C$2)),"",IF(COUNTIFS(m_teacher,BC$4,m_date,($G$2+24),m_active,1,m_start,"&lt;"&amp;960,m_end,"&gt;"&amp;900)=0,"",IF(COUNTIFS(m_teacher,BC$4,m_date,($G$2+24),m_active,1,m_start,"&lt;"&amp;960,m_end,"&gt;"&amp;900)&gt;1,"충돌",HYPERLINK("#'관리자_MASTER'!D"&amp;_xlfn.MAXIFS(m_row,m_teacher,BC$4,m_date,($G$2+24),m_active,1,m_start,"&lt;"&amp;960,m_end,"&gt;"&amp;900),INDEX(m_label,_xlfn.MAXIFS(m_row,m_teacher,BC$4,m_date,($G$2+24),m_active,1,m_start,"&lt;"&amp;960,m_end,"&gt;"&amp;900))))))</f>
        <v/>
      </c>
      <c r="BD44" s="88" t="str">
        <f aca="false">IF(OR(BD$4="",MONTH(($G$2+24))&lt;&gt;MONTH($C$2)),"",IF(COUNTIFS(m_teacher,BD$4,m_date,($G$2+24),m_active,1,m_start,"&lt;"&amp;960,m_end,"&gt;"&amp;900)=0,"",IF(COUNTIFS(m_teacher,BD$4,m_date,($G$2+24),m_active,1,m_start,"&lt;"&amp;960,m_end,"&gt;"&amp;900)&gt;1,"충돌",HYPERLINK("#'관리자_MASTER'!D"&amp;_xlfn.MAXIFS(m_row,m_teacher,BD$4,m_date,($G$2+24),m_active,1,m_start,"&lt;"&amp;960,m_end,"&gt;"&amp;900),INDEX(m_label,_xlfn.MAXIFS(m_row,m_teacher,BD$4,m_date,($G$2+24),m_active,1,m_start,"&lt;"&amp;960,m_end,"&gt;"&amp;900))))))</f>
        <v/>
      </c>
      <c r="BE44" s="78"/>
      <c r="BF44" s="79" t="s">
        <v>97</v>
      </c>
      <c r="BG44" s="88" t="str">
        <f aca="false">IF(OR(BG$4="",MONTH(($G$2+31))&lt;&gt;MONTH($C$2)),"",IF(COUNTIFS(m_teacher,BG$4,m_date,($G$2+31),m_active,1,m_start,"&lt;"&amp;960,m_end,"&gt;"&amp;900)=0,"",IF(COUNTIFS(m_teacher,BG$4,m_date,($G$2+31),m_active,1,m_start,"&lt;"&amp;960,m_end,"&gt;"&amp;900)&gt;1,"충돌",HYPERLINK("#'관리자_MASTER'!D"&amp;_xlfn.MAXIFS(m_row,m_teacher,BG$4,m_date,($G$2+31),m_active,1,m_start,"&lt;"&amp;960,m_end,"&gt;"&amp;900),INDEX(m_label,_xlfn.MAXIFS(m_row,m_teacher,BG$4,m_date,($G$2+31),m_active,1,m_start,"&lt;"&amp;960,m_end,"&gt;"&amp;900))))))</f>
        <v/>
      </c>
      <c r="BH44" s="88" t="str">
        <f aca="false">IF(OR(BH$4="",MONTH(($G$2+31))&lt;&gt;MONTH($C$2)),"",IF(COUNTIFS(m_teacher,BH$4,m_date,($G$2+31),m_active,1,m_start,"&lt;"&amp;960,m_end,"&gt;"&amp;900)=0,"",IF(COUNTIFS(m_teacher,BH$4,m_date,($G$2+31),m_active,1,m_start,"&lt;"&amp;960,m_end,"&gt;"&amp;900)&gt;1,"충돌",HYPERLINK("#'관리자_MASTER'!D"&amp;_xlfn.MAXIFS(m_row,m_teacher,BH$4,m_date,($G$2+31),m_active,1,m_start,"&lt;"&amp;960,m_end,"&gt;"&amp;900),INDEX(m_label,_xlfn.MAXIFS(m_row,m_teacher,BH$4,m_date,($G$2+31),m_active,1,m_start,"&lt;"&amp;960,m_end,"&gt;"&amp;900))))))</f>
        <v/>
      </c>
      <c r="BI44" s="88" t="str">
        <f aca="false">IF(OR(BI$4="",MONTH(($G$2+31))&lt;&gt;MONTH($C$2)),"",IF(COUNTIFS(m_teacher,BI$4,m_date,($G$2+31),m_active,1,m_start,"&lt;"&amp;960,m_end,"&gt;"&amp;900)=0,"",IF(COUNTIFS(m_teacher,BI$4,m_date,($G$2+31),m_active,1,m_start,"&lt;"&amp;960,m_end,"&gt;"&amp;900)&gt;1,"충돌",HYPERLINK("#'관리자_MASTER'!D"&amp;_xlfn.MAXIFS(m_row,m_teacher,BI$4,m_date,($G$2+31),m_active,1,m_start,"&lt;"&amp;960,m_end,"&gt;"&amp;900),INDEX(m_label,_xlfn.MAXIFS(m_row,m_teacher,BI$4,m_date,($G$2+31),m_active,1,m_start,"&lt;"&amp;960,m_end,"&gt;"&amp;900))))))</f>
        <v/>
      </c>
      <c r="BJ44" s="88" t="str">
        <f aca="false">IF(OR(BJ$4="",MONTH(($G$2+31))&lt;&gt;MONTH($C$2)),"",IF(COUNTIFS(m_teacher,BJ$4,m_date,($G$2+31),m_active,1,m_start,"&lt;"&amp;960,m_end,"&gt;"&amp;900)=0,"",IF(COUNTIFS(m_teacher,BJ$4,m_date,($G$2+31),m_active,1,m_start,"&lt;"&amp;960,m_end,"&gt;"&amp;900)&gt;1,"충돌",HYPERLINK("#'관리자_MASTER'!D"&amp;_xlfn.MAXIFS(m_row,m_teacher,BJ$4,m_date,($G$2+31),m_active,1,m_start,"&lt;"&amp;960,m_end,"&gt;"&amp;900),INDEX(m_label,_xlfn.MAXIFS(m_row,m_teacher,BJ$4,m_date,($G$2+31),m_active,1,m_start,"&lt;"&amp;960,m_end,"&gt;"&amp;900))))))</f>
        <v/>
      </c>
      <c r="BK44" s="88" t="str">
        <f aca="false">IF(OR(BK$4="",MONTH(($G$2+31))&lt;&gt;MONTH($C$2)),"",IF(COUNTIFS(m_teacher,BK$4,m_date,($G$2+31),m_active,1,m_start,"&lt;"&amp;960,m_end,"&gt;"&amp;900)=0,"",IF(COUNTIFS(m_teacher,BK$4,m_date,($G$2+31),m_active,1,m_start,"&lt;"&amp;960,m_end,"&gt;"&amp;900)&gt;1,"충돌",HYPERLINK("#'관리자_MASTER'!D"&amp;_xlfn.MAXIFS(m_row,m_teacher,BK$4,m_date,($G$2+31),m_active,1,m_start,"&lt;"&amp;960,m_end,"&gt;"&amp;900),INDEX(m_label,_xlfn.MAXIFS(m_row,m_teacher,BK$4,m_date,($G$2+31),m_active,1,m_start,"&lt;"&amp;960,m_end,"&gt;"&amp;900))))))</f>
        <v/>
      </c>
      <c r="BL44" s="88" t="str">
        <f aca="false">IF(OR(BL$4="",MONTH(($G$2+31))&lt;&gt;MONTH($C$2)),"",IF(COUNTIFS(m_teacher,BL$4,m_date,($G$2+31),m_active,1,m_start,"&lt;"&amp;960,m_end,"&gt;"&amp;900)=0,"",IF(COUNTIFS(m_teacher,BL$4,m_date,($G$2+31),m_active,1,m_start,"&lt;"&amp;960,m_end,"&gt;"&amp;900)&gt;1,"충돌",HYPERLINK("#'관리자_MASTER'!D"&amp;_xlfn.MAXIFS(m_row,m_teacher,BL$4,m_date,($G$2+31),m_active,1,m_start,"&lt;"&amp;960,m_end,"&gt;"&amp;900),INDEX(m_label,_xlfn.MAXIFS(m_row,m_teacher,BL$4,m_date,($G$2+31),m_active,1,m_start,"&lt;"&amp;960,m_end,"&gt;"&amp;900))))))</f>
        <v/>
      </c>
      <c r="BM44" s="88" t="str">
        <f aca="false">IF(OR(BM$4="",MONTH(($G$2+31))&lt;&gt;MONTH($C$2)),"",IF(COUNTIFS(m_teacher,BM$4,m_date,($G$2+31),m_active,1,m_start,"&lt;"&amp;960,m_end,"&gt;"&amp;900)=0,"",IF(COUNTIFS(m_teacher,BM$4,m_date,($G$2+31),m_active,1,m_start,"&lt;"&amp;960,m_end,"&gt;"&amp;900)&gt;1,"충돌",HYPERLINK("#'관리자_MASTER'!D"&amp;_xlfn.MAXIFS(m_row,m_teacher,BM$4,m_date,($G$2+31),m_active,1,m_start,"&lt;"&amp;960,m_end,"&gt;"&amp;900),INDEX(m_label,_xlfn.MAXIFS(m_row,m_teacher,BM$4,m_date,($G$2+31),m_active,1,m_start,"&lt;"&amp;960,m_end,"&gt;"&amp;900))))))</f>
        <v/>
      </c>
      <c r="BN44" s="88" t="str">
        <f aca="false">IF(OR(BN$4="",MONTH(($G$2+31))&lt;&gt;MONTH($C$2)),"",IF(COUNTIFS(m_teacher,BN$4,m_date,($G$2+31),m_active,1,m_start,"&lt;"&amp;960,m_end,"&gt;"&amp;900)=0,"",IF(COUNTIFS(m_teacher,BN$4,m_date,($G$2+31),m_active,1,m_start,"&lt;"&amp;960,m_end,"&gt;"&amp;900)&gt;1,"충돌",HYPERLINK("#'관리자_MASTER'!D"&amp;_xlfn.MAXIFS(m_row,m_teacher,BN$4,m_date,($G$2+31),m_active,1,m_start,"&lt;"&amp;960,m_end,"&gt;"&amp;900),INDEX(m_label,_xlfn.MAXIFS(m_row,m_teacher,BN$4,m_date,($G$2+31),m_active,1,m_start,"&lt;"&amp;960,m_end,"&gt;"&amp;900))))))</f>
        <v/>
      </c>
      <c r="BO44" s="88" t="str">
        <f aca="false">IF(OR(BO$4="",MONTH(($G$2+31))&lt;&gt;MONTH($C$2)),"",IF(COUNTIFS(m_teacher,BO$4,m_date,($G$2+31),m_active,1,m_start,"&lt;"&amp;960,m_end,"&gt;"&amp;900)=0,"",IF(COUNTIFS(m_teacher,BO$4,m_date,($G$2+31),m_active,1,m_start,"&lt;"&amp;960,m_end,"&gt;"&amp;900)&gt;1,"충돌",HYPERLINK("#'관리자_MASTER'!D"&amp;_xlfn.MAXIFS(m_row,m_teacher,BO$4,m_date,($G$2+31),m_active,1,m_start,"&lt;"&amp;960,m_end,"&gt;"&amp;900),INDEX(m_label,_xlfn.MAXIFS(m_row,m_teacher,BO$4,m_date,($G$2+31),m_active,1,m_start,"&lt;"&amp;960,m_end,"&gt;"&amp;900))))))</f>
        <v/>
      </c>
      <c r="BP44" s="88" t="str">
        <f aca="false">IF(OR(BP$4="",MONTH(($G$2+31))&lt;&gt;MONTH($C$2)),"",IF(COUNTIFS(m_teacher,BP$4,m_date,($G$2+31),m_active,1,m_start,"&lt;"&amp;960,m_end,"&gt;"&amp;900)=0,"",IF(COUNTIFS(m_teacher,BP$4,m_date,($G$2+31),m_active,1,m_start,"&lt;"&amp;960,m_end,"&gt;"&amp;900)&gt;1,"충돌",HYPERLINK("#'관리자_MASTER'!D"&amp;_xlfn.MAXIFS(m_row,m_teacher,BP$4,m_date,($G$2+31),m_active,1,m_start,"&lt;"&amp;960,m_end,"&gt;"&amp;900),INDEX(m_label,_xlfn.MAXIFS(m_row,m_teacher,BP$4,m_date,($G$2+31),m_active,1,m_start,"&lt;"&amp;960,m_end,"&gt;"&amp;900))))))</f>
        <v/>
      </c>
      <c r="BQ44" s="88" t="str">
        <f aca="false">IF(OR(BQ$4="",MONTH(($G$2+31))&lt;&gt;MONTH($C$2)),"",IF(COUNTIFS(m_teacher,BQ$4,m_date,($G$2+31),m_active,1,m_start,"&lt;"&amp;960,m_end,"&gt;"&amp;900)=0,"",IF(COUNTIFS(m_teacher,BQ$4,m_date,($G$2+31),m_active,1,m_start,"&lt;"&amp;960,m_end,"&gt;"&amp;900)&gt;1,"충돌",HYPERLINK("#'관리자_MASTER'!D"&amp;_xlfn.MAXIFS(m_row,m_teacher,BQ$4,m_date,($G$2+31),m_active,1,m_start,"&lt;"&amp;960,m_end,"&gt;"&amp;900),INDEX(m_label,_xlfn.MAXIFS(m_row,m_teacher,BQ$4,m_date,($G$2+31),m_active,1,m_start,"&lt;"&amp;960,m_end,"&gt;"&amp;900))))))</f>
        <v/>
      </c>
      <c r="BR44" s="88" t="str">
        <f aca="false">IF(OR(BR$4="",MONTH(($G$2+31))&lt;&gt;MONTH($C$2)),"",IF(COUNTIFS(m_teacher,BR$4,m_date,($G$2+31),m_active,1,m_start,"&lt;"&amp;960,m_end,"&gt;"&amp;900)=0,"",IF(COUNTIFS(m_teacher,BR$4,m_date,($G$2+31),m_active,1,m_start,"&lt;"&amp;960,m_end,"&gt;"&amp;900)&gt;1,"충돌",HYPERLINK("#'관리자_MASTER'!D"&amp;_xlfn.MAXIFS(m_row,m_teacher,BR$4,m_date,($G$2+31),m_active,1,m_start,"&lt;"&amp;960,m_end,"&gt;"&amp;900),INDEX(m_label,_xlfn.MAXIFS(m_row,m_teacher,BR$4,m_date,($G$2+31),m_active,1,m_start,"&lt;"&amp;960,m_end,"&gt;"&amp;900))))))</f>
        <v/>
      </c>
    </row>
    <row r="45" customFormat="false" ht="19.5" hidden="false" customHeight="true" outlineLevel="0" collapsed="false">
      <c r="A45" s="78"/>
      <c r="B45" s="79" t="s">
        <v>98</v>
      </c>
      <c r="C45" s="88" t="str">
        <f aca="false">IF(OR(C$4="",MONTH(($G$2+3))&lt;&gt;MONTH($C$2)),"",IF(COUNTIFS(m_teacher,C$4,m_date,($G$2+3),m_active,1,m_start,"&lt;"&amp;1020,m_end,"&gt;"&amp;960)=0,"",IF(COUNTIFS(m_teacher,C$4,m_date,($G$2+3),m_active,1,m_start,"&lt;"&amp;1020,m_end,"&gt;"&amp;960)&gt;1,"충돌",HYPERLINK("#'관리자_MASTER'!D"&amp;_xlfn.MAXIFS(m_row,m_teacher,C$4,m_date,($G$2+3),m_active,1,m_start,"&lt;"&amp;1020,m_end,"&gt;"&amp;960),INDEX(m_label,_xlfn.MAXIFS(m_row,m_teacher,C$4,m_date,($G$2+3),m_active,1,m_start,"&lt;"&amp;1020,m_end,"&gt;"&amp;960))))))</f>
        <v/>
      </c>
      <c r="D45" s="88" t="str">
        <f aca="false">IF(OR(D$4="",MONTH(($G$2+3))&lt;&gt;MONTH($C$2)),"",IF(COUNTIFS(m_teacher,D$4,m_date,($G$2+3),m_active,1,m_start,"&lt;"&amp;1020,m_end,"&gt;"&amp;960)=0,"",IF(COUNTIFS(m_teacher,D$4,m_date,($G$2+3),m_active,1,m_start,"&lt;"&amp;1020,m_end,"&gt;"&amp;960)&gt;1,"충돌",HYPERLINK("#'관리자_MASTER'!D"&amp;_xlfn.MAXIFS(m_row,m_teacher,D$4,m_date,($G$2+3),m_active,1,m_start,"&lt;"&amp;1020,m_end,"&gt;"&amp;960),INDEX(m_label,_xlfn.MAXIFS(m_row,m_teacher,D$4,m_date,($G$2+3),m_active,1,m_start,"&lt;"&amp;1020,m_end,"&gt;"&amp;960))))))</f>
        <v/>
      </c>
      <c r="E45" s="88" t="str">
        <f aca="false">IF(OR(E$4="",MONTH(($G$2+3))&lt;&gt;MONTH($C$2)),"",IF(COUNTIFS(m_teacher,E$4,m_date,($G$2+3),m_active,1,m_start,"&lt;"&amp;1020,m_end,"&gt;"&amp;960)=0,"",IF(COUNTIFS(m_teacher,E$4,m_date,($G$2+3),m_active,1,m_start,"&lt;"&amp;1020,m_end,"&gt;"&amp;960)&gt;1,"충돌",HYPERLINK("#'관리자_MASTER'!D"&amp;_xlfn.MAXIFS(m_row,m_teacher,E$4,m_date,($G$2+3),m_active,1,m_start,"&lt;"&amp;1020,m_end,"&gt;"&amp;960),INDEX(m_label,_xlfn.MAXIFS(m_row,m_teacher,E$4,m_date,($G$2+3),m_active,1,m_start,"&lt;"&amp;1020,m_end,"&gt;"&amp;960))))))</f>
        <v/>
      </c>
      <c r="F45" s="88" t="str">
        <f aca="false">IF(OR(F$4="",MONTH(($G$2+3))&lt;&gt;MONTH($C$2)),"",IF(COUNTIFS(m_teacher,F$4,m_date,($G$2+3),m_active,1,m_start,"&lt;"&amp;1020,m_end,"&gt;"&amp;960)=0,"",IF(COUNTIFS(m_teacher,F$4,m_date,($G$2+3),m_active,1,m_start,"&lt;"&amp;1020,m_end,"&gt;"&amp;960)&gt;1,"충돌",HYPERLINK("#'관리자_MASTER'!D"&amp;_xlfn.MAXIFS(m_row,m_teacher,F$4,m_date,($G$2+3),m_active,1,m_start,"&lt;"&amp;1020,m_end,"&gt;"&amp;960),INDEX(m_label,_xlfn.MAXIFS(m_row,m_teacher,F$4,m_date,($G$2+3),m_active,1,m_start,"&lt;"&amp;1020,m_end,"&gt;"&amp;960))))))</f>
        <v/>
      </c>
      <c r="G45" s="88" t="str">
        <f aca="false">IF(OR(G$4="",MONTH(($G$2+3))&lt;&gt;MONTH($C$2)),"",IF(COUNTIFS(m_teacher,G$4,m_date,($G$2+3),m_active,1,m_start,"&lt;"&amp;1020,m_end,"&gt;"&amp;960)=0,"",IF(COUNTIFS(m_teacher,G$4,m_date,($G$2+3),m_active,1,m_start,"&lt;"&amp;1020,m_end,"&gt;"&amp;960)&gt;1,"충돌",HYPERLINK("#'관리자_MASTER'!D"&amp;_xlfn.MAXIFS(m_row,m_teacher,G$4,m_date,($G$2+3),m_active,1,m_start,"&lt;"&amp;1020,m_end,"&gt;"&amp;960),INDEX(m_label,_xlfn.MAXIFS(m_row,m_teacher,G$4,m_date,($G$2+3),m_active,1,m_start,"&lt;"&amp;1020,m_end,"&gt;"&amp;960))))))</f>
        <v/>
      </c>
      <c r="H45" s="88" t="str">
        <f aca="false">IF(OR(H$4="",MONTH(($G$2+3))&lt;&gt;MONTH($C$2)),"",IF(COUNTIFS(m_teacher,H$4,m_date,($G$2+3),m_active,1,m_start,"&lt;"&amp;1020,m_end,"&gt;"&amp;960)=0,"",IF(COUNTIFS(m_teacher,H$4,m_date,($G$2+3),m_active,1,m_start,"&lt;"&amp;1020,m_end,"&gt;"&amp;960)&gt;1,"충돌",HYPERLINK("#'관리자_MASTER'!D"&amp;_xlfn.MAXIFS(m_row,m_teacher,H$4,m_date,($G$2+3),m_active,1,m_start,"&lt;"&amp;1020,m_end,"&gt;"&amp;960),INDEX(m_label,_xlfn.MAXIFS(m_row,m_teacher,H$4,m_date,($G$2+3),m_active,1,m_start,"&lt;"&amp;1020,m_end,"&gt;"&amp;960))))))</f>
        <v/>
      </c>
      <c r="I45" s="88" t="str">
        <f aca="false">IF(OR(I$4="",MONTH(($G$2+3))&lt;&gt;MONTH($C$2)),"",IF(COUNTIFS(m_teacher,I$4,m_date,($G$2+3),m_active,1,m_start,"&lt;"&amp;1020,m_end,"&gt;"&amp;960)=0,"",IF(COUNTIFS(m_teacher,I$4,m_date,($G$2+3),m_active,1,m_start,"&lt;"&amp;1020,m_end,"&gt;"&amp;960)&gt;1,"충돌",HYPERLINK("#'관리자_MASTER'!D"&amp;_xlfn.MAXIFS(m_row,m_teacher,I$4,m_date,($G$2+3),m_active,1,m_start,"&lt;"&amp;1020,m_end,"&gt;"&amp;960),INDEX(m_label,_xlfn.MAXIFS(m_row,m_teacher,I$4,m_date,($G$2+3),m_active,1,m_start,"&lt;"&amp;1020,m_end,"&gt;"&amp;960))))))</f>
        <v/>
      </c>
      <c r="J45" s="88" t="str">
        <f aca="false">IF(OR(J$4="",MONTH(($G$2+3))&lt;&gt;MONTH($C$2)),"",IF(COUNTIFS(m_teacher,J$4,m_date,($G$2+3),m_active,1,m_start,"&lt;"&amp;1020,m_end,"&gt;"&amp;960)=0,"",IF(COUNTIFS(m_teacher,J$4,m_date,($G$2+3),m_active,1,m_start,"&lt;"&amp;1020,m_end,"&gt;"&amp;960)&gt;1,"충돌",HYPERLINK("#'관리자_MASTER'!D"&amp;_xlfn.MAXIFS(m_row,m_teacher,J$4,m_date,($G$2+3),m_active,1,m_start,"&lt;"&amp;1020,m_end,"&gt;"&amp;960),INDEX(m_label,_xlfn.MAXIFS(m_row,m_teacher,J$4,m_date,($G$2+3),m_active,1,m_start,"&lt;"&amp;1020,m_end,"&gt;"&amp;960))))))</f>
        <v/>
      </c>
      <c r="K45" s="88" t="str">
        <f aca="false">IF(OR(K$4="",MONTH(($G$2+3))&lt;&gt;MONTH($C$2)),"",IF(COUNTIFS(m_teacher,K$4,m_date,($G$2+3),m_active,1,m_start,"&lt;"&amp;1020,m_end,"&gt;"&amp;960)=0,"",IF(COUNTIFS(m_teacher,K$4,m_date,($G$2+3),m_active,1,m_start,"&lt;"&amp;1020,m_end,"&gt;"&amp;960)&gt;1,"충돌",HYPERLINK("#'관리자_MASTER'!D"&amp;_xlfn.MAXIFS(m_row,m_teacher,K$4,m_date,($G$2+3),m_active,1,m_start,"&lt;"&amp;1020,m_end,"&gt;"&amp;960),INDEX(m_label,_xlfn.MAXIFS(m_row,m_teacher,K$4,m_date,($G$2+3),m_active,1,m_start,"&lt;"&amp;1020,m_end,"&gt;"&amp;960))))))</f>
        <v/>
      </c>
      <c r="L45" s="88" t="str">
        <f aca="false">IF(OR(L$4="",MONTH(($G$2+3))&lt;&gt;MONTH($C$2)),"",IF(COUNTIFS(m_teacher,L$4,m_date,($G$2+3),m_active,1,m_start,"&lt;"&amp;1020,m_end,"&gt;"&amp;960)=0,"",IF(COUNTIFS(m_teacher,L$4,m_date,($G$2+3),m_active,1,m_start,"&lt;"&amp;1020,m_end,"&gt;"&amp;960)&gt;1,"충돌",HYPERLINK("#'관리자_MASTER'!D"&amp;_xlfn.MAXIFS(m_row,m_teacher,L$4,m_date,($G$2+3),m_active,1,m_start,"&lt;"&amp;1020,m_end,"&gt;"&amp;960),INDEX(m_label,_xlfn.MAXIFS(m_row,m_teacher,L$4,m_date,($G$2+3),m_active,1,m_start,"&lt;"&amp;1020,m_end,"&gt;"&amp;960))))))</f>
        <v/>
      </c>
      <c r="M45" s="88" t="str">
        <f aca="false">IF(OR(M$4="",MONTH(($G$2+3))&lt;&gt;MONTH($C$2)),"",IF(COUNTIFS(m_teacher,M$4,m_date,($G$2+3),m_active,1,m_start,"&lt;"&amp;1020,m_end,"&gt;"&amp;960)=0,"",IF(COUNTIFS(m_teacher,M$4,m_date,($G$2+3),m_active,1,m_start,"&lt;"&amp;1020,m_end,"&gt;"&amp;960)&gt;1,"충돌",HYPERLINK("#'관리자_MASTER'!D"&amp;_xlfn.MAXIFS(m_row,m_teacher,M$4,m_date,($G$2+3),m_active,1,m_start,"&lt;"&amp;1020,m_end,"&gt;"&amp;960),INDEX(m_label,_xlfn.MAXIFS(m_row,m_teacher,M$4,m_date,($G$2+3),m_active,1,m_start,"&lt;"&amp;1020,m_end,"&gt;"&amp;960))))))</f>
        <v/>
      </c>
      <c r="N45" s="88" t="str">
        <f aca="false">IF(OR(N$4="",MONTH(($G$2+3))&lt;&gt;MONTH($C$2)),"",IF(COUNTIFS(m_teacher,N$4,m_date,($G$2+3),m_active,1,m_start,"&lt;"&amp;1020,m_end,"&gt;"&amp;960)=0,"",IF(COUNTIFS(m_teacher,N$4,m_date,($G$2+3),m_active,1,m_start,"&lt;"&amp;1020,m_end,"&gt;"&amp;960)&gt;1,"충돌",HYPERLINK("#'관리자_MASTER'!D"&amp;_xlfn.MAXIFS(m_row,m_teacher,N$4,m_date,($G$2+3),m_active,1,m_start,"&lt;"&amp;1020,m_end,"&gt;"&amp;960),INDEX(m_label,_xlfn.MAXIFS(m_row,m_teacher,N$4,m_date,($G$2+3),m_active,1,m_start,"&lt;"&amp;1020,m_end,"&gt;"&amp;960))))))</f>
        <v/>
      </c>
      <c r="O45" s="78"/>
      <c r="P45" s="79" t="s">
        <v>98</v>
      </c>
      <c r="Q45" s="88" t="str">
        <f aca="false">IF(OR(Q$4="",MONTH(($G$2+10))&lt;&gt;MONTH($C$2)),"",IF(COUNTIFS(m_teacher,Q$4,m_date,($G$2+10),m_active,1,m_start,"&lt;"&amp;1020,m_end,"&gt;"&amp;960)=0,"",IF(COUNTIFS(m_teacher,Q$4,m_date,($G$2+10),m_active,1,m_start,"&lt;"&amp;1020,m_end,"&gt;"&amp;960)&gt;1,"충돌",HYPERLINK("#'관리자_MASTER'!D"&amp;_xlfn.MAXIFS(m_row,m_teacher,Q$4,m_date,($G$2+10),m_active,1,m_start,"&lt;"&amp;1020,m_end,"&gt;"&amp;960),INDEX(m_label,_xlfn.MAXIFS(m_row,m_teacher,Q$4,m_date,($G$2+10),m_active,1,m_start,"&lt;"&amp;1020,m_end,"&gt;"&amp;960))))))</f>
        <v/>
      </c>
      <c r="R45" s="88" t="str">
        <f aca="false">IF(OR(R$4="",MONTH(($G$2+10))&lt;&gt;MONTH($C$2)),"",IF(COUNTIFS(m_teacher,R$4,m_date,($G$2+10),m_active,1,m_start,"&lt;"&amp;1020,m_end,"&gt;"&amp;960)=0,"",IF(COUNTIFS(m_teacher,R$4,m_date,($G$2+10),m_active,1,m_start,"&lt;"&amp;1020,m_end,"&gt;"&amp;960)&gt;1,"충돌",HYPERLINK("#'관리자_MASTER'!D"&amp;_xlfn.MAXIFS(m_row,m_teacher,R$4,m_date,($G$2+10),m_active,1,m_start,"&lt;"&amp;1020,m_end,"&gt;"&amp;960),INDEX(m_label,_xlfn.MAXIFS(m_row,m_teacher,R$4,m_date,($G$2+10),m_active,1,m_start,"&lt;"&amp;1020,m_end,"&gt;"&amp;960))))))</f>
        <v/>
      </c>
      <c r="S45" s="88" t="str">
        <f aca="false">IF(OR(S$4="",MONTH(($G$2+10))&lt;&gt;MONTH($C$2)),"",IF(COUNTIFS(m_teacher,S$4,m_date,($G$2+10),m_active,1,m_start,"&lt;"&amp;1020,m_end,"&gt;"&amp;960)=0,"",IF(COUNTIFS(m_teacher,S$4,m_date,($G$2+10),m_active,1,m_start,"&lt;"&amp;1020,m_end,"&gt;"&amp;960)&gt;1,"충돌",HYPERLINK("#'관리자_MASTER'!D"&amp;_xlfn.MAXIFS(m_row,m_teacher,S$4,m_date,($G$2+10),m_active,1,m_start,"&lt;"&amp;1020,m_end,"&gt;"&amp;960),INDEX(m_label,_xlfn.MAXIFS(m_row,m_teacher,S$4,m_date,($G$2+10),m_active,1,m_start,"&lt;"&amp;1020,m_end,"&gt;"&amp;960))))))</f>
        <v/>
      </c>
      <c r="T45" s="88" t="str">
        <f aca="false">IF(OR(T$4="",MONTH(($G$2+10))&lt;&gt;MONTH($C$2)),"",IF(COUNTIFS(m_teacher,T$4,m_date,($G$2+10),m_active,1,m_start,"&lt;"&amp;1020,m_end,"&gt;"&amp;960)=0,"",IF(COUNTIFS(m_teacher,T$4,m_date,($G$2+10),m_active,1,m_start,"&lt;"&amp;1020,m_end,"&gt;"&amp;960)&gt;1,"충돌",HYPERLINK("#'관리자_MASTER'!D"&amp;_xlfn.MAXIFS(m_row,m_teacher,T$4,m_date,($G$2+10),m_active,1,m_start,"&lt;"&amp;1020,m_end,"&gt;"&amp;960),INDEX(m_label,_xlfn.MAXIFS(m_row,m_teacher,T$4,m_date,($G$2+10),m_active,1,m_start,"&lt;"&amp;1020,m_end,"&gt;"&amp;960))))))</f>
        <v/>
      </c>
      <c r="U45" s="88" t="str">
        <f aca="false">IF(OR(U$4="",MONTH(($G$2+10))&lt;&gt;MONTH($C$2)),"",IF(COUNTIFS(m_teacher,U$4,m_date,($G$2+10),m_active,1,m_start,"&lt;"&amp;1020,m_end,"&gt;"&amp;960)=0,"",IF(COUNTIFS(m_teacher,U$4,m_date,($G$2+10),m_active,1,m_start,"&lt;"&amp;1020,m_end,"&gt;"&amp;960)&gt;1,"충돌",HYPERLINK("#'관리자_MASTER'!D"&amp;_xlfn.MAXIFS(m_row,m_teacher,U$4,m_date,($G$2+10),m_active,1,m_start,"&lt;"&amp;1020,m_end,"&gt;"&amp;960),INDEX(m_label,_xlfn.MAXIFS(m_row,m_teacher,U$4,m_date,($G$2+10),m_active,1,m_start,"&lt;"&amp;1020,m_end,"&gt;"&amp;960))))))</f>
        <v/>
      </c>
      <c r="V45" s="88" t="str">
        <f aca="false">IF(OR(V$4="",MONTH(($G$2+10))&lt;&gt;MONTH($C$2)),"",IF(COUNTIFS(m_teacher,V$4,m_date,($G$2+10),m_active,1,m_start,"&lt;"&amp;1020,m_end,"&gt;"&amp;960)=0,"",IF(COUNTIFS(m_teacher,V$4,m_date,($G$2+10),m_active,1,m_start,"&lt;"&amp;1020,m_end,"&gt;"&amp;960)&gt;1,"충돌",HYPERLINK("#'관리자_MASTER'!D"&amp;_xlfn.MAXIFS(m_row,m_teacher,V$4,m_date,($G$2+10),m_active,1,m_start,"&lt;"&amp;1020,m_end,"&gt;"&amp;960),INDEX(m_label,_xlfn.MAXIFS(m_row,m_teacher,V$4,m_date,($G$2+10),m_active,1,m_start,"&lt;"&amp;1020,m_end,"&gt;"&amp;960))))))</f>
        <v/>
      </c>
      <c r="W45" s="88" t="str">
        <f aca="false">IF(OR(W$4="",MONTH(($G$2+10))&lt;&gt;MONTH($C$2)),"",IF(COUNTIFS(m_teacher,W$4,m_date,($G$2+10),m_active,1,m_start,"&lt;"&amp;1020,m_end,"&gt;"&amp;960)=0,"",IF(COUNTIFS(m_teacher,W$4,m_date,($G$2+10),m_active,1,m_start,"&lt;"&amp;1020,m_end,"&gt;"&amp;960)&gt;1,"충돌",HYPERLINK("#'관리자_MASTER'!D"&amp;_xlfn.MAXIFS(m_row,m_teacher,W$4,m_date,($G$2+10),m_active,1,m_start,"&lt;"&amp;1020,m_end,"&gt;"&amp;960),INDEX(m_label,_xlfn.MAXIFS(m_row,m_teacher,W$4,m_date,($G$2+10),m_active,1,m_start,"&lt;"&amp;1020,m_end,"&gt;"&amp;960))))))</f>
        <v/>
      </c>
      <c r="X45" s="88" t="str">
        <f aca="false">IF(OR(X$4="",MONTH(($G$2+10))&lt;&gt;MONTH($C$2)),"",IF(COUNTIFS(m_teacher,X$4,m_date,($G$2+10),m_active,1,m_start,"&lt;"&amp;1020,m_end,"&gt;"&amp;960)=0,"",IF(COUNTIFS(m_teacher,X$4,m_date,($G$2+10),m_active,1,m_start,"&lt;"&amp;1020,m_end,"&gt;"&amp;960)&gt;1,"충돌",HYPERLINK("#'관리자_MASTER'!D"&amp;_xlfn.MAXIFS(m_row,m_teacher,X$4,m_date,($G$2+10),m_active,1,m_start,"&lt;"&amp;1020,m_end,"&gt;"&amp;960),INDEX(m_label,_xlfn.MAXIFS(m_row,m_teacher,X$4,m_date,($G$2+10),m_active,1,m_start,"&lt;"&amp;1020,m_end,"&gt;"&amp;960))))))</f>
        <v/>
      </c>
      <c r="Y45" s="88" t="str">
        <f aca="false">IF(OR(Y$4="",MONTH(($G$2+10))&lt;&gt;MONTH($C$2)),"",IF(COUNTIFS(m_teacher,Y$4,m_date,($G$2+10),m_active,1,m_start,"&lt;"&amp;1020,m_end,"&gt;"&amp;960)=0,"",IF(COUNTIFS(m_teacher,Y$4,m_date,($G$2+10),m_active,1,m_start,"&lt;"&amp;1020,m_end,"&gt;"&amp;960)&gt;1,"충돌",HYPERLINK("#'관리자_MASTER'!D"&amp;_xlfn.MAXIFS(m_row,m_teacher,Y$4,m_date,($G$2+10),m_active,1,m_start,"&lt;"&amp;1020,m_end,"&gt;"&amp;960),INDEX(m_label,_xlfn.MAXIFS(m_row,m_teacher,Y$4,m_date,($G$2+10),m_active,1,m_start,"&lt;"&amp;1020,m_end,"&gt;"&amp;960))))))</f>
        <v/>
      </c>
      <c r="Z45" s="88" t="str">
        <f aca="false">IF(OR(Z$4="",MONTH(($G$2+10))&lt;&gt;MONTH($C$2)),"",IF(COUNTIFS(m_teacher,Z$4,m_date,($G$2+10),m_active,1,m_start,"&lt;"&amp;1020,m_end,"&gt;"&amp;960)=0,"",IF(COUNTIFS(m_teacher,Z$4,m_date,($G$2+10),m_active,1,m_start,"&lt;"&amp;1020,m_end,"&gt;"&amp;960)&gt;1,"충돌",HYPERLINK("#'관리자_MASTER'!D"&amp;_xlfn.MAXIFS(m_row,m_teacher,Z$4,m_date,($G$2+10),m_active,1,m_start,"&lt;"&amp;1020,m_end,"&gt;"&amp;960),INDEX(m_label,_xlfn.MAXIFS(m_row,m_teacher,Z$4,m_date,($G$2+10),m_active,1,m_start,"&lt;"&amp;1020,m_end,"&gt;"&amp;960))))))</f>
        <v/>
      </c>
      <c r="AA45" s="88" t="str">
        <f aca="false">IF(OR(AA$4="",MONTH(($G$2+10))&lt;&gt;MONTH($C$2)),"",IF(COUNTIFS(m_teacher,AA$4,m_date,($G$2+10),m_active,1,m_start,"&lt;"&amp;1020,m_end,"&gt;"&amp;960)=0,"",IF(COUNTIFS(m_teacher,AA$4,m_date,($G$2+10),m_active,1,m_start,"&lt;"&amp;1020,m_end,"&gt;"&amp;960)&gt;1,"충돌",HYPERLINK("#'관리자_MASTER'!D"&amp;_xlfn.MAXIFS(m_row,m_teacher,AA$4,m_date,($G$2+10),m_active,1,m_start,"&lt;"&amp;1020,m_end,"&gt;"&amp;960),INDEX(m_label,_xlfn.MAXIFS(m_row,m_teacher,AA$4,m_date,($G$2+10),m_active,1,m_start,"&lt;"&amp;1020,m_end,"&gt;"&amp;960))))))</f>
        <v/>
      </c>
      <c r="AB45" s="88" t="str">
        <f aca="false">IF(OR(AB$4="",MONTH(($G$2+10))&lt;&gt;MONTH($C$2)),"",IF(COUNTIFS(m_teacher,AB$4,m_date,($G$2+10),m_active,1,m_start,"&lt;"&amp;1020,m_end,"&gt;"&amp;960)=0,"",IF(COUNTIFS(m_teacher,AB$4,m_date,($G$2+10),m_active,1,m_start,"&lt;"&amp;1020,m_end,"&gt;"&amp;960)&gt;1,"충돌",HYPERLINK("#'관리자_MASTER'!D"&amp;_xlfn.MAXIFS(m_row,m_teacher,AB$4,m_date,($G$2+10),m_active,1,m_start,"&lt;"&amp;1020,m_end,"&gt;"&amp;960),INDEX(m_label,_xlfn.MAXIFS(m_row,m_teacher,AB$4,m_date,($G$2+10),m_active,1,m_start,"&lt;"&amp;1020,m_end,"&gt;"&amp;960))))))</f>
        <v/>
      </c>
      <c r="AC45" s="78"/>
      <c r="AD45" s="79" t="s">
        <v>98</v>
      </c>
      <c r="AE45" s="88" t="str">
        <f aca="false">IF(OR(AE$4="",MONTH(($G$2+17))&lt;&gt;MONTH($C$2)),"",IF(COUNTIFS(m_teacher,AE$4,m_date,($G$2+17),m_active,1,m_start,"&lt;"&amp;1020,m_end,"&gt;"&amp;960)=0,"",IF(COUNTIFS(m_teacher,AE$4,m_date,($G$2+17),m_active,1,m_start,"&lt;"&amp;1020,m_end,"&gt;"&amp;960)&gt;1,"충돌",HYPERLINK("#'관리자_MASTER'!D"&amp;_xlfn.MAXIFS(m_row,m_teacher,AE$4,m_date,($G$2+17),m_active,1,m_start,"&lt;"&amp;1020,m_end,"&gt;"&amp;960),INDEX(m_label,_xlfn.MAXIFS(m_row,m_teacher,AE$4,m_date,($G$2+17),m_active,1,m_start,"&lt;"&amp;1020,m_end,"&gt;"&amp;960))))))</f>
        <v/>
      </c>
      <c r="AF45" s="88" t="str">
        <f aca="false">IF(OR(AF$4="",MONTH(($G$2+17))&lt;&gt;MONTH($C$2)),"",IF(COUNTIFS(m_teacher,AF$4,m_date,($G$2+17),m_active,1,m_start,"&lt;"&amp;1020,m_end,"&gt;"&amp;960)=0,"",IF(COUNTIFS(m_teacher,AF$4,m_date,($G$2+17),m_active,1,m_start,"&lt;"&amp;1020,m_end,"&gt;"&amp;960)&gt;1,"충돌",HYPERLINK("#'관리자_MASTER'!D"&amp;_xlfn.MAXIFS(m_row,m_teacher,AF$4,m_date,($G$2+17),m_active,1,m_start,"&lt;"&amp;1020,m_end,"&gt;"&amp;960),INDEX(m_label,_xlfn.MAXIFS(m_row,m_teacher,AF$4,m_date,($G$2+17),m_active,1,m_start,"&lt;"&amp;1020,m_end,"&gt;"&amp;960))))))</f>
        <v/>
      </c>
      <c r="AG45" s="88" t="str">
        <f aca="false">IF(OR(AG$4="",MONTH(($G$2+17))&lt;&gt;MONTH($C$2)),"",IF(COUNTIFS(m_teacher,AG$4,m_date,($G$2+17),m_active,1,m_start,"&lt;"&amp;1020,m_end,"&gt;"&amp;960)=0,"",IF(COUNTIFS(m_teacher,AG$4,m_date,($G$2+17),m_active,1,m_start,"&lt;"&amp;1020,m_end,"&gt;"&amp;960)&gt;1,"충돌",HYPERLINK("#'관리자_MASTER'!D"&amp;_xlfn.MAXIFS(m_row,m_teacher,AG$4,m_date,($G$2+17),m_active,1,m_start,"&lt;"&amp;1020,m_end,"&gt;"&amp;960),INDEX(m_label,_xlfn.MAXIFS(m_row,m_teacher,AG$4,m_date,($G$2+17),m_active,1,m_start,"&lt;"&amp;1020,m_end,"&gt;"&amp;960))))))</f>
        <v/>
      </c>
      <c r="AH45" s="88" t="str">
        <f aca="false">IF(OR(AH$4="",MONTH(($G$2+17))&lt;&gt;MONTH($C$2)),"",IF(COUNTIFS(m_teacher,AH$4,m_date,($G$2+17),m_active,1,m_start,"&lt;"&amp;1020,m_end,"&gt;"&amp;960)=0,"",IF(COUNTIFS(m_teacher,AH$4,m_date,($G$2+17),m_active,1,m_start,"&lt;"&amp;1020,m_end,"&gt;"&amp;960)&gt;1,"충돌",HYPERLINK("#'관리자_MASTER'!D"&amp;_xlfn.MAXIFS(m_row,m_teacher,AH$4,m_date,($G$2+17),m_active,1,m_start,"&lt;"&amp;1020,m_end,"&gt;"&amp;960),INDEX(m_label,_xlfn.MAXIFS(m_row,m_teacher,AH$4,m_date,($G$2+17),m_active,1,m_start,"&lt;"&amp;1020,m_end,"&gt;"&amp;960))))))</f>
        <v/>
      </c>
      <c r="AI45" s="88" t="str">
        <f aca="false">IF(OR(AI$4="",MONTH(($G$2+17))&lt;&gt;MONTH($C$2)),"",IF(COUNTIFS(m_teacher,AI$4,m_date,($G$2+17),m_active,1,m_start,"&lt;"&amp;1020,m_end,"&gt;"&amp;960)=0,"",IF(COUNTIFS(m_teacher,AI$4,m_date,($G$2+17),m_active,1,m_start,"&lt;"&amp;1020,m_end,"&gt;"&amp;960)&gt;1,"충돌",HYPERLINK("#'관리자_MASTER'!D"&amp;_xlfn.MAXIFS(m_row,m_teacher,AI$4,m_date,($G$2+17),m_active,1,m_start,"&lt;"&amp;1020,m_end,"&gt;"&amp;960),INDEX(m_label,_xlfn.MAXIFS(m_row,m_teacher,AI$4,m_date,($G$2+17),m_active,1,m_start,"&lt;"&amp;1020,m_end,"&gt;"&amp;960))))))</f>
        <v/>
      </c>
      <c r="AJ45" s="88" t="str">
        <f aca="false">IF(OR(AJ$4="",MONTH(($G$2+17))&lt;&gt;MONTH($C$2)),"",IF(COUNTIFS(m_teacher,AJ$4,m_date,($G$2+17),m_active,1,m_start,"&lt;"&amp;1020,m_end,"&gt;"&amp;960)=0,"",IF(COUNTIFS(m_teacher,AJ$4,m_date,($G$2+17),m_active,1,m_start,"&lt;"&amp;1020,m_end,"&gt;"&amp;960)&gt;1,"충돌",HYPERLINK("#'관리자_MASTER'!D"&amp;_xlfn.MAXIFS(m_row,m_teacher,AJ$4,m_date,($G$2+17),m_active,1,m_start,"&lt;"&amp;1020,m_end,"&gt;"&amp;960),INDEX(m_label,_xlfn.MAXIFS(m_row,m_teacher,AJ$4,m_date,($G$2+17),m_active,1,m_start,"&lt;"&amp;1020,m_end,"&gt;"&amp;960))))))</f>
        <v/>
      </c>
      <c r="AK45" s="88" t="str">
        <f aca="false">IF(OR(AK$4="",MONTH(($G$2+17))&lt;&gt;MONTH($C$2)),"",IF(COUNTIFS(m_teacher,AK$4,m_date,($G$2+17),m_active,1,m_start,"&lt;"&amp;1020,m_end,"&gt;"&amp;960)=0,"",IF(COUNTIFS(m_teacher,AK$4,m_date,($G$2+17),m_active,1,m_start,"&lt;"&amp;1020,m_end,"&gt;"&amp;960)&gt;1,"충돌",HYPERLINK("#'관리자_MASTER'!D"&amp;_xlfn.MAXIFS(m_row,m_teacher,AK$4,m_date,($G$2+17),m_active,1,m_start,"&lt;"&amp;1020,m_end,"&gt;"&amp;960),INDEX(m_label,_xlfn.MAXIFS(m_row,m_teacher,AK$4,m_date,($G$2+17),m_active,1,m_start,"&lt;"&amp;1020,m_end,"&gt;"&amp;960))))))</f>
        <v/>
      </c>
      <c r="AL45" s="88" t="str">
        <f aca="false">IF(OR(AL$4="",MONTH(($G$2+17))&lt;&gt;MONTH($C$2)),"",IF(COUNTIFS(m_teacher,AL$4,m_date,($G$2+17),m_active,1,m_start,"&lt;"&amp;1020,m_end,"&gt;"&amp;960)=0,"",IF(COUNTIFS(m_teacher,AL$4,m_date,($G$2+17),m_active,1,m_start,"&lt;"&amp;1020,m_end,"&gt;"&amp;960)&gt;1,"충돌",HYPERLINK("#'관리자_MASTER'!D"&amp;_xlfn.MAXIFS(m_row,m_teacher,AL$4,m_date,($G$2+17),m_active,1,m_start,"&lt;"&amp;1020,m_end,"&gt;"&amp;960),INDEX(m_label,_xlfn.MAXIFS(m_row,m_teacher,AL$4,m_date,($G$2+17),m_active,1,m_start,"&lt;"&amp;1020,m_end,"&gt;"&amp;960))))))</f>
        <v/>
      </c>
      <c r="AM45" s="88" t="str">
        <f aca="false">IF(OR(AM$4="",MONTH(($G$2+17))&lt;&gt;MONTH($C$2)),"",IF(COUNTIFS(m_teacher,AM$4,m_date,($G$2+17),m_active,1,m_start,"&lt;"&amp;1020,m_end,"&gt;"&amp;960)=0,"",IF(COUNTIFS(m_teacher,AM$4,m_date,($G$2+17),m_active,1,m_start,"&lt;"&amp;1020,m_end,"&gt;"&amp;960)&gt;1,"충돌",HYPERLINK("#'관리자_MASTER'!D"&amp;_xlfn.MAXIFS(m_row,m_teacher,AM$4,m_date,($G$2+17),m_active,1,m_start,"&lt;"&amp;1020,m_end,"&gt;"&amp;960),INDEX(m_label,_xlfn.MAXIFS(m_row,m_teacher,AM$4,m_date,($G$2+17),m_active,1,m_start,"&lt;"&amp;1020,m_end,"&gt;"&amp;960))))))</f>
        <v/>
      </c>
      <c r="AN45" s="88" t="str">
        <f aca="false">IF(OR(AN$4="",MONTH(($G$2+17))&lt;&gt;MONTH($C$2)),"",IF(COUNTIFS(m_teacher,AN$4,m_date,($G$2+17),m_active,1,m_start,"&lt;"&amp;1020,m_end,"&gt;"&amp;960)=0,"",IF(COUNTIFS(m_teacher,AN$4,m_date,($G$2+17),m_active,1,m_start,"&lt;"&amp;1020,m_end,"&gt;"&amp;960)&gt;1,"충돌",HYPERLINK("#'관리자_MASTER'!D"&amp;_xlfn.MAXIFS(m_row,m_teacher,AN$4,m_date,($G$2+17),m_active,1,m_start,"&lt;"&amp;1020,m_end,"&gt;"&amp;960),INDEX(m_label,_xlfn.MAXIFS(m_row,m_teacher,AN$4,m_date,($G$2+17),m_active,1,m_start,"&lt;"&amp;1020,m_end,"&gt;"&amp;960))))))</f>
        <v/>
      </c>
      <c r="AO45" s="88" t="str">
        <f aca="false">IF(OR(AO$4="",MONTH(($G$2+17))&lt;&gt;MONTH($C$2)),"",IF(COUNTIFS(m_teacher,AO$4,m_date,($G$2+17),m_active,1,m_start,"&lt;"&amp;1020,m_end,"&gt;"&amp;960)=0,"",IF(COUNTIFS(m_teacher,AO$4,m_date,($G$2+17),m_active,1,m_start,"&lt;"&amp;1020,m_end,"&gt;"&amp;960)&gt;1,"충돌",HYPERLINK("#'관리자_MASTER'!D"&amp;_xlfn.MAXIFS(m_row,m_teacher,AO$4,m_date,($G$2+17),m_active,1,m_start,"&lt;"&amp;1020,m_end,"&gt;"&amp;960),INDEX(m_label,_xlfn.MAXIFS(m_row,m_teacher,AO$4,m_date,($G$2+17),m_active,1,m_start,"&lt;"&amp;1020,m_end,"&gt;"&amp;960))))))</f>
        <v/>
      </c>
      <c r="AP45" s="88" t="str">
        <f aca="false">IF(OR(AP$4="",MONTH(($G$2+17))&lt;&gt;MONTH($C$2)),"",IF(COUNTIFS(m_teacher,AP$4,m_date,($G$2+17),m_active,1,m_start,"&lt;"&amp;1020,m_end,"&gt;"&amp;960)=0,"",IF(COUNTIFS(m_teacher,AP$4,m_date,($G$2+17),m_active,1,m_start,"&lt;"&amp;1020,m_end,"&gt;"&amp;960)&gt;1,"충돌",HYPERLINK("#'관리자_MASTER'!D"&amp;_xlfn.MAXIFS(m_row,m_teacher,AP$4,m_date,($G$2+17),m_active,1,m_start,"&lt;"&amp;1020,m_end,"&gt;"&amp;960),INDEX(m_label,_xlfn.MAXIFS(m_row,m_teacher,AP$4,m_date,($G$2+17),m_active,1,m_start,"&lt;"&amp;1020,m_end,"&gt;"&amp;960))))))</f>
        <v/>
      </c>
      <c r="AQ45" s="78"/>
      <c r="AR45" s="79" t="s">
        <v>98</v>
      </c>
      <c r="AS45" s="88" t="str">
        <f aca="false">IF(OR(AS$4="",MONTH(($G$2+24))&lt;&gt;MONTH($C$2)),"",IF(COUNTIFS(m_teacher,AS$4,m_date,($G$2+24),m_active,1,m_start,"&lt;"&amp;1020,m_end,"&gt;"&amp;960)=0,"",IF(COUNTIFS(m_teacher,AS$4,m_date,($G$2+24),m_active,1,m_start,"&lt;"&amp;1020,m_end,"&gt;"&amp;960)&gt;1,"충돌",HYPERLINK("#'관리자_MASTER'!D"&amp;_xlfn.MAXIFS(m_row,m_teacher,AS$4,m_date,($G$2+24),m_active,1,m_start,"&lt;"&amp;1020,m_end,"&gt;"&amp;960),INDEX(m_label,_xlfn.MAXIFS(m_row,m_teacher,AS$4,m_date,($G$2+24),m_active,1,m_start,"&lt;"&amp;1020,m_end,"&gt;"&amp;960))))))</f>
        <v/>
      </c>
      <c r="AT45" s="88" t="str">
        <f aca="false">IF(OR(AT$4="",MONTH(($G$2+24))&lt;&gt;MONTH($C$2)),"",IF(COUNTIFS(m_teacher,AT$4,m_date,($G$2+24),m_active,1,m_start,"&lt;"&amp;1020,m_end,"&gt;"&amp;960)=0,"",IF(COUNTIFS(m_teacher,AT$4,m_date,($G$2+24),m_active,1,m_start,"&lt;"&amp;1020,m_end,"&gt;"&amp;960)&gt;1,"충돌",HYPERLINK("#'관리자_MASTER'!D"&amp;_xlfn.MAXIFS(m_row,m_teacher,AT$4,m_date,($G$2+24),m_active,1,m_start,"&lt;"&amp;1020,m_end,"&gt;"&amp;960),INDEX(m_label,_xlfn.MAXIFS(m_row,m_teacher,AT$4,m_date,($G$2+24),m_active,1,m_start,"&lt;"&amp;1020,m_end,"&gt;"&amp;960))))))</f>
        <v/>
      </c>
      <c r="AU45" s="88" t="str">
        <f aca="false">IF(OR(AU$4="",MONTH(($G$2+24))&lt;&gt;MONTH($C$2)),"",IF(COUNTIFS(m_teacher,AU$4,m_date,($G$2+24),m_active,1,m_start,"&lt;"&amp;1020,m_end,"&gt;"&amp;960)=0,"",IF(COUNTIFS(m_teacher,AU$4,m_date,($G$2+24),m_active,1,m_start,"&lt;"&amp;1020,m_end,"&gt;"&amp;960)&gt;1,"충돌",HYPERLINK("#'관리자_MASTER'!D"&amp;_xlfn.MAXIFS(m_row,m_teacher,AU$4,m_date,($G$2+24),m_active,1,m_start,"&lt;"&amp;1020,m_end,"&gt;"&amp;960),INDEX(m_label,_xlfn.MAXIFS(m_row,m_teacher,AU$4,m_date,($G$2+24),m_active,1,m_start,"&lt;"&amp;1020,m_end,"&gt;"&amp;960))))))</f>
        <v/>
      </c>
      <c r="AV45" s="88" t="str">
        <f aca="false">IF(OR(AV$4="",MONTH(($G$2+24))&lt;&gt;MONTH($C$2)),"",IF(COUNTIFS(m_teacher,AV$4,m_date,($G$2+24),m_active,1,m_start,"&lt;"&amp;1020,m_end,"&gt;"&amp;960)=0,"",IF(COUNTIFS(m_teacher,AV$4,m_date,($G$2+24),m_active,1,m_start,"&lt;"&amp;1020,m_end,"&gt;"&amp;960)&gt;1,"충돌",HYPERLINK("#'관리자_MASTER'!D"&amp;_xlfn.MAXIFS(m_row,m_teacher,AV$4,m_date,($G$2+24),m_active,1,m_start,"&lt;"&amp;1020,m_end,"&gt;"&amp;960),INDEX(m_label,_xlfn.MAXIFS(m_row,m_teacher,AV$4,m_date,($G$2+24),m_active,1,m_start,"&lt;"&amp;1020,m_end,"&gt;"&amp;960))))))</f>
        <v/>
      </c>
      <c r="AW45" s="88" t="str">
        <f aca="false">IF(OR(AW$4="",MONTH(($G$2+24))&lt;&gt;MONTH($C$2)),"",IF(COUNTIFS(m_teacher,AW$4,m_date,($G$2+24),m_active,1,m_start,"&lt;"&amp;1020,m_end,"&gt;"&amp;960)=0,"",IF(COUNTIFS(m_teacher,AW$4,m_date,($G$2+24),m_active,1,m_start,"&lt;"&amp;1020,m_end,"&gt;"&amp;960)&gt;1,"충돌",HYPERLINK("#'관리자_MASTER'!D"&amp;_xlfn.MAXIFS(m_row,m_teacher,AW$4,m_date,($G$2+24),m_active,1,m_start,"&lt;"&amp;1020,m_end,"&gt;"&amp;960),INDEX(m_label,_xlfn.MAXIFS(m_row,m_teacher,AW$4,m_date,($G$2+24),m_active,1,m_start,"&lt;"&amp;1020,m_end,"&gt;"&amp;960))))))</f>
        <v/>
      </c>
      <c r="AX45" s="88" t="str">
        <f aca="false">IF(OR(AX$4="",MONTH(($G$2+24))&lt;&gt;MONTH($C$2)),"",IF(COUNTIFS(m_teacher,AX$4,m_date,($G$2+24),m_active,1,m_start,"&lt;"&amp;1020,m_end,"&gt;"&amp;960)=0,"",IF(COUNTIFS(m_teacher,AX$4,m_date,($G$2+24),m_active,1,m_start,"&lt;"&amp;1020,m_end,"&gt;"&amp;960)&gt;1,"충돌",HYPERLINK("#'관리자_MASTER'!D"&amp;_xlfn.MAXIFS(m_row,m_teacher,AX$4,m_date,($G$2+24),m_active,1,m_start,"&lt;"&amp;1020,m_end,"&gt;"&amp;960),INDEX(m_label,_xlfn.MAXIFS(m_row,m_teacher,AX$4,m_date,($G$2+24),m_active,1,m_start,"&lt;"&amp;1020,m_end,"&gt;"&amp;960))))))</f>
        <v/>
      </c>
      <c r="AY45" s="88" t="str">
        <f aca="false">IF(OR(AY$4="",MONTH(($G$2+24))&lt;&gt;MONTH($C$2)),"",IF(COUNTIFS(m_teacher,AY$4,m_date,($G$2+24),m_active,1,m_start,"&lt;"&amp;1020,m_end,"&gt;"&amp;960)=0,"",IF(COUNTIFS(m_teacher,AY$4,m_date,($G$2+24),m_active,1,m_start,"&lt;"&amp;1020,m_end,"&gt;"&amp;960)&gt;1,"충돌",HYPERLINK("#'관리자_MASTER'!D"&amp;_xlfn.MAXIFS(m_row,m_teacher,AY$4,m_date,($G$2+24),m_active,1,m_start,"&lt;"&amp;1020,m_end,"&gt;"&amp;960),INDEX(m_label,_xlfn.MAXIFS(m_row,m_teacher,AY$4,m_date,($G$2+24),m_active,1,m_start,"&lt;"&amp;1020,m_end,"&gt;"&amp;960))))))</f>
        <v/>
      </c>
      <c r="AZ45" s="88" t="str">
        <f aca="false">IF(OR(AZ$4="",MONTH(($G$2+24))&lt;&gt;MONTH($C$2)),"",IF(COUNTIFS(m_teacher,AZ$4,m_date,($G$2+24),m_active,1,m_start,"&lt;"&amp;1020,m_end,"&gt;"&amp;960)=0,"",IF(COUNTIFS(m_teacher,AZ$4,m_date,($G$2+24),m_active,1,m_start,"&lt;"&amp;1020,m_end,"&gt;"&amp;960)&gt;1,"충돌",HYPERLINK("#'관리자_MASTER'!D"&amp;_xlfn.MAXIFS(m_row,m_teacher,AZ$4,m_date,($G$2+24),m_active,1,m_start,"&lt;"&amp;1020,m_end,"&gt;"&amp;960),INDEX(m_label,_xlfn.MAXIFS(m_row,m_teacher,AZ$4,m_date,($G$2+24),m_active,1,m_start,"&lt;"&amp;1020,m_end,"&gt;"&amp;960))))))</f>
        <v/>
      </c>
      <c r="BA45" s="88" t="str">
        <f aca="false">IF(OR(BA$4="",MONTH(($G$2+24))&lt;&gt;MONTH($C$2)),"",IF(COUNTIFS(m_teacher,BA$4,m_date,($G$2+24),m_active,1,m_start,"&lt;"&amp;1020,m_end,"&gt;"&amp;960)=0,"",IF(COUNTIFS(m_teacher,BA$4,m_date,($G$2+24),m_active,1,m_start,"&lt;"&amp;1020,m_end,"&gt;"&amp;960)&gt;1,"충돌",HYPERLINK("#'관리자_MASTER'!D"&amp;_xlfn.MAXIFS(m_row,m_teacher,BA$4,m_date,($G$2+24),m_active,1,m_start,"&lt;"&amp;1020,m_end,"&gt;"&amp;960),INDEX(m_label,_xlfn.MAXIFS(m_row,m_teacher,BA$4,m_date,($G$2+24),m_active,1,m_start,"&lt;"&amp;1020,m_end,"&gt;"&amp;960))))))</f>
        <v/>
      </c>
      <c r="BB45" s="88" t="str">
        <f aca="false">IF(OR(BB$4="",MONTH(($G$2+24))&lt;&gt;MONTH($C$2)),"",IF(COUNTIFS(m_teacher,BB$4,m_date,($G$2+24),m_active,1,m_start,"&lt;"&amp;1020,m_end,"&gt;"&amp;960)=0,"",IF(COUNTIFS(m_teacher,BB$4,m_date,($G$2+24),m_active,1,m_start,"&lt;"&amp;1020,m_end,"&gt;"&amp;960)&gt;1,"충돌",HYPERLINK("#'관리자_MASTER'!D"&amp;_xlfn.MAXIFS(m_row,m_teacher,BB$4,m_date,($G$2+24),m_active,1,m_start,"&lt;"&amp;1020,m_end,"&gt;"&amp;960),INDEX(m_label,_xlfn.MAXIFS(m_row,m_teacher,BB$4,m_date,($G$2+24),m_active,1,m_start,"&lt;"&amp;1020,m_end,"&gt;"&amp;960))))))</f>
        <v/>
      </c>
      <c r="BC45" s="88" t="str">
        <f aca="false">IF(OR(BC$4="",MONTH(($G$2+24))&lt;&gt;MONTH($C$2)),"",IF(COUNTIFS(m_teacher,BC$4,m_date,($G$2+24),m_active,1,m_start,"&lt;"&amp;1020,m_end,"&gt;"&amp;960)=0,"",IF(COUNTIFS(m_teacher,BC$4,m_date,($G$2+24),m_active,1,m_start,"&lt;"&amp;1020,m_end,"&gt;"&amp;960)&gt;1,"충돌",HYPERLINK("#'관리자_MASTER'!D"&amp;_xlfn.MAXIFS(m_row,m_teacher,BC$4,m_date,($G$2+24),m_active,1,m_start,"&lt;"&amp;1020,m_end,"&gt;"&amp;960),INDEX(m_label,_xlfn.MAXIFS(m_row,m_teacher,BC$4,m_date,($G$2+24),m_active,1,m_start,"&lt;"&amp;1020,m_end,"&gt;"&amp;960))))))</f>
        <v/>
      </c>
      <c r="BD45" s="88" t="str">
        <f aca="false">IF(OR(BD$4="",MONTH(($G$2+24))&lt;&gt;MONTH($C$2)),"",IF(COUNTIFS(m_teacher,BD$4,m_date,($G$2+24),m_active,1,m_start,"&lt;"&amp;1020,m_end,"&gt;"&amp;960)=0,"",IF(COUNTIFS(m_teacher,BD$4,m_date,($G$2+24),m_active,1,m_start,"&lt;"&amp;1020,m_end,"&gt;"&amp;960)&gt;1,"충돌",HYPERLINK("#'관리자_MASTER'!D"&amp;_xlfn.MAXIFS(m_row,m_teacher,BD$4,m_date,($G$2+24),m_active,1,m_start,"&lt;"&amp;1020,m_end,"&gt;"&amp;960),INDEX(m_label,_xlfn.MAXIFS(m_row,m_teacher,BD$4,m_date,($G$2+24),m_active,1,m_start,"&lt;"&amp;1020,m_end,"&gt;"&amp;960))))))</f>
        <v/>
      </c>
      <c r="BE45" s="78"/>
      <c r="BF45" s="79" t="s">
        <v>98</v>
      </c>
      <c r="BG45" s="88" t="str">
        <f aca="false">IF(OR(BG$4="",MONTH(($G$2+31))&lt;&gt;MONTH($C$2)),"",IF(COUNTIFS(m_teacher,BG$4,m_date,($G$2+31),m_active,1,m_start,"&lt;"&amp;1020,m_end,"&gt;"&amp;960)=0,"",IF(COUNTIFS(m_teacher,BG$4,m_date,($G$2+31),m_active,1,m_start,"&lt;"&amp;1020,m_end,"&gt;"&amp;960)&gt;1,"충돌",HYPERLINK("#'관리자_MASTER'!D"&amp;_xlfn.MAXIFS(m_row,m_teacher,BG$4,m_date,($G$2+31),m_active,1,m_start,"&lt;"&amp;1020,m_end,"&gt;"&amp;960),INDEX(m_label,_xlfn.MAXIFS(m_row,m_teacher,BG$4,m_date,($G$2+31),m_active,1,m_start,"&lt;"&amp;1020,m_end,"&gt;"&amp;960))))))</f>
        <v/>
      </c>
      <c r="BH45" s="88" t="str">
        <f aca="false">IF(OR(BH$4="",MONTH(($G$2+31))&lt;&gt;MONTH($C$2)),"",IF(COUNTIFS(m_teacher,BH$4,m_date,($G$2+31),m_active,1,m_start,"&lt;"&amp;1020,m_end,"&gt;"&amp;960)=0,"",IF(COUNTIFS(m_teacher,BH$4,m_date,($G$2+31),m_active,1,m_start,"&lt;"&amp;1020,m_end,"&gt;"&amp;960)&gt;1,"충돌",HYPERLINK("#'관리자_MASTER'!D"&amp;_xlfn.MAXIFS(m_row,m_teacher,BH$4,m_date,($G$2+31),m_active,1,m_start,"&lt;"&amp;1020,m_end,"&gt;"&amp;960),INDEX(m_label,_xlfn.MAXIFS(m_row,m_teacher,BH$4,m_date,($G$2+31),m_active,1,m_start,"&lt;"&amp;1020,m_end,"&gt;"&amp;960))))))</f>
        <v/>
      </c>
      <c r="BI45" s="88" t="str">
        <f aca="false">IF(OR(BI$4="",MONTH(($G$2+31))&lt;&gt;MONTH($C$2)),"",IF(COUNTIFS(m_teacher,BI$4,m_date,($G$2+31),m_active,1,m_start,"&lt;"&amp;1020,m_end,"&gt;"&amp;960)=0,"",IF(COUNTIFS(m_teacher,BI$4,m_date,($G$2+31),m_active,1,m_start,"&lt;"&amp;1020,m_end,"&gt;"&amp;960)&gt;1,"충돌",HYPERLINK("#'관리자_MASTER'!D"&amp;_xlfn.MAXIFS(m_row,m_teacher,BI$4,m_date,($G$2+31),m_active,1,m_start,"&lt;"&amp;1020,m_end,"&gt;"&amp;960),INDEX(m_label,_xlfn.MAXIFS(m_row,m_teacher,BI$4,m_date,($G$2+31),m_active,1,m_start,"&lt;"&amp;1020,m_end,"&gt;"&amp;960))))))</f>
        <v/>
      </c>
      <c r="BJ45" s="88" t="str">
        <f aca="false">IF(OR(BJ$4="",MONTH(($G$2+31))&lt;&gt;MONTH($C$2)),"",IF(COUNTIFS(m_teacher,BJ$4,m_date,($G$2+31),m_active,1,m_start,"&lt;"&amp;1020,m_end,"&gt;"&amp;960)=0,"",IF(COUNTIFS(m_teacher,BJ$4,m_date,($G$2+31),m_active,1,m_start,"&lt;"&amp;1020,m_end,"&gt;"&amp;960)&gt;1,"충돌",HYPERLINK("#'관리자_MASTER'!D"&amp;_xlfn.MAXIFS(m_row,m_teacher,BJ$4,m_date,($G$2+31),m_active,1,m_start,"&lt;"&amp;1020,m_end,"&gt;"&amp;960),INDEX(m_label,_xlfn.MAXIFS(m_row,m_teacher,BJ$4,m_date,($G$2+31),m_active,1,m_start,"&lt;"&amp;1020,m_end,"&gt;"&amp;960))))))</f>
        <v/>
      </c>
      <c r="BK45" s="88" t="str">
        <f aca="false">IF(OR(BK$4="",MONTH(($G$2+31))&lt;&gt;MONTH($C$2)),"",IF(COUNTIFS(m_teacher,BK$4,m_date,($G$2+31),m_active,1,m_start,"&lt;"&amp;1020,m_end,"&gt;"&amp;960)=0,"",IF(COUNTIFS(m_teacher,BK$4,m_date,($G$2+31),m_active,1,m_start,"&lt;"&amp;1020,m_end,"&gt;"&amp;960)&gt;1,"충돌",HYPERLINK("#'관리자_MASTER'!D"&amp;_xlfn.MAXIFS(m_row,m_teacher,BK$4,m_date,($G$2+31),m_active,1,m_start,"&lt;"&amp;1020,m_end,"&gt;"&amp;960),INDEX(m_label,_xlfn.MAXIFS(m_row,m_teacher,BK$4,m_date,($G$2+31),m_active,1,m_start,"&lt;"&amp;1020,m_end,"&gt;"&amp;960))))))</f>
        <v/>
      </c>
      <c r="BL45" s="88" t="str">
        <f aca="false">IF(OR(BL$4="",MONTH(($G$2+31))&lt;&gt;MONTH($C$2)),"",IF(COUNTIFS(m_teacher,BL$4,m_date,($G$2+31),m_active,1,m_start,"&lt;"&amp;1020,m_end,"&gt;"&amp;960)=0,"",IF(COUNTIFS(m_teacher,BL$4,m_date,($G$2+31),m_active,1,m_start,"&lt;"&amp;1020,m_end,"&gt;"&amp;960)&gt;1,"충돌",HYPERLINK("#'관리자_MASTER'!D"&amp;_xlfn.MAXIFS(m_row,m_teacher,BL$4,m_date,($G$2+31),m_active,1,m_start,"&lt;"&amp;1020,m_end,"&gt;"&amp;960),INDEX(m_label,_xlfn.MAXIFS(m_row,m_teacher,BL$4,m_date,($G$2+31),m_active,1,m_start,"&lt;"&amp;1020,m_end,"&gt;"&amp;960))))))</f>
        <v/>
      </c>
      <c r="BM45" s="88" t="str">
        <f aca="false">IF(OR(BM$4="",MONTH(($G$2+31))&lt;&gt;MONTH($C$2)),"",IF(COUNTIFS(m_teacher,BM$4,m_date,($G$2+31),m_active,1,m_start,"&lt;"&amp;1020,m_end,"&gt;"&amp;960)=0,"",IF(COUNTIFS(m_teacher,BM$4,m_date,($G$2+31),m_active,1,m_start,"&lt;"&amp;1020,m_end,"&gt;"&amp;960)&gt;1,"충돌",HYPERLINK("#'관리자_MASTER'!D"&amp;_xlfn.MAXIFS(m_row,m_teacher,BM$4,m_date,($G$2+31),m_active,1,m_start,"&lt;"&amp;1020,m_end,"&gt;"&amp;960),INDEX(m_label,_xlfn.MAXIFS(m_row,m_teacher,BM$4,m_date,($G$2+31),m_active,1,m_start,"&lt;"&amp;1020,m_end,"&gt;"&amp;960))))))</f>
        <v/>
      </c>
      <c r="BN45" s="88" t="str">
        <f aca="false">IF(OR(BN$4="",MONTH(($G$2+31))&lt;&gt;MONTH($C$2)),"",IF(COUNTIFS(m_teacher,BN$4,m_date,($G$2+31),m_active,1,m_start,"&lt;"&amp;1020,m_end,"&gt;"&amp;960)=0,"",IF(COUNTIFS(m_teacher,BN$4,m_date,($G$2+31),m_active,1,m_start,"&lt;"&amp;1020,m_end,"&gt;"&amp;960)&gt;1,"충돌",HYPERLINK("#'관리자_MASTER'!D"&amp;_xlfn.MAXIFS(m_row,m_teacher,BN$4,m_date,($G$2+31),m_active,1,m_start,"&lt;"&amp;1020,m_end,"&gt;"&amp;960),INDEX(m_label,_xlfn.MAXIFS(m_row,m_teacher,BN$4,m_date,($G$2+31),m_active,1,m_start,"&lt;"&amp;1020,m_end,"&gt;"&amp;960))))))</f>
        <v/>
      </c>
      <c r="BO45" s="88" t="str">
        <f aca="false">IF(OR(BO$4="",MONTH(($G$2+31))&lt;&gt;MONTH($C$2)),"",IF(COUNTIFS(m_teacher,BO$4,m_date,($G$2+31),m_active,1,m_start,"&lt;"&amp;1020,m_end,"&gt;"&amp;960)=0,"",IF(COUNTIFS(m_teacher,BO$4,m_date,($G$2+31),m_active,1,m_start,"&lt;"&amp;1020,m_end,"&gt;"&amp;960)&gt;1,"충돌",HYPERLINK("#'관리자_MASTER'!D"&amp;_xlfn.MAXIFS(m_row,m_teacher,BO$4,m_date,($G$2+31),m_active,1,m_start,"&lt;"&amp;1020,m_end,"&gt;"&amp;960),INDEX(m_label,_xlfn.MAXIFS(m_row,m_teacher,BO$4,m_date,($G$2+31),m_active,1,m_start,"&lt;"&amp;1020,m_end,"&gt;"&amp;960))))))</f>
        <v/>
      </c>
      <c r="BP45" s="88" t="str">
        <f aca="false">IF(OR(BP$4="",MONTH(($G$2+31))&lt;&gt;MONTH($C$2)),"",IF(COUNTIFS(m_teacher,BP$4,m_date,($G$2+31),m_active,1,m_start,"&lt;"&amp;1020,m_end,"&gt;"&amp;960)=0,"",IF(COUNTIFS(m_teacher,BP$4,m_date,($G$2+31),m_active,1,m_start,"&lt;"&amp;1020,m_end,"&gt;"&amp;960)&gt;1,"충돌",HYPERLINK("#'관리자_MASTER'!D"&amp;_xlfn.MAXIFS(m_row,m_teacher,BP$4,m_date,($G$2+31),m_active,1,m_start,"&lt;"&amp;1020,m_end,"&gt;"&amp;960),INDEX(m_label,_xlfn.MAXIFS(m_row,m_teacher,BP$4,m_date,($G$2+31),m_active,1,m_start,"&lt;"&amp;1020,m_end,"&gt;"&amp;960))))))</f>
        <v/>
      </c>
      <c r="BQ45" s="88" t="str">
        <f aca="false">IF(OR(BQ$4="",MONTH(($G$2+31))&lt;&gt;MONTH($C$2)),"",IF(COUNTIFS(m_teacher,BQ$4,m_date,($G$2+31),m_active,1,m_start,"&lt;"&amp;1020,m_end,"&gt;"&amp;960)=0,"",IF(COUNTIFS(m_teacher,BQ$4,m_date,($G$2+31),m_active,1,m_start,"&lt;"&amp;1020,m_end,"&gt;"&amp;960)&gt;1,"충돌",HYPERLINK("#'관리자_MASTER'!D"&amp;_xlfn.MAXIFS(m_row,m_teacher,BQ$4,m_date,($G$2+31),m_active,1,m_start,"&lt;"&amp;1020,m_end,"&gt;"&amp;960),INDEX(m_label,_xlfn.MAXIFS(m_row,m_teacher,BQ$4,m_date,($G$2+31),m_active,1,m_start,"&lt;"&amp;1020,m_end,"&gt;"&amp;960))))))</f>
        <v/>
      </c>
      <c r="BR45" s="88" t="str">
        <f aca="false">IF(OR(BR$4="",MONTH(($G$2+31))&lt;&gt;MONTH($C$2)),"",IF(COUNTIFS(m_teacher,BR$4,m_date,($G$2+31),m_active,1,m_start,"&lt;"&amp;1020,m_end,"&gt;"&amp;960)=0,"",IF(COUNTIFS(m_teacher,BR$4,m_date,($G$2+31),m_active,1,m_start,"&lt;"&amp;1020,m_end,"&gt;"&amp;960)&gt;1,"충돌",HYPERLINK("#'관리자_MASTER'!D"&amp;_xlfn.MAXIFS(m_row,m_teacher,BR$4,m_date,($G$2+31),m_active,1,m_start,"&lt;"&amp;1020,m_end,"&gt;"&amp;960),INDEX(m_label,_xlfn.MAXIFS(m_row,m_teacher,BR$4,m_date,($G$2+31),m_active,1,m_start,"&lt;"&amp;1020,m_end,"&gt;"&amp;960))))))</f>
        <v/>
      </c>
    </row>
    <row r="46" customFormat="false" ht="19.5" hidden="false" customHeight="true" outlineLevel="0" collapsed="false">
      <c r="A46" s="78"/>
      <c r="B46" s="79" t="s">
        <v>99</v>
      </c>
      <c r="C46" s="88" t="str">
        <f aca="false">IF(OR(C$4="",MONTH(($G$2+3))&lt;&gt;MONTH($C$2)),"",IF(COUNTIFS(m_teacher,C$4,m_date,($G$2+3),m_active,1,m_start,"&lt;"&amp;1080,m_end,"&gt;"&amp;1020)=0,"",IF(COUNTIFS(m_teacher,C$4,m_date,($G$2+3),m_active,1,m_start,"&lt;"&amp;1080,m_end,"&gt;"&amp;1020)&gt;1,"충돌",HYPERLINK("#'관리자_MASTER'!D"&amp;_xlfn.MAXIFS(m_row,m_teacher,C$4,m_date,($G$2+3),m_active,1,m_start,"&lt;"&amp;1080,m_end,"&gt;"&amp;1020),INDEX(m_label,_xlfn.MAXIFS(m_row,m_teacher,C$4,m_date,($G$2+3),m_active,1,m_start,"&lt;"&amp;1080,m_end,"&gt;"&amp;1020))))))</f>
        <v/>
      </c>
      <c r="D46" s="88" t="str">
        <f aca="false">IF(OR(D$4="",MONTH(($G$2+3))&lt;&gt;MONTH($C$2)),"",IF(COUNTIFS(m_teacher,D$4,m_date,($G$2+3),m_active,1,m_start,"&lt;"&amp;1080,m_end,"&gt;"&amp;1020)=0,"",IF(COUNTIFS(m_teacher,D$4,m_date,($G$2+3),m_active,1,m_start,"&lt;"&amp;1080,m_end,"&gt;"&amp;1020)&gt;1,"충돌",HYPERLINK("#'관리자_MASTER'!D"&amp;_xlfn.MAXIFS(m_row,m_teacher,D$4,m_date,($G$2+3),m_active,1,m_start,"&lt;"&amp;1080,m_end,"&gt;"&amp;1020),INDEX(m_label,_xlfn.MAXIFS(m_row,m_teacher,D$4,m_date,($G$2+3),m_active,1,m_start,"&lt;"&amp;1080,m_end,"&gt;"&amp;1020))))))</f>
        <v/>
      </c>
      <c r="E46" s="88" t="str">
        <f aca="false">IF(OR(E$4="",MONTH(($G$2+3))&lt;&gt;MONTH($C$2)),"",IF(COUNTIFS(m_teacher,E$4,m_date,($G$2+3),m_active,1,m_start,"&lt;"&amp;1080,m_end,"&gt;"&amp;1020)=0,"",IF(COUNTIFS(m_teacher,E$4,m_date,($G$2+3),m_active,1,m_start,"&lt;"&amp;1080,m_end,"&gt;"&amp;1020)&gt;1,"충돌",HYPERLINK("#'관리자_MASTER'!D"&amp;_xlfn.MAXIFS(m_row,m_teacher,E$4,m_date,($G$2+3),m_active,1,m_start,"&lt;"&amp;1080,m_end,"&gt;"&amp;1020),INDEX(m_label,_xlfn.MAXIFS(m_row,m_teacher,E$4,m_date,($G$2+3),m_active,1,m_start,"&lt;"&amp;1080,m_end,"&gt;"&amp;1020))))))</f>
        <v/>
      </c>
      <c r="F46" s="88" t="str">
        <f aca="false">IF(OR(F$4="",MONTH(($G$2+3))&lt;&gt;MONTH($C$2)),"",IF(COUNTIFS(m_teacher,F$4,m_date,($G$2+3),m_active,1,m_start,"&lt;"&amp;1080,m_end,"&gt;"&amp;1020)=0,"",IF(COUNTIFS(m_teacher,F$4,m_date,($G$2+3),m_active,1,m_start,"&lt;"&amp;1080,m_end,"&gt;"&amp;1020)&gt;1,"충돌",HYPERLINK("#'관리자_MASTER'!D"&amp;_xlfn.MAXIFS(m_row,m_teacher,F$4,m_date,($G$2+3),m_active,1,m_start,"&lt;"&amp;1080,m_end,"&gt;"&amp;1020),INDEX(m_label,_xlfn.MAXIFS(m_row,m_teacher,F$4,m_date,($G$2+3),m_active,1,m_start,"&lt;"&amp;1080,m_end,"&gt;"&amp;1020))))))</f>
        <v/>
      </c>
      <c r="G46" s="88" t="str">
        <f aca="false">IF(OR(G$4="",MONTH(($G$2+3))&lt;&gt;MONTH($C$2)),"",IF(COUNTIFS(m_teacher,G$4,m_date,($G$2+3),m_active,1,m_start,"&lt;"&amp;1080,m_end,"&gt;"&amp;1020)=0,"",IF(COUNTIFS(m_teacher,G$4,m_date,($G$2+3),m_active,1,m_start,"&lt;"&amp;1080,m_end,"&gt;"&amp;1020)&gt;1,"충돌",HYPERLINK("#'관리자_MASTER'!D"&amp;_xlfn.MAXIFS(m_row,m_teacher,G$4,m_date,($G$2+3),m_active,1,m_start,"&lt;"&amp;1080,m_end,"&gt;"&amp;1020),INDEX(m_label,_xlfn.MAXIFS(m_row,m_teacher,G$4,m_date,($G$2+3),m_active,1,m_start,"&lt;"&amp;1080,m_end,"&gt;"&amp;1020))))))</f>
        <v/>
      </c>
      <c r="H46" s="88" t="str">
        <f aca="false">IF(OR(H$4="",MONTH(($G$2+3))&lt;&gt;MONTH($C$2)),"",IF(COUNTIFS(m_teacher,H$4,m_date,($G$2+3),m_active,1,m_start,"&lt;"&amp;1080,m_end,"&gt;"&amp;1020)=0,"",IF(COUNTIFS(m_teacher,H$4,m_date,($G$2+3),m_active,1,m_start,"&lt;"&amp;1080,m_end,"&gt;"&amp;1020)&gt;1,"충돌",HYPERLINK("#'관리자_MASTER'!D"&amp;_xlfn.MAXIFS(m_row,m_teacher,H$4,m_date,($G$2+3),m_active,1,m_start,"&lt;"&amp;1080,m_end,"&gt;"&amp;1020),INDEX(m_label,_xlfn.MAXIFS(m_row,m_teacher,H$4,m_date,($G$2+3),m_active,1,m_start,"&lt;"&amp;1080,m_end,"&gt;"&amp;1020))))))</f>
        <v/>
      </c>
      <c r="I46" s="88" t="str">
        <f aca="false">IF(OR(I$4="",MONTH(($G$2+3))&lt;&gt;MONTH($C$2)),"",IF(COUNTIFS(m_teacher,I$4,m_date,($G$2+3),m_active,1,m_start,"&lt;"&amp;1080,m_end,"&gt;"&amp;1020)=0,"",IF(COUNTIFS(m_teacher,I$4,m_date,($G$2+3),m_active,1,m_start,"&lt;"&amp;1080,m_end,"&gt;"&amp;1020)&gt;1,"충돌",HYPERLINK("#'관리자_MASTER'!D"&amp;_xlfn.MAXIFS(m_row,m_teacher,I$4,m_date,($G$2+3),m_active,1,m_start,"&lt;"&amp;1080,m_end,"&gt;"&amp;1020),INDEX(m_label,_xlfn.MAXIFS(m_row,m_teacher,I$4,m_date,($G$2+3),m_active,1,m_start,"&lt;"&amp;1080,m_end,"&gt;"&amp;1020))))))</f>
        <v/>
      </c>
      <c r="J46" s="88" t="str">
        <f aca="false">IF(OR(J$4="",MONTH(($G$2+3))&lt;&gt;MONTH($C$2)),"",IF(COUNTIFS(m_teacher,J$4,m_date,($G$2+3),m_active,1,m_start,"&lt;"&amp;1080,m_end,"&gt;"&amp;1020)=0,"",IF(COUNTIFS(m_teacher,J$4,m_date,($G$2+3),m_active,1,m_start,"&lt;"&amp;1080,m_end,"&gt;"&amp;1020)&gt;1,"충돌",HYPERLINK("#'관리자_MASTER'!D"&amp;_xlfn.MAXIFS(m_row,m_teacher,J$4,m_date,($G$2+3),m_active,1,m_start,"&lt;"&amp;1080,m_end,"&gt;"&amp;1020),INDEX(m_label,_xlfn.MAXIFS(m_row,m_teacher,J$4,m_date,($G$2+3),m_active,1,m_start,"&lt;"&amp;1080,m_end,"&gt;"&amp;1020))))))</f>
        <v/>
      </c>
      <c r="K46" s="88" t="str">
        <f aca="false">IF(OR(K$4="",MONTH(($G$2+3))&lt;&gt;MONTH($C$2)),"",IF(COUNTIFS(m_teacher,K$4,m_date,($G$2+3),m_active,1,m_start,"&lt;"&amp;1080,m_end,"&gt;"&amp;1020)=0,"",IF(COUNTIFS(m_teacher,K$4,m_date,($G$2+3),m_active,1,m_start,"&lt;"&amp;1080,m_end,"&gt;"&amp;1020)&gt;1,"충돌",HYPERLINK("#'관리자_MASTER'!D"&amp;_xlfn.MAXIFS(m_row,m_teacher,K$4,m_date,($G$2+3),m_active,1,m_start,"&lt;"&amp;1080,m_end,"&gt;"&amp;1020),INDEX(m_label,_xlfn.MAXIFS(m_row,m_teacher,K$4,m_date,($G$2+3),m_active,1,m_start,"&lt;"&amp;1080,m_end,"&gt;"&amp;1020))))))</f>
        <v/>
      </c>
      <c r="L46" s="88" t="str">
        <f aca="false">IF(OR(L$4="",MONTH(($G$2+3))&lt;&gt;MONTH($C$2)),"",IF(COUNTIFS(m_teacher,L$4,m_date,($G$2+3),m_active,1,m_start,"&lt;"&amp;1080,m_end,"&gt;"&amp;1020)=0,"",IF(COUNTIFS(m_teacher,L$4,m_date,($G$2+3),m_active,1,m_start,"&lt;"&amp;1080,m_end,"&gt;"&amp;1020)&gt;1,"충돌",HYPERLINK("#'관리자_MASTER'!D"&amp;_xlfn.MAXIFS(m_row,m_teacher,L$4,m_date,($G$2+3),m_active,1,m_start,"&lt;"&amp;1080,m_end,"&gt;"&amp;1020),INDEX(m_label,_xlfn.MAXIFS(m_row,m_teacher,L$4,m_date,($G$2+3),m_active,1,m_start,"&lt;"&amp;1080,m_end,"&gt;"&amp;1020))))))</f>
        <v/>
      </c>
      <c r="M46" s="88" t="str">
        <f aca="false">IF(OR(M$4="",MONTH(($G$2+3))&lt;&gt;MONTH($C$2)),"",IF(COUNTIFS(m_teacher,M$4,m_date,($G$2+3),m_active,1,m_start,"&lt;"&amp;1080,m_end,"&gt;"&amp;1020)=0,"",IF(COUNTIFS(m_teacher,M$4,m_date,($G$2+3),m_active,1,m_start,"&lt;"&amp;1080,m_end,"&gt;"&amp;1020)&gt;1,"충돌",HYPERLINK("#'관리자_MASTER'!D"&amp;_xlfn.MAXIFS(m_row,m_teacher,M$4,m_date,($G$2+3),m_active,1,m_start,"&lt;"&amp;1080,m_end,"&gt;"&amp;1020),INDEX(m_label,_xlfn.MAXIFS(m_row,m_teacher,M$4,m_date,($G$2+3),m_active,1,m_start,"&lt;"&amp;1080,m_end,"&gt;"&amp;1020))))))</f>
        <v/>
      </c>
      <c r="N46" s="88" t="str">
        <f aca="false">IF(OR(N$4="",MONTH(($G$2+3))&lt;&gt;MONTH($C$2)),"",IF(COUNTIFS(m_teacher,N$4,m_date,($G$2+3),m_active,1,m_start,"&lt;"&amp;1080,m_end,"&gt;"&amp;1020)=0,"",IF(COUNTIFS(m_teacher,N$4,m_date,($G$2+3),m_active,1,m_start,"&lt;"&amp;1080,m_end,"&gt;"&amp;1020)&gt;1,"충돌",HYPERLINK("#'관리자_MASTER'!D"&amp;_xlfn.MAXIFS(m_row,m_teacher,N$4,m_date,($G$2+3),m_active,1,m_start,"&lt;"&amp;1080,m_end,"&gt;"&amp;1020),INDEX(m_label,_xlfn.MAXIFS(m_row,m_teacher,N$4,m_date,($G$2+3),m_active,1,m_start,"&lt;"&amp;1080,m_end,"&gt;"&amp;1020))))))</f>
        <v/>
      </c>
      <c r="O46" s="78"/>
      <c r="P46" s="79" t="s">
        <v>99</v>
      </c>
      <c r="Q46" s="88" t="str">
        <f aca="false">IF(OR(Q$4="",MONTH(($G$2+10))&lt;&gt;MONTH($C$2)),"",IF(COUNTIFS(m_teacher,Q$4,m_date,($G$2+10),m_active,1,m_start,"&lt;"&amp;1080,m_end,"&gt;"&amp;1020)=0,"",IF(COUNTIFS(m_teacher,Q$4,m_date,($G$2+10),m_active,1,m_start,"&lt;"&amp;1080,m_end,"&gt;"&amp;1020)&gt;1,"충돌",HYPERLINK("#'관리자_MASTER'!D"&amp;_xlfn.MAXIFS(m_row,m_teacher,Q$4,m_date,($G$2+10),m_active,1,m_start,"&lt;"&amp;1080,m_end,"&gt;"&amp;1020),INDEX(m_label,_xlfn.MAXIFS(m_row,m_teacher,Q$4,m_date,($G$2+10),m_active,1,m_start,"&lt;"&amp;1080,m_end,"&gt;"&amp;1020))))))</f>
        <v/>
      </c>
      <c r="R46" s="88" t="str">
        <f aca="false">IF(OR(R$4="",MONTH(($G$2+10))&lt;&gt;MONTH($C$2)),"",IF(COUNTIFS(m_teacher,R$4,m_date,($G$2+10),m_active,1,m_start,"&lt;"&amp;1080,m_end,"&gt;"&amp;1020)=0,"",IF(COUNTIFS(m_teacher,R$4,m_date,($G$2+10),m_active,1,m_start,"&lt;"&amp;1080,m_end,"&gt;"&amp;1020)&gt;1,"충돌",HYPERLINK("#'관리자_MASTER'!D"&amp;_xlfn.MAXIFS(m_row,m_teacher,R$4,m_date,($G$2+10),m_active,1,m_start,"&lt;"&amp;1080,m_end,"&gt;"&amp;1020),INDEX(m_label,_xlfn.MAXIFS(m_row,m_teacher,R$4,m_date,($G$2+10),m_active,1,m_start,"&lt;"&amp;1080,m_end,"&gt;"&amp;1020))))))</f>
        <v/>
      </c>
      <c r="S46" s="88" t="str">
        <f aca="false">IF(OR(S$4="",MONTH(($G$2+10))&lt;&gt;MONTH($C$2)),"",IF(COUNTIFS(m_teacher,S$4,m_date,($G$2+10),m_active,1,m_start,"&lt;"&amp;1080,m_end,"&gt;"&amp;1020)=0,"",IF(COUNTIFS(m_teacher,S$4,m_date,($G$2+10),m_active,1,m_start,"&lt;"&amp;1080,m_end,"&gt;"&amp;1020)&gt;1,"충돌",HYPERLINK("#'관리자_MASTER'!D"&amp;_xlfn.MAXIFS(m_row,m_teacher,S$4,m_date,($G$2+10),m_active,1,m_start,"&lt;"&amp;1080,m_end,"&gt;"&amp;1020),INDEX(m_label,_xlfn.MAXIFS(m_row,m_teacher,S$4,m_date,($G$2+10),m_active,1,m_start,"&lt;"&amp;1080,m_end,"&gt;"&amp;1020))))))</f>
        <v/>
      </c>
      <c r="T46" s="88" t="str">
        <f aca="false">IF(OR(T$4="",MONTH(($G$2+10))&lt;&gt;MONTH($C$2)),"",IF(COUNTIFS(m_teacher,T$4,m_date,($G$2+10),m_active,1,m_start,"&lt;"&amp;1080,m_end,"&gt;"&amp;1020)=0,"",IF(COUNTIFS(m_teacher,T$4,m_date,($G$2+10),m_active,1,m_start,"&lt;"&amp;1080,m_end,"&gt;"&amp;1020)&gt;1,"충돌",HYPERLINK("#'관리자_MASTER'!D"&amp;_xlfn.MAXIFS(m_row,m_teacher,T$4,m_date,($G$2+10),m_active,1,m_start,"&lt;"&amp;1080,m_end,"&gt;"&amp;1020),INDEX(m_label,_xlfn.MAXIFS(m_row,m_teacher,T$4,m_date,($G$2+10),m_active,1,m_start,"&lt;"&amp;1080,m_end,"&gt;"&amp;1020))))))</f>
        <v/>
      </c>
      <c r="U46" s="88" t="str">
        <f aca="false">IF(OR(U$4="",MONTH(($G$2+10))&lt;&gt;MONTH($C$2)),"",IF(COUNTIFS(m_teacher,U$4,m_date,($G$2+10),m_active,1,m_start,"&lt;"&amp;1080,m_end,"&gt;"&amp;1020)=0,"",IF(COUNTIFS(m_teacher,U$4,m_date,($G$2+10),m_active,1,m_start,"&lt;"&amp;1080,m_end,"&gt;"&amp;1020)&gt;1,"충돌",HYPERLINK("#'관리자_MASTER'!D"&amp;_xlfn.MAXIFS(m_row,m_teacher,U$4,m_date,($G$2+10),m_active,1,m_start,"&lt;"&amp;1080,m_end,"&gt;"&amp;1020),INDEX(m_label,_xlfn.MAXIFS(m_row,m_teacher,U$4,m_date,($G$2+10),m_active,1,m_start,"&lt;"&amp;1080,m_end,"&gt;"&amp;1020))))))</f>
        <v/>
      </c>
      <c r="V46" s="88" t="str">
        <f aca="false">IF(OR(V$4="",MONTH(($G$2+10))&lt;&gt;MONTH($C$2)),"",IF(COUNTIFS(m_teacher,V$4,m_date,($G$2+10),m_active,1,m_start,"&lt;"&amp;1080,m_end,"&gt;"&amp;1020)=0,"",IF(COUNTIFS(m_teacher,V$4,m_date,($G$2+10),m_active,1,m_start,"&lt;"&amp;1080,m_end,"&gt;"&amp;1020)&gt;1,"충돌",HYPERLINK("#'관리자_MASTER'!D"&amp;_xlfn.MAXIFS(m_row,m_teacher,V$4,m_date,($G$2+10),m_active,1,m_start,"&lt;"&amp;1080,m_end,"&gt;"&amp;1020),INDEX(m_label,_xlfn.MAXIFS(m_row,m_teacher,V$4,m_date,($G$2+10),m_active,1,m_start,"&lt;"&amp;1080,m_end,"&gt;"&amp;1020))))))</f>
        <v/>
      </c>
      <c r="W46" s="88" t="str">
        <f aca="false">IF(OR(W$4="",MONTH(($G$2+10))&lt;&gt;MONTH($C$2)),"",IF(COUNTIFS(m_teacher,W$4,m_date,($G$2+10),m_active,1,m_start,"&lt;"&amp;1080,m_end,"&gt;"&amp;1020)=0,"",IF(COUNTIFS(m_teacher,W$4,m_date,($G$2+10),m_active,1,m_start,"&lt;"&amp;1080,m_end,"&gt;"&amp;1020)&gt;1,"충돌",HYPERLINK("#'관리자_MASTER'!D"&amp;_xlfn.MAXIFS(m_row,m_teacher,W$4,m_date,($G$2+10),m_active,1,m_start,"&lt;"&amp;1080,m_end,"&gt;"&amp;1020),INDEX(m_label,_xlfn.MAXIFS(m_row,m_teacher,W$4,m_date,($G$2+10),m_active,1,m_start,"&lt;"&amp;1080,m_end,"&gt;"&amp;1020))))))</f>
        <v/>
      </c>
      <c r="X46" s="88" t="str">
        <f aca="false">IF(OR(X$4="",MONTH(($G$2+10))&lt;&gt;MONTH($C$2)),"",IF(COUNTIFS(m_teacher,X$4,m_date,($G$2+10),m_active,1,m_start,"&lt;"&amp;1080,m_end,"&gt;"&amp;1020)=0,"",IF(COUNTIFS(m_teacher,X$4,m_date,($G$2+10),m_active,1,m_start,"&lt;"&amp;1080,m_end,"&gt;"&amp;1020)&gt;1,"충돌",HYPERLINK("#'관리자_MASTER'!D"&amp;_xlfn.MAXIFS(m_row,m_teacher,X$4,m_date,($G$2+10),m_active,1,m_start,"&lt;"&amp;1080,m_end,"&gt;"&amp;1020),INDEX(m_label,_xlfn.MAXIFS(m_row,m_teacher,X$4,m_date,($G$2+10),m_active,1,m_start,"&lt;"&amp;1080,m_end,"&gt;"&amp;1020))))))</f>
        <v/>
      </c>
      <c r="Y46" s="88" t="str">
        <f aca="false">IF(OR(Y$4="",MONTH(($G$2+10))&lt;&gt;MONTH($C$2)),"",IF(COUNTIFS(m_teacher,Y$4,m_date,($G$2+10),m_active,1,m_start,"&lt;"&amp;1080,m_end,"&gt;"&amp;1020)=0,"",IF(COUNTIFS(m_teacher,Y$4,m_date,($G$2+10),m_active,1,m_start,"&lt;"&amp;1080,m_end,"&gt;"&amp;1020)&gt;1,"충돌",HYPERLINK("#'관리자_MASTER'!D"&amp;_xlfn.MAXIFS(m_row,m_teacher,Y$4,m_date,($G$2+10),m_active,1,m_start,"&lt;"&amp;1080,m_end,"&gt;"&amp;1020),INDEX(m_label,_xlfn.MAXIFS(m_row,m_teacher,Y$4,m_date,($G$2+10),m_active,1,m_start,"&lt;"&amp;1080,m_end,"&gt;"&amp;1020))))))</f>
        <v/>
      </c>
      <c r="Z46" s="88" t="str">
        <f aca="false">IF(OR(Z$4="",MONTH(($G$2+10))&lt;&gt;MONTH($C$2)),"",IF(COUNTIFS(m_teacher,Z$4,m_date,($G$2+10),m_active,1,m_start,"&lt;"&amp;1080,m_end,"&gt;"&amp;1020)=0,"",IF(COUNTIFS(m_teacher,Z$4,m_date,($G$2+10),m_active,1,m_start,"&lt;"&amp;1080,m_end,"&gt;"&amp;1020)&gt;1,"충돌",HYPERLINK("#'관리자_MASTER'!D"&amp;_xlfn.MAXIFS(m_row,m_teacher,Z$4,m_date,($G$2+10),m_active,1,m_start,"&lt;"&amp;1080,m_end,"&gt;"&amp;1020),INDEX(m_label,_xlfn.MAXIFS(m_row,m_teacher,Z$4,m_date,($G$2+10),m_active,1,m_start,"&lt;"&amp;1080,m_end,"&gt;"&amp;1020))))))</f>
        <v/>
      </c>
      <c r="AA46" s="88" t="str">
        <f aca="false">IF(OR(AA$4="",MONTH(($G$2+10))&lt;&gt;MONTH($C$2)),"",IF(COUNTIFS(m_teacher,AA$4,m_date,($G$2+10),m_active,1,m_start,"&lt;"&amp;1080,m_end,"&gt;"&amp;1020)=0,"",IF(COUNTIFS(m_teacher,AA$4,m_date,($G$2+10),m_active,1,m_start,"&lt;"&amp;1080,m_end,"&gt;"&amp;1020)&gt;1,"충돌",HYPERLINK("#'관리자_MASTER'!D"&amp;_xlfn.MAXIFS(m_row,m_teacher,AA$4,m_date,($G$2+10),m_active,1,m_start,"&lt;"&amp;1080,m_end,"&gt;"&amp;1020),INDEX(m_label,_xlfn.MAXIFS(m_row,m_teacher,AA$4,m_date,($G$2+10),m_active,1,m_start,"&lt;"&amp;1080,m_end,"&gt;"&amp;1020))))))</f>
        <v/>
      </c>
      <c r="AB46" s="88" t="str">
        <f aca="false">IF(OR(AB$4="",MONTH(($G$2+10))&lt;&gt;MONTH($C$2)),"",IF(COUNTIFS(m_teacher,AB$4,m_date,($G$2+10),m_active,1,m_start,"&lt;"&amp;1080,m_end,"&gt;"&amp;1020)=0,"",IF(COUNTIFS(m_teacher,AB$4,m_date,($G$2+10),m_active,1,m_start,"&lt;"&amp;1080,m_end,"&gt;"&amp;1020)&gt;1,"충돌",HYPERLINK("#'관리자_MASTER'!D"&amp;_xlfn.MAXIFS(m_row,m_teacher,AB$4,m_date,($G$2+10),m_active,1,m_start,"&lt;"&amp;1080,m_end,"&gt;"&amp;1020),INDEX(m_label,_xlfn.MAXIFS(m_row,m_teacher,AB$4,m_date,($G$2+10),m_active,1,m_start,"&lt;"&amp;1080,m_end,"&gt;"&amp;1020))))))</f>
        <v/>
      </c>
      <c r="AC46" s="78"/>
      <c r="AD46" s="79" t="s">
        <v>99</v>
      </c>
      <c r="AE46" s="88" t="str">
        <f aca="false">IF(OR(AE$4="",MONTH(($G$2+17))&lt;&gt;MONTH($C$2)),"",IF(COUNTIFS(m_teacher,AE$4,m_date,($G$2+17),m_active,1,m_start,"&lt;"&amp;1080,m_end,"&gt;"&amp;1020)=0,"",IF(COUNTIFS(m_teacher,AE$4,m_date,($G$2+17),m_active,1,m_start,"&lt;"&amp;1080,m_end,"&gt;"&amp;1020)&gt;1,"충돌",HYPERLINK("#'관리자_MASTER'!D"&amp;_xlfn.MAXIFS(m_row,m_teacher,AE$4,m_date,($G$2+17),m_active,1,m_start,"&lt;"&amp;1080,m_end,"&gt;"&amp;1020),INDEX(m_label,_xlfn.MAXIFS(m_row,m_teacher,AE$4,m_date,($G$2+17),m_active,1,m_start,"&lt;"&amp;1080,m_end,"&gt;"&amp;1020))))))</f>
        <v/>
      </c>
      <c r="AF46" s="88" t="str">
        <f aca="false">IF(OR(AF$4="",MONTH(($G$2+17))&lt;&gt;MONTH($C$2)),"",IF(COUNTIFS(m_teacher,AF$4,m_date,($G$2+17),m_active,1,m_start,"&lt;"&amp;1080,m_end,"&gt;"&amp;1020)=0,"",IF(COUNTIFS(m_teacher,AF$4,m_date,($G$2+17),m_active,1,m_start,"&lt;"&amp;1080,m_end,"&gt;"&amp;1020)&gt;1,"충돌",HYPERLINK("#'관리자_MASTER'!D"&amp;_xlfn.MAXIFS(m_row,m_teacher,AF$4,m_date,($G$2+17),m_active,1,m_start,"&lt;"&amp;1080,m_end,"&gt;"&amp;1020),INDEX(m_label,_xlfn.MAXIFS(m_row,m_teacher,AF$4,m_date,($G$2+17),m_active,1,m_start,"&lt;"&amp;1080,m_end,"&gt;"&amp;1020))))))</f>
        <v/>
      </c>
      <c r="AG46" s="88" t="str">
        <f aca="false">IF(OR(AG$4="",MONTH(($G$2+17))&lt;&gt;MONTH($C$2)),"",IF(COUNTIFS(m_teacher,AG$4,m_date,($G$2+17),m_active,1,m_start,"&lt;"&amp;1080,m_end,"&gt;"&amp;1020)=0,"",IF(COUNTIFS(m_teacher,AG$4,m_date,($G$2+17),m_active,1,m_start,"&lt;"&amp;1080,m_end,"&gt;"&amp;1020)&gt;1,"충돌",HYPERLINK("#'관리자_MASTER'!D"&amp;_xlfn.MAXIFS(m_row,m_teacher,AG$4,m_date,($G$2+17),m_active,1,m_start,"&lt;"&amp;1080,m_end,"&gt;"&amp;1020),INDEX(m_label,_xlfn.MAXIFS(m_row,m_teacher,AG$4,m_date,($G$2+17),m_active,1,m_start,"&lt;"&amp;1080,m_end,"&gt;"&amp;1020))))))</f>
        <v/>
      </c>
      <c r="AH46" s="88" t="str">
        <f aca="false">IF(OR(AH$4="",MONTH(($G$2+17))&lt;&gt;MONTH($C$2)),"",IF(COUNTIFS(m_teacher,AH$4,m_date,($G$2+17),m_active,1,m_start,"&lt;"&amp;1080,m_end,"&gt;"&amp;1020)=0,"",IF(COUNTIFS(m_teacher,AH$4,m_date,($G$2+17),m_active,1,m_start,"&lt;"&amp;1080,m_end,"&gt;"&amp;1020)&gt;1,"충돌",HYPERLINK("#'관리자_MASTER'!D"&amp;_xlfn.MAXIFS(m_row,m_teacher,AH$4,m_date,($G$2+17),m_active,1,m_start,"&lt;"&amp;1080,m_end,"&gt;"&amp;1020),INDEX(m_label,_xlfn.MAXIFS(m_row,m_teacher,AH$4,m_date,($G$2+17),m_active,1,m_start,"&lt;"&amp;1080,m_end,"&gt;"&amp;1020))))))</f>
        <v/>
      </c>
      <c r="AI46" s="88" t="str">
        <f aca="false">IF(OR(AI$4="",MONTH(($G$2+17))&lt;&gt;MONTH($C$2)),"",IF(COUNTIFS(m_teacher,AI$4,m_date,($G$2+17),m_active,1,m_start,"&lt;"&amp;1080,m_end,"&gt;"&amp;1020)=0,"",IF(COUNTIFS(m_teacher,AI$4,m_date,($G$2+17),m_active,1,m_start,"&lt;"&amp;1080,m_end,"&gt;"&amp;1020)&gt;1,"충돌",HYPERLINK("#'관리자_MASTER'!D"&amp;_xlfn.MAXIFS(m_row,m_teacher,AI$4,m_date,($G$2+17),m_active,1,m_start,"&lt;"&amp;1080,m_end,"&gt;"&amp;1020),INDEX(m_label,_xlfn.MAXIFS(m_row,m_teacher,AI$4,m_date,($G$2+17),m_active,1,m_start,"&lt;"&amp;1080,m_end,"&gt;"&amp;1020))))))</f>
        <v/>
      </c>
      <c r="AJ46" s="88" t="str">
        <f aca="false">IF(OR(AJ$4="",MONTH(($G$2+17))&lt;&gt;MONTH($C$2)),"",IF(COUNTIFS(m_teacher,AJ$4,m_date,($G$2+17),m_active,1,m_start,"&lt;"&amp;1080,m_end,"&gt;"&amp;1020)=0,"",IF(COUNTIFS(m_teacher,AJ$4,m_date,($G$2+17),m_active,1,m_start,"&lt;"&amp;1080,m_end,"&gt;"&amp;1020)&gt;1,"충돌",HYPERLINK("#'관리자_MASTER'!D"&amp;_xlfn.MAXIFS(m_row,m_teacher,AJ$4,m_date,($G$2+17),m_active,1,m_start,"&lt;"&amp;1080,m_end,"&gt;"&amp;1020),INDEX(m_label,_xlfn.MAXIFS(m_row,m_teacher,AJ$4,m_date,($G$2+17),m_active,1,m_start,"&lt;"&amp;1080,m_end,"&gt;"&amp;1020))))))</f>
        <v/>
      </c>
      <c r="AK46" s="88" t="str">
        <f aca="false">IF(OR(AK$4="",MONTH(($G$2+17))&lt;&gt;MONTH($C$2)),"",IF(COUNTIFS(m_teacher,AK$4,m_date,($G$2+17),m_active,1,m_start,"&lt;"&amp;1080,m_end,"&gt;"&amp;1020)=0,"",IF(COUNTIFS(m_teacher,AK$4,m_date,($G$2+17),m_active,1,m_start,"&lt;"&amp;1080,m_end,"&gt;"&amp;1020)&gt;1,"충돌",HYPERLINK("#'관리자_MASTER'!D"&amp;_xlfn.MAXIFS(m_row,m_teacher,AK$4,m_date,($G$2+17),m_active,1,m_start,"&lt;"&amp;1080,m_end,"&gt;"&amp;1020),INDEX(m_label,_xlfn.MAXIFS(m_row,m_teacher,AK$4,m_date,($G$2+17),m_active,1,m_start,"&lt;"&amp;1080,m_end,"&gt;"&amp;1020))))))</f>
        <v/>
      </c>
      <c r="AL46" s="88" t="str">
        <f aca="false">IF(OR(AL$4="",MONTH(($G$2+17))&lt;&gt;MONTH($C$2)),"",IF(COUNTIFS(m_teacher,AL$4,m_date,($G$2+17),m_active,1,m_start,"&lt;"&amp;1080,m_end,"&gt;"&amp;1020)=0,"",IF(COUNTIFS(m_teacher,AL$4,m_date,($G$2+17),m_active,1,m_start,"&lt;"&amp;1080,m_end,"&gt;"&amp;1020)&gt;1,"충돌",HYPERLINK("#'관리자_MASTER'!D"&amp;_xlfn.MAXIFS(m_row,m_teacher,AL$4,m_date,($G$2+17),m_active,1,m_start,"&lt;"&amp;1080,m_end,"&gt;"&amp;1020),INDEX(m_label,_xlfn.MAXIFS(m_row,m_teacher,AL$4,m_date,($G$2+17),m_active,1,m_start,"&lt;"&amp;1080,m_end,"&gt;"&amp;1020))))))</f>
        <v/>
      </c>
      <c r="AM46" s="88" t="str">
        <f aca="false">IF(OR(AM$4="",MONTH(($G$2+17))&lt;&gt;MONTH($C$2)),"",IF(COUNTIFS(m_teacher,AM$4,m_date,($G$2+17),m_active,1,m_start,"&lt;"&amp;1080,m_end,"&gt;"&amp;1020)=0,"",IF(COUNTIFS(m_teacher,AM$4,m_date,($G$2+17),m_active,1,m_start,"&lt;"&amp;1080,m_end,"&gt;"&amp;1020)&gt;1,"충돌",HYPERLINK("#'관리자_MASTER'!D"&amp;_xlfn.MAXIFS(m_row,m_teacher,AM$4,m_date,($G$2+17),m_active,1,m_start,"&lt;"&amp;1080,m_end,"&gt;"&amp;1020),INDEX(m_label,_xlfn.MAXIFS(m_row,m_teacher,AM$4,m_date,($G$2+17),m_active,1,m_start,"&lt;"&amp;1080,m_end,"&gt;"&amp;1020))))))</f>
        <v/>
      </c>
      <c r="AN46" s="88" t="str">
        <f aca="false">IF(OR(AN$4="",MONTH(($G$2+17))&lt;&gt;MONTH($C$2)),"",IF(COUNTIFS(m_teacher,AN$4,m_date,($G$2+17),m_active,1,m_start,"&lt;"&amp;1080,m_end,"&gt;"&amp;1020)=0,"",IF(COUNTIFS(m_teacher,AN$4,m_date,($G$2+17),m_active,1,m_start,"&lt;"&amp;1080,m_end,"&gt;"&amp;1020)&gt;1,"충돌",HYPERLINK("#'관리자_MASTER'!D"&amp;_xlfn.MAXIFS(m_row,m_teacher,AN$4,m_date,($G$2+17),m_active,1,m_start,"&lt;"&amp;1080,m_end,"&gt;"&amp;1020),INDEX(m_label,_xlfn.MAXIFS(m_row,m_teacher,AN$4,m_date,($G$2+17),m_active,1,m_start,"&lt;"&amp;1080,m_end,"&gt;"&amp;1020))))))</f>
        <v/>
      </c>
      <c r="AO46" s="88" t="str">
        <f aca="false">IF(OR(AO$4="",MONTH(($G$2+17))&lt;&gt;MONTH($C$2)),"",IF(COUNTIFS(m_teacher,AO$4,m_date,($G$2+17),m_active,1,m_start,"&lt;"&amp;1080,m_end,"&gt;"&amp;1020)=0,"",IF(COUNTIFS(m_teacher,AO$4,m_date,($G$2+17),m_active,1,m_start,"&lt;"&amp;1080,m_end,"&gt;"&amp;1020)&gt;1,"충돌",HYPERLINK("#'관리자_MASTER'!D"&amp;_xlfn.MAXIFS(m_row,m_teacher,AO$4,m_date,($G$2+17),m_active,1,m_start,"&lt;"&amp;1080,m_end,"&gt;"&amp;1020),INDEX(m_label,_xlfn.MAXIFS(m_row,m_teacher,AO$4,m_date,($G$2+17),m_active,1,m_start,"&lt;"&amp;1080,m_end,"&gt;"&amp;1020))))))</f>
        <v/>
      </c>
      <c r="AP46" s="88" t="str">
        <f aca="false">IF(OR(AP$4="",MONTH(($G$2+17))&lt;&gt;MONTH($C$2)),"",IF(COUNTIFS(m_teacher,AP$4,m_date,($G$2+17),m_active,1,m_start,"&lt;"&amp;1080,m_end,"&gt;"&amp;1020)=0,"",IF(COUNTIFS(m_teacher,AP$4,m_date,($G$2+17),m_active,1,m_start,"&lt;"&amp;1080,m_end,"&gt;"&amp;1020)&gt;1,"충돌",HYPERLINK("#'관리자_MASTER'!D"&amp;_xlfn.MAXIFS(m_row,m_teacher,AP$4,m_date,($G$2+17),m_active,1,m_start,"&lt;"&amp;1080,m_end,"&gt;"&amp;1020),INDEX(m_label,_xlfn.MAXIFS(m_row,m_teacher,AP$4,m_date,($G$2+17),m_active,1,m_start,"&lt;"&amp;1080,m_end,"&gt;"&amp;1020))))))</f>
        <v/>
      </c>
      <c r="AQ46" s="78"/>
      <c r="AR46" s="79" t="s">
        <v>99</v>
      </c>
      <c r="AS46" s="88" t="str">
        <f aca="false">IF(OR(AS$4="",MONTH(($G$2+24))&lt;&gt;MONTH($C$2)),"",IF(COUNTIFS(m_teacher,AS$4,m_date,($G$2+24),m_active,1,m_start,"&lt;"&amp;1080,m_end,"&gt;"&amp;1020)=0,"",IF(COUNTIFS(m_teacher,AS$4,m_date,($G$2+24),m_active,1,m_start,"&lt;"&amp;1080,m_end,"&gt;"&amp;1020)&gt;1,"충돌",HYPERLINK("#'관리자_MASTER'!D"&amp;_xlfn.MAXIFS(m_row,m_teacher,AS$4,m_date,($G$2+24),m_active,1,m_start,"&lt;"&amp;1080,m_end,"&gt;"&amp;1020),INDEX(m_label,_xlfn.MAXIFS(m_row,m_teacher,AS$4,m_date,($G$2+24),m_active,1,m_start,"&lt;"&amp;1080,m_end,"&gt;"&amp;1020))))))</f>
        <v/>
      </c>
      <c r="AT46" s="88" t="str">
        <f aca="false">IF(OR(AT$4="",MONTH(($G$2+24))&lt;&gt;MONTH($C$2)),"",IF(COUNTIFS(m_teacher,AT$4,m_date,($G$2+24),m_active,1,m_start,"&lt;"&amp;1080,m_end,"&gt;"&amp;1020)=0,"",IF(COUNTIFS(m_teacher,AT$4,m_date,($G$2+24),m_active,1,m_start,"&lt;"&amp;1080,m_end,"&gt;"&amp;1020)&gt;1,"충돌",HYPERLINK("#'관리자_MASTER'!D"&amp;_xlfn.MAXIFS(m_row,m_teacher,AT$4,m_date,($G$2+24),m_active,1,m_start,"&lt;"&amp;1080,m_end,"&gt;"&amp;1020),INDEX(m_label,_xlfn.MAXIFS(m_row,m_teacher,AT$4,m_date,($G$2+24),m_active,1,m_start,"&lt;"&amp;1080,m_end,"&gt;"&amp;1020))))))</f>
        <v/>
      </c>
      <c r="AU46" s="88" t="str">
        <f aca="false">IF(OR(AU$4="",MONTH(($G$2+24))&lt;&gt;MONTH($C$2)),"",IF(COUNTIFS(m_teacher,AU$4,m_date,($G$2+24),m_active,1,m_start,"&lt;"&amp;1080,m_end,"&gt;"&amp;1020)=0,"",IF(COUNTIFS(m_teacher,AU$4,m_date,($G$2+24),m_active,1,m_start,"&lt;"&amp;1080,m_end,"&gt;"&amp;1020)&gt;1,"충돌",HYPERLINK("#'관리자_MASTER'!D"&amp;_xlfn.MAXIFS(m_row,m_teacher,AU$4,m_date,($G$2+24),m_active,1,m_start,"&lt;"&amp;1080,m_end,"&gt;"&amp;1020),INDEX(m_label,_xlfn.MAXIFS(m_row,m_teacher,AU$4,m_date,($G$2+24),m_active,1,m_start,"&lt;"&amp;1080,m_end,"&gt;"&amp;1020))))))</f>
        <v/>
      </c>
      <c r="AV46" s="88" t="str">
        <f aca="false">IF(OR(AV$4="",MONTH(($G$2+24))&lt;&gt;MONTH($C$2)),"",IF(COUNTIFS(m_teacher,AV$4,m_date,($G$2+24),m_active,1,m_start,"&lt;"&amp;1080,m_end,"&gt;"&amp;1020)=0,"",IF(COUNTIFS(m_teacher,AV$4,m_date,($G$2+24),m_active,1,m_start,"&lt;"&amp;1080,m_end,"&gt;"&amp;1020)&gt;1,"충돌",HYPERLINK("#'관리자_MASTER'!D"&amp;_xlfn.MAXIFS(m_row,m_teacher,AV$4,m_date,($G$2+24),m_active,1,m_start,"&lt;"&amp;1080,m_end,"&gt;"&amp;1020),INDEX(m_label,_xlfn.MAXIFS(m_row,m_teacher,AV$4,m_date,($G$2+24),m_active,1,m_start,"&lt;"&amp;1080,m_end,"&gt;"&amp;1020))))))</f>
        <v/>
      </c>
      <c r="AW46" s="88" t="str">
        <f aca="false">IF(OR(AW$4="",MONTH(($G$2+24))&lt;&gt;MONTH($C$2)),"",IF(COUNTIFS(m_teacher,AW$4,m_date,($G$2+24),m_active,1,m_start,"&lt;"&amp;1080,m_end,"&gt;"&amp;1020)=0,"",IF(COUNTIFS(m_teacher,AW$4,m_date,($G$2+24),m_active,1,m_start,"&lt;"&amp;1080,m_end,"&gt;"&amp;1020)&gt;1,"충돌",HYPERLINK("#'관리자_MASTER'!D"&amp;_xlfn.MAXIFS(m_row,m_teacher,AW$4,m_date,($G$2+24),m_active,1,m_start,"&lt;"&amp;1080,m_end,"&gt;"&amp;1020),INDEX(m_label,_xlfn.MAXIFS(m_row,m_teacher,AW$4,m_date,($G$2+24),m_active,1,m_start,"&lt;"&amp;1080,m_end,"&gt;"&amp;1020))))))</f>
        <v/>
      </c>
      <c r="AX46" s="88" t="str">
        <f aca="false">IF(OR(AX$4="",MONTH(($G$2+24))&lt;&gt;MONTH($C$2)),"",IF(COUNTIFS(m_teacher,AX$4,m_date,($G$2+24),m_active,1,m_start,"&lt;"&amp;1080,m_end,"&gt;"&amp;1020)=0,"",IF(COUNTIFS(m_teacher,AX$4,m_date,($G$2+24),m_active,1,m_start,"&lt;"&amp;1080,m_end,"&gt;"&amp;1020)&gt;1,"충돌",HYPERLINK("#'관리자_MASTER'!D"&amp;_xlfn.MAXIFS(m_row,m_teacher,AX$4,m_date,($G$2+24),m_active,1,m_start,"&lt;"&amp;1080,m_end,"&gt;"&amp;1020),INDEX(m_label,_xlfn.MAXIFS(m_row,m_teacher,AX$4,m_date,($G$2+24),m_active,1,m_start,"&lt;"&amp;1080,m_end,"&gt;"&amp;1020))))))</f>
        <v/>
      </c>
      <c r="AY46" s="88" t="str">
        <f aca="false">IF(OR(AY$4="",MONTH(($G$2+24))&lt;&gt;MONTH($C$2)),"",IF(COUNTIFS(m_teacher,AY$4,m_date,($G$2+24),m_active,1,m_start,"&lt;"&amp;1080,m_end,"&gt;"&amp;1020)=0,"",IF(COUNTIFS(m_teacher,AY$4,m_date,($G$2+24),m_active,1,m_start,"&lt;"&amp;1080,m_end,"&gt;"&amp;1020)&gt;1,"충돌",HYPERLINK("#'관리자_MASTER'!D"&amp;_xlfn.MAXIFS(m_row,m_teacher,AY$4,m_date,($G$2+24),m_active,1,m_start,"&lt;"&amp;1080,m_end,"&gt;"&amp;1020),INDEX(m_label,_xlfn.MAXIFS(m_row,m_teacher,AY$4,m_date,($G$2+24),m_active,1,m_start,"&lt;"&amp;1080,m_end,"&gt;"&amp;1020))))))</f>
        <v/>
      </c>
      <c r="AZ46" s="88" t="str">
        <f aca="false">IF(OR(AZ$4="",MONTH(($G$2+24))&lt;&gt;MONTH($C$2)),"",IF(COUNTIFS(m_teacher,AZ$4,m_date,($G$2+24),m_active,1,m_start,"&lt;"&amp;1080,m_end,"&gt;"&amp;1020)=0,"",IF(COUNTIFS(m_teacher,AZ$4,m_date,($G$2+24),m_active,1,m_start,"&lt;"&amp;1080,m_end,"&gt;"&amp;1020)&gt;1,"충돌",HYPERLINK("#'관리자_MASTER'!D"&amp;_xlfn.MAXIFS(m_row,m_teacher,AZ$4,m_date,($G$2+24),m_active,1,m_start,"&lt;"&amp;1080,m_end,"&gt;"&amp;1020),INDEX(m_label,_xlfn.MAXIFS(m_row,m_teacher,AZ$4,m_date,($G$2+24),m_active,1,m_start,"&lt;"&amp;1080,m_end,"&gt;"&amp;1020))))))</f>
        <v/>
      </c>
      <c r="BA46" s="88" t="str">
        <f aca="false">IF(OR(BA$4="",MONTH(($G$2+24))&lt;&gt;MONTH($C$2)),"",IF(COUNTIFS(m_teacher,BA$4,m_date,($G$2+24),m_active,1,m_start,"&lt;"&amp;1080,m_end,"&gt;"&amp;1020)=0,"",IF(COUNTIFS(m_teacher,BA$4,m_date,($G$2+24),m_active,1,m_start,"&lt;"&amp;1080,m_end,"&gt;"&amp;1020)&gt;1,"충돌",HYPERLINK("#'관리자_MASTER'!D"&amp;_xlfn.MAXIFS(m_row,m_teacher,BA$4,m_date,($G$2+24),m_active,1,m_start,"&lt;"&amp;1080,m_end,"&gt;"&amp;1020),INDEX(m_label,_xlfn.MAXIFS(m_row,m_teacher,BA$4,m_date,($G$2+24),m_active,1,m_start,"&lt;"&amp;1080,m_end,"&gt;"&amp;1020))))))</f>
        <v/>
      </c>
      <c r="BB46" s="88" t="str">
        <f aca="false">IF(OR(BB$4="",MONTH(($G$2+24))&lt;&gt;MONTH($C$2)),"",IF(COUNTIFS(m_teacher,BB$4,m_date,($G$2+24),m_active,1,m_start,"&lt;"&amp;1080,m_end,"&gt;"&amp;1020)=0,"",IF(COUNTIFS(m_teacher,BB$4,m_date,($G$2+24),m_active,1,m_start,"&lt;"&amp;1080,m_end,"&gt;"&amp;1020)&gt;1,"충돌",HYPERLINK("#'관리자_MASTER'!D"&amp;_xlfn.MAXIFS(m_row,m_teacher,BB$4,m_date,($G$2+24),m_active,1,m_start,"&lt;"&amp;1080,m_end,"&gt;"&amp;1020),INDEX(m_label,_xlfn.MAXIFS(m_row,m_teacher,BB$4,m_date,($G$2+24),m_active,1,m_start,"&lt;"&amp;1080,m_end,"&gt;"&amp;1020))))))</f>
        <v/>
      </c>
      <c r="BC46" s="88" t="str">
        <f aca="false">IF(OR(BC$4="",MONTH(($G$2+24))&lt;&gt;MONTH($C$2)),"",IF(COUNTIFS(m_teacher,BC$4,m_date,($G$2+24),m_active,1,m_start,"&lt;"&amp;1080,m_end,"&gt;"&amp;1020)=0,"",IF(COUNTIFS(m_teacher,BC$4,m_date,($G$2+24),m_active,1,m_start,"&lt;"&amp;1080,m_end,"&gt;"&amp;1020)&gt;1,"충돌",HYPERLINK("#'관리자_MASTER'!D"&amp;_xlfn.MAXIFS(m_row,m_teacher,BC$4,m_date,($G$2+24),m_active,1,m_start,"&lt;"&amp;1080,m_end,"&gt;"&amp;1020),INDEX(m_label,_xlfn.MAXIFS(m_row,m_teacher,BC$4,m_date,($G$2+24),m_active,1,m_start,"&lt;"&amp;1080,m_end,"&gt;"&amp;1020))))))</f>
        <v/>
      </c>
      <c r="BD46" s="88" t="str">
        <f aca="false">IF(OR(BD$4="",MONTH(($G$2+24))&lt;&gt;MONTH($C$2)),"",IF(COUNTIFS(m_teacher,BD$4,m_date,($G$2+24),m_active,1,m_start,"&lt;"&amp;1080,m_end,"&gt;"&amp;1020)=0,"",IF(COUNTIFS(m_teacher,BD$4,m_date,($G$2+24),m_active,1,m_start,"&lt;"&amp;1080,m_end,"&gt;"&amp;1020)&gt;1,"충돌",HYPERLINK("#'관리자_MASTER'!D"&amp;_xlfn.MAXIFS(m_row,m_teacher,BD$4,m_date,($G$2+24),m_active,1,m_start,"&lt;"&amp;1080,m_end,"&gt;"&amp;1020),INDEX(m_label,_xlfn.MAXIFS(m_row,m_teacher,BD$4,m_date,($G$2+24),m_active,1,m_start,"&lt;"&amp;1080,m_end,"&gt;"&amp;1020))))))</f>
        <v/>
      </c>
      <c r="BE46" s="78"/>
      <c r="BF46" s="79" t="s">
        <v>99</v>
      </c>
      <c r="BG46" s="88" t="str">
        <f aca="false">IF(OR(BG$4="",MONTH(($G$2+31))&lt;&gt;MONTH($C$2)),"",IF(COUNTIFS(m_teacher,BG$4,m_date,($G$2+31),m_active,1,m_start,"&lt;"&amp;1080,m_end,"&gt;"&amp;1020)=0,"",IF(COUNTIFS(m_teacher,BG$4,m_date,($G$2+31),m_active,1,m_start,"&lt;"&amp;1080,m_end,"&gt;"&amp;1020)&gt;1,"충돌",HYPERLINK("#'관리자_MASTER'!D"&amp;_xlfn.MAXIFS(m_row,m_teacher,BG$4,m_date,($G$2+31),m_active,1,m_start,"&lt;"&amp;1080,m_end,"&gt;"&amp;1020),INDEX(m_label,_xlfn.MAXIFS(m_row,m_teacher,BG$4,m_date,($G$2+31),m_active,1,m_start,"&lt;"&amp;1080,m_end,"&gt;"&amp;1020))))))</f>
        <v/>
      </c>
      <c r="BH46" s="88" t="str">
        <f aca="false">IF(OR(BH$4="",MONTH(($G$2+31))&lt;&gt;MONTH($C$2)),"",IF(COUNTIFS(m_teacher,BH$4,m_date,($G$2+31),m_active,1,m_start,"&lt;"&amp;1080,m_end,"&gt;"&amp;1020)=0,"",IF(COUNTIFS(m_teacher,BH$4,m_date,($G$2+31),m_active,1,m_start,"&lt;"&amp;1080,m_end,"&gt;"&amp;1020)&gt;1,"충돌",HYPERLINK("#'관리자_MASTER'!D"&amp;_xlfn.MAXIFS(m_row,m_teacher,BH$4,m_date,($G$2+31),m_active,1,m_start,"&lt;"&amp;1080,m_end,"&gt;"&amp;1020),INDEX(m_label,_xlfn.MAXIFS(m_row,m_teacher,BH$4,m_date,($G$2+31),m_active,1,m_start,"&lt;"&amp;1080,m_end,"&gt;"&amp;1020))))))</f>
        <v/>
      </c>
      <c r="BI46" s="88" t="str">
        <f aca="false">IF(OR(BI$4="",MONTH(($G$2+31))&lt;&gt;MONTH($C$2)),"",IF(COUNTIFS(m_teacher,BI$4,m_date,($G$2+31),m_active,1,m_start,"&lt;"&amp;1080,m_end,"&gt;"&amp;1020)=0,"",IF(COUNTIFS(m_teacher,BI$4,m_date,($G$2+31),m_active,1,m_start,"&lt;"&amp;1080,m_end,"&gt;"&amp;1020)&gt;1,"충돌",HYPERLINK("#'관리자_MASTER'!D"&amp;_xlfn.MAXIFS(m_row,m_teacher,BI$4,m_date,($G$2+31),m_active,1,m_start,"&lt;"&amp;1080,m_end,"&gt;"&amp;1020),INDEX(m_label,_xlfn.MAXIFS(m_row,m_teacher,BI$4,m_date,($G$2+31),m_active,1,m_start,"&lt;"&amp;1080,m_end,"&gt;"&amp;1020))))))</f>
        <v/>
      </c>
      <c r="BJ46" s="88" t="str">
        <f aca="false">IF(OR(BJ$4="",MONTH(($G$2+31))&lt;&gt;MONTH($C$2)),"",IF(COUNTIFS(m_teacher,BJ$4,m_date,($G$2+31),m_active,1,m_start,"&lt;"&amp;1080,m_end,"&gt;"&amp;1020)=0,"",IF(COUNTIFS(m_teacher,BJ$4,m_date,($G$2+31),m_active,1,m_start,"&lt;"&amp;1080,m_end,"&gt;"&amp;1020)&gt;1,"충돌",HYPERLINK("#'관리자_MASTER'!D"&amp;_xlfn.MAXIFS(m_row,m_teacher,BJ$4,m_date,($G$2+31),m_active,1,m_start,"&lt;"&amp;1080,m_end,"&gt;"&amp;1020),INDEX(m_label,_xlfn.MAXIFS(m_row,m_teacher,BJ$4,m_date,($G$2+31),m_active,1,m_start,"&lt;"&amp;1080,m_end,"&gt;"&amp;1020))))))</f>
        <v/>
      </c>
      <c r="BK46" s="88" t="str">
        <f aca="false">IF(OR(BK$4="",MONTH(($G$2+31))&lt;&gt;MONTH($C$2)),"",IF(COUNTIFS(m_teacher,BK$4,m_date,($G$2+31),m_active,1,m_start,"&lt;"&amp;1080,m_end,"&gt;"&amp;1020)=0,"",IF(COUNTIFS(m_teacher,BK$4,m_date,($G$2+31),m_active,1,m_start,"&lt;"&amp;1080,m_end,"&gt;"&amp;1020)&gt;1,"충돌",HYPERLINK("#'관리자_MASTER'!D"&amp;_xlfn.MAXIFS(m_row,m_teacher,BK$4,m_date,($G$2+31),m_active,1,m_start,"&lt;"&amp;1080,m_end,"&gt;"&amp;1020),INDEX(m_label,_xlfn.MAXIFS(m_row,m_teacher,BK$4,m_date,($G$2+31),m_active,1,m_start,"&lt;"&amp;1080,m_end,"&gt;"&amp;1020))))))</f>
        <v/>
      </c>
      <c r="BL46" s="88" t="str">
        <f aca="false">IF(OR(BL$4="",MONTH(($G$2+31))&lt;&gt;MONTH($C$2)),"",IF(COUNTIFS(m_teacher,BL$4,m_date,($G$2+31),m_active,1,m_start,"&lt;"&amp;1080,m_end,"&gt;"&amp;1020)=0,"",IF(COUNTIFS(m_teacher,BL$4,m_date,($G$2+31),m_active,1,m_start,"&lt;"&amp;1080,m_end,"&gt;"&amp;1020)&gt;1,"충돌",HYPERLINK("#'관리자_MASTER'!D"&amp;_xlfn.MAXIFS(m_row,m_teacher,BL$4,m_date,($G$2+31),m_active,1,m_start,"&lt;"&amp;1080,m_end,"&gt;"&amp;1020),INDEX(m_label,_xlfn.MAXIFS(m_row,m_teacher,BL$4,m_date,($G$2+31),m_active,1,m_start,"&lt;"&amp;1080,m_end,"&gt;"&amp;1020))))))</f>
        <v/>
      </c>
      <c r="BM46" s="88" t="str">
        <f aca="false">IF(OR(BM$4="",MONTH(($G$2+31))&lt;&gt;MONTH($C$2)),"",IF(COUNTIFS(m_teacher,BM$4,m_date,($G$2+31),m_active,1,m_start,"&lt;"&amp;1080,m_end,"&gt;"&amp;1020)=0,"",IF(COUNTIFS(m_teacher,BM$4,m_date,($G$2+31),m_active,1,m_start,"&lt;"&amp;1080,m_end,"&gt;"&amp;1020)&gt;1,"충돌",HYPERLINK("#'관리자_MASTER'!D"&amp;_xlfn.MAXIFS(m_row,m_teacher,BM$4,m_date,($G$2+31),m_active,1,m_start,"&lt;"&amp;1080,m_end,"&gt;"&amp;1020),INDEX(m_label,_xlfn.MAXIFS(m_row,m_teacher,BM$4,m_date,($G$2+31),m_active,1,m_start,"&lt;"&amp;1080,m_end,"&gt;"&amp;1020))))))</f>
        <v/>
      </c>
      <c r="BN46" s="88" t="str">
        <f aca="false">IF(OR(BN$4="",MONTH(($G$2+31))&lt;&gt;MONTH($C$2)),"",IF(COUNTIFS(m_teacher,BN$4,m_date,($G$2+31),m_active,1,m_start,"&lt;"&amp;1080,m_end,"&gt;"&amp;1020)=0,"",IF(COUNTIFS(m_teacher,BN$4,m_date,($G$2+31),m_active,1,m_start,"&lt;"&amp;1080,m_end,"&gt;"&amp;1020)&gt;1,"충돌",HYPERLINK("#'관리자_MASTER'!D"&amp;_xlfn.MAXIFS(m_row,m_teacher,BN$4,m_date,($G$2+31),m_active,1,m_start,"&lt;"&amp;1080,m_end,"&gt;"&amp;1020),INDEX(m_label,_xlfn.MAXIFS(m_row,m_teacher,BN$4,m_date,($G$2+31),m_active,1,m_start,"&lt;"&amp;1080,m_end,"&gt;"&amp;1020))))))</f>
        <v/>
      </c>
      <c r="BO46" s="88" t="str">
        <f aca="false">IF(OR(BO$4="",MONTH(($G$2+31))&lt;&gt;MONTH($C$2)),"",IF(COUNTIFS(m_teacher,BO$4,m_date,($G$2+31),m_active,1,m_start,"&lt;"&amp;1080,m_end,"&gt;"&amp;1020)=0,"",IF(COUNTIFS(m_teacher,BO$4,m_date,($G$2+31),m_active,1,m_start,"&lt;"&amp;1080,m_end,"&gt;"&amp;1020)&gt;1,"충돌",HYPERLINK("#'관리자_MASTER'!D"&amp;_xlfn.MAXIFS(m_row,m_teacher,BO$4,m_date,($G$2+31),m_active,1,m_start,"&lt;"&amp;1080,m_end,"&gt;"&amp;1020),INDEX(m_label,_xlfn.MAXIFS(m_row,m_teacher,BO$4,m_date,($G$2+31),m_active,1,m_start,"&lt;"&amp;1080,m_end,"&gt;"&amp;1020))))))</f>
        <v/>
      </c>
      <c r="BP46" s="88" t="str">
        <f aca="false">IF(OR(BP$4="",MONTH(($G$2+31))&lt;&gt;MONTH($C$2)),"",IF(COUNTIFS(m_teacher,BP$4,m_date,($G$2+31),m_active,1,m_start,"&lt;"&amp;1080,m_end,"&gt;"&amp;1020)=0,"",IF(COUNTIFS(m_teacher,BP$4,m_date,($G$2+31),m_active,1,m_start,"&lt;"&amp;1080,m_end,"&gt;"&amp;1020)&gt;1,"충돌",HYPERLINK("#'관리자_MASTER'!D"&amp;_xlfn.MAXIFS(m_row,m_teacher,BP$4,m_date,($G$2+31),m_active,1,m_start,"&lt;"&amp;1080,m_end,"&gt;"&amp;1020),INDEX(m_label,_xlfn.MAXIFS(m_row,m_teacher,BP$4,m_date,($G$2+31),m_active,1,m_start,"&lt;"&amp;1080,m_end,"&gt;"&amp;1020))))))</f>
        <v/>
      </c>
      <c r="BQ46" s="88" t="str">
        <f aca="false">IF(OR(BQ$4="",MONTH(($G$2+31))&lt;&gt;MONTH($C$2)),"",IF(COUNTIFS(m_teacher,BQ$4,m_date,($G$2+31),m_active,1,m_start,"&lt;"&amp;1080,m_end,"&gt;"&amp;1020)=0,"",IF(COUNTIFS(m_teacher,BQ$4,m_date,($G$2+31),m_active,1,m_start,"&lt;"&amp;1080,m_end,"&gt;"&amp;1020)&gt;1,"충돌",HYPERLINK("#'관리자_MASTER'!D"&amp;_xlfn.MAXIFS(m_row,m_teacher,BQ$4,m_date,($G$2+31),m_active,1,m_start,"&lt;"&amp;1080,m_end,"&gt;"&amp;1020),INDEX(m_label,_xlfn.MAXIFS(m_row,m_teacher,BQ$4,m_date,($G$2+31),m_active,1,m_start,"&lt;"&amp;1080,m_end,"&gt;"&amp;1020))))))</f>
        <v/>
      </c>
      <c r="BR46" s="88" t="str">
        <f aca="false">IF(OR(BR$4="",MONTH(($G$2+31))&lt;&gt;MONTH($C$2)),"",IF(COUNTIFS(m_teacher,BR$4,m_date,($G$2+31),m_active,1,m_start,"&lt;"&amp;1080,m_end,"&gt;"&amp;1020)=0,"",IF(COUNTIFS(m_teacher,BR$4,m_date,($G$2+31),m_active,1,m_start,"&lt;"&amp;1080,m_end,"&gt;"&amp;1020)&gt;1,"충돌",HYPERLINK("#'관리자_MASTER'!D"&amp;_xlfn.MAXIFS(m_row,m_teacher,BR$4,m_date,($G$2+31),m_active,1,m_start,"&lt;"&amp;1080,m_end,"&gt;"&amp;1020),INDEX(m_label,_xlfn.MAXIFS(m_row,m_teacher,BR$4,m_date,($G$2+31),m_active,1,m_start,"&lt;"&amp;1080,m_end,"&gt;"&amp;1020))))))</f>
        <v/>
      </c>
    </row>
    <row r="47" customFormat="false" ht="19.5" hidden="false" customHeight="true" outlineLevel="0" collapsed="false">
      <c r="A47" s="78"/>
      <c r="B47" s="79" t="s">
        <v>100</v>
      </c>
      <c r="C47" s="88" t="str">
        <f aca="false">IF(OR(C$4="",MONTH(($G$2+3))&lt;&gt;MONTH($C$2)),"",IF(COUNTIFS(m_teacher,C$4,m_date,($G$2+3),m_active,1,m_start,"&lt;"&amp;1140,m_end,"&gt;"&amp;1080)=0,"",IF(COUNTIFS(m_teacher,C$4,m_date,($G$2+3),m_active,1,m_start,"&lt;"&amp;1140,m_end,"&gt;"&amp;1080)&gt;1,"충돌",HYPERLINK("#'관리자_MASTER'!D"&amp;_xlfn.MAXIFS(m_row,m_teacher,C$4,m_date,($G$2+3),m_active,1,m_start,"&lt;"&amp;1140,m_end,"&gt;"&amp;1080),INDEX(m_label,_xlfn.MAXIFS(m_row,m_teacher,C$4,m_date,($G$2+3),m_active,1,m_start,"&lt;"&amp;1140,m_end,"&gt;"&amp;1080))))))</f>
        <v/>
      </c>
      <c r="D47" s="88" t="str">
        <f aca="false">IF(OR(D$4="",MONTH(($G$2+3))&lt;&gt;MONTH($C$2)),"",IF(COUNTIFS(m_teacher,D$4,m_date,($G$2+3),m_active,1,m_start,"&lt;"&amp;1140,m_end,"&gt;"&amp;1080)=0,"",IF(COUNTIFS(m_teacher,D$4,m_date,($G$2+3),m_active,1,m_start,"&lt;"&amp;1140,m_end,"&gt;"&amp;1080)&gt;1,"충돌",HYPERLINK("#'관리자_MASTER'!D"&amp;_xlfn.MAXIFS(m_row,m_teacher,D$4,m_date,($G$2+3),m_active,1,m_start,"&lt;"&amp;1140,m_end,"&gt;"&amp;1080),INDEX(m_label,_xlfn.MAXIFS(m_row,m_teacher,D$4,m_date,($G$2+3),m_active,1,m_start,"&lt;"&amp;1140,m_end,"&gt;"&amp;1080))))))</f>
        <v/>
      </c>
      <c r="E47" s="88" t="str">
        <f aca="false">IF(OR(E$4="",MONTH(($G$2+3))&lt;&gt;MONTH($C$2)),"",IF(COUNTIFS(m_teacher,E$4,m_date,($G$2+3),m_active,1,m_start,"&lt;"&amp;1140,m_end,"&gt;"&amp;1080)=0,"",IF(COUNTIFS(m_teacher,E$4,m_date,($G$2+3),m_active,1,m_start,"&lt;"&amp;1140,m_end,"&gt;"&amp;1080)&gt;1,"충돌",HYPERLINK("#'관리자_MASTER'!D"&amp;_xlfn.MAXIFS(m_row,m_teacher,E$4,m_date,($G$2+3),m_active,1,m_start,"&lt;"&amp;1140,m_end,"&gt;"&amp;1080),INDEX(m_label,_xlfn.MAXIFS(m_row,m_teacher,E$4,m_date,($G$2+3),m_active,1,m_start,"&lt;"&amp;1140,m_end,"&gt;"&amp;1080))))))</f>
        <v/>
      </c>
      <c r="F47" s="88" t="str">
        <f aca="false">IF(OR(F$4="",MONTH(($G$2+3))&lt;&gt;MONTH($C$2)),"",IF(COUNTIFS(m_teacher,F$4,m_date,($G$2+3),m_active,1,m_start,"&lt;"&amp;1140,m_end,"&gt;"&amp;1080)=0,"",IF(COUNTIFS(m_teacher,F$4,m_date,($G$2+3),m_active,1,m_start,"&lt;"&amp;1140,m_end,"&gt;"&amp;1080)&gt;1,"충돌",HYPERLINK("#'관리자_MASTER'!D"&amp;_xlfn.MAXIFS(m_row,m_teacher,F$4,m_date,($G$2+3),m_active,1,m_start,"&lt;"&amp;1140,m_end,"&gt;"&amp;1080),INDEX(m_label,_xlfn.MAXIFS(m_row,m_teacher,F$4,m_date,($G$2+3),m_active,1,m_start,"&lt;"&amp;1140,m_end,"&gt;"&amp;1080))))))</f>
        <v/>
      </c>
      <c r="G47" s="88" t="str">
        <f aca="false">IF(OR(G$4="",MONTH(($G$2+3))&lt;&gt;MONTH($C$2)),"",IF(COUNTIFS(m_teacher,G$4,m_date,($G$2+3),m_active,1,m_start,"&lt;"&amp;1140,m_end,"&gt;"&amp;1080)=0,"",IF(COUNTIFS(m_teacher,G$4,m_date,($G$2+3),m_active,1,m_start,"&lt;"&amp;1140,m_end,"&gt;"&amp;1080)&gt;1,"충돌",HYPERLINK("#'관리자_MASTER'!D"&amp;_xlfn.MAXIFS(m_row,m_teacher,G$4,m_date,($G$2+3),m_active,1,m_start,"&lt;"&amp;1140,m_end,"&gt;"&amp;1080),INDEX(m_label,_xlfn.MAXIFS(m_row,m_teacher,G$4,m_date,($G$2+3),m_active,1,m_start,"&lt;"&amp;1140,m_end,"&gt;"&amp;1080))))))</f>
        <v/>
      </c>
      <c r="H47" s="88" t="str">
        <f aca="false">IF(OR(H$4="",MONTH(($G$2+3))&lt;&gt;MONTH($C$2)),"",IF(COUNTIFS(m_teacher,H$4,m_date,($G$2+3),m_active,1,m_start,"&lt;"&amp;1140,m_end,"&gt;"&amp;1080)=0,"",IF(COUNTIFS(m_teacher,H$4,m_date,($G$2+3),m_active,1,m_start,"&lt;"&amp;1140,m_end,"&gt;"&amp;1080)&gt;1,"충돌",HYPERLINK("#'관리자_MASTER'!D"&amp;_xlfn.MAXIFS(m_row,m_teacher,H$4,m_date,($G$2+3),m_active,1,m_start,"&lt;"&amp;1140,m_end,"&gt;"&amp;1080),INDEX(m_label,_xlfn.MAXIFS(m_row,m_teacher,H$4,m_date,($G$2+3),m_active,1,m_start,"&lt;"&amp;1140,m_end,"&gt;"&amp;1080))))))</f>
        <v/>
      </c>
      <c r="I47" s="88" t="str">
        <f aca="false">IF(OR(I$4="",MONTH(($G$2+3))&lt;&gt;MONTH($C$2)),"",IF(COUNTIFS(m_teacher,I$4,m_date,($G$2+3),m_active,1,m_start,"&lt;"&amp;1140,m_end,"&gt;"&amp;1080)=0,"",IF(COUNTIFS(m_teacher,I$4,m_date,($G$2+3),m_active,1,m_start,"&lt;"&amp;1140,m_end,"&gt;"&amp;1080)&gt;1,"충돌",HYPERLINK("#'관리자_MASTER'!D"&amp;_xlfn.MAXIFS(m_row,m_teacher,I$4,m_date,($G$2+3),m_active,1,m_start,"&lt;"&amp;1140,m_end,"&gt;"&amp;1080),INDEX(m_label,_xlfn.MAXIFS(m_row,m_teacher,I$4,m_date,($G$2+3),m_active,1,m_start,"&lt;"&amp;1140,m_end,"&gt;"&amp;1080))))))</f>
        <v/>
      </c>
      <c r="J47" s="88" t="str">
        <f aca="false">IF(OR(J$4="",MONTH(($G$2+3))&lt;&gt;MONTH($C$2)),"",IF(COUNTIFS(m_teacher,J$4,m_date,($G$2+3),m_active,1,m_start,"&lt;"&amp;1140,m_end,"&gt;"&amp;1080)=0,"",IF(COUNTIFS(m_teacher,J$4,m_date,($G$2+3),m_active,1,m_start,"&lt;"&amp;1140,m_end,"&gt;"&amp;1080)&gt;1,"충돌",HYPERLINK("#'관리자_MASTER'!D"&amp;_xlfn.MAXIFS(m_row,m_teacher,J$4,m_date,($G$2+3),m_active,1,m_start,"&lt;"&amp;1140,m_end,"&gt;"&amp;1080),INDEX(m_label,_xlfn.MAXIFS(m_row,m_teacher,J$4,m_date,($G$2+3),m_active,1,m_start,"&lt;"&amp;1140,m_end,"&gt;"&amp;1080))))))</f>
        <v/>
      </c>
      <c r="K47" s="88" t="str">
        <f aca="false">IF(OR(K$4="",MONTH(($G$2+3))&lt;&gt;MONTH($C$2)),"",IF(COUNTIFS(m_teacher,K$4,m_date,($G$2+3),m_active,1,m_start,"&lt;"&amp;1140,m_end,"&gt;"&amp;1080)=0,"",IF(COUNTIFS(m_teacher,K$4,m_date,($G$2+3),m_active,1,m_start,"&lt;"&amp;1140,m_end,"&gt;"&amp;1080)&gt;1,"충돌",HYPERLINK("#'관리자_MASTER'!D"&amp;_xlfn.MAXIFS(m_row,m_teacher,K$4,m_date,($G$2+3),m_active,1,m_start,"&lt;"&amp;1140,m_end,"&gt;"&amp;1080),INDEX(m_label,_xlfn.MAXIFS(m_row,m_teacher,K$4,m_date,($G$2+3),m_active,1,m_start,"&lt;"&amp;1140,m_end,"&gt;"&amp;1080))))))</f>
        <v/>
      </c>
      <c r="L47" s="88" t="str">
        <f aca="false">IF(OR(L$4="",MONTH(($G$2+3))&lt;&gt;MONTH($C$2)),"",IF(COUNTIFS(m_teacher,L$4,m_date,($G$2+3),m_active,1,m_start,"&lt;"&amp;1140,m_end,"&gt;"&amp;1080)=0,"",IF(COUNTIFS(m_teacher,L$4,m_date,($G$2+3),m_active,1,m_start,"&lt;"&amp;1140,m_end,"&gt;"&amp;1080)&gt;1,"충돌",HYPERLINK("#'관리자_MASTER'!D"&amp;_xlfn.MAXIFS(m_row,m_teacher,L$4,m_date,($G$2+3),m_active,1,m_start,"&lt;"&amp;1140,m_end,"&gt;"&amp;1080),INDEX(m_label,_xlfn.MAXIFS(m_row,m_teacher,L$4,m_date,($G$2+3),m_active,1,m_start,"&lt;"&amp;1140,m_end,"&gt;"&amp;1080))))))</f>
        <v/>
      </c>
      <c r="M47" s="88" t="str">
        <f aca="false">IF(OR(M$4="",MONTH(($G$2+3))&lt;&gt;MONTH($C$2)),"",IF(COUNTIFS(m_teacher,M$4,m_date,($G$2+3),m_active,1,m_start,"&lt;"&amp;1140,m_end,"&gt;"&amp;1080)=0,"",IF(COUNTIFS(m_teacher,M$4,m_date,($G$2+3),m_active,1,m_start,"&lt;"&amp;1140,m_end,"&gt;"&amp;1080)&gt;1,"충돌",HYPERLINK("#'관리자_MASTER'!D"&amp;_xlfn.MAXIFS(m_row,m_teacher,M$4,m_date,($G$2+3),m_active,1,m_start,"&lt;"&amp;1140,m_end,"&gt;"&amp;1080),INDEX(m_label,_xlfn.MAXIFS(m_row,m_teacher,M$4,m_date,($G$2+3),m_active,1,m_start,"&lt;"&amp;1140,m_end,"&gt;"&amp;1080))))))</f>
        <v/>
      </c>
      <c r="N47" s="88" t="str">
        <f aca="false">IF(OR(N$4="",MONTH(($G$2+3))&lt;&gt;MONTH($C$2)),"",IF(COUNTIFS(m_teacher,N$4,m_date,($G$2+3),m_active,1,m_start,"&lt;"&amp;1140,m_end,"&gt;"&amp;1080)=0,"",IF(COUNTIFS(m_teacher,N$4,m_date,($G$2+3),m_active,1,m_start,"&lt;"&amp;1140,m_end,"&gt;"&amp;1080)&gt;1,"충돌",HYPERLINK("#'관리자_MASTER'!D"&amp;_xlfn.MAXIFS(m_row,m_teacher,N$4,m_date,($G$2+3),m_active,1,m_start,"&lt;"&amp;1140,m_end,"&gt;"&amp;1080),INDEX(m_label,_xlfn.MAXIFS(m_row,m_teacher,N$4,m_date,($G$2+3),m_active,1,m_start,"&lt;"&amp;1140,m_end,"&gt;"&amp;1080))))))</f>
        <v/>
      </c>
      <c r="O47" s="78"/>
      <c r="P47" s="79" t="s">
        <v>100</v>
      </c>
      <c r="Q47" s="88" t="str">
        <f aca="false">IF(OR(Q$4="",MONTH(($G$2+10))&lt;&gt;MONTH($C$2)),"",IF(COUNTIFS(m_teacher,Q$4,m_date,($G$2+10),m_active,1,m_start,"&lt;"&amp;1140,m_end,"&gt;"&amp;1080)=0,"",IF(COUNTIFS(m_teacher,Q$4,m_date,($G$2+10),m_active,1,m_start,"&lt;"&amp;1140,m_end,"&gt;"&amp;1080)&gt;1,"충돌",HYPERLINK("#'관리자_MASTER'!D"&amp;_xlfn.MAXIFS(m_row,m_teacher,Q$4,m_date,($G$2+10),m_active,1,m_start,"&lt;"&amp;1140,m_end,"&gt;"&amp;1080),INDEX(m_label,_xlfn.MAXIFS(m_row,m_teacher,Q$4,m_date,($G$2+10),m_active,1,m_start,"&lt;"&amp;1140,m_end,"&gt;"&amp;1080))))))</f>
        <v/>
      </c>
      <c r="R47" s="88" t="str">
        <f aca="false">IF(OR(R$4="",MONTH(($G$2+10))&lt;&gt;MONTH($C$2)),"",IF(COUNTIFS(m_teacher,R$4,m_date,($G$2+10),m_active,1,m_start,"&lt;"&amp;1140,m_end,"&gt;"&amp;1080)=0,"",IF(COUNTIFS(m_teacher,R$4,m_date,($G$2+10),m_active,1,m_start,"&lt;"&amp;1140,m_end,"&gt;"&amp;1080)&gt;1,"충돌",HYPERLINK("#'관리자_MASTER'!D"&amp;_xlfn.MAXIFS(m_row,m_teacher,R$4,m_date,($G$2+10),m_active,1,m_start,"&lt;"&amp;1140,m_end,"&gt;"&amp;1080),INDEX(m_label,_xlfn.MAXIFS(m_row,m_teacher,R$4,m_date,($G$2+10),m_active,1,m_start,"&lt;"&amp;1140,m_end,"&gt;"&amp;1080))))))</f>
        <v/>
      </c>
      <c r="S47" s="88" t="str">
        <f aca="false">IF(OR(S$4="",MONTH(($G$2+10))&lt;&gt;MONTH($C$2)),"",IF(COUNTIFS(m_teacher,S$4,m_date,($G$2+10),m_active,1,m_start,"&lt;"&amp;1140,m_end,"&gt;"&amp;1080)=0,"",IF(COUNTIFS(m_teacher,S$4,m_date,($G$2+10),m_active,1,m_start,"&lt;"&amp;1140,m_end,"&gt;"&amp;1080)&gt;1,"충돌",HYPERLINK("#'관리자_MASTER'!D"&amp;_xlfn.MAXIFS(m_row,m_teacher,S$4,m_date,($G$2+10),m_active,1,m_start,"&lt;"&amp;1140,m_end,"&gt;"&amp;1080),INDEX(m_label,_xlfn.MAXIFS(m_row,m_teacher,S$4,m_date,($G$2+10),m_active,1,m_start,"&lt;"&amp;1140,m_end,"&gt;"&amp;1080))))))</f>
        <v/>
      </c>
      <c r="T47" s="88" t="str">
        <f aca="false">IF(OR(T$4="",MONTH(($G$2+10))&lt;&gt;MONTH($C$2)),"",IF(COUNTIFS(m_teacher,T$4,m_date,($G$2+10),m_active,1,m_start,"&lt;"&amp;1140,m_end,"&gt;"&amp;1080)=0,"",IF(COUNTIFS(m_teacher,T$4,m_date,($G$2+10),m_active,1,m_start,"&lt;"&amp;1140,m_end,"&gt;"&amp;1080)&gt;1,"충돌",HYPERLINK("#'관리자_MASTER'!D"&amp;_xlfn.MAXIFS(m_row,m_teacher,T$4,m_date,($G$2+10),m_active,1,m_start,"&lt;"&amp;1140,m_end,"&gt;"&amp;1080),INDEX(m_label,_xlfn.MAXIFS(m_row,m_teacher,T$4,m_date,($G$2+10),m_active,1,m_start,"&lt;"&amp;1140,m_end,"&gt;"&amp;1080))))))</f>
        <v/>
      </c>
      <c r="U47" s="88" t="str">
        <f aca="false">IF(OR(U$4="",MONTH(($G$2+10))&lt;&gt;MONTH($C$2)),"",IF(COUNTIFS(m_teacher,U$4,m_date,($G$2+10),m_active,1,m_start,"&lt;"&amp;1140,m_end,"&gt;"&amp;1080)=0,"",IF(COUNTIFS(m_teacher,U$4,m_date,($G$2+10),m_active,1,m_start,"&lt;"&amp;1140,m_end,"&gt;"&amp;1080)&gt;1,"충돌",HYPERLINK("#'관리자_MASTER'!D"&amp;_xlfn.MAXIFS(m_row,m_teacher,U$4,m_date,($G$2+10),m_active,1,m_start,"&lt;"&amp;1140,m_end,"&gt;"&amp;1080),INDEX(m_label,_xlfn.MAXIFS(m_row,m_teacher,U$4,m_date,($G$2+10),m_active,1,m_start,"&lt;"&amp;1140,m_end,"&gt;"&amp;1080))))))</f>
        <v/>
      </c>
      <c r="V47" s="88" t="str">
        <f aca="false">IF(OR(V$4="",MONTH(($G$2+10))&lt;&gt;MONTH($C$2)),"",IF(COUNTIFS(m_teacher,V$4,m_date,($G$2+10),m_active,1,m_start,"&lt;"&amp;1140,m_end,"&gt;"&amp;1080)=0,"",IF(COUNTIFS(m_teacher,V$4,m_date,($G$2+10),m_active,1,m_start,"&lt;"&amp;1140,m_end,"&gt;"&amp;1080)&gt;1,"충돌",HYPERLINK("#'관리자_MASTER'!D"&amp;_xlfn.MAXIFS(m_row,m_teacher,V$4,m_date,($G$2+10),m_active,1,m_start,"&lt;"&amp;1140,m_end,"&gt;"&amp;1080),INDEX(m_label,_xlfn.MAXIFS(m_row,m_teacher,V$4,m_date,($G$2+10),m_active,1,m_start,"&lt;"&amp;1140,m_end,"&gt;"&amp;1080))))))</f>
        <v/>
      </c>
      <c r="W47" s="88" t="str">
        <f aca="false">IF(OR(W$4="",MONTH(($G$2+10))&lt;&gt;MONTH($C$2)),"",IF(COUNTIFS(m_teacher,W$4,m_date,($G$2+10),m_active,1,m_start,"&lt;"&amp;1140,m_end,"&gt;"&amp;1080)=0,"",IF(COUNTIFS(m_teacher,W$4,m_date,($G$2+10),m_active,1,m_start,"&lt;"&amp;1140,m_end,"&gt;"&amp;1080)&gt;1,"충돌",HYPERLINK("#'관리자_MASTER'!D"&amp;_xlfn.MAXIFS(m_row,m_teacher,W$4,m_date,($G$2+10),m_active,1,m_start,"&lt;"&amp;1140,m_end,"&gt;"&amp;1080),INDEX(m_label,_xlfn.MAXIFS(m_row,m_teacher,W$4,m_date,($G$2+10),m_active,1,m_start,"&lt;"&amp;1140,m_end,"&gt;"&amp;1080))))))</f>
        <v/>
      </c>
      <c r="X47" s="88" t="str">
        <f aca="false">IF(OR(X$4="",MONTH(($G$2+10))&lt;&gt;MONTH($C$2)),"",IF(COUNTIFS(m_teacher,X$4,m_date,($G$2+10),m_active,1,m_start,"&lt;"&amp;1140,m_end,"&gt;"&amp;1080)=0,"",IF(COUNTIFS(m_teacher,X$4,m_date,($G$2+10),m_active,1,m_start,"&lt;"&amp;1140,m_end,"&gt;"&amp;1080)&gt;1,"충돌",HYPERLINK("#'관리자_MASTER'!D"&amp;_xlfn.MAXIFS(m_row,m_teacher,X$4,m_date,($G$2+10),m_active,1,m_start,"&lt;"&amp;1140,m_end,"&gt;"&amp;1080),INDEX(m_label,_xlfn.MAXIFS(m_row,m_teacher,X$4,m_date,($G$2+10),m_active,1,m_start,"&lt;"&amp;1140,m_end,"&gt;"&amp;1080))))))</f>
        <v/>
      </c>
      <c r="Y47" s="88" t="str">
        <f aca="false">IF(OR(Y$4="",MONTH(($G$2+10))&lt;&gt;MONTH($C$2)),"",IF(COUNTIFS(m_teacher,Y$4,m_date,($G$2+10),m_active,1,m_start,"&lt;"&amp;1140,m_end,"&gt;"&amp;1080)=0,"",IF(COUNTIFS(m_teacher,Y$4,m_date,($G$2+10),m_active,1,m_start,"&lt;"&amp;1140,m_end,"&gt;"&amp;1080)&gt;1,"충돌",HYPERLINK("#'관리자_MASTER'!D"&amp;_xlfn.MAXIFS(m_row,m_teacher,Y$4,m_date,($G$2+10),m_active,1,m_start,"&lt;"&amp;1140,m_end,"&gt;"&amp;1080),INDEX(m_label,_xlfn.MAXIFS(m_row,m_teacher,Y$4,m_date,($G$2+10),m_active,1,m_start,"&lt;"&amp;1140,m_end,"&gt;"&amp;1080))))))</f>
        <v/>
      </c>
      <c r="Z47" s="88" t="str">
        <f aca="false">IF(OR(Z$4="",MONTH(($G$2+10))&lt;&gt;MONTH($C$2)),"",IF(COUNTIFS(m_teacher,Z$4,m_date,($G$2+10),m_active,1,m_start,"&lt;"&amp;1140,m_end,"&gt;"&amp;1080)=0,"",IF(COUNTIFS(m_teacher,Z$4,m_date,($G$2+10),m_active,1,m_start,"&lt;"&amp;1140,m_end,"&gt;"&amp;1080)&gt;1,"충돌",HYPERLINK("#'관리자_MASTER'!D"&amp;_xlfn.MAXIFS(m_row,m_teacher,Z$4,m_date,($G$2+10),m_active,1,m_start,"&lt;"&amp;1140,m_end,"&gt;"&amp;1080),INDEX(m_label,_xlfn.MAXIFS(m_row,m_teacher,Z$4,m_date,($G$2+10),m_active,1,m_start,"&lt;"&amp;1140,m_end,"&gt;"&amp;1080))))))</f>
        <v/>
      </c>
      <c r="AA47" s="88" t="str">
        <f aca="false">IF(OR(AA$4="",MONTH(($G$2+10))&lt;&gt;MONTH($C$2)),"",IF(COUNTIFS(m_teacher,AA$4,m_date,($G$2+10),m_active,1,m_start,"&lt;"&amp;1140,m_end,"&gt;"&amp;1080)=0,"",IF(COUNTIFS(m_teacher,AA$4,m_date,($G$2+10),m_active,1,m_start,"&lt;"&amp;1140,m_end,"&gt;"&amp;1080)&gt;1,"충돌",HYPERLINK("#'관리자_MASTER'!D"&amp;_xlfn.MAXIFS(m_row,m_teacher,AA$4,m_date,($G$2+10),m_active,1,m_start,"&lt;"&amp;1140,m_end,"&gt;"&amp;1080),INDEX(m_label,_xlfn.MAXIFS(m_row,m_teacher,AA$4,m_date,($G$2+10),m_active,1,m_start,"&lt;"&amp;1140,m_end,"&gt;"&amp;1080))))))</f>
        <v/>
      </c>
      <c r="AB47" s="88" t="str">
        <f aca="false">IF(OR(AB$4="",MONTH(($G$2+10))&lt;&gt;MONTH($C$2)),"",IF(COUNTIFS(m_teacher,AB$4,m_date,($G$2+10),m_active,1,m_start,"&lt;"&amp;1140,m_end,"&gt;"&amp;1080)=0,"",IF(COUNTIFS(m_teacher,AB$4,m_date,($G$2+10),m_active,1,m_start,"&lt;"&amp;1140,m_end,"&gt;"&amp;1080)&gt;1,"충돌",HYPERLINK("#'관리자_MASTER'!D"&amp;_xlfn.MAXIFS(m_row,m_teacher,AB$4,m_date,($G$2+10),m_active,1,m_start,"&lt;"&amp;1140,m_end,"&gt;"&amp;1080),INDEX(m_label,_xlfn.MAXIFS(m_row,m_teacher,AB$4,m_date,($G$2+10),m_active,1,m_start,"&lt;"&amp;1140,m_end,"&gt;"&amp;1080))))))</f>
        <v/>
      </c>
      <c r="AC47" s="78"/>
      <c r="AD47" s="79" t="s">
        <v>100</v>
      </c>
      <c r="AE47" s="88" t="str">
        <f aca="false">IF(OR(AE$4="",MONTH(($G$2+17))&lt;&gt;MONTH($C$2)),"",IF(COUNTIFS(m_teacher,AE$4,m_date,($G$2+17),m_active,1,m_start,"&lt;"&amp;1140,m_end,"&gt;"&amp;1080)=0,"",IF(COUNTIFS(m_teacher,AE$4,m_date,($G$2+17),m_active,1,m_start,"&lt;"&amp;1140,m_end,"&gt;"&amp;1080)&gt;1,"충돌",HYPERLINK("#'관리자_MASTER'!D"&amp;_xlfn.MAXIFS(m_row,m_teacher,AE$4,m_date,($G$2+17),m_active,1,m_start,"&lt;"&amp;1140,m_end,"&gt;"&amp;1080),INDEX(m_label,_xlfn.MAXIFS(m_row,m_teacher,AE$4,m_date,($G$2+17),m_active,1,m_start,"&lt;"&amp;1140,m_end,"&gt;"&amp;1080))))))</f>
        <v/>
      </c>
      <c r="AF47" s="88" t="str">
        <f aca="false">IF(OR(AF$4="",MONTH(($G$2+17))&lt;&gt;MONTH($C$2)),"",IF(COUNTIFS(m_teacher,AF$4,m_date,($G$2+17),m_active,1,m_start,"&lt;"&amp;1140,m_end,"&gt;"&amp;1080)=0,"",IF(COUNTIFS(m_teacher,AF$4,m_date,($G$2+17),m_active,1,m_start,"&lt;"&amp;1140,m_end,"&gt;"&amp;1080)&gt;1,"충돌",HYPERLINK("#'관리자_MASTER'!D"&amp;_xlfn.MAXIFS(m_row,m_teacher,AF$4,m_date,($G$2+17),m_active,1,m_start,"&lt;"&amp;1140,m_end,"&gt;"&amp;1080),INDEX(m_label,_xlfn.MAXIFS(m_row,m_teacher,AF$4,m_date,($G$2+17),m_active,1,m_start,"&lt;"&amp;1140,m_end,"&gt;"&amp;1080))))))</f>
        <v/>
      </c>
      <c r="AG47" s="88" t="str">
        <f aca="false">IF(OR(AG$4="",MONTH(($G$2+17))&lt;&gt;MONTH($C$2)),"",IF(COUNTIFS(m_teacher,AG$4,m_date,($G$2+17),m_active,1,m_start,"&lt;"&amp;1140,m_end,"&gt;"&amp;1080)=0,"",IF(COUNTIFS(m_teacher,AG$4,m_date,($G$2+17),m_active,1,m_start,"&lt;"&amp;1140,m_end,"&gt;"&amp;1080)&gt;1,"충돌",HYPERLINK("#'관리자_MASTER'!D"&amp;_xlfn.MAXIFS(m_row,m_teacher,AG$4,m_date,($G$2+17),m_active,1,m_start,"&lt;"&amp;1140,m_end,"&gt;"&amp;1080),INDEX(m_label,_xlfn.MAXIFS(m_row,m_teacher,AG$4,m_date,($G$2+17),m_active,1,m_start,"&lt;"&amp;1140,m_end,"&gt;"&amp;1080))))))</f>
        <v/>
      </c>
      <c r="AH47" s="88" t="str">
        <f aca="false">IF(OR(AH$4="",MONTH(($G$2+17))&lt;&gt;MONTH($C$2)),"",IF(COUNTIFS(m_teacher,AH$4,m_date,($G$2+17),m_active,1,m_start,"&lt;"&amp;1140,m_end,"&gt;"&amp;1080)=0,"",IF(COUNTIFS(m_teacher,AH$4,m_date,($G$2+17),m_active,1,m_start,"&lt;"&amp;1140,m_end,"&gt;"&amp;1080)&gt;1,"충돌",HYPERLINK("#'관리자_MASTER'!D"&amp;_xlfn.MAXIFS(m_row,m_teacher,AH$4,m_date,($G$2+17),m_active,1,m_start,"&lt;"&amp;1140,m_end,"&gt;"&amp;1080),INDEX(m_label,_xlfn.MAXIFS(m_row,m_teacher,AH$4,m_date,($G$2+17),m_active,1,m_start,"&lt;"&amp;1140,m_end,"&gt;"&amp;1080))))))</f>
        <v/>
      </c>
      <c r="AI47" s="88" t="str">
        <f aca="false">IF(OR(AI$4="",MONTH(($G$2+17))&lt;&gt;MONTH($C$2)),"",IF(COUNTIFS(m_teacher,AI$4,m_date,($G$2+17),m_active,1,m_start,"&lt;"&amp;1140,m_end,"&gt;"&amp;1080)=0,"",IF(COUNTIFS(m_teacher,AI$4,m_date,($G$2+17),m_active,1,m_start,"&lt;"&amp;1140,m_end,"&gt;"&amp;1080)&gt;1,"충돌",HYPERLINK("#'관리자_MASTER'!D"&amp;_xlfn.MAXIFS(m_row,m_teacher,AI$4,m_date,($G$2+17),m_active,1,m_start,"&lt;"&amp;1140,m_end,"&gt;"&amp;1080),INDEX(m_label,_xlfn.MAXIFS(m_row,m_teacher,AI$4,m_date,($G$2+17),m_active,1,m_start,"&lt;"&amp;1140,m_end,"&gt;"&amp;1080))))))</f>
        <v/>
      </c>
      <c r="AJ47" s="88" t="str">
        <f aca="false">IF(OR(AJ$4="",MONTH(($G$2+17))&lt;&gt;MONTH($C$2)),"",IF(COUNTIFS(m_teacher,AJ$4,m_date,($G$2+17),m_active,1,m_start,"&lt;"&amp;1140,m_end,"&gt;"&amp;1080)=0,"",IF(COUNTIFS(m_teacher,AJ$4,m_date,($G$2+17),m_active,1,m_start,"&lt;"&amp;1140,m_end,"&gt;"&amp;1080)&gt;1,"충돌",HYPERLINK("#'관리자_MASTER'!D"&amp;_xlfn.MAXIFS(m_row,m_teacher,AJ$4,m_date,($G$2+17),m_active,1,m_start,"&lt;"&amp;1140,m_end,"&gt;"&amp;1080),INDEX(m_label,_xlfn.MAXIFS(m_row,m_teacher,AJ$4,m_date,($G$2+17),m_active,1,m_start,"&lt;"&amp;1140,m_end,"&gt;"&amp;1080))))))</f>
        <v/>
      </c>
      <c r="AK47" s="88" t="str">
        <f aca="false">IF(OR(AK$4="",MONTH(($G$2+17))&lt;&gt;MONTH($C$2)),"",IF(COUNTIFS(m_teacher,AK$4,m_date,($G$2+17),m_active,1,m_start,"&lt;"&amp;1140,m_end,"&gt;"&amp;1080)=0,"",IF(COUNTIFS(m_teacher,AK$4,m_date,($G$2+17),m_active,1,m_start,"&lt;"&amp;1140,m_end,"&gt;"&amp;1080)&gt;1,"충돌",HYPERLINK("#'관리자_MASTER'!D"&amp;_xlfn.MAXIFS(m_row,m_teacher,AK$4,m_date,($G$2+17),m_active,1,m_start,"&lt;"&amp;1140,m_end,"&gt;"&amp;1080),INDEX(m_label,_xlfn.MAXIFS(m_row,m_teacher,AK$4,m_date,($G$2+17),m_active,1,m_start,"&lt;"&amp;1140,m_end,"&gt;"&amp;1080))))))</f>
        <v/>
      </c>
      <c r="AL47" s="88" t="str">
        <f aca="false">IF(OR(AL$4="",MONTH(($G$2+17))&lt;&gt;MONTH($C$2)),"",IF(COUNTIFS(m_teacher,AL$4,m_date,($G$2+17),m_active,1,m_start,"&lt;"&amp;1140,m_end,"&gt;"&amp;1080)=0,"",IF(COUNTIFS(m_teacher,AL$4,m_date,($G$2+17),m_active,1,m_start,"&lt;"&amp;1140,m_end,"&gt;"&amp;1080)&gt;1,"충돌",HYPERLINK("#'관리자_MASTER'!D"&amp;_xlfn.MAXIFS(m_row,m_teacher,AL$4,m_date,($G$2+17),m_active,1,m_start,"&lt;"&amp;1140,m_end,"&gt;"&amp;1080),INDEX(m_label,_xlfn.MAXIFS(m_row,m_teacher,AL$4,m_date,($G$2+17),m_active,1,m_start,"&lt;"&amp;1140,m_end,"&gt;"&amp;1080))))))</f>
        <v/>
      </c>
      <c r="AM47" s="88" t="str">
        <f aca="false">IF(OR(AM$4="",MONTH(($G$2+17))&lt;&gt;MONTH($C$2)),"",IF(COUNTIFS(m_teacher,AM$4,m_date,($G$2+17),m_active,1,m_start,"&lt;"&amp;1140,m_end,"&gt;"&amp;1080)=0,"",IF(COUNTIFS(m_teacher,AM$4,m_date,($G$2+17),m_active,1,m_start,"&lt;"&amp;1140,m_end,"&gt;"&amp;1080)&gt;1,"충돌",HYPERLINK("#'관리자_MASTER'!D"&amp;_xlfn.MAXIFS(m_row,m_teacher,AM$4,m_date,($G$2+17),m_active,1,m_start,"&lt;"&amp;1140,m_end,"&gt;"&amp;1080),INDEX(m_label,_xlfn.MAXIFS(m_row,m_teacher,AM$4,m_date,($G$2+17),m_active,1,m_start,"&lt;"&amp;1140,m_end,"&gt;"&amp;1080))))))</f>
        <v/>
      </c>
      <c r="AN47" s="88" t="str">
        <f aca="false">IF(OR(AN$4="",MONTH(($G$2+17))&lt;&gt;MONTH($C$2)),"",IF(COUNTIFS(m_teacher,AN$4,m_date,($G$2+17),m_active,1,m_start,"&lt;"&amp;1140,m_end,"&gt;"&amp;1080)=0,"",IF(COUNTIFS(m_teacher,AN$4,m_date,($G$2+17),m_active,1,m_start,"&lt;"&amp;1140,m_end,"&gt;"&amp;1080)&gt;1,"충돌",HYPERLINK("#'관리자_MASTER'!D"&amp;_xlfn.MAXIFS(m_row,m_teacher,AN$4,m_date,($G$2+17),m_active,1,m_start,"&lt;"&amp;1140,m_end,"&gt;"&amp;1080),INDEX(m_label,_xlfn.MAXIFS(m_row,m_teacher,AN$4,m_date,($G$2+17),m_active,1,m_start,"&lt;"&amp;1140,m_end,"&gt;"&amp;1080))))))</f>
        <v/>
      </c>
      <c r="AO47" s="88" t="str">
        <f aca="false">IF(OR(AO$4="",MONTH(($G$2+17))&lt;&gt;MONTH($C$2)),"",IF(COUNTIFS(m_teacher,AO$4,m_date,($G$2+17),m_active,1,m_start,"&lt;"&amp;1140,m_end,"&gt;"&amp;1080)=0,"",IF(COUNTIFS(m_teacher,AO$4,m_date,($G$2+17),m_active,1,m_start,"&lt;"&amp;1140,m_end,"&gt;"&amp;1080)&gt;1,"충돌",HYPERLINK("#'관리자_MASTER'!D"&amp;_xlfn.MAXIFS(m_row,m_teacher,AO$4,m_date,($G$2+17),m_active,1,m_start,"&lt;"&amp;1140,m_end,"&gt;"&amp;1080),INDEX(m_label,_xlfn.MAXIFS(m_row,m_teacher,AO$4,m_date,($G$2+17),m_active,1,m_start,"&lt;"&amp;1140,m_end,"&gt;"&amp;1080))))))</f>
        <v/>
      </c>
      <c r="AP47" s="88" t="str">
        <f aca="false">IF(OR(AP$4="",MONTH(($G$2+17))&lt;&gt;MONTH($C$2)),"",IF(COUNTIFS(m_teacher,AP$4,m_date,($G$2+17),m_active,1,m_start,"&lt;"&amp;1140,m_end,"&gt;"&amp;1080)=0,"",IF(COUNTIFS(m_teacher,AP$4,m_date,($G$2+17),m_active,1,m_start,"&lt;"&amp;1140,m_end,"&gt;"&amp;1080)&gt;1,"충돌",HYPERLINK("#'관리자_MASTER'!D"&amp;_xlfn.MAXIFS(m_row,m_teacher,AP$4,m_date,($G$2+17),m_active,1,m_start,"&lt;"&amp;1140,m_end,"&gt;"&amp;1080),INDEX(m_label,_xlfn.MAXIFS(m_row,m_teacher,AP$4,m_date,($G$2+17),m_active,1,m_start,"&lt;"&amp;1140,m_end,"&gt;"&amp;1080))))))</f>
        <v/>
      </c>
      <c r="AQ47" s="78"/>
      <c r="AR47" s="79" t="s">
        <v>100</v>
      </c>
      <c r="AS47" s="88" t="str">
        <f aca="false">IF(OR(AS$4="",MONTH(($G$2+24))&lt;&gt;MONTH($C$2)),"",IF(COUNTIFS(m_teacher,AS$4,m_date,($G$2+24),m_active,1,m_start,"&lt;"&amp;1140,m_end,"&gt;"&amp;1080)=0,"",IF(COUNTIFS(m_teacher,AS$4,m_date,($G$2+24),m_active,1,m_start,"&lt;"&amp;1140,m_end,"&gt;"&amp;1080)&gt;1,"충돌",HYPERLINK("#'관리자_MASTER'!D"&amp;_xlfn.MAXIFS(m_row,m_teacher,AS$4,m_date,($G$2+24),m_active,1,m_start,"&lt;"&amp;1140,m_end,"&gt;"&amp;1080),INDEX(m_label,_xlfn.MAXIFS(m_row,m_teacher,AS$4,m_date,($G$2+24),m_active,1,m_start,"&lt;"&amp;1140,m_end,"&gt;"&amp;1080))))))</f>
        <v/>
      </c>
      <c r="AT47" s="88" t="str">
        <f aca="false">IF(OR(AT$4="",MONTH(($G$2+24))&lt;&gt;MONTH($C$2)),"",IF(COUNTIFS(m_teacher,AT$4,m_date,($G$2+24),m_active,1,m_start,"&lt;"&amp;1140,m_end,"&gt;"&amp;1080)=0,"",IF(COUNTIFS(m_teacher,AT$4,m_date,($G$2+24),m_active,1,m_start,"&lt;"&amp;1140,m_end,"&gt;"&amp;1080)&gt;1,"충돌",HYPERLINK("#'관리자_MASTER'!D"&amp;_xlfn.MAXIFS(m_row,m_teacher,AT$4,m_date,($G$2+24),m_active,1,m_start,"&lt;"&amp;1140,m_end,"&gt;"&amp;1080),INDEX(m_label,_xlfn.MAXIFS(m_row,m_teacher,AT$4,m_date,($G$2+24),m_active,1,m_start,"&lt;"&amp;1140,m_end,"&gt;"&amp;1080))))))</f>
        <v/>
      </c>
      <c r="AU47" s="88" t="str">
        <f aca="false">IF(OR(AU$4="",MONTH(($G$2+24))&lt;&gt;MONTH($C$2)),"",IF(COUNTIFS(m_teacher,AU$4,m_date,($G$2+24),m_active,1,m_start,"&lt;"&amp;1140,m_end,"&gt;"&amp;1080)=0,"",IF(COUNTIFS(m_teacher,AU$4,m_date,($G$2+24),m_active,1,m_start,"&lt;"&amp;1140,m_end,"&gt;"&amp;1080)&gt;1,"충돌",HYPERLINK("#'관리자_MASTER'!D"&amp;_xlfn.MAXIFS(m_row,m_teacher,AU$4,m_date,($G$2+24),m_active,1,m_start,"&lt;"&amp;1140,m_end,"&gt;"&amp;1080),INDEX(m_label,_xlfn.MAXIFS(m_row,m_teacher,AU$4,m_date,($G$2+24),m_active,1,m_start,"&lt;"&amp;1140,m_end,"&gt;"&amp;1080))))))</f>
        <v/>
      </c>
      <c r="AV47" s="88" t="str">
        <f aca="false">IF(OR(AV$4="",MONTH(($G$2+24))&lt;&gt;MONTH($C$2)),"",IF(COUNTIFS(m_teacher,AV$4,m_date,($G$2+24),m_active,1,m_start,"&lt;"&amp;1140,m_end,"&gt;"&amp;1080)=0,"",IF(COUNTIFS(m_teacher,AV$4,m_date,($G$2+24),m_active,1,m_start,"&lt;"&amp;1140,m_end,"&gt;"&amp;1080)&gt;1,"충돌",HYPERLINK("#'관리자_MASTER'!D"&amp;_xlfn.MAXIFS(m_row,m_teacher,AV$4,m_date,($G$2+24),m_active,1,m_start,"&lt;"&amp;1140,m_end,"&gt;"&amp;1080),INDEX(m_label,_xlfn.MAXIFS(m_row,m_teacher,AV$4,m_date,($G$2+24),m_active,1,m_start,"&lt;"&amp;1140,m_end,"&gt;"&amp;1080))))))</f>
        <v/>
      </c>
      <c r="AW47" s="88" t="str">
        <f aca="false">IF(OR(AW$4="",MONTH(($G$2+24))&lt;&gt;MONTH($C$2)),"",IF(COUNTIFS(m_teacher,AW$4,m_date,($G$2+24),m_active,1,m_start,"&lt;"&amp;1140,m_end,"&gt;"&amp;1080)=0,"",IF(COUNTIFS(m_teacher,AW$4,m_date,($G$2+24),m_active,1,m_start,"&lt;"&amp;1140,m_end,"&gt;"&amp;1080)&gt;1,"충돌",HYPERLINK("#'관리자_MASTER'!D"&amp;_xlfn.MAXIFS(m_row,m_teacher,AW$4,m_date,($G$2+24),m_active,1,m_start,"&lt;"&amp;1140,m_end,"&gt;"&amp;1080),INDEX(m_label,_xlfn.MAXIFS(m_row,m_teacher,AW$4,m_date,($G$2+24),m_active,1,m_start,"&lt;"&amp;1140,m_end,"&gt;"&amp;1080))))))</f>
        <v/>
      </c>
      <c r="AX47" s="88" t="str">
        <f aca="false">IF(OR(AX$4="",MONTH(($G$2+24))&lt;&gt;MONTH($C$2)),"",IF(COUNTIFS(m_teacher,AX$4,m_date,($G$2+24),m_active,1,m_start,"&lt;"&amp;1140,m_end,"&gt;"&amp;1080)=0,"",IF(COUNTIFS(m_teacher,AX$4,m_date,($G$2+24),m_active,1,m_start,"&lt;"&amp;1140,m_end,"&gt;"&amp;1080)&gt;1,"충돌",HYPERLINK("#'관리자_MASTER'!D"&amp;_xlfn.MAXIFS(m_row,m_teacher,AX$4,m_date,($G$2+24),m_active,1,m_start,"&lt;"&amp;1140,m_end,"&gt;"&amp;1080),INDEX(m_label,_xlfn.MAXIFS(m_row,m_teacher,AX$4,m_date,($G$2+24),m_active,1,m_start,"&lt;"&amp;1140,m_end,"&gt;"&amp;1080))))))</f>
        <v/>
      </c>
      <c r="AY47" s="88" t="str">
        <f aca="false">IF(OR(AY$4="",MONTH(($G$2+24))&lt;&gt;MONTH($C$2)),"",IF(COUNTIFS(m_teacher,AY$4,m_date,($G$2+24),m_active,1,m_start,"&lt;"&amp;1140,m_end,"&gt;"&amp;1080)=0,"",IF(COUNTIFS(m_teacher,AY$4,m_date,($G$2+24),m_active,1,m_start,"&lt;"&amp;1140,m_end,"&gt;"&amp;1080)&gt;1,"충돌",HYPERLINK("#'관리자_MASTER'!D"&amp;_xlfn.MAXIFS(m_row,m_teacher,AY$4,m_date,($G$2+24),m_active,1,m_start,"&lt;"&amp;1140,m_end,"&gt;"&amp;1080),INDEX(m_label,_xlfn.MAXIFS(m_row,m_teacher,AY$4,m_date,($G$2+24),m_active,1,m_start,"&lt;"&amp;1140,m_end,"&gt;"&amp;1080))))))</f>
        <v/>
      </c>
      <c r="AZ47" s="88" t="str">
        <f aca="false">IF(OR(AZ$4="",MONTH(($G$2+24))&lt;&gt;MONTH($C$2)),"",IF(COUNTIFS(m_teacher,AZ$4,m_date,($G$2+24),m_active,1,m_start,"&lt;"&amp;1140,m_end,"&gt;"&amp;1080)=0,"",IF(COUNTIFS(m_teacher,AZ$4,m_date,($G$2+24),m_active,1,m_start,"&lt;"&amp;1140,m_end,"&gt;"&amp;1080)&gt;1,"충돌",HYPERLINK("#'관리자_MASTER'!D"&amp;_xlfn.MAXIFS(m_row,m_teacher,AZ$4,m_date,($G$2+24),m_active,1,m_start,"&lt;"&amp;1140,m_end,"&gt;"&amp;1080),INDEX(m_label,_xlfn.MAXIFS(m_row,m_teacher,AZ$4,m_date,($G$2+24),m_active,1,m_start,"&lt;"&amp;1140,m_end,"&gt;"&amp;1080))))))</f>
        <v/>
      </c>
      <c r="BA47" s="88" t="str">
        <f aca="false">IF(OR(BA$4="",MONTH(($G$2+24))&lt;&gt;MONTH($C$2)),"",IF(COUNTIFS(m_teacher,BA$4,m_date,($G$2+24),m_active,1,m_start,"&lt;"&amp;1140,m_end,"&gt;"&amp;1080)=0,"",IF(COUNTIFS(m_teacher,BA$4,m_date,($G$2+24),m_active,1,m_start,"&lt;"&amp;1140,m_end,"&gt;"&amp;1080)&gt;1,"충돌",HYPERLINK("#'관리자_MASTER'!D"&amp;_xlfn.MAXIFS(m_row,m_teacher,BA$4,m_date,($G$2+24),m_active,1,m_start,"&lt;"&amp;1140,m_end,"&gt;"&amp;1080),INDEX(m_label,_xlfn.MAXIFS(m_row,m_teacher,BA$4,m_date,($G$2+24),m_active,1,m_start,"&lt;"&amp;1140,m_end,"&gt;"&amp;1080))))))</f>
        <v/>
      </c>
      <c r="BB47" s="88" t="str">
        <f aca="false">IF(OR(BB$4="",MONTH(($G$2+24))&lt;&gt;MONTH($C$2)),"",IF(COUNTIFS(m_teacher,BB$4,m_date,($G$2+24),m_active,1,m_start,"&lt;"&amp;1140,m_end,"&gt;"&amp;1080)=0,"",IF(COUNTIFS(m_teacher,BB$4,m_date,($G$2+24),m_active,1,m_start,"&lt;"&amp;1140,m_end,"&gt;"&amp;1080)&gt;1,"충돌",HYPERLINK("#'관리자_MASTER'!D"&amp;_xlfn.MAXIFS(m_row,m_teacher,BB$4,m_date,($G$2+24),m_active,1,m_start,"&lt;"&amp;1140,m_end,"&gt;"&amp;1080),INDEX(m_label,_xlfn.MAXIFS(m_row,m_teacher,BB$4,m_date,($G$2+24),m_active,1,m_start,"&lt;"&amp;1140,m_end,"&gt;"&amp;1080))))))</f>
        <v/>
      </c>
      <c r="BC47" s="88" t="str">
        <f aca="false">IF(OR(BC$4="",MONTH(($G$2+24))&lt;&gt;MONTH($C$2)),"",IF(COUNTIFS(m_teacher,BC$4,m_date,($G$2+24),m_active,1,m_start,"&lt;"&amp;1140,m_end,"&gt;"&amp;1080)=0,"",IF(COUNTIFS(m_teacher,BC$4,m_date,($G$2+24),m_active,1,m_start,"&lt;"&amp;1140,m_end,"&gt;"&amp;1080)&gt;1,"충돌",HYPERLINK("#'관리자_MASTER'!D"&amp;_xlfn.MAXIFS(m_row,m_teacher,BC$4,m_date,($G$2+24),m_active,1,m_start,"&lt;"&amp;1140,m_end,"&gt;"&amp;1080),INDEX(m_label,_xlfn.MAXIFS(m_row,m_teacher,BC$4,m_date,($G$2+24),m_active,1,m_start,"&lt;"&amp;1140,m_end,"&gt;"&amp;1080))))))</f>
        <v/>
      </c>
      <c r="BD47" s="88" t="str">
        <f aca="false">IF(OR(BD$4="",MONTH(($G$2+24))&lt;&gt;MONTH($C$2)),"",IF(COUNTIFS(m_teacher,BD$4,m_date,($G$2+24),m_active,1,m_start,"&lt;"&amp;1140,m_end,"&gt;"&amp;1080)=0,"",IF(COUNTIFS(m_teacher,BD$4,m_date,($G$2+24),m_active,1,m_start,"&lt;"&amp;1140,m_end,"&gt;"&amp;1080)&gt;1,"충돌",HYPERLINK("#'관리자_MASTER'!D"&amp;_xlfn.MAXIFS(m_row,m_teacher,BD$4,m_date,($G$2+24),m_active,1,m_start,"&lt;"&amp;1140,m_end,"&gt;"&amp;1080),INDEX(m_label,_xlfn.MAXIFS(m_row,m_teacher,BD$4,m_date,($G$2+24),m_active,1,m_start,"&lt;"&amp;1140,m_end,"&gt;"&amp;1080))))))</f>
        <v/>
      </c>
      <c r="BE47" s="78"/>
      <c r="BF47" s="79" t="s">
        <v>100</v>
      </c>
      <c r="BG47" s="88" t="str">
        <f aca="false">IF(OR(BG$4="",MONTH(($G$2+31))&lt;&gt;MONTH($C$2)),"",IF(COUNTIFS(m_teacher,BG$4,m_date,($G$2+31),m_active,1,m_start,"&lt;"&amp;1140,m_end,"&gt;"&amp;1080)=0,"",IF(COUNTIFS(m_teacher,BG$4,m_date,($G$2+31),m_active,1,m_start,"&lt;"&amp;1140,m_end,"&gt;"&amp;1080)&gt;1,"충돌",HYPERLINK("#'관리자_MASTER'!D"&amp;_xlfn.MAXIFS(m_row,m_teacher,BG$4,m_date,($G$2+31),m_active,1,m_start,"&lt;"&amp;1140,m_end,"&gt;"&amp;1080),INDEX(m_label,_xlfn.MAXIFS(m_row,m_teacher,BG$4,m_date,($G$2+31),m_active,1,m_start,"&lt;"&amp;1140,m_end,"&gt;"&amp;1080))))))</f>
        <v/>
      </c>
      <c r="BH47" s="88" t="str">
        <f aca="false">IF(OR(BH$4="",MONTH(($G$2+31))&lt;&gt;MONTH($C$2)),"",IF(COUNTIFS(m_teacher,BH$4,m_date,($G$2+31),m_active,1,m_start,"&lt;"&amp;1140,m_end,"&gt;"&amp;1080)=0,"",IF(COUNTIFS(m_teacher,BH$4,m_date,($G$2+31),m_active,1,m_start,"&lt;"&amp;1140,m_end,"&gt;"&amp;1080)&gt;1,"충돌",HYPERLINK("#'관리자_MASTER'!D"&amp;_xlfn.MAXIFS(m_row,m_teacher,BH$4,m_date,($G$2+31),m_active,1,m_start,"&lt;"&amp;1140,m_end,"&gt;"&amp;1080),INDEX(m_label,_xlfn.MAXIFS(m_row,m_teacher,BH$4,m_date,($G$2+31),m_active,1,m_start,"&lt;"&amp;1140,m_end,"&gt;"&amp;1080))))))</f>
        <v/>
      </c>
      <c r="BI47" s="88" t="str">
        <f aca="false">IF(OR(BI$4="",MONTH(($G$2+31))&lt;&gt;MONTH($C$2)),"",IF(COUNTIFS(m_teacher,BI$4,m_date,($G$2+31),m_active,1,m_start,"&lt;"&amp;1140,m_end,"&gt;"&amp;1080)=0,"",IF(COUNTIFS(m_teacher,BI$4,m_date,($G$2+31),m_active,1,m_start,"&lt;"&amp;1140,m_end,"&gt;"&amp;1080)&gt;1,"충돌",HYPERLINK("#'관리자_MASTER'!D"&amp;_xlfn.MAXIFS(m_row,m_teacher,BI$4,m_date,($G$2+31),m_active,1,m_start,"&lt;"&amp;1140,m_end,"&gt;"&amp;1080),INDEX(m_label,_xlfn.MAXIFS(m_row,m_teacher,BI$4,m_date,($G$2+31),m_active,1,m_start,"&lt;"&amp;1140,m_end,"&gt;"&amp;1080))))))</f>
        <v/>
      </c>
      <c r="BJ47" s="88" t="str">
        <f aca="false">IF(OR(BJ$4="",MONTH(($G$2+31))&lt;&gt;MONTH($C$2)),"",IF(COUNTIFS(m_teacher,BJ$4,m_date,($G$2+31),m_active,1,m_start,"&lt;"&amp;1140,m_end,"&gt;"&amp;1080)=0,"",IF(COUNTIFS(m_teacher,BJ$4,m_date,($G$2+31),m_active,1,m_start,"&lt;"&amp;1140,m_end,"&gt;"&amp;1080)&gt;1,"충돌",HYPERLINK("#'관리자_MASTER'!D"&amp;_xlfn.MAXIFS(m_row,m_teacher,BJ$4,m_date,($G$2+31),m_active,1,m_start,"&lt;"&amp;1140,m_end,"&gt;"&amp;1080),INDEX(m_label,_xlfn.MAXIFS(m_row,m_teacher,BJ$4,m_date,($G$2+31),m_active,1,m_start,"&lt;"&amp;1140,m_end,"&gt;"&amp;1080))))))</f>
        <v/>
      </c>
      <c r="BK47" s="88" t="str">
        <f aca="false">IF(OR(BK$4="",MONTH(($G$2+31))&lt;&gt;MONTH($C$2)),"",IF(COUNTIFS(m_teacher,BK$4,m_date,($G$2+31),m_active,1,m_start,"&lt;"&amp;1140,m_end,"&gt;"&amp;1080)=0,"",IF(COUNTIFS(m_teacher,BK$4,m_date,($G$2+31),m_active,1,m_start,"&lt;"&amp;1140,m_end,"&gt;"&amp;1080)&gt;1,"충돌",HYPERLINK("#'관리자_MASTER'!D"&amp;_xlfn.MAXIFS(m_row,m_teacher,BK$4,m_date,($G$2+31),m_active,1,m_start,"&lt;"&amp;1140,m_end,"&gt;"&amp;1080),INDEX(m_label,_xlfn.MAXIFS(m_row,m_teacher,BK$4,m_date,($G$2+31),m_active,1,m_start,"&lt;"&amp;1140,m_end,"&gt;"&amp;1080))))))</f>
        <v/>
      </c>
      <c r="BL47" s="88" t="str">
        <f aca="false">IF(OR(BL$4="",MONTH(($G$2+31))&lt;&gt;MONTH($C$2)),"",IF(COUNTIFS(m_teacher,BL$4,m_date,($G$2+31),m_active,1,m_start,"&lt;"&amp;1140,m_end,"&gt;"&amp;1080)=0,"",IF(COUNTIFS(m_teacher,BL$4,m_date,($G$2+31),m_active,1,m_start,"&lt;"&amp;1140,m_end,"&gt;"&amp;1080)&gt;1,"충돌",HYPERLINK("#'관리자_MASTER'!D"&amp;_xlfn.MAXIFS(m_row,m_teacher,BL$4,m_date,($G$2+31),m_active,1,m_start,"&lt;"&amp;1140,m_end,"&gt;"&amp;1080),INDEX(m_label,_xlfn.MAXIFS(m_row,m_teacher,BL$4,m_date,($G$2+31),m_active,1,m_start,"&lt;"&amp;1140,m_end,"&gt;"&amp;1080))))))</f>
        <v/>
      </c>
      <c r="BM47" s="88" t="str">
        <f aca="false">IF(OR(BM$4="",MONTH(($G$2+31))&lt;&gt;MONTH($C$2)),"",IF(COUNTIFS(m_teacher,BM$4,m_date,($G$2+31),m_active,1,m_start,"&lt;"&amp;1140,m_end,"&gt;"&amp;1080)=0,"",IF(COUNTIFS(m_teacher,BM$4,m_date,($G$2+31),m_active,1,m_start,"&lt;"&amp;1140,m_end,"&gt;"&amp;1080)&gt;1,"충돌",HYPERLINK("#'관리자_MASTER'!D"&amp;_xlfn.MAXIFS(m_row,m_teacher,BM$4,m_date,($G$2+31),m_active,1,m_start,"&lt;"&amp;1140,m_end,"&gt;"&amp;1080),INDEX(m_label,_xlfn.MAXIFS(m_row,m_teacher,BM$4,m_date,($G$2+31),m_active,1,m_start,"&lt;"&amp;1140,m_end,"&gt;"&amp;1080))))))</f>
        <v/>
      </c>
      <c r="BN47" s="88" t="str">
        <f aca="false">IF(OR(BN$4="",MONTH(($G$2+31))&lt;&gt;MONTH($C$2)),"",IF(COUNTIFS(m_teacher,BN$4,m_date,($G$2+31),m_active,1,m_start,"&lt;"&amp;1140,m_end,"&gt;"&amp;1080)=0,"",IF(COUNTIFS(m_teacher,BN$4,m_date,($G$2+31),m_active,1,m_start,"&lt;"&amp;1140,m_end,"&gt;"&amp;1080)&gt;1,"충돌",HYPERLINK("#'관리자_MASTER'!D"&amp;_xlfn.MAXIFS(m_row,m_teacher,BN$4,m_date,($G$2+31),m_active,1,m_start,"&lt;"&amp;1140,m_end,"&gt;"&amp;1080),INDEX(m_label,_xlfn.MAXIFS(m_row,m_teacher,BN$4,m_date,($G$2+31),m_active,1,m_start,"&lt;"&amp;1140,m_end,"&gt;"&amp;1080))))))</f>
        <v/>
      </c>
      <c r="BO47" s="88" t="str">
        <f aca="false">IF(OR(BO$4="",MONTH(($G$2+31))&lt;&gt;MONTH($C$2)),"",IF(COUNTIFS(m_teacher,BO$4,m_date,($G$2+31),m_active,1,m_start,"&lt;"&amp;1140,m_end,"&gt;"&amp;1080)=0,"",IF(COUNTIFS(m_teacher,BO$4,m_date,($G$2+31),m_active,1,m_start,"&lt;"&amp;1140,m_end,"&gt;"&amp;1080)&gt;1,"충돌",HYPERLINK("#'관리자_MASTER'!D"&amp;_xlfn.MAXIFS(m_row,m_teacher,BO$4,m_date,($G$2+31),m_active,1,m_start,"&lt;"&amp;1140,m_end,"&gt;"&amp;1080),INDEX(m_label,_xlfn.MAXIFS(m_row,m_teacher,BO$4,m_date,($G$2+31),m_active,1,m_start,"&lt;"&amp;1140,m_end,"&gt;"&amp;1080))))))</f>
        <v/>
      </c>
      <c r="BP47" s="88" t="str">
        <f aca="false">IF(OR(BP$4="",MONTH(($G$2+31))&lt;&gt;MONTH($C$2)),"",IF(COUNTIFS(m_teacher,BP$4,m_date,($G$2+31),m_active,1,m_start,"&lt;"&amp;1140,m_end,"&gt;"&amp;1080)=0,"",IF(COUNTIFS(m_teacher,BP$4,m_date,($G$2+31),m_active,1,m_start,"&lt;"&amp;1140,m_end,"&gt;"&amp;1080)&gt;1,"충돌",HYPERLINK("#'관리자_MASTER'!D"&amp;_xlfn.MAXIFS(m_row,m_teacher,BP$4,m_date,($G$2+31),m_active,1,m_start,"&lt;"&amp;1140,m_end,"&gt;"&amp;1080),INDEX(m_label,_xlfn.MAXIFS(m_row,m_teacher,BP$4,m_date,($G$2+31),m_active,1,m_start,"&lt;"&amp;1140,m_end,"&gt;"&amp;1080))))))</f>
        <v/>
      </c>
      <c r="BQ47" s="88" t="str">
        <f aca="false">IF(OR(BQ$4="",MONTH(($G$2+31))&lt;&gt;MONTH($C$2)),"",IF(COUNTIFS(m_teacher,BQ$4,m_date,($G$2+31),m_active,1,m_start,"&lt;"&amp;1140,m_end,"&gt;"&amp;1080)=0,"",IF(COUNTIFS(m_teacher,BQ$4,m_date,($G$2+31),m_active,1,m_start,"&lt;"&amp;1140,m_end,"&gt;"&amp;1080)&gt;1,"충돌",HYPERLINK("#'관리자_MASTER'!D"&amp;_xlfn.MAXIFS(m_row,m_teacher,BQ$4,m_date,($G$2+31),m_active,1,m_start,"&lt;"&amp;1140,m_end,"&gt;"&amp;1080),INDEX(m_label,_xlfn.MAXIFS(m_row,m_teacher,BQ$4,m_date,($G$2+31),m_active,1,m_start,"&lt;"&amp;1140,m_end,"&gt;"&amp;1080))))))</f>
        <v/>
      </c>
      <c r="BR47" s="88" t="str">
        <f aca="false">IF(OR(BR$4="",MONTH(($G$2+31))&lt;&gt;MONTH($C$2)),"",IF(COUNTIFS(m_teacher,BR$4,m_date,($G$2+31),m_active,1,m_start,"&lt;"&amp;1140,m_end,"&gt;"&amp;1080)=0,"",IF(COUNTIFS(m_teacher,BR$4,m_date,($G$2+31),m_active,1,m_start,"&lt;"&amp;1140,m_end,"&gt;"&amp;1080)&gt;1,"충돌",HYPERLINK("#'관리자_MASTER'!D"&amp;_xlfn.MAXIFS(m_row,m_teacher,BR$4,m_date,($G$2+31),m_active,1,m_start,"&lt;"&amp;1140,m_end,"&gt;"&amp;1080),INDEX(m_label,_xlfn.MAXIFS(m_row,m_teacher,BR$4,m_date,($G$2+31),m_active,1,m_start,"&lt;"&amp;1140,m_end,"&gt;"&amp;1080))))))</f>
        <v/>
      </c>
    </row>
    <row r="48" customFormat="false" ht="19.5" hidden="false" customHeight="true" outlineLevel="0" collapsed="false">
      <c r="A48" s="78"/>
      <c r="B48" s="85" t="s">
        <v>101</v>
      </c>
      <c r="C48" s="89" t="str">
        <f aca="false">IF(OR(C$4="",MONTH(($G$2+3))&lt;&gt;MONTH($C$2)),"",IF(COUNTIFS(m_teacher,C$4,m_date,($G$2+3),m_active,1,m_start,"&lt;"&amp;1440,m_end,"&gt;"&amp;1140)=0,"",IF(COUNTIFS(m_teacher,C$4,m_date,($G$2+3),m_active,1,m_start,"&lt;"&amp;1440,m_end,"&gt;"&amp;1140)&gt;1,"충돌",HYPERLINK("#'관리자_MASTER'!D"&amp;_xlfn.MAXIFS(m_row,m_teacher,C$4,m_date,($G$2+3),m_active,1,m_start,"&lt;"&amp;1440,m_end,"&gt;"&amp;1140),INDEX(m_label,_xlfn.MAXIFS(m_row,m_teacher,C$4,m_date,($G$2+3),m_active,1,m_start,"&lt;"&amp;1440,m_end,"&gt;"&amp;1140))))))</f>
        <v/>
      </c>
      <c r="D48" s="89" t="str">
        <f aca="false">IF(OR(D$4="",MONTH(($G$2+3))&lt;&gt;MONTH($C$2)),"",IF(COUNTIFS(m_teacher,D$4,m_date,($G$2+3),m_active,1,m_start,"&lt;"&amp;1440,m_end,"&gt;"&amp;1140)=0,"",IF(COUNTIFS(m_teacher,D$4,m_date,($G$2+3),m_active,1,m_start,"&lt;"&amp;1440,m_end,"&gt;"&amp;1140)&gt;1,"충돌",HYPERLINK("#'관리자_MASTER'!D"&amp;_xlfn.MAXIFS(m_row,m_teacher,D$4,m_date,($G$2+3),m_active,1,m_start,"&lt;"&amp;1440,m_end,"&gt;"&amp;1140),INDEX(m_label,_xlfn.MAXIFS(m_row,m_teacher,D$4,m_date,($G$2+3),m_active,1,m_start,"&lt;"&amp;1440,m_end,"&gt;"&amp;1140))))))</f>
        <v/>
      </c>
      <c r="E48" s="89" t="str">
        <f aca="false">IF(OR(E$4="",MONTH(($G$2+3))&lt;&gt;MONTH($C$2)),"",IF(COUNTIFS(m_teacher,E$4,m_date,($G$2+3),m_active,1,m_start,"&lt;"&amp;1440,m_end,"&gt;"&amp;1140)=0,"",IF(COUNTIFS(m_teacher,E$4,m_date,($G$2+3),m_active,1,m_start,"&lt;"&amp;1440,m_end,"&gt;"&amp;1140)&gt;1,"충돌",HYPERLINK("#'관리자_MASTER'!D"&amp;_xlfn.MAXIFS(m_row,m_teacher,E$4,m_date,($G$2+3),m_active,1,m_start,"&lt;"&amp;1440,m_end,"&gt;"&amp;1140),INDEX(m_label,_xlfn.MAXIFS(m_row,m_teacher,E$4,m_date,($G$2+3),m_active,1,m_start,"&lt;"&amp;1440,m_end,"&gt;"&amp;1140))))))</f>
        <v/>
      </c>
      <c r="F48" s="89" t="str">
        <f aca="false">IF(OR(F$4="",MONTH(($G$2+3))&lt;&gt;MONTH($C$2)),"",IF(COUNTIFS(m_teacher,F$4,m_date,($G$2+3),m_active,1,m_start,"&lt;"&amp;1440,m_end,"&gt;"&amp;1140)=0,"",IF(COUNTIFS(m_teacher,F$4,m_date,($G$2+3),m_active,1,m_start,"&lt;"&amp;1440,m_end,"&gt;"&amp;1140)&gt;1,"충돌",HYPERLINK("#'관리자_MASTER'!D"&amp;_xlfn.MAXIFS(m_row,m_teacher,F$4,m_date,($G$2+3),m_active,1,m_start,"&lt;"&amp;1440,m_end,"&gt;"&amp;1140),INDEX(m_label,_xlfn.MAXIFS(m_row,m_teacher,F$4,m_date,($G$2+3),m_active,1,m_start,"&lt;"&amp;1440,m_end,"&gt;"&amp;1140))))))</f>
        <v/>
      </c>
      <c r="G48" s="89" t="str">
        <f aca="false">IF(OR(G$4="",MONTH(($G$2+3))&lt;&gt;MONTH($C$2)),"",IF(COUNTIFS(m_teacher,G$4,m_date,($G$2+3),m_active,1,m_start,"&lt;"&amp;1440,m_end,"&gt;"&amp;1140)=0,"",IF(COUNTIFS(m_teacher,G$4,m_date,($G$2+3),m_active,1,m_start,"&lt;"&amp;1440,m_end,"&gt;"&amp;1140)&gt;1,"충돌",HYPERLINK("#'관리자_MASTER'!D"&amp;_xlfn.MAXIFS(m_row,m_teacher,G$4,m_date,($G$2+3),m_active,1,m_start,"&lt;"&amp;1440,m_end,"&gt;"&amp;1140),INDEX(m_label,_xlfn.MAXIFS(m_row,m_teacher,G$4,m_date,($G$2+3),m_active,1,m_start,"&lt;"&amp;1440,m_end,"&gt;"&amp;1140))))))</f>
        <v/>
      </c>
      <c r="H48" s="89" t="str">
        <f aca="false">IF(OR(H$4="",MONTH(($G$2+3))&lt;&gt;MONTH($C$2)),"",IF(COUNTIFS(m_teacher,H$4,m_date,($G$2+3),m_active,1,m_start,"&lt;"&amp;1440,m_end,"&gt;"&amp;1140)=0,"",IF(COUNTIFS(m_teacher,H$4,m_date,($G$2+3),m_active,1,m_start,"&lt;"&amp;1440,m_end,"&gt;"&amp;1140)&gt;1,"충돌",HYPERLINK("#'관리자_MASTER'!D"&amp;_xlfn.MAXIFS(m_row,m_teacher,H$4,m_date,($G$2+3),m_active,1,m_start,"&lt;"&amp;1440,m_end,"&gt;"&amp;1140),INDEX(m_label,_xlfn.MAXIFS(m_row,m_teacher,H$4,m_date,($G$2+3),m_active,1,m_start,"&lt;"&amp;1440,m_end,"&gt;"&amp;1140))))))</f>
        <v/>
      </c>
      <c r="I48" s="89" t="str">
        <f aca="false">IF(OR(I$4="",MONTH(($G$2+3))&lt;&gt;MONTH($C$2)),"",IF(COUNTIFS(m_teacher,I$4,m_date,($G$2+3),m_active,1,m_start,"&lt;"&amp;1440,m_end,"&gt;"&amp;1140)=0,"",IF(COUNTIFS(m_teacher,I$4,m_date,($G$2+3),m_active,1,m_start,"&lt;"&amp;1440,m_end,"&gt;"&amp;1140)&gt;1,"충돌",HYPERLINK("#'관리자_MASTER'!D"&amp;_xlfn.MAXIFS(m_row,m_teacher,I$4,m_date,($G$2+3),m_active,1,m_start,"&lt;"&amp;1440,m_end,"&gt;"&amp;1140),INDEX(m_label,_xlfn.MAXIFS(m_row,m_teacher,I$4,m_date,($G$2+3),m_active,1,m_start,"&lt;"&amp;1440,m_end,"&gt;"&amp;1140))))))</f>
        <v/>
      </c>
      <c r="J48" s="89" t="str">
        <f aca="false">IF(OR(J$4="",MONTH(($G$2+3))&lt;&gt;MONTH($C$2)),"",IF(COUNTIFS(m_teacher,J$4,m_date,($G$2+3),m_active,1,m_start,"&lt;"&amp;1440,m_end,"&gt;"&amp;1140)=0,"",IF(COUNTIFS(m_teacher,J$4,m_date,($G$2+3),m_active,1,m_start,"&lt;"&amp;1440,m_end,"&gt;"&amp;1140)&gt;1,"충돌",HYPERLINK("#'관리자_MASTER'!D"&amp;_xlfn.MAXIFS(m_row,m_teacher,J$4,m_date,($G$2+3),m_active,1,m_start,"&lt;"&amp;1440,m_end,"&gt;"&amp;1140),INDEX(m_label,_xlfn.MAXIFS(m_row,m_teacher,J$4,m_date,($G$2+3),m_active,1,m_start,"&lt;"&amp;1440,m_end,"&gt;"&amp;1140))))))</f>
        <v/>
      </c>
      <c r="K48" s="89" t="str">
        <f aca="false">IF(OR(K$4="",MONTH(($G$2+3))&lt;&gt;MONTH($C$2)),"",IF(COUNTIFS(m_teacher,K$4,m_date,($G$2+3),m_active,1,m_start,"&lt;"&amp;1440,m_end,"&gt;"&amp;1140)=0,"",IF(COUNTIFS(m_teacher,K$4,m_date,($G$2+3),m_active,1,m_start,"&lt;"&amp;1440,m_end,"&gt;"&amp;1140)&gt;1,"충돌",HYPERLINK("#'관리자_MASTER'!D"&amp;_xlfn.MAXIFS(m_row,m_teacher,K$4,m_date,($G$2+3),m_active,1,m_start,"&lt;"&amp;1440,m_end,"&gt;"&amp;1140),INDEX(m_label,_xlfn.MAXIFS(m_row,m_teacher,K$4,m_date,($G$2+3),m_active,1,m_start,"&lt;"&amp;1440,m_end,"&gt;"&amp;1140))))))</f>
        <v/>
      </c>
      <c r="L48" s="89" t="str">
        <f aca="false">IF(OR(L$4="",MONTH(($G$2+3))&lt;&gt;MONTH($C$2)),"",IF(COUNTIFS(m_teacher,L$4,m_date,($G$2+3),m_active,1,m_start,"&lt;"&amp;1440,m_end,"&gt;"&amp;1140)=0,"",IF(COUNTIFS(m_teacher,L$4,m_date,($G$2+3),m_active,1,m_start,"&lt;"&amp;1440,m_end,"&gt;"&amp;1140)&gt;1,"충돌",HYPERLINK("#'관리자_MASTER'!D"&amp;_xlfn.MAXIFS(m_row,m_teacher,L$4,m_date,($G$2+3),m_active,1,m_start,"&lt;"&amp;1440,m_end,"&gt;"&amp;1140),INDEX(m_label,_xlfn.MAXIFS(m_row,m_teacher,L$4,m_date,($G$2+3),m_active,1,m_start,"&lt;"&amp;1440,m_end,"&gt;"&amp;1140))))))</f>
        <v/>
      </c>
      <c r="M48" s="89" t="str">
        <f aca="false">IF(OR(M$4="",MONTH(($G$2+3))&lt;&gt;MONTH($C$2)),"",IF(COUNTIFS(m_teacher,M$4,m_date,($G$2+3),m_active,1,m_start,"&lt;"&amp;1440,m_end,"&gt;"&amp;1140)=0,"",IF(COUNTIFS(m_teacher,M$4,m_date,($G$2+3),m_active,1,m_start,"&lt;"&amp;1440,m_end,"&gt;"&amp;1140)&gt;1,"충돌",HYPERLINK("#'관리자_MASTER'!D"&amp;_xlfn.MAXIFS(m_row,m_teacher,M$4,m_date,($G$2+3),m_active,1,m_start,"&lt;"&amp;1440,m_end,"&gt;"&amp;1140),INDEX(m_label,_xlfn.MAXIFS(m_row,m_teacher,M$4,m_date,($G$2+3),m_active,1,m_start,"&lt;"&amp;1440,m_end,"&gt;"&amp;1140))))))</f>
        <v/>
      </c>
      <c r="N48" s="89" t="str">
        <f aca="false">IF(OR(N$4="",MONTH(($G$2+3))&lt;&gt;MONTH($C$2)),"",IF(COUNTIFS(m_teacher,N$4,m_date,($G$2+3),m_active,1,m_start,"&lt;"&amp;1440,m_end,"&gt;"&amp;1140)=0,"",IF(COUNTIFS(m_teacher,N$4,m_date,($G$2+3),m_active,1,m_start,"&lt;"&amp;1440,m_end,"&gt;"&amp;1140)&gt;1,"충돌",HYPERLINK("#'관리자_MASTER'!D"&amp;_xlfn.MAXIFS(m_row,m_teacher,N$4,m_date,($G$2+3),m_active,1,m_start,"&lt;"&amp;1440,m_end,"&gt;"&amp;1140),INDEX(m_label,_xlfn.MAXIFS(m_row,m_teacher,N$4,m_date,($G$2+3),m_active,1,m_start,"&lt;"&amp;1440,m_end,"&gt;"&amp;1140))))))</f>
        <v/>
      </c>
      <c r="O48" s="78"/>
      <c r="P48" s="85" t="s">
        <v>101</v>
      </c>
      <c r="Q48" s="89" t="str">
        <f aca="false">IF(OR(Q$4="",MONTH(($G$2+10))&lt;&gt;MONTH($C$2)),"",IF(COUNTIFS(m_teacher,Q$4,m_date,($G$2+10),m_active,1,m_start,"&lt;"&amp;1440,m_end,"&gt;"&amp;1140)=0,"",IF(COUNTIFS(m_teacher,Q$4,m_date,($G$2+10),m_active,1,m_start,"&lt;"&amp;1440,m_end,"&gt;"&amp;1140)&gt;1,"충돌",HYPERLINK("#'관리자_MASTER'!D"&amp;_xlfn.MAXIFS(m_row,m_teacher,Q$4,m_date,($G$2+10),m_active,1,m_start,"&lt;"&amp;1440,m_end,"&gt;"&amp;1140),INDEX(m_label,_xlfn.MAXIFS(m_row,m_teacher,Q$4,m_date,($G$2+10),m_active,1,m_start,"&lt;"&amp;1440,m_end,"&gt;"&amp;1140))))))</f>
        <v/>
      </c>
      <c r="R48" s="89" t="str">
        <f aca="false">IF(OR(R$4="",MONTH(($G$2+10))&lt;&gt;MONTH($C$2)),"",IF(COUNTIFS(m_teacher,R$4,m_date,($G$2+10),m_active,1,m_start,"&lt;"&amp;1440,m_end,"&gt;"&amp;1140)=0,"",IF(COUNTIFS(m_teacher,R$4,m_date,($G$2+10),m_active,1,m_start,"&lt;"&amp;1440,m_end,"&gt;"&amp;1140)&gt;1,"충돌",HYPERLINK("#'관리자_MASTER'!D"&amp;_xlfn.MAXIFS(m_row,m_teacher,R$4,m_date,($G$2+10),m_active,1,m_start,"&lt;"&amp;1440,m_end,"&gt;"&amp;1140),INDEX(m_label,_xlfn.MAXIFS(m_row,m_teacher,R$4,m_date,($G$2+10),m_active,1,m_start,"&lt;"&amp;1440,m_end,"&gt;"&amp;1140))))))</f>
        <v/>
      </c>
      <c r="S48" s="89" t="str">
        <f aca="false">IF(OR(S$4="",MONTH(($G$2+10))&lt;&gt;MONTH($C$2)),"",IF(COUNTIFS(m_teacher,S$4,m_date,($G$2+10),m_active,1,m_start,"&lt;"&amp;1440,m_end,"&gt;"&amp;1140)=0,"",IF(COUNTIFS(m_teacher,S$4,m_date,($G$2+10),m_active,1,m_start,"&lt;"&amp;1440,m_end,"&gt;"&amp;1140)&gt;1,"충돌",HYPERLINK("#'관리자_MASTER'!D"&amp;_xlfn.MAXIFS(m_row,m_teacher,S$4,m_date,($G$2+10),m_active,1,m_start,"&lt;"&amp;1440,m_end,"&gt;"&amp;1140),INDEX(m_label,_xlfn.MAXIFS(m_row,m_teacher,S$4,m_date,($G$2+10),m_active,1,m_start,"&lt;"&amp;1440,m_end,"&gt;"&amp;1140))))))</f>
        <v/>
      </c>
      <c r="T48" s="89" t="str">
        <f aca="false">IF(OR(T$4="",MONTH(($G$2+10))&lt;&gt;MONTH($C$2)),"",IF(COUNTIFS(m_teacher,T$4,m_date,($G$2+10),m_active,1,m_start,"&lt;"&amp;1440,m_end,"&gt;"&amp;1140)=0,"",IF(COUNTIFS(m_teacher,T$4,m_date,($G$2+10),m_active,1,m_start,"&lt;"&amp;1440,m_end,"&gt;"&amp;1140)&gt;1,"충돌",HYPERLINK("#'관리자_MASTER'!D"&amp;_xlfn.MAXIFS(m_row,m_teacher,T$4,m_date,($G$2+10),m_active,1,m_start,"&lt;"&amp;1440,m_end,"&gt;"&amp;1140),INDEX(m_label,_xlfn.MAXIFS(m_row,m_teacher,T$4,m_date,($G$2+10),m_active,1,m_start,"&lt;"&amp;1440,m_end,"&gt;"&amp;1140))))))</f>
        <v/>
      </c>
      <c r="U48" s="89" t="str">
        <f aca="false">IF(OR(U$4="",MONTH(($G$2+10))&lt;&gt;MONTH($C$2)),"",IF(COUNTIFS(m_teacher,U$4,m_date,($G$2+10),m_active,1,m_start,"&lt;"&amp;1440,m_end,"&gt;"&amp;1140)=0,"",IF(COUNTIFS(m_teacher,U$4,m_date,($G$2+10),m_active,1,m_start,"&lt;"&amp;1440,m_end,"&gt;"&amp;1140)&gt;1,"충돌",HYPERLINK("#'관리자_MASTER'!D"&amp;_xlfn.MAXIFS(m_row,m_teacher,U$4,m_date,($G$2+10),m_active,1,m_start,"&lt;"&amp;1440,m_end,"&gt;"&amp;1140),INDEX(m_label,_xlfn.MAXIFS(m_row,m_teacher,U$4,m_date,($G$2+10),m_active,1,m_start,"&lt;"&amp;1440,m_end,"&gt;"&amp;1140))))))</f>
        <v/>
      </c>
      <c r="V48" s="89" t="str">
        <f aca="false">IF(OR(V$4="",MONTH(($G$2+10))&lt;&gt;MONTH($C$2)),"",IF(COUNTIFS(m_teacher,V$4,m_date,($G$2+10),m_active,1,m_start,"&lt;"&amp;1440,m_end,"&gt;"&amp;1140)=0,"",IF(COUNTIFS(m_teacher,V$4,m_date,($G$2+10),m_active,1,m_start,"&lt;"&amp;1440,m_end,"&gt;"&amp;1140)&gt;1,"충돌",HYPERLINK("#'관리자_MASTER'!D"&amp;_xlfn.MAXIFS(m_row,m_teacher,V$4,m_date,($G$2+10),m_active,1,m_start,"&lt;"&amp;1440,m_end,"&gt;"&amp;1140),INDEX(m_label,_xlfn.MAXIFS(m_row,m_teacher,V$4,m_date,($G$2+10),m_active,1,m_start,"&lt;"&amp;1440,m_end,"&gt;"&amp;1140))))))</f>
        <v/>
      </c>
      <c r="W48" s="89" t="str">
        <f aca="false">IF(OR(W$4="",MONTH(($G$2+10))&lt;&gt;MONTH($C$2)),"",IF(COUNTIFS(m_teacher,W$4,m_date,($G$2+10),m_active,1,m_start,"&lt;"&amp;1440,m_end,"&gt;"&amp;1140)=0,"",IF(COUNTIFS(m_teacher,W$4,m_date,($G$2+10),m_active,1,m_start,"&lt;"&amp;1440,m_end,"&gt;"&amp;1140)&gt;1,"충돌",HYPERLINK("#'관리자_MASTER'!D"&amp;_xlfn.MAXIFS(m_row,m_teacher,W$4,m_date,($G$2+10),m_active,1,m_start,"&lt;"&amp;1440,m_end,"&gt;"&amp;1140),INDEX(m_label,_xlfn.MAXIFS(m_row,m_teacher,W$4,m_date,($G$2+10),m_active,1,m_start,"&lt;"&amp;1440,m_end,"&gt;"&amp;1140))))))</f>
        <v/>
      </c>
      <c r="X48" s="89" t="str">
        <f aca="false">IF(OR(X$4="",MONTH(($G$2+10))&lt;&gt;MONTH($C$2)),"",IF(COUNTIFS(m_teacher,X$4,m_date,($G$2+10),m_active,1,m_start,"&lt;"&amp;1440,m_end,"&gt;"&amp;1140)=0,"",IF(COUNTIFS(m_teacher,X$4,m_date,($G$2+10),m_active,1,m_start,"&lt;"&amp;1440,m_end,"&gt;"&amp;1140)&gt;1,"충돌",HYPERLINK("#'관리자_MASTER'!D"&amp;_xlfn.MAXIFS(m_row,m_teacher,X$4,m_date,($G$2+10),m_active,1,m_start,"&lt;"&amp;1440,m_end,"&gt;"&amp;1140),INDEX(m_label,_xlfn.MAXIFS(m_row,m_teacher,X$4,m_date,($G$2+10),m_active,1,m_start,"&lt;"&amp;1440,m_end,"&gt;"&amp;1140))))))</f>
        <v/>
      </c>
      <c r="Y48" s="89" t="str">
        <f aca="false">IF(OR(Y$4="",MONTH(($G$2+10))&lt;&gt;MONTH($C$2)),"",IF(COUNTIFS(m_teacher,Y$4,m_date,($G$2+10),m_active,1,m_start,"&lt;"&amp;1440,m_end,"&gt;"&amp;1140)=0,"",IF(COUNTIFS(m_teacher,Y$4,m_date,($G$2+10),m_active,1,m_start,"&lt;"&amp;1440,m_end,"&gt;"&amp;1140)&gt;1,"충돌",HYPERLINK("#'관리자_MASTER'!D"&amp;_xlfn.MAXIFS(m_row,m_teacher,Y$4,m_date,($G$2+10),m_active,1,m_start,"&lt;"&amp;1440,m_end,"&gt;"&amp;1140),INDEX(m_label,_xlfn.MAXIFS(m_row,m_teacher,Y$4,m_date,($G$2+10),m_active,1,m_start,"&lt;"&amp;1440,m_end,"&gt;"&amp;1140))))))</f>
        <v/>
      </c>
      <c r="Z48" s="89" t="str">
        <f aca="false">IF(OR(Z$4="",MONTH(($G$2+10))&lt;&gt;MONTH($C$2)),"",IF(COUNTIFS(m_teacher,Z$4,m_date,($G$2+10),m_active,1,m_start,"&lt;"&amp;1440,m_end,"&gt;"&amp;1140)=0,"",IF(COUNTIFS(m_teacher,Z$4,m_date,($G$2+10),m_active,1,m_start,"&lt;"&amp;1440,m_end,"&gt;"&amp;1140)&gt;1,"충돌",HYPERLINK("#'관리자_MASTER'!D"&amp;_xlfn.MAXIFS(m_row,m_teacher,Z$4,m_date,($G$2+10),m_active,1,m_start,"&lt;"&amp;1440,m_end,"&gt;"&amp;1140),INDEX(m_label,_xlfn.MAXIFS(m_row,m_teacher,Z$4,m_date,($G$2+10),m_active,1,m_start,"&lt;"&amp;1440,m_end,"&gt;"&amp;1140))))))</f>
        <v/>
      </c>
      <c r="AA48" s="89" t="str">
        <f aca="false">IF(OR(AA$4="",MONTH(($G$2+10))&lt;&gt;MONTH($C$2)),"",IF(COUNTIFS(m_teacher,AA$4,m_date,($G$2+10),m_active,1,m_start,"&lt;"&amp;1440,m_end,"&gt;"&amp;1140)=0,"",IF(COUNTIFS(m_teacher,AA$4,m_date,($G$2+10),m_active,1,m_start,"&lt;"&amp;1440,m_end,"&gt;"&amp;1140)&gt;1,"충돌",HYPERLINK("#'관리자_MASTER'!D"&amp;_xlfn.MAXIFS(m_row,m_teacher,AA$4,m_date,($G$2+10),m_active,1,m_start,"&lt;"&amp;1440,m_end,"&gt;"&amp;1140),INDEX(m_label,_xlfn.MAXIFS(m_row,m_teacher,AA$4,m_date,($G$2+10),m_active,1,m_start,"&lt;"&amp;1440,m_end,"&gt;"&amp;1140))))))</f>
        <v/>
      </c>
      <c r="AB48" s="89" t="str">
        <f aca="false">IF(OR(AB$4="",MONTH(($G$2+10))&lt;&gt;MONTH($C$2)),"",IF(COUNTIFS(m_teacher,AB$4,m_date,($G$2+10),m_active,1,m_start,"&lt;"&amp;1440,m_end,"&gt;"&amp;1140)=0,"",IF(COUNTIFS(m_teacher,AB$4,m_date,($G$2+10),m_active,1,m_start,"&lt;"&amp;1440,m_end,"&gt;"&amp;1140)&gt;1,"충돌",HYPERLINK("#'관리자_MASTER'!D"&amp;_xlfn.MAXIFS(m_row,m_teacher,AB$4,m_date,($G$2+10),m_active,1,m_start,"&lt;"&amp;1440,m_end,"&gt;"&amp;1140),INDEX(m_label,_xlfn.MAXIFS(m_row,m_teacher,AB$4,m_date,($G$2+10),m_active,1,m_start,"&lt;"&amp;1440,m_end,"&gt;"&amp;1140))))))</f>
        <v/>
      </c>
      <c r="AC48" s="78"/>
      <c r="AD48" s="85" t="s">
        <v>101</v>
      </c>
      <c r="AE48" s="89" t="str">
        <f aca="false">IF(OR(AE$4="",MONTH(($G$2+17))&lt;&gt;MONTH($C$2)),"",IF(COUNTIFS(m_teacher,AE$4,m_date,($G$2+17),m_active,1,m_start,"&lt;"&amp;1440,m_end,"&gt;"&amp;1140)=0,"",IF(COUNTIFS(m_teacher,AE$4,m_date,($G$2+17),m_active,1,m_start,"&lt;"&amp;1440,m_end,"&gt;"&amp;1140)&gt;1,"충돌",HYPERLINK("#'관리자_MASTER'!D"&amp;_xlfn.MAXIFS(m_row,m_teacher,AE$4,m_date,($G$2+17),m_active,1,m_start,"&lt;"&amp;1440,m_end,"&gt;"&amp;1140),INDEX(m_label,_xlfn.MAXIFS(m_row,m_teacher,AE$4,m_date,($G$2+17),m_active,1,m_start,"&lt;"&amp;1440,m_end,"&gt;"&amp;1140))))))</f>
        <v/>
      </c>
      <c r="AF48" s="89" t="str">
        <f aca="false">IF(OR(AF$4="",MONTH(($G$2+17))&lt;&gt;MONTH($C$2)),"",IF(COUNTIFS(m_teacher,AF$4,m_date,($G$2+17),m_active,1,m_start,"&lt;"&amp;1440,m_end,"&gt;"&amp;1140)=0,"",IF(COUNTIFS(m_teacher,AF$4,m_date,($G$2+17),m_active,1,m_start,"&lt;"&amp;1440,m_end,"&gt;"&amp;1140)&gt;1,"충돌",HYPERLINK("#'관리자_MASTER'!D"&amp;_xlfn.MAXIFS(m_row,m_teacher,AF$4,m_date,($G$2+17),m_active,1,m_start,"&lt;"&amp;1440,m_end,"&gt;"&amp;1140),INDEX(m_label,_xlfn.MAXIFS(m_row,m_teacher,AF$4,m_date,($G$2+17),m_active,1,m_start,"&lt;"&amp;1440,m_end,"&gt;"&amp;1140))))))</f>
        <v/>
      </c>
      <c r="AG48" s="89" t="str">
        <f aca="false">IF(OR(AG$4="",MONTH(($G$2+17))&lt;&gt;MONTH($C$2)),"",IF(COUNTIFS(m_teacher,AG$4,m_date,($G$2+17),m_active,1,m_start,"&lt;"&amp;1440,m_end,"&gt;"&amp;1140)=0,"",IF(COUNTIFS(m_teacher,AG$4,m_date,($G$2+17),m_active,1,m_start,"&lt;"&amp;1440,m_end,"&gt;"&amp;1140)&gt;1,"충돌",HYPERLINK("#'관리자_MASTER'!D"&amp;_xlfn.MAXIFS(m_row,m_teacher,AG$4,m_date,($G$2+17),m_active,1,m_start,"&lt;"&amp;1440,m_end,"&gt;"&amp;1140),INDEX(m_label,_xlfn.MAXIFS(m_row,m_teacher,AG$4,m_date,($G$2+17),m_active,1,m_start,"&lt;"&amp;1440,m_end,"&gt;"&amp;1140))))))</f>
        <v/>
      </c>
      <c r="AH48" s="89" t="str">
        <f aca="false">IF(OR(AH$4="",MONTH(($G$2+17))&lt;&gt;MONTH($C$2)),"",IF(COUNTIFS(m_teacher,AH$4,m_date,($G$2+17),m_active,1,m_start,"&lt;"&amp;1440,m_end,"&gt;"&amp;1140)=0,"",IF(COUNTIFS(m_teacher,AH$4,m_date,($G$2+17),m_active,1,m_start,"&lt;"&amp;1440,m_end,"&gt;"&amp;1140)&gt;1,"충돌",HYPERLINK("#'관리자_MASTER'!D"&amp;_xlfn.MAXIFS(m_row,m_teacher,AH$4,m_date,($G$2+17),m_active,1,m_start,"&lt;"&amp;1440,m_end,"&gt;"&amp;1140),INDEX(m_label,_xlfn.MAXIFS(m_row,m_teacher,AH$4,m_date,($G$2+17),m_active,1,m_start,"&lt;"&amp;1440,m_end,"&gt;"&amp;1140))))))</f>
        <v/>
      </c>
      <c r="AI48" s="89" t="str">
        <f aca="false">IF(OR(AI$4="",MONTH(($G$2+17))&lt;&gt;MONTH($C$2)),"",IF(COUNTIFS(m_teacher,AI$4,m_date,($G$2+17),m_active,1,m_start,"&lt;"&amp;1440,m_end,"&gt;"&amp;1140)=0,"",IF(COUNTIFS(m_teacher,AI$4,m_date,($G$2+17),m_active,1,m_start,"&lt;"&amp;1440,m_end,"&gt;"&amp;1140)&gt;1,"충돌",HYPERLINK("#'관리자_MASTER'!D"&amp;_xlfn.MAXIFS(m_row,m_teacher,AI$4,m_date,($G$2+17),m_active,1,m_start,"&lt;"&amp;1440,m_end,"&gt;"&amp;1140),INDEX(m_label,_xlfn.MAXIFS(m_row,m_teacher,AI$4,m_date,($G$2+17),m_active,1,m_start,"&lt;"&amp;1440,m_end,"&gt;"&amp;1140))))))</f>
        <v/>
      </c>
      <c r="AJ48" s="89" t="str">
        <f aca="false">IF(OR(AJ$4="",MONTH(($G$2+17))&lt;&gt;MONTH($C$2)),"",IF(COUNTIFS(m_teacher,AJ$4,m_date,($G$2+17),m_active,1,m_start,"&lt;"&amp;1440,m_end,"&gt;"&amp;1140)=0,"",IF(COUNTIFS(m_teacher,AJ$4,m_date,($G$2+17),m_active,1,m_start,"&lt;"&amp;1440,m_end,"&gt;"&amp;1140)&gt;1,"충돌",HYPERLINK("#'관리자_MASTER'!D"&amp;_xlfn.MAXIFS(m_row,m_teacher,AJ$4,m_date,($G$2+17),m_active,1,m_start,"&lt;"&amp;1440,m_end,"&gt;"&amp;1140),INDEX(m_label,_xlfn.MAXIFS(m_row,m_teacher,AJ$4,m_date,($G$2+17),m_active,1,m_start,"&lt;"&amp;1440,m_end,"&gt;"&amp;1140))))))</f>
        <v/>
      </c>
      <c r="AK48" s="89" t="str">
        <f aca="false">IF(OR(AK$4="",MONTH(($G$2+17))&lt;&gt;MONTH($C$2)),"",IF(COUNTIFS(m_teacher,AK$4,m_date,($G$2+17),m_active,1,m_start,"&lt;"&amp;1440,m_end,"&gt;"&amp;1140)=0,"",IF(COUNTIFS(m_teacher,AK$4,m_date,($G$2+17),m_active,1,m_start,"&lt;"&amp;1440,m_end,"&gt;"&amp;1140)&gt;1,"충돌",HYPERLINK("#'관리자_MASTER'!D"&amp;_xlfn.MAXIFS(m_row,m_teacher,AK$4,m_date,($G$2+17),m_active,1,m_start,"&lt;"&amp;1440,m_end,"&gt;"&amp;1140),INDEX(m_label,_xlfn.MAXIFS(m_row,m_teacher,AK$4,m_date,($G$2+17),m_active,1,m_start,"&lt;"&amp;1440,m_end,"&gt;"&amp;1140))))))</f>
        <v/>
      </c>
      <c r="AL48" s="89" t="str">
        <f aca="false">IF(OR(AL$4="",MONTH(($G$2+17))&lt;&gt;MONTH($C$2)),"",IF(COUNTIFS(m_teacher,AL$4,m_date,($G$2+17),m_active,1,m_start,"&lt;"&amp;1440,m_end,"&gt;"&amp;1140)=0,"",IF(COUNTIFS(m_teacher,AL$4,m_date,($G$2+17),m_active,1,m_start,"&lt;"&amp;1440,m_end,"&gt;"&amp;1140)&gt;1,"충돌",HYPERLINK("#'관리자_MASTER'!D"&amp;_xlfn.MAXIFS(m_row,m_teacher,AL$4,m_date,($G$2+17),m_active,1,m_start,"&lt;"&amp;1440,m_end,"&gt;"&amp;1140),INDEX(m_label,_xlfn.MAXIFS(m_row,m_teacher,AL$4,m_date,($G$2+17),m_active,1,m_start,"&lt;"&amp;1440,m_end,"&gt;"&amp;1140))))))</f>
        <v/>
      </c>
      <c r="AM48" s="89" t="str">
        <f aca="false">IF(OR(AM$4="",MONTH(($G$2+17))&lt;&gt;MONTH($C$2)),"",IF(COUNTIFS(m_teacher,AM$4,m_date,($G$2+17),m_active,1,m_start,"&lt;"&amp;1440,m_end,"&gt;"&amp;1140)=0,"",IF(COUNTIFS(m_teacher,AM$4,m_date,($G$2+17),m_active,1,m_start,"&lt;"&amp;1440,m_end,"&gt;"&amp;1140)&gt;1,"충돌",HYPERLINK("#'관리자_MASTER'!D"&amp;_xlfn.MAXIFS(m_row,m_teacher,AM$4,m_date,($G$2+17),m_active,1,m_start,"&lt;"&amp;1440,m_end,"&gt;"&amp;1140),INDEX(m_label,_xlfn.MAXIFS(m_row,m_teacher,AM$4,m_date,($G$2+17),m_active,1,m_start,"&lt;"&amp;1440,m_end,"&gt;"&amp;1140))))))</f>
        <v/>
      </c>
      <c r="AN48" s="89" t="str">
        <f aca="false">IF(OR(AN$4="",MONTH(($G$2+17))&lt;&gt;MONTH($C$2)),"",IF(COUNTIFS(m_teacher,AN$4,m_date,($G$2+17),m_active,1,m_start,"&lt;"&amp;1440,m_end,"&gt;"&amp;1140)=0,"",IF(COUNTIFS(m_teacher,AN$4,m_date,($G$2+17),m_active,1,m_start,"&lt;"&amp;1440,m_end,"&gt;"&amp;1140)&gt;1,"충돌",HYPERLINK("#'관리자_MASTER'!D"&amp;_xlfn.MAXIFS(m_row,m_teacher,AN$4,m_date,($G$2+17),m_active,1,m_start,"&lt;"&amp;1440,m_end,"&gt;"&amp;1140),INDEX(m_label,_xlfn.MAXIFS(m_row,m_teacher,AN$4,m_date,($G$2+17),m_active,1,m_start,"&lt;"&amp;1440,m_end,"&gt;"&amp;1140))))))</f>
        <v/>
      </c>
      <c r="AO48" s="89" t="str">
        <f aca="false">IF(OR(AO$4="",MONTH(($G$2+17))&lt;&gt;MONTH($C$2)),"",IF(COUNTIFS(m_teacher,AO$4,m_date,($G$2+17),m_active,1,m_start,"&lt;"&amp;1440,m_end,"&gt;"&amp;1140)=0,"",IF(COUNTIFS(m_teacher,AO$4,m_date,($G$2+17),m_active,1,m_start,"&lt;"&amp;1440,m_end,"&gt;"&amp;1140)&gt;1,"충돌",HYPERLINK("#'관리자_MASTER'!D"&amp;_xlfn.MAXIFS(m_row,m_teacher,AO$4,m_date,($G$2+17),m_active,1,m_start,"&lt;"&amp;1440,m_end,"&gt;"&amp;1140),INDEX(m_label,_xlfn.MAXIFS(m_row,m_teacher,AO$4,m_date,($G$2+17),m_active,1,m_start,"&lt;"&amp;1440,m_end,"&gt;"&amp;1140))))))</f>
        <v/>
      </c>
      <c r="AP48" s="89" t="str">
        <f aca="false">IF(OR(AP$4="",MONTH(($G$2+17))&lt;&gt;MONTH($C$2)),"",IF(COUNTIFS(m_teacher,AP$4,m_date,($G$2+17),m_active,1,m_start,"&lt;"&amp;1440,m_end,"&gt;"&amp;1140)=0,"",IF(COUNTIFS(m_teacher,AP$4,m_date,($G$2+17),m_active,1,m_start,"&lt;"&amp;1440,m_end,"&gt;"&amp;1140)&gt;1,"충돌",HYPERLINK("#'관리자_MASTER'!D"&amp;_xlfn.MAXIFS(m_row,m_teacher,AP$4,m_date,($G$2+17),m_active,1,m_start,"&lt;"&amp;1440,m_end,"&gt;"&amp;1140),INDEX(m_label,_xlfn.MAXIFS(m_row,m_teacher,AP$4,m_date,($G$2+17),m_active,1,m_start,"&lt;"&amp;1440,m_end,"&gt;"&amp;1140))))))</f>
        <v/>
      </c>
      <c r="AQ48" s="78"/>
      <c r="AR48" s="85" t="s">
        <v>101</v>
      </c>
      <c r="AS48" s="89" t="str">
        <f aca="false">IF(OR(AS$4="",MONTH(($G$2+24))&lt;&gt;MONTH($C$2)),"",IF(COUNTIFS(m_teacher,AS$4,m_date,($G$2+24),m_active,1,m_start,"&lt;"&amp;1440,m_end,"&gt;"&amp;1140)=0,"",IF(COUNTIFS(m_teacher,AS$4,m_date,($G$2+24),m_active,1,m_start,"&lt;"&amp;1440,m_end,"&gt;"&amp;1140)&gt;1,"충돌",HYPERLINK("#'관리자_MASTER'!D"&amp;_xlfn.MAXIFS(m_row,m_teacher,AS$4,m_date,($G$2+24),m_active,1,m_start,"&lt;"&amp;1440,m_end,"&gt;"&amp;1140),INDEX(m_label,_xlfn.MAXIFS(m_row,m_teacher,AS$4,m_date,($G$2+24),m_active,1,m_start,"&lt;"&amp;1440,m_end,"&gt;"&amp;1140))))))</f>
        <v/>
      </c>
      <c r="AT48" s="89" t="str">
        <f aca="false">IF(OR(AT$4="",MONTH(($G$2+24))&lt;&gt;MONTH($C$2)),"",IF(COUNTIFS(m_teacher,AT$4,m_date,($G$2+24),m_active,1,m_start,"&lt;"&amp;1440,m_end,"&gt;"&amp;1140)=0,"",IF(COUNTIFS(m_teacher,AT$4,m_date,($G$2+24),m_active,1,m_start,"&lt;"&amp;1440,m_end,"&gt;"&amp;1140)&gt;1,"충돌",HYPERLINK("#'관리자_MASTER'!D"&amp;_xlfn.MAXIFS(m_row,m_teacher,AT$4,m_date,($G$2+24),m_active,1,m_start,"&lt;"&amp;1440,m_end,"&gt;"&amp;1140),INDEX(m_label,_xlfn.MAXIFS(m_row,m_teacher,AT$4,m_date,($G$2+24),m_active,1,m_start,"&lt;"&amp;1440,m_end,"&gt;"&amp;1140))))))</f>
        <v/>
      </c>
      <c r="AU48" s="89" t="str">
        <f aca="false">IF(OR(AU$4="",MONTH(($G$2+24))&lt;&gt;MONTH($C$2)),"",IF(COUNTIFS(m_teacher,AU$4,m_date,($G$2+24),m_active,1,m_start,"&lt;"&amp;1440,m_end,"&gt;"&amp;1140)=0,"",IF(COUNTIFS(m_teacher,AU$4,m_date,($G$2+24),m_active,1,m_start,"&lt;"&amp;1440,m_end,"&gt;"&amp;1140)&gt;1,"충돌",HYPERLINK("#'관리자_MASTER'!D"&amp;_xlfn.MAXIFS(m_row,m_teacher,AU$4,m_date,($G$2+24),m_active,1,m_start,"&lt;"&amp;1440,m_end,"&gt;"&amp;1140),INDEX(m_label,_xlfn.MAXIFS(m_row,m_teacher,AU$4,m_date,($G$2+24),m_active,1,m_start,"&lt;"&amp;1440,m_end,"&gt;"&amp;1140))))))</f>
        <v/>
      </c>
      <c r="AV48" s="89" t="str">
        <f aca="false">IF(OR(AV$4="",MONTH(($G$2+24))&lt;&gt;MONTH($C$2)),"",IF(COUNTIFS(m_teacher,AV$4,m_date,($G$2+24),m_active,1,m_start,"&lt;"&amp;1440,m_end,"&gt;"&amp;1140)=0,"",IF(COUNTIFS(m_teacher,AV$4,m_date,($G$2+24),m_active,1,m_start,"&lt;"&amp;1440,m_end,"&gt;"&amp;1140)&gt;1,"충돌",HYPERLINK("#'관리자_MASTER'!D"&amp;_xlfn.MAXIFS(m_row,m_teacher,AV$4,m_date,($G$2+24),m_active,1,m_start,"&lt;"&amp;1440,m_end,"&gt;"&amp;1140),INDEX(m_label,_xlfn.MAXIFS(m_row,m_teacher,AV$4,m_date,($G$2+24),m_active,1,m_start,"&lt;"&amp;1440,m_end,"&gt;"&amp;1140))))))</f>
        <v/>
      </c>
      <c r="AW48" s="89" t="str">
        <f aca="false">IF(OR(AW$4="",MONTH(($G$2+24))&lt;&gt;MONTH($C$2)),"",IF(COUNTIFS(m_teacher,AW$4,m_date,($G$2+24),m_active,1,m_start,"&lt;"&amp;1440,m_end,"&gt;"&amp;1140)=0,"",IF(COUNTIFS(m_teacher,AW$4,m_date,($G$2+24),m_active,1,m_start,"&lt;"&amp;1440,m_end,"&gt;"&amp;1140)&gt;1,"충돌",HYPERLINK("#'관리자_MASTER'!D"&amp;_xlfn.MAXIFS(m_row,m_teacher,AW$4,m_date,($G$2+24),m_active,1,m_start,"&lt;"&amp;1440,m_end,"&gt;"&amp;1140),INDEX(m_label,_xlfn.MAXIFS(m_row,m_teacher,AW$4,m_date,($G$2+24),m_active,1,m_start,"&lt;"&amp;1440,m_end,"&gt;"&amp;1140))))))</f>
        <v/>
      </c>
      <c r="AX48" s="89" t="str">
        <f aca="false">IF(OR(AX$4="",MONTH(($G$2+24))&lt;&gt;MONTH($C$2)),"",IF(COUNTIFS(m_teacher,AX$4,m_date,($G$2+24),m_active,1,m_start,"&lt;"&amp;1440,m_end,"&gt;"&amp;1140)=0,"",IF(COUNTIFS(m_teacher,AX$4,m_date,($G$2+24),m_active,1,m_start,"&lt;"&amp;1440,m_end,"&gt;"&amp;1140)&gt;1,"충돌",HYPERLINK("#'관리자_MASTER'!D"&amp;_xlfn.MAXIFS(m_row,m_teacher,AX$4,m_date,($G$2+24),m_active,1,m_start,"&lt;"&amp;1440,m_end,"&gt;"&amp;1140),INDEX(m_label,_xlfn.MAXIFS(m_row,m_teacher,AX$4,m_date,($G$2+24),m_active,1,m_start,"&lt;"&amp;1440,m_end,"&gt;"&amp;1140))))))</f>
        <v/>
      </c>
      <c r="AY48" s="89" t="str">
        <f aca="false">IF(OR(AY$4="",MONTH(($G$2+24))&lt;&gt;MONTH($C$2)),"",IF(COUNTIFS(m_teacher,AY$4,m_date,($G$2+24),m_active,1,m_start,"&lt;"&amp;1440,m_end,"&gt;"&amp;1140)=0,"",IF(COUNTIFS(m_teacher,AY$4,m_date,($G$2+24),m_active,1,m_start,"&lt;"&amp;1440,m_end,"&gt;"&amp;1140)&gt;1,"충돌",HYPERLINK("#'관리자_MASTER'!D"&amp;_xlfn.MAXIFS(m_row,m_teacher,AY$4,m_date,($G$2+24),m_active,1,m_start,"&lt;"&amp;1440,m_end,"&gt;"&amp;1140),INDEX(m_label,_xlfn.MAXIFS(m_row,m_teacher,AY$4,m_date,($G$2+24),m_active,1,m_start,"&lt;"&amp;1440,m_end,"&gt;"&amp;1140))))))</f>
        <v/>
      </c>
      <c r="AZ48" s="89" t="str">
        <f aca="false">IF(OR(AZ$4="",MONTH(($G$2+24))&lt;&gt;MONTH($C$2)),"",IF(COUNTIFS(m_teacher,AZ$4,m_date,($G$2+24),m_active,1,m_start,"&lt;"&amp;1440,m_end,"&gt;"&amp;1140)=0,"",IF(COUNTIFS(m_teacher,AZ$4,m_date,($G$2+24),m_active,1,m_start,"&lt;"&amp;1440,m_end,"&gt;"&amp;1140)&gt;1,"충돌",HYPERLINK("#'관리자_MASTER'!D"&amp;_xlfn.MAXIFS(m_row,m_teacher,AZ$4,m_date,($G$2+24),m_active,1,m_start,"&lt;"&amp;1440,m_end,"&gt;"&amp;1140),INDEX(m_label,_xlfn.MAXIFS(m_row,m_teacher,AZ$4,m_date,($G$2+24),m_active,1,m_start,"&lt;"&amp;1440,m_end,"&gt;"&amp;1140))))))</f>
        <v/>
      </c>
      <c r="BA48" s="89" t="str">
        <f aca="false">IF(OR(BA$4="",MONTH(($G$2+24))&lt;&gt;MONTH($C$2)),"",IF(COUNTIFS(m_teacher,BA$4,m_date,($G$2+24),m_active,1,m_start,"&lt;"&amp;1440,m_end,"&gt;"&amp;1140)=0,"",IF(COUNTIFS(m_teacher,BA$4,m_date,($G$2+24),m_active,1,m_start,"&lt;"&amp;1440,m_end,"&gt;"&amp;1140)&gt;1,"충돌",HYPERLINK("#'관리자_MASTER'!D"&amp;_xlfn.MAXIFS(m_row,m_teacher,BA$4,m_date,($G$2+24),m_active,1,m_start,"&lt;"&amp;1440,m_end,"&gt;"&amp;1140),INDEX(m_label,_xlfn.MAXIFS(m_row,m_teacher,BA$4,m_date,($G$2+24),m_active,1,m_start,"&lt;"&amp;1440,m_end,"&gt;"&amp;1140))))))</f>
        <v/>
      </c>
      <c r="BB48" s="89" t="str">
        <f aca="false">IF(OR(BB$4="",MONTH(($G$2+24))&lt;&gt;MONTH($C$2)),"",IF(COUNTIFS(m_teacher,BB$4,m_date,($G$2+24),m_active,1,m_start,"&lt;"&amp;1440,m_end,"&gt;"&amp;1140)=0,"",IF(COUNTIFS(m_teacher,BB$4,m_date,($G$2+24),m_active,1,m_start,"&lt;"&amp;1440,m_end,"&gt;"&amp;1140)&gt;1,"충돌",HYPERLINK("#'관리자_MASTER'!D"&amp;_xlfn.MAXIFS(m_row,m_teacher,BB$4,m_date,($G$2+24),m_active,1,m_start,"&lt;"&amp;1440,m_end,"&gt;"&amp;1140),INDEX(m_label,_xlfn.MAXIFS(m_row,m_teacher,BB$4,m_date,($G$2+24),m_active,1,m_start,"&lt;"&amp;1440,m_end,"&gt;"&amp;1140))))))</f>
        <v/>
      </c>
      <c r="BC48" s="89" t="str">
        <f aca="false">IF(OR(BC$4="",MONTH(($G$2+24))&lt;&gt;MONTH($C$2)),"",IF(COUNTIFS(m_teacher,BC$4,m_date,($G$2+24),m_active,1,m_start,"&lt;"&amp;1440,m_end,"&gt;"&amp;1140)=0,"",IF(COUNTIFS(m_teacher,BC$4,m_date,($G$2+24),m_active,1,m_start,"&lt;"&amp;1440,m_end,"&gt;"&amp;1140)&gt;1,"충돌",HYPERLINK("#'관리자_MASTER'!D"&amp;_xlfn.MAXIFS(m_row,m_teacher,BC$4,m_date,($G$2+24),m_active,1,m_start,"&lt;"&amp;1440,m_end,"&gt;"&amp;1140),INDEX(m_label,_xlfn.MAXIFS(m_row,m_teacher,BC$4,m_date,($G$2+24),m_active,1,m_start,"&lt;"&amp;1440,m_end,"&gt;"&amp;1140))))))</f>
        <v/>
      </c>
      <c r="BD48" s="89" t="str">
        <f aca="false">IF(OR(BD$4="",MONTH(($G$2+24))&lt;&gt;MONTH($C$2)),"",IF(COUNTIFS(m_teacher,BD$4,m_date,($G$2+24),m_active,1,m_start,"&lt;"&amp;1440,m_end,"&gt;"&amp;1140)=0,"",IF(COUNTIFS(m_teacher,BD$4,m_date,($G$2+24),m_active,1,m_start,"&lt;"&amp;1440,m_end,"&gt;"&amp;1140)&gt;1,"충돌",HYPERLINK("#'관리자_MASTER'!D"&amp;_xlfn.MAXIFS(m_row,m_teacher,BD$4,m_date,($G$2+24),m_active,1,m_start,"&lt;"&amp;1440,m_end,"&gt;"&amp;1140),INDEX(m_label,_xlfn.MAXIFS(m_row,m_teacher,BD$4,m_date,($G$2+24),m_active,1,m_start,"&lt;"&amp;1440,m_end,"&gt;"&amp;1140))))))</f>
        <v/>
      </c>
      <c r="BE48" s="78"/>
      <c r="BF48" s="85" t="s">
        <v>101</v>
      </c>
      <c r="BG48" s="89" t="str">
        <f aca="false">IF(OR(BG$4="",MONTH(($G$2+31))&lt;&gt;MONTH($C$2)),"",IF(COUNTIFS(m_teacher,BG$4,m_date,($G$2+31),m_active,1,m_start,"&lt;"&amp;1440,m_end,"&gt;"&amp;1140)=0,"",IF(COUNTIFS(m_teacher,BG$4,m_date,($G$2+31),m_active,1,m_start,"&lt;"&amp;1440,m_end,"&gt;"&amp;1140)&gt;1,"충돌",HYPERLINK("#'관리자_MASTER'!D"&amp;_xlfn.MAXIFS(m_row,m_teacher,BG$4,m_date,($G$2+31),m_active,1,m_start,"&lt;"&amp;1440,m_end,"&gt;"&amp;1140),INDEX(m_label,_xlfn.MAXIFS(m_row,m_teacher,BG$4,m_date,($G$2+31),m_active,1,m_start,"&lt;"&amp;1440,m_end,"&gt;"&amp;1140))))))</f>
        <v/>
      </c>
      <c r="BH48" s="89" t="str">
        <f aca="false">IF(OR(BH$4="",MONTH(($G$2+31))&lt;&gt;MONTH($C$2)),"",IF(COUNTIFS(m_teacher,BH$4,m_date,($G$2+31),m_active,1,m_start,"&lt;"&amp;1440,m_end,"&gt;"&amp;1140)=0,"",IF(COUNTIFS(m_teacher,BH$4,m_date,($G$2+31),m_active,1,m_start,"&lt;"&amp;1440,m_end,"&gt;"&amp;1140)&gt;1,"충돌",HYPERLINK("#'관리자_MASTER'!D"&amp;_xlfn.MAXIFS(m_row,m_teacher,BH$4,m_date,($G$2+31),m_active,1,m_start,"&lt;"&amp;1440,m_end,"&gt;"&amp;1140),INDEX(m_label,_xlfn.MAXIFS(m_row,m_teacher,BH$4,m_date,($G$2+31),m_active,1,m_start,"&lt;"&amp;1440,m_end,"&gt;"&amp;1140))))))</f>
        <v/>
      </c>
      <c r="BI48" s="89" t="str">
        <f aca="false">IF(OR(BI$4="",MONTH(($G$2+31))&lt;&gt;MONTH($C$2)),"",IF(COUNTIFS(m_teacher,BI$4,m_date,($G$2+31),m_active,1,m_start,"&lt;"&amp;1440,m_end,"&gt;"&amp;1140)=0,"",IF(COUNTIFS(m_teacher,BI$4,m_date,($G$2+31),m_active,1,m_start,"&lt;"&amp;1440,m_end,"&gt;"&amp;1140)&gt;1,"충돌",HYPERLINK("#'관리자_MASTER'!D"&amp;_xlfn.MAXIFS(m_row,m_teacher,BI$4,m_date,($G$2+31),m_active,1,m_start,"&lt;"&amp;1440,m_end,"&gt;"&amp;1140),INDEX(m_label,_xlfn.MAXIFS(m_row,m_teacher,BI$4,m_date,($G$2+31),m_active,1,m_start,"&lt;"&amp;1440,m_end,"&gt;"&amp;1140))))))</f>
        <v/>
      </c>
      <c r="BJ48" s="89" t="str">
        <f aca="false">IF(OR(BJ$4="",MONTH(($G$2+31))&lt;&gt;MONTH($C$2)),"",IF(COUNTIFS(m_teacher,BJ$4,m_date,($G$2+31),m_active,1,m_start,"&lt;"&amp;1440,m_end,"&gt;"&amp;1140)=0,"",IF(COUNTIFS(m_teacher,BJ$4,m_date,($G$2+31),m_active,1,m_start,"&lt;"&amp;1440,m_end,"&gt;"&amp;1140)&gt;1,"충돌",HYPERLINK("#'관리자_MASTER'!D"&amp;_xlfn.MAXIFS(m_row,m_teacher,BJ$4,m_date,($G$2+31),m_active,1,m_start,"&lt;"&amp;1440,m_end,"&gt;"&amp;1140),INDEX(m_label,_xlfn.MAXIFS(m_row,m_teacher,BJ$4,m_date,($G$2+31),m_active,1,m_start,"&lt;"&amp;1440,m_end,"&gt;"&amp;1140))))))</f>
        <v/>
      </c>
      <c r="BK48" s="89" t="str">
        <f aca="false">IF(OR(BK$4="",MONTH(($G$2+31))&lt;&gt;MONTH($C$2)),"",IF(COUNTIFS(m_teacher,BK$4,m_date,($G$2+31),m_active,1,m_start,"&lt;"&amp;1440,m_end,"&gt;"&amp;1140)=0,"",IF(COUNTIFS(m_teacher,BK$4,m_date,($G$2+31),m_active,1,m_start,"&lt;"&amp;1440,m_end,"&gt;"&amp;1140)&gt;1,"충돌",HYPERLINK("#'관리자_MASTER'!D"&amp;_xlfn.MAXIFS(m_row,m_teacher,BK$4,m_date,($G$2+31),m_active,1,m_start,"&lt;"&amp;1440,m_end,"&gt;"&amp;1140),INDEX(m_label,_xlfn.MAXIFS(m_row,m_teacher,BK$4,m_date,($G$2+31),m_active,1,m_start,"&lt;"&amp;1440,m_end,"&gt;"&amp;1140))))))</f>
        <v/>
      </c>
      <c r="BL48" s="89" t="str">
        <f aca="false">IF(OR(BL$4="",MONTH(($G$2+31))&lt;&gt;MONTH($C$2)),"",IF(COUNTIFS(m_teacher,BL$4,m_date,($G$2+31),m_active,1,m_start,"&lt;"&amp;1440,m_end,"&gt;"&amp;1140)=0,"",IF(COUNTIFS(m_teacher,BL$4,m_date,($G$2+31),m_active,1,m_start,"&lt;"&amp;1440,m_end,"&gt;"&amp;1140)&gt;1,"충돌",HYPERLINK("#'관리자_MASTER'!D"&amp;_xlfn.MAXIFS(m_row,m_teacher,BL$4,m_date,($G$2+31),m_active,1,m_start,"&lt;"&amp;1440,m_end,"&gt;"&amp;1140),INDEX(m_label,_xlfn.MAXIFS(m_row,m_teacher,BL$4,m_date,($G$2+31),m_active,1,m_start,"&lt;"&amp;1440,m_end,"&gt;"&amp;1140))))))</f>
        <v/>
      </c>
      <c r="BM48" s="89" t="str">
        <f aca="false">IF(OR(BM$4="",MONTH(($G$2+31))&lt;&gt;MONTH($C$2)),"",IF(COUNTIFS(m_teacher,BM$4,m_date,($G$2+31),m_active,1,m_start,"&lt;"&amp;1440,m_end,"&gt;"&amp;1140)=0,"",IF(COUNTIFS(m_teacher,BM$4,m_date,($G$2+31),m_active,1,m_start,"&lt;"&amp;1440,m_end,"&gt;"&amp;1140)&gt;1,"충돌",HYPERLINK("#'관리자_MASTER'!D"&amp;_xlfn.MAXIFS(m_row,m_teacher,BM$4,m_date,($G$2+31),m_active,1,m_start,"&lt;"&amp;1440,m_end,"&gt;"&amp;1140),INDEX(m_label,_xlfn.MAXIFS(m_row,m_teacher,BM$4,m_date,($G$2+31),m_active,1,m_start,"&lt;"&amp;1440,m_end,"&gt;"&amp;1140))))))</f>
        <v/>
      </c>
      <c r="BN48" s="89" t="str">
        <f aca="false">IF(OR(BN$4="",MONTH(($G$2+31))&lt;&gt;MONTH($C$2)),"",IF(COUNTIFS(m_teacher,BN$4,m_date,($G$2+31),m_active,1,m_start,"&lt;"&amp;1440,m_end,"&gt;"&amp;1140)=0,"",IF(COUNTIFS(m_teacher,BN$4,m_date,($G$2+31),m_active,1,m_start,"&lt;"&amp;1440,m_end,"&gt;"&amp;1140)&gt;1,"충돌",HYPERLINK("#'관리자_MASTER'!D"&amp;_xlfn.MAXIFS(m_row,m_teacher,BN$4,m_date,($G$2+31),m_active,1,m_start,"&lt;"&amp;1440,m_end,"&gt;"&amp;1140),INDEX(m_label,_xlfn.MAXIFS(m_row,m_teacher,BN$4,m_date,($G$2+31),m_active,1,m_start,"&lt;"&amp;1440,m_end,"&gt;"&amp;1140))))))</f>
        <v/>
      </c>
      <c r="BO48" s="89" t="str">
        <f aca="false">IF(OR(BO$4="",MONTH(($G$2+31))&lt;&gt;MONTH($C$2)),"",IF(COUNTIFS(m_teacher,BO$4,m_date,($G$2+31),m_active,1,m_start,"&lt;"&amp;1440,m_end,"&gt;"&amp;1140)=0,"",IF(COUNTIFS(m_teacher,BO$4,m_date,($G$2+31),m_active,1,m_start,"&lt;"&amp;1440,m_end,"&gt;"&amp;1140)&gt;1,"충돌",HYPERLINK("#'관리자_MASTER'!D"&amp;_xlfn.MAXIFS(m_row,m_teacher,BO$4,m_date,($G$2+31),m_active,1,m_start,"&lt;"&amp;1440,m_end,"&gt;"&amp;1140),INDEX(m_label,_xlfn.MAXIFS(m_row,m_teacher,BO$4,m_date,($G$2+31),m_active,1,m_start,"&lt;"&amp;1440,m_end,"&gt;"&amp;1140))))))</f>
        <v/>
      </c>
      <c r="BP48" s="89" t="str">
        <f aca="false">IF(OR(BP$4="",MONTH(($G$2+31))&lt;&gt;MONTH($C$2)),"",IF(COUNTIFS(m_teacher,BP$4,m_date,($G$2+31),m_active,1,m_start,"&lt;"&amp;1440,m_end,"&gt;"&amp;1140)=0,"",IF(COUNTIFS(m_teacher,BP$4,m_date,($G$2+31),m_active,1,m_start,"&lt;"&amp;1440,m_end,"&gt;"&amp;1140)&gt;1,"충돌",HYPERLINK("#'관리자_MASTER'!D"&amp;_xlfn.MAXIFS(m_row,m_teacher,BP$4,m_date,($G$2+31),m_active,1,m_start,"&lt;"&amp;1440,m_end,"&gt;"&amp;1140),INDEX(m_label,_xlfn.MAXIFS(m_row,m_teacher,BP$4,m_date,($G$2+31),m_active,1,m_start,"&lt;"&amp;1440,m_end,"&gt;"&amp;1140))))))</f>
        <v/>
      </c>
      <c r="BQ48" s="89" t="str">
        <f aca="false">IF(OR(BQ$4="",MONTH(($G$2+31))&lt;&gt;MONTH($C$2)),"",IF(COUNTIFS(m_teacher,BQ$4,m_date,($G$2+31),m_active,1,m_start,"&lt;"&amp;1440,m_end,"&gt;"&amp;1140)=0,"",IF(COUNTIFS(m_teacher,BQ$4,m_date,($G$2+31),m_active,1,m_start,"&lt;"&amp;1440,m_end,"&gt;"&amp;1140)&gt;1,"충돌",HYPERLINK("#'관리자_MASTER'!D"&amp;_xlfn.MAXIFS(m_row,m_teacher,BQ$4,m_date,($G$2+31),m_active,1,m_start,"&lt;"&amp;1440,m_end,"&gt;"&amp;1140),INDEX(m_label,_xlfn.MAXIFS(m_row,m_teacher,BQ$4,m_date,($G$2+31),m_active,1,m_start,"&lt;"&amp;1440,m_end,"&gt;"&amp;1140))))))</f>
        <v/>
      </c>
      <c r="BR48" s="89" t="str">
        <f aca="false">IF(OR(BR$4="",MONTH(($G$2+31))&lt;&gt;MONTH($C$2)),"",IF(COUNTIFS(m_teacher,BR$4,m_date,($G$2+31),m_active,1,m_start,"&lt;"&amp;1440,m_end,"&gt;"&amp;1140)=0,"",IF(COUNTIFS(m_teacher,BR$4,m_date,($G$2+31),m_active,1,m_start,"&lt;"&amp;1440,m_end,"&gt;"&amp;1140)&gt;1,"충돌",HYPERLINK("#'관리자_MASTER'!D"&amp;_xlfn.MAXIFS(m_row,m_teacher,BR$4,m_date,($G$2+31),m_active,1,m_start,"&lt;"&amp;1440,m_end,"&gt;"&amp;1140),INDEX(m_label,_xlfn.MAXIFS(m_row,m_teacher,BR$4,m_date,($G$2+31),m_active,1,m_start,"&lt;"&amp;1440,m_end,"&gt;"&amp;1140))))))</f>
        <v/>
      </c>
    </row>
    <row r="49" customFormat="false" ht="19.5" hidden="false" customHeight="true" outlineLevel="0" collapsed="false">
      <c r="A49" s="78" t="str">
        <f aca="false">IF(MONTH(($G$2+4))&lt;&gt;MONTH($C$2),"",CHOOSE(WEEKDAY(($G$2+4),2),"월","화","수","목","금","토","일")&amp;CHAR(10)&amp;TEXT(($G$2+4),"m/d"))</f>
        <v>금
12/4</v>
      </c>
      <c r="B49" s="79" t="s">
        <v>91</v>
      </c>
      <c r="C49" s="80" t="str">
        <f aca="false">IF(OR(C$4="",MONTH(($G$2+4))&lt;&gt;MONTH($C$2)),"",IF(COUNTIFS(m_teacher,C$4,m_date,($G$2+4),m_active,1,m_start,"&lt;"&amp;600,m_end,"&gt;"&amp;0)=0,"",IF(COUNTIFS(m_teacher,C$4,m_date,($G$2+4),m_active,1,m_start,"&lt;"&amp;600,m_end,"&gt;"&amp;0)&gt;1,"충돌",HYPERLINK("#'관리자_MASTER'!D"&amp;_xlfn.MAXIFS(m_row,m_teacher,C$4,m_date,($G$2+4),m_active,1,m_start,"&lt;"&amp;600,m_end,"&gt;"&amp;0),INDEX(m_label,_xlfn.MAXIFS(m_row,m_teacher,C$4,m_date,($G$2+4),m_active,1,m_start,"&lt;"&amp;600,m_end,"&gt;"&amp;0))))))</f>
        <v/>
      </c>
      <c r="D49" s="80" t="str">
        <f aca="false">IF(OR(D$4="",MONTH(($G$2+4))&lt;&gt;MONTH($C$2)),"",IF(COUNTIFS(m_teacher,D$4,m_date,($G$2+4),m_active,1,m_start,"&lt;"&amp;600,m_end,"&gt;"&amp;0)=0,"",IF(COUNTIFS(m_teacher,D$4,m_date,($G$2+4),m_active,1,m_start,"&lt;"&amp;600,m_end,"&gt;"&amp;0)&gt;1,"충돌",HYPERLINK("#'관리자_MASTER'!D"&amp;_xlfn.MAXIFS(m_row,m_teacher,D$4,m_date,($G$2+4),m_active,1,m_start,"&lt;"&amp;600,m_end,"&gt;"&amp;0),INDEX(m_label,_xlfn.MAXIFS(m_row,m_teacher,D$4,m_date,($G$2+4),m_active,1,m_start,"&lt;"&amp;600,m_end,"&gt;"&amp;0))))))</f>
        <v/>
      </c>
      <c r="E49" s="80" t="str">
        <f aca="false">IF(OR(E$4="",MONTH(($G$2+4))&lt;&gt;MONTH($C$2)),"",IF(COUNTIFS(m_teacher,E$4,m_date,($G$2+4),m_active,1,m_start,"&lt;"&amp;600,m_end,"&gt;"&amp;0)=0,"",IF(COUNTIFS(m_teacher,E$4,m_date,($G$2+4),m_active,1,m_start,"&lt;"&amp;600,m_end,"&gt;"&amp;0)&gt;1,"충돌",HYPERLINK("#'관리자_MASTER'!D"&amp;_xlfn.MAXIFS(m_row,m_teacher,E$4,m_date,($G$2+4),m_active,1,m_start,"&lt;"&amp;600,m_end,"&gt;"&amp;0),INDEX(m_label,_xlfn.MAXIFS(m_row,m_teacher,E$4,m_date,($G$2+4),m_active,1,m_start,"&lt;"&amp;600,m_end,"&gt;"&amp;0))))))</f>
        <v/>
      </c>
      <c r="F49" s="80" t="str">
        <f aca="false">IF(OR(F$4="",MONTH(($G$2+4))&lt;&gt;MONTH($C$2)),"",IF(COUNTIFS(m_teacher,F$4,m_date,($G$2+4),m_active,1,m_start,"&lt;"&amp;600,m_end,"&gt;"&amp;0)=0,"",IF(COUNTIFS(m_teacher,F$4,m_date,($G$2+4),m_active,1,m_start,"&lt;"&amp;600,m_end,"&gt;"&amp;0)&gt;1,"충돌",HYPERLINK("#'관리자_MASTER'!D"&amp;_xlfn.MAXIFS(m_row,m_teacher,F$4,m_date,($G$2+4),m_active,1,m_start,"&lt;"&amp;600,m_end,"&gt;"&amp;0),INDEX(m_label,_xlfn.MAXIFS(m_row,m_teacher,F$4,m_date,($G$2+4),m_active,1,m_start,"&lt;"&amp;600,m_end,"&gt;"&amp;0))))))</f>
        <v/>
      </c>
      <c r="G49" s="80" t="str">
        <f aca="false">IF(OR(G$4="",MONTH(($G$2+4))&lt;&gt;MONTH($C$2)),"",IF(COUNTIFS(m_teacher,G$4,m_date,($G$2+4),m_active,1,m_start,"&lt;"&amp;600,m_end,"&gt;"&amp;0)=0,"",IF(COUNTIFS(m_teacher,G$4,m_date,($G$2+4),m_active,1,m_start,"&lt;"&amp;600,m_end,"&gt;"&amp;0)&gt;1,"충돌",HYPERLINK("#'관리자_MASTER'!D"&amp;_xlfn.MAXIFS(m_row,m_teacher,G$4,m_date,($G$2+4),m_active,1,m_start,"&lt;"&amp;600,m_end,"&gt;"&amp;0),INDEX(m_label,_xlfn.MAXIFS(m_row,m_teacher,G$4,m_date,($G$2+4),m_active,1,m_start,"&lt;"&amp;600,m_end,"&gt;"&amp;0))))))</f>
        <v/>
      </c>
      <c r="H49" s="80" t="str">
        <f aca="false">IF(OR(H$4="",MONTH(($G$2+4))&lt;&gt;MONTH($C$2)),"",IF(COUNTIFS(m_teacher,H$4,m_date,($G$2+4),m_active,1,m_start,"&lt;"&amp;600,m_end,"&gt;"&amp;0)=0,"",IF(COUNTIFS(m_teacher,H$4,m_date,($G$2+4),m_active,1,m_start,"&lt;"&amp;600,m_end,"&gt;"&amp;0)&gt;1,"충돌",HYPERLINK("#'관리자_MASTER'!D"&amp;_xlfn.MAXIFS(m_row,m_teacher,H$4,m_date,($G$2+4),m_active,1,m_start,"&lt;"&amp;600,m_end,"&gt;"&amp;0),INDEX(m_label,_xlfn.MAXIFS(m_row,m_teacher,H$4,m_date,($G$2+4),m_active,1,m_start,"&lt;"&amp;600,m_end,"&gt;"&amp;0))))))</f>
        <v/>
      </c>
      <c r="I49" s="80" t="str">
        <f aca="false">IF(OR(I$4="",MONTH(($G$2+4))&lt;&gt;MONTH($C$2)),"",IF(COUNTIFS(m_teacher,I$4,m_date,($G$2+4),m_active,1,m_start,"&lt;"&amp;600,m_end,"&gt;"&amp;0)=0,"",IF(COUNTIFS(m_teacher,I$4,m_date,($G$2+4),m_active,1,m_start,"&lt;"&amp;600,m_end,"&gt;"&amp;0)&gt;1,"충돌",HYPERLINK("#'관리자_MASTER'!D"&amp;_xlfn.MAXIFS(m_row,m_teacher,I$4,m_date,($G$2+4),m_active,1,m_start,"&lt;"&amp;600,m_end,"&gt;"&amp;0),INDEX(m_label,_xlfn.MAXIFS(m_row,m_teacher,I$4,m_date,($G$2+4),m_active,1,m_start,"&lt;"&amp;600,m_end,"&gt;"&amp;0))))))</f>
        <v/>
      </c>
      <c r="J49" s="80" t="str">
        <f aca="false">IF(OR(J$4="",MONTH(($G$2+4))&lt;&gt;MONTH($C$2)),"",IF(COUNTIFS(m_teacher,J$4,m_date,($G$2+4),m_active,1,m_start,"&lt;"&amp;600,m_end,"&gt;"&amp;0)=0,"",IF(COUNTIFS(m_teacher,J$4,m_date,($G$2+4),m_active,1,m_start,"&lt;"&amp;600,m_end,"&gt;"&amp;0)&gt;1,"충돌",HYPERLINK("#'관리자_MASTER'!D"&amp;_xlfn.MAXIFS(m_row,m_teacher,J$4,m_date,($G$2+4),m_active,1,m_start,"&lt;"&amp;600,m_end,"&gt;"&amp;0),INDEX(m_label,_xlfn.MAXIFS(m_row,m_teacher,J$4,m_date,($G$2+4),m_active,1,m_start,"&lt;"&amp;600,m_end,"&gt;"&amp;0))))))</f>
        <v/>
      </c>
      <c r="K49" s="80" t="str">
        <f aca="false">IF(OR(K$4="",MONTH(($G$2+4))&lt;&gt;MONTH($C$2)),"",IF(COUNTIFS(m_teacher,K$4,m_date,($G$2+4),m_active,1,m_start,"&lt;"&amp;600,m_end,"&gt;"&amp;0)=0,"",IF(COUNTIFS(m_teacher,K$4,m_date,($G$2+4),m_active,1,m_start,"&lt;"&amp;600,m_end,"&gt;"&amp;0)&gt;1,"충돌",HYPERLINK("#'관리자_MASTER'!D"&amp;_xlfn.MAXIFS(m_row,m_teacher,K$4,m_date,($G$2+4),m_active,1,m_start,"&lt;"&amp;600,m_end,"&gt;"&amp;0),INDEX(m_label,_xlfn.MAXIFS(m_row,m_teacher,K$4,m_date,($G$2+4),m_active,1,m_start,"&lt;"&amp;600,m_end,"&gt;"&amp;0))))))</f>
        <v/>
      </c>
      <c r="L49" s="80" t="str">
        <f aca="false">IF(OR(L$4="",MONTH(($G$2+4))&lt;&gt;MONTH($C$2)),"",IF(COUNTIFS(m_teacher,L$4,m_date,($G$2+4),m_active,1,m_start,"&lt;"&amp;600,m_end,"&gt;"&amp;0)=0,"",IF(COUNTIFS(m_teacher,L$4,m_date,($G$2+4),m_active,1,m_start,"&lt;"&amp;600,m_end,"&gt;"&amp;0)&gt;1,"충돌",HYPERLINK("#'관리자_MASTER'!D"&amp;_xlfn.MAXIFS(m_row,m_teacher,L$4,m_date,($G$2+4),m_active,1,m_start,"&lt;"&amp;600,m_end,"&gt;"&amp;0),INDEX(m_label,_xlfn.MAXIFS(m_row,m_teacher,L$4,m_date,($G$2+4),m_active,1,m_start,"&lt;"&amp;600,m_end,"&gt;"&amp;0))))))</f>
        <v/>
      </c>
      <c r="M49" s="80" t="str">
        <f aca="false">IF(OR(M$4="",MONTH(($G$2+4))&lt;&gt;MONTH($C$2)),"",IF(COUNTIFS(m_teacher,M$4,m_date,($G$2+4),m_active,1,m_start,"&lt;"&amp;600,m_end,"&gt;"&amp;0)=0,"",IF(COUNTIFS(m_teacher,M$4,m_date,($G$2+4),m_active,1,m_start,"&lt;"&amp;600,m_end,"&gt;"&amp;0)&gt;1,"충돌",HYPERLINK("#'관리자_MASTER'!D"&amp;_xlfn.MAXIFS(m_row,m_teacher,M$4,m_date,($G$2+4),m_active,1,m_start,"&lt;"&amp;600,m_end,"&gt;"&amp;0),INDEX(m_label,_xlfn.MAXIFS(m_row,m_teacher,M$4,m_date,($G$2+4),m_active,1,m_start,"&lt;"&amp;600,m_end,"&gt;"&amp;0))))))</f>
        <v/>
      </c>
      <c r="N49" s="80" t="str">
        <f aca="false">IF(OR(N$4="",MONTH(($G$2+4))&lt;&gt;MONTH($C$2)),"",IF(COUNTIFS(m_teacher,N$4,m_date,($G$2+4),m_active,1,m_start,"&lt;"&amp;600,m_end,"&gt;"&amp;0)=0,"",IF(COUNTIFS(m_teacher,N$4,m_date,($G$2+4),m_active,1,m_start,"&lt;"&amp;600,m_end,"&gt;"&amp;0)&gt;1,"충돌",HYPERLINK("#'관리자_MASTER'!D"&amp;_xlfn.MAXIFS(m_row,m_teacher,N$4,m_date,($G$2+4),m_active,1,m_start,"&lt;"&amp;600,m_end,"&gt;"&amp;0),INDEX(m_label,_xlfn.MAXIFS(m_row,m_teacher,N$4,m_date,($G$2+4),m_active,1,m_start,"&lt;"&amp;600,m_end,"&gt;"&amp;0))))))</f>
        <v/>
      </c>
      <c r="O49" s="78" t="str">
        <f aca="false">IF(MONTH(($G$2+11))&lt;&gt;MONTH($C$2),"",CHOOSE(WEEKDAY(($G$2+11),2),"월","화","수","목","금","토","일")&amp;CHAR(10)&amp;TEXT(($G$2+11),"m/d"))</f>
        <v>금
12/11</v>
      </c>
      <c r="P49" s="79" t="s">
        <v>91</v>
      </c>
      <c r="Q49" s="80" t="str">
        <f aca="false">IF(OR(Q$4="",MONTH(($G$2+11))&lt;&gt;MONTH($C$2)),"",IF(COUNTIFS(m_teacher,Q$4,m_date,($G$2+11),m_active,1,m_start,"&lt;"&amp;600,m_end,"&gt;"&amp;0)=0,"",IF(COUNTIFS(m_teacher,Q$4,m_date,($G$2+11),m_active,1,m_start,"&lt;"&amp;600,m_end,"&gt;"&amp;0)&gt;1,"충돌",HYPERLINK("#'관리자_MASTER'!D"&amp;_xlfn.MAXIFS(m_row,m_teacher,Q$4,m_date,($G$2+11),m_active,1,m_start,"&lt;"&amp;600,m_end,"&gt;"&amp;0),INDEX(m_label,_xlfn.MAXIFS(m_row,m_teacher,Q$4,m_date,($G$2+11),m_active,1,m_start,"&lt;"&amp;600,m_end,"&gt;"&amp;0))))))</f>
        <v/>
      </c>
      <c r="R49" s="80" t="str">
        <f aca="false">IF(OR(R$4="",MONTH(($G$2+11))&lt;&gt;MONTH($C$2)),"",IF(COUNTIFS(m_teacher,R$4,m_date,($G$2+11),m_active,1,m_start,"&lt;"&amp;600,m_end,"&gt;"&amp;0)=0,"",IF(COUNTIFS(m_teacher,R$4,m_date,($G$2+11),m_active,1,m_start,"&lt;"&amp;600,m_end,"&gt;"&amp;0)&gt;1,"충돌",HYPERLINK("#'관리자_MASTER'!D"&amp;_xlfn.MAXIFS(m_row,m_teacher,R$4,m_date,($G$2+11),m_active,1,m_start,"&lt;"&amp;600,m_end,"&gt;"&amp;0),INDEX(m_label,_xlfn.MAXIFS(m_row,m_teacher,R$4,m_date,($G$2+11),m_active,1,m_start,"&lt;"&amp;600,m_end,"&gt;"&amp;0))))))</f>
        <v/>
      </c>
      <c r="S49" s="80" t="str">
        <f aca="false">IF(OR(S$4="",MONTH(($G$2+11))&lt;&gt;MONTH($C$2)),"",IF(COUNTIFS(m_teacher,S$4,m_date,($G$2+11),m_active,1,m_start,"&lt;"&amp;600,m_end,"&gt;"&amp;0)=0,"",IF(COUNTIFS(m_teacher,S$4,m_date,($G$2+11),m_active,1,m_start,"&lt;"&amp;600,m_end,"&gt;"&amp;0)&gt;1,"충돌",HYPERLINK("#'관리자_MASTER'!D"&amp;_xlfn.MAXIFS(m_row,m_teacher,S$4,m_date,($G$2+11),m_active,1,m_start,"&lt;"&amp;600,m_end,"&gt;"&amp;0),INDEX(m_label,_xlfn.MAXIFS(m_row,m_teacher,S$4,m_date,($G$2+11),m_active,1,m_start,"&lt;"&amp;600,m_end,"&gt;"&amp;0))))))</f>
        <v/>
      </c>
      <c r="T49" s="80" t="str">
        <f aca="false">IF(OR(T$4="",MONTH(($G$2+11))&lt;&gt;MONTH($C$2)),"",IF(COUNTIFS(m_teacher,T$4,m_date,($G$2+11),m_active,1,m_start,"&lt;"&amp;600,m_end,"&gt;"&amp;0)=0,"",IF(COUNTIFS(m_teacher,T$4,m_date,($G$2+11),m_active,1,m_start,"&lt;"&amp;600,m_end,"&gt;"&amp;0)&gt;1,"충돌",HYPERLINK("#'관리자_MASTER'!D"&amp;_xlfn.MAXIFS(m_row,m_teacher,T$4,m_date,($G$2+11),m_active,1,m_start,"&lt;"&amp;600,m_end,"&gt;"&amp;0),INDEX(m_label,_xlfn.MAXIFS(m_row,m_teacher,T$4,m_date,($G$2+11),m_active,1,m_start,"&lt;"&amp;600,m_end,"&gt;"&amp;0))))))</f>
        <v/>
      </c>
      <c r="U49" s="80" t="str">
        <f aca="false">IF(OR(U$4="",MONTH(($G$2+11))&lt;&gt;MONTH($C$2)),"",IF(COUNTIFS(m_teacher,U$4,m_date,($G$2+11),m_active,1,m_start,"&lt;"&amp;600,m_end,"&gt;"&amp;0)=0,"",IF(COUNTIFS(m_teacher,U$4,m_date,($G$2+11),m_active,1,m_start,"&lt;"&amp;600,m_end,"&gt;"&amp;0)&gt;1,"충돌",HYPERLINK("#'관리자_MASTER'!D"&amp;_xlfn.MAXIFS(m_row,m_teacher,U$4,m_date,($G$2+11),m_active,1,m_start,"&lt;"&amp;600,m_end,"&gt;"&amp;0),INDEX(m_label,_xlfn.MAXIFS(m_row,m_teacher,U$4,m_date,($G$2+11),m_active,1,m_start,"&lt;"&amp;600,m_end,"&gt;"&amp;0))))))</f>
        <v/>
      </c>
      <c r="V49" s="80" t="str">
        <f aca="false">IF(OR(V$4="",MONTH(($G$2+11))&lt;&gt;MONTH($C$2)),"",IF(COUNTIFS(m_teacher,V$4,m_date,($G$2+11),m_active,1,m_start,"&lt;"&amp;600,m_end,"&gt;"&amp;0)=0,"",IF(COUNTIFS(m_teacher,V$4,m_date,($G$2+11),m_active,1,m_start,"&lt;"&amp;600,m_end,"&gt;"&amp;0)&gt;1,"충돌",HYPERLINK("#'관리자_MASTER'!D"&amp;_xlfn.MAXIFS(m_row,m_teacher,V$4,m_date,($G$2+11),m_active,1,m_start,"&lt;"&amp;600,m_end,"&gt;"&amp;0),INDEX(m_label,_xlfn.MAXIFS(m_row,m_teacher,V$4,m_date,($G$2+11),m_active,1,m_start,"&lt;"&amp;600,m_end,"&gt;"&amp;0))))))</f>
        <v/>
      </c>
      <c r="W49" s="80" t="str">
        <f aca="false">IF(OR(W$4="",MONTH(($G$2+11))&lt;&gt;MONTH($C$2)),"",IF(COUNTIFS(m_teacher,W$4,m_date,($G$2+11),m_active,1,m_start,"&lt;"&amp;600,m_end,"&gt;"&amp;0)=0,"",IF(COUNTIFS(m_teacher,W$4,m_date,($G$2+11),m_active,1,m_start,"&lt;"&amp;600,m_end,"&gt;"&amp;0)&gt;1,"충돌",HYPERLINK("#'관리자_MASTER'!D"&amp;_xlfn.MAXIFS(m_row,m_teacher,W$4,m_date,($G$2+11),m_active,1,m_start,"&lt;"&amp;600,m_end,"&gt;"&amp;0),INDEX(m_label,_xlfn.MAXIFS(m_row,m_teacher,W$4,m_date,($G$2+11),m_active,1,m_start,"&lt;"&amp;600,m_end,"&gt;"&amp;0))))))</f>
        <v/>
      </c>
      <c r="X49" s="80" t="str">
        <f aca="false">IF(OR(X$4="",MONTH(($G$2+11))&lt;&gt;MONTH($C$2)),"",IF(COUNTIFS(m_teacher,X$4,m_date,($G$2+11),m_active,1,m_start,"&lt;"&amp;600,m_end,"&gt;"&amp;0)=0,"",IF(COUNTIFS(m_teacher,X$4,m_date,($G$2+11),m_active,1,m_start,"&lt;"&amp;600,m_end,"&gt;"&amp;0)&gt;1,"충돌",HYPERLINK("#'관리자_MASTER'!D"&amp;_xlfn.MAXIFS(m_row,m_teacher,X$4,m_date,($G$2+11),m_active,1,m_start,"&lt;"&amp;600,m_end,"&gt;"&amp;0),INDEX(m_label,_xlfn.MAXIFS(m_row,m_teacher,X$4,m_date,($G$2+11),m_active,1,m_start,"&lt;"&amp;600,m_end,"&gt;"&amp;0))))))</f>
        <v/>
      </c>
      <c r="Y49" s="80" t="str">
        <f aca="false">IF(OR(Y$4="",MONTH(($G$2+11))&lt;&gt;MONTH($C$2)),"",IF(COUNTIFS(m_teacher,Y$4,m_date,($G$2+11),m_active,1,m_start,"&lt;"&amp;600,m_end,"&gt;"&amp;0)=0,"",IF(COUNTIFS(m_teacher,Y$4,m_date,($G$2+11),m_active,1,m_start,"&lt;"&amp;600,m_end,"&gt;"&amp;0)&gt;1,"충돌",HYPERLINK("#'관리자_MASTER'!D"&amp;_xlfn.MAXIFS(m_row,m_teacher,Y$4,m_date,($G$2+11),m_active,1,m_start,"&lt;"&amp;600,m_end,"&gt;"&amp;0),INDEX(m_label,_xlfn.MAXIFS(m_row,m_teacher,Y$4,m_date,($G$2+11),m_active,1,m_start,"&lt;"&amp;600,m_end,"&gt;"&amp;0))))))</f>
        <v/>
      </c>
      <c r="Z49" s="80" t="str">
        <f aca="false">IF(OR(Z$4="",MONTH(($G$2+11))&lt;&gt;MONTH($C$2)),"",IF(COUNTIFS(m_teacher,Z$4,m_date,($G$2+11),m_active,1,m_start,"&lt;"&amp;600,m_end,"&gt;"&amp;0)=0,"",IF(COUNTIFS(m_teacher,Z$4,m_date,($G$2+11),m_active,1,m_start,"&lt;"&amp;600,m_end,"&gt;"&amp;0)&gt;1,"충돌",HYPERLINK("#'관리자_MASTER'!D"&amp;_xlfn.MAXIFS(m_row,m_teacher,Z$4,m_date,($G$2+11),m_active,1,m_start,"&lt;"&amp;600,m_end,"&gt;"&amp;0),INDEX(m_label,_xlfn.MAXIFS(m_row,m_teacher,Z$4,m_date,($G$2+11),m_active,1,m_start,"&lt;"&amp;600,m_end,"&gt;"&amp;0))))))</f>
        <v/>
      </c>
      <c r="AA49" s="80" t="str">
        <f aca="false">IF(OR(AA$4="",MONTH(($G$2+11))&lt;&gt;MONTH($C$2)),"",IF(COUNTIFS(m_teacher,AA$4,m_date,($G$2+11),m_active,1,m_start,"&lt;"&amp;600,m_end,"&gt;"&amp;0)=0,"",IF(COUNTIFS(m_teacher,AA$4,m_date,($G$2+11),m_active,1,m_start,"&lt;"&amp;600,m_end,"&gt;"&amp;0)&gt;1,"충돌",HYPERLINK("#'관리자_MASTER'!D"&amp;_xlfn.MAXIFS(m_row,m_teacher,AA$4,m_date,($G$2+11),m_active,1,m_start,"&lt;"&amp;600,m_end,"&gt;"&amp;0),INDEX(m_label,_xlfn.MAXIFS(m_row,m_teacher,AA$4,m_date,($G$2+11),m_active,1,m_start,"&lt;"&amp;600,m_end,"&gt;"&amp;0))))))</f>
        <v/>
      </c>
      <c r="AB49" s="80" t="str">
        <f aca="false">IF(OR(AB$4="",MONTH(($G$2+11))&lt;&gt;MONTH($C$2)),"",IF(COUNTIFS(m_teacher,AB$4,m_date,($G$2+11),m_active,1,m_start,"&lt;"&amp;600,m_end,"&gt;"&amp;0)=0,"",IF(COUNTIFS(m_teacher,AB$4,m_date,($G$2+11),m_active,1,m_start,"&lt;"&amp;600,m_end,"&gt;"&amp;0)&gt;1,"충돌",HYPERLINK("#'관리자_MASTER'!D"&amp;_xlfn.MAXIFS(m_row,m_teacher,AB$4,m_date,($G$2+11),m_active,1,m_start,"&lt;"&amp;600,m_end,"&gt;"&amp;0),INDEX(m_label,_xlfn.MAXIFS(m_row,m_teacher,AB$4,m_date,($G$2+11),m_active,1,m_start,"&lt;"&amp;600,m_end,"&gt;"&amp;0))))))</f>
        <v/>
      </c>
      <c r="AC49" s="78" t="str">
        <f aca="false">IF(MONTH(($G$2+18))&lt;&gt;MONTH($C$2),"",CHOOSE(WEEKDAY(($G$2+18),2),"월","화","수","목","금","토","일")&amp;CHAR(10)&amp;TEXT(($G$2+18),"m/d"))</f>
        <v>금
12/18</v>
      </c>
      <c r="AD49" s="79" t="s">
        <v>91</v>
      </c>
      <c r="AE49" s="80" t="str">
        <f aca="false">IF(OR(AE$4="",MONTH(($G$2+18))&lt;&gt;MONTH($C$2)),"",IF(COUNTIFS(m_teacher,AE$4,m_date,($G$2+18),m_active,1,m_start,"&lt;"&amp;600,m_end,"&gt;"&amp;0)=0,"",IF(COUNTIFS(m_teacher,AE$4,m_date,($G$2+18),m_active,1,m_start,"&lt;"&amp;600,m_end,"&gt;"&amp;0)&gt;1,"충돌",HYPERLINK("#'관리자_MASTER'!D"&amp;_xlfn.MAXIFS(m_row,m_teacher,AE$4,m_date,($G$2+18),m_active,1,m_start,"&lt;"&amp;600,m_end,"&gt;"&amp;0),INDEX(m_label,_xlfn.MAXIFS(m_row,m_teacher,AE$4,m_date,($G$2+18),m_active,1,m_start,"&lt;"&amp;600,m_end,"&gt;"&amp;0))))))</f>
        <v/>
      </c>
      <c r="AF49" s="80" t="str">
        <f aca="false">IF(OR(AF$4="",MONTH(($G$2+18))&lt;&gt;MONTH($C$2)),"",IF(COUNTIFS(m_teacher,AF$4,m_date,($G$2+18),m_active,1,m_start,"&lt;"&amp;600,m_end,"&gt;"&amp;0)=0,"",IF(COUNTIFS(m_teacher,AF$4,m_date,($G$2+18),m_active,1,m_start,"&lt;"&amp;600,m_end,"&gt;"&amp;0)&gt;1,"충돌",HYPERLINK("#'관리자_MASTER'!D"&amp;_xlfn.MAXIFS(m_row,m_teacher,AF$4,m_date,($G$2+18),m_active,1,m_start,"&lt;"&amp;600,m_end,"&gt;"&amp;0),INDEX(m_label,_xlfn.MAXIFS(m_row,m_teacher,AF$4,m_date,($G$2+18),m_active,1,m_start,"&lt;"&amp;600,m_end,"&gt;"&amp;0))))))</f>
        <v/>
      </c>
      <c r="AG49" s="80" t="str">
        <f aca="false">IF(OR(AG$4="",MONTH(($G$2+18))&lt;&gt;MONTH($C$2)),"",IF(COUNTIFS(m_teacher,AG$4,m_date,($G$2+18),m_active,1,m_start,"&lt;"&amp;600,m_end,"&gt;"&amp;0)=0,"",IF(COUNTIFS(m_teacher,AG$4,m_date,($G$2+18),m_active,1,m_start,"&lt;"&amp;600,m_end,"&gt;"&amp;0)&gt;1,"충돌",HYPERLINK("#'관리자_MASTER'!D"&amp;_xlfn.MAXIFS(m_row,m_teacher,AG$4,m_date,($G$2+18),m_active,1,m_start,"&lt;"&amp;600,m_end,"&gt;"&amp;0),INDEX(m_label,_xlfn.MAXIFS(m_row,m_teacher,AG$4,m_date,($G$2+18),m_active,1,m_start,"&lt;"&amp;600,m_end,"&gt;"&amp;0))))))</f>
        <v/>
      </c>
      <c r="AH49" s="80" t="str">
        <f aca="false">IF(OR(AH$4="",MONTH(($G$2+18))&lt;&gt;MONTH($C$2)),"",IF(COUNTIFS(m_teacher,AH$4,m_date,($G$2+18),m_active,1,m_start,"&lt;"&amp;600,m_end,"&gt;"&amp;0)=0,"",IF(COUNTIFS(m_teacher,AH$4,m_date,($G$2+18),m_active,1,m_start,"&lt;"&amp;600,m_end,"&gt;"&amp;0)&gt;1,"충돌",HYPERLINK("#'관리자_MASTER'!D"&amp;_xlfn.MAXIFS(m_row,m_teacher,AH$4,m_date,($G$2+18),m_active,1,m_start,"&lt;"&amp;600,m_end,"&gt;"&amp;0),INDEX(m_label,_xlfn.MAXIFS(m_row,m_teacher,AH$4,m_date,($G$2+18),m_active,1,m_start,"&lt;"&amp;600,m_end,"&gt;"&amp;0))))))</f>
        <v/>
      </c>
      <c r="AI49" s="80" t="str">
        <f aca="false">IF(OR(AI$4="",MONTH(($G$2+18))&lt;&gt;MONTH($C$2)),"",IF(COUNTIFS(m_teacher,AI$4,m_date,($G$2+18),m_active,1,m_start,"&lt;"&amp;600,m_end,"&gt;"&amp;0)=0,"",IF(COUNTIFS(m_teacher,AI$4,m_date,($G$2+18),m_active,1,m_start,"&lt;"&amp;600,m_end,"&gt;"&amp;0)&gt;1,"충돌",HYPERLINK("#'관리자_MASTER'!D"&amp;_xlfn.MAXIFS(m_row,m_teacher,AI$4,m_date,($G$2+18),m_active,1,m_start,"&lt;"&amp;600,m_end,"&gt;"&amp;0),INDEX(m_label,_xlfn.MAXIFS(m_row,m_teacher,AI$4,m_date,($G$2+18),m_active,1,m_start,"&lt;"&amp;600,m_end,"&gt;"&amp;0))))))</f>
        <v/>
      </c>
      <c r="AJ49" s="80" t="str">
        <f aca="false">IF(OR(AJ$4="",MONTH(($G$2+18))&lt;&gt;MONTH($C$2)),"",IF(COUNTIFS(m_teacher,AJ$4,m_date,($G$2+18),m_active,1,m_start,"&lt;"&amp;600,m_end,"&gt;"&amp;0)=0,"",IF(COUNTIFS(m_teacher,AJ$4,m_date,($G$2+18),m_active,1,m_start,"&lt;"&amp;600,m_end,"&gt;"&amp;0)&gt;1,"충돌",HYPERLINK("#'관리자_MASTER'!D"&amp;_xlfn.MAXIFS(m_row,m_teacher,AJ$4,m_date,($G$2+18),m_active,1,m_start,"&lt;"&amp;600,m_end,"&gt;"&amp;0),INDEX(m_label,_xlfn.MAXIFS(m_row,m_teacher,AJ$4,m_date,($G$2+18),m_active,1,m_start,"&lt;"&amp;600,m_end,"&gt;"&amp;0))))))</f>
        <v/>
      </c>
      <c r="AK49" s="80" t="str">
        <f aca="false">IF(OR(AK$4="",MONTH(($G$2+18))&lt;&gt;MONTH($C$2)),"",IF(COUNTIFS(m_teacher,AK$4,m_date,($G$2+18),m_active,1,m_start,"&lt;"&amp;600,m_end,"&gt;"&amp;0)=0,"",IF(COUNTIFS(m_teacher,AK$4,m_date,($G$2+18),m_active,1,m_start,"&lt;"&amp;600,m_end,"&gt;"&amp;0)&gt;1,"충돌",HYPERLINK("#'관리자_MASTER'!D"&amp;_xlfn.MAXIFS(m_row,m_teacher,AK$4,m_date,($G$2+18),m_active,1,m_start,"&lt;"&amp;600,m_end,"&gt;"&amp;0),INDEX(m_label,_xlfn.MAXIFS(m_row,m_teacher,AK$4,m_date,($G$2+18),m_active,1,m_start,"&lt;"&amp;600,m_end,"&gt;"&amp;0))))))</f>
        <v/>
      </c>
      <c r="AL49" s="80" t="str">
        <f aca="false">IF(OR(AL$4="",MONTH(($G$2+18))&lt;&gt;MONTH($C$2)),"",IF(COUNTIFS(m_teacher,AL$4,m_date,($G$2+18),m_active,1,m_start,"&lt;"&amp;600,m_end,"&gt;"&amp;0)=0,"",IF(COUNTIFS(m_teacher,AL$4,m_date,($G$2+18),m_active,1,m_start,"&lt;"&amp;600,m_end,"&gt;"&amp;0)&gt;1,"충돌",HYPERLINK("#'관리자_MASTER'!D"&amp;_xlfn.MAXIFS(m_row,m_teacher,AL$4,m_date,($G$2+18),m_active,1,m_start,"&lt;"&amp;600,m_end,"&gt;"&amp;0),INDEX(m_label,_xlfn.MAXIFS(m_row,m_teacher,AL$4,m_date,($G$2+18),m_active,1,m_start,"&lt;"&amp;600,m_end,"&gt;"&amp;0))))))</f>
        <v/>
      </c>
      <c r="AM49" s="80" t="str">
        <f aca="false">IF(OR(AM$4="",MONTH(($G$2+18))&lt;&gt;MONTH($C$2)),"",IF(COUNTIFS(m_teacher,AM$4,m_date,($G$2+18),m_active,1,m_start,"&lt;"&amp;600,m_end,"&gt;"&amp;0)=0,"",IF(COUNTIFS(m_teacher,AM$4,m_date,($G$2+18),m_active,1,m_start,"&lt;"&amp;600,m_end,"&gt;"&amp;0)&gt;1,"충돌",HYPERLINK("#'관리자_MASTER'!D"&amp;_xlfn.MAXIFS(m_row,m_teacher,AM$4,m_date,($G$2+18),m_active,1,m_start,"&lt;"&amp;600,m_end,"&gt;"&amp;0),INDEX(m_label,_xlfn.MAXIFS(m_row,m_teacher,AM$4,m_date,($G$2+18),m_active,1,m_start,"&lt;"&amp;600,m_end,"&gt;"&amp;0))))))</f>
        <v/>
      </c>
      <c r="AN49" s="80" t="str">
        <f aca="false">IF(OR(AN$4="",MONTH(($G$2+18))&lt;&gt;MONTH($C$2)),"",IF(COUNTIFS(m_teacher,AN$4,m_date,($G$2+18),m_active,1,m_start,"&lt;"&amp;600,m_end,"&gt;"&amp;0)=0,"",IF(COUNTIFS(m_teacher,AN$4,m_date,($G$2+18),m_active,1,m_start,"&lt;"&amp;600,m_end,"&gt;"&amp;0)&gt;1,"충돌",HYPERLINK("#'관리자_MASTER'!D"&amp;_xlfn.MAXIFS(m_row,m_teacher,AN$4,m_date,($G$2+18),m_active,1,m_start,"&lt;"&amp;600,m_end,"&gt;"&amp;0),INDEX(m_label,_xlfn.MAXIFS(m_row,m_teacher,AN$4,m_date,($G$2+18),m_active,1,m_start,"&lt;"&amp;600,m_end,"&gt;"&amp;0))))))</f>
        <v/>
      </c>
      <c r="AO49" s="80" t="str">
        <f aca="false">IF(OR(AO$4="",MONTH(($G$2+18))&lt;&gt;MONTH($C$2)),"",IF(COUNTIFS(m_teacher,AO$4,m_date,($G$2+18),m_active,1,m_start,"&lt;"&amp;600,m_end,"&gt;"&amp;0)=0,"",IF(COUNTIFS(m_teacher,AO$4,m_date,($G$2+18),m_active,1,m_start,"&lt;"&amp;600,m_end,"&gt;"&amp;0)&gt;1,"충돌",HYPERLINK("#'관리자_MASTER'!D"&amp;_xlfn.MAXIFS(m_row,m_teacher,AO$4,m_date,($G$2+18),m_active,1,m_start,"&lt;"&amp;600,m_end,"&gt;"&amp;0),INDEX(m_label,_xlfn.MAXIFS(m_row,m_teacher,AO$4,m_date,($G$2+18),m_active,1,m_start,"&lt;"&amp;600,m_end,"&gt;"&amp;0))))))</f>
        <v/>
      </c>
      <c r="AP49" s="80" t="str">
        <f aca="false">IF(OR(AP$4="",MONTH(($G$2+18))&lt;&gt;MONTH($C$2)),"",IF(COUNTIFS(m_teacher,AP$4,m_date,($G$2+18),m_active,1,m_start,"&lt;"&amp;600,m_end,"&gt;"&amp;0)=0,"",IF(COUNTIFS(m_teacher,AP$4,m_date,($G$2+18),m_active,1,m_start,"&lt;"&amp;600,m_end,"&gt;"&amp;0)&gt;1,"충돌",HYPERLINK("#'관리자_MASTER'!D"&amp;_xlfn.MAXIFS(m_row,m_teacher,AP$4,m_date,($G$2+18),m_active,1,m_start,"&lt;"&amp;600,m_end,"&gt;"&amp;0),INDEX(m_label,_xlfn.MAXIFS(m_row,m_teacher,AP$4,m_date,($G$2+18),m_active,1,m_start,"&lt;"&amp;600,m_end,"&gt;"&amp;0))))))</f>
        <v/>
      </c>
      <c r="AQ49" s="78" t="str">
        <f aca="false">IF(MONTH(($G$2+25))&lt;&gt;MONTH($C$2),"",CHOOSE(WEEKDAY(($G$2+25),2),"월","화","수","목","금","토","일")&amp;CHAR(10)&amp;TEXT(($G$2+25),"m/d"))</f>
        <v>금
12/25</v>
      </c>
      <c r="AR49" s="79" t="s">
        <v>91</v>
      </c>
      <c r="AS49" s="80" t="str">
        <f aca="false">IF(OR(AS$4="",MONTH(($G$2+25))&lt;&gt;MONTH($C$2)),"",IF(COUNTIFS(m_teacher,AS$4,m_date,($G$2+25),m_active,1,m_start,"&lt;"&amp;600,m_end,"&gt;"&amp;0)=0,"",IF(COUNTIFS(m_teacher,AS$4,m_date,($G$2+25),m_active,1,m_start,"&lt;"&amp;600,m_end,"&gt;"&amp;0)&gt;1,"충돌",HYPERLINK("#'관리자_MASTER'!D"&amp;_xlfn.MAXIFS(m_row,m_teacher,AS$4,m_date,($G$2+25),m_active,1,m_start,"&lt;"&amp;600,m_end,"&gt;"&amp;0),INDEX(m_label,_xlfn.MAXIFS(m_row,m_teacher,AS$4,m_date,($G$2+25),m_active,1,m_start,"&lt;"&amp;600,m_end,"&gt;"&amp;0))))))</f>
        <v/>
      </c>
      <c r="AT49" s="80" t="str">
        <f aca="false">IF(OR(AT$4="",MONTH(($G$2+25))&lt;&gt;MONTH($C$2)),"",IF(COUNTIFS(m_teacher,AT$4,m_date,($G$2+25),m_active,1,m_start,"&lt;"&amp;600,m_end,"&gt;"&amp;0)=0,"",IF(COUNTIFS(m_teacher,AT$4,m_date,($G$2+25),m_active,1,m_start,"&lt;"&amp;600,m_end,"&gt;"&amp;0)&gt;1,"충돌",HYPERLINK("#'관리자_MASTER'!D"&amp;_xlfn.MAXIFS(m_row,m_teacher,AT$4,m_date,($G$2+25),m_active,1,m_start,"&lt;"&amp;600,m_end,"&gt;"&amp;0),INDEX(m_label,_xlfn.MAXIFS(m_row,m_teacher,AT$4,m_date,($G$2+25),m_active,1,m_start,"&lt;"&amp;600,m_end,"&gt;"&amp;0))))))</f>
        <v/>
      </c>
      <c r="AU49" s="80" t="str">
        <f aca="false">IF(OR(AU$4="",MONTH(($G$2+25))&lt;&gt;MONTH($C$2)),"",IF(COUNTIFS(m_teacher,AU$4,m_date,($G$2+25),m_active,1,m_start,"&lt;"&amp;600,m_end,"&gt;"&amp;0)=0,"",IF(COUNTIFS(m_teacher,AU$4,m_date,($G$2+25),m_active,1,m_start,"&lt;"&amp;600,m_end,"&gt;"&amp;0)&gt;1,"충돌",HYPERLINK("#'관리자_MASTER'!D"&amp;_xlfn.MAXIFS(m_row,m_teacher,AU$4,m_date,($G$2+25),m_active,1,m_start,"&lt;"&amp;600,m_end,"&gt;"&amp;0),INDEX(m_label,_xlfn.MAXIFS(m_row,m_teacher,AU$4,m_date,($G$2+25),m_active,1,m_start,"&lt;"&amp;600,m_end,"&gt;"&amp;0))))))</f>
        <v/>
      </c>
      <c r="AV49" s="80" t="str">
        <f aca="false">IF(OR(AV$4="",MONTH(($G$2+25))&lt;&gt;MONTH($C$2)),"",IF(COUNTIFS(m_teacher,AV$4,m_date,($G$2+25),m_active,1,m_start,"&lt;"&amp;600,m_end,"&gt;"&amp;0)=0,"",IF(COUNTIFS(m_teacher,AV$4,m_date,($G$2+25),m_active,1,m_start,"&lt;"&amp;600,m_end,"&gt;"&amp;0)&gt;1,"충돌",HYPERLINK("#'관리자_MASTER'!D"&amp;_xlfn.MAXIFS(m_row,m_teacher,AV$4,m_date,($G$2+25),m_active,1,m_start,"&lt;"&amp;600,m_end,"&gt;"&amp;0),INDEX(m_label,_xlfn.MAXIFS(m_row,m_teacher,AV$4,m_date,($G$2+25),m_active,1,m_start,"&lt;"&amp;600,m_end,"&gt;"&amp;0))))))</f>
        <v/>
      </c>
      <c r="AW49" s="80" t="str">
        <f aca="false">IF(OR(AW$4="",MONTH(($G$2+25))&lt;&gt;MONTH($C$2)),"",IF(COUNTIFS(m_teacher,AW$4,m_date,($G$2+25),m_active,1,m_start,"&lt;"&amp;600,m_end,"&gt;"&amp;0)=0,"",IF(COUNTIFS(m_teacher,AW$4,m_date,($G$2+25),m_active,1,m_start,"&lt;"&amp;600,m_end,"&gt;"&amp;0)&gt;1,"충돌",HYPERLINK("#'관리자_MASTER'!D"&amp;_xlfn.MAXIFS(m_row,m_teacher,AW$4,m_date,($G$2+25),m_active,1,m_start,"&lt;"&amp;600,m_end,"&gt;"&amp;0),INDEX(m_label,_xlfn.MAXIFS(m_row,m_teacher,AW$4,m_date,($G$2+25),m_active,1,m_start,"&lt;"&amp;600,m_end,"&gt;"&amp;0))))))</f>
        <v/>
      </c>
      <c r="AX49" s="80" t="str">
        <f aca="false">IF(OR(AX$4="",MONTH(($G$2+25))&lt;&gt;MONTH($C$2)),"",IF(COUNTIFS(m_teacher,AX$4,m_date,($G$2+25),m_active,1,m_start,"&lt;"&amp;600,m_end,"&gt;"&amp;0)=0,"",IF(COUNTIFS(m_teacher,AX$4,m_date,($G$2+25),m_active,1,m_start,"&lt;"&amp;600,m_end,"&gt;"&amp;0)&gt;1,"충돌",HYPERLINK("#'관리자_MASTER'!D"&amp;_xlfn.MAXIFS(m_row,m_teacher,AX$4,m_date,($G$2+25),m_active,1,m_start,"&lt;"&amp;600,m_end,"&gt;"&amp;0),INDEX(m_label,_xlfn.MAXIFS(m_row,m_teacher,AX$4,m_date,($G$2+25),m_active,1,m_start,"&lt;"&amp;600,m_end,"&gt;"&amp;0))))))</f>
        <v/>
      </c>
      <c r="AY49" s="80" t="str">
        <f aca="false">IF(OR(AY$4="",MONTH(($G$2+25))&lt;&gt;MONTH($C$2)),"",IF(COUNTIFS(m_teacher,AY$4,m_date,($G$2+25),m_active,1,m_start,"&lt;"&amp;600,m_end,"&gt;"&amp;0)=0,"",IF(COUNTIFS(m_teacher,AY$4,m_date,($G$2+25),m_active,1,m_start,"&lt;"&amp;600,m_end,"&gt;"&amp;0)&gt;1,"충돌",HYPERLINK("#'관리자_MASTER'!D"&amp;_xlfn.MAXIFS(m_row,m_teacher,AY$4,m_date,($G$2+25),m_active,1,m_start,"&lt;"&amp;600,m_end,"&gt;"&amp;0),INDEX(m_label,_xlfn.MAXIFS(m_row,m_teacher,AY$4,m_date,($G$2+25),m_active,1,m_start,"&lt;"&amp;600,m_end,"&gt;"&amp;0))))))</f>
        <v/>
      </c>
      <c r="AZ49" s="80" t="str">
        <f aca="false">IF(OR(AZ$4="",MONTH(($G$2+25))&lt;&gt;MONTH($C$2)),"",IF(COUNTIFS(m_teacher,AZ$4,m_date,($G$2+25),m_active,1,m_start,"&lt;"&amp;600,m_end,"&gt;"&amp;0)=0,"",IF(COUNTIFS(m_teacher,AZ$4,m_date,($G$2+25),m_active,1,m_start,"&lt;"&amp;600,m_end,"&gt;"&amp;0)&gt;1,"충돌",HYPERLINK("#'관리자_MASTER'!D"&amp;_xlfn.MAXIFS(m_row,m_teacher,AZ$4,m_date,($G$2+25),m_active,1,m_start,"&lt;"&amp;600,m_end,"&gt;"&amp;0),INDEX(m_label,_xlfn.MAXIFS(m_row,m_teacher,AZ$4,m_date,($G$2+25),m_active,1,m_start,"&lt;"&amp;600,m_end,"&gt;"&amp;0))))))</f>
        <v/>
      </c>
      <c r="BA49" s="80" t="str">
        <f aca="false">IF(OR(BA$4="",MONTH(($G$2+25))&lt;&gt;MONTH($C$2)),"",IF(COUNTIFS(m_teacher,BA$4,m_date,($G$2+25),m_active,1,m_start,"&lt;"&amp;600,m_end,"&gt;"&amp;0)=0,"",IF(COUNTIFS(m_teacher,BA$4,m_date,($G$2+25),m_active,1,m_start,"&lt;"&amp;600,m_end,"&gt;"&amp;0)&gt;1,"충돌",HYPERLINK("#'관리자_MASTER'!D"&amp;_xlfn.MAXIFS(m_row,m_teacher,BA$4,m_date,($G$2+25),m_active,1,m_start,"&lt;"&amp;600,m_end,"&gt;"&amp;0),INDEX(m_label,_xlfn.MAXIFS(m_row,m_teacher,BA$4,m_date,($G$2+25),m_active,1,m_start,"&lt;"&amp;600,m_end,"&gt;"&amp;0))))))</f>
        <v/>
      </c>
      <c r="BB49" s="80" t="str">
        <f aca="false">IF(OR(BB$4="",MONTH(($G$2+25))&lt;&gt;MONTH($C$2)),"",IF(COUNTIFS(m_teacher,BB$4,m_date,($G$2+25),m_active,1,m_start,"&lt;"&amp;600,m_end,"&gt;"&amp;0)=0,"",IF(COUNTIFS(m_teacher,BB$4,m_date,($G$2+25),m_active,1,m_start,"&lt;"&amp;600,m_end,"&gt;"&amp;0)&gt;1,"충돌",HYPERLINK("#'관리자_MASTER'!D"&amp;_xlfn.MAXIFS(m_row,m_teacher,BB$4,m_date,($G$2+25),m_active,1,m_start,"&lt;"&amp;600,m_end,"&gt;"&amp;0),INDEX(m_label,_xlfn.MAXIFS(m_row,m_teacher,BB$4,m_date,($G$2+25),m_active,1,m_start,"&lt;"&amp;600,m_end,"&gt;"&amp;0))))))</f>
        <v/>
      </c>
      <c r="BC49" s="80" t="str">
        <f aca="false">IF(OR(BC$4="",MONTH(($G$2+25))&lt;&gt;MONTH($C$2)),"",IF(COUNTIFS(m_teacher,BC$4,m_date,($G$2+25),m_active,1,m_start,"&lt;"&amp;600,m_end,"&gt;"&amp;0)=0,"",IF(COUNTIFS(m_teacher,BC$4,m_date,($G$2+25),m_active,1,m_start,"&lt;"&amp;600,m_end,"&gt;"&amp;0)&gt;1,"충돌",HYPERLINK("#'관리자_MASTER'!D"&amp;_xlfn.MAXIFS(m_row,m_teacher,BC$4,m_date,($G$2+25),m_active,1,m_start,"&lt;"&amp;600,m_end,"&gt;"&amp;0),INDEX(m_label,_xlfn.MAXIFS(m_row,m_teacher,BC$4,m_date,($G$2+25),m_active,1,m_start,"&lt;"&amp;600,m_end,"&gt;"&amp;0))))))</f>
        <v/>
      </c>
      <c r="BD49" s="80" t="str">
        <f aca="false">IF(OR(BD$4="",MONTH(($G$2+25))&lt;&gt;MONTH($C$2)),"",IF(COUNTIFS(m_teacher,BD$4,m_date,($G$2+25),m_active,1,m_start,"&lt;"&amp;600,m_end,"&gt;"&amp;0)=0,"",IF(COUNTIFS(m_teacher,BD$4,m_date,($G$2+25),m_active,1,m_start,"&lt;"&amp;600,m_end,"&gt;"&amp;0)&gt;1,"충돌",HYPERLINK("#'관리자_MASTER'!D"&amp;_xlfn.MAXIFS(m_row,m_teacher,BD$4,m_date,($G$2+25),m_active,1,m_start,"&lt;"&amp;600,m_end,"&gt;"&amp;0),INDEX(m_label,_xlfn.MAXIFS(m_row,m_teacher,BD$4,m_date,($G$2+25),m_active,1,m_start,"&lt;"&amp;600,m_end,"&gt;"&amp;0))))))</f>
        <v/>
      </c>
      <c r="BE49" s="75" t="str">
        <f aca="false">IF(MONTH(($G$2+32))&lt;&gt;MONTH($C$2),"",CHOOSE(WEEKDAY(($G$2+32),2),"월","화","수","목","금","토","일")&amp;CHAR(10)&amp;TEXT(($G$2+32),"m/d"))</f>
        <v/>
      </c>
      <c r="BF49" s="76" t="s">
        <v>91</v>
      </c>
      <c r="BG49" s="77" t="str">
        <f aca="false">IF(OR(BG$4="",MONTH(($G$2+32))&lt;&gt;MONTH($C$2)),"",IF(COUNTIFS(m_teacher,BG$4,m_date,($G$2+32),m_active,1,m_start,"&lt;"&amp;600,m_end,"&gt;"&amp;0)=0,"",IF(COUNTIFS(m_teacher,BG$4,m_date,($G$2+32),m_active,1,m_start,"&lt;"&amp;600,m_end,"&gt;"&amp;0)&gt;1,"충돌",HYPERLINK("#'관리자_MASTER'!D"&amp;_xlfn.MAXIFS(m_row,m_teacher,BG$4,m_date,($G$2+32),m_active,1,m_start,"&lt;"&amp;600,m_end,"&gt;"&amp;0),INDEX(m_label,_xlfn.MAXIFS(m_row,m_teacher,BG$4,m_date,($G$2+32),m_active,1,m_start,"&lt;"&amp;600,m_end,"&gt;"&amp;0))))))</f>
        <v/>
      </c>
      <c r="BH49" s="77" t="str">
        <f aca="false">IF(OR(BH$4="",MONTH(($G$2+32))&lt;&gt;MONTH($C$2)),"",IF(COUNTIFS(m_teacher,BH$4,m_date,($G$2+32),m_active,1,m_start,"&lt;"&amp;600,m_end,"&gt;"&amp;0)=0,"",IF(COUNTIFS(m_teacher,BH$4,m_date,($G$2+32),m_active,1,m_start,"&lt;"&amp;600,m_end,"&gt;"&amp;0)&gt;1,"충돌",HYPERLINK("#'관리자_MASTER'!D"&amp;_xlfn.MAXIFS(m_row,m_teacher,BH$4,m_date,($G$2+32),m_active,1,m_start,"&lt;"&amp;600,m_end,"&gt;"&amp;0),INDEX(m_label,_xlfn.MAXIFS(m_row,m_teacher,BH$4,m_date,($G$2+32),m_active,1,m_start,"&lt;"&amp;600,m_end,"&gt;"&amp;0))))))</f>
        <v/>
      </c>
      <c r="BI49" s="77" t="str">
        <f aca="false">IF(OR(BI$4="",MONTH(($G$2+32))&lt;&gt;MONTH($C$2)),"",IF(COUNTIFS(m_teacher,BI$4,m_date,($G$2+32),m_active,1,m_start,"&lt;"&amp;600,m_end,"&gt;"&amp;0)=0,"",IF(COUNTIFS(m_teacher,BI$4,m_date,($G$2+32),m_active,1,m_start,"&lt;"&amp;600,m_end,"&gt;"&amp;0)&gt;1,"충돌",HYPERLINK("#'관리자_MASTER'!D"&amp;_xlfn.MAXIFS(m_row,m_teacher,BI$4,m_date,($G$2+32),m_active,1,m_start,"&lt;"&amp;600,m_end,"&gt;"&amp;0),INDEX(m_label,_xlfn.MAXIFS(m_row,m_teacher,BI$4,m_date,($G$2+32),m_active,1,m_start,"&lt;"&amp;600,m_end,"&gt;"&amp;0))))))</f>
        <v/>
      </c>
      <c r="BJ49" s="77" t="str">
        <f aca="false">IF(OR(BJ$4="",MONTH(($G$2+32))&lt;&gt;MONTH($C$2)),"",IF(COUNTIFS(m_teacher,BJ$4,m_date,($G$2+32),m_active,1,m_start,"&lt;"&amp;600,m_end,"&gt;"&amp;0)=0,"",IF(COUNTIFS(m_teacher,BJ$4,m_date,($G$2+32),m_active,1,m_start,"&lt;"&amp;600,m_end,"&gt;"&amp;0)&gt;1,"충돌",HYPERLINK("#'관리자_MASTER'!D"&amp;_xlfn.MAXIFS(m_row,m_teacher,BJ$4,m_date,($G$2+32),m_active,1,m_start,"&lt;"&amp;600,m_end,"&gt;"&amp;0),INDEX(m_label,_xlfn.MAXIFS(m_row,m_teacher,BJ$4,m_date,($G$2+32),m_active,1,m_start,"&lt;"&amp;600,m_end,"&gt;"&amp;0))))))</f>
        <v/>
      </c>
      <c r="BK49" s="77" t="str">
        <f aca="false">IF(OR(BK$4="",MONTH(($G$2+32))&lt;&gt;MONTH($C$2)),"",IF(COUNTIFS(m_teacher,BK$4,m_date,($G$2+32),m_active,1,m_start,"&lt;"&amp;600,m_end,"&gt;"&amp;0)=0,"",IF(COUNTIFS(m_teacher,BK$4,m_date,($G$2+32),m_active,1,m_start,"&lt;"&amp;600,m_end,"&gt;"&amp;0)&gt;1,"충돌",HYPERLINK("#'관리자_MASTER'!D"&amp;_xlfn.MAXIFS(m_row,m_teacher,BK$4,m_date,($G$2+32),m_active,1,m_start,"&lt;"&amp;600,m_end,"&gt;"&amp;0),INDEX(m_label,_xlfn.MAXIFS(m_row,m_teacher,BK$4,m_date,($G$2+32),m_active,1,m_start,"&lt;"&amp;600,m_end,"&gt;"&amp;0))))))</f>
        <v/>
      </c>
      <c r="BL49" s="77" t="str">
        <f aca="false">IF(OR(BL$4="",MONTH(($G$2+32))&lt;&gt;MONTH($C$2)),"",IF(COUNTIFS(m_teacher,BL$4,m_date,($G$2+32),m_active,1,m_start,"&lt;"&amp;600,m_end,"&gt;"&amp;0)=0,"",IF(COUNTIFS(m_teacher,BL$4,m_date,($G$2+32),m_active,1,m_start,"&lt;"&amp;600,m_end,"&gt;"&amp;0)&gt;1,"충돌",HYPERLINK("#'관리자_MASTER'!D"&amp;_xlfn.MAXIFS(m_row,m_teacher,BL$4,m_date,($G$2+32),m_active,1,m_start,"&lt;"&amp;600,m_end,"&gt;"&amp;0),INDEX(m_label,_xlfn.MAXIFS(m_row,m_teacher,BL$4,m_date,($G$2+32),m_active,1,m_start,"&lt;"&amp;600,m_end,"&gt;"&amp;0))))))</f>
        <v/>
      </c>
      <c r="BM49" s="77" t="str">
        <f aca="false">IF(OR(BM$4="",MONTH(($G$2+32))&lt;&gt;MONTH($C$2)),"",IF(COUNTIFS(m_teacher,BM$4,m_date,($G$2+32),m_active,1,m_start,"&lt;"&amp;600,m_end,"&gt;"&amp;0)=0,"",IF(COUNTIFS(m_teacher,BM$4,m_date,($G$2+32),m_active,1,m_start,"&lt;"&amp;600,m_end,"&gt;"&amp;0)&gt;1,"충돌",HYPERLINK("#'관리자_MASTER'!D"&amp;_xlfn.MAXIFS(m_row,m_teacher,BM$4,m_date,($G$2+32),m_active,1,m_start,"&lt;"&amp;600,m_end,"&gt;"&amp;0),INDEX(m_label,_xlfn.MAXIFS(m_row,m_teacher,BM$4,m_date,($G$2+32),m_active,1,m_start,"&lt;"&amp;600,m_end,"&gt;"&amp;0))))))</f>
        <v/>
      </c>
      <c r="BN49" s="77" t="str">
        <f aca="false">IF(OR(BN$4="",MONTH(($G$2+32))&lt;&gt;MONTH($C$2)),"",IF(COUNTIFS(m_teacher,BN$4,m_date,($G$2+32),m_active,1,m_start,"&lt;"&amp;600,m_end,"&gt;"&amp;0)=0,"",IF(COUNTIFS(m_teacher,BN$4,m_date,($G$2+32),m_active,1,m_start,"&lt;"&amp;600,m_end,"&gt;"&amp;0)&gt;1,"충돌",HYPERLINK("#'관리자_MASTER'!D"&amp;_xlfn.MAXIFS(m_row,m_teacher,BN$4,m_date,($G$2+32),m_active,1,m_start,"&lt;"&amp;600,m_end,"&gt;"&amp;0),INDEX(m_label,_xlfn.MAXIFS(m_row,m_teacher,BN$4,m_date,($G$2+32),m_active,1,m_start,"&lt;"&amp;600,m_end,"&gt;"&amp;0))))))</f>
        <v/>
      </c>
      <c r="BO49" s="77" t="str">
        <f aca="false">IF(OR(BO$4="",MONTH(($G$2+32))&lt;&gt;MONTH($C$2)),"",IF(COUNTIFS(m_teacher,BO$4,m_date,($G$2+32),m_active,1,m_start,"&lt;"&amp;600,m_end,"&gt;"&amp;0)=0,"",IF(COUNTIFS(m_teacher,BO$4,m_date,($G$2+32),m_active,1,m_start,"&lt;"&amp;600,m_end,"&gt;"&amp;0)&gt;1,"충돌",HYPERLINK("#'관리자_MASTER'!D"&amp;_xlfn.MAXIFS(m_row,m_teacher,BO$4,m_date,($G$2+32),m_active,1,m_start,"&lt;"&amp;600,m_end,"&gt;"&amp;0),INDEX(m_label,_xlfn.MAXIFS(m_row,m_teacher,BO$4,m_date,($G$2+32),m_active,1,m_start,"&lt;"&amp;600,m_end,"&gt;"&amp;0))))))</f>
        <v/>
      </c>
      <c r="BP49" s="77" t="str">
        <f aca="false">IF(OR(BP$4="",MONTH(($G$2+32))&lt;&gt;MONTH($C$2)),"",IF(COUNTIFS(m_teacher,BP$4,m_date,($G$2+32),m_active,1,m_start,"&lt;"&amp;600,m_end,"&gt;"&amp;0)=0,"",IF(COUNTIFS(m_teacher,BP$4,m_date,($G$2+32),m_active,1,m_start,"&lt;"&amp;600,m_end,"&gt;"&amp;0)&gt;1,"충돌",HYPERLINK("#'관리자_MASTER'!D"&amp;_xlfn.MAXIFS(m_row,m_teacher,BP$4,m_date,($G$2+32),m_active,1,m_start,"&lt;"&amp;600,m_end,"&gt;"&amp;0),INDEX(m_label,_xlfn.MAXIFS(m_row,m_teacher,BP$4,m_date,($G$2+32),m_active,1,m_start,"&lt;"&amp;600,m_end,"&gt;"&amp;0))))))</f>
        <v/>
      </c>
      <c r="BQ49" s="77" t="str">
        <f aca="false">IF(OR(BQ$4="",MONTH(($G$2+32))&lt;&gt;MONTH($C$2)),"",IF(COUNTIFS(m_teacher,BQ$4,m_date,($G$2+32),m_active,1,m_start,"&lt;"&amp;600,m_end,"&gt;"&amp;0)=0,"",IF(COUNTIFS(m_teacher,BQ$4,m_date,($G$2+32),m_active,1,m_start,"&lt;"&amp;600,m_end,"&gt;"&amp;0)&gt;1,"충돌",HYPERLINK("#'관리자_MASTER'!D"&amp;_xlfn.MAXIFS(m_row,m_teacher,BQ$4,m_date,($G$2+32),m_active,1,m_start,"&lt;"&amp;600,m_end,"&gt;"&amp;0),INDEX(m_label,_xlfn.MAXIFS(m_row,m_teacher,BQ$4,m_date,($G$2+32),m_active,1,m_start,"&lt;"&amp;600,m_end,"&gt;"&amp;0))))))</f>
        <v/>
      </c>
      <c r="BR49" s="77" t="str">
        <f aca="false">IF(OR(BR$4="",MONTH(($G$2+32))&lt;&gt;MONTH($C$2)),"",IF(COUNTIFS(m_teacher,BR$4,m_date,($G$2+32),m_active,1,m_start,"&lt;"&amp;600,m_end,"&gt;"&amp;0)=0,"",IF(COUNTIFS(m_teacher,BR$4,m_date,($G$2+32),m_active,1,m_start,"&lt;"&amp;600,m_end,"&gt;"&amp;0)&gt;1,"충돌",HYPERLINK("#'관리자_MASTER'!D"&amp;_xlfn.MAXIFS(m_row,m_teacher,BR$4,m_date,($G$2+32),m_active,1,m_start,"&lt;"&amp;600,m_end,"&gt;"&amp;0),INDEX(m_label,_xlfn.MAXIFS(m_row,m_teacher,BR$4,m_date,($G$2+32),m_active,1,m_start,"&lt;"&amp;600,m_end,"&gt;"&amp;0))))))</f>
        <v/>
      </c>
    </row>
    <row r="50" customFormat="false" ht="19.5" hidden="false" customHeight="true" outlineLevel="0" collapsed="false">
      <c r="A50" s="78"/>
      <c r="B50" s="79" t="s">
        <v>92</v>
      </c>
      <c r="C50" s="82" t="str">
        <f aca="false">IF(OR(C$4="",MONTH(($G$2+4))&lt;&gt;MONTH($C$2)),"",IF(COUNTIFS(m_teacher,C$4,m_date,($G$2+4),m_active,1,m_start,"&lt;"&amp;660,m_end,"&gt;"&amp;600)=0,"",IF(COUNTIFS(m_teacher,C$4,m_date,($G$2+4),m_active,1,m_start,"&lt;"&amp;660,m_end,"&gt;"&amp;600)&gt;1,"충돌",HYPERLINK("#'관리자_MASTER'!D"&amp;_xlfn.MAXIFS(m_row,m_teacher,C$4,m_date,($G$2+4),m_active,1,m_start,"&lt;"&amp;660,m_end,"&gt;"&amp;600),INDEX(m_label,_xlfn.MAXIFS(m_row,m_teacher,C$4,m_date,($G$2+4),m_active,1,m_start,"&lt;"&amp;660,m_end,"&gt;"&amp;600))))))</f>
        <v/>
      </c>
      <c r="D50" s="82" t="str">
        <f aca="false">IF(OR(D$4="",MONTH(($G$2+4))&lt;&gt;MONTH($C$2)),"",IF(COUNTIFS(m_teacher,D$4,m_date,($G$2+4),m_active,1,m_start,"&lt;"&amp;660,m_end,"&gt;"&amp;600)=0,"",IF(COUNTIFS(m_teacher,D$4,m_date,($G$2+4),m_active,1,m_start,"&lt;"&amp;660,m_end,"&gt;"&amp;600)&gt;1,"충돌",HYPERLINK("#'관리자_MASTER'!D"&amp;_xlfn.MAXIFS(m_row,m_teacher,D$4,m_date,($G$2+4),m_active,1,m_start,"&lt;"&amp;660,m_end,"&gt;"&amp;600),INDEX(m_label,_xlfn.MAXIFS(m_row,m_teacher,D$4,m_date,($G$2+4),m_active,1,m_start,"&lt;"&amp;660,m_end,"&gt;"&amp;600))))))</f>
        <v/>
      </c>
      <c r="E50" s="82" t="str">
        <f aca="false">IF(OR(E$4="",MONTH(($G$2+4))&lt;&gt;MONTH($C$2)),"",IF(COUNTIFS(m_teacher,E$4,m_date,($G$2+4),m_active,1,m_start,"&lt;"&amp;660,m_end,"&gt;"&amp;600)=0,"",IF(COUNTIFS(m_teacher,E$4,m_date,($G$2+4),m_active,1,m_start,"&lt;"&amp;660,m_end,"&gt;"&amp;600)&gt;1,"충돌",HYPERLINK("#'관리자_MASTER'!D"&amp;_xlfn.MAXIFS(m_row,m_teacher,E$4,m_date,($G$2+4),m_active,1,m_start,"&lt;"&amp;660,m_end,"&gt;"&amp;600),INDEX(m_label,_xlfn.MAXIFS(m_row,m_teacher,E$4,m_date,($G$2+4),m_active,1,m_start,"&lt;"&amp;660,m_end,"&gt;"&amp;600))))))</f>
        <v/>
      </c>
      <c r="F50" s="82" t="str">
        <f aca="false">IF(OR(F$4="",MONTH(($G$2+4))&lt;&gt;MONTH($C$2)),"",IF(COUNTIFS(m_teacher,F$4,m_date,($G$2+4),m_active,1,m_start,"&lt;"&amp;660,m_end,"&gt;"&amp;600)=0,"",IF(COUNTIFS(m_teacher,F$4,m_date,($G$2+4),m_active,1,m_start,"&lt;"&amp;660,m_end,"&gt;"&amp;600)&gt;1,"충돌",HYPERLINK("#'관리자_MASTER'!D"&amp;_xlfn.MAXIFS(m_row,m_teacher,F$4,m_date,($G$2+4),m_active,1,m_start,"&lt;"&amp;660,m_end,"&gt;"&amp;600),INDEX(m_label,_xlfn.MAXIFS(m_row,m_teacher,F$4,m_date,($G$2+4),m_active,1,m_start,"&lt;"&amp;660,m_end,"&gt;"&amp;600))))))</f>
        <v/>
      </c>
      <c r="G50" s="82" t="str">
        <f aca="false">IF(OR(G$4="",MONTH(($G$2+4))&lt;&gt;MONTH($C$2)),"",IF(COUNTIFS(m_teacher,G$4,m_date,($G$2+4),m_active,1,m_start,"&lt;"&amp;660,m_end,"&gt;"&amp;600)=0,"",IF(COUNTIFS(m_teacher,G$4,m_date,($G$2+4),m_active,1,m_start,"&lt;"&amp;660,m_end,"&gt;"&amp;600)&gt;1,"충돌",HYPERLINK("#'관리자_MASTER'!D"&amp;_xlfn.MAXIFS(m_row,m_teacher,G$4,m_date,($G$2+4),m_active,1,m_start,"&lt;"&amp;660,m_end,"&gt;"&amp;600),INDEX(m_label,_xlfn.MAXIFS(m_row,m_teacher,G$4,m_date,($G$2+4),m_active,1,m_start,"&lt;"&amp;660,m_end,"&gt;"&amp;600))))))</f>
        <v/>
      </c>
      <c r="H50" s="82" t="str">
        <f aca="false">IF(OR(H$4="",MONTH(($G$2+4))&lt;&gt;MONTH($C$2)),"",IF(COUNTIFS(m_teacher,H$4,m_date,($G$2+4),m_active,1,m_start,"&lt;"&amp;660,m_end,"&gt;"&amp;600)=0,"",IF(COUNTIFS(m_teacher,H$4,m_date,($G$2+4),m_active,1,m_start,"&lt;"&amp;660,m_end,"&gt;"&amp;600)&gt;1,"충돌",HYPERLINK("#'관리자_MASTER'!D"&amp;_xlfn.MAXIFS(m_row,m_teacher,H$4,m_date,($G$2+4),m_active,1,m_start,"&lt;"&amp;660,m_end,"&gt;"&amp;600),INDEX(m_label,_xlfn.MAXIFS(m_row,m_teacher,H$4,m_date,($G$2+4),m_active,1,m_start,"&lt;"&amp;660,m_end,"&gt;"&amp;600))))))</f>
        <v/>
      </c>
      <c r="I50" s="82" t="str">
        <f aca="false">IF(OR(I$4="",MONTH(($G$2+4))&lt;&gt;MONTH($C$2)),"",IF(COUNTIFS(m_teacher,I$4,m_date,($G$2+4),m_active,1,m_start,"&lt;"&amp;660,m_end,"&gt;"&amp;600)=0,"",IF(COUNTIFS(m_teacher,I$4,m_date,($G$2+4),m_active,1,m_start,"&lt;"&amp;660,m_end,"&gt;"&amp;600)&gt;1,"충돌",HYPERLINK("#'관리자_MASTER'!D"&amp;_xlfn.MAXIFS(m_row,m_teacher,I$4,m_date,($G$2+4),m_active,1,m_start,"&lt;"&amp;660,m_end,"&gt;"&amp;600),INDEX(m_label,_xlfn.MAXIFS(m_row,m_teacher,I$4,m_date,($G$2+4),m_active,1,m_start,"&lt;"&amp;660,m_end,"&gt;"&amp;600))))))</f>
        <v/>
      </c>
      <c r="J50" s="82" t="str">
        <f aca="false">IF(OR(J$4="",MONTH(($G$2+4))&lt;&gt;MONTH($C$2)),"",IF(COUNTIFS(m_teacher,J$4,m_date,($G$2+4),m_active,1,m_start,"&lt;"&amp;660,m_end,"&gt;"&amp;600)=0,"",IF(COUNTIFS(m_teacher,J$4,m_date,($G$2+4),m_active,1,m_start,"&lt;"&amp;660,m_end,"&gt;"&amp;600)&gt;1,"충돌",HYPERLINK("#'관리자_MASTER'!D"&amp;_xlfn.MAXIFS(m_row,m_teacher,J$4,m_date,($G$2+4),m_active,1,m_start,"&lt;"&amp;660,m_end,"&gt;"&amp;600),INDEX(m_label,_xlfn.MAXIFS(m_row,m_teacher,J$4,m_date,($G$2+4),m_active,1,m_start,"&lt;"&amp;660,m_end,"&gt;"&amp;600))))))</f>
        <v/>
      </c>
      <c r="K50" s="82" t="str">
        <f aca="false">IF(OR(K$4="",MONTH(($G$2+4))&lt;&gt;MONTH($C$2)),"",IF(COUNTIFS(m_teacher,K$4,m_date,($G$2+4),m_active,1,m_start,"&lt;"&amp;660,m_end,"&gt;"&amp;600)=0,"",IF(COUNTIFS(m_teacher,K$4,m_date,($G$2+4),m_active,1,m_start,"&lt;"&amp;660,m_end,"&gt;"&amp;600)&gt;1,"충돌",HYPERLINK("#'관리자_MASTER'!D"&amp;_xlfn.MAXIFS(m_row,m_teacher,K$4,m_date,($G$2+4),m_active,1,m_start,"&lt;"&amp;660,m_end,"&gt;"&amp;600),INDEX(m_label,_xlfn.MAXIFS(m_row,m_teacher,K$4,m_date,($G$2+4),m_active,1,m_start,"&lt;"&amp;660,m_end,"&gt;"&amp;600))))))</f>
        <v/>
      </c>
      <c r="L50" s="82" t="str">
        <f aca="false">IF(OR(L$4="",MONTH(($G$2+4))&lt;&gt;MONTH($C$2)),"",IF(COUNTIFS(m_teacher,L$4,m_date,($G$2+4),m_active,1,m_start,"&lt;"&amp;660,m_end,"&gt;"&amp;600)=0,"",IF(COUNTIFS(m_teacher,L$4,m_date,($G$2+4),m_active,1,m_start,"&lt;"&amp;660,m_end,"&gt;"&amp;600)&gt;1,"충돌",HYPERLINK("#'관리자_MASTER'!D"&amp;_xlfn.MAXIFS(m_row,m_teacher,L$4,m_date,($G$2+4),m_active,1,m_start,"&lt;"&amp;660,m_end,"&gt;"&amp;600),INDEX(m_label,_xlfn.MAXIFS(m_row,m_teacher,L$4,m_date,($G$2+4),m_active,1,m_start,"&lt;"&amp;660,m_end,"&gt;"&amp;600))))))</f>
        <v/>
      </c>
      <c r="M50" s="82" t="str">
        <f aca="false">IF(OR(M$4="",MONTH(($G$2+4))&lt;&gt;MONTH($C$2)),"",IF(COUNTIFS(m_teacher,M$4,m_date,($G$2+4),m_active,1,m_start,"&lt;"&amp;660,m_end,"&gt;"&amp;600)=0,"",IF(COUNTIFS(m_teacher,M$4,m_date,($G$2+4),m_active,1,m_start,"&lt;"&amp;660,m_end,"&gt;"&amp;600)&gt;1,"충돌",HYPERLINK("#'관리자_MASTER'!D"&amp;_xlfn.MAXIFS(m_row,m_teacher,M$4,m_date,($G$2+4),m_active,1,m_start,"&lt;"&amp;660,m_end,"&gt;"&amp;600),INDEX(m_label,_xlfn.MAXIFS(m_row,m_teacher,M$4,m_date,($G$2+4),m_active,1,m_start,"&lt;"&amp;660,m_end,"&gt;"&amp;600))))))</f>
        <v/>
      </c>
      <c r="N50" s="82" t="str">
        <f aca="false">IF(OR(N$4="",MONTH(($G$2+4))&lt;&gt;MONTH($C$2)),"",IF(COUNTIFS(m_teacher,N$4,m_date,($G$2+4),m_active,1,m_start,"&lt;"&amp;660,m_end,"&gt;"&amp;600)=0,"",IF(COUNTIFS(m_teacher,N$4,m_date,($G$2+4),m_active,1,m_start,"&lt;"&amp;660,m_end,"&gt;"&amp;600)&gt;1,"충돌",HYPERLINK("#'관리자_MASTER'!D"&amp;_xlfn.MAXIFS(m_row,m_teacher,N$4,m_date,($G$2+4),m_active,1,m_start,"&lt;"&amp;660,m_end,"&gt;"&amp;600),INDEX(m_label,_xlfn.MAXIFS(m_row,m_teacher,N$4,m_date,($G$2+4),m_active,1,m_start,"&lt;"&amp;660,m_end,"&gt;"&amp;600))))))</f>
        <v/>
      </c>
      <c r="O50" s="78"/>
      <c r="P50" s="79" t="s">
        <v>92</v>
      </c>
      <c r="Q50" s="82" t="str">
        <f aca="false">IF(OR(Q$4="",MONTH(($G$2+11))&lt;&gt;MONTH($C$2)),"",IF(COUNTIFS(m_teacher,Q$4,m_date,($G$2+11),m_active,1,m_start,"&lt;"&amp;660,m_end,"&gt;"&amp;600)=0,"",IF(COUNTIFS(m_teacher,Q$4,m_date,($G$2+11),m_active,1,m_start,"&lt;"&amp;660,m_end,"&gt;"&amp;600)&gt;1,"충돌",HYPERLINK("#'관리자_MASTER'!D"&amp;_xlfn.MAXIFS(m_row,m_teacher,Q$4,m_date,($G$2+11),m_active,1,m_start,"&lt;"&amp;660,m_end,"&gt;"&amp;600),INDEX(m_label,_xlfn.MAXIFS(m_row,m_teacher,Q$4,m_date,($G$2+11),m_active,1,m_start,"&lt;"&amp;660,m_end,"&gt;"&amp;600))))))</f>
        <v/>
      </c>
      <c r="R50" s="82" t="str">
        <f aca="false">IF(OR(R$4="",MONTH(($G$2+11))&lt;&gt;MONTH($C$2)),"",IF(COUNTIFS(m_teacher,R$4,m_date,($G$2+11),m_active,1,m_start,"&lt;"&amp;660,m_end,"&gt;"&amp;600)=0,"",IF(COUNTIFS(m_teacher,R$4,m_date,($G$2+11),m_active,1,m_start,"&lt;"&amp;660,m_end,"&gt;"&amp;600)&gt;1,"충돌",HYPERLINK("#'관리자_MASTER'!D"&amp;_xlfn.MAXIFS(m_row,m_teacher,R$4,m_date,($G$2+11),m_active,1,m_start,"&lt;"&amp;660,m_end,"&gt;"&amp;600),INDEX(m_label,_xlfn.MAXIFS(m_row,m_teacher,R$4,m_date,($G$2+11),m_active,1,m_start,"&lt;"&amp;660,m_end,"&gt;"&amp;600))))))</f>
        <v/>
      </c>
      <c r="S50" s="82" t="str">
        <f aca="false">IF(OR(S$4="",MONTH(($G$2+11))&lt;&gt;MONTH($C$2)),"",IF(COUNTIFS(m_teacher,S$4,m_date,($G$2+11),m_active,1,m_start,"&lt;"&amp;660,m_end,"&gt;"&amp;600)=0,"",IF(COUNTIFS(m_teacher,S$4,m_date,($G$2+11),m_active,1,m_start,"&lt;"&amp;660,m_end,"&gt;"&amp;600)&gt;1,"충돌",HYPERLINK("#'관리자_MASTER'!D"&amp;_xlfn.MAXIFS(m_row,m_teacher,S$4,m_date,($G$2+11),m_active,1,m_start,"&lt;"&amp;660,m_end,"&gt;"&amp;600),INDEX(m_label,_xlfn.MAXIFS(m_row,m_teacher,S$4,m_date,($G$2+11),m_active,1,m_start,"&lt;"&amp;660,m_end,"&gt;"&amp;600))))))</f>
        <v/>
      </c>
      <c r="T50" s="82" t="str">
        <f aca="false">IF(OR(T$4="",MONTH(($G$2+11))&lt;&gt;MONTH($C$2)),"",IF(COUNTIFS(m_teacher,T$4,m_date,($G$2+11),m_active,1,m_start,"&lt;"&amp;660,m_end,"&gt;"&amp;600)=0,"",IF(COUNTIFS(m_teacher,T$4,m_date,($G$2+11),m_active,1,m_start,"&lt;"&amp;660,m_end,"&gt;"&amp;600)&gt;1,"충돌",HYPERLINK("#'관리자_MASTER'!D"&amp;_xlfn.MAXIFS(m_row,m_teacher,T$4,m_date,($G$2+11),m_active,1,m_start,"&lt;"&amp;660,m_end,"&gt;"&amp;600),INDEX(m_label,_xlfn.MAXIFS(m_row,m_teacher,T$4,m_date,($G$2+11),m_active,1,m_start,"&lt;"&amp;660,m_end,"&gt;"&amp;600))))))</f>
        <v/>
      </c>
      <c r="U50" s="82" t="str">
        <f aca="false">IF(OR(U$4="",MONTH(($G$2+11))&lt;&gt;MONTH($C$2)),"",IF(COUNTIFS(m_teacher,U$4,m_date,($G$2+11),m_active,1,m_start,"&lt;"&amp;660,m_end,"&gt;"&amp;600)=0,"",IF(COUNTIFS(m_teacher,U$4,m_date,($G$2+11),m_active,1,m_start,"&lt;"&amp;660,m_end,"&gt;"&amp;600)&gt;1,"충돌",HYPERLINK("#'관리자_MASTER'!D"&amp;_xlfn.MAXIFS(m_row,m_teacher,U$4,m_date,($G$2+11),m_active,1,m_start,"&lt;"&amp;660,m_end,"&gt;"&amp;600),INDEX(m_label,_xlfn.MAXIFS(m_row,m_teacher,U$4,m_date,($G$2+11),m_active,1,m_start,"&lt;"&amp;660,m_end,"&gt;"&amp;600))))))</f>
        <v/>
      </c>
      <c r="V50" s="82" t="str">
        <f aca="false">IF(OR(V$4="",MONTH(($G$2+11))&lt;&gt;MONTH($C$2)),"",IF(COUNTIFS(m_teacher,V$4,m_date,($G$2+11),m_active,1,m_start,"&lt;"&amp;660,m_end,"&gt;"&amp;600)=0,"",IF(COUNTIFS(m_teacher,V$4,m_date,($G$2+11),m_active,1,m_start,"&lt;"&amp;660,m_end,"&gt;"&amp;600)&gt;1,"충돌",HYPERLINK("#'관리자_MASTER'!D"&amp;_xlfn.MAXIFS(m_row,m_teacher,V$4,m_date,($G$2+11),m_active,1,m_start,"&lt;"&amp;660,m_end,"&gt;"&amp;600),INDEX(m_label,_xlfn.MAXIFS(m_row,m_teacher,V$4,m_date,($G$2+11),m_active,1,m_start,"&lt;"&amp;660,m_end,"&gt;"&amp;600))))))</f>
        <v/>
      </c>
      <c r="W50" s="82" t="str">
        <f aca="false">IF(OR(W$4="",MONTH(($G$2+11))&lt;&gt;MONTH($C$2)),"",IF(COUNTIFS(m_teacher,W$4,m_date,($G$2+11),m_active,1,m_start,"&lt;"&amp;660,m_end,"&gt;"&amp;600)=0,"",IF(COUNTIFS(m_teacher,W$4,m_date,($G$2+11),m_active,1,m_start,"&lt;"&amp;660,m_end,"&gt;"&amp;600)&gt;1,"충돌",HYPERLINK("#'관리자_MASTER'!D"&amp;_xlfn.MAXIFS(m_row,m_teacher,W$4,m_date,($G$2+11),m_active,1,m_start,"&lt;"&amp;660,m_end,"&gt;"&amp;600),INDEX(m_label,_xlfn.MAXIFS(m_row,m_teacher,W$4,m_date,($G$2+11),m_active,1,m_start,"&lt;"&amp;660,m_end,"&gt;"&amp;600))))))</f>
        <v/>
      </c>
      <c r="X50" s="82" t="str">
        <f aca="false">IF(OR(X$4="",MONTH(($G$2+11))&lt;&gt;MONTH($C$2)),"",IF(COUNTIFS(m_teacher,X$4,m_date,($G$2+11),m_active,1,m_start,"&lt;"&amp;660,m_end,"&gt;"&amp;600)=0,"",IF(COUNTIFS(m_teacher,X$4,m_date,($G$2+11),m_active,1,m_start,"&lt;"&amp;660,m_end,"&gt;"&amp;600)&gt;1,"충돌",HYPERLINK("#'관리자_MASTER'!D"&amp;_xlfn.MAXIFS(m_row,m_teacher,X$4,m_date,($G$2+11),m_active,1,m_start,"&lt;"&amp;660,m_end,"&gt;"&amp;600),INDEX(m_label,_xlfn.MAXIFS(m_row,m_teacher,X$4,m_date,($G$2+11),m_active,1,m_start,"&lt;"&amp;660,m_end,"&gt;"&amp;600))))))</f>
        <v/>
      </c>
      <c r="Y50" s="82" t="str">
        <f aca="false">IF(OR(Y$4="",MONTH(($G$2+11))&lt;&gt;MONTH($C$2)),"",IF(COUNTIFS(m_teacher,Y$4,m_date,($G$2+11),m_active,1,m_start,"&lt;"&amp;660,m_end,"&gt;"&amp;600)=0,"",IF(COUNTIFS(m_teacher,Y$4,m_date,($G$2+11),m_active,1,m_start,"&lt;"&amp;660,m_end,"&gt;"&amp;600)&gt;1,"충돌",HYPERLINK("#'관리자_MASTER'!D"&amp;_xlfn.MAXIFS(m_row,m_teacher,Y$4,m_date,($G$2+11),m_active,1,m_start,"&lt;"&amp;660,m_end,"&gt;"&amp;600),INDEX(m_label,_xlfn.MAXIFS(m_row,m_teacher,Y$4,m_date,($G$2+11),m_active,1,m_start,"&lt;"&amp;660,m_end,"&gt;"&amp;600))))))</f>
        <v/>
      </c>
      <c r="Z50" s="82" t="str">
        <f aca="false">IF(OR(Z$4="",MONTH(($G$2+11))&lt;&gt;MONTH($C$2)),"",IF(COUNTIFS(m_teacher,Z$4,m_date,($G$2+11),m_active,1,m_start,"&lt;"&amp;660,m_end,"&gt;"&amp;600)=0,"",IF(COUNTIFS(m_teacher,Z$4,m_date,($G$2+11),m_active,1,m_start,"&lt;"&amp;660,m_end,"&gt;"&amp;600)&gt;1,"충돌",HYPERLINK("#'관리자_MASTER'!D"&amp;_xlfn.MAXIFS(m_row,m_teacher,Z$4,m_date,($G$2+11),m_active,1,m_start,"&lt;"&amp;660,m_end,"&gt;"&amp;600),INDEX(m_label,_xlfn.MAXIFS(m_row,m_teacher,Z$4,m_date,($G$2+11),m_active,1,m_start,"&lt;"&amp;660,m_end,"&gt;"&amp;600))))))</f>
        <v/>
      </c>
      <c r="AA50" s="82" t="str">
        <f aca="false">IF(OR(AA$4="",MONTH(($G$2+11))&lt;&gt;MONTH($C$2)),"",IF(COUNTIFS(m_teacher,AA$4,m_date,($G$2+11),m_active,1,m_start,"&lt;"&amp;660,m_end,"&gt;"&amp;600)=0,"",IF(COUNTIFS(m_teacher,AA$4,m_date,($G$2+11),m_active,1,m_start,"&lt;"&amp;660,m_end,"&gt;"&amp;600)&gt;1,"충돌",HYPERLINK("#'관리자_MASTER'!D"&amp;_xlfn.MAXIFS(m_row,m_teacher,AA$4,m_date,($G$2+11),m_active,1,m_start,"&lt;"&amp;660,m_end,"&gt;"&amp;600),INDEX(m_label,_xlfn.MAXIFS(m_row,m_teacher,AA$4,m_date,($G$2+11),m_active,1,m_start,"&lt;"&amp;660,m_end,"&gt;"&amp;600))))))</f>
        <v/>
      </c>
      <c r="AB50" s="82" t="str">
        <f aca="false">IF(OR(AB$4="",MONTH(($G$2+11))&lt;&gt;MONTH($C$2)),"",IF(COUNTIFS(m_teacher,AB$4,m_date,($G$2+11),m_active,1,m_start,"&lt;"&amp;660,m_end,"&gt;"&amp;600)=0,"",IF(COUNTIFS(m_teacher,AB$4,m_date,($G$2+11),m_active,1,m_start,"&lt;"&amp;660,m_end,"&gt;"&amp;600)&gt;1,"충돌",HYPERLINK("#'관리자_MASTER'!D"&amp;_xlfn.MAXIFS(m_row,m_teacher,AB$4,m_date,($G$2+11),m_active,1,m_start,"&lt;"&amp;660,m_end,"&gt;"&amp;600),INDEX(m_label,_xlfn.MAXIFS(m_row,m_teacher,AB$4,m_date,($G$2+11),m_active,1,m_start,"&lt;"&amp;660,m_end,"&gt;"&amp;600))))))</f>
        <v/>
      </c>
      <c r="AC50" s="78"/>
      <c r="AD50" s="79" t="s">
        <v>92</v>
      </c>
      <c r="AE50" s="82" t="str">
        <f aca="false">IF(OR(AE$4="",MONTH(($G$2+18))&lt;&gt;MONTH($C$2)),"",IF(COUNTIFS(m_teacher,AE$4,m_date,($G$2+18),m_active,1,m_start,"&lt;"&amp;660,m_end,"&gt;"&amp;600)=0,"",IF(COUNTIFS(m_teacher,AE$4,m_date,($G$2+18),m_active,1,m_start,"&lt;"&amp;660,m_end,"&gt;"&amp;600)&gt;1,"충돌",HYPERLINK("#'관리자_MASTER'!D"&amp;_xlfn.MAXIFS(m_row,m_teacher,AE$4,m_date,($G$2+18),m_active,1,m_start,"&lt;"&amp;660,m_end,"&gt;"&amp;600),INDEX(m_label,_xlfn.MAXIFS(m_row,m_teacher,AE$4,m_date,($G$2+18),m_active,1,m_start,"&lt;"&amp;660,m_end,"&gt;"&amp;600))))))</f>
        <v/>
      </c>
      <c r="AF50" s="82" t="str">
        <f aca="false">IF(OR(AF$4="",MONTH(($G$2+18))&lt;&gt;MONTH($C$2)),"",IF(COUNTIFS(m_teacher,AF$4,m_date,($G$2+18),m_active,1,m_start,"&lt;"&amp;660,m_end,"&gt;"&amp;600)=0,"",IF(COUNTIFS(m_teacher,AF$4,m_date,($G$2+18),m_active,1,m_start,"&lt;"&amp;660,m_end,"&gt;"&amp;600)&gt;1,"충돌",HYPERLINK("#'관리자_MASTER'!D"&amp;_xlfn.MAXIFS(m_row,m_teacher,AF$4,m_date,($G$2+18),m_active,1,m_start,"&lt;"&amp;660,m_end,"&gt;"&amp;600),INDEX(m_label,_xlfn.MAXIFS(m_row,m_teacher,AF$4,m_date,($G$2+18),m_active,1,m_start,"&lt;"&amp;660,m_end,"&gt;"&amp;600))))))</f>
        <v/>
      </c>
      <c r="AG50" s="82" t="str">
        <f aca="false">IF(OR(AG$4="",MONTH(($G$2+18))&lt;&gt;MONTH($C$2)),"",IF(COUNTIFS(m_teacher,AG$4,m_date,($G$2+18),m_active,1,m_start,"&lt;"&amp;660,m_end,"&gt;"&amp;600)=0,"",IF(COUNTIFS(m_teacher,AG$4,m_date,($G$2+18),m_active,1,m_start,"&lt;"&amp;660,m_end,"&gt;"&amp;600)&gt;1,"충돌",HYPERLINK("#'관리자_MASTER'!D"&amp;_xlfn.MAXIFS(m_row,m_teacher,AG$4,m_date,($G$2+18),m_active,1,m_start,"&lt;"&amp;660,m_end,"&gt;"&amp;600),INDEX(m_label,_xlfn.MAXIFS(m_row,m_teacher,AG$4,m_date,($G$2+18),m_active,1,m_start,"&lt;"&amp;660,m_end,"&gt;"&amp;600))))))</f>
        <v/>
      </c>
      <c r="AH50" s="82" t="str">
        <f aca="false">IF(OR(AH$4="",MONTH(($G$2+18))&lt;&gt;MONTH($C$2)),"",IF(COUNTIFS(m_teacher,AH$4,m_date,($G$2+18),m_active,1,m_start,"&lt;"&amp;660,m_end,"&gt;"&amp;600)=0,"",IF(COUNTIFS(m_teacher,AH$4,m_date,($G$2+18),m_active,1,m_start,"&lt;"&amp;660,m_end,"&gt;"&amp;600)&gt;1,"충돌",HYPERLINK("#'관리자_MASTER'!D"&amp;_xlfn.MAXIFS(m_row,m_teacher,AH$4,m_date,($G$2+18),m_active,1,m_start,"&lt;"&amp;660,m_end,"&gt;"&amp;600),INDEX(m_label,_xlfn.MAXIFS(m_row,m_teacher,AH$4,m_date,($G$2+18),m_active,1,m_start,"&lt;"&amp;660,m_end,"&gt;"&amp;600))))))</f>
        <v/>
      </c>
      <c r="AI50" s="82" t="str">
        <f aca="false">IF(OR(AI$4="",MONTH(($G$2+18))&lt;&gt;MONTH($C$2)),"",IF(COUNTIFS(m_teacher,AI$4,m_date,($G$2+18),m_active,1,m_start,"&lt;"&amp;660,m_end,"&gt;"&amp;600)=0,"",IF(COUNTIFS(m_teacher,AI$4,m_date,($G$2+18),m_active,1,m_start,"&lt;"&amp;660,m_end,"&gt;"&amp;600)&gt;1,"충돌",HYPERLINK("#'관리자_MASTER'!D"&amp;_xlfn.MAXIFS(m_row,m_teacher,AI$4,m_date,($G$2+18),m_active,1,m_start,"&lt;"&amp;660,m_end,"&gt;"&amp;600),INDEX(m_label,_xlfn.MAXIFS(m_row,m_teacher,AI$4,m_date,($G$2+18),m_active,1,m_start,"&lt;"&amp;660,m_end,"&gt;"&amp;600))))))</f>
        <v/>
      </c>
      <c r="AJ50" s="82" t="str">
        <f aca="false">IF(OR(AJ$4="",MONTH(($G$2+18))&lt;&gt;MONTH($C$2)),"",IF(COUNTIFS(m_teacher,AJ$4,m_date,($G$2+18),m_active,1,m_start,"&lt;"&amp;660,m_end,"&gt;"&amp;600)=0,"",IF(COUNTIFS(m_teacher,AJ$4,m_date,($G$2+18),m_active,1,m_start,"&lt;"&amp;660,m_end,"&gt;"&amp;600)&gt;1,"충돌",HYPERLINK("#'관리자_MASTER'!D"&amp;_xlfn.MAXIFS(m_row,m_teacher,AJ$4,m_date,($G$2+18),m_active,1,m_start,"&lt;"&amp;660,m_end,"&gt;"&amp;600),INDEX(m_label,_xlfn.MAXIFS(m_row,m_teacher,AJ$4,m_date,($G$2+18),m_active,1,m_start,"&lt;"&amp;660,m_end,"&gt;"&amp;600))))))</f>
        <v/>
      </c>
      <c r="AK50" s="82" t="str">
        <f aca="false">IF(OR(AK$4="",MONTH(($G$2+18))&lt;&gt;MONTH($C$2)),"",IF(COUNTIFS(m_teacher,AK$4,m_date,($G$2+18),m_active,1,m_start,"&lt;"&amp;660,m_end,"&gt;"&amp;600)=0,"",IF(COUNTIFS(m_teacher,AK$4,m_date,($G$2+18),m_active,1,m_start,"&lt;"&amp;660,m_end,"&gt;"&amp;600)&gt;1,"충돌",HYPERLINK("#'관리자_MASTER'!D"&amp;_xlfn.MAXIFS(m_row,m_teacher,AK$4,m_date,($G$2+18),m_active,1,m_start,"&lt;"&amp;660,m_end,"&gt;"&amp;600),INDEX(m_label,_xlfn.MAXIFS(m_row,m_teacher,AK$4,m_date,($G$2+18),m_active,1,m_start,"&lt;"&amp;660,m_end,"&gt;"&amp;600))))))</f>
        <v/>
      </c>
      <c r="AL50" s="82" t="str">
        <f aca="false">IF(OR(AL$4="",MONTH(($G$2+18))&lt;&gt;MONTH($C$2)),"",IF(COUNTIFS(m_teacher,AL$4,m_date,($G$2+18),m_active,1,m_start,"&lt;"&amp;660,m_end,"&gt;"&amp;600)=0,"",IF(COUNTIFS(m_teacher,AL$4,m_date,($G$2+18),m_active,1,m_start,"&lt;"&amp;660,m_end,"&gt;"&amp;600)&gt;1,"충돌",HYPERLINK("#'관리자_MASTER'!D"&amp;_xlfn.MAXIFS(m_row,m_teacher,AL$4,m_date,($G$2+18),m_active,1,m_start,"&lt;"&amp;660,m_end,"&gt;"&amp;600),INDEX(m_label,_xlfn.MAXIFS(m_row,m_teacher,AL$4,m_date,($G$2+18),m_active,1,m_start,"&lt;"&amp;660,m_end,"&gt;"&amp;600))))))</f>
        <v/>
      </c>
      <c r="AM50" s="82" t="str">
        <f aca="false">IF(OR(AM$4="",MONTH(($G$2+18))&lt;&gt;MONTH($C$2)),"",IF(COUNTIFS(m_teacher,AM$4,m_date,($G$2+18),m_active,1,m_start,"&lt;"&amp;660,m_end,"&gt;"&amp;600)=0,"",IF(COUNTIFS(m_teacher,AM$4,m_date,($G$2+18),m_active,1,m_start,"&lt;"&amp;660,m_end,"&gt;"&amp;600)&gt;1,"충돌",HYPERLINK("#'관리자_MASTER'!D"&amp;_xlfn.MAXIFS(m_row,m_teacher,AM$4,m_date,($G$2+18),m_active,1,m_start,"&lt;"&amp;660,m_end,"&gt;"&amp;600),INDEX(m_label,_xlfn.MAXIFS(m_row,m_teacher,AM$4,m_date,($G$2+18),m_active,1,m_start,"&lt;"&amp;660,m_end,"&gt;"&amp;600))))))</f>
        <v/>
      </c>
      <c r="AN50" s="82" t="str">
        <f aca="false">IF(OR(AN$4="",MONTH(($G$2+18))&lt;&gt;MONTH($C$2)),"",IF(COUNTIFS(m_teacher,AN$4,m_date,($G$2+18),m_active,1,m_start,"&lt;"&amp;660,m_end,"&gt;"&amp;600)=0,"",IF(COUNTIFS(m_teacher,AN$4,m_date,($G$2+18),m_active,1,m_start,"&lt;"&amp;660,m_end,"&gt;"&amp;600)&gt;1,"충돌",HYPERLINK("#'관리자_MASTER'!D"&amp;_xlfn.MAXIFS(m_row,m_teacher,AN$4,m_date,($G$2+18),m_active,1,m_start,"&lt;"&amp;660,m_end,"&gt;"&amp;600),INDEX(m_label,_xlfn.MAXIFS(m_row,m_teacher,AN$4,m_date,($G$2+18),m_active,1,m_start,"&lt;"&amp;660,m_end,"&gt;"&amp;600))))))</f>
        <v/>
      </c>
      <c r="AO50" s="82" t="str">
        <f aca="false">IF(OR(AO$4="",MONTH(($G$2+18))&lt;&gt;MONTH($C$2)),"",IF(COUNTIFS(m_teacher,AO$4,m_date,($G$2+18),m_active,1,m_start,"&lt;"&amp;660,m_end,"&gt;"&amp;600)=0,"",IF(COUNTIFS(m_teacher,AO$4,m_date,($G$2+18),m_active,1,m_start,"&lt;"&amp;660,m_end,"&gt;"&amp;600)&gt;1,"충돌",HYPERLINK("#'관리자_MASTER'!D"&amp;_xlfn.MAXIFS(m_row,m_teacher,AO$4,m_date,($G$2+18),m_active,1,m_start,"&lt;"&amp;660,m_end,"&gt;"&amp;600),INDEX(m_label,_xlfn.MAXIFS(m_row,m_teacher,AO$4,m_date,($G$2+18),m_active,1,m_start,"&lt;"&amp;660,m_end,"&gt;"&amp;600))))))</f>
        <v/>
      </c>
      <c r="AP50" s="82" t="str">
        <f aca="false">IF(OR(AP$4="",MONTH(($G$2+18))&lt;&gt;MONTH($C$2)),"",IF(COUNTIFS(m_teacher,AP$4,m_date,($G$2+18),m_active,1,m_start,"&lt;"&amp;660,m_end,"&gt;"&amp;600)=0,"",IF(COUNTIFS(m_teacher,AP$4,m_date,($G$2+18),m_active,1,m_start,"&lt;"&amp;660,m_end,"&gt;"&amp;600)&gt;1,"충돌",HYPERLINK("#'관리자_MASTER'!D"&amp;_xlfn.MAXIFS(m_row,m_teacher,AP$4,m_date,($G$2+18),m_active,1,m_start,"&lt;"&amp;660,m_end,"&gt;"&amp;600),INDEX(m_label,_xlfn.MAXIFS(m_row,m_teacher,AP$4,m_date,($G$2+18),m_active,1,m_start,"&lt;"&amp;660,m_end,"&gt;"&amp;600))))))</f>
        <v/>
      </c>
      <c r="AQ50" s="78"/>
      <c r="AR50" s="79" t="s">
        <v>92</v>
      </c>
      <c r="AS50" s="82" t="str">
        <f aca="false">IF(OR(AS$4="",MONTH(($G$2+25))&lt;&gt;MONTH($C$2)),"",IF(COUNTIFS(m_teacher,AS$4,m_date,($G$2+25),m_active,1,m_start,"&lt;"&amp;660,m_end,"&gt;"&amp;600)=0,"",IF(COUNTIFS(m_teacher,AS$4,m_date,($G$2+25),m_active,1,m_start,"&lt;"&amp;660,m_end,"&gt;"&amp;600)&gt;1,"충돌",HYPERLINK("#'관리자_MASTER'!D"&amp;_xlfn.MAXIFS(m_row,m_teacher,AS$4,m_date,($G$2+25),m_active,1,m_start,"&lt;"&amp;660,m_end,"&gt;"&amp;600),INDEX(m_label,_xlfn.MAXIFS(m_row,m_teacher,AS$4,m_date,($G$2+25),m_active,1,m_start,"&lt;"&amp;660,m_end,"&gt;"&amp;600))))))</f>
        <v/>
      </c>
      <c r="AT50" s="82" t="str">
        <f aca="false">IF(OR(AT$4="",MONTH(($G$2+25))&lt;&gt;MONTH($C$2)),"",IF(COUNTIFS(m_teacher,AT$4,m_date,($G$2+25),m_active,1,m_start,"&lt;"&amp;660,m_end,"&gt;"&amp;600)=0,"",IF(COUNTIFS(m_teacher,AT$4,m_date,($G$2+25),m_active,1,m_start,"&lt;"&amp;660,m_end,"&gt;"&amp;600)&gt;1,"충돌",HYPERLINK("#'관리자_MASTER'!D"&amp;_xlfn.MAXIFS(m_row,m_teacher,AT$4,m_date,($G$2+25),m_active,1,m_start,"&lt;"&amp;660,m_end,"&gt;"&amp;600),INDEX(m_label,_xlfn.MAXIFS(m_row,m_teacher,AT$4,m_date,($G$2+25),m_active,1,m_start,"&lt;"&amp;660,m_end,"&gt;"&amp;600))))))</f>
        <v/>
      </c>
      <c r="AU50" s="82" t="str">
        <f aca="false">IF(OR(AU$4="",MONTH(($G$2+25))&lt;&gt;MONTH($C$2)),"",IF(COUNTIFS(m_teacher,AU$4,m_date,($G$2+25),m_active,1,m_start,"&lt;"&amp;660,m_end,"&gt;"&amp;600)=0,"",IF(COUNTIFS(m_teacher,AU$4,m_date,($G$2+25),m_active,1,m_start,"&lt;"&amp;660,m_end,"&gt;"&amp;600)&gt;1,"충돌",HYPERLINK("#'관리자_MASTER'!D"&amp;_xlfn.MAXIFS(m_row,m_teacher,AU$4,m_date,($G$2+25),m_active,1,m_start,"&lt;"&amp;660,m_end,"&gt;"&amp;600),INDEX(m_label,_xlfn.MAXIFS(m_row,m_teacher,AU$4,m_date,($G$2+25),m_active,1,m_start,"&lt;"&amp;660,m_end,"&gt;"&amp;600))))))</f>
        <v/>
      </c>
      <c r="AV50" s="82" t="str">
        <f aca="false">IF(OR(AV$4="",MONTH(($G$2+25))&lt;&gt;MONTH($C$2)),"",IF(COUNTIFS(m_teacher,AV$4,m_date,($G$2+25),m_active,1,m_start,"&lt;"&amp;660,m_end,"&gt;"&amp;600)=0,"",IF(COUNTIFS(m_teacher,AV$4,m_date,($G$2+25),m_active,1,m_start,"&lt;"&amp;660,m_end,"&gt;"&amp;600)&gt;1,"충돌",HYPERLINK("#'관리자_MASTER'!D"&amp;_xlfn.MAXIFS(m_row,m_teacher,AV$4,m_date,($G$2+25),m_active,1,m_start,"&lt;"&amp;660,m_end,"&gt;"&amp;600),INDEX(m_label,_xlfn.MAXIFS(m_row,m_teacher,AV$4,m_date,($G$2+25),m_active,1,m_start,"&lt;"&amp;660,m_end,"&gt;"&amp;600))))))</f>
        <v/>
      </c>
      <c r="AW50" s="82" t="str">
        <f aca="false">IF(OR(AW$4="",MONTH(($G$2+25))&lt;&gt;MONTH($C$2)),"",IF(COUNTIFS(m_teacher,AW$4,m_date,($G$2+25),m_active,1,m_start,"&lt;"&amp;660,m_end,"&gt;"&amp;600)=0,"",IF(COUNTIFS(m_teacher,AW$4,m_date,($G$2+25),m_active,1,m_start,"&lt;"&amp;660,m_end,"&gt;"&amp;600)&gt;1,"충돌",HYPERLINK("#'관리자_MASTER'!D"&amp;_xlfn.MAXIFS(m_row,m_teacher,AW$4,m_date,($G$2+25),m_active,1,m_start,"&lt;"&amp;660,m_end,"&gt;"&amp;600),INDEX(m_label,_xlfn.MAXIFS(m_row,m_teacher,AW$4,m_date,($G$2+25),m_active,1,m_start,"&lt;"&amp;660,m_end,"&gt;"&amp;600))))))</f>
        <v/>
      </c>
      <c r="AX50" s="82" t="str">
        <f aca="false">IF(OR(AX$4="",MONTH(($G$2+25))&lt;&gt;MONTH($C$2)),"",IF(COUNTIFS(m_teacher,AX$4,m_date,($G$2+25),m_active,1,m_start,"&lt;"&amp;660,m_end,"&gt;"&amp;600)=0,"",IF(COUNTIFS(m_teacher,AX$4,m_date,($G$2+25),m_active,1,m_start,"&lt;"&amp;660,m_end,"&gt;"&amp;600)&gt;1,"충돌",HYPERLINK("#'관리자_MASTER'!D"&amp;_xlfn.MAXIFS(m_row,m_teacher,AX$4,m_date,($G$2+25),m_active,1,m_start,"&lt;"&amp;660,m_end,"&gt;"&amp;600),INDEX(m_label,_xlfn.MAXIFS(m_row,m_teacher,AX$4,m_date,($G$2+25),m_active,1,m_start,"&lt;"&amp;660,m_end,"&gt;"&amp;600))))))</f>
        <v/>
      </c>
      <c r="AY50" s="82" t="str">
        <f aca="false">IF(OR(AY$4="",MONTH(($G$2+25))&lt;&gt;MONTH($C$2)),"",IF(COUNTIFS(m_teacher,AY$4,m_date,($G$2+25),m_active,1,m_start,"&lt;"&amp;660,m_end,"&gt;"&amp;600)=0,"",IF(COUNTIFS(m_teacher,AY$4,m_date,($G$2+25),m_active,1,m_start,"&lt;"&amp;660,m_end,"&gt;"&amp;600)&gt;1,"충돌",HYPERLINK("#'관리자_MASTER'!D"&amp;_xlfn.MAXIFS(m_row,m_teacher,AY$4,m_date,($G$2+25),m_active,1,m_start,"&lt;"&amp;660,m_end,"&gt;"&amp;600),INDEX(m_label,_xlfn.MAXIFS(m_row,m_teacher,AY$4,m_date,($G$2+25),m_active,1,m_start,"&lt;"&amp;660,m_end,"&gt;"&amp;600))))))</f>
        <v/>
      </c>
      <c r="AZ50" s="82" t="str">
        <f aca="false">IF(OR(AZ$4="",MONTH(($G$2+25))&lt;&gt;MONTH($C$2)),"",IF(COUNTIFS(m_teacher,AZ$4,m_date,($G$2+25),m_active,1,m_start,"&lt;"&amp;660,m_end,"&gt;"&amp;600)=0,"",IF(COUNTIFS(m_teacher,AZ$4,m_date,($G$2+25),m_active,1,m_start,"&lt;"&amp;660,m_end,"&gt;"&amp;600)&gt;1,"충돌",HYPERLINK("#'관리자_MASTER'!D"&amp;_xlfn.MAXIFS(m_row,m_teacher,AZ$4,m_date,($G$2+25),m_active,1,m_start,"&lt;"&amp;660,m_end,"&gt;"&amp;600),INDEX(m_label,_xlfn.MAXIFS(m_row,m_teacher,AZ$4,m_date,($G$2+25),m_active,1,m_start,"&lt;"&amp;660,m_end,"&gt;"&amp;600))))))</f>
        <v/>
      </c>
      <c r="BA50" s="82" t="str">
        <f aca="false">IF(OR(BA$4="",MONTH(($G$2+25))&lt;&gt;MONTH($C$2)),"",IF(COUNTIFS(m_teacher,BA$4,m_date,($G$2+25),m_active,1,m_start,"&lt;"&amp;660,m_end,"&gt;"&amp;600)=0,"",IF(COUNTIFS(m_teacher,BA$4,m_date,($G$2+25),m_active,1,m_start,"&lt;"&amp;660,m_end,"&gt;"&amp;600)&gt;1,"충돌",HYPERLINK("#'관리자_MASTER'!D"&amp;_xlfn.MAXIFS(m_row,m_teacher,BA$4,m_date,($G$2+25),m_active,1,m_start,"&lt;"&amp;660,m_end,"&gt;"&amp;600),INDEX(m_label,_xlfn.MAXIFS(m_row,m_teacher,BA$4,m_date,($G$2+25),m_active,1,m_start,"&lt;"&amp;660,m_end,"&gt;"&amp;600))))))</f>
        <v/>
      </c>
      <c r="BB50" s="82" t="str">
        <f aca="false">IF(OR(BB$4="",MONTH(($G$2+25))&lt;&gt;MONTH($C$2)),"",IF(COUNTIFS(m_teacher,BB$4,m_date,($G$2+25),m_active,1,m_start,"&lt;"&amp;660,m_end,"&gt;"&amp;600)=0,"",IF(COUNTIFS(m_teacher,BB$4,m_date,($G$2+25),m_active,1,m_start,"&lt;"&amp;660,m_end,"&gt;"&amp;600)&gt;1,"충돌",HYPERLINK("#'관리자_MASTER'!D"&amp;_xlfn.MAXIFS(m_row,m_teacher,BB$4,m_date,($G$2+25),m_active,1,m_start,"&lt;"&amp;660,m_end,"&gt;"&amp;600),INDEX(m_label,_xlfn.MAXIFS(m_row,m_teacher,BB$4,m_date,($G$2+25),m_active,1,m_start,"&lt;"&amp;660,m_end,"&gt;"&amp;600))))))</f>
        <v/>
      </c>
      <c r="BC50" s="82" t="str">
        <f aca="false">IF(OR(BC$4="",MONTH(($G$2+25))&lt;&gt;MONTH($C$2)),"",IF(COUNTIFS(m_teacher,BC$4,m_date,($G$2+25),m_active,1,m_start,"&lt;"&amp;660,m_end,"&gt;"&amp;600)=0,"",IF(COUNTIFS(m_teacher,BC$4,m_date,($G$2+25),m_active,1,m_start,"&lt;"&amp;660,m_end,"&gt;"&amp;600)&gt;1,"충돌",HYPERLINK("#'관리자_MASTER'!D"&amp;_xlfn.MAXIFS(m_row,m_teacher,BC$4,m_date,($G$2+25),m_active,1,m_start,"&lt;"&amp;660,m_end,"&gt;"&amp;600),INDEX(m_label,_xlfn.MAXIFS(m_row,m_teacher,BC$4,m_date,($G$2+25),m_active,1,m_start,"&lt;"&amp;660,m_end,"&gt;"&amp;600))))))</f>
        <v/>
      </c>
      <c r="BD50" s="82" t="str">
        <f aca="false">IF(OR(BD$4="",MONTH(($G$2+25))&lt;&gt;MONTH($C$2)),"",IF(COUNTIFS(m_teacher,BD$4,m_date,($G$2+25),m_active,1,m_start,"&lt;"&amp;660,m_end,"&gt;"&amp;600)=0,"",IF(COUNTIFS(m_teacher,BD$4,m_date,($G$2+25),m_active,1,m_start,"&lt;"&amp;660,m_end,"&gt;"&amp;600)&gt;1,"충돌",HYPERLINK("#'관리자_MASTER'!D"&amp;_xlfn.MAXIFS(m_row,m_teacher,BD$4,m_date,($G$2+25),m_active,1,m_start,"&lt;"&amp;660,m_end,"&gt;"&amp;600),INDEX(m_label,_xlfn.MAXIFS(m_row,m_teacher,BD$4,m_date,($G$2+25),m_active,1,m_start,"&lt;"&amp;660,m_end,"&gt;"&amp;600))))))</f>
        <v/>
      </c>
      <c r="BE50" s="75"/>
      <c r="BF50" s="76" t="s">
        <v>92</v>
      </c>
      <c r="BG50" s="81" t="str">
        <f aca="false">IF(OR(BG$4="",MONTH(($G$2+32))&lt;&gt;MONTH($C$2)),"",IF(COUNTIFS(m_teacher,BG$4,m_date,($G$2+32),m_active,1,m_start,"&lt;"&amp;660,m_end,"&gt;"&amp;600)=0,"",IF(COUNTIFS(m_teacher,BG$4,m_date,($G$2+32),m_active,1,m_start,"&lt;"&amp;660,m_end,"&gt;"&amp;600)&gt;1,"충돌",HYPERLINK("#'관리자_MASTER'!D"&amp;_xlfn.MAXIFS(m_row,m_teacher,BG$4,m_date,($G$2+32),m_active,1,m_start,"&lt;"&amp;660,m_end,"&gt;"&amp;600),INDEX(m_label,_xlfn.MAXIFS(m_row,m_teacher,BG$4,m_date,($G$2+32),m_active,1,m_start,"&lt;"&amp;660,m_end,"&gt;"&amp;600))))))</f>
        <v/>
      </c>
      <c r="BH50" s="81" t="str">
        <f aca="false">IF(OR(BH$4="",MONTH(($G$2+32))&lt;&gt;MONTH($C$2)),"",IF(COUNTIFS(m_teacher,BH$4,m_date,($G$2+32),m_active,1,m_start,"&lt;"&amp;660,m_end,"&gt;"&amp;600)=0,"",IF(COUNTIFS(m_teacher,BH$4,m_date,($G$2+32),m_active,1,m_start,"&lt;"&amp;660,m_end,"&gt;"&amp;600)&gt;1,"충돌",HYPERLINK("#'관리자_MASTER'!D"&amp;_xlfn.MAXIFS(m_row,m_teacher,BH$4,m_date,($G$2+32),m_active,1,m_start,"&lt;"&amp;660,m_end,"&gt;"&amp;600),INDEX(m_label,_xlfn.MAXIFS(m_row,m_teacher,BH$4,m_date,($G$2+32),m_active,1,m_start,"&lt;"&amp;660,m_end,"&gt;"&amp;600))))))</f>
        <v/>
      </c>
      <c r="BI50" s="81" t="str">
        <f aca="false">IF(OR(BI$4="",MONTH(($G$2+32))&lt;&gt;MONTH($C$2)),"",IF(COUNTIFS(m_teacher,BI$4,m_date,($G$2+32),m_active,1,m_start,"&lt;"&amp;660,m_end,"&gt;"&amp;600)=0,"",IF(COUNTIFS(m_teacher,BI$4,m_date,($G$2+32),m_active,1,m_start,"&lt;"&amp;660,m_end,"&gt;"&amp;600)&gt;1,"충돌",HYPERLINK("#'관리자_MASTER'!D"&amp;_xlfn.MAXIFS(m_row,m_teacher,BI$4,m_date,($G$2+32),m_active,1,m_start,"&lt;"&amp;660,m_end,"&gt;"&amp;600),INDEX(m_label,_xlfn.MAXIFS(m_row,m_teacher,BI$4,m_date,($G$2+32),m_active,1,m_start,"&lt;"&amp;660,m_end,"&gt;"&amp;600))))))</f>
        <v/>
      </c>
      <c r="BJ50" s="81" t="str">
        <f aca="false">IF(OR(BJ$4="",MONTH(($G$2+32))&lt;&gt;MONTH($C$2)),"",IF(COUNTIFS(m_teacher,BJ$4,m_date,($G$2+32),m_active,1,m_start,"&lt;"&amp;660,m_end,"&gt;"&amp;600)=0,"",IF(COUNTIFS(m_teacher,BJ$4,m_date,($G$2+32),m_active,1,m_start,"&lt;"&amp;660,m_end,"&gt;"&amp;600)&gt;1,"충돌",HYPERLINK("#'관리자_MASTER'!D"&amp;_xlfn.MAXIFS(m_row,m_teacher,BJ$4,m_date,($G$2+32),m_active,1,m_start,"&lt;"&amp;660,m_end,"&gt;"&amp;600),INDEX(m_label,_xlfn.MAXIFS(m_row,m_teacher,BJ$4,m_date,($G$2+32),m_active,1,m_start,"&lt;"&amp;660,m_end,"&gt;"&amp;600))))))</f>
        <v/>
      </c>
      <c r="BK50" s="81" t="str">
        <f aca="false">IF(OR(BK$4="",MONTH(($G$2+32))&lt;&gt;MONTH($C$2)),"",IF(COUNTIFS(m_teacher,BK$4,m_date,($G$2+32),m_active,1,m_start,"&lt;"&amp;660,m_end,"&gt;"&amp;600)=0,"",IF(COUNTIFS(m_teacher,BK$4,m_date,($G$2+32),m_active,1,m_start,"&lt;"&amp;660,m_end,"&gt;"&amp;600)&gt;1,"충돌",HYPERLINK("#'관리자_MASTER'!D"&amp;_xlfn.MAXIFS(m_row,m_teacher,BK$4,m_date,($G$2+32),m_active,1,m_start,"&lt;"&amp;660,m_end,"&gt;"&amp;600),INDEX(m_label,_xlfn.MAXIFS(m_row,m_teacher,BK$4,m_date,($G$2+32),m_active,1,m_start,"&lt;"&amp;660,m_end,"&gt;"&amp;600))))))</f>
        <v/>
      </c>
      <c r="BL50" s="81" t="str">
        <f aca="false">IF(OR(BL$4="",MONTH(($G$2+32))&lt;&gt;MONTH($C$2)),"",IF(COUNTIFS(m_teacher,BL$4,m_date,($G$2+32),m_active,1,m_start,"&lt;"&amp;660,m_end,"&gt;"&amp;600)=0,"",IF(COUNTIFS(m_teacher,BL$4,m_date,($G$2+32),m_active,1,m_start,"&lt;"&amp;660,m_end,"&gt;"&amp;600)&gt;1,"충돌",HYPERLINK("#'관리자_MASTER'!D"&amp;_xlfn.MAXIFS(m_row,m_teacher,BL$4,m_date,($G$2+32),m_active,1,m_start,"&lt;"&amp;660,m_end,"&gt;"&amp;600),INDEX(m_label,_xlfn.MAXIFS(m_row,m_teacher,BL$4,m_date,($G$2+32),m_active,1,m_start,"&lt;"&amp;660,m_end,"&gt;"&amp;600))))))</f>
        <v/>
      </c>
      <c r="BM50" s="81" t="str">
        <f aca="false">IF(OR(BM$4="",MONTH(($G$2+32))&lt;&gt;MONTH($C$2)),"",IF(COUNTIFS(m_teacher,BM$4,m_date,($G$2+32),m_active,1,m_start,"&lt;"&amp;660,m_end,"&gt;"&amp;600)=0,"",IF(COUNTIFS(m_teacher,BM$4,m_date,($G$2+32),m_active,1,m_start,"&lt;"&amp;660,m_end,"&gt;"&amp;600)&gt;1,"충돌",HYPERLINK("#'관리자_MASTER'!D"&amp;_xlfn.MAXIFS(m_row,m_teacher,BM$4,m_date,($G$2+32),m_active,1,m_start,"&lt;"&amp;660,m_end,"&gt;"&amp;600),INDEX(m_label,_xlfn.MAXIFS(m_row,m_teacher,BM$4,m_date,($G$2+32),m_active,1,m_start,"&lt;"&amp;660,m_end,"&gt;"&amp;600))))))</f>
        <v/>
      </c>
      <c r="BN50" s="81" t="str">
        <f aca="false">IF(OR(BN$4="",MONTH(($G$2+32))&lt;&gt;MONTH($C$2)),"",IF(COUNTIFS(m_teacher,BN$4,m_date,($G$2+32),m_active,1,m_start,"&lt;"&amp;660,m_end,"&gt;"&amp;600)=0,"",IF(COUNTIFS(m_teacher,BN$4,m_date,($G$2+32),m_active,1,m_start,"&lt;"&amp;660,m_end,"&gt;"&amp;600)&gt;1,"충돌",HYPERLINK("#'관리자_MASTER'!D"&amp;_xlfn.MAXIFS(m_row,m_teacher,BN$4,m_date,($G$2+32),m_active,1,m_start,"&lt;"&amp;660,m_end,"&gt;"&amp;600),INDEX(m_label,_xlfn.MAXIFS(m_row,m_teacher,BN$4,m_date,($G$2+32),m_active,1,m_start,"&lt;"&amp;660,m_end,"&gt;"&amp;600))))))</f>
        <v/>
      </c>
      <c r="BO50" s="81" t="str">
        <f aca="false">IF(OR(BO$4="",MONTH(($G$2+32))&lt;&gt;MONTH($C$2)),"",IF(COUNTIFS(m_teacher,BO$4,m_date,($G$2+32),m_active,1,m_start,"&lt;"&amp;660,m_end,"&gt;"&amp;600)=0,"",IF(COUNTIFS(m_teacher,BO$4,m_date,($G$2+32),m_active,1,m_start,"&lt;"&amp;660,m_end,"&gt;"&amp;600)&gt;1,"충돌",HYPERLINK("#'관리자_MASTER'!D"&amp;_xlfn.MAXIFS(m_row,m_teacher,BO$4,m_date,($G$2+32),m_active,1,m_start,"&lt;"&amp;660,m_end,"&gt;"&amp;600),INDEX(m_label,_xlfn.MAXIFS(m_row,m_teacher,BO$4,m_date,($G$2+32),m_active,1,m_start,"&lt;"&amp;660,m_end,"&gt;"&amp;600))))))</f>
        <v/>
      </c>
      <c r="BP50" s="81" t="str">
        <f aca="false">IF(OR(BP$4="",MONTH(($G$2+32))&lt;&gt;MONTH($C$2)),"",IF(COUNTIFS(m_teacher,BP$4,m_date,($G$2+32),m_active,1,m_start,"&lt;"&amp;660,m_end,"&gt;"&amp;600)=0,"",IF(COUNTIFS(m_teacher,BP$4,m_date,($G$2+32),m_active,1,m_start,"&lt;"&amp;660,m_end,"&gt;"&amp;600)&gt;1,"충돌",HYPERLINK("#'관리자_MASTER'!D"&amp;_xlfn.MAXIFS(m_row,m_teacher,BP$4,m_date,($G$2+32),m_active,1,m_start,"&lt;"&amp;660,m_end,"&gt;"&amp;600),INDEX(m_label,_xlfn.MAXIFS(m_row,m_teacher,BP$4,m_date,($G$2+32),m_active,1,m_start,"&lt;"&amp;660,m_end,"&gt;"&amp;600))))))</f>
        <v/>
      </c>
      <c r="BQ50" s="81" t="str">
        <f aca="false">IF(OR(BQ$4="",MONTH(($G$2+32))&lt;&gt;MONTH($C$2)),"",IF(COUNTIFS(m_teacher,BQ$4,m_date,($G$2+32),m_active,1,m_start,"&lt;"&amp;660,m_end,"&gt;"&amp;600)=0,"",IF(COUNTIFS(m_teacher,BQ$4,m_date,($G$2+32),m_active,1,m_start,"&lt;"&amp;660,m_end,"&gt;"&amp;600)&gt;1,"충돌",HYPERLINK("#'관리자_MASTER'!D"&amp;_xlfn.MAXIFS(m_row,m_teacher,BQ$4,m_date,($G$2+32),m_active,1,m_start,"&lt;"&amp;660,m_end,"&gt;"&amp;600),INDEX(m_label,_xlfn.MAXIFS(m_row,m_teacher,BQ$4,m_date,($G$2+32),m_active,1,m_start,"&lt;"&amp;660,m_end,"&gt;"&amp;600))))))</f>
        <v/>
      </c>
      <c r="BR50" s="81" t="str">
        <f aca="false">IF(OR(BR$4="",MONTH(($G$2+32))&lt;&gt;MONTH($C$2)),"",IF(COUNTIFS(m_teacher,BR$4,m_date,($G$2+32),m_active,1,m_start,"&lt;"&amp;660,m_end,"&gt;"&amp;600)=0,"",IF(COUNTIFS(m_teacher,BR$4,m_date,($G$2+32),m_active,1,m_start,"&lt;"&amp;660,m_end,"&gt;"&amp;600)&gt;1,"충돌",HYPERLINK("#'관리자_MASTER'!D"&amp;_xlfn.MAXIFS(m_row,m_teacher,BR$4,m_date,($G$2+32),m_active,1,m_start,"&lt;"&amp;660,m_end,"&gt;"&amp;600),INDEX(m_label,_xlfn.MAXIFS(m_row,m_teacher,BR$4,m_date,($G$2+32),m_active,1,m_start,"&lt;"&amp;660,m_end,"&gt;"&amp;600))))))</f>
        <v/>
      </c>
    </row>
    <row r="51" customFormat="false" ht="19.5" hidden="false" customHeight="true" outlineLevel="0" collapsed="false">
      <c r="A51" s="78"/>
      <c r="B51" s="79" t="s">
        <v>93</v>
      </c>
      <c r="C51" s="82" t="str">
        <f aca="false">IF(OR(C$4="",MONTH(($G$2+4))&lt;&gt;MONTH($C$2)),"",IF(COUNTIFS(m_teacher,C$4,m_date,($G$2+4),m_active,1,m_start,"&lt;"&amp;720,m_end,"&gt;"&amp;660)=0,"",IF(COUNTIFS(m_teacher,C$4,m_date,($G$2+4),m_active,1,m_start,"&lt;"&amp;720,m_end,"&gt;"&amp;660)&gt;1,"충돌",HYPERLINK("#'관리자_MASTER'!D"&amp;_xlfn.MAXIFS(m_row,m_teacher,C$4,m_date,($G$2+4),m_active,1,m_start,"&lt;"&amp;720,m_end,"&gt;"&amp;660),INDEX(m_label,_xlfn.MAXIFS(m_row,m_teacher,C$4,m_date,($G$2+4),m_active,1,m_start,"&lt;"&amp;720,m_end,"&gt;"&amp;660))))))</f>
        <v/>
      </c>
      <c r="D51" s="82" t="str">
        <f aca="false">IF(OR(D$4="",MONTH(($G$2+4))&lt;&gt;MONTH($C$2)),"",IF(COUNTIFS(m_teacher,D$4,m_date,($G$2+4),m_active,1,m_start,"&lt;"&amp;720,m_end,"&gt;"&amp;660)=0,"",IF(COUNTIFS(m_teacher,D$4,m_date,($G$2+4),m_active,1,m_start,"&lt;"&amp;720,m_end,"&gt;"&amp;660)&gt;1,"충돌",HYPERLINK("#'관리자_MASTER'!D"&amp;_xlfn.MAXIFS(m_row,m_teacher,D$4,m_date,($G$2+4),m_active,1,m_start,"&lt;"&amp;720,m_end,"&gt;"&amp;660),INDEX(m_label,_xlfn.MAXIFS(m_row,m_teacher,D$4,m_date,($G$2+4),m_active,1,m_start,"&lt;"&amp;720,m_end,"&gt;"&amp;660))))))</f>
        <v/>
      </c>
      <c r="E51" s="82" t="str">
        <f aca="false">IF(OR(E$4="",MONTH(($G$2+4))&lt;&gt;MONTH($C$2)),"",IF(COUNTIFS(m_teacher,E$4,m_date,($G$2+4),m_active,1,m_start,"&lt;"&amp;720,m_end,"&gt;"&amp;660)=0,"",IF(COUNTIFS(m_teacher,E$4,m_date,($G$2+4),m_active,1,m_start,"&lt;"&amp;720,m_end,"&gt;"&amp;660)&gt;1,"충돌",HYPERLINK("#'관리자_MASTER'!D"&amp;_xlfn.MAXIFS(m_row,m_teacher,E$4,m_date,($G$2+4),m_active,1,m_start,"&lt;"&amp;720,m_end,"&gt;"&amp;660),INDEX(m_label,_xlfn.MAXIFS(m_row,m_teacher,E$4,m_date,($G$2+4),m_active,1,m_start,"&lt;"&amp;720,m_end,"&gt;"&amp;660))))))</f>
        <v/>
      </c>
      <c r="F51" s="82" t="str">
        <f aca="false">IF(OR(F$4="",MONTH(($G$2+4))&lt;&gt;MONTH($C$2)),"",IF(COUNTIFS(m_teacher,F$4,m_date,($G$2+4),m_active,1,m_start,"&lt;"&amp;720,m_end,"&gt;"&amp;660)=0,"",IF(COUNTIFS(m_teacher,F$4,m_date,($G$2+4),m_active,1,m_start,"&lt;"&amp;720,m_end,"&gt;"&amp;660)&gt;1,"충돌",HYPERLINK("#'관리자_MASTER'!D"&amp;_xlfn.MAXIFS(m_row,m_teacher,F$4,m_date,($G$2+4),m_active,1,m_start,"&lt;"&amp;720,m_end,"&gt;"&amp;660),INDEX(m_label,_xlfn.MAXIFS(m_row,m_teacher,F$4,m_date,($G$2+4),m_active,1,m_start,"&lt;"&amp;720,m_end,"&gt;"&amp;660))))))</f>
        <v/>
      </c>
      <c r="G51" s="82" t="str">
        <f aca="false">IF(OR(G$4="",MONTH(($G$2+4))&lt;&gt;MONTH($C$2)),"",IF(COUNTIFS(m_teacher,G$4,m_date,($G$2+4),m_active,1,m_start,"&lt;"&amp;720,m_end,"&gt;"&amp;660)=0,"",IF(COUNTIFS(m_teacher,G$4,m_date,($G$2+4),m_active,1,m_start,"&lt;"&amp;720,m_end,"&gt;"&amp;660)&gt;1,"충돌",HYPERLINK("#'관리자_MASTER'!D"&amp;_xlfn.MAXIFS(m_row,m_teacher,G$4,m_date,($G$2+4),m_active,1,m_start,"&lt;"&amp;720,m_end,"&gt;"&amp;660),INDEX(m_label,_xlfn.MAXIFS(m_row,m_teacher,G$4,m_date,($G$2+4),m_active,1,m_start,"&lt;"&amp;720,m_end,"&gt;"&amp;660))))))</f>
        <v/>
      </c>
      <c r="H51" s="82" t="str">
        <f aca="false">IF(OR(H$4="",MONTH(($G$2+4))&lt;&gt;MONTH($C$2)),"",IF(COUNTIFS(m_teacher,H$4,m_date,($G$2+4),m_active,1,m_start,"&lt;"&amp;720,m_end,"&gt;"&amp;660)=0,"",IF(COUNTIFS(m_teacher,H$4,m_date,($G$2+4),m_active,1,m_start,"&lt;"&amp;720,m_end,"&gt;"&amp;660)&gt;1,"충돌",HYPERLINK("#'관리자_MASTER'!D"&amp;_xlfn.MAXIFS(m_row,m_teacher,H$4,m_date,($G$2+4),m_active,1,m_start,"&lt;"&amp;720,m_end,"&gt;"&amp;660),INDEX(m_label,_xlfn.MAXIFS(m_row,m_teacher,H$4,m_date,($G$2+4),m_active,1,m_start,"&lt;"&amp;720,m_end,"&gt;"&amp;660))))))</f>
        <v/>
      </c>
      <c r="I51" s="82" t="str">
        <f aca="false">IF(OR(I$4="",MONTH(($G$2+4))&lt;&gt;MONTH($C$2)),"",IF(COUNTIFS(m_teacher,I$4,m_date,($G$2+4),m_active,1,m_start,"&lt;"&amp;720,m_end,"&gt;"&amp;660)=0,"",IF(COUNTIFS(m_teacher,I$4,m_date,($G$2+4),m_active,1,m_start,"&lt;"&amp;720,m_end,"&gt;"&amp;660)&gt;1,"충돌",HYPERLINK("#'관리자_MASTER'!D"&amp;_xlfn.MAXIFS(m_row,m_teacher,I$4,m_date,($G$2+4),m_active,1,m_start,"&lt;"&amp;720,m_end,"&gt;"&amp;660),INDEX(m_label,_xlfn.MAXIFS(m_row,m_teacher,I$4,m_date,($G$2+4),m_active,1,m_start,"&lt;"&amp;720,m_end,"&gt;"&amp;660))))))</f>
        <v/>
      </c>
      <c r="J51" s="82" t="str">
        <f aca="false">IF(OR(J$4="",MONTH(($G$2+4))&lt;&gt;MONTH($C$2)),"",IF(COUNTIFS(m_teacher,J$4,m_date,($G$2+4),m_active,1,m_start,"&lt;"&amp;720,m_end,"&gt;"&amp;660)=0,"",IF(COUNTIFS(m_teacher,J$4,m_date,($G$2+4),m_active,1,m_start,"&lt;"&amp;720,m_end,"&gt;"&amp;660)&gt;1,"충돌",HYPERLINK("#'관리자_MASTER'!D"&amp;_xlfn.MAXIFS(m_row,m_teacher,J$4,m_date,($G$2+4),m_active,1,m_start,"&lt;"&amp;720,m_end,"&gt;"&amp;660),INDEX(m_label,_xlfn.MAXIFS(m_row,m_teacher,J$4,m_date,($G$2+4),m_active,1,m_start,"&lt;"&amp;720,m_end,"&gt;"&amp;660))))))</f>
        <v/>
      </c>
      <c r="K51" s="82" t="str">
        <f aca="false">IF(OR(K$4="",MONTH(($G$2+4))&lt;&gt;MONTH($C$2)),"",IF(COUNTIFS(m_teacher,K$4,m_date,($G$2+4),m_active,1,m_start,"&lt;"&amp;720,m_end,"&gt;"&amp;660)=0,"",IF(COUNTIFS(m_teacher,K$4,m_date,($G$2+4),m_active,1,m_start,"&lt;"&amp;720,m_end,"&gt;"&amp;660)&gt;1,"충돌",HYPERLINK("#'관리자_MASTER'!D"&amp;_xlfn.MAXIFS(m_row,m_teacher,K$4,m_date,($G$2+4),m_active,1,m_start,"&lt;"&amp;720,m_end,"&gt;"&amp;660),INDEX(m_label,_xlfn.MAXIFS(m_row,m_teacher,K$4,m_date,($G$2+4),m_active,1,m_start,"&lt;"&amp;720,m_end,"&gt;"&amp;660))))))</f>
        <v/>
      </c>
      <c r="L51" s="82" t="str">
        <f aca="false">IF(OR(L$4="",MONTH(($G$2+4))&lt;&gt;MONTH($C$2)),"",IF(COUNTIFS(m_teacher,L$4,m_date,($G$2+4),m_active,1,m_start,"&lt;"&amp;720,m_end,"&gt;"&amp;660)=0,"",IF(COUNTIFS(m_teacher,L$4,m_date,($G$2+4),m_active,1,m_start,"&lt;"&amp;720,m_end,"&gt;"&amp;660)&gt;1,"충돌",HYPERLINK("#'관리자_MASTER'!D"&amp;_xlfn.MAXIFS(m_row,m_teacher,L$4,m_date,($G$2+4),m_active,1,m_start,"&lt;"&amp;720,m_end,"&gt;"&amp;660),INDEX(m_label,_xlfn.MAXIFS(m_row,m_teacher,L$4,m_date,($G$2+4),m_active,1,m_start,"&lt;"&amp;720,m_end,"&gt;"&amp;660))))))</f>
        <v/>
      </c>
      <c r="M51" s="82" t="str">
        <f aca="false">IF(OR(M$4="",MONTH(($G$2+4))&lt;&gt;MONTH($C$2)),"",IF(COUNTIFS(m_teacher,M$4,m_date,($G$2+4),m_active,1,m_start,"&lt;"&amp;720,m_end,"&gt;"&amp;660)=0,"",IF(COUNTIFS(m_teacher,M$4,m_date,($G$2+4),m_active,1,m_start,"&lt;"&amp;720,m_end,"&gt;"&amp;660)&gt;1,"충돌",HYPERLINK("#'관리자_MASTER'!D"&amp;_xlfn.MAXIFS(m_row,m_teacher,M$4,m_date,($G$2+4),m_active,1,m_start,"&lt;"&amp;720,m_end,"&gt;"&amp;660),INDEX(m_label,_xlfn.MAXIFS(m_row,m_teacher,M$4,m_date,($G$2+4),m_active,1,m_start,"&lt;"&amp;720,m_end,"&gt;"&amp;660))))))</f>
        <v/>
      </c>
      <c r="N51" s="82" t="str">
        <f aca="false">IF(OR(N$4="",MONTH(($G$2+4))&lt;&gt;MONTH($C$2)),"",IF(COUNTIFS(m_teacher,N$4,m_date,($G$2+4),m_active,1,m_start,"&lt;"&amp;720,m_end,"&gt;"&amp;660)=0,"",IF(COUNTIFS(m_teacher,N$4,m_date,($G$2+4),m_active,1,m_start,"&lt;"&amp;720,m_end,"&gt;"&amp;660)&gt;1,"충돌",HYPERLINK("#'관리자_MASTER'!D"&amp;_xlfn.MAXIFS(m_row,m_teacher,N$4,m_date,($G$2+4),m_active,1,m_start,"&lt;"&amp;720,m_end,"&gt;"&amp;660),INDEX(m_label,_xlfn.MAXIFS(m_row,m_teacher,N$4,m_date,($G$2+4),m_active,1,m_start,"&lt;"&amp;720,m_end,"&gt;"&amp;660))))))</f>
        <v/>
      </c>
      <c r="O51" s="78"/>
      <c r="P51" s="79" t="s">
        <v>93</v>
      </c>
      <c r="Q51" s="82" t="str">
        <f aca="false">IF(OR(Q$4="",MONTH(($G$2+11))&lt;&gt;MONTH($C$2)),"",IF(COUNTIFS(m_teacher,Q$4,m_date,($G$2+11),m_active,1,m_start,"&lt;"&amp;720,m_end,"&gt;"&amp;660)=0,"",IF(COUNTIFS(m_teacher,Q$4,m_date,($G$2+11),m_active,1,m_start,"&lt;"&amp;720,m_end,"&gt;"&amp;660)&gt;1,"충돌",HYPERLINK("#'관리자_MASTER'!D"&amp;_xlfn.MAXIFS(m_row,m_teacher,Q$4,m_date,($G$2+11),m_active,1,m_start,"&lt;"&amp;720,m_end,"&gt;"&amp;660),INDEX(m_label,_xlfn.MAXIFS(m_row,m_teacher,Q$4,m_date,($G$2+11),m_active,1,m_start,"&lt;"&amp;720,m_end,"&gt;"&amp;660))))))</f>
        <v/>
      </c>
      <c r="R51" s="82" t="str">
        <f aca="false">IF(OR(R$4="",MONTH(($G$2+11))&lt;&gt;MONTH($C$2)),"",IF(COUNTIFS(m_teacher,R$4,m_date,($G$2+11),m_active,1,m_start,"&lt;"&amp;720,m_end,"&gt;"&amp;660)=0,"",IF(COUNTIFS(m_teacher,R$4,m_date,($G$2+11),m_active,1,m_start,"&lt;"&amp;720,m_end,"&gt;"&amp;660)&gt;1,"충돌",HYPERLINK("#'관리자_MASTER'!D"&amp;_xlfn.MAXIFS(m_row,m_teacher,R$4,m_date,($G$2+11),m_active,1,m_start,"&lt;"&amp;720,m_end,"&gt;"&amp;660),INDEX(m_label,_xlfn.MAXIFS(m_row,m_teacher,R$4,m_date,($G$2+11),m_active,1,m_start,"&lt;"&amp;720,m_end,"&gt;"&amp;660))))))</f>
        <v/>
      </c>
      <c r="S51" s="82" t="str">
        <f aca="false">IF(OR(S$4="",MONTH(($G$2+11))&lt;&gt;MONTH($C$2)),"",IF(COUNTIFS(m_teacher,S$4,m_date,($G$2+11),m_active,1,m_start,"&lt;"&amp;720,m_end,"&gt;"&amp;660)=0,"",IF(COUNTIFS(m_teacher,S$4,m_date,($G$2+11),m_active,1,m_start,"&lt;"&amp;720,m_end,"&gt;"&amp;660)&gt;1,"충돌",HYPERLINK("#'관리자_MASTER'!D"&amp;_xlfn.MAXIFS(m_row,m_teacher,S$4,m_date,($G$2+11),m_active,1,m_start,"&lt;"&amp;720,m_end,"&gt;"&amp;660),INDEX(m_label,_xlfn.MAXIFS(m_row,m_teacher,S$4,m_date,($G$2+11),m_active,1,m_start,"&lt;"&amp;720,m_end,"&gt;"&amp;660))))))</f>
        <v/>
      </c>
      <c r="T51" s="82" t="str">
        <f aca="false">IF(OR(T$4="",MONTH(($G$2+11))&lt;&gt;MONTH($C$2)),"",IF(COUNTIFS(m_teacher,T$4,m_date,($G$2+11),m_active,1,m_start,"&lt;"&amp;720,m_end,"&gt;"&amp;660)=0,"",IF(COUNTIFS(m_teacher,T$4,m_date,($G$2+11),m_active,1,m_start,"&lt;"&amp;720,m_end,"&gt;"&amp;660)&gt;1,"충돌",HYPERLINK("#'관리자_MASTER'!D"&amp;_xlfn.MAXIFS(m_row,m_teacher,T$4,m_date,($G$2+11),m_active,1,m_start,"&lt;"&amp;720,m_end,"&gt;"&amp;660),INDEX(m_label,_xlfn.MAXIFS(m_row,m_teacher,T$4,m_date,($G$2+11),m_active,1,m_start,"&lt;"&amp;720,m_end,"&gt;"&amp;660))))))</f>
        <v/>
      </c>
      <c r="U51" s="82" t="str">
        <f aca="false">IF(OR(U$4="",MONTH(($G$2+11))&lt;&gt;MONTH($C$2)),"",IF(COUNTIFS(m_teacher,U$4,m_date,($G$2+11),m_active,1,m_start,"&lt;"&amp;720,m_end,"&gt;"&amp;660)=0,"",IF(COUNTIFS(m_teacher,U$4,m_date,($G$2+11),m_active,1,m_start,"&lt;"&amp;720,m_end,"&gt;"&amp;660)&gt;1,"충돌",HYPERLINK("#'관리자_MASTER'!D"&amp;_xlfn.MAXIFS(m_row,m_teacher,U$4,m_date,($G$2+11),m_active,1,m_start,"&lt;"&amp;720,m_end,"&gt;"&amp;660),INDEX(m_label,_xlfn.MAXIFS(m_row,m_teacher,U$4,m_date,($G$2+11),m_active,1,m_start,"&lt;"&amp;720,m_end,"&gt;"&amp;660))))))</f>
        <v/>
      </c>
      <c r="V51" s="82" t="str">
        <f aca="false">IF(OR(V$4="",MONTH(($G$2+11))&lt;&gt;MONTH($C$2)),"",IF(COUNTIFS(m_teacher,V$4,m_date,($G$2+11),m_active,1,m_start,"&lt;"&amp;720,m_end,"&gt;"&amp;660)=0,"",IF(COUNTIFS(m_teacher,V$4,m_date,($G$2+11),m_active,1,m_start,"&lt;"&amp;720,m_end,"&gt;"&amp;660)&gt;1,"충돌",HYPERLINK("#'관리자_MASTER'!D"&amp;_xlfn.MAXIFS(m_row,m_teacher,V$4,m_date,($G$2+11),m_active,1,m_start,"&lt;"&amp;720,m_end,"&gt;"&amp;660),INDEX(m_label,_xlfn.MAXIFS(m_row,m_teacher,V$4,m_date,($G$2+11),m_active,1,m_start,"&lt;"&amp;720,m_end,"&gt;"&amp;660))))))</f>
        <v/>
      </c>
      <c r="W51" s="82" t="str">
        <f aca="false">IF(OR(W$4="",MONTH(($G$2+11))&lt;&gt;MONTH($C$2)),"",IF(COUNTIFS(m_teacher,W$4,m_date,($G$2+11),m_active,1,m_start,"&lt;"&amp;720,m_end,"&gt;"&amp;660)=0,"",IF(COUNTIFS(m_teacher,W$4,m_date,($G$2+11),m_active,1,m_start,"&lt;"&amp;720,m_end,"&gt;"&amp;660)&gt;1,"충돌",HYPERLINK("#'관리자_MASTER'!D"&amp;_xlfn.MAXIFS(m_row,m_teacher,W$4,m_date,($G$2+11),m_active,1,m_start,"&lt;"&amp;720,m_end,"&gt;"&amp;660),INDEX(m_label,_xlfn.MAXIFS(m_row,m_teacher,W$4,m_date,($G$2+11),m_active,1,m_start,"&lt;"&amp;720,m_end,"&gt;"&amp;660))))))</f>
        <v/>
      </c>
      <c r="X51" s="82" t="str">
        <f aca="false">IF(OR(X$4="",MONTH(($G$2+11))&lt;&gt;MONTH($C$2)),"",IF(COUNTIFS(m_teacher,X$4,m_date,($G$2+11),m_active,1,m_start,"&lt;"&amp;720,m_end,"&gt;"&amp;660)=0,"",IF(COUNTIFS(m_teacher,X$4,m_date,($G$2+11),m_active,1,m_start,"&lt;"&amp;720,m_end,"&gt;"&amp;660)&gt;1,"충돌",HYPERLINK("#'관리자_MASTER'!D"&amp;_xlfn.MAXIFS(m_row,m_teacher,X$4,m_date,($G$2+11),m_active,1,m_start,"&lt;"&amp;720,m_end,"&gt;"&amp;660),INDEX(m_label,_xlfn.MAXIFS(m_row,m_teacher,X$4,m_date,($G$2+11),m_active,1,m_start,"&lt;"&amp;720,m_end,"&gt;"&amp;660))))))</f>
        <v/>
      </c>
      <c r="Y51" s="82" t="str">
        <f aca="false">IF(OR(Y$4="",MONTH(($G$2+11))&lt;&gt;MONTH($C$2)),"",IF(COUNTIFS(m_teacher,Y$4,m_date,($G$2+11),m_active,1,m_start,"&lt;"&amp;720,m_end,"&gt;"&amp;660)=0,"",IF(COUNTIFS(m_teacher,Y$4,m_date,($G$2+11),m_active,1,m_start,"&lt;"&amp;720,m_end,"&gt;"&amp;660)&gt;1,"충돌",HYPERLINK("#'관리자_MASTER'!D"&amp;_xlfn.MAXIFS(m_row,m_teacher,Y$4,m_date,($G$2+11),m_active,1,m_start,"&lt;"&amp;720,m_end,"&gt;"&amp;660),INDEX(m_label,_xlfn.MAXIFS(m_row,m_teacher,Y$4,m_date,($G$2+11),m_active,1,m_start,"&lt;"&amp;720,m_end,"&gt;"&amp;660))))))</f>
        <v/>
      </c>
      <c r="Z51" s="82" t="str">
        <f aca="false">IF(OR(Z$4="",MONTH(($G$2+11))&lt;&gt;MONTH($C$2)),"",IF(COUNTIFS(m_teacher,Z$4,m_date,($G$2+11),m_active,1,m_start,"&lt;"&amp;720,m_end,"&gt;"&amp;660)=0,"",IF(COUNTIFS(m_teacher,Z$4,m_date,($G$2+11),m_active,1,m_start,"&lt;"&amp;720,m_end,"&gt;"&amp;660)&gt;1,"충돌",HYPERLINK("#'관리자_MASTER'!D"&amp;_xlfn.MAXIFS(m_row,m_teacher,Z$4,m_date,($G$2+11),m_active,1,m_start,"&lt;"&amp;720,m_end,"&gt;"&amp;660),INDEX(m_label,_xlfn.MAXIFS(m_row,m_teacher,Z$4,m_date,($G$2+11),m_active,1,m_start,"&lt;"&amp;720,m_end,"&gt;"&amp;660))))))</f>
        <v/>
      </c>
      <c r="AA51" s="82" t="str">
        <f aca="false">IF(OR(AA$4="",MONTH(($G$2+11))&lt;&gt;MONTH($C$2)),"",IF(COUNTIFS(m_teacher,AA$4,m_date,($G$2+11),m_active,1,m_start,"&lt;"&amp;720,m_end,"&gt;"&amp;660)=0,"",IF(COUNTIFS(m_teacher,AA$4,m_date,($G$2+11),m_active,1,m_start,"&lt;"&amp;720,m_end,"&gt;"&amp;660)&gt;1,"충돌",HYPERLINK("#'관리자_MASTER'!D"&amp;_xlfn.MAXIFS(m_row,m_teacher,AA$4,m_date,($G$2+11),m_active,1,m_start,"&lt;"&amp;720,m_end,"&gt;"&amp;660),INDEX(m_label,_xlfn.MAXIFS(m_row,m_teacher,AA$4,m_date,($G$2+11),m_active,1,m_start,"&lt;"&amp;720,m_end,"&gt;"&amp;660))))))</f>
        <v/>
      </c>
      <c r="AB51" s="82" t="str">
        <f aca="false">IF(OR(AB$4="",MONTH(($G$2+11))&lt;&gt;MONTH($C$2)),"",IF(COUNTIFS(m_teacher,AB$4,m_date,($G$2+11),m_active,1,m_start,"&lt;"&amp;720,m_end,"&gt;"&amp;660)=0,"",IF(COUNTIFS(m_teacher,AB$4,m_date,($G$2+11),m_active,1,m_start,"&lt;"&amp;720,m_end,"&gt;"&amp;660)&gt;1,"충돌",HYPERLINK("#'관리자_MASTER'!D"&amp;_xlfn.MAXIFS(m_row,m_teacher,AB$4,m_date,($G$2+11),m_active,1,m_start,"&lt;"&amp;720,m_end,"&gt;"&amp;660),INDEX(m_label,_xlfn.MAXIFS(m_row,m_teacher,AB$4,m_date,($G$2+11),m_active,1,m_start,"&lt;"&amp;720,m_end,"&gt;"&amp;660))))))</f>
        <v/>
      </c>
      <c r="AC51" s="78"/>
      <c r="AD51" s="79" t="s">
        <v>93</v>
      </c>
      <c r="AE51" s="82" t="str">
        <f aca="false">IF(OR(AE$4="",MONTH(($G$2+18))&lt;&gt;MONTH($C$2)),"",IF(COUNTIFS(m_teacher,AE$4,m_date,($G$2+18),m_active,1,m_start,"&lt;"&amp;720,m_end,"&gt;"&amp;660)=0,"",IF(COUNTIFS(m_teacher,AE$4,m_date,($G$2+18),m_active,1,m_start,"&lt;"&amp;720,m_end,"&gt;"&amp;660)&gt;1,"충돌",HYPERLINK("#'관리자_MASTER'!D"&amp;_xlfn.MAXIFS(m_row,m_teacher,AE$4,m_date,($G$2+18),m_active,1,m_start,"&lt;"&amp;720,m_end,"&gt;"&amp;660),INDEX(m_label,_xlfn.MAXIFS(m_row,m_teacher,AE$4,m_date,($G$2+18),m_active,1,m_start,"&lt;"&amp;720,m_end,"&gt;"&amp;660))))))</f>
        <v/>
      </c>
      <c r="AF51" s="82" t="str">
        <f aca="false">IF(OR(AF$4="",MONTH(($G$2+18))&lt;&gt;MONTH($C$2)),"",IF(COUNTIFS(m_teacher,AF$4,m_date,($G$2+18),m_active,1,m_start,"&lt;"&amp;720,m_end,"&gt;"&amp;660)=0,"",IF(COUNTIFS(m_teacher,AF$4,m_date,($G$2+18),m_active,1,m_start,"&lt;"&amp;720,m_end,"&gt;"&amp;660)&gt;1,"충돌",HYPERLINK("#'관리자_MASTER'!D"&amp;_xlfn.MAXIFS(m_row,m_teacher,AF$4,m_date,($G$2+18),m_active,1,m_start,"&lt;"&amp;720,m_end,"&gt;"&amp;660),INDEX(m_label,_xlfn.MAXIFS(m_row,m_teacher,AF$4,m_date,($G$2+18),m_active,1,m_start,"&lt;"&amp;720,m_end,"&gt;"&amp;660))))))</f>
        <v/>
      </c>
      <c r="AG51" s="82" t="str">
        <f aca="false">IF(OR(AG$4="",MONTH(($G$2+18))&lt;&gt;MONTH($C$2)),"",IF(COUNTIFS(m_teacher,AG$4,m_date,($G$2+18),m_active,1,m_start,"&lt;"&amp;720,m_end,"&gt;"&amp;660)=0,"",IF(COUNTIFS(m_teacher,AG$4,m_date,($G$2+18),m_active,1,m_start,"&lt;"&amp;720,m_end,"&gt;"&amp;660)&gt;1,"충돌",HYPERLINK("#'관리자_MASTER'!D"&amp;_xlfn.MAXIFS(m_row,m_teacher,AG$4,m_date,($G$2+18),m_active,1,m_start,"&lt;"&amp;720,m_end,"&gt;"&amp;660),INDEX(m_label,_xlfn.MAXIFS(m_row,m_teacher,AG$4,m_date,($G$2+18),m_active,1,m_start,"&lt;"&amp;720,m_end,"&gt;"&amp;660))))))</f>
        <v/>
      </c>
      <c r="AH51" s="82" t="str">
        <f aca="false">IF(OR(AH$4="",MONTH(($G$2+18))&lt;&gt;MONTH($C$2)),"",IF(COUNTIFS(m_teacher,AH$4,m_date,($G$2+18),m_active,1,m_start,"&lt;"&amp;720,m_end,"&gt;"&amp;660)=0,"",IF(COUNTIFS(m_teacher,AH$4,m_date,($G$2+18),m_active,1,m_start,"&lt;"&amp;720,m_end,"&gt;"&amp;660)&gt;1,"충돌",HYPERLINK("#'관리자_MASTER'!D"&amp;_xlfn.MAXIFS(m_row,m_teacher,AH$4,m_date,($G$2+18),m_active,1,m_start,"&lt;"&amp;720,m_end,"&gt;"&amp;660),INDEX(m_label,_xlfn.MAXIFS(m_row,m_teacher,AH$4,m_date,($G$2+18),m_active,1,m_start,"&lt;"&amp;720,m_end,"&gt;"&amp;660))))))</f>
        <v/>
      </c>
      <c r="AI51" s="82" t="str">
        <f aca="false">IF(OR(AI$4="",MONTH(($G$2+18))&lt;&gt;MONTH($C$2)),"",IF(COUNTIFS(m_teacher,AI$4,m_date,($G$2+18),m_active,1,m_start,"&lt;"&amp;720,m_end,"&gt;"&amp;660)=0,"",IF(COUNTIFS(m_teacher,AI$4,m_date,($G$2+18),m_active,1,m_start,"&lt;"&amp;720,m_end,"&gt;"&amp;660)&gt;1,"충돌",HYPERLINK("#'관리자_MASTER'!D"&amp;_xlfn.MAXIFS(m_row,m_teacher,AI$4,m_date,($G$2+18),m_active,1,m_start,"&lt;"&amp;720,m_end,"&gt;"&amp;660),INDEX(m_label,_xlfn.MAXIFS(m_row,m_teacher,AI$4,m_date,($G$2+18),m_active,1,m_start,"&lt;"&amp;720,m_end,"&gt;"&amp;660))))))</f>
        <v/>
      </c>
      <c r="AJ51" s="82" t="str">
        <f aca="false">IF(OR(AJ$4="",MONTH(($G$2+18))&lt;&gt;MONTH($C$2)),"",IF(COUNTIFS(m_teacher,AJ$4,m_date,($G$2+18),m_active,1,m_start,"&lt;"&amp;720,m_end,"&gt;"&amp;660)=0,"",IF(COUNTIFS(m_teacher,AJ$4,m_date,($G$2+18),m_active,1,m_start,"&lt;"&amp;720,m_end,"&gt;"&amp;660)&gt;1,"충돌",HYPERLINK("#'관리자_MASTER'!D"&amp;_xlfn.MAXIFS(m_row,m_teacher,AJ$4,m_date,($G$2+18),m_active,1,m_start,"&lt;"&amp;720,m_end,"&gt;"&amp;660),INDEX(m_label,_xlfn.MAXIFS(m_row,m_teacher,AJ$4,m_date,($G$2+18),m_active,1,m_start,"&lt;"&amp;720,m_end,"&gt;"&amp;660))))))</f>
        <v/>
      </c>
      <c r="AK51" s="82" t="str">
        <f aca="false">IF(OR(AK$4="",MONTH(($G$2+18))&lt;&gt;MONTH($C$2)),"",IF(COUNTIFS(m_teacher,AK$4,m_date,($G$2+18),m_active,1,m_start,"&lt;"&amp;720,m_end,"&gt;"&amp;660)=0,"",IF(COUNTIFS(m_teacher,AK$4,m_date,($G$2+18),m_active,1,m_start,"&lt;"&amp;720,m_end,"&gt;"&amp;660)&gt;1,"충돌",HYPERLINK("#'관리자_MASTER'!D"&amp;_xlfn.MAXIFS(m_row,m_teacher,AK$4,m_date,($G$2+18),m_active,1,m_start,"&lt;"&amp;720,m_end,"&gt;"&amp;660),INDEX(m_label,_xlfn.MAXIFS(m_row,m_teacher,AK$4,m_date,($G$2+18),m_active,1,m_start,"&lt;"&amp;720,m_end,"&gt;"&amp;660))))))</f>
        <v/>
      </c>
      <c r="AL51" s="82" t="str">
        <f aca="false">IF(OR(AL$4="",MONTH(($G$2+18))&lt;&gt;MONTH($C$2)),"",IF(COUNTIFS(m_teacher,AL$4,m_date,($G$2+18),m_active,1,m_start,"&lt;"&amp;720,m_end,"&gt;"&amp;660)=0,"",IF(COUNTIFS(m_teacher,AL$4,m_date,($G$2+18),m_active,1,m_start,"&lt;"&amp;720,m_end,"&gt;"&amp;660)&gt;1,"충돌",HYPERLINK("#'관리자_MASTER'!D"&amp;_xlfn.MAXIFS(m_row,m_teacher,AL$4,m_date,($G$2+18),m_active,1,m_start,"&lt;"&amp;720,m_end,"&gt;"&amp;660),INDEX(m_label,_xlfn.MAXIFS(m_row,m_teacher,AL$4,m_date,($G$2+18),m_active,1,m_start,"&lt;"&amp;720,m_end,"&gt;"&amp;660))))))</f>
        <v/>
      </c>
      <c r="AM51" s="82" t="str">
        <f aca="false">IF(OR(AM$4="",MONTH(($G$2+18))&lt;&gt;MONTH($C$2)),"",IF(COUNTIFS(m_teacher,AM$4,m_date,($G$2+18),m_active,1,m_start,"&lt;"&amp;720,m_end,"&gt;"&amp;660)=0,"",IF(COUNTIFS(m_teacher,AM$4,m_date,($G$2+18),m_active,1,m_start,"&lt;"&amp;720,m_end,"&gt;"&amp;660)&gt;1,"충돌",HYPERLINK("#'관리자_MASTER'!D"&amp;_xlfn.MAXIFS(m_row,m_teacher,AM$4,m_date,($G$2+18),m_active,1,m_start,"&lt;"&amp;720,m_end,"&gt;"&amp;660),INDEX(m_label,_xlfn.MAXIFS(m_row,m_teacher,AM$4,m_date,($G$2+18),m_active,1,m_start,"&lt;"&amp;720,m_end,"&gt;"&amp;660))))))</f>
        <v/>
      </c>
      <c r="AN51" s="82" t="str">
        <f aca="false">IF(OR(AN$4="",MONTH(($G$2+18))&lt;&gt;MONTH($C$2)),"",IF(COUNTIFS(m_teacher,AN$4,m_date,($G$2+18),m_active,1,m_start,"&lt;"&amp;720,m_end,"&gt;"&amp;660)=0,"",IF(COUNTIFS(m_teacher,AN$4,m_date,($G$2+18),m_active,1,m_start,"&lt;"&amp;720,m_end,"&gt;"&amp;660)&gt;1,"충돌",HYPERLINK("#'관리자_MASTER'!D"&amp;_xlfn.MAXIFS(m_row,m_teacher,AN$4,m_date,($G$2+18),m_active,1,m_start,"&lt;"&amp;720,m_end,"&gt;"&amp;660),INDEX(m_label,_xlfn.MAXIFS(m_row,m_teacher,AN$4,m_date,($G$2+18),m_active,1,m_start,"&lt;"&amp;720,m_end,"&gt;"&amp;660))))))</f>
        <v/>
      </c>
      <c r="AO51" s="82" t="str">
        <f aca="false">IF(OR(AO$4="",MONTH(($G$2+18))&lt;&gt;MONTH($C$2)),"",IF(COUNTIFS(m_teacher,AO$4,m_date,($G$2+18),m_active,1,m_start,"&lt;"&amp;720,m_end,"&gt;"&amp;660)=0,"",IF(COUNTIFS(m_teacher,AO$4,m_date,($G$2+18),m_active,1,m_start,"&lt;"&amp;720,m_end,"&gt;"&amp;660)&gt;1,"충돌",HYPERLINK("#'관리자_MASTER'!D"&amp;_xlfn.MAXIFS(m_row,m_teacher,AO$4,m_date,($G$2+18),m_active,1,m_start,"&lt;"&amp;720,m_end,"&gt;"&amp;660),INDEX(m_label,_xlfn.MAXIFS(m_row,m_teacher,AO$4,m_date,($G$2+18),m_active,1,m_start,"&lt;"&amp;720,m_end,"&gt;"&amp;660))))))</f>
        <v/>
      </c>
      <c r="AP51" s="82" t="str">
        <f aca="false">IF(OR(AP$4="",MONTH(($G$2+18))&lt;&gt;MONTH($C$2)),"",IF(COUNTIFS(m_teacher,AP$4,m_date,($G$2+18),m_active,1,m_start,"&lt;"&amp;720,m_end,"&gt;"&amp;660)=0,"",IF(COUNTIFS(m_teacher,AP$4,m_date,($G$2+18),m_active,1,m_start,"&lt;"&amp;720,m_end,"&gt;"&amp;660)&gt;1,"충돌",HYPERLINK("#'관리자_MASTER'!D"&amp;_xlfn.MAXIFS(m_row,m_teacher,AP$4,m_date,($G$2+18),m_active,1,m_start,"&lt;"&amp;720,m_end,"&gt;"&amp;660),INDEX(m_label,_xlfn.MAXIFS(m_row,m_teacher,AP$4,m_date,($G$2+18),m_active,1,m_start,"&lt;"&amp;720,m_end,"&gt;"&amp;660))))))</f>
        <v/>
      </c>
      <c r="AQ51" s="78"/>
      <c r="AR51" s="79" t="s">
        <v>93</v>
      </c>
      <c r="AS51" s="82" t="str">
        <f aca="false">IF(OR(AS$4="",MONTH(($G$2+25))&lt;&gt;MONTH($C$2)),"",IF(COUNTIFS(m_teacher,AS$4,m_date,($G$2+25),m_active,1,m_start,"&lt;"&amp;720,m_end,"&gt;"&amp;660)=0,"",IF(COUNTIFS(m_teacher,AS$4,m_date,($G$2+25),m_active,1,m_start,"&lt;"&amp;720,m_end,"&gt;"&amp;660)&gt;1,"충돌",HYPERLINK("#'관리자_MASTER'!D"&amp;_xlfn.MAXIFS(m_row,m_teacher,AS$4,m_date,($G$2+25),m_active,1,m_start,"&lt;"&amp;720,m_end,"&gt;"&amp;660),INDEX(m_label,_xlfn.MAXIFS(m_row,m_teacher,AS$4,m_date,($G$2+25),m_active,1,m_start,"&lt;"&amp;720,m_end,"&gt;"&amp;660))))))</f>
        <v/>
      </c>
      <c r="AT51" s="82" t="str">
        <f aca="false">IF(OR(AT$4="",MONTH(($G$2+25))&lt;&gt;MONTH($C$2)),"",IF(COUNTIFS(m_teacher,AT$4,m_date,($G$2+25),m_active,1,m_start,"&lt;"&amp;720,m_end,"&gt;"&amp;660)=0,"",IF(COUNTIFS(m_teacher,AT$4,m_date,($G$2+25),m_active,1,m_start,"&lt;"&amp;720,m_end,"&gt;"&amp;660)&gt;1,"충돌",HYPERLINK("#'관리자_MASTER'!D"&amp;_xlfn.MAXIFS(m_row,m_teacher,AT$4,m_date,($G$2+25),m_active,1,m_start,"&lt;"&amp;720,m_end,"&gt;"&amp;660),INDEX(m_label,_xlfn.MAXIFS(m_row,m_teacher,AT$4,m_date,($G$2+25),m_active,1,m_start,"&lt;"&amp;720,m_end,"&gt;"&amp;660))))))</f>
        <v/>
      </c>
      <c r="AU51" s="82" t="str">
        <f aca="false">IF(OR(AU$4="",MONTH(($G$2+25))&lt;&gt;MONTH($C$2)),"",IF(COUNTIFS(m_teacher,AU$4,m_date,($G$2+25),m_active,1,m_start,"&lt;"&amp;720,m_end,"&gt;"&amp;660)=0,"",IF(COUNTIFS(m_teacher,AU$4,m_date,($G$2+25),m_active,1,m_start,"&lt;"&amp;720,m_end,"&gt;"&amp;660)&gt;1,"충돌",HYPERLINK("#'관리자_MASTER'!D"&amp;_xlfn.MAXIFS(m_row,m_teacher,AU$4,m_date,($G$2+25),m_active,1,m_start,"&lt;"&amp;720,m_end,"&gt;"&amp;660),INDEX(m_label,_xlfn.MAXIFS(m_row,m_teacher,AU$4,m_date,($G$2+25),m_active,1,m_start,"&lt;"&amp;720,m_end,"&gt;"&amp;660))))))</f>
        <v/>
      </c>
      <c r="AV51" s="82" t="str">
        <f aca="false">IF(OR(AV$4="",MONTH(($G$2+25))&lt;&gt;MONTH($C$2)),"",IF(COUNTIFS(m_teacher,AV$4,m_date,($G$2+25),m_active,1,m_start,"&lt;"&amp;720,m_end,"&gt;"&amp;660)=0,"",IF(COUNTIFS(m_teacher,AV$4,m_date,($G$2+25),m_active,1,m_start,"&lt;"&amp;720,m_end,"&gt;"&amp;660)&gt;1,"충돌",HYPERLINK("#'관리자_MASTER'!D"&amp;_xlfn.MAXIFS(m_row,m_teacher,AV$4,m_date,($G$2+25),m_active,1,m_start,"&lt;"&amp;720,m_end,"&gt;"&amp;660),INDEX(m_label,_xlfn.MAXIFS(m_row,m_teacher,AV$4,m_date,($G$2+25),m_active,1,m_start,"&lt;"&amp;720,m_end,"&gt;"&amp;660))))))</f>
        <v/>
      </c>
      <c r="AW51" s="82" t="str">
        <f aca="false">IF(OR(AW$4="",MONTH(($G$2+25))&lt;&gt;MONTH($C$2)),"",IF(COUNTIFS(m_teacher,AW$4,m_date,($G$2+25),m_active,1,m_start,"&lt;"&amp;720,m_end,"&gt;"&amp;660)=0,"",IF(COUNTIFS(m_teacher,AW$4,m_date,($G$2+25),m_active,1,m_start,"&lt;"&amp;720,m_end,"&gt;"&amp;660)&gt;1,"충돌",HYPERLINK("#'관리자_MASTER'!D"&amp;_xlfn.MAXIFS(m_row,m_teacher,AW$4,m_date,($G$2+25),m_active,1,m_start,"&lt;"&amp;720,m_end,"&gt;"&amp;660),INDEX(m_label,_xlfn.MAXIFS(m_row,m_teacher,AW$4,m_date,($G$2+25),m_active,1,m_start,"&lt;"&amp;720,m_end,"&gt;"&amp;660))))))</f>
        <v/>
      </c>
      <c r="AX51" s="82" t="str">
        <f aca="false">IF(OR(AX$4="",MONTH(($G$2+25))&lt;&gt;MONTH($C$2)),"",IF(COUNTIFS(m_teacher,AX$4,m_date,($G$2+25),m_active,1,m_start,"&lt;"&amp;720,m_end,"&gt;"&amp;660)=0,"",IF(COUNTIFS(m_teacher,AX$4,m_date,($G$2+25),m_active,1,m_start,"&lt;"&amp;720,m_end,"&gt;"&amp;660)&gt;1,"충돌",HYPERLINK("#'관리자_MASTER'!D"&amp;_xlfn.MAXIFS(m_row,m_teacher,AX$4,m_date,($G$2+25),m_active,1,m_start,"&lt;"&amp;720,m_end,"&gt;"&amp;660),INDEX(m_label,_xlfn.MAXIFS(m_row,m_teacher,AX$4,m_date,($G$2+25),m_active,1,m_start,"&lt;"&amp;720,m_end,"&gt;"&amp;660))))))</f>
        <v/>
      </c>
      <c r="AY51" s="82" t="str">
        <f aca="false">IF(OR(AY$4="",MONTH(($G$2+25))&lt;&gt;MONTH($C$2)),"",IF(COUNTIFS(m_teacher,AY$4,m_date,($G$2+25),m_active,1,m_start,"&lt;"&amp;720,m_end,"&gt;"&amp;660)=0,"",IF(COUNTIFS(m_teacher,AY$4,m_date,($G$2+25),m_active,1,m_start,"&lt;"&amp;720,m_end,"&gt;"&amp;660)&gt;1,"충돌",HYPERLINK("#'관리자_MASTER'!D"&amp;_xlfn.MAXIFS(m_row,m_teacher,AY$4,m_date,($G$2+25),m_active,1,m_start,"&lt;"&amp;720,m_end,"&gt;"&amp;660),INDEX(m_label,_xlfn.MAXIFS(m_row,m_teacher,AY$4,m_date,($G$2+25),m_active,1,m_start,"&lt;"&amp;720,m_end,"&gt;"&amp;660))))))</f>
        <v/>
      </c>
      <c r="AZ51" s="82" t="str">
        <f aca="false">IF(OR(AZ$4="",MONTH(($G$2+25))&lt;&gt;MONTH($C$2)),"",IF(COUNTIFS(m_teacher,AZ$4,m_date,($G$2+25),m_active,1,m_start,"&lt;"&amp;720,m_end,"&gt;"&amp;660)=0,"",IF(COUNTIFS(m_teacher,AZ$4,m_date,($G$2+25),m_active,1,m_start,"&lt;"&amp;720,m_end,"&gt;"&amp;660)&gt;1,"충돌",HYPERLINK("#'관리자_MASTER'!D"&amp;_xlfn.MAXIFS(m_row,m_teacher,AZ$4,m_date,($G$2+25),m_active,1,m_start,"&lt;"&amp;720,m_end,"&gt;"&amp;660),INDEX(m_label,_xlfn.MAXIFS(m_row,m_teacher,AZ$4,m_date,($G$2+25),m_active,1,m_start,"&lt;"&amp;720,m_end,"&gt;"&amp;660))))))</f>
        <v/>
      </c>
      <c r="BA51" s="82" t="str">
        <f aca="false">IF(OR(BA$4="",MONTH(($G$2+25))&lt;&gt;MONTH($C$2)),"",IF(COUNTIFS(m_teacher,BA$4,m_date,($G$2+25),m_active,1,m_start,"&lt;"&amp;720,m_end,"&gt;"&amp;660)=0,"",IF(COUNTIFS(m_teacher,BA$4,m_date,($G$2+25),m_active,1,m_start,"&lt;"&amp;720,m_end,"&gt;"&amp;660)&gt;1,"충돌",HYPERLINK("#'관리자_MASTER'!D"&amp;_xlfn.MAXIFS(m_row,m_teacher,BA$4,m_date,($G$2+25),m_active,1,m_start,"&lt;"&amp;720,m_end,"&gt;"&amp;660),INDEX(m_label,_xlfn.MAXIFS(m_row,m_teacher,BA$4,m_date,($G$2+25),m_active,1,m_start,"&lt;"&amp;720,m_end,"&gt;"&amp;660))))))</f>
        <v/>
      </c>
      <c r="BB51" s="82" t="str">
        <f aca="false">IF(OR(BB$4="",MONTH(($G$2+25))&lt;&gt;MONTH($C$2)),"",IF(COUNTIFS(m_teacher,BB$4,m_date,($G$2+25),m_active,1,m_start,"&lt;"&amp;720,m_end,"&gt;"&amp;660)=0,"",IF(COUNTIFS(m_teacher,BB$4,m_date,($G$2+25),m_active,1,m_start,"&lt;"&amp;720,m_end,"&gt;"&amp;660)&gt;1,"충돌",HYPERLINK("#'관리자_MASTER'!D"&amp;_xlfn.MAXIFS(m_row,m_teacher,BB$4,m_date,($G$2+25),m_active,1,m_start,"&lt;"&amp;720,m_end,"&gt;"&amp;660),INDEX(m_label,_xlfn.MAXIFS(m_row,m_teacher,BB$4,m_date,($G$2+25),m_active,1,m_start,"&lt;"&amp;720,m_end,"&gt;"&amp;660))))))</f>
        <v/>
      </c>
      <c r="BC51" s="82" t="str">
        <f aca="false">IF(OR(BC$4="",MONTH(($G$2+25))&lt;&gt;MONTH($C$2)),"",IF(COUNTIFS(m_teacher,BC$4,m_date,($G$2+25),m_active,1,m_start,"&lt;"&amp;720,m_end,"&gt;"&amp;660)=0,"",IF(COUNTIFS(m_teacher,BC$4,m_date,($G$2+25),m_active,1,m_start,"&lt;"&amp;720,m_end,"&gt;"&amp;660)&gt;1,"충돌",HYPERLINK("#'관리자_MASTER'!D"&amp;_xlfn.MAXIFS(m_row,m_teacher,BC$4,m_date,($G$2+25),m_active,1,m_start,"&lt;"&amp;720,m_end,"&gt;"&amp;660),INDEX(m_label,_xlfn.MAXIFS(m_row,m_teacher,BC$4,m_date,($G$2+25),m_active,1,m_start,"&lt;"&amp;720,m_end,"&gt;"&amp;660))))))</f>
        <v/>
      </c>
      <c r="BD51" s="82" t="str">
        <f aca="false">IF(OR(BD$4="",MONTH(($G$2+25))&lt;&gt;MONTH($C$2)),"",IF(COUNTIFS(m_teacher,BD$4,m_date,($G$2+25),m_active,1,m_start,"&lt;"&amp;720,m_end,"&gt;"&amp;660)=0,"",IF(COUNTIFS(m_teacher,BD$4,m_date,($G$2+25),m_active,1,m_start,"&lt;"&amp;720,m_end,"&gt;"&amp;660)&gt;1,"충돌",HYPERLINK("#'관리자_MASTER'!D"&amp;_xlfn.MAXIFS(m_row,m_teacher,BD$4,m_date,($G$2+25),m_active,1,m_start,"&lt;"&amp;720,m_end,"&gt;"&amp;660),INDEX(m_label,_xlfn.MAXIFS(m_row,m_teacher,BD$4,m_date,($G$2+25),m_active,1,m_start,"&lt;"&amp;720,m_end,"&gt;"&amp;660))))))</f>
        <v/>
      </c>
      <c r="BE51" s="75"/>
      <c r="BF51" s="76" t="s">
        <v>93</v>
      </c>
      <c r="BG51" s="81" t="str">
        <f aca="false">IF(OR(BG$4="",MONTH(($G$2+32))&lt;&gt;MONTH($C$2)),"",IF(COUNTIFS(m_teacher,BG$4,m_date,($G$2+32),m_active,1,m_start,"&lt;"&amp;720,m_end,"&gt;"&amp;660)=0,"",IF(COUNTIFS(m_teacher,BG$4,m_date,($G$2+32),m_active,1,m_start,"&lt;"&amp;720,m_end,"&gt;"&amp;660)&gt;1,"충돌",HYPERLINK("#'관리자_MASTER'!D"&amp;_xlfn.MAXIFS(m_row,m_teacher,BG$4,m_date,($G$2+32),m_active,1,m_start,"&lt;"&amp;720,m_end,"&gt;"&amp;660),INDEX(m_label,_xlfn.MAXIFS(m_row,m_teacher,BG$4,m_date,($G$2+32),m_active,1,m_start,"&lt;"&amp;720,m_end,"&gt;"&amp;660))))))</f>
        <v/>
      </c>
      <c r="BH51" s="81" t="str">
        <f aca="false">IF(OR(BH$4="",MONTH(($G$2+32))&lt;&gt;MONTH($C$2)),"",IF(COUNTIFS(m_teacher,BH$4,m_date,($G$2+32),m_active,1,m_start,"&lt;"&amp;720,m_end,"&gt;"&amp;660)=0,"",IF(COUNTIFS(m_teacher,BH$4,m_date,($G$2+32),m_active,1,m_start,"&lt;"&amp;720,m_end,"&gt;"&amp;660)&gt;1,"충돌",HYPERLINK("#'관리자_MASTER'!D"&amp;_xlfn.MAXIFS(m_row,m_teacher,BH$4,m_date,($G$2+32),m_active,1,m_start,"&lt;"&amp;720,m_end,"&gt;"&amp;660),INDEX(m_label,_xlfn.MAXIFS(m_row,m_teacher,BH$4,m_date,($G$2+32),m_active,1,m_start,"&lt;"&amp;720,m_end,"&gt;"&amp;660))))))</f>
        <v/>
      </c>
      <c r="BI51" s="81" t="str">
        <f aca="false">IF(OR(BI$4="",MONTH(($G$2+32))&lt;&gt;MONTH($C$2)),"",IF(COUNTIFS(m_teacher,BI$4,m_date,($G$2+32),m_active,1,m_start,"&lt;"&amp;720,m_end,"&gt;"&amp;660)=0,"",IF(COUNTIFS(m_teacher,BI$4,m_date,($G$2+32),m_active,1,m_start,"&lt;"&amp;720,m_end,"&gt;"&amp;660)&gt;1,"충돌",HYPERLINK("#'관리자_MASTER'!D"&amp;_xlfn.MAXIFS(m_row,m_teacher,BI$4,m_date,($G$2+32),m_active,1,m_start,"&lt;"&amp;720,m_end,"&gt;"&amp;660),INDEX(m_label,_xlfn.MAXIFS(m_row,m_teacher,BI$4,m_date,($G$2+32),m_active,1,m_start,"&lt;"&amp;720,m_end,"&gt;"&amp;660))))))</f>
        <v/>
      </c>
      <c r="BJ51" s="81" t="str">
        <f aca="false">IF(OR(BJ$4="",MONTH(($G$2+32))&lt;&gt;MONTH($C$2)),"",IF(COUNTIFS(m_teacher,BJ$4,m_date,($G$2+32),m_active,1,m_start,"&lt;"&amp;720,m_end,"&gt;"&amp;660)=0,"",IF(COUNTIFS(m_teacher,BJ$4,m_date,($G$2+32),m_active,1,m_start,"&lt;"&amp;720,m_end,"&gt;"&amp;660)&gt;1,"충돌",HYPERLINK("#'관리자_MASTER'!D"&amp;_xlfn.MAXIFS(m_row,m_teacher,BJ$4,m_date,($G$2+32),m_active,1,m_start,"&lt;"&amp;720,m_end,"&gt;"&amp;660),INDEX(m_label,_xlfn.MAXIFS(m_row,m_teacher,BJ$4,m_date,($G$2+32),m_active,1,m_start,"&lt;"&amp;720,m_end,"&gt;"&amp;660))))))</f>
        <v/>
      </c>
      <c r="BK51" s="81" t="str">
        <f aca="false">IF(OR(BK$4="",MONTH(($G$2+32))&lt;&gt;MONTH($C$2)),"",IF(COUNTIFS(m_teacher,BK$4,m_date,($G$2+32),m_active,1,m_start,"&lt;"&amp;720,m_end,"&gt;"&amp;660)=0,"",IF(COUNTIFS(m_teacher,BK$4,m_date,($G$2+32),m_active,1,m_start,"&lt;"&amp;720,m_end,"&gt;"&amp;660)&gt;1,"충돌",HYPERLINK("#'관리자_MASTER'!D"&amp;_xlfn.MAXIFS(m_row,m_teacher,BK$4,m_date,($G$2+32),m_active,1,m_start,"&lt;"&amp;720,m_end,"&gt;"&amp;660),INDEX(m_label,_xlfn.MAXIFS(m_row,m_teacher,BK$4,m_date,($G$2+32),m_active,1,m_start,"&lt;"&amp;720,m_end,"&gt;"&amp;660))))))</f>
        <v/>
      </c>
      <c r="BL51" s="81" t="str">
        <f aca="false">IF(OR(BL$4="",MONTH(($G$2+32))&lt;&gt;MONTH($C$2)),"",IF(COUNTIFS(m_teacher,BL$4,m_date,($G$2+32),m_active,1,m_start,"&lt;"&amp;720,m_end,"&gt;"&amp;660)=0,"",IF(COUNTIFS(m_teacher,BL$4,m_date,($G$2+32),m_active,1,m_start,"&lt;"&amp;720,m_end,"&gt;"&amp;660)&gt;1,"충돌",HYPERLINK("#'관리자_MASTER'!D"&amp;_xlfn.MAXIFS(m_row,m_teacher,BL$4,m_date,($G$2+32),m_active,1,m_start,"&lt;"&amp;720,m_end,"&gt;"&amp;660),INDEX(m_label,_xlfn.MAXIFS(m_row,m_teacher,BL$4,m_date,($G$2+32),m_active,1,m_start,"&lt;"&amp;720,m_end,"&gt;"&amp;660))))))</f>
        <v/>
      </c>
      <c r="BM51" s="81" t="str">
        <f aca="false">IF(OR(BM$4="",MONTH(($G$2+32))&lt;&gt;MONTH($C$2)),"",IF(COUNTIFS(m_teacher,BM$4,m_date,($G$2+32),m_active,1,m_start,"&lt;"&amp;720,m_end,"&gt;"&amp;660)=0,"",IF(COUNTIFS(m_teacher,BM$4,m_date,($G$2+32),m_active,1,m_start,"&lt;"&amp;720,m_end,"&gt;"&amp;660)&gt;1,"충돌",HYPERLINK("#'관리자_MASTER'!D"&amp;_xlfn.MAXIFS(m_row,m_teacher,BM$4,m_date,($G$2+32),m_active,1,m_start,"&lt;"&amp;720,m_end,"&gt;"&amp;660),INDEX(m_label,_xlfn.MAXIFS(m_row,m_teacher,BM$4,m_date,($G$2+32),m_active,1,m_start,"&lt;"&amp;720,m_end,"&gt;"&amp;660))))))</f>
        <v/>
      </c>
      <c r="BN51" s="81" t="str">
        <f aca="false">IF(OR(BN$4="",MONTH(($G$2+32))&lt;&gt;MONTH($C$2)),"",IF(COUNTIFS(m_teacher,BN$4,m_date,($G$2+32),m_active,1,m_start,"&lt;"&amp;720,m_end,"&gt;"&amp;660)=0,"",IF(COUNTIFS(m_teacher,BN$4,m_date,($G$2+32),m_active,1,m_start,"&lt;"&amp;720,m_end,"&gt;"&amp;660)&gt;1,"충돌",HYPERLINK("#'관리자_MASTER'!D"&amp;_xlfn.MAXIFS(m_row,m_teacher,BN$4,m_date,($G$2+32),m_active,1,m_start,"&lt;"&amp;720,m_end,"&gt;"&amp;660),INDEX(m_label,_xlfn.MAXIFS(m_row,m_teacher,BN$4,m_date,($G$2+32),m_active,1,m_start,"&lt;"&amp;720,m_end,"&gt;"&amp;660))))))</f>
        <v/>
      </c>
      <c r="BO51" s="81" t="str">
        <f aca="false">IF(OR(BO$4="",MONTH(($G$2+32))&lt;&gt;MONTH($C$2)),"",IF(COUNTIFS(m_teacher,BO$4,m_date,($G$2+32),m_active,1,m_start,"&lt;"&amp;720,m_end,"&gt;"&amp;660)=0,"",IF(COUNTIFS(m_teacher,BO$4,m_date,($G$2+32),m_active,1,m_start,"&lt;"&amp;720,m_end,"&gt;"&amp;660)&gt;1,"충돌",HYPERLINK("#'관리자_MASTER'!D"&amp;_xlfn.MAXIFS(m_row,m_teacher,BO$4,m_date,($G$2+32),m_active,1,m_start,"&lt;"&amp;720,m_end,"&gt;"&amp;660),INDEX(m_label,_xlfn.MAXIFS(m_row,m_teacher,BO$4,m_date,($G$2+32),m_active,1,m_start,"&lt;"&amp;720,m_end,"&gt;"&amp;660))))))</f>
        <v/>
      </c>
      <c r="BP51" s="81" t="str">
        <f aca="false">IF(OR(BP$4="",MONTH(($G$2+32))&lt;&gt;MONTH($C$2)),"",IF(COUNTIFS(m_teacher,BP$4,m_date,($G$2+32),m_active,1,m_start,"&lt;"&amp;720,m_end,"&gt;"&amp;660)=0,"",IF(COUNTIFS(m_teacher,BP$4,m_date,($G$2+32),m_active,1,m_start,"&lt;"&amp;720,m_end,"&gt;"&amp;660)&gt;1,"충돌",HYPERLINK("#'관리자_MASTER'!D"&amp;_xlfn.MAXIFS(m_row,m_teacher,BP$4,m_date,($G$2+32),m_active,1,m_start,"&lt;"&amp;720,m_end,"&gt;"&amp;660),INDEX(m_label,_xlfn.MAXIFS(m_row,m_teacher,BP$4,m_date,($G$2+32),m_active,1,m_start,"&lt;"&amp;720,m_end,"&gt;"&amp;660))))))</f>
        <v/>
      </c>
      <c r="BQ51" s="81" t="str">
        <f aca="false">IF(OR(BQ$4="",MONTH(($G$2+32))&lt;&gt;MONTH($C$2)),"",IF(COUNTIFS(m_teacher,BQ$4,m_date,($G$2+32),m_active,1,m_start,"&lt;"&amp;720,m_end,"&gt;"&amp;660)=0,"",IF(COUNTIFS(m_teacher,BQ$4,m_date,($G$2+32),m_active,1,m_start,"&lt;"&amp;720,m_end,"&gt;"&amp;660)&gt;1,"충돌",HYPERLINK("#'관리자_MASTER'!D"&amp;_xlfn.MAXIFS(m_row,m_teacher,BQ$4,m_date,($G$2+32),m_active,1,m_start,"&lt;"&amp;720,m_end,"&gt;"&amp;660),INDEX(m_label,_xlfn.MAXIFS(m_row,m_teacher,BQ$4,m_date,($G$2+32),m_active,1,m_start,"&lt;"&amp;720,m_end,"&gt;"&amp;660))))))</f>
        <v/>
      </c>
      <c r="BR51" s="81" t="str">
        <f aca="false">IF(OR(BR$4="",MONTH(($G$2+32))&lt;&gt;MONTH($C$2)),"",IF(COUNTIFS(m_teacher,BR$4,m_date,($G$2+32),m_active,1,m_start,"&lt;"&amp;720,m_end,"&gt;"&amp;660)=0,"",IF(COUNTIFS(m_teacher,BR$4,m_date,($G$2+32),m_active,1,m_start,"&lt;"&amp;720,m_end,"&gt;"&amp;660)&gt;1,"충돌",HYPERLINK("#'관리자_MASTER'!D"&amp;_xlfn.MAXIFS(m_row,m_teacher,BR$4,m_date,($G$2+32),m_active,1,m_start,"&lt;"&amp;720,m_end,"&gt;"&amp;660),INDEX(m_label,_xlfn.MAXIFS(m_row,m_teacher,BR$4,m_date,($G$2+32),m_active,1,m_start,"&lt;"&amp;720,m_end,"&gt;"&amp;660))))))</f>
        <v/>
      </c>
    </row>
    <row r="52" customFormat="false" ht="19.5" hidden="false" customHeight="true" outlineLevel="0" collapsed="false">
      <c r="A52" s="78"/>
      <c r="B52" s="79" t="s">
        <v>94</v>
      </c>
      <c r="C52" s="82" t="str">
        <f aca="false">IF(OR(C$4="",MONTH(($G$2+4))&lt;&gt;MONTH($C$2)),"",IF(COUNTIFS(m_teacher,C$4,m_date,($G$2+4),m_active,1,m_start,"&lt;"&amp;780,m_end,"&gt;"&amp;720)=0,"",IF(COUNTIFS(m_teacher,C$4,m_date,($G$2+4),m_active,1,m_start,"&lt;"&amp;780,m_end,"&gt;"&amp;720)&gt;1,"충돌",HYPERLINK("#'관리자_MASTER'!D"&amp;_xlfn.MAXIFS(m_row,m_teacher,C$4,m_date,($G$2+4),m_active,1,m_start,"&lt;"&amp;780,m_end,"&gt;"&amp;720),INDEX(m_label,_xlfn.MAXIFS(m_row,m_teacher,C$4,m_date,($G$2+4),m_active,1,m_start,"&lt;"&amp;780,m_end,"&gt;"&amp;720))))))</f>
        <v/>
      </c>
      <c r="D52" s="82" t="str">
        <f aca="false">IF(OR(D$4="",MONTH(($G$2+4))&lt;&gt;MONTH($C$2)),"",IF(COUNTIFS(m_teacher,D$4,m_date,($G$2+4),m_active,1,m_start,"&lt;"&amp;780,m_end,"&gt;"&amp;720)=0,"",IF(COUNTIFS(m_teacher,D$4,m_date,($G$2+4),m_active,1,m_start,"&lt;"&amp;780,m_end,"&gt;"&amp;720)&gt;1,"충돌",HYPERLINK("#'관리자_MASTER'!D"&amp;_xlfn.MAXIFS(m_row,m_teacher,D$4,m_date,($G$2+4),m_active,1,m_start,"&lt;"&amp;780,m_end,"&gt;"&amp;720),INDEX(m_label,_xlfn.MAXIFS(m_row,m_teacher,D$4,m_date,($G$2+4),m_active,1,m_start,"&lt;"&amp;780,m_end,"&gt;"&amp;720))))))</f>
        <v/>
      </c>
      <c r="E52" s="82" t="str">
        <f aca="false">IF(OR(E$4="",MONTH(($G$2+4))&lt;&gt;MONTH($C$2)),"",IF(COUNTIFS(m_teacher,E$4,m_date,($G$2+4),m_active,1,m_start,"&lt;"&amp;780,m_end,"&gt;"&amp;720)=0,"",IF(COUNTIFS(m_teacher,E$4,m_date,($G$2+4),m_active,1,m_start,"&lt;"&amp;780,m_end,"&gt;"&amp;720)&gt;1,"충돌",HYPERLINK("#'관리자_MASTER'!D"&amp;_xlfn.MAXIFS(m_row,m_teacher,E$4,m_date,($G$2+4),m_active,1,m_start,"&lt;"&amp;780,m_end,"&gt;"&amp;720),INDEX(m_label,_xlfn.MAXIFS(m_row,m_teacher,E$4,m_date,($G$2+4),m_active,1,m_start,"&lt;"&amp;780,m_end,"&gt;"&amp;720))))))</f>
        <v/>
      </c>
      <c r="F52" s="82" t="str">
        <f aca="false">IF(OR(F$4="",MONTH(($G$2+4))&lt;&gt;MONTH($C$2)),"",IF(COUNTIFS(m_teacher,F$4,m_date,($G$2+4),m_active,1,m_start,"&lt;"&amp;780,m_end,"&gt;"&amp;720)=0,"",IF(COUNTIFS(m_teacher,F$4,m_date,($G$2+4),m_active,1,m_start,"&lt;"&amp;780,m_end,"&gt;"&amp;720)&gt;1,"충돌",HYPERLINK("#'관리자_MASTER'!D"&amp;_xlfn.MAXIFS(m_row,m_teacher,F$4,m_date,($G$2+4),m_active,1,m_start,"&lt;"&amp;780,m_end,"&gt;"&amp;720),INDEX(m_label,_xlfn.MAXIFS(m_row,m_teacher,F$4,m_date,($G$2+4),m_active,1,m_start,"&lt;"&amp;780,m_end,"&gt;"&amp;720))))))</f>
        <v/>
      </c>
      <c r="G52" s="82" t="str">
        <f aca="false">IF(OR(G$4="",MONTH(($G$2+4))&lt;&gt;MONTH($C$2)),"",IF(COUNTIFS(m_teacher,G$4,m_date,($G$2+4),m_active,1,m_start,"&lt;"&amp;780,m_end,"&gt;"&amp;720)=0,"",IF(COUNTIFS(m_teacher,G$4,m_date,($G$2+4),m_active,1,m_start,"&lt;"&amp;780,m_end,"&gt;"&amp;720)&gt;1,"충돌",HYPERLINK("#'관리자_MASTER'!D"&amp;_xlfn.MAXIFS(m_row,m_teacher,G$4,m_date,($G$2+4),m_active,1,m_start,"&lt;"&amp;780,m_end,"&gt;"&amp;720),INDEX(m_label,_xlfn.MAXIFS(m_row,m_teacher,G$4,m_date,($G$2+4),m_active,1,m_start,"&lt;"&amp;780,m_end,"&gt;"&amp;720))))))</f>
        <v/>
      </c>
      <c r="H52" s="82" t="str">
        <f aca="false">IF(OR(H$4="",MONTH(($G$2+4))&lt;&gt;MONTH($C$2)),"",IF(COUNTIFS(m_teacher,H$4,m_date,($G$2+4),m_active,1,m_start,"&lt;"&amp;780,m_end,"&gt;"&amp;720)=0,"",IF(COUNTIFS(m_teacher,H$4,m_date,($G$2+4),m_active,1,m_start,"&lt;"&amp;780,m_end,"&gt;"&amp;720)&gt;1,"충돌",HYPERLINK("#'관리자_MASTER'!D"&amp;_xlfn.MAXIFS(m_row,m_teacher,H$4,m_date,($G$2+4),m_active,1,m_start,"&lt;"&amp;780,m_end,"&gt;"&amp;720),INDEX(m_label,_xlfn.MAXIFS(m_row,m_teacher,H$4,m_date,($G$2+4),m_active,1,m_start,"&lt;"&amp;780,m_end,"&gt;"&amp;720))))))</f>
        <v/>
      </c>
      <c r="I52" s="82" t="str">
        <f aca="false">IF(OR(I$4="",MONTH(($G$2+4))&lt;&gt;MONTH($C$2)),"",IF(COUNTIFS(m_teacher,I$4,m_date,($G$2+4),m_active,1,m_start,"&lt;"&amp;780,m_end,"&gt;"&amp;720)=0,"",IF(COUNTIFS(m_teacher,I$4,m_date,($G$2+4),m_active,1,m_start,"&lt;"&amp;780,m_end,"&gt;"&amp;720)&gt;1,"충돌",HYPERLINK("#'관리자_MASTER'!D"&amp;_xlfn.MAXIFS(m_row,m_teacher,I$4,m_date,($G$2+4),m_active,1,m_start,"&lt;"&amp;780,m_end,"&gt;"&amp;720),INDEX(m_label,_xlfn.MAXIFS(m_row,m_teacher,I$4,m_date,($G$2+4),m_active,1,m_start,"&lt;"&amp;780,m_end,"&gt;"&amp;720))))))</f>
        <v/>
      </c>
      <c r="J52" s="82" t="str">
        <f aca="false">IF(OR(J$4="",MONTH(($G$2+4))&lt;&gt;MONTH($C$2)),"",IF(COUNTIFS(m_teacher,J$4,m_date,($G$2+4),m_active,1,m_start,"&lt;"&amp;780,m_end,"&gt;"&amp;720)=0,"",IF(COUNTIFS(m_teacher,J$4,m_date,($G$2+4),m_active,1,m_start,"&lt;"&amp;780,m_end,"&gt;"&amp;720)&gt;1,"충돌",HYPERLINK("#'관리자_MASTER'!D"&amp;_xlfn.MAXIFS(m_row,m_teacher,J$4,m_date,($G$2+4),m_active,1,m_start,"&lt;"&amp;780,m_end,"&gt;"&amp;720),INDEX(m_label,_xlfn.MAXIFS(m_row,m_teacher,J$4,m_date,($G$2+4),m_active,1,m_start,"&lt;"&amp;780,m_end,"&gt;"&amp;720))))))</f>
        <v/>
      </c>
      <c r="K52" s="82" t="str">
        <f aca="false">IF(OR(K$4="",MONTH(($G$2+4))&lt;&gt;MONTH($C$2)),"",IF(COUNTIFS(m_teacher,K$4,m_date,($G$2+4),m_active,1,m_start,"&lt;"&amp;780,m_end,"&gt;"&amp;720)=0,"",IF(COUNTIFS(m_teacher,K$4,m_date,($G$2+4),m_active,1,m_start,"&lt;"&amp;780,m_end,"&gt;"&amp;720)&gt;1,"충돌",HYPERLINK("#'관리자_MASTER'!D"&amp;_xlfn.MAXIFS(m_row,m_teacher,K$4,m_date,($G$2+4),m_active,1,m_start,"&lt;"&amp;780,m_end,"&gt;"&amp;720),INDEX(m_label,_xlfn.MAXIFS(m_row,m_teacher,K$4,m_date,($G$2+4),m_active,1,m_start,"&lt;"&amp;780,m_end,"&gt;"&amp;720))))))</f>
        <v/>
      </c>
      <c r="L52" s="82" t="str">
        <f aca="false">IF(OR(L$4="",MONTH(($G$2+4))&lt;&gt;MONTH($C$2)),"",IF(COUNTIFS(m_teacher,L$4,m_date,($G$2+4),m_active,1,m_start,"&lt;"&amp;780,m_end,"&gt;"&amp;720)=0,"",IF(COUNTIFS(m_teacher,L$4,m_date,($G$2+4),m_active,1,m_start,"&lt;"&amp;780,m_end,"&gt;"&amp;720)&gt;1,"충돌",HYPERLINK("#'관리자_MASTER'!D"&amp;_xlfn.MAXIFS(m_row,m_teacher,L$4,m_date,($G$2+4),m_active,1,m_start,"&lt;"&amp;780,m_end,"&gt;"&amp;720),INDEX(m_label,_xlfn.MAXIFS(m_row,m_teacher,L$4,m_date,($G$2+4),m_active,1,m_start,"&lt;"&amp;780,m_end,"&gt;"&amp;720))))))</f>
        <v/>
      </c>
      <c r="M52" s="82" t="str">
        <f aca="false">IF(OR(M$4="",MONTH(($G$2+4))&lt;&gt;MONTH($C$2)),"",IF(COUNTIFS(m_teacher,M$4,m_date,($G$2+4),m_active,1,m_start,"&lt;"&amp;780,m_end,"&gt;"&amp;720)=0,"",IF(COUNTIFS(m_teacher,M$4,m_date,($G$2+4),m_active,1,m_start,"&lt;"&amp;780,m_end,"&gt;"&amp;720)&gt;1,"충돌",HYPERLINK("#'관리자_MASTER'!D"&amp;_xlfn.MAXIFS(m_row,m_teacher,M$4,m_date,($G$2+4),m_active,1,m_start,"&lt;"&amp;780,m_end,"&gt;"&amp;720),INDEX(m_label,_xlfn.MAXIFS(m_row,m_teacher,M$4,m_date,($G$2+4),m_active,1,m_start,"&lt;"&amp;780,m_end,"&gt;"&amp;720))))))</f>
        <v/>
      </c>
      <c r="N52" s="82" t="str">
        <f aca="false">IF(OR(N$4="",MONTH(($G$2+4))&lt;&gt;MONTH($C$2)),"",IF(COUNTIFS(m_teacher,N$4,m_date,($G$2+4),m_active,1,m_start,"&lt;"&amp;780,m_end,"&gt;"&amp;720)=0,"",IF(COUNTIFS(m_teacher,N$4,m_date,($G$2+4),m_active,1,m_start,"&lt;"&amp;780,m_end,"&gt;"&amp;720)&gt;1,"충돌",HYPERLINK("#'관리자_MASTER'!D"&amp;_xlfn.MAXIFS(m_row,m_teacher,N$4,m_date,($G$2+4),m_active,1,m_start,"&lt;"&amp;780,m_end,"&gt;"&amp;720),INDEX(m_label,_xlfn.MAXIFS(m_row,m_teacher,N$4,m_date,($G$2+4),m_active,1,m_start,"&lt;"&amp;780,m_end,"&gt;"&amp;720))))))</f>
        <v/>
      </c>
      <c r="O52" s="78"/>
      <c r="P52" s="79" t="s">
        <v>94</v>
      </c>
      <c r="Q52" s="82" t="str">
        <f aca="false">IF(OR(Q$4="",MONTH(($G$2+11))&lt;&gt;MONTH($C$2)),"",IF(COUNTIFS(m_teacher,Q$4,m_date,($G$2+11),m_active,1,m_start,"&lt;"&amp;780,m_end,"&gt;"&amp;720)=0,"",IF(COUNTIFS(m_teacher,Q$4,m_date,($G$2+11),m_active,1,m_start,"&lt;"&amp;780,m_end,"&gt;"&amp;720)&gt;1,"충돌",HYPERLINK("#'관리자_MASTER'!D"&amp;_xlfn.MAXIFS(m_row,m_teacher,Q$4,m_date,($G$2+11),m_active,1,m_start,"&lt;"&amp;780,m_end,"&gt;"&amp;720),INDEX(m_label,_xlfn.MAXIFS(m_row,m_teacher,Q$4,m_date,($G$2+11),m_active,1,m_start,"&lt;"&amp;780,m_end,"&gt;"&amp;720))))))</f>
        <v/>
      </c>
      <c r="R52" s="82" t="str">
        <f aca="false">IF(OR(R$4="",MONTH(($G$2+11))&lt;&gt;MONTH($C$2)),"",IF(COUNTIFS(m_teacher,R$4,m_date,($G$2+11),m_active,1,m_start,"&lt;"&amp;780,m_end,"&gt;"&amp;720)=0,"",IF(COUNTIFS(m_teacher,R$4,m_date,($G$2+11),m_active,1,m_start,"&lt;"&amp;780,m_end,"&gt;"&amp;720)&gt;1,"충돌",HYPERLINK("#'관리자_MASTER'!D"&amp;_xlfn.MAXIFS(m_row,m_teacher,R$4,m_date,($G$2+11),m_active,1,m_start,"&lt;"&amp;780,m_end,"&gt;"&amp;720),INDEX(m_label,_xlfn.MAXIFS(m_row,m_teacher,R$4,m_date,($G$2+11),m_active,1,m_start,"&lt;"&amp;780,m_end,"&gt;"&amp;720))))))</f>
        <v/>
      </c>
      <c r="S52" s="82" t="str">
        <f aca="false">IF(OR(S$4="",MONTH(($G$2+11))&lt;&gt;MONTH($C$2)),"",IF(COUNTIFS(m_teacher,S$4,m_date,($G$2+11),m_active,1,m_start,"&lt;"&amp;780,m_end,"&gt;"&amp;720)=0,"",IF(COUNTIFS(m_teacher,S$4,m_date,($G$2+11),m_active,1,m_start,"&lt;"&amp;780,m_end,"&gt;"&amp;720)&gt;1,"충돌",HYPERLINK("#'관리자_MASTER'!D"&amp;_xlfn.MAXIFS(m_row,m_teacher,S$4,m_date,($G$2+11),m_active,1,m_start,"&lt;"&amp;780,m_end,"&gt;"&amp;720),INDEX(m_label,_xlfn.MAXIFS(m_row,m_teacher,S$4,m_date,($G$2+11),m_active,1,m_start,"&lt;"&amp;780,m_end,"&gt;"&amp;720))))))</f>
        <v/>
      </c>
      <c r="T52" s="82" t="str">
        <f aca="false">IF(OR(T$4="",MONTH(($G$2+11))&lt;&gt;MONTH($C$2)),"",IF(COUNTIFS(m_teacher,T$4,m_date,($G$2+11),m_active,1,m_start,"&lt;"&amp;780,m_end,"&gt;"&amp;720)=0,"",IF(COUNTIFS(m_teacher,T$4,m_date,($G$2+11),m_active,1,m_start,"&lt;"&amp;780,m_end,"&gt;"&amp;720)&gt;1,"충돌",HYPERLINK("#'관리자_MASTER'!D"&amp;_xlfn.MAXIFS(m_row,m_teacher,T$4,m_date,($G$2+11),m_active,1,m_start,"&lt;"&amp;780,m_end,"&gt;"&amp;720),INDEX(m_label,_xlfn.MAXIFS(m_row,m_teacher,T$4,m_date,($G$2+11),m_active,1,m_start,"&lt;"&amp;780,m_end,"&gt;"&amp;720))))))</f>
        <v/>
      </c>
      <c r="U52" s="82" t="str">
        <f aca="false">IF(OR(U$4="",MONTH(($G$2+11))&lt;&gt;MONTH($C$2)),"",IF(COUNTIFS(m_teacher,U$4,m_date,($G$2+11),m_active,1,m_start,"&lt;"&amp;780,m_end,"&gt;"&amp;720)=0,"",IF(COUNTIFS(m_teacher,U$4,m_date,($G$2+11),m_active,1,m_start,"&lt;"&amp;780,m_end,"&gt;"&amp;720)&gt;1,"충돌",HYPERLINK("#'관리자_MASTER'!D"&amp;_xlfn.MAXIFS(m_row,m_teacher,U$4,m_date,($G$2+11),m_active,1,m_start,"&lt;"&amp;780,m_end,"&gt;"&amp;720),INDEX(m_label,_xlfn.MAXIFS(m_row,m_teacher,U$4,m_date,($G$2+11),m_active,1,m_start,"&lt;"&amp;780,m_end,"&gt;"&amp;720))))))</f>
        <v/>
      </c>
      <c r="V52" s="82" t="str">
        <f aca="false">IF(OR(V$4="",MONTH(($G$2+11))&lt;&gt;MONTH($C$2)),"",IF(COUNTIFS(m_teacher,V$4,m_date,($G$2+11),m_active,1,m_start,"&lt;"&amp;780,m_end,"&gt;"&amp;720)=0,"",IF(COUNTIFS(m_teacher,V$4,m_date,($G$2+11),m_active,1,m_start,"&lt;"&amp;780,m_end,"&gt;"&amp;720)&gt;1,"충돌",HYPERLINK("#'관리자_MASTER'!D"&amp;_xlfn.MAXIFS(m_row,m_teacher,V$4,m_date,($G$2+11),m_active,1,m_start,"&lt;"&amp;780,m_end,"&gt;"&amp;720),INDEX(m_label,_xlfn.MAXIFS(m_row,m_teacher,V$4,m_date,($G$2+11),m_active,1,m_start,"&lt;"&amp;780,m_end,"&gt;"&amp;720))))))</f>
        <v/>
      </c>
      <c r="W52" s="82" t="str">
        <f aca="false">IF(OR(W$4="",MONTH(($G$2+11))&lt;&gt;MONTH($C$2)),"",IF(COUNTIFS(m_teacher,W$4,m_date,($G$2+11),m_active,1,m_start,"&lt;"&amp;780,m_end,"&gt;"&amp;720)=0,"",IF(COUNTIFS(m_teacher,W$4,m_date,($G$2+11),m_active,1,m_start,"&lt;"&amp;780,m_end,"&gt;"&amp;720)&gt;1,"충돌",HYPERLINK("#'관리자_MASTER'!D"&amp;_xlfn.MAXIFS(m_row,m_teacher,W$4,m_date,($G$2+11),m_active,1,m_start,"&lt;"&amp;780,m_end,"&gt;"&amp;720),INDEX(m_label,_xlfn.MAXIFS(m_row,m_teacher,W$4,m_date,($G$2+11),m_active,1,m_start,"&lt;"&amp;780,m_end,"&gt;"&amp;720))))))</f>
        <v/>
      </c>
      <c r="X52" s="82" t="str">
        <f aca="false">IF(OR(X$4="",MONTH(($G$2+11))&lt;&gt;MONTH($C$2)),"",IF(COUNTIFS(m_teacher,X$4,m_date,($G$2+11),m_active,1,m_start,"&lt;"&amp;780,m_end,"&gt;"&amp;720)=0,"",IF(COUNTIFS(m_teacher,X$4,m_date,($G$2+11),m_active,1,m_start,"&lt;"&amp;780,m_end,"&gt;"&amp;720)&gt;1,"충돌",HYPERLINK("#'관리자_MASTER'!D"&amp;_xlfn.MAXIFS(m_row,m_teacher,X$4,m_date,($G$2+11),m_active,1,m_start,"&lt;"&amp;780,m_end,"&gt;"&amp;720),INDEX(m_label,_xlfn.MAXIFS(m_row,m_teacher,X$4,m_date,($G$2+11),m_active,1,m_start,"&lt;"&amp;780,m_end,"&gt;"&amp;720))))))</f>
        <v/>
      </c>
      <c r="Y52" s="82" t="str">
        <f aca="false">IF(OR(Y$4="",MONTH(($G$2+11))&lt;&gt;MONTH($C$2)),"",IF(COUNTIFS(m_teacher,Y$4,m_date,($G$2+11),m_active,1,m_start,"&lt;"&amp;780,m_end,"&gt;"&amp;720)=0,"",IF(COUNTIFS(m_teacher,Y$4,m_date,($G$2+11),m_active,1,m_start,"&lt;"&amp;780,m_end,"&gt;"&amp;720)&gt;1,"충돌",HYPERLINK("#'관리자_MASTER'!D"&amp;_xlfn.MAXIFS(m_row,m_teacher,Y$4,m_date,($G$2+11),m_active,1,m_start,"&lt;"&amp;780,m_end,"&gt;"&amp;720),INDEX(m_label,_xlfn.MAXIFS(m_row,m_teacher,Y$4,m_date,($G$2+11),m_active,1,m_start,"&lt;"&amp;780,m_end,"&gt;"&amp;720))))))</f>
        <v/>
      </c>
      <c r="Z52" s="82" t="str">
        <f aca="false">IF(OR(Z$4="",MONTH(($G$2+11))&lt;&gt;MONTH($C$2)),"",IF(COUNTIFS(m_teacher,Z$4,m_date,($G$2+11),m_active,1,m_start,"&lt;"&amp;780,m_end,"&gt;"&amp;720)=0,"",IF(COUNTIFS(m_teacher,Z$4,m_date,($G$2+11),m_active,1,m_start,"&lt;"&amp;780,m_end,"&gt;"&amp;720)&gt;1,"충돌",HYPERLINK("#'관리자_MASTER'!D"&amp;_xlfn.MAXIFS(m_row,m_teacher,Z$4,m_date,($G$2+11),m_active,1,m_start,"&lt;"&amp;780,m_end,"&gt;"&amp;720),INDEX(m_label,_xlfn.MAXIFS(m_row,m_teacher,Z$4,m_date,($G$2+11),m_active,1,m_start,"&lt;"&amp;780,m_end,"&gt;"&amp;720))))))</f>
        <v/>
      </c>
      <c r="AA52" s="82" t="str">
        <f aca="false">IF(OR(AA$4="",MONTH(($G$2+11))&lt;&gt;MONTH($C$2)),"",IF(COUNTIFS(m_teacher,AA$4,m_date,($G$2+11),m_active,1,m_start,"&lt;"&amp;780,m_end,"&gt;"&amp;720)=0,"",IF(COUNTIFS(m_teacher,AA$4,m_date,($G$2+11),m_active,1,m_start,"&lt;"&amp;780,m_end,"&gt;"&amp;720)&gt;1,"충돌",HYPERLINK("#'관리자_MASTER'!D"&amp;_xlfn.MAXIFS(m_row,m_teacher,AA$4,m_date,($G$2+11),m_active,1,m_start,"&lt;"&amp;780,m_end,"&gt;"&amp;720),INDEX(m_label,_xlfn.MAXIFS(m_row,m_teacher,AA$4,m_date,($G$2+11),m_active,1,m_start,"&lt;"&amp;780,m_end,"&gt;"&amp;720))))))</f>
        <v/>
      </c>
      <c r="AB52" s="82" t="str">
        <f aca="false">IF(OR(AB$4="",MONTH(($G$2+11))&lt;&gt;MONTH($C$2)),"",IF(COUNTIFS(m_teacher,AB$4,m_date,($G$2+11),m_active,1,m_start,"&lt;"&amp;780,m_end,"&gt;"&amp;720)=0,"",IF(COUNTIFS(m_teacher,AB$4,m_date,($G$2+11),m_active,1,m_start,"&lt;"&amp;780,m_end,"&gt;"&amp;720)&gt;1,"충돌",HYPERLINK("#'관리자_MASTER'!D"&amp;_xlfn.MAXIFS(m_row,m_teacher,AB$4,m_date,($G$2+11),m_active,1,m_start,"&lt;"&amp;780,m_end,"&gt;"&amp;720),INDEX(m_label,_xlfn.MAXIFS(m_row,m_teacher,AB$4,m_date,($G$2+11),m_active,1,m_start,"&lt;"&amp;780,m_end,"&gt;"&amp;720))))))</f>
        <v/>
      </c>
      <c r="AC52" s="78"/>
      <c r="AD52" s="79" t="s">
        <v>94</v>
      </c>
      <c r="AE52" s="82" t="str">
        <f aca="false">IF(OR(AE$4="",MONTH(($G$2+18))&lt;&gt;MONTH($C$2)),"",IF(COUNTIFS(m_teacher,AE$4,m_date,($G$2+18),m_active,1,m_start,"&lt;"&amp;780,m_end,"&gt;"&amp;720)=0,"",IF(COUNTIFS(m_teacher,AE$4,m_date,($G$2+18),m_active,1,m_start,"&lt;"&amp;780,m_end,"&gt;"&amp;720)&gt;1,"충돌",HYPERLINK("#'관리자_MASTER'!D"&amp;_xlfn.MAXIFS(m_row,m_teacher,AE$4,m_date,($G$2+18),m_active,1,m_start,"&lt;"&amp;780,m_end,"&gt;"&amp;720),INDEX(m_label,_xlfn.MAXIFS(m_row,m_teacher,AE$4,m_date,($G$2+18),m_active,1,m_start,"&lt;"&amp;780,m_end,"&gt;"&amp;720))))))</f>
        <v/>
      </c>
      <c r="AF52" s="82" t="str">
        <f aca="false">IF(OR(AF$4="",MONTH(($G$2+18))&lt;&gt;MONTH($C$2)),"",IF(COUNTIFS(m_teacher,AF$4,m_date,($G$2+18),m_active,1,m_start,"&lt;"&amp;780,m_end,"&gt;"&amp;720)=0,"",IF(COUNTIFS(m_teacher,AF$4,m_date,($G$2+18),m_active,1,m_start,"&lt;"&amp;780,m_end,"&gt;"&amp;720)&gt;1,"충돌",HYPERLINK("#'관리자_MASTER'!D"&amp;_xlfn.MAXIFS(m_row,m_teacher,AF$4,m_date,($G$2+18),m_active,1,m_start,"&lt;"&amp;780,m_end,"&gt;"&amp;720),INDEX(m_label,_xlfn.MAXIFS(m_row,m_teacher,AF$4,m_date,($G$2+18),m_active,1,m_start,"&lt;"&amp;780,m_end,"&gt;"&amp;720))))))</f>
        <v/>
      </c>
      <c r="AG52" s="82" t="str">
        <f aca="false">IF(OR(AG$4="",MONTH(($G$2+18))&lt;&gt;MONTH($C$2)),"",IF(COUNTIFS(m_teacher,AG$4,m_date,($G$2+18),m_active,1,m_start,"&lt;"&amp;780,m_end,"&gt;"&amp;720)=0,"",IF(COUNTIFS(m_teacher,AG$4,m_date,($G$2+18),m_active,1,m_start,"&lt;"&amp;780,m_end,"&gt;"&amp;720)&gt;1,"충돌",HYPERLINK("#'관리자_MASTER'!D"&amp;_xlfn.MAXIFS(m_row,m_teacher,AG$4,m_date,($G$2+18),m_active,1,m_start,"&lt;"&amp;780,m_end,"&gt;"&amp;720),INDEX(m_label,_xlfn.MAXIFS(m_row,m_teacher,AG$4,m_date,($G$2+18),m_active,1,m_start,"&lt;"&amp;780,m_end,"&gt;"&amp;720))))))</f>
        <v/>
      </c>
      <c r="AH52" s="82" t="str">
        <f aca="false">IF(OR(AH$4="",MONTH(($G$2+18))&lt;&gt;MONTH($C$2)),"",IF(COUNTIFS(m_teacher,AH$4,m_date,($G$2+18),m_active,1,m_start,"&lt;"&amp;780,m_end,"&gt;"&amp;720)=0,"",IF(COUNTIFS(m_teacher,AH$4,m_date,($G$2+18),m_active,1,m_start,"&lt;"&amp;780,m_end,"&gt;"&amp;720)&gt;1,"충돌",HYPERLINK("#'관리자_MASTER'!D"&amp;_xlfn.MAXIFS(m_row,m_teacher,AH$4,m_date,($G$2+18),m_active,1,m_start,"&lt;"&amp;780,m_end,"&gt;"&amp;720),INDEX(m_label,_xlfn.MAXIFS(m_row,m_teacher,AH$4,m_date,($G$2+18),m_active,1,m_start,"&lt;"&amp;780,m_end,"&gt;"&amp;720))))))</f>
        <v/>
      </c>
      <c r="AI52" s="82" t="str">
        <f aca="false">IF(OR(AI$4="",MONTH(($G$2+18))&lt;&gt;MONTH($C$2)),"",IF(COUNTIFS(m_teacher,AI$4,m_date,($G$2+18),m_active,1,m_start,"&lt;"&amp;780,m_end,"&gt;"&amp;720)=0,"",IF(COUNTIFS(m_teacher,AI$4,m_date,($G$2+18),m_active,1,m_start,"&lt;"&amp;780,m_end,"&gt;"&amp;720)&gt;1,"충돌",HYPERLINK("#'관리자_MASTER'!D"&amp;_xlfn.MAXIFS(m_row,m_teacher,AI$4,m_date,($G$2+18),m_active,1,m_start,"&lt;"&amp;780,m_end,"&gt;"&amp;720),INDEX(m_label,_xlfn.MAXIFS(m_row,m_teacher,AI$4,m_date,($G$2+18),m_active,1,m_start,"&lt;"&amp;780,m_end,"&gt;"&amp;720))))))</f>
        <v/>
      </c>
      <c r="AJ52" s="82" t="str">
        <f aca="false">IF(OR(AJ$4="",MONTH(($G$2+18))&lt;&gt;MONTH($C$2)),"",IF(COUNTIFS(m_teacher,AJ$4,m_date,($G$2+18),m_active,1,m_start,"&lt;"&amp;780,m_end,"&gt;"&amp;720)=0,"",IF(COUNTIFS(m_teacher,AJ$4,m_date,($G$2+18),m_active,1,m_start,"&lt;"&amp;780,m_end,"&gt;"&amp;720)&gt;1,"충돌",HYPERLINK("#'관리자_MASTER'!D"&amp;_xlfn.MAXIFS(m_row,m_teacher,AJ$4,m_date,($G$2+18),m_active,1,m_start,"&lt;"&amp;780,m_end,"&gt;"&amp;720),INDEX(m_label,_xlfn.MAXIFS(m_row,m_teacher,AJ$4,m_date,($G$2+18),m_active,1,m_start,"&lt;"&amp;780,m_end,"&gt;"&amp;720))))))</f>
        <v/>
      </c>
      <c r="AK52" s="82" t="str">
        <f aca="false">IF(OR(AK$4="",MONTH(($G$2+18))&lt;&gt;MONTH($C$2)),"",IF(COUNTIFS(m_teacher,AK$4,m_date,($G$2+18),m_active,1,m_start,"&lt;"&amp;780,m_end,"&gt;"&amp;720)=0,"",IF(COUNTIFS(m_teacher,AK$4,m_date,($G$2+18),m_active,1,m_start,"&lt;"&amp;780,m_end,"&gt;"&amp;720)&gt;1,"충돌",HYPERLINK("#'관리자_MASTER'!D"&amp;_xlfn.MAXIFS(m_row,m_teacher,AK$4,m_date,($G$2+18),m_active,1,m_start,"&lt;"&amp;780,m_end,"&gt;"&amp;720),INDEX(m_label,_xlfn.MAXIFS(m_row,m_teacher,AK$4,m_date,($G$2+18),m_active,1,m_start,"&lt;"&amp;780,m_end,"&gt;"&amp;720))))))</f>
        <v/>
      </c>
      <c r="AL52" s="82" t="str">
        <f aca="false">IF(OR(AL$4="",MONTH(($G$2+18))&lt;&gt;MONTH($C$2)),"",IF(COUNTIFS(m_teacher,AL$4,m_date,($G$2+18),m_active,1,m_start,"&lt;"&amp;780,m_end,"&gt;"&amp;720)=0,"",IF(COUNTIFS(m_teacher,AL$4,m_date,($G$2+18),m_active,1,m_start,"&lt;"&amp;780,m_end,"&gt;"&amp;720)&gt;1,"충돌",HYPERLINK("#'관리자_MASTER'!D"&amp;_xlfn.MAXIFS(m_row,m_teacher,AL$4,m_date,($G$2+18),m_active,1,m_start,"&lt;"&amp;780,m_end,"&gt;"&amp;720),INDEX(m_label,_xlfn.MAXIFS(m_row,m_teacher,AL$4,m_date,($G$2+18),m_active,1,m_start,"&lt;"&amp;780,m_end,"&gt;"&amp;720))))))</f>
        <v/>
      </c>
      <c r="AM52" s="82" t="str">
        <f aca="false">IF(OR(AM$4="",MONTH(($G$2+18))&lt;&gt;MONTH($C$2)),"",IF(COUNTIFS(m_teacher,AM$4,m_date,($G$2+18),m_active,1,m_start,"&lt;"&amp;780,m_end,"&gt;"&amp;720)=0,"",IF(COUNTIFS(m_teacher,AM$4,m_date,($G$2+18),m_active,1,m_start,"&lt;"&amp;780,m_end,"&gt;"&amp;720)&gt;1,"충돌",HYPERLINK("#'관리자_MASTER'!D"&amp;_xlfn.MAXIFS(m_row,m_teacher,AM$4,m_date,($G$2+18),m_active,1,m_start,"&lt;"&amp;780,m_end,"&gt;"&amp;720),INDEX(m_label,_xlfn.MAXIFS(m_row,m_teacher,AM$4,m_date,($G$2+18),m_active,1,m_start,"&lt;"&amp;780,m_end,"&gt;"&amp;720))))))</f>
        <v/>
      </c>
      <c r="AN52" s="82" t="str">
        <f aca="false">IF(OR(AN$4="",MONTH(($G$2+18))&lt;&gt;MONTH($C$2)),"",IF(COUNTIFS(m_teacher,AN$4,m_date,($G$2+18),m_active,1,m_start,"&lt;"&amp;780,m_end,"&gt;"&amp;720)=0,"",IF(COUNTIFS(m_teacher,AN$4,m_date,($G$2+18),m_active,1,m_start,"&lt;"&amp;780,m_end,"&gt;"&amp;720)&gt;1,"충돌",HYPERLINK("#'관리자_MASTER'!D"&amp;_xlfn.MAXIFS(m_row,m_teacher,AN$4,m_date,($G$2+18),m_active,1,m_start,"&lt;"&amp;780,m_end,"&gt;"&amp;720),INDEX(m_label,_xlfn.MAXIFS(m_row,m_teacher,AN$4,m_date,($G$2+18),m_active,1,m_start,"&lt;"&amp;780,m_end,"&gt;"&amp;720))))))</f>
        <v/>
      </c>
      <c r="AO52" s="82" t="str">
        <f aca="false">IF(OR(AO$4="",MONTH(($G$2+18))&lt;&gt;MONTH($C$2)),"",IF(COUNTIFS(m_teacher,AO$4,m_date,($G$2+18),m_active,1,m_start,"&lt;"&amp;780,m_end,"&gt;"&amp;720)=0,"",IF(COUNTIFS(m_teacher,AO$4,m_date,($G$2+18),m_active,1,m_start,"&lt;"&amp;780,m_end,"&gt;"&amp;720)&gt;1,"충돌",HYPERLINK("#'관리자_MASTER'!D"&amp;_xlfn.MAXIFS(m_row,m_teacher,AO$4,m_date,($G$2+18),m_active,1,m_start,"&lt;"&amp;780,m_end,"&gt;"&amp;720),INDEX(m_label,_xlfn.MAXIFS(m_row,m_teacher,AO$4,m_date,($G$2+18),m_active,1,m_start,"&lt;"&amp;780,m_end,"&gt;"&amp;720))))))</f>
        <v/>
      </c>
      <c r="AP52" s="82" t="str">
        <f aca="false">IF(OR(AP$4="",MONTH(($G$2+18))&lt;&gt;MONTH($C$2)),"",IF(COUNTIFS(m_teacher,AP$4,m_date,($G$2+18),m_active,1,m_start,"&lt;"&amp;780,m_end,"&gt;"&amp;720)=0,"",IF(COUNTIFS(m_teacher,AP$4,m_date,($G$2+18),m_active,1,m_start,"&lt;"&amp;780,m_end,"&gt;"&amp;720)&gt;1,"충돌",HYPERLINK("#'관리자_MASTER'!D"&amp;_xlfn.MAXIFS(m_row,m_teacher,AP$4,m_date,($G$2+18),m_active,1,m_start,"&lt;"&amp;780,m_end,"&gt;"&amp;720),INDEX(m_label,_xlfn.MAXIFS(m_row,m_teacher,AP$4,m_date,($G$2+18),m_active,1,m_start,"&lt;"&amp;780,m_end,"&gt;"&amp;720))))))</f>
        <v/>
      </c>
      <c r="AQ52" s="78"/>
      <c r="AR52" s="79" t="s">
        <v>94</v>
      </c>
      <c r="AS52" s="82" t="str">
        <f aca="false">IF(OR(AS$4="",MONTH(($G$2+25))&lt;&gt;MONTH($C$2)),"",IF(COUNTIFS(m_teacher,AS$4,m_date,($G$2+25),m_active,1,m_start,"&lt;"&amp;780,m_end,"&gt;"&amp;720)=0,"",IF(COUNTIFS(m_teacher,AS$4,m_date,($G$2+25),m_active,1,m_start,"&lt;"&amp;780,m_end,"&gt;"&amp;720)&gt;1,"충돌",HYPERLINK("#'관리자_MASTER'!D"&amp;_xlfn.MAXIFS(m_row,m_teacher,AS$4,m_date,($G$2+25),m_active,1,m_start,"&lt;"&amp;780,m_end,"&gt;"&amp;720),INDEX(m_label,_xlfn.MAXIFS(m_row,m_teacher,AS$4,m_date,($G$2+25),m_active,1,m_start,"&lt;"&amp;780,m_end,"&gt;"&amp;720))))))</f>
        <v/>
      </c>
      <c r="AT52" s="82" t="str">
        <f aca="false">IF(OR(AT$4="",MONTH(($G$2+25))&lt;&gt;MONTH($C$2)),"",IF(COUNTIFS(m_teacher,AT$4,m_date,($G$2+25),m_active,1,m_start,"&lt;"&amp;780,m_end,"&gt;"&amp;720)=0,"",IF(COUNTIFS(m_teacher,AT$4,m_date,($G$2+25),m_active,1,m_start,"&lt;"&amp;780,m_end,"&gt;"&amp;720)&gt;1,"충돌",HYPERLINK("#'관리자_MASTER'!D"&amp;_xlfn.MAXIFS(m_row,m_teacher,AT$4,m_date,($G$2+25),m_active,1,m_start,"&lt;"&amp;780,m_end,"&gt;"&amp;720),INDEX(m_label,_xlfn.MAXIFS(m_row,m_teacher,AT$4,m_date,($G$2+25),m_active,1,m_start,"&lt;"&amp;780,m_end,"&gt;"&amp;720))))))</f>
        <v/>
      </c>
      <c r="AU52" s="82" t="str">
        <f aca="false">IF(OR(AU$4="",MONTH(($G$2+25))&lt;&gt;MONTH($C$2)),"",IF(COUNTIFS(m_teacher,AU$4,m_date,($G$2+25),m_active,1,m_start,"&lt;"&amp;780,m_end,"&gt;"&amp;720)=0,"",IF(COUNTIFS(m_teacher,AU$4,m_date,($G$2+25),m_active,1,m_start,"&lt;"&amp;780,m_end,"&gt;"&amp;720)&gt;1,"충돌",HYPERLINK("#'관리자_MASTER'!D"&amp;_xlfn.MAXIFS(m_row,m_teacher,AU$4,m_date,($G$2+25),m_active,1,m_start,"&lt;"&amp;780,m_end,"&gt;"&amp;720),INDEX(m_label,_xlfn.MAXIFS(m_row,m_teacher,AU$4,m_date,($G$2+25),m_active,1,m_start,"&lt;"&amp;780,m_end,"&gt;"&amp;720))))))</f>
        <v/>
      </c>
      <c r="AV52" s="82" t="str">
        <f aca="false">IF(OR(AV$4="",MONTH(($G$2+25))&lt;&gt;MONTH($C$2)),"",IF(COUNTIFS(m_teacher,AV$4,m_date,($G$2+25),m_active,1,m_start,"&lt;"&amp;780,m_end,"&gt;"&amp;720)=0,"",IF(COUNTIFS(m_teacher,AV$4,m_date,($G$2+25),m_active,1,m_start,"&lt;"&amp;780,m_end,"&gt;"&amp;720)&gt;1,"충돌",HYPERLINK("#'관리자_MASTER'!D"&amp;_xlfn.MAXIFS(m_row,m_teacher,AV$4,m_date,($G$2+25),m_active,1,m_start,"&lt;"&amp;780,m_end,"&gt;"&amp;720),INDEX(m_label,_xlfn.MAXIFS(m_row,m_teacher,AV$4,m_date,($G$2+25),m_active,1,m_start,"&lt;"&amp;780,m_end,"&gt;"&amp;720))))))</f>
        <v/>
      </c>
      <c r="AW52" s="82" t="str">
        <f aca="false">IF(OR(AW$4="",MONTH(($G$2+25))&lt;&gt;MONTH($C$2)),"",IF(COUNTIFS(m_teacher,AW$4,m_date,($G$2+25),m_active,1,m_start,"&lt;"&amp;780,m_end,"&gt;"&amp;720)=0,"",IF(COUNTIFS(m_teacher,AW$4,m_date,($G$2+25),m_active,1,m_start,"&lt;"&amp;780,m_end,"&gt;"&amp;720)&gt;1,"충돌",HYPERLINK("#'관리자_MASTER'!D"&amp;_xlfn.MAXIFS(m_row,m_teacher,AW$4,m_date,($G$2+25),m_active,1,m_start,"&lt;"&amp;780,m_end,"&gt;"&amp;720),INDEX(m_label,_xlfn.MAXIFS(m_row,m_teacher,AW$4,m_date,($G$2+25),m_active,1,m_start,"&lt;"&amp;780,m_end,"&gt;"&amp;720))))))</f>
        <v/>
      </c>
      <c r="AX52" s="82" t="str">
        <f aca="false">IF(OR(AX$4="",MONTH(($G$2+25))&lt;&gt;MONTH($C$2)),"",IF(COUNTIFS(m_teacher,AX$4,m_date,($G$2+25),m_active,1,m_start,"&lt;"&amp;780,m_end,"&gt;"&amp;720)=0,"",IF(COUNTIFS(m_teacher,AX$4,m_date,($G$2+25),m_active,1,m_start,"&lt;"&amp;780,m_end,"&gt;"&amp;720)&gt;1,"충돌",HYPERLINK("#'관리자_MASTER'!D"&amp;_xlfn.MAXIFS(m_row,m_teacher,AX$4,m_date,($G$2+25),m_active,1,m_start,"&lt;"&amp;780,m_end,"&gt;"&amp;720),INDEX(m_label,_xlfn.MAXIFS(m_row,m_teacher,AX$4,m_date,($G$2+25),m_active,1,m_start,"&lt;"&amp;780,m_end,"&gt;"&amp;720))))))</f>
        <v/>
      </c>
      <c r="AY52" s="82" t="str">
        <f aca="false">IF(OR(AY$4="",MONTH(($G$2+25))&lt;&gt;MONTH($C$2)),"",IF(COUNTIFS(m_teacher,AY$4,m_date,($G$2+25),m_active,1,m_start,"&lt;"&amp;780,m_end,"&gt;"&amp;720)=0,"",IF(COUNTIFS(m_teacher,AY$4,m_date,($G$2+25),m_active,1,m_start,"&lt;"&amp;780,m_end,"&gt;"&amp;720)&gt;1,"충돌",HYPERLINK("#'관리자_MASTER'!D"&amp;_xlfn.MAXIFS(m_row,m_teacher,AY$4,m_date,($G$2+25),m_active,1,m_start,"&lt;"&amp;780,m_end,"&gt;"&amp;720),INDEX(m_label,_xlfn.MAXIFS(m_row,m_teacher,AY$4,m_date,($G$2+25),m_active,1,m_start,"&lt;"&amp;780,m_end,"&gt;"&amp;720))))))</f>
        <v/>
      </c>
      <c r="AZ52" s="82" t="str">
        <f aca="false">IF(OR(AZ$4="",MONTH(($G$2+25))&lt;&gt;MONTH($C$2)),"",IF(COUNTIFS(m_teacher,AZ$4,m_date,($G$2+25),m_active,1,m_start,"&lt;"&amp;780,m_end,"&gt;"&amp;720)=0,"",IF(COUNTIFS(m_teacher,AZ$4,m_date,($G$2+25),m_active,1,m_start,"&lt;"&amp;780,m_end,"&gt;"&amp;720)&gt;1,"충돌",HYPERLINK("#'관리자_MASTER'!D"&amp;_xlfn.MAXIFS(m_row,m_teacher,AZ$4,m_date,($G$2+25),m_active,1,m_start,"&lt;"&amp;780,m_end,"&gt;"&amp;720),INDEX(m_label,_xlfn.MAXIFS(m_row,m_teacher,AZ$4,m_date,($G$2+25),m_active,1,m_start,"&lt;"&amp;780,m_end,"&gt;"&amp;720))))))</f>
        <v/>
      </c>
      <c r="BA52" s="82" t="str">
        <f aca="false">IF(OR(BA$4="",MONTH(($G$2+25))&lt;&gt;MONTH($C$2)),"",IF(COUNTIFS(m_teacher,BA$4,m_date,($G$2+25),m_active,1,m_start,"&lt;"&amp;780,m_end,"&gt;"&amp;720)=0,"",IF(COUNTIFS(m_teacher,BA$4,m_date,($G$2+25),m_active,1,m_start,"&lt;"&amp;780,m_end,"&gt;"&amp;720)&gt;1,"충돌",HYPERLINK("#'관리자_MASTER'!D"&amp;_xlfn.MAXIFS(m_row,m_teacher,BA$4,m_date,($G$2+25),m_active,1,m_start,"&lt;"&amp;780,m_end,"&gt;"&amp;720),INDEX(m_label,_xlfn.MAXIFS(m_row,m_teacher,BA$4,m_date,($G$2+25),m_active,1,m_start,"&lt;"&amp;780,m_end,"&gt;"&amp;720))))))</f>
        <v/>
      </c>
      <c r="BB52" s="82" t="str">
        <f aca="false">IF(OR(BB$4="",MONTH(($G$2+25))&lt;&gt;MONTH($C$2)),"",IF(COUNTIFS(m_teacher,BB$4,m_date,($G$2+25),m_active,1,m_start,"&lt;"&amp;780,m_end,"&gt;"&amp;720)=0,"",IF(COUNTIFS(m_teacher,BB$4,m_date,($G$2+25),m_active,1,m_start,"&lt;"&amp;780,m_end,"&gt;"&amp;720)&gt;1,"충돌",HYPERLINK("#'관리자_MASTER'!D"&amp;_xlfn.MAXIFS(m_row,m_teacher,BB$4,m_date,($G$2+25),m_active,1,m_start,"&lt;"&amp;780,m_end,"&gt;"&amp;720),INDEX(m_label,_xlfn.MAXIFS(m_row,m_teacher,BB$4,m_date,($G$2+25),m_active,1,m_start,"&lt;"&amp;780,m_end,"&gt;"&amp;720))))))</f>
        <v/>
      </c>
      <c r="BC52" s="82" t="str">
        <f aca="false">IF(OR(BC$4="",MONTH(($G$2+25))&lt;&gt;MONTH($C$2)),"",IF(COUNTIFS(m_teacher,BC$4,m_date,($G$2+25),m_active,1,m_start,"&lt;"&amp;780,m_end,"&gt;"&amp;720)=0,"",IF(COUNTIFS(m_teacher,BC$4,m_date,($G$2+25),m_active,1,m_start,"&lt;"&amp;780,m_end,"&gt;"&amp;720)&gt;1,"충돌",HYPERLINK("#'관리자_MASTER'!D"&amp;_xlfn.MAXIFS(m_row,m_teacher,BC$4,m_date,($G$2+25),m_active,1,m_start,"&lt;"&amp;780,m_end,"&gt;"&amp;720),INDEX(m_label,_xlfn.MAXIFS(m_row,m_teacher,BC$4,m_date,($G$2+25),m_active,1,m_start,"&lt;"&amp;780,m_end,"&gt;"&amp;720))))))</f>
        <v/>
      </c>
      <c r="BD52" s="82" t="str">
        <f aca="false">IF(OR(BD$4="",MONTH(($G$2+25))&lt;&gt;MONTH($C$2)),"",IF(COUNTIFS(m_teacher,BD$4,m_date,($G$2+25),m_active,1,m_start,"&lt;"&amp;780,m_end,"&gt;"&amp;720)=0,"",IF(COUNTIFS(m_teacher,BD$4,m_date,($G$2+25),m_active,1,m_start,"&lt;"&amp;780,m_end,"&gt;"&amp;720)&gt;1,"충돌",HYPERLINK("#'관리자_MASTER'!D"&amp;_xlfn.MAXIFS(m_row,m_teacher,BD$4,m_date,($G$2+25),m_active,1,m_start,"&lt;"&amp;780,m_end,"&gt;"&amp;720),INDEX(m_label,_xlfn.MAXIFS(m_row,m_teacher,BD$4,m_date,($G$2+25),m_active,1,m_start,"&lt;"&amp;780,m_end,"&gt;"&amp;720))))))</f>
        <v/>
      </c>
      <c r="BE52" s="75"/>
      <c r="BF52" s="76" t="s">
        <v>94</v>
      </c>
      <c r="BG52" s="81" t="str">
        <f aca="false">IF(OR(BG$4="",MONTH(($G$2+32))&lt;&gt;MONTH($C$2)),"",IF(COUNTIFS(m_teacher,BG$4,m_date,($G$2+32),m_active,1,m_start,"&lt;"&amp;780,m_end,"&gt;"&amp;720)=0,"",IF(COUNTIFS(m_teacher,BG$4,m_date,($G$2+32),m_active,1,m_start,"&lt;"&amp;780,m_end,"&gt;"&amp;720)&gt;1,"충돌",HYPERLINK("#'관리자_MASTER'!D"&amp;_xlfn.MAXIFS(m_row,m_teacher,BG$4,m_date,($G$2+32),m_active,1,m_start,"&lt;"&amp;780,m_end,"&gt;"&amp;720),INDEX(m_label,_xlfn.MAXIFS(m_row,m_teacher,BG$4,m_date,($G$2+32),m_active,1,m_start,"&lt;"&amp;780,m_end,"&gt;"&amp;720))))))</f>
        <v/>
      </c>
      <c r="BH52" s="81" t="str">
        <f aca="false">IF(OR(BH$4="",MONTH(($G$2+32))&lt;&gt;MONTH($C$2)),"",IF(COUNTIFS(m_teacher,BH$4,m_date,($G$2+32),m_active,1,m_start,"&lt;"&amp;780,m_end,"&gt;"&amp;720)=0,"",IF(COUNTIFS(m_teacher,BH$4,m_date,($G$2+32),m_active,1,m_start,"&lt;"&amp;780,m_end,"&gt;"&amp;720)&gt;1,"충돌",HYPERLINK("#'관리자_MASTER'!D"&amp;_xlfn.MAXIFS(m_row,m_teacher,BH$4,m_date,($G$2+32),m_active,1,m_start,"&lt;"&amp;780,m_end,"&gt;"&amp;720),INDEX(m_label,_xlfn.MAXIFS(m_row,m_teacher,BH$4,m_date,($G$2+32),m_active,1,m_start,"&lt;"&amp;780,m_end,"&gt;"&amp;720))))))</f>
        <v/>
      </c>
      <c r="BI52" s="81" t="str">
        <f aca="false">IF(OR(BI$4="",MONTH(($G$2+32))&lt;&gt;MONTH($C$2)),"",IF(COUNTIFS(m_teacher,BI$4,m_date,($G$2+32),m_active,1,m_start,"&lt;"&amp;780,m_end,"&gt;"&amp;720)=0,"",IF(COUNTIFS(m_teacher,BI$4,m_date,($G$2+32),m_active,1,m_start,"&lt;"&amp;780,m_end,"&gt;"&amp;720)&gt;1,"충돌",HYPERLINK("#'관리자_MASTER'!D"&amp;_xlfn.MAXIFS(m_row,m_teacher,BI$4,m_date,($G$2+32),m_active,1,m_start,"&lt;"&amp;780,m_end,"&gt;"&amp;720),INDEX(m_label,_xlfn.MAXIFS(m_row,m_teacher,BI$4,m_date,($G$2+32),m_active,1,m_start,"&lt;"&amp;780,m_end,"&gt;"&amp;720))))))</f>
        <v/>
      </c>
      <c r="BJ52" s="81" t="str">
        <f aca="false">IF(OR(BJ$4="",MONTH(($G$2+32))&lt;&gt;MONTH($C$2)),"",IF(COUNTIFS(m_teacher,BJ$4,m_date,($G$2+32),m_active,1,m_start,"&lt;"&amp;780,m_end,"&gt;"&amp;720)=0,"",IF(COUNTIFS(m_teacher,BJ$4,m_date,($G$2+32),m_active,1,m_start,"&lt;"&amp;780,m_end,"&gt;"&amp;720)&gt;1,"충돌",HYPERLINK("#'관리자_MASTER'!D"&amp;_xlfn.MAXIFS(m_row,m_teacher,BJ$4,m_date,($G$2+32),m_active,1,m_start,"&lt;"&amp;780,m_end,"&gt;"&amp;720),INDEX(m_label,_xlfn.MAXIFS(m_row,m_teacher,BJ$4,m_date,($G$2+32),m_active,1,m_start,"&lt;"&amp;780,m_end,"&gt;"&amp;720))))))</f>
        <v/>
      </c>
      <c r="BK52" s="81" t="str">
        <f aca="false">IF(OR(BK$4="",MONTH(($G$2+32))&lt;&gt;MONTH($C$2)),"",IF(COUNTIFS(m_teacher,BK$4,m_date,($G$2+32),m_active,1,m_start,"&lt;"&amp;780,m_end,"&gt;"&amp;720)=0,"",IF(COUNTIFS(m_teacher,BK$4,m_date,($G$2+32),m_active,1,m_start,"&lt;"&amp;780,m_end,"&gt;"&amp;720)&gt;1,"충돌",HYPERLINK("#'관리자_MASTER'!D"&amp;_xlfn.MAXIFS(m_row,m_teacher,BK$4,m_date,($G$2+32),m_active,1,m_start,"&lt;"&amp;780,m_end,"&gt;"&amp;720),INDEX(m_label,_xlfn.MAXIFS(m_row,m_teacher,BK$4,m_date,($G$2+32),m_active,1,m_start,"&lt;"&amp;780,m_end,"&gt;"&amp;720))))))</f>
        <v/>
      </c>
      <c r="BL52" s="81" t="str">
        <f aca="false">IF(OR(BL$4="",MONTH(($G$2+32))&lt;&gt;MONTH($C$2)),"",IF(COUNTIFS(m_teacher,BL$4,m_date,($G$2+32),m_active,1,m_start,"&lt;"&amp;780,m_end,"&gt;"&amp;720)=0,"",IF(COUNTIFS(m_teacher,BL$4,m_date,($G$2+32),m_active,1,m_start,"&lt;"&amp;780,m_end,"&gt;"&amp;720)&gt;1,"충돌",HYPERLINK("#'관리자_MASTER'!D"&amp;_xlfn.MAXIFS(m_row,m_teacher,BL$4,m_date,($G$2+32),m_active,1,m_start,"&lt;"&amp;780,m_end,"&gt;"&amp;720),INDEX(m_label,_xlfn.MAXIFS(m_row,m_teacher,BL$4,m_date,($G$2+32),m_active,1,m_start,"&lt;"&amp;780,m_end,"&gt;"&amp;720))))))</f>
        <v/>
      </c>
      <c r="BM52" s="81" t="str">
        <f aca="false">IF(OR(BM$4="",MONTH(($G$2+32))&lt;&gt;MONTH($C$2)),"",IF(COUNTIFS(m_teacher,BM$4,m_date,($G$2+32),m_active,1,m_start,"&lt;"&amp;780,m_end,"&gt;"&amp;720)=0,"",IF(COUNTIFS(m_teacher,BM$4,m_date,($G$2+32),m_active,1,m_start,"&lt;"&amp;780,m_end,"&gt;"&amp;720)&gt;1,"충돌",HYPERLINK("#'관리자_MASTER'!D"&amp;_xlfn.MAXIFS(m_row,m_teacher,BM$4,m_date,($G$2+32),m_active,1,m_start,"&lt;"&amp;780,m_end,"&gt;"&amp;720),INDEX(m_label,_xlfn.MAXIFS(m_row,m_teacher,BM$4,m_date,($G$2+32),m_active,1,m_start,"&lt;"&amp;780,m_end,"&gt;"&amp;720))))))</f>
        <v/>
      </c>
      <c r="BN52" s="81" t="str">
        <f aca="false">IF(OR(BN$4="",MONTH(($G$2+32))&lt;&gt;MONTH($C$2)),"",IF(COUNTIFS(m_teacher,BN$4,m_date,($G$2+32),m_active,1,m_start,"&lt;"&amp;780,m_end,"&gt;"&amp;720)=0,"",IF(COUNTIFS(m_teacher,BN$4,m_date,($G$2+32),m_active,1,m_start,"&lt;"&amp;780,m_end,"&gt;"&amp;720)&gt;1,"충돌",HYPERLINK("#'관리자_MASTER'!D"&amp;_xlfn.MAXIFS(m_row,m_teacher,BN$4,m_date,($G$2+32),m_active,1,m_start,"&lt;"&amp;780,m_end,"&gt;"&amp;720),INDEX(m_label,_xlfn.MAXIFS(m_row,m_teacher,BN$4,m_date,($G$2+32),m_active,1,m_start,"&lt;"&amp;780,m_end,"&gt;"&amp;720))))))</f>
        <v/>
      </c>
      <c r="BO52" s="81" t="str">
        <f aca="false">IF(OR(BO$4="",MONTH(($G$2+32))&lt;&gt;MONTH($C$2)),"",IF(COUNTIFS(m_teacher,BO$4,m_date,($G$2+32),m_active,1,m_start,"&lt;"&amp;780,m_end,"&gt;"&amp;720)=0,"",IF(COUNTIFS(m_teacher,BO$4,m_date,($G$2+32),m_active,1,m_start,"&lt;"&amp;780,m_end,"&gt;"&amp;720)&gt;1,"충돌",HYPERLINK("#'관리자_MASTER'!D"&amp;_xlfn.MAXIFS(m_row,m_teacher,BO$4,m_date,($G$2+32),m_active,1,m_start,"&lt;"&amp;780,m_end,"&gt;"&amp;720),INDEX(m_label,_xlfn.MAXIFS(m_row,m_teacher,BO$4,m_date,($G$2+32),m_active,1,m_start,"&lt;"&amp;780,m_end,"&gt;"&amp;720))))))</f>
        <v/>
      </c>
      <c r="BP52" s="81" t="str">
        <f aca="false">IF(OR(BP$4="",MONTH(($G$2+32))&lt;&gt;MONTH($C$2)),"",IF(COUNTIFS(m_teacher,BP$4,m_date,($G$2+32),m_active,1,m_start,"&lt;"&amp;780,m_end,"&gt;"&amp;720)=0,"",IF(COUNTIFS(m_teacher,BP$4,m_date,($G$2+32),m_active,1,m_start,"&lt;"&amp;780,m_end,"&gt;"&amp;720)&gt;1,"충돌",HYPERLINK("#'관리자_MASTER'!D"&amp;_xlfn.MAXIFS(m_row,m_teacher,BP$4,m_date,($G$2+32),m_active,1,m_start,"&lt;"&amp;780,m_end,"&gt;"&amp;720),INDEX(m_label,_xlfn.MAXIFS(m_row,m_teacher,BP$4,m_date,($G$2+32),m_active,1,m_start,"&lt;"&amp;780,m_end,"&gt;"&amp;720))))))</f>
        <v/>
      </c>
      <c r="BQ52" s="81" t="str">
        <f aca="false">IF(OR(BQ$4="",MONTH(($G$2+32))&lt;&gt;MONTH($C$2)),"",IF(COUNTIFS(m_teacher,BQ$4,m_date,($G$2+32),m_active,1,m_start,"&lt;"&amp;780,m_end,"&gt;"&amp;720)=0,"",IF(COUNTIFS(m_teacher,BQ$4,m_date,($G$2+32),m_active,1,m_start,"&lt;"&amp;780,m_end,"&gt;"&amp;720)&gt;1,"충돌",HYPERLINK("#'관리자_MASTER'!D"&amp;_xlfn.MAXIFS(m_row,m_teacher,BQ$4,m_date,($G$2+32),m_active,1,m_start,"&lt;"&amp;780,m_end,"&gt;"&amp;720),INDEX(m_label,_xlfn.MAXIFS(m_row,m_teacher,BQ$4,m_date,($G$2+32),m_active,1,m_start,"&lt;"&amp;780,m_end,"&gt;"&amp;720))))))</f>
        <v/>
      </c>
      <c r="BR52" s="81" t="str">
        <f aca="false">IF(OR(BR$4="",MONTH(($G$2+32))&lt;&gt;MONTH($C$2)),"",IF(COUNTIFS(m_teacher,BR$4,m_date,($G$2+32),m_active,1,m_start,"&lt;"&amp;780,m_end,"&gt;"&amp;720)=0,"",IF(COUNTIFS(m_teacher,BR$4,m_date,($G$2+32),m_active,1,m_start,"&lt;"&amp;780,m_end,"&gt;"&amp;720)&gt;1,"충돌",HYPERLINK("#'관리자_MASTER'!D"&amp;_xlfn.MAXIFS(m_row,m_teacher,BR$4,m_date,($G$2+32),m_active,1,m_start,"&lt;"&amp;780,m_end,"&gt;"&amp;720),INDEX(m_label,_xlfn.MAXIFS(m_row,m_teacher,BR$4,m_date,($G$2+32),m_active,1,m_start,"&lt;"&amp;780,m_end,"&gt;"&amp;720))))))</f>
        <v/>
      </c>
    </row>
    <row r="53" customFormat="false" ht="19.5" hidden="false" customHeight="true" outlineLevel="0" collapsed="false">
      <c r="A53" s="78"/>
      <c r="B53" s="79" t="s">
        <v>95</v>
      </c>
      <c r="C53" s="82" t="str">
        <f aca="false">IF(OR(C$4="",MONTH(($G$2+4))&lt;&gt;MONTH($C$2)),"",IF(COUNTIFS(m_teacher,C$4,m_date,($G$2+4),m_active,1,m_start,"&lt;"&amp;840,m_end,"&gt;"&amp;780)=0,"",IF(COUNTIFS(m_teacher,C$4,m_date,($G$2+4),m_active,1,m_start,"&lt;"&amp;840,m_end,"&gt;"&amp;780)&gt;1,"충돌",HYPERLINK("#'관리자_MASTER'!D"&amp;_xlfn.MAXIFS(m_row,m_teacher,C$4,m_date,($G$2+4),m_active,1,m_start,"&lt;"&amp;840,m_end,"&gt;"&amp;780),INDEX(m_label,_xlfn.MAXIFS(m_row,m_teacher,C$4,m_date,($G$2+4),m_active,1,m_start,"&lt;"&amp;840,m_end,"&gt;"&amp;780))))))</f>
        <v/>
      </c>
      <c r="D53" s="82" t="str">
        <f aca="false">IF(OR(D$4="",MONTH(($G$2+4))&lt;&gt;MONTH($C$2)),"",IF(COUNTIFS(m_teacher,D$4,m_date,($G$2+4),m_active,1,m_start,"&lt;"&amp;840,m_end,"&gt;"&amp;780)=0,"",IF(COUNTIFS(m_teacher,D$4,m_date,($G$2+4),m_active,1,m_start,"&lt;"&amp;840,m_end,"&gt;"&amp;780)&gt;1,"충돌",HYPERLINK("#'관리자_MASTER'!D"&amp;_xlfn.MAXIFS(m_row,m_teacher,D$4,m_date,($G$2+4),m_active,1,m_start,"&lt;"&amp;840,m_end,"&gt;"&amp;780),INDEX(m_label,_xlfn.MAXIFS(m_row,m_teacher,D$4,m_date,($G$2+4),m_active,1,m_start,"&lt;"&amp;840,m_end,"&gt;"&amp;780))))))</f>
        <v/>
      </c>
      <c r="E53" s="82" t="str">
        <f aca="false">IF(OR(E$4="",MONTH(($G$2+4))&lt;&gt;MONTH($C$2)),"",IF(COUNTIFS(m_teacher,E$4,m_date,($G$2+4),m_active,1,m_start,"&lt;"&amp;840,m_end,"&gt;"&amp;780)=0,"",IF(COUNTIFS(m_teacher,E$4,m_date,($G$2+4),m_active,1,m_start,"&lt;"&amp;840,m_end,"&gt;"&amp;780)&gt;1,"충돌",HYPERLINK("#'관리자_MASTER'!D"&amp;_xlfn.MAXIFS(m_row,m_teacher,E$4,m_date,($G$2+4),m_active,1,m_start,"&lt;"&amp;840,m_end,"&gt;"&amp;780),INDEX(m_label,_xlfn.MAXIFS(m_row,m_teacher,E$4,m_date,($G$2+4),m_active,1,m_start,"&lt;"&amp;840,m_end,"&gt;"&amp;780))))))</f>
        <v/>
      </c>
      <c r="F53" s="82" t="str">
        <f aca="false">IF(OR(F$4="",MONTH(($G$2+4))&lt;&gt;MONTH($C$2)),"",IF(COUNTIFS(m_teacher,F$4,m_date,($G$2+4),m_active,1,m_start,"&lt;"&amp;840,m_end,"&gt;"&amp;780)=0,"",IF(COUNTIFS(m_teacher,F$4,m_date,($G$2+4),m_active,1,m_start,"&lt;"&amp;840,m_end,"&gt;"&amp;780)&gt;1,"충돌",HYPERLINK("#'관리자_MASTER'!D"&amp;_xlfn.MAXIFS(m_row,m_teacher,F$4,m_date,($G$2+4),m_active,1,m_start,"&lt;"&amp;840,m_end,"&gt;"&amp;780),INDEX(m_label,_xlfn.MAXIFS(m_row,m_teacher,F$4,m_date,($G$2+4),m_active,1,m_start,"&lt;"&amp;840,m_end,"&gt;"&amp;780))))))</f>
        <v/>
      </c>
      <c r="G53" s="82" t="str">
        <f aca="false">IF(OR(G$4="",MONTH(($G$2+4))&lt;&gt;MONTH($C$2)),"",IF(COUNTIFS(m_teacher,G$4,m_date,($G$2+4),m_active,1,m_start,"&lt;"&amp;840,m_end,"&gt;"&amp;780)=0,"",IF(COUNTIFS(m_teacher,G$4,m_date,($G$2+4),m_active,1,m_start,"&lt;"&amp;840,m_end,"&gt;"&amp;780)&gt;1,"충돌",HYPERLINK("#'관리자_MASTER'!D"&amp;_xlfn.MAXIFS(m_row,m_teacher,G$4,m_date,($G$2+4),m_active,1,m_start,"&lt;"&amp;840,m_end,"&gt;"&amp;780),INDEX(m_label,_xlfn.MAXIFS(m_row,m_teacher,G$4,m_date,($G$2+4),m_active,1,m_start,"&lt;"&amp;840,m_end,"&gt;"&amp;780))))))</f>
        <v/>
      </c>
      <c r="H53" s="82" t="str">
        <f aca="false">IF(OR(H$4="",MONTH(($G$2+4))&lt;&gt;MONTH($C$2)),"",IF(COUNTIFS(m_teacher,H$4,m_date,($G$2+4),m_active,1,m_start,"&lt;"&amp;840,m_end,"&gt;"&amp;780)=0,"",IF(COUNTIFS(m_teacher,H$4,m_date,($G$2+4),m_active,1,m_start,"&lt;"&amp;840,m_end,"&gt;"&amp;780)&gt;1,"충돌",HYPERLINK("#'관리자_MASTER'!D"&amp;_xlfn.MAXIFS(m_row,m_teacher,H$4,m_date,($G$2+4),m_active,1,m_start,"&lt;"&amp;840,m_end,"&gt;"&amp;780),INDEX(m_label,_xlfn.MAXIFS(m_row,m_teacher,H$4,m_date,($G$2+4),m_active,1,m_start,"&lt;"&amp;840,m_end,"&gt;"&amp;780))))))</f>
        <v/>
      </c>
      <c r="I53" s="82" t="str">
        <f aca="false">IF(OR(I$4="",MONTH(($G$2+4))&lt;&gt;MONTH($C$2)),"",IF(COUNTIFS(m_teacher,I$4,m_date,($G$2+4),m_active,1,m_start,"&lt;"&amp;840,m_end,"&gt;"&amp;780)=0,"",IF(COUNTIFS(m_teacher,I$4,m_date,($G$2+4),m_active,1,m_start,"&lt;"&amp;840,m_end,"&gt;"&amp;780)&gt;1,"충돌",HYPERLINK("#'관리자_MASTER'!D"&amp;_xlfn.MAXIFS(m_row,m_teacher,I$4,m_date,($G$2+4),m_active,1,m_start,"&lt;"&amp;840,m_end,"&gt;"&amp;780),INDEX(m_label,_xlfn.MAXIFS(m_row,m_teacher,I$4,m_date,($G$2+4),m_active,1,m_start,"&lt;"&amp;840,m_end,"&gt;"&amp;780))))))</f>
        <v/>
      </c>
      <c r="J53" s="82" t="str">
        <f aca="false">IF(OR(J$4="",MONTH(($G$2+4))&lt;&gt;MONTH($C$2)),"",IF(COUNTIFS(m_teacher,J$4,m_date,($G$2+4),m_active,1,m_start,"&lt;"&amp;840,m_end,"&gt;"&amp;780)=0,"",IF(COUNTIFS(m_teacher,J$4,m_date,($G$2+4),m_active,1,m_start,"&lt;"&amp;840,m_end,"&gt;"&amp;780)&gt;1,"충돌",HYPERLINK("#'관리자_MASTER'!D"&amp;_xlfn.MAXIFS(m_row,m_teacher,J$4,m_date,($G$2+4),m_active,1,m_start,"&lt;"&amp;840,m_end,"&gt;"&amp;780),INDEX(m_label,_xlfn.MAXIFS(m_row,m_teacher,J$4,m_date,($G$2+4),m_active,1,m_start,"&lt;"&amp;840,m_end,"&gt;"&amp;780))))))</f>
        <v/>
      </c>
      <c r="K53" s="82" t="str">
        <f aca="false">IF(OR(K$4="",MONTH(($G$2+4))&lt;&gt;MONTH($C$2)),"",IF(COUNTIFS(m_teacher,K$4,m_date,($G$2+4),m_active,1,m_start,"&lt;"&amp;840,m_end,"&gt;"&amp;780)=0,"",IF(COUNTIFS(m_teacher,K$4,m_date,($G$2+4),m_active,1,m_start,"&lt;"&amp;840,m_end,"&gt;"&amp;780)&gt;1,"충돌",HYPERLINK("#'관리자_MASTER'!D"&amp;_xlfn.MAXIFS(m_row,m_teacher,K$4,m_date,($G$2+4),m_active,1,m_start,"&lt;"&amp;840,m_end,"&gt;"&amp;780),INDEX(m_label,_xlfn.MAXIFS(m_row,m_teacher,K$4,m_date,($G$2+4),m_active,1,m_start,"&lt;"&amp;840,m_end,"&gt;"&amp;780))))))</f>
        <v/>
      </c>
      <c r="L53" s="82" t="str">
        <f aca="false">IF(OR(L$4="",MONTH(($G$2+4))&lt;&gt;MONTH($C$2)),"",IF(COUNTIFS(m_teacher,L$4,m_date,($G$2+4),m_active,1,m_start,"&lt;"&amp;840,m_end,"&gt;"&amp;780)=0,"",IF(COUNTIFS(m_teacher,L$4,m_date,($G$2+4),m_active,1,m_start,"&lt;"&amp;840,m_end,"&gt;"&amp;780)&gt;1,"충돌",HYPERLINK("#'관리자_MASTER'!D"&amp;_xlfn.MAXIFS(m_row,m_teacher,L$4,m_date,($G$2+4),m_active,1,m_start,"&lt;"&amp;840,m_end,"&gt;"&amp;780),INDEX(m_label,_xlfn.MAXIFS(m_row,m_teacher,L$4,m_date,($G$2+4),m_active,1,m_start,"&lt;"&amp;840,m_end,"&gt;"&amp;780))))))</f>
        <v/>
      </c>
      <c r="M53" s="82" t="str">
        <f aca="false">IF(OR(M$4="",MONTH(($G$2+4))&lt;&gt;MONTH($C$2)),"",IF(COUNTIFS(m_teacher,M$4,m_date,($G$2+4),m_active,1,m_start,"&lt;"&amp;840,m_end,"&gt;"&amp;780)=0,"",IF(COUNTIFS(m_teacher,M$4,m_date,($G$2+4),m_active,1,m_start,"&lt;"&amp;840,m_end,"&gt;"&amp;780)&gt;1,"충돌",HYPERLINK("#'관리자_MASTER'!D"&amp;_xlfn.MAXIFS(m_row,m_teacher,M$4,m_date,($G$2+4),m_active,1,m_start,"&lt;"&amp;840,m_end,"&gt;"&amp;780),INDEX(m_label,_xlfn.MAXIFS(m_row,m_teacher,M$4,m_date,($G$2+4),m_active,1,m_start,"&lt;"&amp;840,m_end,"&gt;"&amp;780))))))</f>
        <v/>
      </c>
      <c r="N53" s="82" t="str">
        <f aca="false">IF(OR(N$4="",MONTH(($G$2+4))&lt;&gt;MONTH($C$2)),"",IF(COUNTIFS(m_teacher,N$4,m_date,($G$2+4),m_active,1,m_start,"&lt;"&amp;840,m_end,"&gt;"&amp;780)=0,"",IF(COUNTIFS(m_teacher,N$4,m_date,($G$2+4),m_active,1,m_start,"&lt;"&amp;840,m_end,"&gt;"&amp;780)&gt;1,"충돌",HYPERLINK("#'관리자_MASTER'!D"&amp;_xlfn.MAXIFS(m_row,m_teacher,N$4,m_date,($G$2+4),m_active,1,m_start,"&lt;"&amp;840,m_end,"&gt;"&amp;780),INDEX(m_label,_xlfn.MAXIFS(m_row,m_teacher,N$4,m_date,($G$2+4),m_active,1,m_start,"&lt;"&amp;840,m_end,"&gt;"&amp;780))))))</f>
        <v/>
      </c>
      <c r="O53" s="78"/>
      <c r="P53" s="79" t="s">
        <v>95</v>
      </c>
      <c r="Q53" s="82" t="str">
        <f aca="false">IF(OR(Q$4="",MONTH(($G$2+11))&lt;&gt;MONTH($C$2)),"",IF(COUNTIFS(m_teacher,Q$4,m_date,($G$2+11),m_active,1,m_start,"&lt;"&amp;840,m_end,"&gt;"&amp;780)=0,"",IF(COUNTIFS(m_teacher,Q$4,m_date,($G$2+11),m_active,1,m_start,"&lt;"&amp;840,m_end,"&gt;"&amp;780)&gt;1,"충돌",HYPERLINK("#'관리자_MASTER'!D"&amp;_xlfn.MAXIFS(m_row,m_teacher,Q$4,m_date,($G$2+11),m_active,1,m_start,"&lt;"&amp;840,m_end,"&gt;"&amp;780),INDEX(m_label,_xlfn.MAXIFS(m_row,m_teacher,Q$4,m_date,($G$2+11),m_active,1,m_start,"&lt;"&amp;840,m_end,"&gt;"&amp;780))))))</f>
        <v/>
      </c>
      <c r="R53" s="82" t="str">
        <f aca="false">IF(OR(R$4="",MONTH(($G$2+11))&lt;&gt;MONTH($C$2)),"",IF(COUNTIFS(m_teacher,R$4,m_date,($G$2+11),m_active,1,m_start,"&lt;"&amp;840,m_end,"&gt;"&amp;780)=0,"",IF(COUNTIFS(m_teacher,R$4,m_date,($G$2+11),m_active,1,m_start,"&lt;"&amp;840,m_end,"&gt;"&amp;780)&gt;1,"충돌",HYPERLINK("#'관리자_MASTER'!D"&amp;_xlfn.MAXIFS(m_row,m_teacher,R$4,m_date,($G$2+11),m_active,1,m_start,"&lt;"&amp;840,m_end,"&gt;"&amp;780),INDEX(m_label,_xlfn.MAXIFS(m_row,m_teacher,R$4,m_date,($G$2+11),m_active,1,m_start,"&lt;"&amp;840,m_end,"&gt;"&amp;780))))))</f>
        <v/>
      </c>
      <c r="S53" s="82" t="str">
        <f aca="false">IF(OR(S$4="",MONTH(($G$2+11))&lt;&gt;MONTH($C$2)),"",IF(COUNTIFS(m_teacher,S$4,m_date,($G$2+11),m_active,1,m_start,"&lt;"&amp;840,m_end,"&gt;"&amp;780)=0,"",IF(COUNTIFS(m_teacher,S$4,m_date,($G$2+11),m_active,1,m_start,"&lt;"&amp;840,m_end,"&gt;"&amp;780)&gt;1,"충돌",HYPERLINK("#'관리자_MASTER'!D"&amp;_xlfn.MAXIFS(m_row,m_teacher,S$4,m_date,($G$2+11),m_active,1,m_start,"&lt;"&amp;840,m_end,"&gt;"&amp;780),INDEX(m_label,_xlfn.MAXIFS(m_row,m_teacher,S$4,m_date,($G$2+11),m_active,1,m_start,"&lt;"&amp;840,m_end,"&gt;"&amp;780))))))</f>
        <v/>
      </c>
      <c r="T53" s="82" t="str">
        <f aca="false">IF(OR(T$4="",MONTH(($G$2+11))&lt;&gt;MONTH($C$2)),"",IF(COUNTIFS(m_teacher,T$4,m_date,($G$2+11),m_active,1,m_start,"&lt;"&amp;840,m_end,"&gt;"&amp;780)=0,"",IF(COUNTIFS(m_teacher,T$4,m_date,($G$2+11),m_active,1,m_start,"&lt;"&amp;840,m_end,"&gt;"&amp;780)&gt;1,"충돌",HYPERLINK("#'관리자_MASTER'!D"&amp;_xlfn.MAXIFS(m_row,m_teacher,T$4,m_date,($G$2+11),m_active,1,m_start,"&lt;"&amp;840,m_end,"&gt;"&amp;780),INDEX(m_label,_xlfn.MAXIFS(m_row,m_teacher,T$4,m_date,($G$2+11),m_active,1,m_start,"&lt;"&amp;840,m_end,"&gt;"&amp;780))))))</f>
        <v/>
      </c>
      <c r="U53" s="82" t="str">
        <f aca="false">IF(OR(U$4="",MONTH(($G$2+11))&lt;&gt;MONTH($C$2)),"",IF(COUNTIFS(m_teacher,U$4,m_date,($G$2+11),m_active,1,m_start,"&lt;"&amp;840,m_end,"&gt;"&amp;780)=0,"",IF(COUNTIFS(m_teacher,U$4,m_date,($G$2+11),m_active,1,m_start,"&lt;"&amp;840,m_end,"&gt;"&amp;780)&gt;1,"충돌",HYPERLINK("#'관리자_MASTER'!D"&amp;_xlfn.MAXIFS(m_row,m_teacher,U$4,m_date,($G$2+11),m_active,1,m_start,"&lt;"&amp;840,m_end,"&gt;"&amp;780),INDEX(m_label,_xlfn.MAXIFS(m_row,m_teacher,U$4,m_date,($G$2+11),m_active,1,m_start,"&lt;"&amp;840,m_end,"&gt;"&amp;780))))))</f>
        <v/>
      </c>
      <c r="V53" s="82" t="str">
        <f aca="false">IF(OR(V$4="",MONTH(($G$2+11))&lt;&gt;MONTH($C$2)),"",IF(COUNTIFS(m_teacher,V$4,m_date,($G$2+11),m_active,1,m_start,"&lt;"&amp;840,m_end,"&gt;"&amp;780)=0,"",IF(COUNTIFS(m_teacher,V$4,m_date,($G$2+11),m_active,1,m_start,"&lt;"&amp;840,m_end,"&gt;"&amp;780)&gt;1,"충돌",HYPERLINK("#'관리자_MASTER'!D"&amp;_xlfn.MAXIFS(m_row,m_teacher,V$4,m_date,($G$2+11),m_active,1,m_start,"&lt;"&amp;840,m_end,"&gt;"&amp;780),INDEX(m_label,_xlfn.MAXIFS(m_row,m_teacher,V$4,m_date,($G$2+11),m_active,1,m_start,"&lt;"&amp;840,m_end,"&gt;"&amp;780))))))</f>
        <v/>
      </c>
      <c r="W53" s="82" t="str">
        <f aca="false">IF(OR(W$4="",MONTH(($G$2+11))&lt;&gt;MONTH($C$2)),"",IF(COUNTIFS(m_teacher,W$4,m_date,($G$2+11),m_active,1,m_start,"&lt;"&amp;840,m_end,"&gt;"&amp;780)=0,"",IF(COUNTIFS(m_teacher,W$4,m_date,($G$2+11),m_active,1,m_start,"&lt;"&amp;840,m_end,"&gt;"&amp;780)&gt;1,"충돌",HYPERLINK("#'관리자_MASTER'!D"&amp;_xlfn.MAXIFS(m_row,m_teacher,W$4,m_date,($G$2+11),m_active,1,m_start,"&lt;"&amp;840,m_end,"&gt;"&amp;780),INDEX(m_label,_xlfn.MAXIFS(m_row,m_teacher,W$4,m_date,($G$2+11),m_active,1,m_start,"&lt;"&amp;840,m_end,"&gt;"&amp;780))))))</f>
        <v/>
      </c>
      <c r="X53" s="82" t="str">
        <f aca="false">IF(OR(X$4="",MONTH(($G$2+11))&lt;&gt;MONTH($C$2)),"",IF(COUNTIFS(m_teacher,X$4,m_date,($G$2+11),m_active,1,m_start,"&lt;"&amp;840,m_end,"&gt;"&amp;780)=0,"",IF(COUNTIFS(m_teacher,X$4,m_date,($G$2+11),m_active,1,m_start,"&lt;"&amp;840,m_end,"&gt;"&amp;780)&gt;1,"충돌",HYPERLINK("#'관리자_MASTER'!D"&amp;_xlfn.MAXIFS(m_row,m_teacher,X$4,m_date,($G$2+11),m_active,1,m_start,"&lt;"&amp;840,m_end,"&gt;"&amp;780),INDEX(m_label,_xlfn.MAXIFS(m_row,m_teacher,X$4,m_date,($G$2+11),m_active,1,m_start,"&lt;"&amp;840,m_end,"&gt;"&amp;780))))))</f>
        <v/>
      </c>
      <c r="Y53" s="82" t="str">
        <f aca="false">IF(OR(Y$4="",MONTH(($G$2+11))&lt;&gt;MONTH($C$2)),"",IF(COUNTIFS(m_teacher,Y$4,m_date,($G$2+11),m_active,1,m_start,"&lt;"&amp;840,m_end,"&gt;"&amp;780)=0,"",IF(COUNTIFS(m_teacher,Y$4,m_date,($G$2+11),m_active,1,m_start,"&lt;"&amp;840,m_end,"&gt;"&amp;780)&gt;1,"충돌",HYPERLINK("#'관리자_MASTER'!D"&amp;_xlfn.MAXIFS(m_row,m_teacher,Y$4,m_date,($G$2+11),m_active,1,m_start,"&lt;"&amp;840,m_end,"&gt;"&amp;780),INDEX(m_label,_xlfn.MAXIFS(m_row,m_teacher,Y$4,m_date,($G$2+11),m_active,1,m_start,"&lt;"&amp;840,m_end,"&gt;"&amp;780))))))</f>
        <v/>
      </c>
      <c r="Z53" s="82" t="str">
        <f aca="false">IF(OR(Z$4="",MONTH(($G$2+11))&lt;&gt;MONTH($C$2)),"",IF(COUNTIFS(m_teacher,Z$4,m_date,($G$2+11),m_active,1,m_start,"&lt;"&amp;840,m_end,"&gt;"&amp;780)=0,"",IF(COUNTIFS(m_teacher,Z$4,m_date,($G$2+11),m_active,1,m_start,"&lt;"&amp;840,m_end,"&gt;"&amp;780)&gt;1,"충돌",HYPERLINK("#'관리자_MASTER'!D"&amp;_xlfn.MAXIFS(m_row,m_teacher,Z$4,m_date,($G$2+11),m_active,1,m_start,"&lt;"&amp;840,m_end,"&gt;"&amp;780),INDEX(m_label,_xlfn.MAXIFS(m_row,m_teacher,Z$4,m_date,($G$2+11),m_active,1,m_start,"&lt;"&amp;840,m_end,"&gt;"&amp;780))))))</f>
        <v/>
      </c>
      <c r="AA53" s="82" t="str">
        <f aca="false">IF(OR(AA$4="",MONTH(($G$2+11))&lt;&gt;MONTH($C$2)),"",IF(COUNTIFS(m_teacher,AA$4,m_date,($G$2+11),m_active,1,m_start,"&lt;"&amp;840,m_end,"&gt;"&amp;780)=0,"",IF(COUNTIFS(m_teacher,AA$4,m_date,($G$2+11),m_active,1,m_start,"&lt;"&amp;840,m_end,"&gt;"&amp;780)&gt;1,"충돌",HYPERLINK("#'관리자_MASTER'!D"&amp;_xlfn.MAXIFS(m_row,m_teacher,AA$4,m_date,($G$2+11),m_active,1,m_start,"&lt;"&amp;840,m_end,"&gt;"&amp;780),INDEX(m_label,_xlfn.MAXIFS(m_row,m_teacher,AA$4,m_date,($G$2+11),m_active,1,m_start,"&lt;"&amp;840,m_end,"&gt;"&amp;780))))))</f>
        <v/>
      </c>
      <c r="AB53" s="82" t="str">
        <f aca="false">IF(OR(AB$4="",MONTH(($G$2+11))&lt;&gt;MONTH($C$2)),"",IF(COUNTIFS(m_teacher,AB$4,m_date,($G$2+11),m_active,1,m_start,"&lt;"&amp;840,m_end,"&gt;"&amp;780)=0,"",IF(COUNTIFS(m_teacher,AB$4,m_date,($G$2+11),m_active,1,m_start,"&lt;"&amp;840,m_end,"&gt;"&amp;780)&gt;1,"충돌",HYPERLINK("#'관리자_MASTER'!D"&amp;_xlfn.MAXIFS(m_row,m_teacher,AB$4,m_date,($G$2+11),m_active,1,m_start,"&lt;"&amp;840,m_end,"&gt;"&amp;780),INDEX(m_label,_xlfn.MAXIFS(m_row,m_teacher,AB$4,m_date,($G$2+11),m_active,1,m_start,"&lt;"&amp;840,m_end,"&gt;"&amp;780))))))</f>
        <v/>
      </c>
      <c r="AC53" s="78"/>
      <c r="AD53" s="79" t="s">
        <v>95</v>
      </c>
      <c r="AE53" s="82" t="str">
        <f aca="false">IF(OR(AE$4="",MONTH(($G$2+18))&lt;&gt;MONTH($C$2)),"",IF(COUNTIFS(m_teacher,AE$4,m_date,($G$2+18),m_active,1,m_start,"&lt;"&amp;840,m_end,"&gt;"&amp;780)=0,"",IF(COUNTIFS(m_teacher,AE$4,m_date,($G$2+18),m_active,1,m_start,"&lt;"&amp;840,m_end,"&gt;"&amp;780)&gt;1,"충돌",HYPERLINK("#'관리자_MASTER'!D"&amp;_xlfn.MAXIFS(m_row,m_teacher,AE$4,m_date,($G$2+18),m_active,1,m_start,"&lt;"&amp;840,m_end,"&gt;"&amp;780),INDEX(m_label,_xlfn.MAXIFS(m_row,m_teacher,AE$4,m_date,($G$2+18),m_active,1,m_start,"&lt;"&amp;840,m_end,"&gt;"&amp;780))))))</f>
        <v/>
      </c>
      <c r="AF53" s="82" t="str">
        <f aca="false">IF(OR(AF$4="",MONTH(($G$2+18))&lt;&gt;MONTH($C$2)),"",IF(COUNTIFS(m_teacher,AF$4,m_date,($G$2+18),m_active,1,m_start,"&lt;"&amp;840,m_end,"&gt;"&amp;780)=0,"",IF(COUNTIFS(m_teacher,AF$4,m_date,($G$2+18),m_active,1,m_start,"&lt;"&amp;840,m_end,"&gt;"&amp;780)&gt;1,"충돌",HYPERLINK("#'관리자_MASTER'!D"&amp;_xlfn.MAXIFS(m_row,m_teacher,AF$4,m_date,($G$2+18),m_active,1,m_start,"&lt;"&amp;840,m_end,"&gt;"&amp;780),INDEX(m_label,_xlfn.MAXIFS(m_row,m_teacher,AF$4,m_date,($G$2+18),m_active,1,m_start,"&lt;"&amp;840,m_end,"&gt;"&amp;780))))))</f>
        <v/>
      </c>
      <c r="AG53" s="82" t="str">
        <f aca="false">IF(OR(AG$4="",MONTH(($G$2+18))&lt;&gt;MONTH($C$2)),"",IF(COUNTIFS(m_teacher,AG$4,m_date,($G$2+18),m_active,1,m_start,"&lt;"&amp;840,m_end,"&gt;"&amp;780)=0,"",IF(COUNTIFS(m_teacher,AG$4,m_date,($G$2+18),m_active,1,m_start,"&lt;"&amp;840,m_end,"&gt;"&amp;780)&gt;1,"충돌",HYPERLINK("#'관리자_MASTER'!D"&amp;_xlfn.MAXIFS(m_row,m_teacher,AG$4,m_date,($G$2+18),m_active,1,m_start,"&lt;"&amp;840,m_end,"&gt;"&amp;780),INDEX(m_label,_xlfn.MAXIFS(m_row,m_teacher,AG$4,m_date,($G$2+18),m_active,1,m_start,"&lt;"&amp;840,m_end,"&gt;"&amp;780))))))</f>
        <v/>
      </c>
      <c r="AH53" s="82" t="str">
        <f aca="false">IF(OR(AH$4="",MONTH(($G$2+18))&lt;&gt;MONTH($C$2)),"",IF(COUNTIFS(m_teacher,AH$4,m_date,($G$2+18),m_active,1,m_start,"&lt;"&amp;840,m_end,"&gt;"&amp;780)=0,"",IF(COUNTIFS(m_teacher,AH$4,m_date,($G$2+18),m_active,1,m_start,"&lt;"&amp;840,m_end,"&gt;"&amp;780)&gt;1,"충돌",HYPERLINK("#'관리자_MASTER'!D"&amp;_xlfn.MAXIFS(m_row,m_teacher,AH$4,m_date,($G$2+18),m_active,1,m_start,"&lt;"&amp;840,m_end,"&gt;"&amp;780),INDEX(m_label,_xlfn.MAXIFS(m_row,m_teacher,AH$4,m_date,($G$2+18),m_active,1,m_start,"&lt;"&amp;840,m_end,"&gt;"&amp;780))))))</f>
        <v/>
      </c>
      <c r="AI53" s="82" t="str">
        <f aca="false">IF(OR(AI$4="",MONTH(($G$2+18))&lt;&gt;MONTH($C$2)),"",IF(COUNTIFS(m_teacher,AI$4,m_date,($G$2+18),m_active,1,m_start,"&lt;"&amp;840,m_end,"&gt;"&amp;780)=0,"",IF(COUNTIFS(m_teacher,AI$4,m_date,($G$2+18),m_active,1,m_start,"&lt;"&amp;840,m_end,"&gt;"&amp;780)&gt;1,"충돌",HYPERLINK("#'관리자_MASTER'!D"&amp;_xlfn.MAXIFS(m_row,m_teacher,AI$4,m_date,($G$2+18),m_active,1,m_start,"&lt;"&amp;840,m_end,"&gt;"&amp;780),INDEX(m_label,_xlfn.MAXIFS(m_row,m_teacher,AI$4,m_date,($G$2+18),m_active,1,m_start,"&lt;"&amp;840,m_end,"&gt;"&amp;780))))))</f>
        <v/>
      </c>
      <c r="AJ53" s="82" t="str">
        <f aca="false">IF(OR(AJ$4="",MONTH(($G$2+18))&lt;&gt;MONTH($C$2)),"",IF(COUNTIFS(m_teacher,AJ$4,m_date,($G$2+18),m_active,1,m_start,"&lt;"&amp;840,m_end,"&gt;"&amp;780)=0,"",IF(COUNTIFS(m_teacher,AJ$4,m_date,($G$2+18),m_active,1,m_start,"&lt;"&amp;840,m_end,"&gt;"&amp;780)&gt;1,"충돌",HYPERLINK("#'관리자_MASTER'!D"&amp;_xlfn.MAXIFS(m_row,m_teacher,AJ$4,m_date,($G$2+18),m_active,1,m_start,"&lt;"&amp;840,m_end,"&gt;"&amp;780),INDEX(m_label,_xlfn.MAXIFS(m_row,m_teacher,AJ$4,m_date,($G$2+18),m_active,1,m_start,"&lt;"&amp;840,m_end,"&gt;"&amp;780))))))</f>
        <v/>
      </c>
      <c r="AK53" s="82" t="str">
        <f aca="false">IF(OR(AK$4="",MONTH(($G$2+18))&lt;&gt;MONTH($C$2)),"",IF(COUNTIFS(m_teacher,AK$4,m_date,($G$2+18),m_active,1,m_start,"&lt;"&amp;840,m_end,"&gt;"&amp;780)=0,"",IF(COUNTIFS(m_teacher,AK$4,m_date,($G$2+18),m_active,1,m_start,"&lt;"&amp;840,m_end,"&gt;"&amp;780)&gt;1,"충돌",HYPERLINK("#'관리자_MASTER'!D"&amp;_xlfn.MAXIFS(m_row,m_teacher,AK$4,m_date,($G$2+18),m_active,1,m_start,"&lt;"&amp;840,m_end,"&gt;"&amp;780),INDEX(m_label,_xlfn.MAXIFS(m_row,m_teacher,AK$4,m_date,($G$2+18),m_active,1,m_start,"&lt;"&amp;840,m_end,"&gt;"&amp;780))))))</f>
        <v/>
      </c>
      <c r="AL53" s="82" t="str">
        <f aca="false">IF(OR(AL$4="",MONTH(($G$2+18))&lt;&gt;MONTH($C$2)),"",IF(COUNTIFS(m_teacher,AL$4,m_date,($G$2+18),m_active,1,m_start,"&lt;"&amp;840,m_end,"&gt;"&amp;780)=0,"",IF(COUNTIFS(m_teacher,AL$4,m_date,($G$2+18),m_active,1,m_start,"&lt;"&amp;840,m_end,"&gt;"&amp;780)&gt;1,"충돌",HYPERLINK("#'관리자_MASTER'!D"&amp;_xlfn.MAXIFS(m_row,m_teacher,AL$4,m_date,($G$2+18),m_active,1,m_start,"&lt;"&amp;840,m_end,"&gt;"&amp;780),INDEX(m_label,_xlfn.MAXIFS(m_row,m_teacher,AL$4,m_date,($G$2+18),m_active,1,m_start,"&lt;"&amp;840,m_end,"&gt;"&amp;780))))))</f>
        <v/>
      </c>
      <c r="AM53" s="82" t="str">
        <f aca="false">IF(OR(AM$4="",MONTH(($G$2+18))&lt;&gt;MONTH($C$2)),"",IF(COUNTIFS(m_teacher,AM$4,m_date,($G$2+18),m_active,1,m_start,"&lt;"&amp;840,m_end,"&gt;"&amp;780)=0,"",IF(COUNTIFS(m_teacher,AM$4,m_date,($G$2+18),m_active,1,m_start,"&lt;"&amp;840,m_end,"&gt;"&amp;780)&gt;1,"충돌",HYPERLINK("#'관리자_MASTER'!D"&amp;_xlfn.MAXIFS(m_row,m_teacher,AM$4,m_date,($G$2+18),m_active,1,m_start,"&lt;"&amp;840,m_end,"&gt;"&amp;780),INDEX(m_label,_xlfn.MAXIFS(m_row,m_teacher,AM$4,m_date,($G$2+18),m_active,1,m_start,"&lt;"&amp;840,m_end,"&gt;"&amp;780))))))</f>
        <v/>
      </c>
      <c r="AN53" s="82" t="str">
        <f aca="false">IF(OR(AN$4="",MONTH(($G$2+18))&lt;&gt;MONTH($C$2)),"",IF(COUNTIFS(m_teacher,AN$4,m_date,($G$2+18),m_active,1,m_start,"&lt;"&amp;840,m_end,"&gt;"&amp;780)=0,"",IF(COUNTIFS(m_teacher,AN$4,m_date,($G$2+18),m_active,1,m_start,"&lt;"&amp;840,m_end,"&gt;"&amp;780)&gt;1,"충돌",HYPERLINK("#'관리자_MASTER'!D"&amp;_xlfn.MAXIFS(m_row,m_teacher,AN$4,m_date,($G$2+18),m_active,1,m_start,"&lt;"&amp;840,m_end,"&gt;"&amp;780),INDEX(m_label,_xlfn.MAXIFS(m_row,m_teacher,AN$4,m_date,($G$2+18),m_active,1,m_start,"&lt;"&amp;840,m_end,"&gt;"&amp;780))))))</f>
        <v/>
      </c>
      <c r="AO53" s="82" t="str">
        <f aca="false">IF(OR(AO$4="",MONTH(($G$2+18))&lt;&gt;MONTH($C$2)),"",IF(COUNTIFS(m_teacher,AO$4,m_date,($G$2+18),m_active,1,m_start,"&lt;"&amp;840,m_end,"&gt;"&amp;780)=0,"",IF(COUNTIFS(m_teacher,AO$4,m_date,($G$2+18),m_active,1,m_start,"&lt;"&amp;840,m_end,"&gt;"&amp;780)&gt;1,"충돌",HYPERLINK("#'관리자_MASTER'!D"&amp;_xlfn.MAXIFS(m_row,m_teacher,AO$4,m_date,($G$2+18),m_active,1,m_start,"&lt;"&amp;840,m_end,"&gt;"&amp;780),INDEX(m_label,_xlfn.MAXIFS(m_row,m_teacher,AO$4,m_date,($G$2+18),m_active,1,m_start,"&lt;"&amp;840,m_end,"&gt;"&amp;780))))))</f>
        <v/>
      </c>
      <c r="AP53" s="82" t="str">
        <f aca="false">IF(OR(AP$4="",MONTH(($G$2+18))&lt;&gt;MONTH($C$2)),"",IF(COUNTIFS(m_teacher,AP$4,m_date,($G$2+18),m_active,1,m_start,"&lt;"&amp;840,m_end,"&gt;"&amp;780)=0,"",IF(COUNTIFS(m_teacher,AP$4,m_date,($G$2+18),m_active,1,m_start,"&lt;"&amp;840,m_end,"&gt;"&amp;780)&gt;1,"충돌",HYPERLINK("#'관리자_MASTER'!D"&amp;_xlfn.MAXIFS(m_row,m_teacher,AP$4,m_date,($G$2+18),m_active,1,m_start,"&lt;"&amp;840,m_end,"&gt;"&amp;780),INDEX(m_label,_xlfn.MAXIFS(m_row,m_teacher,AP$4,m_date,($G$2+18),m_active,1,m_start,"&lt;"&amp;840,m_end,"&gt;"&amp;780))))))</f>
        <v/>
      </c>
      <c r="AQ53" s="78"/>
      <c r="AR53" s="79" t="s">
        <v>95</v>
      </c>
      <c r="AS53" s="82" t="str">
        <f aca="false">IF(OR(AS$4="",MONTH(($G$2+25))&lt;&gt;MONTH($C$2)),"",IF(COUNTIFS(m_teacher,AS$4,m_date,($G$2+25),m_active,1,m_start,"&lt;"&amp;840,m_end,"&gt;"&amp;780)=0,"",IF(COUNTIFS(m_teacher,AS$4,m_date,($G$2+25),m_active,1,m_start,"&lt;"&amp;840,m_end,"&gt;"&amp;780)&gt;1,"충돌",HYPERLINK("#'관리자_MASTER'!D"&amp;_xlfn.MAXIFS(m_row,m_teacher,AS$4,m_date,($G$2+25),m_active,1,m_start,"&lt;"&amp;840,m_end,"&gt;"&amp;780),INDEX(m_label,_xlfn.MAXIFS(m_row,m_teacher,AS$4,m_date,($G$2+25),m_active,1,m_start,"&lt;"&amp;840,m_end,"&gt;"&amp;780))))))</f>
        <v/>
      </c>
      <c r="AT53" s="82" t="str">
        <f aca="false">IF(OR(AT$4="",MONTH(($G$2+25))&lt;&gt;MONTH($C$2)),"",IF(COUNTIFS(m_teacher,AT$4,m_date,($G$2+25),m_active,1,m_start,"&lt;"&amp;840,m_end,"&gt;"&amp;780)=0,"",IF(COUNTIFS(m_teacher,AT$4,m_date,($G$2+25),m_active,1,m_start,"&lt;"&amp;840,m_end,"&gt;"&amp;780)&gt;1,"충돌",HYPERLINK("#'관리자_MASTER'!D"&amp;_xlfn.MAXIFS(m_row,m_teacher,AT$4,m_date,($G$2+25),m_active,1,m_start,"&lt;"&amp;840,m_end,"&gt;"&amp;780),INDEX(m_label,_xlfn.MAXIFS(m_row,m_teacher,AT$4,m_date,($G$2+25),m_active,1,m_start,"&lt;"&amp;840,m_end,"&gt;"&amp;780))))))</f>
        <v/>
      </c>
      <c r="AU53" s="82" t="str">
        <f aca="false">IF(OR(AU$4="",MONTH(($G$2+25))&lt;&gt;MONTH($C$2)),"",IF(COUNTIFS(m_teacher,AU$4,m_date,($G$2+25),m_active,1,m_start,"&lt;"&amp;840,m_end,"&gt;"&amp;780)=0,"",IF(COUNTIFS(m_teacher,AU$4,m_date,($G$2+25),m_active,1,m_start,"&lt;"&amp;840,m_end,"&gt;"&amp;780)&gt;1,"충돌",HYPERLINK("#'관리자_MASTER'!D"&amp;_xlfn.MAXIFS(m_row,m_teacher,AU$4,m_date,($G$2+25),m_active,1,m_start,"&lt;"&amp;840,m_end,"&gt;"&amp;780),INDEX(m_label,_xlfn.MAXIFS(m_row,m_teacher,AU$4,m_date,($G$2+25),m_active,1,m_start,"&lt;"&amp;840,m_end,"&gt;"&amp;780))))))</f>
        <v/>
      </c>
      <c r="AV53" s="82" t="str">
        <f aca="false">IF(OR(AV$4="",MONTH(($G$2+25))&lt;&gt;MONTH($C$2)),"",IF(COUNTIFS(m_teacher,AV$4,m_date,($G$2+25),m_active,1,m_start,"&lt;"&amp;840,m_end,"&gt;"&amp;780)=0,"",IF(COUNTIFS(m_teacher,AV$4,m_date,($G$2+25),m_active,1,m_start,"&lt;"&amp;840,m_end,"&gt;"&amp;780)&gt;1,"충돌",HYPERLINK("#'관리자_MASTER'!D"&amp;_xlfn.MAXIFS(m_row,m_teacher,AV$4,m_date,($G$2+25),m_active,1,m_start,"&lt;"&amp;840,m_end,"&gt;"&amp;780),INDEX(m_label,_xlfn.MAXIFS(m_row,m_teacher,AV$4,m_date,($G$2+25),m_active,1,m_start,"&lt;"&amp;840,m_end,"&gt;"&amp;780))))))</f>
        <v/>
      </c>
      <c r="AW53" s="82" t="str">
        <f aca="false">IF(OR(AW$4="",MONTH(($G$2+25))&lt;&gt;MONTH($C$2)),"",IF(COUNTIFS(m_teacher,AW$4,m_date,($G$2+25),m_active,1,m_start,"&lt;"&amp;840,m_end,"&gt;"&amp;780)=0,"",IF(COUNTIFS(m_teacher,AW$4,m_date,($G$2+25),m_active,1,m_start,"&lt;"&amp;840,m_end,"&gt;"&amp;780)&gt;1,"충돌",HYPERLINK("#'관리자_MASTER'!D"&amp;_xlfn.MAXIFS(m_row,m_teacher,AW$4,m_date,($G$2+25),m_active,1,m_start,"&lt;"&amp;840,m_end,"&gt;"&amp;780),INDEX(m_label,_xlfn.MAXIFS(m_row,m_teacher,AW$4,m_date,($G$2+25),m_active,1,m_start,"&lt;"&amp;840,m_end,"&gt;"&amp;780))))))</f>
        <v/>
      </c>
      <c r="AX53" s="82" t="str">
        <f aca="false">IF(OR(AX$4="",MONTH(($G$2+25))&lt;&gt;MONTH($C$2)),"",IF(COUNTIFS(m_teacher,AX$4,m_date,($G$2+25),m_active,1,m_start,"&lt;"&amp;840,m_end,"&gt;"&amp;780)=0,"",IF(COUNTIFS(m_teacher,AX$4,m_date,($G$2+25),m_active,1,m_start,"&lt;"&amp;840,m_end,"&gt;"&amp;780)&gt;1,"충돌",HYPERLINK("#'관리자_MASTER'!D"&amp;_xlfn.MAXIFS(m_row,m_teacher,AX$4,m_date,($G$2+25),m_active,1,m_start,"&lt;"&amp;840,m_end,"&gt;"&amp;780),INDEX(m_label,_xlfn.MAXIFS(m_row,m_teacher,AX$4,m_date,($G$2+25),m_active,1,m_start,"&lt;"&amp;840,m_end,"&gt;"&amp;780))))))</f>
        <v/>
      </c>
      <c r="AY53" s="82" t="str">
        <f aca="false">IF(OR(AY$4="",MONTH(($G$2+25))&lt;&gt;MONTH($C$2)),"",IF(COUNTIFS(m_teacher,AY$4,m_date,($G$2+25),m_active,1,m_start,"&lt;"&amp;840,m_end,"&gt;"&amp;780)=0,"",IF(COUNTIFS(m_teacher,AY$4,m_date,($G$2+25),m_active,1,m_start,"&lt;"&amp;840,m_end,"&gt;"&amp;780)&gt;1,"충돌",HYPERLINK("#'관리자_MASTER'!D"&amp;_xlfn.MAXIFS(m_row,m_teacher,AY$4,m_date,($G$2+25),m_active,1,m_start,"&lt;"&amp;840,m_end,"&gt;"&amp;780),INDEX(m_label,_xlfn.MAXIFS(m_row,m_teacher,AY$4,m_date,($G$2+25),m_active,1,m_start,"&lt;"&amp;840,m_end,"&gt;"&amp;780))))))</f>
        <v/>
      </c>
      <c r="AZ53" s="82" t="str">
        <f aca="false">IF(OR(AZ$4="",MONTH(($G$2+25))&lt;&gt;MONTH($C$2)),"",IF(COUNTIFS(m_teacher,AZ$4,m_date,($G$2+25),m_active,1,m_start,"&lt;"&amp;840,m_end,"&gt;"&amp;780)=0,"",IF(COUNTIFS(m_teacher,AZ$4,m_date,($G$2+25),m_active,1,m_start,"&lt;"&amp;840,m_end,"&gt;"&amp;780)&gt;1,"충돌",HYPERLINK("#'관리자_MASTER'!D"&amp;_xlfn.MAXIFS(m_row,m_teacher,AZ$4,m_date,($G$2+25),m_active,1,m_start,"&lt;"&amp;840,m_end,"&gt;"&amp;780),INDEX(m_label,_xlfn.MAXIFS(m_row,m_teacher,AZ$4,m_date,($G$2+25),m_active,1,m_start,"&lt;"&amp;840,m_end,"&gt;"&amp;780))))))</f>
        <v/>
      </c>
      <c r="BA53" s="82" t="str">
        <f aca="false">IF(OR(BA$4="",MONTH(($G$2+25))&lt;&gt;MONTH($C$2)),"",IF(COUNTIFS(m_teacher,BA$4,m_date,($G$2+25),m_active,1,m_start,"&lt;"&amp;840,m_end,"&gt;"&amp;780)=0,"",IF(COUNTIFS(m_teacher,BA$4,m_date,($G$2+25),m_active,1,m_start,"&lt;"&amp;840,m_end,"&gt;"&amp;780)&gt;1,"충돌",HYPERLINK("#'관리자_MASTER'!D"&amp;_xlfn.MAXIFS(m_row,m_teacher,BA$4,m_date,($G$2+25),m_active,1,m_start,"&lt;"&amp;840,m_end,"&gt;"&amp;780),INDEX(m_label,_xlfn.MAXIFS(m_row,m_teacher,BA$4,m_date,($G$2+25),m_active,1,m_start,"&lt;"&amp;840,m_end,"&gt;"&amp;780))))))</f>
        <v/>
      </c>
      <c r="BB53" s="82" t="str">
        <f aca="false">IF(OR(BB$4="",MONTH(($G$2+25))&lt;&gt;MONTH($C$2)),"",IF(COUNTIFS(m_teacher,BB$4,m_date,($G$2+25),m_active,1,m_start,"&lt;"&amp;840,m_end,"&gt;"&amp;780)=0,"",IF(COUNTIFS(m_teacher,BB$4,m_date,($G$2+25),m_active,1,m_start,"&lt;"&amp;840,m_end,"&gt;"&amp;780)&gt;1,"충돌",HYPERLINK("#'관리자_MASTER'!D"&amp;_xlfn.MAXIFS(m_row,m_teacher,BB$4,m_date,($G$2+25),m_active,1,m_start,"&lt;"&amp;840,m_end,"&gt;"&amp;780),INDEX(m_label,_xlfn.MAXIFS(m_row,m_teacher,BB$4,m_date,($G$2+25),m_active,1,m_start,"&lt;"&amp;840,m_end,"&gt;"&amp;780))))))</f>
        <v/>
      </c>
      <c r="BC53" s="82" t="str">
        <f aca="false">IF(OR(BC$4="",MONTH(($G$2+25))&lt;&gt;MONTH($C$2)),"",IF(COUNTIFS(m_teacher,BC$4,m_date,($G$2+25),m_active,1,m_start,"&lt;"&amp;840,m_end,"&gt;"&amp;780)=0,"",IF(COUNTIFS(m_teacher,BC$4,m_date,($G$2+25),m_active,1,m_start,"&lt;"&amp;840,m_end,"&gt;"&amp;780)&gt;1,"충돌",HYPERLINK("#'관리자_MASTER'!D"&amp;_xlfn.MAXIFS(m_row,m_teacher,BC$4,m_date,($G$2+25),m_active,1,m_start,"&lt;"&amp;840,m_end,"&gt;"&amp;780),INDEX(m_label,_xlfn.MAXIFS(m_row,m_teacher,BC$4,m_date,($G$2+25),m_active,1,m_start,"&lt;"&amp;840,m_end,"&gt;"&amp;780))))))</f>
        <v/>
      </c>
      <c r="BD53" s="82" t="str">
        <f aca="false">IF(OR(BD$4="",MONTH(($G$2+25))&lt;&gt;MONTH($C$2)),"",IF(COUNTIFS(m_teacher,BD$4,m_date,($G$2+25),m_active,1,m_start,"&lt;"&amp;840,m_end,"&gt;"&amp;780)=0,"",IF(COUNTIFS(m_teacher,BD$4,m_date,($G$2+25),m_active,1,m_start,"&lt;"&amp;840,m_end,"&gt;"&amp;780)&gt;1,"충돌",HYPERLINK("#'관리자_MASTER'!D"&amp;_xlfn.MAXIFS(m_row,m_teacher,BD$4,m_date,($G$2+25),m_active,1,m_start,"&lt;"&amp;840,m_end,"&gt;"&amp;780),INDEX(m_label,_xlfn.MAXIFS(m_row,m_teacher,BD$4,m_date,($G$2+25),m_active,1,m_start,"&lt;"&amp;840,m_end,"&gt;"&amp;780))))))</f>
        <v/>
      </c>
      <c r="BE53" s="75"/>
      <c r="BF53" s="76" t="s">
        <v>95</v>
      </c>
      <c r="BG53" s="81" t="str">
        <f aca="false">IF(OR(BG$4="",MONTH(($G$2+32))&lt;&gt;MONTH($C$2)),"",IF(COUNTIFS(m_teacher,BG$4,m_date,($G$2+32),m_active,1,m_start,"&lt;"&amp;840,m_end,"&gt;"&amp;780)=0,"",IF(COUNTIFS(m_teacher,BG$4,m_date,($G$2+32),m_active,1,m_start,"&lt;"&amp;840,m_end,"&gt;"&amp;780)&gt;1,"충돌",HYPERLINK("#'관리자_MASTER'!D"&amp;_xlfn.MAXIFS(m_row,m_teacher,BG$4,m_date,($G$2+32),m_active,1,m_start,"&lt;"&amp;840,m_end,"&gt;"&amp;780),INDEX(m_label,_xlfn.MAXIFS(m_row,m_teacher,BG$4,m_date,($G$2+32),m_active,1,m_start,"&lt;"&amp;840,m_end,"&gt;"&amp;780))))))</f>
        <v/>
      </c>
      <c r="BH53" s="81" t="str">
        <f aca="false">IF(OR(BH$4="",MONTH(($G$2+32))&lt;&gt;MONTH($C$2)),"",IF(COUNTIFS(m_teacher,BH$4,m_date,($G$2+32),m_active,1,m_start,"&lt;"&amp;840,m_end,"&gt;"&amp;780)=0,"",IF(COUNTIFS(m_teacher,BH$4,m_date,($G$2+32),m_active,1,m_start,"&lt;"&amp;840,m_end,"&gt;"&amp;780)&gt;1,"충돌",HYPERLINK("#'관리자_MASTER'!D"&amp;_xlfn.MAXIFS(m_row,m_teacher,BH$4,m_date,($G$2+32),m_active,1,m_start,"&lt;"&amp;840,m_end,"&gt;"&amp;780),INDEX(m_label,_xlfn.MAXIFS(m_row,m_teacher,BH$4,m_date,($G$2+32),m_active,1,m_start,"&lt;"&amp;840,m_end,"&gt;"&amp;780))))))</f>
        <v/>
      </c>
      <c r="BI53" s="81" t="str">
        <f aca="false">IF(OR(BI$4="",MONTH(($G$2+32))&lt;&gt;MONTH($C$2)),"",IF(COUNTIFS(m_teacher,BI$4,m_date,($G$2+32),m_active,1,m_start,"&lt;"&amp;840,m_end,"&gt;"&amp;780)=0,"",IF(COUNTIFS(m_teacher,BI$4,m_date,($G$2+32),m_active,1,m_start,"&lt;"&amp;840,m_end,"&gt;"&amp;780)&gt;1,"충돌",HYPERLINK("#'관리자_MASTER'!D"&amp;_xlfn.MAXIFS(m_row,m_teacher,BI$4,m_date,($G$2+32),m_active,1,m_start,"&lt;"&amp;840,m_end,"&gt;"&amp;780),INDEX(m_label,_xlfn.MAXIFS(m_row,m_teacher,BI$4,m_date,($G$2+32),m_active,1,m_start,"&lt;"&amp;840,m_end,"&gt;"&amp;780))))))</f>
        <v/>
      </c>
      <c r="BJ53" s="81" t="str">
        <f aca="false">IF(OR(BJ$4="",MONTH(($G$2+32))&lt;&gt;MONTH($C$2)),"",IF(COUNTIFS(m_teacher,BJ$4,m_date,($G$2+32),m_active,1,m_start,"&lt;"&amp;840,m_end,"&gt;"&amp;780)=0,"",IF(COUNTIFS(m_teacher,BJ$4,m_date,($G$2+32),m_active,1,m_start,"&lt;"&amp;840,m_end,"&gt;"&amp;780)&gt;1,"충돌",HYPERLINK("#'관리자_MASTER'!D"&amp;_xlfn.MAXIFS(m_row,m_teacher,BJ$4,m_date,($G$2+32),m_active,1,m_start,"&lt;"&amp;840,m_end,"&gt;"&amp;780),INDEX(m_label,_xlfn.MAXIFS(m_row,m_teacher,BJ$4,m_date,($G$2+32),m_active,1,m_start,"&lt;"&amp;840,m_end,"&gt;"&amp;780))))))</f>
        <v/>
      </c>
      <c r="BK53" s="81" t="str">
        <f aca="false">IF(OR(BK$4="",MONTH(($G$2+32))&lt;&gt;MONTH($C$2)),"",IF(COUNTIFS(m_teacher,BK$4,m_date,($G$2+32),m_active,1,m_start,"&lt;"&amp;840,m_end,"&gt;"&amp;780)=0,"",IF(COUNTIFS(m_teacher,BK$4,m_date,($G$2+32),m_active,1,m_start,"&lt;"&amp;840,m_end,"&gt;"&amp;780)&gt;1,"충돌",HYPERLINK("#'관리자_MASTER'!D"&amp;_xlfn.MAXIFS(m_row,m_teacher,BK$4,m_date,($G$2+32),m_active,1,m_start,"&lt;"&amp;840,m_end,"&gt;"&amp;780),INDEX(m_label,_xlfn.MAXIFS(m_row,m_teacher,BK$4,m_date,($G$2+32),m_active,1,m_start,"&lt;"&amp;840,m_end,"&gt;"&amp;780))))))</f>
        <v/>
      </c>
      <c r="BL53" s="81" t="str">
        <f aca="false">IF(OR(BL$4="",MONTH(($G$2+32))&lt;&gt;MONTH($C$2)),"",IF(COUNTIFS(m_teacher,BL$4,m_date,($G$2+32),m_active,1,m_start,"&lt;"&amp;840,m_end,"&gt;"&amp;780)=0,"",IF(COUNTIFS(m_teacher,BL$4,m_date,($G$2+32),m_active,1,m_start,"&lt;"&amp;840,m_end,"&gt;"&amp;780)&gt;1,"충돌",HYPERLINK("#'관리자_MASTER'!D"&amp;_xlfn.MAXIFS(m_row,m_teacher,BL$4,m_date,($G$2+32),m_active,1,m_start,"&lt;"&amp;840,m_end,"&gt;"&amp;780),INDEX(m_label,_xlfn.MAXIFS(m_row,m_teacher,BL$4,m_date,($G$2+32),m_active,1,m_start,"&lt;"&amp;840,m_end,"&gt;"&amp;780))))))</f>
        <v/>
      </c>
      <c r="BM53" s="81" t="str">
        <f aca="false">IF(OR(BM$4="",MONTH(($G$2+32))&lt;&gt;MONTH($C$2)),"",IF(COUNTIFS(m_teacher,BM$4,m_date,($G$2+32),m_active,1,m_start,"&lt;"&amp;840,m_end,"&gt;"&amp;780)=0,"",IF(COUNTIFS(m_teacher,BM$4,m_date,($G$2+32),m_active,1,m_start,"&lt;"&amp;840,m_end,"&gt;"&amp;780)&gt;1,"충돌",HYPERLINK("#'관리자_MASTER'!D"&amp;_xlfn.MAXIFS(m_row,m_teacher,BM$4,m_date,($G$2+32),m_active,1,m_start,"&lt;"&amp;840,m_end,"&gt;"&amp;780),INDEX(m_label,_xlfn.MAXIFS(m_row,m_teacher,BM$4,m_date,($G$2+32),m_active,1,m_start,"&lt;"&amp;840,m_end,"&gt;"&amp;780))))))</f>
        <v/>
      </c>
      <c r="BN53" s="81" t="str">
        <f aca="false">IF(OR(BN$4="",MONTH(($G$2+32))&lt;&gt;MONTH($C$2)),"",IF(COUNTIFS(m_teacher,BN$4,m_date,($G$2+32),m_active,1,m_start,"&lt;"&amp;840,m_end,"&gt;"&amp;780)=0,"",IF(COUNTIFS(m_teacher,BN$4,m_date,($G$2+32),m_active,1,m_start,"&lt;"&amp;840,m_end,"&gt;"&amp;780)&gt;1,"충돌",HYPERLINK("#'관리자_MASTER'!D"&amp;_xlfn.MAXIFS(m_row,m_teacher,BN$4,m_date,($G$2+32),m_active,1,m_start,"&lt;"&amp;840,m_end,"&gt;"&amp;780),INDEX(m_label,_xlfn.MAXIFS(m_row,m_teacher,BN$4,m_date,($G$2+32),m_active,1,m_start,"&lt;"&amp;840,m_end,"&gt;"&amp;780))))))</f>
        <v/>
      </c>
      <c r="BO53" s="81" t="str">
        <f aca="false">IF(OR(BO$4="",MONTH(($G$2+32))&lt;&gt;MONTH($C$2)),"",IF(COUNTIFS(m_teacher,BO$4,m_date,($G$2+32),m_active,1,m_start,"&lt;"&amp;840,m_end,"&gt;"&amp;780)=0,"",IF(COUNTIFS(m_teacher,BO$4,m_date,($G$2+32),m_active,1,m_start,"&lt;"&amp;840,m_end,"&gt;"&amp;780)&gt;1,"충돌",HYPERLINK("#'관리자_MASTER'!D"&amp;_xlfn.MAXIFS(m_row,m_teacher,BO$4,m_date,($G$2+32),m_active,1,m_start,"&lt;"&amp;840,m_end,"&gt;"&amp;780),INDEX(m_label,_xlfn.MAXIFS(m_row,m_teacher,BO$4,m_date,($G$2+32),m_active,1,m_start,"&lt;"&amp;840,m_end,"&gt;"&amp;780))))))</f>
        <v/>
      </c>
      <c r="BP53" s="81" t="str">
        <f aca="false">IF(OR(BP$4="",MONTH(($G$2+32))&lt;&gt;MONTH($C$2)),"",IF(COUNTIFS(m_teacher,BP$4,m_date,($G$2+32),m_active,1,m_start,"&lt;"&amp;840,m_end,"&gt;"&amp;780)=0,"",IF(COUNTIFS(m_teacher,BP$4,m_date,($G$2+32),m_active,1,m_start,"&lt;"&amp;840,m_end,"&gt;"&amp;780)&gt;1,"충돌",HYPERLINK("#'관리자_MASTER'!D"&amp;_xlfn.MAXIFS(m_row,m_teacher,BP$4,m_date,($G$2+32),m_active,1,m_start,"&lt;"&amp;840,m_end,"&gt;"&amp;780),INDEX(m_label,_xlfn.MAXIFS(m_row,m_teacher,BP$4,m_date,($G$2+32),m_active,1,m_start,"&lt;"&amp;840,m_end,"&gt;"&amp;780))))))</f>
        <v/>
      </c>
      <c r="BQ53" s="81" t="str">
        <f aca="false">IF(OR(BQ$4="",MONTH(($G$2+32))&lt;&gt;MONTH($C$2)),"",IF(COUNTIFS(m_teacher,BQ$4,m_date,($G$2+32),m_active,1,m_start,"&lt;"&amp;840,m_end,"&gt;"&amp;780)=0,"",IF(COUNTIFS(m_teacher,BQ$4,m_date,($G$2+32),m_active,1,m_start,"&lt;"&amp;840,m_end,"&gt;"&amp;780)&gt;1,"충돌",HYPERLINK("#'관리자_MASTER'!D"&amp;_xlfn.MAXIFS(m_row,m_teacher,BQ$4,m_date,($G$2+32),m_active,1,m_start,"&lt;"&amp;840,m_end,"&gt;"&amp;780),INDEX(m_label,_xlfn.MAXIFS(m_row,m_teacher,BQ$4,m_date,($G$2+32),m_active,1,m_start,"&lt;"&amp;840,m_end,"&gt;"&amp;780))))))</f>
        <v/>
      </c>
      <c r="BR53" s="81" t="str">
        <f aca="false">IF(OR(BR$4="",MONTH(($G$2+32))&lt;&gt;MONTH($C$2)),"",IF(COUNTIFS(m_teacher,BR$4,m_date,($G$2+32),m_active,1,m_start,"&lt;"&amp;840,m_end,"&gt;"&amp;780)=0,"",IF(COUNTIFS(m_teacher,BR$4,m_date,($G$2+32),m_active,1,m_start,"&lt;"&amp;840,m_end,"&gt;"&amp;780)&gt;1,"충돌",HYPERLINK("#'관리자_MASTER'!D"&amp;_xlfn.MAXIFS(m_row,m_teacher,BR$4,m_date,($G$2+32),m_active,1,m_start,"&lt;"&amp;840,m_end,"&gt;"&amp;780),INDEX(m_label,_xlfn.MAXIFS(m_row,m_teacher,BR$4,m_date,($G$2+32),m_active,1,m_start,"&lt;"&amp;840,m_end,"&gt;"&amp;780))))))</f>
        <v/>
      </c>
    </row>
    <row r="54" customFormat="false" ht="19.5" hidden="false" customHeight="true" outlineLevel="0" collapsed="false">
      <c r="A54" s="78"/>
      <c r="B54" s="79" t="s">
        <v>96</v>
      </c>
      <c r="C54" s="82" t="str">
        <f aca="false">IF(OR(C$4="",MONTH(($G$2+4))&lt;&gt;MONTH($C$2)),"",IF(COUNTIFS(m_teacher,C$4,m_date,($G$2+4),m_active,1,m_start,"&lt;"&amp;900,m_end,"&gt;"&amp;840)=0,"",IF(COUNTIFS(m_teacher,C$4,m_date,($G$2+4),m_active,1,m_start,"&lt;"&amp;900,m_end,"&gt;"&amp;840)&gt;1,"충돌",HYPERLINK("#'관리자_MASTER'!D"&amp;_xlfn.MAXIFS(m_row,m_teacher,C$4,m_date,($G$2+4),m_active,1,m_start,"&lt;"&amp;900,m_end,"&gt;"&amp;840),INDEX(m_label,_xlfn.MAXIFS(m_row,m_teacher,C$4,m_date,($G$2+4),m_active,1,m_start,"&lt;"&amp;900,m_end,"&gt;"&amp;840))))))</f>
        <v/>
      </c>
      <c r="D54" s="82" t="str">
        <f aca="false">IF(OR(D$4="",MONTH(($G$2+4))&lt;&gt;MONTH($C$2)),"",IF(COUNTIFS(m_teacher,D$4,m_date,($G$2+4),m_active,1,m_start,"&lt;"&amp;900,m_end,"&gt;"&amp;840)=0,"",IF(COUNTIFS(m_teacher,D$4,m_date,($G$2+4),m_active,1,m_start,"&lt;"&amp;900,m_end,"&gt;"&amp;840)&gt;1,"충돌",HYPERLINK("#'관리자_MASTER'!D"&amp;_xlfn.MAXIFS(m_row,m_teacher,D$4,m_date,($G$2+4),m_active,1,m_start,"&lt;"&amp;900,m_end,"&gt;"&amp;840),INDEX(m_label,_xlfn.MAXIFS(m_row,m_teacher,D$4,m_date,($G$2+4),m_active,1,m_start,"&lt;"&amp;900,m_end,"&gt;"&amp;840))))))</f>
        <v/>
      </c>
      <c r="E54" s="82" t="str">
        <f aca="false">IF(OR(E$4="",MONTH(($G$2+4))&lt;&gt;MONTH($C$2)),"",IF(COUNTIFS(m_teacher,E$4,m_date,($G$2+4),m_active,1,m_start,"&lt;"&amp;900,m_end,"&gt;"&amp;840)=0,"",IF(COUNTIFS(m_teacher,E$4,m_date,($G$2+4),m_active,1,m_start,"&lt;"&amp;900,m_end,"&gt;"&amp;840)&gt;1,"충돌",HYPERLINK("#'관리자_MASTER'!D"&amp;_xlfn.MAXIFS(m_row,m_teacher,E$4,m_date,($G$2+4),m_active,1,m_start,"&lt;"&amp;900,m_end,"&gt;"&amp;840),INDEX(m_label,_xlfn.MAXIFS(m_row,m_teacher,E$4,m_date,($G$2+4),m_active,1,m_start,"&lt;"&amp;900,m_end,"&gt;"&amp;840))))))</f>
        <v/>
      </c>
      <c r="F54" s="82" t="str">
        <f aca="false">IF(OR(F$4="",MONTH(($G$2+4))&lt;&gt;MONTH($C$2)),"",IF(COUNTIFS(m_teacher,F$4,m_date,($G$2+4),m_active,1,m_start,"&lt;"&amp;900,m_end,"&gt;"&amp;840)=0,"",IF(COUNTIFS(m_teacher,F$4,m_date,($G$2+4),m_active,1,m_start,"&lt;"&amp;900,m_end,"&gt;"&amp;840)&gt;1,"충돌",HYPERLINK("#'관리자_MASTER'!D"&amp;_xlfn.MAXIFS(m_row,m_teacher,F$4,m_date,($G$2+4),m_active,1,m_start,"&lt;"&amp;900,m_end,"&gt;"&amp;840),INDEX(m_label,_xlfn.MAXIFS(m_row,m_teacher,F$4,m_date,($G$2+4),m_active,1,m_start,"&lt;"&amp;900,m_end,"&gt;"&amp;840))))))</f>
        <v/>
      </c>
      <c r="G54" s="82" t="str">
        <f aca="false">IF(OR(G$4="",MONTH(($G$2+4))&lt;&gt;MONTH($C$2)),"",IF(COUNTIFS(m_teacher,G$4,m_date,($G$2+4),m_active,1,m_start,"&lt;"&amp;900,m_end,"&gt;"&amp;840)=0,"",IF(COUNTIFS(m_teacher,G$4,m_date,($G$2+4),m_active,1,m_start,"&lt;"&amp;900,m_end,"&gt;"&amp;840)&gt;1,"충돌",HYPERLINK("#'관리자_MASTER'!D"&amp;_xlfn.MAXIFS(m_row,m_teacher,G$4,m_date,($G$2+4),m_active,1,m_start,"&lt;"&amp;900,m_end,"&gt;"&amp;840),INDEX(m_label,_xlfn.MAXIFS(m_row,m_teacher,G$4,m_date,($G$2+4),m_active,1,m_start,"&lt;"&amp;900,m_end,"&gt;"&amp;840))))))</f>
        <v/>
      </c>
      <c r="H54" s="82" t="str">
        <f aca="false">IF(OR(H$4="",MONTH(($G$2+4))&lt;&gt;MONTH($C$2)),"",IF(COUNTIFS(m_teacher,H$4,m_date,($G$2+4),m_active,1,m_start,"&lt;"&amp;900,m_end,"&gt;"&amp;840)=0,"",IF(COUNTIFS(m_teacher,H$4,m_date,($G$2+4),m_active,1,m_start,"&lt;"&amp;900,m_end,"&gt;"&amp;840)&gt;1,"충돌",HYPERLINK("#'관리자_MASTER'!D"&amp;_xlfn.MAXIFS(m_row,m_teacher,H$4,m_date,($G$2+4),m_active,1,m_start,"&lt;"&amp;900,m_end,"&gt;"&amp;840),INDEX(m_label,_xlfn.MAXIFS(m_row,m_teacher,H$4,m_date,($G$2+4),m_active,1,m_start,"&lt;"&amp;900,m_end,"&gt;"&amp;840))))))</f>
        <v/>
      </c>
      <c r="I54" s="82" t="str">
        <f aca="false">IF(OR(I$4="",MONTH(($G$2+4))&lt;&gt;MONTH($C$2)),"",IF(COUNTIFS(m_teacher,I$4,m_date,($G$2+4),m_active,1,m_start,"&lt;"&amp;900,m_end,"&gt;"&amp;840)=0,"",IF(COUNTIFS(m_teacher,I$4,m_date,($G$2+4),m_active,1,m_start,"&lt;"&amp;900,m_end,"&gt;"&amp;840)&gt;1,"충돌",HYPERLINK("#'관리자_MASTER'!D"&amp;_xlfn.MAXIFS(m_row,m_teacher,I$4,m_date,($G$2+4),m_active,1,m_start,"&lt;"&amp;900,m_end,"&gt;"&amp;840),INDEX(m_label,_xlfn.MAXIFS(m_row,m_teacher,I$4,m_date,($G$2+4),m_active,1,m_start,"&lt;"&amp;900,m_end,"&gt;"&amp;840))))))</f>
        <v/>
      </c>
      <c r="J54" s="82" t="str">
        <f aca="false">IF(OR(J$4="",MONTH(($G$2+4))&lt;&gt;MONTH($C$2)),"",IF(COUNTIFS(m_teacher,J$4,m_date,($G$2+4),m_active,1,m_start,"&lt;"&amp;900,m_end,"&gt;"&amp;840)=0,"",IF(COUNTIFS(m_teacher,J$4,m_date,($G$2+4),m_active,1,m_start,"&lt;"&amp;900,m_end,"&gt;"&amp;840)&gt;1,"충돌",HYPERLINK("#'관리자_MASTER'!D"&amp;_xlfn.MAXIFS(m_row,m_teacher,J$4,m_date,($G$2+4),m_active,1,m_start,"&lt;"&amp;900,m_end,"&gt;"&amp;840),INDEX(m_label,_xlfn.MAXIFS(m_row,m_teacher,J$4,m_date,($G$2+4),m_active,1,m_start,"&lt;"&amp;900,m_end,"&gt;"&amp;840))))))</f>
        <v/>
      </c>
      <c r="K54" s="82" t="str">
        <f aca="false">IF(OR(K$4="",MONTH(($G$2+4))&lt;&gt;MONTH($C$2)),"",IF(COUNTIFS(m_teacher,K$4,m_date,($G$2+4),m_active,1,m_start,"&lt;"&amp;900,m_end,"&gt;"&amp;840)=0,"",IF(COUNTIFS(m_teacher,K$4,m_date,($G$2+4),m_active,1,m_start,"&lt;"&amp;900,m_end,"&gt;"&amp;840)&gt;1,"충돌",HYPERLINK("#'관리자_MASTER'!D"&amp;_xlfn.MAXIFS(m_row,m_teacher,K$4,m_date,($G$2+4),m_active,1,m_start,"&lt;"&amp;900,m_end,"&gt;"&amp;840),INDEX(m_label,_xlfn.MAXIFS(m_row,m_teacher,K$4,m_date,($G$2+4),m_active,1,m_start,"&lt;"&amp;900,m_end,"&gt;"&amp;840))))))</f>
        <v/>
      </c>
      <c r="L54" s="82" t="str">
        <f aca="false">IF(OR(L$4="",MONTH(($G$2+4))&lt;&gt;MONTH($C$2)),"",IF(COUNTIFS(m_teacher,L$4,m_date,($G$2+4),m_active,1,m_start,"&lt;"&amp;900,m_end,"&gt;"&amp;840)=0,"",IF(COUNTIFS(m_teacher,L$4,m_date,($G$2+4),m_active,1,m_start,"&lt;"&amp;900,m_end,"&gt;"&amp;840)&gt;1,"충돌",HYPERLINK("#'관리자_MASTER'!D"&amp;_xlfn.MAXIFS(m_row,m_teacher,L$4,m_date,($G$2+4),m_active,1,m_start,"&lt;"&amp;900,m_end,"&gt;"&amp;840),INDEX(m_label,_xlfn.MAXIFS(m_row,m_teacher,L$4,m_date,($G$2+4),m_active,1,m_start,"&lt;"&amp;900,m_end,"&gt;"&amp;840))))))</f>
        <v/>
      </c>
      <c r="M54" s="82" t="str">
        <f aca="false">IF(OR(M$4="",MONTH(($G$2+4))&lt;&gt;MONTH($C$2)),"",IF(COUNTIFS(m_teacher,M$4,m_date,($G$2+4),m_active,1,m_start,"&lt;"&amp;900,m_end,"&gt;"&amp;840)=0,"",IF(COUNTIFS(m_teacher,M$4,m_date,($G$2+4),m_active,1,m_start,"&lt;"&amp;900,m_end,"&gt;"&amp;840)&gt;1,"충돌",HYPERLINK("#'관리자_MASTER'!D"&amp;_xlfn.MAXIFS(m_row,m_teacher,M$4,m_date,($G$2+4),m_active,1,m_start,"&lt;"&amp;900,m_end,"&gt;"&amp;840),INDEX(m_label,_xlfn.MAXIFS(m_row,m_teacher,M$4,m_date,($G$2+4),m_active,1,m_start,"&lt;"&amp;900,m_end,"&gt;"&amp;840))))))</f>
        <v/>
      </c>
      <c r="N54" s="82" t="str">
        <f aca="false">IF(OR(N$4="",MONTH(($G$2+4))&lt;&gt;MONTH($C$2)),"",IF(COUNTIFS(m_teacher,N$4,m_date,($G$2+4),m_active,1,m_start,"&lt;"&amp;900,m_end,"&gt;"&amp;840)=0,"",IF(COUNTIFS(m_teacher,N$4,m_date,($G$2+4),m_active,1,m_start,"&lt;"&amp;900,m_end,"&gt;"&amp;840)&gt;1,"충돌",HYPERLINK("#'관리자_MASTER'!D"&amp;_xlfn.MAXIFS(m_row,m_teacher,N$4,m_date,($G$2+4),m_active,1,m_start,"&lt;"&amp;900,m_end,"&gt;"&amp;840),INDEX(m_label,_xlfn.MAXIFS(m_row,m_teacher,N$4,m_date,($G$2+4),m_active,1,m_start,"&lt;"&amp;900,m_end,"&gt;"&amp;840))))))</f>
        <v/>
      </c>
      <c r="O54" s="78"/>
      <c r="P54" s="79" t="s">
        <v>96</v>
      </c>
      <c r="Q54" s="82" t="str">
        <f aca="false">IF(OR(Q$4="",MONTH(($G$2+11))&lt;&gt;MONTH($C$2)),"",IF(COUNTIFS(m_teacher,Q$4,m_date,($G$2+11),m_active,1,m_start,"&lt;"&amp;900,m_end,"&gt;"&amp;840)=0,"",IF(COUNTIFS(m_teacher,Q$4,m_date,($G$2+11),m_active,1,m_start,"&lt;"&amp;900,m_end,"&gt;"&amp;840)&gt;1,"충돌",HYPERLINK("#'관리자_MASTER'!D"&amp;_xlfn.MAXIFS(m_row,m_teacher,Q$4,m_date,($G$2+11),m_active,1,m_start,"&lt;"&amp;900,m_end,"&gt;"&amp;840),INDEX(m_label,_xlfn.MAXIFS(m_row,m_teacher,Q$4,m_date,($G$2+11),m_active,1,m_start,"&lt;"&amp;900,m_end,"&gt;"&amp;840))))))</f>
        <v/>
      </c>
      <c r="R54" s="82" t="str">
        <f aca="false">IF(OR(R$4="",MONTH(($G$2+11))&lt;&gt;MONTH($C$2)),"",IF(COUNTIFS(m_teacher,R$4,m_date,($G$2+11),m_active,1,m_start,"&lt;"&amp;900,m_end,"&gt;"&amp;840)=0,"",IF(COUNTIFS(m_teacher,R$4,m_date,($G$2+11),m_active,1,m_start,"&lt;"&amp;900,m_end,"&gt;"&amp;840)&gt;1,"충돌",HYPERLINK("#'관리자_MASTER'!D"&amp;_xlfn.MAXIFS(m_row,m_teacher,R$4,m_date,($G$2+11),m_active,1,m_start,"&lt;"&amp;900,m_end,"&gt;"&amp;840),INDEX(m_label,_xlfn.MAXIFS(m_row,m_teacher,R$4,m_date,($G$2+11),m_active,1,m_start,"&lt;"&amp;900,m_end,"&gt;"&amp;840))))))</f>
        <v/>
      </c>
      <c r="S54" s="82" t="str">
        <f aca="false">IF(OR(S$4="",MONTH(($G$2+11))&lt;&gt;MONTH($C$2)),"",IF(COUNTIFS(m_teacher,S$4,m_date,($G$2+11),m_active,1,m_start,"&lt;"&amp;900,m_end,"&gt;"&amp;840)=0,"",IF(COUNTIFS(m_teacher,S$4,m_date,($G$2+11),m_active,1,m_start,"&lt;"&amp;900,m_end,"&gt;"&amp;840)&gt;1,"충돌",HYPERLINK("#'관리자_MASTER'!D"&amp;_xlfn.MAXIFS(m_row,m_teacher,S$4,m_date,($G$2+11),m_active,1,m_start,"&lt;"&amp;900,m_end,"&gt;"&amp;840),INDEX(m_label,_xlfn.MAXIFS(m_row,m_teacher,S$4,m_date,($G$2+11),m_active,1,m_start,"&lt;"&amp;900,m_end,"&gt;"&amp;840))))))</f>
        <v/>
      </c>
      <c r="T54" s="82" t="str">
        <f aca="false">IF(OR(T$4="",MONTH(($G$2+11))&lt;&gt;MONTH($C$2)),"",IF(COUNTIFS(m_teacher,T$4,m_date,($G$2+11),m_active,1,m_start,"&lt;"&amp;900,m_end,"&gt;"&amp;840)=0,"",IF(COUNTIFS(m_teacher,T$4,m_date,($G$2+11),m_active,1,m_start,"&lt;"&amp;900,m_end,"&gt;"&amp;840)&gt;1,"충돌",HYPERLINK("#'관리자_MASTER'!D"&amp;_xlfn.MAXIFS(m_row,m_teacher,T$4,m_date,($G$2+11),m_active,1,m_start,"&lt;"&amp;900,m_end,"&gt;"&amp;840),INDEX(m_label,_xlfn.MAXIFS(m_row,m_teacher,T$4,m_date,($G$2+11),m_active,1,m_start,"&lt;"&amp;900,m_end,"&gt;"&amp;840))))))</f>
        <v/>
      </c>
      <c r="U54" s="82" t="str">
        <f aca="false">IF(OR(U$4="",MONTH(($G$2+11))&lt;&gt;MONTH($C$2)),"",IF(COUNTIFS(m_teacher,U$4,m_date,($G$2+11),m_active,1,m_start,"&lt;"&amp;900,m_end,"&gt;"&amp;840)=0,"",IF(COUNTIFS(m_teacher,U$4,m_date,($G$2+11),m_active,1,m_start,"&lt;"&amp;900,m_end,"&gt;"&amp;840)&gt;1,"충돌",HYPERLINK("#'관리자_MASTER'!D"&amp;_xlfn.MAXIFS(m_row,m_teacher,U$4,m_date,($G$2+11),m_active,1,m_start,"&lt;"&amp;900,m_end,"&gt;"&amp;840),INDEX(m_label,_xlfn.MAXIFS(m_row,m_teacher,U$4,m_date,($G$2+11),m_active,1,m_start,"&lt;"&amp;900,m_end,"&gt;"&amp;840))))))</f>
        <v/>
      </c>
      <c r="V54" s="82" t="str">
        <f aca="false">IF(OR(V$4="",MONTH(($G$2+11))&lt;&gt;MONTH($C$2)),"",IF(COUNTIFS(m_teacher,V$4,m_date,($G$2+11),m_active,1,m_start,"&lt;"&amp;900,m_end,"&gt;"&amp;840)=0,"",IF(COUNTIFS(m_teacher,V$4,m_date,($G$2+11),m_active,1,m_start,"&lt;"&amp;900,m_end,"&gt;"&amp;840)&gt;1,"충돌",HYPERLINK("#'관리자_MASTER'!D"&amp;_xlfn.MAXIFS(m_row,m_teacher,V$4,m_date,($G$2+11),m_active,1,m_start,"&lt;"&amp;900,m_end,"&gt;"&amp;840),INDEX(m_label,_xlfn.MAXIFS(m_row,m_teacher,V$4,m_date,($G$2+11),m_active,1,m_start,"&lt;"&amp;900,m_end,"&gt;"&amp;840))))))</f>
        <v/>
      </c>
      <c r="W54" s="82" t="str">
        <f aca="false">IF(OR(W$4="",MONTH(($G$2+11))&lt;&gt;MONTH($C$2)),"",IF(COUNTIFS(m_teacher,W$4,m_date,($G$2+11),m_active,1,m_start,"&lt;"&amp;900,m_end,"&gt;"&amp;840)=0,"",IF(COUNTIFS(m_teacher,W$4,m_date,($G$2+11),m_active,1,m_start,"&lt;"&amp;900,m_end,"&gt;"&amp;840)&gt;1,"충돌",HYPERLINK("#'관리자_MASTER'!D"&amp;_xlfn.MAXIFS(m_row,m_teacher,W$4,m_date,($G$2+11),m_active,1,m_start,"&lt;"&amp;900,m_end,"&gt;"&amp;840),INDEX(m_label,_xlfn.MAXIFS(m_row,m_teacher,W$4,m_date,($G$2+11),m_active,1,m_start,"&lt;"&amp;900,m_end,"&gt;"&amp;840))))))</f>
        <v/>
      </c>
      <c r="X54" s="82" t="str">
        <f aca="false">IF(OR(X$4="",MONTH(($G$2+11))&lt;&gt;MONTH($C$2)),"",IF(COUNTIFS(m_teacher,X$4,m_date,($G$2+11),m_active,1,m_start,"&lt;"&amp;900,m_end,"&gt;"&amp;840)=0,"",IF(COUNTIFS(m_teacher,X$4,m_date,($G$2+11),m_active,1,m_start,"&lt;"&amp;900,m_end,"&gt;"&amp;840)&gt;1,"충돌",HYPERLINK("#'관리자_MASTER'!D"&amp;_xlfn.MAXIFS(m_row,m_teacher,X$4,m_date,($G$2+11),m_active,1,m_start,"&lt;"&amp;900,m_end,"&gt;"&amp;840),INDEX(m_label,_xlfn.MAXIFS(m_row,m_teacher,X$4,m_date,($G$2+11),m_active,1,m_start,"&lt;"&amp;900,m_end,"&gt;"&amp;840))))))</f>
        <v/>
      </c>
      <c r="Y54" s="82" t="str">
        <f aca="false">IF(OR(Y$4="",MONTH(($G$2+11))&lt;&gt;MONTH($C$2)),"",IF(COUNTIFS(m_teacher,Y$4,m_date,($G$2+11),m_active,1,m_start,"&lt;"&amp;900,m_end,"&gt;"&amp;840)=0,"",IF(COUNTIFS(m_teacher,Y$4,m_date,($G$2+11),m_active,1,m_start,"&lt;"&amp;900,m_end,"&gt;"&amp;840)&gt;1,"충돌",HYPERLINK("#'관리자_MASTER'!D"&amp;_xlfn.MAXIFS(m_row,m_teacher,Y$4,m_date,($G$2+11),m_active,1,m_start,"&lt;"&amp;900,m_end,"&gt;"&amp;840),INDEX(m_label,_xlfn.MAXIFS(m_row,m_teacher,Y$4,m_date,($G$2+11),m_active,1,m_start,"&lt;"&amp;900,m_end,"&gt;"&amp;840))))))</f>
        <v/>
      </c>
      <c r="Z54" s="82" t="str">
        <f aca="false">IF(OR(Z$4="",MONTH(($G$2+11))&lt;&gt;MONTH($C$2)),"",IF(COUNTIFS(m_teacher,Z$4,m_date,($G$2+11),m_active,1,m_start,"&lt;"&amp;900,m_end,"&gt;"&amp;840)=0,"",IF(COUNTIFS(m_teacher,Z$4,m_date,($G$2+11),m_active,1,m_start,"&lt;"&amp;900,m_end,"&gt;"&amp;840)&gt;1,"충돌",HYPERLINK("#'관리자_MASTER'!D"&amp;_xlfn.MAXIFS(m_row,m_teacher,Z$4,m_date,($G$2+11),m_active,1,m_start,"&lt;"&amp;900,m_end,"&gt;"&amp;840),INDEX(m_label,_xlfn.MAXIFS(m_row,m_teacher,Z$4,m_date,($G$2+11),m_active,1,m_start,"&lt;"&amp;900,m_end,"&gt;"&amp;840))))))</f>
        <v/>
      </c>
      <c r="AA54" s="82" t="str">
        <f aca="false">IF(OR(AA$4="",MONTH(($G$2+11))&lt;&gt;MONTH($C$2)),"",IF(COUNTIFS(m_teacher,AA$4,m_date,($G$2+11),m_active,1,m_start,"&lt;"&amp;900,m_end,"&gt;"&amp;840)=0,"",IF(COUNTIFS(m_teacher,AA$4,m_date,($G$2+11),m_active,1,m_start,"&lt;"&amp;900,m_end,"&gt;"&amp;840)&gt;1,"충돌",HYPERLINK("#'관리자_MASTER'!D"&amp;_xlfn.MAXIFS(m_row,m_teacher,AA$4,m_date,($G$2+11),m_active,1,m_start,"&lt;"&amp;900,m_end,"&gt;"&amp;840),INDEX(m_label,_xlfn.MAXIFS(m_row,m_teacher,AA$4,m_date,($G$2+11),m_active,1,m_start,"&lt;"&amp;900,m_end,"&gt;"&amp;840))))))</f>
        <v/>
      </c>
      <c r="AB54" s="82" t="str">
        <f aca="false">IF(OR(AB$4="",MONTH(($G$2+11))&lt;&gt;MONTH($C$2)),"",IF(COUNTIFS(m_teacher,AB$4,m_date,($G$2+11),m_active,1,m_start,"&lt;"&amp;900,m_end,"&gt;"&amp;840)=0,"",IF(COUNTIFS(m_teacher,AB$4,m_date,($G$2+11),m_active,1,m_start,"&lt;"&amp;900,m_end,"&gt;"&amp;840)&gt;1,"충돌",HYPERLINK("#'관리자_MASTER'!D"&amp;_xlfn.MAXIFS(m_row,m_teacher,AB$4,m_date,($G$2+11),m_active,1,m_start,"&lt;"&amp;900,m_end,"&gt;"&amp;840),INDEX(m_label,_xlfn.MAXIFS(m_row,m_teacher,AB$4,m_date,($G$2+11),m_active,1,m_start,"&lt;"&amp;900,m_end,"&gt;"&amp;840))))))</f>
        <v/>
      </c>
      <c r="AC54" s="78"/>
      <c r="AD54" s="79" t="s">
        <v>96</v>
      </c>
      <c r="AE54" s="82" t="str">
        <f aca="false">IF(OR(AE$4="",MONTH(($G$2+18))&lt;&gt;MONTH($C$2)),"",IF(COUNTIFS(m_teacher,AE$4,m_date,($G$2+18),m_active,1,m_start,"&lt;"&amp;900,m_end,"&gt;"&amp;840)=0,"",IF(COUNTIFS(m_teacher,AE$4,m_date,($G$2+18),m_active,1,m_start,"&lt;"&amp;900,m_end,"&gt;"&amp;840)&gt;1,"충돌",HYPERLINK("#'관리자_MASTER'!D"&amp;_xlfn.MAXIFS(m_row,m_teacher,AE$4,m_date,($G$2+18),m_active,1,m_start,"&lt;"&amp;900,m_end,"&gt;"&amp;840),INDEX(m_label,_xlfn.MAXIFS(m_row,m_teacher,AE$4,m_date,($G$2+18),m_active,1,m_start,"&lt;"&amp;900,m_end,"&gt;"&amp;840))))))</f>
        <v/>
      </c>
      <c r="AF54" s="82" t="str">
        <f aca="false">IF(OR(AF$4="",MONTH(($G$2+18))&lt;&gt;MONTH($C$2)),"",IF(COUNTIFS(m_teacher,AF$4,m_date,($G$2+18),m_active,1,m_start,"&lt;"&amp;900,m_end,"&gt;"&amp;840)=0,"",IF(COUNTIFS(m_teacher,AF$4,m_date,($G$2+18),m_active,1,m_start,"&lt;"&amp;900,m_end,"&gt;"&amp;840)&gt;1,"충돌",HYPERLINK("#'관리자_MASTER'!D"&amp;_xlfn.MAXIFS(m_row,m_teacher,AF$4,m_date,($G$2+18),m_active,1,m_start,"&lt;"&amp;900,m_end,"&gt;"&amp;840),INDEX(m_label,_xlfn.MAXIFS(m_row,m_teacher,AF$4,m_date,($G$2+18),m_active,1,m_start,"&lt;"&amp;900,m_end,"&gt;"&amp;840))))))</f>
        <v/>
      </c>
      <c r="AG54" s="82" t="str">
        <f aca="false">IF(OR(AG$4="",MONTH(($G$2+18))&lt;&gt;MONTH($C$2)),"",IF(COUNTIFS(m_teacher,AG$4,m_date,($G$2+18),m_active,1,m_start,"&lt;"&amp;900,m_end,"&gt;"&amp;840)=0,"",IF(COUNTIFS(m_teacher,AG$4,m_date,($G$2+18),m_active,1,m_start,"&lt;"&amp;900,m_end,"&gt;"&amp;840)&gt;1,"충돌",HYPERLINK("#'관리자_MASTER'!D"&amp;_xlfn.MAXIFS(m_row,m_teacher,AG$4,m_date,($G$2+18),m_active,1,m_start,"&lt;"&amp;900,m_end,"&gt;"&amp;840),INDEX(m_label,_xlfn.MAXIFS(m_row,m_teacher,AG$4,m_date,($G$2+18),m_active,1,m_start,"&lt;"&amp;900,m_end,"&gt;"&amp;840))))))</f>
        <v/>
      </c>
      <c r="AH54" s="82" t="str">
        <f aca="false">IF(OR(AH$4="",MONTH(($G$2+18))&lt;&gt;MONTH($C$2)),"",IF(COUNTIFS(m_teacher,AH$4,m_date,($G$2+18),m_active,1,m_start,"&lt;"&amp;900,m_end,"&gt;"&amp;840)=0,"",IF(COUNTIFS(m_teacher,AH$4,m_date,($G$2+18),m_active,1,m_start,"&lt;"&amp;900,m_end,"&gt;"&amp;840)&gt;1,"충돌",HYPERLINK("#'관리자_MASTER'!D"&amp;_xlfn.MAXIFS(m_row,m_teacher,AH$4,m_date,($G$2+18),m_active,1,m_start,"&lt;"&amp;900,m_end,"&gt;"&amp;840),INDEX(m_label,_xlfn.MAXIFS(m_row,m_teacher,AH$4,m_date,($G$2+18),m_active,1,m_start,"&lt;"&amp;900,m_end,"&gt;"&amp;840))))))</f>
        <v/>
      </c>
      <c r="AI54" s="82" t="str">
        <f aca="false">IF(OR(AI$4="",MONTH(($G$2+18))&lt;&gt;MONTH($C$2)),"",IF(COUNTIFS(m_teacher,AI$4,m_date,($G$2+18),m_active,1,m_start,"&lt;"&amp;900,m_end,"&gt;"&amp;840)=0,"",IF(COUNTIFS(m_teacher,AI$4,m_date,($G$2+18),m_active,1,m_start,"&lt;"&amp;900,m_end,"&gt;"&amp;840)&gt;1,"충돌",HYPERLINK("#'관리자_MASTER'!D"&amp;_xlfn.MAXIFS(m_row,m_teacher,AI$4,m_date,($G$2+18),m_active,1,m_start,"&lt;"&amp;900,m_end,"&gt;"&amp;840),INDEX(m_label,_xlfn.MAXIFS(m_row,m_teacher,AI$4,m_date,($G$2+18),m_active,1,m_start,"&lt;"&amp;900,m_end,"&gt;"&amp;840))))))</f>
        <v/>
      </c>
      <c r="AJ54" s="82" t="str">
        <f aca="false">IF(OR(AJ$4="",MONTH(($G$2+18))&lt;&gt;MONTH($C$2)),"",IF(COUNTIFS(m_teacher,AJ$4,m_date,($G$2+18),m_active,1,m_start,"&lt;"&amp;900,m_end,"&gt;"&amp;840)=0,"",IF(COUNTIFS(m_teacher,AJ$4,m_date,($G$2+18),m_active,1,m_start,"&lt;"&amp;900,m_end,"&gt;"&amp;840)&gt;1,"충돌",HYPERLINK("#'관리자_MASTER'!D"&amp;_xlfn.MAXIFS(m_row,m_teacher,AJ$4,m_date,($G$2+18),m_active,1,m_start,"&lt;"&amp;900,m_end,"&gt;"&amp;840),INDEX(m_label,_xlfn.MAXIFS(m_row,m_teacher,AJ$4,m_date,($G$2+18),m_active,1,m_start,"&lt;"&amp;900,m_end,"&gt;"&amp;840))))))</f>
        <v/>
      </c>
      <c r="AK54" s="82" t="str">
        <f aca="false">IF(OR(AK$4="",MONTH(($G$2+18))&lt;&gt;MONTH($C$2)),"",IF(COUNTIFS(m_teacher,AK$4,m_date,($G$2+18),m_active,1,m_start,"&lt;"&amp;900,m_end,"&gt;"&amp;840)=0,"",IF(COUNTIFS(m_teacher,AK$4,m_date,($G$2+18),m_active,1,m_start,"&lt;"&amp;900,m_end,"&gt;"&amp;840)&gt;1,"충돌",HYPERLINK("#'관리자_MASTER'!D"&amp;_xlfn.MAXIFS(m_row,m_teacher,AK$4,m_date,($G$2+18),m_active,1,m_start,"&lt;"&amp;900,m_end,"&gt;"&amp;840),INDEX(m_label,_xlfn.MAXIFS(m_row,m_teacher,AK$4,m_date,($G$2+18),m_active,1,m_start,"&lt;"&amp;900,m_end,"&gt;"&amp;840))))))</f>
        <v/>
      </c>
      <c r="AL54" s="82" t="str">
        <f aca="false">IF(OR(AL$4="",MONTH(($G$2+18))&lt;&gt;MONTH($C$2)),"",IF(COUNTIFS(m_teacher,AL$4,m_date,($G$2+18),m_active,1,m_start,"&lt;"&amp;900,m_end,"&gt;"&amp;840)=0,"",IF(COUNTIFS(m_teacher,AL$4,m_date,($G$2+18),m_active,1,m_start,"&lt;"&amp;900,m_end,"&gt;"&amp;840)&gt;1,"충돌",HYPERLINK("#'관리자_MASTER'!D"&amp;_xlfn.MAXIFS(m_row,m_teacher,AL$4,m_date,($G$2+18),m_active,1,m_start,"&lt;"&amp;900,m_end,"&gt;"&amp;840),INDEX(m_label,_xlfn.MAXIFS(m_row,m_teacher,AL$4,m_date,($G$2+18),m_active,1,m_start,"&lt;"&amp;900,m_end,"&gt;"&amp;840))))))</f>
        <v/>
      </c>
      <c r="AM54" s="82" t="str">
        <f aca="false">IF(OR(AM$4="",MONTH(($G$2+18))&lt;&gt;MONTH($C$2)),"",IF(COUNTIFS(m_teacher,AM$4,m_date,($G$2+18),m_active,1,m_start,"&lt;"&amp;900,m_end,"&gt;"&amp;840)=0,"",IF(COUNTIFS(m_teacher,AM$4,m_date,($G$2+18),m_active,1,m_start,"&lt;"&amp;900,m_end,"&gt;"&amp;840)&gt;1,"충돌",HYPERLINK("#'관리자_MASTER'!D"&amp;_xlfn.MAXIFS(m_row,m_teacher,AM$4,m_date,($G$2+18),m_active,1,m_start,"&lt;"&amp;900,m_end,"&gt;"&amp;840),INDEX(m_label,_xlfn.MAXIFS(m_row,m_teacher,AM$4,m_date,($G$2+18),m_active,1,m_start,"&lt;"&amp;900,m_end,"&gt;"&amp;840))))))</f>
        <v/>
      </c>
      <c r="AN54" s="82" t="str">
        <f aca="false">IF(OR(AN$4="",MONTH(($G$2+18))&lt;&gt;MONTH($C$2)),"",IF(COUNTIFS(m_teacher,AN$4,m_date,($G$2+18),m_active,1,m_start,"&lt;"&amp;900,m_end,"&gt;"&amp;840)=0,"",IF(COUNTIFS(m_teacher,AN$4,m_date,($G$2+18),m_active,1,m_start,"&lt;"&amp;900,m_end,"&gt;"&amp;840)&gt;1,"충돌",HYPERLINK("#'관리자_MASTER'!D"&amp;_xlfn.MAXIFS(m_row,m_teacher,AN$4,m_date,($G$2+18),m_active,1,m_start,"&lt;"&amp;900,m_end,"&gt;"&amp;840),INDEX(m_label,_xlfn.MAXIFS(m_row,m_teacher,AN$4,m_date,($G$2+18),m_active,1,m_start,"&lt;"&amp;900,m_end,"&gt;"&amp;840))))))</f>
        <v/>
      </c>
      <c r="AO54" s="82" t="str">
        <f aca="false">IF(OR(AO$4="",MONTH(($G$2+18))&lt;&gt;MONTH($C$2)),"",IF(COUNTIFS(m_teacher,AO$4,m_date,($G$2+18),m_active,1,m_start,"&lt;"&amp;900,m_end,"&gt;"&amp;840)=0,"",IF(COUNTIFS(m_teacher,AO$4,m_date,($G$2+18),m_active,1,m_start,"&lt;"&amp;900,m_end,"&gt;"&amp;840)&gt;1,"충돌",HYPERLINK("#'관리자_MASTER'!D"&amp;_xlfn.MAXIFS(m_row,m_teacher,AO$4,m_date,($G$2+18),m_active,1,m_start,"&lt;"&amp;900,m_end,"&gt;"&amp;840),INDEX(m_label,_xlfn.MAXIFS(m_row,m_teacher,AO$4,m_date,($G$2+18),m_active,1,m_start,"&lt;"&amp;900,m_end,"&gt;"&amp;840))))))</f>
        <v/>
      </c>
      <c r="AP54" s="82" t="str">
        <f aca="false">IF(OR(AP$4="",MONTH(($G$2+18))&lt;&gt;MONTH($C$2)),"",IF(COUNTIFS(m_teacher,AP$4,m_date,($G$2+18),m_active,1,m_start,"&lt;"&amp;900,m_end,"&gt;"&amp;840)=0,"",IF(COUNTIFS(m_teacher,AP$4,m_date,($G$2+18),m_active,1,m_start,"&lt;"&amp;900,m_end,"&gt;"&amp;840)&gt;1,"충돌",HYPERLINK("#'관리자_MASTER'!D"&amp;_xlfn.MAXIFS(m_row,m_teacher,AP$4,m_date,($G$2+18),m_active,1,m_start,"&lt;"&amp;900,m_end,"&gt;"&amp;840),INDEX(m_label,_xlfn.MAXIFS(m_row,m_teacher,AP$4,m_date,($G$2+18),m_active,1,m_start,"&lt;"&amp;900,m_end,"&gt;"&amp;840))))))</f>
        <v/>
      </c>
      <c r="AQ54" s="78"/>
      <c r="AR54" s="79" t="s">
        <v>96</v>
      </c>
      <c r="AS54" s="82" t="str">
        <f aca="false">IF(OR(AS$4="",MONTH(($G$2+25))&lt;&gt;MONTH($C$2)),"",IF(COUNTIFS(m_teacher,AS$4,m_date,($G$2+25),m_active,1,m_start,"&lt;"&amp;900,m_end,"&gt;"&amp;840)=0,"",IF(COUNTIFS(m_teacher,AS$4,m_date,($G$2+25),m_active,1,m_start,"&lt;"&amp;900,m_end,"&gt;"&amp;840)&gt;1,"충돌",HYPERLINK("#'관리자_MASTER'!D"&amp;_xlfn.MAXIFS(m_row,m_teacher,AS$4,m_date,($G$2+25),m_active,1,m_start,"&lt;"&amp;900,m_end,"&gt;"&amp;840),INDEX(m_label,_xlfn.MAXIFS(m_row,m_teacher,AS$4,m_date,($G$2+25),m_active,1,m_start,"&lt;"&amp;900,m_end,"&gt;"&amp;840))))))</f>
        <v/>
      </c>
      <c r="AT54" s="82" t="str">
        <f aca="false">IF(OR(AT$4="",MONTH(($G$2+25))&lt;&gt;MONTH($C$2)),"",IF(COUNTIFS(m_teacher,AT$4,m_date,($G$2+25),m_active,1,m_start,"&lt;"&amp;900,m_end,"&gt;"&amp;840)=0,"",IF(COUNTIFS(m_teacher,AT$4,m_date,($G$2+25),m_active,1,m_start,"&lt;"&amp;900,m_end,"&gt;"&amp;840)&gt;1,"충돌",HYPERLINK("#'관리자_MASTER'!D"&amp;_xlfn.MAXIFS(m_row,m_teacher,AT$4,m_date,($G$2+25),m_active,1,m_start,"&lt;"&amp;900,m_end,"&gt;"&amp;840),INDEX(m_label,_xlfn.MAXIFS(m_row,m_teacher,AT$4,m_date,($G$2+25),m_active,1,m_start,"&lt;"&amp;900,m_end,"&gt;"&amp;840))))))</f>
        <v/>
      </c>
      <c r="AU54" s="82" t="str">
        <f aca="false">IF(OR(AU$4="",MONTH(($G$2+25))&lt;&gt;MONTH($C$2)),"",IF(COUNTIFS(m_teacher,AU$4,m_date,($G$2+25),m_active,1,m_start,"&lt;"&amp;900,m_end,"&gt;"&amp;840)=0,"",IF(COUNTIFS(m_teacher,AU$4,m_date,($G$2+25),m_active,1,m_start,"&lt;"&amp;900,m_end,"&gt;"&amp;840)&gt;1,"충돌",HYPERLINK("#'관리자_MASTER'!D"&amp;_xlfn.MAXIFS(m_row,m_teacher,AU$4,m_date,($G$2+25),m_active,1,m_start,"&lt;"&amp;900,m_end,"&gt;"&amp;840),INDEX(m_label,_xlfn.MAXIFS(m_row,m_teacher,AU$4,m_date,($G$2+25),m_active,1,m_start,"&lt;"&amp;900,m_end,"&gt;"&amp;840))))))</f>
        <v/>
      </c>
      <c r="AV54" s="82" t="str">
        <f aca="false">IF(OR(AV$4="",MONTH(($G$2+25))&lt;&gt;MONTH($C$2)),"",IF(COUNTIFS(m_teacher,AV$4,m_date,($G$2+25),m_active,1,m_start,"&lt;"&amp;900,m_end,"&gt;"&amp;840)=0,"",IF(COUNTIFS(m_teacher,AV$4,m_date,($G$2+25),m_active,1,m_start,"&lt;"&amp;900,m_end,"&gt;"&amp;840)&gt;1,"충돌",HYPERLINK("#'관리자_MASTER'!D"&amp;_xlfn.MAXIFS(m_row,m_teacher,AV$4,m_date,($G$2+25),m_active,1,m_start,"&lt;"&amp;900,m_end,"&gt;"&amp;840),INDEX(m_label,_xlfn.MAXIFS(m_row,m_teacher,AV$4,m_date,($G$2+25),m_active,1,m_start,"&lt;"&amp;900,m_end,"&gt;"&amp;840))))))</f>
        <v/>
      </c>
      <c r="AW54" s="82" t="str">
        <f aca="false">IF(OR(AW$4="",MONTH(($G$2+25))&lt;&gt;MONTH($C$2)),"",IF(COUNTIFS(m_teacher,AW$4,m_date,($G$2+25),m_active,1,m_start,"&lt;"&amp;900,m_end,"&gt;"&amp;840)=0,"",IF(COUNTIFS(m_teacher,AW$4,m_date,($G$2+25),m_active,1,m_start,"&lt;"&amp;900,m_end,"&gt;"&amp;840)&gt;1,"충돌",HYPERLINK("#'관리자_MASTER'!D"&amp;_xlfn.MAXIFS(m_row,m_teacher,AW$4,m_date,($G$2+25),m_active,1,m_start,"&lt;"&amp;900,m_end,"&gt;"&amp;840),INDEX(m_label,_xlfn.MAXIFS(m_row,m_teacher,AW$4,m_date,($G$2+25),m_active,1,m_start,"&lt;"&amp;900,m_end,"&gt;"&amp;840))))))</f>
        <v/>
      </c>
      <c r="AX54" s="82" t="str">
        <f aca="false">IF(OR(AX$4="",MONTH(($G$2+25))&lt;&gt;MONTH($C$2)),"",IF(COUNTIFS(m_teacher,AX$4,m_date,($G$2+25),m_active,1,m_start,"&lt;"&amp;900,m_end,"&gt;"&amp;840)=0,"",IF(COUNTIFS(m_teacher,AX$4,m_date,($G$2+25),m_active,1,m_start,"&lt;"&amp;900,m_end,"&gt;"&amp;840)&gt;1,"충돌",HYPERLINK("#'관리자_MASTER'!D"&amp;_xlfn.MAXIFS(m_row,m_teacher,AX$4,m_date,($G$2+25),m_active,1,m_start,"&lt;"&amp;900,m_end,"&gt;"&amp;840),INDEX(m_label,_xlfn.MAXIFS(m_row,m_teacher,AX$4,m_date,($G$2+25),m_active,1,m_start,"&lt;"&amp;900,m_end,"&gt;"&amp;840))))))</f>
        <v/>
      </c>
      <c r="AY54" s="82" t="str">
        <f aca="false">IF(OR(AY$4="",MONTH(($G$2+25))&lt;&gt;MONTH($C$2)),"",IF(COUNTIFS(m_teacher,AY$4,m_date,($G$2+25),m_active,1,m_start,"&lt;"&amp;900,m_end,"&gt;"&amp;840)=0,"",IF(COUNTIFS(m_teacher,AY$4,m_date,($G$2+25),m_active,1,m_start,"&lt;"&amp;900,m_end,"&gt;"&amp;840)&gt;1,"충돌",HYPERLINK("#'관리자_MASTER'!D"&amp;_xlfn.MAXIFS(m_row,m_teacher,AY$4,m_date,($G$2+25),m_active,1,m_start,"&lt;"&amp;900,m_end,"&gt;"&amp;840),INDEX(m_label,_xlfn.MAXIFS(m_row,m_teacher,AY$4,m_date,($G$2+25),m_active,1,m_start,"&lt;"&amp;900,m_end,"&gt;"&amp;840))))))</f>
        <v/>
      </c>
      <c r="AZ54" s="82" t="str">
        <f aca="false">IF(OR(AZ$4="",MONTH(($G$2+25))&lt;&gt;MONTH($C$2)),"",IF(COUNTIFS(m_teacher,AZ$4,m_date,($G$2+25),m_active,1,m_start,"&lt;"&amp;900,m_end,"&gt;"&amp;840)=0,"",IF(COUNTIFS(m_teacher,AZ$4,m_date,($G$2+25),m_active,1,m_start,"&lt;"&amp;900,m_end,"&gt;"&amp;840)&gt;1,"충돌",HYPERLINK("#'관리자_MASTER'!D"&amp;_xlfn.MAXIFS(m_row,m_teacher,AZ$4,m_date,($G$2+25),m_active,1,m_start,"&lt;"&amp;900,m_end,"&gt;"&amp;840),INDEX(m_label,_xlfn.MAXIFS(m_row,m_teacher,AZ$4,m_date,($G$2+25),m_active,1,m_start,"&lt;"&amp;900,m_end,"&gt;"&amp;840))))))</f>
        <v/>
      </c>
      <c r="BA54" s="82" t="str">
        <f aca="false">IF(OR(BA$4="",MONTH(($G$2+25))&lt;&gt;MONTH($C$2)),"",IF(COUNTIFS(m_teacher,BA$4,m_date,($G$2+25),m_active,1,m_start,"&lt;"&amp;900,m_end,"&gt;"&amp;840)=0,"",IF(COUNTIFS(m_teacher,BA$4,m_date,($G$2+25),m_active,1,m_start,"&lt;"&amp;900,m_end,"&gt;"&amp;840)&gt;1,"충돌",HYPERLINK("#'관리자_MASTER'!D"&amp;_xlfn.MAXIFS(m_row,m_teacher,BA$4,m_date,($G$2+25),m_active,1,m_start,"&lt;"&amp;900,m_end,"&gt;"&amp;840),INDEX(m_label,_xlfn.MAXIFS(m_row,m_teacher,BA$4,m_date,($G$2+25),m_active,1,m_start,"&lt;"&amp;900,m_end,"&gt;"&amp;840))))))</f>
        <v/>
      </c>
      <c r="BB54" s="82" t="str">
        <f aca="false">IF(OR(BB$4="",MONTH(($G$2+25))&lt;&gt;MONTH($C$2)),"",IF(COUNTIFS(m_teacher,BB$4,m_date,($G$2+25),m_active,1,m_start,"&lt;"&amp;900,m_end,"&gt;"&amp;840)=0,"",IF(COUNTIFS(m_teacher,BB$4,m_date,($G$2+25),m_active,1,m_start,"&lt;"&amp;900,m_end,"&gt;"&amp;840)&gt;1,"충돌",HYPERLINK("#'관리자_MASTER'!D"&amp;_xlfn.MAXIFS(m_row,m_teacher,BB$4,m_date,($G$2+25),m_active,1,m_start,"&lt;"&amp;900,m_end,"&gt;"&amp;840),INDEX(m_label,_xlfn.MAXIFS(m_row,m_teacher,BB$4,m_date,($G$2+25),m_active,1,m_start,"&lt;"&amp;900,m_end,"&gt;"&amp;840))))))</f>
        <v/>
      </c>
      <c r="BC54" s="82" t="str">
        <f aca="false">IF(OR(BC$4="",MONTH(($G$2+25))&lt;&gt;MONTH($C$2)),"",IF(COUNTIFS(m_teacher,BC$4,m_date,($G$2+25),m_active,1,m_start,"&lt;"&amp;900,m_end,"&gt;"&amp;840)=0,"",IF(COUNTIFS(m_teacher,BC$4,m_date,($G$2+25),m_active,1,m_start,"&lt;"&amp;900,m_end,"&gt;"&amp;840)&gt;1,"충돌",HYPERLINK("#'관리자_MASTER'!D"&amp;_xlfn.MAXIFS(m_row,m_teacher,BC$4,m_date,($G$2+25),m_active,1,m_start,"&lt;"&amp;900,m_end,"&gt;"&amp;840),INDEX(m_label,_xlfn.MAXIFS(m_row,m_teacher,BC$4,m_date,($G$2+25),m_active,1,m_start,"&lt;"&amp;900,m_end,"&gt;"&amp;840))))))</f>
        <v/>
      </c>
      <c r="BD54" s="82" t="str">
        <f aca="false">IF(OR(BD$4="",MONTH(($G$2+25))&lt;&gt;MONTH($C$2)),"",IF(COUNTIFS(m_teacher,BD$4,m_date,($G$2+25),m_active,1,m_start,"&lt;"&amp;900,m_end,"&gt;"&amp;840)=0,"",IF(COUNTIFS(m_teacher,BD$4,m_date,($G$2+25),m_active,1,m_start,"&lt;"&amp;900,m_end,"&gt;"&amp;840)&gt;1,"충돌",HYPERLINK("#'관리자_MASTER'!D"&amp;_xlfn.MAXIFS(m_row,m_teacher,BD$4,m_date,($G$2+25),m_active,1,m_start,"&lt;"&amp;900,m_end,"&gt;"&amp;840),INDEX(m_label,_xlfn.MAXIFS(m_row,m_teacher,BD$4,m_date,($G$2+25),m_active,1,m_start,"&lt;"&amp;900,m_end,"&gt;"&amp;840))))))</f>
        <v/>
      </c>
      <c r="BE54" s="75"/>
      <c r="BF54" s="76" t="s">
        <v>96</v>
      </c>
      <c r="BG54" s="81" t="str">
        <f aca="false">IF(OR(BG$4="",MONTH(($G$2+32))&lt;&gt;MONTH($C$2)),"",IF(COUNTIFS(m_teacher,BG$4,m_date,($G$2+32),m_active,1,m_start,"&lt;"&amp;900,m_end,"&gt;"&amp;840)=0,"",IF(COUNTIFS(m_teacher,BG$4,m_date,($G$2+32),m_active,1,m_start,"&lt;"&amp;900,m_end,"&gt;"&amp;840)&gt;1,"충돌",HYPERLINK("#'관리자_MASTER'!D"&amp;_xlfn.MAXIFS(m_row,m_teacher,BG$4,m_date,($G$2+32),m_active,1,m_start,"&lt;"&amp;900,m_end,"&gt;"&amp;840),INDEX(m_label,_xlfn.MAXIFS(m_row,m_teacher,BG$4,m_date,($G$2+32),m_active,1,m_start,"&lt;"&amp;900,m_end,"&gt;"&amp;840))))))</f>
        <v/>
      </c>
      <c r="BH54" s="81" t="str">
        <f aca="false">IF(OR(BH$4="",MONTH(($G$2+32))&lt;&gt;MONTH($C$2)),"",IF(COUNTIFS(m_teacher,BH$4,m_date,($G$2+32),m_active,1,m_start,"&lt;"&amp;900,m_end,"&gt;"&amp;840)=0,"",IF(COUNTIFS(m_teacher,BH$4,m_date,($G$2+32),m_active,1,m_start,"&lt;"&amp;900,m_end,"&gt;"&amp;840)&gt;1,"충돌",HYPERLINK("#'관리자_MASTER'!D"&amp;_xlfn.MAXIFS(m_row,m_teacher,BH$4,m_date,($G$2+32),m_active,1,m_start,"&lt;"&amp;900,m_end,"&gt;"&amp;840),INDEX(m_label,_xlfn.MAXIFS(m_row,m_teacher,BH$4,m_date,($G$2+32),m_active,1,m_start,"&lt;"&amp;900,m_end,"&gt;"&amp;840))))))</f>
        <v/>
      </c>
      <c r="BI54" s="81" t="str">
        <f aca="false">IF(OR(BI$4="",MONTH(($G$2+32))&lt;&gt;MONTH($C$2)),"",IF(COUNTIFS(m_teacher,BI$4,m_date,($G$2+32),m_active,1,m_start,"&lt;"&amp;900,m_end,"&gt;"&amp;840)=0,"",IF(COUNTIFS(m_teacher,BI$4,m_date,($G$2+32),m_active,1,m_start,"&lt;"&amp;900,m_end,"&gt;"&amp;840)&gt;1,"충돌",HYPERLINK("#'관리자_MASTER'!D"&amp;_xlfn.MAXIFS(m_row,m_teacher,BI$4,m_date,($G$2+32),m_active,1,m_start,"&lt;"&amp;900,m_end,"&gt;"&amp;840),INDEX(m_label,_xlfn.MAXIFS(m_row,m_teacher,BI$4,m_date,($G$2+32),m_active,1,m_start,"&lt;"&amp;900,m_end,"&gt;"&amp;840))))))</f>
        <v/>
      </c>
      <c r="BJ54" s="81" t="str">
        <f aca="false">IF(OR(BJ$4="",MONTH(($G$2+32))&lt;&gt;MONTH($C$2)),"",IF(COUNTIFS(m_teacher,BJ$4,m_date,($G$2+32),m_active,1,m_start,"&lt;"&amp;900,m_end,"&gt;"&amp;840)=0,"",IF(COUNTIFS(m_teacher,BJ$4,m_date,($G$2+32),m_active,1,m_start,"&lt;"&amp;900,m_end,"&gt;"&amp;840)&gt;1,"충돌",HYPERLINK("#'관리자_MASTER'!D"&amp;_xlfn.MAXIFS(m_row,m_teacher,BJ$4,m_date,($G$2+32),m_active,1,m_start,"&lt;"&amp;900,m_end,"&gt;"&amp;840),INDEX(m_label,_xlfn.MAXIFS(m_row,m_teacher,BJ$4,m_date,($G$2+32),m_active,1,m_start,"&lt;"&amp;900,m_end,"&gt;"&amp;840))))))</f>
        <v/>
      </c>
      <c r="BK54" s="81" t="str">
        <f aca="false">IF(OR(BK$4="",MONTH(($G$2+32))&lt;&gt;MONTH($C$2)),"",IF(COUNTIFS(m_teacher,BK$4,m_date,($G$2+32),m_active,1,m_start,"&lt;"&amp;900,m_end,"&gt;"&amp;840)=0,"",IF(COUNTIFS(m_teacher,BK$4,m_date,($G$2+32),m_active,1,m_start,"&lt;"&amp;900,m_end,"&gt;"&amp;840)&gt;1,"충돌",HYPERLINK("#'관리자_MASTER'!D"&amp;_xlfn.MAXIFS(m_row,m_teacher,BK$4,m_date,($G$2+32),m_active,1,m_start,"&lt;"&amp;900,m_end,"&gt;"&amp;840),INDEX(m_label,_xlfn.MAXIFS(m_row,m_teacher,BK$4,m_date,($G$2+32),m_active,1,m_start,"&lt;"&amp;900,m_end,"&gt;"&amp;840))))))</f>
        <v/>
      </c>
      <c r="BL54" s="81" t="str">
        <f aca="false">IF(OR(BL$4="",MONTH(($G$2+32))&lt;&gt;MONTH($C$2)),"",IF(COUNTIFS(m_teacher,BL$4,m_date,($G$2+32),m_active,1,m_start,"&lt;"&amp;900,m_end,"&gt;"&amp;840)=0,"",IF(COUNTIFS(m_teacher,BL$4,m_date,($G$2+32),m_active,1,m_start,"&lt;"&amp;900,m_end,"&gt;"&amp;840)&gt;1,"충돌",HYPERLINK("#'관리자_MASTER'!D"&amp;_xlfn.MAXIFS(m_row,m_teacher,BL$4,m_date,($G$2+32),m_active,1,m_start,"&lt;"&amp;900,m_end,"&gt;"&amp;840),INDEX(m_label,_xlfn.MAXIFS(m_row,m_teacher,BL$4,m_date,($G$2+32),m_active,1,m_start,"&lt;"&amp;900,m_end,"&gt;"&amp;840))))))</f>
        <v/>
      </c>
      <c r="BM54" s="81" t="str">
        <f aca="false">IF(OR(BM$4="",MONTH(($G$2+32))&lt;&gt;MONTH($C$2)),"",IF(COUNTIFS(m_teacher,BM$4,m_date,($G$2+32),m_active,1,m_start,"&lt;"&amp;900,m_end,"&gt;"&amp;840)=0,"",IF(COUNTIFS(m_teacher,BM$4,m_date,($G$2+32),m_active,1,m_start,"&lt;"&amp;900,m_end,"&gt;"&amp;840)&gt;1,"충돌",HYPERLINK("#'관리자_MASTER'!D"&amp;_xlfn.MAXIFS(m_row,m_teacher,BM$4,m_date,($G$2+32),m_active,1,m_start,"&lt;"&amp;900,m_end,"&gt;"&amp;840),INDEX(m_label,_xlfn.MAXIFS(m_row,m_teacher,BM$4,m_date,($G$2+32),m_active,1,m_start,"&lt;"&amp;900,m_end,"&gt;"&amp;840))))))</f>
        <v/>
      </c>
      <c r="BN54" s="81" t="str">
        <f aca="false">IF(OR(BN$4="",MONTH(($G$2+32))&lt;&gt;MONTH($C$2)),"",IF(COUNTIFS(m_teacher,BN$4,m_date,($G$2+32),m_active,1,m_start,"&lt;"&amp;900,m_end,"&gt;"&amp;840)=0,"",IF(COUNTIFS(m_teacher,BN$4,m_date,($G$2+32),m_active,1,m_start,"&lt;"&amp;900,m_end,"&gt;"&amp;840)&gt;1,"충돌",HYPERLINK("#'관리자_MASTER'!D"&amp;_xlfn.MAXIFS(m_row,m_teacher,BN$4,m_date,($G$2+32),m_active,1,m_start,"&lt;"&amp;900,m_end,"&gt;"&amp;840),INDEX(m_label,_xlfn.MAXIFS(m_row,m_teacher,BN$4,m_date,($G$2+32),m_active,1,m_start,"&lt;"&amp;900,m_end,"&gt;"&amp;840))))))</f>
        <v/>
      </c>
      <c r="BO54" s="81" t="str">
        <f aca="false">IF(OR(BO$4="",MONTH(($G$2+32))&lt;&gt;MONTH($C$2)),"",IF(COUNTIFS(m_teacher,BO$4,m_date,($G$2+32),m_active,1,m_start,"&lt;"&amp;900,m_end,"&gt;"&amp;840)=0,"",IF(COUNTIFS(m_teacher,BO$4,m_date,($G$2+32),m_active,1,m_start,"&lt;"&amp;900,m_end,"&gt;"&amp;840)&gt;1,"충돌",HYPERLINK("#'관리자_MASTER'!D"&amp;_xlfn.MAXIFS(m_row,m_teacher,BO$4,m_date,($G$2+32),m_active,1,m_start,"&lt;"&amp;900,m_end,"&gt;"&amp;840),INDEX(m_label,_xlfn.MAXIFS(m_row,m_teacher,BO$4,m_date,($G$2+32),m_active,1,m_start,"&lt;"&amp;900,m_end,"&gt;"&amp;840))))))</f>
        <v/>
      </c>
      <c r="BP54" s="81" t="str">
        <f aca="false">IF(OR(BP$4="",MONTH(($G$2+32))&lt;&gt;MONTH($C$2)),"",IF(COUNTIFS(m_teacher,BP$4,m_date,($G$2+32),m_active,1,m_start,"&lt;"&amp;900,m_end,"&gt;"&amp;840)=0,"",IF(COUNTIFS(m_teacher,BP$4,m_date,($G$2+32),m_active,1,m_start,"&lt;"&amp;900,m_end,"&gt;"&amp;840)&gt;1,"충돌",HYPERLINK("#'관리자_MASTER'!D"&amp;_xlfn.MAXIFS(m_row,m_teacher,BP$4,m_date,($G$2+32),m_active,1,m_start,"&lt;"&amp;900,m_end,"&gt;"&amp;840),INDEX(m_label,_xlfn.MAXIFS(m_row,m_teacher,BP$4,m_date,($G$2+32),m_active,1,m_start,"&lt;"&amp;900,m_end,"&gt;"&amp;840))))))</f>
        <v/>
      </c>
      <c r="BQ54" s="81" t="str">
        <f aca="false">IF(OR(BQ$4="",MONTH(($G$2+32))&lt;&gt;MONTH($C$2)),"",IF(COUNTIFS(m_teacher,BQ$4,m_date,($G$2+32),m_active,1,m_start,"&lt;"&amp;900,m_end,"&gt;"&amp;840)=0,"",IF(COUNTIFS(m_teacher,BQ$4,m_date,($G$2+32),m_active,1,m_start,"&lt;"&amp;900,m_end,"&gt;"&amp;840)&gt;1,"충돌",HYPERLINK("#'관리자_MASTER'!D"&amp;_xlfn.MAXIFS(m_row,m_teacher,BQ$4,m_date,($G$2+32),m_active,1,m_start,"&lt;"&amp;900,m_end,"&gt;"&amp;840),INDEX(m_label,_xlfn.MAXIFS(m_row,m_teacher,BQ$4,m_date,($G$2+32),m_active,1,m_start,"&lt;"&amp;900,m_end,"&gt;"&amp;840))))))</f>
        <v/>
      </c>
      <c r="BR54" s="81" t="str">
        <f aca="false">IF(OR(BR$4="",MONTH(($G$2+32))&lt;&gt;MONTH($C$2)),"",IF(COUNTIFS(m_teacher,BR$4,m_date,($G$2+32),m_active,1,m_start,"&lt;"&amp;900,m_end,"&gt;"&amp;840)=0,"",IF(COUNTIFS(m_teacher,BR$4,m_date,($G$2+32),m_active,1,m_start,"&lt;"&amp;900,m_end,"&gt;"&amp;840)&gt;1,"충돌",HYPERLINK("#'관리자_MASTER'!D"&amp;_xlfn.MAXIFS(m_row,m_teacher,BR$4,m_date,($G$2+32),m_active,1,m_start,"&lt;"&amp;900,m_end,"&gt;"&amp;840),INDEX(m_label,_xlfn.MAXIFS(m_row,m_teacher,BR$4,m_date,($G$2+32),m_active,1,m_start,"&lt;"&amp;900,m_end,"&gt;"&amp;840))))))</f>
        <v/>
      </c>
    </row>
    <row r="55" customFormat="false" ht="19.5" hidden="false" customHeight="true" outlineLevel="0" collapsed="false">
      <c r="A55" s="78"/>
      <c r="B55" s="79" t="s">
        <v>97</v>
      </c>
      <c r="C55" s="82" t="str">
        <f aca="false">IF(OR(C$4="",MONTH(($G$2+4))&lt;&gt;MONTH($C$2)),"",IF(COUNTIFS(m_teacher,C$4,m_date,($G$2+4),m_active,1,m_start,"&lt;"&amp;960,m_end,"&gt;"&amp;900)=0,"",IF(COUNTIFS(m_teacher,C$4,m_date,($G$2+4),m_active,1,m_start,"&lt;"&amp;960,m_end,"&gt;"&amp;900)&gt;1,"충돌",HYPERLINK("#'관리자_MASTER'!D"&amp;_xlfn.MAXIFS(m_row,m_teacher,C$4,m_date,($G$2+4),m_active,1,m_start,"&lt;"&amp;960,m_end,"&gt;"&amp;900),INDEX(m_label,_xlfn.MAXIFS(m_row,m_teacher,C$4,m_date,($G$2+4),m_active,1,m_start,"&lt;"&amp;960,m_end,"&gt;"&amp;900))))))</f>
        <v/>
      </c>
      <c r="D55" s="82" t="str">
        <f aca="false">IF(OR(D$4="",MONTH(($G$2+4))&lt;&gt;MONTH($C$2)),"",IF(COUNTIFS(m_teacher,D$4,m_date,($G$2+4),m_active,1,m_start,"&lt;"&amp;960,m_end,"&gt;"&amp;900)=0,"",IF(COUNTIFS(m_teacher,D$4,m_date,($G$2+4),m_active,1,m_start,"&lt;"&amp;960,m_end,"&gt;"&amp;900)&gt;1,"충돌",HYPERLINK("#'관리자_MASTER'!D"&amp;_xlfn.MAXIFS(m_row,m_teacher,D$4,m_date,($G$2+4),m_active,1,m_start,"&lt;"&amp;960,m_end,"&gt;"&amp;900),INDEX(m_label,_xlfn.MAXIFS(m_row,m_teacher,D$4,m_date,($G$2+4),m_active,1,m_start,"&lt;"&amp;960,m_end,"&gt;"&amp;900))))))</f>
        <v/>
      </c>
      <c r="E55" s="82" t="str">
        <f aca="false">IF(OR(E$4="",MONTH(($G$2+4))&lt;&gt;MONTH($C$2)),"",IF(COUNTIFS(m_teacher,E$4,m_date,($G$2+4),m_active,1,m_start,"&lt;"&amp;960,m_end,"&gt;"&amp;900)=0,"",IF(COUNTIFS(m_teacher,E$4,m_date,($G$2+4),m_active,1,m_start,"&lt;"&amp;960,m_end,"&gt;"&amp;900)&gt;1,"충돌",HYPERLINK("#'관리자_MASTER'!D"&amp;_xlfn.MAXIFS(m_row,m_teacher,E$4,m_date,($G$2+4),m_active,1,m_start,"&lt;"&amp;960,m_end,"&gt;"&amp;900),INDEX(m_label,_xlfn.MAXIFS(m_row,m_teacher,E$4,m_date,($G$2+4),m_active,1,m_start,"&lt;"&amp;960,m_end,"&gt;"&amp;900))))))</f>
        <v/>
      </c>
      <c r="F55" s="82" t="str">
        <f aca="false">IF(OR(F$4="",MONTH(($G$2+4))&lt;&gt;MONTH($C$2)),"",IF(COUNTIFS(m_teacher,F$4,m_date,($G$2+4),m_active,1,m_start,"&lt;"&amp;960,m_end,"&gt;"&amp;900)=0,"",IF(COUNTIFS(m_teacher,F$4,m_date,($G$2+4),m_active,1,m_start,"&lt;"&amp;960,m_end,"&gt;"&amp;900)&gt;1,"충돌",HYPERLINK("#'관리자_MASTER'!D"&amp;_xlfn.MAXIFS(m_row,m_teacher,F$4,m_date,($G$2+4),m_active,1,m_start,"&lt;"&amp;960,m_end,"&gt;"&amp;900),INDEX(m_label,_xlfn.MAXIFS(m_row,m_teacher,F$4,m_date,($G$2+4),m_active,1,m_start,"&lt;"&amp;960,m_end,"&gt;"&amp;900))))))</f>
        <v/>
      </c>
      <c r="G55" s="82" t="str">
        <f aca="false">IF(OR(G$4="",MONTH(($G$2+4))&lt;&gt;MONTH($C$2)),"",IF(COUNTIFS(m_teacher,G$4,m_date,($G$2+4),m_active,1,m_start,"&lt;"&amp;960,m_end,"&gt;"&amp;900)=0,"",IF(COUNTIFS(m_teacher,G$4,m_date,($G$2+4),m_active,1,m_start,"&lt;"&amp;960,m_end,"&gt;"&amp;900)&gt;1,"충돌",HYPERLINK("#'관리자_MASTER'!D"&amp;_xlfn.MAXIFS(m_row,m_teacher,G$4,m_date,($G$2+4),m_active,1,m_start,"&lt;"&amp;960,m_end,"&gt;"&amp;900),INDEX(m_label,_xlfn.MAXIFS(m_row,m_teacher,G$4,m_date,($G$2+4),m_active,1,m_start,"&lt;"&amp;960,m_end,"&gt;"&amp;900))))))</f>
        <v/>
      </c>
      <c r="H55" s="82" t="str">
        <f aca="false">IF(OR(H$4="",MONTH(($G$2+4))&lt;&gt;MONTH($C$2)),"",IF(COUNTIFS(m_teacher,H$4,m_date,($G$2+4),m_active,1,m_start,"&lt;"&amp;960,m_end,"&gt;"&amp;900)=0,"",IF(COUNTIFS(m_teacher,H$4,m_date,($G$2+4),m_active,1,m_start,"&lt;"&amp;960,m_end,"&gt;"&amp;900)&gt;1,"충돌",HYPERLINK("#'관리자_MASTER'!D"&amp;_xlfn.MAXIFS(m_row,m_teacher,H$4,m_date,($G$2+4),m_active,1,m_start,"&lt;"&amp;960,m_end,"&gt;"&amp;900),INDEX(m_label,_xlfn.MAXIFS(m_row,m_teacher,H$4,m_date,($G$2+4),m_active,1,m_start,"&lt;"&amp;960,m_end,"&gt;"&amp;900))))))</f>
        <v/>
      </c>
      <c r="I55" s="82" t="str">
        <f aca="false">IF(OR(I$4="",MONTH(($G$2+4))&lt;&gt;MONTH($C$2)),"",IF(COUNTIFS(m_teacher,I$4,m_date,($G$2+4),m_active,1,m_start,"&lt;"&amp;960,m_end,"&gt;"&amp;900)=0,"",IF(COUNTIFS(m_teacher,I$4,m_date,($G$2+4),m_active,1,m_start,"&lt;"&amp;960,m_end,"&gt;"&amp;900)&gt;1,"충돌",HYPERLINK("#'관리자_MASTER'!D"&amp;_xlfn.MAXIFS(m_row,m_teacher,I$4,m_date,($G$2+4),m_active,1,m_start,"&lt;"&amp;960,m_end,"&gt;"&amp;900),INDEX(m_label,_xlfn.MAXIFS(m_row,m_teacher,I$4,m_date,($G$2+4),m_active,1,m_start,"&lt;"&amp;960,m_end,"&gt;"&amp;900))))))</f>
        <v/>
      </c>
      <c r="J55" s="82" t="str">
        <f aca="false">IF(OR(J$4="",MONTH(($G$2+4))&lt;&gt;MONTH($C$2)),"",IF(COUNTIFS(m_teacher,J$4,m_date,($G$2+4),m_active,1,m_start,"&lt;"&amp;960,m_end,"&gt;"&amp;900)=0,"",IF(COUNTIFS(m_teacher,J$4,m_date,($G$2+4),m_active,1,m_start,"&lt;"&amp;960,m_end,"&gt;"&amp;900)&gt;1,"충돌",HYPERLINK("#'관리자_MASTER'!D"&amp;_xlfn.MAXIFS(m_row,m_teacher,J$4,m_date,($G$2+4),m_active,1,m_start,"&lt;"&amp;960,m_end,"&gt;"&amp;900),INDEX(m_label,_xlfn.MAXIFS(m_row,m_teacher,J$4,m_date,($G$2+4),m_active,1,m_start,"&lt;"&amp;960,m_end,"&gt;"&amp;900))))))</f>
        <v/>
      </c>
      <c r="K55" s="82" t="str">
        <f aca="false">IF(OR(K$4="",MONTH(($G$2+4))&lt;&gt;MONTH($C$2)),"",IF(COUNTIFS(m_teacher,K$4,m_date,($G$2+4),m_active,1,m_start,"&lt;"&amp;960,m_end,"&gt;"&amp;900)=0,"",IF(COUNTIFS(m_teacher,K$4,m_date,($G$2+4),m_active,1,m_start,"&lt;"&amp;960,m_end,"&gt;"&amp;900)&gt;1,"충돌",HYPERLINK("#'관리자_MASTER'!D"&amp;_xlfn.MAXIFS(m_row,m_teacher,K$4,m_date,($G$2+4),m_active,1,m_start,"&lt;"&amp;960,m_end,"&gt;"&amp;900),INDEX(m_label,_xlfn.MAXIFS(m_row,m_teacher,K$4,m_date,($G$2+4),m_active,1,m_start,"&lt;"&amp;960,m_end,"&gt;"&amp;900))))))</f>
        <v/>
      </c>
      <c r="L55" s="82" t="str">
        <f aca="false">IF(OR(L$4="",MONTH(($G$2+4))&lt;&gt;MONTH($C$2)),"",IF(COUNTIFS(m_teacher,L$4,m_date,($G$2+4),m_active,1,m_start,"&lt;"&amp;960,m_end,"&gt;"&amp;900)=0,"",IF(COUNTIFS(m_teacher,L$4,m_date,($G$2+4),m_active,1,m_start,"&lt;"&amp;960,m_end,"&gt;"&amp;900)&gt;1,"충돌",HYPERLINK("#'관리자_MASTER'!D"&amp;_xlfn.MAXIFS(m_row,m_teacher,L$4,m_date,($G$2+4),m_active,1,m_start,"&lt;"&amp;960,m_end,"&gt;"&amp;900),INDEX(m_label,_xlfn.MAXIFS(m_row,m_teacher,L$4,m_date,($G$2+4),m_active,1,m_start,"&lt;"&amp;960,m_end,"&gt;"&amp;900))))))</f>
        <v/>
      </c>
      <c r="M55" s="82" t="str">
        <f aca="false">IF(OR(M$4="",MONTH(($G$2+4))&lt;&gt;MONTH($C$2)),"",IF(COUNTIFS(m_teacher,M$4,m_date,($G$2+4),m_active,1,m_start,"&lt;"&amp;960,m_end,"&gt;"&amp;900)=0,"",IF(COUNTIFS(m_teacher,M$4,m_date,($G$2+4),m_active,1,m_start,"&lt;"&amp;960,m_end,"&gt;"&amp;900)&gt;1,"충돌",HYPERLINK("#'관리자_MASTER'!D"&amp;_xlfn.MAXIFS(m_row,m_teacher,M$4,m_date,($G$2+4),m_active,1,m_start,"&lt;"&amp;960,m_end,"&gt;"&amp;900),INDEX(m_label,_xlfn.MAXIFS(m_row,m_teacher,M$4,m_date,($G$2+4),m_active,1,m_start,"&lt;"&amp;960,m_end,"&gt;"&amp;900))))))</f>
        <v/>
      </c>
      <c r="N55" s="82" t="str">
        <f aca="false">IF(OR(N$4="",MONTH(($G$2+4))&lt;&gt;MONTH($C$2)),"",IF(COUNTIFS(m_teacher,N$4,m_date,($G$2+4),m_active,1,m_start,"&lt;"&amp;960,m_end,"&gt;"&amp;900)=0,"",IF(COUNTIFS(m_teacher,N$4,m_date,($G$2+4),m_active,1,m_start,"&lt;"&amp;960,m_end,"&gt;"&amp;900)&gt;1,"충돌",HYPERLINK("#'관리자_MASTER'!D"&amp;_xlfn.MAXIFS(m_row,m_teacher,N$4,m_date,($G$2+4),m_active,1,m_start,"&lt;"&amp;960,m_end,"&gt;"&amp;900),INDEX(m_label,_xlfn.MAXIFS(m_row,m_teacher,N$4,m_date,($G$2+4),m_active,1,m_start,"&lt;"&amp;960,m_end,"&gt;"&amp;900))))))</f>
        <v/>
      </c>
      <c r="O55" s="78"/>
      <c r="P55" s="79" t="s">
        <v>97</v>
      </c>
      <c r="Q55" s="82" t="str">
        <f aca="false">IF(OR(Q$4="",MONTH(($G$2+11))&lt;&gt;MONTH($C$2)),"",IF(COUNTIFS(m_teacher,Q$4,m_date,($G$2+11),m_active,1,m_start,"&lt;"&amp;960,m_end,"&gt;"&amp;900)=0,"",IF(COUNTIFS(m_teacher,Q$4,m_date,($G$2+11),m_active,1,m_start,"&lt;"&amp;960,m_end,"&gt;"&amp;900)&gt;1,"충돌",HYPERLINK("#'관리자_MASTER'!D"&amp;_xlfn.MAXIFS(m_row,m_teacher,Q$4,m_date,($G$2+11),m_active,1,m_start,"&lt;"&amp;960,m_end,"&gt;"&amp;900),INDEX(m_label,_xlfn.MAXIFS(m_row,m_teacher,Q$4,m_date,($G$2+11),m_active,1,m_start,"&lt;"&amp;960,m_end,"&gt;"&amp;900))))))</f>
        <v/>
      </c>
      <c r="R55" s="82" t="str">
        <f aca="false">IF(OR(R$4="",MONTH(($G$2+11))&lt;&gt;MONTH($C$2)),"",IF(COUNTIFS(m_teacher,R$4,m_date,($G$2+11),m_active,1,m_start,"&lt;"&amp;960,m_end,"&gt;"&amp;900)=0,"",IF(COUNTIFS(m_teacher,R$4,m_date,($G$2+11),m_active,1,m_start,"&lt;"&amp;960,m_end,"&gt;"&amp;900)&gt;1,"충돌",HYPERLINK("#'관리자_MASTER'!D"&amp;_xlfn.MAXIFS(m_row,m_teacher,R$4,m_date,($G$2+11),m_active,1,m_start,"&lt;"&amp;960,m_end,"&gt;"&amp;900),INDEX(m_label,_xlfn.MAXIFS(m_row,m_teacher,R$4,m_date,($G$2+11),m_active,1,m_start,"&lt;"&amp;960,m_end,"&gt;"&amp;900))))))</f>
        <v/>
      </c>
      <c r="S55" s="82" t="str">
        <f aca="false">IF(OR(S$4="",MONTH(($G$2+11))&lt;&gt;MONTH($C$2)),"",IF(COUNTIFS(m_teacher,S$4,m_date,($G$2+11),m_active,1,m_start,"&lt;"&amp;960,m_end,"&gt;"&amp;900)=0,"",IF(COUNTIFS(m_teacher,S$4,m_date,($G$2+11),m_active,1,m_start,"&lt;"&amp;960,m_end,"&gt;"&amp;900)&gt;1,"충돌",HYPERLINK("#'관리자_MASTER'!D"&amp;_xlfn.MAXIFS(m_row,m_teacher,S$4,m_date,($G$2+11),m_active,1,m_start,"&lt;"&amp;960,m_end,"&gt;"&amp;900),INDEX(m_label,_xlfn.MAXIFS(m_row,m_teacher,S$4,m_date,($G$2+11),m_active,1,m_start,"&lt;"&amp;960,m_end,"&gt;"&amp;900))))))</f>
        <v/>
      </c>
      <c r="T55" s="82" t="str">
        <f aca="false">IF(OR(T$4="",MONTH(($G$2+11))&lt;&gt;MONTH($C$2)),"",IF(COUNTIFS(m_teacher,T$4,m_date,($G$2+11),m_active,1,m_start,"&lt;"&amp;960,m_end,"&gt;"&amp;900)=0,"",IF(COUNTIFS(m_teacher,T$4,m_date,($G$2+11),m_active,1,m_start,"&lt;"&amp;960,m_end,"&gt;"&amp;900)&gt;1,"충돌",HYPERLINK("#'관리자_MASTER'!D"&amp;_xlfn.MAXIFS(m_row,m_teacher,T$4,m_date,($G$2+11),m_active,1,m_start,"&lt;"&amp;960,m_end,"&gt;"&amp;900),INDEX(m_label,_xlfn.MAXIFS(m_row,m_teacher,T$4,m_date,($G$2+11),m_active,1,m_start,"&lt;"&amp;960,m_end,"&gt;"&amp;900))))))</f>
        <v/>
      </c>
      <c r="U55" s="82" t="str">
        <f aca="false">IF(OR(U$4="",MONTH(($G$2+11))&lt;&gt;MONTH($C$2)),"",IF(COUNTIFS(m_teacher,U$4,m_date,($G$2+11),m_active,1,m_start,"&lt;"&amp;960,m_end,"&gt;"&amp;900)=0,"",IF(COUNTIFS(m_teacher,U$4,m_date,($G$2+11),m_active,1,m_start,"&lt;"&amp;960,m_end,"&gt;"&amp;900)&gt;1,"충돌",HYPERLINK("#'관리자_MASTER'!D"&amp;_xlfn.MAXIFS(m_row,m_teacher,U$4,m_date,($G$2+11),m_active,1,m_start,"&lt;"&amp;960,m_end,"&gt;"&amp;900),INDEX(m_label,_xlfn.MAXIFS(m_row,m_teacher,U$4,m_date,($G$2+11),m_active,1,m_start,"&lt;"&amp;960,m_end,"&gt;"&amp;900))))))</f>
        <v/>
      </c>
      <c r="V55" s="82" t="str">
        <f aca="false">IF(OR(V$4="",MONTH(($G$2+11))&lt;&gt;MONTH($C$2)),"",IF(COUNTIFS(m_teacher,V$4,m_date,($G$2+11),m_active,1,m_start,"&lt;"&amp;960,m_end,"&gt;"&amp;900)=0,"",IF(COUNTIFS(m_teacher,V$4,m_date,($G$2+11),m_active,1,m_start,"&lt;"&amp;960,m_end,"&gt;"&amp;900)&gt;1,"충돌",HYPERLINK("#'관리자_MASTER'!D"&amp;_xlfn.MAXIFS(m_row,m_teacher,V$4,m_date,($G$2+11),m_active,1,m_start,"&lt;"&amp;960,m_end,"&gt;"&amp;900),INDEX(m_label,_xlfn.MAXIFS(m_row,m_teacher,V$4,m_date,($G$2+11),m_active,1,m_start,"&lt;"&amp;960,m_end,"&gt;"&amp;900))))))</f>
        <v/>
      </c>
      <c r="W55" s="82" t="str">
        <f aca="false">IF(OR(W$4="",MONTH(($G$2+11))&lt;&gt;MONTH($C$2)),"",IF(COUNTIFS(m_teacher,W$4,m_date,($G$2+11),m_active,1,m_start,"&lt;"&amp;960,m_end,"&gt;"&amp;900)=0,"",IF(COUNTIFS(m_teacher,W$4,m_date,($G$2+11),m_active,1,m_start,"&lt;"&amp;960,m_end,"&gt;"&amp;900)&gt;1,"충돌",HYPERLINK("#'관리자_MASTER'!D"&amp;_xlfn.MAXIFS(m_row,m_teacher,W$4,m_date,($G$2+11),m_active,1,m_start,"&lt;"&amp;960,m_end,"&gt;"&amp;900),INDEX(m_label,_xlfn.MAXIFS(m_row,m_teacher,W$4,m_date,($G$2+11),m_active,1,m_start,"&lt;"&amp;960,m_end,"&gt;"&amp;900))))))</f>
        <v/>
      </c>
      <c r="X55" s="82" t="str">
        <f aca="false">IF(OR(X$4="",MONTH(($G$2+11))&lt;&gt;MONTH($C$2)),"",IF(COUNTIFS(m_teacher,X$4,m_date,($G$2+11),m_active,1,m_start,"&lt;"&amp;960,m_end,"&gt;"&amp;900)=0,"",IF(COUNTIFS(m_teacher,X$4,m_date,($G$2+11),m_active,1,m_start,"&lt;"&amp;960,m_end,"&gt;"&amp;900)&gt;1,"충돌",HYPERLINK("#'관리자_MASTER'!D"&amp;_xlfn.MAXIFS(m_row,m_teacher,X$4,m_date,($G$2+11),m_active,1,m_start,"&lt;"&amp;960,m_end,"&gt;"&amp;900),INDEX(m_label,_xlfn.MAXIFS(m_row,m_teacher,X$4,m_date,($G$2+11),m_active,1,m_start,"&lt;"&amp;960,m_end,"&gt;"&amp;900))))))</f>
        <v/>
      </c>
      <c r="Y55" s="82" t="str">
        <f aca="false">IF(OR(Y$4="",MONTH(($G$2+11))&lt;&gt;MONTH($C$2)),"",IF(COUNTIFS(m_teacher,Y$4,m_date,($G$2+11),m_active,1,m_start,"&lt;"&amp;960,m_end,"&gt;"&amp;900)=0,"",IF(COUNTIFS(m_teacher,Y$4,m_date,($G$2+11),m_active,1,m_start,"&lt;"&amp;960,m_end,"&gt;"&amp;900)&gt;1,"충돌",HYPERLINK("#'관리자_MASTER'!D"&amp;_xlfn.MAXIFS(m_row,m_teacher,Y$4,m_date,($G$2+11),m_active,1,m_start,"&lt;"&amp;960,m_end,"&gt;"&amp;900),INDEX(m_label,_xlfn.MAXIFS(m_row,m_teacher,Y$4,m_date,($G$2+11),m_active,1,m_start,"&lt;"&amp;960,m_end,"&gt;"&amp;900))))))</f>
        <v/>
      </c>
      <c r="Z55" s="82" t="str">
        <f aca="false">IF(OR(Z$4="",MONTH(($G$2+11))&lt;&gt;MONTH($C$2)),"",IF(COUNTIFS(m_teacher,Z$4,m_date,($G$2+11),m_active,1,m_start,"&lt;"&amp;960,m_end,"&gt;"&amp;900)=0,"",IF(COUNTIFS(m_teacher,Z$4,m_date,($G$2+11),m_active,1,m_start,"&lt;"&amp;960,m_end,"&gt;"&amp;900)&gt;1,"충돌",HYPERLINK("#'관리자_MASTER'!D"&amp;_xlfn.MAXIFS(m_row,m_teacher,Z$4,m_date,($G$2+11),m_active,1,m_start,"&lt;"&amp;960,m_end,"&gt;"&amp;900),INDEX(m_label,_xlfn.MAXIFS(m_row,m_teacher,Z$4,m_date,($G$2+11),m_active,1,m_start,"&lt;"&amp;960,m_end,"&gt;"&amp;900))))))</f>
        <v/>
      </c>
      <c r="AA55" s="82" t="str">
        <f aca="false">IF(OR(AA$4="",MONTH(($G$2+11))&lt;&gt;MONTH($C$2)),"",IF(COUNTIFS(m_teacher,AA$4,m_date,($G$2+11),m_active,1,m_start,"&lt;"&amp;960,m_end,"&gt;"&amp;900)=0,"",IF(COUNTIFS(m_teacher,AA$4,m_date,($G$2+11),m_active,1,m_start,"&lt;"&amp;960,m_end,"&gt;"&amp;900)&gt;1,"충돌",HYPERLINK("#'관리자_MASTER'!D"&amp;_xlfn.MAXIFS(m_row,m_teacher,AA$4,m_date,($G$2+11),m_active,1,m_start,"&lt;"&amp;960,m_end,"&gt;"&amp;900),INDEX(m_label,_xlfn.MAXIFS(m_row,m_teacher,AA$4,m_date,($G$2+11),m_active,1,m_start,"&lt;"&amp;960,m_end,"&gt;"&amp;900))))))</f>
        <v/>
      </c>
      <c r="AB55" s="82" t="str">
        <f aca="false">IF(OR(AB$4="",MONTH(($G$2+11))&lt;&gt;MONTH($C$2)),"",IF(COUNTIFS(m_teacher,AB$4,m_date,($G$2+11),m_active,1,m_start,"&lt;"&amp;960,m_end,"&gt;"&amp;900)=0,"",IF(COUNTIFS(m_teacher,AB$4,m_date,($G$2+11),m_active,1,m_start,"&lt;"&amp;960,m_end,"&gt;"&amp;900)&gt;1,"충돌",HYPERLINK("#'관리자_MASTER'!D"&amp;_xlfn.MAXIFS(m_row,m_teacher,AB$4,m_date,($G$2+11),m_active,1,m_start,"&lt;"&amp;960,m_end,"&gt;"&amp;900),INDEX(m_label,_xlfn.MAXIFS(m_row,m_teacher,AB$4,m_date,($G$2+11),m_active,1,m_start,"&lt;"&amp;960,m_end,"&gt;"&amp;900))))))</f>
        <v/>
      </c>
      <c r="AC55" s="78"/>
      <c r="AD55" s="79" t="s">
        <v>97</v>
      </c>
      <c r="AE55" s="82" t="str">
        <f aca="false">IF(OR(AE$4="",MONTH(($G$2+18))&lt;&gt;MONTH($C$2)),"",IF(COUNTIFS(m_teacher,AE$4,m_date,($G$2+18),m_active,1,m_start,"&lt;"&amp;960,m_end,"&gt;"&amp;900)=0,"",IF(COUNTIFS(m_teacher,AE$4,m_date,($G$2+18),m_active,1,m_start,"&lt;"&amp;960,m_end,"&gt;"&amp;900)&gt;1,"충돌",HYPERLINK("#'관리자_MASTER'!D"&amp;_xlfn.MAXIFS(m_row,m_teacher,AE$4,m_date,($G$2+18),m_active,1,m_start,"&lt;"&amp;960,m_end,"&gt;"&amp;900),INDEX(m_label,_xlfn.MAXIFS(m_row,m_teacher,AE$4,m_date,($G$2+18),m_active,1,m_start,"&lt;"&amp;960,m_end,"&gt;"&amp;900))))))</f>
        <v/>
      </c>
      <c r="AF55" s="82" t="str">
        <f aca="false">IF(OR(AF$4="",MONTH(($G$2+18))&lt;&gt;MONTH($C$2)),"",IF(COUNTIFS(m_teacher,AF$4,m_date,($G$2+18),m_active,1,m_start,"&lt;"&amp;960,m_end,"&gt;"&amp;900)=0,"",IF(COUNTIFS(m_teacher,AF$4,m_date,($G$2+18),m_active,1,m_start,"&lt;"&amp;960,m_end,"&gt;"&amp;900)&gt;1,"충돌",HYPERLINK("#'관리자_MASTER'!D"&amp;_xlfn.MAXIFS(m_row,m_teacher,AF$4,m_date,($G$2+18),m_active,1,m_start,"&lt;"&amp;960,m_end,"&gt;"&amp;900),INDEX(m_label,_xlfn.MAXIFS(m_row,m_teacher,AF$4,m_date,($G$2+18),m_active,1,m_start,"&lt;"&amp;960,m_end,"&gt;"&amp;900))))))</f>
        <v/>
      </c>
      <c r="AG55" s="82" t="str">
        <f aca="false">IF(OR(AG$4="",MONTH(($G$2+18))&lt;&gt;MONTH($C$2)),"",IF(COUNTIFS(m_teacher,AG$4,m_date,($G$2+18),m_active,1,m_start,"&lt;"&amp;960,m_end,"&gt;"&amp;900)=0,"",IF(COUNTIFS(m_teacher,AG$4,m_date,($G$2+18),m_active,1,m_start,"&lt;"&amp;960,m_end,"&gt;"&amp;900)&gt;1,"충돌",HYPERLINK("#'관리자_MASTER'!D"&amp;_xlfn.MAXIFS(m_row,m_teacher,AG$4,m_date,($G$2+18),m_active,1,m_start,"&lt;"&amp;960,m_end,"&gt;"&amp;900),INDEX(m_label,_xlfn.MAXIFS(m_row,m_teacher,AG$4,m_date,($G$2+18),m_active,1,m_start,"&lt;"&amp;960,m_end,"&gt;"&amp;900))))))</f>
        <v/>
      </c>
      <c r="AH55" s="82" t="str">
        <f aca="false">IF(OR(AH$4="",MONTH(($G$2+18))&lt;&gt;MONTH($C$2)),"",IF(COUNTIFS(m_teacher,AH$4,m_date,($G$2+18),m_active,1,m_start,"&lt;"&amp;960,m_end,"&gt;"&amp;900)=0,"",IF(COUNTIFS(m_teacher,AH$4,m_date,($G$2+18),m_active,1,m_start,"&lt;"&amp;960,m_end,"&gt;"&amp;900)&gt;1,"충돌",HYPERLINK("#'관리자_MASTER'!D"&amp;_xlfn.MAXIFS(m_row,m_teacher,AH$4,m_date,($G$2+18),m_active,1,m_start,"&lt;"&amp;960,m_end,"&gt;"&amp;900),INDEX(m_label,_xlfn.MAXIFS(m_row,m_teacher,AH$4,m_date,($G$2+18),m_active,1,m_start,"&lt;"&amp;960,m_end,"&gt;"&amp;900))))))</f>
        <v/>
      </c>
      <c r="AI55" s="82" t="str">
        <f aca="false">IF(OR(AI$4="",MONTH(($G$2+18))&lt;&gt;MONTH($C$2)),"",IF(COUNTIFS(m_teacher,AI$4,m_date,($G$2+18),m_active,1,m_start,"&lt;"&amp;960,m_end,"&gt;"&amp;900)=0,"",IF(COUNTIFS(m_teacher,AI$4,m_date,($G$2+18),m_active,1,m_start,"&lt;"&amp;960,m_end,"&gt;"&amp;900)&gt;1,"충돌",HYPERLINK("#'관리자_MASTER'!D"&amp;_xlfn.MAXIFS(m_row,m_teacher,AI$4,m_date,($G$2+18),m_active,1,m_start,"&lt;"&amp;960,m_end,"&gt;"&amp;900),INDEX(m_label,_xlfn.MAXIFS(m_row,m_teacher,AI$4,m_date,($G$2+18),m_active,1,m_start,"&lt;"&amp;960,m_end,"&gt;"&amp;900))))))</f>
        <v/>
      </c>
      <c r="AJ55" s="82" t="str">
        <f aca="false">IF(OR(AJ$4="",MONTH(($G$2+18))&lt;&gt;MONTH($C$2)),"",IF(COUNTIFS(m_teacher,AJ$4,m_date,($G$2+18),m_active,1,m_start,"&lt;"&amp;960,m_end,"&gt;"&amp;900)=0,"",IF(COUNTIFS(m_teacher,AJ$4,m_date,($G$2+18),m_active,1,m_start,"&lt;"&amp;960,m_end,"&gt;"&amp;900)&gt;1,"충돌",HYPERLINK("#'관리자_MASTER'!D"&amp;_xlfn.MAXIFS(m_row,m_teacher,AJ$4,m_date,($G$2+18),m_active,1,m_start,"&lt;"&amp;960,m_end,"&gt;"&amp;900),INDEX(m_label,_xlfn.MAXIFS(m_row,m_teacher,AJ$4,m_date,($G$2+18),m_active,1,m_start,"&lt;"&amp;960,m_end,"&gt;"&amp;900))))))</f>
        <v/>
      </c>
      <c r="AK55" s="82" t="str">
        <f aca="false">IF(OR(AK$4="",MONTH(($G$2+18))&lt;&gt;MONTH($C$2)),"",IF(COUNTIFS(m_teacher,AK$4,m_date,($G$2+18),m_active,1,m_start,"&lt;"&amp;960,m_end,"&gt;"&amp;900)=0,"",IF(COUNTIFS(m_teacher,AK$4,m_date,($G$2+18),m_active,1,m_start,"&lt;"&amp;960,m_end,"&gt;"&amp;900)&gt;1,"충돌",HYPERLINK("#'관리자_MASTER'!D"&amp;_xlfn.MAXIFS(m_row,m_teacher,AK$4,m_date,($G$2+18),m_active,1,m_start,"&lt;"&amp;960,m_end,"&gt;"&amp;900),INDEX(m_label,_xlfn.MAXIFS(m_row,m_teacher,AK$4,m_date,($G$2+18),m_active,1,m_start,"&lt;"&amp;960,m_end,"&gt;"&amp;900))))))</f>
        <v/>
      </c>
      <c r="AL55" s="82" t="str">
        <f aca="false">IF(OR(AL$4="",MONTH(($G$2+18))&lt;&gt;MONTH($C$2)),"",IF(COUNTIFS(m_teacher,AL$4,m_date,($G$2+18),m_active,1,m_start,"&lt;"&amp;960,m_end,"&gt;"&amp;900)=0,"",IF(COUNTIFS(m_teacher,AL$4,m_date,($G$2+18),m_active,1,m_start,"&lt;"&amp;960,m_end,"&gt;"&amp;900)&gt;1,"충돌",HYPERLINK("#'관리자_MASTER'!D"&amp;_xlfn.MAXIFS(m_row,m_teacher,AL$4,m_date,($G$2+18),m_active,1,m_start,"&lt;"&amp;960,m_end,"&gt;"&amp;900),INDEX(m_label,_xlfn.MAXIFS(m_row,m_teacher,AL$4,m_date,($G$2+18),m_active,1,m_start,"&lt;"&amp;960,m_end,"&gt;"&amp;900))))))</f>
        <v/>
      </c>
      <c r="AM55" s="82" t="str">
        <f aca="false">IF(OR(AM$4="",MONTH(($G$2+18))&lt;&gt;MONTH($C$2)),"",IF(COUNTIFS(m_teacher,AM$4,m_date,($G$2+18),m_active,1,m_start,"&lt;"&amp;960,m_end,"&gt;"&amp;900)=0,"",IF(COUNTIFS(m_teacher,AM$4,m_date,($G$2+18),m_active,1,m_start,"&lt;"&amp;960,m_end,"&gt;"&amp;900)&gt;1,"충돌",HYPERLINK("#'관리자_MASTER'!D"&amp;_xlfn.MAXIFS(m_row,m_teacher,AM$4,m_date,($G$2+18),m_active,1,m_start,"&lt;"&amp;960,m_end,"&gt;"&amp;900),INDEX(m_label,_xlfn.MAXIFS(m_row,m_teacher,AM$4,m_date,($G$2+18),m_active,1,m_start,"&lt;"&amp;960,m_end,"&gt;"&amp;900))))))</f>
        <v/>
      </c>
      <c r="AN55" s="82" t="str">
        <f aca="false">IF(OR(AN$4="",MONTH(($G$2+18))&lt;&gt;MONTH($C$2)),"",IF(COUNTIFS(m_teacher,AN$4,m_date,($G$2+18),m_active,1,m_start,"&lt;"&amp;960,m_end,"&gt;"&amp;900)=0,"",IF(COUNTIFS(m_teacher,AN$4,m_date,($G$2+18),m_active,1,m_start,"&lt;"&amp;960,m_end,"&gt;"&amp;900)&gt;1,"충돌",HYPERLINK("#'관리자_MASTER'!D"&amp;_xlfn.MAXIFS(m_row,m_teacher,AN$4,m_date,($G$2+18),m_active,1,m_start,"&lt;"&amp;960,m_end,"&gt;"&amp;900),INDEX(m_label,_xlfn.MAXIFS(m_row,m_teacher,AN$4,m_date,($G$2+18),m_active,1,m_start,"&lt;"&amp;960,m_end,"&gt;"&amp;900))))))</f>
        <v/>
      </c>
      <c r="AO55" s="82" t="str">
        <f aca="false">IF(OR(AO$4="",MONTH(($G$2+18))&lt;&gt;MONTH($C$2)),"",IF(COUNTIFS(m_teacher,AO$4,m_date,($G$2+18),m_active,1,m_start,"&lt;"&amp;960,m_end,"&gt;"&amp;900)=0,"",IF(COUNTIFS(m_teacher,AO$4,m_date,($G$2+18),m_active,1,m_start,"&lt;"&amp;960,m_end,"&gt;"&amp;900)&gt;1,"충돌",HYPERLINK("#'관리자_MASTER'!D"&amp;_xlfn.MAXIFS(m_row,m_teacher,AO$4,m_date,($G$2+18),m_active,1,m_start,"&lt;"&amp;960,m_end,"&gt;"&amp;900),INDEX(m_label,_xlfn.MAXIFS(m_row,m_teacher,AO$4,m_date,($G$2+18),m_active,1,m_start,"&lt;"&amp;960,m_end,"&gt;"&amp;900))))))</f>
        <v/>
      </c>
      <c r="AP55" s="82" t="str">
        <f aca="false">IF(OR(AP$4="",MONTH(($G$2+18))&lt;&gt;MONTH($C$2)),"",IF(COUNTIFS(m_teacher,AP$4,m_date,($G$2+18),m_active,1,m_start,"&lt;"&amp;960,m_end,"&gt;"&amp;900)=0,"",IF(COUNTIFS(m_teacher,AP$4,m_date,($G$2+18),m_active,1,m_start,"&lt;"&amp;960,m_end,"&gt;"&amp;900)&gt;1,"충돌",HYPERLINK("#'관리자_MASTER'!D"&amp;_xlfn.MAXIFS(m_row,m_teacher,AP$4,m_date,($G$2+18),m_active,1,m_start,"&lt;"&amp;960,m_end,"&gt;"&amp;900),INDEX(m_label,_xlfn.MAXIFS(m_row,m_teacher,AP$4,m_date,($G$2+18),m_active,1,m_start,"&lt;"&amp;960,m_end,"&gt;"&amp;900))))))</f>
        <v/>
      </c>
      <c r="AQ55" s="78"/>
      <c r="AR55" s="79" t="s">
        <v>97</v>
      </c>
      <c r="AS55" s="82" t="str">
        <f aca="false">IF(OR(AS$4="",MONTH(($G$2+25))&lt;&gt;MONTH($C$2)),"",IF(COUNTIFS(m_teacher,AS$4,m_date,($G$2+25),m_active,1,m_start,"&lt;"&amp;960,m_end,"&gt;"&amp;900)=0,"",IF(COUNTIFS(m_teacher,AS$4,m_date,($G$2+25),m_active,1,m_start,"&lt;"&amp;960,m_end,"&gt;"&amp;900)&gt;1,"충돌",HYPERLINK("#'관리자_MASTER'!D"&amp;_xlfn.MAXIFS(m_row,m_teacher,AS$4,m_date,($G$2+25),m_active,1,m_start,"&lt;"&amp;960,m_end,"&gt;"&amp;900),INDEX(m_label,_xlfn.MAXIFS(m_row,m_teacher,AS$4,m_date,($G$2+25),m_active,1,m_start,"&lt;"&amp;960,m_end,"&gt;"&amp;900))))))</f>
        <v/>
      </c>
      <c r="AT55" s="82" t="str">
        <f aca="false">IF(OR(AT$4="",MONTH(($G$2+25))&lt;&gt;MONTH($C$2)),"",IF(COUNTIFS(m_teacher,AT$4,m_date,($G$2+25),m_active,1,m_start,"&lt;"&amp;960,m_end,"&gt;"&amp;900)=0,"",IF(COUNTIFS(m_teacher,AT$4,m_date,($G$2+25),m_active,1,m_start,"&lt;"&amp;960,m_end,"&gt;"&amp;900)&gt;1,"충돌",HYPERLINK("#'관리자_MASTER'!D"&amp;_xlfn.MAXIFS(m_row,m_teacher,AT$4,m_date,($G$2+25),m_active,1,m_start,"&lt;"&amp;960,m_end,"&gt;"&amp;900),INDEX(m_label,_xlfn.MAXIFS(m_row,m_teacher,AT$4,m_date,($G$2+25),m_active,1,m_start,"&lt;"&amp;960,m_end,"&gt;"&amp;900))))))</f>
        <v/>
      </c>
      <c r="AU55" s="82" t="str">
        <f aca="false">IF(OR(AU$4="",MONTH(($G$2+25))&lt;&gt;MONTH($C$2)),"",IF(COUNTIFS(m_teacher,AU$4,m_date,($G$2+25),m_active,1,m_start,"&lt;"&amp;960,m_end,"&gt;"&amp;900)=0,"",IF(COUNTIFS(m_teacher,AU$4,m_date,($G$2+25),m_active,1,m_start,"&lt;"&amp;960,m_end,"&gt;"&amp;900)&gt;1,"충돌",HYPERLINK("#'관리자_MASTER'!D"&amp;_xlfn.MAXIFS(m_row,m_teacher,AU$4,m_date,($G$2+25),m_active,1,m_start,"&lt;"&amp;960,m_end,"&gt;"&amp;900),INDEX(m_label,_xlfn.MAXIFS(m_row,m_teacher,AU$4,m_date,($G$2+25),m_active,1,m_start,"&lt;"&amp;960,m_end,"&gt;"&amp;900))))))</f>
        <v/>
      </c>
      <c r="AV55" s="82" t="str">
        <f aca="false">IF(OR(AV$4="",MONTH(($G$2+25))&lt;&gt;MONTH($C$2)),"",IF(COUNTIFS(m_teacher,AV$4,m_date,($G$2+25),m_active,1,m_start,"&lt;"&amp;960,m_end,"&gt;"&amp;900)=0,"",IF(COUNTIFS(m_teacher,AV$4,m_date,($G$2+25),m_active,1,m_start,"&lt;"&amp;960,m_end,"&gt;"&amp;900)&gt;1,"충돌",HYPERLINK("#'관리자_MASTER'!D"&amp;_xlfn.MAXIFS(m_row,m_teacher,AV$4,m_date,($G$2+25),m_active,1,m_start,"&lt;"&amp;960,m_end,"&gt;"&amp;900),INDEX(m_label,_xlfn.MAXIFS(m_row,m_teacher,AV$4,m_date,($G$2+25),m_active,1,m_start,"&lt;"&amp;960,m_end,"&gt;"&amp;900))))))</f>
        <v/>
      </c>
      <c r="AW55" s="82" t="str">
        <f aca="false">IF(OR(AW$4="",MONTH(($G$2+25))&lt;&gt;MONTH($C$2)),"",IF(COUNTIFS(m_teacher,AW$4,m_date,($G$2+25),m_active,1,m_start,"&lt;"&amp;960,m_end,"&gt;"&amp;900)=0,"",IF(COUNTIFS(m_teacher,AW$4,m_date,($G$2+25),m_active,1,m_start,"&lt;"&amp;960,m_end,"&gt;"&amp;900)&gt;1,"충돌",HYPERLINK("#'관리자_MASTER'!D"&amp;_xlfn.MAXIFS(m_row,m_teacher,AW$4,m_date,($G$2+25),m_active,1,m_start,"&lt;"&amp;960,m_end,"&gt;"&amp;900),INDEX(m_label,_xlfn.MAXIFS(m_row,m_teacher,AW$4,m_date,($G$2+25),m_active,1,m_start,"&lt;"&amp;960,m_end,"&gt;"&amp;900))))))</f>
        <v/>
      </c>
      <c r="AX55" s="82" t="str">
        <f aca="false">IF(OR(AX$4="",MONTH(($G$2+25))&lt;&gt;MONTH($C$2)),"",IF(COUNTIFS(m_teacher,AX$4,m_date,($G$2+25),m_active,1,m_start,"&lt;"&amp;960,m_end,"&gt;"&amp;900)=0,"",IF(COUNTIFS(m_teacher,AX$4,m_date,($G$2+25),m_active,1,m_start,"&lt;"&amp;960,m_end,"&gt;"&amp;900)&gt;1,"충돌",HYPERLINK("#'관리자_MASTER'!D"&amp;_xlfn.MAXIFS(m_row,m_teacher,AX$4,m_date,($G$2+25),m_active,1,m_start,"&lt;"&amp;960,m_end,"&gt;"&amp;900),INDEX(m_label,_xlfn.MAXIFS(m_row,m_teacher,AX$4,m_date,($G$2+25),m_active,1,m_start,"&lt;"&amp;960,m_end,"&gt;"&amp;900))))))</f>
        <v/>
      </c>
      <c r="AY55" s="82" t="str">
        <f aca="false">IF(OR(AY$4="",MONTH(($G$2+25))&lt;&gt;MONTH($C$2)),"",IF(COUNTIFS(m_teacher,AY$4,m_date,($G$2+25),m_active,1,m_start,"&lt;"&amp;960,m_end,"&gt;"&amp;900)=0,"",IF(COUNTIFS(m_teacher,AY$4,m_date,($G$2+25),m_active,1,m_start,"&lt;"&amp;960,m_end,"&gt;"&amp;900)&gt;1,"충돌",HYPERLINK("#'관리자_MASTER'!D"&amp;_xlfn.MAXIFS(m_row,m_teacher,AY$4,m_date,($G$2+25),m_active,1,m_start,"&lt;"&amp;960,m_end,"&gt;"&amp;900),INDEX(m_label,_xlfn.MAXIFS(m_row,m_teacher,AY$4,m_date,($G$2+25),m_active,1,m_start,"&lt;"&amp;960,m_end,"&gt;"&amp;900))))))</f>
        <v/>
      </c>
      <c r="AZ55" s="82" t="str">
        <f aca="false">IF(OR(AZ$4="",MONTH(($G$2+25))&lt;&gt;MONTH($C$2)),"",IF(COUNTIFS(m_teacher,AZ$4,m_date,($G$2+25),m_active,1,m_start,"&lt;"&amp;960,m_end,"&gt;"&amp;900)=0,"",IF(COUNTIFS(m_teacher,AZ$4,m_date,($G$2+25),m_active,1,m_start,"&lt;"&amp;960,m_end,"&gt;"&amp;900)&gt;1,"충돌",HYPERLINK("#'관리자_MASTER'!D"&amp;_xlfn.MAXIFS(m_row,m_teacher,AZ$4,m_date,($G$2+25),m_active,1,m_start,"&lt;"&amp;960,m_end,"&gt;"&amp;900),INDEX(m_label,_xlfn.MAXIFS(m_row,m_teacher,AZ$4,m_date,($G$2+25),m_active,1,m_start,"&lt;"&amp;960,m_end,"&gt;"&amp;900))))))</f>
        <v/>
      </c>
      <c r="BA55" s="82" t="str">
        <f aca="false">IF(OR(BA$4="",MONTH(($G$2+25))&lt;&gt;MONTH($C$2)),"",IF(COUNTIFS(m_teacher,BA$4,m_date,($G$2+25),m_active,1,m_start,"&lt;"&amp;960,m_end,"&gt;"&amp;900)=0,"",IF(COUNTIFS(m_teacher,BA$4,m_date,($G$2+25),m_active,1,m_start,"&lt;"&amp;960,m_end,"&gt;"&amp;900)&gt;1,"충돌",HYPERLINK("#'관리자_MASTER'!D"&amp;_xlfn.MAXIFS(m_row,m_teacher,BA$4,m_date,($G$2+25),m_active,1,m_start,"&lt;"&amp;960,m_end,"&gt;"&amp;900),INDEX(m_label,_xlfn.MAXIFS(m_row,m_teacher,BA$4,m_date,($G$2+25),m_active,1,m_start,"&lt;"&amp;960,m_end,"&gt;"&amp;900))))))</f>
        <v/>
      </c>
      <c r="BB55" s="82" t="str">
        <f aca="false">IF(OR(BB$4="",MONTH(($G$2+25))&lt;&gt;MONTH($C$2)),"",IF(COUNTIFS(m_teacher,BB$4,m_date,($G$2+25),m_active,1,m_start,"&lt;"&amp;960,m_end,"&gt;"&amp;900)=0,"",IF(COUNTIFS(m_teacher,BB$4,m_date,($G$2+25),m_active,1,m_start,"&lt;"&amp;960,m_end,"&gt;"&amp;900)&gt;1,"충돌",HYPERLINK("#'관리자_MASTER'!D"&amp;_xlfn.MAXIFS(m_row,m_teacher,BB$4,m_date,($G$2+25),m_active,1,m_start,"&lt;"&amp;960,m_end,"&gt;"&amp;900),INDEX(m_label,_xlfn.MAXIFS(m_row,m_teacher,BB$4,m_date,($G$2+25),m_active,1,m_start,"&lt;"&amp;960,m_end,"&gt;"&amp;900))))))</f>
        <v/>
      </c>
      <c r="BC55" s="82" t="str">
        <f aca="false">IF(OR(BC$4="",MONTH(($G$2+25))&lt;&gt;MONTH($C$2)),"",IF(COUNTIFS(m_teacher,BC$4,m_date,($G$2+25),m_active,1,m_start,"&lt;"&amp;960,m_end,"&gt;"&amp;900)=0,"",IF(COUNTIFS(m_teacher,BC$4,m_date,($G$2+25),m_active,1,m_start,"&lt;"&amp;960,m_end,"&gt;"&amp;900)&gt;1,"충돌",HYPERLINK("#'관리자_MASTER'!D"&amp;_xlfn.MAXIFS(m_row,m_teacher,BC$4,m_date,($G$2+25),m_active,1,m_start,"&lt;"&amp;960,m_end,"&gt;"&amp;900),INDEX(m_label,_xlfn.MAXIFS(m_row,m_teacher,BC$4,m_date,($G$2+25),m_active,1,m_start,"&lt;"&amp;960,m_end,"&gt;"&amp;900))))))</f>
        <v/>
      </c>
      <c r="BD55" s="82" t="str">
        <f aca="false">IF(OR(BD$4="",MONTH(($G$2+25))&lt;&gt;MONTH($C$2)),"",IF(COUNTIFS(m_teacher,BD$4,m_date,($G$2+25),m_active,1,m_start,"&lt;"&amp;960,m_end,"&gt;"&amp;900)=0,"",IF(COUNTIFS(m_teacher,BD$4,m_date,($G$2+25),m_active,1,m_start,"&lt;"&amp;960,m_end,"&gt;"&amp;900)&gt;1,"충돌",HYPERLINK("#'관리자_MASTER'!D"&amp;_xlfn.MAXIFS(m_row,m_teacher,BD$4,m_date,($G$2+25),m_active,1,m_start,"&lt;"&amp;960,m_end,"&gt;"&amp;900),INDEX(m_label,_xlfn.MAXIFS(m_row,m_teacher,BD$4,m_date,($G$2+25),m_active,1,m_start,"&lt;"&amp;960,m_end,"&gt;"&amp;900))))))</f>
        <v/>
      </c>
      <c r="BE55" s="75"/>
      <c r="BF55" s="76" t="s">
        <v>97</v>
      </c>
      <c r="BG55" s="81" t="str">
        <f aca="false">IF(OR(BG$4="",MONTH(($G$2+32))&lt;&gt;MONTH($C$2)),"",IF(COUNTIFS(m_teacher,BG$4,m_date,($G$2+32),m_active,1,m_start,"&lt;"&amp;960,m_end,"&gt;"&amp;900)=0,"",IF(COUNTIFS(m_teacher,BG$4,m_date,($G$2+32),m_active,1,m_start,"&lt;"&amp;960,m_end,"&gt;"&amp;900)&gt;1,"충돌",HYPERLINK("#'관리자_MASTER'!D"&amp;_xlfn.MAXIFS(m_row,m_teacher,BG$4,m_date,($G$2+32),m_active,1,m_start,"&lt;"&amp;960,m_end,"&gt;"&amp;900),INDEX(m_label,_xlfn.MAXIFS(m_row,m_teacher,BG$4,m_date,($G$2+32),m_active,1,m_start,"&lt;"&amp;960,m_end,"&gt;"&amp;900))))))</f>
        <v/>
      </c>
      <c r="BH55" s="81" t="str">
        <f aca="false">IF(OR(BH$4="",MONTH(($G$2+32))&lt;&gt;MONTH($C$2)),"",IF(COUNTIFS(m_teacher,BH$4,m_date,($G$2+32),m_active,1,m_start,"&lt;"&amp;960,m_end,"&gt;"&amp;900)=0,"",IF(COUNTIFS(m_teacher,BH$4,m_date,($G$2+32),m_active,1,m_start,"&lt;"&amp;960,m_end,"&gt;"&amp;900)&gt;1,"충돌",HYPERLINK("#'관리자_MASTER'!D"&amp;_xlfn.MAXIFS(m_row,m_teacher,BH$4,m_date,($G$2+32),m_active,1,m_start,"&lt;"&amp;960,m_end,"&gt;"&amp;900),INDEX(m_label,_xlfn.MAXIFS(m_row,m_teacher,BH$4,m_date,($G$2+32),m_active,1,m_start,"&lt;"&amp;960,m_end,"&gt;"&amp;900))))))</f>
        <v/>
      </c>
      <c r="BI55" s="81" t="str">
        <f aca="false">IF(OR(BI$4="",MONTH(($G$2+32))&lt;&gt;MONTH($C$2)),"",IF(COUNTIFS(m_teacher,BI$4,m_date,($G$2+32),m_active,1,m_start,"&lt;"&amp;960,m_end,"&gt;"&amp;900)=0,"",IF(COUNTIFS(m_teacher,BI$4,m_date,($G$2+32),m_active,1,m_start,"&lt;"&amp;960,m_end,"&gt;"&amp;900)&gt;1,"충돌",HYPERLINK("#'관리자_MASTER'!D"&amp;_xlfn.MAXIFS(m_row,m_teacher,BI$4,m_date,($G$2+32),m_active,1,m_start,"&lt;"&amp;960,m_end,"&gt;"&amp;900),INDEX(m_label,_xlfn.MAXIFS(m_row,m_teacher,BI$4,m_date,($G$2+32),m_active,1,m_start,"&lt;"&amp;960,m_end,"&gt;"&amp;900))))))</f>
        <v/>
      </c>
      <c r="BJ55" s="81" t="str">
        <f aca="false">IF(OR(BJ$4="",MONTH(($G$2+32))&lt;&gt;MONTH($C$2)),"",IF(COUNTIFS(m_teacher,BJ$4,m_date,($G$2+32),m_active,1,m_start,"&lt;"&amp;960,m_end,"&gt;"&amp;900)=0,"",IF(COUNTIFS(m_teacher,BJ$4,m_date,($G$2+32),m_active,1,m_start,"&lt;"&amp;960,m_end,"&gt;"&amp;900)&gt;1,"충돌",HYPERLINK("#'관리자_MASTER'!D"&amp;_xlfn.MAXIFS(m_row,m_teacher,BJ$4,m_date,($G$2+32),m_active,1,m_start,"&lt;"&amp;960,m_end,"&gt;"&amp;900),INDEX(m_label,_xlfn.MAXIFS(m_row,m_teacher,BJ$4,m_date,($G$2+32),m_active,1,m_start,"&lt;"&amp;960,m_end,"&gt;"&amp;900))))))</f>
        <v/>
      </c>
      <c r="BK55" s="81" t="str">
        <f aca="false">IF(OR(BK$4="",MONTH(($G$2+32))&lt;&gt;MONTH($C$2)),"",IF(COUNTIFS(m_teacher,BK$4,m_date,($G$2+32),m_active,1,m_start,"&lt;"&amp;960,m_end,"&gt;"&amp;900)=0,"",IF(COUNTIFS(m_teacher,BK$4,m_date,($G$2+32),m_active,1,m_start,"&lt;"&amp;960,m_end,"&gt;"&amp;900)&gt;1,"충돌",HYPERLINK("#'관리자_MASTER'!D"&amp;_xlfn.MAXIFS(m_row,m_teacher,BK$4,m_date,($G$2+32),m_active,1,m_start,"&lt;"&amp;960,m_end,"&gt;"&amp;900),INDEX(m_label,_xlfn.MAXIFS(m_row,m_teacher,BK$4,m_date,($G$2+32),m_active,1,m_start,"&lt;"&amp;960,m_end,"&gt;"&amp;900))))))</f>
        <v/>
      </c>
      <c r="BL55" s="81" t="str">
        <f aca="false">IF(OR(BL$4="",MONTH(($G$2+32))&lt;&gt;MONTH($C$2)),"",IF(COUNTIFS(m_teacher,BL$4,m_date,($G$2+32),m_active,1,m_start,"&lt;"&amp;960,m_end,"&gt;"&amp;900)=0,"",IF(COUNTIFS(m_teacher,BL$4,m_date,($G$2+32),m_active,1,m_start,"&lt;"&amp;960,m_end,"&gt;"&amp;900)&gt;1,"충돌",HYPERLINK("#'관리자_MASTER'!D"&amp;_xlfn.MAXIFS(m_row,m_teacher,BL$4,m_date,($G$2+32),m_active,1,m_start,"&lt;"&amp;960,m_end,"&gt;"&amp;900),INDEX(m_label,_xlfn.MAXIFS(m_row,m_teacher,BL$4,m_date,($G$2+32),m_active,1,m_start,"&lt;"&amp;960,m_end,"&gt;"&amp;900))))))</f>
        <v/>
      </c>
      <c r="BM55" s="81" t="str">
        <f aca="false">IF(OR(BM$4="",MONTH(($G$2+32))&lt;&gt;MONTH($C$2)),"",IF(COUNTIFS(m_teacher,BM$4,m_date,($G$2+32),m_active,1,m_start,"&lt;"&amp;960,m_end,"&gt;"&amp;900)=0,"",IF(COUNTIFS(m_teacher,BM$4,m_date,($G$2+32),m_active,1,m_start,"&lt;"&amp;960,m_end,"&gt;"&amp;900)&gt;1,"충돌",HYPERLINK("#'관리자_MASTER'!D"&amp;_xlfn.MAXIFS(m_row,m_teacher,BM$4,m_date,($G$2+32),m_active,1,m_start,"&lt;"&amp;960,m_end,"&gt;"&amp;900),INDEX(m_label,_xlfn.MAXIFS(m_row,m_teacher,BM$4,m_date,($G$2+32),m_active,1,m_start,"&lt;"&amp;960,m_end,"&gt;"&amp;900))))))</f>
        <v/>
      </c>
      <c r="BN55" s="81" t="str">
        <f aca="false">IF(OR(BN$4="",MONTH(($G$2+32))&lt;&gt;MONTH($C$2)),"",IF(COUNTIFS(m_teacher,BN$4,m_date,($G$2+32),m_active,1,m_start,"&lt;"&amp;960,m_end,"&gt;"&amp;900)=0,"",IF(COUNTIFS(m_teacher,BN$4,m_date,($G$2+32),m_active,1,m_start,"&lt;"&amp;960,m_end,"&gt;"&amp;900)&gt;1,"충돌",HYPERLINK("#'관리자_MASTER'!D"&amp;_xlfn.MAXIFS(m_row,m_teacher,BN$4,m_date,($G$2+32),m_active,1,m_start,"&lt;"&amp;960,m_end,"&gt;"&amp;900),INDEX(m_label,_xlfn.MAXIFS(m_row,m_teacher,BN$4,m_date,($G$2+32),m_active,1,m_start,"&lt;"&amp;960,m_end,"&gt;"&amp;900))))))</f>
        <v/>
      </c>
      <c r="BO55" s="81" t="str">
        <f aca="false">IF(OR(BO$4="",MONTH(($G$2+32))&lt;&gt;MONTH($C$2)),"",IF(COUNTIFS(m_teacher,BO$4,m_date,($G$2+32),m_active,1,m_start,"&lt;"&amp;960,m_end,"&gt;"&amp;900)=0,"",IF(COUNTIFS(m_teacher,BO$4,m_date,($G$2+32),m_active,1,m_start,"&lt;"&amp;960,m_end,"&gt;"&amp;900)&gt;1,"충돌",HYPERLINK("#'관리자_MASTER'!D"&amp;_xlfn.MAXIFS(m_row,m_teacher,BO$4,m_date,($G$2+32),m_active,1,m_start,"&lt;"&amp;960,m_end,"&gt;"&amp;900),INDEX(m_label,_xlfn.MAXIFS(m_row,m_teacher,BO$4,m_date,($G$2+32),m_active,1,m_start,"&lt;"&amp;960,m_end,"&gt;"&amp;900))))))</f>
        <v/>
      </c>
      <c r="BP55" s="81" t="str">
        <f aca="false">IF(OR(BP$4="",MONTH(($G$2+32))&lt;&gt;MONTH($C$2)),"",IF(COUNTIFS(m_teacher,BP$4,m_date,($G$2+32),m_active,1,m_start,"&lt;"&amp;960,m_end,"&gt;"&amp;900)=0,"",IF(COUNTIFS(m_teacher,BP$4,m_date,($G$2+32),m_active,1,m_start,"&lt;"&amp;960,m_end,"&gt;"&amp;900)&gt;1,"충돌",HYPERLINK("#'관리자_MASTER'!D"&amp;_xlfn.MAXIFS(m_row,m_teacher,BP$4,m_date,($G$2+32),m_active,1,m_start,"&lt;"&amp;960,m_end,"&gt;"&amp;900),INDEX(m_label,_xlfn.MAXIFS(m_row,m_teacher,BP$4,m_date,($G$2+32),m_active,1,m_start,"&lt;"&amp;960,m_end,"&gt;"&amp;900))))))</f>
        <v/>
      </c>
      <c r="BQ55" s="81" t="str">
        <f aca="false">IF(OR(BQ$4="",MONTH(($G$2+32))&lt;&gt;MONTH($C$2)),"",IF(COUNTIFS(m_teacher,BQ$4,m_date,($G$2+32),m_active,1,m_start,"&lt;"&amp;960,m_end,"&gt;"&amp;900)=0,"",IF(COUNTIFS(m_teacher,BQ$4,m_date,($G$2+32),m_active,1,m_start,"&lt;"&amp;960,m_end,"&gt;"&amp;900)&gt;1,"충돌",HYPERLINK("#'관리자_MASTER'!D"&amp;_xlfn.MAXIFS(m_row,m_teacher,BQ$4,m_date,($G$2+32),m_active,1,m_start,"&lt;"&amp;960,m_end,"&gt;"&amp;900),INDEX(m_label,_xlfn.MAXIFS(m_row,m_teacher,BQ$4,m_date,($G$2+32),m_active,1,m_start,"&lt;"&amp;960,m_end,"&gt;"&amp;900))))))</f>
        <v/>
      </c>
      <c r="BR55" s="81" t="str">
        <f aca="false">IF(OR(BR$4="",MONTH(($G$2+32))&lt;&gt;MONTH($C$2)),"",IF(COUNTIFS(m_teacher,BR$4,m_date,($G$2+32),m_active,1,m_start,"&lt;"&amp;960,m_end,"&gt;"&amp;900)=0,"",IF(COUNTIFS(m_teacher,BR$4,m_date,($G$2+32),m_active,1,m_start,"&lt;"&amp;960,m_end,"&gt;"&amp;900)&gt;1,"충돌",HYPERLINK("#'관리자_MASTER'!D"&amp;_xlfn.MAXIFS(m_row,m_teacher,BR$4,m_date,($G$2+32),m_active,1,m_start,"&lt;"&amp;960,m_end,"&gt;"&amp;900),INDEX(m_label,_xlfn.MAXIFS(m_row,m_teacher,BR$4,m_date,($G$2+32),m_active,1,m_start,"&lt;"&amp;960,m_end,"&gt;"&amp;900))))))</f>
        <v/>
      </c>
    </row>
    <row r="56" customFormat="false" ht="19.5" hidden="false" customHeight="true" outlineLevel="0" collapsed="false">
      <c r="A56" s="78"/>
      <c r="B56" s="79" t="s">
        <v>98</v>
      </c>
      <c r="C56" s="82" t="str">
        <f aca="false">IF(OR(C$4="",MONTH(($G$2+4))&lt;&gt;MONTH($C$2)),"",IF(COUNTIFS(m_teacher,C$4,m_date,($G$2+4),m_active,1,m_start,"&lt;"&amp;1020,m_end,"&gt;"&amp;960)=0,"",IF(COUNTIFS(m_teacher,C$4,m_date,($G$2+4),m_active,1,m_start,"&lt;"&amp;1020,m_end,"&gt;"&amp;960)&gt;1,"충돌",HYPERLINK("#'관리자_MASTER'!D"&amp;_xlfn.MAXIFS(m_row,m_teacher,C$4,m_date,($G$2+4),m_active,1,m_start,"&lt;"&amp;1020,m_end,"&gt;"&amp;960),INDEX(m_label,_xlfn.MAXIFS(m_row,m_teacher,C$4,m_date,($G$2+4),m_active,1,m_start,"&lt;"&amp;1020,m_end,"&gt;"&amp;960))))))</f>
        <v/>
      </c>
      <c r="D56" s="82" t="str">
        <f aca="false">IF(OR(D$4="",MONTH(($G$2+4))&lt;&gt;MONTH($C$2)),"",IF(COUNTIFS(m_teacher,D$4,m_date,($G$2+4),m_active,1,m_start,"&lt;"&amp;1020,m_end,"&gt;"&amp;960)=0,"",IF(COUNTIFS(m_teacher,D$4,m_date,($G$2+4),m_active,1,m_start,"&lt;"&amp;1020,m_end,"&gt;"&amp;960)&gt;1,"충돌",HYPERLINK("#'관리자_MASTER'!D"&amp;_xlfn.MAXIFS(m_row,m_teacher,D$4,m_date,($G$2+4),m_active,1,m_start,"&lt;"&amp;1020,m_end,"&gt;"&amp;960),INDEX(m_label,_xlfn.MAXIFS(m_row,m_teacher,D$4,m_date,($G$2+4),m_active,1,m_start,"&lt;"&amp;1020,m_end,"&gt;"&amp;960))))))</f>
        <v/>
      </c>
      <c r="E56" s="82" t="str">
        <f aca="false">IF(OR(E$4="",MONTH(($G$2+4))&lt;&gt;MONTH($C$2)),"",IF(COUNTIFS(m_teacher,E$4,m_date,($G$2+4),m_active,1,m_start,"&lt;"&amp;1020,m_end,"&gt;"&amp;960)=0,"",IF(COUNTIFS(m_teacher,E$4,m_date,($G$2+4),m_active,1,m_start,"&lt;"&amp;1020,m_end,"&gt;"&amp;960)&gt;1,"충돌",HYPERLINK("#'관리자_MASTER'!D"&amp;_xlfn.MAXIFS(m_row,m_teacher,E$4,m_date,($G$2+4),m_active,1,m_start,"&lt;"&amp;1020,m_end,"&gt;"&amp;960),INDEX(m_label,_xlfn.MAXIFS(m_row,m_teacher,E$4,m_date,($G$2+4),m_active,1,m_start,"&lt;"&amp;1020,m_end,"&gt;"&amp;960))))))</f>
        <v/>
      </c>
      <c r="F56" s="82" t="str">
        <f aca="false">IF(OR(F$4="",MONTH(($G$2+4))&lt;&gt;MONTH($C$2)),"",IF(COUNTIFS(m_teacher,F$4,m_date,($G$2+4),m_active,1,m_start,"&lt;"&amp;1020,m_end,"&gt;"&amp;960)=0,"",IF(COUNTIFS(m_teacher,F$4,m_date,($G$2+4),m_active,1,m_start,"&lt;"&amp;1020,m_end,"&gt;"&amp;960)&gt;1,"충돌",HYPERLINK("#'관리자_MASTER'!D"&amp;_xlfn.MAXIFS(m_row,m_teacher,F$4,m_date,($G$2+4),m_active,1,m_start,"&lt;"&amp;1020,m_end,"&gt;"&amp;960),INDEX(m_label,_xlfn.MAXIFS(m_row,m_teacher,F$4,m_date,($G$2+4),m_active,1,m_start,"&lt;"&amp;1020,m_end,"&gt;"&amp;960))))))</f>
        <v/>
      </c>
      <c r="G56" s="82" t="str">
        <f aca="false">IF(OR(G$4="",MONTH(($G$2+4))&lt;&gt;MONTH($C$2)),"",IF(COUNTIFS(m_teacher,G$4,m_date,($G$2+4),m_active,1,m_start,"&lt;"&amp;1020,m_end,"&gt;"&amp;960)=0,"",IF(COUNTIFS(m_teacher,G$4,m_date,($G$2+4),m_active,1,m_start,"&lt;"&amp;1020,m_end,"&gt;"&amp;960)&gt;1,"충돌",HYPERLINK("#'관리자_MASTER'!D"&amp;_xlfn.MAXIFS(m_row,m_teacher,G$4,m_date,($G$2+4),m_active,1,m_start,"&lt;"&amp;1020,m_end,"&gt;"&amp;960),INDEX(m_label,_xlfn.MAXIFS(m_row,m_teacher,G$4,m_date,($G$2+4),m_active,1,m_start,"&lt;"&amp;1020,m_end,"&gt;"&amp;960))))))</f>
        <v/>
      </c>
      <c r="H56" s="82" t="str">
        <f aca="false">IF(OR(H$4="",MONTH(($G$2+4))&lt;&gt;MONTH($C$2)),"",IF(COUNTIFS(m_teacher,H$4,m_date,($G$2+4),m_active,1,m_start,"&lt;"&amp;1020,m_end,"&gt;"&amp;960)=0,"",IF(COUNTIFS(m_teacher,H$4,m_date,($G$2+4),m_active,1,m_start,"&lt;"&amp;1020,m_end,"&gt;"&amp;960)&gt;1,"충돌",HYPERLINK("#'관리자_MASTER'!D"&amp;_xlfn.MAXIFS(m_row,m_teacher,H$4,m_date,($G$2+4),m_active,1,m_start,"&lt;"&amp;1020,m_end,"&gt;"&amp;960),INDEX(m_label,_xlfn.MAXIFS(m_row,m_teacher,H$4,m_date,($G$2+4),m_active,1,m_start,"&lt;"&amp;1020,m_end,"&gt;"&amp;960))))))</f>
        <v/>
      </c>
      <c r="I56" s="82" t="str">
        <f aca="false">IF(OR(I$4="",MONTH(($G$2+4))&lt;&gt;MONTH($C$2)),"",IF(COUNTIFS(m_teacher,I$4,m_date,($G$2+4),m_active,1,m_start,"&lt;"&amp;1020,m_end,"&gt;"&amp;960)=0,"",IF(COUNTIFS(m_teacher,I$4,m_date,($G$2+4),m_active,1,m_start,"&lt;"&amp;1020,m_end,"&gt;"&amp;960)&gt;1,"충돌",HYPERLINK("#'관리자_MASTER'!D"&amp;_xlfn.MAXIFS(m_row,m_teacher,I$4,m_date,($G$2+4),m_active,1,m_start,"&lt;"&amp;1020,m_end,"&gt;"&amp;960),INDEX(m_label,_xlfn.MAXIFS(m_row,m_teacher,I$4,m_date,($G$2+4),m_active,1,m_start,"&lt;"&amp;1020,m_end,"&gt;"&amp;960))))))</f>
        <v/>
      </c>
      <c r="J56" s="82" t="str">
        <f aca="false">IF(OR(J$4="",MONTH(($G$2+4))&lt;&gt;MONTH($C$2)),"",IF(COUNTIFS(m_teacher,J$4,m_date,($G$2+4),m_active,1,m_start,"&lt;"&amp;1020,m_end,"&gt;"&amp;960)=0,"",IF(COUNTIFS(m_teacher,J$4,m_date,($G$2+4),m_active,1,m_start,"&lt;"&amp;1020,m_end,"&gt;"&amp;960)&gt;1,"충돌",HYPERLINK("#'관리자_MASTER'!D"&amp;_xlfn.MAXIFS(m_row,m_teacher,J$4,m_date,($G$2+4),m_active,1,m_start,"&lt;"&amp;1020,m_end,"&gt;"&amp;960),INDEX(m_label,_xlfn.MAXIFS(m_row,m_teacher,J$4,m_date,($G$2+4),m_active,1,m_start,"&lt;"&amp;1020,m_end,"&gt;"&amp;960))))))</f>
        <v/>
      </c>
      <c r="K56" s="82" t="str">
        <f aca="false">IF(OR(K$4="",MONTH(($G$2+4))&lt;&gt;MONTH($C$2)),"",IF(COUNTIFS(m_teacher,K$4,m_date,($G$2+4),m_active,1,m_start,"&lt;"&amp;1020,m_end,"&gt;"&amp;960)=0,"",IF(COUNTIFS(m_teacher,K$4,m_date,($G$2+4),m_active,1,m_start,"&lt;"&amp;1020,m_end,"&gt;"&amp;960)&gt;1,"충돌",HYPERLINK("#'관리자_MASTER'!D"&amp;_xlfn.MAXIFS(m_row,m_teacher,K$4,m_date,($G$2+4),m_active,1,m_start,"&lt;"&amp;1020,m_end,"&gt;"&amp;960),INDEX(m_label,_xlfn.MAXIFS(m_row,m_teacher,K$4,m_date,($G$2+4),m_active,1,m_start,"&lt;"&amp;1020,m_end,"&gt;"&amp;960))))))</f>
        <v/>
      </c>
      <c r="L56" s="82" t="str">
        <f aca="false">IF(OR(L$4="",MONTH(($G$2+4))&lt;&gt;MONTH($C$2)),"",IF(COUNTIFS(m_teacher,L$4,m_date,($G$2+4),m_active,1,m_start,"&lt;"&amp;1020,m_end,"&gt;"&amp;960)=0,"",IF(COUNTIFS(m_teacher,L$4,m_date,($G$2+4),m_active,1,m_start,"&lt;"&amp;1020,m_end,"&gt;"&amp;960)&gt;1,"충돌",HYPERLINK("#'관리자_MASTER'!D"&amp;_xlfn.MAXIFS(m_row,m_teacher,L$4,m_date,($G$2+4),m_active,1,m_start,"&lt;"&amp;1020,m_end,"&gt;"&amp;960),INDEX(m_label,_xlfn.MAXIFS(m_row,m_teacher,L$4,m_date,($G$2+4),m_active,1,m_start,"&lt;"&amp;1020,m_end,"&gt;"&amp;960))))))</f>
        <v/>
      </c>
      <c r="M56" s="82" t="str">
        <f aca="false">IF(OR(M$4="",MONTH(($G$2+4))&lt;&gt;MONTH($C$2)),"",IF(COUNTIFS(m_teacher,M$4,m_date,($G$2+4),m_active,1,m_start,"&lt;"&amp;1020,m_end,"&gt;"&amp;960)=0,"",IF(COUNTIFS(m_teacher,M$4,m_date,($G$2+4),m_active,1,m_start,"&lt;"&amp;1020,m_end,"&gt;"&amp;960)&gt;1,"충돌",HYPERLINK("#'관리자_MASTER'!D"&amp;_xlfn.MAXIFS(m_row,m_teacher,M$4,m_date,($G$2+4),m_active,1,m_start,"&lt;"&amp;1020,m_end,"&gt;"&amp;960),INDEX(m_label,_xlfn.MAXIFS(m_row,m_teacher,M$4,m_date,($G$2+4),m_active,1,m_start,"&lt;"&amp;1020,m_end,"&gt;"&amp;960))))))</f>
        <v/>
      </c>
      <c r="N56" s="82" t="str">
        <f aca="false">IF(OR(N$4="",MONTH(($G$2+4))&lt;&gt;MONTH($C$2)),"",IF(COUNTIFS(m_teacher,N$4,m_date,($G$2+4),m_active,1,m_start,"&lt;"&amp;1020,m_end,"&gt;"&amp;960)=0,"",IF(COUNTIFS(m_teacher,N$4,m_date,($G$2+4),m_active,1,m_start,"&lt;"&amp;1020,m_end,"&gt;"&amp;960)&gt;1,"충돌",HYPERLINK("#'관리자_MASTER'!D"&amp;_xlfn.MAXIFS(m_row,m_teacher,N$4,m_date,($G$2+4),m_active,1,m_start,"&lt;"&amp;1020,m_end,"&gt;"&amp;960),INDEX(m_label,_xlfn.MAXIFS(m_row,m_teacher,N$4,m_date,($G$2+4),m_active,1,m_start,"&lt;"&amp;1020,m_end,"&gt;"&amp;960))))))</f>
        <v/>
      </c>
      <c r="O56" s="78"/>
      <c r="P56" s="79" t="s">
        <v>98</v>
      </c>
      <c r="Q56" s="82" t="str">
        <f aca="false">IF(OR(Q$4="",MONTH(($G$2+11))&lt;&gt;MONTH($C$2)),"",IF(COUNTIFS(m_teacher,Q$4,m_date,($G$2+11),m_active,1,m_start,"&lt;"&amp;1020,m_end,"&gt;"&amp;960)=0,"",IF(COUNTIFS(m_teacher,Q$4,m_date,($G$2+11),m_active,1,m_start,"&lt;"&amp;1020,m_end,"&gt;"&amp;960)&gt;1,"충돌",HYPERLINK("#'관리자_MASTER'!D"&amp;_xlfn.MAXIFS(m_row,m_teacher,Q$4,m_date,($G$2+11),m_active,1,m_start,"&lt;"&amp;1020,m_end,"&gt;"&amp;960),INDEX(m_label,_xlfn.MAXIFS(m_row,m_teacher,Q$4,m_date,($G$2+11),m_active,1,m_start,"&lt;"&amp;1020,m_end,"&gt;"&amp;960))))))</f>
        <v/>
      </c>
      <c r="R56" s="82" t="str">
        <f aca="false">IF(OR(R$4="",MONTH(($G$2+11))&lt;&gt;MONTH($C$2)),"",IF(COUNTIFS(m_teacher,R$4,m_date,($G$2+11),m_active,1,m_start,"&lt;"&amp;1020,m_end,"&gt;"&amp;960)=0,"",IF(COUNTIFS(m_teacher,R$4,m_date,($G$2+11),m_active,1,m_start,"&lt;"&amp;1020,m_end,"&gt;"&amp;960)&gt;1,"충돌",HYPERLINK("#'관리자_MASTER'!D"&amp;_xlfn.MAXIFS(m_row,m_teacher,R$4,m_date,($G$2+11),m_active,1,m_start,"&lt;"&amp;1020,m_end,"&gt;"&amp;960),INDEX(m_label,_xlfn.MAXIFS(m_row,m_teacher,R$4,m_date,($G$2+11),m_active,1,m_start,"&lt;"&amp;1020,m_end,"&gt;"&amp;960))))))</f>
        <v/>
      </c>
      <c r="S56" s="82" t="str">
        <f aca="false">IF(OR(S$4="",MONTH(($G$2+11))&lt;&gt;MONTH($C$2)),"",IF(COUNTIFS(m_teacher,S$4,m_date,($G$2+11),m_active,1,m_start,"&lt;"&amp;1020,m_end,"&gt;"&amp;960)=0,"",IF(COUNTIFS(m_teacher,S$4,m_date,($G$2+11),m_active,1,m_start,"&lt;"&amp;1020,m_end,"&gt;"&amp;960)&gt;1,"충돌",HYPERLINK("#'관리자_MASTER'!D"&amp;_xlfn.MAXIFS(m_row,m_teacher,S$4,m_date,($G$2+11),m_active,1,m_start,"&lt;"&amp;1020,m_end,"&gt;"&amp;960),INDEX(m_label,_xlfn.MAXIFS(m_row,m_teacher,S$4,m_date,($G$2+11),m_active,1,m_start,"&lt;"&amp;1020,m_end,"&gt;"&amp;960))))))</f>
        <v/>
      </c>
      <c r="T56" s="82" t="str">
        <f aca="false">IF(OR(T$4="",MONTH(($G$2+11))&lt;&gt;MONTH($C$2)),"",IF(COUNTIFS(m_teacher,T$4,m_date,($G$2+11),m_active,1,m_start,"&lt;"&amp;1020,m_end,"&gt;"&amp;960)=0,"",IF(COUNTIFS(m_teacher,T$4,m_date,($G$2+11),m_active,1,m_start,"&lt;"&amp;1020,m_end,"&gt;"&amp;960)&gt;1,"충돌",HYPERLINK("#'관리자_MASTER'!D"&amp;_xlfn.MAXIFS(m_row,m_teacher,T$4,m_date,($G$2+11),m_active,1,m_start,"&lt;"&amp;1020,m_end,"&gt;"&amp;960),INDEX(m_label,_xlfn.MAXIFS(m_row,m_teacher,T$4,m_date,($G$2+11),m_active,1,m_start,"&lt;"&amp;1020,m_end,"&gt;"&amp;960))))))</f>
        <v/>
      </c>
      <c r="U56" s="82" t="str">
        <f aca="false">IF(OR(U$4="",MONTH(($G$2+11))&lt;&gt;MONTH($C$2)),"",IF(COUNTIFS(m_teacher,U$4,m_date,($G$2+11),m_active,1,m_start,"&lt;"&amp;1020,m_end,"&gt;"&amp;960)=0,"",IF(COUNTIFS(m_teacher,U$4,m_date,($G$2+11),m_active,1,m_start,"&lt;"&amp;1020,m_end,"&gt;"&amp;960)&gt;1,"충돌",HYPERLINK("#'관리자_MASTER'!D"&amp;_xlfn.MAXIFS(m_row,m_teacher,U$4,m_date,($G$2+11),m_active,1,m_start,"&lt;"&amp;1020,m_end,"&gt;"&amp;960),INDEX(m_label,_xlfn.MAXIFS(m_row,m_teacher,U$4,m_date,($G$2+11),m_active,1,m_start,"&lt;"&amp;1020,m_end,"&gt;"&amp;960))))))</f>
        <v/>
      </c>
      <c r="V56" s="82" t="str">
        <f aca="false">IF(OR(V$4="",MONTH(($G$2+11))&lt;&gt;MONTH($C$2)),"",IF(COUNTIFS(m_teacher,V$4,m_date,($G$2+11),m_active,1,m_start,"&lt;"&amp;1020,m_end,"&gt;"&amp;960)=0,"",IF(COUNTIFS(m_teacher,V$4,m_date,($G$2+11),m_active,1,m_start,"&lt;"&amp;1020,m_end,"&gt;"&amp;960)&gt;1,"충돌",HYPERLINK("#'관리자_MASTER'!D"&amp;_xlfn.MAXIFS(m_row,m_teacher,V$4,m_date,($G$2+11),m_active,1,m_start,"&lt;"&amp;1020,m_end,"&gt;"&amp;960),INDEX(m_label,_xlfn.MAXIFS(m_row,m_teacher,V$4,m_date,($G$2+11),m_active,1,m_start,"&lt;"&amp;1020,m_end,"&gt;"&amp;960))))))</f>
        <v/>
      </c>
      <c r="W56" s="82" t="str">
        <f aca="false">IF(OR(W$4="",MONTH(($G$2+11))&lt;&gt;MONTH($C$2)),"",IF(COUNTIFS(m_teacher,W$4,m_date,($G$2+11),m_active,1,m_start,"&lt;"&amp;1020,m_end,"&gt;"&amp;960)=0,"",IF(COUNTIFS(m_teacher,W$4,m_date,($G$2+11),m_active,1,m_start,"&lt;"&amp;1020,m_end,"&gt;"&amp;960)&gt;1,"충돌",HYPERLINK("#'관리자_MASTER'!D"&amp;_xlfn.MAXIFS(m_row,m_teacher,W$4,m_date,($G$2+11),m_active,1,m_start,"&lt;"&amp;1020,m_end,"&gt;"&amp;960),INDEX(m_label,_xlfn.MAXIFS(m_row,m_teacher,W$4,m_date,($G$2+11),m_active,1,m_start,"&lt;"&amp;1020,m_end,"&gt;"&amp;960))))))</f>
        <v/>
      </c>
      <c r="X56" s="82" t="str">
        <f aca="false">IF(OR(X$4="",MONTH(($G$2+11))&lt;&gt;MONTH($C$2)),"",IF(COUNTIFS(m_teacher,X$4,m_date,($G$2+11),m_active,1,m_start,"&lt;"&amp;1020,m_end,"&gt;"&amp;960)=0,"",IF(COUNTIFS(m_teacher,X$4,m_date,($G$2+11),m_active,1,m_start,"&lt;"&amp;1020,m_end,"&gt;"&amp;960)&gt;1,"충돌",HYPERLINK("#'관리자_MASTER'!D"&amp;_xlfn.MAXIFS(m_row,m_teacher,X$4,m_date,($G$2+11),m_active,1,m_start,"&lt;"&amp;1020,m_end,"&gt;"&amp;960),INDEX(m_label,_xlfn.MAXIFS(m_row,m_teacher,X$4,m_date,($G$2+11),m_active,1,m_start,"&lt;"&amp;1020,m_end,"&gt;"&amp;960))))))</f>
        <v/>
      </c>
      <c r="Y56" s="82" t="str">
        <f aca="false">IF(OR(Y$4="",MONTH(($G$2+11))&lt;&gt;MONTH($C$2)),"",IF(COUNTIFS(m_teacher,Y$4,m_date,($G$2+11),m_active,1,m_start,"&lt;"&amp;1020,m_end,"&gt;"&amp;960)=0,"",IF(COUNTIFS(m_teacher,Y$4,m_date,($G$2+11),m_active,1,m_start,"&lt;"&amp;1020,m_end,"&gt;"&amp;960)&gt;1,"충돌",HYPERLINK("#'관리자_MASTER'!D"&amp;_xlfn.MAXIFS(m_row,m_teacher,Y$4,m_date,($G$2+11),m_active,1,m_start,"&lt;"&amp;1020,m_end,"&gt;"&amp;960),INDEX(m_label,_xlfn.MAXIFS(m_row,m_teacher,Y$4,m_date,($G$2+11),m_active,1,m_start,"&lt;"&amp;1020,m_end,"&gt;"&amp;960))))))</f>
        <v/>
      </c>
      <c r="Z56" s="82" t="str">
        <f aca="false">IF(OR(Z$4="",MONTH(($G$2+11))&lt;&gt;MONTH($C$2)),"",IF(COUNTIFS(m_teacher,Z$4,m_date,($G$2+11),m_active,1,m_start,"&lt;"&amp;1020,m_end,"&gt;"&amp;960)=0,"",IF(COUNTIFS(m_teacher,Z$4,m_date,($G$2+11),m_active,1,m_start,"&lt;"&amp;1020,m_end,"&gt;"&amp;960)&gt;1,"충돌",HYPERLINK("#'관리자_MASTER'!D"&amp;_xlfn.MAXIFS(m_row,m_teacher,Z$4,m_date,($G$2+11),m_active,1,m_start,"&lt;"&amp;1020,m_end,"&gt;"&amp;960),INDEX(m_label,_xlfn.MAXIFS(m_row,m_teacher,Z$4,m_date,($G$2+11),m_active,1,m_start,"&lt;"&amp;1020,m_end,"&gt;"&amp;960))))))</f>
        <v/>
      </c>
      <c r="AA56" s="82" t="str">
        <f aca="false">IF(OR(AA$4="",MONTH(($G$2+11))&lt;&gt;MONTH($C$2)),"",IF(COUNTIFS(m_teacher,AA$4,m_date,($G$2+11),m_active,1,m_start,"&lt;"&amp;1020,m_end,"&gt;"&amp;960)=0,"",IF(COUNTIFS(m_teacher,AA$4,m_date,($G$2+11),m_active,1,m_start,"&lt;"&amp;1020,m_end,"&gt;"&amp;960)&gt;1,"충돌",HYPERLINK("#'관리자_MASTER'!D"&amp;_xlfn.MAXIFS(m_row,m_teacher,AA$4,m_date,($G$2+11),m_active,1,m_start,"&lt;"&amp;1020,m_end,"&gt;"&amp;960),INDEX(m_label,_xlfn.MAXIFS(m_row,m_teacher,AA$4,m_date,($G$2+11),m_active,1,m_start,"&lt;"&amp;1020,m_end,"&gt;"&amp;960))))))</f>
        <v/>
      </c>
      <c r="AB56" s="82" t="str">
        <f aca="false">IF(OR(AB$4="",MONTH(($G$2+11))&lt;&gt;MONTH($C$2)),"",IF(COUNTIFS(m_teacher,AB$4,m_date,($G$2+11),m_active,1,m_start,"&lt;"&amp;1020,m_end,"&gt;"&amp;960)=0,"",IF(COUNTIFS(m_teacher,AB$4,m_date,($G$2+11),m_active,1,m_start,"&lt;"&amp;1020,m_end,"&gt;"&amp;960)&gt;1,"충돌",HYPERLINK("#'관리자_MASTER'!D"&amp;_xlfn.MAXIFS(m_row,m_teacher,AB$4,m_date,($G$2+11),m_active,1,m_start,"&lt;"&amp;1020,m_end,"&gt;"&amp;960),INDEX(m_label,_xlfn.MAXIFS(m_row,m_teacher,AB$4,m_date,($G$2+11),m_active,1,m_start,"&lt;"&amp;1020,m_end,"&gt;"&amp;960))))))</f>
        <v/>
      </c>
      <c r="AC56" s="78"/>
      <c r="AD56" s="79" t="s">
        <v>98</v>
      </c>
      <c r="AE56" s="82" t="str">
        <f aca="false">IF(OR(AE$4="",MONTH(($G$2+18))&lt;&gt;MONTH($C$2)),"",IF(COUNTIFS(m_teacher,AE$4,m_date,($G$2+18),m_active,1,m_start,"&lt;"&amp;1020,m_end,"&gt;"&amp;960)=0,"",IF(COUNTIFS(m_teacher,AE$4,m_date,($G$2+18),m_active,1,m_start,"&lt;"&amp;1020,m_end,"&gt;"&amp;960)&gt;1,"충돌",HYPERLINK("#'관리자_MASTER'!D"&amp;_xlfn.MAXIFS(m_row,m_teacher,AE$4,m_date,($G$2+18),m_active,1,m_start,"&lt;"&amp;1020,m_end,"&gt;"&amp;960),INDEX(m_label,_xlfn.MAXIFS(m_row,m_teacher,AE$4,m_date,($G$2+18),m_active,1,m_start,"&lt;"&amp;1020,m_end,"&gt;"&amp;960))))))</f>
        <v/>
      </c>
      <c r="AF56" s="82" t="str">
        <f aca="false">IF(OR(AF$4="",MONTH(($G$2+18))&lt;&gt;MONTH($C$2)),"",IF(COUNTIFS(m_teacher,AF$4,m_date,($G$2+18),m_active,1,m_start,"&lt;"&amp;1020,m_end,"&gt;"&amp;960)=0,"",IF(COUNTIFS(m_teacher,AF$4,m_date,($G$2+18),m_active,1,m_start,"&lt;"&amp;1020,m_end,"&gt;"&amp;960)&gt;1,"충돌",HYPERLINK("#'관리자_MASTER'!D"&amp;_xlfn.MAXIFS(m_row,m_teacher,AF$4,m_date,($G$2+18),m_active,1,m_start,"&lt;"&amp;1020,m_end,"&gt;"&amp;960),INDEX(m_label,_xlfn.MAXIFS(m_row,m_teacher,AF$4,m_date,($G$2+18),m_active,1,m_start,"&lt;"&amp;1020,m_end,"&gt;"&amp;960))))))</f>
        <v/>
      </c>
      <c r="AG56" s="82" t="str">
        <f aca="false">IF(OR(AG$4="",MONTH(($G$2+18))&lt;&gt;MONTH($C$2)),"",IF(COUNTIFS(m_teacher,AG$4,m_date,($G$2+18),m_active,1,m_start,"&lt;"&amp;1020,m_end,"&gt;"&amp;960)=0,"",IF(COUNTIFS(m_teacher,AG$4,m_date,($G$2+18),m_active,1,m_start,"&lt;"&amp;1020,m_end,"&gt;"&amp;960)&gt;1,"충돌",HYPERLINK("#'관리자_MASTER'!D"&amp;_xlfn.MAXIFS(m_row,m_teacher,AG$4,m_date,($G$2+18),m_active,1,m_start,"&lt;"&amp;1020,m_end,"&gt;"&amp;960),INDEX(m_label,_xlfn.MAXIFS(m_row,m_teacher,AG$4,m_date,($G$2+18),m_active,1,m_start,"&lt;"&amp;1020,m_end,"&gt;"&amp;960))))))</f>
        <v/>
      </c>
      <c r="AH56" s="82" t="str">
        <f aca="false">IF(OR(AH$4="",MONTH(($G$2+18))&lt;&gt;MONTH($C$2)),"",IF(COUNTIFS(m_teacher,AH$4,m_date,($G$2+18),m_active,1,m_start,"&lt;"&amp;1020,m_end,"&gt;"&amp;960)=0,"",IF(COUNTIFS(m_teacher,AH$4,m_date,($G$2+18),m_active,1,m_start,"&lt;"&amp;1020,m_end,"&gt;"&amp;960)&gt;1,"충돌",HYPERLINK("#'관리자_MASTER'!D"&amp;_xlfn.MAXIFS(m_row,m_teacher,AH$4,m_date,($G$2+18),m_active,1,m_start,"&lt;"&amp;1020,m_end,"&gt;"&amp;960),INDEX(m_label,_xlfn.MAXIFS(m_row,m_teacher,AH$4,m_date,($G$2+18),m_active,1,m_start,"&lt;"&amp;1020,m_end,"&gt;"&amp;960))))))</f>
        <v/>
      </c>
      <c r="AI56" s="82" t="str">
        <f aca="false">IF(OR(AI$4="",MONTH(($G$2+18))&lt;&gt;MONTH($C$2)),"",IF(COUNTIFS(m_teacher,AI$4,m_date,($G$2+18),m_active,1,m_start,"&lt;"&amp;1020,m_end,"&gt;"&amp;960)=0,"",IF(COUNTIFS(m_teacher,AI$4,m_date,($G$2+18),m_active,1,m_start,"&lt;"&amp;1020,m_end,"&gt;"&amp;960)&gt;1,"충돌",HYPERLINK("#'관리자_MASTER'!D"&amp;_xlfn.MAXIFS(m_row,m_teacher,AI$4,m_date,($G$2+18),m_active,1,m_start,"&lt;"&amp;1020,m_end,"&gt;"&amp;960),INDEX(m_label,_xlfn.MAXIFS(m_row,m_teacher,AI$4,m_date,($G$2+18),m_active,1,m_start,"&lt;"&amp;1020,m_end,"&gt;"&amp;960))))))</f>
        <v/>
      </c>
      <c r="AJ56" s="82" t="str">
        <f aca="false">IF(OR(AJ$4="",MONTH(($G$2+18))&lt;&gt;MONTH($C$2)),"",IF(COUNTIFS(m_teacher,AJ$4,m_date,($G$2+18),m_active,1,m_start,"&lt;"&amp;1020,m_end,"&gt;"&amp;960)=0,"",IF(COUNTIFS(m_teacher,AJ$4,m_date,($G$2+18),m_active,1,m_start,"&lt;"&amp;1020,m_end,"&gt;"&amp;960)&gt;1,"충돌",HYPERLINK("#'관리자_MASTER'!D"&amp;_xlfn.MAXIFS(m_row,m_teacher,AJ$4,m_date,($G$2+18),m_active,1,m_start,"&lt;"&amp;1020,m_end,"&gt;"&amp;960),INDEX(m_label,_xlfn.MAXIFS(m_row,m_teacher,AJ$4,m_date,($G$2+18),m_active,1,m_start,"&lt;"&amp;1020,m_end,"&gt;"&amp;960))))))</f>
        <v/>
      </c>
      <c r="AK56" s="82" t="str">
        <f aca="false">IF(OR(AK$4="",MONTH(($G$2+18))&lt;&gt;MONTH($C$2)),"",IF(COUNTIFS(m_teacher,AK$4,m_date,($G$2+18),m_active,1,m_start,"&lt;"&amp;1020,m_end,"&gt;"&amp;960)=0,"",IF(COUNTIFS(m_teacher,AK$4,m_date,($G$2+18),m_active,1,m_start,"&lt;"&amp;1020,m_end,"&gt;"&amp;960)&gt;1,"충돌",HYPERLINK("#'관리자_MASTER'!D"&amp;_xlfn.MAXIFS(m_row,m_teacher,AK$4,m_date,($G$2+18),m_active,1,m_start,"&lt;"&amp;1020,m_end,"&gt;"&amp;960),INDEX(m_label,_xlfn.MAXIFS(m_row,m_teacher,AK$4,m_date,($G$2+18),m_active,1,m_start,"&lt;"&amp;1020,m_end,"&gt;"&amp;960))))))</f>
        <v/>
      </c>
      <c r="AL56" s="82" t="str">
        <f aca="false">IF(OR(AL$4="",MONTH(($G$2+18))&lt;&gt;MONTH($C$2)),"",IF(COUNTIFS(m_teacher,AL$4,m_date,($G$2+18),m_active,1,m_start,"&lt;"&amp;1020,m_end,"&gt;"&amp;960)=0,"",IF(COUNTIFS(m_teacher,AL$4,m_date,($G$2+18),m_active,1,m_start,"&lt;"&amp;1020,m_end,"&gt;"&amp;960)&gt;1,"충돌",HYPERLINK("#'관리자_MASTER'!D"&amp;_xlfn.MAXIFS(m_row,m_teacher,AL$4,m_date,($G$2+18),m_active,1,m_start,"&lt;"&amp;1020,m_end,"&gt;"&amp;960),INDEX(m_label,_xlfn.MAXIFS(m_row,m_teacher,AL$4,m_date,($G$2+18),m_active,1,m_start,"&lt;"&amp;1020,m_end,"&gt;"&amp;960))))))</f>
        <v/>
      </c>
      <c r="AM56" s="82" t="str">
        <f aca="false">IF(OR(AM$4="",MONTH(($G$2+18))&lt;&gt;MONTH($C$2)),"",IF(COUNTIFS(m_teacher,AM$4,m_date,($G$2+18),m_active,1,m_start,"&lt;"&amp;1020,m_end,"&gt;"&amp;960)=0,"",IF(COUNTIFS(m_teacher,AM$4,m_date,($G$2+18),m_active,1,m_start,"&lt;"&amp;1020,m_end,"&gt;"&amp;960)&gt;1,"충돌",HYPERLINK("#'관리자_MASTER'!D"&amp;_xlfn.MAXIFS(m_row,m_teacher,AM$4,m_date,($G$2+18),m_active,1,m_start,"&lt;"&amp;1020,m_end,"&gt;"&amp;960),INDEX(m_label,_xlfn.MAXIFS(m_row,m_teacher,AM$4,m_date,($G$2+18),m_active,1,m_start,"&lt;"&amp;1020,m_end,"&gt;"&amp;960))))))</f>
        <v/>
      </c>
      <c r="AN56" s="82" t="str">
        <f aca="false">IF(OR(AN$4="",MONTH(($G$2+18))&lt;&gt;MONTH($C$2)),"",IF(COUNTIFS(m_teacher,AN$4,m_date,($G$2+18),m_active,1,m_start,"&lt;"&amp;1020,m_end,"&gt;"&amp;960)=0,"",IF(COUNTIFS(m_teacher,AN$4,m_date,($G$2+18),m_active,1,m_start,"&lt;"&amp;1020,m_end,"&gt;"&amp;960)&gt;1,"충돌",HYPERLINK("#'관리자_MASTER'!D"&amp;_xlfn.MAXIFS(m_row,m_teacher,AN$4,m_date,($G$2+18),m_active,1,m_start,"&lt;"&amp;1020,m_end,"&gt;"&amp;960),INDEX(m_label,_xlfn.MAXIFS(m_row,m_teacher,AN$4,m_date,($G$2+18),m_active,1,m_start,"&lt;"&amp;1020,m_end,"&gt;"&amp;960))))))</f>
        <v/>
      </c>
      <c r="AO56" s="82" t="str">
        <f aca="false">IF(OR(AO$4="",MONTH(($G$2+18))&lt;&gt;MONTH($C$2)),"",IF(COUNTIFS(m_teacher,AO$4,m_date,($G$2+18),m_active,1,m_start,"&lt;"&amp;1020,m_end,"&gt;"&amp;960)=0,"",IF(COUNTIFS(m_teacher,AO$4,m_date,($G$2+18),m_active,1,m_start,"&lt;"&amp;1020,m_end,"&gt;"&amp;960)&gt;1,"충돌",HYPERLINK("#'관리자_MASTER'!D"&amp;_xlfn.MAXIFS(m_row,m_teacher,AO$4,m_date,($G$2+18),m_active,1,m_start,"&lt;"&amp;1020,m_end,"&gt;"&amp;960),INDEX(m_label,_xlfn.MAXIFS(m_row,m_teacher,AO$4,m_date,($G$2+18),m_active,1,m_start,"&lt;"&amp;1020,m_end,"&gt;"&amp;960))))))</f>
        <v/>
      </c>
      <c r="AP56" s="82" t="str">
        <f aca="false">IF(OR(AP$4="",MONTH(($G$2+18))&lt;&gt;MONTH($C$2)),"",IF(COUNTIFS(m_teacher,AP$4,m_date,($G$2+18),m_active,1,m_start,"&lt;"&amp;1020,m_end,"&gt;"&amp;960)=0,"",IF(COUNTIFS(m_teacher,AP$4,m_date,($G$2+18),m_active,1,m_start,"&lt;"&amp;1020,m_end,"&gt;"&amp;960)&gt;1,"충돌",HYPERLINK("#'관리자_MASTER'!D"&amp;_xlfn.MAXIFS(m_row,m_teacher,AP$4,m_date,($G$2+18),m_active,1,m_start,"&lt;"&amp;1020,m_end,"&gt;"&amp;960),INDEX(m_label,_xlfn.MAXIFS(m_row,m_teacher,AP$4,m_date,($G$2+18),m_active,1,m_start,"&lt;"&amp;1020,m_end,"&gt;"&amp;960))))))</f>
        <v/>
      </c>
      <c r="AQ56" s="78"/>
      <c r="AR56" s="79" t="s">
        <v>98</v>
      </c>
      <c r="AS56" s="82" t="str">
        <f aca="false">IF(OR(AS$4="",MONTH(($G$2+25))&lt;&gt;MONTH($C$2)),"",IF(COUNTIFS(m_teacher,AS$4,m_date,($G$2+25),m_active,1,m_start,"&lt;"&amp;1020,m_end,"&gt;"&amp;960)=0,"",IF(COUNTIFS(m_teacher,AS$4,m_date,($G$2+25),m_active,1,m_start,"&lt;"&amp;1020,m_end,"&gt;"&amp;960)&gt;1,"충돌",HYPERLINK("#'관리자_MASTER'!D"&amp;_xlfn.MAXIFS(m_row,m_teacher,AS$4,m_date,($G$2+25),m_active,1,m_start,"&lt;"&amp;1020,m_end,"&gt;"&amp;960),INDEX(m_label,_xlfn.MAXIFS(m_row,m_teacher,AS$4,m_date,($G$2+25),m_active,1,m_start,"&lt;"&amp;1020,m_end,"&gt;"&amp;960))))))</f>
        <v/>
      </c>
      <c r="AT56" s="82" t="str">
        <f aca="false">IF(OR(AT$4="",MONTH(($G$2+25))&lt;&gt;MONTH($C$2)),"",IF(COUNTIFS(m_teacher,AT$4,m_date,($G$2+25),m_active,1,m_start,"&lt;"&amp;1020,m_end,"&gt;"&amp;960)=0,"",IF(COUNTIFS(m_teacher,AT$4,m_date,($G$2+25),m_active,1,m_start,"&lt;"&amp;1020,m_end,"&gt;"&amp;960)&gt;1,"충돌",HYPERLINK("#'관리자_MASTER'!D"&amp;_xlfn.MAXIFS(m_row,m_teacher,AT$4,m_date,($G$2+25),m_active,1,m_start,"&lt;"&amp;1020,m_end,"&gt;"&amp;960),INDEX(m_label,_xlfn.MAXIFS(m_row,m_teacher,AT$4,m_date,($G$2+25),m_active,1,m_start,"&lt;"&amp;1020,m_end,"&gt;"&amp;960))))))</f>
        <v/>
      </c>
      <c r="AU56" s="82" t="str">
        <f aca="false">IF(OR(AU$4="",MONTH(($G$2+25))&lt;&gt;MONTH($C$2)),"",IF(COUNTIFS(m_teacher,AU$4,m_date,($G$2+25),m_active,1,m_start,"&lt;"&amp;1020,m_end,"&gt;"&amp;960)=0,"",IF(COUNTIFS(m_teacher,AU$4,m_date,($G$2+25),m_active,1,m_start,"&lt;"&amp;1020,m_end,"&gt;"&amp;960)&gt;1,"충돌",HYPERLINK("#'관리자_MASTER'!D"&amp;_xlfn.MAXIFS(m_row,m_teacher,AU$4,m_date,($G$2+25),m_active,1,m_start,"&lt;"&amp;1020,m_end,"&gt;"&amp;960),INDEX(m_label,_xlfn.MAXIFS(m_row,m_teacher,AU$4,m_date,($G$2+25),m_active,1,m_start,"&lt;"&amp;1020,m_end,"&gt;"&amp;960))))))</f>
        <v/>
      </c>
      <c r="AV56" s="82" t="str">
        <f aca="false">IF(OR(AV$4="",MONTH(($G$2+25))&lt;&gt;MONTH($C$2)),"",IF(COUNTIFS(m_teacher,AV$4,m_date,($G$2+25),m_active,1,m_start,"&lt;"&amp;1020,m_end,"&gt;"&amp;960)=0,"",IF(COUNTIFS(m_teacher,AV$4,m_date,($G$2+25),m_active,1,m_start,"&lt;"&amp;1020,m_end,"&gt;"&amp;960)&gt;1,"충돌",HYPERLINK("#'관리자_MASTER'!D"&amp;_xlfn.MAXIFS(m_row,m_teacher,AV$4,m_date,($G$2+25),m_active,1,m_start,"&lt;"&amp;1020,m_end,"&gt;"&amp;960),INDEX(m_label,_xlfn.MAXIFS(m_row,m_teacher,AV$4,m_date,($G$2+25),m_active,1,m_start,"&lt;"&amp;1020,m_end,"&gt;"&amp;960))))))</f>
        <v/>
      </c>
      <c r="AW56" s="82" t="str">
        <f aca="false">IF(OR(AW$4="",MONTH(($G$2+25))&lt;&gt;MONTH($C$2)),"",IF(COUNTIFS(m_teacher,AW$4,m_date,($G$2+25),m_active,1,m_start,"&lt;"&amp;1020,m_end,"&gt;"&amp;960)=0,"",IF(COUNTIFS(m_teacher,AW$4,m_date,($G$2+25),m_active,1,m_start,"&lt;"&amp;1020,m_end,"&gt;"&amp;960)&gt;1,"충돌",HYPERLINK("#'관리자_MASTER'!D"&amp;_xlfn.MAXIFS(m_row,m_teacher,AW$4,m_date,($G$2+25),m_active,1,m_start,"&lt;"&amp;1020,m_end,"&gt;"&amp;960),INDEX(m_label,_xlfn.MAXIFS(m_row,m_teacher,AW$4,m_date,($G$2+25),m_active,1,m_start,"&lt;"&amp;1020,m_end,"&gt;"&amp;960))))))</f>
        <v/>
      </c>
      <c r="AX56" s="82" t="str">
        <f aca="false">IF(OR(AX$4="",MONTH(($G$2+25))&lt;&gt;MONTH($C$2)),"",IF(COUNTIFS(m_teacher,AX$4,m_date,($G$2+25),m_active,1,m_start,"&lt;"&amp;1020,m_end,"&gt;"&amp;960)=0,"",IF(COUNTIFS(m_teacher,AX$4,m_date,($G$2+25),m_active,1,m_start,"&lt;"&amp;1020,m_end,"&gt;"&amp;960)&gt;1,"충돌",HYPERLINK("#'관리자_MASTER'!D"&amp;_xlfn.MAXIFS(m_row,m_teacher,AX$4,m_date,($G$2+25),m_active,1,m_start,"&lt;"&amp;1020,m_end,"&gt;"&amp;960),INDEX(m_label,_xlfn.MAXIFS(m_row,m_teacher,AX$4,m_date,($G$2+25),m_active,1,m_start,"&lt;"&amp;1020,m_end,"&gt;"&amp;960))))))</f>
        <v/>
      </c>
      <c r="AY56" s="82" t="str">
        <f aca="false">IF(OR(AY$4="",MONTH(($G$2+25))&lt;&gt;MONTH($C$2)),"",IF(COUNTIFS(m_teacher,AY$4,m_date,($G$2+25),m_active,1,m_start,"&lt;"&amp;1020,m_end,"&gt;"&amp;960)=0,"",IF(COUNTIFS(m_teacher,AY$4,m_date,($G$2+25),m_active,1,m_start,"&lt;"&amp;1020,m_end,"&gt;"&amp;960)&gt;1,"충돌",HYPERLINK("#'관리자_MASTER'!D"&amp;_xlfn.MAXIFS(m_row,m_teacher,AY$4,m_date,($G$2+25),m_active,1,m_start,"&lt;"&amp;1020,m_end,"&gt;"&amp;960),INDEX(m_label,_xlfn.MAXIFS(m_row,m_teacher,AY$4,m_date,($G$2+25),m_active,1,m_start,"&lt;"&amp;1020,m_end,"&gt;"&amp;960))))))</f>
        <v/>
      </c>
      <c r="AZ56" s="82" t="str">
        <f aca="false">IF(OR(AZ$4="",MONTH(($G$2+25))&lt;&gt;MONTH($C$2)),"",IF(COUNTIFS(m_teacher,AZ$4,m_date,($G$2+25),m_active,1,m_start,"&lt;"&amp;1020,m_end,"&gt;"&amp;960)=0,"",IF(COUNTIFS(m_teacher,AZ$4,m_date,($G$2+25),m_active,1,m_start,"&lt;"&amp;1020,m_end,"&gt;"&amp;960)&gt;1,"충돌",HYPERLINK("#'관리자_MASTER'!D"&amp;_xlfn.MAXIFS(m_row,m_teacher,AZ$4,m_date,($G$2+25),m_active,1,m_start,"&lt;"&amp;1020,m_end,"&gt;"&amp;960),INDEX(m_label,_xlfn.MAXIFS(m_row,m_teacher,AZ$4,m_date,($G$2+25),m_active,1,m_start,"&lt;"&amp;1020,m_end,"&gt;"&amp;960))))))</f>
        <v/>
      </c>
      <c r="BA56" s="82" t="str">
        <f aca="false">IF(OR(BA$4="",MONTH(($G$2+25))&lt;&gt;MONTH($C$2)),"",IF(COUNTIFS(m_teacher,BA$4,m_date,($G$2+25),m_active,1,m_start,"&lt;"&amp;1020,m_end,"&gt;"&amp;960)=0,"",IF(COUNTIFS(m_teacher,BA$4,m_date,($G$2+25),m_active,1,m_start,"&lt;"&amp;1020,m_end,"&gt;"&amp;960)&gt;1,"충돌",HYPERLINK("#'관리자_MASTER'!D"&amp;_xlfn.MAXIFS(m_row,m_teacher,BA$4,m_date,($G$2+25),m_active,1,m_start,"&lt;"&amp;1020,m_end,"&gt;"&amp;960),INDEX(m_label,_xlfn.MAXIFS(m_row,m_teacher,BA$4,m_date,($G$2+25),m_active,1,m_start,"&lt;"&amp;1020,m_end,"&gt;"&amp;960))))))</f>
        <v/>
      </c>
      <c r="BB56" s="82" t="str">
        <f aca="false">IF(OR(BB$4="",MONTH(($G$2+25))&lt;&gt;MONTH($C$2)),"",IF(COUNTIFS(m_teacher,BB$4,m_date,($G$2+25),m_active,1,m_start,"&lt;"&amp;1020,m_end,"&gt;"&amp;960)=0,"",IF(COUNTIFS(m_teacher,BB$4,m_date,($G$2+25),m_active,1,m_start,"&lt;"&amp;1020,m_end,"&gt;"&amp;960)&gt;1,"충돌",HYPERLINK("#'관리자_MASTER'!D"&amp;_xlfn.MAXIFS(m_row,m_teacher,BB$4,m_date,($G$2+25),m_active,1,m_start,"&lt;"&amp;1020,m_end,"&gt;"&amp;960),INDEX(m_label,_xlfn.MAXIFS(m_row,m_teacher,BB$4,m_date,($G$2+25),m_active,1,m_start,"&lt;"&amp;1020,m_end,"&gt;"&amp;960))))))</f>
        <v/>
      </c>
      <c r="BC56" s="82" t="str">
        <f aca="false">IF(OR(BC$4="",MONTH(($G$2+25))&lt;&gt;MONTH($C$2)),"",IF(COUNTIFS(m_teacher,BC$4,m_date,($G$2+25),m_active,1,m_start,"&lt;"&amp;1020,m_end,"&gt;"&amp;960)=0,"",IF(COUNTIFS(m_teacher,BC$4,m_date,($G$2+25),m_active,1,m_start,"&lt;"&amp;1020,m_end,"&gt;"&amp;960)&gt;1,"충돌",HYPERLINK("#'관리자_MASTER'!D"&amp;_xlfn.MAXIFS(m_row,m_teacher,BC$4,m_date,($G$2+25),m_active,1,m_start,"&lt;"&amp;1020,m_end,"&gt;"&amp;960),INDEX(m_label,_xlfn.MAXIFS(m_row,m_teacher,BC$4,m_date,($G$2+25),m_active,1,m_start,"&lt;"&amp;1020,m_end,"&gt;"&amp;960))))))</f>
        <v/>
      </c>
      <c r="BD56" s="82" t="str">
        <f aca="false">IF(OR(BD$4="",MONTH(($G$2+25))&lt;&gt;MONTH($C$2)),"",IF(COUNTIFS(m_teacher,BD$4,m_date,($G$2+25),m_active,1,m_start,"&lt;"&amp;1020,m_end,"&gt;"&amp;960)=0,"",IF(COUNTIFS(m_teacher,BD$4,m_date,($G$2+25),m_active,1,m_start,"&lt;"&amp;1020,m_end,"&gt;"&amp;960)&gt;1,"충돌",HYPERLINK("#'관리자_MASTER'!D"&amp;_xlfn.MAXIFS(m_row,m_teacher,BD$4,m_date,($G$2+25),m_active,1,m_start,"&lt;"&amp;1020,m_end,"&gt;"&amp;960),INDEX(m_label,_xlfn.MAXIFS(m_row,m_teacher,BD$4,m_date,($G$2+25),m_active,1,m_start,"&lt;"&amp;1020,m_end,"&gt;"&amp;960))))))</f>
        <v/>
      </c>
      <c r="BE56" s="75"/>
      <c r="BF56" s="76" t="s">
        <v>98</v>
      </c>
      <c r="BG56" s="81" t="str">
        <f aca="false">IF(OR(BG$4="",MONTH(($G$2+32))&lt;&gt;MONTH($C$2)),"",IF(COUNTIFS(m_teacher,BG$4,m_date,($G$2+32),m_active,1,m_start,"&lt;"&amp;1020,m_end,"&gt;"&amp;960)=0,"",IF(COUNTIFS(m_teacher,BG$4,m_date,($G$2+32),m_active,1,m_start,"&lt;"&amp;1020,m_end,"&gt;"&amp;960)&gt;1,"충돌",HYPERLINK("#'관리자_MASTER'!D"&amp;_xlfn.MAXIFS(m_row,m_teacher,BG$4,m_date,($G$2+32),m_active,1,m_start,"&lt;"&amp;1020,m_end,"&gt;"&amp;960),INDEX(m_label,_xlfn.MAXIFS(m_row,m_teacher,BG$4,m_date,($G$2+32),m_active,1,m_start,"&lt;"&amp;1020,m_end,"&gt;"&amp;960))))))</f>
        <v/>
      </c>
      <c r="BH56" s="81" t="str">
        <f aca="false">IF(OR(BH$4="",MONTH(($G$2+32))&lt;&gt;MONTH($C$2)),"",IF(COUNTIFS(m_teacher,BH$4,m_date,($G$2+32),m_active,1,m_start,"&lt;"&amp;1020,m_end,"&gt;"&amp;960)=0,"",IF(COUNTIFS(m_teacher,BH$4,m_date,($G$2+32),m_active,1,m_start,"&lt;"&amp;1020,m_end,"&gt;"&amp;960)&gt;1,"충돌",HYPERLINK("#'관리자_MASTER'!D"&amp;_xlfn.MAXIFS(m_row,m_teacher,BH$4,m_date,($G$2+32),m_active,1,m_start,"&lt;"&amp;1020,m_end,"&gt;"&amp;960),INDEX(m_label,_xlfn.MAXIFS(m_row,m_teacher,BH$4,m_date,($G$2+32),m_active,1,m_start,"&lt;"&amp;1020,m_end,"&gt;"&amp;960))))))</f>
        <v/>
      </c>
      <c r="BI56" s="81" t="str">
        <f aca="false">IF(OR(BI$4="",MONTH(($G$2+32))&lt;&gt;MONTH($C$2)),"",IF(COUNTIFS(m_teacher,BI$4,m_date,($G$2+32),m_active,1,m_start,"&lt;"&amp;1020,m_end,"&gt;"&amp;960)=0,"",IF(COUNTIFS(m_teacher,BI$4,m_date,($G$2+32),m_active,1,m_start,"&lt;"&amp;1020,m_end,"&gt;"&amp;960)&gt;1,"충돌",HYPERLINK("#'관리자_MASTER'!D"&amp;_xlfn.MAXIFS(m_row,m_teacher,BI$4,m_date,($G$2+32),m_active,1,m_start,"&lt;"&amp;1020,m_end,"&gt;"&amp;960),INDEX(m_label,_xlfn.MAXIFS(m_row,m_teacher,BI$4,m_date,($G$2+32),m_active,1,m_start,"&lt;"&amp;1020,m_end,"&gt;"&amp;960))))))</f>
        <v/>
      </c>
      <c r="BJ56" s="81" t="str">
        <f aca="false">IF(OR(BJ$4="",MONTH(($G$2+32))&lt;&gt;MONTH($C$2)),"",IF(COUNTIFS(m_teacher,BJ$4,m_date,($G$2+32),m_active,1,m_start,"&lt;"&amp;1020,m_end,"&gt;"&amp;960)=0,"",IF(COUNTIFS(m_teacher,BJ$4,m_date,($G$2+32),m_active,1,m_start,"&lt;"&amp;1020,m_end,"&gt;"&amp;960)&gt;1,"충돌",HYPERLINK("#'관리자_MASTER'!D"&amp;_xlfn.MAXIFS(m_row,m_teacher,BJ$4,m_date,($G$2+32),m_active,1,m_start,"&lt;"&amp;1020,m_end,"&gt;"&amp;960),INDEX(m_label,_xlfn.MAXIFS(m_row,m_teacher,BJ$4,m_date,($G$2+32),m_active,1,m_start,"&lt;"&amp;1020,m_end,"&gt;"&amp;960))))))</f>
        <v/>
      </c>
      <c r="BK56" s="81" t="str">
        <f aca="false">IF(OR(BK$4="",MONTH(($G$2+32))&lt;&gt;MONTH($C$2)),"",IF(COUNTIFS(m_teacher,BK$4,m_date,($G$2+32),m_active,1,m_start,"&lt;"&amp;1020,m_end,"&gt;"&amp;960)=0,"",IF(COUNTIFS(m_teacher,BK$4,m_date,($G$2+32),m_active,1,m_start,"&lt;"&amp;1020,m_end,"&gt;"&amp;960)&gt;1,"충돌",HYPERLINK("#'관리자_MASTER'!D"&amp;_xlfn.MAXIFS(m_row,m_teacher,BK$4,m_date,($G$2+32),m_active,1,m_start,"&lt;"&amp;1020,m_end,"&gt;"&amp;960),INDEX(m_label,_xlfn.MAXIFS(m_row,m_teacher,BK$4,m_date,($G$2+32),m_active,1,m_start,"&lt;"&amp;1020,m_end,"&gt;"&amp;960))))))</f>
        <v/>
      </c>
      <c r="BL56" s="81" t="str">
        <f aca="false">IF(OR(BL$4="",MONTH(($G$2+32))&lt;&gt;MONTH($C$2)),"",IF(COUNTIFS(m_teacher,BL$4,m_date,($G$2+32),m_active,1,m_start,"&lt;"&amp;1020,m_end,"&gt;"&amp;960)=0,"",IF(COUNTIFS(m_teacher,BL$4,m_date,($G$2+32),m_active,1,m_start,"&lt;"&amp;1020,m_end,"&gt;"&amp;960)&gt;1,"충돌",HYPERLINK("#'관리자_MASTER'!D"&amp;_xlfn.MAXIFS(m_row,m_teacher,BL$4,m_date,($G$2+32),m_active,1,m_start,"&lt;"&amp;1020,m_end,"&gt;"&amp;960),INDEX(m_label,_xlfn.MAXIFS(m_row,m_teacher,BL$4,m_date,($G$2+32),m_active,1,m_start,"&lt;"&amp;1020,m_end,"&gt;"&amp;960))))))</f>
        <v/>
      </c>
      <c r="BM56" s="81" t="str">
        <f aca="false">IF(OR(BM$4="",MONTH(($G$2+32))&lt;&gt;MONTH($C$2)),"",IF(COUNTIFS(m_teacher,BM$4,m_date,($G$2+32),m_active,1,m_start,"&lt;"&amp;1020,m_end,"&gt;"&amp;960)=0,"",IF(COUNTIFS(m_teacher,BM$4,m_date,($G$2+32),m_active,1,m_start,"&lt;"&amp;1020,m_end,"&gt;"&amp;960)&gt;1,"충돌",HYPERLINK("#'관리자_MASTER'!D"&amp;_xlfn.MAXIFS(m_row,m_teacher,BM$4,m_date,($G$2+32),m_active,1,m_start,"&lt;"&amp;1020,m_end,"&gt;"&amp;960),INDEX(m_label,_xlfn.MAXIFS(m_row,m_teacher,BM$4,m_date,($G$2+32),m_active,1,m_start,"&lt;"&amp;1020,m_end,"&gt;"&amp;960))))))</f>
        <v/>
      </c>
      <c r="BN56" s="81" t="str">
        <f aca="false">IF(OR(BN$4="",MONTH(($G$2+32))&lt;&gt;MONTH($C$2)),"",IF(COUNTIFS(m_teacher,BN$4,m_date,($G$2+32),m_active,1,m_start,"&lt;"&amp;1020,m_end,"&gt;"&amp;960)=0,"",IF(COUNTIFS(m_teacher,BN$4,m_date,($G$2+32),m_active,1,m_start,"&lt;"&amp;1020,m_end,"&gt;"&amp;960)&gt;1,"충돌",HYPERLINK("#'관리자_MASTER'!D"&amp;_xlfn.MAXIFS(m_row,m_teacher,BN$4,m_date,($G$2+32),m_active,1,m_start,"&lt;"&amp;1020,m_end,"&gt;"&amp;960),INDEX(m_label,_xlfn.MAXIFS(m_row,m_teacher,BN$4,m_date,($G$2+32),m_active,1,m_start,"&lt;"&amp;1020,m_end,"&gt;"&amp;960))))))</f>
        <v/>
      </c>
      <c r="BO56" s="81" t="str">
        <f aca="false">IF(OR(BO$4="",MONTH(($G$2+32))&lt;&gt;MONTH($C$2)),"",IF(COUNTIFS(m_teacher,BO$4,m_date,($G$2+32),m_active,1,m_start,"&lt;"&amp;1020,m_end,"&gt;"&amp;960)=0,"",IF(COUNTIFS(m_teacher,BO$4,m_date,($G$2+32),m_active,1,m_start,"&lt;"&amp;1020,m_end,"&gt;"&amp;960)&gt;1,"충돌",HYPERLINK("#'관리자_MASTER'!D"&amp;_xlfn.MAXIFS(m_row,m_teacher,BO$4,m_date,($G$2+32),m_active,1,m_start,"&lt;"&amp;1020,m_end,"&gt;"&amp;960),INDEX(m_label,_xlfn.MAXIFS(m_row,m_teacher,BO$4,m_date,($G$2+32),m_active,1,m_start,"&lt;"&amp;1020,m_end,"&gt;"&amp;960))))))</f>
        <v/>
      </c>
      <c r="BP56" s="81" t="str">
        <f aca="false">IF(OR(BP$4="",MONTH(($G$2+32))&lt;&gt;MONTH($C$2)),"",IF(COUNTIFS(m_teacher,BP$4,m_date,($G$2+32),m_active,1,m_start,"&lt;"&amp;1020,m_end,"&gt;"&amp;960)=0,"",IF(COUNTIFS(m_teacher,BP$4,m_date,($G$2+32),m_active,1,m_start,"&lt;"&amp;1020,m_end,"&gt;"&amp;960)&gt;1,"충돌",HYPERLINK("#'관리자_MASTER'!D"&amp;_xlfn.MAXIFS(m_row,m_teacher,BP$4,m_date,($G$2+32),m_active,1,m_start,"&lt;"&amp;1020,m_end,"&gt;"&amp;960),INDEX(m_label,_xlfn.MAXIFS(m_row,m_teacher,BP$4,m_date,($G$2+32),m_active,1,m_start,"&lt;"&amp;1020,m_end,"&gt;"&amp;960))))))</f>
        <v/>
      </c>
      <c r="BQ56" s="81" t="str">
        <f aca="false">IF(OR(BQ$4="",MONTH(($G$2+32))&lt;&gt;MONTH($C$2)),"",IF(COUNTIFS(m_teacher,BQ$4,m_date,($G$2+32),m_active,1,m_start,"&lt;"&amp;1020,m_end,"&gt;"&amp;960)=0,"",IF(COUNTIFS(m_teacher,BQ$4,m_date,($G$2+32),m_active,1,m_start,"&lt;"&amp;1020,m_end,"&gt;"&amp;960)&gt;1,"충돌",HYPERLINK("#'관리자_MASTER'!D"&amp;_xlfn.MAXIFS(m_row,m_teacher,BQ$4,m_date,($G$2+32),m_active,1,m_start,"&lt;"&amp;1020,m_end,"&gt;"&amp;960),INDEX(m_label,_xlfn.MAXIFS(m_row,m_teacher,BQ$4,m_date,($G$2+32),m_active,1,m_start,"&lt;"&amp;1020,m_end,"&gt;"&amp;960))))))</f>
        <v/>
      </c>
      <c r="BR56" s="81" t="str">
        <f aca="false">IF(OR(BR$4="",MONTH(($G$2+32))&lt;&gt;MONTH($C$2)),"",IF(COUNTIFS(m_teacher,BR$4,m_date,($G$2+32),m_active,1,m_start,"&lt;"&amp;1020,m_end,"&gt;"&amp;960)=0,"",IF(COUNTIFS(m_teacher,BR$4,m_date,($G$2+32),m_active,1,m_start,"&lt;"&amp;1020,m_end,"&gt;"&amp;960)&gt;1,"충돌",HYPERLINK("#'관리자_MASTER'!D"&amp;_xlfn.MAXIFS(m_row,m_teacher,BR$4,m_date,($G$2+32),m_active,1,m_start,"&lt;"&amp;1020,m_end,"&gt;"&amp;960),INDEX(m_label,_xlfn.MAXIFS(m_row,m_teacher,BR$4,m_date,($G$2+32),m_active,1,m_start,"&lt;"&amp;1020,m_end,"&gt;"&amp;960))))))</f>
        <v/>
      </c>
    </row>
    <row r="57" customFormat="false" ht="19.5" hidden="false" customHeight="true" outlineLevel="0" collapsed="false">
      <c r="A57" s="78"/>
      <c r="B57" s="79" t="s">
        <v>99</v>
      </c>
      <c r="C57" s="82" t="str">
        <f aca="false">IF(OR(C$4="",MONTH(($G$2+4))&lt;&gt;MONTH($C$2)),"",IF(COUNTIFS(m_teacher,C$4,m_date,($G$2+4),m_active,1,m_start,"&lt;"&amp;1080,m_end,"&gt;"&amp;1020)=0,"",IF(COUNTIFS(m_teacher,C$4,m_date,($G$2+4),m_active,1,m_start,"&lt;"&amp;1080,m_end,"&gt;"&amp;1020)&gt;1,"충돌",HYPERLINK("#'관리자_MASTER'!D"&amp;_xlfn.MAXIFS(m_row,m_teacher,C$4,m_date,($G$2+4),m_active,1,m_start,"&lt;"&amp;1080,m_end,"&gt;"&amp;1020),INDEX(m_label,_xlfn.MAXIFS(m_row,m_teacher,C$4,m_date,($G$2+4),m_active,1,m_start,"&lt;"&amp;1080,m_end,"&gt;"&amp;1020))))))</f>
        <v/>
      </c>
      <c r="D57" s="82" t="str">
        <f aca="false">IF(OR(D$4="",MONTH(($G$2+4))&lt;&gt;MONTH($C$2)),"",IF(COUNTIFS(m_teacher,D$4,m_date,($G$2+4),m_active,1,m_start,"&lt;"&amp;1080,m_end,"&gt;"&amp;1020)=0,"",IF(COUNTIFS(m_teacher,D$4,m_date,($G$2+4),m_active,1,m_start,"&lt;"&amp;1080,m_end,"&gt;"&amp;1020)&gt;1,"충돌",HYPERLINK("#'관리자_MASTER'!D"&amp;_xlfn.MAXIFS(m_row,m_teacher,D$4,m_date,($G$2+4),m_active,1,m_start,"&lt;"&amp;1080,m_end,"&gt;"&amp;1020),INDEX(m_label,_xlfn.MAXIFS(m_row,m_teacher,D$4,m_date,($G$2+4),m_active,1,m_start,"&lt;"&amp;1080,m_end,"&gt;"&amp;1020))))))</f>
        <v/>
      </c>
      <c r="E57" s="82" t="str">
        <f aca="false">IF(OR(E$4="",MONTH(($G$2+4))&lt;&gt;MONTH($C$2)),"",IF(COUNTIFS(m_teacher,E$4,m_date,($G$2+4),m_active,1,m_start,"&lt;"&amp;1080,m_end,"&gt;"&amp;1020)=0,"",IF(COUNTIFS(m_teacher,E$4,m_date,($G$2+4),m_active,1,m_start,"&lt;"&amp;1080,m_end,"&gt;"&amp;1020)&gt;1,"충돌",HYPERLINK("#'관리자_MASTER'!D"&amp;_xlfn.MAXIFS(m_row,m_teacher,E$4,m_date,($G$2+4),m_active,1,m_start,"&lt;"&amp;1080,m_end,"&gt;"&amp;1020),INDEX(m_label,_xlfn.MAXIFS(m_row,m_teacher,E$4,m_date,($G$2+4),m_active,1,m_start,"&lt;"&amp;1080,m_end,"&gt;"&amp;1020))))))</f>
        <v/>
      </c>
      <c r="F57" s="82" t="str">
        <f aca="false">IF(OR(F$4="",MONTH(($G$2+4))&lt;&gt;MONTH($C$2)),"",IF(COUNTIFS(m_teacher,F$4,m_date,($G$2+4),m_active,1,m_start,"&lt;"&amp;1080,m_end,"&gt;"&amp;1020)=0,"",IF(COUNTIFS(m_teacher,F$4,m_date,($G$2+4),m_active,1,m_start,"&lt;"&amp;1080,m_end,"&gt;"&amp;1020)&gt;1,"충돌",HYPERLINK("#'관리자_MASTER'!D"&amp;_xlfn.MAXIFS(m_row,m_teacher,F$4,m_date,($G$2+4),m_active,1,m_start,"&lt;"&amp;1080,m_end,"&gt;"&amp;1020),INDEX(m_label,_xlfn.MAXIFS(m_row,m_teacher,F$4,m_date,($G$2+4),m_active,1,m_start,"&lt;"&amp;1080,m_end,"&gt;"&amp;1020))))))</f>
        <v/>
      </c>
      <c r="G57" s="82" t="str">
        <f aca="false">IF(OR(G$4="",MONTH(($G$2+4))&lt;&gt;MONTH($C$2)),"",IF(COUNTIFS(m_teacher,G$4,m_date,($G$2+4),m_active,1,m_start,"&lt;"&amp;1080,m_end,"&gt;"&amp;1020)=0,"",IF(COUNTIFS(m_teacher,G$4,m_date,($G$2+4),m_active,1,m_start,"&lt;"&amp;1080,m_end,"&gt;"&amp;1020)&gt;1,"충돌",HYPERLINK("#'관리자_MASTER'!D"&amp;_xlfn.MAXIFS(m_row,m_teacher,G$4,m_date,($G$2+4),m_active,1,m_start,"&lt;"&amp;1080,m_end,"&gt;"&amp;1020),INDEX(m_label,_xlfn.MAXIFS(m_row,m_teacher,G$4,m_date,($G$2+4),m_active,1,m_start,"&lt;"&amp;1080,m_end,"&gt;"&amp;1020))))))</f>
        <v/>
      </c>
      <c r="H57" s="82" t="str">
        <f aca="false">IF(OR(H$4="",MONTH(($G$2+4))&lt;&gt;MONTH($C$2)),"",IF(COUNTIFS(m_teacher,H$4,m_date,($G$2+4),m_active,1,m_start,"&lt;"&amp;1080,m_end,"&gt;"&amp;1020)=0,"",IF(COUNTIFS(m_teacher,H$4,m_date,($G$2+4),m_active,1,m_start,"&lt;"&amp;1080,m_end,"&gt;"&amp;1020)&gt;1,"충돌",HYPERLINK("#'관리자_MASTER'!D"&amp;_xlfn.MAXIFS(m_row,m_teacher,H$4,m_date,($G$2+4),m_active,1,m_start,"&lt;"&amp;1080,m_end,"&gt;"&amp;1020),INDEX(m_label,_xlfn.MAXIFS(m_row,m_teacher,H$4,m_date,($G$2+4),m_active,1,m_start,"&lt;"&amp;1080,m_end,"&gt;"&amp;1020))))))</f>
        <v/>
      </c>
      <c r="I57" s="82" t="str">
        <f aca="false">IF(OR(I$4="",MONTH(($G$2+4))&lt;&gt;MONTH($C$2)),"",IF(COUNTIFS(m_teacher,I$4,m_date,($G$2+4),m_active,1,m_start,"&lt;"&amp;1080,m_end,"&gt;"&amp;1020)=0,"",IF(COUNTIFS(m_teacher,I$4,m_date,($G$2+4),m_active,1,m_start,"&lt;"&amp;1080,m_end,"&gt;"&amp;1020)&gt;1,"충돌",HYPERLINK("#'관리자_MASTER'!D"&amp;_xlfn.MAXIFS(m_row,m_teacher,I$4,m_date,($G$2+4),m_active,1,m_start,"&lt;"&amp;1080,m_end,"&gt;"&amp;1020),INDEX(m_label,_xlfn.MAXIFS(m_row,m_teacher,I$4,m_date,($G$2+4),m_active,1,m_start,"&lt;"&amp;1080,m_end,"&gt;"&amp;1020))))))</f>
        <v/>
      </c>
      <c r="J57" s="82" t="str">
        <f aca="false">IF(OR(J$4="",MONTH(($G$2+4))&lt;&gt;MONTH($C$2)),"",IF(COUNTIFS(m_teacher,J$4,m_date,($G$2+4),m_active,1,m_start,"&lt;"&amp;1080,m_end,"&gt;"&amp;1020)=0,"",IF(COUNTIFS(m_teacher,J$4,m_date,($G$2+4),m_active,1,m_start,"&lt;"&amp;1080,m_end,"&gt;"&amp;1020)&gt;1,"충돌",HYPERLINK("#'관리자_MASTER'!D"&amp;_xlfn.MAXIFS(m_row,m_teacher,J$4,m_date,($G$2+4),m_active,1,m_start,"&lt;"&amp;1080,m_end,"&gt;"&amp;1020),INDEX(m_label,_xlfn.MAXIFS(m_row,m_teacher,J$4,m_date,($G$2+4),m_active,1,m_start,"&lt;"&amp;1080,m_end,"&gt;"&amp;1020))))))</f>
        <v/>
      </c>
      <c r="K57" s="82" t="str">
        <f aca="false">IF(OR(K$4="",MONTH(($G$2+4))&lt;&gt;MONTH($C$2)),"",IF(COUNTIFS(m_teacher,K$4,m_date,($G$2+4),m_active,1,m_start,"&lt;"&amp;1080,m_end,"&gt;"&amp;1020)=0,"",IF(COUNTIFS(m_teacher,K$4,m_date,($G$2+4),m_active,1,m_start,"&lt;"&amp;1080,m_end,"&gt;"&amp;1020)&gt;1,"충돌",HYPERLINK("#'관리자_MASTER'!D"&amp;_xlfn.MAXIFS(m_row,m_teacher,K$4,m_date,($G$2+4),m_active,1,m_start,"&lt;"&amp;1080,m_end,"&gt;"&amp;1020),INDEX(m_label,_xlfn.MAXIFS(m_row,m_teacher,K$4,m_date,($G$2+4),m_active,1,m_start,"&lt;"&amp;1080,m_end,"&gt;"&amp;1020))))))</f>
        <v/>
      </c>
      <c r="L57" s="82" t="str">
        <f aca="false">IF(OR(L$4="",MONTH(($G$2+4))&lt;&gt;MONTH($C$2)),"",IF(COUNTIFS(m_teacher,L$4,m_date,($G$2+4),m_active,1,m_start,"&lt;"&amp;1080,m_end,"&gt;"&amp;1020)=0,"",IF(COUNTIFS(m_teacher,L$4,m_date,($G$2+4),m_active,1,m_start,"&lt;"&amp;1080,m_end,"&gt;"&amp;1020)&gt;1,"충돌",HYPERLINK("#'관리자_MASTER'!D"&amp;_xlfn.MAXIFS(m_row,m_teacher,L$4,m_date,($G$2+4),m_active,1,m_start,"&lt;"&amp;1080,m_end,"&gt;"&amp;1020),INDEX(m_label,_xlfn.MAXIFS(m_row,m_teacher,L$4,m_date,($G$2+4),m_active,1,m_start,"&lt;"&amp;1080,m_end,"&gt;"&amp;1020))))))</f>
        <v/>
      </c>
      <c r="M57" s="82" t="str">
        <f aca="false">IF(OR(M$4="",MONTH(($G$2+4))&lt;&gt;MONTH($C$2)),"",IF(COUNTIFS(m_teacher,M$4,m_date,($G$2+4),m_active,1,m_start,"&lt;"&amp;1080,m_end,"&gt;"&amp;1020)=0,"",IF(COUNTIFS(m_teacher,M$4,m_date,($G$2+4),m_active,1,m_start,"&lt;"&amp;1080,m_end,"&gt;"&amp;1020)&gt;1,"충돌",HYPERLINK("#'관리자_MASTER'!D"&amp;_xlfn.MAXIFS(m_row,m_teacher,M$4,m_date,($G$2+4),m_active,1,m_start,"&lt;"&amp;1080,m_end,"&gt;"&amp;1020),INDEX(m_label,_xlfn.MAXIFS(m_row,m_teacher,M$4,m_date,($G$2+4),m_active,1,m_start,"&lt;"&amp;1080,m_end,"&gt;"&amp;1020))))))</f>
        <v/>
      </c>
      <c r="N57" s="82" t="str">
        <f aca="false">IF(OR(N$4="",MONTH(($G$2+4))&lt;&gt;MONTH($C$2)),"",IF(COUNTIFS(m_teacher,N$4,m_date,($G$2+4),m_active,1,m_start,"&lt;"&amp;1080,m_end,"&gt;"&amp;1020)=0,"",IF(COUNTIFS(m_teacher,N$4,m_date,($G$2+4),m_active,1,m_start,"&lt;"&amp;1080,m_end,"&gt;"&amp;1020)&gt;1,"충돌",HYPERLINK("#'관리자_MASTER'!D"&amp;_xlfn.MAXIFS(m_row,m_teacher,N$4,m_date,($G$2+4),m_active,1,m_start,"&lt;"&amp;1080,m_end,"&gt;"&amp;1020),INDEX(m_label,_xlfn.MAXIFS(m_row,m_teacher,N$4,m_date,($G$2+4),m_active,1,m_start,"&lt;"&amp;1080,m_end,"&gt;"&amp;1020))))))</f>
        <v/>
      </c>
      <c r="O57" s="78"/>
      <c r="P57" s="79" t="s">
        <v>99</v>
      </c>
      <c r="Q57" s="82" t="str">
        <f aca="false">IF(OR(Q$4="",MONTH(($G$2+11))&lt;&gt;MONTH($C$2)),"",IF(COUNTIFS(m_teacher,Q$4,m_date,($G$2+11),m_active,1,m_start,"&lt;"&amp;1080,m_end,"&gt;"&amp;1020)=0,"",IF(COUNTIFS(m_teacher,Q$4,m_date,($G$2+11),m_active,1,m_start,"&lt;"&amp;1080,m_end,"&gt;"&amp;1020)&gt;1,"충돌",HYPERLINK("#'관리자_MASTER'!D"&amp;_xlfn.MAXIFS(m_row,m_teacher,Q$4,m_date,($G$2+11),m_active,1,m_start,"&lt;"&amp;1080,m_end,"&gt;"&amp;1020),INDEX(m_label,_xlfn.MAXIFS(m_row,m_teacher,Q$4,m_date,($G$2+11),m_active,1,m_start,"&lt;"&amp;1080,m_end,"&gt;"&amp;1020))))))</f>
        <v/>
      </c>
      <c r="R57" s="82" t="str">
        <f aca="false">IF(OR(R$4="",MONTH(($G$2+11))&lt;&gt;MONTH($C$2)),"",IF(COUNTIFS(m_teacher,R$4,m_date,($G$2+11),m_active,1,m_start,"&lt;"&amp;1080,m_end,"&gt;"&amp;1020)=0,"",IF(COUNTIFS(m_teacher,R$4,m_date,($G$2+11),m_active,1,m_start,"&lt;"&amp;1080,m_end,"&gt;"&amp;1020)&gt;1,"충돌",HYPERLINK("#'관리자_MASTER'!D"&amp;_xlfn.MAXIFS(m_row,m_teacher,R$4,m_date,($G$2+11),m_active,1,m_start,"&lt;"&amp;1080,m_end,"&gt;"&amp;1020),INDEX(m_label,_xlfn.MAXIFS(m_row,m_teacher,R$4,m_date,($G$2+11),m_active,1,m_start,"&lt;"&amp;1080,m_end,"&gt;"&amp;1020))))))</f>
        <v/>
      </c>
      <c r="S57" s="82" t="str">
        <f aca="false">IF(OR(S$4="",MONTH(($G$2+11))&lt;&gt;MONTH($C$2)),"",IF(COUNTIFS(m_teacher,S$4,m_date,($G$2+11),m_active,1,m_start,"&lt;"&amp;1080,m_end,"&gt;"&amp;1020)=0,"",IF(COUNTIFS(m_teacher,S$4,m_date,($G$2+11),m_active,1,m_start,"&lt;"&amp;1080,m_end,"&gt;"&amp;1020)&gt;1,"충돌",HYPERLINK("#'관리자_MASTER'!D"&amp;_xlfn.MAXIFS(m_row,m_teacher,S$4,m_date,($G$2+11),m_active,1,m_start,"&lt;"&amp;1080,m_end,"&gt;"&amp;1020),INDEX(m_label,_xlfn.MAXIFS(m_row,m_teacher,S$4,m_date,($G$2+11),m_active,1,m_start,"&lt;"&amp;1080,m_end,"&gt;"&amp;1020))))))</f>
        <v/>
      </c>
      <c r="T57" s="82" t="str">
        <f aca="false">IF(OR(T$4="",MONTH(($G$2+11))&lt;&gt;MONTH($C$2)),"",IF(COUNTIFS(m_teacher,T$4,m_date,($G$2+11),m_active,1,m_start,"&lt;"&amp;1080,m_end,"&gt;"&amp;1020)=0,"",IF(COUNTIFS(m_teacher,T$4,m_date,($G$2+11),m_active,1,m_start,"&lt;"&amp;1080,m_end,"&gt;"&amp;1020)&gt;1,"충돌",HYPERLINK("#'관리자_MASTER'!D"&amp;_xlfn.MAXIFS(m_row,m_teacher,T$4,m_date,($G$2+11),m_active,1,m_start,"&lt;"&amp;1080,m_end,"&gt;"&amp;1020),INDEX(m_label,_xlfn.MAXIFS(m_row,m_teacher,T$4,m_date,($G$2+11),m_active,1,m_start,"&lt;"&amp;1080,m_end,"&gt;"&amp;1020))))))</f>
        <v/>
      </c>
      <c r="U57" s="82" t="str">
        <f aca="false">IF(OR(U$4="",MONTH(($G$2+11))&lt;&gt;MONTH($C$2)),"",IF(COUNTIFS(m_teacher,U$4,m_date,($G$2+11),m_active,1,m_start,"&lt;"&amp;1080,m_end,"&gt;"&amp;1020)=0,"",IF(COUNTIFS(m_teacher,U$4,m_date,($G$2+11),m_active,1,m_start,"&lt;"&amp;1080,m_end,"&gt;"&amp;1020)&gt;1,"충돌",HYPERLINK("#'관리자_MASTER'!D"&amp;_xlfn.MAXIFS(m_row,m_teacher,U$4,m_date,($G$2+11),m_active,1,m_start,"&lt;"&amp;1080,m_end,"&gt;"&amp;1020),INDEX(m_label,_xlfn.MAXIFS(m_row,m_teacher,U$4,m_date,($G$2+11),m_active,1,m_start,"&lt;"&amp;1080,m_end,"&gt;"&amp;1020))))))</f>
        <v/>
      </c>
      <c r="V57" s="82" t="str">
        <f aca="false">IF(OR(V$4="",MONTH(($G$2+11))&lt;&gt;MONTH($C$2)),"",IF(COUNTIFS(m_teacher,V$4,m_date,($G$2+11),m_active,1,m_start,"&lt;"&amp;1080,m_end,"&gt;"&amp;1020)=0,"",IF(COUNTIFS(m_teacher,V$4,m_date,($G$2+11),m_active,1,m_start,"&lt;"&amp;1080,m_end,"&gt;"&amp;1020)&gt;1,"충돌",HYPERLINK("#'관리자_MASTER'!D"&amp;_xlfn.MAXIFS(m_row,m_teacher,V$4,m_date,($G$2+11),m_active,1,m_start,"&lt;"&amp;1080,m_end,"&gt;"&amp;1020),INDEX(m_label,_xlfn.MAXIFS(m_row,m_teacher,V$4,m_date,($G$2+11),m_active,1,m_start,"&lt;"&amp;1080,m_end,"&gt;"&amp;1020))))))</f>
        <v/>
      </c>
      <c r="W57" s="82" t="str">
        <f aca="false">IF(OR(W$4="",MONTH(($G$2+11))&lt;&gt;MONTH($C$2)),"",IF(COUNTIFS(m_teacher,W$4,m_date,($G$2+11),m_active,1,m_start,"&lt;"&amp;1080,m_end,"&gt;"&amp;1020)=0,"",IF(COUNTIFS(m_teacher,W$4,m_date,($G$2+11),m_active,1,m_start,"&lt;"&amp;1080,m_end,"&gt;"&amp;1020)&gt;1,"충돌",HYPERLINK("#'관리자_MASTER'!D"&amp;_xlfn.MAXIFS(m_row,m_teacher,W$4,m_date,($G$2+11),m_active,1,m_start,"&lt;"&amp;1080,m_end,"&gt;"&amp;1020),INDEX(m_label,_xlfn.MAXIFS(m_row,m_teacher,W$4,m_date,($G$2+11),m_active,1,m_start,"&lt;"&amp;1080,m_end,"&gt;"&amp;1020))))))</f>
        <v/>
      </c>
      <c r="X57" s="82" t="str">
        <f aca="false">IF(OR(X$4="",MONTH(($G$2+11))&lt;&gt;MONTH($C$2)),"",IF(COUNTIFS(m_teacher,X$4,m_date,($G$2+11),m_active,1,m_start,"&lt;"&amp;1080,m_end,"&gt;"&amp;1020)=0,"",IF(COUNTIFS(m_teacher,X$4,m_date,($G$2+11),m_active,1,m_start,"&lt;"&amp;1080,m_end,"&gt;"&amp;1020)&gt;1,"충돌",HYPERLINK("#'관리자_MASTER'!D"&amp;_xlfn.MAXIFS(m_row,m_teacher,X$4,m_date,($G$2+11),m_active,1,m_start,"&lt;"&amp;1080,m_end,"&gt;"&amp;1020),INDEX(m_label,_xlfn.MAXIFS(m_row,m_teacher,X$4,m_date,($G$2+11),m_active,1,m_start,"&lt;"&amp;1080,m_end,"&gt;"&amp;1020))))))</f>
        <v/>
      </c>
      <c r="Y57" s="82" t="str">
        <f aca="false">IF(OR(Y$4="",MONTH(($G$2+11))&lt;&gt;MONTH($C$2)),"",IF(COUNTIFS(m_teacher,Y$4,m_date,($G$2+11),m_active,1,m_start,"&lt;"&amp;1080,m_end,"&gt;"&amp;1020)=0,"",IF(COUNTIFS(m_teacher,Y$4,m_date,($G$2+11),m_active,1,m_start,"&lt;"&amp;1080,m_end,"&gt;"&amp;1020)&gt;1,"충돌",HYPERLINK("#'관리자_MASTER'!D"&amp;_xlfn.MAXIFS(m_row,m_teacher,Y$4,m_date,($G$2+11),m_active,1,m_start,"&lt;"&amp;1080,m_end,"&gt;"&amp;1020),INDEX(m_label,_xlfn.MAXIFS(m_row,m_teacher,Y$4,m_date,($G$2+11),m_active,1,m_start,"&lt;"&amp;1080,m_end,"&gt;"&amp;1020))))))</f>
        <v/>
      </c>
      <c r="Z57" s="82" t="str">
        <f aca="false">IF(OR(Z$4="",MONTH(($G$2+11))&lt;&gt;MONTH($C$2)),"",IF(COUNTIFS(m_teacher,Z$4,m_date,($G$2+11),m_active,1,m_start,"&lt;"&amp;1080,m_end,"&gt;"&amp;1020)=0,"",IF(COUNTIFS(m_teacher,Z$4,m_date,($G$2+11),m_active,1,m_start,"&lt;"&amp;1080,m_end,"&gt;"&amp;1020)&gt;1,"충돌",HYPERLINK("#'관리자_MASTER'!D"&amp;_xlfn.MAXIFS(m_row,m_teacher,Z$4,m_date,($G$2+11),m_active,1,m_start,"&lt;"&amp;1080,m_end,"&gt;"&amp;1020),INDEX(m_label,_xlfn.MAXIFS(m_row,m_teacher,Z$4,m_date,($G$2+11),m_active,1,m_start,"&lt;"&amp;1080,m_end,"&gt;"&amp;1020))))))</f>
        <v/>
      </c>
      <c r="AA57" s="82" t="str">
        <f aca="false">IF(OR(AA$4="",MONTH(($G$2+11))&lt;&gt;MONTH($C$2)),"",IF(COUNTIFS(m_teacher,AA$4,m_date,($G$2+11),m_active,1,m_start,"&lt;"&amp;1080,m_end,"&gt;"&amp;1020)=0,"",IF(COUNTIFS(m_teacher,AA$4,m_date,($G$2+11),m_active,1,m_start,"&lt;"&amp;1080,m_end,"&gt;"&amp;1020)&gt;1,"충돌",HYPERLINK("#'관리자_MASTER'!D"&amp;_xlfn.MAXIFS(m_row,m_teacher,AA$4,m_date,($G$2+11),m_active,1,m_start,"&lt;"&amp;1080,m_end,"&gt;"&amp;1020),INDEX(m_label,_xlfn.MAXIFS(m_row,m_teacher,AA$4,m_date,($G$2+11),m_active,1,m_start,"&lt;"&amp;1080,m_end,"&gt;"&amp;1020))))))</f>
        <v/>
      </c>
      <c r="AB57" s="82" t="str">
        <f aca="false">IF(OR(AB$4="",MONTH(($G$2+11))&lt;&gt;MONTH($C$2)),"",IF(COUNTIFS(m_teacher,AB$4,m_date,($G$2+11),m_active,1,m_start,"&lt;"&amp;1080,m_end,"&gt;"&amp;1020)=0,"",IF(COUNTIFS(m_teacher,AB$4,m_date,($G$2+11),m_active,1,m_start,"&lt;"&amp;1080,m_end,"&gt;"&amp;1020)&gt;1,"충돌",HYPERLINK("#'관리자_MASTER'!D"&amp;_xlfn.MAXIFS(m_row,m_teacher,AB$4,m_date,($G$2+11),m_active,1,m_start,"&lt;"&amp;1080,m_end,"&gt;"&amp;1020),INDEX(m_label,_xlfn.MAXIFS(m_row,m_teacher,AB$4,m_date,($G$2+11),m_active,1,m_start,"&lt;"&amp;1080,m_end,"&gt;"&amp;1020))))))</f>
        <v/>
      </c>
      <c r="AC57" s="78"/>
      <c r="AD57" s="79" t="s">
        <v>99</v>
      </c>
      <c r="AE57" s="82" t="str">
        <f aca="false">IF(OR(AE$4="",MONTH(($G$2+18))&lt;&gt;MONTH($C$2)),"",IF(COUNTIFS(m_teacher,AE$4,m_date,($G$2+18),m_active,1,m_start,"&lt;"&amp;1080,m_end,"&gt;"&amp;1020)=0,"",IF(COUNTIFS(m_teacher,AE$4,m_date,($G$2+18),m_active,1,m_start,"&lt;"&amp;1080,m_end,"&gt;"&amp;1020)&gt;1,"충돌",HYPERLINK("#'관리자_MASTER'!D"&amp;_xlfn.MAXIFS(m_row,m_teacher,AE$4,m_date,($G$2+18),m_active,1,m_start,"&lt;"&amp;1080,m_end,"&gt;"&amp;1020),INDEX(m_label,_xlfn.MAXIFS(m_row,m_teacher,AE$4,m_date,($G$2+18),m_active,1,m_start,"&lt;"&amp;1080,m_end,"&gt;"&amp;1020))))))</f>
        <v/>
      </c>
      <c r="AF57" s="82" t="str">
        <f aca="false">IF(OR(AF$4="",MONTH(($G$2+18))&lt;&gt;MONTH($C$2)),"",IF(COUNTIFS(m_teacher,AF$4,m_date,($G$2+18),m_active,1,m_start,"&lt;"&amp;1080,m_end,"&gt;"&amp;1020)=0,"",IF(COUNTIFS(m_teacher,AF$4,m_date,($G$2+18),m_active,1,m_start,"&lt;"&amp;1080,m_end,"&gt;"&amp;1020)&gt;1,"충돌",HYPERLINK("#'관리자_MASTER'!D"&amp;_xlfn.MAXIFS(m_row,m_teacher,AF$4,m_date,($G$2+18),m_active,1,m_start,"&lt;"&amp;1080,m_end,"&gt;"&amp;1020),INDEX(m_label,_xlfn.MAXIFS(m_row,m_teacher,AF$4,m_date,($G$2+18),m_active,1,m_start,"&lt;"&amp;1080,m_end,"&gt;"&amp;1020))))))</f>
        <v/>
      </c>
      <c r="AG57" s="82" t="str">
        <f aca="false">IF(OR(AG$4="",MONTH(($G$2+18))&lt;&gt;MONTH($C$2)),"",IF(COUNTIFS(m_teacher,AG$4,m_date,($G$2+18),m_active,1,m_start,"&lt;"&amp;1080,m_end,"&gt;"&amp;1020)=0,"",IF(COUNTIFS(m_teacher,AG$4,m_date,($G$2+18),m_active,1,m_start,"&lt;"&amp;1080,m_end,"&gt;"&amp;1020)&gt;1,"충돌",HYPERLINK("#'관리자_MASTER'!D"&amp;_xlfn.MAXIFS(m_row,m_teacher,AG$4,m_date,($G$2+18),m_active,1,m_start,"&lt;"&amp;1080,m_end,"&gt;"&amp;1020),INDEX(m_label,_xlfn.MAXIFS(m_row,m_teacher,AG$4,m_date,($G$2+18),m_active,1,m_start,"&lt;"&amp;1080,m_end,"&gt;"&amp;1020))))))</f>
        <v/>
      </c>
      <c r="AH57" s="82" t="str">
        <f aca="false">IF(OR(AH$4="",MONTH(($G$2+18))&lt;&gt;MONTH($C$2)),"",IF(COUNTIFS(m_teacher,AH$4,m_date,($G$2+18),m_active,1,m_start,"&lt;"&amp;1080,m_end,"&gt;"&amp;1020)=0,"",IF(COUNTIFS(m_teacher,AH$4,m_date,($G$2+18),m_active,1,m_start,"&lt;"&amp;1080,m_end,"&gt;"&amp;1020)&gt;1,"충돌",HYPERLINK("#'관리자_MASTER'!D"&amp;_xlfn.MAXIFS(m_row,m_teacher,AH$4,m_date,($G$2+18),m_active,1,m_start,"&lt;"&amp;1080,m_end,"&gt;"&amp;1020),INDEX(m_label,_xlfn.MAXIFS(m_row,m_teacher,AH$4,m_date,($G$2+18),m_active,1,m_start,"&lt;"&amp;1080,m_end,"&gt;"&amp;1020))))))</f>
        <v/>
      </c>
      <c r="AI57" s="82" t="str">
        <f aca="false">IF(OR(AI$4="",MONTH(($G$2+18))&lt;&gt;MONTH($C$2)),"",IF(COUNTIFS(m_teacher,AI$4,m_date,($G$2+18),m_active,1,m_start,"&lt;"&amp;1080,m_end,"&gt;"&amp;1020)=0,"",IF(COUNTIFS(m_teacher,AI$4,m_date,($G$2+18),m_active,1,m_start,"&lt;"&amp;1080,m_end,"&gt;"&amp;1020)&gt;1,"충돌",HYPERLINK("#'관리자_MASTER'!D"&amp;_xlfn.MAXIFS(m_row,m_teacher,AI$4,m_date,($G$2+18),m_active,1,m_start,"&lt;"&amp;1080,m_end,"&gt;"&amp;1020),INDEX(m_label,_xlfn.MAXIFS(m_row,m_teacher,AI$4,m_date,($G$2+18),m_active,1,m_start,"&lt;"&amp;1080,m_end,"&gt;"&amp;1020))))))</f>
        <v/>
      </c>
      <c r="AJ57" s="82" t="str">
        <f aca="false">IF(OR(AJ$4="",MONTH(($G$2+18))&lt;&gt;MONTH($C$2)),"",IF(COUNTIFS(m_teacher,AJ$4,m_date,($G$2+18),m_active,1,m_start,"&lt;"&amp;1080,m_end,"&gt;"&amp;1020)=0,"",IF(COUNTIFS(m_teacher,AJ$4,m_date,($G$2+18),m_active,1,m_start,"&lt;"&amp;1080,m_end,"&gt;"&amp;1020)&gt;1,"충돌",HYPERLINK("#'관리자_MASTER'!D"&amp;_xlfn.MAXIFS(m_row,m_teacher,AJ$4,m_date,($G$2+18),m_active,1,m_start,"&lt;"&amp;1080,m_end,"&gt;"&amp;1020),INDEX(m_label,_xlfn.MAXIFS(m_row,m_teacher,AJ$4,m_date,($G$2+18),m_active,1,m_start,"&lt;"&amp;1080,m_end,"&gt;"&amp;1020))))))</f>
        <v/>
      </c>
      <c r="AK57" s="82" t="str">
        <f aca="false">IF(OR(AK$4="",MONTH(($G$2+18))&lt;&gt;MONTH($C$2)),"",IF(COUNTIFS(m_teacher,AK$4,m_date,($G$2+18),m_active,1,m_start,"&lt;"&amp;1080,m_end,"&gt;"&amp;1020)=0,"",IF(COUNTIFS(m_teacher,AK$4,m_date,($G$2+18),m_active,1,m_start,"&lt;"&amp;1080,m_end,"&gt;"&amp;1020)&gt;1,"충돌",HYPERLINK("#'관리자_MASTER'!D"&amp;_xlfn.MAXIFS(m_row,m_teacher,AK$4,m_date,($G$2+18),m_active,1,m_start,"&lt;"&amp;1080,m_end,"&gt;"&amp;1020),INDEX(m_label,_xlfn.MAXIFS(m_row,m_teacher,AK$4,m_date,($G$2+18),m_active,1,m_start,"&lt;"&amp;1080,m_end,"&gt;"&amp;1020))))))</f>
        <v/>
      </c>
      <c r="AL57" s="82" t="str">
        <f aca="false">IF(OR(AL$4="",MONTH(($G$2+18))&lt;&gt;MONTH($C$2)),"",IF(COUNTIFS(m_teacher,AL$4,m_date,($G$2+18),m_active,1,m_start,"&lt;"&amp;1080,m_end,"&gt;"&amp;1020)=0,"",IF(COUNTIFS(m_teacher,AL$4,m_date,($G$2+18),m_active,1,m_start,"&lt;"&amp;1080,m_end,"&gt;"&amp;1020)&gt;1,"충돌",HYPERLINK("#'관리자_MASTER'!D"&amp;_xlfn.MAXIFS(m_row,m_teacher,AL$4,m_date,($G$2+18),m_active,1,m_start,"&lt;"&amp;1080,m_end,"&gt;"&amp;1020),INDEX(m_label,_xlfn.MAXIFS(m_row,m_teacher,AL$4,m_date,($G$2+18),m_active,1,m_start,"&lt;"&amp;1080,m_end,"&gt;"&amp;1020))))))</f>
        <v/>
      </c>
      <c r="AM57" s="82" t="str">
        <f aca="false">IF(OR(AM$4="",MONTH(($G$2+18))&lt;&gt;MONTH($C$2)),"",IF(COUNTIFS(m_teacher,AM$4,m_date,($G$2+18),m_active,1,m_start,"&lt;"&amp;1080,m_end,"&gt;"&amp;1020)=0,"",IF(COUNTIFS(m_teacher,AM$4,m_date,($G$2+18),m_active,1,m_start,"&lt;"&amp;1080,m_end,"&gt;"&amp;1020)&gt;1,"충돌",HYPERLINK("#'관리자_MASTER'!D"&amp;_xlfn.MAXIFS(m_row,m_teacher,AM$4,m_date,($G$2+18),m_active,1,m_start,"&lt;"&amp;1080,m_end,"&gt;"&amp;1020),INDEX(m_label,_xlfn.MAXIFS(m_row,m_teacher,AM$4,m_date,($G$2+18),m_active,1,m_start,"&lt;"&amp;1080,m_end,"&gt;"&amp;1020))))))</f>
        <v/>
      </c>
      <c r="AN57" s="82" t="str">
        <f aca="false">IF(OR(AN$4="",MONTH(($G$2+18))&lt;&gt;MONTH($C$2)),"",IF(COUNTIFS(m_teacher,AN$4,m_date,($G$2+18),m_active,1,m_start,"&lt;"&amp;1080,m_end,"&gt;"&amp;1020)=0,"",IF(COUNTIFS(m_teacher,AN$4,m_date,($G$2+18),m_active,1,m_start,"&lt;"&amp;1080,m_end,"&gt;"&amp;1020)&gt;1,"충돌",HYPERLINK("#'관리자_MASTER'!D"&amp;_xlfn.MAXIFS(m_row,m_teacher,AN$4,m_date,($G$2+18),m_active,1,m_start,"&lt;"&amp;1080,m_end,"&gt;"&amp;1020),INDEX(m_label,_xlfn.MAXIFS(m_row,m_teacher,AN$4,m_date,($G$2+18),m_active,1,m_start,"&lt;"&amp;1080,m_end,"&gt;"&amp;1020))))))</f>
        <v/>
      </c>
      <c r="AO57" s="82" t="str">
        <f aca="false">IF(OR(AO$4="",MONTH(($G$2+18))&lt;&gt;MONTH($C$2)),"",IF(COUNTIFS(m_teacher,AO$4,m_date,($G$2+18),m_active,1,m_start,"&lt;"&amp;1080,m_end,"&gt;"&amp;1020)=0,"",IF(COUNTIFS(m_teacher,AO$4,m_date,($G$2+18),m_active,1,m_start,"&lt;"&amp;1080,m_end,"&gt;"&amp;1020)&gt;1,"충돌",HYPERLINK("#'관리자_MASTER'!D"&amp;_xlfn.MAXIFS(m_row,m_teacher,AO$4,m_date,($G$2+18),m_active,1,m_start,"&lt;"&amp;1080,m_end,"&gt;"&amp;1020),INDEX(m_label,_xlfn.MAXIFS(m_row,m_teacher,AO$4,m_date,($G$2+18),m_active,1,m_start,"&lt;"&amp;1080,m_end,"&gt;"&amp;1020))))))</f>
        <v/>
      </c>
      <c r="AP57" s="82" t="str">
        <f aca="false">IF(OR(AP$4="",MONTH(($G$2+18))&lt;&gt;MONTH($C$2)),"",IF(COUNTIFS(m_teacher,AP$4,m_date,($G$2+18),m_active,1,m_start,"&lt;"&amp;1080,m_end,"&gt;"&amp;1020)=0,"",IF(COUNTIFS(m_teacher,AP$4,m_date,($G$2+18),m_active,1,m_start,"&lt;"&amp;1080,m_end,"&gt;"&amp;1020)&gt;1,"충돌",HYPERLINK("#'관리자_MASTER'!D"&amp;_xlfn.MAXIFS(m_row,m_teacher,AP$4,m_date,($G$2+18),m_active,1,m_start,"&lt;"&amp;1080,m_end,"&gt;"&amp;1020),INDEX(m_label,_xlfn.MAXIFS(m_row,m_teacher,AP$4,m_date,($G$2+18),m_active,1,m_start,"&lt;"&amp;1080,m_end,"&gt;"&amp;1020))))))</f>
        <v/>
      </c>
      <c r="AQ57" s="78"/>
      <c r="AR57" s="79" t="s">
        <v>99</v>
      </c>
      <c r="AS57" s="82" t="str">
        <f aca="false">IF(OR(AS$4="",MONTH(($G$2+25))&lt;&gt;MONTH($C$2)),"",IF(COUNTIFS(m_teacher,AS$4,m_date,($G$2+25),m_active,1,m_start,"&lt;"&amp;1080,m_end,"&gt;"&amp;1020)=0,"",IF(COUNTIFS(m_teacher,AS$4,m_date,($G$2+25),m_active,1,m_start,"&lt;"&amp;1080,m_end,"&gt;"&amp;1020)&gt;1,"충돌",HYPERLINK("#'관리자_MASTER'!D"&amp;_xlfn.MAXIFS(m_row,m_teacher,AS$4,m_date,($G$2+25),m_active,1,m_start,"&lt;"&amp;1080,m_end,"&gt;"&amp;1020),INDEX(m_label,_xlfn.MAXIFS(m_row,m_teacher,AS$4,m_date,($G$2+25),m_active,1,m_start,"&lt;"&amp;1080,m_end,"&gt;"&amp;1020))))))</f>
        <v/>
      </c>
      <c r="AT57" s="82" t="str">
        <f aca="false">IF(OR(AT$4="",MONTH(($G$2+25))&lt;&gt;MONTH($C$2)),"",IF(COUNTIFS(m_teacher,AT$4,m_date,($G$2+25),m_active,1,m_start,"&lt;"&amp;1080,m_end,"&gt;"&amp;1020)=0,"",IF(COUNTIFS(m_teacher,AT$4,m_date,($G$2+25),m_active,1,m_start,"&lt;"&amp;1080,m_end,"&gt;"&amp;1020)&gt;1,"충돌",HYPERLINK("#'관리자_MASTER'!D"&amp;_xlfn.MAXIFS(m_row,m_teacher,AT$4,m_date,($G$2+25),m_active,1,m_start,"&lt;"&amp;1080,m_end,"&gt;"&amp;1020),INDEX(m_label,_xlfn.MAXIFS(m_row,m_teacher,AT$4,m_date,($G$2+25),m_active,1,m_start,"&lt;"&amp;1080,m_end,"&gt;"&amp;1020))))))</f>
        <v/>
      </c>
      <c r="AU57" s="82" t="str">
        <f aca="false">IF(OR(AU$4="",MONTH(($G$2+25))&lt;&gt;MONTH($C$2)),"",IF(COUNTIFS(m_teacher,AU$4,m_date,($G$2+25),m_active,1,m_start,"&lt;"&amp;1080,m_end,"&gt;"&amp;1020)=0,"",IF(COUNTIFS(m_teacher,AU$4,m_date,($G$2+25),m_active,1,m_start,"&lt;"&amp;1080,m_end,"&gt;"&amp;1020)&gt;1,"충돌",HYPERLINK("#'관리자_MASTER'!D"&amp;_xlfn.MAXIFS(m_row,m_teacher,AU$4,m_date,($G$2+25),m_active,1,m_start,"&lt;"&amp;1080,m_end,"&gt;"&amp;1020),INDEX(m_label,_xlfn.MAXIFS(m_row,m_teacher,AU$4,m_date,($G$2+25),m_active,1,m_start,"&lt;"&amp;1080,m_end,"&gt;"&amp;1020))))))</f>
        <v/>
      </c>
      <c r="AV57" s="82" t="str">
        <f aca="false">IF(OR(AV$4="",MONTH(($G$2+25))&lt;&gt;MONTH($C$2)),"",IF(COUNTIFS(m_teacher,AV$4,m_date,($G$2+25),m_active,1,m_start,"&lt;"&amp;1080,m_end,"&gt;"&amp;1020)=0,"",IF(COUNTIFS(m_teacher,AV$4,m_date,($G$2+25),m_active,1,m_start,"&lt;"&amp;1080,m_end,"&gt;"&amp;1020)&gt;1,"충돌",HYPERLINK("#'관리자_MASTER'!D"&amp;_xlfn.MAXIFS(m_row,m_teacher,AV$4,m_date,($G$2+25),m_active,1,m_start,"&lt;"&amp;1080,m_end,"&gt;"&amp;1020),INDEX(m_label,_xlfn.MAXIFS(m_row,m_teacher,AV$4,m_date,($G$2+25),m_active,1,m_start,"&lt;"&amp;1080,m_end,"&gt;"&amp;1020))))))</f>
        <v/>
      </c>
      <c r="AW57" s="82" t="str">
        <f aca="false">IF(OR(AW$4="",MONTH(($G$2+25))&lt;&gt;MONTH($C$2)),"",IF(COUNTIFS(m_teacher,AW$4,m_date,($G$2+25),m_active,1,m_start,"&lt;"&amp;1080,m_end,"&gt;"&amp;1020)=0,"",IF(COUNTIFS(m_teacher,AW$4,m_date,($G$2+25),m_active,1,m_start,"&lt;"&amp;1080,m_end,"&gt;"&amp;1020)&gt;1,"충돌",HYPERLINK("#'관리자_MASTER'!D"&amp;_xlfn.MAXIFS(m_row,m_teacher,AW$4,m_date,($G$2+25),m_active,1,m_start,"&lt;"&amp;1080,m_end,"&gt;"&amp;1020),INDEX(m_label,_xlfn.MAXIFS(m_row,m_teacher,AW$4,m_date,($G$2+25),m_active,1,m_start,"&lt;"&amp;1080,m_end,"&gt;"&amp;1020))))))</f>
        <v/>
      </c>
      <c r="AX57" s="82" t="str">
        <f aca="false">IF(OR(AX$4="",MONTH(($G$2+25))&lt;&gt;MONTH($C$2)),"",IF(COUNTIFS(m_teacher,AX$4,m_date,($G$2+25),m_active,1,m_start,"&lt;"&amp;1080,m_end,"&gt;"&amp;1020)=0,"",IF(COUNTIFS(m_teacher,AX$4,m_date,($G$2+25),m_active,1,m_start,"&lt;"&amp;1080,m_end,"&gt;"&amp;1020)&gt;1,"충돌",HYPERLINK("#'관리자_MASTER'!D"&amp;_xlfn.MAXIFS(m_row,m_teacher,AX$4,m_date,($G$2+25),m_active,1,m_start,"&lt;"&amp;1080,m_end,"&gt;"&amp;1020),INDEX(m_label,_xlfn.MAXIFS(m_row,m_teacher,AX$4,m_date,($G$2+25),m_active,1,m_start,"&lt;"&amp;1080,m_end,"&gt;"&amp;1020))))))</f>
        <v/>
      </c>
      <c r="AY57" s="82" t="str">
        <f aca="false">IF(OR(AY$4="",MONTH(($G$2+25))&lt;&gt;MONTH($C$2)),"",IF(COUNTIFS(m_teacher,AY$4,m_date,($G$2+25),m_active,1,m_start,"&lt;"&amp;1080,m_end,"&gt;"&amp;1020)=0,"",IF(COUNTIFS(m_teacher,AY$4,m_date,($G$2+25),m_active,1,m_start,"&lt;"&amp;1080,m_end,"&gt;"&amp;1020)&gt;1,"충돌",HYPERLINK("#'관리자_MASTER'!D"&amp;_xlfn.MAXIFS(m_row,m_teacher,AY$4,m_date,($G$2+25),m_active,1,m_start,"&lt;"&amp;1080,m_end,"&gt;"&amp;1020),INDEX(m_label,_xlfn.MAXIFS(m_row,m_teacher,AY$4,m_date,($G$2+25),m_active,1,m_start,"&lt;"&amp;1080,m_end,"&gt;"&amp;1020))))))</f>
        <v/>
      </c>
      <c r="AZ57" s="82" t="str">
        <f aca="false">IF(OR(AZ$4="",MONTH(($G$2+25))&lt;&gt;MONTH($C$2)),"",IF(COUNTIFS(m_teacher,AZ$4,m_date,($G$2+25),m_active,1,m_start,"&lt;"&amp;1080,m_end,"&gt;"&amp;1020)=0,"",IF(COUNTIFS(m_teacher,AZ$4,m_date,($G$2+25),m_active,1,m_start,"&lt;"&amp;1080,m_end,"&gt;"&amp;1020)&gt;1,"충돌",HYPERLINK("#'관리자_MASTER'!D"&amp;_xlfn.MAXIFS(m_row,m_teacher,AZ$4,m_date,($G$2+25),m_active,1,m_start,"&lt;"&amp;1080,m_end,"&gt;"&amp;1020),INDEX(m_label,_xlfn.MAXIFS(m_row,m_teacher,AZ$4,m_date,($G$2+25),m_active,1,m_start,"&lt;"&amp;1080,m_end,"&gt;"&amp;1020))))))</f>
        <v/>
      </c>
      <c r="BA57" s="82" t="str">
        <f aca="false">IF(OR(BA$4="",MONTH(($G$2+25))&lt;&gt;MONTH($C$2)),"",IF(COUNTIFS(m_teacher,BA$4,m_date,($G$2+25),m_active,1,m_start,"&lt;"&amp;1080,m_end,"&gt;"&amp;1020)=0,"",IF(COUNTIFS(m_teacher,BA$4,m_date,($G$2+25),m_active,1,m_start,"&lt;"&amp;1080,m_end,"&gt;"&amp;1020)&gt;1,"충돌",HYPERLINK("#'관리자_MASTER'!D"&amp;_xlfn.MAXIFS(m_row,m_teacher,BA$4,m_date,($G$2+25),m_active,1,m_start,"&lt;"&amp;1080,m_end,"&gt;"&amp;1020),INDEX(m_label,_xlfn.MAXIFS(m_row,m_teacher,BA$4,m_date,($G$2+25),m_active,1,m_start,"&lt;"&amp;1080,m_end,"&gt;"&amp;1020))))))</f>
        <v/>
      </c>
      <c r="BB57" s="82" t="str">
        <f aca="false">IF(OR(BB$4="",MONTH(($G$2+25))&lt;&gt;MONTH($C$2)),"",IF(COUNTIFS(m_teacher,BB$4,m_date,($G$2+25),m_active,1,m_start,"&lt;"&amp;1080,m_end,"&gt;"&amp;1020)=0,"",IF(COUNTIFS(m_teacher,BB$4,m_date,($G$2+25),m_active,1,m_start,"&lt;"&amp;1080,m_end,"&gt;"&amp;1020)&gt;1,"충돌",HYPERLINK("#'관리자_MASTER'!D"&amp;_xlfn.MAXIFS(m_row,m_teacher,BB$4,m_date,($G$2+25),m_active,1,m_start,"&lt;"&amp;1080,m_end,"&gt;"&amp;1020),INDEX(m_label,_xlfn.MAXIFS(m_row,m_teacher,BB$4,m_date,($G$2+25),m_active,1,m_start,"&lt;"&amp;1080,m_end,"&gt;"&amp;1020))))))</f>
        <v/>
      </c>
      <c r="BC57" s="82" t="str">
        <f aca="false">IF(OR(BC$4="",MONTH(($G$2+25))&lt;&gt;MONTH($C$2)),"",IF(COUNTIFS(m_teacher,BC$4,m_date,($G$2+25),m_active,1,m_start,"&lt;"&amp;1080,m_end,"&gt;"&amp;1020)=0,"",IF(COUNTIFS(m_teacher,BC$4,m_date,($G$2+25),m_active,1,m_start,"&lt;"&amp;1080,m_end,"&gt;"&amp;1020)&gt;1,"충돌",HYPERLINK("#'관리자_MASTER'!D"&amp;_xlfn.MAXIFS(m_row,m_teacher,BC$4,m_date,($G$2+25),m_active,1,m_start,"&lt;"&amp;1080,m_end,"&gt;"&amp;1020),INDEX(m_label,_xlfn.MAXIFS(m_row,m_teacher,BC$4,m_date,($G$2+25),m_active,1,m_start,"&lt;"&amp;1080,m_end,"&gt;"&amp;1020))))))</f>
        <v/>
      </c>
      <c r="BD57" s="82" t="str">
        <f aca="false">IF(OR(BD$4="",MONTH(($G$2+25))&lt;&gt;MONTH($C$2)),"",IF(COUNTIFS(m_teacher,BD$4,m_date,($G$2+25),m_active,1,m_start,"&lt;"&amp;1080,m_end,"&gt;"&amp;1020)=0,"",IF(COUNTIFS(m_teacher,BD$4,m_date,($G$2+25),m_active,1,m_start,"&lt;"&amp;1080,m_end,"&gt;"&amp;1020)&gt;1,"충돌",HYPERLINK("#'관리자_MASTER'!D"&amp;_xlfn.MAXIFS(m_row,m_teacher,BD$4,m_date,($G$2+25),m_active,1,m_start,"&lt;"&amp;1080,m_end,"&gt;"&amp;1020),INDEX(m_label,_xlfn.MAXIFS(m_row,m_teacher,BD$4,m_date,($G$2+25),m_active,1,m_start,"&lt;"&amp;1080,m_end,"&gt;"&amp;1020))))))</f>
        <v/>
      </c>
      <c r="BE57" s="75"/>
      <c r="BF57" s="76" t="s">
        <v>99</v>
      </c>
      <c r="BG57" s="81" t="str">
        <f aca="false">IF(OR(BG$4="",MONTH(($G$2+32))&lt;&gt;MONTH($C$2)),"",IF(COUNTIFS(m_teacher,BG$4,m_date,($G$2+32),m_active,1,m_start,"&lt;"&amp;1080,m_end,"&gt;"&amp;1020)=0,"",IF(COUNTIFS(m_teacher,BG$4,m_date,($G$2+32),m_active,1,m_start,"&lt;"&amp;1080,m_end,"&gt;"&amp;1020)&gt;1,"충돌",HYPERLINK("#'관리자_MASTER'!D"&amp;_xlfn.MAXIFS(m_row,m_teacher,BG$4,m_date,($G$2+32),m_active,1,m_start,"&lt;"&amp;1080,m_end,"&gt;"&amp;1020),INDEX(m_label,_xlfn.MAXIFS(m_row,m_teacher,BG$4,m_date,($G$2+32),m_active,1,m_start,"&lt;"&amp;1080,m_end,"&gt;"&amp;1020))))))</f>
        <v/>
      </c>
      <c r="BH57" s="81" t="str">
        <f aca="false">IF(OR(BH$4="",MONTH(($G$2+32))&lt;&gt;MONTH($C$2)),"",IF(COUNTIFS(m_teacher,BH$4,m_date,($G$2+32),m_active,1,m_start,"&lt;"&amp;1080,m_end,"&gt;"&amp;1020)=0,"",IF(COUNTIFS(m_teacher,BH$4,m_date,($G$2+32),m_active,1,m_start,"&lt;"&amp;1080,m_end,"&gt;"&amp;1020)&gt;1,"충돌",HYPERLINK("#'관리자_MASTER'!D"&amp;_xlfn.MAXIFS(m_row,m_teacher,BH$4,m_date,($G$2+32),m_active,1,m_start,"&lt;"&amp;1080,m_end,"&gt;"&amp;1020),INDEX(m_label,_xlfn.MAXIFS(m_row,m_teacher,BH$4,m_date,($G$2+32),m_active,1,m_start,"&lt;"&amp;1080,m_end,"&gt;"&amp;1020))))))</f>
        <v/>
      </c>
      <c r="BI57" s="81" t="str">
        <f aca="false">IF(OR(BI$4="",MONTH(($G$2+32))&lt;&gt;MONTH($C$2)),"",IF(COUNTIFS(m_teacher,BI$4,m_date,($G$2+32),m_active,1,m_start,"&lt;"&amp;1080,m_end,"&gt;"&amp;1020)=0,"",IF(COUNTIFS(m_teacher,BI$4,m_date,($G$2+32),m_active,1,m_start,"&lt;"&amp;1080,m_end,"&gt;"&amp;1020)&gt;1,"충돌",HYPERLINK("#'관리자_MASTER'!D"&amp;_xlfn.MAXIFS(m_row,m_teacher,BI$4,m_date,($G$2+32),m_active,1,m_start,"&lt;"&amp;1080,m_end,"&gt;"&amp;1020),INDEX(m_label,_xlfn.MAXIFS(m_row,m_teacher,BI$4,m_date,($G$2+32),m_active,1,m_start,"&lt;"&amp;1080,m_end,"&gt;"&amp;1020))))))</f>
        <v/>
      </c>
      <c r="BJ57" s="81" t="str">
        <f aca="false">IF(OR(BJ$4="",MONTH(($G$2+32))&lt;&gt;MONTH($C$2)),"",IF(COUNTIFS(m_teacher,BJ$4,m_date,($G$2+32),m_active,1,m_start,"&lt;"&amp;1080,m_end,"&gt;"&amp;1020)=0,"",IF(COUNTIFS(m_teacher,BJ$4,m_date,($G$2+32),m_active,1,m_start,"&lt;"&amp;1080,m_end,"&gt;"&amp;1020)&gt;1,"충돌",HYPERLINK("#'관리자_MASTER'!D"&amp;_xlfn.MAXIFS(m_row,m_teacher,BJ$4,m_date,($G$2+32),m_active,1,m_start,"&lt;"&amp;1080,m_end,"&gt;"&amp;1020),INDEX(m_label,_xlfn.MAXIFS(m_row,m_teacher,BJ$4,m_date,($G$2+32),m_active,1,m_start,"&lt;"&amp;1080,m_end,"&gt;"&amp;1020))))))</f>
        <v/>
      </c>
      <c r="BK57" s="81" t="str">
        <f aca="false">IF(OR(BK$4="",MONTH(($G$2+32))&lt;&gt;MONTH($C$2)),"",IF(COUNTIFS(m_teacher,BK$4,m_date,($G$2+32),m_active,1,m_start,"&lt;"&amp;1080,m_end,"&gt;"&amp;1020)=0,"",IF(COUNTIFS(m_teacher,BK$4,m_date,($G$2+32),m_active,1,m_start,"&lt;"&amp;1080,m_end,"&gt;"&amp;1020)&gt;1,"충돌",HYPERLINK("#'관리자_MASTER'!D"&amp;_xlfn.MAXIFS(m_row,m_teacher,BK$4,m_date,($G$2+32),m_active,1,m_start,"&lt;"&amp;1080,m_end,"&gt;"&amp;1020),INDEX(m_label,_xlfn.MAXIFS(m_row,m_teacher,BK$4,m_date,($G$2+32),m_active,1,m_start,"&lt;"&amp;1080,m_end,"&gt;"&amp;1020))))))</f>
        <v/>
      </c>
      <c r="BL57" s="81" t="str">
        <f aca="false">IF(OR(BL$4="",MONTH(($G$2+32))&lt;&gt;MONTH($C$2)),"",IF(COUNTIFS(m_teacher,BL$4,m_date,($G$2+32),m_active,1,m_start,"&lt;"&amp;1080,m_end,"&gt;"&amp;1020)=0,"",IF(COUNTIFS(m_teacher,BL$4,m_date,($G$2+32),m_active,1,m_start,"&lt;"&amp;1080,m_end,"&gt;"&amp;1020)&gt;1,"충돌",HYPERLINK("#'관리자_MASTER'!D"&amp;_xlfn.MAXIFS(m_row,m_teacher,BL$4,m_date,($G$2+32),m_active,1,m_start,"&lt;"&amp;1080,m_end,"&gt;"&amp;1020),INDEX(m_label,_xlfn.MAXIFS(m_row,m_teacher,BL$4,m_date,($G$2+32),m_active,1,m_start,"&lt;"&amp;1080,m_end,"&gt;"&amp;1020))))))</f>
        <v/>
      </c>
      <c r="BM57" s="81" t="str">
        <f aca="false">IF(OR(BM$4="",MONTH(($G$2+32))&lt;&gt;MONTH($C$2)),"",IF(COUNTIFS(m_teacher,BM$4,m_date,($G$2+32),m_active,1,m_start,"&lt;"&amp;1080,m_end,"&gt;"&amp;1020)=0,"",IF(COUNTIFS(m_teacher,BM$4,m_date,($G$2+32),m_active,1,m_start,"&lt;"&amp;1080,m_end,"&gt;"&amp;1020)&gt;1,"충돌",HYPERLINK("#'관리자_MASTER'!D"&amp;_xlfn.MAXIFS(m_row,m_teacher,BM$4,m_date,($G$2+32),m_active,1,m_start,"&lt;"&amp;1080,m_end,"&gt;"&amp;1020),INDEX(m_label,_xlfn.MAXIFS(m_row,m_teacher,BM$4,m_date,($G$2+32),m_active,1,m_start,"&lt;"&amp;1080,m_end,"&gt;"&amp;1020))))))</f>
        <v/>
      </c>
      <c r="BN57" s="81" t="str">
        <f aca="false">IF(OR(BN$4="",MONTH(($G$2+32))&lt;&gt;MONTH($C$2)),"",IF(COUNTIFS(m_teacher,BN$4,m_date,($G$2+32),m_active,1,m_start,"&lt;"&amp;1080,m_end,"&gt;"&amp;1020)=0,"",IF(COUNTIFS(m_teacher,BN$4,m_date,($G$2+32),m_active,1,m_start,"&lt;"&amp;1080,m_end,"&gt;"&amp;1020)&gt;1,"충돌",HYPERLINK("#'관리자_MASTER'!D"&amp;_xlfn.MAXIFS(m_row,m_teacher,BN$4,m_date,($G$2+32),m_active,1,m_start,"&lt;"&amp;1080,m_end,"&gt;"&amp;1020),INDEX(m_label,_xlfn.MAXIFS(m_row,m_teacher,BN$4,m_date,($G$2+32),m_active,1,m_start,"&lt;"&amp;1080,m_end,"&gt;"&amp;1020))))))</f>
        <v/>
      </c>
      <c r="BO57" s="81" t="str">
        <f aca="false">IF(OR(BO$4="",MONTH(($G$2+32))&lt;&gt;MONTH($C$2)),"",IF(COUNTIFS(m_teacher,BO$4,m_date,($G$2+32),m_active,1,m_start,"&lt;"&amp;1080,m_end,"&gt;"&amp;1020)=0,"",IF(COUNTIFS(m_teacher,BO$4,m_date,($G$2+32),m_active,1,m_start,"&lt;"&amp;1080,m_end,"&gt;"&amp;1020)&gt;1,"충돌",HYPERLINK("#'관리자_MASTER'!D"&amp;_xlfn.MAXIFS(m_row,m_teacher,BO$4,m_date,($G$2+32),m_active,1,m_start,"&lt;"&amp;1080,m_end,"&gt;"&amp;1020),INDEX(m_label,_xlfn.MAXIFS(m_row,m_teacher,BO$4,m_date,($G$2+32),m_active,1,m_start,"&lt;"&amp;1080,m_end,"&gt;"&amp;1020))))))</f>
        <v/>
      </c>
      <c r="BP57" s="81" t="str">
        <f aca="false">IF(OR(BP$4="",MONTH(($G$2+32))&lt;&gt;MONTH($C$2)),"",IF(COUNTIFS(m_teacher,BP$4,m_date,($G$2+32),m_active,1,m_start,"&lt;"&amp;1080,m_end,"&gt;"&amp;1020)=0,"",IF(COUNTIFS(m_teacher,BP$4,m_date,($G$2+32),m_active,1,m_start,"&lt;"&amp;1080,m_end,"&gt;"&amp;1020)&gt;1,"충돌",HYPERLINK("#'관리자_MASTER'!D"&amp;_xlfn.MAXIFS(m_row,m_teacher,BP$4,m_date,($G$2+32),m_active,1,m_start,"&lt;"&amp;1080,m_end,"&gt;"&amp;1020),INDEX(m_label,_xlfn.MAXIFS(m_row,m_teacher,BP$4,m_date,($G$2+32),m_active,1,m_start,"&lt;"&amp;1080,m_end,"&gt;"&amp;1020))))))</f>
        <v/>
      </c>
      <c r="BQ57" s="81" t="str">
        <f aca="false">IF(OR(BQ$4="",MONTH(($G$2+32))&lt;&gt;MONTH($C$2)),"",IF(COUNTIFS(m_teacher,BQ$4,m_date,($G$2+32),m_active,1,m_start,"&lt;"&amp;1080,m_end,"&gt;"&amp;1020)=0,"",IF(COUNTIFS(m_teacher,BQ$4,m_date,($G$2+32),m_active,1,m_start,"&lt;"&amp;1080,m_end,"&gt;"&amp;1020)&gt;1,"충돌",HYPERLINK("#'관리자_MASTER'!D"&amp;_xlfn.MAXIFS(m_row,m_teacher,BQ$4,m_date,($G$2+32),m_active,1,m_start,"&lt;"&amp;1080,m_end,"&gt;"&amp;1020),INDEX(m_label,_xlfn.MAXIFS(m_row,m_teacher,BQ$4,m_date,($G$2+32),m_active,1,m_start,"&lt;"&amp;1080,m_end,"&gt;"&amp;1020))))))</f>
        <v/>
      </c>
      <c r="BR57" s="81" t="str">
        <f aca="false">IF(OR(BR$4="",MONTH(($G$2+32))&lt;&gt;MONTH($C$2)),"",IF(COUNTIFS(m_teacher,BR$4,m_date,($G$2+32),m_active,1,m_start,"&lt;"&amp;1080,m_end,"&gt;"&amp;1020)=0,"",IF(COUNTIFS(m_teacher,BR$4,m_date,($G$2+32),m_active,1,m_start,"&lt;"&amp;1080,m_end,"&gt;"&amp;1020)&gt;1,"충돌",HYPERLINK("#'관리자_MASTER'!D"&amp;_xlfn.MAXIFS(m_row,m_teacher,BR$4,m_date,($G$2+32),m_active,1,m_start,"&lt;"&amp;1080,m_end,"&gt;"&amp;1020),INDEX(m_label,_xlfn.MAXIFS(m_row,m_teacher,BR$4,m_date,($G$2+32),m_active,1,m_start,"&lt;"&amp;1080,m_end,"&gt;"&amp;1020))))))</f>
        <v/>
      </c>
    </row>
    <row r="58" customFormat="false" ht="19.5" hidden="false" customHeight="true" outlineLevel="0" collapsed="false">
      <c r="A58" s="78"/>
      <c r="B58" s="79" t="s">
        <v>100</v>
      </c>
      <c r="C58" s="82" t="str">
        <f aca="false">IF(OR(C$4="",MONTH(($G$2+4))&lt;&gt;MONTH($C$2)),"",IF(COUNTIFS(m_teacher,C$4,m_date,($G$2+4),m_active,1,m_start,"&lt;"&amp;1140,m_end,"&gt;"&amp;1080)=0,"",IF(COUNTIFS(m_teacher,C$4,m_date,($G$2+4),m_active,1,m_start,"&lt;"&amp;1140,m_end,"&gt;"&amp;1080)&gt;1,"충돌",HYPERLINK("#'관리자_MASTER'!D"&amp;_xlfn.MAXIFS(m_row,m_teacher,C$4,m_date,($G$2+4),m_active,1,m_start,"&lt;"&amp;1140,m_end,"&gt;"&amp;1080),INDEX(m_label,_xlfn.MAXIFS(m_row,m_teacher,C$4,m_date,($G$2+4),m_active,1,m_start,"&lt;"&amp;1140,m_end,"&gt;"&amp;1080))))))</f>
        <v/>
      </c>
      <c r="D58" s="82" t="str">
        <f aca="false">IF(OR(D$4="",MONTH(($G$2+4))&lt;&gt;MONTH($C$2)),"",IF(COUNTIFS(m_teacher,D$4,m_date,($G$2+4),m_active,1,m_start,"&lt;"&amp;1140,m_end,"&gt;"&amp;1080)=0,"",IF(COUNTIFS(m_teacher,D$4,m_date,($G$2+4),m_active,1,m_start,"&lt;"&amp;1140,m_end,"&gt;"&amp;1080)&gt;1,"충돌",HYPERLINK("#'관리자_MASTER'!D"&amp;_xlfn.MAXIFS(m_row,m_teacher,D$4,m_date,($G$2+4),m_active,1,m_start,"&lt;"&amp;1140,m_end,"&gt;"&amp;1080),INDEX(m_label,_xlfn.MAXIFS(m_row,m_teacher,D$4,m_date,($G$2+4),m_active,1,m_start,"&lt;"&amp;1140,m_end,"&gt;"&amp;1080))))))</f>
        <v/>
      </c>
      <c r="E58" s="82" t="str">
        <f aca="false">IF(OR(E$4="",MONTH(($G$2+4))&lt;&gt;MONTH($C$2)),"",IF(COUNTIFS(m_teacher,E$4,m_date,($G$2+4),m_active,1,m_start,"&lt;"&amp;1140,m_end,"&gt;"&amp;1080)=0,"",IF(COUNTIFS(m_teacher,E$4,m_date,($G$2+4),m_active,1,m_start,"&lt;"&amp;1140,m_end,"&gt;"&amp;1080)&gt;1,"충돌",HYPERLINK("#'관리자_MASTER'!D"&amp;_xlfn.MAXIFS(m_row,m_teacher,E$4,m_date,($G$2+4),m_active,1,m_start,"&lt;"&amp;1140,m_end,"&gt;"&amp;1080),INDEX(m_label,_xlfn.MAXIFS(m_row,m_teacher,E$4,m_date,($G$2+4),m_active,1,m_start,"&lt;"&amp;1140,m_end,"&gt;"&amp;1080))))))</f>
        <v/>
      </c>
      <c r="F58" s="82" t="str">
        <f aca="false">IF(OR(F$4="",MONTH(($G$2+4))&lt;&gt;MONTH($C$2)),"",IF(COUNTIFS(m_teacher,F$4,m_date,($G$2+4),m_active,1,m_start,"&lt;"&amp;1140,m_end,"&gt;"&amp;1080)=0,"",IF(COUNTIFS(m_teacher,F$4,m_date,($G$2+4),m_active,1,m_start,"&lt;"&amp;1140,m_end,"&gt;"&amp;1080)&gt;1,"충돌",HYPERLINK("#'관리자_MASTER'!D"&amp;_xlfn.MAXIFS(m_row,m_teacher,F$4,m_date,($G$2+4),m_active,1,m_start,"&lt;"&amp;1140,m_end,"&gt;"&amp;1080),INDEX(m_label,_xlfn.MAXIFS(m_row,m_teacher,F$4,m_date,($G$2+4),m_active,1,m_start,"&lt;"&amp;1140,m_end,"&gt;"&amp;1080))))))</f>
        <v/>
      </c>
      <c r="G58" s="82" t="str">
        <f aca="false">IF(OR(G$4="",MONTH(($G$2+4))&lt;&gt;MONTH($C$2)),"",IF(COUNTIFS(m_teacher,G$4,m_date,($G$2+4),m_active,1,m_start,"&lt;"&amp;1140,m_end,"&gt;"&amp;1080)=0,"",IF(COUNTIFS(m_teacher,G$4,m_date,($G$2+4),m_active,1,m_start,"&lt;"&amp;1140,m_end,"&gt;"&amp;1080)&gt;1,"충돌",HYPERLINK("#'관리자_MASTER'!D"&amp;_xlfn.MAXIFS(m_row,m_teacher,G$4,m_date,($G$2+4),m_active,1,m_start,"&lt;"&amp;1140,m_end,"&gt;"&amp;1080),INDEX(m_label,_xlfn.MAXIFS(m_row,m_teacher,G$4,m_date,($G$2+4),m_active,1,m_start,"&lt;"&amp;1140,m_end,"&gt;"&amp;1080))))))</f>
        <v/>
      </c>
      <c r="H58" s="82" t="str">
        <f aca="false">IF(OR(H$4="",MONTH(($G$2+4))&lt;&gt;MONTH($C$2)),"",IF(COUNTIFS(m_teacher,H$4,m_date,($G$2+4),m_active,1,m_start,"&lt;"&amp;1140,m_end,"&gt;"&amp;1080)=0,"",IF(COUNTIFS(m_teacher,H$4,m_date,($G$2+4),m_active,1,m_start,"&lt;"&amp;1140,m_end,"&gt;"&amp;1080)&gt;1,"충돌",HYPERLINK("#'관리자_MASTER'!D"&amp;_xlfn.MAXIFS(m_row,m_teacher,H$4,m_date,($G$2+4),m_active,1,m_start,"&lt;"&amp;1140,m_end,"&gt;"&amp;1080),INDEX(m_label,_xlfn.MAXIFS(m_row,m_teacher,H$4,m_date,($G$2+4),m_active,1,m_start,"&lt;"&amp;1140,m_end,"&gt;"&amp;1080))))))</f>
        <v/>
      </c>
      <c r="I58" s="82" t="str">
        <f aca="false">IF(OR(I$4="",MONTH(($G$2+4))&lt;&gt;MONTH($C$2)),"",IF(COUNTIFS(m_teacher,I$4,m_date,($G$2+4),m_active,1,m_start,"&lt;"&amp;1140,m_end,"&gt;"&amp;1080)=0,"",IF(COUNTIFS(m_teacher,I$4,m_date,($G$2+4),m_active,1,m_start,"&lt;"&amp;1140,m_end,"&gt;"&amp;1080)&gt;1,"충돌",HYPERLINK("#'관리자_MASTER'!D"&amp;_xlfn.MAXIFS(m_row,m_teacher,I$4,m_date,($G$2+4),m_active,1,m_start,"&lt;"&amp;1140,m_end,"&gt;"&amp;1080),INDEX(m_label,_xlfn.MAXIFS(m_row,m_teacher,I$4,m_date,($G$2+4),m_active,1,m_start,"&lt;"&amp;1140,m_end,"&gt;"&amp;1080))))))</f>
        <v/>
      </c>
      <c r="J58" s="82" t="str">
        <f aca="false">IF(OR(J$4="",MONTH(($G$2+4))&lt;&gt;MONTH($C$2)),"",IF(COUNTIFS(m_teacher,J$4,m_date,($G$2+4),m_active,1,m_start,"&lt;"&amp;1140,m_end,"&gt;"&amp;1080)=0,"",IF(COUNTIFS(m_teacher,J$4,m_date,($G$2+4),m_active,1,m_start,"&lt;"&amp;1140,m_end,"&gt;"&amp;1080)&gt;1,"충돌",HYPERLINK("#'관리자_MASTER'!D"&amp;_xlfn.MAXIFS(m_row,m_teacher,J$4,m_date,($G$2+4),m_active,1,m_start,"&lt;"&amp;1140,m_end,"&gt;"&amp;1080),INDEX(m_label,_xlfn.MAXIFS(m_row,m_teacher,J$4,m_date,($G$2+4),m_active,1,m_start,"&lt;"&amp;1140,m_end,"&gt;"&amp;1080))))))</f>
        <v/>
      </c>
      <c r="K58" s="82" t="str">
        <f aca="false">IF(OR(K$4="",MONTH(($G$2+4))&lt;&gt;MONTH($C$2)),"",IF(COUNTIFS(m_teacher,K$4,m_date,($G$2+4),m_active,1,m_start,"&lt;"&amp;1140,m_end,"&gt;"&amp;1080)=0,"",IF(COUNTIFS(m_teacher,K$4,m_date,($G$2+4),m_active,1,m_start,"&lt;"&amp;1140,m_end,"&gt;"&amp;1080)&gt;1,"충돌",HYPERLINK("#'관리자_MASTER'!D"&amp;_xlfn.MAXIFS(m_row,m_teacher,K$4,m_date,($G$2+4),m_active,1,m_start,"&lt;"&amp;1140,m_end,"&gt;"&amp;1080),INDEX(m_label,_xlfn.MAXIFS(m_row,m_teacher,K$4,m_date,($G$2+4),m_active,1,m_start,"&lt;"&amp;1140,m_end,"&gt;"&amp;1080))))))</f>
        <v/>
      </c>
      <c r="L58" s="82" t="str">
        <f aca="false">IF(OR(L$4="",MONTH(($G$2+4))&lt;&gt;MONTH($C$2)),"",IF(COUNTIFS(m_teacher,L$4,m_date,($G$2+4),m_active,1,m_start,"&lt;"&amp;1140,m_end,"&gt;"&amp;1080)=0,"",IF(COUNTIFS(m_teacher,L$4,m_date,($G$2+4),m_active,1,m_start,"&lt;"&amp;1140,m_end,"&gt;"&amp;1080)&gt;1,"충돌",HYPERLINK("#'관리자_MASTER'!D"&amp;_xlfn.MAXIFS(m_row,m_teacher,L$4,m_date,($G$2+4),m_active,1,m_start,"&lt;"&amp;1140,m_end,"&gt;"&amp;1080),INDEX(m_label,_xlfn.MAXIFS(m_row,m_teacher,L$4,m_date,($G$2+4),m_active,1,m_start,"&lt;"&amp;1140,m_end,"&gt;"&amp;1080))))))</f>
        <v/>
      </c>
      <c r="M58" s="82" t="str">
        <f aca="false">IF(OR(M$4="",MONTH(($G$2+4))&lt;&gt;MONTH($C$2)),"",IF(COUNTIFS(m_teacher,M$4,m_date,($G$2+4),m_active,1,m_start,"&lt;"&amp;1140,m_end,"&gt;"&amp;1080)=0,"",IF(COUNTIFS(m_teacher,M$4,m_date,($G$2+4),m_active,1,m_start,"&lt;"&amp;1140,m_end,"&gt;"&amp;1080)&gt;1,"충돌",HYPERLINK("#'관리자_MASTER'!D"&amp;_xlfn.MAXIFS(m_row,m_teacher,M$4,m_date,($G$2+4),m_active,1,m_start,"&lt;"&amp;1140,m_end,"&gt;"&amp;1080),INDEX(m_label,_xlfn.MAXIFS(m_row,m_teacher,M$4,m_date,($G$2+4),m_active,1,m_start,"&lt;"&amp;1140,m_end,"&gt;"&amp;1080))))))</f>
        <v/>
      </c>
      <c r="N58" s="82" t="str">
        <f aca="false">IF(OR(N$4="",MONTH(($G$2+4))&lt;&gt;MONTH($C$2)),"",IF(COUNTIFS(m_teacher,N$4,m_date,($G$2+4),m_active,1,m_start,"&lt;"&amp;1140,m_end,"&gt;"&amp;1080)=0,"",IF(COUNTIFS(m_teacher,N$4,m_date,($G$2+4),m_active,1,m_start,"&lt;"&amp;1140,m_end,"&gt;"&amp;1080)&gt;1,"충돌",HYPERLINK("#'관리자_MASTER'!D"&amp;_xlfn.MAXIFS(m_row,m_teacher,N$4,m_date,($G$2+4),m_active,1,m_start,"&lt;"&amp;1140,m_end,"&gt;"&amp;1080),INDEX(m_label,_xlfn.MAXIFS(m_row,m_teacher,N$4,m_date,($G$2+4),m_active,1,m_start,"&lt;"&amp;1140,m_end,"&gt;"&amp;1080))))))</f>
        <v/>
      </c>
      <c r="O58" s="78"/>
      <c r="P58" s="79" t="s">
        <v>100</v>
      </c>
      <c r="Q58" s="82" t="str">
        <f aca="false">IF(OR(Q$4="",MONTH(($G$2+11))&lt;&gt;MONTH($C$2)),"",IF(COUNTIFS(m_teacher,Q$4,m_date,($G$2+11),m_active,1,m_start,"&lt;"&amp;1140,m_end,"&gt;"&amp;1080)=0,"",IF(COUNTIFS(m_teacher,Q$4,m_date,($G$2+11),m_active,1,m_start,"&lt;"&amp;1140,m_end,"&gt;"&amp;1080)&gt;1,"충돌",HYPERLINK("#'관리자_MASTER'!D"&amp;_xlfn.MAXIFS(m_row,m_teacher,Q$4,m_date,($G$2+11),m_active,1,m_start,"&lt;"&amp;1140,m_end,"&gt;"&amp;1080),INDEX(m_label,_xlfn.MAXIFS(m_row,m_teacher,Q$4,m_date,($G$2+11),m_active,1,m_start,"&lt;"&amp;1140,m_end,"&gt;"&amp;1080))))))</f>
        <v/>
      </c>
      <c r="R58" s="82" t="str">
        <f aca="false">IF(OR(R$4="",MONTH(($G$2+11))&lt;&gt;MONTH($C$2)),"",IF(COUNTIFS(m_teacher,R$4,m_date,($G$2+11),m_active,1,m_start,"&lt;"&amp;1140,m_end,"&gt;"&amp;1080)=0,"",IF(COUNTIFS(m_teacher,R$4,m_date,($G$2+11),m_active,1,m_start,"&lt;"&amp;1140,m_end,"&gt;"&amp;1080)&gt;1,"충돌",HYPERLINK("#'관리자_MASTER'!D"&amp;_xlfn.MAXIFS(m_row,m_teacher,R$4,m_date,($G$2+11),m_active,1,m_start,"&lt;"&amp;1140,m_end,"&gt;"&amp;1080),INDEX(m_label,_xlfn.MAXIFS(m_row,m_teacher,R$4,m_date,($G$2+11),m_active,1,m_start,"&lt;"&amp;1140,m_end,"&gt;"&amp;1080))))))</f>
        <v/>
      </c>
      <c r="S58" s="82" t="str">
        <f aca="false">IF(OR(S$4="",MONTH(($G$2+11))&lt;&gt;MONTH($C$2)),"",IF(COUNTIFS(m_teacher,S$4,m_date,($G$2+11),m_active,1,m_start,"&lt;"&amp;1140,m_end,"&gt;"&amp;1080)=0,"",IF(COUNTIFS(m_teacher,S$4,m_date,($G$2+11),m_active,1,m_start,"&lt;"&amp;1140,m_end,"&gt;"&amp;1080)&gt;1,"충돌",HYPERLINK("#'관리자_MASTER'!D"&amp;_xlfn.MAXIFS(m_row,m_teacher,S$4,m_date,($G$2+11),m_active,1,m_start,"&lt;"&amp;1140,m_end,"&gt;"&amp;1080),INDEX(m_label,_xlfn.MAXIFS(m_row,m_teacher,S$4,m_date,($G$2+11),m_active,1,m_start,"&lt;"&amp;1140,m_end,"&gt;"&amp;1080))))))</f>
        <v/>
      </c>
      <c r="T58" s="82" t="str">
        <f aca="false">IF(OR(T$4="",MONTH(($G$2+11))&lt;&gt;MONTH($C$2)),"",IF(COUNTIFS(m_teacher,T$4,m_date,($G$2+11),m_active,1,m_start,"&lt;"&amp;1140,m_end,"&gt;"&amp;1080)=0,"",IF(COUNTIFS(m_teacher,T$4,m_date,($G$2+11),m_active,1,m_start,"&lt;"&amp;1140,m_end,"&gt;"&amp;1080)&gt;1,"충돌",HYPERLINK("#'관리자_MASTER'!D"&amp;_xlfn.MAXIFS(m_row,m_teacher,T$4,m_date,($G$2+11),m_active,1,m_start,"&lt;"&amp;1140,m_end,"&gt;"&amp;1080),INDEX(m_label,_xlfn.MAXIFS(m_row,m_teacher,T$4,m_date,($G$2+11),m_active,1,m_start,"&lt;"&amp;1140,m_end,"&gt;"&amp;1080))))))</f>
        <v/>
      </c>
      <c r="U58" s="82" t="str">
        <f aca="false">IF(OR(U$4="",MONTH(($G$2+11))&lt;&gt;MONTH($C$2)),"",IF(COUNTIFS(m_teacher,U$4,m_date,($G$2+11),m_active,1,m_start,"&lt;"&amp;1140,m_end,"&gt;"&amp;1080)=0,"",IF(COUNTIFS(m_teacher,U$4,m_date,($G$2+11),m_active,1,m_start,"&lt;"&amp;1140,m_end,"&gt;"&amp;1080)&gt;1,"충돌",HYPERLINK("#'관리자_MASTER'!D"&amp;_xlfn.MAXIFS(m_row,m_teacher,U$4,m_date,($G$2+11),m_active,1,m_start,"&lt;"&amp;1140,m_end,"&gt;"&amp;1080),INDEX(m_label,_xlfn.MAXIFS(m_row,m_teacher,U$4,m_date,($G$2+11),m_active,1,m_start,"&lt;"&amp;1140,m_end,"&gt;"&amp;1080))))))</f>
        <v/>
      </c>
      <c r="V58" s="82" t="str">
        <f aca="false">IF(OR(V$4="",MONTH(($G$2+11))&lt;&gt;MONTH($C$2)),"",IF(COUNTIFS(m_teacher,V$4,m_date,($G$2+11),m_active,1,m_start,"&lt;"&amp;1140,m_end,"&gt;"&amp;1080)=0,"",IF(COUNTIFS(m_teacher,V$4,m_date,($G$2+11),m_active,1,m_start,"&lt;"&amp;1140,m_end,"&gt;"&amp;1080)&gt;1,"충돌",HYPERLINK("#'관리자_MASTER'!D"&amp;_xlfn.MAXIFS(m_row,m_teacher,V$4,m_date,($G$2+11),m_active,1,m_start,"&lt;"&amp;1140,m_end,"&gt;"&amp;1080),INDEX(m_label,_xlfn.MAXIFS(m_row,m_teacher,V$4,m_date,($G$2+11),m_active,1,m_start,"&lt;"&amp;1140,m_end,"&gt;"&amp;1080))))))</f>
        <v/>
      </c>
      <c r="W58" s="82" t="str">
        <f aca="false">IF(OR(W$4="",MONTH(($G$2+11))&lt;&gt;MONTH($C$2)),"",IF(COUNTIFS(m_teacher,W$4,m_date,($G$2+11),m_active,1,m_start,"&lt;"&amp;1140,m_end,"&gt;"&amp;1080)=0,"",IF(COUNTIFS(m_teacher,W$4,m_date,($G$2+11),m_active,1,m_start,"&lt;"&amp;1140,m_end,"&gt;"&amp;1080)&gt;1,"충돌",HYPERLINK("#'관리자_MASTER'!D"&amp;_xlfn.MAXIFS(m_row,m_teacher,W$4,m_date,($G$2+11),m_active,1,m_start,"&lt;"&amp;1140,m_end,"&gt;"&amp;1080),INDEX(m_label,_xlfn.MAXIFS(m_row,m_teacher,W$4,m_date,($G$2+11),m_active,1,m_start,"&lt;"&amp;1140,m_end,"&gt;"&amp;1080))))))</f>
        <v/>
      </c>
      <c r="X58" s="82" t="str">
        <f aca="false">IF(OR(X$4="",MONTH(($G$2+11))&lt;&gt;MONTH($C$2)),"",IF(COUNTIFS(m_teacher,X$4,m_date,($G$2+11),m_active,1,m_start,"&lt;"&amp;1140,m_end,"&gt;"&amp;1080)=0,"",IF(COUNTIFS(m_teacher,X$4,m_date,($G$2+11),m_active,1,m_start,"&lt;"&amp;1140,m_end,"&gt;"&amp;1080)&gt;1,"충돌",HYPERLINK("#'관리자_MASTER'!D"&amp;_xlfn.MAXIFS(m_row,m_teacher,X$4,m_date,($G$2+11),m_active,1,m_start,"&lt;"&amp;1140,m_end,"&gt;"&amp;1080),INDEX(m_label,_xlfn.MAXIFS(m_row,m_teacher,X$4,m_date,($G$2+11),m_active,1,m_start,"&lt;"&amp;1140,m_end,"&gt;"&amp;1080))))))</f>
        <v/>
      </c>
      <c r="Y58" s="82" t="str">
        <f aca="false">IF(OR(Y$4="",MONTH(($G$2+11))&lt;&gt;MONTH($C$2)),"",IF(COUNTIFS(m_teacher,Y$4,m_date,($G$2+11),m_active,1,m_start,"&lt;"&amp;1140,m_end,"&gt;"&amp;1080)=0,"",IF(COUNTIFS(m_teacher,Y$4,m_date,($G$2+11),m_active,1,m_start,"&lt;"&amp;1140,m_end,"&gt;"&amp;1080)&gt;1,"충돌",HYPERLINK("#'관리자_MASTER'!D"&amp;_xlfn.MAXIFS(m_row,m_teacher,Y$4,m_date,($G$2+11),m_active,1,m_start,"&lt;"&amp;1140,m_end,"&gt;"&amp;1080),INDEX(m_label,_xlfn.MAXIFS(m_row,m_teacher,Y$4,m_date,($G$2+11),m_active,1,m_start,"&lt;"&amp;1140,m_end,"&gt;"&amp;1080))))))</f>
        <v/>
      </c>
      <c r="Z58" s="82" t="str">
        <f aca="false">IF(OR(Z$4="",MONTH(($G$2+11))&lt;&gt;MONTH($C$2)),"",IF(COUNTIFS(m_teacher,Z$4,m_date,($G$2+11),m_active,1,m_start,"&lt;"&amp;1140,m_end,"&gt;"&amp;1080)=0,"",IF(COUNTIFS(m_teacher,Z$4,m_date,($G$2+11),m_active,1,m_start,"&lt;"&amp;1140,m_end,"&gt;"&amp;1080)&gt;1,"충돌",HYPERLINK("#'관리자_MASTER'!D"&amp;_xlfn.MAXIFS(m_row,m_teacher,Z$4,m_date,($G$2+11),m_active,1,m_start,"&lt;"&amp;1140,m_end,"&gt;"&amp;1080),INDEX(m_label,_xlfn.MAXIFS(m_row,m_teacher,Z$4,m_date,($G$2+11),m_active,1,m_start,"&lt;"&amp;1140,m_end,"&gt;"&amp;1080))))))</f>
        <v/>
      </c>
      <c r="AA58" s="82" t="str">
        <f aca="false">IF(OR(AA$4="",MONTH(($G$2+11))&lt;&gt;MONTH($C$2)),"",IF(COUNTIFS(m_teacher,AA$4,m_date,($G$2+11),m_active,1,m_start,"&lt;"&amp;1140,m_end,"&gt;"&amp;1080)=0,"",IF(COUNTIFS(m_teacher,AA$4,m_date,($G$2+11),m_active,1,m_start,"&lt;"&amp;1140,m_end,"&gt;"&amp;1080)&gt;1,"충돌",HYPERLINK("#'관리자_MASTER'!D"&amp;_xlfn.MAXIFS(m_row,m_teacher,AA$4,m_date,($G$2+11),m_active,1,m_start,"&lt;"&amp;1140,m_end,"&gt;"&amp;1080),INDEX(m_label,_xlfn.MAXIFS(m_row,m_teacher,AA$4,m_date,($G$2+11),m_active,1,m_start,"&lt;"&amp;1140,m_end,"&gt;"&amp;1080))))))</f>
        <v/>
      </c>
      <c r="AB58" s="82" t="str">
        <f aca="false">IF(OR(AB$4="",MONTH(($G$2+11))&lt;&gt;MONTH($C$2)),"",IF(COUNTIFS(m_teacher,AB$4,m_date,($G$2+11),m_active,1,m_start,"&lt;"&amp;1140,m_end,"&gt;"&amp;1080)=0,"",IF(COUNTIFS(m_teacher,AB$4,m_date,($G$2+11),m_active,1,m_start,"&lt;"&amp;1140,m_end,"&gt;"&amp;1080)&gt;1,"충돌",HYPERLINK("#'관리자_MASTER'!D"&amp;_xlfn.MAXIFS(m_row,m_teacher,AB$4,m_date,($G$2+11),m_active,1,m_start,"&lt;"&amp;1140,m_end,"&gt;"&amp;1080),INDEX(m_label,_xlfn.MAXIFS(m_row,m_teacher,AB$4,m_date,($G$2+11),m_active,1,m_start,"&lt;"&amp;1140,m_end,"&gt;"&amp;1080))))))</f>
        <v/>
      </c>
      <c r="AC58" s="78"/>
      <c r="AD58" s="79" t="s">
        <v>100</v>
      </c>
      <c r="AE58" s="82" t="str">
        <f aca="false">IF(OR(AE$4="",MONTH(($G$2+18))&lt;&gt;MONTH($C$2)),"",IF(COUNTIFS(m_teacher,AE$4,m_date,($G$2+18),m_active,1,m_start,"&lt;"&amp;1140,m_end,"&gt;"&amp;1080)=0,"",IF(COUNTIFS(m_teacher,AE$4,m_date,($G$2+18),m_active,1,m_start,"&lt;"&amp;1140,m_end,"&gt;"&amp;1080)&gt;1,"충돌",HYPERLINK("#'관리자_MASTER'!D"&amp;_xlfn.MAXIFS(m_row,m_teacher,AE$4,m_date,($G$2+18),m_active,1,m_start,"&lt;"&amp;1140,m_end,"&gt;"&amp;1080),INDEX(m_label,_xlfn.MAXIFS(m_row,m_teacher,AE$4,m_date,($G$2+18),m_active,1,m_start,"&lt;"&amp;1140,m_end,"&gt;"&amp;1080))))))</f>
        <v/>
      </c>
      <c r="AF58" s="82" t="str">
        <f aca="false">IF(OR(AF$4="",MONTH(($G$2+18))&lt;&gt;MONTH($C$2)),"",IF(COUNTIFS(m_teacher,AF$4,m_date,($G$2+18),m_active,1,m_start,"&lt;"&amp;1140,m_end,"&gt;"&amp;1080)=0,"",IF(COUNTIFS(m_teacher,AF$4,m_date,($G$2+18),m_active,1,m_start,"&lt;"&amp;1140,m_end,"&gt;"&amp;1080)&gt;1,"충돌",HYPERLINK("#'관리자_MASTER'!D"&amp;_xlfn.MAXIFS(m_row,m_teacher,AF$4,m_date,($G$2+18),m_active,1,m_start,"&lt;"&amp;1140,m_end,"&gt;"&amp;1080),INDEX(m_label,_xlfn.MAXIFS(m_row,m_teacher,AF$4,m_date,($G$2+18),m_active,1,m_start,"&lt;"&amp;1140,m_end,"&gt;"&amp;1080))))))</f>
        <v/>
      </c>
      <c r="AG58" s="82" t="str">
        <f aca="false">IF(OR(AG$4="",MONTH(($G$2+18))&lt;&gt;MONTH($C$2)),"",IF(COUNTIFS(m_teacher,AG$4,m_date,($G$2+18),m_active,1,m_start,"&lt;"&amp;1140,m_end,"&gt;"&amp;1080)=0,"",IF(COUNTIFS(m_teacher,AG$4,m_date,($G$2+18),m_active,1,m_start,"&lt;"&amp;1140,m_end,"&gt;"&amp;1080)&gt;1,"충돌",HYPERLINK("#'관리자_MASTER'!D"&amp;_xlfn.MAXIFS(m_row,m_teacher,AG$4,m_date,($G$2+18),m_active,1,m_start,"&lt;"&amp;1140,m_end,"&gt;"&amp;1080),INDEX(m_label,_xlfn.MAXIFS(m_row,m_teacher,AG$4,m_date,($G$2+18),m_active,1,m_start,"&lt;"&amp;1140,m_end,"&gt;"&amp;1080))))))</f>
        <v/>
      </c>
      <c r="AH58" s="82" t="str">
        <f aca="false">IF(OR(AH$4="",MONTH(($G$2+18))&lt;&gt;MONTH($C$2)),"",IF(COUNTIFS(m_teacher,AH$4,m_date,($G$2+18),m_active,1,m_start,"&lt;"&amp;1140,m_end,"&gt;"&amp;1080)=0,"",IF(COUNTIFS(m_teacher,AH$4,m_date,($G$2+18),m_active,1,m_start,"&lt;"&amp;1140,m_end,"&gt;"&amp;1080)&gt;1,"충돌",HYPERLINK("#'관리자_MASTER'!D"&amp;_xlfn.MAXIFS(m_row,m_teacher,AH$4,m_date,($G$2+18),m_active,1,m_start,"&lt;"&amp;1140,m_end,"&gt;"&amp;1080),INDEX(m_label,_xlfn.MAXIFS(m_row,m_teacher,AH$4,m_date,($G$2+18),m_active,1,m_start,"&lt;"&amp;1140,m_end,"&gt;"&amp;1080))))))</f>
        <v/>
      </c>
      <c r="AI58" s="82" t="str">
        <f aca="false">IF(OR(AI$4="",MONTH(($G$2+18))&lt;&gt;MONTH($C$2)),"",IF(COUNTIFS(m_teacher,AI$4,m_date,($G$2+18),m_active,1,m_start,"&lt;"&amp;1140,m_end,"&gt;"&amp;1080)=0,"",IF(COUNTIFS(m_teacher,AI$4,m_date,($G$2+18),m_active,1,m_start,"&lt;"&amp;1140,m_end,"&gt;"&amp;1080)&gt;1,"충돌",HYPERLINK("#'관리자_MASTER'!D"&amp;_xlfn.MAXIFS(m_row,m_teacher,AI$4,m_date,($G$2+18),m_active,1,m_start,"&lt;"&amp;1140,m_end,"&gt;"&amp;1080),INDEX(m_label,_xlfn.MAXIFS(m_row,m_teacher,AI$4,m_date,($G$2+18),m_active,1,m_start,"&lt;"&amp;1140,m_end,"&gt;"&amp;1080))))))</f>
        <v/>
      </c>
      <c r="AJ58" s="82" t="str">
        <f aca="false">IF(OR(AJ$4="",MONTH(($G$2+18))&lt;&gt;MONTH($C$2)),"",IF(COUNTIFS(m_teacher,AJ$4,m_date,($G$2+18),m_active,1,m_start,"&lt;"&amp;1140,m_end,"&gt;"&amp;1080)=0,"",IF(COUNTIFS(m_teacher,AJ$4,m_date,($G$2+18),m_active,1,m_start,"&lt;"&amp;1140,m_end,"&gt;"&amp;1080)&gt;1,"충돌",HYPERLINK("#'관리자_MASTER'!D"&amp;_xlfn.MAXIFS(m_row,m_teacher,AJ$4,m_date,($G$2+18),m_active,1,m_start,"&lt;"&amp;1140,m_end,"&gt;"&amp;1080),INDEX(m_label,_xlfn.MAXIFS(m_row,m_teacher,AJ$4,m_date,($G$2+18),m_active,1,m_start,"&lt;"&amp;1140,m_end,"&gt;"&amp;1080))))))</f>
        <v/>
      </c>
      <c r="AK58" s="82" t="str">
        <f aca="false">IF(OR(AK$4="",MONTH(($G$2+18))&lt;&gt;MONTH($C$2)),"",IF(COUNTIFS(m_teacher,AK$4,m_date,($G$2+18),m_active,1,m_start,"&lt;"&amp;1140,m_end,"&gt;"&amp;1080)=0,"",IF(COUNTIFS(m_teacher,AK$4,m_date,($G$2+18),m_active,1,m_start,"&lt;"&amp;1140,m_end,"&gt;"&amp;1080)&gt;1,"충돌",HYPERLINK("#'관리자_MASTER'!D"&amp;_xlfn.MAXIFS(m_row,m_teacher,AK$4,m_date,($G$2+18),m_active,1,m_start,"&lt;"&amp;1140,m_end,"&gt;"&amp;1080),INDEX(m_label,_xlfn.MAXIFS(m_row,m_teacher,AK$4,m_date,($G$2+18),m_active,1,m_start,"&lt;"&amp;1140,m_end,"&gt;"&amp;1080))))))</f>
        <v/>
      </c>
      <c r="AL58" s="82" t="str">
        <f aca="false">IF(OR(AL$4="",MONTH(($G$2+18))&lt;&gt;MONTH($C$2)),"",IF(COUNTIFS(m_teacher,AL$4,m_date,($G$2+18),m_active,1,m_start,"&lt;"&amp;1140,m_end,"&gt;"&amp;1080)=0,"",IF(COUNTIFS(m_teacher,AL$4,m_date,($G$2+18),m_active,1,m_start,"&lt;"&amp;1140,m_end,"&gt;"&amp;1080)&gt;1,"충돌",HYPERLINK("#'관리자_MASTER'!D"&amp;_xlfn.MAXIFS(m_row,m_teacher,AL$4,m_date,($G$2+18),m_active,1,m_start,"&lt;"&amp;1140,m_end,"&gt;"&amp;1080),INDEX(m_label,_xlfn.MAXIFS(m_row,m_teacher,AL$4,m_date,($G$2+18),m_active,1,m_start,"&lt;"&amp;1140,m_end,"&gt;"&amp;1080))))))</f>
        <v/>
      </c>
      <c r="AM58" s="82" t="str">
        <f aca="false">IF(OR(AM$4="",MONTH(($G$2+18))&lt;&gt;MONTH($C$2)),"",IF(COUNTIFS(m_teacher,AM$4,m_date,($G$2+18),m_active,1,m_start,"&lt;"&amp;1140,m_end,"&gt;"&amp;1080)=0,"",IF(COUNTIFS(m_teacher,AM$4,m_date,($G$2+18),m_active,1,m_start,"&lt;"&amp;1140,m_end,"&gt;"&amp;1080)&gt;1,"충돌",HYPERLINK("#'관리자_MASTER'!D"&amp;_xlfn.MAXIFS(m_row,m_teacher,AM$4,m_date,($G$2+18),m_active,1,m_start,"&lt;"&amp;1140,m_end,"&gt;"&amp;1080),INDEX(m_label,_xlfn.MAXIFS(m_row,m_teacher,AM$4,m_date,($G$2+18),m_active,1,m_start,"&lt;"&amp;1140,m_end,"&gt;"&amp;1080))))))</f>
        <v/>
      </c>
      <c r="AN58" s="82" t="str">
        <f aca="false">IF(OR(AN$4="",MONTH(($G$2+18))&lt;&gt;MONTH($C$2)),"",IF(COUNTIFS(m_teacher,AN$4,m_date,($G$2+18),m_active,1,m_start,"&lt;"&amp;1140,m_end,"&gt;"&amp;1080)=0,"",IF(COUNTIFS(m_teacher,AN$4,m_date,($G$2+18),m_active,1,m_start,"&lt;"&amp;1140,m_end,"&gt;"&amp;1080)&gt;1,"충돌",HYPERLINK("#'관리자_MASTER'!D"&amp;_xlfn.MAXIFS(m_row,m_teacher,AN$4,m_date,($G$2+18),m_active,1,m_start,"&lt;"&amp;1140,m_end,"&gt;"&amp;1080),INDEX(m_label,_xlfn.MAXIFS(m_row,m_teacher,AN$4,m_date,($G$2+18),m_active,1,m_start,"&lt;"&amp;1140,m_end,"&gt;"&amp;1080))))))</f>
        <v/>
      </c>
      <c r="AO58" s="82" t="str">
        <f aca="false">IF(OR(AO$4="",MONTH(($G$2+18))&lt;&gt;MONTH($C$2)),"",IF(COUNTIFS(m_teacher,AO$4,m_date,($G$2+18),m_active,1,m_start,"&lt;"&amp;1140,m_end,"&gt;"&amp;1080)=0,"",IF(COUNTIFS(m_teacher,AO$4,m_date,($G$2+18),m_active,1,m_start,"&lt;"&amp;1140,m_end,"&gt;"&amp;1080)&gt;1,"충돌",HYPERLINK("#'관리자_MASTER'!D"&amp;_xlfn.MAXIFS(m_row,m_teacher,AO$4,m_date,($G$2+18),m_active,1,m_start,"&lt;"&amp;1140,m_end,"&gt;"&amp;1080),INDEX(m_label,_xlfn.MAXIFS(m_row,m_teacher,AO$4,m_date,($G$2+18),m_active,1,m_start,"&lt;"&amp;1140,m_end,"&gt;"&amp;1080))))))</f>
        <v/>
      </c>
      <c r="AP58" s="82" t="str">
        <f aca="false">IF(OR(AP$4="",MONTH(($G$2+18))&lt;&gt;MONTH($C$2)),"",IF(COUNTIFS(m_teacher,AP$4,m_date,($G$2+18),m_active,1,m_start,"&lt;"&amp;1140,m_end,"&gt;"&amp;1080)=0,"",IF(COUNTIFS(m_teacher,AP$4,m_date,($G$2+18),m_active,1,m_start,"&lt;"&amp;1140,m_end,"&gt;"&amp;1080)&gt;1,"충돌",HYPERLINK("#'관리자_MASTER'!D"&amp;_xlfn.MAXIFS(m_row,m_teacher,AP$4,m_date,($G$2+18),m_active,1,m_start,"&lt;"&amp;1140,m_end,"&gt;"&amp;1080),INDEX(m_label,_xlfn.MAXIFS(m_row,m_teacher,AP$4,m_date,($G$2+18),m_active,1,m_start,"&lt;"&amp;1140,m_end,"&gt;"&amp;1080))))))</f>
        <v/>
      </c>
      <c r="AQ58" s="78"/>
      <c r="AR58" s="79" t="s">
        <v>100</v>
      </c>
      <c r="AS58" s="82" t="str">
        <f aca="false">IF(OR(AS$4="",MONTH(($G$2+25))&lt;&gt;MONTH($C$2)),"",IF(COUNTIFS(m_teacher,AS$4,m_date,($G$2+25),m_active,1,m_start,"&lt;"&amp;1140,m_end,"&gt;"&amp;1080)=0,"",IF(COUNTIFS(m_teacher,AS$4,m_date,($G$2+25),m_active,1,m_start,"&lt;"&amp;1140,m_end,"&gt;"&amp;1080)&gt;1,"충돌",HYPERLINK("#'관리자_MASTER'!D"&amp;_xlfn.MAXIFS(m_row,m_teacher,AS$4,m_date,($G$2+25),m_active,1,m_start,"&lt;"&amp;1140,m_end,"&gt;"&amp;1080),INDEX(m_label,_xlfn.MAXIFS(m_row,m_teacher,AS$4,m_date,($G$2+25),m_active,1,m_start,"&lt;"&amp;1140,m_end,"&gt;"&amp;1080))))))</f>
        <v/>
      </c>
      <c r="AT58" s="82" t="str">
        <f aca="false">IF(OR(AT$4="",MONTH(($G$2+25))&lt;&gt;MONTH($C$2)),"",IF(COUNTIFS(m_teacher,AT$4,m_date,($G$2+25),m_active,1,m_start,"&lt;"&amp;1140,m_end,"&gt;"&amp;1080)=0,"",IF(COUNTIFS(m_teacher,AT$4,m_date,($G$2+25),m_active,1,m_start,"&lt;"&amp;1140,m_end,"&gt;"&amp;1080)&gt;1,"충돌",HYPERLINK("#'관리자_MASTER'!D"&amp;_xlfn.MAXIFS(m_row,m_teacher,AT$4,m_date,($G$2+25),m_active,1,m_start,"&lt;"&amp;1140,m_end,"&gt;"&amp;1080),INDEX(m_label,_xlfn.MAXIFS(m_row,m_teacher,AT$4,m_date,($G$2+25),m_active,1,m_start,"&lt;"&amp;1140,m_end,"&gt;"&amp;1080))))))</f>
        <v/>
      </c>
      <c r="AU58" s="82" t="str">
        <f aca="false">IF(OR(AU$4="",MONTH(($G$2+25))&lt;&gt;MONTH($C$2)),"",IF(COUNTIFS(m_teacher,AU$4,m_date,($G$2+25),m_active,1,m_start,"&lt;"&amp;1140,m_end,"&gt;"&amp;1080)=0,"",IF(COUNTIFS(m_teacher,AU$4,m_date,($G$2+25),m_active,1,m_start,"&lt;"&amp;1140,m_end,"&gt;"&amp;1080)&gt;1,"충돌",HYPERLINK("#'관리자_MASTER'!D"&amp;_xlfn.MAXIFS(m_row,m_teacher,AU$4,m_date,($G$2+25),m_active,1,m_start,"&lt;"&amp;1140,m_end,"&gt;"&amp;1080),INDEX(m_label,_xlfn.MAXIFS(m_row,m_teacher,AU$4,m_date,($G$2+25),m_active,1,m_start,"&lt;"&amp;1140,m_end,"&gt;"&amp;1080))))))</f>
        <v/>
      </c>
      <c r="AV58" s="82" t="str">
        <f aca="false">IF(OR(AV$4="",MONTH(($G$2+25))&lt;&gt;MONTH($C$2)),"",IF(COUNTIFS(m_teacher,AV$4,m_date,($G$2+25),m_active,1,m_start,"&lt;"&amp;1140,m_end,"&gt;"&amp;1080)=0,"",IF(COUNTIFS(m_teacher,AV$4,m_date,($G$2+25),m_active,1,m_start,"&lt;"&amp;1140,m_end,"&gt;"&amp;1080)&gt;1,"충돌",HYPERLINK("#'관리자_MASTER'!D"&amp;_xlfn.MAXIFS(m_row,m_teacher,AV$4,m_date,($G$2+25),m_active,1,m_start,"&lt;"&amp;1140,m_end,"&gt;"&amp;1080),INDEX(m_label,_xlfn.MAXIFS(m_row,m_teacher,AV$4,m_date,($G$2+25),m_active,1,m_start,"&lt;"&amp;1140,m_end,"&gt;"&amp;1080))))))</f>
        <v/>
      </c>
      <c r="AW58" s="82" t="str">
        <f aca="false">IF(OR(AW$4="",MONTH(($G$2+25))&lt;&gt;MONTH($C$2)),"",IF(COUNTIFS(m_teacher,AW$4,m_date,($G$2+25),m_active,1,m_start,"&lt;"&amp;1140,m_end,"&gt;"&amp;1080)=0,"",IF(COUNTIFS(m_teacher,AW$4,m_date,($G$2+25),m_active,1,m_start,"&lt;"&amp;1140,m_end,"&gt;"&amp;1080)&gt;1,"충돌",HYPERLINK("#'관리자_MASTER'!D"&amp;_xlfn.MAXIFS(m_row,m_teacher,AW$4,m_date,($G$2+25),m_active,1,m_start,"&lt;"&amp;1140,m_end,"&gt;"&amp;1080),INDEX(m_label,_xlfn.MAXIFS(m_row,m_teacher,AW$4,m_date,($G$2+25),m_active,1,m_start,"&lt;"&amp;1140,m_end,"&gt;"&amp;1080))))))</f>
        <v/>
      </c>
      <c r="AX58" s="82" t="str">
        <f aca="false">IF(OR(AX$4="",MONTH(($G$2+25))&lt;&gt;MONTH($C$2)),"",IF(COUNTIFS(m_teacher,AX$4,m_date,($G$2+25),m_active,1,m_start,"&lt;"&amp;1140,m_end,"&gt;"&amp;1080)=0,"",IF(COUNTIFS(m_teacher,AX$4,m_date,($G$2+25),m_active,1,m_start,"&lt;"&amp;1140,m_end,"&gt;"&amp;1080)&gt;1,"충돌",HYPERLINK("#'관리자_MASTER'!D"&amp;_xlfn.MAXIFS(m_row,m_teacher,AX$4,m_date,($G$2+25),m_active,1,m_start,"&lt;"&amp;1140,m_end,"&gt;"&amp;1080),INDEX(m_label,_xlfn.MAXIFS(m_row,m_teacher,AX$4,m_date,($G$2+25),m_active,1,m_start,"&lt;"&amp;1140,m_end,"&gt;"&amp;1080))))))</f>
        <v/>
      </c>
      <c r="AY58" s="82" t="str">
        <f aca="false">IF(OR(AY$4="",MONTH(($G$2+25))&lt;&gt;MONTH($C$2)),"",IF(COUNTIFS(m_teacher,AY$4,m_date,($G$2+25),m_active,1,m_start,"&lt;"&amp;1140,m_end,"&gt;"&amp;1080)=0,"",IF(COUNTIFS(m_teacher,AY$4,m_date,($G$2+25),m_active,1,m_start,"&lt;"&amp;1140,m_end,"&gt;"&amp;1080)&gt;1,"충돌",HYPERLINK("#'관리자_MASTER'!D"&amp;_xlfn.MAXIFS(m_row,m_teacher,AY$4,m_date,($G$2+25),m_active,1,m_start,"&lt;"&amp;1140,m_end,"&gt;"&amp;1080),INDEX(m_label,_xlfn.MAXIFS(m_row,m_teacher,AY$4,m_date,($G$2+25),m_active,1,m_start,"&lt;"&amp;1140,m_end,"&gt;"&amp;1080))))))</f>
        <v/>
      </c>
      <c r="AZ58" s="82" t="str">
        <f aca="false">IF(OR(AZ$4="",MONTH(($G$2+25))&lt;&gt;MONTH($C$2)),"",IF(COUNTIFS(m_teacher,AZ$4,m_date,($G$2+25),m_active,1,m_start,"&lt;"&amp;1140,m_end,"&gt;"&amp;1080)=0,"",IF(COUNTIFS(m_teacher,AZ$4,m_date,($G$2+25),m_active,1,m_start,"&lt;"&amp;1140,m_end,"&gt;"&amp;1080)&gt;1,"충돌",HYPERLINK("#'관리자_MASTER'!D"&amp;_xlfn.MAXIFS(m_row,m_teacher,AZ$4,m_date,($G$2+25),m_active,1,m_start,"&lt;"&amp;1140,m_end,"&gt;"&amp;1080),INDEX(m_label,_xlfn.MAXIFS(m_row,m_teacher,AZ$4,m_date,($G$2+25),m_active,1,m_start,"&lt;"&amp;1140,m_end,"&gt;"&amp;1080))))))</f>
        <v/>
      </c>
      <c r="BA58" s="82" t="str">
        <f aca="false">IF(OR(BA$4="",MONTH(($G$2+25))&lt;&gt;MONTH($C$2)),"",IF(COUNTIFS(m_teacher,BA$4,m_date,($G$2+25),m_active,1,m_start,"&lt;"&amp;1140,m_end,"&gt;"&amp;1080)=0,"",IF(COUNTIFS(m_teacher,BA$4,m_date,($G$2+25),m_active,1,m_start,"&lt;"&amp;1140,m_end,"&gt;"&amp;1080)&gt;1,"충돌",HYPERLINK("#'관리자_MASTER'!D"&amp;_xlfn.MAXIFS(m_row,m_teacher,BA$4,m_date,($G$2+25),m_active,1,m_start,"&lt;"&amp;1140,m_end,"&gt;"&amp;1080),INDEX(m_label,_xlfn.MAXIFS(m_row,m_teacher,BA$4,m_date,($G$2+25),m_active,1,m_start,"&lt;"&amp;1140,m_end,"&gt;"&amp;1080))))))</f>
        <v/>
      </c>
      <c r="BB58" s="82" t="str">
        <f aca="false">IF(OR(BB$4="",MONTH(($G$2+25))&lt;&gt;MONTH($C$2)),"",IF(COUNTIFS(m_teacher,BB$4,m_date,($G$2+25),m_active,1,m_start,"&lt;"&amp;1140,m_end,"&gt;"&amp;1080)=0,"",IF(COUNTIFS(m_teacher,BB$4,m_date,($G$2+25),m_active,1,m_start,"&lt;"&amp;1140,m_end,"&gt;"&amp;1080)&gt;1,"충돌",HYPERLINK("#'관리자_MASTER'!D"&amp;_xlfn.MAXIFS(m_row,m_teacher,BB$4,m_date,($G$2+25),m_active,1,m_start,"&lt;"&amp;1140,m_end,"&gt;"&amp;1080),INDEX(m_label,_xlfn.MAXIFS(m_row,m_teacher,BB$4,m_date,($G$2+25),m_active,1,m_start,"&lt;"&amp;1140,m_end,"&gt;"&amp;1080))))))</f>
        <v/>
      </c>
      <c r="BC58" s="82" t="str">
        <f aca="false">IF(OR(BC$4="",MONTH(($G$2+25))&lt;&gt;MONTH($C$2)),"",IF(COUNTIFS(m_teacher,BC$4,m_date,($G$2+25),m_active,1,m_start,"&lt;"&amp;1140,m_end,"&gt;"&amp;1080)=0,"",IF(COUNTIFS(m_teacher,BC$4,m_date,($G$2+25),m_active,1,m_start,"&lt;"&amp;1140,m_end,"&gt;"&amp;1080)&gt;1,"충돌",HYPERLINK("#'관리자_MASTER'!D"&amp;_xlfn.MAXIFS(m_row,m_teacher,BC$4,m_date,($G$2+25),m_active,1,m_start,"&lt;"&amp;1140,m_end,"&gt;"&amp;1080),INDEX(m_label,_xlfn.MAXIFS(m_row,m_teacher,BC$4,m_date,($G$2+25),m_active,1,m_start,"&lt;"&amp;1140,m_end,"&gt;"&amp;1080))))))</f>
        <v/>
      </c>
      <c r="BD58" s="82" t="str">
        <f aca="false">IF(OR(BD$4="",MONTH(($G$2+25))&lt;&gt;MONTH($C$2)),"",IF(COUNTIFS(m_teacher,BD$4,m_date,($G$2+25),m_active,1,m_start,"&lt;"&amp;1140,m_end,"&gt;"&amp;1080)=0,"",IF(COUNTIFS(m_teacher,BD$4,m_date,($G$2+25),m_active,1,m_start,"&lt;"&amp;1140,m_end,"&gt;"&amp;1080)&gt;1,"충돌",HYPERLINK("#'관리자_MASTER'!D"&amp;_xlfn.MAXIFS(m_row,m_teacher,BD$4,m_date,($G$2+25),m_active,1,m_start,"&lt;"&amp;1140,m_end,"&gt;"&amp;1080),INDEX(m_label,_xlfn.MAXIFS(m_row,m_teacher,BD$4,m_date,($G$2+25),m_active,1,m_start,"&lt;"&amp;1140,m_end,"&gt;"&amp;1080))))))</f>
        <v/>
      </c>
      <c r="BE58" s="75"/>
      <c r="BF58" s="76" t="s">
        <v>100</v>
      </c>
      <c r="BG58" s="81" t="str">
        <f aca="false">IF(OR(BG$4="",MONTH(($G$2+32))&lt;&gt;MONTH($C$2)),"",IF(COUNTIFS(m_teacher,BG$4,m_date,($G$2+32),m_active,1,m_start,"&lt;"&amp;1140,m_end,"&gt;"&amp;1080)=0,"",IF(COUNTIFS(m_teacher,BG$4,m_date,($G$2+32),m_active,1,m_start,"&lt;"&amp;1140,m_end,"&gt;"&amp;1080)&gt;1,"충돌",HYPERLINK("#'관리자_MASTER'!D"&amp;_xlfn.MAXIFS(m_row,m_teacher,BG$4,m_date,($G$2+32),m_active,1,m_start,"&lt;"&amp;1140,m_end,"&gt;"&amp;1080),INDEX(m_label,_xlfn.MAXIFS(m_row,m_teacher,BG$4,m_date,($G$2+32),m_active,1,m_start,"&lt;"&amp;1140,m_end,"&gt;"&amp;1080))))))</f>
        <v/>
      </c>
      <c r="BH58" s="81" t="str">
        <f aca="false">IF(OR(BH$4="",MONTH(($G$2+32))&lt;&gt;MONTH($C$2)),"",IF(COUNTIFS(m_teacher,BH$4,m_date,($G$2+32),m_active,1,m_start,"&lt;"&amp;1140,m_end,"&gt;"&amp;1080)=0,"",IF(COUNTIFS(m_teacher,BH$4,m_date,($G$2+32),m_active,1,m_start,"&lt;"&amp;1140,m_end,"&gt;"&amp;1080)&gt;1,"충돌",HYPERLINK("#'관리자_MASTER'!D"&amp;_xlfn.MAXIFS(m_row,m_teacher,BH$4,m_date,($G$2+32),m_active,1,m_start,"&lt;"&amp;1140,m_end,"&gt;"&amp;1080),INDEX(m_label,_xlfn.MAXIFS(m_row,m_teacher,BH$4,m_date,($G$2+32),m_active,1,m_start,"&lt;"&amp;1140,m_end,"&gt;"&amp;1080))))))</f>
        <v/>
      </c>
      <c r="BI58" s="81" t="str">
        <f aca="false">IF(OR(BI$4="",MONTH(($G$2+32))&lt;&gt;MONTH($C$2)),"",IF(COUNTIFS(m_teacher,BI$4,m_date,($G$2+32),m_active,1,m_start,"&lt;"&amp;1140,m_end,"&gt;"&amp;1080)=0,"",IF(COUNTIFS(m_teacher,BI$4,m_date,($G$2+32),m_active,1,m_start,"&lt;"&amp;1140,m_end,"&gt;"&amp;1080)&gt;1,"충돌",HYPERLINK("#'관리자_MASTER'!D"&amp;_xlfn.MAXIFS(m_row,m_teacher,BI$4,m_date,($G$2+32),m_active,1,m_start,"&lt;"&amp;1140,m_end,"&gt;"&amp;1080),INDEX(m_label,_xlfn.MAXIFS(m_row,m_teacher,BI$4,m_date,($G$2+32),m_active,1,m_start,"&lt;"&amp;1140,m_end,"&gt;"&amp;1080))))))</f>
        <v/>
      </c>
      <c r="BJ58" s="81" t="str">
        <f aca="false">IF(OR(BJ$4="",MONTH(($G$2+32))&lt;&gt;MONTH($C$2)),"",IF(COUNTIFS(m_teacher,BJ$4,m_date,($G$2+32),m_active,1,m_start,"&lt;"&amp;1140,m_end,"&gt;"&amp;1080)=0,"",IF(COUNTIFS(m_teacher,BJ$4,m_date,($G$2+32),m_active,1,m_start,"&lt;"&amp;1140,m_end,"&gt;"&amp;1080)&gt;1,"충돌",HYPERLINK("#'관리자_MASTER'!D"&amp;_xlfn.MAXIFS(m_row,m_teacher,BJ$4,m_date,($G$2+32),m_active,1,m_start,"&lt;"&amp;1140,m_end,"&gt;"&amp;1080),INDEX(m_label,_xlfn.MAXIFS(m_row,m_teacher,BJ$4,m_date,($G$2+32),m_active,1,m_start,"&lt;"&amp;1140,m_end,"&gt;"&amp;1080))))))</f>
        <v/>
      </c>
      <c r="BK58" s="81" t="str">
        <f aca="false">IF(OR(BK$4="",MONTH(($G$2+32))&lt;&gt;MONTH($C$2)),"",IF(COUNTIFS(m_teacher,BK$4,m_date,($G$2+32),m_active,1,m_start,"&lt;"&amp;1140,m_end,"&gt;"&amp;1080)=0,"",IF(COUNTIFS(m_teacher,BK$4,m_date,($G$2+32),m_active,1,m_start,"&lt;"&amp;1140,m_end,"&gt;"&amp;1080)&gt;1,"충돌",HYPERLINK("#'관리자_MASTER'!D"&amp;_xlfn.MAXIFS(m_row,m_teacher,BK$4,m_date,($G$2+32),m_active,1,m_start,"&lt;"&amp;1140,m_end,"&gt;"&amp;1080),INDEX(m_label,_xlfn.MAXIFS(m_row,m_teacher,BK$4,m_date,($G$2+32),m_active,1,m_start,"&lt;"&amp;1140,m_end,"&gt;"&amp;1080))))))</f>
        <v/>
      </c>
      <c r="BL58" s="81" t="str">
        <f aca="false">IF(OR(BL$4="",MONTH(($G$2+32))&lt;&gt;MONTH($C$2)),"",IF(COUNTIFS(m_teacher,BL$4,m_date,($G$2+32),m_active,1,m_start,"&lt;"&amp;1140,m_end,"&gt;"&amp;1080)=0,"",IF(COUNTIFS(m_teacher,BL$4,m_date,($G$2+32),m_active,1,m_start,"&lt;"&amp;1140,m_end,"&gt;"&amp;1080)&gt;1,"충돌",HYPERLINK("#'관리자_MASTER'!D"&amp;_xlfn.MAXIFS(m_row,m_teacher,BL$4,m_date,($G$2+32),m_active,1,m_start,"&lt;"&amp;1140,m_end,"&gt;"&amp;1080),INDEX(m_label,_xlfn.MAXIFS(m_row,m_teacher,BL$4,m_date,($G$2+32),m_active,1,m_start,"&lt;"&amp;1140,m_end,"&gt;"&amp;1080))))))</f>
        <v/>
      </c>
      <c r="BM58" s="81" t="str">
        <f aca="false">IF(OR(BM$4="",MONTH(($G$2+32))&lt;&gt;MONTH($C$2)),"",IF(COUNTIFS(m_teacher,BM$4,m_date,($G$2+32),m_active,1,m_start,"&lt;"&amp;1140,m_end,"&gt;"&amp;1080)=0,"",IF(COUNTIFS(m_teacher,BM$4,m_date,($G$2+32),m_active,1,m_start,"&lt;"&amp;1140,m_end,"&gt;"&amp;1080)&gt;1,"충돌",HYPERLINK("#'관리자_MASTER'!D"&amp;_xlfn.MAXIFS(m_row,m_teacher,BM$4,m_date,($G$2+32),m_active,1,m_start,"&lt;"&amp;1140,m_end,"&gt;"&amp;1080),INDEX(m_label,_xlfn.MAXIFS(m_row,m_teacher,BM$4,m_date,($G$2+32),m_active,1,m_start,"&lt;"&amp;1140,m_end,"&gt;"&amp;1080))))))</f>
        <v/>
      </c>
      <c r="BN58" s="81" t="str">
        <f aca="false">IF(OR(BN$4="",MONTH(($G$2+32))&lt;&gt;MONTH($C$2)),"",IF(COUNTIFS(m_teacher,BN$4,m_date,($G$2+32),m_active,1,m_start,"&lt;"&amp;1140,m_end,"&gt;"&amp;1080)=0,"",IF(COUNTIFS(m_teacher,BN$4,m_date,($G$2+32),m_active,1,m_start,"&lt;"&amp;1140,m_end,"&gt;"&amp;1080)&gt;1,"충돌",HYPERLINK("#'관리자_MASTER'!D"&amp;_xlfn.MAXIFS(m_row,m_teacher,BN$4,m_date,($G$2+32),m_active,1,m_start,"&lt;"&amp;1140,m_end,"&gt;"&amp;1080),INDEX(m_label,_xlfn.MAXIFS(m_row,m_teacher,BN$4,m_date,($G$2+32),m_active,1,m_start,"&lt;"&amp;1140,m_end,"&gt;"&amp;1080))))))</f>
        <v/>
      </c>
      <c r="BO58" s="81" t="str">
        <f aca="false">IF(OR(BO$4="",MONTH(($G$2+32))&lt;&gt;MONTH($C$2)),"",IF(COUNTIFS(m_teacher,BO$4,m_date,($G$2+32),m_active,1,m_start,"&lt;"&amp;1140,m_end,"&gt;"&amp;1080)=0,"",IF(COUNTIFS(m_teacher,BO$4,m_date,($G$2+32),m_active,1,m_start,"&lt;"&amp;1140,m_end,"&gt;"&amp;1080)&gt;1,"충돌",HYPERLINK("#'관리자_MASTER'!D"&amp;_xlfn.MAXIFS(m_row,m_teacher,BO$4,m_date,($G$2+32),m_active,1,m_start,"&lt;"&amp;1140,m_end,"&gt;"&amp;1080),INDEX(m_label,_xlfn.MAXIFS(m_row,m_teacher,BO$4,m_date,($G$2+32),m_active,1,m_start,"&lt;"&amp;1140,m_end,"&gt;"&amp;1080))))))</f>
        <v/>
      </c>
      <c r="BP58" s="81" t="str">
        <f aca="false">IF(OR(BP$4="",MONTH(($G$2+32))&lt;&gt;MONTH($C$2)),"",IF(COUNTIFS(m_teacher,BP$4,m_date,($G$2+32),m_active,1,m_start,"&lt;"&amp;1140,m_end,"&gt;"&amp;1080)=0,"",IF(COUNTIFS(m_teacher,BP$4,m_date,($G$2+32),m_active,1,m_start,"&lt;"&amp;1140,m_end,"&gt;"&amp;1080)&gt;1,"충돌",HYPERLINK("#'관리자_MASTER'!D"&amp;_xlfn.MAXIFS(m_row,m_teacher,BP$4,m_date,($G$2+32),m_active,1,m_start,"&lt;"&amp;1140,m_end,"&gt;"&amp;1080),INDEX(m_label,_xlfn.MAXIFS(m_row,m_teacher,BP$4,m_date,($G$2+32),m_active,1,m_start,"&lt;"&amp;1140,m_end,"&gt;"&amp;1080))))))</f>
        <v/>
      </c>
      <c r="BQ58" s="81" t="str">
        <f aca="false">IF(OR(BQ$4="",MONTH(($G$2+32))&lt;&gt;MONTH($C$2)),"",IF(COUNTIFS(m_teacher,BQ$4,m_date,($G$2+32),m_active,1,m_start,"&lt;"&amp;1140,m_end,"&gt;"&amp;1080)=0,"",IF(COUNTIFS(m_teacher,BQ$4,m_date,($G$2+32),m_active,1,m_start,"&lt;"&amp;1140,m_end,"&gt;"&amp;1080)&gt;1,"충돌",HYPERLINK("#'관리자_MASTER'!D"&amp;_xlfn.MAXIFS(m_row,m_teacher,BQ$4,m_date,($G$2+32),m_active,1,m_start,"&lt;"&amp;1140,m_end,"&gt;"&amp;1080),INDEX(m_label,_xlfn.MAXIFS(m_row,m_teacher,BQ$4,m_date,($G$2+32),m_active,1,m_start,"&lt;"&amp;1140,m_end,"&gt;"&amp;1080))))))</f>
        <v/>
      </c>
      <c r="BR58" s="81" t="str">
        <f aca="false">IF(OR(BR$4="",MONTH(($G$2+32))&lt;&gt;MONTH($C$2)),"",IF(COUNTIFS(m_teacher,BR$4,m_date,($G$2+32),m_active,1,m_start,"&lt;"&amp;1140,m_end,"&gt;"&amp;1080)=0,"",IF(COUNTIFS(m_teacher,BR$4,m_date,($G$2+32),m_active,1,m_start,"&lt;"&amp;1140,m_end,"&gt;"&amp;1080)&gt;1,"충돌",HYPERLINK("#'관리자_MASTER'!D"&amp;_xlfn.MAXIFS(m_row,m_teacher,BR$4,m_date,($G$2+32),m_active,1,m_start,"&lt;"&amp;1140,m_end,"&gt;"&amp;1080),INDEX(m_label,_xlfn.MAXIFS(m_row,m_teacher,BR$4,m_date,($G$2+32),m_active,1,m_start,"&lt;"&amp;1140,m_end,"&gt;"&amp;1080))))))</f>
        <v/>
      </c>
    </row>
    <row r="59" customFormat="false" ht="19.5" hidden="false" customHeight="true" outlineLevel="0" collapsed="false">
      <c r="A59" s="78"/>
      <c r="B59" s="85" t="s">
        <v>101</v>
      </c>
      <c r="C59" s="86" t="str">
        <f aca="false">IF(OR(C$4="",MONTH(($G$2+4))&lt;&gt;MONTH($C$2)),"",IF(COUNTIFS(m_teacher,C$4,m_date,($G$2+4),m_active,1,m_start,"&lt;"&amp;1440,m_end,"&gt;"&amp;1140)=0,"",IF(COUNTIFS(m_teacher,C$4,m_date,($G$2+4),m_active,1,m_start,"&lt;"&amp;1440,m_end,"&gt;"&amp;1140)&gt;1,"충돌",HYPERLINK("#'관리자_MASTER'!D"&amp;_xlfn.MAXIFS(m_row,m_teacher,C$4,m_date,($G$2+4),m_active,1,m_start,"&lt;"&amp;1440,m_end,"&gt;"&amp;1140),INDEX(m_label,_xlfn.MAXIFS(m_row,m_teacher,C$4,m_date,($G$2+4),m_active,1,m_start,"&lt;"&amp;1440,m_end,"&gt;"&amp;1140))))))</f>
        <v/>
      </c>
      <c r="D59" s="86" t="str">
        <f aca="false">IF(OR(D$4="",MONTH(($G$2+4))&lt;&gt;MONTH($C$2)),"",IF(COUNTIFS(m_teacher,D$4,m_date,($G$2+4),m_active,1,m_start,"&lt;"&amp;1440,m_end,"&gt;"&amp;1140)=0,"",IF(COUNTIFS(m_teacher,D$4,m_date,($G$2+4),m_active,1,m_start,"&lt;"&amp;1440,m_end,"&gt;"&amp;1140)&gt;1,"충돌",HYPERLINK("#'관리자_MASTER'!D"&amp;_xlfn.MAXIFS(m_row,m_teacher,D$4,m_date,($G$2+4),m_active,1,m_start,"&lt;"&amp;1440,m_end,"&gt;"&amp;1140),INDEX(m_label,_xlfn.MAXIFS(m_row,m_teacher,D$4,m_date,($G$2+4),m_active,1,m_start,"&lt;"&amp;1440,m_end,"&gt;"&amp;1140))))))</f>
        <v/>
      </c>
      <c r="E59" s="86" t="str">
        <f aca="false">IF(OR(E$4="",MONTH(($G$2+4))&lt;&gt;MONTH($C$2)),"",IF(COUNTIFS(m_teacher,E$4,m_date,($G$2+4),m_active,1,m_start,"&lt;"&amp;1440,m_end,"&gt;"&amp;1140)=0,"",IF(COUNTIFS(m_teacher,E$4,m_date,($G$2+4),m_active,1,m_start,"&lt;"&amp;1440,m_end,"&gt;"&amp;1140)&gt;1,"충돌",HYPERLINK("#'관리자_MASTER'!D"&amp;_xlfn.MAXIFS(m_row,m_teacher,E$4,m_date,($G$2+4),m_active,1,m_start,"&lt;"&amp;1440,m_end,"&gt;"&amp;1140),INDEX(m_label,_xlfn.MAXIFS(m_row,m_teacher,E$4,m_date,($G$2+4),m_active,1,m_start,"&lt;"&amp;1440,m_end,"&gt;"&amp;1140))))))</f>
        <v/>
      </c>
      <c r="F59" s="86" t="str">
        <f aca="false">IF(OR(F$4="",MONTH(($G$2+4))&lt;&gt;MONTH($C$2)),"",IF(COUNTIFS(m_teacher,F$4,m_date,($G$2+4),m_active,1,m_start,"&lt;"&amp;1440,m_end,"&gt;"&amp;1140)=0,"",IF(COUNTIFS(m_teacher,F$4,m_date,($G$2+4),m_active,1,m_start,"&lt;"&amp;1440,m_end,"&gt;"&amp;1140)&gt;1,"충돌",HYPERLINK("#'관리자_MASTER'!D"&amp;_xlfn.MAXIFS(m_row,m_teacher,F$4,m_date,($G$2+4),m_active,1,m_start,"&lt;"&amp;1440,m_end,"&gt;"&amp;1140),INDEX(m_label,_xlfn.MAXIFS(m_row,m_teacher,F$4,m_date,($G$2+4),m_active,1,m_start,"&lt;"&amp;1440,m_end,"&gt;"&amp;1140))))))</f>
        <v/>
      </c>
      <c r="G59" s="86" t="str">
        <f aca="false">IF(OR(G$4="",MONTH(($G$2+4))&lt;&gt;MONTH($C$2)),"",IF(COUNTIFS(m_teacher,G$4,m_date,($G$2+4),m_active,1,m_start,"&lt;"&amp;1440,m_end,"&gt;"&amp;1140)=0,"",IF(COUNTIFS(m_teacher,G$4,m_date,($G$2+4),m_active,1,m_start,"&lt;"&amp;1440,m_end,"&gt;"&amp;1140)&gt;1,"충돌",HYPERLINK("#'관리자_MASTER'!D"&amp;_xlfn.MAXIFS(m_row,m_teacher,G$4,m_date,($G$2+4),m_active,1,m_start,"&lt;"&amp;1440,m_end,"&gt;"&amp;1140),INDEX(m_label,_xlfn.MAXIFS(m_row,m_teacher,G$4,m_date,($G$2+4),m_active,1,m_start,"&lt;"&amp;1440,m_end,"&gt;"&amp;1140))))))</f>
        <v/>
      </c>
      <c r="H59" s="86" t="str">
        <f aca="false">IF(OR(H$4="",MONTH(($G$2+4))&lt;&gt;MONTH($C$2)),"",IF(COUNTIFS(m_teacher,H$4,m_date,($G$2+4),m_active,1,m_start,"&lt;"&amp;1440,m_end,"&gt;"&amp;1140)=0,"",IF(COUNTIFS(m_teacher,H$4,m_date,($G$2+4),m_active,1,m_start,"&lt;"&amp;1440,m_end,"&gt;"&amp;1140)&gt;1,"충돌",HYPERLINK("#'관리자_MASTER'!D"&amp;_xlfn.MAXIFS(m_row,m_teacher,H$4,m_date,($G$2+4),m_active,1,m_start,"&lt;"&amp;1440,m_end,"&gt;"&amp;1140),INDEX(m_label,_xlfn.MAXIFS(m_row,m_teacher,H$4,m_date,($G$2+4),m_active,1,m_start,"&lt;"&amp;1440,m_end,"&gt;"&amp;1140))))))</f>
        <v/>
      </c>
      <c r="I59" s="86" t="str">
        <f aca="false">IF(OR(I$4="",MONTH(($G$2+4))&lt;&gt;MONTH($C$2)),"",IF(COUNTIFS(m_teacher,I$4,m_date,($G$2+4),m_active,1,m_start,"&lt;"&amp;1440,m_end,"&gt;"&amp;1140)=0,"",IF(COUNTIFS(m_teacher,I$4,m_date,($G$2+4),m_active,1,m_start,"&lt;"&amp;1440,m_end,"&gt;"&amp;1140)&gt;1,"충돌",HYPERLINK("#'관리자_MASTER'!D"&amp;_xlfn.MAXIFS(m_row,m_teacher,I$4,m_date,($G$2+4),m_active,1,m_start,"&lt;"&amp;1440,m_end,"&gt;"&amp;1140),INDEX(m_label,_xlfn.MAXIFS(m_row,m_teacher,I$4,m_date,($G$2+4),m_active,1,m_start,"&lt;"&amp;1440,m_end,"&gt;"&amp;1140))))))</f>
        <v/>
      </c>
      <c r="J59" s="86" t="str">
        <f aca="false">IF(OR(J$4="",MONTH(($G$2+4))&lt;&gt;MONTH($C$2)),"",IF(COUNTIFS(m_teacher,J$4,m_date,($G$2+4),m_active,1,m_start,"&lt;"&amp;1440,m_end,"&gt;"&amp;1140)=0,"",IF(COUNTIFS(m_teacher,J$4,m_date,($G$2+4),m_active,1,m_start,"&lt;"&amp;1440,m_end,"&gt;"&amp;1140)&gt;1,"충돌",HYPERLINK("#'관리자_MASTER'!D"&amp;_xlfn.MAXIFS(m_row,m_teacher,J$4,m_date,($G$2+4),m_active,1,m_start,"&lt;"&amp;1440,m_end,"&gt;"&amp;1140),INDEX(m_label,_xlfn.MAXIFS(m_row,m_teacher,J$4,m_date,($G$2+4),m_active,1,m_start,"&lt;"&amp;1440,m_end,"&gt;"&amp;1140))))))</f>
        <v/>
      </c>
      <c r="K59" s="86" t="str">
        <f aca="false">IF(OR(K$4="",MONTH(($G$2+4))&lt;&gt;MONTH($C$2)),"",IF(COUNTIFS(m_teacher,K$4,m_date,($G$2+4),m_active,1,m_start,"&lt;"&amp;1440,m_end,"&gt;"&amp;1140)=0,"",IF(COUNTIFS(m_teacher,K$4,m_date,($G$2+4),m_active,1,m_start,"&lt;"&amp;1440,m_end,"&gt;"&amp;1140)&gt;1,"충돌",HYPERLINK("#'관리자_MASTER'!D"&amp;_xlfn.MAXIFS(m_row,m_teacher,K$4,m_date,($G$2+4),m_active,1,m_start,"&lt;"&amp;1440,m_end,"&gt;"&amp;1140),INDEX(m_label,_xlfn.MAXIFS(m_row,m_teacher,K$4,m_date,($G$2+4),m_active,1,m_start,"&lt;"&amp;1440,m_end,"&gt;"&amp;1140))))))</f>
        <v/>
      </c>
      <c r="L59" s="86" t="str">
        <f aca="false">IF(OR(L$4="",MONTH(($G$2+4))&lt;&gt;MONTH($C$2)),"",IF(COUNTIFS(m_teacher,L$4,m_date,($G$2+4),m_active,1,m_start,"&lt;"&amp;1440,m_end,"&gt;"&amp;1140)=0,"",IF(COUNTIFS(m_teacher,L$4,m_date,($G$2+4),m_active,1,m_start,"&lt;"&amp;1440,m_end,"&gt;"&amp;1140)&gt;1,"충돌",HYPERLINK("#'관리자_MASTER'!D"&amp;_xlfn.MAXIFS(m_row,m_teacher,L$4,m_date,($G$2+4),m_active,1,m_start,"&lt;"&amp;1440,m_end,"&gt;"&amp;1140),INDEX(m_label,_xlfn.MAXIFS(m_row,m_teacher,L$4,m_date,($G$2+4),m_active,1,m_start,"&lt;"&amp;1440,m_end,"&gt;"&amp;1140))))))</f>
        <v/>
      </c>
      <c r="M59" s="86" t="str">
        <f aca="false">IF(OR(M$4="",MONTH(($G$2+4))&lt;&gt;MONTH($C$2)),"",IF(COUNTIFS(m_teacher,M$4,m_date,($G$2+4),m_active,1,m_start,"&lt;"&amp;1440,m_end,"&gt;"&amp;1140)=0,"",IF(COUNTIFS(m_teacher,M$4,m_date,($G$2+4),m_active,1,m_start,"&lt;"&amp;1440,m_end,"&gt;"&amp;1140)&gt;1,"충돌",HYPERLINK("#'관리자_MASTER'!D"&amp;_xlfn.MAXIFS(m_row,m_teacher,M$4,m_date,($G$2+4),m_active,1,m_start,"&lt;"&amp;1440,m_end,"&gt;"&amp;1140),INDEX(m_label,_xlfn.MAXIFS(m_row,m_teacher,M$4,m_date,($G$2+4),m_active,1,m_start,"&lt;"&amp;1440,m_end,"&gt;"&amp;1140))))))</f>
        <v/>
      </c>
      <c r="N59" s="86" t="str">
        <f aca="false">IF(OR(N$4="",MONTH(($G$2+4))&lt;&gt;MONTH($C$2)),"",IF(COUNTIFS(m_teacher,N$4,m_date,($G$2+4),m_active,1,m_start,"&lt;"&amp;1440,m_end,"&gt;"&amp;1140)=0,"",IF(COUNTIFS(m_teacher,N$4,m_date,($G$2+4),m_active,1,m_start,"&lt;"&amp;1440,m_end,"&gt;"&amp;1140)&gt;1,"충돌",HYPERLINK("#'관리자_MASTER'!D"&amp;_xlfn.MAXIFS(m_row,m_teacher,N$4,m_date,($G$2+4),m_active,1,m_start,"&lt;"&amp;1440,m_end,"&gt;"&amp;1140),INDEX(m_label,_xlfn.MAXIFS(m_row,m_teacher,N$4,m_date,($G$2+4),m_active,1,m_start,"&lt;"&amp;1440,m_end,"&gt;"&amp;1140))))))</f>
        <v/>
      </c>
      <c r="O59" s="78"/>
      <c r="P59" s="85" t="s">
        <v>101</v>
      </c>
      <c r="Q59" s="86" t="str">
        <f aca="false">IF(OR(Q$4="",MONTH(($G$2+11))&lt;&gt;MONTH($C$2)),"",IF(COUNTIFS(m_teacher,Q$4,m_date,($G$2+11),m_active,1,m_start,"&lt;"&amp;1440,m_end,"&gt;"&amp;1140)=0,"",IF(COUNTIFS(m_teacher,Q$4,m_date,($G$2+11),m_active,1,m_start,"&lt;"&amp;1440,m_end,"&gt;"&amp;1140)&gt;1,"충돌",HYPERLINK("#'관리자_MASTER'!D"&amp;_xlfn.MAXIFS(m_row,m_teacher,Q$4,m_date,($G$2+11),m_active,1,m_start,"&lt;"&amp;1440,m_end,"&gt;"&amp;1140),INDEX(m_label,_xlfn.MAXIFS(m_row,m_teacher,Q$4,m_date,($G$2+11),m_active,1,m_start,"&lt;"&amp;1440,m_end,"&gt;"&amp;1140))))))</f>
        <v/>
      </c>
      <c r="R59" s="86" t="str">
        <f aca="false">IF(OR(R$4="",MONTH(($G$2+11))&lt;&gt;MONTH($C$2)),"",IF(COUNTIFS(m_teacher,R$4,m_date,($G$2+11),m_active,1,m_start,"&lt;"&amp;1440,m_end,"&gt;"&amp;1140)=0,"",IF(COUNTIFS(m_teacher,R$4,m_date,($G$2+11),m_active,1,m_start,"&lt;"&amp;1440,m_end,"&gt;"&amp;1140)&gt;1,"충돌",HYPERLINK("#'관리자_MASTER'!D"&amp;_xlfn.MAXIFS(m_row,m_teacher,R$4,m_date,($G$2+11),m_active,1,m_start,"&lt;"&amp;1440,m_end,"&gt;"&amp;1140),INDEX(m_label,_xlfn.MAXIFS(m_row,m_teacher,R$4,m_date,($G$2+11),m_active,1,m_start,"&lt;"&amp;1440,m_end,"&gt;"&amp;1140))))))</f>
        <v/>
      </c>
      <c r="S59" s="86" t="str">
        <f aca="false">IF(OR(S$4="",MONTH(($G$2+11))&lt;&gt;MONTH($C$2)),"",IF(COUNTIFS(m_teacher,S$4,m_date,($G$2+11),m_active,1,m_start,"&lt;"&amp;1440,m_end,"&gt;"&amp;1140)=0,"",IF(COUNTIFS(m_teacher,S$4,m_date,($G$2+11),m_active,1,m_start,"&lt;"&amp;1440,m_end,"&gt;"&amp;1140)&gt;1,"충돌",HYPERLINK("#'관리자_MASTER'!D"&amp;_xlfn.MAXIFS(m_row,m_teacher,S$4,m_date,($G$2+11),m_active,1,m_start,"&lt;"&amp;1440,m_end,"&gt;"&amp;1140),INDEX(m_label,_xlfn.MAXIFS(m_row,m_teacher,S$4,m_date,($G$2+11),m_active,1,m_start,"&lt;"&amp;1440,m_end,"&gt;"&amp;1140))))))</f>
        <v/>
      </c>
      <c r="T59" s="86" t="str">
        <f aca="false">IF(OR(T$4="",MONTH(($G$2+11))&lt;&gt;MONTH($C$2)),"",IF(COUNTIFS(m_teacher,T$4,m_date,($G$2+11),m_active,1,m_start,"&lt;"&amp;1440,m_end,"&gt;"&amp;1140)=0,"",IF(COUNTIFS(m_teacher,T$4,m_date,($G$2+11),m_active,1,m_start,"&lt;"&amp;1440,m_end,"&gt;"&amp;1140)&gt;1,"충돌",HYPERLINK("#'관리자_MASTER'!D"&amp;_xlfn.MAXIFS(m_row,m_teacher,T$4,m_date,($G$2+11),m_active,1,m_start,"&lt;"&amp;1440,m_end,"&gt;"&amp;1140),INDEX(m_label,_xlfn.MAXIFS(m_row,m_teacher,T$4,m_date,($G$2+11),m_active,1,m_start,"&lt;"&amp;1440,m_end,"&gt;"&amp;1140))))))</f>
        <v/>
      </c>
      <c r="U59" s="86" t="str">
        <f aca="false">IF(OR(U$4="",MONTH(($G$2+11))&lt;&gt;MONTH($C$2)),"",IF(COUNTIFS(m_teacher,U$4,m_date,($G$2+11),m_active,1,m_start,"&lt;"&amp;1440,m_end,"&gt;"&amp;1140)=0,"",IF(COUNTIFS(m_teacher,U$4,m_date,($G$2+11),m_active,1,m_start,"&lt;"&amp;1440,m_end,"&gt;"&amp;1140)&gt;1,"충돌",HYPERLINK("#'관리자_MASTER'!D"&amp;_xlfn.MAXIFS(m_row,m_teacher,U$4,m_date,($G$2+11),m_active,1,m_start,"&lt;"&amp;1440,m_end,"&gt;"&amp;1140),INDEX(m_label,_xlfn.MAXIFS(m_row,m_teacher,U$4,m_date,($G$2+11),m_active,1,m_start,"&lt;"&amp;1440,m_end,"&gt;"&amp;1140))))))</f>
        <v/>
      </c>
      <c r="V59" s="86" t="str">
        <f aca="false">IF(OR(V$4="",MONTH(($G$2+11))&lt;&gt;MONTH($C$2)),"",IF(COUNTIFS(m_teacher,V$4,m_date,($G$2+11),m_active,1,m_start,"&lt;"&amp;1440,m_end,"&gt;"&amp;1140)=0,"",IF(COUNTIFS(m_teacher,V$4,m_date,($G$2+11),m_active,1,m_start,"&lt;"&amp;1440,m_end,"&gt;"&amp;1140)&gt;1,"충돌",HYPERLINK("#'관리자_MASTER'!D"&amp;_xlfn.MAXIFS(m_row,m_teacher,V$4,m_date,($G$2+11),m_active,1,m_start,"&lt;"&amp;1440,m_end,"&gt;"&amp;1140),INDEX(m_label,_xlfn.MAXIFS(m_row,m_teacher,V$4,m_date,($G$2+11),m_active,1,m_start,"&lt;"&amp;1440,m_end,"&gt;"&amp;1140))))))</f>
        <v/>
      </c>
      <c r="W59" s="86" t="str">
        <f aca="false">IF(OR(W$4="",MONTH(($G$2+11))&lt;&gt;MONTH($C$2)),"",IF(COUNTIFS(m_teacher,W$4,m_date,($G$2+11),m_active,1,m_start,"&lt;"&amp;1440,m_end,"&gt;"&amp;1140)=0,"",IF(COUNTIFS(m_teacher,W$4,m_date,($G$2+11),m_active,1,m_start,"&lt;"&amp;1440,m_end,"&gt;"&amp;1140)&gt;1,"충돌",HYPERLINK("#'관리자_MASTER'!D"&amp;_xlfn.MAXIFS(m_row,m_teacher,W$4,m_date,($G$2+11),m_active,1,m_start,"&lt;"&amp;1440,m_end,"&gt;"&amp;1140),INDEX(m_label,_xlfn.MAXIFS(m_row,m_teacher,W$4,m_date,($G$2+11),m_active,1,m_start,"&lt;"&amp;1440,m_end,"&gt;"&amp;1140))))))</f>
        <v/>
      </c>
      <c r="X59" s="86" t="str">
        <f aca="false">IF(OR(X$4="",MONTH(($G$2+11))&lt;&gt;MONTH($C$2)),"",IF(COUNTIFS(m_teacher,X$4,m_date,($G$2+11),m_active,1,m_start,"&lt;"&amp;1440,m_end,"&gt;"&amp;1140)=0,"",IF(COUNTIFS(m_teacher,X$4,m_date,($G$2+11),m_active,1,m_start,"&lt;"&amp;1440,m_end,"&gt;"&amp;1140)&gt;1,"충돌",HYPERLINK("#'관리자_MASTER'!D"&amp;_xlfn.MAXIFS(m_row,m_teacher,X$4,m_date,($G$2+11),m_active,1,m_start,"&lt;"&amp;1440,m_end,"&gt;"&amp;1140),INDEX(m_label,_xlfn.MAXIFS(m_row,m_teacher,X$4,m_date,($G$2+11),m_active,1,m_start,"&lt;"&amp;1440,m_end,"&gt;"&amp;1140))))))</f>
        <v/>
      </c>
      <c r="Y59" s="86" t="str">
        <f aca="false">IF(OR(Y$4="",MONTH(($G$2+11))&lt;&gt;MONTH($C$2)),"",IF(COUNTIFS(m_teacher,Y$4,m_date,($G$2+11),m_active,1,m_start,"&lt;"&amp;1440,m_end,"&gt;"&amp;1140)=0,"",IF(COUNTIFS(m_teacher,Y$4,m_date,($G$2+11),m_active,1,m_start,"&lt;"&amp;1440,m_end,"&gt;"&amp;1140)&gt;1,"충돌",HYPERLINK("#'관리자_MASTER'!D"&amp;_xlfn.MAXIFS(m_row,m_teacher,Y$4,m_date,($G$2+11),m_active,1,m_start,"&lt;"&amp;1440,m_end,"&gt;"&amp;1140),INDEX(m_label,_xlfn.MAXIFS(m_row,m_teacher,Y$4,m_date,($G$2+11),m_active,1,m_start,"&lt;"&amp;1440,m_end,"&gt;"&amp;1140))))))</f>
        <v/>
      </c>
      <c r="Z59" s="86" t="str">
        <f aca="false">IF(OR(Z$4="",MONTH(($G$2+11))&lt;&gt;MONTH($C$2)),"",IF(COUNTIFS(m_teacher,Z$4,m_date,($G$2+11),m_active,1,m_start,"&lt;"&amp;1440,m_end,"&gt;"&amp;1140)=0,"",IF(COUNTIFS(m_teacher,Z$4,m_date,($G$2+11),m_active,1,m_start,"&lt;"&amp;1440,m_end,"&gt;"&amp;1140)&gt;1,"충돌",HYPERLINK("#'관리자_MASTER'!D"&amp;_xlfn.MAXIFS(m_row,m_teacher,Z$4,m_date,($G$2+11),m_active,1,m_start,"&lt;"&amp;1440,m_end,"&gt;"&amp;1140),INDEX(m_label,_xlfn.MAXIFS(m_row,m_teacher,Z$4,m_date,($G$2+11),m_active,1,m_start,"&lt;"&amp;1440,m_end,"&gt;"&amp;1140))))))</f>
        <v/>
      </c>
      <c r="AA59" s="86" t="str">
        <f aca="false">IF(OR(AA$4="",MONTH(($G$2+11))&lt;&gt;MONTH($C$2)),"",IF(COUNTIFS(m_teacher,AA$4,m_date,($G$2+11),m_active,1,m_start,"&lt;"&amp;1440,m_end,"&gt;"&amp;1140)=0,"",IF(COUNTIFS(m_teacher,AA$4,m_date,($G$2+11),m_active,1,m_start,"&lt;"&amp;1440,m_end,"&gt;"&amp;1140)&gt;1,"충돌",HYPERLINK("#'관리자_MASTER'!D"&amp;_xlfn.MAXIFS(m_row,m_teacher,AA$4,m_date,($G$2+11),m_active,1,m_start,"&lt;"&amp;1440,m_end,"&gt;"&amp;1140),INDEX(m_label,_xlfn.MAXIFS(m_row,m_teacher,AA$4,m_date,($G$2+11),m_active,1,m_start,"&lt;"&amp;1440,m_end,"&gt;"&amp;1140))))))</f>
        <v/>
      </c>
      <c r="AB59" s="86" t="str">
        <f aca="false">IF(OR(AB$4="",MONTH(($G$2+11))&lt;&gt;MONTH($C$2)),"",IF(COUNTIFS(m_teacher,AB$4,m_date,($G$2+11),m_active,1,m_start,"&lt;"&amp;1440,m_end,"&gt;"&amp;1140)=0,"",IF(COUNTIFS(m_teacher,AB$4,m_date,($G$2+11),m_active,1,m_start,"&lt;"&amp;1440,m_end,"&gt;"&amp;1140)&gt;1,"충돌",HYPERLINK("#'관리자_MASTER'!D"&amp;_xlfn.MAXIFS(m_row,m_teacher,AB$4,m_date,($G$2+11),m_active,1,m_start,"&lt;"&amp;1440,m_end,"&gt;"&amp;1140),INDEX(m_label,_xlfn.MAXIFS(m_row,m_teacher,AB$4,m_date,($G$2+11),m_active,1,m_start,"&lt;"&amp;1440,m_end,"&gt;"&amp;1140))))))</f>
        <v/>
      </c>
      <c r="AC59" s="78"/>
      <c r="AD59" s="85" t="s">
        <v>101</v>
      </c>
      <c r="AE59" s="86" t="str">
        <f aca="false">IF(OR(AE$4="",MONTH(($G$2+18))&lt;&gt;MONTH($C$2)),"",IF(COUNTIFS(m_teacher,AE$4,m_date,($G$2+18),m_active,1,m_start,"&lt;"&amp;1440,m_end,"&gt;"&amp;1140)=0,"",IF(COUNTIFS(m_teacher,AE$4,m_date,($G$2+18),m_active,1,m_start,"&lt;"&amp;1440,m_end,"&gt;"&amp;1140)&gt;1,"충돌",HYPERLINK("#'관리자_MASTER'!D"&amp;_xlfn.MAXIFS(m_row,m_teacher,AE$4,m_date,($G$2+18),m_active,1,m_start,"&lt;"&amp;1440,m_end,"&gt;"&amp;1140),INDEX(m_label,_xlfn.MAXIFS(m_row,m_teacher,AE$4,m_date,($G$2+18),m_active,1,m_start,"&lt;"&amp;1440,m_end,"&gt;"&amp;1140))))))</f>
        <v/>
      </c>
      <c r="AF59" s="86" t="str">
        <f aca="false">IF(OR(AF$4="",MONTH(($G$2+18))&lt;&gt;MONTH($C$2)),"",IF(COUNTIFS(m_teacher,AF$4,m_date,($G$2+18),m_active,1,m_start,"&lt;"&amp;1440,m_end,"&gt;"&amp;1140)=0,"",IF(COUNTIFS(m_teacher,AF$4,m_date,($G$2+18),m_active,1,m_start,"&lt;"&amp;1440,m_end,"&gt;"&amp;1140)&gt;1,"충돌",HYPERLINK("#'관리자_MASTER'!D"&amp;_xlfn.MAXIFS(m_row,m_teacher,AF$4,m_date,($G$2+18),m_active,1,m_start,"&lt;"&amp;1440,m_end,"&gt;"&amp;1140),INDEX(m_label,_xlfn.MAXIFS(m_row,m_teacher,AF$4,m_date,($G$2+18),m_active,1,m_start,"&lt;"&amp;1440,m_end,"&gt;"&amp;1140))))))</f>
        <v/>
      </c>
      <c r="AG59" s="86" t="str">
        <f aca="false">IF(OR(AG$4="",MONTH(($G$2+18))&lt;&gt;MONTH($C$2)),"",IF(COUNTIFS(m_teacher,AG$4,m_date,($G$2+18),m_active,1,m_start,"&lt;"&amp;1440,m_end,"&gt;"&amp;1140)=0,"",IF(COUNTIFS(m_teacher,AG$4,m_date,($G$2+18),m_active,1,m_start,"&lt;"&amp;1440,m_end,"&gt;"&amp;1140)&gt;1,"충돌",HYPERLINK("#'관리자_MASTER'!D"&amp;_xlfn.MAXIFS(m_row,m_teacher,AG$4,m_date,($G$2+18),m_active,1,m_start,"&lt;"&amp;1440,m_end,"&gt;"&amp;1140),INDEX(m_label,_xlfn.MAXIFS(m_row,m_teacher,AG$4,m_date,($G$2+18),m_active,1,m_start,"&lt;"&amp;1440,m_end,"&gt;"&amp;1140))))))</f>
        <v/>
      </c>
      <c r="AH59" s="86" t="str">
        <f aca="false">IF(OR(AH$4="",MONTH(($G$2+18))&lt;&gt;MONTH($C$2)),"",IF(COUNTIFS(m_teacher,AH$4,m_date,($G$2+18),m_active,1,m_start,"&lt;"&amp;1440,m_end,"&gt;"&amp;1140)=0,"",IF(COUNTIFS(m_teacher,AH$4,m_date,($G$2+18),m_active,1,m_start,"&lt;"&amp;1440,m_end,"&gt;"&amp;1140)&gt;1,"충돌",HYPERLINK("#'관리자_MASTER'!D"&amp;_xlfn.MAXIFS(m_row,m_teacher,AH$4,m_date,($G$2+18),m_active,1,m_start,"&lt;"&amp;1440,m_end,"&gt;"&amp;1140),INDEX(m_label,_xlfn.MAXIFS(m_row,m_teacher,AH$4,m_date,($G$2+18),m_active,1,m_start,"&lt;"&amp;1440,m_end,"&gt;"&amp;1140))))))</f>
        <v/>
      </c>
      <c r="AI59" s="86" t="str">
        <f aca="false">IF(OR(AI$4="",MONTH(($G$2+18))&lt;&gt;MONTH($C$2)),"",IF(COUNTIFS(m_teacher,AI$4,m_date,($G$2+18),m_active,1,m_start,"&lt;"&amp;1440,m_end,"&gt;"&amp;1140)=0,"",IF(COUNTIFS(m_teacher,AI$4,m_date,($G$2+18),m_active,1,m_start,"&lt;"&amp;1440,m_end,"&gt;"&amp;1140)&gt;1,"충돌",HYPERLINK("#'관리자_MASTER'!D"&amp;_xlfn.MAXIFS(m_row,m_teacher,AI$4,m_date,($G$2+18),m_active,1,m_start,"&lt;"&amp;1440,m_end,"&gt;"&amp;1140),INDEX(m_label,_xlfn.MAXIFS(m_row,m_teacher,AI$4,m_date,($G$2+18),m_active,1,m_start,"&lt;"&amp;1440,m_end,"&gt;"&amp;1140))))))</f>
        <v/>
      </c>
      <c r="AJ59" s="86" t="str">
        <f aca="false">IF(OR(AJ$4="",MONTH(($G$2+18))&lt;&gt;MONTH($C$2)),"",IF(COUNTIFS(m_teacher,AJ$4,m_date,($G$2+18),m_active,1,m_start,"&lt;"&amp;1440,m_end,"&gt;"&amp;1140)=0,"",IF(COUNTIFS(m_teacher,AJ$4,m_date,($G$2+18),m_active,1,m_start,"&lt;"&amp;1440,m_end,"&gt;"&amp;1140)&gt;1,"충돌",HYPERLINK("#'관리자_MASTER'!D"&amp;_xlfn.MAXIFS(m_row,m_teacher,AJ$4,m_date,($G$2+18),m_active,1,m_start,"&lt;"&amp;1440,m_end,"&gt;"&amp;1140),INDEX(m_label,_xlfn.MAXIFS(m_row,m_teacher,AJ$4,m_date,($G$2+18),m_active,1,m_start,"&lt;"&amp;1440,m_end,"&gt;"&amp;1140))))))</f>
        <v/>
      </c>
      <c r="AK59" s="86" t="str">
        <f aca="false">IF(OR(AK$4="",MONTH(($G$2+18))&lt;&gt;MONTH($C$2)),"",IF(COUNTIFS(m_teacher,AK$4,m_date,($G$2+18),m_active,1,m_start,"&lt;"&amp;1440,m_end,"&gt;"&amp;1140)=0,"",IF(COUNTIFS(m_teacher,AK$4,m_date,($G$2+18),m_active,1,m_start,"&lt;"&amp;1440,m_end,"&gt;"&amp;1140)&gt;1,"충돌",HYPERLINK("#'관리자_MASTER'!D"&amp;_xlfn.MAXIFS(m_row,m_teacher,AK$4,m_date,($G$2+18),m_active,1,m_start,"&lt;"&amp;1440,m_end,"&gt;"&amp;1140),INDEX(m_label,_xlfn.MAXIFS(m_row,m_teacher,AK$4,m_date,($G$2+18),m_active,1,m_start,"&lt;"&amp;1440,m_end,"&gt;"&amp;1140))))))</f>
        <v/>
      </c>
      <c r="AL59" s="86" t="str">
        <f aca="false">IF(OR(AL$4="",MONTH(($G$2+18))&lt;&gt;MONTH($C$2)),"",IF(COUNTIFS(m_teacher,AL$4,m_date,($G$2+18),m_active,1,m_start,"&lt;"&amp;1440,m_end,"&gt;"&amp;1140)=0,"",IF(COUNTIFS(m_teacher,AL$4,m_date,($G$2+18),m_active,1,m_start,"&lt;"&amp;1440,m_end,"&gt;"&amp;1140)&gt;1,"충돌",HYPERLINK("#'관리자_MASTER'!D"&amp;_xlfn.MAXIFS(m_row,m_teacher,AL$4,m_date,($G$2+18),m_active,1,m_start,"&lt;"&amp;1440,m_end,"&gt;"&amp;1140),INDEX(m_label,_xlfn.MAXIFS(m_row,m_teacher,AL$4,m_date,($G$2+18),m_active,1,m_start,"&lt;"&amp;1440,m_end,"&gt;"&amp;1140))))))</f>
        <v/>
      </c>
      <c r="AM59" s="86" t="str">
        <f aca="false">IF(OR(AM$4="",MONTH(($G$2+18))&lt;&gt;MONTH($C$2)),"",IF(COUNTIFS(m_teacher,AM$4,m_date,($G$2+18),m_active,1,m_start,"&lt;"&amp;1440,m_end,"&gt;"&amp;1140)=0,"",IF(COUNTIFS(m_teacher,AM$4,m_date,($G$2+18),m_active,1,m_start,"&lt;"&amp;1440,m_end,"&gt;"&amp;1140)&gt;1,"충돌",HYPERLINK("#'관리자_MASTER'!D"&amp;_xlfn.MAXIFS(m_row,m_teacher,AM$4,m_date,($G$2+18),m_active,1,m_start,"&lt;"&amp;1440,m_end,"&gt;"&amp;1140),INDEX(m_label,_xlfn.MAXIFS(m_row,m_teacher,AM$4,m_date,($G$2+18),m_active,1,m_start,"&lt;"&amp;1440,m_end,"&gt;"&amp;1140))))))</f>
        <v/>
      </c>
      <c r="AN59" s="86" t="str">
        <f aca="false">IF(OR(AN$4="",MONTH(($G$2+18))&lt;&gt;MONTH($C$2)),"",IF(COUNTIFS(m_teacher,AN$4,m_date,($G$2+18),m_active,1,m_start,"&lt;"&amp;1440,m_end,"&gt;"&amp;1140)=0,"",IF(COUNTIFS(m_teacher,AN$4,m_date,($G$2+18),m_active,1,m_start,"&lt;"&amp;1440,m_end,"&gt;"&amp;1140)&gt;1,"충돌",HYPERLINK("#'관리자_MASTER'!D"&amp;_xlfn.MAXIFS(m_row,m_teacher,AN$4,m_date,($G$2+18),m_active,1,m_start,"&lt;"&amp;1440,m_end,"&gt;"&amp;1140),INDEX(m_label,_xlfn.MAXIFS(m_row,m_teacher,AN$4,m_date,($G$2+18),m_active,1,m_start,"&lt;"&amp;1440,m_end,"&gt;"&amp;1140))))))</f>
        <v/>
      </c>
      <c r="AO59" s="86" t="str">
        <f aca="false">IF(OR(AO$4="",MONTH(($G$2+18))&lt;&gt;MONTH($C$2)),"",IF(COUNTIFS(m_teacher,AO$4,m_date,($G$2+18),m_active,1,m_start,"&lt;"&amp;1440,m_end,"&gt;"&amp;1140)=0,"",IF(COUNTIFS(m_teacher,AO$4,m_date,($G$2+18),m_active,1,m_start,"&lt;"&amp;1440,m_end,"&gt;"&amp;1140)&gt;1,"충돌",HYPERLINK("#'관리자_MASTER'!D"&amp;_xlfn.MAXIFS(m_row,m_teacher,AO$4,m_date,($G$2+18),m_active,1,m_start,"&lt;"&amp;1440,m_end,"&gt;"&amp;1140),INDEX(m_label,_xlfn.MAXIFS(m_row,m_teacher,AO$4,m_date,($G$2+18),m_active,1,m_start,"&lt;"&amp;1440,m_end,"&gt;"&amp;1140))))))</f>
        <v/>
      </c>
      <c r="AP59" s="86" t="str">
        <f aca="false">IF(OR(AP$4="",MONTH(($G$2+18))&lt;&gt;MONTH($C$2)),"",IF(COUNTIFS(m_teacher,AP$4,m_date,($G$2+18),m_active,1,m_start,"&lt;"&amp;1440,m_end,"&gt;"&amp;1140)=0,"",IF(COUNTIFS(m_teacher,AP$4,m_date,($G$2+18),m_active,1,m_start,"&lt;"&amp;1440,m_end,"&gt;"&amp;1140)&gt;1,"충돌",HYPERLINK("#'관리자_MASTER'!D"&amp;_xlfn.MAXIFS(m_row,m_teacher,AP$4,m_date,($G$2+18),m_active,1,m_start,"&lt;"&amp;1440,m_end,"&gt;"&amp;1140),INDEX(m_label,_xlfn.MAXIFS(m_row,m_teacher,AP$4,m_date,($G$2+18),m_active,1,m_start,"&lt;"&amp;1440,m_end,"&gt;"&amp;1140))))))</f>
        <v/>
      </c>
      <c r="AQ59" s="78"/>
      <c r="AR59" s="85" t="s">
        <v>101</v>
      </c>
      <c r="AS59" s="86" t="str">
        <f aca="false">IF(OR(AS$4="",MONTH(($G$2+25))&lt;&gt;MONTH($C$2)),"",IF(COUNTIFS(m_teacher,AS$4,m_date,($G$2+25),m_active,1,m_start,"&lt;"&amp;1440,m_end,"&gt;"&amp;1140)=0,"",IF(COUNTIFS(m_teacher,AS$4,m_date,($G$2+25),m_active,1,m_start,"&lt;"&amp;1440,m_end,"&gt;"&amp;1140)&gt;1,"충돌",HYPERLINK("#'관리자_MASTER'!D"&amp;_xlfn.MAXIFS(m_row,m_teacher,AS$4,m_date,($G$2+25),m_active,1,m_start,"&lt;"&amp;1440,m_end,"&gt;"&amp;1140),INDEX(m_label,_xlfn.MAXIFS(m_row,m_teacher,AS$4,m_date,($G$2+25),m_active,1,m_start,"&lt;"&amp;1440,m_end,"&gt;"&amp;1140))))))</f>
        <v/>
      </c>
      <c r="AT59" s="86" t="str">
        <f aca="false">IF(OR(AT$4="",MONTH(($G$2+25))&lt;&gt;MONTH($C$2)),"",IF(COUNTIFS(m_teacher,AT$4,m_date,($G$2+25),m_active,1,m_start,"&lt;"&amp;1440,m_end,"&gt;"&amp;1140)=0,"",IF(COUNTIFS(m_teacher,AT$4,m_date,($G$2+25),m_active,1,m_start,"&lt;"&amp;1440,m_end,"&gt;"&amp;1140)&gt;1,"충돌",HYPERLINK("#'관리자_MASTER'!D"&amp;_xlfn.MAXIFS(m_row,m_teacher,AT$4,m_date,($G$2+25),m_active,1,m_start,"&lt;"&amp;1440,m_end,"&gt;"&amp;1140),INDEX(m_label,_xlfn.MAXIFS(m_row,m_teacher,AT$4,m_date,($G$2+25),m_active,1,m_start,"&lt;"&amp;1440,m_end,"&gt;"&amp;1140))))))</f>
        <v/>
      </c>
      <c r="AU59" s="86" t="str">
        <f aca="false">IF(OR(AU$4="",MONTH(($G$2+25))&lt;&gt;MONTH($C$2)),"",IF(COUNTIFS(m_teacher,AU$4,m_date,($G$2+25),m_active,1,m_start,"&lt;"&amp;1440,m_end,"&gt;"&amp;1140)=0,"",IF(COUNTIFS(m_teacher,AU$4,m_date,($G$2+25),m_active,1,m_start,"&lt;"&amp;1440,m_end,"&gt;"&amp;1140)&gt;1,"충돌",HYPERLINK("#'관리자_MASTER'!D"&amp;_xlfn.MAXIFS(m_row,m_teacher,AU$4,m_date,($G$2+25),m_active,1,m_start,"&lt;"&amp;1440,m_end,"&gt;"&amp;1140),INDEX(m_label,_xlfn.MAXIFS(m_row,m_teacher,AU$4,m_date,($G$2+25),m_active,1,m_start,"&lt;"&amp;1440,m_end,"&gt;"&amp;1140))))))</f>
        <v/>
      </c>
      <c r="AV59" s="86" t="str">
        <f aca="false">IF(OR(AV$4="",MONTH(($G$2+25))&lt;&gt;MONTH($C$2)),"",IF(COUNTIFS(m_teacher,AV$4,m_date,($G$2+25),m_active,1,m_start,"&lt;"&amp;1440,m_end,"&gt;"&amp;1140)=0,"",IF(COUNTIFS(m_teacher,AV$4,m_date,($G$2+25),m_active,1,m_start,"&lt;"&amp;1440,m_end,"&gt;"&amp;1140)&gt;1,"충돌",HYPERLINK("#'관리자_MASTER'!D"&amp;_xlfn.MAXIFS(m_row,m_teacher,AV$4,m_date,($G$2+25),m_active,1,m_start,"&lt;"&amp;1440,m_end,"&gt;"&amp;1140),INDEX(m_label,_xlfn.MAXIFS(m_row,m_teacher,AV$4,m_date,($G$2+25),m_active,1,m_start,"&lt;"&amp;1440,m_end,"&gt;"&amp;1140))))))</f>
        <v/>
      </c>
      <c r="AW59" s="86" t="str">
        <f aca="false">IF(OR(AW$4="",MONTH(($G$2+25))&lt;&gt;MONTH($C$2)),"",IF(COUNTIFS(m_teacher,AW$4,m_date,($G$2+25),m_active,1,m_start,"&lt;"&amp;1440,m_end,"&gt;"&amp;1140)=0,"",IF(COUNTIFS(m_teacher,AW$4,m_date,($G$2+25),m_active,1,m_start,"&lt;"&amp;1440,m_end,"&gt;"&amp;1140)&gt;1,"충돌",HYPERLINK("#'관리자_MASTER'!D"&amp;_xlfn.MAXIFS(m_row,m_teacher,AW$4,m_date,($G$2+25),m_active,1,m_start,"&lt;"&amp;1440,m_end,"&gt;"&amp;1140),INDEX(m_label,_xlfn.MAXIFS(m_row,m_teacher,AW$4,m_date,($G$2+25),m_active,1,m_start,"&lt;"&amp;1440,m_end,"&gt;"&amp;1140))))))</f>
        <v/>
      </c>
      <c r="AX59" s="86" t="str">
        <f aca="false">IF(OR(AX$4="",MONTH(($G$2+25))&lt;&gt;MONTH($C$2)),"",IF(COUNTIFS(m_teacher,AX$4,m_date,($G$2+25),m_active,1,m_start,"&lt;"&amp;1440,m_end,"&gt;"&amp;1140)=0,"",IF(COUNTIFS(m_teacher,AX$4,m_date,($G$2+25),m_active,1,m_start,"&lt;"&amp;1440,m_end,"&gt;"&amp;1140)&gt;1,"충돌",HYPERLINK("#'관리자_MASTER'!D"&amp;_xlfn.MAXIFS(m_row,m_teacher,AX$4,m_date,($G$2+25),m_active,1,m_start,"&lt;"&amp;1440,m_end,"&gt;"&amp;1140),INDEX(m_label,_xlfn.MAXIFS(m_row,m_teacher,AX$4,m_date,($G$2+25),m_active,1,m_start,"&lt;"&amp;1440,m_end,"&gt;"&amp;1140))))))</f>
        <v/>
      </c>
      <c r="AY59" s="86" t="str">
        <f aca="false">IF(OR(AY$4="",MONTH(($G$2+25))&lt;&gt;MONTH($C$2)),"",IF(COUNTIFS(m_teacher,AY$4,m_date,($G$2+25),m_active,1,m_start,"&lt;"&amp;1440,m_end,"&gt;"&amp;1140)=0,"",IF(COUNTIFS(m_teacher,AY$4,m_date,($G$2+25),m_active,1,m_start,"&lt;"&amp;1440,m_end,"&gt;"&amp;1140)&gt;1,"충돌",HYPERLINK("#'관리자_MASTER'!D"&amp;_xlfn.MAXIFS(m_row,m_teacher,AY$4,m_date,($G$2+25),m_active,1,m_start,"&lt;"&amp;1440,m_end,"&gt;"&amp;1140),INDEX(m_label,_xlfn.MAXIFS(m_row,m_teacher,AY$4,m_date,($G$2+25),m_active,1,m_start,"&lt;"&amp;1440,m_end,"&gt;"&amp;1140))))))</f>
        <v/>
      </c>
      <c r="AZ59" s="86" t="str">
        <f aca="false">IF(OR(AZ$4="",MONTH(($G$2+25))&lt;&gt;MONTH($C$2)),"",IF(COUNTIFS(m_teacher,AZ$4,m_date,($G$2+25),m_active,1,m_start,"&lt;"&amp;1440,m_end,"&gt;"&amp;1140)=0,"",IF(COUNTIFS(m_teacher,AZ$4,m_date,($G$2+25),m_active,1,m_start,"&lt;"&amp;1440,m_end,"&gt;"&amp;1140)&gt;1,"충돌",HYPERLINK("#'관리자_MASTER'!D"&amp;_xlfn.MAXIFS(m_row,m_teacher,AZ$4,m_date,($G$2+25),m_active,1,m_start,"&lt;"&amp;1440,m_end,"&gt;"&amp;1140),INDEX(m_label,_xlfn.MAXIFS(m_row,m_teacher,AZ$4,m_date,($G$2+25),m_active,1,m_start,"&lt;"&amp;1440,m_end,"&gt;"&amp;1140))))))</f>
        <v/>
      </c>
      <c r="BA59" s="86" t="str">
        <f aca="false">IF(OR(BA$4="",MONTH(($G$2+25))&lt;&gt;MONTH($C$2)),"",IF(COUNTIFS(m_teacher,BA$4,m_date,($G$2+25),m_active,1,m_start,"&lt;"&amp;1440,m_end,"&gt;"&amp;1140)=0,"",IF(COUNTIFS(m_teacher,BA$4,m_date,($G$2+25),m_active,1,m_start,"&lt;"&amp;1440,m_end,"&gt;"&amp;1140)&gt;1,"충돌",HYPERLINK("#'관리자_MASTER'!D"&amp;_xlfn.MAXIFS(m_row,m_teacher,BA$4,m_date,($G$2+25),m_active,1,m_start,"&lt;"&amp;1440,m_end,"&gt;"&amp;1140),INDEX(m_label,_xlfn.MAXIFS(m_row,m_teacher,BA$4,m_date,($G$2+25),m_active,1,m_start,"&lt;"&amp;1440,m_end,"&gt;"&amp;1140))))))</f>
        <v/>
      </c>
      <c r="BB59" s="86" t="str">
        <f aca="false">IF(OR(BB$4="",MONTH(($G$2+25))&lt;&gt;MONTH($C$2)),"",IF(COUNTIFS(m_teacher,BB$4,m_date,($G$2+25),m_active,1,m_start,"&lt;"&amp;1440,m_end,"&gt;"&amp;1140)=0,"",IF(COUNTIFS(m_teacher,BB$4,m_date,($G$2+25),m_active,1,m_start,"&lt;"&amp;1440,m_end,"&gt;"&amp;1140)&gt;1,"충돌",HYPERLINK("#'관리자_MASTER'!D"&amp;_xlfn.MAXIFS(m_row,m_teacher,BB$4,m_date,($G$2+25),m_active,1,m_start,"&lt;"&amp;1440,m_end,"&gt;"&amp;1140),INDEX(m_label,_xlfn.MAXIFS(m_row,m_teacher,BB$4,m_date,($G$2+25),m_active,1,m_start,"&lt;"&amp;1440,m_end,"&gt;"&amp;1140))))))</f>
        <v/>
      </c>
      <c r="BC59" s="86" t="str">
        <f aca="false">IF(OR(BC$4="",MONTH(($G$2+25))&lt;&gt;MONTH($C$2)),"",IF(COUNTIFS(m_teacher,BC$4,m_date,($G$2+25),m_active,1,m_start,"&lt;"&amp;1440,m_end,"&gt;"&amp;1140)=0,"",IF(COUNTIFS(m_teacher,BC$4,m_date,($G$2+25),m_active,1,m_start,"&lt;"&amp;1440,m_end,"&gt;"&amp;1140)&gt;1,"충돌",HYPERLINK("#'관리자_MASTER'!D"&amp;_xlfn.MAXIFS(m_row,m_teacher,BC$4,m_date,($G$2+25),m_active,1,m_start,"&lt;"&amp;1440,m_end,"&gt;"&amp;1140),INDEX(m_label,_xlfn.MAXIFS(m_row,m_teacher,BC$4,m_date,($G$2+25),m_active,1,m_start,"&lt;"&amp;1440,m_end,"&gt;"&amp;1140))))))</f>
        <v/>
      </c>
      <c r="BD59" s="86" t="str">
        <f aca="false">IF(OR(BD$4="",MONTH(($G$2+25))&lt;&gt;MONTH($C$2)),"",IF(COUNTIFS(m_teacher,BD$4,m_date,($G$2+25),m_active,1,m_start,"&lt;"&amp;1440,m_end,"&gt;"&amp;1140)=0,"",IF(COUNTIFS(m_teacher,BD$4,m_date,($G$2+25),m_active,1,m_start,"&lt;"&amp;1440,m_end,"&gt;"&amp;1140)&gt;1,"충돌",HYPERLINK("#'관리자_MASTER'!D"&amp;_xlfn.MAXIFS(m_row,m_teacher,BD$4,m_date,($G$2+25),m_active,1,m_start,"&lt;"&amp;1440,m_end,"&gt;"&amp;1140),INDEX(m_label,_xlfn.MAXIFS(m_row,m_teacher,BD$4,m_date,($G$2+25),m_active,1,m_start,"&lt;"&amp;1440,m_end,"&gt;"&amp;1140))))))</f>
        <v/>
      </c>
      <c r="BE59" s="75"/>
      <c r="BF59" s="83" t="s">
        <v>101</v>
      </c>
      <c r="BG59" s="84" t="str">
        <f aca="false">IF(OR(BG$4="",MONTH(($G$2+32))&lt;&gt;MONTH($C$2)),"",IF(COUNTIFS(m_teacher,BG$4,m_date,($G$2+32),m_active,1,m_start,"&lt;"&amp;1440,m_end,"&gt;"&amp;1140)=0,"",IF(COUNTIFS(m_teacher,BG$4,m_date,($G$2+32),m_active,1,m_start,"&lt;"&amp;1440,m_end,"&gt;"&amp;1140)&gt;1,"충돌",HYPERLINK("#'관리자_MASTER'!D"&amp;_xlfn.MAXIFS(m_row,m_teacher,BG$4,m_date,($G$2+32),m_active,1,m_start,"&lt;"&amp;1440,m_end,"&gt;"&amp;1140),INDEX(m_label,_xlfn.MAXIFS(m_row,m_teacher,BG$4,m_date,($G$2+32),m_active,1,m_start,"&lt;"&amp;1440,m_end,"&gt;"&amp;1140))))))</f>
        <v/>
      </c>
      <c r="BH59" s="84" t="str">
        <f aca="false">IF(OR(BH$4="",MONTH(($G$2+32))&lt;&gt;MONTH($C$2)),"",IF(COUNTIFS(m_teacher,BH$4,m_date,($G$2+32),m_active,1,m_start,"&lt;"&amp;1440,m_end,"&gt;"&amp;1140)=0,"",IF(COUNTIFS(m_teacher,BH$4,m_date,($G$2+32),m_active,1,m_start,"&lt;"&amp;1440,m_end,"&gt;"&amp;1140)&gt;1,"충돌",HYPERLINK("#'관리자_MASTER'!D"&amp;_xlfn.MAXIFS(m_row,m_teacher,BH$4,m_date,($G$2+32),m_active,1,m_start,"&lt;"&amp;1440,m_end,"&gt;"&amp;1140),INDEX(m_label,_xlfn.MAXIFS(m_row,m_teacher,BH$4,m_date,($G$2+32),m_active,1,m_start,"&lt;"&amp;1440,m_end,"&gt;"&amp;1140))))))</f>
        <v/>
      </c>
      <c r="BI59" s="84" t="str">
        <f aca="false">IF(OR(BI$4="",MONTH(($G$2+32))&lt;&gt;MONTH($C$2)),"",IF(COUNTIFS(m_teacher,BI$4,m_date,($G$2+32),m_active,1,m_start,"&lt;"&amp;1440,m_end,"&gt;"&amp;1140)=0,"",IF(COUNTIFS(m_teacher,BI$4,m_date,($G$2+32),m_active,1,m_start,"&lt;"&amp;1440,m_end,"&gt;"&amp;1140)&gt;1,"충돌",HYPERLINK("#'관리자_MASTER'!D"&amp;_xlfn.MAXIFS(m_row,m_teacher,BI$4,m_date,($G$2+32),m_active,1,m_start,"&lt;"&amp;1440,m_end,"&gt;"&amp;1140),INDEX(m_label,_xlfn.MAXIFS(m_row,m_teacher,BI$4,m_date,($G$2+32),m_active,1,m_start,"&lt;"&amp;1440,m_end,"&gt;"&amp;1140))))))</f>
        <v/>
      </c>
      <c r="BJ59" s="84" t="str">
        <f aca="false">IF(OR(BJ$4="",MONTH(($G$2+32))&lt;&gt;MONTH($C$2)),"",IF(COUNTIFS(m_teacher,BJ$4,m_date,($G$2+32),m_active,1,m_start,"&lt;"&amp;1440,m_end,"&gt;"&amp;1140)=0,"",IF(COUNTIFS(m_teacher,BJ$4,m_date,($G$2+32),m_active,1,m_start,"&lt;"&amp;1440,m_end,"&gt;"&amp;1140)&gt;1,"충돌",HYPERLINK("#'관리자_MASTER'!D"&amp;_xlfn.MAXIFS(m_row,m_teacher,BJ$4,m_date,($G$2+32),m_active,1,m_start,"&lt;"&amp;1440,m_end,"&gt;"&amp;1140),INDEX(m_label,_xlfn.MAXIFS(m_row,m_teacher,BJ$4,m_date,($G$2+32),m_active,1,m_start,"&lt;"&amp;1440,m_end,"&gt;"&amp;1140))))))</f>
        <v/>
      </c>
      <c r="BK59" s="84" t="str">
        <f aca="false">IF(OR(BK$4="",MONTH(($G$2+32))&lt;&gt;MONTH($C$2)),"",IF(COUNTIFS(m_teacher,BK$4,m_date,($G$2+32),m_active,1,m_start,"&lt;"&amp;1440,m_end,"&gt;"&amp;1140)=0,"",IF(COUNTIFS(m_teacher,BK$4,m_date,($G$2+32),m_active,1,m_start,"&lt;"&amp;1440,m_end,"&gt;"&amp;1140)&gt;1,"충돌",HYPERLINK("#'관리자_MASTER'!D"&amp;_xlfn.MAXIFS(m_row,m_teacher,BK$4,m_date,($G$2+32),m_active,1,m_start,"&lt;"&amp;1440,m_end,"&gt;"&amp;1140),INDEX(m_label,_xlfn.MAXIFS(m_row,m_teacher,BK$4,m_date,($G$2+32),m_active,1,m_start,"&lt;"&amp;1440,m_end,"&gt;"&amp;1140))))))</f>
        <v/>
      </c>
      <c r="BL59" s="84" t="str">
        <f aca="false">IF(OR(BL$4="",MONTH(($G$2+32))&lt;&gt;MONTH($C$2)),"",IF(COUNTIFS(m_teacher,BL$4,m_date,($G$2+32),m_active,1,m_start,"&lt;"&amp;1440,m_end,"&gt;"&amp;1140)=0,"",IF(COUNTIFS(m_teacher,BL$4,m_date,($G$2+32),m_active,1,m_start,"&lt;"&amp;1440,m_end,"&gt;"&amp;1140)&gt;1,"충돌",HYPERLINK("#'관리자_MASTER'!D"&amp;_xlfn.MAXIFS(m_row,m_teacher,BL$4,m_date,($G$2+32),m_active,1,m_start,"&lt;"&amp;1440,m_end,"&gt;"&amp;1140),INDEX(m_label,_xlfn.MAXIFS(m_row,m_teacher,BL$4,m_date,($G$2+32),m_active,1,m_start,"&lt;"&amp;1440,m_end,"&gt;"&amp;1140))))))</f>
        <v/>
      </c>
      <c r="BM59" s="84" t="str">
        <f aca="false">IF(OR(BM$4="",MONTH(($G$2+32))&lt;&gt;MONTH($C$2)),"",IF(COUNTIFS(m_teacher,BM$4,m_date,($G$2+32),m_active,1,m_start,"&lt;"&amp;1440,m_end,"&gt;"&amp;1140)=0,"",IF(COUNTIFS(m_teacher,BM$4,m_date,($G$2+32),m_active,1,m_start,"&lt;"&amp;1440,m_end,"&gt;"&amp;1140)&gt;1,"충돌",HYPERLINK("#'관리자_MASTER'!D"&amp;_xlfn.MAXIFS(m_row,m_teacher,BM$4,m_date,($G$2+32),m_active,1,m_start,"&lt;"&amp;1440,m_end,"&gt;"&amp;1140),INDEX(m_label,_xlfn.MAXIFS(m_row,m_teacher,BM$4,m_date,($G$2+32),m_active,1,m_start,"&lt;"&amp;1440,m_end,"&gt;"&amp;1140))))))</f>
        <v/>
      </c>
      <c r="BN59" s="84" t="str">
        <f aca="false">IF(OR(BN$4="",MONTH(($G$2+32))&lt;&gt;MONTH($C$2)),"",IF(COUNTIFS(m_teacher,BN$4,m_date,($G$2+32),m_active,1,m_start,"&lt;"&amp;1440,m_end,"&gt;"&amp;1140)=0,"",IF(COUNTIFS(m_teacher,BN$4,m_date,($G$2+32),m_active,1,m_start,"&lt;"&amp;1440,m_end,"&gt;"&amp;1140)&gt;1,"충돌",HYPERLINK("#'관리자_MASTER'!D"&amp;_xlfn.MAXIFS(m_row,m_teacher,BN$4,m_date,($G$2+32),m_active,1,m_start,"&lt;"&amp;1440,m_end,"&gt;"&amp;1140),INDEX(m_label,_xlfn.MAXIFS(m_row,m_teacher,BN$4,m_date,($G$2+32),m_active,1,m_start,"&lt;"&amp;1440,m_end,"&gt;"&amp;1140))))))</f>
        <v/>
      </c>
      <c r="BO59" s="84" t="str">
        <f aca="false">IF(OR(BO$4="",MONTH(($G$2+32))&lt;&gt;MONTH($C$2)),"",IF(COUNTIFS(m_teacher,BO$4,m_date,($G$2+32),m_active,1,m_start,"&lt;"&amp;1440,m_end,"&gt;"&amp;1140)=0,"",IF(COUNTIFS(m_teacher,BO$4,m_date,($G$2+32),m_active,1,m_start,"&lt;"&amp;1440,m_end,"&gt;"&amp;1140)&gt;1,"충돌",HYPERLINK("#'관리자_MASTER'!D"&amp;_xlfn.MAXIFS(m_row,m_teacher,BO$4,m_date,($G$2+32),m_active,1,m_start,"&lt;"&amp;1440,m_end,"&gt;"&amp;1140),INDEX(m_label,_xlfn.MAXIFS(m_row,m_teacher,BO$4,m_date,($G$2+32),m_active,1,m_start,"&lt;"&amp;1440,m_end,"&gt;"&amp;1140))))))</f>
        <v/>
      </c>
      <c r="BP59" s="84" t="str">
        <f aca="false">IF(OR(BP$4="",MONTH(($G$2+32))&lt;&gt;MONTH($C$2)),"",IF(COUNTIFS(m_teacher,BP$4,m_date,($G$2+32),m_active,1,m_start,"&lt;"&amp;1440,m_end,"&gt;"&amp;1140)=0,"",IF(COUNTIFS(m_teacher,BP$4,m_date,($G$2+32),m_active,1,m_start,"&lt;"&amp;1440,m_end,"&gt;"&amp;1140)&gt;1,"충돌",HYPERLINK("#'관리자_MASTER'!D"&amp;_xlfn.MAXIFS(m_row,m_teacher,BP$4,m_date,($G$2+32),m_active,1,m_start,"&lt;"&amp;1440,m_end,"&gt;"&amp;1140),INDEX(m_label,_xlfn.MAXIFS(m_row,m_teacher,BP$4,m_date,($G$2+32),m_active,1,m_start,"&lt;"&amp;1440,m_end,"&gt;"&amp;1140))))))</f>
        <v/>
      </c>
      <c r="BQ59" s="84" t="str">
        <f aca="false">IF(OR(BQ$4="",MONTH(($G$2+32))&lt;&gt;MONTH($C$2)),"",IF(COUNTIFS(m_teacher,BQ$4,m_date,($G$2+32),m_active,1,m_start,"&lt;"&amp;1440,m_end,"&gt;"&amp;1140)=0,"",IF(COUNTIFS(m_teacher,BQ$4,m_date,($G$2+32),m_active,1,m_start,"&lt;"&amp;1440,m_end,"&gt;"&amp;1140)&gt;1,"충돌",HYPERLINK("#'관리자_MASTER'!D"&amp;_xlfn.MAXIFS(m_row,m_teacher,BQ$4,m_date,($G$2+32),m_active,1,m_start,"&lt;"&amp;1440,m_end,"&gt;"&amp;1140),INDEX(m_label,_xlfn.MAXIFS(m_row,m_teacher,BQ$4,m_date,($G$2+32),m_active,1,m_start,"&lt;"&amp;1440,m_end,"&gt;"&amp;1140))))))</f>
        <v/>
      </c>
      <c r="BR59" s="84" t="str">
        <f aca="false">IF(OR(BR$4="",MONTH(($G$2+32))&lt;&gt;MONTH($C$2)),"",IF(COUNTIFS(m_teacher,BR$4,m_date,($G$2+32),m_active,1,m_start,"&lt;"&amp;1440,m_end,"&gt;"&amp;1140)=0,"",IF(COUNTIFS(m_teacher,BR$4,m_date,($G$2+32),m_active,1,m_start,"&lt;"&amp;1440,m_end,"&gt;"&amp;1140)&gt;1,"충돌",HYPERLINK("#'관리자_MASTER'!D"&amp;_xlfn.MAXIFS(m_row,m_teacher,BR$4,m_date,($G$2+32),m_active,1,m_start,"&lt;"&amp;1440,m_end,"&gt;"&amp;1140),INDEX(m_label,_xlfn.MAXIFS(m_row,m_teacher,BR$4,m_date,($G$2+32),m_active,1,m_start,"&lt;"&amp;1440,m_end,"&gt;"&amp;1140))))))</f>
        <v/>
      </c>
    </row>
    <row r="60" customFormat="false" ht="19.5" hidden="false" customHeight="true" outlineLevel="0" collapsed="false">
      <c r="A60" s="90" t="str">
        <f aca="false">IF(MONTH(($G$2+5))&lt;&gt;MONTH($C$2),"",CHOOSE(WEEKDAY(($G$2+5),2),"월","화","수","목","금","토","일")&amp;CHAR(10)&amp;TEXT(($G$2+5),"m/d"))</f>
        <v>토
12/5</v>
      </c>
      <c r="B60" s="79" t="s">
        <v>91</v>
      </c>
      <c r="C60" s="87" t="str">
        <f aca="false">IF(OR(C$4="",MONTH(($G$2+5))&lt;&gt;MONTH($C$2)),"",IF(COUNTIFS(m_teacher,C$4,m_date,($G$2+5),m_active,1,m_start,"&lt;"&amp;600,m_end,"&gt;"&amp;0)=0,"",IF(COUNTIFS(m_teacher,C$4,m_date,($G$2+5),m_active,1,m_start,"&lt;"&amp;600,m_end,"&gt;"&amp;0)&gt;1,"충돌",HYPERLINK("#'관리자_MASTER'!D"&amp;_xlfn.MAXIFS(m_row,m_teacher,C$4,m_date,($G$2+5),m_active,1,m_start,"&lt;"&amp;600,m_end,"&gt;"&amp;0),INDEX(m_label,_xlfn.MAXIFS(m_row,m_teacher,C$4,m_date,($G$2+5),m_active,1,m_start,"&lt;"&amp;600,m_end,"&gt;"&amp;0))))))</f>
        <v/>
      </c>
      <c r="D60" s="87" t="str">
        <f aca="false">IF(OR(D$4="",MONTH(($G$2+5))&lt;&gt;MONTH($C$2)),"",IF(COUNTIFS(m_teacher,D$4,m_date,($G$2+5),m_active,1,m_start,"&lt;"&amp;600,m_end,"&gt;"&amp;0)=0,"",IF(COUNTIFS(m_teacher,D$4,m_date,($G$2+5),m_active,1,m_start,"&lt;"&amp;600,m_end,"&gt;"&amp;0)&gt;1,"충돌",HYPERLINK("#'관리자_MASTER'!D"&amp;_xlfn.MAXIFS(m_row,m_teacher,D$4,m_date,($G$2+5),m_active,1,m_start,"&lt;"&amp;600,m_end,"&gt;"&amp;0),INDEX(m_label,_xlfn.MAXIFS(m_row,m_teacher,D$4,m_date,($G$2+5),m_active,1,m_start,"&lt;"&amp;600,m_end,"&gt;"&amp;0))))))</f>
        <v/>
      </c>
      <c r="E60" s="87" t="str">
        <f aca="false">IF(OR(E$4="",MONTH(($G$2+5))&lt;&gt;MONTH($C$2)),"",IF(COUNTIFS(m_teacher,E$4,m_date,($G$2+5),m_active,1,m_start,"&lt;"&amp;600,m_end,"&gt;"&amp;0)=0,"",IF(COUNTIFS(m_teacher,E$4,m_date,($G$2+5),m_active,1,m_start,"&lt;"&amp;600,m_end,"&gt;"&amp;0)&gt;1,"충돌",HYPERLINK("#'관리자_MASTER'!D"&amp;_xlfn.MAXIFS(m_row,m_teacher,E$4,m_date,($G$2+5),m_active,1,m_start,"&lt;"&amp;600,m_end,"&gt;"&amp;0),INDEX(m_label,_xlfn.MAXIFS(m_row,m_teacher,E$4,m_date,($G$2+5),m_active,1,m_start,"&lt;"&amp;600,m_end,"&gt;"&amp;0))))))</f>
        <v/>
      </c>
      <c r="F60" s="87" t="str">
        <f aca="false">IF(OR(F$4="",MONTH(($G$2+5))&lt;&gt;MONTH($C$2)),"",IF(COUNTIFS(m_teacher,F$4,m_date,($G$2+5),m_active,1,m_start,"&lt;"&amp;600,m_end,"&gt;"&amp;0)=0,"",IF(COUNTIFS(m_teacher,F$4,m_date,($G$2+5),m_active,1,m_start,"&lt;"&amp;600,m_end,"&gt;"&amp;0)&gt;1,"충돌",HYPERLINK("#'관리자_MASTER'!D"&amp;_xlfn.MAXIFS(m_row,m_teacher,F$4,m_date,($G$2+5),m_active,1,m_start,"&lt;"&amp;600,m_end,"&gt;"&amp;0),INDEX(m_label,_xlfn.MAXIFS(m_row,m_teacher,F$4,m_date,($G$2+5),m_active,1,m_start,"&lt;"&amp;600,m_end,"&gt;"&amp;0))))))</f>
        <v/>
      </c>
      <c r="G60" s="87" t="str">
        <f aca="false">IF(OR(G$4="",MONTH(($G$2+5))&lt;&gt;MONTH($C$2)),"",IF(COUNTIFS(m_teacher,G$4,m_date,($G$2+5),m_active,1,m_start,"&lt;"&amp;600,m_end,"&gt;"&amp;0)=0,"",IF(COUNTIFS(m_teacher,G$4,m_date,($G$2+5),m_active,1,m_start,"&lt;"&amp;600,m_end,"&gt;"&amp;0)&gt;1,"충돌",HYPERLINK("#'관리자_MASTER'!D"&amp;_xlfn.MAXIFS(m_row,m_teacher,G$4,m_date,($G$2+5),m_active,1,m_start,"&lt;"&amp;600,m_end,"&gt;"&amp;0),INDEX(m_label,_xlfn.MAXIFS(m_row,m_teacher,G$4,m_date,($G$2+5),m_active,1,m_start,"&lt;"&amp;600,m_end,"&gt;"&amp;0))))))</f>
        <v/>
      </c>
      <c r="H60" s="87" t="str">
        <f aca="false">IF(OR(H$4="",MONTH(($G$2+5))&lt;&gt;MONTH($C$2)),"",IF(COUNTIFS(m_teacher,H$4,m_date,($G$2+5),m_active,1,m_start,"&lt;"&amp;600,m_end,"&gt;"&amp;0)=0,"",IF(COUNTIFS(m_teacher,H$4,m_date,($G$2+5),m_active,1,m_start,"&lt;"&amp;600,m_end,"&gt;"&amp;0)&gt;1,"충돌",HYPERLINK("#'관리자_MASTER'!D"&amp;_xlfn.MAXIFS(m_row,m_teacher,H$4,m_date,($G$2+5),m_active,1,m_start,"&lt;"&amp;600,m_end,"&gt;"&amp;0),INDEX(m_label,_xlfn.MAXIFS(m_row,m_teacher,H$4,m_date,($G$2+5),m_active,1,m_start,"&lt;"&amp;600,m_end,"&gt;"&amp;0))))))</f>
        <v/>
      </c>
      <c r="I60" s="87" t="str">
        <f aca="false">IF(OR(I$4="",MONTH(($G$2+5))&lt;&gt;MONTH($C$2)),"",IF(COUNTIFS(m_teacher,I$4,m_date,($G$2+5),m_active,1,m_start,"&lt;"&amp;600,m_end,"&gt;"&amp;0)=0,"",IF(COUNTIFS(m_teacher,I$4,m_date,($G$2+5),m_active,1,m_start,"&lt;"&amp;600,m_end,"&gt;"&amp;0)&gt;1,"충돌",HYPERLINK("#'관리자_MASTER'!D"&amp;_xlfn.MAXIFS(m_row,m_teacher,I$4,m_date,($G$2+5),m_active,1,m_start,"&lt;"&amp;600,m_end,"&gt;"&amp;0),INDEX(m_label,_xlfn.MAXIFS(m_row,m_teacher,I$4,m_date,($G$2+5),m_active,1,m_start,"&lt;"&amp;600,m_end,"&gt;"&amp;0))))))</f>
        <v/>
      </c>
      <c r="J60" s="87" t="str">
        <f aca="false">IF(OR(J$4="",MONTH(($G$2+5))&lt;&gt;MONTH($C$2)),"",IF(COUNTIFS(m_teacher,J$4,m_date,($G$2+5),m_active,1,m_start,"&lt;"&amp;600,m_end,"&gt;"&amp;0)=0,"",IF(COUNTIFS(m_teacher,J$4,m_date,($G$2+5),m_active,1,m_start,"&lt;"&amp;600,m_end,"&gt;"&amp;0)&gt;1,"충돌",HYPERLINK("#'관리자_MASTER'!D"&amp;_xlfn.MAXIFS(m_row,m_teacher,J$4,m_date,($G$2+5),m_active,1,m_start,"&lt;"&amp;600,m_end,"&gt;"&amp;0),INDEX(m_label,_xlfn.MAXIFS(m_row,m_teacher,J$4,m_date,($G$2+5),m_active,1,m_start,"&lt;"&amp;600,m_end,"&gt;"&amp;0))))))</f>
        <v/>
      </c>
      <c r="K60" s="87" t="str">
        <f aca="false">IF(OR(K$4="",MONTH(($G$2+5))&lt;&gt;MONTH($C$2)),"",IF(COUNTIFS(m_teacher,K$4,m_date,($G$2+5),m_active,1,m_start,"&lt;"&amp;600,m_end,"&gt;"&amp;0)=0,"",IF(COUNTIFS(m_teacher,K$4,m_date,($G$2+5),m_active,1,m_start,"&lt;"&amp;600,m_end,"&gt;"&amp;0)&gt;1,"충돌",HYPERLINK("#'관리자_MASTER'!D"&amp;_xlfn.MAXIFS(m_row,m_teacher,K$4,m_date,($G$2+5),m_active,1,m_start,"&lt;"&amp;600,m_end,"&gt;"&amp;0),INDEX(m_label,_xlfn.MAXIFS(m_row,m_teacher,K$4,m_date,($G$2+5),m_active,1,m_start,"&lt;"&amp;600,m_end,"&gt;"&amp;0))))))</f>
        <v/>
      </c>
      <c r="L60" s="87" t="str">
        <f aca="false">IF(OR(L$4="",MONTH(($G$2+5))&lt;&gt;MONTH($C$2)),"",IF(COUNTIFS(m_teacher,L$4,m_date,($G$2+5),m_active,1,m_start,"&lt;"&amp;600,m_end,"&gt;"&amp;0)=0,"",IF(COUNTIFS(m_teacher,L$4,m_date,($G$2+5),m_active,1,m_start,"&lt;"&amp;600,m_end,"&gt;"&amp;0)&gt;1,"충돌",HYPERLINK("#'관리자_MASTER'!D"&amp;_xlfn.MAXIFS(m_row,m_teacher,L$4,m_date,($G$2+5),m_active,1,m_start,"&lt;"&amp;600,m_end,"&gt;"&amp;0),INDEX(m_label,_xlfn.MAXIFS(m_row,m_teacher,L$4,m_date,($G$2+5),m_active,1,m_start,"&lt;"&amp;600,m_end,"&gt;"&amp;0))))))</f>
        <v/>
      </c>
      <c r="M60" s="87" t="str">
        <f aca="false">IF(OR(M$4="",MONTH(($G$2+5))&lt;&gt;MONTH($C$2)),"",IF(COUNTIFS(m_teacher,M$4,m_date,($G$2+5),m_active,1,m_start,"&lt;"&amp;600,m_end,"&gt;"&amp;0)=0,"",IF(COUNTIFS(m_teacher,M$4,m_date,($G$2+5),m_active,1,m_start,"&lt;"&amp;600,m_end,"&gt;"&amp;0)&gt;1,"충돌",HYPERLINK("#'관리자_MASTER'!D"&amp;_xlfn.MAXIFS(m_row,m_teacher,M$4,m_date,($G$2+5),m_active,1,m_start,"&lt;"&amp;600,m_end,"&gt;"&amp;0),INDEX(m_label,_xlfn.MAXIFS(m_row,m_teacher,M$4,m_date,($G$2+5),m_active,1,m_start,"&lt;"&amp;600,m_end,"&gt;"&amp;0))))))</f>
        <v/>
      </c>
      <c r="N60" s="87" t="str">
        <f aca="false">IF(OR(N$4="",MONTH(($G$2+5))&lt;&gt;MONTH($C$2)),"",IF(COUNTIFS(m_teacher,N$4,m_date,($G$2+5),m_active,1,m_start,"&lt;"&amp;600,m_end,"&gt;"&amp;0)=0,"",IF(COUNTIFS(m_teacher,N$4,m_date,($G$2+5),m_active,1,m_start,"&lt;"&amp;600,m_end,"&gt;"&amp;0)&gt;1,"충돌",HYPERLINK("#'관리자_MASTER'!D"&amp;_xlfn.MAXIFS(m_row,m_teacher,N$4,m_date,($G$2+5),m_active,1,m_start,"&lt;"&amp;600,m_end,"&gt;"&amp;0),INDEX(m_label,_xlfn.MAXIFS(m_row,m_teacher,N$4,m_date,($G$2+5),m_active,1,m_start,"&lt;"&amp;600,m_end,"&gt;"&amp;0))))))</f>
        <v/>
      </c>
      <c r="O60" s="90" t="str">
        <f aca="false">IF(MONTH(($G$2+12))&lt;&gt;MONTH($C$2),"",CHOOSE(WEEKDAY(($G$2+12),2),"월","화","수","목","금","토","일")&amp;CHAR(10)&amp;TEXT(($G$2+12),"m/d"))</f>
        <v>토
12/12</v>
      </c>
      <c r="P60" s="79" t="s">
        <v>91</v>
      </c>
      <c r="Q60" s="87" t="str">
        <f aca="false">IF(OR(Q$4="",MONTH(($G$2+12))&lt;&gt;MONTH($C$2)),"",IF(COUNTIFS(m_teacher,Q$4,m_date,($G$2+12),m_active,1,m_start,"&lt;"&amp;600,m_end,"&gt;"&amp;0)=0,"",IF(COUNTIFS(m_teacher,Q$4,m_date,($G$2+12),m_active,1,m_start,"&lt;"&amp;600,m_end,"&gt;"&amp;0)&gt;1,"충돌",HYPERLINK("#'관리자_MASTER'!D"&amp;_xlfn.MAXIFS(m_row,m_teacher,Q$4,m_date,($G$2+12),m_active,1,m_start,"&lt;"&amp;600,m_end,"&gt;"&amp;0),INDEX(m_label,_xlfn.MAXIFS(m_row,m_teacher,Q$4,m_date,($G$2+12),m_active,1,m_start,"&lt;"&amp;600,m_end,"&gt;"&amp;0))))))</f>
        <v/>
      </c>
      <c r="R60" s="87" t="str">
        <f aca="false">IF(OR(R$4="",MONTH(($G$2+12))&lt;&gt;MONTH($C$2)),"",IF(COUNTIFS(m_teacher,R$4,m_date,($G$2+12),m_active,1,m_start,"&lt;"&amp;600,m_end,"&gt;"&amp;0)=0,"",IF(COUNTIFS(m_teacher,R$4,m_date,($G$2+12),m_active,1,m_start,"&lt;"&amp;600,m_end,"&gt;"&amp;0)&gt;1,"충돌",HYPERLINK("#'관리자_MASTER'!D"&amp;_xlfn.MAXIFS(m_row,m_teacher,R$4,m_date,($G$2+12),m_active,1,m_start,"&lt;"&amp;600,m_end,"&gt;"&amp;0),INDEX(m_label,_xlfn.MAXIFS(m_row,m_teacher,R$4,m_date,($G$2+12),m_active,1,m_start,"&lt;"&amp;600,m_end,"&gt;"&amp;0))))))</f>
        <v/>
      </c>
      <c r="S60" s="87" t="str">
        <f aca="false">IF(OR(S$4="",MONTH(($G$2+12))&lt;&gt;MONTH($C$2)),"",IF(COUNTIFS(m_teacher,S$4,m_date,($G$2+12),m_active,1,m_start,"&lt;"&amp;600,m_end,"&gt;"&amp;0)=0,"",IF(COUNTIFS(m_teacher,S$4,m_date,($G$2+12),m_active,1,m_start,"&lt;"&amp;600,m_end,"&gt;"&amp;0)&gt;1,"충돌",HYPERLINK("#'관리자_MASTER'!D"&amp;_xlfn.MAXIFS(m_row,m_teacher,S$4,m_date,($G$2+12),m_active,1,m_start,"&lt;"&amp;600,m_end,"&gt;"&amp;0),INDEX(m_label,_xlfn.MAXIFS(m_row,m_teacher,S$4,m_date,($G$2+12),m_active,1,m_start,"&lt;"&amp;600,m_end,"&gt;"&amp;0))))))</f>
        <v/>
      </c>
      <c r="T60" s="87" t="str">
        <f aca="false">IF(OR(T$4="",MONTH(($G$2+12))&lt;&gt;MONTH($C$2)),"",IF(COUNTIFS(m_teacher,T$4,m_date,($G$2+12),m_active,1,m_start,"&lt;"&amp;600,m_end,"&gt;"&amp;0)=0,"",IF(COUNTIFS(m_teacher,T$4,m_date,($G$2+12),m_active,1,m_start,"&lt;"&amp;600,m_end,"&gt;"&amp;0)&gt;1,"충돌",HYPERLINK("#'관리자_MASTER'!D"&amp;_xlfn.MAXIFS(m_row,m_teacher,T$4,m_date,($G$2+12),m_active,1,m_start,"&lt;"&amp;600,m_end,"&gt;"&amp;0),INDEX(m_label,_xlfn.MAXIFS(m_row,m_teacher,T$4,m_date,($G$2+12),m_active,1,m_start,"&lt;"&amp;600,m_end,"&gt;"&amp;0))))))</f>
        <v/>
      </c>
      <c r="U60" s="87" t="str">
        <f aca="false">IF(OR(U$4="",MONTH(($G$2+12))&lt;&gt;MONTH($C$2)),"",IF(COUNTIFS(m_teacher,U$4,m_date,($G$2+12),m_active,1,m_start,"&lt;"&amp;600,m_end,"&gt;"&amp;0)=0,"",IF(COUNTIFS(m_teacher,U$4,m_date,($G$2+12),m_active,1,m_start,"&lt;"&amp;600,m_end,"&gt;"&amp;0)&gt;1,"충돌",HYPERLINK("#'관리자_MASTER'!D"&amp;_xlfn.MAXIFS(m_row,m_teacher,U$4,m_date,($G$2+12),m_active,1,m_start,"&lt;"&amp;600,m_end,"&gt;"&amp;0),INDEX(m_label,_xlfn.MAXIFS(m_row,m_teacher,U$4,m_date,($G$2+12),m_active,1,m_start,"&lt;"&amp;600,m_end,"&gt;"&amp;0))))))</f>
        <v/>
      </c>
      <c r="V60" s="87" t="str">
        <f aca="false">IF(OR(V$4="",MONTH(($G$2+12))&lt;&gt;MONTH($C$2)),"",IF(COUNTIFS(m_teacher,V$4,m_date,($G$2+12),m_active,1,m_start,"&lt;"&amp;600,m_end,"&gt;"&amp;0)=0,"",IF(COUNTIFS(m_teacher,V$4,m_date,($G$2+12),m_active,1,m_start,"&lt;"&amp;600,m_end,"&gt;"&amp;0)&gt;1,"충돌",HYPERLINK("#'관리자_MASTER'!D"&amp;_xlfn.MAXIFS(m_row,m_teacher,V$4,m_date,($G$2+12),m_active,1,m_start,"&lt;"&amp;600,m_end,"&gt;"&amp;0),INDEX(m_label,_xlfn.MAXIFS(m_row,m_teacher,V$4,m_date,($G$2+12),m_active,1,m_start,"&lt;"&amp;600,m_end,"&gt;"&amp;0))))))</f>
        <v/>
      </c>
      <c r="W60" s="87" t="str">
        <f aca="false">IF(OR(W$4="",MONTH(($G$2+12))&lt;&gt;MONTH($C$2)),"",IF(COUNTIFS(m_teacher,W$4,m_date,($G$2+12),m_active,1,m_start,"&lt;"&amp;600,m_end,"&gt;"&amp;0)=0,"",IF(COUNTIFS(m_teacher,W$4,m_date,($G$2+12),m_active,1,m_start,"&lt;"&amp;600,m_end,"&gt;"&amp;0)&gt;1,"충돌",HYPERLINK("#'관리자_MASTER'!D"&amp;_xlfn.MAXIFS(m_row,m_teacher,W$4,m_date,($G$2+12),m_active,1,m_start,"&lt;"&amp;600,m_end,"&gt;"&amp;0),INDEX(m_label,_xlfn.MAXIFS(m_row,m_teacher,W$4,m_date,($G$2+12),m_active,1,m_start,"&lt;"&amp;600,m_end,"&gt;"&amp;0))))))</f>
        <v/>
      </c>
      <c r="X60" s="87" t="str">
        <f aca="false">IF(OR(X$4="",MONTH(($G$2+12))&lt;&gt;MONTH($C$2)),"",IF(COUNTIFS(m_teacher,X$4,m_date,($G$2+12),m_active,1,m_start,"&lt;"&amp;600,m_end,"&gt;"&amp;0)=0,"",IF(COUNTIFS(m_teacher,X$4,m_date,($G$2+12),m_active,1,m_start,"&lt;"&amp;600,m_end,"&gt;"&amp;0)&gt;1,"충돌",HYPERLINK("#'관리자_MASTER'!D"&amp;_xlfn.MAXIFS(m_row,m_teacher,X$4,m_date,($G$2+12),m_active,1,m_start,"&lt;"&amp;600,m_end,"&gt;"&amp;0),INDEX(m_label,_xlfn.MAXIFS(m_row,m_teacher,X$4,m_date,($G$2+12),m_active,1,m_start,"&lt;"&amp;600,m_end,"&gt;"&amp;0))))))</f>
        <v/>
      </c>
      <c r="Y60" s="87" t="str">
        <f aca="false">IF(OR(Y$4="",MONTH(($G$2+12))&lt;&gt;MONTH($C$2)),"",IF(COUNTIFS(m_teacher,Y$4,m_date,($G$2+12),m_active,1,m_start,"&lt;"&amp;600,m_end,"&gt;"&amp;0)=0,"",IF(COUNTIFS(m_teacher,Y$4,m_date,($G$2+12),m_active,1,m_start,"&lt;"&amp;600,m_end,"&gt;"&amp;0)&gt;1,"충돌",HYPERLINK("#'관리자_MASTER'!D"&amp;_xlfn.MAXIFS(m_row,m_teacher,Y$4,m_date,($G$2+12),m_active,1,m_start,"&lt;"&amp;600,m_end,"&gt;"&amp;0),INDEX(m_label,_xlfn.MAXIFS(m_row,m_teacher,Y$4,m_date,($G$2+12),m_active,1,m_start,"&lt;"&amp;600,m_end,"&gt;"&amp;0))))))</f>
        <v/>
      </c>
      <c r="Z60" s="87" t="str">
        <f aca="false">IF(OR(Z$4="",MONTH(($G$2+12))&lt;&gt;MONTH($C$2)),"",IF(COUNTIFS(m_teacher,Z$4,m_date,($G$2+12),m_active,1,m_start,"&lt;"&amp;600,m_end,"&gt;"&amp;0)=0,"",IF(COUNTIFS(m_teacher,Z$4,m_date,($G$2+12),m_active,1,m_start,"&lt;"&amp;600,m_end,"&gt;"&amp;0)&gt;1,"충돌",HYPERLINK("#'관리자_MASTER'!D"&amp;_xlfn.MAXIFS(m_row,m_teacher,Z$4,m_date,($G$2+12),m_active,1,m_start,"&lt;"&amp;600,m_end,"&gt;"&amp;0),INDEX(m_label,_xlfn.MAXIFS(m_row,m_teacher,Z$4,m_date,($G$2+12),m_active,1,m_start,"&lt;"&amp;600,m_end,"&gt;"&amp;0))))))</f>
        <v/>
      </c>
      <c r="AA60" s="87" t="str">
        <f aca="false">IF(OR(AA$4="",MONTH(($G$2+12))&lt;&gt;MONTH($C$2)),"",IF(COUNTIFS(m_teacher,AA$4,m_date,($G$2+12),m_active,1,m_start,"&lt;"&amp;600,m_end,"&gt;"&amp;0)=0,"",IF(COUNTIFS(m_teacher,AA$4,m_date,($G$2+12),m_active,1,m_start,"&lt;"&amp;600,m_end,"&gt;"&amp;0)&gt;1,"충돌",HYPERLINK("#'관리자_MASTER'!D"&amp;_xlfn.MAXIFS(m_row,m_teacher,AA$4,m_date,($G$2+12),m_active,1,m_start,"&lt;"&amp;600,m_end,"&gt;"&amp;0),INDEX(m_label,_xlfn.MAXIFS(m_row,m_teacher,AA$4,m_date,($G$2+12),m_active,1,m_start,"&lt;"&amp;600,m_end,"&gt;"&amp;0))))))</f>
        <v/>
      </c>
      <c r="AB60" s="87" t="str">
        <f aca="false">IF(OR(AB$4="",MONTH(($G$2+12))&lt;&gt;MONTH($C$2)),"",IF(COUNTIFS(m_teacher,AB$4,m_date,($G$2+12),m_active,1,m_start,"&lt;"&amp;600,m_end,"&gt;"&amp;0)=0,"",IF(COUNTIFS(m_teacher,AB$4,m_date,($G$2+12),m_active,1,m_start,"&lt;"&amp;600,m_end,"&gt;"&amp;0)&gt;1,"충돌",HYPERLINK("#'관리자_MASTER'!D"&amp;_xlfn.MAXIFS(m_row,m_teacher,AB$4,m_date,($G$2+12),m_active,1,m_start,"&lt;"&amp;600,m_end,"&gt;"&amp;0),INDEX(m_label,_xlfn.MAXIFS(m_row,m_teacher,AB$4,m_date,($G$2+12),m_active,1,m_start,"&lt;"&amp;600,m_end,"&gt;"&amp;0))))))</f>
        <v/>
      </c>
      <c r="AC60" s="90" t="str">
        <f aca="false">IF(MONTH(($G$2+19))&lt;&gt;MONTH($C$2),"",CHOOSE(WEEKDAY(($G$2+19),2),"월","화","수","목","금","토","일")&amp;CHAR(10)&amp;TEXT(($G$2+19),"m/d"))</f>
        <v>토
12/19</v>
      </c>
      <c r="AD60" s="79" t="s">
        <v>91</v>
      </c>
      <c r="AE60" s="87" t="str">
        <f aca="false">IF(OR(AE$4="",MONTH(($G$2+19))&lt;&gt;MONTH($C$2)),"",IF(COUNTIFS(m_teacher,AE$4,m_date,($G$2+19),m_active,1,m_start,"&lt;"&amp;600,m_end,"&gt;"&amp;0)=0,"",IF(COUNTIFS(m_teacher,AE$4,m_date,($G$2+19),m_active,1,m_start,"&lt;"&amp;600,m_end,"&gt;"&amp;0)&gt;1,"충돌",HYPERLINK("#'관리자_MASTER'!D"&amp;_xlfn.MAXIFS(m_row,m_teacher,AE$4,m_date,($G$2+19),m_active,1,m_start,"&lt;"&amp;600,m_end,"&gt;"&amp;0),INDEX(m_label,_xlfn.MAXIFS(m_row,m_teacher,AE$4,m_date,($G$2+19),m_active,1,m_start,"&lt;"&amp;600,m_end,"&gt;"&amp;0))))))</f>
        <v/>
      </c>
      <c r="AF60" s="87" t="str">
        <f aca="false">IF(OR(AF$4="",MONTH(($G$2+19))&lt;&gt;MONTH($C$2)),"",IF(COUNTIFS(m_teacher,AF$4,m_date,($G$2+19),m_active,1,m_start,"&lt;"&amp;600,m_end,"&gt;"&amp;0)=0,"",IF(COUNTIFS(m_teacher,AF$4,m_date,($G$2+19),m_active,1,m_start,"&lt;"&amp;600,m_end,"&gt;"&amp;0)&gt;1,"충돌",HYPERLINK("#'관리자_MASTER'!D"&amp;_xlfn.MAXIFS(m_row,m_teacher,AF$4,m_date,($G$2+19),m_active,1,m_start,"&lt;"&amp;600,m_end,"&gt;"&amp;0),INDEX(m_label,_xlfn.MAXIFS(m_row,m_teacher,AF$4,m_date,($G$2+19),m_active,1,m_start,"&lt;"&amp;600,m_end,"&gt;"&amp;0))))))</f>
        <v/>
      </c>
      <c r="AG60" s="87" t="str">
        <f aca="false">IF(OR(AG$4="",MONTH(($G$2+19))&lt;&gt;MONTH($C$2)),"",IF(COUNTIFS(m_teacher,AG$4,m_date,($G$2+19),m_active,1,m_start,"&lt;"&amp;600,m_end,"&gt;"&amp;0)=0,"",IF(COUNTIFS(m_teacher,AG$4,m_date,($G$2+19),m_active,1,m_start,"&lt;"&amp;600,m_end,"&gt;"&amp;0)&gt;1,"충돌",HYPERLINK("#'관리자_MASTER'!D"&amp;_xlfn.MAXIFS(m_row,m_teacher,AG$4,m_date,($G$2+19),m_active,1,m_start,"&lt;"&amp;600,m_end,"&gt;"&amp;0),INDEX(m_label,_xlfn.MAXIFS(m_row,m_teacher,AG$4,m_date,($G$2+19),m_active,1,m_start,"&lt;"&amp;600,m_end,"&gt;"&amp;0))))))</f>
        <v/>
      </c>
      <c r="AH60" s="87" t="str">
        <f aca="false">IF(OR(AH$4="",MONTH(($G$2+19))&lt;&gt;MONTH($C$2)),"",IF(COUNTIFS(m_teacher,AH$4,m_date,($G$2+19),m_active,1,m_start,"&lt;"&amp;600,m_end,"&gt;"&amp;0)=0,"",IF(COUNTIFS(m_teacher,AH$4,m_date,($G$2+19),m_active,1,m_start,"&lt;"&amp;600,m_end,"&gt;"&amp;0)&gt;1,"충돌",HYPERLINK("#'관리자_MASTER'!D"&amp;_xlfn.MAXIFS(m_row,m_teacher,AH$4,m_date,($G$2+19),m_active,1,m_start,"&lt;"&amp;600,m_end,"&gt;"&amp;0),INDEX(m_label,_xlfn.MAXIFS(m_row,m_teacher,AH$4,m_date,($G$2+19),m_active,1,m_start,"&lt;"&amp;600,m_end,"&gt;"&amp;0))))))</f>
        <v/>
      </c>
      <c r="AI60" s="87" t="str">
        <f aca="false">IF(OR(AI$4="",MONTH(($G$2+19))&lt;&gt;MONTH($C$2)),"",IF(COUNTIFS(m_teacher,AI$4,m_date,($G$2+19),m_active,1,m_start,"&lt;"&amp;600,m_end,"&gt;"&amp;0)=0,"",IF(COUNTIFS(m_teacher,AI$4,m_date,($G$2+19),m_active,1,m_start,"&lt;"&amp;600,m_end,"&gt;"&amp;0)&gt;1,"충돌",HYPERLINK("#'관리자_MASTER'!D"&amp;_xlfn.MAXIFS(m_row,m_teacher,AI$4,m_date,($G$2+19),m_active,1,m_start,"&lt;"&amp;600,m_end,"&gt;"&amp;0),INDEX(m_label,_xlfn.MAXIFS(m_row,m_teacher,AI$4,m_date,($G$2+19),m_active,1,m_start,"&lt;"&amp;600,m_end,"&gt;"&amp;0))))))</f>
        <v/>
      </c>
      <c r="AJ60" s="87" t="str">
        <f aca="false">IF(OR(AJ$4="",MONTH(($G$2+19))&lt;&gt;MONTH($C$2)),"",IF(COUNTIFS(m_teacher,AJ$4,m_date,($G$2+19),m_active,1,m_start,"&lt;"&amp;600,m_end,"&gt;"&amp;0)=0,"",IF(COUNTIFS(m_teacher,AJ$4,m_date,($G$2+19),m_active,1,m_start,"&lt;"&amp;600,m_end,"&gt;"&amp;0)&gt;1,"충돌",HYPERLINK("#'관리자_MASTER'!D"&amp;_xlfn.MAXIFS(m_row,m_teacher,AJ$4,m_date,($G$2+19),m_active,1,m_start,"&lt;"&amp;600,m_end,"&gt;"&amp;0),INDEX(m_label,_xlfn.MAXIFS(m_row,m_teacher,AJ$4,m_date,($G$2+19),m_active,1,m_start,"&lt;"&amp;600,m_end,"&gt;"&amp;0))))))</f>
        <v/>
      </c>
      <c r="AK60" s="87" t="str">
        <f aca="false">IF(OR(AK$4="",MONTH(($G$2+19))&lt;&gt;MONTH($C$2)),"",IF(COUNTIFS(m_teacher,AK$4,m_date,($G$2+19),m_active,1,m_start,"&lt;"&amp;600,m_end,"&gt;"&amp;0)=0,"",IF(COUNTIFS(m_teacher,AK$4,m_date,($G$2+19),m_active,1,m_start,"&lt;"&amp;600,m_end,"&gt;"&amp;0)&gt;1,"충돌",HYPERLINK("#'관리자_MASTER'!D"&amp;_xlfn.MAXIFS(m_row,m_teacher,AK$4,m_date,($G$2+19),m_active,1,m_start,"&lt;"&amp;600,m_end,"&gt;"&amp;0),INDEX(m_label,_xlfn.MAXIFS(m_row,m_teacher,AK$4,m_date,($G$2+19),m_active,1,m_start,"&lt;"&amp;600,m_end,"&gt;"&amp;0))))))</f>
        <v/>
      </c>
      <c r="AL60" s="87" t="str">
        <f aca="false">IF(OR(AL$4="",MONTH(($G$2+19))&lt;&gt;MONTH($C$2)),"",IF(COUNTIFS(m_teacher,AL$4,m_date,($G$2+19),m_active,1,m_start,"&lt;"&amp;600,m_end,"&gt;"&amp;0)=0,"",IF(COUNTIFS(m_teacher,AL$4,m_date,($G$2+19),m_active,1,m_start,"&lt;"&amp;600,m_end,"&gt;"&amp;0)&gt;1,"충돌",HYPERLINK("#'관리자_MASTER'!D"&amp;_xlfn.MAXIFS(m_row,m_teacher,AL$4,m_date,($G$2+19),m_active,1,m_start,"&lt;"&amp;600,m_end,"&gt;"&amp;0),INDEX(m_label,_xlfn.MAXIFS(m_row,m_teacher,AL$4,m_date,($G$2+19),m_active,1,m_start,"&lt;"&amp;600,m_end,"&gt;"&amp;0))))))</f>
        <v/>
      </c>
      <c r="AM60" s="87" t="str">
        <f aca="false">IF(OR(AM$4="",MONTH(($G$2+19))&lt;&gt;MONTH($C$2)),"",IF(COUNTIFS(m_teacher,AM$4,m_date,($G$2+19),m_active,1,m_start,"&lt;"&amp;600,m_end,"&gt;"&amp;0)=0,"",IF(COUNTIFS(m_teacher,AM$4,m_date,($G$2+19),m_active,1,m_start,"&lt;"&amp;600,m_end,"&gt;"&amp;0)&gt;1,"충돌",HYPERLINK("#'관리자_MASTER'!D"&amp;_xlfn.MAXIFS(m_row,m_teacher,AM$4,m_date,($G$2+19),m_active,1,m_start,"&lt;"&amp;600,m_end,"&gt;"&amp;0),INDEX(m_label,_xlfn.MAXIFS(m_row,m_teacher,AM$4,m_date,($G$2+19),m_active,1,m_start,"&lt;"&amp;600,m_end,"&gt;"&amp;0))))))</f>
        <v/>
      </c>
      <c r="AN60" s="87" t="str">
        <f aca="false">IF(OR(AN$4="",MONTH(($G$2+19))&lt;&gt;MONTH($C$2)),"",IF(COUNTIFS(m_teacher,AN$4,m_date,($G$2+19),m_active,1,m_start,"&lt;"&amp;600,m_end,"&gt;"&amp;0)=0,"",IF(COUNTIFS(m_teacher,AN$4,m_date,($G$2+19),m_active,1,m_start,"&lt;"&amp;600,m_end,"&gt;"&amp;0)&gt;1,"충돌",HYPERLINK("#'관리자_MASTER'!D"&amp;_xlfn.MAXIFS(m_row,m_teacher,AN$4,m_date,($G$2+19),m_active,1,m_start,"&lt;"&amp;600,m_end,"&gt;"&amp;0),INDEX(m_label,_xlfn.MAXIFS(m_row,m_teacher,AN$4,m_date,($G$2+19),m_active,1,m_start,"&lt;"&amp;600,m_end,"&gt;"&amp;0))))))</f>
        <v/>
      </c>
      <c r="AO60" s="87" t="str">
        <f aca="false">IF(OR(AO$4="",MONTH(($G$2+19))&lt;&gt;MONTH($C$2)),"",IF(COUNTIFS(m_teacher,AO$4,m_date,($G$2+19),m_active,1,m_start,"&lt;"&amp;600,m_end,"&gt;"&amp;0)=0,"",IF(COUNTIFS(m_teacher,AO$4,m_date,($G$2+19),m_active,1,m_start,"&lt;"&amp;600,m_end,"&gt;"&amp;0)&gt;1,"충돌",HYPERLINK("#'관리자_MASTER'!D"&amp;_xlfn.MAXIFS(m_row,m_teacher,AO$4,m_date,($G$2+19),m_active,1,m_start,"&lt;"&amp;600,m_end,"&gt;"&amp;0),INDEX(m_label,_xlfn.MAXIFS(m_row,m_teacher,AO$4,m_date,($G$2+19),m_active,1,m_start,"&lt;"&amp;600,m_end,"&gt;"&amp;0))))))</f>
        <v/>
      </c>
      <c r="AP60" s="87" t="str">
        <f aca="false">IF(OR(AP$4="",MONTH(($G$2+19))&lt;&gt;MONTH($C$2)),"",IF(COUNTIFS(m_teacher,AP$4,m_date,($G$2+19),m_active,1,m_start,"&lt;"&amp;600,m_end,"&gt;"&amp;0)=0,"",IF(COUNTIFS(m_teacher,AP$4,m_date,($G$2+19),m_active,1,m_start,"&lt;"&amp;600,m_end,"&gt;"&amp;0)&gt;1,"충돌",HYPERLINK("#'관리자_MASTER'!D"&amp;_xlfn.MAXIFS(m_row,m_teacher,AP$4,m_date,($G$2+19),m_active,1,m_start,"&lt;"&amp;600,m_end,"&gt;"&amp;0),INDEX(m_label,_xlfn.MAXIFS(m_row,m_teacher,AP$4,m_date,($G$2+19),m_active,1,m_start,"&lt;"&amp;600,m_end,"&gt;"&amp;0))))))</f>
        <v/>
      </c>
      <c r="AQ60" s="90" t="str">
        <f aca="false">IF(MONTH(($G$2+26))&lt;&gt;MONTH($C$2),"",CHOOSE(WEEKDAY(($G$2+26),2),"월","화","수","목","금","토","일")&amp;CHAR(10)&amp;TEXT(($G$2+26),"m/d"))</f>
        <v>토
12/26</v>
      </c>
      <c r="AR60" s="79" t="s">
        <v>91</v>
      </c>
      <c r="AS60" s="87" t="str">
        <f aca="false">IF(OR(AS$4="",MONTH(($G$2+26))&lt;&gt;MONTH($C$2)),"",IF(COUNTIFS(m_teacher,AS$4,m_date,($G$2+26),m_active,1,m_start,"&lt;"&amp;600,m_end,"&gt;"&amp;0)=0,"",IF(COUNTIFS(m_teacher,AS$4,m_date,($G$2+26),m_active,1,m_start,"&lt;"&amp;600,m_end,"&gt;"&amp;0)&gt;1,"충돌",HYPERLINK("#'관리자_MASTER'!D"&amp;_xlfn.MAXIFS(m_row,m_teacher,AS$4,m_date,($G$2+26),m_active,1,m_start,"&lt;"&amp;600,m_end,"&gt;"&amp;0),INDEX(m_label,_xlfn.MAXIFS(m_row,m_teacher,AS$4,m_date,($G$2+26),m_active,1,m_start,"&lt;"&amp;600,m_end,"&gt;"&amp;0))))))</f>
        <v/>
      </c>
      <c r="AT60" s="87" t="str">
        <f aca="false">IF(OR(AT$4="",MONTH(($G$2+26))&lt;&gt;MONTH($C$2)),"",IF(COUNTIFS(m_teacher,AT$4,m_date,($G$2+26),m_active,1,m_start,"&lt;"&amp;600,m_end,"&gt;"&amp;0)=0,"",IF(COUNTIFS(m_teacher,AT$4,m_date,($G$2+26),m_active,1,m_start,"&lt;"&amp;600,m_end,"&gt;"&amp;0)&gt;1,"충돌",HYPERLINK("#'관리자_MASTER'!D"&amp;_xlfn.MAXIFS(m_row,m_teacher,AT$4,m_date,($G$2+26),m_active,1,m_start,"&lt;"&amp;600,m_end,"&gt;"&amp;0),INDEX(m_label,_xlfn.MAXIFS(m_row,m_teacher,AT$4,m_date,($G$2+26),m_active,1,m_start,"&lt;"&amp;600,m_end,"&gt;"&amp;0))))))</f>
        <v/>
      </c>
      <c r="AU60" s="87" t="str">
        <f aca="false">IF(OR(AU$4="",MONTH(($G$2+26))&lt;&gt;MONTH($C$2)),"",IF(COUNTIFS(m_teacher,AU$4,m_date,($G$2+26),m_active,1,m_start,"&lt;"&amp;600,m_end,"&gt;"&amp;0)=0,"",IF(COUNTIFS(m_teacher,AU$4,m_date,($G$2+26),m_active,1,m_start,"&lt;"&amp;600,m_end,"&gt;"&amp;0)&gt;1,"충돌",HYPERLINK("#'관리자_MASTER'!D"&amp;_xlfn.MAXIFS(m_row,m_teacher,AU$4,m_date,($G$2+26),m_active,1,m_start,"&lt;"&amp;600,m_end,"&gt;"&amp;0),INDEX(m_label,_xlfn.MAXIFS(m_row,m_teacher,AU$4,m_date,($G$2+26),m_active,1,m_start,"&lt;"&amp;600,m_end,"&gt;"&amp;0))))))</f>
        <v/>
      </c>
      <c r="AV60" s="87" t="str">
        <f aca="false">IF(OR(AV$4="",MONTH(($G$2+26))&lt;&gt;MONTH($C$2)),"",IF(COUNTIFS(m_teacher,AV$4,m_date,($G$2+26),m_active,1,m_start,"&lt;"&amp;600,m_end,"&gt;"&amp;0)=0,"",IF(COUNTIFS(m_teacher,AV$4,m_date,($G$2+26),m_active,1,m_start,"&lt;"&amp;600,m_end,"&gt;"&amp;0)&gt;1,"충돌",HYPERLINK("#'관리자_MASTER'!D"&amp;_xlfn.MAXIFS(m_row,m_teacher,AV$4,m_date,($G$2+26),m_active,1,m_start,"&lt;"&amp;600,m_end,"&gt;"&amp;0),INDEX(m_label,_xlfn.MAXIFS(m_row,m_teacher,AV$4,m_date,($G$2+26),m_active,1,m_start,"&lt;"&amp;600,m_end,"&gt;"&amp;0))))))</f>
        <v/>
      </c>
      <c r="AW60" s="87" t="str">
        <f aca="false">IF(OR(AW$4="",MONTH(($G$2+26))&lt;&gt;MONTH($C$2)),"",IF(COUNTIFS(m_teacher,AW$4,m_date,($G$2+26),m_active,1,m_start,"&lt;"&amp;600,m_end,"&gt;"&amp;0)=0,"",IF(COUNTIFS(m_teacher,AW$4,m_date,($G$2+26),m_active,1,m_start,"&lt;"&amp;600,m_end,"&gt;"&amp;0)&gt;1,"충돌",HYPERLINK("#'관리자_MASTER'!D"&amp;_xlfn.MAXIFS(m_row,m_teacher,AW$4,m_date,($G$2+26),m_active,1,m_start,"&lt;"&amp;600,m_end,"&gt;"&amp;0),INDEX(m_label,_xlfn.MAXIFS(m_row,m_teacher,AW$4,m_date,($G$2+26),m_active,1,m_start,"&lt;"&amp;600,m_end,"&gt;"&amp;0))))))</f>
        <v/>
      </c>
      <c r="AX60" s="87" t="str">
        <f aca="false">IF(OR(AX$4="",MONTH(($G$2+26))&lt;&gt;MONTH($C$2)),"",IF(COUNTIFS(m_teacher,AX$4,m_date,($G$2+26),m_active,1,m_start,"&lt;"&amp;600,m_end,"&gt;"&amp;0)=0,"",IF(COUNTIFS(m_teacher,AX$4,m_date,($G$2+26),m_active,1,m_start,"&lt;"&amp;600,m_end,"&gt;"&amp;0)&gt;1,"충돌",HYPERLINK("#'관리자_MASTER'!D"&amp;_xlfn.MAXIFS(m_row,m_teacher,AX$4,m_date,($G$2+26),m_active,1,m_start,"&lt;"&amp;600,m_end,"&gt;"&amp;0),INDEX(m_label,_xlfn.MAXIFS(m_row,m_teacher,AX$4,m_date,($G$2+26),m_active,1,m_start,"&lt;"&amp;600,m_end,"&gt;"&amp;0))))))</f>
        <v/>
      </c>
      <c r="AY60" s="87" t="str">
        <f aca="false">IF(OR(AY$4="",MONTH(($G$2+26))&lt;&gt;MONTH($C$2)),"",IF(COUNTIFS(m_teacher,AY$4,m_date,($G$2+26),m_active,1,m_start,"&lt;"&amp;600,m_end,"&gt;"&amp;0)=0,"",IF(COUNTIFS(m_teacher,AY$4,m_date,($G$2+26),m_active,1,m_start,"&lt;"&amp;600,m_end,"&gt;"&amp;0)&gt;1,"충돌",HYPERLINK("#'관리자_MASTER'!D"&amp;_xlfn.MAXIFS(m_row,m_teacher,AY$4,m_date,($G$2+26),m_active,1,m_start,"&lt;"&amp;600,m_end,"&gt;"&amp;0),INDEX(m_label,_xlfn.MAXIFS(m_row,m_teacher,AY$4,m_date,($G$2+26),m_active,1,m_start,"&lt;"&amp;600,m_end,"&gt;"&amp;0))))))</f>
        <v/>
      </c>
      <c r="AZ60" s="87" t="str">
        <f aca="false">IF(OR(AZ$4="",MONTH(($G$2+26))&lt;&gt;MONTH($C$2)),"",IF(COUNTIFS(m_teacher,AZ$4,m_date,($G$2+26),m_active,1,m_start,"&lt;"&amp;600,m_end,"&gt;"&amp;0)=0,"",IF(COUNTIFS(m_teacher,AZ$4,m_date,($G$2+26),m_active,1,m_start,"&lt;"&amp;600,m_end,"&gt;"&amp;0)&gt;1,"충돌",HYPERLINK("#'관리자_MASTER'!D"&amp;_xlfn.MAXIFS(m_row,m_teacher,AZ$4,m_date,($G$2+26),m_active,1,m_start,"&lt;"&amp;600,m_end,"&gt;"&amp;0),INDEX(m_label,_xlfn.MAXIFS(m_row,m_teacher,AZ$4,m_date,($G$2+26),m_active,1,m_start,"&lt;"&amp;600,m_end,"&gt;"&amp;0))))))</f>
        <v/>
      </c>
      <c r="BA60" s="87" t="str">
        <f aca="false">IF(OR(BA$4="",MONTH(($G$2+26))&lt;&gt;MONTH($C$2)),"",IF(COUNTIFS(m_teacher,BA$4,m_date,($G$2+26),m_active,1,m_start,"&lt;"&amp;600,m_end,"&gt;"&amp;0)=0,"",IF(COUNTIFS(m_teacher,BA$4,m_date,($G$2+26),m_active,1,m_start,"&lt;"&amp;600,m_end,"&gt;"&amp;0)&gt;1,"충돌",HYPERLINK("#'관리자_MASTER'!D"&amp;_xlfn.MAXIFS(m_row,m_teacher,BA$4,m_date,($G$2+26),m_active,1,m_start,"&lt;"&amp;600,m_end,"&gt;"&amp;0),INDEX(m_label,_xlfn.MAXIFS(m_row,m_teacher,BA$4,m_date,($G$2+26),m_active,1,m_start,"&lt;"&amp;600,m_end,"&gt;"&amp;0))))))</f>
        <v/>
      </c>
      <c r="BB60" s="87" t="str">
        <f aca="false">IF(OR(BB$4="",MONTH(($G$2+26))&lt;&gt;MONTH($C$2)),"",IF(COUNTIFS(m_teacher,BB$4,m_date,($G$2+26),m_active,1,m_start,"&lt;"&amp;600,m_end,"&gt;"&amp;0)=0,"",IF(COUNTIFS(m_teacher,BB$4,m_date,($G$2+26),m_active,1,m_start,"&lt;"&amp;600,m_end,"&gt;"&amp;0)&gt;1,"충돌",HYPERLINK("#'관리자_MASTER'!D"&amp;_xlfn.MAXIFS(m_row,m_teacher,BB$4,m_date,($G$2+26),m_active,1,m_start,"&lt;"&amp;600,m_end,"&gt;"&amp;0),INDEX(m_label,_xlfn.MAXIFS(m_row,m_teacher,BB$4,m_date,($G$2+26),m_active,1,m_start,"&lt;"&amp;600,m_end,"&gt;"&amp;0))))))</f>
        <v/>
      </c>
      <c r="BC60" s="87" t="str">
        <f aca="false">IF(OR(BC$4="",MONTH(($G$2+26))&lt;&gt;MONTH($C$2)),"",IF(COUNTIFS(m_teacher,BC$4,m_date,($G$2+26),m_active,1,m_start,"&lt;"&amp;600,m_end,"&gt;"&amp;0)=0,"",IF(COUNTIFS(m_teacher,BC$4,m_date,($G$2+26),m_active,1,m_start,"&lt;"&amp;600,m_end,"&gt;"&amp;0)&gt;1,"충돌",HYPERLINK("#'관리자_MASTER'!D"&amp;_xlfn.MAXIFS(m_row,m_teacher,BC$4,m_date,($G$2+26),m_active,1,m_start,"&lt;"&amp;600,m_end,"&gt;"&amp;0),INDEX(m_label,_xlfn.MAXIFS(m_row,m_teacher,BC$4,m_date,($G$2+26),m_active,1,m_start,"&lt;"&amp;600,m_end,"&gt;"&amp;0))))))</f>
        <v/>
      </c>
      <c r="BD60" s="87" t="str">
        <f aca="false">IF(OR(BD$4="",MONTH(($G$2+26))&lt;&gt;MONTH($C$2)),"",IF(COUNTIFS(m_teacher,BD$4,m_date,($G$2+26),m_active,1,m_start,"&lt;"&amp;600,m_end,"&gt;"&amp;0)=0,"",IF(COUNTIFS(m_teacher,BD$4,m_date,($G$2+26),m_active,1,m_start,"&lt;"&amp;600,m_end,"&gt;"&amp;0)&gt;1,"충돌",HYPERLINK("#'관리자_MASTER'!D"&amp;_xlfn.MAXIFS(m_row,m_teacher,BD$4,m_date,($G$2+26),m_active,1,m_start,"&lt;"&amp;600,m_end,"&gt;"&amp;0),INDEX(m_label,_xlfn.MAXIFS(m_row,m_teacher,BD$4,m_date,($G$2+26),m_active,1,m_start,"&lt;"&amp;600,m_end,"&gt;"&amp;0))))))</f>
        <v/>
      </c>
      <c r="BE60" s="91" t="str">
        <f aca="false">IF(MONTH(($G$2+33))&lt;&gt;MONTH($C$2),"",CHOOSE(WEEKDAY(($G$2+33),2),"월","화","수","목","금","토","일")&amp;CHAR(10)&amp;TEXT(($G$2+33),"m/d"))</f>
        <v/>
      </c>
      <c r="BF60" s="76" t="s">
        <v>91</v>
      </c>
      <c r="BG60" s="77" t="str">
        <f aca="false">IF(OR(BG$4="",MONTH(($G$2+33))&lt;&gt;MONTH($C$2)),"",IF(COUNTIFS(m_teacher,BG$4,m_date,($G$2+33),m_active,1,m_start,"&lt;"&amp;600,m_end,"&gt;"&amp;0)=0,"",IF(COUNTIFS(m_teacher,BG$4,m_date,($G$2+33),m_active,1,m_start,"&lt;"&amp;600,m_end,"&gt;"&amp;0)&gt;1,"충돌",HYPERLINK("#'관리자_MASTER'!D"&amp;_xlfn.MAXIFS(m_row,m_teacher,BG$4,m_date,($G$2+33),m_active,1,m_start,"&lt;"&amp;600,m_end,"&gt;"&amp;0),INDEX(m_label,_xlfn.MAXIFS(m_row,m_teacher,BG$4,m_date,($G$2+33),m_active,1,m_start,"&lt;"&amp;600,m_end,"&gt;"&amp;0))))))</f>
        <v/>
      </c>
      <c r="BH60" s="77" t="str">
        <f aca="false">IF(OR(BH$4="",MONTH(($G$2+33))&lt;&gt;MONTH($C$2)),"",IF(COUNTIFS(m_teacher,BH$4,m_date,($G$2+33),m_active,1,m_start,"&lt;"&amp;600,m_end,"&gt;"&amp;0)=0,"",IF(COUNTIFS(m_teacher,BH$4,m_date,($G$2+33),m_active,1,m_start,"&lt;"&amp;600,m_end,"&gt;"&amp;0)&gt;1,"충돌",HYPERLINK("#'관리자_MASTER'!D"&amp;_xlfn.MAXIFS(m_row,m_teacher,BH$4,m_date,($G$2+33),m_active,1,m_start,"&lt;"&amp;600,m_end,"&gt;"&amp;0),INDEX(m_label,_xlfn.MAXIFS(m_row,m_teacher,BH$4,m_date,($G$2+33),m_active,1,m_start,"&lt;"&amp;600,m_end,"&gt;"&amp;0))))))</f>
        <v/>
      </c>
      <c r="BI60" s="77" t="str">
        <f aca="false">IF(OR(BI$4="",MONTH(($G$2+33))&lt;&gt;MONTH($C$2)),"",IF(COUNTIFS(m_teacher,BI$4,m_date,($G$2+33),m_active,1,m_start,"&lt;"&amp;600,m_end,"&gt;"&amp;0)=0,"",IF(COUNTIFS(m_teacher,BI$4,m_date,($G$2+33),m_active,1,m_start,"&lt;"&amp;600,m_end,"&gt;"&amp;0)&gt;1,"충돌",HYPERLINK("#'관리자_MASTER'!D"&amp;_xlfn.MAXIFS(m_row,m_teacher,BI$4,m_date,($G$2+33),m_active,1,m_start,"&lt;"&amp;600,m_end,"&gt;"&amp;0),INDEX(m_label,_xlfn.MAXIFS(m_row,m_teacher,BI$4,m_date,($G$2+33),m_active,1,m_start,"&lt;"&amp;600,m_end,"&gt;"&amp;0))))))</f>
        <v/>
      </c>
      <c r="BJ60" s="77" t="str">
        <f aca="false">IF(OR(BJ$4="",MONTH(($G$2+33))&lt;&gt;MONTH($C$2)),"",IF(COUNTIFS(m_teacher,BJ$4,m_date,($G$2+33),m_active,1,m_start,"&lt;"&amp;600,m_end,"&gt;"&amp;0)=0,"",IF(COUNTIFS(m_teacher,BJ$4,m_date,($G$2+33),m_active,1,m_start,"&lt;"&amp;600,m_end,"&gt;"&amp;0)&gt;1,"충돌",HYPERLINK("#'관리자_MASTER'!D"&amp;_xlfn.MAXIFS(m_row,m_teacher,BJ$4,m_date,($G$2+33),m_active,1,m_start,"&lt;"&amp;600,m_end,"&gt;"&amp;0),INDEX(m_label,_xlfn.MAXIFS(m_row,m_teacher,BJ$4,m_date,($G$2+33),m_active,1,m_start,"&lt;"&amp;600,m_end,"&gt;"&amp;0))))))</f>
        <v/>
      </c>
      <c r="BK60" s="77" t="str">
        <f aca="false">IF(OR(BK$4="",MONTH(($G$2+33))&lt;&gt;MONTH($C$2)),"",IF(COUNTIFS(m_teacher,BK$4,m_date,($G$2+33),m_active,1,m_start,"&lt;"&amp;600,m_end,"&gt;"&amp;0)=0,"",IF(COUNTIFS(m_teacher,BK$4,m_date,($G$2+33),m_active,1,m_start,"&lt;"&amp;600,m_end,"&gt;"&amp;0)&gt;1,"충돌",HYPERLINK("#'관리자_MASTER'!D"&amp;_xlfn.MAXIFS(m_row,m_teacher,BK$4,m_date,($G$2+33),m_active,1,m_start,"&lt;"&amp;600,m_end,"&gt;"&amp;0),INDEX(m_label,_xlfn.MAXIFS(m_row,m_teacher,BK$4,m_date,($G$2+33),m_active,1,m_start,"&lt;"&amp;600,m_end,"&gt;"&amp;0))))))</f>
        <v/>
      </c>
      <c r="BL60" s="77" t="str">
        <f aca="false">IF(OR(BL$4="",MONTH(($G$2+33))&lt;&gt;MONTH($C$2)),"",IF(COUNTIFS(m_teacher,BL$4,m_date,($G$2+33),m_active,1,m_start,"&lt;"&amp;600,m_end,"&gt;"&amp;0)=0,"",IF(COUNTIFS(m_teacher,BL$4,m_date,($G$2+33),m_active,1,m_start,"&lt;"&amp;600,m_end,"&gt;"&amp;0)&gt;1,"충돌",HYPERLINK("#'관리자_MASTER'!D"&amp;_xlfn.MAXIFS(m_row,m_teacher,BL$4,m_date,($G$2+33),m_active,1,m_start,"&lt;"&amp;600,m_end,"&gt;"&amp;0),INDEX(m_label,_xlfn.MAXIFS(m_row,m_teacher,BL$4,m_date,($G$2+33),m_active,1,m_start,"&lt;"&amp;600,m_end,"&gt;"&amp;0))))))</f>
        <v/>
      </c>
      <c r="BM60" s="77" t="str">
        <f aca="false">IF(OR(BM$4="",MONTH(($G$2+33))&lt;&gt;MONTH($C$2)),"",IF(COUNTIFS(m_teacher,BM$4,m_date,($G$2+33),m_active,1,m_start,"&lt;"&amp;600,m_end,"&gt;"&amp;0)=0,"",IF(COUNTIFS(m_teacher,BM$4,m_date,($G$2+33),m_active,1,m_start,"&lt;"&amp;600,m_end,"&gt;"&amp;0)&gt;1,"충돌",HYPERLINK("#'관리자_MASTER'!D"&amp;_xlfn.MAXIFS(m_row,m_teacher,BM$4,m_date,($G$2+33),m_active,1,m_start,"&lt;"&amp;600,m_end,"&gt;"&amp;0),INDEX(m_label,_xlfn.MAXIFS(m_row,m_teacher,BM$4,m_date,($G$2+33),m_active,1,m_start,"&lt;"&amp;600,m_end,"&gt;"&amp;0))))))</f>
        <v/>
      </c>
      <c r="BN60" s="77" t="str">
        <f aca="false">IF(OR(BN$4="",MONTH(($G$2+33))&lt;&gt;MONTH($C$2)),"",IF(COUNTIFS(m_teacher,BN$4,m_date,($G$2+33),m_active,1,m_start,"&lt;"&amp;600,m_end,"&gt;"&amp;0)=0,"",IF(COUNTIFS(m_teacher,BN$4,m_date,($G$2+33),m_active,1,m_start,"&lt;"&amp;600,m_end,"&gt;"&amp;0)&gt;1,"충돌",HYPERLINK("#'관리자_MASTER'!D"&amp;_xlfn.MAXIFS(m_row,m_teacher,BN$4,m_date,($G$2+33),m_active,1,m_start,"&lt;"&amp;600,m_end,"&gt;"&amp;0),INDEX(m_label,_xlfn.MAXIFS(m_row,m_teacher,BN$4,m_date,($G$2+33),m_active,1,m_start,"&lt;"&amp;600,m_end,"&gt;"&amp;0))))))</f>
        <v/>
      </c>
      <c r="BO60" s="77" t="str">
        <f aca="false">IF(OR(BO$4="",MONTH(($G$2+33))&lt;&gt;MONTH($C$2)),"",IF(COUNTIFS(m_teacher,BO$4,m_date,($G$2+33),m_active,1,m_start,"&lt;"&amp;600,m_end,"&gt;"&amp;0)=0,"",IF(COUNTIFS(m_teacher,BO$4,m_date,($G$2+33),m_active,1,m_start,"&lt;"&amp;600,m_end,"&gt;"&amp;0)&gt;1,"충돌",HYPERLINK("#'관리자_MASTER'!D"&amp;_xlfn.MAXIFS(m_row,m_teacher,BO$4,m_date,($G$2+33),m_active,1,m_start,"&lt;"&amp;600,m_end,"&gt;"&amp;0),INDEX(m_label,_xlfn.MAXIFS(m_row,m_teacher,BO$4,m_date,($G$2+33),m_active,1,m_start,"&lt;"&amp;600,m_end,"&gt;"&amp;0))))))</f>
        <v/>
      </c>
      <c r="BP60" s="77" t="str">
        <f aca="false">IF(OR(BP$4="",MONTH(($G$2+33))&lt;&gt;MONTH($C$2)),"",IF(COUNTIFS(m_teacher,BP$4,m_date,($G$2+33),m_active,1,m_start,"&lt;"&amp;600,m_end,"&gt;"&amp;0)=0,"",IF(COUNTIFS(m_teacher,BP$4,m_date,($G$2+33),m_active,1,m_start,"&lt;"&amp;600,m_end,"&gt;"&amp;0)&gt;1,"충돌",HYPERLINK("#'관리자_MASTER'!D"&amp;_xlfn.MAXIFS(m_row,m_teacher,BP$4,m_date,($G$2+33),m_active,1,m_start,"&lt;"&amp;600,m_end,"&gt;"&amp;0),INDEX(m_label,_xlfn.MAXIFS(m_row,m_teacher,BP$4,m_date,($G$2+33),m_active,1,m_start,"&lt;"&amp;600,m_end,"&gt;"&amp;0))))))</f>
        <v/>
      </c>
      <c r="BQ60" s="77" t="str">
        <f aca="false">IF(OR(BQ$4="",MONTH(($G$2+33))&lt;&gt;MONTH($C$2)),"",IF(COUNTIFS(m_teacher,BQ$4,m_date,($G$2+33),m_active,1,m_start,"&lt;"&amp;600,m_end,"&gt;"&amp;0)=0,"",IF(COUNTIFS(m_teacher,BQ$4,m_date,($G$2+33),m_active,1,m_start,"&lt;"&amp;600,m_end,"&gt;"&amp;0)&gt;1,"충돌",HYPERLINK("#'관리자_MASTER'!D"&amp;_xlfn.MAXIFS(m_row,m_teacher,BQ$4,m_date,($G$2+33),m_active,1,m_start,"&lt;"&amp;600,m_end,"&gt;"&amp;0),INDEX(m_label,_xlfn.MAXIFS(m_row,m_teacher,BQ$4,m_date,($G$2+33),m_active,1,m_start,"&lt;"&amp;600,m_end,"&gt;"&amp;0))))))</f>
        <v/>
      </c>
      <c r="BR60" s="77" t="str">
        <f aca="false">IF(OR(BR$4="",MONTH(($G$2+33))&lt;&gt;MONTH($C$2)),"",IF(COUNTIFS(m_teacher,BR$4,m_date,($G$2+33),m_active,1,m_start,"&lt;"&amp;600,m_end,"&gt;"&amp;0)=0,"",IF(COUNTIFS(m_teacher,BR$4,m_date,($G$2+33),m_active,1,m_start,"&lt;"&amp;600,m_end,"&gt;"&amp;0)&gt;1,"충돌",HYPERLINK("#'관리자_MASTER'!D"&amp;_xlfn.MAXIFS(m_row,m_teacher,BR$4,m_date,($G$2+33),m_active,1,m_start,"&lt;"&amp;600,m_end,"&gt;"&amp;0),INDEX(m_label,_xlfn.MAXIFS(m_row,m_teacher,BR$4,m_date,($G$2+33),m_active,1,m_start,"&lt;"&amp;600,m_end,"&gt;"&amp;0))))))</f>
        <v/>
      </c>
    </row>
    <row r="61" customFormat="false" ht="19.5" hidden="false" customHeight="true" outlineLevel="0" collapsed="false">
      <c r="A61" s="90"/>
      <c r="B61" s="79" t="s">
        <v>92</v>
      </c>
      <c r="C61" s="88" t="str">
        <f aca="false">IF(OR(C$4="",MONTH(($G$2+5))&lt;&gt;MONTH($C$2)),"",IF(COUNTIFS(m_teacher,C$4,m_date,($G$2+5),m_active,1,m_start,"&lt;"&amp;660,m_end,"&gt;"&amp;600)=0,"",IF(COUNTIFS(m_teacher,C$4,m_date,($G$2+5),m_active,1,m_start,"&lt;"&amp;660,m_end,"&gt;"&amp;600)&gt;1,"충돌",HYPERLINK("#'관리자_MASTER'!D"&amp;_xlfn.MAXIFS(m_row,m_teacher,C$4,m_date,($G$2+5),m_active,1,m_start,"&lt;"&amp;660,m_end,"&gt;"&amp;600),INDEX(m_label,_xlfn.MAXIFS(m_row,m_teacher,C$4,m_date,($G$2+5),m_active,1,m_start,"&lt;"&amp;660,m_end,"&gt;"&amp;600))))))</f>
        <v/>
      </c>
      <c r="D61" s="88" t="str">
        <f aca="false">IF(OR(D$4="",MONTH(($G$2+5))&lt;&gt;MONTH($C$2)),"",IF(COUNTIFS(m_teacher,D$4,m_date,($G$2+5),m_active,1,m_start,"&lt;"&amp;660,m_end,"&gt;"&amp;600)=0,"",IF(COUNTIFS(m_teacher,D$4,m_date,($G$2+5),m_active,1,m_start,"&lt;"&amp;660,m_end,"&gt;"&amp;600)&gt;1,"충돌",HYPERLINK("#'관리자_MASTER'!D"&amp;_xlfn.MAXIFS(m_row,m_teacher,D$4,m_date,($G$2+5),m_active,1,m_start,"&lt;"&amp;660,m_end,"&gt;"&amp;600),INDEX(m_label,_xlfn.MAXIFS(m_row,m_teacher,D$4,m_date,($G$2+5),m_active,1,m_start,"&lt;"&amp;660,m_end,"&gt;"&amp;600))))))</f>
        <v/>
      </c>
      <c r="E61" s="88" t="str">
        <f aca="false">IF(OR(E$4="",MONTH(($G$2+5))&lt;&gt;MONTH($C$2)),"",IF(COUNTIFS(m_teacher,E$4,m_date,($G$2+5),m_active,1,m_start,"&lt;"&amp;660,m_end,"&gt;"&amp;600)=0,"",IF(COUNTIFS(m_teacher,E$4,m_date,($G$2+5),m_active,1,m_start,"&lt;"&amp;660,m_end,"&gt;"&amp;600)&gt;1,"충돌",HYPERLINK("#'관리자_MASTER'!D"&amp;_xlfn.MAXIFS(m_row,m_teacher,E$4,m_date,($G$2+5),m_active,1,m_start,"&lt;"&amp;660,m_end,"&gt;"&amp;600),INDEX(m_label,_xlfn.MAXIFS(m_row,m_teacher,E$4,m_date,($G$2+5),m_active,1,m_start,"&lt;"&amp;660,m_end,"&gt;"&amp;600))))))</f>
        <v/>
      </c>
      <c r="F61" s="88" t="str">
        <f aca="false">IF(OR(F$4="",MONTH(($G$2+5))&lt;&gt;MONTH($C$2)),"",IF(COUNTIFS(m_teacher,F$4,m_date,($G$2+5),m_active,1,m_start,"&lt;"&amp;660,m_end,"&gt;"&amp;600)=0,"",IF(COUNTIFS(m_teacher,F$4,m_date,($G$2+5),m_active,1,m_start,"&lt;"&amp;660,m_end,"&gt;"&amp;600)&gt;1,"충돌",HYPERLINK("#'관리자_MASTER'!D"&amp;_xlfn.MAXIFS(m_row,m_teacher,F$4,m_date,($G$2+5),m_active,1,m_start,"&lt;"&amp;660,m_end,"&gt;"&amp;600),INDEX(m_label,_xlfn.MAXIFS(m_row,m_teacher,F$4,m_date,($G$2+5),m_active,1,m_start,"&lt;"&amp;660,m_end,"&gt;"&amp;600))))))</f>
        <v/>
      </c>
      <c r="G61" s="88" t="str">
        <f aca="false">IF(OR(G$4="",MONTH(($G$2+5))&lt;&gt;MONTH($C$2)),"",IF(COUNTIFS(m_teacher,G$4,m_date,($G$2+5),m_active,1,m_start,"&lt;"&amp;660,m_end,"&gt;"&amp;600)=0,"",IF(COUNTIFS(m_teacher,G$4,m_date,($G$2+5),m_active,1,m_start,"&lt;"&amp;660,m_end,"&gt;"&amp;600)&gt;1,"충돌",HYPERLINK("#'관리자_MASTER'!D"&amp;_xlfn.MAXIFS(m_row,m_teacher,G$4,m_date,($G$2+5),m_active,1,m_start,"&lt;"&amp;660,m_end,"&gt;"&amp;600),INDEX(m_label,_xlfn.MAXIFS(m_row,m_teacher,G$4,m_date,($G$2+5),m_active,1,m_start,"&lt;"&amp;660,m_end,"&gt;"&amp;600))))))</f>
        <v/>
      </c>
      <c r="H61" s="88" t="str">
        <f aca="false">IF(OR(H$4="",MONTH(($G$2+5))&lt;&gt;MONTH($C$2)),"",IF(COUNTIFS(m_teacher,H$4,m_date,($G$2+5),m_active,1,m_start,"&lt;"&amp;660,m_end,"&gt;"&amp;600)=0,"",IF(COUNTIFS(m_teacher,H$4,m_date,($G$2+5),m_active,1,m_start,"&lt;"&amp;660,m_end,"&gt;"&amp;600)&gt;1,"충돌",HYPERLINK("#'관리자_MASTER'!D"&amp;_xlfn.MAXIFS(m_row,m_teacher,H$4,m_date,($G$2+5),m_active,1,m_start,"&lt;"&amp;660,m_end,"&gt;"&amp;600),INDEX(m_label,_xlfn.MAXIFS(m_row,m_teacher,H$4,m_date,($G$2+5),m_active,1,m_start,"&lt;"&amp;660,m_end,"&gt;"&amp;600))))))</f>
        <v/>
      </c>
      <c r="I61" s="88" t="str">
        <f aca="false">IF(OR(I$4="",MONTH(($G$2+5))&lt;&gt;MONTH($C$2)),"",IF(COUNTIFS(m_teacher,I$4,m_date,($G$2+5),m_active,1,m_start,"&lt;"&amp;660,m_end,"&gt;"&amp;600)=0,"",IF(COUNTIFS(m_teacher,I$4,m_date,($G$2+5),m_active,1,m_start,"&lt;"&amp;660,m_end,"&gt;"&amp;600)&gt;1,"충돌",HYPERLINK("#'관리자_MASTER'!D"&amp;_xlfn.MAXIFS(m_row,m_teacher,I$4,m_date,($G$2+5),m_active,1,m_start,"&lt;"&amp;660,m_end,"&gt;"&amp;600),INDEX(m_label,_xlfn.MAXIFS(m_row,m_teacher,I$4,m_date,($G$2+5),m_active,1,m_start,"&lt;"&amp;660,m_end,"&gt;"&amp;600))))))</f>
        <v/>
      </c>
      <c r="J61" s="88" t="str">
        <f aca="false">IF(OR(J$4="",MONTH(($G$2+5))&lt;&gt;MONTH($C$2)),"",IF(COUNTIFS(m_teacher,J$4,m_date,($G$2+5),m_active,1,m_start,"&lt;"&amp;660,m_end,"&gt;"&amp;600)=0,"",IF(COUNTIFS(m_teacher,J$4,m_date,($G$2+5),m_active,1,m_start,"&lt;"&amp;660,m_end,"&gt;"&amp;600)&gt;1,"충돌",HYPERLINK("#'관리자_MASTER'!D"&amp;_xlfn.MAXIFS(m_row,m_teacher,J$4,m_date,($G$2+5),m_active,1,m_start,"&lt;"&amp;660,m_end,"&gt;"&amp;600),INDEX(m_label,_xlfn.MAXIFS(m_row,m_teacher,J$4,m_date,($G$2+5),m_active,1,m_start,"&lt;"&amp;660,m_end,"&gt;"&amp;600))))))</f>
        <v/>
      </c>
      <c r="K61" s="88" t="str">
        <f aca="false">IF(OR(K$4="",MONTH(($G$2+5))&lt;&gt;MONTH($C$2)),"",IF(COUNTIFS(m_teacher,K$4,m_date,($G$2+5),m_active,1,m_start,"&lt;"&amp;660,m_end,"&gt;"&amp;600)=0,"",IF(COUNTIFS(m_teacher,K$4,m_date,($G$2+5),m_active,1,m_start,"&lt;"&amp;660,m_end,"&gt;"&amp;600)&gt;1,"충돌",HYPERLINK("#'관리자_MASTER'!D"&amp;_xlfn.MAXIFS(m_row,m_teacher,K$4,m_date,($G$2+5),m_active,1,m_start,"&lt;"&amp;660,m_end,"&gt;"&amp;600),INDEX(m_label,_xlfn.MAXIFS(m_row,m_teacher,K$4,m_date,($G$2+5),m_active,1,m_start,"&lt;"&amp;660,m_end,"&gt;"&amp;600))))))</f>
        <v/>
      </c>
      <c r="L61" s="88" t="str">
        <f aca="false">IF(OR(L$4="",MONTH(($G$2+5))&lt;&gt;MONTH($C$2)),"",IF(COUNTIFS(m_teacher,L$4,m_date,($G$2+5),m_active,1,m_start,"&lt;"&amp;660,m_end,"&gt;"&amp;600)=0,"",IF(COUNTIFS(m_teacher,L$4,m_date,($G$2+5),m_active,1,m_start,"&lt;"&amp;660,m_end,"&gt;"&amp;600)&gt;1,"충돌",HYPERLINK("#'관리자_MASTER'!D"&amp;_xlfn.MAXIFS(m_row,m_teacher,L$4,m_date,($G$2+5),m_active,1,m_start,"&lt;"&amp;660,m_end,"&gt;"&amp;600),INDEX(m_label,_xlfn.MAXIFS(m_row,m_teacher,L$4,m_date,($G$2+5),m_active,1,m_start,"&lt;"&amp;660,m_end,"&gt;"&amp;600))))))</f>
        <v/>
      </c>
      <c r="M61" s="88" t="str">
        <f aca="false">IF(OR(M$4="",MONTH(($G$2+5))&lt;&gt;MONTH($C$2)),"",IF(COUNTIFS(m_teacher,M$4,m_date,($G$2+5),m_active,1,m_start,"&lt;"&amp;660,m_end,"&gt;"&amp;600)=0,"",IF(COUNTIFS(m_teacher,M$4,m_date,($G$2+5),m_active,1,m_start,"&lt;"&amp;660,m_end,"&gt;"&amp;600)&gt;1,"충돌",HYPERLINK("#'관리자_MASTER'!D"&amp;_xlfn.MAXIFS(m_row,m_teacher,M$4,m_date,($G$2+5),m_active,1,m_start,"&lt;"&amp;660,m_end,"&gt;"&amp;600),INDEX(m_label,_xlfn.MAXIFS(m_row,m_teacher,M$4,m_date,($G$2+5),m_active,1,m_start,"&lt;"&amp;660,m_end,"&gt;"&amp;600))))))</f>
        <v/>
      </c>
      <c r="N61" s="88" t="str">
        <f aca="false">IF(OR(N$4="",MONTH(($G$2+5))&lt;&gt;MONTH($C$2)),"",IF(COUNTIFS(m_teacher,N$4,m_date,($G$2+5),m_active,1,m_start,"&lt;"&amp;660,m_end,"&gt;"&amp;600)=0,"",IF(COUNTIFS(m_teacher,N$4,m_date,($G$2+5),m_active,1,m_start,"&lt;"&amp;660,m_end,"&gt;"&amp;600)&gt;1,"충돌",HYPERLINK("#'관리자_MASTER'!D"&amp;_xlfn.MAXIFS(m_row,m_teacher,N$4,m_date,($G$2+5),m_active,1,m_start,"&lt;"&amp;660,m_end,"&gt;"&amp;600),INDEX(m_label,_xlfn.MAXIFS(m_row,m_teacher,N$4,m_date,($G$2+5),m_active,1,m_start,"&lt;"&amp;660,m_end,"&gt;"&amp;600))))))</f>
        <v/>
      </c>
      <c r="O61" s="90"/>
      <c r="P61" s="79" t="s">
        <v>92</v>
      </c>
      <c r="Q61" s="88" t="str">
        <f aca="false">IF(OR(Q$4="",MONTH(($G$2+12))&lt;&gt;MONTH($C$2)),"",IF(COUNTIFS(m_teacher,Q$4,m_date,($G$2+12),m_active,1,m_start,"&lt;"&amp;660,m_end,"&gt;"&amp;600)=0,"",IF(COUNTIFS(m_teacher,Q$4,m_date,($G$2+12),m_active,1,m_start,"&lt;"&amp;660,m_end,"&gt;"&amp;600)&gt;1,"충돌",HYPERLINK("#'관리자_MASTER'!D"&amp;_xlfn.MAXIFS(m_row,m_teacher,Q$4,m_date,($G$2+12),m_active,1,m_start,"&lt;"&amp;660,m_end,"&gt;"&amp;600),INDEX(m_label,_xlfn.MAXIFS(m_row,m_teacher,Q$4,m_date,($G$2+12),m_active,1,m_start,"&lt;"&amp;660,m_end,"&gt;"&amp;600))))))</f>
        <v/>
      </c>
      <c r="R61" s="88" t="str">
        <f aca="false">IF(OR(R$4="",MONTH(($G$2+12))&lt;&gt;MONTH($C$2)),"",IF(COUNTIFS(m_teacher,R$4,m_date,($G$2+12),m_active,1,m_start,"&lt;"&amp;660,m_end,"&gt;"&amp;600)=0,"",IF(COUNTIFS(m_teacher,R$4,m_date,($G$2+12),m_active,1,m_start,"&lt;"&amp;660,m_end,"&gt;"&amp;600)&gt;1,"충돌",HYPERLINK("#'관리자_MASTER'!D"&amp;_xlfn.MAXIFS(m_row,m_teacher,R$4,m_date,($G$2+12),m_active,1,m_start,"&lt;"&amp;660,m_end,"&gt;"&amp;600),INDEX(m_label,_xlfn.MAXIFS(m_row,m_teacher,R$4,m_date,($G$2+12),m_active,1,m_start,"&lt;"&amp;660,m_end,"&gt;"&amp;600))))))</f>
        <v/>
      </c>
      <c r="S61" s="88" t="str">
        <f aca="false">IF(OR(S$4="",MONTH(($G$2+12))&lt;&gt;MONTH($C$2)),"",IF(COUNTIFS(m_teacher,S$4,m_date,($G$2+12),m_active,1,m_start,"&lt;"&amp;660,m_end,"&gt;"&amp;600)=0,"",IF(COUNTIFS(m_teacher,S$4,m_date,($G$2+12),m_active,1,m_start,"&lt;"&amp;660,m_end,"&gt;"&amp;600)&gt;1,"충돌",HYPERLINK("#'관리자_MASTER'!D"&amp;_xlfn.MAXIFS(m_row,m_teacher,S$4,m_date,($G$2+12),m_active,1,m_start,"&lt;"&amp;660,m_end,"&gt;"&amp;600),INDEX(m_label,_xlfn.MAXIFS(m_row,m_teacher,S$4,m_date,($G$2+12),m_active,1,m_start,"&lt;"&amp;660,m_end,"&gt;"&amp;600))))))</f>
        <v/>
      </c>
      <c r="T61" s="88" t="str">
        <f aca="false">IF(OR(T$4="",MONTH(($G$2+12))&lt;&gt;MONTH($C$2)),"",IF(COUNTIFS(m_teacher,T$4,m_date,($G$2+12),m_active,1,m_start,"&lt;"&amp;660,m_end,"&gt;"&amp;600)=0,"",IF(COUNTIFS(m_teacher,T$4,m_date,($G$2+12),m_active,1,m_start,"&lt;"&amp;660,m_end,"&gt;"&amp;600)&gt;1,"충돌",HYPERLINK("#'관리자_MASTER'!D"&amp;_xlfn.MAXIFS(m_row,m_teacher,T$4,m_date,($G$2+12),m_active,1,m_start,"&lt;"&amp;660,m_end,"&gt;"&amp;600),INDEX(m_label,_xlfn.MAXIFS(m_row,m_teacher,T$4,m_date,($G$2+12),m_active,1,m_start,"&lt;"&amp;660,m_end,"&gt;"&amp;600))))))</f>
        <v/>
      </c>
      <c r="U61" s="88" t="str">
        <f aca="false">IF(OR(U$4="",MONTH(($G$2+12))&lt;&gt;MONTH($C$2)),"",IF(COUNTIFS(m_teacher,U$4,m_date,($G$2+12),m_active,1,m_start,"&lt;"&amp;660,m_end,"&gt;"&amp;600)=0,"",IF(COUNTIFS(m_teacher,U$4,m_date,($G$2+12),m_active,1,m_start,"&lt;"&amp;660,m_end,"&gt;"&amp;600)&gt;1,"충돌",HYPERLINK("#'관리자_MASTER'!D"&amp;_xlfn.MAXIFS(m_row,m_teacher,U$4,m_date,($G$2+12),m_active,1,m_start,"&lt;"&amp;660,m_end,"&gt;"&amp;600),INDEX(m_label,_xlfn.MAXIFS(m_row,m_teacher,U$4,m_date,($G$2+12),m_active,1,m_start,"&lt;"&amp;660,m_end,"&gt;"&amp;600))))))</f>
        <v/>
      </c>
      <c r="V61" s="88" t="str">
        <f aca="false">IF(OR(V$4="",MONTH(($G$2+12))&lt;&gt;MONTH($C$2)),"",IF(COUNTIFS(m_teacher,V$4,m_date,($G$2+12),m_active,1,m_start,"&lt;"&amp;660,m_end,"&gt;"&amp;600)=0,"",IF(COUNTIFS(m_teacher,V$4,m_date,($G$2+12),m_active,1,m_start,"&lt;"&amp;660,m_end,"&gt;"&amp;600)&gt;1,"충돌",HYPERLINK("#'관리자_MASTER'!D"&amp;_xlfn.MAXIFS(m_row,m_teacher,V$4,m_date,($G$2+12),m_active,1,m_start,"&lt;"&amp;660,m_end,"&gt;"&amp;600),INDEX(m_label,_xlfn.MAXIFS(m_row,m_teacher,V$4,m_date,($G$2+12),m_active,1,m_start,"&lt;"&amp;660,m_end,"&gt;"&amp;600))))))</f>
        <v/>
      </c>
      <c r="W61" s="88" t="str">
        <f aca="false">IF(OR(W$4="",MONTH(($G$2+12))&lt;&gt;MONTH($C$2)),"",IF(COUNTIFS(m_teacher,W$4,m_date,($G$2+12),m_active,1,m_start,"&lt;"&amp;660,m_end,"&gt;"&amp;600)=0,"",IF(COUNTIFS(m_teacher,W$4,m_date,($G$2+12),m_active,1,m_start,"&lt;"&amp;660,m_end,"&gt;"&amp;600)&gt;1,"충돌",HYPERLINK("#'관리자_MASTER'!D"&amp;_xlfn.MAXIFS(m_row,m_teacher,W$4,m_date,($G$2+12),m_active,1,m_start,"&lt;"&amp;660,m_end,"&gt;"&amp;600),INDEX(m_label,_xlfn.MAXIFS(m_row,m_teacher,W$4,m_date,($G$2+12),m_active,1,m_start,"&lt;"&amp;660,m_end,"&gt;"&amp;600))))))</f>
        <v/>
      </c>
      <c r="X61" s="88" t="str">
        <f aca="false">IF(OR(X$4="",MONTH(($G$2+12))&lt;&gt;MONTH($C$2)),"",IF(COUNTIFS(m_teacher,X$4,m_date,($G$2+12),m_active,1,m_start,"&lt;"&amp;660,m_end,"&gt;"&amp;600)=0,"",IF(COUNTIFS(m_teacher,X$4,m_date,($G$2+12),m_active,1,m_start,"&lt;"&amp;660,m_end,"&gt;"&amp;600)&gt;1,"충돌",HYPERLINK("#'관리자_MASTER'!D"&amp;_xlfn.MAXIFS(m_row,m_teacher,X$4,m_date,($G$2+12),m_active,1,m_start,"&lt;"&amp;660,m_end,"&gt;"&amp;600),INDEX(m_label,_xlfn.MAXIFS(m_row,m_teacher,X$4,m_date,($G$2+12),m_active,1,m_start,"&lt;"&amp;660,m_end,"&gt;"&amp;600))))))</f>
        <v/>
      </c>
      <c r="Y61" s="88" t="str">
        <f aca="false">IF(OR(Y$4="",MONTH(($G$2+12))&lt;&gt;MONTH($C$2)),"",IF(COUNTIFS(m_teacher,Y$4,m_date,($G$2+12),m_active,1,m_start,"&lt;"&amp;660,m_end,"&gt;"&amp;600)=0,"",IF(COUNTIFS(m_teacher,Y$4,m_date,($G$2+12),m_active,1,m_start,"&lt;"&amp;660,m_end,"&gt;"&amp;600)&gt;1,"충돌",HYPERLINK("#'관리자_MASTER'!D"&amp;_xlfn.MAXIFS(m_row,m_teacher,Y$4,m_date,($G$2+12),m_active,1,m_start,"&lt;"&amp;660,m_end,"&gt;"&amp;600),INDEX(m_label,_xlfn.MAXIFS(m_row,m_teacher,Y$4,m_date,($G$2+12),m_active,1,m_start,"&lt;"&amp;660,m_end,"&gt;"&amp;600))))))</f>
        <v/>
      </c>
      <c r="Z61" s="88" t="str">
        <f aca="false">IF(OR(Z$4="",MONTH(($G$2+12))&lt;&gt;MONTH($C$2)),"",IF(COUNTIFS(m_teacher,Z$4,m_date,($G$2+12),m_active,1,m_start,"&lt;"&amp;660,m_end,"&gt;"&amp;600)=0,"",IF(COUNTIFS(m_teacher,Z$4,m_date,($G$2+12),m_active,1,m_start,"&lt;"&amp;660,m_end,"&gt;"&amp;600)&gt;1,"충돌",HYPERLINK("#'관리자_MASTER'!D"&amp;_xlfn.MAXIFS(m_row,m_teacher,Z$4,m_date,($G$2+12),m_active,1,m_start,"&lt;"&amp;660,m_end,"&gt;"&amp;600),INDEX(m_label,_xlfn.MAXIFS(m_row,m_teacher,Z$4,m_date,($G$2+12),m_active,1,m_start,"&lt;"&amp;660,m_end,"&gt;"&amp;600))))))</f>
        <v/>
      </c>
      <c r="AA61" s="88" t="str">
        <f aca="false">IF(OR(AA$4="",MONTH(($G$2+12))&lt;&gt;MONTH($C$2)),"",IF(COUNTIFS(m_teacher,AA$4,m_date,($G$2+12),m_active,1,m_start,"&lt;"&amp;660,m_end,"&gt;"&amp;600)=0,"",IF(COUNTIFS(m_teacher,AA$4,m_date,($G$2+12),m_active,1,m_start,"&lt;"&amp;660,m_end,"&gt;"&amp;600)&gt;1,"충돌",HYPERLINK("#'관리자_MASTER'!D"&amp;_xlfn.MAXIFS(m_row,m_teacher,AA$4,m_date,($G$2+12),m_active,1,m_start,"&lt;"&amp;660,m_end,"&gt;"&amp;600),INDEX(m_label,_xlfn.MAXIFS(m_row,m_teacher,AA$4,m_date,($G$2+12),m_active,1,m_start,"&lt;"&amp;660,m_end,"&gt;"&amp;600))))))</f>
        <v/>
      </c>
      <c r="AB61" s="88" t="str">
        <f aca="false">IF(OR(AB$4="",MONTH(($G$2+12))&lt;&gt;MONTH($C$2)),"",IF(COUNTIFS(m_teacher,AB$4,m_date,($G$2+12),m_active,1,m_start,"&lt;"&amp;660,m_end,"&gt;"&amp;600)=0,"",IF(COUNTIFS(m_teacher,AB$4,m_date,($G$2+12),m_active,1,m_start,"&lt;"&amp;660,m_end,"&gt;"&amp;600)&gt;1,"충돌",HYPERLINK("#'관리자_MASTER'!D"&amp;_xlfn.MAXIFS(m_row,m_teacher,AB$4,m_date,($G$2+12),m_active,1,m_start,"&lt;"&amp;660,m_end,"&gt;"&amp;600),INDEX(m_label,_xlfn.MAXIFS(m_row,m_teacher,AB$4,m_date,($G$2+12),m_active,1,m_start,"&lt;"&amp;660,m_end,"&gt;"&amp;600))))))</f>
        <v/>
      </c>
      <c r="AC61" s="90"/>
      <c r="AD61" s="79" t="s">
        <v>92</v>
      </c>
      <c r="AE61" s="88" t="str">
        <f aca="false">IF(OR(AE$4="",MONTH(($G$2+19))&lt;&gt;MONTH($C$2)),"",IF(COUNTIFS(m_teacher,AE$4,m_date,($G$2+19),m_active,1,m_start,"&lt;"&amp;660,m_end,"&gt;"&amp;600)=0,"",IF(COUNTIFS(m_teacher,AE$4,m_date,($G$2+19),m_active,1,m_start,"&lt;"&amp;660,m_end,"&gt;"&amp;600)&gt;1,"충돌",HYPERLINK("#'관리자_MASTER'!D"&amp;_xlfn.MAXIFS(m_row,m_teacher,AE$4,m_date,($G$2+19),m_active,1,m_start,"&lt;"&amp;660,m_end,"&gt;"&amp;600),INDEX(m_label,_xlfn.MAXIFS(m_row,m_teacher,AE$4,m_date,($G$2+19),m_active,1,m_start,"&lt;"&amp;660,m_end,"&gt;"&amp;600))))))</f>
        <v/>
      </c>
      <c r="AF61" s="88" t="str">
        <f aca="false">IF(OR(AF$4="",MONTH(($G$2+19))&lt;&gt;MONTH($C$2)),"",IF(COUNTIFS(m_teacher,AF$4,m_date,($G$2+19),m_active,1,m_start,"&lt;"&amp;660,m_end,"&gt;"&amp;600)=0,"",IF(COUNTIFS(m_teacher,AF$4,m_date,($G$2+19),m_active,1,m_start,"&lt;"&amp;660,m_end,"&gt;"&amp;600)&gt;1,"충돌",HYPERLINK("#'관리자_MASTER'!D"&amp;_xlfn.MAXIFS(m_row,m_teacher,AF$4,m_date,($G$2+19),m_active,1,m_start,"&lt;"&amp;660,m_end,"&gt;"&amp;600),INDEX(m_label,_xlfn.MAXIFS(m_row,m_teacher,AF$4,m_date,($G$2+19),m_active,1,m_start,"&lt;"&amp;660,m_end,"&gt;"&amp;600))))))</f>
        <v/>
      </c>
      <c r="AG61" s="88" t="str">
        <f aca="false">IF(OR(AG$4="",MONTH(($G$2+19))&lt;&gt;MONTH($C$2)),"",IF(COUNTIFS(m_teacher,AG$4,m_date,($G$2+19),m_active,1,m_start,"&lt;"&amp;660,m_end,"&gt;"&amp;600)=0,"",IF(COUNTIFS(m_teacher,AG$4,m_date,($G$2+19),m_active,1,m_start,"&lt;"&amp;660,m_end,"&gt;"&amp;600)&gt;1,"충돌",HYPERLINK("#'관리자_MASTER'!D"&amp;_xlfn.MAXIFS(m_row,m_teacher,AG$4,m_date,($G$2+19),m_active,1,m_start,"&lt;"&amp;660,m_end,"&gt;"&amp;600),INDEX(m_label,_xlfn.MAXIFS(m_row,m_teacher,AG$4,m_date,($G$2+19),m_active,1,m_start,"&lt;"&amp;660,m_end,"&gt;"&amp;600))))))</f>
        <v/>
      </c>
      <c r="AH61" s="88" t="str">
        <f aca="false">IF(OR(AH$4="",MONTH(($G$2+19))&lt;&gt;MONTH($C$2)),"",IF(COUNTIFS(m_teacher,AH$4,m_date,($G$2+19),m_active,1,m_start,"&lt;"&amp;660,m_end,"&gt;"&amp;600)=0,"",IF(COUNTIFS(m_teacher,AH$4,m_date,($G$2+19),m_active,1,m_start,"&lt;"&amp;660,m_end,"&gt;"&amp;600)&gt;1,"충돌",HYPERLINK("#'관리자_MASTER'!D"&amp;_xlfn.MAXIFS(m_row,m_teacher,AH$4,m_date,($G$2+19),m_active,1,m_start,"&lt;"&amp;660,m_end,"&gt;"&amp;600),INDEX(m_label,_xlfn.MAXIFS(m_row,m_teacher,AH$4,m_date,($G$2+19),m_active,1,m_start,"&lt;"&amp;660,m_end,"&gt;"&amp;600))))))</f>
        <v/>
      </c>
      <c r="AI61" s="88" t="str">
        <f aca="false">IF(OR(AI$4="",MONTH(($G$2+19))&lt;&gt;MONTH($C$2)),"",IF(COUNTIFS(m_teacher,AI$4,m_date,($G$2+19),m_active,1,m_start,"&lt;"&amp;660,m_end,"&gt;"&amp;600)=0,"",IF(COUNTIFS(m_teacher,AI$4,m_date,($G$2+19),m_active,1,m_start,"&lt;"&amp;660,m_end,"&gt;"&amp;600)&gt;1,"충돌",HYPERLINK("#'관리자_MASTER'!D"&amp;_xlfn.MAXIFS(m_row,m_teacher,AI$4,m_date,($G$2+19),m_active,1,m_start,"&lt;"&amp;660,m_end,"&gt;"&amp;600),INDEX(m_label,_xlfn.MAXIFS(m_row,m_teacher,AI$4,m_date,($G$2+19),m_active,1,m_start,"&lt;"&amp;660,m_end,"&gt;"&amp;600))))))</f>
        <v/>
      </c>
      <c r="AJ61" s="88" t="str">
        <f aca="false">IF(OR(AJ$4="",MONTH(($G$2+19))&lt;&gt;MONTH($C$2)),"",IF(COUNTIFS(m_teacher,AJ$4,m_date,($G$2+19),m_active,1,m_start,"&lt;"&amp;660,m_end,"&gt;"&amp;600)=0,"",IF(COUNTIFS(m_teacher,AJ$4,m_date,($G$2+19),m_active,1,m_start,"&lt;"&amp;660,m_end,"&gt;"&amp;600)&gt;1,"충돌",HYPERLINK("#'관리자_MASTER'!D"&amp;_xlfn.MAXIFS(m_row,m_teacher,AJ$4,m_date,($G$2+19),m_active,1,m_start,"&lt;"&amp;660,m_end,"&gt;"&amp;600),INDEX(m_label,_xlfn.MAXIFS(m_row,m_teacher,AJ$4,m_date,($G$2+19),m_active,1,m_start,"&lt;"&amp;660,m_end,"&gt;"&amp;600))))))</f>
        <v/>
      </c>
      <c r="AK61" s="88" t="str">
        <f aca="false">IF(OR(AK$4="",MONTH(($G$2+19))&lt;&gt;MONTH($C$2)),"",IF(COUNTIFS(m_teacher,AK$4,m_date,($G$2+19),m_active,1,m_start,"&lt;"&amp;660,m_end,"&gt;"&amp;600)=0,"",IF(COUNTIFS(m_teacher,AK$4,m_date,($G$2+19),m_active,1,m_start,"&lt;"&amp;660,m_end,"&gt;"&amp;600)&gt;1,"충돌",HYPERLINK("#'관리자_MASTER'!D"&amp;_xlfn.MAXIFS(m_row,m_teacher,AK$4,m_date,($G$2+19),m_active,1,m_start,"&lt;"&amp;660,m_end,"&gt;"&amp;600),INDEX(m_label,_xlfn.MAXIFS(m_row,m_teacher,AK$4,m_date,($G$2+19),m_active,1,m_start,"&lt;"&amp;660,m_end,"&gt;"&amp;600))))))</f>
        <v/>
      </c>
      <c r="AL61" s="88" t="str">
        <f aca="false">IF(OR(AL$4="",MONTH(($G$2+19))&lt;&gt;MONTH($C$2)),"",IF(COUNTIFS(m_teacher,AL$4,m_date,($G$2+19),m_active,1,m_start,"&lt;"&amp;660,m_end,"&gt;"&amp;600)=0,"",IF(COUNTIFS(m_teacher,AL$4,m_date,($G$2+19),m_active,1,m_start,"&lt;"&amp;660,m_end,"&gt;"&amp;600)&gt;1,"충돌",HYPERLINK("#'관리자_MASTER'!D"&amp;_xlfn.MAXIFS(m_row,m_teacher,AL$4,m_date,($G$2+19),m_active,1,m_start,"&lt;"&amp;660,m_end,"&gt;"&amp;600),INDEX(m_label,_xlfn.MAXIFS(m_row,m_teacher,AL$4,m_date,($G$2+19),m_active,1,m_start,"&lt;"&amp;660,m_end,"&gt;"&amp;600))))))</f>
        <v/>
      </c>
      <c r="AM61" s="88" t="str">
        <f aca="false">IF(OR(AM$4="",MONTH(($G$2+19))&lt;&gt;MONTH($C$2)),"",IF(COUNTIFS(m_teacher,AM$4,m_date,($G$2+19),m_active,1,m_start,"&lt;"&amp;660,m_end,"&gt;"&amp;600)=0,"",IF(COUNTIFS(m_teacher,AM$4,m_date,($G$2+19),m_active,1,m_start,"&lt;"&amp;660,m_end,"&gt;"&amp;600)&gt;1,"충돌",HYPERLINK("#'관리자_MASTER'!D"&amp;_xlfn.MAXIFS(m_row,m_teacher,AM$4,m_date,($G$2+19),m_active,1,m_start,"&lt;"&amp;660,m_end,"&gt;"&amp;600),INDEX(m_label,_xlfn.MAXIFS(m_row,m_teacher,AM$4,m_date,($G$2+19),m_active,1,m_start,"&lt;"&amp;660,m_end,"&gt;"&amp;600))))))</f>
        <v/>
      </c>
      <c r="AN61" s="88" t="str">
        <f aca="false">IF(OR(AN$4="",MONTH(($G$2+19))&lt;&gt;MONTH($C$2)),"",IF(COUNTIFS(m_teacher,AN$4,m_date,($G$2+19),m_active,1,m_start,"&lt;"&amp;660,m_end,"&gt;"&amp;600)=0,"",IF(COUNTIFS(m_teacher,AN$4,m_date,($G$2+19),m_active,1,m_start,"&lt;"&amp;660,m_end,"&gt;"&amp;600)&gt;1,"충돌",HYPERLINK("#'관리자_MASTER'!D"&amp;_xlfn.MAXIFS(m_row,m_teacher,AN$4,m_date,($G$2+19),m_active,1,m_start,"&lt;"&amp;660,m_end,"&gt;"&amp;600),INDEX(m_label,_xlfn.MAXIFS(m_row,m_teacher,AN$4,m_date,($G$2+19),m_active,1,m_start,"&lt;"&amp;660,m_end,"&gt;"&amp;600))))))</f>
        <v/>
      </c>
      <c r="AO61" s="88" t="str">
        <f aca="false">IF(OR(AO$4="",MONTH(($G$2+19))&lt;&gt;MONTH($C$2)),"",IF(COUNTIFS(m_teacher,AO$4,m_date,($G$2+19),m_active,1,m_start,"&lt;"&amp;660,m_end,"&gt;"&amp;600)=0,"",IF(COUNTIFS(m_teacher,AO$4,m_date,($G$2+19),m_active,1,m_start,"&lt;"&amp;660,m_end,"&gt;"&amp;600)&gt;1,"충돌",HYPERLINK("#'관리자_MASTER'!D"&amp;_xlfn.MAXIFS(m_row,m_teacher,AO$4,m_date,($G$2+19),m_active,1,m_start,"&lt;"&amp;660,m_end,"&gt;"&amp;600),INDEX(m_label,_xlfn.MAXIFS(m_row,m_teacher,AO$4,m_date,($G$2+19),m_active,1,m_start,"&lt;"&amp;660,m_end,"&gt;"&amp;600))))))</f>
        <v/>
      </c>
      <c r="AP61" s="88" t="str">
        <f aca="false">IF(OR(AP$4="",MONTH(($G$2+19))&lt;&gt;MONTH($C$2)),"",IF(COUNTIFS(m_teacher,AP$4,m_date,($G$2+19),m_active,1,m_start,"&lt;"&amp;660,m_end,"&gt;"&amp;600)=0,"",IF(COUNTIFS(m_teacher,AP$4,m_date,($G$2+19),m_active,1,m_start,"&lt;"&amp;660,m_end,"&gt;"&amp;600)&gt;1,"충돌",HYPERLINK("#'관리자_MASTER'!D"&amp;_xlfn.MAXIFS(m_row,m_teacher,AP$4,m_date,($G$2+19),m_active,1,m_start,"&lt;"&amp;660,m_end,"&gt;"&amp;600),INDEX(m_label,_xlfn.MAXIFS(m_row,m_teacher,AP$4,m_date,($G$2+19),m_active,1,m_start,"&lt;"&amp;660,m_end,"&gt;"&amp;600))))))</f>
        <v/>
      </c>
      <c r="AQ61" s="90"/>
      <c r="AR61" s="79" t="s">
        <v>92</v>
      </c>
      <c r="AS61" s="88" t="str">
        <f aca="false">IF(OR(AS$4="",MONTH(($G$2+26))&lt;&gt;MONTH($C$2)),"",IF(COUNTIFS(m_teacher,AS$4,m_date,($G$2+26),m_active,1,m_start,"&lt;"&amp;660,m_end,"&gt;"&amp;600)=0,"",IF(COUNTIFS(m_teacher,AS$4,m_date,($G$2+26),m_active,1,m_start,"&lt;"&amp;660,m_end,"&gt;"&amp;600)&gt;1,"충돌",HYPERLINK("#'관리자_MASTER'!D"&amp;_xlfn.MAXIFS(m_row,m_teacher,AS$4,m_date,($G$2+26),m_active,1,m_start,"&lt;"&amp;660,m_end,"&gt;"&amp;600),INDEX(m_label,_xlfn.MAXIFS(m_row,m_teacher,AS$4,m_date,($G$2+26),m_active,1,m_start,"&lt;"&amp;660,m_end,"&gt;"&amp;600))))))</f>
        <v/>
      </c>
      <c r="AT61" s="88" t="str">
        <f aca="false">IF(OR(AT$4="",MONTH(($G$2+26))&lt;&gt;MONTH($C$2)),"",IF(COUNTIFS(m_teacher,AT$4,m_date,($G$2+26),m_active,1,m_start,"&lt;"&amp;660,m_end,"&gt;"&amp;600)=0,"",IF(COUNTIFS(m_teacher,AT$4,m_date,($G$2+26),m_active,1,m_start,"&lt;"&amp;660,m_end,"&gt;"&amp;600)&gt;1,"충돌",HYPERLINK("#'관리자_MASTER'!D"&amp;_xlfn.MAXIFS(m_row,m_teacher,AT$4,m_date,($G$2+26),m_active,1,m_start,"&lt;"&amp;660,m_end,"&gt;"&amp;600),INDEX(m_label,_xlfn.MAXIFS(m_row,m_teacher,AT$4,m_date,($G$2+26),m_active,1,m_start,"&lt;"&amp;660,m_end,"&gt;"&amp;600))))))</f>
        <v/>
      </c>
      <c r="AU61" s="88" t="str">
        <f aca="false">IF(OR(AU$4="",MONTH(($G$2+26))&lt;&gt;MONTH($C$2)),"",IF(COUNTIFS(m_teacher,AU$4,m_date,($G$2+26),m_active,1,m_start,"&lt;"&amp;660,m_end,"&gt;"&amp;600)=0,"",IF(COUNTIFS(m_teacher,AU$4,m_date,($G$2+26),m_active,1,m_start,"&lt;"&amp;660,m_end,"&gt;"&amp;600)&gt;1,"충돌",HYPERLINK("#'관리자_MASTER'!D"&amp;_xlfn.MAXIFS(m_row,m_teacher,AU$4,m_date,($G$2+26),m_active,1,m_start,"&lt;"&amp;660,m_end,"&gt;"&amp;600),INDEX(m_label,_xlfn.MAXIFS(m_row,m_teacher,AU$4,m_date,($G$2+26),m_active,1,m_start,"&lt;"&amp;660,m_end,"&gt;"&amp;600))))))</f>
        <v/>
      </c>
      <c r="AV61" s="88" t="str">
        <f aca="false">IF(OR(AV$4="",MONTH(($G$2+26))&lt;&gt;MONTH($C$2)),"",IF(COUNTIFS(m_teacher,AV$4,m_date,($G$2+26),m_active,1,m_start,"&lt;"&amp;660,m_end,"&gt;"&amp;600)=0,"",IF(COUNTIFS(m_teacher,AV$4,m_date,($G$2+26),m_active,1,m_start,"&lt;"&amp;660,m_end,"&gt;"&amp;600)&gt;1,"충돌",HYPERLINK("#'관리자_MASTER'!D"&amp;_xlfn.MAXIFS(m_row,m_teacher,AV$4,m_date,($G$2+26),m_active,1,m_start,"&lt;"&amp;660,m_end,"&gt;"&amp;600),INDEX(m_label,_xlfn.MAXIFS(m_row,m_teacher,AV$4,m_date,($G$2+26),m_active,1,m_start,"&lt;"&amp;660,m_end,"&gt;"&amp;600))))))</f>
        <v/>
      </c>
      <c r="AW61" s="88" t="str">
        <f aca="false">IF(OR(AW$4="",MONTH(($G$2+26))&lt;&gt;MONTH($C$2)),"",IF(COUNTIFS(m_teacher,AW$4,m_date,($G$2+26),m_active,1,m_start,"&lt;"&amp;660,m_end,"&gt;"&amp;600)=0,"",IF(COUNTIFS(m_teacher,AW$4,m_date,($G$2+26),m_active,1,m_start,"&lt;"&amp;660,m_end,"&gt;"&amp;600)&gt;1,"충돌",HYPERLINK("#'관리자_MASTER'!D"&amp;_xlfn.MAXIFS(m_row,m_teacher,AW$4,m_date,($G$2+26),m_active,1,m_start,"&lt;"&amp;660,m_end,"&gt;"&amp;600),INDEX(m_label,_xlfn.MAXIFS(m_row,m_teacher,AW$4,m_date,($G$2+26),m_active,1,m_start,"&lt;"&amp;660,m_end,"&gt;"&amp;600))))))</f>
        <v/>
      </c>
      <c r="AX61" s="88" t="str">
        <f aca="false">IF(OR(AX$4="",MONTH(($G$2+26))&lt;&gt;MONTH($C$2)),"",IF(COUNTIFS(m_teacher,AX$4,m_date,($G$2+26),m_active,1,m_start,"&lt;"&amp;660,m_end,"&gt;"&amp;600)=0,"",IF(COUNTIFS(m_teacher,AX$4,m_date,($G$2+26),m_active,1,m_start,"&lt;"&amp;660,m_end,"&gt;"&amp;600)&gt;1,"충돌",HYPERLINK("#'관리자_MASTER'!D"&amp;_xlfn.MAXIFS(m_row,m_teacher,AX$4,m_date,($G$2+26),m_active,1,m_start,"&lt;"&amp;660,m_end,"&gt;"&amp;600),INDEX(m_label,_xlfn.MAXIFS(m_row,m_teacher,AX$4,m_date,($G$2+26),m_active,1,m_start,"&lt;"&amp;660,m_end,"&gt;"&amp;600))))))</f>
        <v/>
      </c>
      <c r="AY61" s="88" t="str">
        <f aca="false">IF(OR(AY$4="",MONTH(($G$2+26))&lt;&gt;MONTH($C$2)),"",IF(COUNTIFS(m_teacher,AY$4,m_date,($G$2+26),m_active,1,m_start,"&lt;"&amp;660,m_end,"&gt;"&amp;600)=0,"",IF(COUNTIFS(m_teacher,AY$4,m_date,($G$2+26),m_active,1,m_start,"&lt;"&amp;660,m_end,"&gt;"&amp;600)&gt;1,"충돌",HYPERLINK("#'관리자_MASTER'!D"&amp;_xlfn.MAXIFS(m_row,m_teacher,AY$4,m_date,($G$2+26),m_active,1,m_start,"&lt;"&amp;660,m_end,"&gt;"&amp;600),INDEX(m_label,_xlfn.MAXIFS(m_row,m_teacher,AY$4,m_date,($G$2+26),m_active,1,m_start,"&lt;"&amp;660,m_end,"&gt;"&amp;600))))))</f>
        <v/>
      </c>
      <c r="AZ61" s="88" t="str">
        <f aca="false">IF(OR(AZ$4="",MONTH(($G$2+26))&lt;&gt;MONTH($C$2)),"",IF(COUNTIFS(m_teacher,AZ$4,m_date,($G$2+26),m_active,1,m_start,"&lt;"&amp;660,m_end,"&gt;"&amp;600)=0,"",IF(COUNTIFS(m_teacher,AZ$4,m_date,($G$2+26),m_active,1,m_start,"&lt;"&amp;660,m_end,"&gt;"&amp;600)&gt;1,"충돌",HYPERLINK("#'관리자_MASTER'!D"&amp;_xlfn.MAXIFS(m_row,m_teacher,AZ$4,m_date,($G$2+26),m_active,1,m_start,"&lt;"&amp;660,m_end,"&gt;"&amp;600),INDEX(m_label,_xlfn.MAXIFS(m_row,m_teacher,AZ$4,m_date,($G$2+26),m_active,1,m_start,"&lt;"&amp;660,m_end,"&gt;"&amp;600))))))</f>
        <v/>
      </c>
      <c r="BA61" s="88" t="str">
        <f aca="false">IF(OR(BA$4="",MONTH(($G$2+26))&lt;&gt;MONTH($C$2)),"",IF(COUNTIFS(m_teacher,BA$4,m_date,($G$2+26),m_active,1,m_start,"&lt;"&amp;660,m_end,"&gt;"&amp;600)=0,"",IF(COUNTIFS(m_teacher,BA$4,m_date,($G$2+26),m_active,1,m_start,"&lt;"&amp;660,m_end,"&gt;"&amp;600)&gt;1,"충돌",HYPERLINK("#'관리자_MASTER'!D"&amp;_xlfn.MAXIFS(m_row,m_teacher,BA$4,m_date,($G$2+26),m_active,1,m_start,"&lt;"&amp;660,m_end,"&gt;"&amp;600),INDEX(m_label,_xlfn.MAXIFS(m_row,m_teacher,BA$4,m_date,($G$2+26),m_active,1,m_start,"&lt;"&amp;660,m_end,"&gt;"&amp;600))))))</f>
        <v/>
      </c>
      <c r="BB61" s="88" t="str">
        <f aca="false">IF(OR(BB$4="",MONTH(($G$2+26))&lt;&gt;MONTH($C$2)),"",IF(COUNTIFS(m_teacher,BB$4,m_date,($G$2+26),m_active,1,m_start,"&lt;"&amp;660,m_end,"&gt;"&amp;600)=0,"",IF(COUNTIFS(m_teacher,BB$4,m_date,($G$2+26),m_active,1,m_start,"&lt;"&amp;660,m_end,"&gt;"&amp;600)&gt;1,"충돌",HYPERLINK("#'관리자_MASTER'!D"&amp;_xlfn.MAXIFS(m_row,m_teacher,BB$4,m_date,($G$2+26),m_active,1,m_start,"&lt;"&amp;660,m_end,"&gt;"&amp;600),INDEX(m_label,_xlfn.MAXIFS(m_row,m_teacher,BB$4,m_date,($G$2+26),m_active,1,m_start,"&lt;"&amp;660,m_end,"&gt;"&amp;600))))))</f>
        <v/>
      </c>
      <c r="BC61" s="88" t="str">
        <f aca="false">IF(OR(BC$4="",MONTH(($G$2+26))&lt;&gt;MONTH($C$2)),"",IF(COUNTIFS(m_teacher,BC$4,m_date,($G$2+26),m_active,1,m_start,"&lt;"&amp;660,m_end,"&gt;"&amp;600)=0,"",IF(COUNTIFS(m_teacher,BC$4,m_date,($G$2+26),m_active,1,m_start,"&lt;"&amp;660,m_end,"&gt;"&amp;600)&gt;1,"충돌",HYPERLINK("#'관리자_MASTER'!D"&amp;_xlfn.MAXIFS(m_row,m_teacher,BC$4,m_date,($G$2+26),m_active,1,m_start,"&lt;"&amp;660,m_end,"&gt;"&amp;600),INDEX(m_label,_xlfn.MAXIFS(m_row,m_teacher,BC$4,m_date,($G$2+26),m_active,1,m_start,"&lt;"&amp;660,m_end,"&gt;"&amp;600))))))</f>
        <v/>
      </c>
      <c r="BD61" s="88" t="str">
        <f aca="false">IF(OR(BD$4="",MONTH(($G$2+26))&lt;&gt;MONTH($C$2)),"",IF(COUNTIFS(m_teacher,BD$4,m_date,($G$2+26),m_active,1,m_start,"&lt;"&amp;660,m_end,"&gt;"&amp;600)=0,"",IF(COUNTIFS(m_teacher,BD$4,m_date,($G$2+26),m_active,1,m_start,"&lt;"&amp;660,m_end,"&gt;"&amp;600)&gt;1,"충돌",HYPERLINK("#'관리자_MASTER'!D"&amp;_xlfn.MAXIFS(m_row,m_teacher,BD$4,m_date,($G$2+26),m_active,1,m_start,"&lt;"&amp;660,m_end,"&gt;"&amp;600),INDEX(m_label,_xlfn.MAXIFS(m_row,m_teacher,BD$4,m_date,($G$2+26),m_active,1,m_start,"&lt;"&amp;660,m_end,"&gt;"&amp;600))))))</f>
        <v/>
      </c>
      <c r="BE61" s="91"/>
      <c r="BF61" s="76" t="s">
        <v>92</v>
      </c>
      <c r="BG61" s="81" t="str">
        <f aca="false">IF(OR(BG$4="",MONTH(($G$2+33))&lt;&gt;MONTH($C$2)),"",IF(COUNTIFS(m_teacher,BG$4,m_date,($G$2+33),m_active,1,m_start,"&lt;"&amp;660,m_end,"&gt;"&amp;600)=0,"",IF(COUNTIFS(m_teacher,BG$4,m_date,($G$2+33),m_active,1,m_start,"&lt;"&amp;660,m_end,"&gt;"&amp;600)&gt;1,"충돌",HYPERLINK("#'관리자_MASTER'!D"&amp;_xlfn.MAXIFS(m_row,m_teacher,BG$4,m_date,($G$2+33),m_active,1,m_start,"&lt;"&amp;660,m_end,"&gt;"&amp;600),INDEX(m_label,_xlfn.MAXIFS(m_row,m_teacher,BG$4,m_date,($G$2+33),m_active,1,m_start,"&lt;"&amp;660,m_end,"&gt;"&amp;600))))))</f>
        <v/>
      </c>
      <c r="BH61" s="81" t="str">
        <f aca="false">IF(OR(BH$4="",MONTH(($G$2+33))&lt;&gt;MONTH($C$2)),"",IF(COUNTIFS(m_teacher,BH$4,m_date,($G$2+33),m_active,1,m_start,"&lt;"&amp;660,m_end,"&gt;"&amp;600)=0,"",IF(COUNTIFS(m_teacher,BH$4,m_date,($G$2+33),m_active,1,m_start,"&lt;"&amp;660,m_end,"&gt;"&amp;600)&gt;1,"충돌",HYPERLINK("#'관리자_MASTER'!D"&amp;_xlfn.MAXIFS(m_row,m_teacher,BH$4,m_date,($G$2+33),m_active,1,m_start,"&lt;"&amp;660,m_end,"&gt;"&amp;600),INDEX(m_label,_xlfn.MAXIFS(m_row,m_teacher,BH$4,m_date,($G$2+33),m_active,1,m_start,"&lt;"&amp;660,m_end,"&gt;"&amp;600))))))</f>
        <v/>
      </c>
      <c r="BI61" s="81" t="str">
        <f aca="false">IF(OR(BI$4="",MONTH(($G$2+33))&lt;&gt;MONTH($C$2)),"",IF(COUNTIFS(m_teacher,BI$4,m_date,($G$2+33),m_active,1,m_start,"&lt;"&amp;660,m_end,"&gt;"&amp;600)=0,"",IF(COUNTIFS(m_teacher,BI$4,m_date,($G$2+33),m_active,1,m_start,"&lt;"&amp;660,m_end,"&gt;"&amp;600)&gt;1,"충돌",HYPERLINK("#'관리자_MASTER'!D"&amp;_xlfn.MAXIFS(m_row,m_teacher,BI$4,m_date,($G$2+33),m_active,1,m_start,"&lt;"&amp;660,m_end,"&gt;"&amp;600),INDEX(m_label,_xlfn.MAXIFS(m_row,m_teacher,BI$4,m_date,($G$2+33),m_active,1,m_start,"&lt;"&amp;660,m_end,"&gt;"&amp;600))))))</f>
        <v/>
      </c>
      <c r="BJ61" s="81" t="str">
        <f aca="false">IF(OR(BJ$4="",MONTH(($G$2+33))&lt;&gt;MONTH($C$2)),"",IF(COUNTIFS(m_teacher,BJ$4,m_date,($G$2+33),m_active,1,m_start,"&lt;"&amp;660,m_end,"&gt;"&amp;600)=0,"",IF(COUNTIFS(m_teacher,BJ$4,m_date,($G$2+33),m_active,1,m_start,"&lt;"&amp;660,m_end,"&gt;"&amp;600)&gt;1,"충돌",HYPERLINK("#'관리자_MASTER'!D"&amp;_xlfn.MAXIFS(m_row,m_teacher,BJ$4,m_date,($G$2+33),m_active,1,m_start,"&lt;"&amp;660,m_end,"&gt;"&amp;600),INDEX(m_label,_xlfn.MAXIFS(m_row,m_teacher,BJ$4,m_date,($G$2+33),m_active,1,m_start,"&lt;"&amp;660,m_end,"&gt;"&amp;600))))))</f>
        <v/>
      </c>
      <c r="BK61" s="81" t="str">
        <f aca="false">IF(OR(BK$4="",MONTH(($G$2+33))&lt;&gt;MONTH($C$2)),"",IF(COUNTIFS(m_teacher,BK$4,m_date,($G$2+33),m_active,1,m_start,"&lt;"&amp;660,m_end,"&gt;"&amp;600)=0,"",IF(COUNTIFS(m_teacher,BK$4,m_date,($G$2+33),m_active,1,m_start,"&lt;"&amp;660,m_end,"&gt;"&amp;600)&gt;1,"충돌",HYPERLINK("#'관리자_MASTER'!D"&amp;_xlfn.MAXIFS(m_row,m_teacher,BK$4,m_date,($G$2+33),m_active,1,m_start,"&lt;"&amp;660,m_end,"&gt;"&amp;600),INDEX(m_label,_xlfn.MAXIFS(m_row,m_teacher,BK$4,m_date,($G$2+33),m_active,1,m_start,"&lt;"&amp;660,m_end,"&gt;"&amp;600))))))</f>
        <v/>
      </c>
      <c r="BL61" s="81" t="str">
        <f aca="false">IF(OR(BL$4="",MONTH(($G$2+33))&lt;&gt;MONTH($C$2)),"",IF(COUNTIFS(m_teacher,BL$4,m_date,($G$2+33),m_active,1,m_start,"&lt;"&amp;660,m_end,"&gt;"&amp;600)=0,"",IF(COUNTIFS(m_teacher,BL$4,m_date,($G$2+33),m_active,1,m_start,"&lt;"&amp;660,m_end,"&gt;"&amp;600)&gt;1,"충돌",HYPERLINK("#'관리자_MASTER'!D"&amp;_xlfn.MAXIFS(m_row,m_teacher,BL$4,m_date,($G$2+33),m_active,1,m_start,"&lt;"&amp;660,m_end,"&gt;"&amp;600),INDEX(m_label,_xlfn.MAXIFS(m_row,m_teacher,BL$4,m_date,($G$2+33),m_active,1,m_start,"&lt;"&amp;660,m_end,"&gt;"&amp;600))))))</f>
        <v/>
      </c>
      <c r="BM61" s="81" t="str">
        <f aca="false">IF(OR(BM$4="",MONTH(($G$2+33))&lt;&gt;MONTH($C$2)),"",IF(COUNTIFS(m_teacher,BM$4,m_date,($G$2+33),m_active,1,m_start,"&lt;"&amp;660,m_end,"&gt;"&amp;600)=0,"",IF(COUNTIFS(m_teacher,BM$4,m_date,($G$2+33),m_active,1,m_start,"&lt;"&amp;660,m_end,"&gt;"&amp;600)&gt;1,"충돌",HYPERLINK("#'관리자_MASTER'!D"&amp;_xlfn.MAXIFS(m_row,m_teacher,BM$4,m_date,($G$2+33),m_active,1,m_start,"&lt;"&amp;660,m_end,"&gt;"&amp;600),INDEX(m_label,_xlfn.MAXIFS(m_row,m_teacher,BM$4,m_date,($G$2+33),m_active,1,m_start,"&lt;"&amp;660,m_end,"&gt;"&amp;600))))))</f>
        <v/>
      </c>
      <c r="BN61" s="81" t="str">
        <f aca="false">IF(OR(BN$4="",MONTH(($G$2+33))&lt;&gt;MONTH($C$2)),"",IF(COUNTIFS(m_teacher,BN$4,m_date,($G$2+33),m_active,1,m_start,"&lt;"&amp;660,m_end,"&gt;"&amp;600)=0,"",IF(COUNTIFS(m_teacher,BN$4,m_date,($G$2+33),m_active,1,m_start,"&lt;"&amp;660,m_end,"&gt;"&amp;600)&gt;1,"충돌",HYPERLINK("#'관리자_MASTER'!D"&amp;_xlfn.MAXIFS(m_row,m_teacher,BN$4,m_date,($G$2+33),m_active,1,m_start,"&lt;"&amp;660,m_end,"&gt;"&amp;600),INDEX(m_label,_xlfn.MAXIFS(m_row,m_teacher,BN$4,m_date,($G$2+33),m_active,1,m_start,"&lt;"&amp;660,m_end,"&gt;"&amp;600))))))</f>
        <v/>
      </c>
      <c r="BO61" s="81" t="str">
        <f aca="false">IF(OR(BO$4="",MONTH(($G$2+33))&lt;&gt;MONTH($C$2)),"",IF(COUNTIFS(m_teacher,BO$4,m_date,($G$2+33),m_active,1,m_start,"&lt;"&amp;660,m_end,"&gt;"&amp;600)=0,"",IF(COUNTIFS(m_teacher,BO$4,m_date,($G$2+33),m_active,1,m_start,"&lt;"&amp;660,m_end,"&gt;"&amp;600)&gt;1,"충돌",HYPERLINK("#'관리자_MASTER'!D"&amp;_xlfn.MAXIFS(m_row,m_teacher,BO$4,m_date,($G$2+33),m_active,1,m_start,"&lt;"&amp;660,m_end,"&gt;"&amp;600),INDEX(m_label,_xlfn.MAXIFS(m_row,m_teacher,BO$4,m_date,($G$2+33),m_active,1,m_start,"&lt;"&amp;660,m_end,"&gt;"&amp;600))))))</f>
        <v/>
      </c>
      <c r="BP61" s="81" t="str">
        <f aca="false">IF(OR(BP$4="",MONTH(($G$2+33))&lt;&gt;MONTH($C$2)),"",IF(COUNTIFS(m_teacher,BP$4,m_date,($G$2+33),m_active,1,m_start,"&lt;"&amp;660,m_end,"&gt;"&amp;600)=0,"",IF(COUNTIFS(m_teacher,BP$4,m_date,($G$2+33),m_active,1,m_start,"&lt;"&amp;660,m_end,"&gt;"&amp;600)&gt;1,"충돌",HYPERLINK("#'관리자_MASTER'!D"&amp;_xlfn.MAXIFS(m_row,m_teacher,BP$4,m_date,($G$2+33),m_active,1,m_start,"&lt;"&amp;660,m_end,"&gt;"&amp;600),INDEX(m_label,_xlfn.MAXIFS(m_row,m_teacher,BP$4,m_date,($G$2+33),m_active,1,m_start,"&lt;"&amp;660,m_end,"&gt;"&amp;600))))))</f>
        <v/>
      </c>
      <c r="BQ61" s="81" t="str">
        <f aca="false">IF(OR(BQ$4="",MONTH(($G$2+33))&lt;&gt;MONTH($C$2)),"",IF(COUNTIFS(m_teacher,BQ$4,m_date,($G$2+33),m_active,1,m_start,"&lt;"&amp;660,m_end,"&gt;"&amp;600)=0,"",IF(COUNTIFS(m_teacher,BQ$4,m_date,($G$2+33),m_active,1,m_start,"&lt;"&amp;660,m_end,"&gt;"&amp;600)&gt;1,"충돌",HYPERLINK("#'관리자_MASTER'!D"&amp;_xlfn.MAXIFS(m_row,m_teacher,BQ$4,m_date,($G$2+33),m_active,1,m_start,"&lt;"&amp;660,m_end,"&gt;"&amp;600),INDEX(m_label,_xlfn.MAXIFS(m_row,m_teacher,BQ$4,m_date,($G$2+33),m_active,1,m_start,"&lt;"&amp;660,m_end,"&gt;"&amp;600))))))</f>
        <v/>
      </c>
      <c r="BR61" s="81" t="str">
        <f aca="false">IF(OR(BR$4="",MONTH(($G$2+33))&lt;&gt;MONTH($C$2)),"",IF(COUNTIFS(m_teacher,BR$4,m_date,($G$2+33),m_active,1,m_start,"&lt;"&amp;660,m_end,"&gt;"&amp;600)=0,"",IF(COUNTIFS(m_teacher,BR$4,m_date,($G$2+33),m_active,1,m_start,"&lt;"&amp;660,m_end,"&gt;"&amp;600)&gt;1,"충돌",HYPERLINK("#'관리자_MASTER'!D"&amp;_xlfn.MAXIFS(m_row,m_teacher,BR$4,m_date,($G$2+33),m_active,1,m_start,"&lt;"&amp;660,m_end,"&gt;"&amp;600),INDEX(m_label,_xlfn.MAXIFS(m_row,m_teacher,BR$4,m_date,($G$2+33),m_active,1,m_start,"&lt;"&amp;660,m_end,"&gt;"&amp;600))))))</f>
        <v/>
      </c>
    </row>
    <row r="62" customFormat="false" ht="19.5" hidden="false" customHeight="true" outlineLevel="0" collapsed="false">
      <c r="A62" s="90"/>
      <c r="B62" s="79" t="s">
        <v>93</v>
      </c>
      <c r="C62" s="88" t="str">
        <f aca="false">IF(OR(C$4="",MONTH(($G$2+5))&lt;&gt;MONTH($C$2)),"",IF(COUNTIFS(m_teacher,C$4,m_date,($G$2+5),m_active,1,m_start,"&lt;"&amp;720,m_end,"&gt;"&amp;660)=0,"",IF(COUNTIFS(m_teacher,C$4,m_date,($G$2+5),m_active,1,m_start,"&lt;"&amp;720,m_end,"&gt;"&amp;660)&gt;1,"충돌",HYPERLINK("#'관리자_MASTER'!D"&amp;_xlfn.MAXIFS(m_row,m_teacher,C$4,m_date,($G$2+5),m_active,1,m_start,"&lt;"&amp;720,m_end,"&gt;"&amp;660),INDEX(m_label,_xlfn.MAXIFS(m_row,m_teacher,C$4,m_date,($G$2+5),m_active,1,m_start,"&lt;"&amp;720,m_end,"&gt;"&amp;660))))))</f>
        <v/>
      </c>
      <c r="D62" s="88" t="str">
        <f aca="false">IF(OR(D$4="",MONTH(($G$2+5))&lt;&gt;MONTH($C$2)),"",IF(COUNTIFS(m_teacher,D$4,m_date,($G$2+5),m_active,1,m_start,"&lt;"&amp;720,m_end,"&gt;"&amp;660)=0,"",IF(COUNTIFS(m_teacher,D$4,m_date,($G$2+5),m_active,1,m_start,"&lt;"&amp;720,m_end,"&gt;"&amp;660)&gt;1,"충돌",HYPERLINK("#'관리자_MASTER'!D"&amp;_xlfn.MAXIFS(m_row,m_teacher,D$4,m_date,($G$2+5),m_active,1,m_start,"&lt;"&amp;720,m_end,"&gt;"&amp;660),INDEX(m_label,_xlfn.MAXIFS(m_row,m_teacher,D$4,m_date,($G$2+5),m_active,1,m_start,"&lt;"&amp;720,m_end,"&gt;"&amp;660))))))</f>
        <v/>
      </c>
      <c r="E62" s="88" t="str">
        <f aca="false">IF(OR(E$4="",MONTH(($G$2+5))&lt;&gt;MONTH($C$2)),"",IF(COUNTIFS(m_teacher,E$4,m_date,($G$2+5),m_active,1,m_start,"&lt;"&amp;720,m_end,"&gt;"&amp;660)=0,"",IF(COUNTIFS(m_teacher,E$4,m_date,($G$2+5),m_active,1,m_start,"&lt;"&amp;720,m_end,"&gt;"&amp;660)&gt;1,"충돌",HYPERLINK("#'관리자_MASTER'!D"&amp;_xlfn.MAXIFS(m_row,m_teacher,E$4,m_date,($G$2+5),m_active,1,m_start,"&lt;"&amp;720,m_end,"&gt;"&amp;660),INDEX(m_label,_xlfn.MAXIFS(m_row,m_teacher,E$4,m_date,($G$2+5),m_active,1,m_start,"&lt;"&amp;720,m_end,"&gt;"&amp;660))))))</f>
        <v/>
      </c>
      <c r="F62" s="88" t="str">
        <f aca="false">IF(OR(F$4="",MONTH(($G$2+5))&lt;&gt;MONTH($C$2)),"",IF(COUNTIFS(m_teacher,F$4,m_date,($G$2+5),m_active,1,m_start,"&lt;"&amp;720,m_end,"&gt;"&amp;660)=0,"",IF(COUNTIFS(m_teacher,F$4,m_date,($G$2+5),m_active,1,m_start,"&lt;"&amp;720,m_end,"&gt;"&amp;660)&gt;1,"충돌",HYPERLINK("#'관리자_MASTER'!D"&amp;_xlfn.MAXIFS(m_row,m_teacher,F$4,m_date,($G$2+5),m_active,1,m_start,"&lt;"&amp;720,m_end,"&gt;"&amp;660),INDEX(m_label,_xlfn.MAXIFS(m_row,m_teacher,F$4,m_date,($G$2+5),m_active,1,m_start,"&lt;"&amp;720,m_end,"&gt;"&amp;660))))))</f>
        <v/>
      </c>
      <c r="G62" s="88" t="str">
        <f aca="false">IF(OR(G$4="",MONTH(($G$2+5))&lt;&gt;MONTH($C$2)),"",IF(COUNTIFS(m_teacher,G$4,m_date,($G$2+5),m_active,1,m_start,"&lt;"&amp;720,m_end,"&gt;"&amp;660)=0,"",IF(COUNTIFS(m_teacher,G$4,m_date,($G$2+5),m_active,1,m_start,"&lt;"&amp;720,m_end,"&gt;"&amp;660)&gt;1,"충돌",HYPERLINK("#'관리자_MASTER'!D"&amp;_xlfn.MAXIFS(m_row,m_teacher,G$4,m_date,($G$2+5),m_active,1,m_start,"&lt;"&amp;720,m_end,"&gt;"&amp;660),INDEX(m_label,_xlfn.MAXIFS(m_row,m_teacher,G$4,m_date,($G$2+5),m_active,1,m_start,"&lt;"&amp;720,m_end,"&gt;"&amp;660))))))</f>
        <v/>
      </c>
      <c r="H62" s="88" t="str">
        <f aca="false">IF(OR(H$4="",MONTH(($G$2+5))&lt;&gt;MONTH($C$2)),"",IF(COUNTIFS(m_teacher,H$4,m_date,($G$2+5),m_active,1,m_start,"&lt;"&amp;720,m_end,"&gt;"&amp;660)=0,"",IF(COUNTIFS(m_teacher,H$4,m_date,($G$2+5),m_active,1,m_start,"&lt;"&amp;720,m_end,"&gt;"&amp;660)&gt;1,"충돌",HYPERLINK("#'관리자_MASTER'!D"&amp;_xlfn.MAXIFS(m_row,m_teacher,H$4,m_date,($G$2+5),m_active,1,m_start,"&lt;"&amp;720,m_end,"&gt;"&amp;660),INDEX(m_label,_xlfn.MAXIFS(m_row,m_teacher,H$4,m_date,($G$2+5),m_active,1,m_start,"&lt;"&amp;720,m_end,"&gt;"&amp;660))))))</f>
        <v/>
      </c>
      <c r="I62" s="88" t="str">
        <f aca="false">IF(OR(I$4="",MONTH(($G$2+5))&lt;&gt;MONTH($C$2)),"",IF(COUNTIFS(m_teacher,I$4,m_date,($G$2+5),m_active,1,m_start,"&lt;"&amp;720,m_end,"&gt;"&amp;660)=0,"",IF(COUNTIFS(m_teacher,I$4,m_date,($G$2+5),m_active,1,m_start,"&lt;"&amp;720,m_end,"&gt;"&amp;660)&gt;1,"충돌",HYPERLINK("#'관리자_MASTER'!D"&amp;_xlfn.MAXIFS(m_row,m_teacher,I$4,m_date,($G$2+5),m_active,1,m_start,"&lt;"&amp;720,m_end,"&gt;"&amp;660),INDEX(m_label,_xlfn.MAXIFS(m_row,m_teacher,I$4,m_date,($G$2+5),m_active,1,m_start,"&lt;"&amp;720,m_end,"&gt;"&amp;660))))))</f>
        <v/>
      </c>
      <c r="J62" s="88" t="str">
        <f aca="false">IF(OR(J$4="",MONTH(($G$2+5))&lt;&gt;MONTH($C$2)),"",IF(COUNTIFS(m_teacher,J$4,m_date,($G$2+5),m_active,1,m_start,"&lt;"&amp;720,m_end,"&gt;"&amp;660)=0,"",IF(COUNTIFS(m_teacher,J$4,m_date,($G$2+5),m_active,1,m_start,"&lt;"&amp;720,m_end,"&gt;"&amp;660)&gt;1,"충돌",HYPERLINK("#'관리자_MASTER'!D"&amp;_xlfn.MAXIFS(m_row,m_teacher,J$4,m_date,($G$2+5),m_active,1,m_start,"&lt;"&amp;720,m_end,"&gt;"&amp;660),INDEX(m_label,_xlfn.MAXIFS(m_row,m_teacher,J$4,m_date,($G$2+5),m_active,1,m_start,"&lt;"&amp;720,m_end,"&gt;"&amp;660))))))</f>
        <v/>
      </c>
      <c r="K62" s="88" t="str">
        <f aca="false">IF(OR(K$4="",MONTH(($G$2+5))&lt;&gt;MONTH($C$2)),"",IF(COUNTIFS(m_teacher,K$4,m_date,($G$2+5),m_active,1,m_start,"&lt;"&amp;720,m_end,"&gt;"&amp;660)=0,"",IF(COUNTIFS(m_teacher,K$4,m_date,($G$2+5),m_active,1,m_start,"&lt;"&amp;720,m_end,"&gt;"&amp;660)&gt;1,"충돌",HYPERLINK("#'관리자_MASTER'!D"&amp;_xlfn.MAXIFS(m_row,m_teacher,K$4,m_date,($G$2+5),m_active,1,m_start,"&lt;"&amp;720,m_end,"&gt;"&amp;660),INDEX(m_label,_xlfn.MAXIFS(m_row,m_teacher,K$4,m_date,($G$2+5),m_active,1,m_start,"&lt;"&amp;720,m_end,"&gt;"&amp;660))))))</f>
        <v/>
      </c>
      <c r="L62" s="88" t="str">
        <f aca="false">IF(OR(L$4="",MONTH(($G$2+5))&lt;&gt;MONTH($C$2)),"",IF(COUNTIFS(m_teacher,L$4,m_date,($G$2+5),m_active,1,m_start,"&lt;"&amp;720,m_end,"&gt;"&amp;660)=0,"",IF(COUNTIFS(m_teacher,L$4,m_date,($G$2+5),m_active,1,m_start,"&lt;"&amp;720,m_end,"&gt;"&amp;660)&gt;1,"충돌",HYPERLINK("#'관리자_MASTER'!D"&amp;_xlfn.MAXIFS(m_row,m_teacher,L$4,m_date,($G$2+5),m_active,1,m_start,"&lt;"&amp;720,m_end,"&gt;"&amp;660),INDEX(m_label,_xlfn.MAXIFS(m_row,m_teacher,L$4,m_date,($G$2+5),m_active,1,m_start,"&lt;"&amp;720,m_end,"&gt;"&amp;660))))))</f>
        <v/>
      </c>
      <c r="M62" s="88" t="str">
        <f aca="false">IF(OR(M$4="",MONTH(($G$2+5))&lt;&gt;MONTH($C$2)),"",IF(COUNTIFS(m_teacher,M$4,m_date,($G$2+5),m_active,1,m_start,"&lt;"&amp;720,m_end,"&gt;"&amp;660)=0,"",IF(COUNTIFS(m_teacher,M$4,m_date,($G$2+5),m_active,1,m_start,"&lt;"&amp;720,m_end,"&gt;"&amp;660)&gt;1,"충돌",HYPERLINK("#'관리자_MASTER'!D"&amp;_xlfn.MAXIFS(m_row,m_teacher,M$4,m_date,($G$2+5),m_active,1,m_start,"&lt;"&amp;720,m_end,"&gt;"&amp;660),INDEX(m_label,_xlfn.MAXIFS(m_row,m_teacher,M$4,m_date,($G$2+5),m_active,1,m_start,"&lt;"&amp;720,m_end,"&gt;"&amp;660))))))</f>
        <v/>
      </c>
      <c r="N62" s="88" t="str">
        <f aca="false">IF(OR(N$4="",MONTH(($G$2+5))&lt;&gt;MONTH($C$2)),"",IF(COUNTIFS(m_teacher,N$4,m_date,($G$2+5),m_active,1,m_start,"&lt;"&amp;720,m_end,"&gt;"&amp;660)=0,"",IF(COUNTIFS(m_teacher,N$4,m_date,($G$2+5),m_active,1,m_start,"&lt;"&amp;720,m_end,"&gt;"&amp;660)&gt;1,"충돌",HYPERLINK("#'관리자_MASTER'!D"&amp;_xlfn.MAXIFS(m_row,m_teacher,N$4,m_date,($G$2+5),m_active,1,m_start,"&lt;"&amp;720,m_end,"&gt;"&amp;660),INDEX(m_label,_xlfn.MAXIFS(m_row,m_teacher,N$4,m_date,($G$2+5),m_active,1,m_start,"&lt;"&amp;720,m_end,"&gt;"&amp;660))))))</f>
        <v/>
      </c>
      <c r="O62" s="90"/>
      <c r="P62" s="79" t="s">
        <v>93</v>
      </c>
      <c r="Q62" s="88" t="str">
        <f aca="false">IF(OR(Q$4="",MONTH(($G$2+12))&lt;&gt;MONTH($C$2)),"",IF(COUNTIFS(m_teacher,Q$4,m_date,($G$2+12),m_active,1,m_start,"&lt;"&amp;720,m_end,"&gt;"&amp;660)=0,"",IF(COUNTIFS(m_teacher,Q$4,m_date,($G$2+12),m_active,1,m_start,"&lt;"&amp;720,m_end,"&gt;"&amp;660)&gt;1,"충돌",HYPERLINK("#'관리자_MASTER'!D"&amp;_xlfn.MAXIFS(m_row,m_teacher,Q$4,m_date,($G$2+12),m_active,1,m_start,"&lt;"&amp;720,m_end,"&gt;"&amp;660),INDEX(m_label,_xlfn.MAXIFS(m_row,m_teacher,Q$4,m_date,($G$2+12),m_active,1,m_start,"&lt;"&amp;720,m_end,"&gt;"&amp;660))))))</f>
        <v/>
      </c>
      <c r="R62" s="88" t="str">
        <f aca="false">IF(OR(R$4="",MONTH(($G$2+12))&lt;&gt;MONTH($C$2)),"",IF(COUNTIFS(m_teacher,R$4,m_date,($G$2+12),m_active,1,m_start,"&lt;"&amp;720,m_end,"&gt;"&amp;660)=0,"",IF(COUNTIFS(m_teacher,R$4,m_date,($G$2+12),m_active,1,m_start,"&lt;"&amp;720,m_end,"&gt;"&amp;660)&gt;1,"충돌",HYPERLINK("#'관리자_MASTER'!D"&amp;_xlfn.MAXIFS(m_row,m_teacher,R$4,m_date,($G$2+12),m_active,1,m_start,"&lt;"&amp;720,m_end,"&gt;"&amp;660),INDEX(m_label,_xlfn.MAXIFS(m_row,m_teacher,R$4,m_date,($G$2+12),m_active,1,m_start,"&lt;"&amp;720,m_end,"&gt;"&amp;660))))))</f>
        <v/>
      </c>
      <c r="S62" s="88" t="str">
        <f aca="false">IF(OR(S$4="",MONTH(($G$2+12))&lt;&gt;MONTH($C$2)),"",IF(COUNTIFS(m_teacher,S$4,m_date,($G$2+12),m_active,1,m_start,"&lt;"&amp;720,m_end,"&gt;"&amp;660)=0,"",IF(COUNTIFS(m_teacher,S$4,m_date,($G$2+12),m_active,1,m_start,"&lt;"&amp;720,m_end,"&gt;"&amp;660)&gt;1,"충돌",HYPERLINK("#'관리자_MASTER'!D"&amp;_xlfn.MAXIFS(m_row,m_teacher,S$4,m_date,($G$2+12),m_active,1,m_start,"&lt;"&amp;720,m_end,"&gt;"&amp;660),INDEX(m_label,_xlfn.MAXIFS(m_row,m_teacher,S$4,m_date,($G$2+12),m_active,1,m_start,"&lt;"&amp;720,m_end,"&gt;"&amp;660))))))</f>
        <v/>
      </c>
      <c r="T62" s="88" t="str">
        <f aca="false">IF(OR(T$4="",MONTH(($G$2+12))&lt;&gt;MONTH($C$2)),"",IF(COUNTIFS(m_teacher,T$4,m_date,($G$2+12),m_active,1,m_start,"&lt;"&amp;720,m_end,"&gt;"&amp;660)=0,"",IF(COUNTIFS(m_teacher,T$4,m_date,($G$2+12),m_active,1,m_start,"&lt;"&amp;720,m_end,"&gt;"&amp;660)&gt;1,"충돌",HYPERLINK("#'관리자_MASTER'!D"&amp;_xlfn.MAXIFS(m_row,m_teacher,T$4,m_date,($G$2+12),m_active,1,m_start,"&lt;"&amp;720,m_end,"&gt;"&amp;660),INDEX(m_label,_xlfn.MAXIFS(m_row,m_teacher,T$4,m_date,($G$2+12),m_active,1,m_start,"&lt;"&amp;720,m_end,"&gt;"&amp;660))))))</f>
        <v/>
      </c>
      <c r="U62" s="88" t="str">
        <f aca="false">IF(OR(U$4="",MONTH(($G$2+12))&lt;&gt;MONTH($C$2)),"",IF(COUNTIFS(m_teacher,U$4,m_date,($G$2+12),m_active,1,m_start,"&lt;"&amp;720,m_end,"&gt;"&amp;660)=0,"",IF(COUNTIFS(m_teacher,U$4,m_date,($G$2+12),m_active,1,m_start,"&lt;"&amp;720,m_end,"&gt;"&amp;660)&gt;1,"충돌",HYPERLINK("#'관리자_MASTER'!D"&amp;_xlfn.MAXIFS(m_row,m_teacher,U$4,m_date,($G$2+12),m_active,1,m_start,"&lt;"&amp;720,m_end,"&gt;"&amp;660),INDEX(m_label,_xlfn.MAXIFS(m_row,m_teacher,U$4,m_date,($G$2+12),m_active,1,m_start,"&lt;"&amp;720,m_end,"&gt;"&amp;660))))))</f>
        <v/>
      </c>
      <c r="V62" s="88" t="str">
        <f aca="false">IF(OR(V$4="",MONTH(($G$2+12))&lt;&gt;MONTH($C$2)),"",IF(COUNTIFS(m_teacher,V$4,m_date,($G$2+12),m_active,1,m_start,"&lt;"&amp;720,m_end,"&gt;"&amp;660)=0,"",IF(COUNTIFS(m_teacher,V$4,m_date,($G$2+12),m_active,1,m_start,"&lt;"&amp;720,m_end,"&gt;"&amp;660)&gt;1,"충돌",HYPERLINK("#'관리자_MASTER'!D"&amp;_xlfn.MAXIFS(m_row,m_teacher,V$4,m_date,($G$2+12),m_active,1,m_start,"&lt;"&amp;720,m_end,"&gt;"&amp;660),INDEX(m_label,_xlfn.MAXIFS(m_row,m_teacher,V$4,m_date,($G$2+12),m_active,1,m_start,"&lt;"&amp;720,m_end,"&gt;"&amp;660))))))</f>
        <v/>
      </c>
      <c r="W62" s="88" t="str">
        <f aca="false">IF(OR(W$4="",MONTH(($G$2+12))&lt;&gt;MONTH($C$2)),"",IF(COUNTIFS(m_teacher,W$4,m_date,($G$2+12),m_active,1,m_start,"&lt;"&amp;720,m_end,"&gt;"&amp;660)=0,"",IF(COUNTIFS(m_teacher,W$4,m_date,($G$2+12),m_active,1,m_start,"&lt;"&amp;720,m_end,"&gt;"&amp;660)&gt;1,"충돌",HYPERLINK("#'관리자_MASTER'!D"&amp;_xlfn.MAXIFS(m_row,m_teacher,W$4,m_date,($G$2+12),m_active,1,m_start,"&lt;"&amp;720,m_end,"&gt;"&amp;660),INDEX(m_label,_xlfn.MAXIFS(m_row,m_teacher,W$4,m_date,($G$2+12),m_active,1,m_start,"&lt;"&amp;720,m_end,"&gt;"&amp;660))))))</f>
        <v/>
      </c>
      <c r="X62" s="88" t="str">
        <f aca="false">IF(OR(X$4="",MONTH(($G$2+12))&lt;&gt;MONTH($C$2)),"",IF(COUNTIFS(m_teacher,X$4,m_date,($G$2+12),m_active,1,m_start,"&lt;"&amp;720,m_end,"&gt;"&amp;660)=0,"",IF(COUNTIFS(m_teacher,X$4,m_date,($G$2+12),m_active,1,m_start,"&lt;"&amp;720,m_end,"&gt;"&amp;660)&gt;1,"충돌",HYPERLINK("#'관리자_MASTER'!D"&amp;_xlfn.MAXIFS(m_row,m_teacher,X$4,m_date,($G$2+12),m_active,1,m_start,"&lt;"&amp;720,m_end,"&gt;"&amp;660),INDEX(m_label,_xlfn.MAXIFS(m_row,m_teacher,X$4,m_date,($G$2+12),m_active,1,m_start,"&lt;"&amp;720,m_end,"&gt;"&amp;660))))))</f>
        <v/>
      </c>
      <c r="Y62" s="88" t="str">
        <f aca="false">IF(OR(Y$4="",MONTH(($G$2+12))&lt;&gt;MONTH($C$2)),"",IF(COUNTIFS(m_teacher,Y$4,m_date,($G$2+12),m_active,1,m_start,"&lt;"&amp;720,m_end,"&gt;"&amp;660)=0,"",IF(COUNTIFS(m_teacher,Y$4,m_date,($G$2+12),m_active,1,m_start,"&lt;"&amp;720,m_end,"&gt;"&amp;660)&gt;1,"충돌",HYPERLINK("#'관리자_MASTER'!D"&amp;_xlfn.MAXIFS(m_row,m_teacher,Y$4,m_date,($G$2+12),m_active,1,m_start,"&lt;"&amp;720,m_end,"&gt;"&amp;660),INDEX(m_label,_xlfn.MAXIFS(m_row,m_teacher,Y$4,m_date,($G$2+12),m_active,1,m_start,"&lt;"&amp;720,m_end,"&gt;"&amp;660))))))</f>
        <v/>
      </c>
      <c r="Z62" s="88" t="str">
        <f aca="false">IF(OR(Z$4="",MONTH(($G$2+12))&lt;&gt;MONTH($C$2)),"",IF(COUNTIFS(m_teacher,Z$4,m_date,($G$2+12),m_active,1,m_start,"&lt;"&amp;720,m_end,"&gt;"&amp;660)=0,"",IF(COUNTIFS(m_teacher,Z$4,m_date,($G$2+12),m_active,1,m_start,"&lt;"&amp;720,m_end,"&gt;"&amp;660)&gt;1,"충돌",HYPERLINK("#'관리자_MASTER'!D"&amp;_xlfn.MAXIFS(m_row,m_teacher,Z$4,m_date,($G$2+12),m_active,1,m_start,"&lt;"&amp;720,m_end,"&gt;"&amp;660),INDEX(m_label,_xlfn.MAXIFS(m_row,m_teacher,Z$4,m_date,($G$2+12),m_active,1,m_start,"&lt;"&amp;720,m_end,"&gt;"&amp;660))))))</f>
        <v/>
      </c>
      <c r="AA62" s="88" t="str">
        <f aca="false">IF(OR(AA$4="",MONTH(($G$2+12))&lt;&gt;MONTH($C$2)),"",IF(COUNTIFS(m_teacher,AA$4,m_date,($G$2+12),m_active,1,m_start,"&lt;"&amp;720,m_end,"&gt;"&amp;660)=0,"",IF(COUNTIFS(m_teacher,AA$4,m_date,($G$2+12),m_active,1,m_start,"&lt;"&amp;720,m_end,"&gt;"&amp;660)&gt;1,"충돌",HYPERLINK("#'관리자_MASTER'!D"&amp;_xlfn.MAXIFS(m_row,m_teacher,AA$4,m_date,($G$2+12),m_active,1,m_start,"&lt;"&amp;720,m_end,"&gt;"&amp;660),INDEX(m_label,_xlfn.MAXIFS(m_row,m_teacher,AA$4,m_date,($G$2+12),m_active,1,m_start,"&lt;"&amp;720,m_end,"&gt;"&amp;660))))))</f>
        <v/>
      </c>
      <c r="AB62" s="88" t="str">
        <f aca="false">IF(OR(AB$4="",MONTH(($G$2+12))&lt;&gt;MONTH($C$2)),"",IF(COUNTIFS(m_teacher,AB$4,m_date,($G$2+12),m_active,1,m_start,"&lt;"&amp;720,m_end,"&gt;"&amp;660)=0,"",IF(COUNTIFS(m_teacher,AB$4,m_date,($G$2+12),m_active,1,m_start,"&lt;"&amp;720,m_end,"&gt;"&amp;660)&gt;1,"충돌",HYPERLINK("#'관리자_MASTER'!D"&amp;_xlfn.MAXIFS(m_row,m_teacher,AB$4,m_date,($G$2+12),m_active,1,m_start,"&lt;"&amp;720,m_end,"&gt;"&amp;660),INDEX(m_label,_xlfn.MAXIFS(m_row,m_teacher,AB$4,m_date,($G$2+12),m_active,1,m_start,"&lt;"&amp;720,m_end,"&gt;"&amp;660))))))</f>
        <v/>
      </c>
      <c r="AC62" s="90"/>
      <c r="AD62" s="79" t="s">
        <v>93</v>
      </c>
      <c r="AE62" s="88" t="str">
        <f aca="false">IF(OR(AE$4="",MONTH(($G$2+19))&lt;&gt;MONTH($C$2)),"",IF(COUNTIFS(m_teacher,AE$4,m_date,($G$2+19),m_active,1,m_start,"&lt;"&amp;720,m_end,"&gt;"&amp;660)=0,"",IF(COUNTIFS(m_teacher,AE$4,m_date,($G$2+19),m_active,1,m_start,"&lt;"&amp;720,m_end,"&gt;"&amp;660)&gt;1,"충돌",HYPERLINK("#'관리자_MASTER'!D"&amp;_xlfn.MAXIFS(m_row,m_teacher,AE$4,m_date,($G$2+19),m_active,1,m_start,"&lt;"&amp;720,m_end,"&gt;"&amp;660),INDEX(m_label,_xlfn.MAXIFS(m_row,m_teacher,AE$4,m_date,($G$2+19),m_active,1,m_start,"&lt;"&amp;720,m_end,"&gt;"&amp;660))))))</f>
        <v/>
      </c>
      <c r="AF62" s="88" t="str">
        <f aca="false">IF(OR(AF$4="",MONTH(($G$2+19))&lt;&gt;MONTH($C$2)),"",IF(COUNTIFS(m_teacher,AF$4,m_date,($G$2+19),m_active,1,m_start,"&lt;"&amp;720,m_end,"&gt;"&amp;660)=0,"",IF(COUNTIFS(m_teacher,AF$4,m_date,($G$2+19),m_active,1,m_start,"&lt;"&amp;720,m_end,"&gt;"&amp;660)&gt;1,"충돌",HYPERLINK("#'관리자_MASTER'!D"&amp;_xlfn.MAXIFS(m_row,m_teacher,AF$4,m_date,($G$2+19),m_active,1,m_start,"&lt;"&amp;720,m_end,"&gt;"&amp;660),INDEX(m_label,_xlfn.MAXIFS(m_row,m_teacher,AF$4,m_date,($G$2+19),m_active,1,m_start,"&lt;"&amp;720,m_end,"&gt;"&amp;660))))))</f>
        <v/>
      </c>
      <c r="AG62" s="88" t="str">
        <f aca="false">IF(OR(AG$4="",MONTH(($G$2+19))&lt;&gt;MONTH($C$2)),"",IF(COUNTIFS(m_teacher,AG$4,m_date,($G$2+19),m_active,1,m_start,"&lt;"&amp;720,m_end,"&gt;"&amp;660)=0,"",IF(COUNTIFS(m_teacher,AG$4,m_date,($G$2+19),m_active,1,m_start,"&lt;"&amp;720,m_end,"&gt;"&amp;660)&gt;1,"충돌",HYPERLINK("#'관리자_MASTER'!D"&amp;_xlfn.MAXIFS(m_row,m_teacher,AG$4,m_date,($G$2+19),m_active,1,m_start,"&lt;"&amp;720,m_end,"&gt;"&amp;660),INDEX(m_label,_xlfn.MAXIFS(m_row,m_teacher,AG$4,m_date,($G$2+19),m_active,1,m_start,"&lt;"&amp;720,m_end,"&gt;"&amp;660))))))</f>
        <v/>
      </c>
      <c r="AH62" s="88" t="str">
        <f aca="false">IF(OR(AH$4="",MONTH(($G$2+19))&lt;&gt;MONTH($C$2)),"",IF(COUNTIFS(m_teacher,AH$4,m_date,($G$2+19),m_active,1,m_start,"&lt;"&amp;720,m_end,"&gt;"&amp;660)=0,"",IF(COUNTIFS(m_teacher,AH$4,m_date,($G$2+19),m_active,1,m_start,"&lt;"&amp;720,m_end,"&gt;"&amp;660)&gt;1,"충돌",HYPERLINK("#'관리자_MASTER'!D"&amp;_xlfn.MAXIFS(m_row,m_teacher,AH$4,m_date,($G$2+19),m_active,1,m_start,"&lt;"&amp;720,m_end,"&gt;"&amp;660),INDEX(m_label,_xlfn.MAXIFS(m_row,m_teacher,AH$4,m_date,($G$2+19),m_active,1,m_start,"&lt;"&amp;720,m_end,"&gt;"&amp;660))))))</f>
        <v/>
      </c>
      <c r="AI62" s="88" t="str">
        <f aca="false">IF(OR(AI$4="",MONTH(($G$2+19))&lt;&gt;MONTH($C$2)),"",IF(COUNTIFS(m_teacher,AI$4,m_date,($G$2+19),m_active,1,m_start,"&lt;"&amp;720,m_end,"&gt;"&amp;660)=0,"",IF(COUNTIFS(m_teacher,AI$4,m_date,($G$2+19),m_active,1,m_start,"&lt;"&amp;720,m_end,"&gt;"&amp;660)&gt;1,"충돌",HYPERLINK("#'관리자_MASTER'!D"&amp;_xlfn.MAXIFS(m_row,m_teacher,AI$4,m_date,($G$2+19),m_active,1,m_start,"&lt;"&amp;720,m_end,"&gt;"&amp;660),INDEX(m_label,_xlfn.MAXIFS(m_row,m_teacher,AI$4,m_date,($G$2+19),m_active,1,m_start,"&lt;"&amp;720,m_end,"&gt;"&amp;660))))))</f>
        <v/>
      </c>
      <c r="AJ62" s="88" t="str">
        <f aca="false">IF(OR(AJ$4="",MONTH(($G$2+19))&lt;&gt;MONTH($C$2)),"",IF(COUNTIFS(m_teacher,AJ$4,m_date,($G$2+19),m_active,1,m_start,"&lt;"&amp;720,m_end,"&gt;"&amp;660)=0,"",IF(COUNTIFS(m_teacher,AJ$4,m_date,($G$2+19),m_active,1,m_start,"&lt;"&amp;720,m_end,"&gt;"&amp;660)&gt;1,"충돌",HYPERLINK("#'관리자_MASTER'!D"&amp;_xlfn.MAXIFS(m_row,m_teacher,AJ$4,m_date,($G$2+19),m_active,1,m_start,"&lt;"&amp;720,m_end,"&gt;"&amp;660),INDEX(m_label,_xlfn.MAXIFS(m_row,m_teacher,AJ$4,m_date,($G$2+19),m_active,1,m_start,"&lt;"&amp;720,m_end,"&gt;"&amp;660))))))</f>
        <v/>
      </c>
      <c r="AK62" s="88" t="str">
        <f aca="false">IF(OR(AK$4="",MONTH(($G$2+19))&lt;&gt;MONTH($C$2)),"",IF(COUNTIFS(m_teacher,AK$4,m_date,($G$2+19),m_active,1,m_start,"&lt;"&amp;720,m_end,"&gt;"&amp;660)=0,"",IF(COUNTIFS(m_teacher,AK$4,m_date,($G$2+19),m_active,1,m_start,"&lt;"&amp;720,m_end,"&gt;"&amp;660)&gt;1,"충돌",HYPERLINK("#'관리자_MASTER'!D"&amp;_xlfn.MAXIFS(m_row,m_teacher,AK$4,m_date,($G$2+19),m_active,1,m_start,"&lt;"&amp;720,m_end,"&gt;"&amp;660),INDEX(m_label,_xlfn.MAXIFS(m_row,m_teacher,AK$4,m_date,($G$2+19),m_active,1,m_start,"&lt;"&amp;720,m_end,"&gt;"&amp;660))))))</f>
        <v/>
      </c>
      <c r="AL62" s="88" t="str">
        <f aca="false">IF(OR(AL$4="",MONTH(($G$2+19))&lt;&gt;MONTH($C$2)),"",IF(COUNTIFS(m_teacher,AL$4,m_date,($G$2+19),m_active,1,m_start,"&lt;"&amp;720,m_end,"&gt;"&amp;660)=0,"",IF(COUNTIFS(m_teacher,AL$4,m_date,($G$2+19),m_active,1,m_start,"&lt;"&amp;720,m_end,"&gt;"&amp;660)&gt;1,"충돌",HYPERLINK("#'관리자_MASTER'!D"&amp;_xlfn.MAXIFS(m_row,m_teacher,AL$4,m_date,($G$2+19),m_active,1,m_start,"&lt;"&amp;720,m_end,"&gt;"&amp;660),INDEX(m_label,_xlfn.MAXIFS(m_row,m_teacher,AL$4,m_date,($G$2+19),m_active,1,m_start,"&lt;"&amp;720,m_end,"&gt;"&amp;660))))))</f>
        <v/>
      </c>
      <c r="AM62" s="88" t="str">
        <f aca="false">IF(OR(AM$4="",MONTH(($G$2+19))&lt;&gt;MONTH($C$2)),"",IF(COUNTIFS(m_teacher,AM$4,m_date,($G$2+19),m_active,1,m_start,"&lt;"&amp;720,m_end,"&gt;"&amp;660)=0,"",IF(COUNTIFS(m_teacher,AM$4,m_date,($G$2+19),m_active,1,m_start,"&lt;"&amp;720,m_end,"&gt;"&amp;660)&gt;1,"충돌",HYPERLINK("#'관리자_MASTER'!D"&amp;_xlfn.MAXIFS(m_row,m_teacher,AM$4,m_date,($G$2+19),m_active,1,m_start,"&lt;"&amp;720,m_end,"&gt;"&amp;660),INDEX(m_label,_xlfn.MAXIFS(m_row,m_teacher,AM$4,m_date,($G$2+19),m_active,1,m_start,"&lt;"&amp;720,m_end,"&gt;"&amp;660))))))</f>
        <v/>
      </c>
      <c r="AN62" s="88" t="str">
        <f aca="false">IF(OR(AN$4="",MONTH(($G$2+19))&lt;&gt;MONTH($C$2)),"",IF(COUNTIFS(m_teacher,AN$4,m_date,($G$2+19),m_active,1,m_start,"&lt;"&amp;720,m_end,"&gt;"&amp;660)=0,"",IF(COUNTIFS(m_teacher,AN$4,m_date,($G$2+19),m_active,1,m_start,"&lt;"&amp;720,m_end,"&gt;"&amp;660)&gt;1,"충돌",HYPERLINK("#'관리자_MASTER'!D"&amp;_xlfn.MAXIFS(m_row,m_teacher,AN$4,m_date,($G$2+19),m_active,1,m_start,"&lt;"&amp;720,m_end,"&gt;"&amp;660),INDEX(m_label,_xlfn.MAXIFS(m_row,m_teacher,AN$4,m_date,($G$2+19),m_active,1,m_start,"&lt;"&amp;720,m_end,"&gt;"&amp;660))))))</f>
        <v/>
      </c>
      <c r="AO62" s="88" t="str">
        <f aca="false">IF(OR(AO$4="",MONTH(($G$2+19))&lt;&gt;MONTH($C$2)),"",IF(COUNTIFS(m_teacher,AO$4,m_date,($G$2+19),m_active,1,m_start,"&lt;"&amp;720,m_end,"&gt;"&amp;660)=0,"",IF(COUNTIFS(m_teacher,AO$4,m_date,($G$2+19),m_active,1,m_start,"&lt;"&amp;720,m_end,"&gt;"&amp;660)&gt;1,"충돌",HYPERLINK("#'관리자_MASTER'!D"&amp;_xlfn.MAXIFS(m_row,m_teacher,AO$4,m_date,($G$2+19),m_active,1,m_start,"&lt;"&amp;720,m_end,"&gt;"&amp;660),INDEX(m_label,_xlfn.MAXIFS(m_row,m_teacher,AO$4,m_date,($G$2+19),m_active,1,m_start,"&lt;"&amp;720,m_end,"&gt;"&amp;660))))))</f>
        <v/>
      </c>
      <c r="AP62" s="88" t="str">
        <f aca="false">IF(OR(AP$4="",MONTH(($G$2+19))&lt;&gt;MONTH($C$2)),"",IF(COUNTIFS(m_teacher,AP$4,m_date,($G$2+19),m_active,1,m_start,"&lt;"&amp;720,m_end,"&gt;"&amp;660)=0,"",IF(COUNTIFS(m_teacher,AP$4,m_date,($G$2+19),m_active,1,m_start,"&lt;"&amp;720,m_end,"&gt;"&amp;660)&gt;1,"충돌",HYPERLINK("#'관리자_MASTER'!D"&amp;_xlfn.MAXIFS(m_row,m_teacher,AP$4,m_date,($G$2+19),m_active,1,m_start,"&lt;"&amp;720,m_end,"&gt;"&amp;660),INDEX(m_label,_xlfn.MAXIFS(m_row,m_teacher,AP$4,m_date,($G$2+19),m_active,1,m_start,"&lt;"&amp;720,m_end,"&gt;"&amp;660))))))</f>
        <v/>
      </c>
      <c r="AQ62" s="90"/>
      <c r="AR62" s="79" t="s">
        <v>93</v>
      </c>
      <c r="AS62" s="88" t="str">
        <f aca="false">IF(OR(AS$4="",MONTH(($G$2+26))&lt;&gt;MONTH($C$2)),"",IF(COUNTIFS(m_teacher,AS$4,m_date,($G$2+26),m_active,1,m_start,"&lt;"&amp;720,m_end,"&gt;"&amp;660)=0,"",IF(COUNTIFS(m_teacher,AS$4,m_date,($G$2+26),m_active,1,m_start,"&lt;"&amp;720,m_end,"&gt;"&amp;660)&gt;1,"충돌",HYPERLINK("#'관리자_MASTER'!D"&amp;_xlfn.MAXIFS(m_row,m_teacher,AS$4,m_date,($G$2+26),m_active,1,m_start,"&lt;"&amp;720,m_end,"&gt;"&amp;660),INDEX(m_label,_xlfn.MAXIFS(m_row,m_teacher,AS$4,m_date,($G$2+26),m_active,1,m_start,"&lt;"&amp;720,m_end,"&gt;"&amp;660))))))</f>
        <v/>
      </c>
      <c r="AT62" s="88" t="str">
        <f aca="false">IF(OR(AT$4="",MONTH(($G$2+26))&lt;&gt;MONTH($C$2)),"",IF(COUNTIFS(m_teacher,AT$4,m_date,($G$2+26),m_active,1,m_start,"&lt;"&amp;720,m_end,"&gt;"&amp;660)=0,"",IF(COUNTIFS(m_teacher,AT$4,m_date,($G$2+26),m_active,1,m_start,"&lt;"&amp;720,m_end,"&gt;"&amp;660)&gt;1,"충돌",HYPERLINK("#'관리자_MASTER'!D"&amp;_xlfn.MAXIFS(m_row,m_teacher,AT$4,m_date,($G$2+26),m_active,1,m_start,"&lt;"&amp;720,m_end,"&gt;"&amp;660),INDEX(m_label,_xlfn.MAXIFS(m_row,m_teacher,AT$4,m_date,($G$2+26),m_active,1,m_start,"&lt;"&amp;720,m_end,"&gt;"&amp;660))))))</f>
        <v/>
      </c>
      <c r="AU62" s="88" t="str">
        <f aca="false">IF(OR(AU$4="",MONTH(($G$2+26))&lt;&gt;MONTH($C$2)),"",IF(COUNTIFS(m_teacher,AU$4,m_date,($G$2+26),m_active,1,m_start,"&lt;"&amp;720,m_end,"&gt;"&amp;660)=0,"",IF(COUNTIFS(m_teacher,AU$4,m_date,($G$2+26),m_active,1,m_start,"&lt;"&amp;720,m_end,"&gt;"&amp;660)&gt;1,"충돌",HYPERLINK("#'관리자_MASTER'!D"&amp;_xlfn.MAXIFS(m_row,m_teacher,AU$4,m_date,($G$2+26),m_active,1,m_start,"&lt;"&amp;720,m_end,"&gt;"&amp;660),INDEX(m_label,_xlfn.MAXIFS(m_row,m_teacher,AU$4,m_date,($G$2+26),m_active,1,m_start,"&lt;"&amp;720,m_end,"&gt;"&amp;660))))))</f>
        <v/>
      </c>
      <c r="AV62" s="88" t="str">
        <f aca="false">IF(OR(AV$4="",MONTH(($G$2+26))&lt;&gt;MONTH($C$2)),"",IF(COUNTIFS(m_teacher,AV$4,m_date,($G$2+26),m_active,1,m_start,"&lt;"&amp;720,m_end,"&gt;"&amp;660)=0,"",IF(COUNTIFS(m_teacher,AV$4,m_date,($G$2+26),m_active,1,m_start,"&lt;"&amp;720,m_end,"&gt;"&amp;660)&gt;1,"충돌",HYPERLINK("#'관리자_MASTER'!D"&amp;_xlfn.MAXIFS(m_row,m_teacher,AV$4,m_date,($G$2+26),m_active,1,m_start,"&lt;"&amp;720,m_end,"&gt;"&amp;660),INDEX(m_label,_xlfn.MAXIFS(m_row,m_teacher,AV$4,m_date,($G$2+26),m_active,1,m_start,"&lt;"&amp;720,m_end,"&gt;"&amp;660))))))</f>
        <v/>
      </c>
      <c r="AW62" s="88" t="str">
        <f aca="false">IF(OR(AW$4="",MONTH(($G$2+26))&lt;&gt;MONTH($C$2)),"",IF(COUNTIFS(m_teacher,AW$4,m_date,($G$2+26),m_active,1,m_start,"&lt;"&amp;720,m_end,"&gt;"&amp;660)=0,"",IF(COUNTIFS(m_teacher,AW$4,m_date,($G$2+26),m_active,1,m_start,"&lt;"&amp;720,m_end,"&gt;"&amp;660)&gt;1,"충돌",HYPERLINK("#'관리자_MASTER'!D"&amp;_xlfn.MAXIFS(m_row,m_teacher,AW$4,m_date,($G$2+26),m_active,1,m_start,"&lt;"&amp;720,m_end,"&gt;"&amp;660),INDEX(m_label,_xlfn.MAXIFS(m_row,m_teacher,AW$4,m_date,($G$2+26),m_active,1,m_start,"&lt;"&amp;720,m_end,"&gt;"&amp;660))))))</f>
        <v/>
      </c>
      <c r="AX62" s="88" t="str">
        <f aca="false">IF(OR(AX$4="",MONTH(($G$2+26))&lt;&gt;MONTH($C$2)),"",IF(COUNTIFS(m_teacher,AX$4,m_date,($G$2+26),m_active,1,m_start,"&lt;"&amp;720,m_end,"&gt;"&amp;660)=0,"",IF(COUNTIFS(m_teacher,AX$4,m_date,($G$2+26),m_active,1,m_start,"&lt;"&amp;720,m_end,"&gt;"&amp;660)&gt;1,"충돌",HYPERLINK("#'관리자_MASTER'!D"&amp;_xlfn.MAXIFS(m_row,m_teacher,AX$4,m_date,($G$2+26),m_active,1,m_start,"&lt;"&amp;720,m_end,"&gt;"&amp;660),INDEX(m_label,_xlfn.MAXIFS(m_row,m_teacher,AX$4,m_date,($G$2+26),m_active,1,m_start,"&lt;"&amp;720,m_end,"&gt;"&amp;660))))))</f>
        <v/>
      </c>
      <c r="AY62" s="88" t="str">
        <f aca="false">IF(OR(AY$4="",MONTH(($G$2+26))&lt;&gt;MONTH($C$2)),"",IF(COUNTIFS(m_teacher,AY$4,m_date,($G$2+26),m_active,1,m_start,"&lt;"&amp;720,m_end,"&gt;"&amp;660)=0,"",IF(COUNTIFS(m_teacher,AY$4,m_date,($G$2+26),m_active,1,m_start,"&lt;"&amp;720,m_end,"&gt;"&amp;660)&gt;1,"충돌",HYPERLINK("#'관리자_MASTER'!D"&amp;_xlfn.MAXIFS(m_row,m_teacher,AY$4,m_date,($G$2+26),m_active,1,m_start,"&lt;"&amp;720,m_end,"&gt;"&amp;660),INDEX(m_label,_xlfn.MAXIFS(m_row,m_teacher,AY$4,m_date,($G$2+26),m_active,1,m_start,"&lt;"&amp;720,m_end,"&gt;"&amp;660))))))</f>
        <v/>
      </c>
      <c r="AZ62" s="88" t="str">
        <f aca="false">IF(OR(AZ$4="",MONTH(($G$2+26))&lt;&gt;MONTH($C$2)),"",IF(COUNTIFS(m_teacher,AZ$4,m_date,($G$2+26),m_active,1,m_start,"&lt;"&amp;720,m_end,"&gt;"&amp;660)=0,"",IF(COUNTIFS(m_teacher,AZ$4,m_date,($G$2+26),m_active,1,m_start,"&lt;"&amp;720,m_end,"&gt;"&amp;660)&gt;1,"충돌",HYPERLINK("#'관리자_MASTER'!D"&amp;_xlfn.MAXIFS(m_row,m_teacher,AZ$4,m_date,($G$2+26),m_active,1,m_start,"&lt;"&amp;720,m_end,"&gt;"&amp;660),INDEX(m_label,_xlfn.MAXIFS(m_row,m_teacher,AZ$4,m_date,($G$2+26),m_active,1,m_start,"&lt;"&amp;720,m_end,"&gt;"&amp;660))))))</f>
        <v/>
      </c>
      <c r="BA62" s="88" t="str">
        <f aca="false">IF(OR(BA$4="",MONTH(($G$2+26))&lt;&gt;MONTH($C$2)),"",IF(COUNTIFS(m_teacher,BA$4,m_date,($G$2+26),m_active,1,m_start,"&lt;"&amp;720,m_end,"&gt;"&amp;660)=0,"",IF(COUNTIFS(m_teacher,BA$4,m_date,($G$2+26),m_active,1,m_start,"&lt;"&amp;720,m_end,"&gt;"&amp;660)&gt;1,"충돌",HYPERLINK("#'관리자_MASTER'!D"&amp;_xlfn.MAXIFS(m_row,m_teacher,BA$4,m_date,($G$2+26),m_active,1,m_start,"&lt;"&amp;720,m_end,"&gt;"&amp;660),INDEX(m_label,_xlfn.MAXIFS(m_row,m_teacher,BA$4,m_date,($G$2+26),m_active,1,m_start,"&lt;"&amp;720,m_end,"&gt;"&amp;660))))))</f>
        <v/>
      </c>
      <c r="BB62" s="88" t="str">
        <f aca="false">IF(OR(BB$4="",MONTH(($G$2+26))&lt;&gt;MONTH($C$2)),"",IF(COUNTIFS(m_teacher,BB$4,m_date,($G$2+26),m_active,1,m_start,"&lt;"&amp;720,m_end,"&gt;"&amp;660)=0,"",IF(COUNTIFS(m_teacher,BB$4,m_date,($G$2+26),m_active,1,m_start,"&lt;"&amp;720,m_end,"&gt;"&amp;660)&gt;1,"충돌",HYPERLINK("#'관리자_MASTER'!D"&amp;_xlfn.MAXIFS(m_row,m_teacher,BB$4,m_date,($G$2+26),m_active,1,m_start,"&lt;"&amp;720,m_end,"&gt;"&amp;660),INDEX(m_label,_xlfn.MAXIFS(m_row,m_teacher,BB$4,m_date,($G$2+26),m_active,1,m_start,"&lt;"&amp;720,m_end,"&gt;"&amp;660))))))</f>
        <v/>
      </c>
      <c r="BC62" s="88" t="str">
        <f aca="false">IF(OR(BC$4="",MONTH(($G$2+26))&lt;&gt;MONTH($C$2)),"",IF(COUNTIFS(m_teacher,BC$4,m_date,($G$2+26),m_active,1,m_start,"&lt;"&amp;720,m_end,"&gt;"&amp;660)=0,"",IF(COUNTIFS(m_teacher,BC$4,m_date,($G$2+26),m_active,1,m_start,"&lt;"&amp;720,m_end,"&gt;"&amp;660)&gt;1,"충돌",HYPERLINK("#'관리자_MASTER'!D"&amp;_xlfn.MAXIFS(m_row,m_teacher,BC$4,m_date,($G$2+26),m_active,1,m_start,"&lt;"&amp;720,m_end,"&gt;"&amp;660),INDEX(m_label,_xlfn.MAXIFS(m_row,m_teacher,BC$4,m_date,($G$2+26),m_active,1,m_start,"&lt;"&amp;720,m_end,"&gt;"&amp;660))))))</f>
        <v/>
      </c>
      <c r="BD62" s="88" t="str">
        <f aca="false">IF(OR(BD$4="",MONTH(($G$2+26))&lt;&gt;MONTH($C$2)),"",IF(COUNTIFS(m_teacher,BD$4,m_date,($G$2+26),m_active,1,m_start,"&lt;"&amp;720,m_end,"&gt;"&amp;660)=0,"",IF(COUNTIFS(m_teacher,BD$4,m_date,($G$2+26),m_active,1,m_start,"&lt;"&amp;720,m_end,"&gt;"&amp;660)&gt;1,"충돌",HYPERLINK("#'관리자_MASTER'!D"&amp;_xlfn.MAXIFS(m_row,m_teacher,BD$4,m_date,($G$2+26),m_active,1,m_start,"&lt;"&amp;720,m_end,"&gt;"&amp;660),INDEX(m_label,_xlfn.MAXIFS(m_row,m_teacher,BD$4,m_date,($G$2+26),m_active,1,m_start,"&lt;"&amp;720,m_end,"&gt;"&amp;660))))))</f>
        <v/>
      </c>
      <c r="BE62" s="91"/>
      <c r="BF62" s="76" t="s">
        <v>93</v>
      </c>
      <c r="BG62" s="81" t="str">
        <f aca="false">IF(OR(BG$4="",MONTH(($G$2+33))&lt;&gt;MONTH($C$2)),"",IF(COUNTIFS(m_teacher,BG$4,m_date,($G$2+33),m_active,1,m_start,"&lt;"&amp;720,m_end,"&gt;"&amp;660)=0,"",IF(COUNTIFS(m_teacher,BG$4,m_date,($G$2+33),m_active,1,m_start,"&lt;"&amp;720,m_end,"&gt;"&amp;660)&gt;1,"충돌",HYPERLINK("#'관리자_MASTER'!D"&amp;_xlfn.MAXIFS(m_row,m_teacher,BG$4,m_date,($G$2+33),m_active,1,m_start,"&lt;"&amp;720,m_end,"&gt;"&amp;660),INDEX(m_label,_xlfn.MAXIFS(m_row,m_teacher,BG$4,m_date,($G$2+33),m_active,1,m_start,"&lt;"&amp;720,m_end,"&gt;"&amp;660))))))</f>
        <v/>
      </c>
      <c r="BH62" s="81" t="str">
        <f aca="false">IF(OR(BH$4="",MONTH(($G$2+33))&lt;&gt;MONTH($C$2)),"",IF(COUNTIFS(m_teacher,BH$4,m_date,($G$2+33),m_active,1,m_start,"&lt;"&amp;720,m_end,"&gt;"&amp;660)=0,"",IF(COUNTIFS(m_teacher,BH$4,m_date,($G$2+33),m_active,1,m_start,"&lt;"&amp;720,m_end,"&gt;"&amp;660)&gt;1,"충돌",HYPERLINK("#'관리자_MASTER'!D"&amp;_xlfn.MAXIFS(m_row,m_teacher,BH$4,m_date,($G$2+33),m_active,1,m_start,"&lt;"&amp;720,m_end,"&gt;"&amp;660),INDEX(m_label,_xlfn.MAXIFS(m_row,m_teacher,BH$4,m_date,($G$2+33),m_active,1,m_start,"&lt;"&amp;720,m_end,"&gt;"&amp;660))))))</f>
        <v/>
      </c>
      <c r="BI62" s="81" t="str">
        <f aca="false">IF(OR(BI$4="",MONTH(($G$2+33))&lt;&gt;MONTH($C$2)),"",IF(COUNTIFS(m_teacher,BI$4,m_date,($G$2+33),m_active,1,m_start,"&lt;"&amp;720,m_end,"&gt;"&amp;660)=0,"",IF(COUNTIFS(m_teacher,BI$4,m_date,($G$2+33),m_active,1,m_start,"&lt;"&amp;720,m_end,"&gt;"&amp;660)&gt;1,"충돌",HYPERLINK("#'관리자_MASTER'!D"&amp;_xlfn.MAXIFS(m_row,m_teacher,BI$4,m_date,($G$2+33),m_active,1,m_start,"&lt;"&amp;720,m_end,"&gt;"&amp;660),INDEX(m_label,_xlfn.MAXIFS(m_row,m_teacher,BI$4,m_date,($G$2+33),m_active,1,m_start,"&lt;"&amp;720,m_end,"&gt;"&amp;660))))))</f>
        <v/>
      </c>
      <c r="BJ62" s="81" t="str">
        <f aca="false">IF(OR(BJ$4="",MONTH(($G$2+33))&lt;&gt;MONTH($C$2)),"",IF(COUNTIFS(m_teacher,BJ$4,m_date,($G$2+33),m_active,1,m_start,"&lt;"&amp;720,m_end,"&gt;"&amp;660)=0,"",IF(COUNTIFS(m_teacher,BJ$4,m_date,($G$2+33),m_active,1,m_start,"&lt;"&amp;720,m_end,"&gt;"&amp;660)&gt;1,"충돌",HYPERLINK("#'관리자_MASTER'!D"&amp;_xlfn.MAXIFS(m_row,m_teacher,BJ$4,m_date,($G$2+33),m_active,1,m_start,"&lt;"&amp;720,m_end,"&gt;"&amp;660),INDEX(m_label,_xlfn.MAXIFS(m_row,m_teacher,BJ$4,m_date,($G$2+33),m_active,1,m_start,"&lt;"&amp;720,m_end,"&gt;"&amp;660))))))</f>
        <v/>
      </c>
      <c r="BK62" s="81" t="str">
        <f aca="false">IF(OR(BK$4="",MONTH(($G$2+33))&lt;&gt;MONTH($C$2)),"",IF(COUNTIFS(m_teacher,BK$4,m_date,($G$2+33),m_active,1,m_start,"&lt;"&amp;720,m_end,"&gt;"&amp;660)=0,"",IF(COUNTIFS(m_teacher,BK$4,m_date,($G$2+33),m_active,1,m_start,"&lt;"&amp;720,m_end,"&gt;"&amp;660)&gt;1,"충돌",HYPERLINK("#'관리자_MASTER'!D"&amp;_xlfn.MAXIFS(m_row,m_teacher,BK$4,m_date,($G$2+33),m_active,1,m_start,"&lt;"&amp;720,m_end,"&gt;"&amp;660),INDEX(m_label,_xlfn.MAXIFS(m_row,m_teacher,BK$4,m_date,($G$2+33),m_active,1,m_start,"&lt;"&amp;720,m_end,"&gt;"&amp;660))))))</f>
        <v/>
      </c>
      <c r="BL62" s="81" t="str">
        <f aca="false">IF(OR(BL$4="",MONTH(($G$2+33))&lt;&gt;MONTH($C$2)),"",IF(COUNTIFS(m_teacher,BL$4,m_date,($G$2+33),m_active,1,m_start,"&lt;"&amp;720,m_end,"&gt;"&amp;660)=0,"",IF(COUNTIFS(m_teacher,BL$4,m_date,($G$2+33),m_active,1,m_start,"&lt;"&amp;720,m_end,"&gt;"&amp;660)&gt;1,"충돌",HYPERLINK("#'관리자_MASTER'!D"&amp;_xlfn.MAXIFS(m_row,m_teacher,BL$4,m_date,($G$2+33),m_active,1,m_start,"&lt;"&amp;720,m_end,"&gt;"&amp;660),INDEX(m_label,_xlfn.MAXIFS(m_row,m_teacher,BL$4,m_date,($G$2+33),m_active,1,m_start,"&lt;"&amp;720,m_end,"&gt;"&amp;660))))))</f>
        <v/>
      </c>
      <c r="BM62" s="81" t="str">
        <f aca="false">IF(OR(BM$4="",MONTH(($G$2+33))&lt;&gt;MONTH($C$2)),"",IF(COUNTIFS(m_teacher,BM$4,m_date,($G$2+33),m_active,1,m_start,"&lt;"&amp;720,m_end,"&gt;"&amp;660)=0,"",IF(COUNTIFS(m_teacher,BM$4,m_date,($G$2+33),m_active,1,m_start,"&lt;"&amp;720,m_end,"&gt;"&amp;660)&gt;1,"충돌",HYPERLINK("#'관리자_MASTER'!D"&amp;_xlfn.MAXIFS(m_row,m_teacher,BM$4,m_date,($G$2+33),m_active,1,m_start,"&lt;"&amp;720,m_end,"&gt;"&amp;660),INDEX(m_label,_xlfn.MAXIFS(m_row,m_teacher,BM$4,m_date,($G$2+33),m_active,1,m_start,"&lt;"&amp;720,m_end,"&gt;"&amp;660))))))</f>
        <v/>
      </c>
      <c r="BN62" s="81" t="str">
        <f aca="false">IF(OR(BN$4="",MONTH(($G$2+33))&lt;&gt;MONTH($C$2)),"",IF(COUNTIFS(m_teacher,BN$4,m_date,($G$2+33),m_active,1,m_start,"&lt;"&amp;720,m_end,"&gt;"&amp;660)=0,"",IF(COUNTIFS(m_teacher,BN$4,m_date,($G$2+33),m_active,1,m_start,"&lt;"&amp;720,m_end,"&gt;"&amp;660)&gt;1,"충돌",HYPERLINK("#'관리자_MASTER'!D"&amp;_xlfn.MAXIFS(m_row,m_teacher,BN$4,m_date,($G$2+33),m_active,1,m_start,"&lt;"&amp;720,m_end,"&gt;"&amp;660),INDEX(m_label,_xlfn.MAXIFS(m_row,m_teacher,BN$4,m_date,($G$2+33),m_active,1,m_start,"&lt;"&amp;720,m_end,"&gt;"&amp;660))))))</f>
        <v/>
      </c>
      <c r="BO62" s="81" t="str">
        <f aca="false">IF(OR(BO$4="",MONTH(($G$2+33))&lt;&gt;MONTH($C$2)),"",IF(COUNTIFS(m_teacher,BO$4,m_date,($G$2+33),m_active,1,m_start,"&lt;"&amp;720,m_end,"&gt;"&amp;660)=0,"",IF(COUNTIFS(m_teacher,BO$4,m_date,($G$2+33),m_active,1,m_start,"&lt;"&amp;720,m_end,"&gt;"&amp;660)&gt;1,"충돌",HYPERLINK("#'관리자_MASTER'!D"&amp;_xlfn.MAXIFS(m_row,m_teacher,BO$4,m_date,($G$2+33),m_active,1,m_start,"&lt;"&amp;720,m_end,"&gt;"&amp;660),INDEX(m_label,_xlfn.MAXIFS(m_row,m_teacher,BO$4,m_date,($G$2+33),m_active,1,m_start,"&lt;"&amp;720,m_end,"&gt;"&amp;660))))))</f>
        <v/>
      </c>
      <c r="BP62" s="81" t="str">
        <f aca="false">IF(OR(BP$4="",MONTH(($G$2+33))&lt;&gt;MONTH($C$2)),"",IF(COUNTIFS(m_teacher,BP$4,m_date,($G$2+33),m_active,1,m_start,"&lt;"&amp;720,m_end,"&gt;"&amp;660)=0,"",IF(COUNTIFS(m_teacher,BP$4,m_date,($G$2+33),m_active,1,m_start,"&lt;"&amp;720,m_end,"&gt;"&amp;660)&gt;1,"충돌",HYPERLINK("#'관리자_MASTER'!D"&amp;_xlfn.MAXIFS(m_row,m_teacher,BP$4,m_date,($G$2+33),m_active,1,m_start,"&lt;"&amp;720,m_end,"&gt;"&amp;660),INDEX(m_label,_xlfn.MAXIFS(m_row,m_teacher,BP$4,m_date,($G$2+33),m_active,1,m_start,"&lt;"&amp;720,m_end,"&gt;"&amp;660))))))</f>
        <v/>
      </c>
      <c r="BQ62" s="81" t="str">
        <f aca="false">IF(OR(BQ$4="",MONTH(($G$2+33))&lt;&gt;MONTH($C$2)),"",IF(COUNTIFS(m_teacher,BQ$4,m_date,($G$2+33),m_active,1,m_start,"&lt;"&amp;720,m_end,"&gt;"&amp;660)=0,"",IF(COUNTIFS(m_teacher,BQ$4,m_date,($G$2+33),m_active,1,m_start,"&lt;"&amp;720,m_end,"&gt;"&amp;660)&gt;1,"충돌",HYPERLINK("#'관리자_MASTER'!D"&amp;_xlfn.MAXIFS(m_row,m_teacher,BQ$4,m_date,($G$2+33),m_active,1,m_start,"&lt;"&amp;720,m_end,"&gt;"&amp;660),INDEX(m_label,_xlfn.MAXIFS(m_row,m_teacher,BQ$4,m_date,($G$2+33),m_active,1,m_start,"&lt;"&amp;720,m_end,"&gt;"&amp;660))))))</f>
        <v/>
      </c>
      <c r="BR62" s="81" t="str">
        <f aca="false">IF(OR(BR$4="",MONTH(($G$2+33))&lt;&gt;MONTH($C$2)),"",IF(COUNTIFS(m_teacher,BR$4,m_date,($G$2+33),m_active,1,m_start,"&lt;"&amp;720,m_end,"&gt;"&amp;660)=0,"",IF(COUNTIFS(m_teacher,BR$4,m_date,($G$2+33),m_active,1,m_start,"&lt;"&amp;720,m_end,"&gt;"&amp;660)&gt;1,"충돌",HYPERLINK("#'관리자_MASTER'!D"&amp;_xlfn.MAXIFS(m_row,m_teacher,BR$4,m_date,($G$2+33),m_active,1,m_start,"&lt;"&amp;720,m_end,"&gt;"&amp;660),INDEX(m_label,_xlfn.MAXIFS(m_row,m_teacher,BR$4,m_date,($G$2+33),m_active,1,m_start,"&lt;"&amp;720,m_end,"&gt;"&amp;660))))))</f>
        <v/>
      </c>
    </row>
    <row r="63" customFormat="false" ht="19.5" hidden="false" customHeight="true" outlineLevel="0" collapsed="false">
      <c r="A63" s="90"/>
      <c r="B63" s="79" t="s">
        <v>94</v>
      </c>
      <c r="C63" s="88" t="str">
        <f aca="false">IF(OR(C$4="",MONTH(($G$2+5))&lt;&gt;MONTH($C$2)),"",IF(COUNTIFS(m_teacher,C$4,m_date,($G$2+5),m_active,1,m_start,"&lt;"&amp;780,m_end,"&gt;"&amp;720)=0,"",IF(COUNTIFS(m_teacher,C$4,m_date,($G$2+5),m_active,1,m_start,"&lt;"&amp;780,m_end,"&gt;"&amp;720)&gt;1,"충돌",HYPERLINK("#'관리자_MASTER'!D"&amp;_xlfn.MAXIFS(m_row,m_teacher,C$4,m_date,($G$2+5),m_active,1,m_start,"&lt;"&amp;780,m_end,"&gt;"&amp;720),INDEX(m_label,_xlfn.MAXIFS(m_row,m_teacher,C$4,m_date,($G$2+5),m_active,1,m_start,"&lt;"&amp;780,m_end,"&gt;"&amp;720))))))</f>
        <v/>
      </c>
      <c r="D63" s="88" t="str">
        <f aca="false">IF(OR(D$4="",MONTH(($G$2+5))&lt;&gt;MONTH($C$2)),"",IF(COUNTIFS(m_teacher,D$4,m_date,($G$2+5),m_active,1,m_start,"&lt;"&amp;780,m_end,"&gt;"&amp;720)=0,"",IF(COUNTIFS(m_teacher,D$4,m_date,($G$2+5),m_active,1,m_start,"&lt;"&amp;780,m_end,"&gt;"&amp;720)&gt;1,"충돌",HYPERLINK("#'관리자_MASTER'!D"&amp;_xlfn.MAXIFS(m_row,m_teacher,D$4,m_date,($G$2+5),m_active,1,m_start,"&lt;"&amp;780,m_end,"&gt;"&amp;720),INDEX(m_label,_xlfn.MAXIFS(m_row,m_teacher,D$4,m_date,($G$2+5),m_active,1,m_start,"&lt;"&amp;780,m_end,"&gt;"&amp;720))))))</f>
        <v/>
      </c>
      <c r="E63" s="88" t="str">
        <f aca="false">IF(OR(E$4="",MONTH(($G$2+5))&lt;&gt;MONTH($C$2)),"",IF(COUNTIFS(m_teacher,E$4,m_date,($G$2+5),m_active,1,m_start,"&lt;"&amp;780,m_end,"&gt;"&amp;720)=0,"",IF(COUNTIFS(m_teacher,E$4,m_date,($G$2+5),m_active,1,m_start,"&lt;"&amp;780,m_end,"&gt;"&amp;720)&gt;1,"충돌",HYPERLINK("#'관리자_MASTER'!D"&amp;_xlfn.MAXIFS(m_row,m_teacher,E$4,m_date,($G$2+5),m_active,1,m_start,"&lt;"&amp;780,m_end,"&gt;"&amp;720),INDEX(m_label,_xlfn.MAXIFS(m_row,m_teacher,E$4,m_date,($G$2+5),m_active,1,m_start,"&lt;"&amp;780,m_end,"&gt;"&amp;720))))))</f>
        <v/>
      </c>
      <c r="F63" s="88" t="str">
        <f aca="false">IF(OR(F$4="",MONTH(($G$2+5))&lt;&gt;MONTH($C$2)),"",IF(COUNTIFS(m_teacher,F$4,m_date,($G$2+5),m_active,1,m_start,"&lt;"&amp;780,m_end,"&gt;"&amp;720)=0,"",IF(COUNTIFS(m_teacher,F$4,m_date,($G$2+5),m_active,1,m_start,"&lt;"&amp;780,m_end,"&gt;"&amp;720)&gt;1,"충돌",HYPERLINK("#'관리자_MASTER'!D"&amp;_xlfn.MAXIFS(m_row,m_teacher,F$4,m_date,($G$2+5),m_active,1,m_start,"&lt;"&amp;780,m_end,"&gt;"&amp;720),INDEX(m_label,_xlfn.MAXIFS(m_row,m_teacher,F$4,m_date,($G$2+5),m_active,1,m_start,"&lt;"&amp;780,m_end,"&gt;"&amp;720))))))</f>
        <v/>
      </c>
      <c r="G63" s="88" t="str">
        <f aca="false">IF(OR(G$4="",MONTH(($G$2+5))&lt;&gt;MONTH($C$2)),"",IF(COUNTIFS(m_teacher,G$4,m_date,($G$2+5),m_active,1,m_start,"&lt;"&amp;780,m_end,"&gt;"&amp;720)=0,"",IF(COUNTIFS(m_teacher,G$4,m_date,($G$2+5),m_active,1,m_start,"&lt;"&amp;780,m_end,"&gt;"&amp;720)&gt;1,"충돌",HYPERLINK("#'관리자_MASTER'!D"&amp;_xlfn.MAXIFS(m_row,m_teacher,G$4,m_date,($G$2+5),m_active,1,m_start,"&lt;"&amp;780,m_end,"&gt;"&amp;720),INDEX(m_label,_xlfn.MAXIFS(m_row,m_teacher,G$4,m_date,($G$2+5),m_active,1,m_start,"&lt;"&amp;780,m_end,"&gt;"&amp;720))))))</f>
        <v/>
      </c>
      <c r="H63" s="88" t="str">
        <f aca="false">IF(OR(H$4="",MONTH(($G$2+5))&lt;&gt;MONTH($C$2)),"",IF(COUNTIFS(m_teacher,H$4,m_date,($G$2+5),m_active,1,m_start,"&lt;"&amp;780,m_end,"&gt;"&amp;720)=0,"",IF(COUNTIFS(m_teacher,H$4,m_date,($G$2+5),m_active,1,m_start,"&lt;"&amp;780,m_end,"&gt;"&amp;720)&gt;1,"충돌",HYPERLINK("#'관리자_MASTER'!D"&amp;_xlfn.MAXIFS(m_row,m_teacher,H$4,m_date,($G$2+5),m_active,1,m_start,"&lt;"&amp;780,m_end,"&gt;"&amp;720),INDEX(m_label,_xlfn.MAXIFS(m_row,m_teacher,H$4,m_date,($G$2+5),m_active,1,m_start,"&lt;"&amp;780,m_end,"&gt;"&amp;720))))))</f>
        <v/>
      </c>
      <c r="I63" s="88" t="str">
        <f aca="false">IF(OR(I$4="",MONTH(($G$2+5))&lt;&gt;MONTH($C$2)),"",IF(COUNTIFS(m_teacher,I$4,m_date,($G$2+5),m_active,1,m_start,"&lt;"&amp;780,m_end,"&gt;"&amp;720)=0,"",IF(COUNTIFS(m_teacher,I$4,m_date,($G$2+5),m_active,1,m_start,"&lt;"&amp;780,m_end,"&gt;"&amp;720)&gt;1,"충돌",HYPERLINK("#'관리자_MASTER'!D"&amp;_xlfn.MAXIFS(m_row,m_teacher,I$4,m_date,($G$2+5),m_active,1,m_start,"&lt;"&amp;780,m_end,"&gt;"&amp;720),INDEX(m_label,_xlfn.MAXIFS(m_row,m_teacher,I$4,m_date,($G$2+5),m_active,1,m_start,"&lt;"&amp;780,m_end,"&gt;"&amp;720))))))</f>
        <v/>
      </c>
      <c r="J63" s="88" t="str">
        <f aca="false">IF(OR(J$4="",MONTH(($G$2+5))&lt;&gt;MONTH($C$2)),"",IF(COUNTIFS(m_teacher,J$4,m_date,($G$2+5),m_active,1,m_start,"&lt;"&amp;780,m_end,"&gt;"&amp;720)=0,"",IF(COUNTIFS(m_teacher,J$4,m_date,($G$2+5),m_active,1,m_start,"&lt;"&amp;780,m_end,"&gt;"&amp;720)&gt;1,"충돌",HYPERLINK("#'관리자_MASTER'!D"&amp;_xlfn.MAXIFS(m_row,m_teacher,J$4,m_date,($G$2+5),m_active,1,m_start,"&lt;"&amp;780,m_end,"&gt;"&amp;720),INDEX(m_label,_xlfn.MAXIFS(m_row,m_teacher,J$4,m_date,($G$2+5),m_active,1,m_start,"&lt;"&amp;780,m_end,"&gt;"&amp;720))))))</f>
        <v/>
      </c>
      <c r="K63" s="88" t="str">
        <f aca="false">IF(OR(K$4="",MONTH(($G$2+5))&lt;&gt;MONTH($C$2)),"",IF(COUNTIFS(m_teacher,K$4,m_date,($G$2+5),m_active,1,m_start,"&lt;"&amp;780,m_end,"&gt;"&amp;720)=0,"",IF(COUNTIFS(m_teacher,K$4,m_date,($G$2+5),m_active,1,m_start,"&lt;"&amp;780,m_end,"&gt;"&amp;720)&gt;1,"충돌",HYPERLINK("#'관리자_MASTER'!D"&amp;_xlfn.MAXIFS(m_row,m_teacher,K$4,m_date,($G$2+5),m_active,1,m_start,"&lt;"&amp;780,m_end,"&gt;"&amp;720),INDEX(m_label,_xlfn.MAXIFS(m_row,m_teacher,K$4,m_date,($G$2+5),m_active,1,m_start,"&lt;"&amp;780,m_end,"&gt;"&amp;720))))))</f>
        <v/>
      </c>
      <c r="L63" s="88" t="str">
        <f aca="false">IF(OR(L$4="",MONTH(($G$2+5))&lt;&gt;MONTH($C$2)),"",IF(COUNTIFS(m_teacher,L$4,m_date,($G$2+5),m_active,1,m_start,"&lt;"&amp;780,m_end,"&gt;"&amp;720)=0,"",IF(COUNTIFS(m_teacher,L$4,m_date,($G$2+5),m_active,1,m_start,"&lt;"&amp;780,m_end,"&gt;"&amp;720)&gt;1,"충돌",HYPERLINK("#'관리자_MASTER'!D"&amp;_xlfn.MAXIFS(m_row,m_teacher,L$4,m_date,($G$2+5),m_active,1,m_start,"&lt;"&amp;780,m_end,"&gt;"&amp;720),INDEX(m_label,_xlfn.MAXIFS(m_row,m_teacher,L$4,m_date,($G$2+5),m_active,1,m_start,"&lt;"&amp;780,m_end,"&gt;"&amp;720))))))</f>
        <v/>
      </c>
      <c r="M63" s="88" t="str">
        <f aca="false">IF(OR(M$4="",MONTH(($G$2+5))&lt;&gt;MONTH($C$2)),"",IF(COUNTIFS(m_teacher,M$4,m_date,($G$2+5),m_active,1,m_start,"&lt;"&amp;780,m_end,"&gt;"&amp;720)=0,"",IF(COUNTIFS(m_teacher,M$4,m_date,($G$2+5),m_active,1,m_start,"&lt;"&amp;780,m_end,"&gt;"&amp;720)&gt;1,"충돌",HYPERLINK("#'관리자_MASTER'!D"&amp;_xlfn.MAXIFS(m_row,m_teacher,M$4,m_date,($G$2+5),m_active,1,m_start,"&lt;"&amp;780,m_end,"&gt;"&amp;720),INDEX(m_label,_xlfn.MAXIFS(m_row,m_teacher,M$4,m_date,($G$2+5),m_active,1,m_start,"&lt;"&amp;780,m_end,"&gt;"&amp;720))))))</f>
        <v/>
      </c>
      <c r="N63" s="88" t="str">
        <f aca="false">IF(OR(N$4="",MONTH(($G$2+5))&lt;&gt;MONTH($C$2)),"",IF(COUNTIFS(m_teacher,N$4,m_date,($G$2+5),m_active,1,m_start,"&lt;"&amp;780,m_end,"&gt;"&amp;720)=0,"",IF(COUNTIFS(m_teacher,N$4,m_date,($G$2+5),m_active,1,m_start,"&lt;"&amp;780,m_end,"&gt;"&amp;720)&gt;1,"충돌",HYPERLINK("#'관리자_MASTER'!D"&amp;_xlfn.MAXIFS(m_row,m_teacher,N$4,m_date,($G$2+5),m_active,1,m_start,"&lt;"&amp;780,m_end,"&gt;"&amp;720),INDEX(m_label,_xlfn.MAXIFS(m_row,m_teacher,N$4,m_date,($G$2+5),m_active,1,m_start,"&lt;"&amp;780,m_end,"&gt;"&amp;720))))))</f>
        <v/>
      </c>
      <c r="O63" s="90"/>
      <c r="P63" s="79" t="s">
        <v>94</v>
      </c>
      <c r="Q63" s="88" t="str">
        <f aca="false">IF(OR(Q$4="",MONTH(($G$2+12))&lt;&gt;MONTH($C$2)),"",IF(COUNTIFS(m_teacher,Q$4,m_date,($G$2+12),m_active,1,m_start,"&lt;"&amp;780,m_end,"&gt;"&amp;720)=0,"",IF(COUNTIFS(m_teacher,Q$4,m_date,($G$2+12),m_active,1,m_start,"&lt;"&amp;780,m_end,"&gt;"&amp;720)&gt;1,"충돌",HYPERLINK("#'관리자_MASTER'!D"&amp;_xlfn.MAXIFS(m_row,m_teacher,Q$4,m_date,($G$2+12),m_active,1,m_start,"&lt;"&amp;780,m_end,"&gt;"&amp;720),INDEX(m_label,_xlfn.MAXIFS(m_row,m_teacher,Q$4,m_date,($G$2+12),m_active,1,m_start,"&lt;"&amp;780,m_end,"&gt;"&amp;720))))))</f>
        <v/>
      </c>
      <c r="R63" s="88" t="str">
        <f aca="false">IF(OR(R$4="",MONTH(($G$2+12))&lt;&gt;MONTH($C$2)),"",IF(COUNTIFS(m_teacher,R$4,m_date,($G$2+12),m_active,1,m_start,"&lt;"&amp;780,m_end,"&gt;"&amp;720)=0,"",IF(COUNTIFS(m_teacher,R$4,m_date,($G$2+12),m_active,1,m_start,"&lt;"&amp;780,m_end,"&gt;"&amp;720)&gt;1,"충돌",HYPERLINK("#'관리자_MASTER'!D"&amp;_xlfn.MAXIFS(m_row,m_teacher,R$4,m_date,($G$2+12),m_active,1,m_start,"&lt;"&amp;780,m_end,"&gt;"&amp;720),INDEX(m_label,_xlfn.MAXIFS(m_row,m_teacher,R$4,m_date,($G$2+12),m_active,1,m_start,"&lt;"&amp;780,m_end,"&gt;"&amp;720))))))</f>
        <v/>
      </c>
      <c r="S63" s="88" t="str">
        <f aca="false">IF(OR(S$4="",MONTH(($G$2+12))&lt;&gt;MONTH($C$2)),"",IF(COUNTIFS(m_teacher,S$4,m_date,($G$2+12),m_active,1,m_start,"&lt;"&amp;780,m_end,"&gt;"&amp;720)=0,"",IF(COUNTIFS(m_teacher,S$4,m_date,($G$2+12),m_active,1,m_start,"&lt;"&amp;780,m_end,"&gt;"&amp;720)&gt;1,"충돌",HYPERLINK("#'관리자_MASTER'!D"&amp;_xlfn.MAXIFS(m_row,m_teacher,S$4,m_date,($G$2+12),m_active,1,m_start,"&lt;"&amp;780,m_end,"&gt;"&amp;720),INDEX(m_label,_xlfn.MAXIFS(m_row,m_teacher,S$4,m_date,($G$2+12),m_active,1,m_start,"&lt;"&amp;780,m_end,"&gt;"&amp;720))))))</f>
        <v/>
      </c>
      <c r="T63" s="88" t="str">
        <f aca="false">IF(OR(T$4="",MONTH(($G$2+12))&lt;&gt;MONTH($C$2)),"",IF(COUNTIFS(m_teacher,T$4,m_date,($G$2+12),m_active,1,m_start,"&lt;"&amp;780,m_end,"&gt;"&amp;720)=0,"",IF(COUNTIFS(m_teacher,T$4,m_date,($G$2+12),m_active,1,m_start,"&lt;"&amp;780,m_end,"&gt;"&amp;720)&gt;1,"충돌",HYPERLINK("#'관리자_MASTER'!D"&amp;_xlfn.MAXIFS(m_row,m_teacher,T$4,m_date,($G$2+12),m_active,1,m_start,"&lt;"&amp;780,m_end,"&gt;"&amp;720),INDEX(m_label,_xlfn.MAXIFS(m_row,m_teacher,T$4,m_date,($G$2+12),m_active,1,m_start,"&lt;"&amp;780,m_end,"&gt;"&amp;720))))))</f>
        <v/>
      </c>
      <c r="U63" s="88" t="str">
        <f aca="false">IF(OR(U$4="",MONTH(($G$2+12))&lt;&gt;MONTH($C$2)),"",IF(COUNTIFS(m_teacher,U$4,m_date,($G$2+12),m_active,1,m_start,"&lt;"&amp;780,m_end,"&gt;"&amp;720)=0,"",IF(COUNTIFS(m_teacher,U$4,m_date,($G$2+12),m_active,1,m_start,"&lt;"&amp;780,m_end,"&gt;"&amp;720)&gt;1,"충돌",HYPERLINK("#'관리자_MASTER'!D"&amp;_xlfn.MAXIFS(m_row,m_teacher,U$4,m_date,($G$2+12),m_active,1,m_start,"&lt;"&amp;780,m_end,"&gt;"&amp;720),INDEX(m_label,_xlfn.MAXIFS(m_row,m_teacher,U$4,m_date,($G$2+12),m_active,1,m_start,"&lt;"&amp;780,m_end,"&gt;"&amp;720))))))</f>
        <v/>
      </c>
      <c r="V63" s="88" t="str">
        <f aca="false">IF(OR(V$4="",MONTH(($G$2+12))&lt;&gt;MONTH($C$2)),"",IF(COUNTIFS(m_teacher,V$4,m_date,($G$2+12),m_active,1,m_start,"&lt;"&amp;780,m_end,"&gt;"&amp;720)=0,"",IF(COUNTIFS(m_teacher,V$4,m_date,($G$2+12),m_active,1,m_start,"&lt;"&amp;780,m_end,"&gt;"&amp;720)&gt;1,"충돌",HYPERLINK("#'관리자_MASTER'!D"&amp;_xlfn.MAXIFS(m_row,m_teacher,V$4,m_date,($G$2+12),m_active,1,m_start,"&lt;"&amp;780,m_end,"&gt;"&amp;720),INDEX(m_label,_xlfn.MAXIFS(m_row,m_teacher,V$4,m_date,($G$2+12),m_active,1,m_start,"&lt;"&amp;780,m_end,"&gt;"&amp;720))))))</f>
        <v/>
      </c>
      <c r="W63" s="88" t="str">
        <f aca="false">IF(OR(W$4="",MONTH(($G$2+12))&lt;&gt;MONTH($C$2)),"",IF(COUNTIFS(m_teacher,W$4,m_date,($G$2+12),m_active,1,m_start,"&lt;"&amp;780,m_end,"&gt;"&amp;720)=0,"",IF(COUNTIFS(m_teacher,W$4,m_date,($G$2+12),m_active,1,m_start,"&lt;"&amp;780,m_end,"&gt;"&amp;720)&gt;1,"충돌",HYPERLINK("#'관리자_MASTER'!D"&amp;_xlfn.MAXIFS(m_row,m_teacher,W$4,m_date,($G$2+12),m_active,1,m_start,"&lt;"&amp;780,m_end,"&gt;"&amp;720),INDEX(m_label,_xlfn.MAXIFS(m_row,m_teacher,W$4,m_date,($G$2+12),m_active,1,m_start,"&lt;"&amp;780,m_end,"&gt;"&amp;720))))))</f>
        <v/>
      </c>
      <c r="X63" s="88" t="str">
        <f aca="false">IF(OR(X$4="",MONTH(($G$2+12))&lt;&gt;MONTH($C$2)),"",IF(COUNTIFS(m_teacher,X$4,m_date,($G$2+12),m_active,1,m_start,"&lt;"&amp;780,m_end,"&gt;"&amp;720)=0,"",IF(COUNTIFS(m_teacher,X$4,m_date,($G$2+12),m_active,1,m_start,"&lt;"&amp;780,m_end,"&gt;"&amp;720)&gt;1,"충돌",HYPERLINK("#'관리자_MASTER'!D"&amp;_xlfn.MAXIFS(m_row,m_teacher,X$4,m_date,($G$2+12),m_active,1,m_start,"&lt;"&amp;780,m_end,"&gt;"&amp;720),INDEX(m_label,_xlfn.MAXIFS(m_row,m_teacher,X$4,m_date,($G$2+12),m_active,1,m_start,"&lt;"&amp;780,m_end,"&gt;"&amp;720))))))</f>
        <v/>
      </c>
      <c r="Y63" s="88" t="str">
        <f aca="false">IF(OR(Y$4="",MONTH(($G$2+12))&lt;&gt;MONTH($C$2)),"",IF(COUNTIFS(m_teacher,Y$4,m_date,($G$2+12),m_active,1,m_start,"&lt;"&amp;780,m_end,"&gt;"&amp;720)=0,"",IF(COUNTIFS(m_teacher,Y$4,m_date,($G$2+12),m_active,1,m_start,"&lt;"&amp;780,m_end,"&gt;"&amp;720)&gt;1,"충돌",HYPERLINK("#'관리자_MASTER'!D"&amp;_xlfn.MAXIFS(m_row,m_teacher,Y$4,m_date,($G$2+12),m_active,1,m_start,"&lt;"&amp;780,m_end,"&gt;"&amp;720),INDEX(m_label,_xlfn.MAXIFS(m_row,m_teacher,Y$4,m_date,($G$2+12),m_active,1,m_start,"&lt;"&amp;780,m_end,"&gt;"&amp;720))))))</f>
        <v/>
      </c>
      <c r="Z63" s="88" t="str">
        <f aca="false">IF(OR(Z$4="",MONTH(($G$2+12))&lt;&gt;MONTH($C$2)),"",IF(COUNTIFS(m_teacher,Z$4,m_date,($G$2+12),m_active,1,m_start,"&lt;"&amp;780,m_end,"&gt;"&amp;720)=0,"",IF(COUNTIFS(m_teacher,Z$4,m_date,($G$2+12),m_active,1,m_start,"&lt;"&amp;780,m_end,"&gt;"&amp;720)&gt;1,"충돌",HYPERLINK("#'관리자_MASTER'!D"&amp;_xlfn.MAXIFS(m_row,m_teacher,Z$4,m_date,($G$2+12),m_active,1,m_start,"&lt;"&amp;780,m_end,"&gt;"&amp;720),INDEX(m_label,_xlfn.MAXIFS(m_row,m_teacher,Z$4,m_date,($G$2+12),m_active,1,m_start,"&lt;"&amp;780,m_end,"&gt;"&amp;720))))))</f>
        <v/>
      </c>
      <c r="AA63" s="88" t="str">
        <f aca="false">IF(OR(AA$4="",MONTH(($G$2+12))&lt;&gt;MONTH($C$2)),"",IF(COUNTIFS(m_teacher,AA$4,m_date,($G$2+12),m_active,1,m_start,"&lt;"&amp;780,m_end,"&gt;"&amp;720)=0,"",IF(COUNTIFS(m_teacher,AA$4,m_date,($G$2+12),m_active,1,m_start,"&lt;"&amp;780,m_end,"&gt;"&amp;720)&gt;1,"충돌",HYPERLINK("#'관리자_MASTER'!D"&amp;_xlfn.MAXIFS(m_row,m_teacher,AA$4,m_date,($G$2+12),m_active,1,m_start,"&lt;"&amp;780,m_end,"&gt;"&amp;720),INDEX(m_label,_xlfn.MAXIFS(m_row,m_teacher,AA$4,m_date,($G$2+12),m_active,1,m_start,"&lt;"&amp;780,m_end,"&gt;"&amp;720))))))</f>
        <v/>
      </c>
      <c r="AB63" s="88" t="str">
        <f aca="false">IF(OR(AB$4="",MONTH(($G$2+12))&lt;&gt;MONTH($C$2)),"",IF(COUNTIFS(m_teacher,AB$4,m_date,($G$2+12),m_active,1,m_start,"&lt;"&amp;780,m_end,"&gt;"&amp;720)=0,"",IF(COUNTIFS(m_teacher,AB$4,m_date,($G$2+12),m_active,1,m_start,"&lt;"&amp;780,m_end,"&gt;"&amp;720)&gt;1,"충돌",HYPERLINK("#'관리자_MASTER'!D"&amp;_xlfn.MAXIFS(m_row,m_teacher,AB$4,m_date,($G$2+12),m_active,1,m_start,"&lt;"&amp;780,m_end,"&gt;"&amp;720),INDEX(m_label,_xlfn.MAXIFS(m_row,m_teacher,AB$4,m_date,($G$2+12),m_active,1,m_start,"&lt;"&amp;780,m_end,"&gt;"&amp;720))))))</f>
        <v/>
      </c>
      <c r="AC63" s="90"/>
      <c r="AD63" s="79" t="s">
        <v>94</v>
      </c>
      <c r="AE63" s="88" t="str">
        <f aca="false">IF(OR(AE$4="",MONTH(($G$2+19))&lt;&gt;MONTH($C$2)),"",IF(COUNTIFS(m_teacher,AE$4,m_date,($G$2+19),m_active,1,m_start,"&lt;"&amp;780,m_end,"&gt;"&amp;720)=0,"",IF(COUNTIFS(m_teacher,AE$4,m_date,($G$2+19),m_active,1,m_start,"&lt;"&amp;780,m_end,"&gt;"&amp;720)&gt;1,"충돌",HYPERLINK("#'관리자_MASTER'!D"&amp;_xlfn.MAXIFS(m_row,m_teacher,AE$4,m_date,($G$2+19),m_active,1,m_start,"&lt;"&amp;780,m_end,"&gt;"&amp;720),INDEX(m_label,_xlfn.MAXIFS(m_row,m_teacher,AE$4,m_date,($G$2+19),m_active,1,m_start,"&lt;"&amp;780,m_end,"&gt;"&amp;720))))))</f>
        <v/>
      </c>
      <c r="AF63" s="88" t="str">
        <f aca="false">IF(OR(AF$4="",MONTH(($G$2+19))&lt;&gt;MONTH($C$2)),"",IF(COUNTIFS(m_teacher,AF$4,m_date,($G$2+19),m_active,1,m_start,"&lt;"&amp;780,m_end,"&gt;"&amp;720)=0,"",IF(COUNTIFS(m_teacher,AF$4,m_date,($G$2+19),m_active,1,m_start,"&lt;"&amp;780,m_end,"&gt;"&amp;720)&gt;1,"충돌",HYPERLINK("#'관리자_MASTER'!D"&amp;_xlfn.MAXIFS(m_row,m_teacher,AF$4,m_date,($G$2+19),m_active,1,m_start,"&lt;"&amp;780,m_end,"&gt;"&amp;720),INDEX(m_label,_xlfn.MAXIFS(m_row,m_teacher,AF$4,m_date,($G$2+19),m_active,1,m_start,"&lt;"&amp;780,m_end,"&gt;"&amp;720))))))</f>
        <v/>
      </c>
      <c r="AG63" s="88" t="str">
        <f aca="false">IF(OR(AG$4="",MONTH(($G$2+19))&lt;&gt;MONTH($C$2)),"",IF(COUNTIFS(m_teacher,AG$4,m_date,($G$2+19),m_active,1,m_start,"&lt;"&amp;780,m_end,"&gt;"&amp;720)=0,"",IF(COUNTIFS(m_teacher,AG$4,m_date,($G$2+19),m_active,1,m_start,"&lt;"&amp;780,m_end,"&gt;"&amp;720)&gt;1,"충돌",HYPERLINK("#'관리자_MASTER'!D"&amp;_xlfn.MAXIFS(m_row,m_teacher,AG$4,m_date,($G$2+19),m_active,1,m_start,"&lt;"&amp;780,m_end,"&gt;"&amp;720),INDEX(m_label,_xlfn.MAXIFS(m_row,m_teacher,AG$4,m_date,($G$2+19),m_active,1,m_start,"&lt;"&amp;780,m_end,"&gt;"&amp;720))))))</f>
        <v/>
      </c>
      <c r="AH63" s="88" t="str">
        <f aca="false">IF(OR(AH$4="",MONTH(($G$2+19))&lt;&gt;MONTH($C$2)),"",IF(COUNTIFS(m_teacher,AH$4,m_date,($G$2+19),m_active,1,m_start,"&lt;"&amp;780,m_end,"&gt;"&amp;720)=0,"",IF(COUNTIFS(m_teacher,AH$4,m_date,($G$2+19),m_active,1,m_start,"&lt;"&amp;780,m_end,"&gt;"&amp;720)&gt;1,"충돌",HYPERLINK("#'관리자_MASTER'!D"&amp;_xlfn.MAXIFS(m_row,m_teacher,AH$4,m_date,($G$2+19),m_active,1,m_start,"&lt;"&amp;780,m_end,"&gt;"&amp;720),INDEX(m_label,_xlfn.MAXIFS(m_row,m_teacher,AH$4,m_date,($G$2+19),m_active,1,m_start,"&lt;"&amp;780,m_end,"&gt;"&amp;720))))))</f>
        <v/>
      </c>
      <c r="AI63" s="88" t="str">
        <f aca="false">IF(OR(AI$4="",MONTH(($G$2+19))&lt;&gt;MONTH($C$2)),"",IF(COUNTIFS(m_teacher,AI$4,m_date,($G$2+19),m_active,1,m_start,"&lt;"&amp;780,m_end,"&gt;"&amp;720)=0,"",IF(COUNTIFS(m_teacher,AI$4,m_date,($G$2+19),m_active,1,m_start,"&lt;"&amp;780,m_end,"&gt;"&amp;720)&gt;1,"충돌",HYPERLINK("#'관리자_MASTER'!D"&amp;_xlfn.MAXIFS(m_row,m_teacher,AI$4,m_date,($G$2+19),m_active,1,m_start,"&lt;"&amp;780,m_end,"&gt;"&amp;720),INDEX(m_label,_xlfn.MAXIFS(m_row,m_teacher,AI$4,m_date,($G$2+19),m_active,1,m_start,"&lt;"&amp;780,m_end,"&gt;"&amp;720))))))</f>
        <v/>
      </c>
      <c r="AJ63" s="88" t="str">
        <f aca="false">IF(OR(AJ$4="",MONTH(($G$2+19))&lt;&gt;MONTH($C$2)),"",IF(COUNTIFS(m_teacher,AJ$4,m_date,($G$2+19),m_active,1,m_start,"&lt;"&amp;780,m_end,"&gt;"&amp;720)=0,"",IF(COUNTIFS(m_teacher,AJ$4,m_date,($G$2+19),m_active,1,m_start,"&lt;"&amp;780,m_end,"&gt;"&amp;720)&gt;1,"충돌",HYPERLINK("#'관리자_MASTER'!D"&amp;_xlfn.MAXIFS(m_row,m_teacher,AJ$4,m_date,($G$2+19),m_active,1,m_start,"&lt;"&amp;780,m_end,"&gt;"&amp;720),INDEX(m_label,_xlfn.MAXIFS(m_row,m_teacher,AJ$4,m_date,($G$2+19),m_active,1,m_start,"&lt;"&amp;780,m_end,"&gt;"&amp;720))))))</f>
        <v/>
      </c>
      <c r="AK63" s="88" t="str">
        <f aca="false">IF(OR(AK$4="",MONTH(($G$2+19))&lt;&gt;MONTH($C$2)),"",IF(COUNTIFS(m_teacher,AK$4,m_date,($G$2+19),m_active,1,m_start,"&lt;"&amp;780,m_end,"&gt;"&amp;720)=0,"",IF(COUNTIFS(m_teacher,AK$4,m_date,($G$2+19),m_active,1,m_start,"&lt;"&amp;780,m_end,"&gt;"&amp;720)&gt;1,"충돌",HYPERLINK("#'관리자_MASTER'!D"&amp;_xlfn.MAXIFS(m_row,m_teacher,AK$4,m_date,($G$2+19),m_active,1,m_start,"&lt;"&amp;780,m_end,"&gt;"&amp;720),INDEX(m_label,_xlfn.MAXIFS(m_row,m_teacher,AK$4,m_date,($G$2+19),m_active,1,m_start,"&lt;"&amp;780,m_end,"&gt;"&amp;720))))))</f>
        <v/>
      </c>
      <c r="AL63" s="88" t="str">
        <f aca="false">IF(OR(AL$4="",MONTH(($G$2+19))&lt;&gt;MONTH($C$2)),"",IF(COUNTIFS(m_teacher,AL$4,m_date,($G$2+19),m_active,1,m_start,"&lt;"&amp;780,m_end,"&gt;"&amp;720)=0,"",IF(COUNTIFS(m_teacher,AL$4,m_date,($G$2+19),m_active,1,m_start,"&lt;"&amp;780,m_end,"&gt;"&amp;720)&gt;1,"충돌",HYPERLINK("#'관리자_MASTER'!D"&amp;_xlfn.MAXIFS(m_row,m_teacher,AL$4,m_date,($G$2+19),m_active,1,m_start,"&lt;"&amp;780,m_end,"&gt;"&amp;720),INDEX(m_label,_xlfn.MAXIFS(m_row,m_teacher,AL$4,m_date,($G$2+19),m_active,1,m_start,"&lt;"&amp;780,m_end,"&gt;"&amp;720))))))</f>
        <v/>
      </c>
      <c r="AM63" s="88" t="str">
        <f aca="false">IF(OR(AM$4="",MONTH(($G$2+19))&lt;&gt;MONTH($C$2)),"",IF(COUNTIFS(m_teacher,AM$4,m_date,($G$2+19),m_active,1,m_start,"&lt;"&amp;780,m_end,"&gt;"&amp;720)=0,"",IF(COUNTIFS(m_teacher,AM$4,m_date,($G$2+19),m_active,1,m_start,"&lt;"&amp;780,m_end,"&gt;"&amp;720)&gt;1,"충돌",HYPERLINK("#'관리자_MASTER'!D"&amp;_xlfn.MAXIFS(m_row,m_teacher,AM$4,m_date,($G$2+19),m_active,1,m_start,"&lt;"&amp;780,m_end,"&gt;"&amp;720),INDEX(m_label,_xlfn.MAXIFS(m_row,m_teacher,AM$4,m_date,($G$2+19),m_active,1,m_start,"&lt;"&amp;780,m_end,"&gt;"&amp;720))))))</f>
        <v/>
      </c>
      <c r="AN63" s="88" t="str">
        <f aca="false">IF(OR(AN$4="",MONTH(($G$2+19))&lt;&gt;MONTH($C$2)),"",IF(COUNTIFS(m_teacher,AN$4,m_date,($G$2+19),m_active,1,m_start,"&lt;"&amp;780,m_end,"&gt;"&amp;720)=0,"",IF(COUNTIFS(m_teacher,AN$4,m_date,($G$2+19),m_active,1,m_start,"&lt;"&amp;780,m_end,"&gt;"&amp;720)&gt;1,"충돌",HYPERLINK("#'관리자_MASTER'!D"&amp;_xlfn.MAXIFS(m_row,m_teacher,AN$4,m_date,($G$2+19),m_active,1,m_start,"&lt;"&amp;780,m_end,"&gt;"&amp;720),INDEX(m_label,_xlfn.MAXIFS(m_row,m_teacher,AN$4,m_date,($G$2+19),m_active,1,m_start,"&lt;"&amp;780,m_end,"&gt;"&amp;720))))))</f>
        <v/>
      </c>
      <c r="AO63" s="88" t="str">
        <f aca="false">IF(OR(AO$4="",MONTH(($G$2+19))&lt;&gt;MONTH($C$2)),"",IF(COUNTIFS(m_teacher,AO$4,m_date,($G$2+19),m_active,1,m_start,"&lt;"&amp;780,m_end,"&gt;"&amp;720)=0,"",IF(COUNTIFS(m_teacher,AO$4,m_date,($G$2+19),m_active,1,m_start,"&lt;"&amp;780,m_end,"&gt;"&amp;720)&gt;1,"충돌",HYPERLINK("#'관리자_MASTER'!D"&amp;_xlfn.MAXIFS(m_row,m_teacher,AO$4,m_date,($G$2+19),m_active,1,m_start,"&lt;"&amp;780,m_end,"&gt;"&amp;720),INDEX(m_label,_xlfn.MAXIFS(m_row,m_teacher,AO$4,m_date,($G$2+19),m_active,1,m_start,"&lt;"&amp;780,m_end,"&gt;"&amp;720))))))</f>
        <v/>
      </c>
      <c r="AP63" s="88" t="str">
        <f aca="false">IF(OR(AP$4="",MONTH(($G$2+19))&lt;&gt;MONTH($C$2)),"",IF(COUNTIFS(m_teacher,AP$4,m_date,($G$2+19),m_active,1,m_start,"&lt;"&amp;780,m_end,"&gt;"&amp;720)=0,"",IF(COUNTIFS(m_teacher,AP$4,m_date,($G$2+19),m_active,1,m_start,"&lt;"&amp;780,m_end,"&gt;"&amp;720)&gt;1,"충돌",HYPERLINK("#'관리자_MASTER'!D"&amp;_xlfn.MAXIFS(m_row,m_teacher,AP$4,m_date,($G$2+19),m_active,1,m_start,"&lt;"&amp;780,m_end,"&gt;"&amp;720),INDEX(m_label,_xlfn.MAXIFS(m_row,m_teacher,AP$4,m_date,($G$2+19),m_active,1,m_start,"&lt;"&amp;780,m_end,"&gt;"&amp;720))))))</f>
        <v/>
      </c>
      <c r="AQ63" s="90"/>
      <c r="AR63" s="79" t="s">
        <v>94</v>
      </c>
      <c r="AS63" s="88" t="str">
        <f aca="false">IF(OR(AS$4="",MONTH(($G$2+26))&lt;&gt;MONTH($C$2)),"",IF(COUNTIFS(m_teacher,AS$4,m_date,($G$2+26),m_active,1,m_start,"&lt;"&amp;780,m_end,"&gt;"&amp;720)=0,"",IF(COUNTIFS(m_teacher,AS$4,m_date,($G$2+26),m_active,1,m_start,"&lt;"&amp;780,m_end,"&gt;"&amp;720)&gt;1,"충돌",HYPERLINK("#'관리자_MASTER'!D"&amp;_xlfn.MAXIFS(m_row,m_teacher,AS$4,m_date,($G$2+26),m_active,1,m_start,"&lt;"&amp;780,m_end,"&gt;"&amp;720),INDEX(m_label,_xlfn.MAXIFS(m_row,m_teacher,AS$4,m_date,($G$2+26),m_active,1,m_start,"&lt;"&amp;780,m_end,"&gt;"&amp;720))))))</f>
        <v/>
      </c>
      <c r="AT63" s="88" t="str">
        <f aca="false">IF(OR(AT$4="",MONTH(($G$2+26))&lt;&gt;MONTH($C$2)),"",IF(COUNTIFS(m_teacher,AT$4,m_date,($G$2+26),m_active,1,m_start,"&lt;"&amp;780,m_end,"&gt;"&amp;720)=0,"",IF(COUNTIFS(m_teacher,AT$4,m_date,($G$2+26),m_active,1,m_start,"&lt;"&amp;780,m_end,"&gt;"&amp;720)&gt;1,"충돌",HYPERLINK("#'관리자_MASTER'!D"&amp;_xlfn.MAXIFS(m_row,m_teacher,AT$4,m_date,($G$2+26),m_active,1,m_start,"&lt;"&amp;780,m_end,"&gt;"&amp;720),INDEX(m_label,_xlfn.MAXIFS(m_row,m_teacher,AT$4,m_date,($G$2+26),m_active,1,m_start,"&lt;"&amp;780,m_end,"&gt;"&amp;720))))))</f>
        <v/>
      </c>
      <c r="AU63" s="88" t="str">
        <f aca="false">IF(OR(AU$4="",MONTH(($G$2+26))&lt;&gt;MONTH($C$2)),"",IF(COUNTIFS(m_teacher,AU$4,m_date,($G$2+26),m_active,1,m_start,"&lt;"&amp;780,m_end,"&gt;"&amp;720)=0,"",IF(COUNTIFS(m_teacher,AU$4,m_date,($G$2+26),m_active,1,m_start,"&lt;"&amp;780,m_end,"&gt;"&amp;720)&gt;1,"충돌",HYPERLINK("#'관리자_MASTER'!D"&amp;_xlfn.MAXIFS(m_row,m_teacher,AU$4,m_date,($G$2+26),m_active,1,m_start,"&lt;"&amp;780,m_end,"&gt;"&amp;720),INDEX(m_label,_xlfn.MAXIFS(m_row,m_teacher,AU$4,m_date,($G$2+26),m_active,1,m_start,"&lt;"&amp;780,m_end,"&gt;"&amp;720))))))</f>
        <v/>
      </c>
      <c r="AV63" s="88" t="str">
        <f aca="false">IF(OR(AV$4="",MONTH(($G$2+26))&lt;&gt;MONTH($C$2)),"",IF(COUNTIFS(m_teacher,AV$4,m_date,($G$2+26),m_active,1,m_start,"&lt;"&amp;780,m_end,"&gt;"&amp;720)=0,"",IF(COUNTIFS(m_teacher,AV$4,m_date,($G$2+26),m_active,1,m_start,"&lt;"&amp;780,m_end,"&gt;"&amp;720)&gt;1,"충돌",HYPERLINK("#'관리자_MASTER'!D"&amp;_xlfn.MAXIFS(m_row,m_teacher,AV$4,m_date,($G$2+26),m_active,1,m_start,"&lt;"&amp;780,m_end,"&gt;"&amp;720),INDEX(m_label,_xlfn.MAXIFS(m_row,m_teacher,AV$4,m_date,($G$2+26),m_active,1,m_start,"&lt;"&amp;780,m_end,"&gt;"&amp;720))))))</f>
        <v/>
      </c>
      <c r="AW63" s="88" t="str">
        <f aca="false">IF(OR(AW$4="",MONTH(($G$2+26))&lt;&gt;MONTH($C$2)),"",IF(COUNTIFS(m_teacher,AW$4,m_date,($G$2+26),m_active,1,m_start,"&lt;"&amp;780,m_end,"&gt;"&amp;720)=0,"",IF(COUNTIFS(m_teacher,AW$4,m_date,($G$2+26),m_active,1,m_start,"&lt;"&amp;780,m_end,"&gt;"&amp;720)&gt;1,"충돌",HYPERLINK("#'관리자_MASTER'!D"&amp;_xlfn.MAXIFS(m_row,m_teacher,AW$4,m_date,($G$2+26),m_active,1,m_start,"&lt;"&amp;780,m_end,"&gt;"&amp;720),INDEX(m_label,_xlfn.MAXIFS(m_row,m_teacher,AW$4,m_date,($G$2+26),m_active,1,m_start,"&lt;"&amp;780,m_end,"&gt;"&amp;720))))))</f>
        <v/>
      </c>
      <c r="AX63" s="88" t="str">
        <f aca="false">IF(OR(AX$4="",MONTH(($G$2+26))&lt;&gt;MONTH($C$2)),"",IF(COUNTIFS(m_teacher,AX$4,m_date,($G$2+26),m_active,1,m_start,"&lt;"&amp;780,m_end,"&gt;"&amp;720)=0,"",IF(COUNTIFS(m_teacher,AX$4,m_date,($G$2+26),m_active,1,m_start,"&lt;"&amp;780,m_end,"&gt;"&amp;720)&gt;1,"충돌",HYPERLINK("#'관리자_MASTER'!D"&amp;_xlfn.MAXIFS(m_row,m_teacher,AX$4,m_date,($G$2+26),m_active,1,m_start,"&lt;"&amp;780,m_end,"&gt;"&amp;720),INDEX(m_label,_xlfn.MAXIFS(m_row,m_teacher,AX$4,m_date,($G$2+26),m_active,1,m_start,"&lt;"&amp;780,m_end,"&gt;"&amp;720))))))</f>
        <v/>
      </c>
      <c r="AY63" s="88" t="str">
        <f aca="false">IF(OR(AY$4="",MONTH(($G$2+26))&lt;&gt;MONTH($C$2)),"",IF(COUNTIFS(m_teacher,AY$4,m_date,($G$2+26),m_active,1,m_start,"&lt;"&amp;780,m_end,"&gt;"&amp;720)=0,"",IF(COUNTIFS(m_teacher,AY$4,m_date,($G$2+26),m_active,1,m_start,"&lt;"&amp;780,m_end,"&gt;"&amp;720)&gt;1,"충돌",HYPERLINK("#'관리자_MASTER'!D"&amp;_xlfn.MAXIFS(m_row,m_teacher,AY$4,m_date,($G$2+26),m_active,1,m_start,"&lt;"&amp;780,m_end,"&gt;"&amp;720),INDEX(m_label,_xlfn.MAXIFS(m_row,m_teacher,AY$4,m_date,($G$2+26),m_active,1,m_start,"&lt;"&amp;780,m_end,"&gt;"&amp;720))))))</f>
        <v/>
      </c>
      <c r="AZ63" s="88" t="str">
        <f aca="false">IF(OR(AZ$4="",MONTH(($G$2+26))&lt;&gt;MONTH($C$2)),"",IF(COUNTIFS(m_teacher,AZ$4,m_date,($G$2+26),m_active,1,m_start,"&lt;"&amp;780,m_end,"&gt;"&amp;720)=0,"",IF(COUNTIFS(m_teacher,AZ$4,m_date,($G$2+26),m_active,1,m_start,"&lt;"&amp;780,m_end,"&gt;"&amp;720)&gt;1,"충돌",HYPERLINK("#'관리자_MASTER'!D"&amp;_xlfn.MAXIFS(m_row,m_teacher,AZ$4,m_date,($G$2+26),m_active,1,m_start,"&lt;"&amp;780,m_end,"&gt;"&amp;720),INDEX(m_label,_xlfn.MAXIFS(m_row,m_teacher,AZ$4,m_date,($G$2+26),m_active,1,m_start,"&lt;"&amp;780,m_end,"&gt;"&amp;720))))))</f>
        <v/>
      </c>
      <c r="BA63" s="88" t="str">
        <f aca="false">IF(OR(BA$4="",MONTH(($G$2+26))&lt;&gt;MONTH($C$2)),"",IF(COUNTIFS(m_teacher,BA$4,m_date,($G$2+26),m_active,1,m_start,"&lt;"&amp;780,m_end,"&gt;"&amp;720)=0,"",IF(COUNTIFS(m_teacher,BA$4,m_date,($G$2+26),m_active,1,m_start,"&lt;"&amp;780,m_end,"&gt;"&amp;720)&gt;1,"충돌",HYPERLINK("#'관리자_MASTER'!D"&amp;_xlfn.MAXIFS(m_row,m_teacher,BA$4,m_date,($G$2+26),m_active,1,m_start,"&lt;"&amp;780,m_end,"&gt;"&amp;720),INDEX(m_label,_xlfn.MAXIFS(m_row,m_teacher,BA$4,m_date,($G$2+26),m_active,1,m_start,"&lt;"&amp;780,m_end,"&gt;"&amp;720))))))</f>
        <v/>
      </c>
      <c r="BB63" s="88" t="str">
        <f aca="false">IF(OR(BB$4="",MONTH(($G$2+26))&lt;&gt;MONTH($C$2)),"",IF(COUNTIFS(m_teacher,BB$4,m_date,($G$2+26),m_active,1,m_start,"&lt;"&amp;780,m_end,"&gt;"&amp;720)=0,"",IF(COUNTIFS(m_teacher,BB$4,m_date,($G$2+26),m_active,1,m_start,"&lt;"&amp;780,m_end,"&gt;"&amp;720)&gt;1,"충돌",HYPERLINK("#'관리자_MASTER'!D"&amp;_xlfn.MAXIFS(m_row,m_teacher,BB$4,m_date,($G$2+26),m_active,1,m_start,"&lt;"&amp;780,m_end,"&gt;"&amp;720),INDEX(m_label,_xlfn.MAXIFS(m_row,m_teacher,BB$4,m_date,($G$2+26),m_active,1,m_start,"&lt;"&amp;780,m_end,"&gt;"&amp;720))))))</f>
        <v/>
      </c>
      <c r="BC63" s="88" t="str">
        <f aca="false">IF(OR(BC$4="",MONTH(($G$2+26))&lt;&gt;MONTH($C$2)),"",IF(COUNTIFS(m_teacher,BC$4,m_date,($G$2+26),m_active,1,m_start,"&lt;"&amp;780,m_end,"&gt;"&amp;720)=0,"",IF(COUNTIFS(m_teacher,BC$4,m_date,($G$2+26),m_active,1,m_start,"&lt;"&amp;780,m_end,"&gt;"&amp;720)&gt;1,"충돌",HYPERLINK("#'관리자_MASTER'!D"&amp;_xlfn.MAXIFS(m_row,m_teacher,BC$4,m_date,($G$2+26),m_active,1,m_start,"&lt;"&amp;780,m_end,"&gt;"&amp;720),INDEX(m_label,_xlfn.MAXIFS(m_row,m_teacher,BC$4,m_date,($G$2+26),m_active,1,m_start,"&lt;"&amp;780,m_end,"&gt;"&amp;720))))))</f>
        <v/>
      </c>
      <c r="BD63" s="88" t="str">
        <f aca="false">IF(OR(BD$4="",MONTH(($G$2+26))&lt;&gt;MONTH($C$2)),"",IF(COUNTIFS(m_teacher,BD$4,m_date,($G$2+26),m_active,1,m_start,"&lt;"&amp;780,m_end,"&gt;"&amp;720)=0,"",IF(COUNTIFS(m_teacher,BD$4,m_date,($G$2+26),m_active,1,m_start,"&lt;"&amp;780,m_end,"&gt;"&amp;720)&gt;1,"충돌",HYPERLINK("#'관리자_MASTER'!D"&amp;_xlfn.MAXIFS(m_row,m_teacher,BD$4,m_date,($G$2+26),m_active,1,m_start,"&lt;"&amp;780,m_end,"&gt;"&amp;720),INDEX(m_label,_xlfn.MAXIFS(m_row,m_teacher,BD$4,m_date,($G$2+26),m_active,1,m_start,"&lt;"&amp;780,m_end,"&gt;"&amp;720))))))</f>
        <v/>
      </c>
      <c r="BE63" s="91"/>
      <c r="BF63" s="76" t="s">
        <v>94</v>
      </c>
      <c r="BG63" s="81" t="str">
        <f aca="false">IF(OR(BG$4="",MONTH(($G$2+33))&lt;&gt;MONTH($C$2)),"",IF(COUNTIFS(m_teacher,BG$4,m_date,($G$2+33),m_active,1,m_start,"&lt;"&amp;780,m_end,"&gt;"&amp;720)=0,"",IF(COUNTIFS(m_teacher,BG$4,m_date,($G$2+33),m_active,1,m_start,"&lt;"&amp;780,m_end,"&gt;"&amp;720)&gt;1,"충돌",HYPERLINK("#'관리자_MASTER'!D"&amp;_xlfn.MAXIFS(m_row,m_teacher,BG$4,m_date,($G$2+33),m_active,1,m_start,"&lt;"&amp;780,m_end,"&gt;"&amp;720),INDEX(m_label,_xlfn.MAXIFS(m_row,m_teacher,BG$4,m_date,($G$2+33),m_active,1,m_start,"&lt;"&amp;780,m_end,"&gt;"&amp;720))))))</f>
        <v/>
      </c>
      <c r="BH63" s="81" t="str">
        <f aca="false">IF(OR(BH$4="",MONTH(($G$2+33))&lt;&gt;MONTH($C$2)),"",IF(COUNTIFS(m_teacher,BH$4,m_date,($G$2+33),m_active,1,m_start,"&lt;"&amp;780,m_end,"&gt;"&amp;720)=0,"",IF(COUNTIFS(m_teacher,BH$4,m_date,($G$2+33),m_active,1,m_start,"&lt;"&amp;780,m_end,"&gt;"&amp;720)&gt;1,"충돌",HYPERLINK("#'관리자_MASTER'!D"&amp;_xlfn.MAXIFS(m_row,m_teacher,BH$4,m_date,($G$2+33),m_active,1,m_start,"&lt;"&amp;780,m_end,"&gt;"&amp;720),INDEX(m_label,_xlfn.MAXIFS(m_row,m_teacher,BH$4,m_date,($G$2+33),m_active,1,m_start,"&lt;"&amp;780,m_end,"&gt;"&amp;720))))))</f>
        <v/>
      </c>
      <c r="BI63" s="81" t="str">
        <f aca="false">IF(OR(BI$4="",MONTH(($G$2+33))&lt;&gt;MONTH($C$2)),"",IF(COUNTIFS(m_teacher,BI$4,m_date,($G$2+33),m_active,1,m_start,"&lt;"&amp;780,m_end,"&gt;"&amp;720)=0,"",IF(COUNTIFS(m_teacher,BI$4,m_date,($G$2+33),m_active,1,m_start,"&lt;"&amp;780,m_end,"&gt;"&amp;720)&gt;1,"충돌",HYPERLINK("#'관리자_MASTER'!D"&amp;_xlfn.MAXIFS(m_row,m_teacher,BI$4,m_date,($G$2+33),m_active,1,m_start,"&lt;"&amp;780,m_end,"&gt;"&amp;720),INDEX(m_label,_xlfn.MAXIFS(m_row,m_teacher,BI$4,m_date,($G$2+33),m_active,1,m_start,"&lt;"&amp;780,m_end,"&gt;"&amp;720))))))</f>
        <v/>
      </c>
      <c r="BJ63" s="81" t="str">
        <f aca="false">IF(OR(BJ$4="",MONTH(($G$2+33))&lt;&gt;MONTH($C$2)),"",IF(COUNTIFS(m_teacher,BJ$4,m_date,($G$2+33),m_active,1,m_start,"&lt;"&amp;780,m_end,"&gt;"&amp;720)=0,"",IF(COUNTIFS(m_teacher,BJ$4,m_date,($G$2+33),m_active,1,m_start,"&lt;"&amp;780,m_end,"&gt;"&amp;720)&gt;1,"충돌",HYPERLINK("#'관리자_MASTER'!D"&amp;_xlfn.MAXIFS(m_row,m_teacher,BJ$4,m_date,($G$2+33),m_active,1,m_start,"&lt;"&amp;780,m_end,"&gt;"&amp;720),INDEX(m_label,_xlfn.MAXIFS(m_row,m_teacher,BJ$4,m_date,($G$2+33),m_active,1,m_start,"&lt;"&amp;780,m_end,"&gt;"&amp;720))))))</f>
        <v/>
      </c>
      <c r="BK63" s="81" t="str">
        <f aca="false">IF(OR(BK$4="",MONTH(($G$2+33))&lt;&gt;MONTH($C$2)),"",IF(COUNTIFS(m_teacher,BK$4,m_date,($G$2+33),m_active,1,m_start,"&lt;"&amp;780,m_end,"&gt;"&amp;720)=0,"",IF(COUNTIFS(m_teacher,BK$4,m_date,($G$2+33),m_active,1,m_start,"&lt;"&amp;780,m_end,"&gt;"&amp;720)&gt;1,"충돌",HYPERLINK("#'관리자_MASTER'!D"&amp;_xlfn.MAXIFS(m_row,m_teacher,BK$4,m_date,($G$2+33),m_active,1,m_start,"&lt;"&amp;780,m_end,"&gt;"&amp;720),INDEX(m_label,_xlfn.MAXIFS(m_row,m_teacher,BK$4,m_date,($G$2+33),m_active,1,m_start,"&lt;"&amp;780,m_end,"&gt;"&amp;720))))))</f>
        <v/>
      </c>
      <c r="BL63" s="81" t="str">
        <f aca="false">IF(OR(BL$4="",MONTH(($G$2+33))&lt;&gt;MONTH($C$2)),"",IF(COUNTIFS(m_teacher,BL$4,m_date,($G$2+33),m_active,1,m_start,"&lt;"&amp;780,m_end,"&gt;"&amp;720)=0,"",IF(COUNTIFS(m_teacher,BL$4,m_date,($G$2+33),m_active,1,m_start,"&lt;"&amp;780,m_end,"&gt;"&amp;720)&gt;1,"충돌",HYPERLINK("#'관리자_MASTER'!D"&amp;_xlfn.MAXIFS(m_row,m_teacher,BL$4,m_date,($G$2+33),m_active,1,m_start,"&lt;"&amp;780,m_end,"&gt;"&amp;720),INDEX(m_label,_xlfn.MAXIFS(m_row,m_teacher,BL$4,m_date,($G$2+33),m_active,1,m_start,"&lt;"&amp;780,m_end,"&gt;"&amp;720))))))</f>
        <v/>
      </c>
      <c r="BM63" s="81" t="str">
        <f aca="false">IF(OR(BM$4="",MONTH(($G$2+33))&lt;&gt;MONTH($C$2)),"",IF(COUNTIFS(m_teacher,BM$4,m_date,($G$2+33),m_active,1,m_start,"&lt;"&amp;780,m_end,"&gt;"&amp;720)=0,"",IF(COUNTIFS(m_teacher,BM$4,m_date,($G$2+33),m_active,1,m_start,"&lt;"&amp;780,m_end,"&gt;"&amp;720)&gt;1,"충돌",HYPERLINK("#'관리자_MASTER'!D"&amp;_xlfn.MAXIFS(m_row,m_teacher,BM$4,m_date,($G$2+33),m_active,1,m_start,"&lt;"&amp;780,m_end,"&gt;"&amp;720),INDEX(m_label,_xlfn.MAXIFS(m_row,m_teacher,BM$4,m_date,($G$2+33),m_active,1,m_start,"&lt;"&amp;780,m_end,"&gt;"&amp;720))))))</f>
        <v/>
      </c>
      <c r="BN63" s="81" t="str">
        <f aca="false">IF(OR(BN$4="",MONTH(($G$2+33))&lt;&gt;MONTH($C$2)),"",IF(COUNTIFS(m_teacher,BN$4,m_date,($G$2+33),m_active,1,m_start,"&lt;"&amp;780,m_end,"&gt;"&amp;720)=0,"",IF(COUNTIFS(m_teacher,BN$4,m_date,($G$2+33),m_active,1,m_start,"&lt;"&amp;780,m_end,"&gt;"&amp;720)&gt;1,"충돌",HYPERLINK("#'관리자_MASTER'!D"&amp;_xlfn.MAXIFS(m_row,m_teacher,BN$4,m_date,($G$2+33),m_active,1,m_start,"&lt;"&amp;780,m_end,"&gt;"&amp;720),INDEX(m_label,_xlfn.MAXIFS(m_row,m_teacher,BN$4,m_date,($G$2+33),m_active,1,m_start,"&lt;"&amp;780,m_end,"&gt;"&amp;720))))))</f>
        <v/>
      </c>
      <c r="BO63" s="81" t="str">
        <f aca="false">IF(OR(BO$4="",MONTH(($G$2+33))&lt;&gt;MONTH($C$2)),"",IF(COUNTIFS(m_teacher,BO$4,m_date,($G$2+33),m_active,1,m_start,"&lt;"&amp;780,m_end,"&gt;"&amp;720)=0,"",IF(COUNTIFS(m_teacher,BO$4,m_date,($G$2+33),m_active,1,m_start,"&lt;"&amp;780,m_end,"&gt;"&amp;720)&gt;1,"충돌",HYPERLINK("#'관리자_MASTER'!D"&amp;_xlfn.MAXIFS(m_row,m_teacher,BO$4,m_date,($G$2+33),m_active,1,m_start,"&lt;"&amp;780,m_end,"&gt;"&amp;720),INDEX(m_label,_xlfn.MAXIFS(m_row,m_teacher,BO$4,m_date,($G$2+33),m_active,1,m_start,"&lt;"&amp;780,m_end,"&gt;"&amp;720))))))</f>
        <v/>
      </c>
      <c r="BP63" s="81" t="str">
        <f aca="false">IF(OR(BP$4="",MONTH(($G$2+33))&lt;&gt;MONTH($C$2)),"",IF(COUNTIFS(m_teacher,BP$4,m_date,($G$2+33),m_active,1,m_start,"&lt;"&amp;780,m_end,"&gt;"&amp;720)=0,"",IF(COUNTIFS(m_teacher,BP$4,m_date,($G$2+33),m_active,1,m_start,"&lt;"&amp;780,m_end,"&gt;"&amp;720)&gt;1,"충돌",HYPERLINK("#'관리자_MASTER'!D"&amp;_xlfn.MAXIFS(m_row,m_teacher,BP$4,m_date,($G$2+33),m_active,1,m_start,"&lt;"&amp;780,m_end,"&gt;"&amp;720),INDEX(m_label,_xlfn.MAXIFS(m_row,m_teacher,BP$4,m_date,($G$2+33),m_active,1,m_start,"&lt;"&amp;780,m_end,"&gt;"&amp;720))))))</f>
        <v/>
      </c>
      <c r="BQ63" s="81" t="str">
        <f aca="false">IF(OR(BQ$4="",MONTH(($G$2+33))&lt;&gt;MONTH($C$2)),"",IF(COUNTIFS(m_teacher,BQ$4,m_date,($G$2+33),m_active,1,m_start,"&lt;"&amp;780,m_end,"&gt;"&amp;720)=0,"",IF(COUNTIFS(m_teacher,BQ$4,m_date,($G$2+33),m_active,1,m_start,"&lt;"&amp;780,m_end,"&gt;"&amp;720)&gt;1,"충돌",HYPERLINK("#'관리자_MASTER'!D"&amp;_xlfn.MAXIFS(m_row,m_teacher,BQ$4,m_date,($G$2+33),m_active,1,m_start,"&lt;"&amp;780,m_end,"&gt;"&amp;720),INDEX(m_label,_xlfn.MAXIFS(m_row,m_teacher,BQ$4,m_date,($G$2+33),m_active,1,m_start,"&lt;"&amp;780,m_end,"&gt;"&amp;720))))))</f>
        <v/>
      </c>
      <c r="BR63" s="81" t="str">
        <f aca="false">IF(OR(BR$4="",MONTH(($G$2+33))&lt;&gt;MONTH($C$2)),"",IF(COUNTIFS(m_teacher,BR$4,m_date,($G$2+33),m_active,1,m_start,"&lt;"&amp;780,m_end,"&gt;"&amp;720)=0,"",IF(COUNTIFS(m_teacher,BR$4,m_date,($G$2+33),m_active,1,m_start,"&lt;"&amp;780,m_end,"&gt;"&amp;720)&gt;1,"충돌",HYPERLINK("#'관리자_MASTER'!D"&amp;_xlfn.MAXIFS(m_row,m_teacher,BR$4,m_date,($G$2+33),m_active,1,m_start,"&lt;"&amp;780,m_end,"&gt;"&amp;720),INDEX(m_label,_xlfn.MAXIFS(m_row,m_teacher,BR$4,m_date,($G$2+33),m_active,1,m_start,"&lt;"&amp;780,m_end,"&gt;"&amp;720))))))</f>
        <v/>
      </c>
    </row>
    <row r="64" customFormat="false" ht="19.5" hidden="false" customHeight="true" outlineLevel="0" collapsed="false">
      <c r="A64" s="90"/>
      <c r="B64" s="79" t="s">
        <v>95</v>
      </c>
      <c r="C64" s="88" t="str">
        <f aca="false">IF(OR(C$4="",MONTH(($G$2+5))&lt;&gt;MONTH($C$2)),"",IF(COUNTIFS(m_teacher,C$4,m_date,($G$2+5),m_active,1,m_start,"&lt;"&amp;840,m_end,"&gt;"&amp;780)=0,"",IF(COUNTIFS(m_teacher,C$4,m_date,($G$2+5),m_active,1,m_start,"&lt;"&amp;840,m_end,"&gt;"&amp;780)&gt;1,"충돌",HYPERLINK("#'관리자_MASTER'!D"&amp;_xlfn.MAXIFS(m_row,m_teacher,C$4,m_date,($G$2+5),m_active,1,m_start,"&lt;"&amp;840,m_end,"&gt;"&amp;780),INDEX(m_label,_xlfn.MAXIFS(m_row,m_teacher,C$4,m_date,($G$2+5),m_active,1,m_start,"&lt;"&amp;840,m_end,"&gt;"&amp;780))))))</f>
        <v/>
      </c>
      <c r="D64" s="88" t="str">
        <f aca="false">IF(OR(D$4="",MONTH(($G$2+5))&lt;&gt;MONTH($C$2)),"",IF(COUNTIFS(m_teacher,D$4,m_date,($G$2+5),m_active,1,m_start,"&lt;"&amp;840,m_end,"&gt;"&amp;780)=0,"",IF(COUNTIFS(m_teacher,D$4,m_date,($G$2+5),m_active,1,m_start,"&lt;"&amp;840,m_end,"&gt;"&amp;780)&gt;1,"충돌",HYPERLINK("#'관리자_MASTER'!D"&amp;_xlfn.MAXIFS(m_row,m_teacher,D$4,m_date,($G$2+5),m_active,1,m_start,"&lt;"&amp;840,m_end,"&gt;"&amp;780),INDEX(m_label,_xlfn.MAXIFS(m_row,m_teacher,D$4,m_date,($G$2+5),m_active,1,m_start,"&lt;"&amp;840,m_end,"&gt;"&amp;780))))))</f>
        <v/>
      </c>
      <c r="E64" s="88" t="str">
        <f aca="false">IF(OR(E$4="",MONTH(($G$2+5))&lt;&gt;MONTH($C$2)),"",IF(COUNTIFS(m_teacher,E$4,m_date,($G$2+5),m_active,1,m_start,"&lt;"&amp;840,m_end,"&gt;"&amp;780)=0,"",IF(COUNTIFS(m_teacher,E$4,m_date,($G$2+5),m_active,1,m_start,"&lt;"&amp;840,m_end,"&gt;"&amp;780)&gt;1,"충돌",HYPERLINK("#'관리자_MASTER'!D"&amp;_xlfn.MAXIFS(m_row,m_teacher,E$4,m_date,($G$2+5),m_active,1,m_start,"&lt;"&amp;840,m_end,"&gt;"&amp;780),INDEX(m_label,_xlfn.MAXIFS(m_row,m_teacher,E$4,m_date,($G$2+5),m_active,1,m_start,"&lt;"&amp;840,m_end,"&gt;"&amp;780))))))</f>
        <v/>
      </c>
      <c r="F64" s="88" t="str">
        <f aca="false">IF(OR(F$4="",MONTH(($G$2+5))&lt;&gt;MONTH($C$2)),"",IF(COUNTIFS(m_teacher,F$4,m_date,($G$2+5),m_active,1,m_start,"&lt;"&amp;840,m_end,"&gt;"&amp;780)=0,"",IF(COUNTIFS(m_teacher,F$4,m_date,($G$2+5),m_active,1,m_start,"&lt;"&amp;840,m_end,"&gt;"&amp;780)&gt;1,"충돌",HYPERLINK("#'관리자_MASTER'!D"&amp;_xlfn.MAXIFS(m_row,m_teacher,F$4,m_date,($G$2+5),m_active,1,m_start,"&lt;"&amp;840,m_end,"&gt;"&amp;780),INDEX(m_label,_xlfn.MAXIFS(m_row,m_teacher,F$4,m_date,($G$2+5),m_active,1,m_start,"&lt;"&amp;840,m_end,"&gt;"&amp;780))))))</f>
        <v/>
      </c>
      <c r="G64" s="88" t="str">
        <f aca="false">IF(OR(G$4="",MONTH(($G$2+5))&lt;&gt;MONTH($C$2)),"",IF(COUNTIFS(m_teacher,G$4,m_date,($G$2+5),m_active,1,m_start,"&lt;"&amp;840,m_end,"&gt;"&amp;780)=0,"",IF(COUNTIFS(m_teacher,G$4,m_date,($G$2+5),m_active,1,m_start,"&lt;"&amp;840,m_end,"&gt;"&amp;780)&gt;1,"충돌",HYPERLINK("#'관리자_MASTER'!D"&amp;_xlfn.MAXIFS(m_row,m_teacher,G$4,m_date,($G$2+5),m_active,1,m_start,"&lt;"&amp;840,m_end,"&gt;"&amp;780),INDEX(m_label,_xlfn.MAXIFS(m_row,m_teacher,G$4,m_date,($G$2+5),m_active,1,m_start,"&lt;"&amp;840,m_end,"&gt;"&amp;780))))))</f>
        <v/>
      </c>
      <c r="H64" s="88" t="str">
        <f aca="false">IF(OR(H$4="",MONTH(($G$2+5))&lt;&gt;MONTH($C$2)),"",IF(COUNTIFS(m_teacher,H$4,m_date,($G$2+5),m_active,1,m_start,"&lt;"&amp;840,m_end,"&gt;"&amp;780)=0,"",IF(COUNTIFS(m_teacher,H$4,m_date,($G$2+5),m_active,1,m_start,"&lt;"&amp;840,m_end,"&gt;"&amp;780)&gt;1,"충돌",HYPERLINK("#'관리자_MASTER'!D"&amp;_xlfn.MAXIFS(m_row,m_teacher,H$4,m_date,($G$2+5),m_active,1,m_start,"&lt;"&amp;840,m_end,"&gt;"&amp;780),INDEX(m_label,_xlfn.MAXIFS(m_row,m_teacher,H$4,m_date,($G$2+5),m_active,1,m_start,"&lt;"&amp;840,m_end,"&gt;"&amp;780))))))</f>
        <v/>
      </c>
      <c r="I64" s="88" t="str">
        <f aca="false">IF(OR(I$4="",MONTH(($G$2+5))&lt;&gt;MONTH($C$2)),"",IF(COUNTIFS(m_teacher,I$4,m_date,($G$2+5),m_active,1,m_start,"&lt;"&amp;840,m_end,"&gt;"&amp;780)=0,"",IF(COUNTIFS(m_teacher,I$4,m_date,($G$2+5),m_active,1,m_start,"&lt;"&amp;840,m_end,"&gt;"&amp;780)&gt;1,"충돌",HYPERLINK("#'관리자_MASTER'!D"&amp;_xlfn.MAXIFS(m_row,m_teacher,I$4,m_date,($G$2+5),m_active,1,m_start,"&lt;"&amp;840,m_end,"&gt;"&amp;780),INDEX(m_label,_xlfn.MAXIFS(m_row,m_teacher,I$4,m_date,($G$2+5),m_active,1,m_start,"&lt;"&amp;840,m_end,"&gt;"&amp;780))))))</f>
        <v/>
      </c>
      <c r="J64" s="88" t="str">
        <f aca="false">IF(OR(J$4="",MONTH(($G$2+5))&lt;&gt;MONTH($C$2)),"",IF(COUNTIFS(m_teacher,J$4,m_date,($G$2+5),m_active,1,m_start,"&lt;"&amp;840,m_end,"&gt;"&amp;780)=0,"",IF(COUNTIFS(m_teacher,J$4,m_date,($G$2+5),m_active,1,m_start,"&lt;"&amp;840,m_end,"&gt;"&amp;780)&gt;1,"충돌",HYPERLINK("#'관리자_MASTER'!D"&amp;_xlfn.MAXIFS(m_row,m_teacher,J$4,m_date,($G$2+5),m_active,1,m_start,"&lt;"&amp;840,m_end,"&gt;"&amp;780),INDEX(m_label,_xlfn.MAXIFS(m_row,m_teacher,J$4,m_date,($G$2+5),m_active,1,m_start,"&lt;"&amp;840,m_end,"&gt;"&amp;780))))))</f>
        <v/>
      </c>
      <c r="K64" s="88" t="str">
        <f aca="false">IF(OR(K$4="",MONTH(($G$2+5))&lt;&gt;MONTH($C$2)),"",IF(COUNTIFS(m_teacher,K$4,m_date,($G$2+5),m_active,1,m_start,"&lt;"&amp;840,m_end,"&gt;"&amp;780)=0,"",IF(COUNTIFS(m_teacher,K$4,m_date,($G$2+5),m_active,1,m_start,"&lt;"&amp;840,m_end,"&gt;"&amp;780)&gt;1,"충돌",HYPERLINK("#'관리자_MASTER'!D"&amp;_xlfn.MAXIFS(m_row,m_teacher,K$4,m_date,($G$2+5),m_active,1,m_start,"&lt;"&amp;840,m_end,"&gt;"&amp;780),INDEX(m_label,_xlfn.MAXIFS(m_row,m_teacher,K$4,m_date,($G$2+5),m_active,1,m_start,"&lt;"&amp;840,m_end,"&gt;"&amp;780))))))</f>
        <v/>
      </c>
      <c r="L64" s="88" t="str">
        <f aca="false">IF(OR(L$4="",MONTH(($G$2+5))&lt;&gt;MONTH($C$2)),"",IF(COUNTIFS(m_teacher,L$4,m_date,($G$2+5),m_active,1,m_start,"&lt;"&amp;840,m_end,"&gt;"&amp;780)=0,"",IF(COUNTIFS(m_teacher,L$4,m_date,($G$2+5),m_active,1,m_start,"&lt;"&amp;840,m_end,"&gt;"&amp;780)&gt;1,"충돌",HYPERLINK("#'관리자_MASTER'!D"&amp;_xlfn.MAXIFS(m_row,m_teacher,L$4,m_date,($G$2+5),m_active,1,m_start,"&lt;"&amp;840,m_end,"&gt;"&amp;780),INDEX(m_label,_xlfn.MAXIFS(m_row,m_teacher,L$4,m_date,($G$2+5),m_active,1,m_start,"&lt;"&amp;840,m_end,"&gt;"&amp;780))))))</f>
        <v/>
      </c>
      <c r="M64" s="88" t="str">
        <f aca="false">IF(OR(M$4="",MONTH(($G$2+5))&lt;&gt;MONTH($C$2)),"",IF(COUNTIFS(m_teacher,M$4,m_date,($G$2+5),m_active,1,m_start,"&lt;"&amp;840,m_end,"&gt;"&amp;780)=0,"",IF(COUNTIFS(m_teacher,M$4,m_date,($G$2+5),m_active,1,m_start,"&lt;"&amp;840,m_end,"&gt;"&amp;780)&gt;1,"충돌",HYPERLINK("#'관리자_MASTER'!D"&amp;_xlfn.MAXIFS(m_row,m_teacher,M$4,m_date,($G$2+5),m_active,1,m_start,"&lt;"&amp;840,m_end,"&gt;"&amp;780),INDEX(m_label,_xlfn.MAXIFS(m_row,m_teacher,M$4,m_date,($G$2+5),m_active,1,m_start,"&lt;"&amp;840,m_end,"&gt;"&amp;780))))))</f>
        <v/>
      </c>
      <c r="N64" s="88" t="str">
        <f aca="false">IF(OR(N$4="",MONTH(($G$2+5))&lt;&gt;MONTH($C$2)),"",IF(COUNTIFS(m_teacher,N$4,m_date,($G$2+5),m_active,1,m_start,"&lt;"&amp;840,m_end,"&gt;"&amp;780)=0,"",IF(COUNTIFS(m_teacher,N$4,m_date,($G$2+5),m_active,1,m_start,"&lt;"&amp;840,m_end,"&gt;"&amp;780)&gt;1,"충돌",HYPERLINK("#'관리자_MASTER'!D"&amp;_xlfn.MAXIFS(m_row,m_teacher,N$4,m_date,($G$2+5),m_active,1,m_start,"&lt;"&amp;840,m_end,"&gt;"&amp;780),INDEX(m_label,_xlfn.MAXIFS(m_row,m_teacher,N$4,m_date,($G$2+5),m_active,1,m_start,"&lt;"&amp;840,m_end,"&gt;"&amp;780))))))</f>
        <v/>
      </c>
      <c r="O64" s="90"/>
      <c r="P64" s="79" t="s">
        <v>95</v>
      </c>
      <c r="Q64" s="88" t="str">
        <f aca="false">IF(OR(Q$4="",MONTH(($G$2+12))&lt;&gt;MONTH($C$2)),"",IF(COUNTIFS(m_teacher,Q$4,m_date,($G$2+12),m_active,1,m_start,"&lt;"&amp;840,m_end,"&gt;"&amp;780)=0,"",IF(COUNTIFS(m_teacher,Q$4,m_date,($G$2+12),m_active,1,m_start,"&lt;"&amp;840,m_end,"&gt;"&amp;780)&gt;1,"충돌",HYPERLINK("#'관리자_MASTER'!D"&amp;_xlfn.MAXIFS(m_row,m_teacher,Q$4,m_date,($G$2+12),m_active,1,m_start,"&lt;"&amp;840,m_end,"&gt;"&amp;780),INDEX(m_label,_xlfn.MAXIFS(m_row,m_teacher,Q$4,m_date,($G$2+12),m_active,1,m_start,"&lt;"&amp;840,m_end,"&gt;"&amp;780))))))</f>
        <v/>
      </c>
      <c r="R64" s="88" t="str">
        <f aca="false">IF(OR(R$4="",MONTH(($G$2+12))&lt;&gt;MONTH($C$2)),"",IF(COUNTIFS(m_teacher,R$4,m_date,($G$2+12),m_active,1,m_start,"&lt;"&amp;840,m_end,"&gt;"&amp;780)=0,"",IF(COUNTIFS(m_teacher,R$4,m_date,($G$2+12),m_active,1,m_start,"&lt;"&amp;840,m_end,"&gt;"&amp;780)&gt;1,"충돌",HYPERLINK("#'관리자_MASTER'!D"&amp;_xlfn.MAXIFS(m_row,m_teacher,R$4,m_date,($G$2+12),m_active,1,m_start,"&lt;"&amp;840,m_end,"&gt;"&amp;780),INDEX(m_label,_xlfn.MAXIFS(m_row,m_teacher,R$4,m_date,($G$2+12),m_active,1,m_start,"&lt;"&amp;840,m_end,"&gt;"&amp;780))))))</f>
        <v/>
      </c>
      <c r="S64" s="88" t="str">
        <f aca="false">IF(OR(S$4="",MONTH(($G$2+12))&lt;&gt;MONTH($C$2)),"",IF(COUNTIFS(m_teacher,S$4,m_date,($G$2+12),m_active,1,m_start,"&lt;"&amp;840,m_end,"&gt;"&amp;780)=0,"",IF(COUNTIFS(m_teacher,S$4,m_date,($G$2+12),m_active,1,m_start,"&lt;"&amp;840,m_end,"&gt;"&amp;780)&gt;1,"충돌",HYPERLINK("#'관리자_MASTER'!D"&amp;_xlfn.MAXIFS(m_row,m_teacher,S$4,m_date,($G$2+12),m_active,1,m_start,"&lt;"&amp;840,m_end,"&gt;"&amp;780),INDEX(m_label,_xlfn.MAXIFS(m_row,m_teacher,S$4,m_date,($G$2+12),m_active,1,m_start,"&lt;"&amp;840,m_end,"&gt;"&amp;780))))))</f>
        <v/>
      </c>
      <c r="T64" s="88" t="str">
        <f aca="false">IF(OR(T$4="",MONTH(($G$2+12))&lt;&gt;MONTH($C$2)),"",IF(COUNTIFS(m_teacher,T$4,m_date,($G$2+12),m_active,1,m_start,"&lt;"&amp;840,m_end,"&gt;"&amp;780)=0,"",IF(COUNTIFS(m_teacher,T$4,m_date,($G$2+12),m_active,1,m_start,"&lt;"&amp;840,m_end,"&gt;"&amp;780)&gt;1,"충돌",HYPERLINK("#'관리자_MASTER'!D"&amp;_xlfn.MAXIFS(m_row,m_teacher,T$4,m_date,($G$2+12),m_active,1,m_start,"&lt;"&amp;840,m_end,"&gt;"&amp;780),INDEX(m_label,_xlfn.MAXIFS(m_row,m_teacher,T$4,m_date,($G$2+12),m_active,1,m_start,"&lt;"&amp;840,m_end,"&gt;"&amp;780))))))</f>
        <v/>
      </c>
      <c r="U64" s="88" t="str">
        <f aca="false">IF(OR(U$4="",MONTH(($G$2+12))&lt;&gt;MONTH($C$2)),"",IF(COUNTIFS(m_teacher,U$4,m_date,($G$2+12),m_active,1,m_start,"&lt;"&amp;840,m_end,"&gt;"&amp;780)=0,"",IF(COUNTIFS(m_teacher,U$4,m_date,($G$2+12),m_active,1,m_start,"&lt;"&amp;840,m_end,"&gt;"&amp;780)&gt;1,"충돌",HYPERLINK("#'관리자_MASTER'!D"&amp;_xlfn.MAXIFS(m_row,m_teacher,U$4,m_date,($G$2+12),m_active,1,m_start,"&lt;"&amp;840,m_end,"&gt;"&amp;780),INDEX(m_label,_xlfn.MAXIFS(m_row,m_teacher,U$4,m_date,($G$2+12),m_active,1,m_start,"&lt;"&amp;840,m_end,"&gt;"&amp;780))))))</f>
        <v/>
      </c>
      <c r="V64" s="88" t="str">
        <f aca="false">IF(OR(V$4="",MONTH(($G$2+12))&lt;&gt;MONTH($C$2)),"",IF(COUNTIFS(m_teacher,V$4,m_date,($G$2+12),m_active,1,m_start,"&lt;"&amp;840,m_end,"&gt;"&amp;780)=0,"",IF(COUNTIFS(m_teacher,V$4,m_date,($G$2+12),m_active,1,m_start,"&lt;"&amp;840,m_end,"&gt;"&amp;780)&gt;1,"충돌",HYPERLINK("#'관리자_MASTER'!D"&amp;_xlfn.MAXIFS(m_row,m_teacher,V$4,m_date,($G$2+12),m_active,1,m_start,"&lt;"&amp;840,m_end,"&gt;"&amp;780),INDEX(m_label,_xlfn.MAXIFS(m_row,m_teacher,V$4,m_date,($G$2+12),m_active,1,m_start,"&lt;"&amp;840,m_end,"&gt;"&amp;780))))))</f>
        <v/>
      </c>
      <c r="W64" s="88" t="str">
        <f aca="false">IF(OR(W$4="",MONTH(($G$2+12))&lt;&gt;MONTH($C$2)),"",IF(COUNTIFS(m_teacher,W$4,m_date,($G$2+12),m_active,1,m_start,"&lt;"&amp;840,m_end,"&gt;"&amp;780)=0,"",IF(COUNTIFS(m_teacher,W$4,m_date,($G$2+12),m_active,1,m_start,"&lt;"&amp;840,m_end,"&gt;"&amp;780)&gt;1,"충돌",HYPERLINK("#'관리자_MASTER'!D"&amp;_xlfn.MAXIFS(m_row,m_teacher,W$4,m_date,($G$2+12),m_active,1,m_start,"&lt;"&amp;840,m_end,"&gt;"&amp;780),INDEX(m_label,_xlfn.MAXIFS(m_row,m_teacher,W$4,m_date,($G$2+12),m_active,1,m_start,"&lt;"&amp;840,m_end,"&gt;"&amp;780))))))</f>
        <v/>
      </c>
      <c r="X64" s="88" t="str">
        <f aca="false">IF(OR(X$4="",MONTH(($G$2+12))&lt;&gt;MONTH($C$2)),"",IF(COUNTIFS(m_teacher,X$4,m_date,($G$2+12),m_active,1,m_start,"&lt;"&amp;840,m_end,"&gt;"&amp;780)=0,"",IF(COUNTIFS(m_teacher,X$4,m_date,($G$2+12),m_active,1,m_start,"&lt;"&amp;840,m_end,"&gt;"&amp;780)&gt;1,"충돌",HYPERLINK("#'관리자_MASTER'!D"&amp;_xlfn.MAXIFS(m_row,m_teacher,X$4,m_date,($G$2+12),m_active,1,m_start,"&lt;"&amp;840,m_end,"&gt;"&amp;780),INDEX(m_label,_xlfn.MAXIFS(m_row,m_teacher,X$4,m_date,($G$2+12),m_active,1,m_start,"&lt;"&amp;840,m_end,"&gt;"&amp;780))))))</f>
        <v/>
      </c>
      <c r="Y64" s="88" t="str">
        <f aca="false">IF(OR(Y$4="",MONTH(($G$2+12))&lt;&gt;MONTH($C$2)),"",IF(COUNTIFS(m_teacher,Y$4,m_date,($G$2+12),m_active,1,m_start,"&lt;"&amp;840,m_end,"&gt;"&amp;780)=0,"",IF(COUNTIFS(m_teacher,Y$4,m_date,($G$2+12),m_active,1,m_start,"&lt;"&amp;840,m_end,"&gt;"&amp;780)&gt;1,"충돌",HYPERLINK("#'관리자_MASTER'!D"&amp;_xlfn.MAXIFS(m_row,m_teacher,Y$4,m_date,($G$2+12),m_active,1,m_start,"&lt;"&amp;840,m_end,"&gt;"&amp;780),INDEX(m_label,_xlfn.MAXIFS(m_row,m_teacher,Y$4,m_date,($G$2+12),m_active,1,m_start,"&lt;"&amp;840,m_end,"&gt;"&amp;780))))))</f>
        <v/>
      </c>
      <c r="Z64" s="88" t="str">
        <f aca="false">IF(OR(Z$4="",MONTH(($G$2+12))&lt;&gt;MONTH($C$2)),"",IF(COUNTIFS(m_teacher,Z$4,m_date,($G$2+12),m_active,1,m_start,"&lt;"&amp;840,m_end,"&gt;"&amp;780)=0,"",IF(COUNTIFS(m_teacher,Z$4,m_date,($G$2+12),m_active,1,m_start,"&lt;"&amp;840,m_end,"&gt;"&amp;780)&gt;1,"충돌",HYPERLINK("#'관리자_MASTER'!D"&amp;_xlfn.MAXIFS(m_row,m_teacher,Z$4,m_date,($G$2+12),m_active,1,m_start,"&lt;"&amp;840,m_end,"&gt;"&amp;780),INDEX(m_label,_xlfn.MAXIFS(m_row,m_teacher,Z$4,m_date,($G$2+12),m_active,1,m_start,"&lt;"&amp;840,m_end,"&gt;"&amp;780))))))</f>
        <v/>
      </c>
      <c r="AA64" s="88" t="str">
        <f aca="false">IF(OR(AA$4="",MONTH(($G$2+12))&lt;&gt;MONTH($C$2)),"",IF(COUNTIFS(m_teacher,AA$4,m_date,($G$2+12),m_active,1,m_start,"&lt;"&amp;840,m_end,"&gt;"&amp;780)=0,"",IF(COUNTIFS(m_teacher,AA$4,m_date,($G$2+12),m_active,1,m_start,"&lt;"&amp;840,m_end,"&gt;"&amp;780)&gt;1,"충돌",HYPERLINK("#'관리자_MASTER'!D"&amp;_xlfn.MAXIFS(m_row,m_teacher,AA$4,m_date,($G$2+12),m_active,1,m_start,"&lt;"&amp;840,m_end,"&gt;"&amp;780),INDEX(m_label,_xlfn.MAXIFS(m_row,m_teacher,AA$4,m_date,($G$2+12),m_active,1,m_start,"&lt;"&amp;840,m_end,"&gt;"&amp;780))))))</f>
        <v/>
      </c>
      <c r="AB64" s="88" t="str">
        <f aca="false">IF(OR(AB$4="",MONTH(($G$2+12))&lt;&gt;MONTH($C$2)),"",IF(COUNTIFS(m_teacher,AB$4,m_date,($G$2+12),m_active,1,m_start,"&lt;"&amp;840,m_end,"&gt;"&amp;780)=0,"",IF(COUNTIFS(m_teacher,AB$4,m_date,($G$2+12),m_active,1,m_start,"&lt;"&amp;840,m_end,"&gt;"&amp;780)&gt;1,"충돌",HYPERLINK("#'관리자_MASTER'!D"&amp;_xlfn.MAXIFS(m_row,m_teacher,AB$4,m_date,($G$2+12),m_active,1,m_start,"&lt;"&amp;840,m_end,"&gt;"&amp;780),INDEX(m_label,_xlfn.MAXIFS(m_row,m_teacher,AB$4,m_date,($G$2+12),m_active,1,m_start,"&lt;"&amp;840,m_end,"&gt;"&amp;780))))))</f>
        <v/>
      </c>
      <c r="AC64" s="90"/>
      <c r="AD64" s="79" t="s">
        <v>95</v>
      </c>
      <c r="AE64" s="88" t="str">
        <f aca="false">IF(OR(AE$4="",MONTH(($G$2+19))&lt;&gt;MONTH($C$2)),"",IF(COUNTIFS(m_teacher,AE$4,m_date,($G$2+19),m_active,1,m_start,"&lt;"&amp;840,m_end,"&gt;"&amp;780)=0,"",IF(COUNTIFS(m_teacher,AE$4,m_date,($G$2+19),m_active,1,m_start,"&lt;"&amp;840,m_end,"&gt;"&amp;780)&gt;1,"충돌",HYPERLINK("#'관리자_MASTER'!D"&amp;_xlfn.MAXIFS(m_row,m_teacher,AE$4,m_date,($G$2+19),m_active,1,m_start,"&lt;"&amp;840,m_end,"&gt;"&amp;780),INDEX(m_label,_xlfn.MAXIFS(m_row,m_teacher,AE$4,m_date,($G$2+19),m_active,1,m_start,"&lt;"&amp;840,m_end,"&gt;"&amp;780))))))</f>
        <v/>
      </c>
      <c r="AF64" s="88" t="str">
        <f aca="false">IF(OR(AF$4="",MONTH(($G$2+19))&lt;&gt;MONTH($C$2)),"",IF(COUNTIFS(m_teacher,AF$4,m_date,($G$2+19),m_active,1,m_start,"&lt;"&amp;840,m_end,"&gt;"&amp;780)=0,"",IF(COUNTIFS(m_teacher,AF$4,m_date,($G$2+19),m_active,1,m_start,"&lt;"&amp;840,m_end,"&gt;"&amp;780)&gt;1,"충돌",HYPERLINK("#'관리자_MASTER'!D"&amp;_xlfn.MAXIFS(m_row,m_teacher,AF$4,m_date,($G$2+19),m_active,1,m_start,"&lt;"&amp;840,m_end,"&gt;"&amp;780),INDEX(m_label,_xlfn.MAXIFS(m_row,m_teacher,AF$4,m_date,($G$2+19),m_active,1,m_start,"&lt;"&amp;840,m_end,"&gt;"&amp;780))))))</f>
        <v/>
      </c>
      <c r="AG64" s="88" t="str">
        <f aca="false">IF(OR(AG$4="",MONTH(($G$2+19))&lt;&gt;MONTH($C$2)),"",IF(COUNTIFS(m_teacher,AG$4,m_date,($G$2+19),m_active,1,m_start,"&lt;"&amp;840,m_end,"&gt;"&amp;780)=0,"",IF(COUNTIFS(m_teacher,AG$4,m_date,($G$2+19),m_active,1,m_start,"&lt;"&amp;840,m_end,"&gt;"&amp;780)&gt;1,"충돌",HYPERLINK("#'관리자_MASTER'!D"&amp;_xlfn.MAXIFS(m_row,m_teacher,AG$4,m_date,($G$2+19),m_active,1,m_start,"&lt;"&amp;840,m_end,"&gt;"&amp;780),INDEX(m_label,_xlfn.MAXIFS(m_row,m_teacher,AG$4,m_date,($G$2+19),m_active,1,m_start,"&lt;"&amp;840,m_end,"&gt;"&amp;780))))))</f>
        <v/>
      </c>
      <c r="AH64" s="88" t="str">
        <f aca="false">IF(OR(AH$4="",MONTH(($G$2+19))&lt;&gt;MONTH($C$2)),"",IF(COUNTIFS(m_teacher,AH$4,m_date,($G$2+19),m_active,1,m_start,"&lt;"&amp;840,m_end,"&gt;"&amp;780)=0,"",IF(COUNTIFS(m_teacher,AH$4,m_date,($G$2+19),m_active,1,m_start,"&lt;"&amp;840,m_end,"&gt;"&amp;780)&gt;1,"충돌",HYPERLINK("#'관리자_MASTER'!D"&amp;_xlfn.MAXIFS(m_row,m_teacher,AH$4,m_date,($G$2+19),m_active,1,m_start,"&lt;"&amp;840,m_end,"&gt;"&amp;780),INDEX(m_label,_xlfn.MAXIFS(m_row,m_teacher,AH$4,m_date,($G$2+19),m_active,1,m_start,"&lt;"&amp;840,m_end,"&gt;"&amp;780))))))</f>
        <v/>
      </c>
      <c r="AI64" s="88" t="str">
        <f aca="false">IF(OR(AI$4="",MONTH(($G$2+19))&lt;&gt;MONTH($C$2)),"",IF(COUNTIFS(m_teacher,AI$4,m_date,($G$2+19),m_active,1,m_start,"&lt;"&amp;840,m_end,"&gt;"&amp;780)=0,"",IF(COUNTIFS(m_teacher,AI$4,m_date,($G$2+19),m_active,1,m_start,"&lt;"&amp;840,m_end,"&gt;"&amp;780)&gt;1,"충돌",HYPERLINK("#'관리자_MASTER'!D"&amp;_xlfn.MAXIFS(m_row,m_teacher,AI$4,m_date,($G$2+19),m_active,1,m_start,"&lt;"&amp;840,m_end,"&gt;"&amp;780),INDEX(m_label,_xlfn.MAXIFS(m_row,m_teacher,AI$4,m_date,($G$2+19),m_active,1,m_start,"&lt;"&amp;840,m_end,"&gt;"&amp;780))))))</f>
        <v/>
      </c>
      <c r="AJ64" s="88" t="str">
        <f aca="false">IF(OR(AJ$4="",MONTH(($G$2+19))&lt;&gt;MONTH($C$2)),"",IF(COUNTIFS(m_teacher,AJ$4,m_date,($G$2+19),m_active,1,m_start,"&lt;"&amp;840,m_end,"&gt;"&amp;780)=0,"",IF(COUNTIFS(m_teacher,AJ$4,m_date,($G$2+19),m_active,1,m_start,"&lt;"&amp;840,m_end,"&gt;"&amp;780)&gt;1,"충돌",HYPERLINK("#'관리자_MASTER'!D"&amp;_xlfn.MAXIFS(m_row,m_teacher,AJ$4,m_date,($G$2+19),m_active,1,m_start,"&lt;"&amp;840,m_end,"&gt;"&amp;780),INDEX(m_label,_xlfn.MAXIFS(m_row,m_teacher,AJ$4,m_date,($G$2+19),m_active,1,m_start,"&lt;"&amp;840,m_end,"&gt;"&amp;780))))))</f>
        <v/>
      </c>
      <c r="AK64" s="88" t="str">
        <f aca="false">IF(OR(AK$4="",MONTH(($G$2+19))&lt;&gt;MONTH($C$2)),"",IF(COUNTIFS(m_teacher,AK$4,m_date,($G$2+19),m_active,1,m_start,"&lt;"&amp;840,m_end,"&gt;"&amp;780)=0,"",IF(COUNTIFS(m_teacher,AK$4,m_date,($G$2+19),m_active,1,m_start,"&lt;"&amp;840,m_end,"&gt;"&amp;780)&gt;1,"충돌",HYPERLINK("#'관리자_MASTER'!D"&amp;_xlfn.MAXIFS(m_row,m_teacher,AK$4,m_date,($G$2+19),m_active,1,m_start,"&lt;"&amp;840,m_end,"&gt;"&amp;780),INDEX(m_label,_xlfn.MAXIFS(m_row,m_teacher,AK$4,m_date,($G$2+19),m_active,1,m_start,"&lt;"&amp;840,m_end,"&gt;"&amp;780))))))</f>
        <v/>
      </c>
      <c r="AL64" s="88" t="str">
        <f aca="false">IF(OR(AL$4="",MONTH(($G$2+19))&lt;&gt;MONTH($C$2)),"",IF(COUNTIFS(m_teacher,AL$4,m_date,($G$2+19),m_active,1,m_start,"&lt;"&amp;840,m_end,"&gt;"&amp;780)=0,"",IF(COUNTIFS(m_teacher,AL$4,m_date,($G$2+19),m_active,1,m_start,"&lt;"&amp;840,m_end,"&gt;"&amp;780)&gt;1,"충돌",HYPERLINK("#'관리자_MASTER'!D"&amp;_xlfn.MAXIFS(m_row,m_teacher,AL$4,m_date,($G$2+19),m_active,1,m_start,"&lt;"&amp;840,m_end,"&gt;"&amp;780),INDEX(m_label,_xlfn.MAXIFS(m_row,m_teacher,AL$4,m_date,($G$2+19),m_active,1,m_start,"&lt;"&amp;840,m_end,"&gt;"&amp;780))))))</f>
        <v/>
      </c>
      <c r="AM64" s="88" t="str">
        <f aca="false">IF(OR(AM$4="",MONTH(($G$2+19))&lt;&gt;MONTH($C$2)),"",IF(COUNTIFS(m_teacher,AM$4,m_date,($G$2+19),m_active,1,m_start,"&lt;"&amp;840,m_end,"&gt;"&amp;780)=0,"",IF(COUNTIFS(m_teacher,AM$4,m_date,($G$2+19),m_active,1,m_start,"&lt;"&amp;840,m_end,"&gt;"&amp;780)&gt;1,"충돌",HYPERLINK("#'관리자_MASTER'!D"&amp;_xlfn.MAXIFS(m_row,m_teacher,AM$4,m_date,($G$2+19),m_active,1,m_start,"&lt;"&amp;840,m_end,"&gt;"&amp;780),INDEX(m_label,_xlfn.MAXIFS(m_row,m_teacher,AM$4,m_date,($G$2+19),m_active,1,m_start,"&lt;"&amp;840,m_end,"&gt;"&amp;780))))))</f>
        <v/>
      </c>
      <c r="AN64" s="88" t="str">
        <f aca="false">IF(OR(AN$4="",MONTH(($G$2+19))&lt;&gt;MONTH($C$2)),"",IF(COUNTIFS(m_teacher,AN$4,m_date,($G$2+19),m_active,1,m_start,"&lt;"&amp;840,m_end,"&gt;"&amp;780)=0,"",IF(COUNTIFS(m_teacher,AN$4,m_date,($G$2+19),m_active,1,m_start,"&lt;"&amp;840,m_end,"&gt;"&amp;780)&gt;1,"충돌",HYPERLINK("#'관리자_MASTER'!D"&amp;_xlfn.MAXIFS(m_row,m_teacher,AN$4,m_date,($G$2+19),m_active,1,m_start,"&lt;"&amp;840,m_end,"&gt;"&amp;780),INDEX(m_label,_xlfn.MAXIFS(m_row,m_teacher,AN$4,m_date,($G$2+19),m_active,1,m_start,"&lt;"&amp;840,m_end,"&gt;"&amp;780))))))</f>
        <v/>
      </c>
      <c r="AO64" s="88" t="str">
        <f aca="false">IF(OR(AO$4="",MONTH(($G$2+19))&lt;&gt;MONTH($C$2)),"",IF(COUNTIFS(m_teacher,AO$4,m_date,($G$2+19),m_active,1,m_start,"&lt;"&amp;840,m_end,"&gt;"&amp;780)=0,"",IF(COUNTIFS(m_teacher,AO$4,m_date,($G$2+19),m_active,1,m_start,"&lt;"&amp;840,m_end,"&gt;"&amp;780)&gt;1,"충돌",HYPERLINK("#'관리자_MASTER'!D"&amp;_xlfn.MAXIFS(m_row,m_teacher,AO$4,m_date,($G$2+19),m_active,1,m_start,"&lt;"&amp;840,m_end,"&gt;"&amp;780),INDEX(m_label,_xlfn.MAXIFS(m_row,m_teacher,AO$4,m_date,($G$2+19),m_active,1,m_start,"&lt;"&amp;840,m_end,"&gt;"&amp;780))))))</f>
        <v/>
      </c>
      <c r="AP64" s="88" t="str">
        <f aca="false">IF(OR(AP$4="",MONTH(($G$2+19))&lt;&gt;MONTH($C$2)),"",IF(COUNTIFS(m_teacher,AP$4,m_date,($G$2+19),m_active,1,m_start,"&lt;"&amp;840,m_end,"&gt;"&amp;780)=0,"",IF(COUNTIFS(m_teacher,AP$4,m_date,($G$2+19),m_active,1,m_start,"&lt;"&amp;840,m_end,"&gt;"&amp;780)&gt;1,"충돌",HYPERLINK("#'관리자_MASTER'!D"&amp;_xlfn.MAXIFS(m_row,m_teacher,AP$4,m_date,($G$2+19),m_active,1,m_start,"&lt;"&amp;840,m_end,"&gt;"&amp;780),INDEX(m_label,_xlfn.MAXIFS(m_row,m_teacher,AP$4,m_date,($G$2+19),m_active,1,m_start,"&lt;"&amp;840,m_end,"&gt;"&amp;780))))))</f>
        <v/>
      </c>
      <c r="AQ64" s="90"/>
      <c r="AR64" s="79" t="s">
        <v>95</v>
      </c>
      <c r="AS64" s="88" t="str">
        <f aca="false">IF(OR(AS$4="",MONTH(($G$2+26))&lt;&gt;MONTH($C$2)),"",IF(COUNTIFS(m_teacher,AS$4,m_date,($G$2+26),m_active,1,m_start,"&lt;"&amp;840,m_end,"&gt;"&amp;780)=0,"",IF(COUNTIFS(m_teacher,AS$4,m_date,($G$2+26),m_active,1,m_start,"&lt;"&amp;840,m_end,"&gt;"&amp;780)&gt;1,"충돌",HYPERLINK("#'관리자_MASTER'!D"&amp;_xlfn.MAXIFS(m_row,m_teacher,AS$4,m_date,($G$2+26),m_active,1,m_start,"&lt;"&amp;840,m_end,"&gt;"&amp;780),INDEX(m_label,_xlfn.MAXIFS(m_row,m_teacher,AS$4,m_date,($G$2+26),m_active,1,m_start,"&lt;"&amp;840,m_end,"&gt;"&amp;780))))))</f>
        <v/>
      </c>
      <c r="AT64" s="88" t="str">
        <f aca="false">IF(OR(AT$4="",MONTH(($G$2+26))&lt;&gt;MONTH($C$2)),"",IF(COUNTIFS(m_teacher,AT$4,m_date,($G$2+26),m_active,1,m_start,"&lt;"&amp;840,m_end,"&gt;"&amp;780)=0,"",IF(COUNTIFS(m_teacher,AT$4,m_date,($G$2+26),m_active,1,m_start,"&lt;"&amp;840,m_end,"&gt;"&amp;780)&gt;1,"충돌",HYPERLINK("#'관리자_MASTER'!D"&amp;_xlfn.MAXIFS(m_row,m_teacher,AT$4,m_date,($G$2+26),m_active,1,m_start,"&lt;"&amp;840,m_end,"&gt;"&amp;780),INDEX(m_label,_xlfn.MAXIFS(m_row,m_teacher,AT$4,m_date,($G$2+26),m_active,1,m_start,"&lt;"&amp;840,m_end,"&gt;"&amp;780))))))</f>
        <v/>
      </c>
      <c r="AU64" s="88" t="str">
        <f aca="false">IF(OR(AU$4="",MONTH(($G$2+26))&lt;&gt;MONTH($C$2)),"",IF(COUNTIFS(m_teacher,AU$4,m_date,($G$2+26),m_active,1,m_start,"&lt;"&amp;840,m_end,"&gt;"&amp;780)=0,"",IF(COUNTIFS(m_teacher,AU$4,m_date,($G$2+26),m_active,1,m_start,"&lt;"&amp;840,m_end,"&gt;"&amp;780)&gt;1,"충돌",HYPERLINK("#'관리자_MASTER'!D"&amp;_xlfn.MAXIFS(m_row,m_teacher,AU$4,m_date,($G$2+26),m_active,1,m_start,"&lt;"&amp;840,m_end,"&gt;"&amp;780),INDEX(m_label,_xlfn.MAXIFS(m_row,m_teacher,AU$4,m_date,($G$2+26),m_active,1,m_start,"&lt;"&amp;840,m_end,"&gt;"&amp;780))))))</f>
        <v/>
      </c>
      <c r="AV64" s="88" t="str">
        <f aca="false">IF(OR(AV$4="",MONTH(($G$2+26))&lt;&gt;MONTH($C$2)),"",IF(COUNTIFS(m_teacher,AV$4,m_date,($G$2+26),m_active,1,m_start,"&lt;"&amp;840,m_end,"&gt;"&amp;780)=0,"",IF(COUNTIFS(m_teacher,AV$4,m_date,($G$2+26),m_active,1,m_start,"&lt;"&amp;840,m_end,"&gt;"&amp;780)&gt;1,"충돌",HYPERLINK("#'관리자_MASTER'!D"&amp;_xlfn.MAXIFS(m_row,m_teacher,AV$4,m_date,($G$2+26),m_active,1,m_start,"&lt;"&amp;840,m_end,"&gt;"&amp;780),INDEX(m_label,_xlfn.MAXIFS(m_row,m_teacher,AV$4,m_date,($G$2+26),m_active,1,m_start,"&lt;"&amp;840,m_end,"&gt;"&amp;780))))))</f>
        <v/>
      </c>
      <c r="AW64" s="88" t="str">
        <f aca="false">IF(OR(AW$4="",MONTH(($G$2+26))&lt;&gt;MONTH($C$2)),"",IF(COUNTIFS(m_teacher,AW$4,m_date,($G$2+26),m_active,1,m_start,"&lt;"&amp;840,m_end,"&gt;"&amp;780)=0,"",IF(COUNTIFS(m_teacher,AW$4,m_date,($G$2+26),m_active,1,m_start,"&lt;"&amp;840,m_end,"&gt;"&amp;780)&gt;1,"충돌",HYPERLINK("#'관리자_MASTER'!D"&amp;_xlfn.MAXIFS(m_row,m_teacher,AW$4,m_date,($G$2+26),m_active,1,m_start,"&lt;"&amp;840,m_end,"&gt;"&amp;780),INDEX(m_label,_xlfn.MAXIFS(m_row,m_teacher,AW$4,m_date,($G$2+26),m_active,1,m_start,"&lt;"&amp;840,m_end,"&gt;"&amp;780))))))</f>
        <v/>
      </c>
      <c r="AX64" s="88" t="str">
        <f aca="false">IF(OR(AX$4="",MONTH(($G$2+26))&lt;&gt;MONTH($C$2)),"",IF(COUNTIFS(m_teacher,AX$4,m_date,($G$2+26),m_active,1,m_start,"&lt;"&amp;840,m_end,"&gt;"&amp;780)=0,"",IF(COUNTIFS(m_teacher,AX$4,m_date,($G$2+26),m_active,1,m_start,"&lt;"&amp;840,m_end,"&gt;"&amp;780)&gt;1,"충돌",HYPERLINK("#'관리자_MASTER'!D"&amp;_xlfn.MAXIFS(m_row,m_teacher,AX$4,m_date,($G$2+26),m_active,1,m_start,"&lt;"&amp;840,m_end,"&gt;"&amp;780),INDEX(m_label,_xlfn.MAXIFS(m_row,m_teacher,AX$4,m_date,($G$2+26),m_active,1,m_start,"&lt;"&amp;840,m_end,"&gt;"&amp;780))))))</f>
        <v/>
      </c>
      <c r="AY64" s="88" t="str">
        <f aca="false">IF(OR(AY$4="",MONTH(($G$2+26))&lt;&gt;MONTH($C$2)),"",IF(COUNTIFS(m_teacher,AY$4,m_date,($G$2+26),m_active,1,m_start,"&lt;"&amp;840,m_end,"&gt;"&amp;780)=0,"",IF(COUNTIFS(m_teacher,AY$4,m_date,($G$2+26),m_active,1,m_start,"&lt;"&amp;840,m_end,"&gt;"&amp;780)&gt;1,"충돌",HYPERLINK("#'관리자_MASTER'!D"&amp;_xlfn.MAXIFS(m_row,m_teacher,AY$4,m_date,($G$2+26),m_active,1,m_start,"&lt;"&amp;840,m_end,"&gt;"&amp;780),INDEX(m_label,_xlfn.MAXIFS(m_row,m_teacher,AY$4,m_date,($G$2+26),m_active,1,m_start,"&lt;"&amp;840,m_end,"&gt;"&amp;780))))))</f>
        <v/>
      </c>
      <c r="AZ64" s="88" t="str">
        <f aca="false">IF(OR(AZ$4="",MONTH(($G$2+26))&lt;&gt;MONTH($C$2)),"",IF(COUNTIFS(m_teacher,AZ$4,m_date,($G$2+26),m_active,1,m_start,"&lt;"&amp;840,m_end,"&gt;"&amp;780)=0,"",IF(COUNTIFS(m_teacher,AZ$4,m_date,($G$2+26),m_active,1,m_start,"&lt;"&amp;840,m_end,"&gt;"&amp;780)&gt;1,"충돌",HYPERLINK("#'관리자_MASTER'!D"&amp;_xlfn.MAXIFS(m_row,m_teacher,AZ$4,m_date,($G$2+26),m_active,1,m_start,"&lt;"&amp;840,m_end,"&gt;"&amp;780),INDEX(m_label,_xlfn.MAXIFS(m_row,m_teacher,AZ$4,m_date,($G$2+26),m_active,1,m_start,"&lt;"&amp;840,m_end,"&gt;"&amp;780))))))</f>
        <v/>
      </c>
      <c r="BA64" s="88" t="str">
        <f aca="false">IF(OR(BA$4="",MONTH(($G$2+26))&lt;&gt;MONTH($C$2)),"",IF(COUNTIFS(m_teacher,BA$4,m_date,($G$2+26),m_active,1,m_start,"&lt;"&amp;840,m_end,"&gt;"&amp;780)=0,"",IF(COUNTIFS(m_teacher,BA$4,m_date,($G$2+26),m_active,1,m_start,"&lt;"&amp;840,m_end,"&gt;"&amp;780)&gt;1,"충돌",HYPERLINK("#'관리자_MASTER'!D"&amp;_xlfn.MAXIFS(m_row,m_teacher,BA$4,m_date,($G$2+26),m_active,1,m_start,"&lt;"&amp;840,m_end,"&gt;"&amp;780),INDEX(m_label,_xlfn.MAXIFS(m_row,m_teacher,BA$4,m_date,($G$2+26),m_active,1,m_start,"&lt;"&amp;840,m_end,"&gt;"&amp;780))))))</f>
        <v/>
      </c>
      <c r="BB64" s="88" t="str">
        <f aca="false">IF(OR(BB$4="",MONTH(($G$2+26))&lt;&gt;MONTH($C$2)),"",IF(COUNTIFS(m_teacher,BB$4,m_date,($G$2+26),m_active,1,m_start,"&lt;"&amp;840,m_end,"&gt;"&amp;780)=0,"",IF(COUNTIFS(m_teacher,BB$4,m_date,($G$2+26),m_active,1,m_start,"&lt;"&amp;840,m_end,"&gt;"&amp;780)&gt;1,"충돌",HYPERLINK("#'관리자_MASTER'!D"&amp;_xlfn.MAXIFS(m_row,m_teacher,BB$4,m_date,($G$2+26),m_active,1,m_start,"&lt;"&amp;840,m_end,"&gt;"&amp;780),INDEX(m_label,_xlfn.MAXIFS(m_row,m_teacher,BB$4,m_date,($G$2+26),m_active,1,m_start,"&lt;"&amp;840,m_end,"&gt;"&amp;780))))))</f>
        <v/>
      </c>
      <c r="BC64" s="88" t="str">
        <f aca="false">IF(OR(BC$4="",MONTH(($G$2+26))&lt;&gt;MONTH($C$2)),"",IF(COUNTIFS(m_teacher,BC$4,m_date,($G$2+26),m_active,1,m_start,"&lt;"&amp;840,m_end,"&gt;"&amp;780)=0,"",IF(COUNTIFS(m_teacher,BC$4,m_date,($G$2+26),m_active,1,m_start,"&lt;"&amp;840,m_end,"&gt;"&amp;780)&gt;1,"충돌",HYPERLINK("#'관리자_MASTER'!D"&amp;_xlfn.MAXIFS(m_row,m_teacher,BC$4,m_date,($G$2+26),m_active,1,m_start,"&lt;"&amp;840,m_end,"&gt;"&amp;780),INDEX(m_label,_xlfn.MAXIFS(m_row,m_teacher,BC$4,m_date,($G$2+26),m_active,1,m_start,"&lt;"&amp;840,m_end,"&gt;"&amp;780))))))</f>
        <v/>
      </c>
      <c r="BD64" s="88" t="str">
        <f aca="false">IF(OR(BD$4="",MONTH(($G$2+26))&lt;&gt;MONTH($C$2)),"",IF(COUNTIFS(m_teacher,BD$4,m_date,($G$2+26),m_active,1,m_start,"&lt;"&amp;840,m_end,"&gt;"&amp;780)=0,"",IF(COUNTIFS(m_teacher,BD$4,m_date,($G$2+26),m_active,1,m_start,"&lt;"&amp;840,m_end,"&gt;"&amp;780)&gt;1,"충돌",HYPERLINK("#'관리자_MASTER'!D"&amp;_xlfn.MAXIFS(m_row,m_teacher,BD$4,m_date,($G$2+26),m_active,1,m_start,"&lt;"&amp;840,m_end,"&gt;"&amp;780),INDEX(m_label,_xlfn.MAXIFS(m_row,m_teacher,BD$4,m_date,($G$2+26),m_active,1,m_start,"&lt;"&amp;840,m_end,"&gt;"&amp;780))))))</f>
        <v/>
      </c>
      <c r="BE64" s="91"/>
      <c r="BF64" s="76" t="s">
        <v>95</v>
      </c>
      <c r="BG64" s="81" t="str">
        <f aca="false">IF(OR(BG$4="",MONTH(($G$2+33))&lt;&gt;MONTH($C$2)),"",IF(COUNTIFS(m_teacher,BG$4,m_date,($G$2+33),m_active,1,m_start,"&lt;"&amp;840,m_end,"&gt;"&amp;780)=0,"",IF(COUNTIFS(m_teacher,BG$4,m_date,($G$2+33),m_active,1,m_start,"&lt;"&amp;840,m_end,"&gt;"&amp;780)&gt;1,"충돌",HYPERLINK("#'관리자_MASTER'!D"&amp;_xlfn.MAXIFS(m_row,m_teacher,BG$4,m_date,($G$2+33),m_active,1,m_start,"&lt;"&amp;840,m_end,"&gt;"&amp;780),INDEX(m_label,_xlfn.MAXIFS(m_row,m_teacher,BG$4,m_date,($G$2+33),m_active,1,m_start,"&lt;"&amp;840,m_end,"&gt;"&amp;780))))))</f>
        <v/>
      </c>
      <c r="BH64" s="81" t="str">
        <f aca="false">IF(OR(BH$4="",MONTH(($G$2+33))&lt;&gt;MONTH($C$2)),"",IF(COUNTIFS(m_teacher,BH$4,m_date,($G$2+33),m_active,1,m_start,"&lt;"&amp;840,m_end,"&gt;"&amp;780)=0,"",IF(COUNTIFS(m_teacher,BH$4,m_date,($G$2+33),m_active,1,m_start,"&lt;"&amp;840,m_end,"&gt;"&amp;780)&gt;1,"충돌",HYPERLINK("#'관리자_MASTER'!D"&amp;_xlfn.MAXIFS(m_row,m_teacher,BH$4,m_date,($G$2+33),m_active,1,m_start,"&lt;"&amp;840,m_end,"&gt;"&amp;780),INDEX(m_label,_xlfn.MAXIFS(m_row,m_teacher,BH$4,m_date,($G$2+33),m_active,1,m_start,"&lt;"&amp;840,m_end,"&gt;"&amp;780))))))</f>
        <v/>
      </c>
      <c r="BI64" s="81" t="str">
        <f aca="false">IF(OR(BI$4="",MONTH(($G$2+33))&lt;&gt;MONTH($C$2)),"",IF(COUNTIFS(m_teacher,BI$4,m_date,($G$2+33),m_active,1,m_start,"&lt;"&amp;840,m_end,"&gt;"&amp;780)=0,"",IF(COUNTIFS(m_teacher,BI$4,m_date,($G$2+33),m_active,1,m_start,"&lt;"&amp;840,m_end,"&gt;"&amp;780)&gt;1,"충돌",HYPERLINK("#'관리자_MASTER'!D"&amp;_xlfn.MAXIFS(m_row,m_teacher,BI$4,m_date,($G$2+33),m_active,1,m_start,"&lt;"&amp;840,m_end,"&gt;"&amp;780),INDEX(m_label,_xlfn.MAXIFS(m_row,m_teacher,BI$4,m_date,($G$2+33),m_active,1,m_start,"&lt;"&amp;840,m_end,"&gt;"&amp;780))))))</f>
        <v/>
      </c>
      <c r="BJ64" s="81" t="str">
        <f aca="false">IF(OR(BJ$4="",MONTH(($G$2+33))&lt;&gt;MONTH($C$2)),"",IF(COUNTIFS(m_teacher,BJ$4,m_date,($G$2+33),m_active,1,m_start,"&lt;"&amp;840,m_end,"&gt;"&amp;780)=0,"",IF(COUNTIFS(m_teacher,BJ$4,m_date,($G$2+33),m_active,1,m_start,"&lt;"&amp;840,m_end,"&gt;"&amp;780)&gt;1,"충돌",HYPERLINK("#'관리자_MASTER'!D"&amp;_xlfn.MAXIFS(m_row,m_teacher,BJ$4,m_date,($G$2+33),m_active,1,m_start,"&lt;"&amp;840,m_end,"&gt;"&amp;780),INDEX(m_label,_xlfn.MAXIFS(m_row,m_teacher,BJ$4,m_date,($G$2+33),m_active,1,m_start,"&lt;"&amp;840,m_end,"&gt;"&amp;780))))))</f>
        <v/>
      </c>
      <c r="BK64" s="81" t="str">
        <f aca="false">IF(OR(BK$4="",MONTH(($G$2+33))&lt;&gt;MONTH($C$2)),"",IF(COUNTIFS(m_teacher,BK$4,m_date,($G$2+33),m_active,1,m_start,"&lt;"&amp;840,m_end,"&gt;"&amp;780)=0,"",IF(COUNTIFS(m_teacher,BK$4,m_date,($G$2+33),m_active,1,m_start,"&lt;"&amp;840,m_end,"&gt;"&amp;780)&gt;1,"충돌",HYPERLINK("#'관리자_MASTER'!D"&amp;_xlfn.MAXIFS(m_row,m_teacher,BK$4,m_date,($G$2+33),m_active,1,m_start,"&lt;"&amp;840,m_end,"&gt;"&amp;780),INDEX(m_label,_xlfn.MAXIFS(m_row,m_teacher,BK$4,m_date,($G$2+33),m_active,1,m_start,"&lt;"&amp;840,m_end,"&gt;"&amp;780))))))</f>
        <v/>
      </c>
      <c r="BL64" s="81" t="str">
        <f aca="false">IF(OR(BL$4="",MONTH(($G$2+33))&lt;&gt;MONTH($C$2)),"",IF(COUNTIFS(m_teacher,BL$4,m_date,($G$2+33),m_active,1,m_start,"&lt;"&amp;840,m_end,"&gt;"&amp;780)=0,"",IF(COUNTIFS(m_teacher,BL$4,m_date,($G$2+33),m_active,1,m_start,"&lt;"&amp;840,m_end,"&gt;"&amp;780)&gt;1,"충돌",HYPERLINK("#'관리자_MASTER'!D"&amp;_xlfn.MAXIFS(m_row,m_teacher,BL$4,m_date,($G$2+33),m_active,1,m_start,"&lt;"&amp;840,m_end,"&gt;"&amp;780),INDEX(m_label,_xlfn.MAXIFS(m_row,m_teacher,BL$4,m_date,($G$2+33),m_active,1,m_start,"&lt;"&amp;840,m_end,"&gt;"&amp;780))))))</f>
        <v/>
      </c>
      <c r="BM64" s="81" t="str">
        <f aca="false">IF(OR(BM$4="",MONTH(($G$2+33))&lt;&gt;MONTH($C$2)),"",IF(COUNTIFS(m_teacher,BM$4,m_date,($G$2+33),m_active,1,m_start,"&lt;"&amp;840,m_end,"&gt;"&amp;780)=0,"",IF(COUNTIFS(m_teacher,BM$4,m_date,($G$2+33),m_active,1,m_start,"&lt;"&amp;840,m_end,"&gt;"&amp;780)&gt;1,"충돌",HYPERLINK("#'관리자_MASTER'!D"&amp;_xlfn.MAXIFS(m_row,m_teacher,BM$4,m_date,($G$2+33),m_active,1,m_start,"&lt;"&amp;840,m_end,"&gt;"&amp;780),INDEX(m_label,_xlfn.MAXIFS(m_row,m_teacher,BM$4,m_date,($G$2+33),m_active,1,m_start,"&lt;"&amp;840,m_end,"&gt;"&amp;780))))))</f>
        <v/>
      </c>
      <c r="BN64" s="81" t="str">
        <f aca="false">IF(OR(BN$4="",MONTH(($G$2+33))&lt;&gt;MONTH($C$2)),"",IF(COUNTIFS(m_teacher,BN$4,m_date,($G$2+33),m_active,1,m_start,"&lt;"&amp;840,m_end,"&gt;"&amp;780)=0,"",IF(COUNTIFS(m_teacher,BN$4,m_date,($G$2+33),m_active,1,m_start,"&lt;"&amp;840,m_end,"&gt;"&amp;780)&gt;1,"충돌",HYPERLINK("#'관리자_MASTER'!D"&amp;_xlfn.MAXIFS(m_row,m_teacher,BN$4,m_date,($G$2+33),m_active,1,m_start,"&lt;"&amp;840,m_end,"&gt;"&amp;780),INDEX(m_label,_xlfn.MAXIFS(m_row,m_teacher,BN$4,m_date,($G$2+33),m_active,1,m_start,"&lt;"&amp;840,m_end,"&gt;"&amp;780))))))</f>
        <v/>
      </c>
      <c r="BO64" s="81" t="str">
        <f aca="false">IF(OR(BO$4="",MONTH(($G$2+33))&lt;&gt;MONTH($C$2)),"",IF(COUNTIFS(m_teacher,BO$4,m_date,($G$2+33),m_active,1,m_start,"&lt;"&amp;840,m_end,"&gt;"&amp;780)=0,"",IF(COUNTIFS(m_teacher,BO$4,m_date,($G$2+33),m_active,1,m_start,"&lt;"&amp;840,m_end,"&gt;"&amp;780)&gt;1,"충돌",HYPERLINK("#'관리자_MASTER'!D"&amp;_xlfn.MAXIFS(m_row,m_teacher,BO$4,m_date,($G$2+33),m_active,1,m_start,"&lt;"&amp;840,m_end,"&gt;"&amp;780),INDEX(m_label,_xlfn.MAXIFS(m_row,m_teacher,BO$4,m_date,($G$2+33),m_active,1,m_start,"&lt;"&amp;840,m_end,"&gt;"&amp;780))))))</f>
        <v/>
      </c>
      <c r="BP64" s="81" t="str">
        <f aca="false">IF(OR(BP$4="",MONTH(($G$2+33))&lt;&gt;MONTH($C$2)),"",IF(COUNTIFS(m_teacher,BP$4,m_date,($G$2+33),m_active,1,m_start,"&lt;"&amp;840,m_end,"&gt;"&amp;780)=0,"",IF(COUNTIFS(m_teacher,BP$4,m_date,($G$2+33),m_active,1,m_start,"&lt;"&amp;840,m_end,"&gt;"&amp;780)&gt;1,"충돌",HYPERLINK("#'관리자_MASTER'!D"&amp;_xlfn.MAXIFS(m_row,m_teacher,BP$4,m_date,($G$2+33),m_active,1,m_start,"&lt;"&amp;840,m_end,"&gt;"&amp;780),INDEX(m_label,_xlfn.MAXIFS(m_row,m_teacher,BP$4,m_date,($G$2+33),m_active,1,m_start,"&lt;"&amp;840,m_end,"&gt;"&amp;780))))))</f>
        <v/>
      </c>
      <c r="BQ64" s="81" t="str">
        <f aca="false">IF(OR(BQ$4="",MONTH(($G$2+33))&lt;&gt;MONTH($C$2)),"",IF(COUNTIFS(m_teacher,BQ$4,m_date,($G$2+33),m_active,1,m_start,"&lt;"&amp;840,m_end,"&gt;"&amp;780)=0,"",IF(COUNTIFS(m_teacher,BQ$4,m_date,($G$2+33),m_active,1,m_start,"&lt;"&amp;840,m_end,"&gt;"&amp;780)&gt;1,"충돌",HYPERLINK("#'관리자_MASTER'!D"&amp;_xlfn.MAXIFS(m_row,m_teacher,BQ$4,m_date,($G$2+33),m_active,1,m_start,"&lt;"&amp;840,m_end,"&gt;"&amp;780),INDEX(m_label,_xlfn.MAXIFS(m_row,m_teacher,BQ$4,m_date,($G$2+33),m_active,1,m_start,"&lt;"&amp;840,m_end,"&gt;"&amp;780))))))</f>
        <v/>
      </c>
      <c r="BR64" s="81" t="str">
        <f aca="false">IF(OR(BR$4="",MONTH(($G$2+33))&lt;&gt;MONTH($C$2)),"",IF(COUNTIFS(m_teacher,BR$4,m_date,($G$2+33),m_active,1,m_start,"&lt;"&amp;840,m_end,"&gt;"&amp;780)=0,"",IF(COUNTIFS(m_teacher,BR$4,m_date,($G$2+33),m_active,1,m_start,"&lt;"&amp;840,m_end,"&gt;"&amp;780)&gt;1,"충돌",HYPERLINK("#'관리자_MASTER'!D"&amp;_xlfn.MAXIFS(m_row,m_teacher,BR$4,m_date,($G$2+33),m_active,1,m_start,"&lt;"&amp;840,m_end,"&gt;"&amp;780),INDEX(m_label,_xlfn.MAXIFS(m_row,m_teacher,BR$4,m_date,($G$2+33),m_active,1,m_start,"&lt;"&amp;840,m_end,"&gt;"&amp;780))))))</f>
        <v/>
      </c>
    </row>
    <row r="65" customFormat="false" ht="19.5" hidden="false" customHeight="true" outlineLevel="0" collapsed="false">
      <c r="A65" s="90"/>
      <c r="B65" s="79" t="s">
        <v>96</v>
      </c>
      <c r="C65" s="88" t="str">
        <f aca="false">IF(OR(C$4="",MONTH(($G$2+5))&lt;&gt;MONTH($C$2)),"",IF(COUNTIFS(m_teacher,C$4,m_date,($G$2+5),m_active,1,m_start,"&lt;"&amp;900,m_end,"&gt;"&amp;840)=0,"",IF(COUNTIFS(m_teacher,C$4,m_date,($G$2+5),m_active,1,m_start,"&lt;"&amp;900,m_end,"&gt;"&amp;840)&gt;1,"충돌",HYPERLINK("#'관리자_MASTER'!D"&amp;_xlfn.MAXIFS(m_row,m_teacher,C$4,m_date,($G$2+5),m_active,1,m_start,"&lt;"&amp;900,m_end,"&gt;"&amp;840),INDEX(m_label,_xlfn.MAXIFS(m_row,m_teacher,C$4,m_date,($G$2+5),m_active,1,m_start,"&lt;"&amp;900,m_end,"&gt;"&amp;840))))))</f>
        <v/>
      </c>
      <c r="D65" s="88" t="str">
        <f aca="false">IF(OR(D$4="",MONTH(($G$2+5))&lt;&gt;MONTH($C$2)),"",IF(COUNTIFS(m_teacher,D$4,m_date,($G$2+5),m_active,1,m_start,"&lt;"&amp;900,m_end,"&gt;"&amp;840)=0,"",IF(COUNTIFS(m_teacher,D$4,m_date,($G$2+5),m_active,1,m_start,"&lt;"&amp;900,m_end,"&gt;"&amp;840)&gt;1,"충돌",HYPERLINK("#'관리자_MASTER'!D"&amp;_xlfn.MAXIFS(m_row,m_teacher,D$4,m_date,($G$2+5),m_active,1,m_start,"&lt;"&amp;900,m_end,"&gt;"&amp;840),INDEX(m_label,_xlfn.MAXIFS(m_row,m_teacher,D$4,m_date,($G$2+5),m_active,1,m_start,"&lt;"&amp;900,m_end,"&gt;"&amp;840))))))</f>
        <v/>
      </c>
      <c r="E65" s="88" t="str">
        <f aca="false">IF(OR(E$4="",MONTH(($G$2+5))&lt;&gt;MONTH($C$2)),"",IF(COUNTIFS(m_teacher,E$4,m_date,($G$2+5),m_active,1,m_start,"&lt;"&amp;900,m_end,"&gt;"&amp;840)=0,"",IF(COUNTIFS(m_teacher,E$4,m_date,($G$2+5),m_active,1,m_start,"&lt;"&amp;900,m_end,"&gt;"&amp;840)&gt;1,"충돌",HYPERLINK("#'관리자_MASTER'!D"&amp;_xlfn.MAXIFS(m_row,m_teacher,E$4,m_date,($G$2+5),m_active,1,m_start,"&lt;"&amp;900,m_end,"&gt;"&amp;840),INDEX(m_label,_xlfn.MAXIFS(m_row,m_teacher,E$4,m_date,($G$2+5),m_active,1,m_start,"&lt;"&amp;900,m_end,"&gt;"&amp;840))))))</f>
        <v/>
      </c>
      <c r="F65" s="88" t="str">
        <f aca="false">IF(OR(F$4="",MONTH(($G$2+5))&lt;&gt;MONTH($C$2)),"",IF(COUNTIFS(m_teacher,F$4,m_date,($G$2+5),m_active,1,m_start,"&lt;"&amp;900,m_end,"&gt;"&amp;840)=0,"",IF(COUNTIFS(m_teacher,F$4,m_date,($G$2+5),m_active,1,m_start,"&lt;"&amp;900,m_end,"&gt;"&amp;840)&gt;1,"충돌",HYPERLINK("#'관리자_MASTER'!D"&amp;_xlfn.MAXIFS(m_row,m_teacher,F$4,m_date,($G$2+5),m_active,1,m_start,"&lt;"&amp;900,m_end,"&gt;"&amp;840),INDEX(m_label,_xlfn.MAXIFS(m_row,m_teacher,F$4,m_date,($G$2+5),m_active,1,m_start,"&lt;"&amp;900,m_end,"&gt;"&amp;840))))))</f>
        <v/>
      </c>
      <c r="G65" s="88" t="str">
        <f aca="false">IF(OR(G$4="",MONTH(($G$2+5))&lt;&gt;MONTH($C$2)),"",IF(COUNTIFS(m_teacher,G$4,m_date,($G$2+5),m_active,1,m_start,"&lt;"&amp;900,m_end,"&gt;"&amp;840)=0,"",IF(COUNTIFS(m_teacher,G$4,m_date,($G$2+5),m_active,1,m_start,"&lt;"&amp;900,m_end,"&gt;"&amp;840)&gt;1,"충돌",HYPERLINK("#'관리자_MASTER'!D"&amp;_xlfn.MAXIFS(m_row,m_teacher,G$4,m_date,($G$2+5),m_active,1,m_start,"&lt;"&amp;900,m_end,"&gt;"&amp;840),INDEX(m_label,_xlfn.MAXIFS(m_row,m_teacher,G$4,m_date,($G$2+5),m_active,1,m_start,"&lt;"&amp;900,m_end,"&gt;"&amp;840))))))</f>
        <v/>
      </c>
      <c r="H65" s="88" t="str">
        <f aca="false">IF(OR(H$4="",MONTH(($G$2+5))&lt;&gt;MONTH($C$2)),"",IF(COUNTIFS(m_teacher,H$4,m_date,($G$2+5),m_active,1,m_start,"&lt;"&amp;900,m_end,"&gt;"&amp;840)=0,"",IF(COUNTIFS(m_teacher,H$4,m_date,($G$2+5),m_active,1,m_start,"&lt;"&amp;900,m_end,"&gt;"&amp;840)&gt;1,"충돌",HYPERLINK("#'관리자_MASTER'!D"&amp;_xlfn.MAXIFS(m_row,m_teacher,H$4,m_date,($G$2+5),m_active,1,m_start,"&lt;"&amp;900,m_end,"&gt;"&amp;840),INDEX(m_label,_xlfn.MAXIFS(m_row,m_teacher,H$4,m_date,($G$2+5),m_active,1,m_start,"&lt;"&amp;900,m_end,"&gt;"&amp;840))))))</f>
        <v/>
      </c>
      <c r="I65" s="88" t="str">
        <f aca="false">IF(OR(I$4="",MONTH(($G$2+5))&lt;&gt;MONTH($C$2)),"",IF(COUNTIFS(m_teacher,I$4,m_date,($G$2+5),m_active,1,m_start,"&lt;"&amp;900,m_end,"&gt;"&amp;840)=0,"",IF(COUNTIFS(m_teacher,I$4,m_date,($G$2+5),m_active,1,m_start,"&lt;"&amp;900,m_end,"&gt;"&amp;840)&gt;1,"충돌",HYPERLINK("#'관리자_MASTER'!D"&amp;_xlfn.MAXIFS(m_row,m_teacher,I$4,m_date,($G$2+5),m_active,1,m_start,"&lt;"&amp;900,m_end,"&gt;"&amp;840),INDEX(m_label,_xlfn.MAXIFS(m_row,m_teacher,I$4,m_date,($G$2+5),m_active,1,m_start,"&lt;"&amp;900,m_end,"&gt;"&amp;840))))))</f>
        <v/>
      </c>
      <c r="J65" s="88" t="str">
        <f aca="false">IF(OR(J$4="",MONTH(($G$2+5))&lt;&gt;MONTH($C$2)),"",IF(COUNTIFS(m_teacher,J$4,m_date,($G$2+5),m_active,1,m_start,"&lt;"&amp;900,m_end,"&gt;"&amp;840)=0,"",IF(COUNTIFS(m_teacher,J$4,m_date,($G$2+5),m_active,1,m_start,"&lt;"&amp;900,m_end,"&gt;"&amp;840)&gt;1,"충돌",HYPERLINK("#'관리자_MASTER'!D"&amp;_xlfn.MAXIFS(m_row,m_teacher,J$4,m_date,($G$2+5),m_active,1,m_start,"&lt;"&amp;900,m_end,"&gt;"&amp;840),INDEX(m_label,_xlfn.MAXIFS(m_row,m_teacher,J$4,m_date,($G$2+5),m_active,1,m_start,"&lt;"&amp;900,m_end,"&gt;"&amp;840))))))</f>
        <v/>
      </c>
      <c r="K65" s="88" t="str">
        <f aca="false">IF(OR(K$4="",MONTH(($G$2+5))&lt;&gt;MONTH($C$2)),"",IF(COUNTIFS(m_teacher,K$4,m_date,($G$2+5),m_active,1,m_start,"&lt;"&amp;900,m_end,"&gt;"&amp;840)=0,"",IF(COUNTIFS(m_teacher,K$4,m_date,($G$2+5),m_active,1,m_start,"&lt;"&amp;900,m_end,"&gt;"&amp;840)&gt;1,"충돌",HYPERLINK("#'관리자_MASTER'!D"&amp;_xlfn.MAXIFS(m_row,m_teacher,K$4,m_date,($G$2+5),m_active,1,m_start,"&lt;"&amp;900,m_end,"&gt;"&amp;840),INDEX(m_label,_xlfn.MAXIFS(m_row,m_teacher,K$4,m_date,($G$2+5),m_active,1,m_start,"&lt;"&amp;900,m_end,"&gt;"&amp;840))))))</f>
        <v/>
      </c>
      <c r="L65" s="88" t="str">
        <f aca="false">IF(OR(L$4="",MONTH(($G$2+5))&lt;&gt;MONTH($C$2)),"",IF(COUNTIFS(m_teacher,L$4,m_date,($G$2+5),m_active,1,m_start,"&lt;"&amp;900,m_end,"&gt;"&amp;840)=0,"",IF(COUNTIFS(m_teacher,L$4,m_date,($G$2+5),m_active,1,m_start,"&lt;"&amp;900,m_end,"&gt;"&amp;840)&gt;1,"충돌",HYPERLINK("#'관리자_MASTER'!D"&amp;_xlfn.MAXIFS(m_row,m_teacher,L$4,m_date,($G$2+5),m_active,1,m_start,"&lt;"&amp;900,m_end,"&gt;"&amp;840),INDEX(m_label,_xlfn.MAXIFS(m_row,m_teacher,L$4,m_date,($G$2+5),m_active,1,m_start,"&lt;"&amp;900,m_end,"&gt;"&amp;840))))))</f>
        <v/>
      </c>
      <c r="M65" s="88" t="str">
        <f aca="false">IF(OR(M$4="",MONTH(($G$2+5))&lt;&gt;MONTH($C$2)),"",IF(COUNTIFS(m_teacher,M$4,m_date,($G$2+5),m_active,1,m_start,"&lt;"&amp;900,m_end,"&gt;"&amp;840)=0,"",IF(COUNTIFS(m_teacher,M$4,m_date,($G$2+5),m_active,1,m_start,"&lt;"&amp;900,m_end,"&gt;"&amp;840)&gt;1,"충돌",HYPERLINK("#'관리자_MASTER'!D"&amp;_xlfn.MAXIFS(m_row,m_teacher,M$4,m_date,($G$2+5),m_active,1,m_start,"&lt;"&amp;900,m_end,"&gt;"&amp;840),INDEX(m_label,_xlfn.MAXIFS(m_row,m_teacher,M$4,m_date,($G$2+5),m_active,1,m_start,"&lt;"&amp;900,m_end,"&gt;"&amp;840))))))</f>
        <v/>
      </c>
      <c r="N65" s="88" t="str">
        <f aca="false">IF(OR(N$4="",MONTH(($G$2+5))&lt;&gt;MONTH($C$2)),"",IF(COUNTIFS(m_teacher,N$4,m_date,($G$2+5),m_active,1,m_start,"&lt;"&amp;900,m_end,"&gt;"&amp;840)=0,"",IF(COUNTIFS(m_teacher,N$4,m_date,($G$2+5),m_active,1,m_start,"&lt;"&amp;900,m_end,"&gt;"&amp;840)&gt;1,"충돌",HYPERLINK("#'관리자_MASTER'!D"&amp;_xlfn.MAXIFS(m_row,m_teacher,N$4,m_date,($G$2+5),m_active,1,m_start,"&lt;"&amp;900,m_end,"&gt;"&amp;840),INDEX(m_label,_xlfn.MAXIFS(m_row,m_teacher,N$4,m_date,($G$2+5),m_active,1,m_start,"&lt;"&amp;900,m_end,"&gt;"&amp;840))))))</f>
        <v/>
      </c>
      <c r="O65" s="90"/>
      <c r="P65" s="79" t="s">
        <v>96</v>
      </c>
      <c r="Q65" s="88" t="str">
        <f aca="false">IF(OR(Q$4="",MONTH(($G$2+12))&lt;&gt;MONTH($C$2)),"",IF(COUNTIFS(m_teacher,Q$4,m_date,($G$2+12),m_active,1,m_start,"&lt;"&amp;900,m_end,"&gt;"&amp;840)=0,"",IF(COUNTIFS(m_teacher,Q$4,m_date,($G$2+12),m_active,1,m_start,"&lt;"&amp;900,m_end,"&gt;"&amp;840)&gt;1,"충돌",HYPERLINK("#'관리자_MASTER'!D"&amp;_xlfn.MAXIFS(m_row,m_teacher,Q$4,m_date,($G$2+12),m_active,1,m_start,"&lt;"&amp;900,m_end,"&gt;"&amp;840),INDEX(m_label,_xlfn.MAXIFS(m_row,m_teacher,Q$4,m_date,($G$2+12),m_active,1,m_start,"&lt;"&amp;900,m_end,"&gt;"&amp;840))))))</f>
        <v/>
      </c>
      <c r="R65" s="88" t="str">
        <f aca="false">IF(OR(R$4="",MONTH(($G$2+12))&lt;&gt;MONTH($C$2)),"",IF(COUNTIFS(m_teacher,R$4,m_date,($G$2+12),m_active,1,m_start,"&lt;"&amp;900,m_end,"&gt;"&amp;840)=0,"",IF(COUNTIFS(m_teacher,R$4,m_date,($G$2+12),m_active,1,m_start,"&lt;"&amp;900,m_end,"&gt;"&amp;840)&gt;1,"충돌",HYPERLINK("#'관리자_MASTER'!D"&amp;_xlfn.MAXIFS(m_row,m_teacher,R$4,m_date,($G$2+12),m_active,1,m_start,"&lt;"&amp;900,m_end,"&gt;"&amp;840),INDEX(m_label,_xlfn.MAXIFS(m_row,m_teacher,R$4,m_date,($G$2+12),m_active,1,m_start,"&lt;"&amp;900,m_end,"&gt;"&amp;840))))))</f>
        <v/>
      </c>
      <c r="S65" s="88" t="str">
        <f aca="false">IF(OR(S$4="",MONTH(($G$2+12))&lt;&gt;MONTH($C$2)),"",IF(COUNTIFS(m_teacher,S$4,m_date,($G$2+12),m_active,1,m_start,"&lt;"&amp;900,m_end,"&gt;"&amp;840)=0,"",IF(COUNTIFS(m_teacher,S$4,m_date,($G$2+12),m_active,1,m_start,"&lt;"&amp;900,m_end,"&gt;"&amp;840)&gt;1,"충돌",HYPERLINK("#'관리자_MASTER'!D"&amp;_xlfn.MAXIFS(m_row,m_teacher,S$4,m_date,($G$2+12),m_active,1,m_start,"&lt;"&amp;900,m_end,"&gt;"&amp;840),INDEX(m_label,_xlfn.MAXIFS(m_row,m_teacher,S$4,m_date,($G$2+12),m_active,1,m_start,"&lt;"&amp;900,m_end,"&gt;"&amp;840))))))</f>
        <v/>
      </c>
      <c r="T65" s="88" t="str">
        <f aca="false">IF(OR(T$4="",MONTH(($G$2+12))&lt;&gt;MONTH($C$2)),"",IF(COUNTIFS(m_teacher,T$4,m_date,($G$2+12),m_active,1,m_start,"&lt;"&amp;900,m_end,"&gt;"&amp;840)=0,"",IF(COUNTIFS(m_teacher,T$4,m_date,($G$2+12),m_active,1,m_start,"&lt;"&amp;900,m_end,"&gt;"&amp;840)&gt;1,"충돌",HYPERLINK("#'관리자_MASTER'!D"&amp;_xlfn.MAXIFS(m_row,m_teacher,T$4,m_date,($G$2+12),m_active,1,m_start,"&lt;"&amp;900,m_end,"&gt;"&amp;840),INDEX(m_label,_xlfn.MAXIFS(m_row,m_teacher,T$4,m_date,($G$2+12),m_active,1,m_start,"&lt;"&amp;900,m_end,"&gt;"&amp;840))))))</f>
        <v/>
      </c>
      <c r="U65" s="88" t="str">
        <f aca="false">IF(OR(U$4="",MONTH(($G$2+12))&lt;&gt;MONTH($C$2)),"",IF(COUNTIFS(m_teacher,U$4,m_date,($G$2+12),m_active,1,m_start,"&lt;"&amp;900,m_end,"&gt;"&amp;840)=0,"",IF(COUNTIFS(m_teacher,U$4,m_date,($G$2+12),m_active,1,m_start,"&lt;"&amp;900,m_end,"&gt;"&amp;840)&gt;1,"충돌",HYPERLINK("#'관리자_MASTER'!D"&amp;_xlfn.MAXIFS(m_row,m_teacher,U$4,m_date,($G$2+12),m_active,1,m_start,"&lt;"&amp;900,m_end,"&gt;"&amp;840),INDEX(m_label,_xlfn.MAXIFS(m_row,m_teacher,U$4,m_date,($G$2+12),m_active,1,m_start,"&lt;"&amp;900,m_end,"&gt;"&amp;840))))))</f>
        <v/>
      </c>
      <c r="V65" s="88" t="str">
        <f aca="false">IF(OR(V$4="",MONTH(($G$2+12))&lt;&gt;MONTH($C$2)),"",IF(COUNTIFS(m_teacher,V$4,m_date,($G$2+12),m_active,1,m_start,"&lt;"&amp;900,m_end,"&gt;"&amp;840)=0,"",IF(COUNTIFS(m_teacher,V$4,m_date,($G$2+12),m_active,1,m_start,"&lt;"&amp;900,m_end,"&gt;"&amp;840)&gt;1,"충돌",HYPERLINK("#'관리자_MASTER'!D"&amp;_xlfn.MAXIFS(m_row,m_teacher,V$4,m_date,($G$2+12),m_active,1,m_start,"&lt;"&amp;900,m_end,"&gt;"&amp;840),INDEX(m_label,_xlfn.MAXIFS(m_row,m_teacher,V$4,m_date,($G$2+12),m_active,1,m_start,"&lt;"&amp;900,m_end,"&gt;"&amp;840))))))</f>
        <v/>
      </c>
      <c r="W65" s="88" t="str">
        <f aca="false">IF(OR(W$4="",MONTH(($G$2+12))&lt;&gt;MONTH($C$2)),"",IF(COUNTIFS(m_teacher,W$4,m_date,($G$2+12),m_active,1,m_start,"&lt;"&amp;900,m_end,"&gt;"&amp;840)=0,"",IF(COUNTIFS(m_teacher,W$4,m_date,($G$2+12),m_active,1,m_start,"&lt;"&amp;900,m_end,"&gt;"&amp;840)&gt;1,"충돌",HYPERLINK("#'관리자_MASTER'!D"&amp;_xlfn.MAXIFS(m_row,m_teacher,W$4,m_date,($G$2+12),m_active,1,m_start,"&lt;"&amp;900,m_end,"&gt;"&amp;840),INDEX(m_label,_xlfn.MAXIFS(m_row,m_teacher,W$4,m_date,($G$2+12),m_active,1,m_start,"&lt;"&amp;900,m_end,"&gt;"&amp;840))))))</f>
        <v/>
      </c>
      <c r="X65" s="88" t="str">
        <f aca="false">IF(OR(X$4="",MONTH(($G$2+12))&lt;&gt;MONTH($C$2)),"",IF(COUNTIFS(m_teacher,X$4,m_date,($G$2+12),m_active,1,m_start,"&lt;"&amp;900,m_end,"&gt;"&amp;840)=0,"",IF(COUNTIFS(m_teacher,X$4,m_date,($G$2+12),m_active,1,m_start,"&lt;"&amp;900,m_end,"&gt;"&amp;840)&gt;1,"충돌",HYPERLINK("#'관리자_MASTER'!D"&amp;_xlfn.MAXIFS(m_row,m_teacher,X$4,m_date,($G$2+12),m_active,1,m_start,"&lt;"&amp;900,m_end,"&gt;"&amp;840),INDEX(m_label,_xlfn.MAXIFS(m_row,m_teacher,X$4,m_date,($G$2+12),m_active,1,m_start,"&lt;"&amp;900,m_end,"&gt;"&amp;840))))))</f>
        <v/>
      </c>
      <c r="Y65" s="88" t="str">
        <f aca="false">IF(OR(Y$4="",MONTH(($G$2+12))&lt;&gt;MONTH($C$2)),"",IF(COUNTIFS(m_teacher,Y$4,m_date,($G$2+12),m_active,1,m_start,"&lt;"&amp;900,m_end,"&gt;"&amp;840)=0,"",IF(COUNTIFS(m_teacher,Y$4,m_date,($G$2+12),m_active,1,m_start,"&lt;"&amp;900,m_end,"&gt;"&amp;840)&gt;1,"충돌",HYPERLINK("#'관리자_MASTER'!D"&amp;_xlfn.MAXIFS(m_row,m_teacher,Y$4,m_date,($G$2+12),m_active,1,m_start,"&lt;"&amp;900,m_end,"&gt;"&amp;840),INDEX(m_label,_xlfn.MAXIFS(m_row,m_teacher,Y$4,m_date,($G$2+12),m_active,1,m_start,"&lt;"&amp;900,m_end,"&gt;"&amp;840))))))</f>
        <v/>
      </c>
      <c r="Z65" s="88" t="str">
        <f aca="false">IF(OR(Z$4="",MONTH(($G$2+12))&lt;&gt;MONTH($C$2)),"",IF(COUNTIFS(m_teacher,Z$4,m_date,($G$2+12),m_active,1,m_start,"&lt;"&amp;900,m_end,"&gt;"&amp;840)=0,"",IF(COUNTIFS(m_teacher,Z$4,m_date,($G$2+12),m_active,1,m_start,"&lt;"&amp;900,m_end,"&gt;"&amp;840)&gt;1,"충돌",HYPERLINK("#'관리자_MASTER'!D"&amp;_xlfn.MAXIFS(m_row,m_teacher,Z$4,m_date,($G$2+12),m_active,1,m_start,"&lt;"&amp;900,m_end,"&gt;"&amp;840),INDEX(m_label,_xlfn.MAXIFS(m_row,m_teacher,Z$4,m_date,($G$2+12),m_active,1,m_start,"&lt;"&amp;900,m_end,"&gt;"&amp;840))))))</f>
        <v/>
      </c>
      <c r="AA65" s="88" t="str">
        <f aca="false">IF(OR(AA$4="",MONTH(($G$2+12))&lt;&gt;MONTH($C$2)),"",IF(COUNTIFS(m_teacher,AA$4,m_date,($G$2+12),m_active,1,m_start,"&lt;"&amp;900,m_end,"&gt;"&amp;840)=0,"",IF(COUNTIFS(m_teacher,AA$4,m_date,($G$2+12),m_active,1,m_start,"&lt;"&amp;900,m_end,"&gt;"&amp;840)&gt;1,"충돌",HYPERLINK("#'관리자_MASTER'!D"&amp;_xlfn.MAXIFS(m_row,m_teacher,AA$4,m_date,($G$2+12),m_active,1,m_start,"&lt;"&amp;900,m_end,"&gt;"&amp;840),INDEX(m_label,_xlfn.MAXIFS(m_row,m_teacher,AA$4,m_date,($G$2+12),m_active,1,m_start,"&lt;"&amp;900,m_end,"&gt;"&amp;840))))))</f>
        <v/>
      </c>
      <c r="AB65" s="88" t="str">
        <f aca="false">IF(OR(AB$4="",MONTH(($G$2+12))&lt;&gt;MONTH($C$2)),"",IF(COUNTIFS(m_teacher,AB$4,m_date,($G$2+12),m_active,1,m_start,"&lt;"&amp;900,m_end,"&gt;"&amp;840)=0,"",IF(COUNTIFS(m_teacher,AB$4,m_date,($G$2+12),m_active,1,m_start,"&lt;"&amp;900,m_end,"&gt;"&amp;840)&gt;1,"충돌",HYPERLINK("#'관리자_MASTER'!D"&amp;_xlfn.MAXIFS(m_row,m_teacher,AB$4,m_date,($G$2+12),m_active,1,m_start,"&lt;"&amp;900,m_end,"&gt;"&amp;840),INDEX(m_label,_xlfn.MAXIFS(m_row,m_teacher,AB$4,m_date,($G$2+12),m_active,1,m_start,"&lt;"&amp;900,m_end,"&gt;"&amp;840))))))</f>
        <v/>
      </c>
      <c r="AC65" s="90"/>
      <c r="AD65" s="79" t="s">
        <v>96</v>
      </c>
      <c r="AE65" s="88" t="str">
        <f aca="false">IF(OR(AE$4="",MONTH(($G$2+19))&lt;&gt;MONTH($C$2)),"",IF(COUNTIFS(m_teacher,AE$4,m_date,($G$2+19),m_active,1,m_start,"&lt;"&amp;900,m_end,"&gt;"&amp;840)=0,"",IF(COUNTIFS(m_teacher,AE$4,m_date,($G$2+19),m_active,1,m_start,"&lt;"&amp;900,m_end,"&gt;"&amp;840)&gt;1,"충돌",HYPERLINK("#'관리자_MASTER'!D"&amp;_xlfn.MAXIFS(m_row,m_teacher,AE$4,m_date,($G$2+19),m_active,1,m_start,"&lt;"&amp;900,m_end,"&gt;"&amp;840),INDEX(m_label,_xlfn.MAXIFS(m_row,m_teacher,AE$4,m_date,($G$2+19),m_active,1,m_start,"&lt;"&amp;900,m_end,"&gt;"&amp;840))))))</f>
        <v/>
      </c>
      <c r="AF65" s="88" t="str">
        <f aca="false">IF(OR(AF$4="",MONTH(($G$2+19))&lt;&gt;MONTH($C$2)),"",IF(COUNTIFS(m_teacher,AF$4,m_date,($G$2+19),m_active,1,m_start,"&lt;"&amp;900,m_end,"&gt;"&amp;840)=0,"",IF(COUNTIFS(m_teacher,AF$4,m_date,($G$2+19),m_active,1,m_start,"&lt;"&amp;900,m_end,"&gt;"&amp;840)&gt;1,"충돌",HYPERLINK("#'관리자_MASTER'!D"&amp;_xlfn.MAXIFS(m_row,m_teacher,AF$4,m_date,($G$2+19),m_active,1,m_start,"&lt;"&amp;900,m_end,"&gt;"&amp;840),INDEX(m_label,_xlfn.MAXIFS(m_row,m_teacher,AF$4,m_date,($G$2+19),m_active,1,m_start,"&lt;"&amp;900,m_end,"&gt;"&amp;840))))))</f>
        <v/>
      </c>
      <c r="AG65" s="88" t="str">
        <f aca="false">IF(OR(AG$4="",MONTH(($G$2+19))&lt;&gt;MONTH($C$2)),"",IF(COUNTIFS(m_teacher,AG$4,m_date,($G$2+19),m_active,1,m_start,"&lt;"&amp;900,m_end,"&gt;"&amp;840)=0,"",IF(COUNTIFS(m_teacher,AG$4,m_date,($G$2+19),m_active,1,m_start,"&lt;"&amp;900,m_end,"&gt;"&amp;840)&gt;1,"충돌",HYPERLINK("#'관리자_MASTER'!D"&amp;_xlfn.MAXIFS(m_row,m_teacher,AG$4,m_date,($G$2+19),m_active,1,m_start,"&lt;"&amp;900,m_end,"&gt;"&amp;840),INDEX(m_label,_xlfn.MAXIFS(m_row,m_teacher,AG$4,m_date,($G$2+19),m_active,1,m_start,"&lt;"&amp;900,m_end,"&gt;"&amp;840))))))</f>
        <v/>
      </c>
      <c r="AH65" s="88" t="str">
        <f aca="false">IF(OR(AH$4="",MONTH(($G$2+19))&lt;&gt;MONTH($C$2)),"",IF(COUNTIFS(m_teacher,AH$4,m_date,($G$2+19),m_active,1,m_start,"&lt;"&amp;900,m_end,"&gt;"&amp;840)=0,"",IF(COUNTIFS(m_teacher,AH$4,m_date,($G$2+19),m_active,1,m_start,"&lt;"&amp;900,m_end,"&gt;"&amp;840)&gt;1,"충돌",HYPERLINK("#'관리자_MASTER'!D"&amp;_xlfn.MAXIFS(m_row,m_teacher,AH$4,m_date,($G$2+19),m_active,1,m_start,"&lt;"&amp;900,m_end,"&gt;"&amp;840),INDEX(m_label,_xlfn.MAXIFS(m_row,m_teacher,AH$4,m_date,($G$2+19),m_active,1,m_start,"&lt;"&amp;900,m_end,"&gt;"&amp;840))))))</f>
        <v/>
      </c>
      <c r="AI65" s="88" t="str">
        <f aca="false">IF(OR(AI$4="",MONTH(($G$2+19))&lt;&gt;MONTH($C$2)),"",IF(COUNTIFS(m_teacher,AI$4,m_date,($G$2+19),m_active,1,m_start,"&lt;"&amp;900,m_end,"&gt;"&amp;840)=0,"",IF(COUNTIFS(m_teacher,AI$4,m_date,($G$2+19),m_active,1,m_start,"&lt;"&amp;900,m_end,"&gt;"&amp;840)&gt;1,"충돌",HYPERLINK("#'관리자_MASTER'!D"&amp;_xlfn.MAXIFS(m_row,m_teacher,AI$4,m_date,($G$2+19),m_active,1,m_start,"&lt;"&amp;900,m_end,"&gt;"&amp;840),INDEX(m_label,_xlfn.MAXIFS(m_row,m_teacher,AI$4,m_date,($G$2+19),m_active,1,m_start,"&lt;"&amp;900,m_end,"&gt;"&amp;840))))))</f>
        <v/>
      </c>
      <c r="AJ65" s="88" t="str">
        <f aca="false">IF(OR(AJ$4="",MONTH(($G$2+19))&lt;&gt;MONTH($C$2)),"",IF(COUNTIFS(m_teacher,AJ$4,m_date,($G$2+19),m_active,1,m_start,"&lt;"&amp;900,m_end,"&gt;"&amp;840)=0,"",IF(COUNTIFS(m_teacher,AJ$4,m_date,($G$2+19),m_active,1,m_start,"&lt;"&amp;900,m_end,"&gt;"&amp;840)&gt;1,"충돌",HYPERLINK("#'관리자_MASTER'!D"&amp;_xlfn.MAXIFS(m_row,m_teacher,AJ$4,m_date,($G$2+19),m_active,1,m_start,"&lt;"&amp;900,m_end,"&gt;"&amp;840),INDEX(m_label,_xlfn.MAXIFS(m_row,m_teacher,AJ$4,m_date,($G$2+19),m_active,1,m_start,"&lt;"&amp;900,m_end,"&gt;"&amp;840))))))</f>
        <v/>
      </c>
      <c r="AK65" s="88" t="str">
        <f aca="false">IF(OR(AK$4="",MONTH(($G$2+19))&lt;&gt;MONTH($C$2)),"",IF(COUNTIFS(m_teacher,AK$4,m_date,($G$2+19),m_active,1,m_start,"&lt;"&amp;900,m_end,"&gt;"&amp;840)=0,"",IF(COUNTIFS(m_teacher,AK$4,m_date,($G$2+19),m_active,1,m_start,"&lt;"&amp;900,m_end,"&gt;"&amp;840)&gt;1,"충돌",HYPERLINK("#'관리자_MASTER'!D"&amp;_xlfn.MAXIFS(m_row,m_teacher,AK$4,m_date,($G$2+19),m_active,1,m_start,"&lt;"&amp;900,m_end,"&gt;"&amp;840),INDEX(m_label,_xlfn.MAXIFS(m_row,m_teacher,AK$4,m_date,($G$2+19),m_active,1,m_start,"&lt;"&amp;900,m_end,"&gt;"&amp;840))))))</f>
        <v/>
      </c>
      <c r="AL65" s="88" t="str">
        <f aca="false">IF(OR(AL$4="",MONTH(($G$2+19))&lt;&gt;MONTH($C$2)),"",IF(COUNTIFS(m_teacher,AL$4,m_date,($G$2+19),m_active,1,m_start,"&lt;"&amp;900,m_end,"&gt;"&amp;840)=0,"",IF(COUNTIFS(m_teacher,AL$4,m_date,($G$2+19),m_active,1,m_start,"&lt;"&amp;900,m_end,"&gt;"&amp;840)&gt;1,"충돌",HYPERLINK("#'관리자_MASTER'!D"&amp;_xlfn.MAXIFS(m_row,m_teacher,AL$4,m_date,($G$2+19),m_active,1,m_start,"&lt;"&amp;900,m_end,"&gt;"&amp;840),INDEX(m_label,_xlfn.MAXIFS(m_row,m_teacher,AL$4,m_date,($G$2+19),m_active,1,m_start,"&lt;"&amp;900,m_end,"&gt;"&amp;840))))))</f>
        <v/>
      </c>
      <c r="AM65" s="88" t="str">
        <f aca="false">IF(OR(AM$4="",MONTH(($G$2+19))&lt;&gt;MONTH($C$2)),"",IF(COUNTIFS(m_teacher,AM$4,m_date,($G$2+19),m_active,1,m_start,"&lt;"&amp;900,m_end,"&gt;"&amp;840)=0,"",IF(COUNTIFS(m_teacher,AM$4,m_date,($G$2+19),m_active,1,m_start,"&lt;"&amp;900,m_end,"&gt;"&amp;840)&gt;1,"충돌",HYPERLINK("#'관리자_MASTER'!D"&amp;_xlfn.MAXIFS(m_row,m_teacher,AM$4,m_date,($G$2+19),m_active,1,m_start,"&lt;"&amp;900,m_end,"&gt;"&amp;840),INDEX(m_label,_xlfn.MAXIFS(m_row,m_teacher,AM$4,m_date,($G$2+19),m_active,1,m_start,"&lt;"&amp;900,m_end,"&gt;"&amp;840))))))</f>
        <v/>
      </c>
      <c r="AN65" s="88" t="str">
        <f aca="false">IF(OR(AN$4="",MONTH(($G$2+19))&lt;&gt;MONTH($C$2)),"",IF(COUNTIFS(m_teacher,AN$4,m_date,($G$2+19),m_active,1,m_start,"&lt;"&amp;900,m_end,"&gt;"&amp;840)=0,"",IF(COUNTIFS(m_teacher,AN$4,m_date,($G$2+19),m_active,1,m_start,"&lt;"&amp;900,m_end,"&gt;"&amp;840)&gt;1,"충돌",HYPERLINK("#'관리자_MASTER'!D"&amp;_xlfn.MAXIFS(m_row,m_teacher,AN$4,m_date,($G$2+19),m_active,1,m_start,"&lt;"&amp;900,m_end,"&gt;"&amp;840),INDEX(m_label,_xlfn.MAXIFS(m_row,m_teacher,AN$4,m_date,($G$2+19),m_active,1,m_start,"&lt;"&amp;900,m_end,"&gt;"&amp;840))))))</f>
        <v/>
      </c>
      <c r="AO65" s="88" t="str">
        <f aca="false">IF(OR(AO$4="",MONTH(($G$2+19))&lt;&gt;MONTH($C$2)),"",IF(COUNTIFS(m_teacher,AO$4,m_date,($G$2+19),m_active,1,m_start,"&lt;"&amp;900,m_end,"&gt;"&amp;840)=0,"",IF(COUNTIFS(m_teacher,AO$4,m_date,($G$2+19),m_active,1,m_start,"&lt;"&amp;900,m_end,"&gt;"&amp;840)&gt;1,"충돌",HYPERLINK("#'관리자_MASTER'!D"&amp;_xlfn.MAXIFS(m_row,m_teacher,AO$4,m_date,($G$2+19),m_active,1,m_start,"&lt;"&amp;900,m_end,"&gt;"&amp;840),INDEX(m_label,_xlfn.MAXIFS(m_row,m_teacher,AO$4,m_date,($G$2+19),m_active,1,m_start,"&lt;"&amp;900,m_end,"&gt;"&amp;840))))))</f>
        <v/>
      </c>
      <c r="AP65" s="88" t="str">
        <f aca="false">IF(OR(AP$4="",MONTH(($G$2+19))&lt;&gt;MONTH($C$2)),"",IF(COUNTIFS(m_teacher,AP$4,m_date,($G$2+19),m_active,1,m_start,"&lt;"&amp;900,m_end,"&gt;"&amp;840)=0,"",IF(COUNTIFS(m_teacher,AP$4,m_date,($G$2+19),m_active,1,m_start,"&lt;"&amp;900,m_end,"&gt;"&amp;840)&gt;1,"충돌",HYPERLINK("#'관리자_MASTER'!D"&amp;_xlfn.MAXIFS(m_row,m_teacher,AP$4,m_date,($G$2+19),m_active,1,m_start,"&lt;"&amp;900,m_end,"&gt;"&amp;840),INDEX(m_label,_xlfn.MAXIFS(m_row,m_teacher,AP$4,m_date,($G$2+19),m_active,1,m_start,"&lt;"&amp;900,m_end,"&gt;"&amp;840))))))</f>
        <v/>
      </c>
      <c r="AQ65" s="90"/>
      <c r="AR65" s="79" t="s">
        <v>96</v>
      </c>
      <c r="AS65" s="88" t="str">
        <f aca="false">IF(OR(AS$4="",MONTH(($G$2+26))&lt;&gt;MONTH($C$2)),"",IF(COUNTIFS(m_teacher,AS$4,m_date,($G$2+26),m_active,1,m_start,"&lt;"&amp;900,m_end,"&gt;"&amp;840)=0,"",IF(COUNTIFS(m_teacher,AS$4,m_date,($G$2+26),m_active,1,m_start,"&lt;"&amp;900,m_end,"&gt;"&amp;840)&gt;1,"충돌",HYPERLINK("#'관리자_MASTER'!D"&amp;_xlfn.MAXIFS(m_row,m_teacher,AS$4,m_date,($G$2+26),m_active,1,m_start,"&lt;"&amp;900,m_end,"&gt;"&amp;840),INDEX(m_label,_xlfn.MAXIFS(m_row,m_teacher,AS$4,m_date,($G$2+26),m_active,1,m_start,"&lt;"&amp;900,m_end,"&gt;"&amp;840))))))</f>
        <v/>
      </c>
      <c r="AT65" s="88" t="str">
        <f aca="false">IF(OR(AT$4="",MONTH(($G$2+26))&lt;&gt;MONTH($C$2)),"",IF(COUNTIFS(m_teacher,AT$4,m_date,($G$2+26),m_active,1,m_start,"&lt;"&amp;900,m_end,"&gt;"&amp;840)=0,"",IF(COUNTIFS(m_teacher,AT$4,m_date,($G$2+26),m_active,1,m_start,"&lt;"&amp;900,m_end,"&gt;"&amp;840)&gt;1,"충돌",HYPERLINK("#'관리자_MASTER'!D"&amp;_xlfn.MAXIFS(m_row,m_teacher,AT$4,m_date,($G$2+26),m_active,1,m_start,"&lt;"&amp;900,m_end,"&gt;"&amp;840),INDEX(m_label,_xlfn.MAXIFS(m_row,m_teacher,AT$4,m_date,($G$2+26),m_active,1,m_start,"&lt;"&amp;900,m_end,"&gt;"&amp;840))))))</f>
        <v/>
      </c>
      <c r="AU65" s="88" t="str">
        <f aca="false">IF(OR(AU$4="",MONTH(($G$2+26))&lt;&gt;MONTH($C$2)),"",IF(COUNTIFS(m_teacher,AU$4,m_date,($G$2+26),m_active,1,m_start,"&lt;"&amp;900,m_end,"&gt;"&amp;840)=0,"",IF(COUNTIFS(m_teacher,AU$4,m_date,($G$2+26),m_active,1,m_start,"&lt;"&amp;900,m_end,"&gt;"&amp;840)&gt;1,"충돌",HYPERLINK("#'관리자_MASTER'!D"&amp;_xlfn.MAXIFS(m_row,m_teacher,AU$4,m_date,($G$2+26),m_active,1,m_start,"&lt;"&amp;900,m_end,"&gt;"&amp;840),INDEX(m_label,_xlfn.MAXIFS(m_row,m_teacher,AU$4,m_date,($G$2+26),m_active,1,m_start,"&lt;"&amp;900,m_end,"&gt;"&amp;840))))))</f>
        <v/>
      </c>
      <c r="AV65" s="88" t="str">
        <f aca="false">IF(OR(AV$4="",MONTH(($G$2+26))&lt;&gt;MONTH($C$2)),"",IF(COUNTIFS(m_teacher,AV$4,m_date,($G$2+26),m_active,1,m_start,"&lt;"&amp;900,m_end,"&gt;"&amp;840)=0,"",IF(COUNTIFS(m_teacher,AV$4,m_date,($G$2+26),m_active,1,m_start,"&lt;"&amp;900,m_end,"&gt;"&amp;840)&gt;1,"충돌",HYPERLINK("#'관리자_MASTER'!D"&amp;_xlfn.MAXIFS(m_row,m_teacher,AV$4,m_date,($G$2+26),m_active,1,m_start,"&lt;"&amp;900,m_end,"&gt;"&amp;840),INDEX(m_label,_xlfn.MAXIFS(m_row,m_teacher,AV$4,m_date,($G$2+26),m_active,1,m_start,"&lt;"&amp;900,m_end,"&gt;"&amp;840))))))</f>
        <v/>
      </c>
      <c r="AW65" s="88" t="str">
        <f aca="false">IF(OR(AW$4="",MONTH(($G$2+26))&lt;&gt;MONTH($C$2)),"",IF(COUNTIFS(m_teacher,AW$4,m_date,($G$2+26),m_active,1,m_start,"&lt;"&amp;900,m_end,"&gt;"&amp;840)=0,"",IF(COUNTIFS(m_teacher,AW$4,m_date,($G$2+26),m_active,1,m_start,"&lt;"&amp;900,m_end,"&gt;"&amp;840)&gt;1,"충돌",HYPERLINK("#'관리자_MASTER'!D"&amp;_xlfn.MAXIFS(m_row,m_teacher,AW$4,m_date,($G$2+26),m_active,1,m_start,"&lt;"&amp;900,m_end,"&gt;"&amp;840),INDEX(m_label,_xlfn.MAXIFS(m_row,m_teacher,AW$4,m_date,($G$2+26),m_active,1,m_start,"&lt;"&amp;900,m_end,"&gt;"&amp;840))))))</f>
        <v/>
      </c>
      <c r="AX65" s="88" t="str">
        <f aca="false">IF(OR(AX$4="",MONTH(($G$2+26))&lt;&gt;MONTH($C$2)),"",IF(COUNTIFS(m_teacher,AX$4,m_date,($G$2+26),m_active,1,m_start,"&lt;"&amp;900,m_end,"&gt;"&amp;840)=0,"",IF(COUNTIFS(m_teacher,AX$4,m_date,($G$2+26),m_active,1,m_start,"&lt;"&amp;900,m_end,"&gt;"&amp;840)&gt;1,"충돌",HYPERLINK("#'관리자_MASTER'!D"&amp;_xlfn.MAXIFS(m_row,m_teacher,AX$4,m_date,($G$2+26),m_active,1,m_start,"&lt;"&amp;900,m_end,"&gt;"&amp;840),INDEX(m_label,_xlfn.MAXIFS(m_row,m_teacher,AX$4,m_date,($G$2+26),m_active,1,m_start,"&lt;"&amp;900,m_end,"&gt;"&amp;840))))))</f>
        <v/>
      </c>
      <c r="AY65" s="88" t="str">
        <f aca="false">IF(OR(AY$4="",MONTH(($G$2+26))&lt;&gt;MONTH($C$2)),"",IF(COUNTIFS(m_teacher,AY$4,m_date,($G$2+26),m_active,1,m_start,"&lt;"&amp;900,m_end,"&gt;"&amp;840)=0,"",IF(COUNTIFS(m_teacher,AY$4,m_date,($G$2+26),m_active,1,m_start,"&lt;"&amp;900,m_end,"&gt;"&amp;840)&gt;1,"충돌",HYPERLINK("#'관리자_MASTER'!D"&amp;_xlfn.MAXIFS(m_row,m_teacher,AY$4,m_date,($G$2+26),m_active,1,m_start,"&lt;"&amp;900,m_end,"&gt;"&amp;840),INDEX(m_label,_xlfn.MAXIFS(m_row,m_teacher,AY$4,m_date,($G$2+26),m_active,1,m_start,"&lt;"&amp;900,m_end,"&gt;"&amp;840))))))</f>
        <v/>
      </c>
      <c r="AZ65" s="88" t="str">
        <f aca="false">IF(OR(AZ$4="",MONTH(($G$2+26))&lt;&gt;MONTH($C$2)),"",IF(COUNTIFS(m_teacher,AZ$4,m_date,($G$2+26),m_active,1,m_start,"&lt;"&amp;900,m_end,"&gt;"&amp;840)=0,"",IF(COUNTIFS(m_teacher,AZ$4,m_date,($G$2+26),m_active,1,m_start,"&lt;"&amp;900,m_end,"&gt;"&amp;840)&gt;1,"충돌",HYPERLINK("#'관리자_MASTER'!D"&amp;_xlfn.MAXIFS(m_row,m_teacher,AZ$4,m_date,($G$2+26),m_active,1,m_start,"&lt;"&amp;900,m_end,"&gt;"&amp;840),INDEX(m_label,_xlfn.MAXIFS(m_row,m_teacher,AZ$4,m_date,($G$2+26),m_active,1,m_start,"&lt;"&amp;900,m_end,"&gt;"&amp;840))))))</f>
        <v/>
      </c>
      <c r="BA65" s="88" t="str">
        <f aca="false">IF(OR(BA$4="",MONTH(($G$2+26))&lt;&gt;MONTH($C$2)),"",IF(COUNTIFS(m_teacher,BA$4,m_date,($G$2+26),m_active,1,m_start,"&lt;"&amp;900,m_end,"&gt;"&amp;840)=0,"",IF(COUNTIFS(m_teacher,BA$4,m_date,($G$2+26),m_active,1,m_start,"&lt;"&amp;900,m_end,"&gt;"&amp;840)&gt;1,"충돌",HYPERLINK("#'관리자_MASTER'!D"&amp;_xlfn.MAXIFS(m_row,m_teacher,BA$4,m_date,($G$2+26),m_active,1,m_start,"&lt;"&amp;900,m_end,"&gt;"&amp;840),INDEX(m_label,_xlfn.MAXIFS(m_row,m_teacher,BA$4,m_date,($G$2+26),m_active,1,m_start,"&lt;"&amp;900,m_end,"&gt;"&amp;840))))))</f>
        <v/>
      </c>
      <c r="BB65" s="88" t="str">
        <f aca="false">IF(OR(BB$4="",MONTH(($G$2+26))&lt;&gt;MONTH($C$2)),"",IF(COUNTIFS(m_teacher,BB$4,m_date,($G$2+26),m_active,1,m_start,"&lt;"&amp;900,m_end,"&gt;"&amp;840)=0,"",IF(COUNTIFS(m_teacher,BB$4,m_date,($G$2+26),m_active,1,m_start,"&lt;"&amp;900,m_end,"&gt;"&amp;840)&gt;1,"충돌",HYPERLINK("#'관리자_MASTER'!D"&amp;_xlfn.MAXIFS(m_row,m_teacher,BB$4,m_date,($G$2+26),m_active,1,m_start,"&lt;"&amp;900,m_end,"&gt;"&amp;840),INDEX(m_label,_xlfn.MAXIFS(m_row,m_teacher,BB$4,m_date,($G$2+26),m_active,1,m_start,"&lt;"&amp;900,m_end,"&gt;"&amp;840))))))</f>
        <v/>
      </c>
      <c r="BC65" s="88" t="str">
        <f aca="false">IF(OR(BC$4="",MONTH(($G$2+26))&lt;&gt;MONTH($C$2)),"",IF(COUNTIFS(m_teacher,BC$4,m_date,($G$2+26),m_active,1,m_start,"&lt;"&amp;900,m_end,"&gt;"&amp;840)=0,"",IF(COUNTIFS(m_teacher,BC$4,m_date,($G$2+26),m_active,1,m_start,"&lt;"&amp;900,m_end,"&gt;"&amp;840)&gt;1,"충돌",HYPERLINK("#'관리자_MASTER'!D"&amp;_xlfn.MAXIFS(m_row,m_teacher,BC$4,m_date,($G$2+26),m_active,1,m_start,"&lt;"&amp;900,m_end,"&gt;"&amp;840),INDEX(m_label,_xlfn.MAXIFS(m_row,m_teacher,BC$4,m_date,($G$2+26),m_active,1,m_start,"&lt;"&amp;900,m_end,"&gt;"&amp;840))))))</f>
        <v/>
      </c>
      <c r="BD65" s="88" t="str">
        <f aca="false">IF(OR(BD$4="",MONTH(($G$2+26))&lt;&gt;MONTH($C$2)),"",IF(COUNTIFS(m_teacher,BD$4,m_date,($G$2+26),m_active,1,m_start,"&lt;"&amp;900,m_end,"&gt;"&amp;840)=0,"",IF(COUNTIFS(m_teacher,BD$4,m_date,($G$2+26),m_active,1,m_start,"&lt;"&amp;900,m_end,"&gt;"&amp;840)&gt;1,"충돌",HYPERLINK("#'관리자_MASTER'!D"&amp;_xlfn.MAXIFS(m_row,m_teacher,BD$4,m_date,($G$2+26),m_active,1,m_start,"&lt;"&amp;900,m_end,"&gt;"&amp;840),INDEX(m_label,_xlfn.MAXIFS(m_row,m_teacher,BD$4,m_date,($G$2+26),m_active,1,m_start,"&lt;"&amp;900,m_end,"&gt;"&amp;840))))))</f>
        <v/>
      </c>
      <c r="BE65" s="91"/>
      <c r="BF65" s="76" t="s">
        <v>96</v>
      </c>
      <c r="BG65" s="81" t="str">
        <f aca="false">IF(OR(BG$4="",MONTH(($G$2+33))&lt;&gt;MONTH($C$2)),"",IF(COUNTIFS(m_teacher,BG$4,m_date,($G$2+33),m_active,1,m_start,"&lt;"&amp;900,m_end,"&gt;"&amp;840)=0,"",IF(COUNTIFS(m_teacher,BG$4,m_date,($G$2+33),m_active,1,m_start,"&lt;"&amp;900,m_end,"&gt;"&amp;840)&gt;1,"충돌",HYPERLINK("#'관리자_MASTER'!D"&amp;_xlfn.MAXIFS(m_row,m_teacher,BG$4,m_date,($G$2+33),m_active,1,m_start,"&lt;"&amp;900,m_end,"&gt;"&amp;840),INDEX(m_label,_xlfn.MAXIFS(m_row,m_teacher,BG$4,m_date,($G$2+33),m_active,1,m_start,"&lt;"&amp;900,m_end,"&gt;"&amp;840))))))</f>
        <v/>
      </c>
      <c r="BH65" s="81" t="str">
        <f aca="false">IF(OR(BH$4="",MONTH(($G$2+33))&lt;&gt;MONTH($C$2)),"",IF(COUNTIFS(m_teacher,BH$4,m_date,($G$2+33),m_active,1,m_start,"&lt;"&amp;900,m_end,"&gt;"&amp;840)=0,"",IF(COUNTIFS(m_teacher,BH$4,m_date,($G$2+33),m_active,1,m_start,"&lt;"&amp;900,m_end,"&gt;"&amp;840)&gt;1,"충돌",HYPERLINK("#'관리자_MASTER'!D"&amp;_xlfn.MAXIFS(m_row,m_teacher,BH$4,m_date,($G$2+33),m_active,1,m_start,"&lt;"&amp;900,m_end,"&gt;"&amp;840),INDEX(m_label,_xlfn.MAXIFS(m_row,m_teacher,BH$4,m_date,($G$2+33),m_active,1,m_start,"&lt;"&amp;900,m_end,"&gt;"&amp;840))))))</f>
        <v/>
      </c>
      <c r="BI65" s="81" t="str">
        <f aca="false">IF(OR(BI$4="",MONTH(($G$2+33))&lt;&gt;MONTH($C$2)),"",IF(COUNTIFS(m_teacher,BI$4,m_date,($G$2+33),m_active,1,m_start,"&lt;"&amp;900,m_end,"&gt;"&amp;840)=0,"",IF(COUNTIFS(m_teacher,BI$4,m_date,($G$2+33),m_active,1,m_start,"&lt;"&amp;900,m_end,"&gt;"&amp;840)&gt;1,"충돌",HYPERLINK("#'관리자_MASTER'!D"&amp;_xlfn.MAXIFS(m_row,m_teacher,BI$4,m_date,($G$2+33),m_active,1,m_start,"&lt;"&amp;900,m_end,"&gt;"&amp;840),INDEX(m_label,_xlfn.MAXIFS(m_row,m_teacher,BI$4,m_date,($G$2+33),m_active,1,m_start,"&lt;"&amp;900,m_end,"&gt;"&amp;840))))))</f>
        <v/>
      </c>
      <c r="BJ65" s="81" t="str">
        <f aca="false">IF(OR(BJ$4="",MONTH(($G$2+33))&lt;&gt;MONTH($C$2)),"",IF(COUNTIFS(m_teacher,BJ$4,m_date,($G$2+33),m_active,1,m_start,"&lt;"&amp;900,m_end,"&gt;"&amp;840)=0,"",IF(COUNTIFS(m_teacher,BJ$4,m_date,($G$2+33),m_active,1,m_start,"&lt;"&amp;900,m_end,"&gt;"&amp;840)&gt;1,"충돌",HYPERLINK("#'관리자_MASTER'!D"&amp;_xlfn.MAXIFS(m_row,m_teacher,BJ$4,m_date,($G$2+33),m_active,1,m_start,"&lt;"&amp;900,m_end,"&gt;"&amp;840),INDEX(m_label,_xlfn.MAXIFS(m_row,m_teacher,BJ$4,m_date,($G$2+33),m_active,1,m_start,"&lt;"&amp;900,m_end,"&gt;"&amp;840))))))</f>
        <v/>
      </c>
      <c r="BK65" s="81" t="str">
        <f aca="false">IF(OR(BK$4="",MONTH(($G$2+33))&lt;&gt;MONTH($C$2)),"",IF(COUNTIFS(m_teacher,BK$4,m_date,($G$2+33),m_active,1,m_start,"&lt;"&amp;900,m_end,"&gt;"&amp;840)=0,"",IF(COUNTIFS(m_teacher,BK$4,m_date,($G$2+33),m_active,1,m_start,"&lt;"&amp;900,m_end,"&gt;"&amp;840)&gt;1,"충돌",HYPERLINK("#'관리자_MASTER'!D"&amp;_xlfn.MAXIFS(m_row,m_teacher,BK$4,m_date,($G$2+33),m_active,1,m_start,"&lt;"&amp;900,m_end,"&gt;"&amp;840),INDEX(m_label,_xlfn.MAXIFS(m_row,m_teacher,BK$4,m_date,($G$2+33),m_active,1,m_start,"&lt;"&amp;900,m_end,"&gt;"&amp;840))))))</f>
        <v/>
      </c>
      <c r="BL65" s="81" t="str">
        <f aca="false">IF(OR(BL$4="",MONTH(($G$2+33))&lt;&gt;MONTH($C$2)),"",IF(COUNTIFS(m_teacher,BL$4,m_date,($G$2+33),m_active,1,m_start,"&lt;"&amp;900,m_end,"&gt;"&amp;840)=0,"",IF(COUNTIFS(m_teacher,BL$4,m_date,($G$2+33),m_active,1,m_start,"&lt;"&amp;900,m_end,"&gt;"&amp;840)&gt;1,"충돌",HYPERLINK("#'관리자_MASTER'!D"&amp;_xlfn.MAXIFS(m_row,m_teacher,BL$4,m_date,($G$2+33),m_active,1,m_start,"&lt;"&amp;900,m_end,"&gt;"&amp;840),INDEX(m_label,_xlfn.MAXIFS(m_row,m_teacher,BL$4,m_date,($G$2+33),m_active,1,m_start,"&lt;"&amp;900,m_end,"&gt;"&amp;840))))))</f>
        <v/>
      </c>
      <c r="BM65" s="81" t="str">
        <f aca="false">IF(OR(BM$4="",MONTH(($G$2+33))&lt;&gt;MONTH($C$2)),"",IF(COUNTIFS(m_teacher,BM$4,m_date,($G$2+33),m_active,1,m_start,"&lt;"&amp;900,m_end,"&gt;"&amp;840)=0,"",IF(COUNTIFS(m_teacher,BM$4,m_date,($G$2+33),m_active,1,m_start,"&lt;"&amp;900,m_end,"&gt;"&amp;840)&gt;1,"충돌",HYPERLINK("#'관리자_MASTER'!D"&amp;_xlfn.MAXIFS(m_row,m_teacher,BM$4,m_date,($G$2+33),m_active,1,m_start,"&lt;"&amp;900,m_end,"&gt;"&amp;840),INDEX(m_label,_xlfn.MAXIFS(m_row,m_teacher,BM$4,m_date,($G$2+33),m_active,1,m_start,"&lt;"&amp;900,m_end,"&gt;"&amp;840))))))</f>
        <v/>
      </c>
      <c r="BN65" s="81" t="str">
        <f aca="false">IF(OR(BN$4="",MONTH(($G$2+33))&lt;&gt;MONTH($C$2)),"",IF(COUNTIFS(m_teacher,BN$4,m_date,($G$2+33),m_active,1,m_start,"&lt;"&amp;900,m_end,"&gt;"&amp;840)=0,"",IF(COUNTIFS(m_teacher,BN$4,m_date,($G$2+33),m_active,1,m_start,"&lt;"&amp;900,m_end,"&gt;"&amp;840)&gt;1,"충돌",HYPERLINK("#'관리자_MASTER'!D"&amp;_xlfn.MAXIFS(m_row,m_teacher,BN$4,m_date,($G$2+33),m_active,1,m_start,"&lt;"&amp;900,m_end,"&gt;"&amp;840),INDEX(m_label,_xlfn.MAXIFS(m_row,m_teacher,BN$4,m_date,($G$2+33),m_active,1,m_start,"&lt;"&amp;900,m_end,"&gt;"&amp;840))))))</f>
        <v/>
      </c>
      <c r="BO65" s="81" t="str">
        <f aca="false">IF(OR(BO$4="",MONTH(($G$2+33))&lt;&gt;MONTH($C$2)),"",IF(COUNTIFS(m_teacher,BO$4,m_date,($G$2+33),m_active,1,m_start,"&lt;"&amp;900,m_end,"&gt;"&amp;840)=0,"",IF(COUNTIFS(m_teacher,BO$4,m_date,($G$2+33),m_active,1,m_start,"&lt;"&amp;900,m_end,"&gt;"&amp;840)&gt;1,"충돌",HYPERLINK("#'관리자_MASTER'!D"&amp;_xlfn.MAXIFS(m_row,m_teacher,BO$4,m_date,($G$2+33),m_active,1,m_start,"&lt;"&amp;900,m_end,"&gt;"&amp;840),INDEX(m_label,_xlfn.MAXIFS(m_row,m_teacher,BO$4,m_date,($G$2+33),m_active,1,m_start,"&lt;"&amp;900,m_end,"&gt;"&amp;840))))))</f>
        <v/>
      </c>
      <c r="BP65" s="81" t="str">
        <f aca="false">IF(OR(BP$4="",MONTH(($G$2+33))&lt;&gt;MONTH($C$2)),"",IF(COUNTIFS(m_teacher,BP$4,m_date,($G$2+33),m_active,1,m_start,"&lt;"&amp;900,m_end,"&gt;"&amp;840)=0,"",IF(COUNTIFS(m_teacher,BP$4,m_date,($G$2+33),m_active,1,m_start,"&lt;"&amp;900,m_end,"&gt;"&amp;840)&gt;1,"충돌",HYPERLINK("#'관리자_MASTER'!D"&amp;_xlfn.MAXIFS(m_row,m_teacher,BP$4,m_date,($G$2+33),m_active,1,m_start,"&lt;"&amp;900,m_end,"&gt;"&amp;840),INDEX(m_label,_xlfn.MAXIFS(m_row,m_teacher,BP$4,m_date,($G$2+33),m_active,1,m_start,"&lt;"&amp;900,m_end,"&gt;"&amp;840))))))</f>
        <v/>
      </c>
      <c r="BQ65" s="81" t="str">
        <f aca="false">IF(OR(BQ$4="",MONTH(($G$2+33))&lt;&gt;MONTH($C$2)),"",IF(COUNTIFS(m_teacher,BQ$4,m_date,($G$2+33),m_active,1,m_start,"&lt;"&amp;900,m_end,"&gt;"&amp;840)=0,"",IF(COUNTIFS(m_teacher,BQ$4,m_date,($G$2+33),m_active,1,m_start,"&lt;"&amp;900,m_end,"&gt;"&amp;840)&gt;1,"충돌",HYPERLINK("#'관리자_MASTER'!D"&amp;_xlfn.MAXIFS(m_row,m_teacher,BQ$4,m_date,($G$2+33),m_active,1,m_start,"&lt;"&amp;900,m_end,"&gt;"&amp;840),INDEX(m_label,_xlfn.MAXIFS(m_row,m_teacher,BQ$4,m_date,($G$2+33),m_active,1,m_start,"&lt;"&amp;900,m_end,"&gt;"&amp;840))))))</f>
        <v/>
      </c>
      <c r="BR65" s="81" t="str">
        <f aca="false">IF(OR(BR$4="",MONTH(($G$2+33))&lt;&gt;MONTH($C$2)),"",IF(COUNTIFS(m_teacher,BR$4,m_date,($G$2+33),m_active,1,m_start,"&lt;"&amp;900,m_end,"&gt;"&amp;840)=0,"",IF(COUNTIFS(m_teacher,BR$4,m_date,($G$2+33),m_active,1,m_start,"&lt;"&amp;900,m_end,"&gt;"&amp;840)&gt;1,"충돌",HYPERLINK("#'관리자_MASTER'!D"&amp;_xlfn.MAXIFS(m_row,m_teacher,BR$4,m_date,($G$2+33),m_active,1,m_start,"&lt;"&amp;900,m_end,"&gt;"&amp;840),INDEX(m_label,_xlfn.MAXIFS(m_row,m_teacher,BR$4,m_date,($G$2+33),m_active,1,m_start,"&lt;"&amp;900,m_end,"&gt;"&amp;840))))))</f>
        <v/>
      </c>
    </row>
    <row r="66" customFormat="false" ht="19.5" hidden="false" customHeight="true" outlineLevel="0" collapsed="false">
      <c r="A66" s="90"/>
      <c r="B66" s="79" t="s">
        <v>97</v>
      </c>
      <c r="C66" s="88" t="str">
        <f aca="false">IF(OR(C$4="",MONTH(($G$2+5))&lt;&gt;MONTH($C$2)),"",IF(COUNTIFS(m_teacher,C$4,m_date,($G$2+5),m_active,1,m_start,"&lt;"&amp;960,m_end,"&gt;"&amp;900)=0,"",IF(COUNTIFS(m_teacher,C$4,m_date,($G$2+5),m_active,1,m_start,"&lt;"&amp;960,m_end,"&gt;"&amp;900)&gt;1,"충돌",HYPERLINK("#'관리자_MASTER'!D"&amp;_xlfn.MAXIFS(m_row,m_teacher,C$4,m_date,($G$2+5),m_active,1,m_start,"&lt;"&amp;960,m_end,"&gt;"&amp;900),INDEX(m_label,_xlfn.MAXIFS(m_row,m_teacher,C$4,m_date,($G$2+5),m_active,1,m_start,"&lt;"&amp;960,m_end,"&gt;"&amp;900))))))</f>
        <v/>
      </c>
      <c r="D66" s="88" t="str">
        <f aca="false">IF(OR(D$4="",MONTH(($G$2+5))&lt;&gt;MONTH($C$2)),"",IF(COUNTIFS(m_teacher,D$4,m_date,($G$2+5),m_active,1,m_start,"&lt;"&amp;960,m_end,"&gt;"&amp;900)=0,"",IF(COUNTIFS(m_teacher,D$4,m_date,($G$2+5),m_active,1,m_start,"&lt;"&amp;960,m_end,"&gt;"&amp;900)&gt;1,"충돌",HYPERLINK("#'관리자_MASTER'!D"&amp;_xlfn.MAXIFS(m_row,m_teacher,D$4,m_date,($G$2+5),m_active,1,m_start,"&lt;"&amp;960,m_end,"&gt;"&amp;900),INDEX(m_label,_xlfn.MAXIFS(m_row,m_teacher,D$4,m_date,($G$2+5),m_active,1,m_start,"&lt;"&amp;960,m_end,"&gt;"&amp;900))))))</f>
        <v/>
      </c>
      <c r="E66" s="88" t="str">
        <f aca="false">IF(OR(E$4="",MONTH(($G$2+5))&lt;&gt;MONTH($C$2)),"",IF(COUNTIFS(m_teacher,E$4,m_date,($G$2+5),m_active,1,m_start,"&lt;"&amp;960,m_end,"&gt;"&amp;900)=0,"",IF(COUNTIFS(m_teacher,E$4,m_date,($G$2+5),m_active,1,m_start,"&lt;"&amp;960,m_end,"&gt;"&amp;900)&gt;1,"충돌",HYPERLINK("#'관리자_MASTER'!D"&amp;_xlfn.MAXIFS(m_row,m_teacher,E$4,m_date,($G$2+5),m_active,1,m_start,"&lt;"&amp;960,m_end,"&gt;"&amp;900),INDEX(m_label,_xlfn.MAXIFS(m_row,m_teacher,E$4,m_date,($G$2+5),m_active,1,m_start,"&lt;"&amp;960,m_end,"&gt;"&amp;900))))))</f>
        <v/>
      </c>
      <c r="F66" s="88" t="str">
        <f aca="false">IF(OR(F$4="",MONTH(($G$2+5))&lt;&gt;MONTH($C$2)),"",IF(COUNTIFS(m_teacher,F$4,m_date,($G$2+5),m_active,1,m_start,"&lt;"&amp;960,m_end,"&gt;"&amp;900)=0,"",IF(COUNTIFS(m_teacher,F$4,m_date,($G$2+5),m_active,1,m_start,"&lt;"&amp;960,m_end,"&gt;"&amp;900)&gt;1,"충돌",HYPERLINK("#'관리자_MASTER'!D"&amp;_xlfn.MAXIFS(m_row,m_teacher,F$4,m_date,($G$2+5),m_active,1,m_start,"&lt;"&amp;960,m_end,"&gt;"&amp;900),INDEX(m_label,_xlfn.MAXIFS(m_row,m_teacher,F$4,m_date,($G$2+5),m_active,1,m_start,"&lt;"&amp;960,m_end,"&gt;"&amp;900))))))</f>
        <v/>
      </c>
      <c r="G66" s="88" t="str">
        <f aca="false">IF(OR(G$4="",MONTH(($G$2+5))&lt;&gt;MONTH($C$2)),"",IF(COUNTIFS(m_teacher,G$4,m_date,($G$2+5),m_active,1,m_start,"&lt;"&amp;960,m_end,"&gt;"&amp;900)=0,"",IF(COUNTIFS(m_teacher,G$4,m_date,($G$2+5),m_active,1,m_start,"&lt;"&amp;960,m_end,"&gt;"&amp;900)&gt;1,"충돌",HYPERLINK("#'관리자_MASTER'!D"&amp;_xlfn.MAXIFS(m_row,m_teacher,G$4,m_date,($G$2+5),m_active,1,m_start,"&lt;"&amp;960,m_end,"&gt;"&amp;900),INDEX(m_label,_xlfn.MAXIFS(m_row,m_teacher,G$4,m_date,($G$2+5),m_active,1,m_start,"&lt;"&amp;960,m_end,"&gt;"&amp;900))))))</f>
        <v/>
      </c>
      <c r="H66" s="88" t="str">
        <f aca="false">IF(OR(H$4="",MONTH(($G$2+5))&lt;&gt;MONTH($C$2)),"",IF(COUNTIFS(m_teacher,H$4,m_date,($G$2+5),m_active,1,m_start,"&lt;"&amp;960,m_end,"&gt;"&amp;900)=0,"",IF(COUNTIFS(m_teacher,H$4,m_date,($G$2+5),m_active,1,m_start,"&lt;"&amp;960,m_end,"&gt;"&amp;900)&gt;1,"충돌",HYPERLINK("#'관리자_MASTER'!D"&amp;_xlfn.MAXIFS(m_row,m_teacher,H$4,m_date,($G$2+5),m_active,1,m_start,"&lt;"&amp;960,m_end,"&gt;"&amp;900),INDEX(m_label,_xlfn.MAXIFS(m_row,m_teacher,H$4,m_date,($G$2+5),m_active,1,m_start,"&lt;"&amp;960,m_end,"&gt;"&amp;900))))))</f>
        <v/>
      </c>
      <c r="I66" s="88" t="str">
        <f aca="false">IF(OR(I$4="",MONTH(($G$2+5))&lt;&gt;MONTH($C$2)),"",IF(COUNTIFS(m_teacher,I$4,m_date,($G$2+5),m_active,1,m_start,"&lt;"&amp;960,m_end,"&gt;"&amp;900)=0,"",IF(COUNTIFS(m_teacher,I$4,m_date,($G$2+5),m_active,1,m_start,"&lt;"&amp;960,m_end,"&gt;"&amp;900)&gt;1,"충돌",HYPERLINK("#'관리자_MASTER'!D"&amp;_xlfn.MAXIFS(m_row,m_teacher,I$4,m_date,($G$2+5),m_active,1,m_start,"&lt;"&amp;960,m_end,"&gt;"&amp;900),INDEX(m_label,_xlfn.MAXIFS(m_row,m_teacher,I$4,m_date,($G$2+5),m_active,1,m_start,"&lt;"&amp;960,m_end,"&gt;"&amp;900))))))</f>
        <v/>
      </c>
      <c r="J66" s="88" t="str">
        <f aca="false">IF(OR(J$4="",MONTH(($G$2+5))&lt;&gt;MONTH($C$2)),"",IF(COUNTIFS(m_teacher,J$4,m_date,($G$2+5),m_active,1,m_start,"&lt;"&amp;960,m_end,"&gt;"&amp;900)=0,"",IF(COUNTIFS(m_teacher,J$4,m_date,($G$2+5),m_active,1,m_start,"&lt;"&amp;960,m_end,"&gt;"&amp;900)&gt;1,"충돌",HYPERLINK("#'관리자_MASTER'!D"&amp;_xlfn.MAXIFS(m_row,m_teacher,J$4,m_date,($G$2+5),m_active,1,m_start,"&lt;"&amp;960,m_end,"&gt;"&amp;900),INDEX(m_label,_xlfn.MAXIFS(m_row,m_teacher,J$4,m_date,($G$2+5),m_active,1,m_start,"&lt;"&amp;960,m_end,"&gt;"&amp;900))))))</f>
        <v/>
      </c>
      <c r="K66" s="88" t="str">
        <f aca="false">IF(OR(K$4="",MONTH(($G$2+5))&lt;&gt;MONTH($C$2)),"",IF(COUNTIFS(m_teacher,K$4,m_date,($G$2+5),m_active,1,m_start,"&lt;"&amp;960,m_end,"&gt;"&amp;900)=0,"",IF(COUNTIFS(m_teacher,K$4,m_date,($G$2+5),m_active,1,m_start,"&lt;"&amp;960,m_end,"&gt;"&amp;900)&gt;1,"충돌",HYPERLINK("#'관리자_MASTER'!D"&amp;_xlfn.MAXIFS(m_row,m_teacher,K$4,m_date,($G$2+5),m_active,1,m_start,"&lt;"&amp;960,m_end,"&gt;"&amp;900),INDEX(m_label,_xlfn.MAXIFS(m_row,m_teacher,K$4,m_date,($G$2+5),m_active,1,m_start,"&lt;"&amp;960,m_end,"&gt;"&amp;900))))))</f>
        <v/>
      </c>
      <c r="L66" s="88" t="str">
        <f aca="false">IF(OR(L$4="",MONTH(($G$2+5))&lt;&gt;MONTH($C$2)),"",IF(COUNTIFS(m_teacher,L$4,m_date,($G$2+5),m_active,1,m_start,"&lt;"&amp;960,m_end,"&gt;"&amp;900)=0,"",IF(COUNTIFS(m_teacher,L$4,m_date,($G$2+5),m_active,1,m_start,"&lt;"&amp;960,m_end,"&gt;"&amp;900)&gt;1,"충돌",HYPERLINK("#'관리자_MASTER'!D"&amp;_xlfn.MAXIFS(m_row,m_teacher,L$4,m_date,($G$2+5),m_active,1,m_start,"&lt;"&amp;960,m_end,"&gt;"&amp;900),INDEX(m_label,_xlfn.MAXIFS(m_row,m_teacher,L$4,m_date,($G$2+5),m_active,1,m_start,"&lt;"&amp;960,m_end,"&gt;"&amp;900))))))</f>
        <v/>
      </c>
      <c r="M66" s="88" t="str">
        <f aca="false">IF(OR(M$4="",MONTH(($G$2+5))&lt;&gt;MONTH($C$2)),"",IF(COUNTIFS(m_teacher,M$4,m_date,($G$2+5),m_active,1,m_start,"&lt;"&amp;960,m_end,"&gt;"&amp;900)=0,"",IF(COUNTIFS(m_teacher,M$4,m_date,($G$2+5),m_active,1,m_start,"&lt;"&amp;960,m_end,"&gt;"&amp;900)&gt;1,"충돌",HYPERLINK("#'관리자_MASTER'!D"&amp;_xlfn.MAXIFS(m_row,m_teacher,M$4,m_date,($G$2+5),m_active,1,m_start,"&lt;"&amp;960,m_end,"&gt;"&amp;900),INDEX(m_label,_xlfn.MAXIFS(m_row,m_teacher,M$4,m_date,($G$2+5),m_active,1,m_start,"&lt;"&amp;960,m_end,"&gt;"&amp;900))))))</f>
        <v/>
      </c>
      <c r="N66" s="88" t="str">
        <f aca="false">IF(OR(N$4="",MONTH(($G$2+5))&lt;&gt;MONTH($C$2)),"",IF(COUNTIFS(m_teacher,N$4,m_date,($G$2+5),m_active,1,m_start,"&lt;"&amp;960,m_end,"&gt;"&amp;900)=0,"",IF(COUNTIFS(m_teacher,N$4,m_date,($G$2+5),m_active,1,m_start,"&lt;"&amp;960,m_end,"&gt;"&amp;900)&gt;1,"충돌",HYPERLINK("#'관리자_MASTER'!D"&amp;_xlfn.MAXIFS(m_row,m_teacher,N$4,m_date,($G$2+5),m_active,1,m_start,"&lt;"&amp;960,m_end,"&gt;"&amp;900),INDEX(m_label,_xlfn.MAXIFS(m_row,m_teacher,N$4,m_date,($G$2+5),m_active,1,m_start,"&lt;"&amp;960,m_end,"&gt;"&amp;900))))))</f>
        <v/>
      </c>
      <c r="O66" s="90"/>
      <c r="P66" s="79" t="s">
        <v>97</v>
      </c>
      <c r="Q66" s="88" t="str">
        <f aca="false">IF(OR(Q$4="",MONTH(($G$2+12))&lt;&gt;MONTH($C$2)),"",IF(COUNTIFS(m_teacher,Q$4,m_date,($G$2+12),m_active,1,m_start,"&lt;"&amp;960,m_end,"&gt;"&amp;900)=0,"",IF(COUNTIFS(m_teacher,Q$4,m_date,($G$2+12),m_active,1,m_start,"&lt;"&amp;960,m_end,"&gt;"&amp;900)&gt;1,"충돌",HYPERLINK("#'관리자_MASTER'!D"&amp;_xlfn.MAXIFS(m_row,m_teacher,Q$4,m_date,($G$2+12),m_active,1,m_start,"&lt;"&amp;960,m_end,"&gt;"&amp;900),INDEX(m_label,_xlfn.MAXIFS(m_row,m_teacher,Q$4,m_date,($G$2+12),m_active,1,m_start,"&lt;"&amp;960,m_end,"&gt;"&amp;900))))))</f>
        <v/>
      </c>
      <c r="R66" s="88" t="str">
        <f aca="false">IF(OR(R$4="",MONTH(($G$2+12))&lt;&gt;MONTH($C$2)),"",IF(COUNTIFS(m_teacher,R$4,m_date,($G$2+12),m_active,1,m_start,"&lt;"&amp;960,m_end,"&gt;"&amp;900)=0,"",IF(COUNTIFS(m_teacher,R$4,m_date,($G$2+12),m_active,1,m_start,"&lt;"&amp;960,m_end,"&gt;"&amp;900)&gt;1,"충돌",HYPERLINK("#'관리자_MASTER'!D"&amp;_xlfn.MAXIFS(m_row,m_teacher,R$4,m_date,($G$2+12),m_active,1,m_start,"&lt;"&amp;960,m_end,"&gt;"&amp;900),INDEX(m_label,_xlfn.MAXIFS(m_row,m_teacher,R$4,m_date,($G$2+12),m_active,1,m_start,"&lt;"&amp;960,m_end,"&gt;"&amp;900))))))</f>
        <v/>
      </c>
      <c r="S66" s="88" t="str">
        <f aca="false">IF(OR(S$4="",MONTH(($G$2+12))&lt;&gt;MONTH($C$2)),"",IF(COUNTIFS(m_teacher,S$4,m_date,($G$2+12),m_active,1,m_start,"&lt;"&amp;960,m_end,"&gt;"&amp;900)=0,"",IF(COUNTIFS(m_teacher,S$4,m_date,($G$2+12),m_active,1,m_start,"&lt;"&amp;960,m_end,"&gt;"&amp;900)&gt;1,"충돌",HYPERLINK("#'관리자_MASTER'!D"&amp;_xlfn.MAXIFS(m_row,m_teacher,S$4,m_date,($G$2+12),m_active,1,m_start,"&lt;"&amp;960,m_end,"&gt;"&amp;900),INDEX(m_label,_xlfn.MAXIFS(m_row,m_teacher,S$4,m_date,($G$2+12),m_active,1,m_start,"&lt;"&amp;960,m_end,"&gt;"&amp;900))))))</f>
        <v/>
      </c>
      <c r="T66" s="88" t="str">
        <f aca="false">IF(OR(T$4="",MONTH(($G$2+12))&lt;&gt;MONTH($C$2)),"",IF(COUNTIFS(m_teacher,T$4,m_date,($G$2+12),m_active,1,m_start,"&lt;"&amp;960,m_end,"&gt;"&amp;900)=0,"",IF(COUNTIFS(m_teacher,T$4,m_date,($G$2+12),m_active,1,m_start,"&lt;"&amp;960,m_end,"&gt;"&amp;900)&gt;1,"충돌",HYPERLINK("#'관리자_MASTER'!D"&amp;_xlfn.MAXIFS(m_row,m_teacher,T$4,m_date,($G$2+12),m_active,1,m_start,"&lt;"&amp;960,m_end,"&gt;"&amp;900),INDEX(m_label,_xlfn.MAXIFS(m_row,m_teacher,T$4,m_date,($G$2+12),m_active,1,m_start,"&lt;"&amp;960,m_end,"&gt;"&amp;900))))))</f>
        <v/>
      </c>
      <c r="U66" s="88" t="str">
        <f aca="false">IF(OR(U$4="",MONTH(($G$2+12))&lt;&gt;MONTH($C$2)),"",IF(COUNTIFS(m_teacher,U$4,m_date,($G$2+12),m_active,1,m_start,"&lt;"&amp;960,m_end,"&gt;"&amp;900)=0,"",IF(COUNTIFS(m_teacher,U$4,m_date,($G$2+12),m_active,1,m_start,"&lt;"&amp;960,m_end,"&gt;"&amp;900)&gt;1,"충돌",HYPERLINK("#'관리자_MASTER'!D"&amp;_xlfn.MAXIFS(m_row,m_teacher,U$4,m_date,($G$2+12),m_active,1,m_start,"&lt;"&amp;960,m_end,"&gt;"&amp;900),INDEX(m_label,_xlfn.MAXIFS(m_row,m_teacher,U$4,m_date,($G$2+12),m_active,1,m_start,"&lt;"&amp;960,m_end,"&gt;"&amp;900))))))</f>
        <v/>
      </c>
      <c r="V66" s="88" t="str">
        <f aca="false">IF(OR(V$4="",MONTH(($G$2+12))&lt;&gt;MONTH($C$2)),"",IF(COUNTIFS(m_teacher,V$4,m_date,($G$2+12),m_active,1,m_start,"&lt;"&amp;960,m_end,"&gt;"&amp;900)=0,"",IF(COUNTIFS(m_teacher,V$4,m_date,($G$2+12),m_active,1,m_start,"&lt;"&amp;960,m_end,"&gt;"&amp;900)&gt;1,"충돌",HYPERLINK("#'관리자_MASTER'!D"&amp;_xlfn.MAXIFS(m_row,m_teacher,V$4,m_date,($G$2+12),m_active,1,m_start,"&lt;"&amp;960,m_end,"&gt;"&amp;900),INDEX(m_label,_xlfn.MAXIFS(m_row,m_teacher,V$4,m_date,($G$2+12),m_active,1,m_start,"&lt;"&amp;960,m_end,"&gt;"&amp;900))))))</f>
        <v/>
      </c>
      <c r="W66" s="88" t="str">
        <f aca="false">IF(OR(W$4="",MONTH(($G$2+12))&lt;&gt;MONTH($C$2)),"",IF(COUNTIFS(m_teacher,W$4,m_date,($G$2+12),m_active,1,m_start,"&lt;"&amp;960,m_end,"&gt;"&amp;900)=0,"",IF(COUNTIFS(m_teacher,W$4,m_date,($G$2+12),m_active,1,m_start,"&lt;"&amp;960,m_end,"&gt;"&amp;900)&gt;1,"충돌",HYPERLINK("#'관리자_MASTER'!D"&amp;_xlfn.MAXIFS(m_row,m_teacher,W$4,m_date,($G$2+12),m_active,1,m_start,"&lt;"&amp;960,m_end,"&gt;"&amp;900),INDEX(m_label,_xlfn.MAXIFS(m_row,m_teacher,W$4,m_date,($G$2+12),m_active,1,m_start,"&lt;"&amp;960,m_end,"&gt;"&amp;900))))))</f>
        <v/>
      </c>
      <c r="X66" s="88" t="str">
        <f aca="false">IF(OR(X$4="",MONTH(($G$2+12))&lt;&gt;MONTH($C$2)),"",IF(COUNTIFS(m_teacher,X$4,m_date,($G$2+12),m_active,1,m_start,"&lt;"&amp;960,m_end,"&gt;"&amp;900)=0,"",IF(COUNTIFS(m_teacher,X$4,m_date,($G$2+12),m_active,1,m_start,"&lt;"&amp;960,m_end,"&gt;"&amp;900)&gt;1,"충돌",HYPERLINK("#'관리자_MASTER'!D"&amp;_xlfn.MAXIFS(m_row,m_teacher,X$4,m_date,($G$2+12),m_active,1,m_start,"&lt;"&amp;960,m_end,"&gt;"&amp;900),INDEX(m_label,_xlfn.MAXIFS(m_row,m_teacher,X$4,m_date,($G$2+12),m_active,1,m_start,"&lt;"&amp;960,m_end,"&gt;"&amp;900))))))</f>
        <v/>
      </c>
      <c r="Y66" s="88" t="str">
        <f aca="false">IF(OR(Y$4="",MONTH(($G$2+12))&lt;&gt;MONTH($C$2)),"",IF(COUNTIFS(m_teacher,Y$4,m_date,($G$2+12),m_active,1,m_start,"&lt;"&amp;960,m_end,"&gt;"&amp;900)=0,"",IF(COUNTIFS(m_teacher,Y$4,m_date,($G$2+12),m_active,1,m_start,"&lt;"&amp;960,m_end,"&gt;"&amp;900)&gt;1,"충돌",HYPERLINK("#'관리자_MASTER'!D"&amp;_xlfn.MAXIFS(m_row,m_teacher,Y$4,m_date,($G$2+12),m_active,1,m_start,"&lt;"&amp;960,m_end,"&gt;"&amp;900),INDEX(m_label,_xlfn.MAXIFS(m_row,m_teacher,Y$4,m_date,($G$2+12),m_active,1,m_start,"&lt;"&amp;960,m_end,"&gt;"&amp;900))))))</f>
        <v/>
      </c>
      <c r="Z66" s="88" t="str">
        <f aca="false">IF(OR(Z$4="",MONTH(($G$2+12))&lt;&gt;MONTH($C$2)),"",IF(COUNTIFS(m_teacher,Z$4,m_date,($G$2+12),m_active,1,m_start,"&lt;"&amp;960,m_end,"&gt;"&amp;900)=0,"",IF(COUNTIFS(m_teacher,Z$4,m_date,($G$2+12),m_active,1,m_start,"&lt;"&amp;960,m_end,"&gt;"&amp;900)&gt;1,"충돌",HYPERLINK("#'관리자_MASTER'!D"&amp;_xlfn.MAXIFS(m_row,m_teacher,Z$4,m_date,($G$2+12),m_active,1,m_start,"&lt;"&amp;960,m_end,"&gt;"&amp;900),INDEX(m_label,_xlfn.MAXIFS(m_row,m_teacher,Z$4,m_date,($G$2+12),m_active,1,m_start,"&lt;"&amp;960,m_end,"&gt;"&amp;900))))))</f>
        <v/>
      </c>
      <c r="AA66" s="88" t="str">
        <f aca="false">IF(OR(AA$4="",MONTH(($G$2+12))&lt;&gt;MONTH($C$2)),"",IF(COUNTIFS(m_teacher,AA$4,m_date,($G$2+12),m_active,1,m_start,"&lt;"&amp;960,m_end,"&gt;"&amp;900)=0,"",IF(COUNTIFS(m_teacher,AA$4,m_date,($G$2+12),m_active,1,m_start,"&lt;"&amp;960,m_end,"&gt;"&amp;900)&gt;1,"충돌",HYPERLINK("#'관리자_MASTER'!D"&amp;_xlfn.MAXIFS(m_row,m_teacher,AA$4,m_date,($G$2+12),m_active,1,m_start,"&lt;"&amp;960,m_end,"&gt;"&amp;900),INDEX(m_label,_xlfn.MAXIFS(m_row,m_teacher,AA$4,m_date,($G$2+12),m_active,1,m_start,"&lt;"&amp;960,m_end,"&gt;"&amp;900))))))</f>
        <v/>
      </c>
      <c r="AB66" s="88" t="str">
        <f aca="false">IF(OR(AB$4="",MONTH(($G$2+12))&lt;&gt;MONTH($C$2)),"",IF(COUNTIFS(m_teacher,AB$4,m_date,($G$2+12),m_active,1,m_start,"&lt;"&amp;960,m_end,"&gt;"&amp;900)=0,"",IF(COUNTIFS(m_teacher,AB$4,m_date,($G$2+12),m_active,1,m_start,"&lt;"&amp;960,m_end,"&gt;"&amp;900)&gt;1,"충돌",HYPERLINK("#'관리자_MASTER'!D"&amp;_xlfn.MAXIFS(m_row,m_teacher,AB$4,m_date,($G$2+12),m_active,1,m_start,"&lt;"&amp;960,m_end,"&gt;"&amp;900),INDEX(m_label,_xlfn.MAXIFS(m_row,m_teacher,AB$4,m_date,($G$2+12),m_active,1,m_start,"&lt;"&amp;960,m_end,"&gt;"&amp;900))))))</f>
        <v/>
      </c>
      <c r="AC66" s="90"/>
      <c r="AD66" s="79" t="s">
        <v>97</v>
      </c>
      <c r="AE66" s="88" t="str">
        <f aca="false">IF(OR(AE$4="",MONTH(($G$2+19))&lt;&gt;MONTH($C$2)),"",IF(COUNTIFS(m_teacher,AE$4,m_date,($G$2+19),m_active,1,m_start,"&lt;"&amp;960,m_end,"&gt;"&amp;900)=0,"",IF(COUNTIFS(m_teacher,AE$4,m_date,($G$2+19),m_active,1,m_start,"&lt;"&amp;960,m_end,"&gt;"&amp;900)&gt;1,"충돌",HYPERLINK("#'관리자_MASTER'!D"&amp;_xlfn.MAXIFS(m_row,m_teacher,AE$4,m_date,($G$2+19),m_active,1,m_start,"&lt;"&amp;960,m_end,"&gt;"&amp;900),INDEX(m_label,_xlfn.MAXIFS(m_row,m_teacher,AE$4,m_date,($G$2+19),m_active,1,m_start,"&lt;"&amp;960,m_end,"&gt;"&amp;900))))))</f>
        <v/>
      </c>
      <c r="AF66" s="88" t="str">
        <f aca="false">IF(OR(AF$4="",MONTH(($G$2+19))&lt;&gt;MONTH($C$2)),"",IF(COUNTIFS(m_teacher,AF$4,m_date,($G$2+19),m_active,1,m_start,"&lt;"&amp;960,m_end,"&gt;"&amp;900)=0,"",IF(COUNTIFS(m_teacher,AF$4,m_date,($G$2+19),m_active,1,m_start,"&lt;"&amp;960,m_end,"&gt;"&amp;900)&gt;1,"충돌",HYPERLINK("#'관리자_MASTER'!D"&amp;_xlfn.MAXIFS(m_row,m_teacher,AF$4,m_date,($G$2+19),m_active,1,m_start,"&lt;"&amp;960,m_end,"&gt;"&amp;900),INDEX(m_label,_xlfn.MAXIFS(m_row,m_teacher,AF$4,m_date,($G$2+19),m_active,1,m_start,"&lt;"&amp;960,m_end,"&gt;"&amp;900))))))</f>
        <v/>
      </c>
      <c r="AG66" s="88" t="str">
        <f aca="false">IF(OR(AG$4="",MONTH(($G$2+19))&lt;&gt;MONTH($C$2)),"",IF(COUNTIFS(m_teacher,AG$4,m_date,($G$2+19),m_active,1,m_start,"&lt;"&amp;960,m_end,"&gt;"&amp;900)=0,"",IF(COUNTIFS(m_teacher,AG$4,m_date,($G$2+19),m_active,1,m_start,"&lt;"&amp;960,m_end,"&gt;"&amp;900)&gt;1,"충돌",HYPERLINK("#'관리자_MASTER'!D"&amp;_xlfn.MAXIFS(m_row,m_teacher,AG$4,m_date,($G$2+19),m_active,1,m_start,"&lt;"&amp;960,m_end,"&gt;"&amp;900),INDEX(m_label,_xlfn.MAXIFS(m_row,m_teacher,AG$4,m_date,($G$2+19),m_active,1,m_start,"&lt;"&amp;960,m_end,"&gt;"&amp;900))))))</f>
        <v/>
      </c>
      <c r="AH66" s="88" t="str">
        <f aca="false">IF(OR(AH$4="",MONTH(($G$2+19))&lt;&gt;MONTH($C$2)),"",IF(COUNTIFS(m_teacher,AH$4,m_date,($G$2+19),m_active,1,m_start,"&lt;"&amp;960,m_end,"&gt;"&amp;900)=0,"",IF(COUNTIFS(m_teacher,AH$4,m_date,($G$2+19),m_active,1,m_start,"&lt;"&amp;960,m_end,"&gt;"&amp;900)&gt;1,"충돌",HYPERLINK("#'관리자_MASTER'!D"&amp;_xlfn.MAXIFS(m_row,m_teacher,AH$4,m_date,($G$2+19),m_active,1,m_start,"&lt;"&amp;960,m_end,"&gt;"&amp;900),INDEX(m_label,_xlfn.MAXIFS(m_row,m_teacher,AH$4,m_date,($G$2+19),m_active,1,m_start,"&lt;"&amp;960,m_end,"&gt;"&amp;900))))))</f>
        <v/>
      </c>
      <c r="AI66" s="88" t="str">
        <f aca="false">IF(OR(AI$4="",MONTH(($G$2+19))&lt;&gt;MONTH($C$2)),"",IF(COUNTIFS(m_teacher,AI$4,m_date,($G$2+19),m_active,1,m_start,"&lt;"&amp;960,m_end,"&gt;"&amp;900)=0,"",IF(COUNTIFS(m_teacher,AI$4,m_date,($G$2+19),m_active,1,m_start,"&lt;"&amp;960,m_end,"&gt;"&amp;900)&gt;1,"충돌",HYPERLINK("#'관리자_MASTER'!D"&amp;_xlfn.MAXIFS(m_row,m_teacher,AI$4,m_date,($G$2+19),m_active,1,m_start,"&lt;"&amp;960,m_end,"&gt;"&amp;900),INDEX(m_label,_xlfn.MAXIFS(m_row,m_teacher,AI$4,m_date,($G$2+19),m_active,1,m_start,"&lt;"&amp;960,m_end,"&gt;"&amp;900))))))</f>
        <v/>
      </c>
      <c r="AJ66" s="88" t="str">
        <f aca="false">IF(OR(AJ$4="",MONTH(($G$2+19))&lt;&gt;MONTH($C$2)),"",IF(COUNTIFS(m_teacher,AJ$4,m_date,($G$2+19),m_active,1,m_start,"&lt;"&amp;960,m_end,"&gt;"&amp;900)=0,"",IF(COUNTIFS(m_teacher,AJ$4,m_date,($G$2+19),m_active,1,m_start,"&lt;"&amp;960,m_end,"&gt;"&amp;900)&gt;1,"충돌",HYPERLINK("#'관리자_MASTER'!D"&amp;_xlfn.MAXIFS(m_row,m_teacher,AJ$4,m_date,($G$2+19),m_active,1,m_start,"&lt;"&amp;960,m_end,"&gt;"&amp;900),INDEX(m_label,_xlfn.MAXIFS(m_row,m_teacher,AJ$4,m_date,($G$2+19),m_active,1,m_start,"&lt;"&amp;960,m_end,"&gt;"&amp;900))))))</f>
        <v/>
      </c>
      <c r="AK66" s="88" t="str">
        <f aca="false">IF(OR(AK$4="",MONTH(($G$2+19))&lt;&gt;MONTH($C$2)),"",IF(COUNTIFS(m_teacher,AK$4,m_date,($G$2+19),m_active,1,m_start,"&lt;"&amp;960,m_end,"&gt;"&amp;900)=0,"",IF(COUNTIFS(m_teacher,AK$4,m_date,($G$2+19),m_active,1,m_start,"&lt;"&amp;960,m_end,"&gt;"&amp;900)&gt;1,"충돌",HYPERLINK("#'관리자_MASTER'!D"&amp;_xlfn.MAXIFS(m_row,m_teacher,AK$4,m_date,($G$2+19),m_active,1,m_start,"&lt;"&amp;960,m_end,"&gt;"&amp;900),INDEX(m_label,_xlfn.MAXIFS(m_row,m_teacher,AK$4,m_date,($G$2+19),m_active,1,m_start,"&lt;"&amp;960,m_end,"&gt;"&amp;900))))))</f>
        <v/>
      </c>
      <c r="AL66" s="88" t="str">
        <f aca="false">IF(OR(AL$4="",MONTH(($G$2+19))&lt;&gt;MONTH($C$2)),"",IF(COUNTIFS(m_teacher,AL$4,m_date,($G$2+19),m_active,1,m_start,"&lt;"&amp;960,m_end,"&gt;"&amp;900)=0,"",IF(COUNTIFS(m_teacher,AL$4,m_date,($G$2+19),m_active,1,m_start,"&lt;"&amp;960,m_end,"&gt;"&amp;900)&gt;1,"충돌",HYPERLINK("#'관리자_MASTER'!D"&amp;_xlfn.MAXIFS(m_row,m_teacher,AL$4,m_date,($G$2+19),m_active,1,m_start,"&lt;"&amp;960,m_end,"&gt;"&amp;900),INDEX(m_label,_xlfn.MAXIFS(m_row,m_teacher,AL$4,m_date,($G$2+19),m_active,1,m_start,"&lt;"&amp;960,m_end,"&gt;"&amp;900))))))</f>
        <v/>
      </c>
      <c r="AM66" s="88" t="str">
        <f aca="false">IF(OR(AM$4="",MONTH(($G$2+19))&lt;&gt;MONTH($C$2)),"",IF(COUNTIFS(m_teacher,AM$4,m_date,($G$2+19),m_active,1,m_start,"&lt;"&amp;960,m_end,"&gt;"&amp;900)=0,"",IF(COUNTIFS(m_teacher,AM$4,m_date,($G$2+19),m_active,1,m_start,"&lt;"&amp;960,m_end,"&gt;"&amp;900)&gt;1,"충돌",HYPERLINK("#'관리자_MASTER'!D"&amp;_xlfn.MAXIFS(m_row,m_teacher,AM$4,m_date,($G$2+19),m_active,1,m_start,"&lt;"&amp;960,m_end,"&gt;"&amp;900),INDEX(m_label,_xlfn.MAXIFS(m_row,m_teacher,AM$4,m_date,($G$2+19),m_active,1,m_start,"&lt;"&amp;960,m_end,"&gt;"&amp;900))))))</f>
        <v/>
      </c>
      <c r="AN66" s="88" t="str">
        <f aca="false">IF(OR(AN$4="",MONTH(($G$2+19))&lt;&gt;MONTH($C$2)),"",IF(COUNTIFS(m_teacher,AN$4,m_date,($G$2+19),m_active,1,m_start,"&lt;"&amp;960,m_end,"&gt;"&amp;900)=0,"",IF(COUNTIFS(m_teacher,AN$4,m_date,($G$2+19),m_active,1,m_start,"&lt;"&amp;960,m_end,"&gt;"&amp;900)&gt;1,"충돌",HYPERLINK("#'관리자_MASTER'!D"&amp;_xlfn.MAXIFS(m_row,m_teacher,AN$4,m_date,($G$2+19),m_active,1,m_start,"&lt;"&amp;960,m_end,"&gt;"&amp;900),INDEX(m_label,_xlfn.MAXIFS(m_row,m_teacher,AN$4,m_date,($G$2+19),m_active,1,m_start,"&lt;"&amp;960,m_end,"&gt;"&amp;900))))))</f>
        <v/>
      </c>
      <c r="AO66" s="88" t="str">
        <f aca="false">IF(OR(AO$4="",MONTH(($G$2+19))&lt;&gt;MONTH($C$2)),"",IF(COUNTIFS(m_teacher,AO$4,m_date,($G$2+19),m_active,1,m_start,"&lt;"&amp;960,m_end,"&gt;"&amp;900)=0,"",IF(COUNTIFS(m_teacher,AO$4,m_date,($G$2+19),m_active,1,m_start,"&lt;"&amp;960,m_end,"&gt;"&amp;900)&gt;1,"충돌",HYPERLINK("#'관리자_MASTER'!D"&amp;_xlfn.MAXIFS(m_row,m_teacher,AO$4,m_date,($G$2+19),m_active,1,m_start,"&lt;"&amp;960,m_end,"&gt;"&amp;900),INDEX(m_label,_xlfn.MAXIFS(m_row,m_teacher,AO$4,m_date,($G$2+19),m_active,1,m_start,"&lt;"&amp;960,m_end,"&gt;"&amp;900))))))</f>
        <v/>
      </c>
      <c r="AP66" s="88" t="str">
        <f aca="false">IF(OR(AP$4="",MONTH(($G$2+19))&lt;&gt;MONTH($C$2)),"",IF(COUNTIFS(m_teacher,AP$4,m_date,($G$2+19),m_active,1,m_start,"&lt;"&amp;960,m_end,"&gt;"&amp;900)=0,"",IF(COUNTIFS(m_teacher,AP$4,m_date,($G$2+19),m_active,1,m_start,"&lt;"&amp;960,m_end,"&gt;"&amp;900)&gt;1,"충돌",HYPERLINK("#'관리자_MASTER'!D"&amp;_xlfn.MAXIFS(m_row,m_teacher,AP$4,m_date,($G$2+19),m_active,1,m_start,"&lt;"&amp;960,m_end,"&gt;"&amp;900),INDEX(m_label,_xlfn.MAXIFS(m_row,m_teacher,AP$4,m_date,($G$2+19),m_active,1,m_start,"&lt;"&amp;960,m_end,"&gt;"&amp;900))))))</f>
        <v/>
      </c>
      <c r="AQ66" s="90"/>
      <c r="AR66" s="79" t="s">
        <v>97</v>
      </c>
      <c r="AS66" s="88" t="str">
        <f aca="false">IF(OR(AS$4="",MONTH(($G$2+26))&lt;&gt;MONTH($C$2)),"",IF(COUNTIFS(m_teacher,AS$4,m_date,($G$2+26),m_active,1,m_start,"&lt;"&amp;960,m_end,"&gt;"&amp;900)=0,"",IF(COUNTIFS(m_teacher,AS$4,m_date,($G$2+26),m_active,1,m_start,"&lt;"&amp;960,m_end,"&gt;"&amp;900)&gt;1,"충돌",HYPERLINK("#'관리자_MASTER'!D"&amp;_xlfn.MAXIFS(m_row,m_teacher,AS$4,m_date,($G$2+26),m_active,1,m_start,"&lt;"&amp;960,m_end,"&gt;"&amp;900),INDEX(m_label,_xlfn.MAXIFS(m_row,m_teacher,AS$4,m_date,($G$2+26),m_active,1,m_start,"&lt;"&amp;960,m_end,"&gt;"&amp;900))))))</f>
        <v/>
      </c>
      <c r="AT66" s="88" t="str">
        <f aca="false">IF(OR(AT$4="",MONTH(($G$2+26))&lt;&gt;MONTH($C$2)),"",IF(COUNTIFS(m_teacher,AT$4,m_date,($G$2+26),m_active,1,m_start,"&lt;"&amp;960,m_end,"&gt;"&amp;900)=0,"",IF(COUNTIFS(m_teacher,AT$4,m_date,($G$2+26),m_active,1,m_start,"&lt;"&amp;960,m_end,"&gt;"&amp;900)&gt;1,"충돌",HYPERLINK("#'관리자_MASTER'!D"&amp;_xlfn.MAXIFS(m_row,m_teacher,AT$4,m_date,($G$2+26),m_active,1,m_start,"&lt;"&amp;960,m_end,"&gt;"&amp;900),INDEX(m_label,_xlfn.MAXIFS(m_row,m_teacher,AT$4,m_date,($G$2+26),m_active,1,m_start,"&lt;"&amp;960,m_end,"&gt;"&amp;900))))))</f>
        <v/>
      </c>
      <c r="AU66" s="88" t="str">
        <f aca="false">IF(OR(AU$4="",MONTH(($G$2+26))&lt;&gt;MONTH($C$2)),"",IF(COUNTIFS(m_teacher,AU$4,m_date,($G$2+26),m_active,1,m_start,"&lt;"&amp;960,m_end,"&gt;"&amp;900)=0,"",IF(COUNTIFS(m_teacher,AU$4,m_date,($G$2+26),m_active,1,m_start,"&lt;"&amp;960,m_end,"&gt;"&amp;900)&gt;1,"충돌",HYPERLINK("#'관리자_MASTER'!D"&amp;_xlfn.MAXIFS(m_row,m_teacher,AU$4,m_date,($G$2+26),m_active,1,m_start,"&lt;"&amp;960,m_end,"&gt;"&amp;900),INDEX(m_label,_xlfn.MAXIFS(m_row,m_teacher,AU$4,m_date,($G$2+26),m_active,1,m_start,"&lt;"&amp;960,m_end,"&gt;"&amp;900))))))</f>
        <v/>
      </c>
      <c r="AV66" s="88" t="str">
        <f aca="false">IF(OR(AV$4="",MONTH(($G$2+26))&lt;&gt;MONTH($C$2)),"",IF(COUNTIFS(m_teacher,AV$4,m_date,($G$2+26),m_active,1,m_start,"&lt;"&amp;960,m_end,"&gt;"&amp;900)=0,"",IF(COUNTIFS(m_teacher,AV$4,m_date,($G$2+26),m_active,1,m_start,"&lt;"&amp;960,m_end,"&gt;"&amp;900)&gt;1,"충돌",HYPERLINK("#'관리자_MASTER'!D"&amp;_xlfn.MAXIFS(m_row,m_teacher,AV$4,m_date,($G$2+26),m_active,1,m_start,"&lt;"&amp;960,m_end,"&gt;"&amp;900),INDEX(m_label,_xlfn.MAXIFS(m_row,m_teacher,AV$4,m_date,($G$2+26),m_active,1,m_start,"&lt;"&amp;960,m_end,"&gt;"&amp;900))))))</f>
        <v/>
      </c>
      <c r="AW66" s="88" t="str">
        <f aca="false">IF(OR(AW$4="",MONTH(($G$2+26))&lt;&gt;MONTH($C$2)),"",IF(COUNTIFS(m_teacher,AW$4,m_date,($G$2+26),m_active,1,m_start,"&lt;"&amp;960,m_end,"&gt;"&amp;900)=0,"",IF(COUNTIFS(m_teacher,AW$4,m_date,($G$2+26),m_active,1,m_start,"&lt;"&amp;960,m_end,"&gt;"&amp;900)&gt;1,"충돌",HYPERLINK("#'관리자_MASTER'!D"&amp;_xlfn.MAXIFS(m_row,m_teacher,AW$4,m_date,($G$2+26),m_active,1,m_start,"&lt;"&amp;960,m_end,"&gt;"&amp;900),INDEX(m_label,_xlfn.MAXIFS(m_row,m_teacher,AW$4,m_date,($G$2+26),m_active,1,m_start,"&lt;"&amp;960,m_end,"&gt;"&amp;900))))))</f>
        <v/>
      </c>
      <c r="AX66" s="88" t="str">
        <f aca="false">IF(OR(AX$4="",MONTH(($G$2+26))&lt;&gt;MONTH($C$2)),"",IF(COUNTIFS(m_teacher,AX$4,m_date,($G$2+26),m_active,1,m_start,"&lt;"&amp;960,m_end,"&gt;"&amp;900)=0,"",IF(COUNTIFS(m_teacher,AX$4,m_date,($G$2+26),m_active,1,m_start,"&lt;"&amp;960,m_end,"&gt;"&amp;900)&gt;1,"충돌",HYPERLINK("#'관리자_MASTER'!D"&amp;_xlfn.MAXIFS(m_row,m_teacher,AX$4,m_date,($G$2+26),m_active,1,m_start,"&lt;"&amp;960,m_end,"&gt;"&amp;900),INDEX(m_label,_xlfn.MAXIFS(m_row,m_teacher,AX$4,m_date,($G$2+26),m_active,1,m_start,"&lt;"&amp;960,m_end,"&gt;"&amp;900))))))</f>
        <v/>
      </c>
      <c r="AY66" s="88" t="str">
        <f aca="false">IF(OR(AY$4="",MONTH(($G$2+26))&lt;&gt;MONTH($C$2)),"",IF(COUNTIFS(m_teacher,AY$4,m_date,($G$2+26),m_active,1,m_start,"&lt;"&amp;960,m_end,"&gt;"&amp;900)=0,"",IF(COUNTIFS(m_teacher,AY$4,m_date,($G$2+26),m_active,1,m_start,"&lt;"&amp;960,m_end,"&gt;"&amp;900)&gt;1,"충돌",HYPERLINK("#'관리자_MASTER'!D"&amp;_xlfn.MAXIFS(m_row,m_teacher,AY$4,m_date,($G$2+26),m_active,1,m_start,"&lt;"&amp;960,m_end,"&gt;"&amp;900),INDEX(m_label,_xlfn.MAXIFS(m_row,m_teacher,AY$4,m_date,($G$2+26),m_active,1,m_start,"&lt;"&amp;960,m_end,"&gt;"&amp;900))))))</f>
        <v/>
      </c>
      <c r="AZ66" s="88" t="str">
        <f aca="false">IF(OR(AZ$4="",MONTH(($G$2+26))&lt;&gt;MONTH($C$2)),"",IF(COUNTIFS(m_teacher,AZ$4,m_date,($G$2+26),m_active,1,m_start,"&lt;"&amp;960,m_end,"&gt;"&amp;900)=0,"",IF(COUNTIFS(m_teacher,AZ$4,m_date,($G$2+26),m_active,1,m_start,"&lt;"&amp;960,m_end,"&gt;"&amp;900)&gt;1,"충돌",HYPERLINK("#'관리자_MASTER'!D"&amp;_xlfn.MAXIFS(m_row,m_teacher,AZ$4,m_date,($G$2+26),m_active,1,m_start,"&lt;"&amp;960,m_end,"&gt;"&amp;900),INDEX(m_label,_xlfn.MAXIFS(m_row,m_teacher,AZ$4,m_date,($G$2+26),m_active,1,m_start,"&lt;"&amp;960,m_end,"&gt;"&amp;900))))))</f>
        <v/>
      </c>
      <c r="BA66" s="88" t="str">
        <f aca="false">IF(OR(BA$4="",MONTH(($G$2+26))&lt;&gt;MONTH($C$2)),"",IF(COUNTIFS(m_teacher,BA$4,m_date,($G$2+26),m_active,1,m_start,"&lt;"&amp;960,m_end,"&gt;"&amp;900)=0,"",IF(COUNTIFS(m_teacher,BA$4,m_date,($G$2+26),m_active,1,m_start,"&lt;"&amp;960,m_end,"&gt;"&amp;900)&gt;1,"충돌",HYPERLINK("#'관리자_MASTER'!D"&amp;_xlfn.MAXIFS(m_row,m_teacher,BA$4,m_date,($G$2+26),m_active,1,m_start,"&lt;"&amp;960,m_end,"&gt;"&amp;900),INDEX(m_label,_xlfn.MAXIFS(m_row,m_teacher,BA$4,m_date,($G$2+26),m_active,1,m_start,"&lt;"&amp;960,m_end,"&gt;"&amp;900))))))</f>
        <v/>
      </c>
      <c r="BB66" s="88" t="str">
        <f aca="false">IF(OR(BB$4="",MONTH(($G$2+26))&lt;&gt;MONTH($C$2)),"",IF(COUNTIFS(m_teacher,BB$4,m_date,($G$2+26),m_active,1,m_start,"&lt;"&amp;960,m_end,"&gt;"&amp;900)=0,"",IF(COUNTIFS(m_teacher,BB$4,m_date,($G$2+26),m_active,1,m_start,"&lt;"&amp;960,m_end,"&gt;"&amp;900)&gt;1,"충돌",HYPERLINK("#'관리자_MASTER'!D"&amp;_xlfn.MAXIFS(m_row,m_teacher,BB$4,m_date,($G$2+26),m_active,1,m_start,"&lt;"&amp;960,m_end,"&gt;"&amp;900),INDEX(m_label,_xlfn.MAXIFS(m_row,m_teacher,BB$4,m_date,($G$2+26),m_active,1,m_start,"&lt;"&amp;960,m_end,"&gt;"&amp;900))))))</f>
        <v/>
      </c>
      <c r="BC66" s="88" t="str">
        <f aca="false">IF(OR(BC$4="",MONTH(($G$2+26))&lt;&gt;MONTH($C$2)),"",IF(COUNTIFS(m_teacher,BC$4,m_date,($G$2+26),m_active,1,m_start,"&lt;"&amp;960,m_end,"&gt;"&amp;900)=0,"",IF(COUNTIFS(m_teacher,BC$4,m_date,($G$2+26),m_active,1,m_start,"&lt;"&amp;960,m_end,"&gt;"&amp;900)&gt;1,"충돌",HYPERLINK("#'관리자_MASTER'!D"&amp;_xlfn.MAXIFS(m_row,m_teacher,BC$4,m_date,($G$2+26),m_active,1,m_start,"&lt;"&amp;960,m_end,"&gt;"&amp;900),INDEX(m_label,_xlfn.MAXIFS(m_row,m_teacher,BC$4,m_date,($G$2+26),m_active,1,m_start,"&lt;"&amp;960,m_end,"&gt;"&amp;900))))))</f>
        <v/>
      </c>
      <c r="BD66" s="88" t="str">
        <f aca="false">IF(OR(BD$4="",MONTH(($G$2+26))&lt;&gt;MONTH($C$2)),"",IF(COUNTIFS(m_teacher,BD$4,m_date,($G$2+26),m_active,1,m_start,"&lt;"&amp;960,m_end,"&gt;"&amp;900)=0,"",IF(COUNTIFS(m_teacher,BD$4,m_date,($G$2+26),m_active,1,m_start,"&lt;"&amp;960,m_end,"&gt;"&amp;900)&gt;1,"충돌",HYPERLINK("#'관리자_MASTER'!D"&amp;_xlfn.MAXIFS(m_row,m_teacher,BD$4,m_date,($G$2+26),m_active,1,m_start,"&lt;"&amp;960,m_end,"&gt;"&amp;900),INDEX(m_label,_xlfn.MAXIFS(m_row,m_teacher,BD$4,m_date,($G$2+26),m_active,1,m_start,"&lt;"&amp;960,m_end,"&gt;"&amp;900))))))</f>
        <v/>
      </c>
      <c r="BE66" s="91"/>
      <c r="BF66" s="76" t="s">
        <v>97</v>
      </c>
      <c r="BG66" s="81" t="str">
        <f aca="false">IF(OR(BG$4="",MONTH(($G$2+33))&lt;&gt;MONTH($C$2)),"",IF(COUNTIFS(m_teacher,BG$4,m_date,($G$2+33),m_active,1,m_start,"&lt;"&amp;960,m_end,"&gt;"&amp;900)=0,"",IF(COUNTIFS(m_teacher,BG$4,m_date,($G$2+33),m_active,1,m_start,"&lt;"&amp;960,m_end,"&gt;"&amp;900)&gt;1,"충돌",HYPERLINK("#'관리자_MASTER'!D"&amp;_xlfn.MAXIFS(m_row,m_teacher,BG$4,m_date,($G$2+33),m_active,1,m_start,"&lt;"&amp;960,m_end,"&gt;"&amp;900),INDEX(m_label,_xlfn.MAXIFS(m_row,m_teacher,BG$4,m_date,($G$2+33),m_active,1,m_start,"&lt;"&amp;960,m_end,"&gt;"&amp;900))))))</f>
        <v/>
      </c>
      <c r="BH66" s="81" t="str">
        <f aca="false">IF(OR(BH$4="",MONTH(($G$2+33))&lt;&gt;MONTH($C$2)),"",IF(COUNTIFS(m_teacher,BH$4,m_date,($G$2+33),m_active,1,m_start,"&lt;"&amp;960,m_end,"&gt;"&amp;900)=0,"",IF(COUNTIFS(m_teacher,BH$4,m_date,($G$2+33),m_active,1,m_start,"&lt;"&amp;960,m_end,"&gt;"&amp;900)&gt;1,"충돌",HYPERLINK("#'관리자_MASTER'!D"&amp;_xlfn.MAXIFS(m_row,m_teacher,BH$4,m_date,($G$2+33),m_active,1,m_start,"&lt;"&amp;960,m_end,"&gt;"&amp;900),INDEX(m_label,_xlfn.MAXIFS(m_row,m_teacher,BH$4,m_date,($G$2+33),m_active,1,m_start,"&lt;"&amp;960,m_end,"&gt;"&amp;900))))))</f>
        <v/>
      </c>
      <c r="BI66" s="81" t="str">
        <f aca="false">IF(OR(BI$4="",MONTH(($G$2+33))&lt;&gt;MONTH($C$2)),"",IF(COUNTIFS(m_teacher,BI$4,m_date,($G$2+33),m_active,1,m_start,"&lt;"&amp;960,m_end,"&gt;"&amp;900)=0,"",IF(COUNTIFS(m_teacher,BI$4,m_date,($G$2+33),m_active,1,m_start,"&lt;"&amp;960,m_end,"&gt;"&amp;900)&gt;1,"충돌",HYPERLINK("#'관리자_MASTER'!D"&amp;_xlfn.MAXIFS(m_row,m_teacher,BI$4,m_date,($G$2+33),m_active,1,m_start,"&lt;"&amp;960,m_end,"&gt;"&amp;900),INDEX(m_label,_xlfn.MAXIFS(m_row,m_teacher,BI$4,m_date,($G$2+33),m_active,1,m_start,"&lt;"&amp;960,m_end,"&gt;"&amp;900))))))</f>
        <v/>
      </c>
      <c r="BJ66" s="81" t="str">
        <f aca="false">IF(OR(BJ$4="",MONTH(($G$2+33))&lt;&gt;MONTH($C$2)),"",IF(COUNTIFS(m_teacher,BJ$4,m_date,($G$2+33),m_active,1,m_start,"&lt;"&amp;960,m_end,"&gt;"&amp;900)=0,"",IF(COUNTIFS(m_teacher,BJ$4,m_date,($G$2+33),m_active,1,m_start,"&lt;"&amp;960,m_end,"&gt;"&amp;900)&gt;1,"충돌",HYPERLINK("#'관리자_MASTER'!D"&amp;_xlfn.MAXIFS(m_row,m_teacher,BJ$4,m_date,($G$2+33),m_active,1,m_start,"&lt;"&amp;960,m_end,"&gt;"&amp;900),INDEX(m_label,_xlfn.MAXIFS(m_row,m_teacher,BJ$4,m_date,($G$2+33),m_active,1,m_start,"&lt;"&amp;960,m_end,"&gt;"&amp;900))))))</f>
        <v/>
      </c>
      <c r="BK66" s="81" t="str">
        <f aca="false">IF(OR(BK$4="",MONTH(($G$2+33))&lt;&gt;MONTH($C$2)),"",IF(COUNTIFS(m_teacher,BK$4,m_date,($G$2+33),m_active,1,m_start,"&lt;"&amp;960,m_end,"&gt;"&amp;900)=0,"",IF(COUNTIFS(m_teacher,BK$4,m_date,($G$2+33),m_active,1,m_start,"&lt;"&amp;960,m_end,"&gt;"&amp;900)&gt;1,"충돌",HYPERLINK("#'관리자_MASTER'!D"&amp;_xlfn.MAXIFS(m_row,m_teacher,BK$4,m_date,($G$2+33),m_active,1,m_start,"&lt;"&amp;960,m_end,"&gt;"&amp;900),INDEX(m_label,_xlfn.MAXIFS(m_row,m_teacher,BK$4,m_date,($G$2+33),m_active,1,m_start,"&lt;"&amp;960,m_end,"&gt;"&amp;900))))))</f>
        <v/>
      </c>
      <c r="BL66" s="81" t="str">
        <f aca="false">IF(OR(BL$4="",MONTH(($G$2+33))&lt;&gt;MONTH($C$2)),"",IF(COUNTIFS(m_teacher,BL$4,m_date,($G$2+33),m_active,1,m_start,"&lt;"&amp;960,m_end,"&gt;"&amp;900)=0,"",IF(COUNTIFS(m_teacher,BL$4,m_date,($G$2+33),m_active,1,m_start,"&lt;"&amp;960,m_end,"&gt;"&amp;900)&gt;1,"충돌",HYPERLINK("#'관리자_MASTER'!D"&amp;_xlfn.MAXIFS(m_row,m_teacher,BL$4,m_date,($G$2+33),m_active,1,m_start,"&lt;"&amp;960,m_end,"&gt;"&amp;900),INDEX(m_label,_xlfn.MAXIFS(m_row,m_teacher,BL$4,m_date,($G$2+33),m_active,1,m_start,"&lt;"&amp;960,m_end,"&gt;"&amp;900))))))</f>
        <v/>
      </c>
      <c r="BM66" s="81" t="str">
        <f aca="false">IF(OR(BM$4="",MONTH(($G$2+33))&lt;&gt;MONTH($C$2)),"",IF(COUNTIFS(m_teacher,BM$4,m_date,($G$2+33),m_active,1,m_start,"&lt;"&amp;960,m_end,"&gt;"&amp;900)=0,"",IF(COUNTIFS(m_teacher,BM$4,m_date,($G$2+33),m_active,1,m_start,"&lt;"&amp;960,m_end,"&gt;"&amp;900)&gt;1,"충돌",HYPERLINK("#'관리자_MASTER'!D"&amp;_xlfn.MAXIFS(m_row,m_teacher,BM$4,m_date,($G$2+33),m_active,1,m_start,"&lt;"&amp;960,m_end,"&gt;"&amp;900),INDEX(m_label,_xlfn.MAXIFS(m_row,m_teacher,BM$4,m_date,($G$2+33),m_active,1,m_start,"&lt;"&amp;960,m_end,"&gt;"&amp;900))))))</f>
        <v/>
      </c>
      <c r="BN66" s="81" t="str">
        <f aca="false">IF(OR(BN$4="",MONTH(($G$2+33))&lt;&gt;MONTH($C$2)),"",IF(COUNTIFS(m_teacher,BN$4,m_date,($G$2+33),m_active,1,m_start,"&lt;"&amp;960,m_end,"&gt;"&amp;900)=0,"",IF(COUNTIFS(m_teacher,BN$4,m_date,($G$2+33),m_active,1,m_start,"&lt;"&amp;960,m_end,"&gt;"&amp;900)&gt;1,"충돌",HYPERLINK("#'관리자_MASTER'!D"&amp;_xlfn.MAXIFS(m_row,m_teacher,BN$4,m_date,($G$2+33),m_active,1,m_start,"&lt;"&amp;960,m_end,"&gt;"&amp;900),INDEX(m_label,_xlfn.MAXIFS(m_row,m_teacher,BN$4,m_date,($G$2+33),m_active,1,m_start,"&lt;"&amp;960,m_end,"&gt;"&amp;900))))))</f>
        <v/>
      </c>
      <c r="BO66" s="81" t="str">
        <f aca="false">IF(OR(BO$4="",MONTH(($G$2+33))&lt;&gt;MONTH($C$2)),"",IF(COUNTIFS(m_teacher,BO$4,m_date,($G$2+33),m_active,1,m_start,"&lt;"&amp;960,m_end,"&gt;"&amp;900)=0,"",IF(COUNTIFS(m_teacher,BO$4,m_date,($G$2+33),m_active,1,m_start,"&lt;"&amp;960,m_end,"&gt;"&amp;900)&gt;1,"충돌",HYPERLINK("#'관리자_MASTER'!D"&amp;_xlfn.MAXIFS(m_row,m_teacher,BO$4,m_date,($G$2+33),m_active,1,m_start,"&lt;"&amp;960,m_end,"&gt;"&amp;900),INDEX(m_label,_xlfn.MAXIFS(m_row,m_teacher,BO$4,m_date,($G$2+33),m_active,1,m_start,"&lt;"&amp;960,m_end,"&gt;"&amp;900))))))</f>
        <v/>
      </c>
      <c r="BP66" s="81" t="str">
        <f aca="false">IF(OR(BP$4="",MONTH(($G$2+33))&lt;&gt;MONTH($C$2)),"",IF(COUNTIFS(m_teacher,BP$4,m_date,($G$2+33),m_active,1,m_start,"&lt;"&amp;960,m_end,"&gt;"&amp;900)=0,"",IF(COUNTIFS(m_teacher,BP$4,m_date,($G$2+33),m_active,1,m_start,"&lt;"&amp;960,m_end,"&gt;"&amp;900)&gt;1,"충돌",HYPERLINK("#'관리자_MASTER'!D"&amp;_xlfn.MAXIFS(m_row,m_teacher,BP$4,m_date,($G$2+33),m_active,1,m_start,"&lt;"&amp;960,m_end,"&gt;"&amp;900),INDEX(m_label,_xlfn.MAXIFS(m_row,m_teacher,BP$4,m_date,($G$2+33),m_active,1,m_start,"&lt;"&amp;960,m_end,"&gt;"&amp;900))))))</f>
        <v/>
      </c>
      <c r="BQ66" s="81" t="str">
        <f aca="false">IF(OR(BQ$4="",MONTH(($G$2+33))&lt;&gt;MONTH($C$2)),"",IF(COUNTIFS(m_teacher,BQ$4,m_date,($G$2+33),m_active,1,m_start,"&lt;"&amp;960,m_end,"&gt;"&amp;900)=0,"",IF(COUNTIFS(m_teacher,BQ$4,m_date,($G$2+33),m_active,1,m_start,"&lt;"&amp;960,m_end,"&gt;"&amp;900)&gt;1,"충돌",HYPERLINK("#'관리자_MASTER'!D"&amp;_xlfn.MAXIFS(m_row,m_teacher,BQ$4,m_date,($G$2+33),m_active,1,m_start,"&lt;"&amp;960,m_end,"&gt;"&amp;900),INDEX(m_label,_xlfn.MAXIFS(m_row,m_teacher,BQ$4,m_date,($G$2+33),m_active,1,m_start,"&lt;"&amp;960,m_end,"&gt;"&amp;900))))))</f>
        <v/>
      </c>
      <c r="BR66" s="81" t="str">
        <f aca="false">IF(OR(BR$4="",MONTH(($G$2+33))&lt;&gt;MONTH($C$2)),"",IF(COUNTIFS(m_teacher,BR$4,m_date,($G$2+33),m_active,1,m_start,"&lt;"&amp;960,m_end,"&gt;"&amp;900)=0,"",IF(COUNTIFS(m_teacher,BR$4,m_date,($G$2+33),m_active,1,m_start,"&lt;"&amp;960,m_end,"&gt;"&amp;900)&gt;1,"충돌",HYPERLINK("#'관리자_MASTER'!D"&amp;_xlfn.MAXIFS(m_row,m_teacher,BR$4,m_date,($G$2+33),m_active,1,m_start,"&lt;"&amp;960,m_end,"&gt;"&amp;900),INDEX(m_label,_xlfn.MAXIFS(m_row,m_teacher,BR$4,m_date,($G$2+33),m_active,1,m_start,"&lt;"&amp;960,m_end,"&gt;"&amp;900))))))</f>
        <v/>
      </c>
    </row>
    <row r="67" customFormat="false" ht="19.5" hidden="false" customHeight="true" outlineLevel="0" collapsed="false">
      <c r="A67" s="90"/>
      <c r="B67" s="79" t="s">
        <v>98</v>
      </c>
      <c r="C67" s="88" t="str">
        <f aca="false">IF(OR(C$4="",MONTH(($G$2+5))&lt;&gt;MONTH($C$2)),"",IF(COUNTIFS(m_teacher,C$4,m_date,($G$2+5),m_active,1,m_start,"&lt;"&amp;1020,m_end,"&gt;"&amp;960)=0,"",IF(COUNTIFS(m_teacher,C$4,m_date,($G$2+5),m_active,1,m_start,"&lt;"&amp;1020,m_end,"&gt;"&amp;960)&gt;1,"충돌",HYPERLINK("#'관리자_MASTER'!D"&amp;_xlfn.MAXIFS(m_row,m_teacher,C$4,m_date,($G$2+5),m_active,1,m_start,"&lt;"&amp;1020,m_end,"&gt;"&amp;960),INDEX(m_label,_xlfn.MAXIFS(m_row,m_teacher,C$4,m_date,($G$2+5),m_active,1,m_start,"&lt;"&amp;1020,m_end,"&gt;"&amp;960))))))</f>
        <v/>
      </c>
      <c r="D67" s="88" t="str">
        <f aca="false">IF(OR(D$4="",MONTH(($G$2+5))&lt;&gt;MONTH($C$2)),"",IF(COUNTIFS(m_teacher,D$4,m_date,($G$2+5),m_active,1,m_start,"&lt;"&amp;1020,m_end,"&gt;"&amp;960)=0,"",IF(COUNTIFS(m_teacher,D$4,m_date,($G$2+5),m_active,1,m_start,"&lt;"&amp;1020,m_end,"&gt;"&amp;960)&gt;1,"충돌",HYPERLINK("#'관리자_MASTER'!D"&amp;_xlfn.MAXIFS(m_row,m_teacher,D$4,m_date,($G$2+5),m_active,1,m_start,"&lt;"&amp;1020,m_end,"&gt;"&amp;960),INDEX(m_label,_xlfn.MAXIFS(m_row,m_teacher,D$4,m_date,($G$2+5),m_active,1,m_start,"&lt;"&amp;1020,m_end,"&gt;"&amp;960))))))</f>
        <v/>
      </c>
      <c r="E67" s="88" t="str">
        <f aca="false">IF(OR(E$4="",MONTH(($G$2+5))&lt;&gt;MONTH($C$2)),"",IF(COUNTIFS(m_teacher,E$4,m_date,($G$2+5),m_active,1,m_start,"&lt;"&amp;1020,m_end,"&gt;"&amp;960)=0,"",IF(COUNTIFS(m_teacher,E$4,m_date,($G$2+5),m_active,1,m_start,"&lt;"&amp;1020,m_end,"&gt;"&amp;960)&gt;1,"충돌",HYPERLINK("#'관리자_MASTER'!D"&amp;_xlfn.MAXIFS(m_row,m_teacher,E$4,m_date,($G$2+5),m_active,1,m_start,"&lt;"&amp;1020,m_end,"&gt;"&amp;960),INDEX(m_label,_xlfn.MAXIFS(m_row,m_teacher,E$4,m_date,($G$2+5),m_active,1,m_start,"&lt;"&amp;1020,m_end,"&gt;"&amp;960))))))</f>
        <v/>
      </c>
      <c r="F67" s="88" t="str">
        <f aca="false">IF(OR(F$4="",MONTH(($G$2+5))&lt;&gt;MONTH($C$2)),"",IF(COUNTIFS(m_teacher,F$4,m_date,($G$2+5),m_active,1,m_start,"&lt;"&amp;1020,m_end,"&gt;"&amp;960)=0,"",IF(COUNTIFS(m_teacher,F$4,m_date,($G$2+5),m_active,1,m_start,"&lt;"&amp;1020,m_end,"&gt;"&amp;960)&gt;1,"충돌",HYPERLINK("#'관리자_MASTER'!D"&amp;_xlfn.MAXIFS(m_row,m_teacher,F$4,m_date,($G$2+5),m_active,1,m_start,"&lt;"&amp;1020,m_end,"&gt;"&amp;960),INDEX(m_label,_xlfn.MAXIFS(m_row,m_teacher,F$4,m_date,($G$2+5),m_active,1,m_start,"&lt;"&amp;1020,m_end,"&gt;"&amp;960))))))</f>
        <v/>
      </c>
      <c r="G67" s="88" t="str">
        <f aca="false">IF(OR(G$4="",MONTH(($G$2+5))&lt;&gt;MONTH($C$2)),"",IF(COUNTIFS(m_teacher,G$4,m_date,($G$2+5),m_active,1,m_start,"&lt;"&amp;1020,m_end,"&gt;"&amp;960)=0,"",IF(COUNTIFS(m_teacher,G$4,m_date,($G$2+5),m_active,1,m_start,"&lt;"&amp;1020,m_end,"&gt;"&amp;960)&gt;1,"충돌",HYPERLINK("#'관리자_MASTER'!D"&amp;_xlfn.MAXIFS(m_row,m_teacher,G$4,m_date,($G$2+5),m_active,1,m_start,"&lt;"&amp;1020,m_end,"&gt;"&amp;960),INDEX(m_label,_xlfn.MAXIFS(m_row,m_teacher,G$4,m_date,($G$2+5),m_active,1,m_start,"&lt;"&amp;1020,m_end,"&gt;"&amp;960))))))</f>
        <v/>
      </c>
      <c r="H67" s="88" t="str">
        <f aca="false">IF(OR(H$4="",MONTH(($G$2+5))&lt;&gt;MONTH($C$2)),"",IF(COUNTIFS(m_teacher,H$4,m_date,($G$2+5),m_active,1,m_start,"&lt;"&amp;1020,m_end,"&gt;"&amp;960)=0,"",IF(COUNTIFS(m_teacher,H$4,m_date,($G$2+5),m_active,1,m_start,"&lt;"&amp;1020,m_end,"&gt;"&amp;960)&gt;1,"충돌",HYPERLINK("#'관리자_MASTER'!D"&amp;_xlfn.MAXIFS(m_row,m_teacher,H$4,m_date,($G$2+5),m_active,1,m_start,"&lt;"&amp;1020,m_end,"&gt;"&amp;960),INDEX(m_label,_xlfn.MAXIFS(m_row,m_teacher,H$4,m_date,($G$2+5),m_active,1,m_start,"&lt;"&amp;1020,m_end,"&gt;"&amp;960))))))</f>
        <v/>
      </c>
      <c r="I67" s="88" t="str">
        <f aca="false">IF(OR(I$4="",MONTH(($G$2+5))&lt;&gt;MONTH($C$2)),"",IF(COUNTIFS(m_teacher,I$4,m_date,($G$2+5),m_active,1,m_start,"&lt;"&amp;1020,m_end,"&gt;"&amp;960)=0,"",IF(COUNTIFS(m_teacher,I$4,m_date,($G$2+5),m_active,1,m_start,"&lt;"&amp;1020,m_end,"&gt;"&amp;960)&gt;1,"충돌",HYPERLINK("#'관리자_MASTER'!D"&amp;_xlfn.MAXIFS(m_row,m_teacher,I$4,m_date,($G$2+5),m_active,1,m_start,"&lt;"&amp;1020,m_end,"&gt;"&amp;960),INDEX(m_label,_xlfn.MAXIFS(m_row,m_teacher,I$4,m_date,($G$2+5),m_active,1,m_start,"&lt;"&amp;1020,m_end,"&gt;"&amp;960))))))</f>
        <v/>
      </c>
      <c r="J67" s="88" t="str">
        <f aca="false">IF(OR(J$4="",MONTH(($G$2+5))&lt;&gt;MONTH($C$2)),"",IF(COUNTIFS(m_teacher,J$4,m_date,($G$2+5),m_active,1,m_start,"&lt;"&amp;1020,m_end,"&gt;"&amp;960)=0,"",IF(COUNTIFS(m_teacher,J$4,m_date,($G$2+5),m_active,1,m_start,"&lt;"&amp;1020,m_end,"&gt;"&amp;960)&gt;1,"충돌",HYPERLINK("#'관리자_MASTER'!D"&amp;_xlfn.MAXIFS(m_row,m_teacher,J$4,m_date,($G$2+5),m_active,1,m_start,"&lt;"&amp;1020,m_end,"&gt;"&amp;960),INDEX(m_label,_xlfn.MAXIFS(m_row,m_teacher,J$4,m_date,($G$2+5),m_active,1,m_start,"&lt;"&amp;1020,m_end,"&gt;"&amp;960))))))</f>
        <v/>
      </c>
      <c r="K67" s="88" t="str">
        <f aca="false">IF(OR(K$4="",MONTH(($G$2+5))&lt;&gt;MONTH($C$2)),"",IF(COUNTIFS(m_teacher,K$4,m_date,($G$2+5),m_active,1,m_start,"&lt;"&amp;1020,m_end,"&gt;"&amp;960)=0,"",IF(COUNTIFS(m_teacher,K$4,m_date,($G$2+5),m_active,1,m_start,"&lt;"&amp;1020,m_end,"&gt;"&amp;960)&gt;1,"충돌",HYPERLINK("#'관리자_MASTER'!D"&amp;_xlfn.MAXIFS(m_row,m_teacher,K$4,m_date,($G$2+5),m_active,1,m_start,"&lt;"&amp;1020,m_end,"&gt;"&amp;960),INDEX(m_label,_xlfn.MAXIFS(m_row,m_teacher,K$4,m_date,($G$2+5),m_active,1,m_start,"&lt;"&amp;1020,m_end,"&gt;"&amp;960))))))</f>
        <v/>
      </c>
      <c r="L67" s="88" t="str">
        <f aca="false">IF(OR(L$4="",MONTH(($G$2+5))&lt;&gt;MONTH($C$2)),"",IF(COUNTIFS(m_teacher,L$4,m_date,($G$2+5),m_active,1,m_start,"&lt;"&amp;1020,m_end,"&gt;"&amp;960)=0,"",IF(COUNTIFS(m_teacher,L$4,m_date,($G$2+5),m_active,1,m_start,"&lt;"&amp;1020,m_end,"&gt;"&amp;960)&gt;1,"충돌",HYPERLINK("#'관리자_MASTER'!D"&amp;_xlfn.MAXIFS(m_row,m_teacher,L$4,m_date,($G$2+5),m_active,1,m_start,"&lt;"&amp;1020,m_end,"&gt;"&amp;960),INDEX(m_label,_xlfn.MAXIFS(m_row,m_teacher,L$4,m_date,($G$2+5),m_active,1,m_start,"&lt;"&amp;1020,m_end,"&gt;"&amp;960))))))</f>
        <v/>
      </c>
      <c r="M67" s="88" t="str">
        <f aca="false">IF(OR(M$4="",MONTH(($G$2+5))&lt;&gt;MONTH($C$2)),"",IF(COUNTIFS(m_teacher,M$4,m_date,($G$2+5),m_active,1,m_start,"&lt;"&amp;1020,m_end,"&gt;"&amp;960)=0,"",IF(COUNTIFS(m_teacher,M$4,m_date,($G$2+5),m_active,1,m_start,"&lt;"&amp;1020,m_end,"&gt;"&amp;960)&gt;1,"충돌",HYPERLINK("#'관리자_MASTER'!D"&amp;_xlfn.MAXIFS(m_row,m_teacher,M$4,m_date,($G$2+5),m_active,1,m_start,"&lt;"&amp;1020,m_end,"&gt;"&amp;960),INDEX(m_label,_xlfn.MAXIFS(m_row,m_teacher,M$4,m_date,($G$2+5),m_active,1,m_start,"&lt;"&amp;1020,m_end,"&gt;"&amp;960))))))</f>
        <v/>
      </c>
      <c r="N67" s="88" t="str">
        <f aca="false">IF(OR(N$4="",MONTH(($G$2+5))&lt;&gt;MONTH($C$2)),"",IF(COUNTIFS(m_teacher,N$4,m_date,($G$2+5),m_active,1,m_start,"&lt;"&amp;1020,m_end,"&gt;"&amp;960)=0,"",IF(COUNTIFS(m_teacher,N$4,m_date,($G$2+5),m_active,1,m_start,"&lt;"&amp;1020,m_end,"&gt;"&amp;960)&gt;1,"충돌",HYPERLINK("#'관리자_MASTER'!D"&amp;_xlfn.MAXIFS(m_row,m_teacher,N$4,m_date,($G$2+5),m_active,1,m_start,"&lt;"&amp;1020,m_end,"&gt;"&amp;960),INDEX(m_label,_xlfn.MAXIFS(m_row,m_teacher,N$4,m_date,($G$2+5),m_active,1,m_start,"&lt;"&amp;1020,m_end,"&gt;"&amp;960))))))</f>
        <v/>
      </c>
      <c r="O67" s="90"/>
      <c r="P67" s="79" t="s">
        <v>98</v>
      </c>
      <c r="Q67" s="88" t="str">
        <f aca="false">IF(OR(Q$4="",MONTH(($G$2+12))&lt;&gt;MONTH($C$2)),"",IF(COUNTIFS(m_teacher,Q$4,m_date,($G$2+12),m_active,1,m_start,"&lt;"&amp;1020,m_end,"&gt;"&amp;960)=0,"",IF(COUNTIFS(m_teacher,Q$4,m_date,($G$2+12),m_active,1,m_start,"&lt;"&amp;1020,m_end,"&gt;"&amp;960)&gt;1,"충돌",HYPERLINK("#'관리자_MASTER'!D"&amp;_xlfn.MAXIFS(m_row,m_teacher,Q$4,m_date,($G$2+12),m_active,1,m_start,"&lt;"&amp;1020,m_end,"&gt;"&amp;960),INDEX(m_label,_xlfn.MAXIFS(m_row,m_teacher,Q$4,m_date,($G$2+12),m_active,1,m_start,"&lt;"&amp;1020,m_end,"&gt;"&amp;960))))))</f>
        <v/>
      </c>
      <c r="R67" s="88" t="str">
        <f aca="false">IF(OR(R$4="",MONTH(($G$2+12))&lt;&gt;MONTH($C$2)),"",IF(COUNTIFS(m_teacher,R$4,m_date,($G$2+12),m_active,1,m_start,"&lt;"&amp;1020,m_end,"&gt;"&amp;960)=0,"",IF(COUNTIFS(m_teacher,R$4,m_date,($G$2+12),m_active,1,m_start,"&lt;"&amp;1020,m_end,"&gt;"&amp;960)&gt;1,"충돌",HYPERLINK("#'관리자_MASTER'!D"&amp;_xlfn.MAXIFS(m_row,m_teacher,R$4,m_date,($G$2+12),m_active,1,m_start,"&lt;"&amp;1020,m_end,"&gt;"&amp;960),INDEX(m_label,_xlfn.MAXIFS(m_row,m_teacher,R$4,m_date,($G$2+12),m_active,1,m_start,"&lt;"&amp;1020,m_end,"&gt;"&amp;960))))))</f>
        <v/>
      </c>
      <c r="S67" s="88" t="str">
        <f aca="false">IF(OR(S$4="",MONTH(($G$2+12))&lt;&gt;MONTH($C$2)),"",IF(COUNTIFS(m_teacher,S$4,m_date,($G$2+12),m_active,1,m_start,"&lt;"&amp;1020,m_end,"&gt;"&amp;960)=0,"",IF(COUNTIFS(m_teacher,S$4,m_date,($G$2+12),m_active,1,m_start,"&lt;"&amp;1020,m_end,"&gt;"&amp;960)&gt;1,"충돌",HYPERLINK("#'관리자_MASTER'!D"&amp;_xlfn.MAXIFS(m_row,m_teacher,S$4,m_date,($G$2+12),m_active,1,m_start,"&lt;"&amp;1020,m_end,"&gt;"&amp;960),INDEX(m_label,_xlfn.MAXIFS(m_row,m_teacher,S$4,m_date,($G$2+12),m_active,1,m_start,"&lt;"&amp;1020,m_end,"&gt;"&amp;960))))))</f>
        <v/>
      </c>
      <c r="T67" s="88" t="str">
        <f aca="false">IF(OR(T$4="",MONTH(($G$2+12))&lt;&gt;MONTH($C$2)),"",IF(COUNTIFS(m_teacher,T$4,m_date,($G$2+12),m_active,1,m_start,"&lt;"&amp;1020,m_end,"&gt;"&amp;960)=0,"",IF(COUNTIFS(m_teacher,T$4,m_date,($G$2+12),m_active,1,m_start,"&lt;"&amp;1020,m_end,"&gt;"&amp;960)&gt;1,"충돌",HYPERLINK("#'관리자_MASTER'!D"&amp;_xlfn.MAXIFS(m_row,m_teacher,T$4,m_date,($G$2+12),m_active,1,m_start,"&lt;"&amp;1020,m_end,"&gt;"&amp;960),INDEX(m_label,_xlfn.MAXIFS(m_row,m_teacher,T$4,m_date,($G$2+12),m_active,1,m_start,"&lt;"&amp;1020,m_end,"&gt;"&amp;960))))))</f>
        <v/>
      </c>
      <c r="U67" s="88" t="str">
        <f aca="false">IF(OR(U$4="",MONTH(($G$2+12))&lt;&gt;MONTH($C$2)),"",IF(COUNTIFS(m_teacher,U$4,m_date,($G$2+12),m_active,1,m_start,"&lt;"&amp;1020,m_end,"&gt;"&amp;960)=0,"",IF(COUNTIFS(m_teacher,U$4,m_date,($G$2+12),m_active,1,m_start,"&lt;"&amp;1020,m_end,"&gt;"&amp;960)&gt;1,"충돌",HYPERLINK("#'관리자_MASTER'!D"&amp;_xlfn.MAXIFS(m_row,m_teacher,U$4,m_date,($G$2+12),m_active,1,m_start,"&lt;"&amp;1020,m_end,"&gt;"&amp;960),INDEX(m_label,_xlfn.MAXIFS(m_row,m_teacher,U$4,m_date,($G$2+12),m_active,1,m_start,"&lt;"&amp;1020,m_end,"&gt;"&amp;960))))))</f>
        <v/>
      </c>
      <c r="V67" s="88" t="str">
        <f aca="false">IF(OR(V$4="",MONTH(($G$2+12))&lt;&gt;MONTH($C$2)),"",IF(COUNTIFS(m_teacher,V$4,m_date,($G$2+12),m_active,1,m_start,"&lt;"&amp;1020,m_end,"&gt;"&amp;960)=0,"",IF(COUNTIFS(m_teacher,V$4,m_date,($G$2+12),m_active,1,m_start,"&lt;"&amp;1020,m_end,"&gt;"&amp;960)&gt;1,"충돌",HYPERLINK("#'관리자_MASTER'!D"&amp;_xlfn.MAXIFS(m_row,m_teacher,V$4,m_date,($G$2+12),m_active,1,m_start,"&lt;"&amp;1020,m_end,"&gt;"&amp;960),INDEX(m_label,_xlfn.MAXIFS(m_row,m_teacher,V$4,m_date,($G$2+12),m_active,1,m_start,"&lt;"&amp;1020,m_end,"&gt;"&amp;960))))))</f>
        <v/>
      </c>
      <c r="W67" s="88" t="str">
        <f aca="false">IF(OR(W$4="",MONTH(($G$2+12))&lt;&gt;MONTH($C$2)),"",IF(COUNTIFS(m_teacher,W$4,m_date,($G$2+12),m_active,1,m_start,"&lt;"&amp;1020,m_end,"&gt;"&amp;960)=0,"",IF(COUNTIFS(m_teacher,W$4,m_date,($G$2+12),m_active,1,m_start,"&lt;"&amp;1020,m_end,"&gt;"&amp;960)&gt;1,"충돌",HYPERLINK("#'관리자_MASTER'!D"&amp;_xlfn.MAXIFS(m_row,m_teacher,W$4,m_date,($G$2+12),m_active,1,m_start,"&lt;"&amp;1020,m_end,"&gt;"&amp;960),INDEX(m_label,_xlfn.MAXIFS(m_row,m_teacher,W$4,m_date,($G$2+12),m_active,1,m_start,"&lt;"&amp;1020,m_end,"&gt;"&amp;960))))))</f>
        <v/>
      </c>
      <c r="X67" s="88" t="str">
        <f aca="false">IF(OR(X$4="",MONTH(($G$2+12))&lt;&gt;MONTH($C$2)),"",IF(COUNTIFS(m_teacher,X$4,m_date,($G$2+12),m_active,1,m_start,"&lt;"&amp;1020,m_end,"&gt;"&amp;960)=0,"",IF(COUNTIFS(m_teacher,X$4,m_date,($G$2+12),m_active,1,m_start,"&lt;"&amp;1020,m_end,"&gt;"&amp;960)&gt;1,"충돌",HYPERLINK("#'관리자_MASTER'!D"&amp;_xlfn.MAXIFS(m_row,m_teacher,X$4,m_date,($G$2+12),m_active,1,m_start,"&lt;"&amp;1020,m_end,"&gt;"&amp;960),INDEX(m_label,_xlfn.MAXIFS(m_row,m_teacher,X$4,m_date,($G$2+12),m_active,1,m_start,"&lt;"&amp;1020,m_end,"&gt;"&amp;960))))))</f>
        <v/>
      </c>
      <c r="Y67" s="88" t="str">
        <f aca="false">IF(OR(Y$4="",MONTH(($G$2+12))&lt;&gt;MONTH($C$2)),"",IF(COUNTIFS(m_teacher,Y$4,m_date,($G$2+12),m_active,1,m_start,"&lt;"&amp;1020,m_end,"&gt;"&amp;960)=0,"",IF(COUNTIFS(m_teacher,Y$4,m_date,($G$2+12),m_active,1,m_start,"&lt;"&amp;1020,m_end,"&gt;"&amp;960)&gt;1,"충돌",HYPERLINK("#'관리자_MASTER'!D"&amp;_xlfn.MAXIFS(m_row,m_teacher,Y$4,m_date,($G$2+12),m_active,1,m_start,"&lt;"&amp;1020,m_end,"&gt;"&amp;960),INDEX(m_label,_xlfn.MAXIFS(m_row,m_teacher,Y$4,m_date,($G$2+12),m_active,1,m_start,"&lt;"&amp;1020,m_end,"&gt;"&amp;960))))))</f>
        <v/>
      </c>
      <c r="Z67" s="88" t="str">
        <f aca="false">IF(OR(Z$4="",MONTH(($G$2+12))&lt;&gt;MONTH($C$2)),"",IF(COUNTIFS(m_teacher,Z$4,m_date,($G$2+12),m_active,1,m_start,"&lt;"&amp;1020,m_end,"&gt;"&amp;960)=0,"",IF(COUNTIFS(m_teacher,Z$4,m_date,($G$2+12),m_active,1,m_start,"&lt;"&amp;1020,m_end,"&gt;"&amp;960)&gt;1,"충돌",HYPERLINK("#'관리자_MASTER'!D"&amp;_xlfn.MAXIFS(m_row,m_teacher,Z$4,m_date,($G$2+12),m_active,1,m_start,"&lt;"&amp;1020,m_end,"&gt;"&amp;960),INDEX(m_label,_xlfn.MAXIFS(m_row,m_teacher,Z$4,m_date,($G$2+12),m_active,1,m_start,"&lt;"&amp;1020,m_end,"&gt;"&amp;960))))))</f>
        <v/>
      </c>
      <c r="AA67" s="88" t="str">
        <f aca="false">IF(OR(AA$4="",MONTH(($G$2+12))&lt;&gt;MONTH($C$2)),"",IF(COUNTIFS(m_teacher,AA$4,m_date,($G$2+12),m_active,1,m_start,"&lt;"&amp;1020,m_end,"&gt;"&amp;960)=0,"",IF(COUNTIFS(m_teacher,AA$4,m_date,($G$2+12),m_active,1,m_start,"&lt;"&amp;1020,m_end,"&gt;"&amp;960)&gt;1,"충돌",HYPERLINK("#'관리자_MASTER'!D"&amp;_xlfn.MAXIFS(m_row,m_teacher,AA$4,m_date,($G$2+12),m_active,1,m_start,"&lt;"&amp;1020,m_end,"&gt;"&amp;960),INDEX(m_label,_xlfn.MAXIFS(m_row,m_teacher,AA$4,m_date,($G$2+12),m_active,1,m_start,"&lt;"&amp;1020,m_end,"&gt;"&amp;960))))))</f>
        <v/>
      </c>
      <c r="AB67" s="88" t="str">
        <f aca="false">IF(OR(AB$4="",MONTH(($G$2+12))&lt;&gt;MONTH($C$2)),"",IF(COUNTIFS(m_teacher,AB$4,m_date,($G$2+12),m_active,1,m_start,"&lt;"&amp;1020,m_end,"&gt;"&amp;960)=0,"",IF(COUNTIFS(m_teacher,AB$4,m_date,($G$2+12),m_active,1,m_start,"&lt;"&amp;1020,m_end,"&gt;"&amp;960)&gt;1,"충돌",HYPERLINK("#'관리자_MASTER'!D"&amp;_xlfn.MAXIFS(m_row,m_teacher,AB$4,m_date,($G$2+12),m_active,1,m_start,"&lt;"&amp;1020,m_end,"&gt;"&amp;960),INDEX(m_label,_xlfn.MAXIFS(m_row,m_teacher,AB$4,m_date,($G$2+12),m_active,1,m_start,"&lt;"&amp;1020,m_end,"&gt;"&amp;960))))))</f>
        <v/>
      </c>
      <c r="AC67" s="90"/>
      <c r="AD67" s="79" t="s">
        <v>98</v>
      </c>
      <c r="AE67" s="88" t="str">
        <f aca="false">IF(OR(AE$4="",MONTH(($G$2+19))&lt;&gt;MONTH($C$2)),"",IF(COUNTIFS(m_teacher,AE$4,m_date,($G$2+19),m_active,1,m_start,"&lt;"&amp;1020,m_end,"&gt;"&amp;960)=0,"",IF(COUNTIFS(m_teacher,AE$4,m_date,($G$2+19),m_active,1,m_start,"&lt;"&amp;1020,m_end,"&gt;"&amp;960)&gt;1,"충돌",HYPERLINK("#'관리자_MASTER'!D"&amp;_xlfn.MAXIFS(m_row,m_teacher,AE$4,m_date,($G$2+19),m_active,1,m_start,"&lt;"&amp;1020,m_end,"&gt;"&amp;960),INDEX(m_label,_xlfn.MAXIFS(m_row,m_teacher,AE$4,m_date,($G$2+19),m_active,1,m_start,"&lt;"&amp;1020,m_end,"&gt;"&amp;960))))))</f>
        <v/>
      </c>
      <c r="AF67" s="88" t="str">
        <f aca="false">IF(OR(AF$4="",MONTH(($G$2+19))&lt;&gt;MONTH($C$2)),"",IF(COUNTIFS(m_teacher,AF$4,m_date,($G$2+19),m_active,1,m_start,"&lt;"&amp;1020,m_end,"&gt;"&amp;960)=0,"",IF(COUNTIFS(m_teacher,AF$4,m_date,($G$2+19),m_active,1,m_start,"&lt;"&amp;1020,m_end,"&gt;"&amp;960)&gt;1,"충돌",HYPERLINK("#'관리자_MASTER'!D"&amp;_xlfn.MAXIFS(m_row,m_teacher,AF$4,m_date,($G$2+19),m_active,1,m_start,"&lt;"&amp;1020,m_end,"&gt;"&amp;960),INDEX(m_label,_xlfn.MAXIFS(m_row,m_teacher,AF$4,m_date,($G$2+19),m_active,1,m_start,"&lt;"&amp;1020,m_end,"&gt;"&amp;960))))))</f>
        <v/>
      </c>
      <c r="AG67" s="88" t="str">
        <f aca="false">IF(OR(AG$4="",MONTH(($G$2+19))&lt;&gt;MONTH($C$2)),"",IF(COUNTIFS(m_teacher,AG$4,m_date,($G$2+19),m_active,1,m_start,"&lt;"&amp;1020,m_end,"&gt;"&amp;960)=0,"",IF(COUNTIFS(m_teacher,AG$4,m_date,($G$2+19),m_active,1,m_start,"&lt;"&amp;1020,m_end,"&gt;"&amp;960)&gt;1,"충돌",HYPERLINK("#'관리자_MASTER'!D"&amp;_xlfn.MAXIFS(m_row,m_teacher,AG$4,m_date,($G$2+19),m_active,1,m_start,"&lt;"&amp;1020,m_end,"&gt;"&amp;960),INDEX(m_label,_xlfn.MAXIFS(m_row,m_teacher,AG$4,m_date,($G$2+19),m_active,1,m_start,"&lt;"&amp;1020,m_end,"&gt;"&amp;960))))))</f>
        <v/>
      </c>
      <c r="AH67" s="88" t="str">
        <f aca="false">IF(OR(AH$4="",MONTH(($G$2+19))&lt;&gt;MONTH($C$2)),"",IF(COUNTIFS(m_teacher,AH$4,m_date,($G$2+19),m_active,1,m_start,"&lt;"&amp;1020,m_end,"&gt;"&amp;960)=0,"",IF(COUNTIFS(m_teacher,AH$4,m_date,($G$2+19),m_active,1,m_start,"&lt;"&amp;1020,m_end,"&gt;"&amp;960)&gt;1,"충돌",HYPERLINK("#'관리자_MASTER'!D"&amp;_xlfn.MAXIFS(m_row,m_teacher,AH$4,m_date,($G$2+19),m_active,1,m_start,"&lt;"&amp;1020,m_end,"&gt;"&amp;960),INDEX(m_label,_xlfn.MAXIFS(m_row,m_teacher,AH$4,m_date,($G$2+19),m_active,1,m_start,"&lt;"&amp;1020,m_end,"&gt;"&amp;960))))))</f>
        <v/>
      </c>
      <c r="AI67" s="88" t="str">
        <f aca="false">IF(OR(AI$4="",MONTH(($G$2+19))&lt;&gt;MONTH($C$2)),"",IF(COUNTIFS(m_teacher,AI$4,m_date,($G$2+19),m_active,1,m_start,"&lt;"&amp;1020,m_end,"&gt;"&amp;960)=0,"",IF(COUNTIFS(m_teacher,AI$4,m_date,($G$2+19),m_active,1,m_start,"&lt;"&amp;1020,m_end,"&gt;"&amp;960)&gt;1,"충돌",HYPERLINK("#'관리자_MASTER'!D"&amp;_xlfn.MAXIFS(m_row,m_teacher,AI$4,m_date,($G$2+19),m_active,1,m_start,"&lt;"&amp;1020,m_end,"&gt;"&amp;960),INDEX(m_label,_xlfn.MAXIFS(m_row,m_teacher,AI$4,m_date,($G$2+19),m_active,1,m_start,"&lt;"&amp;1020,m_end,"&gt;"&amp;960))))))</f>
        <v/>
      </c>
      <c r="AJ67" s="88" t="str">
        <f aca="false">IF(OR(AJ$4="",MONTH(($G$2+19))&lt;&gt;MONTH($C$2)),"",IF(COUNTIFS(m_teacher,AJ$4,m_date,($G$2+19),m_active,1,m_start,"&lt;"&amp;1020,m_end,"&gt;"&amp;960)=0,"",IF(COUNTIFS(m_teacher,AJ$4,m_date,($G$2+19),m_active,1,m_start,"&lt;"&amp;1020,m_end,"&gt;"&amp;960)&gt;1,"충돌",HYPERLINK("#'관리자_MASTER'!D"&amp;_xlfn.MAXIFS(m_row,m_teacher,AJ$4,m_date,($G$2+19),m_active,1,m_start,"&lt;"&amp;1020,m_end,"&gt;"&amp;960),INDEX(m_label,_xlfn.MAXIFS(m_row,m_teacher,AJ$4,m_date,($G$2+19),m_active,1,m_start,"&lt;"&amp;1020,m_end,"&gt;"&amp;960))))))</f>
        <v/>
      </c>
      <c r="AK67" s="88" t="str">
        <f aca="false">IF(OR(AK$4="",MONTH(($G$2+19))&lt;&gt;MONTH($C$2)),"",IF(COUNTIFS(m_teacher,AK$4,m_date,($G$2+19),m_active,1,m_start,"&lt;"&amp;1020,m_end,"&gt;"&amp;960)=0,"",IF(COUNTIFS(m_teacher,AK$4,m_date,($G$2+19),m_active,1,m_start,"&lt;"&amp;1020,m_end,"&gt;"&amp;960)&gt;1,"충돌",HYPERLINK("#'관리자_MASTER'!D"&amp;_xlfn.MAXIFS(m_row,m_teacher,AK$4,m_date,($G$2+19),m_active,1,m_start,"&lt;"&amp;1020,m_end,"&gt;"&amp;960),INDEX(m_label,_xlfn.MAXIFS(m_row,m_teacher,AK$4,m_date,($G$2+19),m_active,1,m_start,"&lt;"&amp;1020,m_end,"&gt;"&amp;960))))))</f>
        <v/>
      </c>
      <c r="AL67" s="88" t="str">
        <f aca="false">IF(OR(AL$4="",MONTH(($G$2+19))&lt;&gt;MONTH($C$2)),"",IF(COUNTIFS(m_teacher,AL$4,m_date,($G$2+19),m_active,1,m_start,"&lt;"&amp;1020,m_end,"&gt;"&amp;960)=0,"",IF(COUNTIFS(m_teacher,AL$4,m_date,($G$2+19),m_active,1,m_start,"&lt;"&amp;1020,m_end,"&gt;"&amp;960)&gt;1,"충돌",HYPERLINK("#'관리자_MASTER'!D"&amp;_xlfn.MAXIFS(m_row,m_teacher,AL$4,m_date,($G$2+19),m_active,1,m_start,"&lt;"&amp;1020,m_end,"&gt;"&amp;960),INDEX(m_label,_xlfn.MAXIFS(m_row,m_teacher,AL$4,m_date,($G$2+19),m_active,1,m_start,"&lt;"&amp;1020,m_end,"&gt;"&amp;960))))))</f>
        <v/>
      </c>
      <c r="AM67" s="88" t="str">
        <f aca="false">IF(OR(AM$4="",MONTH(($G$2+19))&lt;&gt;MONTH($C$2)),"",IF(COUNTIFS(m_teacher,AM$4,m_date,($G$2+19),m_active,1,m_start,"&lt;"&amp;1020,m_end,"&gt;"&amp;960)=0,"",IF(COUNTIFS(m_teacher,AM$4,m_date,($G$2+19),m_active,1,m_start,"&lt;"&amp;1020,m_end,"&gt;"&amp;960)&gt;1,"충돌",HYPERLINK("#'관리자_MASTER'!D"&amp;_xlfn.MAXIFS(m_row,m_teacher,AM$4,m_date,($G$2+19),m_active,1,m_start,"&lt;"&amp;1020,m_end,"&gt;"&amp;960),INDEX(m_label,_xlfn.MAXIFS(m_row,m_teacher,AM$4,m_date,($G$2+19),m_active,1,m_start,"&lt;"&amp;1020,m_end,"&gt;"&amp;960))))))</f>
        <v/>
      </c>
      <c r="AN67" s="88" t="str">
        <f aca="false">IF(OR(AN$4="",MONTH(($G$2+19))&lt;&gt;MONTH($C$2)),"",IF(COUNTIFS(m_teacher,AN$4,m_date,($G$2+19),m_active,1,m_start,"&lt;"&amp;1020,m_end,"&gt;"&amp;960)=0,"",IF(COUNTIFS(m_teacher,AN$4,m_date,($G$2+19),m_active,1,m_start,"&lt;"&amp;1020,m_end,"&gt;"&amp;960)&gt;1,"충돌",HYPERLINK("#'관리자_MASTER'!D"&amp;_xlfn.MAXIFS(m_row,m_teacher,AN$4,m_date,($G$2+19),m_active,1,m_start,"&lt;"&amp;1020,m_end,"&gt;"&amp;960),INDEX(m_label,_xlfn.MAXIFS(m_row,m_teacher,AN$4,m_date,($G$2+19),m_active,1,m_start,"&lt;"&amp;1020,m_end,"&gt;"&amp;960))))))</f>
        <v/>
      </c>
      <c r="AO67" s="88" t="str">
        <f aca="false">IF(OR(AO$4="",MONTH(($G$2+19))&lt;&gt;MONTH($C$2)),"",IF(COUNTIFS(m_teacher,AO$4,m_date,($G$2+19),m_active,1,m_start,"&lt;"&amp;1020,m_end,"&gt;"&amp;960)=0,"",IF(COUNTIFS(m_teacher,AO$4,m_date,($G$2+19),m_active,1,m_start,"&lt;"&amp;1020,m_end,"&gt;"&amp;960)&gt;1,"충돌",HYPERLINK("#'관리자_MASTER'!D"&amp;_xlfn.MAXIFS(m_row,m_teacher,AO$4,m_date,($G$2+19),m_active,1,m_start,"&lt;"&amp;1020,m_end,"&gt;"&amp;960),INDEX(m_label,_xlfn.MAXIFS(m_row,m_teacher,AO$4,m_date,($G$2+19),m_active,1,m_start,"&lt;"&amp;1020,m_end,"&gt;"&amp;960))))))</f>
        <v/>
      </c>
      <c r="AP67" s="88" t="str">
        <f aca="false">IF(OR(AP$4="",MONTH(($G$2+19))&lt;&gt;MONTH($C$2)),"",IF(COUNTIFS(m_teacher,AP$4,m_date,($G$2+19),m_active,1,m_start,"&lt;"&amp;1020,m_end,"&gt;"&amp;960)=0,"",IF(COUNTIFS(m_teacher,AP$4,m_date,($G$2+19),m_active,1,m_start,"&lt;"&amp;1020,m_end,"&gt;"&amp;960)&gt;1,"충돌",HYPERLINK("#'관리자_MASTER'!D"&amp;_xlfn.MAXIFS(m_row,m_teacher,AP$4,m_date,($G$2+19),m_active,1,m_start,"&lt;"&amp;1020,m_end,"&gt;"&amp;960),INDEX(m_label,_xlfn.MAXIFS(m_row,m_teacher,AP$4,m_date,($G$2+19),m_active,1,m_start,"&lt;"&amp;1020,m_end,"&gt;"&amp;960))))))</f>
        <v/>
      </c>
      <c r="AQ67" s="90"/>
      <c r="AR67" s="79" t="s">
        <v>98</v>
      </c>
      <c r="AS67" s="88" t="str">
        <f aca="false">IF(OR(AS$4="",MONTH(($G$2+26))&lt;&gt;MONTH($C$2)),"",IF(COUNTIFS(m_teacher,AS$4,m_date,($G$2+26),m_active,1,m_start,"&lt;"&amp;1020,m_end,"&gt;"&amp;960)=0,"",IF(COUNTIFS(m_teacher,AS$4,m_date,($G$2+26),m_active,1,m_start,"&lt;"&amp;1020,m_end,"&gt;"&amp;960)&gt;1,"충돌",HYPERLINK("#'관리자_MASTER'!D"&amp;_xlfn.MAXIFS(m_row,m_teacher,AS$4,m_date,($G$2+26),m_active,1,m_start,"&lt;"&amp;1020,m_end,"&gt;"&amp;960),INDEX(m_label,_xlfn.MAXIFS(m_row,m_teacher,AS$4,m_date,($G$2+26),m_active,1,m_start,"&lt;"&amp;1020,m_end,"&gt;"&amp;960))))))</f>
        <v/>
      </c>
      <c r="AT67" s="88" t="str">
        <f aca="false">IF(OR(AT$4="",MONTH(($G$2+26))&lt;&gt;MONTH($C$2)),"",IF(COUNTIFS(m_teacher,AT$4,m_date,($G$2+26),m_active,1,m_start,"&lt;"&amp;1020,m_end,"&gt;"&amp;960)=0,"",IF(COUNTIFS(m_teacher,AT$4,m_date,($G$2+26),m_active,1,m_start,"&lt;"&amp;1020,m_end,"&gt;"&amp;960)&gt;1,"충돌",HYPERLINK("#'관리자_MASTER'!D"&amp;_xlfn.MAXIFS(m_row,m_teacher,AT$4,m_date,($G$2+26),m_active,1,m_start,"&lt;"&amp;1020,m_end,"&gt;"&amp;960),INDEX(m_label,_xlfn.MAXIFS(m_row,m_teacher,AT$4,m_date,($G$2+26),m_active,1,m_start,"&lt;"&amp;1020,m_end,"&gt;"&amp;960))))))</f>
        <v/>
      </c>
      <c r="AU67" s="88" t="str">
        <f aca="false">IF(OR(AU$4="",MONTH(($G$2+26))&lt;&gt;MONTH($C$2)),"",IF(COUNTIFS(m_teacher,AU$4,m_date,($G$2+26),m_active,1,m_start,"&lt;"&amp;1020,m_end,"&gt;"&amp;960)=0,"",IF(COUNTIFS(m_teacher,AU$4,m_date,($G$2+26),m_active,1,m_start,"&lt;"&amp;1020,m_end,"&gt;"&amp;960)&gt;1,"충돌",HYPERLINK("#'관리자_MASTER'!D"&amp;_xlfn.MAXIFS(m_row,m_teacher,AU$4,m_date,($G$2+26),m_active,1,m_start,"&lt;"&amp;1020,m_end,"&gt;"&amp;960),INDEX(m_label,_xlfn.MAXIFS(m_row,m_teacher,AU$4,m_date,($G$2+26),m_active,1,m_start,"&lt;"&amp;1020,m_end,"&gt;"&amp;960))))))</f>
        <v/>
      </c>
      <c r="AV67" s="88" t="str">
        <f aca="false">IF(OR(AV$4="",MONTH(($G$2+26))&lt;&gt;MONTH($C$2)),"",IF(COUNTIFS(m_teacher,AV$4,m_date,($G$2+26),m_active,1,m_start,"&lt;"&amp;1020,m_end,"&gt;"&amp;960)=0,"",IF(COUNTIFS(m_teacher,AV$4,m_date,($G$2+26),m_active,1,m_start,"&lt;"&amp;1020,m_end,"&gt;"&amp;960)&gt;1,"충돌",HYPERLINK("#'관리자_MASTER'!D"&amp;_xlfn.MAXIFS(m_row,m_teacher,AV$4,m_date,($G$2+26),m_active,1,m_start,"&lt;"&amp;1020,m_end,"&gt;"&amp;960),INDEX(m_label,_xlfn.MAXIFS(m_row,m_teacher,AV$4,m_date,($G$2+26),m_active,1,m_start,"&lt;"&amp;1020,m_end,"&gt;"&amp;960))))))</f>
        <v/>
      </c>
      <c r="AW67" s="88" t="str">
        <f aca="false">IF(OR(AW$4="",MONTH(($G$2+26))&lt;&gt;MONTH($C$2)),"",IF(COUNTIFS(m_teacher,AW$4,m_date,($G$2+26),m_active,1,m_start,"&lt;"&amp;1020,m_end,"&gt;"&amp;960)=0,"",IF(COUNTIFS(m_teacher,AW$4,m_date,($G$2+26),m_active,1,m_start,"&lt;"&amp;1020,m_end,"&gt;"&amp;960)&gt;1,"충돌",HYPERLINK("#'관리자_MASTER'!D"&amp;_xlfn.MAXIFS(m_row,m_teacher,AW$4,m_date,($G$2+26),m_active,1,m_start,"&lt;"&amp;1020,m_end,"&gt;"&amp;960),INDEX(m_label,_xlfn.MAXIFS(m_row,m_teacher,AW$4,m_date,($G$2+26),m_active,1,m_start,"&lt;"&amp;1020,m_end,"&gt;"&amp;960))))))</f>
        <v/>
      </c>
      <c r="AX67" s="88" t="str">
        <f aca="false">IF(OR(AX$4="",MONTH(($G$2+26))&lt;&gt;MONTH($C$2)),"",IF(COUNTIFS(m_teacher,AX$4,m_date,($G$2+26),m_active,1,m_start,"&lt;"&amp;1020,m_end,"&gt;"&amp;960)=0,"",IF(COUNTIFS(m_teacher,AX$4,m_date,($G$2+26),m_active,1,m_start,"&lt;"&amp;1020,m_end,"&gt;"&amp;960)&gt;1,"충돌",HYPERLINK("#'관리자_MASTER'!D"&amp;_xlfn.MAXIFS(m_row,m_teacher,AX$4,m_date,($G$2+26),m_active,1,m_start,"&lt;"&amp;1020,m_end,"&gt;"&amp;960),INDEX(m_label,_xlfn.MAXIFS(m_row,m_teacher,AX$4,m_date,($G$2+26),m_active,1,m_start,"&lt;"&amp;1020,m_end,"&gt;"&amp;960))))))</f>
        <v/>
      </c>
      <c r="AY67" s="88" t="str">
        <f aca="false">IF(OR(AY$4="",MONTH(($G$2+26))&lt;&gt;MONTH($C$2)),"",IF(COUNTIFS(m_teacher,AY$4,m_date,($G$2+26),m_active,1,m_start,"&lt;"&amp;1020,m_end,"&gt;"&amp;960)=0,"",IF(COUNTIFS(m_teacher,AY$4,m_date,($G$2+26),m_active,1,m_start,"&lt;"&amp;1020,m_end,"&gt;"&amp;960)&gt;1,"충돌",HYPERLINK("#'관리자_MASTER'!D"&amp;_xlfn.MAXIFS(m_row,m_teacher,AY$4,m_date,($G$2+26),m_active,1,m_start,"&lt;"&amp;1020,m_end,"&gt;"&amp;960),INDEX(m_label,_xlfn.MAXIFS(m_row,m_teacher,AY$4,m_date,($G$2+26),m_active,1,m_start,"&lt;"&amp;1020,m_end,"&gt;"&amp;960))))))</f>
        <v/>
      </c>
      <c r="AZ67" s="88" t="str">
        <f aca="false">IF(OR(AZ$4="",MONTH(($G$2+26))&lt;&gt;MONTH($C$2)),"",IF(COUNTIFS(m_teacher,AZ$4,m_date,($G$2+26),m_active,1,m_start,"&lt;"&amp;1020,m_end,"&gt;"&amp;960)=0,"",IF(COUNTIFS(m_teacher,AZ$4,m_date,($G$2+26),m_active,1,m_start,"&lt;"&amp;1020,m_end,"&gt;"&amp;960)&gt;1,"충돌",HYPERLINK("#'관리자_MASTER'!D"&amp;_xlfn.MAXIFS(m_row,m_teacher,AZ$4,m_date,($G$2+26),m_active,1,m_start,"&lt;"&amp;1020,m_end,"&gt;"&amp;960),INDEX(m_label,_xlfn.MAXIFS(m_row,m_teacher,AZ$4,m_date,($G$2+26),m_active,1,m_start,"&lt;"&amp;1020,m_end,"&gt;"&amp;960))))))</f>
        <v/>
      </c>
      <c r="BA67" s="88" t="str">
        <f aca="false">IF(OR(BA$4="",MONTH(($G$2+26))&lt;&gt;MONTH($C$2)),"",IF(COUNTIFS(m_teacher,BA$4,m_date,($G$2+26),m_active,1,m_start,"&lt;"&amp;1020,m_end,"&gt;"&amp;960)=0,"",IF(COUNTIFS(m_teacher,BA$4,m_date,($G$2+26),m_active,1,m_start,"&lt;"&amp;1020,m_end,"&gt;"&amp;960)&gt;1,"충돌",HYPERLINK("#'관리자_MASTER'!D"&amp;_xlfn.MAXIFS(m_row,m_teacher,BA$4,m_date,($G$2+26),m_active,1,m_start,"&lt;"&amp;1020,m_end,"&gt;"&amp;960),INDEX(m_label,_xlfn.MAXIFS(m_row,m_teacher,BA$4,m_date,($G$2+26),m_active,1,m_start,"&lt;"&amp;1020,m_end,"&gt;"&amp;960))))))</f>
        <v/>
      </c>
      <c r="BB67" s="88" t="str">
        <f aca="false">IF(OR(BB$4="",MONTH(($G$2+26))&lt;&gt;MONTH($C$2)),"",IF(COUNTIFS(m_teacher,BB$4,m_date,($G$2+26),m_active,1,m_start,"&lt;"&amp;1020,m_end,"&gt;"&amp;960)=0,"",IF(COUNTIFS(m_teacher,BB$4,m_date,($G$2+26),m_active,1,m_start,"&lt;"&amp;1020,m_end,"&gt;"&amp;960)&gt;1,"충돌",HYPERLINK("#'관리자_MASTER'!D"&amp;_xlfn.MAXIFS(m_row,m_teacher,BB$4,m_date,($G$2+26),m_active,1,m_start,"&lt;"&amp;1020,m_end,"&gt;"&amp;960),INDEX(m_label,_xlfn.MAXIFS(m_row,m_teacher,BB$4,m_date,($G$2+26),m_active,1,m_start,"&lt;"&amp;1020,m_end,"&gt;"&amp;960))))))</f>
        <v/>
      </c>
      <c r="BC67" s="88" t="str">
        <f aca="false">IF(OR(BC$4="",MONTH(($G$2+26))&lt;&gt;MONTH($C$2)),"",IF(COUNTIFS(m_teacher,BC$4,m_date,($G$2+26),m_active,1,m_start,"&lt;"&amp;1020,m_end,"&gt;"&amp;960)=0,"",IF(COUNTIFS(m_teacher,BC$4,m_date,($G$2+26),m_active,1,m_start,"&lt;"&amp;1020,m_end,"&gt;"&amp;960)&gt;1,"충돌",HYPERLINK("#'관리자_MASTER'!D"&amp;_xlfn.MAXIFS(m_row,m_teacher,BC$4,m_date,($G$2+26),m_active,1,m_start,"&lt;"&amp;1020,m_end,"&gt;"&amp;960),INDEX(m_label,_xlfn.MAXIFS(m_row,m_teacher,BC$4,m_date,($G$2+26),m_active,1,m_start,"&lt;"&amp;1020,m_end,"&gt;"&amp;960))))))</f>
        <v/>
      </c>
      <c r="BD67" s="88" t="str">
        <f aca="false">IF(OR(BD$4="",MONTH(($G$2+26))&lt;&gt;MONTH($C$2)),"",IF(COUNTIFS(m_teacher,BD$4,m_date,($G$2+26),m_active,1,m_start,"&lt;"&amp;1020,m_end,"&gt;"&amp;960)=0,"",IF(COUNTIFS(m_teacher,BD$4,m_date,($G$2+26),m_active,1,m_start,"&lt;"&amp;1020,m_end,"&gt;"&amp;960)&gt;1,"충돌",HYPERLINK("#'관리자_MASTER'!D"&amp;_xlfn.MAXIFS(m_row,m_teacher,BD$4,m_date,($G$2+26),m_active,1,m_start,"&lt;"&amp;1020,m_end,"&gt;"&amp;960),INDEX(m_label,_xlfn.MAXIFS(m_row,m_teacher,BD$4,m_date,($G$2+26),m_active,1,m_start,"&lt;"&amp;1020,m_end,"&gt;"&amp;960))))))</f>
        <v/>
      </c>
      <c r="BE67" s="91"/>
      <c r="BF67" s="76" t="s">
        <v>98</v>
      </c>
      <c r="BG67" s="81" t="str">
        <f aca="false">IF(OR(BG$4="",MONTH(($G$2+33))&lt;&gt;MONTH($C$2)),"",IF(COUNTIFS(m_teacher,BG$4,m_date,($G$2+33),m_active,1,m_start,"&lt;"&amp;1020,m_end,"&gt;"&amp;960)=0,"",IF(COUNTIFS(m_teacher,BG$4,m_date,($G$2+33),m_active,1,m_start,"&lt;"&amp;1020,m_end,"&gt;"&amp;960)&gt;1,"충돌",HYPERLINK("#'관리자_MASTER'!D"&amp;_xlfn.MAXIFS(m_row,m_teacher,BG$4,m_date,($G$2+33),m_active,1,m_start,"&lt;"&amp;1020,m_end,"&gt;"&amp;960),INDEX(m_label,_xlfn.MAXIFS(m_row,m_teacher,BG$4,m_date,($G$2+33),m_active,1,m_start,"&lt;"&amp;1020,m_end,"&gt;"&amp;960))))))</f>
        <v/>
      </c>
      <c r="BH67" s="81" t="str">
        <f aca="false">IF(OR(BH$4="",MONTH(($G$2+33))&lt;&gt;MONTH($C$2)),"",IF(COUNTIFS(m_teacher,BH$4,m_date,($G$2+33),m_active,1,m_start,"&lt;"&amp;1020,m_end,"&gt;"&amp;960)=0,"",IF(COUNTIFS(m_teacher,BH$4,m_date,($G$2+33),m_active,1,m_start,"&lt;"&amp;1020,m_end,"&gt;"&amp;960)&gt;1,"충돌",HYPERLINK("#'관리자_MASTER'!D"&amp;_xlfn.MAXIFS(m_row,m_teacher,BH$4,m_date,($G$2+33),m_active,1,m_start,"&lt;"&amp;1020,m_end,"&gt;"&amp;960),INDEX(m_label,_xlfn.MAXIFS(m_row,m_teacher,BH$4,m_date,($G$2+33),m_active,1,m_start,"&lt;"&amp;1020,m_end,"&gt;"&amp;960))))))</f>
        <v/>
      </c>
      <c r="BI67" s="81" t="str">
        <f aca="false">IF(OR(BI$4="",MONTH(($G$2+33))&lt;&gt;MONTH($C$2)),"",IF(COUNTIFS(m_teacher,BI$4,m_date,($G$2+33),m_active,1,m_start,"&lt;"&amp;1020,m_end,"&gt;"&amp;960)=0,"",IF(COUNTIFS(m_teacher,BI$4,m_date,($G$2+33),m_active,1,m_start,"&lt;"&amp;1020,m_end,"&gt;"&amp;960)&gt;1,"충돌",HYPERLINK("#'관리자_MASTER'!D"&amp;_xlfn.MAXIFS(m_row,m_teacher,BI$4,m_date,($G$2+33),m_active,1,m_start,"&lt;"&amp;1020,m_end,"&gt;"&amp;960),INDEX(m_label,_xlfn.MAXIFS(m_row,m_teacher,BI$4,m_date,($G$2+33),m_active,1,m_start,"&lt;"&amp;1020,m_end,"&gt;"&amp;960))))))</f>
        <v/>
      </c>
      <c r="BJ67" s="81" t="str">
        <f aca="false">IF(OR(BJ$4="",MONTH(($G$2+33))&lt;&gt;MONTH($C$2)),"",IF(COUNTIFS(m_teacher,BJ$4,m_date,($G$2+33),m_active,1,m_start,"&lt;"&amp;1020,m_end,"&gt;"&amp;960)=0,"",IF(COUNTIFS(m_teacher,BJ$4,m_date,($G$2+33),m_active,1,m_start,"&lt;"&amp;1020,m_end,"&gt;"&amp;960)&gt;1,"충돌",HYPERLINK("#'관리자_MASTER'!D"&amp;_xlfn.MAXIFS(m_row,m_teacher,BJ$4,m_date,($G$2+33),m_active,1,m_start,"&lt;"&amp;1020,m_end,"&gt;"&amp;960),INDEX(m_label,_xlfn.MAXIFS(m_row,m_teacher,BJ$4,m_date,($G$2+33),m_active,1,m_start,"&lt;"&amp;1020,m_end,"&gt;"&amp;960))))))</f>
        <v/>
      </c>
      <c r="BK67" s="81" t="str">
        <f aca="false">IF(OR(BK$4="",MONTH(($G$2+33))&lt;&gt;MONTH($C$2)),"",IF(COUNTIFS(m_teacher,BK$4,m_date,($G$2+33),m_active,1,m_start,"&lt;"&amp;1020,m_end,"&gt;"&amp;960)=0,"",IF(COUNTIFS(m_teacher,BK$4,m_date,($G$2+33),m_active,1,m_start,"&lt;"&amp;1020,m_end,"&gt;"&amp;960)&gt;1,"충돌",HYPERLINK("#'관리자_MASTER'!D"&amp;_xlfn.MAXIFS(m_row,m_teacher,BK$4,m_date,($G$2+33),m_active,1,m_start,"&lt;"&amp;1020,m_end,"&gt;"&amp;960),INDEX(m_label,_xlfn.MAXIFS(m_row,m_teacher,BK$4,m_date,($G$2+33),m_active,1,m_start,"&lt;"&amp;1020,m_end,"&gt;"&amp;960))))))</f>
        <v/>
      </c>
      <c r="BL67" s="81" t="str">
        <f aca="false">IF(OR(BL$4="",MONTH(($G$2+33))&lt;&gt;MONTH($C$2)),"",IF(COUNTIFS(m_teacher,BL$4,m_date,($G$2+33),m_active,1,m_start,"&lt;"&amp;1020,m_end,"&gt;"&amp;960)=0,"",IF(COUNTIFS(m_teacher,BL$4,m_date,($G$2+33),m_active,1,m_start,"&lt;"&amp;1020,m_end,"&gt;"&amp;960)&gt;1,"충돌",HYPERLINK("#'관리자_MASTER'!D"&amp;_xlfn.MAXIFS(m_row,m_teacher,BL$4,m_date,($G$2+33),m_active,1,m_start,"&lt;"&amp;1020,m_end,"&gt;"&amp;960),INDEX(m_label,_xlfn.MAXIFS(m_row,m_teacher,BL$4,m_date,($G$2+33),m_active,1,m_start,"&lt;"&amp;1020,m_end,"&gt;"&amp;960))))))</f>
        <v/>
      </c>
      <c r="BM67" s="81" t="str">
        <f aca="false">IF(OR(BM$4="",MONTH(($G$2+33))&lt;&gt;MONTH($C$2)),"",IF(COUNTIFS(m_teacher,BM$4,m_date,($G$2+33),m_active,1,m_start,"&lt;"&amp;1020,m_end,"&gt;"&amp;960)=0,"",IF(COUNTIFS(m_teacher,BM$4,m_date,($G$2+33),m_active,1,m_start,"&lt;"&amp;1020,m_end,"&gt;"&amp;960)&gt;1,"충돌",HYPERLINK("#'관리자_MASTER'!D"&amp;_xlfn.MAXIFS(m_row,m_teacher,BM$4,m_date,($G$2+33),m_active,1,m_start,"&lt;"&amp;1020,m_end,"&gt;"&amp;960),INDEX(m_label,_xlfn.MAXIFS(m_row,m_teacher,BM$4,m_date,($G$2+33),m_active,1,m_start,"&lt;"&amp;1020,m_end,"&gt;"&amp;960))))))</f>
        <v/>
      </c>
      <c r="BN67" s="81" t="str">
        <f aca="false">IF(OR(BN$4="",MONTH(($G$2+33))&lt;&gt;MONTH($C$2)),"",IF(COUNTIFS(m_teacher,BN$4,m_date,($G$2+33),m_active,1,m_start,"&lt;"&amp;1020,m_end,"&gt;"&amp;960)=0,"",IF(COUNTIFS(m_teacher,BN$4,m_date,($G$2+33),m_active,1,m_start,"&lt;"&amp;1020,m_end,"&gt;"&amp;960)&gt;1,"충돌",HYPERLINK("#'관리자_MASTER'!D"&amp;_xlfn.MAXIFS(m_row,m_teacher,BN$4,m_date,($G$2+33),m_active,1,m_start,"&lt;"&amp;1020,m_end,"&gt;"&amp;960),INDEX(m_label,_xlfn.MAXIFS(m_row,m_teacher,BN$4,m_date,($G$2+33),m_active,1,m_start,"&lt;"&amp;1020,m_end,"&gt;"&amp;960))))))</f>
        <v/>
      </c>
      <c r="BO67" s="81" t="str">
        <f aca="false">IF(OR(BO$4="",MONTH(($G$2+33))&lt;&gt;MONTH($C$2)),"",IF(COUNTIFS(m_teacher,BO$4,m_date,($G$2+33),m_active,1,m_start,"&lt;"&amp;1020,m_end,"&gt;"&amp;960)=0,"",IF(COUNTIFS(m_teacher,BO$4,m_date,($G$2+33),m_active,1,m_start,"&lt;"&amp;1020,m_end,"&gt;"&amp;960)&gt;1,"충돌",HYPERLINK("#'관리자_MASTER'!D"&amp;_xlfn.MAXIFS(m_row,m_teacher,BO$4,m_date,($G$2+33),m_active,1,m_start,"&lt;"&amp;1020,m_end,"&gt;"&amp;960),INDEX(m_label,_xlfn.MAXIFS(m_row,m_teacher,BO$4,m_date,($G$2+33),m_active,1,m_start,"&lt;"&amp;1020,m_end,"&gt;"&amp;960))))))</f>
        <v/>
      </c>
      <c r="BP67" s="81" t="str">
        <f aca="false">IF(OR(BP$4="",MONTH(($G$2+33))&lt;&gt;MONTH($C$2)),"",IF(COUNTIFS(m_teacher,BP$4,m_date,($G$2+33),m_active,1,m_start,"&lt;"&amp;1020,m_end,"&gt;"&amp;960)=0,"",IF(COUNTIFS(m_teacher,BP$4,m_date,($G$2+33),m_active,1,m_start,"&lt;"&amp;1020,m_end,"&gt;"&amp;960)&gt;1,"충돌",HYPERLINK("#'관리자_MASTER'!D"&amp;_xlfn.MAXIFS(m_row,m_teacher,BP$4,m_date,($G$2+33),m_active,1,m_start,"&lt;"&amp;1020,m_end,"&gt;"&amp;960),INDEX(m_label,_xlfn.MAXIFS(m_row,m_teacher,BP$4,m_date,($G$2+33),m_active,1,m_start,"&lt;"&amp;1020,m_end,"&gt;"&amp;960))))))</f>
        <v/>
      </c>
      <c r="BQ67" s="81" t="str">
        <f aca="false">IF(OR(BQ$4="",MONTH(($G$2+33))&lt;&gt;MONTH($C$2)),"",IF(COUNTIFS(m_teacher,BQ$4,m_date,($G$2+33),m_active,1,m_start,"&lt;"&amp;1020,m_end,"&gt;"&amp;960)=0,"",IF(COUNTIFS(m_teacher,BQ$4,m_date,($G$2+33),m_active,1,m_start,"&lt;"&amp;1020,m_end,"&gt;"&amp;960)&gt;1,"충돌",HYPERLINK("#'관리자_MASTER'!D"&amp;_xlfn.MAXIFS(m_row,m_teacher,BQ$4,m_date,($G$2+33),m_active,1,m_start,"&lt;"&amp;1020,m_end,"&gt;"&amp;960),INDEX(m_label,_xlfn.MAXIFS(m_row,m_teacher,BQ$4,m_date,($G$2+33),m_active,1,m_start,"&lt;"&amp;1020,m_end,"&gt;"&amp;960))))))</f>
        <v/>
      </c>
      <c r="BR67" s="81" t="str">
        <f aca="false">IF(OR(BR$4="",MONTH(($G$2+33))&lt;&gt;MONTH($C$2)),"",IF(COUNTIFS(m_teacher,BR$4,m_date,($G$2+33),m_active,1,m_start,"&lt;"&amp;1020,m_end,"&gt;"&amp;960)=0,"",IF(COUNTIFS(m_teacher,BR$4,m_date,($G$2+33),m_active,1,m_start,"&lt;"&amp;1020,m_end,"&gt;"&amp;960)&gt;1,"충돌",HYPERLINK("#'관리자_MASTER'!D"&amp;_xlfn.MAXIFS(m_row,m_teacher,BR$4,m_date,($G$2+33),m_active,1,m_start,"&lt;"&amp;1020,m_end,"&gt;"&amp;960),INDEX(m_label,_xlfn.MAXIFS(m_row,m_teacher,BR$4,m_date,($G$2+33),m_active,1,m_start,"&lt;"&amp;1020,m_end,"&gt;"&amp;960))))))</f>
        <v/>
      </c>
    </row>
    <row r="68" customFormat="false" ht="19.5" hidden="false" customHeight="true" outlineLevel="0" collapsed="false">
      <c r="A68" s="90"/>
      <c r="B68" s="79" t="s">
        <v>99</v>
      </c>
      <c r="C68" s="88" t="str">
        <f aca="false">IF(OR(C$4="",MONTH(($G$2+5))&lt;&gt;MONTH($C$2)),"",IF(COUNTIFS(m_teacher,C$4,m_date,($G$2+5),m_active,1,m_start,"&lt;"&amp;1080,m_end,"&gt;"&amp;1020)=0,"",IF(COUNTIFS(m_teacher,C$4,m_date,($G$2+5),m_active,1,m_start,"&lt;"&amp;1080,m_end,"&gt;"&amp;1020)&gt;1,"충돌",HYPERLINK("#'관리자_MASTER'!D"&amp;_xlfn.MAXIFS(m_row,m_teacher,C$4,m_date,($G$2+5),m_active,1,m_start,"&lt;"&amp;1080,m_end,"&gt;"&amp;1020),INDEX(m_label,_xlfn.MAXIFS(m_row,m_teacher,C$4,m_date,($G$2+5),m_active,1,m_start,"&lt;"&amp;1080,m_end,"&gt;"&amp;1020))))))</f>
        <v/>
      </c>
      <c r="D68" s="88" t="str">
        <f aca="false">IF(OR(D$4="",MONTH(($G$2+5))&lt;&gt;MONTH($C$2)),"",IF(COUNTIFS(m_teacher,D$4,m_date,($G$2+5),m_active,1,m_start,"&lt;"&amp;1080,m_end,"&gt;"&amp;1020)=0,"",IF(COUNTIFS(m_teacher,D$4,m_date,($G$2+5),m_active,1,m_start,"&lt;"&amp;1080,m_end,"&gt;"&amp;1020)&gt;1,"충돌",HYPERLINK("#'관리자_MASTER'!D"&amp;_xlfn.MAXIFS(m_row,m_teacher,D$4,m_date,($G$2+5),m_active,1,m_start,"&lt;"&amp;1080,m_end,"&gt;"&amp;1020),INDEX(m_label,_xlfn.MAXIFS(m_row,m_teacher,D$4,m_date,($G$2+5),m_active,1,m_start,"&lt;"&amp;1080,m_end,"&gt;"&amp;1020))))))</f>
        <v/>
      </c>
      <c r="E68" s="88" t="str">
        <f aca="false">IF(OR(E$4="",MONTH(($G$2+5))&lt;&gt;MONTH($C$2)),"",IF(COUNTIFS(m_teacher,E$4,m_date,($G$2+5),m_active,1,m_start,"&lt;"&amp;1080,m_end,"&gt;"&amp;1020)=0,"",IF(COUNTIFS(m_teacher,E$4,m_date,($G$2+5),m_active,1,m_start,"&lt;"&amp;1080,m_end,"&gt;"&amp;1020)&gt;1,"충돌",HYPERLINK("#'관리자_MASTER'!D"&amp;_xlfn.MAXIFS(m_row,m_teacher,E$4,m_date,($G$2+5),m_active,1,m_start,"&lt;"&amp;1080,m_end,"&gt;"&amp;1020),INDEX(m_label,_xlfn.MAXIFS(m_row,m_teacher,E$4,m_date,($G$2+5),m_active,1,m_start,"&lt;"&amp;1080,m_end,"&gt;"&amp;1020))))))</f>
        <v/>
      </c>
      <c r="F68" s="88" t="str">
        <f aca="false">IF(OR(F$4="",MONTH(($G$2+5))&lt;&gt;MONTH($C$2)),"",IF(COUNTIFS(m_teacher,F$4,m_date,($G$2+5),m_active,1,m_start,"&lt;"&amp;1080,m_end,"&gt;"&amp;1020)=0,"",IF(COUNTIFS(m_teacher,F$4,m_date,($G$2+5),m_active,1,m_start,"&lt;"&amp;1080,m_end,"&gt;"&amp;1020)&gt;1,"충돌",HYPERLINK("#'관리자_MASTER'!D"&amp;_xlfn.MAXIFS(m_row,m_teacher,F$4,m_date,($G$2+5),m_active,1,m_start,"&lt;"&amp;1080,m_end,"&gt;"&amp;1020),INDEX(m_label,_xlfn.MAXIFS(m_row,m_teacher,F$4,m_date,($G$2+5),m_active,1,m_start,"&lt;"&amp;1080,m_end,"&gt;"&amp;1020))))))</f>
        <v/>
      </c>
      <c r="G68" s="88" t="str">
        <f aca="false">IF(OR(G$4="",MONTH(($G$2+5))&lt;&gt;MONTH($C$2)),"",IF(COUNTIFS(m_teacher,G$4,m_date,($G$2+5),m_active,1,m_start,"&lt;"&amp;1080,m_end,"&gt;"&amp;1020)=0,"",IF(COUNTIFS(m_teacher,G$4,m_date,($G$2+5),m_active,1,m_start,"&lt;"&amp;1080,m_end,"&gt;"&amp;1020)&gt;1,"충돌",HYPERLINK("#'관리자_MASTER'!D"&amp;_xlfn.MAXIFS(m_row,m_teacher,G$4,m_date,($G$2+5),m_active,1,m_start,"&lt;"&amp;1080,m_end,"&gt;"&amp;1020),INDEX(m_label,_xlfn.MAXIFS(m_row,m_teacher,G$4,m_date,($G$2+5),m_active,1,m_start,"&lt;"&amp;1080,m_end,"&gt;"&amp;1020))))))</f>
        <v/>
      </c>
      <c r="H68" s="88" t="str">
        <f aca="false">IF(OR(H$4="",MONTH(($G$2+5))&lt;&gt;MONTH($C$2)),"",IF(COUNTIFS(m_teacher,H$4,m_date,($G$2+5),m_active,1,m_start,"&lt;"&amp;1080,m_end,"&gt;"&amp;1020)=0,"",IF(COUNTIFS(m_teacher,H$4,m_date,($G$2+5),m_active,1,m_start,"&lt;"&amp;1080,m_end,"&gt;"&amp;1020)&gt;1,"충돌",HYPERLINK("#'관리자_MASTER'!D"&amp;_xlfn.MAXIFS(m_row,m_teacher,H$4,m_date,($G$2+5),m_active,1,m_start,"&lt;"&amp;1080,m_end,"&gt;"&amp;1020),INDEX(m_label,_xlfn.MAXIFS(m_row,m_teacher,H$4,m_date,($G$2+5),m_active,1,m_start,"&lt;"&amp;1080,m_end,"&gt;"&amp;1020))))))</f>
        <v/>
      </c>
      <c r="I68" s="88" t="str">
        <f aca="false">IF(OR(I$4="",MONTH(($G$2+5))&lt;&gt;MONTH($C$2)),"",IF(COUNTIFS(m_teacher,I$4,m_date,($G$2+5),m_active,1,m_start,"&lt;"&amp;1080,m_end,"&gt;"&amp;1020)=0,"",IF(COUNTIFS(m_teacher,I$4,m_date,($G$2+5),m_active,1,m_start,"&lt;"&amp;1080,m_end,"&gt;"&amp;1020)&gt;1,"충돌",HYPERLINK("#'관리자_MASTER'!D"&amp;_xlfn.MAXIFS(m_row,m_teacher,I$4,m_date,($G$2+5),m_active,1,m_start,"&lt;"&amp;1080,m_end,"&gt;"&amp;1020),INDEX(m_label,_xlfn.MAXIFS(m_row,m_teacher,I$4,m_date,($G$2+5),m_active,1,m_start,"&lt;"&amp;1080,m_end,"&gt;"&amp;1020))))))</f>
        <v/>
      </c>
      <c r="J68" s="88" t="str">
        <f aca="false">IF(OR(J$4="",MONTH(($G$2+5))&lt;&gt;MONTH($C$2)),"",IF(COUNTIFS(m_teacher,J$4,m_date,($G$2+5),m_active,1,m_start,"&lt;"&amp;1080,m_end,"&gt;"&amp;1020)=0,"",IF(COUNTIFS(m_teacher,J$4,m_date,($G$2+5),m_active,1,m_start,"&lt;"&amp;1080,m_end,"&gt;"&amp;1020)&gt;1,"충돌",HYPERLINK("#'관리자_MASTER'!D"&amp;_xlfn.MAXIFS(m_row,m_teacher,J$4,m_date,($G$2+5),m_active,1,m_start,"&lt;"&amp;1080,m_end,"&gt;"&amp;1020),INDEX(m_label,_xlfn.MAXIFS(m_row,m_teacher,J$4,m_date,($G$2+5),m_active,1,m_start,"&lt;"&amp;1080,m_end,"&gt;"&amp;1020))))))</f>
        <v/>
      </c>
      <c r="K68" s="88" t="str">
        <f aca="false">IF(OR(K$4="",MONTH(($G$2+5))&lt;&gt;MONTH($C$2)),"",IF(COUNTIFS(m_teacher,K$4,m_date,($G$2+5),m_active,1,m_start,"&lt;"&amp;1080,m_end,"&gt;"&amp;1020)=0,"",IF(COUNTIFS(m_teacher,K$4,m_date,($G$2+5),m_active,1,m_start,"&lt;"&amp;1080,m_end,"&gt;"&amp;1020)&gt;1,"충돌",HYPERLINK("#'관리자_MASTER'!D"&amp;_xlfn.MAXIFS(m_row,m_teacher,K$4,m_date,($G$2+5),m_active,1,m_start,"&lt;"&amp;1080,m_end,"&gt;"&amp;1020),INDEX(m_label,_xlfn.MAXIFS(m_row,m_teacher,K$4,m_date,($G$2+5),m_active,1,m_start,"&lt;"&amp;1080,m_end,"&gt;"&amp;1020))))))</f>
        <v/>
      </c>
      <c r="L68" s="88" t="str">
        <f aca="false">IF(OR(L$4="",MONTH(($G$2+5))&lt;&gt;MONTH($C$2)),"",IF(COUNTIFS(m_teacher,L$4,m_date,($G$2+5),m_active,1,m_start,"&lt;"&amp;1080,m_end,"&gt;"&amp;1020)=0,"",IF(COUNTIFS(m_teacher,L$4,m_date,($G$2+5),m_active,1,m_start,"&lt;"&amp;1080,m_end,"&gt;"&amp;1020)&gt;1,"충돌",HYPERLINK("#'관리자_MASTER'!D"&amp;_xlfn.MAXIFS(m_row,m_teacher,L$4,m_date,($G$2+5),m_active,1,m_start,"&lt;"&amp;1080,m_end,"&gt;"&amp;1020),INDEX(m_label,_xlfn.MAXIFS(m_row,m_teacher,L$4,m_date,($G$2+5),m_active,1,m_start,"&lt;"&amp;1080,m_end,"&gt;"&amp;1020))))))</f>
        <v/>
      </c>
      <c r="M68" s="88" t="str">
        <f aca="false">IF(OR(M$4="",MONTH(($G$2+5))&lt;&gt;MONTH($C$2)),"",IF(COUNTIFS(m_teacher,M$4,m_date,($G$2+5),m_active,1,m_start,"&lt;"&amp;1080,m_end,"&gt;"&amp;1020)=0,"",IF(COUNTIFS(m_teacher,M$4,m_date,($G$2+5),m_active,1,m_start,"&lt;"&amp;1080,m_end,"&gt;"&amp;1020)&gt;1,"충돌",HYPERLINK("#'관리자_MASTER'!D"&amp;_xlfn.MAXIFS(m_row,m_teacher,M$4,m_date,($G$2+5),m_active,1,m_start,"&lt;"&amp;1080,m_end,"&gt;"&amp;1020),INDEX(m_label,_xlfn.MAXIFS(m_row,m_teacher,M$4,m_date,($G$2+5),m_active,1,m_start,"&lt;"&amp;1080,m_end,"&gt;"&amp;1020))))))</f>
        <v/>
      </c>
      <c r="N68" s="88" t="str">
        <f aca="false">IF(OR(N$4="",MONTH(($G$2+5))&lt;&gt;MONTH($C$2)),"",IF(COUNTIFS(m_teacher,N$4,m_date,($G$2+5),m_active,1,m_start,"&lt;"&amp;1080,m_end,"&gt;"&amp;1020)=0,"",IF(COUNTIFS(m_teacher,N$4,m_date,($G$2+5),m_active,1,m_start,"&lt;"&amp;1080,m_end,"&gt;"&amp;1020)&gt;1,"충돌",HYPERLINK("#'관리자_MASTER'!D"&amp;_xlfn.MAXIFS(m_row,m_teacher,N$4,m_date,($G$2+5),m_active,1,m_start,"&lt;"&amp;1080,m_end,"&gt;"&amp;1020),INDEX(m_label,_xlfn.MAXIFS(m_row,m_teacher,N$4,m_date,($G$2+5),m_active,1,m_start,"&lt;"&amp;1080,m_end,"&gt;"&amp;1020))))))</f>
        <v/>
      </c>
      <c r="O68" s="90"/>
      <c r="P68" s="79" t="s">
        <v>99</v>
      </c>
      <c r="Q68" s="88" t="str">
        <f aca="false">IF(OR(Q$4="",MONTH(($G$2+12))&lt;&gt;MONTH($C$2)),"",IF(COUNTIFS(m_teacher,Q$4,m_date,($G$2+12),m_active,1,m_start,"&lt;"&amp;1080,m_end,"&gt;"&amp;1020)=0,"",IF(COUNTIFS(m_teacher,Q$4,m_date,($G$2+12),m_active,1,m_start,"&lt;"&amp;1080,m_end,"&gt;"&amp;1020)&gt;1,"충돌",HYPERLINK("#'관리자_MASTER'!D"&amp;_xlfn.MAXIFS(m_row,m_teacher,Q$4,m_date,($G$2+12),m_active,1,m_start,"&lt;"&amp;1080,m_end,"&gt;"&amp;1020),INDEX(m_label,_xlfn.MAXIFS(m_row,m_teacher,Q$4,m_date,($G$2+12),m_active,1,m_start,"&lt;"&amp;1080,m_end,"&gt;"&amp;1020))))))</f>
        <v/>
      </c>
      <c r="R68" s="88" t="str">
        <f aca="false">IF(OR(R$4="",MONTH(($G$2+12))&lt;&gt;MONTH($C$2)),"",IF(COUNTIFS(m_teacher,R$4,m_date,($G$2+12),m_active,1,m_start,"&lt;"&amp;1080,m_end,"&gt;"&amp;1020)=0,"",IF(COUNTIFS(m_teacher,R$4,m_date,($G$2+12),m_active,1,m_start,"&lt;"&amp;1080,m_end,"&gt;"&amp;1020)&gt;1,"충돌",HYPERLINK("#'관리자_MASTER'!D"&amp;_xlfn.MAXIFS(m_row,m_teacher,R$4,m_date,($G$2+12),m_active,1,m_start,"&lt;"&amp;1080,m_end,"&gt;"&amp;1020),INDEX(m_label,_xlfn.MAXIFS(m_row,m_teacher,R$4,m_date,($G$2+12),m_active,1,m_start,"&lt;"&amp;1080,m_end,"&gt;"&amp;1020))))))</f>
        <v/>
      </c>
      <c r="S68" s="88" t="str">
        <f aca="false">IF(OR(S$4="",MONTH(($G$2+12))&lt;&gt;MONTH($C$2)),"",IF(COUNTIFS(m_teacher,S$4,m_date,($G$2+12),m_active,1,m_start,"&lt;"&amp;1080,m_end,"&gt;"&amp;1020)=0,"",IF(COUNTIFS(m_teacher,S$4,m_date,($G$2+12),m_active,1,m_start,"&lt;"&amp;1080,m_end,"&gt;"&amp;1020)&gt;1,"충돌",HYPERLINK("#'관리자_MASTER'!D"&amp;_xlfn.MAXIFS(m_row,m_teacher,S$4,m_date,($G$2+12),m_active,1,m_start,"&lt;"&amp;1080,m_end,"&gt;"&amp;1020),INDEX(m_label,_xlfn.MAXIFS(m_row,m_teacher,S$4,m_date,($G$2+12),m_active,1,m_start,"&lt;"&amp;1080,m_end,"&gt;"&amp;1020))))))</f>
        <v/>
      </c>
      <c r="T68" s="88" t="str">
        <f aca="false">IF(OR(T$4="",MONTH(($G$2+12))&lt;&gt;MONTH($C$2)),"",IF(COUNTIFS(m_teacher,T$4,m_date,($G$2+12),m_active,1,m_start,"&lt;"&amp;1080,m_end,"&gt;"&amp;1020)=0,"",IF(COUNTIFS(m_teacher,T$4,m_date,($G$2+12),m_active,1,m_start,"&lt;"&amp;1080,m_end,"&gt;"&amp;1020)&gt;1,"충돌",HYPERLINK("#'관리자_MASTER'!D"&amp;_xlfn.MAXIFS(m_row,m_teacher,T$4,m_date,($G$2+12),m_active,1,m_start,"&lt;"&amp;1080,m_end,"&gt;"&amp;1020),INDEX(m_label,_xlfn.MAXIFS(m_row,m_teacher,T$4,m_date,($G$2+12),m_active,1,m_start,"&lt;"&amp;1080,m_end,"&gt;"&amp;1020))))))</f>
        <v/>
      </c>
      <c r="U68" s="88" t="str">
        <f aca="false">IF(OR(U$4="",MONTH(($G$2+12))&lt;&gt;MONTH($C$2)),"",IF(COUNTIFS(m_teacher,U$4,m_date,($G$2+12),m_active,1,m_start,"&lt;"&amp;1080,m_end,"&gt;"&amp;1020)=0,"",IF(COUNTIFS(m_teacher,U$4,m_date,($G$2+12),m_active,1,m_start,"&lt;"&amp;1080,m_end,"&gt;"&amp;1020)&gt;1,"충돌",HYPERLINK("#'관리자_MASTER'!D"&amp;_xlfn.MAXIFS(m_row,m_teacher,U$4,m_date,($G$2+12),m_active,1,m_start,"&lt;"&amp;1080,m_end,"&gt;"&amp;1020),INDEX(m_label,_xlfn.MAXIFS(m_row,m_teacher,U$4,m_date,($G$2+12),m_active,1,m_start,"&lt;"&amp;1080,m_end,"&gt;"&amp;1020))))))</f>
        <v/>
      </c>
      <c r="V68" s="88" t="str">
        <f aca="false">IF(OR(V$4="",MONTH(($G$2+12))&lt;&gt;MONTH($C$2)),"",IF(COUNTIFS(m_teacher,V$4,m_date,($G$2+12),m_active,1,m_start,"&lt;"&amp;1080,m_end,"&gt;"&amp;1020)=0,"",IF(COUNTIFS(m_teacher,V$4,m_date,($G$2+12),m_active,1,m_start,"&lt;"&amp;1080,m_end,"&gt;"&amp;1020)&gt;1,"충돌",HYPERLINK("#'관리자_MASTER'!D"&amp;_xlfn.MAXIFS(m_row,m_teacher,V$4,m_date,($G$2+12),m_active,1,m_start,"&lt;"&amp;1080,m_end,"&gt;"&amp;1020),INDEX(m_label,_xlfn.MAXIFS(m_row,m_teacher,V$4,m_date,($G$2+12),m_active,1,m_start,"&lt;"&amp;1080,m_end,"&gt;"&amp;1020))))))</f>
        <v/>
      </c>
      <c r="W68" s="88" t="str">
        <f aca="false">IF(OR(W$4="",MONTH(($G$2+12))&lt;&gt;MONTH($C$2)),"",IF(COUNTIFS(m_teacher,W$4,m_date,($G$2+12),m_active,1,m_start,"&lt;"&amp;1080,m_end,"&gt;"&amp;1020)=0,"",IF(COUNTIFS(m_teacher,W$4,m_date,($G$2+12),m_active,1,m_start,"&lt;"&amp;1080,m_end,"&gt;"&amp;1020)&gt;1,"충돌",HYPERLINK("#'관리자_MASTER'!D"&amp;_xlfn.MAXIFS(m_row,m_teacher,W$4,m_date,($G$2+12),m_active,1,m_start,"&lt;"&amp;1080,m_end,"&gt;"&amp;1020),INDEX(m_label,_xlfn.MAXIFS(m_row,m_teacher,W$4,m_date,($G$2+12),m_active,1,m_start,"&lt;"&amp;1080,m_end,"&gt;"&amp;1020))))))</f>
        <v/>
      </c>
      <c r="X68" s="88" t="str">
        <f aca="false">IF(OR(X$4="",MONTH(($G$2+12))&lt;&gt;MONTH($C$2)),"",IF(COUNTIFS(m_teacher,X$4,m_date,($G$2+12),m_active,1,m_start,"&lt;"&amp;1080,m_end,"&gt;"&amp;1020)=0,"",IF(COUNTIFS(m_teacher,X$4,m_date,($G$2+12),m_active,1,m_start,"&lt;"&amp;1080,m_end,"&gt;"&amp;1020)&gt;1,"충돌",HYPERLINK("#'관리자_MASTER'!D"&amp;_xlfn.MAXIFS(m_row,m_teacher,X$4,m_date,($G$2+12),m_active,1,m_start,"&lt;"&amp;1080,m_end,"&gt;"&amp;1020),INDEX(m_label,_xlfn.MAXIFS(m_row,m_teacher,X$4,m_date,($G$2+12),m_active,1,m_start,"&lt;"&amp;1080,m_end,"&gt;"&amp;1020))))))</f>
        <v/>
      </c>
      <c r="Y68" s="88" t="str">
        <f aca="false">IF(OR(Y$4="",MONTH(($G$2+12))&lt;&gt;MONTH($C$2)),"",IF(COUNTIFS(m_teacher,Y$4,m_date,($G$2+12),m_active,1,m_start,"&lt;"&amp;1080,m_end,"&gt;"&amp;1020)=0,"",IF(COUNTIFS(m_teacher,Y$4,m_date,($G$2+12),m_active,1,m_start,"&lt;"&amp;1080,m_end,"&gt;"&amp;1020)&gt;1,"충돌",HYPERLINK("#'관리자_MASTER'!D"&amp;_xlfn.MAXIFS(m_row,m_teacher,Y$4,m_date,($G$2+12),m_active,1,m_start,"&lt;"&amp;1080,m_end,"&gt;"&amp;1020),INDEX(m_label,_xlfn.MAXIFS(m_row,m_teacher,Y$4,m_date,($G$2+12),m_active,1,m_start,"&lt;"&amp;1080,m_end,"&gt;"&amp;1020))))))</f>
        <v/>
      </c>
      <c r="Z68" s="88" t="str">
        <f aca="false">IF(OR(Z$4="",MONTH(($G$2+12))&lt;&gt;MONTH($C$2)),"",IF(COUNTIFS(m_teacher,Z$4,m_date,($G$2+12),m_active,1,m_start,"&lt;"&amp;1080,m_end,"&gt;"&amp;1020)=0,"",IF(COUNTIFS(m_teacher,Z$4,m_date,($G$2+12),m_active,1,m_start,"&lt;"&amp;1080,m_end,"&gt;"&amp;1020)&gt;1,"충돌",HYPERLINK("#'관리자_MASTER'!D"&amp;_xlfn.MAXIFS(m_row,m_teacher,Z$4,m_date,($G$2+12),m_active,1,m_start,"&lt;"&amp;1080,m_end,"&gt;"&amp;1020),INDEX(m_label,_xlfn.MAXIFS(m_row,m_teacher,Z$4,m_date,($G$2+12),m_active,1,m_start,"&lt;"&amp;1080,m_end,"&gt;"&amp;1020))))))</f>
        <v/>
      </c>
      <c r="AA68" s="88" t="str">
        <f aca="false">IF(OR(AA$4="",MONTH(($G$2+12))&lt;&gt;MONTH($C$2)),"",IF(COUNTIFS(m_teacher,AA$4,m_date,($G$2+12),m_active,1,m_start,"&lt;"&amp;1080,m_end,"&gt;"&amp;1020)=0,"",IF(COUNTIFS(m_teacher,AA$4,m_date,($G$2+12),m_active,1,m_start,"&lt;"&amp;1080,m_end,"&gt;"&amp;1020)&gt;1,"충돌",HYPERLINK("#'관리자_MASTER'!D"&amp;_xlfn.MAXIFS(m_row,m_teacher,AA$4,m_date,($G$2+12),m_active,1,m_start,"&lt;"&amp;1080,m_end,"&gt;"&amp;1020),INDEX(m_label,_xlfn.MAXIFS(m_row,m_teacher,AA$4,m_date,($G$2+12),m_active,1,m_start,"&lt;"&amp;1080,m_end,"&gt;"&amp;1020))))))</f>
        <v/>
      </c>
      <c r="AB68" s="88" t="str">
        <f aca="false">IF(OR(AB$4="",MONTH(($G$2+12))&lt;&gt;MONTH($C$2)),"",IF(COUNTIFS(m_teacher,AB$4,m_date,($G$2+12),m_active,1,m_start,"&lt;"&amp;1080,m_end,"&gt;"&amp;1020)=0,"",IF(COUNTIFS(m_teacher,AB$4,m_date,($G$2+12),m_active,1,m_start,"&lt;"&amp;1080,m_end,"&gt;"&amp;1020)&gt;1,"충돌",HYPERLINK("#'관리자_MASTER'!D"&amp;_xlfn.MAXIFS(m_row,m_teacher,AB$4,m_date,($G$2+12),m_active,1,m_start,"&lt;"&amp;1080,m_end,"&gt;"&amp;1020),INDEX(m_label,_xlfn.MAXIFS(m_row,m_teacher,AB$4,m_date,($G$2+12),m_active,1,m_start,"&lt;"&amp;1080,m_end,"&gt;"&amp;1020))))))</f>
        <v/>
      </c>
      <c r="AC68" s="90"/>
      <c r="AD68" s="79" t="s">
        <v>99</v>
      </c>
      <c r="AE68" s="88" t="str">
        <f aca="false">IF(OR(AE$4="",MONTH(($G$2+19))&lt;&gt;MONTH($C$2)),"",IF(COUNTIFS(m_teacher,AE$4,m_date,($G$2+19),m_active,1,m_start,"&lt;"&amp;1080,m_end,"&gt;"&amp;1020)=0,"",IF(COUNTIFS(m_teacher,AE$4,m_date,($G$2+19),m_active,1,m_start,"&lt;"&amp;1080,m_end,"&gt;"&amp;1020)&gt;1,"충돌",HYPERLINK("#'관리자_MASTER'!D"&amp;_xlfn.MAXIFS(m_row,m_teacher,AE$4,m_date,($G$2+19),m_active,1,m_start,"&lt;"&amp;1080,m_end,"&gt;"&amp;1020),INDEX(m_label,_xlfn.MAXIFS(m_row,m_teacher,AE$4,m_date,($G$2+19),m_active,1,m_start,"&lt;"&amp;1080,m_end,"&gt;"&amp;1020))))))</f>
        <v/>
      </c>
      <c r="AF68" s="88" t="str">
        <f aca="false">IF(OR(AF$4="",MONTH(($G$2+19))&lt;&gt;MONTH($C$2)),"",IF(COUNTIFS(m_teacher,AF$4,m_date,($G$2+19),m_active,1,m_start,"&lt;"&amp;1080,m_end,"&gt;"&amp;1020)=0,"",IF(COUNTIFS(m_teacher,AF$4,m_date,($G$2+19),m_active,1,m_start,"&lt;"&amp;1080,m_end,"&gt;"&amp;1020)&gt;1,"충돌",HYPERLINK("#'관리자_MASTER'!D"&amp;_xlfn.MAXIFS(m_row,m_teacher,AF$4,m_date,($G$2+19),m_active,1,m_start,"&lt;"&amp;1080,m_end,"&gt;"&amp;1020),INDEX(m_label,_xlfn.MAXIFS(m_row,m_teacher,AF$4,m_date,($G$2+19),m_active,1,m_start,"&lt;"&amp;1080,m_end,"&gt;"&amp;1020))))))</f>
        <v/>
      </c>
      <c r="AG68" s="88" t="str">
        <f aca="false">IF(OR(AG$4="",MONTH(($G$2+19))&lt;&gt;MONTH($C$2)),"",IF(COUNTIFS(m_teacher,AG$4,m_date,($G$2+19),m_active,1,m_start,"&lt;"&amp;1080,m_end,"&gt;"&amp;1020)=0,"",IF(COUNTIFS(m_teacher,AG$4,m_date,($G$2+19),m_active,1,m_start,"&lt;"&amp;1080,m_end,"&gt;"&amp;1020)&gt;1,"충돌",HYPERLINK("#'관리자_MASTER'!D"&amp;_xlfn.MAXIFS(m_row,m_teacher,AG$4,m_date,($G$2+19),m_active,1,m_start,"&lt;"&amp;1080,m_end,"&gt;"&amp;1020),INDEX(m_label,_xlfn.MAXIFS(m_row,m_teacher,AG$4,m_date,($G$2+19),m_active,1,m_start,"&lt;"&amp;1080,m_end,"&gt;"&amp;1020))))))</f>
        <v/>
      </c>
      <c r="AH68" s="88" t="str">
        <f aca="false">IF(OR(AH$4="",MONTH(($G$2+19))&lt;&gt;MONTH($C$2)),"",IF(COUNTIFS(m_teacher,AH$4,m_date,($G$2+19),m_active,1,m_start,"&lt;"&amp;1080,m_end,"&gt;"&amp;1020)=0,"",IF(COUNTIFS(m_teacher,AH$4,m_date,($G$2+19),m_active,1,m_start,"&lt;"&amp;1080,m_end,"&gt;"&amp;1020)&gt;1,"충돌",HYPERLINK("#'관리자_MASTER'!D"&amp;_xlfn.MAXIFS(m_row,m_teacher,AH$4,m_date,($G$2+19),m_active,1,m_start,"&lt;"&amp;1080,m_end,"&gt;"&amp;1020),INDEX(m_label,_xlfn.MAXIFS(m_row,m_teacher,AH$4,m_date,($G$2+19),m_active,1,m_start,"&lt;"&amp;1080,m_end,"&gt;"&amp;1020))))))</f>
        <v/>
      </c>
      <c r="AI68" s="88" t="str">
        <f aca="false">IF(OR(AI$4="",MONTH(($G$2+19))&lt;&gt;MONTH($C$2)),"",IF(COUNTIFS(m_teacher,AI$4,m_date,($G$2+19),m_active,1,m_start,"&lt;"&amp;1080,m_end,"&gt;"&amp;1020)=0,"",IF(COUNTIFS(m_teacher,AI$4,m_date,($G$2+19),m_active,1,m_start,"&lt;"&amp;1080,m_end,"&gt;"&amp;1020)&gt;1,"충돌",HYPERLINK("#'관리자_MASTER'!D"&amp;_xlfn.MAXIFS(m_row,m_teacher,AI$4,m_date,($G$2+19),m_active,1,m_start,"&lt;"&amp;1080,m_end,"&gt;"&amp;1020),INDEX(m_label,_xlfn.MAXIFS(m_row,m_teacher,AI$4,m_date,($G$2+19),m_active,1,m_start,"&lt;"&amp;1080,m_end,"&gt;"&amp;1020))))))</f>
        <v/>
      </c>
      <c r="AJ68" s="88" t="str">
        <f aca="false">IF(OR(AJ$4="",MONTH(($G$2+19))&lt;&gt;MONTH($C$2)),"",IF(COUNTIFS(m_teacher,AJ$4,m_date,($G$2+19),m_active,1,m_start,"&lt;"&amp;1080,m_end,"&gt;"&amp;1020)=0,"",IF(COUNTIFS(m_teacher,AJ$4,m_date,($G$2+19),m_active,1,m_start,"&lt;"&amp;1080,m_end,"&gt;"&amp;1020)&gt;1,"충돌",HYPERLINK("#'관리자_MASTER'!D"&amp;_xlfn.MAXIFS(m_row,m_teacher,AJ$4,m_date,($G$2+19),m_active,1,m_start,"&lt;"&amp;1080,m_end,"&gt;"&amp;1020),INDEX(m_label,_xlfn.MAXIFS(m_row,m_teacher,AJ$4,m_date,($G$2+19),m_active,1,m_start,"&lt;"&amp;1080,m_end,"&gt;"&amp;1020))))))</f>
        <v/>
      </c>
      <c r="AK68" s="88" t="str">
        <f aca="false">IF(OR(AK$4="",MONTH(($G$2+19))&lt;&gt;MONTH($C$2)),"",IF(COUNTIFS(m_teacher,AK$4,m_date,($G$2+19),m_active,1,m_start,"&lt;"&amp;1080,m_end,"&gt;"&amp;1020)=0,"",IF(COUNTIFS(m_teacher,AK$4,m_date,($G$2+19),m_active,1,m_start,"&lt;"&amp;1080,m_end,"&gt;"&amp;1020)&gt;1,"충돌",HYPERLINK("#'관리자_MASTER'!D"&amp;_xlfn.MAXIFS(m_row,m_teacher,AK$4,m_date,($G$2+19),m_active,1,m_start,"&lt;"&amp;1080,m_end,"&gt;"&amp;1020),INDEX(m_label,_xlfn.MAXIFS(m_row,m_teacher,AK$4,m_date,($G$2+19),m_active,1,m_start,"&lt;"&amp;1080,m_end,"&gt;"&amp;1020))))))</f>
        <v/>
      </c>
      <c r="AL68" s="88" t="str">
        <f aca="false">IF(OR(AL$4="",MONTH(($G$2+19))&lt;&gt;MONTH($C$2)),"",IF(COUNTIFS(m_teacher,AL$4,m_date,($G$2+19),m_active,1,m_start,"&lt;"&amp;1080,m_end,"&gt;"&amp;1020)=0,"",IF(COUNTIFS(m_teacher,AL$4,m_date,($G$2+19),m_active,1,m_start,"&lt;"&amp;1080,m_end,"&gt;"&amp;1020)&gt;1,"충돌",HYPERLINK("#'관리자_MASTER'!D"&amp;_xlfn.MAXIFS(m_row,m_teacher,AL$4,m_date,($G$2+19),m_active,1,m_start,"&lt;"&amp;1080,m_end,"&gt;"&amp;1020),INDEX(m_label,_xlfn.MAXIFS(m_row,m_teacher,AL$4,m_date,($G$2+19),m_active,1,m_start,"&lt;"&amp;1080,m_end,"&gt;"&amp;1020))))))</f>
        <v/>
      </c>
      <c r="AM68" s="88" t="str">
        <f aca="false">IF(OR(AM$4="",MONTH(($G$2+19))&lt;&gt;MONTH($C$2)),"",IF(COUNTIFS(m_teacher,AM$4,m_date,($G$2+19),m_active,1,m_start,"&lt;"&amp;1080,m_end,"&gt;"&amp;1020)=0,"",IF(COUNTIFS(m_teacher,AM$4,m_date,($G$2+19),m_active,1,m_start,"&lt;"&amp;1080,m_end,"&gt;"&amp;1020)&gt;1,"충돌",HYPERLINK("#'관리자_MASTER'!D"&amp;_xlfn.MAXIFS(m_row,m_teacher,AM$4,m_date,($G$2+19),m_active,1,m_start,"&lt;"&amp;1080,m_end,"&gt;"&amp;1020),INDEX(m_label,_xlfn.MAXIFS(m_row,m_teacher,AM$4,m_date,($G$2+19),m_active,1,m_start,"&lt;"&amp;1080,m_end,"&gt;"&amp;1020))))))</f>
        <v/>
      </c>
      <c r="AN68" s="88" t="str">
        <f aca="false">IF(OR(AN$4="",MONTH(($G$2+19))&lt;&gt;MONTH($C$2)),"",IF(COUNTIFS(m_teacher,AN$4,m_date,($G$2+19),m_active,1,m_start,"&lt;"&amp;1080,m_end,"&gt;"&amp;1020)=0,"",IF(COUNTIFS(m_teacher,AN$4,m_date,($G$2+19),m_active,1,m_start,"&lt;"&amp;1080,m_end,"&gt;"&amp;1020)&gt;1,"충돌",HYPERLINK("#'관리자_MASTER'!D"&amp;_xlfn.MAXIFS(m_row,m_teacher,AN$4,m_date,($G$2+19),m_active,1,m_start,"&lt;"&amp;1080,m_end,"&gt;"&amp;1020),INDEX(m_label,_xlfn.MAXIFS(m_row,m_teacher,AN$4,m_date,($G$2+19),m_active,1,m_start,"&lt;"&amp;1080,m_end,"&gt;"&amp;1020))))))</f>
        <v/>
      </c>
      <c r="AO68" s="88" t="str">
        <f aca="false">IF(OR(AO$4="",MONTH(($G$2+19))&lt;&gt;MONTH($C$2)),"",IF(COUNTIFS(m_teacher,AO$4,m_date,($G$2+19),m_active,1,m_start,"&lt;"&amp;1080,m_end,"&gt;"&amp;1020)=0,"",IF(COUNTIFS(m_teacher,AO$4,m_date,($G$2+19),m_active,1,m_start,"&lt;"&amp;1080,m_end,"&gt;"&amp;1020)&gt;1,"충돌",HYPERLINK("#'관리자_MASTER'!D"&amp;_xlfn.MAXIFS(m_row,m_teacher,AO$4,m_date,($G$2+19),m_active,1,m_start,"&lt;"&amp;1080,m_end,"&gt;"&amp;1020),INDEX(m_label,_xlfn.MAXIFS(m_row,m_teacher,AO$4,m_date,($G$2+19),m_active,1,m_start,"&lt;"&amp;1080,m_end,"&gt;"&amp;1020))))))</f>
        <v/>
      </c>
      <c r="AP68" s="88" t="str">
        <f aca="false">IF(OR(AP$4="",MONTH(($G$2+19))&lt;&gt;MONTH($C$2)),"",IF(COUNTIFS(m_teacher,AP$4,m_date,($G$2+19),m_active,1,m_start,"&lt;"&amp;1080,m_end,"&gt;"&amp;1020)=0,"",IF(COUNTIFS(m_teacher,AP$4,m_date,($G$2+19),m_active,1,m_start,"&lt;"&amp;1080,m_end,"&gt;"&amp;1020)&gt;1,"충돌",HYPERLINK("#'관리자_MASTER'!D"&amp;_xlfn.MAXIFS(m_row,m_teacher,AP$4,m_date,($G$2+19),m_active,1,m_start,"&lt;"&amp;1080,m_end,"&gt;"&amp;1020),INDEX(m_label,_xlfn.MAXIFS(m_row,m_teacher,AP$4,m_date,($G$2+19),m_active,1,m_start,"&lt;"&amp;1080,m_end,"&gt;"&amp;1020))))))</f>
        <v/>
      </c>
      <c r="AQ68" s="90"/>
      <c r="AR68" s="79" t="s">
        <v>99</v>
      </c>
      <c r="AS68" s="88" t="str">
        <f aca="false">IF(OR(AS$4="",MONTH(($G$2+26))&lt;&gt;MONTH($C$2)),"",IF(COUNTIFS(m_teacher,AS$4,m_date,($G$2+26),m_active,1,m_start,"&lt;"&amp;1080,m_end,"&gt;"&amp;1020)=0,"",IF(COUNTIFS(m_teacher,AS$4,m_date,($G$2+26),m_active,1,m_start,"&lt;"&amp;1080,m_end,"&gt;"&amp;1020)&gt;1,"충돌",HYPERLINK("#'관리자_MASTER'!D"&amp;_xlfn.MAXIFS(m_row,m_teacher,AS$4,m_date,($G$2+26),m_active,1,m_start,"&lt;"&amp;1080,m_end,"&gt;"&amp;1020),INDEX(m_label,_xlfn.MAXIFS(m_row,m_teacher,AS$4,m_date,($G$2+26),m_active,1,m_start,"&lt;"&amp;1080,m_end,"&gt;"&amp;1020))))))</f>
        <v/>
      </c>
      <c r="AT68" s="88" t="str">
        <f aca="false">IF(OR(AT$4="",MONTH(($G$2+26))&lt;&gt;MONTH($C$2)),"",IF(COUNTIFS(m_teacher,AT$4,m_date,($G$2+26),m_active,1,m_start,"&lt;"&amp;1080,m_end,"&gt;"&amp;1020)=0,"",IF(COUNTIFS(m_teacher,AT$4,m_date,($G$2+26),m_active,1,m_start,"&lt;"&amp;1080,m_end,"&gt;"&amp;1020)&gt;1,"충돌",HYPERLINK("#'관리자_MASTER'!D"&amp;_xlfn.MAXIFS(m_row,m_teacher,AT$4,m_date,($G$2+26),m_active,1,m_start,"&lt;"&amp;1080,m_end,"&gt;"&amp;1020),INDEX(m_label,_xlfn.MAXIFS(m_row,m_teacher,AT$4,m_date,($G$2+26),m_active,1,m_start,"&lt;"&amp;1080,m_end,"&gt;"&amp;1020))))))</f>
        <v/>
      </c>
      <c r="AU68" s="88" t="str">
        <f aca="false">IF(OR(AU$4="",MONTH(($G$2+26))&lt;&gt;MONTH($C$2)),"",IF(COUNTIFS(m_teacher,AU$4,m_date,($G$2+26),m_active,1,m_start,"&lt;"&amp;1080,m_end,"&gt;"&amp;1020)=0,"",IF(COUNTIFS(m_teacher,AU$4,m_date,($G$2+26),m_active,1,m_start,"&lt;"&amp;1080,m_end,"&gt;"&amp;1020)&gt;1,"충돌",HYPERLINK("#'관리자_MASTER'!D"&amp;_xlfn.MAXIFS(m_row,m_teacher,AU$4,m_date,($G$2+26),m_active,1,m_start,"&lt;"&amp;1080,m_end,"&gt;"&amp;1020),INDEX(m_label,_xlfn.MAXIFS(m_row,m_teacher,AU$4,m_date,($G$2+26),m_active,1,m_start,"&lt;"&amp;1080,m_end,"&gt;"&amp;1020))))))</f>
        <v/>
      </c>
      <c r="AV68" s="88" t="str">
        <f aca="false">IF(OR(AV$4="",MONTH(($G$2+26))&lt;&gt;MONTH($C$2)),"",IF(COUNTIFS(m_teacher,AV$4,m_date,($G$2+26),m_active,1,m_start,"&lt;"&amp;1080,m_end,"&gt;"&amp;1020)=0,"",IF(COUNTIFS(m_teacher,AV$4,m_date,($G$2+26),m_active,1,m_start,"&lt;"&amp;1080,m_end,"&gt;"&amp;1020)&gt;1,"충돌",HYPERLINK("#'관리자_MASTER'!D"&amp;_xlfn.MAXIFS(m_row,m_teacher,AV$4,m_date,($G$2+26),m_active,1,m_start,"&lt;"&amp;1080,m_end,"&gt;"&amp;1020),INDEX(m_label,_xlfn.MAXIFS(m_row,m_teacher,AV$4,m_date,($G$2+26),m_active,1,m_start,"&lt;"&amp;1080,m_end,"&gt;"&amp;1020))))))</f>
        <v/>
      </c>
      <c r="AW68" s="88" t="str">
        <f aca="false">IF(OR(AW$4="",MONTH(($G$2+26))&lt;&gt;MONTH($C$2)),"",IF(COUNTIFS(m_teacher,AW$4,m_date,($G$2+26),m_active,1,m_start,"&lt;"&amp;1080,m_end,"&gt;"&amp;1020)=0,"",IF(COUNTIFS(m_teacher,AW$4,m_date,($G$2+26),m_active,1,m_start,"&lt;"&amp;1080,m_end,"&gt;"&amp;1020)&gt;1,"충돌",HYPERLINK("#'관리자_MASTER'!D"&amp;_xlfn.MAXIFS(m_row,m_teacher,AW$4,m_date,($G$2+26),m_active,1,m_start,"&lt;"&amp;1080,m_end,"&gt;"&amp;1020),INDEX(m_label,_xlfn.MAXIFS(m_row,m_teacher,AW$4,m_date,($G$2+26),m_active,1,m_start,"&lt;"&amp;1080,m_end,"&gt;"&amp;1020))))))</f>
        <v/>
      </c>
      <c r="AX68" s="88" t="str">
        <f aca="false">IF(OR(AX$4="",MONTH(($G$2+26))&lt;&gt;MONTH($C$2)),"",IF(COUNTIFS(m_teacher,AX$4,m_date,($G$2+26),m_active,1,m_start,"&lt;"&amp;1080,m_end,"&gt;"&amp;1020)=0,"",IF(COUNTIFS(m_teacher,AX$4,m_date,($G$2+26),m_active,1,m_start,"&lt;"&amp;1080,m_end,"&gt;"&amp;1020)&gt;1,"충돌",HYPERLINK("#'관리자_MASTER'!D"&amp;_xlfn.MAXIFS(m_row,m_teacher,AX$4,m_date,($G$2+26),m_active,1,m_start,"&lt;"&amp;1080,m_end,"&gt;"&amp;1020),INDEX(m_label,_xlfn.MAXIFS(m_row,m_teacher,AX$4,m_date,($G$2+26),m_active,1,m_start,"&lt;"&amp;1080,m_end,"&gt;"&amp;1020))))))</f>
        <v/>
      </c>
      <c r="AY68" s="88" t="str">
        <f aca="false">IF(OR(AY$4="",MONTH(($G$2+26))&lt;&gt;MONTH($C$2)),"",IF(COUNTIFS(m_teacher,AY$4,m_date,($G$2+26),m_active,1,m_start,"&lt;"&amp;1080,m_end,"&gt;"&amp;1020)=0,"",IF(COUNTIFS(m_teacher,AY$4,m_date,($G$2+26),m_active,1,m_start,"&lt;"&amp;1080,m_end,"&gt;"&amp;1020)&gt;1,"충돌",HYPERLINK("#'관리자_MASTER'!D"&amp;_xlfn.MAXIFS(m_row,m_teacher,AY$4,m_date,($G$2+26),m_active,1,m_start,"&lt;"&amp;1080,m_end,"&gt;"&amp;1020),INDEX(m_label,_xlfn.MAXIFS(m_row,m_teacher,AY$4,m_date,($G$2+26),m_active,1,m_start,"&lt;"&amp;1080,m_end,"&gt;"&amp;1020))))))</f>
        <v/>
      </c>
      <c r="AZ68" s="88" t="str">
        <f aca="false">IF(OR(AZ$4="",MONTH(($G$2+26))&lt;&gt;MONTH($C$2)),"",IF(COUNTIFS(m_teacher,AZ$4,m_date,($G$2+26),m_active,1,m_start,"&lt;"&amp;1080,m_end,"&gt;"&amp;1020)=0,"",IF(COUNTIFS(m_teacher,AZ$4,m_date,($G$2+26),m_active,1,m_start,"&lt;"&amp;1080,m_end,"&gt;"&amp;1020)&gt;1,"충돌",HYPERLINK("#'관리자_MASTER'!D"&amp;_xlfn.MAXIFS(m_row,m_teacher,AZ$4,m_date,($G$2+26),m_active,1,m_start,"&lt;"&amp;1080,m_end,"&gt;"&amp;1020),INDEX(m_label,_xlfn.MAXIFS(m_row,m_teacher,AZ$4,m_date,($G$2+26),m_active,1,m_start,"&lt;"&amp;1080,m_end,"&gt;"&amp;1020))))))</f>
        <v/>
      </c>
      <c r="BA68" s="88" t="str">
        <f aca="false">IF(OR(BA$4="",MONTH(($G$2+26))&lt;&gt;MONTH($C$2)),"",IF(COUNTIFS(m_teacher,BA$4,m_date,($G$2+26),m_active,1,m_start,"&lt;"&amp;1080,m_end,"&gt;"&amp;1020)=0,"",IF(COUNTIFS(m_teacher,BA$4,m_date,($G$2+26),m_active,1,m_start,"&lt;"&amp;1080,m_end,"&gt;"&amp;1020)&gt;1,"충돌",HYPERLINK("#'관리자_MASTER'!D"&amp;_xlfn.MAXIFS(m_row,m_teacher,BA$4,m_date,($G$2+26),m_active,1,m_start,"&lt;"&amp;1080,m_end,"&gt;"&amp;1020),INDEX(m_label,_xlfn.MAXIFS(m_row,m_teacher,BA$4,m_date,($G$2+26),m_active,1,m_start,"&lt;"&amp;1080,m_end,"&gt;"&amp;1020))))))</f>
        <v/>
      </c>
      <c r="BB68" s="88" t="str">
        <f aca="false">IF(OR(BB$4="",MONTH(($G$2+26))&lt;&gt;MONTH($C$2)),"",IF(COUNTIFS(m_teacher,BB$4,m_date,($G$2+26),m_active,1,m_start,"&lt;"&amp;1080,m_end,"&gt;"&amp;1020)=0,"",IF(COUNTIFS(m_teacher,BB$4,m_date,($G$2+26),m_active,1,m_start,"&lt;"&amp;1080,m_end,"&gt;"&amp;1020)&gt;1,"충돌",HYPERLINK("#'관리자_MASTER'!D"&amp;_xlfn.MAXIFS(m_row,m_teacher,BB$4,m_date,($G$2+26),m_active,1,m_start,"&lt;"&amp;1080,m_end,"&gt;"&amp;1020),INDEX(m_label,_xlfn.MAXIFS(m_row,m_teacher,BB$4,m_date,($G$2+26),m_active,1,m_start,"&lt;"&amp;1080,m_end,"&gt;"&amp;1020))))))</f>
        <v/>
      </c>
      <c r="BC68" s="88" t="str">
        <f aca="false">IF(OR(BC$4="",MONTH(($G$2+26))&lt;&gt;MONTH($C$2)),"",IF(COUNTIFS(m_teacher,BC$4,m_date,($G$2+26),m_active,1,m_start,"&lt;"&amp;1080,m_end,"&gt;"&amp;1020)=0,"",IF(COUNTIFS(m_teacher,BC$4,m_date,($G$2+26),m_active,1,m_start,"&lt;"&amp;1080,m_end,"&gt;"&amp;1020)&gt;1,"충돌",HYPERLINK("#'관리자_MASTER'!D"&amp;_xlfn.MAXIFS(m_row,m_teacher,BC$4,m_date,($G$2+26),m_active,1,m_start,"&lt;"&amp;1080,m_end,"&gt;"&amp;1020),INDEX(m_label,_xlfn.MAXIFS(m_row,m_teacher,BC$4,m_date,($G$2+26),m_active,1,m_start,"&lt;"&amp;1080,m_end,"&gt;"&amp;1020))))))</f>
        <v/>
      </c>
      <c r="BD68" s="88" t="str">
        <f aca="false">IF(OR(BD$4="",MONTH(($G$2+26))&lt;&gt;MONTH($C$2)),"",IF(COUNTIFS(m_teacher,BD$4,m_date,($G$2+26),m_active,1,m_start,"&lt;"&amp;1080,m_end,"&gt;"&amp;1020)=0,"",IF(COUNTIFS(m_teacher,BD$4,m_date,($G$2+26),m_active,1,m_start,"&lt;"&amp;1080,m_end,"&gt;"&amp;1020)&gt;1,"충돌",HYPERLINK("#'관리자_MASTER'!D"&amp;_xlfn.MAXIFS(m_row,m_teacher,BD$4,m_date,($G$2+26),m_active,1,m_start,"&lt;"&amp;1080,m_end,"&gt;"&amp;1020),INDEX(m_label,_xlfn.MAXIFS(m_row,m_teacher,BD$4,m_date,($G$2+26),m_active,1,m_start,"&lt;"&amp;1080,m_end,"&gt;"&amp;1020))))))</f>
        <v/>
      </c>
      <c r="BE68" s="91"/>
      <c r="BF68" s="76" t="s">
        <v>99</v>
      </c>
      <c r="BG68" s="81" t="str">
        <f aca="false">IF(OR(BG$4="",MONTH(($G$2+33))&lt;&gt;MONTH($C$2)),"",IF(COUNTIFS(m_teacher,BG$4,m_date,($G$2+33),m_active,1,m_start,"&lt;"&amp;1080,m_end,"&gt;"&amp;1020)=0,"",IF(COUNTIFS(m_teacher,BG$4,m_date,($G$2+33),m_active,1,m_start,"&lt;"&amp;1080,m_end,"&gt;"&amp;1020)&gt;1,"충돌",HYPERLINK("#'관리자_MASTER'!D"&amp;_xlfn.MAXIFS(m_row,m_teacher,BG$4,m_date,($G$2+33),m_active,1,m_start,"&lt;"&amp;1080,m_end,"&gt;"&amp;1020),INDEX(m_label,_xlfn.MAXIFS(m_row,m_teacher,BG$4,m_date,($G$2+33),m_active,1,m_start,"&lt;"&amp;1080,m_end,"&gt;"&amp;1020))))))</f>
        <v/>
      </c>
      <c r="BH68" s="81" t="str">
        <f aca="false">IF(OR(BH$4="",MONTH(($G$2+33))&lt;&gt;MONTH($C$2)),"",IF(COUNTIFS(m_teacher,BH$4,m_date,($G$2+33),m_active,1,m_start,"&lt;"&amp;1080,m_end,"&gt;"&amp;1020)=0,"",IF(COUNTIFS(m_teacher,BH$4,m_date,($G$2+33),m_active,1,m_start,"&lt;"&amp;1080,m_end,"&gt;"&amp;1020)&gt;1,"충돌",HYPERLINK("#'관리자_MASTER'!D"&amp;_xlfn.MAXIFS(m_row,m_teacher,BH$4,m_date,($G$2+33),m_active,1,m_start,"&lt;"&amp;1080,m_end,"&gt;"&amp;1020),INDEX(m_label,_xlfn.MAXIFS(m_row,m_teacher,BH$4,m_date,($G$2+33),m_active,1,m_start,"&lt;"&amp;1080,m_end,"&gt;"&amp;1020))))))</f>
        <v/>
      </c>
      <c r="BI68" s="81" t="str">
        <f aca="false">IF(OR(BI$4="",MONTH(($G$2+33))&lt;&gt;MONTH($C$2)),"",IF(COUNTIFS(m_teacher,BI$4,m_date,($G$2+33),m_active,1,m_start,"&lt;"&amp;1080,m_end,"&gt;"&amp;1020)=0,"",IF(COUNTIFS(m_teacher,BI$4,m_date,($G$2+33),m_active,1,m_start,"&lt;"&amp;1080,m_end,"&gt;"&amp;1020)&gt;1,"충돌",HYPERLINK("#'관리자_MASTER'!D"&amp;_xlfn.MAXIFS(m_row,m_teacher,BI$4,m_date,($G$2+33),m_active,1,m_start,"&lt;"&amp;1080,m_end,"&gt;"&amp;1020),INDEX(m_label,_xlfn.MAXIFS(m_row,m_teacher,BI$4,m_date,($G$2+33),m_active,1,m_start,"&lt;"&amp;1080,m_end,"&gt;"&amp;1020))))))</f>
        <v/>
      </c>
      <c r="BJ68" s="81" t="str">
        <f aca="false">IF(OR(BJ$4="",MONTH(($G$2+33))&lt;&gt;MONTH($C$2)),"",IF(COUNTIFS(m_teacher,BJ$4,m_date,($G$2+33),m_active,1,m_start,"&lt;"&amp;1080,m_end,"&gt;"&amp;1020)=0,"",IF(COUNTIFS(m_teacher,BJ$4,m_date,($G$2+33),m_active,1,m_start,"&lt;"&amp;1080,m_end,"&gt;"&amp;1020)&gt;1,"충돌",HYPERLINK("#'관리자_MASTER'!D"&amp;_xlfn.MAXIFS(m_row,m_teacher,BJ$4,m_date,($G$2+33),m_active,1,m_start,"&lt;"&amp;1080,m_end,"&gt;"&amp;1020),INDEX(m_label,_xlfn.MAXIFS(m_row,m_teacher,BJ$4,m_date,($G$2+33),m_active,1,m_start,"&lt;"&amp;1080,m_end,"&gt;"&amp;1020))))))</f>
        <v/>
      </c>
      <c r="BK68" s="81" t="str">
        <f aca="false">IF(OR(BK$4="",MONTH(($G$2+33))&lt;&gt;MONTH($C$2)),"",IF(COUNTIFS(m_teacher,BK$4,m_date,($G$2+33),m_active,1,m_start,"&lt;"&amp;1080,m_end,"&gt;"&amp;1020)=0,"",IF(COUNTIFS(m_teacher,BK$4,m_date,($G$2+33),m_active,1,m_start,"&lt;"&amp;1080,m_end,"&gt;"&amp;1020)&gt;1,"충돌",HYPERLINK("#'관리자_MASTER'!D"&amp;_xlfn.MAXIFS(m_row,m_teacher,BK$4,m_date,($G$2+33),m_active,1,m_start,"&lt;"&amp;1080,m_end,"&gt;"&amp;1020),INDEX(m_label,_xlfn.MAXIFS(m_row,m_teacher,BK$4,m_date,($G$2+33),m_active,1,m_start,"&lt;"&amp;1080,m_end,"&gt;"&amp;1020))))))</f>
        <v/>
      </c>
      <c r="BL68" s="81" t="str">
        <f aca="false">IF(OR(BL$4="",MONTH(($G$2+33))&lt;&gt;MONTH($C$2)),"",IF(COUNTIFS(m_teacher,BL$4,m_date,($G$2+33),m_active,1,m_start,"&lt;"&amp;1080,m_end,"&gt;"&amp;1020)=0,"",IF(COUNTIFS(m_teacher,BL$4,m_date,($G$2+33),m_active,1,m_start,"&lt;"&amp;1080,m_end,"&gt;"&amp;1020)&gt;1,"충돌",HYPERLINK("#'관리자_MASTER'!D"&amp;_xlfn.MAXIFS(m_row,m_teacher,BL$4,m_date,($G$2+33),m_active,1,m_start,"&lt;"&amp;1080,m_end,"&gt;"&amp;1020),INDEX(m_label,_xlfn.MAXIFS(m_row,m_teacher,BL$4,m_date,($G$2+33),m_active,1,m_start,"&lt;"&amp;1080,m_end,"&gt;"&amp;1020))))))</f>
        <v/>
      </c>
      <c r="BM68" s="81" t="str">
        <f aca="false">IF(OR(BM$4="",MONTH(($G$2+33))&lt;&gt;MONTH($C$2)),"",IF(COUNTIFS(m_teacher,BM$4,m_date,($G$2+33),m_active,1,m_start,"&lt;"&amp;1080,m_end,"&gt;"&amp;1020)=0,"",IF(COUNTIFS(m_teacher,BM$4,m_date,($G$2+33),m_active,1,m_start,"&lt;"&amp;1080,m_end,"&gt;"&amp;1020)&gt;1,"충돌",HYPERLINK("#'관리자_MASTER'!D"&amp;_xlfn.MAXIFS(m_row,m_teacher,BM$4,m_date,($G$2+33),m_active,1,m_start,"&lt;"&amp;1080,m_end,"&gt;"&amp;1020),INDEX(m_label,_xlfn.MAXIFS(m_row,m_teacher,BM$4,m_date,($G$2+33),m_active,1,m_start,"&lt;"&amp;1080,m_end,"&gt;"&amp;1020))))))</f>
        <v/>
      </c>
      <c r="BN68" s="81" t="str">
        <f aca="false">IF(OR(BN$4="",MONTH(($G$2+33))&lt;&gt;MONTH($C$2)),"",IF(COUNTIFS(m_teacher,BN$4,m_date,($G$2+33),m_active,1,m_start,"&lt;"&amp;1080,m_end,"&gt;"&amp;1020)=0,"",IF(COUNTIFS(m_teacher,BN$4,m_date,($G$2+33),m_active,1,m_start,"&lt;"&amp;1080,m_end,"&gt;"&amp;1020)&gt;1,"충돌",HYPERLINK("#'관리자_MASTER'!D"&amp;_xlfn.MAXIFS(m_row,m_teacher,BN$4,m_date,($G$2+33),m_active,1,m_start,"&lt;"&amp;1080,m_end,"&gt;"&amp;1020),INDEX(m_label,_xlfn.MAXIFS(m_row,m_teacher,BN$4,m_date,($G$2+33),m_active,1,m_start,"&lt;"&amp;1080,m_end,"&gt;"&amp;1020))))))</f>
        <v/>
      </c>
      <c r="BO68" s="81" t="str">
        <f aca="false">IF(OR(BO$4="",MONTH(($G$2+33))&lt;&gt;MONTH($C$2)),"",IF(COUNTIFS(m_teacher,BO$4,m_date,($G$2+33),m_active,1,m_start,"&lt;"&amp;1080,m_end,"&gt;"&amp;1020)=0,"",IF(COUNTIFS(m_teacher,BO$4,m_date,($G$2+33),m_active,1,m_start,"&lt;"&amp;1080,m_end,"&gt;"&amp;1020)&gt;1,"충돌",HYPERLINK("#'관리자_MASTER'!D"&amp;_xlfn.MAXIFS(m_row,m_teacher,BO$4,m_date,($G$2+33),m_active,1,m_start,"&lt;"&amp;1080,m_end,"&gt;"&amp;1020),INDEX(m_label,_xlfn.MAXIFS(m_row,m_teacher,BO$4,m_date,($G$2+33),m_active,1,m_start,"&lt;"&amp;1080,m_end,"&gt;"&amp;1020))))))</f>
        <v/>
      </c>
      <c r="BP68" s="81" t="str">
        <f aca="false">IF(OR(BP$4="",MONTH(($G$2+33))&lt;&gt;MONTH($C$2)),"",IF(COUNTIFS(m_teacher,BP$4,m_date,($G$2+33),m_active,1,m_start,"&lt;"&amp;1080,m_end,"&gt;"&amp;1020)=0,"",IF(COUNTIFS(m_teacher,BP$4,m_date,($G$2+33),m_active,1,m_start,"&lt;"&amp;1080,m_end,"&gt;"&amp;1020)&gt;1,"충돌",HYPERLINK("#'관리자_MASTER'!D"&amp;_xlfn.MAXIFS(m_row,m_teacher,BP$4,m_date,($G$2+33),m_active,1,m_start,"&lt;"&amp;1080,m_end,"&gt;"&amp;1020),INDEX(m_label,_xlfn.MAXIFS(m_row,m_teacher,BP$4,m_date,($G$2+33),m_active,1,m_start,"&lt;"&amp;1080,m_end,"&gt;"&amp;1020))))))</f>
        <v/>
      </c>
      <c r="BQ68" s="81" t="str">
        <f aca="false">IF(OR(BQ$4="",MONTH(($G$2+33))&lt;&gt;MONTH($C$2)),"",IF(COUNTIFS(m_teacher,BQ$4,m_date,($G$2+33),m_active,1,m_start,"&lt;"&amp;1080,m_end,"&gt;"&amp;1020)=0,"",IF(COUNTIFS(m_teacher,BQ$4,m_date,($G$2+33),m_active,1,m_start,"&lt;"&amp;1080,m_end,"&gt;"&amp;1020)&gt;1,"충돌",HYPERLINK("#'관리자_MASTER'!D"&amp;_xlfn.MAXIFS(m_row,m_teacher,BQ$4,m_date,($G$2+33),m_active,1,m_start,"&lt;"&amp;1080,m_end,"&gt;"&amp;1020),INDEX(m_label,_xlfn.MAXIFS(m_row,m_teacher,BQ$4,m_date,($G$2+33),m_active,1,m_start,"&lt;"&amp;1080,m_end,"&gt;"&amp;1020))))))</f>
        <v/>
      </c>
      <c r="BR68" s="81" t="str">
        <f aca="false">IF(OR(BR$4="",MONTH(($G$2+33))&lt;&gt;MONTH($C$2)),"",IF(COUNTIFS(m_teacher,BR$4,m_date,($G$2+33),m_active,1,m_start,"&lt;"&amp;1080,m_end,"&gt;"&amp;1020)=0,"",IF(COUNTIFS(m_teacher,BR$4,m_date,($G$2+33),m_active,1,m_start,"&lt;"&amp;1080,m_end,"&gt;"&amp;1020)&gt;1,"충돌",HYPERLINK("#'관리자_MASTER'!D"&amp;_xlfn.MAXIFS(m_row,m_teacher,BR$4,m_date,($G$2+33),m_active,1,m_start,"&lt;"&amp;1080,m_end,"&gt;"&amp;1020),INDEX(m_label,_xlfn.MAXIFS(m_row,m_teacher,BR$4,m_date,($G$2+33),m_active,1,m_start,"&lt;"&amp;1080,m_end,"&gt;"&amp;1020))))))</f>
        <v/>
      </c>
    </row>
    <row r="69" customFormat="false" ht="19.5" hidden="false" customHeight="true" outlineLevel="0" collapsed="false">
      <c r="A69" s="90"/>
      <c r="B69" s="79" t="s">
        <v>100</v>
      </c>
      <c r="C69" s="88" t="str">
        <f aca="false">IF(OR(C$4="",MONTH(($G$2+5))&lt;&gt;MONTH($C$2)),"",IF(COUNTIFS(m_teacher,C$4,m_date,($G$2+5),m_active,1,m_start,"&lt;"&amp;1140,m_end,"&gt;"&amp;1080)=0,"",IF(COUNTIFS(m_teacher,C$4,m_date,($G$2+5),m_active,1,m_start,"&lt;"&amp;1140,m_end,"&gt;"&amp;1080)&gt;1,"충돌",HYPERLINK("#'관리자_MASTER'!D"&amp;_xlfn.MAXIFS(m_row,m_teacher,C$4,m_date,($G$2+5),m_active,1,m_start,"&lt;"&amp;1140,m_end,"&gt;"&amp;1080),INDEX(m_label,_xlfn.MAXIFS(m_row,m_teacher,C$4,m_date,($G$2+5),m_active,1,m_start,"&lt;"&amp;1140,m_end,"&gt;"&amp;1080))))))</f>
        <v/>
      </c>
      <c r="D69" s="88" t="str">
        <f aca="false">IF(OR(D$4="",MONTH(($G$2+5))&lt;&gt;MONTH($C$2)),"",IF(COUNTIFS(m_teacher,D$4,m_date,($G$2+5),m_active,1,m_start,"&lt;"&amp;1140,m_end,"&gt;"&amp;1080)=0,"",IF(COUNTIFS(m_teacher,D$4,m_date,($G$2+5),m_active,1,m_start,"&lt;"&amp;1140,m_end,"&gt;"&amp;1080)&gt;1,"충돌",HYPERLINK("#'관리자_MASTER'!D"&amp;_xlfn.MAXIFS(m_row,m_teacher,D$4,m_date,($G$2+5),m_active,1,m_start,"&lt;"&amp;1140,m_end,"&gt;"&amp;1080),INDEX(m_label,_xlfn.MAXIFS(m_row,m_teacher,D$4,m_date,($G$2+5),m_active,1,m_start,"&lt;"&amp;1140,m_end,"&gt;"&amp;1080))))))</f>
        <v/>
      </c>
      <c r="E69" s="88" t="str">
        <f aca="false">IF(OR(E$4="",MONTH(($G$2+5))&lt;&gt;MONTH($C$2)),"",IF(COUNTIFS(m_teacher,E$4,m_date,($G$2+5),m_active,1,m_start,"&lt;"&amp;1140,m_end,"&gt;"&amp;1080)=0,"",IF(COUNTIFS(m_teacher,E$4,m_date,($G$2+5),m_active,1,m_start,"&lt;"&amp;1140,m_end,"&gt;"&amp;1080)&gt;1,"충돌",HYPERLINK("#'관리자_MASTER'!D"&amp;_xlfn.MAXIFS(m_row,m_teacher,E$4,m_date,($G$2+5),m_active,1,m_start,"&lt;"&amp;1140,m_end,"&gt;"&amp;1080),INDEX(m_label,_xlfn.MAXIFS(m_row,m_teacher,E$4,m_date,($G$2+5),m_active,1,m_start,"&lt;"&amp;1140,m_end,"&gt;"&amp;1080))))))</f>
        <v/>
      </c>
      <c r="F69" s="88" t="str">
        <f aca="false">IF(OR(F$4="",MONTH(($G$2+5))&lt;&gt;MONTH($C$2)),"",IF(COUNTIFS(m_teacher,F$4,m_date,($G$2+5),m_active,1,m_start,"&lt;"&amp;1140,m_end,"&gt;"&amp;1080)=0,"",IF(COUNTIFS(m_teacher,F$4,m_date,($G$2+5),m_active,1,m_start,"&lt;"&amp;1140,m_end,"&gt;"&amp;1080)&gt;1,"충돌",HYPERLINK("#'관리자_MASTER'!D"&amp;_xlfn.MAXIFS(m_row,m_teacher,F$4,m_date,($G$2+5),m_active,1,m_start,"&lt;"&amp;1140,m_end,"&gt;"&amp;1080),INDEX(m_label,_xlfn.MAXIFS(m_row,m_teacher,F$4,m_date,($G$2+5),m_active,1,m_start,"&lt;"&amp;1140,m_end,"&gt;"&amp;1080))))))</f>
        <v/>
      </c>
      <c r="G69" s="88" t="str">
        <f aca="false">IF(OR(G$4="",MONTH(($G$2+5))&lt;&gt;MONTH($C$2)),"",IF(COUNTIFS(m_teacher,G$4,m_date,($G$2+5),m_active,1,m_start,"&lt;"&amp;1140,m_end,"&gt;"&amp;1080)=0,"",IF(COUNTIFS(m_teacher,G$4,m_date,($G$2+5),m_active,1,m_start,"&lt;"&amp;1140,m_end,"&gt;"&amp;1080)&gt;1,"충돌",HYPERLINK("#'관리자_MASTER'!D"&amp;_xlfn.MAXIFS(m_row,m_teacher,G$4,m_date,($G$2+5),m_active,1,m_start,"&lt;"&amp;1140,m_end,"&gt;"&amp;1080),INDEX(m_label,_xlfn.MAXIFS(m_row,m_teacher,G$4,m_date,($G$2+5),m_active,1,m_start,"&lt;"&amp;1140,m_end,"&gt;"&amp;1080))))))</f>
        <v/>
      </c>
      <c r="H69" s="88" t="str">
        <f aca="false">IF(OR(H$4="",MONTH(($G$2+5))&lt;&gt;MONTH($C$2)),"",IF(COUNTIFS(m_teacher,H$4,m_date,($G$2+5),m_active,1,m_start,"&lt;"&amp;1140,m_end,"&gt;"&amp;1080)=0,"",IF(COUNTIFS(m_teacher,H$4,m_date,($G$2+5),m_active,1,m_start,"&lt;"&amp;1140,m_end,"&gt;"&amp;1080)&gt;1,"충돌",HYPERLINK("#'관리자_MASTER'!D"&amp;_xlfn.MAXIFS(m_row,m_teacher,H$4,m_date,($G$2+5),m_active,1,m_start,"&lt;"&amp;1140,m_end,"&gt;"&amp;1080),INDEX(m_label,_xlfn.MAXIFS(m_row,m_teacher,H$4,m_date,($G$2+5),m_active,1,m_start,"&lt;"&amp;1140,m_end,"&gt;"&amp;1080))))))</f>
        <v/>
      </c>
      <c r="I69" s="88" t="str">
        <f aca="false">IF(OR(I$4="",MONTH(($G$2+5))&lt;&gt;MONTH($C$2)),"",IF(COUNTIFS(m_teacher,I$4,m_date,($G$2+5),m_active,1,m_start,"&lt;"&amp;1140,m_end,"&gt;"&amp;1080)=0,"",IF(COUNTIFS(m_teacher,I$4,m_date,($G$2+5),m_active,1,m_start,"&lt;"&amp;1140,m_end,"&gt;"&amp;1080)&gt;1,"충돌",HYPERLINK("#'관리자_MASTER'!D"&amp;_xlfn.MAXIFS(m_row,m_teacher,I$4,m_date,($G$2+5),m_active,1,m_start,"&lt;"&amp;1140,m_end,"&gt;"&amp;1080),INDEX(m_label,_xlfn.MAXIFS(m_row,m_teacher,I$4,m_date,($G$2+5),m_active,1,m_start,"&lt;"&amp;1140,m_end,"&gt;"&amp;1080))))))</f>
        <v/>
      </c>
      <c r="J69" s="88" t="str">
        <f aca="false">IF(OR(J$4="",MONTH(($G$2+5))&lt;&gt;MONTH($C$2)),"",IF(COUNTIFS(m_teacher,J$4,m_date,($G$2+5),m_active,1,m_start,"&lt;"&amp;1140,m_end,"&gt;"&amp;1080)=0,"",IF(COUNTIFS(m_teacher,J$4,m_date,($G$2+5),m_active,1,m_start,"&lt;"&amp;1140,m_end,"&gt;"&amp;1080)&gt;1,"충돌",HYPERLINK("#'관리자_MASTER'!D"&amp;_xlfn.MAXIFS(m_row,m_teacher,J$4,m_date,($G$2+5),m_active,1,m_start,"&lt;"&amp;1140,m_end,"&gt;"&amp;1080),INDEX(m_label,_xlfn.MAXIFS(m_row,m_teacher,J$4,m_date,($G$2+5),m_active,1,m_start,"&lt;"&amp;1140,m_end,"&gt;"&amp;1080))))))</f>
        <v/>
      </c>
      <c r="K69" s="88" t="str">
        <f aca="false">IF(OR(K$4="",MONTH(($G$2+5))&lt;&gt;MONTH($C$2)),"",IF(COUNTIFS(m_teacher,K$4,m_date,($G$2+5),m_active,1,m_start,"&lt;"&amp;1140,m_end,"&gt;"&amp;1080)=0,"",IF(COUNTIFS(m_teacher,K$4,m_date,($G$2+5),m_active,1,m_start,"&lt;"&amp;1140,m_end,"&gt;"&amp;1080)&gt;1,"충돌",HYPERLINK("#'관리자_MASTER'!D"&amp;_xlfn.MAXIFS(m_row,m_teacher,K$4,m_date,($G$2+5),m_active,1,m_start,"&lt;"&amp;1140,m_end,"&gt;"&amp;1080),INDEX(m_label,_xlfn.MAXIFS(m_row,m_teacher,K$4,m_date,($G$2+5),m_active,1,m_start,"&lt;"&amp;1140,m_end,"&gt;"&amp;1080))))))</f>
        <v/>
      </c>
      <c r="L69" s="88" t="str">
        <f aca="false">IF(OR(L$4="",MONTH(($G$2+5))&lt;&gt;MONTH($C$2)),"",IF(COUNTIFS(m_teacher,L$4,m_date,($G$2+5),m_active,1,m_start,"&lt;"&amp;1140,m_end,"&gt;"&amp;1080)=0,"",IF(COUNTIFS(m_teacher,L$4,m_date,($G$2+5),m_active,1,m_start,"&lt;"&amp;1140,m_end,"&gt;"&amp;1080)&gt;1,"충돌",HYPERLINK("#'관리자_MASTER'!D"&amp;_xlfn.MAXIFS(m_row,m_teacher,L$4,m_date,($G$2+5),m_active,1,m_start,"&lt;"&amp;1140,m_end,"&gt;"&amp;1080),INDEX(m_label,_xlfn.MAXIFS(m_row,m_teacher,L$4,m_date,($G$2+5),m_active,1,m_start,"&lt;"&amp;1140,m_end,"&gt;"&amp;1080))))))</f>
        <v/>
      </c>
      <c r="M69" s="88" t="str">
        <f aca="false">IF(OR(M$4="",MONTH(($G$2+5))&lt;&gt;MONTH($C$2)),"",IF(COUNTIFS(m_teacher,M$4,m_date,($G$2+5),m_active,1,m_start,"&lt;"&amp;1140,m_end,"&gt;"&amp;1080)=0,"",IF(COUNTIFS(m_teacher,M$4,m_date,($G$2+5),m_active,1,m_start,"&lt;"&amp;1140,m_end,"&gt;"&amp;1080)&gt;1,"충돌",HYPERLINK("#'관리자_MASTER'!D"&amp;_xlfn.MAXIFS(m_row,m_teacher,M$4,m_date,($G$2+5),m_active,1,m_start,"&lt;"&amp;1140,m_end,"&gt;"&amp;1080),INDEX(m_label,_xlfn.MAXIFS(m_row,m_teacher,M$4,m_date,($G$2+5),m_active,1,m_start,"&lt;"&amp;1140,m_end,"&gt;"&amp;1080))))))</f>
        <v/>
      </c>
      <c r="N69" s="88" t="str">
        <f aca="false">IF(OR(N$4="",MONTH(($G$2+5))&lt;&gt;MONTH($C$2)),"",IF(COUNTIFS(m_teacher,N$4,m_date,($G$2+5),m_active,1,m_start,"&lt;"&amp;1140,m_end,"&gt;"&amp;1080)=0,"",IF(COUNTIFS(m_teacher,N$4,m_date,($G$2+5),m_active,1,m_start,"&lt;"&amp;1140,m_end,"&gt;"&amp;1080)&gt;1,"충돌",HYPERLINK("#'관리자_MASTER'!D"&amp;_xlfn.MAXIFS(m_row,m_teacher,N$4,m_date,($G$2+5),m_active,1,m_start,"&lt;"&amp;1140,m_end,"&gt;"&amp;1080),INDEX(m_label,_xlfn.MAXIFS(m_row,m_teacher,N$4,m_date,($G$2+5),m_active,1,m_start,"&lt;"&amp;1140,m_end,"&gt;"&amp;1080))))))</f>
        <v/>
      </c>
      <c r="O69" s="90"/>
      <c r="P69" s="79" t="s">
        <v>100</v>
      </c>
      <c r="Q69" s="88" t="str">
        <f aca="false">IF(OR(Q$4="",MONTH(($G$2+12))&lt;&gt;MONTH($C$2)),"",IF(COUNTIFS(m_teacher,Q$4,m_date,($G$2+12),m_active,1,m_start,"&lt;"&amp;1140,m_end,"&gt;"&amp;1080)=0,"",IF(COUNTIFS(m_teacher,Q$4,m_date,($G$2+12),m_active,1,m_start,"&lt;"&amp;1140,m_end,"&gt;"&amp;1080)&gt;1,"충돌",HYPERLINK("#'관리자_MASTER'!D"&amp;_xlfn.MAXIFS(m_row,m_teacher,Q$4,m_date,($G$2+12),m_active,1,m_start,"&lt;"&amp;1140,m_end,"&gt;"&amp;1080),INDEX(m_label,_xlfn.MAXIFS(m_row,m_teacher,Q$4,m_date,($G$2+12),m_active,1,m_start,"&lt;"&amp;1140,m_end,"&gt;"&amp;1080))))))</f>
        <v/>
      </c>
      <c r="R69" s="88" t="str">
        <f aca="false">IF(OR(R$4="",MONTH(($G$2+12))&lt;&gt;MONTH($C$2)),"",IF(COUNTIFS(m_teacher,R$4,m_date,($G$2+12),m_active,1,m_start,"&lt;"&amp;1140,m_end,"&gt;"&amp;1080)=0,"",IF(COUNTIFS(m_teacher,R$4,m_date,($G$2+12),m_active,1,m_start,"&lt;"&amp;1140,m_end,"&gt;"&amp;1080)&gt;1,"충돌",HYPERLINK("#'관리자_MASTER'!D"&amp;_xlfn.MAXIFS(m_row,m_teacher,R$4,m_date,($G$2+12),m_active,1,m_start,"&lt;"&amp;1140,m_end,"&gt;"&amp;1080),INDEX(m_label,_xlfn.MAXIFS(m_row,m_teacher,R$4,m_date,($G$2+12),m_active,1,m_start,"&lt;"&amp;1140,m_end,"&gt;"&amp;1080))))))</f>
        <v/>
      </c>
      <c r="S69" s="88" t="str">
        <f aca="false">IF(OR(S$4="",MONTH(($G$2+12))&lt;&gt;MONTH($C$2)),"",IF(COUNTIFS(m_teacher,S$4,m_date,($G$2+12),m_active,1,m_start,"&lt;"&amp;1140,m_end,"&gt;"&amp;1080)=0,"",IF(COUNTIFS(m_teacher,S$4,m_date,($G$2+12),m_active,1,m_start,"&lt;"&amp;1140,m_end,"&gt;"&amp;1080)&gt;1,"충돌",HYPERLINK("#'관리자_MASTER'!D"&amp;_xlfn.MAXIFS(m_row,m_teacher,S$4,m_date,($G$2+12),m_active,1,m_start,"&lt;"&amp;1140,m_end,"&gt;"&amp;1080),INDEX(m_label,_xlfn.MAXIFS(m_row,m_teacher,S$4,m_date,($G$2+12),m_active,1,m_start,"&lt;"&amp;1140,m_end,"&gt;"&amp;1080))))))</f>
        <v/>
      </c>
      <c r="T69" s="88" t="str">
        <f aca="false">IF(OR(T$4="",MONTH(($G$2+12))&lt;&gt;MONTH($C$2)),"",IF(COUNTIFS(m_teacher,T$4,m_date,($G$2+12),m_active,1,m_start,"&lt;"&amp;1140,m_end,"&gt;"&amp;1080)=0,"",IF(COUNTIFS(m_teacher,T$4,m_date,($G$2+12),m_active,1,m_start,"&lt;"&amp;1140,m_end,"&gt;"&amp;1080)&gt;1,"충돌",HYPERLINK("#'관리자_MASTER'!D"&amp;_xlfn.MAXIFS(m_row,m_teacher,T$4,m_date,($G$2+12),m_active,1,m_start,"&lt;"&amp;1140,m_end,"&gt;"&amp;1080),INDEX(m_label,_xlfn.MAXIFS(m_row,m_teacher,T$4,m_date,($G$2+12),m_active,1,m_start,"&lt;"&amp;1140,m_end,"&gt;"&amp;1080))))))</f>
        <v/>
      </c>
      <c r="U69" s="88" t="str">
        <f aca="false">IF(OR(U$4="",MONTH(($G$2+12))&lt;&gt;MONTH($C$2)),"",IF(COUNTIFS(m_teacher,U$4,m_date,($G$2+12),m_active,1,m_start,"&lt;"&amp;1140,m_end,"&gt;"&amp;1080)=0,"",IF(COUNTIFS(m_teacher,U$4,m_date,($G$2+12),m_active,1,m_start,"&lt;"&amp;1140,m_end,"&gt;"&amp;1080)&gt;1,"충돌",HYPERLINK("#'관리자_MASTER'!D"&amp;_xlfn.MAXIFS(m_row,m_teacher,U$4,m_date,($G$2+12),m_active,1,m_start,"&lt;"&amp;1140,m_end,"&gt;"&amp;1080),INDEX(m_label,_xlfn.MAXIFS(m_row,m_teacher,U$4,m_date,($G$2+12),m_active,1,m_start,"&lt;"&amp;1140,m_end,"&gt;"&amp;1080))))))</f>
        <v/>
      </c>
      <c r="V69" s="88" t="str">
        <f aca="false">IF(OR(V$4="",MONTH(($G$2+12))&lt;&gt;MONTH($C$2)),"",IF(COUNTIFS(m_teacher,V$4,m_date,($G$2+12),m_active,1,m_start,"&lt;"&amp;1140,m_end,"&gt;"&amp;1080)=0,"",IF(COUNTIFS(m_teacher,V$4,m_date,($G$2+12),m_active,1,m_start,"&lt;"&amp;1140,m_end,"&gt;"&amp;1080)&gt;1,"충돌",HYPERLINK("#'관리자_MASTER'!D"&amp;_xlfn.MAXIFS(m_row,m_teacher,V$4,m_date,($G$2+12),m_active,1,m_start,"&lt;"&amp;1140,m_end,"&gt;"&amp;1080),INDEX(m_label,_xlfn.MAXIFS(m_row,m_teacher,V$4,m_date,($G$2+12),m_active,1,m_start,"&lt;"&amp;1140,m_end,"&gt;"&amp;1080))))))</f>
        <v/>
      </c>
      <c r="W69" s="88" t="str">
        <f aca="false">IF(OR(W$4="",MONTH(($G$2+12))&lt;&gt;MONTH($C$2)),"",IF(COUNTIFS(m_teacher,W$4,m_date,($G$2+12),m_active,1,m_start,"&lt;"&amp;1140,m_end,"&gt;"&amp;1080)=0,"",IF(COUNTIFS(m_teacher,W$4,m_date,($G$2+12),m_active,1,m_start,"&lt;"&amp;1140,m_end,"&gt;"&amp;1080)&gt;1,"충돌",HYPERLINK("#'관리자_MASTER'!D"&amp;_xlfn.MAXIFS(m_row,m_teacher,W$4,m_date,($G$2+12),m_active,1,m_start,"&lt;"&amp;1140,m_end,"&gt;"&amp;1080),INDEX(m_label,_xlfn.MAXIFS(m_row,m_teacher,W$4,m_date,($G$2+12),m_active,1,m_start,"&lt;"&amp;1140,m_end,"&gt;"&amp;1080))))))</f>
        <v/>
      </c>
      <c r="X69" s="88" t="str">
        <f aca="false">IF(OR(X$4="",MONTH(($G$2+12))&lt;&gt;MONTH($C$2)),"",IF(COUNTIFS(m_teacher,X$4,m_date,($G$2+12),m_active,1,m_start,"&lt;"&amp;1140,m_end,"&gt;"&amp;1080)=0,"",IF(COUNTIFS(m_teacher,X$4,m_date,($G$2+12),m_active,1,m_start,"&lt;"&amp;1140,m_end,"&gt;"&amp;1080)&gt;1,"충돌",HYPERLINK("#'관리자_MASTER'!D"&amp;_xlfn.MAXIFS(m_row,m_teacher,X$4,m_date,($G$2+12),m_active,1,m_start,"&lt;"&amp;1140,m_end,"&gt;"&amp;1080),INDEX(m_label,_xlfn.MAXIFS(m_row,m_teacher,X$4,m_date,($G$2+12),m_active,1,m_start,"&lt;"&amp;1140,m_end,"&gt;"&amp;1080))))))</f>
        <v/>
      </c>
      <c r="Y69" s="88" t="str">
        <f aca="false">IF(OR(Y$4="",MONTH(($G$2+12))&lt;&gt;MONTH($C$2)),"",IF(COUNTIFS(m_teacher,Y$4,m_date,($G$2+12),m_active,1,m_start,"&lt;"&amp;1140,m_end,"&gt;"&amp;1080)=0,"",IF(COUNTIFS(m_teacher,Y$4,m_date,($G$2+12),m_active,1,m_start,"&lt;"&amp;1140,m_end,"&gt;"&amp;1080)&gt;1,"충돌",HYPERLINK("#'관리자_MASTER'!D"&amp;_xlfn.MAXIFS(m_row,m_teacher,Y$4,m_date,($G$2+12),m_active,1,m_start,"&lt;"&amp;1140,m_end,"&gt;"&amp;1080),INDEX(m_label,_xlfn.MAXIFS(m_row,m_teacher,Y$4,m_date,($G$2+12),m_active,1,m_start,"&lt;"&amp;1140,m_end,"&gt;"&amp;1080))))))</f>
        <v/>
      </c>
      <c r="Z69" s="88" t="str">
        <f aca="false">IF(OR(Z$4="",MONTH(($G$2+12))&lt;&gt;MONTH($C$2)),"",IF(COUNTIFS(m_teacher,Z$4,m_date,($G$2+12),m_active,1,m_start,"&lt;"&amp;1140,m_end,"&gt;"&amp;1080)=0,"",IF(COUNTIFS(m_teacher,Z$4,m_date,($G$2+12),m_active,1,m_start,"&lt;"&amp;1140,m_end,"&gt;"&amp;1080)&gt;1,"충돌",HYPERLINK("#'관리자_MASTER'!D"&amp;_xlfn.MAXIFS(m_row,m_teacher,Z$4,m_date,($G$2+12),m_active,1,m_start,"&lt;"&amp;1140,m_end,"&gt;"&amp;1080),INDEX(m_label,_xlfn.MAXIFS(m_row,m_teacher,Z$4,m_date,($G$2+12),m_active,1,m_start,"&lt;"&amp;1140,m_end,"&gt;"&amp;1080))))))</f>
        <v/>
      </c>
      <c r="AA69" s="88" t="str">
        <f aca="false">IF(OR(AA$4="",MONTH(($G$2+12))&lt;&gt;MONTH($C$2)),"",IF(COUNTIFS(m_teacher,AA$4,m_date,($G$2+12),m_active,1,m_start,"&lt;"&amp;1140,m_end,"&gt;"&amp;1080)=0,"",IF(COUNTIFS(m_teacher,AA$4,m_date,($G$2+12),m_active,1,m_start,"&lt;"&amp;1140,m_end,"&gt;"&amp;1080)&gt;1,"충돌",HYPERLINK("#'관리자_MASTER'!D"&amp;_xlfn.MAXIFS(m_row,m_teacher,AA$4,m_date,($G$2+12),m_active,1,m_start,"&lt;"&amp;1140,m_end,"&gt;"&amp;1080),INDEX(m_label,_xlfn.MAXIFS(m_row,m_teacher,AA$4,m_date,($G$2+12),m_active,1,m_start,"&lt;"&amp;1140,m_end,"&gt;"&amp;1080))))))</f>
        <v/>
      </c>
      <c r="AB69" s="88" t="str">
        <f aca="false">IF(OR(AB$4="",MONTH(($G$2+12))&lt;&gt;MONTH($C$2)),"",IF(COUNTIFS(m_teacher,AB$4,m_date,($G$2+12),m_active,1,m_start,"&lt;"&amp;1140,m_end,"&gt;"&amp;1080)=0,"",IF(COUNTIFS(m_teacher,AB$4,m_date,($G$2+12),m_active,1,m_start,"&lt;"&amp;1140,m_end,"&gt;"&amp;1080)&gt;1,"충돌",HYPERLINK("#'관리자_MASTER'!D"&amp;_xlfn.MAXIFS(m_row,m_teacher,AB$4,m_date,($G$2+12),m_active,1,m_start,"&lt;"&amp;1140,m_end,"&gt;"&amp;1080),INDEX(m_label,_xlfn.MAXIFS(m_row,m_teacher,AB$4,m_date,($G$2+12),m_active,1,m_start,"&lt;"&amp;1140,m_end,"&gt;"&amp;1080))))))</f>
        <v/>
      </c>
      <c r="AC69" s="90"/>
      <c r="AD69" s="79" t="s">
        <v>100</v>
      </c>
      <c r="AE69" s="88" t="str">
        <f aca="false">IF(OR(AE$4="",MONTH(($G$2+19))&lt;&gt;MONTH($C$2)),"",IF(COUNTIFS(m_teacher,AE$4,m_date,($G$2+19),m_active,1,m_start,"&lt;"&amp;1140,m_end,"&gt;"&amp;1080)=0,"",IF(COUNTIFS(m_teacher,AE$4,m_date,($G$2+19),m_active,1,m_start,"&lt;"&amp;1140,m_end,"&gt;"&amp;1080)&gt;1,"충돌",HYPERLINK("#'관리자_MASTER'!D"&amp;_xlfn.MAXIFS(m_row,m_teacher,AE$4,m_date,($G$2+19),m_active,1,m_start,"&lt;"&amp;1140,m_end,"&gt;"&amp;1080),INDEX(m_label,_xlfn.MAXIFS(m_row,m_teacher,AE$4,m_date,($G$2+19),m_active,1,m_start,"&lt;"&amp;1140,m_end,"&gt;"&amp;1080))))))</f>
        <v/>
      </c>
      <c r="AF69" s="88" t="str">
        <f aca="false">IF(OR(AF$4="",MONTH(($G$2+19))&lt;&gt;MONTH($C$2)),"",IF(COUNTIFS(m_teacher,AF$4,m_date,($G$2+19),m_active,1,m_start,"&lt;"&amp;1140,m_end,"&gt;"&amp;1080)=0,"",IF(COUNTIFS(m_teacher,AF$4,m_date,($G$2+19),m_active,1,m_start,"&lt;"&amp;1140,m_end,"&gt;"&amp;1080)&gt;1,"충돌",HYPERLINK("#'관리자_MASTER'!D"&amp;_xlfn.MAXIFS(m_row,m_teacher,AF$4,m_date,($G$2+19),m_active,1,m_start,"&lt;"&amp;1140,m_end,"&gt;"&amp;1080),INDEX(m_label,_xlfn.MAXIFS(m_row,m_teacher,AF$4,m_date,($G$2+19),m_active,1,m_start,"&lt;"&amp;1140,m_end,"&gt;"&amp;1080))))))</f>
        <v/>
      </c>
      <c r="AG69" s="88" t="str">
        <f aca="false">IF(OR(AG$4="",MONTH(($G$2+19))&lt;&gt;MONTH($C$2)),"",IF(COUNTIFS(m_teacher,AG$4,m_date,($G$2+19),m_active,1,m_start,"&lt;"&amp;1140,m_end,"&gt;"&amp;1080)=0,"",IF(COUNTIFS(m_teacher,AG$4,m_date,($G$2+19),m_active,1,m_start,"&lt;"&amp;1140,m_end,"&gt;"&amp;1080)&gt;1,"충돌",HYPERLINK("#'관리자_MASTER'!D"&amp;_xlfn.MAXIFS(m_row,m_teacher,AG$4,m_date,($G$2+19),m_active,1,m_start,"&lt;"&amp;1140,m_end,"&gt;"&amp;1080),INDEX(m_label,_xlfn.MAXIFS(m_row,m_teacher,AG$4,m_date,($G$2+19),m_active,1,m_start,"&lt;"&amp;1140,m_end,"&gt;"&amp;1080))))))</f>
        <v/>
      </c>
      <c r="AH69" s="88" t="str">
        <f aca="false">IF(OR(AH$4="",MONTH(($G$2+19))&lt;&gt;MONTH($C$2)),"",IF(COUNTIFS(m_teacher,AH$4,m_date,($G$2+19),m_active,1,m_start,"&lt;"&amp;1140,m_end,"&gt;"&amp;1080)=0,"",IF(COUNTIFS(m_teacher,AH$4,m_date,($G$2+19),m_active,1,m_start,"&lt;"&amp;1140,m_end,"&gt;"&amp;1080)&gt;1,"충돌",HYPERLINK("#'관리자_MASTER'!D"&amp;_xlfn.MAXIFS(m_row,m_teacher,AH$4,m_date,($G$2+19),m_active,1,m_start,"&lt;"&amp;1140,m_end,"&gt;"&amp;1080),INDEX(m_label,_xlfn.MAXIFS(m_row,m_teacher,AH$4,m_date,($G$2+19),m_active,1,m_start,"&lt;"&amp;1140,m_end,"&gt;"&amp;1080))))))</f>
        <v/>
      </c>
      <c r="AI69" s="88" t="str">
        <f aca="false">IF(OR(AI$4="",MONTH(($G$2+19))&lt;&gt;MONTH($C$2)),"",IF(COUNTIFS(m_teacher,AI$4,m_date,($G$2+19),m_active,1,m_start,"&lt;"&amp;1140,m_end,"&gt;"&amp;1080)=0,"",IF(COUNTIFS(m_teacher,AI$4,m_date,($G$2+19),m_active,1,m_start,"&lt;"&amp;1140,m_end,"&gt;"&amp;1080)&gt;1,"충돌",HYPERLINK("#'관리자_MASTER'!D"&amp;_xlfn.MAXIFS(m_row,m_teacher,AI$4,m_date,($G$2+19),m_active,1,m_start,"&lt;"&amp;1140,m_end,"&gt;"&amp;1080),INDEX(m_label,_xlfn.MAXIFS(m_row,m_teacher,AI$4,m_date,($G$2+19),m_active,1,m_start,"&lt;"&amp;1140,m_end,"&gt;"&amp;1080))))))</f>
        <v/>
      </c>
      <c r="AJ69" s="88" t="str">
        <f aca="false">IF(OR(AJ$4="",MONTH(($G$2+19))&lt;&gt;MONTH($C$2)),"",IF(COUNTIFS(m_teacher,AJ$4,m_date,($G$2+19),m_active,1,m_start,"&lt;"&amp;1140,m_end,"&gt;"&amp;1080)=0,"",IF(COUNTIFS(m_teacher,AJ$4,m_date,($G$2+19),m_active,1,m_start,"&lt;"&amp;1140,m_end,"&gt;"&amp;1080)&gt;1,"충돌",HYPERLINK("#'관리자_MASTER'!D"&amp;_xlfn.MAXIFS(m_row,m_teacher,AJ$4,m_date,($G$2+19),m_active,1,m_start,"&lt;"&amp;1140,m_end,"&gt;"&amp;1080),INDEX(m_label,_xlfn.MAXIFS(m_row,m_teacher,AJ$4,m_date,($G$2+19),m_active,1,m_start,"&lt;"&amp;1140,m_end,"&gt;"&amp;1080))))))</f>
        <v/>
      </c>
      <c r="AK69" s="88" t="str">
        <f aca="false">IF(OR(AK$4="",MONTH(($G$2+19))&lt;&gt;MONTH($C$2)),"",IF(COUNTIFS(m_teacher,AK$4,m_date,($G$2+19),m_active,1,m_start,"&lt;"&amp;1140,m_end,"&gt;"&amp;1080)=0,"",IF(COUNTIFS(m_teacher,AK$4,m_date,($G$2+19),m_active,1,m_start,"&lt;"&amp;1140,m_end,"&gt;"&amp;1080)&gt;1,"충돌",HYPERLINK("#'관리자_MASTER'!D"&amp;_xlfn.MAXIFS(m_row,m_teacher,AK$4,m_date,($G$2+19),m_active,1,m_start,"&lt;"&amp;1140,m_end,"&gt;"&amp;1080),INDEX(m_label,_xlfn.MAXIFS(m_row,m_teacher,AK$4,m_date,($G$2+19),m_active,1,m_start,"&lt;"&amp;1140,m_end,"&gt;"&amp;1080))))))</f>
        <v/>
      </c>
      <c r="AL69" s="88" t="str">
        <f aca="false">IF(OR(AL$4="",MONTH(($G$2+19))&lt;&gt;MONTH($C$2)),"",IF(COUNTIFS(m_teacher,AL$4,m_date,($G$2+19),m_active,1,m_start,"&lt;"&amp;1140,m_end,"&gt;"&amp;1080)=0,"",IF(COUNTIFS(m_teacher,AL$4,m_date,($G$2+19),m_active,1,m_start,"&lt;"&amp;1140,m_end,"&gt;"&amp;1080)&gt;1,"충돌",HYPERLINK("#'관리자_MASTER'!D"&amp;_xlfn.MAXIFS(m_row,m_teacher,AL$4,m_date,($G$2+19),m_active,1,m_start,"&lt;"&amp;1140,m_end,"&gt;"&amp;1080),INDEX(m_label,_xlfn.MAXIFS(m_row,m_teacher,AL$4,m_date,($G$2+19),m_active,1,m_start,"&lt;"&amp;1140,m_end,"&gt;"&amp;1080))))))</f>
        <v/>
      </c>
      <c r="AM69" s="88" t="str">
        <f aca="false">IF(OR(AM$4="",MONTH(($G$2+19))&lt;&gt;MONTH($C$2)),"",IF(COUNTIFS(m_teacher,AM$4,m_date,($G$2+19),m_active,1,m_start,"&lt;"&amp;1140,m_end,"&gt;"&amp;1080)=0,"",IF(COUNTIFS(m_teacher,AM$4,m_date,($G$2+19),m_active,1,m_start,"&lt;"&amp;1140,m_end,"&gt;"&amp;1080)&gt;1,"충돌",HYPERLINK("#'관리자_MASTER'!D"&amp;_xlfn.MAXIFS(m_row,m_teacher,AM$4,m_date,($G$2+19),m_active,1,m_start,"&lt;"&amp;1140,m_end,"&gt;"&amp;1080),INDEX(m_label,_xlfn.MAXIFS(m_row,m_teacher,AM$4,m_date,($G$2+19),m_active,1,m_start,"&lt;"&amp;1140,m_end,"&gt;"&amp;1080))))))</f>
        <v/>
      </c>
      <c r="AN69" s="88" t="str">
        <f aca="false">IF(OR(AN$4="",MONTH(($G$2+19))&lt;&gt;MONTH($C$2)),"",IF(COUNTIFS(m_teacher,AN$4,m_date,($G$2+19),m_active,1,m_start,"&lt;"&amp;1140,m_end,"&gt;"&amp;1080)=0,"",IF(COUNTIFS(m_teacher,AN$4,m_date,($G$2+19),m_active,1,m_start,"&lt;"&amp;1140,m_end,"&gt;"&amp;1080)&gt;1,"충돌",HYPERLINK("#'관리자_MASTER'!D"&amp;_xlfn.MAXIFS(m_row,m_teacher,AN$4,m_date,($G$2+19),m_active,1,m_start,"&lt;"&amp;1140,m_end,"&gt;"&amp;1080),INDEX(m_label,_xlfn.MAXIFS(m_row,m_teacher,AN$4,m_date,($G$2+19),m_active,1,m_start,"&lt;"&amp;1140,m_end,"&gt;"&amp;1080))))))</f>
        <v/>
      </c>
      <c r="AO69" s="88" t="str">
        <f aca="false">IF(OR(AO$4="",MONTH(($G$2+19))&lt;&gt;MONTH($C$2)),"",IF(COUNTIFS(m_teacher,AO$4,m_date,($G$2+19),m_active,1,m_start,"&lt;"&amp;1140,m_end,"&gt;"&amp;1080)=0,"",IF(COUNTIFS(m_teacher,AO$4,m_date,($G$2+19),m_active,1,m_start,"&lt;"&amp;1140,m_end,"&gt;"&amp;1080)&gt;1,"충돌",HYPERLINK("#'관리자_MASTER'!D"&amp;_xlfn.MAXIFS(m_row,m_teacher,AO$4,m_date,($G$2+19),m_active,1,m_start,"&lt;"&amp;1140,m_end,"&gt;"&amp;1080),INDEX(m_label,_xlfn.MAXIFS(m_row,m_teacher,AO$4,m_date,($G$2+19),m_active,1,m_start,"&lt;"&amp;1140,m_end,"&gt;"&amp;1080))))))</f>
        <v/>
      </c>
      <c r="AP69" s="88" t="str">
        <f aca="false">IF(OR(AP$4="",MONTH(($G$2+19))&lt;&gt;MONTH($C$2)),"",IF(COUNTIFS(m_teacher,AP$4,m_date,($G$2+19),m_active,1,m_start,"&lt;"&amp;1140,m_end,"&gt;"&amp;1080)=0,"",IF(COUNTIFS(m_teacher,AP$4,m_date,($G$2+19),m_active,1,m_start,"&lt;"&amp;1140,m_end,"&gt;"&amp;1080)&gt;1,"충돌",HYPERLINK("#'관리자_MASTER'!D"&amp;_xlfn.MAXIFS(m_row,m_teacher,AP$4,m_date,($G$2+19),m_active,1,m_start,"&lt;"&amp;1140,m_end,"&gt;"&amp;1080),INDEX(m_label,_xlfn.MAXIFS(m_row,m_teacher,AP$4,m_date,($G$2+19),m_active,1,m_start,"&lt;"&amp;1140,m_end,"&gt;"&amp;1080))))))</f>
        <v/>
      </c>
      <c r="AQ69" s="90"/>
      <c r="AR69" s="79" t="s">
        <v>100</v>
      </c>
      <c r="AS69" s="88" t="str">
        <f aca="false">IF(OR(AS$4="",MONTH(($G$2+26))&lt;&gt;MONTH($C$2)),"",IF(COUNTIFS(m_teacher,AS$4,m_date,($G$2+26),m_active,1,m_start,"&lt;"&amp;1140,m_end,"&gt;"&amp;1080)=0,"",IF(COUNTIFS(m_teacher,AS$4,m_date,($G$2+26),m_active,1,m_start,"&lt;"&amp;1140,m_end,"&gt;"&amp;1080)&gt;1,"충돌",HYPERLINK("#'관리자_MASTER'!D"&amp;_xlfn.MAXIFS(m_row,m_teacher,AS$4,m_date,($G$2+26),m_active,1,m_start,"&lt;"&amp;1140,m_end,"&gt;"&amp;1080),INDEX(m_label,_xlfn.MAXIFS(m_row,m_teacher,AS$4,m_date,($G$2+26),m_active,1,m_start,"&lt;"&amp;1140,m_end,"&gt;"&amp;1080))))))</f>
        <v/>
      </c>
      <c r="AT69" s="88" t="str">
        <f aca="false">IF(OR(AT$4="",MONTH(($G$2+26))&lt;&gt;MONTH($C$2)),"",IF(COUNTIFS(m_teacher,AT$4,m_date,($G$2+26),m_active,1,m_start,"&lt;"&amp;1140,m_end,"&gt;"&amp;1080)=0,"",IF(COUNTIFS(m_teacher,AT$4,m_date,($G$2+26),m_active,1,m_start,"&lt;"&amp;1140,m_end,"&gt;"&amp;1080)&gt;1,"충돌",HYPERLINK("#'관리자_MASTER'!D"&amp;_xlfn.MAXIFS(m_row,m_teacher,AT$4,m_date,($G$2+26),m_active,1,m_start,"&lt;"&amp;1140,m_end,"&gt;"&amp;1080),INDEX(m_label,_xlfn.MAXIFS(m_row,m_teacher,AT$4,m_date,($G$2+26),m_active,1,m_start,"&lt;"&amp;1140,m_end,"&gt;"&amp;1080))))))</f>
        <v/>
      </c>
      <c r="AU69" s="88" t="str">
        <f aca="false">IF(OR(AU$4="",MONTH(($G$2+26))&lt;&gt;MONTH($C$2)),"",IF(COUNTIFS(m_teacher,AU$4,m_date,($G$2+26),m_active,1,m_start,"&lt;"&amp;1140,m_end,"&gt;"&amp;1080)=0,"",IF(COUNTIFS(m_teacher,AU$4,m_date,($G$2+26),m_active,1,m_start,"&lt;"&amp;1140,m_end,"&gt;"&amp;1080)&gt;1,"충돌",HYPERLINK("#'관리자_MASTER'!D"&amp;_xlfn.MAXIFS(m_row,m_teacher,AU$4,m_date,($G$2+26),m_active,1,m_start,"&lt;"&amp;1140,m_end,"&gt;"&amp;1080),INDEX(m_label,_xlfn.MAXIFS(m_row,m_teacher,AU$4,m_date,($G$2+26),m_active,1,m_start,"&lt;"&amp;1140,m_end,"&gt;"&amp;1080))))))</f>
        <v/>
      </c>
      <c r="AV69" s="88" t="str">
        <f aca="false">IF(OR(AV$4="",MONTH(($G$2+26))&lt;&gt;MONTH($C$2)),"",IF(COUNTIFS(m_teacher,AV$4,m_date,($G$2+26),m_active,1,m_start,"&lt;"&amp;1140,m_end,"&gt;"&amp;1080)=0,"",IF(COUNTIFS(m_teacher,AV$4,m_date,($G$2+26),m_active,1,m_start,"&lt;"&amp;1140,m_end,"&gt;"&amp;1080)&gt;1,"충돌",HYPERLINK("#'관리자_MASTER'!D"&amp;_xlfn.MAXIFS(m_row,m_teacher,AV$4,m_date,($G$2+26),m_active,1,m_start,"&lt;"&amp;1140,m_end,"&gt;"&amp;1080),INDEX(m_label,_xlfn.MAXIFS(m_row,m_teacher,AV$4,m_date,($G$2+26),m_active,1,m_start,"&lt;"&amp;1140,m_end,"&gt;"&amp;1080))))))</f>
        <v/>
      </c>
      <c r="AW69" s="88" t="str">
        <f aca="false">IF(OR(AW$4="",MONTH(($G$2+26))&lt;&gt;MONTH($C$2)),"",IF(COUNTIFS(m_teacher,AW$4,m_date,($G$2+26),m_active,1,m_start,"&lt;"&amp;1140,m_end,"&gt;"&amp;1080)=0,"",IF(COUNTIFS(m_teacher,AW$4,m_date,($G$2+26),m_active,1,m_start,"&lt;"&amp;1140,m_end,"&gt;"&amp;1080)&gt;1,"충돌",HYPERLINK("#'관리자_MASTER'!D"&amp;_xlfn.MAXIFS(m_row,m_teacher,AW$4,m_date,($G$2+26),m_active,1,m_start,"&lt;"&amp;1140,m_end,"&gt;"&amp;1080),INDEX(m_label,_xlfn.MAXIFS(m_row,m_teacher,AW$4,m_date,($G$2+26),m_active,1,m_start,"&lt;"&amp;1140,m_end,"&gt;"&amp;1080))))))</f>
        <v/>
      </c>
      <c r="AX69" s="88" t="str">
        <f aca="false">IF(OR(AX$4="",MONTH(($G$2+26))&lt;&gt;MONTH($C$2)),"",IF(COUNTIFS(m_teacher,AX$4,m_date,($G$2+26),m_active,1,m_start,"&lt;"&amp;1140,m_end,"&gt;"&amp;1080)=0,"",IF(COUNTIFS(m_teacher,AX$4,m_date,($G$2+26),m_active,1,m_start,"&lt;"&amp;1140,m_end,"&gt;"&amp;1080)&gt;1,"충돌",HYPERLINK("#'관리자_MASTER'!D"&amp;_xlfn.MAXIFS(m_row,m_teacher,AX$4,m_date,($G$2+26),m_active,1,m_start,"&lt;"&amp;1140,m_end,"&gt;"&amp;1080),INDEX(m_label,_xlfn.MAXIFS(m_row,m_teacher,AX$4,m_date,($G$2+26),m_active,1,m_start,"&lt;"&amp;1140,m_end,"&gt;"&amp;1080))))))</f>
        <v/>
      </c>
      <c r="AY69" s="88" t="str">
        <f aca="false">IF(OR(AY$4="",MONTH(($G$2+26))&lt;&gt;MONTH($C$2)),"",IF(COUNTIFS(m_teacher,AY$4,m_date,($G$2+26),m_active,1,m_start,"&lt;"&amp;1140,m_end,"&gt;"&amp;1080)=0,"",IF(COUNTIFS(m_teacher,AY$4,m_date,($G$2+26),m_active,1,m_start,"&lt;"&amp;1140,m_end,"&gt;"&amp;1080)&gt;1,"충돌",HYPERLINK("#'관리자_MASTER'!D"&amp;_xlfn.MAXIFS(m_row,m_teacher,AY$4,m_date,($G$2+26),m_active,1,m_start,"&lt;"&amp;1140,m_end,"&gt;"&amp;1080),INDEX(m_label,_xlfn.MAXIFS(m_row,m_teacher,AY$4,m_date,($G$2+26),m_active,1,m_start,"&lt;"&amp;1140,m_end,"&gt;"&amp;1080))))))</f>
        <v/>
      </c>
      <c r="AZ69" s="88" t="str">
        <f aca="false">IF(OR(AZ$4="",MONTH(($G$2+26))&lt;&gt;MONTH($C$2)),"",IF(COUNTIFS(m_teacher,AZ$4,m_date,($G$2+26),m_active,1,m_start,"&lt;"&amp;1140,m_end,"&gt;"&amp;1080)=0,"",IF(COUNTIFS(m_teacher,AZ$4,m_date,($G$2+26),m_active,1,m_start,"&lt;"&amp;1140,m_end,"&gt;"&amp;1080)&gt;1,"충돌",HYPERLINK("#'관리자_MASTER'!D"&amp;_xlfn.MAXIFS(m_row,m_teacher,AZ$4,m_date,($G$2+26),m_active,1,m_start,"&lt;"&amp;1140,m_end,"&gt;"&amp;1080),INDEX(m_label,_xlfn.MAXIFS(m_row,m_teacher,AZ$4,m_date,($G$2+26),m_active,1,m_start,"&lt;"&amp;1140,m_end,"&gt;"&amp;1080))))))</f>
        <v/>
      </c>
      <c r="BA69" s="88" t="str">
        <f aca="false">IF(OR(BA$4="",MONTH(($G$2+26))&lt;&gt;MONTH($C$2)),"",IF(COUNTIFS(m_teacher,BA$4,m_date,($G$2+26),m_active,1,m_start,"&lt;"&amp;1140,m_end,"&gt;"&amp;1080)=0,"",IF(COUNTIFS(m_teacher,BA$4,m_date,($G$2+26),m_active,1,m_start,"&lt;"&amp;1140,m_end,"&gt;"&amp;1080)&gt;1,"충돌",HYPERLINK("#'관리자_MASTER'!D"&amp;_xlfn.MAXIFS(m_row,m_teacher,BA$4,m_date,($G$2+26),m_active,1,m_start,"&lt;"&amp;1140,m_end,"&gt;"&amp;1080),INDEX(m_label,_xlfn.MAXIFS(m_row,m_teacher,BA$4,m_date,($G$2+26),m_active,1,m_start,"&lt;"&amp;1140,m_end,"&gt;"&amp;1080))))))</f>
        <v/>
      </c>
      <c r="BB69" s="88" t="str">
        <f aca="false">IF(OR(BB$4="",MONTH(($G$2+26))&lt;&gt;MONTH($C$2)),"",IF(COUNTIFS(m_teacher,BB$4,m_date,($G$2+26),m_active,1,m_start,"&lt;"&amp;1140,m_end,"&gt;"&amp;1080)=0,"",IF(COUNTIFS(m_teacher,BB$4,m_date,($G$2+26),m_active,1,m_start,"&lt;"&amp;1140,m_end,"&gt;"&amp;1080)&gt;1,"충돌",HYPERLINK("#'관리자_MASTER'!D"&amp;_xlfn.MAXIFS(m_row,m_teacher,BB$4,m_date,($G$2+26),m_active,1,m_start,"&lt;"&amp;1140,m_end,"&gt;"&amp;1080),INDEX(m_label,_xlfn.MAXIFS(m_row,m_teacher,BB$4,m_date,($G$2+26),m_active,1,m_start,"&lt;"&amp;1140,m_end,"&gt;"&amp;1080))))))</f>
        <v/>
      </c>
      <c r="BC69" s="88" t="str">
        <f aca="false">IF(OR(BC$4="",MONTH(($G$2+26))&lt;&gt;MONTH($C$2)),"",IF(COUNTIFS(m_teacher,BC$4,m_date,($G$2+26),m_active,1,m_start,"&lt;"&amp;1140,m_end,"&gt;"&amp;1080)=0,"",IF(COUNTIFS(m_teacher,BC$4,m_date,($G$2+26),m_active,1,m_start,"&lt;"&amp;1140,m_end,"&gt;"&amp;1080)&gt;1,"충돌",HYPERLINK("#'관리자_MASTER'!D"&amp;_xlfn.MAXIFS(m_row,m_teacher,BC$4,m_date,($G$2+26),m_active,1,m_start,"&lt;"&amp;1140,m_end,"&gt;"&amp;1080),INDEX(m_label,_xlfn.MAXIFS(m_row,m_teacher,BC$4,m_date,($G$2+26),m_active,1,m_start,"&lt;"&amp;1140,m_end,"&gt;"&amp;1080))))))</f>
        <v/>
      </c>
      <c r="BD69" s="88" t="str">
        <f aca="false">IF(OR(BD$4="",MONTH(($G$2+26))&lt;&gt;MONTH($C$2)),"",IF(COUNTIFS(m_teacher,BD$4,m_date,($G$2+26),m_active,1,m_start,"&lt;"&amp;1140,m_end,"&gt;"&amp;1080)=0,"",IF(COUNTIFS(m_teacher,BD$4,m_date,($G$2+26),m_active,1,m_start,"&lt;"&amp;1140,m_end,"&gt;"&amp;1080)&gt;1,"충돌",HYPERLINK("#'관리자_MASTER'!D"&amp;_xlfn.MAXIFS(m_row,m_teacher,BD$4,m_date,($G$2+26),m_active,1,m_start,"&lt;"&amp;1140,m_end,"&gt;"&amp;1080),INDEX(m_label,_xlfn.MAXIFS(m_row,m_teacher,BD$4,m_date,($G$2+26),m_active,1,m_start,"&lt;"&amp;1140,m_end,"&gt;"&amp;1080))))))</f>
        <v/>
      </c>
      <c r="BE69" s="91"/>
      <c r="BF69" s="76" t="s">
        <v>100</v>
      </c>
      <c r="BG69" s="81" t="str">
        <f aca="false">IF(OR(BG$4="",MONTH(($G$2+33))&lt;&gt;MONTH($C$2)),"",IF(COUNTIFS(m_teacher,BG$4,m_date,($G$2+33),m_active,1,m_start,"&lt;"&amp;1140,m_end,"&gt;"&amp;1080)=0,"",IF(COUNTIFS(m_teacher,BG$4,m_date,($G$2+33),m_active,1,m_start,"&lt;"&amp;1140,m_end,"&gt;"&amp;1080)&gt;1,"충돌",HYPERLINK("#'관리자_MASTER'!D"&amp;_xlfn.MAXIFS(m_row,m_teacher,BG$4,m_date,($G$2+33),m_active,1,m_start,"&lt;"&amp;1140,m_end,"&gt;"&amp;1080),INDEX(m_label,_xlfn.MAXIFS(m_row,m_teacher,BG$4,m_date,($G$2+33),m_active,1,m_start,"&lt;"&amp;1140,m_end,"&gt;"&amp;1080))))))</f>
        <v/>
      </c>
      <c r="BH69" s="81" t="str">
        <f aca="false">IF(OR(BH$4="",MONTH(($G$2+33))&lt;&gt;MONTH($C$2)),"",IF(COUNTIFS(m_teacher,BH$4,m_date,($G$2+33),m_active,1,m_start,"&lt;"&amp;1140,m_end,"&gt;"&amp;1080)=0,"",IF(COUNTIFS(m_teacher,BH$4,m_date,($G$2+33),m_active,1,m_start,"&lt;"&amp;1140,m_end,"&gt;"&amp;1080)&gt;1,"충돌",HYPERLINK("#'관리자_MASTER'!D"&amp;_xlfn.MAXIFS(m_row,m_teacher,BH$4,m_date,($G$2+33),m_active,1,m_start,"&lt;"&amp;1140,m_end,"&gt;"&amp;1080),INDEX(m_label,_xlfn.MAXIFS(m_row,m_teacher,BH$4,m_date,($G$2+33),m_active,1,m_start,"&lt;"&amp;1140,m_end,"&gt;"&amp;1080))))))</f>
        <v/>
      </c>
      <c r="BI69" s="81" t="str">
        <f aca="false">IF(OR(BI$4="",MONTH(($G$2+33))&lt;&gt;MONTH($C$2)),"",IF(COUNTIFS(m_teacher,BI$4,m_date,($G$2+33),m_active,1,m_start,"&lt;"&amp;1140,m_end,"&gt;"&amp;1080)=0,"",IF(COUNTIFS(m_teacher,BI$4,m_date,($G$2+33),m_active,1,m_start,"&lt;"&amp;1140,m_end,"&gt;"&amp;1080)&gt;1,"충돌",HYPERLINK("#'관리자_MASTER'!D"&amp;_xlfn.MAXIFS(m_row,m_teacher,BI$4,m_date,($G$2+33),m_active,1,m_start,"&lt;"&amp;1140,m_end,"&gt;"&amp;1080),INDEX(m_label,_xlfn.MAXIFS(m_row,m_teacher,BI$4,m_date,($G$2+33),m_active,1,m_start,"&lt;"&amp;1140,m_end,"&gt;"&amp;1080))))))</f>
        <v/>
      </c>
      <c r="BJ69" s="81" t="str">
        <f aca="false">IF(OR(BJ$4="",MONTH(($G$2+33))&lt;&gt;MONTH($C$2)),"",IF(COUNTIFS(m_teacher,BJ$4,m_date,($G$2+33),m_active,1,m_start,"&lt;"&amp;1140,m_end,"&gt;"&amp;1080)=0,"",IF(COUNTIFS(m_teacher,BJ$4,m_date,($G$2+33),m_active,1,m_start,"&lt;"&amp;1140,m_end,"&gt;"&amp;1080)&gt;1,"충돌",HYPERLINK("#'관리자_MASTER'!D"&amp;_xlfn.MAXIFS(m_row,m_teacher,BJ$4,m_date,($G$2+33),m_active,1,m_start,"&lt;"&amp;1140,m_end,"&gt;"&amp;1080),INDEX(m_label,_xlfn.MAXIFS(m_row,m_teacher,BJ$4,m_date,($G$2+33),m_active,1,m_start,"&lt;"&amp;1140,m_end,"&gt;"&amp;1080))))))</f>
        <v/>
      </c>
      <c r="BK69" s="81" t="str">
        <f aca="false">IF(OR(BK$4="",MONTH(($G$2+33))&lt;&gt;MONTH($C$2)),"",IF(COUNTIFS(m_teacher,BK$4,m_date,($G$2+33),m_active,1,m_start,"&lt;"&amp;1140,m_end,"&gt;"&amp;1080)=0,"",IF(COUNTIFS(m_teacher,BK$4,m_date,($G$2+33),m_active,1,m_start,"&lt;"&amp;1140,m_end,"&gt;"&amp;1080)&gt;1,"충돌",HYPERLINK("#'관리자_MASTER'!D"&amp;_xlfn.MAXIFS(m_row,m_teacher,BK$4,m_date,($G$2+33),m_active,1,m_start,"&lt;"&amp;1140,m_end,"&gt;"&amp;1080),INDEX(m_label,_xlfn.MAXIFS(m_row,m_teacher,BK$4,m_date,($G$2+33),m_active,1,m_start,"&lt;"&amp;1140,m_end,"&gt;"&amp;1080))))))</f>
        <v/>
      </c>
      <c r="BL69" s="81" t="str">
        <f aca="false">IF(OR(BL$4="",MONTH(($G$2+33))&lt;&gt;MONTH($C$2)),"",IF(COUNTIFS(m_teacher,BL$4,m_date,($G$2+33),m_active,1,m_start,"&lt;"&amp;1140,m_end,"&gt;"&amp;1080)=0,"",IF(COUNTIFS(m_teacher,BL$4,m_date,($G$2+33),m_active,1,m_start,"&lt;"&amp;1140,m_end,"&gt;"&amp;1080)&gt;1,"충돌",HYPERLINK("#'관리자_MASTER'!D"&amp;_xlfn.MAXIFS(m_row,m_teacher,BL$4,m_date,($G$2+33),m_active,1,m_start,"&lt;"&amp;1140,m_end,"&gt;"&amp;1080),INDEX(m_label,_xlfn.MAXIFS(m_row,m_teacher,BL$4,m_date,($G$2+33),m_active,1,m_start,"&lt;"&amp;1140,m_end,"&gt;"&amp;1080))))))</f>
        <v/>
      </c>
      <c r="BM69" s="81" t="str">
        <f aca="false">IF(OR(BM$4="",MONTH(($G$2+33))&lt;&gt;MONTH($C$2)),"",IF(COUNTIFS(m_teacher,BM$4,m_date,($G$2+33),m_active,1,m_start,"&lt;"&amp;1140,m_end,"&gt;"&amp;1080)=0,"",IF(COUNTIFS(m_teacher,BM$4,m_date,($G$2+33),m_active,1,m_start,"&lt;"&amp;1140,m_end,"&gt;"&amp;1080)&gt;1,"충돌",HYPERLINK("#'관리자_MASTER'!D"&amp;_xlfn.MAXIFS(m_row,m_teacher,BM$4,m_date,($G$2+33),m_active,1,m_start,"&lt;"&amp;1140,m_end,"&gt;"&amp;1080),INDEX(m_label,_xlfn.MAXIFS(m_row,m_teacher,BM$4,m_date,($G$2+33),m_active,1,m_start,"&lt;"&amp;1140,m_end,"&gt;"&amp;1080))))))</f>
        <v/>
      </c>
      <c r="BN69" s="81" t="str">
        <f aca="false">IF(OR(BN$4="",MONTH(($G$2+33))&lt;&gt;MONTH($C$2)),"",IF(COUNTIFS(m_teacher,BN$4,m_date,($G$2+33),m_active,1,m_start,"&lt;"&amp;1140,m_end,"&gt;"&amp;1080)=0,"",IF(COUNTIFS(m_teacher,BN$4,m_date,($G$2+33),m_active,1,m_start,"&lt;"&amp;1140,m_end,"&gt;"&amp;1080)&gt;1,"충돌",HYPERLINK("#'관리자_MASTER'!D"&amp;_xlfn.MAXIFS(m_row,m_teacher,BN$4,m_date,($G$2+33),m_active,1,m_start,"&lt;"&amp;1140,m_end,"&gt;"&amp;1080),INDEX(m_label,_xlfn.MAXIFS(m_row,m_teacher,BN$4,m_date,($G$2+33),m_active,1,m_start,"&lt;"&amp;1140,m_end,"&gt;"&amp;1080))))))</f>
        <v/>
      </c>
      <c r="BO69" s="81" t="str">
        <f aca="false">IF(OR(BO$4="",MONTH(($G$2+33))&lt;&gt;MONTH($C$2)),"",IF(COUNTIFS(m_teacher,BO$4,m_date,($G$2+33),m_active,1,m_start,"&lt;"&amp;1140,m_end,"&gt;"&amp;1080)=0,"",IF(COUNTIFS(m_teacher,BO$4,m_date,($G$2+33),m_active,1,m_start,"&lt;"&amp;1140,m_end,"&gt;"&amp;1080)&gt;1,"충돌",HYPERLINK("#'관리자_MASTER'!D"&amp;_xlfn.MAXIFS(m_row,m_teacher,BO$4,m_date,($G$2+33),m_active,1,m_start,"&lt;"&amp;1140,m_end,"&gt;"&amp;1080),INDEX(m_label,_xlfn.MAXIFS(m_row,m_teacher,BO$4,m_date,($G$2+33),m_active,1,m_start,"&lt;"&amp;1140,m_end,"&gt;"&amp;1080))))))</f>
        <v/>
      </c>
      <c r="BP69" s="81" t="str">
        <f aca="false">IF(OR(BP$4="",MONTH(($G$2+33))&lt;&gt;MONTH($C$2)),"",IF(COUNTIFS(m_teacher,BP$4,m_date,($G$2+33),m_active,1,m_start,"&lt;"&amp;1140,m_end,"&gt;"&amp;1080)=0,"",IF(COUNTIFS(m_teacher,BP$4,m_date,($G$2+33),m_active,1,m_start,"&lt;"&amp;1140,m_end,"&gt;"&amp;1080)&gt;1,"충돌",HYPERLINK("#'관리자_MASTER'!D"&amp;_xlfn.MAXIFS(m_row,m_teacher,BP$4,m_date,($G$2+33),m_active,1,m_start,"&lt;"&amp;1140,m_end,"&gt;"&amp;1080),INDEX(m_label,_xlfn.MAXIFS(m_row,m_teacher,BP$4,m_date,($G$2+33),m_active,1,m_start,"&lt;"&amp;1140,m_end,"&gt;"&amp;1080))))))</f>
        <v/>
      </c>
      <c r="BQ69" s="81" t="str">
        <f aca="false">IF(OR(BQ$4="",MONTH(($G$2+33))&lt;&gt;MONTH($C$2)),"",IF(COUNTIFS(m_teacher,BQ$4,m_date,($G$2+33),m_active,1,m_start,"&lt;"&amp;1140,m_end,"&gt;"&amp;1080)=0,"",IF(COUNTIFS(m_teacher,BQ$4,m_date,($G$2+33),m_active,1,m_start,"&lt;"&amp;1140,m_end,"&gt;"&amp;1080)&gt;1,"충돌",HYPERLINK("#'관리자_MASTER'!D"&amp;_xlfn.MAXIFS(m_row,m_teacher,BQ$4,m_date,($G$2+33),m_active,1,m_start,"&lt;"&amp;1140,m_end,"&gt;"&amp;1080),INDEX(m_label,_xlfn.MAXIFS(m_row,m_teacher,BQ$4,m_date,($G$2+33),m_active,1,m_start,"&lt;"&amp;1140,m_end,"&gt;"&amp;1080))))))</f>
        <v/>
      </c>
      <c r="BR69" s="81" t="str">
        <f aca="false">IF(OR(BR$4="",MONTH(($G$2+33))&lt;&gt;MONTH($C$2)),"",IF(COUNTIFS(m_teacher,BR$4,m_date,($G$2+33),m_active,1,m_start,"&lt;"&amp;1140,m_end,"&gt;"&amp;1080)=0,"",IF(COUNTIFS(m_teacher,BR$4,m_date,($G$2+33),m_active,1,m_start,"&lt;"&amp;1140,m_end,"&gt;"&amp;1080)&gt;1,"충돌",HYPERLINK("#'관리자_MASTER'!D"&amp;_xlfn.MAXIFS(m_row,m_teacher,BR$4,m_date,($G$2+33),m_active,1,m_start,"&lt;"&amp;1140,m_end,"&gt;"&amp;1080),INDEX(m_label,_xlfn.MAXIFS(m_row,m_teacher,BR$4,m_date,($G$2+33),m_active,1,m_start,"&lt;"&amp;1140,m_end,"&gt;"&amp;1080))))))</f>
        <v/>
      </c>
    </row>
    <row r="70" customFormat="false" ht="19.5" hidden="false" customHeight="true" outlineLevel="0" collapsed="false">
      <c r="A70" s="90"/>
      <c r="B70" s="85" t="s">
        <v>101</v>
      </c>
      <c r="C70" s="89" t="str">
        <f aca="false">IF(OR(C$4="",MONTH(($G$2+5))&lt;&gt;MONTH($C$2)),"",IF(COUNTIFS(m_teacher,C$4,m_date,($G$2+5),m_active,1,m_start,"&lt;"&amp;1440,m_end,"&gt;"&amp;1140)=0,"",IF(COUNTIFS(m_teacher,C$4,m_date,($G$2+5),m_active,1,m_start,"&lt;"&amp;1440,m_end,"&gt;"&amp;1140)&gt;1,"충돌",HYPERLINK("#'관리자_MASTER'!D"&amp;_xlfn.MAXIFS(m_row,m_teacher,C$4,m_date,($G$2+5),m_active,1,m_start,"&lt;"&amp;1440,m_end,"&gt;"&amp;1140),INDEX(m_label,_xlfn.MAXIFS(m_row,m_teacher,C$4,m_date,($G$2+5),m_active,1,m_start,"&lt;"&amp;1440,m_end,"&gt;"&amp;1140))))))</f>
        <v/>
      </c>
      <c r="D70" s="89" t="str">
        <f aca="false">IF(OR(D$4="",MONTH(($G$2+5))&lt;&gt;MONTH($C$2)),"",IF(COUNTIFS(m_teacher,D$4,m_date,($G$2+5),m_active,1,m_start,"&lt;"&amp;1440,m_end,"&gt;"&amp;1140)=0,"",IF(COUNTIFS(m_teacher,D$4,m_date,($G$2+5),m_active,1,m_start,"&lt;"&amp;1440,m_end,"&gt;"&amp;1140)&gt;1,"충돌",HYPERLINK("#'관리자_MASTER'!D"&amp;_xlfn.MAXIFS(m_row,m_teacher,D$4,m_date,($G$2+5),m_active,1,m_start,"&lt;"&amp;1440,m_end,"&gt;"&amp;1140),INDEX(m_label,_xlfn.MAXIFS(m_row,m_teacher,D$4,m_date,($G$2+5),m_active,1,m_start,"&lt;"&amp;1440,m_end,"&gt;"&amp;1140))))))</f>
        <v/>
      </c>
      <c r="E70" s="89" t="str">
        <f aca="false">IF(OR(E$4="",MONTH(($G$2+5))&lt;&gt;MONTH($C$2)),"",IF(COUNTIFS(m_teacher,E$4,m_date,($G$2+5),m_active,1,m_start,"&lt;"&amp;1440,m_end,"&gt;"&amp;1140)=0,"",IF(COUNTIFS(m_teacher,E$4,m_date,($G$2+5),m_active,1,m_start,"&lt;"&amp;1440,m_end,"&gt;"&amp;1140)&gt;1,"충돌",HYPERLINK("#'관리자_MASTER'!D"&amp;_xlfn.MAXIFS(m_row,m_teacher,E$4,m_date,($G$2+5),m_active,1,m_start,"&lt;"&amp;1440,m_end,"&gt;"&amp;1140),INDEX(m_label,_xlfn.MAXIFS(m_row,m_teacher,E$4,m_date,($G$2+5),m_active,1,m_start,"&lt;"&amp;1440,m_end,"&gt;"&amp;1140))))))</f>
        <v/>
      </c>
      <c r="F70" s="89" t="str">
        <f aca="false">IF(OR(F$4="",MONTH(($G$2+5))&lt;&gt;MONTH($C$2)),"",IF(COUNTIFS(m_teacher,F$4,m_date,($G$2+5),m_active,1,m_start,"&lt;"&amp;1440,m_end,"&gt;"&amp;1140)=0,"",IF(COUNTIFS(m_teacher,F$4,m_date,($G$2+5),m_active,1,m_start,"&lt;"&amp;1440,m_end,"&gt;"&amp;1140)&gt;1,"충돌",HYPERLINK("#'관리자_MASTER'!D"&amp;_xlfn.MAXIFS(m_row,m_teacher,F$4,m_date,($G$2+5),m_active,1,m_start,"&lt;"&amp;1440,m_end,"&gt;"&amp;1140),INDEX(m_label,_xlfn.MAXIFS(m_row,m_teacher,F$4,m_date,($G$2+5),m_active,1,m_start,"&lt;"&amp;1440,m_end,"&gt;"&amp;1140))))))</f>
        <v/>
      </c>
      <c r="G70" s="89" t="str">
        <f aca="false">IF(OR(G$4="",MONTH(($G$2+5))&lt;&gt;MONTH($C$2)),"",IF(COUNTIFS(m_teacher,G$4,m_date,($G$2+5),m_active,1,m_start,"&lt;"&amp;1440,m_end,"&gt;"&amp;1140)=0,"",IF(COUNTIFS(m_teacher,G$4,m_date,($G$2+5),m_active,1,m_start,"&lt;"&amp;1440,m_end,"&gt;"&amp;1140)&gt;1,"충돌",HYPERLINK("#'관리자_MASTER'!D"&amp;_xlfn.MAXIFS(m_row,m_teacher,G$4,m_date,($G$2+5),m_active,1,m_start,"&lt;"&amp;1440,m_end,"&gt;"&amp;1140),INDEX(m_label,_xlfn.MAXIFS(m_row,m_teacher,G$4,m_date,($G$2+5),m_active,1,m_start,"&lt;"&amp;1440,m_end,"&gt;"&amp;1140))))))</f>
        <v/>
      </c>
      <c r="H70" s="89" t="str">
        <f aca="false">IF(OR(H$4="",MONTH(($G$2+5))&lt;&gt;MONTH($C$2)),"",IF(COUNTIFS(m_teacher,H$4,m_date,($G$2+5),m_active,1,m_start,"&lt;"&amp;1440,m_end,"&gt;"&amp;1140)=0,"",IF(COUNTIFS(m_teacher,H$4,m_date,($G$2+5),m_active,1,m_start,"&lt;"&amp;1440,m_end,"&gt;"&amp;1140)&gt;1,"충돌",HYPERLINK("#'관리자_MASTER'!D"&amp;_xlfn.MAXIFS(m_row,m_teacher,H$4,m_date,($G$2+5),m_active,1,m_start,"&lt;"&amp;1440,m_end,"&gt;"&amp;1140),INDEX(m_label,_xlfn.MAXIFS(m_row,m_teacher,H$4,m_date,($G$2+5),m_active,1,m_start,"&lt;"&amp;1440,m_end,"&gt;"&amp;1140))))))</f>
        <v/>
      </c>
      <c r="I70" s="89" t="str">
        <f aca="false">IF(OR(I$4="",MONTH(($G$2+5))&lt;&gt;MONTH($C$2)),"",IF(COUNTIFS(m_teacher,I$4,m_date,($G$2+5),m_active,1,m_start,"&lt;"&amp;1440,m_end,"&gt;"&amp;1140)=0,"",IF(COUNTIFS(m_teacher,I$4,m_date,($G$2+5),m_active,1,m_start,"&lt;"&amp;1440,m_end,"&gt;"&amp;1140)&gt;1,"충돌",HYPERLINK("#'관리자_MASTER'!D"&amp;_xlfn.MAXIFS(m_row,m_teacher,I$4,m_date,($G$2+5),m_active,1,m_start,"&lt;"&amp;1440,m_end,"&gt;"&amp;1140),INDEX(m_label,_xlfn.MAXIFS(m_row,m_teacher,I$4,m_date,($G$2+5),m_active,1,m_start,"&lt;"&amp;1440,m_end,"&gt;"&amp;1140))))))</f>
        <v/>
      </c>
      <c r="J70" s="89" t="str">
        <f aca="false">IF(OR(J$4="",MONTH(($G$2+5))&lt;&gt;MONTH($C$2)),"",IF(COUNTIFS(m_teacher,J$4,m_date,($G$2+5),m_active,1,m_start,"&lt;"&amp;1440,m_end,"&gt;"&amp;1140)=0,"",IF(COUNTIFS(m_teacher,J$4,m_date,($G$2+5),m_active,1,m_start,"&lt;"&amp;1440,m_end,"&gt;"&amp;1140)&gt;1,"충돌",HYPERLINK("#'관리자_MASTER'!D"&amp;_xlfn.MAXIFS(m_row,m_teacher,J$4,m_date,($G$2+5),m_active,1,m_start,"&lt;"&amp;1440,m_end,"&gt;"&amp;1140),INDEX(m_label,_xlfn.MAXIFS(m_row,m_teacher,J$4,m_date,($G$2+5),m_active,1,m_start,"&lt;"&amp;1440,m_end,"&gt;"&amp;1140))))))</f>
        <v/>
      </c>
      <c r="K70" s="89" t="str">
        <f aca="false">IF(OR(K$4="",MONTH(($G$2+5))&lt;&gt;MONTH($C$2)),"",IF(COUNTIFS(m_teacher,K$4,m_date,($G$2+5),m_active,1,m_start,"&lt;"&amp;1440,m_end,"&gt;"&amp;1140)=0,"",IF(COUNTIFS(m_teacher,K$4,m_date,($G$2+5),m_active,1,m_start,"&lt;"&amp;1440,m_end,"&gt;"&amp;1140)&gt;1,"충돌",HYPERLINK("#'관리자_MASTER'!D"&amp;_xlfn.MAXIFS(m_row,m_teacher,K$4,m_date,($G$2+5),m_active,1,m_start,"&lt;"&amp;1440,m_end,"&gt;"&amp;1140),INDEX(m_label,_xlfn.MAXIFS(m_row,m_teacher,K$4,m_date,($G$2+5),m_active,1,m_start,"&lt;"&amp;1440,m_end,"&gt;"&amp;1140))))))</f>
        <v/>
      </c>
      <c r="L70" s="89" t="str">
        <f aca="false">IF(OR(L$4="",MONTH(($G$2+5))&lt;&gt;MONTH($C$2)),"",IF(COUNTIFS(m_teacher,L$4,m_date,($G$2+5),m_active,1,m_start,"&lt;"&amp;1440,m_end,"&gt;"&amp;1140)=0,"",IF(COUNTIFS(m_teacher,L$4,m_date,($G$2+5),m_active,1,m_start,"&lt;"&amp;1440,m_end,"&gt;"&amp;1140)&gt;1,"충돌",HYPERLINK("#'관리자_MASTER'!D"&amp;_xlfn.MAXIFS(m_row,m_teacher,L$4,m_date,($G$2+5),m_active,1,m_start,"&lt;"&amp;1440,m_end,"&gt;"&amp;1140),INDEX(m_label,_xlfn.MAXIFS(m_row,m_teacher,L$4,m_date,($G$2+5),m_active,1,m_start,"&lt;"&amp;1440,m_end,"&gt;"&amp;1140))))))</f>
        <v/>
      </c>
      <c r="M70" s="89" t="str">
        <f aca="false">IF(OR(M$4="",MONTH(($G$2+5))&lt;&gt;MONTH($C$2)),"",IF(COUNTIFS(m_teacher,M$4,m_date,($G$2+5),m_active,1,m_start,"&lt;"&amp;1440,m_end,"&gt;"&amp;1140)=0,"",IF(COUNTIFS(m_teacher,M$4,m_date,($G$2+5),m_active,1,m_start,"&lt;"&amp;1440,m_end,"&gt;"&amp;1140)&gt;1,"충돌",HYPERLINK("#'관리자_MASTER'!D"&amp;_xlfn.MAXIFS(m_row,m_teacher,M$4,m_date,($G$2+5),m_active,1,m_start,"&lt;"&amp;1440,m_end,"&gt;"&amp;1140),INDEX(m_label,_xlfn.MAXIFS(m_row,m_teacher,M$4,m_date,($G$2+5),m_active,1,m_start,"&lt;"&amp;1440,m_end,"&gt;"&amp;1140))))))</f>
        <v/>
      </c>
      <c r="N70" s="89" t="str">
        <f aca="false">IF(OR(N$4="",MONTH(($G$2+5))&lt;&gt;MONTH($C$2)),"",IF(COUNTIFS(m_teacher,N$4,m_date,($G$2+5),m_active,1,m_start,"&lt;"&amp;1440,m_end,"&gt;"&amp;1140)=0,"",IF(COUNTIFS(m_teacher,N$4,m_date,($G$2+5),m_active,1,m_start,"&lt;"&amp;1440,m_end,"&gt;"&amp;1140)&gt;1,"충돌",HYPERLINK("#'관리자_MASTER'!D"&amp;_xlfn.MAXIFS(m_row,m_teacher,N$4,m_date,($G$2+5),m_active,1,m_start,"&lt;"&amp;1440,m_end,"&gt;"&amp;1140),INDEX(m_label,_xlfn.MAXIFS(m_row,m_teacher,N$4,m_date,($G$2+5),m_active,1,m_start,"&lt;"&amp;1440,m_end,"&gt;"&amp;1140))))))</f>
        <v/>
      </c>
      <c r="O70" s="90"/>
      <c r="P70" s="85" t="s">
        <v>101</v>
      </c>
      <c r="Q70" s="89" t="str">
        <f aca="false">IF(OR(Q$4="",MONTH(($G$2+12))&lt;&gt;MONTH($C$2)),"",IF(COUNTIFS(m_teacher,Q$4,m_date,($G$2+12),m_active,1,m_start,"&lt;"&amp;1440,m_end,"&gt;"&amp;1140)=0,"",IF(COUNTIFS(m_teacher,Q$4,m_date,($G$2+12),m_active,1,m_start,"&lt;"&amp;1440,m_end,"&gt;"&amp;1140)&gt;1,"충돌",HYPERLINK("#'관리자_MASTER'!D"&amp;_xlfn.MAXIFS(m_row,m_teacher,Q$4,m_date,($G$2+12),m_active,1,m_start,"&lt;"&amp;1440,m_end,"&gt;"&amp;1140),INDEX(m_label,_xlfn.MAXIFS(m_row,m_teacher,Q$4,m_date,($G$2+12),m_active,1,m_start,"&lt;"&amp;1440,m_end,"&gt;"&amp;1140))))))</f>
        <v/>
      </c>
      <c r="R70" s="89" t="str">
        <f aca="false">IF(OR(R$4="",MONTH(($G$2+12))&lt;&gt;MONTH($C$2)),"",IF(COUNTIFS(m_teacher,R$4,m_date,($G$2+12),m_active,1,m_start,"&lt;"&amp;1440,m_end,"&gt;"&amp;1140)=0,"",IF(COUNTIFS(m_teacher,R$4,m_date,($G$2+12),m_active,1,m_start,"&lt;"&amp;1440,m_end,"&gt;"&amp;1140)&gt;1,"충돌",HYPERLINK("#'관리자_MASTER'!D"&amp;_xlfn.MAXIFS(m_row,m_teacher,R$4,m_date,($G$2+12),m_active,1,m_start,"&lt;"&amp;1440,m_end,"&gt;"&amp;1140),INDEX(m_label,_xlfn.MAXIFS(m_row,m_teacher,R$4,m_date,($G$2+12),m_active,1,m_start,"&lt;"&amp;1440,m_end,"&gt;"&amp;1140))))))</f>
        <v/>
      </c>
      <c r="S70" s="89" t="str">
        <f aca="false">IF(OR(S$4="",MONTH(($G$2+12))&lt;&gt;MONTH($C$2)),"",IF(COUNTIFS(m_teacher,S$4,m_date,($G$2+12),m_active,1,m_start,"&lt;"&amp;1440,m_end,"&gt;"&amp;1140)=0,"",IF(COUNTIFS(m_teacher,S$4,m_date,($G$2+12),m_active,1,m_start,"&lt;"&amp;1440,m_end,"&gt;"&amp;1140)&gt;1,"충돌",HYPERLINK("#'관리자_MASTER'!D"&amp;_xlfn.MAXIFS(m_row,m_teacher,S$4,m_date,($G$2+12),m_active,1,m_start,"&lt;"&amp;1440,m_end,"&gt;"&amp;1140),INDEX(m_label,_xlfn.MAXIFS(m_row,m_teacher,S$4,m_date,($G$2+12),m_active,1,m_start,"&lt;"&amp;1440,m_end,"&gt;"&amp;1140))))))</f>
        <v/>
      </c>
      <c r="T70" s="89" t="str">
        <f aca="false">IF(OR(T$4="",MONTH(($G$2+12))&lt;&gt;MONTH($C$2)),"",IF(COUNTIFS(m_teacher,T$4,m_date,($G$2+12),m_active,1,m_start,"&lt;"&amp;1440,m_end,"&gt;"&amp;1140)=0,"",IF(COUNTIFS(m_teacher,T$4,m_date,($G$2+12),m_active,1,m_start,"&lt;"&amp;1440,m_end,"&gt;"&amp;1140)&gt;1,"충돌",HYPERLINK("#'관리자_MASTER'!D"&amp;_xlfn.MAXIFS(m_row,m_teacher,T$4,m_date,($G$2+12),m_active,1,m_start,"&lt;"&amp;1440,m_end,"&gt;"&amp;1140),INDEX(m_label,_xlfn.MAXIFS(m_row,m_teacher,T$4,m_date,($G$2+12),m_active,1,m_start,"&lt;"&amp;1440,m_end,"&gt;"&amp;1140))))))</f>
        <v/>
      </c>
      <c r="U70" s="89" t="str">
        <f aca="false">IF(OR(U$4="",MONTH(($G$2+12))&lt;&gt;MONTH($C$2)),"",IF(COUNTIFS(m_teacher,U$4,m_date,($G$2+12),m_active,1,m_start,"&lt;"&amp;1440,m_end,"&gt;"&amp;1140)=0,"",IF(COUNTIFS(m_teacher,U$4,m_date,($G$2+12),m_active,1,m_start,"&lt;"&amp;1440,m_end,"&gt;"&amp;1140)&gt;1,"충돌",HYPERLINK("#'관리자_MASTER'!D"&amp;_xlfn.MAXIFS(m_row,m_teacher,U$4,m_date,($G$2+12),m_active,1,m_start,"&lt;"&amp;1440,m_end,"&gt;"&amp;1140),INDEX(m_label,_xlfn.MAXIFS(m_row,m_teacher,U$4,m_date,($G$2+12),m_active,1,m_start,"&lt;"&amp;1440,m_end,"&gt;"&amp;1140))))))</f>
        <v/>
      </c>
      <c r="V70" s="89" t="str">
        <f aca="false">IF(OR(V$4="",MONTH(($G$2+12))&lt;&gt;MONTH($C$2)),"",IF(COUNTIFS(m_teacher,V$4,m_date,($G$2+12),m_active,1,m_start,"&lt;"&amp;1440,m_end,"&gt;"&amp;1140)=0,"",IF(COUNTIFS(m_teacher,V$4,m_date,($G$2+12),m_active,1,m_start,"&lt;"&amp;1440,m_end,"&gt;"&amp;1140)&gt;1,"충돌",HYPERLINK("#'관리자_MASTER'!D"&amp;_xlfn.MAXIFS(m_row,m_teacher,V$4,m_date,($G$2+12),m_active,1,m_start,"&lt;"&amp;1440,m_end,"&gt;"&amp;1140),INDEX(m_label,_xlfn.MAXIFS(m_row,m_teacher,V$4,m_date,($G$2+12),m_active,1,m_start,"&lt;"&amp;1440,m_end,"&gt;"&amp;1140))))))</f>
        <v/>
      </c>
      <c r="W70" s="89" t="str">
        <f aca="false">IF(OR(W$4="",MONTH(($G$2+12))&lt;&gt;MONTH($C$2)),"",IF(COUNTIFS(m_teacher,W$4,m_date,($G$2+12),m_active,1,m_start,"&lt;"&amp;1440,m_end,"&gt;"&amp;1140)=0,"",IF(COUNTIFS(m_teacher,W$4,m_date,($G$2+12),m_active,1,m_start,"&lt;"&amp;1440,m_end,"&gt;"&amp;1140)&gt;1,"충돌",HYPERLINK("#'관리자_MASTER'!D"&amp;_xlfn.MAXIFS(m_row,m_teacher,W$4,m_date,($G$2+12),m_active,1,m_start,"&lt;"&amp;1440,m_end,"&gt;"&amp;1140),INDEX(m_label,_xlfn.MAXIFS(m_row,m_teacher,W$4,m_date,($G$2+12),m_active,1,m_start,"&lt;"&amp;1440,m_end,"&gt;"&amp;1140))))))</f>
        <v/>
      </c>
      <c r="X70" s="89" t="str">
        <f aca="false">IF(OR(X$4="",MONTH(($G$2+12))&lt;&gt;MONTH($C$2)),"",IF(COUNTIFS(m_teacher,X$4,m_date,($G$2+12),m_active,1,m_start,"&lt;"&amp;1440,m_end,"&gt;"&amp;1140)=0,"",IF(COUNTIFS(m_teacher,X$4,m_date,($G$2+12),m_active,1,m_start,"&lt;"&amp;1440,m_end,"&gt;"&amp;1140)&gt;1,"충돌",HYPERLINK("#'관리자_MASTER'!D"&amp;_xlfn.MAXIFS(m_row,m_teacher,X$4,m_date,($G$2+12),m_active,1,m_start,"&lt;"&amp;1440,m_end,"&gt;"&amp;1140),INDEX(m_label,_xlfn.MAXIFS(m_row,m_teacher,X$4,m_date,($G$2+12),m_active,1,m_start,"&lt;"&amp;1440,m_end,"&gt;"&amp;1140))))))</f>
        <v/>
      </c>
      <c r="Y70" s="89" t="str">
        <f aca="false">IF(OR(Y$4="",MONTH(($G$2+12))&lt;&gt;MONTH($C$2)),"",IF(COUNTIFS(m_teacher,Y$4,m_date,($G$2+12),m_active,1,m_start,"&lt;"&amp;1440,m_end,"&gt;"&amp;1140)=0,"",IF(COUNTIFS(m_teacher,Y$4,m_date,($G$2+12),m_active,1,m_start,"&lt;"&amp;1440,m_end,"&gt;"&amp;1140)&gt;1,"충돌",HYPERLINK("#'관리자_MASTER'!D"&amp;_xlfn.MAXIFS(m_row,m_teacher,Y$4,m_date,($G$2+12),m_active,1,m_start,"&lt;"&amp;1440,m_end,"&gt;"&amp;1140),INDEX(m_label,_xlfn.MAXIFS(m_row,m_teacher,Y$4,m_date,($G$2+12),m_active,1,m_start,"&lt;"&amp;1440,m_end,"&gt;"&amp;1140))))))</f>
        <v/>
      </c>
      <c r="Z70" s="89" t="str">
        <f aca="false">IF(OR(Z$4="",MONTH(($G$2+12))&lt;&gt;MONTH($C$2)),"",IF(COUNTIFS(m_teacher,Z$4,m_date,($G$2+12),m_active,1,m_start,"&lt;"&amp;1440,m_end,"&gt;"&amp;1140)=0,"",IF(COUNTIFS(m_teacher,Z$4,m_date,($G$2+12),m_active,1,m_start,"&lt;"&amp;1440,m_end,"&gt;"&amp;1140)&gt;1,"충돌",HYPERLINK("#'관리자_MASTER'!D"&amp;_xlfn.MAXIFS(m_row,m_teacher,Z$4,m_date,($G$2+12),m_active,1,m_start,"&lt;"&amp;1440,m_end,"&gt;"&amp;1140),INDEX(m_label,_xlfn.MAXIFS(m_row,m_teacher,Z$4,m_date,($G$2+12),m_active,1,m_start,"&lt;"&amp;1440,m_end,"&gt;"&amp;1140))))))</f>
        <v/>
      </c>
      <c r="AA70" s="89" t="str">
        <f aca="false">IF(OR(AA$4="",MONTH(($G$2+12))&lt;&gt;MONTH($C$2)),"",IF(COUNTIFS(m_teacher,AA$4,m_date,($G$2+12),m_active,1,m_start,"&lt;"&amp;1440,m_end,"&gt;"&amp;1140)=0,"",IF(COUNTIFS(m_teacher,AA$4,m_date,($G$2+12),m_active,1,m_start,"&lt;"&amp;1440,m_end,"&gt;"&amp;1140)&gt;1,"충돌",HYPERLINK("#'관리자_MASTER'!D"&amp;_xlfn.MAXIFS(m_row,m_teacher,AA$4,m_date,($G$2+12),m_active,1,m_start,"&lt;"&amp;1440,m_end,"&gt;"&amp;1140),INDEX(m_label,_xlfn.MAXIFS(m_row,m_teacher,AA$4,m_date,($G$2+12),m_active,1,m_start,"&lt;"&amp;1440,m_end,"&gt;"&amp;1140))))))</f>
        <v/>
      </c>
      <c r="AB70" s="89" t="str">
        <f aca="false">IF(OR(AB$4="",MONTH(($G$2+12))&lt;&gt;MONTH($C$2)),"",IF(COUNTIFS(m_teacher,AB$4,m_date,($G$2+12),m_active,1,m_start,"&lt;"&amp;1440,m_end,"&gt;"&amp;1140)=0,"",IF(COUNTIFS(m_teacher,AB$4,m_date,($G$2+12),m_active,1,m_start,"&lt;"&amp;1440,m_end,"&gt;"&amp;1140)&gt;1,"충돌",HYPERLINK("#'관리자_MASTER'!D"&amp;_xlfn.MAXIFS(m_row,m_teacher,AB$4,m_date,($G$2+12),m_active,1,m_start,"&lt;"&amp;1440,m_end,"&gt;"&amp;1140),INDEX(m_label,_xlfn.MAXIFS(m_row,m_teacher,AB$4,m_date,($G$2+12),m_active,1,m_start,"&lt;"&amp;1440,m_end,"&gt;"&amp;1140))))))</f>
        <v/>
      </c>
      <c r="AC70" s="90"/>
      <c r="AD70" s="85" t="s">
        <v>101</v>
      </c>
      <c r="AE70" s="89" t="str">
        <f aca="false">IF(OR(AE$4="",MONTH(($G$2+19))&lt;&gt;MONTH($C$2)),"",IF(COUNTIFS(m_teacher,AE$4,m_date,($G$2+19),m_active,1,m_start,"&lt;"&amp;1440,m_end,"&gt;"&amp;1140)=0,"",IF(COUNTIFS(m_teacher,AE$4,m_date,($G$2+19),m_active,1,m_start,"&lt;"&amp;1440,m_end,"&gt;"&amp;1140)&gt;1,"충돌",HYPERLINK("#'관리자_MASTER'!D"&amp;_xlfn.MAXIFS(m_row,m_teacher,AE$4,m_date,($G$2+19),m_active,1,m_start,"&lt;"&amp;1440,m_end,"&gt;"&amp;1140),INDEX(m_label,_xlfn.MAXIFS(m_row,m_teacher,AE$4,m_date,($G$2+19),m_active,1,m_start,"&lt;"&amp;1440,m_end,"&gt;"&amp;1140))))))</f>
        <v/>
      </c>
      <c r="AF70" s="89" t="str">
        <f aca="false">IF(OR(AF$4="",MONTH(($G$2+19))&lt;&gt;MONTH($C$2)),"",IF(COUNTIFS(m_teacher,AF$4,m_date,($G$2+19),m_active,1,m_start,"&lt;"&amp;1440,m_end,"&gt;"&amp;1140)=0,"",IF(COUNTIFS(m_teacher,AF$4,m_date,($G$2+19),m_active,1,m_start,"&lt;"&amp;1440,m_end,"&gt;"&amp;1140)&gt;1,"충돌",HYPERLINK("#'관리자_MASTER'!D"&amp;_xlfn.MAXIFS(m_row,m_teacher,AF$4,m_date,($G$2+19),m_active,1,m_start,"&lt;"&amp;1440,m_end,"&gt;"&amp;1140),INDEX(m_label,_xlfn.MAXIFS(m_row,m_teacher,AF$4,m_date,($G$2+19),m_active,1,m_start,"&lt;"&amp;1440,m_end,"&gt;"&amp;1140))))))</f>
        <v/>
      </c>
      <c r="AG70" s="89" t="str">
        <f aca="false">IF(OR(AG$4="",MONTH(($G$2+19))&lt;&gt;MONTH($C$2)),"",IF(COUNTIFS(m_teacher,AG$4,m_date,($G$2+19),m_active,1,m_start,"&lt;"&amp;1440,m_end,"&gt;"&amp;1140)=0,"",IF(COUNTIFS(m_teacher,AG$4,m_date,($G$2+19),m_active,1,m_start,"&lt;"&amp;1440,m_end,"&gt;"&amp;1140)&gt;1,"충돌",HYPERLINK("#'관리자_MASTER'!D"&amp;_xlfn.MAXIFS(m_row,m_teacher,AG$4,m_date,($G$2+19),m_active,1,m_start,"&lt;"&amp;1440,m_end,"&gt;"&amp;1140),INDEX(m_label,_xlfn.MAXIFS(m_row,m_teacher,AG$4,m_date,($G$2+19),m_active,1,m_start,"&lt;"&amp;1440,m_end,"&gt;"&amp;1140))))))</f>
        <v/>
      </c>
      <c r="AH70" s="89" t="str">
        <f aca="false">IF(OR(AH$4="",MONTH(($G$2+19))&lt;&gt;MONTH($C$2)),"",IF(COUNTIFS(m_teacher,AH$4,m_date,($G$2+19),m_active,1,m_start,"&lt;"&amp;1440,m_end,"&gt;"&amp;1140)=0,"",IF(COUNTIFS(m_teacher,AH$4,m_date,($G$2+19),m_active,1,m_start,"&lt;"&amp;1440,m_end,"&gt;"&amp;1140)&gt;1,"충돌",HYPERLINK("#'관리자_MASTER'!D"&amp;_xlfn.MAXIFS(m_row,m_teacher,AH$4,m_date,($G$2+19),m_active,1,m_start,"&lt;"&amp;1440,m_end,"&gt;"&amp;1140),INDEX(m_label,_xlfn.MAXIFS(m_row,m_teacher,AH$4,m_date,($G$2+19),m_active,1,m_start,"&lt;"&amp;1440,m_end,"&gt;"&amp;1140))))))</f>
        <v/>
      </c>
      <c r="AI70" s="89" t="str">
        <f aca="false">IF(OR(AI$4="",MONTH(($G$2+19))&lt;&gt;MONTH($C$2)),"",IF(COUNTIFS(m_teacher,AI$4,m_date,($G$2+19),m_active,1,m_start,"&lt;"&amp;1440,m_end,"&gt;"&amp;1140)=0,"",IF(COUNTIFS(m_teacher,AI$4,m_date,($G$2+19),m_active,1,m_start,"&lt;"&amp;1440,m_end,"&gt;"&amp;1140)&gt;1,"충돌",HYPERLINK("#'관리자_MASTER'!D"&amp;_xlfn.MAXIFS(m_row,m_teacher,AI$4,m_date,($G$2+19),m_active,1,m_start,"&lt;"&amp;1440,m_end,"&gt;"&amp;1140),INDEX(m_label,_xlfn.MAXIFS(m_row,m_teacher,AI$4,m_date,($G$2+19),m_active,1,m_start,"&lt;"&amp;1440,m_end,"&gt;"&amp;1140))))))</f>
        <v/>
      </c>
      <c r="AJ70" s="89" t="str">
        <f aca="false">IF(OR(AJ$4="",MONTH(($G$2+19))&lt;&gt;MONTH($C$2)),"",IF(COUNTIFS(m_teacher,AJ$4,m_date,($G$2+19),m_active,1,m_start,"&lt;"&amp;1440,m_end,"&gt;"&amp;1140)=0,"",IF(COUNTIFS(m_teacher,AJ$4,m_date,($G$2+19),m_active,1,m_start,"&lt;"&amp;1440,m_end,"&gt;"&amp;1140)&gt;1,"충돌",HYPERLINK("#'관리자_MASTER'!D"&amp;_xlfn.MAXIFS(m_row,m_teacher,AJ$4,m_date,($G$2+19),m_active,1,m_start,"&lt;"&amp;1440,m_end,"&gt;"&amp;1140),INDEX(m_label,_xlfn.MAXIFS(m_row,m_teacher,AJ$4,m_date,($G$2+19),m_active,1,m_start,"&lt;"&amp;1440,m_end,"&gt;"&amp;1140))))))</f>
        <v/>
      </c>
      <c r="AK70" s="89" t="str">
        <f aca="false">IF(OR(AK$4="",MONTH(($G$2+19))&lt;&gt;MONTH($C$2)),"",IF(COUNTIFS(m_teacher,AK$4,m_date,($G$2+19),m_active,1,m_start,"&lt;"&amp;1440,m_end,"&gt;"&amp;1140)=0,"",IF(COUNTIFS(m_teacher,AK$4,m_date,($G$2+19),m_active,1,m_start,"&lt;"&amp;1440,m_end,"&gt;"&amp;1140)&gt;1,"충돌",HYPERLINK("#'관리자_MASTER'!D"&amp;_xlfn.MAXIFS(m_row,m_teacher,AK$4,m_date,($G$2+19),m_active,1,m_start,"&lt;"&amp;1440,m_end,"&gt;"&amp;1140),INDEX(m_label,_xlfn.MAXIFS(m_row,m_teacher,AK$4,m_date,($G$2+19),m_active,1,m_start,"&lt;"&amp;1440,m_end,"&gt;"&amp;1140))))))</f>
        <v/>
      </c>
      <c r="AL70" s="89" t="str">
        <f aca="false">IF(OR(AL$4="",MONTH(($G$2+19))&lt;&gt;MONTH($C$2)),"",IF(COUNTIFS(m_teacher,AL$4,m_date,($G$2+19),m_active,1,m_start,"&lt;"&amp;1440,m_end,"&gt;"&amp;1140)=0,"",IF(COUNTIFS(m_teacher,AL$4,m_date,($G$2+19),m_active,1,m_start,"&lt;"&amp;1440,m_end,"&gt;"&amp;1140)&gt;1,"충돌",HYPERLINK("#'관리자_MASTER'!D"&amp;_xlfn.MAXIFS(m_row,m_teacher,AL$4,m_date,($G$2+19),m_active,1,m_start,"&lt;"&amp;1440,m_end,"&gt;"&amp;1140),INDEX(m_label,_xlfn.MAXIFS(m_row,m_teacher,AL$4,m_date,($G$2+19),m_active,1,m_start,"&lt;"&amp;1440,m_end,"&gt;"&amp;1140))))))</f>
        <v/>
      </c>
      <c r="AM70" s="89" t="str">
        <f aca="false">IF(OR(AM$4="",MONTH(($G$2+19))&lt;&gt;MONTH($C$2)),"",IF(COUNTIFS(m_teacher,AM$4,m_date,($G$2+19),m_active,1,m_start,"&lt;"&amp;1440,m_end,"&gt;"&amp;1140)=0,"",IF(COUNTIFS(m_teacher,AM$4,m_date,($G$2+19),m_active,1,m_start,"&lt;"&amp;1440,m_end,"&gt;"&amp;1140)&gt;1,"충돌",HYPERLINK("#'관리자_MASTER'!D"&amp;_xlfn.MAXIFS(m_row,m_teacher,AM$4,m_date,($G$2+19),m_active,1,m_start,"&lt;"&amp;1440,m_end,"&gt;"&amp;1140),INDEX(m_label,_xlfn.MAXIFS(m_row,m_teacher,AM$4,m_date,($G$2+19),m_active,1,m_start,"&lt;"&amp;1440,m_end,"&gt;"&amp;1140))))))</f>
        <v/>
      </c>
      <c r="AN70" s="89" t="str">
        <f aca="false">IF(OR(AN$4="",MONTH(($G$2+19))&lt;&gt;MONTH($C$2)),"",IF(COUNTIFS(m_teacher,AN$4,m_date,($G$2+19),m_active,1,m_start,"&lt;"&amp;1440,m_end,"&gt;"&amp;1140)=0,"",IF(COUNTIFS(m_teacher,AN$4,m_date,($G$2+19),m_active,1,m_start,"&lt;"&amp;1440,m_end,"&gt;"&amp;1140)&gt;1,"충돌",HYPERLINK("#'관리자_MASTER'!D"&amp;_xlfn.MAXIFS(m_row,m_teacher,AN$4,m_date,($G$2+19),m_active,1,m_start,"&lt;"&amp;1440,m_end,"&gt;"&amp;1140),INDEX(m_label,_xlfn.MAXIFS(m_row,m_teacher,AN$4,m_date,($G$2+19),m_active,1,m_start,"&lt;"&amp;1440,m_end,"&gt;"&amp;1140))))))</f>
        <v/>
      </c>
      <c r="AO70" s="89" t="str">
        <f aca="false">IF(OR(AO$4="",MONTH(($G$2+19))&lt;&gt;MONTH($C$2)),"",IF(COUNTIFS(m_teacher,AO$4,m_date,($G$2+19),m_active,1,m_start,"&lt;"&amp;1440,m_end,"&gt;"&amp;1140)=0,"",IF(COUNTIFS(m_teacher,AO$4,m_date,($G$2+19),m_active,1,m_start,"&lt;"&amp;1440,m_end,"&gt;"&amp;1140)&gt;1,"충돌",HYPERLINK("#'관리자_MASTER'!D"&amp;_xlfn.MAXIFS(m_row,m_teacher,AO$4,m_date,($G$2+19),m_active,1,m_start,"&lt;"&amp;1440,m_end,"&gt;"&amp;1140),INDEX(m_label,_xlfn.MAXIFS(m_row,m_teacher,AO$4,m_date,($G$2+19),m_active,1,m_start,"&lt;"&amp;1440,m_end,"&gt;"&amp;1140))))))</f>
        <v/>
      </c>
      <c r="AP70" s="89" t="str">
        <f aca="false">IF(OR(AP$4="",MONTH(($G$2+19))&lt;&gt;MONTH($C$2)),"",IF(COUNTIFS(m_teacher,AP$4,m_date,($G$2+19),m_active,1,m_start,"&lt;"&amp;1440,m_end,"&gt;"&amp;1140)=0,"",IF(COUNTIFS(m_teacher,AP$4,m_date,($G$2+19),m_active,1,m_start,"&lt;"&amp;1440,m_end,"&gt;"&amp;1140)&gt;1,"충돌",HYPERLINK("#'관리자_MASTER'!D"&amp;_xlfn.MAXIFS(m_row,m_teacher,AP$4,m_date,($G$2+19),m_active,1,m_start,"&lt;"&amp;1440,m_end,"&gt;"&amp;1140),INDEX(m_label,_xlfn.MAXIFS(m_row,m_teacher,AP$4,m_date,($G$2+19),m_active,1,m_start,"&lt;"&amp;1440,m_end,"&gt;"&amp;1140))))))</f>
        <v/>
      </c>
      <c r="AQ70" s="90"/>
      <c r="AR70" s="85" t="s">
        <v>101</v>
      </c>
      <c r="AS70" s="89" t="str">
        <f aca="false">IF(OR(AS$4="",MONTH(($G$2+26))&lt;&gt;MONTH($C$2)),"",IF(COUNTIFS(m_teacher,AS$4,m_date,($G$2+26),m_active,1,m_start,"&lt;"&amp;1440,m_end,"&gt;"&amp;1140)=0,"",IF(COUNTIFS(m_teacher,AS$4,m_date,($G$2+26),m_active,1,m_start,"&lt;"&amp;1440,m_end,"&gt;"&amp;1140)&gt;1,"충돌",HYPERLINK("#'관리자_MASTER'!D"&amp;_xlfn.MAXIFS(m_row,m_teacher,AS$4,m_date,($G$2+26),m_active,1,m_start,"&lt;"&amp;1440,m_end,"&gt;"&amp;1140),INDEX(m_label,_xlfn.MAXIFS(m_row,m_teacher,AS$4,m_date,($G$2+26),m_active,1,m_start,"&lt;"&amp;1440,m_end,"&gt;"&amp;1140))))))</f>
        <v/>
      </c>
      <c r="AT70" s="89" t="str">
        <f aca="false">IF(OR(AT$4="",MONTH(($G$2+26))&lt;&gt;MONTH($C$2)),"",IF(COUNTIFS(m_teacher,AT$4,m_date,($G$2+26),m_active,1,m_start,"&lt;"&amp;1440,m_end,"&gt;"&amp;1140)=0,"",IF(COUNTIFS(m_teacher,AT$4,m_date,($G$2+26),m_active,1,m_start,"&lt;"&amp;1440,m_end,"&gt;"&amp;1140)&gt;1,"충돌",HYPERLINK("#'관리자_MASTER'!D"&amp;_xlfn.MAXIFS(m_row,m_teacher,AT$4,m_date,($G$2+26),m_active,1,m_start,"&lt;"&amp;1440,m_end,"&gt;"&amp;1140),INDEX(m_label,_xlfn.MAXIFS(m_row,m_teacher,AT$4,m_date,($G$2+26),m_active,1,m_start,"&lt;"&amp;1440,m_end,"&gt;"&amp;1140))))))</f>
        <v/>
      </c>
      <c r="AU70" s="89" t="str">
        <f aca="false">IF(OR(AU$4="",MONTH(($G$2+26))&lt;&gt;MONTH($C$2)),"",IF(COUNTIFS(m_teacher,AU$4,m_date,($G$2+26),m_active,1,m_start,"&lt;"&amp;1440,m_end,"&gt;"&amp;1140)=0,"",IF(COUNTIFS(m_teacher,AU$4,m_date,($G$2+26),m_active,1,m_start,"&lt;"&amp;1440,m_end,"&gt;"&amp;1140)&gt;1,"충돌",HYPERLINK("#'관리자_MASTER'!D"&amp;_xlfn.MAXIFS(m_row,m_teacher,AU$4,m_date,($G$2+26),m_active,1,m_start,"&lt;"&amp;1440,m_end,"&gt;"&amp;1140),INDEX(m_label,_xlfn.MAXIFS(m_row,m_teacher,AU$4,m_date,($G$2+26),m_active,1,m_start,"&lt;"&amp;1440,m_end,"&gt;"&amp;1140))))))</f>
        <v/>
      </c>
      <c r="AV70" s="89" t="str">
        <f aca="false">IF(OR(AV$4="",MONTH(($G$2+26))&lt;&gt;MONTH($C$2)),"",IF(COUNTIFS(m_teacher,AV$4,m_date,($G$2+26),m_active,1,m_start,"&lt;"&amp;1440,m_end,"&gt;"&amp;1140)=0,"",IF(COUNTIFS(m_teacher,AV$4,m_date,($G$2+26),m_active,1,m_start,"&lt;"&amp;1440,m_end,"&gt;"&amp;1140)&gt;1,"충돌",HYPERLINK("#'관리자_MASTER'!D"&amp;_xlfn.MAXIFS(m_row,m_teacher,AV$4,m_date,($G$2+26),m_active,1,m_start,"&lt;"&amp;1440,m_end,"&gt;"&amp;1140),INDEX(m_label,_xlfn.MAXIFS(m_row,m_teacher,AV$4,m_date,($G$2+26),m_active,1,m_start,"&lt;"&amp;1440,m_end,"&gt;"&amp;1140))))))</f>
        <v/>
      </c>
      <c r="AW70" s="89" t="str">
        <f aca="false">IF(OR(AW$4="",MONTH(($G$2+26))&lt;&gt;MONTH($C$2)),"",IF(COUNTIFS(m_teacher,AW$4,m_date,($G$2+26),m_active,1,m_start,"&lt;"&amp;1440,m_end,"&gt;"&amp;1140)=0,"",IF(COUNTIFS(m_teacher,AW$4,m_date,($G$2+26),m_active,1,m_start,"&lt;"&amp;1440,m_end,"&gt;"&amp;1140)&gt;1,"충돌",HYPERLINK("#'관리자_MASTER'!D"&amp;_xlfn.MAXIFS(m_row,m_teacher,AW$4,m_date,($G$2+26),m_active,1,m_start,"&lt;"&amp;1440,m_end,"&gt;"&amp;1140),INDEX(m_label,_xlfn.MAXIFS(m_row,m_teacher,AW$4,m_date,($G$2+26),m_active,1,m_start,"&lt;"&amp;1440,m_end,"&gt;"&amp;1140))))))</f>
        <v/>
      </c>
      <c r="AX70" s="89" t="str">
        <f aca="false">IF(OR(AX$4="",MONTH(($G$2+26))&lt;&gt;MONTH($C$2)),"",IF(COUNTIFS(m_teacher,AX$4,m_date,($G$2+26),m_active,1,m_start,"&lt;"&amp;1440,m_end,"&gt;"&amp;1140)=0,"",IF(COUNTIFS(m_teacher,AX$4,m_date,($G$2+26),m_active,1,m_start,"&lt;"&amp;1440,m_end,"&gt;"&amp;1140)&gt;1,"충돌",HYPERLINK("#'관리자_MASTER'!D"&amp;_xlfn.MAXIFS(m_row,m_teacher,AX$4,m_date,($G$2+26),m_active,1,m_start,"&lt;"&amp;1440,m_end,"&gt;"&amp;1140),INDEX(m_label,_xlfn.MAXIFS(m_row,m_teacher,AX$4,m_date,($G$2+26),m_active,1,m_start,"&lt;"&amp;1440,m_end,"&gt;"&amp;1140))))))</f>
        <v/>
      </c>
      <c r="AY70" s="89" t="str">
        <f aca="false">IF(OR(AY$4="",MONTH(($G$2+26))&lt;&gt;MONTH($C$2)),"",IF(COUNTIFS(m_teacher,AY$4,m_date,($G$2+26),m_active,1,m_start,"&lt;"&amp;1440,m_end,"&gt;"&amp;1140)=0,"",IF(COUNTIFS(m_teacher,AY$4,m_date,($G$2+26),m_active,1,m_start,"&lt;"&amp;1440,m_end,"&gt;"&amp;1140)&gt;1,"충돌",HYPERLINK("#'관리자_MASTER'!D"&amp;_xlfn.MAXIFS(m_row,m_teacher,AY$4,m_date,($G$2+26),m_active,1,m_start,"&lt;"&amp;1440,m_end,"&gt;"&amp;1140),INDEX(m_label,_xlfn.MAXIFS(m_row,m_teacher,AY$4,m_date,($G$2+26),m_active,1,m_start,"&lt;"&amp;1440,m_end,"&gt;"&amp;1140))))))</f>
        <v/>
      </c>
      <c r="AZ70" s="89" t="str">
        <f aca="false">IF(OR(AZ$4="",MONTH(($G$2+26))&lt;&gt;MONTH($C$2)),"",IF(COUNTIFS(m_teacher,AZ$4,m_date,($G$2+26),m_active,1,m_start,"&lt;"&amp;1440,m_end,"&gt;"&amp;1140)=0,"",IF(COUNTIFS(m_teacher,AZ$4,m_date,($G$2+26),m_active,1,m_start,"&lt;"&amp;1440,m_end,"&gt;"&amp;1140)&gt;1,"충돌",HYPERLINK("#'관리자_MASTER'!D"&amp;_xlfn.MAXIFS(m_row,m_teacher,AZ$4,m_date,($G$2+26),m_active,1,m_start,"&lt;"&amp;1440,m_end,"&gt;"&amp;1140),INDEX(m_label,_xlfn.MAXIFS(m_row,m_teacher,AZ$4,m_date,($G$2+26),m_active,1,m_start,"&lt;"&amp;1440,m_end,"&gt;"&amp;1140))))))</f>
        <v/>
      </c>
      <c r="BA70" s="89" t="str">
        <f aca="false">IF(OR(BA$4="",MONTH(($G$2+26))&lt;&gt;MONTH($C$2)),"",IF(COUNTIFS(m_teacher,BA$4,m_date,($G$2+26),m_active,1,m_start,"&lt;"&amp;1440,m_end,"&gt;"&amp;1140)=0,"",IF(COUNTIFS(m_teacher,BA$4,m_date,($G$2+26),m_active,1,m_start,"&lt;"&amp;1440,m_end,"&gt;"&amp;1140)&gt;1,"충돌",HYPERLINK("#'관리자_MASTER'!D"&amp;_xlfn.MAXIFS(m_row,m_teacher,BA$4,m_date,($G$2+26),m_active,1,m_start,"&lt;"&amp;1440,m_end,"&gt;"&amp;1140),INDEX(m_label,_xlfn.MAXIFS(m_row,m_teacher,BA$4,m_date,($G$2+26),m_active,1,m_start,"&lt;"&amp;1440,m_end,"&gt;"&amp;1140))))))</f>
        <v/>
      </c>
      <c r="BB70" s="89" t="str">
        <f aca="false">IF(OR(BB$4="",MONTH(($G$2+26))&lt;&gt;MONTH($C$2)),"",IF(COUNTIFS(m_teacher,BB$4,m_date,($G$2+26),m_active,1,m_start,"&lt;"&amp;1440,m_end,"&gt;"&amp;1140)=0,"",IF(COUNTIFS(m_teacher,BB$4,m_date,($G$2+26),m_active,1,m_start,"&lt;"&amp;1440,m_end,"&gt;"&amp;1140)&gt;1,"충돌",HYPERLINK("#'관리자_MASTER'!D"&amp;_xlfn.MAXIFS(m_row,m_teacher,BB$4,m_date,($G$2+26),m_active,1,m_start,"&lt;"&amp;1440,m_end,"&gt;"&amp;1140),INDEX(m_label,_xlfn.MAXIFS(m_row,m_teacher,BB$4,m_date,($G$2+26),m_active,1,m_start,"&lt;"&amp;1440,m_end,"&gt;"&amp;1140))))))</f>
        <v/>
      </c>
      <c r="BC70" s="89" t="str">
        <f aca="false">IF(OR(BC$4="",MONTH(($G$2+26))&lt;&gt;MONTH($C$2)),"",IF(COUNTIFS(m_teacher,BC$4,m_date,($G$2+26),m_active,1,m_start,"&lt;"&amp;1440,m_end,"&gt;"&amp;1140)=0,"",IF(COUNTIFS(m_teacher,BC$4,m_date,($G$2+26),m_active,1,m_start,"&lt;"&amp;1440,m_end,"&gt;"&amp;1140)&gt;1,"충돌",HYPERLINK("#'관리자_MASTER'!D"&amp;_xlfn.MAXIFS(m_row,m_teacher,BC$4,m_date,($G$2+26),m_active,1,m_start,"&lt;"&amp;1440,m_end,"&gt;"&amp;1140),INDEX(m_label,_xlfn.MAXIFS(m_row,m_teacher,BC$4,m_date,($G$2+26),m_active,1,m_start,"&lt;"&amp;1440,m_end,"&gt;"&amp;1140))))))</f>
        <v/>
      </c>
      <c r="BD70" s="89" t="str">
        <f aca="false">IF(OR(BD$4="",MONTH(($G$2+26))&lt;&gt;MONTH($C$2)),"",IF(COUNTIFS(m_teacher,BD$4,m_date,($G$2+26),m_active,1,m_start,"&lt;"&amp;1440,m_end,"&gt;"&amp;1140)=0,"",IF(COUNTIFS(m_teacher,BD$4,m_date,($G$2+26),m_active,1,m_start,"&lt;"&amp;1440,m_end,"&gt;"&amp;1140)&gt;1,"충돌",HYPERLINK("#'관리자_MASTER'!D"&amp;_xlfn.MAXIFS(m_row,m_teacher,BD$4,m_date,($G$2+26),m_active,1,m_start,"&lt;"&amp;1440,m_end,"&gt;"&amp;1140),INDEX(m_label,_xlfn.MAXIFS(m_row,m_teacher,BD$4,m_date,($G$2+26),m_active,1,m_start,"&lt;"&amp;1440,m_end,"&gt;"&amp;1140))))))</f>
        <v/>
      </c>
      <c r="BE70" s="91"/>
      <c r="BF70" s="83" t="s">
        <v>101</v>
      </c>
      <c r="BG70" s="84" t="str">
        <f aca="false">IF(OR(BG$4="",MONTH(($G$2+33))&lt;&gt;MONTH($C$2)),"",IF(COUNTIFS(m_teacher,BG$4,m_date,($G$2+33),m_active,1,m_start,"&lt;"&amp;1440,m_end,"&gt;"&amp;1140)=0,"",IF(COUNTIFS(m_teacher,BG$4,m_date,($G$2+33),m_active,1,m_start,"&lt;"&amp;1440,m_end,"&gt;"&amp;1140)&gt;1,"충돌",HYPERLINK("#'관리자_MASTER'!D"&amp;_xlfn.MAXIFS(m_row,m_teacher,BG$4,m_date,($G$2+33),m_active,1,m_start,"&lt;"&amp;1440,m_end,"&gt;"&amp;1140),INDEX(m_label,_xlfn.MAXIFS(m_row,m_teacher,BG$4,m_date,($G$2+33),m_active,1,m_start,"&lt;"&amp;1440,m_end,"&gt;"&amp;1140))))))</f>
        <v/>
      </c>
      <c r="BH70" s="84" t="str">
        <f aca="false">IF(OR(BH$4="",MONTH(($G$2+33))&lt;&gt;MONTH($C$2)),"",IF(COUNTIFS(m_teacher,BH$4,m_date,($G$2+33),m_active,1,m_start,"&lt;"&amp;1440,m_end,"&gt;"&amp;1140)=0,"",IF(COUNTIFS(m_teacher,BH$4,m_date,($G$2+33),m_active,1,m_start,"&lt;"&amp;1440,m_end,"&gt;"&amp;1140)&gt;1,"충돌",HYPERLINK("#'관리자_MASTER'!D"&amp;_xlfn.MAXIFS(m_row,m_teacher,BH$4,m_date,($G$2+33),m_active,1,m_start,"&lt;"&amp;1440,m_end,"&gt;"&amp;1140),INDEX(m_label,_xlfn.MAXIFS(m_row,m_teacher,BH$4,m_date,($G$2+33),m_active,1,m_start,"&lt;"&amp;1440,m_end,"&gt;"&amp;1140))))))</f>
        <v/>
      </c>
      <c r="BI70" s="84" t="str">
        <f aca="false">IF(OR(BI$4="",MONTH(($G$2+33))&lt;&gt;MONTH($C$2)),"",IF(COUNTIFS(m_teacher,BI$4,m_date,($G$2+33),m_active,1,m_start,"&lt;"&amp;1440,m_end,"&gt;"&amp;1140)=0,"",IF(COUNTIFS(m_teacher,BI$4,m_date,($G$2+33),m_active,1,m_start,"&lt;"&amp;1440,m_end,"&gt;"&amp;1140)&gt;1,"충돌",HYPERLINK("#'관리자_MASTER'!D"&amp;_xlfn.MAXIFS(m_row,m_teacher,BI$4,m_date,($G$2+33),m_active,1,m_start,"&lt;"&amp;1440,m_end,"&gt;"&amp;1140),INDEX(m_label,_xlfn.MAXIFS(m_row,m_teacher,BI$4,m_date,($G$2+33),m_active,1,m_start,"&lt;"&amp;1440,m_end,"&gt;"&amp;1140))))))</f>
        <v/>
      </c>
      <c r="BJ70" s="84" t="str">
        <f aca="false">IF(OR(BJ$4="",MONTH(($G$2+33))&lt;&gt;MONTH($C$2)),"",IF(COUNTIFS(m_teacher,BJ$4,m_date,($G$2+33),m_active,1,m_start,"&lt;"&amp;1440,m_end,"&gt;"&amp;1140)=0,"",IF(COUNTIFS(m_teacher,BJ$4,m_date,($G$2+33),m_active,1,m_start,"&lt;"&amp;1440,m_end,"&gt;"&amp;1140)&gt;1,"충돌",HYPERLINK("#'관리자_MASTER'!D"&amp;_xlfn.MAXIFS(m_row,m_teacher,BJ$4,m_date,($G$2+33),m_active,1,m_start,"&lt;"&amp;1440,m_end,"&gt;"&amp;1140),INDEX(m_label,_xlfn.MAXIFS(m_row,m_teacher,BJ$4,m_date,($G$2+33),m_active,1,m_start,"&lt;"&amp;1440,m_end,"&gt;"&amp;1140))))))</f>
        <v/>
      </c>
      <c r="BK70" s="84" t="str">
        <f aca="false">IF(OR(BK$4="",MONTH(($G$2+33))&lt;&gt;MONTH($C$2)),"",IF(COUNTIFS(m_teacher,BK$4,m_date,($G$2+33),m_active,1,m_start,"&lt;"&amp;1440,m_end,"&gt;"&amp;1140)=0,"",IF(COUNTIFS(m_teacher,BK$4,m_date,($G$2+33),m_active,1,m_start,"&lt;"&amp;1440,m_end,"&gt;"&amp;1140)&gt;1,"충돌",HYPERLINK("#'관리자_MASTER'!D"&amp;_xlfn.MAXIFS(m_row,m_teacher,BK$4,m_date,($G$2+33),m_active,1,m_start,"&lt;"&amp;1440,m_end,"&gt;"&amp;1140),INDEX(m_label,_xlfn.MAXIFS(m_row,m_teacher,BK$4,m_date,($G$2+33),m_active,1,m_start,"&lt;"&amp;1440,m_end,"&gt;"&amp;1140))))))</f>
        <v/>
      </c>
      <c r="BL70" s="84" t="str">
        <f aca="false">IF(OR(BL$4="",MONTH(($G$2+33))&lt;&gt;MONTH($C$2)),"",IF(COUNTIFS(m_teacher,BL$4,m_date,($G$2+33),m_active,1,m_start,"&lt;"&amp;1440,m_end,"&gt;"&amp;1140)=0,"",IF(COUNTIFS(m_teacher,BL$4,m_date,($G$2+33),m_active,1,m_start,"&lt;"&amp;1440,m_end,"&gt;"&amp;1140)&gt;1,"충돌",HYPERLINK("#'관리자_MASTER'!D"&amp;_xlfn.MAXIFS(m_row,m_teacher,BL$4,m_date,($G$2+33),m_active,1,m_start,"&lt;"&amp;1440,m_end,"&gt;"&amp;1140),INDEX(m_label,_xlfn.MAXIFS(m_row,m_teacher,BL$4,m_date,($G$2+33),m_active,1,m_start,"&lt;"&amp;1440,m_end,"&gt;"&amp;1140))))))</f>
        <v/>
      </c>
      <c r="BM70" s="84" t="str">
        <f aca="false">IF(OR(BM$4="",MONTH(($G$2+33))&lt;&gt;MONTH($C$2)),"",IF(COUNTIFS(m_teacher,BM$4,m_date,($G$2+33),m_active,1,m_start,"&lt;"&amp;1440,m_end,"&gt;"&amp;1140)=0,"",IF(COUNTIFS(m_teacher,BM$4,m_date,($G$2+33),m_active,1,m_start,"&lt;"&amp;1440,m_end,"&gt;"&amp;1140)&gt;1,"충돌",HYPERLINK("#'관리자_MASTER'!D"&amp;_xlfn.MAXIFS(m_row,m_teacher,BM$4,m_date,($G$2+33),m_active,1,m_start,"&lt;"&amp;1440,m_end,"&gt;"&amp;1140),INDEX(m_label,_xlfn.MAXIFS(m_row,m_teacher,BM$4,m_date,($G$2+33),m_active,1,m_start,"&lt;"&amp;1440,m_end,"&gt;"&amp;1140))))))</f>
        <v/>
      </c>
      <c r="BN70" s="84" t="str">
        <f aca="false">IF(OR(BN$4="",MONTH(($G$2+33))&lt;&gt;MONTH($C$2)),"",IF(COUNTIFS(m_teacher,BN$4,m_date,($G$2+33),m_active,1,m_start,"&lt;"&amp;1440,m_end,"&gt;"&amp;1140)=0,"",IF(COUNTIFS(m_teacher,BN$4,m_date,($G$2+33),m_active,1,m_start,"&lt;"&amp;1440,m_end,"&gt;"&amp;1140)&gt;1,"충돌",HYPERLINK("#'관리자_MASTER'!D"&amp;_xlfn.MAXIFS(m_row,m_teacher,BN$4,m_date,($G$2+33),m_active,1,m_start,"&lt;"&amp;1440,m_end,"&gt;"&amp;1140),INDEX(m_label,_xlfn.MAXIFS(m_row,m_teacher,BN$4,m_date,($G$2+33),m_active,1,m_start,"&lt;"&amp;1440,m_end,"&gt;"&amp;1140))))))</f>
        <v/>
      </c>
      <c r="BO70" s="84" t="str">
        <f aca="false">IF(OR(BO$4="",MONTH(($G$2+33))&lt;&gt;MONTH($C$2)),"",IF(COUNTIFS(m_teacher,BO$4,m_date,($G$2+33),m_active,1,m_start,"&lt;"&amp;1440,m_end,"&gt;"&amp;1140)=0,"",IF(COUNTIFS(m_teacher,BO$4,m_date,($G$2+33),m_active,1,m_start,"&lt;"&amp;1440,m_end,"&gt;"&amp;1140)&gt;1,"충돌",HYPERLINK("#'관리자_MASTER'!D"&amp;_xlfn.MAXIFS(m_row,m_teacher,BO$4,m_date,($G$2+33),m_active,1,m_start,"&lt;"&amp;1440,m_end,"&gt;"&amp;1140),INDEX(m_label,_xlfn.MAXIFS(m_row,m_teacher,BO$4,m_date,($G$2+33),m_active,1,m_start,"&lt;"&amp;1440,m_end,"&gt;"&amp;1140))))))</f>
        <v/>
      </c>
      <c r="BP70" s="84" t="str">
        <f aca="false">IF(OR(BP$4="",MONTH(($G$2+33))&lt;&gt;MONTH($C$2)),"",IF(COUNTIFS(m_teacher,BP$4,m_date,($G$2+33),m_active,1,m_start,"&lt;"&amp;1440,m_end,"&gt;"&amp;1140)=0,"",IF(COUNTIFS(m_teacher,BP$4,m_date,($G$2+33),m_active,1,m_start,"&lt;"&amp;1440,m_end,"&gt;"&amp;1140)&gt;1,"충돌",HYPERLINK("#'관리자_MASTER'!D"&amp;_xlfn.MAXIFS(m_row,m_teacher,BP$4,m_date,($G$2+33),m_active,1,m_start,"&lt;"&amp;1440,m_end,"&gt;"&amp;1140),INDEX(m_label,_xlfn.MAXIFS(m_row,m_teacher,BP$4,m_date,($G$2+33),m_active,1,m_start,"&lt;"&amp;1440,m_end,"&gt;"&amp;1140))))))</f>
        <v/>
      </c>
      <c r="BQ70" s="84" t="str">
        <f aca="false">IF(OR(BQ$4="",MONTH(($G$2+33))&lt;&gt;MONTH($C$2)),"",IF(COUNTIFS(m_teacher,BQ$4,m_date,($G$2+33),m_active,1,m_start,"&lt;"&amp;1440,m_end,"&gt;"&amp;1140)=0,"",IF(COUNTIFS(m_teacher,BQ$4,m_date,($G$2+33),m_active,1,m_start,"&lt;"&amp;1440,m_end,"&gt;"&amp;1140)&gt;1,"충돌",HYPERLINK("#'관리자_MASTER'!D"&amp;_xlfn.MAXIFS(m_row,m_teacher,BQ$4,m_date,($G$2+33),m_active,1,m_start,"&lt;"&amp;1440,m_end,"&gt;"&amp;1140),INDEX(m_label,_xlfn.MAXIFS(m_row,m_teacher,BQ$4,m_date,($G$2+33),m_active,1,m_start,"&lt;"&amp;1440,m_end,"&gt;"&amp;1140))))))</f>
        <v/>
      </c>
      <c r="BR70" s="84" t="str">
        <f aca="false">IF(OR(BR$4="",MONTH(($G$2+33))&lt;&gt;MONTH($C$2)),"",IF(COUNTIFS(m_teacher,BR$4,m_date,($G$2+33),m_active,1,m_start,"&lt;"&amp;1440,m_end,"&gt;"&amp;1140)=0,"",IF(COUNTIFS(m_teacher,BR$4,m_date,($G$2+33),m_active,1,m_start,"&lt;"&amp;1440,m_end,"&gt;"&amp;1140)&gt;1,"충돌",HYPERLINK("#'관리자_MASTER'!D"&amp;_xlfn.MAXIFS(m_row,m_teacher,BR$4,m_date,($G$2+33),m_active,1,m_start,"&lt;"&amp;1440,m_end,"&gt;"&amp;1140),INDEX(m_label,_xlfn.MAXIFS(m_row,m_teacher,BR$4,m_date,($G$2+33),m_active,1,m_start,"&lt;"&amp;1440,m_end,"&gt;"&amp;1140))))))</f>
        <v/>
      </c>
    </row>
    <row r="71" customFormat="false" ht="19.5" hidden="false" customHeight="true" outlineLevel="0" collapsed="false">
      <c r="A71" s="92" t="str">
        <f aca="false">IF(MONTH(($G$2+6))&lt;&gt;MONTH($C$2),"",CHOOSE(WEEKDAY(($G$2+6),2),"월","화","수","목","금","토","일")&amp;CHAR(10)&amp;TEXT(($G$2+6),"m/d"))</f>
        <v>일
12/6</v>
      </c>
      <c r="B71" s="79" t="s">
        <v>91</v>
      </c>
      <c r="C71" s="80" t="str">
        <f aca="false">IF(OR(C$4="",MONTH(($G$2+6))&lt;&gt;MONTH($C$2)),"",IF(COUNTIFS(m_teacher,C$4,m_date,($G$2+6),m_active,1,m_start,"&lt;"&amp;600,m_end,"&gt;"&amp;0)=0,"",IF(COUNTIFS(m_teacher,C$4,m_date,($G$2+6),m_active,1,m_start,"&lt;"&amp;600,m_end,"&gt;"&amp;0)&gt;1,"충돌",HYPERLINK("#'관리자_MASTER'!D"&amp;_xlfn.MAXIFS(m_row,m_teacher,C$4,m_date,($G$2+6),m_active,1,m_start,"&lt;"&amp;600,m_end,"&gt;"&amp;0),INDEX(m_label,_xlfn.MAXIFS(m_row,m_teacher,C$4,m_date,($G$2+6),m_active,1,m_start,"&lt;"&amp;600,m_end,"&gt;"&amp;0))))))</f>
        <v/>
      </c>
      <c r="D71" s="80" t="str">
        <f aca="false">IF(OR(D$4="",MONTH(($G$2+6))&lt;&gt;MONTH($C$2)),"",IF(COUNTIFS(m_teacher,D$4,m_date,($G$2+6),m_active,1,m_start,"&lt;"&amp;600,m_end,"&gt;"&amp;0)=0,"",IF(COUNTIFS(m_teacher,D$4,m_date,($G$2+6),m_active,1,m_start,"&lt;"&amp;600,m_end,"&gt;"&amp;0)&gt;1,"충돌",HYPERLINK("#'관리자_MASTER'!D"&amp;_xlfn.MAXIFS(m_row,m_teacher,D$4,m_date,($G$2+6),m_active,1,m_start,"&lt;"&amp;600,m_end,"&gt;"&amp;0),INDEX(m_label,_xlfn.MAXIFS(m_row,m_teacher,D$4,m_date,($G$2+6),m_active,1,m_start,"&lt;"&amp;600,m_end,"&gt;"&amp;0))))))</f>
        <v/>
      </c>
      <c r="E71" s="80" t="str">
        <f aca="false">IF(OR(E$4="",MONTH(($G$2+6))&lt;&gt;MONTH($C$2)),"",IF(COUNTIFS(m_teacher,E$4,m_date,($G$2+6),m_active,1,m_start,"&lt;"&amp;600,m_end,"&gt;"&amp;0)=0,"",IF(COUNTIFS(m_teacher,E$4,m_date,($G$2+6),m_active,1,m_start,"&lt;"&amp;600,m_end,"&gt;"&amp;0)&gt;1,"충돌",HYPERLINK("#'관리자_MASTER'!D"&amp;_xlfn.MAXIFS(m_row,m_teacher,E$4,m_date,($G$2+6),m_active,1,m_start,"&lt;"&amp;600,m_end,"&gt;"&amp;0),INDEX(m_label,_xlfn.MAXIFS(m_row,m_teacher,E$4,m_date,($G$2+6),m_active,1,m_start,"&lt;"&amp;600,m_end,"&gt;"&amp;0))))))</f>
        <v/>
      </c>
      <c r="F71" s="80" t="str">
        <f aca="false">IF(OR(F$4="",MONTH(($G$2+6))&lt;&gt;MONTH($C$2)),"",IF(COUNTIFS(m_teacher,F$4,m_date,($G$2+6),m_active,1,m_start,"&lt;"&amp;600,m_end,"&gt;"&amp;0)=0,"",IF(COUNTIFS(m_teacher,F$4,m_date,($G$2+6),m_active,1,m_start,"&lt;"&amp;600,m_end,"&gt;"&amp;0)&gt;1,"충돌",HYPERLINK("#'관리자_MASTER'!D"&amp;_xlfn.MAXIFS(m_row,m_teacher,F$4,m_date,($G$2+6),m_active,1,m_start,"&lt;"&amp;600,m_end,"&gt;"&amp;0),INDEX(m_label,_xlfn.MAXIFS(m_row,m_teacher,F$4,m_date,($G$2+6),m_active,1,m_start,"&lt;"&amp;600,m_end,"&gt;"&amp;0))))))</f>
        <v/>
      </c>
      <c r="G71" s="80" t="str">
        <f aca="false">IF(OR(G$4="",MONTH(($G$2+6))&lt;&gt;MONTH($C$2)),"",IF(COUNTIFS(m_teacher,G$4,m_date,($G$2+6),m_active,1,m_start,"&lt;"&amp;600,m_end,"&gt;"&amp;0)=0,"",IF(COUNTIFS(m_teacher,G$4,m_date,($G$2+6),m_active,1,m_start,"&lt;"&amp;600,m_end,"&gt;"&amp;0)&gt;1,"충돌",HYPERLINK("#'관리자_MASTER'!D"&amp;_xlfn.MAXIFS(m_row,m_teacher,G$4,m_date,($G$2+6),m_active,1,m_start,"&lt;"&amp;600,m_end,"&gt;"&amp;0),INDEX(m_label,_xlfn.MAXIFS(m_row,m_teacher,G$4,m_date,($G$2+6),m_active,1,m_start,"&lt;"&amp;600,m_end,"&gt;"&amp;0))))))</f>
        <v/>
      </c>
      <c r="H71" s="80" t="str">
        <f aca="false">IF(OR(H$4="",MONTH(($G$2+6))&lt;&gt;MONTH($C$2)),"",IF(COUNTIFS(m_teacher,H$4,m_date,($G$2+6),m_active,1,m_start,"&lt;"&amp;600,m_end,"&gt;"&amp;0)=0,"",IF(COUNTIFS(m_teacher,H$4,m_date,($G$2+6),m_active,1,m_start,"&lt;"&amp;600,m_end,"&gt;"&amp;0)&gt;1,"충돌",HYPERLINK("#'관리자_MASTER'!D"&amp;_xlfn.MAXIFS(m_row,m_teacher,H$4,m_date,($G$2+6),m_active,1,m_start,"&lt;"&amp;600,m_end,"&gt;"&amp;0),INDEX(m_label,_xlfn.MAXIFS(m_row,m_teacher,H$4,m_date,($G$2+6),m_active,1,m_start,"&lt;"&amp;600,m_end,"&gt;"&amp;0))))))</f>
        <v/>
      </c>
      <c r="I71" s="80" t="str">
        <f aca="false">IF(OR(I$4="",MONTH(($G$2+6))&lt;&gt;MONTH($C$2)),"",IF(COUNTIFS(m_teacher,I$4,m_date,($G$2+6),m_active,1,m_start,"&lt;"&amp;600,m_end,"&gt;"&amp;0)=0,"",IF(COUNTIFS(m_teacher,I$4,m_date,($G$2+6),m_active,1,m_start,"&lt;"&amp;600,m_end,"&gt;"&amp;0)&gt;1,"충돌",HYPERLINK("#'관리자_MASTER'!D"&amp;_xlfn.MAXIFS(m_row,m_teacher,I$4,m_date,($G$2+6),m_active,1,m_start,"&lt;"&amp;600,m_end,"&gt;"&amp;0),INDEX(m_label,_xlfn.MAXIFS(m_row,m_teacher,I$4,m_date,($G$2+6),m_active,1,m_start,"&lt;"&amp;600,m_end,"&gt;"&amp;0))))))</f>
        <v/>
      </c>
      <c r="J71" s="80" t="str">
        <f aca="false">IF(OR(J$4="",MONTH(($G$2+6))&lt;&gt;MONTH($C$2)),"",IF(COUNTIFS(m_teacher,J$4,m_date,($G$2+6),m_active,1,m_start,"&lt;"&amp;600,m_end,"&gt;"&amp;0)=0,"",IF(COUNTIFS(m_teacher,J$4,m_date,($G$2+6),m_active,1,m_start,"&lt;"&amp;600,m_end,"&gt;"&amp;0)&gt;1,"충돌",HYPERLINK("#'관리자_MASTER'!D"&amp;_xlfn.MAXIFS(m_row,m_teacher,J$4,m_date,($G$2+6),m_active,1,m_start,"&lt;"&amp;600,m_end,"&gt;"&amp;0),INDEX(m_label,_xlfn.MAXIFS(m_row,m_teacher,J$4,m_date,($G$2+6),m_active,1,m_start,"&lt;"&amp;600,m_end,"&gt;"&amp;0))))))</f>
        <v/>
      </c>
      <c r="K71" s="80" t="str">
        <f aca="false">IF(OR(K$4="",MONTH(($G$2+6))&lt;&gt;MONTH($C$2)),"",IF(COUNTIFS(m_teacher,K$4,m_date,($G$2+6),m_active,1,m_start,"&lt;"&amp;600,m_end,"&gt;"&amp;0)=0,"",IF(COUNTIFS(m_teacher,K$4,m_date,($G$2+6),m_active,1,m_start,"&lt;"&amp;600,m_end,"&gt;"&amp;0)&gt;1,"충돌",HYPERLINK("#'관리자_MASTER'!D"&amp;_xlfn.MAXIFS(m_row,m_teacher,K$4,m_date,($G$2+6),m_active,1,m_start,"&lt;"&amp;600,m_end,"&gt;"&amp;0),INDEX(m_label,_xlfn.MAXIFS(m_row,m_teacher,K$4,m_date,($G$2+6),m_active,1,m_start,"&lt;"&amp;600,m_end,"&gt;"&amp;0))))))</f>
        <v/>
      </c>
      <c r="L71" s="80" t="str">
        <f aca="false">IF(OR(L$4="",MONTH(($G$2+6))&lt;&gt;MONTH($C$2)),"",IF(COUNTIFS(m_teacher,L$4,m_date,($G$2+6),m_active,1,m_start,"&lt;"&amp;600,m_end,"&gt;"&amp;0)=0,"",IF(COUNTIFS(m_teacher,L$4,m_date,($G$2+6),m_active,1,m_start,"&lt;"&amp;600,m_end,"&gt;"&amp;0)&gt;1,"충돌",HYPERLINK("#'관리자_MASTER'!D"&amp;_xlfn.MAXIFS(m_row,m_teacher,L$4,m_date,($G$2+6),m_active,1,m_start,"&lt;"&amp;600,m_end,"&gt;"&amp;0),INDEX(m_label,_xlfn.MAXIFS(m_row,m_teacher,L$4,m_date,($G$2+6),m_active,1,m_start,"&lt;"&amp;600,m_end,"&gt;"&amp;0))))))</f>
        <v/>
      </c>
      <c r="M71" s="80" t="str">
        <f aca="false">IF(OR(M$4="",MONTH(($G$2+6))&lt;&gt;MONTH($C$2)),"",IF(COUNTIFS(m_teacher,M$4,m_date,($G$2+6),m_active,1,m_start,"&lt;"&amp;600,m_end,"&gt;"&amp;0)=0,"",IF(COUNTIFS(m_teacher,M$4,m_date,($G$2+6),m_active,1,m_start,"&lt;"&amp;600,m_end,"&gt;"&amp;0)&gt;1,"충돌",HYPERLINK("#'관리자_MASTER'!D"&amp;_xlfn.MAXIFS(m_row,m_teacher,M$4,m_date,($G$2+6),m_active,1,m_start,"&lt;"&amp;600,m_end,"&gt;"&amp;0),INDEX(m_label,_xlfn.MAXIFS(m_row,m_teacher,M$4,m_date,($G$2+6),m_active,1,m_start,"&lt;"&amp;600,m_end,"&gt;"&amp;0))))))</f>
        <v/>
      </c>
      <c r="N71" s="80" t="str">
        <f aca="false">IF(OR(N$4="",MONTH(($G$2+6))&lt;&gt;MONTH($C$2)),"",IF(COUNTIFS(m_teacher,N$4,m_date,($G$2+6),m_active,1,m_start,"&lt;"&amp;600,m_end,"&gt;"&amp;0)=0,"",IF(COUNTIFS(m_teacher,N$4,m_date,($G$2+6),m_active,1,m_start,"&lt;"&amp;600,m_end,"&gt;"&amp;0)&gt;1,"충돌",HYPERLINK("#'관리자_MASTER'!D"&amp;_xlfn.MAXIFS(m_row,m_teacher,N$4,m_date,($G$2+6),m_active,1,m_start,"&lt;"&amp;600,m_end,"&gt;"&amp;0),INDEX(m_label,_xlfn.MAXIFS(m_row,m_teacher,N$4,m_date,($G$2+6),m_active,1,m_start,"&lt;"&amp;600,m_end,"&gt;"&amp;0))))))</f>
        <v/>
      </c>
      <c r="O71" s="92" t="str">
        <f aca="false">IF(MONTH(($G$2+13))&lt;&gt;MONTH($C$2),"",CHOOSE(WEEKDAY(($G$2+13),2),"월","화","수","목","금","토","일")&amp;CHAR(10)&amp;TEXT(($G$2+13),"m/d"))</f>
        <v>일
12/13</v>
      </c>
      <c r="P71" s="79" t="s">
        <v>91</v>
      </c>
      <c r="Q71" s="80" t="str">
        <f aca="false">IF(OR(Q$4="",MONTH(($G$2+13))&lt;&gt;MONTH($C$2)),"",IF(COUNTIFS(m_teacher,Q$4,m_date,($G$2+13),m_active,1,m_start,"&lt;"&amp;600,m_end,"&gt;"&amp;0)=0,"",IF(COUNTIFS(m_teacher,Q$4,m_date,($G$2+13),m_active,1,m_start,"&lt;"&amp;600,m_end,"&gt;"&amp;0)&gt;1,"충돌",HYPERLINK("#'관리자_MASTER'!D"&amp;_xlfn.MAXIFS(m_row,m_teacher,Q$4,m_date,($G$2+13),m_active,1,m_start,"&lt;"&amp;600,m_end,"&gt;"&amp;0),INDEX(m_label,_xlfn.MAXIFS(m_row,m_teacher,Q$4,m_date,($G$2+13),m_active,1,m_start,"&lt;"&amp;600,m_end,"&gt;"&amp;0))))))</f>
        <v/>
      </c>
      <c r="R71" s="80" t="str">
        <f aca="false">IF(OR(R$4="",MONTH(($G$2+13))&lt;&gt;MONTH($C$2)),"",IF(COUNTIFS(m_teacher,R$4,m_date,($G$2+13),m_active,1,m_start,"&lt;"&amp;600,m_end,"&gt;"&amp;0)=0,"",IF(COUNTIFS(m_teacher,R$4,m_date,($G$2+13),m_active,1,m_start,"&lt;"&amp;600,m_end,"&gt;"&amp;0)&gt;1,"충돌",HYPERLINK("#'관리자_MASTER'!D"&amp;_xlfn.MAXIFS(m_row,m_teacher,R$4,m_date,($G$2+13),m_active,1,m_start,"&lt;"&amp;600,m_end,"&gt;"&amp;0),INDEX(m_label,_xlfn.MAXIFS(m_row,m_teacher,R$4,m_date,($G$2+13),m_active,1,m_start,"&lt;"&amp;600,m_end,"&gt;"&amp;0))))))</f>
        <v/>
      </c>
      <c r="S71" s="80" t="str">
        <f aca="false">IF(OR(S$4="",MONTH(($G$2+13))&lt;&gt;MONTH($C$2)),"",IF(COUNTIFS(m_teacher,S$4,m_date,($G$2+13),m_active,1,m_start,"&lt;"&amp;600,m_end,"&gt;"&amp;0)=0,"",IF(COUNTIFS(m_teacher,S$4,m_date,($G$2+13),m_active,1,m_start,"&lt;"&amp;600,m_end,"&gt;"&amp;0)&gt;1,"충돌",HYPERLINK("#'관리자_MASTER'!D"&amp;_xlfn.MAXIFS(m_row,m_teacher,S$4,m_date,($G$2+13),m_active,1,m_start,"&lt;"&amp;600,m_end,"&gt;"&amp;0),INDEX(m_label,_xlfn.MAXIFS(m_row,m_teacher,S$4,m_date,($G$2+13),m_active,1,m_start,"&lt;"&amp;600,m_end,"&gt;"&amp;0))))))</f>
        <v/>
      </c>
      <c r="T71" s="80" t="str">
        <f aca="false">IF(OR(T$4="",MONTH(($G$2+13))&lt;&gt;MONTH($C$2)),"",IF(COUNTIFS(m_teacher,T$4,m_date,($G$2+13),m_active,1,m_start,"&lt;"&amp;600,m_end,"&gt;"&amp;0)=0,"",IF(COUNTIFS(m_teacher,T$4,m_date,($G$2+13),m_active,1,m_start,"&lt;"&amp;600,m_end,"&gt;"&amp;0)&gt;1,"충돌",HYPERLINK("#'관리자_MASTER'!D"&amp;_xlfn.MAXIFS(m_row,m_teacher,T$4,m_date,($G$2+13),m_active,1,m_start,"&lt;"&amp;600,m_end,"&gt;"&amp;0),INDEX(m_label,_xlfn.MAXIFS(m_row,m_teacher,T$4,m_date,($G$2+13),m_active,1,m_start,"&lt;"&amp;600,m_end,"&gt;"&amp;0))))))</f>
        <v/>
      </c>
      <c r="U71" s="80" t="str">
        <f aca="false">IF(OR(U$4="",MONTH(($G$2+13))&lt;&gt;MONTH($C$2)),"",IF(COUNTIFS(m_teacher,U$4,m_date,($G$2+13),m_active,1,m_start,"&lt;"&amp;600,m_end,"&gt;"&amp;0)=0,"",IF(COUNTIFS(m_teacher,U$4,m_date,($G$2+13),m_active,1,m_start,"&lt;"&amp;600,m_end,"&gt;"&amp;0)&gt;1,"충돌",HYPERLINK("#'관리자_MASTER'!D"&amp;_xlfn.MAXIFS(m_row,m_teacher,U$4,m_date,($G$2+13),m_active,1,m_start,"&lt;"&amp;600,m_end,"&gt;"&amp;0),INDEX(m_label,_xlfn.MAXIFS(m_row,m_teacher,U$4,m_date,($G$2+13),m_active,1,m_start,"&lt;"&amp;600,m_end,"&gt;"&amp;0))))))</f>
        <v/>
      </c>
      <c r="V71" s="80" t="str">
        <f aca="false">IF(OR(V$4="",MONTH(($G$2+13))&lt;&gt;MONTH($C$2)),"",IF(COUNTIFS(m_teacher,V$4,m_date,($G$2+13),m_active,1,m_start,"&lt;"&amp;600,m_end,"&gt;"&amp;0)=0,"",IF(COUNTIFS(m_teacher,V$4,m_date,($G$2+13),m_active,1,m_start,"&lt;"&amp;600,m_end,"&gt;"&amp;0)&gt;1,"충돌",HYPERLINK("#'관리자_MASTER'!D"&amp;_xlfn.MAXIFS(m_row,m_teacher,V$4,m_date,($G$2+13),m_active,1,m_start,"&lt;"&amp;600,m_end,"&gt;"&amp;0),INDEX(m_label,_xlfn.MAXIFS(m_row,m_teacher,V$4,m_date,($G$2+13),m_active,1,m_start,"&lt;"&amp;600,m_end,"&gt;"&amp;0))))))</f>
        <v/>
      </c>
      <c r="W71" s="80" t="str">
        <f aca="false">IF(OR(W$4="",MONTH(($G$2+13))&lt;&gt;MONTH($C$2)),"",IF(COUNTIFS(m_teacher,W$4,m_date,($G$2+13),m_active,1,m_start,"&lt;"&amp;600,m_end,"&gt;"&amp;0)=0,"",IF(COUNTIFS(m_teacher,W$4,m_date,($G$2+13),m_active,1,m_start,"&lt;"&amp;600,m_end,"&gt;"&amp;0)&gt;1,"충돌",HYPERLINK("#'관리자_MASTER'!D"&amp;_xlfn.MAXIFS(m_row,m_teacher,W$4,m_date,($G$2+13),m_active,1,m_start,"&lt;"&amp;600,m_end,"&gt;"&amp;0),INDEX(m_label,_xlfn.MAXIFS(m_row,m_teacher,W$4,m_date,($G$2+13),m_active,1,m_start,"&lt;"&amp;600,m_end,"&gt;"&amp;0))))))</f>
        <v/>
      </c>
      <c r="X71" s="80" t="str">
        <f aca="false">IF(OR(X$4="",MONTH(($G$2+13))&lt;&gt;MONTH($C$2)),"",IF(COUNTIFS(m_teacher,X$4,m_date,($G$2+13),m_active,1,m_start,"&lt;"&amp;600,m_end,"&gt;"&amp;0)=0,"",IF(COUNTIFS(m_teacher,X$4,m_date,($G$2+13),m_active,1,m_start,"&lt;"&amp;600,m_end,"&gt;"&amp;0)&gt;1,"충돌",HYPERLINK("#'관리자_MASTER'!D"&amp;_xlfn.MAXIFS(m_row,m_teacher,X$4,m_date,($G$2+13),m_active,1,m_start,"&lt;"&amp;600,m_end,"&gt;"&amp;0),INDEX(m_label,_xlfn.MAXIFS(m_row,m_teacher,X$4,m_date,($G$2+13),m_active,1,m_start,"&lt;"&amp;600,m_end,"&gt;"&amp;0))))))</f>
        <v/>
      </c>
      <c r="Y71" s="80" t="str">
        <f aca="false">IF(OR(Y$4="",MONTH(($G$2+13))&lt;&gt;MONTH($C$2)),"",IF(COUNTIFS(m_teacher,Y$4,m_date,($G$2+13),m_active,1,m_start,"&lt;"&amp;600,m_end,"&gt;"&amp;0)=0,"",IF(COUNTIFS(m_teacher,Y$4,m_date,($G$2+13),m_active,1,m_start,"&lt;"&amp;600,m_end,"&gt;"&amp;0)&gt;1,"충돌",HYPERLINK("#'관리자_MASTER'!D"&amp;_xlfn.MAXIFS(m_row,m_teacher,Y$4,m_date,($G$2+13),m_active,1,m_start,"&lt;"&amp;600,m_end,"&gt;"&amp;0),INDEX(m_label,_xlfn.MAXIFS(m_row,m_teacher,Y$4,m_date,($G$2+13),m_active,1,m_start,"&lt;"&amp;600,m_end,"&gt;"&amp;0))))))</f>
        <v/>
      </c>
      <c r="Z71" s="80" t="str">
        <f aca="false">IF(OR(Z$4="",MONTH(($G$2+13))&lt;&gt;MONTH($C$2)),"",IF(COUNTIFS(m_teacher,Z$4,m_date,($G$2+13),m_active,1,m_start,"&lt;"&amp;600,m_end,"&gt;"&amp;0)=0,"",IF(COUNTIFS(m_teacher,Z$4,m_date,($G$2+13),m_active,1,m_start,"&lt;"&amp;600,m_end,"&gt;"&amp;0)&gt;1,"충돌",HYPERLINK("#'관리자_MASTER'!D"&amp;_xlfn.MAXIFS(m_row,m_teacher,Z$4,m_date,($G$2+13),m_active,1,m_start,"&lt;"&amp;600,m_end,"&gt;"&amp;0),INDEX(m_label,_xlfn.MAXIFS(m_row,m_teacher,Z$4,m_date,($G$2+13),m_active,1,m_start,"&lt;"&amp;600,m_end,"&gt;"&amp;0))))))</f>
        <v/>
      </c>
      <c r="AA71" s="80" t="str">
        <f aca="false">IF(OR(AA$4="",MONTH(($G$2+13))&lt;&gt;MONTH($C$2)),"",IF(COUNTIFS(m_teacher,AA$4,m_date,($G$2+13),m_active,1,m_start,"&lt;"&amp;600,m_end,"&gt;"&amp;0)=0,"",IF(COUNTIFS(m_teacher,AA$4,m_date,($G$2+13),m_active,1,m_start,"&lt;"&amp;600,m_end,"&gt;"&amp;0)&gt;1,"충돌",HYPERLINK("#'관리자_MASTER'!D"&amp;_xlfn.MAXIFS(m_row,m_teacher,AA$4,m_date,($G$2+13),m_active,1,m_start,"&lt;"&amp;600,m_end,"&gt;"&amp;0),INDEX(m_label,_xlfn.MAXIFS(m_row,m_teacher,AA$4,m_date,($G$2+13),m_active,1,m_start,"&lt;"&amp;600,m_end,"&gt;"&amp;0))))))</f>
        <v/>
      </c>
      <c r="AB71" s="80" t="str">
        <f aca="false">IF(OR(AB$4="",MONTH(($G$2+13))&lt;&gt;MONTH($C$2)),"",IF(COUNTIFS(m_teacher,AB$4,m_date,($G$2+13),m_active,1,m_start,"&lt;"&amp;600,m_end,"&gt;"&amp;0)=0,"",IF(COUNTIFS(m_teacher,AB$4,m_date,($G$2+13),m_active,1,m_start,"&lt;"&amp;600,m_end,"&gt;"&amp;0)&gt;1,"충돌",HYPERLINK("#'관리자_MASTER'!D"&amp;_xlfn.MAXIFS(m_row,m_teacher,AB$4,m_date,($G$2+13),m_active,1,m_start,"&lt;"&amp;600,m_end,"&gt;"&amp;0),INDEX(m_label,_xlfn.MAXIFS(m_row,m_teacher,AB$4,m_date,($G$2+13),m_active,1,m_start,"&lt;"&amp;600,m_end,"&gt;"&amp;0))))))</f>
        <v/>
      </c>
      <c r="AC71" s="92" t="str">
        <f aca="false">IF(MONTH(($G$2+20))&lt;&gt;MONTH($C$2),"",CHOOSE(WEEKDAY(($G$2+20),2),"월","화","수","목","금","토","일")&amp;CHAR(10)&amp;TEXT(($G$2+20),"m/d"))</f>
        <v>일
12/20</v>
      </c>
      <c r="AD71" s="79" t="s">
        <v>91</v>
      </c>
      <c r="AE71" s="80" t="str">
        <f aca="false">IF(OR(AE$4="",MONTH(($G$2+20))&lt;&gt;MONTH($C$2)),"",IF(COUNTIFS(m_teacher,AE$4,m_date,($G$2+20),m_active,1,m_start,"&lt;"&amp;600,m_end,"&gt;"&amp;0)=0,"",IF(COUNTIFS(m_teacher,AE$4,m_date,($G$2+20),m_active,1,m_start,"&lt;"&amp;600,m_end,"&gt;"&amp;0)&gt;1,"충돌",HYPERLINK("#'관리자_MASTER'!D"&amp;_xlfn.MAXIFS(m_row,m_teacher,AE$4,m_date,($G$2+20),m_active,1,m_start,"&lt;"&amp;600,m_end,"&gt;"&amp;0),INDEX(m_label,_xlfn.MAXIFS(m_row,m_teacher,AE$4,m_date,($G$2+20),m_active,1,m_start,"&lt;"&amp;600,m_end,"&gt;"&amp;0))))))</f>
        <v/>
      </c>
      <c r="AF71" s="80" t="str">
        <f aca="false">IF(OR(AF$4="",MONTH(($G$2+20))&lt;&gt;MONTH($C$2)),"",IF(COUNTIFS(m_teacher,AF$4,m_date,($G$2+20),m_active,1,m_start,"&lt;"&amp;600,m_end,"&gt;"&amp;0)=0,"",IF(COUNTIFS(m_teacher,AF$4,m_date,($G$2+20),m_active,1,m_start,"&lt;"&amp;600,m_end,"&gt;"&amp;0)&gt;1,"충돌",HYPERLINK("#'관리자_MASTER'!D"&amp;_xlfn.MAXIFS(m_row,m_teacher,AF$4,m_date,($G$2+20),m_active,1,m_start,"&lt;"&amp;600,m_end,"&gt;"&amp;0),INDEX(m_label,_xlfn.MAXIFS(m_row,m_teacher,AF$4,m_date,($G$2+20),m_active,1,m_start,"&lt;"&amp;600,m_end,"&gt;"&amp;0))))))</f>
        <v/>
      </c>
      <c r="AG71" s="80" t="str">
        <f aca="false">IF(OR(AG$4="",MONTH(($G$2+20))&lt;&gt;MONTH($C$2)),"",IF(COUNTIFS(m_teacher,AG$4,m_date,($G$2+20),m_active,1,m_start,"&lt;"&amp;600,m_end,"&gt;"&amp;0)=0,"",IF(COUNTIFS(m_teacher,AG$4,m_date,($G$2+20),m_active,1,m_start,"&lt;"&amp;600,m_end,"&gt;"&amp;0)&gt;1,"충돌",HYPERLINK("#'관리자_MASTER'!D"&amp;_xlfn.MAXIFS(m_row,m_teacher,AG$4,m_date,($G$2+20),m_active,1,m_start,"&lt;"&amp;600,m_end,"&gt;"&amp;0),INDEX(m_label,_xlfn.MAXIFS(m_row,m_teacher,AG$4,m_date,($G$2+20),m_active,1,m_start,"&lt;"&amp;600,m_end,"&gt;"&amp;0))))))</f>
        <v/>
      </c>
      <c r="AH71" s="80" t="str">
        <f aca="false">IF(OR(AH$4="",MONTH(($G$2+20))&lt;&gt;MONTH($C$2)),"",IF(COUNTIFS(m_teacher,AH$4,m_date,($G$2+20),m_active,1,m_start,"&lt;"&amp;600,m_end,"&gt;"&amp;0)=0,"",IF(COUNTIFS(m_teacher,AH$4,m_date,($G$2+20),m_active,1,m_start,"&lt;"&amp;600,m_end,"&gt;"&amp;0)&gt;1,"충돌",HYPERLINK("#'관리자_MASTER'!D"&amp;_xlfn.MAXIFS(m_row,m_teacher,AH$4,m_date,($G$2+20),m_active,1,m_start,"&lt;"&amp;600,m_end,"&gt;"&amp;0),INDEX(m_label,_xlfn.MAXIFS(m_row,m_teacher,AH$4,m_date,($G$2+20),m_active,1,m_start,"&lt;"&amp;600,m_end,"&gt;"&amp;0))))))</f>
        <v/>
      </c>
      <c r="AI71" s="80" t="str">
        <f aca="false">IF(OR(AI$4="",MONTH(($G$2+20))&lt;&gt;MONTH($C$2)),"",IF(COUNTIFS(m_teacher,AI$4,m_date,($G$2+20),m_active,1,m_start,"&lt;"&amp;600,m_end,"&gt;"&amp;0)=0,"",IF(COUNTIFS(m_teacher,AI$4,m_date,($G$2+20),m_active,1,m_start,"&lt;"&amp;600,m_end,"&gt;"&amp;0)&gt;1,"충돌",HYPERLINK("#'관리자_MASTER'!D"&amp;_xlfn.MAXIFS(m_row,m_teacher,AI$4,m_date,($G$2+20),m_active,1,m_start,"&lt;"&amp;600,m_end,"&gt;"&amp;0),INDEX(m_label,_xlfn.MAXIFS(m_row,m_teacher,AI$4,m_date,($G$2+20),m_active,1,m_start,"&lt;"&amp;600,m_end,"&gt;"&amp;0))))))</f>
        <v/>
      </c>
      <c r="AJ71" s="80" t="str">
        <f aca="false">IF(OR(AJ$4="",MONTH(($G$2+20))&lt;&gt;MONTH($C$2)),"",IF(COUNTIFS(m_teacher,AJ$4,m_date,($G$2+20),m_active,1,m_start,"&lt;"&amp;600,m_end,"&gt;"&amp;0)=0,"",IF(COUNTIFS(m_teacher,AJ$4,m_date,($G$2+20),m_active,1,m_start,"&lt;"&amp;600,m_end,"&gt;"&amp;0)&gt;1,"충돌",HYPERLINK("#'관리자_MASTER'!D"&amp;_xlfn.MAXIFS(m_row,m_teacher,AJ$4,m_date,($G$2+20),m_active,1,m_start,"&lt;"&amp;600,m_end,"&gt;"&amp;0),INDEX(m_label,_xlfn.MAXIFS(m_row,m_teacher,AJ$4,m_date,($G$2+20),m_active,1,m_start,"&lt;"&amp;600,m_end,"&gt;"&amp;0))))))</f>
        <v/>
      </c>
      <c r="AK71" s="80" t="str">
        <f aca="false">IF(OR(AK$4="",MONTH(($G$2+20))&lt;&gt;MONTH($C$2)),"",IF(COUNTIFS(m_teacher,AK$4,m_date,($G$2+20),m_active,1,m_start,"&lt;"&amp;600,m_end,"&gt;"&amp;0)=0,"",IF(COUNTIFS(m_teacher,AK$4,m_date,($G$2+20),m_active,1,m_start,"&lt;"&amp;600,m_end,"&gt;"&amp;0)&gt;1,"충돌",HYPERLINK("#'관리자_MASTER'!D"&amp;_xlfn.MAXIFS(m_row,m_teacher,AK$4,m_date,($G$2+20),m_active,1,m_start,"&lt;"&amp;600,m_end,"&gt;"&amp;0),INDEX(m_label,_xlfn.MAXIFS(m_row,m_teacher,AK$4,m_date,($G$2+20),m_active,1,m_start,"&lt;"&amp;600,m_end,"&gt;"&amp;0))))))</f>
        <v/>
      </c>
      <c r="AL71" s="80" t="str">
        <f aca="false">IF(OR(AL$4="",MONTH(($G$2+20))&lt;&gt;MONTH($C$2)),"",IF(COUNTIFS(m_teacher,AL$4,m_date,($G$2+20),m_active,1,m_start,"&lt;"&amp;600,m_end,"&gt;"&amp;0)=0,"",IF(COUNTIFS(m_teacher,AL$4,m_date,($G$2+20),m_active,1,m_start,"&lt;"&amp;600,m_end,"&gt;"&amp;0)&gt;1,"충돌",HYPERLINK("#'관리자_MASTER'!D"&amp;_xlfn.MAXIFS(m_row,m_teacher,AL$4,m_date,($G$2+20),m_active,1,m_start,"&lt;"&amp;600,m_end,"&gt;"&amp;0),INDEX(m_label,_xlfn.MAXIFS(m_row,m_teacher,AL$4,m_date,($G$2+20),m_active,1,m_start,"&lt;"&amp;600,m_end,"&gt;"&amp;0))))))</f>
        <v/>
      </c>
      <c r="AM71" s="80" t="str">
        <f aca="false">IF(OR(AM$4="",MONTH(($G$2+20))&lt;&gt;MONTH($C$2)),"",IF(COUNTIFS(m_teacher,AM$4,m_date,($G$2+20),m_active,1,m_start,"&lt;"&amp;600,m_end,"&gt;"&amp;0)=0,"",IF(COUNTIFS(m_teacher,AM$4,m_date,($G$2+20),m_active,1,m_start,"&lt;"&amp;600,m_end,"&gt;"&amp;0)&gt;1,"충돌",HYPERLINK("#'관리자_MASTER'!D"&amp;_xlfn.MAXIFS(m_row,m_teacher,AM$4,m_date,($G$2+20),m_active,1,m_start,"&lt;"&amp;600,m_end,"&gt;"&amp;0),INDEX(m_label,_xlfn.MAXIFS(m_row,m_teacher,AM$4,m_date,($G$2+20),m_active,1,m_start,"&lt;"&amp;600,m_end,"&gt;"&amp;0))))))</f>
        <v/>
      </c>
      <c r="AN71" s="80" t="str">
        <f aca="false">IF(OR(AN$4="",MONTH(($G$2+20))&lt;&gt;MONTH($C$2)),"",IF(COUNTIFS(m_teacher,AN$4,m_date,($G$2+20),m_active,1,m_start,"&lt;"&amp;600,m_end,"&gt;"&amp;0)=0,"",IF(COUNTIFS(m_teacher,AN$4,m_date,($G$2+20),m_active,1,m_start,"&lt;"&amp;600,m_end,"&gt;"&amp;0)&gt;1,"충돌",HYPERLINK("#'관리자_MASTER'!D"&amp;_xlfn.MAXIFS(m_row,m_teacher,AN$4,m_date,($G$2+20),m_active,1,m_start,"&lt;"&amp;600,m_end,"&gt;"&amp;0),INDEX(m_label,_xlfn.MAXIFS(m_row,m_teacher,AN$4,m_date,($G$2+20),m_active,1,m_start,"&lt;"&amp;600,m_end,"&gt;"&amp;0))))))</f>
        <v/>
      </c>
      <c r="AO71" s="80" t="str">
        <f aca="false">IF(OR(AO$4="",MONTH(($G$2+20))&lt;&gt;MONTH($C$2)),"",IF(COUNTIFS(m_teacher,AO$4,m_date,($G$2+20),m_active,1,m_start,"&lt;"&amp;600,m_end,"&gt;"&amp;0)=0,"",IF(COUNTIFS(m_teacher,AO$4,m_date,($G$2+20),m_active,1,m_start,"&lt;"&amp;600,m_end,"&gt;"&amp;0)&gt;1,"충돌",HYPERLINK("#'관리자_MASTER'!D"&amp;_xlfn.MAXIFS(m_row,m_teacher,AO$4,m_date,($G$2+20),m_active,1,m_start,"&lt;"&amp;600,m_end,"&gt;"&amp;0),INDEX(m_label,_xlfn.MAXIFS(m_row,m_teacher,AO$4,m_date,($G$2+20),m_active,1,m_start,"&lt;"&amp;600,m_end,"&gt;"&amp;0))))))</f>
        <v/>
      </c>
      <c r="AP71" s="80" t="str">
        <f aca="false">IF(OR(AP$4="",MONTH(($G$2+20))&lt;&gt;MONTH($C$2)),"",IF(COUNTIFS(m_teacher,AP$4,m_date,($G$2+20),m_active,1,m_start,"&lt;"&amp;600,m_end,"&gt;"&amp;0)=0,"",IF(COUNTIFS(m_teacher,AP$4,m_date,($G$2+20),m_active,1,m_start,"&lt;"&amp;600,m_end,"&gt;"&amp;0)&gt;1,"충돌",HYPERLINK("#'관리자_MASTER'!D"&amp;_xlfn.MAXIFS(m_row,m_teacher,AP$4,m_date,($G$2+20),m_active,1,m_start,"&lt;"&amp;600,m_end,"&gt;"&amp;0),INDEX(m_label,_xlfn.MAXIFS(m_row,m_teacher,AP$4,m_date,($G$2+20),m_active,1,m_start,"&lt;"&amp;600,m_end,"&gt;"&amp;0))))))</f>
        <v/>
      </c>
      <c r="AQ71" s="92" t="str">
        <f aca="false">IF(MONTH(($G$2+27))&lt;&gt;MONTH($C$2),"",CHOOSE(WEEKDAY(($G$2+27),2),"월","화","수","목","금","토","일")&amp;CHAR(10)&amp;TEXT(($G$2+27),"m/d"))</f>
        <v>일
12/27</v>
      </c>
      <c r="AR71" s="79" t="s">
        <v>91</v>
      </c>
      <c r="AS71" s="80" t="str">
        <f aca="false">IF(OR(AS$4="",MONTH(($G$2+27))&lt;&gt;MONTH($C$2)),"",IF(COUNTIFS(m_teacher,AS$4,m_date,($G$2+27),m_active,1,m_start,"&lt;"&amp;600,m_end,"&gt;"&amp;0)=0,"",IF(COUNTIFS(m_teacher,AS$4,m_date,($G$2+27),m_active,1,m_start,"&lt;"&amp;600,m_end,"&gt;"&amp;0)&gt;1,"충돌",HYPERLINK("#'관리자_MASTER'!D"&amp;_xlfn.MAXIFS(m_row,m_teacher,AS$4,m_date,($G$2+27),m_active,1,m_start,"&lt;"&amp;600,m_end,"&gt;"&amp;0),INDEX(m_label,_xlfn.MAXIFS(m_row,m_teacher,AS$4,m_date,($G$2+27),m_active,1,m_start,"&lt;"&amp;600,m_end,"&gt;"&amp;0))))))</f>
        <v/>
      </c>
      <c r="AT71" s="80" t="str">
        <f aca="false">IF(OR(AT$4="",MONTH(($G$2+27))&lt;&gt;MONTH($C$2)),"",IF(COUNTIFS(m_teacher,AT$4,m_date,($G$2+27),m_active,1,m_start,"&lt;"&amp;600,m_end,"&gt;"&amp;0)=0,"",IF(COUNTIFS(m_teacher,AT$4,m_date,($G$2+27),m_active,1,m_start,"&lt;"&amp;600,m_end,"&gt;"&amp;0)&gt;1,"충돌",HYPERLINK("#'관리자_MASTER'!D"&amp;_xlfn.MAXIFS(m_row,m_teacher,AT$4,m_date,($G$2+27),m_active,1,m_start,"&lt;"&amp;600,m_end,"&gt;"&amp;0),INDEX(m_label,_xlfn.MAXIFS(m_row,m_teacher,AT$4,m_date,($G$2+27),m_active,1,m_start,"&lt;"&amp;600,m_end,"&gt;"&amp;0))))))</f>
        <v/>
      </c>
      <c r="AU71" s="80" t="str">
        <f aca="false">IF(OR(AU$4="",MONTH(($G$2+27))&lt;&gt;MONTH($C$2)),"",IF(COUNTIFS(m_teacher,AU$4,m_date,($G$2+27),m_active,1,m_start,"&lt;"&amp;600,m_end,"&gt;"&amp;0)=0,"",IF(COUNTIFS(m_teacher,AU$4,m_date,($G$2+27),m_active,1,m_start,"&lt;"&amp;600,m_end,"&gt;"&amp;0)&gt;1,"충돌",HYPERLINK("#'관리자_MASTER'!D"&amp;_xlfn.MAXIFS(m_row,m_teacher,AU$4,m_date,($G$2+27),m_active,1,m_start,"&lt;"&amp;600,m_end,"&gt;"&amp;0),INDEX(m_label,_xlfn.MAXIFS(m_row,m_teacher,AU$4,m_date,($G$2+27),m_active,1,m_start,"&lt;"&amp;600,m_end,"&gt;"&amp;0))))))</f>
        <v/>
      </c>
      <c r="AV71" s="80" t="str">
        <f aca="false">IF(OR(AV$4="",MONTH(($G$2+27))&lt;&gt;MONTH($C$2)),"",IF(COUNTIFS(m_teacher,AV$4,m_date,($G$2+27),m_active,1,m_start,"&lt;"&amp;600,m_end,"&gt;"&amp;0)=0,"",IF(COUNTIFS(m_teacher,AV$4,m_date,($G$2+27),m_active,1,m_start,"&lt;"&amp;600,m_end,"&gt;"&amp;0)&gt;1,"충돌",HYPERLINK("#'관리자_MASTER'!D"&amp;_xlfn.MAXIFS(m_row,m_teacher,AV$4,m_date,($G$2+27),m_active,1,m_start,"&lt;"&amp;600,m_end,"&gt;"&amp;0),INDEX(m_label,_xlfn.MAXIFS(m_row,m_teacher,AV$4,m_date,($G$2+27),m_active,1,m_start,"&lt;"&amp;600,m_end,"&gt;"&amp;0))))))</f>
        <v/>
      </c>
      <c r="AW71" s="80" t="str">
        <f aca="false">IF(OR(AW$4="",MONTH(($G$2+27))&lt;&gt;MONTH($C$2)),"",IF(COUNTIFS(m_teacher,AW$4,m_date,($G$2+27),m_active,1,m_start,"&lt;"&amp;600,m_end,"&gt;"&amp;0)=0,"",IF(COUNTIFS(m_teacher,AW$4,m_date,($G$2+27),m_active,1,m_start,"&lt;"&amp;600,m_end,"&gt;"&amp;0)&gt;1,"충돌",HYPERLINK("#'관리자_MASTER'!D"&amp;_xlfn.MAXIFS(m_row,m_teacher,AW$4,m_date,($G$2+27),m_active,1,m_start,"&lt;"&amp;600,m_end,"&gt;"&amp;0),INDEX(m_label,_xlfn.MAXIFS(m_row,m_teacher,AW$4,m_date,($G$2+27),m_active,1,m_start,"&lt;"&amp;600,m_end,"&gt;"&amp;0))))))</f>
        <v/>
      </c>
      <c r="AX71" s="80" t="str">
        <f aca="false">IF(OR(AX$4="",MONTH(($G$2+27))&lt;&gt;MONTH($C$2)),"",IF(COUNTIFS(m_teacher,AX$4,m_date,($G$2+27),m_active,1,m_start,"&lt;"&amp;600,m_end,"&gt;"&amp;0)=0,"",IF(COUNTIFS(m_teacher,AX$4,m_date,($G$2+27),m_active,1,m_start,"&lt;"&amp;600,m_end,"&gt;"&amp;0)&gt;1,"충돌",HYPERLINK("#'관리자_MASTER'!D"&amp;_xlfn.MAXIFS(m_row,m_teacher,AX$4,m_date,($G$2+27),m_active,1,m_start,"&lt;"&amp;600,m_end,"&gt;"&amp;0),INDEX(m_label,_xlfn.MAXIFS(m_row,m_teacher,AX$4,m_date,($G$2+27),m_active,1,m_start,"&lt;"&amp;600,m_end,"&gt;"&amp;0))))))</f>
        <v/>
      </c>
      <c r="AY71" s="80" t="str">
        <f aca="false">IF(OR(AY$4="",MONTH(($G$2+27))&lt;&gt;MONTH($C$2)),"",IF(COUNTIFS(m_teacher,AY$4,m_date,($G$2+27),m_active,1,m_start,"&lt;"&amp;600,m_end,"&gt;"&amp;0)=0,"",IF(COUNTIFS(m_teacher,AY$4,m_date,($G$2+27),m_active,1,m_start,"&lt;"&amp;600,m_end,"&gt;"&amp;0)&gt;1,"충돌",HYPERLINK("#'관리자_MASTER'!D"&amp;_xlfn.MAXIFS(m_row,m_teacher,AY$4,m_date,($G$2+27),m_active,1,m_start,"&lt;"&amp;600,m_end,"&gt;"&amp;0),INDEX(m_label,_xlfn.MAXIFS(m_row,m_teacher,AY$4,m_date,($G$2+27),m_active,1,m_start,"&lt;"&amp;600,m_end,"&gt;"&amp;0))))))</f>
        <v/>
      </c>
      <c r="AZ71" s="80" t="str">
        <f aca="false">IF(OR(AZ$4="",MONTH(($G$2+27))&lt;&gt;MONTH($C$2)),"",IF(COUNTIFS(m_teacher,AZ$4,m_date,($G$2+27),m_active,1,m_start,"&lt;"&amp;600,m_end,"&gt;"&amp;0)=0,"",IF(COUNTIFS(m_teacher,AZ$4,m_date,($G$2+27),m_active,1,m_start,"&lt;"&amp;600,m_end,"&gt;"&amp;0)&gt;1,"충돌",HYPERLINK("#'관리자_MASTER'!D"&amp;_xlfn.MAXIFS(m_row,m_teacher,AZ$4,m_date,($G$2+27),m_active,1,m_start,"&lt;"&amp;600,m_end,"&gt;"&amp;0),INDEX(m_label,_xlfn.MAXIFS(m_row,m_teacher,AZ$4,m_date,($G$2+27),m_active,1,m_start,"&lt;"&amp;600,m_end,"&gt;"&amp;0))))))</f>
        <v/>
      </c>
      <c r="BA71" s="80" t="str">
        <f aca="false">IF(OR(BA$4="",MONTH(($G$2+27))&lt;&gt;MONTH($C$2)),"",IF(COUNTIFS(m_teacher,BA$4,m_date,($G$2+27),m_active,1,m_start,"&lt;"&amp;600,m_end,"&gt;"&amp;0)=0,"",IF(COUNTIFS(m_teacher,BA$4,m_date,($G$2+27),m_active,1,m_start,"&lt;"&amp;600,m_end,"&gt;"&amp;0)&gt;1,"충돌",HYPERLINK("#'관리자_MASTER'!D"&amp;_xlfn.MAXIFS(m_row,m_teacher,BA$4,m_date,($G$2+27),m_active,1,m_start,"&lt;"&amp;600,m_end,"&gt;"&amp;0),INDEX(m_label,_xlfn.MAXIFS(m_row,m_teacher,BA$4,m_date,($G$2+27),m_active,1,m_start,"&lt;"&amp;600,m_end,"&gt;"&amp;0))))))</f>
        <v/>
      </c>
      <c r="BB71" s="80" t="str">
        <f aca="false">IF(OR(BB$4="",MONTH(($G$2+27))&lt;&gt;MONTH($C$2)),"",IF(COUNTIFS(m_teacher,BB$4,m_date,($G$2+27),m_active,1,m_start,"&lt;"&amp;600,m_end,"&gt;"&amp;0)=0,"",IF(COUNTIFS(m_teacher,BB$4,m_date,($G$2+27),m_active,1,m_start,"&lt;"&amp;600,m_end,"&gt;"&amp;0)&gt;1,"충돌",HYPERLINK("#'관리자_MASTER'!D"&amp;_xlfn.MAXIFS(m_row,m_teacher,BB$4,m_date,($G$2+27),m_active,1,m_start,"&lt;"&amp;600,m_end,"&gt;"&amp;0),INDEX(m_label,_xlfn.MAXIFS(m_row,m_teacher,BB$4,m_date,($G$2+27),m_active,1,m_start,"&lt;"&amp;600,m_end,"&gt;"&amp;0))))))</f>
        <v/>
      </c>
      <c r="BC71" s="80" t="str">
        <f aca="false">IF(OR(BC$4="",MONTH(($G$2+27))&lt;&gt;MONTH($C$2)),"",IF(COUNTIFS(m_teacher,BC$4,m_date,($G$2+27),m_active,1,m_start,"&lt;"&amp;600,m_end,"&gt;"&amp;0)=0,"",IF(COUNTIFS(m_teacher,BC$4,m_date,($G$2+27),m_active,1,m_start,"&lt;"&amp;600,m_end,"&gt;"&amp;0)&gt;1,"충돌",HYPERLINK("#'관리자_MASTER'!D"&amp;_xlfn.MAXIFS(m_row,m_teacher,BC$4,m_date,($G$2+27),m_active,1,m_start,"&lt;"&amp;600,m_end,"&gt;"&amp;0),INDEX(m_label,_xlfn.MAXIFS(m_row,m_teacher,BC$4,m_date,($G$2+27),m_active,1,m_start,"&lt;"&amp;600,m_end,"&gt;"&amp;0))))))</f>
        <v/>
      </c>
      <c r="BD71" s="80" t="str">
        <f aca="false">IF(OR(BD$4="",MONTH(($G$2+27))&lt;&gt;MONTH($C$2)),"",IF(COUNTIFS(m_teacher,BD$4,m_date,($G$2+27),m_active,1,m_start,"&lt;"&amp;600,m_end,"&gt;"&amp;0)=0,"",IF(COUNTIFS(m_teacher,BD$4,m_date,($G$2+27),m_active,1,m_start,"&lt;"&amp;600,m_end,"&gt;"&amp;0)&gt;1,"충돌",HYPERLINK("#'관리자_MASTER'!D"&amp;_xlfn.MAXIFS(m_row,m_teacher,BD$4,m_date,($G$2+27),m_active,1,m_start,"&lt;"&amp;600,m_end,"&gt;"&amp;0),INDEX(m_label,_xlfn.MAXIFS(m_row,m_teacher,BD$4,m_date,($G$2+27),m_active,1,m_start,"&lt;"&amp;600,m_end,"&gt;"&amp;0))))))</f>
        <v/>
      </c>
      <c r="BE71" s="93" t="str">
        <f aca="false">IF(MONTH(($G$2+34))&lt;&gt;MONTH($C$2),"",CHOOSE(WEEKDAY(($G$2+34),2),"월","화","수","목","금","토","일")&amp;CHAR(10)&amp;TEXT(($G$2+34),"m/d"))</f>
        <v/>
      </c>
      <c r="BF71" s="76" t="s">
        <v>91</v>
      </c>
      <c r="BG71" s="77" t="str">
        <f aca="false">IF(OR(BG$4="",MONTH(($G$2+34))&lt;&gt;MONTH($C$2)),"",IF(COUNTIFS(m_teacher,BG$4,m_date,($G$2+34),m_active,1,m_start,"&lt;"&amp;600,m_end,"&gt;"&amp;0)=0,"",IF(COUNTIFS(m_teacher,BG$4,m_date,($G$2+34),m_active,1,m_start,"&lt;"&amp;600,m_end,"&gt;"&amp;0)&gt;1,"충돌",HYPERLINK("#'관리자_MASTER'!D"&amp;_xlfn.MAXIFS(m_row,m_teacher,BG$4,m_date,($G$2+34),m_active,1,m_start,"&lt;"&amp;600,m_end,"&gt;"&amp;0),INDEX(m_label,_xlfn.MAXIFS(m_row,m_teacher,BG$4,m_date,($G$2+34),m_active,1,m_start,"&lt;"&amp;600,m_end,"&gt;"&amp;0))))))</f>
        <v/>
      </c>
      <c r="BH71" s="77" t="str">
        <f aca="false">IF(OR(BH$4="",MONTH(($G$2+34))&lt;&gt;MONTH($C$2)),"",IF(COUNTIFS(m_teacher,BH$4,m_date,($G$2+34),m_active,1,m_start,"&lt;"&amp;600,m_end,"&gt;"&amp;0)=0,"",IF(COUNTIFS(m_teacher,BH$4,m_date,($G$2+34),m_active,1,m_start,"&lt;"&amp;600,m_end,"&gt;"&amp;0)&gt;1,"충돌",HYPERLINK("#'관리자_MASTER'!D"&amp;_xlfn.MAXIFS(m_row,m_teacher,BH$4,m_date,($G$2+34),m_active,1,m_start,"&lt;"&amp;600,m_end,"&gt;"&amp;0),INDEX(m_label,_xlfn.MAXIFS(m_row,m_teacher,BH$4,m_date,($G$2+34),m_active,1,m_start,"&lt;"&amp;600,m_end,"&gt;"&amp;0))))))</f>
        <v/>
      </c>
      <c r="BI71" s="77" t="str">
        <f aca="false">IF(OR(BI$4="",MONTH(($G$2+34))&lt;&gt;MONTH($C$2)),"",IF(COUNTIFS(m_teacher,BI$4,m_date,($G$2+34),m_active,1,m_start,"&lt;"&amp;600,m_end,"&gt;"&amp;0)=0,"",IF(COUNTIFS(m_teacher,BI$4,m_date,($G$2+34),m_active,1,m_start,"&lt;"&amp;600,m_end,"&gt;"&amp;0)&gt;1,"충돌",HYPERLINK("#'관리자_MASTER'!D"&amp;_xlfn.MAXIFS(m_row,m_teacher,BI$4,m_date,($G$2+34),m_active,1,m_start,"&lt;"&amp;600,m_end,"&gt;"&amp;0),INDEX(m_label,_xlfn.MAXIFS(m_row,m_teacher,BI$4,m_date,($G$2+34),m_active,1,m_start,"&lt;"&amp;600,m_end,"&gt;"&amp;0))))))</f>
        <v/>
      </c>
      <c r="BJ71" s="77" t="str">
        <f aca="false">IF(OR(BJ$4="",MONTH(($G$2+34))&lt;&gt;MONTH($C$2)),"",IF(COUNTIFS(m_teacher,BJ$4,m_date,($G$2+34),m_active,1,m_start,"&lt;"&amp;600,m_end,"&gt;"&amp;0)=0,"",IF(COUNTIFS(m_teacher,BJ$4,m_date,($G$2+34),m_active,1,m_start,"&lt;"&amp;600,m_end,"&gt;"&amp;0)&gt;1,"충돌",HYPERLINK("#'관리자_MASTER'!D"&amp;_xlfn.MAXIFS(m_row,m_teacher,BJ$4,m_date,($G$2+34),m_active,1,m_start,"&lt;"&amp;600,m_end,"&gt;"&amp;0),INDEX(m_label,_xlfn.MAXIFS(m_row,m_teacher,BJ$4,m_date,($G$2+34),m_active,1,m_start,"&lt;"&amp;600,m_end,"&gt;"&amp;0))))))</f>
        <v/>
      </c>
      <c r="BK71" s="77" t="str">
        <f aca="false">IF(OR(BK$4="",MONTH(($G$2+34))&lt;&gt;MONTH($C$2)),"",IF(COUNTIFS(m_teacher,BK$4,m_date,($G$2+34),m_active,1,m_start,"&lt;"&amp;600,m_end,"&gt;"&amp;0)=0,"",IF(COUNTIFS(m_teacher,BK$4,m_date,($G$2+34),m_active,1,m_start,"&lt;"&amp;600,m_end,"&gt;"&amp;0)&gt;1,"충돌",HYPERLINK("#'관리자_MASTER'!D"&amp;_xlfn.MAXIFS(m_row,m_teacher,BK$4,m_date,($G$2+34),m_active,1,m_start,"&lt;"&amp;600,m_end,"&gt;"&amp;0),INDEX(m_label,_xlfn.MAXIFS(m_row,m_teacher,BK$4,m_date,($G$2+34),m_active,1,m_start,"&lt;"&amp;600,m_end,"&gt;"&amp;0))))))</f>
        <v/>
      </c>
      <c r="BL71" s="77" t="str">
        <f aca="false">IF(OR(BL$4="",MONTH(($G$2+34))&lt;&gt;MONTH($C$2)),"",IF(COUNTIFS(m_teacher,BL$4,m_date,($G$2+34),m_active,1,m_start,"&lt;"&amp;600,m_end,"&gt;"&amp;0)=0,"",IF(COUNTIFS(m_teacher,BL$4,m_date,($G$2+34),m_active,1,m_start,"&lt;"&amp;600,m_end,"&gt;"&amp;0)&gt;1,"충돌",HYPERLINK("#'관리자_MASTER'!D"&amp;_xlfn.MAXIFS(m_row,m_teacher,BL$4,m_date,($G$2+34),m_active,1,m_start,"&lt;"&amp;600,m_end,"&gt;"&amp;0),INDEX(m_label,_xlfn.MAXIFS(m_row,m_teacher,BL$4,m_date,($G$2+34),m_active,1,m_start,"&lt;"&amp;600,m_end,"&gt;"&amp;0))))))</f>
        <v/>
      </c>
      <c r="BM71" s="77" t="str">
        <f aca="false">IF(OR(BM$4="",MONTH(($G$2+34))&lt;&gt;MONTH($C$2)),"",IF(COUNTIFS(m_teacher,BM$4,m_date,($G$2+34),m_active,1,m_start,"&lt;"&amp;600,m_end,"&gt;"&amp;0)=0,"",IF(COUNTIFS(m_teacher,BM$4,m_date,($G$2+34),m_active,1,m_start,"&lt;"&amp;600,m_end,"&gt;"&amp;0)&gt;1,"충돌",HYPERLINK("#'관리자_MASTER'!D"&amp;_xlfn.MAXIFS(m_row,m_teacher,BM$4,m_date,($G$2+34),m_active,1,m_start,"&lt;"&amp;600,m_end,"&gt;"&amp;0),INDEX(m_label,_xlfn.MAXIFS(m_row,m_teacher,BM$4,m_date,($G$2+34),m_active,1,m_start,"&lt;"&amp;600,m_end,"&gt;"&amp;0))))))</f>
        <v/>
      </c>
      <c r="BN71" s="77" t="str">
        <f aca="false">IF(OR(BN$4="",MONTH(($G$2+34))&lt;&gt;MONTH($C$2)),"",IF(COUNTIFS(m_teacher,BN$4,m_date,($G$2+34),m_active,1,m_start,"&lt;"&amp;600,m_end,"&gt;"&amp;0)=0,"",IF(COUNTIFS(m_teacher,BN$4,m_date,($G$2+34),m_active,1,m_start,"&lt;"&amp;600,m_end,"&gt;"&amp;0)&gt;1,"충돌",HYPERLINK("#'관리자_MASTER'!D"&amp;_xlfn.MAXIFS(m_row,m_teacher,BN$4,m_date,($G$2+34),m_active,1,m_start,"&lt;"&amp;600,m_end,"&gt;"&amp;0),INDEX(m_label,_xlfn.MAXIFS(m_row,m_teacher,BN$4,m_date,($G$2+34),m_active,1,m_start,"&lt;"&amp;600,m_end,"&gt;"&amp;0))))))</f>
        <v/>
      </c>
      <c r="BO71" s="77" t="str">
        <f aca="false">IF(OR(BO$4="",MONTH(($G$2+34))&lt;&gt;MONTH($C$2)),"",IF(COUNTIFS(m_teacher,BO$4,m_date,($G$2+34),m_active,1,m_start,"&lt;"&amp;600,m_end,"&gt;"&amp;0)=0,"",IF(COUNTIFS(m_teacher,BO$4,m_date,($G$2+34),m_active,1,m_start,"&lt;"&amp;600,m_end,"&gt;"&amp;0)&gt;1,"충돌",HYPERLINK("#'관리자_MASTER'!D"&amp;_xlfn.MAXIFS(m_row,m_teacher,BO$4,m_date,($G$2+34),m_active,1,m_start,"&lt;"&amp;600,m_end,"&gt;"&amp;0),INDEX(m_label,_xlfn.MAXIFS(m_row,m_teacher,BO$4,m_date,($G$2+34),m_active,1,m_start,"&lt;"&amp;600,m_end,"&gt;"&amp;0))))))</f>
        <v/>
      </c>
      <c r="BP71" s="77" t="str">
        <f aca="false">IF(OR(BP$4="",MONTH(($G$2+34))&lt;&gt;MONTH($C$2)),"",IF(COUNTIFS(m_teacher,BP$4,m_date,($G$2+34),m_active,1,m_start,"&lt;"&amp;600,m_end,"&gt;"&amp;0)=0,"",IF(COUNTIFS(m_teacher,BP$4,m_date,($G$2+34),m_active,1,m_start,"&lt;"&amp;600,m_end,"&gt;"&amp;0)&gt;1,"충돌",HYPERLINK("#'관리자_MASTER'!D"&amp;_xlfn.MAXIFS(m_row,m_teacher,BP$4,m_date,($G$2+34),m_active,1,m_start,"&lt;"&amp;600,m_end,"&gt;"&amp;0),INDEX(m_label,_xlfn.MAXIFS(m_row,m_teacher,BP$4,m_date,($G$2+34),m_active,1,m_start,"&lt;"&amp;600,m_end,"&gt;"&amp;0))))))</f>
        <v/>
      </c>
      <c r="BQ71" s="77" t="str">
        <f aca="false">IF(OR(BQ$4="",MONTH(($G$2+34))&lt;&gt;MONTH($C$2)),"",IF(COUNTIFS(m_teacher,BQ$4,m_date,($G$2+34),m_active,1,m_start,"&lt;"&amp;600,m_end,"&gt;"&amp;0)=0,"",IF(COUNTIFS(m_teacher,BQ$4,m_date,($G$2+34),m_active,1,m_start,"&lt;"&amp;600,m_end,"&gt;"&amp;0)&gt;1,"충돌",HYPERLINK("#'관리자_MASTER'!D"&amp;_xlfn.MAXIFS(m_row,m_teacher,BQ$4,m_date,($G$2+34),m_active,1,m_start,"&lt;"&amp;600,m_end,"&gt;"&amp;0),INDEX(m_label,_xlfn.MAXIFS(m_row,m_teacher,BQ$4,m_date,($G$2+34),m_active,1,m_start,"&lt;"&amp;600,m_end,"&gt;"&amp;0))))))</f>
        <v/>
      </c>
      <c r="BR71" s="77" t="str">
        <f aca="false">IF(OR(BR$4="",MONTH(($G$2+34))&lt;&gt;MONTH($C$2)),"",IF(COUNTIFS(m_teacher,BR$4,m_date,($G$2+34),m_active,1,m_start,"&lt;"&amp;600,m_end,"&gt;"&amp;0)=0,"",IF(COUNTIFS(m_teacher,BR$4,m_date,($G$2+34),m_active,1,m_start,"&lt;"&amp;600,m_end,"&gt;"&amp;0)&gt;1,"충돌",HYPERLINK("#'관리자_MASTER'!D"&amp;_xlfn.MAXIFS(m_row,m_teacher,BR$4,m_date,($G$2+34),m_active,1,m_start,"&lt;"&amp;600,m_end,"&gt;"&amp;0),INDEX(m_label,_xlfn.MAXIFS(m_row,m_teacher,BR$4,m_date,($G$2+34),m_active,1,m_start,"&lt;"&amp;600,m_end,"&gt;"&amp;0))))))</f>
        <v/>
      </c>
    </row>
    <row r="72" customFormat="false" ht="19.5" hidden="false" customHeight="true" outlineLevel="0" collapsed="false">
      <c r="A72" s="92"/>
      <c r="B72" s="79" t="s">
        <v>92</v>
      </c>
      <c r="C72" s="82" t="str">
        <f aca="false">IF(OR(C$4="",MONTH(($G$2+6))&lt;&gt;MONTH($C$2)),"",IF(COUNTIFS(m_teacher,C$4,m_date,($G$2+6),m_active,1,m_start,"&lt;"&amp;660,m_end,"&gt;"&amp;600)=0,"",IF(COUNTIFS(m_teacher,C$4,m_date,($G$2+6),m_active,1,m_start,"&lt;"&amp;660,m_end,"&gt;"&amp;600)&gt;1,"충돌",HYPERLINK("#'관리자_MASTER'!D"&amp;_xlfn.MAXIFS(m_row,m_teacher,C$4,m_date,($G$2+6),m_active,1,m_start,"&lt;"&amp;660,m_end,"&gt;"&amp;600),INDEX(m_label,_xlfn.MAXIFS(m_row,m_teacher,C$4,m_date,($G$2+6),m_active,1,m_start,"&lt;"&amp;660,m_end,"&gt;"&amp;600))))))</f>
        <v/>
      </c>
      <c r="D72" s="82" t="str">
        <f aca="false">IF(OR(D$4="",MONTH(($G$2+6))&lt;&gt;MONTH($C$2)),"",IF(COUNTIFS(m_teacher,D$4,m_date,($G$2+6),m_active,1,m_start,"&lt;"&amp;660,m_end,"&gt;"&amp;600)=0,"",IF(COUNTIFS(m_teacher,D$4,m_date,($G$2+6),m_active,1,m_start,"&lt;"&amp;660,m_end,"&gt;"&amp;600)&gt;1,"충돌",HYPERLINK("#'관리자_MASTER'!D"&amp;_xlfn.MAXIFS(m_row,m_teacher,D$4,m_date,($G$2+6),m_active,1,m_start,"&lt;"&amp;660,m_end,"&gt;"&amp;600),INDEX(m_label,_xlfn.MAXIFS(m_row,m_teacher,D$4,m_date,($G$2+6),m_active,1,m_start,"&lt;"&amp;660,m_end,"&gt;"&amp;600))))))</f>
        <v/>
      </c>
      <c r="E72" s="82" t="str">
        <f aca="false">IF(OR(E$4="",MONTH(($G$2+6))&lt;&gt;MONTH($C$2)),"",IF(COUNTIFS(m_teacher,E$4,m_date,($G$2+6),m_active,1,m_start,"&lt;"&amp;660,m_end,"&gt;"&amp;600)=0,"",IF(COUNTIFS(m_teacher,E$4,m_date,($G$2+6),m_active,1,m_start,"&lt;"&amp;660,m_end,"&gt;"&amp;600)&gt;1,"충돌",HYPERLINK("#'관리자_MASTER'!D"&amp;_xlfn.MAXIFS(m_row,m_teacher,E$4,m_date,($G$2+6),m_active,1,m_start,"&lt;"&amp;660,m_end,"&gt;"&amp;600),INDEX(m_label,_xlfn.MAXIFS(m_row,m_teacher,E$4,m_date,($G$2+6),m_active,1,m_start,"&lt;"&amp;660,m_end,"&gt;"&amp;600))))))</f>
        <v/>
      </c>
      <c r="F72" s="82" t="str">
        <f aca="false">IF(OR(F$4="",MONTH(($G$2+6))&lt;&gt;MONTH($C$2)),"",IF(COUNTIFS(m_teacher,F$4,m_date,($G$2+6),m_active,1,m_start,"&lt;"&amp;660,m_end,"&gt;"&amp;600)=0,"",IF(COUNTIFS(m_teacher,F$4,m_date,($G$2+6),m_active,1,m_start,"&lt;"&amp;660,m_end,"&gt;"&amp;600)&gt;1,"충돌",HYPERLINK("#'관리자_MASTER'!D"&amp;_xlfn.MAXIFS(m_row,m_teacher,F$4,m_date,($G$2+6),m_active,1,m_start,"&lt;"&amp;660,m_end,"&gt;"&amp;600),INDEX(m_label,_xlfn.MAXIFS(m_row,m_teacher,F$4,m_date,($G$2+6),m_active,1,m_start,"&lt;"&amp;660,m_end,"&gt;"&amp;600))))))</f>
        <v/>
      </c>
      <c r="G72" s="82" t="str">
        <f aca="false">IF(OR(G$4="",MONTH(($G$2+6))&lt;&gt;MONTH($C$2)),"",IF(COUNTIFS(m_teacher,G$4,m_date,($G$2+6),m_active,1,m_start,"&lt;"&amp;660,m_end,"&gt;"&amp;600)=0,"",IF(COUNTIFS(m_teacher,G$4,m_date,($G$2+6),m_active,1,m_start,"&lt;"&amp;660,m_end,"&gt;"&amp;600)&gt;1,"충돌",HYPERLINK("#'관리자_MASTER'!D"&amp;_xlfn.MAXIFS(m_row,m_teacher,G$4,m_date,($G$2+6),m_active,1,m_start,"&lt;"&amp;660,m_end,"&gt;"&amp;600),INDEX(m_label,_xlfn.MAXIFS(m_row,m_teacher,G$4,m_date,($G$2+6),m_active,1,m_start,"&lt;"&amp;660,m_end,"&gt;"&amp;600))))))</f>
        <v/>
      </c>
      <c r="H72" s="82" t="str">
        <f aca="false">IF(OR(H$4="",MONTH(($G$2+6))&lt;&gt;MONTH($C$2)),"",IF(COUNTIFS(m_teacher,H$4,m_date,($G$2+6),m_active,1,m_start,"&lt;"&amp;660,m_end,"&gt;"&amp;600)=0,"",IF(COUNTIFS(m_teacher,H$4,m_date,($G$2+6),m_active,1,m_start,"&lt;"&amp;660,m_end,"&gt;"&amp;600)&gt;1,"충돌",HYPERLINK("#'관리자_MASTER'!D"&amp;_xlfn.MAXIFS(m_row,m_teacher,H$4,m_date,($G$2+6),m_active,1,m_start,"&lt;"&amp;660,m_end,"&gt;"&amp;600),INDEX(m_label,_xlfn.MAXIFS(m_row,m_teacher,H$4,m_date,($G$2+6),m_active,1,m_start,"&lt;"&amp;660,m_end,"&gt;"&amp;600))))))</f>
        <v/>
      </c>
      <c r="I72" s="82" t="str">
        <f aca="false">IF(OR(I$4="",MONTH(($G$2+6))&lt;&gt;MONTH($C$2)),"",IF(COUNTIFS(m_teacher,I$4,m_date,($G$2+6),m_active,1,m_start,"&lt;"&amp;660,m_end,"&gt;"&amp;600)=0,"",IF(COUNTIFS(m_teacher,I$4,m_date,($G$2+6),m_active,1,m_start,"&lt;"&amp;660,m_end,"&gt;"&amp;600)&gt;1,"충돌",HYPERLINK("#'관리자_MASTER'!D"&amp;_xlfn.MAXIFS(m_row,m_teacher,I$4,m_date,($G$2+6),m_active,1,m_start,"&lt;"&amp;660,m_end,"&gt;"&amp;600),INDEX(m_label,_xlfn.MAXIFS(m_row,m_teacher,I$4,m_date,($G$2+6),m_active,1,m_start,"&lt;"&amp;660,m_end,"&gt;"&amp;600))))))</f>
        <v/>
      </c>
      <c r="J72" s="82" t="str">
        <f aca="false">IF(OR(J$4="",MONTH(($G$2+6))&lt;&gt;MONTH($C$2)),"",IF(COUNTIFS(m_teacher,J$4,m_date,($G$2+6),m_active,1,m_start,"&lt;"&amp;660,m_end,"&gt;"&amp;600)=0,"",IF(COUNTIFS(m_teacher,J$4,m_date,($G$2+6),m_active,1,m_start,"&lt;"&amp;660,m_end,"&gt;"&amp;600)&gt;1,"충돌",HYPERLINK("#'관리자_MASTER'!D"&amp;_xlfn.MAXIFS(m_row,m_teacher,J$4,m_date,($G$2+6),m_active,1,m_start,"&lt;"&amp;660,m_end,"&gt;"&amp;600),INDEX(m_label,_xlfn.MAXIFS(m_row,m_teacher,J$4,m_date,($G$2+6),m_active,1,m_start,"&lt;"&amp;660,m_end,"&gt;"&amp;600))))))</f>
        <v/>
      </c>
      <c r="K72" s="82" t="str">
        <f aca="false">IF(OR(K$4="",MONTH(($G$2+6))&lt;&gt;MONTH($C$2)),"",IF(COUNTIFS(m_teacher,K$4,m_date,($G$2+6),m_active,1,m_start,"&lt;"&amp;660,m_end,"&gt;"&amp;600)=0,"",IF(COUNTIFS(m_teacher,K$4,m_date,($G$2+6),m_active,1,m_start,"&lt;"&amp;660,m_end,"&gt;"&amp;600)&gt;1,"충돌",HYPERLINK("#'관리자_MASTER'!D"&amp;_xlfn.MAXIFS(m_row,m_teacher,K$4,m_date,($G$2+6),m_active,1,m_start,"&lt;"&amp;660,m_end,"&gt;"&amp;600),INDEX(m_label,_xlfn.MAXIFS(m_row,m_teacher,K$4,m_date,($G$2+6),m_active,1,m_start,"&lt;"&amp;660,m_end,"&gt;"&amp;600))))))</f>
        <v/>
      </c>
      <c r="L72" s="82" t="str">
        <f aca="false">IF(OR(L$4="",MONTH(($G$2+6))&lt;&gt;MONTH($C$2)),"",IF(COUNTIFS(m_teacher,L$4,m_date,($G$2+6),m_active,1,m_start,"&lt;"&amp;660,m_end,"&gt;"&amp;600)=0,"",IF(COUNTIFS(m_teacher,L$4,m_date,($G$2+6),m_active,1,m_start,"&lt;"&amp;660,m_end,"&gt;"&amp;600)&gt;1,"충돌",HYPERLINK("#'관리자_MASTER'!D"&amp;_xlfn.MAXIFS(m_row,m_teacher,L$4,m_date,($G$2+6),m_active,1,m_start,"&lt;"&amp;660,m_end,"&gt;"&amp;600),INDEX(m_label,_xlfn.MAXIFS(m_row,m_teacher,L$4,m_date,($G$2+6),m_active,1,m_start,"&lt;"&amp;660,m_end,"&gt;"&amp;600))))))</f>
        <v/>
      </c>
      <c r="M72" s="82" t="str">
        <f aca="false">IF(OR(M$4="",MONTH(($G$2+6))&lt;&gt;MONTH($C$2)),"",IF(COUNTIFS(m_teacher,M$4,m_date,($G$2+6),m_active,1,m_start,"&lt;"&amp;660,m_end,"&gt;"&amp;600)=0,"",IF(COUNTIFS(m_teacher,M$4,m_date,($G$2+6),m_active,1,m_start,"&lt;"&amp;660,m_end,"&gt;"&amp;600)&gt;1,"충돌",HYPERLINK("#'관리자_MASTER'!D"&amp;_xlfn.MAXIFS(m_row,m_teacher,M$4,m_date,($G$2+6),m_active,1,m_start,"&lt;"&amp;660,m_end,"&gt;"&amp;600),INDEX(m_label,_xlfn.MAXIFS(m_row,m_teacher,M$4,m_date,($G$2+6),m_active,1,m_start,"&lt;"&amp;660,m_end,"&gt;"&amp;600))))))</f>
        <v/>
      </c>
      <c r="N72" s="82" t="str">
        <f aca="false">IF(OR(N$4="",MONTH(($G$2+6))&lt;&gt;MONTH($C$2)),"",IF(COUNTIFS(m_teacher,N$4,m_date,($G$2+6),m_active,1,m_start,"&lt;"&amp;660,m_end,"&gt;"&amp;600)=0,"",IF(COUNTIFS(m_teacher,N$4,m_date,($G$2+6),m_active,1,m_start,"&lt;"&amp;660,m_end,"&gt;"&amp;600)&gt;1,"충돌",HYPERLINK("#'관리자_MASTER'!D"&amp;_xlfn.MAXIFS(m_row,m_teacher,N$4,m_date,($G$2+6),m_active,1,m_start,"&lt;"&amp;660,m_end,"&gt;"&amp;600),INDEX(m_label,_xlfn.MAXIFS(m_row,m_teacher,N$4,m_date,($G$2+6),m_active,1,m_start,"&lt;"&amp;660,m_end,"&gt;"&amp;600))))))</f>
        <v/>
      </c>
      <c r="O72" s="92"/>
      <c r="P72" s="79" t="s">
        <v>92</v>
      </c>
      <c r="Q72" s="82" t="str">
        <f aca="false">IF(OR(Q$4="",MONTH(($G$2+13))&lt;&gt;MONTH($C$2)),"",IF(COUNTIFS(m_teacher,Q$4,m_date,($G$2+13),m_active,1,m_start,"&lt;"&amp;660,m_end,"&gt;"&amp;600)=0,"",IF(COUNTIFS(m_teacher,Q$4,m_date,($G$2+13),m_active,1,m_start,"&lt;"&amp;660,m_end,"&gt;"&amp;600)&gt;1,"충돌",HYPERLINK("#'관리자_MASTER'!D"&amp;_xlfn.MAXIFS(m_row,m_teacher,Q$4,m_date,($G$2+13),m_active,1,m_start,"&lt;"&amp;660,m_end,"&gt;"&amp;600),INDEX(m_label,_xlfn.MAXIFS(m_row,m_teacher,Q$4,m_date,($G$2+13),m_active,1,m_start,"&lt;"&amp;660,m_end,"&gt;"&amp;600))))))</f>
        <v/>
      </c>
      <c r="R72" s="82" t="str">
        <f aca="false">IF(OR(R$4="",MONTH(($G$2+13))&lt;&gt;MONTH($C$2)),"",IF(COUNTIFS(m_teacher,R$4,m_date,($G$2+13),m_active,1,m_start,"&lt;"&amp;660,m_end,"&gt;"&amp;600)=0,"",IF(COUNTIFS(m_teacher,R$4,m_date,($G$2+13),m_active,1,m_start,"&lt;"&amp;660,m_end,"&gt;"&amp;600)&gt;1,"충돌",HYPERLINK("#'관리자_MASTER'!D"&amp;_xlfn.MAXIFS(m_row,m_teacher,R$4,m_date,($G$2+13),m_active,1,m_start,"&lt;"&amp;660,m_end,"&gt;"&amp;600),INDEX(m_label,_xlfn.MAXIFS(m_row,m_teacher,R$4,m_date,($G$2+13),m_active,1,m_start,"&lt;"&amp;660,m_end,"&gt;"&amp;600))))))</f>
        <v/>
      </c>
      <c r="S72" s="82" t="str">
        <f aca="false">IF(OR(S$4="",MONTH(($G$2+13))&lt;&gt;MONTH($C$2)),"",IF(COUNTIFS(m_teacher,S$4,m_date,($G$2+13),m_active,1,m_start,"&lt;"&amp;660,m_end,"&gt;"&amp;600)=0,"",IF(COUNTIFS(m_teacher,S$4,m_date,($G$2+13),m_active,1,m_start,"&lt;"&amp;660,m_end,"&gt;"&amp;600)&gt;1,"충돌",HYPERLINK("#'관리자_MASTER'!D"&amp;_xlfn.MAXIFS(m_row,m_teacher,S$4,m_date,($G$2+13),m_active,1,m_start,"&lt;"&amp;660,m_end,"&gt;"&amp;600),INDEX(m_label,_xlfn.MAXIFS(m_row,m_teacher,S$4,m_date,($G$2+13),m_active,1,m_start,"&lt;"&amp;660,m_end,"&gt;"&amp;600))))))</f>
        <v/>
      </c>
      <c r="T72" s="82" t="str">
        <f aca="false">IF(OR(T$4="",MONTH(($G$2+13))&lt;&gt;MONTH($C$2)),"",IF(COUNTIFS(m_teacher,T$4,m_date,($G$2+13),m_active,1,m_start,"&lt;"&amp;660,m_end,"&gt;"&amp;600)=0,"",IF(COUNTIFS(m_teacher,T$4,m_date,($G$2+13),m_active,1,m_start,"&lt;"&amp;660,m_end,"&gt;"&amp;600)&gt;1,"충돌",HYPERLINK("#'관리자_MASTER'!D"&amp;_xlfn.MAXIFS(m_row,m_teacher,T$4,m_date,($G$2+13),m_active,1,m_start,"&lt;"&amp;660,m_end,"&gt;"&amp;600),INDEX(m_label,_xlfn.MAXIFS(m_row,m_teacher,T$4,m_date,($G$2+13),m_active,1,m_start,"&lt;"&amp;660,m_end,"&gt;"&amp;600))))))</f>
        <v/>
      </c>
      <c r="U72" s="82" t="str">
        <f aca="false">IF(OR(U$4="",MONTH(($G$2+13))&lt;&gt;MONTH($C$2)),"",IF(COUNTIFS(m_teacher,U$4,m_date,($G$2+13),m_active,1,m_start,"&lt;"&amp;660,m_end,"&gt;"&amp;600)=0,"",IF(COUNTIFS(m_teacher,U$4,m_date,($G$2+13),m_active,1,m_start,"&lt;"&amp;660,m_end,"&gt;"&amp;600)&gt;1,"충돌",HYPERLINK("#'관리자_MASTER'!D"&amp;_xlfn.MAXIFS(m_row,m_teacher,U$4,m_date,($G$2+13),m_active,1,m_start,"&lt;"&amp;660,m_end,"&gt;"&amp;600),INDEX(m_label,_xlfn.MAXIFS(m_row,m_teacher,U$4,m_date,($G$2+13),m_active,1,m_start,"&lt;"&amp;660,m_end,"&gt;"&amp;600))))))</f>
        <v/>
      </c>
      <c r="V72" s="82" t="str">
        <f aca="false">IF(OR(V$4="",MONTH(($G$2+13))&lt;&gt;MONTH($C$2)),"",IF(COUNTIFS(m_teacher,V$4,m_date,($G$2+13),m_active,1,m_start,"&lt;"&amp;660,m_end,"&gt;"&amp;600)=0,"",IF(COUNTIFS(m_teacher,V$4,m_date,($G$2+13),m_active,1,m_start,"&lt;"&amp;660,m_end,"&gt;"&amp;600)&gt;1,"충돌",HYPERLINK("#'관리자_MASTER'!D"&amp;_xlfn.MAXIFS(m_row,m_teacher,V$4,m_date,($G$2+13),m_active,1,m_start,"&lt;"&amp;660,m_end,"&gt;"&amp;600),INDEX(m_label,_xlfn.MAXIFS(m_row,m_teacher,V$4,m_date,($G$2+13),m_active,1,m_start,"&lt;"&amp;660,m_end,"&gt;"&amp;600))))))</f>
        <v/>
      </c>
      <c r="W72" s="82" t="str">
        <f aca="false">IF(OR(W$4="",MONTH(($G$2+13))&lt;&gt;MONTH($C$2)),"",IF(COUNTIFS(m_teacher,W$4,m_date,($G$2+13),m_active,1,m_start,"&lt;"&amp;660,m_end,"&gt;"&amp;600)=0,"",IF(COUNTIFS(m_teacher,W$4,m_date,($G$2+13),m_active,1,m_start,"&lt;"&amp;660,m_end,"&gt;"&amp;600)&gt;1,"충돌",HYPERLINK("#'관리자_MASTER'!D"&amp;_xlfn.MAXIFS(m_row,m_teacher,W$4,m_date,($G$2+13),m_active,1,m_start,"&lt;"&amp;660,m_end,"&gt;"&amp;600),INDEX(m_label,_xlfn.MAXIFS(m_row,m_teacher,W$4,m_date,($G$2+13),m_active,1,m_start,"&lt;"&amp;660,m_end,"&gt;"&amp;600))))))</f>
        <v/>
      </c>
      <c r="X72" s="82" t="str">
        <f aca="false">IF(OR(X$4="",MONTH(($G$2+13))&lt;&gt;MONTH($C$2)),"",IF(COUNTIFS(m_teacher,X$4,m_date,($G$2+13),m_active,1,m_start,"&lt;"&amp;660,m_end,"&gt;"&amp;600)=0,"",IF(COUNTIFS(m_teacher,X$4,m_date,($G$2+13),m_active,1,m_start,"&lt;"&amp;660,m_end,"&gt;"&amp;600)&gt;1,"충돌",HYPERLINK("#'관리자_MASTER'!D"&amp;_xlfn.MAXIFS(m_row,m_teacher,X$4,m_date,($G$2+13),m_active,1,m_start,"&lt;"&amp;660,m_end,"&gt;"&amp;600),INDEX(m_label,_xlfn.MAXIFS(m_row,m_teacher,X$4,m_date,($G$2+13),m_active,1,m_start,"&lt;"&amp;660,m_end,"&gt;"&amp;600))))))</f>
        <v/>
      </c>
      <c r="Y72" s="82" t="str">
        <f aca="false">IF(OR(Y$4="",MONTH(($G$2+13))&lt;&gt;MONTH($C$2)),"",IF(COUNTIFS(m_teacher,Y$4,m_date,($G$2+13),m_active,1,m_start,"&lt;"&amp;660,m_end,"&gt;"&amp;600)=0,"",IF(COUNTIFS(m_teacher,Y$4,m_date,($G$2+13),m_active,1,m_start,"&lt;"&amp;660,m_end,"&gt;"&amp;600)&gt;1,"충돌",HYPERLINK("#'관리자_MASTER'!D"&amp;_xlfn.MAXIFS(m_row,m_teacher,Y$4,m_date,($G$2+13),m_active,1,m_start,"&lt;"&amp;660,m_end,"&gt;"&amp;600),INDEX(m_label,_xlfn.MAXIFS(m_row,m_teacher,Y$4,m_date,($G$2+13),m_active,1,m_start,"&lt;"&amp;660,m_end,"&gt;"&amp;600))))))</f>
        <v/>
      </c>
      <c r="Z72" s="82" t="str">
        <f aca="false">IF(OR(Z$4="",MONTH(($G$2+13))&lt;&gt;MONTH($C$2)),"",IF(COUNTIFS(m_teacher,Z$4,m_date,($G$2+13),m_active,1,m_start,"&lt;"&amp;660,m_end,"&gt;"&amp;600)=0,"",IF(COUNTIFS(m_teacher,Z$4,m_date,($G$2+13),m_active,1,m_start,"&lt;"&amp;660,m_end,"&gt;"&amp;600)&gt;1,"충돌",HYPERLINK("#'관리자_MASTER'!D"&amp;_xlfn.MAXIFS(m_row,m_teacher,Z$4,m_date,($G$2+13),m_active,1,m_start,"&lt;"&amp;660,m_end,"&gt;"&amp;600),INDEX(m_label,_xlfn.MAXIFS(m_row,m_teacher,Z$4,m_date,($G$2+13),m_active,1,m_start,"&lt;"&amp;660,m_end,"&gt;"&amp;600))))))</f>
        <v/>
      </c>
      <c r="AA72" s="82" t="str">
        <f aca="false">IF(OR(AA$4="",MONTH(($G$2+13))&lt;&gt;MONTH($C$2)),"",IF(COUNTIFS(m_teacher,AA$4,m_date,($G$2+13),m_active,1,m_start,"&lt;"&amp;660,m_end,"&gt;"&amp;600)=0,"",IF(COUNTIFS(m_teacher,AA$4,m_date,($G$2+13),m_active,1,m_start,"&lt;"&amp;660,m_end,"&gt;"&amp;600)&gt;1,"충돌",HYPERLINK("#'관리자_MASTER'!D"&amp;_xlfn.MAXIFS(m_row,m_teacher,AA$4,m_date,($G$2+13),m_active,1,m_start,"&lt;"&amp;660,m_end,"&gt;"&amp;600),INDEX(m_label,_xlfn.MAXIFS(m_row,m_teacher,AA$4,m_date,($G$2+13),m_active,1,m_start,"&lt;"&amp;660,m_end,"&gt;"&amp;600))))))</f>
        <v/>
      </c>
      <c r="AB72" s="82" t="str">
        <f aca="false">IF(OR(AB$4="",MONTH(($G$2+13))&lt;&gt;MONTH($C$2)),"",IF(COUNTIFS(m_teacher,AB$4,m_date,($G$2+13),m_active,1,m_start,"&lt;"&amp;660,m_end,"&gt;"&amp;600)=0,"",IF(COUNTIFS(m_teacher,AB$4,m_date,($G$2+13),m_active,1,m_start,"&lt;"&amp;660,m_end,"&gt;"&amp;600)&gt;1,"충돌",HYPERLINK("#'관리자_MASTER'!D"&amp;_xlfn.MAXIFS(m_row,m_teacher,AB$4,m_date,($G$2+13),m_active,1,m_start,"&lt;"&amp;660,m_end,"&gt;"&amp;600),INDEX(m_label,_xlfn.MAXIFS(m_row,m_teacher,AB$4,m_date,($G$2+13),m_active,1,m_start,"&lt;"&amp;660,m_end,"&gt;"&amp;600))))))</f>
        <v/>
      </c>
      <c r="AC72" s="92"/>
      <c r="AD72" s="79" t="s">
        <v>92</v>
      </c>
      <c r="AE72" s="82" t="str">
        <f aca="false">IF(OR(AE$4="",MONTH(($G$2+20))&lt;&gt;MONTH($C$2)),"",IF(COUNTIFS(m_teacher,AE$4,m_date,($G$2+20),m_active,1,m_start,"&lt;"&amp;660,m_end,"&gt;"&amp;600)=0,"",IF(COUNTIFS(m_teacher,AE$4,m_date,($G$2+20),m_active,1,m_start,"&lt;"&amp;660,m_end,"&gt;"&amp;600)&gt;1,"충돌",HYPERLINK("#'관리자_MASTER'!D"&amp;_xlfn.MAXIFS(m_row,m_teacher,AE$4,m_date,($G$2+20),m_active,1,m_start,"&lt;"&amp;660,m_end,"&gt;"&amp;600),INDEX(m_label,_xlfn.MAXIFS(m_row,m_teacher,AE$4,m_date,($G$2+20),m_active,1,m_start,"&lt;"&amp;660,m_end,"&gt;"&amp;600))))))</f>
        <v/>
      </c>
      <c r="AF72" s="82" t="str">
        <f aca="false">IF(OR(AF$4="",MONTH(($G$2+20))&lt;&gt;MONTH($C$2)),"",IF(COUNTIFS(m_teacher,AF$4,m_date,($G$2+20),m_active,1,m_start,"&lt;"&amp;660,m_end,"&gt;"&amp;600)=0,"",IF(COUNTIFS(m_teacher,AF$4,m_date,($G$2+20),m_active,1,m_start,"&lt;"&amp;660,m_end,"&gt;"&amp;600)&gt;1,"충돌",HYPERLINK("#'관리자_MASTER'!D"&amp;_xlfn.MAXIFS(m_row,m_teacher,AF$4,m_date,($G$2+20),m_active,1,m_start,"&lt;"&amp;660,m_end,"&gt;"&amp;600),INDEX(m_label,_xlfn.MAXIFS(m_row,m_teacher,AF$4,m_date,($G$2+20),m_active,1,m_start,"&lt;"&amp;660,m_end,"&gt;"&amp;600))))))</f>
        <v/>
      </c>
      <c r="AG72" s="82" t="str">
        <f aca="false">IF(OR(AG$4="",MONTH(($G$2+20))&lt;&gt;MONTH($C$2)),"",IF(COUNTIFS(m_teacher,AG$4,m_date,($G$2+20),m_active,1,m_start,"&lt;"&amp;660,m_end,"&gt;"&amp;600)=0,"",IF(COUNTIFS(m_teacher,AG$4,m_date,($G$2+20),m_active,1,m_start,"&lt;"&amp;660,m_end,"&gt;"&amp;600)&gt;1,"충돌",HYPERLINK("#'관리자_MASTER'!D"&amp;_xlfn.MAXIFS(m_row,m_teacher,AG$4,m_date,($G$2+20),m_active,1,m_start,"&lt;"&amp;660,m_end,"&gt;"&amp;600),INDEX(m_label,_xlfn.MAXIFS(m_row,m_teacher,AG$4,m_date,($G$2+20),m_active,1,m_start,"&lt;"&amp;660,m_end,"&gt;"&amp;600))))))</f>
        <v/>
      </c>
      <c r="AH72" s="82" t="str">
        <f aca="false">IF(OR(AH$4="",MONTH(($G$2+20))&lt;&gt;MONTH($C$2)),"",IF(COUNTIFS(m_teacher,AH$4,m_date,($G$2+20),m_active,1,m_start,"&lt;"&amp;660,m_end,"&gt;"&amp;600)=0,"",IF(COUNTIFS(m_teacher,AH$4,m_date,($G$2+20),m_active,1,m_start,"&lt;"&amp;660,m_end,"&gt;"&amp;600)&gt;1,"충돌",HYPERLINK("#'관리자_MASTER'!D"&amp;_xlfn.MAXIFS(m_row,m_teacher,AH$4,m_date,($G$2+20),m_active,1,m_start,"&lt;"&amp;660,m_end,"&gt;"&amp;600),INDEX(m_label,_xlfn.MAXIFS(m_row,m_teacher,AH$4,m_date,($G$2+20),m_active,1,m_start,"&lt;"&amp;660,m_end,"&gt;"&amp;600))))))</f>
        <v/>
      </c>
      <c r="AI72" s="82" t="str">
        <f aca="false">IF(OR(AI$4="",MONTH(($G$2+20))&lt;&gt;MONTH($C$2)),"",IF(COUNTIFS(m_teacher,AI$4,m_date,($G$2+20),m_active,1,m_start,"&lt;"&amp;660,m_end,"&gt;"&amp;600)=0,"",IF(COUNTIFS(m_teacher,AI$4,m_date,($G$2+20),m_active,1,m_start,"&lt;"&amp;660,m_end,"&gt;"&amp;600)&gt;1,"충돌",HYPERLINK("#'관리자_MASTER'!D"&amp;_xlfn.MAXIFS(m_row,m_teacher,AI$4,m_date,($G$2+20),m_active,1,m_start,"&lt;"&amp;660,m_end,"&gt;"&amp;600),INDEX(m_label,_xlfn.MAXIFS(m_row,m_teacher,AI$4,m_date,($G$2+20),m_active,1,m_start,"&lt;"&amp;660,m_end,"&gt;"&amp;600))))))</f>
        <v/>
      </c>
      <c r="AJ72" s="82" t="str">
        <f aca="false">IF(OR(AJ$4="",MONTH(($G$2+20))&lt;&gt;MONTH($C$2)),"",IF(COUNTIFS(m_teacher,AJ$4,m_date,($G$2+20),m_active,1,m_start,"&lt;"&amp;660,m_end,"&gt;"&amp;600)=0,"",IF(COUNTIFS(m_teacher,AJ$4,m_date,($G$2+20),m_active,1,m_start,"&lt;"&amp;660,m_end,"&gt;"&amp;600)&gt;1,"충돌",HYPERLINK("#'관리자_MASTER'!D"&amp;_xlfn.MAXIFS(m_row,m_teacher,AJ$4,m_date,($G$2+20),m_active,1,m_start,"&lt;"&amp;660,m_end,"&gt;"&amp;600),INDEX(m_label,_xlfn.MAXIFS(m_row,m_teacher,AJ$4,m_date,($G$2+20),m_active,1,m_start,"&lt;"&amp;660,m_end,"&gt;"&amp;600))))))</f>
        <v/>
      </c>
      <c r="AK72" s="82" t="str">
        <f aca="false">IF(OR(AK$4="",MONTH(($G$2+20))&lt;&gt;MONTH($C$2)),"",IF(COUNTIFS(m_teacher,AK$4,m_date,($G$2+20),m_active,1,m_start,"&lt;"&amp;660,m_end,"&gt;"&amp;600)=0,"",IF(COUNTIFS(m_teacher,AK$4,m_date,($G$2+20),m_active,1,m_start,"&lt;"&amp;660,m_end,"&gt;"&amp;600)&gt;1,"충돌",HYPERLINK("#'관리자_MASTER'!D"&amp;_xlfn.MAXIFS(m_row,m_teacher,AK$4,m_date,($G$2+20),m_active,1,m_start,"&lt;"&amp;660,m_end,"&gt;"&amp;600),INDEX(m_label,_xlfn.MAXIFS(m_row,m_teacher,AK$4,m_date,($G$2+20),m_active,1,m_start,"&lt;"&amp;660,m_end,"&gt;"&amp;600))))))</f>
        <v/>
      </c>
      <c r="AL72" s="82" t="str">
        <f aca="false">IF(OR(AL$4="",MONTH(($G$2+20))&lt;&gt;MONTH($C$2)),"",IF(COUNTIFS(m_teacher,AL$4,m_date,($G$2+20),m_active,1,m_start,"&lt;"&amp;660,m_end,"&gt;"&amp;600)=0,"",IF(COUNTIFS(m_teacher,AL$4,m_date,($G$2+20),m_active,1,m_start,"&lt;"&amp;660,m_end,"&gt;"&amp;600)&gt;1,"충돌",HYPERLINK("#'관리자_MASTER'!D"&amp;_xlfn.MAXIFS(m_row,m_teacher,AL$4,m_date,($G$2+20),m_active,1,m_start,"&lt;"&amp;660,m_end,"&gt;"&amp;600),INDEX(m_label,_xlfn.MAXIFS(m_row,m_teacher,AL$4,m_date,($G$2+20),m_active,1,m_start,"&lt;"&amp;660,m_end,"&gt;"&amp;600))))))</f>
        <v/>
      </c>
      <c r="AM72" s="82" t="str">
        <f aca="false">IF(OR(AM$4="",MONTH(($G$2+20))&lt;&gt;MONTH($C$2)),"",IF(COUNTIFS(m_teacher,AM$4,m_date,($G$2+20),m_active,1,m_start,"&lt;"&amp;660,m_end,"&gt;"&amp;600)=0,"",IF(COUNTIFS(m_teacher,AM$4,m_date,($G$2+20),m_active,1,m_start,"&lt;"&amp;660,m_end,"&gt;"&amp;600)&gt;1,"충돌",HYPERLINK("#'관리자_MASTER'!D"&amp;_xlfn.MAXIFS(m_row,m_teacher,AM$4,m_date,($G$2+20),m_active,1,m_start,"&lt;"&amp;660,m_end,"&gt;"&amp;600),INDEX(m_label,_xlfn.MAXIFS(m_row,m_teacher,AM$4,m_date,($G$2+20),m_active,1,m_start,"&lt;"&amp;660,m_end,"&gt;"&amp;600))))))</f>
        <v/>
      </c>
      <c r="AN72" s="82" t="str">
        <f aca="false">IF(OR(AN$4="",MONTH(($G$2+20))&lt;&gt;MONTH($C$2)),"",IF(COUNTIFS(m_teacher,AN$4,m_date,($G$2+20),m_active,1,m_start,"&lt;"&amp;660,m_end,"&gt;"&amp;600)=0,"",IF(COUNTIFS(m_teacher,AN$4,m_date,($G$2+20),m_active,1,m_start,"&lt;"&amp;660,m_end,"&gt;"&amp;600)&gt;1,"충돌",HYPERLINK("#'관리자_MASTER'!D"&amp;_xlfn.MAXIFS(m_row,m_teacher,AN$4,m_date,($G$2+20),m_active,1,m_start,"&lt;"&amp;660,m_end,"&gt;"&amp;600),INDEX(m_label,_xlfn.MAXIFS(m_row,m_teacher,AN$4,m_date,($G$2+20),m_active,1,m_start,"&lt;"&amp;660,m_end,"&gt;"&amp;600))))))</f>
        <v/>
      </c>
      <c r="AO72" s="82" t="str">
        <f aca="false">IF(OR(AO$4="",MONTH(($G$2+20))&lt;&gt;MONTH($C$2)),"",IF(COUNTIFS(m_teacher,AO$4,m_date,($G$2+20),m_active,1,m_start,"&lt;"&amp;660,m_end,"&gt;"&amp;600)=0,"",IF(COUNTIFS(m_teacher,AO$4,m_date,($G$2+20),m_active,1,m_start,"&lt;"&amp;660,m_end,"&gt;"&amp;600)&gt;1,"충돌",HYPERLINK("#'관리자_MASTER'!D"&amp;_xlfn.MAXIFS(m_row,m_teacher,AO$4,m_date,($G$2+20),m_active,1,m_start,"&lt;"&amp;660,m_end,"&gt;"&amp;600),INDEX(m_label,_xlfn.MAXIFS(m_row,m_teacher,AO$4,m_date,($G$2+20),m_active,1,m_start,"&lt;"&amp;660,m_end,"&gt;"&amp;600))))))</f>
        <v/>
      </c>
      <c r="AP72" s="82" t="str">
        <f aca="false">IF(OR(AP$4="",MONTH(($G$2+20))&lt;&gt;MONTH($C$2)),"",IF(COUNTIFS(m_teacher,AP$4,m_date,($G$2+20),m_active,1,m_start,"&lt;"&amp;660,m_end,"&gt;"&amp;600)=0,"",IF(COUNTIFS(m_teacher,AP$4,m_date,($G$2+20),m_active,1,m_start,"&lt;"&amp;660,m_end,"&gt;"&amp;600)&gt;1,"충돌",HYPERLINK("#'관리자_MASTER'!D"&amp;_xlfn.MAXIFS(m_row,m_teacher,AP$4,m_date,($G$2+20),m_active,1,m_start,"&lt;"&amp;660,m_end,"&gt;"&amp;600),INDEX(m_label,_xlfn.MAXIFS(m_row,m_teacher,AP$4,m_date,($G$2+20),m_active,1,m_start,"&lt;"&amp;660,m_end,"&gt;"&amp;600))))))</f>
        <v/>
      </c>
      <c r="AQ72" s="92"/>
      <c r="AR72" s="79" t="s">
        <v>92</v>
      </c>
      <c r="AS72" s="82" t="str">
        <f aca="false">IF(OR(AS$4="",MONTH(($G$2+27))&lt;&gt;MONTH($C$2)),"",IF(COUNTIFS(m_teacher,AS$4,m_date,($G$2+27),m_active,1,m_start,"&lt;"&amp;660,m_end,"&gt;"&amp;600)=0,"",IF(COUNTIFS(m_teacher,AS$4,m_date,($G$2+27),m_active,1,m_start,"&lt;"&amp;660,m_end,"&gt;"&amp;600)&gt;1,"충돌",HYPERLINK("#'관리자_MASTER'!D"&amp;_xlfn.MAXIFS(m_row,m_teacher,AS$4,m_date,($G$2+27),m_active,1,m_start,"&lt;"&amp;660,m_end,"&gt;"&amp;600),INDEX(m_label,_xlfn.MAXIFS(m_row,m_teacher,AS$4,m_date,($G$2+27),m_active,1,m_start,"&lt;"&amp;660,m_end,"&gt;"&amp;600))))))</f>
        <v/>
      </c>
      <c r="AT72" s="82" t="str">
        <f aca="false">IF(OR(AT$4="",MONTH(($G$2+27))&lt;&gt;MONTH($C$2)),"",IF(COUNTIFS(m_teacher,AT$4,m_date,($G$2+27),m_active,1,m_start,"&lt;"&amp;660,m_end,"&gt;"&amp;600)=0,"",IF(COUNTIFS(m_teacher,AT$4,m_date,($G$2+27),m_active,1,m_start,"&lt;"&amp;660,m_end,"&gt;"&amp;600)&gt;1,"충돌",HYPERLINK("#'관리자_MASTER'!D"&amp;_xlfn.MAXIFS(m_row,m_teacher,AT$4,m_date,($G$2+27),m_active,1,m_start,"&lt;"&amp;660,m_end,"&gt;"&amp;600),INDEX(m_label,_xlfn.MAXIFS(m_row,m_teacher,AT$4,m_date,($G$2+27),m_active,1,m_start,"&lt;"&amp;660,m_end,"&gt;"&amp;600))))))</f>
        <v/>
      </c>
      <c r="AU72" s="82" t="str">
        <f aca="false">IF(OR(AU$4="",MONTH(($G$2+27))&lt;&gt;MONTH($C$2)),"",IF(COUNTIFS(m_teacher,AU$4,m_date,($G$2+27),m_active,1,m_start,"&lt;"&amp;660,m_end,"&gt;"&amp;600)=0,"",IF(COUNTIFS(m_teacher,AU$4,m_date,($G$2+27),m_active,1,m_start,"&lt;"&amp;660,m_end,"&gt;"&amp;600)&gt;1,"충돌",HYPERLINK("#'관리자_MASTER'!D"&amp;_xlfn.MAXIFS(m_row,m_teacher,AU$4,m_date,($G$2+27),m_active,1,m_start,"&lt;"&amp;660,m_end,"&gt;"&amp;600),INDEX(m_label,_xlfn.MAXIFS(m_row,m_teacher,AU$4,m_date,($G$2+27),m_active,1,m_start,"&lt;"&amp;660,m_end,"&gt;"&amp;600))))))</f>
        <v/>
      </c>
      <c r="AV72" s="82" t="str">
        <f aca="false">IF(OR(AV$4="",MONTH(($G$2+27))&lt;&gt;MONTH($C$2)),"",IF(COUNTIFS(m_teacher,AV$4,m_date,($G$2+27),m_active,1,m_start,"&lt;"&amp;660,m_end,"&gt;"&amp;600)=0,"",IF(COUNTIFS(m_teacher,AV$4,m_date,($G$2+27),m_active,1,m_start,"&lt;"&amp;660,m_end,"&gt;"&amp;600)&gt;1,"충돌",HYPERLINK("#'관리자_MASTER'!D"&amp;_xlfn.MAXIFS(m_row,m_teacher,AV$4,m_date,($G$2+27),m_active,1,m_start,"&lt;"&amp;660,m_end,"&gt;"&amp;600),INDEX(m_label,_xlfn.MAXIFS(m_row,m_teacher,AV$4,m_date,($G$2+27),m_active,1,m_start,"&lt;"&amp;660,m_end,"&gt;"&amp;600))))))</f>
        <v/>
      </c>
      <c r="AW72" s="82" t="str">
        <f aca="false">IF(OR(AW$4="",MONTH(($G$2+27))&lt;&gt;MONTH($C$2)),"",IF(COUNTIFS(m_teacher,AW$4,m_date,($G$2+27),m_active,1,m_start,"&lt;"&amp;660,m_end,"&gt;"&amp;600)=0,"",IF(COUNTIFS(m_teacher,AW$4,m_date,($G$2+27),m_active,1,m_start,"&lt;"&amp;660,m_end,"&gt;"&amp;600)&gt;1,"충돌",HYPERLINK("#'관리자_MASTER'!D"&amp;_xlfn.MAXIFS(m_row,m_teacher,AW$4,m_date,($G$2+27),m_active,1,m_start,"&lt;"&amp;660,m_end,"&gt;"&amp;600),INDEX(m_label,_xlfn.MAXIFS(m_row,m_teacher,AW$4,m_date,($G$2+27),m_active,1,m_start,"&lt;"&amp;660,m_end,"&gt;"&amp;600))))))</f>
        <v/>
      </c>
      <c r="AX72" s="82" t="str">
        <f aca="false">IF(OR(AX$4="",MONTH(($G$2+27))&lt;&gt;MONTH($C$2)),"",IF(COUNTIFS(m_teacher,AX$4,m_date,($G$2+27),m_active,1,m_start,"&lt;"&amp;660,m_end,"&gt;"&amp;600)=0,"",IF(COUNTIFS(m_teacher,AX$4,m_date,($G$2+27),m_active,1,m_start,"&lt;"&amp;660,m_end,"&gt;"&amp;600)&gt;1,"충돌",HYPERLINK("#'관리자_MASTER'!D"&amp;_xlfn.MAXIFS(m_row,m_teacher,AX$4,m_date,($G$2+27),m_active,1,m_start,"&lt;"&amp;660,m_end,"&gt;"&amp;600),INDEX(m_label,_xlfn.MAXIFS(m_row,m_teacher,AX$4,m_date,($G$2+27),m_active,1,m_start,"&lt;"&amp;660,m_end,"&gt;"&amp;600))))))</f>
        <v/>
      </c>
      <c r="AY72" s="82" t="str">
        <f aca="false">IF(OR(AY$4="",MONTH(($G$2+27))&lt;&gt;MONTH($C$2)),"",IF(COUNTIFS(m_teacher,AY$4,m_date,($G$2+27),m_active,1,m_start,"&lt;"&amp;660,m_end,"&gt;"&amp;600)=0,"",IF(COUNTIFS(m_teacher,AY$4,m_date,($G$2+27),m_active,1,m_start,"&lt;"&amp;660,m_end,"&gt;"&amp;600)&gt;1,"충돌",HYPERLINK("#'관리자_MASTER'!D"&amp;_xlfn.MAXIFS(m_row,m_teacher,AY$4,m_date,($G$2+27),m_active,1,m_start,"&lt;"&amp;660,m_end,"&gt;"&amp;600),INDEX(m_label,_xlfn.MAXIFS(m_row,m_teacher,AY$4,m_date,($G$2+27),m_active,1,m_start,"&lt;"&amp;660,m_end,"&gt;"&amp;600))))))</f>
        <v/>
      </c>
      <c r="AZ72" s="82" t="str">
        <f aca="false">IF(OR(AZ$4="",MONTH(($G$2+27))&lt;&gt;MONTH($C$2)),"",IF(COUNTIFS(m_teacher,AZ$4,m_date,($G$2+27),m_active,1,m_start,"&lt;"&amp;660,m_end,"&gt;"&amp;600)=0,"",IF(COUNTIFS(m_teacher,AZ$4,m_date,($G$2+27),m_active,1,m_start,"&lt;"&amp;660,m_end,"&gt;"&amp;600)&gt;1,"충돌",HYPERLINK("#'관리자_MASTER'!D"&amp;_xlfn.MAXIFS(m_row,m_teacher,AZ$4,m_date,($G$2+27),m_active,1,m_start,"&lt;"&amp;660,m_end,"&gt;"&amp;600),INDEX(m_label,_xlfn.MAXIFS(m_row,m_teacher,AZ$4,m_date,($G$2+27),m_active,1,m_start,"&lt;"&amp;660,m_end,"&gt;"&amp;600))))))</f>
        <v/>
      </c>
      <c r="BA72" s="82" t="str">
        <f aca="false">IF(OR(BA$4="",MONTH(($G$2+27))&lt;&gt;MONTH($C$2)),"",IF(COUNTIFS(m_teacher,BA$4,m_date,($G$2+27),m_active,1,m_start,"&lt;"&amp;660,m_end,"&gt;"&amp;600)=0,"",IF(COUNTIFS(m_teacher,BA$4,m_date,($G$2+27),m_active,1,m_start,"&lt;"&amp;660,m_end,"&gt;"&amp;600)&gt;1,"충돌",HYPERLINK("#'관리자_MASTER'!D"&amp;_xlfn.MAXIFS(m_row,m_teacher,BA$4,m_date,($G$2+27),m_active,1,m_start,"&lt;"&amp;660,m_end,"&gt;"&amp;600),INDEX(m_label,_xlfn.MAXIFS(m_row,m_teacher,BA$4,m_date,($G$2+27),m_active,1,m_start,"&lt;"&amp;660,m_end,"&gt;"&amp;600))))))</f>
        <v/>
      </c>
      <c r="BB72" s="82" t="str">
        <f aca="false">IF(OR(BB$4="",MONTH(($G$2+27))&lt;&gt;MONTH($C$2)),"",IF(COUNTIFS(m_teacher,BB$4,m_date,($G$2+27),m_active,1,m_start,"&lt;"&amp;660,m_end,"&gt;"&amp;600)=0,"",IF(COUNTIFS(m_teacher,BB$4,m_date,($G$2+27),m_active,1,m_start,"&lt;"&amp;660,m_end,"&gt;"&amp;600)&gt;1,"충돌",HYPERLINK("#'관리자_MASTER'!D"&amp;_xlfn.MAXIFS(m_row,m_teacher,BB$4,m_date,($G$2+27),m_active,1,m_start,"&lt;"&amp;660,m_end,"&gt;"&amp;600),INDEX(m_label,_xlfn.MAXIFS(m_row,m_teacher,BB$4,m_date,($G$2+27),m_active,1,m_start,"&lt;"&amp;660,m_end,"&gt;"&amp;600))))))</f>
        <v/>
      </c>
      <c r="BC72" s="82" t="str">
        <f aca="false">IF(OR(BC$4="",MONTH(($G$2+27))&lt;&gt;MONTH($C$2)),"",IF(COUNTIFS(m_teacher,BC$4,m_date,($G$2+27),m_active,1,m_start,"&lt;"&amp;660,m_end,"&gt;"&amp;600)=0,"",IF(COUNTIFS(m_teacher,BC$4,m_date,($G$2+27),m_active,1,m_start,"&lt;"&amp;660,m_end,"&gt;"&amp;600)&gt;1,"충돌",HYPERLINK("#'관리자_MASTER'!D"&amp;_xlfn.MAXIFS(m_row,m_teacher,BC$4,m_date,($G$2+27),m_active,1,m_start,"&lt;"&amp;660,m_end,"&gt;"&amp;600),INDEX(m_label,_xlfn.MAXIFS(m_row,m_teacher,BC$4,m_date,($G$2+27),m_active,1,m_start,"&lt;"&amp;660,m_end,"&gt;"&amp;600))))))</f>
        <v/>
      </c>
      <c r="BD72" s="82" t="str">
        <f aca="false">IF(OR(BD$4="",MONTH(($G$2+27))&lt;&gt;MONTH($C$2)),"",IF(COUNTIFS(m_teacher,BD$4,m_date,($G$2+27),m_active,1,m_start,"&lt;"&amp;660,m_end,"&gt;"&amp;600)=0,"",IF(COUNTIFS(m_teacher,BD$4,m_date,($G$2+27),m_active,1,m_start,"&lt;"&amp;660,m_end,"&gt;"&amp;600)&gt;1,"충돌",HYPERLINK("#'관리자_MASTER'!D"&amp;_xlfn.MAXIFS(m_row,m_teacher,BD$4,m_date,($G$2+27),m_active,1,m_start,"&lt;"&amp;660,m_end,"&gt;"&amp;600),INDEX(m_label,_xlfn.MAXIFS(m_row,m_teacher,BD$4,m_date,($G$2+27),m_active,1,m_start,"&lt;"&amp;660,m_end,"&gt;"&amp;600))))))</f>
        <v/>
      </c>
      <c r="BE72" s="93"/>
      <c r="BF72" s="76" t="s">
        <v>92</v>
      </c>
      <c r="BG72" s="81" t="str">
        <f aca="false">IF(OR(BG$4="",MONTH(($G$2+34))&lt;&gt;MONTH($C$2)),"",IF(COUNTIFS(m_teacher,BG$4,m_date,($G$2+34),m_active,1,m_start,"&lt;"&amp;660,m_end,"&gt;"&amp;600)=0,"",IF(COUNTIFS(m_teacher,BG$4,m_date,($G$2+34),m_active,1,m_start,"&lt;"&amp;660,m_end,"&gt;"&amp;600)&gt;1,"충돌",HYPERLINK("#'관리자_MASTER'!D"&amp;_xlfn.MAXIFS(m_row,m_teacher,BG$4,m_date,($G$2+34),m_active,1,m_start,"&lt;"&amp;660,m_end,"&gt;"&amp;600),INDEX(m_label,_xlfn.MAXIFS(m_row,m_teacher,BG$4,m_date,($G$2+34),m_active,1,m_start,"&lt;"&amp;660,m_end,"&gt;"&amp;600))))))</f>
        <v/>
      </c>
      <c r="BH72" s="81" t="str">
        <f aca="false">IF(OR(BH$4="",MONTH(($G$2+34))&lt;&gt;MONTH($C$2)),"",IF(COUNTIFS(m_teacher,BH$4,m_date,($G$2+34),m_active,1,m_start,"&lt;"&amp;660,m_end,"&gt;"&amp;600)=0,"",IF(COUNTIFS(m_teacher,BH$4,m_date,($G$2+34),m_active,1,m_start,"&lt;"&amp;660,m_end,"&gt;"&amp;600)&gt;1,"충돌",HYPERLINK("#'관리자_MASTER'!D"&amp;_xlfn.MAXIFS(m_row,m_teacher,BH$4,m_date,($G$2+34),m_active,1,m_start,"&lt;"&amp;660,m_end,"&gt;"&amp;600),INDEX(m_label,_xlfn.MAXIFS(m_row,m_teacher,BH$4,m_date,($G$2+34),m_active,1,m_start,"&lt;"&amp;660,m_end,"&gt;"&amp;600))))))</f>
        <v/>
      </c>
      <c r="BI72" s="81" t="str">
        <f aca="false">IF(OR(BI$4="",MONTH(($G$2+34))&lt;&gt;MONTH($C$2)),"",IF(COUNTIFS(m_teacher,BI$4,m_date,($G$2+34),m_active,1,m_start,"&lt;"&amp;660,m_end,"&gt;"&amp;600)=0,"",IF(COUNTIFS(m_teacher,BI$4,m_date,($G$2+34),m_active,1,m_start,"&lt;"&amp;660,m_end,"&gt;"&amp;600)&gt;1,"충돌",HYPERLINK("#'관리자_MASTER'!D"&amp;_xlfn.MAXIFS(m_row,m_teacher,BI$4,m_date,($G$2+34),m_active,1,m_start,"&lt;"&amp;660,m_end,"&gt;"&amp;600),INDEX(m_label,_xlfn.MAXIFS(m_row,m_teacher,BI$4,m_date,($G$2+34),m_active,1,m_start,"&lt;"&amp;660,m_end,"&gt;"&amp;600))))))</f>
        <v/>
      </c>
      <c r="BJ72" s="81" t="str">
        <f aca="false">IF(OR(BJ$4="",MONTH(($G$2+34))&lt;&gt;MONTH($C$2)),"",IF(COUNTIFS(m_teacher,BJ$4,m_date,($G$2+34),m_active,1,m_start,"&lt;"&amp;660,m_end,"&gt;"&amp;600)=0,"",IF(COUNTIFS(m_teacher,BJ$4,m_date,($G$2+34),m_active,1,m_start,"&lt;"&amp;660,m_end,"&gt;"&amp;600)&gt;1,"충돌",HYPERLINK("#'관리자_MASTER'!D"&amp;_xlfn.MAXIFS(m_row,m_teacher,BJ$4,m_date,($G$2+34),m_active,1,m_start,"&lt;"&amp;660,m_end,"&gt;"&amp;600),INDEX(m_label,_xlfn.MAXIFS(m_row,m_teacher,BJ$4,m_date,($G$2+34),m_active,1,m_start,"&lt;"&amp;660,m_end,"&gt;"&amp;600))))))</f>
        <v/>
      </c>
      <c r="BK72" s="81" t="str">
        <f aca="false">IF(OR(BK$4="",MONTH(($G$2+34))&lt;&gt;MONTH($C$2)),"",IF(COUNTIFS(m_teacher,BK$4,m_date,($G$2+34),m_active,1,m_start,"&lt;"&amp;660,m_end,"&gt;"&amp;600)=0,"",IF(COUNTIFS(m_teacher,BK$4,m_date,($G$2+34),m_active,1,m_start,"&lt;"&amp;660,m_end,"&gt;"&amp;600)&gt;1,"충돌",HYPERLINK("#'관리자_MASTER'!D"&amp;_xlfn.MAXIFS(m_row,m_teacher,BK$4,m_date,($G$2+34),m_active,1,m_start,"&lt;"&amp;660,m_end,"&gt;"&amp;600),INDEX(m_label,_xlfn.MAXIFS(m_row,m_teacher,BK$4,m_date,($G$2+34),m_active,1,m_start,"&lt;"&amp;660,m_end,"&gt;"&amp;600))))))</f>
        <v/>
      </c>
      <c r="BL72" s="81" t="str">
        <f aca="false">IF(OR(BL$4="",MONTH(($G$2+34))&lt;&gt;MONTH($C$2)),"",IF(COUNTIFS(m_teacher,BL$4,m_date,($G$2+34),m_active,1,m_start,"&lt;"&amp;660,m_end,"&gt;"&amp;600)=0,"",IF(COUNTIFS(m_teacher,BL$4,m_date,($G$2+34),m_active,1,m_start,"&lt;"&amp;660,m_end,"&gt;"&amp;600)&gt;1,"충돌",HYPERLINK("#'관리자_MASTER'!D"&amp;_xlfn.MAXIFS(m_row,m_teacher,BL$4,m_date,($G$2+34),m_active,1,m_start,"&lt;"&amp;660,m_end,"&gt;"&amp;600),INDEX(m_label,_xlfn.MAXIFS(m_row,m_teacher,BL$4,m_date,($G$2+34),m_active,1,m_start,"&lt;"&amp;660,m_end,"&gt;"&amp;600))))))</f>
        <v/>
      </c>
      <c r="BM72" s="81" t="str">
        <f aca="false">IF(OR(BM$4="",MONTH(($G$2+34))&lt;&gt;MONTH($C$2)),"",IF(COUNTIFS(m_teacher,BM$4,m_date,($G$2+34),m_active,1,m_start,"&lt;"&amp;660,m_end,"&gt;"&amp;600)=0,"",IF(COUNTIFS(m_teacher,BM$4,m_date,($G$2+34),m_active,1,m_start,"&lt;"&amp;660,m_end,"&gt;"&amp;600)&gt;1,"충돌",HYPERLINK("#'관리자_MASTER'!D"&amp;_xlfn.MAXIFS(m_row,m_teacher,BM$4,m_date,($G$2+34),m_active,1,m_start,"&lt;"&amp;660,m_end,"&gt;"&amp;600),INDEX(m_label,_xlfn.MAXIFS(m_row,m_teacher,BM$4,m_date,($G$2+34),m_active,1,m_start,"&lt;"&amp;660,m_end,"&gt;"&amp;600))))))</f>
        <v/>
      </c>
      <c r="BN72" s="81" t="str">
        <f aca="false">IF(OR(BN$4="",MONTH(($G$2+34))&lt;&gt;MONTH($C$2)),"",IF(COUNTIFS(m_teacher,BN$4,m_date,($G$2+34),m_active,1,m_start,"&lt;"&amp;660,m_end,"&gt;"&amp;600)=0,"",IF(COUNTIFS(m_teacher,BN$4,m_date,($G$2+34),m_active,1,m_start,"&lt;"&amp;660,m_end,"&gt;"&amp;600)&gt;1,"충돌",HYPERLINK("#'관리자_MASTER'!D"&amp;_xlfn.MAXIFS(m_row,m_teacher,BN$4,m_date,($G$2+34),m_active,1,m_start,"&lt;"&amp;660,m_end,"&gt;"&amp;600),INDEX(m_label,_xlfn.MAXIFS(m_row,m_teacher,BN$4,m_date,($G$2+34),m_active,1,m_start,"&lt;"&amp;660,m_end,"&gt;"&amp;600))))))</f>
        <v/>
      </c>
      <c r="BO72" s="81" t="str">
        <f aca="false">IF(OR(BO$4="",MONTH(($G$2+34))&lt;&gt;MONTH($C$2)),"",IF(COUNTIFS(m_teacher,BO$4,m_date,($G$2+34),m_active,1,m_start,"&lt;"&amp;660,m_end,"&gt;"&amp;600)=0,"",IF(COUNTIFS(m_teacher,BO$4,m_date,($G$2+34),m_active,1,m_start,"&lt;"&amp;660,m_end,"&gt;"&amp;600)&gt;1,"충돌",HYPERLINK("#'관리자_MASTER'!D"&amp;_xlfn.MAXIFS(m_row,m_teacher,BO$4,m_date,($G$2+34),m_active,1,m_start,"&lt;"&amp;660,m_end,"&gt;"&amp;600),INDEX(m_label,_xlfn.MAXIFS(m_row,m_teacher,BO$4,m_date,($G$2+34),m_active,1,m_start,"&lt;"&amp;660,m_end,"&gt;"&amp;600))))))</f>
        <v/>
      </c>
      <c r="BP72" s="81" t="str">
        <f aca="false">IF(OR(BP$4="",MONTH(($G$2+34))&lt;&gt;MONTH($C$2)),"",IF(COUNTIFS(m_teacher,BP$4,m_date,($G$2+34),m_active,1,m_start,"&lt;"&amp;660,m_end,"&gt;"&amp;600)=0,"",IF(COUNTIFS(m_teacher,BP$4,m_date,($G$2+34),m_active,1,m_start,"&lt;"&amp;660,m_end,"&gt;"&amp;600)&gt;1,"충돌",HYPERLINK("#'관리자_MASTER'!D"&amp;_xlfn.MAXIFS(m_row,m_teacher,BP$4,m_date,($G$2+34),m_active,1,m_start,"&lt;"&amp;660,m_end,"&gt;"&amp;600),INDEX(m_label,_xlfn.MAXIFS(m_row,m_teacher,BP$4,m_date,($G$2+34),m_active,1,m_start,"&lt;"&amp;660,m_end,"&gt;"&amp;600))))))</f>
        <v/>
      </c>
      <c r="BQ72" s="81" t="str">
        <f aca="false">IF(OR(BQ$4="",MONTH(($G$2+34))&lt;&gt;MONTH($C$2)),"",IF(COUNTIFS(m_teacher,BQ$4,m_date,($G$2+34),m_active,1,m_start,"&lt;"&amp;660,m_end,"&gt;"&amp;600)=0,"",IF(COUNTIFS(m_teacher,BQ$4,m_date,($G$2+34),m_active,1,m_start,"&lt;"&amp;660,m_end,"&gt;"&amp;600)&gt;1,"충돌",HYPERLINK("#'관리자_MASTER'!D"&amp;_xlfn.MAXIFS(m_row,m_teacher,BQ$4,m_date,($G$2+34),m_active,1,m_start,"&lt;"&amp;660,m_end,"&gt;"&amp;600),INDEX(m_label,_xlfn.MAXIFS(m_row,m_teacher,BQ$4,m_date,($G$2+34),m_active,1,m_start,"&lt;"&amp;660,m_end,"&gt;"&amp;600))))))</f>
        <v/>
      </c>
      <c r="BR72" s="81" t="str">
        <f aca="false">IF(OR(BR$4="",MONTH(($G$2+34))&lt;&gt;MONTH($C$2)),"",IF(COUNTIFS(m_teacher,BR$4,m_date,($G$2+34),m_active,1,m_start,"&lt;"&amp;660,m_end,"&gt;"&amp;600)=0,"",IF(COUNTIFS(m_teacher,BR$4,m_date,($G$2+34),m_active,1,m_start,"&lt;"&amp;660,m_end,"&gt;"&amp;600)&gt;1,"충돌",HYPERLINK("#'관리자_MASTER'!D"&amp;_xlfn.MAXIFS(m_row,m_teacher,BR$4,m_date,($G$2+34),m_active,1,m_start,"&lt;"&amp;660,m_end,"&gt;"&amp;600),INDEX(m_label,_xlfn.MAXIFS(m_row,m_teacher,BR$4,m_date,($G$2+34),m_active,1,m_start,"&lt;"&amp;660,m_end,"&gt;"&amp;600))))))</f>
        <v/>
      </c>
    </row>
    <row r="73" customFormat="false" ht="19.5" hidden="false" customHeight="true" outlineLevel="0" collapsed="false">
      <c r="A73" s="92"/>
      <c r="B73" s="79" t="s">
        <v>93</v>
      </c>
      <c r="C73" s="82" t="str">
        <f aca="false">IF(OR(C$4="",MONTH(($G$2+6))&lt;&gt;MONTH($C$2)),"",IF(COUNTIFS(m_teacher,C$4,m_date,($G$2+6),m_active,1,m_start,"&lt;"&amp;720,m_end,"&gt;"&amp;660)=0,"",IF(COUNTIFS(m_teacher,C$4,m_date,($G$2+6),m_active,1,m_start,"&lt;"&amp;720,m_end,"&gt;"&amp;660)&gt;1,"충돌",HYPERLINK("#'관리자_MASTER'!D"&amp;_xlfn.MAXIFS(m_row,m_teacher,C$4,m_date,($G$2+6),m_active,1,m_start,"&lt;"&amp;720,m_end,"&gt;"&amp;660),INDEX(m_label,_xlfn.MAXIFS(m_row,m_teacher,C$4,m_date,($G$2+6),m_active,1,m_start,"&lt;"&amp;720,m_end,"&gt;"&amp;660))))))</f>
        <v/>
      </c>
      <c r="D73" s="82" t="str">
        <f aca="false">IF(OR(D$4="",MONTH(($G$2+6))&lt;&gt;MONTH($C$2)),"",IF(COUNTIFS(m_teacher,D$4,m_date,($G$2+6),m_active,1,m_start,"&lt;"&amp;720,m_end,"&gt;"&amp;660)=0,"",IF(COUNTIFS(m_teacher,D$4,m_date,($G$2+6),m_active,1,m_start,"&lt;"&amp;720,m_end,"&gt;"&amp;660)&gt;1,"충돌",HYPERLINK("#'관리자_MASTER'!D"&amp;_xlfn.MAXIFS(m_row,m_teacher,D$4,m_date,($G$2+6),m_active,1,m_start,"&lt;"&amp;720,m_end,"&gt;"&amp;660),INDEX(m_label,_xlfn.MAXIFS(m_row,m_teacher,D$4,m_date,($G$2+6),m_active,1,m_start,"&lt;"&amp;720,m_end,"&gt;"&amp;660))))))</f>
        <v/>
      </c>
      <c r="E73" s="82" t="str">
        <f aca="false">IF(OR(E$4="",MONTH(($G$2+6))&lt;&gt;MONTH($C$2)),"",IF(COUNTIFS(m_teacher,E$4,m_date,($G$2+6),m_active,1,m_start,"&lt;"&amp;720,m_end,"&gt;"&amp;660)=0,"",IF(COUNTIFS(m_teacher,E$4,m_date,($G$2+6),m_active,1,m_start,"&lt;"&amp;720,m_end,"&gt;"&amp;660)&gt;1,"충돌",HYPERLINK("#'관리자_MASTER'!D"&amp;_xlfn.MAXIFS(m_row,m_teacher,E$4,m_date,($G$2+6),m_active,1,m_start,"&lt;"&amp;720,m_end,"&gt;"&amp;660),INDEX(m_label,_xlfn.MAXIFS(m_row,m_teacher,E$4,m_date,($G$2+6),m_active,1,m_start,"&lt;"&amp;720,m_end,"&gt;"&amp;660))))))</f>
        <v/>
      </c>
      <c r="F73" s="82" t="str">
        <f aca="false">IF(OR(F$4="",MONTH(($G$2+6))&lt;&gt;MONTH($C$2)),"",IF(COUNTIFS(m_teacher,F$4,m_date,($G$2+6),m_active,1,m_start,"&lt;"&amp;720,m_end,"&gt;"&amp;660)=0,"",IF(COUNTIFS(m_teacher,F$4,m_date,($G$2+6),m_active,1,m_start,"&lt;"&amp;720,m_end,"&gt;"&amp;660)&gt;1,"충돌",HYPERLINK("#'관리자_MASTER'!D"&amp;_xlfn.MAXIFS(m_row,m_teacher,F$4,m_date,($G$2+6),m_active,1,m_start,"&lt;"&amp;720,m_end,"&gt;"&amp;660),INDEX(m_label,_xlfn.MAXIFS(m_row,m_teacher,F$4,m_date,($G$2+6),m_active,1,m_start,"&lt;"&amp;720,m_end,"&gt;"&amp;660))))))</f>
        <v/>
      </c>
      <c r="G73" s="82" t="str">
        <f aca="false">IF(OR(G$4="",MONTH(($G$2+6))&lt;&gt;MONTH($C$2)),"",IF(COUNTIFS(m_teacher,G$4,m_date,($G$2+6),m_active,1,m_start,"&lt;"&amp;720,m_end,"&gt;"&amp;660)=0,"",IF(COUNTIFS(m_teacher,G$4,m_date,($G$2+6),m_active,1,m_start,"&lt;"&amp;720,m_end,"&gt;"&amp;660)&gt;1,"충돌",HYPERLINK("#'관리자_MASTER'!D"&amp;_xlfn.MAXIFS(m_row,m_teacher,G$4,m_date,($G$2+6),m_active,1,m_start,"&lt;"&amp;720,m_end,"&gt;"&amp;660),INDEX(m_label,_xlfn.MAXIFS(m_row,m_teacher,G$4,m_date,($G$2+6),m_active,1,m_start,"&lt;"&amp;720,m_end,"&gt;"&amp;660))))))</f>
        <v/>
      </c>
      <c r="H73" s="82" t="str">
        <f aca="false">IF(OR(H$4="",MONTH(($G$2+6))&lt;&gt;MONTH($C$2)),"",IF(COUNTIFS(m_teacher,H$4,m_date,($G$2+6),m_active,1,m_start,"&lt;"&amp;720,m_end,"&gt;"&amp;660)=0,"",IF(COUNTIFS(m_teacher,H$4,m_date,($G$2+6),m_active,1,m_start,"&lt;"&amp;720,m_end,"&gt;"&amp;660)&gt;1,"충돌",HYPERLINK("#'관리자_MASTER'!D"&amp;_xlfn.MAXIFS(m_row,m_teacher,H$4,m_date,($G$2+6),m_active,1,m_start,"&lt;"&amp;720,m_end,"&gt;"&amp;660),INDEX(m_label,_xlfn.MAXIFS(m_row,m_teacher,H$4,m_date,($G$2+6),m_active,1,m_start,"&lt;"&amp;720,m_end,"&gt;"&amp;660))))))</f>
        <v/>
      </c>
      <c r="I73" s="82" t="str">
        <f aca="false">IF(OR(I$4="",MONTH(($G$2+6))&lt;&gt;MONTH($C$2)),"",IF(COUNTIFS(m_teacher,I$4,m_date,($G$2+6),m_active,1,m_start,"&lt;"&amp;720,m_end,"&gt;"&amp;660)=0,"",IF(COUNTIFS(m_teacher,I$4,m_date,($G$2+6),m_active,1,m_start,"&lt;"&amp;720,m_end,"&gt;"&amp;660)&gt;1,"충돌",HYPERLINK("#'관리자_MASTER'!D"&amp;_xlfn.MAXIFS(m_row,m_teacher,I$4,m_date,($G$2+6),m_active,1,m_start,"&lt;"&amp;720,m_end,"&gt;"&amp;660),INDEX(m_label,_xlfn.MAXIFS(m_row,m_teacher,I$4,m_date,($G$2+6),m_active,1,m_start,"&lt;"&amp;720,m_end,"&gt;"&amp;660))))))</f>
        <v/>
      </c>
      <c r="J73" s="82" t="str">
        <f aca="false">IF(OR(J$4="",MONTH(($G$2+6))&lt;&gt;MONTH($C$2)),"",IF(COUNTIFS(m_teacher,J$4,m_date,($G$2+6),m_active,1,m_start,"&lt;"&amp;720,m_end,"&gt;"&amp;660)=0,"",IF(COUNTIFS(m_teacher,J$4,m_date,($G$2+6),m_active,1,m_start,"&lt;"&amp;720,m_end,"&gt;"&amp;660)&gt;1,"충돌",HYPERLINK("#'관리자_MASTER'!D"&amp;_xlfn.MAXIFS(m_row,m_teacher,J$4,m_date,($G$2+6),m_active,1,m_start,"&lt;"&amp;720,m_end,"&gt;"&amp;660),INDEX(m_label,_xlfn.MAXIFS(m_row,m_teacher,J$4,m_date,($G$2+6),m_active,1,m_start,"&lt;"&amp;720,m_end,"&gt;"&amp;660))))))</f>
        <v/>
      </c>
      <c r="K73" s="82" t="str">
        <f aca="false">IF(OR(K$4="",MONTH(($G$2+6))&lt;&gt;MONTH($C$2)),"",IF(COUNTIFS(m_teacher,K$4,m_date,($G$2+6),m_active,1,m_start,"&lt;"&amp;720,m_end,"&gt;"&amp;660)=0,"",IF(COUNTIFS(m_teacher,K$4,m_date,($G$2+6),m_active,1,m_start,"&lt;"&amp;720,m_end,"&gt;"&amp;660)&gt;1,"충돌",HYPERLINK("#'관리자_MASTER'!D"&amp;_xlfn.MAXIFS(m_row,m_teacher,K$4,m_date,($G$2+6),m_active,1,m_start,"&lt;"&amp;720,m_end,"&gt;"&amp;660),INDEX(m_label,_xlfn.MAXIFS(m_row,m_teacher,K$4,m_date,($G$2+6),m_active,1,m_start,"&lt;"&amp;720,m_end,"&gt;"&amp;660))))))</f>
        <v/>
      </c>
      <c r="L73" s="82" t="str">
        <f aca="false">IF(OR(L$4="",MONTH(($G$2+6))&lt;&gt;MONTH($C$2)),"",IF(COUNTIFS(m_teacher,L$4,m_date,($G$2+6),m_active,1,m_start,"&lt;"&amp;720,m_end,"&gt;"&amp;660)=0,"",IF(COUNTIFS(m_teacher,L$4,m_date,($G$2+6),m_active,1,m_start,"&lt;"&amp;720,m_end,"&gt;"&amp;660)&gt;1,"충돌",HYPERLINK("#'관리자_MASTER'!D"&amp;_xlfn.MAXIFS(m_row,m_teacher,L$4,m_date,($G$2+6),m_active,1,m_start,"&lt;"&amp;720,m_end,"&gt;"&amp;660),INDEX(m_label,_xlfn.MAXIFS(m_row,m_teacher,L$4,m_date,($G$2+6),m_active,1,m_start,"&lt;"&amp;720,m_end,"&gt;"&amp;660))))))</f>
        <v/>
      </c>
      <c r="M73" s="82" t="str">
        <f aca="false">IF(OR(M$4="",MONTH(($G$2+6))&lt;&gt;MONTH($C$2)),"",IF(COUNTIFS(m_teacher,M$4,m_date,($G$2+6),m_active,1,m_start,"&lt;"&amp;720,m_end,"&gt;"&amp;660)=0,"",IF(COUNTIFS(m_teacher,M$4,m_date,($G$2+6),m_active,1,m_start,"&lt;"&amp;720,m_end,"&gt;"&amp;660)&gt;1,"충돌",HYPERLINK("#'관리자_MASTER'!D"&amp;_xlfn.MAXIFS(m_row,m_teacher,M$4,m_date,($G$2+6),m_active,1,m_start,"&lt;"&amp;720,m_end,"&gt;"&amp;660),INDEX(m_label,_xlfn.MAXIFS(m_row,m_teacher,M$4,m_date,($G$2+6),m_active,1,m_start,"&lt;"&amp;720,m_end,"&gt;"&amp;660))))))</f>
        <v/>
      </c>
      <c r="N73" s="82" t="str">
        <f aca="false">IF(OR(N$4="",MONTH(($G$2+6))&lt;&gt;MONTH($C$2)),"",IF(COUNTIFS(m_teacher,N$4,m_date,($G$2+6),m_active,1,m_start,"&lt;"&amp;720,m_end,"&gt;"&amp;660)=0,"",IF(COUNTIFS(m_teacher,N$4,m_date,($G$2+6),m_active,1,m_start,"&lt;"&amp;720,m_end,"&gt;"&amp;660)&gt;1,"충돌",HYPERLINK("#'관리자_MASTER'!D"&amp;_xlfn.MAXIFS(m_row,m_teacher,N$4,m_date,($G$2+6),m_active,1,m_start,"&lt;"&amp;720,m_end,"&gt;"&amp;660),INDEX(m_label,_xlfn.MAXIFS(m_row,m_teacher,N$4,m_date,($G$2+6),m_active,1,m_start,"&lt;"&amp;720,m_end,"&gt;"&amp;660))))))</f>
        <v/>
      </c>
      <c r="O73" s="92"/>
      <c r="P73" s="79" t="s">
        <v>93</v>
      </c>
      <c r="Q73" s="82" t="str">
        <f aca="false">IF(OR(Q$4="",MONTH(($G$2+13))&lt;&gt;MONTH($C$2)),"",IF(COUNTIFS(m_teacher,Q$4,m_date,($G$2+13),m_active,1,m_start,"&lt;"&amp;720,m_end,"&gt;"&amp;660)=0,"",IF(COUNTIFS(m_teacher,Q$4,m_date,($G$2+13),m_active,1,m_start,"&lt;"&amp;720,m_end,"&gt;"&amp;660)&gt;1,"충돌",HYPERLINK("#'관리자_MASTER'!D"&amp;_xlfn.MAXIFS(m_row,m_teacher,Q$4,m_date,($G$2+13),m_active,1,m_start,"&lt;"&amp;720,m_end,"&gt;"&amp;660),INDEX(m_label,_xlfn.MAXIFS(m_row,m_teacher,Q$4,m_date,($G$2+13),m_active,1,m_start,"&lt;"&amp;720,m_end,"&gt;"&amp;660))))))</f>
        <v/>
      </c>
      <c r="R73" s="82" t="str">
        <f aca="false">IF(OR(R$4="",MONTH(($G$2+13))&lt;&gt;MONTH($C$2)),"",IF(COUNTIFS(m_teacher,R$4,m_date,($G$2+13),m_active,1,m_start,"&lt;"&amp;720,m_end,"&gt;"&amp;660)=0,"",IF(COUNTIFS(m_teacher,R$4,m_date,($G$2+13),m_active,1,m_start,"&lt;"&amp;720,m_end,"&gt;"&amp;660)&gt;1,"충돌",HYPERLINK("#'관리자_MASTER'!D"&amp;_xlfn.MAXIFS(m_row,m_teacher,R$4,m_date,($G$2+13),m_active,1,m_start,"&lt;"&amp;720,m_end,"&gt;"&amp;660),INDEX(m_label,_xlfn.MAXIFS(m_row,m_teacher,R$4,m_date,($G$2+13),m_active,1,m_start,"&lt;"&amp;720,m_end,"&gt;"&amp;660))))))</f>
        <v/>
      </c>
      <c r="S73" s="82" t="str">
        <f aca="false">IF(OR(S$4="",MONTH(($G$2+13))&lt;&gt;MONTH($C$2)),"",IF(COUNTIFS(m_teacher,S$4,m_date,($G$2+13),m_active,1,m_start,"&lt;"&amp;720,m_end,"&gt;"&amp;660)=0,"",IF(COUNTIFS(m_teacher,S$4,m_date,($G$2+13),m_active,1,m_start,"&lt;"&amp;720,m_end,"&gt;"&amp;660)&gt;1,"충돌",HYPERLINK("#'관리자_MASTER'!D"&amp;_xlfn.MAXIFS(m_row,m_teacher,S$4,m_date,($G$2+13),m_active,1,m_start,"&lt;"&amp;720,m_end,"&gt;"&amp;660),INDEX(m_label,_xlfn.MAXIFS(m_row,m_teacher,S$4,m_date,($G$2+13),m_active,1,m_start,"&lt;"&amp;720,m_end,"&gt;"&amp;660))))))</f>
        <v/>
      </c>
      <c r="T73" s="82" t="str">
        <f aca="false">IF(OR(T$4="",MONTH(($G$2+13))&lt;&gt;MONTH($C$2)),"",IF(COUNTIFS(m_teacher,T$4,m_date,($G$2+13),m_active,1,m_start,"&lt;"&amp;720,m_end,"&gt;"&amp;660)=0,"",IF(COUNTIFS(m_teacher,T$4,m_date,($G$2+13),m_active,1,m_start,"&lt;"&amp;720,m_end,"&gt;"&amp;660)&gt;1,"충돌",HYPERLINK("#'관리자_MASTER'!D"&amp;_xlfn.MAXIFS(m_row,m_teacher,T$4,m_date,($G$2+13),m_active,1,m_start,"&lt;"&amp;720,m_end,"&gt;"&amp;660),INDEX(m_label,_xlfn.MAXIFS(m_row,m_teacher,T$4,m_date,($G$2+13),m_active,1,m_start,"&lt;"&amp;720,m_end,"&gt;"&amp;660))))))</f>
        <v/>
      </c>
      <c r="U73" s="82" t="str">
        <f aca="false">IF(OR(U$4="",MONTH(($G$2+13))&lt;&gt;MONTH($C$2)),"",IF(COUNTIFS(m_teacher,U$4,m_date,($G$2+13),m_active,1,m_start,"&lt;"&amp;720,m_end,"&gt;"&amp;660)=0,"",IF(COUNTIFS(m_teacher,U$4,m_date,($G$2+13),m_active,1,m_start,"&lt;"&amp;720,m_end,"&gt;"&amp;660)&gt;1,"충돌",HYPERLINK("#'관리자_MASTER'!D"&amp;_xlfn.MAXIFS(m_row,m_teacher,U$4,m_date,($G$2+13),m_active,1,m_start,"&lt;"&amp;720,m_end,"&gt;"&amp;660),INDEX(m_label,_xlfn.MAXIFS(m_row,m_teacher,U$4,m_date,($G$2+13),m_active,1,m_start,"&lt;"&amp;720,m_end,"&gt;"&amp;660))))))</f>
        <v/>
      </c>
      <c r="V73" s="82" t="str">
        <f aca="false">IF(OR(V$4="",MONTH(($G$2+13))&lt;&gt;MONTH($C$2)),"",IF(COUNTIFS(m_teacher,V$4,m_date,($G$2+13),m_active,1,m_start,"&lt;"&amp;720,m_end,"&gt;"&amp;660)=0,"",IF(COUNTIFS(m_teacher,V$4,m_date,($G$2+13),m_active,1,m_start,"&lt;"&amp;720,m_end,"&gt;"&amp;660)&gt;1,"충돌",HYPERLINK("#'관리자_MASTER'!D"&amp;_xlfn.MAXIFS(m_row,m_teacher,V$4,m_date,($G$2+13),m_active,1,m_start,"&lt;"&amp;720,m_end,"&gt;"&amp;660),INDEX(m_label,_xlfn.MAXIFS(m_row,m_teacher,V$4,m_date,($G$2+13),m_active,1,m_start,"&lt;"&amp;720,m_end,"&gt;"&amp;660))))))</f>
        <v/>
      </c>
      <c r="W73" s="82" t="str">
        <f aca="false">IF(OR(W$4="",MONTH(($G$2+13))&lt;&gt;MONTH($C$2)),"",IF(COUNTIFS(m_teacher,W$4,m_date,($G$2+13),m_active,1,m_start,"&lt;"&amp;720,m_end,"&gt;"&amp;660)=0,"",IF(COUNTIFS(m_teacher,W$4,m_date,($G$2+13),m_active,1,m_start,"&lt;"&amp;720,m_end,"&gt;"&amp;660)&gt;1,"충돌",HYPERLINK("#'관리자_MASTER'!D"&amp;_xlfn.MAXIFS(m_row,m_teacher,W$4,m_date,($G$2+13),m_active,1,m_start,"&lt;"&amp;720,m_end,"&gt;"&amp;660),INDEX(m_label,_xlfn.MAXIFS(m_row,m_teacher,W$4,m_date,($G$2+13),m_active,1,m_start,"&lt;"&amp;720,m_end,"&gt;"&amp;660))))))</f>
        <v/>
      </c>
      <c r="X73" s="82" t="str">
        <f aca="false">IF(OR(X$4="",MONTH(($G$2+13))&lt;&gt;MONTH($C$2)),"",IF(COUNTIFS(m_teacher,X$4,m_date,($G$2+13),m_active,1,m_start,"&lt;"&amp;720,m_end,"&gt;"&amp;660)=0,"",IF(COUNTIFS(m_teacher,X$4,m_date,($G$2+13),m_active,1,m_start,"&lt;"&amp;720,m_end,"&gt;"&amp;660)&gt;1,"충돌",HYPERLINK("#'관리자_MASTER'!D"&amp;_xlfn.MAXIFS(m_row,m_teacher,X$4,m_date,($G$2+13),m_active,1,m_start,"&lt;"&amp;720,m_end,"&gt;"&amp;660),INDEX(m_label,_xlfn.MAXIFS(m_row,m_teacher,X$4,m_date,($G$2+13),m_active,1,m_start,"&lt;"&amp;720,m_end,"&gt;"&amp;660))))))</f>
        <v/>
      </c>
      <c r="Y73" s="82" t="str">
        <f aca="false">IF(OR(Y$4="",MONTH(($G$2+13))&lt;&gt;MONTH($C$2)),"",IF(COUNTIFS(m_teacher,Y$4,m_date,($G$2+13),m_active,1,m_start,"&lt;"&amp;720,m_end,"&gt;"&amp;660)=0,"",IF(COUNTIFS(m_teacher,Y$4,m_date,($G$2+13),m_active,1,m_start,"&lt;"&amp;720,m_end,"&gt;"&amp;660)&gt;1,"충돌",HYPERLINK("#'관리자_MASTER'!D"&amp;_xlfn.MAXIFS(m_row,m_teacher,Y$4,m_date,($G$2+13),m_active,1,m_start,"&lt;"&amp;720,m_end,"&gt;"&amp;660),INDEX(m_label,_xlfn.MAXIFS(m_row,m_teacher,Y$4,m_date,($G$2+13),m_active,1,m_start,"&lt;"&amp;720,m_end,"&gt;"&amp;660))))))</f>
        <v/>
      </c>
      <c r="Z73" s="82" t="str">
        <f aca="false">IF(OR(Z$4="",MONTH(($G$2+13))&lt;&gt;MONTH($C$2)),"",IF(COUNTIFS(m_teacher,Z$4,m_date,($G$2+13),m_active,1,m_start,"&lt;"&amp;720,m_end,"&gt;"&amp;660)=0,"",IF(COUNTIFS(m_teacher,Z$4,m_date,($G$2+13),m_active,1,m_start,"&lt;"&amp;720,m_end,"&gt;"&amp;660)&gt;1,"충돌",HYPERLINK("#'관리자_MASTER'!D"&amp;_xlfn.MAXIFS(m_row,m_teacher,Z$4,m_date,($G$2+13),m_active,1,m_start,"&lt;"&amp;720,m_end,"&gt;"&amp;660),INDEX(m_label,_xlfn.MAXIFS(m_row,m_teacher,Z$4,m_date,($G$2+13),m_active,1,m_start,"&lt;"&amp;720,m_end,"&gt;"&amp;660))))))</f>
        <v/>
      </c>
      <c r="AA73" s="82" t="str">
        <f aca="false">IF(OR(AA$4="",MONTH(($G$2+13))&lt;&gt;MONTH($C$2)),"",IF(COUNTIFS(m_teacher,AA$4,m_date,($G$2+13),m_active,1,m_start,"&lt;"&amp;720,m_end,"&gt;"&amp;660)=0,"",IF(COUNTIFS(m_teacher,AA$4,m_date,($G$2+13),m_active,1,m_start,"&lt;"&amp;720,m_end,"&gt;"&amp;660)&gt;1,"충돌",HYPERLINK("#'관리자_MASTER'!D"&amp;_xlfn.MAXIFS(m_row,m_teacher,AA$4,m_date,($G$2+13),m_active,1,m_start,"&lt;"&amp;720,m_end,"&gt;"&amp;660),INDEX(m_label,_xlfn.MAXIFS(m_row,m_teacher,AA$4,m_date,($G$2+13),m_active,1,m_start,"&lt;"&amp;720,m_end,"&gt;"&amp;660))))))</f>
        <v/>
      </c>
      <c r="AB73" s="82" t="str">
        <f aca="false">IF(OR(AB$4="",MONTH(($G$2+13))&lt;&gt;MONTH($C$2)),"",IF(COUNTIFS(m_teacher,AB$4,m_date,($G$2+13),m_active,1,m_start,"&lt;"&amp;720,m_end,"&gt;"&amp;660)=0,"",IF(COUNTIFS(m_teacher,AB$4,m_date,($G$2+13),m_active,1,m_start,"&lt;"&amp;720,m_end,"&gt;"&amp;660)&gt;1,"충돌",HYPERLINK("#'관리자_MASTER'!D"&amp;_xlfn.MAXIFS(m_row,m_teacher,AB$4,m_date,($G$2+13),m_active,1,m_start,"&lt;"&amp;720,m_end,"&gt;"&amp;660),INDEX(m_label,_xlfn.MAXIFS(m_row,m_teacher,AB$4,m_date,($G$2+13),m_active,1,m_start,"&lt;"&amp;720,m_end,"&gt;"&amp;660))))))</f>
        <v/>
      </c>
      <c r="AC73" s="92"/>
      <c r="AD73" s="79" t="s">
        <v>93</v>
      </c>
      <c r="AE73" s="82" t="str">
        <f aca="false">IF(OR(AE$4="",MONTH(($G$2+20))&lt;&gt;MONTH($C$2)),"",IF(COUNTIFS(m_teacher,AE$4,m_date,($G$2+20),m_active,1,m_start,"&lt;"&amp;720,m_end,"&gt;"&amp;660)=0,"",IF(COUNTIFS(m_teacher,AE$4,m_date,($G$2+20),m_active,1,m_start,"&lt;"&amp;720,m_end,"&gt;"&amp;660)&gt;1,"충돌",HYPERLINK("#'관리자_MASTER'!D"&amp;_xlfn.MAXIFS(m_row,m_teacher,AE$4,m_date,($G$2+20),m_active,1,m_start,"&lt;"&amp;720,m_end,"&gt;"&amp;660),INDEX(m_label,_xlfn.MAXIFS(m_row,m_teacher,AE$4,m_date,($G$2+20),m_active,1,m_start,"&lt;"&amp;720,m_end,"&gt;"&amp;660))))))</f>
        <v/>
      </c>
      <c r="AF73" s="82" t="str">
        <f aca="false">IF(OR(AF$4="",MONTH(($G$2+20))&lt;&gt;MONTH($C$2)),"",IF(COUNTIFS(m_teacher,AF$4,m_date,($G$2+20),m_active,1,m_start,"&lt;"&amp;720,m_end,"&gt;"&amp;660)=0,"",IF(COUNTIFS(m_teacher,AF$4,m_date,($G$2+20),m_active,1,m_start,"&lt;"&amp;720,m_end,"&gt;"&amp;660)&gt;1,"충돌",HYPERLINK("#'관리자_MASTER'!D"&amp;_xlfn.MAXIFS(m_row,m_teacher,AF$4,m_date,($G$2+20),m_active,1,m_start,"&lt;"&amp;720,m_end,"&gt;"&amp;660),INDEX(m_label,_xlfn.MAXIFS(m_row,m_teacher,AF$4,m_date,($G$2+20),m_active,1,m_start,"&lt;"&amp;720,m_end,"&gt;"&amp;660))))))</f>
        <v/>
      </c>
      <c r="AG73" s="82" t="str">
        <f aca="false">IF(OR(AG$4="",MONTH(($G$2+20))&lt;&gt;MONTH($C$2)),"",IF(COUNTIFS(m_teacher,AG$4,m_date,($G$2+20),m_active,1,m_start,"&lt;"&amp;720,m_end,"&gt;"&amp;660)=0,"",IF(COUNTIFS(m_teacher,AG$4,m_date,($G$2+20),m_active,1,m_start,"&lt;"&amp;720,m_end,"&gt;"&amp;660)&gt;1,"충돌",HYPERLINK("#'관리자_MASTER'!D"&amp;_xlfn.MAXIFS(m_row,m_teacher,AG$4,m_date,($G$2+20),m_active,1,m_start,"&lt;"&amp;720,m_end,"&gt;"&amp;660),INDEX(m_label,_xlfn.MAXIFS(m_row,m_teacher,AG$4,m_date,($G$2+20),m_active,1,m_start,"&lt;"&amp;720,m_end,"&gt;"&amp;660))))))</f>
        <v/>
      </c>
      <c r="AH73" s="82" t="str">
        <f aca="false">IF(OR(AH$4="",MONTH(($G$2+20))&lt;&gt;MONTH($C$2)),"",IF(COUNTIFS(m_teacher,AH$4,m_date,($G$2+20),m_active,1,m_start,"&lt;"&amp;720,m_end,"&gt;"&amp;660)=0,"",IF(COUNTIFS(m_teacher,AH$4,m_date,($G$2+20),m_active,1,m_start,"&lt;"&amp;720,m_end,"&gt;"&amp;660)&gt;1,"충돌",HYPERLINK("#'관리자_MASTER'!D"&amp;_xlfn.MAXIFS(m_row,m_teacher,AH$4,m_date,($G$2+20),m_active,1,m_start,"&lt;"&amp;720,m_end,"&gt;"&amp;660),INDEX(m_label,_xlfn.MAXIFS(m_row,m_teacher,AH$4,m_date,($G$2+20),m_active,1,m_start,"&lt;"&amp;720,m_end,"&gt;"&amp;660))))))</f>
        <v/>
      </c>
      <c r="AI73" s="82" t="str">
        <f aca="false">IF(OR(AI$4="",MONTH(($G$2+20))&lt;&gt;MONTH($C$2)),"",IF(COUNTIFS(m_teacher,AI$4,m_date,($G$2+20),m_active,1,m_start,"&lt;"&amp;720,m_end,"&gt;"&amp;660)=0,"",IF(COUNTIFS(m_teacher,AI$4,m_date,($G$2+20),m_active,1,m_start,"&lt;"&amp;720,m_end,"&gt;"&amp;660)&gt;1,"충돌",HYPERLINK("#'관리자_MASTER'!D"&amp;_xlfn.MAXIFS(m_row,m_teacher,AI$4,m_date,($G$2+20),m_active,1,m_start,"&lt;"&amp;720,m_end,"&gt;"&amp;660),INDEX(m_label,_xlfn.MAXIFS(m_row,m_teacher,AI$4,m_date,($G$2+20),m_active,1,m_start,"&lt;"&amp;720,m_end,"&gt;"&amp;660))))))</f>
        <v/>
      </c>
      <c r="AJ73" s="82" t="str">
        <f aca="false">IF(OR(AJ$4="",MONTH(($G$2+20))&lt;&gt;MONTH($C$2)),"",IF(COUNTIFS(m_teacher,AJ$4,m_date,($G$2+20),m_active,1,m_start,"&lt;"&amp;720,m_end,"&gt;"&amp;660)=0,"",IF(COUNTIFS(m_teacher,AJ$4,m_date,($G$2+20),m_active,1,m_start,"&lt;"&amp;720,m_end,"&gt;"&amp;660)&gt;1,"충돌",HYPERLINK("#'관리자_MASTER'!D"&amp;_xlfn.MAXIFS(m_row,m_teacher,AJ$4,m_date,($G$2+20),m_active,1,m_start,"&lt;"&amp;720,m_end,"&gt;"&amp;660),INDEX(m_label,_xlfn.MAXIFS(m_row,m_teacher,AJ$4,m_date,($G$2+20),m_active,1,m_start,"&lt;"&amp;720,m_end,"&gt;"&amp;660))))))</f>
        <v/>
      </c>
      <c r="AK73" s="82" t="str">
        <f aca="false">IF(OR(AK$4="",MONTH(($G$2+20))&lt;&gt;MONTH($C$2)),"",IF(COUNTIFS(m_teacher,AK$4,m_date,($G$2+20),m_active,1,m_start,"&lt;"&amp;720,m_end,"&gt;"&amp;660)=0,"",IF(COUNTIFS(m_teacher,AK$4,m_date,($G$2+20),m_active,1,m_start,"&lt;"&amp;720,m_end,"&gt;"&amp;660)&gt;1,"충돌",HYPERLINK("#'관리자_MASTER'!D"&amp;_xlfn.MAXIFS(m_row,m_teacher,AK$4,m_date,($G$2+20),m_active,1,m_start,"&lt;"&amp;720,m_end,"&gt;"&amp;660),INDEX(m_label,_xlfn.MAXIFS(m_row,m_teacher,AK$4,m_date,($G$2+20),m_active,1,m_start,"&lt;"&amp;720,m_end,"&gt;"&amp;660))))))</f>
        <v/>
      </c>
      <c r="AL73" s="82" t="str">
        <f aca="false">IF(OR(AL$4="",MONTH(($G$2+20))&lt;&gt;MONTH($C$2)),"",IF(COUNTIFS(m_teacher,AL$4,m_date,($G$2+20),m_active,1,m_start,"&lt;"&amp;720,m_end,"&gt;"&amp;660)=0,"",IF(COUNTIFS(m_teacher,AL$4,m_date,($G$2+20),m_active,1,m_start,"&lt;"&amp;720,m_end,"&gt;"&amp;660)&gt;1,"충돌",HYPERLINK("#'관리자_MASTER'!D"&amp;_xlfn.MAXIFS(m_row,m_teacher,AL$4,m_date,($G$2+20),m_active,1,m_start,"&lt;"&amp;720,m_end,"&gt;"&amp;660),INDEX(m_label,_xlfn.MAXIFS(m_row,m_teacher,AL$4,m_date,($G$2+20),m_active,1,m_start,"&lt;"&amp;720,m_end,"&gt;"&amp;660))))))</f>
        <v/>
      </c>
      <c r="AM73" s="82" t="str">
        <f aca="false">IF(OR(AM$4="",MONTH(($G$2+20))&lt;&gt;MONTH($C$2)),"",IF(COUNTIFS(m_teacher,AM$4,m_date,($G$2+20),m_active,1,m_start,"&lt;"&amp;720,m_end,"&gt;"&amp;660)=0,"",IF(COUNTIFS(m_teacher,AM$4,m_date,($G$2+20),m_active,1,m_start,"&lt;"&amp;720,m_end,"&gt;"&amp;660)&gt;1,"충돌",HYPERLINK("#'관리자_MASTER'!D"&amp;_xlfn.MAXIFS(m_row,m_teacher,AM$4,m_date,($G$2+20),m_active,1,m_start,"&lt;"&amp;720,m_end,"&gt;"&amp;660),INDEX(m_label,_xlfn.MAXIFS(m_row,m_teacher,AM$4,m_date,($G$2+20),m_active,1,m_start,"&lt;"&amp;720,m_end,"&gt;"&amp;660))))))</f>
        <v/>
      </c>
      <c r="AN73" s="82" t="str">
        <f aca="false">IF(OR(AN$4="",MONTH(($G$2+20))&lt;&gt;MONTH($C$2)),"",IF(COUNTIFS(m_teacher,AN$4,m_date,($G$2+20),m_active,1,m_start,"&lt;"&amp;720,m_end,"&gt;"&amp;660)=0,"",IF(COUNTIFS(m_teacher,AN$4,m_date,($G$2+20),m_active,1,m_start,"&lt;"&amp;720,m_end,"&gt;"&amp;660)&gt;1,"충돌",HYPERLINK("#'관리자_MASTER'!D"&amp;_xlfn.MAXIFS(m_row,m_teacher,AN$4,m_date,($G$2+20),m_active,1,m_start,"&lt;"&amp;720,m_end,"&gt;"&amp;660),INDEX(m_label,_xlfn.MAXIFS(m_row,m_teacher,AN$4,m_date,($G$2+20),m_active,1,m_start,"&lt;"&amp;720,m_end,"&gt;"&amp;660))))))</f>
        <v/>
      </c>
      <c r="AO73" s="82" t="str">
        <f aca="false">IF(OR(AO$4="",MONTH(($G$2+20))&lt;&gt;MONTH($C$2)),"",IF(COUNTIFS(m_teacher,AO$4,m_date,($G$2+20),m_active,1,m_start,"&lt;"&amp;720,m_end,"&gt;"&amp;660)=0,"",IF(COUNTIFS(m_teacher,AO$4,m_date,($G$2+20),m_active,1,m_start,"&lt;"&amp;720,m_end,"&gt;"&amp;660)&gt;1,"충돌",HYPERLINK("#'관리자_MASTER'!D"&amp;_xlfn.MAXIFS(m_row,m_teacher,AO$4,m_date,($G$2+20),m_active,1,m_start,"&lt;"&amp;720,m_end,"&gt;"&amp;660),INDEX(m_label,_xlfn.MAXIFS(m_row,m_teacher,AO$4,m_date,($G$2+20),m_active,1,m_start,"&lt;"&amp;720,m_end,"&gt;"&amp;660))))))</f>
        <v/>
      </c>
      <c r="AP73" s="82" t="str">
        <f aca="false">IF(OR(AP$4="",MONTH(($G$2+20))&lt;&gt;MONTH($C$2)),"",IF(COUNTIFS(m_teacher,AP$4,m_date,($G$2+20),m_active,1,m_start,"&lt;"&amp;720,m_end,"&gt;"&amp;660)=0,"",IF(COUNTIFS(m_teacher,AP$4,m_date,($G$2+20),m_active,1,m_start,"&lt;"&amp;720,m_end,"&gt;"&amp;660)&gt;1,"충돌",HYPERLINK("#'관리자_MASTER'!D"&amp;_xlfn.MAXIFS(m_row,m_teacher,AP$4,m_date,($G$2+20),m_active,1,m_start,"&lt;"&amp;720,m_end,"&gt;"&amp;660),INDEX(m_label,_xlfn.MAXIFS(m_row,m_teacher,AP$4,m_date,($G$2+20),m_active,1,m_start,"&lt;"&amp;720,m_end,"&gt;"&amp;660))))))</f>
        <v/>
      </c>
      <c r="AQ73" s="92"/>
      <c r="AR73" s="79" t="s">
        <v>93</v>
      </c>
      <c r="AS73" s="82" t="str">
        <f aca="false">IF(OR(AS$4="",MONTH(($G$2+27))&lt;&gt;MONTH($C$2)),"",IF(COUNTIFS(m_teacher,AS$4,m_date,($G$2+27),m_active,1,m_start,"&lt;"&amp;720,m_end,"&gt;"&amp;660)=0,"",IF(COUNTIFS(m_teacher,AS$4,m_date,($G$2+27),m_active,1,m_start,"&lt;"&amp;720,m_end,"&gt;"&amp;660)&gt;1,"충돌",HYPERLINK("#'관리자_MASTER'!D"&amp;_xlfn.MAXIFS(m_row,m_teacher,AS$4,m_date,($G$2+27),m_active,1,m_start,"&lt;"&amp;720,m_end,"&gt;"&amp;660),INDEX(m_label,_xlfn.MAXIFS(m_row,m_teacher,AS$4,m_date,($G$2+27),m_active,1,m_start,"&lt;"&amp;720,m_end,"&gt;"&amp;660))))))</f>
        <v/>
      </c>
      <c r="AT73" s="82" t="str">
        <f aca="false">IF(OR(AT$4="",MONTH(($G$2+27))&lt;&gt;MONTH($C$2)),"",IF(COUNTIFS(m_teacher,AT$4,m_date,($G$2+27),m_active,1,m_start,"&lt;"&amp;720,m_end,"&gt;"&amp;660)=0,"",IF(COUNTIFS(m_teacher,AT$4,m_date,($G$2+27),m_active,1,m_start,"&lt;"&amp;720,m_end,"&gt;"&amp;660)&gt;1,"충돌",HYPERLINK("#'관리자_MASTER'!D"&amp;_xlfn.MAXIFS(m_row,m_teacher,AT$4,m_date,($G$2+27),m_active,1,m_start,"&lt;"&amp;720,m_end,"&gt;"&amp;660),INDEX(m_label,_xlfn.MAXIFS(m_row,m_teacher,AT$4,m_date,($G$2+27),m_active,1,m_start,"&lt;"&amp;720,m_end,"&gt;"&amp;660))))))</f>
        <v/>
      </c>
      <c r="AU73" s="82" t="str">
        <f aca="false">IF(OR(AU$4="",MONTH(($G$2+27))&lt;&gt;MONTH($C$2)),"",IF(COUNTIFS(m_teacher,AU$4,m_date,($G$2+27),m_active,1,m_start,"&lt;"&amp;720,m_end,"&gt;"&amp;660)=0,"",IF(COUNTIFS(m_teacher,AU$4,m_date,($G$2+27),m_active,1,m_start,"&lt;"&amp;720,m_end,"&gt;"&amp;660)&gt;1,"충돌",HYPERLINK("#'관리자_MASTER'!D"&amp;_xlfn.MAXIFS(m_row,m_teacher,AU$4,m_date,($G$2+27),m_active,1,m_start,"&lt;"&amp;720,m_end,"&gt;"&amp;660),INDEX(m_label,_xlfn.MAXIFS(m_row,m_teacher,AU$4,m_date,($G$2+27),m_active,1,m_start,"&lt;"&amp;720,m_end,"&gt;"&amp;660))))))</f>
        <v/>
      </c>
      <c r="AV73" s="82" t="str">
        <f aca="false">IF(OR(AV$4="",MONTH(($G$2+27))&lt;&gt;MONTH($C$2)),"",IF(COUNTIFS(m_teacher,AV$4,m_date,($G$2+27),m_active,1,m_start,"&lt;"&amp;720,m_end,"&gt;"&amp;660)=0,"",IF(COUNTIFS(m_teacher,AV$4,m_date,($G$2+27),m_active,1,m_start,"&lt;"&amp;720,m_end,"&gt;"&amp;660)&gt;1,"충돌",HYPERLINK("#'관리자_MASTER'!D"&amp;_xlfn.MAXIFS(m_row,m_teacher,AV$4,m_date,($G$2+27),m_active,1,m_start,"&lt;"&amp;720,m_end,"&gt;"&amp;660),INDEX(m_label,_xlfn.MAXIFS(m_row,m_teacher,AV$4,m_date,($G$2+27),m_active,1,m_start,"&lt;"&amp;720,m_end,"&gt;"&amp;660))))))</f>
        <v/>
      </c>
      <c r="AW73" s="82" t="str">
        <f aca="false">IF(OR(AW$4="",MONTH(($G$2+27))&lt;&gt;MONTH($C$2)),"",IF(COUNTIFS(m_teacher,AW$4,m_date,($G$2+27),m_active,1,m_start,"&lt;"&amp;720,m_end,"&gt;"&amp;660)=0,"",IF(COUNTIFS(m_teacher,AW$4,m_date,($G$2+27),m_active,1,m_start,"&lt;"&amp;720,m_end,"&gt;"&amp;660)&gt;1,"충돌",HYPERLINK("#'관리자_MASTER'!D"&amp;_xlfn.MAXIFS(m_row,m_teacher,AW$4,m_date,($G$2+27),m_active,1,m_start,"&lt;"&amp;720,m_end,"&gt;"&amp;660),INDEX(m_label,_xlfn.MAXIFS(m_row,m_teacher,AW$4,m_date,($G$2+27),m_active,1,m_start,"&lt;"&amp;720,m_end,"&gt;"&amp;660))))))</f>
        <v/>
      </c>
      <c r="AX73" s="82" t="str">
        <f aca="false">IF(OR(AX$4="",MONTH(($G$2+27))&lt;&gt;MONTH($C$2)),"",IF(COUNTIFS(m_teacher,AX$4,m_date,($G$2+27),m_active,1,m_start,"&lt;"&amp;720,m_end,"&gt;"&amp;660)=0,"",IF(COUNTIFS(m_teacher,AX$4,m_date,($G$2+27),m_active,1,m_start,"&lt;"&amp;720,m_end,"&gt;"&amp;660)&gt;1,"충돌",HYPERLINK("#'관리자_MASTER'!D"&amp;_xlfn.MAXIFS(m_row,m_teacher,AX$4,m_date,($G$2+27),m_active,1,m_start,"&lt;"&amp;720,m_end,"&gt;"&amp;660),INDEX(m_label,_xlfn.MAXIFS(m_row,m_teacher,AX$4,m_date,($G$2+27),m_active,1,m_start,"&lt;"&amp;720,m_end,"&gt;"&amp;660))))))</f>
        <v/>
      </c>
      <c r="AY73" s="82" t="str">
        <f aca="false">IF(OR(AY$4="",MONTH(($G$2+27))&lt;&gt;MONTH($C$2)),"",IF(COUNTIFS(m_teacher,AY$4,m_date,($G$2+27),m_active,1,m_start,"&lt;"&amp;720,m_end,"&gt;"&amp;660)=0,"",IF(COUNTIFS(m_teacher,AY$4,m_date,($G$2+27),m_active,1,m_start,"&lt;"&amp;720,m_end,"&gt;"&amp;660)&gt;1,"충돌",HYPERLINK("#'관리자_MASTER'!D"&amp;_xlfn.MAXIFS(m_row,m_teacher,AY$4,m_date,($G$2+27),m_active,1,m_start,"&lt;"&amp;720,m_end,"&gt;"&amp;660),INDEX(m_label,_xlfn.MAXIFS(m_row,m_teacher,AY$4,m_date,($G$2+27),m_active,1,m_start,"&lt;"&amp;720,m_end,"&gt;"&amp;660))))))</f>
        <v/>
      </c>
      <c r="AZ73" s="82" t="str">
        <f aca="false">IF(OR(AZ$4="",MONTH(($G$2+27))&lt;&gt;MONTH($C$2)),"",IF(COUNTIFS(m_teacher,AZ$4,m_date,($G$2+27),m_active,1,m_start,"&lt;"&amp;720,m_end,"&gt;"&amp;660)=0,"",IF(COUNTIFS(m_teacher,AZ$4,m_date,($G$2+27),m_active,1,m_start,"&lt;"&amp;720,m_end,"&gt;"&amp;660)&gt;1,"충돌",HYPERLINK("#'관리자_MASTER'!D"&amp;_xlfn.MAXIFS(m_row,m_teacher,AZ$4,m_date,($G$2+27),m_active,1,m_start,"&lt;"&amp;720,m_end,"&gt;"&amp;660),INDEX(m_label,_xlfn.MAXIFS(m_row,m_teacher,AZ$4,m_date,($G$2+27),m_active,1,m_start,"&lt;"&amp;720,m_end,"&gt;"&amp;660))))))</f>
        <v/>
      </c>
      <c r="BA73" s="82" t="str">
        <f aca="false">IF(OR(BA$4="",MONTH(($G$2+27))&lt;&gt;MONTH($C$2)),"",IF(COUNTIFS(m_teacher,BA$4,m_date,($G$2+27),m_active,1,m_start,"&lt;"&amp;720,m_end,"&gt;"&amp;660)=0,"",IF(COUNTIFS(m_teacher,BA$4,m_date,($G$2+27),m_active,1,m_start,"&lt;"&amp;720,m_end,"&gt;"&amp;660)&gt;1,"충돌",HYPERLINK("#'관리자_MASTER'!D"&amp;_xlfn.MAXIFS(m_row,m_teacher,BA$4,m_date,($G$2+27),m_active,1,m_start,"&lt;"&amp;720,m_end,"&gt;"&amp;660),INDEX(m_label,_xlfn.MAXIFS(m_row,m_teacher,BA$4,m_date,($G$2+27),m_active,1,m_start,"&lt;"&amp;720,m_end,"&gt;"&amp;660))))))</f>
        <v/>
      </c>
      <c r="BB73" s="82" t="str">
        <f aca="false">IF(OR(BB$4="",MONTH(($G$2+27))&lt;&gt;MONTH($C$2)),"",IF(COUNTIFS(m_teacher,BB$4,m_date,($G$2+27),m_active,1,m_start,"&lt;"&amp;720,m_end,"&gt;"&amp;660)=0,"",IF(COUNTIFS(m_teacher,BB$4,m_date,($G$2+27),m_active,1,m_start,"&lt;"&amp;720,m_end,"&gt;"&amp;660)&gt;1,"충돌",HYPERLINK("#'관리자_MASTER'!D"&amp;_xlfn.MAXIFS(m_row,m_teacher,BB$4,m_date,($G$2+27),m_active,1,m_start,"&lt;"&amp;720,m_end,"&gt;"&amp;660),INDEX(m_label,_xlfn.MAXIFS(m_row,m_teacher,BB$4,m_date,($G$2+27),m_active,1,m_start,"&lt;"&amp;720,m_end,"&gt;"&amp;660))))))</f>
        <v/>
      </c>
      <c r="BC73" s="82" t="str">
        <f aca="false">IF(OR(BC$4="",MONTH(($G$2+27))&lt;&gt;MONTH($C$2)),"",IF(COUNTIFS(m_teacher,BC$4,m_date,($G$2+27),m_active,1,m_start,"&lt;"&amp;720,m_end,"&gt;"&amp;660)=0,"",IF(COUNTIFS(m_teacher,BC$4,m_date,($G$2+27),m_active,1,m_start,"&lt;"&amp;720,m_end,"&gt;"&amp;660)&gt;1,"충돌",HYPERLINK("#'관리자_MASTER'!D"&amp;_xlfn.MAXIFS(m_row,m_teacher,BC$4,m_date,($G$2+27),m_active,1,m_start,"&lt;"&amp;720,m_end,"&gt;"&amp;660),INDEX(m_label,_xlfn.MAXIFS(m_row,m_teacher,BC$4,m_date,($G$2+27),m_active,1,m_start,"&lt;"&amp;720,m_end,"&gt;"&amp;660))))))</f>
        <v/>
      </c>
      <c r="BD73" s="82" t="str">
        <f aca="false">IF(OR(BD$4="",MONTH(($G$2+27))&lt;&gt;MONTH($C$2)),"",IF(COUNTIFS(m_teacher,BD$4,m_date,($G$2+27),m_active,1,m_start,"&lt;"&amp;720,m_end,"&gt;"&amp;660)=0,"",IF(COUNTIFS(m_teacher,BD$4,m_date,($G$2+27),m_active,1,m_start,"&lt;"&amp;720,m_end,"&gt;"&amp;660)&gt;1,"충돌",HYPERLINK("#'관리자_MASTER'!D"&amp;_xlfn.MAXIFS(m_row,m_teacher,BD$4,m_date,($G$2+27),m_active,1,m_start,"&lt;"&amp;720,m_end,"&gt;"&amp;660),INDEX(m_label,_xlfn.MAXIFS(m_row,m_teacher,BD$4,m_date,($G$2+27),m_active,1,m_start,"&lt;"&amp;720,m_end,"&gt;"&amp;660))))))</f>
        <v/>
      </c>
      <c r="BE73" s="93"/>
      <c r="BF73" s="76" t="s">
        <v>93</v>
      </c>
      <c r="BG73" s="81" t="str">
        <f aca="false">IF(OR(BG$4="",MONTH(($G$2+34))&lt;&gt;MONTH($C$2)),"",IF(COUNTIFS(m_teacher,BG$4,m_date,($G$2+34),m_active,1,m_start,"&lt;"&amp;720,m_end,"&gt;"&amp;660)=0,"",IF(COUNTIFS(m_teacher,BG$4,m_date,($G$2+34),m_active,1,m_start,"&lt;"&amp;720,m_end,"&gt;"&amp;660)&gt;1,"충돌",HYPERLINK("#'관리자_MASTER'!D"&amp;_xlfn.MAXIFS(m_row,m_teacher,BG$4,m_date,($G$2+34),m_active,1,m_start,"&lt;"&amp;720,m_end,"&gt;"&amp;660),INDEX(m_label,_xlfn.MAXIFS(m_row,m_teacher,BG$4,m_date,($G$2+34),m_active,1,m_start,"&lt;"&amp;720,m_end,"&gt;"&amp;660))))))</f>
        <v/>
      </c>
      <c r="BH73" s="81" t="str">
        <f aca="false">IF(OR(BH$4="",MONTH(($G$2+34))&lt;&gt;MONTH($C$2)),"",IF(COUNTIFS(m_teacher,BH$4,m_date,($G$2+34),m_active,1,m_start,"&lt;"&amp;720,m_end,"&gt;"&amp;660)=0,"",IF(COUNTIFS(m_teacher,BH$4,m_date,($G$2+34),m_active,1,m_start,"&lt;"&amp;720,m_end,"&gt;"&amp;660)&gt;1,"충돌",HYPERLINK("#'관리자_MASTER'!D"&amp;_xlfn.MAXIFS(m_row,m_teacher,BH$4,m_date,($G$2+34),m_active,1,m_start,"&lt;"&amp;720,m_end,"&gt;"&amp;660),INDEX(m_label,_xlfn.MAXIFS(m_row,m_teacher,BH$4,m_date,($G$2+34),m_active,1,m_start,"&lt;"&amp;720,m_end,"&gt;"&amp;660))))))</f>
        <v/>
      </c>
      <c r="BI73" s="81" t="str">
        <f aca="false">IF(OR(BI$4="",MONTH(($G$2+34))&lt;&gt;MONTH($C$2)),"",IF(COUNTIFS(m_teacher,BI$4,m_date,($G$2+34),m_active,1,m_start,"&lt;"&amp;720,m_end,"&gt;"&amp;660)=0,"",IF(COUNTIFS(m_teacher,BI$4,m_date,($G$2+34),m_active,1,m_start,"&lt;"&amp;720,m_end,"&gt;"&amp;660)&gt;1,"충돌",HYPERLINK("#'관리자_MASTER'!D"&amp;_xlfn.MAXIFS(m_row,m_teacher,BI$4,m_date,($G$2+34),m_active,1,m_start,"&lt;"&amp;720,m_end,"&gt;"&amp;660),INDEX(m_label,_xlfn.MAXIFS(m_row,m_teacher,BI$4,m_date,($G$2+34),m_active,1,m_start,"&lt;"&amp;720,m_end,"&gt;"&amp;660))))))</f>
        <v/>
      </c>
      <c r="BJ73" s="81" t="str">
        <f aca="false">IF(OR(BJ$4="",MONTH(($G$2+34))&lt;&gt;MONTH($C$2)),"",IF(COUNTIFS(m_teacher,BJ$4,m_date,($G$2+34),m_active,1,m_start,"&lt;"&amp;720,m_end,"&gt;"&amp;660)=0,"",IF(COUNTIFS(m_teacher,BJ$4,m_date,($G$2+34),m_active,1,m_start,"&lt;"&amp;720,m_end,"&gt;"&amp;660)&gt;1,"충돌",HYPERLINK("#'관리자_MASTER'!D"&amp;_xlfn.MAXIFS(m_row,m_teacher,BJ$4,m_date,($G$2+34),m_active,1,m_start,"&lt;"&amp;720,m_end,"&gt;"&amp;660),INDEX(m_label,_xlfn.MAXIFS(m_row,m_teacher,BJ$4,m_date,($G$2+34),m_active,1,m_start,"&lt;"&amp;720,m_end,"&gt;"&amp;660))))))</f>
        <v/>
      </c>
      <c r="BK73" s="81" t="str">
        <f aca="false">IF(OR(BK$4="",MONTH(($G$2+34))&lt;&gt;MONTH($C$2)),"",IF(COUNTIFS(m_teacher,BK$4,m_date,($G$2+34),m_active,1,m_start,"&lt;"&amp;720,m_end,"&gt;"&amp;660)=0,"",IF(COUNTIFS(m_teacher,BK$4,m_date,($G$2+34),m_active,1,m_start,"&lt;"&amp;720,m_end,"&gt;"&amp;660)&gt;1,"충돌",HYPERLINK("#'관리자_MASTER'!D"&amp;_xlfn.MAXIFS(m_row,m_teacher,BK$4,m_date,($G$2+34),m_active,1,m_start,"&lt;"&amp;720,m_end,"&gt;"&amp;660),INDEX(m_label,_xlfn.MAXIFS(m_row,m_teacher,BK$4,m_date,($G$2+34),m_active,1,m_start,"&lt;"&amp;720,m_end,"&gt;"&amp;660))))))</f>
        <v/>
      </c>
      <c r="BL73" s="81" t="str">
        <f aca="false">IF(OR(BL$4="",MONTH(($G$2+34))&lt;&gt;MONTH($C$2)),"",IF(COUNTIFS(m_teacher,BL$4,m_date,($G$2+34),m_active,1,m_start,"&lt;"&amp;720,m_end,"&gt;"&amp;660)=0,"",IF(COUNTIFS(m_teacher,BL$4,m_date,($G$2+34),m_active,1,m_start,"&lt;"&amp;720,m_end,"&gt;"&amp;660)&gt;1,"충돌",HYPERLINK("#'관리자_MASTER'!D"&amp;_xlfn.MAXIFS(m_row,m_teacher,BL$4,m_date,($G$2+34),m_active,1,m_start,"&lt;"&amp;720,m_end,"&gt;"&amp;660),INDEX(m_label,_xlfn.MAXIFS(m_row,m_teacher,BL$4,m_date,($G$2+34),m_active,1,m_start,"&lt;"&amp;720,m_end,"&gt;"&amp;660))))))</f>
        <v/>
      </c>
      <c r="BM73" s="81" t="str">
        <f aca="false">IF(OR(BM$4="",MONTH(($G$2+34))&lt;&gt;MONTH($C$2)),"",IF(COUNTIFS(m_teacher,BM$4,m_date,($G$2+34),m_active,1,m_start,"&lt;"&amp;720,m_end,"&gt;"&amp;660)=0,"",IF(COUNTIFS(m_teacher,BM$4,m_date,($G$2+34),m_active,1,m_start,"&lt;"&amp;720,m_end,"&gt;"&amp;660)&gt;1,"충돌",HYPERLINK("#'관리자_MASTER'!D"&amp;_xlfn.MAXIFS(m_row,m_teacher,BM$4,m_date,($G$2+34),m_active,1,m_start,"&lt;"&amp;720,m_end,"&gt;"&amp;660),INDEX(m_label,_xlfn.MAXIFS(m_row,m_teacher,BM$4,m_date,($G$2+34),m_active,1,m_start,"&lt;"&amp;720,m_end,"&gt;"&amp;660))))))</f>
        <v/>
      </c>
      <c r="BN73" s="81" t="str">
        <f aca="false">IF(OR(BN$4="",MONTH(($G$2+34))&lt;&gt;MONTH($C$2)),"",IF(COUNTIFS(m_teacher,BN$4,m_date,($G$2+34),m_active,1,m_start,"&lt;"&amp;720,m_end,"&gt;"&amp;660)=0,"",IF(COUNTIFS(m_teacher,BN$4,m_date,($G$2+34),m_active,1,m_start,"&lt;"&amp;720,m_end,"&gt;"&amp;660)&gt;1,"충돌",HYPERLINK("#'관리자_MASTER'!D"&amp;_xlfn.MAXIFS(m_row,m_teacher,BN$4,m_date,($G$2+34),m_active,1,m_start,"&lt;"&amp;720,m_end,"&gt;"&amp;660),INDEX(m_label,_xlfn.MAXIFS(m_row,m_teacher,BN$4,m_date,($G$2+34),m_active,1,m_start,"&lt;"&amp;720,m_end,"&gt;"&amp;660))))))</f>
        <v/>
      </c>
      <c r="BO73" s="81" t="str">
        <f aca="false">IF(OR(BO$4="",MONTH(($G$2+34))&lt;&gt;MONTH($C$2)),"",IF(COUNTIFS(m_teacher,BO$4,m_date,($G$2+34),m_active,1,m_start,"&lt;"&amp;720,m_end,"&gt;"&amp;660)=0,"",IF(COUNTIFS(m_teacher,BO$4,m_date,($G$2+34),m_active,1,m_start,"&lt;"&amp;720,m_end,"&gt;"&amp;660)&gt;1,"충돌",HYPERLINK("#'관리자_MASTER'!D"&amp;_xlfn.MAXIFS(m_row,m_teacher,BO$4,m_date,($G$2+34),m_active,1,m_start,"&lt;"&amp;720,m_end,"&gt;"&amp;660),INDEX(m_label,_xlfn.MAXIFS(m_row,m_teacher,BO$4,m_date,($G$2+34),m_active,1,m_start,"&lt;"&amp;720,m_end,"&gt;"&amp;660))))))</f>
        <v/>
      </c>
      <c r="BP73" s="81" t="str">
        <f aca="false">IF(OR(BP$4="",MONTH(($G$2+34))&lt;&gt;MONTH($C$2)),"",IF(COUNTIFS(m_teacher,BP$4,m_date,($G$2+34),m_active,1,m_start,"&lt;"&amp;720,m_end,"&gt;"&amp;660)=0,"",IF(COUNTIFS(m_teacher,BP$4,m_date,($G$2+34),m_active,1,m_start,"&lt;"&amp;720,m_end,"&gt;"&amp;660)&gt;1,"충돌",HYPERLINK("#'관리자_MASTER'!D"&amp;_xlfn.MAXIFS(m_row,m_teacher,BP$4,m_date,($G$2+34),m_active,1,m_start,"&lt;"&amp;720,m_end,"&gt;"&amp;660),INDEX(m_label,_xlfn.MAXIFS(m_row,m_teacher,BP$4,m_date,($G$2+34),m_active,1,m_start,"&lt;"&amp;720,m_end,"&gt;"&amp;660))))))</f>
        <v/>
      </c>
      <c r="BQ73" s="81" t="str">
        <f aca="false">IF(OR(BQ$4="",MONTH(($G$2+34))&lt;&gt;MONTH($C$2)),"",IF(COUNTIFS(m_teacher,BQ$4,m_date,($G$2+34),m_active,1,m_start,"&lt;"&amp;720,m_end,"&gt;"&amp;660)=0,"",IF(COUNTIFS(m_teacher,BQ$4,m_date,($G$2+34),m_active,1,m_start,"&lt;"&amp;720,m_end,"&gt;"&amp;660)&gt;1,"충돌",HYPERLINK("#'관리자_MASTER'!D"&amp;_xlfn.MAXIFS(m_row,m_teacher,BQ$4,m_date,($G$2+34),m_active,1,m_start,"&lt;"&amp;720,m_end,"&gt;"&amp;660),INDEX(m_label,_xlfn.MAXIFS(m_row,m_teacher,BQ$4,m_date,($G$2+34),m_active,1,m_start,"&lt;"&amp;720,m_end,"&gt;"&amp;660))))))</f>
        <v/>
      </c>
      <c r="BR73" s="81" t="str">
        <f aca="false">IF(OR(BR$4="",MONTH(($G$2+34))&lt;&gt;MONTH($C$2)),"",IF(COUNTIFS(m_teacher,BR$4,m_date,($G$2+34),m_active,1,m_start,"&lt;"&amp;720,m_end,"&gt;"&amp;660)=0,"",IF(COUNTIFS(m_teacher,BR$4,m_date,($G$2+34),m_active,1,m_start,"&lt;"&amp;720,m_end,"&gt;"&amp;660)&gt;1,"충돌",HYPERLINK("#'관리자_MASTER'!D"&amp;_xlfn.MAXIFS(m_row,m_teacher,BR$4,m_date,($G$2+34),m_active,1,m_start,"&lt;"&amp;720,m_end,"&gt;"&amp;660),INDEX(m_label,_xlfn.MAXIFS(m_row,m_teacher,BR$4,m_date,($G$2+34),m_active,1,m_start,"&lt;"&amp;720,m_end,"&gt;"&amp;660))))))</f>
        <v/>
      </c>
    </row>
    <row r="74" customFormat="false" ht="19.5" hidden="false" customHeight="true" outlineLevel="0" collapsed="false">
      <c r="A74" s="92"/>
      <c r="B74" s="79" t="s">
        <v>94</v>
      </c>
      <c r="C74" s="82" t="str">
        <f aca="false">IF(OR(C$4="",MONTH(($G$2+6))&lt;&gt;MONTH($C$2)),"",IF(COUNTIFS(m_teacher,C$4,m_date,($G$2+6),m_active,1,m_start,"&lt;"&amp;780,m_end,"&gt;"&amp;720)=0,"",IF(COUNTIFS(m_teacher,C$4,m_date,($G$2+6),m_active,1,m_start,"&lt;"&amp;780,m_end,"&gt;"&amp;720)&gt;1,"충돌",HYPERLINK("#'관리자_MASTER'!D"&amp;_xlfn.MAXIFS(m_row,m_teacher,C$4,m_date,($G$2+6),m_active,1,m_start,"&lt;"&amp;780,m_end,"&gt;"&amp;720),INDEX(m_label,_xlfn.MAXIFS(m_row,m_teacher,C$4,m_date,($G$2+6),m_active,1,m_start,"&lt;"&amp;780,m_end,"&gt;"&amp;720))))))</f>
        <v/>
      </c>
      <c r="D74" s="82" t="str">
        <f aca="false">IF(OR(D$4="",MONTH(($G$2+6))&lt;&gt;MONTH($C$2)),"",IF(COUNTIFS(m_teacher,D$4,m_date,($G$2+6),m_active,1,m_start,"&lt;"&amp;780,m_end,"&gt;"&amp;720)=0,"",IF(COUNTIFS(m_teacher,D$4,m_date,($G$2+6),m_active,1,m_start,"&lt;"&amp;780,m_end,"&gt;"&amp;720)&gt;1,"충돌",HYPERLINK("#'관리자_MASTER'!D"&amp;_xlfn.MAXIFS(m_row,m_teacher,D$4,m_date,($G$2+6),m_active,1,m_start,"&lt;"&amp;780,m_end,"&gt;"&amp;720),INDEX(m_label,_xlfn.MAXIFS(m_row,m_teacher,D$4,m_date,($G$2+6),m_active,1,m_start,"&lt;"&amp;780,m_end,"&gt;"&amp;720))))))</f>
        <v/>
      </c>
      <c r="E74" s="82" t="str">
        <f aca="false">IF(OR(E$4="",MONTH(($G$2+6))&lt;&gt;MONTH($C$2)),"",IF(COUNTIFS(m_teacher,E$4,m_date,($G$2+6),m_active,1,m_start,"&lt;"&amp;780,m_end,"&gt;"&amp;720)=0,"",IF(COUNTIFS(m_teacher,E$4,m_date,($G$2+6),m_active,1,m_start,"&lt;"&amp;780,m_end,"&gt;"&amp;720)&gt;1,"충돌",HYPERLINK("#'관리자_MASTER'!D"&amp;_xlfn.MAXIFS(m_row,m_teacher,E$4,m_date,($G$2+6),m_active,1,m_start,"&lt;"&amp;780,m_end,"&gt;"&amp;720),INDEX(m_label,_xlfn.MAXIFS(m_row,m_teacher,E$4,m_date,($G$2+6),m_active,1,m_start,"&lt;"&amp;780,m_end,"&gt;"&amp;720))))))</f>
        <v/>
      </c>
      <c r="F74" s="82" t="str">
        <f aca="false">IF(OR(F$4="",MONTH(($G$2+6))&lt;&gt;MONTH($C$2)),"",IF(COUNTIFS(m_teacher,F$4,m_date,($G$2+6),m_active,1,m_start,"&lt;"&amp;780,m_end,"&gt;"&amp;720)=0,"",IF(COUNTIFS(m_teacher,F$4,m_date,($G$2+6),m_active,1,m_start,"&lt;"&amp;780,m_end,"&gt;"&amp;720)&gt;1,"충돌",HYPERLINK("#'관리자_MASTER'!D"&amp;_xlfn.MAXIFS(m_row,m_teacher,F$4,m_date,($G$2+6),m_active,1,m_start,"&lt;"&amp;780,m_end,"&gt;"&amp;720),INDEX(m_label,_xlfn.MAXIFS(m_row,m_teacher,F$4,m_date,($G$2+6),m_active,1,m_start,"&lt;"&amp;780,m_end,"&gt;"&amp;720))))))</f>
        <v/>
      </c>
      <c r="G74" s="82" t="str">
        <f aca="false">IF(OR(G$4="",MONTH(($G$2+6))&lt;&gt;MONTH($C$2)),"",IF(COUNTIFS(m_teacher,G$4,m_date,($G$2+6),m_active,1,m_start,"&lt;"&amp;780,m_end,"&gt;"&amp;720)=0,"",IF(COUNTIFS(m_teacher,G$4,m_date,($G$2+6),m_active,1,m_start,"&lt;"&amp;780,m_end,"&gt;"&amp;720)&gt;1,"충돌",HYPERLINK("#'관리자_MASTER'!D"&amp;_xlfn.MAXIFS(m_row,m_teacher,G$4,m_date,($G$2+6),m_active,1,m_start,"&lt;"&amp;780,m_end,"&gt;"&amp;720),INDEX(m_label,_xlfn.MAXIFS(m_row,m_teacher,G$4,m_date,($G$2+6),m_active,1,m_start,"&lt;"&amp;780,m_end,"&gt;"&amp;720))))))</f>
        <v/>
      </c>
      <c r="H74" s="82" t="str">
        <f aca="false">IF(OR(H$4="",MONTH(($G$2+6))&lt;&gt;MONTH($C$2)),"",IF(COUNTIFS(m_teacher,H$4,m_date,($G$2+6),m_active,1,m_start,"&lt;"&amp;780,m_end,"&gt;"&amp;720)=0,"",IF(COUNTIFS(m_teacher,H$4,m_date,($G$2+6),m_active,1,m_start,"&lt;"&amp;780,m_end,"&gt;"&amp;720)&gt;1,"충돌",HYPERLINK("#'관리자_MASTER'!D"&amp;_xlfn.MAXIFS(m_row,m_teacher,H$4,m_date,($G$2+6),m_active,1,m_start,"&lt;"&amp;780,m_end,"&gt;"&amp;720),INDEX(m_label,_xlfn.MAXIFS(m_row,m_teacher,H$4,m_date,($G$2+6),m_active,1,m_start,"&lt;"&amp;780,m_end,"&gt;"&amp;720))))))</f>
        <v/>
      </c>
      <c r="I74" s="82" t="str">
        <f aca="false">IF(OR(I$4="",MONTH(($G$2+6))&lt;&gt;MONTH($C$2)),"",IF(COUNTIFS(m_teacher,I$4,m_date,($G$2+6),m_active,1,m_start,"&lt;"&amp;780,m_end,"&gt;"&amp;720)=0,"",IF(COUNTIFS(m_teacher,I$4,m_date,($G$2+6),m_active,1,m_start,"&lt;"&amp;780,m_end,"&gt;"&amp;720)&gt;1,"충돌",HYPERLINK("#'관리자_MASTER'!D"&amp;_xlfn.MAXIFS(m_row,m_teacher,I$4,m_date,($G$2+6),m_active,1,m_start,"&lt;"&amp;780,m_end,"&gt;"&amp;720),INDEX(m_label,_xlfn.MAXIFS(m_row,m_teacher,I$4,m_date,($G$2+6),m_active,1,m_start,"&lt;"&amp;780,m_end,"&gt;"&amp;720))))))</f>
        <v/>
      </c>
      <c r="J74" s="82" t="str">
        <f aca="false">IF(OR(J$4="",MONTH(($G$2+6))&lt;&gt;MONTH($C$2)),"",IF(COUNTIFS(m_teacher,J$4,m_date,($G$2+6),m_active,1,m_start,"&lt;"&amp;780,m_end,"&gt;"&amp;720)=0,"",IF(COUNTIFS(m_teacher,J$4,m_date,($G$2+6),m_active,1,m_start,"&lt;"&amp;780,m_end,"&gt;"&amp;720)&gt;1,"충돌",HYPERLINK("#'관리자_MASTER'!D"&amp;_xlfn.MAXIFS(m_row,m_teacher,J$4,m_date,($G$2+6),m_active,1,m_start,"&lt;"&amp;780,m_end,"&gt;"&amp;720),INDEX(m_label,_xlfn.MAXIFS(m_row,m_teacher,J$4,m_date,($G$2+6),m_active,1,m_start,"&lt;"&amp;780,m_end,"&gt;"&amp;720))))))</f>
        <v/>
      </c>
      <c r="K74" s="82" t="str">
        <f aca="false">IF(OR(K$4="",MONTH(($G$2+6))&lt;&gt;MONTH($C$2)),"",IF(COUNTIFS(m_teacher,K$4,m_date,($G$2+6),m_active,1,m_start,"&lt;"&amp;780,m_end,"&gt;"&amp;720)=0,"",IF(COUNTIFS(m_teacher,K$4,m_date,($G$2+6),m_active,1,m_start,"&lt;"&amp;780,m_end,"&gt;"&amp;720)&gt;1,"충돌",HYPERLINK("#'관리자_MASTER'!D"&amp;_xlfn.MAXIFS(m_row,m_teacher,K$4,m_date,($G$2+6),m_active,1,m_start,"&lt;"&amp;780,m_end,"&gt;"&amp;720),INDEX(m_label,_xlfn.MAXIFS(m_row,m_teacher,K$4,m_date,($G$2+6),m_active,1,m_start,"&lt;"&amp;780,m_end,"&gt;"&amp;720))))))</f>
        <v/>
      </c>
      <c r="L74" s="82" t="str">
        <f aca="false">IF(OR(L$4="",MONTH(($G$2+6))&lt;&gt;MONTH($C$2)),"",IF(COUNTIFS(m_teacher,L$4,m_date,($G$2+6),m_active,1,m_start,"&lt;"&amp;780,m_end,"&gt;"&amp;720)=0,"",IF(COUNTIFS(m_teacher,L$4,m_date,($G$2+6),m_active,1,m_start,"&lt;"&amp;780,m_end,"&gt;"&amp;720)&gt;1,"충돌",HYPERLINK("#'관리자_MASTER'!D"&amp;_xlfn.MAXIFS(m_row,m_teacher,L$4,m_date,($G$2+6),m_active,1,m_start,"&lt;"&amp;780,m_end,"&gt;"&amp;720),INDEX(m_label,_xlfn.MAXIFS(m_row,m_teacher,L$4,m_date,($G$2+6),m_active,1,m_start,"&lt;"&amp;780,m_end,"&gt;"&amp;720))))))</f>
        <v/>
      </c>
      <c r="M74" s="82" t="str">
        <f aca="false">IF(OR(M$4="",MONTH(($G$2+6))&lt;&gt;MONTH($C$2)),"",IF(COUNTIFS(m_teacher,M$4,m_date,($G$2+6),m_active,1,m_start,"&lt;"&amp;780,m_end,"&gt;"&amp;720)=0,"",IF(COUNTIFS(m_teacher,M$4,m_date,($G$2+6),m_active,1,m_start,"&lt;"&amp;780,m_end,"&gt;"&amp;720)&gt;1,"충돌",HYPERLINK("#'관리자_MASTER'!D"&amp;_xlfn.MAXIFS(m_row,m_teacher,M$4,m_date,($G$2+6),m_active,1,m_start,"&lt;"&amp;780,m_end,"&gt;"&amp;720),INDEX(m_label,_xlfn.MAXIFS(m_row,m_teacher,M$4,m_date,($G$2+6),m_active,1,m_start,"&lt;"&amp;780,m_end,"&gt;"&amp;720))))))</f>
        <v/>
      </c>
      <c r="N74" s="82" t="str">
        <f aca="false">IF(OR(N$4="",MONTH(($G$2+6))&lt;&gt;MONTH($C$2)),"",IF(COUNTIFS(m_teacher,N$4,m_date,($G$2+6),m_active,1,m_start,"&lt;"&amp;780,m_end,"&gt;"&amp;720)=0,"",IF(COUNTIFS(m_teacher,N$4,m_date,($G$2+6),m_active,1,m_start,"&lt;"&amp;780,m_end,"&gt;"&amp;720)&gt;1,"충돌",HYPERLINK("#'관리자_MASTER'!D"&amp;_xlfn.MAXIFS(m_row,m_teacher,N$4,m_date,($G$2+6),m_active,1,m_start,"&lt;"&amp;780,m_end,"&gt;"&amp;720),INDEX(m_label,_xlfn.MAXIFS(m_row,m_teacher,N$4,m_date,($G$2+6),m_active,1,m_start,"&lt;"&amp;780,m_end,"&gt;"&amp;720))))))</f>
        <v/>
      </c>
      <c r="O74" s="92"/>
      <c r="P74" s="79" t="s">
        <v>94</v>
      </c>
      <c r="Q74" s="82" t="str">
        <f aca="false">IF(OR(Q$4="",MONTH(($G$2+13))&lt;&gt;MONTH($C$2)),"",IF(COUNTIFS(m_teacher,Q$4,m_date,($G$2+13),m_active,1,m_start,"&lt;"&amp;780,m_end,"&gt;"&amp;720)=0,"",IF(COUNTIFS(m_teacher,Q$4,m_date,($G$2+13),m_active,1,m_start,"&lt;"&amp;780,m_end,"&gt;"&amp;720)&gt;1,"충돌",HYPERLINK("#'관리자_MASTER'!D"&amp;_xlfn.MAXIFS(m_row,m_teacher,Q$4,m_date,($G$2+13),m_active,1,m_start,"&lt;"&amp;780,m_end,"&gt;"&amp;720),INDEX(m_label,_xlfn.MAXIFS(m_row,m_teacher,Q$4,m_date,($G$2+13),m_active,1,m_start,"&lt;"&amp;780,m_end,"&gt;"&amp;720))))))</f>
        <v/>
      </c>
      <c r="R74" s="82" t="str">
        <f aca="false">IF(OR(R$4="",MONTH(($G$2+13))&lt;&gt;MONTH($C$2)),"",IF(COUNTIFS(m_teacher,R$4,m_date,($G$2+13),m_active,1,m_start,"&lt;"&amp;780,m_end,"&gt;"&amp;720)=0,"",IF(COUNTIFS(m_teacher,R$4,m_date,($G$2+13),m_active,1,m_start,"&lt;"&amp;780,m_end,"&gt;"&amp;720)&gt;1,"충돌",HYPERLINK("#'관리자_MASTER'!D"&amp;_xlfn.MAXIFS(m_row,m_teacher,R$4,m_date,($G$2+13),m_active,1,m_start,"&lt;"&amp;780,m_end,"&gt;"&amp;720),INDEX(m_label,_xlfn.MAXIFS(m_row,m_teacher,R$4,m_date,($G$2+13),m_active,1,m_start,"&lt;"&amp;780,m_end,"&gt;"&amp;720))))))</f>
        <v/>
      </c>
      <c r="S74" s="82" t="str">
        <f aca="false">IF(OR(S$4="",MONTH(($G$2+13))&lt;&gt;MONTH($C$2)),"",IF(COUNTIFS(m_teacher,S$4,m_date,($G$2+13),m_active,1,m_start,"&lt;"&amp;780,m_end,"&gt;"&amp;720)=0,"",IF(COUNTIFS(m_teacher,S$4,m_date,($G$2+13),m_active,1,m_start,"&lt;"&amp;780,m_end,"&gt;"&amp;720)&gt;1,"충돌",HYPERLINK("#'관리자_MASTER'!D"&amp;_xlfn.MAXIFS(m_row,m_teacher,S$4,m_date,($G$2+13),m_active,1,m_start,"&lt;"&amp;780,m_end,"&gt;"&amp;720),INDEX(m_label,_xlfn.MAXIFS(m_row,m_teacher,S$4,m_date,($G$2+13),m_active,1,m_start,"&lt;"&amp;780,m_end,"&gt;"&amp;720))))))</f>
        <v/>
      </c>
      <c r="T74" s="82" t="str">
        <f aca="false">IF(OR(T$4="",MONTH(($G$2+13))&lt;&gt;MONTH($C$2)),"",IF(COUNTIFS(m_teacher,T$4,m_date,($G$2+13),m_active,1,m_start,"&lt;"&amp;780,m_end,"&gt;"&amp;720)=0,"",IF(COUNTIFS(m_teacher,T$4,m_date,($G$2+13),m_active,1,m_start,"&lt;"&amp;780,m_end,"&gt;"&amp;720)&gt;1,"충돌",HYPERLINK("#'관리자_MASTER'!D"&amp;_xlfn.MAXIFS(m_row,m_teacher,T$4,m_date,($G$2+13),m_active,1,m_start,"&lt;"&amp;780,m_end,"&gt;"&amp;720),INDEX(m_label,_xlfn.MAXIFS(m_row,m_teacher,T$4,m_date,($G$2+13),m_active,1,m_start,"&lt;"&amp;780,m_end,"&gt;"&amp;720))))))</f>
        <v/>
      </c>
      <c r="U74" s="82" t="str">
        <f aca="false">IF(OR(U$4="",MONTH(($G$2+13))&lt;&gt;MONTH($C$2)),"",IF(COUNTIFS(m_teacher,U$4,m_date,($G$2+13),m_active,1,m_start,"&lt;"&amp;780,m_end,"&gt;"&amp;720)=0,"",IF(COUNTIFS(m_teacher,U$4,m_date,($G$2+13),m_active,1,m_start,"&lt;"&amp;780,m_end,"&gt;"&amp;720)&gt;1,"충돌",HYPERLINK("#'관리자_MASTER'!D"&amp;_xlfn.MAXIFS(m_row,m_teacher,U$4,m_date,($G$2+13),m_active,1,m_start,"&lt;"&amp;780,m_end,"&gt;"&amp;720),INDEX(m_label,_xlfn.MAXIFS(m_row,m_teacher,U$4,m_date,($G$2+13),m_active,1,m_start,"&lt;"&amp;780,m_end,"&gt;"&amp;720))))))</f>
        <v/>
      </c>
      <c r="V74" s="82" t="str">
        <f aca="false">IF(OR(V$4="",MONTH(($G$2+13))&lt;&gt;MONTH($C$2)),"",IF(COUNTIFS(m_teacher,V$4,m_date,($G$2+13),m_active,1,m_start,"&lt;"&amp;780,m_end,"&gt;"&amp;720)=0,"",IF(COUNTIFS(m_teacher,V$4,m_date,($G$2+13),m_active,1,m_start,"&lt;"&amp;780,m_end,"&gt;"&amp;720)&gt;1,"충돌",HYPERLINK("#'관리자_MASTER'!D"&amp;_xlfn.MAXIFS(m_row,m_teacher,V$4,m_date,($G$2+13),m_active,1,m_start,"&lt;"&amp;780,m_end,"&gt;"&amp;720),INDEX(m_label,_xlfn.MAXIFS(m_row,m_teacher,V$4,m_date,($G$2+13),m_active,1,m_start,"&lt;"&amp;780,m_end,"&gt;"&amp;720))))))</f>
        <v/>
      </c>
      <c r="W74" s="82" t="str">
        <f aca="false">IF(OR(W$4="",MONTH(($G$2+13))&lt;&gt;MONTH($C$2)),"",IF(COUNTIFS(m_teacher,W$4,m_date,($G$2+13),m_active,1,m_start,"&lt;"&amp;780,m_end,"&gt;"&amp;720)=0,"",IF(COUNTIFS(m_teacher,W$4,m_date,($G$2+13),m_active,1,m_start,"&lt;"&amp;780,m_end,"&gt;"&amp;720)&gt;1,"충돌",HYPERLINK("#'관리자_MASTER'!D"&amp;_xlfn.MAXIFS(m_row,m_teacher,W$4,m_date,($G$2+13),m_active,1,m_start,"&lt;"&amp;780,m_end,"&gt;"&amp;720),INDEX(m_label,_xlfn.MAXIFS(m_row,m_teacher,W$4,m_date,($G$2+13),m_active,1,m_start,"&lt;"&amp;780,m_end,"&gt;"&amp;720))))))</f>
        <v/>
      </c>
      <c r="X74" s="82" t="str">
        <f aca="false">IF(OR(X$4="",MONTH(($G$2+13))&lt;&gt;MONTH($C$2)),"",IF(COUNTIFS(m_teacher,X$4,m_date,($G$2+13),m_active,1,m_start,"&lt;"&amp;780,m_end,"&gt;"&amp;720)=0,"",IF(COUNTIFS(m_teacher,X$4,m_date,($G$2+13),m_active,1,m_start,"&lt;"&amp;780,m_end,"&gt;"&amp;720)&gt;1,"충돌",HYPERLINK("#'관리자_MASTER'!D"&amp;_xlfn.MAXIFS(m_row,m_teacher,X$4,m_date,($G$2+13),m_active,1,m_start,"&lt;"&amp;780,m_end,"&gt;"&amp;720),INDEX(m_label,_xlfn.MAXIFS(m_row,m_teacher,X$4,m_date,($G$2+13),m_active,1,m_start,"&lt;"&amp;780,m_end,"&gt;"&amp;720))))))</f>
        <v/>
      </c>
      <c r="Y74" s="82" t="str">
        <f aca="false">IF(OR(Y$4="",MONTH(($G$2+13))&lt;&gt;MONTH($C$2)),"",IF(COUNTIFS(m_teacher,Y$4,m_date,($G$2+13),m_active,1,m_start,"&lt;"&amp;780,m_end,"&gt;"&amp;720)=0,"",IF(COUNTIFS(m_teacher,Y$4,m_date,($G$2+13),m_active,1,m_start,"&lt;"&amp;780,m_end,"&gt;"&amp;720)&gt;1,"충돌",HYPERLINK("#'관리자_MASTER'!D"&amp;_xlfn.MAXIFS(m_row,m_teacher,Y$4,m_date,($G$2+13),m_active,1,m_start,"&lt;"&amp;780,m_end,"&gt;"&amp;720),INDEX(m_label,_xlfn.MAXIFS(m_row,m_teacher,Y$4,m_date,($G$2+13),m_active,1,m_start,"&lt;"&amp;780,m_end,"&gt;"&amp;720))))))</f>
        <v/>
      </c>
      <c r="Z74" s="82" t="str">
        <f aca="false">IF(OR(Z$4="",MONTH(($G$2+13))&lt;&gt;MONTH($C$2)),"",IF(COUNTIFS(m_teacher,Z$4,m_date,($G$2+13),m_active,1,m_start,"&lt;"&amp;780,m_end,"&gt;"&amp;720)=0,"",IF(COUNTIFS(m_teacher,Z$4,m_date,($G$2+13),m_active,1,m_start,"&lt;"&amp;780,m_end,"&gt;"&amp;720)&gt;1,"충돌",HYPERLINK("#'관리자_MASTER'!D"&amp;_xlfn.MAXIFS(m_row,m_teacher,Z$4,m_date,($G$2+13),m_active,1,m_start,"&lt;"&amp;780,m_end,"&gt;"&amp;720),INDEX(m_label,_xlfn.MAXIFS(m_row,m_teacher,Z$4,m_date,($G$2+13),m_active,1,m_start,"&lt;"&amp;780,m_end,"&gt;"&amp;720))))))</f>
        <v/>
      </c>
      <c r="AA74" s="82" t="str">
        <f aca="false">IF(OR(AA$4="",MONTH(($G$2+13))&lt;&gt;MONTH($C$2)),"",IF(COUNTIFS(m_teacher,AA$4,m_date,($G$2+13),m_active,1,m_start,"&lt;"&amp;780,m_end,"&gt;"&amp;720)=0,"",IF(COUNTIFS(m_teacher,AA$4,m_date,($G$2+13),m_active,1,m_start,"&lt;"&amp;780,m_end,"&gt;"&amp;720)&gt;1,"충돌",HYPERLINK("#'관리자_MASTER'!D"&amp;_xlfn.MAXIFS(m_row,m_teacher,AA$4,m_date,($G$2+13),m_active,1,m_start,"&lt;"&amp;780,m_end,"&gt;"&amp;720),INDEX(m_label,_xlfn.MAXIFS(m_row,m_teacher,AA$4,m_date,($G$2+13),m_active,1,m_start,"&lt;"&amp;780,m_end,"&gt;"&amp;720))))))</f>
        <v/>
      </c>
      <c r="AB74" s="82" t="str">
        <f aca="false">IF(OR(AB$4="",MONTH(($G$2+13))&lt;&gt;MONTH($C$2)),"",IF(COUNTIFS(m_teacher,AB$4,m_date,($G$2+13),m_active,1,m_start,"&lt;"&amp;780,m_end,"&gt;"&amp;720)=0,"",IF(COUNTIFS(m_teacher,AB$4,m_date,($G$2+13),m_active,1,m_start,"&lt;"&amp;780,m_end,"&gt;"&amp;720)&gt;1,"충돌",HYPERLINK("#'관리자_MASTER'!D"&amp;_xlfn.MAXIFS(m_row,m_teacher,AB$4,m_date,($G$2+13),m_active,1,m_start,"&lt;"&amp;780,m_end,"&gt;"&amp;720),INDEX(m_label,_xlfn.MAXIFS(m_row,m_teacher,AB$4,m_date,($G$2+13),m_active,1,m_start,"&lt;"&amp;780,m_end,"&gt;"&amp;720))))))</f>
        <v/>
      </c>
      <c r="AC74" s="92"/>
      <c r="AD74" s="79" t="s">
        <v>94</v>
      </c>
      <c r="AE74" s="82" t="str">
        <f aca="false">IF(OR(AE$4="",MONTH(($G$2+20))&lt;&gt;MONTH($C$2)),"",IF(COUNTIFS(m_teacher,AE$4,m_date,($G$2+20),m_active,1,m_start,"&lt;"&amp;780,m_end,"&gt;"&amp;720)=0,"",IF(COUNTIFS(m_teacher,AE$4,m_date,($G$2+20),m_active,1,m_start,"&lt;"&amp;780,m_end,"&gt;"&amp;720)&gt;1,"충돌",HYPERLINK("#'관리자_MASTER'!D"&amp;_xlfn.MAXIFS(m_row,m_teacher,AE$4,m_date,($G$2+20),m_active,1,m_start,"&lt;"&amp;780,m_end,"&gt;"&amp;720),INDEX(m_label,_xlfn.MAXIFS(m_row,m_teacher,AE$4,m_date,($G$2+20),m_active,1,m_start,"&lt;"&amp;780,m_end,"&gt;"&amp;720))))))</f>
        <v/>
      </c>
      <c r="AF74" s="82" t="str">
        <f aca="false">IF(OR(AF$4="",MONTH(($G$2+20))&lt;&gt;MONTH($C$2)),"",IF(COUNTIFS(m_teacher,AF$4,m_date,($G$2+20),m_active,1,m_start,"&lt;"&amp;780,m_end,"&gt;"&amp;720)=0,"",IF(COUNTIFS(m_teacher,AF$4,m_date,($G$2+20),m_active,1,m_start,"&lt;"&amp;780,m_end,"&gt;"&amp;720)&gt;1,"충돌",HYPERLINK("#'관리자_MASTER'!D"&amp;_xlfn.MAXIFS(m_row,m_teacher,AF$4,m_date,($G$2+20),m_active,1,m_start,"&lt;"&amp;780,m_end,"&gt;"&amp;720),INDEX(m_label,_xlfn.MAXIFS(m_row,m_teacher,AF$4,m_date,($G$2+20),m_active,1,m_start,"&lt;"&amp;780,m_end,"&gt;"&amp;720))))))</f>
        <v/>
      </c>
      <c r="AG74" s="82" t="str">
        <f aca="false">IF(OR(AG$4="",MONTH(($G$2+20))&lt;&gt;MONTH($C$2)),"",IF(COUNTIFS(m_teacher,AG$4,m_date,($G$2+20),m_active,1,m_start,"&lt;"&amp;780,m_end,"&gt;"&amp;720)=0,"",IF(COUNTIFS(m_teacher,AG$4,m_date,($G$2+20),m_active,1,m_start,"&lt;"&amp;780,m_end,"&gt;"&amp;720)&gt;1,"충돌",HYPERLINK("#'관리자_MASTER'!D"&amp;_xlfn.MAXIFS(m_row,m_teacher,AG$4,m_date,($G$2+20),m_active,1,m_start,"&lt;"&amp;780,m_end,"&gt;"&amp;720),INDEX(m_label,_xlfn.MAXIFS(m_row,m_teacher,AG$4,m_date,($G$2+20),m_active,1,m_start,"&lt;"&amp;780,m_end,"&gt;"&amp;720))))))</f>
        <v/>
      </c>
      <c r="AH74" s="82" t="str">
        <f aca="false">IF(OR(AH$4="",MONTH(($G$2+20))&lt;&gt;MONTH($C$2)),"",IF(COUNTIFS(m_teacher,AH$4,m_date,($G$2+20),m_active,1,m_start,"&lt;"&amp;780,m_end,"&gt;"&amp;720)=0,"",IF(COUNTIFS(m_teacher,AH$4,m_date,($G$2+20),m_active,1,m_start,"&lt;"&amp;780,m_end,"&gt;"&amp;720)&gt;1,"충돌",HYPERLINK("#'관리자_MASTER'!D"&amp;_xlfn.MAXIFS(m_row,m_teacher,AH$4,m_date,($G$2+20),m_active,1,m_start,"&lt;"&amp;780,m_end,"&gt;"&amp;720),INDEX(m_label,_xlfn.MAXIFS(m_row,m_teacher,AH$4,m_date,($G$2+20),m_active,1,m_start,"&lt;"&amp;780,m_end,"&gt;"&amp;720))))))</f>
        <v/>
      </c>
      <c r="AI74" s="82" t="str">
        <f aca="false">IF(OR(AI$4="",MONTH(($G$2+20))&lt;&gt;MONTH($C$2)),"",IF(COUNTIFS(m_teacher,AI$4,m_date,($G$2+20),m_active,1,m_start,"&lt;"&amp;780,m_end,"&gt;"&amp;720)=0,"",IF(COUNTIFS(m_teacher,AI$4,m_date,($G$2+20),m_active,1,m_start,"&lt;"&amp;780,m_end,"&gt;"&amp;720)&gt;1,"충돌",HYPERLINK("#'관리자_MASTER'!D"&amp;_xlfn.MAXIFS(m_row,m_teacher,AI$4,m_date,($G$2+20),m_active,1,m_start,"&lt;"&amp;780,m_end,"&gt;"&amp;720),INDEX(m_label,_xlfn.MAXIFS(m_row,m_teacher,AI$4,m_date,($G$2+20),m_active,1,m_start,"&lt;"&amp;780,m_end,"&gt;"&amp;720))))))</f>
        <v/>
      </c>
      <c r="AJ74" s="82" t="str">
        <f aca="false">IF(OR(AJ$4="",MONTH(($G$2+20))&lt;&gt;MONTH($C$2)),"",IF(COUNTIFS(m_teacher,AJ$4,m_date,($G$2+20),m_active,1,m_start,"&lt;"&amp;780,m_end,"&gt;"&amp;720)=0,"",IF(COUNTIFS(m_teacher,AJ$4,m_date,($G$2+20),m_active,1,m_start,"&lt;"&amp;780,m_end,"&gt;"&amp;720)&gt;1,"충돌",HYPERLINK("#'관리자_MASTER'!D"&amp;_xlfn.MAXIFS(m_row,m_teacher,AJ$4,m_date,($G$2+20),m_active,1,m_start,"&lt;"&amp;780,m_end,"&gt;"&amp;720),INDEX(m_label,_xlfn.MAXIFS(m_row,m_teacher,AJ$4,m_date,($G$2+20),m_active,1,m_start,"&lt;"&amp;780,m_end,"&gt;"&amp;720))))))</f>
        <v/>
      </c>
      <c r="AK74" s="82" t="str">
        <f aca="false">IF(OR(AK$4="",MONTH(($G$2+20))&lt;&gt;MONTH($C$2)),"",IF(COUNTIFS(m_teacher,AK$4,m_date,($G$2+20),m_active,1,m_start,"&lt;"&amp;780,m_end,"&gt;"&amp;720)=0,"",IF(COUNTIFS(m_teacher,AK$4,m_date,($G$2+20),m_active,1,m_start,"&lt;"&amp;780,m_end,"&gt;"&amp;720)&gt;1,"충돌",HYPERLINK("#'관리자_MASTER'!D"&amp;_xlfn.MAXIFS(m_row,m_teacher,AK$4,m_date,($G$2+20),m_active,1,m_start,"&lt;"&amp;780,m_end,"&gt;"&amp;720),INDEX(m_label,_xlfn.MAXIFS(m_row,m_teacher,AK$4,m_date,($G$2+20),m_active,1,m_start,"&lt;"&amp;780,m_end,"&gt;"&amp;720))))))</f>
        <v/>
      </c>
      <c r="AL74" s="82" t="str">
        <f aca="false">IF(OR(AL$4="",MONTH(($G$2+20))&lt;&gt;MONTH($C$2)),"",IF(COUNTIFS(m_teacher,AL$4,m_date,($G$2+20),m_active,1,m_start,"&lt;"&amp;780,m_end,"&gt;"&amp;720)=0,"",IF(COUNTIFS(m_teacher,AL$4,m_date,($G$2+20),m_active,1,m_start,"&lt;"&amp;780,m_end,"&gt;"&amp;720)&gt;1,"충돌",HYPERLINK("#'관리자_MASTER'!D"&amp;_xlfn.MAXIFS(m_row,m_teacher,AL$4,m_date,($G$2+20),m_active,1,m_start,"&lt;"&amp;780,m_end,"&gt;"&amp;720),INDEX(m_label,_xlfn.MAXIFS(m_row,m_teacher,AL$4,m_date,($G$2+20),m_active,1,m_start,"&lt;"&amp;780,m_end,"&gt;"&amp;720))))))</f>
        <v/>
      </c>
      <c r="AM74" s="82" t="str">
        <f aca="false">IF(OR(AM$4="",MONTH(($G$2+20))&lt;&gt;MONTH($C$2)),"",IF(COUNTIFS(m_teacher,AM$4,m_date,($G$2+20),m_active,1,m_start,"&lt;"&amp;780,m_end,"&gt;"&amp;720)=0,"",IF(COUNTIFS(m_teacher,AM$4,m_date,($G$2+20),m_active,1,m_start,"&lt;"&amp;780,m_end,"&gt;"&amp;720)&gt;1,"충돌",HYPERLINK("#'관리자_MASTER'!D"&amp;_xlfn.MAXIFS(m_row,m_teacher,AM$4,m_date,($G$2+20),m_active,1,m_start,"&lt;"&amp;780,m_end,"&gt;"&amp;720),INDEX(m_label,_xlfn.MAXIFS(m_row,m_teacher,AM$4,m_date,($G$2+20),m_active,1,m_start,"&lt;"&amp;780,m_end,"&gt;"&amp;720))))))</f>
        <v/>
      </c>
      <c r="AN74" s="82" t="str">
        <f aca="false">IF(OR(AN$4="",MONTH(($G$2+20))&lt;&gt;MONTH($C$2)),"",IF(COUNTIFS(m_teacher,AN$4,m_date,($G$2+20),m_active,1,m_start,"&lt;"&amp;780,m_end,"&gt;"&amp;720)=0,"",IF(COUNTIFS(m_teacher,AN$4,m_date,($G$2+20),m_active,1,m_start,"&lt;"&amp;780,m_end,"&gt;"&amp;720)&gt;1,"충돌",HYPERLINK("#'관리자_MASTER'!D"&amp;_xlfn.MAXIFS(m_row,m_teacher,AN$4,m_date,($G$2+20),m_active,1,m_start,"&lt;"&amp;780,m_end,"&gt;"&amp;720),INDEX(m_label,_xlfn.MAXIFS(m_row,m_teacher,AN$4,m_date,($G$2+20),m_active,1,m_start,"&lt;"&amp;780,m_end,"&gt;"&amp;720))))))</f>
        <v/>
      </c>
      <c r="AO74" s="82" t="str">
        <f aca="false">IF(OR(AO$4="",MONTH(($G$2+20))&lt;&gt;MONTH($C$2)),"",IF(COUNTIFS(m_teacher,AO$4,m_date,($G$2+20),m_active,1,m_start,"&lt;"&amp;780,m_end,"&gt;"&amp;720)=0,"",IF(COUNTIFS(m_teacher,AO$4,m_date,($G$2+20),m_active,1,m_start,"&lt;"&amp;780,m_end,"&gt;"&amp;720)&gt;1,"충돌",HYPERLINK("#'관리자_MASTER'!D"&amp;_xlfn.MAXIFS(m_row,m_teacher,AO$4,m_date,($G$2+20),m_active,1,m_start,"&lt;"&amp;780,m_end,"&gt;"&amp;720),INDEX(m_label,_xlfn.MAXIFS(m_row,m_teacher,AO$4,m_date,($G$2+20),m_active,1,m_start,"&lt;"&amp;780,m_end,"&gt;"&amp;720))))))</f>
        <v/>
      </c>
      <c r="AP74" s="82" t="str">
        <f aca="false">IF(OR(AP$4="",MONTH(($G$2+20))&lt;&gt;MONTH($C$2)),"",IF(COUNTIFS(m_teacher,AP$4,m_date,($G$2+20),m_active,1,m_start,"&lt;"&amp;780,m_end,"&gt;"&amp;720)=0,"",IF(COUNTIFS(m_teacher,AP$4,m_date,($G$2+20),m_active,1,m_start,"&lt;"&amp;780,m_end,"&gt;"&amp;720)&gt;1,"충돌",HYPERLINK("#'관리자_MASTER'!D"&amp;_xlfn.MAXIFS(m_row,m_teacher,AP$4,m_date,($G$2+20),m_active,1,m_start,"&lt;"&amp;780,m_end,"&gt;"&amp;720),INDEX(m_label,_xlfn.MAXIFS(m_row,m_teacher,AP$4,m_date,($G$2+20),m_active,1,m_start,"&lt;"&amp;780,m_end,"&gt;"&amp;720))))))</f>
        <v/>
      </c>
      <c r="AQ74" s="92"/>
      <c r="AR74" s="79" t="s">
        <v>94</v>
      </c>
      <c r="AS74" s="82" t="str">
        <f aca="false">IF(OR(AS$4="",MONTH(($G$2+27))&lt;&gt;MONTH($C$2)),"",IF(COUNTIFS(m_teacher,AS$4,m_date,($G$2+27),m_active,1,m_start,"&lt;"&amp;780,m_end,"&gt;"&amp;720)=0,"",IF(COUNTIFS(m_teacher,AS$4,m_date,($G$2+27),m_active,1,m_start,"&lt;"&amp;780,m_end,"&gt;"&amp;720)&gt;1,"충돌",HYPERLINK("#'관리자_MASTER'!D"&amp;_xlfn.MAXIFS(m_row,m_teacher,AS$4,m_date,($G$2+27),m_active,1,m_start,"&lt;"&amp;780,m_end,"&gt;"&amp;720),INDEX(m_label,_xlfn.MAXIFS(m_row,m_teacher,AS$4,m_date,($G$2+27),m_active,1,m_start,"&lt;"&amp;780,m_end,"&gt;"&amp;720))))))</f>
        <v/>
      </c>
      <c r="AT74" s="82" t="str">
        <f aca="false">IF(OR(AT$4="",MONTH(($G$2+27))&lt;&gt;MONTH($C$2)),"",IF(COUNTIFS(m_teacher,AT$4,m_date,($G$2+27),m_active,1,m_start,"&lt;"&amp;780,m_end,"&gt;"&amp;720)=0,"",IF(COUNTIFS(m_teacher,AT$4,m_date,($G$2+27),m_active,1,m_start,"&lt;"&amp;780,m_end,"&gt;"&amp;720)&gt;1,"충돌",HYPERLINK("#'관리자_MASTER'!D"&amp;_xlfn.MAXIFS(m_row,m_teacher,AT$4,m_date,($G$2+27),m_active,1,m_start,"&lt;"&amp;780,m_end,"&gt;"&amp;720),INDEX(m_label,_xlfn.MAXIFS(m_row,m_teacher,AT$4,m_date,($G$2+27),m_active,1,m_start,"&lt;"&amp;780,m_end,"&gt;"&amp;720))))))</f>
        <v/>
      </c>
      <c r="AU74" s="82" t="str">
        <f aca="false">IF(OR(AU$4="",MONTH(($G$2+27))&lt;&gt;MONTH($C$2)),"",IF(COUNTIFS(m_teacher,AU$4,m_date,($G$2+27),m_active,1,m_start,"&lt;"&amp;780,m_end,"&gt;"&amp;720)=0,"",IF(COUNTIFS(m_teacher,AU$4,m_date,($G$2+27),m_active,1,m_start,"&lt;"&amp;780,m_end,"&gt;"&amp;720)&gt;1,"충돌",HYPERLINK("#'관리자_MASTER'!D"&amp;_xlfn.MAXIFS(m_row,m_teacher,AU$4,m_date,($G$2+27),m_active,1,m_start,"&lt;"&amp;780,m_end,"&gt;"&amp;720),INDEX(m_label,_xlfn.MAXIFS(m_row,m_teacher,AU$4,m_date,($G$2+27),m_active,1,m_start,"&lt;"&amp;780,m_end,"&gt;"&amp;720))))))</f>
        <v/>
      </c>
      <c r="AV74" s="82" t="str">
        <f aca="false">IF(OR(AV$4="",MONTH(($G$2+27))&lt;&gt;MONTH($C$2)),"",IF(COUNTIFS(m_teacher,AV$4,m_date,($G$2+27),m_active,1,m_start,"&lt;"&amp;780,m_end,"&gt;"&amp;720)=0,"",IF(COUNTIFS(m_teacher,AV$4,m_date,($G$2+27),m_active,1,m_start,"&lt;"&amp;780,m_end,"&gt;"&amp;720)&gt;1,"충돌",HYPERLINK("#'관리자_MASTER'!D"&amp;_xlfn.MAXIFS(m_row,m_teacher,AV$4,m_date,($G$2+27),m_active,1,m_start,"&lt;"&amp;780,m_end,"&gt;"&amp;720),INDEX(m_label,_xlfn.MAXIFS(m_row,m_teacher,AV$4,m_date,($G$2+27),m_active,1,m_start,"&lt;"&amp;780,m_end,"&gt;"&amp;720))))))</f>
        <v/>
      </c>
      <c r="AW74" s="82" t="str">
        <f aca="false">IF(OR(AW$4="",MONTH(($G$2+27))&lt;&gt;MONTH($C$2)),"",IF(COUNTIFS(m_teacher,AW$4,m_date,($G$2+27),m_active,1,m_start,"&lt;"&amp;780,m_end,"&gt;"&amp;720)=0,"",IF(COUNTIFS(m_teacher,AW$4,m_date,($G$2+27),m_active,1,m_start,"&lt;"&amp;780,m_end,"&gt;"&amp;720)&gt;1,"충돌",HYPERLINK("#'관리자_MASTER'!D"&amp;_xlfn.MAXIFS(m_row,m_teacher,AW$4,m_date,($G$2+27),m_active,1,m_start,"&lt;"&amp;780,m_end,"&gt;"&amp;720),INDEX(m_label,_xlfn.MAXIFS(m_row,m_teacher,AW$4,m_date,($G$2+27),m_active,1,m_start,"&lt;"&amp;780,m_end,"&gt;"&amp;720))))))</f>
        <v/>
      </c>
      <c r="AX74" s="82" t="str">
        <f aca="false">IF(OR(AX$4="",MONTH(($G$2+27))&lt;&gt;MONTH($C$2)),"",IF(COUNTIFS(m_teacher,AX$4,m_date,($G$2+27),m_active,1,m_start,"&lt;"&amp;780,m_end,"&gt;"&amp;720)=0,"",IF(COUNTIFS(m_teacher,AX$4,m_date,($G$2+27),m_active,1,m_start,"&lt;"&amp;780,m_end,"&gt;"&amp;720)&gt;1,"충돌",HYPERLINK("#'관리자_MASTER'!D"&amp;_xlfn.MAXIFS(m_row,m_teacher,AX$4,m_date,($G$2+27),m_active,1,m_start,"&lt;"&amp;780,m_end,"&gt;"&amp;720),INDEX(m_label,_xlfn.MAXIFS(m_row,m_teacher,AX$4,m_date,($G$2+27),m_active,1,m_start,"&lt;"&amp;780,m_end,"&gt;"&amp;720))))))</f>
        <v/>
      </c>
      <c r="AY74" s="82" t="str">
        <f aca="false">IF(OR(AY$4="",MONTH(($G$2+27))&lt;&gt;MONTH($C$2)),"",IF(COUNTIFS(m_teacher,AY$4,m_date,($G$2+27),m_active,1,m_start,"&lt;"&amp;780,m_end,"&gt;"&amp;720)=0,"",IF(COUNTIFS(m_teacher,AY$4,m_date,($G$2+27),m_active,1,m_start,"&lt;"&amp;780,m_end,"&gt;"&amp;720)&gt;1,"충돌",HYPERLINK("#'관리자_MASTER'!D"&amp;_xlfn.MAXIFS(m_row,m_teacher,AY$4,m_date,($G$2+27),m_active,1,m_start,"&lt;"&amp;780,m_end,"&gt;"&amp;720),INDEX(m_label,_xlfn.MAXIFS(m_row,m_teacher,AY$4,m_date,($G$2+27),m_active,1,m_start,"&lt;"&amp;780,m_end,"&gt;"&amp;720))))))</f>
        <v/>
      </c>
      <c r="AZ74" s="82" t="str">
        <f aca="false">IF(OR(AZ$4="",MONTH(($G$2+27))&lt;&gt;MONTH($C$2)),"",IF(COUNTIFS(m_teacher,AZ$4,m_date,($G$2+27),m_active,1,m_start,"&lt;"&amp;780,m_end,"&gt;"&amp;720)=0,"",IF(COUNTIFS(m_teacher,AZ$4,m_date,($G$2+27),m_active,1,m_start,"&lt;"&amp;780,m_end,"&gt;"&amp;720)&gt;1,"충돌",HYPERLINK("#'관리자_MASTER'!D"&amp;_xlfn.MAXIFS(m_row,m_teacher,AZ$4,m_date,($G$2+27),m_active,1,m_start,"&lt;"&amp;780,m_end,"&gt;"&amp;720),INDEX(m_label,_xlfn.MAXIFS(m_row,m_teacher,AZ$4,m_date,($G$2+27),m_active,1,m_start,"&lt;"&amp;780,m_end,"&gt;"&amp;720))))))</f>
        <v/>
      </c>
      <c r="BA74" s="82" t="str">
        <f aca="false">IF(OR(BA$4="",MONTH(($G$2+27))&lt;&gt;MONTH($C$2)),"",IF(COUNTIFS(m_teacher,BA$4,m_date,($G$2+27),m_active,1,m_start,"&lt;"&amp;780,m_end,"&gt;"&amp;720)=0,"",IF(COUNTIFS(m_teacher,BA$4,m_date,($G$2+27),m_active,1,m_start,"&lt;"&amp;780,m_end,"&gt;"&amp;720)&gt;1,"충돌",HYPERLINK("#'관리자_MASTER'!D"&amp;_xlfn.MAXIFS(m_row,m_teacher,BA$4,m_date,($G$2+27),m_active,1,m_start,"&lt;"&amp;780,m_end,"&gt;"&amp;720),INDEX(m_label,_xlfn.MAXIFS(m_row,m_teacher,BA$4,m_date,($G$2+27),m_active,1,m_start,"&lt;"&amp;780,m_end,"&gt;"&amp;720))))))</f>
        <v/>
      </c>
      <c r="BB74" s="82" t="str">
        <f aca="false">IF(OR(BB$4="",MONTH(($G$2+27))&lt;&gt;MONTH($C$2)),"",IF(COUNTIFS(m_teacher,BB$4,m_date,($G$2+27),m_active,1,m_start,"&lt;"&amp;780,m_end,"&gt;"&amp;720)=0,"",IF(COUNTIFS(m_teacher,BB$4,m_date,($G$2+27),m_active,1,m_start,"&lt;"&amp;780,m_end,"&gt;"&amp;720)&gt;1,"충돌",HYPERLINK("#'관리자_MASTER'!D"&amp;_xlfn.MAXIFS(m_row,m_teacher,BB$4,m_date,($G$2+27),m_active,1,m_start,"&lt;"&amp;780,m_end,"&gt;"&amp;720),INDEX(m_label,_xlfn.MAXIFS(m_row,m_teacher,BB$4,m_date,($G$2+27),m_active,1,m_start,"&lt;"&amp;780,m_end,"&gt;"&amp;720))))))</f>
        <v/>
      </c>
      <c r="BC74" s="82" t="str">
        <f aca="false">IF(OR(BC$4="",MONTH(($G$2+27))&lt;&gt;MONTH($C$2)),"",IF(COUNTIFS(m_teacher,BC$4,m_date,($G$2+27),m_active,1,m_start,"&lt;"&amp;780,m_end,"&gt;"&amp;720)=0,"",IF(COUNTIFS(m_teacher,BC$4,m_date,($G$2+27),m_active,1,m_start,"&lt;"&amp;780,m_end,"&gt;"&amp;720)&gt;1,"충돌",HYPERLINK("#'관리자_MASTER'!D"&amp;_xlfn.MAXIFS(m_row,m_teacher,BC$4,m_date,($G$2+27),m_active,1,m_start,"&lt;"&amp;780,m_end,"&gt;"&amp;720),INDEX(m_label,_xlfn.MAXIFS(m_row,m_teacher,BC$4,m_date,($G$2+27),m_active,1,m_start,"&lt;"&amp;780,m_end,"&gt;"&amp;720))))))</f>
        <v/>
      </c>
      <c r="BD74" s="82" t="str">
        <f aca="false">IF(OR(BD$4="",MONTH(($G$2+27))&lt;&gt;MONTH($C$2)),"",IF(COUNTIFS(m_teacher,BD$4,m_date,($G$2+27),m_active,1,m_start,"&lt;"&amp;780,m_end,"&gt;"&amp;720)=0,"",IF(COUNTIFS(m_teacher,BD$4,m_date,($G$2+27),m_active,1,m_start,"&lt;"&amp;780,m_end,"&gt;"&amp;720)&gt;1,"충돌",HYPERLINK("#'관리자_MASTER'!D"&amp;_xlfn.MAXIFS(m_row,m_teacher,BD$4,m_date,($G$2+27),m_active,1,m_start,"&lt;"&amp;780,m_end,"&gt;"&amp;720),INDEX(m_label,_xlfn.MAXIFS(m_row,m_teacher,BD$4,m_date,($G$2+27),m_active,1,m_start,"&lt;"&amp;780,m_end,"&gt;"&amp;720))))))</f>
        <v/>
      </c>
      <c r="BE74" s="93"/>
      <c r="BF74" s="76" t="s">
        <v>94</v>
      </c>
      <c r="BG74" s="81" t="str">
        <f aca="false">IF(OR(BG$4="",MONTH(($G$2+34))&lt;&gt;MONTH($C$2)),"",IF(COUNTIFS(m_teacher,BG$4,m_date,($G$2+34),m_active,1,m_start,"&lt;"&amp;780,m_end,"&gt;"&amp;720)=0,"",IF(COUNTIFS(m_teacher,BG$4,m_date,($G$2+34),m_active,1,m_start,"&lt;"&amp;780,m_end,"&gt;"&amp;720)&gt;1,"충돌",HYPERLINK("#'관리자_MASTER'!D"&amp;_xlfn.MAXIFS(m_row,m_teacher,BG$4,m_date,($G$2+34),m_active,1,m_start,"&lt;"&amp;780,m_end,"&gt;"&amp;720),INDEX(m_label,_xlfn.MAXIFS(m_row,m_teacher,BG$4,m_date,($G$2+34),m_active,1,m_start,"&lt;"&amp;780,m_end,"&gt;"&amp;720))))))</f>
        <v/>
      </c>
      <c r="BH74" s="81" t="str">
        <f aca="false">IF(OR(BH$4="",MONTH(($G$2+34))&lt;&gt;MONTH($C$2)),"",IF(COUNTIFS(m_teacher,BH$4,m_date,($G$2+34),m_active,1,m_start,"&lt;"&amp;780,m_end,"&gt;"&amp;720)=0,"",IF(COUNTIFS(m_teacher,BH$4,m_date,($G$2+34),m_active,1,m_start,"&lt;"&amp;780,m_end,"&gt;"&amp;720)&gt;1,"충돌",HYPERLINK("#'관리자_MASTER'!D"&amp;_xlfn.MAXIFS(m_row,m_teacher,BH$4,m_date,($G$2+34),m_active,1,m_start,"&lt;"&amp;780,m_end,"&gt;"&amp;720),INDEX(m_label,_xlfn.MAXIFS(m_row,m_teacher,BH$4,m_date,($G$2+34),m_active,1,m_start,"&lt;"&amp;780,m_end,"&gt;"&amp;720))))))</f>
        <v/>
      </c>
      <c r="BI74" s="81" t="str">
        <f aca="false">IF(OR(BI$4="",MONTH(($G$2+34))&lt;&gt;MONTH($C$2)),"",IF(COUNTIFS(m_teacher,BI$4,m_date,($G$2+34),m_active,1,m_start,"&lt;"&amp;780,m_end,"&gt;"&amp;720)=0,"",IF(COUNTIFS(m_teacher,BI$4,m_date,($G$2+34),m_active,1,m_start,"&lt;"&amp;780,m_end,"&gt;"&amp;720)&gt;1,"충돌",HYPERLINK("#'관리자_MASTER'!D"&amp;_xlfn.MAXIFS(m_row,m_teacher,BI$4,m_date,($G$2+34),m_active,1,m_start,"&lt;"&amp;780,m_end,"&gt;"&amp;720),INDEX(m_label,_xlfn.MAXIFS(m_row,m_teacher,BI$4,m_date,($G$2+34),m_active,1,m_start,"&lt;"&amp;780,m_end,"&gt;"&amp;720))))))</f>
        <v/>
      </c>
      <c r="BJ74" s="81" t="str">
        <f aca="false">IF(OR(BJ$4="",MONTH(($G$2+34))&lt;&gt;MONTH($C$2)),"",IF(COUNTIFS(m_teacher,BJ$4,m_date,($G$2+34),m_active,1,m_start,"&lt;"&amp;780,m_end,"&gt;"&amp;720)=0,"",IF(COUNTIFS(m_teacher,BJ$4,m_date,($G$2+34),m_active,1,m_start,"&lt;"&amp;780,m_end,"&gt;"&amp;720)&gt;1,"충돌",HYPERLINK("#'관리자_MASTER'!D"&amp;_xlfn.MAXIFS(m_row,m_teacher,BJ$4,m_date,($G$2+34),m_active,1,m_start,"&lt;"&amp;780,m_end,"&gt;"&amp;720),INDEX(m_label,_xlfn.MAXIFS(m_row,m_teacher,BJ$4,m_date,($G$2+34),m_active,1,m_start,"&lt;"&amp;780,m_end,"&gt;"&amp;720))))))</f>
        <v/>
      </c>
      <c r="BK74" s="81" t="str">
        <f aca="false">IF(OR(BK$4="",MONTH(($G$2+34))&lt;&gt;MONTH($C$2)),"",IF(COUNTIFS(m_teacher,BK$4,m_date,($G$2+34),m_active,1,m_start,"&lt;"&amp;780,m_end,"&gt;"&amp;720)=0,"",IF(COUNTIFS(m_teacher,BK$4,m_date,($G$2+34),m_active,1,m_start,"&lt;"&amp;780,m_end,"&gt;"&amp;720)&gt;1,"충돌",HYPERLINK("#'관리자_MASTER'!D"&amp;_xlfn.MAXIFS(m_row,m_teacher,BK$4,m_date,($G$2+34),m_active,1,m_start,"&lt;"&amp;780,m_end,"&gt;"&amp;720),INDEX(m_label,_xlfn.MAXIFS(m_row,m_teacher,BK$4,m_date,($G$2+34),m_active,1,m_start,"&lt;"&amp;780,m_end,"&gt;"&amp;720))))))</f>
        <v/>
      </c>
      <c r="BL74" s="81" t="str">
        <f aca="false">IF(OR(BL$4="",MONTH(($G$2+34))&lt;&gt;MONTH($C$2)),"",IF(COUNTIFS(m_teacher,BL$4,m_date,($G$2+34),m_active,1,m_start,"&lt;"&amp;780,m_end,"&gt;"&amp;720)=0,"",IF(COUNTIFS(m_teacher,BL$4,m_date,($G$2+34),m_active,1,m_start,"&lt;"&amp;780,m_end,"&gt;"&amp;720)&gt;1,"충돌",HYPERLINK("#'관리자_MASTER'!D"&amp;_xlfn.MAXIFS(m_row,m_teacher,BL$4,m_date,($G$2+34),m_active,1,m_start,"&lt;"&amp;780,m_end,"&gt;"&amp;720),INDEX(m_label,_xlfn.MAXIFS(m_row,m_teacher,BL$4,m_date,($G$2+34),m_active,1,m_start,"&lt;"&amp;780,m_end,"&gt;"&amp;720))))))</f>
        <v/>
      </c>
      <c r="BM74" s="81" t="str">
        <f aca="false">IF(OR(BM$4="",MONTH(($G$2+34))&lt;&gt;MONTH($C$2)),"",IF(COUNTIFS(m_teacher,BM$4,m_date,($G$2+34),m_active,1,m_start,"&lt;"&amp;780,m_end,"&gt;"&amp;720)=0,"",IF(COUNTIFS(m_teacher,BM$4,m_date,($G$2+34),m_active,1,m_start,"&lt;"&amp;780,m_end,"&gt;"&amp;720)&gt;1,"충돌",HYPERLINK("#'관리자_MASTER'!D"&amp;_xlfn.MAXIFS(m_row,m_teacher,BM$4,m_date,($G$2+34),m_active,1,m_start,"&lt;"&amp;780,m_end,"&gt;"&amp;720),INDEX(m_label,_xlfn.MAXIFS(m_row,m_teacher,BM$4,m_date,($G$2+34),m_active,1,m_start,"&lt;"&amp;780,m_end,"&gt;"&amp;720))))))</f>
        <v/>
      </c>
      <c r="BN74" s="81" t="str">
        <f aca="false">IF(OR(BN$4="",MONTH(($G$2+34))&lt;&gt;MONTH($C$2)),"",IF(COUNTIFS(m_teacher,BN$4,m_date,($G$2+34),m_active,1,m_start,"&lt;"&amp;780,m_end,"&gt;"&amp;720)=0,"",IF(COUNTIFS(m_teacher,BN$4,m_date,($G$2+34),m_active,1,m_start,"&lt;"&amp;780,m_end,"&gt;"&amp;720)&gt;1,"충돌",HYPERLINK("#'관리자_MASTER'!D"&amp;_xlfn.MAXIFS(m_row,m_teacher,BN$4,m_date,($G$2+34),m_active,1,m_start,"&lt;"&amp;780,m_end,"&gt;"&amp;720),INDEX(m_label,_xlfn.MAXIFS(m_row,m_teacher,BN$4,m_date,($G$2+34),m_active,1,m_start,"&lt;"&amp;780,m_end,"&gt;"&amp;720))))))</f>
        <v/>
      </c>
      <c r="BO74" s="81" t="str">
        <f aca="false">IF(OR(BO$4="",MONTH(($G$2+34))&lt;&gt;MONTH($C$2)),"",IF(COUNTIFS(m_teacher,BO$4,m_date,($G$2+34),m_active,1,m_start,"&lt;"&amp;780,m_end,"&gt;"&amp;720)=0,"",IF(COUNTIFS(m_teacher,BO$4,m_date,($G$2+34),m_active,1,m_start,"&lt;"&amp;780,m_end,"&gt;"&amp;720)&gt;1,"충돌",HYPERLINK("#'관리자_MASTER'!D"&amp;_xlfn.MAXIFS(m_row,m_teacher,BO$4,m_date,($G$2+34),m_active,1,m_start,"&lt;"&amp;780,m_end,"&gt;"&amp;720),INDEX(m_label,_xlfn.MAXIFS(m_row,m_teacher,BO$4,m_date,($G$2+34),m_active,1,m_start,"&lt;"&amp;780,m_end,"&gt;"&amp;720))))))</f>
        <v/>
      </c>
      <c r="BP74" s="81" t="str">
        <f aca="false">IF(OR(BP$4="",MONTH(($G$2+34))&lt;&gt;MONTH($C$2)),"",IF(COUNTIFS(m_teacher,BP$4,m_date,($G$2+34),m_active,1,m_start,"&lt;"&amp;780,m_end,"&gt;"&amp;720)=0,"",IF(COUNTIFS(m_teacher,BP$4,m_date,($G$2+34),m_active,1,m_start,"&lt;"&amp;780,m_end,"&gt;"&amp;720)&gt;1,"충돌",HYPERLINK("#'관리자_MASTER'!D"&amp;_xlfn.MAXIFS(m_row,m_teacher,BP$4,m_date,($G$2+34),m_active,1,m_start,"&lt;"&amp;780,m_end,"&gt;"&amp;720),INDEX(m_label,_xlfn.MAXIFS(m_row,m_teacher,BP$4,m_date,($G$2+34),m_active,1,m_start,"&lt;"&amp;780,m_end,"&gt;"&amp;720))))))</f>
        <v/>
      </c>
      <c r="BQ74" s="81" t="str">
        <f aca="false">IF(OR(BQ$4="",MONTH(($G$2+34))&lt;&gt;MONTH($C$2)),"",IF(COUNTIFS(m_teacher,BQ$4,m_date,($G$2+34),m_active,1,m_start,"&lt;"&amp;780,m_end,"&gt;"&amp;720)=0,"",IF(COUNTIFS(m_teacher,BQ$4,m_date,($G$2+34),m_active,1,m_start,"&lt;"&amp;780,m_end,"&gt;"&amp;720)&gt;1,"충돌",HYPERLINK("#'관리자_MASTER'!D"&amp;_xlfn.MAXIFS(m_row,m_teacher,BQ$4,m_date,($G$2+34),m_active,1,m_start,"&lt;"&amp;780,m_end,"&gt;"&amp;720),INDEX(m_label,_xlfn.MAXIFS(m_row,m_teacher,BQ$4,m_date,($G$2+34),m_active,1,m_start,"&lt;"&amp;780,m_end,"&gt;"&amp;720))))))</f>
        <v/>
      </c>
      <c r="BR74" s="81" t="str">
        <f aca="false">IF(OR(BR$4="",MONTH(($G$2+34))&lt;&gt;MONTH($C$2)),"",IF(COUNTIFS(m_teacher,BR$4,m_date,($G$2+34),m_active,1,m_start,"&lt;"&amp;780,m_end,"&gt;"&amp;720)=0,"",IF(COUNTIFS(m_teacher,BR$4,m_date,($G$2+34),m_active,1,m_start,"&lt;"&amp;780,m_end,"&gt;"&amp;720)&gt;1,"충돌",HYPERLINK("#'관리자_MASTER'!D"&amp;_xlfn.MAXIFS(m_row,m_teacher,BR$4,m_date,($G$2+34),m_active,1,m_start,"&lt;"&amp;780,m_end,"&gt;"&amp;720),INDEX(m_label,_xlfn.MAXIFS(m_row,m_teacher,BR$4,m_date,($G$2+34),m_active,1,m_start,"&lt;"&amp;780,m_end,"&gt;"&amp;720))))))</f>
        <v/>
      </c>
    </row>
    <row r="75" customFormat="false" ht="19.5" hidden="false" customHeight="true" outlineLevel="0" collapsed="false">
      <c r="A75" s="92"/>
      <c r="B75" s="79" t="s">
        <v>95</v>
      </c>
      <c r="C75" s="82" t="str">
        <f aca="false">IF(OR(C$4="",MONTH(($G$2+6))&lt;&gt;MONTH($C$2)),"",IF(COUNTIFS(m_teacher,C$4,m_date,($G$2+6),m_active,1,m_start,"&lt;"&amp;840,m_end,"&gt;"&amp;780)=0,"",IF(COUNTIFS(m_teacher,C$4,m_date,($G$2+6),m_active,1,m_start,"&lt;"&amp;840,m_end,"&gt;"&amp;780)&gt;1,"충돌",HYPERLINK("#'관리자_MASTER'!D"&amp;_xlfn.MAXIFS(m_row,m_teacher,C$4,m_date,($G$2+6),m_active,1,m_start,"&lt;"&amp;840,m_end,"&gt;"&amp;780),INDEX(m_label,_xlfn.MAXIFS(m_row,m_teacher,C$4,m_date,($G$2+6),m_active,1,m_start,"&lt;"&amp;840,m_end,"&gt;"&amp;780))))))</f>
        <v/>
      </c>
      <c r="D75" s="82" t="str">
        <f aca="false">IF(OR(D$4="",MONTH(($G$2+6))&lt;&gt;MONTH($C$2)),"",IF(COUNTIFS(m_teacher,D$4,m_date,($G$2+6),m_active,1,m_start,"&lt;"&amp;840,m_end,"&gt;"&amp;780)=0,"",IF(COUNTIFS(m_teacher,D$4,m_date,($G$2+6),m_active,1,m_start,"&lt;"&amp;840,m_end,"&gt;"&amp;780)&gt;1,"충돌",HYPERLINK("#'관리자_MASTER'!D"&amp;_xlfn.MAXIFS(m_row,m_teacher,D$4,m_date,($G$2+6),m_active,1,m_start,"&lt;"&amp;840,m_end,"&gt;"&amp;780),INDEX(m_label,_xlfn.MAXIFS(m_row,m_teacher,D$4,m_date,($G$2+6),m_active,1,m_start,"&lt;"&amp;840,m_end,"&gt;"&amp;780))))))</f>
        <v/>
      </c>
      <c r="E75" s="82" t="str">
        <f aca="false">IF(OR(E$4="",MONTH(($G$2+6))&lt;&gt;MONTH($C$2)),"",IF(COUNTIFS(m_teacher,E$4,m_date,($G$2+6),m_active,1,m_start,"&lt;"&amp;840,m_end,"&gt;"&amp;780)=0,"",IF(COUNTIFS(m_teacher,E$4,m_date,($G$2+6),m_active,1,m_start,"&lt;"&amp;840,m_end,"&gt;"&amp;780)&gt;1,"충돌",HYPERLINK("#'관리자_MASTER'!D"&amp;_xlfn.MAXIFS(m_row,m_teacher,E$4,m_date,($G$2+6),m_active,1,m_start,"&lt;"&amp;840,m_end,"&gt;"&amp;780),INDEX(m_label,_xlfn.MAXIFS(m_row,m_teacher,E$4,m_date,($G$2+6),m_active,1,m_start,"&lt;"&amp;840,m_end,"&gt;"&amp;780))))))</f>
        <v/>
      </c>
      <c r="F75" s="82" t="str">
        <f aca="false">IF(OR(F$4="",MONTH(($G$2+6))&lt;&gt;MONTH($C$2)),"",IF(COUNTIFS(m_teacher,F$4,m_date,($G$2+6),m_active,1,m_start,"&lt;"&amp;840,m_end,"&gt;"&amp;780)=0,"",IF(COUNTIFS(m_teacher,F$4,m_date,($G$2+6),m_active,1,m_start,"&lt;"&amp;840,m_end,"&gt;"&amp;780)&gt;1,"충돌",HYPERLINK("#'관리자_MASTER'!D"&amp;_xlfn.MAXIFS(m_row,m_teacher,F$4,m_date,($G$2+6),m_active,1,m_start,"&lt;"&amp;840,m_end,"&gt;"&amp;780),INDEX(m_label,_xlfn.MAXIFS(m_row,m_teacher,F$4,m_date,($G$2+6),m_active,1,m_start,"&lt;"&amp;840,m_end,"&gt;"&amp;780))))))</f>
        <v/>
      </c>
      <c r="G75" s="82" t="str">
        <f aca="false">IF(OR(G$4="",MONTH(($G$2+6))&lt;&gt;MONTH($C$2)),"",IF(COUNTIFS(m_teacher,G$4,m_date,($G$2+6),m_active,1,m_start,"&lt;"&amp;840,m_end,"&gt;"&amp;780)=0,"",IF(COUNTIFS(m_teacher,G$4,m_date,($G$2+6),m_active,1,m_start,"&lt;"&amp;840,m_end,"&gt;"&amp;780)&gt;1,"충돌",HYPERLINK("#'관리자_MASTER'!D"&amp;_xlfn.MAXIFS(m_row,m_teacher,G$4,m_date,($G$2+6),m_active,1,m_start,"&lt;"&amp;840,m_end,"&gt;"&amp;780),INDEX(m_label,_xlfn.MAXIFS(m_row,m_teacher,G$4,m_date,($G$2+6),m_active,1,m_start,"&lt;"&amp;840,m_end,"&gt;"&amp;780))))))</f>
        <v/>
      </c>
      <c r="H75" s="82" t="str">
        <f aca="false">IF(OR(H$4="",MONTH(($G$2+6))&lt;&gt;MONTH($C$2)),"",IF(COUNTIFS(m_teacher,H$4,m_date,($G$2+6),m_active,1,m_start,"&lt;"&amp;840,m_end,"&gt;"&amp;780)=0,"",IF(COUNTIFS(m_teacher,H$4,m_date,($G$2+6),m_active,1,m_start,"&lt;"&amp;840,m_end,"&gt;"&amp;780)&gt;1,"충돌",HYPERLINK("#'관리자_MASTER'!D"&amp;_xlfn.MAXIFS(m_row,m_teacher,H$4,m_date,($G$2+6),m_active,1,m_start,"&lt;"&amp;840,m_end,"&gt;"&amp;780),INDEX(m_label,_xlfn.MAXIFS(m_row,m_teacher,H$4,m_date,($G$2+6),m_active,1,m_start,"&lt;"&amp;840,m_end,"&gt;"&amp;780))))))</f>
        <v/>
      </c>
      <c r="I75" s="82" t="str">
        <f aca="false">IF(OR(I$4="",MONTH(($G$2+6))&lt;&gt;MONTH($C$2)),"",IF(COUNTIFS(m_teacher,I$4,m_date,($G$2+6),m_active,1,m_start,"&lt;"&amp;840,m_end,"&gt;"&amp;780)=0,"",IF(COUNTIFS(m_teacher,I$4,m_date,($G$2+6),m_active,1,m_start,"&lt;"&amp;840,m_end,"&gt;"&amp;780)&gt;1,"충돌",HYPERLINK("#'관리자_MASTER'!D"&amp;_xlfn.MAXIFS(m_row,m_teacher,I$4,m_date,($G$2+6),m_active,1,m_start,"&lt;"&amp;840,m_end,"&gt;"&amp;780),INDEX(m_label,_xlfn.MAXIFS(m_row,m_teacher,I$4,m_date,($G$2+6),m_active,1,m_start,"&lt;"&amp;840,m_end,"&gt;"&amp;780))))))</f>
        <v/>
      </c>
      <c r="J75" s="82" t="str">
        <f aca="false">IF(OR(J$4="",MONTH(($G$2+6))&lt;&gt;MONTH($C$2)),"",IF(COUNTIFS(m_teacher,J$4,m_date,($G$2+6),m_active,1,m_start,"&lt;"&amp;840,m_end,"&gt;"&amp;780)=0,"",IF(COUNTIFS(m_teacher,J$4,m_date,($G$2+6),m_active,1,m_start,"&lt;"&amp;840,m_end,"&gt;"&amp;780)&gt;1,"충돌",HYPERLINK("#'관리자_MASTER'!D"&amp;_xlfn.MAXIFS(m_row,m_teacher,J$4,m_date,($G$2+6),m_active,1,m_start,"&lt;"&amp;840,m_end,"&gt;"&amp;780),INDEX(m_label,_xlfn.MAXIFS(m_row,m_teacher,J$4,m_date,($G$2+6),m_active,1,m_start,"&lt;"&amp;840,m_end,"&gt;"&amp;780))))))</f>
        <v/>
      </c>
      <c r="K75" s="82" t="str">
        <f aca="false">IF(OR(K$4="",MONTH(($G$2+6))&lt;&gt;MONTH($C$2)),"",IF(COUNTIFS(m_teacher,K$4,m_date,($G$2+6),m_active,1,m_start,"&lt;"&amp;840,m_end,"&gt;"&amp;780)=0,"",IF(COUNTIFS(m_teacher,K$4,m_date,($G$2+6),m_active,1,m_start,"&lt;"&amp;840,m_end,"&gt;"&amp;780)&gt;1,"충돌",HYPERLINK("#'관리자_MASTER'!D"&amp;_xlfn.MAXIFS(m_row,m_teacher,K$4,m_date,($G$2+6),m_active,1,m_start,"&lt;"&amp;840,m_end,"&gt;"&amp;780),INDEX(m_label,_xlfn.MAXIFS(m_row,m_teacher,K$4,m_date,($G$2+6),m_active,1,m_start,"&lt;"&amp;840,m_end,"&gt;"&amp;780))))))</f>
        <v/>
      </c>
      <c r="L75" s="82" t="str">
        <f aca="false">IF(OR(L$4="",MONTH(($G$2+6))&lt;&gt;MONTH($C$2)),"",IF(COUNTIFS(m_teacher,L$4,m_date,($G$2+6),m_active,1,m_start,"&lt;"&amp;840,m_end,"&gt;"&amp;780)=0,"",IF(COUNTIFS(m_teacher,L$4,m_date,($G$2+6),m_active,1,m_start,"&lt;"&amp;840,m_end,"&gt;"&amp;780)&gt;1,"충돌",HYPERLINK("#'관리자_MASTER'!D"&amp;_xlfn.MAXIFS(m_row,m_teacher,L$4,m_date,($G$2+6),m_active,1,m_start,"&lt;"&amp;840,m_end,"&gt;"&amp;780),INDEX(m_label,_xlfn.MAXIFS(m_row,m_teacher,L$4,m_date,($G$2+6),m_active,1,m_start,"&lt;"&amp;840,m_end,"&gt;"&amp;780))))))</f>
        <v/>
      </c>
      <c r="M75" s="82" t="str">
        <f aca="false">IF(OR(M$4="",MONTH(($G$2+6))&lt;&gt;MONTH($C$2)),"",IF(COUNTIFS(m_teacher,M$4,m_date,($G$2+6),m_active,1,m_start,"&lt;"&amp;840,m_end,"&gt;"&amp;780)=0,"",IF(COUNTIFS(m_teacher,M$4,m_date,($G$2+6),m_active,1,m_start,"&lt;"&amp;840,m_end,"&gt;"&amp;780)&gt;1,"충돌",HYPERLINK("#'관리자_MASTER'!D"&amp;_xlfn.MAXIFS(m_row,m_teacher,M$4,m_date,($G$2+6),m_active,1,m_start,"&lt;"&amp;840,m_end,"&gt;"&amp;780),INDEX(m_label,_xlfn.MAXIFS(m_row,m_teacher,M$4,m_date,($G$2+6),m_active,1,m_start,"&lt;"&amp;840,m_end,"&gt;"&amp;780))))))</f>
        <v/>
      </c>
      <c r="N75" s="82" t="str">
        <f aca="false">IF(OR(N$4="",MONTH(($G$2+6))&lt;&gt;MONTH($C$2)),"",IF(COUNTIFS(m_teacher,N$4,m_date,($G$2+6),m_active,1,m_start,"&lt;"&amp;840,m_end,"&gt;"&amp;780)=0,"",IF(COUNTIFS(m_teacher,N$4,m_date,($G$2+6),m_active,1,m_start,"&lt;"&amp;840,m_end,"&gt;"&amp;780)&gt;1,"충돌",HYPERLINK("#'관리자_MASTER'!D"&amp;_xlfn.MAXIFS(m_row,m_teacher,N$4,m_date,($G$2+6),m_active,1,m_start,"&lt;"&amp;840,m_end,"&gt;"&amp;780),INDEX(m_label,_xlfn.MAXIFS(m_row,m_teacher,N$4,m_date,($G$2+6),m_active,1,m_start,"&lt;"&amp;840,m_end,"&gt;"&amp;780))))))</f>
        <v/>
      </c>
      <c r="O75" s="92"/>
      <c r="P75" s="79" t="s">
        <v>95</v>
      </c>
      <c r="Q75" s="82" t="str">
        <f aca="false">IF(OR(Q$4="",MONTH(($G$2+13))&lt;&gt;MONTH($C$2)),"",IF(COUNTIFS(m_teacher,Q$4,m_date,($G$2+13),m_active,1,m_start,"&lt;"&amp;840,m_end,"&gt;"&amp;780)=0,"",IF(COUNTIFS(m_teacher,Q$4,m_date,($G$2+13),m_active,1,m_start,"&lt;"&amp;840,m_end,"&gt;"&amp;780)&gt;1,"충돌",HYPERLINK("#'관리자_MASTER'!D"&amp;_xlfn.MAXIFS(m_row,m_teacher,Q$4,m_date,($G$2+13),m_active,1,m_start,"&lt;"&amp;840,m_end,"&gt;"&amp;780),INDEX(m_label,_xlfn.MAXIFS(m_row,m_teacher,Q$4,m_date,($G$2+13),m_active,1,m_start,"&lt;"&amp;840,m_end,"&gt;"&amp;780))))))</f>
        <v/>
      </c>
      <c r="R75" s="82" t="str">
        <f aca="false">IF(OR(R$4="",MONTH(($G$2+13))&lt;&gt;MONTH($C$2)),"",IF(COUNTIFS(m_teacher,R$4,m_date,($G$2+13),m_active,1,m_start,"&lt;"&amp;840,m_end,"&gt;"&amp;780)=0,"",IF(COUNTIFS(m_teacher,R$4,m_date,($G$2+13),m_active,1,m_start,"&lt;"&amp;840,m_end,"&gt;"&amp;780)&gt;1,"충돌",HYPERLINK("#'관리자_MASTER'!D"&amp;_xlfn.MAXIFS(m_row,m_teacher,R$4,m_date,($G$2+13),m_active,1,m_start,"&lt;"&amp;840,m_end,"&gt;"&amp;780),INDEX(m_label,_xlfn.MAXIFS(m_row,m_teacher,R$4,m_date,($G$2+13),m_active,1,m_start,"&lt;"&amp;840,m_end,"&gt;"&amp;780))))))</f>
        <v/>
      </c>
      <c r="S75" s="82" t="str">
        <f aca="false">IF(OR(S$4="",MONTH(($G$2+13))&lt;&gt;MONTH($C$2)),"",IF(COUNTIFS(m_teacher,S$4,m_date,($G$2+13),m_active,1,m_start,"&lt;"&amp;840,m_end,"&gt;"&amp;780)=0,"",IF(COUNTIFS(m_teacher,S$4,m_date,($G$2+13),m_active,1,m_start,"&lt;"&amp;840,m_end,"&gt;"&amp;780)&gt;1,"충돌",HYPERLINK("#'관리자_MASTER'!D"&amp;_xlfn.MAXIFS(m_row,m_teacher,S$4,m_date,($G$2+13),m_active,1,m_start,"&lt;"&amp;840,m_end,"&gt;"&amp;780),INDEX(m_label,_xlfn.MAXIFS(m_row,m_teacher,S$4,m_date,($G$2+13),m_active,1,m_start,"&lt;"&amp;840,m_end,"&gt;"&amp;780))))))</f>
        <v/>
      </c>
      <c r="T75" s="82" t="str">
        <f aca="false">IF(OR(T$4="",MONTH(($G$2+13))&lt;&gt;MONTH($C$2)),"",IF(COUNTIFS(m_teacher,T$4,m_date,($G$2+13),m_active,1,m_start,"&lt;"&amp;840,m_end,"&gt;"&amp;780)=0,"",IF(COUNTIFS(m_teacher,T$4,m_date,($G$2+13),m_active,1,m_start,"&lt;"&amp;840,m_end,"&gt;"&amp;780)&gt;1,"충돌",HYPERLINK("#'관리자_MASTER'!D"&amp;_xlfn.MAXIFS(m_row,m_teacher,T$4,m_date,($G$2+13),m_active,1,m_start,"&lt;"&amp;840,m_end,"&gt;"&amp;780),INDEX(m_label,_xlfn.MAXIFS(m_row,m_teacher,T$4,m_date,($G$2+13),m_active,1,m_start,"&lt;"&amp;840,m_end,"&gt;"&amp;780))))))</f>
        <v/>
      </c>
      <c r="U75" s="82" t="str">
        <f aca="false">IF(OR(U$4="",MONTH(($G$2+13))&lt;&gt;MONTH($C$2)),"",IF(COUNTIFS(m_teacher,U$4,m_date,($G$2+13),m_active,1,m_start,"&lt;"&amp;840,m_end,"&gt;"&amp;780)=0,"",IF(COUNTIFS(m_teacher,U$4,m_date,($G$2+13),m_active,1,m_start,"&lt;"&amp;840,m_end,"&gt;"&amp;780)&gt;1,"충돌",HYPERLINK("#'관리자_MASTER'!D"&amp;_xlfn.MAXIFS(m_row,m_teacher,U$4,m_date,($G$2+13),m_active,1,m_start,"&lt;"&amp;840,m_end,"&gt;"&amp;780),INDEX(m_label,_xlfn.MAXIFS(m_row,m_teacher,U$4,m_date,($G$2+13),m_active,1,m_start,"&lt;"&amp;840,m_end,"&gt;"&amp;780))))))</f>
        <v/>
      </c>
      <c r="V75" s="82" t="str">
        <f aca="false">IF(OR(V$4="",MONTH(($G$2+13))&lt;&gt;MONTH($C$2)),"",IF(COUNTIFS(m_teacher,V$4,m_date,($G$2+13),m_active,1,m_start,"&lt;"&amp;840,m_end,"&gt;"&amp;780)=0,"",IF(COUNTIFS(m_teacher,V$4,m_date,($G$2+13),m_active,1,m_start,"&lt;"&amp;840,m_end,"&gt;"&amp;780)&gt;1,"충돌",HYPERLINK("#'관리자_MASTER'!D"&amp;_xlfn.MAXIFS(m_row,m_teacher,V$4,m_date,($G$2+13),m_active,1,m_start,"&lt;"&amp;840,m_end,"&gt;"&amp;780),INDEX(m_label,_xlfn.MAXIFS(m_row,m_teacher,V$4,m_date,($G$2+13),m_active,1,m_start,"&lt;"&amp;840,m_end,"&gt;"&amp;780))))))</f>
        <v/>
      </c>
      <c r="W75" s="82" t="str">
        <f aca="false">IF(OR(W$4="",MONTH(($G$2+13))&lt;&gt;MONTH($C$2)),"",IF(COUNTIFS(m_teacher,W$4,m_date,($G$2+13),m_active,1,m_start,"&lt;"&amp;840,m_end,"&gt;"&amp;780)=0,"",IF(COUNTIFS(m_teacher,W$4,m_date,($G$2+13),m_active,1,m_start,"&lt;"&amp;840,m_end,"&gt;"&amp;780)&gt;1,"충돌",HYPERLINK("#'관리자_MASTER'!D"&amp;_xlfn.MAXIFS(m_row,m_teacher,W$4,m_date,($G$2+13),m_active,1,m_start,"&lt;"&amp;840,m_end,"&gt;"&amp;780),INDEX(m_label,_xlfn.MAXIFS(m_row,m_teacher,W$4,m_date,($G$2+13),m_active,1,m_start,"&lt;"&amp;840,m_end,"&gt;"&amp;780))))))</f>
        <v/>
      </c>
      <c r="X75" s="82" t="str">
        <f aca="false">IF(OR(X$4="",MONTH(($G$2+13))&lt;&gt;MONTH($C$2)),"",IF(COUNTIFS(m_teacher,X$4,m_date,($G$2+13),m_active,1,m_start,"&lt;"&amp;840,m_end,"&gt;"&amp;780)=0,"",IF(COUNTIFS(m_teacher,X$4,m_date,($G$2+13),m_active,1,m_start,"&lt;"&amp;840,m_end,"&gt;"&amp;780)&gt;1,"충돌",HYPERLINK("#'관리자_MASTER'!D"&amp;_xlfn.MAXIFS(m_row,m_teacher,X$4,m_date,($G$2+13),m_active,1,m_start,"&lt;"&amp;840,m_end,"&gt;"&amp;780),INDEX(m_label,_xlfn.MAXIFS(m_row,m_teacher,X$4,m_date,($G$2+13),m_active,1,m_start,"&lt;"&amp;840,m_end,"&gt;"&amp;780))))))</f>
        <v/>
      </c>
      <c r="Y75" s="82" t="str">
        <f aca="false">IF(OR(Y$4="",MONTH(($G$2+13))&lt;&gt;MONTH($C$2)),"",IF(COUNTIFS(m_teacher,Y$4,m_date,($G$2+13),m_active,1,m_start,"&lt;"&amp;840,m_end,"&gt;"&amp;780)=0,"",IF(COUNTIFS(m_teacher,Y$4,m_date,($G$2+13),m_active,1,m_start,"&lt;"&amp;840,m_end,"&gt;"&amp;780)&gt;1,"충돌",HYPERLINK("#'관리자_MASTER'!D"&amp;_xlfn.MAXIFS(m_row,m_teacher,Y$4,m_date,($G$2+13),m_active,1,m_start,"&lt;"&amp;840,m_end,"&gt;"&amp;780),INDEX(m_label,_xlfn.MAXIFS(m_row,m_teacher,Y$4,m_date,($G$2+13),m_active,1,m_start,"&lt;"&amp;840,m_end,"&gt;"&amp;780))))))</f>
        <v/>
      </c>
      <c r="Z75" s="82" t="str">
        <f aca="false">IF(OR(Z$4="",MONTH(($G$2+13))&lt;&gt;MONTH($C$2)),"",IF(COUNTIFS(m_teacher,Z$4,m_date,($G$2+13),m_active,1,m_start,"&lt;"&amp;840,m_end,"&gt;"&amp;780)=0,"",IF(COUNTIFS(m_teacher,Z$4,m_date,($G$2+13),m_active,1,m_start,"&lt;"&amp;840,m_end,"&gt;"&amp;780)&gt;1,"충돌",HYPERLINK("#'관리자_MASTER'!D"&amp;_xlfn.MAXIFS(m_row,m_teacher,Z$4,m_date,($G$2+13),m_active,1,m_start,"&lt;"&amp;840,m_end,"&gt;"&amp;780),INDEX(m_label,_xlfn.MAXIFS(m_row,m_teacher,Z$4,m_date,($G$2+13),m_active,1,m_start,"&lt;"&amp;840,m_end,"&gt;"&amp;780))))))</f>
        <v/>
      </c>
      <c r="AA75" s="82" t="str">
        <f aca="false">IF(OR(AA$4="",MONTH(($G$2+13))&lt;&gt;MONTH($C$2)),"",IF(COUNTIFS(m_teacher,AA$4,m_date,($G$2+13),m_active,1,m_start,"&lt;"&amp;840,m_end,"&gt;"&amp;780)=0,"",IF(COUNTIFS(m_teacher,AA$4,m_date,($G$2+13),m_active,1,m_start,"&lt;"&amp;840,m_end,"&gt;"&amp;780)&gt;1,"충돌",HYPERLINK("#'관리자_MASTER'!D"&amp;_xlfn.MAXIFS(m_row,m_teacher,AA$4,m_date,($G$2+13),m_active,1,m_start,"&lt;"&amp;840,m_end,"&gt;"&amp;780),INDEX(m_label,_xlfn.MAXIFS(m_row,m_teacher,AA$4,m_date,($G$2+13),m_active,1,m_start,"&lt;"&amp;840,m_end,"&gt;"&amp;780))))))</f>
        <v/>
      </c>
      <c r="AB75" s="82" t="str">
        <f aca="false">IF(OR(AB$4="",MONTH(($G$2+13))&lt;&gt;MONTH($C$2)),"",IF(COUNTIFS(m_teacher,AB$4,m_date,($G$2+13),m_active,1,m_start,"&lt;"&amp;840,m_end,"&gt;"&amp;780)=0,"",IF(COUNTIFS(m_teacher,AB$4,m_date,($G$2+13),m_active,1,m_start,"&lt;"&amp;840,m_end,"&gt;"&amp;780)&gt;1,"충돌",HYPERLINK("#'관리자_MASTER'!D"&amp;_xlfn.MAXIFS(m_row,m_teacher,AB$4,m_date,($G$2+13),m_active,1,m_start,"&lt;"&amp;840,m_end,"&gt;"&amp;780),INDEX(m_label,_xlfn.MAXIFS(m_row,m_teacher,AB$4,m_date,($G$2+13),m_active,1,m_start,"&lt;"&amp;840,m_end,"&gt;"&amp;780))))))</f>
        <v/>
      </c>
      <c r="AC75" s="92"/>
      <c r="AD75" s="79" t="s">
        <v>95</v>
      </c>
      <c r="AE75" s="82" t="str">
        <f aca="false">IF(OR(AE$4="",MONTH(($G$2+20))&lt;&gt;MONTH($C$2)),"",IF(COUNTIFS(m_teacher,AE$4,m_date,($G$2+20),m_active,1,m_start,"&lt;"&amp;840,m_end,"&gt;"&amp;780)=0,"",IF(COUNTIFS(m_teacher,AE$4,m_date,($G$2+20),m_active,1,m_start,"&lt;"&amp;840,m_end,"&gt;"&amp;780)&gt;1,"충돌",HYPERLINK("#'관리자_MASTER'!D"&amp;_xlfn.MAXIFS(m_row,m_teacher,AE$4,m_date,($G$2+20),m_active,1,m_start,"&lt;"&amp;840,m_end,"&gt;"&amp;780),INDEX(m_label,_xlfn.MAXIFS(m_row,m_teacher,AE$4,m_date,($G$2+20),m_active,1,m_start,"&lt;"&amp;840,m_end,"&gt;"&amp;780))))))</f>
        <v/>
      </c>
      <c r="AF75" s="82" t="str">
        <f aca="false">IF(OR(AF$4="",MONTH(($G$2+20))&lt;&gt;MONTH($C$2)),"",IF(COUNTIFS(m_teacher,AF$4,m_date,($G$2+20),m_active,1,m_start,"&lt;"&amp;840,m_end,"&gt;"&amp;780)=0,"",IF(COUNTIFS(m_teacher,AF$4,m_date,($G$2+20),m_active,1,m_start,"&lt;"&amp;840,m_end,"&gt;"&amp;780)&gt;1,"충돌",HYPERLINK("#'관리자_MASTER'!D"&amp;_xlfn.MAXIFS(m_row,m_teacher,AF$4,m_date,($G$2+20),m_active,1,m_start,"&lt;"&amp;840,m_end,"&gt;"&amp;780),INDEX(m_label,_xlfn.MAXIFS(m_row,m_teacher,AF$4,m_date,($G$2+20),m_active,1,m_start,"&lt;"&amp;840,m_end,"&gt;"&amp;780))))))</f>
        <v/>
      </c>
      <c r="AG75" s="82" t="str">
        <f aca="false">IF(OR(AG$4="",MONTH(($G$2+20))&lt;&gt;MONTH($C$2)),"",IF(COUNTIFS(m_teacher,AG$4,m_date,($G$2+20),m_active,1,m_start,"&lt;"&amp;840,m_end,"&gt;"&amp;780)=0,"",IF(COUNTIFS(m_teacher,AG$4,m_date,($G$2+20),m_active,1,m_start,"&lt;"&amp;840,m_end,"&gt;"&amp;780)&gt;1,"충돌",HYPERLINK("#'관리자_MASTER'!D"&amp;_xlfn.MAXIFS(m_row,m_teacher,AG$4,m_date,($G$2+20),m_active,1,m_start,"&lt;"&amp;840,m_end,"&gt;"&amp;780),INDEX(m_label,_xlfn.MAXIFS(m_row,m_teacher,AG$4,m_date,($G$2+20),m_active,1,m_start,"&lt;"&amp;840,m_end,"&gt;"&amp;780))))))</f>
        <v/>
      </c>
      <c r="AH75" s="82" t="str">
        <f aca="false">IF(OR(AH$4="",MONTH(($G$2+20))&lt;&gt;MONTH($C$2)),"",IF(COUNTIFS(m_teacher,AH$4,m_date,($G$2+20),m_active,1,m_start,"&lt;"&amp;840,m_end,"&gt;"&amp;780)=0,"",IF(COUNTIFS(m_teacher,AH$4,m_date,($G$2+20),m_active,1,m_start,"&lt;"&amp;840,m_end,"&gt;"&amp;780)&gt;1,"충돌",HYPERLINK("#'관리자_MASTER'!D"&amp;_xlfn.MAXIFS(m_row,m_teacher,AH$4,m_date,($G$2+20),m_active,1,m_start,"&lt;"&amp;840,m_end,"&gt;"&amp;780),INDEX(m_label,_xlfn.MAXIFS(m_row,m_teacher,AH$4,m_date,($G$2+20),m_active,1,m_start,"&lt;"&amp;840,m_end,"&gt;"&amp;780))))))</f>
        <v/>
      </c>
      <c r="AI75" s="82" t="str">
        <f aca="false">IF(OR(AI$4="",MONTH(($G$2+20))&lt;&gt;MONTH($C$2)),"",IF(COUNTIFS(m_teacher,AI$4,m_date,($G$2+20),m_active,1,m_start,"&lt;"&amp;840,m_end,"&gt;"&amp;780)=0,"",IF(COUNTIFS(m_teacher,AI$4,m_date,($G$2+20),m_active,1,m_start,"&lt;"&amp;840,m_end,"&gt;"&amp;780)&gt;1,"충돌",HYPERLINK("#'관리자_MASTER'!D"&amp;_xlfn.MAXIFS(m_row,m_teacher,AI$4,m_date,($G$2+20),m_active,1,m_start,"&lt;"&amp;840,m_end,"&gt;"&amp;780),INDEX(m_label,_xlfn.MAXIFS(m_row,m_teacher,AI$4,m_date,($G$2+20),m_active,1,m_start,"&lt;"&amp;840,m_end,"&gt;"&amp;780))))))</f>
        <v/>
      </c>
      <c r="AJ75" s="82" t="str">
        <f aca="false">IF(OR(AJ$4="",MONTH(($G$2+20))&lt;&gt;MONTH($C$2)),"",IF(COUNTIFS(m_teacher,AJ$4,m_date,($G$2+20),m_active,1,m_start,"&lt;"&amp;840,m_end,"&gt;"&amp;780)=0,"",IF(COUNTIFS(m_teacher,AJ$4,m_date,($G$2+20),m_active,1,m_start,"&lt;"&amp;840,m_end,"&gt;"&amp;780)&gt;1,"충돌",HYPERLINK("#'관리자_MASTER'!D"&amp;_xlfn.MAXIFS(m_row,m_teacher,AJ$4,m_date,($G$2+20),m_active,1,m_start,"&lt;"&amp;840,m_end,"&gt;"&amp;780),INDEX(m_label,_xlfn.MAXIFS(m_row,m_teacher,AJ$4,m_date,($G$2+20),m_active,1,m_start,"&lt;"&amp;840,m_end,"&gt;"&amp;780))))))</f>
        <v/>
      </c>
      <c r="AK75" s="82" t="str">
        <f aca="false">IF(OR(AK$4="",MONTH(($G$2+20))&lt;&gt;MONTH($C$2)),"",IF(COUNTIFS(m_teacher,AK$4,m_date,($G$2+20),m_active,1,m_start,"&lt;"&amp;840,m_end,"&gt;"&amp;780)=0,"",IF(COUNTIFS(m_teacher,AK$4,m_date,($G$2+20),m_active,1,m_start,"&lt;"&amp;840,m_end,"&gt;"&amp;780)&gt;1,"충돌",HYPERLINK("#'관리자_MASTER'!D"&amp;_xlfn.MAXIFS(m_row,m_teacher,AK$4,m_date,($G$2+20),m_active,1,m_start,"&lt;"&amp;840,m_end,"&gt;"&amp;780),INDEX(m_label,_xlfn.MAXIFS(m_row,m_teacher,AK$4,m_date,($G$2+20),m_active,1,m_start,"&lt;"&amp;840,m_end,"&gt;"&amp;780))))))</f>
        <v/>
      </c>
      <c r="AL75" s="82" t="str">
        <f aca="false">IF(OR(AL$4="",MONTH(($G$2+20))&lt;&gt;MONTH($C$2)),"",IF(COUNTIFS(m_teacher,AL$4,m_date,($G$2+20),m_active,1,m_start,"&lt;"&amp;840,m_end,"&gt;"&amp;780)=0,"",IF(COUNTIFS(m_teacher,AL$4,m_date,($G$2+20),m_active,1,m_start,"&lt;"&amp;840,m_end,"&gt;"&amp;780)&gt;1,"충돌",HYPERLINK("#'관리자_MASTER'!D"&amp;_xlfn.MAXIFS(m_row,m_teacher,AL$4,m_date,($G$2+20),m_active,1,m_start,"&lt;"&amp;840,m_end,"&gt;"&amp;780),INDEX(m_label,_xlfn.MAXIFS(m_row,m_teacher,AL$4,m_date,($G$2+20),m_active,1,m_start,"&lt;"&amp;840,m_end,"&gt;"&amp;780))))))</f>
        <v/>
      </c>
      <c r="AM75" s="82" t="str">
        <f aca="false">IF(OR(AM$4="",MONTH(($G$2+20))&lt;&gt;MONTH($C$2)),"",IF(COUNTIFS(m_teacher,AM$4,m_date,($G$2+20),m_active,1,m_start,"&lt;"&amp;840,m_end,"&gt;"&amp;780)=0,"",IF(COUNTIFS(m_teacher,AM$4,m_date,($G$2+20),m_active,1,m_start,"&lt;"&amp;840,m_end,"&gt;"&amp;780)&gt;1,"충돌",HYPERLINK("#'관리자_MASTER'!D"&amp;_xlfn.MAXIFS(m_row,m_teacher,AM$4,m_date,($G$2+20),m_active,1,m_start,"&lt;"&amp;840,m_end,"&gt;"&amp;780),INDEX(m_label,_xlfn.MAXIFS(m_row,m_teacher,AM$4,m_date,($G$2+20),m_active,1,m_start,"&lt;"&amp;840,m_end,"&gt;"&amp;780))))))</f>
        <v/>
      </c>
      <c r="AN75" s="82" t="str">
        <f aca="false">IF(OR(AN$4="",MONTH(($G$2+20))&lt;&gt;MONTH($C$2)),"",IF(COUNTIFS(m_teacher,AN$4,m_date,($G$2+20),m_active,1,m_start,"&lt;"&amp;840,m_end,"&gt;"&amp;780)=0,"",IF(COUNTIFS(m_teacher,AN$4,m_date,($G$2+20),m_active,1,m_start,"&lt;"&amp;840,m_end,"&gt;"&amp;780)&gt;1,"충돌",HYPERLINK("#'관리자_MASTER'!D"&amp;_xlfn.MAXIFS(m_row,m_teacher,AN$4,m_date,($G$2+20),m_active,1,m_start,"&lt;"&amp;840,m_end,"&gt;"&amp;780),INDEX(m_label,_xlfn.MAXIFS(m_row,m_teacher,AN$4,m_date,($G$2+20),m_active,1,m_start,"&lt;"&amp;840,m_end,"&gt;"&amp;780))))))</f>
        <v/>
      </c>
      <c r="AO75" s="82" t="str">
        <f aca="false">IF(OR(AO$4="",MONTH(($G$2+20))&lt;&gt;MONTH($C$2)),"",IF(COUNTIFS(m_teacher,AO$4,m_date,($G$2+20),m_active,1,m_start,"&lt;"&amp;840,m_end,"&gt;"&amp;780)=0,"",IF(COUNTIFS(m_teacher,AO$4,m_date,($G$2+20),m_active,1,m_start,"&lt;"&amp;840,m_end,"&gt;"&amp;780)&gt;1,"충돌",HYPERLINK("#'관리자_MASTER'!D"&amp;_xlfn.MAXIFS(m_row,m_teacher,AO$4,m_date,($G$2+20),m_active,1,m_start,"&lt;"&amp;840,m_end,"&gt;"&amp;780),INDEX(m_label,_xlfn.MAXIFS(m_row,m_teacher,AO$4,m_date,($G$2+20),m_active,1,m_start,"&lt;"&amp;840,m_end,"&gt;"&amp;780))))))</f>
        <v/>
      </c>
      <c r="AP75" s="82" t="str">
        <f aca="false">IF(OR(AP$4="",MONTH(($G$2+20))&lt;&gt;MONTH($C$2)),"",IF(COUNTIFS(m_teacher,AP$4,m_date,($G$2+20),m_active,1,m_start,"&lt;"&amp;840,m_end,"&gt;"&amp;780)=0,"",IF(COUNTIFS(m_teacher,AP$4,m_date,($G$2+20),m_active,1,m_start,"&lt;"&amp;840,m_end,"&gt;"&amp;780)&gt;1,"충돌",HYPERLINK("#'관리자_MASTER'!D"&amp;_xlfn.MAXIFS(m_row,m_teacher,AP$4,m_date,($G$2+20),m_active,1,m_start,"&lt;"&amp;840,m_end,"&gt;"&amp;780),INDEX(m_label,_xlfn.MAXIFS(m_row,m_teacher,AP$4,m_date,($G$2+20),m_active,1,m_start,"&lt;"&amp;840,m_end,"&gt;"&amp;780))))))</f>
        <v/>
      </c>
      <c r="AQ75" s="92"/>
      <c r="AR75" s="79" t="s">
        <v>95</v>
      </c>
      <c r="AS75" s="82" t="str">
        <f aca="false">IF(OR(AS$4="",MONTH(($G$2+27))&lt;&gt;MONTH($C$2)),"",IF(COUNTIFS(m_teacher,AS$4,m_date,($G$2+27),m_active,1,m_start,"&lt;"&amp;840,m_end,"&gt;"&amp;780)=0,"",IF(COUNTIFS(m_teacher,AS$4,m_date,($G$2+27),m_active,1,m_start,"&lt;"&amp;840,m_end,"&gt;"&amp;780)&gt;1,"충돌",HYPERLINK("#'관리자_MASTER'!D"&amp;_xlfn.MAXIFS(m_row,m_teacher,AS$4,m_date,($G$2+27),m_active,1,m_start,"&lt;"&amp;840,m_end,"&gt;"&amp;780),INDEX(m_label,_xlfn.MAXIFS(m_row,m_teacher,AS$4,m_date,($G$2+27),m_active,1,m_start,"&lt;"&amp;840,m_end,"&gt;"&amp;780))))))</f>
        <v/>
      </c>
      <c r="AT75" s="82" t="str">
        <f aca="false">IF(OR(AT$4="",MONTH(($G$2+27))&lt;&gt;MONTH($C$2)),"",IF(COUNTIFS(m_teacher,AT$4,m_date,($G$2+27),m_active,1,m_start,"&lt;"&amp;840,m_end,"&gt;"&amp;780)=0,"",IF(COUNTIFS(m_teacher,AT$4,m_date,($G$2+27),m_active,1,m_start,"&lt;"&amp;840,m_end,"&gt;"&amp;780)&gt;1,"충돌",HYPERLINK("#'관리자_MASTER'!D"&amp;_xlfn.MAXIFS(m_row,m_teacher,AT$4,m_date,($G$2+27),m_active,1,m_start,"&lt;"&amp;840,m_end,"&gt;"&amp;780),INDEX(m_label,_xlfn.MAXIFS(m_row,m_teacher,AT$4,m_date,($G$2+27),m_active,1,m_start,"&lt;"&amp;840,m_end,"&gt;"&amp;780))))))</f>
        <v/>
      </c>
      <c r="AU75" s="82" t="str">
        <f aca="false">IF(OR(AU$4="",MONTH(($G$2+27))&lt;&gt;MONTH($C$2)),"",IF(COUNTIFS(m_teacher,AU$4,m_date,($G$2+27),m_active,1,m_start,"&lt;"&amp;840,m_end,"&gt;"&amp;780)=0,"",IF(COUNTIFS(m_teacher,AU$4,m_date,($G$2+27),m_active,1,m_start,"&lt;"&amp;840,m_end,"&gt;"&amp;780)&gt;1,"충돌",HYPERLINK("#'관리자_MASTER'!D"&amp;_xlfn.MAXIFS(m_row,m_teacher,AU$4,m_date,($G$2+27),m_active,1,m_start,"&lt;"&amp;840,m_end,"&gt;"&amp;780),INDEX(m_label,_xlfn.MAXIFS(m_row,m_teacher,AU$4,m_date,($G$2+27),m_active,1,m_start,"&lt;"&amp;840,m_end,"&gt;"&amp;780))))))</f>
        <v/>
      </c>
      <c r="AV75" s="82" t="str">
        <f aca="false">IF(OR(AV$4="",MONTH(($G$2+27))&lt;&gt;MONTH($C$2)),"",IF(COUNTIFS(m_teacher,AV$4,m_date,($G$2+27),m_active,1,m_start,"&lt;"&amp;840,m_end,"&gt;"&amp;780)=0,"",IF(COUNTIFS(m_teacher,AV$4,m_date,($G$2+27),m_active,1,m_start,"&lt;"&amp;840,m_end,"&gt;"&amp;780)&gt;1,"충돌",HYPERLINK("#'관리자_MASTER'!D"&amp;_xlfn.MAXIFS(m_row,m_teacher,AV$4,m_date,($G$2+27),m_active,1,m_start,"&lt;"&amp;840,m_end,"&gt;"&amp;780),INDEX(m_label,_xlfn.MAXIFS(m_row,m_teacher,AV$4,m_date,($G$2+27),m_active,1,m_start,"&lt;"&amp;840,m_end,"&gt;"&amp;780))))))</f>
        <v/>
      </c>
      <c r="AW75" s="82" t="str">
        <f aca="false">IF(OR(AW$4="",MONTH(($G$2+27))&lt;&gt;MONTH($C$2)),"",IF(COUNTIFS(m_teacher,AW$4,m_date,($G$2+27),m_active,1,m_start,"&lt;"&amp;840,m_end,"&gt;"&amp;780)=0,"",IF(COUNTIFS(m_teacher,AW$4,m_date,($G$2+27),m_active,1,m_start,"&lt;"&amp;840,m_end,"&gt;"&amp;780)&gt;1,"충돌",HYPERLINK("#'관리자_MASTER'!D"&amp;_xlfn.MAXIFS(m_row,m_teacher,AW$4,m_date,($G$2+27),m_active,1,m_start,"&lt;"&amp;840,m_end,"&gt;"&amp;780),INDEX(m_label,_xlfn.MAXIFS(m_row,m_teacher,AW$4,m_date,($G$2+27),m_active,1,m_start,"&lt;"&amp;840,m_end,"&gt;"&amp;780))))))</f>
        <v/>
      </c>
      <c r="AX75" s="82" t="str">
        <f aca="false">IF(OR(AX$4="",MONTH(($G$2+27))&lt;&gt;MONTH($C$2)),"",IF(COUNTIFS(m_teacher,AX$4,m_date,($G$2+27),m_active,1,m_start,"&lt;"&amp;840,m_end,"&gt;"&amp;780)=0,"",IF(COUNTIFS(m_teacher,AX$4,m_date,($G$2+27),m_active,1,m_start,"&lt;"&amp;840,m_end,"&gt;"&amp;780)&gt;1,"충돌",HYPERLINK("#'관리자_MASTER'!D"&amp;_xlfn.MAXIFS(m_row,m_teacher,AX$4,m_date,($G$2+27),m_active,1,m_start,"&lt;"&amp;840,m_end,"&gt;"&amp;780),INDEX(m_label,_xlfn.MAXIFS(m_row,m_teacher,AX$4,m_date,($G$2+27),m_active,1,m_start,"&lt;"&amp;840,m_end,"&gt;"&amp;780))))))</f>
        <v/>
      </c>
      <c r="AY75" s="82" t="str">
        <f aca="false">IF(OR(AY$4="",MONTH(($G$2+27))&lt;&gt;MONTH($C$2)),"",IF(COUNTIFS(m_teacher,AY$4,m_date,($G$2+27),m_active,1,m_start,"&lt;"&amp;840,m_end,"&gt;"&amp;780)=0,"",IF(COUNTIFS(m_teacher,AY$4,m_date,($G$2+27),m_active,1,m_start,"&lt;"&amp;840,m_end,"&gt;"&amp;780)&gt;1,"충돌",HYPERLINK("#'관리자_MASTER'!D"&amp;_xlfn.MAXIFS(m_row,m_teacher,AY$4,m_date,($G$2+27),m_active,1,m_start,"&lt;"&amp;840,m_end,"&gt;"&amp;780),INDEX(m_label,_xlfn.MAXIFS(m_row,m_teacher,AY$4,m_date,($G$2+27),m_active,1,m_start,"&lt;"&amp;840,m_end,"&gt;"&amp;780))))))</f>
        <v/>
      </c>
      <c r="AZ75" s="82" t="str">
        <f aca="false">IF(OR(AZ$4="",MONTH(($G$2+27))&lt;&gt;MONTH($C$2)),"",IF(COUNTIFS(m_teacher,AZ$4,m_date,($G$2+27),m_active,1,m_start,"&lt;"&amp;840,m_end,"&gt;"&amp;780)=0,"",IF(COUNTIFS(m_teacher,AZ$4,m_date,($G$2+27),m_active,1,m_start,"&lt;"&amp;840,m_end,"&gt;"&amp;780)&gt;1,"충돌",HYPERLINK("#'관리자_MASTER'!D"&amp;_xlfn.MAXIFS(m_row,m_teacher,AZ$4,m_date,($G$2+27),m_active,1,m_start,"&lt;"&amp;840,m_end,"&gt;"&amp;780),INDEX(m_label,_xlfn.MAXIFS(m_row,m_teacher,AZ$4,m_date,($G$2+27),m_active,1,m_start,"&lt;"&amp;840,m_end,"&gt;"&amp;780))))))</f>
        <v/>
      </c>
      <c r="BA75" s="82" t="str">
        <f aca="false">IF(OR(BA$4="",MONTH(($G$2+27))&lt;&gt;MONTH($C$2)),"",IF(COUNTIFS(m_teacher,BA$4,m_date,($G$2+27),m_active,1,m_start,"&lt;"&amp;840,m_end,"&gt;"&amp;780)=0,"",IF(COUNTIFS(m_teacher,BA$4,m_date,($G$2+27),m_active,1,m_start,"&lt;"&amp;840,m_end,"&gt;"&amp;780)&gt;1,"충돌",HYPERLINK("#'관리자_MASTER'!D"&amp;_xlfn.MAXIFS(m_row,m_teacher,BA$4,m_date,($G$2+27),m_active,1,m_start,"&lt;"&amp;840,m_end,"&gt;"&amp;780),INDEX(m_label,_xlfn.MAXIFS(m_row,m_teacher,BA$4,m_date,($G$2+27),m_active,1,m_start,"&lt;"&amp;840,m_end,"&gt;"&amp;780))))))</f>
        <v/>
      </c>
      <c r="BB75" s="82" t="str">
        <f aca="false">IF(OR(BB$4="",MONTH(($G$2+27))&lt;&gt;MONTH($C$2)),"",IF(COUNTIFS(m_teacher,BB$4,m_date,($G$2+27),m_active,1,m_start,"&lt;"&amp;840,m_end,"&gt;"&amp;780)=0,"",IF(COUNTIFS(m_teacher,BB$4,m_date,($G$2+27),m_active,1,m_start,"&lt;"&amp;840,m_end,"&gt;"&amp;780)&gt;1,"충돌",HYPERLINK("#'관리자_MASTER'!D"&amp;_xlfn.MAXIFS(m_row,m_teacher,BB$4,m_date,($G$2+27),m_active,1,m_start,"&lt;"&amp;840,m_end,"&gt;"&amp;780),INDEX(m_label,_xlfn.MAXIFS(m_row,m_teacher,BB$4,m_date,($G$2+27),m_active,1,m_start,"&lt;"&amp;840,m_end,"&gt;"&amp;780))))))</f>
        <v/>
      </c>
      <c r="BC75" s="82" t="str">
        <f aca="false">IF(OR(BC$4="",MONTH(($G$2+27))&lt;&gt;MONTH($C$2)),"",IF(COUNTIFS(m_teacher,BC$4,m_date,($G$2+27),m_active,1,m_start,"&lt;"&amp;840,m_end,"&gt;"&amp;780)=0,"",IF(COUNTIFS(m_teacher,BC$4,m_date,($G$2+27),m_active,1,m_start,"&lt;"&amp;840,m_end,"&gt;"&amp;780)&gt;1,"충돌",HYPERLINK("#'관리자_MASTER'!D"&amp;_xlfn.MAXIFS(m_row,m_teacher,BC$4,m_date,($G$2+27),m_active,1,m_start,"&lt;"&amp;840,m_end,"&gt;"&amp;780),INDEX(m_label,_xlfn.MAXIFS(m_row,m_teacher,BC$4,m_date,($G$2+27),m_active,1,m_start,"&lt;"&amp;840,m_end,"&gt;"&amp;780))))))</f>
        <v/>
      </c>
      <c r="BD75" s="82" t="str">
        <f aca="false">IF(OR(BD$4="",MONTH(($G$2+27))&lt;&gt;MONTH($C$2)),"",IF(COUNTIFS(m_teacher,BD$4,m_date,($G$2+27),m_active,1,m_start,"&lt;"&amp;840,m_end,"&gt;"&amp;780)=0,"",IF(COUNTIFS(m_teacher,BD$4,m_date,($G$2+27),m_active,1,m_start,"&lt;"&amp;840,m_end,"&gt;"&amp;780)&gt;1,"충돌",HYPERLINK("#'관리자_MASTER'!D"&amp;_xlfn.MAXIFS(m_row,m_teacher,BD$4,m_date,($G$2+27),m_active,1,m_start,"&lt;"&amp;840,m_end,"&gt;"&amp;780),INDEX(m_label,_xlfn.MAXIFS(m_row,m_teacher,BD$4,m_date,($G$2+27),m_active,1,m_start,"&lt;"&amp;840,m_end,"&gt;"&amp;780))))))</f>
        <v/>
      </c>
      <c r="BE75" s="93"/>
      <c r="BF75" s="76" t="s">
        <v>95</v>
      </c>
      <c r="BG75" s="81" t="str">
        <f aca="false">IF(OR(BG$4="",MONTH(($G$2+34))&lt;&gt;MONTH($C$2)),"",IF(COUNTIFS(m_teacher,BG$4,m_date,($G$2+34),m_active,1,m_start,"&lt;"&amp;840,m_end,"&gt;"&amp;780)=0,"",IF(COUNTIFS(m_teacher,BG$4,m_date,($G$2+34),m_active,1,m_start,"&lt;"&amp;840,m_end,"&gt;"&amp;780)&gt;1,"충돌",HYPERLINK("#'관리자_MASTER'!D"&amp;_xlfn.MAXIFS(m_row,m_teacher,BG$4,m_date,($G$2+34),m_active,1,m_start,"&lt;"&amp;840,m_end,"&gt;"&amp;780),INDEX(m_label,_xlfn.MAXIFS(m_row,m_teacher,BG$4,m_date,($G$2+34),m_active,1,m_start,"&lt;"&amp;840,m_end,"&gt;"&amp;780))))))</f>
        <v/>
      </c>
      <c r="BH75" s="81" t="str">
        <f aca="false">IF(OR(BH$4="",MONTH(($G$2+34))&lt;&gt;MONTH($C$2)),"",IF(COUNTIFS(m_teacher,BH$4,m_date,($G$2+34),m_active,1,m_start,"&lt;"&amp;840,m_end,"&gt;"&amp;780)=0,"",IF(COUNTIFS(m_teacher,BH$4,m_date,($G$2+34),m_active,1,m_start,"&lt;"&amp;840,m_end,"&gt;"&amp;780)&gt;1,"충돌",HYPERLINK("#'관리자_MASTER'!D"&amp;_xlfn.MAXIFS(m_row,m_teacher,BH$4,m_date,($G$2+34),m_active,1,m_start,"&lt;"&amp;840,m_end,"&gt;"&amp;780),INDEX(m_label,_xlfn.MAXIFS(m_row,m_teacher,BH$4,m_date,($G$2+34),m_active,1,m_start,"&lt;"&amp;840,m_end,"&gt;"&amp;780))))))</f>
        <v/>
      </c>
      <c r="BI75" s="81" t="str">
        <f aca="false">IF(OR(BI$4="",MONTH(($G$2+34))&lt;&gt;MONTH($C$2)),"",IF(COUNTIFS(m_teacher,BI$4,m_date,($G$2+34),m_active,1,m_start,"&lt;"&amp;840,m_end,"&gt;"&amp;780)=0,"",IF(COUNTIFS(m_teacher,BI$4,m_date,($G$2+34),m_active,1,m_start,"&lt;"&amp;840,m_end,"&gt;"&amp;780)&gt;1,"충돌",HYPERLINK("#'관리자_MASTER'!D"&amp;_xlfn.MAXIFS(m_row,m_teacher,BI$4,m_date,($G$2+34),m_active,1,m_start,"&lt;"&amp;840,m_end,"&gt;"&amp;780),INDEX(m_label,_xlfn.MAXIFS(m_row,m_teacher,BI$4,m_date,($G$2+34),m_active,1,m_start,"&lt;"&amp;840,m_end,"&gt;"&amp;780))))))</f>
        <v/>
      </c>
      <c r="BJ75" s="81" t="str">
        <f aca="false">IF(OR(BJ$4="",MONTH(($G$2+34))&lt;&gt;MONTH($C$2)),"",IF(COUNTIFS(m_teacher,BJ$4,m_date,($G$2+34),m_active,1,m_start,"&lt;"&amp;840,m_end,"&gt;"&amp;780)=0,"",IF(COUNTIFS(m_teacher,BJ$4,m_date,($G$2+34),m_active,1,m_start,"&lt;"&amp;840,m_end,"&gt;"&amp;780)&gt;1,"충돌",HYPERLINK("#'관리자_MASTER'!D"&amp;_xlfn.MAXIFS(m_row,m_teacher,BJ$4,m_date,($G$2+34),m_active,1,m_start,"&lt;"&amp;840,m_end,"&gt;"&amp;780),INDEX(m_label,_xlfn.MAXIFS(m_row,m_teacher,BJ$4,m_date,($G$2+34),m_active,1,m_start,"&lt;"&amp;840,m_end,"&gt;"&amp;780))))))</f>
        <v/>
      </c>
      <c r="BK75" s="81" t="str">
        <f aca="false">IF(OR(BK$4="",MONTH(($G$2+34))&lt;&gt;MONTH($C$2)),"",IF(COUNTIFS(m_teacher,BK$4,m_date,($G$2+34),m_active,1,m_start,"&lt;"&amp;840,m_end,"&gt;"&amp;780)=0,"",IF(COUNTIFS(m_teacher,BK$4,m_date,($G$2+34),m_active,1,m_start,"&lt;"&amp;840,m_end,"&gt;"&amp;780)&gt;1,"충돌",HYPERLINK("#'관리자_MASTER'!D"&amp;_xlfn.MAXIFS(m_row,m_teacher,BK$4,m_date,($G$2+34),m_active,1,m_start,"&lt;"&amp;840,m_end,"&gt;"&amp;780),INDEX(m_label,_xlfn.MAXIFS(m_row,m_teacher,BK$4,m_date,($G$2+34),m_active,1,m_start,"&lt;"&amp;840,m_end,"&gt;"&amp;780))))))</f>
        <v/>
      </c>
      <c r="BL75" s="81" t="str">
        <f aca="false">IF(OR(BL$4="",MONTH(($G$2+34))&lt;&gt;MONTH($C$2)),"",IF(COUNTIFS(m_teacher,BL$4,m_date,($G$2+34),m_active,1,m_start,"&lt;"&amp;840,m_end,"&gt;"&amp;780)=0,"",IF(COUNTIFS(m_teacher,BL$4,m_date,($G$2+34),m_active,1,m_start,"&lt;"&amp;840,m_end,"&gt;"&amp;780)&gt;1,"충돌",HYPERLINK("#'관리자_MASTER'!D"&amp;_xlfn.MAXIFS(m_row,m_teacher,BL$4,m_date,($G$2+34),m_active,1,m_start,"&lt;"&amp;840,m_end,"&gt;"&amp;780),INDEX(m_label,_xlfn.MAXIFS(m_row,m_teacher,BL$4,m_date,($G$2+34),m_active,1,m_start,"&lt;"&amp;840,m_end,"&gt;"&amp;780))))))</f>
        <v/>
      </c>
      <c r="BM75" s="81" t="str">
        <f aca="false">IF(OR(BM$4="",MONTH(($G$2+34))&lt;&gt;MONTH($C$2)),"",IF(COUNTIFS(m_teacher,BM$4,m_date,($G$2+34),m_active,1,m_start,"&lt;"&amp;840,m_end,"&gt;"&amp;780)=0,"",IF(COUNTIFS(m_teacher,BM$4,m_date,($G$2+34),m_active,1,m_start,"&lt;"&amp;840,m_end,"&gt;"&amp;780)&gt;1,"충돌",HYPERLINK("#'관리자_MASTER'!D"&amp;_xlfn.MAXIFS(m_row,m_teacher,BM$4,m_date,($G$2+34),m_active,1,m_start,"&lt;"&amp;840,m_end,"&gt;"&amp;780),INDEX(m_label,_xlfn.MAXIFS(m_row,m_teacher,BM$4,m_date,($G$2+34),m_active,1,m_start,"&lt;"&amp;840,m_end,"&gt;"&amp;780))))))</f>
        <v/>
      </c>
      <c r="BN75" s="81" t="str">
        <f aca="false">IF(OR(BN$4="",MONTH(($G$2+34))&lt;&gt;MONTH($C$2)),"",IF(COUNTIFS(m_teacher,BN$4,m_date,($G$2+34),m_active,1,m_start,"&lt;"&amp;840,m_end,"&gt;"&amp;780)=0,"",IF(COUNTIFS(m_teacher,BN$4,m_date,($G$2+34),m_active,1,m_start,"&lt;"&amp;840,m_end,"&gt;"&amp;780)&gt;1,"충돌",HYPERLINK("#'관리자_MASTER'!D"&amp;_xlfn.MAXIFS(m_row,m_teacher,BN$4,m_date,($G$2+34),m_active,1,m_start,"&lt;"&amp;840,m_end,"&gt;"&amp;780),INDEX(m_label,_xlfn.MAXIFS(m_row,m_teacher,BN$4,m_date,($G$2+34),m_active,1,m_start,"&lt;"&amp;840,m_end,"&gt;"&amp;780))))))</f>
        <v/>
      </c>
      <c r="BO75" s="81" t="str">
        <f aca="false">IF(OR(BO$4="",MONTH(($G$2+34))&lt;&gt;MONTH($C$2)),"",IF(COUNTIFS(m_teacher,BO$4,m_date,($G$2+34),m_active,1,m_start,"&lt;"&amp;840,m_end,"&gt;"&amp;780)=0,"",IF(COUNTIFS(m_teacher,BO$4,m_date,($G$2+34),m_active,1,m_start,"&lt;"&amp;840,m_end,"&gt;"&amp;780)&gt;1,"충돌",HYPERLINK("#'관리자_MASTER'!D"&amp;_xlfn.MAXIFS(m_row,m_teacher,BO$4,m_date,($G$2+34),m_active,1,m_start,"&lt;"&amp;840,m_end,"&gt;"&amp;780),INDEX(m_label,_xlfn.MAXIFS(m_row,m_teacher,BO$4,m_date,($G$2+34),m_active,1,m_start,"&lt;"&amp;840,m_end,"&gt;"&amp;780))))))</f>
        <v/>
      </c>
      <c r="BP75" s="81" t="str">
        <f aca="false">IF(OR(BP$4="",MONTH(($G$2+34))&lt;&gt;MONTH($C$2)),"",IF(COUNTIFS(m_teacher,BP$4,m_date,($G$2+34),m_active,1,m_start,"&lt;"&amp;840,m_end,"&gt;"&amp;780)=0,"",IF(COUNTIFS(m_teacher,BP$4,m_date,($G$2+34),m_active,1,m_start,"&lt;"&amp;840,m_end,"&gt;"&amp;780)&gt;1,"충돌",HYPERLINK("#'관리자_MASTER'!D"&amp;_xlfn.MAXIFS(m_row,m_teacher,BP$4,m_date,($G$2+34),m_active,1,m_start,"&lt;"&amp;840,m_end,"&gt;"&amp;780),INDEX(m_label,_xlfn.MAXIFS(m_row,m_teacher,BP$4,m_date,($G$2+34),m_active,1,m_start,"&lt;"&amp;840,m_end,"&gt;"&amp;780))))))</f>
        <v/>
      </c>
      <c r="BQ75" s="81" t="str">
        <f aca="false">IF(OR(BQ$4="",MONTH(($G$2+34))&lt;&gt;MONTH($C$2)),"",IF(COUNTIFS(m_teacher,BQ$4,m_date,($G$2+34),m_active,1,m_start,"&lt;"&amp;840,m_end,"&gt;"&amp;780)=0,"",IF(COUNTIFS(m_teacher,BQ$4,m_date,($G$2+34),m_active,1,m_start,"&lt;"&amp;840,m_end,"&gt;"&amp;780)&gt;1,"충돌",HYPERLINK("#'관리자_MASTER'!D"&amp;_xlfn.MAXIFS(m_row,m_teacher,BQ$4,m_date,($G$2+34),m_active,1,m_start,"&lt;"&amp;840,m_end,"&gt;"&amp;780),INDEX(m_label,_xlfn.MAXIFS(m_row,m_teacher,BQ$4,m_date,($G$2+34),m_active,1,m_start,"&lt;"&amp;840,m_end,"&gt;"&amp;780))))))</f>
        <v/>
      </c>
      <c r="BR75" s="81" t="str">
        <f aca="false">IF(OR(BR$4="",MONTH(($G$2+34))&lt;&gt;MONTH($C$2)),"",IF(COUNTIFS(m_teacher,BR$4,m_date,($G$2+34),m_active,1,m_start,"&lt;"&amp;840,m_end,"&gt;"&amp;780)=0,"",IF(COUNTIFS(m_teacher,BR$4,m_date,($G$2+34),m_active,1,m_start,"&lt;"&amp;840,m_end,"&gt;"&amp;780)&gt;1,"충돌",HYPERLINK("#'관리자_MASTER'!D"&amp;_xlfn.MAXIFS(m_row,m_teacher,BR$4,m_date,($G$2+34),m_active,1,m_start,"&lt;"&amp;840,m_end,"&gt;"&amp;780),INDEX(m_label,_xlfn.MAXIFS(m_row,m_teacher,BR$4,m_date,($G$2+34),m_active,1,m_start,"&lt;"&amp;840,m_end,"&gt;"&amp;780))))))</f>
        <v/>
      </c>
    </row>
    <row r="76" customFormat="false" ht="19.5" hidden="false" customHeight="true" outlineLevel="0" collapsed="false">
      <c r="A76" s="92"/>
      <c r="B76" s="79" t="s">
        <v>96</v>
      </c>
      <c r="C76" s="82" t="str">
        <f aca="false">IF(OR(C$4="",MONTH(($G$2+6))&lt;&gt;MONTH($C$2)),"",IF(COUNTIFS(m_teacher,C$4,m_date,($G$2+6),m_active,1,m_start,"&lt;"&amp;900,m_end,"&gt;"&amp;840)=0,"",IF(COUNTIFS(m_teacher,C$4,m_date,($G$2+6),m_active,1,m_start,"&lt;"&amp;900,m_end,"&gt;"&amp;840)&gt;1,"충돌",HYPERLINK("#'관리자_MASTER'!D"&amp;_xlfn.MAXIFS(m_row,m_teacher,C$4,m_date,($G$2+6),m_active,1,m_start,"&lt;"&amp;900,m_end,"&gt;"&amp;840),INDEX(m_label,_xlfn.MAXIFS(m_row,m_teacher,C$4,m_date,($G$2+6),m_active,1,m_start,"&lt;"&amp;900,m_end,"&gt;"&amp;840))))))</f>
        <v/>
      </c>
      <c r="D76" s="82" t="str">
        <f aca="false">IF(OR(D$4="",MONTH(($G$2+6))&lt;&gt;MONTH($C$2)),"",IF(COUNTIFS(m_teacher,D$4,m_date,($G$2+6),m_active,1,m_start,"&lt;"&amp;900,m_end,"&gt;"&amp;840)=0,"",IF(COUNTIFS(m_teacher,D$4,m_date,($G$2+6),m_active,1,m_start,"&lt;"&amp;900,m_end,"&gt;"&amp;840)&gt;1,"충돌",HYPERLINK("#'관리자_MASTER'!D"&amp;_xlfn.MAXIFS(m_row,m_teacher,D$4,m_date,($G$2+6),m_active,1,m_start,"&lt;"&amp;900,m_end,"&gt;"&amp;840),INDEX(m_label,_xlfn.MAXIFS(m_row,m_teacher,D$4,m_date,($G$2+6),m_active,1,m_start,"&lt;"&amp;900,m_end,"&gt;"&amp;840))))))</f>
        <v/>
      </c>
      <c r="E76" s="82" t="str">
        <f aca="false">IF(OR(E$4="",MONTH(($G$2+6))&lt;&gt;MONTH($C$2)),"",IF(COUNTIFS(m_teacher,E$4,m_date,($G$2+6),m_active,1,m_start,"&lt;"&amp;900,m_end,"&gt;"&amp;840)=0,"",IF(COUNTIFS(m_teacher,E$4,m_date,($G$2+6),m_active,1,m_start,"&lt;"&amp;900,m_end,"&gt;"&amp;840)&gt;1,"충돌",HYPERLINK("#'관리자_MASTER'!D"&amp;_xlfn.MAXIFS(m_row,m_teacher,E$4,m_date,($G$2+6),m_active,1,m_start,"&lt;"&amp;900,m_end,"&gt;"&amp;840),INDEX(m_label,_xlfn.MAXIFS(m_row,m_teacher,E$4,m_date,($G$2+6),m_active,1,m_start,"&lt;"&amp;900,m_end,"&gt;"&amp;840))))))</f>
        <v/>
      </c>
      <c r="F76" s="82" t="str">
        <f aca="false">IF(OR(F$4="",MONTH(($G$2+6))&lt;&gt;MONTH($C$2)),"",IF(COUNTIFS(m_teacher,F$4,m_date,($G$2+6),m_active,1,m_start,"&lt;"&amp;900,m_end,"&gt;"&amp;840)=0,"",IF(COUNTIFS(m_teacher,F$4,m_date,($G$2+6),m_active,1,m_start,"&lt;"&amp;900,m_end,"&gt;"&amp;840)&gt;1,"충돌",HYPERLINK("#'관리자_MASTER'!D"&amp;_xlfn.MAXIFS(m_row,m_teacher,F$4,m_date,($G$2+6),m_active,1,m_start,"&lt;"&amp;900,m_end,"&gt;"&amp;840),INDEX(m_label,_xlfn.MAXIFS(m_row,m_teacher,F$4,m_date,($G$2+6),m_active,1,m_start,"&lt;"&amp;900,m_end,"&gt;"&amp;840))))))</f>
        <v/>
      </c>
      <c r="G76" s="82" t="str">
        <f aca="false">IF(OR(G$4="",MONTH(($G$2+6))&lt;&gt;MONTH($C$2)),"",IF(COUNTIFS(m_teacher,G$4,m_date,($G$2+6),m_active,1,m_start,"&lt;"&amp;900,m_end,"&gt;"&amp;840)=0,"",IF(COUNTIFS(m_teacher,G$4,m_date,($G$2+6),m_active,1,m_start,"&lt;"&amp;900,m_end,"&gt;"&amp;840)&gt;1,"충돌",HYPERLINK("#'관리자_MASTER'!D"&amp;_xlfn.MAXIFS(m_row,m_teacher,G$4,m_date,($G$2+6),m_active,1,m_start,"&lt;"&amp;900,m_end,"&gt;"&amp;840),INDEX(m_label,_xlfn.MAXIFS(m_row,m_teacher,G$4,m_date,($G$2+6),m_active,1,m_start,"&lt;"&amp;900,m_end,"&gt;"&amp;840))))))</f>
        <v/>
      </c>
      <c r="H76" s="82" t="str">
        <f aca="false">IF(OR(H$4="",MONTH(($G$2+6))&lt;&gt;MONTH($C$2)),"",IF(COUNTIFS(m_teacher,H$4,m_date,($G$2+6),m_active,1,m_start,"&lt;"&amp;900,m_end,"&gt;"&amp;840)=0,"",IF(COUNTIFS(m_teacher,H$4,m_date,($G$2+6),m_active,1,m_start,"&lt;"&amp;900,m_end,"&gt;"&amp;840)&gt;1,"충돌",HYPERLINK("#'관리자_MASTER'!D"&amp;_xlfn.MAXIFS(m_row,m_teacher,H$4,m_date,($G$2+6),m_active,1,m_start,"&lt;"&amp;900,m_end,"&gt;"&amp;840),INDEX(m_label,_xlfn.MAXIFS(m_row,m_teacher,H$4,m_date,($G$2+6),m_active,1,m_start,"&lt;"&amp;900,m_end,"&gt;"&amp;840))))))</f>
        <v/>
      </c>
      <c r="I76" s="82" t="str">
        <f aca="false">IF(OR(I$4="",MONTH(($G$2+6))&lt;&gt;MONTH($C$2)),"",IF(COUNTIFS(m_teacher,I$4,m_date,($G$2+6),m_active,1,m_start,"&lt;"&amp;900,m_end,"&gt;"&amp;840)=0,"",IF(COUNTIFS(m_teacher,I$4,m_date,($G$2+6),m_active,1,m_start,"&lt;"&amp;900,m_end,"&gt;"&amp;840)&gt;1,"충돌",HYPERLINK("#'관리자_MASTER'!D"&amp;_xlfn.MAXIFS(m_row,m_teacher,I$4,m_date,($G$2+6),m_active,1,m_start,"&lt;"&amp;900,m_end,"&gt;"&amp;840),INDEX(m_label,_xlfn.MAXIFS(m_row,m_teacher,I$4,m_date,($G$2+6),m_active,1,m_start,"&lt;"&amp;900,m_end,"&gt;"&amp;840))))))</f>
        <v/>
      </c>
      <c r="J76" s="82" t="str">
        <f aca="false">IF(OR(J$4="",MONTH(($G$2+6))&lt;&gt;MONTH($C$2)),"",IF(COUNTIFS(m_teacher,J$4,m_date,($G$2+6),m_active,1,m_start,"&lt;"&amp;900,m_end,"&gt;"&amp;840)=0,"",IF(COUNTIFS(m_teacher,J$4,m_date,($G$2+6),m_active,1,m_start,"&lt;"&amp;900,m_end,"&gt;"&amp;840)&gt;1,"충돌",HYPERLINK("#'관리자_MASTER'!D"&amp;_xlfn.MAXIFS(m_row,m_teacher,J$4,m_date,($G$2+6),m_active,1,m_start,"&lt;"&amp;900,m_end,"&gt;"&amp;840),INDEX(m_label,_xlfn.MAXIFS(m_row,m_teacher,J$4,m_date,($G$2+6),m_active,1,m_start,"&lt;"&amp;900,m_end,"&gt;"&amp;840))))))</f>
        <v/>
      </c>
      <c r="K76" s="82" t="str">
        <f aca="false">IF(OR(K$4="",MONTH(($G$2+6))&lt;&gt;MONTH($C$2)),"",IF(COUNTIFS(m_teacher,K$4,m_date,($G$2+6),m_active,1,m_start,"&lt;"&amp;900,m_end,"&gt;"&amp;840)=0,"",IF(COUNTIFS(m_teacher,K$4,m_date,($G$2+6),m_active,1,m_start,"&lt;"&amp;900,m_end,"&gt;"&amp;840)&gt;1,"충돌",HYPERLINK("#'관리자_MASTER'!D"&amp;_xlfn.MAXIFS(m_row,m_teacher,K$4,m_date,($G$2+6),m_active,1,m_start,"&lt;"&amp;900,m_end,"&gt;"&amp;840),INDEX(m_label,_xlfn.MAXIFS(m_row,m_teacher,K$4,m_date,($G$2+6),m_active,1,m_start,"&lt;"&amp;900,m_end,"&gt;"&amp;840))))))</f>
        <v/>
      </c>
      <c r="L76" s="82" t="str">
        <f aca="false">IF(OR(L$4="",MONTH(($G$2+6))&lt;&gt;MONTH($C$2)),"",IF(COUNTIFS(m_teacher,L$4,m_date,($G$2+6),m_active,1,m_start,"&lt;"&amp;900,m_end,"&gt;"&amp;840)=0,"",IF(COUNTIFS(m_teacher,L$4,m_date,($G$2+6),m_active,1,m_start,"&lt;"&amp;900,m_end,"&gt;"&amp;840)&gt;1,"충돌",HYPERLINK("#'관리자_MASTER'!D"&amp;_xlfn.MAXIFS(m_row,m_teacher,L$4,m_date,($G$2+6),m_active,1,m_start,"&lt;"&amp;900,m_end,"&gt;"&amp;840),INDEX(m_label,_xlfn.MAXIFS(m_row,m_teacher,L$4,m_date,($G$2+6),m_active,1,m_start,"&lt;"&amp;900,m_end,"&gt;"&amp;840))))))</f>
        <v/>
      </c>
      <c r="M76" s="82" t="str">
        <f aca="false">IF(OR(M$4="",MONTH(($G$2+6))&lt;&gt;MONTH($C$2)),"",IF(COUNTIFS(m_teacher,M$4,m_date,($G$2+6),m_active,1,m_start,"&lt;"&amp;900,m_end,"&gt;"&amp;840)=0,"",IF(COUNTIFS(m_teacher,M$4,m_date,($G$2+6),m_active,1,m_start,"&lt;"&amp;900,m_end,"&gt;"&amp;840)&gt;1,"충돌",HYPERLINK("#'관리자_MASTER'!D"&amp;_xlfn.MAXIFS(m_row,m_teacher,M$4,m_date,($G$2+6),m_active,1,m_start,"&lt;"&amp;900,m_end,"&gt;"&amp;840),INDEX(m_label,_xlfn.MAXIFS(m_row,m_teacher,M$4,m_date,($G$2+6),m_active,1,m_start,"&lt;"&amp;900,m_end,"&gt;"&amp;840))))))</f>
        <v/>
      </c>
      <c r="N76" s="82" t="str">
        <f aca="false">IF(OR(N$4="",MONTH(($G$2+6))&lt;&gt;MONTH($C$2)),"",IF(COUNTIFS(m_teacher,N$4,m_date,($G$2+6),m_active,1,m_start,"&lt;"&amp;900,m_end,"&gt;"&amp;840)=0,"",IF(COUNTIFS(m_teacher,N$4,m_date,($G$2+6),m_active,1,m_start,"&lt;"&amp;900,m_end,"&gt;"&amp;840)&gt;1,"충돌",HYPERLINK("#'관리자_MASTER'!D"&amp;_xlfn.MAXIFS(m_row,m_teacher,N$4,m_date,($G$2+6),m_active,1,m_start,"&lt;"&amp;900,m_end,"&gt;"&amp;840),INDEX(m_label,_xlfn.MAXIFS(m_row,m_teacher,N$4,m_date,($G$2+6),m_active,1,m_start,"&lt;"&amp;900,m_end,"&gt;"&amp;840))))))</f>
        <v/>
      </c>
      <c r="O76" s="92"/>
      <c r="P76" s="79" t="s">
        <v>96</v>
      </c>
      <c r="Q76" s="82" t="str">
        <f aca="false">IF(OR(Q$4="",MONTH(($G$2+13))&lt;&gt;MONTH($C$2)),"",IF(COUNTIFS(m_teacher,Q$4,m_date,($G$2+13),m_active,1,m_start,"&lt;"&amp;900,m_end,"&gt;"&amp;840)=0,"",IF(COUNTIFS(m_teacher,Q$4,m_date,($G$2+13),m_active,1,m_start,"&lt;"&amp;900,m_end,"&gt;"&amp;840)&gt;1,"충돌",HYPERLINK("#'관리자_MASTER'!D"&amp;_xlfn.MAXIFS(m_row,m_teacher,Q$4,m_date,($G$2+13),m_active,1,m_start,"&lt;"&amp;900,m_end,"&gt;"&amp;840),INDEX(m_label,_xlfn.MAXIFS(m_row,m_teacher,Q$4,m_date,($G$2+13),m_active,1,m_start,"&lt;"&amp;900,m_end,"&gt;"&amp;840))))))</f>
        <v/>
      </c>
      <c r="R76" s="82" t="str">
        <f aca="false">IF(OR(R$4="",MONTH(($G$2+13))&lt;&gt;MONTH($C$2)),"",IF(COUNTIFS(m_teacher,R$4,m_date,($G$2+13),m_active,1,m_start,"&lt;"&amp;900,m_end,"&gt;"&amp;840)=0,"",IF(COUNTIFS(m_teacher,R$4,m_date,($G$2+13),m_active,1,m_start,"&lt;"&amp;900,m_end,"&gt;"&amp;840)&gt;1,"충돌",HYPERLINK("#'관리자_MASTER'!D"&amp;_xlfn.MAXIFS(m_row,m_teacher,R$4,m_date,($G$2+13),m_active,1,m_start,"&lt;"&amp;900,m_end,"&gt;"&amp;840),INDEX(m_label,_xlfn.MAXIFS(m_row,m_teacher,R$4,m_date,($G$2+13),m_active,1,m_start,"&lt;"&amp;900,m_end,"&gt;"&amp;840))))))</f>
        <v/>
      </c>
      <c r="S76" s="82" t="str">
        <f aca="false">IF(OR(S$4="",MONTH(($G$2+13))&lt;&gt;MONTH($C$2)),"",IF(COUNTIFS(m_teacher,S$4,m_date,($G$2+13),m_active,1,m_start,"&lt;"&amp;900,m_end,"&gt;"&amp;840)=0,"",IF(COUNTIFS(m_teacher,S$4,m_date,($G$2+13),m_active,1,m_start,"&lt;"&amp;900,m_end,"&gt;"&amp;840)&gt;1,"충돌",HYPERLINK("#'관리자_MASTER'!D"&amp;_xlfn.MAXIFS(m_row,m_teacher,S$4,m_date,($G$2+13),m_active,1,m_start,"&lt;"&amp;900,m_end,"&gt;"&amp;840),INDEX(m_label,_xlfn.MAXIFS(m_row,m_teacher,S$4,m_date,($G$2+13),m_active,1,m_start,"&lt;"&amp;900,m_end,"&gt;"&amp;840))))))</f>
        <v/>
      </c>
      <c r="T76" s="82" t="str">
        <f aca="false">IF(OR(T$4="",MONTH(($G$2+13))&lt;&gt;MONTH($C$2)),"",IF(COUNTIFS(m_teacher,T$4,m_date,($G$2+13),m_active,1,m_start,"&lt;"&amp;900,m_end,"&gt;"&amp;840)=0,"",IF(COUNTIFS(m_teacher,T$4,m_date,($G$2+13),m_active,1,m_start,"&lt;"&amp;900,m_end,"&gt;"&amp;840)&gt;1,"충돌",HYPERLINK("#'관리자_MASTER'!D"&amp;_xlfn.MAXIFS(m_row,m_teacher,T$4,m_date,($G$2+13),m_active,1,m_start,"&lt;"&amp;900,m_end,"&gt;"&amp;840),INDEX(m_label,_xlfn.MAXIFS(m_row,m_teacher,T$4,m_date,($G$2+13),m_active,1,m_start,"&lt;"&amp;900,m_end,"&gt;"&amp;840))))))</f>
        <v/>
      </c>
      <c r="U76" s="82" t="str">
        <f aca="false">IF(OR(U$4="",MONTH(($G$2+13))&lt;&gt;MONTH($C$2)),"",IF(COUNTIFS(m_teacher,U$4,m_date,($G$2+13),m_active,1,m_start,"&lt;"&amp;900,m_end,"&gt;"&amp;840)=0,"",IF(COUNTIFS(m_teacher,U$4,m_date,($G$2+13),m_active,1,m_start,"&lt;"&amp;900,m_end,"&gt;"&amp;840)&gt;1,"충돌",HYPERLINK("#'관리자_MASTER'!D"&amp;_xlfn.MAXIFS(m_row,m_teacher,U$4,m_date,($G$2+13),m_active,1,m_start,"&lt;"&amp;900,m_end,"&gt;"&amp;840),INDEX(m_label,_xlfn.MAXIFS(m_row,m_teacher,U$4,m_date,($G$2+13),m_active,1,m_start,"&lt;"&amp;900,m_end,"&gt;"&amp;840))))))</f>
        <v/>
      </c>
      <c r="V76" s="82" t="str">
        <f aca="false">IF(OR(V$4="",MONTH(($G$2+13))&lt;&gt;MONTH($C$2)),"",IF(COUNTIFS(m_teacher,V$4,m_date,($G$2+13),m_active,1,m_start,"&lt;"&amp;900,m_end,"&gt;"&amp;840)=0,"",IF(COUNTIFS(m_teacher,V$4,m_date,($G$2+13),m_active,1,m_start,"&lt;"&amp;900,m_end,"&gt;"&amp;840)&gt;1,"충돌",HYPERLINK("#'관리자_MASTER'!D"&amp;_xlfn.MAXIFS(m_row,m_teacher,V$4,m_date,($G$2+13),m_active,1,m_start,"&lt;"&amp;900,m_end,"&gt;"&amp;840),INDEX(m_label,_xlfn.MAXIFS(m_row,m_teacher,V$4,m_date,($G$2+13),m_active,1,m_start,"&lt;"&amp;900,m_end,"&gt;"&amp;840))))))</f>
        <v/>
      </c>
      <c r="W76" s="82" t="str">
        <f aca="false">IF(OR(W$4="",MONTH(($G$2+13))&lt;&gt;MONTH($C$2)),"",IF(COUNTIFS(m_teacher,W$4,m_date,($G$2+13),m_active,1,m_start,"&lt;"&amp;900,m_end,"&gt;"&amp;840)=0,"",IF(COUNTIFS(m_teacher,W$4,m_date,($G$2+13),m_active,1,m_start,"&lt;"&amp;900,m_end,"&gt;"&amp;840)&gt;1,"충돌",HYPERLINK("#'관리자_MASTER'!D"&amp;_xlfn.MAXIFS(m_row,m_teacher,W$4,m_date,($G$2+13),m_active,1,m_start,"&lt;"&amp;900,m_end,"&gt;"&amp;840),INDEX(m_label,_xlfn.MAXIFS(m_row,m_teacher,W$4,m_date,($G$2+13),m_active,1,m_start,"&lt;"&amp;900,m_end,"&gt;"&amp;840))))))</f>
        <v/>
      </c>
      <c r="X76" s="82" t="str">
        <f aca="false">IF(OR(X$4="",MONTH(($G$2+13))&lt;&gt;MONTH($C$2)),"",IF(COUNTIFS(m_teacher,X$4,m_date,($G$2+13),m_active,1,m_start,"&lt;"&amp;900,m_end,"&gt;"&amp;840)=0,"",IF(COUNTIFS(m_teacher,X$4,m_date,($G$2+13),m_active,1,m_start,"&lt;"&amp;900,m_end,"&gt;"&amp;840)&gt;1,"충돌",HYPERLINK("#'관리자_MASTER'!D"&amp;_xlfn.MAXIFS(m_row,m_teacher,X$4,m_date,($G$2+13),m_active,1,m_start,"&lt;"&amp;900,m_end,"&gt;"&amp;840),INDEX(m_label,_xlfn.MAXIFS(m_row,m_teacher,X$4,m_date,($G$2+13),m_active,1,m_start,"&lt;"&amp;900,m_end,"&gt;"&amp;840))))))</f>
        <v/>
      </c>
      <c r="Y76" s="82" t="str">
        <f aca="false">IF(OR(Y$4="",MONTH(($G$2+13))&lt;&gt;MONTH($C$2)),"",IF(COUNTIFS(m_teacher,Y$4,m_date,($G$2+13),m_active,1,m_start,"&lt;"&amp;900,m_end,"&gt;"&amp;840)=0,"",IF(COUNTIFS(m_teacher,Y$4,m_date,($G$2+13),m_active,1,m_start,"&lt;"&amp;900,m_end,"&gt;"&amp;840)&gt;1,"충돌",HYPERLINK("#'관리자_MASTER'!D"&amp;_xlfn.MAXIFS(m_row,m_teacher,Y$4,m_date,($G$2+13),m_active,1,m_start,"&lt;"&amp;900,m_end,"&gt;"&amp;840),INDEX(m_label,_xlfn.MAXIFS(m_row,m_teacher,Y$4,m_date,($G$2+13),m_active,1,m_start,"&lt;"&amp;900,m_end,"&gt;"&amp;840))))))</f>
        <v/>
      </c>
      <c r="Z76" s="82" t="str">
        <f aca="false">IF(OR(Z$4="",MONTH(($G$2+13))&lt;&gt;MONTH($C$2)),"",IF(COUNTIFS(m_teacher,Z$4,m_date,($G$2+13),m_active,1,m_start,"&lt;"&amp;900,m_end,"&gt;"&amp;840)=0,"",IF(COUNTIFS(m_teacher,Z$4,m_date,($G$2+13),m_active,1,m_start,"&lt;"&amp;900,m_end,"&gt;"&amp;840)&gt;1,"충돌",HYPERLINK("#'관리자_MASTER'!D"&amp;_xlfn.MAXIFS(m_row,m_teacher,Z$4,m_date,($G$2+13),m_active,1,m_start,"&lt;"&amp;900,m_end,"&gt;"&amp;840),INDEX(m_label,_xlfn.MAXIFS(m_row,m_teacher,Z$4,m_date,($G$2+13),m_active,1,m_start,"&lt;"&amp;900,m_end,"&gt;"&amp;840))))))</f>
        <v/>
      </c>
      <c r="AA76" s="82" t="str">
        <f aca="false">IF(OR(AA$4="",MONTH(($G$2+13))&lt;&gt;MONTH($C$2)),"",IF(COUNTIFS(m_teacher,AA$4,m_date,($G$2+13),m_active,1,m_start,"&lt;"&amp;900,m_end,"&gt;"&amp;840)=0,"",IF(COUNTIFS(m_teacher,AA$4,m_date,($G$2+13),m_active,1,m_start,"&lt;"&amp;900,m_end,"&gt;"&amp;840)&gt;1,"충돌",HYPERLINK("#'관리자_MASTER'!D"&amp;_xlfn.MAXIFS(m_row,m_teacher,AA$4,m_date,($G$2+13),m_active,1,m_start,"&lt;"&amp;900,m_end,"&gt;"&amp;840),INDEX(m_label,_xlfn.MAXIFS(m_row,m_teacher,AA$4,m_date,($G$2+13),m_active,1,m_start,"&lt;"&amp;900,m_end,"&gt;"&amp;840))))))</f>
        <v/>
      </c>
      <c r="AB76" s="82" t="str">
        <f aca="false">IF(OR(AB$4="",MONTH(($G$2+13))&lt;&gt;MONTH($C$2)),"",IF(COUNTIFS(m_teacher,AB$4,m_date,($G$2+13),m_active,1,m_start,"&lt;"&amp;900,m_end,"&gt;"&amp;840)=0,"",IF(COUNTIFS(m_teacher,AB$4,m_date,($G$2+13),m_active,1,m_start,"&lt;"&amp;900,m_end,"&gt;"&amp;840)&gt;1,"충돌",HYPERLINK("#'관리자_MASTER'!D"&amp;_xlfn.MAXIFS(m_row,m_teacher,AB$4,m_date,($G$2+13),m_active,1,m_start,"&lt;"&amp;900,m_end,"&gt;"&amp;840),INDEX(m_label,_xlfn.MAXIFS(m_row,m_teacher,AB$4,m_date,($G$2+13),m_active,1,m_start,"&lt;"&amp;900,m_end,"&gt;"&amp;840))))))</f>
        <v/>
      </c>
      <c r="AC76" s="92"/>
      <c r="AD76" s="79" t="s">
        <v>96</v>
      </c>
      <c r="AE76" s="82" t="str">
        <f aca="false">IF(OR(AE$4="",MONTH(($G$2+20))&lt;&gt;MONTH($C$2)),"",IF(COUNTIFS(m_teacher,AE$4,m_date,($G$2+20),m_active,1,m_start,"&lt;"&amp;900,m_end,"&gt;"&amp;840)=0,"",IF(COUNTIFS(m_teacher,AE$4,m_date,($G$2+20),m_active,1,m_start,"&lt;"&amp;900,m_end,"&gt;"&amp;840)&gt;1,"충돌",HYPERLINK("#'관리자_MASTER'!D"&amp;_xlfn.MAXIFS(m_row,m_teacher,AE$4,m_date,($G$2+20),m_active,1,m_start,"&lt;"&amp;900,m_end,"&gt;"&amp;840),INDEX(m_label,_xlfn.MAXIFS(m_row,m_teacher,AE$4,m_date,($G$2+20),m_active,1,m_start,"&lt;"&amp;900,m_end,"&gt;"&amp;840))))))</f>
        <v/>
      </c>
      <c r="AF76" s="82" t="str">
        <f aca="false">IF(OR(AF$4="",MONTH(($G$2+20))&lt;&gt;MONTH($C$2)),"",IF(COUNTIFS(m_teacher,AF$4,m_date,($G$2+20),m_active,1,m_start,"&lt;"&amp;900,m_end,"&gt;"&amp;840)=0,"",IF(COUNTIFS(m_teacher,AF$4,m_date,($G$2+20),m_active,1,m_start,"&lt;"&amp;900,m_end,"&gt;"&amp;840)&gt;1,"충돌",HYPERLINK("#'관리자_MASTER'!D"&amp;_xlfn.MAXIFS(m_row,m_teacher,AF$4,m_date,($G$2+20),m_active,1,m_start,"&lt;"&amp;900,m_end,"&gt;"&amp;840),INDEX(m_label,_xlfn.MAXIFS(m_row,m_teacher,AF$4,m_date,($G$2+20),m_active,1,m_start,"&lt;"&amp;900,m_end,"&gt;"&amp;840))))))</f>
        <v/>
      </c>
      <c r="AG76" s="82" t="str">
        <f aca="false">IF(OR(AG$4="",MONTH(($G$2+20))&lt;&gt;MONTH($C$2)),"",IF(COUNTIFS(m_teacher,AG$4,m_date,($G$2+20),m_active,1,m_start,"&lt;"&amp;900,m_end,"&gt;"&amp;840)=0,"",IF(COUNTIFS(m_teacher,AG$4,m_date,($G$2+20),m_active,1,m_start,"&lt;"&amp;900,m_end,"&gt;"&amp;840)&gt;1,"충돌",HYPERLINK("#'관리자_MASTER'!D"&amp;_xlfn.MAXIFS(m_row,m_teacher,AG$4,m_date,($G$2+20),m_active,1,m_start,"&lt;"&amp;900,m_end,"&gt;"&amp;840),INDEX(m_label,_xlfn.MAXIFS(m_row,m_teacher,AG$4,m_date,($G$2+20),m_active,1,m_start,"&lt;"&amp;900,m_end,"&gt;"&amp;840))))))</f>
        <v/>
      </c>
      <c r="AH76" s="82" t="str">
        <f aca="false">IF(OR(AH$4="",MONTH(($G$2+20))&lt;&gt;MONTH($C$2)),"",IF(COUNTIFS(m_teacher,AH$4,m_date,($G$2+20),m_active,1,m_start,"&lt;"&amp;900,m_end,"&gt;"&amp;840)=0,"",IF(COUNTIFS(m_teacher,AH$4,m_date,($G$2+20),m_active,1,m_start,"&lt;"&amp;900,m_end,"&gt;"&amp;840)&gt;1,"충돌",HYPERLINK("#'관리자_MASTER'!D"&amp;_xlfn.MAXIFS(m_row,m_teacher,AH$4,m_date,($G$2+20),m_active,1,m_start,"&lt;"&amp;900,m_end,"&gt;"&amp;840),INDEX(m_label,_xlfn.MAXIFS(m_row,m_teacher,AH$4,m_date,($G$2+20),m_active,1,m_start,"&lt;"&amp;900,m_end,"&gt;"&amp;840))))))</f>
        <v/>
      </c>
      <c r="AI76" s="82" t="str">
        <f aca="false">IF(OR(AI$4="",MONTH(($G$2+20))&lt;&gt;MONTH($C$2)),"",IF(COUNTIFS(m_teacher,AI$4,m_date,($G$2+20),m_active,1,m_start,"&lt;"&amp;900,m_end,"&gt;"&amp;840)=0,"",IF(COUNTIFS(m_teacher,AI$4,m_date,($G$2+20),m_active,1,m_start,"&lt;"&amp;900,m_end,"&gt;"&amp;840)&gt;1,"충돌",HYPERLINK("#'관리자_MASTER'!D"&amp;_xlfn.MAXIFS(m_row,m_teacher,AI$4,m_date,($G$2+20),m_active,1,m_start,"&lt;"&amp;900,m_end,"&gt;"&amp;840),INDEX(m_label,_xlfn.MAXIFS(m_row,m_teacher,AI$4,m_date,($G$2+20),m_active,1,m_start,"&lt;"&amp;900,m_end,"&gt;"&amp;840))))))</f>
        <v/>
      </c>
      <c r="AJ76" s="82" t="str">
        <f aca="false">IF(OR(AJ$4="",MONTH(($G$2+20))&lt;&gt;MONTH($C$2)),"",IF(COUNTIFS(m_teacher,AJ$4,m_date,($G$2+20),m_active,1,m_start,"&lt;"&amp;900,m_end,"&gt;"&amp;840)=0,"",IF(COUNTIFS(m_teacher,AJ$4,m_date,($G$2+20),m_active,1,m_start,"&lt;"&amp;900,m_end,"&gt;"&amp;840)&gt;1,"충돌",HYPERLINK("#'관리자_MASTER'!D"&amp;_xlfn.MAXIFS(m_row,m_teacher,AJ$4,m_date,($G$2+20),m_active,1,m_start,"&lt;"&amp;900,m_end,"&gt;"&amp;840),INDEX(m_label,_xlfn.MAXIFS(m_row,m_teacher,AJ$4,m_date,($G$2+20),m_active,1,m_start,"&lt;"&amp;900,m_end,"&gt;"&amp;840))))))</f>
        <v/>
      </c>
      <c r="AK76" s="82" t="str">
        <f aca="false">IF(OR(AK$4="",MONTH(($G$2+20))&lt;&gt;MONTH($C$2)),"",IF(COUNTIFS(m_teacher,AK$4,m_date,($G$2+20),m_active,1,m_start,"&lt;"&amp;900,m_end,"&gt;"&amp;840)=0,"",IF(COUNTIFS(m_teacher,AK$4,m_date,($G$2+20),m_active,1,m_start,"&lt;"&amp;900,m_end,"&gt;"&amp;840)&gt;1,"충돌",HYPERLINK("#'관리자_MASTER'!D"&amp;_xlfn.MAXIFS(m_row,m_teacher,AK$4,m_date,($G$2+20),m_active,1,m_start,"&lt;"&amp;900,m_end,"&gt;"&amp;840),INDEX(m_label,_xlfn.MAXIFS(m_row,m_teacher,AK$4,m_date,($G$2+20),m_active,1,m_start,"&lt;"&amp;900,m_end,"&gt;"&amp;840))))))</f>
        <v/>
      </c>
      <c r="AL76" s="82" t="str">
        <f aca="false">IF(OR(AL$4="",MONTH(($G$2+20))&lt;&gt;MONTH($C$2)),"",IF(COUNTIFS(m_teacher,AL$4,m_date,($G$2+20),m_active,1,m_start,"&lt;"&amp;900,m_end,"&gt;"&amp;840)=0,"",IF(COUNTIFS(m_teacher,AL$4,m_date,($G$2+20),m_active,1,m_start,"&lt;"&amp;900,m_end,"&gt;"&amp;840)&gt;1,"충돌",HYPERLINK("#'관리자_MASTER'!D"&amp;_xlfn.MAXIFS(m_row,m_teacher,AL$4,m_date,($G$2+20),m_active,1,m_start,"&lt;"&amp;900,m_end,"&gt;"&amp;840),INDEX(m_label,_xlfn.MAXIFS(m_row,m_teacher,AL$4,m_date,($G$2+20),m_active,1,m_start,"&lt;"&amp;900,m_end,"&gt;"&amp;840))))))</f>
        <v/>
      </c>
      <c r="AM76" s="82" t="str">
        <f aca="false">IF(OR(AM$4="",MONTH(($G$2+20))&lt;&gt;MONTH($C$2)),"",IF(COUNTIFS(m_teacher,AM$4,m_date,($G$2+20),m_active,1,m_start,"&lt;"&amp;900,m_end,"&gt;"&amp;840)=0,"",IF(COUNTIFS(m_teacher,AM$4,m_date,($G$2+20),m_active,1,m_start,"&lt;"&amp;900,m_end,"&gt;"&amp;840)&gt;1,"충돌",HYPERLINK("#'관리자_MASTER'!D"&amp;_xlfn.MAXIFS(m_row,m_teacher,AM$4,m_date,($G$2+20),m_active,1,m_start,"&lt;"&amp;900,m_end,"&gt;"&amp;840),INDEX(m_label,_xlfn.MAXIFS(m_row,m_teacher,AM$4,m_date,($G$2+20),m_active,1,m_start,"&lt;"&amp;900,m_end,"&gt;"&amp;840))))))</f>
        <v/>
      </c>
      <c r="AN76" s="82" t="str">
        <f aca="false">IF(OR(AN$4="",MONTH(($G$2+20))&lt;&gt;MONTH($C$2)),"",IF(COUNTIFS(m_teacher,AN$4,m_date,($G$2+20),m_active,1,m_start,"&lt;"&amp;900,m_end,"&gt;"&amp;840)=0,"",IF(COUNTIFS(m_teacher,AN$4,m_date,($G$2+20),m_active,1,m_start,"&lt;"&amp;900,m_end,"&gt;"&amp;840)&gt;1,"충돌",HYPERLINK("#'관리자_MASTER'!D"&amp;_xlfn.MAXIFS(m_row,m_teacher,AN$4,m_date,($G$2+20),m_active,1,m_start,"&lt;"&amp;900,m_end,"&gt;"&amp;840),INDEX(m_label,_xlfn.MAXIFS(m_row,m_teacher,AN$4,m_date,($G$2+20),m_active,1,m_start,"&lt;"&amp;900,m_end,"&gt;"&amp;840))))))</f>
        <v/>
      </c>
      <c r="AO76" s="82" t="str">
        <f aca="false">IF(OR(AO$4="",MONTH(($G$2+20))&lt;&gt;MONTH($C$2)),"",IF(COUNTIFS(m_teacher,AO$4,m_date,($G$2+20),m_active,1,m_start,"&lt;"&amp;900,m_end,"&gt;"&amp;840)=0,"",IF(COUNTIFS(m_teacher,AO$4,m_date,($G$2+20),m_active,1,m_start,"&lt;"&amp;900,m_end,"&gt;"&amp;840)&gt;1,"충돌",HYPERLINK("#'관리자_MASTER'!D"&amp;_xlfn.MAXIFS(m_row,m_teacher,AO$4,m_date,($G$2+20),m_active,1,m_start,"&lt;"&amp;900,m_end,"&gt;"&amp;840),INDEX(m_label,_xlfn.MAXIFS(m_row,m_teacher,AO$4,m_date,($G$2+20),m_active,1,m_start,"&lt;"&amp;900,m_end,"&gt;"&amp;840))))))</f>
        <v/>
      </c>
      <c r="AP76" s="82" t="str">
        <f aca="false">IF(OR(AP$4="",MONTH(($G$2+20))&lt;&gt;MONTH($C$2)),"",IF(COUNTIFS(m_teacher,AP$4,m_date,($G$2+20),m_active,1,m_start,"&lt;"&amp;900,m_end,"&gt;"&amp;840)=0,"",IF(COUNTIFS(m_teacher,AP$4,m_date,($G$2+20),m_active,1,m_start,"&lt;"&amp;900,m_end,"&gt;"&amp;840)&gt;1,"충돌",HYPERLINK("#'관리자_MASTER'!D"&amp;_xlfn.MAXIFS(m_row,m_teacher,AP$4,m_date,($G$2+20),m_active,1,m_start,"&lt;"&amp;900,m_end,"&gt;"&amp;840),INDEX(m_label,_xlfn.MAXIFS(m_row,m_teacher,AP$4,m_date,($G$2+20),m_active,1,m_start,"&lt;"&amp;900,m_end,"&gt;"&amp;840))))))</f>
        <v/>
      </c>
      <c r="AQ76" s="92"/>
      <c r="AR76" s="79" t="s">
        <v>96</v>
      </c>
      <c r="AS76" s="82" t="str">
        <f aca="false">IF(OR(AS$4="",MONTH(($G$2+27))&lt;&gt;MONTH($C$2)),"",IF(COUNTIFS(m_teacher,AS$4,m_date,($G$2+27),m_active,1,m_start,"&lt;"&amp;900,m_end,"&gt;"&amp;840)=0,"",IF(COUNTIFS(m_teacher,AS$4,m_date,($G$2+27),m_active,1,m_start,"&lt;"&amp;900,m_end,"&gt;"&amp;840)&gt;1,"충돌",HYPERLINK("#'관리자_MASTER'!D"&amp;_xlfn.MAXIFS(m_row,m_teacher,AS$4,m_date,($G$2+27),m_active,1,m_start,"&lt;"&amp;900,m_end,"&gt;"&amp;840),INDEX(m_label,_xlfn.MAXIFS(m_row,m_teacher,AS$4,m_date,($G$2+27),m_active,1,m_start,"&lt;"&amp;900,m_end,"&gt;"&amp;840))))))</f>
        <v/>
      </c>
      <c r="AT76" s="82" t="str">
        <f aca="false">IF(OR(AT$4="",MONTH(($G$2+27))&lt;&gt;MONTH($C$2)),"",IF(COUNTIFS(m_teacher,AT$4,m_date,($G$2+27),m_active,1,m_start,"&lt;"&amp;900,m_end,"&gt;"&amp;840)=0,"",IF(COUNTIFS(m_teacher,AT$4,m_date,($G$2+27),m_active,1,m_start,"&lt;"&amp;900,m_end,"&gt;"&amp;840)&gt;1,"충돌",HYPERLINK("#'관리자_MASTER'!D"&amp;_xlfn.MAXIFS(m_row,m_teacher,AT$4,m_date,($G$2+27),m_active,1,m_start,"&lt;"&amp;900,m_end,"&gt;"&amp;840),INDEX(m_label,_xlfn.MAXIFS(m_row,m_teacher,AT$4,m_date,($G$2+27),m_active,1,m_start,"&lt;"&amp;900,m_end,"&gt;"&amp;840))))))</f>
        <v/>
      </c>
      <c r="AU76" s="82" t="str">
        <f aca="false">IF(OR(AU$4="",MONTH(($G$2+27))&lt;&gt;MONTH($C$2)),"",IF(COUNTIFS(m_teacher,AU$4,m_date,($G$2+27),m_active,1,m_start,"&lt;"&amp;900,m_end,"&gt;"&amp;840)=0,"",IF(COUNTIFS(m_teacher,AU$4,m_date,($G$2+27),m_active,1,m_start,"&lt;"&amp;900,m_end,"&gt;"&amp;840)&gt;1,"충돌",HYPERLINK("#'관리자_MASTER'!D"&amp;_xlfn.MAXIFS(m_row,m_teacher,AU$4,m_date,($G$2+27),m_active,1,m_start,"&lt;"&amp;900,m_end,"&gt;"&amp;840),INDEX(m_label,_xlfn.MAXIFS(m_row,m_teacher,AU$4,m_date,($G$2+27),m_active,1,m_start,"&lt;"&amp;900,m_end,"&gt;"&amp;840))))))</f>
        <v/>
      </c>
      <c r="AV76" s="82" t="str">
        <f aca="false">IF(OR(AV$4="",MONTH(($G$2+27))&lt;&gt;MONTH($C$2)),"",IF(COUNTIFS(m_teacher,AV$4,m_date,($G$2+27),m_active,1,m_start,"&lt;"&amp;900,m_end,"&gt;"&amp;840)=0,"",IF(COUNTIFS(m_teacher,AV$4,m_date,($G$2+27),m_active,1,m_start,"&lt;"&amp;900,m_end,"&gt;"&amp;840)&gt;1,"충돌",HYPERLINK("#'관리자_MASTER'!D"&amp;_xlfn.MAXIFS(m_row,m_teacher,AV$4,m_date,($G$2+27),m_active,1,m_start,"&lt;"&amp;900,m_end,"&gt;"&amp;840),INDEX(m_label,_xlfn.MAXIFS(m_row,m_teacher,AV$4,m_date,($G$2+27),m_active,1,m_start,"&lt;"&amp;900,m_end,"&gt;"&amp;840))))))</f>
        <v/>
      </c>
      <c r="AW76" s="82" t="str">
        <f aca="false">IF(OR(AW$4="",MONTH(($G$2+27))&lt;&gt;MONTH($C$2)),"",IF(COUNTIFS(m_teacher,AW$4,m_date,($G$2+27),m_active,1,m_start,"&lt;"&amp;900,m_end,"&gt;"&amp;840)=0,"",IF(COUNTIFS(m_teacher,AW$4,m_date,($G$2+27),m_active,1,m_start,"&lt;"&amp;900,m_end,"&gt;"&amp;840)&gt;1,"충돌",HYPERLINK("#'관리자_MASTER'!D"&amp;_xlfn.MAXIFS(m_row,m_teacher,AW$4,m_date,($G$2+27),m_active,1,m_start,"&lt;"&amp;900,m_end,"&gt;"&amp;840),INDEX(m_label,_xlfn.MAXIFS(m_row,m_teacher,AW$4,m_date,($G$2+27),m_active,1,m_start,"&lt;"&amp;900,m_end,"&gt;"&amp;840))))))</f>
        <v/>
      </c>
      <c r="AX76" s="82" t="str">
        <f aca="false">IF(OR(AX$4="",MONTH(($G$2+27))&lt;&gt;MONTH($C$2)),"",IF(COUNTIFS(m_teacher,AX$4,m_date,($G$2+27),m_active,1,m_start,"&lt;"&amp;900,m_end,"&gt;"&amp;840)=0,"",IF(COUNTIFS(m_teacher,AX$4,m_date,($G$2+27),m_active,1,m_start,"&lt;"&amp;900,m_end,"&gt;"&amp;840)&gt;1,"충돌",HYPERLINK("#'관리자_MASTER'!D"&amp;_xlfn.MAXIFS(m_row,m_teacher,AX$4,m_date,($G$2+27),m_active,1,m_start,"&lt;"&amp;900,m_end,"&gt;"&amp;840),INDEX(m_label,_xlfn.MAXIFS(m_row,m_teacher,AX$4,m_date,($G$2+27),m_active,1,m_start,"&lt;"&amp;900,m_end,"&gt;"&amp;840))))))</f>
        <v/>
      </c>
      <c r="AY76" s="82" t="str">
        <f aca="false">IF(OR(AY$4="",MONTH(($G$2+27))&lt;&gt;MONTH($C$2)),"",IF(COUNTIFS(m_teacher,AY$4,m_date,($G$2+27),m_active,1,m_start,"&lt;"&amp;900,m_end,"&gt;"&amp;840)=0,"",IF(COUNTIFS(m_teacher,AY$4,m_date,($G$2+27),m_active,1,m_start,"&lt;"&amp;900,m_end,"&gt;"&amp;840)&gt;1,"충돌",HYPERLINK("#'관리자_MASTER'!D"&amp;_xlfn.MAXIFS(m_row,m_teacher,AY$4,m_date,($G$2+27),m_active,1,m_start,"&lt;"&amp;900,m_end,"&gt;"&amp;840),INDEX(m_label,_xlfn.MAXIFS(m_row,m_teacher,AY$4,m_date,($G$2+27),m_active,1,m_start,"&lt;"&amp;900,m_end,"&gt;"&amp;840))))))</f>
        <v/>
      </c>
      <c r="AZ76" s="82" t="str">
        <f aca="false">IF(OR(AZ$4="",MONTH(($G$2+27))&lt;&gt;MONTH($C$2)),"",IF(COUNTIFS(m_teacher,AZ$4,m_date,($G$2+27),m_active,1,m_start,"&lt;"&amp;900,m_end,"&gt;"&amp;840)=0,"",IF(COUNTIFS(m_teacher,AZ$4,m_date,($G$2+27),m_active,1,m_start,"&lt;"&amp;900,m_end,"&gt;"&amp;840)&gt;1,"충돌",HYPERLINK("#'관리자_MASTER'!D"&amp;_xlfn.MAXIFS(m_row,m_teacher,AZ$4,m_date,($G$2+27),m_active,1,m_start,"&lt;"&amp;900,m_end,"&gt;"&amp;840),INDEX(m_label,_xlfn.MAXIFS(m_row,m_teacher,AZ$4,m_date,($G$2+27),m_active,1,m_start,"&lt;"&amp;900,m_end,"&gt;"&amp;840))))))</f>
        <v/>
      </c>
      <c r="BA76" s="82" t="str">
        <f aca="false">IF(OR(BA$4="",MONTH(($G$2+27))&lt;&gt;MONTH($C$2)),"",IF(COUNTIFS(m_teacher,BA$4,m_date,($G$2+27),m_active,1,m_start,"&lt;"&amp;900,m_end,"&gt;"&amp;840)=0,"",IF(COUNTIFS(m_teacher,BA$4,m_date,($G$2+27),m_active,1,m_start,"&lt;"&amp;900,m_end,"&gt;"&amp;840)&gt;1,"충돌",HYPERLINK("#'관리자_MASTER'!D"&amp;_xlfn.MAXIFS(m_row,m_teacher,BA$4,m_date,($G$2+27),m_active,1,m_start,"&lt;"&amp;900,m_end,"&gt;"&amp;840),INDEX(m_label,_xlfn.MAXIFS(m_row,m_teacher,BA$4,m_date,($G$2+27),m_active,1,m_start,"&lt;"&amp;900,m_end,"&gt;"&amp;840))))))</f>
        <v/>
      </c>
      <c r="BB76" s="82" t="str">
        <f aca="false">IF(OR(BB$4="",MONTH(($G$2+27))&lt;&gt;MONTH($C$2)),"",IF(COUNTIFS(m_teacher,BB$4,m_date,($G$2+27),m_active,1,m_start,"&lt;"&amp;900,m_end,"&gt;"&amp;840)=0,"",IF(COUNTIFS(m_teacher,BB$4,m_date,($G$2+27),m_active,1,m_start,"&lt;"&amp;900,m_end,"&gt;"&amp;840)&gt;1,"충돌",HYPERLINK("#'관리자_MASTER'!D"&amp;_xlfn.MAXIFS(m_row,m_teacher,BB$4,m_date,($G$2+27),m_active,1,m_start,"&lt;"&amp;900,m_end,"&gt;"&amp;840),INDEX(m_label,_xlfn.MAXIFS(m_row,m_teacher,BB$4,m_date,($G$2+27),m_active,1,m_start,"&lt;"&amp;900,m_end,"&gt;"&amp;840))))))</f>
        <v/>
      </c>
      <c r="BC76" s="82" t="str">
        <f aca="false">IF(OR(BC$4="",MONTH(($G$2+27))&lt;&gt;MONTH($C$2)),"",IF(COUNTIFS(m_teacher,BC$4,m_date,($G$2+27),m_active,1,m_start,"&lt;"&amp;900,m_end,"&gt;"&amp;840)=0,"",IF(COUNTIFS(m_teacher,BC$4,m_date,($G$2+27),m_active,1,m_start,"&lt;"&amp;900,m_end,"&gt;"&amp;840)&gt;1,"충돌",HYPERLINK("#'관리자_MASTER'!D"&amp;_xlfn.MAXIFS(m_row,m_teacher,BC$4,m_date,($G$2+27),m_active,1,m_start,"&lt;"&amp;900,m_end,"&gt;"&amp;840),INDEX(m_label,_xlfn.MAXIFS(m_row,m_teacher,BC$4,m_date,($G$2+27),m_active,1,m_start,"&lt;"&amp;900,m_end,"&gt;"&amp;840))))))</f>
        <v/>
      </c>
      <c r="BD76" s="82" t="str">
        <f aca="false">IF(OR(BD$4="",MONTH(($G$2+27))&lt;&gt;MONTH($C$2)),"",IF(COUNTIFS(m_teacher,BD$4,m_date,($G$2+27),m_active,1,m_start,"&lt;"&amp;900,m_end,"&gt;"&amp;840)=0,"",IF(COUNTIFS(m_teacher,BD$4,m_date,($G$2+27),m_active,1,m_start,"&lt;"&amp;900,m_end,"&gt;"&amp;840)&gt;1,"충돌",HYPERLINK("#'관리자_MASTER'!D"&amp;_xlfn.MAXIFS(m_row,m_teacher,BD$4,m_date,($G$2+27),m_active,1,m_start,"&lt;"&amp;900,m_end,"&gt;"&amp;840),INDEX(m_label,_xlfn.MAXIFS(m_row,m_teacher,BD$4,m_date,($G$2+27),m_active,1,m_start,"&lt;"&amp;900,m_end,"&gt;"&amp;840))))))</f>
        <v/>
      </c>
      <c r="BE76" s="93"/>
      <c r="BF76" s="76" t="s">
        <v>96</v>
      </c>
      <c r="BG76" s="81" t="str">
        <f aca="false">IF(OR(BG$4="",MONTH(($G$2+34))&lt;&gt;MONTH($C$2)),"",IF(COUNTIFS(m_teacher,BG$4,m_date,($G$2+34),m_active,1,m_start,"&lt;"&amp;900,m_end,"&gt;"&amp;840)=0,"",IF(COUNTIFS(m_teacher,BG$4,m_date,($G$2+34),m_active,1,m_start,"&lt;"&amp;900,m_end,"&gt;"&amp;840)&gt;1,"충돌",HYPERLINK("#'관리자_MASTER'!D"&amp;_xlfn.MAXIFS(m_row,m_teacher,BG$4,m_date,($G$2+34),m_active,1,m_start,"&lt;"&amp;900,m_end,"&gt;"&amp;840),INDEX(m_label,_xlfn.MAXIFS(m_row,m_teacher,BG$4,m_date,($G$2+34),m_active,1,m_start,"&lt;"&amp;900,m_end,"&gt;"&amp;840))))))</f>
        <v/>
      </c>
      <c r="BH76" s="81" t="str">
        <f aca="false">IF(OR(BH$4="",MONTH(($G$2+34))&lt;&gt;MONTH($C$2)),"",IF(COUNTIFS(m_teacher,BH$4,m_date,($G$2+34),m_active,1,m_start,"&lt;"&amp;900,m_end,"&gt;"&amp;840)=0,"",IF(COUNTIFS(m_teacher,BH$4,m_date,($G$2+34),m_active,1,m_start,"&lt;"&amp;900,m_end,"&gt;"&amp;840)&gt;1,"충돌",HYPERLINK("#'관리자_MASTER'!D"&amp;_xlfn.MAXIFS(m_row,m_teacher,BH$4,m_date,($G$2+34),m_active,1,m_start,"&lt;"&amp;900,m_end,"&gt;"&amp;840),INDEX(m_label,_xlfn.MAXIFS(m_row,m_teacher,BH$4,m_date,($G$2+34),m_active,1,m_start,"&lt;"&amp;900,m_end,"&gt;"&amp;840))))))</f>
        <v/>
      </c>
      <c r="BI76" s="81" t="str">
        <f aca="false">IF(OR(BI$4="",MONTH(($G$2+34))&lt;&gt;MONTH($C$2)),"",IF(COUNTIFS(m_teacher,BI$4,m_date,($G$2+34),m_active,1,m_start,"&lt;"&amp;900,m_end,"&gt;"&amp;840)=0,"",IF(COUNTIFS(m_teacher,BI$4,m_date,($G$2+34),m_active,1,m_start,"&lt;"&amp;900,m_end,"&gt;"&amp;840)&gt;1,"충돌",HYPERLINK("#'관리자_MASTER'!D"&amp;_xlfn.MAXIFS(m_row,m_teacher,BI$4,m_date,($G$2+34),m_active,1,m_start,"&lt;"&amp;900,m_end,"&gt;"&amp;840),INDEX(m_label,_xlfn.MAXIFS(m_row,m_teacher,BI$4,m_date,($G$2+34),m_active,1,m_start,"&lt;"&amp;900,m_end,"&gt;"&amp;840))))))</f>
        <v/>
      </c>
      <c r="BJ76" s="81" t="str">
        <f aca="false">IF(OR(BJ$4="",MONTH(($G$2+34))&lt;&gt;MONTH($C$2)),"",IF(COUNTIFS(m_teacher,BJ$4,m_date,($G$2+34),m_active,1,m_start,"&lt;"&amp;900,m_end,"&gt;"&amp;840)=0,"",IF(COUNTIFS(m_teacher,BJ$4,m_date,($G$2+34),m_active,1,m_start,"&lt;"&amp;900,m_end,"&gt;"&amp;840)&gt;1,"충돌",HYPERLINK("#'관리자_MASTER'!D"&amp;_xlfn.MAXIFS(m_row,m_teacher,BJ$4,m_date,($G$2+34),m_active,1,m_start,"&lt;"&amp;900,m_end,"&gt;"&amp;840),INDEX(m_label,_xlfn.MAXIFS(m_row,m_teacher,BJ$4,m_date,($G$2+34),m_active,1,m_start,"&lt;"&amp;900,m_end,"&gt;"&amp;840))))))</f>
        <v/>
      </c>
      <c r="BK76" s="81" t="str">
        <f aca="false">IF(OR(BK$4="",MONTH(($G$2+34))&lt;&gt;MONTH($C$2)),"",IF(COUNTIFS(m_teacher,BK$4,m_date,($G$2+34),m_active,1,m_start,"&lt;"&amp;900,m_end,"&gt;"&amp;840)=0,"",IF(COUNTIFS(m_teacher,BK$4,m_date,($G$2+34),m_active,1,m_start,"&lt;"&amp;900,m_end,"&gt;"&amp;840)&gt;1,"충돌",HYPERLINK("#'관리자_MASTER'!D"&amp;_xlfn.MAXIFS(m_row,m_teacher,BK$4,m_date,($G$2+34),m_active,1,m_start,"&lt;"&amp;900,m_end,"&gt;"&amp;840),INDEX(m_label,_xlfn.MAXIFS(m_row,m_teacher,BK$4,m_date,($G$2+34),m_active,1,m_start,"&lt;"&amp;900,m_end,"&gt;"&amp;840))))))</f>
        <v/>
      </c>
      <c r="BL76" s="81" t="str">
        <f aca="false">IF(OR(BL$4="",MONTH(($G$2+34))&lt;&gt;MONTH($C$2)),"",IF(COUNTIFS(m_teacher,BL$4,m_date,($G$2+34),m_active,1,m_start,"&lt;"&amp;900,m_end,"&gt;"&amp;840)=0,"",IF(COUNTIFS(m_teacher,BL$4,m_date,($G$2+34),m_active,1,m_start,"&lt;"&amp;900,m_end,"&gt;"&amp;840)&gt;1,"충돌",HYPERLINK("#'관리자_MASTER'!D"&amp;_xlfn.MAXIFS(m_row,m_teacher,BL$4,m_date,($G$2+34),m_active,1,m_start,"&lt;"&amp;900,m_end,"&gt;"&amp;840),INDEX(m_label,_xlfn.MAXIFS(m_row,m_teacher,BL$4,m_date,($G$2+34),m_active,1,m_start,"&lt;"&amp;900,m_end,"&gt;"&amp;840))))))</f>
        <v/>
      </c>
      <c r="BM76" s="81" t="str">
        <f aca="false">IF(OR(BM$4="",MONTH(($G$2+34))&lt;&gt;MONTH($C$2)),"",IF(COUNTIFS(m_teacher,BM$4,m_date,($G$2+34),m_active,1,m_start,"&lt;"&amp;900,m_end,"&gt;"&amp;840)=0,"",IF(COUNTIFS(m_teacher,BM$4,m_date,($G$2+34),m_active,1,m_start,"&lt;"&amp;900,m_end,"&gt;"&amp;840)&gt;1,"충돌",HYPERLINK("#'관리자_MASTER'!D"&amp;_xlfn.MAXIFS(m_row,m_teacher,BM$4,m_date,($G$2+34),m_active,1,m_start,"&lt;"&amp;900,m_end,"&gt;"&amp;840),INDEX(m_label,_xlfn.MAXIFS(m_row,m_teacher,BM$4,m_date,($G$2+34),m_active,1,m_start,"&lt;"&amp;900,m_end,"&gt;"&amp;840))))))</f>
        <v/>
      </c>
      <c r="BN76" s="81" t="str">
        <f aca="false">IF(OR(BN$4="",MONTH(($G$2+34))&lt;&gt;MONTH($C$2)),"",IF(COUNTIFS(m_teacher,BN$4,m_date,($G$2+34),m_active,1,m_start,"&lt;"&amp;900,m_end,"&gt;"&amp;840)=0,"",IF(COUNTIFS(m_teacher,BN$4,m_date,($G$2+34),m_active,1,m_start,"&lt;"&amp;900,m_end,"&gt;"&amp;840)&gt;1,"충돌",HYPERLINK("#'관리자_MASTER'!D"&amp;_xlfn.MAXIFS(m_row,m_teacher,BN$4,m_date,($G$2+34),m_active,1,m_start,"&lt;"&amp;900,m_end,"&gt;"&amp;840),INDEX(m_label,_xlfn.MAXIFS(m_row,m_teacher,BN$4,m_date,($G$2+34),m_active,1,m_start,"&lt;"&amp;900,m_end,"&gt;"&amp;840))))))</f>
        <v/>
      </c>
      <c r="BO76" s="81" t="str">
        <f aca="false">IF(OR(BO$4="",MONTH(($G$2+34))&lt;&gt;MONTH($C$2)),"",IF(COUNTIFS(m_teacher,BO$4,m_date,($G$2+34),m_active,1,m_start,"&lt;"&amp;900,m_end,"&gt;"&amp;840)=0,"",IF(COUNTIFS(m_teacher,BO$4,m_date,($G$2+34),m_active,1,m_start,"&lt;"&amp;900,m_end,"&gt;"&amp;840)&gt;1,"충돌",HYPERLINK("#'관리자_MASTER'!D"&amp;_xlfn.MAXIFS(m_row,m_teacher,BO$4,m_date,($G$2+34),m_active,1,m_start,"&lt;"&amp;900,m_end,"&gt;"&amp;840),INDEX(m_label,_xlfn.MAXIFS(m_row,m_teacher,BO$4,m_date,($G$2+34),m_active,1,m_start,"&lt;"&amp;900,m_end,"&gt;"&amp;840))))))</f>
        <v/>
      </c>
      <c r="BP76" s="81" t="str">
        <f aca="false">IF(OR(BP$4="",MONTH(($G$2+34))&lt;&gt;MONTH($C$2)),"",IF(COUNTIFS(m_teacher,BP$4,m_date,($G$2+34),m_active,1,m_start,"&lt;"&amp;900,m_end,"&gt;"&amp;840)=0,"",IF(COUNTIFS(m_teacher,BP$4,m_date,($G$2+34),m_active,1,m_start,"&lt;"&amp;900,m_end,"&gt;"&amp;840)&gt;1,"충돌",HYPERLINK("#'관리자_MASTER'!D"&amp;_xlfn.MAXIFS(m_row,m_teacher,BP$4,m_date,($G$2+34),m_active,1,m_start,"&lt;"&amp;900,m_end,"&gt;"&amp;840),INDEX(m_label,_xlfn.MAXIFS(m_row,m_teacher,BP$4,m_date,($G$2+34),m_active,1,m_start,"&lt;"&amp;900,m_end,"&gt;"&amp;840))))))</f>
        <v/>
      </c>
      <c r="BQ76" s="81" t="str">
        <f aca="false">IF(OR(BQ$4="",MONTH(($G$2+34))&lt;&gt;MONTH($C$2)),"",IF(COUNTIFS(m_teacher,BQ$4,m_date,($G$2+34),m_active,1,m_start,"&lt;"&amp;900,m_end,"&gt;"&amp;840)=0,"",IF(COUNTIFS(m_teacher,BQ$4,m_date,($G$2+34),m_active,1,m_start,"&lt;"&amp;900,m_end,"&gt;"&amp;840)&gt;1,"충돌",HYPERLINK("#'관리자_MASTER'!D"&amp;_xlfn.MAXIFS(m_row,m_teacher,BQ$4,m_date,($G$2+34),m_active,1,m_start,"&lt;"&amp;900,m_end,"&gt;"&amp;840),INDEX(m_label,_xlfn.MAXIFS(m_row,m_teacher,BQ$4,m_date,($G$2+34),m_active,1,m_start,"&lt;"&amp;900,m_end,"&gt;"&amp;840))))))</f>
        <v/>
      </c>
      <c r="BR76" s="81" t="str">
        <f aca="false">IF(OR(BR$4="",MONTH(($G$2+34))&lt;&gt;MONTH($C$2)),"",IF(COUNTIFS(m_teacher,BR$4,m_date,($G$2+34),m_active,1,m_start,"&lt;"&amp;900,m_end,"&gt;"&amp;840)=0,"",IF(COUNTIFS(m_teacher,BR$4,m_date,($G$2+34),m_active,1,m_start,"&lt;"&amp;900,m_end,"&gt;"&amp;840)&gt;1,"충돌",HYPERLINK("#'관리자_MASTER'!D"&amp;_xlfn.MAXIFS(m_row,m_teacher,BR$4,m_date,($G$2+34),m_active,1,m_start,"&lt;"&amp;900,m_end,"&gt;"&amp;840),INDEX(m_label,_xlfn.MAXIFS(m_row,m_teacher,BR$4,m_date,($G$2+34),m_active,1,m_start,"&lt;"&amp;900,m_end,"&gt;"&amp;840))))))</f>
        <v/>
      </c>
    </row>
    <row r="77" customFormat="false" ht="19.5" hidden="false" customHeight="true" outlineLevel="0" collapsed="false">
      <c r="A77" s="92"/>
      <c r="B77" s="79" t="s">
        <v>97</v>
      </c>
      <c r="C77" s="82" t="str">
        <f aca="false">IF(OR(C$4="",MONTH(($G$2+6))&lt;&gt;MONTH($C$2)),"",IF(COUNTIFS(m_teacher,C$4,m_date,($G$2+6),m_active,1,m_start,"&lt;"&amp;960,m_end,"&gt;"&amp;900)=0,"",IF(COUNTIFS(m_teacher,C$4,m_date,($G$2+6),m_active,1,m_start,"&lt;"&amp;960,m_end,"&gt;"&amp;900)&gt;1,"충돌",HYPERLINK("#'관리자_MASTER'!D"&amp;_xlfn.MAXIFS(m_row,m_teacher,C$4,m_date,($G$2+6),m_active,1,m_start,"&lt;"&amp;960,m_end,"&gt;"&amp;900),INDEX(m_label,_xlfn.MAXIFS(m_row,m_teacher,C$4,m_date,($G$2+6),m_active,1,m_start,"&lt;"&amp;960,m_end,"&gt;"&amp;900))))))</f>
        <v/>
      </c>
      <c r="D77" s="82" t="str">
        <f aca="false">IF(OR(D$4="",MONTH(($G$2+6))&lt;&gt;MONTH($C$2)),"",IF(COUNTIFS(m_teacher,D$4,m_date,($G$2+6),m_active,1,m_start,"&lt;"&amp;960,m_end,"&gt;"&amp;900)=0,"",IF(COUNTIFS(m_teacher,D$4,m_date,($G$2+6),m_active,1,m_start,"&lt;"&amp;960,m_end,"&gt;"&amp;900)&gt;1,"충돌",HYPERLINK("#'관리자_MASTER'!D"&amp;_xlfn.MAXIFS(m_row,m_teacher,D$4,m_date,($G$2+6),m_active,1,m_start,"&lt;"&amp;960,m_end,"&gt;"&amp;900),INDEX(m_label,_xlfn.MAXIFS(m_row,m_teacher,D$4,m_date,($G$2+6),m_active,1,m_start,"&lt;"&amp;960,m_end,"&gt;"&amp;900))))))</f>
        <v/>
      </c>
      <c r="E77" s="82" t="str">
        <f aca="false">IF(OR(E$4="",MONTH(($G$2+6))&lt;&gt;MONTH($C$2)),"",IF(COUNTIFS(m_teacher,E$4,m_date,($G$2+6),m_active,1,m_start,"&lt;"&amp;960,m_end,"&gt;"&amp;900)=0,"",IF(COUNTIFS(m_teacher,E$4,m_date,($G$2+6),m_active,1,m_start,"&lt;"&amp;960,m_end,"&gt;"&amp;900)&gt;1,"충돌",HYPERLINK("#'관리자_MASTER'!D"&amp;_xlfn.MAXIFS(m_row,m_teacher,E$4,m_date,($G$2+6),m_active,1,m_start,"&lt;"&amp;960,m_end,"&gt;"&amp;900),INDEX(m_label,_xlfn.MAXIFS(m_row,m_teacher,E$4,m_date,($G$2+6),m_active,1,m_start,"&lt;"&amp;960,m_end,"&gt;"&amp;900))))))</f>
        <v/>
      </c>
      <c r="F77" s="82" t="str">
        <f aca="false">IF(OR(F$4="",MONTH(($G$2+6))&lt;&gt;MONTH($C$2)),"",IF(COUNTIFS(m_teacher,F$4,m_date,($G$2+6),m_active,1,m_start,"&lt;"&amp;960,m_end,"&gt;"&amp;900)=0,"",IF(COUNTIFS(m_teacher,F$4,m_date,($G$2+6),m_active,1,m_start,"&lt;"&amp;960,m_end,"&gt;"&amp;900)&gt;1,"충돌",HYPERLINK("#'관리자_MASTER'!D"&amp;_xlfn.MAXIFS(m_row,m_teacher,F$4,m_date,($G$2+6),m_active,1,m_start,"&lt;"&amp;960,m_end,"&gt;"&amp;900),INDEX(m_label,_xlfn.MAXIFS(m_row,m_teacher,F$4,m_date,($G$2+6),m_active,1,m_start,"&lt;"&amp;960,m_end,"&gt;"&amp;900))))))</f>
        <v/>
      </c>
      <c r="G77" s="82" t="str">
        <f aca="false">IF(OR(G$4="",MONTH(($G$2+6))&lt;&gt;MONTH($C$2)),"",IF(COUNTIFS(m_teacher,G$4,m_date,($G$2+6),m_active,1,m_start,"&lt;"&amp;960,m_end,"&gt;"&amp;900)=0,"",IF(COUNTIFS(m_teacher,G$4,m_date,($G$2+6),m_active,1,m_start,"&lt;"&amp;960,m_end,"&gt;"&amp;900)&gt;1,"충돌",HYPERLINK("#'관리자_MASTER'!D"&amp;_xlfn.MAXIFS(m_row,m_teacher,G$4,m_date,($G$2+6),m_active,1,m_start,"&lt;"&amp;960,m_end,"&gt;"&amp;900),INDEX(m_label,_xlfn.MAXIFS(m_row,m_teacher,G$4,m_date,($G$2+6),m_active,1,m_start,"&lt;"&amp;960,m_end,"&gt;"&amp;900))))))</f>
        <v/>
      </c>
      <c r="H77" s="82" t="str">
        <f aca="false">IF(OR(H$4="",MONTH(($G$2+6))&lt;&gt;MONTH($C$2)),"",IF(COUNTIFS(m_teacher,H$4,m_date,($G$2+6),m_active,1,m_start,"&lt;"&amp;960,m_end,"&gt;"&amp;900)=0,"",IF(COUNTIFS(m_teacher,H$4,m_date,($G$2+6),m_active,1,m_start,"&lt;"&amp;960,m_end,"&gt;"&amp;900)&gt;1,"충돌",HYPERLINK("#'관리자_MASTER'!D"&amp;_xlfn.MAXIFS(m_row,m_teacher,H$4,m_date,($G$2+6),m_active,1,m_start,"&lt;"&amp;960,m_end,"&gt;"&amp;900),INDEX(m_label,_xlfn.MAXIFS(m_row,m_teacher,H$4,m_date,($G$2+6),m_active,1,m_start,"&lt;"&amp;960,m_end,"&gt;"&amp;900))))))</f>
        <v/>
      </c>
      <c r="I77" s="82" t="str">
        <f aca="false">IF(OR(I$4="",MONTH(($G$2+6))&lt;&gt;MONTH($C$2)),"",IF(COUNTIFS(m_teacher,I$4,m_date,($G$2+6),m_active,1,m_start,"&lt;"&amp;960,m_end,"&gt;"&amp;900)=0,"",IF(COUNTIFS(m_teacher,I$4,m_date,($G$2+6),m_active,1,m_start,"&lt;"&amp;960,m_end,"&gt;"&amp;900)&gt;1,"충돌",HYPERLINK("#'관리자_MASTER'!D"&amp;_xlfn.MAXIFS(m_row,m_teacher,I$4,m_date,($G$2+6),m_active,1,m_start,"&lt;"&amp;960,m_end,"&gt;"&amp;900),INDEX(m_label,_xlfn.MAXIFS(m_row,m_teacher,I$4,m_date,($G$2+6),m_active,1,m_start,"&lt;"&amp;960,m_end,"&gt;"&amp;900))))))</f>
        <v/>
      </c>
      <c r="J77" s="82" t="str">
        <f aca="false">IF(OR(J$4="",MONTH(($G$2+6))&lt;&gt;MONTH($C$2)),"",IF(COUNTIFS(m_teacher,J$4,m_date,($G$2+6),m_active,1,m_start,"&lt;"&amp;960,m_end,"&gt;"&amp;900)=0,"",IF(COUNTIFS(m_teacher,J$4,m_date,($G$2+6),m_active,1,m_start,"&lt;"&amp;960,m_end,"&gt;"&amp;900)&gt;1,"충돌",HYPERLINK("#'관리자_MASTER'!D"&amp;_xlfn.MAXIFS(m_row,m_teacher,J$4,m_date,($G$2+6),m_active,1,m_start,"&lt;"&amp;960,m_end,"&gt;"&amp;900),INDEX(m_label,_xlfn.MAXIFS(m_row,m_teacher,J$4,m_date,($G$2+6),m_active,1,m_start,"&lt;"&amp;960,m_end,"&gt;"&amp;900))))))</f>
        <v/>
      </c>
      <c r="K77" s="82" t="str">
        <f aca="false">IF(OR(K$4="",MONTH(($G$2+6))&lt;&gt;MONTH($C$2)),"",IF(COUNTIFS(m_teacher,K$4,m_date,($G$2+6),m_active,1,m_start,"&lt;"&amp;960,m_end,"&gt;"&amp;900)=0,"",IF(COUNTIFS(m_teacher,K$4,m_date,($G$2+6),m_active,1,m_start,"&lt;"&amp;960,m_end,"&gt;"&amp;900)&gt;1,"충돌",HYPERLINK("#'관리자_MASTER'!D"&amp;_xlfn.MAXIFS(m_row,m_teacher,K$4,m_date,($G$2+6),m_active,1,m_start,"&lt;"&amp;960,m_end,"&gt;"&amp;900),INDEX(m_label,_xlfn.MAXIFS(m_row,m_teacher,K$4,m_date,($G$2+6),m_active,1,m_start,"&lt;"&amp;960,m_end,"&gt;"&amp;900))))))</f>
        <v/>
      </c>
      <c r="L77" s="82" t="str">
        <f aca="false">IF(OR(L$4="",MONTH(($G$2+6))&lt;&gt;MONTH($C$2)),"",IF(COUNTIFS(m_teacher,L$4,m_date,($G$2+6),m_active,1,m_start,"&lt;"&amp;960,m_end,"&gt;"&amp;900)=0,"",IF(COUNTIFS(m_teacher,L$4,m_date,($G$2+6),m_active,1,m_start,"&lt;"&amp;960,m_end,"&gt;"&amp;900)&gt;1,"충돌",HYPERLINK("#'관리자_MASTER'!D"&amp;_xlfn.MAXIFS(m_row,m_teacher,L$4,m_date,($G$2+6),m_active,1,m_start,"&lt;"&amp;960,m_end,"&gt;"&amp;900),INDEX(m_label,_xlfn.MAXIFS(m_row,m_teacher,L$4,m_date,($G$2+6),m_active,1,m_start,"&lt;"&amp;960,m_end,"&gt;"&amp;900))))))</f>
        <v/>
      </c>
      <c r="M77" s="82" t="str">
        <f aca="false">IF(OR(M$4="",MONTH(($G$2+6))&lt;&gt;MONTH($C$2)),"",IF(COUNTIFS(m_teacher,M$4,m_date,($G$2+6),m_active,1,m_start,"&lt;"&amp;960,m_end,"&gt;"&amp;900)=0,"",IF(COUNTIFS(m_teacher,M$4,m_date,($G$2+6),m_active,1,m_start,"&lt;"&amp;960,m_end,"&gt;"&amp;900)&gt;1,"충돌",HYPERLINK("#'관리자_MASTER'!D"&amp;_xlfn.MAXIFS(m_row,m_teacher,M$4,m_date,($G$2+6),m_active,1,m_start,"&lt;"&amp;960,m_end,"&gt;"&amp;900),INDEX(m_label,_xlfn.MAXIFS(m_row,m_teacher,M$4,m_date,($G$2+6),m_active,1,m_start,"&lt;"&amp;960,m_end,"&gt;"&amp;900))))))</f>
        <v/>
      </c>
      <c r="N77" s="82" t="str">
        <f aca="false">IF(OR(N$4="",MONTH(($G$2+6))&lt;&gt;MONTH($C$2)),"",IF(COUNTIFS(m_teacher,N$4,m_date,($G$2+6),m_active,1,m_start,"&lt;"&amp;960,m_end,"&gt;"&amp;900)=0,"",IF(COUNTIFS(m_teacher,N$4,m_date,($G$2+6),m_active,1,m_start,"&lt;"&amp;960,m_end,"&gt;"&amp;900)&gt;1,"충돌",HYPERLINK("#'관리자_MASTER'!D"&amp;_xlfn.MAXIFS(m_row,m_teacher,N$4,m_date,($G$2+6),m_active,1,m_start,"&lt;"&amp;960,m_end,"&gt;"&amp;900),INDEX(m_label,_xlfn.MAXIFS(m_row,m_teacher,N$4,m_date,($G$2+6),m_active,1,m_start,"&lt;"&amp;960,m_end,"&gt;"&amp;900))))))</f>
        <v/>
      </c>
      <c r="O77" s="92"/>
      <c r="P77" s="79" t="s">
        <v>97</v>
      </c>
      <c r="Q77" s="82" t="str">
        <f aca="false">IF(OR(Q$4="",MONTH(($G$2+13))&lt;&gt;MONTH($C$2)),"",IF(COUNTIFS(m_teacher,Q$4,m_date,($G$2+13),m_active,1,m_start,"&lt;"&amp;960,m_end,"&gt;"&amp;900)=0,"",IF(COUNTIFS(m_teacher,Q$4,m_date,($G$2+13),m_active,1,m_start,"&lt;"&amp;960,m_end,"&gt;"&amp;900)&gt;1,"충돌",HYPERLINK("#'관리자_MASTER'!D"&amp;_xlfn.MAXIFS(m_row,m_teacher,Q$4,m_date,($G$2+13),m_active,1,m_start,"&lt;"&amp;960,m_end,"&gt;"&amp;900),INDEX(m_label,_xlfn.MAXIFS(m_row,m_teacher,Q$4,m_date,($G$2+13),m_active,1,m_start,"&lt;"&amp;960,m_end,"&gt;"&amp;900))))))</f>
        <v/>
      </c>
      <c r="R77" s="82" t="str">
        <f aca="false">IF(OR(R$4="",MONTH(($G$2+13))&lt;&gt;MONTH($C$2)),"",IF(COUNTIFS(m_teacher,R$4,m_date,($G$2+13),m_active,1,m_start,"&lt;"&amp;960,m_end,"&gt;"&amp;900)=0,"",IF(COUNTIFS(m_teacher,R$4,m_date,($G$2+13),m_active,1,m_start,"&lt;"&amp;960,m_end,"&gt;"&amp;900)&gt;1,"충돌",HYPERLINK("#'관리자_MASTER'!D"&amp;_xlfn.MAXIFS(m_row,m_teacher,R$4,m_date,($G$2+13),m_active,1,m_start,"&lt;"&amp;960,m_end,"&gt;"&amp;900),INDEX(m_label,_xlfn.MAXIFS(m_row,m_teacher,R$4,m_date,($G$2+13),m_active,1,m_start,"&lt;"&amp;960,m_end,"&gt;"&amp;900))))))</f>
        <v/>
      </c>
      <c r="S77" s="82" t="str">
        <f aca="false">IF(OR(S$4="",MONTH(($G$2+13))&lt;&gt;MONTH($C$2)),"",IF(COUNTIFS(m_teacher,S$4,m_date,($G$2+13),m_active,1,m_start,"&lt;"&amp;960,m_end,"&gt;"&amp;900)=0,"",IF(COUNTIFS(m_teacher,S$4,m_date,($G$2+13),m_active,1,m_start,"&lt;"&amp;960,m_end,"&gt;"&amp;900)&gt;1,"충돌",HYPERLINK("#'관리자_MASTER'!D"&amp;_xlfn.MAXIFS(m_row,m_teacher,S$4,m_date,($G$2+13),m_active,1,m_start,"&lt;"&amp;960,m_end,"&gt;"&amp;900),INDEX(m_label,_xlfn.MAXIFS(m_row,m_teacher,S$4,m_date,($G$2+13),m_active,1,m_start,"&lt;"&amp;960,m_end,"&gt;"&amp;900))))))</f>
        <v/>
      </c>
      <c r="T77" s="82" t="str">
        <f aca="false">IF(OR(T$4="",MONTH(($G$2+13))&lt;&gt;MONTH($C$2)),"",IF(COUNTIFS(m_teacher,T$4,m_date,($G$2+13),m_active,1,m_start,"&lt;"&amp;960,m_end,"&gt;"&amp;900)=0,"",IF(COUNTIFS(m_teacher,T$4,m_date,($G$2+13),m_active,1,m_start,"&lt;"&amp;960,m_end,"&gt;"&amp;900)&gt;1,"충돌",HYPERLINK("#'관리자_MASTER'!D"&amp;_xlfn.MAXIFS(m_row,m_teacher,T$4,m_date,($G$2+13),m_active,1,m_start,"&lt;"&amp;960,m_end,"&gt;"&amp;900),INDEX(m_label,_xlfn.MAXIFS(m_row,m_teacher,T$4,m_date,($G$2+13),m_active,1,m_start,"&lt;"&amp;960,m_end,"&gt;"&amp;900))))))</f>
        <v/>
      </c>
      <c r="U77" s="82" t="str">
        <f aca="false">IF(OR(U$4="",MONTH(($G$2+13))&lt;&gt;MONTH($C$2)),"",IF(COUNTIFS(m_teacher,U$4,m_date,($G$2+13),m_active,1,m_start,"&lt;"&amp;960,m_end,"&gt;"&amp;900)=0,"",IF(COUNTIFS(m_teacher,U$4,m_date,($G$2+13),m_active,1,m_start,"&lt;"&amp;960,m_end,"&gt;"&amp;900)&gt;1,"충돌",HYPERLINK("#'관리자_MASTER'!D"&amp;_xlfn.MAXIFS(m_row,m_teacher,U$4,m_date,($G$2+13),m_active,1,m_start,"&lt;"&amp;960,m_end,"&gt;"&amp;900),INDEX(m_label,_xlfn.MAXIFS(m_row,m_teacher,U$4,m_date,($G$2+13),m_active,1,m_start,"&lt;"&amp;960,m_end,"&gt;"&amp;900))))))</f>
        <v/>
      </c>
      <c r="V77" s="82" t="str">
        <f aca="false">IF(OR(V$4="",MONTH(($G$2+13))&lt;&gt;MONTH($C$2)),"",IF(COUNTIFS(m_teacher,V$4,m_date,($G$2+13),m_active,1,m_start,"&lt;"&amp;960,m_end,"&gt;"&amp;900)=0,"",IF(COUNTIFS(m_teacher,V$4,m_date,($G$2+13),m_active,1,m_start,"&lt;"&amp;960,m_end,"&gt;"&amp;900)&gt;1,"충돌",HYPERLINK("#'관리자_MASTER'!D"&amp;_xlfn.MAXIFS(m_row,m_teacher,V$4,m_date,($G$2+13),m_active,1,m_start,"&lt;"&amp;960,m_end,"&gt;"&amp;900),INDEX(m_label,_xlfn.MAXIFS(m_row,m_teacher,V$4,m_date,($G$2+13),m_active,1,m_start,"&lt;"&amp;960,m_end,"&gt;"&amp;900))))))</f>
        <v/>
      </c>
      <c r="W77" s="82" t="str">
        <f aca="false">IF(OR(W$4="",MONTH(($G$2+13))&lt;&gt;MONTH($C$2)),"",IF(COUNTIFS(m_teacher,W$4,m_date,($G$2+13),m_active,1,m_start,"&lt;"&amp;960,m_end,"&gt;"&amp;900)=0,"",IF(COUNTIFS(m_teacher,W$4,m_date,($G$2+13),m_active,1,m_start,"&lt;"&amp;960,m_end,"&gt;"&amp;900)&gt;1,"충돌",HYPERLINK("#'관리자_MASTER'!D"&amp;_xlfn.MAXIFS(m_row,m_teacher,W$4,m_date,($G$2+13),m_active,1,m_start,"&lt;"&amp;960,m_end,"&gt;"&amp;900),INDEX(m_label,_xlfn.MAXIFS(m_row,m_teacher,W$4,m_date,($G$2+13),m_active,1,m_start,"&lt;"&amp;960,m_end,"&gt;"&amp;900))))))</f>
        <v/>
      </c>
      <c r="X77" s="82" t="str">
        <f aca="false">IF(OR(X$4="",MONTH(($G$2+13))&lt;&gt;MONTH($C$2)),"",IF(COUNTIFS(m_teacher,X$4,m_date,($G$2+13),m_active,1,m_start,"&lt;"&amp;960,m_end,"&gt;"&amp;900)=0,"",IF(COUNTIFS(m_teacher,X$4,m_date,($G$2+13),m_active,1,m_start,"&lt;"&amp;960,m_end,"&gt;"&amp;900)&gt;1,"충돌",HYPERLINK("#'관리자_MASTER'!D"&amp;_xlfn.MAXIFS(m_row,m_teacher,X$4,m_date,($G$2+13),m_active,1,m_start,"&lt;"&amp;960,m_end,"&gt;"&amp;900),INDEX(m_label,_xlfn.MAXIFS(m_row,m_teacher,X$4,m_date,($G$2+13),m_active,1,m_start,"&lt;"&amp;960,m_end,"&gt;"&amp;900))))))</f>
        <v/>
      </c>
      <c r="Y77" s="82" t="str">
        <f aca="false">IF(OR(Y$4="",MONTH(($G$2+13))&lt;&gt;MONTH($C$2)),"",IF(COUNTIFS(m_teacher,Y$4,m_date,($G$2+13),m_active,1,m_start,"&lt;"&amp;960,m_end,"&gt;"&amp;900)=0,"",IF(COUNTIFS(m_teacher,Y$4,m_date,($G$2+13),m_active,1,m_start,"&lt;"&amp;960,m_end,"&gt;"&amp;900)&gt;1,"충돌",HYPERLINK("#'관리자_MASTER'!D"&amp;_xlfn.MAXIFS(m_row,m_teacher,Y$4,m_date,($G$2+13),m_active,1,m_start,"&lt;"&amp;960,m_end,"&gt;"&amp;900),INDEX(m_label,_xlfn.MAXIFS(m_row,m_teacher,Y$4,m_date,($G$2+13),m_active,1,m_start,"&lt;"&amp;960,m_end,"&gt;"&amp;900))))))</f>
        <v/>
      </c>
      <c r="Z77" s="82" t="str">
        <f aca="false">IF(OR(Z$4="",MONTH(($G$2+13))&lt;&gt;MONTH($C$2)),"",IF(COUNTIFS(m_teacher,Z$4,m_date,($G$2+13),m_active,1,m_start,"&lt;"&amp;960,m_end,"&gt;"&amp;900)=0,"",IF(COUNTIFS(m_teacher,Z$4,m_date,($G$2+13),m_active,1,m_start,"&lt;"&amp;960,m_end,"&gt;"&amp;900)&gt;1,"충돌",HYPERLINK("#'관리자_MASTER'!D"&amp;_xlfn.MAXIFS(m_row,m_teacher,Z$4,m_date,($G$2+13),m_active,1,m_start,"&lt;"&amp;960,m_end,"&gt;"&amp;900),INDEX(m_label,_xlfn.MAXIFS(m_row,m_teacher,Z$4,m_date,($G$2+13),m_active,1,m_start,"&lt;"&amp;960,m_end,"&gt;"&amp;900))))))</f>
        <v/>
      </c>
      <c r="AA77" s="82" t="str">
        <f aca="false">IF(OR(AA$4="",MONTH(($G$2+13))&lt;&gt;MONTH($C$2)),"",IF(COUNTIFS(m_teacher,AA$4,m_date,($G$2+13),m_active,1,m_start,"&lt;"&amp;960,m_end,"&gt;"&amp;900)=0,"",IF(COUNTIFS(m_teacher,AA$4,m_date,($G$2+13),m_active,1,m_start,"&lt;"&amp;960,m_end,"&gt;"&amp;900)&gt;1,"충돌",HYPERLINK("#'관리자_MASTER'!D"&amp;_xlfn.MAXIFS(m_row,m_teacher,AA$4,m_date,($G$2+13),m_active,1,m_start,"&lt;"&amp;960,m_end,"&gt;"&amp;900),INDEX(m_label,_xlfn.MAXIFS(m_row,m_teacher,AA$4,m_date,($G$2+13),m_active,1,m_start,"&lt;"&amp;960,m_end,"&gt;"&amp;900))))))</f>
        <v/>
      </c>
      <c r="AB77" s="82" t="str">
        <f aca="false">IF(OR(AB$4="",MONTH(($G$2+13))&lt;&gt;MONTH($C$2)),"",IF(COUNTIFS(m_teacher,AB$4,m_date,($G$2+13),m_active,1,m_start,"&lt;"&amp;960,m_end,"&gt;"&amp;900)=0,"",IF(COUNTIFS(m_teacher,AB$4,m_date,($G$2+13),m_active,1,m_start,"&lt;"&amp;960,m_end,"&gt;"&amp;900)&gt;1,"충돌",HYPERLINK("#'관리자_MASTER'!D"&amp;_xlfn.MAXIFS(m_row,m_teacher,AB$4,m_date,($G$2+13),m_active,1,m_start,"&lt;"&amp;960,m_end,"&gt;"&amp;900),INDEX(m_label,_xlfn.MAXIFS(m_row,m_teacher,AB$4,m_date,($G$2+13),m_active,1,m_start,"&lt;"&amp;960,m_end,"&gt;"&amp;900))))))</f>
        <v/>
      </c>
      <c r="AC77" s="92"/>
      <c r="AD77" s="79" t="s">
        <v>97</v>
      </c>
      <c r="AE77" s="82" t="str">
        <f aca="false">IF(OR(AE$4="",MONTH(($G$2+20))&lt;&gt;MONTH($C$2)),"",IF(COUNTIFS(m_teacher,AE$4,m_date,($G$2+20),m_active,1,m_start,"&lt;"&amp;960,m_end,"&gt;"&amp;900)=0,"",IF(COUNTIFS(m_teacher,AE$4,m_date,($G$2+20),m_active,1,m_start,"&lt;"&amp;960,m_end,"&gt;"&amp;900)&gt;1,"충돌",HYPERLINK("#'관리자_MASTER'!D"&amp;_xlfn.MAXIFS(m_row,m_teacher,AE$4,m_date,($G$2+20),m_active,1,m_start,"&lt;"&amp;960,m_end,"&gt;"&amp;900),INDEX(m_label,_xlfn.MAXIFS(m_row,m_teacher,AE$4,m_date,($G$2+20),m_active,1,m_start,"&lt;"&amp;960,m_end,"&gt;"&amp;900))))))</f>
        <v/>
      </c>
      <c r="AF77" s="82" t="str">
        <f aca="false">IF(OR(AF$4="",MONTH(($G$2+20))&lt;&gt;MONTH($C$2)),"",IF(COUNTIFS(m_teacher,AF$4,m_date,($G$2+20),m_active,1,m_start,"&lt;"&amp;960,m_end,"&gt;"&amp;900)=0,"",IF(COUNTIFS(m_teacher,AF$4,m_date,($G$2+20),m_active,1,m_start,"&lt;"&amp;960,m_end,"&gt;"&amp;900)&gt;1,"충돌",HYPERLINK("#'관리자_MASTER'!D"&amp;_xlfn.MAXIFS(m_row,m_teacher,AF$4,m_date,($G$2+20),m_active,1,m_start,"&lt;"&amp;960,m_end,"&gt;"&amp;900),INDEX(m_label,_xlfn.MAXIFS(m_row,m_teacher,AF$4,m_date,($G$2+20),m_active,1,m_start,"&lt;"&amp;960,m_end,"&gt;"&amp;900))))))</f>
        <v/>
      </c>
      <c r="AG77" s="82" t="str">
        <f aca="false">IF(OR(AG$4="",MONTH(($G$2+20))&lt;&gt;MONTH($C$2)),"",IF(COUNTIFS(m_teacher,AG$4,m_date,($G$2+20),m_active,1,m_start,"&lt;"&amp;960,m_end,"&gt;"&amp;900)=0,"",IF(COUNTIFS(m_teacher,AG$4,m_date,($G$2+20),m_active,1,m_start,"&lt;"&amp;960,m_end,"&gt;"&amp;900)&gt;1,"충돌",HYPERLINK("#'관리자_MASTER'!D"&amp;_xlfn.MAXIFS(m_row,m_teacher,AG$4,m_date,($G$2+20),m_active,1,m_start,"&lt;"&amp;960,m_end,"&gt;"&amp;900),INDEX(m_label,_xlfn.MAXIFS(m_row,m_teacher,AG$4,m_date,($G$2+20),m_active,1,m_start,"&lt;"&amp;960,m_end,"&gt;"&amp;900))))))</f>
        <v/>
      </c>
      <c r="AH77" s="82" t="str">
        <f aca="false">IF(OR(AH$4="",MONTH(($G$2+20))&lt;&gt;MONTH($C$2)),"",IF(COUNTIFS(m_teacher,AH$4,m_date,($G$2+20),m_active,1,m_start,"&lt;"&amp;960,m_end,"&gt;"&amp;900)=0,"",IF(COUNTIFS(m_teacher,AH$4,m_date,($G$2+20),m_active,1,m_start,"&lt;"&amp;960,m_end,"&gt;"&amp;900)&gt;1,"충돌",HYPERLINK("#'관리자_MASTER'!D"&amp;_xlfn.MAXIFS(m_row,m_teacher,AH$4,m_date,($G$2+20),m_active,1,m_start,"&lt;"&amp;960,m_end,"&gt;"&amp;900),INDEX(m_label,_xlfn.MAXIFS(m_row,m_teacher,AH$4,m_date,($G$2+20),m_active,1,m_start,"&lt;"&amp;960,m_end,"&gt;"&amp;900))))))</f>
        <v/>
      </c>
      <c r="AI77" s="82" t="str">
        <f aca="false">IF(OR(AI$4="",MONTH(($G$2+20))&lt;&gt;MONTH($C$2)),"",IF(COUNTIFS(m_teacher,AI$4,m_date,($G$2+20),m_active,1,m_start,"&lt;"&amp;960,m_end,"&gt;"&amp;900)=0,"",IF(COUNTIFS(m_teacher,AI$4,m_date,($G$2+20),m_active,1,m_start,"&lt;"&amp;960,m_end,"&gt;"&amp;900)&gt;1,"충돌",HYPERLINK("#'관리자_MASTER'!D"&amp;_xlfn.MAXIFS(m_row,m_teacher,AI$4,m_date,($G$2+20),m_active,1,m_start,"&lt;"&amp;960,m_end,"&gt;"&amp;900),INDEX(m_label,_xlfn.MAXIFS(m_row,m_teacher,AI$4,m_date,($G$2+20),m_active,1,m_start,"&lt;"&amp;960,m_end,"&gt;"&amp;900))))))</f>
        <v/>
      </c>
      <c r="AJ77" s="82" t="str">
        <f aca="false">IF(OR(AJ$4="",MONTH(($G$2+20))&lt;&gt;MONTH($C$2)),"",IF(COUNTIFS(m_teacher,AJ$4,m_date,($G$2+20),m_active,1,m_start,"&lt;"&amp;960,m_end,"&gt;"&amp;900)=0,"",IF(COUNTIFS(m_teacher,AJ$4,m_date,($G$2+20),m_active,1,m_start,"&lt;"&amp;960,m_end,"&gt;"&amp;900)&gt;1,"충돌",HYPERLINK("#'관리자_MASTER'!D"&amp;_xlfn.MAXIFS(m_row,m_teacher,AJ$4,m_date,($G$2+20),m_active,1,m_start,"&lt;"&amp;960,m_end,"&gt;"&amp;900),INDEX(m_label,_xlfn.MAXIFS(m_row,m_teacher,AJ$4,m_date,($G$2+20),m_active,1,m_start,"&lt;"&amp;960,m_end,"&gt;"&amp;900))))))</f>
        <v/>
      </c>
      <c r="AK77" s="82" t="str">
        <f aca="false">IF(OR(AK$4="",MONTH(($G$2+20))&lt;&gt;MONTH($C$2)),"",IF(COUNTIFS(m_teacher,AK$4,m_date,($G$2+20),m_active,1,m_start,"&lt;"&amp;960,m_end,"&gt;"&amp;900)=0,"",IF(COUNTIFS(m_teacher,AK$4,m_date,($G$2+20),m_active,1,m_start,"&lt;"&amp;960,m_end,"&gt;"&amp;900)&gt;1,"충돌",HYPERLINK("#'관리자_MASTER'!D"&amp;_xlfn.MAXIFS(m_row,m_teacher,AK$4,m_date,($G$2+20),m_active,1,m_start,"&lt;"&amp;960,m_end,"&gt;"&amp;900),INDEX(m_label,_xlfn.MAXIFS(m_row,m_teacher,AK$4,m_date,($G$2+20),m_active,1,m_start,"&lt;"&amp;960,m_end,"&gt;"&amp;900))))))</f>
        <v/>
      </c>
      <c r="AL77" s="82" t="str">
        <f aca="false">IF(OR(AL$4="",MONTH(($G$2+20))&lt;&gt;MONTH($C$2)),"",IF(COUNTIFS(m_teacher,AL$4,m_date,($G$2+20),m_active,1,m_start,"&lt;"&amp;960,m_end,"&gt;"&amp;900)=0,"",IF(COUNTIFS(m_teacher,AL$4,m_date,($G$2+20),m_active,1,m_start,"&lt;"&amp;960,m_end,"&gt;"&amp;900)&gt;1,"충돌",HYPERLINK("#'관리자_MASTER'!D"&amp;_xlfn.MAXIFS(m_row,m_teacher,AL$4,m_date,($G$2+20),m_active,1,m_start,"&lt;"&amp;960,m_end,"&gt;"&amp;900),INDEX(m_label,_xlfn.MAXIFS(m_row,m_teacher,AL$4,m_date,($G$2+20),m_active,1,m_start,"&lt;"&amp;960,m_end,"&gt;"&amp;900))))))</f>
        <v/>
      </c>
      <c r="AM77" s="82" t="str">
        <f aca="false">IF(OR(AM$4="",MONTH(($G$2+20))&lt;&gt;MONTH($C$2)),"",IF(COUNTIFS(m_teacher,AM$4,m_date,($G$2+20),m_active,1,m_start,"&lt;"&amp;960,m_end,"&gt;"&amp;900)=0,"",IF(COUNTIFS(m_teacher,AM$4,m_date,($G$2+20),m_active,1,m_start,"&lt;"&amp;960,m_end,"&gt;"&amp;900)&gt;1,"충돌",HYPERLINK("#'관리자_MASTER'!D"&amp;_xlfn.MAXIFS(m_row,m_teacher,AM$4,m_date,($G$2+20),m_active,1,m_start,"&lt;"&amp;960,m_end,"&gt;"&amp;900),INDEX(m_label,_xlfn.MAXIFS(m_row,m_teacher,AM$4,m_date,($G$2+20),m_active,1,m_start,"&lt;"&amp;960,m_end,"&gt;"&amp;900))))))</f>
        <v/>
      </c>
      <c r="AN77" s="82" t="str">
        <f aca="false">IF(OR(AN$4="",MONTH(($G$2+20))&lt;&gt;MONTH($C$2)),"",IF(COUNTIFS(m_teacher,AN$4,m_date,($G$2+20),m_active,1,m_start,"&lt;"&amp;960,m_end,"&gt;"&amp;900)=0,"",IF(COUNTIFS(m_teacher,AN$4,m_date,($G$2+20),m_active,1,m_start,"&lt;"&amp;960,m_end,"&gt;"&amp;900)&gt;1,"충돌",HYPERLINK("#'관리자_MASTER'!D"&amp;_xlfn.MAXIFS(m_row,m_teacher,AN$4,m_date,($G$2+20),m_active,1,m_start,"&lt;"&amp;960,m_end,"&gt;"&amp;900),INDEX(m_label,_xlfn.MAXIFS(m_row,m_teacher,AN$4,m_date,($G$2+20),m_active,1,m_start,"&lt;"&amp;960,m_end,"&gt;"&amp;900))))))</f>
        <v/>
      </c>
      <c r="AO77" s="82" t="str">
        <f aca="false">IF(OR(AO$4="",MONTH(($G$2+20))&lt;&gt;MONTH($C$2)),"",IF(COUNTIFS(m_teacher,AO$4,m_date,($G$2+20),m_active,1,m_start,"&lt;"&amp;960,m_end,"&gt;"&amp;900)=0,"",IF(COUNTIFS(m_teacher,AO$4,m_date,($G$2+20),m_active,1,m_start,"&lt;"&amp;960,m_end,"&gt;"&amp;900)&gt;1,"충돌",HYPERLINK("#'관리자_MASTER'!D"&amp;_xlfn.MAXIFS(m_row,m_teacher,AO$4,m_date,($G$2+20),m_active,1,m_start,"&lt;"&amp;960,m_end,"&gt;"&amp;900),INDEX(m_label,_xlfn.MAXIFS(m_row,m_teacher,AO$4,m_date,($G$2+20),m_active,1,m_start,"&lt;"&amp;960,m_end,"&gt;"&amp;900))))))</f>
        <v/>
      </c>
      <c r="AP77" s="82" t="str">
        <f aca="false">IF(OR(AP$4="",MONTH(($G$2+20))&lt;&gt;MONTH($C$2)),"",IF(COUNTIFS(m_teacher,AP$4,m_date,($G$2+20),m_active,1,m_start,"&lt;"&amp;960,m_end,"&gt;"&amp;900)=0,"",IF(COUNTIFS(m_teacher,AP$4,m_date,($G$2+20),m_active,1,m_start,"&lt;"&amp;960,m_end,"&gt;"&amp;900)&gt;1,"충돌",HYPERLINK("#'관리자_MASTER'!D"&amp;_xlfn.MAXIFS(m_row,m_teacher,AP$4,m_date,($G$2+20),m_active,1,m_start,"&lt;"&amp;960,m_end,"&gt;"&amp;900),INDEX(m_label,_xlfn.MAXIFS(m_row,m_teacher,AP$4,m_date,($G$2+20),m_active,1,m_start,"&lt;"&amp;960,m_end,"&gt;"&amp;900))))))</f>
        <v/>
      </c>
      <c r="AQ77" s="92"/>
      <c r="AR77" s="79" t="s">
        <v>97</v>
      </c>
      <c r="AS77" s="82" t="str">
        <f aca="false">IF(OR(AS$4="",MONTH(($G$2+27))&lt;&gt;MONTH($C$2)),"",IF(COUNTIFS(m_teacher,AS$4,m_date,($G$2+27),m_active,1,m_start,"&lt;"&amp;960,m_end,"&gt;"&amp;900)=0,"",IF(COUNTIFS(m_teacher,AS$4,m_date,($G$2+27),m_active,1,m_start,"&lt;"&amp;960,m_end,"&gt;"&amp;900)&gt;1,"충돌",HYPERLINK("#'관리자_MASTER'!D"&amp;_xlfn.MAXIFS(m_row,m_teacher,AS$4,m_date,($G$2+27),m_active,1,m_start,"&lt;"&amp;960,m_end,"&gt;"&amp;900),INDEX(m_label,_xlfn.MAXIFS(m_row,m_teacher,AS$4,m_date,($G$2+27),m_active,1,m_start,"&lt;"&amp;960,m_end,"&gt;"&amp;900))))))</f>
        <v/>
      </c>
      <c r="AT77" s="82" t="str">
        <f aca="false">IF(OR(AT$4="",MONTH(($G$2+27))&lt;&gt;MONTH($C$2)),"",IF(COUNTIFS(m_teacher,AT$4,m_date,($G$2+27),m_active,1,m_start,"&lt;"&amp;960,m_end,"&gt;"&amp;900)=0,"",IF(COUNTIFS(m_teacher,AT$4,m_date,($G$2+27),m_active,1,m_start,"&lt;"&amp;960,m_end,"&gt;"&amp;900)&gt;1,"충돌",HYPERLINK("#'관리자_MASTER'!D"&amp;_xlfn.MAXIFS(m_row,m_teacher,AT$4,m_date,($G$2+27),m_active,1,m_start,"&lt;"&amp;960,m_end,"&gt;"&amp;900),INDEX(m_label,_xlfn.MAXIFS(m_row,m_teacher,AT$4,m_date,($G$2+27),m_active,1,m_start,"&lt;"&amp;960,m_end,"&gt;"&amp;900))))))</f>
        <v/>
      </c>
      <c r="AU77" s="82" t="str">
        <f aca="false">IF(OR(AU$4="",MONTH(($G$2+27))&lt;&gt;MONTH($C$2)),"",IF(COUNTIFS(m_teacher,AU$4,m_date,($G$2+27),m_active,1,m_start,"&lt;"&amp;960,m_end,"&gt;"&amp;900)=0,"",IF(COUNTIFS(m_teacher,AU$4,m_date,($G$2+27),m_active,1,m_start,"&lt;"&amp;960,m_end,"&gt;"&amp;900)&gt;1,"충돌",HYPERLINK("#'관리자_MASTER'!D"&amp;_xlfn.MAXIFS(m_row,m_teacher,AU$4,m_date,($G$2+27),m_active,1,m_start,"&lt;"&amp;960,m_end,"&gt;"&amp;900),INDEX(m_label,_xlfn.MAXIFS(m_row,m_teacher,AU$4,m_date,($G$2+27),m_active,1,m_start,"&lt;"&amp;960,m_end,"&gt;"&amp;900))))))</f>
        <v/>
      </c>
      <c r="AV77" s="82" t="str">
        <f aca="false">IF(OR(AV$4="",MONTH(($G$2+27))&lt;&gt;MONTH($C$2)),"",IF(COUNTIFS(m_teacher,AV$4,m_date,($G$2+27),m_active,1,m_start,"&lt;"&amp;960,m_end,"&gt;"&amp;900)=0,"",IF(COUNTIFS(m_teacher,AV$4,m_date,($G$2+27),m_active,1,m_start,"&lt;"&amp;960,m_end,"&gt;"&amp;900)&gt;1,"충돌",HYPERLINK("#'관리자_MASTER'!D"&amp;_xlfn.MAXIFS(m_row,m_teacher,AV$4,m_date,($G$2+27),m_active,1,m_start,"&lt;"&amp;960,m_end,"&gt;"&amp;900),INDEX(m_label,_xlfn.MAXIFS(m_row,m_teacher,AV$4,m_date,($G$2+27),m_active,1,m_start,"&lt;"&amp;960,m_end,"&gt;"&amp;900))))))</f>
        <v/>
      </c>
      <c r="AW77" s="82" t="str">
        <f aca="false">IF(OR(AW$4="",MONTH(($G$2+27))&lt;&gt;MONTH($C$2)),"",IF(COUNTIFS(m_teacher,AW$4,m_date,($G$2+27),m_active,1,m_start,"&lt;"&amp;960,m_end,"&gt;"&amp;900)=0,"",IF(COUNTIFS(m_teacher,AW$4,m_date,($G$2+27),m_active,1,m_start,"&lt;"&amp;960,m_end,"&gt;"&amp;900)&gt;1,"충돌",HYPERLINK("#'관리자_MASTER'!D"&amp;_xlfn.MAXIFS(m_row,m_teacher,AW$4,m_date,($G$2+27),m_active,1,m_start,"&lt;"&amp;960,m_end,"&gt;"&amp;900),INDEX(m_label,_xlfn.MAXIFS(m_row,m_teacher,AW$4,m_date,($G$2+27),m_active,1,m_start,"&lt;"&amp;960,m_end,"&gt;"&amp;900))))))</f>
        <v/>
      </c>
      <c r="AX77" s="82" t="str">
        <f aca="false">IF(OR(AX$4="",MONTH(($G$2+27))&lt;&gt;MONTH($C$2)),"",IF(COUNTIFS(m_teacher,AX$4,m_date,($G$2+27),m_active,1,m_start,"&lt;"&amp;960,m_end,"&gt;"&amp;900)=0,"",IF(COUNTIFS(m_teacher,AX$4,m_date,($G$2+27),m_active,1,m_start,"&lt;"&amp;960,m_end,"&gt;"&amp;900)&gt;1,"충돌",HYPERLINK("#'관리자_MASTER'!D"&amp;_xlfn.MAXIFS(m_row,m_teacher,AX$4,m_date,($G$2+27),m_active,1,m_start,"&lt;"&amp;960,m_end,"&gt;"&amp;900),INDEX(m_label,_xlfn.MAXIFS(m_row,m_teacher,AX$4,m_date,($G$2+27),m_active,1,m_start,"&lt;"&amp;960,m_end,"&gt;"&amp;900))))))</f>
        <v/>
      </c>
      <c r="AY77" s="82" t="str">
        <f aca="false">IF(OR(AY$4="",MONTH(($G$2+27))&lt;&gt;MONTH($C$2)),"",IF(COUNTIFS(m_teacher,AY$4,m_date,($G$2+27),m_active,1,m_start,"&lt;"&amp;960,m_end,"&gt;"&amp;900)=0,"",IF(COUNTIFS(m_teacher,AY$4,m_date,($G$2+27),m_active,1,m_start,"&lt;"&amp;960,m_end,"&gt;"&amp;900)&gt;1,"충돌",HYPERLINK("#'관리자_MASTER'!D"&amp;_xlfn.MAXIFS(m_row,m_teacher,AY$4,m_date,($G$2+27),m_active,1,m_start,"&lt;"&amp;960,m_end,"&gt;"&amp;900),INDEX(m_label,_xlfn.MAXIFS(m_row,m_teacher,AY$4,m_date,($G$2+27),m_active,1,m_start,"&lt;"&amp;960,m_end,"&gt;"&amp;900))))))</f>
        <v/>
      </c>
      <c r="AZ77" s="82" t="str">
        <f aca="false">IF(OR(AZ$4="",MONTH(($G$2+27))&lt;&gt;MONTH($C$2)),"",IF(COUNTIFS(m_teacher,AZ$4,m_date,($G$2+27),m_active,1,m_start,"&lt;"&amp;960,m_end,"&gt;"&amp;900)=0,"",IF(COUNTIFS(m_teacher,AZ$4,m_date,($G$2+27),m_active,1,m_start,"&lt;"&amp;960,m_end,"&gt;"&amp;900)&gt;1,"충돌",HYPERLINK("#'관리자_MASTER'!D"&amp;_xlfn.MAXIFS(m_row,m_teacher,AZ$4,m_date,($G$2+27),m_active,1,m_start,"&lt;"&amp;960,m_end,"&gt;"&amp;900),INDEX(m_label,_xlfn.MAXIFS(m_row,m_teacher,AZ$4,m_date,($G$2+27),m_active,1,m_start,"&lt;"&amp;960,m_end,"&gt;"&amp;900))))))</f>
        <v/>
      </c>
      <c r="BA77" s="82" t="str">
        <f aca="false">IF(OR(BA$4="",MONTH(($G$2+27))&lt;&gt;MONTH($C$2)),"",IF(COUNTIFS(m_teacher,BA$4,m_date,($G$2+27),m_active,1,m_start,"&lt;"&amp;960,m_end,"&gt;"&amp;900)=0,"",IF(COUNTIFS(m_teacher,BA$4,m_date,($G$2+27),m_active,1,m_start,"&lt;"&amp;960,m_end,"&gt;"&amp;900)&gt;1,"충돌",HYPERLINK("#'관리자_MASTER'!D"&amp;_xlfn.MAXIFS(m_row,m_teacher,BA$4,m_date,($G$2+27),m_active,1,m_start,"&lt;"&amp;960,m_end,"&gt;"&amp;900),INDEX(m_label,_xlfn.MAXIFS(m_row,m_teacher,BA$4,m_date,($G$2+27),m_active,1,m_start,"&lt;"&amp;960,m_end,"&gt;"&amp;900))))))</f>
        <v/>
      </c>
      <c r="BB77" s="82" t="str">
        <f aca="false">IF(OR(BB$4="",MONTH(($G$2+27))&lt;&gt;MONTH($C$2)),"",IF(COUNTIFS(m_teacher,BB$4,m_date,($G$2+27),m_active,1,m_start,"&lt;"&amp;960,m_end,"&gt;"&amp;900)=0,"",IF(COUNTIFS(m_teacher,BB$4,m_date,($G$2+27),m_active,1,m_start,"&lt;"&amp;960,m_end,"&gt;"&amp;900)&gt;1,"충돌",HYPERLINK("#'관리자_MASTER'!D"&amp;_xlfn.MAXIFS(m_row,m_teacher,BB$4,m_date,($G$2+27),m_active,1,m_start,"&lt;"&amp;960,m_end,"&gt;"&amp;900),INDEX(m_label,_xlfn.MAXIFS(m_row,m_teacher,BB$4,m_date,($G$2+27),m_active,1,m_start,"&lt;"&amp;960,m_end,"&gt;"&amp;900))))))</f>
        <v/>
      </c>
      <c r="BC77" s="82" t="str">
        <f aca="false">IF(OR(BC$4="",MONTH(($G$2+27))&lt;&gt;MONTH($C$2)),"",IF(COUNTIFS(m_teacher,BC$4,m_date,($G$2+27),m_active,1,m_start,"&lt;"&amp;960,m_end,"&gt;"&amp;900)=0,"",IF(COUNTIFS(m_teacher,BC$4,m_date,($G$2+27),m_active,1,m_start,"&lt;"&amp;960,m_end,"&gt;"&amp;900)&gt;1,"충돌",HYPERLINK("#'관리자_MASTER'!D"&amp;_xlfn.MAXIFS(m_row,m_teacher,BC$4,m_date,($G$2+27),m_active,1,m_start,"&lt;"&amp;960,m_end,"&gt;"&amp;900),INDEX(m_label,_xlfn.MAXIFS(m_row,m_teacher,BC$4,m_date,($G$2+27),m_active,1,m_start,"&lt;"&amp;960,m_end,"&gt;"&amp;900))))))</f>
        <v/>
      </c>
      <c r="BD77" s="82" t="str">
        <f aca="false">IF(OR(BD$4="",MONTH(($G$2+27))&lt;&gt;MONTH($C$2)),"",IF(COUNTIFS(m_teacher,BD$4,m_date,($G$2+27),m_active,1,m_start,"&lt;"&amp;960,m_end,"&gt;"&amp;900)=0,"",IF(COUNTIFS(m_teacher,BD$4,m_date,($G$2+27),m_active,1,m_start,"&lt;"&amp;960,m_end,"&gt;"&amp;900)&gt;1,"충돌",HYPERLINK("#'관리자_MASTER'!D"&amp;_xlfn.MAXIFS(m_row,m_teacher,BD$4,m_date,($G$2+27),m_active,1,m_start,"&lt;"&amp;960,m_end,"&gt;"&amp;900),INDEX(m_label,_xlfn.MAXIFS(m_row,m_teacher,BD$4,m_date,($G$2+27),m_active,1,m_start,"&lt;"&amp;960,m_end,"&gt;"&amp;900))))))</f>
        <v/>
      </c>
      <c r="BE77" s="93"/>
      <c r="BF77" s="76" t="s">
        <v>97</v>
      </c>
      <c r="BG77" s="81" t="str">
        <f aca="false">IF(OR(BG$4="",MONTH(($G$2+34))&lt;&gt;MONTH($C$2)),"",IF(COUNTIFS(m_teacher,BG$4,m_date,($G$2+34),m_active,1,m_start,"&lt;"&amp;960,m_end,"&gt;"&amp;900)=0,"",IF(COUNTIFS(m_teacher,BG$4,m_date,($G$2+34),m_active,1,m_start,"&lt;"&amp;960,m_end,"&gt;"&amp;900)&gt;1,"충돌",HYPERLINK("#'관리자_MASTER'!D"&amp;_xlfn.MAXIFS(m_row,m_teacher,BG$4,m_date,($G$2+34),m_active,1,m_start,"&lt;"&amp;960,m_end,"&gt;"&amp;900),INDEX(m_label,_xlfn.MAXIFS(m_row,m_teacher,BG$4,m_date,($G$2+34),m_active,1,m_start,"&lt;"&amp;960,m_end,"&gt;"&amp;900))))))</f>
        <v/>
      </c>
      <c r="BH77" s="81" t="str">
        <f aca="false">IF(OR(BH$4="",MONTH(($G$2+34))&lt;&gt;MONTH($C$2)),"",IF(COUNTIFS(m_teacher,BH$4,m_date,($G$2+34),m_active,1,m_start,"&lt;"&amp;960,m_end,"&gt;"&amp;900)=0,"",IF(COUNTIFS(m_teacher,BH$4,m_date,($G$2+34),m_active,1,m_start,"&lt;"&amp;960,m_end,"&gt;"&amp;900)&gt;1,"충돌",HYPERLINK("#'관리자_MASTER'!D"&amp;_xlfn.MAXIFS(m_row,m_teacher,BH$4,m_date,($G$2+34),m_active,1,m_start,"&lt;"&amp;960,m_end,"&gt;"&amp;900),INDEX(m_label,_xlfn.MAXIFS(m_row,m_teacher,BH$4,m_date,($G$2+34),m_active,1,m_start,"&lt;"&amp;960,m_end,"&gt;"&amp;900))))))</f>
        <v/>
      </c>
      <c r="BI77" s="81" t="str">
        <f aca="false">IF(OR(BI$4="",MONTH(($G$2+34))&lt;&gt;MONTH($C$2)),"",IF(COUNTIFS(m_teacher,BI$4,m_date,($G$2+34),m_active,1,m_start,"&lt;"&amp;960,m_end,"&gt;"&amp;900)=0,"",IF(COUNTIFS(m_teacher,BI$4,m_date,($G$2+34),m_active,1,m_start,"&lt;"&amp;960,m_end,"&gt;"&amp;900)&gt;1,"충돌",HYPERLINK("#'관리자_MASTER'!D"&amp;_xlfn.MAXIFS(m_row,m_teacher,BI$4,m_date,($G$2+34),m_active,1,m_start,"&lt;"&amp;960,m_end,"&gt;"&amp;900),INDEX(m_label,_xlfn.MAXIFS(m_row,m_teacher,BI$4,m_date,($G$2+34),m_active,1,m_start,"&lt;"&amp;960,m_end,"&gt;"&amp;900))))))</f>
        <v/>
      </c>
      <c r="BJ77" s="81" t="str">
        <f aca="false">IF(OR(BJ$4="",MONTH(($G$2+34))&lt;&gt;MONTH($C$2)),"",IF(COUNTIFS(m_teacher,BJ$4,m_date,($G$2+34),m_active,1,m_start,"&lt;"&amp;960,m_end,"&gt;"&amp;900)=0,"",IF(COUNTIFS(m_teacher,BJ$4,m_date,($G$2+34),m_active,1,m_start,"&lt;"&amp;960,m_end,"&gt;"&amp;900)&gt;1,"충돌",HYPERLINK("#'관리자_MASTER'!D"&amp;_xlfn.MAXIFS(m_row,m_teacher,BJ$4,m_date,($G$2+34),m_active,1,m_start,"&lt;"&amp;960,m_end,"&gt;"&amp;900),INDEX(m_label,_xlfn.MAXIFS(m_row,m_teacher,BJ$4,m_date,($G$2+34),m_active,1,m_start,"&lt;"&amp;960,m_end,"&gt;"&amp;900))))))</f>
        <v/>
      </c>
      <c r="BK77" s="81" t="str">
        <f aca="false">IF(OR(BK$4="",MONTH(($G$2+34))&lt;&gt;MONTH($C$2)),"",IF(COUNTIFS(m_teacher,BK$4,m_date,($G$2+34),m_active,1,m_start,"&lt;"&amp;960,m_end,"&gt;"&amp;900)=0,"",IF(COUNTIFS(m_teacher,BK$4,m_date,($G$2+34),m_active,1,m_start,"&lt;"&amp;960,m_end,"&gt;"&amp;900)&gt;1,"충돌",HYPERLINK("#'관리자_MASTER'!D"&amp;_xlfn.MAXIFS(m_row,m_teacher,BK$4,m_date,($G$2+34),m_active,1,m_start,"&lt;"&amp;960,m_end,"&gt;"&amp;900),INDEX(m_label,_xlfn.MAXIFS(m_row,m_teacher,BK$4,m_date,($G$2+34),m_active,1,m_start,"&lt;"&amp;960,m_end,"&gt;"&amp;900))))))</f>
        <v/>
      </c>
      <c r="BL77" s="81" t="str">
        <f aca="false">IF(OR(BL$4="",MONTH(($G$2+34))&lt;&gt;MONTH($C$2)),"",IF(COUNTIFS(m_teacher,BL$4,m_date,($G$2+34),m_active,1,m_start,"&lt;"&amp;960,m_end,"&gt;"&amp;900)=0,"",IF(COUNTIFS(m_teacher,BL$4,m_date,($G$2+34),m_active,1,m_start,"&lt;"&amp;960,m_end,"&gt;"&amp;900)&gt;1,"충돌",HYPERLINK("#'관리자_MASTER'!D"&amp;_xlfn.MAXIFS(m_row,m_teacher,BL$4,m_date,($G$2+34),m_active,1,m_start,"&lt;"&amp;960,m_end,"&gt;"&amp;900),INDEX(m_label,_xlfn.MAXIFS(m_row,m_teacher,BL$4,m_date,($G$2+34),m_active,1,m_start,"&lt;"&amp;960,m_end,"&gt;"&amp;900))))))</f>
        <v/>
      </c>
      <c r="BM77" s="81" t="str">
        <f aca="false">IF(OR(BM$4="",MONTH(($G$2+34))&lt;&gt;MONTH($C$2)),"",IF(COUNTIFS(m_teacher,BM$4,m_date,($G$2+34),m_active,1,m_start,"&lt;"&amp;960,m_end,"&gt;"&amp;900)=0,"",IF(COUNTIFS(m_teacher,BM$4,m_date,($G$2+34),m_active,1,m_start,"&lt;"&amp;960,m_end,"&gt;"&amp;900)&gt;1,"충돌",HYPERLINK("#'관리자_MASTER'!D"&amp;_xlfn.MAXIFS(m_row,m_teacher,BM$4,m_date,($G$2+34),m_active,1,m_start,"&lt;"&amp;960,m_end,"&gt;"&amp;900),INDEX(m_label,_xlfn.MAXIFS(m_row,m_teacher,BM$4,m_date,($G$2+34),m_active,1,m_start,"&lt;"&amp;960,m_end,"&gt;"&amp;900))))))</f>
        <v/>
      </c>
      <c r="BN77" s="81" t="str">
        <f aca="false">IF(OR(BN$4="",MONTH(($G$2+34))&lt;&gt;MONTH($C$2)),"",IF(COUNTIFS(m_teacher,BN$4,m_date,($G$2+34),m_active,1,m_start,"&lt;"&amp;960,m_end,"&gt;"&amp;900)=0,"",IF(COUNTIFS(m_teacher,BN$4,m_date,($G$2+34),m_active,1,m_start,"&lt;"&amp;960,m_end,"&gt;"&amp;900)&gt;1,"충돌",HYPERLINK("#'관리자_MASTER'!D"&amp;_xlfn.MAXIFS(m_row,m_teacher,BN$4,m_date,($G$2+34),m_active,1,m_start,"&lt;"&amp;960,m_end,"&gt;"&amp;900),INDEX(m_label,_xlfn.MAXIFS(m_row,m_teacher,BN$4,m_date,($G$2+34),m_active,1,m_start,"&lt;"&amp;960,m_end,"&gt;"&amp;900))))))</f>
        <v/>
      </c>
      <c r="BO77" s="81" t="str">
        <f aca="false">IF(OR(BO$4="",MONTH(($G$2+34))&lt;&gt;MONTH($C$2)),"",IF(COUNTIFS(m_teacher,BO$4,m_date,($G$2+34),m_active,1,m_start,"&lt;"&amp;960,m_end,"&gt;"&amp;900)=0,"",IF(COUNTIFS(m_teacher,BO$4,m_date,($G$2+34),m_active,1,m_start,"&lt;"&amp;960,m_end,"&gt;"&amp;900)&gt;1,"충돌",HYPERLINK("#'관리자_MASTER'!D"&amp;_xlfn.MAXIFS(m_row,m_teacher,BO$4,m_date,($G$2+34),m_active,1,m_start,"&lt;"&amp;960,m_end,"&gt;"&amp;900),INDEX(m_label,_xlfn.MAXIFS(m_row,m_teacher,BO$4,m_date,($G$2+34),m_active,1,m_start,"&lt;"&amp;960,m_end,"&gt;"&amp;900))))))</f>
        <v/>
      </c>
      <c r="BP77" s="81" t="str">
        <f aca="false">IF(OR(BP$4="",MONTH(($G$2+34))&lt;&gt;MONTH($C$2)),"",IF(COUNTIFS(m_teacher,BP$4,m_date,($G$2+34),m_active,1,m_start,"&lt;"&amp;960,m_end,"&gt;"&amp;900)=0,"",IF(COUNTIFS(m_teacher,BP$4,m_date,($G$2+34),m_active,1,m_start,"&lt;"&amp;960,m_end,"&gt;"&amp;900)&gt;1,"충돌",HYPERLINK("#'관리자_MASTER'!D"&amp;_xlfn.MAXIFS(m_row,m_teacher,BP$4,m_date,($G$2+34),m_active,1,m_start,"&lt;"&amp;960,m_end,"&gt;"&amp;900),INDEX(m_label,_xlfn.MAXIFS(m_row,m_teacher,BP$4,m_date,($G$2+34),m_active,1,m_start,"&lt;"&amp;960,m_end,"&gt;"&amp;900))))))</f>
        <v/>
      </c>
      <c r="BQ77" s="81" t="str">
        <f aca="false">IF(OR(BQ$4="",MONTH(($G$2+34))&lt;&gt;MONTH($C$2)),"",IF(COUNTIFS(m_teacher,BQ$4,m_date,($G$2+34),m_active,1,m_start,"&lt;"&amp;960,m_end,"&gt;"&amp;900)=0,"",IF(COUNTIFS(m_teacher,BQ$4,m_date,($G$2+34),m_active,1,m_start,"&lt;"&amp;960,m_end,"&gt;"&amp;900)&gt;1,"충돌",HYPERLINK("#'관리자_MASTER'!D"&amp;_xlfn.MAXIFS(m_row,m_teacher,BQ$4,m_date,($G$2+34),m_active,1,m_start,"&lt;"&amp;960,m_end,"&gt;"&amp;900),INDEX(m_label,_xlfn.MAXIFS(m_row,m_teacher,BQ$4,m_date,($G$2+34),m_active,1,m_start,"&lt;"&amp;960,m_end,"&gt;"&amp;900))))))</f>
        <v/>
      </c>
      <c r="BR77" s="81" t="str">
        <f aca="false">IF(OR(BR$4="",MONTH(($G$2+34))&lt;&gt;MONTH($C$2)),"",IF(COUNTIFS(m_teacher,BR$4,m_date,($G$2+34),m_active,1,m_start,"&lt;"&amp;960,m_end,"&gt;"&amp;900)=0,"",IF(COUNTIFS(m_teacher,BR$4,m_date,($G$2+34),m_active,1,m_start,"&lt;"&amp;960,m_end,"&gt;"&amp;900)&gt;1,"충돌",HYPERLINK("#'관리자_MASTER'!D"&amp;_xlfn.MAXIFS(m_row,m_teacher,BR$4,m_date,($G$2+34),m_active,1,m_start,"&lt;"&amp;960,m_end,"&gt;"&amp;900),INDEX(m_label,_xlfn.MAXIFS(m_row,m_teacher,BR$4,m_date,($G$2+34),m_active,1,m_start,"&lt;"&amp;960,m_end,"&gt;"&amp;900))))))</f>
        <v/>
      </c>
    </row>
    <row r="78" customFormat="false" ht="19.5" hidden="false" customHeight="true" outlineLevel="0" collapsed="false">
      <c r="A78" s="92"/>
      <c r="B78" s="79" t="s">
        <v>98</v>
      </c>
      <c r="C78" s="82" t="str">
        <f aca="false">IF(OR(C$4="",MONTH(($G$2+6))&lt;&gt;MONTH($C$2)),"",IF(COUNTIFS(m_teacher,C$4,m_date,($G$2+6),m_active,1,m_start,"&lt;"&amp;1020,m_end,"&gt;"&amp;960)=0,"",IF(COUNTIFS(m_teacher,C$4,m_date,($G$2+6),m_active,1,m_start,"&lt;"&amp;1020,m_end,"&gt;"&amp;960)&gt;1,"충돌",HYPERLINK("#'관리자_MASTER'!D"&amp;_xlfn.MAXIFS(m_row,m_teacher,C$4,m_date,($G$2+6),m_active,1,m_start,"&lt;"&amp;1020,m_end,"&gt;"&amp;960),INDEX(m_label,_xlfn.MAXIFS(m_row,m_teacher,C$4,m_date,($G$2+6),m_active,1,m_start,"&lt;"&amp;1020,m_end,"&gt;"&amp;960))))))</f>
        <v/>
      </c>
      <c r="D78" s="82" t="str">
        <f aca="false">IF(OR(D$4="",MONTH(($G$2+6))&lt;&gt;MONTH($C$2)),"",IF(COUNTIFS(m_teacher,D$4,m_date,($G$2+6),m_active,1,m_start,"&lt;"&amp;1020,m_end,"&gt;"&amp;960)=0,"",IF(COUNTIFS(m_teacher,D$4,m_date,($G$2+6),m_active,1,m_start,"&lt;"&amp;1020,m_end,"&gt;"&amp;960)&gt;1,"충돌",HYPERLINK("#'관리자_MASTER'!D"&amp;_xlfn.MAXIFS(m_row,m_teacher,D$4,m_date,($G$2+6),m_active,1,m_start,"&lt;"&amp;1020,m_end,"&gt;"&amp;960),INDEX(m_label,_xlfn.MAXIFS(m_row,m_teacher,D$4,m_date,($G$2+6),m_active,1,m_start,"&lt;"&amp;1020,m_end,"&gt;"&amp;960))))))</f>
        <v/>
      </c>
      <c r="E78" s="82" t="str">
        <f aca="false">IF(OR(E$4="",MONTH(($G$2+6))&lt;&gt;MONTH($C$2)),"",IF(COUNTIFS(m_teacher,E$4,m_date,($G$2+6),m_active,1,m_start,"&lt;"&amp;1020,m_end,"&gt;"&amp;960)=0,"",IF(COUNTIFS(m_teacher,E$4,m_date,($G$2+6),m_active,1,m_start,"&lt;"&amp;1020,m_end,"&gt;"&amp;960)&gt;1,"충돌",HYPERLINK("#'관리자_MASTER'!D"&amp;_xlfn.MAXIFS(m_row,m_teacher,E$4,m_date,($G$2+6),m_active,1,m_start,"&lt;"&amp;1020,m_end,"&gt;"&amp;960),INDEX(m_label,_xlfn.MAXIFS(m_row,m_teacher,E$4,m_date,($G$2+6),m_active,1,m_start,"&lt;"&amp;1020,m_end,"&gt;"&amp;960))))))</f>
        <v/>
      </c>
      <c r="F78" s="82" t="str">
        <f aca="false">IF(OR(F$4="",MONTH(($G$2+6))&lt;&gt;MONTH($C$2)),"",IF(COUNTIFS(m_teacher,F$4,m_date,($G$2+6),m_active,1,m_start,"&lt;"&amp;1020,m_end,"&gt;"&amp;960)=0,"",IF(COUNTIFS(m_teacher,F$4,m_date,($G$2+6),m_active,1,m_start,"&lt;"&amp;1020,m_end,"&gt;"&amp;960)&gt;1,"충돌",HYPERLINK("#'관리자_MASTER'!D"&amp;_xlfn.MAXIFS(m_row,m_teacher,F$4,m_date,($G$2+6),m_active,1,m_start,"&lt;"&amp;1020,m_end,"&gt;"&amp;960),INDEX(m_label,_xlfn.MAXIFS(m_row,m_teacher,F$4,m_date,($G$2+6),m_active,1,m_start,"&lt;"&amp;1020,m_end,"&gt;"&amp;960))))))</f>
        <v/>
      </c>
      <c r="G78" s="82" t="str">
        <f aca="false">IF(OR(G$4="",MONTH(($G$2+6))&lt;&gt;MONTH($C$2)),"",IF(COUNTIFS(m_teacher,G$4,m_date,($G$2+6),m_active,1,m_start,"&lt;"&amp;1020,m_end,"&gt;"&amp;960)=0,"",IF(COUNTIFS(m_teacher,G$4,m_date,($G$2+6),m_active,1,m_start,"&lt;"&amp;1020,m_end,"&gt;"&amp;960)&gt;1,"충돌",HYPERLINK("#'관리자_MASTER'!D"&amp;_xlfn.MAXIFS(m_row,m_teacher,G$4,m_date,($G$2+6),m_active,1,m_start,"&lt;"&amp;1020,m_end,"&gt;"&amp;960),INDEX(m_label,_xlfn.MAXIFS(m_row,m_teacher,G$4,m_date,($G$2+6),m_active,1,m_start,"&lt;"&amp;1020,m_end,"&gt;"&amp;960))))))</f>
        <v/>
      </c>
      <c r="H78" s="82" t="str">
        <f aca="false">IF(OR(H$4="",MONTH(($G$2+6))&lt;&gt;MONTH($C$2)),"",IF(COUNTIFS(m_teacher,H$4,m_date,($G$2+6),m_active,1,m_start,"&lt;"&amp;1020,m_end,"&gt;"&amp;960)=0,"",IF(COUNTIFS(m_teacher,H$4,m_date,($G$2+6),m_active,1,m_start,"&lt;"&amp;1020,m_end,"&gt;"&amp;960)&gt;1,"충돌",HYPERLINK("#'관리자_MASTER'!D"&amp;_xlfn.MAXIFS(m_row,m_teacher,H$4,m_date,($G$2+6),m_active,1,m_start,"&lt;"&amp;1020,m_end,"&gt;"&amp;960),INDEX(m_label,_xlfn.MAXIFS(m_row,m_teacher,H$4,m_date,($G$2+6),m_active,1,m_start,"&lt;"&amp;1020,m_end,"&gt;"&amp;960))))))</f>
        <v/>
      </c>
      <c r="I78" s="82" t="str">
        <f aca="false">IF(OR(I$4="",MONTH(($G$2+6))&lt;&gt;MONTH($C$2)),"",IF(COUNTIFS(m_teacher,I$4,m_date,($G$2+6),m_active,1,m_start,"&lt;"&amp;1020,m_end,"&gt;"&amp;960)=0,"",IF(COUNTIFS(m_teacher,I$4,m_date,($G$2+6),m_active,1,m_start,"&lt;"&amp;1020,m_end,"&gt;"&amp;960)&gt;1,"충돌",HYPERLINK("#'관리자_MASTER'!D"&amp;_xlfn.MAXIFS(m_row,m_teacher,I$4,m_date,($G$2+6),m_active,1,m_start,"&lt;"&amp;1020,m_end,"&gt;"&amp;960),INDEX(m_label,_xlfn.MAXIFS(m_row,m_teacher,I$4,m_date,($G$2+6),m_active,1,m_start,"&lt;"&amp;1020,m_end,"&gt;"&amp;960))))))</f>
        <v/>
      </c>
      <c r="J78" s="82" t="str">
        <f aca="false">IF(OR(J$4="",MONTH(($G$2+6))&lt;&gt;MONTH($C$2)),"",IF(COUNTIFS(m_teacher,J$4,m_date,($G$2+6),m_active,1,m_start,"&lt;"&amp;1020,m_end,"&gt;"&amp;960)=0,"",IF(COUNTIFS(m_teacher,J$4,m_date,($G$2+6),m_active,1,m_start,"&lt;"&amp;1020,m_end,"&gt;"&amp;960)&gt;1,"충돌",HYPERLINK("#'관리자_MASTER'!D"&amp;_xlfn.MAXIFS(m_row,m_teacher,J$4,m_date,($G$2+6),m_active,1,m_start,"&lt;"&amp;1020,m_end,"&gt;"&amp;960),INDEX(m_label,_xlfn.MAXIFS(m_row,m_teacher,J$4,m_date,($G$2+6),m_active,1,m_start,"&lt;"&amp;1020,m_end,"&gt;"&amp;960))))))</f>
        <v/>
      </c>
      <c r="K78" s="82" t="str">
        <f aca="false">IF(OR(K$4="",MONTH(($G$2+6))&lt;&gt;MONTH($C$2)),"",IF(COUNTIFS(m_teacher,K$4,m_date,($G$2+6),m_active,1,m_start,"&lt;"&amp;1020,m_end,"&gt;"&amp;960)=0,"",IF(COUNTIFS(m_teacher,K$4,m_date,($G$2+6),m_active,1,m_start,"&lt;"&amp;1020,m_end,"&gt;"&amp;960)&gt;1,"충돌",HYPERLINK("#'관리자_MASTER'!D"&amp;_xlfn.MAXIFS(m_row,m_teacher,K$4,m_date,($G$2+6),m_active,1,m_start,"&lt;"&amp;1020,m_end,"&gt;"&amp;960),INDEX(m_label,_xlfn.MAXIFS(m_row,m_teacher,K$4,m_date,($G$2+6),m_active,1,m_start,"&lt;"&amp;1020,m_end,"&gt;"&amp;960))))))</f>
        <v/>
      </c>
      <c r="L78" s="82" t="str">
        <f aca="false">IF(OR(L$4="",MONTH(($G$2+6))&lt;&gt;MONTH($C$2)),"",IF(COUNTIFS(m_teacher,L$4,m_date,($G$2+6),m_active,1,m_start,"&lt;"&amp;1020,m_end,"&gt;"&amp;960)=0,"",IF(COUNTIFS(m_teacher,L$4,m_date,($G$2+6),m_active,1,m_start,"&lt;"&amp;1020,m_end,"&gt;"&amp;960)&gt;1,"충돌",HYPERLINK("#'관리자_MASTER'!D"&amp;_xlfn.MAXIFS(m_row,m_teacher,L$4,m_date,($G$2+6),m_active,1,m_start,"&lt;"&amp;1020,m_end,"&gt;"&amp;960),INDEX(m_label,_xlfn.MAXIFS(m_row,m_teacher,L$4,m_date,($G$2+6),m_active,1,m_start,"&lt;"&amp;1020,m_end,"&gt;"&amp;960))))))</f>
        <v/>
      </c>
      <c r="M78" s="82" t="str">
        <f aca="false">IF(OR(M$4="",MONTH(($G$2+6))&lt;&gt;MONTH($C$2)),"",IF(COUNTIFS(m_teacher,M$4,m_date,($G$2+6),m_active,1,m_start,"&lt;"&amp;1020,m_end,"&gt;"&amp;960)=0,"",IF(COUNTIFS(m_teacher,M$4,m_date,($G$2+6),m_active,1,m_start,"&lt;"&amp;1020,m_end,"&gt;"&amp;960)&gt;1,"충돌",HYPERLINK("#'관리자_MASTER'!D"&amp;_xlfn.MAXIFS(m_row,m_teacher,M$4,m_date,($G$2+6),m_active,1,m_start,"&lt;"&amp;1020,m_end,"&gt;"&amp;960),INDEX(m_label,_xlfn.MAXIFS(m_row,m_teacher,M$4,m_date,($G$2+6),m_active,1,m_start,"&lt;"&amp;1020,m_end,"&gt;"&amp;960))))))</f>
        <v/>
      </c>
      <c r="N78" s="82" t="str">
        <f aca="false">IF(OR(N$4="",MONTH(($G$2+6))&lt;&gt;MONTH($C$2)),"",IF(COUNTIFS(m_teacher,N$4,m_date,($G$2+6),m_active,1,m_start,"&lt;"&amp;1020,m_end,"&gt;"&amp;960)=0,"",IF(COUNTIFS(m_teacher,N$4,m_date,($G$2+6),m_active,1,m_start,"&lt;"&amp;1020,m_end,"&gt;"&amp;960)&gt;1,"충돌",HYPERLINK("#'관리자_MASTER'!D"&amp;_xlfn.MAXIFS(m_row,m_teacher,N$4,m_date,($G$2+6),m_active,1,m_start,"&lt;"&amp;1020,m_end,"&gt;"&amp;960),INDEX(m_label,_xlfn.MAXIFS(m_row,m_teacher,N$4,m_date,($G$2+6),m_active,1,m_start,"&lt;"&amp;1020,m_end,"&gt;"&amp;960))))))</f>
        <v/>
      </c>
      <c r="O78" s="92"/>
      <c r="P78" s="79" t="s">
        <v>98</v>
      </c>
      <c r="Q78" s="82" t="str">
        <f aca="false">IF(OR(Q$4="",MONTH(($G$2+13))&lt;&gt;MONTH($C$2)),"",IF(COUNTIFS(m_teacher,Q$4,m_date,($G$2+13),m_active,1,m_start,"&lt;"&amp;1020,m_end,"&gt;"&amp;960)=0,"",IF(COUNTIFS(m_teacher,Q$4,m_date,($G$2+13),m_active,1,m_start,"&lt;"&amp;1020,m_end,"&gt;"&amp;960)&gt;1,"충돌",HYPERLINK("#'관리자_MASTER'!D"&amp;_xlfn.MAXIFS(m_row,m_teacher,Q$4,m_date,($G$2+13),m_active,1,m_start,"&lt;"&amp;1020,m_end,"&gt;"&amp;960),INDEX(m_label,_xlfn.MAXIFS(m_row,m_teacher,Q$4,m_date,($G$2+13),m_active,1,m_start,"&lt;"&amp;1020,m_end,"&gt;"&amp;960))))))</f>
        <v/>
      </c>
      <c r="R78" s="82" t="str">
        <f aca="false">IF(OR(R$4="",MONTH(($G$2+13))&lt;&gt;MONTH($C$2)),"",IF(COUNTIFS(m_teacher,R$4,m_date,($G$2+13),m_active,1,m_start,"&lt;"&amp;1020,m_end,"&gt;"&amp;960)=0,"",IF(COUNTIFS(m_teacher,R$4,m_date,($G$2+13),m_active,1,m_start,"&lt;"&amp;1020,m_end,"&gt;"&amp;960)&gt;1,"충돌",HYPERLINK("#'관리자_MASTER'!D"&amp;_xlfn.MAXIFS(m_row,m_teacher,R$4,m_date,($G$2+13),m_active,1,m_start,"&lt;"&amp;1020,m_end,"&gt;"&amp;960),INDEX(m_label,_xlfn.MAXIFS(m_row,m_teacher,R$4,m_date,($G$2+13),m_active,1,m_start,"&lt;"&amp;1020,m_end,"&gt;"&amp;960))))))</f>
        <v/>
      </c>
      <c r="S78" s="82" t="str">
        <f aca="false">IF(OR(S$4="",MONTH(($G$2+13))&lt;&gt;MONTH($C$2)),"",IF(COUNTIFS(m_teacher,S$4,m_date,($G$2+13),m_active,1,m_start,"&lt;"&amp;1020,m_end,"&gt;"&amp;960)=0,"",IF(COUNTIFS(m_teacher,S$4,m_date,($G$2+13),m_active,1,m_start,"&lt;"&amp;1020,m_end,"&gt;"&amp;960)&gt;1,"충돌",HYPERLINK("#'관리자_MASTER'!D"&amp;_xlfn.MAXIFS(m_row,m_teacher,S$4,m_date,($G$2+13),m_active,1,m_start,"&lt;"&amp;1020,m_end,"&gt;"&amp;960),INDEX(m_label,_xlfn.MAXIFS(m_row,m_teacher,S$4,m_date,($G$2+13),m_active,1,m_start,"&lt;"&amp;1020,m_end,"&gt;"&amp;960))))))</f>
        <v/>
      </c>
      <c r="T78" s="82" t="str">
        <f aca="false">IF(OR(T$4="",MONTH(($G$2+13))&lt;&gt;MONTH($C$2)),"",IF(COUNTIFS(m_teacher,T$4,m_date,($G$2+13),m_active,1,m_start,"&lt;"&amp;1020,m_end,"&gt;"&amp;960)=0,"",IF(COUNTIFS(m_teacher,T$4,m_date,($G$2+13),m_active,1,m_start,"&lt;"&amp;1020,m_end,"&gt;"&amp;960)&gt;1,"충돌",HYPERLINK("#'관리자_MASTER'!D"&amp;_xlfn.MAXIFS(m_row,m_teacher,T$4,m_date,($G$2+13),m_active,1,m_start,"&lt;"&amp;1020,m_end,"&gt;"&amp;960),INDEX(m_label,_xlfn.MAXIFS(m_row,m_teacher,T$4,m_date,($G$2+13),m_active,1,m_start,"&lt;"&amp;1020,m_end,"&gt;"&amp;960))))))</f>
        <v/>
      </c>
      <c r="U78" s="82" t="str">
        <f aca="false">IF(OR(U$4="",MONTH(($G$2+13))&lt;&gt;MONTH($C$2)),"",IF(COUNTIFS(m_teacher,U$4,m_date,($G$2+13),m_active,1,m_start,"&lt;"&amp;1020,m_end,"&gt;"&amp;960)=0,"",IF(COUNTIFS(m_teacher,U$4,m_date,($G$2+13),m_active,1,m_start,"&lt;"&amp;1020,m_end,"&gt;"&amp;960)&gt;1,"충돌",HYPERLINK("#'관리자_MASTER'!D"&amp;_xlfn.MAXIFS(m_row,m_teacher,U$4,m_date,($G$2+13),m_active,1,m_start,"&lt;"&amp;1020,m_end,"&gt;"&amp;960),INDEX(m_label,_xlfn.MAXIFS(m_row,m_teacher,U$4,m_date,($G$2+13),m_active,1,m_start,"&lt;"&amp;1020,m_end,"&gt;"&amp;960))))))</f>
        <v/>
      </c>
      <c r="V78" s="82" t="str">
        <f aca="false">IF(OR(V$4="",MONTH(($G$2+13))&lt;&gt;MONTH($C$2)),"",IF(COUNTIFS(m_teacher,V$4,m_date,($G$2+13),m_active,1,m_start,"&lt;"&amp;1020,m_end,"&gt;"&amp;960)=0,"",IF(COUNTIFS(m_teacher,V$4,m_date,($G$2+13),m_active,1,m_start,"&lt;"&amp;1020,m_end,"&gt;"&amp;960)&gt;1,"충돌",HYPERLINK("#'관리자_MASTER'!D"&amp;_xlfn.MAXIFS(m_row,m_teacher,V$4,m_date,($G$2+13),m_active,1,m_start,"&lt;"&amp;1020,m_end,"&gt;"&amp;960),INDEX(m_label,_xlfn.MAXIFS(m_row,m_teacher,V$4,m_date,($G$2+13),m_active,1,m_start,"&lt;"&amp;1020,m_end,"&gt;"&amp;960))))))</f>
        <v/>
      </c>
      <c r="W78" s="82" t="str">
        <f aca="false">IF(OR(W$4="",MONTH(($G$2+13))&lt;&gt;MONTH($C$2)),"",IF(COUNTIFS(m_teacher,W$4,m_date,($G$2+13),m_active,1,m_start,"&lt;"&amp;1020,m_end,"&gt;"&amp;960)=0,"",IF(COUNTIFS(m_teacher,W$4,m_date,($G$2+13),m_active,1,m_start,"&lt;"&amp;1020,m_end,"&gt;"&amp;960)&gt;1,"충돌",HYPERLINK("#'관리자_MASTER'!D"&amp;_xlfn.MAXIFS(m_row,m_teacher,W$4,m_date,($G$2+13),m_active,1,m_start,"&lt;"&amp;1020,m_end,"&gt;"&amp;960),INDEX(m_label,_xlfn.MAXIFS(m_row,m_teacher,W$4,m_date,($G$2+13),m_active,1,m_start,"&lt;"&amp;1020,m_end,"&gt;"&amp;960))))))</f>
        <v/>
      </c>
      <c r="X78" s="82" t="str">
        <f aca="false">IF(OR(X$4="",MONTH(($G$2+13))&lt;&gt;MONTH($C$2)),"",IF(COUNTIFS(m_teacher,X$4,m_date,($G$2+13),m_active,1,m_start,"&lt;"&amp;1020,m_end,"&gt;"&amp;960)=0,"",IF(COUNTIFS(m_teacher,X$4,m_date,($G$2+13),m_active,1,m_start,"&lt;"&amp;1020,m_end,"&gt;"&amp;960)&gt;1,"충돌",HYPERLINK("#'관리자_MASTER'!D"&amp;_xlfn.MAXIFS(m_row,m_teacher,X$4,m_date,($G$2+13),m_active,1,m_start,"&lt;"&amp;1020,m_end,"&gt;"&amp;960),INDEX(m_label,_xlfn.MAXIFS(m_row,m_teacher,X$4,m_date,($G$2+13),m_active,1,m_start,"&lt;"&amp;1020,m_end,"&gt;"&amp;960))))))</f>
        <v/>
      </c>
      <c r="Y78" s="82" t="str">
        <f aca="false">IF(OR(Y$4="",MONTH(($G$2+13))&lt;&gt;MONTH($C$2)),"",IF(COUNTIFS(m_teacher,Y$4,m_date,($G$2+13),m_active,1,m_start,"&lt;"&amp;1020,m_end,"&gt;"&amp;960)=0,"",IF(COUNTIFS(m_teacher,Y$4,m_date,($G$2+13),m_active,1,m_start,"&lt;"&amp;1020,m_end,"&gt;"&amp;960)&gt;1,"충돌",HYPERLINK("#'관리자_MASTER'!D"&amp;_xlfn.MAXIFS(m_row,m_teacher,Y$4,m_date,($G$2+13),m_active,1,m_start,"&lt;"&amp;1020,m_end,"&gt;"&amp;960),INDEX(m_label,_xlfn.MAXIFS(m_row,m_teacher,Y$4,m_date,($G$2+13),m_active,1,m_start,"&lt;"&amp;1020,m_end,"&gt;"&amp;960))))))</f>
        <v/>
      </c>
      <c r="Z78" s="82" t="str">
        <f aca="false">IF(OR(Z$4="",MONTH(($G$2+13))&lt;&gt;MONTH($C$2)),"",IF(COUNTIFS(m_teacher,Z$4,m_date,($G$2+13),m_active,1,m_start,"&lt;"&amp;1020,m_end,"&gt;"&amp;960)=0,"",IF(COUNTIFS(m_teacher,Z$4,m_date,($G$2+13),m_active,1,m_start,"&lt;"&amp;1020,m_end,"&gt;"&amp;960)&gt;1,"충돌",HYPERLINK("#'관리자_MASTER'!D"&amp;_xlfn.MAXIFS(m_row,m_teacher,Z$4,m_date,($G$2+13),m_active,1,m_start,"&lt;"&amp;1020,m_end,"&gt;"&amp;960),INDEX(m_label,_xlfn.MAXIFS(m_row,m_teacher,Z$4,m_date,($G$2+13),m_active,1,m_start,"&lt;"&amp;1020,m_end,"&gt;"&amp;960))))))</f>
        <v/>
      </c>
      <c r="AA78" s="82" t="str">
        <f aca="false">IF(OR(AA$4="",MONTH(($G$2+13))&lt;&gt;MONTH($C$2)),"",IF(COUNTIFS(m_teacher,AA$4,m_date,($G$2+13),m_active,1,m_start,"&lt;"&amp;1020,m_end,"&gt;"&amp;960)=0,"",IF(COUNTIFS(m_teacher,AA$4,m_date,($G$2+13),m_active,1,m_start,"&lt;"&amp;1020,m_end,"&gt;"&amp;960)&gt;1,"충돌",HYPERLINK("#'관리자_MASTER'!D"&amp;_xlfn.MAXIFS(m_row,m_teacher,AA$4,m_date,($G$2+13),m_active,1,m_start,"&lt;"&amp;1020,m_end,"&gt;"&amp;960),INDEX(m_label,_xlfn.MAXIFS(m_row,m_teacher,AA$4,m_date,($G$2+13),m_active,1,m_start,"&lt;"&amp;1020,m_end,"&gt;"&amp;960))))))</f>
        <v/>
      </c>
      <c r="AB78" s="82" t="str">
        <f aca="false">IF(OR(AB$4="",MONTH(($G$2+13))&lt;&gt;MONTH($C$2)),"",IF(COUNTIFS(m_teacher,AB$4,m_date,($G$2+13),m_active,1,m_start,"&lt;"&amp;1020,m_end,"&gt;"&amp;960)=0,"",IF(COUNTIFS(m_teacher,AB$4,m_date,($G$2+13),m_active,1,m_start,"&lt;"&amp;1020,m_end,"&gt;"&amp;960)&gt;1,"충돌",HYPERLINK("#'관리자_MASTER'!D"&amp;_xlfn.MAXIFS(m_row,m_teacher,AB$4,m_date,($G$2+13),m_active,1,m_start,"&lt;"&amp;1020,m_end,"&gt;"&amp;960),INDEX(m_label,_xlfn.MAXIFS(m_row,m_teacher,AB$4,m_date,($G$2+13),m_active,1,m_start,"&lt;"&amp;1020,m_end,"&gt;"&amp;960))))))</f>
        <v/>
      </c>
      <c r="AC78" s="92"/>
      <c r="AD78" s="79" t="s">
        <v>98</v>
      </c>
      <c r="AE78" s="82" t="str">
        <f aca="false">IF(OR(AE$4="",MONTH(($G$2+20))&lt;&gt;MONTH($C$2)),"",IF(COUNTIFS(m_teacher,AE$4,m_date,($G$2+20),m_active,1,m_start,"&lt;"&amp;1020,m_end,"&gt;"&amp;960)=0,"",IF(COUNTIFS(m_teacher,AE$4,m_date,($G$2+20),m_active,1,m_start,"&lt;"&amp;1020,m_end,"&gt;"&amp;960)&gt;1,"충돌",HYPERLINK("#'관리자_MASTER'!D"&amp;_xlfn.MAXIFS(m_row,m_teacher,AE$4,m_date,($G$2+20),m_active,1,m_start,"&lt;"&amp;1020,m_end,"&gt;"&amp;960),INDEX(m_label,_xlfn.MAXIFS(m_row,m_teacher,AE$4,m_date,($G$2+20),m_active,1,m_start,"&lt;"&amp;1020,m_end,"&gt;"&amp;960))))))</f>
        <v/>
      </c>
      <c r="AF78" s="82" t="str">
        <f aca="false">IF(OR(AF$4="",MONTH(($G$2+20))&lt;&gt;MONTH($C$2)),"",IF(COUNTIFS(m_teacher,AF$4,m_date,($G$2+20),m_active,1,m_start,"&lt;"&amp;1020,m_end,"&gt;"&amp;960)=0,"",IF(COUNTIFS(m_teacher,AF$4,m_date,($G$2+20),m_active,1,m_start,"&lt;"&amp;1020,m_end,"&gt;"&amp;960)&gt;1,"충돌",HYPERLINK("#'관리자_MASTER'!D"&amp;_xlfn.MAXIFS(m_row,m_teacher,AF$4,m_date,($G$2+20),m_active,1,m_start,"&lt;"&amp;1020,m_end,"&gt;"&amp;960),INDEX(m_label,_xlfn.MAXIFS(m_row,m_teacher,AF$4,m_date,($G$2+20),m_active,1,m_start,"&lt;"&amp;1020,m_end,"&gt;"&amp;960))))))</f>
        <v/>
      </c>
      <c r="AG78" s="82" t="str">
        <f aca="false">IF(OR(AG$4="",MONTH(($G$2+20))&lt;&gt;MONTH($C$2)),"",IF(COUNTIFS(m_teacher,AG$4,m_date,($G$2+20),m_active,1,m_start,"&lt;"&amp;1020,m_end,"&gt;"&amp;960)=0,"",IF(COUNTIFS(m_teacher,AG$4,m_date,($G$2+20),m_active,1,m_start,"&lt;"&amp;1020,m_end,"&gt;"&amp;960)&gt;1,"충돌",HYPERLINK("#'관리자_MASTER'!D"&amp;_xlfn.MAXIFS(m_row,m_teacher,AG$4,m_date,($G$2+20),m_active,1,m_start,"&lt;"&amp;1020,m_end,"&gt;"&amp;960),INDEX(m_label,_xlfn.MAXIFS(m_row,m_teacher,AG$4,m_date,($G$2+20),m_active,1,m_start,"&lt;"&amp;1020,m_end,"&gt;"&amp;960))))))</f>
        <v/>
      </c>
      <c r="AH78" s="82" t="str">
        <f aca="false">IF(OR(AH$4="",MONTH(($G$2+20))&lt;&gt;MONTH($C$2)),"",IF(COUNTIFS(m_teacher,AH$4,m_date,($G$2+20),m_active,1,m_start,"&lt;"&amp;1020,m_end,"&gt;"&amp;960)=0,"",IF(COUNTIFS(m_teacher,AH$4,m_date,($G$2+20),m_active,1,m_start,"&lt;"&amp;1020,m_end,"&gt;"&amp;960)&gt;1,"충돌",HYPERLINK("#'관리자_MASTER'!D"&amp;_xlfn.MAXIFS(m_row,m_teacher,AH$4,m_date,($G$2+20),m_active,1,m_start,"&lt;"&amp;1020,m_end,"&gt;"&amp;960),INDEX(m_label,_xlfn.MAXIFS(m_row,m_teacher,AH$4,m_date,($G$2+20),m_active,1,m_start,"&lt;"&amp;1020,m_end,"&gt;"&amp;960))))))</f>
        <v/>
      </c>
      <c r="AI78" s="82" t="str">
        <f aca="false">IF(OR(AI$4="",MONTH(($G$2+20))&lt;&gt;MONTH($C$2)),"",IF(COUNTIFS(m_teacher,AI$4,m_date,($G$2+20),m_active,1,m_start,"&lt;"&amp;1020,m_end,"&gt;"&amp;960)=0,"",IF(COUNTIFS(m_teacher,AI$4,m_date,($G$2+20),m_active,1,m_start,"&lt;"&amp;1020,m_end,"&gt;"&amp;960)&gt;1,"충돌",HYPERLINK("#'관리자_MASTER'!D"&amp;_xlfn.MAXIFS(m_row,m_teacher,AI$4,m_date,($G$2+20),m_active,1,m_start,"&lt;"&amp;1020,m_end,"&gt;"&amp;960),INDEX(m_label,_xlfn.MAXIFS(m_row,m_teacher,AI$4,m_date,($G$2+20),m_active,1,m_start,"&lt;"&amp;1020,m_end,"&gt;"&amp;960))))))</f>
        <v/>
      </c>
      <c r="AJ78" s="82" t="str">
        <f aca="false">IF(OR(AJ$4="",MONTH(($G$2+20))&lt;&gt;MONTH($C$2)),"",IF(COUNTIFS(m_teacher,AJ$4,m_date,($G$2+20),m_active,1,m_start,"&lt;"&amp;1020,m_end,"&gt;"&amp;960)=0,"",IF(COUNTIFS(m_teacher,AJ$4,m_date,($G$2+20),m_active,1,m_start,"&lt;"&amp;1020,m_end,"&gt;"&amp;960)&gt;1,"충돌",HYPERLINK("#'관리자_MASTER'!D"&amp;_xlfn.MAXIFS(m_row,m_teacher,AJ$4,m_date,($G$2+20),m_active,1,m_start,"&lt;"&amp;1020,m_end,"&gt;"&amp;960),INDEX(m_label,_xlfn.MAXIFS(m_row,m_teacher,AJ$4,m_date,($G$2+20),m_active,1,m_start,"&lt;"&amp;1020,m_end,"&gt;"&amp;960))))))</f>
        <v/>
      </c>
      <c r="AK78" s="82" t="str">
        <f aca="false">IF(OR(AK$4="",MONTH(($G$2+20))&lt;&gt;MONTH($C$2)),"",IF(COUNTIFS(m_teacher,AK$4,m_date,($G$2+20),m_active,1,m_start,"&lt;"&amp;1020,m_end,"&gt;"&amp;960)=0,"",IF(COUNTIFS(m_teacher,AK$4,m_date,($G$2+20),m_active,1,m_start,"&lt;"&amp;1020,m_end,"&gt;"&amp;960)&gt;1,"충돌",HYPERLINK("#'관리자_MASTER'!D"&amp;_xlfn.MAXIFS(m_row,m_teacher,AK$4,m_date,($G$2+20),m_active,1,m_start,"&lt;"&amp;1020,m_end,"&gt;"&amp;960),INDEX(m_label,_xlfn.MAXIFS(m_row,m_teacher,AK$4,m_date,($G$2+20),m_active,1,m_start,"&lt;"&amp;1020,m_end,"&gt;"&amp;960))))))</f>
        <v/>
      </c>
      <c r="AL78" s="82" t="str">
        <f aca="false">IF(OR(AL$4="",MONTH(($G$2+20))&lt;&gt;MONTH($C$2)),"",IF(COUNTIFS(m_teacher,AL$4,m_date,($G$2+20),m_active,1,m_start,"&lt;"&amp;1020,m_end,"&gt;"&amp;960)=0,"",IF(COUNTIFS(m_teacher,AL$4,m_date,($G$2+20),m_active,1,m_start,"&lt;"&amp;1020,m_end,"&gt;"&amp;960)&gt;1,"충돌",HYPERLINK("#'관리자_MASTER'!D"&amp;_xlfn.MAXIFS(m_row,m_teacher,AL$4,m_date,($G$2+20),m_active,1,m_start,"&lt;"&amp;1020,m_end,"&gt;"&amp;960),INDEX(m_label,_xlfn.MAXIFS(m_row,m_teacher,AL$4,m_date,($G$2+20),m_active,1,m_start,"&lt;"&amp;1020,m_end,"&gt;"&amp;960))))))</f>
        <v/>
      </c>
      <c r="AM78" s="82" t="str">
        <f aca="false">IF(OR(AM$4="",MONTH(($G$2+20))&lt;&gt;MONTH($C$2)),"",IF(COUNTIFS(m_teacher,AM$4,m_date,($G$2+20),m_active,1,m_start,"&lt;"&amp;1020,m_end,"&gt;"&amp;960)=0,"",IF(COUNTIFS(m_teacher,AM$4,m_date,($G$2+20),m_active,1,m_start,"&lt;"&amp;1020,m_end,"&gt;"&amp;960)&gt;1,"충돌",HYPERLINK("#'관리자_MASTER'!D"&amp;_xlfn.MAXIFS(m_row,m_teacher,AM$4,m_date,($G$2+20),m_active,1,m_start,"&lt;"&amp;1020,m_end,"&gt;"&amp;960),INDEX(m_label,_xlfn.MAXIFS(m_row,m_teacher,AM$4,m_date,($G$2+20),m_active,1,m_start,"&lt;"&amp;1020,m_end,"&gt;"&amp;960))))))</f>
        <v/>
      </c>
      <c r="AN78" s="82" t="str">
        <f aca="false">IF(OR(AN$4="",MONTH(($G$2+20))&lt;&gt;MONTH($C$2)),"",IF(COUNTIFS(m_teacher,AN$4,m_date,($G$2+20),m_active,1,m_start,"&lt;"&amp;1020,m_end,"&gt;"&amp;960)=0,"",IF(COUNTIFS(m_teacher,AN$4,m_date,($G$2+20),m_active,1,m_start,"&lt;"&amp;1020,m_end,"&gt;"&amp;960)&gt;1,"충돌",HYPERLINK("#'관리자_MASTER'!D"&amp;_xlfn.MAXIFS(m_row,m_teacher,AN$4,m_date,($G$2+20),m_active,1,m_start,"&lt;"&amp;1020,m_end,"&gt;"&amp;960),INDEX(m_label,_xlfn.MAXIFS(m_row,m_teacher,AN$4,m_date,($G$2+20),m_active,1,m_start,"&lt;"&amp;1020,m_end,"&gt;"&amp;960))))))</f>
        <v/>
      </c>
      <c r="AO78" s="82" t="str">
        <f aca="false">IF(OR(AO$4="",MONTH(($G$2+20))&lt;&gt;MONTH($C$2)),"",IF(COUNTIFS(m_teacher,AO$4,m_date,($G$2+20),m_active,1,m_start,"&lt;"&amp;1020,m_end,"&gt;"&amp;960)=0,"",IF(COUNTIFS(m_teacher,AO$4,m_date,($G$2+20),m_active,1,m_start,"&lt;"&amp;1020,m_end,"&gt;"&amp;960)&gt;1,"충돌",HYPERLINK("#'관리자_MASTER'!D"&amp;_xlfn.MAXIFS(m_row,m_teacher,AO$4,m_date,($G$2+20),m_active,1,m_start,"&lt;"&amp;1020,m_end,"&gt;"&amp;960),INDEX(m_label,_xlfn.MAXIFS(m_row,m_teacher,AO$4,m_date,($G$2+20),m_active,1,m_start,"&lt;"&amp;1020,m_end,"&gt;"&amp;960))))))</f>
        <v/>
      </c>
      <c r="AP78" s="82" t="str">
        <f aca="false">IF(OR(AP$4="",MONTH(($G$2+20))&lt;&gt;MONTH($C$2)),"",IF(COUNTIFS(m_teacher,AP$4,m_date,($G$2+20),m_active,1,m_start,"&lt;"&amp;1020,m_end,"&gt;"&amp;960)=0,"",IF(COUNTIFS(m_teacher,AP$4,m_date,($G$2+20),m_active,1,m_start,"&lt;"&amp;1020,m_end,"&gt;"&amp;960)&gt;1,"충돌",HYPERLINK("#'관리자_MASTER'!D"&amp;_xlfn.MAXIFS(m_row,m_teacher,AP$4,m_date,($G$2+20),m_active,1,m_start,"&lt;"&amp;1020,m_end,"&gt;"&amp;960),INDEX(m_label,_xlfn.MAXIFS(m_row,m_teacher,AP$4,m_date,($G$2+20),m_active,1,m_start,"&lt;"&amp;1020,m_end,"&gt;"&amp;960))))))</f>
        <v/>
      </c>
      <c r="AQ78" s="92"/>
      <c r="AR78" s="79" t="s">
        <v>98</v>
      </c>
      <c r="AS78" s="82" t="str">
        <f aca="false">IF(OR(AS$4="",MONTH(($G$2+27))&lt;&gt;MONTH($C$2)),"",IF(COUNTIFS(m_teacher,AS$4,m_date,($G$2+27),m_active,1,m_start,"&lt;"&amp;1020,m_end,"&gt;"&amp;960)=0,"",IF(COUNTIFS(m_teacher,AS$4,m_date,($G$2+27),m_active,1,m_start,"&lt;"&amp;1020,m_end,"&gt;"&amp;960)&gt;1,"충돌",HYPERLINK("#'관리자_MASTER'!D"&amp;_xlfn.MAXIFS(m_row,m_teacher,AS$4,m_date,($G$2+27),m_active,1,m_start,"&lt;"&amp;1020,m_end,"&gt;"&amp;960),INDEX(m_label,_xlfn.MAXIFS(m_row,m_teacher,AS$4,m_date,($G$2+27),m_active,1,m_start,"&lt;"&amp;1020,m_end,"&gt;"&amp;960))))))</f>
        <v/>
      </c>
      <c r="AT78" s="82" t="str">
        <f aca="false">IF(OR(AT$4="",MONTH(($G$2+27))&lt;&gt;MONTH($C$2)),"",IF(COUNTIFS(m_teacher,AT$4,m_date,($G$2+27),m_active,1,m_start,"&lt;"&amp;1020,m_end,"&gt;"&amp;960)=0,"",IF(COUNTIFS(m_teacher,AT$4,m_date,($G$2+27),m_active,1,m_start,"&lt;"&amp;1020,m_end,"&gt;"&amp;960)&gt;1,"충돌",HYPERLINK("#'관리자_MASTER'!D"&amp;_xlfn.MAXIFS(m_row,m_teacher,AT$4,m_date,($G$2+27),m_active,1,m_start,"&lt;"&amp;1020,m_end,"&gt;"&amp;960),INDEX(m_label,_xlfn.MAXIFS(m_row,m_teacher,AT$4,m_date,($G$2+27),m_active,1,m_start,"&lt;"&amp;1020,m_end,"&gt;"&amp;960))))))</f>
        <v/>
      </c>
      <c r="AU78" s="82" t="str">
        <f aca="false">IF(OR(AU$4="",MONTH(($G$2+27))&lt;&gt;MONTH($C$2)),"",IF(COUNTIFS(m_teacher,AU$4,m_date,($G$2+27),m_active,1,m_start,"&lt;"&amp;1020,m_end,"&gt;"&amp;960)=0,"",IF(COUNTIFS(m_teacher,AU$4,m_date,($G$2+27),m_active,1,m_start,"&lt;"&amp;1020,m_end,"&gt;"&amp;960)&gt;1,"충돌",HYPERLINK("#'관리자_MASTER'!D"&amp;_xlfn.MAXIFS(m_row,m_teacher,AU$4,m_date,($G$2+27),m_active,1,m_start,"&lt;"&amp;1020,m_end,"&gt;"&amp;960),INDEX(m_label,_xlfn.MAXIFS(m_row,m_teacher,AU$4,m_date,($G$2+27),m_active,1,m_start,"&lt;"&amp;1020,m_end,"&gt;"&amp;960))))))</f>
        <v/>
      </c>
      <c r="AV78" s="82" t="str">
        <f aca="false">IF(OR(AV$4="",MONTH(($G$2+27))&lt;&gt;MONTH($C$2)),"",IF(COUNTIFS(m_teacher,AV$4,m_date,($G$2+27),m_active,1,m_start,"&lt;"&amp;1020,m_end,"&gt;"&amp;960)=0,"",IF(COUNTIFS(m_teacher,AV$4,m_date,($G$2+27),m_active,1,m_start,"&lt;"&amp;1020,m_end,"&gt;"&amp;960)&gt;1,"충돌",HYPERLINK("#'관리자_MASTER'!D"&amp;_xlfn.MAXIFS(m_row,m_teacher,AV$4,m_date,($G$2+27),m_active,1,m_start,"&lt;"&amp;1020,m_end,"&gt;"&amp;960),INDEX(m_label,_xlfn.MAXIFS(m_row,m_teacher,AV$4,m_date,($G$2+27),m_active,1,m_start,"&lt;"&amp;1020,m_end,"&gt;"&amp;960))))))</f>
        <v/>
      </c>
      <c r="AW78" s="82" t="str">
        <f aca="false">IF(OR(AW$4="",MONTH(($G$2+27))&lt;&gt;MONTH($C$2)),"",IF(COUNTIFS(m_teacher,AW$4,m_date,($G$2+27),m_active,1,m_start,"&lt;"&amp;1020,m_end,"&gt;"&amp;960)=0,"",IF(COUNTIFS(m_teacher,AW$4,m_date,($G$2+27),m_active,1,m_start,"&lt;"&amp;1020,m_end,"&gt;"&amp;960)&gt;1,"충돌",HYPERLINK("#'관리자_MASTER'!D"&amp;_xlfn.MAXIFS(m_row,m_teacher,AW$4,m_date,($G$2+27),m_active,1,m_start,"&lt;"&amp;1020,m_end,"&gt;"&amp;960),INDEX(m_label,_xlfn.MAXIFS(m_row,m_teacher,AW$4,m_date,($G$2+27),m_active,1,m_start,"&lt;"&amp;1020,m_end,"&gt;"&amp;960))))))</f>
        <v/>
      </c>
      <c r="AX78" s="82" t="str">
        <f aca="false">IF(OR(AX$4="",MONTH(($G$2+27))&lt;&gt;MONTH($C$2)),"",IF(COUNTIFS(m_teacher,AX$4,m_date,($G$2+27),m_active,1,m_start,"&lt;"&amp;1020,m_end,"&gt;"&amp;960)=0,"",IF(COUNTIFS(m_teacher,AX$4,m_date,($G$2+27),m_active,1,m_start,"&lt;"&amp;1020,m_end,"&gt;"&amp;960)&gt;1,"충돌",HYPERLINK("#'관리자_MASTER'!D"&amp;_xlfn.MAXIFS(m_row,m_teacher,AX$4,m_date,($G$2+27),m_active,1,m_start,"&lt;"&amp;1020,m_end,"&gt;"&amp;960),INDEX(m_label,_xlfn.MAXIFS(m_row,m_teacher,AX$4,m_date,($G$2+27),m_active,1,m_start,"&lt;"&amp;1020,m_end,"&gt;"&amp;960))))))</f>
        <v/>
      </c>
      <c r="AY78" s="82" t="str">
        <f aca="false">IF(OR(AY$4="",MONTH(($G$2+27))&lt;&gt;MONTH($C$2)),"",IF(COUNTIFS(m_teacher,AY$4,m_date,($G$2+27),m_active,1,m_start,"&lt;"&amp;1020,m_end,"&gt;"&amp;960)=0,"",IF(COUNTIFS(m_teacher,AY$4,m_date,($G$2+27),m_active,1,m_start,"&lt;"&amp;1020,m_end,"&gt;"&amp;960)&gt;1,"충돌",HYPERLINK("#'관리자_MASTER'!D"&amp;_xlfn.MAXIFS(m_row,m_teacher,AY$4,m_date,($G$2+27),m_active,1,m_start,"&lt;"&amp;1020,m_end,"&gt;"&amp;960),INDEX(m_label,_xlfn.MAXIFS(m_row,m_teacher,AY$4,m_date,($G$2+27),m_active,1,m_start,"&lt;"&amp;1020,m_end,"&gt;"&amp;960))))))</f>
        <v/>
      </c>
      <c r="AZ78" s="82" t="str">
        <f aca="false">IF(OR(AZ$4="",MONTH(($G$2+27))&lt;&gt;MONTH($C$2)),"",IF(COUNTIFS(m_teacher,AZ$4,m_date,($G$2+27),m_active,1,m_start,"&lt;"&amp;1020,m_end,"&gt;"&amp;960)=0,"",IF(COUNTIFS(m_teacher,AZ$4,m_date,($G$2+27),m_active,1,m_start,"&lt;"&amp;1020,m_end,"&gt;"&amp;960)&gt;1,"충돌",HYPERLINK("#'관리자_MASTER'!D"&amp;_xlfn.MAXIFS(m_row,m_teacher,AZ$4,m_date,($G$2+27),m_active,1,m_start,"&lt;"&amp;1020,m_end,"&gt;"&amp;960),INDEX(m_label,_xlfn.MAXIFS(m_row,m_teacher,AZ$4,m_date,($G$2+27),m_active,1,m_start,"&lt;"&amp;1020,m_end,"&gt;"&amp;960))))))</f>
        <v/>
      </c>
      <c r="BA78" s="82" t="str">
        <f aca="false">IF(OR(BA$4="",MONTH(($G$2+27))&lt;&gt;MONTH($C$2)),"",IF(COUNTIFS(m_teacher,BA$4,m_date,($G$2+27),m_active,1,m_start,"&lt;"&amp;1020,m_end,"&gt;"&amp;960)=0,"",IF(COUNTIFS(m_teacher,BA$4,m_date,($G$2+27),m_active,1,m_start,"&lt;"&amp;1020,m_end,"&gt;"&amp;960)&gt;1,"충돌",HYPERLINK("#'관리자_MASTER'!D"&amp;_xlfn.MAXIFS(m_row,m_teacher,BA$4,m_date,($G$2+27),m_active,1,m_start,"&lt;"&amp;1020,m_end,"&gt;"&amp;960),INDEX(m_label,_xlfn.MAXIFS(m_row,m_teacher,BA$4,m_date,($G$2+27),m_active,1,m_start,"&lt;"&amp;1020,m_end,"&gt;"&amp;960))))))</f>
        <v/>
      </c>
      <c r="BB78" s="82" t="str">
        <f aca="false">IF(OR(BB$4="",MONTH(($G$2+27))&lt;&gt;MONTH($C$2)),"",IF(COUNTIFS(m_teacher,BB$4,m_date,($G$2+27),m_active,1,m_start,"&lt;"&amp;1020,m_end,"&gt;"&amp;960)=0,"",IF(COUNTIFS(m_teacher,BB$4,m_date,($G$2+27),m_active,1,m_start,"&lt;"&amp;1020,m_end,"&gt;"&amp;960)&gt;1,"충돌",HYPERLINK("#'관리자_MASTER'!D"&amp;_xlfn.MAXIFS(m_row,m_teacher,BB$4,m_date,($G$2+27),m_active,1,m_start,"&lt;"&amp;1020,m_end,"&gt;"&amp;960),INDEX(m_label,_xlfn.MAXIFS(m_row,m_teacher,BB$4,m_date,($G$2+27),m_active,1,m_start,"&lt;"&amp;1020,m_end,"&gt;"&amp;960))))))</f>
        <v/>
      </c>
      <c r="BC78" s="82" t="str">
        <f aca="false">IF(OR(BC$4="",MONTH(($G$2+27))&lt;&gt;MONTH($C$2)),"",IF(COUNTIFS(m_teacher,BC$4,m_date,($G$2+27),m_active,1,m_start,"&lt;"&amp;1020,m_end,"&gt;"&amp;960)=0,"",IF(COUNTIFS(m_teacher,BC$4,m_date,($G$2+27),m_active,1,m_start,"&lt;"&amp;1020,m_end,"&gt;"&amp;960)&gt;1,"충돌",HYPERLINK("#'관리자_MASTER'!D"&amp;_xlfn.MAXIFS(m_row,m_teacher,BC$4,m_date,($G$2+27),m_active,1,m_start,"&lt;"&amp;1020,m_end,"&gt;"&amp;960),INDEX(m_label,_xlfn.MAXIFS(m_row,m_teacher,BC$4,m_date,($G$2+27),m_active,1,m_start,"&lt;"&amp;1020,m_end,"&gt;"&amp;960))))))</f>
        <v/>
      </c>
      <c r="BD78" s="82" t="str">
        <f aca="false">IF(OR(BD$4="",MONTH(($G$2+27))&lt;&gt;MONTH($C$2)),"",IF(COUNTIFS(m_teacher,BD$4,m_date,($G$2+27),m_active,1,m_start,"&lt;"&amp;1020,m_end,"&gt;"&amp;960)=0,"",IF(COUNTIFS(m_teacher,BD$4,m_date,($G$2+27),m_active,1,m_start,"&lt;"&amp;1020,m_end,"&gt;"&amp;960)&gt;1,"충돌",HYPERLINK("#'관리자_MASTER'!D"&amp;_xlfn.MAXIFS(m_row,m_teacher,BD$4,m_date,($G$2+27),m_active,1,m_start,"&lt;"&amp;1020,m_end,"&gt;"&amp;960),INDEX(m_label,_xlfn.MAXIFS(m_row,m_teacher,BD$4,m_date,($G$2+27),m_active,1,m_start,"&lt;"&amp;1020,m_end,"&gt;"&amp;960))))))</f>
        <v/>
      </c>
      <c r="BE78" s="93"/>
      <c r="BF78" s="76" t="s">
        <v>98</v>
      </c>
      <c r="BG78" s="81" t="str">
        <f aca="false">IF(OR(BG$4="",MONTH(($G$2+34))&lt;&gt;MONTH($C$2)),"",IF(COUNTIFS(m_teacher,BG$4,m_date,($G$2+34),m_active,1,m_start,"&lt;"&amp;1020,m_end,"&gt;"&amp;960)=0,"",IF(COUNTIFS(m_teacher,BG$4,m_date,($G$2+34),m_active,1,m_start,"&lt;"&amp;1020,m_end,"&gt;"&amp;960)&gt;1,"충돌",HYPERLINK("#'관리자_MASTER'!D"&amp;_xlfn.MAXIFS(m_row,m_teacher,BG$4,m_date,($G$2+34),m_active,1,m_start,"&lt;"&amp;1020,m_end,"&gt;"&amp;960),INDEX(m_label,_xlfn.MAXIFS(m_row,m_teacher,BG$4,m_date,($G$2+34),m_active,1,m_start,"&lt;"&amp;1020,m_end,"&gt;"&amp;960))))))</f>
        <v/>
      </c>
      <c r="BH78" s="81" t="str">
        <f aca="false">IF(OR(BH$4="",MONTH(($G$2+34))&lt;&gt;MONTH($C$2)),"",IF(COUNTIFS(m_teacher,BH$4,m_date,($G$2+34),m_active,1,m_start,"&lt;"&amp;1020,m_end,"&gt;"&amp;960)=0,"",IF(COUNTIFS(m_teacher,BH$4,m_date,($G$2+34),m_active,1,m_start,"&lt;"&amp;1020,m_end,"&gt;"&amp;960)&gt;1,"충돌",HYPERLINK("#'관리자_MASTER'!D"&amp;_xlfn.MAXIFS(m_row,m_teacher,BH$4,m_date,($G$2+34),m_active,1,m_start,"&lt;"&amp;1020,m_end,"&gt;"&amp;960),INDEX(m_label,_xlfn.MAXIFS(m_row,m_teacher,BH$4,m_date,($G$2+34),m_active,1,m_start,"&lt;"&amp;1020,m_end,"&gt;"&amp;960))))))</f>
        <v/>
      </c>
      <c r="BI78" s="81" t="str">
        <f aca="false">IF(OR(BI$4="",MONTH(($G$2+34))&lt;&gt;MONTH($C$2)),"",IF(COUNTIFS(m_teacher,BI$4,m_date,($G$2+34),m_active,1,m_start,"&lt;"&amp;1020,m_end,"&gt;"&amp;960)=0,"",IF(COUNTIFS(m_teacher,BI$4,m_date,($G$2+34),m_active,1,m_start,"&lt;"&amp;1020,m_end,"&gt;"&amp;960)&gt;1,"충돌",HYPERLINK("#'관리자_MASTER'!D"&amp;_xlfn.MAXIFS(m_row,m_teacher,BI$4,m_date,($G$2+34),m_active,1,m_start,"&lt;"&amp;1020,m_end,"&gt;"&amp;960),INDEX(m_label,_xlfn.MAXIFS(m_row,m_teacher,BI$4,m_date,($G$2+34),m_active,1,m_start,"&lt;"&amp;1020,m_end,"&gt;"&amp;960))))))</f>
        <v/>
      </c>
      <c r="BJ78" s="81" t="str">
        <f aca="false">IF(OR(BJ$4="",MONTH(($G$2+34))&lt;&gt;MONTH($C$2)),"",IF(COUNTIFS(m_teacher,BJ$4,m_date,($G$2+34),m_active,1,m_start,"&lt;"&amp;1020,m_end,"&gt;"&amp;960)=0,"",IF(COUNTIFS(m_teacher,BJ$4,m_date,($G$2+34),m_active,1,m_start,"&lt;"&amp;1020,m_end,"&gt;"&amp;960)&gt;1,"충돌",HYPERLINK("#'관리자_MASTER'!D"&amp;_xlfn.MAXIFS(m_row,m_teacher,BJ$4,m_date,($G$2+34),m_active,1,m_start,"&lt;"&amp;1020,m_end,"&gt;"&amp;960),INDEX(m_label,_xlfn.MAXIFS(m_row,m_teacher,BJ$4,m_date,($G$2+34),m_active,1,m_start,"&lt;"&amp;1020,m_end,"&gt;"&amp;960))))))</f>
        <v/>
      </c>
      <c r="BK78" s="81" t="str">
        <f aca="false">IF(OR(BK$4="",MONTH(($G$2+34))&lt;&gt;MONTH($C$2)),"",IF(COUNTIFS(m_teacher,BK$4,m_date,($G$2+34),m_active,1,m_start,"&lt;"&amp;1020,m_end,"&gt;"&amp;960)=0,"",IF(COUNTIFS(m_teacher,BK$4,m_date,($G$2+34),m_active,1,m_start,"&lt;"&amp;1020,m_end,"&gt;"&amp;960)&gt;1,"충돌",HYPERLINK("#'관리자_MASTER'!D"&amp;_xlfn.MAXIFS(m_row,m_teacher,BK$4,m_date,($G$2+34),m_active,1,m_start,"&lt;"&amp;1020,m_end,"&gt;"&amp;960),INDEX(m_label,_xlfn.MAXIFS(m_row,m_teacher,BK$4,m_date,($G$2+34),m_active,1,m_start,"&lt;"&amp;1020,m_end,"&gt;"&amp;960))))))</f>
        <v/>
      </c>
      <c r="BL78" s="81" t="str">
        <f aca="false">IF(OR(BL$4="",MONTH(($G$2+34))&lt;&gt;MONTH($C$2)),"",IF(COUNTIFS(m_teacher,BL$4,m_date,($G$2+34),m_active,1,m_start,"&lt;"&amp;1020,m_end,"&gt;"&amp;960)=0,"",IF(COUNTIFS(m_teacher,BL$4,m_date,($G$2+34),m_active,1,m_start,"&lt;"&amp;1020,m_end,"&gt;"&amp;960)&gt;1,"충돌",HYPERLINK("#'관리자_MASTER'!D"&amp;_xlfn.MAXIFS(m_row,m_teacher,BL$4,m_date,($G$2+34),m_active,1,m_start,"&lt;"&amp;1020,m_end,"&gt;"&amp;960),INDEX(m_label,_xlfn.MAXIFS(m_row,m_teacher,BL$4,m_date,($G$2+34),m_active,1,m_start,"&lt;"&amp;1020,m_end,"&gt;"&amp;960))))))</f>
        <v/>
      </c>
      <c r="BM78" s="81" t="str">
        <f aca="false">IF(OR(BM$4="",MONTH(($G$2+34))&lt;&gt;MONTH($C$2)),"",IF(COUNTIFS(m_teacher,BM$4,m_date,($G$2+34),m_active,1,m_start,"&lt;"&amp;1020,m_end,"&gt;"&amp;960)=0,"",IF(COUNTIFS(m_teacher,BM$4,m_date,($G$2+34),m_active,1,m_start,"&lt;"&amp;1020,m_end,"&gt;"&amp;960)&gt;1,"충돌",HYPERLINK("#'관리자_MASTER'!D"&amp;_xlfn.MAXIFS(m_row,m_teacher,BM$4,m_date,($G$2+34),m_active,1,m_start,"&lt;"&amp;1020,m_end,"&gt;"&amp;960),INDEX(m_label,_xlfn.MAXIFS(m_row,m_teacher,BM$4,m_date,($G$2+34),m_active,1,m_start,"&lt;"&amp;1020,m_end,"&gt;"&amp;960))))))</f>
        <v/>
      </c>
      <c r="BN78" s="81" t="str">
        <f aca="false">IF(OR(BN$4="",MONTH(($G$2+34))&lt;&gt;MONTH($C$2)),"",IF(COUNTIFS(m_teacher,BN$4,m_date,($G$2+34),m_active,1,m_start,"&lt;"&amp;1020,m_end,"&gt;"&amp;960)=0,"",IF(COUNTIFS(m_teacher,BN$4,m_date,($G$2+34),m_active,1,m_start,"&lt;"&amp;1020,m_end,"&gt;"&amp;960)&gt;1,"충돌",HYPERLINK("#'관리자_MASTER'!D"&amp;_xlfn.MAXIFS(m_row,m_teacher,BN$4,m_date,($G$2+34),m_active,1,m_start,"&lt;"&amp;1020,m_end,"&gt;"&amp;960),INDEX(m_label,_xlfn.MAXIFS(m_row,m_teacher,BN$4,m_date,($G$2+34),m_active,1,m_start,"&lt;"&amp;1020,m_end,"&gt;"&amp;960))))))</f>
        <v/>
      </c>
      <c r="BO78" s="81" t="str">
        <f aca="false">IF(OR(BO$4="",MONTH(($G$2+34))&lt;&gt;MONTH($C$2)),"",IF(COUNTIFS(m_teacher,BO$4,m_date,($G$2+34),m_active,1,m_start,"&lt;"&amp;1020,m_end,"&gt;"&amp;960)=0,"",IF(COUNTIFS(m_teacher,BO$4,m_date,($G$2+34),m_active,1,m_start,"&lt;"&amp;1020,m_end,"&gt;"&amp;960)&gt;1,"충돌",HYPERLINK("#'관리자_MASTER'!D"&amp;_xlfn.MAXIFS(m_row,m_teacher,BO$4,m_date,($G$2+34),m_active,1,m_start,"&lt;"&amp;1020,m_end,"&gt;"&amp;960),INDEX(m_label,_xlfn.MAXIFS(m_row,m_teacher,BO$4,m_date,($G$2+34),m_active,1,m_start,"&lt;"&amp;1020,m_end,"&gt;"&amp;960))))))</f>
        <v/>
      </c>
      <c r="BP78" s="81" t="str">
        <f aca="false">IF(OR(BP$4="",MONTH(($G$2+34))&lt;&gt;MONTH($C$2)),"",IF(COUNTIFS(m_teacher,BP$4,m_date,($G$2+34),m_active,1,m_start,"&lt;"&amp;1020,m_end,"&gt;"&amp;960)=0,"",IF(COUNTIFS(m_teacher,BP$4,m_date,($G$2+34),m_active,1,m_start,"&lt;"&amp;1020,m_end,"&gt;"&amp;960)&gt;1,"충돌",HYPERLINK("#'관리자_MASTER'!D"&amp;_xlfn.MAXIFS(m_row,m_teacher,BP$4,m_date,($G$2+34),m_active,1,m_start,"&lt;"&amp;1020,m_end,"&gt;"&amp;960),INDEX(m_label,_xlfn.MAXIFS(m_row,m_teacher,BP$4,m_date,($G$2+34),m_active,1,m_start,"&lt;"&amp;1020,m_end,"&gt;"&amp;960))))))</f>
        <v/>
      </c>
      <c r="BQ78" s="81" t="str">
        <f aca="false">IF(OR(BQ$4="",MONTH(($G$2+34))&lt;&gt;MONTH($C$2)),"",IF(COUNTIFS(m_teacher,BQ$4,m_date,($G$2+34),m_active,1,m_start,"&lt;"&amp;1020,m_end,"&gt;"&amp;960)=0,"",IF(COUNTIFS(m_teacher,BQ$4,m_date,($G$2+34),m_active,1,m_start,"&lt;"&amp;1020,m_end,"&gt;"&amp;960)&gt;1,"충돌",HYPERLINK("#'관리자_MASTER'!D"&amp;_xlfn.MAXIFS(m_row,m_teacher,BQ$4,m_date,($G$2+34),m_active,1,m_start,"&lt;"&amp;1020,m_end,"&gt;"&amp;960),INDEX(m_label,_xlfn.MAXIFS(m_row,m_teacher,BQ$4,m_date,($G$2+34),m_active,1,m_start,"&lt;"&amp;1020,m_end,"&gt;"&amp;960))))))</f>
        <v/>
      </c>
      <c r="BR78" s="81" t="str">
        <f aca="false">IF(OR(BR$4="",MONTH(($G$2+34))&lt;&gt;MONTH($C$2)),"",IF(COUNTIFS(m_teacher,BR$4,m_date,($G$2+34),m_active,1,m_start,"&lt;"&amp;1020,m_end,"&gt;"&amp;960)=0,"",IF(COUNTIFS(m_teacher,BR$4,m_date,($G$2+34),m_active,1,m_start,"&lt;"&amp;1020,m_end,"&gt;"&amp;960)&gt;1,"충돌",HYPERLINK("#'관리자_MASTER'!D"&amp;_xlfn.MAXIFS(m_row,m_teacher,BR$4,m_date,($G$2+34),m_active,1,m_start,"&lt;"&amp;1020,m_end,"&gt;"&amp;960),INDEX(m_label,_xlfn.MAXIFS(m_row,m_teacher,BR$4,m_date,($G$2+34),m_active,1,m_start,"&lt;"&amp;1020,m_end,"&gt;"&amp;960))))))</f>
        <v/>
      </c>
    </row>
    <row r="79" customFormat="false" ht="19.5" hidden="false" customHeight="true" outlineLevel="0" collapsed="false">
      <c r="A79" s="92"/>
      <c r="B79" s="79" t="s">
        <v>99</v>
      </c>
      <c r="C79" s="82" t="str">
        <f aca="false">IF(OR(C$4="",MONTH(($G$2+6))&lt;&gt;MONTH($C$2)),"",IF(COUNTIFS(m_teacher,C$4,m_date,($G$2+6),m_active,1,m_start,"&lt;"&amp;1080,m_end,"&gt;"&amp;1020)=0,"",IF(COUNTIFS(m_teacher,C$4,m_date,($G$2+6),m_active,1,m_start,"&lt;"&amp;1080,m_end,"&gt;"&amp;1020)&gt;1,"충돌",HYPERLINK("#'관리자_MASTER'!D"&amp;_xlfn.MAXIFS(m_row,m_teacher,C$4,m_date,($G$2+6),m_active,1,m_start,"&lt;"&amp;1080,m_end,"&gt;"&amp;1020),INDEX(m_label,_xlfn.MAXIFS(m_row,m_teacher,C$4,m_date,($G$2+6),m_active,1,m_start,"&lt;"&amp;1080,m_end,"&gt;"&amp;1020))))))</f>
        <v/>
      </c>
      <c r="D79" s="82" t="str">
        <f aca="false">IF(OR(D$4="",MONTH(($G$2+6))&lt;&gt;MONTH($C$2)),"",IF(COUNTIFS(m_teacher,D$4,m_date,($G$2+6),m_active,1,m_start,"&lt;"&amp;1080,m_end,"&gt;"&amp;1020)=0,"",IF(COUNTIFS(m_teacher,D$4,m_date,($G$2+6),m_active,1,m_start,"&lt;"&amp;1080,m_end,"&gt;"&amp;1020)&gt;1,"충돌",HYPERLINK("#'관리자_MASTER'!D"&amp;_xlfn.MAXIFS(m_row,m_teacher,D$4,m_date,($G$2+6),m_active,1,m_start,"&lt;"&amp;1080,m_end,"&gt;"&amp;1020),INDEX(m_label,_xlfn.MAXIFS(m_row,m_teacher,D$4,m_date,($G$2+6),m_active,1,m_start,"&lt;"&amp;1080,m_end,"&gt;"&amp;1020))))))</f>
        <v/>
      </c>
      <c r="E79" s="82" t="str">
        <f aca="false">IF(OR(E$4="",MONTH(($G$2+6))&lt;&gt;MONTH($C$2)),"",IF(COUNTIFS(m_teacher,E$4,m_date,($G$2+6),m_active,1,m_start,"&lt;"&amp;1080,m_end,"&gt;"&amp;1020)=0,"",IF(COUNTIFS(m_teacher,E$4,m_date,($G$2+6),m_active,1,m_start,"&lt;"&amp;1080,m_end,"&gt;"&amp;1020)&gt;1,"충돌",HYPERLINK("#'관리자_MASTER'!D"&amp;_xlfn.MAXIFS(m_row,m_teacher,E$4,m_date,($G$2+6),m_active,1,m_start,"&lt;"&amp;1080,m_end,"&gt;"&amp;1020),INDEX(m_label,_xlfn.MAXIFS(m_row,m_teacher,E$4,m_date,($G$2+6),m_active,1,m_start,"&lt;"&amp;1080,m_end,"&gt;"&amp;1020))))))</f>
        <v/>
      </c>
      <c r="F79" s="82" t="str">
        <f aca="false">IF(OR(F$4="",MONTH(($G$2+6))&lt;&gt;MONTH($C$2)),"",IF(COUNTIFS(m_teacher,F$4,m_date,($G$2+6),m_active,1,m_start,"&lt;"&amp;1080,m_end,"&gt;"&amp;1020)=0,"",IF(COUNTIFS(m_teacher,F$4,m_date,($G$2+6),m_active,1,m_start,"&lt;"&amp;1080,m_end,"&gt;"&amp;1020)&gt;1,"충돌",HYPERLINK("#'관리자_MASTER'!D"&amp;_xlfn.MAXIFS(m_row,m_teacher,F$4,m_date,($G$2+6),m_active,1,m_start,"&lt;"&amp;1080,m_end,"&gt;"&amp;1020),INDEX(m_label,_xlfn.MAXIFS(m_row,m_teacher,F$4,m_date,($G$2+6),m_active,1,m_start,"&lt;"&amp;1080,m_end,"&gt;"&amp;1020))))))</f>
        <v/>
      </c>
      <c r="G79" s="82" t="str">
        <f aca="false">IF(OR(G$4="",MONTH(($G$2+6))&lt;&gt;MONTH($C$2)),"",IF(COUNTIFS(m_teacher,G$4,m_date,($G$2+6),m_active,1,m_start,"&lt;"&amp;1080,m_end,"&gt;"&amp;1020)=0,"",IF(COUNTIFS(m_teacher,G$4,m_date,($G$2+6),m_active,1,m_start,"&lt;"&amp;1080,m_end,"&gt;"&amp;1020)&gt;1,"충돌",HYPERLINK("#'관리자_MASTER'!D"&amp;_xlfn.MAXIFS(m_row,m_teacher,G$4,m_date,($G$2+6),m_active,1,m_start,"&lt;"&amp;1080,m_end,"&gt;"&amp;1020),INDEX(m_label,_xlfn.MAXIFS(m_row,m_teacher,G$4,m_date,($G$2+6),m_active,1,m_start,"&lt;"&amp;1080,m_end,"&gt;"&amp;1020))))))</f>
        <v/>
      </c>
      <c r="H79" s="82" t="str">
        <f aca="false">IF(OR(H$4="",MONTH(($G$2+6))&lt;&gt;MONTH($C$2)),"",IF(COUNTIFS(m_teacher,H$4,m_date,($G$2+6),m_active,1,m_start,"&lt;"&amp;1080,m_end,"&gt;"&amp;1020)=0,"",IF(COUNTIFS(m_teacher,H$4,m_date,($G$2+6),m_active,1,m_start,"&lt;"&amp;1080,m_end,"&gt;"&amp;1020)&gt;1,"충돌",HYPERLINK("#'관리자_MASTER'!D"&amp;_xlfn.MAXIFS(m_row,m_teacher,H$4,m_date,($G$2+6),m_active,1,m_start,"&lt;"&amp;1080,m_end,"&gt;"&amp;1020),INDEX(m_label,_xlfn.MAXIFS(m_row,m_teacher,H$4,m_date,($G$2+6),m_active,1,m_start,"&lt;"&amp;1080,m_end,"&gt;"&amp;1020))))))</f>
        <v/>
      </c>
      <c r="I79" s="82" t="str">
        <f aca="false">IF(OR(I$4="",MONTH(($G$2+6))&lt;&gt;MONTH($C$2)),"",IF(COUNTIFS(m_teacher,I$4,m_date,($G$2+6),m_active,1,m_start,"&lt;"&amp;1080,m_end,"&gt;"&amp;1020)=0,"",IF(COUNTIFS(m_teacher,I$4,m_date,($G$2+6),m_active,1,m_start,"&lt;"&amp;1080,m_end,"&gt;"&amp;1020)&gt;1,"충돌",HYPERLINK("#'관리자_MASTER'!D"&amp;_xlfn.MAXIFS(m_row,m_teacher,I$4,m_date,($G$2+6),m_active,1,m_start,"&lt;"&amp;1080,m_end,"&gt;"&amp;1020),INDEX(m_label,_xlfn.MAXIFS(m_row,m_teacher,I$4,m_date,($G$2+6),m_active,1,m_start,"&lt;"&amp;1080,m_end,"&gt;"&amp;1020))))))</f>
        <v/>
      </c>
      <c r="J79" s="82" t="str">
        <f aca="false">IF(OR(J$4="",MONTH(($G$2+6))&lt;&gt;MONTH($C$2)),"",IF(COUNTIFS(m_teacher,J$4,m_date,($G$2+6),m_active,1,m_start,"&lt;"&amp;1080,m_end,"&gt;"&amp;1020)=0,"",IF(COUNTIFS(m_teacher,J$4,m_date,($G$2+6),m_active,1,m_start,"&lt;"&amp;1080,m_end,"&gt;"&amp;1020)&gt;1,"충돌",HYPERLINK("#'관리자_MASTER'!D"&amp;_xlfn.MAXIFS(m_row,m_teacher,J$4,m_date,($G$2+6),m_active,1,m_start,"&lt;"&amp;1080,m_end,"&gt;"&amp;1020),INDEX(m_label,_xlfn.MAXIFS(m_row,m_teacher,J$4,m_date,($G$2+6),m_active,1,m_start,"&lt;"&amp;1080,m_end,"&gt;"&amp;1020))))))</f>
        <v/>
      </c>
      <c r="K79" s="82" t="str">
        <f aca="false">IF(OR(K$4="",MONTH(($G$2+6))&lt;&gt;MONTH($C$2)),"",IF(COUNTIFS(m_teacher,K$4,m_date,($G$2+6),m_active,1,m_start,"&lt;"&amp;1080,m_end,"&gt;"&amp;1020)=0,"",IF(COUNTIFS(m_teacher,K$4,m_date,($G$2+6),m_active,1,m_start,"&lt;"&amp;1080,m_end,"&gt;"&amp;1020)&gt;1,"충돌",HYPERLINK("#'관리자_MASTER'!D"&amp;_xlfn.MAXIFS(m_row,m_teacher,K$4,m_date,($G$2+6),m_active,1,m_start,"&lt;"&amp;1080,m_end,"&gt;"&amp;1020),INDEX(m_label,_xlfn.MAXIFS(m_row,m_teacher,K$4,m_date,($G$2+6),m_active,1,m_start,"&lt;"&amp;1080,m_end,"&gt;"&amp;1020))))))</f>
        <v/>
      </c>
      <c r="L79" s="82" t="str">
        <f aca="false">IF(OR(L$4="",MONTH(($G$2+6))&lt;&gt;MONTH($C$2)),"",IF(COUNTIFS(m_teacher,L$4,m_date,($G$2+6),m_active,1,m_start,"&lt;"&amp;1080,m_end,"&gt;"&amp;1020)=0,"",IF(COUNTIFS(m_teacher,L$4,m_date,($G$2+6),m_active,1,m_start,"&lt;"&amp;1080,m_end,"&gt;"&amp;1020)&gt;1,"충돌",HYPERLINK("#'관리자_MASTER'!D"&amp;_xlfn.MAXIFS(m_row,m_teacher,L$4,m_date,($G$2+6),m_active,1,m_start,"&lt;"&amp;1080,m_end,"&gt;"&amp;1020),INDEX(m_label,_xlfn.MAXIFS(m_row,m_teacher,L$4,m_date,($G$2+6),m_active,1,m_start,"&lt;"&amp;1080,m_end,"&gt;"&amp;1020))))))</f>
        <v/>
      </c>
      <c r="M79" s="82" t="str">
        <f aca="false">IF(OR(M$4="",MONTH(($G$2+6))&lt;&gt;MONTH($C$2)),"",IF(COUNTIFS(m_teacher,M$4,m_date,($G$2+6),m_active,1,m_start,"&lt;"&amp;1080,m_end,"&gt;"&amp;1020)=0,"",IF(COUNTIFS(m_teacher,M$4,m_date,($G$2+6),m_active,1,m_start,"&lt;"&amp;1080,m_end,"&gt;"&amp;1020)&gt;1,"충돌",HYPERLINK("#'관리자_MASTER'!D"&amp;_xlfn.MAXIFS(m_row,m_teacher,M$4,m_date,($G$2+6),m_active,1,m_start,"&lt;"&amp;1080,m_end,"&gt;"&amp;1020),INDEX(m_label,_xlfn.MAXIFS(m_row,m_teacher,M$4,m_date,($G$2+6),m_active,1,m_start,"&lt;"&amp;1080,m_end,"&gt;"&amp;1020))))))</f>
        <v/>
      </c>
      <c r="N79" s="82" t="str">
        <f aca="false">IF(OR(N$4="",MONTH(($G$2+6))&lt;&gt;MONTH($C$2)),"",IF(COUNTIFS(m_teacher,N$4,m_date,($G$2+6),m_active,1,m_start,"&lt;"&amp;1080,m_end,"&gt;"&amp;1020)=0,"",IF(COUNTIFS(m_teacher,N$4,m_date,($G$2+6),m_active,1,m_start,"&lt;"&amp;1080,m_end,"&gt;"&amp;1020)&gt;1,"충돌",HYPERLINK("#'관리자_MASTER'!D"&amp;_xlfn.MAXIFS(m_row,m_teacher,N$4,m_date,($G$2+6),m_active,1,m_start,"&lt;"&amp;1080,m_end,"&gt;"&amp;1020),INDEX(m_label,_xlfn.MAXIFS(m_row,m_teacher,N$4,m_date,($G$2+6),m_active,1,m_start,"&lt;"&amp;1080,m_end,"&gt;"&amp;1020))))))</f>
        <v/>
      </c>
      <c r="O79" s="92"/>
      <c r="P79" s="79" t="s">
        <v>99</v>
      </c>
      <c r="Q79" s="82" t="str">
        <f aca="false">IF(OR(Q$4="",MONTH(($G$2+13))&lt;&gt;MONTH($C$2)),"",IF(COUNTIFS(m_teacher,Q$4,m_date,($G$2+13),m_active,1,m_start,"&lt;"&amp;1080,m_end,"&gt;"&amp;1020)=0,"",IF(COUNTIFS(m_teacher,Q$4,m_date,($G$2+13),m_active,1,m_start,"&lt;"&amp;1080,m_end,"&gt;"&amp;1020)&gt;1,"충돌",HYPERLINK("#'관리자_MASTER'!D"&amp;_xlfn.MAXIFS(m_row,m_teacher,Q$4,m_date,($G$2+13),m_active,1,m_start,"&lt;"&amp;1080,m_end,"&gt;"&amp;1020),INDEX(m_label,_xlfn.MAXIFS(m_row,m_teacher,Q$4,m_date,($G$2+13),m_active,1,m_start,"&lt;"&amp;1080,m_end,"&gt;"&amp;1020))))))</f>
        <v/>
      </c>
      <c r="R79" s="82" t="str">
        <f aca="false">IF(OR(R$4="",MONTH(($G$2+13))&lt;&gt;MONTH($C$2)),"",IF(COUNTIFS(m_teacher,R$4,m_date,($G$2+13),m_active,1,m_start,"&lt;"&amp;1080,m_end,"&gt;"&amp;1020)=0,"",IF(COUNTIFS(m_teacher,R$4,m_date,($G$2+13),m_active,1,m_start,"&lt;"&amp;1080,m_end,"&gt;"&amp;1020)&gt;1,"충돌",HYPERLINK("#'관리자_MASTER'!D"&amp;_xlfn.MAXIFS(m_row,m_teacher,R$4,m_date,($G$2+13),m_active,1,m_start,"&lt;"&amp;1080,m_end,"&gt;"&amp;1020),INDEX(m_label,_xlfn.MAXIFS(m_row,m_teacher,R$4,m_date,($G$2+13),m_active,1,m_start,"&lt;"&amp;1080,m_end,"&gt;"&amp;1020))))))</f>
        <v/>
      </c>
      <c r="S79" s="82" t="str">
        <f aca="false">IF(OR(S$4="",MONTH(($G$2+13))&lt;&gt;MONTH($C$2)),"",IF(COUNTIFS(m_teacher,S$4,m_date,($G$2+13),m_active,1,m_start,"&lt;"&amp;1080,m_end,"&gt;"&amp;1020)=0,"",IF(COUNTIFS(m_teacher,S$4,m_date,($G$2+13),m_active,1,m_start,"&lt;"&amp;1080,m_end,"&gt;"&amp;1020)&gt;1,"충돌",HYPERLINK("#'관리자_MASTER'!D"&amp;_xlfn.MAXIFS(m_row,m_teacher,S$4,m_date,($G$2+13),m_active,1,m_start,"&lt;"&amp;1080,m_end,"&gt;"&amp;1020),INDEX(m_label,_xlfn.MAXIFS(m_row,m_teacher,S$4,m_date,($G$2+13),m_active,1,m_start,"&lt;"&amp;1080,m_end,"&gt;"&amp;1020))))))</f>
        <v/>
      </c>
      <c r="T79" s="82" t="str">
        <f aca="false">IF(OR(T$4="",MONTH(($G$2+13))&lt;&gt;MONTH($C$2)),"",IF(COUNTIFS(m_teacher,T$4,m_date,($G$2+13),m_active,1,m_start,"&lt;"&amp;1080,m_end,"&gt;"&amp;1020)=0,"",IF(COUNTIFS(m_teacher,T$4,m_date,($G$2+13),m_active,1,m_start,"&lt;"&amp;1080,m_end,"&gt;"&amp;1020)&gt;1,"충돌",HYPERLINK("#'관리자_MASTER'!D"&amp;_xlfn.MAXIFS(m_row,m_teacher,T$4,m_date,($G$2+13),m_active,1,m_start,"&lt;"&amp;1080,m_end,"&gt;"&amp;1020),INDEX(m_label,_xlfn.MAXIFS(m_row,m_teacher,T$4,m_date,($G$2+13),m_active,1,m_start,"&lt;"&amp;1080,m_end,"&gt;"&amp;1020))))))</f>
        <v/>
      </c>
      <c r="U79" s="82" t="str">
        <f aca="false">IF(OR(U$4="",MONTH(($G$2+13))&lt;&gt;MONTH($C$2)),"",IF(COUNTIFS(m_teacher,U$4,m_date,($G$2+13),m_active,1,m_start,"&lt;"&amp;1080,m_end,"&gt;"&amp;1020)=0,"",IF(COUNTIFS(m_teacher,U$4,m_date,($G$2+13),m_active,1,m_start,"&lt;"&amp;1080,m_end,"&gt;"&amp;1020)&gt;1,"충돌",HYPERLINK("#'관리자_MASTER'!D"&amp;_xlfn.MAXIFS(m_row,m_teacher,U$4,m_date,($G$2+13),m_active,1,m_start,"&lt;"&amp;1080,m_end,"&gt;"&amp;1020),INDEX(m_label,_xlfn.MAXIFS(m_row,m_teacher,U$4,m_date,($G$2+13),m_active,1,m_start,"&lt;"&amp;1080,m_end,"&gt;"&amp;1020))))))</f>
        <v/>
      </c>
      <c r="V79" s="82" t="str">
        <f aca="false">IF(OR(V$4="",MONTH(($G$2+13))&lt;&gt;MONTH($C$2)),"",IF(COUNTIFS(m_teacher,V$4,m_date,($G$2+13),m_active,1,m_start,"&lt;"&amp;1080,m_end,"&gt;"&amp;1020)=0,"",IF(COUNTIFS(m_teacher,V$4,m_date,($G$2+13),m_active,1,m_start,"&lt;"&amp;1080,m_end,"&gt;"&amp;1020)&gt;1,"충돌",HYPERLINK("#'관리자_MASTER'!D"&amp;_xlfn.MAXIFS(m_row,m_teacher,V$4,m_date,($G$2+13),m_active,1,m_start,"&lt;"&amp;1080,m_end,"&gt;"&amp;1020),INDEX(m_label,_xlfn.MAXIFS(m_row,m_teacher,V$4,m_date,($G$2+13),m_active,1,m_start,"&lt;"&amp;1080,m_end,"&gt;"&amp;1020))))))</f>
        <v/>
      </c>
      <c r="W79" s="82" t="str">
        <f aca="false">IF(OR(W$4="",MONTH(($G$2+13))&lt;&gt;MONTH($C$2)),"",IF(COUNTIFS(m_teacher,W$4,m_date,($G$2+13),m_active,1,m_start,"&lt;"&amp;1080,m_end,"&gt;"&amp;1020)=0,"",IF(COUNTIFS(m_teacher,W$4,m_date,($G$2+13),m_active,1,m_start,"&lt;"&amp;1080,m_end,"&gt;"&amp;1020)&gt;1,"충돌",HYPERLINK("#'관리자_MASTER'!D"&amp;_xlfn.MAXIFS(m_row,m_teacher,W$4,m_date,($G$2+13),m_active,1,m_start,"&lt;"&amp;1080,m_end,"&gt;"&amp;1020),INDEX(m_label,_xlfn.MAXIFS(m_row,m_teacher,W$4,m_date,($G$2+13),m_active,1,m_start,"&lt;"&amp;1080,m_end,"&gt;"&amp;1020))))))</f>
        <v/>
      </c>
      <c r="X79" s="82" t="str">
        <f aca="false">IF(OR(X$4="",MONTH(($G$2+13))&lt;&gt;MONTH($C$2)),"",IF(COUNTIFS(m_teacher,X$4,m_date,($G$2+13),m_active,1,m_start,"&lt;"&amp;1080,m_end,"&gt;"&amp;1020)=0,"",IF(COUNTIFS(m_teacher,X$4,m_date,($G$2+13),m_active,1,m_start,"&lt;"&amp;1080,m_end,"&gt;"&amp;1020)&gt;1,"충돌",HYPERLINK("#'관리자_MASTER'!D"&amp;_xlfn.MAXIFS(m_row,m_teacher,X$4,m_date,($G$2+13),m_active,1,m_start,"&lt;"&amp;1080,m_end,"&gt;"&amp;1020),INDEX(m_label,_xlfn.MAXIFS(m_row,m_teacher,X$4,m_date,($G$2+13),m_active,1,m_start,"&lt;"&amp;1080,m_end,"&gt;"&amp;1020))))))</f>
        <v/>
      </c>
      <c r="Y79" s="82" t="str">
        <f aca="false">IF(OR(Y$4="",MONTH(($G$2+13))&lt;&gt;MONTH($C$2)),"",IF(COUNTIFS(m_teacher,Y$4,m_date,($G$2+13),m_active,1,m_start,"&lt;"&amp;1080,m_end,"&gt;"&amp;1020)=0,"",IF(COUNTIFS(m_teacher,Y$4,m_date,($G$2+13),m_active,1,m_start,"&lt;"&amp;1080,m_end,"&gt;"&amp;1020)&gt;1,"충돌",HYPERLINK("#'관리자_MASTER'!D"&amp;_xlfn.MAXIFS(m_row,m_teacher,Y$4,m_date,($G$2+13),m_active,1,m_start,"&lt;"&amp;1080,m_end,"&gt;"&amp;1020),INDEX(m_label,_xlfn.MAXIFS(m_row,m_teacher,Y$4,m_date,($G$2+13),m_active,1,m_start,"&lt;"&amp;1080,m_end,"&gt;"&amp;1020))))))</f>
        <v/>
      </c>
      <c r="Z79" s="82" t="str">
        <f aca="false">IF(OR(Z$4="",MONTH(($G$2+13))&lt;&gt;MONTH($C$2)),"",IF(COUNTIFS(m_teacher,Z$4,m_date,($G$2+13),m_active,1,m_start,"&lt;"&amp;1080,m_end,"&gt;"&amp;1020)=0,"",IF(COUNTIFS(m_teacher,Z$4,m_date,($G$2+13),m_active,1,m_start,"&lt;"&amp;1080,m_end,"&gt;"&amp;1020)&gt;1,"충돌",HYPERLINK("#'관리자_MASTER'!D"&amp;_xlfn.MAXIFS(m_row,m_teacher,Z$4,m_date,($G$2+13),m_active,1,m_start,"&lt;"&amp;1080,m_end,"&gt;"&amp;1020),INDEX(m_label,_xlfn.MAXIFS(m_row,m_teacher,Z$4,m_date,($G$2+13),m_active,1,m_start,"&lt;"&amp;1080,m_end,"&gt;"&amp;1020))))))</f>
        <v/>
      </c>
      <c r="AA79" s="82" t="str">
        <f aca="false">IF(OR(AA$4="",MONTH(($G$2+13))&lt;&gt;MONTH($C$2)),"",IF(COUNTIFS(m_teacher,AA$4,m_date,($G$2+13),m_active,1,m_start,"&lt;"&amp;1080,m_end,"&gt;"&amp;1020)=0,"",IF(COUNTIFS(m_teacher,AA$4,m_date,($G$2+13),m_active,1,m_start,"&lt;"&amp;1080,m_end,"&gt;"&amp;1020)&gt;1,"충돌",HYPERLINK("#'관리자_MASTER'!D"&amp;_xlfn.MAXIFS(m_row,m_teacher,AA$4,m_date,($G$2+13),m_active,1,m_start,"&lt;"&amp;1080,m_end,"&gt;"&amp;1020),INDEX(m_label,_xlfn.MAXIFS(m_row,m_teacher,AA$4,m_date,($G$2+13),m_active,1,m_start,"&lt;"&amp;1080,m_end,"&gt;"&amp;1020))))))</f>
        <v/>
      </c>
      <c r="AB79" s="82" t="str">
        <f aca="false">IF(OR(AB$4="",MONTH(($G$2+13))&lt;&gt;MONTH($C$2)),"",IF(COUNTIFS(m_teacher,AB$4,m_date,($G$2+13),m_active,1,m_start,"&lt;"&amp;1080,m_end,"&gt;"&amp;1020)=0,"",IF(COUNTIFS(m_teacher,AB$4,m_date,($G$2+13),m_active,1,m_start,"&lt;"&amp;1080,m_end,"&gt;"&amp;1020)&gt;1,"충돌",HYPERLINK("#'관리자_MASTER'!D"&amp;_xlfn.MAXIFS(m_row,m_teacher,AB$4,m_date,($G$2+13),m_active,1,m_start,"&lt;"&amp;1080,m_end,"&gt;"&amp;1020),INDEX(m_label,_xlfn.MAXIFS(m_row,m_teacher,AB$4,m_date,($G$2+13),m_active,1,m_start,"&lt;"&amp;1080,m_end,"&gt;"&amp;1020))))))</f>
        <v/>
      </c>
      <c r="AC79" s="92"/>
      <c r="AD79" s="79" t="s">
        <v>99</v>
      </c>
      <c r="AE79" s="82" t="str">
        <f aca="false">IF(OR(AE$4="",MONTH(($G$2+20))&lt;&gt;MONTH($C$2)),"",IF(COUNTIFS(m_teacher,AE$4,m_date,($G$2+20),m_active,1,m_start,"&lt;"&amp;1080,m_end,"&gt;"&amp;1020)=0,"",IF(COUNTIFS(m_teacher,AE$4,m_date,($G$2+20),m_active,1,m_start,"&lt;"&amp;1080,m_end,"&gt;"&amp;1020)&gt;1,"충돌",HYPERLINK("#'관리자_MASTER'!D"&amp;_xlfn.MAXIFS(m_row,m_teacher,AE$4,m_date,($G$2+20),m_active,1,m_start,"&lt;"&amp;1080,m_end,"&gt;"&amp;1020),INDEX(m_label,_xlfn.MAXIFS(m_row,m_teacher,AE$4,m_date,($G$2+20),m_active,1,m_start,"&lt;"&amp;1080,m_end,"&gt;"&amp;1020))))))</f>
        <v/>
      </c>
      <c r="AF79" s="82" t="str">
        <f aca="false">IF(OR(AF$4="",MONTH(($G$2+20))&lt;&gt;MONTH($C$2)),"",IF(COUNTIFS(m_teacher,AF$4,m_date,($G$2+20),m_active,1,m_start,"&lt;"&amp;1080,m_end,"&gt;"&amp;1020)=0,"",IF(COUNTIFS(m_teacher,AF$4,m_date,($G$2+20),m_active,1,m_start,"&lt;"&amp;1080,m_end,"&gt;"&amp;1020)&gt;1,"충돌",HYPERLINK("#'관리자_MASTER'!D"&amp;_xlfn.MAXIFS(m_row,m_teacher,AF$4,m_date,($G$2+20),m_active,1,m_start,"&lt;"&amp;1080,m_end,"&gt;"&amp;1020),INDEX(m_label,_xlfn.MAXIFS(m_row,m_teacher,AF$4,m_date,($G$2+20),m_active,1,m_start,"&lt;"&amp;1080,m_end,"&gt;"&amp;1020))))))</f>
        <v/>
      </c>
      <c r="AG79" s="82" t="str">
        <f aca="false">IF(OR(AG$4="",MONTH(($G$2+20))&lt;&gt;MONTH($C$2)),"",IF(COUNTIFS(m_teacher,AG$4,m_date,($G$2+20),m_active,1,m_start,"&lt;"&amp;1080,m_end,"&gt;"&amp;1020)=0,"",IF(COUNTIFS(m_teacher,AG$4,m_date,($G$2+20),m_active,1,m_start,"&lt;"&amp;1080,m_end,"&gt;"&amp;1020)&gt;1,"충돌",HYPERLINK("#'관리자_MASTER'!D"&amp;_xlfn.MAXIFS(m_row,m_teacher,AG$4,m_date,($G$2+20),m_active,1,m_start,"&lt;"&amp;1080,m_end,"&gt;"&amp;1020),INDEX(m_label,_xlfn.MAXIFS(m_row,m_teacher,AG$4,m_date,($G$2+20),m_active,1,m_start,"&lt;"&amp;1080,m_end,"&gt;"&amp;1020))))))</f>
        <v/>
      </c>
      <c r="AH79" s="82" t="str">
        <f aca="false">IF(OR(AH$4="",MONTH(($G$2+20))&lt;&gt;MONTH($C$2)),"",IF(COUNTIFS(m_teacher,AH$4,m_date,($G$2+20),m_active,1,m_start,"&lt;"&amp;1080,m_end,"&gt;"&amp;1020)=0,"",IF(COUNTIFS(m_teacher,AH$4,m_date,($G$2+20),m_active,1,m_start,"&lt;"&amp;1080,m_end,"&gt;"&amp;1020)&gt;1,"충돌",HYPERLINK("#'관리자_MASTER'!D"&amp;_xlfn.MAXIFS(m_row,m_teacher,AH$4,m_date,($G$2+20),m_active,1,m_start,"&lt;"&amp;1080,m_end,"&gt;"&amp;1020),INDEX(m_label,_xlfn.MAXIFS(m_row,m_teacher,AH$4,m_date,($G$2+20),m_active,1,m_start,"&lt;"&amp;1080,m_end,"&gt;"&amp;1020))))))</f>
        <v/>
      </c>
      <c r="AI79" s="82" t="str">
        <f aca="false">IF(OR(AI$4="",MONTH(($G$2+20))&lt;&gt;MONTH($C$2)),"",IF(COUNTIFS(m_teacher,AI$4,m_date,($G$2+20),m_active,1,m_start,"&lt;"&amp;1080,m_end,"&gt;"&amp;1020)=0,"",IF(COUNTIFS(m_teacher,AI$4,m_date,($G$2+20),m_active,1,m_start,"&lt;"&amp;1080,m_end,"&gt;"&amp;1020)&gt;1,"충돌",HYPERLINK("#'관리자_MASTER'!D"&amp;_xlfn.MAXIFS(m_row,m_teacher,AI$4,m_date,($G$2+20),m_active,1,m_start,"&lt;"&amp;1080,m_end,"&gt;"&amp;1020),INDEX(m_label,_xlfn.MAXIFS(m_row,m_teacher,AI$4,m_date,($G$2+20),m_active,1,m_start,"&lt;"&amp;1080,m_end,"&gt;"&amp;1020))))))</f>
        <v/>
      </c>
      <c r="AJ79" s="82" t="str">
        <f aca="false">IF(OR(AJ$4="",MONTH(($G$2+20))&lt;&gt;MONTH($C$2)),"",IF(COUNTIFS(m_teacher,AJ$4,m_date,($G$2+20),m_active,1,m_start,"&lt;"&amp;1080,m_end,"&gt;"&amp;1020)=0,"",IF(COUNTIFS(m_teacher,AJ$4,m_date,($G$2+20),m_active,1,m_start,"&lt;"&amp;1080,m_end,"&gt;"&amp;1020)&gt;1,"충돌",HYPERLINK("#'관리자_MASTER'!D"&amp;_xlfn.MAXIFS(m_row,m_teacher,AJ$4,m_date,($G$2+20),m_active,1,m_start,"&lt;"&amp;1080,m_end,"&gt;"&amp;1020),INDEX(m_label,_xlfn.MAXIFS(m_row,m_teacher,AJ$4,m_date,($G$2+20),m_active,1,m_start,"&lt;"&amp;1080,m_end,"&gt;"&amp;1020))))))</f>
        <v/>
      </c>
      <c r="AK79" s="82" t="str">
        <f aca="false">IF(OR(AK$4="",MONTH(($G$2+20))&lt;&gt;MONTH($C$2)),"",IF(COUNTIFS(m_teacher,AK$4,m_date,($G$2+20),m_active,1,m_start,"&lt;"&amp;1080,m_end,"&gt;"&amp;1020)=0,"",IF(COUNTIFS(m_teacher,AK$4,m_date,($G$2+20),m_active,1,m_start,"&lt;"&amp;1080,m_end,"&gt;"&amp;1020)&gt;1,"충돌",HYPERLINK("#'관리자_MASTER'!D"&amp;_xlfn.MAXIFS(m_row,m_teacher,AK$4,m_date,($G$2+20),m_active,1,m_start,"&lt;"&amp;1080,m_end,"&gt;"&amp;1020),INDEX(m_label,_xlfn.MAXIFS(m_row,m_teacher,AK$4,m_date,($G$2+20),m_active,1,m_start,"&lt;"&amp;1080,m_end,"&gt;"&amp;1020))))))</f>
        <v/>
      </c>
      <c r="AL79" s="82" t="str">
        <f aca="false">IF(OR(AL$4="",MONTH(($G$2+20))&lt;&gt;MONTH($C$2)),"",IF(COUNTIFS(m_teacher,AL$4,m_date,($G$2+20),m_active,1,m_start,"&lt;"&amp;1080,m_end,"&gt;"&amp;1020)=0,"",IF(COUNTIFS(m_teacher,AL$4,m_date,($G$2+20),m_active,1,m_start,"&lt;"&amp;1080,m_end,"&gt;"&amp;1020)&gt;1,"충돌",HYPERLINK("#'관리자_MASTER'!D"&amp;_xlfn.MAXIFS(m_row,m_teacher,AL$4,m_date,($G$2+20),m_active,1,m_start,"&lt;"&amp;1080,m_end,"&gt;"&amp;1020),INDEX(m_label,_xlfn.MAXIFS(m_row,m_teacher,AL$4,m_date,($G$2+20),m_active,1,m_start,"&lt;"&amp;1080,m_end,"&gt;"&amp;1020))))))</f>
        <v/>
      </c>
      <c r="AM79" s="82" t="str">
        <f aca="false">IF(OR(AM$4="",MONTH(($G$2+20))&lt;&gt;MONTH($C$2)),"",IF(COUNTIFS(m_teacher,AM$4,m_date,($G$2+20),m_active,1,m_start,"&lt;"&amp;1080,m_end,"&gt;"&amp;1020)=0,"",IF(COUNTIFS(m_teacher,AM$4,m_date,($G$2+20),m_active,1,m_start,"&lt;"&amp;1080,m_end,"&gt;"&amp;1020)&gt;1,"충돌",HYPERLINK("#'관리자_MASTER'!D"&amp;_xlfn.MAXIFS(m_row,m_teacher,AM$4,m_date,($G$2+20),m_active,1,m_start,"&lt;"&amp;1080,m_end,"&gt;"&amp;1020),INDEX(m_label,_xlfn.MAXIFS(m_row,m_teacher,AM$4,m_date,($G$2+20),m_active,1,m_start,"&lt;"&amp;1080,m_end,"&gt;"&amp;1020))))))</f>
        <v/>
      </c>
      <c r="AN79" s="82" t="str">
        <f aca="false">IF(OR(AN$4="",MONTH(($G$2+20))&lt;&gt;MONTH($C$2)),"",IF(COUNTIFS(m_teacher,AN$4,m_date,($G$2+20),m_active,1,m_start,"&lt;"&amp;1080,m_end,"&gt;"&amp;1020)=0,"",IF(COUNTIFS(m_teacher,AN$4,m_date,($G$2+20),m_active,1,m_start,"&lt;"&amp;1080,m_end,"&gt;"&amp;1020)&gt;1,"충돌",HYPERLINK("#'관리자_MASTER'!D"&amp;_xlfn.MAXIFS(m_row,m_teacher,AN$4,m_date,($G$2+20),m_active,1,m_start,"&lt;"&amp;1080,m_end,"&gt;"&amp;1020),INDEX(m_label,_xlfn.MAXIFS(m_row,m_teacher,AN$4,m_date,($G$2+20),m_active,1,m_start,"&lt;"&amp;1080,m_end,"&gt;"&amp;1020))))))</f>
        <v/>
      </c>
      <c r="AO79" s="82" t="str">
        <f aca="false">IF(OR(AO$4="",MONTH(($G$2+20))&lt;&gt;MONTH($C$2)),"",IF(COUNTIFS(m_teacher,AO$4,m_date,($G$2+20),m_active,1,m_start,"&lt;"&amp;1080,m_end,"&gt;"&amp;1020)=0,"",IF(COUNTIFS(m_teacher,AO$4,m_date,($G$2+20),m_active,1,m_start,"&lt;"&amp;1080,m_end,"&gt;"&amp;1020)&gt;1,"충돌",HYPERLINK("#'관리자_MASTER'!D"&amp;_xlfn.MAXIFS(m_row,m_teacher,AO$4,m_date,($G$2+20),m_active,1,m_start,"&lt;"&amp;1080,m_end,"&gt;"&amp;1020),INDEX(m_label,_xlfn.MAXIFS(m_row,m_teacher,AO$4,m_date,($G$2+20),m_active,1,m_start,"&lt;"&amp;1080,m_end,"&gt;"&amp;1020))))))</f>
        <v/>
      </c>
      <c r="AP79" s="82" t="str">
        <f aca="false">IF(OR(AP$4="",MONTH(($G$2+20))&lt;&gt;MONTH($C$2)),"",IF(COUNTIFS(m_teacher,AP$4,m_date,($G$2+20),m_active,1,m_start,"&lt;"&amp;1080,m_end,"&gt;"&amp;1020)=0,"",IF(COUNTIFS(m_teacher,AP$4,m_date,($G$2+20),m_active,1,m_start,"&lt;"&amp;1080,m_end,"&gt;"&amp;1020)&gt;1,"충돌",HYPERLINK("#'관리자_MASTER'!D"&amp;_xlfn.MAXIFS(m_row,m_teacher,AP$4,m_date,($G$2+20),m_active,1,m_start,"&lt;"&amp;1080,m_end,"&gt;"&amp;1020),INDEX(m_label,_xlfn.MAXIFS(m_row,m_teacher,AP$4,m_date,($G$2+20),m_active,1,m_start,"&lt;"&amp;1080,m_end,"&gt;"&amp;1020))))))</f>
        <v/>
      </c>
      <c r="AQ79" s="92"/>
      <c r="AR79" s="79" t="s">
        <v>99</v>
      </c>
      <c r="AS79" s="82" t="str">
        <f aca="false">IF(OR(AS$4="",MONTH(($G$2+27))&lt;&gt;MONTH($C$2)),"",IF(COUNTIFS(m_teacher,AS$4,m_date,($G$2+27),m_active,1,m_start,"&lt;"&amp;1080,m_end,"&gt;"&amp;1020)=0,"",IF(COUNTIFS(m_teacher,AS$4,m_date,($G$2+27),m_active,1,m_start,"&lt;"&amp;1080,m_end,"&gt;"&amp;1020)&gt;1,"충돌",HYPERLINK("#'관리자_MASTER'!D"&amp;_xlfn.MAXIFS(m_row,m_teacher,AS$4,m_date,($G$2+27),m_active,1,m_start,"&lt;"&amp;1080,m_end,"&gt;"&amp;1020),INDEX(m_label,_xlfn.MAXIFS(m_row,m_teacher,AS$4,m_date,($G$2+27),m_active,1,m_start,"&lt;"&amp;1080,m_end,"&gt;"&amp;1020))))))</f>
        <v/>
      </c>
      <c r="AT79" s="82" t="str">
        <f aca="false">IF(OR(AT$4="",MONTH(($G$2+27))&lt;&gt;MONTH($C$2)),"",IF(COUNTIFS(m_teacher,AT$4,m_date,($G$2+27),m_active,1,m_start,"&lt;"&amp;1080,m_end,"&gt;"&amp;1020)=0,"",IF(COUNTIFS(m_teacher,AT$4,m_date,($G$2+27),m_active,1,m_start,"&lt;"&amp;1080,m_end,"&gt;"&amp;1020)&gt;1,"충돌",HYPERLINK("#'관리자_MASTER'!D"&amp;_xlfn.MAXIFS(m_row,m_teacher,AT$4,m_date,($G$2+27),m_active,1,m_start,"&lt;"&amp;1080,m_end,"&gt;"&amp;1020),INDEX(m_label,_xlfn.MAXIFS(m_row,m_teacher,AT$4,m_date,($G$2+27),m_active,1,m_start,"&lt;"&amp;1080,m_end,"&gt;"&amp;1020))))))</f>
        <v/>
      </c>
      <c r="AU79" s="82" t="str">
        <f aca="false">IF(OR(AU$4="",MONTH(($G$2+27))&lt;&gt;MONTH($C$2)),"",IF(COUNTIFS(m_teacher,AU$4,m_date,($G$2+27),m_active,1,m_start,"&lt;"&amp;1080,m_end,"&gt;"&amp;1020)=0,"",IF(COUNTIFS(m_teacher,AU$4,m_date,($G$2+27),m_active,1,m_start,"&lt;"&amp;1080,m_end,"&gt;"&amp;1020)&gt;1,"충돌",HYPERLINK("#'관리자_MASTER'!D"&amp;_xlfn.MAXIFS(m_row,m_teacher,AU$4,m_date,($G$2+27),m_active,1,m_start,"&lt;"&amp;1080,m_end,"&gt;"&amp;1020),INDEX(m_label,_xlfn.MAXIFS(m_row,m_teacher,AU$4,m_date,($G$2+27),m_active,1,m_start,"&lt;"&amp;1080,m_end,"&gt;"&amp;1020))))))</f>
        <v/>
      </c>
      <c r="AV79" s="82" t="str">
        <f aca="false">IF(OR(AV$4="",MONTH(($G$2+27))&lt;&gt;MONTH($C$2)),"",IF(COUNTIFS(m_teacher,AV$4,m_date,($G$2+27),m_active,1,m_start,"&lt;"&amp;1080,m_end,"&gt;"&amp;1020)=0,"",IF(COUNTIFS(m_teacher,AV$4,m_date,($G$2+27),m_active,1,m_start,"&lt;"&amp;1080,m_end,"&gt;"&amp;1020)&gt;1,"충돌",HYPERLINK("#'관리자_MASTER'!D"&amp;_xlfn.MAXIFS(m_row,m_teacher,AV$4,m_date,($G$2+27),m_active,1,m_start,"&lt;"&amp;1080,m_end,"&gt;"&amp;1020),INDEX(m_label,_xlfn.MAXIFS(m_row,m_teacher,AV$4,m_date,($G$2+27),m_active,1,m_start,"&lt;"&amp;1080,m_end,"&gt;"&amp;1020))))))</f>
        <v/>
      </c>
      <c r="AW79" s="82" t="str">
        <f aca="false">IF(OR(AW$4="",MONTH(($G$2+27))&lt;&gt;MONTH($C$2)),"",IF(COUNTIFS(m_teacher,AW$4,m_date,($G$2+27),m_active,1,m_start,"&lt;"&amp;1080,m_end,"&gt;"&amp;1020)=0,"",IF(COUNTIFS(m_teacher,AW$4,m_date,($G$2+27),m_active,1,m_start,"&lt;"&amp;1080,m_end,"&gt;"&amp;1020)&gt;1,"충돌",HYPERLINK("#'관리자_MASTER'!D"&amp;_xlfn.MAXIFS(m_row,m_teacher,AW$4,m_date,($G$2+27),m_active,1,m_start,"&lt;"&amp;1080,m_end,"&gt;"&amp;1020),INDEX(m_label,_xlfn.MAXIFS(m_row,m_teacher,AW$4,m_date,($G$2+27),m_active,1,m_start,"&lt;"&amp;1080,m_end,"&gt;"&amp;1020))))))</f>
        <v/>
      </c>
      <c r="AX79" s="82" t="str">
        <f aca="false">IF(OR(AX$4="",MONTH(($G$2+27))&lt;&gt;MONTH($C$2)),"",IF(COUNTIFS(m_teacher,AX$4,m_date,($G$2+27),m_active,1,m_start,"&lt;"&amp;1080,m_end,"&gt;"&amp;1020)=0,"",IF(COUNTIFS(m_teacher,AX$4,m_date,($G$2+27),m_active,1,m_start,"&lt;"&amp;1080,m_end,"&gt;"&amp;1020)&gt;1,"충돌",HYPERLINK("#'관리자_MASTER'!D"&amp;_xlfn.MAXIFS(m_row,m_teacher,AX$4,m_date,($G$2+27),m_active,1,m_start,"&lt;"&amp;1080,m_end,"&gt;"&amp;1020),INDEX(m_label,_xlfn.MAXIFS(m_row,m_teacher,AX$4,m_date,($G$2+27),m_active,1,m_start,"&lt;"&amp;1080,m_end,"&gt;"&amp;1020))))))</f>
        <v/>
      </c>
      <c r="AY79" s="82" t="str">
        <f aca="false">IF(OR(AY$4="",MONTH(($G$2+27))&lt;&gt;MONTH($C$2)),"",IF(COUNTIFS(m_teacher,AY$4,m_date,($G$2+27),m_active,1,m_start,"&lt;"&amp;1080,m_end,"&gt;"&amp;1020)=0,"",IF(COUNTIFS(m_teacher,AY$4,m_date,($G$2+27),m_active,1,m_start,"&lt;"&amp;1080,m_end,"&gt;"&amp;1020)&gt;1,"충돌",HYPERLINK("#'관리자_MASTER'!D"&amp;_xlfn.MAXIFS(m_row,m_teacher,AY$4,m_date,($G$2+27),m_active,1,m_start,"&lt;"&amp;1080,m_end,"&gt;"&amp;1020),INDEX(m_label,_xlfn.MAXIFS(m_row,m_teacher,AY$4,m_date,($G$2+27),m_active,1,m_start,"&lt;"&amp;1080,m_end,"&gt;"&amp;1020))))))</f>
        <v/>
      </c>
      <c r="AZ79" s="82" t="str">
        <f aca="false">IF(OR(AZ$4="",MONTH(($G$2+27))&lt;&gt;MONTH($C$2)),"",IF(COUNTIFS(m_teacher,AZ$4,m_date,($G$2+27),m_active,1,m_start,"&lt;"&amp;1080,m_end,"&gt;"&amp;1020)=0,"",IF(COUNTIFS(m_teacher,AZ$4,m_date,($G$2+27),m_active,1,m_start,"&lt;"&amp;1080,m_end,"&gt;"&amp;1020)&gt;1,"충돌",HYPERLINK("#'관리자_MASTER'!D"&amp;_xlfn.MAXIFS(m_row,m_teacher,AZ$4,m_date,($G$2+27),m_active,1,m_start,"&lt;"&amp;1080,m_end,"&gt;"&amp;1020),INDEX(m_label,_xlfn.MAXIFS(m_row,m_teacher,AZ$4,m_date,($G$2+27),m_active,1,m_start,"&lt;"&amp;1080,m_end,"&gt;"&amp;1020))))))</f>
        <v/>
      </c>
      <c r="BA79" s="82" t="str">
        <f aca="false">IF(OR(BA$4="",MONTH(($G$2+27))&lt;&gt;MONTH($C$2)),"",IF(COUNTIFS(m_teacher,BA$4,m_date,($G$2+27),m_active,1,m_start,"&lt;"&amp;1080,m_end,"&gt;"&amp;1020)=0,"",IF(COUNTIFS(m_teacher,BA$4,m_date,($G$2+27),m_active,1,m_start,"&lt;"&amp;1080,m_end,"&gt;"&amp;1020)&gt;1,"충돌",HYPERLINK("#'관리자_MASTER'!D"&amp;_xlfn.MAXIFS(m_row,m_teacher,BA$4,m_date,($G$2+27),m_active,1,m_start,"&lt;"&amp;1080,m_end,"&gt;"&amp;1020),INDEX(m_label,_xlfn.MAXIFS(m_row,m_teacher,BA$4,m_date,($G$2+27),m_active,1,m_start,"&lt;"&amp;1080,m_end,"&gt;"&amp;1020))))))</f>
        <v/>
      </c>
      <c r="BB79" s="82" t="str">
        <f aca="false">IF(OR(BB$4="",MONTH(($G$2+27))&lt;&gt;MONTH($C$2)),"",IF(COUNTIFS(m_teacher,BB$4,m_date,($G$2+27),m_active,1,m_start,"&lt;"&amp;1080,m_end,"&gt;"&amp;1020)=0,"",IF(COUNTIFS(m_teacher,BB$4,m_date,($G$2+27),m_active,1,m_start,"&lt;"&amp;1080,m_end,"&gt;"&amp;1020)&gt;1,"충돌",HYPERLINK("#'관리자_MASTER'!D"&amp;_xlfn.MAXIFS(m_row,m_teacher,BB$4,m_date,($G$2+27),m_active,1,m_start,"&lt;"&amp;1080,m_end,"&gt;"&amp;1020),INDEX(m_label,_xlfn.MAXIFS(m_row,m_teacher,BB$4,m_date,($G$2+27),m_active,1,m_start,"&lt;"&amp;1080,m_end,"&gt;"&amp;1020))))))</f>
        <v/>
      </c>
      <c r="BC79" s="82" t="str">
        <f aca="false">IF(OR(BC$4="",MONTH(($G$2+27))&lt;&gt;MONTH($C$2)),"",IF(COUNTIFS(m_teacher,BC$4,m_date,($G$2+27),m_active,1,m_start,"&lt;"&amp;1080,m_end,"&gt;"&amp;1020)=0,"",IF(COUNTIFS(m_teacher,BC$4,m_date,($G$2+27),m_active,1,m_start,"&lt;"&amp;1080,m_end,"&gt;"&amp;1020)&gt;1,"충돌",HYPERLINK("#'관리자_MASTER'!D"&amp;_xlfn.MAXIFS(m_row,m_teacher,BC$4,m_date,($G$2+27),m_active,1,m_start,"&lt;"&amp;1080,m_end,"&gt;"&amp;1020),INDEX(m_label,_xlfn.MAXIFS(m_row,m_teacher,BC$4,m_date,($G$2+27),m_active,1,m_start,"&lt;"&amp;1080,m_end,"&gt;"&amp;1020))))))</f>
        <v/>
      </c>
      <c r="BD79" s="82" t="str">
        <f aca="false">IF(OR(BD$4="",MONTH(($G$2+27))&lt;&gt;MONTH($C$2)),"",IF(COUNTIFS(m_teacher,BD$4,m_date,($G$2+27),m_active,1,m_start,"&lt;"&amp;1080,m_end,"&gt;"&amp;1020)=0,"",IF(COUNTIFS(m_teacher,BD$4,m_date,($G$2+27),m_active,1,m_start,"&lt;"&amp;1080,m_end,"&gt;"&amp;1020)&gt;1,"충돌",HYPERLINK("#'관리자_MASTER'!D"&amp;_xlfn.MAXIFS(m_row,m_teacher,BD$4,m_date,($G$2+27),m_active,1,m_start,"&lt;"&amp;1080,m_end,"&gt;"&amp;1020),INDEX(m_label,_xlfn.MAXIFS(m_row,m_teacher,BD$4,m_date,($G$2+27),m_active,1,m_start,"&lt;"&amp;1080,m_end,"&gt;"&amp;1020))))))</f>
        <v/>
      </c>
      <c r="BE79" s="93"/>
      <c r="BF79" s="76" t="s">
        <v>99</v>
      </c>
      <c r="BG79" s="81" t="str">
        <f aca="false">IF(OR(BG$4="",MONTH(($G$2+34))&lt;&gt;MONTH($C$2)),"",IF(COUNTIFS(m_teacher,BG$4,m_date,($G$2+34),m_active,1,m_start,"&lt;"&amp;1080,m_end,"&gt;"&amp;1020)=0,"",IF(COUNTIFS(m_teacher,BG$4,m_date,($G$2+34),m_active,1,m_start,"&lt;"&amp;1080,m_end,"&gt;"&amp;1020)&gt;1,"충돌",HYPERLINK("#'관리자_MASTER'!D"&amp;_xlfn.MAXIFS(m_row,m_teacher,BG$4,m_date,($G$2+34),m_active,1,m_start,"&lt;"&amp;1080,m_end,"&gt;"&amp;1020),INDEX(m_label,_xlfn.MAXIFS(m_row,m_teacher,BG$4,m_date,($G$2+34),m_active,1,m_start,"&lt;"&amp;1080,m_end,"&gt;"&amp;1020))))))</f>
        <v/>
      </c>
      <c r="BH79" s="81" t="str">
        <f aca="false">IF(OR(BH$4="",MONTH(($G$2+34))&lt;&gt;MONTH($C$2)),"",IF(COUNTIFS(m_teacher,BH$4,m_date,($G$2+34),m_active,1,m_start,"&lt;"&amp;1080,m_end,"&gt;"&amp;1020)=0,"",IF(COUNTIFS(m_teacher,BH$4,m_date,($G$2+34),m_active,1,m_start,"&lt;"&amp;1080,m_end,"&gt;"&amp;1020)&gt;1,"충돌",HYPERLINK("#'관리자_MASTER'!D"&amp;_xlfn.MAXIFS(m_row,m_teacher,BH$4,m_date,($G$2+34),m_active,1,m_start,"&lt;"&amp;1080,m_end,"&gt;"&amp;1020),INDEX(m_label,_xlfn.MAXIFS(m_row,m_teacher,BH$4,m_date,($G$2+34),m_active,1,m_start,"&lt;"&amp;1080,m_end,"&gt;"&amp;1020))))))</f>
        <v/>
      </c>
      <c r="BI79" s="81" t="str">
        <f aca="false">IF(OR(BI$4="",MONTH(($G$2+34))&lt;&gt;MONTH($C$2)),"",IF(COUNTIFS(m_teacher,BI$4,m_date,($G$2+34),m_active,1,m_start,"&lt;"&amp;1080,m_end,"&gt;"&amp;1020)=0,"",IF(COUNTIFS(m_teacher,BI$4,m_date,($G$2+34),m_active,1,m_start,"&lt;"&amp;1080,m_end,"&gt;"&amp;1020)&gt;1,"충돌",HYPERLINK("#'관리자_MASTER'!D"&amp;_xlfn.MAXIFS(m_row,m_teacher,BI$4,m_date,($G$2+34),m_active,1,m_start,"&lt;"&amp;1080,m_end,"&gt;"&amp;1020),INDEX(m_label,_xlfn.MAXIFS(m_row,m_teacher,BI$4,m_date,($G$2+34),m_active,1,m_start,"&lt;"&amp;1080,m_end,"&gt;"&amp;1020))))))</f>
        <v/>
      </c>
      <c r="BJ79" s="81" t="str">
        <f aca="false">IF(OR(BJ$4="",MONTH(($G$2+34))&lt;&gt;MONTH($C$2)),"",IF(COUNTIFS(m_teacher,BJ$4,m_date,($G$2+34),m_active,1,m_start,"&lt;"&amp;1080,m_end,"&gt;"&amp;1020)=0,"",IF(COUNTIFS(m_teacher,BJ$4,m_date,($G$2+34),m_active,1,m_start,"&lt;"&amp;1080,m_end,"&gt;"&amp;1020)&gt;1,"충돌",HYPERLINK("#'관리자_MASTER'!D"&amp;_xlfn.MAXIFS(m_row,m_teacher,BJ$4,m_date,($G$2+34),m_active,1,m_start,"&lt;"&amp;1080,m_end,"&gt;"&amp;1020),INDEX(m_label,_xlfn.MAXIFS(m_row,m_teacher,BJ$4,m_date,($G$2+34),m_active,1,m_start,"&lt;"&amp;1080,m_end,"&gt;"&amp;1020))))))</f>
        <v/>
      </c>
      <c r="BK79" s="81" t="str">
        <f aca="false">IF(OR(BK$4="",MONTH(($G$2+34))&lt;&gt;MONTH($C$2)),"",IF(COUNTIFS(m_teacher,BK$4,m_date,($G$2+34),m_active,1,m_start,"&lt;"&amp;1080,m_end,"&gt;"&amp;1020)=0,"",IF(COUNTIFS(m_teacher,BK$4,m_date,($G$2+34),m_active,1,m_start,"&lt;"&amp;1080,m_end,"&gt;"&amp;1020)&gt;1,"충돌",HYPERLINK("#'관리자_MASTER'!D"&amp;_xlfn.MAXIFS(m_row,m_teacher,BK$4,m_date,($G$2+34),m_active,1,m_start,"&lt;"&amp;1080,m_end,"&gt;"&amp;1020),INDEX(m_label,_xlfn.MAXIFS(m_row,m_teacher,BK$4,m_date,($G$2+34),m_active,1,m_start,"&lt;"&amp;1080,m_end,"&gt;"&amp;1020))))))</f>
        <v/>
      </c>
      <c r="BL79" s="81" t="str">
        <f aca="false">IF(OR(BL$4="",MONTH(($G$2+34))&lt;&gt;MONTH($C$2)),"",IF(COUNTIFS(m_teacher,BL$4,m_date,($G$2+34),m_active,1,m_start,"&lt;"&amp;1080,m_end,"&gt;"&amp;1020)=0,"",IF(COUNTIFS(m_teacher,BL$4,m_date,($G$2+34),m_active,1,m_start,"&lt;"&amp;1080,m_end,"&gt;"&amp;1020)&gt;1,"충돌",HYPERLINK("#'관리자_MASTER'!D"&amp;_xlfn.MAXIFS(m_row,m_teacher,BL$4,m_date,($G$2+34),m_active,1,m_start,"&lt;"&amp;1080,m_end,"&gt;"&amp;1020),INDEX(m_label,_xlfn.MAXIFS(m_row,m_teacher,BL$4,m_date,($G$2+34),m_active,1,m_start,"&lt;"&amp;1080,m_end,"&gt;"&amp;1020))))))</f>
        <v/>
      </c>
      <c r="BM79" s="81" t="str">
        <f aca="false">IF(OR(BM$4="",MONTH(($G$2+34))&lt;&gt;MONTH($C$2)),"",IF(COUNTIFS(m_teacher,BM$4,m_date,($G$2+34),m_active,1,m_start,"&lt;"&amp;1080,m_end,"&gt;"&amp;1020)=0,"",IF(COUNTIFS(m_teacher,BM$4,m_date,($G$2+34),m_active,1,m_start,"&lt;"&amp;1080,m_end,"&gt;"&amp;1020)&gt;1,"충돌",HYPERLINK("#'관리자_MASTER'!D"&amp;_xlfn.MAXIFS(m_row,m_teacher,BM$4,m_date,($G$2+34),m_active,1,m_start,"&lt;"&amp;1080,m_end,"&gt;"&amp;1020),INDEX(m_label,_xlfn.MAXIFS(m_row,m_teacher,BM$4,m_date,($G$2+34),m_active,1,m_start,"&lt;"&amp;1080,m_end,"&gt;"&amp;1020))))))</f>
        <v/>
      </c>
      <c r="BN79" s="81" t="str">
        <f aca="false">IF(OR(BN$4="",MONTH(($G$2+34))&lt;&gt;MONTH($C$2)),"",IF(COUNTIFS(m_teacher,BN$4,m_date,($G$2+34),m_active,1,m_start,"&lt;"&amp;1080,m_end,"&gt;"&amp;1020)=0,"",IF(COUNTIFS(m_teacher,BN$4,m_date,($G$2+34),m_active,1,m_start,"&lt;"&amp;1080,m_end,"&gt;"&amp;1020)&gt;1,"충돌",HYPERLINK("#'관리자_MASTER'!D"&amp;_xlfn.MAXIFS(m_row,m_teacher,BN$4,m_date,($G$2+34),m_active,1,m_start,"&lt;"&amp;1080,m_end,"&gt;"&amp;1020),INDEX(m_label,_xlfn.MAXIFS(m_row,m_teacher,BN$4,m_date,($G$2+34),m_active,1,m_start,"&lt;"&amp;1080,m_end,"&gt;"&amp;1020))))))</f>
        <v/>
      </c>
      <c r="BO79" s="81" t="str">
        <f aca="false">IF(OR(BO$4="",MONTH(($G$2+34))&lt;&gt;MONTH($C$2)),"",IF(COUNTIFS(m_teacher,BO$4,m_date,($G$2+34),m_active,1,m_start,"&lt;"&amp;1080,m_end,"&gt;"&amp;1020)=0,"",IF(COUNTIFS(m_teacher,BO$4,m_date,($G$2+34),m_active,1,m_start,"&lt;"&amp;1080,m_end,"&gt;"&amp;1020)&gt;1,"충돌",HYPERLINK("#'관리자_MASTER'!D"&amp;_xlfn.MAXIFS(m_row,m_teacher,BO$4,m_date,($G$2+34),m_active,1,m_start,"&lt;"&amp;1080,m_end,"&gt;"&amp;1020),INDEX(m_label,_xlfn.MAXIFS(m_row,m_teacher,BO$4,m_date,($G$2+34),m_active,1,m_start,"&lt;"&amp;1080,m_end,"&gt;"&amp;1020))))))</f>
        <v/>
      </c>
      <c r="BP79" s="81" t="str">
        <f aca="false">IF(OR(BP$4="",MONTH(($G$2+34))&lt;&gt;MONTH($C$2)),"",IF(COUNTIFS(m_teacher,BP$4,m_date,($G$2+34),m_active,1,m_start,"&lt;"&amp;1080,m_end,"&gt;"&amp;1020)=0,"",IF(COUNTIFS(m_teacher,BP$4,m_date,($G$2+34),m_active,1,m_start,"&lt;"&amp;1080,m_end,"&gt;"&amp;1020)&gt;1,"충돌",HYPERLINK("#'관리자_MASTER'!D"&amp;_xlfn.MAXIFS(m_row,m_teacher,BP$4,m_date,($G$2+34),m_active,1,m_start,"&lt;"&amp;1080,m_end,"&gt;"&amp;1020),INDEX(m_label,_xlfn.MAXIFS(m_row,m_teacher,BP$4,m_date,($G$2+34),m_active,1,m_start,"&lt;"&amp;1080,m_end,"&gt;"&amp;1020))))))</f>
        <v/>
      </c>
      <c r="BQ79" s="81" t="str">
        <f aca="false">IF(OR(BQ$4="",MONTH(($G$2+34))&lt;&gt;MONTH($C$2)),"",IF(COUNTIFS(m_teacher,BQ$4,m_date,($G$2+34),m_active,1,m_start,"&lt;"&amp;1080,m_end,"&gt;"&amp;1020)=0,"",IF(COUNTIFS(m_teacher,BQ$4,m_date,($G$2+34),m_active,1,m_start,"&lt;"&amp;1080,m_end,"&gt;"&amp;1020)&gt;1,"충돌",HYPERLINK("#'관리자_MASTER'!D"&amp;_xlfn.MAXIFS(m_row,m_teacher,BQ$4,m_date,($G$2+34),m_active,1,m_start,"&lt;"&amp;1080,m_end,"&gt;"&amp;1020),INDEX(m_label,_xlfn.MAXIFS(m_row,m_teacher,BQ$4,m_date,($G$2+34),m_active,1,m_start,"&lt;"&amp;1080,m_end,"&gt;"&amp;1020))))))</f>
        <v/>
      </c>
      <c r="BR79" s="81" t="str">
        <f aca="false">IF(OR(BR$4="",MONTH(($G$2+34))&lt;&gt;MONTH($C$2)),"",IF(COUNTIFS(m_teacher,BR$4,m_date,($G$2+34),m_active,1,m_start,"&lt;"&amp;1080,m_end,"&gt;"&amp;1020)=0,"",IF(COUNTIFS(m_teacher,BR$4,m_date,($G$2+34),m_active,1,m_start,"&lt;"&amp;1080,m_end,"&gt;"&amp;1020)&gt;1,"충돌",HYPERLINK("#'관리자_MASTER'!D"&amp;_xlfn.MAXIFS(m_row,m_teacher,BR$4,m_date,($G$2+34),m_active,1,m_start,"&lt;"&amp;1080,m_end,"&gt;"&amp;1020),INDEX(m_label,_xlfn.MAXIFS(m_row,m_teacher,BR$4,m_date,($G$2+34),m_active,1,m_start,"&lt;"&amp;1080,m_end,"&gt;"&amp;1020))))))</f>
        <v/>
      </c>
    </row>
    <row r="80" customFormat="false" ht="19.5" hidden="false" customHeight="true" outlineLevel="0" collapsed="false">
      <c r="A80" s="92"/>
      <c r="B80" s="79" t="s">
        <v>100</v>
      </c>
      <c r="C80" s="82" t="str">
        <f aca="false">IF(OR(C$4="",MONTH(($G$2+6))&lt;&gt;MONTH($C$2)),"",IF(COUNTIFS(m_teacher,C$4,m_date,($G$2+6),m_active,1,m_start,"&lt;"&amp;1140,m_end,"&gt;"&amp;1080)=0,"",IF(COUNTIFS(m_teacher,C$4,m_date,($G$2+6),m_active,1,m_start,"&lt;"&amp;1140,m_end,"&gt;"&amp;1080)&gt;1,"충돌",HYPERLINK("#'관리자_MASTER'!D"&amp;_xlfn.MAXIFS(m_row,m_teacher,C$4,m_date,($G$2+6),m_active,1,m_start,"&lt;"&amp;1140,m_end,"&gt;"&amp;1080),INDEX(m_label,_xlfn.MAXIFS(m_row,m_teacher,C$4,m_date,($G$2+6),m_active,1,m_start,"&lt;"&amp;1140,m_end,"&gt;"&amp;1080))))))</f>
        <v/>
      </c>
      <c r="D80" s="82" t="str">
        <f aca="false">IF(OR(D$4="",MONTH(($G$2+6))&lt;&gt;MONTH($C$2)),"",IF(COUNTIFS(m_teacher,D$4,m_date,($G$2+6),m_active,1,m_start,"&lt;"&amp;1140,m_end,"&gt;"&amp;1080)=0,"",IF(COUNTIFS(m_teacher,D$4,m_date,($G$2+6),m_active,1,m_start,"&lt;"&amp;1140,m_end,"&gt;"&amp;1080)&gt;1,"충돌",HYPERLINK("#'관리자_MASTER'!D"&amp;_xlfn.MAXIFS(m_row,m_teacher,D$4,m_date,($G$2+6),m_active,1,m_start,"&lt;"&amp;1140,m_end,"&gt;"&amp;1080),INDEX(m_label,_xlfn.MAXIFS(m_row,m_teacher,D$4,m_date,($G$2+6),m_active,1,m_start,"&lt;"&amp;1140,m_end,"&gt;"&amp;1080))))))</f>
        <v/>
      </c>
      <c r="E80" s="82" t="str">
        <f aca="false">IF(OR(E$4="",MONTH(($G$2+6))&lt;&gt;MONTH($C$2)),"",IF(COUNTIFS(m_teacher,E$4,m_date,($G$2+6),m_active,1,m_start,"&lt;"&amp;1140,m_end,"&gt;"&amp;1080)=0,"",IF(COUNTIFS(m_teacher,E$4,m_date,($G$2+6),m_active,1,m_start,"&lt;"&amp;1140,m_end,"&gt;"&amp;1080)&gt;1,"충돌",HYPERLINK("#'관리자_MASTER'!D"&amp;_xlfn.MAXIFS(m_row,m_teacher,E$4,m_date,($G$2+6),m_active,1,m_start,"&lt;"&amp;1140,m_end,"&gt;"&amp;1080),INDEX(m_label,_xlfn.MAXIFS(m_row,m_teacher,E$4,m_date,($G$2+6),m_active,1,m_start,"&lt;"&amp;1140,m_end,"&gt;"&amp;1080))))))</f>
        <v/>
      </c>
      <c r="F80" s="82" t="str">
        <f aca="false">IF(OR(F$4="",MONTH(($G$2+6))&lt;&gt;MONTH($C$2)),"",IF(COUNTIFS(m_teacher,F$4,m_date,($G$2+6),m_active,1,m_start,"&lt;"&amp;1140,m_end,"&gt;"&amp;1080)=0,"",IF(COUNTIFS(m_teacher,F$4,m_date,($G$2+6),m_active,1,m_start,"&lt;"&amp;1140,m_end,"&gt;"&amp;1080)&gt;1,"충돌",HYPERLINK("#'관리자_MASTER'!D"&amp;_xlfn.MAXIFS(m_row,m_teacher,F$4,m_date,($G$2+6),m_active,1,m_start,"&lt;"&amp;1140,m_end,"&gt;"&amp;1080),INDEX(m_label,_xlfn.MAXIFS(m_row,m_teacher,F$4,m_date,($G$2+6),m_active,1,m_start,"&lt;"&amp;1140,m_end,"&gt;"&amp;1080))))))</f>
        <v/>
      </c>
      <c r="G80" s="82" t="str">
        <f aca="false">IF(OR(G$4="",MONTH(($G$2+6))&lt;&gt;MONTH($C$2)),"",IF(COUNTIFS(m_teacher,G$4,m_date,($G$2+6),m_active,1,m_start,"&lt;"&amp;1140,m_end,"&gt;"&amp;1080)=0,"",IF(COUNTIFS(m_teacher,G$4,m_date,($G$2+6),m_active,1,m_start,"&lt;"&amp;1140,m_end,"&gt;"&amp;1080)&gt;1,"충돌",HYPERLINK("#'관리자_MASTER'!D"&amp;_xlfn.MAXIFS(m_row,m_teacher,G$4,m_date,($G$2+6),m_active,1,m_start,"&lt;"&amp;1140,m_end,"&gt;"&amp;1080),INDEX(m_label,_xlfn.MAXIFS(m_row,m_teacher,G$4,m_date,($G$2+6),m_active,1,m_start,"&lt;"&amp;1140,m_end,"&gt;"&amp;1080))))))</f>
        <v/>
      </c>
      <c r="H80" s="82" t="str">
        <f aca="false">IF(OR(H$4="",MONTH(($G$2+6))&lt;&gt;MONTH($C$2)),"",IF(COUNTIFS(m_teacher,H$4,m_date,($G$2+6),m_active,1,m_start,"&lt;"&amp;1140,m_end,"&gt;"&amp;1080)=0,"",IF(COUNTIFS(m_teacher,H$4,m_date,($G$2+6),m_active,1,m_start,"&lt;"&amp;1140,m_end,"&gt;"&amp;1080)&gt;1,"충돌",HYPERLINK("#'관리자_MASTER'!D"&amp;_xlfn.MAXIFS(m_row,m_teacher,H$4,m_date,($G$2+6),m_active,1,m_start,"&lt;"&amp;1140,m_end,"&gt;"&amp;1080),INDEX(m_label,_xlfn.MAXIFS(m_row,m_teacher,H$4,m_date,($G$2+6),m_active,1,m_start,"&lt;"&amp;1140,m_end,"&gt;"&amp;1080))))))</f>
        <v/>
      </c>
      <c r="I80" s="82" t="str">
        <f aca="false">IF(OR(I$4="",MONTH(($G$2+6))&lt;&gt;MONTH($C$2)),"",IF(COUNTIFS(m_teacher,I$4,m_date,($G$2+6),m_active,1,m_start,"&lt;"&amp;1140,m_end,"&gt;"&amp;1080)=0,"",IF(COUNTIFS(m_teacher,I$4,m_date,($G$2+6),m_active,1,m_start,"&lt;"&amp;1140,m_end,"&gt;"&amp;1080)&gt;1,"충돌",HYPERLINK("#'관리자_MASTER'!D"&amp;_xlfn.MAXIFS(m_row,m_teacher,I$4,m_date,($G$2+6),m_active,1,m_start,"&lt;"&amp;1140,m_end,"&gt;"&amp;1080),INDEX(m_label,_xlfn.MAXIFS(m_row,m_teacher,I$4,m_date,($G$2+6),m_active,1,m_start,"&lt;"&amp;1140,m_end,"&gt;"&amp;1080))))))</f>
        <v/>
      </c>
      <c r="J80" s="82" t="str">
        <f aca="false">IF(OR(J$4="",MONTH(($G$2+6))&lt;&gt;MONTH($C$2)),"",IF(COUNTIFS(m_teacher,J$4,m_date,($G$2+6),m_active,1,m_start,"&lt;"&amp;1140,m_end,"&gt;"&amp;1080)=0,"",IF(COUNTIFS(m_teacher,J$4,m_date,($G$2+6),m_active,1,m_start,"&lt;"&amp;1140,m_end,"&gt;"&amp;1080)&gt;1,"충돌",HYPERLINK("#'관리자_MASTER'!D"&amp;_xlfn.MAXIFS(m_row,m_teacher,J$4,m_date,($G$2+6),m_active,1,m_start,"&lt;"&amp;1140,m_end,"&gt;"&amp;1080),INDEX(m_label,_xlfn.MAXIFS(m_row,m_teacher,J$4,m_date,($G$2+6),m_active,1,m_start,"&lt;"&amp;1140,m_end,"&gt;"&amp;1080))))))</f>
        <v/>
      </c>
      <c r="K80" s="82" t="str">
        <f aca="false">IF(OR(K$4="",MONTH(($G$2+6))&lt;&gt;MONTH($C$2)),"",IF(COUNTIFS(m_teacher,K$4,m_date,($G$2+6),m_active,1,m_start,"&lt;"&amp;1140,m_end,"&gt;"&amp;1080)=0,"",IF(COUNTIFS(m_teacher,K$4,m_date,($G$2+6),m_active,1,m_start,"&lt;"&amp;1140,m_end,"&gt;"&amp;1080)&gt;1,"충돌",HYPERLINK("#'관리자_MASTER'!D"&amp;_xlfn.MAXIFS(m_row,m_teacher,K$4,m_date,($G$2+6),m_active,1,m_start,"&lt;"&amp;1140,m_end,"&gt;"&amp;1080),INDEX(m_label,_xlfn.MAXIFS(m_row,m_teacher,K$4,m_date,($G$2+6),m_active,1,m_start,"&lt;"&amp;1140,m_end,"&gt;"&amp;1080))))))</f>
        <v/>
      </c>
      <c r="L80" s="82" t="str">
        <f aca="false">IF(OR(L$4="",MONTH(($G$2+6))&lt;&gt;MONTH($C$2)),"",IF(COUNTIFS(m_teacher,L$4,m_date,($G$2+6),m_active,1,m_start,"&lt;"&amp;1140,m_end,"&gt;"&amp;1080)=0,"",IF(COUNTIFS(m_teacher,L$4,m_date,($G$2+6),m_active,1,m_start,"&lt;"&amp;1140,m_end,"&gt;"&amp;1080)&gt;1,"충돌",HYPERLINK("#'관리자_MASTER'!D"&amp;_xlfn.MAXIFS(m_row,m_teacher,L$4,m_date,($G$2+6),m_active,1,m_start,"&lt;"&amp;1140,m_end,"&gt;"&amp;1080),INDEX(m_label,_xlfn.MAXIFS(m_row,m_teacher,L$4,m_date,($G$2+6),m_active,1,m_start,"&lt;"&amp;1140,m_end,"&gt;"&amp;1080))))))</f>
        <v/>
      </c>
      <c r="M80" s="82" t="str">
        <f aca="false">IF(OR(M$4="",MONTH(($G$2+6))&lt;&gt;MONTH($C$2)),"",IF(COUNTIFS(m_teacher,M$4,m_date,($G$2+6),m_active,1,m_start,"&lt;"&amp;1140,m_end,"&gt;"&amp;1080)=0,"",IF(COUNTIFS(m_teacher,M$4,m_date,($G$2+6),m_active,1,m_start,"&lt;"&amp;1140,m_end,"&gt;"&amp;1080)&gt;1,"충돌",HYPERLINK("#'관리자_MASTER'!D"&amp;_xlfn.MAXIFS(m_row,m_teacher,M$4,m_date,($G$2+6),m_active,1,m_start,"&lt;"&amp;1140,m_end,"&gt;"&amp;1080),INDEX(m_label,_xlfn.MAXIFS(m_row,m_teacher,M$4,m_date,($G$2+6),m_active,1,m_start,"&lt;"&amp;1140,m_end,"&gt;"&amp;1080))))))</f>
        <v/>
      </c>
      <c r="N80" s="82" t="str">
        <f aca="false">IF(OR(N$4="",MONTH(($G$2+6))&lt;&gt;MONTH($C$2)),"",IF(COUNTIFS(m_teacher,N$4,m_date,($G$2+6),m_active,1,m_start,"&lt;"&amp;1140,m_end,"&gt;"&amp;1080)=0,"",IF(COUNTIFS(m_teacher,N$4,m_date,($G$2+6),m_active,1,m_start,"&lt;"&amp;1140,m_end,"&gt;"&amp;1080)&gt;1,"충돌",HYPERLINK("#'관리자_MASTER'!D"&amp;_xlfn.MAXIFS(m_row,m_teacher,N$4,m_date,($G$2+6),m_active,1,m_start,"&lt;"&amp;1140,m_end,"&gt;"&amp;1080),INDEX(m_label,_xlfn.MAXIFS(m_row,m_teacher,N$4,m_date,($G$2+6),m_active,1,m_start,"&lt;"&amp;1140,m_end,"&gt;"&amp;1080))))))</f>
        <v/>
      </c>
      <c r="O80" s="92"/>
      <c r="P80" s="79" t="s">
        <v>100</v>
      </c>
      <c r="Q80" s="82" t="str">
        <f aca="false">IF(OR(Q$4="",MONTH(($G$2+13))&lt;&gt;MONTH($C$2)),"",IF(COUNTIFS(m_teacher,Q$4,m_date,($G$2+13),m_active,1,m_start,"&lt;"&amp;1140,m_end,"&gt;"&amp;1080)=0,"",IF(COUNTIFS(m_teacher,Q$4,m_date,($G$2+13),m_active,1,m_start,"&lt;"&amp;1140,m_end,"&gt;"&amp;1080)&gt;1,"충돌",HYPERLINK("#'관리자_MASTER'!D"&amp;_xlfn.MAXIFS(m_row,m_teacher,Q$4,m_date,($G$2+13),m_active,1,m_start,"&lt;"&amp;1140,m_end,"&gt;"&amp;1080),INDEX(m_label,_xlfn.MAXIFS(m_row,m_teacher,Q$4,m_date,($G$2+13),m_active,1,m_start,"&lt;"&amp;1140,m_end,"&gt;"&amp;1080))))))</f>
        <v/>
      </c>
      <c r="R80" s="82" t="str">
        <f aca="false">IF(OR(R$4="",MONTH(($G$2+13))&lt;&gt;MONTH($C$2)),"",IF(COUNTIFS(m_teacher,R$4,m_date,($G$2+13),m_active,1,m_start,"&lt;"&amp;1140,m_end,"&gt;"&amp;1080)=0,"",IF(COUNTIFS(m_teacher,R$4,m_date,($G$2+13),m_active,1,m_start,"&lt;"&amp;1140,m_end,"&gt;"&amp;1080)&gt;1,"충돌",HYPERLINK("#'관리자_MASTER'!D"&amp;_xlfn.MAXIFS(m_row,m_teacher,R$4,m_date,($G$2+13),m_active,1,m_start,"&lt;"&amp;1140,m_end,"&gt;"&amp;1080),INDEX(m_label,_xlfn.MAXIFS(m_row,m_teacher,R$4,m_date,($G$2+13),m_active,1,m_start,"&lt;"&amp;1140,m_end,"&gt;"&amp;1080))))))</f>
        <v/>
      </c>
      <c r="S80" s="82" t="str">
        <f aca="false">IF(OR(S$4="",MONTH(($G$2+13))&lt;&gt;MONTH($C$2)),"",IF(COUNTIFS(m_teacher,S$4,m_date,($G$2+13),m_active,1,m_start,"&lt;"&amp;1140,m_end,"&gt;"&amp;1080)=0,"",IF(COUNTIFS(m_teacher,S$4,m_date,($G$2+13),m_active,1,m_start,"&lt;"&amp;1140,m_end,"&gt;"&amp;1080)&gt;1,"충돌",HYPERLINK("#'관리자_MASTER'!D"&amp;_xlfn.MAXIFS(m_row,m_teacher,S$4,m_date,($G$2+13),m_active,1,m_start,"&lt;"&amp;1140,m_end,"&gt;"&amp;1080),INDEX(m_label,_xlfn.MAXIFS(m_row,m_teacher,S$4,m_date,($G$2+13),m_active,1,m_start,"&lt;"&amp;1140,m_end,"&gt;"&amp;1080))))))</f>
        <v/>
      </c>
      <c r="T80" s="82" t="str">
        <f aca="false">IF(OR(T$4="",MONTH(($G$2+13))&lt;&gt;MONTH($C$2)),"",IF(COUNTIFS(m_teacher,T$4,m_date,($G$2+13),m_active,1,m_start,"&lt;"&amp;1140,m_end,"&gt;"&amp;1080)=0,"",IF(COUNTIFS(m_teacher,T$4,m_date,($G$2+13),m_active,1,m_start,"&lt;"&amp;1140,m_end,"&gt;"&amp;1080)&gt;1,"충돌",HYPERLINK("#'관리자_MASTER'!D"&amp;_xlfn.MAXIFS(m_row,m_teacher,T$4,m_date,($G$2+13),m_active,1,m_start,"&lt;"&amp;1140,m_end,"&gt;"&amp;1080),INDEX(m_label,_xlfn.MAXIFS(m_row,m_teacher,T$4,m_date,($G$2+13),m_active,1,m_start,"&lt;"&amp;1140,m_end,"&gt;"&amp;1080))))))</f>
        <v/>
      </c>
      <c r="U80" s="82" t="str">
        <f aca="false">IF(OR(U$4="",MONTH(($G$2+13))&lt;&gt;MONTH($C$2)),"",IF(COUNTIFS(m_teacher,U$4,m_date,($G$2+13),m_active,1,m_start,"&lt;"&amp;1140,m_end,"&gt;"&amp;1080)=0,"",IF(COUNTIFS(m_teacher,U$4,m_date,($G$2+13),m_active,1,m_start,"&lt;"&amp;1140,m_end,"&gt;"&amp;1080)&gt;1,"충돌",HYPERLINK("#'관리자_MASTER'!D"&amp;_xlfn.MAXIFS(m_row,m_teacher,U$4,m_date,($G$2+13),m_active,1,m_start,"&lt;"&amp;1140,m_end,"&gt;"&amp;1080),INDEX(m_label,_xlfn.MAXIFS(m_row,m_teacher,U$4,m_date,($G$2+13),m_active,1,m_start,"&lt;"&amp;1140,m_end,"&gt;"&amp;1080))))))</f>
        <v/>
      </c>
      <c r="V80" s="82" t="str">
        <f aca="false">IF(OR(V$4="",MONTH(($G$2+13))&lt;&gt;MONTH($C$2)),"",IF(COUNTIFS(m_teacher,V$4,m_date,($G$2+13),m_active,1,m_start,"&lt;"&amp;1140,m_end,"&gt;"&amp;1080)=0,"",IF(COUNTIFS(m_teacher,V$4,m_date,($G$2+13),m_active,1,m_start,"&lt;"&amp;1140,m_end,"&gt;"&amp;1080)&gt;1,"충돌",HYPERLINK("#'관리자_MASTER'!D"&amp;_xlfn.MAXIFS(m_row,m_teacher,V$4,m_date,($G$2+13),m_active,1,m_start,"&lt;"&amp;1140,m_end,"&gt;"&amp;1080),INDEX(m_label,_xlfn.MAXIFS(m_row,m_teacher,V$4,m_date,($G$2+13),m_active,1,m_start,"&lt;"&amp;1140,m_end,"&gt;"&amp;1080))))))</f>
        <v/>
      </c>
      <c r="W80" s="82" t="str">
        <f aca="false">IF(OR(W$4="",MONTH(($G$2+13))&lt;&gt;MONTH($C$2)),"",IF(COUNTIFS(m_teacher,W$4,m_date,($G$2+13),m_active,1,m_start,"&lt;"&amp;1140,m_end,"&gt;"&amp;1080)=0,"",IF(COUNTIFS(m_teacher,W$4,m_date,($G$2+13),m_active,1,m_start,"&lt;"&amp;1140,m_end,"&gt;"&amp;1080)&gt;1,"충돌",HYPERLINK("#'관리자_MASTER'!D"&amp;_xlfn.MAXIFS(m_row,m_teacher,W$4,m_date,($G$2+13),m_active,1,m_start,"&lt;"&amp;1140,m_end,"&gt;"&amp;1080),INDEX(m_label,_xlfn.MAXIFS(m_row,m_teacher,W$4,m_date,($G$2+13),m_active,1,m_start,"&lt;"&amp;1140,m_end,"&gt;"&amp;1080))))))</f>
        <v/>
      </c>
      <c r="X80" s="82" t="str">
        <f aca="false">IF(OR(X$4="",MONTH(($G$2+13))&lt;&gt;MONTH($C$2)),"",IF(COUNTIFS(m_teacher,X$4,m_date,($G$2+13),m_active,1,m_start,"&lt;"&amp;1140,m_end,"&gt;"&amp;1080)=0,"",IF(COUNTIFS(m_teacher,X$4,m_date,($G$2+13),m_active,1,m_start,"&lt;"&amp;1140,m_end,"&gt;"&amp;1080)&gt;1,"충돌",HYPERLINK("#'관리자_MASTER'!D"&amp;_xlfn.MAXIFS(m_row,m_teacher,X$4,m_date,($G$2+13),m_active,1,m_start,"&lt;"&amp;1140,m_end,"&gt;"&amp;1080),INDEX(m_label,_xlfn.MAXIFS(m_row,m_teacher,X$4,m_date,($G$2+13),m_active,1,m_start,"&lt;"&amp;1140,m_end,"&gt;"&amp;1080))))))</f>
        <v/>
      </c>
      <c r="Y80" s="82" t="str">
        <f aca="false">IF(OR(Y$4="",MONTH(($G$2+13))&lt;&gt;MONTH($C$2)),"",IF(COUNTIFS(m_teacher,Y$4,m_date,($G$2+13),m_active,1,m_start,"&lt;"&amp;1140,m_end,"&gt;"&amp;1080)=0,"",IF(COUNTIFS(m_teacher,Y$4,m_date,($G$2+13),m_active,1,m_start,"&lt;"&amp;1140,m_end,"&gt;"&amp;1080)&gt;1,"충돌",HYPERLINK("#'관리자_MASTER'!D"&amp;_xlfn.MAXIFS(m_row,m_teacher,Y$4,m_date,($G$2+13),m_active,1,m_start,"&lt;"&amp;1140,m_end,"&gt;"&amp;1080),INDEX(m_label,_xlfn.MAXIFS(m_row,m_teacher,Y$4,m_date,($G$2+13),m_active,1,m_start,"&lt;"&amp;1140,m_end,"&gt;"&amp;1080))))))</f>
        <v/>
      </c>
      <c r="Z80" s="82" t="str">
        <f aca="false">IF(OR(Z$4="",MONTH(($G$2+13))&lt;&gt;MONTH($C$2)),"",IF(COUNTIFS(m_teacher,Z$4,m_date,($G$2+13),m_active,1,m_start,"&lt;"&amp;1140,m_end,"&gt;"&amp;1080)=0,"",IF(COUNTIFS(m_teacher,Z$4,m_date,($G$2+13),m_active,1,m_start,"&lt;"&amp;1140,m_end,"&gt;"&amp;1080)&gt;1,"충돌",HYPERLINK("#'관리자_MASTER'!D"&amp;_xlfn.MAXIFS(m_row,m_teacher,Z$4,m_date,($G$2+13),m_active,1,m_start,"&lt;"&amp;1140,m_end,"&gt;"&amp;1080),INDEX(m_label,_xlfn.MAXIFS(m_row,m_teacher,Z$4,m_date,($G$2+13),m_active,1,m_start,"&lt;"&amp;1140,m_end,"&gt;"&amp;1080))))))</f>
        <v/>
      </c>
      <c r="AA80" s="82" t="str">
        <f aca="false">IF(OR(AA$4="",MONTH(($G$2+13))&lt;&gt;MONTH($C$2)),"",IF(COUNTIFS(m_teacher,AA$4,m_date,($G$2+13),m_active,1,m_start,"&lt;"&amp;1140,m_end,"&gt;"&amp;1080)=0,"",IF(COUNTIFS(m_teacher,AA$4,m_date,($G$2+13),m_active,1,m_start,"&lt;"&amp;1140,m_end,"&gt;"&amp;1080)&gt;1,"충돌",HYPERLINK("#'관리자_MASTER'!D"&amp;_xlfn.MAXIFS(m_row,m_teacher,AA$4,m_date,($G$2+13),m_active,1,m_start,"&lt;"&amp;1140,m_end,"&gt;"&amp;1080),INDEX(m_label,_xlfn.MAXIFS(m_row,m_teacher,AA$4,m_date,($G$2+13),m_active,1,m_start,"&lt;"&amp;1140,m_end,"&gt;"&amp;1080))))))</f>
        <v/>
      </c>
      <c r="AB80" s="82" t="str">
        <f aca="false">IF(OR(AB$4="",MONTH(($G$2+13))&lt;&gt;MONTH($C$2)),"",IF(COUNTIFS(m_teacher,AB$4,m_date,($G$2+13),m_active,1,m_start,"&lt;"&amp;1140,m_end,"&gt;"&amp;1080)=0,"",IF(COUNTIFS(m_teacher,AB$4,m_date,($G$2+13),m_active,1,m_start,"&lt;"&amp;1140,m_end,"&gt;"&amp;1080)&gt;1,"충돌",HYPERLINK("#'관리자_MASTER'!D"&amp;_xlfn.MAXIFS(m_row,m_teacher,AB$4,m_date,($G$2+13),m_active,1,m_start,"&lt;"&amp;1140,m_end,"&gt;"&amp;1080),INDEX(m_label,_xlfn.MAXIFS(m_row,m_teacher,AB$4,m_date,($G$2+13),m_active,1,m_start,"&lt;"&amp;1140,m_end,"&gt;"&amp;1080))))))</f>
        <v/>
      </c>
      <c r="AC80" s="92"/>
      <c r="AD80" s="79" t="s">
        <v>100</v>
      </c>
      <c r="AE80" s="82" t="str">
        <f aca="false">IF(OR(AE$4="",MONTH(($G$2+20))&lt;&gt;MONTH($C$2)),"",IF(COUNTIFS(m_teacher,AE$4,m_date,($G$2+20),m_active,1,m_start,"&lt;"&amp;1140,m_end,"&gt;"&amp;1080)=0,"",IF(COUNTIFS(m_teacher,AE$4,m_date,($G$2+20),m_active,1,m_start,"&lt;"&amp;1140,m_end,"&gt;"&amp;1080)&gt;1,"충돌",HYPERLINK("#'관리자_MASTER'!D"&amp;_xlfn.MAXIFS(m_row,m_teacher,AE$4,m_date,($G$2+20),m_active,1,m_start,"&lt;"&amp;1140,m_end,"&gt;"&amp;1080),INDEX(m_label,_xlfn.MAXIFS(m_row,m_teacher,AE$4,m_date,($G$2+20),m_active,1,m_start,"&lt;"&amp;1140,m_end,"&gt;"&amp;1080))))))</f>
        <v/>
      </c>
      <c r="AF80" s="82" t="str">
        <f aca="false">IF(OR(AF$4="",MONTH(($G$2+20))&lt;&gt;MONTH($C$2)),"",IF(COUNTIFS(m_teacher,AF$4,m_date,($G$2+20),m_active,1,m_start,"&lt;"&amp;1140,m_end,"&gt;"&amp;1080)=0,"",IF(COUNTIFS(m_teacher,AF$4,m_date,($G$2+20),m_active,1,m_start,"&lt;"&amp;1140,m_end,"&gt;"&amp;1080)&gt;1,"충돌",HYPERLINK("#'관리자_MASTER'!D"&amp;_xlfn.MAXIFS(m_row,m_teacher,AF$4,m_date,($G$2+20),m_active,1,m_start,"&lt;"&amp;1140,m_end,"&gt;"&amp;1080),INDEX(m_label,_xlfn.MAXIFS(m_row,m_teacher,AF$4,m_date,($G$2+20),m_active,1,m_start,"&lt;"&amp;1140,m_end,"&gt;"&amp;1080))))))</f>
        <v/>
      </c>
      <c r="AG80" s="82" t="str">
        <f aca="false">IF(OR(AG$4="",MONTH(($G$2+20))&lt;&gt;MONTH($C$2)),"",IF(COUNTIFS(m_teacher,AG$4,m_date,($G$2+20),m_active,1,m_start,"&lt;"&amp;1140,m_end,"&gt;"&amp;1080)=0,"",IF(COUNTIFS(m_teacher,AG$4,m_date,($G$2+20),m_active,1,m_start,"&lt;"&amp;1140,m_end,"&gt;"&amp;1080)&gt;1,"충돌",HYPERLINK("#'관리자_MASTER'!D"&amp;_xlfn.MAXIFS(m_row,m_teacher,AG$4,m_date,($G$2+20),m_active,1,m_start,"&lt;"&amp;1140,m_end,"&gt;"&amp;1080),INDEX(m_label,_xlfn.MAXIFS(m_row,m_teacher,AG$4,m_date,($G$2+20),m_active,1,m_start,"&lt;"&amp;1140,m_end,"&gt;"&amp;1080))))))</f>
        <v/>
      </c>
      <c r="AH80" s="82" t="str">
        <f aca="false">IF(OR(AH$4="",MONTH(($G$2+20))&lt;&gt;MONTH($C$2)),"",IF(COUNTIFS(m_teacher,AH$4,m_date,($G$2+20),m_active,1,m_start,"&lt;"&amp;1140,m_end,"&gt;"&amp;1080)=0,"",IF(COUNTIFS(m_teacher,AH$4,m_date,($G$2+20),m_active,1,m_start,"&lt;"&amp;1140,m_end,"&gt;"&amp;1080)&gt;1,"충돌",HYPERLINK("#'관리자_MASTER'!D"&amp;_xlfn.MAXIFS(m_row,m_teacher,AH$4,m_date,($G$2+20),m_active,1,m_start,"&lt;"&amp;1140,m_end,"&gt;"&amp;1080),INDEX(m_label,_xlfn.MAXIFS(m_row,m_teacher,AH$4,m_date,($G$2+20),m_active,1,m_start,"&lt;"&amp;1140,m_end,"&gt;"&amp;1080))))))</f>
        <v/>
      </c>
      <c r="AI80" s="82" t="str">
        <f aca="false">IF(OR(AI$4="",MONTH(($G$2+20))&lt;&gt;MONTH($C$2)),"",IF(COUNTIFS(m_teacher,AI$4,m_date,($G$2+20),m_active,1,m_start,"&lt;"&amp;1140,m_end,"&gt;"&amp;1080)=0,"",IF(COUNTIFS(m_teacher,AI$4,m_date,($G$2+20),m_active,1,m_start,"&lt;"&amp;1140,m_end,"&gt;"&amp;1080)&gt;1,"충돌",HYPERLINK("#'관리자_MASTER'!D"&amp;_xlfn.MAXIFS(m_row,m_teacher,AI$4,m_date,($G$2+20),m_active,1,m_start,"&lt;"&amp;1140,m_end,"&gt;"&amp;1080),INDEX(m_label,_xlfn.MAXIFS(m_row,m_teacher,AI$4,m_date,($G$2+20),m_active,1,m_start,"&lt;"&amp;1140,m_end,"&gt;"&amp;1080))))))</f>
        <v/>
      </c>
      <c r="AJ80" s="82" t="str">
        <f aca="false">IF(OR(AJ$4="",MONTH(($G$2+20))&lt;&gt;MONTH($C$2)),"",IF(COUNTIFS(m_teacher,AJ$4,m_date,($G$2+20),m_active,1,m_start,"&lt;"&amp;1140,m_end,"&gt;"&amp;1080)=0,"",IF(COUNTIFS(m_teacher,AJ$4,m_date,($G$2+20),m_active,1,m_start,"&lt;"&amp;1140,m_end,"&gt;"&amp;1080)&gt;1,"충돌",HYPERLINK("#'관리자_MASTER'!D"&amp;_xlfn.MAXIFS(m_row,m_teacher,AJ$4,m_date,($G$2+20),m_active,1,m_start,"&lt;"&amp;1140,m_end,"&gt;"&amp;1080),INDEX(m_label,_xlfn.MAXIFS(m_row,m_teacher,AJ$4,m_date,($G$2+20),m_active,1,m_start,"&lt;"&amp;1140,m_end,"&gt;"&amp;1080))))))</f>
        <v/>
      </c>
      <c r="AK80" s="82" t="str">
        <f aca="false">IF(OR(AK$4="",MONTH(($G$2+20))&lt;&gt;MONTH($C$2)),"",IF(COUNTIFS(m_teacher,AK$4,m_date,($G$2+20),m_active,1,m_start,"&lt;"&amp;1140,m_end,"&gt;"&amp;1080)=0,"",IF(COUNTIFS(m_teacher,AK$4,m_date,($G$2+20),m_active,1,m_start,"&lt;"&amp;1140,m_end,"&gt;"&amp;1080)&gt;1,"충돌",HYPERLINK("#'관리자_MASTER'!D"&amp;_xlfn.MAXIFS(m_row,m_teacher,AK$4,m_date,($G$2+20),m_active,1,m_start,"&lt;"&amp;1140,m_end,"&gt;"&amp;1080),INDEX(m_label,_xlfn.MAXIFS(m_row,m_teacher,AK$4,m_date,($G$2+20),m_active,1,m_start,"&lt;"&amp;1140,m_end,"&gt;"&amp;1080))))))</f>
        <v/>
      </c>
      <c r="AL80" s="82" t="str">
        <f aca="false">IF(OR(AL$4="",MONTH(($G$2+20))&lt;&gt;MONTH($C$2)),"",IF(COUNTIFS(m_teacher,AL$4,m_date,($G$2+20),m_active,1,m_start,"&lt;"&amp;1140,m_end,"&gt;"&amp;1080)=0,"",IF(COUNTIFS(m_teacher,AL$4,m_date,($G$2+20),m_active,1,m_start,"&lt;"&amp;1140,m_end,"&gt;"&amp;1080)&gt;1,"충돌",HYPERLINK("#'관리자_MASTER'!D"&amp;_xlfn.MAXIFS(m_row,m_teacher,AL$4,m_date,($G$2+20),m_active,1,m_start,"&lt;"&amp;1140,m_end,"&gt;"&amp;1080),INDEX(m_label,_xlfn.MAXIFS(m_row,m_teacher,AL$4,m_date,($G$2+20),m_active,1,m_start,"&lt;"&amp;1140,m_end,"&gt;"&amp;1080))))))</f>
        <v/>
      </c>
      <c r="AM80" s="82" t="str">
        <f aca="false">IF(OR(AM$4="",MONTH(($G$2+20))&lt;&gt;MONTH($C$2)),"",IF(COUNTIFS(m_teacher,AM$4,m_date,($G$2+20),m_active,1,m_start,"&lt;"&amp;1140,m_end,"&gt;"&amp;1080)=0,"",IF(COUNTIFS(m_teacher,AM$4,m_date,($G$2+20),m_active,1,m_start,"&lt;"&amp;1140,m_end,"&gt;"&amp;1080)&gt;1,"충돌",HYPERLINK("#'관리자_MASTER'!D"&amp;_xlfn.MAXIFS(m_row,m_teacher,AM$4,m_date,($G$2+20),m_active,1,m_start,"&lt;"&amp;1140,m_end,"&gt;"&amp;1080),INDEX(m_label,_xlfn.MAXIFS(m_row,m_teacher,AM$4,m_date,($G$2+20),m_active,1,m_start,"&lt;"&amp;1140,m_end,"&gt;"&amp;1080))))))</f>
        <v/>
      </c>
      <c r="AN80" s="82" t="str">
        <f aca="false">IF(OR(AN$4="",MONTH(($G$2+20))&lt;&gt;MONTH($C$2)),"",IF(COUNTIFS(m_teacher,AN$4,m_date,($G$2+20),m_active,1,m_start,"&lt;"&amp;1140,m_end,"&gt;"&amp;1080)=0,"",IF(COUNTIFS(m_teacher,AN$4,m_date,($G$2+20),m_active,1,m_start,"&lt;"&amp;1140,m_end,"&gt;"&amp;1080)&gt;1,"충돌",HYPERLINK("#'관리자_MASTER'!D"&amp;_xlfn.MAXIFS(m_row,m_teacher,AN$4,m_date,($G$2+20),m_active,1,m_start,"&lt;"&amp;1140,m_end,"&gt;"&amp;1080),INDEX(m_label,_xlfn.MAXIFS(m_row,m_teacher,AN$4,m_date,($G$2+20),m_active,1,m_start,"&lt;"&amp;1140,m_end,"&gt;"&amp;1080))))))</f>
        <v/>
      </c>
      <c r="AO80" s="82" t="str">
        <f aca="false">IF(OR(AO$4="",MONTH(($G$2+20))&lt;&gt;MONTH($C$2)),"",IF(COUNTIFS(m_teacher,AO$4,m_date,($G$2+20),m_active,1,m_start,"&lt;"&amp;1140,m_end,"&gt;"&amp;1080)=0,"",IF(COUNTIFS(m_teacher,AO$4,m_date,($G$2+20),m_active,1,m_start,"&lt;"&amp;1140,m_end,"&gt;"&amp;1080)&gt;1,"충돌",HYPERLINK("#'관리자_MASTER'!D"&amp;_xlfn.MAXIFS(m_row,m_teacher,AO$4,m_date,($G$2+20),m_active,1,m_start,"&lt;"&amp;1140,m_end,"&gt;"&amp;1080),INDEX(m_label,_xlfn.MAXIFS(m_row,m_teacher,AO$4,m_date,($G$2+20),m_active,1,m_start,"&lt;"&amp;1140,m_end,"&gt;"&amp;1080))))))</f>
        <v/>
      </c>
      <c r="AP80" s="82" t="str">
        <f aca="false">IF(OR(AP$4="",MONTH(($G$2+20))&lt;&gt;MONTH($C$2)),"",IF(COUNTIFS(m_teacher,AP$4,m_date,($G$2+20),m_active,1,m_start,"&lt;"&amp;1140,m_end,"&gt;"&amp;1080)=0,"",IF(COUNTIFS(m_teacher,AP$4,m_date,($G$2+20),m_active,1,m_start,"&lt;"&amp;1140,m_end,"&gt;"&amp;1080)&gt;1,"충돌",HYPERLINK("#'관리자_MASTER'!D"&amp;_xlfn.MAXIFS(m_row,m_teacher,AP$4,m_date,($G$2+20),m_active,1,m_start,"&lt;"&amp;1140,m_end,"&gt;"&amp;1080),INDEX(m_label,_xlfn.MAXIFS(m_row,m_teacher,AP$4,m_date,($G$2+20),m_active,1,m_start,"&lt;"&amp;1140,m_end,"&gt;"&amp;1080))))))</f>
        <v/>
      </c>
      <c r="AQ80" s="92"/>
      <c r="AR80" s="79" t="s">
        <v>100</v>
      </c>
      <c r="AS80" s="82" t="str">
        <f aca="false">IF(OR(AS$4="",MONTH(($G$2+27))&lt;&gt;MONTH($C$2)),"",IF(COUNTIFS(m_teacher,AS$4,m_date,($G$2+27),m_active,1,m_start,"&lt;"&amp;1140,m_end,"&gt;"&amp;1080)=0,"",IF(COUNTIFS(m_teacher,AS$4,m_date,($G$2+27),m_active,1,m_start,"&lt;"&amp;1140,m_end,"&gt;"&amp;1080)&gt;1,"충돌",HYPERLINK("#'관리자_MASTER'!D"&amp;_xlfn.MAXIFS(m_row,m_teacher,AS$4,m_date,($G$2+27),m_active,1,m_start,"&lt;"&amp;1140,m_end,"&gt;"&amp;1080),INDEX(m_label,_xlfn.MAXIFS(m_row,m_teacher,AS$4,m_date,($G$2+27),m_active,1,m_start,"&lt;"&amp;1140,m_end,"&gt;"&amp;1080))))))</f>
        <v/>
      </c>
      <c r="AT80" s="82" t="str">
        <f aca="false">IF(OR(AT$4="",MONTH(($G$2+27))&lt;&gt;MONTH($C$2)),"",IF(COUNTIFS(m_teacher,AT$4,m_date,($G$2+27),m_active,1,m_start,"&lt;"&amp;1140,m_end,"&gt;"&amp;1080)=0,"",IF(COUNTIFS(m_teacher,AT$4,m_date,($G$2+27),m_active,1,m_start,"&lt;"&amp;1140,m_end,"&gt;"&amp;1080)&gt;1,"충돌",HYPERLINK("#'관리자_MASTER'!D"&amp;_xlfn.MAXIFS(m_row,m_teacher,AT$4,m_date,($G$2+27),m_active,1,m_start,"&lt;"&amp;1140,m_end,"&gt;"&amp;1080),INDEX(m_label,_xlfn.MAXIFS(m_row,m_teacher,AT$4,m_date,($G$2+27),m_active,1,m_start,"&lt;"&amp;1140,m_end,"&gt;"&amp;1080))))))</f>
        <v/>
      </c>
      <c r="AU80" s="82" t="str">
        <f aca="false">IF(OR(AU$4="",MONTH(($G$2+27))&lt;&gt;MONTH($C$2)),"",IF(COUNTIFS(m_teacher,AU$4,m_date,($G$2+27),m_active,1,m_start,"&lt;"&amp;1140,m_end,"&gt;"&amp;1080)=0,"",IF(COUNTIFS(m_teacher,AU$4,m_date,($G$2+27),m_active,1,m_start,"&lt;"&amp;1140,m_end,"&gt;"&amp;1080)&gt;1,"충돌",HYPERLINK("#'관리자_MASTER'!D"&amp;_xlfn.MAXIFS(m_row,m_teacher,AU$4,m_date,($G$2+27),m_active,1,m_start,"&lt;"&amp;1140,m_end,"&gt;"&amp;1080),INDEX(m_label,_xlfn.MAXIFS(m_row,m_teacher,AU$4,m_date,($G$2+27),m_active,1,m_start,"&lt;"&amp;1140,m_end,"&gt;"&amp;1080))))))</f>
        <v/>
      </c>
      <c r="AV80" s="82" t="str">
        <f aca="false">IF(OR(AV$4="",MONTH(($G$2+27))&lt;&gt;MONTH($C$2)),"",IF(COUNTIFS(m_teacher,AV$4,m_date,($G$2+27),m_active,1,m_start,"&lt;"&amp;1140,m_end,"&gt;"&amp;1080)=0,"",IF(COUNTIFS(m_teacher,AV$4,m_date,($G$2+27),m_active,1,m_start,"&lt;"&amp;1140,m_end,"&gt;"&amp;1080)&gt;1,"충돌",HYPERLINK("#'관리자_MASTER'!D"&amp;_xlfn.MAXIFS(m_row,m_teacher,AV$4,m_date,($G$2+27),m_active,1,m_start,"&lt;"&amp;1140,m_end,"&gt;"&amp;1080),INDEX(m_label,_xlfn.MAXIFS(m_row,m_teacher,AV$4,m_date,($G$2+27),m_active,1,m_start,"&lt;"&amp;1140,m_end,"&gt;"&amp;1080))))))</f>
        <v/>
      </c>
      <c r="AW80" s="82" t="str">
        <f aca="false">IF(OR(AW$4="",MONTH(($G$2+27))&lt;&gt;MONTH($C$2)),"",IF(COUNTIFS(m_teacher,AW$4,m_date,($G$2+27),m_active,1,m_start,"&lt;"&amp;1140,m_end,"&gt;"&amp;1080)=0,"",IF(COUNTIFS(m_teacher,AW$4,m_date,($G$2+27),m_active,1,m_start,"&lt;"&amp;1140,m_end,"&gt;"&amp;1080)&gt;1,"충돌",HYPERLINK("#'관리자_MASTER'!D"&amp;_xlfn.MAXIFS(m_row,m_teacher,AW$4,m_date,($G$2+27),m_active,1,m_start,"&lt;"&amp;1140,m_end,"&gt;"&amp;1080),INDEX(m_label,_xlfn.MAXIFS(m_row,m_teacher,AW$4,m_date,($G$2+27),m_active,1,m_start,"&lt;"&amp;1140,m_end,"&gt;"&amp;1080))))))</f>
        <v/>
      </c>
      <c r="AX80" s="82" t="str">
        <f aca="false">IF(OR(AX$4="",MONTH(($G$2+27))&lt;&gt;MONTH($C$2)),"",IF(COUNTIFS(m_teacher,AX$4,m_date,($G$2+27),m_active,1,m_start,"&lt;"&amp;1140,m_end,"&gt;"&amp;1080)=0,"",IF(COUNTIFS(m_teacher,AX$4,m_date,($G$2+27),m_active,1,m_start,"&lt;"&amp;1140,m_end,"&gt;"&amp;1080)&gt;1,"충돌",HYPERLINK("#'관리자_MASTER'!D"&amp;_xlfn.MAXIFS(m_row,m_teacher,AX$4,m_date,($G$2+27),m_active,1,m_start,"&lt;"&amp;1140,m_end,"&gt;"&amp;1080),INDEX(m_label,_xlfn.MAXIFS(m_row,m_teacher,AX$4,m_date,($G$2+27),m_active,1,m_start,"&lt;"&amp;1140,m_end,"&gt;"&amp;1080))))))</f>
        <v/>
      </c>
      <c r="AY80" s="82" t="str">
        <f aca="false">IF(OR(AY$4="",MONTH(($G$2+27))&lt;&gt;MONTH($C$2)),"",IF(COUNTIFS(m_teacher,AY$4,m_date,($G$2+27),m_active,1,m_start,"&lt;"&amp;1140,m_end,"&gt;"&amp;1080)=0,"",IF(COUNTIFS(m_teacher,AY$4,m_date,($G$2+27),m_active,1,m_start,"&lt;"&amp;1140,m_end,"&gt;"&amp;1080)&gt;1,"충돌",HYPERLINK("#'관리자_MASTER'!D"&amp;_xlfn.MAXIFS(m_row,m_teacher,AY$4,m_date,($G$2+27),m_active,1,m_start,"&lt;"&amp;1140,m_end,"&gt;"&amp;1080),INDEX(m_label,_xlfn.MAXIFS(m_row,m_teacher,AY$4,m_date,($G$2+27),m_active,1,m_start,"&lt;"&amp;1140,m_end,"&gt;"&amp;1080))))))</f>
        <v/>
      </c>
      <c r="AZ80" s="82" t="str">
        <f aca="false">IF(OR(AZ$4="",MONTH(($G$2+27))&lt;&gt;MONTH($C$2)),"",IF(COUNTIFS(m_teacher,AZ$4,m_date,($G$2+27),m_active,1,m_start,"&lt;"&amp;1140,m_end,"&gt;"&amp;1080)=0,"",IF(COUNTIFS(m_teacher,AZ$4,m_date,($G$2+27),m_active,1,m_start,"&lt;"&amp;1140,m_end,"&gt;"&amp;1080)&gt;1,"충돌",HYPERLINK("#'관리자_MASTER'!D"&amp;_xlfn.MAXIFS(m_row,m_teacher,AZ$4,m_date,($G$2+27),m_active,1,m_start,"&lt;"&amp;1140,m_end,"&gt;"&amp;1080),INDEX(m_label,_xlfn.MAXIFS(m_row,m_teacher,AZ$4,m_date,($G$2+27),m_active,1,m_start,"&lt;"&amp;1140,m_end,"&gt;"&amp;1080))))))</f>
        <v/>
      </c>
      <c r="BA80" s="82" t="str">
        <f aca="false">IF(OR(BA$4="",MONTH(($G$2+27))&lt;&gt;MONTH($C$2)),"",IF(COUNTIFS(m_teacher,BA$4,m_date,($G$2+27),m_active,1,m_start,"&lt;"&amp;1140,m_end,"&gt;"&amp;1080)=0,"",IF(COUNTIFS(m_teacher,BA$4,m_date,($G$2+27),m_active,1,m_start,"&lt;"&amp;1140,m_end,"&gt;"&amp;1080)&gt;1,"충돌",HYPERLINK("#'관리자_MASTER'!D"&amp;_xlfn.MAXIFS(m_row,m_teacher,BA$4,m_date,($G$2+27),m_active,1,m_start,"&lt;"&amp;1140,m_end,"&gt;"&amp;1080),INDEX(m_label,_xlfn.MAXIFS(m_row,m_teacher,BA$4,m_date,($G$2+27),m_active,1,m_start,"&lt;"&amp;1140,m_end,"&gt;"&amp;1080))))))</f>
        <v/>
      </c>
      <c r="BB80" s="82" t="str">
        <f aca="false">IF(OR(BB$4="",MONTH(($G$2+27))&lt;&gt;MONTH($C$2)),"",IF(COUNTIFS(m_teacher,BB$4,m_date,($G$2+27),m_active,1,m_start,"&lt;"&amp;1140,m_end,"&gt;"&amp;1080)=0,"",IF(COUNTIFS(m_teacher,BB$4,m_date,($G$2+27),m_active,1,m_start,"&lt;"&amp;1140,m_end,"&gt;"&amp;1080)&gt;1,"충돌",HYPERLINK("#'관리자_MASTER'!D"&amp;_xlfn.MAXIFS(m_row,m_teacher,BB$4,m_date,($G$2+27),m_active,1,m_start,"&lt;"&amp;1140,m_end,"&gt;"&amp;1080),INDEX(m_label,_xlfn.MAXIFS(m_row,m_teacher,BB$4,m_date,($G$2+27),m_active,1,m_start,"&lt;"&amp;1140,m_end,"&gt;"&amp;1080))))))</f>
        <v/>
      </c>
      <c r="BC80" s="82" t="str">
        <f aca="false">IF(OR(BC$4="",MONTH(($G$2+27))&lt;&gt;MONTH($C$2)),"",IF(COUNTIFS(m_teacher,BC$4,m_date,($G$2+27),m_active,1,m_start,"&lt;"&amp;1140,m_end,"&gt;"&amp;1080)=0,"",IF(COUNTIFS(m_teacher,BC$4,m_date,($G$2+27),m_active,1,m_start,"&lt;"&amp;1140,m_end,"&gt;"&amp;1080)&gt;1,"충돌",HYPERLINK("#'관리자_MASTER'!D"&amp;_xlfn.MAXIFS(m_row,m_teacher,BC$4,m_date,($G$2+27),m_active,1,m_start,"&lt;"&amp;1140,m_end,"&gt;"&amp;1080),INDEX(m_label,_xlfn.MAXIFS(m_row,m_teacher,BC$4,m_date,($G$2+27),m_active,1,m_start,"&lt;"&amp;1140,m_end,"&gt;"&amp;1080))))))</f>
        <v/>
      </c>
      <c r="BD80" s="82" t="str">
        <f aca="false">IF(OR(BD$4="",MONTH(($G$2+27))&lt;&gt;MONTH($C$2)),"",IF(COUNTIFS(m_teacher,BD$4,m_date,($G$2+27),m_active,1,m_start,"&lt;"&amp;1140,m_end,"&gt;"&amp;1080)=0,"",IF(COUNTIFS(m_teacher,BD$4,m_date,($G$2+27),m_active,1,m_start,"&lt;"&amp;1140,m_end,"&gt;"&amp;1080)&gt;1,"충돌",HYPERLINK("#'관리자_MASTER'!D"&amp;_xlfn.MAXIFS(m_row,m_teacher,BD$4,m_date,($G$2+27),m_active,1,m_start,"&lt;"&amp;1140,m_end,"&gt;"&amp;1080),INDEX(m_label,_xlfn.MAXIFS(m_row,m_teacher,BD$4,m_date,($G$2+27),m_active,1,m_start,"&lt;"&amp;1140,m_end,"&gt;"&amp;1080))))))</f>
        <v/>
      </c>
      <c r="BE80" s="93"/>
      <c r="BF80" s="76" t="s">
        <v>100</v>
      </c>
      <c r="BG80" s="81" t="str">
        <f aca="false">IF(OR(BG$4="",MONTH(($G$2+34))&lt;&gt;MONTH($C$2)),"",IF(COUNTIFS(m_teacher,BG$4,m_date,($G$2+34),m_active,1,m_start,"&lt;"&amp;1140,m_end,"&gt;"&amp;1080)=0,"",IF(COUNTIFS(m_teacher,BG$4,m_date,($G$2+34),m_active,1,m_start,"&lt;"&amp;1140,m_end,"&gt;"&amp;1080)&gt;1,"충돌",HYPERLINK("#'관리자_MASTER'!D"&amp;_xlfn.MAXIFS(m_row,m_teacher,BG$4,m_date,($G$2+34),m_active,1,m_start,"&lt;"&amp;1140,m_end,"&gt;"&amp;1080),INDEX(m_label,_xlfn.MAXIFS(m_row,m_teacher,BG$4,m_date,($G$2+34),m_active,1,m_start,"&lt;"&amp;1140,m_end,"&gt;"&amp;1080))))))</f>
        <v/>
      </c>
      <c r="BH80" s="81" t="str">
        <f aca="false">IF(OR(BH$4="",MONTH(($G$2+34))&lt;&gt;MONTH($C$2)),"",IF(COUNTIFS(m_teacher,BH$4,m_date,($G$2+34),m_active,1,m_start,"&lt;"&amp;1140,m_end,"&gt;"&amp;1080)=0,"",IF(COUNTIFS(m_teacher,BH$4,m_date,($G$2+34),m_active,1,m_start,"&lt;"&amp;1140,m_end,"&gt;"&amp;1080)&gt;1,"충돌",HYPERLINK("#'관리자_MASTER'!D"&amp;_xlfn.MAXIFS(m_row,m_teacher,BH$4,m_date,($G$2+34),m_active,1,m_start,"&lt;"&amp;1140,m_end,"&gt;"&amp;1080),INDEX(m_label,_xlfn.MAXIFS(m_row,m_teacher,BH$4,m_date,($G$2+34),m_active,1,m_start,"&lt;"&amp;1140,m_end,"&gt;"&amp;1080))))))</f>
        <v/>
      </c>
      <c r="BI80" s="81" t="str">
        <f aca="false">IF(OR(BI$4="",MONTH(($G$2+34))&lt;&gt;MONTH($C$2)),"",IF(COUNTIFS(m_teacher,BI$4,m_date,($G$2+34),m_active,1,m_start,"&lt;"&amp;1140,m_end,"&gt;"&amp;1080)=0,"",IF(COUNTIFS(m_teacher,BI$4,m_date,($G$2+34),m_active,1,m_start,"&lt;"&amp;1140,m_end,"&gt;"&amp;1080)&gt;1,"충돌",HYPERLINK("#'관리자_MASTER'!D"&amp;_xlfn.MAXIFS(m_row,m_teacher,BI$4,m_date,($G$2+34),m_active,1,m_start,"&lt;"&amp;1140,m_end,"&gt;"&amp;1080),INDEX(m_label,_xlfn.MAXIFS(m_row,m_teacher,BI$4,m_date,($G$2+34),m_active,1,m_start,"&lt;"&amp;1140,m_end,"&gt;"&amp;1080))))))</f>
        <v/>
      </c>
      <c r="BJ80" s="81" t="str">
        <f aca="false">IF(OR(BJ$4="",MONTH(($G$2+34))&lt;&gt;MONTH($C$2)),"",IF(COUNTIFS(m_teacher,BJ$4,m_date,($G$2+34),m_active,1,m_start,"&lt;"&amp;1140,m_end,"&gt;"&amp;1080)=0,"",IF(COUNTIFS(m_teacher,BJ$4,m_date,($G$2+34),m_active,1,m_start,"&lt;"&amp;1140,m_end,"&gt;"&amp;1080)&gt;1,"충돌",HYPERLINK("#'관리자_MASTER'!D"&amp;_xlfn.MAXIFS(m_row,m_teacher,BJ$4,m_date,($G$2+34),m_active,1,m_start,"&lt;"&amp;1140,m_end,"&gt;"&amp;1080),INDEX(m_label,_xlfn.MAXIFS(m_row,m_teacher,BJ$4,m_date,($G$2+34),m_active,1,m_start,"&lt;"&amp;1140,m_end,"&gt;"&amp;1080))))))</f>
        <v/>
      </c>
      <c r="BK80" s="81" t="str">
        <f aca="false">IF(OR(BK$4="",MONTH(($G$2+34))&lt;&gt;MONTH($C$2)),"",IF(COUNTIFS(m_teacher,BK$4,m_date,($G$2+34),m_active,1,m_start,"&lt;"&amp;1140,m_end,"&gt;"&amp;1080)=0,"",IF(COUNTIFS(m_teacher,BK$4,m_date,($G$2+34),m_active,1,m_start,"&lt;"&amp;1140,m_end,"&gt;"&amp;1080)&gt;1,"충돌",HYPERLINK("#'관리자_MASTER'!D"&amp;_xlfn.MAXIFS(m_row,m_teacher,BK$4,m_date,($G$2+34),m_active,1,m_start,"&lt;"&amp;1140,m_end,"&gt;"&amp;1080),INDEX(m_label,_xlfn.MAXIFS(m_row,m_teacher,BK$4,m_date,($G$2+34),m_active,1,m_start,"&lt;"&amp;1140,m_end,"&gt;"&amp;1080))))))</f>
        <v/>
      </c>
      <c r="BL80" s="81" t="str">
        <f aca="false">IF(OR(BL$4="",MONTH(($G$2+34))&lt;&gt;MONTH($C$2)),"",IF(COUNTIFS(m_teacher,BL$4,m_date,($G$2+34),m_active,1,m_start,"&lt;"&amp;1140,m_end,"&gt;"&amp;1080)=0,"",IF(COUNTIFS(m_teacher,BL$4,m_date,($G$2+34),m_active,1,m_start,"&lt;"&amp;1140,m_end,"&gt;"&amp;1080)&gt;1,"충돌",HYPERLINK("#'관리자_MASTER'!D"&amp;_xlfn.MAXIFS(m_row,m_teacher,BL$4,m_date,($G$2+34),m_active,1,m_start,"&lt;"&amp;1140,m_end,"&gt;"&amp;1080),INDEX(m_label,_xlfn.MAXIFS(m_row,m_teacher,BL$4,m_date,($G$2+34),m_active,1,m_start,"&lt;"&amp;1140,m_end,"&gt;"&amp;1080))))))</f>
        <v/>
      </c>
      <c r="BM80" s="81" t="str">
        <f aca="false">IF(OR(BM$4="",MONTH(($G$2+34))&lt;&gt;MONTH($C$2)),"",IF(COUNTIFS(m_teacher,BM$4,m_date,($G$2+34),m_active,1,m_start,"&lt;"&amp;1140,m_end,"&gt;"&amp;1080)=0,"",IF(COUNTIFS(m_teacher,BM$4,m_date,($G$2+34),m_active,1,m_start,"&lt;"&amp;1140,m_end,"&gt;"&amp;1080)&gt;1,"충돌",HYPERLINK("#'관리자_MASTER'!D"&amp;_xlfn.MAXIFS(m_row,m_teacher,BM$4,m_date,($G$2+34),m_active,1,m_start,"&lt;"&amp;1140,m_end,"&gt;"&amp;1080),INDEX(m_label,_xlfn.MAXIFS(m_row,m_teacher,BM$4,m_date,($G$2+34),m_active,1,m_start,"&lt;"&amp;1140,m_end,"&gt;"&amp;1080))))))</f>
        <v/>
      </c>
      <c r="BN80" s="81" t="str">
        <f aca="false">IF(OR(BN$4="",MONTH(($G$2+34))&lt;&gt;MONTH($C$2)),"",IF(COUNTIFS(m_teacher,BN$4,m_date,($G$2+34),m_active,1,m_start,"&lt;"&amp;1140,m_end,"&gt;"&amp;1080)=0,"",IF(COUNTIFS(m_teacher,BN$4,m_date,($G$2+34),m_active,1,m_start,"&lt;"&amp;1140,m_end,"&gt;"&amp;1080)&gt;1,"충돌",HYPERLINK("#'관리자_MASTER'!D"&amp;_xlfn.MAXIFS(m_row,m_teacher,BN$4,m_date,($G$2+34),m_active,1,m_start,"&lt;"&amp;1140,m_end,"&gt;"&amp;1080),INDEX(m_label,_xlfn.MAXIFS(m_row,m_teacher,BN$4,m_date,($G$2+34),m_active,1,m_start,"&lt;"&amp;1140,m_end,"&gt;"&amp;1080))))))</f>
        <v/>
      </c>
      <c r="BO80" s="81" t="str">
        <f aca="false">IF(OR(BO$4="",MONTH(($G$2+34))&lt;&gt;MONTH($C$2)),"",IF(COUNTIFS(m_teacher,BO$4,m_date,($G$2+34),m_active,1,m_start,"&lt;"&amp;1140,m_end,"&gt;"&amp;1080)=0,"",IF(COUNTIFS(m_teacher,BO$4,m_date,($G$2+34),m_active,1,m_start,"&lt;"&amp;1140,m_end,"&gt;"&amp;1080)&gt;1,"충돌",HYPERLINK("#'관리자_MASTER'!D"&amp;_xlfn.MAXIFS(m_row,m_teacher,BO$4,m_date,($G$2+34),m_active,1,m_start,"&lt;"&amp;1140,m_end,"&gt;"&amp;1080),INDEX(m_label,_xlfn.MAXIFS(m_row,m_teacher,BO$4,m_date,($G$2+34),m_active,1,m_start,"&lt;"&amp;1140,m_end,"&gt;"&amp;1080))))))</f>
        <v/>
      </c>
      <c r="BP80" s="81" t="str">
        <f aca="false">IF(OR(BP$4="",MONTH(($G$2+34))&lt;&gt;MONTH($C$2)),"",IF(COUNTIFS(m_teacher,BP$4,m_date,($G$2+34),m_active,1,m_start,"&lt;"&amp;1140,m_end,"&gt;"&amp;1080)=0,"",IF(COUNTIFS(m_teacher,BP$4,m_date,($G$2+34),m_active,1,m_start,"&lt;"&amp;1140,m_end,"&gt;"&amp;1080)&gt;1,"충돌",HYPERLINK("#'관리자_MASTER'!D"&amp;_xlfn.MAXIFS(m_row,m_teacher,BP$4,m_date,($G$2+34),m_active,1,m_start,"&lt;"&amp;1140,m_end,"&gt;"&amp;1080),INDEX(m_label,_xlfn.MAXIFS(m_row,m_teacher,BP$4,m_date,($G$2+34),m_active,1,m_start,"&lt;"&amp;1140,m_end,"&gt;"&amp;1080))))))</f>
        <v/>
      </c>
      <c r="BQ80" s="81" t="str">
        <f aca="false">IF(OR(BQ$4="",MONTH(($G$2+34))&lt;&gt;MONTH($C$2)),"",IF(COUNTIFS(m_teacher,BQ$4,m_date,($G$2+34),m_active,1,m_start,"&lt;"&amp;1140,m_end,"&gt;"&amp;1080)=0,"",IF(COUNTIFS(m_teacher,BQ$4,m_date,($G$2+34),m_active,1,m_start,"&lt;"&amp;1140,m_end,"&gt;"&amp;1080)&gt;1,"충돌",HYPERLINK("#'관리자_MASTER'!D"&amp;_xlfn.MAXIFS(m_row,m_teacher,BQ$4,m_date,($G$2+34),m_active,1,m_start,"&lt;"&amp;1140,m_end,"&gt;"&amp;1080),INDEX(m_label,_xlfn.MAXIFS(m_row,m_teacher,BQ$4,m_date,($G$2+34),m_active,1,m_start,"&lt;"&amp;1140,m_end,"&gt;"&amp;1080))))))</f>
        <v/>
      </c>
      <c r="BR80" s="81" t="str">
        <f aca="false">IF(OR(BR$4="",MONTH(($G$2+34))&lt;&gt;MONTH($C$2)),"",IF(COUNTIFS(m_teacher,BR$4,m_date,($G$2+34),m_active,1,m_start,"&lt;"&amp;1140,m_end,"&gt;"&amp;1080)=0,"",IF(COUNTIFS(m_teacher,BR$4,m_date,($G$2+34),m_active,1,m_start,"&lt;"&amp;1140,m_end,"&gt;"&amp;1080)&gt;1,"충돌",HYPERLINK("#'관리자_MASTER'!D"&amp;_xlfn.MAXIFS(m_row,m_teacher,BR$4,m_date,($G$2+34),m_active,1,m_start,"&lt;"&amp;1140,m_end,"&gt;"&amp;1080),INDEX(m_label,_xlfn.MAXIFS(m_row,m_teacher,BR$4,m_date,($G$2+34),m_active,1,m_start,"&lt;"&amp;1140,m_end,"&gt;"&amp;1080))))))</f>
        <v/>
      </c>
    </row>
    <row r="81" customFormat="false" ht="19.5" hidden="false" customHeight="true" outlineLevel="0" collapsed="false">
      <c r="A81" s="92"/>
      <c r="B81" s="85" t="s">
        <v>101</v>
      </c>
      <c r="C81" s="86" t="str">
        <f aca="false">IF(OR(C$4="",MONTH(($G$2+6))&lt;&gt;MONTH($C$2)),"",IF(COUNTIFS(m_teacher,C$4,m_date,($G$2+6),m_active,1,m_start,"&lt;"&amp;1440,m_end,"&gt;"&amp;1140)=0,"",IF(COUNTIFS(m_teacher,C$4,m_date,($G$2+6),m_active,1,m_start,"&lt;"&amp;1440,m_end,"&gt;"&amp;1140)&gt;1,"충돌",HYPERLINK("#'관리자_MASTER'!D"&amp;_xlfn.MAXIFS(m_row,m_teacher,C$4,m_date,($G$2+6),m_active,1,m_start,"&lt;"&amp;1440,m_end,"&gt;"&amp;1140),INDEX(m_label,_xlfn.MAXIFS(m_row,m_teacher,C$4,m_date,($G$2+6),m_active,1,m_start,"&lt;"&amp;1440,m_end,"&gt;"&amp;1140))))))</f>
        <v/>
      </c>
      <c r="D81" s="86" t="str">
        <f aca="false">IF(OR(D$4="",MONTH(($G$2+6))&lt;&gt;MONTH($C$2)),"",IF(COUNTIFS(m_teacher,D$4,m_date,($G$2+6),m_active,1,m_start,"&lt;"&amp;1440,m_end,"&gt;"&amp;1140)=0,"",IF(COUNTIFS(m_teacher,D$4,m_date,($G$2+6),m_active,1,m_start,"&lt;"&amp;1440,m_end,"&gt;"&amp;1140)&gt;1,"충돌",HYPERLINK("#'관리자_MASTER'!D"&amp;_xlfn.MAXIFS(m_row,m_teacher,D$4,m_date,($G$2+6),m_active,1,m_start,"&lt;"&amp;1440,m_end,"&gt;"&amp;1140),INDEX(m_label,_xlfn.MAXIFS(m_row,m_teacher,D$4,m_date,($G$2+6),m_active,1,m_start,"&lt;"&amp;1440,m_end,"&gt;"&amp;1140))))))</f>
        <v/>
      </c>
      <c r="E81" s="86" t="str">
        <f aca="false">IF(OR(E$4="",MONTH(($G$2+6))&lt;&gt;MONTH($C$2)),"",IF(COUNTIFS(m_teacher,E$4,m_date,($G$2+6),m_active,1,m_start,"&lt;"&amp;1440,m_end,"&gt;"&amp;1140)=0,"",IF(COUNTIFS(m_teacher,E$4,m_date,($G$2+6),m_active,1,m_start,"&lt;"&amp;1440,m_end,"&gt;"&amp;1140)&gt;1,"충돌",HYPERLINK("#'관리자_MASTER'!D"&amp;_xlfn.MAXIFS(m_row,m_teacher,E$4,m_date,($G$2+6),m_active,1,m_start,"&lt;"&amp;1440,m_end,"&gt;"&amp;1140),INDEX(m_label,_xlfn.MAXIFS(m_row,m_teacher,E$4,m_date,($G$2+6),m_active,1,m_start,"&lt;"&amp;1440,m_end,"&gt;"&amp;1140))))))</f>
        <v/>
      </c>
      <c r="F81" s="86" t="str">
        <f aca="false">IF(OR(F$4="",MONTH(($G$2+6))&lt;&gt;MONTH($C$2)),"",IF(COUNTIFS(m_teacher,F$4,m_date,($G$2+6),m_active,1,m_start,"&lt;"&amp;1440,m_end,"&gt;"&amp;1140)=0,"",IF(COUNTIFS(m_teacher,F$4,m_date,($G$2+6),m_active,1,m_start,"&lt;"&amp;1440,m_end,"&gt;"&amp;1140)&gt;1,"충돌",HYPERLINK("#'관리자_MASTER'!D"&amp;_xlfn.MAXIFS(m_row,m_teacher,F$4,m_date,($G$2+6),m_active,1,m_start,"&lt;"&amp;1440,m_end,"&gt;"&amp;1140),INDEX(m_label,_xlfn.MAXIFS(m_row,m_teacher,F$4,m_date,($G$2+6),m_active,1,m_start,"&lt;"&amp;1440,m_end,"&gt;"&amp;1140))))))</f>
        <v/>
      </c>
      <c r="G81" s="86" t="str">
        <f aca="false">IF(OR(G$4="",MONTH(($G$2+6))&lt;&gt;MONTH($C$2)),"",IF(COUNTIFS(m_teacher,G$4,m_date,($G$2+6),m_active,1,m_start,"&lt;"&amp;1440,m_end,"&gt;"&amp;1140)=0,"",IF(COUNTIFS(m_teacher,G$4,m_date,($G$2+6),m_active,1,m_start,"&lt;"&amp;1440,m_end,"&gt;"&amp;1140)&gt;1,"충돌",HYPERLINK("#'관리자_MASTER'!D"&amp;_xlfn.MAXIFS(m_row,m_teacher,G$4,m_date,($G$2+6),m_active,1,m_start,"&lt;"&amp;1440,m_end,"&gt;"&amp;1140),INDEX(m_label,_xlfn.MAXIFS(m_row,m_teacher,G$4,m_date,($G$2+6),m_active,1,m_start,"&lt;"&amp;1440,m_end,"&gt;"&amp;1140))))))</f>
        <v/>
      </c>
      <c r="H81" s="86" t="str">
        <f aca="false">IF(OR(H$4="",MONTH(($G$2+6))&lt;&gt;MONTH($C$2)),"",IF(COUNTIFS(m_teacher,H$4,m_date,($G$2+6),m_active,1,m_start,"&lt;"&amp;1440,m_end,"&gt;"&amp;1140)=0,"",IF(COUNTIFS(m_teacher,H$4,m_date,($G$2+6),m_active,1,m_start,"&lt;"&amp;1440,m_end,"&gt;"&amp;1140)&gt;1,"충돌",HYPERLINK("#'관리자_MASTER'!D"&amp;_xlfn.MAXIFS(m_row,m_teacher,H$4,m_date,($G$2+6),m_active,1,m_start,"&lt;"&amp;1440,m_end,"&gt;"&amp;1140),INDEX(m_label,_xlfn.MAXIFS(m_row,m_teacher,H$4,m_date,($G$2+6),m_active,1,m_start,"&lt;"&amp;1440,m_end,"&gt;"&amp;1140))))))</f>
        <v/>
      </c>
      <c r="I81" s="86" t="str">
        <f aca="false">IF(OR(I$4="",MONTH(($G$2+6))&lt;&gt;MONTH($C$2)),"",IF(COUNTIFS(m_teacher,I$4,m_date,($G$2+6),m_active,1,m_start,"&lt;"&amp;1440,m_end,"&gt;"&amp;1140)=0,"",IF(COUNTIFS(m_teacher,I$4,m_date,($G$2+6),m_active,1,m_start,"&lt;"&amp;1440,m_end,"&gt;"&amp;1140)&gt;1,"충돌",HYPERLINK("#'관리자_MASTER'!D"&amp;_xlfn.MAXIFS(m_row,m_teacher,I$4,m_date,($G$2+6),m_active,1,m_start,"&lt;"&amp;1440,m_end,"&gt;"&amp;1140),INDEX(m_label,_xlfn.MAXIFS(m_row,m_teacher,I$4,m_date,($G$2+6),m_active,1,m_start,"&lt;"&amp;1440,m_end,"&gt;"&amp;1140))))))</f>
        <v/>
      </c>
      <c r="J81" s="86" t="str">
        <f aca="false">IF(OR(J$4="",MONTH(($G$2+6))&lt;&gt;MONTH($C$2)),"",IF(COUNTIFS(m_teacher,J$4,m_date,($G$2+6),m_active,1,m_start,"&lt;"&amp;1440,m_end,"&gt;"&amp;1140)=0,"",IF(COUNTIFS(m_teacher,J$4,m_date,($G$2+6),m_active,1,m_start,"&lt;"&amp;1440,m_end,"&gt;"&amp;1140)&gt;1,"충돌",HYPERLINK("#'관리자_MASTER'!D"&amp;_xlfn.MAXIFS(m_row,m_teacher,J$4,m_date,($G$2+6),m_active,1,m_start,"&lt;"&amp;1440,m_end,"&gt;"&amp;1140),INDEX(m_label,_xlfn.MAXIFS(m_row,m_teacher,J$4,m_date,($G$2+6),m_active,1,m_start,"&lt;"&amp;1440,m_end,"&gt;"&amp;1140))))))</f>
        <v/>
      </c>
      <c r="K81" s="86" t="str">
        <f aca="false">IF(OR(K$4="",MONTH(($G$2+6))&lt;&gt;MONTH($C$2)),"",IF(COUNTIFS(m_teacher,K$4,m_date,($G$2+6),m_active,1,m_start,"&lt;"&amp;1440,m_end,"&gt;"&amp;1140)=0,"",IF(COUNTIFS(m_teacher,K$4,m_date,($G$2+6),m_active,1,m_start,"&lt;"&amp;1440,m_end,"&gt;"&amp;1140)&gt;1,"충돌",HYPERLINK("#'관리자_MASTER'!D"&amp;_xlfn.MAXIFS(m_row,m_teacher,K$4,m_date,($G$2+6),m_active,1,m_start,"&lt;"&amp;1440,m_end,"&gt;"&amp;1140),INDEX(m_label,_xlfn.MAXIFS(m_row,m_teacher,K$4,m_date,($G$2+6),m_active,1,m_start,"&lt;"&amp;1440,m_end,"&gt;"&amp;1140))))))</f>
        <v/>
      </c>
      <c r="L81" s="86" t="str">
        <f aca="false">IF(OR(L$4="",MONTH(($G$2+6))&lt;&gt;MONTH($C$2)),"",IF(COUNTIFS(m_teacher,L$4,m_date,($G$2+6),m_active,1,m_start,"&lt;"&amp;1440,m_end,"&gt;"&amp;1140)=0,"",IF(COUNTIFS(m_teacher,L$4,m_date,($G$2+6),m_active,1,m_start,"&lt;"&amp;1440,m_end,"&gt;"&amp;1140)&gt;1,"충돌",HYPERLINK("#'관리자_MASTER'!D"&amp;_xlfn.MAXIFS(m_row,m_teacher,L$4,m_date,($G$2+6),m_active,1,m_start,"&lt;"&amp;1440,m_end,"&gt;"&amp;1140),INDEX(m_label,_xlfn.MAXIFS(m_row,m_teacher,L$4,m_date,($G$2+6),m_active,1,m_start,"&lt;"&amp;1440,m_end,"&gt;"&amp;1140))))))</f>
        <v/>
      </c>
      <c r="M81" s="86" t="str">
        <f aca="false">IF(OR(M$4="",MONTH(($G$2+6))&lt;&gt;MONTH($C$2)),"",IF(COUNTIFS(m_teacher,M$4,m_date,($G$2+6),m_active,1,m_start,"&lt;"&amp;1440,m_end,"&gt;"&amp;1140)=0,"",IF(COUNTIFS(m_teacher,M$4,m_date,($G$2+6),m_active,1,m_start,"&lt;"&amp;1440,m_end,"&gt;"&amp;1140)&gt;1,"충돌",HYPERLINK("#'관리자_MASTER'!D"&amp;_xlfn.MAXIFS(m_row,m_teacher,M$4,m_date,($G$2+6),m_active,1,m_start,"&lt;"&amp;1440,m_end,"&gt;"&amp;1140),INDEX(m_label,_xlfn.MAXIFS(m_row,m_teacher,M$4,m_date,($G$2+6),m_active,1,m_start,"&lt;"&amp;1440,m_end,"&gt;"&amp;1140))))))</f>
        <v/>
      </c>
      <c r="N81" s="86" t="str">
        <f aca="false">IF(OR(N$4="",MONTH(($G$2+6))&lt;&gt;MONTH($C$2)),"",IF(COUNTIFS(m_teacher,N$4,m_date,($G$2+6),m_active,1,m_start,"&lt;"&amp;1440,m_end,"&gt;"&amp;1140)=0,"",IF(COUNTIFS(m_teacher,N$4,m_date,($G$2+6),m_active,1,m_start,"&lt;"&amp;1440,m_end,"&gt;"&amp;1140)&gt;1,"충돌",HYPERLINK("#'관리자_MASTER'!D"&amp;_xlfn.MAXIFS(m_row,m_teacher,N$4,m_date,($G$2+6),m_active,1,m_start,"&lt;"&amp;1440,m_end,"&gt;"&amp;1140),INDEX(m_label,_xlfn.MAXIFS(m_row,m_teacher,N$4,m_date,($G$2+6),m_active,1,m_start,"&lt;"&amp;1440,m_end,"&gt;"&amp;1140))))))</f>
        <v/>
      </c>
      <c r="O81" s="92"/>
      <c r="P81" s="85" t="s">
        <v>101</v>
      </c>
      <c r="Q81" s="86" t="str">
        <f aca="false">IF(OR(Q$4="",MONTH(($G$2+13))&lt;&gt;MONTH($C$2)),"",IF(COUNTIFS(m_teacher,Q$4,m_date,($G$2+13),m_active,1,m_start,"&lt;"&amp;1440,m_end,"&gt;"&amp;1140)=0,"",IF(COUNTIFS(m_teacher,Q$4,m_date,($G$2+13),m_active,1,m_start,"&lt;"&amp;1440,m_end,"&gt;"&amp;1140)&gt;1,"충돌",HYPERLINK("#'관리자_MASTER'!D"&amp;_xlfn.MAXIFS(m_row,m_teacher,Q$4,m_date,($G$2+13),m_active,1,m_start,"&lt;"&amp;1440,m_end,"&gt;"&amp;1140),INDEX(m_label,_xlfn.MAXIFS(m_row,m_teacher,Q$4,m_date,($G$2+13),m_active,1,m_start,"&lt;"&amp;1440,m_end,"&gt;"&amp;1140))))))</f>
        <v/>
      </c>
      <c r="R81" s="86" t="str">
        <f aca="false">IF(OR(R$4="",MONTH(($G$2+13))&lt;&gt;MONTH($C$2)),"",IF(COUNTIFS(m_teacher,R$4,m_date,($G$2+13),m_active,1,m_start,"&lt;"&amp;1440,m_end,"&gt;"&amp;1140)=0,"",IF(COUNTIFS(m_teacher,R$4,m_date,($G$2+13),m_active,1,m_start,"&lt;"&amp;1440,m_end,"&gt;"&amp;1140)&gt;1,"충돌",HYPERLINK("#'관리자_MASTER'!D"&amp;_xlfn.MAXIFS(m_row,m_teacher,R$4,m_date,($G$2+13),m_active,1,m_start,"&lt;"&amp;1440,m_end,"&gt;"&amp;1140),INDEX(m_label,_xlfn.MAXIFS(m_row,m_teacher,R$4,m_date,($G$2+13),m_active,1,m_start,"&lt;"&amp;1440,m_end,"&gt;"&amp;1140))))))</f>
        <v/>
      </c>
      <c r="S81" s="86" t="str">
        <f aca="false">IF(OR(S$4="",MONTH(($G$2+13))&lt;&gt;MONTH($C$2)),"",IF(COUNTIFS(m_teacher,S$4,m_date,($G$2+13),m_active,1,m_start,"&lt;"&amp;1440,m_end,"&gt;"&amp;1140)=0,"",IF(COUNTIFS(m_teacher,S$4,m_date,($G$2+13),m_active,1,m_start,"&lt;"&amp;1440,m_end,"&gt;"&amp;1140)&gt;1,"충돌",HYPERLINK("#'관리자_MASTER'!D"&amp;_xlfn.MAXIFS(m_row,m_teacher,S$4,m_date,($G$2+13),m_active,1,m_start,"&lt;"&amp;1440,m_end,"&gt;"&amp;1140),INDEX(m_label,_xlfn.MAXIFS(m_row,m_teacher,S$4,m_date,($G$2+13),m_active,1,m_start,"&lt;"&amp;1440,m_end,"&gt;"&amp;1140))))))</f>
        <v/>
      </c>
      <c r="T81" s="86" t="str">
        <f aca="false">IF(OR(T$4="",MONTH(($G$2+13))&lt;&gt;MONTH($C$2)),"",IF(COUNTIFS(m_teacher,T$4,m_date,($G$2+13),m_active,1,m_start,"&lt;"&amp;1440,m_end,"&gt;"&amp;1140)=0,"",IF(COUNTIFS(m_teacher,T$4,m_date,($G$2+13),m_active,1,m_start,"&lt;"&amp;1440,m_end,"&gt;"&amp;1140)&gt;1,"충돌",HYPERLINK("#'관리자_MASTER'!D"&amp;_xlfn.MAXIFS(m_row,m_teacher,T$4,m_date,($G$2+13),m_active,1,m_start,"&lt;"&amp;1440,m_end,"&gt;"&amp;1140),INDEX(m_label,_xlfn.MAXIFS(m_row,m_teacher,T$4,m_date,($G$2+13),m_active,1,m_start,"&lt;"&amp;1440,m_end,"&gt;"&amp;1140))))))</f>
        <v/>
      </c>
      <c r="U81" s="86" t="str">
        <f aca="false">IF(OR(U$4="",MONTH(($G$2+13))&lt;&gt;MONTH($C$2)),"",IF(COUNTIFS(m_teacher,U$4,m_date,($G$2+13),m_active,1,m_start,"&lt;"&amp;1440,m_end,"&gt;"&amp;1140)=0,"",IF(COUNTIFS(m_teacher,U$4,m_date,($G$2+13),m_active,1,m_start,"&lt;"&amp;1440,m_end,"&gt;"&amp;1140)&gt;1,"충돌",HYPERLINK("#'관리자_MASTER'!D"&amp;_xlfn.MAXIFS(m_row,m_teacher,U$4,m_date,($G$2+13),m_active,1,m_start,"&lt;"&amp;1440,m_end,"&gt;"&amp;1140),INDEX(m_label,_xlfn.MAXIFS(m_row,m_teacher,U$4,m_date,($G$2+13),m_active,1,m_start,"&lt;"&amp;1440,m_end,"&gt;"&amp;1140))))))</f>
        <v/>
      </c>
      <c r="V81" s="86" t="str">
        <f aca="false">IF(OR(V$4="",MONTH(($G$2+13))&lt;&gt;MONTH($C$2)),"",IF(COUNTIFS(m_teacher,V$4,m_date,($G$2+13),m_active,1,m_start,"&lt;"&amp;1440,m_end,"&gt;"&amp;1140)=0,"",IF(COUNTIFS(m_teacher,V$4,m_date,($G$2+13),m_active,1,m_start,"&lt;"&amp;1440,m_end,"&gt;"&amp;1140)&gt;1,"충돌",HYPERLINK("#'관리자_MASTER'!D"&amp;_xlfn.MAXIFS(m_row,m_teacher,V$4,m_date,($G$2+13),m_active,1,m_start,"&lt;"&amp;1440,m_end,"&gt;"&amp;1140),INDEX(m_label,_xlfn.MAXIFS(m_row,m_teacher,V$4,m_date,($G$2+13),m_active,1,m_start,"&lt;"&amp;1440,m_end,"&gt;"&amp;1140))))))</f>
        <v/>
      </c>
      <c r="W81" s="86" t="str">
        <f aca="false">IF(OR(W$4="",MONTH(($G$2+13))&lt;&gt;MONTH($C$2)),"",IF(COUNTIFS(m_teacher,W$4,m_date,($G$2+13),m_active,1,m_start,"&lt;"&amp;1440,m_end,"&gt;"&amp;1140)=0,"",IF(COUNTIFS(m_teacher,W$4,m_date,($G$2+13),m_active,1,m_start,"&lt;"&amp;1440,m_end,"&gt;"&amp;1140)&gt;1,"충돌",HYPERLINK("#'관리자_MASTER'!D"&amp;_xlfn.MAXIFS(m_row,m_teacher,W$4,m_date,($G$2+13),m_active,1,m_start,"&lt;"&amp;1440,m_end,"&gt;"&amp;1140),INDEX(m_label,_xlfn.MAXIFS(m_row,m_teacher,W$4,m_date,($G$2+13),m_active,1,m_start,"&lt;"&amp;1440,m_end,"&gt;"&amp;1140))))))</f>
        <v/>
      </c>
      <c r="X81" s="86" t="str">
        <f aca="false">IF(OR(X$4="",MONTH(($G$2+13))&lt;&gt;MONTH($C$2)),"",IF(COUNTIFS(m_teacher,X$4,m_date,($G$2+13),m_active,1,m_start,"&lt;"&amp;1440,m_end,"&gt;"&amp;1140)=0,"",IF(COUNTIFS(m_teacher,X$4,m_date,($G$2+13),m_active,1,m_start,"&lt;"&amp;1440,m_end,"&gt;"&amp;1140)&gt;1,"충돌",HYPERLINK("#'관리자_MASTER'!D"&amp;_xlfn.MAXIFS(m_row,m_teacher,X$4,m_date,($G$2+13),m_active,1,m_start,"&lt;"&amp;1440,m_end,"&gt;"&amp;1140),INDEX(m_label,_xlfn.MAXIFS(m_row,m_teacher,X$4,m_date,($G$2+13),m_active,1,m_start,"&lt;"&amp;1440,m_end,"&gt;"&amp;1140))))))</f>
        <v/>
      </c>
      <c r="Y81" s="86" t="str">
        <f aca="false">IF(OR(Y$4="",MONTH(($G$2+13))&lt;&gt;MONTH($C$2)),"",IF(COUNTIFS(m_teacher,Y$4,m_date,($G$2+13),m_active,1,m_start,"&lt;"&amp;1440,m_end,"&gt;"&amp;1140)=0,"",IF(COUNTIFS(m_teacher,Y$4,m_date,($G$2+13),m_active,1,m_start,"&lt;"&amp;1440,m_end,"&gt;"&amp;1140)&gt;1,"충돌",HYPERLINK("#'관리자_MASTER'!D"&amp;_xlfn.MAXIFS(m_row,m_teacher,Y$4,m_date,($G$2+13),m_active,1,m_start,"&lt;"&amp;1440,m_end,"&gt;"&amp;1140),INDEX(m_label,_xlfn.MAXIFS(m_row,m_teacher,Y$4,m_date,($G$2+13),m_active,1,m_start,"&lt;"&amp;1440,m_end,"&gt;"&amp;1140))))))</f>
        <v/>
      </c>
      <c r="Z81" s="86" t="str">
        <f aca="false">IF(OR(Z$4="",MONTH(($G$2+13))&lt;&gt;MONTH($C$2)),"",IF(COUNTIFS(m_teacher,Z$4,m_date,($G$2+13),m_active,1,m_start,"&lt;"&amp;1440,m_end,"&gt;"&amp;1140)=0,"",IF(COUNTIFS(m_teacher,Z$4,m_date,($G$2+13),m_active,1,m_start,"&lt;"&amp;1440,m_end,"&gt;"&amp;1140)&gt;1,"충돌",HYPERLINK("#'관리자_MASTER'!D"&amp;_xlfn.MAXIFS(m_row,m_teacher,Z$4,m_date,($G$2+13),m_active,1,m_start,"&lt;"&amp;1440,m_end,"&gt;"&amp;1140),INDEX(m_label,_xlfn.MAXIFS(m_row,m_teacher,Z$4,m_date,($G$2+13),m_active,1,m_start,"&lt;"&amp;1440,m_end,"&gt;"&amp;1140))))))</f>
        <v/>
      </c>
      <c r="AA81" s="86" t="str">
        <f aca="false">IF(OR(AA$4="",MONTH(($G$2+13))&lt;&gt;MONTH($C$2)),"",IF(COUNTIFS(m_teacher,AA$4,m_date,($G$2+13),m_active,1,m_start,"&lt;"&amp;1440,m_end,"&gt;"&amp;1140)=0,"",IF(COUNTIFS(m_teacher,AA$4,m_date,($G$2+13),m_active,1,m_start,"&lt;"&amp;1440,m_end,"&gt;"&amp;1140)&gt;1,"충돌",HYPERLINK("#'관리자_MASTER'!D"&amp;_xlfn.MAXIFS(m_row,m_teacher,AA$4,m_date,($G$2+13),m_active,1,m_start,"&lt;"&amp;1440,m_end,"&gt;"&amp;1140),INDEX(m_label,_xlfn.MAXIFS(m_row,m_teacher,AA$4,m_date,($G$2+13),m_active,1,m_start,"&lt;"&amp;1440,m_end,"&gt;"&amp;1140))))))</f>
        <v/>
      </c>
      <c r="AB81" s="86" t="str">
        <f aca="false">IF(OR(AB$4="",MONTH(($G$2+13))&lt;&gt;MONTH($C$2)),"",IF(COUNTIFS(m_teacher,AB$4,m_date,($G$2+13),m_active,1,m_start,"&lt;"&amp;1440,m_end,"&gt;"&amp;1140)=0,"",IF(COUNTIFS(m_teacher,AB$4,m_date,($G$2+13),m_active,1,m_start,"&lt;"&amp;1440,m_end,"&gt;"&amp;1140)&gt;1,"충돌",HYPERLINK("#'관리자_MASTER'!D"&amp;_xlfn.MAXIFS(m_row,m_teacher,AB$4,m_date,($G$2+13),m_active,1,m_start,"&lt;"&amp;1440,m_end,"&gt;"&amp;1140),INDEX(m_label,_xlfn.MAXIFS(m_row,m_teacher,AB$4,m_date,($G$2+13),m_active,1,m_start,"&lt;"&amp;1440,m_end,"&gt;"&amp;1140))))))</f>
        <v/>
      </c>
      <c r="AC81" s="92"/>
      <c r="AD81" s="85" t="s">
        <v>101</v>
      </c>
      <c r="AE81" s="86" t="str">
        <f aca="false">IF(OR(AE$4="",MONTH(($G$2+20))&lt;&gt;MONTH($C$2)),"",IF(COUNTIFS(m_teacher,AE$4,m_date,($G$2+20),m_active,1,m_start,"&lt;"&amp;1440,m_end,"&gt;"&amp;1140)=0,"",IF(COUNTIFS(m_teacher,AE$4,m_date,($G$2+20),m_active,1,m_start,"&lt;"&amp;1440,m_end,"&gt;"&amp;1140)&gt;1,"충돌",HYPERLINK("#'관리자_MASTER'!D"&amp;_xlfn.MAXIFS(m_row,m_teacher,AE$4,m_date,($G$2+20),m_active,1,m_start,"&lt;"&amp;1440,m_end,"&gt;"&amp;1140),INDEX(m_label,_xlfn.MAXIFS(m_row,m_teacher,AE$4,m_date,($G$2+20),m_active,1,m_start,"&lt;"&amp;1440,m_end,"&gt;"&amp;1140))))))</f>
        <v/>
      </c>
      <c r="AF81" s="86" t="str">
        <f aca="false">IF(OR(AF$4="",MONTH(($G$2+20))&lt;&gt;MONTH($C$2)),"",IF(COUNTIFS(m_teacher,AF$4,m_date,($G$2+20),m_active,1,m_start,"&lt;"&amp;1440,m_end,"&gt;"&amp;1140)=0,"",IF(COUNTIFS(m_teacher,AF$4,m_date,($G$2+20),m_active,1,m_start,"&lt;"&amp;1440,m_end,"&gt;"&amp;1140)&gt;1,"충돌",HYPERLINK("#'관리자_MASTER'!D"&amp;_xlfn.MAXIFS(m_row,m_teacher,AF$4,m_date,($G$2+20),m_active,1,m_start,"&lt;"&amp;1440,m_end,"&gt;"&amp;1140),INDEX(m_label,_xlfn.MAXIFS(m_row,m_teacher,AF$4,m_date,($G$2+20),m_active,1,m_start,"&lt;"&amp;1440,m_end,"&gt;"&amp;1140))))))</f>
        <v/>
      </c>
      <c r="AG81" s="86" t="str">
        <f aca="false">IF(OR(AG$4="",MONTH(($G$2+20))&lt;&gt;MONTH($C$2)),"",IF(COUNTIFS(m_teacher,AG$4,m_date,($G$2+20),m_active,1,m_start,"&lt;"&amp;1440,m_end,"&gt;"&amp;1140)=0,"",IF(COUNTIFS(m_teacher,AG$4,m_date,($G$2+20),m_active,1,m_start,"&lt;"&amp;1440,m_end,"&gt;"&amp;1140)&gt;1,"충돌",HYPERLINK("#'관리자_MASTER'!D"&amp;_xlfn.MAXIFS(m_row,m_teacher,AG$4,m_date,($G$2+20),m_active,1,m_start,"&lt;"&amp;1440,m_end,"&gt;"&amp;1140),INDEX(m_label,_xlfn.MAXIFS(m_row,m_teacher,AG$4,m_date,($G$2+20),m_active,1,m_start,"&lt;"&amp;1440,m_end,"&gt;"&amp;1140))))))</f>
        <v/>
      </c>
      <c r="AH81" s="86" t="str">
        <f aca="false">IF(OR(AH$4="",MONTH(($G$2+20))&lt;&gt;MONTH($C$2)),"",IF(COUNTIFS(m_teacher,AH$4,m_date,($G$2+20),m_active,1,m_start,"&lt;"&amp;1440,m_end,"&gt;"&amp;1140)=0,"",IF(COUNTIFS(m_teacher,AH$4,m_date,($G$2+20),m_active,1,m_start,"&lt;"&amp;1440,m_end,"&gt;"&amp;1140)&gt;1,"충돌",HYPERLINK("#'관리자_MASTER'!D"&amp;_xlfn.MAXIFS(m_row,m_teacher,AH$4,m_date,($G$2+20),m_active,1,m_start,"&lt;"&amp;1440,m_end,"&gt;"&amp;1140),INDEX(m_label,_xlfn.MAXIFS(m_row,m_teacher,AH$4,m_date,($G$2+20),m_active,1,m_start,"&lt;"&amp;1440,m_end,"&gt;"&amp;1140))))))</f>
        <v/>
      </c>
      <c r="AI81" s="86" t="str">
        <f aca="false">IF(OR(AI$4="",MONTH(($G$2+20))&lt;&gt;MONTH($C$2)),"",IF(COUNTIFS(m_teacher,AI$4,m_date,($G$2+20),m_active,1,m_start,"&lt;"&amp;1440,m_end,"&gt;"&amp;1140)=0,"",IF(COUNTIFS(m_teacher,AI$4,m_date,($G$2+20),m_active,1,m_start,"&lt;"&amp;1440,m_end,"&gt;"&amp;1140)&gt;1,"충돌",HYPERLINK("#'관리자_MASTER'!D"&amp;_xlfn.MAXIFS(m_row,m_teacher,AI$4,m_date,($G$2+20),m_active,1,m_start,"&lt;"&amp;1440,m_end,"&gt;"&amp;1140),INDEX(m_label,_xlfn.MAXIFS(m_row,m_teacher,AI$4,m_date,($G$2+20),m_active,1,m_start,"&lt;"&amp;1440,m_end,"&gt;"&amp;1140))))))</f>
        <v/>
      </c>
      <c r="AJ81" s="86" t="str">
        <f aca="false">IF(OR(AJ$4="",MONTH(($G$2+20))&lt;&gt;MONTH($C$2)),"",IF(COUNTIFS(m_teacher,AJ$4,m_date,($G$2+20),m_active,1,m_start,"&lt;"&amp;1440,m_end,"&gt;"&amp;1140)=0,"",IF(COUNTIFS(m_teacher,AJ$4,m_date,($G$2+20),m_active,1,m_start,"&lt;"&amp;1440,m_end,"&gt;"&amp;1140)&gt;1,"충돌",HYPERLINK("#'관리자_MASTER'!D"&amp;_xlfn.MAXIFS(m_row,m_teacher,AJ$4,m_date,($G$2+20),m_active,1,m_start,"&lt;"&amp;1440,m_end,"&gt;"&amp;1140),INDEX(m_label,_xlfn.MAXIFS(m_row,m_teacher,AJ$4,m_date,($G$2+20),m_active,1,m_start,"&lt;"&amp;1440,m_end,"&gt;"&amp;1140))))))</f>
        <v/>
      </c>
      <c r="AK81" s="86" t="str">
        <f aca="false">IF(OR(AK$4="",MONTH(($G$2+20))&lt;&gt;MONTH($C$2)),"",IF(COUNTIFS(m_teacher,AK$4,m_date,($G$2+20),m_active,1,m_start,"&lt;"&amp;1440,m_end,"&gt;"&amp;1140)=0,"",IF(COUNTIFS(m_teacher,AK$4,m_date,($G$2+20),m_active,1,m_start,"&lt;"&amp;1440,m_end,"&gt;"&amp;1140)&gt;1,"충돌",HYPERLINK("#'관리자_MASTER'!D"&amp;_xlfn.MAXIFS(m_row,m_teacher,AK$4,m_date,($G$2+20),m_active,1,m_start,"&lt;"&amp;1440,m_end,"&gt;"&amp;1140),INDEX(m_label,_xlfn.MAXIFS(m_row,m_teacher,AK$4,m_date,($G$2+20),m_active,1,m_start,"&lt;"&amp;1440,m_end,"&gt;"&amp;1140))))))</f>
        <v/>
      </c>
      <c r="AL81" s="86" t="str">
        <f aca="false">IF(OR(AL$4="",MONTH(($G$2+20))&lt;&gt;MONTH($C$2)),"",IF(COUNTIFS(m_teacher,AL$4,m_date,($G$2+20),m_active,1,m_start,"&lt;"&amp;1440,m_end,"&gt;"&amp;1140)=0,"",IF(COUNTIFS(m_teacher,AL$4,m_date,($G$2+20),m_active,1,m_start,"&lt;"&amp;1440,m_end,"&gt;"&amp;1140)&gt;1,"충돌",HYPERLINK("#'관리자_MASTER'!D"&amp;_xlfn.MAXIFS(m_row,m_teacher,AL$4,m_date,($G$2+20),m_active,1,m_start,"&lt;"&amp;1440,m_end,"&gt;"&amp;1140),INDEX(m_label,_xlfn.MAXIFS(m_row,m_teacher,AL$4,m_date,($G$2+20),m_active,1,m_start,"&lt;"&amp;1440,m_end,"&gt;"&amp;1140))))))</f>
        <v/>
      </c>
      <c r="AM81" s="86" t="str">
        <f aca="false">IF(OR(AM$4="",MONTH(($G$2+20))&lt;&gt;MONTH($C$2)),"",IF(COUNTIFS(m_teacher,AM$4,m_date,($G$2+20),m_active,1,m_start,"&lt;"&amp;1440,m_end,"&gt;"&amp;1140)=0,"",IF(COUNTIFS(m_teacher,AM$4,m_date,($G$2+20),m_active,1,m_start,"&lt;"&amp;1440,m_end,"&gt;"&amp;1140)&gt;1,"충돌",HYPERLINK("#'관리자_MASTER'!D"&amp;_xlfn.MAXIFS(m_row,m_teacher,AM$4,m_date,($G$2+20),m_active,1,m_start,"&lt;"&amp;1440,m_end,"&gt;"&amp;1140),INDEX(m_label,_xlfn.MAXIFS(m_row,m_teacher,AM$4,m_date,($G$2+20),m_active,1,m_start,"&lt;"&amp;1440,m_end,"&gt;"&amp;1140))))))</f>
        <v/>
      </c>
      <c r="AN81" s="86" t="str">
        <f aca="false">IF(OR(AN$4="",MONTH(($G$2+20))&lt;&gt;MONTH($C$2)),"",IF(COUNTIFS(m_teacher,AN$4,m_date,($G$2+20),m_active,1,m_start,"&lt;"&amp;1440,m_end,"&gt;"&amp;1140)=0,"",IF(COUNTIFS(m_teacher,AN$4,m_date,($G$2+20),m_active,1,m_start,"&lt;"&amp;1440,m_end,"&gt;"&amp;1140)&gt;1,"충돌",HYPERLINK("#'관리자_MASTER'!D"&amp;_xlfn.MAXIFS(m_row,m_teacher,AN$4,m_date,($G$2+20),m_active,1,m_start,"&lt;"&amp;1440,m_end,"&gt;"&amp;1140),INDEX(m_label,_xlfn.MAXIFS(m_row,m_teacher,AN$4,m_date,($G$2+20),m_active,1,m_start,"&lt;"&amp;1440,m_end,"&gt;"&amp;1140))))))</f>
        <v/>
      </c>
      <c r="AO81" s="86" t="str">
        <f aca="false">IF(OR(AO$4="",MONTH(($G$2+20))&lt;&gt;MONTH($C$2)),"",IF(COUNTIFS(m_teacher,AO$4,m_date,($G$2+20),m_active,1,m_start,"&lt;"&amp;1440,m_end,"&gt;"&amp;1140)=0,"",IF(COUNTIFS(m_teacher,AO$4,m_date,($G$2+20),m_active,1,m_start,"&lt;"&amp;1440,m_end,"&gt;"&amp;1140)&gt;1,"충돌",HYPERLINK("#'관리자_MASTER'!D"&amp;_xlfn.MAXIFS(m_row,m_teacher,AO$4,m_date,($G$2+20),m_active,1,m_start,"&lt;"&amp;1440,m_end,"&gt;"&amp;1140),INDEX(m_label,_xlfn.MAXIFS(m_row,m_teacher,AO$4,m_date,($G$2+20),m_active,1,m_start,"&lt;"&amp;1440,m_end,"&gt;"&amp;1140))))))</f>
        <v/>
      </c>
      <c r="AP81" s="86" t="str">
        <f aca="false">IF(OR(AP$4="",MONTH(($G$2+20))&lt;&gt;MONTH($C$2)),"",IF(COUNTIFS(m_teacher,AP$4,m_date,($G$2+20),m_active,1,m_start,"&lt;"&amp;1440,m_end,"&gt;"&amp;1140)=0,"",IF(COUNTIFS(m_teacher,AP$4,m_date,($G$2+20),m_active,1,m_start,"&lt;"&amp;1440,m_end,"&gt;"&amp;1140)&gt;1,"충돌",HYPERLINK("#'관리자_MASTER'!D"&amp;_xlfn.MAXIFS(m_row,m_teacher,AP$4,m_date,($G$2+20),m_active,1,m_start,"&lt;"&amp;1440,m_end,"&gt;"&amp;1140),INDEX(m_label,_xlfn.MAXIFS(m_row,m_teacher,AP$4,m_date,($G$2+20),m_active,1,m_start,"&lt;"&amp;1440,m_end,"&gt;"&amp;1140))))))</f>
        <v/>
      </c>
      <c r="AQ81" s="92"/>
      <c r="AR81" s="85" t="s">
        <v>101</v>
      </c>
      <c r="AS81" s="86" t="str">
        <f aca="false">IF(OR(AS$4="",MONTH(($G$2+27))&lt;&gt;MONTH($C$2)),"",IF(COUNTIFS(m_teacher,AS$4,m_date,($G$2+27),m_active,1,m_start,"&lt;"&amp;1440,m_end,"&gt;"&amp;1140)=0,"",IF(COUNTIFS(m_teacher,AS$4,m_date,($G$2+27),m_active,1,m_start,"&lt;"&amp;1440,m_end,"&gt;"&amp;1140)&gt;1,"충돌",HYPERLINK("#'관리자_MASTER'!D"&amp;_xlfn.MAXIFS(m_row,m_teacher,AS$4,m_date,($G$2+27),m_active,1,m_start,"&lt;"&amp;1440,m_end,"&gt;"&amp;1140),INDEX(m_label,_xlfn.MAXIFS(m_row,m_teacher,AS$4,m_date,($G$2+27),m_active,1,m_start,"&lt;"&amp;1440,m_end,"&gt;"&amp;1140))))))</f>
        <v/>
      </c>
      <c r="AT81" s="86" t="str">
        <f aca="false">IF(OR(AT$4="",MONTH(($G$2+27))&lt;&gt;MONTH($C$2)),"",IF(COUNTIFS(m_teacher,AT$4,m_date,($G$2+27),m_active,1,m_start,"&lt;"&amp;1440,m_end,"&gt;"&amp;1140)=0,"",IF(COUNTIFS(m_teacher,AT$4,m_date,($G$2+27),m_active,1,m_start,"&lt;"&amp;1440,m_end,"&gt;"&amp;1140)&gt;1,"충돌",HYPERLINK("#'관리자_MASTER'!D"&amp;_xlfn.MAXIFS(m_row,m_teacher,AT$4,m_date,($G$2+27),m_active,1,m_start,"&lt;"&amp;1440,m_end,"&gt;"&amp;1140),INDEX(m_label,_xlfn.MAXIFS(m_row,m_teacher,AT$4,m_date,($G$2+27),m_active,1,m_start,"&lt;"&amp;1440,m_end,"&gt;"&amp;1140))))))</f>
        <v/>
      </c>
      <c r="AU81" s="86" t="str">
        <f aca="false">IF(OR(AU$4="",MONTH(($G$2+27))&lt;&gt;MONTH($C$2)),"",IF(COUNTIFS(m_teacher,AU$4,m_date,($G$2+27),m_active,1,m_start,"&lt;"&amp;1440,m_end,"&gt;"&amp;1140)=0,"",IF(COUNTIFS(m_teacher,AU$4,m_date,($G$2+27),m_active,1,m_start,"&lt;"&amp;1440,m_end,"&gt;"&amp;1140)&gt;1,"충돌",HYPERLINK("#'관리자_MASTER'!D"&amp;_xlfn.MAXIFS(m_row,m_teacher,AU$4,m_date,($G$2+27),m_active,1,m_start,"&lt;"&amp;1440,m_end,"&gt;"&amp;1140),INDEX(m_label,_xlfn.MAXIFS(m_row,m_teacher,AU$4,m_date,($G$2+27),m_active,1,m_start,"&lt;"&amp;1440,m_end,"&gt;"&amp;1140))))))</f>
        <v/>
      </c>
      <c r="AV81" s="86" t="str">
        <f aca="false">IF(OR(AV$4="",MONTH(($G$2+27))&lt;&gt;MONTH($C$2)),"",IF(COUNTIFS(m_teacher,AV$4,m_date,($G$2+27),m_active,1,m_start,"&lt;"&amp;1440,m_end,"&gt;"&amp;1140)=0,"",IF(COUNTIFS(m_teacher,AV$4,m_date,($G$2+27),m_active,1,m_start,"&lt;"&amp;1440,m_end,"&gt;"&amp;1140)&gt;1,"충돌",HYPERLINK("#'관리자_MASTER'!D"&amp;_xlfn.MAXIFS(m_row,m_teacher,AV$4,m_date,($G$2+27),m_active,1,m_start,"&lt;"&amp;1440,m_end,"&gt;"&amp;1140),INDEX(m_label,_xlfn.MAXIFS(m_row,m_teacher,AV$4,m_date,($G$2+27),m_active,1,m_start,"&lt;"&amp;1440,m_end,"&gt;"&amp;1140))))))</f>
        <v/>
      </c>
      <c r="AW81" s="86" t="str">
        <f aca="false">IF(OR(AW$4="",MONTH(($G$2+27))&lt;&gt;MONTH($C$2)),"",IF(COUNTIFS(m_teacher,AW$4,m_date,($G$2+27),m_active,1,m_start,"&lt;"&amp;1440,m_end,"&gt;"&amp;1140)=0,"",IF(COUNTIFS(m_teacher,AW$4,m_date,($G$2+27),m_active,1,m_start,"&lt;"&amp;1440,m_end,"&gt;"&amp;1140)&gt;1,"충돌",HYPERLINK("#'관리자_MASTER'!D"&amp;_xlfn.MAXIFS(m_row,m_teacher,AW$4,m_date,($G$2+27),m_active,1,m_start,"&lt;"&amp;1440,m_end,"&gt;"&amp;1140),INDEX(m_label,_xlfn.MAXIFS(m_row,m_teacher,AW$4,m_date,($G$2+27),m_active,1,m_start,"&lt;"&amp;1440,m_end,"&gt;"&amp;1140))))))</f>
        <v/>
      </c>
      <c r="AX81" s="86" t="str">
        <f aca="false">IF(OR(AX$4="",MONTH(($G$2+27))&lt;&gt;MONTH($C$2)),"",IF(COUNTIFS(m_teacher,AX$4,m_date,($G$2+27),m_active,1,m_start,"&lt;"&amp;1440,m_end,"&gt;"&amp;1140)=0,"",IF(COUNTIFS(m_teacher,AX$4,m_date,($G$2+27),m_active,1,m_start,"&lt;"&amp;1440,m_end,"&gt;"&amp;1140)&gt;1,"충돌",HYPERLINK("#'관리자_MASTER'!D"&amp;_xlfn.MAXIFS(m_row,m_teacher,AX$4,m_date,($G$2+27),m_active,1,m_start,"&lt;"&amp;1440,m_end,"&gt;"&amp;1140),INDEX(m_label,_xlfn.MAXIFS(m_row,m_teacher,AX$4,m_date,($G$2+27),m_active,1,m_start,"&lt;"&amp;1440,m_end,"&gt;"&amp;1140))))))</f>
        <v/>
      </c>
      <c r="AY81" s="86" t="str">
        <f aca="false">IF(OR(AY$4="",MONTH(($G$2+27))&lt;&gt;MONTH($C$2)),"",IF(COUNTIFS(m_teacher,AY$4,m_date,($G$2+27),m_active,1,m_start,"&lt;"&amp;1440,m_end,"&gt;"&amp;1140)=0,"",IF(COUNTIFS(m_teacher,AY$4,m_date,($G$2+27),m_active,1,m_start,"&lt;"&amp;1440,m_end,"&gt;"&amp;1140)&gt;1,"충돌",HYPERLINK("#'관리자_MASTER'!D"&amp;_xlfn.MAXIFS(m_row,m_teacher,AY$4,m_date,($G$2+27),m_active,1,m_start,"&lt;"&amp;1440,m_end,"&gt;"&amp;1140),INDEX(m_label,_xlfn.MAXIFS(m_row,m_teacher,AY$4,m_date,($G$2+27),m_active,1,m_start,"&lt;"&amp;1440,m_end,"&gt;"&amp;1140))))))</f>
        <v/>
      </c>
      <c r="AZ81" s="86" t="str">
        <f aca="false">IF(OR(AZ$4="",MONTH(($G$2+27))&lt;&gt;MONTH($C$2)),"",IF(COUNTIFS(m_teacher,AZ$4,m_date,($G$2+27),m_active,1,m_start,"&lt;"&amp;1440,m_end,"&gt;"&amp;1140)=0,"",IF(COUNTIFS(m_teacher,AZ$4,m_date,($G$2+27),m_active,1,m_start,"&lt;"&amp;1440,m_end,"&gt;"&amp;1140)&gt;1,"충돌",HYPERLINK("#'관리자_MASTER'!D"&amp;_xlfn.MAXIFS(m_row,m_teacher,AZ$4,m_date,($G$2+27),m_active,1,m_start,"&lt;"&amp;1440,m_end,"&gt;"&amp;1140),INDEX(m_label,_xlfn.MAXIFS(m_row,m_teacher,AZ$4,m_date,($G$2+27),m_active,1,m_start,"&lt;"&amp;1440,m_end,"&gt;"&amp;1140))))))</f>
        <v/>
      </c>
      <c r="BA81" s="86" t="str">
        <f aca="false">IF(OR(BA$4="",MONTH(($G$2+27))&lt;&gt;MONTH($C$2)),"",IF(COUNTIFS(m_teacher,BA$4,m_date,($G$2+27),m_active,1,m_start,"&lt;"&amp;1440,m_end,"&gt;"&amp;1140)=0,"",IF(COUNTIFS(m_teacher,BA$4,m_date,($G$2+27),m_active,1,m_start,"&lt;"&amp;1440,m_end,"&gt;"&amp;1140)&gt;1,"충돌",HYPERLINK("#'관리자_MASTER'!D"&amp;_xlfn.MAXIFS(m_row,m_teacher,BA$4,m_date,($G$2+27),m_active,1,m_start,"&lt;"&amp;1440,m_end,"&gt;"&amp;1140),INDEX(m_label,_xlfn.MAXIFS(m_row,m_teacher,BA$4,m_date,($G$2+27),m_active,1,m_start,"&lt;"&amp;1440,m_end,"&gt;"&amp;1140))))))</f>
        <v/>
      </c>
      <c r="BB81" s="86" t="str">
        <f aca="false">IF(OR(BB$4="",MONTH(($G$2+27))&lt;&gt;MONTH($C$2)),"",IF(COUNTIFS(m_teacher,BB$4,m_date,($G$2+27),m_active,1,m_start,"&lt;"&amp;1440,m_end,"&gt;"&amp;1140)=0,"",IF(COUNTIFS(m_teacher,BB$4,m_date,($G$2+27),m_active,1,m_start,"&lt;"&amp;1440,m_end,"&gt;"&amp;1140)&gt;1,"충돌",HYPERLINK("#'관리자_MASTER'!D"&amp;_xlfn.MAXIFS(m_row,m_teacher,BB$4,m_date,($G$2+27),m_active,1,m_start,"&lt;"&amp;1440,m_end,"&gt;"&amp;1140),INDEX(m_label,_xlfn.MAXIFS(m_row,m_teacher,BB$4,m_date,($G$2+27),m_active,1,m_start,"&lt;"&amp;1440,m_end,"&gt;"&amp;1140))))))</f>
        <v/>
      </c>
      <c r="BC81" s="86" t="str">
        <f aca="false">IF(OR(BC$4="",MONTH(($G$2+27))&lt;&gt;MONTH($C$2)),"",IF(COUNTIFS(m_teacher,BC$4,m_date,($G$2+27),m_active,1,m_start,"&lt;"&amp;1440,m_end,"&gt;"&amp;1140)=0,"",IF(COUNTIFS(m_teacher,BC$4,m_date,($G$2+27),m_active,1,m_start,"&lt;"&amp;1440,m_end,"&gt;"&amp;1140)&gt;1,"충돌",HYPERLINK("#'관리자_MASTER'!D"&amp;_xlfn.MAXIFS(m_row,m_teacher,BC$4,m_date,($G$2+27),m_active,1,m_start,"&lt;"&amp;1440,m_end,"&gt;"&amp;1140),INDEX(m_label,_xlfn.MAXIFS(m_row,m_teacher,BC$4,m_date,($G$2+27),m_active,1,m_start,"&lt;"&amp;1440,m_end,"&gt;"&amp;1140))))))</f>
        <v/>
      </c>
      <c r="BD81" s="86" t="str">
        <f aca="false">IF(OR(BD$4="",MONTH(($G$2+27))&lt;&gt;MONTH($C$2)),"",IF(COUNTIFS(m_teacher,BD$4,m_date,($G$2+27),m_active,1,m_start,"&lt;"&amp;1440,m_end,"&gt;"&amp;1140)=0,"",IF(COUNTIFS(m_teacher,BD$4,m_date,($G$2+27),m_active,1,m_start,"&lt;"&amp;1440,m_end,"&gt;"&amp;1140)&gt;1,"충돌",HYPERLINK("#'관리자_MASTER'!D"&amp;_xlfn.MAXIFS(m_row,m_teacher,BD$4,m_date,($G$2+27),m_active,1,m_start,"&lt;"&amp;1440,m_end,"&gt;"&amp;1140),INDEX(m_label,_xlfn.MAXIFS(m_row,m_teacher,BD$4,m_date,($G$2+27),m_active,1,m_start,"&lt;"&amp;1440,m_end,"&gt;"&amp;1140))))))</f>
        <v/>
      </c>
      <c r="BE81" s="93"/>
      <c r="BF81" s="83" t="s">
        <v>101</v>
      </c>
      <c r="BG81" s="84" t="str">
        <f aca="false">IF(OR(BG$4="",MONTH(($G$2+34))&lt;&gt;MONTH($C$2)),"",IF(COUNTIFS(m_teacher,BG$4,m_date,($G$2+34),m_active,1,m_start,"&lt;"&amp;1440,m_end,"&gt;"&amp;1140)=0,"",IF(COUNTIFS(m_teacher,BG$4,m_date,($G$2+34),m_active,1,m_start,"&lt;"&amp;1440,m_end,"&gt;"&amp;1140)&gt;1,"충돌",HYPERLINK("#'관리자_MASTER'!D"&amp;_xlfn.MAXIFS(m_row,m_teacher,BG$4,m_date,($G$2+34),m_active,1,m_start,"&lt;"&amp;1440,m_end,"&gt;"&amp;1140),INDEX(m_label,_xlfn.MAXIFS(m_row,m_teacher,BG$4,m_date,($G$2+34),m_active,1,m_start,"&lt;"&amp;1440,m_end,"&gt;"&amp;1140))))))</f>
        <v/>
      </c>
      <c r="BH81" s="84" t="str">
        <f aca="false">IF(OR(BH$4="",MONTH(($G$2+34))&lt;&gt;MONTH($C$2)),"",IF(COUNTIFS(m_teacher,BH$4,m_date,($G$2+34),m_active,1,m_start,"&lt;"&amp;1440,m_end,"&gt;"&amp;1140)=0,"",IF(COUNTIFS(m_teacher,BH$4,m_date,($G$2+34),m_active,1,m_start,"&lt;"&amp;1440,m_end,"&gt;"&amp;1140)&gt;1,"충돌",HYPERLINK("#'관리자_MASTER'!D"&amp;_xlfn.MAXIFS(m_row,m_teacher,BH$4,m_date,($G$2+34),m_active,1,m_start,"&lt;"&amp;1440,m_end,"&gt;"&amp;1140),INDEX(m_label,_xlfn.MAXIFS(m_row,m_teacher,BH$4,m_date,($G$2+34),m_active,1,m_start,"&lt;"&amp;1440,m_end,"&gt;"&amp;1140))))))</f>
        <v/>
      </c>
      <c r="BI81" s="84" t="str">
        <f aca="false">IF(OR(BI$4="",MONTH(($G$2+34))&lt;&gt;MONTH($C$2)),"",IF(COUNTIFS(m_teacher,BI$4,m_date,($G$2+34),m_active,1,m_start,"&lt;"&amp;1440,m_end,"&gt;"&amp;1140)=0,"",IF(COUNTIFS(m_teacher,BI$4,m_date,($G$2+34),m_active,1,m_start,"&lt;"&amp;1440,m_end,"&gt;"&amp;1140)&gt;1,"충돌",HYPERLINK("#'관리자_MASTER'!D"&amp;_xlfn.MAXIFS(m_row,m_teacher,BI$4,m_date,($G$2+34),m_active,1,m_start,"&lt;"&amp;1440,m_end,"&gt;"&amp;1140),INDEX(m_label,_xlfn.MAXIFS(m_row,m_teacher,BI$4,m_date,($G$2+34),m_active,1,m_start,"&lt;"&amp;1440,m_end,"&gt;"&amp;1140))))))</f>
        <v/>
      </c>
      <c r="BJ81" s="84" t="str">
        <f aca="false">IF(OR(BJ$4="",MONTH(($G$2+34))&lt;&gt;MONTH($C$2)),"",IF(COUNTIFS(m_teacher,BJ$4,m_date,($G$2+34),m_active,1,m_start,"&lt;"&amp;1440,m_end,"&gt;"&amp;1140)=0,"",IF(COUNTIFS(m_teacher,BJ$4,m_date,($G$2+34),m_active,1,m_start,"&lt;"&amp;1440,m_end,"&gt;"&amp;1140)&gt;1,"충돌",HYPERLINK("#'관리자_MASTER'!D"&amp;_xlfn.MAXIFS(m_row,m_teacher,BJ$4,m_date,($G$2+34),m_active,1,m_start,"&lt;"&amp;1440,m_end,"&gt;"&amp;1140),INDEX(m_label,_xlfn.MAXIFS(m_row,m_teacher,BJ$4,m_date,($G$2+34),m_active,1,m_start,"&lt;"&amp;1440,m_end,"&gt;"&amp;1140))))))</f>
        <v/>
      </c>
      <c r="BK81" s="84" t="str">
        <f aca="false">IF(OR(BK$4="",MONTH(($G$2+34))&lt;&gt;MONTH($C$2)),"",IF(COUNTIFS(m_teacher,BK$4,m_date,($G$2+34),m_active,1,m_start,"&lt;"&amp;1440,m_end,"&gt;"&amp;1140)=0,"",IF(COUNTIFS(m_teacher,BK$4,m_date,($G$2+34),m_active,1,m_start,"&lt;"&amp;1440,m_end,"&gt;"&amp;1140)&gt;1,"충돌",HYPERLINK("#'관리자_MASTER'!D"&amp;_xlfn.MAXIFS(m_row,m_teacher,BK$4,m_date,($G$2+34),m_active,1,m_start,"&lt;"&amp;1440,m_end,"&gt;"&amp;1140),INDEX(m_label,_xlfn.MAXIFS(m_row,m_teacher,BK$4,m_date,($G$2+34),m_active,1,m_start,"&lt;"&amp;1440,m_end,"&gt;"&amp;1140))))))</f>
        <v/>
      </c>
      <c r="BL81" s="84" t="str">
        <f aca="false">IF(OR(BL$4="",MONTH(($G$2+34))&lt;&gt;MONTH($C$2)),"",IF(COUNTIFS(m_teacher,BL$4,m_date,($G$2+34),m_active,1,m_start,"&lt;"&amp;1440,m_end,"&gt;"&amp;1140)=0,"",IF(COUNTIFS(m_teacher,BL$4,m_date,($G$2+34),m_active,1,m_start,"&lt;"&amp;1440,m_end,"&gt;"&amp;1140)&gt;1,"충돌",HYPERLINK("#'관리자_MASTER'!D"&amp;_xlfn.MAXIFS(m_row,m_teacher,BL$4,m_date,($G$2+34),m_active,1,m_start,"&lt;"&amp;1440,m_end,"&gt;"&amp;1140),INDEX(m_label,_xlfn.MAXIFS(m_row,m_teacher,BL$4,m_date,($G$2+34),m_active,1,m_start,"&lt;"&amp;1440,m_end,"&gt;"&amp;1140))))))</f>
        <v/>
      </c>
      <c r="BM81" s="84" t="str">
        <f aca="false">IF(OR(BM$4="",MONTH(($G$2+34))&lt;&gt;MONTH($C$2)),"",IF(COUNTIFS(m_teacher,BM$4,m_date,($G$2+34),m_active,1,m_start,"&lt;"&amp;1440,m_end,"&gt;"&amp;1140)=0,"",IF(COUNTIFS(m_teacher,BM$4,m_date,($G$2+34),m_active,1,m_start,"&lt;"&amp;1440,m_end,"&gt;"&amp;1140)&gt;1,"충돌",HYPERLINK("#'관리자_MASTER'!D"&amp;_xlfn.MAXIFS(m_row,m_teacher,BM$4,m_date,($G$2+34),m_active,1,m_start,"&lt;"&amp;1440,m_end,"&gt;"&amp;1140),INDEX(m_label,_xlfn.MAXIFS(m_row,m_teacher,BM$4,m_date,($G$2+34),m_active,1,m_start,"&lt;"&amp;1440,m_end,"&gt;"&amp;1140))))))</f>
        <v/>
      </c>
      <c r="BN81" s="84" t="str">
        <f aca="false">IF(OR(BN$4="",MONTH(($G$2+34))&lt;&gt;MONTH($C$2)),"",IF(COUNTIFS(m_teacher,BN$4,m_date,($G$2+34),m_active,1,m_start,"&lt;"&amp;1440,m_end,"&gt;"&amp;1140)=0,"",IF(COUNTIFS(m_teacher,BN$4,m_date,($G$2+34),m_active,1,m_start,"&lt;"&amp;1440,m_end,"&gt;"&amp;1140)&gt;1,"충돌",HYPERLINK("#'관리자_MASTER'!D"&amp;_xlfn.MAXIFS(m_row,m_teacher,BN$4,m_date,($G$2+34),m_active,1,m_start,"&lt;"&amp;1440,m_end,"&gt;"&amp;1140),INDEX(m_label,_xlfn.MAXIFS(m_row,m_teacher,BN$4,m_date,($G$2+34),m_active,1,m_start,"&lt;"&amp;1440,m_end,"&gt;"&amp;1140))))))</f>
        <v/>
      </c>
      <c r="BO81" s="84" t="str">
        <f aca="false">IF(OR(BO$4="",MONTH(($G$2+34))&lt;&gt;MONTH($C$2)),"",IF(COUNTIFS(m_teacher,BO$4,m_date,($G$2+34),m_active,1,m_start,"&lt;"&amp;1440,m_end,"&gt;"&amp;1140)=0,"",IF(COUNTIFS(m_teacher,BO$4,m_date,($G$2+34),m_active,1,m_start,"&lt;"&amp;1440,m_end,"&gt;"&amp;1140)&gt;1,"충돌",HYPERLINK("#'관리자_MASTER'!D"&amp;_xlfn.MAXIFS(m_row,m_teacher,BO$4,m_date,($G$2+34),m_active,1,m_start,"&lt;"&amp;1440,m_end,"&gt;"&amp;1140),INDEX(m_label,_xlfn.MAXIFS(m_row,m_teacher,BO$4,m_date,($G$2+34),m_active,1,m_start,"&lt;"&amp;1440,m_end,"&gt;"&amp;1140))))))</f>
        <v/>
      </c>
      <c r="BP81" s="84" t="str">
        <f aca="false">IF(OR(BP$4="",MONTH(($G$2+34))&lt;&gt;MONTH($C$2)),"",IF(COUNTIFS(m_teacher,BP$4,m_date,($G$2+34),m_active,1,m_start,"&lt;"&amp;1440,m_end,"&gt;"&amp;1140)=0,"",IF(COUNTIFS(m_teacher,BP$4,m_date,($G$2+34),m_active,1,m_start,"&lt;"&amp;1440,m_end,"&gt;"&amp;1140)&gt;1,"충돌",HYPERLINK("#'관리자_MASTER'!D"&amp;_xlfn.MAXIFS(m_row,m_teacher,BP$4,m_date,($G$2+34),m_active,1,m_start,"&lt;"&amp;1440,m_end,"&gt;"&amp;1140),INDEX(m_label,_xlfn.MAXIFS(m_row,m_teacher,BP$4,m_date,($G$2+34),m_active,1,m_start,"&lt;"&amp;1440,m_end,"&gt;"&amp;1140))))))</f>
        <v/>
      </c>
      <c r="BQ81" s="84" t="str">
        <f aca="false">IF(OR(BQ$4="",MONTH(($G$2+34))&lt;&gt;MONTH($C$2)),"",IF(COUNTIFS(m_teacher,BQ$4,m_date,($G$2+34),m_active,1,m_start,"&lt;"&amp;1440,m_end,"&gt;"&amp;1140)=0,"",IF(COUNTIFS(m_teacher,BQ$4,m_date,($G$2+34),m_active,1,m_start,"&lt;"&amp;1440,m_end,"&gt;"&amp;1140)&gt;1,"충돌",HYPERLINK("#'관리자_MASTER'!D"&amp;_xlfn.MAXIFS(m_row,m_teacher,BQ$4,m_date,($G$2+34),m_active,1,m_start,"&lt;"&amp;1440,m_end,"&gt;"&amp;1140),INDEX(m_label,_xlfn.MAXIFS(m_row,m_teacher,BQ$4,m_date,($G$2+34),m_active,1,m_start,"&lt;"&amp;1440,m_end,"&gt;"&amp;1140))))))</f>
        <v/>
      </c>
      <c r="BR81" s="84" t="str">
        <f aca="false">IF(OR(BR$4="",MONTH(($G$2+34))&lt;&gt;MONTH($C$2)),"",IF(COUNTIFS(m_teacher,BR$4,m_date,($G$2+34),m_active,1,m_start,"&lt;"&amp;1440,m_end,"&gt;"&amp;1140)=0,"",IF(COUNTIFS(m_teacher,BR$4,m_date,($G$2+34),m_active,1,m_start,"&lt;"&amp;1440,m_end,"&gt;"&amp;1140)&gt;1,"충돌",HYPERLINK("#'관리자_MASTER'!D"&amp;_xlfn.MAXIFS(m_row,m_teacher,BR$4,m_date,($G$2+34),m_active,1,m_start,"&lt;"&amp;1440,m_end,"&gt;"&amp;1140),INDEX(m_label,_xlfn.MAXIFS(m_row,m_teacher,BR$4,m_date,($G$2+34),m_active,1,m_start,"&lt;"&amp;1440,m_end,"&gt;"&amp;1140))))))</f>
        <v/>
      </c>
    </row>
  </sheetData>
  <mergeCells count="46">
    <mergeCell ref="A1:BR1"/>
    <mergeCell ref="A2:B2"/>
    <mergeCell ref="C2:D2"/>
    <mergeCell ref="E2:F2"/>
    <mergeCell ref="G2:H2"/>
    <mergeCell ref="I2:BR2"/>
    <mergeCell ref="A3:N3"/>
    <mergeCell ref="O3:AB3"/>
    <mergeCell ref="AC3:AP3"/>
    <mergeCell ref="AQ3:BD3"/>
    <mergeCell ref="BE3:BR3"/>
    <mergeCell ref="A5:A15"/>
    <mergeCell ref="O5:O15"/>
    <mergeCell ref="AC5:AC15"/>
    <mergeCell ref="AQ5:AQ15"/>
    <mergeCell ref="BE5:BE15"/>
    <mergeCell ref="A16:A26"/>
    <mergeCell ref="O16:O26"/>
    <mergeCell ref="AC16:AC26"/>
    <mergeCell ref="AQ16:AQ26"/>
    <mergeCell ref="BE16:BE26"/>
    <mergeCell ref="A27:A37"/>
    <mergeCell ref="O27:O37"/>
    <mergeCell ref="AC27:AC37"/>
    <mergeCell ref="AQ27:AQ37"/>
    <mergeCell ref="BE27:BE37"/>
    <mergeCell ref="A38:A48"/>
    <mergeCell ref="O38:O48"/>
    <mergeCell ref="AC38:AC48"/>
    <mergeCell ref="AQ38:AQ48"/>
    <mergeCell ref="BE38:BE48"/>
    <mergeCell ref="A49:A59"/>
    <mergeCell ref="O49:O59"/>
    <mergeCell ref="AC49:AC59"/>
    <mergeCell ref="AQ49:AQ59"/>
    <mergeCell ref="BE49:BE59"/>
    <mergeCell ref="A60:A70"/>
    <mergeCell ref="O60:O70"/>
    <mergeCell ref="AC60:AC70"/>
    <mergeCell ref="AQ60:AQ70"/>
    <mergeCell ref="BE60:BE70"/>
    <mergeCell ref="A71:A81"/>
    <mergeCell ref="O71:O81"/>
    <mergeCell ref="AC71:AC81"/>
    <mergeCell ref="AQ71:AQ81"/>
    <mergeCell ref="BE71:BE81"/>
  </mergeCells>
  <conditionalFormatting sqref="C5:N15 C16:N26 C27:N37 C38:N48 C49:N59 C60:N70 C71:N81 Q5:AB15 Q16:AB26 Q27:AB37 Q38:AB48 Q49:AB59 Q60:AB70 Q71:AB81 AE5:AP15 AE16:AP26 AE27:AP37 AE38:AP48 AE49:AP59 AE60:AP70 AE71:AP81 AS5:BD15 AS16:BD26 AS27:BD37 AS38:BD48 AS49:BD59 AS60:BD70 AS71:BD81 BG5:BR15 BG16:BR26 BG27:BR37 BG38:BR48 BG49:BR59 BG60:BR70 BG71:BR81">
    <cfRule type="expression" priority="2" aboveAverage="0" equalAverage="0" bottom="0" percent="0" rank="0" text="" dxfId="8">
      <formula>C5="충돌"</formula>
    </cfRule>
    <cfRule type="expression" priority="3" aboveAverage="0" equalAverage="0" bottom="0" percent="0" rank="0" text="" dxfId="11">
      <formula>ISNUMBER(SEARCH("(상담)",C5))</formula>
    </cfRule>
    <cfRule type="expression" priority="4" aboveAverage="0" equalAverage="0" bottom="0" percent="0" rank="0" text="" dxfId="12">
      <formula>C5&lt;&gt;""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E9A6B"/>
    <pageSetUpPr fitToPage="false"/>
  </sheetPr>
  <dimension ref="A1:BR8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7"/>
    <col collapsed="false" customWidth="true" hidden="false" outlineLevel="0" max="14" min="3" style="0" width="15"/>
    <col collapsed="false" customWidth="true" hidden="false" outlineLevel="0" max="15" min="15" style="0" width="9"/>
    <col collapsed="false" customWidth="true" hidden="false" outlineLevel="0" max="16" min="16" style="0" width="7"/>
    <col collapsed="false" customWidth="true" hidden="false" outlineLevel="0" max="28" min="17" style="0" width="15"/>
    <col collapsed="false" customWidth="true" hidden="false" outlineLevel="0" max="29" min="29" style="0" width="9"/>
    <col collapsed="false" customWidth="true" hidden="false" outlineLevel="0" max="30" min="30" style="0" width="7"/>
    <col collapsed="false" customWidth="true" hidden="false" outlineLevel="0" max="42" min="31" style="0" width="15"/>
    <col collapsed="false" customWidth="true" hidden="false" outlineLevel="0" max="43" min="43" style="0" width="9"/>
    <col collapsed="false" customWidth="true" hidden="false" outlineLevel="0" max="44" min="44" style="0" width="7"/>
    <col collapsed="false" customWidth="true" hidden="false" outlineLevel="0" max="56" min="45" style="0" width="15"/>
    <col collapsed="false" customWidth="true" hidden="false" outlineLevel="0" max="57" min="57" style="0" width="9"/>
    <col collapsed="false" customWidth="true" hidden="false" outlineLevel="0" max="58" min="58" style="0" width="7"/>
    <col collapsed="false" customWidth="true" hidden="false" outlineLevel="0" max="70" min="59" style="0" width="15"/>
  </cols>
  <sheetData>
    <row r="1" customFormat="false" ht="30" hidden="false" customHeight="true" outlineLevel="0" collapsed="false">
      <c r="A1" s="1" t="s">
        <v>102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customFormat="false" ht="33.75" hidden="false" customHeight="true" outlineLevel="0" collapsed="false">
      <c r="A2" s="3" t="s">
        <v>86</v>
      </c>
      <c r="B2" s="3"/>
      <c r="C2" s="57" t="n">
        <v>46388</v>
      </c>
      <c r="D2" s="57"/>
      <c r="E2" s="3" t="s">
        <v>87</v>
      </c>
      <c r="F2" s="3"/>
      <c r="G2" s="58" t="n">
        <f aca="false">$C$2-WEEKDAY($C$2,2)+1</f>
        <v>46384</v>
      </c>
      <c r="H2" s="58"/>
      <c r="I2" s="59" t="s">
        <v>88</v>
      </c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9"/>
      <c r="AU2" s="59"/>
      <c r="AV2" s="59"/>
      <c r="AW2" s="59"/>
      <c r="AX2" s="59"/>
      <c r="AY2" s="59"/>
      <c r="AZ2" s="59"/>
      <c r="BA2" s="59"/>
      <c r="BB2" s="59"/>
      <c r="BC2" s="59"/>
      <c r="BD2" s="59"/>
      <c r="BE2" s="59"/>
      <c r="BF2" s="59"/>
      <c r="BG2" s="59"/>
      <c r="BH2" s="59"/>
      <c r="BI2" s="59"/>
      <c r="BJ2" s="59"/>
      <c r="BK2" s="59"/>
      <c r="BL2" s="59"/>
      <c r="BM2" s="59"/>
      <c r="BN2" s="59"/>
      <c r="BO2" s="59"/>
      <c r="BP2" s="59"/>
      <c r="BQ2" s="59"/>
      <c r="BR2" s="59"/>
    </row>
    <row r="3" customFormat="false" ht="21.75" hidden="false" customHeight="true" outlineLevel="0" collapsed="false">
      <c r="A3" s="60" t="str">
        <f aca="false">"1주차   "&amp;TEXT($G$2+0,"m/d")&amp;" ~ "&amp;TEXT($G$2+6,"m/d")</f>
        <v>1주차   12/28 ~ 1/3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 t="str">
        <f aca="false">"2주차   "&amp;TEXT($G$2+7,"m/d")&amp;" ~ "&amp;TEXT($G$2+13,"m/d")</f>
        <v>2주차   1/4 ~ 1/10</v>
      </c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 t="str">
        <f aca="false">"3주차   "&amp;TEXT($G$2+14,"m/d")&amp;" ~ "&amp;TEXT($G$2+20,"m/d")</f>
        <v>3주차   1/11 ~ 1/17</v>
      </c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 t="str">
        <f aca="false">"4주차   "&amp;TEXT($G$2+21,"m/d")&amp;" ~ "&amp;TEXT($G$2+27,"m/d")</f>
        <v>4주차   1/18 ~ 1/24</v>
      </c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 t="str">
        <f aca="false">"5주차   "&amp;TEXT($G$2+28,"m/d")&amp;" ~ "&amp;TEXT($G$2+34,"m/d")</f>
        <v>5주차   1/25 ~ 1/31</v>
      </c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</row>
    <row r="4" customFormat="false" ht="21.75" hidden="false" customHeight="true" outlineLevel="0" collapsed="false">
      <c r="A4" s="61" t="s">
        <v>89</v>
      </c>
      <c r="B4" s="62" t="s">
        <v>90</v>
      </c>
      <c r="C4" s="63" t="str">
        <f aca="false">IF(설정!$N$4="","",설정!$N$4)</f>
        <v>김건진</v>
      </c>
      <c r="D4" s="64" t="str">
        <f aca="false">IF(설정!$N$5="","",설정!$N$5)</f>
        <v>김준태</v>
      </c>
      <c r="E4" s="65" t="str">
        <f aca="false">IF(설정!$N$6="","",설정!$N$6)</f>
        <v>이민규</v>
      </c>
      <c r="F4" s="66" t="str">
        <f aca="false">IF(설정!$N$7="","",설정!$N$7)</f>
        <v>송지성</v>
      </c>
      <c r="G4" s="67" t="str">
        <f aca="false">IF(설정!$N$8="","",설정!$N$8)</f>
        <v>박세근</v>
      </c>
      <c r="H4" s="68" t="str">
        <f aca="false">IF(설정!$N$9="","",설정!$N$9)</f>
        <v>프리랜서A</v>
      </c>
      <c r="I4" s="69" t="str">
        <f aca="false">IF(설정!$N$10="","",설정!$N$10)</f>
        <v>프리랜서B</v>
      </c>
      <c r="J4" s="70" t="str">
        <f aca="false">IF(설정!$N$11="","",설정!$N$11)</f>
        <v/>
      </c>
      <c r="K4" s="71" t="str">
        <f aca="false">IF(설정!$N$12="","",설정!$N$12)</f>
        <v/>
      </c>
      <c r="L4" s="72" t="str">
        <f aca="false">IF(설정!$N$13="","",설정!$N$13)</f>
        <v/>
      </c>
      <c r="M4" s="73" t="str">
        <f aca="false">IF(설정!$N$14="","",설정!$N$14)</f>
        <v/>
      </c>
      <c r="N4" s="74" t="str">
        <f aca="false">IF(설정!$N$15="","",설정!$N$15)</f>
        <v/>
      </c>
      <c r="O4" s="61" t="s">
        <v>89</v>
      </c>
      <c r="P4" s="62" t="s">
        <v>90</v>
      </c>
      <c r="Q4" s="63" t="str">
        <f aca="false">IF(설정!$N$4="","",설정!$N$4)</f>
        <v>김건진</v>
      </c>
      <c r="R4" s="64" t="str">
        <f aca="false">IF(설정!$N$5="","",설정!$N$5)</f>
        <v>김준태</v>
      </c>
      <c r="S4" s="65" t="str">
        <f aca="false">IF(설정!$N$6="","",설정!$N$6)</f>
        <v>이민규</v>
      </c>
      <c r="T4" s="66" t="str">
        <f aca="false">IF(설정!$N$7="","",설정!$N$7)</f>
        <v>송지성</v>
      </c>
      <c r="U4" s="67" t="str">
        <f aca="false">IF(설정!$N$8="","",설정!$N$8)</f>
        <v>박세근</v>
      </c>
      <c r="V4" s="68" t="str">
        <f aca="false">IF(설정!$N$9="","",설정!$N$9)</f>
        <v>프리랜서A</v>
      </c>
      <c r="W4" s="69" t="str">
        <f aca="false">IF(설정!$N$10="","",설정!$N$10)</f>
        <v>프리랜서B</v>
      </c>
      <c r="X4" s="70" t="str">
        <f aca="false">IF(설정!$N$11="","",설정!$N$11)</f>
        <v/>
      </c>
      <c r="Y4" s="71" t="str">
        <f aca="false">IF(설정!$N$12="","",설정!$N$12)</f>
        <v/>
      </c>
      <c r="Z4" s="72" t="str">
        <f aca="false">IF(설정!$N$13="","",설정!$N$13)</f>
        <v/>
      </c>
      <c r="AA4" s="73" t="str">
        <f aca="false">IF(설정!$N$14="","",설정!$N$14)</f>
        <v/>
      </c>
      <c r="AB4" s="74" t="str">
        <f aca="false">IF(설정!$N$15="","",설정!$N$15)</f>
        <v/>
      </c>
      <c r="AC4" s="61" t="s">
        <v>89</v>
      </c>
      <c r="AD4" s="62" t="s">
        <v>90</v>
      </c>
      <c r="AE4" s="63" t="str">
        <f aca="false">IF(설정!$N$4="","",설정!$N$4)</f>
        <v>김건진</v>
      </c>
      <c r="AF4" s="64" t="str">
        <f aca="false">IF(설정!$N$5="","",설정!$N$5)</f>
        <v>김준태</v>
      </c>
      <c r="AG4" s="65" t="str">
        <f aca="false">IF(설정!$N$6="","",설정!$N$6)</f>
        <v>이민규</v>
      </c>
      <c r="AH4" s="66" t="str">
        <f aca="false">IF(설정!$N$7="","",설정!$N$7)</f>
        <v>송지성</v>
      </c>
      <c r="AI4" s="67" t="str">
        <f aca="false">IF(설정!$N$8="","",설정!$N$8)</f>
        <v>박세근</v>
      </c>
      <c r="AJ4" s="68" t="str">
        <f aca="false">IF(설정!$N$9="","",설정!$N$9)</f>
        <v>프리랜서A</v>
      </c>
      <c r="AK4" s="69" t="str">
        <f aca="false">IF(설정!$N$10="","",설정!$N$10)</f>
        <v>프리랜서B</v>
      </c>
      <c r="AL4" s="70" t="str">
        <f aca="false">IF(설정!$N$11="","",설정!$N$11)</f>
        <v/>
      </c>
      <c r="AM4" s="71" t="str">
        <f aca="false">IF(설정!$N$12="","",설정!$N$12)</f>
        <v/>
      </c>
      <c r="AN4" s="72" t="str">
        <f aca="false">IF(설정!$N$13="","",설정!$N$13)</f>
        <v/>
      </c>
      <c r="AO4" s="73" t="str">
        <f aca="false">IF(설정!$N$14="","",설정!$N$14)</f>
        <v/>
      </c>
      <c r="AP4" s="74" t="str">
        <f aca="false">IF(설정!$N$15="","",설정!$N$15)</f>
        <v/>
      </c>
      <c r="AQ4" s="61" t="s">
        <v>89</v>
      </c>
      <c r="AR4" s="62" t="s">
        <v>90</v>
      </c>
      <c r="AS4" s="63" t="str">
        <f aca="false">IF(설정!$N$4="","",설정!$N$4)</f>
        <v>김건진</v>
      </c>
      <c r="AT4" s="64" t="str">
        <f aca="false">IF(설정!$N$5="","",설정!$N$5)</f>
        <v>김준태</v>
      </c>
      <c r="AU4" s="65" t="str">
        <f aca="false">IF(설정!$N$6="","",설정!$N$6)</f>
        <v>이민규</v>
      </c>
      <c r="AV4" s="66" t="str">
        <f aca="false">IF(설정!$N$7="","",설정!$N$7)</f>
        <v>송지성</v>
      </c>
      <c r="AW4" s="67" t="str">
        <f aca="false">IF(설정!$N$8="","",설정!$N$8)</f>
        <v>박세근</v>
      </c>
      <c r="AX4" s="68" t="str">
        <f aca="false">IF(설정!$N$9="","",설정!$N$9)</f>
        <v>프리랜서A</v>
      </c>
      <c r="AY4" s="69" t="str">
        <f aca="false">IF(설정!$N$10="","",설정!$N$10)</f>
        <v>프리랜서B</v>
      </c>
      <c r="AZ4" s="70" t="str">
        <f aca="false">IF(설정!$N$11="","",설정!$N$11)</f>
        <v/>
      </c>
      <c r="BA4" s="71" t="str">
        <f aca="false">IF(설정!$N$12="","",설정!$N$12)</f>
        <v/>
      </c>
      <c r="BB4" s="72" t="str">
        <f aca="false">IF(설정!$N$13="","",설정!$N$13)</f>
        <v/>
      </c>
      <c r="BC4" s="73" t="str">
        <f aca="false">IF(설정!$N$14="","",설정!$N$14)</f>
        <v/>
      </c>
      <c r="BD4" s="74" t="str">
        <f aca="false">IF(설정!$N$15="","",설정!$N$15)</f>
        <v/>
      </c>
      <c r="BE4" s="61" t="s">
        <v>89</v>
      </c>
      <c r="BF4" s="62" t="s">
        <v>90</v>
      </c>
      <c r="BG4" s="63" t="str">
        <f aca="false">IF(설정!$N$4="","",설정!$N$4)</f>
        <v>김건진</v>
      </c>
      <c r="BH4" s="64" t="str">
        <f aca="false">IF(설정!$N$5="","",설정!$N$5)</f>
        <v>김준태</v>
      </c>
      <c r="BI4" s="65" t="str">
        <f aca="false">IF(설정!$N$6="","",설정!$N$6)</f>
        <v>이민규</v>
      </c>
      <c r="BJ4" s="66" t="str">
        <f aca="false">IF(설정!$N$7="","",설정!$N$7)</f>
        <v>송지성</v>
      </c>
      <c r="BK4" s="67" t="str">
        <f aca="false">IF(설정!$N$8="","",설정!$N$8)</f>
        <v>박세근</v>
      </c>
      <c r="BL4" s="68" t="str">
        <f aca="false">IF(설정!$N$9="","",설정!$N$9)</f>
        <v>프리랜서A</v>
      </c>
      <c r="BM4" s="69" t="str">
        <f aca="false">IF(설정!$N$10="","",설정!$N$10)</f>
        <v>프리랜서B</v>
      </c>
      <c r="BN4" s="70" t="str">
        <f aca="false">IF(설정!$N$11="","",설정!$N$11)</f>
        <v/>
      </c>
      <c r="BO4" s="71" t="str">
        <f aca="false">IF(설정!$N$12="","",설정!$N$12)</f>
        <v/>
      </c>
      <c r="BP4" s="72" t="str">
        <f aca="false">IF(설정!$N$13="","",설정!$N$13)</f>
        <v/>
      </c>
      <c r="BQ4" s="73" t="str">
        <f aca="false">IF(설정!$N$14="","",설정!$N$14)</f>
        <v/>
      </c>
      <c r="BR4" s="74" t="str">
        <f aca="false">IF(설정!$N$15="","",설정!$N$15)</f>
        <v/>
      </c>
    </row>
    <row r="5" customFormat="false" ht="19.5" hidden="false" customHeight="true" outlineLevel="0" collapsed="false">
      <c r="A5" s="75" t="str">
        <f aca="false">IF(MONTH(($G$2+0))&lt;&gt;MONTH($C$2),"",CHOOSE(WEEKDAY(($G$2+0),2),"월","화","수","목","금","토","일")&amp;CHAR(10)&amp;TEXT(($G$2+0),"m/d"))</f>
        <v/>
      </c>
      <c r="B5" s="76" t="s">
        <v>91</v>
      </c>
      <c r="C5" s="77" t="str">
        <f aca="false">IF(OR(C$4="",MONTH(($G$2+0))&lt;&gt;MONTH($C$2)),"",IF(COUNTIFS(m_teacher,C$4,m_date,($G$2+0),m_active,1,m_start,"&lt;"&amp;600,m_end,"&gt;"&amp;0)=0,"",IF(COUNTIFS(m_teacher,C$4,m_date,($G$2+0),m_active,1,m_start,"&lt;"&amp;600,m_end,"&gt;"&amp;0)&gt;1,"충돌",HYPERLINK("#'관리자_MASTER'!D"&amp;_xlfn.MAXIFS(m_row,m_teacher,C$4,m_date,($G$2+0),m_active,1,m_start,"&lt;"&amp;600,m_end,"&gt;"&amp;0),INDEX(m_label,_xlfn.MAXIFS(m_row,m_teacher,C$4,m_date,($G$2+0),m_active,1,m_start,"&lt;"&amp;600,m_end,"&gt;"&amp;0))))))</f>
        <v/>
      </c>
      <c r="D5" s="77" t="str">
        <f aca="false">IF(OR(D$4="",MONTH(($G$2+0))&lt;&gt;MONTH($C$2)),"",IF(COUNTIFS(m_teacher,D$4,m_date,($G$2+0),m_active,1,m_start,"&lt;"&amp;600,m_end,"&gt;"&amp;0)=0,"",IF(COUNTIFS(m_teacher,D$4,m_date,($G$2+0),m_active,1,m_start,"&lt;"&amp;600,m_end,"&gt;"&amp;0)&gt;1,"충돌",HYPERLINK("#'관리자_MASTER'!D"&amp;_xlfn.MAXIFS(m_row,m_teacher,D$4,m_date,($G$2+0),m_active,1,m_start,"&lt;"&amp;600,m_end,"&gt;"&amp;0),INDEX(m_label,_xlfn.MAXIFS(m_row,m_teacher,D$4,m_date,($G$2+0),m_active,1,m_start,"&lt;"&amp;600,m_end,"&gt;"&amp;0))))))</f>
        <v/>
      </c>
      <c r="E5" s="77" t="str">
        <f aca="false">IF(OR(E$4="",MONTH(($G$2+0))&lt;&gt;MONTH($C$2)),"",IF(COUNTIFS(m_teacher,E$4,m_date,($G$2+0),m_active,1,m_start,"&lt;"&amp;600,m_end,"&gt;"&amp;0)=0,"",IF(COUNTIFS(m_teacher,E$4,m_date,($G$2+0),m_active,1,m_start,"&lt;"&amp;600,m_end,"&gt;"&amp;0)&gt;1,"충돌",HYPERLINK("#'관리자_MASTER'!D"&amp;_xlfn.MAXIFS(m_row,m_teacher,E$4,m_date,($G$2+0),m_active,1,m_start,"&lt;"&amp;600,m_end,"&gt;"&amp;0),INDEX(m_label,_xlfn.MAXIFS(m_row,m_teacher,E$4,m_date,($G$2+0),m_active,1,m_start,"&lt;"&amp;600,m_end,"&gt;"&amp;0))))))</f>
        <v/>
      </c>
      <c r="F5" s="77" t="str">
        <f aca="false">IF(OR(F$4="",MONTH(($G$2+0))&lt;&gt;MONTH($C$2)),"",IF(COUNTIFS(m_teacher,F$4,m_date,($G$2+0),m_active,1,m_start,"&lt;"&amp;600,m_end,"&gt;"&amp;0)=0,"",IF(COUNTIFS(m_teacher,F$4,m_date,($G$2+0),m_active,1,m_start,"&lt;"&amp;600,m_end,"&gt;"&amp;0)&gt;1,"충돌",HYPERLINK("#'관리자_MASTER'!D"&amp;_xlfn.MAXIFS(m_row,m_teacher,F$4,m_date,($G$2+0),m_active,1,m_start,"&lt;"&amp;600,m_end,"&gt;"&amp;0),INDEX(m_label,_xlfn.MAXIFS(m_row,m_teacher,F$4,m_date,($G$2+0),m_active,1,m_start,"&lt;"&amp;600,m_end,"&gt;"&amp;0))))))</f>
        <v/>
      </c>
      <c r="G5" s="77" t="str">
        <f aca="false">IF(OR(G$4="",MONTH(($G$2+0))&lt;&gt;MONTH($C$2)),"",IF(COUNTIFS(m_teacher,G$4,m_date,($G$2+0),m_active,1,m_start,"&lt;"&amp;600,m_end,"&gt;"&amp;0)=0,"",IF(COUNTIFS(m_teacher,G$4,m_date,($G$2+0),m_active,1,m_start,"&lt;"&amp;600,m_end,"&gt;"&amp;0)&gt;1,"충돌",HYPERLINK("#'관리자_MASTER'!D"&amp;_xlfn.MAXIFS(m_row,m_teacher,G$4,m_date,($G$2+0),m_active,1,m_start,"&lt;"&amp;600,m_end,"&gt;"&amp;0),INDEX(m_label,_xlfn.MAXIFS(m_row,m_teacher,G$4,m_date,($G$2+0),m_active,1,m_start,"&lt;"&amp;600,m_end,"&gt;"&amp;0))))))</f>
        <v/>
      </c>
      <c r="H5" s="77" t="str">
        <f aca="false">IF(OR(H$4="",MONTH(($G$2+0))&lt;&gt;MONTH($C$2)),"",IF(COUNTIFS(m_teacher,H$4,m_date,($G$2+0),m_active,1,m_start,"&lt;"&amp;600,m_end,"&gt;"&amp;0)=0,"",IF(COUNTIFS(m_teacher,H$4,m_date,($G$2+0),m_active,1,m_start,"&lt;"&amp;600,m_end,"&gt;"&amp;0)&gt;1,"충돌",HYPERLINK("#'관리자_MASTER'!D"&amp;_xlfn.MAXIFS(m_row,m_teacher,H$4,m_date,($G$2+0),m_active,1,m_start,"&lt;"&amp;600,m_end,"&gt;"&amp;0),INDEX(m_label,_xlfn.MAXIFS(m_row,m_teacher,H$4,m_date,($G$2+0),m_active,1,m_start,"&lt;"&amp;600,m_end,"&gt;"&amp;0))))))</f>
        <v/>
      </c>
      <c r="I5" s="77" t="str">
        <f aca="false">IF(OR(I$4="",MONTH(($G$2+0))&lt;&gt;MONTH($C$2)),"",IF(COUNTIFS(m_teacher,I$4,m_date,($G$2+0),m_active,1,m_start,"&lt;"&amp;600,m_end,"&gt;"&amp;0)=0,"",IF(COUNTIFS(m_teacher,I$4,m_date,($G$2+0),m_active,1,m_start,"&lt;"&amp;600,m_end,"&gt;"&amp;0)&gt;1,"충돌",HYPERLINK("#'관리자_MASTER'!D"&amp;_xlfn.MAXIFS(m_row,m_teacher,I$4,m_date,($G$2+0),m_active,1,m_start,"&lt;"&amp;600,m_end,"&gt;"&amp;0),INDEX(m_label,_xlfn.MAXIFS(m_row,m_teacher,I$4,m_date,($G$2+0),m_active,1,m_start,"&lt;"&amp;600,m_end,"&gt;"&amp;0))))))</f>
        <v/>
      </c>
      <c r="J5" s="77" t="str">
        <f aca="false">IF(OR(J$4="",MONTH(($G$2+0))&lt;&gt;MONTH($C$2)),"",IF(COUNTIFS(m_teacher,J$4,m_date,($G$2+0),m_active,1,m_start,"&lt;"&amp;600,m_end,"&gt;"&amp;0)=0,"",IF(COUNTIFS(m_teacher,J$4,m_date,($G$2+0),m_active,1,m_start,"&lt;"&amp;600,m_end,"&gt;"&amp;0)&gt;1,"충돌",HYPERLINK("#'관리자_MASTER'!D"&amp;_xlfn.MAXIFS(m_row,m_teacher,J$4,m_date,($G$2+0),m_active,1,m_start,"&lt;"&amp;600,m_end,"&gt;"&amp;0),INDEX(m_label,_xlfn.MAXIFS(m_row,m_teacher,J$4,m_date,($G$2+0),m_active,1,m_start,"&lt;"&amp;600,m_end,"&gt;"&amp;0))))))</f>
        <v/>
      </c>
      <c r="K5" s="77" t="str">
        <f aca="false">IF(OR(K$4="",MONTH(($G$2+0))&lt;&gt;MONTH($C$2)),"",IF(COUNTIFS(m_teacher,K$4,m_date,($G$2+0),m_active,1,m_start,"&lt;"&amp;600,m_end,"&gt;"&amp;0)=0,"",IF(COUNTIFS(m_teacher,K$4,m_date,($G$2+0),m_active,1,m_start,"&lt;"&amp;600,m_end,"&gt;"&amp;0)&gt;1,"충돌",HYPERLINK("#'관리자_MASTER'!D"&amp;_xlfn.MAXIFS(m_row,m_teacher,K$4,m_date,($G$2+0),m_active,1,m_start,"&lt;"&amp;600,m_end,"&gt;"&amp;0),INDEX(m_label,_xlfn.MAXIFS(m_row,m_teacher,K$4,m_date,($G$2+0),m_active,1,m_start,"&lt;"&amp;600,m_end,"&gt;"&amp;0))))))</f>
        <v/>
      </c>
      <c r="L5" s="77" t="str">
        <f aca="false">IF(OR(L$4="",MONTH(($G$2+0))&lt;&gt;MONTH($C$2)),"",IF(COUNTIFS(m_teacher,L$4,m_date,($G$2+0),m_active,1,m_start,"&lt;"&amp;600,m_end,"&gt;"&amp;0)=0,"",IF(COUNTIFS(m_teacher,L$4,m_date,($G$2+0),m_active,1,m_start,"&lt;"&amp;600,m_end,"&gt;"&amp;0)&gt;1,"충돌",HYPERLINK("#'관리자_MASTER'!D"&amp;_xlfn.MAXIFS(m_row,m_teacher,L$4,m_date,($G$2+0),m_active,1,m_start,"&lt;"&amp;600,m_end,"&gt;"&amp;0),INDEX(m_label,_xlfn.MAXIFS(m_row,m_teacher,L$4,m_date,($G$2+0),m_active,1,m_start,"&lt;"&amp;600,m_end,"&gt;"&amp;0))))))</f>
        <v/>
      </c>
      <c r="M5" s="77" t="str">
        <f aca="false">IF(OR(M$4="",MONTH(($G$2+0))&lt;&gt;MONTH($C$2)),"",IF(COUNTIFS(m_teacher,M$4,m_date,($G$2+0),m_active,1,m_start,"&lt;"&amp;600,m_end,"&gt;"&amp;0)=0,"",IF(COUNTIFS(m_teacher,M$4,m_date,($G$2+0),m_active,1,m_start,"&lt;"&amp;600,m_end,"&gt;"&amp;0)&gt;1,"충돌",HYPERLINK("#'관리자_MASTER'!D"&amp;_xlfn.MAXIFS(m_row,m_teacher,M$4,m_date,($G$2+0),m_active,1,m_start,"&lt;"&amp;600,m_end,"&gt;"&amp;0),INDEX(m_label,_xlfn.MAXIFS(m_row,m_teacher,M$4,m_date,($G$2+0),m_active,1,m_start,"&lt;"&amp;600,m_end,"&gt;"&amp;0))))))</f>
        <v/>
      </c>
      <c r="N5" s="77" t="str">
        <f aca="false">IF(OR(N$4="",MONTH(($G$2+0))&lt;&gt;MONTH($C$2)),"",IF(COUNTIFS(m_teacher,N$4,m_date,($G$2+0),m_active,1,m_start,"&lt;"&amp;600,m_end,"&gt;"&amp;0)=0,"",IF(COUNTIFS(m_teacher,N$4,m_date,($G$2+0),m_active,1,m_start,"&lt;"&amp;600,m_end,"&gt;"&amp;0)&gt;1,"충돌",HYPERLINK("#'관리자_MASTER'!D"&amp;_xlfn.MAXIFS(m_row,m_teacher,N$4,m_date,($G$2+0),m_active,1,m_start,"&lt;"&amp;600,m_end,"&gt;"&amp;0),INDEX(m_label,_xlfn.MAXIFS(m_row,m_teacher,N$4,m_date,($G$2+0),m_active,1,m_start,"&lt;"&amp;600,m_end,"&gt;"&amp;0))))))</f>
        <v/>
      </c>
      <c r="O5" s="78" t="str">
        <f aca="false">IF(MONTH(($G$2+7))&lt;&gt;MONTH($C$2),"",CHOOSE(WEEKDAY(($G$2+7),2),"월","화","수","목","금","토","일")&amp;CHAR(10)&amp;TEXT(($G$2+7),"m/d"))</f>
        <v>월
1/4</v>
      </c>
      <c r="P5" s="79" t="s">
        <v>91</v>
      </c>
      <c r="Q5" s="80" t="str">
        <f aca="false">IF(OR(Q$4="",MONTH(($G$2+7))&lt;&gt;MONTH($C$2)),"",IF(COUNTIFS(m_teacher,Q$4,m_date,($G$2+7),m_active,1,m_start,"&lt;"&amp;600,m_end,"&gt;"&amp;0)=0,"",IF(COUNTIFS(m_teacher,Q$4,m_date,($G$2+7),m_active,1,m_start,"&lt;"&amp;600,m_end,"&gt;"&amp;0)&gt;1,"충돌",HYPERLINK("#'관리자_MASTER'!D"&amp;_xlfn.MAXIFS(m_row,m_teacher,Q$4,m_date,($G$2+7),m_active,1,m_start,"&lt;"&amp;600,m_end,"&gt;"&amp;0),INDEX(m_label,_xlfn.MAXIFS(m_row,m_teacher,Q$4,m_date,($G$2+7),m_active,1,m_start,"&lt;"&amp;600,m_end,"&gt;"&amp;0))))))</f>
        <v/>
      </c>
      <c r="R5" s="80" t="str">
        <f aca="false">IF(OR(R$4="",MONTH(($G$2+7))&lt;&gt;MONTH($C$2)),"",IF(COUNTIFS(m_teacher,R$4,m_date,($G$2+7),m_active,1,m_start,"&lt;"&amp;600,m_end,"&gt;"&amp;0)=0,"",IF(COUNTIFS(m_teacher,R$4,m_date,($G$2+7),m_active,1,m_start,"&lt;"&amp;600,m_end,"&gt;"&amp;0)&gt;1,"충돌",HYPERLINK("#'관리자_MASTER'!D"&amp;_xlfn.MAXIFS(m_row,m_teacher,R$4,m_date,($G$2+7),m_active,1,m_start,"&lt;"&amp;600,m_end,"&gt;"&amp;0),INDEX(m_label,_xlfn.MAXIFS(m_row,m_teacher,R$4,m_date,($G$2+7),m_active,1,m_start,"&lt;"&amp;600,m_end,"&gt;"&amp;0))))))</f>
        <v/>
      </c>
      <c r="S5" s="80" t="str">
        <f aca="false">IF(OR(S$4="",MONTH(($G$2+7))&lt;&gt;MONTH($C$2)),"",IF(COUNTIFS(m_teacher,S$4,m_date,($G$2+7),m_active,1,m_start,"&lt;"&amp;600,m_end,"&gt;"&amp;0)=0,"",IF(COUNTIFS(m_teacher,S$4,m_date,($G$2+7),m_active,1,m_start,"&lt;"&amp;600,m_end,"&gt;"&amp;0)&gt;1,"충돌",HYPERLINK("#'관리자_MASTER'!D"&amp;_xlfn.MAXIFS(m_row,m_teacher,S$4,m_date,($G$2+7),m_active,1,m_start,"&lt;"&amp;600,m_end,"&gt;"&amp;0),INDEX(m_label,_xlfn.MAXIFS(m_row,m_teacher,S$4,m_date,($G$2+7),m_active,1,m_start,"&lt;"&amp;600,m_end,"&gt;"&amp;0))))))</f>
        <v/>
      </c>
      <c r="T5" s="80" t="str">
        <f aca="false">IF(OR(T$4="",MONTH(($G$2+7))&lt;&gt;MONTH($C$2)),"",IF(COUNTIFS(m_teacher,T$4,m_date,($G$2+7),m_active,1,m_start,"&lt;"&amp;600,m_end,"&gt;"&amp;0)=0,"",IF(COUNTIFS(m_teacher,T$4,m_date,($G$2+7),m_active,1,m_start,"&lt;"&amp;600,m_end,"&gt;"&amp;0)&gt;1,"충돌",HYPERLINK("#'관리자_MASTER'!D"&amp;_xlfn.MAXIFS(m_row,m_teacher,T$4,m_date,($G$2+7),m_active,1,m_start,"&lt;"&amp;600,m_end,"&gt;"&amp;0),INDEX(m_label,_xlfn.MAXIFS(m_row,m_teacher,T$4,m_date,($G$2+7),m_active,1,m_start,"&lt;"&amp;600,m_end,"&gt;"&amp;0))))))</f>
        <v/>
      </c>
      <c r="U5" s="80" t="str">
        <f aca="false">IF(OR(U$4="",MONTH(($G$2+7))&lt;&gt;MONTH($C$2)),"",IF(COUNTIFS(m_teacher,U$4,m_date,($G$2+7),m_active,1,m_start,"&lt;"&amp;600,m_end,"&gt;"&amp;0)=0,"",IF(COUNTIFS(m_teacher,U$4,m_date,($G$2+7),m_active,1,m_start,"&lt;"&amp;600,m_end,"&gt;"&amp;0)&gt;1,"충돌",HYPERLINK("#'관리자_MASTER'!D"&amp;_xlfn.MAXIFS(m_row,m_teacher,U$4,m_date,($G$2+7),m_active,1,m_start,"&lt;"&amp;600,m_end,"&gt;"&amp;0),INDEX(m_label,_xlfn.MAXIFS(m_row,m_teacher,U$4,m_date,($G$2+7),m_active,1,m_start,"&lt;"&amp;600,m_end,"&gt;"&amp;0))))))</f>
        <v/>
      </c>
      <c r="V5" s="80" t="str">
        <f aca="false">IF(OR(V$4="",MONTH(($G$2+7))&lt;&gt;MONTH($C$2)),"",IF(COUNTIFS(m_teacher,V$4,m_date,($G$2+7),m_active,1,m_start,"&lt;"&amp;600,m_end,"&gt;"&amp;0)=0,"",IF(COUNTIFS(m_teacher,V$4,m_date,($G$2+7),m_active,1,m_start,"&lt;"&amp;600,m_end,"&gt;"&amp;0)&gt;1,"충돌",HYPERLINK("#'관리자_MASTER'!D"&amp;_xlfn.MAXIFS(m_row,m_teacher,V$4,m_date,($G$2+7),m_active,1,m_start,"&lt;"&amp;600,m_end,"&gt;"&amp;0),INDEX(m_label,_xlfn.MAXIFS(m_row,m_teacher,V$4,m_date,($G$2+7),m_active,1,m_start,"&lt;"&amp;600,m_end,"&gt;"&amp;0))))))</f>
        <v/>
      </c>
      <c r="W5" s="80" t="str">
        <f aca="false">IF(OR(W$4="",MONTH(($G$2+7))&lt;&gt;MONTH($C$2)),"",IF(COUNTIFS(m_teacher,W$4,m_date,($G$2+7),m_active,1,m_start,"&lt;"&amp;600,m_end,"&gt;"&amp;0)=0,"",IF(COUNTIFS(m_teacher,W$4,m_date,($G$2+7),m_active,1,m_start,"&lt;"&amp;600,m_end,"&gt;"&amp;0)&gt;1,"충돌",HYPERLINK("#'관리자_MASTER'!D"&amp;_xlfn.MAXIFS(m_row,m_teacher,W$4,m_date,($G$2+7),m_active,1,m_start,"&lt;"&amp;600,m_end,"&gt;"&amp;0),INDEX(m_label,_xlfn.MAXIFS(m_row,m_teacher,W$4,m_date,($G$2+7),m_active,1,m_start,"&lt;"&amp;600,m_end,"&gt;"&amp;0))))))</f>
        <v/>
      </c>
      <c r="X5" s="80" t="str">
        <f aca="false">IF(OR(X$4="",MONTH(($G$2+7))&lt;&gt;MONTH($C$2)),"",IF(COUNTIFS(m_teacher,X$4,m_date,($G$2+7),m_active,1,m_start,"&lt;"&amp;600,m_end,"&gt;"&amp;0)=0,"",IF(COUNTIFS(m_teacher,X$4,m_date,($G$2+7),m_active,1,m_start,"&lt;"&amp;600,m_end,"&gt;"&amp;0)&gt;1,"충돌",HYPERLINK("#'관리자_MASTER'!D"&amp;_xlfn.MAXIFS(m_row,m_teacher,X$4,m_date,($G$2+7),m_active,1,m_start,"&lt;"&amp;600,m_end,"&gt;"&amp;0),INDEX(m_label,_xlfn.MAXIFS(m_row,m_teacher,X$4,m_date,($G$2+7),m_active,1,m_start,"&lt;"&amp;600,m_end,"&gt;"&amp;0))))))</f>
        <v/>
      </c>
      <c r="Y5" s="80" t="str">
        <f aca="false">IF(OR(Y$4="",MONTH(($G$2+7))&lt;&gt;MONTH($C$2)),"",IF(COUNTIFS(m_teacher,Y$4,m_date,($G$2+7),m_active,1,m_start,"&lt;"&amp;600,m_end,"&gt;"&amp;0)=0,"",IF(COUNTIFS(m_teacher,Y$4,m_date,($G$2+7),m_active,1,m_start,"&lt;"&amp;600,m_end,"&gt;"&amp;0)&gt;1,"충돌",HYPERLINK("#'관리자_MASTER'!D"&amp;_xlfn.MAXIFS(m_row,m_teacher,Y$4,m_date,($G$2+7),m_active,1,m_start,"&lt;"&amp;600,m_end,"&gt;"&amp;0),INDEX(m_label,_xlfn.MAXIFS(m_row,m_teacher,Y$4,m_date,($G$2+7),m_active,1,m_start,"&lt;"&amp;600,m_end,"&gt;"&amp;0))))))</f>
        <v/>
      </c>
      <c r="Z5" s="80" t="str">
        <f aca="false">IF(OR(Z$4="",MONTH(($G$2+7))&lt;&gt;MONTH($C$2)),"",IF(COUNTIFS(m_teacher,Z$4,m_date,($G$2+7),m_active,1,m_start,"&lt;"&amp;600,m_end,"&gt;"&amp;0)=0,"",IF(COUNTIFS(m_teacher,Z$4,m_date,($G$2+7),m_active,1,m_start,"&lt;"&amp;600,m_end,"&gt;"&amp;0)&gt;1,"충돌",HYPERLINK("#'관리자_MASTER'!D"&amp;_xlfn.MAXIFS(m_row,m_teacher,Z$4,m_date,($G$2+7),m_active,1,m_start,"&lt;"&amp;600,m_end,"&gt;"&amp;0),INDEX(m_label,_xlfn.MAXIFS(m_row,m_teacher,Z$4,m_date,($G$2+7),m_active,1,m_start,"&lt;"&amp;600,m_end,"&gt;"&amp;0))))))</f>
        <v/>
      </c>
      <c r="AA5" s="80" t="str">
        <f aca="false">IF(OR(AA$4="",MONTH(($G$2+7))&lt;&gt;MONTH($C$2)),"",IF(COUNTIFS(m_teacher,AA$4,m_date,($G$2+7),m_active,1,m_start,"&lt;"&amp;600,m_end,"&gt;"&amp;0)=0,"",IF(COUNTIFS(m_teacher,AA$4,m_date,($G$2+7),m_active,1,m_start,"&lt;"&amp;600,m_end,"&gt;"&amp;0)&gt;1,"충돌",HYPERLINK("#'관리자_MASTER'!D"&amp;_xlfn.MAXIFS(m_row,m_teacher,AA$4,m_date,($G$2+7),m_active,1,m_start,"&lt;"&amp;600,m_end,"&gt;"&amp;0),INDEX(m_label,_xlfn.MAXIFS(m_row,m_teacher,AA$4,m_date,($G$2+7),m_active,1,m_start,"&lt;"&amp;600,m_end,"&gt;"&amp;0))))))</f>
        <v/>
      </c>
      <c r="AB5" s="80" t="str">
        <f aca="false">IF(OR(AB$4="",MONTH(($G$2+7))&lt;&gt;MONTH($C$2)),"",IF(COUNTIFS(m_teacher,AB$4,m_date,($G$2+7),m_active,1,m_start,"&lt;"&amp;600,m_end,"&gt;"&amp;0)=0,"",IF(COUNTIFS(m_teacher,AB$4,m_date,($G$2+7),m_active,1,m_start,"&lt;"&amp;600,m_end,"&gt;"&amp;0)&gt;1,"충돌",HYPERLINK("#'관리자_MASTER'!D"&amp;_xlfn.MAXIFS(m_row,m_teacher,AB$4,m_date,($G$2+7),m_active,1,m_start,"&lt;"&amp;600,m_end,"&gt;"&amp;0),INDEX(m_label,_xlfn.MAXIFS(m_row,m_teacher,AB$4,m_date,($G$2+7),m_active,1,m_start,"&lt;"&amp;600,m_end,"&gt;"&amp;0))))))</f>
        <v/>
      </c>
      <c r="AC5" s="78" t="str">
        <f aca="false">IF(MONTH(($G$2+14))&lt;&gt;MONTH($C$2),"",CHOOSE(WEEKDAY(($G$2+14),2),"월","화","수","목","금","토","일")&amp;CHAR(10)&amp;TEXT(($G$2+14),"m/d"))</f>
        <v>월
1/11</v>
      </c>
      <c r="AD5" s="79" t="s">
        <v>91</v>
      </c>
      <c r="AE5" s="80" t="str">
        <f aca="false">IF(OR(AE$4="",MONTH(($G$2+14))&lt;&gt;MONTH($C$2)),"",IF(COUNTIFS(m_teacher,AE$4,m_date,($G$2+14),m_active,1,m_start,"&lt;"&amp;600,m_end,"&gt;"&amp;0)=0,"",IF(COUNTIFS(m_teacher,AE$4,m_date,($G$2+14),m_active,1,m_start,"&lt;"&amp;600,m_end,"&gt;"&amp;0)&gt;1,"충돌",HYPERLINK("#'관리자_MASTER'!D"&amp;_xlfn.MAXIFS(m_row,m_teacher,AE$4,m_date,($G$2+14),m_active,1,m_start,"&lt;"&amp;600,m_end,"&gt;"&amp;0),INDEX(m_label,_xlfn.MAXIFS(m_row,m_teacher,AE$4,m_date,($G$2+14),m_active,1,m_start,"&lt;"&amp;600,m_end,"&gt;"&amp;0))))))</f>
        <v/>
      </c>
      <c r="AF5" s="80" t="str">
        <f aca="false">IF(OR(AF$4="",MONTH(($G$2+14))&lt;&gt;MONTH($C$2)),"",IF(COUNTIFS(m_teacher,AF$4,m_date,($G$2+14),m_active,1,m_start,"&lt;"&amp;600,m_end,"&gt;"&amp;0)=0,"",IF(COUNTIFS(m_teacher,AF$4,m_date,($G$2+14),m_active,1,m_start,"&lt;"&amp;600,m_end,"&gt;"&amp;0)&gt;1,"충돌",HYPERLINK("#'관리자_MASTER'!D"&amp;_xlfn.MAXIFS(m_row,m_teacher,AF$4,m_date,($G$2+14),m_active,1,m_start,"&lt;"&amp;600,m_end,"&gt;"&amp;0),INDEX(m_label,_xlfn.MAXIFS(m_row,m_teacher,AF$4,m_date,($G$2+14),m_active,1,m_start,"&lt;"&amp;600,m_end,"&gt;"&amp;0))))))</f>
        <v/>
      </c>
      <c r="AG5" s="80" t="str">
        <f aca="false">IF(OR(AG$4="",MONTH(($G$2+14))&lt;&gt;MONTH($C$2)),"",IF(COUNTIFS(m_teacher,AG$4,m_date,($G$2+14),m_active,1,m_start,"&lt;"&amp;600,m_end,"&gt;"&amp;0)=0,"",IF(COUNTIFS(m_teacher,AG$4,m_date,($G$2+14),m_active,1,m_start,"&lt;"&amp;600,m_end,"&gt;"&amp;0)&gt;1,"충돌",HYPERLINK("#'관리자_MASTER'!D"&amp;_xlfn.MAXIFS(m_row,m_teacher,AG$4,m_date,($G$2+14),m_active,1,m_start,"&lt;"&amp;600,m_end,"&gt;"&amp;0),INDEX(m_label,_xlfn.MAXIFS(m_row,m_teacher,AG$4,m_date,($G$2+14),m_active,1,m_start,"&lt;"&amp;600,m_end,"&gt;"&amp;0))))))</f>
        <v/>
      </c>
      <c r="AH5" s="80" t="str">
        <f aca="false">IF(OR(AH$4="",MONTH(($G$2+14))&lt;&gt;MONTH($C$2)),"",IF(COUNTIFS(m_teacher,AH$4,m_date,($G$2+14),m_active,1,m_start,"&lt;"&amp;600,m_end,"&gt;"&amp;0)=0,"",IF(COUNTIFS(m_teacher,AH$4,m_date,($G$2+14),m_active,1,m_start,"&lt;"&amp;600,m_end,"&gt;"&amp;0)&gt;1,"충돌",HYPERLINK("#'관리자_MASTER'!D"&amp;_xlfn.MAXIFS(m_row,m_teacher,AH$4,m_date,($G$2+14),m_active,1,m_start,"&lt;"&amp;600,m_end,"&gt;"&amp;0),INDEX(m_label,_xlfn.MAXIFS(m_row,m_teacher,AH$4,m_date,($G$2+14),m_active,1,m_start,"&lt;"&amp;600,m_end,"&gt;"&amp;0))))))</f>
        <v/>
      </c>
      <c r="AI5" s="80" t="str">
        <f aca="false">IF(OR(AI$4="",MONTH(($G$2+14))&lt;&gt;MONTH($C$2)),"",IF(COUNTIFS(m_teacher,AI$4,m_date,($G$2+14),m_active,1,m_start,"&lt;"&amp;600,m_end,"&gt;"&amp;0)=0,"",IF(COUNTIFS(m_teacher,AI$4,m_date,($G$2+14),m_active,1,m_start,"&lt;"&amp;600,m_end,"&gt;"&amp;0)&gt;1,"충돌",HYPERLINK("#'관리자_MASTER'!D"&amp;_xlfn.MAXIFS(m_row,m_teacher,AI$4,m_date,($G$2+14),m_active,1,m_start,"&lt;"&amp;600,m_end,"&gt;"&amp;0),INDEX(m_label,_xlfn.MAXIFS(m_row,m_teacher,AI$4,m_date,($G$2+14),m_active,1,m_start,"&lt;"&amp;600,m_end,"&gt;"&amp;0))))))</f>
        <v/>
      </c>
      <c r="AJ5" s="80" t="str">
        <f aca="false">IF(OR(AJ$4="",MONTH(($G$2+14))&lt;&gt;MONTH($C$2)),"",IF(COUNTIFS(m_teacher,AJ$4,m_date,($G$2+14),m_active,1,m_start,"&lt;"&amp;600,m_end,"&gt;"&amp;0)=0,"",IF(COUNTIFS(m_teacher,AJ$4,m_date,($G$2+14),m_active,1,m_start,"&lt;"&amp;600,m_end,"&gt;"&amp;0)&gt;1,"충돌",HYPERLINK("#'관리자_MASTER'!D"&amp;_xlfn.MAXIFS(m_row,m_teacher,AJ$4,m_date,($G$2+14),m_active,1,m_start,"&lt;"&amp;600,m_end,"&gt;"&amp;0),INDEX(m_label,_xlfn.MAXIFS(m_row,m_teacher,AJ$4,m_date,($G$2+14),m_active,1,m_start,"&lt;"&amp;600,m_end,"&gt;"&amp;0))))))</f>
        <v/>
      </c>
      <c r="AK5" s="80" t="str">
        <f aca="false">IF(OR(AK$4="",MONTH(($G$2+14))&lt;&gt;MONTH($C$2)),"",IF(COUNTIFS(m_teacher,AK$4,m_date,($G$2+14),m_active,1,m_start,"&lt;"&amp;600,m_end,"&gt;"&amp;0)=0,"",IF(COUNTIFS(m_teacher,AK$4,m_date,($G$2+14),m_active,1,m_start,"&lt;"&amp;600,m_end,"&gt;"&amp;0)&gt;1,"충돌",HYPERLINK("#'관리자_MASTER'!D"&amp;_xlfn.MAXIFS(m_row,m_teacher,AK$4,m_date,($G$2+14),m_active,1,m_start,"&lt;"&amp;600,m_end,"&gt;"&amp;0),INDEX(m_label,_xlfn.MAXIFS(m_row,m_teacher,AK$4,m_date,($G$2+14),m_active,1,m_start,"&lt;"&amp;600,m_end,"&gt;"&amp;0))))))</f>
        <v/>
      </c>
      <c r="AL5" s="80" t="str">
        <f aca="false">IF(OR(AL$4="",MONTH(($G$2+14))&lt;&gt;MONTH($C$2)),"",IF(COUNTIFS(m_teacher,AL$4,m_date,($G$2+14),m_active,1,m_start,"&lt;"&amp;600,m_end,"&gt;"&amp;0)=0,"",IF(COUNTIFS(m_teacher,AL$4,m_date,($G$2+14),m_active,1,m_start,"&lt;"&amp;600,m_end,"&gt;"&amp;0)&gt;1,"충돌",HYPERLINK("#'관리자_MASTER'!D"&amp;_xlfn.MAXIFS(m_row,m_teacher,AL$4,m_date,($G$2+14),m_active,1,m_start,"&lt;"&amp;600,m_end,"&gt;"&amp;0),INDEX(m_label,_xlfn.MAXIFS(m_row,m_teacher,AL$4,m_date,($G$2+14),m_active,1,m_start,"&lt;"&amp;600,m_end,"&gt;"&amp;0))))))</f>
        <v/>
      </c>
      <c r="AM5" s="80" t="str">
        <f aca="false">IF(OR(AM$4="",MONTH(($G$2+14))&lt;&gt;MONTH($C$2)),"",IF(COUNTIFS(m_teacher,AM$4,m_date,($G$2+14),m_active,1,m_start,"&lt;"&amp;600,m_end,"&gt;"&amp;0)=0,"",IF(COUNTIFS(m_teacher,AM$4,m_date,($G$2+14),m_active,1,m_start,"&lt;"&amp;600,m_end,"&gt;"&amp;0)&gt;1,"충돌",HYPERLINK("#'관리자_MASTER'!D"&amp;_xlfn.MAXIFS(m_row,m_teacher,AM$4,m_date,($G$2+14),m_active,1,m_start,"&lt;"&amp;600,m_end,"&gt;"&amp;0),INDEX(m_label,_xlfn.MAXIFS(m_row,m_teacher,AM$4,m_date,($G$2+14),m_active,1,m_start,"&lt;"&amp;600,m_end,"&gt;"&amp;0))))))</f>
        <v/>
      </c>
      <c r="AN5" s="80" t="str">
        <f aca="false">IF(OR(AN$4="",MONTH(($G$2+14))&lt;&gt;MONTH($C$2)),"",IF(COUNTIFS(m_teacher,AN$4,m_date,($G$2+14),m_active,1,m_start,"&lt;"&amp;600,m_end,"&gt;"&amp;0)=0,"",IF(COUNTIFS(m_teacher,AN$4,m_date,($G$2+14),m_active,1,m_start,"&lt;"&amp;600,m_end,"&gt;"&amp;0)&gt;1,"충돌",HYPERLINK("#'관리자_MASTER'!D"&amp;_xlfn.MAXIFS(m_row,m_teacher,AN$4,m_date,($G$2+14),m_active,1,m_start,"&lt;"&amp;600,m_end,"&gt;"&amp;0),INDEX(m_label,_xlfn.MAXIFS(m_row,m_teacher,AN$4,m_date,($G$2+14),m_active,1,m_start,"&lt;"&amp;600,m_end,"&gt;"&amp;0))))))</f>
        <v/>
      </c>
      <c r="AO5" s="80" t="str">
        <f aca="false">IF(OR(AO$4="",MONTH(($G$2+14))&lt;&gt;MONTH($C$2)),"",IF(COUNTIFS(m_teacher,AO$4,m_date,($G$2+14),m_active,1,m_start,"&lt;"&amp;600,m_end,"&gt;"&amp;0)=0,"",IF(COUNTIFS(m_teacher,AO$4,m_date,($G$2+14),m_active,1,m_start,"&lt;"&amp;600,m_end,"&gt;"&amp;0)&gt;1,"충돌",HYPERLINK("#'관리자_MASTER'!D"&amp;_xlfn.MAXIFS(m_row,m_teacher,AO$4,m_date,($G$2+14),m_active,1,m_start,"&lt;"&amp;600,m_end,"&gt;"&amp;0),INDEX(m_label,_xlfn.MAXIFS(m_row,m_teacher,AO$4,m_date,($G$2+14),m_active,1,m_start,"&lt;"&amp;600,m_end,"&gt;"&amp;0))))))</f>
        <v/>
      </c>
      <c r="AP5" s="80" t="str">
        <f aca="false">IF(OR(AP$4="",MONTH(($G$2+14))&lt;&gt;MONTH($C$2)),"",IF(COUNTIFS(m_teacher,AP$4,m_date,($G$2+14),m_active,1,m_start,"&lt;"&amp;600,m_end,"&gt;"&amp;0)=0,"",IF(COUNTIFS(m_teacher,AP$4,m_date,($G$2+14),m_active,1,m_start,"&lt;"&amp;600,m_end,"&gt;"&amp;0)&gt;1,"충돌",HYPERLINK("#'관리자_MASTER'!D"&amp;_xlfn.MAXIFS(m_row,m_teacher,AP$4,m_date,($G$2+14),m_active,1,m_start,"&lt;"&amp;600,m_end,"&gt;"&amp;0),INDEX(m_label,_xlfn.MAXIFS(m_row,m_teacher,AP$4,m_date,($G$2+14),m_active,1,m_start,"&lt;"&amp;600,m_end,"&gt;"&amp;0))))))</f>
        <v/>
      </c>
      <c r="AQ5" s="78" t="str">
        <f aca="false">IF(MONTH(($G$2+21))&lt;&gt;MONTH($C$2),"",CHOOSE(WEEKDAY(($G$2+21),2),"월","화","수","목","금","토","일")&amp;CHAR(10)&amp;TEXT(($G$2+21),"m/d"))</f>
        <v>월
1/18</v>
      </c>
      <c r="AR5" s="79" t="s">
        <v>91</v>
      </c>
      <c r="AS5" s="80" t="str">
        <f aca="false">IF(OR(AS$4="",MONTH(($G$2+21))&lt;&gt;MONTH($C$2)),"",IF(COUNTIFS(m_teacher,AS$4,m_date,($G$2+21),m_active,1,m_start,"&lt;"&amp;600,m_end,"&gt;"&amp;0)=0,"",IF(COUNTIFS(m_teacher,AS$4,m_date,($G$2+21),m_active,1,m_start,"&lt;"&amp;600,m_end,"&gt;"&amp;0)&gt;1,"충돌",HYPERLINK("#'관리자_MASTER'!D"&amp;_xlfn.MAXIFS(m_row,m_teacher,AS$4,m_date,($G$2+21),m_active,1,m_start,"&lt;"&amp;600,m_end,"&gt;"&amp;0),INDEX(m_label,_xlfn.MAXIFS(m_row,m_teacher,AS$4,m_date,($G$2+21),m_active,1,m_start,"&lt;"&amp;600,m_end,"&gt;"&amp;0))))))</f>
        <v/>
      </c>
      <c r="AT5" s="80" t="str">
        <f aca="false">IF(OR(AT$4="",MONTH(($G$2+21))&lt;&gt;MONTH($C$2)),"",IF(COUNTIFS(m_teacher,AT$4,m_date,($G$2+21),m_active,1,m_start,"&lt;"&amp;600,m_end,"&gt;"&amp;0)=0,"",IF(COUNTIFS(m_teacher,AT$4,m_date,($G$2+21),m_active,1,m_start,"&lt;"&amp;600,m_end,"&gt;"&amp;0)&gt;1,"충돌",HYPERLINK("#'관리자_MASTER'!D"&amp;_xlfn.MAXIFS(m_row,m_teacher,AT$4,m_date,($G$2+21),m_active,1,m_start,"&lt;"&amp;600,m_end,"&gt;"&amp;0),INDEX(m_label,_xlfn.MAXIFS(m_row,m_teacher,AT$4,m_date,($G$2+21),m_active,1,m_start,"&lt;"&amp;600,m_end,"&gt;"&amp;0))))))</f>
        <v/>
      </c>
      <c r="AU5" s="80" t="str">
        <f aca="false">IF(OR(AU$4="",MONTH(($G$2+21))&lt;&gt;MONTH($C$2)),"",IF(COUNTIFS(m_teacher,AU$4,m_date,($G$2+21),m_active,1,m_start,"&lt;"&amp;600,m_end,"&gt;"&amp;0)=0,"",IF(COUNTIFS(m_teacher,AU$4,m_date,($G$2+21),m_active,1,m_start,"&lt;"&amp;600,m_end,"&gt;"&amp;0)&gt;1,"충돌",HYPERLINK("#'관리자_MASTER'!D"&amp;_xlfn.MAXIFS(m_row,m_teacher,AU$4,m_date,($G$2+21),m_active,1,m_start,"&lt;"&amp;600,m_end,"&gt;"&amp;0),INDEX(m_label,_xlfn.MAXIFS(m_row,m_teacher,AU$4,m_date,($G$2+21),m_active,1,m_start,"&lt;"&amp;600,m_end,"&gt;"&amp;0))))))</f>
        <v/>
      </c>
      <c r="AV5" s="80" t="str">
        <f aca="false">IF(OR(AV$4="",MONTH(($G$2+21))&lt;&gt;MONTH($C$2)),"",IF(COUNTIFS(m_teacher,AV$4,m_date,($G$2+21),m_active,1,m_start,"&lt;"&amp;600,m_end,"&gt;"&amp;0)=0,"",IF(COUNTIFS(m_teacher,AV$4,m_date,($G$2+21),m_active,1,m_start,"&lt;"&amp;600,m_end,"&gt;"&amp;0)&gt;1,"충돌",HYPERLINK("#'관리자_MASTER'!D"&amp;_xlfn.MAXIFS(m_row,m_teacher,AV$4,m_date,($G$2+21),m_active,1,m_start,"&lt;"&amp;600,m_end,"&gt;"&amp;0),INDEX(m_label,_xlfn.MAXIFS(m_row,m_teacher,AV$4,m_date,($G$2+21),m_active,1,m_start,"&lt;"&amp;600,m_end,"&gt;"&amp;0))))))</f>
        <v/>
      </c>
      <c r="AW5" s="80" t="str">
        <f aca="false">IF(OR(AW$4="",MONTH(($G$2+21))&lt;&gt;MONTH($C$2)),"",IF(COUNTIFS(m_teacher,AW$4,m_date,($G$2+21),m_active,1,m_start,"&lt;"&amp;600,m_end,"&gt;"&amp;0)=0,"",IF(COUNTIFS(m_teacher,AW$4,m_date,($G$2+21),m_active,1,m_start,"&lt;"&amp;600,m_end,"&gt;"&amp;0)&gt;1,"충돌",HYPERLINK("#'관리자_MASTER'!D"&amp;_xlfn.MAXIFS(m_row,m_teacher,AW$4,m_date,($G$2+21),m_active,1,m_start,"&lt;"&amp;600,m_end,"&gt;"&amp;0),INDEX(m_label,_xlfn.MAXIFS(m_row,m_teacher,AW$4,m_date,($G$2+21),m_active,1,m_start,"&lt;"&amp;600,m_end,"&gt;"&amp;0))))))</f>
        <v/>
      </c>
      <c r="AX5" s="80" t="str">
        <f aca="false">IF(OR(AX$4="",MONTH(($G$2+21))&lt;&gt;MONTH($C$2)),"",IF(COUNTIFS(m_teacher,AX$4,m_date,($G$2+21),m_active,1,m_start,"&lt;"&amp;600,m_end,"&gt;"&amp;0)=0,"",IF(COUNTIFS(m_teacher,AX$4,m_date,($G$2+21),m_active,1,m_start,"&lt;"&amp;600,m_end,"&gt;"&amp;0)&gt;1,"충돌",HYPERLINK("#'관리자_MASTER'!D"&amp;_xlfn.MAXIFS(m_row,m_teacher,AX$4,m_date,($G$2+21),m_active,1,m_start,"&lt;"&amp;600,m_end,"&gt;"&amp;0),INDEX(m_label,_xlfn.MAXIFS(m_row,m_teacher,AX$4,m_date,($G$2+21),m_active,1,m_start,"&lt;"&amp;600,m_end,"&gt;"&amp;0))))))</f>
        <v/>
      </c>
      <c r="AY5" s="80" t="str">
        <f aca="false">IF(OR(AY$4="",MONTH(($G$2+21))&lt;&gt;MONTH($C$2)),"",IF(COUNTIFS(m_teacher,AY$4,m_date,($G$2+21),m_active,1,m_start,"&lt;"&amp;600,m_end,"&gt;"&amp;0)=0,"",IF(COUNTIFS(m_teacher,AY$4,m_date,($G$2+21),m_active,1,m_start,"&lt;"&amp;600,m_end,"&gt;"&amp;0)&gt;1,"충돌",HYPERLINK("#'관리자_MASTER'!D"&amp;_xlfn.MAXIFS(m_row,m_teacher,AY$4,m_date,($G$2+21),m_active,1,m_start,"&lt;"&amp;600,m_end,"&gt;"&amp;0),INDEX(m_label,_xlfn.MAXIFS(m_row,m_teacher,AY$4,m_date,($G$2+21),m_active,1,m_start,"&lt;"&amp;600,m_end,"&gt;"&amp;0))))))</f>
        <v/>
      </c>
      <c r="AZ5" s="80" t="str">
        <f aca="false">IF(OR(AZ$4="",MONTH(($G$2+21))&lt;&gt;MONTH($C$2)),"",IF(COUNTIFS(m_teacher,AZ$4,m_date,($G$2+21),m_active,1,m_start,"&lt;"&amp;600,m_end,"&gt;"&amp;0)=0,"",IF(COUNTIFS(m_teacher,AZ$4,m_date,($G$2+21),m_active,1,m_start,"&lt;"&amp;600,m_end,"&gt;"&amp;0)&gt;1,"충돌",HYPERLINK("#'관리자_MASTER'!D"&amp;_xlfn.MAXIFS(m_row,m_teacher,AZ$4,m_date,($G$2+21),m_active,1,m_start,"&lt;"&amp;600,m_end,"&gt;"&amp;0),INDEX(m_label,_xlfn.MAXIFS(m_row,m_teacher,AZ$4,m_date,($G$2+21),m_active,1,m_start,"&lt;"&amp;600,m_end,"&gt;"&amp;0))))))</f>
        <v/>
      </c>
      <c r="BA5" s="80" t="str">
        <f aca="false">IF(OR(BA$4="",MONTH(($G$2+21))&lt;&gt;MONTH($C$2)),"",IF(COUNTIFS(m_teacher,BA$4,m_date,($G$2+21),m_active,1,m_start,"&lt;"&amp;600,m_end,"&gt;"&amp;0)=0,"",IF(COUNTIFS(m_teacher,BA$4,m_date,($G$2+21),m_active,1,m_start,"&lt;"&amp;600,m_end,"&gt;"&amp;0)&gt;1,"충돌",HYPERLINK("#'관리자_MASTER'!D"&amp;_xlfn.MAXIFS(m_row,m_teacher,BA$4,m_date,($G$2+21),m_active,1,m_start,"&lt;"&amp;600,m_end,"&gt;"&amp;0),INDEX(m_label,_xlfn.MAXIFS(m_row,m_teacher,BA$4,m_date,($G$2+21),m_active,1,m_start,"&lt;"&amp;600,m_end,"&gt;"&amp;0))))))</f>
        <v/>
      </c>
      <c r="BB5" s="80" t="str">
        <f aca="false">IF(OR(BB$4="",MONTH(($G$2+21))&lt;&gt;MONTH($C$2)),"",IF(COUNTIFS(m_teacher,BB$4,m_date,($G$2+21),m_active,1,m_start,"&lt;"&amp;600,m_end,"&gt;"&amp;0)=0,"",IF(COUNTIFS(m_teacher,BB$4,m_date,($G$2+21),m_active,1,m_start,"&lt;"&amp;600,m_end,"&gt;"&amp;0)&gt;1,"충돌",HYPERLINK("#'관리자_MASTER'!D"&amp;_xlfn.MAXIFS(m_row,m_teacher,BB$4,m_date,($G$2+21),m_active,1,m_start,"&lt;"&amp;600,m_end,"&gt;"&amp;0),INDEX(m_label,_xlfn.MAXIFS(m_row,m_teacher,BB$4,m_date,($G$2+21),m_active,1,m_start,"&lt;"&amp;600,m_end,"&gt;"&amp;0))))))</f>
        <v/>
      </c>
      <c r="BC5" s="80" t="str">
        <f aca="false">IF(OR(BC$4="",MONTH(($G$2+21))&lt;&gt;MONTH($C$2)),"",IF(COUNTIFS(m_teacher,BC$4,m_date,($G$2+21),m_active,1,m_start,"&lt;"&amp;600,m_end,"&gt;"&amp;0)=0,"",IF(COUNTIFS(m_teacher,BC$4,m_date,($G$2+21),m_active,1,m_start,"&lt;"&amp;600,m_end,"&gt;"&amp;0)&gt;1,"충돌",HYPERLINK("#'관리자_MASTER'!D"&amp;_xlfn.MAXIFS(m_row,m_teacher,BC$4,m_date,($G$2+21),m_active,1,m_start,"&lt;"&amp;600,m_end,"&gt;"&amp;0),INDEX(m_label,_xlfn.MAXIFS(m_row,m_teacher,BC$4,m_date,($G$2+21),m_active,1,m_start,"&lt;"&amp;600,m_end,"&gt;"&amp;0))))))</f>
        <v/>
      </c>
      <c r="BD5" s="80" t="str">
        <f aca="false">IF(OR(BD$4="",MONTH(($G$2+21))&lt;&gt;MONTH($C$2)),"",IF(COUNTIFS(m_teacher,BD$4,m_date,($G$2+21),m_active,1,m_start,"&lt;"&amp;600,m_end,"&gt;"&amp;0)=0,"",IF(COUNTIFS(m_teacher,BD$4,m_date,($G$2+21),m_active,1,m_start,"&lt;"&amp;600,m_end,"&gt;"&amp;0)&gt;1,"충돌",HYPERLINK("#'관리자_MASTER'!D"&amp;_xlfn.MAXIFS(m_row,m_teacher,BD$4,m_date,($G$2+21),m_active,1,m_start,"&lt;"&amp;600,m_end,"&gt;"&amp;0),INDEX(m_label,_xlfn.MAXIFS(m_row,m_teacher,BD$4,m_date,($G$2+21),m_active,1,m_start,"&lt;"&amp;600,m_end,"&gt;"&amp;0))))))</f>
        <v/>
      </c>
      <c r="BE5" s="78" t="str">
        <f aca="false">IF(MONTH(($G$2+28))&lt;&gt;MONTH($C$2),"",CHOOSE(WEEKDAY(($G$2+28),2),"월","화","수","목","금","토","일")&amp;CHAR(10)&amp;TEXT(($G$2+28),"m/d"))</f>
        <v>월
1/25</v>
      </c>
      <c r="BF5" s="79" t="s">
        <v>91</v>
      </c>
      <c r="BG5" s="80" t="str">
        <f aca="false">IF(OR(BG$4="",MONTH(($G$2+28))&lt;&gt;MONTH($C$2)),"",IF(COUNTIFS(m_teacher,BG$4,m_date,($G$2+28),m_active,1,m_start,"&lt;"&amp;600,m_end,"&gt;"&amp;0)=0,"",IF(COUNTIFS(m_teacher,BG$4,m_date,($G$2+28),m_active,1,m_start,"&lt;"&amp;600,m_end,"&gt;"&amp;0)&gt;1,"충돌",HYPERLINK("#'관리자_MASTER'!D"&amp;_xlfn.MAXIFS(m_row,m_teacher,BG$4,m_date,($G$2+28),m_active,1,m_start,"&lt;"&amp;600,m_end,"&gt;"&amp;0),INDEX(m_label,_xlfn.MAXIFS(m_row,m_teacher,BG$4,m_date,($G$2+28),m_active,1,m_start,"&lt;"&amp;600,m_end,"&gt;"&amp;0))))))</f>
        <v/>
      </c>
      <c r="BH5" s="80" t="str">
        <f aca="false">IF(OR(BH$4="",MONTH(($G$2+28))&lt;&gt;MONTH($C$2)),"",IF(COUNTIFS(m_teacher,BH$4,m_date,($G$2+28),m_active,1,m_start,"&lt;"&amp;600,m_end,"&gt;"&amp;0)=0,"",IF(COUNTIFS(m_teacher,BH$4,m_date,($G$2+28),m_active,1,m_start,"&lt;"&amp;600,m_end,"&gt;"&amp;0)&gt;1,"충돌",HYPERLINK("#'관리자_MASTER'!D"&amp;_xlfn.MAXIFS(m_row,m_teacher,BH$4,m_date,($G$2+28),m_active,1,m_start,"&lt;"&amp;600,m_end,"&gt;"&amp;0),INDEX(m_label,_xlfn.MAXIFS(m_row,m_teacher,BH$4,m_date,($G$2+28),m_active,1,m_start,"&lt;"&amp;600,m_end,"&gt;"&amp;0))))))</f>
        <v/>
      </c>
      <c r="BI5" s="80" t="str">
        <f aca="false">IF(OR(BI$4="",MONTH(($G$2+28))&lt;&gt;MONTH($C$2)),"",IF(COUNTIFS(m_teacher,BI$4,m_date,($G$2+28),m_active,1,m_start,"&lt;"&amp;600,m_end,"&gt;"&amp;0)=0,"",IF(COUNTIFS(m_teacher,BI$4,m_date,($G$2+28),m_active,1,m_start,"&lt;"&amp;600,m_end,"&gt;"&amp;0)&gt;1,"충돌",HYPERLINK("#'관리자_MASTER'!D"&amp;_xlfn.MAXIFS(m_row,m_teacher,BI$4,m_date,($G$2+28),m_active,1,m_start,"&lt;"&amp;600,m_end,"&gt;"&amp;0),INDEX(m_label,_xlfn.MAXIFS(m_row,m_teacher,BI$4,m_date,($G$2+28),m_active,1,m_start,"&lt;"&amp;600,m_end,"&gt;"&amp;0))))))</f>
        <v/>
      </c>
      <c r="BJ5" s="80" t="str">
        <f aca="false">IF(OR(BJ$4="",MONTH(($G$2+28))&lt;&gt;MONTH($C$2)),"",IF(COUNTIFS(m_teacher,BJ$4,m_date,($G$2+28),m_active,1,m_start,"&lt;"&amp;600,m_end,"&gt;"&amp;0)=0,"",IF(COUNTIFS(m_teacher,BJ$4,m_date,($G$2+28),m_active,1,m_start,"&lt;"&amp;600,m_end,"&gt;"&amp;0)&gt;1,"충돌",HYPERLINK("#'관리자_MASTER'!D"&amp;_xlfn.MAXIFS(m_row,m_teacher,BJ$4,m_date,($G$2+28),m_active,1,m_start,"&lt;"&amp;600,m_end,"&gt;"&amp;0),INDEX(m_label,_xlfn.MAXIFS(m_row,m_teacher,BJ$4,m_date,($G$2+28),m_active,1,m_start,"&lt;"&amp;600,m_end,"&gt;"&amp;0))))))</f>
        <v/>
      </c>
      <c r="BK5" s="80" t="str">
        <f aca="false">IF(OR(BK$4="",MONTH(($G$2+28))&lt;&gt;MONTH($C$2)),"",IF(COUNTIFS(m_teacher,BK$4,m_date,($G$2+28),m_active,1,m_start,"&lt;"&amp;600,m_end,"&gt;"&amp;0)=0,"",IF(COUNTIFS(m_teacher,BK$4,m_date,($G$2+28),m_active,1,m_start,"&lt;"&amp;600,m_end,"&gt;"&amp;0)&gt;1,"충돌",HYPERLINK("#'관리자_MASTER'!D"&amp;_xlfn.MAXIFS(m_row,m_teacher,BK$4,m_date,($G$2+28),m_active,1,m_start,"&lt;"&amp;600,m_end,"&gt;"&amp;0),INDEX(m_label,_xlfn.MAXIFS(m_row,m_teacher,BK$4,m_date,($G$2+28),m_active,1,m_start,"&lt;"&amp;600,m_end,"&gt;"&amp;0))))))</f>
        <v/>
      </c>
      <c r="BL5" s="80" t="str">
        <f aca="false">IF(OR(BL$4="",MONTH(($G$2+28))&lt;&gt;MONTH($C$2)),"",IF(COUNTIFS(m_teacher,BL$4,m_date,($G$2+28),m_active,1,m_start,"&lt;"&amp;600,m_end,"&gt;"&amp;0)=0,"",IF(COUNTIFS(m_teacher,BL$4,m_date,($G$2+28),m_active,1,m_start,"&lt;"&amp;600,m_end,"&gt;"&amp;0)&gt;1,"충돌",HYPERLINK("#'관리자_MASTER'!D"&amp;_xlfn.MAXIFS(m_row,m_teacher,BL$4,m_date,($G$2+28),m_active,1,m_start,"&lt;"&amp;600,m_end,"&gt;"&amp;0),INDEX(m_label,_xlfn.MAXIFS(m_row,m_teacher,BL$4,m_date,($G$2+28),m_active,1,m_start,"&lt;"&amp;600,m_end,"&gt;"&amp;0))))))</f>
        <v/>
      </c>
      <c r="BM5" s="80" t="str">
        <f aca="false">IF(OR(BM$4="",MONTH(($G$2+28))&lt;&gt;MONTH($C$2)),"",IF(COUNTIFS(m_teacher,BM$4,m_date,($G$2+28),m_active,1,m_start,"&lt;"&amp;600,m_end,"&gt;"&amp;0)=0,"",IF(COUNTIFS(m_teacher,BM$4,m_date,($G$2+28),m_active,1,m_start,"&lt;"&amp;600,m_end,"&gt;"&amp;0)&gt;1,"충돌",HYPERLINK("#'관리자_MASTER'!D"&amp;_xlfn.MAXIFS(m_row,m_teacher,BM$4,m_date,($G$2+28),m_active,1,m_start,"&lt;"&amp;600,m_end,"&gt;"&amp;0),INDEX(m_label,_xlfn.MAXIFS(m_row,m_teacher,BM$4,m_date,($G$2+28),m_active,1,m_start,"&lt;"&amp;600,m_end,"&gt;"&amp;0))))))</f>
        <v/>
      </c>
      <c r="BN5" s="80" t="str">
        <f aca="false">IF(OR(BN$4="",MONTH(($G$2+28))&lt;&gt;MONTH($C$2)),"",IF(COUNTIFS(m_teacher,BN$4,m_date,($G$2+28),m_active,1,m_start,"&lt;"&amp;600,m_end,"&gt;"&amp;0)=0,"",IF(COUNTIFS(m_teacher,BN$4,m_date,($G$2+28),m_active,1,m_start,"&lt;"&amp;600,m_end,"&gt;"&amp;0)&gt;1,"충돌",HYPERLINK("#'관리자_MASTER'!D"&amp;_xlfn.MAXIFS(m_row,m_teacher,BN$4,m_date,($G$2+28),m_active,1,m_start,"&lt;"&amp;600,m_end,"&gt;"&amp;0),INDEX(m_label,_xlfn.MAXIFS(m_row,m_teacher,BN$4,m_date,($G$2+28),m_active,1,m_start,"&lt;"&amp;600,m_end,"&gt;"&amp;0))))))</f>
        <v/>
      </c>
      <c r="BO5" s="80" t="str">
        <f aca="false">IF(OR(BO$4="",MONTH(($G$2+28))&lt;&gt;MONTH($C$2)),"",IF(COUNTIFS(m_teacher,BO$4,m_date,($G$2+28),m_active,1,m_start,"&lt;"&amp;600,m_end,"&gt;"&amp;0)=0,"",IF(COUNTIFS(m_teacher,BO$4,m_date,($G$2+28),m_active,1,m_start,"&lt;"&amp;600,m_end,"&gt;"&amp;0)&gt;1,"충돌",HYPERLINK("#'관리자_MASTER'!D"&amp;_xlfn.MAXIFS(m_row,m_teacher,BO$4,m_date,($G$2+28),m_active,1,m_start,"&lt;"&amp;600,m_end,"&gt;"&amp;0),INDEX(m_label,_xlfn.MAXIFS(m_row,m_teacher,BO$4,m_date,($G$2+28),m_active,1,m_start,"&lt;"&amp;600,m_end,"&gt;"&amp;0))))))</f>
        <v/>
      </c>
      <c r="BP5" s="80" t="str">
        <f aca="false">IF(OR(BP$4="",MONTH(($G$2+28))&lt;&gt;MONTH($C$2)),"",IF(COUNTIFS(m_teacher,BP$4,m_date,($G$2+28),m_active,1,m_start,"&lt;"&amp;600,m_end,"&gt;"&amp;0)=0,"",IF(COUNTIFS(m_teacher,BP$4,m_date,($G$2+28),m_active,1,m_start,"&lt;"&amp;600,m_end,"&gt;"&amp;0)&gt;1,"충돌",HYPERLINK("#'관리자_MASTER'!D"&amp;_xlfn.MAXIFS(m_row,m_teacher,BP$4,m_date,($G$2+28),m_active,1,m_start,"&lt;"&amp;600,m_end,"&gt;"&amp;0),INDEX(m_label,_xlfn.MAXIFS(m_row,m_teacher,BP$4,m_date,($G$2+28),m_active,1,m_start,"&lt;"&amp;600,m_end,"&gt;"&amp;0))))))</f>
        <v/>
      </c>
      <c r="BQ5" s="80" t="str">
        <f aca="false">IF(OR(BQ$4="",MONTH(($G$2+28))&lt;&gt;MONTH($C$2)),"",IF(COUNTIFS(m_teacher,BQ$4,m_date,($G$2+28),m_active,1,m_start,"&lt;"&amp;600,m_end,"&gt;"&amp;0)=0,"",IF(COUNTIFS(m_teacher,BQ$4,m_date,($G$2+28),m_active,1,m_start,"&lt;"&amp;600,m_end,"&gt;"&amp;0)&gt;1,"충돌",HYPERLINK("#'관리자_MASTER'!D"&amp;_xlfn.MAXIFS(m_row,m_teacher,BQ$4,m_date,($G$2+28),m_active,1,m_start,"&lt;"&amp;600,m_end,"&gt;"&amp;0),INDEX(m_label,_xlfn.MAXIFS(m_row,m_teacher,BQ$4,m_date,($G$2+28),m_active,1,m_start,"&lt;"&amp;600,m_end,"&gt;"&amp;0))))))</f>
        <v/>
      </c>
      <c r="BR5" s="80" t="str">
        <f aca="false">IF(OR(BR$4="",MONTH(($G$2+28))&lt;&gt;MONTH($C$2)),"",IF(COUNTIFS(m_teacher,BR$4,m_date,($G$2+28),m_active,1,m_start,"&lt;"&amp;600,m_end,"&gt;"&amp;0)=0,"",IF(COUNTIFS(m_teacher,BR$4,m_date,($G$2+28),m_active,1,m_start,"&lt;"&amp;600,m_end,"&gt;"&amp;0)&gt;1,"충돌",HYPERLINK("#'관리자_MASTER'!D"&amp;_xlfn.MAXIFS(m_row,m_teacher,BR$4,m_date,($G$2+28),m_active,1,m_start,"&lt;"&amp;600,m_end,"&gt;"&amp;0),INDEX(m_label,_xlfn.MAXIFS(m_row,m_teacher,BR$4,m_date,($G$2+28),m_active,1,m_start,"&lt;"&amp;600,m_end,"&gt;"&amp;0))))))</f>
        <v/>
      </c>
    </row>
    <row r="6" customFormat="false" ht="19.5" hidden="false" customHeight="true" outlineLevel="0" collapsed="false">
      <c r="A6" s="75"/>
      <c r="B6" s="76" t="s">
        <v>92</v>
      </c>
      <c r="C6" s="81" t="str">
        <f aca="false">IF(OR(C$4="",MONTH(($G$2+0))&lt;&gt;MONTH($C$2)),"",IF(COUNTIFS(m_teacher,C$4,m_date,($G$2+0),m_active,1,m_start,"&lt;"&amp;660,m_end,"&gt;"&amp;600)=0,"",IF(COUNTIFS(m_teacher,C$4,m_date,($G$2+0),m_active,1,m_start,"&lt;"&amp;660,m_end,"&gt;"&amp;600)&gt;1,"충돌",HYPERLINK("#'관리자_MASTER'!D"&amp;_xlfn.MAXIFS(m_row,m_teacher,C$4,m_date,($G$2+0),m_active,1,m_start,"&lt;"&amp;660,m_end,"&gt;"&amp;600),INDEX(m_label,_xlfn.MAXIFS(m_row,m_teacher,C$4,m_date,($G$2+0),m_active,1,m_start,"&lt;"&amp;660,m_end,"&gt;"&amp;600))))))</f>
        <v/>
      </c>
      <c r="D6" s="81" t="str">
        <f aca="false">IF(OR(D$4="",MONTH(($G$2+0))&lt;&gt;MONTH($C$2)),"",IF(COUNTIFS(m_teacher,D$4,m_date,($G$2+0),m_active,1,m_start,"&lt;"&amp;660,m_end,"&gt;"&amp;600)=0,"",IF(COUNTIFS(m_teacher,D$4,m_date,($G$2+0),m_active,1,m_start,"&lt;"&amp;660,m_end,"&gt;"&amp;600)&gt;1,"충돌",HYPERLINK("#'관리자_MASTER'!D"&amp;_xlfn.MAXIFS(m_row,m_teacher,D$4,m_date,($G$2+0),m_active,1,m_start,"&lt;"&amp;660,m_end,"&gt;"&amp;600),INDEX(m_label,_xlfn.MAXIFS(m_row,m_teacher,D$4,m_date,($G$2+0),m_active,1,m_start,"&lt;"&amp;660,m_end,"&gt;"&amp;600))))))</f>
        <v/>
      </c>
      <c r="E6" s="81" t="str">
        <f aca="false">IF(OR(E$4="",MONTH(($G$2+0))&lt;&gt;MONTH($C$2)),"",IF(COUNTIFS(m_teacher,E$4,m_date,($G$2+0),m_active,1,m_start,"&lt;"&amp;660,m_end,"&gt;"&amp;600)=0,"",IF(COUNTIFS(m_teacher,E$4,m_date,($G$2+0),m_active,1,m_start,"&lt;"&amp;660,m_end,"&gt;"&amp;600)&gt;1,"충돌",HYPERLINK("#'관리자_MASTER'!D"&amp;_xlfn.MAXIFS(m_row,m_teacher,E$4,m_date,($G$2+0),m_active,1,m_start,"&lt;"&amp;660,m_end,"&gt;"&amp;600),INDEX(m_label,_xlfn.MAXIFS(m_row,m_teacher,E$4,m_date,($G$2+0),m_active,1,m_start,"&lt;"&amp;660,m_end,"&gt;"&amp;600))))))</f>
        <v/>
      </c>
      <c r="F6" s="81" t="str">
        <f aca="false">IF(OR(F$4="",MONTH(($G$2+0))&lt;&gt;MONTH($C$2)),"",IF(COUNTIFS(m_teacher,F$4,m_date,($G$2+0),m_active,1,m_start,"&lt;"&amp;660,m_end,"&gt;"&amp;600)=0,"",IF(COUNTIFS(m_teacher,F$4,m_date,($G$2+0),m_active,1,m_start,"&lt;"&amp;660,m_end,"&gt;"&amp;600)&gt;1,"충돌",HYPERLINK("#'관리자_MASTER'!D"&amp;_xlfn.MAXIFS(m_row,m_teacher,F$4,m_date,($G$2+0),m_active,1,m_start,"&lt;"&amp;660,m_end,"&gt;"&amp;600),INDEX(m_label,_xlfn.MAXIFS(m_row,m_teacher,F$4,m_date,($G$2+0),m_active,1,m_start,"&lt;"&amp;660,m_end,"&gt;"&amp;600))))))</f>
        <v/>
      </c>
      <c r="G6" s="81" t="str">
        <f aca="false">IF(OR(G$4="",MONTH(($G$2+0))&lt;&gt;MONTH($C$2)),"",IF(COUNTIFS(m_teacher,G$4,m_date,($G$2+0),m_active,1,m_start,"&lt;"&amp;660,m_end,"&gt;"&amp;600)=0,"",IF(COUNTIFS(m_teacher,G$4,m_date,($G$2+0),m_active,1,m_start,"&lt;"&amp;660,m_end,"&gt;"&amp;600)&gt;1,"충돌",HYPERLINK("#'관리자_MASTER'!D"&amp;_xlfn.MAXIFS(m_row,m_teacher,G$4,m_date,($G$2+0),m_active,1,m_start,"&lt;"&amp;660,m_end,"&gt;"&amp;600),INDEX(m_label,_xlfn.MAXIFS(m_row,m_teacher,G$4,m_date,($G$2+0),m_active,1,m_start,"&lt;"&amp;660,m_end,"&gt;"&amp;600))))))</f>
        <v/>
      </c>
      <c r="H6" s="81" t="str">
        <f aca="false">IF(OR(H$4="",MONTH(($G$2+0))&lt;&gt;MONTH($C$2)),"",IF(COUNTIFS(m_teacher,H$4,m_date,($G$2+0),m_active,1,m_start,"&lt;"&amp;660,m_end,"&gt;"&amp;600)=0,"",IF(COUNTIFS(m_teacher,H$4,m_date,($G$2+0),m_active,1,m_start,"&lt;"&amp;660,m_end,"&gt;"&amp;600)&gt;1,"충돌",HYPERLINK("#'관리자_MASTER'!D"&amp;_xlfn.MAXIFS(m_row,m_teacher,H$4,m_date,($G$2+0),m_active,1,m_start,"&lt;"&amp;660,m_end,"&gt;"&amp;600),INDEX(m_label,_xlfn.MAXIFS(m_row,m_teacher,H$4,m_date,($G$2+0),m_active,1,m_start,"&lt;"&amp;660,m_end,"&gt;"&amp;600))))))</f>
        <v/>
      </c>
      <c r="I6" s="81" t="str">
        <f aca="false">IF(OR(I$4="",MONTH(($G$2+0))&lt;&gt;MONTH($C$2)),"",IF(COUNTIFS(m_teacher,I$4,m_date,($G$2+0),m_active,1,m_start,"&lt;"&amp;660,m_end,"&gt;"&amp;600)=0,"",IF(COUNTIFS(m_teacher,I$4,m_date,($G$2+0),m_active,1,m_start,"&lt;"&amp;660,m_end,"&gt;"&amp;600)&gt;1,"충돌",HYPERLINK("#'관리자_MASTER'!D"&amp;_xlfn.MAXIFS(m_row,m_teacher,I$4,m_date,($G$2+0),m_active,1,m_start,"&lt;"&amp;660,m_end,"&gt;"&amp;600),INDEX(m_label,_xlfn.MAXIFS(m_row,m_teacher,I$4,m_date,($G$2+0),m_active,1,m_start,"&lt;"&amp;660,m_end,"&gt;"&amp;600))))))</f>
        <v/>
      </c>
      <c r="J6" s="81" t="str">
        <f aca="false">IF(OR(J$4="",MONTH(($G$2+0))&lt;&gt;MONTH($C$2)),"",IF(COUNTIFS(m_teacher,J$4,m_date,($G$2+0),m_active,1,m_start,"&lt;"&amp;660,m_end,"&gt;"&amp;600)=0,"",IF(COUNTIFS(m_teacher,J$4,m_date,($G$2+0),m_active,1,m_start,"&lt;"&amp;660,m_end,"&gt;"&amp;600)&gt;1,"충돌",HYPERLINK("#'관리자_MASTER'!D"&amp;_xlfn.MAXIFS(m_row,m_teacher,J$4,m_date,($G$2+0),m_active,1,m_start,"&lt;"&amp;660,m_end,"&gt;"&amp;600),INDEX(m_label,_xlfn.MAXIFS(m_row,m_teacher,J$4,m_date,($G$2+0),m_active,1,m_start,"&lt;"&amp;660,m_end,"&gt;"&amp;600))))))</f>
        <v/>
      </c>
      <c r="K6" s="81" t="str">
        <f aca="false">IF(OR(K$4="",MONTH(($G$2+0))&lt;&gt;MONTH($C$2)),"",IF(COUNTIFS(m_teacher,K$4,m_date,($G$2+0),m_active,1,m_start,"&lt;"&amp;660,m_end,"&gt;"&amp;600)=0,"",IF(COUNTIFS(m_teacher,K$4,m_date,($G$2+0),m_active,1,m_start,"&lt;"&amp;660,m_end,"&gt;"&amp;600)&gt;1,"충돌",HYPERLINK("#'관리자_MASTER'!D"&amp;_xlfn.MAXIFS(m_row,m_teacher,K$4,m_date,($G$2+0),m_active,1,m_start,"&lt;"&amp;660,m_end,"&gt;"&amp;600),INDEX(m_label,_xlfn.MAXIFS(m_row,m_teacher,K$4,m_date,($G$2+0),m_active,1,m_start,"&lt;"&amp;660,m_end,"&gt;"&amp;600))))))</f>
        <v/>
      </c>
      <c r="L6" s="81" t="str">
        <f aca="false">IF(OR(L$4="",MONTH(($G$2+0))&lt;&gt;MONTH($C$2)),"",IF(COUNTIFS(m_teacher,L$4,m_date,($G$2+0),m_active,1,m_start,"&lt;"&amp;660,m_end,"&gt;"&amp;600)=0,"",IF(COUNTIFS(m_teacher,L$4,m_date,($G$2+0),m_active,1,m_start,"&lt;"&amp;660,m_end,"&gt;"&amp;600)&gt;1,"충돌",HYPERLINK("#'관리자_MASTER'!D"&amp;_xlfn.MAXIFS(m_row,m_teacher,L$4,m_date,($G$2+0),m_active,1,m_start,"&lt;"&amp;660,m_end,"&gt;"&amp;600),INDEX(m_label,_xlfn.MAXIFS(m_row,m_teacher,L$4,m_date,($G$2+0),m_active,1,m_start,"&lt;"&amp;660,m_end,"&gt;"&amp;600))))))</f>
        <v/>
      </c>
      <c r="M6" s="81" t="str">
        <f aca="false">IF(OR(M$4="",MONTH(($G$2+0))&lt;&gt;MONTH($C$2)),"",IF(COUNTIFS(m_teacher,M$4,m_date,($G$2+0),m_active,1,m_start,"&lt;"&amp;660,m_end,"&gt;"&amp;600)=0,"",IF(COUNTIFS(m_teacher,M$4,m_date,($G$2+0),m_active,1,m_start,"&lt;"&amp;660,m_end,"&gt;"&amp;600)&gt;1,"충돌",HYPERLINK("#'관리자_MASTER'!D"&amp;_xlfn.MAXIFS(m_row,m_teacher,M$4,m_date,($G$2+0),m_active,1,m_start,"&lt;"&amp;660,m_end,"&gt;"&amp;600),INDEX(m_label,_xlfn.MAXIFS(m_row,m_teacher,M$4,m_date,($G$2+0),m_active,1,m_start,"&lt;"&amp;660,m_end,"&gt;"&amp;600))))))</f>
        <v/>
      </c>
      <c r="N6" s="81" t="str">
        <f aca="false">IF(OR(N$4="",MONTH(($G$2+0))&lt;&gt;MONTH($C$2)),"",IF(COUNTIFS(m_teacher,N$4,m_date,($G$2+0),m_active,1,m_start,"&lt;"&amp;660,m_end,"&gt;"&amp;600)=0,"",IF(COUNTIFS(m_teacher,N$4,m_date,($G$2+0),m_active,1,m_start,"&lt;"&amp;660,m_end,"&gt;"&amp;600)&gt;1,"충돌",HYPERLINK("#'관리자_MASTER'!D"&amp;_xlfn.MAXIFS(m_row,m_teacher,N$4,m_date,($G$2+0),m_active,1,m_start,"&lt;"&amp;660,m_end,"&gt;"&amp;600),INDEX(m_label,_xlfn.MAXIFS(m_row,m_teacher,N$4,m_date,($G$2+0),m_active,1,m_start,"&lt;"&amp;660,m_end,"&gt;"&amp;600))))))</f>
        <v/>
      </c>
      <c r="O6" s="78"/>
      <c r="P6" s="79" t="s">
        <v>92</v>
      </c>
      <c r="Q6" s="82" t="str">
        <f aca="false">IF(OR(Q$4="",MONTH(($G$2+7))&lt;&gt;MONTH($C$2)),"",IF(COUNTIFS(m_teacher,Q$4,m_date,($G$2+7),m_active,1,m_start,"&lt;"&amp;660,m_end,"&gt;"&amp;600)=0,"",IF(COUNTIFS(m_teacher,Q$4,m_date,($G$2+7),m_active,1,m_start,"&lt;"&amp;660,m_end,"&gt;"&amp;600)&gt;1,"충돌",HYPERLINK("#'관리자_MASTER'!D"&amp;_xlfn.MAXIFS(m_row,m_teacher,Q$4,m_date,($G$2+7),m_active,1,m_start,"&lt;"&amp;660,m_end,"&gt;"&amp;600),INDEX(m_label,_xlfn.MAXIFS(m_row,m_teacher,Q$4,m_date,($G$2+7),m_active,1,m_start,"&lt;"&amp;660,m_end,"&gt;"&amp;600))))))</f>
        <v/>
      </c>
      <c r="R6" s="82" t="str">
        <f aca="false">IF(OR(R$4="",MONTH(($G$2+7))&lt;&gt;MONTH($C$2)),"",IF(COUNTIFS(m_teacher,R$4,m_date,($G$2+7),m_active,1,m_start,"&lt;"&amp;660,m_end,"&gt;"&amp;600)=0,"",IF(COUNTIFS(m_teacher,R$4,m_date,($G$2+7),m_active,1,m_start,"&lt;"&amp;660,m_end,"&gt;"&amp;600)&gt;1,"충돌",HYPERLINK("#'관리자_MASTER'!D"&amp;_xlfn.MAXIFS(m_row,m_teacher,R$4,m_date,($G$2+7),m_active,1,m_start,"&lt;"&amp;660,m_end,"&gt;"&amp;600),INDEX(m_label,_xlfn.MAXIFS(m_row,m_teacher,R$4,m_date,($G$2+7),m_active,1,m_start,"&lt;"&amp;660,m_end,"&gt;"&amp;600))))))</f>
        <v/>
      </c>
      <c r="S6" s="82" t="str">
        <f aca="false">IF(OR(S$4="",MONTH(($G$2+7))&lt;&gt;MONTH($C$2)),"",IF(COUNTIFS(m_teacher,S$4,m_date,($G$2+7),m_active,1,m_start,"&lt;"&amp;660,m_end,"&gt;"&amp;600)=0,"",IF(COUNTIFS(m_teacher,S$4,m_date,($G$2+7),m_active,1,m_start,"&lt;"&amp;660,m_end,"&gt;"&amp;600)&gt;1,"충돌",HYPERLINK("#'관리자_MASTER'!D"&amp;_xlfn.MAXIFS(m_row,m_teacher,S$4,m_date,($G$2+7),m_active,1,m_start,"&lt;"&amp;660,m_end,"&gt;"&amp;600),INDEX(m_label,_xlfn.MAXIFS(m_row,m_teacher,S$4,m_date,($G$2+7),m_active,1,m_start,"&lt;"&amp;660,m_end,"&gt;"&amp;600))))))</f>
        <v/>
      </c>
      <c r="T6" s="82" t="str">
        <f aca="false">IF(OR(T$4="",MONTH(($G$2+7))&lt;&gt;MONTH($C$2)),"",IF(COUNTIFS(m_teacher,T$4,m_date,($G$2+7),m_active,1,m_start,"&lt;"&amp;660,m_end,"&gt;"&amp;600)=0,"",IF(COUNTIFS(m_teacher,T$4,m_date,($G$2+7),m_active,1,m_start,"&lt;"&amp;660,m_end,"&gt;"&amp;600)&gt;1,"충돌",HYPERLINK("#'관리자_MASTER'!D"&amp;_xlfn.MAXIFS(m_row,m_teacher,T$4,m_date,($G$2+7),m_active,1,m_start,"&lt;"&amp;660,m_end,"&gt;"&amp;600),INDEX(m_label,_xlfn.MAXIFS(m_row,m_teacher,T$4,m_date,($G$2+7),m_active,1,m_start,"&lt;"&amp;660,m_end,"&gt;"&amp;600))))))</f>
        <v/>
      </c>
      <c r="U6" s="82" t="str">
        <f aca="false">IF(OR(U$4="",MONTH(($G$2+7))&lt;&gt;MONTH($C$2)),"",IF(COUNTIFS(m_teacher,U$4,m_date,($G$2+7),m_active,1,m_start,"&lt;"&amp;660,m_end,"&gt;"&amp;600)=0,"",IF(COUNTIFS(m_teacher,U$4,m_date,($G$2+7),m_active,1,m_start,"&lt;"&amp;660,m_end,"&gt;"&amp;600)&gt;1,"충돌",HYPERLINK("#'관리자_MASTER'!D"&amp;_xlfn.MAXIFS(m_row,m_teacher,U$4,m_date,($G$2+7),m_active,1,m_start,"&lt;"&amp;660,m_end,"&gt;"&amp;600),INDEX(m_label,_xlfn.MAXIFS(m_row,m_teacher,U$4,m_date,($G$2+7),m_active,1,m_start,"&lt;"&amp;660,m_end,"&gt;"&amp;600))))))</f>
        <v/>
      </c>
      <c r="V6" s="82" t="str">
        <f aca="false">IF(OR(V$4="",MONTH(($G$2+7))&lt;&gt;MONTH($C$2)),"",IF(COUNTIFS(m_teacher,V$4,m_date,($G$2+7),m_active,1,m_start,"&lt;"&amp;660,m_end,"&gt;"&amp;600)=0,"",IF(COUNTIFS(m_teacher,V$4,m_date,($G$2+7),m_active,1,m_start,"&lt;"&amp;660,m_end,"&gt;"&amp;600)&gt;1,"충돌",HYPERLINK("#'관리자_MASTER'!D"&amp;_xlfn.MAXIFS(m_row,m_teacher,V$4,m_date,($G$2+7),m_active,1,m_start,"&lt;"&amp;660,m_end,"&gt;"&amp;600),INDEX(m_label,_xlfn.MAXIFS(m_row,m_teacher,V$4,m_date,($G$2+7),m_active,1,m_start,"&lt;"&amp;660,m_end,"&gt;"&amp;600))))))</f>
        <v/>
      </c>
      <c r="W6" s="82" t="str">
        <f aca="false">IF(OR(W$4="",MONTH(($G$2+7))&lt;&gt;MONTH($C$2)),"",IF(COUNTIFS(m_teacher,W$4,m_date,($G$2+7),m_active,1,m_start,"&lt;"&amp;660,m_end,"&gt;"&amp;600)=0,"",IF(COUNTIFS(m_teacher,W$4,m_date,($G$2+7),m_active,1,m_start,"&lt;"&amp;660,m_end,"&gt;"&amp;600)&gt;1,"충돌",HYPERLINK("#'관리자_MASTER'!D"&amp;_xlfn.MAXIFS(m_row,m_teacher,W$4,m_date,($G$2+7),m_active,1,m_start,"&lt;"&amp;660,m_end,"&gt;"&amp;600),INDEX(m_label,_xlfn.MAXIFS(m_row,m_teacher,W$4,m_date,($G$2+7),m_active,1,m_start,"&lt;"&amp;660,m_end,"&gt;"&amp;600))))))</f>
        <v/>
      </c>
      <c r="X6" s="82" t="str">
        <f aca="false">IF(OR(X$4="",MONTH(($G$2+7))&lt;&gt;MONTH($C$2)),"",IF(COUNTIFS(m_teacher,X$4,m_date,($G$2+7),m_active,1,m_start,"&lt;"&amp;660,m_end,"&gt;"&amp;600)=0,"",IF(COUNTIFS(m_teacher,X$4,m_date,($G$2+7),m_active,1,m_start,"&lt;"&amp;660,m_end,"&gt;"&amp;600)&gt;1,"충돌",HYPERLINK("#'관리자_MASTER'!D"&amp;_xlfn.MAXIFS(m_row,m_teacher,X$4,m_date,($G$2+7),m_active,1,m_start,"&lt;"&amp;660,m_end,"&gt;"&amp;600),INDEX(m_label,_xlfn.MAXIFS(m_row,m_teacher,X$4,m_date,($G$2+7),m_active,1,m_start,"&lt;"&amp;660,m_end,"&gt;"&amp;600))))))</f>
        <v/>
      </c>
      <c r="Y6" s="82" t="str">
        <f aca="false">IF(OR(Y$4="",MONTH(($G$2+7))&lt;&gt;MONTH($C$2)),"",IF(COUNTIFS(m_teacher,Y$4,m_date,($G$2+7),m_active,1,m_start,"&lt;"&amp;660,m_end,"&gt;"&amp;600)=0,"",IF(COUNTIFS(m_teacher,Y$4,m_date,($G$2+7),m_active,1,m_start,"&lt;"&amp;660,m_end,"&gt;"&amp;600)&gt;1,"충돌",HYPERLINK("#'관리자_MASTER'!D"&amp;_xlfn.MAXIFS(m_row,m_teacher,Y$4,m_date,($G$2+7),m_active,1,m_start,"&lt;"&amp;660,m_end,"&gt;"&amp;600),INDEX(m_label,_xlfn.MAXIFS(m_row,m_teacher,Y$4,m_date,($G$2+7),m_active,1,m_start,"&lt;"&amp;660,m_end,"&gt;"&amp;600))))))</f>
        <v/>
      </c>
      <c r="Z6" s="82" t="str">
        <f aca="false">IF(OR(Z$4="",MONTH(($G$2+7))&lt;&gt;MONTH($C$2)),"",IF(COUNTIFS(m_teacher,Z$4,m_date,($G$2+7),m_active,1,m_start,"&lt;"&amp;660,m_end,"&gt;"&amp;600)=0,"",IF(COUNTIFS(m_teacher,Z$4,m_date,($G$2+7),m_active,1,m_start,"&lt;"&amp;660,m_end,"&gt;"&amp;600)&gt;1,"충돌",HYPERLINK("#'관리자_MASTER'!D"&amp;_xlfn.MAXIFS(m_row,m_teacher,Z$4,m_date,($G$2+7),m_active,1,m_start,"&lt;"&amp;660,m_end,"&gt;"&amp;600),INDEX(m_label,_xlfn.MAXIFS(m_row,m_teacher,Z$4,m_date,($G$2+7),m_active,1,m_start,"&lt;"&amp;660,m_end,"&gt;"&amp;600))))))</f>
        <v/>
      </c>
      <c r="AA6" s="82" t="str">
        <f aca="false">IF(OR(AA$4="",MONTH(($G$2+7))&lt;&gt;MONTH($C$2)),"",IF(COUNTIFS(m_teacher,AA$4,m_date,($G$2+7),m_active,1,m_start,"&lt;"&amp;660,m_end,"&gt;"&amp;600)=0,"",IF(COUNTIFS(m_teacher,AA$4,m_date,($G$2+7),m_active,1,m_start,"&lt;"&amp;660,m_end,"&gt;"&amp;600)&gt;1,"충돌",HYPERLINK("#'관리자_MASTER'!D"&amp;_xlfn.MAXIFS(m_row,m_teacher,AA$4,m_date,($G$2+7),m_active,1,m_start,"&lt;"&amp;660,m_end,"&gt;"&amp;600),INDEX(m_label,_xlfn.MAXIFS(m_row,m_teacher,AA$4,m_date,($G$2+7),m_active,1,m_start,"&lt;"&amp;660,m_end,"&gt;"&amp;600))))))</f>
        <v/>
      </c>
      <c r="AB6" s="82" t="str">
        <f aca="false">IF(OR(AB$4="",MONTH(($G$2+7))&lt;&gt;MONTH($C$2)),"",IF(COUNTIFS(m_teacher,AB$4,m_date,($G$2+7),m_active,1,m_start,"&lt;"&amp;660,m_end,"&gt;"&amp;600)=0,"",IF(COUNTIFS(m_teacher,AB$4,m_date,($G$2+7),m_active,1,m_start,"&lt;"&amp;660,m_end,"&gt;"&amp;600)&gt;1,"충돌",HYPERLINK("#'관리자_MASTER'!D"&amp;_xlfn.MAXIFS(m_row,m_teacher,AB$4,m_date,($G$2+7),m_active,1,m_start,"&lt;"&amp;660,m_end,"&gt;"&amp;600),INDEX(m_label,_xlfn.MAXIFS(m_row,m_teacher,AB$4,m_date,($G$2+7),m_active,1,m_start,"&lt;"&amp;660,m_end,"&gt;"&amp;600))))))</f>
        <v/>
      </c>
      <c r="AC6" s="78"/>
      <c r="AD6" s="79" t="s">
        <v>92</v>
      </c>
      <c r="AE6" s="82" t="str">
        <f aca="false">IF(OR(AE$4="",MONTH(($G$2+14))&lt;&gt;MONTH($C$2)),"",IF(COUNTIFS(m_teacher,AE$4,m_date,($G$2+14),m_active,1,m_start,"&lt;"&amp;660,m_end,"&gt;"&amp;600)=0,"",IF(COUNTIFS(m_teacher,AE$4,m_date,($G$2+14),m_active,1,m_start,"&lt;"&amp;660,m_end,"&gt;"&amp;600)&gt;1,"충돌",HYPERLINK("#'관리자_MASTER'!D"&amp;_xlfn.MAXIFS(m_row,m_teacher,AE$4,m_date,($G$2+14),m_active,1,m_start,"&lt;"&amp;660,m_end,"&gt;"&amp;600),INDEX(m_label,_xlfn.MAXIFS(m_row,m_teacher,AE$4,m_date,($G$2+14),m_active,1,m_start,"&lt;"&amp;660,m_end,"&gt;"&amp;600))))))</f>
        <v/>
      </c>
      <c r="AF6" s="82" t="str">
        <f aca="false">IF(OR(AF$4="",MONTH(($G$2+14))&lt;&gt;MONTH($C$2)),"",IF(COUNTIFS(m_teacher,AF$4,m_date,($G$2+14),m_active,1,m_start,"&lt;"&amp;660,m_end,"&gt;"&amp;600)=0,"",IF(COUNTIFS(m_teacher,AF$4,m_date,($G$2+14),m_active,1,m_start,"&lt;"&amp;660,m_end,"&gt;"&amp;600)&gt;1,"충돌",HYPERLINK("#'관리자_MASTER'!D"&amp;_xlfn.MAXIFS(m_row,m_teacher,AF$4,m_date,($G$2+14),m_active,1,m_start,"&lt;"&amp;660,m_end,"&gt;"&amp;600),INDEX(m_label,_xlfn.MAXIFS(m_row,m_teacher,AF$4,m_date,($G$2+14),m_active,1,m_start,"&lt;"&amp;660,m_end,"&gt;"&amp;600))))))</f>
        <v/>
      </c>
      <c r="AG6" s="82" t="str">
        <f aca="false">IF(OR(AG$4="",MONTH(($G$2+14))&lt;&gt;MONTH($C$2)),"",IF(COUNTIFS(m_teacher,AG$4,m_date,($G$2+14),m_active,1,m_start,"&lt;"&amp;660,m_end,"&gt;"&amp;600)=0,"",IF(COUNTIFS(m_teacher,AG$4,m_date,($G$2+14),m_active,1,m_start,"&lt;"&amp;660,m_end,"&gt;"&amp;600)&gt;1,"충돌",HYPERLINK("#'관리자_MASTER'!D"&amp;_xlfn.MAXIFS(m_row,m_teacher,AG$4,m_date,($G$2+14),m_active,1,m_start,"&lt;"&amp;660,m_end,"&gt;"&amp;600),INDEX(m_label,_xlfn.MAXIFS(m_row,m_teacher,AG$4,m_date,($G$2+14),m_active,1,m_start,"&lt;"&amp;660,m_end,"&gt;"&amp;600))))))</f>
        <v/>
      </c>
      <c r="AH6" s="82" t="str">
        <f aca="false">IF(OR(AH$4="",MONTH(($G$2+14))&lt;&gt;MONTH($C$2)),"",IF(COUNTIFS(m_teacher,AH$4,m_date,($G$2+14),m_active,1,m_start,"&lt;"&amp;660,m_end,"&gt;"&amp;600)=0,"",IF(COUNTIFS(m_teacher,AH$4,m_date,($G$2+14),m_active,1,m_start,"&lt;"&amp;660,m_end,"&gt;"&amp;600)&gt;1,"충돌",HYPERLINK("#'관리자_MASTER'!D"&amp;_xlfn.MAXIFS(m_row,m_teacher,AH$4,m_date,($G$2+14),m_active,1,m_start,"&lt;"&amp;660,m_end,"&gt;"&amp;600),INDEX(m_label,_xlfn.MAXIFS(m_row,m_teacher,AH$4,m_date,($G$2+14),m_active,1,m_start,"&lt;"&amp;660,m_end,"&gt;"&amp;600))))))</f>
        <v/>
      </c>
      <c r="AI6" s="82" t="str">
        <f aca="false">IF(OR(AI$4="",MONTH(($G$2+14))&lt;&gt;MONTH($C$2)),"",IF(COUNTIFS(m_teacher,AI$4,m_date,($G$2+14),m_active,1,m_start,"&lt;"&amp;660,m_end,"&gt;"&amp;600)=0,"",IF(COUNTIFS(m_teacher,AI$4,m_date,($G$2+14),m_active,1,m_start,"&lt;"&amp;660,m_end,"&gt;"&amp;600)&gt;1,"충돌",HYPERLINK("#'관리자_MASTER'!D"&amp;_xlfn.MAXIFS(m_row,m_teacher,AI$4,m_date,($G$2+14),m_active,1,m_start,"&lt;"&amp;660,m_end,"&gt;"&amp;600),INDEX(m_label,_xlfn.MAXIFS(m_row,m_teacher,AI$4,m_date,($G$2+14),m_active,1,m_start,"&lt;"&amp;660,m_end,"&gt;"&amp;600))))))</f>
        <v/>
      </c>
      <c r="AJ6" s="82" t="str">
        <f aca="false">IF(OR(AJ$4="",MONTH(($G$2+14))&lt;&gt;MONTH($C$2)),"",IF(COUNTIFS(m_teacher,AJ$4,m_date,($G$2+14),m_active,1,m_start,"&lt;"&amp;660,m_end,"&gt;"&amp;600)=0,"",IF(COUNTIFS(m_teacher,AJ$4,m_date,($G$2+14),m_active,1,m_start,"&lt;"&amp;660,m_end,"&gt;"&amp;600)&gt;1,"충돌",HYPERLINK("#'관리자_MASTER'!D"&amp;_xlfn.MAXIFS(m_row,m_teacher,AJ$4,m_date,($G$2+14),m_active,1,m_start,"&lt;"&amp;660,m_end,"&gt;"&amp;600),INDEX(m_label,_xlfn.MAXIFS(m_row,m_teacher,AJ$4,m_date,($G$2+14),m_active,1,m_start,"&lt;"&amp;660,m_end,"&gt;"&amp;600))))))</f>
        <v/>
      </c>
      <c r="AK6" s="82" t="str">
        <f aca="false">IF(OR(AK$4="",MONTH(($G$2+14))&lt;&gt;MONTH($C$2)),"",IF(COUNTIFS(m_teacher,AK$4,m_date,($G$2+14),m_active,1,m_start,"&lt;"&amp;660,m_end,"&gt;"&amp;600)=0,"",IF(COUNTIFS(m_teacher,AK$4,m_date,($G$2+14),m_active,1,m_start,"&lt;"&amp;660,m_end,"&gt;"&amp;600)&gt;1,"충돌",HYPERLINK("#'관리자_MASTER'!D"&amp;_xlfn.MAXIFS(m_row,m_teacher,AK$4,m_date,($G$2+14),m_active,1,m_start,"&lt;"&amp;660,m_end,"&gt;"&amp;600),INDEX(m_label,_xlfn.MAXIFS(m_row,m_teacher,AK$4,m_date,($G$2+14),m_active,1,m_start,"&lt;"&amp;660,m_end,"&gt;"&amp;600))))))</f>
        <v/>
      </c>
      <c r="AL6" s="82" t="str">
        <f aca="false">IF(OR(AL$4="",MONTH(($G$2+14))&lt;&gt;MONTH($C$2)),"",IF(COUNTIFS(m_teacher,AL$4,m_date,($G$2+14),m_active,1,m_start,"&lt;"&amp;660,m_end,"&gt;"&amp;600)=0,"",IF(COUNTIFS(m_teacher,AL$4,m_date,($G$2+14),m_active,1,m_start,"&lt;"&amp;660,m_end,"&gt;"&amp;600)&gt;1,"충돌",HYPERLINK("#'관리자_MASTER'!D"&amp;_xlfn.MAXIFS(m_row,m_teacher,AL$4,m_date,($G$2+14),m_active,1,m_start,"&lt;"&amp;660,m_end,"&gt;"&amp;600),INDEX(m_label,_xlfn.MAXIFS(m_row,m_teacher,AL$4,m_date,($G$2+14),m_active,1,m_start,"&lt;"&amp;660,m_end,"&gt;"&amp;600))))))</f>
        <v/>
      </c>
      <c r="AM6" s="82" t="str">
        <f aca="false">IF(OR(AM$4="",MONTH(($G$2+14))&lt;&gt;MONTH($C$2)),"",IF(COUNTIFS(m_teacher,AM$4,m_date,($G$2+14),m_active,1,m_start,"&lt;"&amp;660,m_end,"&gt;"&amp;600)=0,"",IF(COUNTIFS(m_teacher,AM$4,m_date,($G$2+14),m_active,1,m_start,"&lt;"&amp;660,m_end,"&gt;"&amp;600)&gt;1,"충돌",HYPERLINK("#'관리자_MASTER'!D"&amp;_xlfn.MAXIFS(m_row,m_teacher,AM$4,m_date,($G$2+14),m_active,1,m_start,"&lt;"&amp;660,m_end,"&gt;"&amp;600),INDEX(m_label,_xlfn.MAXIFS(m_row,m_teacher,AM$4,m_date,($G$2+14),m_active,1,m_start,"&lt;"&amp;660,m_end,"&gt;"&amp;600))))))</f>
        <v/>
      </c>
      <c r="AN6" s="82" t="str">
        <f aca="false">IF(OR(AN$4="",MONTH(($G$2+14))&lt;&gt;MONTH($C$2)),"",IF(COUNTIFS(m_teacher,AN$4,m_date,($G$2+14),m_active,1,m_start,"&lt;"&amp;660,m_end,"&gt;"&amp;600)=0,"",IF(COUNTIFS(m_teacher,AN$4,m_date,($G$2+14),m_active,1,m_start,"&lt;"&amp;660,m_end,"&gt;"&amp;600)&gt;1,"충돌",HYPERLINK("#'관리자_MASTER'!D"&amp;_xlfn.MAXIFS(m_row,m_teacher,AN$4,m_date,($G$2+14),m_active,1,m_start,"&lt;"&amp;660,m_end,"&gt;"&amp;600),INDEX(m_label,_xlfn.MAXIFS(m_row,m_teacher,AN$4,m_date,($G$2+14),m_active,1,m_start,"&lt;"&amp;660,m_end,"&gt;"&amp;600))))))</f>
        <v/>
      </c>
      <c r="AO6" s="82" t="str">
        <f aca="false">IF(OR(AO$4="",MONTH(($G$2+14))&lt;&gt;MONTH($C$2)),"",IF(COUNTIFS(m_teacher,AO$4,m_date,($G$2+14),m_active,1,m_start,"&lt;"&amp;660,m_end,"&gt;"&amp;600)=0,"",IF(COUNTIFS(m_teacher,AO$4,m_date,($G$2+14),m_active,1,m_start,"&lt;"&amp;660,m_end,"&gt;"&amp;600)&gt;1,"충돌",HYPERLINK("#'관리자_MASTER'!D"&amp;_xlfn.MAXIFS(m_row,m_teacher,AO$4,m_date,($G$2+14),m_active,1,m_start,"&lt;"&amp;660,m_end,"&gt;"&amp;600),INDEX(m_label,_xlfn.MAXIFS(m_row,m_teacher,AO$4,m_date,($G$2+14),m_active,1,m_start,"&lt;"&amp;660,m_end,"&gt;"&amp;600))))))</f>
        <v/>
      </c>
      <c r="AP6" s="82" t="str">
        <f aca="false">IF(OR(AP$4="",MONTH(($G$2+14))&lt;&gt;MONTH($C$2)),"",IF(COUNTIFS(m_teacher,AP$4,m_date,($G$2+14),m_active,1,m_start,"&lt;"&amp;660,m_end,"&gt;"&amp;600)=0,"",IF(COUNTIFS(m_teacher,AP$4,m_date,($G$2+14),m_active,1,m_start,"&lt;"&amp;660,m_end,"&gt;"&amp;600)&gt;1,"충돌",HYPERLINK("#'관리자_MASTER'!D"&amp;_xlfn.MAXIFS(m_row,m_teacher,AP$4,m_date,($G$2+14),m_active,1,m_start,"&lt;"&amp;660,m_end,"&gt;"&amp;600),INDEX(m_label,_xlfn.MAXIFS(m_row,m_teacher,AP$4,m_date,($G$2+14),m_active,1,m_start,"&lt;"&amp;660,m_end,"&gt;"&amp;600))))))</f>
        <v/>
      </c>
      <c r="AQ6" s="78"/>
      <c r="AR6" s="79" t="s">
        <v>92</v>
      </c>
      <c r="AS6" s="82" t="str">
        <f aca="false">IF(OR(AS$4="",MONTH(($G$2+21))&lt;&gt;MONTH($C$2)),"",IF(COUNTIFS(m_teacher,AS$4,m_date,($G$2+21),m_active,1,m_start,"&lt;"&amp;660,m_end,"&gt;"&amp;600)=0,"",IF(COUNTIFS(m_teacher,AS$4,m_date,($G$2+21),m_active,1,m_start,"&lt;"&amp;660,m_end,"&gt;"&amp;600)&gt;1,"충돌",HYPERLINK("#'관리자_MASTER'!D"&amp;_xlfn.MAXIFS(m_row,m_teacher,AS$4,m_date,($G$2+21),m_active,1,m_start,"&lt;"&amp;660,m_end,"&gt;"&amp;600),INDEX(m_label,_xlfn.MAXIFS(m_row,m_teacher,AS$4,m_date,($G$2+21),m_active,1,m_start,"&lt;"&amp;660,m_end,"&gt;"&amp;600))))))</f>
        <v/>
      </c>
      <c r="AT6" s="82" t="str">
        <f aca="false">IF(OR(AT$4="",MONTH(($G$2+21))&lt;&gt;MONTH($C$2)),"",IF(COUNTIFS(m_teacher,AT$4,m_date,($G$2+21),m_active,1,m_start,"&lt;"&amp;660,m_end,"&gt;"&amp;600)=0,"",IF(COUNTIFS(m_teacher,AT$4,m_date,($G$2+21),m_active,1,m_start,"&lt;"&amp;660,m_end,"&gt;"&amp;600)&gt;1,"충돌",HYPERLINK("#'관리자_MASTER'!D"&amp;_xlfn.MAXIFS(m_row,m_teacher,AT$4,m_date,($G$2+21),m_active,1,m_start,"&lt;"&amp;660,m_end,"&gt;"&amp;600),INDEX(m_label,_xlfn.MAXIFS(m_row,m_teacher,AT$4,m_date,($G$2+21),m_active,1,m_start,"&lt;"&amp;660,m_end,"&gt;"&amp;600))))))</f>
        <v/>
      </c>
      <c r="AU6" s="82" t="str">
        <f aca="false">IF(OR(AU$4="",MONTH(($G$2+21))&lt;&gt;MONTH($C$2)),"",IF(COUNTIFS(m_teacher,AU$4,m_date,($G$2+21),m_active,1,m_start,"&lt;"&amp;660,m_end,"&gt;"&amp;600)=0,"",IF(COUNTIFS(m_teacher,AU$4,m_date,($G$2+21),m_active,1,m_start,"&lt;"&amp;660,m_end,"&gt;"&amp;600)&gt;1,"충돌",HYPERLINK("#'관리자_MASTER'!D"&amp;_xlfn.MAXIFS(m_row,m_teacher,AU$4,m_date,($G$2+21),m_active,1,m_start,"&lt;"&amp;660,m_end,"&gt;"&amp;600),INDEX(m_label,_xlfn.MAXIFS(m_row,m_teacher,AU$4,m_date,($G$2+21),m_active,1,m_start,"&lt;"&amp;660,m_end,"&gt;"&amp;600))))))</f>
        <v/>
      </c>
      <c r="AV6" s="82" t="str">
        <f aca="false">IF(OR(AV$4="",MONTH(($G$2+21))&lt;&gt;MONTH($C$2)),"",IF(COUNTIFS(m_teacher,AV$4,m_date,($G$2+21),m_active,1,m_start,"&lt;"&amp;660,m_end,"&gt;"&amp;600)=0,"",IF(COUNTIFS(m_teacher,AV$4,m_date,($G$2+21),m_active,1,m_start,"&lt;"&amp;660,m_end,"&gt;"&amp;600)&gt;1,"충돌",HYPERLINK("#'관리자_MASTER'!D"&amp;_xlfn.MAXIFS(m_row,m_teacher,AV$4,m_date,($G$2+21),m_active,1,m_start,"&lt;"&amp;660,m_end,"&gt;"&amp;600),INDEX(m_label,_xlfn.MAXIFS(m_row,m_teacher,AV$4,m_date,($G$2+21),m_active,1,m_start,"&lt;"&amp;660,m_end,"&gt;"&amp;600))))))</f>
        <v/>
      </c>
      <c r="AW6" s="82" t="str">
        <f aca="false">IF(OR(AW$4="",MONTH(($G$2+21))&lt;&gt;MONTH($C$2)),"",IF(COUNTIFS(m_teacher,AW$4,m_date,($G$2+21),m_active,1,m_start,"&lt;"&amp;660,m_end,"&gt;"&amp;600)=0,"",IF(COUNTIFS(m_teacher,AW$4,m_date,($G$2+21),m_active,1,m_start,"&lt;"&amp;660,m_end,"&gt;"&amp;600)&gt;1,"충돌",HYPERLINK("#'관리자_MASTER'!D"&amp;_xlfn.MAXIFS(m_row,m_teacher,AW$4,m_date,($G$2+21),m_active,1,m_start,"&lt;"&amp;660,m_end,"&gt;"&amp;600),INDEX(m_label,_xlfn.MAXIFS(m_row,m_teacher,AW$4,m_date,($G$2+21),m_active,1,m_start,"&lt;"&amp;660,m_end,"&gt;"&amp;600))))))</f>
        <v/>
      </c>
      <c r="AX6" s="82" t="str">
        <f aca="false">IF(OR(AX$4="",MONTH(($G$2+21))&lt;&gt;MONTH($C$2)),"",IF(COUNTIFS(m_teacher,AX$4,m_date,($G$2+21),m_active,1,m_start,"&lt;"&amp;660,m_end,"&gt;"&amp;600)=0,"",IF(COUNTIFS(m_teacher,AX$4,m_date,($G$2+21),m_active,1,m_start,"&lt;"&amp;660,m_end,"&gt;"&amp;600)&gt;1,"충돌",HYPERLINK("#'관리자_MASTER'!D"&amp;_xlfn.MAXIFS(m_row,m_teacher,AX$4,m_date,($G$2+21),m_active,1,m_start,"&lt;"&amp;660,m_end,"&gt;"&amp;600),INDEX(m_label,_xlfn.MAXIFS(m_row,m_teacher,AX$4,m_date,($G$2+21),m_active,1,m_start,"&lt;"&amp;660,m_end,"&gt;"&amp;600))))))</f>
        <v/>
      </c>
      <c r="AY6" s="82" t="str">
        <f aca="false">IF(OR(AY$4="",MONTH(($G$2+21))&lt;&gt;MONTH($C$2)),"",IF(COUNTIFS(m_teacher,AY$4,m_date,($G$2+21),m_active,1,m_start,"&lt;"&amp;660,m_end,"&gt;"&amp;600)=0,"",IF(COUNTIFS(m_teacher,AY$4,m_date,($G$2+21),m_active,1,m_start,"&lt;"&amp;660,m_end,"&gt;"&amp;600)&gt;1,"충돌",HYPERLINK("#'관리자_MASTER'!D"&amp;_xlfn.MAXIFS(m_row,m_teacher,AY$4,m_date,($G$2+21),m_active,1,m_start,"&lt;"&amp;660,m_end,"&gt;"&amp;600),INDEX(m_label,_xlfn.MAXIFS(m_row,m_teacher,AY$4,m_date,($G$2+21),m_active,1,m_start,"&lt;"&amp;660,m_end,"&gt;"&amp;600))))))</f>
        <v/>
      </c>
      <c r="AZ6" s="82" t="str">
        <f aca="false">IF(OR(AZ$4="",MONTH(($G$2+21))&lt;&gt;MONTH($C$2)),"",IF(COUNTIFS(m_teacher,AZ$4,m_date,($G$2+21),m_active,1,m_start,"&lt;"&amp;660,m_end,"&gt;"&amp;600)=0,"",IF(COUNTIFS(m_teacher,AZ$4,m_date,($G$2+21),m_active,1,m_start,"&lt;"&amp;660,m_end,"&gt;"&amp;600)&gt;1,"충돌",HYPERLINK("#'관리자_MASTER'!D"&amp;_xlfn.MAXIFS(m_row,m_teacher,AZ$4,m_date,($G$2+21),m_active,1,m_start,"&lt;"&amp;660,m_end,"&gt;"&amp;600),INDEX(m_label,_xlfn.MAXIFS(m_row,m_teacher,AZ$4,m_date,($G$2+21),m_active,1,m_start,"&lt;"&amp;660,m_end,"&gt;"&amp;600))))))</f>
        <v/>
      </c>
      <c r="BA6" s="82" t="str">
        <f aca="false">IF(OR(BA$4="",MONTH(($G$2+21))&lt;&gt;MONTH($C$2)),"",IF(COUNTIFS(m_teacher,BA$4,m_date,($G$2+21),m_active,1,m_start,"&lt;"&amp;660,m_end,"&gt;"&amp;600)=0,"",IF(COUNTIFS(m_teacher,BA$4,m_date,($G$2+21),m_active,1,m_start,"&lt;"&amp;660,m_end,"&gt;"&amp;600)&gt;1,"충돌",HYPERLINK("#'관리자_MASTER'!D"&amp;_xlfn.MAXIFS(m_row,m_teacher,BA$4,m_date,($G$2+21),m_active,1,m_start,"&lt;"&amp;660,m_end,"&gt;"&amp;600),INDEX(m_label,_xlfn.MAXIFS(m_row,m_teacher,BA$4,m_date,($G$2+21),m_active,1,m_start,"&lt;"&amp;660,m_end,"&gt;"&amp;600))))))</f>
        <v/>
      </c>
      <c r="BB6" s="82" t="str">
        <f aca="false">IF(OR(BB$4="",MONTH(($G$2+21))&lt;&gt;MONTH($C$2)),"",IF(COUNTIFS(m_teacher,BB$4,m_date,($G$2+21),m_active,1,m_start,"&lt;"&amp;660,m_end,"&gt;"&amp;600)=0,"",IF(COUNTIFS(m_teacher,BB$4,m_date,($G$2+21),m_active,1,m_start,"&lt;"&amp;660,m_end,"&gt;"&amp;600)&gt;1,"충돌",HYPERLINK("#'관리자_MASTER'!D"&amp;_xlfn.MAXIFS(m_row,m_teacher,BB$4,m_date,($G$2+21),m_active,1,m_start,"&lt;"&amp;660,m_end,"&gt;"&amp;600),INDEX(m_label,_xlfn.MAXIFS(m_row,m_teacher,BB$4,m_date,($G$2+21),m_active,1,m_start,"&lt;"&amp;660,m_end,"&gt;"&amp;600))))))</f>
        <v/>
      </c>
      <c r="BC6" s="82" t="str">
        <f aca="false">IF(OR(BC$4="",MONTH(($G$2+21))&lt;&gt;MONTH($C$2)),"",IF(COUNTIFS(m_teacher,BC$4,m_date,($G$2+21),m_active,1,m_start,"&lt;"&amp;660,m_end,"&gt;"&amp;600)=0,"",IF(COUNTIFS(m_teacher,BC$4,m_date,($G$2+21),m_active,1,m_start,"&lt;"&amp;660,m_end,"&gt;"&amp;600)&gt;1,"충돌",HYPERLINK("#'관리자_MASTER'!D"&amp;_xlfn.MAXIFS(m_row,m_teacher,BC$4,m_date,($G$2+21),m_active,1,m_start,"&lt;"&amp;660,m_end,"&gt;"&amp;600),INDEX(m_label,_xlfn.MAXIFS(m_row,m_teacher,BC$4,m_date,($G$2+21),m_active,1,m_start,"&lt;"&amp;660,m_end,"&gt;"&amp;600))))))</f>
        <v/>
      </c>
      <c r="BD6" s="82" t="str">
        <f aca="false">IF(OR(BD$4="",MONTH(($G$2+21))&lt;&gt;MONTH($C$2)),"",IF(COUNTIFS(m_teacher,BD$4,m_date,($G$2+21),m_active,1,m_start,"&lt;"&amp;660,m_end,"&gt;"&amp;600)=0,"",IF(COUNTIFS(m_teacher,BD$4,m_date,($G$2+21),m_active,1,m_start,"&lt;"&amp;660,m_end,"&gt;"&amp;600)&gt;1,"충돌",HYPERLINK("#'관리자_MASTER'!D"&amp;_xlfn.MAXIFS(m_row,m_teacher,BD$4,m_date,($G$2+21),m_active,1,m_start,"&lt;"&amp;660,m_end,"&gt;"&amp;600),INDEX(m_label,_xlfn.MAXIFS(m_row,m_teacher,BD$4,m_date,($G$2+21),m_active,1,m_start,"&lt;"&amp;660,m_end,"&gt;"&amp;600))))))</f>
        <v/>
      </c>
      <c r="BE6" s="78"/>
      <c r="BF6" s="79" t="s">
        <v>92</v>
      </c>
      <c r="BG6" s="82" t="str">
        <f aca="false">IF(OR(BG$4="",MONTH(($G$2+28))&lt;&gt;MONTH($C$2)),"",IF(COUNTIFS(m_teacher,BG$4,m_date,($G$2+28),m_active,1,m_start,"&lt;"&amp;660,m_end,"&gt;"&amp;600)=0,"",IF(COUNTIFS(m_teacher,BG$4,m_date,($G$2+28),m_active,1,m_start,"&lt;"&amp;660,m_end,"&gt;"&amp;600)&gt;1,"충돌",HYPERLINK("#'관리자_MASTER'!D"&amp;_xlfn.MAXIFS(m_row,m_teacher,BG$4,m_date,($G$2+28),m_active,1,m_start,"&lt;"&amp;660,m_end,"&gt;"&amp;600),INDEX(m_label,_xlfn.MAXIFS(m_row,m_teacher,BG$4,m_date,($G$2+28),m_active,1,m_start,"&lt;"&amp;660,m_end,"&gt;"&amp;600))))))</f>
        <v/>
      </c>
      <c r="BH6" s="82" t="str">
        <f aca="false">IF(OR(BH$4="",MONTH(($G$2+28))&lt;&gt;MONTH($C$2)),"",IF(COUNTIFS(m_teacher,BH$4,m_date,($G$2+28),m_active,1,m_start,"&lt;"&amp;660,m_end,"&gt;"&amp;600)=0,"",IF(COUNTIFS(m_teacher,BH$4,m_date,($G$2+28),m_active,1,m_start,"&lt;"&amp;660,m_end,"&gt;"&amp;600)&gt;1,"충돌",HYPERLINK("#'관리자_MASTER'!D"&amp;_xlfn.MAXIFS(m_row,m_teacher,BH$4,m_date,($G$2+28),m_active,1,m_start,"&lt;"&amp;660,m_end,"&gt;"&amp;600),INDEX(m_label,_xlfn.MAXIFS(m_row,m_teacher,BH$4,m_date,($G$2+28),m_active,1,m_start,"&lt;"&amp;660,m_end,"&gt;"&amp;600))))))</f>
        <v/>
      </c>
      <c r="BI6" s="82" t="str">
        <f aca="false">IF(OR(BI$4="",MONTH(($G$2+28))&lt;&gt;MONTH($C$2)),"",IF(COUNTIFS(m_teacher,BI$4,m_date,($G$2+28),m_active,1,m_start,"&lt;"&amp;660,m_end,"&gt;"&amp;600)=0,"",IF(COUNTIFS(m_teacher,BI$4,m_date,($G$2+28),m_active,1,m_start,"&lt;"&amp;660,m_end,"&gt;"&amp;600)&gt;1,"충돌",HYPERLINK("#'관리자_MASTER'!D"&amp;_xlfn.MAXIFS(m_row,m_teacher,BI$4,m_date,($G$2+28),m_active,1,m_start,"&lt;"&amp;660,m_end,"&gt;"&amp;600),INDEX(m_label,_xlfn.MAXIFS(m_row,m_teacher,BI$4,m_date,($G$2+28),m_active,1,m_start,"&lt;"&amp;660,m_end,"&gt;"&amp;600))))))</f>
        <v/>
      </c>
      <c r="BJ6" s="82" t="str">
        <f aca="false">IF(OR(BJ$4="",MONTH(($G$2+28))&lt;&gt;MONTH($C$2)),"",IF(COUNTIFS(m_teacher,BJ$4,m_date,($G$2+28),m_active,1,m_start,"&lt;"&amp;660,m_end,"&gt;"&amp;600)=0,"",IF(COUNTIFS(m_teacher,BJ$4,m_date,($G$2+28),m_active,1,m_start,"&lt;"&amp;660,m_end,"&gt;"&amp;600)&gt;1,"충돌",HYPERLINK("#'관리자_MASTER'!D"&amp;_xlfn.MAXIFS(m_row,m_teacher,BJ$4,m_date,($G$2+28),m_active,1,m_start,"&lt;"&amp;660,m_end,"&gt;"&amp;600),INDEX(m_label,_xlfn.MAXIFS(m_row,m_teacher,BJ$4,m_date,($G$2+28),m_active,1,m_start,"&lt;"&amp;660,m_end,"&gt;"&amp;600))))))</f>
        <v/>
      </c>
      <c r="BK6" s="82" t="str">
        <f aca="false">IF(OR(BK$4="",MONTH(($G$2+28))&lt;&gt;MONTH($C$2)),"",IF(COUNTIFS(m_teacher,BK$4,m_date,($G$2+28),m_active,1,m_start,"&lt;"&amp;660,m_end,"&gt;"&amp;600)=0,"",IF(COUNTIFS(m_teacher,BK$4,m_date,($G$2+28),m_active,1,m_start,"&lt;"&amp;660,m_end,"&gt;"&amp;600)&gt;1,"충돌",HYPERLINK("#'관리자_MASTER'!D"&amp;_xlfn.MAXIFS(m_row,m_teacher,BK$4,m_date,($G$2+28),m_active,1,m_start,"&lt;"&amp;660,m_end,"&gt;"&amp;600),INDEX(m_label,_xlfn.MAXIFS(m_row,m_teacher,BK$4,m_date,($G$2+28),m_active,1,m_start,"&lt;"&amp;660,m_end,"&gt;"&amp;600))))))</f>
        <v/>
      </c>
      <c r="BL6" s="82" t="str">
        <f aca="false">IF(OR(BL$4="",MONTH(($G$2+28))&lt;&gt;MONTH($C$2)),"",IF(COUNTIFS(m_teacher,BL$4,m_date,($G$2+28),m_active,1,m_start,"&lt;"&amp;660,m_end,"&gt;"&amp;600)=0,"",IF(COUNTIFS(m_teacher,BL$4,m_date,($G$2+28),m_active,1,m_start,"&lt;"&amp;660,m_end,"&gt;"&amp;600)&gt;1,"충돌",HYPERLINK("#'관리자_MASTER'!D"&amp;_xlfn.MAXIFS(m_row,m_teacher,BL$4,m_date,($G$2+28),m_active,1,m_start,"&lt;"&amp;660,m_end,"&gt;"&amp;600),INDEX(m_label,_xlfn.MAXIFS(m_row,m_teacher,BL$4,m_date,($G$2+28),m_active,1,m_start,"&lt;"&amp;660,m_end,"&gt;"&amp;600))))))</f>
        <v/>
      </c>
      <c r="BM6" s="82" t="str">
        <f aca="false">IF(OR(BM$4="",MONTH(($G$2+28))&lt;&gt;MONTH($C$2)),"",IF(COUNTIFS(m_teacher,BM$4,m_date,($G$2+28),m_active,1,m_start,"&lt;"&amp;660,m_end,"&gt;"&amp;600)=0,"",IF(COUNTIFS(m_teacher,BM$4,m_date,($G$2+28),m_active,1,m_start,"&lt;"&amp;660,m_end,"&gt;"&amp;600)&gt;1,"충돌",HYPERLINK("#'관리자_MASTER'!D"&amp;_xlfn.MAXIFS(m_row,m_teacher,BM$4,m_date,($G$2+28),m_active,1,m_start,"&lt;"&amp;660,m_end,"&gt;"&amp;600),INDEX(m_label,_xlfn.MAXIFS(m_row,m_teacher,BM$4,m_date,($G$2+28),m_active,1,m_start,"&lt;"&amp;660,m_end,"&gt;"&amp;600))))))</f>
        <v/>
      </c>
      <c r="BN6" s="82" t="str">
        <f aca="false">IF(OR(BN$4="",MONTH(($G$2+28))&lt;&gt;MONTH($C$2)),"",IF(COUNTIFS(m_teacher,BN$4,m_date,($G$2+28),m_active,1,m_start,"&lt;"&amp;660,m_end,"&gt;"&amp;600)=0,"",IF(COUNTIFS(m_teacher,BN$4,m_date,($G$2+28),m_active,1,m_start,"&lt;"&amp;660,m_end,"&gt;"&amp;600)&gt;1,"충돌",HYPERLINK("#'관리자_MASTER'!D"&amp;_xlfn.MAXIFS(m_row,m_teacher,BN$4,m_date,($G$2+28),m_active,1,m_start,"&lt;"&amp;660,m_end,"&gt;"&amp;600),INDEX(m_label,_xlfn.MAXIFS(m_row,m_teacher,BN$4,m_date,($G$2+28),m_active,1,m_start,"&lt;"&amp;660,m_end,"&gt;"&amp;600))))))</f>
        <v/>
      </c>
      <c r="BO6" s="82" t="str">
        <f aca="false">IF(OR(BO$4="",MONTH(($G$2+28))&lt;&gt;MONTH($C$2)),"",IF(COUNTIFS(m_teacher,BO$4,m_date,($G$2+28),m_active,1,m_start,"&lt;"&amp;660,m_end,"&gt;"&amp;600)=0,"",IF(COUNTIFS(m_teacher,BO$4,m_date,($G$2+28),m_active,1,m_start,"&lt;"&amp;660,m_end,"&gt;"&amp;600)&gt;1,"충돌",HYPERLINK("#'관리자_MASTER'!D"&amp;_xlfn.MAXIFS(m_row,m_teacher,BO$4,m_date,($G$2+28),m_active,1,m_start,"&lt;"&amp;660,m_end,"&gt;"&amp;600),INDEX(m_label,_xlfn.MAXIFS(m_row,m_teacher,BO$4,m_date,($G$2+28),m_active,1,m_start,"&lt;"&amp;660,m_end,"&gt;"&amp;600))))))</f>
        <v/>
      </c>
      <c r="BP6" s="82" t="str">
        <f aca="false">IF(OR(BP$4="",MONTH(($G$2+28))&lt;&gt;MONTH($C$2)),"",IF(COUNTIFS(m_teacher,BP$4,m_date,($G$2+28),m_active,1,m_start,"&lt;"&amp;660,m_end,"&gt;"&amp;600)=0,"",IF(COUNTIFS(m_teacher,BP$4,m_date,($G$2+28),m_active,1,m_start,"&lt;"&amp;660,m_end,"&gt;"&amp;600)&gt;1,"충돌",HYPERLINK("#'관리자_MASTER'!D"&amp;_xlfn.MAXIFS(m_row,m_teacher,BP$4,m_date,($G$2+28),m_active,1,m_start,"&lt;"&amp;660,m_end,"&gt;"&amp;600),INDEX(m_label,_xlfn.MAXIFS(m_row,m_teacher,BP$4,m_date,($G$2+28),m_active,1,m_start,"&lt;"&amp;660,m_end,"&gt;"&amp;600))))))</f>
        <v/>
      </c>
      <c r="BQ6" s="82" t="str">
        <f aca="false">IF(OR(BQ$4="",MONTH(($G$2+28))&lt;&gt;MONTH($C$2)),"",IF(COUNTIFS(m_teacher,BQ$4,m_date,($G$2+28),m_active,1,m_start,"&lt;"&amp;660,m_end,"&gt;"&amp;600)=0,"",IF(COUNTIFS(m_teacher,BQ$4,m_date,($G$2+28),m_active,1,m_start,"&lt;"&amp;660,m_end,"&gt;"&amp;600)&gt;1,"충돌",HYPERLINK("#'관리자_MASTER'!D"&amp;_xlfn.MAXIFS(m_row,m_teacher,BQ$4,m_date,($G$2+28),m_active,1,m_start,"&lt;"&amp;660,m_end,"&gt;"&amp;600),INDEX(m_label,_xlfn.MAXIFS(m_row,m_teacher,BQ$4,m_date,($G$2+28),m_active,1,m_start,"&lt;"&amp;660,m_end,"&gt;"&amp;600))))))</f>
        <v/>
      </c>
      <c r="BR6" s="82" t="str">
        <f aca="false">IF(OR(BR$4="",MONTH(($G$2+28))&lt;&gt;MONTH($C$2)),"",IF(COUNTIFS(m_teacher,BR$4,m_date,($G$2+28),m_active,1,m_start,"&lt;"&amp;660,m_end,"&gt;"&amp;600)=0,"",IF(COUNTIFS(m_teacher,BR$4,m_date,($G$2+28),m_active,1,m_start,"&lt;"&amp;660,m_end,"&gt;"&amp;600)&gt;1,"충돌",HYPERLINK("#'관리자_MASTER'!D"&amp;_xlfn.MAXIFS(m_row,m_teacher,BR$4,m_date,($G$2+28),m_active,1,m_start,"&lt;"&amp;660,m_end,"&gt;"&amp;600),INDEX(m_label,_xlfn.MAXIFS(m_row,m_teacher,BR$4,m_date,($G$2+28),m_active,1,m_start,"&lt;"&amp;660,m_end,"&gt;"&amp;600))))))</f>
        <v/>
      </c>
    </row>
    <row r="7" customFormat="false" ht="19.5" hidden="false" customHeight="true" outlineLevel="0" collapsed="false">
      <c r="A7" s="75"/>
      <c r="B7" s="76" t="s">
        <v>93</v>
      </c>
      <c r="C7" s="81" t="str">
        <f aca="false">IF(OR(C$4="",MONTH(($G$2+0))&lt;&gt;MONTH($C$2)),"",IF(COUNTIFS(m_teacher,C$4,m_date,($G$2+0),m_active,1,m_start,"&lt;"&amp;720,m_end,"&gt;"&amp;660)=0,"",IF(COUNTIFS(m_teacher,C$4,m_date,($G$2+0),m_active,1,m_start,"&lt;"&amp;720,m_end,"&gt;"&amp;660)&gt;1,"충돌",HYPERLINK("#'관리자_MASTER'!D"&amp;_xlfn.MAXIFS(m_row,m_teacher,C$4,m_date,($G$2+0),m_active,1,m_start,"&lt;"&amp;720,m_end,"&gt;"&amp;660),INDEX(m_label,_xlfn.MAXIFS(m_row,m_teacher,C$4,m_date,($G$2+0),m_active,1,m_start,"&lt;"&amp;720,m_end,"&gt;"&amp;660))))))</f>
        <v/>
      </c>
      <c r="D7" s="81" t="str">
        <f aca="false">IF(OR(D$4="",MONTH(($G$2+0))&lt;&gt;MONTH($C$2)),"",IF(COUNTIFS(m_teacher,D$4,m_date,($G$2+0),m_active,1,m_start,"&lt;"&amp;720,m_end,"&gt;"&amp;660)=0,"",IF(COUNTIFS(m_teacher,D$4,m_date,($G$2+0),m_active,1,m_start,"&lt;"&amp;720,m_end,"&gt;"&amp;660)&gt;1,"충돌",HYPERLINK("#'관리자_MASTER'!D"&amp;_xlfn.MAXIFS(m_row,m_teacher,D$4,m_date,($G$2+0),m_active,1,m_start,"&lt;"&amp;720,m_end,"&gt;"&amp;660),INDEX(m_label,_xlfn.MAXIFS(m_row,m_teacher,D$4,m_date,($G$2+0),m_active,1,m_start,"&lt;"&amp;720,m_end,"&gt;"&amp;660))))))</f>
        <v/>
      </c>
      <c r="E7" s="81" t="str">
        <f aca="false">IF(OR(E$4="",MONTH(($G$2+0))&lt;&gt;MONTH($C$2)),"",IF(COUNTIFS(m_teacher,E$4,m_date,($G$2+0),m_active,1,m_start,"&lt;"&amp;720,m_end,"&gt;"&amp;660)=0,"",IF(COUNTIFS(m_teacher,E$4,m_date,($G$2+0),m_active,1,m_start,"&lt;"&amp;720,m_end,"&gt;"&amp;660)&gt;1,"충돌",HYPERLINK("#'관리자_MASTER'!D"&amp;_xlfn.MAXIFS(m_row,m_teacher,E$4,m_date,($G$2+0),m_active,1,m_start,"&lt;"&amp;720,m_end,"&gt;"&amp;660),INDEX(m_label,_xlfn.MAXIFS(m_row,m_teacher,E$4,m_date,($G$2+0),m_active,1,m_start,"&lt;"&amp;720,m_end,"&gt;"&amp;660))))))</f>
        <v/>
      </c>
      <c r="F7" s="81" t="str">
        <f aca="false">IF(OR(F$4="",MONTH(($G$2+0))&lt;&gt;MONTH($C$2)),"",IF(COUNTIFS(m_teacher,F$4,m_date,($G$2+0),m_active,1,m_start,"&lt;"&amp;720,m_end,"&gt;"&amp;660)=0,"",IF(COUNTIFS(m_teacher,F$4,m_date,($G$2+0),m_active,1,m_start,"&lt;"&amp;720,m_end,"&gt;"&amp;660)&gt;1,"충돌",HYPERLINK("#'관리자_MASTER'!D"&amp;_xlfn.MAXIFS(m_row,m_teacher,F$4,m_date,($G$2+0),m_active,1,m_start,"&lt;"&amp;720,m_end,"&gt;"&amp;660),INDEX(m_label,_xlfn.MAXIFS(m_row,m_teacher,F$4,m_date,($G$2+0),m_active,1,m_start,"&lt;"&amp;720,m_end,"&gt;"&amp;660))))))</f>
        <v/>
      </c>
      <c r="G7" s="81" t="str">
        <f aca="false">IF(OR(G$4="",MONTH(($G$2+0))&lt;&gt;MONTH($C$2)),"",IF(COUNTIFS(m_teacher,G$4,m_date,($G$2+0),m_active,1,m_start,"&lt;"&amp;720,m_end,"&gt;"&amp;660)=0,"",IF(COUNTIFS(m_teacher,G$4,m_date,($G$2+0),m_active,1,m_start,"&lt;"&amp;720,m_end,"&gt;"&amp;660)&gt;1,"충돌",HYPERLINK("#'관리자_MASTER'!D"&amp;_xlfn.MAXIFS(m_row,m_teacher,G$4,m_date,($G$2+0),m_active,1,m_start,"&lt;"&amp;720,m_end,"&gt;"&amp;660),INDEX(m_label,_xlfn.MAXIFS(m_row,m_teacher,G$4,m_date,($G$2+0),m_active,1,m_start,"&lt;"&amp;720,m_end,"&gt;"&amp;660))))))</f>
        <v/>
      </c>
      <c r="H7" s="81" t="str">
        <f aca="false">IF(OR(H$4="",MONTH(($G$2+0))&lt;&gt;MONTH($C$2)),"",IF(COUNTIFS(m_teacher,H$4,m_date,($G$2+0),m_active,1,m_start,"&lt;"&amp;720,m_end,"&gt;"&amp;660)=0,"",IF(COUNTIFS(m_teacher,H$4,m_date,($G$2+0),m_active,1,m_start,"&lt;"&amp;720,m_end,"&gt;"&amp;660)&gt;1,"충돌",HYPERLINK("#'관리자_MASTER'!D"&amp;_xlfn.MAXIFS(m_row,m_teacher,H$4,m_date,($G$2+0),m_active,1,m_start,"&lt;"&amp;720,m_end,"&gt;"&amp;660),INDEX(m_label,_xlfn.MAXIFS(m_row,m_teacher,H$4,m_date,($G$2+0),m_active,1,m_start,"&lt;"&amp;720,m_end,"&gt;"&amp;660))))))</f>
        <v/>
      </c>
      <c r="I7" s="81" t="str">
        <f aca="false">IF(OR(I$4="",MONTH(($G$2+0))&lt;&gt;MONTH($C$2)),"",IF(COUNTIFS(m_teacher,I$4,m_date,($G$2+0),m_active,1,m_start,"&lt;"&amp;720,m_end,"&gt;"&amp;660)=0,"",IF(COUNTIFS(m_teacher,I$4,m_date,($G$2+0),m_active,1,m_start,"&lt;"&amp;720,m_end,"&gt;"&amp;660)&gt;1,"충돌",HYPERLINK("#'관리자_MASTER'!D"&amp;_xlfn.MAXIFS(m_row,m_teacher,I$4,m_date,($G$2+0),m_active,1,m_start,"&lt;"&amp;720,m_end,"&gt;"&amp;660),INDEX(m_label,_xlfn.MAXIFS(m_row,m_teacher,I$4,m_date,($G$2+0),m_active,1,m_start,"&lt;"&amp;720,m_end,"&gt;"&amp;660))))))</f>
        <v/>
      </c>
      <c r="J7" s="81" t="str">
        <f aca="false">IF(OR(J$4="",MONTH(($G$2+0))&lt;&gt;MONTH($C$2)),"",IF(COUNTIFS(m_teacher,J$4,m_date,($G$2+0),m_active,1,m_start,"&lt;"&amp;720,m_end,"&gt;"&amp;660)=0,"",IF(COUNTIFS(m_teacher,J$4,m_date,($G$2+0),m_active,1,m_start,"&lt;"&amp;720,m_end,"&gt;"&amp;660)&gt;1,"충돌",HYPERLINK("#'관리자_MASTER'!D"&amp;_xlfn.MAXIFS(m_row,m_teacher,J$4,m_date,($G$2+0),m_active,1,m_start,"&lt;"&amp;720,m_end,"&gt;"&amp;660),INDEX(m_label,_xlfn.MAXIFS(m_row,m_teacher,J$4,m_date,($G$2+0),m_active,1,m_start,"&lt;"&amp;720,m_end,"&gt;"&amp;660))))))</f>
        <v/>
      </c>
      <c r="K7" s="81" t="str">
        <f aca="false">IF(OR(K$4="",MONTH(($G$2+0))&lt;&gt;MONTH($C$2)),"",IF(COUNTIFS(m_teacher,K$4,m_date,($G$2+0),m_active,1,m_start,"&lt;"&amp;720,m_end,"&gt;"&amp;660)=0,"",IF(COUNTIFS(m_teacher,K$4,m_date,($G$2+0),m_active,1,m_start,"&lt;"&amp;720,m_end,"&gt;"&amp;660)&gt;1,"충돌",HYPERLINK("#'관리자_MASTER'!D"&amp;_xlfn.MAXIFS(m_row,m_teacher,K$4,m_date,($G$2+0),m_active,1,m_start,"&lt;"&amp;720,m_end,"&gt;"&amp;660),INDEX(m_label,_xlfn.MAXIFS(m_row,m_teacher,K$4,m_date,($G$2+0),m_active,1,m_start,"&lt;"&amp;720,m_end,"&gt;"&amp;660))))))</f>
        <v/>
      </c>
      <c r="L7" s="81" t="str">
        <f aca="false">IF(OR(L$4="",MONTH(($G$2+0))&lt;&gt;MONTH($C$2)),"",IF(COUNTIFS(m_teacher,L$4,m_date,($G$2+0),m_active,1,m_start,"&lt;"&amp;720,m_end,"&gt;"&amp;660)=0,"",IF(COUNTIFS(m_teacher,L$4,m_date,($G$2+0),m_active,1,m_start,"&lt;"&amp;720,m_end,"&gt;"&amp;660)&gt;1,"충돌",HYPERLINK("#'관리자_MASTER'!D"&amp;_xlfn.MAXIFS(m_row,m_teacher,L$4,m_date,($G$2+0),m_active,1,m_start,"&lt;"&amp;720,m_end,"&gt;"&amp;660),INDEX(m_label,_xlfn.MAXIFS(m_row,m_teacher,L$4,m_date,($G$2+0),m_active,1,m_start,"&lt;"&amp;720,m_end,"&gt;"&amp;660))))))</f>
        <v/>
      </c>
      <c r="M7" s="81" t="str">
        <f aca="false">IF(OR(M$4="",MONTH(($G$2+0))&lt;&gt;MONTH($C$2)),"",IF(COUNTIFS(m_teacher,M$4,m_date,($G$2+0),m_active,1,m_start,"&lt;"&amp;720,m_end,"&gt;"&amp;660)=0,"",IF(COUNTIFS(m_teacher,M$4,m_date,($G$2+0),m_active,1,m_start,"&lt;"&amp;720,m_end,"&gt;"&amp;660)&gt;1,"충돌",HYPERLINK("#'관리자_MASTER'!D"&amp;_xlfn.MAXIFS(m_row,m_teacher,M$4,m_date,($G$2+0),m_active,1,m_start,"&lt;"&amp;720,m_end,"&gt;"&amp;660),INDEX(m_label,_xlfn.MAXIFS(m_row,m_teacher,M$4,m_date,($G$2+0),m_active,1,m_start,"&lt;"&amp;720,m_end,"&gt;"&amp;660))))))</f>
        <v/>
      </c>
      <c r="N7" s="81" t="str">
        <f aca="false">IF(OR(N$4="",MONTH(($G$2+0))&lt;&gt;MONTH($C$2)),"",IF(COUNTIFS(m_teacher,N$4,m_date,($G$2+0),m_active,1,m_start,"&lt;"&amp;720,m_end,"&gt;"&amp;660)=0,"",IF(COUNTIFS(m_teacher,N$4,m_date,($G$2+0),m_active,1,m_start,"&lt;"&amp;720,m_end,"&gt;"&amp;660)&gt;1,"충돌",HYPERLINK("#'관리자_MASTER'!D"&amp;_xlfn.MAXIFS(m_row,m_teacher,N$4,m_date,($G$2+0),m_active,1,m_start,"&lt;"&amp;720,m_end,"&gt;"&amp;660),INDEX(m_label,_xlfn.MAXIFS(m_row,m_teacher,N$4,m_date,($G$2+0),m_active,1,m_start,"&lt;"&amp;720,m_end,"&gt;"&amp;660))))))</f>
        <v/>
      </c>
      <c r="O7" s="78"/>
      <c r="P7" s="79" t="s">
        <v>93</v>
      </c>
      <c r="Q7" s="82" t="str">
        <f aca="false">IF(OR(Q$4="",MONTH(($G$2+7))&lt;&gt;MONTH($C$2)),"",IF(COUNTIFS(m_teacher,Q$4,m_date,($G$2+7),m_active,1,m_start,"&lt;"&amp;720,m_end,"&gt;"&amp;660)=0,"",IF(COUNTIFS(m_teacher,Q$4,m_date,($G$2+7),m_active,1,m_start,"&lt;"&amp;720,m_end,"&gt;"&amp;660)&gt;1,"충돌",HYPERLINK("#'관리자_MASTER'!D"&amp;_xlfn.MAXIFS(m_row,m_teacher,Q$4,m_date,($G$2+7),m_active,1,m_start,"&lt;"&amp;720,m_end,"&gt;"&amp;660),INDEX(m_label,_xlfn.MAXIFS(m_row,m_teacher,Q$4,m_date,($G$2+7),m_active,1,m_start,"&lt;"&amp;720,m_end,"&gt;"&amp;660))))))</f>
        <v/>
      </c>
      <c r="R7" s="82" t="str">
        <f aca="false">IF(OR(R$4="",MONTH(($G$2+7))&lt;&gt;MONTH($C$2)),"",IF(COUNTIFS(m_teacher,R$4,m_date,($G$2+7),m_active,1,m_start,"&lt;"&amp;720,m_end,"&gt;"&amp;660)=0,"",IF(COUNTIFS(m_teacher,R$4,m_date,($G$2+7),m_active,1,m_start,"&lt;"&amp;720,m_end,"&gt;"&amp;660)&gt;1,"충돌",HYPERLINK("#'관리자_MASTER'!D"&amp;_xlfn.MAXIFS(m_row,m_teacher,R$4,m_date,($G$2+7),m_active,1,m_start,"&lt;"&amp;720,m_end,"&gt;"&amp;660),INDEX(m_label,_xlfn.MAXIFS(m_row,m_teacher,R$4,m_date,($G$2+7),m_active,1,m_start,"&lt;"&amp;720,m_end,"&gt;"&amp;660))))))</f>
        <v/>
      </c>
      <c r="S7" s="82" t="str">
        <f aca="false">IF(OR(S$4="",MONTH(($G$2+7))&lt;&gt;MONTH($C$2)),"",IF(COUNTIFS(m_teacher,S$4,m_date,($G$2+7),m_active,1,m_start,"&lt;"&amp;720,m_end,"&gt;"&amp;660)=0,"",IF(COUNTIFS(m_teacher,S$4,m_date,($G$2+7),m_active,1,m_start,"&lt;"&amp;720,m_end,"&gt;"&amp;660)&gt;1,"충돌",HYPERLINK("#'관리자_MASTER'!D"&amp;_xlfn.MAXIFS(m_row,m_teacher,S$4,m_date,($G$2+7),m_active,1,m_start,"&lt;"&amp;720,m_end,"&gt;"&amp;660),INDEX(m_label,_xlfn.MAXIFS(m_row,m_teacher,S$4,m_date,($G$2+7),m_active,1,m_start,"&lt;"&amp;720,m_end,"&gt;"&amp;660))))))</f>
        <v/>
      </c>
      <c r="T7" s="82" t="str">
        <f aca="false">IF(OR(T$4="",MONTH(($G$2+7))&lt;&gt;MONTH($C$2)),"",IF(COUNTIFS(m_teacher,T$4,m_date,($G$2+7),m_active,1,m_start,"&lt;"&amp;720,m_end,"&gt;"&amp;660)=0,"",IF(COUNTIFS(m_teacher,T$4,m_date,($G$2+7),m_active,1,m_start,"&lt;"&amp;720,m_end,"&gt;"&amp;660)&gt;1,"충돌",HYPERLINK("#'관리자_MASTER'!D"&amp;_xlfn.MAXIFS(m_row,m_teacher,T$4,m_date,($G$2+7),m_active,1,m_start,"&lt;"&amp;720,m_end,"&gt;"&amp;660),INDEX(m_label,_xlfn.MAXIFS(m_row,m_teacher,T$4,m_date,($G$2+7),m_active,1,m_start,"&lt;"&amp;720,m_end,"&gt;"&amp;660))))))</f>
        <v/>
      </c>
      <c r="U7" s="82" t="str">
        <f aca="false">IF(OR(U$4="",MONTH(($G$2+7))&lt;&gt;MONTH($C$2)),"",IF(COUNTIFS(m_teacher,U$4,m_date,($G$2+7),m_active,1,m_start,"&lt;"&amp;720,m_end,"&gt;"&amp;660)=0,"",IF(COUNTIFS(m_teacher,U$4,m_date,($G$2+7),m_active,1,m_start,"&lt;"&amp;720,m_end,"&gt;"&amp;660)&gt;1,"충돌",HYPERLINK("#'관리자_MASTER'!D"&amp;_xlfn.MAXIFS(m_row,m_teacher,U$4,m_date,($G$2+7),m_active,1,m_start,"&lt;"&amp;720,m_end,"&gt;"&amp;660),INDEX(m_label,_xlfn.MAXIFS(m_row,m_teacher,U$4,m_date,($G$2+7),m_active,1,m_start,"&lt;"&amp;720,m_end,"&gt;"&amp;660))))))</f>
        <v/>
      </c>
      <c r="V7" s="82" t="str">
        <f aca="false">IF(OR(V$4="",MONTH(($G$2+7))&lt;&gt;MONTH($C$2)),"",IF(COUNTIFS(m_teacher,V$4,m_date,($G$2+7),m_active,1,m_start,"&lt;"&amp;720,m_end,"&gt;"&amp;660)=0,"",IF(COUNTIFS(m_teacher,V$4,m_date,($G$2+7),m_active,1,m_start,"&lt;"&amp;720,m_end,"&gt;"&amp;660)&gt;1,"충돌",HYPERLINK("#'관리자_MASTER'!D"&amp;_xlfn.MAXIFS(m_row,m_teacher,V$4,m_date,($G$2+7),m_active,1,m_start,"&lt;"&amp;720,m_end,"&gt;"&amp;660),INDEX(m_label,_xlfn.MAXIFS(m_row,m_teacher,V$4,m_date,($G$2+7),m_active,1,m_start,"&lt;"&amp;720,m_end,"&gt;"&amp;660))))))</f>
        <v/>
      </c>
      <c r="W7" s="82" t="str">
        <f aca="false">IF(OR(W$4="",MONTH(($G$2+7))&lt;&gt;MONTH($C$2)),"",IF(COUNTIFS(m_teacher,W$4,m_date,($G$2+7),m_active,1,m_start,"&lt;"&amp;720,m_end,"&gt;"&amp;660)=0,"",IF(COUNTIFS(m_teacher,W$4,m_date,($G$2+7),m_active,1,m_start,"&lt;"&amp;720,m_end,"&gt;"&amp;660)&gt;1,"충돌",HYPERLINK("#'관리자_MASTER'!D"&amp;_xlfn.MAXIFS(m_row,m_teacher,W$4,m_date,($G$2+7),m_active,1,m_start,"&lt;"&amp;720,m_end,"&gt;"&amp;660),INDEX(m_label,_xlfn.MAXIFS(m_row,m_teacher,W$4,m_date,($G$2+7),m_active,1,m_start,"&lt;"&amp;720,m_end,"&gt;"&amp;660))))))</f>
        <v/>
      </c>
      <c r="X7" s="82" t="str">
        <f aca="false">IF(OR(X$4="",MONTH(($G$2+7))&lt;&gt;MONTH($C$2)),"",IF(COUNTIFS(m_teacher,X$4,m_date,($G$2+7),m_active,1,m_start,"&lt;"&amp;720,m_end,"&gt;"&amp;660)=0,"",IF(COUNTIFS(m_teacher,X$4,m_date,($G$2+7),m_active,1,m_start,"&lt;"&amp;720,m_end,"&gt;"&amp;660)&gt;1,"충돌",HYPERLINK("#'관리자_MASTER'!D"&amp;_xlfn.MAXIFS(m_row,m_teacher,X$4,m_date,($G$2+7),m_active,1,m_start,"&lt;"&amp;720,m_end,"&gt;"&amp;660),INDEX(m_label,_xlfn.MAXIFS(m_row,m_teacher,X$4,m_date,($G$2+7),m_active,1,m_start,"&lt;"&amp;720,m_end,"&gt;"&amp;660))))))</f>
        <v/>
      </c>
      <c r="Y7" s="82" t="str">
        <f aca="false">IF(OR(Y$4="",MONTH(($G$2+7))&lt;&gt;MONTH($C$2)),"",IF(COUNTIFS(m_teacher,Y$4,m_date,($G$2+7),m_active,1,m_start,"&lt;"&amp;720,m_end,"&gt;"&amp;660)=0,"",IF(COUNTIFS(m_teacher,Y$4,m_date,($G$2+7),m_active,1,m_start,"&lt;"&amp;720,m_end,"&gt;"&amp;660)&gt;1,"충돌",HYPERLINK("#'관리자_MASTER'!D"&amp;_xlfn.MAXIFS(m_row,m_teacher,Y$4,m_date,($G$2+7),m_active,1,m_start,"&lt;"&amp;720,m_end,"&gt;"&amp;660),INDEX(m_label,_xlfn.MAXIFS(m_row,m_teacher,Y$4,m_date,($G$2+7),m_active,1,m_start,"&lt;"&amp;720,m_end,"&gt;"&amp;660))))))</f>
        <v/>
      </c>
      <c r="Z7" s="82" t="str">
        <f aca="false">IF(OR(Z$4="",MONTH(($G$2+7))&lt;&gt;MONTH($C$2)),"",IF(COUNTIFS(m_teacher,Z$4,m_date,($G$2+7),m_active,1,m_start,"&lt;"&amp;720,m_end,"&gt;"&amp;660)=0,"",IF(COUNTIFS(m_teacher,Z$4,m_date,($G$2+7),m_active,1,m_start,"&lt;"&amp;720,m_end,"&gt;"&amp;660)&gt;1,"충돌",HYPERLINK("#'관리자_MASTER'!D"&amp;_xlfn.MAXIFS(m_row,m_teacher,Z$4,m_date,($G$2+7),m_active,1,m_start,"&lt;"&amp;720,m_end,"&gt;"&amp;660),INDEX(m_label,_xlfn.MAXIFS(m_row,m_teacher,Z$4,m_date,($G$2+7),m_active,1,m_start,"&lt;"&amp;720,m_end,"&gt;"&amp;660))))))</f>
        <v/>
      </c>
      <c r="AA7" s="82" t="str">
        <f aca="false">IF(OR(AA$4="",MONTH(($G$2+7))&lt;&gt;MONTH($C$2)),"",IF(COUNTIFS(m_teacher,AA$4,m_date,($G$2+7),m_active,1,m_start,"&lt;"&amp;720,m_end,"&gt;"&amp;660)=0,"",IF(COUNTIFS(m_teacher,AA$4,m_date,($G$2+7),m_active,1,m_start,"&lt;"&amp;720,m_end,"&gt;"&amp;660)&gt;1,"충돌",HYPERLINK("#'관리자_MASTER'!D"&amp;_xlfn.MAXIFS(m_row,m_teacher,AA$4,m_date,($G$2+7),m_active,1,m_start,"&lt;"&amp;720,m_end,"&gt;"&amp;660),INDEX(m_label,_xlfn.MAXIFS(m_row,m_teacher,AA$4,m_date,($G$2+7),m_active,1,m_start,"&lt;"&amp;720,m_end,"&gt;"&amp;660))))))</f>
        <v/>
      </c>
      <c r="AB7" s="82" t="str">
        <f aca="false">IF(OR(AB$4="",MONTH(($G$2+7))&lt;&gt;MONTH($C$2)),"",IF(COUNTIFS(m_teacher,AB$4,m_date,($G$2+7),m_active,1,m_start,"&lt;"&amp;720,m_end,"&gt;"&amp;660)=0,"",IF(COUNTIFS(m_teacher,AB$4,m_date,($G$2+7),m_active,1,m_start,"&lt;"&amp;720,m_end,"&gt;"&amp;660)&gt;1,"충돌",HYPERLINK("#'관리자_MASTER'!D"&amp;_xlfn.MAXIFS(m_row,m_teacher,AB$4,m_date,($G$2+7),m_active,1,m_start,"&lt;"&amp;720,m_end,"&gt;"&amp;660),INDEX(m_label,_xlfn.MAXIFS(m_row,m_teacher,AB$4,m_date,($G$2+7),m_active,1,m_start,"&lt;"&amp;720,m_end,"&gt;"&amp;660))))))</f>
        <v/>
      </c>
      <c r="AC7" s="78"/>
      <c r="AD7" s="79" t="s">
        <v>93</v>
      </c>
      <c r="AE7" s="82" t="str">
        <f aca="false">IF(OR(AE$4="",MONTH(($G$2+14))&lt;&gt;MONTH($C$2)),"",IF(COUNTIFS(m_teacher,AE$4,m_date,($G$2+14),m_active,1,m_start,"&lt;"&amp;720,m_end,"&gt;"&amp;660)=0,"",IF(COUNTIFS(m_teacher,AE$4,m_date,($G$2+14),m_active,1,m_start,"&lt;"&amp;720,m_end,"&gt;"&amp;660)&gt;1,"충돌",HYPERLINK("#'관리자_MASTER'!D"&amp;_xlfn.MAXIFS(m_row,m_teacher,AE$4,m_date,($G$2+14),m_active,1,m_start,"&lt;"&amp;720,m_end,"&gt;"&amp;660),INDEX(m_label,_xlfn.MAXIFS(m_row,m_teacher,AE$4,m_date,($G$2+14),m_active,1,m_start,"&lt;"&amp;720,m_end,"&gt;"&amp;660))))))</f>
        <v/>
      </c>
      <c r="AF7" s="82" t="str">
        <f aca="false">IF(OR(AF$4="",MONTH(($G$2+14))&lt;&gt;MONTH($C$2)),"",IF(COUNTIFS(m_teacher,AF$4,m_date,($G$2+14),m_active,1,m_start,"&lt;"&amp;720,m_end,"&gt;"&amp;660)=0,"",IF(COUNTIFS(m_teacher,AF$4,m_date,($G$2+14),m_active,1,m_start,"&lt;"&amp;720,m_end,"&gt;"&amp;660)&gt;1,"충돌",HYPERLINK("#'관리자_MASTER'!D"&amp;_xlfn.MAXIFS(m_row,m_teacher,AF$4,m_date,($G$2+14),m_active,1,m_start,"&lt;"&amp;720,m_end,"&gt;"&amp;660),INDEX(m_label,_xlfn.MAXIFS(m_row,m_teacher,AF$4,m_date,($G$2+14),m_active,1,m_start,"&lt;"&amp;720,m_end,"&gt;"&amp;660))))))</f>
        <v/>
      </c>
      <c r="AG7" s="82" t="str">
        <f aca="false">IF(OR(AG$4="",MONTH(($G$2+14))&lt;&gt;MONTH($C$2)),"",IF(COUNTIFS(m_teacher,AG$4,m_date,($G$2+14),m_active,1,m_start,"&lt;"&amp;720,m_end,"&gt;"&amp;660)=0,"",IF(COUNTIFS(m_teacher,AG$4,m_date,($G$2+14),m_active,1,m_start,"&lt;"&amp;720,m_end,"&gt;"&amp;660)&gt;1,"충돌",HYPERLINK("#'관리자_MASTER'!D"&amp;_xlfn.MAXIFS(m_row,m_teacher,AG$4,m_date,($G$2+14),m_active,1,m_start,"&lt;"&amp;720,m_end,"&gt;"&amp;660),INDEX(m_label,_xlfn.MAXIFS(m_row,m_teacher,AG$4,m_date,($G$2+14),m_active,1,m_start,"&lt;"&amp;720,m_end,"&gt;"&amp;660))))))</f>
        <v/>
      </c>
      <c r="AH7" s="82" t="str">
        <f aca="false">IF(OR(AH$4="",MONTH(($G$2+14))&lt;&gt;MONTH($C$2)),"",IF(COUNTIFS(m_teacher,AH$4,m_date,($G$2+14),m_active,1,m_start,"&lt;"&amp;720,m_end,"&gt;"&amp;660)=0,"",IF(COUNTIFS(m_teacher,AH$4,m_date,($G$2+14),m_active,1,m_start,"&lt;"&amp;720,m_end,"&gt;"&amp;660)&gt;1,"충돌",HYPERLINK("#'관리자_MASTER'!D"&amp;_xlfn.MAXIFS(m_row,m_teacher,AH$4,m_date,($G$2+14),m_active,1,m_start,"&lt;"&amp;720,m_end,"&gt;"&amp;660),INDEX(m_label,_xlfn.MAXIFS(m_row,m_teacher,AH$4,m_date,($G$2+14),m_active,1,m_start,"&lt;"&amp;720,m_end,"&gt;"&amp;660))))))</f>
        <v/>
      </c>
      <c r="AI7" s="82" t="str">
        <f aca="false">IF(OR(AI$4="",MONTH(($G$2+14))&lt;&gt;MONTH($C$2)),"",IF(COUNTIFS(m_teacher,AI$4,m_date,($G$2+14),m_active,1,m_start,"&lt;"&amp;720,m_end,"&gt;"&amp;660)=0,"",IF(COUNTIFS(m_teacher,AI$4,m_date,($G$2+14),m_active,1,m_start,"&lt;"&amp;720,m_end,"&gt;"&amp;660)&gt;1,"충돌",HYPERLINK("#'관리자_MASTER'!D"&amp;_xlfn.MAXIFS(m_row,m_teacher,AI$4,m_date,($G$2+14),m_active,1,m_start,"&lt;"&amp;720,m_end,"&gt;"&amp;660),INDEX(m_label,_xlfn.MAXIFS(m_row,m_teacher,AI$4,m_date,($G$2+14),m_active,1,m_start,"&lt;"&amp;720,m_end,"&gt;"&amp;660))))))</f>
        <v/>
      </c>
      <c r="AJ7" s="82" t="str">
        <f aca="false">IF(OR(AJ$4="",MONTH(($G$2+14))&lt;&gt;MONTH($C$2)),"",IF(COUNTIFS(m_teacher,AJ$4,m_date,($G$2+14),m_active,1,m_start,"&lt;"&amp;720,m_end,"&gt;"&amp;660)=0,"",IF(COUNTIFS(m_teacher,AJ$4,m_date,($G$2+14),m_active,1,m_start,"&lt;"&amp;720,m_end,"&gt;"&amp;660)&gt;1,"충돌",HYPERLINK("#'관리자_MASTER'!D"&amp;_xlfn.MAXIFS(m_row,m_teacher,AJ$4,m_date,($G$2+14),m_active,1,m_start,"&lt;"&amp;720,m_end,"&gt;"&amp;660),INDEX(m_label,_xlfn.MAXIFS(m_row,m_teacher,AJ$4,m_date,($G$2+14),m_active,1,m_start,"&lt;"&amp;720,m_end,"&gt;"&amp;660))))))</f>
        <v/>
      </c>
      <c r="AK7" s="82" t="str">
        <f aca="false">IF(OR(AK$4="",MONTH(($G$2+14))&lt;&gt;MONTH($C$2)),"",IF(COUNTIFS(m_teacher,AK$4,m_date,($G$2+14),m_active,1,m_start,"&lt;"&amp;720,m_end,"&gt;"&amp;660)=0,"",IF(COUNTIFS(m_teacher,AK$4,m_date,($G$2+14),m_active,1,m_start,"&lt;"&amp;720,m_end,"&gt;"&amp;660)&gt;1,"충돌",HYPERLINK("#'관리자_MASTER'!D"&amp;_xlfn.MAXIFS(m_row,m_teacher,AK$4,m_date,($G$2+14),m_active,1,m_start,"&lt;"&amp;720,m_end,"&gt;"&amp;660),INDEX(m_label,_xlfn.MAXIFS(m_row,m_teacher,AK$4,m_date,($G$2+14),m_active,1,m_start,"&lt;"&amp;720,m_end,"&gt;"&amp;660))))))</f>
        <v/>
      </c>
      <c r="AL7" s="82" t="str">
        <f aca="false">IF(OR(AL$4="",MONTH(($G$2+14))&lt;&gt;MONTH($C$2)),"",IF(COUNTIFS(m_teacher,AL$4,m_date,($G$2+14),m_active,1,m_start,"&lt;"&amp;720,m_end,"&gt;"&amp;660)=0,"",IF(COUNTIFS(m_teacher,AL$4,m_date,($G$2+14),m_active,1,m_start,"&lt;"&amp;720,m_end,"&gt;"&amp;660)&gt;1,"충돌",HYPERLINK("#'관리자_MASTER'!D"&amp;_xlfn.MAXIFS(m_row,m_teacher,AL$4,m_date,($G$2+14),m_active,1,m_start,"&lt;"&amp;720,m_end,"&gt;"&amp;660),INDEX(m_label,_xlfn.MAXIFS(m_row,m_teacher,AL$4,m_date,($G$2+14),m_active,1,m_start,"&lt;"&amp;720,m_end,"&gt;"&amp;660))))))</f>
        <v/>
      </c>
      <c r="AM7" s="82" t="str">
        <f aca="false">IF(OR(AM$4="",MONTH(($G$2+14))&lt;&gt;MONTH($C$2)),"",IF(COUNTIFS(m_teacher,AM$4,m_date,($G$2+14),m_active,1,m_start,"&lt;"&amp;720,m_end,"&gt;"&amp;660)=0,"",IF(COUNTIFS(m_teacher,AM$4,m_date,($G$2+14),m_active,1,m_start,"&lt;"&amp;720,m_end,"&gt;"&amp;660)&gt;1,"충돌",HYPERLINK("#'관리자_MASTER'!D"&amp;_xlfn.MAXIFS(m_row,m_teacher,AM$4,m_date,($G$2+14),m_active,1,m_start,"&lt;"&amp;720,m_end,"&gt;"&amp;660),INDEX(m_label,_xlfn.MAXIFS(m_row,m_teacher,AM$4,m_date,($G$2+14),m_active,1,m_start,"&lt;"&amp;720,m_end,"&gt;"&amp;660))))))</f>
        <v/>
      </c>
      <c r="AN7" s="82" t="str">
        <f aca="false">IF(OR(AN$4="",MONTH(($G$2+14))&lt;&gt;MONTH($C$2)),"",IF(COUNTIFS(m_teacher,AN$4,m_date,($G$2+14),m_active,1,m_start,"&lt;"&amp;720,m_end,"&gt;"&amp;660)=0,"",IF(COUNTIFS(m_teacher,AN$4,m_date,($G$2+14),m_active,1,m_start,"&lt;"&amp;720,m_end,"&gt;"&amp;660)&gt;1,"충돌",HYPERLINK("#'관리자_MASTER'!D"&amp;_xlfn.MAXIFS(m_row,m_teacher,AN$4,m_date,($G$2+14),m_active,1,m_start,"&lt;"&amp;720,m_end,"&gt;"&amp;660),INDEX(m_label,_xlfn.MAXIFS(m_row,m_teacher,AN$4,m_date,($G$2+14),m_active,1,m_start,"&lt;"&amp;720,m_end,"&gt;"&amp;660))))))</f>
        <v/>
      </c>
      <c r="AO7" s="82" t="str">
        <f aca="false">IF(OR(AO$4="",MONTH(($G$2+14))&lt;&gt;MONTH($C$2)),"",IF(COUNTIFS(m_teacher,AO$4,m_date,($G$2+14),m_active,1,m_start,"&lt;"&amp;720,m_end,"&gt;"&amp;660)=0,"",IF(COUNTIFS(m_teacher,AO$4,m_date,($G$2+14),m_active,1,m_start,"&lt;"&amp;720,m_end,"&gt;"&amp;660)&gt;1,"충돌",HYPERLINK("#'관리자_MASTER'!D"&amp;_xlfn.MAXIFS(m_row,m_teacher,AO$4,m_date,($G$2+14),m_active,1,m_start,"&lt;"&amp;720,m_end,"&gt;"&amp;660),INDEX(m_label,_xlfn.MAXIFS(m_row,m_teacher,AO$4,m_date,($G$2+14),m_active,1,m_start,"&lt;"&amp;720,m_end,"&gt;"&amp;660))))))</f>
        <v/>
      </c>
      <c r="AP7" s="82" t="str">
        <f aca="false">IF(OR(AP$4="",MONTH(($G$2+14))&lt;&gt;MONTH($C$2)),"",IF(COUNTIFS(m_teacher,AP$4,m_date,($G$2+14),m_active,1,m_start,"&lt;"&amp;720,m_end,"&gt;"&amp;660)=0,"",IF(COUNTIFS(m_teacher,AP$4,m_date,($G$2+14),m_active,1,m_start,"&lt;"&amp;720,m_end,"&gt;"&amp;660)&gt;1,"충돌",HYPERLINK("#'관리자_MASTER'!D"&amp;_xlfn.MAXIFS(m_row,m_teacher,AP$4,m_date,($G$2+14),m_active,1,m_start,"&lt;"&amp;720,m_end,"&gt;"&amp;660),INDEX(m_label,_xlfn.MAXIFS(m_row,m_teacher,AP$4,m_date,($G$2+14),m_active,1,m_start,"&lt;"&amp;720,m_end,"&gt;"&amp;660))))))</f>
        <v/>
      </c>
      <c r="AQ7" s="78"/>
      <c r="AR7" s="79" t="s">
        <v>93</v>
      </c>
      <c r="AS7" s="82" t="str">
        <f aca="false">IF(OR(AS$4="",MONTH(($G$2+21))&lt;&gt;MONTH($C$2)),"",IF(COUNTIFS(m_teacher,AS$4,m_date,($G$2+21),m_active,1,m_start,"&lt;"&amp;720,m_end,"&gt;"&amp;660)=0,"",IF(COUNTIFS(m_teacher,AS$4,m_date,($G$2+21),m_active,1,m_start,"&lt;"&amp;720,m_end,"&gt;"&amp;660)&gt;1,"충돌",HYPERLINK("#'관리자_MASTER'!D"&amp;_xlfn.MAXIFS(m_row,m_teacher,AS$4,m_date,($G$2+21),m_active,1,m_start,"&lt;"&amp;720,m_end,"&gt;"&amp;660),INDEX(m_label,_xlfn.MAXIFS(m_row,m_teacher,AS$4,m_date,($G$2+21),m_active,1,m_start,"&lt;"&amp;720,m_end,"&gt;"&amp;660))))))</f>
        <v/>
      </c>
      <c r="AT7" s="82" t="str">
        <f aca="false">IF(OR(AT$4="",MONTH(($G$2+21))&lt;&gt;MONTH($C$2)),"",IF(COUNTIFS(m_teacher,AT$4,m_date,($G$2+21),m_active,1,m_start,"&lt;"&amp;720,m_end,"&gt;"&amp;660)=0,"",IF(COUNTIFS(m_teacher,AT$4,m_date,($G$2+21),m_active,1,m_start,"&lt;"&amp;720,m_end,"&gt;"&amp;660)&gt;1,"충돌",HYPERLINK("#'관리자_MASTER'!D"&amp;_xlfn.MAXIFS(m_row,m_teacher,AT$4,m_date,($G$2+21),m_active,1,m_start,"&lt;"&amp;720,m_end,"&gt;"&amp;660),INDEX(m_label,_xlfn.MAXIFS(m_row,m_teacher,AT$4,m_date,($G$2+21),m_active,1,m_start,"&lt;"&amp;720,m_end,"&gt;"&amp;660))))))</f>
        <v/>
      </c>
      <c r="AU7" s="82" t="str">
        <f aca="false">IF(OR(AU$4="",MONTH(($G$2+21))&lt;&gt;MONTH($C$2)),"",IF(COUNTIFS(m_teacher,AU$4,m_date,($G$2+21),m_active,1,m_start,"&lt;"&amp;720,m_end,"&gt;"&amp;660)=0,"",IF(COUNTIFS(m_teacher,AU$4,m_date,($G$2+21),m_active,1,m_start,"&lt;"&amp;720,m_end,"&gt;"&amp;660)&gt;1,"충돌",HYPERLINK("#'관리자_MASTER'!D"&amp;_xlfn.MAXIFS(m_row,m_teacher,AU$4,m_date,($G$2+21),m_active,1,m_start,"&lt;"&amp;720,m_end,"&gt;"&amp;660),INDEX(m_label,_xlfn.MAXIFS(m_row,m_teacher,AU$4,m_date,($G$2+21),m_active,1,m_start,"&lt;"&amp;720,m_end,"&gt;"&amp;660))))))</f>
        <v/>
      </c>
      <c r="AV7" s="82" t="str">
        <f aca="false">IF(OR(AV$4="",MONTH(($G$2+21))&lt;&gt;MONTH($C$2)),"",IF(COUNTIFS(m_teacher,AV$4,m_date,($G$2+21),m_active,1,m_start,"&lt;"&amp;720,m_end,"&gt;"&amp;660)=0,"",IF(COUNTIFS(m_teacher,AV$4,m_date,($G$2+21),m_active,1,m_start,"&lt;"&amp;720,m_end,"&gt;"&amp;660)&gt;1,"충돌",HYPERLINK("#'관리자_MASTER'!D"&amp;_xlfn.MAXIFS(m_row,m_teacher,AV$4,m_date,($G$2+21),m_active,1,m_start,"&lt;"&amp;720,m_end,"&gt;"&amp;660),INDEX(m_label,_xlfn.MAXIFS(m_row,m_teacher,AV$4,m_date,($G$2+21),m_active,1,m_start,"&lt;"&amp;720,m_end,"&gt;"&amp;660))))))</f>
        <v/>
      </c>
      <c r="AW7" s="82" t="str">
        <f aca="false">IF(OR(AW$4="",MONTH(($G$2+21))&lt;&gt;MONTH($C$2)),"",IF(COUNTIFS(m_teacher,AW$4,m_date,($G$2+21),m_active,1,m_start,"&lt;"&amp;720,m_end,"&gt;"&amp;660)=0,"",IF(COUNTIFS(m_teacher,AW$4,m_date,($G$2+21),m_active,1,m_start,"&lt;"&amp;720,m_end,"&gt;"&amp;660)&gt;1,"충돌",HYPERLINK("#'관리자_MASTER'!D"&amp;_xlfn.MAXIFS(m_row,m_teacher,AW$4,m_date,($G$2+21),m_active,1,m_start,"&lt;"&amp;720,m_end,"&gt;"&amp;660),INDEX(m_label,_xlfn.MAXIFS(m_row,m_teacher,AW$4,m_date,($G$2+21),m_active,1,m_start,"&lt;"&amp;720,m_end,"&gt;"&amp;660))))))</f>
        <v/>
      </c>
      <c r="AX7" s="82" t="str">
        <f aca="false">IF(OR(AX$4="",MONTH(($G$2+21))&lt;&gt;MONTH($C$2)),"",IF(COUNTIFS(m_teacher,AX$4,m_date,($G$2+21),m_active,1,m_start,"&lt;"&amp;720,m_end,"&gt;"&amp;660)=0,"",IF(COUNTIFS(m_teacher,AX$4,m_date,($G$2+21),m_active,1,m_start,"&lt;"&amp;720,m_end,"&gt;"&amp;660)&gt;1,"충돌",HYPERLINK("#'관리자_MASTER'!D"&amp;_xlfn.MAXIFS(m_row,m_teacher,AX$4,m_date,($G$2+21),m_active,1,m_start,"&lt;"&amp;720,m_end,"&gt;"&amp;660),INDEX(m_label,_xlfn.MAXIFS(m_row,m_teacher,AX$4,m_date,($G$2+21),m_active,1,m_start,"&lt;"&amp;720,m_end,"&gt;"&amp;660))))))</f>
        <v/>
      </c>
      <c r="AY7" s="82" t="str">
        <f aca="false">IF(OR(AY$4="",MONTH(($G$2+21))&lt;&gt;MONTH($C$2)),"",IF(COUNTIFS(m_teacher,AY$4,m_date,($G$2+21),m_active,1,m_start,"&lt;"&amp;720,m_end,"&gt;"&amp;660)=0,"",IF(COUNTIFS(m_teacher,AY$4,m_date,($G$2+21),m_active,1,m_start,"&lt;"&amp;720,m_end,"&gt;"&amp;660)&gt;1,"충돌",HYPERLINK("#'관리자_MASTER'!D"&amp;_xlfn.MAXIFS(m_row,m_teacher,AY$4,m_date,($G$2+21),m_active,1,m_start,"&lt;"&amp;720,m_end,"&gt;"&amp;660),INDEX(m_label,_xlfn.MAXIFS(m_row,m_teacher,AY$4,m_date,($G$2+21),m_active,1,m_start,"&lt;"&amp;720,m_end,"&gt;"&amp;660))))))</f>
        <v/>
      </c>
      <c r="AZ7" s="82" t="str">
        <f aca="false">IF(OR(AZ$4="",MONTH(($G$2+21))&lt;&gt;MONTH($C$2)),"",IF(COUNTIFS(m_teacher,AZ$4,m_date,($G$2+21),m_active,1,m_start,"&lt;"&amp;720,m_end,"&gt;"&amp;660)=0,"",IF(COUNTIFS(m_teacher,AZ$4,m_date,($G$2+21),m_active,1,m_start,"&lt;"&amp;720,m_end,"&gt;"&amp;660)&gt;1,"충돌",HYPERLINK("#'관리자_MASTER'!D"&amp;_xlfn.MAXIFS(m_row,m_teacher,AZ$4,m_date,($G$2+21),m_active,1,m_start,"&lt;"&amp;720,m_end,"&gt;"&amp;660),INDEX(m_label,_xlfn.MAXIFS(m_row,m_teacher,AZ$4,m_date,($G$2+21),m_active,1,m_start,"&lt;"&amp;720,m_end,"&gt;"&amp;660))))))</f>
        <v/>
      </c>
      <c r="BA7" s="82" t="str">
        <f aca="false">IF(OR(BA$4="",MONTH(($G$2+21))&lt;&gt;MONTH($C$2)),"",IF(COUNTIFS(m_teacher,BA$4,m_date,($G$2+21),m_active,1,m_start,"&lt;"&amp;720,m_end,"&gt;"&amp;660)=0,"",IF(COUNTIFS(m_teacher,BA$4,m_date,($G$2+21),m_active,1,m_start,"&lt;"&amp;720,m_end,"&gt;"&amp;660)&gt;1,"충돌",HYPERLINK("#'관리자_MASTER'!D"&amp;_xlfn.MAXIFS(m_row,m_teacher,BA$4,m_date,($G$2+21),m_active,1,m_start,"&lt;"&amp;720,m_end,"&gt;"&amp;660),INDEX(m_label,_xlfn.MAXIFS(m_row,m_teacher,BA$4,m_date,($G$2+21),m_active,1,m_start,"&lt;"&amp;720,m_end,"&gt;"&amp;660))))))</f>
        <v/>
      </c>
      <c r="BB7" s="82" t="str">
        <f aca="false">IF(OR(BB$4="",MONTH(($G$2+21))&lt;&gt;MONTH($C$2)),"",IF(COUNTIFS(m_teacher,BB$4,m_date,($G$2+21),m_active,1,m_start,"&lt;"&amp;720,m_end,"&gt;"&amp;660)=0,"",IF(COUNTIFS(m_teacher,BB$4,m_date,($G$2+21),m_active,1,m_start,"&lt;"&amp;720,m_end,"&gt;"&amp;660)&gt;1,"충돌",HYPERLINK("#'관리자_MASTER'!D"&amp;_xlfn.MAXIFS(m_row,m_teacher,BB$4,m_date,($G$2+21),m_active,1,m_start,"&lt;"&amp;720,m_end,"&gt;"&amp;660),INDEX(m_label,_xlfn.MAXIFS(m_row,m_teacher,BB$4,m_date,($G$2+21),m_active,1,m_start,"&lt;"&amp;720,m_end,"&gt;"&amp;660))))))</f>
        <v/>
      </c>
      <c r="BC7" s="82" t="str">
        <f aca="false">IF(OR(BC$4="",MONTH(($G$2+21))&lt;&gt;MONTH($C$2)),"",IF(COUNTIFS(m_teacher,BC$4,m_date,($G$2+21),m_active,1,m_start,"&lt;"&amp;720,m_end,"&gt;"&amp;660)=0,"",IF(COUNTIFS(m_teacher,BC$4,m_date,($G$2+21),m_active,1,m_start,"&lt;"&amp;720,m_end,"&gt;"&amp;660)&gt;1,"충돌",HYPERLINK("#'관리자_MASTER'!D"&amp;_xlfn.MAXIFS(m_row,m_teacher,BC$4,m_date,($G$2+21),m_active,1,m_start,"&lt;"&amp;720,m_end,"&gt;"&amp;660),INDEX(m_label,_xlfn.MAXIFS(m_row,m_teacher,BC$4,m_date,($G$2+21),m_active,1,m_start,"&lt;"&amp;720,m_end,"&gt;"&amp;660))))))</f>
        <v/>
      </c>
      <c r="BD7" s="82" t="str">
        <f aca="false">IF(OR(BD$4="",MONTH(($G$2+21))&lt;&gt;MONTH($C$2)),"",IF(COUNTIFS(m_teacher,BD$4,m_date,($G$2+21),m_active,1,m_start,"&lt;"&amp;720,m_end,"&gt;"&amp;660)=0,"",IF(COUNTIFS(m_teacher,BD$4,m_date,($G$2+21),m_active,1,m_start,"&lt;"&amp;720,m_end,"&gt;"&amp;660)&gt;1,"충돌",HYPERLINK("#'관리자_MASTER'!D"&amp;_xlfn.MAXIFS(m_row,m_teacher,BD$4,m_date,($G$2+21),m_active,1,m_start,"&lt;"&amp;720,m_end,"&gt;"&amp;660),INDEX(m_label,_xlfn.MAXIFS(m_row,m_teacher,BD$4,m_date,($G$2+21),m_active,1,m_start,"&lt;"&amp;720,m_end,"&gt;"&amp;660))))))</f>
        <v/>
      </c>
      <c r="BE7" s="78"/>
      <c r="BF7" s="79" t="s">
        <v>93</v>
      </c>
      <c r="BG7" s="82" t="str">
        <f aca="false">IF(OR(BG$4="",MONTH(($G$2+28))&lt;&gt;MONTH($C$2)),"",IF(COUNTIFS(m_teacher,BG$4,m_date,($G$2+28),m_active,1,m_start,"&lt;"&amp;720,m_end,"&gt;"&amp;660)=0,"",IF(COUNTIFS(m_teacher,BG$4,m_date,($G$2+28),m_active,1,m_start,"&lt;"&amp;720,m_end,"&gt;"&amp;660)&gt;1,"충돌",HYPERLINK("#'관리자_MASTER'!D"&amp;_xlfn.MAXIFS(m_row,m_teacher,BG$4,m_date,($G$2+28),m_active,1,m_start,"&lt;"&amp;720,m_end,"&gt;"&amp;660),INDEX(m_label,_xlfn.MAXIFS(m_row,m_teacher,BG$4,m_date,($G$2+28),m_active,1,m_start,"&lt;"&amp;720,m_end,"&gt;"&amp;660))))))</f>
        <v/>
      </c>
      <c r="BH7" s="82" t="str">
        <f aca="false">IF(OR(BH$4="",MONTH(($G$2+28))&lt;&gt;MONTH($C$2)),"",IF(COUNTIFS(m_teacher,BH$4,m_date,($G$2+28),m_active,1,m_start,"&lt;"&amp;720,m_end,"&gt;"&amp;660)=0,"",IF(COUNTIFS(m_teacher,BH$4,m_date,($G$2+28),m_active,1,m_start,"&lt;"&amp;720,m_end,"&gt;"&amp;660)&gt;1,"충돌",HYPERLINK("#'관리자_MASTER'!D"&amp;_xlfn.MAXIFS(m_row,m_teacher,BH$4,m_date,($G$2+28),m_active,1,m_start,"&lt;"&amp;720,m_end,"&gt;"&amp;660),INDEX(m_label,_xlfn.MAXIFS(m_row,m_teacher,BH$4,m_date,($G$2+28),m_active,1,m_start,"&lt;"&amp;720,m_end,"&gt;"&amp;660))))))</f>
        <v/>
      </c>
      <c r="BI7" s="82" t="str">
        <f aca="false">IF(OR(BI$4="",MONTH(($G$2+28))&lt;&gt;MONTH($C$2)),"",IF(COUNTIFS(m_teacher,BI$4,m_date,($G$2+28),m_active,1,m_start,"&lt;"&amp;720,m_end,"&gt;"&amp;660)=0,"",IF(COUNTIFS(m_teacher,BI$4,m_date,($G$2+28),m_active,1,m_start,"&lt;"&amp;720,m_end,"&gt;"&amp;660)&gt;1,"충돌",HYPERLINK("#'관리자_MASTER'!D"&amp;_xlfn.MAXIFS(m_row,m_teacher,BI$4,m_date,($G$2+28),m_active,1,m_start,"&lt;"&amp;720,m_end,"&gt;"&amp;660),INDEX(m_label,_xlfn.MAXIFS(m_row,m_teacher,BI$4,m_date,($G$2+28),m_active,1,m_start,"&lt;"&amp;720,m_end,"&gt;"&amp;660))))))</f>
        <v/>
      </c>
      <c r="BJ7" s="82" t="str">
        <f aca="false">IF(OR(BJ$4="",MONTH(($G$2+28))&lt;&gt;MONTH($C$2)),"",IF(COUNTIFS(m_teacher,BJ$4,m_date,($G$2+28),m_active,1,m_start,"&lt;"&amp;720,m_end,"&gt;"&amp;660)=0,"",IF(COUNTIFS(m_teacher,BJ$4,m_date,($G$2+28),m_active,1,m_start,"&lt;"&amp;720,m_end,"&gt;"&amp;660)&gt;1,"충돌",HYPERLINK("#'관리자_MASTER'!D"&amp;_xlfn.MAXIFS(m_row,m_teacher,BJ$4,m_date,($G$2+28),m_active,1,m_start,"&lt;"&amp;720,m_end,"&gt;"&amp;660),INDEX(m_label,_xlfn.MAXIFS(m_row,m_teacher,BJ$4,m_date,($G$2+28),m_active,1,m_start,"&lt;"&amp;720,m_end,"&gt;"&amp;660))))))</f>
        <v/>
      </c>
      <c r="BK7" s="82" t="str">
        <f aca="false">IF(OR(BK$4="",MONTH(($G$2+28))&lt;&gt;MONTH($C$2)),"",IF(COUNTIFS(m_teacher,BK$4,m_date,($G$2+28),m_active,1,m_start,"&lt;"&amp;720,m_end,"&gt;"&amp;660)=0,"",IF(COUNTIFS(m_teacher,BK$4,m_date,($G$2+28),m_active,1,m_start,"&lt;"&amp;720,m_end,"&gt;"&amp;660)&gt;1,"충돌",HYPERLINK("#'관리자_MASTER'!D"&amp;_xlfn.MAXIFS(m_row,m_teacher,BK$4,m_date,($G$2+28),m_active,1,m_start,"&lt;"&amp;720,m_end,"&gt;"&amp;660),INDEX(m_label,_xlfn.MAXIFS(m_row,m_teacher,BK$4,m_date,($G$2+28),m_active,1,m_start,"&lt;"&amp;720,m_end,"&gt;"&amp;660))))))</f>
        <v/>
      </c>
      <c r="BL7" s="82" t="str">
        <f aca="false">IF(OR(BL$4="",MONTH(($G$2+28))&lt;&gt;MONTH($C$2)),"",IF(COUNTIFS(m_teacher,BL$4,m_date,($G$2+28),m_active,1,m_start,"&lt;"&amp;720,m_end,"&gt;"&amp;660)=0,"",IF(COUNTIFS(m_teacher,BL$4,m_date,($G$2+28),m_active,1,m_start,"&lt;"&amp;720,m_end,"&gt;"&amp;660)&gt;1,"충돌",HYPERLINK("#'관리자_MASTER'!D"&amp;_xlfn.MAXIFS(m_row,m_teacher,BL$4,m_date,($G$2+28),m_active,1,m_start,"&lt;"&amp;720,m_end,"&gt;"&amp;660),INDEX(m_label,_xlfn.MAXIFS(m_row,m_teacher,BL$4,m_date,($G$2+28),m_active,1,m_start,"&lt;"&amp;720,m_end,"&gt;"&amp;660))))))</f>
        <v/>
      </c>
      <c r="BM7" s="82" t="str">
        <f aca="false">IF(OR(BM$4="",MONTH(($G$2+28))&lt;&gt;MONTH($C$2)),"",IF(COUNTIFS(m_teacher,BM$4,m_date,($G$2+28),m_active,1,m_start,"&lt;"&amp;720,m_end,"&gt;"&amp;660)=0,"",IF(COUNTIFS(m_teacher,BM$4,m_date,($G$2+28),m_active,1,m_start,"&lt;"&amp;720,m_end,"&gt;"&amp;660)&gt;1,"충돌",HYPERLINK("#'관리자_MASTER'!D"&amp;_xlfn.MAXIFS(m_row,m_teacher,BM$4,m_date,($G$2+28),m_active,1,m_start,"&lt;"&amp;720,m_end,"&gt;"&amp;660),INDEX(m_label,_xlfn.MAXIFS(m_row,m_teacher,BM$4,m_date,($G$2+28),m_active,1,m_start,"&lt;"&amp;720,m_end,"&gt;"&amp;660))))))</f>
        <v/>
      </c>
      <c r="BN7" s="82" t="str">
        <f aca="false">IF(OR(BN$4="",MONTH(($G$2+28))&lt;&gt;MONTH($C$2)),"",IF(COUNTIFS(m_teacher,BN$4,m_date,($G$2+28),m_active,1,m_start,"&lt;"&amp;720,m_end,"&gt;"&amp;660)=0,"",IF(COUNTIFS(m_teacher,BN$4,m_date,($G$2+28),m_active,1,m_start,"&lt;"&amp;720,m_end,"&gt;"&amp;660)&gt;1,"충돌",HYPERLINK("#'관리자_MASTER'!D"&amp;_xlfn.MAXIFS(m_row,m_teacher,BN$4,m_date,($G$2+28),m_active,1,m_start,"&lt;"&amp;720,m_end,"&gt;"&amp;660),INDEX(m_label,_xlfn.MAXIFS(m_row,m_teacher,BN$4,m_date,($G$2+28),m_active,1,m_start,"&lt;"&amp;720,m_end,"&gt;"&amp;660))))))</f>
        <v/>
      </c>
      <c r="BO7" s="82" t="str">
        <f aca="false">IF(OR(BO$4="",MONTH(($G$2+28))&lt;&gt;MONTH($C$2)),"",IF(COUNTIFS(m_teacher,BO$4,m_date,($G$2+28),m_active,1,m_start,"&lt;"&amp;720,m_end,"&gt;"&amp;660)=0,"",IF(COUNTIFS(m_teacher,BO$4,m_date,($G$2+28),m_active,1,m_start,"&lt;"&amp;720,m_end,"&gt;"&amp;660)&gt;1,"충돌",HYPERLINK("#'관리자_MASTER'!D"&amp;_xlfn.MAXIFS(m_row,m_teacher,BO$4,m_date,($G$2+28),m_active,1,m_start,"&lt;"&amp;720,m_end,"&gt;"&amp;660),INDEX(m_label,_xlfn.MAXIFS(m_row,m_teacher,BO$4,m_date,($G$2+28),m_active,1,m_start,"&lt;"&amp;720,m_end,"&gt;"&amp;660))))))</f>
        <v/>
      </c>
      <c r="BP7" s="82" t="str">
        <f aca="false">IF(OR(BP$4="",MONTH(($G$2+28))&lt;&gt;MONTH($C$2)),"",IF(COUNTIFS(m_teacher,BP$4,m_date,($G$2+28),m_active,1,m_start,"&lt;"&amp;720,m_end,"&gt;"&amp;660)=0,"",IF(COUNTIFS(m_teacher,BP$4,m_date,($G$2+28),m_active,1,m_start,"&lt;"&amp;720,m_end,"&gt;"&amp;660)&gt;1,"충돌",HYPERLINK("#'관리자_MASTER'!D"&amp;_xlfn.MAXIFS(m_row,m_teacher,BP$4,m_date,($G$2+28),m_active,1,m_start,"&lt;"&amp;720,m_end,"&gt;"&amp;660),INDEX(m_label,_xlfn.MAXIFS(m_row,m_teacher,BP$4,m_date,($G$2+28),m_active,1,m_start,"&lt;"&amp;720,m_end,"&gt;"&amp;660))))))</f>
        <v/>
      </c>
      <c r="BQ7" s="82" t="str">
        <f aca="false">IF(OR(BQ$4="",MONTH(($G$2+28))&lt;&gt;MONTH($C$2)),"",IF(COUNTIFS(m_teacher,BQ$4,m_date,($G$2+28),m_active,1,m_start,"&lt;"&amp;720,m_end,"&gt;"&amp;660)=0,"",IF(COUNTIFS(m_teacher,BQ$4,m_date,($G$2+28),m_active,1,m_start,"&lt;"&amp;720,m_end,"&gt;"&amp;660)&gt;1,"충돌",HYPERLINK("#'관리자_MASTER'!D"&amp;_xlfn.MAXIFS(m_row,m_teacher,BQ$4,m_date,($G$2+28),m_active,1,m_start,"&lt;"&amp;720,m_end,"&gt;"&amp;660),INDEX(m_label,_xlfn.MAXIFS(m_row,m_teacher,BQ$4,m_date,($G$2+28),m_active,1,m_start,"&lt;"&amp;720,m_end,"&gt;"&amp;660))))))</f>
        <v/>
      </c>
      <c r="BR7" s="82" t="str">
        <f aca="false">IF(OR(BR$4="",MONTH(($G$2+28))&lt;&gt;MONTH($C$2)),"",IF(COUNTIFS(m_teacher,BR$4,m_date,($G$2+28),m_active,1,m_start,"&lt;"&amp;720,m_end,"&gt;"&amp;660)=0,"",IF(COUNTIFS(m_teacher,BR$4,m_date,($G$2+28),m_active,1,m_start,"&lt;"&amp;720,m_end,"&gt;"&amp;660)&gt;1,"충돌",HYPERLINK("#'관리자_MASTER'!D"&amp;_xlfn.MAXIFS(m_row,m_teacher,BR$4,m_date,($G$2+28),m_active,1,m_start,"&lt;"&amp;720,m_end,"&gt;"&amp;660),INDEX(m_label,_xlfn.MAXIFS(m_row,m_teacher,BR$4,m_date,($G$2+28),m_active,1,m_start,"&lt;"&amp;720,m_end,"&gt;"&amp;660))))))</f>
        <v/>
      </c>
    </row>
    <row r="8" customFormat="false" ht="19.5" hidden="false" customHeight="true" outlineLevel="0" collapsed="false">
      <c r="A8" s="75"/>
      <c r="B8" s="76" t="s">
        <v>94</v>
      </c>
      <c r="C8" s="81" t="str">
        <f aca="false">IF(OR(C$4="",MONTH(($G$2+0))&lt;&gt;MONTH($C$2)),"",IF(COUNTIFS(m_teacher,C$4,m_date,($G$2+0),m_active,1,m_start,"&lt;"&amp;780,m_end,"&gt;"&amp;720)=0,"",IF(COUNTIFS(m_teacher,C$4,m_date,($G$2+0),m_active,1,m_start,"&lt;"&amp;780,m_end,"&gt;"&amp;720)&gt;1,"충돌",HYPERLINK("#'관리자_MASTER'!D"&amp;_xlfn.MAXIFS(m_row,m_teacher,C$4,m_date,($G$2+0),m_active,1,m_start,"&lt;"&amp;780,m_end,"&gt;"&amp;720),INDEX(m_label,_xlfn.MAXIFS(m_row,m_teacher,C$4,m_date,($G$2+0),m_active,1,m_start,"&lt;"&amp;780,m_end,"&gt;"&amp;720))))))</f>
        <v/>
      </c>
      <c r="D8" s="81" t="str">
        <f aca="false">IF(OR(D$4="",MONTH(($G$2+0))&lt;&gt;MONTH($C$2)),"",IF(COUNTIFS(m_teacher,D$4,m_date,($G$2+0),m_active,1,m_start,"&lt;"&amp;780,m_end,"&gt;"&amp;720)=0,"",IF(COUNTIFS(m_teacher,D$4,m_date,($G$2+0),m_active,1,m_start,"&lt;"&amp;780,m_end,"&gt;"&amp;720)&gt;1,"충돌",HYPERLINK("#'관리자_MASTER'!D"&amp;_xlfn.MAXIFS(m_row,m_teacher,D$4,m_date,($G$2+0),m_active,1,m_start,"&lt;"&amp;780,m_end,"&gt;"&amp;720),INDEX(m_label,_xlfn.MAXIFS(m_row,m_teacher,D$4,m_date,($G$2+0),m_active,1,m_start,"&lt;"&amp;780,m_end,"&gt;"&amp;720))))))</f>
        <v/>
      </c>
      <c r="E8" s="81" t="str">
        <f aca="false">IF(OR(E$4="",MONTH(($G$2+0))&lt;&gt;MONTH($C$2)),"",IF(COUNTIFS(m_teacher,E$4,m_date,($G$2+0),m_active,1,m_start,"&lt;"&amp;780,m_end,"&gt;"&amp;720)=0,"",IF(COUNTIFS(m_teacher,E$4,m_date,($G$2+0),m_active,1,m_start,"&lt;"&amp;780,m_end,"&gt;"&amp;720)&gt;1,"충돌",HYPERLINK("#'관리자_MASTER'!D"&amp;_xlfn.MAXIFS(m_row,m_teacher,E$4,m_date,($G$2+0),m_active,1,m_start,"&lt;"&amp;780,m_end,"&gt;"&amp;720),INDEX(m_label,_xlfn.MAXIFS(m_row,m_teacher,E$4,m_date,($G$2+0),m_active,1,m_start,"&lt;"&amp;780,m_end,"&gt;"&amp;720))))))</f>
        <v/>
      </c>
      <c r="F8" s="81" t="str">
        <f aca="false">IF(OR(F$4="",MONTH(($G$2+0))&lt;&gt;MONTH($C$2)),"",IF(COUNTIFS(m_teacher,F$4,m_date,($G$2+0),m_active,1,m_start,"&lt;"&amp;780,m_end,"&gt;"&amp;720)=0,"",IF(COUNTIFS(m_teacher,F$4,m_date,($G$2+0),m_active,1,m_start,"&lt;"&amp;780,m_end,"&gt;"&amp;720)&gt;1,"충돌",HYPERLINK("#'관리자_MASTER'!D"&amp;_xlfn.MAXIFS(m_row,m_teacher,F$4,m_date,($G$2+0),m_active,1,m_start,"&lt;"&amp;780,m_end,"&gt;"&amp;720),INDEX(m_label,_xlfn.MAXIFS(m_row,m_teacher,F$4,m_date,($G$2+0),m_active,1,m_start,"&lt;"&amp;780,m_end,"&gt;"&amp;720))))))</f>
        <v/>
      </c>
      <c r="G8" s="81" t="str">
        <f aca="false">IF(OR(G$4="",MONTH(($G$2+0))&lt;&gt;MONTH($C$2)),"",IF(COUNTIFS(m_teacher,G$4,m_date,($G$2+0),m_active,1,m_start,"&lt;"&amp;780,m_end,"&gt;"&amp;720)=0,"",IF(COUNTIFS(m_teacher,G$4,m_date,($G$2+0),m_active,1,m_start,"&lt;"&amp;780,m_end,"&gt;"&amp;720)&gt;1,"충돌",HYPERLINK("#'관리자_MASTER'!D"&amp;_xlfn.MAXIFS(m_row,m_teacher,G$4,m_date,($G$2+0),m_active,1,m_start,"&lt;"&amp;780,m_end,"&gt;"&amp;720),INDEX(m_label,_xlfn.MAXIFS(m_row,m_teacher,G$4,m_date,($G$2+0),m_active,1,m_start,"&lt;"&amp;780,m_end,"&gt;"&amp;720))))))</f>
        <v/>
      </c>
      <c r="H8" s="81" t="str">
        <f aca="false">IF(OR(H$4="",MONTH(($G$2+0))&lt;&gt;MONTH($C$2)),"",IF(COUNTIFS(m_teacher,H$4,m_date,($G$2+0),m_active,1,m_start,"&lt;"&amp;780,m_end,"&gt;"&amp;720)=0,"",IF(COUNTIFS(m_teacher,H$4,m_date,($G$2+0),m_active,1,m_start,"&lt;"&amp;780,m_end,"&gt;"&amp;720)&gt;1,"충돌",HYPERLINK("#'관리자_MASTER'!D"&amp;_xlfn.MAXIFS(m_row,m_teacher,H$4,m_date,($G$2+0),m_active,1,m_start,"&lt;"&amp;780,m_end,"&gt;"&amp;720),INDEX(m_label,_xlfn.MAXIFS(m_row,m_teacher,H$4,m_date,($G$2+0),m_active,1,m_start,"&lt;"&amp;780,m_end,"&gt;"&amp;720))))))</f>
        <v/>
      </c>
      <c r="I8" s="81" t="str">
        <f aca="false">IF(OR(I$4="",MONTH(($G$2+0))&lt;&gt;MONTH($C$2)),"",IF(COUNTIFS(m_teacher,I$4,m_date,($G$2+0),m_active,1,m_start,"&lt;"&amp;780,m_end,"&gt;"&amp;720)=0,"",IF(COUNTIFS(m_teacher,I$4,m_date,($G$2+0),m_active,1,m_start,"&lt;"&amp;780,m_end,"&gt;"&amp;720)&gt;1,"충돌",HYPERLINK("#'관리자_MASTER'!D"&amp;_xlfn.MAXIFS(m_row,m_teacher,I$4,m_date,($G$2+0),m_active,1,m_start,"&lt;"&amp;780,m_end,"&gt;"&amp;720),INDEX(m_label,_xlfn.MAXIFS(m_row,m_teacher,I$4,m_date,($G$2+0),m_active,1,m_start,"&lt;"&amp;780,m_end,"&gt;"&amp;720))))))</f>
        <v/>
      </c>
      <c r="J8" s="81" t="str">
        <f aca="false">IF(OR(J$4="",MONTH(($G$2+0))&lt;&gt;MONTH($C$2)),"",IF(COUNTIFS(m_teacher,J$4,m_date,($G$2+0),m_active,1,m_start,"&lt;"&amp;780,m_end,"&gt;"&amp;720)=0,"",IF(COUNTIFS(m_teacher,J$4,m_date,($G$2+0),m_active,1,m_start,"&lt;"&amp;780,m_end,"&gt;"&amp;720)&gt;1,"충돌",HYPERLINK("#'관리자_MASTER'!D"&amp;_xlfn.MAXIFS(m_row,m_teacher,J$4,m_date,($G$2+0),m_active,1,m_start,"&lt;"&amp;780,m_end,"&gt;"&amp;720),INDEX(m_label,_xlfn.MAXIFS(m_row,m_teacher,J$4,m_date,($G$2+0),m_active,1,m_start,"&lt;"&amp;780,m_end,"&gt;"&amp;720))))))</f>
        <v/>
      </c>
      <c r="K8" s="81" t="str">
        <f aca="false">IF(OR(K$4="",MONTH(($G$2+0))&lt;&gt;MONTH($C$2)),"",IF(COUNTIFS(m_teacher,K$4,m_date,($G$2+0),m_active,1,m_start,"&lt;"&amp;780,m_end,"&gt;"&amp;720)=0,"",IF(COUNTIFS(m_teacher,K$4,m_date,($G$2+0),m_active,1,m_start,"&lt;"&amp;780,m_end,"&gt;"&amp;720)&gt;1,"충돌",HYPERLINK("#'관리자_MASTER'!D"&amp;_xlfn.MAXIFS(m_row,m_teacher,K$4,m_date,($G$2+0),m_active,1,m_start,"&lt;"&amp;780,m_end,"&gt;"&amp;720),INDEX(m_label,_xlfn.MAXIFS(m_row,m_teacher,K$4,m_date,($G$2+0),m_active,1,m_start,"&lt;"&amp;780,m_end,"&gt;"&amp;720))))))</f>
        <v/>
      </c>
      <c r="L8" s="81" t="str">
        <f aca="false">IF(OR(L$4="",MONTH(($G$2+0))&lt;&gt;MONTH($C$2)),"",IF(COUNTIFS(m_teacher,L$4,m_date,($G$2+0),m_active,1,m_start,"&lt;"&amp;780,m_end,"&gt;"&amp;720)=0,"",IF(COUNTIFS(m_teacher,L$4,m_date,($G$2+0),m_active,1,m_start,"&lt;"&amp;780,m_end,"&gt;"&amp;720)&gt;1,"충돌",HYPERLINK("#'관리자_MASTER'!D"&amp;_xlfn.MAXIFS(m_row,m_teacher,L$4,m_date,($G$2+0),m_active,1,m_start,"&lt;"&amp;780,m_end,"&gt;"&amp;720),INDEX(m_label,_xlfn.MAXIFS(m_row,m_teacher,L$4,m_date,($G$2+0),m_active,1,m_start,"&lt;"&amp;780,m_end,"&gt;"&amp;720))))))</f>
        <v/>
      </c>
      <c r="M8" s="81" t="str">
        <f aca="false">IF(OR(M$4="",MONTH(($G$2+0))&lt;&gt;MONTH($C$2)),"",IF(COUNTIFS(m_teacher,M$4,m_date,($G$2+0),m_active,1,m_start,"&lt;"&amp;780,m_end,"&gt;"&amp;720)=0,"",IF(COUNTIFS(m_teacher,M$4,m_date,($G$2+0),m_active,1,m_start,"&lt;"&amp;780,m_end,"&gt;"&amp;720)&gt;1,"충돌",HYPERLINK("#'관리자_MASTER'!D"&amp;_xlfn.MAXIFS(m_row,m_teacher,M$4,m_date,($G$2+0),m_active,1,m_start,"&lt;"&amp;780,m_end,"&gt;"&amp;720),INDEX(m_label,_xlfn.MAXIFS(m_row,m_teacher,M$4,m_date,($G$2+0),m_active,1,m_start,"&lt;"&amp;780,m_end,"&gt;"&amp;720))))))</f>
        <v/>
      </c>
      <c r="N8" s="81" t="str">
        <f aca="false">IF(OR(N$4="",MONTH(($G$2+0))&lt;&gt;MONTH($C$2)),"",IF(COUNTIFS(m_teacher,N$4,m_date,($G$2+0),m_active,1,m_start,"&lt;"&amp;780,m_end,"&gt;"&amp;720)=0,"",IF(COUNTIFS(m_teacher,N$4,m_date,($G$2+0),m_active,1,m_start,"&lt;"&amp;780,m_end,"&gt;"&amp;720)&gt;1,"충돌",HYPERLINK("#'관리자_MASTER'!D"&amp;_xlfn.MAXIFS(m_row,m_teacher,N$4,m_date,($G$2+0),m_active,1,m_start,"&lt;"&amp;780,m_end,"&gt;"&amp;720),INDEX(m_label,_xlfn.MAXIFS(m_row,m_teacher,N$4,m_date,($G$2+0),m_active,1,m_start,"&lt;"&amp;780,m_end,"&gt;"&amp;720))))))</f>
        <v/>
      </c>
      <c r="O8" s="78"/>
      <c r="P8" s="79" t="s">
        <v>94</v>
      </c>
      <c r="Q8" s="82" t="str">
        <f aca="false">IF(OR(Q$4="",MONTH(($G$2+7))&lt;&gt;MONTH($C$2)),"",IF(COUNTIFS(m_teacher,Q$4,m_date,($G$2+7),m_active,1,m_start,"&lt;"&amp;780,m_end,"&gt;"&amp;720)=0,"",IF(COUNTIFS(m_teacher,Q$4,m_date,($G$2+7),m_active,1,m_start,"&lt;"&amp;780,m_end,"&gt;"&amp;720)&gt;1,"충돌",HYPERLINK("#'관리자_MASTER'!D"&amp;_xlfn.MAXIFS(m_row,m_teacher,Q$4,m_date,($G$2+7),m_active,1,m_start,"&lt;"&amp;780,m_end,"&gt;"&amp;720),INDEX(m_label,_xlfn.MAXIFS(m_row,m_teacher,Q$4,m_date,($G$2+7),m_active,1,m_start,"&lt;"&amp;780,m_end,"&gt;"&amp;720))))))</f>
        <v/>
      </c>
      <c r="R8" s="82" t="str">
        <f aca="false">IF(OR(R$4="",MONTH(($G$2+7))&lt;&gt;MONTH($C$2)),"",IF(COUNTIFS(m_teacher,R$4,m_date,($G$2+7),m_active,1,m_start,"&lt;"&amp;780,m_end,"&gt;"&amp;720)=0,"",IF(COUNTIFS(m_teacher,R$4,m_date,($G$2+7),m_active,1,m_start,"&lt;"&amp;780,m_end,"&gt;"&amp;720)&gt;1,"충돌",HYPERLINK("#'관리자_MASTER'!D"&amp;_xlfn.MAXIFS(m_row,m_teacher,R$4,m_date,($G$2+7),m_active,1,m_start,"&lt;"&amp;780,m_end,"&gt;"&amp;720),INDEX(m_label,_xlfn.MAXIFS(m_row,m_teacher,R$4,m_date,($G$2+7),m_active,1,m_start,"&lt;"&amp;780,m_end,"&gt;"&amp;720))))))</f>
        <v/>
      </c>
      <c r="S8" s="82" t="str">
        <f aca="false">IF(OR(S$4="",MONTH(($G$2+7))&lt;&gt;MONTH($C$2)),"",IF(COUNTIFS(m_teacher,S$4,m_date,($G$2+7),m_active,1,m_start,"&lt;"&amp;780,m_end,"&gt;"&amp;720)=0,"",IF(COUNTIFS(m_teacher,S$4,m_date,($G$2+7),m_active,1,m_start,"&lt;"&amp;780,m_end,"&gt;"&amp;720)&gt;1,"충돌",HYPERLINK("#'관리자_MASTER'!D"&amp;_xlfn.MAXIFS(m_row,m_teacher,S$4,m_date,($G$2+7),m_active,1,m_start,"&lt;"&amp;780,m_end,"&gt;"&amp;720),INDEX(m_label,_xlfn.MAXIFS(m_row,m_teacher,S$4,m_date,($G$2+7),m_active,1,m_start,"&lt;"&amp;780,m_end,"&gt;"&amp;720))))))</f>
        <v/>
      </c>
      <c r="T8" s="82" t="str">
        <f aca="false">IF(OR(T$4="",MONTH(($G$2+7))&lt;&gt;MONTH($C$2)),"",IF(COUNTIFS(m_teacher,T$4,m_date,($G$2+7),m_active,1,m_start,"&lt;"&amp;780,m_end,"&gt;"&amp;720)=0,"",IF(COUNTIFS(m_teacher,T$4,m_date,($G$2+7),m_active,1,m_start,"&lt;"&amp;780,m_end,"&gt;"&amp;720)&gt;1,"충돌",HYPERLINK("#'관리자_MASTER'!D"&amp;_xlfn.MAXIFS(m_row,m_teacher,T$4,m_date,($G$2+7),m_active,1,m_start,"&lt;"&amp;780,m_end,"&gt;"&amp;720),INDEX(m_label,_xlfn.MAXIFS(m_row,m_teacher,T$4,m_date,($G$2+7),m_active,1,m_start,"&lt;"&amp;780,m_end,"&gt;"&amp;720))))))</f>
        <v/>
      </c>
      <c r="U8" s="82" t="str">
        <f aca="false">IF(OR(U$4="",MONTH(($G$2+7))&lt;&gt;MONTH($C$2)),"",IF(COUNTIFS(m_teacher,U$4,m_date,($G$2+7),m_active,1,m_start,"&lt;"&amp;780,m_end,"&gt;"&amp;720)=0,"",IF(COUNTIFS(m_teacher,U$4,m_date,($G$2+7),m_active,1,m_start,"&lt;"&amp;780,m_end,"&gt;"&amp;720)&gt;1,"충돌",HYPERLINK("#'관리자_MASTER'!D"&amp;_xlfn.MAXIFS(m_row,m_teacher,U$4,m_date,($G$2+7),m_active,1,m_start,"&lt;"&amp;780,m_end,"&gt;"&amp;720),INDEX(m_label,_xlfn.MAXIFS(m_row,m_teacher,U$4,m_date,($G$2+7),m_active,1,m_start,"&lt;"&amp;780,m_end,"&gt;"&amp;720))))))</f>
        <v/>
      </c>
      <c r="V8" s="82" t="str">
        <f aca="false">IF(OR(V$4="",MONTH(($G$2+7))&lt;&gt;MONTH($C$2)),"",IF(COUNTIFS(m_teacher,V$4,m_date,($G$2+7),m_active,1,m_start,"&lt;"&amp;780,m_end,"&gt;"&amp;720)=0,"",IF(COUNTIFS(m_teacher,V$4,m_date,($G$2+7),m_active,1,m_start,"&lt;"&amp;780,m_end,"&gt;"&amp;720)&gt;1,"충돌",HYPERLINK("#'관리자_MASTER'!D"&amp;_xlfn.MAXIFS(m_row,m_teacher,V$4,m_date,($G$2+7),m_active,1,m_start,"&lt;"&amp;780,m_end,"&gt;"&amp;720),INDEX(m_label,_xlfn.MAXIFS(m_row,m_teacher,V$4,m_date,($G$2+7),m_active,1,m_start,"&lt;"&amp;780,m_end,"&gt;"&amp;720))))))</f>
        <v/>
      </c>
      <c r="W8" s="82" t="str">
        <f aca="false">IF(OR(W$4="",MONTH(($G$2+7))&lt;&gt;MONTH($C$2)),"",IF(COUNTIFS(m_teacher,W$4,m_date,($G$2+7),m_active,1,m_start,"&lt;"&amp;780,m_end,"&gt;"&amp;720)=0,"",IF(COUNTIFS(m_teacher,W$4,m_date,($G$2+7),m_active,1,m_start,"&lt;"&amp;780,m_end,"&gt;"&amp;720)&gt;1,"충돌",HYPERLINK("#'관리자_MASTER'!D"&amp;_xlfn.MAXIFS(m_row,m_teacher,W$4,m_date,($G$2+7),m_active,1,m_start,"&lt;"&amp;780,m_end,"&gt;"&amp;720),INDEX(m_label,_xlfn.MAXIFS(m_row,m_teacher,W$4,m_date,($G$2+7),m_active,1,m_start,"&lt;"&amp;780,m_end,"&gt;"&amp;720))))))</f>
        <v/>
      </c>
      <c r="X8" s="82" t="str">
        <f aca="false">IF(OR(X$4="",MONTH(($G$2+7))&lt;&gt;MONTH($C$2)),"",IF(COUNTIFS(m_teacher,X$4,m_date,($G$2+7),m_active,1,m_start,"&lt;"&amp;780,m_end,"&gt;"&amp;720)=0,"",IF(COUNTIFS(m_teacher,X$4,m_date,($G$2+7),m_active,1,m_start,"&lt;"&amp;780,m_end,"&gt;"&amp;720)&gt;1,"충돌",HYPERLINK("#'관리자_MASTER'!D"&amp;_xlfn.MAXIFS(m_row,m_teacher,X$4,m_date,($G$2+7),m_active,1,m_start,"&lt;"&amp;780,m_end,"&gt;"&amp;720),INDEX(m_label,_xlfn.MAXIFS(m_row,m_teacher,X$4,m_date,($G$2+7),m_active,1,m_start,"&lt;"&amp;780,m_end,"&gt;"&amp;720))))))</f>
        <v/>
      </c>
      <c r="Y8" s="82" t="str">
        <f aca="false">IF(OR(Y$4="",MONTH(($G$2+7))&lt;&gt;MONTH($C$2)),"",IF(COUNTIFS(m_teacher,Y$4,m_date,($G$2+7),m_active,1,m_start,"&lt;"&amp;780,m_end,"&gt;"&amp;720)=0,"",IF(COUNTIFS(m_teacher,Y$4,m_date,($G$2+7),m_active,1,m_start,"&lt;"&amp;780,m_end,"&gt;"&amp;720)&gt;1,"충돌",HYPERLINK("#'관리자_MASTER'!D"&amp;_xlfn.MAXIFS(m_row,m_teacher,Y$4,m_date,($G$2+7),m_active,1,m_start,"&lt;"&amp;780,m_end,"&gt;"&amp;720),INDEX(m_label,_xlfn.MAXIFS(m_row,m_teacher,Y$4,m_date,($G$2+7),m_active,1,m_start,"&lt;"&amp;780,m_end,"&gt;"&amp;720))))))</f>
        <v/>
      </c>
      <c r="Z8" s="82" t="str">
        <f aca="false">IF(OR(Z$4="",MONTH(($G$2+7))&lt;&gt;MONTH($C$2)),"",IF(COUNTIFS(m_teacher,Z$4,m_date,($G$2+7),m_active,1,m_start,"&lt;"&amp;780,m_end,"&gt;"&amp;720)=0,"",IF(COUNTIFS(m_teacher,Z$4,m_date,($G$2+7),m_active,1,m_start,"&lt;"&amp;780,m_end,"&gt;"&amp;720)&gt;1,"충돌",HYPERLINK("#'관리자_MASTER'!D"&amp;_xlfn.MAXIFS(m_row,m_teacher,Z$4,m_date,($G$2+7),m_active,1,m_start,"&lt;"&amp;780,m_end,"&gt;"&amp;720),INDEX(m_label,_xlfn.MAXIFS(m_row,m_teacher,Z$4,m_date,($G$2+7),m_active,1,m_start,"&lt;"&amp;780,m_end,"&gt;"&amp;720))))))</f>
        <v/>
      </c>
      <c r="AA8" s="82" t="str">
        <f aca="false">IF(OR(AA$4="",MONTH(($G$2+7))&lt;&gt;MONTH($C$2)),"",IF(COUNTIFS(m_teacher,AA$4,m_date,($G$2+7),m_active,1,m_start,"&lt;"&amp;780,m_end,"&gt;"&amp;720)=0,"",IF(COUNTIFS(m_teacher,AA$4,m_date,($G$2+7),m_active,1,m_start,"&lt;"&amp;780,m_end,"&gt;"&amp;720)&gt;1,"충돌",HYPERLINK("#'관리자_MASTER'!D"&amp;_xlfn.MAXIFS(m_row,m_teacher,AA$4,m_date,($G$2+7),m_active,1,m_start,"&lt;"&amp;780,m_end,"&gt;"&amp;720),INDEX(m_label,_xlfn.MAXIFS(m_row,m_teacher,AA$4,m_date,($G$2+7),m_active,1,m_start,"&lt;"&amp;780,m_end,"&gt;"&amp;720))))))</f>
        <v/>
      </c>
      <c r="AB8" s="82" t="str">
        <f aca="false">IF(OR(AB$4="",MONTH(($G$2+7))&lt;&gt;MONTH($C$2)),"",IF(COUNTIFS(m_teacher,AB$4,m_date,($G$2+7),m_active,1,m_start,"&lt;"&amp;780,m_end,"&gt;"&amp;720)=0,"",IF(COUNTIFS(m_teacher,AB$4,m_date,($G$2+7),m_active,1,m_start,"&lt;"&amp;780,m_end,"&gt;"&amp;720)&gt;1,"충돌",HYPERLINK("#'관리자_MASTER'!D"&amp;_xlfn.MAXIFS(m_row,m_teacher,AB$4,m_date,($G$2+7),m_active,1,m_start,"&lt;"&amp;780,m_end,"&gt;"&amp;720),INDEX(m_label,_xlfn.MAXIFS(m_row,m_teacher,AB$4,m_date,($G$2+7),m_active,1,m_start,"&lt;"&amp;780,m_end,"&gt;"&amp;720))))))</f>
        <v/>
      </c>
      <c r="AC8" s="78"/>
      <c r="AD8" s="79" t="s">
        <v>94</v>
      </c>
      <c r="AE8" s="82" t="str">
        <f aca="false">IF(OR(AE$4="",MONTH(($G$2+14))&lt;&gt;MONTH($C$2)),"",IF(COUNTIFS(m_teacher,AE$4,m_date,($G$2+14),m_active,1,m_start,"&lt;"&amp;780,m_end,"&gt;"&amp;720)=0,"",IF(COUNTIFS(m_teacher,AE$4,m_date,($G$2+14),m_active,1,m_start,"&lt;"&amp;780,m_end,"&gt;"&amp;720)&gt;1,"충돌",HYPERLINK("#'관리자_MASTER'!D"&amp;_xlfn.MAXIFS(m_row,m_teacher,AE$4,m_date,($G$2+14),m_active,1,m_start,"&lt;"&amp;780,m_end,"&gt;"&amp;720),INDEX(m_label,_xlfn.MAXIFS(m_row,m_teacher,AE$4,m_date,($G$2+14),m_active,1,m_start,"&lt;"&amp;780,m_end,"&gt;"&amp;720))))))</f>
        <v/>
      </c>
      <c r="AF8" s="82" t="str">
        <f aca="false">IF(OR(AF$4="",MONTH(($G$2+14))&lt;&gt;MONTH($C$2)),"",IF(COUNTIFS(m_teacher,AF$4,m_date,($G$2+14),m_active,1,m_start,"&lt;"&amp;780,m_end,"&gt;"&amp;720)=0,"",IF(COUNTIFS(m_teacher,AF$4,m_date,($G$2+14),m_active,1,m_start,"&lt;"&amp;780,m_end,"&gt;"&amp;720)&gt;1,"충돌",HYPERLINK("#'관리자_MASTER'!D"&amp;_xlfn.MAXIFS(m_row,m_teacher,AF$4,m_date,($G$2+14),m_active,1,m_start,"&lt;"&amp;780,m_end,"&gt;"&amp;720),INDEX(m_label,_xlfn.MAXIFS(m_row,m_teacher,AF$4,m_date,($G$2+14),m_active,1,m_start,"&lt;"&amp;780,m_end,"&gt;"&amp;720))))))</f>
        <v/>
      </c>
      <c r="AG8" s="82" t="str">
        <f aca="false">IF(OR(AG$4="",MONTH(($G$2+14))&lt;&gt;MONTH($C$2)),"",IF(COUNTIFS(m_teacher,AG$4,m_date,($G$2+14),m_active,1,m_start,"&lt;"&amp;780,m_end,"&gt;"&amp;720)=0,"",IF(COUNTIFS(m_teacher,AG$4,m_date,($G$2+14),m_active,1,m_start,"&lt;"&amp;780,m_end,"&gt;"&amp;720)&gt;1,"충돌",HYPERLINK("#'관리자_MASTER'!D"&amp;_xlfn.MAXIFS(m_row,m_teacher,AG$4,m_date,($G$2+14),m_active,1,m_start,"&lt;"&amp;780,m_end,"&gt;"&amp;720),INDEX(m_label,_xlfn.MAXIFS(m_row,m_teacher,AG$4,m_date,($G$2+14),m_active,1,m_start,"&lt;"&amp;780,m_end,"&gt;"&amp;720))))))</f>
        <v/>
      </c>
      <c r="AH8" s="82" t="str">
        <f aca="false">IF(OR(AH$4="",MONTH(($G$2+14))&lt;&gt;MONTH($C$2)),"",IF(COUNTIFS(m_teacher,AH$4,m_date,($G$2+14),m_active,1,m_start,"&lt;"&amp;780,m_end,"&gt;"&amp;720)=0,"",IF(COUNTIFS(m_teacher,AH$4,m_date,($G$2+14),m_active,1,m_start,"&lt;"&amp;780,m_end,"&gt;"&amp;720)&gt;1,"충돌",HYPERLINK("#'관리자_MASTER'!D"&amp;_xlfn.MAXIFS(m_row,m_teacher,AH$4,m_date,($G$2+14),m_active,1,m_start,"&lt;"&amp;780,m_end,"&gt;"&amp;720),INDEX(m_label,_xlfn.MAXIFS(m_row,m_teacher,AH$4,m_date,($G$2+14),m_active,1,m_start,"&lt;"&amp;780,m_end,"&gt;"&amp;720))))))</f>
        <v/>
      </c>
      <c r="AI8" s="82" t="str">
        <f aca="false">IF(OR(AI$4="",MONTH(($G$2+14))&lt;&gt;MONTH($C$2)),"",IF(COUNTIFS(m_teacher,AI$4,m_date,($G$2+14),m_active,1,m_start,"&lt;"&amp;780,m_end,"&gt;"&amp;720)=0,"",IF(COUNTIFS(m_teacher,AI$4,m_date,($G$2+14),m_active,1,m_start,"&lt;"&amp;780,m_end,"&gt;"&amp;720)&gt;1,"충돌",HYPERLINK("#'관리자_MASTER'!D"&amp;_xlfn.MAXIFS(m_row,m_teacher,AI$4,m_date,($G$2+14),m_active,1,m_start,"&lt;"&amp;780,m_end,"&gt;"&amp;720),INDEX(m_label,_xlfn.MAXIFS(m_row,m_teacher,AI$4,m_date,($G$2+14),m_active,1,m_start,"&lt;"&amp;780,m_end,"&gt;"&amp;720))))))</f>
        <v/>
      </c>
      <c r="AJ8" s="82" t="str">
        <f aca="false">IF(OR(AJ$4="",MONTH(($G$2+14))&lt;&gt;MONTH($C$2)),"",IF(COUNTIFS(m_teacher,AJ$4,m_date,($G$2+14),m_active,1,m_start,"&lt;"&amp;780,m_end,"&gt;"&amp;720)=0,"",IF(COUNTIFS(m_teacher,AJ$4,m_date,($G$2+14),m_active,1,m_start,"&lt;"&amp;780,m_end,"&gt;"&amp;720)&gt;1,"충돌",HYPERLINK("#'관리자_MASTER'!D"&amp;_xlfn.MAXIFS(m_row,m_teacher,AJ$4,m_date,($G$2+14),m_active,1,m_start,"&lt;"&amp;780,m_end,"&gt;"&amp;720),INDEX(m_label,_xlfn.MAXIFS(m_row,m_teacher,AJ$4,m_date,($G$2+14),m_active,1,m_start,"&lt;"&amp;780,m_end,"&gt;"&amp;720))))))</f>
        <v/>
      </c>
      <c r="AK8" s="82" t="str">
        <f aca="false">IF(OR(AK$4="",MONTH(($G$2+14))&lt;&gt;MONTH($C$2)),"",IF(COUNTIFS(m_teacher,AK$4,m_date,($G$2+14),m_active,1,m_start,"&lt;"&amp;780,m_end,"&gt;"&amp;720)=0,"",IF(COUNTIFS(m_teacher,AK$4,m_date,($G$2+14),m_active,1,m_start,"&lt;"&amp;780,m_end,"&gt;"&amp;720)&gt;1,"충돌",HYPERLINK("#'관리자_MASTER'!D"&amp;_xlfn.MAXIFS(m_row,m_teacher,AK$4,m_date,($G$2+14),m_active,1,m_start,"&lt;"&amp;780,m_end,"&gt;"&amp;720),INDEX(m_label,_xlfn.MAXIFS(m_row,m_teacher,AK$4,m_date,($G$2+14),m_active,1,m_start,"&lt;"&amp;780,m_end,"&gt;"&amp;720))))))</f>
        <v/>
      </c>
      <c r="AL8" s="82" t="str">
        <f aca="false">IF(OR(AL$4="",MONTH(($G$2+14))&lt;&gt;MONTH($C$2)),"",IF(COUNTIFS(m_teacher,AL$4,m_date,($G$2+14),m_active,1,m_start,"&lt;"&amp;780,m_end,"&gt;"&amp;720)=0,"",IF(COUNTIFS(m_teacher,AL$4,m_date,($G$2+14),m_active,1,m_start,"&lt;"&amp;780,m_end,"&gt;"&amp;720)&gt;1,"충돌",HYPERLINK("#'관리자_MASTER'!D"&amp;_xlfn.MAXIFS(m_row,m_teacher,AL$4,m_date,($G$2+14),m_active,1,m_start,"&lt;"&amp;780,m_end,"&gt;"&amp;720),INDEX(m_label,_xlfn.MAXIFS(m_row,m_teacher,AL$4,m_date,($G$2+14),m_active,1,m_start,"&lt;"&amp;780,m_end,"&gt;"&amp;720))))))</f>
        <v/>
      </c>
      <c r="AM8" s="82" t="str">
        <f aca="false">IF(OR(AM$4="",MONTH(($G$2+14))&lt;&gt;MONTH($C$2)),"",IF(COUNTIFS(m_teacher,AM$4,m_date,($G$2+14),m_active,1,m_start,"&lt;"&amp;780,m_end,"&gt;"&amp;720)=0,"",IF(COUNTIFS(m_teacher,AM$4,m_date,($G$2+14),m_active,1,m_start,"&lt;"&amp;780,m_end,"&gt;"&amp;720)&gt;1,"충돌",HYPERLINK("#'관리자_MASTER'!D"&amp;_xlfn.MAXIFS(m_row,m_teacher,AM$4,m_date,($G$2+14),m_active,1,m_start,"&lt;"&amp;780,m_end,"&gt;"&amp;720),INDEX(m_label,_xlfn.MAXIFS(m_row,m_teacher,AM$4,m_date,($G$2+14),m_active,1,m_start,"&lt;"&amp;780,m_end,"&gt;"&amp;720))))))</f>
        <v/>
      </c>
      <c r="AN8" s="82" t="str">
        <f aca="false">IF(OR(AN$4="",MONTH(($G$2+14))&lt;&gt;MONTH($C$2)),"",IF(COUNTIFS(m_teacher,AN$4,m_date,($G$2+14),m_active,1,m_start,"&lt;"&amp;780,m_end,"&gt;"&amp;720)=0,"",IF(COUNTIFS(m_teacher,AN$4,m_date,($G$2+14),m_active,1,m_start,"&lt;"&amp;780,m_end,"&gt;"&amp;720)&gt;1,"충돌",HYPERLINK("#'관리자_MASTER'!D"&amp;_xlfn.MAXIFS(m_row,m_teacher,AN$4,m_date,($G$2+14),m_active,1,m_start,"&lt;"&amp;780,m_end,"&gt;"&amp;720),INDEX(m_label,_xlfn.MAXIFS(m_row,m_teacher,AN$4,m_date,($G$2+14),m_active,1,m_start,"&lt;"&amp;780,m_end,"&gt;"&amp;720))))))</f>
        <v/>
      </c>
      <c r="AO8" s="82" t="str">
        <f aca="false">IF(OR(AO$4="",MONTH(($G$2+14))&lt;&gt;MONTH($C$2)),"",IF(COUNTIFS(m_teacher,AO$4,m_date,($G$2+14),m_active,1,m_start,"&lt;"&amp;780,m_end,"&gt;"&amp;720)=0,"",IF(COUNTIFS(m_teacher,AO$4,m_date,($G$2+14),m_active,1,m_start,"&lt;"&amp;780,m_end,"&gt;"&amp;720)&gt;1,"충돌",HYPERLINK("#'관리자_MASTER'!D"&amp;_xlfn.MAXIFS(m_row,m_teacher,AO$4,m_date,($G$2+14),m_active,1,m_start,"&lt;"&amp;780,m_end,"&gt;"&amp;720),INDEX(m_label,_xlfn.MAXIFS(m_row,m_teacher,AO$4,m_date,($G$2+14),m_active,1,m_start,"&lt;"&amp;780,m_end,"&gt;"&amp;720))))))</f>
        <v/>
      </c>
      <c r="AP8" s="82" t="str">
        <f aca="false">IF(OR(AP$4="",MONTH(($G$2+14))&lt;&gt;MONTH($C$2)),"",IF(COUNTIFS(m_teacher,AP$4,m_date,($G$2+14),m_active,1,m_start,"&lt;"&amp;780,m_end,"&gt;"&amp;720)=0,"",IF(COUNTIFS(m_teacher,AP$4,m_date,($G$2+14),m_active,1,m_start,"&lt;"&amp;780,m_end,"&gt;"&amp;720)&gt;1,"충돌",HYPERLINK("#'관리자_MASTER'!D"&amp;_xlfn.MAXIFS(m_row,m_teacher,AP$4,m_date,($G$2+14),m_active,1,m_start,"&lt;"&amp;780,m_end,"&gt;"&amp;720),INDEX(m_label,_xlfn.MAXIFS(m_row,m_teacher,AP$4,m_date,($G$2+14),m_active,1,m_start,"&lt;"&amp;780,m_end,"&gt;"&amp;720))))))</f>
        <v/>
      </c>
      <c r="AQ8" s="78"/>
      <c r="AR8" s="79" t="s">
        <v>94</v>
      </c>
      <c r="AS8" s="82" t="str">
        <f aca="false">IF(OR(AS$4="",MONTH(($G$2+21))&lt;&gt;MONTH($C$2)),"",IF(COUNTIFS(m_teacher,AS$4,m_date,($G$2+21),m_active,1,m_start,"&lt;"&amp;780,m_end,"&gt;"&amp;720)=0,"",IF(COUNTIFS(m_teacher,AS$4,m_date,($G$2+21),m_active,1,m_start,"&lt;"&amp;780,m_end,"&gt;"&amp;720)&gt;1,"충돌",HYPERLINK("#'관리자_MASTER'!D"&amp;_xlfn.MAXIFS(m_row,m_teacher,AS$4,m_date,($G$2+21),m_active,1,m_start,"&lt;"&amp;780,m_end,"&gt;"&amp;720),INDEX(m_label,_xlfn.MAXIFS(m_row,m_teacher,AS$4,m_date,($G$2+21),m_active,1,m_start,"&lt;"&amp;780,m_end,"&gt;"&amp;720))))))</f>
        <v/>
      </c>
      <c r="AT8" s="82" t="str">
        <f aca="false">IF(OR(AT$4="",MONTH(($G$2+21))&lt;&gt;MONTH($C$2)),"",IF(COUNTIFS(m_teacher,AT$4,m_date,($G$2+21),m_active,1,m_start,"&lt;"&amp;780,m_end,"&gt;"&amp;720)=0,"",IF(COUNTIFS(m_teacher,AT$4,m_date,($G$2+21),m_active,1,m_start,"&lt;"&amp;780,m_end,"&gt;"&amp;720)&gt;1,"충돌",HYPERLINK("#'관리자_MASTER'!D"&amp;_xlfn.MAXIFS(m_row,m_teacher,AT$4,m_date,($G$2+21),m_active,1,m_start,"&lt;"&amp;780,m_end,"&gt;"&amp;720),INDEX(m_label,_xlfn.MAXIFS(m_row,m_teacher,AT$4,m_date,($G$2+21),m_active,1,m_start,"&lt;"&amp;780,m_end,"&gt;"&amp;720))))))</f>
        <v/>
      </c>
      <c r="AU8" s="82" t="str">
        <f aca="false">IF(OR(AU$4="",MONTH(($G$2+21))&lt;&gt;MONTH($C$2)),"",IF(COUNTIFS(m_teacher,AU$4,m_date,($G$2+21),m_active,1,m_start,"&lt;"&amp;780,m_end,"&gt;"&amp;720)=0,"",IF(COUNTIFS(m_teacher,AU$4,m_date,($G$2+21),m_active,1,m_start,"&lt;"&amp;780,m_end,"&gt;"&amp;720)&gt;1,"충돌",HYPERLINK("#'관리자_MASTER'!D"&amp;_xlfn.MAXIFS(m_row,m_teacher,AU$4,m_date,($G$2+21),m_active,1,m_start,"&lt;"&amp;780,m_end,"&gt;"&amp;720),INDEX(m_label,_xlfn.MAXIFS(m_row,m_teacher,AU$4,m_date,($G$2+21),m_active,1,m_start,"&lt;"&amp;780,m_end,"&gt;"&amp;720))))))</f>
        <v/>
      </c>
      <c r="AV8" s="82" t="str">
        <f aca="false">IF(OR(AV$4="",MONTH(($G$2+21))&lt;&gt;MONTH($C$2)),"",IF(COUNTIFS(m_teacher,AV$4,m_date,($G$2+21),m_active,1,m_start,"&lt;"&amp;780,m_end,"&gt;"&amp;720)=0,"",IF(COUNTIFS(m_teacher,AV$4,m_date,($G$2+21),m_active,1,m_start,"&lt;"&amp;780,m_end,"&gt;"&amp;720)&gt;1,"충돌",HYPERLINK("#'관리자_MASTER'!D"&amp;_xlfn.MAXIFS(m_row,m_teacher,AV$4,m_date,($G$2+21),m_active,1,m_start,"&lt;"&amp;780,m_end,"&gt;"&amp;720),INDEX(m_label,_xlfn.MAXIFS(m_row,m_teacher,AV$4,m_date,($G$2+21),m_active,1,m_start,"&lt;"&amp;780,m_end,"&gt;"&amp;720))))))</f>
        <v/>
      </c>
      <c r="AW8" s="82" t="str">
        <f aca="false">IF(OR(AW$4="",MONTH(($G$2+21))&lt;&gt;MONTH($C$2)),"",IF(COUNTIFS(m_teacher,AW$4,m_date,($G$2+21),m_active,1,m_start,"&lt;"&amp;780,m_end,"&gt;"&amp;720)=0,"",IF(COUNTIFS(m_teacher,AW$4,m_date,($G$2+21),m_active,1,m_start,"&lt;"&amp;780,m_end,"&gt;"&amp;720)&gt;1,"충돌",HYPERLINK("#'관리자_MASTER'!D"&amp;_xlfn.MAXIFS(m_row,m_teacher,AW$4,m_date,($G$2+21),m_active,1,m_start,"&lt;"&amp;780,m_end,"&gt;"&amp;720),INDEX(m_label,_xlfn.MAXIFS(m_row,m_teacher,AW$4,m_date,($G$2+21),m_active,1,m_start,"&lt;"&amp;780,m_end,"&gt;"&amp;720))))))</f>
        <v/>
      </c>
      <c r="AX8" s="82" t="str">
        <f aca="false">IF(OR(AX$4="",MONTH(($G$2+21))&lt;&gt;MONTH($C$2)),"",IF(COUNTIFS(m_teacher,AX$4,m_date,($G$2+21),m_active,1,m_start,"&lt;"&amp;780,m_end,"&gt;"&amp;720)=0,"",IF(COUNTIFS(m_teacher,AX$4,m_date,($G$2+21),m_active,1,m_start,"&lt;"&amp;780,m_end,"&gt;"&amp;720)&gt;1,"충돌",HYPERLINK("#'관리자_MASTER'!D"&amp;_xlfn.MAXIFS(m_row,m_teacher,AX$4,m_date,($G$2+21),m_active,1,m_start,"&lt;"&amp;780,m_end,"&gt;"&amp;720),INDEX(m_label,_xlfn.MAXIFS(m_row,m_teacher,AX$4,m_date,($G$2+21),m_active,1,m_start,"&lt;"&amp;780,m_end,"&gt;"&amp;720))))))</f>
        <v/>
      </c>
      <c r="AY8" s="82" t="str">
        <f aca="false">IF(OR(AY$4="",MONTH(($G$2+21))&lt;&gt;MONTH($C$2)),"",IF(COUNTIFS(m_teacher,AY$4,m_date,($G$2+21),m_active,1,m_start,"&lt;"&amp;780,m_end,"&gt;"&amp;720)=0,"",IF(COUNTIFS(m_teacher,AY$4,m_date,($G$2+21),m_active,1,m_start,"&lt;"&amp;780,m_end,"&gt;"&amp;720)&gt;1,"충돌",HYPERLINK("#'관리자_MASTER'!D"&amp;_xlfn.MAXIFS(m_row,m_teacher,AY$4,m_date,($G$2+21),m_active,1,m_start,"&lt;"&amp;780,m_end,"&gt;"&amp;720),INDEX(m_label,_xlfn.MAXIFS(m_row,m_teacher,AY$4,m_date,($G$2+21),m_active,1,m_start,"&lt;"&amp;780,m_end,"&gt;"&amp;720))))))</f>
        <v/>
      </c>
      <c r="AZ8" s="82" t="str">
        <f aca="false">IF(OR(AZ$4="",MONTH(($G$2+21))&lt;&gt;MONTH($C$2)),"",IF(COUNTIFS(m_teacher,AZ$4,m_date,($G$2+21),m_active,1,m_start,"&lt;"&amp;780,m_end,"&gt;"&amp;720)=0,"",IF(COUNTIFS(m_teacher,AZ$4,m_date,($G$2+21),m_active,1,m_start,"&lt;"&amp;780,m_end,"&gt;"&amp;720)&gt;1,"충돌",HYPERLINK("#'관리자_MASTER'!D"&amp;_xlfn.MAXIFS(m_row,m_teacher,AZ$4,m_date,($G$2+21),m_active,1,m_start,"&lt;"&amp;780,m_end,"&gt;"&amp;720),INDEX(m_label,_xlfn.MAXIFS(m_row,m_teacher,AZ$4,m_date,($G$2+21),m_active,1,m_start,"&lt;"&amp;780,m_end,"&gt;"&amp;720))))))</f>
        <v/>
      </c>
      <c r="BA8" s="82" t="str">
        <f aca="false">IF(OR(BA$4="",MONTH(($G$2+21))&lt;&gt;MONTH($C$2)),"",IF(COUNTIFS(m_teacher,BA$4,m_date,($G$2+21),m_active,1,m_start,"&lt;"&amp;780,m_end,"&gt;"&amp;720)=0,"",IF(COUNTIFS(m_teacher,BA$4,m_date,($G$2+21),m_active,1,m_start,"&lt;"&amp;780,m_end,"&gt;"&amp;720)&gt;1,"충돌",HYPERLINK("#'관리자_MASTER'!D"&amp;_xlfn.MAXIFS(m_row,m_teacher,BA$4,m_date,($G$2+21),m_active,1,m_start,"&lt;"&amp;780,m_end,"&gt;"&amp;720),INDEX(m_label,_xlfn.MAXIFS(m_row,m_teacher,BA$4,m_date,($G$2+21),m_active,1,m_start,"&lt;"&amp;780,m_end,"&gt;"&amp;720))))))</f>
        <v/>
      </c>
      <c r="BB8" s="82" t="str">
        <f aca="false">IF(OR(BB$4="",MONTH(($G$2+21))&lt;&gt;MONTH($C$2)),"",IF(COUNTIFS(m_teacher,BB$4,m_date,($G$2+21),m_active,1,m_start,"&lt;"&amp;780,m_end,"&gt;"&amp;720)=0,"",IF(COUNTIFS(m_teacher,BB$4,m_date,($G$2+21),m_active,1,m_start,"&lt;"&amp;780,m_end,"&gt;"&amp;720)&gt;1,"충돌",HYPERLINK("#'관리자_MASTER'!D"&amp;_xlfn.MAXIFS(m_row,m_teacher,BB$4,m_date,($G$2+21),m_active,1,m_start,"&lt;"&amp;780,m_end,"&gt;"&amp;720),INDEX(m_label,_xlfn.MAXIFS(m_row,m_teacher,BB$4,m_date,($G$2+21),m_active,1,m_start,"&lt;"&amp;780,m_end,"&gt;"&amp;720))))))</f>
        <v/>
      </c>
      <c r="BC8" s="82" t="str">
        <f aca="false">IF(OR(BC$4="",MONTH(($G$2+21))&lt;&gt;MONTH($C$2)),"",IF(COUNTIFS(m_teacher,BC$4,m_date,($G$2+21),m_active,1,m_start,"&lt;"&amp;780,m_end,"&gt;"&amp;720)=0,"",IF(COUNTIFS(m_teacher,BC$4,m_date,($G$2+21),m_active,1,m_start,"&lt;"&amp;780,m_end,"&gt;"&amp;720)&gt;1,"충돌",HYPERLINK("#'관리자_MASTER'!D"&amp;_xlfn.MAXIFS(m_row,m_teacher,BC$4,m_date,($G$2+21),m_active,1,m_start,"&lt;"&amp;780,m_end,"&gt;"&amp;720),INDEX(m_label,_xlfn.MAXIFS(m_row,m_teacher,BC$4,m_date,($G$2+21),m_active,1,m_start,"&lt;"&amp;780,m_end,"&gt;"&amp;720))))))</f>
        <v/>
      </c>
      <c r="BD8" s="82" t="str">
        <f aca="false">IF(OR(BD$4="",MONTH(($G$2+21))&lt;&gt;MONTH($C$2)),"",IF(COUNTIFS(m_teacher,BD$4,m_date,($G$2+21),m_active,1,m_start,"&lt;"&amp;780,m_end,"&gt;"&amp;720)=0,"",IF(COUNTIFS(m_teacher,BD$4,m_date,($G$2+21),m_active,1,m_start,"&lt;"&amp;780,m_end,"&gt;"&amp;720)&gt;1,"충돌",HYPERLINK("#'관리자_MASTER'!D"&amp;_xlfn.MAXIFS(m_row,m_teacher,BD$4,m_date,($G$2+21),m_active,1,m_start,"&lt;"&amp;780,m_end,"&gt;"&amp;720),INDEX(m_label,_xlfn.MAXIFS(m_row,m_teacher,BD$4,m_date,($G$2+21),m_active,1,m_start,"&lt;"&amp;780,m_end,"&gt;"&amp;720))))))</f>
        <v/>
      </c>
      <c r="BE8" s="78"/>
      <c r="BF8" s="79" t="s">
        <v>94</v>
      </c>
      <c r="BG8" s="82" t="str">
        <f aca="false">IF(OR(BG$4="",MONTH(($G$2+28))&lt;&gt;MONTH($C$2)),"",IF(COUNTIFS(m_teacher,BG$4,m_date,($G$2+28),m_active,1,m_start,"&lt;"&amp;780,m_end,"&gt;"&amp;720)=0,"",IF(COUNTIFS(m_teacher,BG$4,m_date,($G$2+28),m_active,1,m_start,"&lt;"&amp;780,m_end,"&gt;"&amp;720)&gt;1,"충돌",HYPERLINK("#'관리자_MASTER'!D"&amp;_xlfn.MAXIFS(m_row,m_teacher,BG$4,m_date,($G$2+28),m_active,1,m_start,"&lt;"&amp;780,m_end,"&gt;"&amp;720),INDEX(m_label,_xlfn.MAXIFS(m_row,m_teacher,BG$4,m_date,($G$2+28),m_active,1,m_start,"&lt;"&amp;780,m_end,"&gt;"&amp;720))))))</f>
        <v/>
      </c>
      <c r="BH8" s="82" t="str">
        <f aca="false">IF(OR(BH$4="",MONTH(($G$2+28))&lt;&gt;MONTH($C$2)),"",IF(COUNTIFS(m_teacher,BH$4,m_date,($G$2+28),m_active,1,m_start,"&lt;"&amp;780,m_end,"&gt;"&amp;720)=0,"",IF(COUNTIFS(m_teacher,BH$4,m_date,($G$2+28),m_active,1,m_start,"&lt;"&amp;780,m_end,"&gt;"&amp;720)&gt;1,"충돌",HYPERLINK("#'관리자_MASTER'!D"&amp;_xlfn.MAXIFS(m_row,m_teacher,BH$4,m_date,($G$2+28),m_active,1,m_start,"&lt;"&amp;780,m_end,"&gt;"&amp;720),INDEX(m_label,_xlfn.MAXIFS(m_row,m_teacher,BH$4,m_date,($G$2+28),m_active,1,m_start,"&lt;"&amp;780,m_end,"&gt;"&amp;720))))))</f>
        <v/>
      </c>
      <c r="BI8" s="82" t="str">
        <f aca="false">IF(OR(BI$4="",MONTH(($G$2+28))&lt;&gt;MONTH($C$2)),"",IF(COUNTIFS(m_teacher,BI$4,m_date,($G$2+28),m_active,1,m_start,"&lt;"&amp;780,m_end,"&gt;"&amp;720)=0,"",IF(COUNTIFS(m_teacher,BI$4,m_date,($G$2+28),m_active,1,m_start,"&lt;"&amp;780,m_end,"&gt;"&amp;720)&gt;1,"충돌",HYPERLINK("#'관리자_MASTER'!D"&amp;_xlfn.MAXIFS(m_row,m_teacher,BI$4,m_date,($G$2+28),m_active,1,m_start,"&lt;"&amp;780,m_end,"&gt;"&amp;720),INDEX(m_label,_xlfn.MAXIFS(m_row,m_teacher,BI$4,m_date,($G$2+28),m_active,1,m_start,"&lt;"&amp;780,m_end,"&gt;"&amp;720))))))</f>
        <v/>
      </c>
      <c r="BJ8" s="82" t="str">
        <f aca="false">IF(OR(BJ$4="",MONTH(($G$2+28))&lt;&gt;MONTH($C$2)),"",IF(COUNTIFS(m_teacher,BJ$4,m_date,($G$2+28),m_active,1,m_start,"&lt;"&amp;780,m_end,"&gt;"&amp;720)=0,"",IF(COUNTIFS(m_teacher,BJ$4,m_date,($G$2+28),m_active,1,m_start,"&lt;"&amp;780,m_end,"&gt;"&amp;720)&gt;1,"충돌",HYPERLINK("#'관리자_MASTER'!D"&amp;_xlfn.MAXIFS(m_row,m_teacher,BJ$4,m_date,($G$2+28),m_active,1,m_start,"&lt;"&amp;780,m_end,"&gt;"&amp;720),INDEX(m_label,_xlfn.MAXIFS(m_row,m_teacher,BJ$4,m_date,($G$2+28),m_active,1,m_start,"&lt;"&amp;780,m_end,"&gt;"&amp;720))))))</f>
        <v/>
      </c>
      <c r="BK8" s="82" t="str">
        <f aca="false">IF(OR(BK$4="",MONTH(($G$2+28))&lt;&gt;MONTH($C$2)),"",IF(COUNTIFS(m_teacher,BK$4,m_date,($G$2+28),m_active,1,m_start,"&lt;"&amp;780,m_end,"&gt;"&amp;720)=0,"",IF(COUNTIFS(m_teacher,BK$4,m_date,($G$2+28),m_active,1,m_start,"&lt;"&amp;780,m_end,"&gt;"&amp;720)&gt;1,"충돌",HYPERLINK("#'관리자_MASTER'!D"&amp;_xlfn.MAXIFS(m_row,m_teacher,BK$4,m_date,($G$2+28),m_active,1,m_start,"&lt;"&amp;780,m_end,"&gt;"&amp;720),INDEX(m_label,_xlfn.MAXIFS(m_row,m_teacher,BK$4,m_date,($G$2+28),m_active,1,m_start,"&lt;"&amp;780,m_end,"&gt;"&amp;720))))))</f>
        <v/>
      </c>
      <c r="BL8" s="82" t="str">
        <f aca="false">IF(OR(BL$4="",MONTH(($G$2+28))&lt;&gt;MONTH($C$2)),"",IF(COUNTIFS(m_teacher,BL$4,m_date,($G$2+28),m_active,1,m_start,"&lt;"&amp;780,m_end,"&gt;"&amp;720)=0,"",IF(COUNTIFS(m_teacher,BL$4,m_date,($G$2+28),m_active,1,m_start,"&lt;"&amp;780,m_end,"&gt;"&amp;720)&gt;1,"충돌",HYPERLINK("#'관리자_MASTER'!D"&amp;_xlfn.MAXIFS(m_row,m_teacher,BL$4,m_date,($G$2+28),m_active,1,m_start,"&lt;"&amp;780,m_end,"&gt;"&amp;720),INDEX(m_label,_xlfn.MAXIFS(m_row,m_teacher,BL$4,m_date,($G$2+28),m_active,1,m_start,"&lt;"&amp;780,m_end,"&gt;"&amp;720))))))</f>
        <v/>
      </c>
      <c r="BM8" s="82" t="str">
        <f aca="false">IF(OR(BM$4="",MONTH(($G$2+28))&lt;&gt;MONTH($C$2)),"",IF(COUNTIFS(m_teacher,BM$4,m_date,($G$2+28),m_active,1,m_start,"&lt;"&amp;780,m_end,"&gt;"&amp;720)=0,"",IF(COUNTIFS(m_teacher,BM$4,m_date,($G$2+28),m_active,1,m_start,"&lt;"&amp;780,m_end,"&gt;"&amp;720)&gt;1,"충돌",HYPERLINK("#'관리자_MASTER'!D"&amp;_xlfn.MAXIFS(m_row,m_teacher,BM$4,m_date,($G$2+28),m_active,1,m_start,"&lt;"&amp;780,m_end,"&gt;"&amp;720),INDEX(m_label,_xlfn.MAXIFS(m_row,m_teacher,BM$4,m_date,($G$2+28),m_active,1,m_start,"&lt;"&amp;780,m_end,"&gt;"&amp;720))))))</f>
        <v/>
      </c>
      <c r="BN8" s="82" t="str">
        <f aca="false">IF(OR(BN$4="",MONTH(($G$2+28))&lt;&gt;MONTH($C$2)),"",IF(COUNTIFS(m_teacher,BN$4,m_date,($G$2+28),m_active,1,m_start,"&lt;"&amp;780,m_end,"&gt;"&amp;720)=0,"",IF(COUNTIFS(m_teacher,BN$4,m_date,($G$2+28),m_active,1,m_start,"&lt;"&amp;780,m_end,"&gt;"&amp;720)&gt;1,"충돌",HYPERLINK("#'관리자_MASTER'!D"&amp;_xlfn.MAXIFS(m_row,m_teacher,BN$4,m_date,($G$2+28),m_active,1,m_start,"&lt;"&amp;780,m_end,"&gt;"&amp;720),INDEX(m_label,_xlfn.MAXIFS(m_row,m_teacher,BN$4,m_date,($G$2+28),m_active,1,m_start,"&lt;"&amp;780,m_end,"&gt;"&amp;720))))))</f>
        <v/>
      </c>
      <c r="BO8" s="82" t="str">
        <f aca="false">IF(OR(BO$4="",MONTH(($G$2+28))&lt;&gt;MONTH($C$2)),"",IF(COUNTIFS(m_teacher,BO$4,m_date,($G$2+28),m_active,1,m_start,"&lt;"&amp;780,m_end,"&gt;"&amp;720)=0,"",IF(COUNTIFS(m_teacher,BO$4,m_date,($G$2+28),m_active,1,m_start,"&lt;"&amp;780,m_end,"&gt;"&amp;720)&gt;1,"충돌",HYPERLINK("#'관리자_MASTER'!D"&amp;_xlfn.MAXIFS(m_row,m_teacher,BO$4,m_date,($G$2+28),m_active,1,m_start,"&lt;"&amp;780,m_end,"&gt;"&amp;720),INDEX(m_label,_xlfn.MAXIFS(m_row,m_teacher,BO$4,m_date,($G$2+28),m_active,1,m_start,"&lt;"&amp;780,m_end,"&gt;"&amp;720))))))</f>
        <v/>
      </c>
      <c r="BP8" s="82" t="str">
        <f aca="false">IF(OR(BP$4="",MONTH(($G$2+28))&lt;&gt;MONTH($C$2)),"",IF(COUNTIFS(m_teacher,BP$4,m_date,($G$2+28),m_active,1,m_start,"&lt;"&amp;780,m_end,"&gt;"&amp;720)=0,"",IF(COUNTIFS(m_teacher,BP$4,m_date,($G$2+28),m_active,1,m_start,"&lt;"&amp;780,m_end,"&gt;"&amp;720)&gt;1,"충돌",HYPERLINK("#'관리자_MASTER'!D"&amp;_xlfn.MAXIFS(m_row,m_teacher,BP$4,m_date,($G$2+28),m_active,1,m_start,"&lt;"&amp;780,m_end,"&gt;"&amp;720),INDEX(m_label,_xlfn.MAXIFS(m_row,m_teacher,BP$4,m_date,($G$2+28),m_active,1,m_start,"&lt;"&amp;780,m_end,"&gt;"&amp;720))))))</f>
        <v/>
      </c>
      <c r="BQ8" s="82" t="str">
        <f aca="false">IF(OR(BQ$4="",MONTH(($G$2+28))&lt;&gt;MONTH($C$2)),"",IF(COUNTIFS(m_teacher,BQ$4,m_date,($G$2+28),m_active,1,m_start,"&lt;"&amp;780,m_end,"&gt;"&amp;720)=0,"",IF(COUNTIFS(m_teacher,BQ$4,m_date,($G$2+28),m_active,1,m_start,"&lt;"&amp;780,m_end,"&gt;"&amp;720)&gt;1,"충돌",HYPERLINK("#'관리자_MASTER'!D"&amp;_xlfn.MAXIFS(m_row,m_teacher,BQ$4,m_date,($G$2+28),m_active,1,m_start,"&lt;"&amp;780,m_end,"&gt;"&amp;720),INDEX(m_label,_xlfn.MAXIFS(m_row,m_teacher,BQ$4,m_date,($G$2+28),m_active,1,m_start,"&lt;"&amp;780,m_end,"&gt;"&amp;720))))))</f>
        <v/>
      </c>
      <c r="BR8" s="82" t="str">
        <f aca="false">IF(OR(BR$4="",MONTH(($G$2+28))&lt;&gt;MONTH($C$2)),"",IF(COUNTIFS(m_teacher,BR$4,m_date,($G$2+28),m_active,1,m_start,"&lt;"&amp;780,m_end,"&gt;"&amp;720)=0,"",IF(COUNTIFS(m_teacher,BR$4,m_date,($G$2+28),m_active,1,m_start,"&lt;"&amp;780,m_end,"&gt;"&amp;720)&gt;1,"충돌",HYPERLINK("#'관리자_MASTER'!D"&amp;_xlfn.MAXIFS(m_row,m_teacher,BR$4,m_date,($G$2+28),m_active,1,m_start,"&lt;"&amp;780,m_end,"&gt;"&amp;720),INDEX(m_label,_xlfn.MAXIFS(m_row,m_teacher,BR$4,m_date,($G$2+28),m_active,1,m_start,"&lt;"&amp;780,m_end,"&gt;"&amp;720))))))</f>
        <v/>
      </c>
    </row>
    <row r="9" customFormat="false" ht="19.5" hidden="false" customHeight="true" outlineLevel="0" collapsed="false">
      <c r="A9" s="75"/>
      <c r="B9" s="76" t="s">
        <v>95</v>
      </c>
      <c r="C9" s="81" t="str">
        <f aca="false">IF(OR(C$4="",MONTH(($G$2+0))&lt;&gt;MONTH($C$2)),"",IF(COUNTIFS(m_teacher,C$4,m_date,($G$2+0),m_active,1,m_start,"&lt;"&amp;840,m_end,"&gt;"&amp;780)=0,"",IF(COUNTIFS(m_teacher,C$4,m_date,($G$2+0),m_active,1,m_start,"&lt;"&amp;840,m_end,"&gt;"&amp;780)&gt;1,"충돌",HYPERLINK("#'관리자_MASTER'!D"&amp;_xlfn.MAXIFS(m_row,m_teacher,C$4,m_date,($G$2+0),m_active,1,m_start,"&lt;"&amp;840,m_end,"&gt;"&amp;780),INDEX(m_label,_xlfn.MAXIFS(m_row,m_teacher,C$4,m_date,($G$2+0),m_active,1,m_start,"&lt;"&amp;840,m_end,"&gt;"&amp;780))))))</f>
        <v/>
      </c>
      <c r="D9" s="81" t="str">
        <f aca="false">IF(OR(D$4="",MONTH(($G$2+0))&lt;&gt;MONTH($C$2)),"",IF(COUNTIFS(m_teacher,D$4,m_date,($G$2+0),m_active,1,m_start,"&lt;"&amp;840,m_end,"&gt;"&amp;780)=0,"",IF(COUNTIFS(m_teacher,D$4,m_date,($G$2+0),m_active,1,m_start,"&lt;"&amp;840,m_end,"&gt;"&amp;780)&gt;1,"충돌",HYPERLINK("#'관리자_MASTER'!D"&amp;_xlfn.MAXIFS(m_row,m_teacher,D$4,m_date,($G$2+0),m_active,1,m_start,"&lt;"&amp;840,m_end,"&gt;"&amp;780),INDEX(m_label,_xlfn.MAXIFS(m_row,m_teacher,D$4,m_date,($G$2+0),m_active,1,m_start,"&lt;"&amp;840,m_end,"&gt;"&amp;780))))))</f>
        <v/>
      </c>
      <c r="E9" s="81" t="str">
        <f aca="false">IF(OR(E$4="",MONTH(($G$2+0))&lt;&gt;MONTH($C$2)),"",IF(COUNTIFS(m_teacher,E$4,m_date,($G$2+0),m_active,1,m_start,"&lt;"&amp;840,m_end,"&gt;"&amp;780)=0,"",IF(COUNTIFS(m_teacher,E$4,m_date,($G$2+0),m_active,1,m_start,"&lt;"&amp;840,m_end,"&gt;"&amp;780)&gt;1,"충돌",HYPERLINK("#'관리자_MASTER'!D"&amp;_xlfn.MAXIFS(m_row,m_teacher,E$4,m_date,($G$2+0),m_active,1,m_start,"&lt;"&amp;840,m_end,"&gt;"&amp;780),INDEX(m_label,_xlfn.MAXIFS(m_row,m_teacher,E$4,m_date,($G$2+0),m_active,1,m_start,"&lt;"&amp;840,m_end,"&gt;"&amp;780))))))</f>
        <v/>
      </c>
      <c r="F9" s="81" t="str">
        <f aca="false">IF(OR(F$4="",MONTH(($G$2+0))&lt;&gt;MONTH($C$2)),"",IF(COUNTIFS(m_teacher,F$4,m_date,($G$2+0),m_active,1,m_start,"&lt;"&amp;840,m_end,"&gt;"&amp;780)=0,"",IF(COUNTIFS(m_teacher,F$4,m_date,($G$2+0),m_active,1,m_start,"&lt;"&amp;840,m_end,"&gt;"&amp;780)&gt;1,"충돌",HYPERLINK("#'관리자_MASTER'!D"&amp;_xlfn.MAXIFS(m_row,m_teacher,F$4,m_date,($G$2+0),m_active,1,m_start,"&lt;"&amp;840,m_end,"&gt;"&amp;780),INDEX(m_label,_xlfn.MAXIFS(m_row,m_teacher,F$4,m_date,($G$2+0),m_active,1,m_start,"&lt;"&amp;840,m_end,"&gt;"&amp;780))))))</f>
        <v/>
      </c>
      <c r="G9" s="81" t="str">
        <f aca="false">IF(OR(G$4="",MONTH(($G$2+0))&lt;&gt;MONTH($C$2)),"",IF(COUNTIFS(m_teacher,G$4,m_date,($G$2+0),m_active,1,m_start,"&lt;"&amp;840,m_end,"&gt;"&amp;780)=0,"",IF(COUNTIFS(m_teacher,G$4,m_date,($G$2+0),m_active,1,m_start,"&lt;"&amp;840,m_end,"&gt;"&amp;780)&gt;1,"충돌",HYPERLINK("#'관리자_MASTER'!D"&amp;_xlfn.MAXIFS(m_row,m_teacher,G$4,m_date,($G$2+0),m_active,1,m_start,"&lt;"&amp;840,m_end,"&gt;"&amp;780),INDEX(m_label,_xlfn.MAXIFS(m_row,m_teacher,G$4,m_date,($G$2+0),m_active,1,m_start,"&lt;"&amp;840,m_end,"&gt;"&amp;780))))))</f>
        <v/>
      </c>
      <c r="H9" s="81" t="str">
        <f aca="false">IF(OR(H$4="",MONTH(($G$2+0))&lt;&gt;MONTH($C$2)),"",IF(COUNTIFS(m_teacher,H$4,m_date,($G$2+0),m_active,1,m_start,"&lt;"&amp;840,m_end,"&gt;"&amp;780)=0,"",IF(COUNTIFS(m_teacher,H$4,m_date,($G$2+0),m_active,1,m_start,"&lt;"&amp;840,m_end,"&gt;"&amp;780)&gt;1,"충돌",HYPERLINK("#'관리자_MASTER'!D"&amp;_xlfn.MAXIFS(m_row,m_teacher,H$4,m_date,($G$2+0),m_active,1,m_start,"&lt;"&amp;840,m_end,"&gt;"&amp;780),INDEX(m_label,_xlfn.MAXIFS(m_row,m_teacher,H$4,m_date,($G$2+0),m_active,1,m_start,"&lt;"&amp;840,m_end,"&gt;"&amp;780))))))</f>
        <v/>
      </c>
      <c r="I9" s="81" t="str">
        <f aca="false">IF(OR(I$4="",MONTH(($G$2+0))&lt;&gt;MONTH($C$2)),"",IF(COUNTIFS(m_teacher,I$4,m_date,($G$2+0),m_active,1,m_start,"&lt;"&amp;840,m_end,"&gt;"&amp;780)=0,"",IF(COUNTIFS(m_teacher,I$4,m_date,($G$2+0),m_active,1,m_start,"&lt;"&amp;840,m_end,"&gt;"&amp;780)&gt;1,"충돌",HYPERLINK("#'관리자_MASTER'!D"&amp;_xlfn.MAXIFS(m_row,m_teacher,I$4,m_date,($G$2+0),m_active,1,m_start,"&lt;"&amp;840,m_end,"&gt;"&amp;780),INDEX(m_label,_xlfn.MAXIFS(m_row,m_teacher,I$4,m_date,($G$2+0),m_active,1,m_start,"&lt;"&amp;840,m_end,"&gt;"&amp;780))))))</f>
        <v/>
      </c>
      <c r="J9" s="81" t="str">
        <f aca="false">IF(OR(J$4="",MONTH(($G$2+0))&lt;&gt;MONTH($C$2)),"",IF(COUNTIFS(m_teacher,J$4,m_date,($G$2+0),m_active,1,m_start,"&lt;"&amp;840,m_end,"&gt;"&amp;780)=0,"",IF(COUNTIFS(m_teacher,J$4,m_date,($G$2+0),m_active,1,m_start,"&lt;"&amp;840,m_end,"&gt;"&amp;780)&gt;1,"충돌",HYPERLINK("#'관리자_MASTER'!D"&amp;_xlfn.MAXIFS(m_row,m_teacher,J$4,m_date,($G$2+0),m_active,1,m_start,"&lt;"&amp;840,m_end,"&gt;"&amp;780),INDEX(m_label,_xlfn.MAXIFS(m_row,m_teacher,J$4,m_date,($G$2+0),m_active,1,m_start,"&lt;"&amp;840,m_end,"&gt;"&amp;780))))))</f>
        <v/>
      </c>
      <c r="K9" s="81" t="str">
        <f aca="false">IF(OR(K$4="",MONTH(($G$2+0))&lt;&gt;MONTH($C$2)),"",IF(COUNTIFS(m_teacher,K$4,m_date,($G$2+0),m_active,1,m_start,"&lt;"&amp;840,m_end,"&gt;"&amp;780)=0,"",IF(COUNTIFS(m_teacher,K$4,m_date,($G$2+0),m_active,1,m_start,"&lt;"&amp;840,m_end,"&gt;"&amp;780)&gt;1,"충돌",HYPERLINK("#'관리자_MASTER'!D"&amp;_xlfn.MAXIFS(m_row,m_teacher,K$4,m_date,($G$2+0),m_active,1,m_start,"&lt;"&amp;840,m_end,"&gt;"&amp;780),INDEX(m_label,_xlfn.MAXIFS(m_row,m_teacher,K$4,m_date,($G$2+0),m_active,1,m_start,"&lt;"&amp;840,m_end,"&gt;"&amp;780))))))</f>
        <v/>
      </c>
      <c r="L9" s="81" t="str">
        <f aca="false">IF(OR(L$4="",MONTH(($G$2+0))&lt;&gt;MONTH($C$2)),"",IF(COUNTIFS(m_teacher,L$4,m_date,($G$2+0),m_active,1,m_start,"&lt;"&amp;840,m_end,"&gt;"&amp;780)=0,"",IF(COUNTIFS(m_teacher,L$4,m_date,($G$2+0),m_active,1,m_start,"&lt;"&amp;840,m_end,"&gt;"&amp;780)&gt;1,"충돌",HYPERLINK("#'관리자_MASTER'!D"&amp;_xlfn.MAXIFS(m_row,m_teacher,L$4,m_date,($G$2+0),m_active,1,m_start,"&lt;"&amp;840,m_end,"&gt;"&amp;780),INDEX(m_label,_xlfn.MAXIFS(m_row,m_teacher,L$4,m_date,($G$2+0),m_active,1,m_start,"&lt;"&amp;840,m_end,"&gt;"&amp;780))))))</f>
        <v/>
      </c>
      <c r="M9" s="81" t="str">
        <f aca="false">IF(OR(M$4="",MONTH(($G$2+0))&lt;&gt;MONTH($C$2)),"",IF(COUNTIFS(m_teacher,M$4,m_date,($G$2+0),m_active,1,m_start,"&lt;"&amp;840,m_end,"&gt;"&amp;780)=0,"",IF(COUNTIFS(m_teacher,M$4,m_date,($G$2+0),m_active,1,m_start,"&lt;"&amp;840,m_end,"&gt;"&amp;780)&gt;1,"충돌",HYPERLINK("#'관리자_MASTER'!D"&amp;_xlfn.MAXIFS(m_row,m_teacher,M$4,m_date,($G$2+0),m_active,1,m_start,"&lt;"&amp;840,m_end,"&gt;"&amp;780),INDEX(m_label,_xlfn.MAXIFS(m_row,m_teacher,M$4,m_date,($G$2+0),m_active,1,m_start,"&lt;"&amp;840,m_end,"&gt;"&amp;780))))))</f>
        <v/>
      </c>
      <c r="N9" s="81" t="str">
        <f aca="false">IF(OR(N$4="",MONTH(($G$2+0))&lt;&gt;MONTH($C$2)),"",IF(COUNTIFS(m_teacher,N$4,m_date,($G$2+0),m_active,1,m_start,"&lt;"&amp;840,m_end,"&gt;"&amp;780)=0,"",IF(COUNTIFS(m_teacher,N$4,m_date,($G$2+0),m_active,1,m_start,"&lt;"&amp;840,m_end,"&gt;"&amp;780)&gt;1,"충돌",HYPERLINK("#'관리자_MASTER'!D"&amp;_xlfn.MAXIFS(m_row,m_teacher,N$4,m_date,($G$2+0),m_active,1,m_start,"&lt;"&amp;840,m_end,"&gt;"&amp;780),INDEX(m_label,_xlfn.MAXIFS(m_row,m_teacher,N$4,m_date,($G$2+0),m_active,1,m_start,"&lt;"&amp;840,m_end,"&gt;"&amp;780))))))</f>
        <v/>
      </c>
      <c r="O9" s="78"/>
      <c r="P9" s="79" t="s">
        <v>95</v>
      </c>
      <c r="Q9" s="82" t="str">
        <f aca="false">IF(OR(Q$4="",MONTH(($G$2+7))&lt;&gt;MONTH($C$2)),"",IF(COUNTIFS(m_teacher,Q$4,m_date,($G$2+7),m_active,1,m_start,"&lt;"&amp;840,m_end,"&gt;"&amp;780)=0,"",IF(COUNTIFS(m_teacher,Q$4,m_date,($G$2+7),m_active,1,m_start,"&lt;"&amp;840,m_end,"&gt;"&amp;780)&gt;1,"충돌",HYPERLINK("#'관리자_MASTER'!D"&amp;_xlfn.MAXIFS(m_row,m_teacher,Q$4,m_date,($G$2+7),m_active,1,m_start,"&lt;"&amp;840,m_end,"&gt;"&amp;780),INDEX(m_label,_xlfn.MAXIFS(m_row,m_teacher,Q$4,m_date,($G$2+7),m_active,1,m_start,"&lt;"&amp;840,m_end,"&gt;"&amp;780))))))</f>
        <v/>
      </c>
      <c r="R9" s="82" t="str">
        <f aca="false">IF(OR(R$4="",MONTH(($G$2+7))&lt;&gt;MONTH($C$2)),"",IF(COUNTIFS(m_teacher,R$4,m_date,($G$2+7),m_active,1,m_start,"&lt;"&amp;840,m_end,"&gt;"&amp;780)=0,"",IF(COUNTIFS(m_teacher,R$4,m_date,($G$2+7),m_active,1,m_start,"&lt;"&amp;840,m_end,"&gt;"&amp;780)&gt;1,"충돌",HYPERLINK("#'관리자_MASTER'!D"&amp;_xlfn.MAXIFS(m_row,m_teacher,R$4,m_date,($G$2+7),m_active,1,m_start,"&lt;"&amp;840,m_end,"&gt;"&amp;780),INDEX(m_label,_xlfn.MAXIFS(m_row,m_teacher,R$4,m_date,($G$2+7),m_active,1,m_start,"&lt;"&amp;840,m_end,"&gt;"&amp;780))))))</f>
        <v/>
      </c>
      <c r="S9" s="82" t="str">
        <f aca="false">IF(OR(S$4="",MONTH(($G$2+7))&lt;&gt;MONTH($C$2)),"",IF(COUNTIFS(m_teacher,S$4,m_date,($G$2+7),m_active,1,m_start,"&lt;"&amp;840,m_end,"&gt;"&amp;780)=0,"",IF(COUNTIFS(m_teacher,S$4,m_date,($G$2+7),m_active,1,m_start,"&lt;"&amp;840,m_end,"&gt;"&amp;780)&gt;1,"충돌",HYPERLINK("#'관리자_MASTER'!D"&amp;_xlfn.MAXIFS(m_row,m_teacher,S$4,m_date,($G$2+7),m_active,1,m_start,"&lt;"&amp;840,m_end,"&gt;"&amp;780),INDEX(m_label,_xlfn.MAXIFS(m_row,m_teacher,S$4,m_date,($G$2+7),m_active,1,m_start,"&lt;"&amp;840,m_end,"&gt;"&amp;780))))))</f>
        <v/>
      </c>
      <c r="T9" s="82" t="str">
        <f aca="false">IF(OR(T$4="",MONTH(($G$2+7))&lt;&gt;MONTH($C$2)),"",IF(COUNTIFS(m_teacher,T$4,m_date,($G$2+7),m_active,1,m_start,"&lt;"&amp;840,m_end,"&gt;"&amp;780)=0,"",IF(COUNTIFS(m_teacher,T$4,m_date,($G$2+7),m_active,1,m_start,"&lt;"&amp;840,m_end,"&gt;"&amp;780)&gt;1,"충돌",HYPERLINK("#'관리자_MASTER'!D"&amp;_xlfn.MAXIFS(m_row,m_teacher,T$4,m_date,($G$2+7),m_active,1,m_start,"&lt;"&amp;840,m_end,"&gt;"&amp;780),INDEX(m_label,_xlfn.MAXIFS(m_row,m_teacher,T$4,m_date,($G$2+7),m_active,1,m_start,"&lt;"&amp;840,m_end,"&gt;"&amp;780))))))</f>
        <v/>
      </c>
      <c r="U9" s="82" t="str">
        <f aca="false">IF(OR(U$4="",MONTH(($G$2+7))&lt;&gt;MONTH($C$2)),"",IF(COUNTIFS(m_teacher,U$4,m_date,($G$2+7),m_active,1,m_start,"&lt;"&amp;840,m_end,"&gt;"&amp;780)=0,"",IF(COUNTIFS(m_teacher,U$4,m_date,($G$2+7),m_active,1,m_start,"&lt;"&amp;840,m_end,"&gt;"&amp;780)&gt;1,"충돌",HYPERLINK("#'관리자_MASTER'!D"&amp;_xlfn.MAXIFS(m_row,m_teacher,U$4,m_date,($G$2+7),m_active,1,m_start,"&lt;"&amp;840,m_end,"&gt;"&amp;780),INDEX(m_label,_xlfn.MAXIFS(m_row,m_teacher,U$4,m_date,($G$2+7),m_active,1,m_start,"&lt;"&amp;840,m_end,"&gt;"&amp;780))))))</f>
        <v/>
      </c>
      <c r="V9" s="82" t="str">
        <f aca="false">IF(OR(V$4="",MONTH(($G$2+7))&lt;&gt;MONTH($C$2)),"",IF(COUNTIFS(m_teacher,V$4,m_date,($G$2+7),m_active,1,m_start,"&lt;"&amp;840,m_end,"&gt;"&amp;780)=0,"",IF(COUNTIFS(m_teacher,V$4,m_date,($G$2+7),m_active,1,m_start,"&lt;"&amp;840,m_end,"&gt;"&amp;780)&gt;1,"충돌",HYPERLINK("#'관리자_MASTER'!D"&amp;_xlfn.MAXIFS(m_row,m_teacher,V$4,m_date,($G$2+7),m_active,1,m_start,"&lt;"&amp;840,m_end,"&gt;"&amp;780),INDEX(m_label,_xlfn.MAXIFS(m_row,m_teacher,V$4,m_date,($G$2+7),m_active,1,m_start,"&lt;"&amp;840,m_end,"&gt;"&amp;780))))))</f>
        <v/>
      </c>
      <c r="W9" s="82" t="str">
        <f aca="false">IF(OR(W$4="",MONTH(($G$2+7))&lt;&gt;MONTH($C$2)),"",IF(COUNTIFS(m_teacher,W$4,m_date,($G$2+7),m_active,1,m_start,"&lt;"&amp;840,m_end,"&gt;"&amp;780)=0,"",IF(COUNTIFS(m_teacher,W$4,m_date,($G$2+7),m_active,1,m_start,"&lt;"&amp;840,m_end,"&gt;"&amp;780)&gt;1,"충돌",HYPERLINK("#'관리자_MASTER'!D"&amp;_xlfn.MAXIFS(m_row,m_teacher,W$4,m_date,($G$2+7),m_active,1,m_start,"&lt;"&amp;840,m_end,"&gt;"&amp;780),INDEX(m_label,_xlfn.MAXIFS(m_row,m_teacher,W$4,m_date,($G$2+7),m_active,1,m_start,"&lt;"&amp;840,m_end,"&gt;"&amp;780))))))</f>
        <v/>
      </c>
      <c r="X9" s="82" t="str">
        <f aca="false">IF(OR(X$4="",MONTH(($G$2+7))&lt;&gt;MONTH($C$2)),"",IF(COUNTIFS(m_teacher,X$4,m_date,($G$2+7),m_active,1,m_start,"&lt;"&amp;840,m_end,"&gt;"&amp;780)=0,"",IF(COUNTIFS(m_teacher,X$4,m_date,($G$2+7),m_active,1,m_start,"&lt;"&amp;840,m_end,"&gt;"&amp;780)&gt;1,"충돌",HYPERLINK("#'관리자_MASTER'!D"&amp;_xlfn.MAXIFS(m_row,m_teacher,X$4,m_date,($G$2+7),m_active,1,m_start,"&lt;"&amp;840,m_end,"&gt;"&amp;780),INDEX(m_label,_xlfn.MAXIFS(m_row,m_teacher,X$4,m_date,($G$2+7),m_active,1,m_start,"&lt;"&amp;840,m_end,"&gt;"&amp;780))))))</f>
        <v/>
      </c>
      <c r="Y9" s="82" t="str">
        <f aca="false">IF(OR(Y$4="",MONTH(($G$2+7))&lt;&gt;MONTH($C$2)),"",IF(COUNTIFS(m_teacher,Y$4,m_date,($G$2+7),m_active,1,m_start,"&lt;"&amp;840,m_end,"&gt;"&amp;780)=0,"",IF(COUNTIFS(m_teacher,Y$4,m_date,($G$2+7),m_active,1,m_start,"&lt;"&amp;840,m_end,"&gt;"&amp;780)&gt;1,"충돌",HYPERLINK("#'관리자_MASTER'!D"&amp;_xlfn.MAXIFS(m_row,m_teacher,Y$4,m_date,($G$2+7),m_active,1,m_start,"&lt;"&amp;840,m_end,"&gt;"&amp;780),INDEX(m_label,_xlfn.MAXIFS(m_row,m_teacher,Y$4,m_date,($G$2+7),m_active,1,m_start,"&lt;"&amp;840,m_end,"&gt;"&amp;780))))))</f>
        <v/>
      </c>
      <c r="Z9" s="82" t="str">
        <f aca="false">IF(OR(Z$4="",MONTH(($G$2+7))&lt;&gt;MONTH($C$2)),"",IF(COUNTIFS(m_teacher,Z$4,m_date,($G$2+7),m_active,1,m_start,"&lt;"&amp;840,m_end,"&gt;"&amp;780)=0,"",IF(COUNTIFS(m_teacher,Z$4,m_date,($G$2+7),m_active,1,m_start,"&lt;"&amp;840,m_end,"&gt;"&amp;780)&gt;1,"충돌",HYPERLINK("#'관리자_MASTER'!D"&amp;_xlfn.MAXIFS(m_row,m_teacher,Z$4,m_date,($G$2+7),m_active,1,m_start,"&lt;"&amp;840,m_end,"&gt;"&amp;780),INDEX(m_label,_xlfn.MAXIFS(m_row,m_teacher,Z$4,m_date,($G$2+7),m_active,1,m_start,"&lt;"&amp;840,m_end,"&gt;"&amp;780))))))</f>
        <v/>
      </c>
      <c r="AA9" s="82" t="str">
        <f aca="false">IF(OR(AA$4="",MONTH(($G$2+7))&lt;&gt;MONTH($C$2)),"",IF(COUNTIFS(m_teacher,AA$4,m_date,($G$2+7),m_active,1,m_start,"&lt;"&amp;840,m_end,"&gt;"&amp;780)=0,"",IF(COUNTIFS(m_teacher,AA$4,m_date,($G$2+7),m_active,1,m_start,"&lt;"&amp;840,m_end,"&gt;"&amp;780)&gt;1,"충돌",HYPERLINK("#'관리자_MASTER'!D"&amp;_xlfn.MAXIFS(m_row,m_teacher,AA$4,m_date,($G$2+7),m_active,1,m_start,"&lt;"&amp;840,m_end,"&gt;"&amp;780),INDEX(m_label,_xlfn.MAXIFS(m_row,m_teacher,AA$4,m_date,($G$2+7),m_active,1,m_start,"&lt;"&amp;840,m_end,"&gt;"&amp;780))))))</f>
        <v/>
      </c>
      <c r="AB9" s="82" t="str">
        <f aca="false">IF(OR(AB$4="",MONTH(($G$2+7))&lt;&gt;MONTH($C$2)),"",IF(COUNTIFS(m_teacher,AB$4,m_date,($G$2+7),m_active,1,m_start,"&lt;"&amp;840,m_end,"&gt;"&amp;780)=0,"",IF(COUNTIFS(m_teacher,AB$4,m_date,($G$2+7),m_active,1,m_start,"&lt;"&amp;840,m_end,"&gt;"&amp;780)&gt;1,"충돌",HYPERLINK("#'관리자_MASTER'!D"&amp;_xlfn.MAXIFS(m_row,m_teacher,AB$4,m_date,($G$2+7),m_active,1,m_start,"&lt;"&amp;840,m_end,"&gt;"&amp;780),INDEX(m_label,_xlfn.MAXIFS(m_row,m_teacher,AB$4,m_date,($G$2+7),m_active,1,m_start,"&lt;"&amp;840,m_end,"&gt;"&amp;780))))))</f>
        <v/>
      </c>
      <c r="AC9" s="78"/>
      <c r="AD9" s="79" t="s">
        <v>95</v>
      </c>
      <c r="AE9" s="82" t="str">
        <f aca="false">IF(OR(AE$4="",MONTH(($G$2+14))&lt;&gt;MONTH($C$2)),"",IF(COUNTIFS(m_teacher,AE$4,m_date,($G$2+14),m_active,1,m_start,"&lt;"&amp;840,m_end,"&gt;"&amp;780)=0,"",IF(COUNTIFS(m_teacher,AE$4,m_date,($G$2+14),m_active,1,m_start,"&lt;"&amp;840,m_end,"&gt;"&amp;780)&gt;1,"충돌",HYPERLINK("#'관리자_MASTER'!D"&amp;_xlfn.MAXIFS(m_row,m_teacher,AE$4,m_date,($G$2+14),m_active,1,m_start,"&lt;"&amp;840,m_end,"&gt;"&amp;780),INDEX(m_label,_xlfn.MAXIFS(m_row,m_teacher,AE$4,m_date,($G$2+14),m_active,1,m_start,"&lt;"&amp;840,m_end,"&gt;"&amp;780))))))</f>
        <v/>
      </c>
      <c r="AF9" s="82" t="str">
        <f aca="false">IF(OR(AF$4="",MONTH(($G$2+14))&lt;&gt;MONTH($C$2)),"",IF(COUNTIFS(m_teacher,AF$4,m_date,($G$2+14),m_active,1,m_start,"&lt;"&amp;840,m_end,"&gt;"&amp;780)=0,"",IF(COUNTIFS(m_teacher,AF$4,m_date,($G$2+14),m_active,1,m_start,"&lt;"&amp;840,m_end,"&gt;"&amp;780)&gt;1,"충돌",HYPERLINK("#'관리자_MASTER'!D"&amp;_xlfn.MAXIFS(m_row,m_teacher,AF$4,m_date,($G$2+14),m_active,1,m_start,"&lt;"&amp;840,m_end,"&gt;"&amp;780),INDEX(m_label,_xlfn.MAXIFS(m_row,m_teacher,AF$4,m_date,($G$2+14),m_active,1,m_start,"&lt;"&amp;840,m_end,"&gt;"&amp;780))))))</f>
        <v/>
      </c>
      <c r="AG9" s="82" t="str">
        <f aca="false">IF(OR(AG$4="",MONTH(($G$2+14))&lt;&gt;MONTH($C$2)),"",IF(COUNTIFS(m_teacher,AG$4,m_date,($G$2+14),m_active,1,m_start,"&lt;"&amp;840,m_end,"&gt;"&amp;780)=0,"",IF(COUNTIFS(m_teacher,AG$4,m_date,($G$2+14),m_active,1,m_start,"&lt;"&amp;840,m_end,"&gt;"&amp;780)&gt;1,"충돌",HYPERLINK("#'관리자_MASTER'!D"&amp;_xlfn.MAXIFS(m_row,m_teacher,AG$4,m_date,($G$2+14),m_active,1,m_start,"&lt;"&amp;840,m_end,"&gt;"&amp;780),INDEX(m_label,_xlfn.MAXIFS(m_row,m_teacher,AG$4,m_date,($G$2+14),m_active,1,m_start,"&lt;"&amp;840,m_end,"&gt;"&amp;780))))))</f>
        <v/>
      </c>
      <c r="AH9" s="82" t="str">
        <f aca="false">IF(OR(AH$4="",MONTH(($G$2+14))&lt;&gt;MONTH($C$2)),"",IF(COUNTIFS(m_teacher,AH$4,m_date,($G$2+14),m_active,1,m_start,"&lt;"&amp;840,m_end,"&gt;"&amp;780)=0,"",IF(COUNTIFS(m_teacher,AH$4,m_date,($G$2+14),m_active,1,m_start,"&lt;"&amp;840,m_end,"&gt;"&amp;780)&gt;1,"충돌",HYPERLINK("#'관리자_MASTER'!D"&amp;_xlfn.MAXIFS(m_row,m_teacher,AH$4,m_date,($G$2+14),m_active,1,m_start,"&lt;"&amp;840,m_end,"&gt;"&amp;780),INDEX(m_label,_xlfn.MAXIFS(m_row,m_teacher,AH$4,m_date,($G$2+14),m_active,1,m_start,"&lt;"&amp;840,m_end,"&gt;"&amp;780))))))</f>
        <v/>
      </c>
      <c r="AI9" s="82" t="str">
        <f aca="false">IF(OR(AI$4="",MONTH(($G$2+14))&lt;&gt;MONTH($C$2)),"",IF(COUNTIFS(m_teacher,AI$4,m_date,($G$2+14),m_active,1,m_start,"&lt;"&amp;840,m_end,"&gt;"&amp;780)=0,"",IF(COUNTIFS(m_teacher,AI$4,m_date,($G$2+14),m_active,1,m_start,"&lt;"&amp;840,m_end,"&gt;"&amp;780)&gt;1,"충돌",HYPERLINK("#'관리자_MASTER'!D"&amp;_xlfn.MAXIFS(m_row,m_teacher,AI$4,m_date,($G$2+14),m_active,1,m_start,"&lt;"&amp;840,m_end,"&gt;"&amp;780),INDEX(m_label,_xlfn.MAXIFS(m_row,m_teacher,AI$4,m_date,($G$2+14),m_active,1,m_start,"&lt;"&amp;840,m_end,"&gt;"&amp;780))))))</f>
        <v/>
      </c>
      <c r="AJ9" s="82" t="str">
        <f aca="false">IF(OR(AJ$4="",MONTH(($G$2+14))&lt;&gt;MONTH($C$2)),"",IF(COUNTIFS(m_teacher,AJ$4,m_date,($G$2+14),m_active,1,m_start,"&lt;"&amp;840,m_end,"&gt;"&amp;780)=0,"",IF(COUNTIFS(m_teacher,AJ$4,m_date,($G$2+14),m_active,1,m_start,"&lt;"&amp;840,m_end,"&gt;"&amp;780)&gt;1,"충돌",HYPERLINK("#'관리자_MASTER'!D"&amp;_xlfn.MAXIFS(m_row,m_teacher,AJ$4,m_date,($G$2+14),m_active,1,m_start,"&lt;"&amp;840,m_end,"&gt;"&amp;780),INDEX(m_label,_xlfn.MAXIFS(m_row,m_teacher,AJ$4,m_date,($G$2+14),m_active,1,m_start,"&lt;"&amp;840,m_end,"&gt;"&amp;780))))))</f>
        <v/>
      </c>
      <c r="AK9" s="82" t="str">
        <f aca="false">IF(OR(AK$4="",MONTH(($G$2+14))&lt;&gt;MONTH($C$2)),"",IF(COUNTIFS(m_teacher,AK$4,m_date,($G$2+14),m_active,1,m_start,"&lt;"&amp;840,m_end,"&gt;"&amp;780)=0,"",IF(COUNTIFS(m_teacher,AK$4,m_date,($G$2+14),m_active,1,m_start,"&lt;"&amp;840,m_end,"&gt;"&amp;780)&gt;1,"충돌",HYPERLINK("#'관리자_MASTER'!D"&amp;_xlfn.MAXIFS(m_row,m_teacher,AK$4,m_date,($G$2+14),m_active,1,m_start,"&lt;"&amp;840,m_end,"&gt;"&amp;780),INDEX(m_label,_xlfn.MAXIFS(m_row,m_teacher,AK$4,m_date,($G$2+14),m_active,1,m_start,"&lt;"&amp;840,m_end,"&gt;"&amp;780))))))</f>
        <v/>
      </c>
      <c r="AL9" s="82" t="str">
        <f aca="false">IF(OR(AL$4="",MONTH(($G$2+14))&lt;&gt;MONTH($C$2)),"",IF(COUNTIFS(m_teacher,AL$4,m_date,($G$2+14),m_active,1,m_start,"&lt;"&amp;840,m_end,"&gt;"&amp;780)=0,"",IF(COUNTIFS(m_teacher,AL$4,m_date,($G$2+14),m_active,1,m_start,"&lt;"&amp;840,m_end,"&gt;"&amp;780)&gt;1,"충돌",HYPERLINK("#'관리자_MASTER'!D"&amp;_xlfn.MAXIFS(m_row,m_teacher,AL$4,m_date,($G$2+14),m_active,1,m_start,"&lt;"&amp;840,m_end,"&gt;"&amp;780),INDEX(m_label,_xlfn.MAXIFS(m_row,m_teacher,AL$4,m_date,($G$2+14),m_active,1,m_start,"&lt;"&amp;840,m_end,"&gt;"&amp;780))))))</f>
        <v/>
      </c>
      <c r="AM9" s="82" t="str">
        <f aca="false">IF(OR(AM$4="",MONTH(($G$2+14))&lt;&gt;MONTH($C$2)),"",IF(COUNTIFS(m_teacher,AM$4,m_date,($G$2+14),m_active,1,m_start,"&lt;"&amp;840,m_end,"&gt;"&amp;780)=0,"",IF(COUNTIFS(m_teacher,AM$4,m_date,($G$2+14),m_active,1,m_start,"&lt;"&amp;840,m_end,"&gt;"&amp;780)&gt;1,"충돌",HYPERLINK("#'관리자_MASTER'!D"&amp;_xlfn.MAXIFS(m_row,m_teacher,AM$4,m_date,($G$2+14),m_active,1,m_start,"&lt;"&amp;840,m_end,"&gt;"&amp;780),INDEX(m_label,_xlfn.MAXIFS(m_row,m_teacher,AM$4,m_date,($G$2+14),m_active,1,m_start,"&lt;"&amp;840,m_end,"&gt;"&amp;780))))))</f>
        <v/>
      </c>
      <c r="AN9" s="82" t="str">
        <f aca="false">IF(OR(AN$4="",MONTH(($G$2+14))&lt;&gt;MONTH($C$2)),"",IF(COUNTIFS(m_teacher,AN$4,m_date,($G$2+14),m_active,1,m_start,"&lt;"&amp;840,m_end,"&gt;"&amp;780)=0,"",IF(COUNTIFS(m_teacher,AN$4,m_date,($G$2+14),m_active,1,m_start,"&lt;"&amp;840,m_end,"&gt;"&amp;780)&gt;1,"충돌",HYPERLINK("#'관리자_MASTER'!D"&amp;_xlfn.MAXIFS(m_row,m_teacher,AN$4,m_date,($G$2+14),m_active,1,m_start,"&lt;"&amp;840,m_end,"&gt;"&amp;780),INDEX(m_label,_xlfn.MAXIFS(m_row,m_teacher,AN$4,m_date,($G$2+14),m_active,1,m_start,"&lt;"&amp;840,m_end,"&gt;"&amp;780))))))</f>
        <v/>
      </c>
      <c r="AO9" s="82" t="str">
        <f aca="false">IF(OR(AO$4="",MONTH(($G$2+14))&lt;&gt;MONTH($C$2)),"",IF(COUNTIFS(m_teacher,AO$4,m_date,($G$2+14),m_active,1,m_start,"&lt;"&amp;840,m_end,"&gt;"&amp;780)=0,"",IF(COUNTIFS(m_teacher,AO$4,m_date,($G$2+14),m_active,1,m_start,"&lt;"&amp;840,m_end,"&gt;"&amp;780)&gt;1,"충돌",HYPERLINK("#'관리자_MASTER'!D"&amp;_xlfn.MAXIFS(m_row,m_teacher,AO$4,m_date,($G$2+14),m_active,1,m_start,"&lt;"&amp;840,m_end,"&gt;"&amp;780),INDEX(m_label,_xlfn.MAXIFS(m_row,m_teacher,AO$4,m_date,($G$2+14),m_active,1,m_start,"&lt;"&amp;840,m_end,"&gt;"&amp;780))))))</f>
        <v/>
      </c>
      <c r="AP9" s="82" t="str">
        <f aca="false">IF(OR(AP$4="",MONTH(($G$2+14))&lt;&gt;MONTH($C$2)),"",IF(COUNTIFS(m_teacher,AP$4,m_date,($G$2+14),m_active,1,m_start,"&lt;"&amp;840,m_end,"&gt;"&amp;780)=0,"",IF(COUNTIFS(m_teacher,AP$4,m_date,($G$2+14),m_active,1,m_start,"&lt;"&amp;840,m_end,"&gt;"&amp;780)&gt;1,"충돌",HYPERLINK("#'관리자_MASTER'!D"&amp;_xlfn.MAXIFS(m_row,m_teacher,AP$4,m_date,($G$2+14),m_active,1,m_start,"&lt;"&amp;840,m_end,"&gt;"&amp;780),INDEX(m_label,_xlfn.MAXIFS(m_row,m_teacher,AP$4,m_date,($G$2+14),m_active,1,m_start,"&lt;"&amp;840,m_end,"&gt;"&amp;780))))))</f>
        <v/>
      </c>
      <c r="AQ9" s="78"/>
      <c r="AR9" s="79" t="s">
        <v>95</v>
      </c>
      <c r="AS9" s="82" t="str">
        <f aca="false">IF(OR(AS$4="",MONTH(($G$2+21))&lt;&gt;MONTH($C$2)),"",IF(COUNTIFS(m_teacher,AS$4,m_date,($G$2+21),m_active,1,m_start,"&lt;"&amp;840,m_end,"&gt;"&amp;780)=0,"",IF(COUNTIFS(m_teacher,AS$4,m_date,($G$2+21),m_active,1,m_start,"&lt;"&amp;840,m_end,"&gt;"&amp;780)&gt;1,"충돌",HYPERLINK("#'관리자_MASTER'!D"&amp;_xlfn.MAXIFS(m_row,m_teacher,AS$4,m_date,($G$2+21),m_active,1,m_start,"&lt;"&amp;840,m_end,"&gt;"&amp;780),INDEX(m_label,_xlfn.MAXIFS(m_row,m_teacher,AS$4,m_date,($G$2+21),m_active,1,m_start,"&lt;"&amp;840,m_end,"&gt;"&amp;780))))))</f>
        <v/>
      </c>
      <c r="AT9" s="82" t="str">
        <f aca="false">IF(OR(AT$4="",MONTH(($G$2+21))&lt;&gt;MONTH($C$2)),"",IF(COUNTIFS(m_teacher,AT$4,m_date,($G$2+21),m_active,1,m_start,"&lt;"&amp;840,m_end,"&gt;"&amp;780)=0,"",IF(COUNTIFS(m_teacher,AT$4,m_date,($G$2+21),m_active,1,m_start,"&lt;"&amp;840,m_end,"&gt;"&amp;780)&gt;1,"충돌",HYPERLINK("#'관리자_MASTER'!D"&amp;_xlfn.MAXIFS(m_row,m_teacher,AT$4,m_date,($G$2+21),m_active,1,m_start,"&lt;"&amp;840,m_end,"&gt;"&amp;780),INDEX(m_label,_xlfn.MAXIFS(m_row,m_teacher,AT$4,m_date,($G$2+21),m_active,1,m_start,"&lt;"&amp;840,m_end,"&gt;"&amp;780))))))</f>
        <v/>
      </c>
      <c r="AU9" s="82" t="str">
        <f aca="false">IF(OR(AU$4="",MONTH(($G$2+21))&lt;&gt;MONTH($C$2)),"",IF(COUNTIFS(m_teacher,AU$4,m_date,($G$2+21),m_active,1,m_start,"&lt;"&amp;840,m_end,"&gt;"&amp;780)=0,"",IF(COUNTIFS(m_teacher,AU$4,m_date,($G$2+21),m_active,1,m_start,"&lt;"&amp;840,m_end,"&gt;"&amp;780)&gt;1,"충돌",HYPERLINK("#'관리자_MASTER'!D"&amp;_xlfn.MAXIFS(m_row,m_teacher,AU$4,m_date,($G$2+21),m_active,1,m_start,"&lt;"&amp;840,m_end,"&gt;"&amp;780),INDEX(m_label,_xlfn.MAXIFS(m_row,m_teacher,AU$4,m_date,($G$2+21),m_active,1,m_start,"&lt;"&amp;840,m_end,"&gt;"&amp;780))))))</f>
        <v/>
      </c>
      <c r="AV9" s="82" t="str">
        <f aca="false">IF(OR(AV$4="",MONTH(($G$2+21))&lt;&gt;MONTH($C$2)),"",IF(COUNTIFS(m_teacher,AV$4,m_date,($G$2+21),m_active,1,m_start,"&lt;"&amp;840,m_end,"&gt;"&amp;780)=0,"",IF(COUNTIFS(m_teacher,AV$4,m_date,($G$2+21),m_active,1,m_start,"&lt;"&amp;840,m_end,"&gt;"&amp;780)&gt;1,"충돌",HYPERLINK("#'관리자_MASTER'!D"&amp;_xlfn.MAXIFS(m_row,m_teacher,AV$4,m_date,($G$2+21),m_active,1,m_start,"&lt;"&amp;840,m_end,"&gt;"&amp;780),INDEX(m_label,_xlfn.MAXIFS(m_row,m_teacher,AV$4,m_date,($G$2+21),m_active,1,m_start,"&lt;"&amp;840,m_end,"&gt;"&amp;780))))))</f>
        <v/>
      </c>
      <c r="AW9" s="82" t="str">
        <f aca="false">IF(OR(AW$4="",MONTH(($G$2+21))&lt;&gt;MONTH($C$2)),"",IF(COUNTIFS(m_teacher,AW$4,m_date,($G$2+21),m_active,1,m_start,"&lt;"&amp;840,m_end,"&gt;"&amp;780)=0,"",IF(COUNTIFS(m_teacher,AW$4,m_date,($G$2+21),m_active,1,m_start,"&lt;"&amp;840,m_end,"&gt;"&amp;780)&gt;1,"충돌",HYPERLINK("#'관리자_MASTER'!D"&amp;_xlfn.MAXIFS(m_row,m_teacher,AW$4,m_date,($G$2+21),m_active,1,m_start,"&lt;"&amp;840,m_end,"&gt;"&amp;780),INDEX(m_label,_xlfn.MAXIFS(m_row,m_teacher,AW$4,m_date,($G$2+21),m_active,1,m_start,"&lt;"&amp;840,m_end,"&gt;"&amp;780))))))</f>
        <v/>
      </c>
      <c r="AX9" s="82" t="str">
        <f aca="false">IF(OR(AX$4="",MONTH(($G$2+21))&lt;&gt;MONTH($C$2)),"",IF(COUNTIFS(m_teacher,AX$4,m_date,($G$2+21),m_active,1,m_start,"&lt;"&amp;840,m_end,"&gt;"&amp;780)=0,"",IF(COUNTIFS(m_teacher,AX$4,m_date,($G$2+21),m_active,1,m_start,"&lt;"&amp;840,m_end,"&gt;"&amp;780)&gt;1,"충돌",HYPERLINK("#'관리자_MASTER'!D"&amp;_xlfn.MAXIFS(m_row,m_teacher,AX$4,m_date,($G$2+21),m_active,1,m_start,"&lt;"&amp;840,m_end,"&gt;"&amp;780),INDEX(m_label,_xlfn.MAXIFS(m_row,m_teacher,AX$4,m_date,($G$2+21),m_active,1,m_start,"&lt;"&amp;840,m_end,"&gt;"&amp;780))))))</f>
        <v/>
      </c>
      <c r="AY9" s="82" t="str">
        <f aca="false">IF(OR(AY$4="",MONTH(($G$2+21))&lt;&gt;MONTH($C$2)),"",IF(COUNTIFS(m_teacher,AY$4,m_date,($G$2+21),m_active,1,m_start,"&lt;"&amp;840,m_end,"&gt;"&amp;780)=0,"",IF(COUNTIFS(m_teacher,AY$4,m_date,($G$2+21),m_active,1,m_start,"&lt;"&amp;840,m_end,"&gt;"&amp;780)&gt;1,"충돌",HYPERLINK("#'관리자_MASTER'!D"&amp;_xlfn.MAXIFS(m_row,m_teacher,AY$4,m_date,($G$2+21),m_active,1,m_start,"&lt;"&amp;840,m_end,"&gt;"&amp;780),INDEX(m_label,_xlfn.MAXIFS(m_row,m_teacher,AY$4,m_date,($G$2+21),m_active,1,m_start,"&lt;"&amp;840,m_end,"&gt;"&amp;780))))))</f>
        <v/>
      </c>
      <c r="AZ9" s="82" t="str">
        <f aca="false">IF(OR(AZ$4="",MONTH(($G$2+21))&lt;&gt;MONTH($C$2)),"",IF(COUNTIFS(m_teacher,AZ$4,m_date,($G$2+21),m_active,1,m_start,"&lt;"&amp;840,m_end,"&gt;"&amp;780)=0,"",IF(COUNTIFS(m_teacher,AZ$4,m_date,($G$2+21),m_active,1,m_start,"&lt;"&amp;840,m_end,"&gt;"&amp;780)&gt;1,"충돌",HYPERLINK("#'관리자_MASTER'!D"&amp;_xlfn.MAXIFS(m_row,m_teacher,AZ$4,m_date,($G$2+21),m_active,1,m_start,"&lt;"&amp;840,m_end,"&gt;"&amp;780),INDEX(m_label,_xlfn.MAXIFS(m_row,m_teacher,AZ$4,m_date,($G$2+21),m_active,1,m_start,"&lt;"&amp;840,m_end,"&gt;"&amp;780))))))</f>
        <v/>
      </c>
      <c r="BA9" s="82" t="str">
        <f aca="false">IF(OR(BA$4="",MONTH(($G$2+21))&lt;&gt;MONTH($C$2)),"",IF(COUNTIFS(m_teacher,BA$4,m_date,($G$2+21),m_active,1,m_start,"&lt;"&amp;840,m_end,"&gt;"&amp;780)=0,"",IF(COUNTIFS(m_teacher,BA$4,m_date,($G$2+21),m_active,1,m_start,"&lt;"&amp;840,m_end,"&gt;"&amp;780)&gt;1,"충돌",HYPERLINK("#'관리자_MASTER'!D"&amp;_xlfn.MAXIFS(m_row,m_teacher,BA$4,m_date,($G$2+21),m_active,1,m_start,"&lt;"&amp;840,m_end,"&gt;"&amp;780),INDEX(m_label,_xlfn.MAXIFS(m_row,m_teacher,BA$4,m_date,($G$2+21),m_active,1,m_start,"&lt;"&amp;840,m_end,"&gt;"&amp;780))))))</f>
        <v/>
      </c>
      <c r="BB9" s="82" t="str">
        <f aca="false">IF(OR(BB$4="",MONTH(($G$2+21))&lt;&gt;MONTH($C$2)),"",IF(COUNTIFS(m_teacher,BB$4,m_date,($G$2+21),m_active,1,m_start,"&lt;"&amp;840,m_end,"&gt;"&amp;780)=0,"",IF(COUNTIFS(m_teacher,BB$4,m_date,($G$2+21),m_active,1,m_start,"&lt;"&amp;840,m_end,"&gt;"&amp;780)&gt;1,"충돌",HYPERLINK("#'관리자_MASTER'!D"&amp;_xlfn.MAXIFS(m_row,m_teacher,BB$4,m_date,($G$2+21),m_active,1,m_start,"&lt;"&amp;840,m_end,"&gt;"&amp;780),INDEX(m_label,_xlfn.MAXIFS(m_row,m_teacher,BB$4,m_date,($G$2+21),m_active,1,m_start,"&lt;"&amp;840,m_end,"&gt;"&amp;780))))))</f>
        <v/>
      </c>
      <c r="BC9" s="82" t="str">
        <f aca="false">IF(OR(BC$4="",MONTH(($G$2+21))&lt;&gt;MONTH($C$2)),"",IF(COUNTIFS(m_teacher,BC$4,m_date,($G$2+21),m_active,1,m_start,"&lt;"&amp;840,m_end,"&gt;"&amp;780)=0,"",IF(COUNTIFS(m_teacher,BC$4,m_date,($G$2+21),m_active,1,m_start,"&lt;"&amp;840,m_end,"&gt;"&amp;780)&gt;1,"충돌",HYPERLINK("#'관리자_MASTER'!D"&amp;_xlfn.MAXIFS(m_row,m_teacher,BC$4,m_date,($G$2+21),m_active,1,m_start,"&lt;"&amp;840,m_end,"&gt;"&amp;780),INDEX(m_label,_xlfn.MAXIFS(m_row,m_teacher,BC$4,m_date,($G$2+21),m_active,1,m_start,"&lt;"&amp;840,m_end,"&gt;"&amp;780))))))</f>
        <v/>
      </c>
      <c r="BD9" s="82" t="str">
        <f aca="false">IF(OR(BD$4="",MONTH(($G$2+21))&lt;&gt;MONTH($C$2)),"",IF(COUNTIFS(m_teacher,BD$4,m_date,($G$2+21),m_active,1,m_start,"&lt;"&amp;840,m_end,"&gt;"&amp;780)=0,"",IF(COUNTIFS(m_teacher,BD$4,m_date,($G$2+21),m_active,1,m_start,"&lt;"&amp;840,m_end,"&gt;"&amp;780)&gt;1,"충돌",HYPERLINK("#'관리자_MASTER'!D"&amp;_xlfn.MAXIFS(m_row,m_teacher,BD$4,m_date,($G$2+21),m_active,1,m_start,"&lt;"&amp;840,m_end,"&gt;"&amp;780),INDEX(m_label,_xlfn.MAXIFS(m_row,m_teacher,BD$4,m_date,($G$2+21),m_active,1,m_start,"&lt;"&amp;840,m_end,"&gt;"&amp;780))))))</f>
        <v/>
      </c>
      <c r="BE9" s="78"/>
      <c r="BF9" s="79" t="s">
        <v>95</v>
      </c>
      <c r="BG9" s="82" t="str">
        <f aca="false">IF(OR(BG$4="",MONTH(($G$2+28))&lt;&gt;MONTH($C$2)),"",IF(COUNTIFS(m_teacher,BG$4,m_date,($G$2+28),m_active,1,m_start,"&lt;"&amp;840,m_end,"&gt;"&amp;780)=0,"",IF(COUNTIFS(m_teacher,BG$4,m_date,($G$2+28),m_active,1,m_start,"&lt;"&amp;840,m_end,"&gt;"&amp;780)&gt;1,"충돌",HYPERLINK("#'관리자_MASTER'!D"&amp;_xlfn.MAXIFS(m_row,m_teacher,BG$4,m_date,($G$2+28),m_active,1,m_start,"&lt;"&amp;840,m_end,"&gt;"&amp;780),INDEX(m_label,_xlfn.MAXIFS(m_row,m_teacher,BG$4,m_date,($G$2+28),m_active,1,m_start,"&lt;"&amp;840,m_end,"&gt;"&amp;780))))))</f>
        <v/>
      </c>
      <c r="BH9" s="82" t="str">
        <f aca="false">IF(OR(BH$4="",MONTH(($G$2+28))&lt;&gt;MONTH($C$2)),"",IF(COUNTIFS(m_teacher,BH$4,m_date,($G$2+28),m_active,1,m_start,"&lt;"&amp;840,m_end,"&gt;"&amp;780)=0,"",IF(COUNTIFS(m_teacher,BH$4,m_date,($G$2+28),m_active,1,m_start,"&lt;"&amp;840,m_end,"&gt;"&amp;780)&gt;1,"충돌",HYPERLINK("#'관리자_MASTER'!D"&amp;_xlfn.MAXIFS(m_row,m_teacher,BH$4,m_date,($G$2+28),m_active,1,m_start,"&lt;"&amp;840,m_end,"&gt;"&amp;780),INDEX(m_label,_xlfn.MAXIFS(m_row,m_teacher,BH$4,m_date,($G$2+28),m_active,1,m_start,"&lt;"&amp;840,m_end,"&gt;"&amp;780))))))</f>
        <v/>
      </c>
      <c r="BI9" s="82" t="str">
        <f aca="false">IF(OR(BI$4="",MONTH(($G$2+28))&lt;&gt;MONTH($C$2)),"",IF(COUNTIFS(m_teacher,BI$4,m_date,($G$2+28),m_active,1,m_start,"&lt;"&amp;840,m_end,"&gt;"&amp;780)=0,"",IF(COUNTIFS(m_teacher,BI$4,m_date,($G$2+28),m_active,1,m_start,"&lt;"&amp;840,m_end,"&gt;"&amp;780)&gt;1,"충돌",HYPERLINK("#'관리자_MASTER'!D"&amp;_xlfn.MAXIFS(m_row,m_teacher,BI$4,m_date,($G$2+28),m_active,1,m_start,"&lt;"&amp;840,m_end,"&gt;"&amp;780),INDEX(m_label,_xlfn.MAXIFS(m_row,m_teacher,BI$4,m_date,($G$2+28),m_active,1,m_start,"&lt;"&amp;840,m_end,"&gt;"&amp;780))))))</f>
        <v/>
      </c>
      <c r="BJ9" s="82" t="str">
        <f aca="false">IF(OR(BJ$4="",MONTH(($G$2+28))&lt;&gt;MONTH($C$2)),"",IF(COUNTIFS(m_teacher,BJ$4,m_date,($G$2+28),m_active,1,m_start,"&lt;"&amp;840,m_end,"&gt;"&amp;780)=0,"",IF(COUNTIFS(m_teacher,BJ$4,m_date,($G$2+28),m_active,1,m_start,"&lt;"&amp;840,m_end,"&gt;"&amp;780)&gt;1,"충돌",HYPERLINK("#'관리자_MASTER'!D"&amp;_xlfn.MAXIFS(m_row,m_teacher,BJ$4,m_date,($G$2+28),m_active,1,m_start,"&lt;"&amp;840,m_end,"&gt;"&amp;780),INDEX(m_label,_xlfn.MAXIFS(m_row,m_teacher,BJ$4,m_date,($G$2+28),m_active,1,m_start,"&lt;"&amp;840,m_end,"&gt;"&amp;780))))))</f>
        <v/>
      </c>
      <c r="BK9" s="82" t="str">
        <f aca="false">IF(OR(BK$4="",MONTH(($G$2+28))&lt;&gt;MONTH($C$2)),"",IF(COUNTIFS(m_teacher,BK$4,m_date,($G$2+28),m_active,1,m_start,"&lt;"&amp;840,m_end,"&gt;"&amp;780)=0,"",IF(COUNTIFS(m_teacher,BK$4,m_date,($G$2+28),m_active,1,m_start,"&lt;"&amp;840,m_end,"&gt;"&amp;780)&gt;1,"충돌",HYPERLINK("#'관리자_MASTER'!D"&amp;_xlfn.MAXIFS(m_row,m_teacher,BK$4,m_date,($G$2+28),m_active,1,m_start,"&lt;"&amp;840,m_end,"&gt;"&amp;780),INDEX(m_label,_xlfn.MAXIFS(m_row,m_teacher,BK$4,m_date,($G$2+28),m_active,1,m_start,"&lt;"&amp;840,m_end,"&gt;"&amp;780))))))</f>
        <v/>
      </c>
      <c r="BL9" s="82" t="str">
        <f aca="false">IF(OR(BL$4="",MONTH(($G$2+28))&lt;&gt;MONTH($C$2)),"",IF(COUNTIFS(m_teacher,BL$4,m_date,($G$2+28),m_active,1,m_start,"&lt;"&amp;840,m_end,"&gt;"&amp;780)=0,"",IF(COUNTIFS(m_teacher,BL$4,m_date,($G$2+28),m_active,1,m_start,"&lt;"&amp;840,m_end,"&gt;"&amp;780)&gt;1,"충돌",HYPERLINK("#'관리자_MASTER'!D"&amp;_xlfn.MAXIFS(m_row,m_teacher,BL$4,m_date,($G$2+28),m_active,1,m_start,"&lt;"&amp;840,m_end,"&gt;"&amp;780),INDEX(m_label,_xlfn.MAXIFS(m_row,m_teacher,BL$4,m_date,($G$2+28),m_active,1,m_start,"&lt;"&amp;840,m_end,"&gt;"&amp;780))))))</f>
        <v/>
      </c>
      <c r="BM9" s="82" t="str">
        <f aca="false">IF(OR(BM$4="",MONTH(($G$2+28))&lt;&gt;MONTH($C$2)),"",IF(COUNTIFS(m_teacher,BM$4,m_date,($G$2+28),m_active,1,m_start,"&lt;"&amp;840,m_end,"&gt;"&amp;780)=0,"",IF(COUNTIFS(m_teacher,BM$4,m_date,($G$2+28),m_active,1,m_start,"&lt;"&amp;840,m_end,"&gt;"&amp;780)&gt;1,"충돌",HYPERLINK("#'관리자_MASTER'!D"&amp;_xlfn.MAXIFS(m_row,m_teacher,BM$4,m_date,($G$2+28),m_active,1,m_start,"&lt;"&amp;840,m_end,"&gt;"&amp;780),INDEX(m_label,_xlfn.MAXIFS(m_row,m_teacher,BM$4,m_date,($G$2+28),m_active,1,m_start,"&lt;"&amp;840,m_end,"&gt;"&amp;780))))))</f>
        <v/>
      </c>
      <c r="BN9" s="82" t="str">
        <f aca="false">IF(OR(BN$4="",MONTH(($G$2+28))&lt;&gt;MONTH($C$2)),"",IF(COUNTIFS(m_teacher,BN$4,m_date,($G$2+28),m_active,1,m_start,"&lt;"&amp;840,m_end,"&gt;"&amp;780)=0,"",IF(COUNTIFS(m_teacher,BN$4,m_date,($G$2+28),m_active,1,m_start,"&lt;"&amp;840,m_end,"&gt;"&amp;780)&gt;1,"충돌",HYPERLINK("#'관리자_MASTER'!D"&amp;_xlfn.MAXIFS(m_row,m_teacher,BN$4,m_date,($G$2+28),m_active,1,m_start,"&lt;"&amp;840,m_end,"&gt;"&amp;780),INDEX(m_label,_xlfn.MAXIFS(m_row,m_teacher,BN$4,m_date,($G$2+28),m_active,1,m_start,"&lt;"&amp;840,m_end,"&gt;"&amp;780))))))</f>
        <v/>
      </c>
      <c r="BO9" s="82" t="str">
        <f aca="false">IF(OR(BO$4="",MONTH(($G$2+28))&lt;&gt;MONTH($C$2)),"",IF(COUNTIFS(m_teacher,BO$4,m_date,($G$2+28),m_active,1,m_start,"&lt;"&amp;840,m_end,"&gt;"&amp;780)=0,"",IF(COUNTIFS(m_teacher,BO$4,m_date,($G$2+28),m_active,1,m_start,"&lt;"&amp;840,m_end,"&gt;"&amp;780)&gt;1,"충돌",HYPERLINK("#'관리자_MASTER'!D"&amp;_xlfn.MAXIFS(m_row,m_teacher,BO$4,m_date,($G$2+28),m_active,1,m_start,"&lt;"&amp;840,m_end,"&gt;"&amp;780),INDEX(m_label,_xlfn.MAXIFS(m_row,m_teacher,BO$4,m_date,($G$2+28),m_active,1,m_start,"&lt;"&amp;840,m_end,"&gt;"&amp;780))))))</f>
        <v/>
      </c>
      <c r="BP9" s="82" t="str">
        <f aca="false">IF(OR(BP$4="",MONTH(($G$2+28))&lt;&gt;MONTH($C$2)),"",IF(COUNTIFS(m_teacher,BP$4,m_date,($G$2+28),m_active,1,m_start,"&lt;"&amp;840,m_end,"&gt;"&amp;780)=0,"",IF(COUNTIFS(m_teacher,BP$4,m_date,($G$2+28),m_active,1,m_start,"&lt;"&amp;840,m_end,"&gt;"&amp;780)&gt;1,"충돌",HYPERLINK("#'관리자_MASTER'!D"&amp;_xlfn.MAXIFS(m_row,m_teacher,BP$4,m_date,($G$2+28),m_active,1,m_start,"&lt;"&amp;840,m_end,"&gt;"&amp;780),INDEX(m_label,_xlfn.MAXIFS(m_row,m_teacher,BP$4,m_date,($G$2+28),m_active,1,m_start,"&lt;"&amp;840,m_end,"&gt;"&amp;780))))))</f>
        <v/>
      </c>
      <c r="BQ9" s="82" t="str">
        <f aca="false">IF(OR(BQ$4="",MONTH(($G$2+28))&lt;&gt;MONTH($C$2)),"",IF(COUNTIFS(m_teacher,BQ$4,m_date,($G$2+28),m_active,1,m_start,"&lt;"&amp;840,m_end,"&gt;"&amp;780)=0,"",IF(COUNTIFS(m_teacher,BQ$4,m_date,($G$2+28),m_active,1,m_start,"&lt;"&amp;840,m_end,"&gt;"&amp;780)&gt;1,"충돌",HYPERLINK("#'관리자_MASTER'!D"&amp;_xlfn.MAXIFS(m_row,m_teacher,BQ$4,m_date,($G$2+28),m_active,1,m_start,"&lt;"&amp;840,m_end,"&gt;"&amp;780),INDEX(m_label,_xlfn.MAXIFS(m_row,m_teacher,BQ$4,m_date,($G$2+28),m_active,1,m_start,"&lt;"&amp;840,m_end,"&gt;"&amp;780))))))</f>
        <v/>
      </c>
      <c r="BR9" s="82" t="str">
        <f aca="false">IF(OR(BR$4="",MONTH(($G$2+28))&lt;&gt;MONTH($C$2)),"",IF(COUNTIFS(m_teacher,BR$4,m_date,($G$2+28),m_active,1,m_start,"&lt;"&amp;840,m_end,"&gt;"&amp;780)=0,"",IF(COUNTIFS(m_teacher,BR$4,m_date,($G$2+28),m_active,1,m_start,"&lt;"&amp;840,m_end,"&gt;"&amp;780)&gt;1,"충돌",HYPERLINK("#'관리자_MASTER'!D"&amp;_xlfn.MAXIFS(m_row,m_teacher,BR$4,m_date,($G$2+28),m_active,1,m_start,"&lt;"&amp;840,m_end,"&gt;"&amp;780),INDEX(m_label,_xlfn.MAXIFS(m_row,m_teacher,BR$4,m_date,($G$2+28),m_active,1,m_start,"&lt;"&amp;840,m_end,"&gt;"&amp;780))))))</f>
        <v/>
      </c>
    </row>
    <row r="10" customFormat="false" ht="19.5" hidden="false" customHeight="true" outlineLevel="0" collapsed="false">
      <c r="A10" s="75"/>
      <c r="B10" s="76" t="s">
        <v>96</v>
      </c>
      <c r="C10" s="81" t="str">
        <f aca="false">IF(OR(C$4="",MONTH(($G$2+0))&lt;&gt;MONTH($C$2)),"",IF(COUNTIFS(m_teacher,C$4,m_date,($G$2+0),m_active,1,m_start,"&lt;"&amp;900,m_end,"&gt;"&amp;840)=0,"",IF(COUNTIFS(m_teacher,C$4,m_date,($G$2+0),m_active,1,m_start,"&lt;"&amp;900,m_end,"&gt;"&amp;840)&gt;1,"충돌",HYPERLINK("#'관리자_MASTER'!D"&amp;_xlfn.MAXIFS(m_row,m_teacher,C$4,m_date,($G$2+0),m_active,1,m_start,"&lt;"&amp;900,m_end,"&gt;"&amp;840),INDEX(m_label,_xlfn.MAXIFS(m_row,m_teacher,C$4,m_date,($G$2+0),m_active,1,m_start,"&lt;"&amp;900,m_end,"&gt;"&amp;840))))))</f>
        <v/>
      </c>
      <c r="D10" s="81" t="str">
        <f aca="false">IF(OR(D$4="",MONTH(($G$2+0))&lt;&gt;MONTH($C$2)),"",IF(COUNTIFS(m_teacher,D$4,m_date,($G$2+0),m_active,1,m_start,"&lt;"&amp;900,m_end,"&gt;"&amp;840)=0,"",IF(COUNTIFS(m_teacher,D$4,m_date,($G$2+0),m_active,1,m_start,"&lt;"&amp;900,m_end,"&gt;"&amp;840)&gt;1,"충돌",HYPERLINK("#'관리자_MASTER'!D"&amp;_xlfn.MAXIFS(m_row,m_teacher,D$4,m_date,($G$2+0),m_active,1,m_start,"&lt;"&amp;900,m_end,"&gt;"&amp;840),INDEX(m_label,_xlfn.MAXIFS(m_row,m_teacher,D$4,m_date,($G$2+0),m_active,1,m_start,"&lt;"&amp;900,m_end,"&gt;"&amp;840))))))</f>
        <v/>
      </c>
      <c r="E10" s="81" t="str">
        <f aca="false">IF(OR(E$4="",MONTH(($G$2+0))&lt;&gt;MONTH($C$2)),"",IF(COUNTIFS(m_teacher,E$4,m_date,($G$2+0),m_active,1,m_start,"&lt;"&amp;900,m_end,"&gt;"&amp;840)=0,"",IF(COUNTIFS(m_teacher,E$4,m_date,($G$2+0),m_active,1,m_start,"&lt;"&amp;900,m_end,"&gt;"&amp;840)&gt;1,"충돌",HYPERLINK("#'관리자_MASTER'!D"&amp;_xlfn.MAXIFS(m_row,m_teacher,E$4,m_date,($G$2+0),m_active,1,m_start,"&lt;"&amp;900,m_end,"&gt;"&amp;840),INDEX(m_label,_xlfn.MAXIFS(m_row,m_teacher,E$4,m_date,($G$2+0),m_active,1,m_start,"&lt;"&amp;900,m_end,"&gt;"&amp;840))))))</f>
        <v/>
      </c>
      <c r="F10" s="81" t="str">
        <f aca="false">IF(OR(F$4="",MONTH(($G$2+0))&lt;&gt;MONTH($C$2)),"",IF(COUNTIFS(m_teacher,F$4,m_date,($G$2+0),m_active,1,m_start,"&lt;"&amp;900,m_end,"&gt;"&amp;840)=0,"",IF(COUNTIFS(m_teacher,F$4,m_date,($G$2+0),m_active,1,m_start,"&lt;"&amp;900,m_end,"&gt;"&amp;840)&gt;1,"충돌",HYPERLINK("#'관리자_MASTER'!D"&amp;_xlfn.MAXIFS(m_row,m_teacher,F$4,m_date,($G$2+0),m_active,1,m_start,"&lt;"&amp;900,m_end,"&gt;"&amp;840),INDEX(m_label,_xlfn.MAXIFS(m_row,m_teacher,F$4,m_date,($G$2+0),m_active,1,m_start,"&lt;"&amp;900,m_end,"&gt;"&amp;840))))))</f>
        <v/>
      </c>
      <c r="G10" s="81" t="str">
        <f aca="false">IF(OR(G$4="",MONTH(($G$2+0))&lt;&gt;MONTH($C$2)),"",IF(COUNTIFS(m_teacher,G$4,m_date,($G$2+0),m_active,1,m_start,"&lt;"&amp;900,m_end,"&gt;"&amp;840)=0,"",IF(COUNTIFS(m_teacher,G$4,m_date,($G$2+0),m_active,1,m_start,"&lt;"&amp;900,m_end,"&gt;"&amp;840)&gt;1,"충돌",HYPERLINK("#'관리자_MASTER'!D"&amp;_xlfn.MAXIFS(m_row,m_teacher,G$4,m_date,($G$2+0),m_active,1,m_start,"&lt;"&amp;900,m_end,"&gt;"&amp;840),INDEX(m_label,_xlfn.MAXIFS(m_row,m_teacher,G$4,m_date,($G$2+0),m_active,1,m_start,"&lt;"&amp;900,m_end,"&gt;"&amp;840))))))</f>
        <v/>
      </c>
      <c r="H10" s="81" t="str">
        <f aca="false">IF(OR(H$4="",MONTH(($G$2+0))&lt;&gt;MONTH($C$2)),"",IF(COUNTIFS(m_teacher,H$4,m_date,($G$2+0),m_active,1,m_start,"&lt;"&amp;900,m_end,"&gt;"&amp;840)=0,"",IF(COUNTIFS(m_teacher,H$4,m_date,($G$2+0),m_active,1,m_start,"&lt;"&amp;900,m_end,"&gt;"&amp;840)&gt;1,"충돌",HYPERLINK("#'관리자_MASTER'!D"&amp;_xlfn.MAXIFS(m_row,m_teacher,H$4,m_date,($G$2+0),m_active,1,m_start,"&lt;"&amp;900,m_end,"&gt;"&amp;840),INDEX(m_label,_xlfn.MAXIFS(m_row,m_teacher,H$4,m_date,($G$2+0),m_active,1,m_start,"&lt;"&amp;900,m_end,"&gt;"&amp;840))))))</f>
        <v/>
      </c>
      <c r="I10" s="81" t="str">
        <f aca="false">IF(OR(I$4="",MONTH(($G$2+0))&lt;&gt;MONTH($C$2)),"",IF(COUNTIFS(m_teacher,I$4,m_date,($G$2+0),m_active,1,m_start,"&lt;"&amp;900,m_end,"&gt;"&amp;840)=0,"",IF(COUNTIFS(m_teacher,I$4,m_date,($G$2+0),m_active,1,m_start,"&lt;"&amp;900,m_end,"&gt;"&amp;840)&gt;1,"충돌",HYPERLINK("#'관리자_MASTER'!D"&amp;_xlfn.MAXIFS(m_row,m_teacher,I$4,m_date,($G$2+0),m_active,1,m_start,"&lt;"&amp;900,m_end,"&gt;"&amp;840),INDEX(m_label,_xlfn.MAXIFS(m_row,m_teacher,I$4,m_date,($G$2+0),m_active,1,m_start,"&lt;"&amp;900,m_end,"&gt;"&amp;840))))))</f>
        <v/>
      </c>
      <c r="J10" s="81" t="str">
        <f aca="false">IF(OR(J$4="",MONTH(($G$2+0))&lt;&gt;MONTH($C$2)),"",IF(COUNTIFS(m_teacher,J$4,m_date,($G$2+0),m_active,1,m_start,"&lt;"&amp;900,m_end,"&gt;"&amp;840)=0,"",IF(COUNTIFS(m_teacher,J$4,m_date,($G$2+0),m_active,1,m_start,"&lt;"&amp;900,m_end,"&gt;"&amp;840)&gt;1,"충돌",HYPERLINK("#'관리자_MASTER'!D"&amp;_xlfn.MAXIFS(m_row,m_teacher,J$4,m_date,($G$2+0),m_active,1,m_start,"&lt;"&amp;900,m_end,"&gt;"&amp;840),INDEX(m_label,_xlfn.MAXIFS(m_row,m_teacher,J$4,m_date,($G$2+0),m_active,1,m_start,"&lt;"&amp;900,m_end,"&gt;"&amp;840))))))</f>
        <v/>
      </c>
      <c r="K10" s="81" t="str">
        <f aca="false">IF(OR(K$4="",MONTH(($G$2+0))&lt;&gt;MONTH($C$2)),"",IF(COUNTIFS(m_teacher,K$4,m_date,($G$2+0),m_active,1,m_start,"&lt;"&amp;900,m_end,"&gt;"&amp;840)=0,"",IF(COUNTIFS(m_teacher,K$4,m_date,($G$2+0),m_active,1,m_start,"&lt;"&amp;900,m_end,"&gt;"&amp;840)&gt;1,"충돌",HYPERLINK("#'관리자_MASTER'!D"&amp;_xlfn.MAXIFS(m_row,m_teacher,K$4,m_date,($G$2+0),m_active,1,m_start,"&lt;"&amp;900,m_end,"&gt;"&amp;840),INDEX(m_label,_xlfn.MAXIFS(m_row,m_teacher,K$4,m_date,($G$2+0),m_active,1,m_start,"&lt;"&amp;900,m_end,"&gt;"&amp;840))))))</f>
        <v/>
      </c>
      <c r="L10" s="81" t="str">
        <f aca="false">IF(OR(L$4="",MONTH(($G$2+0))&lt;&gt;MONTH($C$2)),"",IF(COUNTIFS(m_teacher,L$4,m_date,($G$2+0),m_active,1,m_start,"&lt;"&amp;900,m_end,"&gt;"&amp;840)=0,"",IF(COUNTIFS(m_teacher,L$4,m_date,($G$2+0),m_active,1,m_start,"&lt;"&amp;900,m_end,"&gt;"&amp;840)&gt;1,"충돌",HYPERLINK("#'관리자_MASTER'!D"&amp;_xlfn.MAXIFS(m_row,m_teacher,L$4,m_date,($G$2+0),m_active,1,m_start,"&lt;"&amp;900,m_end,"&gt;"&amp;840),INDEX(m_label,_xlfn.MAXIFS(m_row,m_teacher,L$4,m_date,($G$2+0),m_active,1,m_start,"&lt;"&amp;900,m_end,"&gt;"&amp;840))))))</f>
        <v/>
      </c>
      <c r="M10" s="81" t="str">
        <f aca="false">IF(OR(M$4="",MONTH(($G$2+0))&lt;&gt;MONTH($C$2)),"",IF(COUNTIFS(m_teacher,M$4,m_date,($G$2+0),m_active,1,m_start,"&lt;"&amp;900,m_end,"&gt;"&amp;840)=0,"",IF(COUNTIFS(m_teacher,M$4,m_date,($G$2+0),m_active,1,m_start,"&lt;"&amp;900,m_end,"&gt;"&amp;840)&gt;1,"충돌",HYPERLINK("#'관리자_MASTER'!D"&amp;_xlfn.MAXIFS(m_row,m_teacher,M$4,m_date,($G$2+0),m_active,1,m_start,"&lt;"&amp;900,m_end,"&gt;"&amp;840),INDEX(m_label,_xlfn.MAXIFS(m_row,m_teacher,M$4,m_date,($G$2+0),m_active,1,m_start,"&lt;"&amp;900,m_end,"&gt;"&amp;840))))))</f>
        <v/>
      </c>
      <c r="N10" s="81" t="str">
        <f aca="false">IF(OR(N$4="",MONTH(($G$2+0))&lt;&gt;MONTH($C$2)),"",IF(COUNTIFS(m_teacher,N$4,m_date,($G$2+0),m_active,1,m_start,"&lt;"&amp;900,m_end,"&gt;"&amp;840)=0,"",IF(COUNTIFS(m_teacher,N$4,m_date,($G$2+0),m_active,1,m_start,"&lt;"&amp;900,m_end,"&gt;"&amp;840)&gt;1,"충돌",HYPERLINK("#'관리자_MASTER'!D"&amp;_xlfn.MAXIFS(m_row,m_teacher,N$4,m_date,($G$2+0),m_active,1,m_start,"&lt;"&amp;900,m_end,"&gt;"&amp;840),INDEX(m_label,_xlfn.MAXIFS(m_row,m_teacher,N$4,m_date,($G$2+0),m_active,1,m_start,"&lt;"&amp;900,m_end,"&gt;"&amp;840))))))</f>
        <v/>
      </c>
      <c r="O10" s="78"/>
      <c r="P10" s="79" t="s">
        <v>96</v>
      </c>
      <c r="Q10" s="82" t="str">
        <f aca="false">IF(OR(Q$4="",MONTH(($G$2+7))&lt;&gt;MONTH($C$2)),"",IF(COUNTIFS(m_teacher,Q$4,m_date,($G$2+7),m_active,1,m_start,"&lt;"&amp;900,m_end,"&gt;"&amp;840)=0,"",IF(COUNTIFS(m_teacher,Q$4,m_date,($G$2+7),m_active,1,m_start,"&lt;"&amp;900,m_end,"&gt;"&amp;840)&gt;1,"충돌",HYPERLINK("#'관리자_MASTER'!D"&amp;_xlfn.MAXIFS(m_row,m_teacher,Q$4,m_date,($G$2+7),m_active,1,m_start,"&lt;"&amp;900,m_end,"&gt;"&amp;840),INDEX(m_label,_xlfn.MAXIFS(m_row,m_teacher,Q$4,m_date,($G$2+7),m_active,1,m_start,"&lt;"&amp;900,m_end,"&gt;"&amp;840))))))</f>
        <v/>
      </c>
      <c r="R10" s="82" t="str">
        <f aca="false">IF(OR(R$4="",MONTH(($G$2+7))&lt;&gt;MONTH($C$2)),"",IF(COUNTIFS(m_teacher,R$4,m_date,($G$2+7),m_active,1,m_start,"&lt;"&amp;900,m_end,"&gt;"&amp;840)=0,"",IF(COUNTIFS(m_teacher,R$4,m_date,($G$2+7),m_active,1,m_start,"&lt;"&amp;900,m_end,"&gt;"&amp;840)&gt;1,"충돌",HYPERLINK("#'관리자_MASTER'!D"&amp;_xlfn.MAXIFS(m_row,m_teacher,R$4,m_date,($G$2+7),m_active,1,m_start,"&lt;"&amp;900,m_end,"&gt;"&amp;840),INDEX(m_label,_xlfn.MAXIFS(m_row,m_teacher,R$4,m_date,($G$2+7),m_active,1,m_start,"&lt;"&amp;900,m_end,"&gt;"&amp;840))))))</f>
        <v/>
      </c>
      <c r="S10" s="82" t="str">
        <f aca="false">IF(OR(S$4="",MONTH(($G$2+7))&lt;&gt;MONTH($C$2)),"",IF(COUNTIFS(m_teacher,S$4,m_date,($G$2+7),m_active,1,m_start,"&lt;"&amp;900,m_end,"&gt;"&amp;840)=0,"",IF(COUNTIFS(m_teacher,S$4,m_date,($G$2+7),m_active,1,m_start,"&lt;"&amp;900,m_end,"&gt;"&amp;840)&gt;1,"충돌",HYPERLINK("#'관리자_MASTER'!D"&amp;_xlfn.MAXIFS(m_row,m_teacher,S$4,m_date,($G$2+7),m_active,1,m_start,"&lt;"&amp;900,m_end,"&gt;"&amp;840),INDEX(m_label,_xlfn.MAXIFS(m_row,m_teacher,S$4,m_date,($G$2+7),m_active,1,m_start,"&lt;"&amp;900,m_end,"&gt;"&amp;840))))))</f>
        <v/>
      </c>
      <c r="T10" s="82" t="str">
        <f aca="false">IF(OR(T$4="",MONTH(($G$2+7))&lt;&gt;MONTH($C$2)),"",IF(COUNTIFS(m_teacher,T$4,m_date,($G$2+7),m_active,1,m_start,"&lt;"&amp;900,m_end,"&gt;"&amp;840)=0,"",IF(COUNTIFS(m_teacher,T$4,m_date,($G$2+7),m_active,1,m_start,"&lt;"&amp;900,m_end,"&gt;"&amp;840)&gt;1,"충돌",HYPERLINK("#'관리자_MASTER'!D"&amp;_xlfn.MAXIFS(m_row,m_teacher,T$4,m_date,($G$2+7),m_active,1,m_start,"&lt;"&amp;900,m_end,"&gt;"&amp;840),INDEX(m_label,_xlfn.MAXIFS(m_row,m_teacher,T$4,m_date,($G$2+7),m_active,1,m_start,"&lt;"&amp;900,m_end,"&gt;"&amp;840))))))</f>
        <v/>
      </c>
      <c r="U10" s="82" t="str">
        <f aca="false">IF(OR(U$4="",MONTH(($G$2+7))&lt;&gt;MONTH($C$2)),"",IF(COUNTIFS(m_teacher,U$4,m_date,($G$2+7),m_active,1,m_start,"&lt;"&amp;900,m_end,"&gt;"&amp;840)=0,"",IF(COUNTIFS(m_teacher,U$4,m_date,($G$2+7),m_active,1,m_start,"&lt;"&amp;900,m_end,"&gt;"&amp;840)&gt;1,"충돌",HYPERLINK("#'관리자_MASTER'!D"&amp;_xlfn.MAXIFS(m_row,m_teacher,U$4,m_date,($G$2+7),m_active,1,m_start,"&lt;"&amp;900,m_end,"&gt;"&amp;840),INDEX(m_label,_xlfn.MAXIFS(m_row,m_teacher,U$4,m_date,($G$2+7),m_active,1,m_start,"&lt;"&amp;900,m_end,"&gt;"&amp;840))))))</f>
        <v/>
      </c>
      <c r="V10" s="82" t="str">
        <f aca="false">IF(OR(V$4="",MONTH(($G$2+7))&lt;&gt;MONTH($C$2)),"",IF(COUNTIFS(m_teacher,V$4,m_date,($G$2+7),m_active,1,m_start,"&lt;"&amp;900,m_end,"&gt;"&amp;840)=0,"",IF(COUNTIFS(m_teacher,V$4,m_date,($G$2+7),m_active,1,m_start,"&lt;"&amp;900,m_end,"&gt;"&amp;840)&gt;1,"충돌",HYPERLINK("#'관리자_MASTER'!D"&amp;_xlfn.MAXIFS(m_row,m_teacher,V$4,m_date,($G$2+7),m_active,1,m_start,"&lt;"&amp;900,m_end,"&gt;"&amp;840),INDEX(m_label,_xlfn.MAXIFS(m_row,m_teacher,V$4,m_date,($G$2+7),m_active,1,m_start,"&lt;"&amp;900,m_end,"&gt;"&amp;840))))))</f>
        <v/>
      </c>
      <c r="W10" s="82" t="str">
        <f aca="false">IF(OR(W$4="",MONTH(($G$2+7))&lt;&gt;MONTH($C$2)),"",IF(COUNTIFS(m_teacher,W$4,m_date,($G$2+7),m_active,1,m_start,"&lt;"&amp;900,m_end,"&gt;"&amp;840)=0,"",IF(COUNTIFS(m_teacher,W$4,m_date,($G$2+7),m_active,1,m_start,"&lt;"&amp;900,m_end,"&gt;"&amp;840)&gt;1,"충돌",HYPERLINK("#'관리자_MASTER'!D"&amp;_xlfn.MAXIFS(m_row,m_teacher,W$4,m_date,($G$2+7),m_active,1,m_start,"&lt;"&amp;900,m_end,"&gt;"&amp;840),INDEX(m_label,_xlfn.MAXIFS(m_row,m_teacher,W$4,m_date,($G$2+7),m_active,1,m_start,"&lt;"&amp;900,m_end,"&gt;"&amp;840))))))</f>
        <v/>
      </c>
      <c r="X10" s="82" t="str">
        <f aca="false">IF(OR(X$4="",MONTH(($G$2+7))&lt;&gt;MONTH($C$2)),"",IF(COUNTIFS(m_teacher,X$4,m_date,($G$2+7),m_active,1,m_start,"&lt;"&amp;900,m_end,"&gt;"&amp;840)=0,"",IF(COUNTIFS(m_teacher,X$4,m_date,($G$2+7),m_active,1,m_start,"&lt;"&amp;900,m_end,"&gt;"&amp;840)&gt;1,"충돌",HYPERLINK("#'관리자_MASTER'!D"&amp;_xlfn.MAXIFS(m_row,m_teacher,X$4,m_date,($G$2+7),m_active,1,m_start,"&lt;"&amp;900,m_end,"&gt;"&amp;840),INDEX(m_label,_xlfn.MAXIFS(m_row,m_teacher,X$4,m_date,($G$2+7),m_active,1,m_start,"&lt;"&amp;900,m_end,"&gt;"&amp;840))))))</f>
        <v/>
      </c>
      <c r="Y10" s="82" t="str">
        <f aca="false">IF(OR(Y$4="",MONTH(($G$2+7))&lt;&gt;MONTH($C$2)),"",IF(COUNTIFS(m_teacher,Y$4,m_date,($G$2+7),m_active,1,m_start,"&lt;"&amp;900,m_end,"&gt;"&amp;840)=0,"",IF(COUNTIFS(m_teacher,Y$4,m_date,($G$2+7),m_active,1,m_start,"&lt;"&amp;900,m_end,"&gt;"&amp;840)&gt;1,"충돌",HYPERLINK("#'관리자_MASTER'!D"&amp;_xlfn.MAXIFS(m_row,m_teacher,Y$4,m_date,($G$2+7),m_active,1,m_start,"&lt;"&amp;900,m_end,"&gt;"&amp;840),INDEX(m_label,_xlfn.MAXIFS(m_row,m_teacher,Y$4,m_date,($G$2+7),m_active,1,m_start,"&lt;"&amp;900,m_end,"&gt;"&amp;840))))))</f>
        <v/>
      </c>
      <c r="Z10" s="82" t="str">
        <f aca="false">IF(OR(Z$4="",MONTH(($G$2+7))&lt;&gt;MONTH($C$2)),"",IF(COUNTIFS(m_teacher,Z$4,m_date,($G$2+7),m_active,1,m_start,"&lt;"&amp;900,m_end,"&gt;"&amp;840)=0,"",IF(COUNTIFS(m_teacher,Z$4,m_date,($G$2+7),m_active,1,m_start,"&lt;"&amp;900,m_end,"&gt;"&amp;840)&gt;1,"충돌",HYPERLINK("#'관리자_MASTER'!D"&amp;_xlfn.MAXIFS(m_row,m_teacher,Z$4,m_date,($G$2+7),m_active,1,m_start,"&lt;"&amp;900,m_end,"&gt;"&amp;840),INDEX(m_label,_xlfn.MAXIFS(m_row,m_teacher,Z$4,m_date,($G$2+7),m_active,1,m_start,"&lt;"&amp;900,m_end,"&gt;"&amp;840))))))</f>
        <v/>
      </c>
      <c r="AA10" s="82" t="str">
        <f aca="false">IF(OR(AA$4="",MONTH(($G$2+7))&lt;&gt;MONTH($C$2)),"",IF(COUNTIFS(m_teacher,AA$4,m_date,($G$2+7),m_active,1,m_start,"&lt;"&amp;900,m_end,"&gt;"&amp;840)=0,"",IF(COUNTIFS(m_teacher,AA$4,m_date,($G$2+7),m_active,1,m_start,"&lt;"&amp;900,m_end,"&gt;"&amp;840)&gt;1,"충돌",HYPERLINK("#'관리자_MASTER'!D"&amp;_xlfn.MAXIFS(m_row,m_teacher,AA$4,m_date,($G$2+7),m_active,1,m_start,"&lt;"&amp;900,m_end,"&gt;"&amp;840),INDEX(m_label,_xlfn.MAXIFS(m_row,m_teacher,AA$4,m_date,($G$2+7),m_active,1,m_start,"&lt;"&amp;900,m_end,"&gt;"&amp;840))))))</f>
        <v/>
      </c>
      <c r="AB10" s="82" t="str">
        <f aca="false">IF(OR(AB$4="",MONTH(($G$2+7))&lt;&gt;MONTH($C$2)),"",IF(COUNTIFS(m_teacher,AB$4,m_date,($G$2+7),m_active,1,m_start,"&lt;"&amp;900,m_end,"&gt;"&amp;840)=0,"",IF(COUNTIFS(m_teacher,AB$4,m_date,($G$2+7),m_active,1,m_start,"&lt;"&amp;900,m_end,"&gt;"&amp;840)&gt;1,"충돌",HYPERLINK("#'관리자_MASTER'!D"&amp;_xlfn.MAXIFS(m_row,m_teacher,AB$4,m_date,($G$2+7),m_active,1,m_start,"&lt;"&amp;900,m_end,"&gt;"&amp;840),INDEX(m_label,_xlfn.MAXIFS(m_row,m_teacher,AB$4,m_date,($G$2+7),m_active,1,m_start,"&lt;"&amp;900,m_end,"&gt;"&amp;840))))))</f>
        <v/>
      </c>
      <c r="AC10" s="78"/>
      <c r="AD10" s="79" t="s">
        <v>96</v>
      </c>
      <c r="AE10" s="82" t="str">
        <f aca="false">IF(OR(AE$4="",MONTH(($G$2+14))&lt;&gt;MONTH($C$2)),"",IF(COUNTIFS(m_teacher,AE$4,m_date,($G$2+14),m_active,1,m_start,"&lt;"&amp;900,m_end,"&gt;"&amp;840)=0,"",IF(COUNTIFS(m_teacher,AE$4,m_date,($G$2+14),m_active,1,m_start,"&lt;"&amp;900,m_end,"&gt;"&amp;840)&gt;1,"충돌",HYPERLINK("#'관리자_MASTER'!D"&amp;_xlfn.MAXIFS(m_row,m_teacher,AE$4,m_date,($G$2+14),m_active,1,m_start,"&lt;"&amp;900,m_end,"&gt;"&amp;840),INDEX(m_label,_xlfn.MAXIFS(m_row,m_teacher,AE$4,m_date,($G$2+14),m_active,1,m_start,"&lt;"&amp;900,m_end,"&gt;"&amp;840))))))</f>
        <v/>
      </c>
      <c r="AF10" s="82" t="str">
        <f aca="false">IF(OR(AF$4="",MONTH(($G$2+14))&lt;&gt;MONTH($C$2)),"",IF(COUNTIFS(m_teacher,AF$4,m_date,($G$2+14),m_active,1,m_start,"&lt;"&amp;900,m_end,"&gt;"&amp;840)=0,"",IF(COUNTIFS(m_teacher,AF$4,m_date,($G$2+14),m_active,1,m_start,"&lt;"&amp;900,m_end,"&gt;"&amp;840)&gt;1,"충돌",HYPERLINK("#'관리자_MASTER'!D"&amp;_xlfn.MAXIFS(m_row,m_teacher,AF$4,m_date,($G$2+14),m_active,1,m_start,"&lt;"&amp;900,m_end,"&gt;"&amp;840),INDEX(m_label,_xlfn.MAXIFS(m_row,m_teacher,AF$4,m_date,($G$2+14),m_active,1,m_start,"&lt;"&amp;900,m_end,"&gt;"&amp;840))))))</f>
        <v/>
      </c>
      <c r="AG10" s="82" t="str">
        <f aca="false">IF(OR(AG$4="",MONTH(($G$2+14))&lt;&gt;MONTH($C$2)),"",IF(COUNTIFS(m_teacher,AG$4,m_date,($G$2+14),m_active,1,m_start,"&lt;"&amp;900,m_end,"&gt;"&amp;840)=0,"",IF(COUNTIFS(m_teacher,AG$4,m_date,($G$2+14),m_active,1,m_start,"&lt;"&amp;900,m_end,"&gt;"&amp;840)&gt;1,"충돌",HYPERLINK("#'관리자_MASTER'!D"&amp;_xlfn.MAXIFS(m_row,m_teacher,AG$4,m_date,($G$2+14),m_active,1,m_start,"&lt;"&amp;900,m_end,"&gt;"&amp;840),INDEX(m_label,_xlfn.MAXIFS(m_row,m_teacher,AG$4,m_date,($G$2+14),m_active,1,m_start,"&lt;"&amp;900,m_end,"&gt;"&amp;840))))))</f>
        <v/>
      </c>
      <c r="AH10" s="82" t="str">
        <f aca="false">IF(OR(AH$4="",MONTH(($G$2+14))&lt;&gt;MONTH($C$2)),"",IF(COUNTIFS(m_teacher,AH$4,m_date,($G$2+14),m_active,1,m_start,"&lt;"&amp;900,m_end,"&gt;"&amp;840)=0,"",IF(COUNTIFS(m_teacher,AH$4,m_date,($G$2+14),m_active,1,m_start,"&lt;"&amp;900,m_end,"&gt;"&amp;840)&gt;1,"충돌",HYPERLINK("#'관리자_MASTER'!D"&amp;_xlfn.MAXIFS(m_row,m_teacher,AH$4,m_date,($G$2+14),m_active,1,m_start,"&lt;"&amp;900,m_end,"&gt;"&amp;840),INDEX(m_label,_xlfn.MAXIFS(m_row,m_teacher,AH$4,m_date,($G$2+14),m_active,1,m_start,"&lt;"&amp;900,m_end,"&gt;"&amp;840))))))</f>
        <v/>
      </c>
      <c r="AI10" s="82" t="str">
        <f aca="false">IF(OR(AI$4="",MONTH(($G$2+14))&lt;&gt;MONTH($C$2)),"",IF(COUNTIFS(m_teacher,AI$4,m_date,($G$2+14),m_active,1,m_start,"&lt;"&amp;900,m_end,"&gt;"&amp;840)=0,"",IF(COUNTIFS(m_teacher,AI$4,m_date,($G$2+14),m_active,1,m_start,"&lt;"&amp;900,m_end,"&gt;"&amp;840)&gt;1,"충돌",HYPERLINK("#'관리자_MASTER'!D"&amp;_xlfn.MAXIFS(m_row,m_teacher,AI$4,m_date,($G$2+14),m_active,1,m_start,"&lt;"&amp;900,m_end,"&gt;"&amp;840),INDEX(m_label,_xlfn.MAXIFS(m_row,m_teacher,AI$4,m_date,($G$2+14),m_active,1,m_start,"&lt;"&amp;900,m_end,"&gt;"&amp;840))))))</f>
        <v/>
      </c>
      <c r="AJ10" s="82" t="str">
        <f aca="false">IF(OR(AJ$4="",MONTH(($G$2+14))&lt;&gt;MONTH($C$2)),"",IF(COUNTIFS(m_teacher,AJ$4,m_date,($G$2+14),m_active,1,m_start,"&lt;"&amp;900,m_end,"&gt;"&amp;840)=0,"",IF(COUNTIFS(m_teacher,AJ$4,m_date,($G$2+14),m_active,1,m_start,"&lt;"&amp;900,m_end,"&gt;"&amp;840)&gt;1,"충돌",HYPERLINK("#'관리자_MASTER'!D"&amp;_xlfn.MAXIFS(m_row,m_teacher,AJ$4,m_date,($G$2+14),m_active,1,m_start,"&lt;"&amp;900,m_end,"&gt;"&amp;840),INDEX(m_label,_xlfn.MAXIFS(m_row,m_teacher,AJ$4,m_date,($G$2+14),m_active,1,m_start,"&lt;"&amp;900,m_end,"&gt;"&amp;840))))))</f>
        <v/>
      </c>
      <c r="AK10" s="82" t="str">
        <f aca="false">IF(OR(AK$4="",MONTH(($G$2+14))&lt;&gt;MONTH($C$2)),"",IF(COUNTIFS(m_teacher,AK$4,m_date,($G$2+14),m_active,1,m_start,"&lt;"&amp;900,m_end,"&gt;"&amp;840)=0,"",IF(COUNTIFS(m_teacher,AK$4,m_date,($G$2+14),m_active,1,m_start,"&lt;"&amp;900,m_end,"&gt;"&amp;840)&gt;1,"충돌",HYPERLINK("#'관리자_MASTER'!D"&amp;_xlfn.MAXIFS(m_row,m_teacher,AK$4,m_date,($G$2+14),m_active,1,m_start,"&lt;"&amp;900,m_end,"&gt;"&amp;840),INDEX(m_label,_xlfn.MAXIFS(m_row,m_teacher,AK$4,m_date,($G$2+14),m_active,1,m_start,"&lt;"&amp;900,m_end,"&gt;"&amp;840))))))</f>
        <v/>
      </c>
      <c r="AL10" s="82" t="str">
        <f aca="false">IF(OR(AL$4="",MONTH(($G$2+14))&lt;&gt;MONTH($C$2)),"",IF(COUNTIFS(m_teacher,AL$4,m_date,($G$2+14),m_active,1,m_start,"&lt;"&amp;900,m_end,"&gt;"&amp;840)=0,"",IF(COUNTIFS(m_teacher,AL$4,m_date,($G$2+14),m_active,1,m_start,"&lt;"&amp;900,m_end,"&gt;"&amp;840)&gt;1,"충돌",HYPERLINK("#'관리자_MASTER'!D"&amp;_xlfn.MAXIFS(m_row,m_teacher,AL$4,m_date,($G$2+14),m_active,1,m_start,"&lt;"&amp;900,m_end,"&gt;"&amp;840),INDEX(m_label,_xlfn.MAXIFS(m_row,m_teacher,AL$4,m_date,($G$2+14),m_active,1,m_start,"&lt;"&amp;900,m_end,"&gt;"&amp;840))))))</f>
        <v/>
      </c>
      <c r="AM10" s="82" t="str">
        <f aca="false">IF(OR(AM$4="",MONTH(($G$2+14))&lt;&gt;MONTH($C$2)),"",IF(COUNTIFS(m_teacher,AM$4,m_date,($G$2+14),m_active,1,m_start,"&lt;"&amp;900,m_end,"&gt;"&amp;840)=0,"",IF(COUNTIFS(m_teacher,AM$4,m_date,($G$2+14),m_active,1,m_start,"&lt;"&amp;900,m_end,"&gt;"&amp;840)&gt;1,"충돌",HYPERLINK("#'관리자_MASTER'!D"&amp;_xlfn.MAXIFS(m_row,m_teacher,AM$4,m_date,($G$2+14),m_active,1,m_start,"&lt;"&amp;900,m_end,"&gt;"&amp;840),INDEX(m_label,_xlfn.MAXIFS(m_row,m_teacher,AM$4,m_date,($G$2+14),m_active,1,m_start,"&lt;"&amp;900,m_end,"&gt;"&amp;840))))))</f>
        <v/>
      </c>
      <c r="AN10" s="82" t="str">
        <f aca="false">IF(OR(AN$4="",MONTH(($G$2+14))&lt;&gt;MONTH($C$2)),"",IF(COUNTIFS(m_teacher,AN$4,m_date,($G$2+14),m_active,1,m_start,"&lt;"&amp;900,m_end,"&gt;"&amp;840)=0,"",IF(COUNTIFS(m_teacher,AN$4,m_date,($G$2+14),m_active,1,m_start,"&lt;"&amp;900,m_end,"&gt;"&amp;840)&gt;1,"충돌",HYPERLINK("#'관리자_MASTER'!D"&amp;_xlfn.MAXIFS(m_row,m_teacher,AN$4,m_date,($G$2+14),m_active,1,m_start,"&lt;"&amp;900,m_end,"&gt;"&amp;840),INDEX(m_label,_xlfn.MAXIFS(m_row,m_teacher,AN$4,m_date,($G$2+14),m_active,1,m_start,"&lt;"&amp;900,m_end,"&gt;"&amp;840))))))</f>
        <v/>
      </c>
      <c r="AO10" s="82" t="str">
        <f aca="false">IF(OR(AO$4="",MONTH(($G$2+14))&lt;&gt;MONTH($C$2)),"",IF(COUNTIFS(m_teacher,AO$4,m_date,($G$2+14),m_active,1,m_start,"&lt;"&amp;900,m_end,"&gt;"&amp;840)=0,"",IF(COUNTIFS(m_teacher,AO$4,m_date,($G$2+14),m_active,1,m_start,"&lt;"&amp;900,m_end,"&gt;"&amp;840)&gt;1,"충돌",HYPERLINK("#'관리자_MASTER'!D"&amp;_xlfn.MAXIFS(m_row,m_teacher,AO$4,m_date,($G$2+14),m_active,1,m_start,"&lt;"&amp;900,m_end,"&gt;"&amp;840),INDEX(m_label,_xlfn.MAXIFS(m_row,m_teacher,AO$4,m_date,($G$2+14),m_active,1,m_start,"&lt;"&amp;900,m_end,"&gt;"&amp;840))))))</f>
        <v/>
      </c>
      <c r="AP10" s="82" t="str">
        <f aca="false">IF(OR(AP$4="",MONTH(($G$2+14))&lt;&gt;MONTH($C$2)),"",IF(COUNTIFS(m_teacher,AP$4,m_date,($G$2+14),m_active,1,m_start,"&lt;"&amp;900,m_end,"&gt;"&amp;840)=0,"",IF(COUNTIFS(m_teacher,AP$4,m_date,($G$2+14),m_active,1,m_start,"&lt;"&amp;900,m_end,"&gt;"&amp;840)&gt;1,"충돌",HYPERLINK("#'관리자_MASTER'!D"&amp;_xlfn.MAXIFS(m_row,m_teacher,AP$4,m_date,($G$2+14),m_active,1,m_start,"&lt;"&amp;900,m_end,"&gt;"&amp;840),INDEX(m_label,_xlfn.MAXIFS(m_row,m_teacher,AP$4,m_date,($G$2+14),m_active,1,m_start,"&lt;"&amp;900,m_end,"&gt;"&amp;840))))))</f>
        <v/>
      </c>
      <c r="AQ10" s="78"/>
      <c r="AR10" s="79" t="s">
        <v>96</v>
      </c>
      <c r="AS10" s="82" t="str">
        <f aca="false">IF(OR(AS$4="",MONTH(($G$2+21))&lt;&gt;MONTH($C$2)),"",IF(COUNTIFS(m_teacher,AS$4,m_date,($G$2+21),m_active,1,m_start,"&lt;"&amp;900,m_end,"&gt;"&amp;840)=0,"",IF(COUNTIFS(m_teacher,AS$4,m_date,($G$2+21),m_active,1,m_start,"&lt;"&amp;900,m_end,"&gt;"&amp;840)&gt;1,"충돌",HYPERLINK("#'관리자_MASTER'!D"&amp;_xlfn.MAXIFS(m_row,m_teacher,AS$4,m_date,($G$2+21),m_active,1,m_start,"&lt;"&amp;900,m_end,"&gt;"&amp;840),INDEX(m_label,_xlfn.MAXIFS(m_row,m_teacher,AS$4,m_date,($G$2+21),m_active,1,m_start,"&lt;"&amp;900,m_end,"&gt;"&amp;840))))))</f>
        <v/>
      </c>
      <c r="AT10" s="82" t="str">
        <f aca="false">IF(OR(AT$4="",MONTH(($G$2+21))&lt;&gt;MONTH($C$2)),"",IF(COUNTIFS(m_teacher,AT$4,m_date,($G$2+21),m_active,1,m_start,"&lt;"&amp;900,m_end,"&gt;"&amp;840)=0,"",IF(COUNTIFS(m_teacher,AT$4,m_date,($G$2+21),m_active,1,m_start,"&lt;"&amp;900,m_end,"&gt;"&amp;840)&gt;1,"충돌",HYPERLINK("#'관리자_MASTER'!D"&amp;_xlfn.MAXIFS(m_row,m_teacher,AT$4,m_date,($G$2+21),m_active,1,m_start,"&lt;"&amp;900,m_end,"&gt;"&amp;840),INDEX(m_label,_xlfn.MAXIFS(m_row,m_teacher,AT$4,m_date,($G$2+21),m_active,1,m_start,"&lt;"&amp;900,m_end,"&gt;"&amp;840))))))</f>
        <v/>
      </c>
      <c r="AU10" s="82" t="str">
        <f aca="false">IF(OR(AU$4="",MONTH(($G$2+21))&lt;&gt;MONTH($C$2)),"",IF(COUNTIFS(m_teacher,AU$4,m_date,($G$2+21),m_active,1,m_start,"&lt;"&amp;900,m_end,"&gt;"&amp;840)=0,"",IF(COUNTIFS(m_teacher,AU$4,m_date,($G$2+21),m_active,1,m_start,"&lt;"&amp;900,m_end,"&gt;"&amp;840)&gt;1,"충돌",HYPERLINK("#'관리자_MASTER'!D"&amp;_xlfn.MAXIFS(m_row,m_teacher,AU$4,m_date,($G$2+21),m_active,1,m_start,"&lt;"&amp;900,m_end,"&gt;"&amp;840),INDEX(m_label,_xlfn.MAXIFS(m_row,m_teacher,AU$4,m_date,($G$2+21),m_active,1,m_start,"&lt;"&amp;900,m_end,"&gt;"&amp;840))))))</f>
        <v/>
      </c>
      <c r="AV10" s="82" t="str">
        <f aca="false">IF(OR(AV$4="",MONTH(($G$2+21))&lt;&gt;MONTH($C$2)),"",IF(COUNTIFS(m_teacher,AV$4,m_date,($G$2+21),m_active,1,m_start,"&lt;"&amp;900,m_end,"&gt;"&amp;840)=0,"",IF(COUNTIFS(m_teacher,AV$4,m_date,($G$2+21),m_active,1,m_start,"&lt;"&amp;900,m_end,"&gt;"&amp;840)&gt;1,"충돌",HYPERLINK("#'관리자_MASTER'!D"&amp;_xlfn.MAXIFS(m_row,m_teacher,AV$4,m_date,($G$2+21),m_active,1,m_start,"&lt;"&amp;900,m_end,"&gt;"&amp;840),INDEX(m_label,_xlfn.MAXIFS(m_row,m_teacher,AV$4,m_date,($G$2+21),m_active,1,m_start,"&lt;"&amp;900,m_end,"&gt;"&amp;840))))))</f>
        <v/>
      </c>
      <c r="AW10" s="82" t="str">
        <f aca="false">IF(OR(AW$4="",MONTH(($G$2+21))&lt;&gt;MONTH($C$2)),"",IF(COUNTIFS(m_teacher,AW$4,m_date,($G$2+21),m_active,1,m_start,"&lt;"&amp;900,m_end,"&gt;"&amp;840)=0,"",IF(COUNTIFS(m_teacher,AW$4,m_date,($G$2+21),m_active,1,m_start,"&lt;"&amp;900,m_end,"&gt;"&amp;840)&gt;1,"충돌",HYPERLINK("#'관리자_MASTER'!D"&amp;_xlfn.MAXIFS(m_row,m_teacher,AW$4,m_date,($G$2+21),m_active,1,m_start,"&lt;"&amp;900,m_end,"&gt;"&amp;840),INDEX(m_label,_xlfn.MAXIFS(m_row,m_teacher,AW$4,m_date,($G$2+21),m_active,1,m_start,"&lt;"&amp;900,m_end,"&gt;"&amp;840))))))</f>
        <v/>
      </c>
      <c r="AX10" s="82" t="str">
        <f aca="false">IF(OR(AX$4="",MONTH(($G$2+21))&lt;&gt;MONTH($C$2)),"",IF(COUNTIFS(m_teacher,AX$4,m_date,($G$2+21),m_active,1,m_start,"&lt;"&amp;900,m_end,"&gt;"&amp;840)=0,"",IF(COUNTIFS(m_teacher,AX$4,m_date,($G$2+21),m_active,1,m_start,"&lt;"&amp;900,m_end,"&gt;"&amp;840)&gt;1,"충돌",HYPERLINK("#'관리자_MASTER'!D"&amp;_xlfn.MAXIFS(m_row,m_teacher,AX$4,m_date,($G$2+21),m_active,1,m_start,"&lt;"&amp;900,m_end,"&gt;"&amp;840),INDEX(m_label,_xlfn.MAXIFS(m_row,m_teacher,AX$4,m_date,($G$2+21),m_active,1,m_start,"&lt;"&amp;900,m_end,"&gt;"&amp;840))))))</f>
        <v/>
      </c>
      <c r="AY10" s="82" t="str">
        <f aca="false">IF(OR(AY$4="",MONTH(($G$2+21))&lt;&gt;MONTH($C$2)),"",IF(COUNTIFS(m_teacher,AY$4,m_date,($G$2+21),m_active,1,m_start,"&lt;"&amp;900,m_end,"&gt;"&amp;840)=0,"",IF(COUNTIFS(m_teacher,AY$4,m_date,($G$2+21),m_active,1,m_start,"&lt;"&amp;900,m_end,"&gt;"&amp;840)&gt;1,"충돌",HYPERLINK("#'관리자_MASTER'!D"&amp;_xlfn.MAXIFS(m_row,m_teacher,AY$4,m_date,($G$2+21),m_active,1,m_start,"&lt;"&amp;900,m_end,"&gt;"&amp;840),INDEX(m_label,_xlfn.MAXIFS(m_row,m_teacher,AY$4,m_date,($G$2+21),m_active,1,m_start,"&lt;"&amp;900,m_end,"&gt;"&amp;840))))))</f>
        <v/>
      </c>
      <c r="AZ10" s="82" t="str">
        <f aca="false">IF(OR(AZ$4="",MONTH(($G$2+21))&lt;&gt;MONTH($C$2)),"",IF(COUNTIFS(m_teacher,AZ$4,m_date,($G$2+21),m_active,1,m_start,"&lt;"&amp;900,m_end,"&gt;"&amp;840)=0,"",IF(COUNTIFS(m_teacher,AZ$4,m_date,($G$2+21),m_active,1,m_start,"&lt;"&amp;900,m_end,"&gt;"&amp;840)&gt;1,"충돌",HYPERLINK("#'관리자_MASTER'!D"&amp;_xlfn.MAXIFS(m_row,m_teacher,AZ$4,m_date,($G$2+21),m_active,1,m_start,"&lt;"&amp;900,m_end,"&gt;"&amp;840),INDEX(m_label,_xlfn.MAXIFS(m_row,m_teacher,AZ$4,m_date,($G$2+21),m_active,1,m_start,"&lt;"&amp;900,m_end,"&gt;"&amp;840))))))</f>
        <v/>
      </c>
      <c r="BA10" s="82" t="str">
        <f aca="false">IF(OR(BA$4="",MONTH(($G$2+21))&lt;&gt;MONTH($C$2)),"",IF(COUNTIFS(m_teacher,BA$4,m_date,($G$2+21),m_active,1,m_start,"&lt;"&amp;900,m_end,"&gt;"&amp;840)=0,"",IF(COUNTIFS(m_teacher,BA$4,m_date,($G$2+21),m_active,1,m_start,"&lt;"&amp;900,m_end,"&gt;"&amp;840)&gt;1,"충돌",HYPERLINK("#'관리자_MASTER'!D"&amp;_xlfn.MAXIFS(m_row,m_teacher,BA$4,m_date,($G$2+21),m_active,1,m_start,"&lt;"&amp;900,m_end,"&gt;"&amp;840),INDEX(m_label,_xlfn.MAXIFS(m_row,m_teacher,BA$4,m_date,($G$2+21),m_active,1,m_start,"&lt;"&amp;900,m_end,"&gt;"&amp;840))))))</f>
        <v/>
      </c>
      <c r="BB10" s="82" t="str">
        <f aca="false">IF(OR(BB$4="",MONTH(($G$2+21))&lt;&gt;MONTH($C$2)),"",IF(COUNTIFS(m_teacher,BB$4,m_date,($G$2+21),m_active,1,m_start,"&lt;"&amp;900,m_end,"&gt;"&amp;840)=0,"",IF(COUNTIFS(m_teacher,BB$4,m_date,($G$2+21),m_active,1,m_start,"&lt;"&amp;900,m_end,"&gt;"&amp;840)&gt;1,"충돌",HYPERLINK("#'관리자_MASTER'!D"&amp;_xlfn.MAXIFS(m_row,m_teacher,BB$4,m_date,($G$2+21),m_active,1,m_start,"&lt;"&amp;900,m_end,"&gt;"&amp;840),INDEX(m_label,_xlfn.MAXIFS(m_row,m_teacher,BB$4,m_date,($G$2+21),m_active,1,m_start,"&lt;"&amp;900,m_end,"&gt;"&amp;840))))))</f>
        <v/>
      </c>
      <c r="BC10" s="82" t="str">
        <f aca="false">IF(OR(BC$4="",MONTH(($G$2+21))&lt;&gt;MONTH($C$2)),"",IF(COUNTIFS(m_teacher,BC$4,m_date,($G$2+21),m_active,1,m_start,"&lt;"&amp;900,m_end,"&gt;"&amp;840)=0,"",IF(COUNTIFS(m_teacher,BC$4,m_date,($G$2+21),m_active,1,m_start,"&lt;"&amp;900,m_end,"&gt;"&amp;840)&gt;1,"충돌",HYPERLINK("#'관리자_MASTER'!D"&amp;_xlfn.MAXIFS(m_row,m_teacher,BC$4,m_date,($G$2+21),m_active,1,m_start,"&lt;"&amp;900,m_end,"&gt;"&amp;840),INDEX(m_label,_xlfn.MAXIFS(m_row,m_teacher,BC$4,m_date,($G$2+21),m_active,1,m_start,"&lt;"&amp;900,m_end,"&gt;"&amp;840))))))</f>
        <v/>
      </c>
      <c r="BD10" s="82" t="str">
        <f aca="false">IF(OR(BD$4="",MONTH(($G$2+21))&lt;&gt;MONTH($C$2)),"",IF(COUNTIFS(m_teacher,BD$4,m_date,($G$2+21),m_active,1,m_start,"&lt;"&amp;900,m_end,"&gt;"&amp;840)=0,"",IF(COUNTIFS(m_teacher,BD$4,m_date,($G$2+21),m_active,1,m_start,"&lt;"&amp;900,m_end,"&gt;"&amp;840)&gt;1,"충돌",HYPERLINK("#'관리자_MASTER'!D"&amp;_xlfn.MAXIFS(m_row,m_teacher,BD$4,m_date,($G$2+21),m_active,1,m_start,"&lt;"&amp;900,m_end,"&gt;"&amp;840),INDEX(m_label,_xlfn.MAXIFS(m_row,m_teacher,BD$4,m_date,($G$2+21),m_active,1,m_start,"&lt;"&amp;900,m_end,"&gt;"&amp;840))))))</f>
        <v/>
      </c>
      <c r="BE10" s="78"/>
      <c r="BF10" s="79" t="s">
        <v>96</v>
      </c>
      <c r="BG10" s="82" t="str">
        <f aca="false">IF(OR(BG$4="",MONTH(($G$2+28))&lt;&gt;MONTH($C$2)),"",IF(COUNTIFS(m_teacher,BG$4,m_date,($G$2+28),m_active,1,m_start,"&lt;"&amp;900,m_end,"&gt;"&amp;840)=0,"",IF(COUNTIFS(m_teacher,BG$4,m_date,($G$2+28),m_active,1,m_start,"&lt;"&amp;900,m_end,"&gt;"&amp;840)&gt;1,"충돌",HYPERLINK("#'관리자_MASTER'!D"&amp;_xlfn.MAXIFS(m_row,m_teacher,BG$4,m_date,($G$2+28),m_active,1,m_start,"&lt;"&amp;900,m_end,"&gt;"&amp;840),INDEX(m_label,_xlfn.MAXIFS(m_row,m_teacher,BG$4,m_date,($G$2+28),m_active,1,m_start,"&lt;"&amp;900,m_end,"&gt;"&amp;840))))))</f>
        <v/>
      </c>
      <c r="BH10" s="82" t="str">
        <f aca="false">IF(OR(BH$4="",MONTH(($G$2+28))&lt;&gt;MONTH($C$2)),"",IF(COUNTIFS(m_teacher,BH$4,m_date,($G$2+28),m_active,1,m_start,"&lt;"&amp;900,m_end,"&gt;"&amp;840)=0,"",IF(COUNTIFS(m_teacher,BH$4,m_date,($G$2+28),m_active,1,m_start,"&lt;"&amp;900,m_end,"&gt;"&amp;840)&gt;1,"충돌",HYPERLINK("#'관리자_MASTER'!D"&amp;_xlfn.MAXIFS(m_row,m_teacher,BH$4,m_date,($G$2+28),m_active,1,m_start,"&lt;"&amp;900,m_end,"&gt;"&amp;840),INDEX(m_label,_xlfn.MAXIFS(m_row,m_teacher,BH$4,m_date,($G$2+28),m_active,1,m_start,"&lt;"&amp;900,m_end,"&gt;"&amp;840))))))</f>
        <v/>
      </c>
      <c r="BI10" s="82" t="str">
        <f aca="false">IF(OR(BI$4="",MONTH(($G$2+28))&lt;&gt;MONTH($C$2)),"",IF(COUNTIFS(m_teacher,BI$4,m_date,($G$2+28),m_active,1,m_start,"&lt;"&amp;900,m_end,"&gt;"&amp;840)=0,"",IF(COUNTIFS(m_teacher,BI$4,m_date,($G$2+28),m_active,1,m_start,"&lt;"&amp;900,m_end,"&gt;"&amp;840)&gt;1,"충돌",HYPERLINK("#'관리자_MASTER'!D"&amp;_xlfn.MAXIFS(m_row,m_teacher,BI$4,m_date,($G$2+28),m_active,1,m_start,"&lt;"&amp;900,m_end,"&gt;"&amp;840),INDEX(m_label,_xlfn.MAXIFS(m_row,m_teacher,BI$4,m_date,($G$2+28),m_active,1,m_start,"&lt;"&amp;900,m_end,"&gt;"&amp;840))))))</f>
        <v/>
      </c>
      <c r="BJ10" s="82" t="str">
        <f aca="false">IF(OR(BJ$4="",MONTH(($G$2+28))&lt;&gt;MONTH($C$2)),"",IF(COUNTIFS(m_teacher,BJ$4,m_date,($G$2+28),m_active,1,m_start,"&lt;"&amp;900,m_end,"&gt;"&amp;840)=0,"",IF(COUNTIFS(m_teacher,BJ$4,m_date,($G$2+28),m_active,1,m_start,"&lt;"&amp;900,m_end,"&gt;"&amp;840)&gt;1,"충돌",HYPERLINK("#'관리자_MASTER'!D"&amp;_xlfn.MAXIFS(m_row,m_teacher,BJ$4,m_date,($G$2+28),m_active,1,m_start,"&lt;"&amp;900,m_end,"&gt;"&amp;840),INDEX(m_label,_xlfn.MAXIFS(m_row,m_teacher,BJ$4,m_date,($G$2+28),m_active,1,m_start,"&lt;"&amp;900,m_end,"&gt;"&amp;840))))))</f>
        <v/>
      </c>
      <c r="BK10" s="82" t="str">
        <f aca="false">IF(OR(BK$4="",MONTH(($G$2+28))&lt;&gt;MONTH($C$2)),"",IF(COUNTIFS(m_teacher,BK$4,m_date,($G$2+28),m_active,1,m_start,"&lt;"&amp;900,m_end,"&gt;"&amp;840)=0,"",IF(COUNTIFS(m_teacher,BK$4,m_date,($G$2+28),m_active,1,m_start,"&lt;"&amp;900,m_end,"&gt;"&amp;840)&gt;1,"충돌",HYPERLINK("#'관리자_MASTER'!D"&amp;_xlfn.MAXIFS(m_row,m_teacher,BK$4,m_date,($G$2+28),m_active,1,m_start,"&lt;"&amp;900,m_end,"&gt;"&amp;840),INDEX(m_label,_xlfn.MAXIFS(m_row,m_teacher,BK$4,m_date,($G$2+28),m_active,1,m_start,"&lt;"&amp;900,m_end,"&gt;"&amp;840))))))</f>
        <v/>
      </c>
      <c r="BL10" s="82" t="str">
        <f aca="false">IF(OR(BL$4="",MONTH(($G$2+28))&lt;&gt;MONTH($C$2)),"",IF(COUNTIFS(m_teacher,BL$4,m_date,($G$2+28),m_active,1,m_start,"&lt;"&amp;900,m_end,"&gt;"&amp;840)=0,"",IF(COUNTIFS(m_teacher,BL$4,m_date,($G$2+28),m_active,1,m_start,"&lt;"&amp;900,m_end,"&gt;"&amp;840)&gt;1,"충돌",HYPERLINK("#'관리자_MASTER'!D"&amp;_xlfn.MAXIFS(m_row,m_teacher,BL$4,m_date,($G$2+28),m_active,1,m_start,"&lt;"&amp;900,m_end,"&gt;"&amp;840),INDEX(m_label,_xlfn.MAXIFS(m_row,m_teacher,BL$4,m_date,($G$2+28),m_active,1,m_start,"&lt;"&amp;900,m_end,"&gt;"&amp;840))))))</f>
        <v/>
      </c>
      <c r="BM10" s="82" t="str">
        <f aca="false">IF(OR(BM$4="",MONTH(($G$2+28))&lt;&gt;MONTH($C$2)),"",IF(COUNTIFS(m_teacher,BM$4,m_date,($G$2+28),m_active,1,m_start,"&lt;"&amp;900,m_end,"&gt;"&amp;840)=0,"",IF(COUNTIFS(m_teacher,BM$4,m_date,($G$2+28),m_active,1,m_start,"&lt;"&amp;900,m_end,"&gt;"&amp;840)&gt;1,"충돌",HYPERLINK("#'관리자_MASTER'!D"&amp;_xlfn.MAXIFS(m_row,m_teacher,BM$4,m_date,($G$2+28),m_active,1,m_start,"&lt;"&amp;900,m_end,"&gt;"&amp;840),INDEX(m_label,_xlfn.MAXIFS(m_row,m_teacher,BM$4,m_date,($G$2+28),m_active,1,m_start,"&lt;"&amp;900,m_end,"&gt;"&amp;840))))))</f>
        <v/>
      </c>
      <c r="BN10" s="82" t="str">
        <f aca="false">IF(OR(BN$4="",MONTH(($G$2+28))&lt;&gt;MONTH($C$2)),"",IF(COUNTIFS(m_teacher,BN$4,m_date,($G$2+28),m_active,1,m_start,"&lt;"&amp;900,m_end,"&gt;"&amp;840)=0,"",IF(COUNTIFS(m_teacher,BN$4,m_date,($G$2+28),m_active,1,m_start,"&lt;"&amp;900,m_end,"&gt;"&amp;840)&gt;1,"충돌",HYPERLINK("#'관리자_MASTER'!D"&amp;_xlfn.MAXIFS(m_row,m_teacher,BN$4,m_date,($G$2+28),m_active,1,m_start,"&lt;"&amp;900,m_end,"&gt;"&amp;840),INDEX(m_label,_xlfn.MAXIFS(m_row,m_teacher,BN$4,m_date,($G$2+28),m_active,1,m_start,"&lt;"&amp;900,m_end,"&gt;"&amp;840))))))</f>
        <v/>
      </c>
      <c r="BO10" s="82" t="str">
        <f aca="false">IF(OR(BO$4="",MONTH(($G$2+28))&lt;&gt;MONTH($C$2)),"",IF(COUNTIFS(m_teacher,BO$4,m_date,($G$2+28),m_active,1,m_start,"&lt;"&amp;900,m_end,"&gt;"&amp;840)=0,"",IF(COUNTIFS(m_teacher,BO$4,m_date,($G$2+28),m_active,1,m_start,"&lt;"&amp;900,m_end,"&gt;"&amp;840)&gt;1,"충돌",HYPERLINK("#'관리자_MASTER'!D"&amp;_xlfn.MAXIFS(m_row,m_teacher,BO$4,m_date,($G$2+28),m_active,1,m_start,"&lt;"&amp;900,m_end,"&gt;"&amp;840),INDEX(m_label,_xlfn.MAXIFS(m_row,m_teacher,BO$4,m_date,($G$2+28),m_active,1,m_start,"&lt;"&amp;900,m_end,"&gt;"&amp;840))))))</f>
        <v/>
      </c>
      <c r="BP10" s="82" t="str">
        <f aca="false">IF(OR(BP$4="",MONTH(($G$2+28))&lt;&gt;MONTH($C$2)),"",IF(COUNTIFS(m_teacher,BP$4,m_date,($G$2+28),m_active,1,m_start,"&lt;"&amp;900,m_end,"&gt;"&amp;840)=0,"",IF(COUNTIFS(m_teacher,BP$4,m_date,($G$2+28),m_active,1,m_start,"&lt;"&amp;900,m_end,"&gt;"&amp;840)&gt;1,"충돌",HYPERLINK("#'관리자_MASTER'!D"&amp;_xlfn.MAXIFS(m_row,m_teacher,BP$4,m_date,($G$2+28),m_active,1,m_start,"&lt;"&amp;900,m_end,"&gt;"&amp;840),INDEX(m_label,_xlfn.MAXIFS(m_row,m_teacher,BP$4,m_date,($G$2+28),m_active,1,m_start,"&lt;"&amp;900,m_end,"&gt;"&amp;840))))))</f>
        <v/>
      </c>
      <c r="BQ10" s="82" t="str">
        <f aca="false">IF(OR(BQ$4="",MONTH(($G$2+28))&lt;&gt;MONTH($C$2)),"",IF(COUNTIFS(m_teacher,BQ$4,m_date,($G$2+28),m_active,1,m_start,"&lt;"&amp;900,m_end,"&gt;"&amp;840)=0,"",IF(COUNTIFS(m_teacher,BQ$4,m_date,($G$2+28),m_active,1,m_start,"&lt;"&amp;900,m_end,"&gt;"&amp;840)&gt;1,"충돌",HYPERLINK("#'관리자_MASTER'!D"&amp;_xlfn.MAXIFS(m_row,m_teacher,BQ$4,m_date,($G$2+28),m_active,1,m_start,"&lt;"&amp;900,m_end,"&gt;"&amp;840),INDEX(m_label,_xlfn.MAXIFS(m_row,m_teacher,BQ$4,m_date,($G$2+28),m_active,1,m_start,"&lt;"&amp;900,m_end,"&gt;"&amp;840))))))</f>
        <v/>
      </c>
      <c r="BR10" s="82" t="str">
        <f aca="false">IF(OR(BR$4="",MONTH(($G$2+28))&lt;&gt;MONTH($C$2)),"",IF(COUNTIFS(m_teacher,BR$4,m_date,($G$2+28),m_active,1,m_start,"&lt;"&amp;900,m_end,"&gt;"&amp;840)=0,"",IF(COUNTIFS(m_teacher,BR$4,m_date,($G$2+28),m_active,1,m_start,"&lt;"&amp;900,m_end,"&gt;"&amp;840)&gt;1,"충돌",HYPERLINK("#'관리자_MASTER'!D"&amp;_xlfn.MAXIFS(m_row,m_teacher,BR$4,m_date,($G$2+28),m_active,1,m_start,"&lt;"&amp;900,m_end,"&gt;"&amp;840),INDEX(m_label,_xlfn.MAXIFS(m_row,m_teacher,BR$4,m_date,($G$2+28),m_active,1,m_start,"&lt;"&amp;900,m_end,"&gt;"&amp;840))))))</f>
        <v/>
      </c>
    </row>
    <row r="11" customFormat="false" ht="19.5" hidden="false" customHeight="true" outlineLevel="0" collapsed="false">
      <c r="A11" s="75"/>
      <c r="B11" s="76" t="s">
        <v>97</v>
      </c>
      <c r="C11" s="81" t="str">
        <f aca="false">IF(OR(C$4="",MONTH(($G$2+0))&lt;&gt;MONTH($C$2)),"",IF(COUNTIFS(m_teacher,C$4,m_date,($G$2+0),m_active,1,m_start,"&lt;"&amp;960,m_end,"&gt;"&amp;900)=0,"",IF(COUNTIFS(m_teacher,C$4,m_date,($G$2+0),m_active,1,m_start,"&lt;"&amp;960,m_end,"&gt;"&amp;900)&gt;1,"충돌",HYPERLINK("#'관리자_MASTER'!D"&amp;_xlfn.MAXIFS(m_row,m_teacher,C$4,m_date,($G$2+0),m_active,1,m_start,"&lt;"&amp;960,m_end,"&gt;"&amp;900),INDEX(m_label,_xlfn.MAXIFS(m_row,m_teacher,C$4,m_date,($G$2+0),m_active,1,m_start,"&lt;"&amp;960,m_end,"&gt;"&amp;900))))))</f>
        <v/>
      </c>
      <c r="D11" s="81" t="str">
        <f aca="false">IF(OR(D$4="",MONTH(($G$2+0))&lt;&gt;MONTH($C$2)),"",IF(COUNTIFS(m_teacher,D$4,m_date,($G$2+0),m_active,1,m_start,"&lt;"&amp;960,m_end,"&gt;"&amp;900)=0,"",IF(COUNTIFS(m_teacher,D$4,m_date,($G$2+0),m_active,1,m_start,"&lt;"&amp;960,m_end,"&gt;"&amp;900)&gt;1,"충돌",HYPERLINK("#'관리자_MASTER'!D"&amp;_xlfn.MAXIFS(m_row,m_teacher,D$4,m_date,($G$2+0),m_active,1,m_start,"&lt;"&amp;960,m_end,"&gt;"&amp;900),INDEX(m_label,_xlfn.MAXIFS(m_row,m_teacher,D$4,m_date,($G$2+0),m_active,1,m_start,"&lt;"&amp;960,m_end,"&gt;"&amp;900))))))</f>
        <v/>
      </c>
      <c r="E11" s="81" t="str">
        <f aca="false">IF(OR(E$4="",MONTH(($G$2+0))&lt;&gt;MONTH($C$2)),"",IF(COUNTIFS(m_teacher,E$4,m_date,($G$2+0),m_active,1,m_start,"&lt;"&amp;960,m_end,"&gt;"&amp;900)=0,"",IF(COUNTIFS(m_teacher,E$4,m_date,($G$2+0),m_active,1,m_start,"&lt;"&amp;960,m_end,"&gt;"&amp;900)&gt;1,"충돌",HYPERLINK("#'관리자_MASTER'!D"&amp;_xlfn.MAXIFS(m_row,m_teacher,E$4,m_date,($G$2+0),m_active,1,m_start,"&lt;"&amp;960,m_end,"&gt;"&amp;900),INDEX(m_label,_xlfn.MAXIFS(m_row,m_teacher,E$4,m_date,($G$2+0),m_active,1,m_start,"&lt;"&amp;960,m_end,"&gt;"&amp;900))))))</f>
        <v/>
      </c>
      <c r="F11" s="81" t="str">
        <f aca="false">IF(OR(F$4="",MONTH(($G$2+0))&lt;&gt;MONTH($C$2)),"",IF(COUNTIFS(m_teacher,F$4,m_date,($G$2+0),m_active,1,m_start,"&lt;"&amp;960,m_end,"&gt;"&amp;900)=0,"",IF(COUNTIFS(m_teacher,F$4,m_date,($G$2+0),m_active,1,m_start,"&lt;"&amp;960,m_end,"&gt;"&amp;900)&gt;1,"충돌",HYPERLINK("#'관리자_MASTER'!D"&amp;_xlfn.MAXIFS(m_row,m_teacher,F$4,m_date,($G$2+0),m_active,1,m_start,"&lt;"&amp;960,m_end,"&gt;"&amp;900),INDEX(m_label,_xlfn.MAXIFS(m_row,m_teacher,F$4,m_date,($G$2+0),m_active,1,m_start,"&lt;"&amp;960,m_end,"&gt;"&amp;900))))))</f>
        <v/>
      </c>
      <c r="G11" s="81" t="str">
        <f aca="false">IF(OR(G$4="",MONTH(($G$2+0))&lt;&gt;MONTH($C$2)),"",IF(COUNTIFS(m_teacher,G$4,m_date,($G$2+0),m_active,1,m_start,"&lt;"&amp;960,m_end,"&gt;"&amp;900)=0,"",IF(COUNTIFS(m_teacher,G$4,m_date,($G$2+0),m_active,1,m_start,"&lt;"&amp;960,m_end,"&gt;"&amp;900)&gt;1,"충돌",HYPERLINK("#'관리자_MASTER'!D"&amp;_xlfn.MAXIFS(m_row,m_teacher,G$4,m_date,($G$2+0),m_active,1,m_start,"&lt;"&amp;960,m_end,"&gt;"&amp;900),INDEX(m_label,_xlfn.MAXIFS(m_row,m_teacher,G$4,m_date,($G$2+0),m_active,1,m_start,"&lt;"&amp;960,m_end,"&gt;"&amp;900))))))</f>
        <v/>
      </c>
      <c r="H11" s="81" t="str">
        <f aca="false">IF(OR(H$4="",MONTH(($G$2+0))&lt;&gt;MONTH($C$2)),"",IF(COUNTIFS(m_teacher,H$4,m_date,($G$2+0),m_active,1,m_start,"&lt;"&amp;960,m_end,"&gt;"&amp;900)=0,"",IF(COUNTIFS(m_teacher,H$4,m_date,($G$2+0),m_active,1,m_start,"&lt;"&amp;960,m_end,"&gt;"&amp;900)&gt;1,"충돌",HYPERLINK("#'관리자_MASTER'!D"&amp;_xlfn.MAXIFS(m_row,m_teacher,H$4,m_date,($G$2+0),m_active,1,m_start,"&lt;"&amp;960,m_end,"&gt;"&amp;900),INDEX(m_label,_xlfn.MAXIFS(m_row,m_teacher,H$4,m_date,($G$2+0),m_active,1,m_start,"&lt;"&amp;960,m_end,"&gt;"&amp;900))))))</f>
        <v/>
      </c>
      <c r="I11" s="81" t="str">
        <f aca="false">IF(OR(I$4="",MONTH(($G$2+0))&lt;&gt;MONTH($C$2)),"",IF(COUNTIFS(m_teacher,I$4,m_date,($G$2+0),m_active,1,m_start,"&lt;"&amp;960,m_end,"&gt;"&amp;900)=0,"",IF(COUNTIFS(m_teacher,I$4,m_date,($G$2+0),m_active,1,m_start,"&lt;"&amp;960,m_end,"&gt;"&amp;900)&gt;1,"충돌",HYPERLINK("#'관리자_MASTER'!D"&amp;_xlfn.MAXIFS(m_row,m_teacher,I$4,m_date,($G$2+0),m_active,1,m_start,"&lt;"&amp;960,m_end,"&gt;"&amp;900),INDEX(m_label,_xlfn.MAXIFS(m_row,m_teacher,I$4,m_date,($G$2+0),m_active,1,m_start,"&lt;"&amp;960,m_end,"&gt;"&amp;900))))))</f>
        <v/>
      </c>
      <c r="J11" s="81" t="str">
        <f aca="false">IF(OR(J$4="",MONTH(($G$2+0))&lt;&gt;MONTH($C$2)),"",IF(COUNTIFS(m_teacher,J$4,m_date,($G$2+0),m_active,1,m_start,"&lt;"&amp;960,m_end,"&gt;"&amp;900)=0,"",IF(COUNTIFS(m_teacher,J$4,m_date,($G$2+0),m_active,1,m_start,"&lt;"&amp;960,m_end,"&gt;"&amp;900)&gt;1,"충돌",HYPERLINK("#'관리자_MASTER'!D"&amp;_xlfn.MAXIFS(m_row,m_teacher,J$4,m_date,($G$2+0),m_active,1,m_start,"&lt;"&amp;960,m_end,"&gt;"&amp;900),INDEX(m_label,_xlfn.MAXIFS(m_row,m_teacher,J$4,m_date,($G$2+0),m_active,1,m_start,"&lt;"&amp;960,m_end,"&gt;"&amp;900))))))</f>
        <v/>
      </c>
      <c r="K11" s="81" t="str">
        <f aca="false">IF(OR(K$4="",MONTH(($G$2+0))&lt;&gt;MONTH($C$2)),"",IF(COUNTIFS(m_teacher,K$4,m_date,($G$2+0),m_active,1,m_start,"&lt;"&amp;960,m_end,"&gt;"&amp;900)=0,"",IF(COUNTIFS(m_teacher,K$4,m_date,($G$2+0),m_active,1,m_start,"&lt;"&amp;960,m_end,"&gt;"&amp;900)&gt;1,"충돌",HYPERLINK("#'관리자_MASTER'!D"&amp;_xlfn.MAXIFS(m_row,m_teacher,K$4,m_date,($G$2+0),m_active,1,m_start,"&lt;"&amp;960,m_end,"&gt;"&amp;900),INDEX(m_label,_xlfn.MAXIFS(m_row,m_teacher,K$4,m_date,($G$2+0),m_active,1,m_start,"&lt;"&amp;960,m_end,"&gt;"&amp;900))))))</f>
        <v/>
      </c>
      <c r="L11" s="81" t="str">
        <f aca="false">IF(OR(L$4="",MONTH(($G$2+0))&lt;&gt;MONTH($C$2)),"",IF(COUNTIFS(m_teacher,L$4,m_date,($G$2+0),m_active,1,m_start,"&lt;"&amp;960,m_end,"&gt;"&amp;900)=0,"",IF(COUNTIFS(m_teacher,L$4,m_date,($G$2+0),m_active,1,m_start,"&lt;"&amp;960,m_end,"&gt;"&amp;900)&gt;1,"충돌",HYPERLINK("#'관리자_MASTER'!D"&amp;_xlfn.MAXIFS(m_row,m_teacher,L$4,m_date,($G$2+0),m_active,1,m_start,"&lt;"&amp;960,m_end,"&gt;"&amp;900),INDEX(m_label,_xlfn.MAXIFS(m_row,m_teacher,L$4,m_date,($G$2+0),m_active,1,m_start,"&lt;"&amp;960,m_end,"&gt;"&amp;900))))))</f>
        <v/>
      </c>
      <c r="M11" s="81" t="str">
        <f aca="false">IF(OR(M$4="",MONTH(($G$2+0))&lt;&gt;MONTH($C$2)),"",IF(COUNTIFS(m_teacher,M$4,m_date,($G$2+0),m_active,1,m_start,"&lt;"&amp;960,m_end,"&gt;"&amp;900)=0,"",IF(COUNTIFS(m_teacher,M$4,m_date,($G$2+0),m_active,1,m_start,"&lt;"&amp;960,m_end,"&gt;"&amp;900)&gt;1,"충돌",HYPERLINK("#'관리자_MASTER'!D"&amp;_xlfn.MAXIFS(m_row,m_teacher,M$4,m_date,($G$2+0),m_active,1,m_start,"&lt;"&amp;960,m_end,"&gt;"&amp;900),INDEX(m_label,_xlfn.MAXIFS(m_row,m_teacher,M$4,m_date,($G$2+0),m_active,1,m_start,"&lt;"&amp;960,m_end,"&gt;"&amp;900))))))</f>
        <v/>
      </c>
      <c r="N11" s="81" t="str">
        <f aca="false">IF(OR(N$4="",MONTH(($G$2+0))&lt;&gt;MONTH($C$2)),"",IF(COUNTIFS(m_teacher,N$4,m_date,($G$2+0),m_active,1,m_start,"&lt;"&amp;960,m_end,"&gt;"&amp;900)=0,"",IF(COUNTIFS(m_teacher,N$4,m_date,($G$2+0),m_active,1,m_start,"&lt;"&amp;960,m_end,"&gt;"&amp;900)&gt;1,"충돌",HYPERLINK("#'관리자_MASTER'!D"&amp;_xlfn.MAXIFS(m_row,m_teacher,N$4,m_date,($G$2+0),m_active,1,m_start,"&lt;"&amp;960,m_end,"&gt;"&amp;900),INDEX(m_label,_xlfn.MAXIFS(m_row,m_teacher,N$4,m_date,($G$2+0),m_active,1,m_start,"&lt;"&amp;960,m_end,"&gt;"&amp;900))))))</f>
        <v/>
      </c>
      <c r="O11" s="78"/>
      <c r="P11" s="79" t="s">
        <v>97</v>
      </c>
      <c r="Q11" s="82" t="str">
        <f aca="false">IF(OR(Q$4="",MONTH(($G$2+7))&lt;&gt;MONTH($C$2)),"",IF(COUNTIFS(m_teacher,Q$4,m_date,($G$2+7),m_active,1,m_start,"&lt;"&amp;960,m_end,"&gt;"&amp;900)=0,"",IF(COUNTIFS(m_teacher,Q$4,m_date,($G$2+7),m_active,1,m_start,"&lt;"&amp;960,m_end,"&gt;"&amp;900)&gt;1,"충돌",HYPERLINK("#'관리자_MASTER'!D"&amp;_xlfn.MAXIFS(m_row,m_teacher,Q$4,m_date,($G$2+7),m_active,1,m_start,"&lt;"&amp;960,m_end,"&gt;"&amp;900),INDEX(m_label,_xlfn.MAXIFS(m_row,m_teacher,Q$4,m_date,($G$2+7),m_active,1,m_start,"&lt;"&amp;960,m_end,"&gt;"&amp;900))))))</f>
        <v/>
      </c>
      <c r="R11" s="82" t="str">
        <f aca="false">IF(OR(R$4="",MONTH(($G$2+7))&lt;&gt;MONTH($C$2)),"",IF(COUNTIFS(m_teacher,R$4,m_date,($G$2+7),m_active,1,m_start,"&lt;"&amp;960,m_end,"&gt;"&amp;900)=0,"",IF(COUNTIFS(m_teacher,R$4,m_date,($G$2+7),m_active,1,m_start,"&lt;"&amp;960,m_end,"&gt;"&amp;900)&gt;1,"충돌",HYPERLINK("#'관리자_MASTER'!D"&amp;_xlfn.MAXIFS(m_row,m_teacher,R$4,m_date,($G$2+7),m_active,1,m_start,"&lt;"&amp;960,m_end,"&gt;"&amp;900),INDEX(m_label,_xlfn.MAXIFS(m_row,m_teacher,R$4,m_date,($G$2+7),m_active,1,m_start,"&lt;"&amp;960,m_end,"&gt;"&amp;900))))))</f>
        <v/>
      </c>
      <c r="S11" s="82" t="str">
        <f aca="false">IF(OR(S$4="",MONTH(($G$2+7))&lt;&gt;MONTH($C$2)),"",IF(COUNTIFS(m_teacher,S$4,m_date,($G$2+7),m_active,1,m_start,"&lt;"&amp;960,m_end,"&gt;"&amp;900)=0,"",IF(COUNTIFS(m_teacher,S$4,m_date,($G$2+7),m_active,1,m_start,"&lt;"&amp;960,m_end,"&gt;"&amp;900)&gt;1,"충돌",HYPERLINK("#'관리자_MASTER'!D"&amp;_xlfn.MAXIFS(m_row,m_teacher,S$4,m_date,($G$2+7),m_active,1,m_start,"&lt;"&amp;960,m_end,"&gt;"&amp;900),INDEX(m_label,_xlfn.MAXIFS(m_row,m_teacher,S$4,m_date,($G$2+7),m_active,1,m_start,"&lt;"&amp;960,m_end,"&gt;"&amp;900))))))</f>
        <v/>
      </c>
      <c r="T11" s="82" t="str">
        <f aca="false">IF(OR(T$4="",MONTH(($G$2+7))&lt;&gt;MONTH($C$2)),"",IF(COUNTIFS(m_teacher,T$4,m_date,($G$2+7),m_active,1,m_start,"&lt;"&amp;960,m_end,"&gt;"&amp;900)=0,"",IF(COUNTIFS(m_teacher,T$4,m_date,($G$2+7),m_active,1,m_start,"&lt;"&amp;960,m_end,"&gt;"&amp;900)&gt;1,"충돌",HYPERLINK("#'관리자_MASTER'!D"&amp;_xlfn.MAXIFS(m_row,m_teacher,T$4,m_date,($G$2+7),m_active,1,m_start,"&lt;"&amp;960,m_end,"&gt;"&amp;900),INDEX(m_label,_xlfn.MAXIFS(m_row,m_teacher,T$4,m_date,($G$2+7),m_active,1,m_start,"&lt;"&amp;960,m_end,"&gt;"&amp;900))))))</f>
        <v/>
      </c>
      <c r="U11" s="82" t="str">
        <f aca="false">IF(OR(U$4="",MONTH(($G$2+7))&lt;&gt;MONTH($C$2)),"",IF(COUNTIFS(m_teacher,U$4,m_date,($G$2+7),m_active,1,m_start,"&lt;"&amp;960,m_end,"&gt;"&amp;900)=0,"",IF(COUNTIFS(m_teacher,U$4,m_date,($G$2+7),m_active,1,m_start,"&lt;"&amp;960,m_end,"&gt;"&amp;900)&gt;1,"충돌",HYPERLINK("#'관리자_MASTER'!D"&amp;_xlfn.MAXIFS(m_row,m_teacher,U$4,m_date,($G$2+7),m_active,1,m_start,"&lt;"&amp;960,m_end,"&gt;"&amp;900),INDEX(m_label,_xlfn.MAXIFS(m_row,m_teacher,U$4,m_date,($G$2+7),m_active,1,m_start,"&lt;"&amp;960,m_end,"&gt;"&amp;900))))))</f>
        <v/>
      </c>
      <c r="V11" s="82" t="str">
        <f aca="false">IF(OR(V$4="",MONTH(($G$2+7))&lt;&gt;MONTH($C$2)),"",IF(COUNTIFS(m_teacher,V$4,m_date,($G$2+7),m_active,1,m_start,"&lt;"&amp;960,m_end,"&gt;"&amp;900)=0,"",IF(COUNTIFS(m_teacher,V$4,m_date,($G$2+7),m_active,1,m_start,"&lt;"&amp;960,m_end,"&gt;"&amp;900)&gt;1,"충돌",HYPERLINK("#'관리자_MASTER'!D"&amp;_xlfn.MAXIFS(m_row,m_teacher,V$4,m_date,($G$2+7),m_active,1,m_start,"&lt;"&amp;960,m_end,"&gt;"&amp;900),INDEX(m_label,_xlfn.MAXIFS(m_row,m_teacher,V$4,m_date,($G$2+7),m_active,1,m_start,"&lt;"&amp;960,m_end,"&gt;"&amp;900))))))</f>
        <v/>
      </c>
      <c r="W11" s="82" t="str">
        <f aca="false">IF(OR(W$4="",MONTH(($G$2+7))&lt;&gt;MONTH($C$2)),"",IF(COUNTIFS(m_teacher,W$4,m_date,($G$2+7),m_active,1,m_start,"&lt;"&amp;960,m_end,"&gt;"&amp;900)=0,"",IF(COUNTIFS(m_teacher,W$4,m_date,($G$2+7),m_active,1,m_start,"&lt;"&amp;960,m_end,"&gt;"&amp;900)&gt;1,"충돌",HYPERLINK("#'관리자_MASTER'!D"&amp;_xlfn.MAXIFS(m_row,m_teacher,W$4,m_date,($G$2+7),m_active,1,m_start,"&lt;"&amp;960,m_end,"&gt;"&amp;900),INDEX(m_label,_xlfn.MAXIFS(m_row,m_teacher,W$4,m_date,($G$2+7),m_active,1,m_start,"&lt;"&amp;960,m_end,"&gt;"&amp;900))))))</f>
        <v/>
      </c>
      <c r="X11" s="82" t="str">
        <f aca="false">IF(OR(X$4="",MONTH(($G$2+7))&lt;&gt;MONTH($C$2)),"",IF(COUNTIFS(m_teacher,X$4,m_date,($G$2+7),m_active,1,m_start,"&lt;"&amp;960,m_end,"&gt;"&amp;900)=0,"",IF(COUNTIFS(m_teacher,X$4,m_date,($G$2+7),m_active,1,m_start,"&lt;"&amp;960,m_end,"&gt;"&amp;900)&gt;1,"충돌",HYPERLINK("#'관리자_MASTER'!D"&amp;_xlfn.MAXIFS(m_row,m_teacher,X$4,m_date,($G$2+7),m_active,1,m_start,"&lt;"&amp;960,m_end,"&gt;"&amp;900),INDEX(m_label,_xlfn.MAXIFS(m_row,m_teacher,X$4,m_date,($G$2+7),m_active,1,m_start,"&lt;"&amp;960,m_end,"&gt;"&amp;900))))))</f>
        <v/>
      </c>
      <c r="Y11" s="82" t="str">
        <f aca="false">IF(OR(Y$4="",MONTH(($G$2+7))&lt;&gt;MONTH($C$2)),"",IF(COUNTIFS(m_teacher,Y$4,m_date,($G$2+7),m_active,1,m_start,"&lt;"&amp;960,m_end,"&gt;"&amp;900)=0,"",IF(COUNTIFS(m_teacher,Y$4,m_date,($G$2+7),m_active,1,m_start,"&lt;"&amp;960,m_end,"&gt;"&amp;900)&gt;1,"충돌",HYPERLINK("#'관리자_MASTER'!D"&amp;_xlfn.MAXIFS(m_row,m_teacher,Y$4,m_date,($G$2+7),m_active,1,m_start,"&lt;"&amp;960,m_end,"&gt;"&amp;900),INDEX(m_label,_xlfn.MAXIFS(m_row,m_teacher,Y$4,m_date,($G$2+7),m_active,1,m_start,"&lt;"&amp;960,m_end,"&gt;"&amp;900))))))</f>
        <v/>
      </c>
      <c r="Z11" s="82" t="str">
        <f aca="false">IF(OR(Z$4="",MONTH(($G$2+7))&lt;&gt;MONTH($C$2)),"",IF(COUNTIFS(m_teacher,Z$4,m_date,($G$2+7),m_active,1,m_start,"&lt;"&amp;960,m_end,"&gt;"&amp;900)=0,"",IF(COUNTIFS(m_teacher,Z$4,m_date,($G$2+7),m_active,1,m_start,"&lt;"&amp;960,m_end,"&gt;"&amp;900)&gt;1,"충돌",HYPERLINK("#'관리자_MASTER'!D"&amp;_xlfn.MAXIFS(m_row,m_teacher,Z$4,m_date,($G$2+7),m_active,1,m_start,"&lt;"&amp;960,m_end,"&gt;"&amp;900),INDEX(m_label,_xlfn.MAXIFS(m_row,m_teacher,Z$4,m_date,($G$2+7),m_active,1,m_start,"&lt;"&amp;960,m_end,"&gt;"&amp;900))))))</f>
        <v/>
      </c>
      <c r="AA11" s="82" t="str">
        <f aca="false">IF(OR(AA$4="",MONTH(($G$2+7))&lt;&gt;MONTH($C$2)),"",IF(COUNTIFS(m_teacher,AA$4,m_date,($G$2+7),m_active,1,m_start,"&lt;"&amp;960,m_end,"&gt;"&amp;900)=0,"",IF(COUNTIFS(m_teacher,AA$4,m_date,($G$2+7),m_active,1,m_start,"&lt;"&amp;960,m_end,"&gt;"&amp;900)&gt;1,"충돌",HYPERLINK("#'관리자_MASTER'!D"&amp;_xlfn.MAXIFS(m_row,m_teacher,AA$4,m_date,($G$2+7),m_active,1,m_start,"&lt;"&amp;960,m_end,"&gt;"&amp;900),INDEX(m_label,_xlfn.MAXIFS(m_row,m_teacher,AA$4,m_date,($G$2+7),m_active,1,m_start,"&lt;"&amp;960,m_end,"&gt;"&amp;900))))))</f>
        <v/>
      </c>
      <c r="AB11" s="82" t="str">
        <f aca="false">IF(OR(AB$4="",MONTH(($G$2+7))&lt;&gt;MONTH($C$2)),"",IF(COUNTIFS(m_teacher,AB$4,m_date,($G$2+7),m_active,1,m_start,"&lt;"&amp;960,m_end,"&gt;"&amp;900)=0,"",IF(COUNTIFS(m_teacher,AB$4,m_date,($G$2+7),m_active,1,m_start,"&lt;"&amp;960,m_end,"&gt;"&amp;900)&gt;1,"충돌",HYPERLINK("#'관리자_MASTER'!D"&amp;_xlfn.MAXIFS(m_row,m_teacher,AB$4,m_date,($G$2+7),m_active,1,m_start,"&lt;"&amp;960,m_end,"&gt;"&amp;900),INDEX(m_label,_xlfn.MAXIFS(m_row,m_teacher,AB$4,m_date,($G$2+7),m_active,1,m_start,"&lt;"&amp;960,m_end,"&gt;"&amp;900))))))</f>
        <v/>
      </c>
      <c r="AC11" s="78"/>
      <c r="AD11" s="79" t="s">
        <v>97</v>
      </c>
      <c r="AE11" s="82" t="str">
        <f aca="false">IF(OR(AE$4="",MONTH(($G$2+14))&lt;&gt;MONTH($C$2)),"",IF(COUNTIFS(m_teacher,AE$4,m_date,($G$2+14),m_active,1,m_start,"&lt;"&amp;960,m_end,"&gt;"&amp;900)=0,"",IF(COUNTIFS(m_teacher,AE$4,m_date,($G$2+14),m_active,1,m_start,"&lt;"&amp;960,m_end,"&gt;"&amp;900)&gt;1,"충돌",HYPERLINK("#'관리자_MASTER'!D"&amp;_xlfn.MAXIFS(m_row,m_teacher,AE$4,m_date,($G$2+14),m_active,1,m_start,"&lt;"&amp;960,m_end,"&gt;"&amp;900),INDEX(m_label,_xlfn.MAXIFS(m_row,m_teacher,AE$4,m_date,($G$2+14),m_active,1,m_start,"&lt;"&amp;960,m_end,"&gt;"&amp;900))))))</f>
        <v/>
      </c>
      <c r="AF11" s="82" t="str">
        <f aca="false">IF(OR(AF$4="",MONTH(($G$2+14))&lt;&gt;MONTH($C$2)),"",IF(COUNTIFS(m_teacher,AF$4,m_date,($G$2+14),m_active,1,m_start,"&lt;"&amp;960,m_end,"&gt;"&amp;900)=0,"",IF(COUNTIFS(m_teacher,AF$4,m_date,($G$2+14),m_active,1,m_start,"&lt;"&amp;960,m_end,"&gt;"&amp;900)&gt;1,"충돌",HYPERLINK("#'관리자_MASTER'!D"&amp;_xlfn.MAXIFS(m_row,m_teacher,AF$4,m_date,($G$2+14),m_active,1,m_start,"&lt;"&amp;960,m_end,"&gt;"&amp;900),INDEX(m_label,_xlfn.MAXIFS(m_row,m_teacher,AF$4,m_date,($G$2+14),m_active,1,m_start,"&lt;"&amp;960,m_end,"&gt;"&amp;900))))))</f>
        <v/>
      </c>
      <c r="AG11" s="82" t="str">
        <f aca="false">IF(OR(AG$4="",MONTH(($G$2+14))&lt;&gt;MONTH($C$2)),"",IF(COUNTIFS(m_teacher,AG$4,m_date,($G$2+14),m_active,1,m_start,"&lt;"&amp;960,m_end,"&gt;"&amp;900)=0,"",IF(COUNTIFS(m_teacher,AG$4,m_date,($G$2+14),m_active,1,m_start,"&lt;"&amp;960,m_end,"&gt;"&amp;900)&gt;1,"충돌",HYPERLINK("#'관리자_MASTER'!D"&amp;_xlfn.MAXIFS(m_row,m_teacher,AG$4,m_date,($G$2+14),m_active,1,m_start,"&lt;"&amp;960,m_end,"&gt;"&amp;900),INDEX(m_label,_xlfn.MAXIFS(m_row,m_teacher,AG$4,m_date,($G$2+14),m_active,1,m_start,"&lt;"&amp;960,m_end,"&gt;"&amp;900))))))</f>
        <v/>
      </c>
      <c r="AH11" s="82" t="str">
        <f aca="false">IF(OR(AH$4="",MONTH(($G$2+14))&lt;&gt;MONTH($C$2)),"",IF(COUNTIFS(m_teacher,AH$4,m_date,($G$2+14),m_active,1,m_start,"&lt;"&amp;960,m_end,"&gt;"&amp;900)=0,"",IF(COUNTIFS(m_teacher,AH$4,m_date,($G$2+14),m_active,1,m_start,"&lt;"&amp;960,m_end,"&gt;"&amp;900)&gt;1,"충돌",HYPERLINK("#'관리자_MASTER'!D"&amp;_xlfn.MAXIFS(m_row,m_teacher,AH$4,m_date,($G$2+14),m_active,1,m_start,"&lt;"&amp;960,m_end,"&gt;"&amp;900),INDEX(m_label,_xlfn.MAXIFS(m_row,m_teacher,AH$4,m_date,($G$2+14),m_active,1,m_start,"&lt;"&amp;960,m_end,"&gt;"&amp;900))))))</f>
        <v/>
      </c>
      <c r="AI11" s="82" t="str">
        <f aca="false">IF(OR(AI$4="",MONTH(($G$2+14))&lt;&gt;MONTH($C$2)),"",IF(COUNTIFS(m_teacher,AI$4,m_date,($G$2+14),m_active,1,m_start,"&lt;"&amp;960,m_end,"&gt;"&amp;900)=0,"",IF(COUNTIFS(m_teacher,AI$4,m_date,($G$2+14),m_active,1,m_start,"&lt;"&amp;960,m_end,"&gt;"&amp;900)&gt;1,"충돌",HYPERLINK("#'관리자_MASTER'!D"&amp;_xlfn.MAXIFS(m_row,m_teacher,AI$4,m_date,($G$2+14),m_active,1,m_start,"&lt;"&amp;960,m_end,"&gt;"&amp;900),INDEX(m_label,_xlfn.MAXIFS(m_row,m_teacher,AI$4,m_date,($G$2+14),m_active,1,m_start,"&lt;"&amp;960,m_end,"&gt;"&amp;900))))))</f>
        <v/>
      </c>
      <c r="AJ11" s="82" t="str">
        <f aca="false">IF(OR(AJ$4="",MONTH(($G$2+14))&lt;&gt;MONTH($C$2)),"",IF(COUNTIFS(m_teacher,AJ$4,m_date,($G$2+14),m_active,1,m_start,"&lt;"&amp;960,m_end,"&gt;"&amp;900)=0,"",IF(COUNTIFS(m_teacher,AJ$4,m_date,($G$2+14),m_active,1,m_start,"&lt;"&amp;960,m_end,"&gt;"&amp;900)&gt;1,"충돌",HYPERLINK("#'관리자_MASTER'!D"&amp;_xlfn.MAXIFS(m_row,m_teacher,AJ$4,m_date,($G$2+14),m_active,1,m_start,"&lt;"&amp;960,m_end,"&gt;"&amp;900),INDEX(m_label,_xlfn.MAXIFS(m_row,m_teacher,AJ$4,m_date,($G$2+14),m_active,1,m_start,"&lt;"&amp;960,m_end,"&gt;"&amp;900))))))</f>
        <v/>
      </c>
      <c r="AK11" s="82" t="str">
        <f aca="false">IF(OR(AK$4="",MONTH(($G$2+14))&lt;&gt;MONTH($C$2)),"",IF(COUNTIFS(m_teacher,AK$4,m_date,($G$2+14),m_active,1,m_start,"&lt;"&amp;960,m_end,"&gt;"&amp;900)=0,"",IF(COUNTIFS(m_teacher,AK$4,m_date,($G$2+14),m_active,1,m_start,"&lt;"&amp;960,m_end,"&gt;"&amp;900)&gt;1,"충돌",HYPERLINK("#'관리자_MASTER'!D"&amp;_xlfn.MAXIFS(m_row,m_teacher,AK$4,m_date,($G$2+14),m_active,1,m_start,"&lt;"&amp;960,m_end,"&gt;"&amp;900),INDEX(m_label,_xlfn.MAXIFS(m_row,m_teacher,AK$4,m_date,($G$2+14),m_active,1,m_start,"&lt;"&amp;960,m_end,"&gt;"&amp;900))))))</f>
        <v/>
      </c>
      <c r="AL11" s="82" t="str">
        <f aca="false">IF(OR(AL$4="",MONTH(($G$2+14))&lt;&gt;MONTH($C$2)),"",IF(COUNTIFS(m_teacher,AL$4,m_date,($G$2+14),m_active,1,m_start,"&lt;"&amp;960,m_end,"&gt;"&amp;900)=0,"",IF(COUNTIFS(m_teacher,AL$4,m_date,($G$2+14),m_active,1,m_start,"&lt;"&amp;960,m_end,"&gt;"&amp;900)&gt;1,"충돌",HYPERLINK("#'관리자_MASTER'!D"&amp;_xlfn.MAXIFS(m_row,m_teacher,AL$4,m_date,($G$2+14),m_active,1,m_start,"&lt;"&amp;960,m_end,"&gt;"&amp;900),INDEX(m_label,_xlfn.MAXIFS(m_row,m_teacher,AL$4,m_date,($G$2+14),m_active,1,m_start,"&lt;"&amp;960,m_end,"&gt;"&amp;900))))))</f>
        <v/>
      </c>
      <c r="AM11" s="82" t="str">
        <f aca="false">IF(OR(AM$4="",MONTH(($G$2+14))&lt;&gt;MONTH($C$2)),"",IF(COUNTIFS(m_teacher,AM$4,m_date,($G$2+14),m_active,1,m_start,"&lt;"&amp;960,m_end,"&gt;"&amp;900)=0,"",IF(COUNTIFS(m_teacher,AM$4,m_date,($G$2+14),m_active,1,m_start,"&lt;"&amp;960,m_end,"&gt;"&amp;900)&gt;1,"충돌",HYPERLINK("#'관리자_MASTER'!D"&amp;_xlfn.MAXIFS(m_row,m_teacher,AM$4,m_date,($G$2+14),m_active,1,m_start,"&lt;"&amp;960,m_end,"&gt;"&amp;900),INDEX(m_label,_xlfn.MAXIFS(m_row,m_teacher,AM$4,m_date,($G$2+14),m_active,1,m_start,"&lt;"&amp;960,m_end,"&gt;"&amp;900))))))</f>
        <v/>
      </c>
      <c r="AN11" s="82" t="str">
        <f aca="false">IF(OR(AN$4="",MONTH(($G$2+14))&lt;&gt;MONTH($C$2)),"",IF(COUNTIFS(m_teacher,AN$4,m_date,($G$2+14),m_active,1,m_start,"&lt;"&amp;960,m_end,"&gt;"&amp;900)=0,"",IF(COUNTIFS(m_teacher,AN$4,m_date,($G$2+14),m_active,1,m_start,"&lt;"&amp;960,m_end,"&gt;"&amp;900)&gt;1,"충돌",HYPERLINK("#'관리자_MASTER'!D"&amp;_xlfn.MAXIFS(m_row,m_teacher,AN$4,m_date,($G$2+14),m_active,1,m_start,"&lt;"&amp;960,m_end,"&gt;"&amp;900),INDEX(m_label,_xlfn.MAXIFS(m_row,m_teacher,AN$4,m_date,($G$2+14),m_active,1,m_start,"&lt;"&amp;960,m_end,"&gt;"&amp;900))))))</f>
        <v/>
      </c>
      <c r="AO11" s="82" t="str">
        <f aca="false">IF(OR(AO$4="",MONTH(($G$2+14))&lt;&gt;MONTH($C$2)),"",IF(COUNTIFS(m_teacher,AO$4,m_date,($G$2+14),m_active,1,m_start,"&lt;"&amp;960,m_end,"&gt;"&amp;900)=0,"",IF(COUNTIFS(m_teacher,AO$4,m_date,($G$2+14),m_active,1,m_start,"&lt;"&amp;960,m_end,"&gt;"&amp;900)&gt;1,"충돌",HYPERLINK("#'관리자_MASTER'!D"&amp;_xlfn.MAXIFS(m_row,m_teacher,AO$4,m_date,($G$2+14),m_active,1,m_start,"&lt;"&amp;960,m_end,"&gt;"&amp;900),INDEX(m_label,_xlfn.MAXIFS(m_row,m_teacher,AO$4,m_date,($G$2+14),m_active,1,m_start,"&lt;"&amp;960,m_end,"&gt;"&amp;900))))))</f>
        <v/>
      </c>
      <c r="AP11" s="82" t="str">
        <f aca="false">IF(OR(AP$4="",MONTH(($G$2+14))&lt;&gt;MONTH($C$2)),"",IF(COUNTIFS(m_teacher,AP$4,m_date,($G$2+14),m_active,1,m_start,"&lt;"&amp;960,m_end,"&gt;"&amp;900)=0,"",IF(COUNTIFS(m_teacher,AP$4,m_date,($G$2+14),m_active,1,m_start,"&lt;"&amp;960,m_end,"&gt;"&amp;900)&gt;1,"충돌",HYPERLINK("#'관리자_MASTER'!D"&amp;_xlfn.MAXIFS(m_row,m_teacher,AP$4,m_date,($G$2+14),m_active,1,m_start,"&lt;"&amp;960,m_end,"&gt;"&amp;900),INDEX(m_label,_xlfn.MAXIFS(m_row,m_teacher,AP$4,m_date,($G$2+14),m_active,1,m_start,"&lt;"&amp;960,m_end,"&gt;"&amp;900))))))</f>
        <v/>
      </c>
      <c r="AQ11" s="78"/>
      <c r="AR11" s="79" t="s">
        <v>97</v>
      </c>
      <c r="AS11" s="82" t="str">
        <f aca="false">IF(OR(AS$4="",MONTH(($G$2+21))&lt;&gt;MONTH($C$2)),"",IF(COUNTIFS(m_teacher,AS$4,m_date,($G$2+21),m_active,1,m_start,"&lt;"&amp;960,m_end,"&gt;"&amp;900)=0,"",IF(COUNTIFS(m_teacher,AS$4,m_date,($G$2+21),m_active,1,m_start,"&lt;"&amp;960,m_end,"&gt;"&amp;900)&gt;1,"충돌",HYPERLINK("#'관리자_MASTER'!D"&amp;_xlfn.MAXIFS(m_row,m_teacher,AS$4,m_date,($G$2+21),m_active,1,m_start,"&lt;"&amp;960,m_end,"&gt;"&amp;900),INDEX(m_label,_xlfn.MAXIFS(m_row,m_teacher,AS$4,m_date,($G$2+21),m_active,1,m_start,"&lt;"&amp;960,m_end,"&gt;"&amp;900))))))</f>
        <v/>
      </c>
      <c r="AT11" s="82" t="str">
        <f aca="false">IF(OR(AT$4="",MONTH(($G$2+21))&lt;&gt;MONTH($C$2)),"",IF(COUNTIFS(m_teacher,AT$4,m_date,($G$2+21),m_active,1,m_start,"&lt;"&amp;960,m_end,"&gt;"&amp;900)=0,"",IF(COUNTIFS(m_teacher,AT$4,m_date,($G$2+21),m_active,1,m_start,"&lt;"&amp;960,m_end,"&gt;"&amp;900)&gt;1,"충돌",HYPERLINK("#'관리자_MASTER'!D"&amp;_xlfn.MAXIFS(m_row,m_teacher,AT$4,m_date,($G$2+21),m_active,1,m_start,"&lt;"&amp;960,m_end,"&gt;"&amp;900),INDEX(m_label,_xlfn.MAXIFS(m_row,m_teacher,AT$4,m_date,($G$2+21),m_active,1,m_start,"&lt;"&amp;960,m_end,"&gt;"&amp;900))))))</f>
        <v/>
      </c>
      <c r="AU11" s="82" t="str">
        <f aca="false">IF(OR(AU$4="",MONTH(($G$2+21))&lt;&gt;MONTH($C$2)),"",IF(COUNTIFS(m_teacher,AU$4,m_date,($G$2+21),m_active,1,m_start,"&lt;"&amp;960,m_end,"&gt;"&amp;900)=0,"",IF(COUNTIFS(m_teacher,AU$4,m_date,($G$2+21),m_active,1,m_start,"&lt;"&amp;960,m_end,"&gt;"&amp;900)&gt;1,"충돌",HYPERLINK("#'관리자_MASTER'!D"&amp;_xlfn.MAXIFS(m_row,m_teacher,AU$4,m_date,($G$2+21),m_active,1,m_start,"&lt;"&amp;960,m_end,"&gt;"&amp;900),INDEX(m_label,_xlfn.MAXIFS(m_row,m_teacher,AU$4,m_date,($G$2+21),m_active,1,m_start,"&lt;"&amp;960,m_end,"&gt;"&amp;900))))))</f>
        <v/>
      </c>
      <c r="AV11" s="82" t="str">
        <f aca="false">IF(OR(AV$4="",MONTH(($G$2+21))&lt;&gt;MONTH($C$2)),"",IF(COUNTIFS(m_teacher,AV$4,m_date,($G$2+21),m_active,1,m_start,"&lt;"&amp;960,m_end,"&gt;"&amp;900)=0,"",IF(COUNTIFS(m_teacher,AV$4,m_date,($G$2+21),m_active,1,m_start,"&lt;"&amp;960,m_end,"&gt;"&amp;900)&gt;1,"충돌",HYPERLINK("#'관리자_MASTER'!D"&amp;_xlfn.MAXIFS(m_row,m_teacher,AV$4,m_date,($G$2+21),m_active,1,m_start,"&lt;"&amp;960,m_end,"&gt;"&amp;900),INDEX(m_label,_xlfn.MAXIFS(m_row,m_teacher,AV$4,m_date,($G$2+21),m_active,1,m_start,"&lt;"&amp;960,m_end,"&gt;"&amp;900))))))</f>
        <v/>
      </c>
      <c r="AW11" s="82" t="str">
        <f aca="false">IF(OR(AW$4="",MONTH(($G$2+21))&lt;&gt;MONTH($C$2)),"",IF(COUNTIFS(m_teacher,AW$4,m_date,($G$2+21),m_active,1,m_start,"&lt;"&amp;960,m_end,"&gt;"&amp;900)=0,"",IF(COUNTIFS(m_teacher,AW$4,m_date,($G$2+21),m_active,1,m_start,"&lt;"&amp;960,m_end,"&gt;"&amp;900)&gt;1,"충돌",HYPERLINK("#'관리자_MASTER'!D"&amp;_xlfn.MAXIFS(m_row,m_teacher,AW$4,m_date,($G$2+21),m_active,1,m_start,"&lt;"&amp;960,m_end,"&gt;"&amp;900),INDEX(m_label,_xlfn.MAXIFS(m_row,m_teacher,AW$4,m_date,($G$2+21),m_active,1,m_start,"&lt;"&amp;960,m_end,"&gt;"&amp;900))))))</f>
        <v/>
      </c>
      <c r="AX11" s="82" t="str">
        <f aca="false">IF(OR(AX$4="",MONTH(($G$2+21))&lt;&gt;MONTH($C$2)),"",IF(COUNTIFS(m_teacher,AX$4,m_date,($G$2+21),m_active,1,m_start,"&lt;"&amp;960,m_end,"&gt;"&amp;900)=0,"",IF(COUNTIFS(m_teacher,AX$4,m_date,($G$2+21),m_active,1,m_start,"&lt;"&amp;960,m_end,"&gt;"&amp;900)&gt;1,"충돌",HYPERLINK("#'관리자_MASTER'!D"&amp;_xlfn.MAXIFS(m_row,m_teacher,AX$4,m_date,($G$2+21),m_active,1,m_start,"&lt;"&amp;960,m_end,"&gt;"&amp;900),INDEX(m_label,_xlfn.MAXIFS(m_row,m_teacher,AX$4,m_date,($G$2+21),m_active,1,m_start,"&lt;"&amp;960,m_end,"&gt;"&amp;900))))))</f>
        <v/>
      </c>
      <c r="AY11" s="82" t="str">
        <f aca="false">IF(OR(AY$4="",MONTH(($G$2+21))&lt;&gt;MONTH($C$2)),"",IF(COUNTIFS(m_teacher,AY$4,m_date,($G$2+21),m_active,1,m_start,"&lt;"&amp;960,m_end,"&gt;"&amp;900)=0,"",IF(COUNTIFS(m_teacher,AY$4,m_date,($G$2+21),m_active,1,m_start,"&lt;"&amp;960,m_end,"&gt;"&amp;900)&gt;1,"충돌",HYPERLINK("#'관리자_MASTER'!D"&amp;_xlfn.MAXIFS(m_row,m_teacher,AY$4,m_date,($G$2+21),m_active,1,m_start,"&lt;"&amp;960,m_end,"&gt;"&amp;900),INDEX(m_label,_xlfn.MAXIFS(m_row,m_teacher,AY$4,m_date,($G$2+21),m_active,1,m_start,"&lt;"&amp;960,m_end,"&gt;"&amp;900))))))</f>
        <v/>
      </c>
      <c r="AZ11" s="82" t="str">
        <f aca="false">IF(OR(AZ$4="",MONTH(($G$2+21))&lt;&gt;MONTH($C$2)),"",IF(COUNTIFS(m_teacher,AZ$4,m_date,($G$2+21),m_active,1,m_start,"&lt;"&amp;960,m_end,"&gt;"&amp;900)=0,"",IF(COUNTIFS(m_teacher,AZ$4,m_date,($G$2+21),m_active,1,m_start,"&lt;"&amp;960,m_end,"&gt;"&amp;900)&gt;1,"충돌",HYPERLINK("#'관리자_MASTER'!D"&amp;_xlfn.MAXIFS(m_row,m_teacher,AZ$4,m_date,($G$2+21),m_active,1,m_start,"&lt;"&amp;960,m_end,"&gt;"&amp;900),INDEX(m_label,_xlfn.MAXIFS(m_row,m_teacher,AZ$4,m_date,($G$2+21),m_active,1,m_start,"&lt;"&amp;960,m_end,"&gt;"&amp;900))))))</f>
        <v/>
      </c>
      <c r="BA11" s="82" t="str">
        <f aca="false">IF(OR(BA$4="",MONTH(($G$2+21))&lt;&gt;MONTH($C$2)),"",IF(COUNTIFS(m_teacher,BA$4,m_date,($G$2+21),m_active,1,m_start,"&lt;"&amp;960,m_end,"&gt;"&amp;900)=0,"",IF(COUNTIFS(m_teacher,BA$4,m_date,($G$2+21),m_active,1,m_start,"&lt;"&amp;960,m_end,"&gt;"&amp;900)&gt;1,"충돌",HYPERLINK("#'관리자_MASTER'!D"&amp;_xlfn.MAXIFS(m_row,m_teacher,BA$4,m_date,($G$2+21),m_active,1,m_start,"&lt;"&amp;960,m_end,"&gt;"&amp;900),INDEX(m_label,_xlfn.MAXIFS(m_row,m_teacher,BA$4,m_date,($G$2+21),m_active,1,m_start,"&lt;"&amp;960,m_end,"&gt;"&amp;900))))))</f>
        <v/>
      </c>
      <c r="BB11" s="82" t="str">
        <f aca="false">IF(OR(BB$4="",MONTH(($G$2+21))&lt;&gt;MONTH($C$2)),"",IF(COUNTIFS(m_teacher,BB$4,m_date,($G$2+21),m_active,1,m_start,"&lt;"&amp;960,m_end,"&gt;"&amp;900)=0,"",IF(COUNTIFS(m_teacher,BB$4,m_date,($G$2+21),m_active,1,m_start,"&lt;"&amp;960,m_end,"&gt;"&amp;900)&gt;1,"충돌",HYPERLINK("#'관리자_MASTER'!D"&amp;_xlfn.MAXIFS(m_row,m_teacher,BB$4,m_date,($G$2+21),m_active,1,m_start,"&lt;"&amp;960,m_end,"&gt;"&amp;900),INDEX(m_label,_xlfn.MAXIFS(m_row,m_teacher,BB$4,m_date,($G$2+21),m_active,1,m_start,"&lt;"&amp;960,m_end,"&gt;"&amp;900))))))</f>
        <v/>
      </c>
      <c r="BC11" s="82" t="str">
        <f aca="false">IF(OR(BC$4="",MONTH(($G$2+21))&lt;&gt;MONTH($C$2)),"",IF(COUNTIFS(m_teacher,BC$4,m_date,($G$2+21),m_active,1,m_start,"&lt;"&amp;960,m_end,"&gt;"&amp;900)=0,"",IF(COUNTIFS(m_teacher,BC$4,m_date,($G$2+21),m_active,1,m_start,"&lt;"&amp;960,m_end,"&gt;"&amp;900)&gt;1,"충돌",HYPERLINK("#'관리자_MASTER'!D"&amp;_xlfn.MAXIFS(m_row,m_teacher,BC$4,m_date,($G$2+21),m_active,1,m_start,"&lt;"&amp;960,m_end,"&gt;"&amp;900),INDEX(m_label,_xlfn.MAXIFS(m_row,m_teacher,BC$4,m_date,($G$2+21),m_active,1,m_start,"&lt;"&amp;960,m_end,"&gt;"&amp;900))))))</f>
        <v/>
      </c>
      <c r="BD11" s="82" t="str">
        <f aca="false">IF(OR(BD$4="",MONTH(($G$2+21))&lt;&gt;MONTH($C$2)),"",IF(COUNTIFS(m_teacher,BD$4,m_date,($G$2+21),m_active,1,m_start,"&lt;"&amp;960,m_end,"&gt;"&amp;900)=0,"",IF(COUNTIFS(m_teacher,BD$4,m_date,($G$2+21),m_active,1,m_start,"&lt;"&amp;960,m_end,"&gt;"&amp;900)&gt;1,"충돌",HYPERLINK("#'관리자_MASTER'!D"&amp;_xlfn.MAXIFS(m_row,m_teacher,BD$4,m_date,($G$2+21),m_active,1,m_start,"&lt;"&amp;960,m_end,"&gt;"&amp;900),INDEX(m_label,_xlfn.MAXIFS(m_row,m_teacher,BD$4,m_date,($G$2+21),m_active,1,m_start,"&lt;"&amp;960,m_end,"&gt;"&amp;900))))))</f>
        <v/>
      </c>
      <c r="BE11" s="78"/>
      <c r="BF11" s="79" t="s">
        <v>97</v>
      </c>
      <c r="BG11" s="82" t="str">
        <f aca="false">IF(OR(BG$4="",MONTH(($G$2+28))&lt;&gt;MONTH($C$2)),"",IF(COUNTIFS(m_teacher,BG$4,m_date,($G$2+28),m_active,1,m_start,"&lt;"&amp;960,m_end,"&gt;"&amp;900)=0,"",IF(COUNTIFS(m_teacher,BG$4,m_date,($G$2+28),m_active,1,m_start,"&lt;"&amp;960,m_end,"&gt;"&amp;900)&gt;1,"충돌",HYPERLINK("#'관리자_MASTER'!D"&amp;_xlfn.MAXIFS(m_row,m_teacher,BG$4,m_date,($G$2+28),m_active,1,m_start,"&lt;"&amp;960,m_end,"&gt;"&amp;900),INDEX(m_label,_xlfn.MAXIFS(m_row,m_teacher,BG$4,m_date,($G$2+28),m_active,1,m_start,"&lt;"&amp;960,m_end,"&gt;"&amp;900))))))</f>
        <v/>
      </c>
      <c r="BH11" s="82" t="str">
        <f aca="false">IF(OR(BH$4="",MONTH(($G$2+28))&lt;&gt;MONTH($C$2)),"",IF(COUNTIFS(m_teacher,BH$4,m_date,($G$2+28),m_active,1,m_start,"&lt;"&amp;960,m_end,"&gt;"&amp;900)=0,"",IF(COUNTIFS(m_teacher,BH$4,m_date,($G$2+28),m_active,1,m_start,"&lt;"&amp;960,m_end,"&gt;"&amp;900)&gt;1,"충돌",HYPERLINK("#'관리자_MASTER'!D"&amp;_xlfn.MAXIFS(m_row,m_teacher,BH$4,m_date,($G$2+28),m_active,1,m_start,"&lt;"&amp;960,m_end,"&gt;"&amp;900),INDEX(m_label,_xlfn.MAXIFS(m_row,m_teacher,BH$4,m_date,($G$2+28),m_active,1,m_start,"&lt;"&amp;960,m_end,"&gt;"&amp;900))))))</f>
        <v/>
      </c>
      <c r="BI11" s="82" t="str">
        <f aca="false">IF(OR(BI$4="",MONTH(($G$2+28))&lt;&gt;MONTH($C$2)),"",IF(COUNTIFS(m_teacher,BI$4,m_date,($G$2+28),m_active,1,m_start,"&lt;"&amp;960,m_end,"&gt;"&amp;900)=0,"",IF(COUNTIFS(m_teacher,BI$4,m_date,($G$2+28),m_active,1,m_start,"&lt;"&amp;960,m_end,"&gt;"&amp;900)&gt;1,"충돌",HYPERLINK("#'관리자_MASTER'!D"&amp;_xlfn.MAXIFS(m_row,m_teacher,BI$4,m_date,($G$2+28),m_active,1,m_start,"&lt;"&amp;960,m_end,"&gt;"&amp;900),INDEX(m_label,_xlfn.MAXIFS(m_row,m_teacher,BI$4,m_date,($G$2+28),m_active,1,m_start,"&lt;"&amp;960,m_end,"&gt;"&amp;900))))))</f>
        <v/>
      </c>
      <c r="BJ11" s="82" t="str">
        <f aca="false">IF(OR(BJ$4="",MONTH(($G$2+28))&lt;&gt;MONTH($C$2)),"",IF(COUNTIFS(m_teacher,BJ$4,m_date,($G$2+28),m_active,1,m_start,"&lt;"&amp;960,m_end,"&gt;"&amp;900)=0,"",IF(COUNTIFS(m_teacher,BJ$4,m_date,($G$2+28),m_active,1,m_start,"&lt;"&amp;960,m_end,"&gt;"&amp;900)&gt;1,"충돌",HYPERLINK("#'관리자_MASTER'!D"&amp;_xlfn.MAXIFS(m_row,m_teacher,BJ$4,m_date,($G$2+28),m_active,1,m_start,"&lt;"&amp;960,m_end,"&gt;"&amp;900),INDEX(m_label,_xlfn.MAXIFS(m_row,m_teacher,BJ$4,m_date,($G$2+28),m_active,1,m_start,"&lt;"&amp;960,m_end,"&gt;"&amp;900))))))</f>
        <v/>
      </c>
      <c r="BK11" s="82" t="str">
        <f aca="false">IF(OR(BK$4="",MONTH(($G$2+28))&lt;&gt;MONTH($C$2)),"",IF(COUNTIFS(m_teacher,BK$4,m_date,($G$2+28),m_active,1,m_start,"&lt;"&amp;960,m_end,"&gt;"&amp;900)=0,"",IF(COUNTIFS(m_teacher,BK$4,m_date,($G$2+28),m_active,1,m_start,"&lt;"&amp;960,m_end,"&gt;"&amp;900)&gt;1,"충돌",HYPERLINK("#'관리자_MASTER'!D"&amp;_xlfn.MAXIFS(m_row,m_teacher,BK$4,m_date,($G$2+28),m_active,1,m_start,"&lt;"&amp;960,m_end,"&gt;"&amp;900),INDEX(m_label,_xlfn.MAXIFS(m_row,m_teacher,BK$4,m_date,($G$2+28),m_active,1,m_start,"&lt;"&amp;960,m_end,"&gt;"&amp;900))))))</f>
        <v/>
      </c>
      <c r="BL11" s="82" t="str">
        <f aca="false">IF(OR(BL$4="",MONTH(($G$2+28))&lt;&gt;MONTH($C$2)),"",IF(COUNTIFS(m_teacher,BL$4,m_date,($G$2+28),m_active,1,m_start,"&lt;"&amp;960,m_end,"&gt;"&amp;900)=0,"",IF(COUNTIFS(m_teacher,BL$4,m_date,($G$2+28),m_active,1,m_start,"&lt;"&amp;960,m_end,"&gt;"&amp;900)&gt;1,"충돌",HYPERLINK("#'관리자_MASTER'!D"&amp;_xlfn.MAXIFS(m_row,m_teacher,BL$4,m_date,($G$2+28),m_active,1,m_start,"&lt;"&amp;960,m_end,"&gt;"&amp;900),INDEX(m_label,_xlfn.MAXIFS(m_row,m_teacher,BL$4,m_date,($G$2+28),m_active,1,m_start,"&lt;"&amp;960,m_end,"&gt;"&amp;900))))))</f>
        <v/>
      </c>
      <c r="BM11" s="82" t="str">
        <f aca="false">IF(OR(BM$4="",MONTH(($G$2+28))&lt;&gt;MONTH($C$2)),"",IF(COUNTIFS(m_teacher,BM$4,m_date,($G$2+28),m_active,1,m_start,"&lt;"&amp;960,m_end,"&gt;"&amp;900)=0,"",IF(COUNTIFS(m_teacher,BM$4,m_date,($G$2+28),m_active,1,m_start,"&lt;"&amp;960,m_end,"&gt;"&amp;900)&gt;1,"충돌",HYPERLINK("#'관리자_MASTER'!D"&amp;_xlfn.MAXIFS(m_row,m_teacher,BM$4,m_date,($G$2+28),m_active,1,m_start,"&lt;"&amp;960,m_end,"&gt;"&amp;900),INDEX(m_label,_xlfn.MAXIFS(m_row,m_teacher,BM$4,m_date,($G$2+28),m_active,1,m_start,"&lt;"&amp;960,m_end,"&gt;"&amp;900))))))</f>
        <v/>
      </c>
      <c r="BN11" s="82" t="str">
        <f aca="false">IF(OR(BN$4="",MONTH(($G$2+28))&lt;&gt;MONTH($C$2)),"",IF(COUNTIFS(m_teacher,BN$4,m_date,($G$2+28),m_active,1,m_start,"&lt;"&amp;960,m_end,"&gt;"&amp;900)=0,"",IF(COUNTIFS(m_teacher,BN$4,m_date,($G$2+28),m_active,1,m_start,"&lt;"&amp;960,m_end,"&gt;"&amp;900)&gt;1,"충돌",HYPERLINK("#'관리자_MASTER'!D"&amp;_xlfn.MAXIFS(m_row,m_teacher,BN$4,m_date,($G$2+28),m_active,1,m_start,"&lt;"&amp;960,m_end,"&gt;"&amp;900),INDEX(m_label,_xlfn.MAXIFS(m_row,m_teacher,BN$4,m_date,($G$2+28),m_active,1,m_start,"&lt;"&amp;960,m_end,"&gt;"&amp;900))))))</f>
        <v/>
      </c>
      <c r="BO11" s="82" t="str">
        <f aca="false">IF(OR(BO$4="",MONTH(($G$2+28))&lt;&gt;MONTH($C$2)),"",IF(COUNTIFS(m_teacher,BO$4,m_date,($G$2+28),m_active,1,m_start,"&lt;"&amp;960,m_end,"&gt;"&amp;900)=0,"",IF(COUNTIFS(m_teacher,BO$4,m_date,($G$2+28),m_active,1,m_start,"&lt;"&amp;960,m_end,"&gt;"&amp;900)&gt;1,"충돌",HYPERLINK("#'관리자_MASTER'!D"&amp;_xlfn.MAXIFS(m_row,m_teacher,BO$4,m_date,($G$2+28),m_active,1,m_start,"&lt;"&amp;960,m_end,"&gt;"&amp;900),INDEX(m_label,_xlfn.MAXIFS(m_row,m_teacher,BO$4,m_date,($G$2+28),m_active,1,m_start,"&lt;"&amp;960,m_end,"&gt;"&amp;900))))))</f>
        <v/>
      </c>
      <c r="BP11" s="82" t="str">
        <f aca="false">IF(OR(BP$4="",MONTH(($G$2+28))&lt;&gt;MONTH($C$2)),"",IF(COUNTIFS(m_teacher,BP$4,m_date,($G$2+28),m_active,1,m_start,"&lt;"&amp;960,m_end,"&gt;"&amp;900)=0,"",IF(COUNTIFS(m_teacher,BP$4,m_date,($G$2+28),m_active,1,m_start,"&lt;"&amp;960,m_end,"&gt;"&amp;900)&gt;1,"충돌",HYPERLINK("#'관리자_MASTER'!D"&amp;_xlfn.MAXIFS(m_row,m_teacher,BP$4,m_date,($G$2+28),m_active,1,m_start,"&lt;"&amp;960,m_end,"&gt;"&amp;900),INDEX(m_label,_xlfn.MAXIFS(m_row,m_teacher,BP$4,m_date,($G$2+28),m_active,1,m_start,"&lt;"&amp;960,m_end,"&gt;"&amp;900))))))</f>
        <v/>
      </c>
      <c r="BQ11" s="82" t="str">
        <f aca="false">IF(OR(BQ$4="",MONTH(($G$2+28))&lt;&gt;MONTH($C$2)),"",IF(COUNTIFS(m_teacher,BQ$4,m_date,($G$2+28),m_active,1,m_start,"&lt;"&amp;960,m_end,"&gt;"&amp;900)=0,"",IF(COUNTIFS(m_teacher,BQ$4,m_date,($G$2+28),m_active,1,m_start,"&lt;"&amp;960,m_end,"&gt;"&amp;900)&gt;1,"충돌",HYPERLINK("#'관리자_MASTER'!D"&amp;_xlfn.MAXIFS(m_row,m_teacher,BQ$4,m_date,($G$2+28),m_active,1,m_start,"&lt;"&amp;960,m_end,"&gt;"&amp;900),INDEX(m_label,_xlfn.MAXIFS(m_row,m_teacher,BQ$4,m_date,($G$2+28),m_active,1,m_start,"&lt;"&amp;960,m_end,"&gt;"&amp;900))))))</f>
        <v/>
      </c>
      <c r="BR11" s="82" t="str">
        <f aca="false">IF(OR(BR$4="",MONTH(($G$2+28))&lt;&gt;MONTH($C$2)),"",IF(COUNTIFS(m_teacher,BR$4,m_date,($G$2+28),m_active,1,m_start,"&lt;"&amp;960,m_end,"&gt;"&amp;900)=0,"",IF(COUNTIFS(m_teacher,BR$4,m_date,($G$2+28),m_active,1,m_start,"&lt;"&amp;960,m_end,"&gt;"&amp;900)&gt;1,"충돌",HYPERLINK("#'관리자_MASTER'!D"&amp;_xlfn.MAXIFS(m_row,m_teacher,BR$4,m_date,($G$2+28),m_active,1,m_start,"&lt;"&amp;960,m_end,"&gt;"&amp;900),INDEX(m_label,_xlfn.MAXIFS(m_row,m_teacher,BR$4,m_date,($G$2+28),m_active,1,m_start,"&lt;"&amp;960,m_end,"&gt;"&amp;900))))))</f>
        <v/>
      </c>
    </row>
    <row r="12" customFormat="false" ht="19.5" hidden="false" customHeight="true" outlineLevel="0" collapsed="false">
      <c r="A12" s="75"/>
      <c r="B12" s="76" t="s">
        <v>98</v>
      </c>
      <c r="C12" s="81" t="str">
        <f aca="false">IF(OR(C$4="",MONTH(($G$2+0))&lt;&gt;MONTH($C$2)),"",IF(COUNTIFS(m_teacher,C$4,m_date,($G$2+0),m_active,1,m_start,"&lt;"&amp;1020,m_end,"&gt;"&amp;960)=0,"",IF(COUNTIFS(m_teacher,C$4,m_date,($G$2+0),m_active,1,m_start,"&lt;"&amp;1020,m_end,"&gt;"&amp;960)&gt;1,"충돌",HYPERLINK("#'관리자_MASTER'!D"&amp;_xlfn.MAXIFS(m_row,m_teacher,C$4,m_date,($G$2+0),m_active,1,m_start,"&lt;"&amp;1020,m_end,"&gt;"&amp;960),INDEX(m_label,_xlfn.MAXIFS(m_row,m_teacher,C$4,m_date,($G$2+0),m_active,1,m_start,"&lt;"&amp;1020,m_end,"&gt;"&amp;960))))))</f>
        <v/>
      </c>
      <c r="D12" s="81" t="str">
        <f aca="false">IF(OR(D$4="",MONTH(($G$2+0))&lt;&gt;MONTH($C$2)),"",IF(COUNTIFS(m_teacher,D$4,m_date,($G$2+0),m_active,1,m_start,"&lt;"&amp;1020,m_end,"&gt;"&amp;960)=0,"",IF(COUNTIFS(m_teacher,D$4,m_date,($G$2+0),m_active,1,m_start,"&lt;"&amp;1020,m_end,"&gt;"&amp;960)&gt;1,"충돌",HYPERLINK("#'관리자_MASTER'!D"&amp;_xlfn.MAXIFS(m_row,m_teacher,D$4,m_date,($G$2+0),m_active,1,m_start,"&lt;"&amp;1020,m_end,"&gt;"&amp;960),INDEX(m_label,_xlfn.MAXIFS(m_row,m_teacher,D$4,m_date,($G$2+0),m_active,1,m_start,"&lt;"&amp;1020,m_end,"&gt;"&amp;960))))))</f>
        <v/>
      </c>
      <c r="E12" s="81" t="str">
        <f aca="false">IF(OR(E$4="",MONTH(($G$2+0))&lt;&gt;MONTH($C$2)),"",IF(COUNTIFS(m_teacher,E$4,m_date,($G$2+0),m_active,1,m_start,"&lt;"&amp;1020,m_end,"&gt;"&amp;960)=0,"",IF(COUNTIFS(m_teacher,E$4,m_date,($G$2+0),m_active,1,m_start,"&lt;"&amp;1020,m_end,"&gt;"&amp;960)&gt;1,"충돌",HYPERLINK("#'관리자_MASTER'!D"&amp;_xlfn.MAXIFS(m_row,m_teacher,E$4,m_date,($G$2+0),m_active,1,m_start,"&lt;"&amp;1020,m_end,"&gt;"&amp;960),INDEX(m_label,_xlfn.MAXIFS(m_row,m_teacher,E$4,m_date,($G$2+0),m_active,1,m_start,"&lt;"&amp;1020,m_end,"&gt;"&amp;960))))))</f>
        <v/>
      </c>
      <c r="F12" s="81" t="str">
        <f aca="false">IF(OR(F$4="",MONTH(($G$2+0))&lt;&gt;MONTH($C$2)),"",IF(COUNTIFS(m_teacher,F$4,m_date,($G$2+0),m_active,1,m_start,"&lt;"&amp;1020,m_end,"&gt;"&amp;960)=0,"",IF(COUNTIFS(m_teacher,F$4,m_date,($G$2+0),m_active,1,m_start,"&lt;"&amp;1020,m_end,"&gt;"&amp;960)&gt;1,"충돌",HYPERLINK("#'관리자_MASTER'!D"&amp;_xlfn.MAXIFS(m_row,m_teacher,F$4,m_date,($G$2+0),m_active,1,m_start,"&lt;"&amp;1020,m_end,"&gt;"&amp;960),INDEX(m_label,_xlfn.MAXIFS(m_row,m_teacher,F$4,m_date,($G$2+0),m_active,1,m_start,"&lt;"&amp;1020,m_end,"&gt;"&amp;960))))))</f>
        <v/>
      </c>
      <c r="G12" s="81" t="str">
        <f aca="false">IF(OR(G$4="",MONTH(($G$2+0))&lt;&gt;MONTH($C$2)),"",IF(COUNTIFS(m_teacher,G$4,m_date,($G$2+0),m_active,1,m_start,"&lt;"&amp;1020,m_end,"&gt;"&amp;960)=0,"",IF(COUNTIFS(m_teacher,G$4,m_date,($G$2+0),m_active,1,m_start,"&lt;"&amp;1020,m_end,"&gt;"&amp;960)&gt;1,"충돌",HYPERLINK("#'관리자_MASTER'!D"&amp;_xlfn.MAXIFS(m_row,m_teacher,G$4,m_date,($G$2+0),m_active,1,m_start,"&lt;"&amp;1020,m_end,"&gt;"&amp;960),INDEX(m_label,_xlfn.MAXIFS(m_row,m_teacher,G$4,m_date,($G$2+0),m_active,1,m_start,"&lt;"&amp;1020,m_end,"&gt;"&amp;960))))))</f>
        <v/>
      </c>
      <c r="H12" s="81" t="str">
        <f aca="false">IF(OR(H$4="",MONTH(($G$2+0))&lt;&gt;MONTH($C$2)),"",IF(COUNTIFS(m_teacher,H$4,m_date,($G$2+0),m_active,1,m_start,"&lt;"&amp;1020,m_end,"&gt;"&amp;960)=0,"",IF(COUNTIFS(m_teacher,H$4,m_date,($G$2+0),m_active,1,m_start,"&lt;"&amp;1020,m_end,"&gt;"&amp;960)&gt;1,"충돌",HYPERLINK("#'관리자_MASTER'!D"&amp;_xlfn.MAXIFS(m_row,m_teacher,H$4,m_date,($G$2+0),m_active,1,m_start,"&lt;"&amp;1020,m_end,"&gt;"&amp;960),INDEX(m_label,_xlfn.MAXIFS(m_row,m_teacher,H$4,m_date,($G$2+0),m_active,1,m_start,"&lt;"&amp;1020,m_end,"&gt;"&amp;960))))))</f>
        <v/>
      </c>
      <c r="I12" s="81" t="str">
        <f aca="false">IF(OR(I$4="",MONTH(($G$2+0))&lt;&gt;MONTH($C$2)),"",IF(COUNTIFS(m_teacher,I$4,m_date,($G$2+0),m_active,1,m_start,"&lt;"&amp;1020,m_end,"&gt;"&amp;960)=0,"",IF(COUNTIFS(m_teacher,I$4,m_date,($G$2+0),m_active,1,m_start,"&lt;"&amp;1020,m_end,"&gt;"&amp;960)&gt;1,"충돌",HYPERLINK("#'관리자_MASTER'!D"&amp;_xlfn.MAXIFS(m_row,m_teacher,I$4,m_date,($G$2+0),m_active,1,m_start,"&lt;"&amp;1020,m_end,"&gt;"&amp;960),INDEX(m_label,_xlfn.MAXIFS(m_row,m_teacher,I$4,m_date,($G$2+0),m_active,1,m_start,"&lt;"&amp;1020,m_end,"&gt;"&amp;960))))))</f>
        <v/>
      </c>
      <c r="J12" s="81" t="str">
        <f aca="false">IF(OR(J$4="",MONTH(($G$2+0))&lt;&gt;MONTH($C$2)),"",IF(COUNTIFS(m_teacher,J$4,m_date,($G$2+0),m_active,1,m_start,"&lt;"&amp;1020,m_end,"&gt;"&amp;960)=0,"",IF(COUNTIFS(m_teacher,J$4,m_date,($G$2+0),m_active,1,m_start,"&lt;"&amp;1020,m_end,"&gt;"&amp;960)&gt;1,"충돌",HYPERLINK("#'관리자_MASTER'!D"&amp;_xlfn.MAXIFS(m_row,m_teacher,J$4,m_date,($G$2+0),m_active,1,m_start,"&lt;"&amp;1020,m_end,"&gt;"&amp;960),INDEX(m_label,_xlfn.MAXIFS(m_row,m_teacher,J$4,m_date,($G$2+0),m_active,1,m_start,"&lt;"&amp;1020,m_end,"&gt;"&amp;960))))))</f>
        <v/>
      </c>
      <c r="K12" s="81" t="str">
        <f aca="false">IF(OR(K$4="",MONTH(($G$2+0))&lt;&gt;MONTH($C$2)),"",IF(COUNTIFS(m_teacher,K$4,m_date,($G$2+0),m_active,1,m_start,"&lt;"&amp;1020,m_end,"&gt;"&amp;960)=0,"",IF(COUNTIFS(m_teacher,K$4,m_date,($G$2+0),m_active,1,m_start,"&lt;"&amp;1020,m_end,"&gt;"&amp;960)&gt;1,"충돌",HYPERLINK("#'관리자_MASTER'!D"&amp;_xlfn.MAXIFS(m_row,m_teacher,K$4,m_date,($G$2+0),m_active,1,m_start,"&lt;"&amp;1020,m_end,"&gt;"&amp;960),INDEX(m_label,_xlfn.MAXIFS(m_row,m_teacher,K$4,m_date,($G$2+0),m_active,1,m_start,"&lt;"&amp;1020,m_end,"&gt;"&amp;960))))))</f>
        <v/>
      </c>
      <c r="L12" s="81" t="str">
        <f aca="false">IF(OR(L$4="",MONTH(($G$2+0))&lt;&gt;MONTH($C$2)),"",IF(COUNTIFS(m_teacher,L$4,m_date,($G$2+0),m_active,1,m_start,"&lt;"&amp;1020,m_end,"&gt;"&amp;960)=0,"",IF(COUNTIFS(m_teacher,L$4,m_date,($G$2+0),m_active,1,m_start,"&lt;"&amp;1020,m_end,"&gt;"&amp;960)&gt;1,"충돌",HYPERLINK("#'관리자_MASTER'!D"&amp;_xlfn.MAXIFS(m_row,m_teacher,L$4,m_date,($G$2+0),m_active,1,m_start,"&lt;"&amp;1020,m_end,"&gt;"&amp;960),INDEX(m_label,_xlfn.MAXIFS(m_row,m_teacher,L$4,m_date,($G$2+0),m_active,1,m_start,"&lt;"&amp;1020,m_end,"&gt;"&amp;960))))))</f>
        <v/>
      </c>
      <c r="M12" s="81" t="str">
        <f aca="false">IF(OR(M$4="",MONTH(($G$2+0))&lt;&gt;MONTH($C$2)),"",IF(COUNTIFS(m_teacher,M$4,m_date,($G$2+0),m_active,1,m_start,"&lt;"&amp;1020,m_end,"&gt;"&amp;960)=0,"",IF(COUNTIFS(m_teacher,M$4,m_date,($G$2+0),m_active,1,m_start,"&lt;"&amp;1020,m_end,"&gt;"&amp;960)&gt;1,"충돌",HYPERLINK("#'관리자_MASTER'!D"&amp;_xlfn.MAXIFS(m_row,m_teacher,M$4,m_date,($G$2+0),m_active,1,m_start,"&lt;"&amp;1020,m_end,"&gt;"&amp;960),INDEX(m_label,_xlfn.MAXIFS(m_row,m_teacher,M$4,m_date,($G$2+0),m_active,1,m_start,"&lt;"&amp;1020,m_end,"&gt;"&amp;960))))))</f>
        <v/>
      </c>
      <c r="N12" s="81" t="str">
        <f aca="false">IF(OR(N$4="",MONTH(($G$2+0))&lt;&gt;MONTH($C$2)),"",IF(COUNTIFS(m_teacher,N$4,m_date,($G$2+0),m_active,1,m_start,"&lt;"&amp;1020,m_end,"&gt;"&amp;960)=0,"",IF(COUNTIFS(m_teacher,N$4,m_date,($G$2+0),m_active,1,m_start,"&lt;"&amp;1020,m_end,"&gt;"&amp;960)&gt;1,"충돌",HYPERLINK("#'관리자_MASTER'!D"&amp;_xlfn.MAXIFS(m_row,m_teacher,N$4,m_date,($G$2+0),m_active,1,m_start,"&lt;"&amp;1020,m_end,"&gt;"&amp;960),INDEX(m_label,_xlfn.MAXIFS(m_row,m_teacher,N$4,m_date,($G$2+0),m_active,1,m_start,"&lt;"&amp;1020,m_end,"&gt;"&amp;960))))))</f>
        <v/>
      </c>
      <c r="O12" s="78"/>
      <c r="P12" s="79" t="s">
        <v>98</v>
      </c>
      <c r="Q12" s="82" t="str">
        <f aca="false">IF(OR(Q$4="",MONTH(($G$2+7))&lt;&gt;MONTH($C$2)),"",IF(COUNTIFS(m_teacher,Q$4,m_date,($G$2+7),m_active,1,m_start,"&lt;"&amp;1020,m_end,"&gt;"&amp;960)=0,"",IF(COUNTIFS(m_teacher,Q$4,m_date,($G$2+7),m_active,1,m_start,"&lt;"&amp;1020,m_end,"&gt;"&amp;960)&gt;1,"충돌",HYPERLINK("#'관리자_MASTER'!D"&amp;_xlfn.MAXIFS(m_row,m_teacher,Q$4,m_date,($G$2+7),m_active,1,m_start,"&lt;"&amp;1020,m_end,"&gt;"&amp;960),INDEX(m_label,_xlfn.MAXIFS(m_row,m_teacher,Q$4,m_date,($G$2+7),m_active,1,m_start,"&lt;"&amp;1020,m_end,"&gt;"&amp;960))))))</f>
        <v/>
      </c>
      <c r="R12" s="82" t="str">
        <f aca="false">IF(OR(R$4="",MONTH(($G$2+7))&lt;&gt;MONTH($C$2)),"",IF(COUNTIFS(m_teacher,R$4,m_date,($G$2+7),m_active,1,m_start,"&lt;"&amp;1020,m_end,"&gt;"&amp;960)=0,"",IF(COUNTIFS(m_teacher,R$4,m_date,($G$2+7),m_active,1,m_start,"&lt;"&amp;1020,m_end,"&gt;"&amp;960)&gt;1,"충돌",HYPERLINK("#'관리자_MASTER'!D"&amp;_xlfn.MAXIFS(m_row,m_teacher,R$4,m_date,($G$2+7),m_active,1,m_start,"&lt;"&amp;1020,m_end,"&gt;"&amp;960),INDEX(m_label,_xlfn.MAXIFS(m_row,m_teacher,R$4,m_date,($G$2+7),m_active,1,m_start,"&lt;"&amp;1020,m_end,"&gt;"&amp;960))))))</f>
        <v/>
      </c>
      <c r="S12" s="82" t="str">
        <f aca="false">IF(OR(S$4="",MONTH(($G$2+7))&lt;&gt;MONTH($C$2)),"",IF(COUNTIFS(m_teacher,S$4,m_date,($G$2+7),m_active,1,m_start,"&lt;"&amp;1020,m_end,"&gt;"&amp;960)=0,"",IF(COUNTIFS(m_teacher,S$4,m_date,($G$2+7),m_active,1,m_start,"&lt;"&amp;1020,m_end,"&gt;"&amp;960)&gt;1,"충돌",HYPERLINK("#'관리자_MASTER'!D"&amp;_xlfn.MAXIFS(m_row,m_teacher,S$4,m_date,($G$2+7),m_active,1,m_start,"&lt;"&amp;1020,m_end,"&gt;"&amp;960),INDEX(m_label,_xlfn.MAXIFS(m_row,m_teacher,S$4,m_date,($G$2+7),m_active,1,m_start,"&lt;"&amp;1020,m_end,"&gt;"&amp;960))))))</f>
        <v/>
      </c>
      <c r="T12" s="82" t="str">
        <f aca="false">IF(OR(T$4="",MONTH(($G$2+7))&lt;&gt;MONTH($C$2)),"",IF(COUNTIFS(m_teacher,T$4,m_date,($G$2+7),m_active,1,m_start,"&lt;"&amp;1020,m_end,"&gt;"&amp;960)=0,"",IF(COUNTIFS(m_teacher,T$4,m_date,($G$2+7),m_active,1,m_start,"&lt;"&amp;1020,m_end,"&gt;"&amp;960)&gt;1,"충돌",HYPERLINK("#'관리자_MASTER'!D"&amp;_xlfn.MAXIFS(m_row,m_teacher,T$4,m_date,($G$2+7),m_active,1,m_start,"&lt;"&amp;1020,m_end,"&gt;"&amp;960),INDEX(m_label,_xlfn.MAXIFS(m_row,m_teacher,T$4,m_date,($G$2+7),m_active,1,m_start,"&lt;"&amp;1020,m_end,"&gt;"&amp;960))))))</f>
        <v/>
      </c>
      <c r="U12" s="82" t="str">
        <f aca="false">IF(OR(U$4="",MONTH(($G$2+7))&lt;&gt;MONTH($C$2)),"",IF(COUNTIFS(m_teacher,U$4,m_date,($G$2+7),m_active,1,m_start,"&lt;"&amp;1020,m_end,"&gt;"&amp;960)=0,"",IF(COUNTIFS(m_teacher,U$4,m_date,($G$2+7),m_active,1,m_start,"&lt;"&amp;1020,m_end,"&gt;"&amp;960)&gt;1,"충돌",HYPERLINK("#'관리자_MASTER'!D"&amp;_xlfn.MAXIFS(m_row,m_teacher,U$4,m_date,($G$2+7),m_active,1,m_start,"&lt;"&amp;1020,m_end,"&gt;"&amp;960),INDEX(m_label,_xlfn.MAXIFS(m_row,m_teacher,U$4,m_date,($G$2+7),m_active,1,m_start,"&lt;"&amp;1020,m_end,"&gt;"&amp;960))))))</f>
        <v/>
      </c>
      <c r="V12" s="82" t="str">
        <f aca="false">IF(OR(V$4="",MONTH(($G$2+7))&lt;&gt;MONTH($C$2)),"",IF(COUNTIFS(m_teacher,V$4,m_date,($G$2+7),m_active,1,m_start,"&lt;"&amp;1020,m_end,"&gt;"&amp;960)=0,"",IF(COUNTIFS(m_teacher,V$4,m_date,($G$2+7),m_active,1,m_start,"&lt;"&amp;1020,m_end,"&gt;"&amp;960)&gt;1,"충돌",HYPERLINK("#'관리자_MASTER'!D"&amp;_xlfn.MAXIFS(m_row,m_teacher,V$4,m_date,($G$2+7),m_active,1,m_start,"&lt;"&amp;1020,m_end,"&gt;"&amp;960),INDEX(m_label,_xlfn.MAXIFS(m_row,m_teacher,V$4,m_date,($G$2+7),m_active,1,m_start,"&lt;"&amp;1020,m_end,"&gt;"&amp;960))))))</f>
        <v/>
      </c>
      <c r="W12" s="82" t="str">
        <f aca="false">IF(OR(W$4="",MONTH(($G$2+7))&lt;&gt;MONTH($C$2)),"",IF(COUNTIFS(m_teacher,W$4,m_date,($G$2+7),m_active,1,m_start,"&lt;"&amp;1020,m_end,"&gt;"&amp;960)=0,"",IF(COUNTIFS(m_teacher,W$4,m_date,($G$2+7),m_active,1,m_start,"&lt;"&amp;1020,m_end,"&gt;"&amp;960)&gt;1,"충돌",HYPERLINK("#'관리자_MASTER'!D"&amp;_xlfn.MAXIFS(m_row,m_teacher,W$4,m_date,($G$2+7),m_active,1,m_start,"&lt;"&amp;1020,m_end,"&gt;"&amp;960),INDEX(m_label,_xlfn.MAXIFS(m_row,m_teacher,W$4,m_date,($G$2+7),m_active,1,m_start,"&lt;"&amp;1020,m_end,"&gt;"&amp;960))))))</f>
        <v/>
      </c>
      <c r="X12" s="82" t="str">
        <f aca="false">IF(OR(X$4="",MONTH(($G$2+7))&lt;&gt;MONTH($C$2)),"",IF(COUNTIFS(m_teacher,X$4,m_date,($G$2+7),m_active,1,m_start,"&lt;"&amp;1020,m_end,"&gt;"&amp;960)=0,"",IF(COUNTIFS(m_teacher,X$4,m_date,($G$2+7),m_active,1,m_start,"&lt;"&amp;1020,m_end,"&gt;"&amp;960)&gt;1,"충돌",HYPERLINK("#'관리자_MASTER'!D"&amp;_xlfn.MAXIFS(m_row,m_teacher,X$4,m_date,($G$2+7),m_active,1,m_start,"&lt;"&amp;1020,m_end,"&gt;"&amp;960),INDEX(m_label,_xlfn.MAXIFS(m_row,m_teacher,X$4,m_date,($G$2+7),m_active,1,m_start,"&lt;"&amp;1020,m_end,"&gt;"&amp;960))))))</f>
        <v/>
      </c>
      <c r="Y12" s="82" t="str">
        <f aca="false">IF(OR(Y$4="",MONTH(($G$2+7))&lt;&gt;MONTH($C$2)),"",IF(COUNTIFS(m_teacher,Y$4,m_date,($G$2+7),m_active,1,m_start,"&lt;"&amp;1020,m_end,"&gt;"&amp;960)=0,"",IF(COUNTIFS(m_teacher,Y$4,m_date,($G$2+7),m_active,1,m_start,"&lt;"&amp;1020,m_end,"&gt;"&amp;960)&gt;1,"충돌",HYPERLINK("#'관리자_MASTER'!D"&amp;_xlfn.MAXIFS(m_row,m_teacher,Y$4,m_date,($G$2+7),m_active,1,m_start,"&lt;"&amp;1020,m_end,"&gt;"&amp;960),INDEX(m_label,_xlfn.MAXIFS(m_row,m_teacher,Y$4,m_date,($G$2+7),m_active,1,m_start,"&lt;"&amp;1020,m_end,"&gt;"&amp;960))))))</f>
        <v/>
      </c>
      <c r="Z12" s="82" t="str">
        <f aca="false">IF(OR(Z$4="",MONTH(($G$2+7))&lt;&gt;MONTH($C$2)),"",IF(COUNTIFS(m_teacher,Z$4,m_date,($G$2+7),m_active,1,m_start,"&lt;"&amp;1020,m_end,"&gt;"&amp;960)=0,"",IF(COUNTIFS(m_teacher,Z$4,m_date,($G$2+7),m_active,1,m_start,"&lt;"&amp;1020,m_end,"&gt;"&amp;960)&gt;1,"충돌",HYPERLINK("#'관리자_MASTER'!D"&amp;_xlfn.MAXIFS(m_row,m_teacher,Z$4,m_date,($G$2+7),m_active,1,m_start,"&lt;"&amp;1020,m_end,"&gt;"&amp;960),INDEX(m_label,_xlfn.MAXIFS(m_row,m_teacher,Z$4,m_date,($G$2+7),m_active,1,m_start,"&lt;"&amp;1020,m_end,"&gt;"&amp;960))))))</f>
        <v/>
      </c>
      <c r="AA12" s="82" t="str">
        <f aca="false">IF(OR(AA$4="",MONTH(($G$2+7))&lt;&gt;MONTH($C$2)),"",IF(COUNTIFS(m_teacher,AA$4,m_date,($G$2+7),m_active,1,m_start,"&lt;"&amp;1020,m_end,"&gt;"&amp;960)=0,"",IF(COUNTIFS(m_teacher,AA$4,m_date,($G$2+7),m_active,1,m_start,"&lt;"&amp;1020,m_end,"&gt;"&amp;960)&gt;1,"충돌",HYPERLINK("#'관리자_MASTER'!D"&amp;_xlfn.MAXIFS(m_row,m_teacher,AA$4,m_date,($G$2+7),m_active,1,m_start,"&lt;"&amp;1020,m_end,"&gt;"&amp;960),INDEX(m_label,_xlfn.MAXIFS(m_row,m_teacher,AA$4,m_date,($G$2+7),m_active,1,m_start,"&lt;"&amp;1020,m_end,"&gt;"&amp;960))))))</f>
        <v/>
      </c>
      <c r="AB12" s="82" t="str">
        <f aca="false">IF(OR(AB$4="",MONTH(($G$2+7))&lt;&gt;MONTH($C$2)),"",IF(COUNTIFS(m_teacher,AB$4,m_date,($G$2+7),m_active,1,m_start,"&lt;"&amp;1020,m_end,"&gt;"&amp;960)=0,"",IF(COUNTIFS(m_teacher,AB$4,m_date,($G$2+7),m_active,1,m_start,"&lt;"&amp;1020,m_end,"&gt;"&amp;960)&gt;1,"충돌",HYPERLINK("#'관리자_MASTER'!D"&amp;_xlfn.MAXIFS(m_row,m_teacher,AB$4,m_date,($G$2+7),m_active,1,m_start,"&lt;"&amp;1020,m_end,"&gt;"&amp;960),INDEX(m_label,_xlfn.MAXIFS(m_row,m_teacher,AB$4,m_date,($G$2+7),m_active,1,m_start,"&lt;"&amp;1020,m_end,"&gt;"&amp;960))))))</f>
        <v/>
      </c>
      <c r="AC12" s="78"/>
      <c r="AD12" s="79" t="s">
        <v>98</v>
      </c>
      <c r="AE12" s="82" t="str">
        <f aca="false">IF(OR(AE$4="",MONTH(($G$2+14))&lt;&gt;MONTH($C$2)),"",IF(COUNTIFS(m_teacher,AE$4,m_date,($G$2+14),m_active,1,m_start,"&lt;"&amp;1020,m_end,"&gt;"&amp;960)=0,"",IF(COUNTIFS(m_teacher,AE$4,m_date,($G$2+14),m_active,1,m_start,"&lt;"&amp;1020,m_end,"&gt;"&amp;960)&gt;1,"충돌",HYPERLINK("#'관리자_MASTER'!D"&amp;_xlfn.MAXIFS(m_row,m_teacher,AE$4,m_date,($G$2+14),m_active,1,m_start,"&lt;"&amp;1020,m_end,"&gt;"&amp;960),INDEX(m_label,_xlfn.MAXIFS(m_row,m_teacher,AE$4,m_date,($G$2+14),m_active,1,m_start,"&lt;"&amp;1020,m_end,"&gt;"&amp;960))))))</f>
        <v/>
      </c>
      <c r="AF12" s="82" t="str">
        <f aca="false">IF(OR(AF$4="",MONTH(($G$2+14))&lt;&gt;MONTH($C$2)),"",IF(COUNTIFS(m_teacher,AF$4,m_date,($G$2+14),m_active,1,m_start,"&lt;"&amp;1020,m_end,"&gt;"&amp;960)=0,"",IF(COUNTIFS(m_teacher,AF$4,m_date,($G$2+14),m_active,1,m_start,"&lt;"&amp;1020,m_end,"&gt;"&amp;960)&gt;1,"충돌",HYPERLINK("#'관리자_MASTER'!D"&amp;_xlfn.MAXIFS(m_row,m_teacher,AF$4,m_date,($G$2+14),m_active,1,m_start,"&lt;"&amp;1020,m_end,"&gt;"&amp;960),INDEX(m_label,_xlfn.MAXIFS(m_row,m_teacher,AF$4,m_date,($G$2+14),m_active,1,m_start,"&lt;"&amp;1020,m_end,"&gt;"&amp;960))))))</f>
        <v/>
      </c>
      <c r="AG12" s="82" t="str">
        <f aca="false">IF(OR(AG$4="",MONTH(($G$2+14))&lt;&gt;MONTH($C$2)),"",IF(COUNTIFS(m_teacher,AG$4,m_date,($G$2+14),m_active,1,m_start,"&lt;"&amp;1020,m_end,"&gt;"&amp;960)=0,"",IF(COUNTIFS(m_teacher,AG$4,m_date,($G$2+14),m_active,1,m_start,"&lt;"&amp;1020,m_end,"&gt;"&amp;960)&gt;1,"충돌",HYPERLINK("#'관리자_MASTER'!D"&amp;_xlfn.MAXIFS(m_row,m_teacher,AG$4,m_date,($G$2+14),m_active,1,m_start,"&lt;"&amp;1020,m_end,"&gt;"&amp;960),INDEX(m_label,_xlfn.MAXIFS(m_row,m_teacher,AG$4,m_date,($G$2+14),m_active,1,m_start,"&lt;"&amp;1020,m_end,"&gt;"&amp;960))))))</f>
        <v/>
      </c>
      <c r="AH12" s="82" t="str">
        <f aca="false">IF(OR(AH$4="",MONTH(($G$2+14))&lt;&gt;MONTH($C$2)),"",IF(COUNTIFS(m_teacher,AH$4,m_date,($G$2+14),m_active,1,m_start,"&lt;"&amp;1020,m_end,"&gt;"&amp;960)=0,"",IF(COUNTIFS(m_teacher,AH$4,m_date,($G$2+14),m_active,1,m_start,"&lt;"&amp;1020,m_end,"&gt;"&amp;960)&gt;1,"충돌",HYPERLINK("#'관리자_MASTER'!D"&amp;_xlfn.MAXIFS(m_row,m_teacher,AH$4,m_date,($G$2+14),m_active,1,m_start,"&lt;"&amp;1020,m_end,"&gt;"&amp;960),INDEX(m_label,_xlfn.MAXIFS(m_row,m_teacher,AH$4,m_date,($G$2+14),m_active,1,m_start,"&lt;"&amp;1020,m_end,"&gt;"&amp;960))))))</f>
        <v/>
      </c>
      <c r="AI12" s="82" t="str">
        <f aca="false">IF(OR(AI$4="",MONTH(($G$2+14))&lt;&gt;MONTH($C$2)),"",IF(COUNTIFS(m_teacher,AI$4,m_date,($G$2+14),m_active,1,m_start,"&lt;"&amp;1020,m_end,"&gt;"&amp;960)=0,"",IF(COUNTIFS(m_teacher,AI$4,m_date,($G$2+14),m_active,1,m_start,"&lt;"&amp;1020,m_end,"&gt;"&amp;960)&gt;1,"충돌",HYPERLINK("#'관리자_MASTER'!D"&amp;_xlfn.MAXIFS(m_row,m_teacher,AI$4,m_date,($G$2+14),m_active,1,m_start,"&lt;"&amp;1020,m_end,"&gt;"&amp;960),INDEX(m_label,_xlfn.MAXIFS(m_row,m_teacher,AI$4,m_date,($G$2+14),m_active,1,m_start,"&lt;"&amp;1020,m_end,"&gt;"&amp;960))))))</f>
        <v/>
      </c>
      <c r="AJ12" s="82" t="str">
        <f aca="false">IF(OR(AJ$4="",MONTH(($G$2+14))&lt;&gt;MONTH($C$2)),"",IF(COUNTIFS(m_teacher,AJ$4,m_date,($G$2+14),m_active,1,m_start,"&lt;"&amp;1020,m_end,"&gt;"&amp;960)=0,"",IF(COUNTIFS(m_teacher,AJ$4,m_date,($G$2+14),m_active,1,m_start,"&lt;"&amp;1020,m_end,"&gt;"&amp;960)&gt;1,"충돌",HYPERLINK("#'관리자_MASTER'!D"&amp;_xlfn.MAXIFS(m_row,m_teacher,AJ$4,m_date,($G$2+14),m_active,1,m_start,"&lt;"&amp;1020,m_end,"&gt;"&amp;960),INDEX(m_label,_xlfn.MAXIFS(m_row,m_teacher,AJ$4,m_date,($G$2+14),m_active,1,m_start,"&lt;"&amp;1020,m_end,"&gt;"&amp;960))))))</f>
        <v/>
      </c>
      <c r="AK12" s="82" t="str">
        <f aca="false">IF(OR(AK$4="",MONTH(($G$2+14))&lt;&gt;MONTH($C$2)),"",IF(COUNTIFS(m_teacher,AK$4,m_date,($G$2+14),m_active,1,m_start,"&lt;"&amp;1020,m_end,"&gt;"&amp;960)=0,"",IF(COUNTIFS(m_teacher,AK$4,m_date,($G$2+14),m_active,1,m_start,"&lt;"&amp;1020,m_end,"&gt;"&amp;960)&gt;1,"충돌",HYPERLINK("#'관리자_MASTER'!D"&amp;_xlfn.MAXIFS(m_row,m_teacher,AK$4,m_date,($G$2+14),m_active,1,m_start,"&lt;"&amp;1020,m_end,"&gt;"&amp;960),INDEX(m_label,_xlfn.MAXIFS(m_row,m_teacher,AK$4,m_date,($G$2+14),m_active,1,m_start,"&lt;"&amp;1020,m_end,"&gt;"&amp;960))))))</f>
        <v/>
      </c>
      <c r="AL12" s="82" t="str">
        <f aca="false">IF(OR(AL$4="",MONTH(($G$2+14))&lt;&gt;MONTH($C$2)),"",IF(COUNTIFS(m_teacher,AL$4,m_date,($G$2+14),m_active,1,m_start,"&lt;"&amp;1020,m_end,"&gt;"&amp;960)=0,"",IF(COUNTIFS(m_teacher,AL$4,m_date,($G$2+14),m_active,1,m_start,"&lt;"&amp;1020,m_end,"&gt;"&amp;960)&gt;1,"충돌",HYPERLINK("#'관리자_MASTER'!D"&amp;_xlfn.MAXIFS(m_row,m_teacher,AL$4,m_date,($G$2+14),m_active,1,m_start,"&lt;"&amp;1020,m_end,"&gt;"&amp;960),INDEX(m_label,_xlfn.MAXIFS(m_row,m_teacher,AL$4,m_date,($G$2+14),m_active,1,m_start,"&lt;"&amp;1020,m_end,"&gt;"&amp;960))))))</f>
        <v/>
      </c>
      <c r="AM12" s="82" t="str">
        <f aca="false">IF(OR(AM$4="",MONTH(($G$2+14))&lt;&gt;MONTH($C$2)),"",IF(COUNTIFS(m_teacher,AM$4,m_date,($G$2+14),m_active,1,m_start,"&lt;"&amp;1020,m_end,"&gt;"&amp;960)=0,"",IF(COUNTIFS(m_teacher,AM$4,m_date,($G$2+14),m_active,1,m_start,"&lt;"&amp;1020,m_end,"&gt;"&amp;960)&gt;1,"충돌",HYPERLINK("#'관리자_MASTER'!D"&amp;_xlfn.MAXIFS(m_row,m_teacher,AM$4,m_date,($G$2+14),m_active,1,m_start,"&lt;"&amp;1020,m_end,"&gt;"&amp;960),INDEX(m_label,_xlfn.MAXIFS(m_row,m_teacher,AM$4,m_date,($G$2+14),m_active,1,m_start,"&lt;"&amp;1020,m_end,"&gt;"&amp;960))))))</f>
        <v/>
      </c>
      <c r="AN12" s="82" t="str">
        <f aca="false">IF(OR(AN$4="",MONTH(($G$2+14))&lt;&gt;MONTH($C$2)),"",IF(COUNTIFS(m_teacher,AN$4,m_date,($G$2+14),m_active,1,m_start,"&lt;"&amp;1020,m_end,"&gt;"&amp;960)=0,"",IF(COUNTIFS(m_teacher,AN$4,m_date,($G$2+14),m_active,1,m_start,"&lt;"&amp;1020,m_end,"&gt;"&amp;960)&gt;1,"충돌",HYPERLINK("#'관리자_MASTER'!D"&amp;_xlfn.MAXIFS(m_row,m_teacher,AN$4,m_date,($G$2+14),m_active,1,m_start,"&lt;"&amp;1020,m_end,"&gt;"&amp;960),INDEX(m_label,_xlfn.MAXIFS(m_row,m_teacher,AN$4,m_date,($G$2+14),m_active,1,m_start,"&lt;"&amp;1020,m_end,"&gt;"&amp;960))))))</f>
        <v/>
      </c>
      <c r="AO12" s="82" t="str">
        <f aca="false">IF(OR(AO$4="",MONTH(($G$2+14))&lt;&gt;MONTH($C$2)),"",IF(COUNTIFS(m_teacher,AO$4,m_date,($G$2+14),m_active,1,m_start,"&lt;"&amp;1020,m_end,"&gt;"&amp;960)=0,"",IF(COUNTIFS(m_teacher,AO$4,m_date,($G$2+14),m_active,1,m_start,"&lt;"&amp;1020,m_end,"&gt;"&amp;960)&gt;1,"충돌",HYPERLINK("#'관리자_MASTER'!D"&amp;_xlfn.MAXIFS(m_row,m_teacher,AO$4,m_date,($G$2+14),m_active,1,m_start,"&lt;"&amp;1020,m_end,"&gt;"&amp;960),INDEX(m_label,_xlfn.MAXIFS(m_row,m_teacher,AO$4,m_date,($G$2+14),m_active,1,m_start,"&lt;"&amp;1020,m_end,"&gt;"&amp;960))))))</f>
        <v/>
      </c>
      <c r="AP12" s="82" t="str">
        <f aca="false">IF(OR(AP$4="",MONTH(($G$2+14))&lt;&gt;MONTH($C$2)),"",IF(COUNTIFS(m_teacher,AP$4,m_date,($G$2+14),m_active,1,m_start,"&lt;"&amp;1020,m_end,"&gt;"&amp;960)=0,"",IF(COUNTIFS(m_teacher,AP$4,m_date,($G$2+14),m_active,1,m_start,"&lt;"&amp;1020,m_end,"&gt;"&amp;960)&gt;1,"충돌",HYPERLINK("#'관리자_MASTER'!D"&amp;_xlfn.MAXIFS(m_row,m_teacher,AP$4,m_date,($G$2+14),m_active,1,m_start,"&lt;"&amp;1020,m_end,"&gt;"&amp;960),INDEX(m_label,_xlfn.MAXIFS(m_row,m_teacher,AP$4,m_date,($G$2+14),m_active,1,m_start,"&lt;"&amp;1020,m_end,"&gt;"&amp;960))))))</f>
        <v/>
      </c>
      <c r="AQ12" s="78"/>
      <c r="AR12" s="79" t="s">
        <v>98</v>
      </c>
      <c r="AS12" s="82" t="str">
        <f aca="false">IF(OR(AS$4="",MONTH(($G$2+21))&lt;&gt;MONTH($C$2)),"",IF(COUNTIFS(m_teacher,AS$4,m_date,($G$2+21),m_active,1,m_start,"&lt;"&amp;1020,m_end,"&gt;"&amp;960)=0,"",IF(COUNTIFS(m_teacher,AS$4,m_date,($G$2+21),m_active,1,m_start,"&lt;"&amp;1020,m_end,"&gt;"&amp;960)&gt;1,"충돌",HYPERLINK("#'관리자_MASTER'!D"&amp;_xlfn.MAXIFS(m_row,m_teacher,AS$4,m_date,($G$2+21),m_active,1,m_start,"&lt;"&amp;1020,m_end,"&gt;"&amp;960),INDEX(m_label,_xlfn.MAXIFS(m_row,m_teacher,AS$4,m_date,($G$2+21),m_active,1,m_start,"&lt;"&amp;1020,m_end,"&gt;"&amp;960))))))</f>
        <v/>
      </c>
      <c r="AT12" s="82" t="str">
        <f aca="false">IF(OR(AT$4="",MONTH(($G$2+21))&lt;&gt;MONTH($C$2)),"",IF(COUNTIFS(m_teacher,AT$4,m_date,($G$2+21),m_active,1,m_start,"&lt;"&amp;1020,m_end,"&gt;"&amp;960)=0,"",IF(COUNTIFS(m_teacher,AT$4,m_date,($G$2+21),m_active,1,m_start,"&lt;"&amp;1020,m_end,"&gt;"&amp;960)&gt;1,"충돌",HYPERLINK("#'관리자_MASTER'!D"&amp;_xlfn.MAXIFS(m_row,m_teacher,AT$4,m_date,($G$2+21),m_active,1,m_start,"&lt;"&amp;1020,m_end,"&gt;"&amp;960),INDEX(m_label,_xlfn.MAXIFS(m_row,m_teacher,AT$4,m_date,($G$2+21),m_active,1,m_start,"&lt;"&amp;1020,m_end,"&gt;"&amp;960))))))</f>
        <v/>
      </c>
      <c r="AU12" s="82" t="str">
        <f aca="false">IF(OR(AU$4="",MONTH(($G$2+21))&lt;&gt;MONTH($C$2)),"",IF(COUNTIFS(m_teacher,AU$4,m_date,($G$2+21),m_active,1,m_start,"&lt;"&amp;1020,m_end,"&gt;"&amp;960)=0,"",IF(COUNTIFS(m_teacher,AU$4,m_date,($G$2+21),m_active,1,m_start,"&lt;"&amp;1020,m_end,"&gt;"&amp;960)&gt;1,"충돌",HYPERLINK("#'관리자_MASTER'!D"&amp;_xlfn.MAXIFS(m_row,m_teacher,AU$4,m_date,($G$2+21),m_active,1,m_start,"&lt;"&amp;1020,m_end,"&gt;"&amp;960),INDEX(m_label,_xlfn.MAXIFS(m_row,m_teacher,AU$4,m_date,($G$2+21),m_active,1,m_start,"&lt;"&amp;1020,m_end,"&gt;"&amp;960))))))</f>
        <v/>
      </c>
      <c r="AV12" s="82" t="str">
        <f aca="false">IF(OR(AV$4="",MONTH(($G$2+21))&lt;&gt;MONTH($C$2)),"",IF(COUNTIFS(m_teacher,AV$4,m_date,($G$2+21),m_active,1,m_start,"&lt;"&amp;1020,m_end,"&gt;"&amp;960)=0,"",IF(COUNTIFS(m_teacher,AV$4,m_date,($G$2+21),m_active,1,m_start,"&lt;"&amp;1020,m_end,"&gt;"&amp;960)&gt;1,"충돌",HYPERLINK("#'관리자_MASTER'!D"&amp;_xlfn.MAXIFS(m_row,m_teacher,AV$4,m_date,($G$2+21),m_active,1,m_start,"&lt;"&amp;1020,m_end,"&gt;"&amp;960),INDEX(m_label,_xlfn.MAXIFS(m_row,m_teacher,AV$4,m_date,($G$2+21),m_active,1,m_start,"&lt;"&amp;1020,m_end,"&gt;"&amp;960))))))</f>
        <v/>
      </c>
      <c r="AW12" s="82" t="str">
        <f aca="false">IF(OR(AW$4="",MONTH(($G$2+21))&lt;&gt;MONTH($C$2)),"",IF(COUNTIFS(m_teacher,AW$4,m_date,($G$2+21),m_active,1,m_start,"&lt;"&amp;1020,m_end,"&gt;"&amp;960)=0,"",IF(COUNTIFS(m_teacher,AW$4,m_date,($G$2+21),m_active,1,m_start,"&lt;"&amp;1020,m_end,"&gt;"&amp;960)&gt;1,"충돌",HYPERLINK("#'관리자_MASTER'!D"&amp;_xlfn.MAXIFS(m_row,m_teacher,AW$4,m_date,($G$2+21),m_active,1,m_start,"&lt;"&amp;1020,m_end,"&gt;"&amp;960),INDEX(m_label,_xlfn.MAXIFS(m_row,m_teacher,AW$4,m_date,($G$2+21),m_active,1,m_start,"&lt;"&amp;1020,m_end,"&gt;"&amp;960))))))</f>
        <v/>
      </c>
      <c r="AX12" s="82" t="str">
        <f aca="false">IF(OR(AX$4="",MONTH(($G$2+21))&lt;&gt;MONTH($C$2)),"",IF(COUNTIFS(m_teacher,AX$4,m_date,($G$2+21),m_active,1,m_start,"&lt;"&amp;1020,m_end,"&gt;"&amp;960)=0,"",IF(COUNTIFS(m_teacher,AX$4,m_date,($G$2+21),m_active,1,m_start,"&lt;"&amp;1020,m_end,"&gt;"&amp;960)&gt;1,"충돌",HYPERLINK("#'관리자_MASTER'!D"&amp;_xlfn.MAXIFS(m_row,m_teacher,AX$4,m_date,($G$2+21),m_active,1,m_start,"&lt;"&amp;1020,m_end,"&gt;"&amp;960),INDEX(m_label,_xlfn.MAXIFS(m_row,m_teacher,AX$4,m_date,($G$2+21),m_active,1,m_start,"&lt;"&amp;1020,m_end,"&gt;"&amp;960))))))</f>
        <v/>
      </c>
      <c r="AY12" s="82" t="str">
        <f aca="false">IF(OR(AY$4="",MONTH(($G$2+21))&lt;&gt;MONTH($C$2)),"",IF(COUNTIFS(m_teacher,AY$4,m_date,($G$2+21),m_active,1,m_start,"&lt;"&amp;1020,m_end,"&gt;"&amp;960)=0,"",IF(COUNTIFS(m_teacher,AY$4,m_date,($G$2+21),m_active,1,m_start,"&lt;"&amp;1020,m_end,"&gt;"&amp;960)&gt;1,"충돌",HYPERLINK("#'관리자_MASTER'!D"&amp;_xlfn.MAXIFS(m_row,m_teacher,AY$4,m_date,($G$2+21),m_active,1,m_start,"&lt;"&amp;1020,m_end,"&gt;"&amp;960),INDEX(m_label,_xlfn.MAXIFS(m_row,m_teacher,AY$4,m_date,($G$2+21),m_active,1,m_start,"&lt;"&amp;1020,m_end,"&gt;"&amp;960))))))</f>
        <v/>
      </c>
      <c r="AZ12" s="82" t="str">
        <f aca="false">IF(OR(AZ$4="",MONTH(($G$2+21))&lt;&gt;MONTH($C$2)),"",IF(COUNTIFS(m_teacher,AZ$4,m_date,($G$2+21),m_active,1,m_start,"&lt;"&amp;1020,m_end,"&gt;"&amp;960)=0,"",IF(COUNTIFS(m_teacher,AZ$4,m_date,($G$2+21),m_active,1,m_start,"&lt;"&amp;1020,m_end,"&gt;"&amp;960)&gt;1,"충돌",HYPERLINK("#'관리자_MASTER'!D"&amp;_xlfn.MAXIFS(m_row,m_teacher,AZ$4,m_date,($G$2+21),m_active,1,m_start,"&lt;"&amp;1020,m_end,"&gt;"&amp;960),INDEX(m_label,_xlfn.MAXIFS(m_row,m_teacher,AZ$4,m_date,($G$2+21),m_active,1,m_start,"&lt;"&amp;1020,m_end,"&gt;"&amp;960))))))</f>
        <v/>
      </c>
      <c r="BA12" s="82" t="str">
        <f aca="false">IF(OR(BA$4="",MONTH(($G$2+21))&lt;&gt;MONTH($C$2)),"",IF(COUNTIFS(m_teacher,BA$4,m_date,($G$2+21),m_active,1,m_start,"&lt;"&amp;1020,m_end,"&gt;"&amp;960)=0,"",IF(COUNTIFS(m_teacher,BA$4,m_date,($G$2+21),m_active,1,m_start,"&lt;"&amp;1020,m_end,"&gt;"&amp;960)&gt;1,"충돌",HYPERLINK("#'관리자_MASTER'!D"&amp;_xlfn.MAXIFS(m_row,m_teacher,BA$4,m_date,($G$2+21),m_active,1,m_start,"&lt;"&amp;1020,m_end,"&gt;"&amp;960),INDEX(m_label,_xlfn.MAXIFS(m_row,m_teacher,BA$4,m_date,($G$2+21),m_active,1,m_start,"&lt;"&amp;1020,m_end,"&gt;"&amp;960))))))</f>
        <v/>
      </c>
      <c r="BB12" s="82" t="str">
        <f aca="false">IF(OR(BB$4="",MONTH(($G$2+21))&lt;&gt;MONTH($C$2)),"",IF(COUNTIFS(m_teacher,BB$4,m_date,($G$2+21),m_active,1,m_start,"&lt;"&amp;1020,m_end,"&gt;"&amp;960)=0,"",IF(COUNTIFS(m_teacher,BB$4,m_date,($G$2+21),m_active,1,m_start,"&lt;"&amp;1020,m_end,"&gt;"&amp;960)&gt;1,"충돌",HYPERLINK("#'관리자_MASTER'!D"&amp;_xlfn.MAXIFS(m_row,m_teacher,BB$4,m_date,($G$2+21),m_active,1,m_start,"&lt;"&amp;1020,m_end,"&gt;"&amp;960),INDEX(m_label,_xlfn.MAXIFS(m_row,m_teacher,BB$4,m_date,($G$2+21),m_active,1,m_start,"&lt;"&amp;1020,m_end,"&gt;"&amp;960))))))</f>
        <v/>
      </c>
      <c r="BC12" s="82" t="str">
        <f aca="false">IF(OR(BC$4="",MONTH(($G$2+21))&lt;&gt;MONTH($C$2)),"",IF(COUNTIFS(m_teacher,BC$4,m_date,($G$2+21),m_active,1,m_start,"&lt;"&amp;1020,m_end,"&gt;"&amp;960)=0,"",IF(COUNTIFS(m_teacher,BC$4,m_date,($G$2+21),m_active,1,m_start,"&lt;"&amp;1020,m_end,"&gt;"&amp;960)&gt;1,"충돌",HYPERLINK("#'관리자_MASTER'!D"&amp;_xlfn.MAXIFS(m_row,m_teacher,BC$4,m_date,($G$2+21),m_active,1,m_start,"&lt;"&amp;1020,m_end,"&gt;"&amp;960),INDEX(m_label,_xlfn.MAXIFS(m_row,m_teacher,BC$4,m_date,($G$2+21),m_active,1,m_start,"&lt;"&amp;1020,m_end,"&gt;"&amp;960))))))</f>
        <v/>
      </c>
      <c r="BD12" s="82" t="str">
        <f aca="false">IF(OR(BD$4="",MONTH(($G$2+21))&lt;&gt;MONTH($C$2)),"",IF(COUNTIFS(m_teacher,BD$4,m_date,($G$2+21),m_active,1,m_start,"&lt;"&amp;1020,m_end,"&gt;"&amp;960)=0,"",IF(COUNTIFS(m_teacher,BD$4,m_date,($G$2+21),m_active,1,m_start,"&lt;"&amp;1020,m_end,"&gt;"&amp;960)&gt;1,"충돌",HYPERLINK("#'관리자_MASTER'!D"&amp;_xlfn.MAXIFS(m_row,m_teacher,BD$4,m_date,($G$2+21),m_active,1,m_start,"&lt;"&amp;1020,m_end,"&gt;"&amp;960),INDEX(m_label,_xlfn.MAXIFS(m_row,m_teacher,BD$4,m_date,($G$2+21),m_active,1,m_start,"&lt;"&amp;1020,m_end,"&gt;"&amp;960))))))</f>
        <v/>
      </c>
      <c r="BE12" s="78"/>
      <c r="BF12" s="79" t="s">
        <v>98</v>
      </c>
      <c r="BG12" s="82" t="str">
        <f aca="false">IF(OR(BG$4="",MONTH(($G$2+28))&lt;&gt;MONTH($C$2)),"",IF(COUNTIFS(m_teacher,BG$4,m_date,($G$2+28),m_active,1,m_start,"&lt;"&amp;1020,m_end,"&gt;"&amp;960)=0,"",IF(COUNTIFS(m_teacher,BG$4,m_date,($G$2+28),m_active,1,m_start,"&lt;"&amp;1020,m_end,"&gt;"&amp;960)&gt;1,"충돌",HYPERLINK("#'관리자_MASTER'!D"&amp;_xlfn.MAXIFS(m_row,m_teacher,BG$4,m_date,($G$2+28),m_active,1,m_start,"&lt;"&amp;1020,m_end,"&gt;"&amp;960),INDEX(m_label,_xlfn.MAXIFS(m_row,m_teacher,BG$4,m_date,($G$2+28),m_active,1,m_start,"&lt;"&amp;1020,m_end,"&gt;"&amp;960))))))</f>
        <v/>
      </c>
      <c r="BH12" s="82" t="str">
        <f aca="false">IF(OR(BH$4="",MONTH(($G$2+28))&lt;&gt;MONTH($C$2)),"",IF(COUNTIFS(m_teacher,BH$4,m_date,($G$2+28),m_active,1,m_start,"&lt;"&amp;1020,m_end,"&gt;"&amp;960)=0,"",IF(COUNTIFS(m_teacher,BH$4,m_date,($G$2+28),m_active,1,m_start,"&lt;"&amp;1020,m_end,"&gt;"&amp;960)&gt;1,"충돌",HYPERLINK("#'관리자_MASTER'!D"&amp;_xlfn.MAXIFS(m_row,m_teacher,BH$4,m_date,($G$2+28),m_active,1,m_start,"&lt;"&amp;1020,m_end,"&gt;"&amp;960),INDEX(m_label,_xlfn.MAXIFS(m_row,m_teacher,BH$4,m_date,($G$2+28),m_active,1,m_start,"&lt;"&amp;1020,m_end,"&gt;"&amp;960))))))</f>
        <v/>
      </c>
      <c r="BI12" s="82" t="str">
        <f aca="false">IF(OR(BI$4="",MONTH(($G$2+28))&lt;&gt;MONTH($C$2)),"",IF(COUNTIFS(m_teacher,BI$4,m_date,($G$2+28),m_active,1,m_start,"&lt;"&amp;1020,m_end,"&gt;"&amp;960)=0,"",IF(COUNTIFS(m_teacher,BI$4,m_date,($G$2+28),m_active,1,m_start,"&lt;"&amp;1020,m_end,"&gt;"&amp;960)&gt;1,"충돌",HYPERLINK("#'관리자_MASTER'!D"&amp;_xlfn.MAXIFS(m_row,m_teacher,BI$4,m_date,($G$2+28),m_active,1,m_start,"&lt;"&amp;1020,m_end,"&gt;"&amp;960),INDEX(m_label,_xlfn.MAXIFS(m_row,m_teacher,BI$4,m_date,($G$2+28),m_active,1,m_start,"&lt;"&amp;1020,m_end,"&gt;"&amp;960))))))</f>
        <v/>
      </c>
      <c r="BJ12" s="82" t="str">
        <f aca="false">IF(OR(BJ$4="",MONTH(($G$2+28))&lt;&gt;MONTH($C$2)),"",IF(COUNTIFS(m_teacher,BJ$4,m_date,($G$2+28),m_active,1,m_start,"&lt;"&amp;1020,m_end,"&gt;"&amp;960)=0,"",IF(COUNTIFS(m_teacher,BJ$4,m_date,($G$2+28),m_active,1,m_start,"&lt;"&amp;1020,m_end,"&gt;"&amp;960)&gt;1,"충돌",HYPERLINK("#'관리자_MASTER'!D"&amp;_xlfn.MAXIFS(m_row,m_teacher,BJ$4,m_date,($G$2+28),m_active,1,m_start,"&lt;"&amp;1020,m_end,"&gt;"&amp;960),INDEX(m_label,_xlfn.MAXIFS(m_row,m_teacher,BJ$4,m_date,($G$2+28),m_active,1,m_start,"&lt;"&amp;1020,m_end,"&gt;"&amp;960))))))</f>
        <v/>
      </c>
      <c r="BK12" s="82" t="str">
        <f aca="false">IF(OR(BK$4="",MONTH(($G$2+28))&lt;&gt;MONTH($C$2)),"",IF(COUNTIFS(m_teacher,BK$4,m_date,($G$2+28),m_active,1,m_start,"&lt;"&amp;1020,m_end,"&gt;"&amp;960)=0,"",IF(COUNTIFS(m_teacher,BK$4,m_date,($G$2+28),m_active,1,m_start,"&lt;"&amp;1020,m_end,"&gt;"&amp;960)&gt;1,"충돌",HYPERLINK("#'관리자_MASTER'!D"&amp;_xlfn.MAXIFS(m_row,m_teacher,BK$4,m_date,($G$2+28),m_active,1,m_start,"&lt;"&amp;1020,m_end,"&gt;"&amp;960),INDEX(m_label,_xlfn.MAXIFS(m_row,m_teacher,BK$4,m_date,($G$2+28),m_active,1,m_start,"&lt;"&amp;1020,m_end,"&gt;"&amp;960))))))</f>
        <v/>
      </c>
      <c r="BL12" s="82" t="str">
        <f aca="false">IF(OR(BL$4="",MONTH(($G$2+28))&lt;&gt;MONTH($C$2)),"",IF(COUNTIFS(m_teacher,BL$4,m_date,($G$2+28),m_active,1,m_start,"&lt;"&amp;1020,m_end,"&gt;"&amp;960)=0,"",IF(COUNTIFS(m_teacher,BL$4,m_date,($G$2+28),m_active,1,m_start,"&lt;"&amp;1020,m_end,"&gt;"&amp;960)&gt;1,"충돌",HYPERLINK("#'관리자_MASTER'!D"&amp;_xlfn.MAXIFS(m_row,m_teacher,BL$4,m_date,($G$2+28),m_active,1,m_start,"&lt;"&amp;1020,m_end,"&gt;"&amp;960),INDEX(m_label,_xlfn.MAXIFS(m_row,m_teacher,BL$4,m_date,($G$2+28),m_active,1,m_start,"&lt;"&amp;1020,m_end,"&gt;"&amp;960))))))</f>
        <v/>
      </c>
      <c r="BM12" s="82" t="str">
        <f aca="false">IF(OR(BM$4="",MONTH(($G$2+28))&lt;&gt;MONTH($C$2)),"",IF(COUNTIFS(m_teacher,BM$4,m_date,($G$2+28),m_active,1,m_start,"&lt;"&amp;1020,m_end,"&gt;"&amp;960)=0,"",IF(COUNTIFS(m_teacher,BM$4,m_date,($G$2+28),m_active,1,m_start,"&lt;"&amp;1020,m_end,"&gt;"&amp;960)&gt;1,"충돌",HYPERLINK("#'관리자_MASTER'!D"&amp;_xlfn.MAXIFS(m_row,m_teacher,BM$4,m_date,($G$2+28),m_active,1,m_start,"&lt;"&amp;1020,m_end,"&gt;"&amp;960),INDEX(m_label,_xlfn.MAXIFS(m_row,m_teacher,BM$4,m_date,($G$2+28),m_active,1,m_start,"&lt;"&amp;1020,m_end,"&gt;"&amp;960))))))</f>
        <v/>
      </c>
      <c r="BN12" s="82" t="str">
        <f aca="false">IF(OR(BN$4="",MONTH(($G$2+28))&lt;&gt;MONTH($C$2)),"",IF(COUNTIFS(m_teacher,BN$4,m_date,($G$2+28),m_active,1,m_start,"&lt;"&amp;1020,m_end,"&gt;"&amp;960)=0,"",IF(COUNTIFS(m_teacher,BN$4,m_date,($G$2+28),m_active,1,m_start,"&lt;"&amp;1020,m_end,"&gt;"&amp;960)&gt;1,"충돌",HYPERLINK("#'관리자_MASTER'!D"&amp;_xlfn.MAXIFS(m_row,m_teacher,BN$4,m_date,($G$2+28),m_active,1,m_start,"&lt;"&amp;1020,m_end,"&gt;"&amp;960),INDEX(m_label,_xlfn.MAXIFS(m_row,m_teacher,BN$4,m_date,($G$2+28),m_active,1,m_start,"&lt;"&amp;1020,m_end,"&gt;"&amp;960))))))</f>
        <v/>
      </c>
      <c r="BO12" s="82" t="str">
        <f aca="false">IF(OR(BO$4="",MONTH(($G$2+28))&lt;&gt;MONTH($C$2)),"",IF(COUNTIFS(m_teacher,BO$4,m_date,($G$2+28),m_active,1,m_start,"&lt;"&amp;1020,m_end,"&gt;"&amp;960)=0,"",IF(COUNTIFS(m_teacher,BO$4,m_date,($G$2+28),m_active,1,m_start,"&lt;"&amp;1020,m_end,"&gt;"&amp;960)&gt;1,"충돌",HYPERLINK("#'관리자_MASTER'!D"&amp;_xlfn.MAXIFS(m_row,m_teacher,BO$4,m_date,($G$2+28),m_active,1,m_start,"&lt;"&amp;1020,m_end,"&gt;"&amp;960),INDEX(m_label,_xlfn.MAXIFS(m_row,m_teacher,BO$4,m_date,($G$2+28),m_active,1,m_start,"&lt;"&amp;1020,m_end,"&gt;"&amp;960))))))</f>
        <v/>
      </c>
      <c r="BP12" s="82" t="str">
        <f aca="false">IF(OR(BP$4="",MONTH(($G$2+28))&lt;&gt;MONTH($C$2)),"",IF(COUNTIFS(m_teacher,BP$4,m_date,($G$2+28),m_active,1,m_start,"&lt;"&amp;1020,m_end,"&gt;"&amp;960)=0,"",IF(COUNTIFS(m_teacher,BP$4,m_date,($G$2+28),m_active,1,m_start,"&lt;"&amp;1020,m_end,"&gt;"&amp;960)&gt;1,"충돌",HYPERLINK("#'관리자_MASTER'!D"&amp;_xlfn.MAXIFS(m_row,m_teacher,BP$4,m_date,($G$2+28),m_active,1,m_start,"&lt;"&amp;1020,m_end,"&gt;"&amp;960),INDEX(m_label,_xlfn.MAXIFS(m_row,m_teacher,BP$4,m_date,($G$2+28),m_active,1,m_start,"&lt;"&amp;1020,m_end,"&gt;"&amp;960))))))</f>
        <v/>
      </c>
      <c r="BQ12" s="82" t="str">
        <f aca="false">IF(OR(BQ$4="",MONTH(($G$2+28))&lt;&gt;MONTH($C$2)),"",IF(COUNTIFS(m_teacher,BQ$4,m_date,($G$2+28),m_active,1,m_start,"&lt;"&amp;1020,m_end,"&gt;"&amp;960)=0,"",IF(COUNTIFS(m_teacher,BQ$4,m_date,($G$2+28),m_active,1,m_start,"&lt;"&amp;1020,m_end,"&gt;"&amp;960)&gt;1,"충돌",HYPERLINK("#'관리자_MASTER'!D"&amp;_xlfn.MAXIFS(m_row,m_teacher,BQ$4,m_date,($G$2+28),m_active,1,m_start,"&lt;"&amp;1020,m_end,"&gt;"&amp;960),INDEX(m_label,_xlfn.MAXIFS(m_row,m_teacher,BQ$4,m_date,($G$2+28),m_active,1,m_start,"&lt;"&amp;1020,m_end,"&gt;"&amp;960))))))</f>
        <v/>
      </c>
      <c r="BR12" s="82" t="str">
        <f aca="false">IF(OR(BR$4="",MONTH(($G$2+28))&lt;&gt;MONTH($C$2)),"",IF(COUNTIFS(m_teacher,BR$4,m_date,($G$2+28),m_active,1,m_start,"&lt;"&amp;1020,m_end,"&gt;"&amp;960)=0,"",IF(COUNTIFS(m_teacher,BR$4,m_date,($G$2+28),m_active,1,m_start,"&lt;"&amp;1020,m_end,"&gt;"&amp;960)&gt;1,"충돌",HYPERLINK("#'관리자_MASTER'!D"&amp;_xlfn.MAXIFS(m_row,m_teacher,BR$4,m_date,($G$2+28),m_active,1,m_start,"&lt;"&amp;1020,m_end,"&gt;"&amp;960),INDEX(m_label,_xlfn.MAXIFS(m_row,m_teacher,BR$4,m_date,($G$2+28),m_active,1,m_start,"&lt;"&amp;1020,m_end,"&gt;"&amp;960))))))</f>
        <v/>
      </c>
    </row>
    <row r="13" customFormat="false" ht="19.5" hidden="false" customHeight="true" outlineLevel="0" collapsed="false">
      <c r="A13" s="75"/>
      <c r="B13" s="76" t="s">
        <v>99</v>
      </c>
      <c r="C13" s="81" t="str">
        <f aca="false">IF(OR(C$4="",MONTH(($G$2+0))&lt;&gt;MONTH($C$2)),"",IF(COUNTIFS(m_teacher,C$4,m_date,($G$2+0),m_active,1,m_start,"&lt;"&amp;1080,m_end,"&gt;"&amp;1020)=0,"",IF(COUNTIFS(m_teacher,C$4,m_date,($G$2+0),m_active,1,m_start,"&lt;"&amp;1080,m_end,"&gt;"&amp;1020)&gt;1,"충돌",HYPERLINK("#'관리자_MASTER'!D"&amp;_xlfn.MAXIFS(m_row,m_teacher,C$4,m_date,($G$2+0),m_active,1,m_start,"&lt;"&amp;1080,m_end,"&gt;"&amp;1020),INDEX(m_label,_xlfn.MAXIFS(m_row,m_teacher,C$4,m_date,($G$2+0),m_active,1,m_start,"&lt;"&amp;1080,m_end,"&gt;"&amp;1020))))))</f>
        <v/>
      </c>
      <c r="D13" s="81" t="str">
        <f aca="false">IF(OR(D$4="",MONTH(($G$2+0))&lt;&gt;MONTH($C$2)),"",IF(COUNTIFS(m_teacher,D$4,m_date,($G$2+0),m_active,1,m_start,"&lt;"&amp;1080,m_end,"&gt;"&amp;1020)=0,"",IF(COUNTIFS(m_teacher,D$4,m_date,($G$2+0),m_active,1,m_start,"&lt;"&amp;1080,m_end,"&gt;"&amp;1020)&gt;1,"충돌",HYPERLINK("#'관리자_MASTER'!D"&amp;_xlfn.MAXIFS(m_row,m_teacher,D$4,m_date,($G$2+0),m_active,1,m_start,"&lt;"&amp;1080,m_end,"&gt;"&amp;1020),INDEX(m_label,_xlfn.MAXIFS(m_row,m_teacher,D$4,m_date,($G$2+0),m_active,1,m_start,"&lt;"&amp;1080,m_end,"&gt;"&amp;1020))))))</f>
        <v/>
      </c>
      <c r="E13" s="81" t="str">
        <f aca="false">IF(OR(E$4="",MONTH(($G$2+0))&lt;&gt;MONTH($C$2)),"",IF(COUNTIFS(m_teacher,E$4,m_date,($G$2+0),m_active,1,m_start,"&lt;"&amp;1080,m_end,"&gt;"&amp;1020)=0,"",IF(COUNTIFS(m_teacher,E$4,m_date,($G$2+0),m_active,1,m_start,"&lt;"&amp;1080,m_end,"&gt;"&amp;1020)&gt;1,"충돌",HYPERLINK("#'관리자_MASTER'!D"&amp;_xlfn.MAXIFS(m_row,m_teacher,E$4,m_date,($G$2+0),m_active,1,m_start,"&lt;"&amp;1080,m_end,"&gt;"&amp;1020),INDEX(m_label,_xlfn.MAXIFS(m_row,m_teacher,E$4,m_date,($G$2+0),m_active,1,m_start,"&lt;"&amp;1080,m_end,"&gt;"&amp;1020))))))</f>
        <v/>
      </c>
      <c r="F13" s="81" t="str">
        <f aca="false">IF(OR(F$4="",MONTH(($G$2+0))&lt;&gt;MONTH($C$2)),"",IF(COUNTIFS(m_teacher,F$4,m_date,($G$2+0),m_active,1,m_start,"&lt;"&amp;1080,m_end,"&gt;"&amp;1020)=0,"",IF(COUNTIFS(m_teacher,F$4,m_date,($G$2+0),m_active,1,m_start,"&lt;"&amp;1080,m_end,"&gt;"&amp;1020)&gt;1,"충돌",HYPERLINK("#'관리자_MASTER'!D"&amp;_xlfn.MAXIFS(m_row,m_teacher,F$4,m_date,($G$2+0),m_active,1,m_start,"&lt;"&amp;1080,m_end,"&gt;"&amp;1020),INDEX(m_label,_xlfn.MAXIFS(m_row,m_teacher,F$4,m_date,($G$2+0),m_active,1,m_start,"&lt;"&amp;1080,m_end,"&gt;"&amp;1020))))))</f>
        <v/>
      </c>
      <c r="G13" s="81" t="str">
        <f aca="false">IF(OR(G$4="",MONTH(($G$2+0))&lt;&gt;MONTH($C$2)),"",IF(COUNTIFS(m_teacher,G$4,m_date,($G$2+0),m_active,1,m_start,"&lt;"&amp;1080,m_end,"&gt;"&amp;1020)=0,"",IF(COUNTIFS(m_teacher,G$4,m_date,($G$2+0),m_active,1,m_start,"&lt;"&amp;1080,m_end,"&gt;"&amp;1020)&gt;1,"충돌",HYPERLINK("#'관리자_MASTER'!D"&amp;_xlfn.MAXIFS(m_row,m_teacher,G$4,m_date,($G$2+0),m_active,1,m_start,"&lt;"&amp;1080,m_end,"&gt;"&amp;1020),INDEX(m_label,_xlfn.MAXIFS(m_row,m_teacher,G$4,m_date,($G$2+0),m_active,1,m_start,"&lt;"&amp;1080,m_end,"&gt;"&amp;1020))))))</f>
        <v/>
      </c>
      <c r="H13" s="81" t="str">
        <f aca="false">IF(OR(H$4="",MONTH(($G$2+0))&lt;&gt;MONTH($C$2)),"",IF(COUNTIFS(m_teacher,H$4,m_date,($G$2+0),m_active,1,m_start,"&lt;"&amp;1080,m_end,"&gt;"&amp;1020)=0,"",IF(COUNTIFS(m_teacher,H$4,m_date,($G$2+0),m_active,1,m_start,"&lt;"&amp;1080,m_end,"&gt;"&amp;1020)&gt;1,"충돌",HYPERLINK("#'관리자_MASTER'!D"&amp;_xlfn.MAXIFS(m_row,m_teacher,H$4,m_date,($G$2+0),m_active,1,m_start,"&lt;"&amp;1080,m_end,"&gt;"&amp;1020),INDEX(m_label,_xlfn.MAXIFS(m_row,m_teacher,H$4,m_date,($G$2+0),m_active,1,m_start,"&lt;"&amp;1080,m_end,"&gt;"&amp;1020))))))</f>
        <v/>
      </c>
      <c r="I13" s="81" t="str">
        <f aca="false">IF(OR(I$4="",MONTH(($G$2+0))&lt;&gt;MONTH($C$2)),"",IF(COUNTIFS(m_teacher,I$4,m_date,($G$2+0),m_active,1,m_start,"&lt;"&amp;1080,m_end,"&gt;"&amp;1020)=0,"",IF(COUNTIFS(m_teacher,I$4,m_date,($G$2+0),m_active,1,m_start,"&lt;"&amp;1080,m_end,"&gt;"&amp;1020)&gt;1,"충돌",HYPERLINK("#'관리자_MASTER'!D"&amp;_xlfn.MAXIFS(m_row,m_teacher,I$4,m_date,($G$2+0),m_active,1,m_start,"&lt;"&amp;1080,m_end,"&gt;"&amp;1020),INDEX(m_label,_xlfn.MAXIFS(m_row,m_teacher,I$4,m_date,($G$2+0),m_active,1,m_start,"&lt;"&amp;1080,m_end,"&gt;"&amp;1020))))))</f>
        <v/>
      </c>
      <c r="J13" s="81" t="str">
        <f aca="false">IF(OR(J$4="",MONTH(($G$2+0))&lt;&gt;MONTH($C$2)),"",IF(COUNTIFS(m_teacher,J$4,m_date,($G$2+0),m_active,1,m_start,"&lt;"&amp;1080,m_end,"&gt;"&amp;1020)=0,"",IF(COUNTIFS(m_teacher,J$4,m_date,($G$2+0),m_active,1,m_start,"&lt;"&amp;1080,m_end,"&gt;"&amp;1020)&gt;1,"충돌",HYPERLINK("#'관리자_MASTER'!D"&amp;_xlfn.MAXIFS(m_row,m_teacher,J$4,m_date,($G$2+0),m_active,1,m_start,"&lt;"&amp;1080,m_end,"&gt;"&amp;1020),INDEX(m_label,_xlfn.MAXIFS(m_row,m_teacher,J$4,m_date,($G$2+0),m_active,1,m_start,"&lt;"&amp;1080,m_end,"&gt;"&amp;1020))))))</f>
        <v/>
      </c>
      <c r="K13" s="81" t="str">
        <f aca="false">IF(OR(K$4="",MONTH(($G$2+0))&lt;&gt;MONTH($C$2)),"",IF(COUNTIFS(m_teacher,K$4,m_date,($G$2+0),m_active,1,m_start,"&lt;"&amp;1080,m_end,"&gt;"&amp;1020)=0,"",IF(COUNTIFS(m_teacher,K$4,m_date,($G$2+0),m_active,1,m_start,"&lt;"&amp;1080,m_end,"&gt;"&amp;1020)&gt;1,"충돌",HYPERLINK("#'관리자_MASTER'!D"&amp;_xlfn.MAXIFS(m_row,m_teacher,K$4,m_date,($G$2+0),m_active,1,m_start,"&lt;"&amp;1080,m_end,"&gt;"&amp;1020),INDEX(m_label,_xlfn.MAXIFS(m_row,m_teacher,K$4,m_date,($G$2+0),m_active,1,m_start,"&lt;"&amp;1080,m_end,"&gt;"&amp;1020))))))</f>
        <v/>
      </c>
      <c r="L13" s="81" t="str">
        <f aca="false">IF(OR(L$4="",MONTH(($G$2+0))&lt;&gt;MONTH($C$2)),"",IF(COUNTIFS(m_teacher,L$4,m_date,($G$2+0),m_active,1,m_start,"&lt;"&amp;1080,m_end,"&gt;"&amp;1020)=0,"",IF(COUNTIFS(m_teacher,L$4,m_date,($G$2+0),m_active,1,m_start,"&lt;"&amp;1080,m_end,"&gt;"&amp;1020)&gt;1,"충돌",HYPERLINK("#'관리자_MASTER'!D"&amp;_xlfn.MAXIFS(m_row,m_teacher,L$4,m_date,($G$2+0),m_active,1,m_start,"&lt;"&amp;1080,m_end,"&gt;"&amp;1020),INDEX(m_label,_xlfn.MAXIFS(m_row,m_teacher,L$4,m_date,($G$2+0),m_active,1,m_start,"&lt;"&amp;1080,m_end,"&gt;"&amp;1020))))))</f>
        <v/>
      </c>
      <c r="M13" s="81" t="str">
        <f aca="false">IF(OR(M$4="",MONTH(($G$2+0))&lt;&gt;MONTH($C$2)),"",IF(COUNTIFS(m_teacher,M$4,m_date,($G$2+0),m_active,1,m_start,"&lt;"&amp;1080,m_end,"&gt;"&amp;1020)=0,"",IF(COUNTIFS(m_teacher,M$4,m_date,($G$2+0),m_active,1,m_start,"&lt;"&amp;1080,m_end,"&gt;"&amp;1020)&gt;1,"충돌",HYPERLINK("#'관리자_MASTER'!D"&amp;_xlfn.MAXIFS(m_row,m_teacher,M$4,m_date,($G$2+0),m_active,1,m_start,"&lt;"&amp;1080,m_end,"&gt;"&amp;1020),INDEX(m_label,_xlfn.MAXIFS(m_row,m_teacher,M$4,m_date,($G$2+0),m_active,1,m_start,"&lt;"&amp;1080,m_end,"&gt;"&amp;1020))))))</f>
        <v/>
      </c>
      <c r="N13" s="81" t="str">
        <f aca="false">IF(OR(N$4="",MONTH(($G$2+0))&lt;&gt;MONTH($C$2)),"",IF(COUNTIFS(m_teacher,N$4,m_date,($G$2+0),m_active,1,m_start,"&lt;"&amp;1080,m_end,"&gt;"&amp;1020)=0,"",IF(COUNTIFS(m_teacher,N$4,m_date,($G$2+0),m_active,1,m_start,"&lt;"&amp;1080,m_end,"&gt;"&amp;1020)&gt;1,"충돌",HYPERLINK("#'관리자_MASTER'!D"&amp;_xlfn.MAXIFS(m_row,m_teacher,N$4,m_date,($G$2+0),m_active,1,m_start,"&lt;"&amp;1080,m_end,"&gt;"&amp;1020),INDEX(m_label,_xlfn.MAXIFS(m_row,m_teacher,N$4,m_date,($G$2+0),m_active,1,m_start,"&lt;"&amp;1080,m_end,"&gt;"&amp;1020))))))</f>
        <v/>
      </c>
      <c r="O13" s="78"/>
      <c r="P13" s="79" t="s">
        <v>99</v>
      </c>
      <c r="Q13" s="82" t="str">
        <f aca="false">IF(OR(Q$4="",MONTH(($G$2+7))&lt;&gt;MONTH($C$2)),"",IF(COUNTIFS(m_teacher,Q$4,m_date,($G$2+7),m_active,1,m_start,"&lt;"&amp;1080,m_end,"&gt;"&amp;1020)=0,"",IF(COUNTIFS(m_teacher,Q$4,m_date,($G$2+7),m_active,1,m_start,"&lt;"&amp;1080,m_end,"&gt;"&amp;1020)&gt;1,"충돌",HYPERLINK("#'관리자_MASTER'!D"&amp;_xlfn.MAXIFS(m_row,m_teacher,Q$4,m_date,($G$2+7),m_active,1,m_start,"&lt;"&amp;1080,m_end,"&gt;"&amp;1020),INDEX(m_label,_xlfn.MAXIFS(m_row,m_teacher,Q$4,m_date,($G$2+7),m_active,1,m_start,"&lt;"&amp;1080,m_end,"&gt;"&amp;1020))))))</f>
        <v/>
      </c>
      <c r="R13" s="82" t="str">
        <f aca="false">IF(OR(R$4="",MONTH(($G$2+7))&lt;&gt;MONTH($C$2)),"",IF(COUNTIFS(m_teacher,R$4,m_date,($G$2+7),m_active,1,m_start,"&lt;"&amp;1080,m_end,"&gt;"&amp;1020)=0,"",IF(COUNTIFS(m_teacher,R$4,m_date,($G$2+7),m_active,1,m_start,"&lt;"&amp;1080,m_end,"&gt;"&amp;1020)&gt;1,"충돌",HYPERLINK("#'관리자_MASTER'!D"&amp;_xlfn.MAXIFS(m_row,m_teacher,R$4,m_date,($G$2+7),m_active,1,m_start,"&lt;"&amp;1080,m_end,"&gt;"&amp;1020),INDEX(m_label,_xlfn.MAXIFS(m_row,m_teacher,R$4,m_date,($G$2+7),m_active,1,m_start,"&lt;"&amp;1080,m_end,"&gt;"&amp;1020))))))</f>
        <v/>
      </c>
      <c r="S13" s="82" t="str">
        <f aca="false">IF(OR(S$4="",MONTH(($G$2+7))&lt;&gt;MONTH($C$2)),"",IF(COUNTIFS(m_teacher,S$4,m_date,($G$2+7),m_active,1,m_start,"&lt;"&amp;1080,m_end,"&gt;"&amp;1020)=0,"",IF(COUNTIFS(m_teacher,S$4,m_date,($G$2+7),m_active,1,m_start,"&lt;"&amp;1080,m_end,"&gt;"&amp;1020)&gt;1,"충돌",HYPERLINK("#'관리자_MASTER'!D"&amp;_xlfn.MAXIFS(m_row,m_teacher,S$4,m_date,($G$2+7),m_active,1,m_start,"&lt;"&amp;1080,m_end,"&gt;"&amp;1020),INDEX(m_label,_xlfn.MAXIFS(m_row,m_teacher,S$4,m_date,($G$2+7),m_active,1,m_start,"&lt;"&amp;1080,m_end,"&gt;"&amp;1020))))))</f>
        <v/>
      </c>
      <c r="T13" s="82" t="str">
        <f aca="false">IF(OR(T$4="",MONTH(($G$2+7))&lt;&gt;MONTH($C$2)),"",IF(COUNTIFS(m_teacher,T$4,m_date,($G$2+7),m_active,1,m_start,"&lt;"&amp;1080,m_end,"&gt;"&amp;1020)=0,"",IF(COUNTIFS(m_teacher,T$4,m_date,($G$2+7),m_active,1,m_start,"&lt;"&amp;1080,m_end,"&gt;"&amp;1020)&gt;1,"충돌",HYPERLINK("#'관리자_MASTER'!D"&amp;_xlfn.MAXIFS(m_row,m_teacher,T$4,m_date,($G$2+7),m_active,1,m_start,"&lt;"&amp;1080,m_end,"&gt;"&amp;1020),INDEX(m_label,_xlfn.MAXIFS(m_row,m_teacher,T$4,m_date,($G$2+7),m_active,1,m_start,"&lt;"&amp;1080,m_end,"&gt;"&amp;1020))))))</f>
        <v/>
      </c>
      <c r="U13" s="82" t="str">
        <f aca="false">IF(OR(U$4="",MONTH(($G$2+7))&lt;&gt;MONTH($C$2)),"",IF(COUNTIFS(m_teacher,U$4,m_date,($G$2+7),m_active,1,m_start,"&lt;"&amp;1080,m_end,"&gt;"&amp;1020)=0,"",IF(COUNTIFS(m_teacher,U$4,m_date,($G$2+7),m_active,1,m_start,"&lt;"&amp;1080,m_end,"&gt;"&amp;1020)&gt;1,"충돌",HYPERLINK("#'관리자_MASTER'!D"&amp;_xlfn.MAXIFS(m_row,m_teacher,U$4,m_date,($G$2+7),m_active,1,m_start,"&lt;"&amp;1080,m_end,"&gt;"&amp;1020),INDEX(m_label,_xlfn.MAXIFS(m_row,m_teacher,U$4,m_date,($G$2+7),m_active,1,m_start,"&lt;"&amp;1080,m_end,"&gt;"&amp;1020))))))</f>
        <v/>
      </c>
      <c r="V13" s="82" t="str">
        <f aca="false">IF(OR(V$4="",MONTH(($G$2+7))&lt;&gt;MONTH($C$2)),"",IF(COUNTIFS(m_teacher,V$4,m_date,($G$2+7),m_active,1,m_start,"&lt;"&amp;1080,m_end,"&gt;"&amp;1020)=0,"",IF(COUNTIFS(m_teacher,V$4,m_date,($G$2+7),m_active,1,m_start,"&lt;"&amp;1080,m_end,"&gt;"&amp;1020)&gt;1,"충돌",HYPERLINK("#'관리자_MASTER'!D"&amp;_xlfn.MAXIFS(m_row,m_teacher,V$4,m_date,($G$2+7),m_active,1,m_start,"&lt;"&amp;1080,m_end,"&gt;"&amp;1020),INDEX(m_label,_xlfn.MAXIFS(m_row,m_teacher,V$4,m_date,($G$2+7),m_active,1,m_start,"&lt;"&amp;1080,m_end,"&gt;"&amp;1020))))))</f>
        <v/>
      </c>
      <c r="W13" s="82" t="str">
        <f aca="false">IF(OR(W$4="",MONTH(($G$2+7))&lt;&gt;MONTH($C$2)),"",IF(COUNTIFS(m_teacher,W$4,m_date,($G$2+7),m_active,1,m_start,"&lt;"&amp;1080,m_end,"&gt;"&amp;1020)=0,"",IF(COUNTIFS(m_teacher,W$4,m_date,($G$2+7),m_active,1,m_start,"&lt;"&amp;1080,m_end,"&gt;"&amp;1020)&gt;1,"충돌",HYPERLINK("#'관리자_MASTER'!D"&amp;_xlfn.MAXIFS(m_row,m_teacher,W$4,m_date,($G$2+7),m_active,1,m_start,"&lt;"&amp;1080,m_end,"&gt;"&amp;1020),INDEX(m_label,_xlfn.MAXIFS(m_row,m_teacher,W$4,m_date,($G$2+7),m_active,1,m_start,"&lt;"&amp;1080,m_end,"&gt;"&amp;1020))))))</f>
        <v/>
      </c>
      <c r="X13" s="82" t="str">
        <f aca="false">IF(OR(X$4="",MONTH(($G$2+7))&lt;&gt;MONTH($C$2)),"",IF(COUNTIFS(m_teacher,X$4,m_date,($G$2+7),m_active,1,m_start,"&lt;"&amp;1080,m_end,"&gt;"&amp;1020)=0,"",IF(COUNTIFS(m_teacher,X$4,m_date,($G$2+7),m_active,1,m_start,"&lt;"&amp;1080,m_end,"&gt;"&amp;1020)&gt;1,"충돌",HYPERLINK("#'관리자_MASTER'!D"&amp;_xlfn.MAXIFS(m_row,m_teacher,X$4,m_date,($G$2+7),m_active,1,m_start,"&lt;"&amp;1080,m_end,"&gt;"&amp;1020),INDEX(m_label,_xlfn.MAXIFS(m_row,m_teacher,X$4,m_date,($G$2+7),m_active,1,m_start,"&lt;"&amp;1080,m_end,"&gt;"&amp;1020))))))</f>
        <v/>
      </c>
      <c r="Y13" s="82" t="str">
        <f aca="false">IF(OR(Y$4="",MONTH(($G$2+7))&lt;&gt;MONTH($C$2)),"",IF(COUNTIFS(m_teacher,Y$4,m_date,($G$2+7),m_active,1,m_start,"&lt;"&amp;1080,m_end,"&gt;"&amp;1020)=0,"",IF(COUNTIFS(m_teacher,Y$4,m_date,($G$2+7),m_active,1,m_start,"&lt;"&amp;1080,m_end,"&gt;"&amp;1020)&gt;1,"충돌",HYPERLINK("#'관리자_MASTER'!D"&amp;_xlfn.MAXIFS(m_row,m_teacher,Y$4,m_date,($G$2+7),m_active,1,m_start,"&lt;"&amp;1080,m_end,"&gt;"&amp;1020),INDEX(m_label,_xlfn.MAXIFS(m_row,m_teacher,Y$4,m_date,($G$2+7),m_active,1,m_start,"&lt;"&amp;1080,m_end,"&gt;"&amp;1020))))))</f>
        <v/>
      </c>
      <c r="Z13" s="82" t="str">
        <f aca="false">IF(OR(Z$4="",MONTH(($G$2+7))&lt;&gt;MONTH($C$2)),"",IF(COUNTIFS(m_teacher,Z$4,m_date,($G$2+7),m_active,1,m_start,"&lt;"&amp;1080,m_end,"&gt;"&amp;1020)=0,"",IF(COUNTIFS(m_teacher,Z$4,m_date,($G$2+7),m_active,1,m_start,"&lt;"&amp;1080,m_end,"&gt;"&amp;1020)&gt;1,"충돌",HYPERLINK("#'관리자_MASTER'!D"&amp;_xlfn.MAXIFS(m_row,m_teacher,Z$4,m_date,($G$2+7),m_active,1,m_start,"&lt;"&amp;1080,m_end,"&gt;"&amp;1020),INDEX(m_label,_xlfn.MAXIFS(m_row,m_teacher,Z$4,m_date,($G$2+7),m_active,1,m_start,"&lt;"&amp;1080,m_end,"&gt;"&amp;1020))))))</f>
        <v/>
      </c>
      <c r="AA13" s="82" t="str">
        <f aca="false">IF(OR(AA$4="",MONTH(($G$2+7))&lt;&gt;MONTH($C$2)),"",IF(COUNTIFS(m_teacher,AA$4,m_date,($G$2+7),m_active,1,m_start,"&lt;"&amp;1080,m_end,"&gt;"&amp;1020)=0,"",IF(COUNTIFS(m_teacher,AA$4,m_date,($G$2+7),m_active,1,m_start,"&lt;"&amp;1080,m_end,"&gt;"&amp;1020)&gt;1,"충돌",HYPERLINK("#'관리자_MASTER'!D"&amp;_xlfn.MAXIFS(m_row,m_teacher,AA$4,m_date,($G$2+7),m_active,1,m_start,"&lt;"&amp;1080,m_end,"&gt;"&amp;1020),INDEX(m_label,_xlfn.MAXIFS(m_row,m_teacher,AA$4,m_date,($G$2+7),m_active,1,m_start,"&lt;"&amp;1080,m_end,"&gt;"&amp;1020))))))</f>
        <v/>
      </c>
      <c r="AB13" s="82" t="str">
        <f aca="false">IF(OR(AB$4="",MONTH(($G$2+7))&lt;&gt;MONTH($C$2)),"",IF(COUNTIFS(m_teacher,AB$4,m_date,($G$2+7),m_active,1,m_start,"&lt;"&amp;1080,m_end,"&gt;"&amp;1020)=0,"",IF(COUNTIFS(m_teacher,AB$4,m_date,($G$2+7),m_active,1,m_start,"&lt;"&amp;1080,m_end,"&gt;"&amp;1020)&gt;1,"충돌",HYPERLINK("#'관리자_MASTER'!D"&amp;_xlfn.MAXIFS(m_row,m_teacher,AB$4,m_date,($G$2+7),m_active,1,m_start,"&lt;"&amp;1080,m_end,"&gt;"&amp;1020),INDEX(m_label,_xlfn.MAXIFS(m_row,m_teacher,AB$4,m_date,($G$2+7),m_active,1,m_start,"&lt;"&amp;1080,m_end,"&gt;"&amp;1020))))))</f>
        <v/>
      </c>
      <c r="AC13" s="78"/>
      <c r="AD13" s="79" t="s">
        <v>99</v>
      </c>
      <c r="AE13" s="82" t="str">
        <f aca="false">IF(OR(AE$4="",MONTH(($G$2+14))&lt;&gt;MONTH($C$2)),"",IF(COUNTIFS(m_teacher,AE$4,m_date,($G$2+14),m_active,1,m_start,"&lt;"&amp;1080,m_end,"&gt;"&amp;1020)=0,"",IF(COUNTIFS(m_teacher,AE$4,m_date,($G$2+14),m_active,1,m_start,"&lt;"&amp;1080,m_end,"&gt;"&amp;1020)&gt;1,"충돌",HYPERLINK("#'관리자_MASTER'!D"&amp;_xlfn.MAXIFS(m_row,m_teacher,AE$4,m_date,($G$2+14),m_active,1,m_start,"&lt;"&amp;1080,m_end,"&gt;"&amp;1020),INDEX(m_label,_xlfn.MAXIFS(m_row,m_teacher,AE$4,m_date,($G$2+14),m_active,1,m_start,"&lt;"&amp;1080,m_end,"&gt;"&amp;1020))))))</f>
        <v/>
      </c>
      <c r="AF13" s="82" t="str">
        <f aca="false">IF(OR(AF$4="",MONTH(($G$2+14))&lt;&gt;MONTH($C$2)),"",IF(COUNTIFS(m_teacher,AF$4,m_date,($G$2+14),m_active,1,m_start,"&lt;"&amp;1080,m_end,"&gt;"&amp;1020)=0,"",IF(COUNTIFS(m_teacher,AF$4,m_date,($G$2+14),m_active,1,m_start,"&lt;"&amp;1080,m_end,"&gt;"&amp;1020)&gt;1,"충돌",HYPERLINK("#'관리자_MASTER'!D"&amp;_xlfn.MAXIFS(m_row,m_teacher,AF$4,m_date,($G$2+14),m_active,1,m_start,"&lt;"&amp;1080,m_end,"&gt;"&amp;1020),INDEX(m_label,_xlfn.MAXIFS(m_row,m_teacher,AF$4,m_date,($G$2+14),m_active,1,m_start,"&lt;"&amp;1080,m_end,"&gt;"&amp;1020))))))</f>
        <v/>
      </c>
      <c r="AG13" s="82" t="str">
        <f aca="false">IF(OR(AG$4="",MONTH(($G$2+14))&lt;&gt;MONTH($C$2)),"",IF(COUNTIFS(m_teacher,AG$4,m_date,($G$2+14),m_active,1,m_start,"&lt;"&amp;1080,m_end,"&gt;"&amp;1020)=0,"",IF(COUNTIFS(m_teacher,AG$4,m_date,($G$2+14),m_active,1,m_start,"&lt;"&amp;1080,m_end,"&gt;"&amp;1020)&gt;1,"충돌",HYPERLINK("#'관리자_MASTER'!D"&amp;_xlfn.MAXIFS(m_row,m_teacher,AG$4,m_date,($G$2+14),m_active,1,m_start,"&lt;"&amp;1080,m_end,"&gt;"&amp;1020),INDEX(m_label,_xlfn.MAXIFS(m_row,m_teacher,AG$4,m_date,($G$2+14),m_active,1,m_start,"&lt;"&amp;1080,m_end,"&gt;"&amp;1020))))))</f>
        <v/>
      </c>
      <c r="AH13" s="82" t="str">
        <f aca="false">IF(OR(AH$4="",MONTH(($G$2+14))&lt;&gt;MONTH($C$2)),"",IF(COUNTIFS(m_teacher,AH$4,m_date,($G$2+14),m_active,1,m_start,"&lt;"&amp;1080,m_end,"&gt;"&amp;1020)=0,"",IF(COUNTIFS(m_teacher,AH$4,m_date,($G$2+14),m_active,1,m_start,"&lt;"&amp;1080,m_end,"&gt;"&amp;1020)&gt;1,"충돌",HYPERLINK("#'관리자_MASTER'!D"&amp;_xlfn.MAXIFS(m_row,m_teacher,AH$4,m_date,($G$2+14),m_active,1,m_start,"&lt;"&amp;1080,m_end,"&gt;"&amp;1020),INDEX(m_label,_xlfn.MAXIFS(m_row,m_teacher,AH$4,m_date,($G$2+14),m_active,1,m_start,"&lt;"&amp;1080,m_end,"&gt;"&amp;1020))))))</f>
        <v/>
      </c>
      <c r="AI13" s="82" t="str">
        <f aca="false">IF(OR(AI$4="",MONTH(($G$2+14))&lt;&gt;MONTH($C$2)),"",IF(COUNTIFS(m_teacher,AI$4,m_date,($G$2+14),m_active,1,m_start,"&lt;"&amp;1080,m_end,"&gt;"&amp;1020)=0,"",IF(COUNTIFS(m_teacher,AI$4,m_date,($G$2+14),m_active,1,m_start,"&lt;"&amp;1080,m_end,"&gt;"&amp;1020)&gt;1,"충돌",HYPERLINK("#'관리자_MASTER'!D"&amp;_xlfn.MAXIFS(m_row,m_teacher,AI$4,m_date,($G$2+14),m_active,1,m_start,"&lt;"&amp;1080,m_end,"&gt;"&amp;1020),INDEX(m_label,_xlfn.MAXIFS(m_row,m_teacher,AI$4,m_date,($G$2+14),m_active,1,m_start,"&lt;"&amp;1080,m_end,"&gt;"&amp;1020))))))</f>
        <v/>
      </c>
      <c r="AJ13" s="82" t="str">
        <f aca="false">IF(OR(AJ$4="",MONTH(($G$2+14))&lt;&gt;MONTH($C$2)),"",IF(COUNTIFS(m_teacher,AJ$4,m_date,($G$2+14),m_active,1,m_start,"&lt;"&amp;1080,m_end,"&gt;"&amp;1020)=0,"",IF(COUNTIFS(m_teacher,AJ$4,m_date,($G$2+14),m_active,1,m_start,"&lt;"&amp;1080,m_end,"&gt;"&amp;1020)&gt;1,"충돌",HYPERLINK("#'관리자_MASTER'!D"&amp;_xlfn.MAXIFS(m_row,m_teacher,AJ$4,m_date,($G$2+14),m_active,1,m_start,"&lt;"&amp;1080,m_end,"&gt;"&amp;1020),INDEX(m_label,_xlfn.MAXIFS(m_row,m_teacher,AJ$4,m_date,($G$2+14),m_active,1,m_start,"&lt;"&amp;1080,m_end,"&gt;"&amp;1020))))))</f>
        <v/>
      </c>
      <c r="AK13" s="82" t="str">
        <f aca="false">IF(OR(AK$4="",MONTH(($G$2+14))&lt;&gt;MONTH($C$2)),"",IF(COUNTIFS(m_teacher,AK$4,m_date,($G$2+14),m_active,1,m_start,"&lt;"&amp;1080,m_end,"&gt;"&amp;1020)=0,"",IF(COUNTIFS(m_teacher,AK$4,m_date,($G$2+14),m_active,1,m_start,"&lt;"&amp;1080,m_end,"&gt;"&amp;1020)&gt;1,"충돌",HYPERLINK("#'관리자_MASTER'!D"&amp;_xlfn.MAXIFS(m_row,m_teacher,AK$4,m_date,($G$2+14),m_active,1,m_start,"&lt;"&amp;1080,m_end,"&gt;"&amp;1020),INDEX(m_label,_xlfn.MAXIFS(m_row,m_teacher,AK$4,m_date,($G$2+14),m_active,1,m_start,"&lt;"&amp;1080,m_end,"&gt;"&amp;1020))))))</f>
        <v/>
      </c>
      <c r="AL13" s="82" t="str">
        <f aca="false">IF(OR(AL$4="",MONTH(($G$2+14))&lt;&gt;MONTH($C$2)),"",IF(COUNTIFS(m_teacher,AL$4,m_date,($G$2+14),m_active,1,m_start,"&lt;"&amp;1080,m_end,"&gt;"&amp;1020)=0,"",IF(COUNTIFS(m_teacher,AL$4,m_date,($G$2+14),m_active,1,m_start,"&lt;"&amp;1080,m_end,"&gt;"&amp;1020)&gt;1,"충돌",HYPERLINK("#'관리자_MASTER'!D"&amp;_xlfn.MAXIFS(m_row,m_teacher,AL$4,m_date,($G$2+14),m_active,1,m_start,"&lt;"&amp;1080,m_end,"&gt;"&amp;1020),INDEX(m_label,_xlfn.MAXIFS(m_row,m_teacher,AL$4,m_date,($G$2+14),m_active,1,m_start,"&lt;"&amp;1080,m_end,"&gt;"&amp;1020))))))</f>
        <v/>
      </c>
      <c r="AM13" s="82" t="str">
        <f aca="false">IF(OR(AM$4="",MONTH(($G$2+14))&lt;&gt;MONTH($C$2)),"",IF(COUNTIFS(m_teacher,AM$4,m_date,($G$2+14),m_active,1,m_start,"&lt;"&amp;1080,m_end,"&gt;"&amp;1020)=0,"",IF(COUNTIFS(m_teacher,AM$4,m_date,($G$2+14),m_active,1,m_start,"&lt;"&amp;1080,m_end,"&gt;"&amp;1020)&gt;1,"충돌",HYPERLINK("#'관리자_MASTER'!D"&amp;_xlfn.MAXIFS(m_row,m_teacher,AM$4,m_date,($G$2+14),m_active,1,m_start,"&lt;"&amp;1080,m_end,"&gt;"&amp;1020),INDEX(m_label,_xlfn.MAXIFS(m_row,m_teacher,AM$4,m_date,($G$2+14),m_active,1,m_start,"&lt;"&amp;1080,m_end,"&gt;"&amp;1020))))))</f>
        <v/>
      </c>
      <c r="AN13" s="82" t="str">
        <f aca="false">IF(OR(AN$4="",MONTH(($G$2+14))&lt;&gt;MONTH($C$2)),"",IF(COUNTIFS(m_teacher,AN$4,m_date,($G$2+14),m_active,1,m_start,"&lt;"&amp;1080,m_end,"&gt;"&amp;1020)=0,"",IF(COUNTIFS(m_teacher,AN$4,m_date,($G$2+14),m_active,1,m_start,"&lt;"&amp;1080,m_end,"&gt;"&amp;1020)&gt;1,"충돌",HYPERLINK("#'관리자_MASTER'!D"&amp;_xlfn.MAXIFS(m_row,m_teacher,AN$4,m_date,($G$2+14),m_active,1,m_start,"&lt;"&amp;1080,m_end,"&gt;"&amp;1020),INDEX(m_label,_xlfn.MAXIFS(m_row,m_teacher,AN$4,m_date,($G$2+14),m_active,1,m_start,"&lt;"&amp;1080,m_end,"&gt;"&amp;1020))))))</f>
        <v/>
      </c>
      <c r="AO13" s="82" t="str">
        <f aca="false">IF(OR(AO$4="",MONTH(($G$2+14))&lt;&gt;MONTH($C$2)),"",IF(COUNTIFS(m_teacher,AO$4,m_date,($G$2+14),m_active,1,m_start,"&lt;"&amp;1080,m_end,"&gt;"&amp;1020)=0,"",IF(COUNTIFS(m_teacher,AO$4,m_date,($G$2+14),m_active,1,m_start,"&lt;"&amp;1080,m_end,"&gt;"&amp;1020)&gt;1,"충돌",HYPERLINK("#'관리자_MASTER'!D"&amp;_xlfn.MAXIFS(m_row,m_teacher,AO$4,m_date,($G$2+14),m_active,1,m_start,"&lt;"&amp;1080,m_end,"&gt;"&amp;1020),INDEX(m_label,_xlfn.MAXIFS(m_row,m_teacher,AO$4,m_date,($G$2+14),m_active,1,m_start,"&lt;"&amp;1080,m_end,"&gt;"&amp;1020))))))</f>
        <v/>
      </c>
      <c r="AP13" s="82" t="str">
        <f aca="false">IF(OR(AP$4="",MONTH(($G$2+14))&lt;&gt;MONTH($C$2)),"",IF(COUNTIFS(m_teacher,AP$4,m_date,($G$2+14),m_active,1,m_start,"&lt;"&amp;1080,m_end,"&gt;"&amp;1020)=0,"",IF(COUNTIFS(m_teacher,AP$4,m_date,($G$2+14),m_active,1,m_start,"&lt;"&amp;1080,m_end,"&gt;"&amp;1020)&gt;1,"충돌",HYPERLINK("#'관리자_MASTER'!D"&amp;_xlfn.MAXIFS(m_row,m_teacher,AP$4,m_date,($G$2+14),m_active,1,m_start,"&lt;"&amp;1080,m_end,"&gt;"&amp;1020),INDEX(m_label,_xlfn.MAXIFS(m_row,m_teacher,AP$4,m_date,($G$2+14),m_active,1,m_start,"&lt;"&amp;1080,m_end,"&gt;"&amp;1020))))))</f>
        <v/>
      </c>
      <c r="AQ13" s="78"/>
      <c r="AR13" s="79" t="s">
        <v>99</v>
      </c>
      <c r="AS13" s="82" t="str">
        <f aca="false">IF(OR(AS$4="",MONTH(($G$2+21))&lt;&gt;MONTH($C$2)),"",IF(COUNTIFS(m_teacher,AS$4,m_date,($G$2+21),m_active,1,m_start,"&lt;"&amp;1080,m_end,"&gt;"&amp;1020)=0,"",IF(COUNTIFS(m_teacher,AS$4,m_date,($G$2+21),m_active,1,m_start,"&lt;"&amp;1080,m_end,"&gt;"&amp;1020)&gt;1,"충돌",HYPERLINK("#'관리자_MASTER'!D"&amp;_xlfn.MAXIFS(m_row,m_teacher,AS$4,m_date,($G$2+21),m_active,1,m_start,"&lt;"&amp;1080,m_end,"&gt;"&amp;1020),INDEX(m_label,_xlfn.MAXIFS(m_row,m_teacher,AS$4,m_date,($G$2+21),m_active,1,m_start,"&lt;"&amp;1080,m_end,"&gt;"&amp;1020))))))</f>
        <v/>
      </c>
      <c r="AT13" s="82" t="str">
        <f aca="false">IF(OR(AT$4="",MONTH(($G$2+21))&lt;&gt;MONTH($C$2)),"",IF(COUNTIFS(m_teacher,AT$4,m_date,($G$2+21),m_active,1,m_start,"&lt;"&amp;1080,m_end,"&gt;"&amp;1020)=0,"",IF(COUNTIFS(m_teacher,AT$4,m_date,($G$2+21),m_active,1,m_start,"&lt;"&amp;1080,m_end,"&gt;"&amp;1020)&gt;1,"충돌",HYPERLINK("#'관리자_MASTER'!D"&amp;_xlfn.MAXIFS(m_row,m_teacher,AT$4,m_date,($G$2+21),m_active,1,m_start,"&lt;"&amp;1080,m_end,"&gt;"&amp;1020),INDEX(m_label,_xlfn.MAXIFS(m_row,m_teacher,AT$4,m_date,($G$2+21),m_active,1,m_start,"&lt;"&amp;1080,m_end,"&gt;"&amp;1020))))))</f>
        <v/>
      </c>
      <c r="AU13" s="82" t="str">
        <f aca="false">IF(OR(AU$4="",MONTH(($G$2+21))&lt;&gt;MONTH($C$2)),"",IF(COUNTIFS(m_teacher,AU$4,m_date,($G$2+21),m_active,1,m_start,"&lt;"&amp;1080,m_end,"&gt;"&amp;1020)=0,"",IF(COUNTIFS(m_teacher,AU$4,m_date,($G$2+21),m_active,1,m_start,"&lt;"&amp;1080,m_end,"&gt;"&amp;1020)&gt;1,"충돌",HYPERLINK("#'관리자_MASTER'!D"&amp;_xlfn.MAXIFS(m_row,m_teacher,AU$4,m_date,($G$2+21),m_active,1,m_start,"&lt;"&amp;1080,m_end,"&gt;"&amp;1020),INDEX(m_label,_xlfn.MAXIFS(m_row,m_teacher,AU$4,m_date,($G$2+21),m_active,1,m_start,"&lt;"&amp;1080,m_end,"&gt;"&amp;1020))))))</f>
        <v/>
      </c>
      <c r="AV13" s="82" t="str">
        <f aca="false">IF(OR(AV$4="",MONTH(($G$2+21))&lt;&gt;MONTH($C$2)),"",IF(COUNTIFS(m_teacher,AV$4,m_date,($G$2+21),m_active,1,m_start,"&lt;"&amp;1080,m_end,"&gt;"&amp;1020)=0,"",IF(COUNTIFS(m_teacher,AV$4,m_date,($G$2+21),m_active,1,m_start,"&lt;"&amp;1080,m_end,"&gt;"&amp;1020)&gt;1,"충돌",HYPERLINK("#'관리자_MASTER'!D"&amp;_xlfn.MAXIFS(m_row,m_teacher,AV$4,m_date,($G$2+21),m_active,1,m_start,"&lt;"&amp;1080,m_end,"&gt;"&amp;1020),INDEX(m_label,_xlfn.MAXIFS(m_row,m_teacher,AV$4,m_date,($G$2+21),m_active,1,m_start,"&lt;"&amp;1080,m_end,"&gt;"&amp;1020))))))</f>
        <v/>
      </c>
      <c r="AW13" s="82" t="str">
        <f aca="false">IF(OR(AW$4="",MONTH(($G$2+21))&lt;&gt;MONTH($C$2)),"",IF(COUNTIFS(m_teacher,AW$4,m_date,($G$2+21),m_active,1,m_start,"&lt;"&amp;1080,m_end,"&gt;"&amp;1020)=0,"",IF(COUNTIFS(m_teacher,AW$4,m_date,($G$2+21),m_active,1,m_start,"&lt;"&amp;1080,m_end,"&gt;"&amp;1020)&gt;1,"충돌",HYPERLINK("#'관리자_MASTER'!D"&amp;_xlfn.MAXIFS(m_row,m_teacher,AW$4,m_date,($G$2+21),m_active,1,m_start,"&lt;"&amp;1080,m_end,"&gt;"&amp;1020),INDEX(m_label,_xlfn.MAXIFS(m_row,m_teacher,AW$4,m_date,($G$2+21),m_active,1,m_start,"&lt;"&amp;1080,m_end,"&gt;"&amp;1020))))))</f>
        <v/>
      </c>
      <c r="AX13" s="82" t="str">
        <f aca="false">IF(OR(AX$4="",MONTH(($G$2+21))&lt;&gt;MONTH($C$2)),"",IF(COUNTIFS(m_teacher,AX$4,m_date,($G$2+21),m_active,1,m_start,"&lt;"&amp;1080,m_end,"&gt;"&amp;1020)=0,"",IF(COUNTIFS(m_teacher,AX$4,m_date,($G$2+21),m_active,1,m_start,"&lt;"&amp;1080,m_end,"&gt;"&amp;1020)&gt;1,"충돌",HYPERLINK("#'관리자_MASTER'!D"&amp;_xlfn.MAXIFS(m_row,m_teacher,AX$4,m_date,($G$2+21),m_active,1,m_start,"&lt;"&amp;1080,m_end,"&gt;"&amp;1020),INDEX(m_label,_xlfn.MAXIFS(m_row,m_teacher,AX$4,m_date,($G$2+21),m_active,1,m_start,"&lt;"&amp;1080,m_end,"&gt;"&amp;1020))))))</f>
        <v/>
      </c>
      <c r="AY13" s="82" t="str">
        <f aca="false">IF(OR(AY$4="",MONTH(($G$2+21))&lt;&gt;MONTH($C$2)),"",IF(COUNTIFS(m_teacher,AY$4,m_date,($G$2+21),m_active,1,m_start,"&lt;"&amp;1080,m_end,"&gt;"&amp;1020)=0,"",IF(COUNTIFS(m_teacher,AY$4,m_date,($G$2+21),m_active,1,m_start,"&lt;"&amp;1080,m_end,"&gt;"&amp;1020)&gt;1,"충돌",HYPERLINK("#'관리자_MASTER'!D"&amp;_xlfn.MAXIFS(m_row,m_teacher,AY$4,m_date,($G$2+21),m_active,1,m_start,"&lt;"&amp;1080,m_end,"&gt;"&amp;1020),INDEX(m_label,_xlfn.MAXIFS(m_row,m_teacher,AY$4,m_date,($G$2+21),m_active,1,m_start,"&lt;"&amp;1080,m_end,"&gt;"&amp;1020))))))</f>
        <v/>
      </c>
      <c r="AZ13" s="82" t="str">
        <f aca="false">IF(OR(AZ$4="",MONTH(($G$2+21))&lt;&gt;MONTH($C$2)),"",IF(COUNTIFS(m_teacher,AZ$4,m_date,($G$2+21),m_active,1,m_start,"&lt;"&amp;1080,m_end,"&gt;"&amp;1020)=0,"",IF(COUNTIFS(m_teacher,AZ$4,m_date,($G$2+21),m_active,1,m_start,"&lt;"&amp;1080,m_end,"&gt;"&amp;1020)&gt;1,"충돌",HYPERLINK("#'관리자_MASTER'!D"&amp;_xlfn.MAXIFS(m_row,m_teacher,AZ$4,m_date,($G$2+21),m_active,1,m_start,"&lt;"&amp;1080,m_end,"&gt;"&amp;1020),INDEX(m_label,_xlfn.MAXIFS(m_row,m_teacher,AZ$4,m_date,($G$2+21),m_active,1,m_start,"&lt;"&amp;1080,m_end,"&gt;"&amp;1020))))))</f>
        <v/>
      </c>
      <c r="BA13" s="82" t="str">
        <f aca="false">IF(OR(BA$4="",MONTH(($G$2+21))&lt;&gt;MONTH($C$2)),"",IF(COUNTIFS(m_teacher,BA$4,m_date,($G$2+21),m_active,1,m_start,"&lt;"&amp;1080,m_end,"&gt;"&amp;1020)=0,"",IF(COUNTIFS(m_teacher,BA$4,m_date,($G$2+21),m_active,1,m_start,"&lt;"&amp;1080,m_end,"&gt;"&amp;1020)&gt;1,"충돌",HYPERLINK("#'관리자_MASTER'!D"&amp;_xlfn.MAXIFS(m_row,m_teacher,BA$4,m_date,($G$2+21),m_active,1,m_start,"&lt;"&amp;1080,m_end,"&gt;"&amp;1020),INDEX(m_label,_xlfn.MAXIFS(m_row,m_teacher,BA$4,m_date,($G$2+21),m_active,1,m_start,"&lt;"&amp;1080,m_end,"&gt;"&amp;1020))))))</f>
        <v/>
      </c>
      <c r="BB13" s="82" t="str">
        <f aca="false">IF(OR(BB$4="",MONTH(($G$2+21))&lt;&gt;MONTH($C$2)),"",IF(COUNTIFS(m_teacher,BB$4,m_date,($G$2+21),m_active,1,m_start,"&lt;"&amp;1080,m_end,"&gt;"&amp;1020)=0,"",IF(COUNTIFS(m_teacher,BB$4,m_date,($G$2+21),m_active,1,m_start,"&lt;"&amp;1080,m_end,"&gt;"&amp;1020)&gt;1,"충돌",HYPERLINK("#'관리자_MASTER'!D"&amp;_xlfn.MAXIFS(m_row,m_teacher,BB$4,m_date,($G$2+21),m_active,1,m_start,"&lt;"&amp;1080,m_end,"&gt;"&amp;1020),INDEX(m_label,_xlfn.MAXIFS(m_row,m_teacher,BB$4,m_date,($G$2+21),m_active,1,m_start,"&lt;"&amp;1080,m_end,"&gt;"&amp;1020))))))</f>
        <v/>
      </c>
      <c r="BC13" s="82" t="str">
        <f aca="false">IF(OR(BC$4="",MONTH(($G$2+21))&lt;&gt;MONTH($C$2)),"",IF(COUNTIFS(m_teacher,BC$4,m_date,($G$2+21),m_active,1,m_start,"&lt;"&amp;1080,m_end,"&gt;"&amp;1020)=0,"",IF(COUNTIFS(m_teacher,BC$4,m_date,($G$2+21),m_active,1,m_start,"&lt;"&amp;1080,m_end,"&gt;"&amp;1020)&gt;1,"충돌",HYPERLINK("#'관리자_MASTER'!D"&amp;_xlfn.MAXIFS(m_row,m_teacher,BC$4,m_date,($G$2+21),m_active,1,m_start,"&lt;"&amp;1080,m_end,"&gt;"&amp;1020),INDEX(m_label,_xlfn.MAXIFS(m_row,m_teacher,BC$4,m_date,($G$2+21),m_active,1,m_start,"&lt;"&amp;1080,m_end,"&gt;"&amp;1020))))))</f>
        <v/>
      </c>
      <c r="BD13" s="82" t="str">
        <f aca="false">IF(OR(BD$4="",MONTH(($G$2+21))&lt;&gt;MONTH($C$2)),"",IF(COUNTIFS(m_teacher,BD$4,m_date,($G$2+21),m_active,1,m_start,"&lt;"&amp;1080,m_end,"&gt;"&amp;1020)=0,"",IF(COUNTIFS(m_teacher,BD$4,m_date,($G$2+21),m_active,1,m_start,"&lt;"&amp;1080,m_end,"&gt;"&amp;1020)&gt;1,"충돌",HYPERLINK("#'관리자_MASTER'!D"&amp;_xlfn.MAXIFS(m_row,m_teacher,BD$4,m_date,($G$2+21),m_active,1,m_start,"&lt;"&amp;1080,m_end,"&gt;"&amp;1020),INDEX(m_label,_xlfn.MAXIFS(m_row,m_teacher,BD$4,m_date,($G$2+21),m_active,1,m_start,"&lt;"&amp;1080,m_end,"&gt;"&amp;1020))))))</f>
        <v/>
      </c>
      <c r="BE13" s="78"/>
      <c r="BF13" s="79" t="s">
        <v>99</v>
      </c>
      <c r="BG13" s="82" t="str">
        <f aca="false">IF(OR(BG$4="",MONTH(($G$2+28))&lt;&gt;MONTH($C$2)),"",IF(COUNTIFS(m_teacher,BG$4,m_date,($G$2+28),m_active,1,m_start,"&lt;"&amp;1080,m_end,"&gt;"&amp;1020)=0,"",IF(COUNTIFS(m_teacher,BG$4,m_date,($G$2+28),m_active,1,m_start,"&lt;"&amp;1080,m_end,"&gt;"&amp;1020)&gt;1,"충돌",HYPERLINK("#'관리자_MASTER'!D"&amp;_xlfn.MAXIFS(m_row,m_teacher,BG$4,m_date,($G$2+28),m_active,1,m_start,"&lt;"&amp;1080,m_end,"&gt;"&amp;1020),INDEX(m_label,_xlfn.MAXIFS(m_row,m_teacher,BG$4,m_date,($G$2+28),m_active,1,m_start,"&lt;"&amp;1080,m_end,"&gt;"&amp;1020))))))</f>
        <v/>
      </c>
      <c r="BH13" s="82" t="str">
        <f aca="false">IF(OR(BH$4="",MONTH(($G$2+28))&lt;&gt;MONTH($C$2)),"",IF(COUNTIFS(m_teacher,BH$4,m_date,($G$2+28),m_active,1,m_start,"&lt;"&amp;1080,m_end,"&gt;"&amp;1020)=0,"",IF(COUNTIFS(m_teacher,BH$4,m_date,($G$2+28),m_active,1,m_start,"&lt;"&amp;1080,m_end,"&gt;"&amp;1020)&gt;1,"충돌",HYPERLINK("#'관리자_MASTER'!D"&amp;_xlfn.MAXIFS(m_row,m_teacher,BH$4,m_date,($G$2+28),m_active,1,m_start,"&lt;"&amp;1080,m_end,"&gt;"&amp;1020),INDEX(m_label,_xlfn.MAXIFS(m_row,m_teacher,BH$4,m_date,($G$2+28),m_active,1,m_start,"&lt;"&amp;1080,m_end,"&gt;"&amp;1020))))))</f>
        <v/>
      </c>
      <c r="BI13" s="82" t="str">
        <f aca="false">IF(OR(BI$4="",MONTH(($G$2+28))&lt;&gt;MONTH($C$2)),"",IF(COUNTIFS(m_teacher,BI$4,m_date,($G$2+28),m_active,1,m_start,"&lt;"&amp;1080,m_end,"&gt;"&amp;1020)=0,"",IF(COUNTIFS(m_teacher,BI$4,m_date,($G$2+28),m_active,1,m_start,"&lt;"&amp;1080,m_end,"&gt;"&amp;1020)&gt;1,"충돌",HYPERLINK("#'관리자_MASTER'!D"&amp;_xlfn.MAXIFS(m_row,m_teacher,BI$4,m_date,($G$2+28),m_active,1,m_start,"&lt;"&amp;1080,m_end,"&gt;"&amp;1020),INDEX(m_label,_xlfn.MAXIFS(m_row,m_teacher,BI$4,m_date,($G$2+28),m_active,1,m_start,"&lt;"&amp;1080,m_end,"&gt;"&amp;1020))))))</f>
        <v/>
      </c>
      <c r="BJ13" s="82" t="str">
        <f aca="false">IF(OR(BJ$4="",MONTH(($G$2+28))&lt;&gt;MONTH($C$2)),"",IF(COUNTIFS(m_teacher,BJ$4,m_date,($G$2+28),m_active,1,m_start,"&lt;"&amp;1080,m_end,"&gt;"&amp;1020)=0,"",IF(COUNTIFS(m_teacher,BJ$4,m_date,($G$2+28),m_active,1,m_start,"&lt;"&amp;1080,m_end,"&gt;"&amp;1020)&gt;1,"충돌",HYPERLINK("#'관리자_MASTER'!D"&amp;_xlfn.MAXIFS(m_row,m_teacher,BJ$4,m_date,($G$2+28),m_active,1,m_start,"&lt;"&amp;1080,m_end,"&gt;"&amp;1020),INDEX(m_label,_xlfn.MAXIFS(m_row,m_teacher,BJ$4,m_date,($G$2+28),m_active,1,m_start,"&lt;"&amp;1080,m_end,"&gt;"&amp;1020))))))</f>
        <v/>
      </c>
      <c r="BK13" s="82" t="str">
        <f aca="false">IF(OR(BK$4="",MONTH(($G$2+28))&lt;&gt;MONTH($C$2)),"",IF(COUNTIFS(m_teacher,BK$4,m_date,($G$2+28),m_active,1,m_start,"&lt;"&amp;1080,m_end,"&gt;"&amp;1020)=0,"",IF(COUNTIFS(m_teacher,BK$4,m_date,($G$2+28),m_active,1,m_start,"&lt;"&amp;1080,m_end,"&gt;"&amp;1020)&gt;1,"충돌",HYPERLINK("#'관리자_MASTER'!D"&amp;_xlfn.MAXIFS(m_row,m_teacher,BK$4,m_date,($G$2+28),m_active,1,m_start,"&lt;"&amp;1080,m_end,"&gt;"&amp;1020),INDEX(m_label,_xlfn.MAXIFS(m_row,m_teacher,BK$4,m_date,($G$2+28),m_active,1,m_start,"&lt;"&amp;1080,m_end,"&gt;"&amp;1020))))))</f>
        <v/>
      </c>
      <c r="BL13" s="82" t="str">
        <f aca="false">IF(OR(BL$4="",MONTH(($G$2+28))&lt;&gt;MONTH($C$2)),"",IF(COUNTIFS(m_teacher,BL$4,m_date,($G$2+28),m_active,1,m_start,"&lt;"&amp;1080,m_end,"&gt;"&amp;1020)=0,"",IF(COUNTIFS(m_teacher,BL$4,m_date,($G$2+28),m_active,1,m_start,"&lt;"&amp;1080,m_end,"&gt;"&amp;1020)&gt;1,"충돌",HYPERLINK("#'관리자_MASTER'!D"&amp;_xlfn.MAXIFS(m_row,m_teacher,BL$4,m_date,($G$2+28),m_active,1,m_start,"&lt;"&amp;1080,m_end,"&gt;"&amp;1020),INDEX(m_label,_xlfn.MAXIFS(m_row,m_teacher,BL$4,m_date,($G$2+28),m_active,1,m_start,"&lt;"&amp;1080,m_end,"&gt;"&amp;1020))))))</f>
        <v/>
      </c>
      <c r="BM13" s="82" t="str">
        <f aca="false">IF(OR(BM$4="",MONTH(($G$2+28))&lt;&gt;MONTH($C$2)),"",IF(COUNTIFS(m_teacher,BM$4,m_date,($G$2+28),m_active,1,m_start,"&lt;"&amp;1080,m_end,"&gt;"&amp;1020)=0,"",IF(COUNTIFS(m_teacher,BM$4,m_date,($G$2+28),m_active,1,m_start,"&lt;"&amp;1080,m_end,"&gt;"&amp;1020)&gt;1,"충돌",HYPERLINK("#'관리자_MASTER'!D"&amp;_xlfn.MAXIFS(m_row,m_teacher,BM$4,m_date,($G$2+28),m_active,1,m_start,"&lt;"&amp;1080,m_end,"&gt;"&amp;1020),INDEX(m_label,_xlfn.MAXIFS(m_row,m_teacher,BM$4,m_date,($G$2+28),m_active,1,m_start,"&lt;"&amp;1080,m_end,"&gt;"&amp;1020))))))</f>
        <v/>
      </c>
      <c r="BN13" s="82" t="str">
        <f aca="false">IF(OR(BN$4="",MONTH(($G$2+28))&lt;&gt;MONTH($C$2)),"",IF(COUNTIFS(m_teacher,BN$4,m_date,($G$2+28),m_active,1,m_start,"&lt;"&amp;1080,m_end,"&gt;"&amp;1020)=0,"",IF(COUNTIFS(m_teacher,BN$4,m_date,($G$2+28),m_active,1,m_start,"&lt;"&amp;1080,m_end,"&gt;"&amp;1020)&gt;1,"충돌",HYPERLINK("#'관리자_MASTER'!D"&amp;_xlfn.MAXIFS(m_row,m_teacher,BN$4,m_date,($G$2+28),m_active,1,m_start,"&lt;"&amp;1080,m_end,"&gt;"&amp;1020),INDEX(m_label,_xlfn.MAXIFS(m_row,m_teacher,BN$4,m_date,($G$2+28),m_active,1,m_start,"&lt;"&amp;1080,m_end,"&gt;"&amp;1020))))))</f>
        <v/>
      </c>
      <c r="BO13" s="82" t="str">
        <f aca="false">IF(OR(BO$4="",MONTH(($G$2+28))&lt;&gt;MONTH($C$2)),"",IF(COUNTIFS(m_teacher,BO$4,m_date,($G$2+28),m_active,1,m_start,"&lt;"&amp;1080,m_end,"&gt;"&amp;1020)=0,"",IF(COUNTIFS(m_teacher,BO$4,m_date,($G$2+28),m_active,1,m_start,"&lt;"&amp;1080,m_end,"&gt;"&amp;1020)&gt;1,"충돌",HYPERLINK("#'관리자_MASTER'!D"&amp;_xlfn.MAXIFS(m_row,m_teacher,BO$4,m_date,($G$2+28),m_active,1,m_start,"&lt;"&amp;1080,m_end,"&gt;"&amp;1020),INDEX(m_label,_xlfn.MAXIFS(m_row,m_teacher,BO$4,m_date,($G$2+28),m_active,1,m_start,"&lt;"&amp;1080,m_end,"&gt;"&amp;1020))))))</f>
        <v/>
      </c>
      <c r="BP13" s="82" t="str">
        <f aca="false">IF(OR(BP$4="",MONTH(($G$2+28))&lt;&gt;MONTH($C$2)),"",IF(COUNTIFS(m_teacher,BP$4,m_date,($G$2+28),m_active,1,m_start,"&lt;"&amp;1080,m_end,"&gt;"&amp;1020)=0,"",IF(COUNTIFS(m_teacher,BP$4,m_date,($G$2+28),m_active,1,m_start,"&lt;"&amp;1080,m_end,"&gt;"&amp;1020)&gt;1,"충돌",HYPERLINK("#'관리자_MASTER'!D"&amp;_xlfn.MAXIFS(m_row,m_teacher,BP$4,m_date,($G$2+28),m_active,1,m_start,"&lt;"&amp;1080,m_end,"&gt;"&amp;1020),INDEX(m_label,_xlfn.MAXIFS(m_row,m_teacher,BP$4,m_date,($G$2+28),m_active,1,m_start,"&lt;"&amp;1080,m_end,"&gt;"&amp;1020))))))</f>
        <v/>
      </c>
      <c r="BQ13" s="82" t="str">
        <f aca="false">IF(OR(BQ$4="",MONTH(($G$2+28))&lt;&gt;MONTH($C$2)),"",IF(COUNTIFS(m_teacher,BQ$4,m_date,($G$2+28),m_active,1,m_start,"&lt;"&amp;1080,m_end,"&gt;"&amp;1020)=0,"",IF(COUNTIFS(m_teacher,BQ$4,m_date,($G$2+28),m_active,1,m_start,"&lt;"&amp;1080,m_end,"&gt;"&amp;1020)&gt;1,"충돌",HYPERLINK("#'관리자_MASTER'!D"&amp;_xlfn.MAXIFS(m_row,m_teacher,BQ$4,m_date,($G$2+28),m_active,1,m_start,"&lt;"&amp;1080,m_end,"&gt;"&amp;1020),INDEX(m_label,_xlfn.MAXIFS(m_row,m_teacher,BQ$4,m_date,($G$2+28),m_active,1,m_start,"&lt;"&amp;1080,m_end,"&gt;"&amp;1020))))))</f>
        <v/>
      </c>
      <c r="BR13" s="82" t="str">
        <f aca="false">IF(OR(BR$4="",MONTH(($G$2+28))&lt;&gt;MONTH($C$2)),"",IF(COUNTIFS(m_teacher,BR$4,m_date,($G$2+28),m_active,1,m_start,"&lt;"&amp;1080,m_end,"&gt;"&amp;1020)=0,"",IF(COUNTIFS(m_teacher,BR$4,m_date,($G$2+28),m_active,1,m_start,"&lt;"&amp;1080,m_end,"&gt;"&amp;1020)&gt;1,"충돌",HYPERLINK("#'관리자_MASTER'!D"&amp;_xlfn.MAXIFS(m_row,m_teacher,BR$4,m_date,($G$2+28),m_active,1,m_start,"&lt;"&amp;1080,m_end,"&gt;"&amp;1020),INDEX(m_label,_xlfn.MAXIFS(m_row,m_teacher,BR$4,m_date,($G$2+28),m_active,1,m_start,"&lt;"&amp;1080,m_end,"&gt;"&amp;1020))))))</f>
        <v/>
      </c>
    </row>
    <row r="14" customFormat="false" ht="19.5" hidden="false" customHeight="true" outlineLevel="0" collapsed="false">
      <c r="A14" s="75"/>
      <c r="B14" s="76" t="s">
        <v>100</v>
      </c>
      <c r="C14" s="81" t="str">
        <f aca="false">IF(OR(C$4="",MONTH(($G$2+0))&lt;&gt;MONTH($C$2)),"",IF(COUNTIFS(m_teacher,C$4,m_date,($G$2+0),m_active,1,m_start,"&lt;"&amp;1140,m_end,"&gt;"&amp;1080)=0,"",IF(COUNTIFS(m_teacher,C$4,m_date,($G$2+0),m_active,1,m_start,"&lt;"&amp;1140,m_end,"&gt;"&amp;1080)&gt;1,"충돌",HYPERLINK("#'관리자_MASTER'!D"&amp;_xlfn.MAXIFS(m_row,m_teacher,C$4,m_date,($G$2+0),m_active,1,m_start,"&lt;"&amp;1140,m_end,"&gt;"&amp;1080),INDEX(m_label,_xlfn.MAXIFS(m_row,m_teacher,C$4,m_date,($G$2+0),m_active,1,m_start,"&lt;"&amp;1140,m_end,"&gt;"&amp;1080))))))</f>
        <v/>
      </c>
      <c r="D14" s="81" t="str">
        <f aca="false">IF(OR(D$4="",MONTH(($G$2+0))&lt;&gt;MONTH($C$2)),"",IF(COUNTIFS(m_teacher,D$4,m_date,($G$2+0),m_active,1,m_start,"&lt;"&amp;1140,m_end,"&gt;"&amp;1080)=0,"",IF(COUNTIFS(m_teacher,D$4,m_date,($G$2+0),m_active,1,m_start,"&lt;"&amp;1140,m_end,"&gt;"&amp;1080)&gt;1,"충돌",HYPERLINK("#'관리자_MASTER'!D"&amp;_xlfn.MAXIFS(m_row,m_teacher,D$4,m_date,($G$2+0),m_active,1,m_start,"&lt;"&amp;1140,m_end,"&gt;"&amp;1080),INDEX(m_label,_xlfn.MAXIFS(m_row,m_teacher,D$4,m_date,($G$2+0),m_active,1,m_start,"&lt;"&amp;1140,m_end,"&gt;"&amp;1080))))))</f>
        <v/>
      </c>
      <c r="E14" s="81" t="str">
        <f aca="false">IF(OR(E$4="",MONTH(($G$2+0))&lt;&gt;MONTH($C$2)),"",IF(COUNTIFS(m_teacher,E$4,m_date,($G$2+0),m_active,1,m_start,"&lt;"&amp;1140,m_end,"&gt;"&amp;1080)=0,"",IF(COUNTIFS(m_teacher,E$4,m_date,($G$2+0),m_active,1,m_start,"&lt;"&amp;1140,m_end,"&gt;"&amp;1080)&gt;1,"충돌",HYPERLINK("#'관리자_MASTER'!D"&amp;_xlfn.MAXIFS(m_row,m_teacher,E$4,m_date,($G$2+0),m_active,1,m_start,"&lt;"&amp;1140,m_end,"&gt;"&amp;1080),INDEX(m_label,_xlfn.MAXIFS(m_row,m_teacher,E$4,m_date,($G$2+0),m_active,1,m_start,"&lt;"&amp;1140,m_end,"&gt;"&amp;1080))))))</f>
        <v/>
      </c>
      <c r="F14" s="81" t="str">
        <f aca="false">IF(OR(F$4="",MONTH(($G$2+0))&lt;&gt;MONTH($C$2)),"",IF(COUNTIFS(m_teacher,F$4,m_date,($G$2+0),m_active,1,m_start,"&lt;"&amp;1140,m_end,"&gt;"&amp;1080)=0,"",IF(COUNTIFS(m_teacher,F$4,m_date,($G$2+0),m_active,1,m_start,"&lt;"&amp;1140,m_end,"&gt;"&amp;1080)&gt;1,"충돌",HYPERLINK("#'관리자_MASTER'!D"&amp;_xlfn.MAXIFS(m_row,m_teacher,F$4,m_date,($G$2+0),m_active,1,m_start,"&lt;"&amp;1140,m_end,"&gt;"&amp;1080),INDEX(m_label,_xlfn.MAXIFS(m_row,m_teacher,F$4,m_date,($G$2+0),m_active,1,m_start,"&lt;"&amp;1140,m_end,"&gt;"&amp;1080))))))</f>
        <v/>
      </c>
      <c r="G14" s="81" t="str">
        <f aca="false">IF(OR(G$4="",MONTH(($G$2+0))&lt;&gt;MONTH($C$2)),"",IF(COUNTIFS(m_teacher,G$4,m_date,($G$2+0),m_active,1,m_start,"&lt;"&amp;1140,m_end,"&gt;"&amp;1080)=0,"",IF(COUNTIFS(m_teacher,G$4,m_date,($G$2+0),m_active,1,m_start,"&lt;"&amp;1140,m_end,"&gt;"&amp;1080)&gt;1,"충돌",HYPERLINK("#'관리자_MASTER'!D"&amp;_xlfn.MAXIFS(m_row,m_teacher,G$4,m_date,($G$2+0),m_active,1,m_start,"&lt;"&amp;1140,m_end,"&gt;"&amp;1080),INDEX(m_label,_xlfn.MAXIFS(m_row,m_teacher,G$4,m_date,($G$2+0),m_active,1,m_start,"&lt;"&amp;1140,m_end,"&gt;"&amp;1080))))))</f>
        <v/>
      </c>
      <c r="H14" s="81" t="str">
        <f aca="false">IF(OR(H$4="",MONTH(($G$2+0))&lt;&gt;MONTH($C$2)),"",IF(COUNTIFS(m_teacher,H$4,m_date,($G$2+0),m_active,1,m_start,"&lt;"&amp;1140,m_end,"&gt;"&amp;1080)=0,"",IF(COUNTIFS(m_teacher,H$4,m_date,($G$2+0),m_active,1,m_start,"&lt;"&amp;1140,m_end,"&gt;"&amp;1080)&gt;1,"충돌",HYPERLINK("#'관리자_MASTER'!D"&amp;_xlfn.MAXIFS(m_row,m_teacher,H$4,m_date,($G$2+0),m_active,1,m_start,"&lt;"&amp;1140,m_end,"&gt;"&amp;1080),INDEX(m_label,_xlfn.MAXIFS(m_row,m_teacher,H$4,m_date,($G$2+0),m_active,1,m_start,"&lt;"&amp;1140,m_end,"&gt;"&amp;1080))))))</f>
        <v/>
      </c>
      <c r="I14" s="81" t="str">
        <f aca="false">IF(OR(I$4="",MONTH(($G$2+0))&lt;&gt;MONTH($C$2)),"",IF(COUNTIFS(m_teacher,I$4,m_date,($G$2+0),m_active,1,m_start,"&lt;"&amp;1140,m_end,"&gt;"&amp;1080)=0,"",IF(COUNTIFS(m_teacher,I$4,m_date,($G$2+0),m_active,1,m_start,"&lt;"&amp;1140,m_end,"&gt;"&amp;1080)&gt;1,"충돌",HYPERLINK("#'관리자_MASTER'!D"&amp;_xlfn.MAXIFS(m_row,m_teacher,I$4,m_date,($G$2+0),m_active,1,m_start,"&lt;"&amp;1140,m_end,"&gt;"&amp;1080),INDEX(m_label,_xlfn.MAXIFS(m_row,m_teacher,I$4,m_date,($G$2+0),m_active,1,m_start,"&lt;"&amp;1140,m_end,"&gt;"&amp;1080))))))</f>
        <v/>
      </c>
      <c r="J14" s="81" t="str">
        <f aca="false">IF(OR(J$4="",MONTH(($G$2+0))&lt;&gt;MONTH($C$2)),"",IF(COUNTIFS(m_teacher,J$4,m_date,($G$2+0),m_active,1,m_start,"&lt;"&amp;1140,m_end,"&gt;"&amp;1080)=0,"",IF(COUNTIFS(m_teacher,J$4,m_date,($G$2+0),m_active,1,m_start,"&lt;"&amp;1140,m_end,"&gt;"&amp;1080)&gt;1,"충돌",HYPERLINK("#'관리자_MASTER'!D"&amp;_xlfn.MAXIFS(m_row,m_teacher,J$4,m_date,($G$2+0),m_active,1,m_start,"&lt;"&amp;1140,m_end,"&gt;"&amp;1080),INDEX(m_label,_xlfn.MAXIFS(m_row,m_teacher,J$4,m_date,($G$2+0),m_active,1,m_start,"&lt;"&amp;1140,m_end,"&gt;"&amp;1080))))))</f>
        <v/>
      </c>
      <c r="K14" s="81" t="str">
        <f aca="false">IF(OR(K$4="",MONTH(($G$2+0))&lt;&gt;MONTH($C$2)),"",IF(COUNTIFS(m_teacher,K$4,m_date,($G$2+0),m_active,1,m_start,"&lt;"&amp;1140,m_end,"&gt;"&amp;1080)=0,"",IF(COUNTIFS(m_teacher,K$4,m_date,($G$2+0),m_active,1,m_start,"&lt;"&amp;1140,m_end,"&gt;"&amp;1080)&gt;1,"충돌",HYPERLINK("#'관리자_MASTER'!D"&amp;_xlfn.MAXIFS(m_row,m_teacher,K$4,m_date,($G$2+0),m_active,1,m_start,"&lt;"&amp;1140,m_end,"&gt;"&amp;1080),INDEX(m_label,_xlfn.MAXIFS(m_row,m_teacher,K$4,m_date,($G$2+0),m_active,1,m_start,"&lt;"&amp;1140,m_end,"&gt;"&amp;1080))))))</f>
        <v/>
      </c>
      <c r="L14" s="81" t="str">
        <f aca="false">IF(OR(L$4="",MONTH(($G$2+0))&lt;&gt;MONTH($C$2)),"",IF(COUNTIFS(m_teacher,L$4,m_date,($G$2+0),m_active,1,m_start,"&lt;"&amp;1140,m_end,"&gt;"&amp;1080)=0,"",IF(COUNTIFS(m_teacher,L$4,m_date,($G$2+0),m_active,1,m_start,"&lt;"&amp;1140,m_end,"&gt;"&amp;1080)&gt;1,"충돌",HYPERLINK("#'관리자_MASTER'!D"&amp;_xlfn.MAXIFS(m_row,m_teacher,L$4,m_date,($G$2+0),m_active,1,m_start,"&lt;"&amp;1140,m_end,"&gt;"&amp;1080),INDEX(m_label,_xlfn.MAXIFS(m_row,m_teacher,L$4,m_date,($G$2+0),m_active,1,m_start,"&lt;"&amp;1140,m_end,"&gt;"&amp;1080))))))</f>
        <v/>
      </c>
      <c r="M14" s="81" t="str">
        <f aca="false">IF(OR(M$4="",MONTH(($G$2+0))&lt;&gt;MONTH($C$2)),"",IF(COUNTIFS(m_teacher,M$4,m_date,($G$2+0),m_active,1,m_start,"&lt;"&amp;1140,m_end,"&gt;"&amp;1080)=0,"",IF(COUNTIFS(m_teacher,M$4,m_date,($G$2+0),m_active,1,m_start,"&lt;"&amp;1140,m_end,"&gt;"&amp;1080)&gt;1,"충돌",HYPERLINK("#'관리자_MASTER'!D"&amp;_xlfn.MAXIFS(m_row,m_teacher,M$4,m_date,($G$2+0),m_active,1,m_start,"&lt;"&amp;1140,m_end,"&gt;"&amp;1080),INDEX(m_label,_xlfn.MAXIFS(m_row,m_teacher,M$4,m_date,($G$2+0),m_active,1,m_start,"&lt;"&amp;1140,m_end,"&gt;"&amp;1080))))))</f>
        <v/>
      </c>
      <c r="N14" s="81" t="str">
        <f aca="false">IF(OR(N$4="",MONTH(($G$2+0))&lt;&gt;MONTH($C$2)),"",IF(COUNTIFS(m_teacher,N$4,m_date,($G$2+0),m_active,1,m_start,"&lt;"&amp;1140,m_end,"&gt;"&amp;1080)=0,"",IF(COUNTIFS(m_teacher,N$4,m_date,($G$2+0),m_active,1,m_start,"&lt;"&amp;1140,m_end,"&gt;"&amp;1080)&gt;1,"충돌",HYPERLINK("#'관리자_MASTER'!D"&amp;_xlfn.MAXIFS(m_row,m_teacher,N$4,m_date,($G$2+0),m_active,1,m_start,"&lt;"&amp;1140,m_end,"&gt;"&amp;1080),INDEX(m_label,_xlfn.MAXIFS(m_row,m_teacher,N$4,m_date,($G$2+0),m_active,1,m_start,"&lt;"&amp;1140,m_end,"&gt;"&amp;1080))))))</f>
        <v/>
      </c>
      <c r="O14" s="78"/>
      <c r="P14" s="79" t="s">
        <v>100</v>
      </c>
      <c r="Q14" s="82" t="str">
        <f aca="false">IF(OR(Q$4="",MONTH(($G$2+7))&lt;&gt;MONTH($C$2)),"",IF(COUNTIFS(m_teacher,Q$4,m_date,($G$2+7),m_active,1,m_start,"&lt;"&amp;1140,m_end,"&gt;"&amp;1080)=0,"",IF(COUNTIFS(m_teacher,Q$4,m_date,($G$2+7),m_active,1,m_start,"&lt;"&amp;1140,m_end,"&gt;"&amp;1080)&gt;1,"충돌",HYPERLINK("#'관리자_MASTER'!D"&amp;_xlfn.MAXIFS(m_row,m_teacher,Q$4,m_date,($G$2+7),m_active,1,m_start,"&lt;"&amp;1140,m_end,"&gt;"&amp;1080),INDEX(m_label,_xlfn.MAXIFS(m_row,m_teacher,Q$4,m_date,($G$2+7),m_active,1,m_start,"&lt;"&amp;1140,m_end,"&gt;"&amp;1080))))))</f>
        <v/>
      </c>
      <c r="R14" s="82" t="str">
        <f aca="false">IF(OR(R$4="",MONTH(($G$2+7))&lt;&gt;MONTH($C$2)),"",IF(COUNTIFS(m_teacher,R$4,m_date,($G$2+7),m_active,1,m_start,"&lt;"&amp;1140,m_end,"&gt;"&amp;1080)=0,"",IF(COUNTIFS(m_teacher,R$4,m_date,($G$2+7),m_active,1,m_start,"&lt;"&amp;1140,m_end,"&gt;"&amp;1080)&gt;1,"충돌",HYPERLINK("#'관리자_MASTER'!D"&amp;_xlfn.MAXIFS(m_row,m_teacher,R$4,m_date,($G$2+7),m_active,1,m_start,"&lt;"&amp;1140,m_end,"&gt;"&amp;1080),INDEX(m_label,_xlfn.MAXIFS(m_row,m_teacher,R$4,m_date,($G$2+7),m_active,1,m_start,"&lt;"&amp;1140,m_end,"&gt;"&amp;1080))))))</f>
        <v/>
      </c>
      <c r="S14" s="82" t="str">
        <f aca="false">IF(OR(S$4="",MONTH(($G$2+7))&lt;&gt;MONTH($C$2)),"",IF(COUNTIFS(m_teacher,S$4,m_date,($G$2+7),m_active,1,m_start,"&lt;"&amp;1140,m_end,"&gt;"&amp;1080)=0,"",IF(COUNTIFS(m_teacher,S$4,m_date,($G$2+7),m_active,1,m_start,"&lt;"&amp;1140,m_end,"&gt;"&amp;1080)&gt;1,"충돌",HYPERLINK("#'관리자_MASTER'!D"&amp;_xlfn.MAXIFS(m_row,m_teacher,S$4,m_date,($G$2+7),m_active,1,m_start,"&lt;"&amp;1140,m_end,"&gt;"&amp;1080),INDEX(m_label,_xlfn.MAXIFS(m_row,m_teacher,S$4,m_date,($G$2+7),m_active,1,m_start,"&lt;"&amp;1140,m_end,"&gt;"&amp;1080))))))</f>
        <v/>
      </c>
      <c r="T14" s="82" t="str">
        <f aca="false">IF(OR(T$4="",MONTH(($G$2+7))&lt;&gt;MONTH($C$2)),"",IF(COUNTIFS(m_teacher,T$4,m_date,($G$2+7),m_active,1,m_start,"&lt;"&amp;1140,m_end,"&gt;"&amp;1080)=0,"",IF(COUNTIFS(m_teacher,T$4,m_date,($G$2+7),m_active,1,m_start,"&lt;"&amp;1140,m_end,"&gt;"&amp;1080)&gt;1,"충돌",HYPERLINK("#'관리자_MASTER'!D"&amp;_xlfn.MAXIFS(m_row,m_teacher,T$4,m_date,($G$2+7),m_active,1,m_start,"&lt;"&amp;1140,m_end,"&gt;"&amp;1080),INDEX(m_label,_xlfn.MAXIFS(m_row,m_teacher,T$4,m_date,($G$2+7),m_active,1,m_start,"&lt;"&amp;1140,m_end,"&gt;"&amp;1080))))))</f>
        <v/>
      </c>
      <c r="U14" s="82" t="str">
        <f aca="false">IF(OR(U$4="",MONTH(($G$2+7))&lt;&gt;MONTH($C$2)),"",IF(COUNTIFS(m_teacher,U$4,m_date,($G$2+7),m_active,1,m_start,"&lt;"&amp;1140,m_end,"&gt;"&amp;1080)=0,"",IF(COUNTIFS(m_teacher,U$4,m_date,($G$2+7),m_active,1,m_start,"&lt;"&amp;1140,m_end,"&gt;"&amp;1080)&gt;1,"충돌",HYPERLINK("#'관리자_MASTER'!D"&amp;_xlfn.MAXIFS(m_row,m_teacher,U$4,m_date,($G$2+7),m_active,1,m_start,"&lt;"&amp;1140,m_end,"&gt;"&amp;1080),INDEX(m_label,_xlfn.MAXIFS(m_row,m_teacher,U$4,m_date,($G$2+7),m_active,1,m_start,"&lt;"&amp;1140,m_end,"&gt;"&amp;1080))))))</f>
        <v/>
      </c>
      <c r="V14" s="82" t="str">
        <f aca="false">IF(OR(V$4="",MONTH(($G$2+7))&lt;&gt;MONTH($C$2)),"",IF(COUNTIFS(m_teacher,V$4,m_date,($G$2+7),m_active,1,m_start,"&lt;"&amp;1140,m_end,"&gt;"&amp;1080)=0,"",IF(COUNTIFS(m_teacher,V$4,m_date,($G$2+7),m_active,1,m_start,"&lt;"&amp;1140,m_end,"&gt;"&amp;1080)&gt;1,"충돌",HYPERLINK("#'관리자_MASTER'!D"&amp;_xlfn.MAXIFS(m_row,m_teacher,V$4,m_date,($G$2+7),m_active,1,m_start,"&lt;"&amp;1140,m_end,"&gt;"&amp;1080),INDEX(m_label,_xlfn.MAXIFS(m_row,m_teacher,V$4,m_date,($G$2+7),m_active,1,m_start,"&lt;"&amp;1140,m_end,"&gt;"&amp;1080))))))</f>
        <v/>
      </c>
      <c r="W14" s="82" t="str">
        <f aca="false">IF(OR(W$4="",MONTH(($G$2+7))&lt;&gt;MONTH($C$2)),"",IF(COUNTIFS(m_teacher,W$4,m_date,($G$2+7),m_active,1,m_start,"&lt;"&amp;1140,m_end,"&gt;"&amp;1080)=0,"",IF(COUNTIFS(m_teacher,W$4,m_date,($G$2+7),m_active,1,m_start,"&lt;"&amp;1140,m_end,"&gt;"&amp;1080)&gt;1,"충돌",HYPERLINK("#'관리자_MASTER'!D"&amp;_xlfn.MAXIFS(m_row,m_teacher,W$4,m_date,($G$2+7),m_active,1,m_start,"&lt;"&amp;1140,m_end,"&gt;"&amp;1080),INDEX(m_label,_xlfn.MAXIFS(m_row,m_teacher,W$4,m_date,($G$2+7),m_active,1,m_start,"&lt;"&amp;1140,m_end,"&gt;"&amp;1080))))))</f>
        <v/>
      </c>
      <c r="X14" s="82" t="str">
        <f aca="false">IF(OR(X$4="",MONTH(($G$2+7))&lt;&gt;MONTH($C$2)),"",IF(COUNTIFS(m_teacher,X$4,m_date,($G$2+7),m_active,1,m_start,"&lt;"&amp;1140,m_end,"&gt;"&amp;1080)=0,"",IF(COUNTIFS(m_teacher,X$4,m_date,($G$2+7),m_active,1,m_start,"&lt;"&amp;1140,m_end,"&gt;"&amp;1080)&gt;1,"충돌",HYPERLINK("#'관리자_MASTER'!D"&amp;_xlfn.MAXIFS(m_row,m_teacher,X$4,m_date,($G$2+7),m_active,1,m_start,"&lt;"&amp;1140,m_end,"&gt;"&amp;1080),INDEX(m_label,_xlfn.MAXIFS(m_row,m_teacher,X$4,m_date,($G$2+7),m_active,1,m_start,"&lt;"&amp;1140,m_end,"&gt;"&amp;1080))))))</f>
        <v/>
      </c>
      <c r="Y14" s="82" t="str">
        <f aca="false">IF(OR(Y$4="",MONTH(($G$2+7))&lt;&gt;MONTH($C$2)),"",IF(COUNTIFS(m_teacher,Y$4,m_date,($G$2+7),m_active,1,m_start,"&lt;"&amp;1140,m_end,"&gt;"&amp;1080)=0,"",IF(COUNTIFS(m_teacher,Y$4,m_date,($G$2+7),m_active,1,m_start,"&lt;"&amp;1140,m_end,"&gt;"&amp;1080)&gt;1,"충돌",HYPERLINK("#'관리자_MASTER'!D"&amp;_xlfn.MAXIFS(m_row,m_teacher,Y$4,m_date,($G$2+7),m_active,1,m_start,"&lt;"&amp;1140,m_end,"&gt;"&amp;1080),INDEX(m_label,_xlfn.MAXIFS(m_row,m_teacher,Y$4,m_date,($G$2+7),m_active,1,m_start,"&lt;"&amp;1140,m_end,"&gt;"&amp;1080))))))</f>
        <v/>
      </c>
      <c r="Z14" s="82" t="str">
        <f aca="false">IF(OR(Z$4="",MONTH(($G$2+7))&lt;&gt;MONTH($C$2)),"",IF(COUNTIFS(m_teacher,Z$4,m_date,($G$2+7),m_active,1,m_start,"&lt;"&amp;1140,m_end,"&gt;"&amp;1080)=0,"",IF(COUNTIFS(m_teacher,Z$4,m_date,($G$2+7),m_active,1,m_start,"&lt;"&amp;1140,m_end,"&gt;"&amp;1080)&gt;1,"충돌",HYPERLINK("#'관리자_MASTER'!D"&amp;_xlfn.MAXIFS(m_row,m_teacher,Z$4,m_date,($G$2+7),m_active,1,m_start,"&lt;"&amp;1140,m_end,"&gt;"&amp;1080),INDEX(m_label,_xlfn.MAXIFS(m_row,m_teacher,Z$4,m_date,($G$2+7),m_active,1,m_start,"&lt;"&amp;1140,m_end,"&gt;"&amp;1080))))))</f>
        <v/>
      </c>
      <c r="AA14" s="82" t="str">
        <f aca="false">IF(OR(AA$4="",MONTH(($G$2+7))&lt;&gt;MONTH($C$2)),"",IF(COUNTIFS(m_teacher,AA$4,m_date,($G$2+7),m_active,1,m_start,"&lt;"&amp;1140,m_end,"&gt;"&amp;1080)=0,"",IF(COUNTIFS(m_teacher,AA$4,m_date,($G$2+7),m_active,1,m_start,"&lt;"&amp;1140,m_end,"&gt;"&amp;1080)&gt;1,"충돌",HYPERLINK("#'관리자_MASTER'!D"&amp;_xlfn.MAXIFS(m_row,m_teacher,AA$4,m_date,($G$2+7),m_active,1,m_start,"&lt;"&amp;1140,m_end,"&gt;"&amp;1080),INDEX(m_label,_xlfn.MAXIFS(m_row,m_teacher,AA$4,m_date,($G$2+7),m_active,1,m_start,"&lt;"&amp;1140,m_end,"&gt;"&amp;1080))))))</f>
        <v/>
      </c>
      <c r="AB14" s="82" t="str">
        <f aca="false">IF(OR(AB$4="",MONTH(($G$2+7))&lt;&gt;MONTH($C$2)),"",IF(COUNTIFS(m_teacher,AB$4,m_date,($G$2+7),m_active,1,m_start,"&lt;"&amp;1140,m_end,"&gt;"&amp;1080)=0,"",IF(COUNTIFS(m_teacher,AB$4,m_date,($G$2+7),m_active,1,m_start,"&lt;"&amp;1140,m_end,"&gt;"&amp;1080)&gt;1,"충돌",HYPERLINK("#'관리자_MASTER'!D"&amp;_xlfn.MAXIFS(m_row,m_teacher,AB$4,m_date,($G$2+7),m_active,1,m_start,"&lt;"&amp;1140,m_end,"&gt;"&amp;1080),INDEX(m_label,_xlfn.MAXIFS(m_row,m_teacher,AB$4,m_date,($G$2+7),m_active,1,m_start,"&lt;"&amp;1140,m_end,"&gt;"&amp;1080))))))</f>
        <v/>
      </c>
      <c r="AC14" s="78"/>
      <c r="AD14" s="79" t="s">
        <v>100</v>
      </c>
      <c r="AE14" s="82" t="str">
        <f aca="false">IF(OR(AE$4="",MONTH(($G$2+14))&lt;&gt;MONTH($C$2)),"",IF(COUNTIFS(m_teacher,AE$4,m_date,($G$2+14),m_active,1,m_start,"&lt;"&amp;1140,m_end,"&gt;"&amp;1080)=0,"",IF(COUNTIFS(m_teacher,AE$4,m_date,($G$2+14),m_active,1,m_start,"&lt;"&amp;1140,m_end,"&gt;"&amp;1080)&gt;1,"충돌",HYPERLINK("#'관리자_MASTER'!D"&amp;_xlfn.MAXIFS(m_row,m_teacher,AE$4,m_date,($G$2+14),m_active,1,m_start,"&lt;"&amp;1140,m_end,"&gt;"&amp;1080),INDEX(m_label,_xlfn.MAXIFS(m_row,m_teacher,AE$4,m_date,($G$2+14),m_active,1,m_start,"&lt;"&amp;1140,m_end,"&gt;"&amp;1080))))))</f>
        <v/>
      </c>
      <c r="AF14" s="82" t="str">
        <f aca="false">IF(OR(AF$4="",MONTH(($G$2+14))&lt;&gt;MONTH($C$2)),"",IF(COUNTIFS(m_teacher,AF$4,m_date,($G$2+14),m_active,1,m_start,"&lt;"&amp;1140,m_end,"&gt;"&amp;1080)=0,"",IF(COUNTIFS(m_teacher,AF$4,m_date,($G$2+14),m_active,1,m_start,"&lt;"&amp;1140,m_end,"&gt;"&amp;1080)&gt;1,"충돌",HYPERLINK("#'관리자_MASTER'!D"&amp;_xlfn.MAXIFS(m_row,m_teacher,AF$4,m_date,($G$2+14),m_active,1,m_start,"&lt;"&amp;1140,m_end,"&gt;"&amp;1080),INDEX(m_label,_xlfn.MAXIFS(m_row,m_teacher,AF$4,m_date,($G$2+14),m_active,1,m_start,"&lt;"&amp;1140,m_end,"&gt;"&amp;1080))))))</f>
        <v/>
      </c>
      <c r="AG14" s="82" t="str">
        <f aca="false">IF(OR(AG$4="",MONTH(($G$2+14))&lt;&gt;MONTH($C$2)),"",IF(COUNTIFS(m_teacher,AG$4,m_date,($G$2+14),m_active,1,m_start,"&lt;"&amp;1140,m_end,"&gt;"&amp;1080)=0,"",IF(COUNTIFS(m_teacher,AG$4,m_date,($G$2+14),m_active,1,m_start,"&lt;"&amp;1140,m_end,"&gt;"&amp;1080)&gt;1,"충돌",HYPERLINK("#'관리자_MASTER'!D"&amp;_xlfn.MAXIFS(m_row,m_teacher,AG$4,m_date,($G$2+14),m_active,1,m_start,"&lt;"&amp;1140,m_end,"&gt;"&amp;1080),INDEX(m_label,_xlfn.MAXIFS(m_row,m_teacher,AG$4,m_date,($G$2+14),m_active,1,m_start,"&lt;"&amp;1140,m_end,"&gt;"&amp;1080))))))</f>
        <v/>
      </c>
      <c r="AH14" s="82" t="str">
        <f aca="false">IF(OR(AH$4="",MONTH(($G$2+14))&lt;&gt;MONTH($C$2)),"",IF(COUNTIFS(m_teacher,AH$4,m_date,($G$2+14),m_active,1,m_start,"&lt;"&amp;1140,m_end,"&gt;"&amp;1080)=0,"",IF(COUNTIFS(m_teacher,AH$4,m_date,($G$2+14),m_active,1,m_start,"&lt;"&amp;1140,m_end,"&gt;"&amp;1080)&gt;1,"충돌",HYPERLINK("#'관리자_MASTER'!D"&amp;_xlfn.MAXIFS(m_row,m_teacher,AH$4,m_date,($G$2+14),m_active,1,m_start,"&lt;"&amp;1140,m_end,"&gt;"&amp;1080),INDEX(m_label,_xlfn.MAXIFS(m_row,m_teacher,AH$4,m_date,($G$2+14),m_active,1,m_start,"&lt;"&amp;1140,m_end,"&gt;"&amp;1080))))))</f>
        <v/>
      </c>
      <c r="AI14" s="82" t="str">
        <f aca="false">IF(OR(AI$4="",MONTH(($G$2+14))&lt;&gt;MONTH($C$2)),"",IF(COUNTIFS(m_teacher,AI$4,m_date,($G$2+14),m_active,1,m_start,"&lt;"&amp;1140,m_end,"&gt;"&amp;1080)=0,"",IF(COUNTIFS(m_teacher,AI$4,m_date,($G$2+14),m_active,1,m_start,"&lt;"&amp;1140,m_end,"&gt;"&amp;1080)&gt;1,"충돌",HYPERLINK("#'관리자_MASTER'!D"&amp;_xlfn.MAXIFS(m_row,m_teacher,AI$4,m_date,($G$2+14),m_active,1,m_start,"&lt;"&amp;1140,m_end,"&gt;"&amp;1080),INDEX(m_label,_xlfn.MAXIFS(m_row,m_teacher,AI$4,m_date,($G$2+14),m_active,1,m_start,"&lt;"&amp;1140,m_end,"&gt;"&amp;1080))))))</f>
        <v/>
      </c>
      <c r="AJ14" s="82" t="str">
        <f aca="false">IF(OR(AJ$4="",MONTH(($G$2+14))&lt;&gt;MONTH($C$2)),"",IF(COUNTIFS(m_teacher,AJ$4,m_date,($G$2+14),m_active,1,m_start,"&lt;"&amp;1140,m_end,"&gt;"&amp;1080)=0,"",IF(COUNTIFS(m_teacher,AJ$4,m_date,($G$2+14),m_active,1,m_start,"&lt;"&amp;1140,m_end,"&gt;"&amp;1080)&gt;1,"충돌",HYPERLINK("#'관리자_MASTER'!D"&amp;_xlfn.MAXIFS(m_row,m_teacher,AJ$4,m_date,($G$2+14),m_active,1,m_start,"&lt;"&amp;1140,m_end,"&gt;"&amp;1080),INDEX(m_label,_xlfn.MAXIFS(m_row,m_teacher,AJ$4,m_date,($G$2+14),m_active,1,m_start,"&lt;"&amp;1140,m_end,"&gt;"&amp;1080))))))</f>
        <v/>
      </c>
      <c r="AK14" s="82" t="str">
        <f aca="false">IF(OR(AK$4="",MONTH(($G$2+14))&lt;&gt;MONTH($C$2)),"",IF(COUNTIFS(m_teacher,AK$4,m_date,($G$2+14),m_active,1,m_start,"&lt;"&amp;1140,m_end,"&gt;"&amp;1080)=0,"",IF(COUNTIFS(m_teacher,AK$4,m_date,($G$2+14),m_active,1,m_start,"&lt;"&amp;1140,m_end,"&gt;"&amp;1080)&gt;1,"충돌",HYPERLINK("#'관리자_MASTER'!D"&amp;_xlfn.MAXIFS(m_row,m_teacher,AK$4,m_date,($G$2+14),m_active,1,m_start,"&lt;"&amp;1140,m_end,"&gt;"&amp;1080),INDEX(m_label,_xlfn.MAXIFS(m_row,m_teacher,AK$4,m_date,($G$2+14),m_active,1,m_start,"&lt;"&amp;1140,m_end,"&gt;"&amp;1080))))))</f>
        <v/>
      </c>
      <c r="AL14" s="82" t="str">
        <f aca="false">IF(OR(AL$4="",MONTH(($G$2+14))&lt;&gt;MONTH($C$2)),"",IF(COUNTIFS(m_teacher,AL$4,m_date,($G$2+14),m_active,1,m_start,"&lt;"&amp;1140,m_end,"&gt;"&amp;1080)=0,"",IF(COUNTIFS(m_teacher,AL$4,m_date,($G$2+14),m_active,1,m_start,"&lt;"&amp;1140,m_end,"&gt;"&amp;1080)&gt;1,"충돌",HYPERLINK("#'관리자_MASTER'!D"&amp;_xlfn.MAXIFS(m_row,m_teacher,AL$4,m_date,($G$2+14),m_active,1,m_start,"&lt;"&amp;1140,m_end,"&gt;"&amp;1080),INDEX(m_label,_xlfn.MAXIFS(m_row,m_teacher,AL$4,m_date,($G$2+14),m_active,1,m_start,"&lt;"&amp;1140,m_end,"&gt;"&amp;1080))))))</f>
        <v/>
      </c>
      <c r="AM14" s="82" t="str">
        <f aca="false">IF(OR(AM$4="",MONTH(($G$2+14))&lt;&gt;MONTH($C$2)),"",IF(COUNTIFS(m_teacher,AM$4,m_date,($G$2+14),m_active,1,m_start,"&lt;"&amp;1140,m_end,"&gt;"&amp;1080)=0,"",IF(COUNTIFS(m_teacher,AM$4,m_date,($G$2+14),m_active,1,m_start,"&lt;"&amp;1140,m_end,"&gt;"&amp;1080)&gt;1,"충돌",HYPERLINK("#'관리자_MASTER'!D"&amp;_xlfn.MAXIFS(m_row,m_teacher,AM$4,m_date,($G$2+14),m_active,1,m_start,"&lt;"&amp;1140,m_end,"&gt;"&amp;1080),INDEX(m_label,_xlfn.MAXIFS(m_row,m_teacher,AM$4,m_date,($G$2+14),m_active,1,m_start,"&lt;"&amp;1140,m_end,"&gt;"&amp;1080))))))</f>
        <v/>
      </c>
      <c r="AN14" s="82" t="str">
        <f aca="false">IF(OR(AN$4="",MONTH(($G$2+14))&lt;&gt;MONTH($C$2)),"",IF(COUNTIFS(m_teacher,AN$4,m_date,($G$2+14),m_active,1,m_start,"&lt;"&amp;1140,m_end,"&gt;"&amp;1080)=0,"",IF(COUNTIFS(m_teacher,AN$4,m_date,($G$2+14),m_active,1,m_start,"&lt;"&amp;1140,m_end,"&gt;"&amp;1080)&gt;1,"충돌",HYPERLINK("#'관리자_MASTER'!D"&amp;_xlfn.MAXIFS(m_row,m_teacher,AN$4,m_date,($G$2+14),m_active,1,m_start,"&lt;"&amp;1140,m_end,"&gt;"&amp;1080),INDEX(m_label,_xlfn.MAXIFS(m_row,m_teacher,AN$4,m_date,($G$2+14),m_active,1,m_start,"&lt;"&amp;1140,m_end,"&gt;"&amp;1080))))))</f>
        <v/>
      </c>
      <c r="AO14" s="82" t="str">
        <f aca="false">IF(OR(AO$4="",MONTH(($G$2+14))&lt;&gt;MONTH($C$2)),"",IF(COUNTIFS(m_teacher,AO$4,m_date,($G$2+14),m_active,1,m_start,"&lt;"&amp;1140,m_end,"&gt;"&amp;1080)=0,"",IF(COUNTIFS(m_teacher,AO$4,m_date,($G$2+14),m_active,1,m_start,"&lt;"&amp;1140,m_end,"&gt;"&amp;1080)&gt;1,"충돌",HYPERLINK("#'관리자_MASTER'!D"&amp;_xlfn.MAXIFS(m_row,m_teacher,AO$4,m_date,($G$2+14),m_active,1,m_start,"&lt;"&amp;1140,m_end,"&gt;"&amp;1080),INDEX(m_label,_xlfn.MAXIFS(m_row,m_teacher,AO$4,m_date,($G$2+14),m_active,1,m_start,"&lt;"&amp;1140,m_end,"&gt;"&amp;1080))))))</f>
        <v/>
      </c>
      <c r="AP14" s="82" t="str">
        <f aca="false">IF(OR(AP$4="",MONTH(($G$2+14))&lt;&gt;MONTH($C$2)),"",IF(COUNTIFS(m_teacher,AP$4,m_date,($G$2+14),m_active,1,m_start,"&lt;"&amp;1140,m_end,"&gt;"&amp;1080)=0,"",IF(COUNTIFS(m_teacher,AP$4,m_date,($G$2+14),m_active,1,m_start,"&lt;"&amp;1140,m_end,"&gt;"&amp;1080)&gt;1,"충돌",HYPERLINK("#'관리자_MASTER'!D"&amp;_xlfn.MAXIFS(m_row,m_teacher,AP$4,m_date,($G$2+14),m_active,1,m_start,"&lt;"&amp;1140,m_end,"&gt;"&amp;1080),INDEX(m_label,_xlfn.MAXIFS(m_row,m_teacher,AP$4,m_date,($G$2+14),m_active,1,m_start,"&lt;"&amp;1140,m_end,"&gt;"&amp;1080))))))</f>
        <v/>
      </c>
      <c r="AQ14" s="78"/>
      <c r="AR14" s="79" t="s">
        <v>100</v>
      </c>
      <c r="AS14" s="82" t="str">
        <f aca="false">IF(OR(AS$4="",MONTH(($G$2+21))&lt;&gt;MONTH($C$2)),"",IF(COUNTIFS(m_teacher,AS$4,m_date,($G$2+21),m_active,1,m_start,"&lt;"&amp;1140,m_end,"&gt;"&amp;1080)=0,"",IF(COUNTIFS(m_teacher,AS$4,m_date,($G$2+21),m_active,1,m_start,"&lt;"&amp;1140,m_end,"&gt;"&amp;1080)&gt;1,"충돌",HYPERLINK("#'관리자_MASTER'!D"&amp;_xlfn.MAXIFS(m_row,m_teacher,AS$4,m_date,($G$2+21),m_active,1,m_start,"&lt;"&amp;1140,m_end,"&gt;"&amp;1080),INDEX(m_label,_xlfn.MAXIFS(m_row,m_teacher,AS$4,m_date,($G$2+21),m_active,1,m_start,"&lt;"&amp;1140,m_end,"&gt;"&amp;1080))))))</f>
        <v/>
      </c>
      <c r="AT14" s="82" t="str">
        <f aca="false">IF(OR(AT$4="",MONTH(($G$2+21))&lt;&gt;MONTH($C$2)),"",IF(COUNTIFS(m_teacher,AT$4,m_date,($G$2+21),m_active,1,m_start,"&lt;"&amp;1140,m_end,"&gt;"&amp;1080)=0,"",IF(COUNTIFS(m_teacher,AT$4,m_date,($G$2+21),m_active,1,m_start,"&lt;"&amp;1140,m_end,"&gt;"&amp;1080)&gt;1,"충돌",HYPERLINK("#'관리자_MASTER'!D"&amp;_xlfn.MAXIFS(m_row,m_teacher,AT$4,m_date,($G$2+21),m_active,1,m_start,"&lt;"&amp;1140,m_end,"&gt;"&amp;1080),INDEX(m_label,_xlfn.MAXIFS(m_row,m_teacher,AT$4,m_date,($G$2+21),m_active,1,m_start,"&lt;"&amp;1140,m_end,"&gt;"&amp;1080))))))</f>
        <v/>
      </c>
      <c r="AU14" s="82" t="str">
        <f aca="false">IF(OR(AU$4="",MONTH(($G$2+21))&lt;&gt;MONTH($C$2)),"",IF(COUNTIFS(m_teacher,AU$4,m_date,($G$2+21),m_active,1,m_start,"&lt;"&amp;1140,m_end,"&gt;"&amp;1080)=0,"",IF(COUNTIFS(m_teacher,AU$4,m_date,($G$2+21),m_active,1,m_start,"&lt;"&amp;1140,m_end,"&gt;"&amp;1080)&gt;1,"충돌",HYPERLINK("#'관리자_MASTER'!D"&amp;_xlfn.MAXIFS(m_row,m_teacher,AU$4,m_date,($G$2+21),m_active,1,m_start,"&lt;"&amp;1140,m_end,"&gt;"&amp;1080),INDEX(m_label,_xlfn.MAXIFS(m_row,m_teacher,AU$4,m_date,($G$2+21),m_active,1,m_start,"&lt;"&amp;1140,m_end,"&gt;"&amp;1080))))))</f>
        <v/>
      </c>
      <c r="AV14" s="82" t="str">
        <f aca="false">IF(OR(AV$4="",MONTH(($G$2+21))&lt;&gt;MONTH($C$2)),"",IF(COUNTIFS(m_teacher,AV$4,m_date,($G$2+21),m_active,1,m_start,"&lt;"&amp;1140,m_end,"&gt;"&amp;1080)=0,"",IF(COUNTIFS(m_teacher,AV$4,m_date,($G$2+21),m_active,1,m_start,"&lt;"&amp;1140,m_end,"&gt;"&amp;1080)&gt;1,"충돌",HYPERLINK("#'관리자_MASTER'!D"&amp;_xlfn.MAXIFS(m_row,m_teacher,AV$4,m_date,($G$2+21),m_active,1,m_start,"&lt;"&amp;1140,m_end,"&gt;"&amp;1080),INDEX(m_label,_xlfn.MAXIFS(m_row,m_teacher,AV$4,m_date,($G$2+21),m_active,1,m_start,"&lt;"&amp;1140,m_end,"&gt;"&amp;1080))))))</f>
        <v/>
      </c>
      <c r="AW14" s="82" t="str">
        <f aca="false">IF(OR(AW$4="",MONTH(($G$2+21))&lt;&gt;MONTH($C$2)),"",IF(COUNTIFS(m_teacher,AW$4,m_date,($G$2+21),m_active,1,m_start,"&lt;"&amp;1140,m_end,"&gt;"&amp;1080)=0,"",IF(COUNTIFS(m_teacher,AW$4,m_date,($G$2+21),m_active,1,m_start,"&lt;"&amp;1140,m_end,"&gt;"&amp;1080)&gt;1,"충돌",HYPERLINK("#'관리자_MASTER'!D"&amp;_xlfn.MAXIFS(m_row,m_teacher,AW$4,m_date,($G$2+21),m_active,1,m_start,"&lt;"&amp;1140,m_end,"&gt;"&amp;1080),INDEX(m_label,_xlfn.MAXIFS(m_row,m_teacher,AW$4,m_date,($G$2+21),m_active,1,m_start,"&lt;"&amp;1140,m_end,"&gt;"&amp;1080))))))</f>
        <v/>
      </c>
      <c r="AX14" s="82" t="str">
        <f aca="false">IF(OR(AX$4="",MONTH(($G$2+21))&lt;&gt;MONTH($C$2)),"",IF(COUNTIFS(m_teacher,AX$4,m_date,($G$2+21),m_active,1,m_start,"&lt;"&amp;1140,m_end,"&gt;"&amp;1080)=0,"",IF(COUNTIFS(m_teacher,AX$4,m_date,($G$2+21),m_active,1,m_start,"&lt;"&amp;1140,m_end,"&gt;"&amp;1080)&gt;1,"충돌",HYPERLINK("#'관리자_MASTER'!D"&amp;_xlfn.MAXIFS(m_row,m_teacher,AX$4,m_date,($G$2+21),m_active,1,m_start,"&lt;"&amp;1140,m_end,"&gt;"&amp;1080),INDEX(m_label,_xlfn.MAXIFS(m_row,m_teacher,AX$4,m_date,($G$2+21),m_active,1,m_start,"&lt;"&amp;1140,m_end,"&gt;"&amp;1080))))))</f>
        <v/>
      </c>
      <c r="AY14" s="82" t="str">
        <f aca="false">IF(OR(AY$4="",MONTH(($G$2+21))&lt;&gt;MONTH($C$2)),"",IF(COUNTIFS(m_teacher,AY$4,m_date,($G$2+21),m_active,1,m_start,"&lt;"&amp;1140,m_end,"&gt;"&amp;1080)=0,"",IF(COUNTIFS(m_teacher,AY$4,m_date,($G$2+21),m_active,1,m_start,"&lt;"&amp;1140,m_end,"&gt;"&amp;1080)&gt;1,"충돌",HYPERLINK("#'관리자_MASTER'!D"&amp;_xlfn.MAXIFS(m_row,m_teacher,AY$4,m_date,($G$2+21),m_active,1,m_start,"&lt;"&amp;1140,m_end,"&gt;"&amp;1080),INDEX(m_label,_xlfn.MAXIFS(m_row,m_teacher,AY$4,m_date,($G$2+21),m_active,1,m_start,"&lt;"&amp;1140,m_end,"&gt;"&amp;1080))))))</f>
        <v/>
      </c>
      <c r="AZ14" s="82" t="str">
        <f aca="false">IF(OR(AZ$4="",MONTH(($G$2+21))&lt;&gt;MONTH($C$2)),"",IF(COUNTIFS(m_teacher,AZ$4,m_date,($G$2+21),m_active,1,m_start,"&lt;"&amp;1140,m_end,"&gt;"&amp;1080)=0,"",IF(COUNTIFS(m_teacher,AZ$4,m_date,($G$2+21),m_active,1,m_start,"&lt;"&amp;1140,m_end,"&gt;"&amp;1080)&gt;1,"충돌",HYPERLINK("#'관리자_MASTER'!D"&amp;_xlfn.MAXIFS(m_row,m_teacher,AZ$4,m_date,($G$2+21),m_active,1,m_start,"&lt;"&amp;1140,m_end,"&gt;"&amp;1080),INDEX(m_label,_xlfn.MAXIFS(m_row,m_teacher,AZ$4,m_date,($G$2+21),m_active,1,m_start,"&lt;"&amp;1140,m_end,"&gt;"&amp;1080))))))</f>
        <v/>
      </c>
      <c r="BA14" s="82" t="str">
        <f aca="false">IF(OR(BA$4="",MONTH(($G$2+21))&lt;&gt;MONTH($C$2)),"",IF(COUNTIFS(m_teacher,BA$4,m_date,($G$2+21),m_active,1,m_start,"&lt;"&amp;1140,m_end,"&gt;"&amp;1080)=0,"",IF(COUNTIFS(m_teacher,BA$4,m_date,($G$2+21),m_active,1,m_start,"&lt;"&amp;1140,m_end,"&gt;"&amp;1080)&gt;1,"충돌",HYPERLINK("#'관리자_MASTER'!D"&amp;_xlfn.MAXIFS(m_row,m_teacher,BA$4,m_date,($G$2+21),m_active,1,m_start,"&lt;"&amp;1140,m_end,"&gt;"&amp;1080),INDEX(m_label,_xlfn.MAXIFS(m_row,m_teacher,BA$4,m_date,($G$2+21),m_active,1,m_start,"&lt;"&amp;1140,m_end,"&gt;"&amp;1080))))))</f>
        <v/>
      </c>
      <c r="BB14" s="82" t="str">
        <f aca="false">IF(OR(BB$4="",MONTH(($G$2+21))&lt;&gt;MONTH($C$2)),"",IF(COUNTIFS(m_teacher,BB$4,m_date,($G$2+21),m_active,1,m_start,"&lt;"&amp;1140,m_end,"&gt;"&amp;1080)=0,"",IF(COUNTIFS(m_teacher,BB$4,m_date,($G$2+21),m_active,1,m_start,"&lt;"&amp;1140,m_end,"&gt;"&amp;1080)&gt;1,"충돌",HYPERLINK("#'관리자_MASTER'!D"&amp;_xlfn.MAXIFS(m_row,m_teacher,BB$4,m_date,($G$2+21),m_active,1,m_start,"&lt;"&amp;1140,m_end,"&gt;"&amp;1080),INDEX(m_label,_xlfn.MAXIFS(m_row,m_teacher,BB$4,m_date,($G$2+21),m_active,1,m_start,"&lt;"&amp;1140,m_end,"&gt;"&amp;1080))))))</f>
        <v/>
      </c>
      <c r="BC14" s="82" t="str">
        <f aca="false">IF(OR(BC$4="",MONTH(($G$2+21))&lt;&gt;MONTH($C$2)),"",IF(COUNTIFS(m_teacher,BC$4,m_date,($G$2+21),m_active,1,m_start,"&lt;"&amp;1140,m_end,"&gt;"&amp;1080)=0,"",IF(COUNTIFS(m_teacher,BC$4,m_date,($G$2+21),m_active,1,m_start,"&lt;"&amp;1140,m_end,"&gt;"&amp;1080)&gt;1,"충돌",HYPERLINK("#'관리자_MASTER'!D"&amp;_xlfn.MAXIFS(m_row,m_teacher,BC$4,m_date,($G$2+21),m_active,1,m_start,"&lt;"&amp;1140,m_end,"&gt;"&amp;1080),INDEX(m_label,_xlfn.MAXIFS(m_row,m_teacher,BC$4,m_date,($G$2+21),m_active,1,m_start,"&lt;"&amp;1140,m_end,"&gt;"&amp;1080))))))</f>
        <v/>
      </c>
      <c r="BD14" s="82" t="str">
        <f aca="false">IF(OR(BD$4="",MONTH(($G$2+21))&lt;&gt;MONTH($C$2)),"",IF(COUNTIFS(m_teacher,BD$4,m_date,($G$2+21),m_active,1,m_start,"&lt;"&amp;1140,m_end,"&gt;"&amp;1080)=0,"",IF(COUNTIFS(m_teacher,BD$4,m_date,($G$2+21),m_active,1,m_start,"&lt;"&amp;1140,m_end,"&gt;"&amp;1080)&gt;1,"충돌",HYPERLINK("#'관리자_MASTER'!D"&amp;_xlfn.MAXIFS(m_row,m_teacher,BD$4,m_date,($G$2+21),m_active,1,m_start,"&lt;"&amp;1140,m_end,"&gt;"&amp;1080),INDEX(m_label,_xlfn.MAXIFS(m_row,m_teacher,BD$4,m_date,($G$2+21),m_active,1,m_start,"&lt;"&amp;1140,m_end,"&gt;"&amp;1080))))))</f>
        <v/>
      </c>
      <c r="BE14" s="78"/>
      <c r="BF14" s="79" t="s">
        <v>100</v>
      </c>
      <c r="BG14" s="82" t="str">
        <f aca="false">IF(OR(BG$4="",MONTH(($G$2+28))&lt;&gt;MONTH($C$2)),"",IF(COUNTIFS(m_teacher,BG$4,m_date,($G$2+28),m_active,1,m_start,"&lt;"&amp;1140,m_end,"&gt;"&amp;1080)=0,"",IF(COUNTIFS(m_teacher,BG$4,m_date,($G$2+28),m_active,1,m_start,"&lt;"&amp;1140,m_end,"&gt;"&amp;1080)&gt;1,"충돌",HYPERLINK("#'관리자_MASTER'!D"&amp;_xlfn.MAXIFS(m_row,m_teacher,BG$4,m_date,($G$2+28),m_active,1,m_start,"&lt;"&amp;1140,m_end,"&gt;"&amp;1080),INDEX(m_label,_xlfn.MAXIFS(m_row,m_teacher,BG$4,m_date,($G$2+28),m_active,1,m_start,"&lt;"&amp;1140,m_end,"&gt;"&amp;1080))))))</f>
        <v/>
      </c>
      <c r="BH14" s="82" t="str">
        <f aca="false">IF(OR(BH$4="",MONTH(($G$2+28))&lt;&gt;MONTH($C$2)),"",IF(COUNTIFS(m_teacher,BH$4,m_date,($G$2+28),m_active,1,m_start,"&lt;"&amp;1140,m_end,"&gt;"&amp;1080)=0,"",IF(COUNTIFS(m_teacher,BH$4,m_date,($G$2+28),m_active,1,m_start,"&lt;"&amp;1140,m_end,"&gt;"&amp;1080)&gt;1,"충돌",HYPERLINK("#'관리자_MASTER'!D"&amp;_xlfn.MAXIFS(m_row,m_teacher,BH$4,m_date,($G$2+28),m_active,1,m_start,"&lt;"&amp;1140,m_end,"&gt;"&amp;1080),INDEX(m_label,_xlfn.MAXIFS(m_row,m_teacher,BH$4,m_date,($G$2+28),m_active,1,m_start,"&lt;"&amp;1140,m_end,"&gt;"&amp;1080))))))</f>
        <v/>
      </c>
      <c r="BI14" s="82" t="str">
        <f aca="false">IF(OR(BI$4="",MONTH(($G$2+28))&lt;&gt;MONTH($C$2)),"",IF(COUNTIFS(m_teacher,BI$4,m_date,($G$2+28),m_active,1,m_start,"&lt;"&amp;1140,m_end,"&gt;"&amp;1080)=0,"",IF(COUNTIFS(m_teacher,BI$4,m_date,($G$2+28),m_active,1,m_start,"&lt;"&amp;1140,m_end,"&gt;"&amp;1080)&gt;1,"충돌",HYPERLINK("#'관리자_MASTER'!D"&amp;_xlfn.MAXIFS(m_row,m_teacher,BI$4,m_date,($G$2+28),m_active,1,m_start,"&lt;"&amp;1140,m_end,"&gt;"&amp;1080),INDEX(m_label,_xlfn.MAXIFS(m_row,m_teacher,BI$4,m_date,($G$2+28),m_active,1,m_start,"&lt;"&amp;1140,m_end,"&gt;"&amp;1080))))))</f>
        <v/>
      </c>
      <c r="BJ14" s="82" t="str">
        <f aca="false">IF(OR(BJ$4="",MONTH(($G$2+28))&lt;&gt;MONTH($C$2)),"",IF(COUNTIFS(m_teacher,BJ$4,m_date,($G$2+28),m_active,1,m_start,"&lt;"&amp;1140,m_end,"&gt;"&amp;1080)=0,"",IF(COUNTIFS(m_teacher,BJ$4,m_date,($G$2+28),m_active,1,m_start,"&lt;"&amp;1140,m_end,"&gt;"&amp;1080)&gt;1,"충돌",HYPERLINK("#'관리자_MASTER'!D"&amp;_xlfn.MAXIFS(m_row,m_teacher,BJ$4,m_date,($G$2+28),m_active,1,m_start,"&lt;"&amp;1140,m_end,"&gt;"&amp;1080),INDEX(m_label,_xlfn.MAXIFS(m_row,m_teacher,BJ$4,m_date,($G$2+28),m_active,1,m_start,"&lt;"&amp;1140,m_end,"&gt;"&amp;1080))))))</f>
        <v/>
      </c>
      <c r="BK14" s="82" t="str">
        <f aca="false">IF(OR(BK$4="",MONTH(($G$2+28))&lt;&gt;MONTH($C$2)),"",IF(COUNTIFS(m_teacher,BK$4,m_date,($G$2+28),m_active,1,m_start,"&lt;"&amp;1140,m_end,"&gt;"&amp;1080)=0,"",IF(COUNTIFS(m_teacher,BK$4,m_date,($G$2+28),m_active,1,m_start,"&lt;"&amp;1140,m_end,"&gt;"&amp;1080)&gt;1,"충돌",HYPERLINK("#'관리자_MASTER'!D"&amp;_xlfn.MAXIFS(m_row,m_teacher,BK$4,m_date,($G$2+28),m_active,1,m_start,"&lt;"&amp;1140,m_end,"&gt;"&amp;1080),INDEX(m_label,_xlfn.MAXIFS(m_row,m_teacher,BK$4,m_date,($G$2+28),m_active,1,m_start,"&lt;"&amp;1140,m_end,"&gt;"&amp;1080))))))</f>
        <v/>
      </c>
      <c r="BL14" s="82" t="str">
        <f aca="false">IF(OR(BL$4="",MONTH(($G$2+28))&lt;&gt;MONTH($C$2)),"",IF(COUNTIFS(m_teacher,BL$4,m_date,($G$2+28),m_active,1,m_start,"&lt;"&amp;1140,m_end,"&gt;"&amp;1080)=0,"",IF(COUNTIFS(m_teacher,BL$4,m_date,($G$2+28),m_active,1,m_start,"&lt;"&amp;1140,m_end,"&gt;"&amp;1080)&gt;1,"충돌",HYPERLINK("#'관리자_MASTER'!D"&amp;_xlfn.MAXIFS(m_row,m_teacher,BL$4,m_date,($G$2+28),m_active,1,m_start,"&lt;"&amp;1140,m_end,"&gt;"&amp;1080),INDEX(m_label,_xlfn.MAXIFS(m_row,m_teacher,BL$4,m_date,($G$2+28),m_active,1,m_start,"&lt;"&amp;1140,m_end,"&gt;"&amp;1080))))))</f>
        <v/>
      </c>
      <c r="BM14" s="82" t="str">
        <f aca="false">IF(OR(BM$4="",MONTH(($G$2+28))&lt;&gt;MONTH($C$2)),"",IF(COUNTIFS(m_teacher,BM$4,m_date,($G$2+28),m_active,1,m_start,"&lt;"&amp;1140,m_end,"&gt;"&amp;1080)=0,"",IF(COUNTIFS(m_teacher,BM$4,m_date,($G$2+28),m_active,1,m_start,"&lt;"&amp;1140,m_end,"&gt;"&amp;1080)&gt;1,"충돌",HYPERLINK("#'관리자_MASTER'!D"&amp;_xlfn.MAXIFS(m_row,m_teacher,BM$4,m_date,($G$2+28),m_active,1,m_start,"&lt;"&amp;1140,m_end,"&gt;"&amp;1080),INDEX(m_label,_xlfn.MAXIFS(m_row,m_teacher,BM$4,m_date,($G$2+28),m_active,1,m_start,"&lt;"&amp;1140,m_end,"&gt;"&amp;1080))))))</f>
        <v/>
      </c>
      <c r="BN14" s="82" t="str">
        <f aca="false">IF(OR(BN$4="",MONTH(($G$2+28))&lt;&gt;MONTH($C$2)),"",IF(COUNTIFS(m_teacher,BN$4,m_date,($G$2+28),m_active,1,m_start,"&lt;"&amp;1140,m_end,"&gt;"&amp;1080)=0,"",IF(COUNTIFS(m_teacher,BN$4,m_date,($G$2+28),m_active,1,m_start,"&lt;"&amp;1140,m_end,"&gt;"&amp;1080)&gt;1,"충돌",HYPERLINK("#'관리자_MASTER'!D"&amp;_xlfn.MAXIFS(m_row,m_teacher,BN$4,m_date,($G$2+28),m_active,1,m_start,"&lt;"&amp;1140,m_end,"&gt;"&amp;1080),INDEX(m_label,_xlfn.MAXIFS(m_row,m_teacher,BN$4,m_date,($G$2+28),m_active,1,m_start,"&lt;"&amp;1140,m_end,"&gt;"&amp;1080))))))</f>
        <v/>
      </c>
      <c r="BO14" s="82" t="str">
        <f aca="false">IF(OR(BO$4="",MONTH(($G$2+28))&lt;&gt;MONTH($C$2)),"",IF(COUNTIFS(m_teacher,BO$4,m_date,($G$2+28),m_active,1,m_start,"&lt;"&amp;1140,m_end,"&gt;"&amp;1080)=0,"",IF(COUNTIFS(m_teacher,BO$4,m_date,($G$2+28),m_active,1,m_start,"&lt;"&amp;1140,m_end,"&gt;"&amp;1080)&gt;1,"충돌",HYPERLINK("#'관리자_MASTER'!D"&amp;_xlfn.MAXIFS(m_row,m_teacher,BO$4,m_date,($G$2+28),m_active,1,m_start,"&lt;"&amp;1140,m_end,"&gt;"&amp;1080),INDEX(m_label,_xlfn.MAXIFS(m_row,m_teacher,BO$4,m_date,($G$2+28),m_active,1,m_start,"&lt;"&amp;1140,m_end,"&gt;"&amp;1080))))))</f>
        <v/>
      </c>
      <c r="BP14" s="82" t="str">
        <f aca="false">IF(OR(BP$4="",MONTH(($G$2+28))&lt;&gt;MONTH($C$2)),"",IF(COUNTIFS(m_teacher,BP$4,m_date,($G$2+28),m_active,1,m_start,"&lt;"&amp;1140,m_end,"&gt;"&amp;1080)=0,"",IF(COUNTIFS(m_teacher,BP$4,m_date,($G$2+28),m_active,1,m_start,"&lt;"&amp;1140,m_end,"&gt;"&amp;1080)&gt;1,"충돌",HYPERLINK("#'관리자_MASTER'!D"&amp;_xlfn.MAXIFS(m_row,m_teacher,BP$4,m_date,($G$2+28),m_active,1,m_start,"&lt;"&amp;1140,m_end,"&gt;"&amp;1080),INDEX(m_label,_xlfn.MAXIFS(m_row,m_teacher,BP$4,m_date,($G$2+28),m_active,1,m_start,"&lt;"&amp;1140,m_end,"&gt;"&amp;1080))))))</f>
        <v/>
      </c>
      <c r="BQ14" s="82" t="str">
        <f aca="false">IF(OR(BQ$4="",MONTH(($G$2+28))&lt;&gt;MONTH($C$2)),"",IF(COUNTIFS(m_teacher,BQ$4,m_date,($G$2+28),m_active,1,m_start,"&lt;"&amp;1140,m_end,"&gt;"&amp;1080)=0,"",IF(COUNTIFS(m_teacher,BQ$4,m_date,($G$2+28),m_active,1,m_start,"&lt;"&amp;1140,m_end,"&gt;"&amp;1080)&gt;1,"충돌",HYPERLINK("#'관리자_MASTER'!D"&amp;_xlfn.MAXIFS(m_row,m_teacher,BQ$4,m_date,($G$2+28),m_active,1,m_start,"&lt;"&amp;1140,m_end,"&gt;"&amp;1080),INDEX(m_label,_xlfn.MAXIFS(m_row,m_teacher,BQ$4,m_date,($G$2+28),m_active,1,m_start,"&lt;"&amp;1140,m_end,"&gt;"&amp;1080))))))</f>
        <v/>
      </c>
      <c r="BR14" s="82" t="str">
        <f aca="false">IF(OR(BR$4="",MONTH(($G$2+28))&lt;&gt;MONTH($C$2)),"",IF(COUNTIFS(m_teacher,BR$4,m_date,($G$2+28),m_active,1,m_start,"&lt;"&amp;1140,m_end,"&gt;"&amp;1080)=0,"",IF(COUNTIFS(m_teacher,BR$4,m_date,($G$2+28),m_active,1,m_start,"&lt;"&amp;1140,m_end,"&gt;"&amp;1080)&gt;1,"충돌",HYPERLINK("#'관리자_MASTER'!D"&amp;_xlfn.MAXIFS(m_row,m_teacher,BR$4,m_date,($G$2+28),m_active,1,m_start,"&lt;"&amp;1140,m_end,"&gt;"&amp;1080),INDEX(m_label,_xlfn.MAXIFS(m_row,m_teacher,BR$4,m_date,($G$2+28),m_active,1,m_start,"&lt;"&amp;1140,m_end,"&gt;"&amp;1080))))))</f>
        <v/>
      </c>
    </row>
    <row r="15" customFormat="false" ht="19.5" hidden="false" customHeight="true" outlineLevel="0" collapsed="false">
      <c r="A15" s="75"/>
      <c r="B15" s="83" t="s">
        <v>101</v>
      </c>
      <c r="C15" s="84" t="str">
        <f aca="false">IF(OR(C$4="",MONTH(($G$2+0))&lt;&gt;MONTH($C$2)),"",IF(COUNTIFS(m_teacher,C$4,m_date,($G$2+0),m_active,1,m_start,"&lt;"&amp;1440,m_end,"&gt;"&amp;1140)=0,"",IF(COUNTIFS(m_teacher,C$4,m_date,($G$2+0),m_active,1,m_start,"&lt;"&amp;1440,m_end,"&gt;"&amp;1140)&gt;1,"충돌",HYPERLINK("#'관리자_MASTER'!D"&amp;_xlfn.MAXIFS(m_row,m_teacher,C$4,m_date,($G$2+0),m_active,1,m_start,"&lt;"&amp;1440,m_end,"&gt;"&amp;1140),INDEX(m_label,_xlfn.MAXIFS(m_row,m_teacher,C$4,m_date,($G$2+0),m_active,1,m_start,"&lt;"&amp;1440,m_end,"&gt;"&amp;1140))))))</f>
        <v/>
      </c>
      <c r="D15" s="84" t="str">
        <f aca="false">IF(OR(D$4="",MONTH(($G$2+0))&lt;&gt;MONTH($C$2)),"",IF(COUNTIFS(m_teacher,D$4,m_date,($G$2+0),m_active,1,m_start,"&lt;"&amp;1440,m_end,"&gt;"&amp;1140)=0,"",IF(COUNTIFS(m_teacher,D$4,m_date,($G$2+0),m_active,1,m_start,"&lt;"&amp;1440,m_end,"&gt;"&amp;1140)&gt;1,"충돌",HYPERLINK("#'관리자_MASTER'!D"&amp;_xlfn.MAXIFS(m_row,m_teacher,D$4,m_date,($G$2+0),m_active,1,m_start,"&lt;"&amp;1440,m_end,"&gt;"&amp;1140),INDEX(m_label,_xlfn.MAXIFS(m_row,m_teacher,D$4,m_date,($G$2+0),m_active,1,m_start,"&lt;"&amp;1440,m_end,"&gt;"&amp;1140))))))</f>
        <v/>
      </c>
      <c r="E15" s="84" t="str">
        <f aca="false">IF(OR(E$4="",MONTH(($G$2+0))&lt;&gt;MONTH($C$2)),"",IF(COUNTIFS(m_teacher,E$4,m_date,($G$2+0),m_active,1,m_start,"&lt;"&amp;1440,m_end,"&gt;"&amp;1140)=0,"",IF(COUNTIFS(m_teacher,E$4,m_date,($G$2+0),m_active,1,m_start,"&lt;"&amp;1440,m_end,"&gt;"&amp;1140)&gt;1,"충돌",HYPERLINK("#'관리자_MASTER'!D"&amp;_xlfn.MAXIFS(m_row,m_teacher,E$4,m_date,($G$2+0),m_active,1,m_start,"&lt;"&amp;1440,m_end,"&gt;"&amp;1140),INDEX(m_label,_xlfn.MAXIFS(m_row,m_teacher,E$4,m_date,($G$2+0),m_active,1,m_start,"&lt;"&amp;1440,m_end,"&gt;"&amp;1140))))))</f>
        <v/>
      </c>
      <c r="F15" s="84" t="str">
        <f aca="false">IF(OR(F$4="",MONTH(($G$2+0))&lt;&gt;MONTH($C$2)),"",IF(COUNTIFS(m_teacher,F$4,m_date,($G$2+0),m_active,1,m_start,"&lt;"&amp;1440,m_end,"&gt;"&amp;1140)=0,"",IF(COUNTIFS(m_teacher,F$4,m_date,($G$2+0),m_active,1,m_start,"&lt;"&amp;1440,m_end,"&gt;"&amp;1140)&gt;1,"충돌",HYPERLINK("#'관리자_MASTER'!D"&amp;_xlfn.MAXIFS(m_row,m_teacher,F$4,m_date,($G$2+0),m_active,1,m_start,"&lt;"&amp;1440,m_end,"&gt;"&amp;1140),INDEX(m_label,_xlfn.MAXIFS(m_row,m_teacher,F$4,m_date,($G$2+0),m_active,1,m_start,"&lt;"&amp;1440,m_end,"&gt;"&amp;1140))))))</f>
        <v/>
      </c>
      <c r="G15" s="84" t="str">
        <f aca="false">IF(OR(G$4="",MONTH(($G$2+0))&lt;&gt;MONTH($C$2)),"",IF(COUNTIFS(m_teacher,G$4,m_date,($G$2+0),m_active,1,m_start,"&lt;"&amp;1440,m_end,"&gt;"&amp;1140)=0,"",IF(COUNTIFS(m_teacher,G$4,m_date,($G$2+0),m_active,1,m_start,"&lt;"&amp;1440,m_end,"&gt;"&amp;1140)&gt;1,"충돌",HYPERLINK("#'관리자_MASTER'!D"&amp;_xlfn.MAXIFS(m_row,m_teacher,G$4,m_date,($G$2+0),m_active,1,m_start,"&lt;"&amp;1440,m_end,"&gt;"&amp;1140),INDEX(m_label,_xlfn.MAXIFS(m_row,m_teacher,G$4,m_date,($G$2+0),m_active,1,m_start,"&lt;"&amp;1440,m_end,"&gt;"&amp;1140))))))</f>
        <v/>
      </c>
      <c r="H15" s="84" t="str">
        <f aca="false">IF(OR(H$4="",MONTH(($G$2+0))&lt;&gt;MONTH($C$2)),"",IF(COUNTIFS(m_teacher,H$4,m_date,($G$2+0),m_active,1,m_start,"&lt;"&amp;1440,m_end,"&gt;"&amp;1140)=0,"",IF(COUNTIFS(m_teacher,H$4,m_date,($G$2+0),m_active,1,m_start,"&lt;"&amp;1440,m_end,"&gt;"&amp;1140)&gt;1,"충돌",HYPERLINK("#'관리자_MASTER'!D"&amp;_xlfn.MAXIFS(m_row,m_teacher,H$4,m_date,($G$2+0),m_active,1,m_start,"&lt;"&amp;1440,m_end,"&gt;"&amp;1140),INDEX(m_label,_xlfn.MAXIFS(m_row,m_teacher,H$4,m_date,($G$2+0),m_active,1,m_start,"&lt;"&amp;1440,m_end,"&gt;"&amp;1140))))))</f>
        <v/>
      </c>
      <c r="I15" s="84" t="str">
        <f aca="false">IF(OR(I$4="",MONTH(($G$2+0))&lt;&gt;MONTH($C$2)),"",IF(COUNTIFS(m_teacher,I$4,m_date,($G$2+0),m_active,1,m_start,"&lt;"&amp;1440,m_end,"&gt;"&amp;1140)=0,"",IF(COUNTIFS(m_teacher,I$4,m_date,($G$2+0),m_active,1,m_start,"&lt;"&amp;1440,m_end,"&gt;"&amp;1140)&gt;1,"충돌",HYPERLINK("#'관리자_MASTER'!D"&amp;_xlfn.MAXIFS(m_row,m_teacher,I$4,m_date,($G$2+0),m_active,1,m_start,"&lt;"&amp;1440,m_end,"&gt;"&amp;1140),INDEX(m_label,_xlfn.MAXIFS(m_row,m_teacher,I$4,m_date,($G$2+0),m_active,1,m_start,"&lt;"&amp;1440,m_end,"&gt;"&amp;1140))))))</f>
        <v/>
      </c>
      <c r="J15" s="84" t="str">
        <f aca="false">IF(OR(J$4="",MONTH(($G$2+0))&lt;&gt;MONTH($C$2)),"",IF(COUNTIFS(m_teacher,J$4,m_date,($G$2+0),m_active,1,m_start,"&lt;"&amp;1440,m_end,"&gt;"&amp;1140)=0,"",IF(COUNTIFS(m_teacher,J$4,m_date,($G$2+0),m_active,1,m_start,"&lt;"&amp;1440,m_end,"&gt;"&amp;1140)&gt;1,"충돌",HYPERLINK("#'관리자_MASTER'!D"&amp;_xlfn.MAXIFS(m_row,m_teacher,J$4,m_date,($G$2+0),m_active,1,m_start,"&lt;"&amp;1440,m_end,"&gt;"&amp;1140),INDEX(m_label,_xlfn.MAXIFS(m_row,m_teacher,J$4,m_date,($G$2+0),m_active,1,m_start,"&lt;"&amp;1440,m_end,"&gt;"&amp;1140))))))</f>
        <v/>
      </c>
      <c r="K15" s="84" t="str">
        <f aca="false">IF(OR(K$4="",MONTH(($G$2+0))&lt;&gt;MONTH($C$2)),"",IF(COUNTIFS(m_teacher,K$4,m_date,($G$2+0),m_active,1,m_start,"&lt;"&amp;1440,m_end,"&gt;"&amp;1140)=0,"",IF(COUNTIFS(m_teacher,K$4,m_date,($G$2+0),m_active,1,m_start,"&lt;"&amp;1440,m_end,"&gt;"&amp;1140)&gt;1,"충돌",HYPERLINK("#'관리자_MASTER'!D"&amp;_xlfn.MAXIFS(m_row,m_teacher,K$4,m_date,($G$2+0),m_active,1,m_start,"&lt;"&amp;1440,m_end,"&gt;"&amp;1140),INDEX(m_label,_xlfn.MAXIFS(m_row,m_teacher,K$4,m_date,($G$2+0),m_active,1,m_start,"&lt;"&amp;1440,m_end,"&gt;"&amp;1140))))))</f>
        <v/>
      </c>
      <c r="L15" s="84" t="str">
        <f aca="false">IF(OR(L$4="",MONTH(($G$2+0))&lt;&gt;MONTH($C$2)),"",IF(COUNTIFS(m_teacher,L$4,m_date,($G$2+0),m_active,1,m_start,"&lt;"&amp;1440,m_end,"&gt;"&amp;1140)=0,"",IF(COUNTIFS(m_teacher,L$4,m_date,($G$2+0),m_active,1,m_start,"&lt;"&amp;1440,m_end,"&gt;"&amp;1140)&gt;1,"충돌",HYPERLINK("#'관리자_MASTER'!D"&amp;_xlfn.MAXIFS(m_row,m_teacher,L$4,m_date,($G$2+0),m_active,1,m_start,"&lt;"&amp;1440,m_end,"&gt;"&amp;1140),INDEX(m_label,_xlfn.MAXIFS(m_row,m_teacher,L$4,m_date,($G$2+0),m_active,1,m_start,"&lt;"&amp;1440,m_end,"&gt;"&amp;1140))))))</f>
        <v/>
      </c>
      <c r="M15" s="84" t="str">
        <f aca="false">IF(OR(M$4="",MONTH(($G$2+0))&lt;&gt;MONTH($C$2)),"",IF(COUNTIFS(m_teacher,M$4,m_date,($G$2+0),m_active,1,m_start,"&lt;"&amp;1440,m_end,"&gt;"&amp;1140)=0,"",IF(COUNTIFS(m_teacher,M$4,m_date,($G$2+0),m_active,1,m_start,"&lt;"&amp;1440,m_end,"&gt;"&amp;1140)&gt;1,"충돌",HYPERLINK("#'관리자_MASTER'!D"&amp;_xlfn.MAXIFS(m_row,m_teacher,M$4,m_date,($G$2+0),m_active,1,m_start,"&lt;"&amp;1440,m_end,"&gt;"&amp;1140),INDEX(m_label,_xlfn.MAXIFS(m_row,m_teacher,M$4,m_date,($G$2+0),m_active,1,m_start,"&lt;"&amp;1440,m_end,"&gt;"&amp;1140))))))</f>
        <v/>
      </c>
      <c r="N15" s="84" t="str">
        <f aca="false">IF(OR(N$4="",MONTH(($G$2+0))&lt;&gt;MONTH($C$2)),"",IF(COUNTIFS(m_teacher,N$4,m_date,($G$2+0),m_active,1,m_start,"&lt;"&amp;1440,m_end,"&gt;"&amp;1140)=0,"",IF(COUNTIFS(m_teacher,N$4,m_date,($G$2+0),m_active,1,m_start,"&lt;"&amp;1440,m_end,"&gt;"&amp;1140)&gt;1,"충돌",HYPERLINK("#'관리자_MASTER'!D"&amp;_xlfn.MAXIFS(m_row,m_teacher,N$4,m_date,($G$2+0),m_active,1,m_start,"&lt;"&amp;1440,m_end,"&gt;"&amp;1140),INDEX(m_label,_xlfn.MAXIFS(m_row,m_teacher,N$4,m_date,($G$2+0),m_active,1,m_start,"&lt;"&amp;1440,m_end,"&gt;"&amp;1140))))))</f>
        <v/>
      </c>
      <c r="O15" s="78"/>
      <c r="P15" s="85" t="s">
        <v>101</v>
      </c>
      <c r="Q15" s="86" t="str">
        <f aca="false">IF(OR(Q$4="",MONTH(($G$2+7))&lt;&gt;MONTH($C$2)),"",IF(COUNTIFS(m_teacher,Q$4,m_date,($G$2+7),m_active,1,m_start,"&lt;"&amp;1440,m_end,"&gt;"&amp;1140)=0,"",IF(COUNTIFS(m_teacher,Q$4,m_date,($G$2+7),m_active,1,m_start,"&lt;"&amp;1440,m_end,"&gt;"&amp;1140)&gt;1,"충돌",HYPERLINK("#'관리자_MASTER'!D"&amp;_xlfn.MAXIFS(m_row,m_teacher,Q$4,m_date,($G$2+7),m_active,1,m_start,"&lt;"&amp;1440,m_end,"&gt;"&amp;1140),INDEX(m_label,_xlfn.MAXIFS(m_row,m_teacher,Q$4,m_date,($G$2+7),m_active,1,m_start,"&lt;"&amp;1440,m_end,"&gt;"&amp;1140))))))</f>
        <v/>
      </c>
      <c r="R15" s="86" t="str">
        <f aca="false">IF(OR(R$4="",MONTH(($G$2+7))&lt;&gt;MONTH($C$2)),"",IF(COUNTIFS(m_teacher,R$4,m_date,($G$2+7),m_active,1,m_start,"&lt;"&amp;1440,m_end,"&gt;"&amp;1140)=0,"",IF(COUNTIFS(m_teacher,R$4,m_date,($G$2+7),m_active,1,m_start,"&lt;"&amp;1440,m_end,"&gt;"&amp;1140)&gt;1,"충돌",HYPERLINK("#'관리자_MASTER'!D"&amp;_xlfn.MAXIFS(m_row,m_teacher,R$4,m_date,($G$2+7),m_active,1,m_start,"&lt;"&amp;1440,m_end,"&gt;"&amp;1140),INDEX(m_label,_xlfn.MAXIFS(m_row,m_teacher,R$4,m_date,($G$2+7),m_active,1,m_start,"&lt;"&amp;1440,m_end,"&gt;"&amp;1140))))))</f>
        <v/>
      </c>
      <c r="S15" s="86" t="str">
        <f aca="false">IF(OR(S$4="",MONTH(($G$2+7))&lt;&gt;MONTH($C$2)),"",IF(COUNTIFS(m_teacher,S$4,m_date,($G$2+7),m_active,1,m_start,"&lt;"&amp;1440,m_end,"&gt;"&amp;1140)=0,"",IF(COUNTIFS(m_teacher,S$4,m_date,($G$2+7),m_active,1,m_start,"&lt;"&amp;1440,m_end,"&gt;"&amp;1140)&gt;1,"충돌",HYPERLINK("#'관리자_MASTER'!D"&amp;_xlfn.MAXIFS(m_row,m_teacher,S$4,m_date,($G$2+7),m_active,1,m_start,"&lt;"&amp;1440,m_end,"&gt;"&amp;1140),INDEX(m_label,_xlfn.MAXIFS(m_row,m_teacher,S$4,m_date,($G$2+7),m_active,1,m_start,"&lt;"&amp;1440,m_end,"&gt;"&amp;1140))))))</f>
        <v/>
      </c>
      <c r="T15" s="86" t="str">
        <f aca="false">IF(OR(T$4="",MONTH(($G$2+7))&lt;&gt;MONTH($C$2)),"",IF(COUNTIFS(m_teacher,T$4,m_date,($G$2+7),m_active,1,m_start,"&lt;"&amp;1440,m_end,"&gt;"&amp;1140)=0,"",IF(COUNTIFS(m_teacher,T$4,m_date,($G$2+7),m_active,1,m_start,"&lt;"&amp;1440,m_end,"&gt;"&amp;1140)&gt;1,"충돌",HYPERLINK("#'관리자_MASTER'!D"&amp;_xlfn.MAXIFS(m_row,m_teacher,T$4,m_date,($G$2+7),m_active,1,m_start,"&lt;"&amp;1440,m_end,"&gt;"&amp;1140),INDEX(m_label,_xlfn.MAXIFS(m_row,m_teacher,T$4,m_date,($G$2+7),m_active,1,m_start,"&lt;"&amp;1440,m_end,"&gt;"&amp;1140))))))</f>
        <v/>
      </c>
      <c r="U15" s="86" t="str">
        <f aca="false">IF(OR(U$4="",MONTH(($G$2+7))&lt;&gt;MONTH($C$2)),"",IF(COUNTIFS(m_teacher,U$4,m_date,($G$2+7),m_active,1,m_start,"&lt;"&amp;1440,m_end,"&gt;"&amp;1140)=0,"",IF(COUNTIFS(m_teacher,U$4,m_date,($G$2+7),m_active,1,m_start,"&lt;"&amp;1440,m_end,"&gt;"&amp;1140)&gt;1,"충돌",HYPERLINK("#'관리자_MASTER'!D"&amp;_xlfn.MAXIFS(m_row,m_teacher,U$4,m_date,($G$2+7),m_active,1,m_start,"&lt;"&amp;1440,m_end,"&gt;"&amp;1140),INDEX(m_label,_xlfn.MAXIFS(m_row,m_teacher,U$4,m_date,($G$2+7),m_active,1,m_start,"&lt;"&amp;1440,m_end,"&gt;"&amp;1140))))))</f>
        <v/>
      </c>
      <c r="V15" s="86" t="str">
        <f aca="false">IF(OR(V$4="",MONTH(($G$2+7))&lt;&gt;MONTH($C$2)),"",IF(COUNTIFS(m_teacher,V$4,m_date,($G$2+7),m_active,1,m_start,"&lt;"&amp;1440,m_end,"&gt;"&amp;1140)=0,"",IF(COUNTIFS(m_teacher,V$4,m_date,($G$2+7),m_active,1,m_start,"&lt;"&amp;1440,m_end,"&gt;"&amp;1140)&gt;1,"충돌",HYPERLINK("#'관리자_MASTER'!D"&amp;_xlfn.MAXIFS(m_row,m_teacher,V$4,m_date,($G$2+7),m_active,1,m_start,"&lt;"&amp;1440,m_end,"&gt;"&amp;1140),INDEX(m_label,_xlfn.MAXIFS(m_row,m_teacher,V$4,m_date,($G$2+7),m_active,1,m_start,"&lt;"&amp;1440,m_end,"&gt;"&amp;1140))))))</f>
        <v/>
      </c>
      <c r="W15" s="86" t="str">
        <f aca="false">IF(OR(W$4="",MONTH(($G$2+7))&lt;&gt;MONTH($C$2)),"",IF(COUNTIFS(m_teacher,W$4,m_date,($G$2+7),m_active,1,m_start,"&lt;"&amp;1440,m_end,"&gt;"&amp;1140)=0,"",IF(COUNTIFS(m_teacher,W$4,m_date,($G$2+7),m_active,1,m_start,"&lt;"&amp;1440,m_end,"&gt;"&amp;1140)&gt;1,"충돌",HYPERLINK("#'관리자_MASTER'!D"&amp;_xlfn.MAXIFS(m_row,m_teacher,W$4,m_date,($G$2+7),m_active,1,m_start,"&lt;"&amp;1440,m_end,"&gt;"&amp;1140),INDEX(m_label,_xlfn.MAXIFS(m_row,m_teacher,W$4,m_date,($G$2+7),m_active,1,m_start,"&lt;"&amp;1440,m_end,"&gt;"&amp;1140))))))</f>
        <v/>
      </c>
      <c r="X15" s="86" t="str">
        <f aca="false">IF(OR(X$4="",MONTH(($G$2+7))&lt;&gt;MONTH($C$2)),"",IF(COUNTIFS(m_teacher,X$4,m_date,($G$2+7),m_active,1,m_start,"&lt;"&amp;1440,m_end,"&gt;"&amp;1140)=0,"",IF(COUNTIFS(m_teacher,X$4,m_date,($G$2+7),m_active,1,m_start,"&lt;"&amp;1440,m_end,"&gt;"&amp;1140)&gt;1,"충돌",HYPERLINK("#'관리자_MASTER'!D"&amp;_xlfn.MAXIFS(m_row,m_teacher,X$4,m_date,($G$2+7),m_active,1,m_start,"&lt;"&amp;1440,m_end,"&gt;"&amp;1140),INDEX(m_label,_xlfn.MAXIFS(m_row,m_teacher,X$4,m_date,($G$2+7),m_active,1,m_start,"&lt;"&amp;1440,m_end,"&gt;"&amp;1140))))))</f>
        <v/>
      </c>
      <c r="Y15" s="86" t="str">
        <f aca="false">IF(OR(Y$4="",MONTH(($G$2+7))&lt;&gt;MONTH($C$2)),"",IF(COUNTIFS(m_teacher,Y$4,m_date,($G$2+7),m_active,1,m_start,"&lt;"&amp;1440,m_end,"&gt;"&amp;1140)=0,"",IF(COUNTIFS(m_teacher,Y$4,m_date,($G$2+7),m_active,1,m_start,"&lt;"&amp;1440,m_end,"&gt;"&amp;1140)&gt;1,"충돌",HYPERLINK("#'관리자_MASTER'!D"&amp;_xlfn.MAXIFS(m_row,m_teacher,Y$4,m_date,($G$2+7),m_active,1,m_start,"&lt;"&amp;1440,m_end,"&gt;"&amp;1140),INDEX(m_label,_xlfn.MAXIFS(m_row,m_teacher,Y$4,m_date,($G$2+7),m_active,1,m_start,"&lt;"&amp;1440,m_end,"&gt;"&amp;1140))))))</f>
        <v/>
      </c>
      <c r="Z15" s="86" t="str">
        <f aca="false">IF(OR(Z$4="",MONTH(($G$2+7))&lt;&gt;MONTH($C$2)),"",IF(COUNTIFS(m_teacher,Z$4,m_date,($G$2+7),m_active,1,m_start,"&lt;"&amp;1440,m_end,"&gt;"&amp;1140)=0,"",IF(COUNTIFS(m_teacher,Z$4,m_date,($G$2+7),m_active,1,m_start,"&lt;"&amp;1440,m_end,"&gt;"&amp;1140)&gt;1,"충돌",HYPERLINK("#'관리자_MASTER'!D"&amp;_xlfn.MAXIFS(m_row,m_teacher,Z$4,m_date,($G$2+7),m_active,1,m_start,"&lt;"&amp;1440,m_end,"&gt;"&amp;1140),INDEX(m_label,_xlfn.MAXIFS(m_row,m_teacher,Z$4,m_date,($G$2+7),m_active,1,m_start,"&lt;"&amp;1440,m_end,"&gt;"&amp;1140))))))</f>
        <v/>
      </c>
      <c r="AA15" s="86" t="str">
        <f aca="false">IF(OR(AA$4="",MONTH(($G$2+7))&lt;&gt;MONTH($C$2)),"",IF(COUNTIFS(m_teacher,AA$4,m_date,($G$2+7),m_active,1,m_start,"&lt;"&amp;1440,m_end,"&gt;"&amp;1140)=0,"",IF(COUNTIFS(m_teacher,AA$4,m_date,($G$2+7),m_active,1,m_start,"&lt;"&amp;1440,m_end,"&gt;"&amp;1140)&gt;1,"충돌",HYPERLINK("#'관리자_MASTER'!D"&amp;_xlfn.MAXIFS(m_row,m_teacher,AA$4,m_date,($G$2+7),m_active,1,m_start,"&lt;"&amp;1440,m_end,"&gt;"&amp;1140),INDEX(m_label,_xlfn.MAXIFS(m_row,m_teacher,AA$4,m_date,($G$2+7),m_active,1,m_start,"&lt;"&amp;1440,m_end,"&gt;"&amp;1140))))))</f>
        <v/>
      </c>
      <c r="AB15" s="86" t="str">
        <f aca="false">IF(OR(AB$4="",MONTH(($G$2+7))&lt;&gt;MONTH($C$2)),"",IF(COUNTIFS(m_teacher,AB$4,m_date,($G$2+7),m_active,1,m_start,"&lt;"&amp;1440,m_end,"&gt;"&amp;1140)=0,"",IF(COUNTIFS(m_teacher,AB$4,m_date,($G$2+7),m_active,1,m_start,"&lt;"&amp;1440,m_end,"&gt;"&amp;1140)&gt;1,"충돌",HYPERLINK("#'관리자_MASTER'!D"&amp;_xlfn.MAXIFS(m_row,m_teacher,AB$4,m_date,($G$2+7),m_active,1,m_start,"&lt;"&amp;1440,m_end,"&gt;"&amp;1140),INDEX(m_label,_xlfn.MAXIFS(m_row,m_teacher,AB$4,m_date,($G$2+7),m_active,1,m_start,"&lt;"&amp;1440,m_end,"&gt;"&amp;1140))))))</f>
        <v/>
      </c>
      <c r="AC15" s="78"/>
      <c r="AD15" s="85" t="s">
        <v>101</v>
      </c>
      <c r="AE15" s="86" t="str">
        <f aca="false">IF(OR(AE$4="",MONTH(($G$2+14))&lt;&gt;MONTH($C$2)),"",IF(COUNTIFS(m_teacher,AE$4,m_date,($G$2+14),m_active,1,m_start,"&lt;"&amp;1440,m_end,"&gt;"&amp;1140)=0,"",IF(COUNTIFS(m_teacher,AE$4,m_date,($G$2+14),m_active,1,m_start,"&lt;"&amp;1440,m_end,"&gt;"&amp;1140)&gt;1,"충돌",HYPERLINK("#'관리자_MASTER'!D"&amp;_xlfn.MAXIFS(m_row,m_teacher,AE$4,m_date,($G$2+14),m_active,1,m_start,"&lt;"&amp;1440,m_end,"&gt;"&amp;1140),INDEX(m_label,_xlfn.MAXIFS(m_row,m_teacher,AE$4,m_date,($G$2+14),m_active,1,m_start,"&lt;"&amp;1440,m_end,"&gt;"&amp;1140))))))</f>
        <v/>
      </c>
      <c r="AF15" s="86" t="str">
        <f aca="false">IF(OR(AF$4="",MONTH(($G$2+14))&lt;&gt;MONTH($C$2)),"",IF(COUNTIFS(m_teacher,AF$4,m_date,($G$2+14),m_active,1,m_start,"&lt;"&amp;1440,m_end,"&gt;"&amp;1140)=0,"",IF(COUNTIFS(m_teacher,AF$4,m_date,($G$2+14),m_active,1,m_start,"&lt;"&amp;1440,m_end,"&gt;"&amp;1140)&gt;1,"충돌",HYPERLINK("#'관리자_MASTER'!D"&amp;_xlfn.MAXIFS(m_row,m_teacher,AF$4,m_date,($G$2+14),m_active,1,m_start,"&lt;"&amp;1440,m_end,"&gt;"&amp;1140),INDEX(m_label,_xlfn.MAXIFS(m_row,m_teacher,AF$4,m_date,($G$2+14),m_active,1,m_start,"&lt;"&amp;1440,m_end,"&gt;"&amp;1140))))))</f>
        <v/>
      </c>
      <c r="AG15" s="86" t="str">
        <f aca="false">IF(OR(AG$4="",MONTH(($G$2+14))&lt;&gt;MONTH($C$2)),"",IF(COUNTIFS(m_teacher,AG$4,m_date,($G$2+14),m_active,1,m_start,"&lt;"&amp;1440,m_end,"&gt;"&amp;1140)=0,"",IF(COUNTIFS(m_teacher,AG$4,m_date,($G$2+14),m_active,1,m_start,"&lt;"&amp;1440,m_end,"&gt;"&amp;1140)&gt;1,"충돌",HYPERLINK("#'관리자_MASTER'!D"&amp;_xlfn.MAXIFS(m_row,m_teacher,AG$4,m_date,($G$2+14),m_active,1,m_start,"&lt;"&amp;1440,m_end,"&gt;"&amp;1140),INDEX(m_label,_xlfn.MAXIFS(m_row,m_teacher,AG$4,m_date,($G$2+14),m_active,1,m_start,"&lt;"&amp;1440,m_end,"&gt;"&amp;1140))))))</f>
        <v/>
      </c>
      <c r="AH15" s="86" t="str">
        <f aca="false">IF(OR(AH$4="",MONTH(($G$2+14))&lt;&gt;MONTH($C$2)),"",IF(COUNTIFS(m_teacher,AH$4,m_date,($G$2+14),m_active,1,m_start,"&lt;"&amp;1440,m_end,"&gt;"&amp;1140)=0,"",IF(COUNTIFS(m_teacher,AH$4,m_date,($G$2+14),m_active,1,m_start,"&lt;"&amp;1440,m_end,"&gt;"&amp;1140)&gt;1,"충돌",HYPERLINK("#'관리자_MASTER'!D"&amp;_xlfn.MAXIFS(m_row,m_teacher,AH$4,m_date,($G$2+14),m_active,1,m_start,"&lt;"&amp;1440,m_end,"&gt;"&amp;1140),INDEX(m_label,_xlfn.MAXIFS(m_row,m_teacher,AH$4,m_date,($G$2+14),m_active,1,m_start,"&lt;"&amp;1440,m_end,"&gt;"&amp;1140))))))</f>
        <v/>
      </c>
      <c r="AI15" s="86" t="str">
        <f aca="false">IF(OR(AI$4="",MONTH(($G$2+14))&lt;&gt;MONTH($C$2)),"",IF(COUNTIFS(m_teacher,AI$4,m_date,($G$2+14),m_active,1,m_start,"&lt;"&amp;1440,m_end,"&gt;"&amp;1140)=0,"",IF(COUNTIFS(m_teacher,AI$4,m_date,($G$2+14),m_active,1,m_start,"&lt;"&amp;1440,m_end,"&gt;"&amp;1140)&gt;1,"충돌",HYPERLINK("#'관리자_MASTER'!D"&amp;_xlfn.MAXIFS(m_row,m_teacher,AI$4,m_date,($G$2+14),m_active,1,m_start,"&lt;"&amp;1440,m_end,"&gt;"&amp;1140),INDEX(m_label,_xlfn.MAXIFS(m_row,m_teacher,AI$4,m_date,($G$2+14),m_active,1,m_start,"&lt;"&amp;1440,m_end,"&gt;"&amp;1140))))))</f>
        <v/>
      </c>
      <c r="AJ15" s="86" t="str">
        <f aca="false">IF(OR(AJ$4="",MONTH(($G$2+14))&lt;&gt;MONTH($C$2)),"",IF(COUNTIFS(m_teacher,AJ$4,m_date,($G$2+14),m_active,1,m_start,"&lt;"&amp;1440,m_end,"&gt;"&amp;1140)=0,"",IF(COUNTIFS(m_teacher,AJ$4,m_date,($G$2+14),m_active,1,m_start,"&lt;"&amp;1440,m_end,"&gt;"&amp;1140)&gt;1,"충돌",HYPERLINK("#'관리자_MASTER'!D"&amp;_xlfn.MAXIFS(m_row,m_teacher,AJ$4,m_date,($G$2+14),m_active,1,m_start,"&lt;"&amp;1440,m_end,"&gt;"&amp;1140),INDEX(m_label,_xlfn.MAXIFS(m_row,m_teacher,AJ$4,m_date,($G$2+14),m_active,1,m_start,"&lt;"&amp;1440,m_end,"&gt;"&amp;1140))))))</f>
        <v/>
      </c>
      <c r="AK15" s="86" t="str">
        <f aca="false">IF(OR(AK$4="",MONTH(($G$2+14))&lt;&gt;MONTH($C$2)),"",IF(COUNTIFS(m_teacher,AK$4,m_date,($G$2+14),m_active,1,m_start,"&lt;"&amp;1440,m_end,"&gt;"&amp;1140)=0,"",IF(COUNTIFS(m_teacher,AK$4,m_date,($G$2+14),m_active,1,m_start,"&lt;"&amp;1440,m_end,"&gt;"&amp;1140)&gt;1,"충돌",HYPERLINK("#'관리자_MASTER'!D"&amp;_xlfn.MAXIFS(m_row,m_teacher,AK$4,m_date,($G$2+14),m_active,1,m_start,"&lt;"&amp;1440,m_end,"&gt;"&amp;1140),INDEX(m_label,_xlfn.MAXIFS(m_row,m_teacher,AK$4,m_date,($G$2+14),m_active,1,m_start,"&lt;"&amp;1440,m_end,"&gt;"&amp;1140))))))</f>
        <v/>
      </c>
      <c r="AL15" s="86" t="str">
        <f aca="false">IF(OR(AL$4="",MONTH(($G$2+14))&lt;&gt;MONTH($C$2)),"",IF(COUNTIFS(m_teacher,AL$4,m_date,($G$2+14),m_active,1,m_start,"&lt;"&amp;1440,m_end,"&gt;"&amp;1140)=0,"",IF(COUNTIFS(m_teacher,AL$4,m_date,($G$2+14),m_active,1,m_start,"&lt;"&amp;1440,m_end,"&gt;"&amp;1140)&gt;1,"충돌",HYPERLINK("#'관리자_MASTER'!D"&amp;_xlfn.MAXIFS(m_row,m_teacher,AL$4,m_date,($G$2+14),m_active,1,m_start,"&lt;"&amp;1440,m_end,"&gt;"&amp;1140),INDEX(m_label,_xlfn.MAXIFS(m_row,m_teacher,AL$4,m_date,($G$2+14),m_active,1,m_start,"&lt;"&amp;1440,m_end,"&gt;"&amp;1140))))))</f>
        <v/>
      </c>
      <c r="AM15" s="86" t="str">
        <f aca="false">IF(OR(AM$4="",MONTH(($G$2+14))&lt;&gt;MONTH($C$2)),"",IF(COUNTIFS(m_teacher,AM$4,m_date,($G$2+14),m_active,1,m_start,"&lt;"&amp;1440,m_end,"&gt;"&amp;1140)=0,"",IF(COUNTIFS(m_teacher,AM$4,m_date,($G$2+14),m_active,1,m_start,"&lt;"&amp;1440,m_end,"&gt;"&amp;1140)&gt;1,"충돌",HYPERLINK("#'관리자_MASTER'!D"&amp;_xlfn.MAXIFS(m_row,m_teacher,AM$4,m_date,($G$2+14),m_active,1,m_start,"&lt;"&amp;1440,m_end,"&gt;"&amp;1140),INDEX(m_label,_xlfn.MAXIFS(m_row,m_teacher,AM$4,m_date,($G$2+14),m_active,1,m_start,"&lt;"&amp;1440,m_end,"&gt;"&amp;1140))))))</f>
        <v/>
      </c>
      <c r="AN15" s="86" t="str">
        <f aca="false">IF(OR(AN$4="",MONTH(($G$2+14))&lt;&gt;MONTH($C$2)),"",IF(COUNTIFS(m_teacher,AN$4,m_date,($G$2+14),m_active,1,m_start,"&lt;"&amp;1440,m_end,"&gt;"&amp;1140)=0,"",IF(COUNTIFS(m_teacher,AN$4,m_date,($G$2+14),m_active,1,m_start,"&lt;"&amp;1440,m_end,"&gt;"&amp;1140)&gt;1,"충돌",HYPERLINK("#'관리자_MASTER'!D"&amp;_xlfn.MAXIFS(m_row,m_teacher,AN$4,m_date,($G$2+14),m_active,1,m_start,"&lt;"&amp;1440,m_end,"&gt;"&amp;1140),INDEX(m_label,_xlfn.MAXIFS(m_row,m_teacher,AN$4,m_date,($G$2+14),m_active,1,m_start,"&lt;"&amp;1440,m_end,"&gt;"&amp;1140))))))</f>
        <v/>
      </c>
      <c r="AO15" s="86" t="str">
        <f aca="false">IF(OR(AO$4="",MONTH(($G$2+14))&lt;&gt;MONTH($C$2)),"",IF(COUNTIFS(m_teacher,AO$4,m_date,($G$2+14),m_active,1,m_start,"&lt;"&amp;1440,m_end,"&gt;"&amp;1140)=0,"",IF(COUNTIFS(m_teacher,AO$4,m_date,($G$2+14),m_active,1,m_start,"&lt;"&amp;1440,m_end,"&gt;"&amp;1140)&gt;1,"충돌",HYPERLINK("#'관리자_MASTER'!D"&amp;_xlfn.MAXIFS(m_row,m_teacher,AO$4,m_date,($G$2+14),m_active,1,m_start,"&lt;"&amp;1440,m_end,"&gt;"&amp;1140),INDEX(m_label,_xlfn.MAXIFS(m_row,m_teacher,AO$4,m_date,($G$2+14),m_active,1,m_start,"&lt;"&amp;1440,m_end,"&gt;"&amp;1140))))))</f>
        <v/>
      </c>
      <c r="AP15" s="86" t="str">
        <f aca="false">IF(OR(AP$4="",MONTH(($G$2+14))&lt;&gt;MONTH($C$2)),"",IF(COUNTIFS(m_teacher,AP$4,m_date,($G$2+14),m_active,1,m_start,"&lt;"&amp;1440,m_end,"&gt;"&amp;1140)=0,"",IF(COUNTIFS(m_teacher,AP$4,m_date,($G$2+14),m_active,1,m_start,"&lt;"&amp;1440,m_end,"&gt;"&amp;1140)&gt;1,"충돌",HYPERLINK("#'관리자_MASTER'!D"&amp;_xlfn.MAXIFS(m_row,m_teacher,AP$4,m_date,($G$2+14),m_active,1,m_start,"&lt;"&amp;1440,m_end,"&gt;"&amp;1140),INDEX(m_label,_xlfn.MAXIFS(m_row,m_teacher,AP$4,m_date,($G$2+14),m_active,1,m_start,"&lt;"&amp;1440,m_end,"&gt;"&amp;1140))))))</f>
        <v/>
      </c>
      <c r="AQ15" s="78"/>
      <c r="AR15" s="85" t="s">
        <v>101</v>
      </c>
      <c r="AS15" s="86" t="str">
        <f aca="false">IF(OR(AS$4="",MONTH(($G$2+21))&lt;&gt;MONTH($C$2)),"",IF(COUNTIFS(m_teacher,AS$4,m_date,($G$2+21),m_active,1,m_start,"&lt;"&amp;1440,m_end,"&gt;"&amp;1140)=0,"",IF(COUNTIFS(m_teacher,AS$4,m_date,($G$2+21),m_active,1,m_start,"&lt;"&amp;1440,m_end,"&gt;"&amp;1140)&gt;1,"충돌",HYPERLINK("#'관리자_MASTER'!D"&amp;_xlfn.MAXIFS(m_row,m_teacher,AS$4,m_date,($G$2+21),m_active,1,m_start,"&lt;"&amp;1440,m_end,"&gt;"&amp;1140),INDEX(m_label,_xlfn.MAXIFS(m_row,m_teacher,AS$4,m_date,($G$2+21),m_active,1,m_start,"&lt;"&amp;1440,m_end,"&gt;"&amp;1140))))))</f>
        <v/>
      </c>
      <c r="AT15" s="86" t="str">
        <f aca="false">IF(OR(AT$4="",MONTH(($G$2+21))&lt;&gt;MONTH($C$2)),"",IF(COUNTIFS(m_teacher,AT$4,m_date,($G$2+21),m_active,1,m_start,"&lt;"&amp;1440,m_end,"&gt;"&amp;1140)=0,"",IF(COUNTIFS(m_teacher,AT$4,m_date,($G$2+21),m_active,1,m_start,"&lt;"&amp;1440,m_end,"&gt;"&amp;1140)&gt;1,"충돌",HYPERLINK("#'관리자_MASTER'!D"&amp;_xlfn.MAXIFS(m_row,m_teacher,AT$4,m_date,($G$2+21),m_active,1,m_start,"&lt;"&amp;1440,m_end,"&gt;"&amp;1140),INDEX(m_label,_xlfn.MAXIFS(m_row,m_teacher,AT$4,m_date,($G$2+21),m_active,1,m_start,"&lt;"&amp;1440,m_end,"&gt;"&amp;1140))))))</f>
        <v/>
      </c>
      <c r="AU15" s="86" t="str">
        <f aca="false">IF(OR(AU$4="",MONTH(($G$2+21))&lt;&gt;MONTH($C$2)),"",IF(COUNTIFS(m_teacher,AU$4,m_date,($G$2+21),m_active,1,m_start,"&lt;"&amp;1440,m_end,"&gt;"&amp;1140)=0,"",IF(COUNTIFS(m_teacher,AU$4,m_date,($G$2+21),m_active,1,m_start,"&lt;"&amp;1440,m_end,"&gt;"&amp;1140)&gt;1,"충돌",HYPERLINK("#'관리자_MASTER'!D"&amp;_xlfn.MAXIFS(m_row,m_teacher,AU$4,m_date,($G$2+21),m_active,1,m_start,"&lt;"&amp;1440,m_end,"&gt;"&amp;1140),INDEX(m_label,_xlfn.MAXIFS(m_row,m_teacher,AU$4,m_date,($G$2+21),m_active,1,m_start,"&lt;"&amp;1440,m_end,"&gt;"&amp;1140))))))</f>
        <v/>
      </c>
      <c r="AV15" s="86" t="str">
        <f aca="false">IF(OR(AV$4="",MONTH(($G$2+21))&lt;&gt;MONTH($C$2)),"",IF(COUNTIFS(m_teacher,AV$4,m_date,($G$2+21),m_active,1,m_start,"&lt;"&amp;1440,m_end,"&gt;"&amp;1140)=0,"",IF(COUNTIFS(m_teacher,AV$4,m_date,($G$2+21),m_active,1,m_start,"&lt;"&amp;1440,m_end,"&gt;"&amp;1140)&gt;1,"충돌",HYPERLINK("#'관리자_MASTER'!D"&amp;_xlfn.MAXIFS(m_row,m_teacher,AV$4,m_date,($G$2+21),m_active,1,m_start,"&lt;"&amp;1440,m_end,"&gt;"&amp;1140),INDEX(m_label,_xlfn.MAXIFS(m_row,m_teacher,AV$4,m_date,($G$2+21),m_active,1,m_start,"&lt;"&amp;1440,m_end,"&gt;"&amp;1140))))))</f>
        <v/>
      </c>
      <c r="AW15" s="86" t="str">
        <f aca="false">IF(OR(AW$4="",MONTH(($G$2+21))&lt;&gt;MONTH($C$2)),"",IF(COUNTIFS(m_teacher,AW$4,m_date,($G$2+21),m_active,1,m_start,"&lt;"&amp;1440,m_end,"&gt;"&amp;1140)=0,"",IF(COUNTIFS(m_teacher,AW$4,m_date,($G$2+21),m_active,1,m_start,"&lt;"&amp;1440,m_end,"&gt;"&amp;1140)&gt;1,"충돌",HYPERLINK("#'관리자_MASTER'!D"&amp;_xlfn.MAXIFS(m_row,m_teacher,AW$4,m_date,($G$2+21),m_active,1,m_start,"&lt;"&amp;1440,m_end,"&gt;"&amp;1140),INDEX(m_label,_xlfn.MAXIFS(m_row,m_teacher,AW$4,m_date,($G$2+21),m_active,1,m_start,"&lt;"&amp;1440,m_end,"&gt;"&amp;1140))))))</f>
        <v/>
      </c>
      <c r="AX15" s="86" t="str">
        <f aca="false">IF(OR(AX$4="",MONTH(($G$2+21))&lt;&gt;MONTH($C$2)),"",IF(COUNTIFS(m_teacher,AX$4,m_date,($G$2+21),m_active,1,m_start,"&lt;"&amp;1440,m_end,"&gt;"&amp;1140)=0,"",IF(COUNTIFS(m_teacher,AX$4,m_date,($G$2+21),m_active,1,m_start,"&lt;"&amp;1440,m_end,"&gt;"&amp;1140)&gt;1,"충돌",HYPERLINK("#'관리자_MASTER'!D"&amp;_xlfn.MAXIFS(m_row,m_teacher,AX$4,m_date,($G$2+21),m_active,1,m_start,"&lt;"&amp;1440,m_end,"&gt;"&amp;1140),INDEX(m_label,_xlfn.MAXIFS(m_row,m_teacher,AX$4,m_date,($G$2+21),m_active,1,m_start,"&lt;"&amp;1440,m_end,"&gt;"&amp;1140))))))</f>
        <v/>
      </c>
      <c r="AY15" s="86" t="str">
        <f aca="false">IF(OR(AY$4="",MONTH(($G$2+21))&lt;&gt;MONTH($C$2)),"",IF(COUNTIFS(m_teacher,AY$4,m_date,($G$2+21),m_active,1,m_start,"&lt;"&amp;1440,m_end,"&gt;"&amp;1140)=0,"",IF(COUNTIFS(m_teacher,AY$4,m_date,($G$2+21),m_active,1,m_start,"&lt;"&amp;1440,m_end,"&gt;"&amp;1140)&gt;1,"충돌",HYPERLINK("#'관리자_MASTER'!D"&amp;_xlfn.MAXIFS(m_row,m_teacher,AY$4,m_date,($G$2+21),m_active,1,m_start,"&lt;"&amp;1440,m_end,"&gt;"&amp;1140),INDEX(m_label,_xlfn.MAXIFS(m_row,m_teacher,AY$4,m_date,($G$2+21),m_active,1,m_start,"&lt;"&amp;1440,m_end,"&gt;"&amp;1140))))))</f>
        <v/>
      </c>
      <c r="AZ15" s="86" t="str">
        <f aca="false">IF(OR(AZ$4="",MONTH(($G$2+21))&lt;&gt;MONTH($C$2)),"",IF(COUNTIFS(m_teacher,AZ$4,m_date,($G$2+21),m_active,1,m_start,"&lt;"&amp;1440,m_end,"&gt;"&amp;1140)=0,"",IF(COUNTIFS(m_teacher,AZ$4,m_date,($G$2+21),m_active,1,m_start,"&lt;"&amp;1440,m_end,"&gt;"&amp;1140)&gt;1,"충돌",HYPERLINK("#'관리자_MASTER'!D"&amp;_xlfn.MAXIFS(m_row,m_teacher,AZ$4,m_date,($G$2+21),m_active,1,m_start,"&lt;"&amp;1440,m_end,"&gt;"&amp;1140),INDEX(m_label,_xlfn.MAXIFS(m_row,m_teacher,AZ$4,m_date,($G$2+21),m_active,1,m_start,"&lt;"&amp;1440,m_end,"&gt;"&amp;1140))))))</f>
        <v/>
      </c>
      <c r="BA15" s="86" t="str">
        <f aca="false">IF(OR(BA$4="",MONTH(($G$2+21))&lt;&gt;MONTH($C$2)),"",IF(COUNTIFS(m_teacher,BA$4,m_date,($G$2+21),m_active,1,m_start,"&lt;"&amp;1440,m_end,"&gt;"&amp;1140)=0,"",IF(COUNTIFS(m_teacher,BA$4,m_date,($G$2+21),m_active,1,m_start,"&lt;"&amp;1440,m_end,"&gt;"&amp;1140)&gt;1,"충돌",HYPERLINK("#'관리자_MASTER'!D"&amp;_xlfn.MAXIFS(m_row,m_teacher,BA$4,m_date,($G$2+21),m_active,1,m_start,"&lt;"&amp;1440,m_end,"&gt;"&amp;1140),INDEX(m_label,_xlfn.MAXIFS(m_row,m_teacher,BA$4,m_date,($G$2+21),m_active,1,m_start,"&lt;"&amp;1440,m_end,"&gt;"&amp;1140))))))</f>
        <v/>
      </c>
      <c r="BB15" s="86" t="str">
        <f aca="false">IF(OR(BB$4="",MONTH(($G$2+21))&lt;&gt;MONTH($C$2)),"",IF(COUNTIFS(m_teacher,BB$4,m_date,($G$2+21),m_active,1,m_start,"&lt;"&amp;1440,m_end,"&gt;"&amp;1140)=0,"",IF(COUNTIFS(m_teacher,BB$4,m_date,($G$2+21),m_active,1,m_start,"&lt;"&amp;1440,m_end,"&gt;"&amp;1140)&gt;1,"충돌",HYPERLINK("#'관리자_MASTER'!D"&amp;_xlfn.MAXIFS(m_row,m_teacher,BB$4,m_date,($G$2+21),m_active,1,m_start,"&lt;"&amp;1440,m_end,"&gt;"&amp;1140),INDEX(m_label,_xlfn.MAXIFS(m_row,m_teacher,BB$4,m_date,($G$2+21),m_active,1,m_start,"&lt;"&amp;1440,m_end,"&gt;"&amp;1140))))))</f>
        <v/>
      </c>
      <c r="BC15" s="86" t="str">
        <f aca="false">IF(OR(BC$4="",MONTH(($G$2+21))&lt;&gt;MONTH($C$2)),"",IF(COUNTIFS(m_teacher,BC$4,m_date,($G$2+21),m_active,1,m_start,"&lt;"&amp;1440,m_end,"&gt;"&amp;1140)=0,"",IF(COUNTIFS(m_teacher,BC$4,m_date,($G$2+21),m_active,1,m_start,"&lt;"&amp;1440,m_end,"&gt;"&amp;1140)&gt;1,"충돌",HYPERLINK("#'관리자_MASTER'!D"&amp;_xlfn.MAXIFS(m_row,m_teacher,BC$4,m_date,($G$2+21),m_active,1,m_start,"&lt;"&amp;1440,m_end,"&gt;"&amp;1140),INDEX(m_label,_xlfn.MAXIFS(m_row,m_teacher,BC$4,m_date,($G$2+21),m_active,1,m_start,"&lt;"&amp;1440,m_end,"&gt;"&amp;1140))))))</f>
        <v/>
      </c>
      <c r="BD15" s="86" t="str">
        <f aca="false">IF(OR(BD$4="",MONTH(($G$2+21))&lt;&gt;MONTH($C$2)),"",IF(COUNTIFS(m_teacher,BD$4,m_date,($G$2+21),m_active,1,m_start,"&lt;"&amp;1440,m_end,"&gt;"&amp;1140)=0,"",IF(COUNTIFS(m_teacher,BD$4,m_date,($G$2+21),m_active,1,m_start,"&lt;"&amp;1440,m_end,"&gt;"&amp;1140)&gt;1,"충돌",HYPERLINK("#'관리자_MASTER'!D"&amp;_xlfn.MAXIFS(m_row,m_teacher,BD$4,m_date,($G$2+21),m_active,1,m_start,"&lt;"&amp;1440,m_end,"&gt;"&amp;1140),INDEX(m_label,_xlfn.MAXIFS(m_row,m_teacher,BD$4,m_date,($G$2+21),m_active,1,m_start,"&lt;"&amp;1440,m_end,"&gt;"&amp;1140))))))</f>
        <v/>
      </c>
      <c r="BE15" s="78"/>
      <c r="BF15" s="85" t="s">
        <v>101</v>
      </c>
      <c r="BG15" s="86" t="str">
        <f aca="false">IF(OR(BG$4="",MONTH(($G$2+28))&lt;&gt;MONTH($C$2)),"",IF(COUNTIFS(m_teacher,BG$4,m_date,($G$2+28),m_active,1,m_start,"&lt;"&amp;1440,m_end,"&gt;"&amp;1140)=0,"",IF(COUNTIFS(m_teacher,BG$4,m_date,($G$2+28),m_active,1,m_start,"&lt;"&amp;1440,m_end,"&gt;"&amp;1140)&gt;1,"충돌",HYPERLINK("#'관리자_MASTER'!D"&amp;_xlfn.MAXIFS(m_row,m_teacher,BG$4,m_date,($G$2+28),m_active,1,m_start,"&lt;"&amp;1440,m_end,"&gt;"&amp;1140),INDEX(m_label,_xlfn.MAXIFS(m_row,m_teacher,BG$4,m_date,($G$2+28),m_active,1,m_start,"&lt;"&amp;1440,m_end,"&gt;"&amp;1140))))))</f>
        <v/>
      </c>
      <c r="BH15" s="86" t="str">
        <f aca="false">IF(OR(BH$4="",MONTH(($G$2+28))&lt;&gt;MONTH($C$2)),"",IF(COUNTIFS(m_teacher,BH$4,m_date,($G$2+28),m_active,1,m_start,"&lt;"&amp;1440,m_end,"&gt;"&amp;1140)=0,"",IF(COUNTIFS(m_teacher,BH$4,m_date,($G$2+28),m_active,1,m_start,"&lt;"&amp;1440,m_end,"&gt;"&amp;1140)&gt;1,"충돌",HYPERLINK("#'관리자_MASTER'!D"&amp;_xlfn.MAXIFS(m_row,m_teacher,BH$4,m_date,($G$2+28),m_active,1,m_start,"&lt;"&amp;1440,m_end,"&gt;"&amp;1140),INDEX(m_label,_xlfn.MAXIFS(m_row,m_teacher,BH$4,m_date,($G$2+28),m_active,1,m_start,"&lt;"&amp;1440,m_end,"&gt;"&amp;1140))))))</f>
        <v/>
      </c>
      <c r="BI15" s="86" t="str">
        <f aca="false">IF(OR(BI$4="",MONTH(($G$2+28))&lt;&gt;MONTH($C$2)),"",IF(COUNTIFS(m_teacher,BI$4,m_date,($G$2+28),m_active,1,m_start,"&lt;"&amp;1440,m_end,"&gt;"&amp;1140)=0,"",IF(COUNTIFS(m_teacher,BI$4,m_date,($G$2+28),m_active,1,m_start,"&lt;"&amp;1440,m_end,"&gt;"&amp;1140)&gt;1,"충돌",HYPERLINK("#'관리자_MASTER'!D"&amp;_xlfn.MAXIFS(m_row,m_teacher,BI$4,m_date,($G$2+28),m_active,1,m_start,"&lt;"&amp;1440,m_end,"&gt;"&amp;1140),INDEX(m_label,_xlfn.MAXIFS(m_row,m_teacher,BI$4,m_date,($G$2+28),m_active,1,m_start,"&lt;"&amp;1440,m_end,"&gt;"&amp;1140))))))</f>
        <v/>
      </c>
      <c r="BJ15" s="86" t="str">
        <f aca="false">IF(OR(BJ$4="",MONTH(($G$2+28))&lt;&gt;MONTH($C$2)),"",IF(COUNTIFS(m_teacher,BJ$4,m_date,($G$2+28),m_active,1,m_start,"&lt;"&amp;1440,m_end,"&gt;"&amp;1140)=0,"",IF(COUNTIFS(m_teacher,BJ$4,m_date,($G$2+28),m_active,1,m_start,"&lt;"&amp;1440,m_end,"&gt;"&amp;1140)&gt;1,"충돌",HYPERLINK("#'관리자_MASTER'!D"&amp;_xlfn.MAXIFS(m_row,m_teacher,BJ$4,m_date,($G$2+28),m_active,1,m_start,"&lt;"&amp;1440,m_end,"&gt;"&amp;1140),INDEX(m_label,_xlfn.MAXIFS(m_row,m_teacher,BJ$4,m_date,($G$2+28),m_active,1,m_start,"&lt;"&amp;1440,m_end,"&gt;"&amp;1140))))))</f>
        <v/>
      </c>
      <c r="BK15" s="86" t="str">
        <f aca="false">IF(OR(BK$4="",MONTH(($G$2+28))&lt;&gt;MONTH($C$2)),"",IF(COUNTIFS(m_teacher,BK$4,m_date,($G$2+28),m_active,1,m_start,"&lt;"&amp;1440,m_end,"&gt;"&amp;1140)=0,"",IF(COUNTIFS(m_teacher,BK$4,m_date,($G$2+28),m_active,1,m_start,"&lt;"&amp;1440,m_end,"&gt;"&amp;1140)&gt;1,"충돌",HYPERLINK("#'관리자_MASTER'!D"&amp;_xlfn.MAXIFS(m_row,m_teacher,BK$4,m_date,($G$2+28),m_active,1,m_start,"&lt;"&amp;1440,m_end,"&gt;"&amp;1140),INDEX(m_label,_xlfn.MAXIFS(m_row,m_teacher,BK$4,m_date,($G$2+28),m_active,1,m_start,"&lt;"&amp;1440,m_end,"&gt;"&amp;1140))))))</f>
        <v/>
      </c>
      <c r="BL15" s="86" t="str">
        <f aca="false">IF(OR(BL$4="",MONTH(($G$2+28))&lt;&gt;MONTH($C$2)),"",IF(COUNTIFS(m_teacher,BL$4,m_date,($G$2+28),m_active,1,m_start,"&lt;"&amp;1440,m_end,"&gt;"&amp;1140)=0,"",IF(COUNTIFS(m_teacher,BL$4,m_date,($G$2+28),m_active,1,m_start,"&lt;"&amp;1440,m_end,"&gt;"&amp;1140)&gt;1,"충돌",HYPERLINK("#'관리자_MASTER'!D"&amp;_xlfn.MAXIFS(m_row,m_teacher,BL$4,m_date,($G$2+28),m_active,1,m_start,"&lt;"&amp;1440,m_end,"&gt;"&amp;1140),INDEX(m_label,_xlfn.MAXIFS(m_row,m_teacher,BL$4,m_date,($G$2+28),m_active,1,m_start,"&lt;"&amp;1440,m_end,"&gt;"&amp;1140))))))</f>
        <v/>
      </c>
      <c r="BM15" s="86" t="str">
        <f aca="false">IF(OR(BM$4="",MONTH(($G$2+28))&lt;&gt;MONTH($C$2)),"",IF(COUNTIFS(m_teacher,BM$4,m_date,($G$2+28),m_active,1,m_start,"&lt;"&amp;1440,m_end,"&gt;"&amp;1140)=0,"",IF(COUNTIFS(m_teacher,BM$4,m_date,($G$2+28),m_active,1,m_start,"&lt;"&amp;1440,m_end,"&gt;"&amp;1140)&gt;1,"충돌",HYPERLINK("#'관리자_MASTER'!D"&amp;_xlfn.MAXIFS(m_row,m_teacher,BM$4,m_date,($G$2+28),m_active,1,m_start,"&lt;"&amp;1440,m_end,"&gt;"&amp;1140),INDEX(m_label,_xlfn.MAXIFS(m_row,m_teacher,BM$4,m_date,($G$2+28),m_active,1,m_start,"&lt;"&amp;1440,m_end,"&gt;"&amp;1140))))))</f>
        <v/>
      </c>
      <c r="BN15" s="86" t="str">
        <f aca="false">IF(OR(BN$4="",MONTH(($G$2+28))&lt;&gt;MONTH($C$2)),"",IF(COUNTIFS(m_teacher,BN$4,m_date,($G$2+28),m_active,1,m_start,"&lt;"&amp;1440,m_end,"&gt;"&amp;1140)=0,"",IF(COUNTIFS(m_teacher,BN$4,m_date,($G$2+28),m_active,1,m_start,"&lt;"&amp;1440,m_end,"&gt;"&amp;1140)&gt;1,"충돌",HYPERLINK("#'관리자_MASTER'!D"&amp;_xlfn.MAXIFS(m_row,m_teacher,BN$4,m_date,($G$2+28),m_active,1,m_start,"&lt;"&amp;1440,m_end,"&gt;"&amp;1140),INDEX(m_label,_xlfn.MAXIFS(m_row,m_teacher,BN$4,m_date,($G$2+28),m_active,1,m_start,"&lt;"&amp;1440,m_end,"&gt;"&amp;1140))))))</f>
        <v/>
      </c>
      <c r="BO15" s="86" t="str">
        <f aca="false">IF(OR(BO$4="",MONTH(($G$2+28))&lt;&gt;MONTH($C$2)),"",IF(COUNTIFS(m_teacher,BO$4,m_date,($G$2+28),m_active,1,m_start,"&lt;"&amp;1440,m_end,"&gt;"&amp;1140)=0,"",IF(COUNTIFS(m_teacher,BO$4,m_date,($G$2+28),m_active,1,m_start,"&lt;"&amp;1440,m_end,"&gt;"&amp;1140)&gt;1,"충돌",HYPERLINK("#'관리자_MASTER'!D"&amp;_xlfn.MAXIFS(m_row,m_teacher,BO$4,m_date,($G$2+28),m_active,1,m_start,"&lt;"&amp;1440,m_end,"&gt;"&amp;1140),INDEX(m_label,_xlfn.MAXIFS(m_row,m_teacher,BO$4,m_date,($G$2+28),m_active,1,m_start,"&lt;"&amp;1440,m_end,"&gt;"&amp;1140))))))</f>
        <v/>
      </c>
      <c r="BP15" s="86" t="str">
        <f aca="false">IF(OR(BP$4="",MONTH(($G$2+28))&lt;&gt;MONTH($C$2)),"",IF(COUNTIFS(m_teacher,BP$4,m_date,($G$2+28),m_active,1,m_start,"&lt;"&amp;1440,m_end,"&gt;"&amp;1140)=0,"",IF(COUNTIFS(m_teacher,BP$4,m_date,($G$2+28),m_active,1,m_start,"&lt;"&amp;1440,m_end,"&gt;"&amp;1140)&gt;1,"충돌",HYPERLINK("#'관리자_MASTER'!D"&amp;_xlfn.MAXIFS(m_row,m_teacher,BP$4,m_date,($G$2+28),m_active,1,m_start,"&lt;"&amp;1440,m_end,"&gt;"&amp;1140),INDEX(m_label,_xlfn.MAXIFS(m_row,m_teacher,BP$4,m_date,($G$2+28),m_active,1,m_start,"&lt;"&amp;1440,m_end,"&gt;"&amp;1140))))))</f>
        <v/>
      </c>
      <c r="BQ15" s="86" t="str">
        <f aca="false">IF(OR(BQ$4="",MONTH(($G$2+28))&lt;&gt;MONTH($C$2)),"",IF(COUNTIFS(m_teacher,BQ$4,m_date,($G$2+28),m_active,1,m_start,"&lt;"&amp;1440,m_end,"&gt;"&amp;1140)=0,"",IF(COUNTIFS(m_teacher,BQ$4,m_date,($G$2+28),m_active,1,m_start,"&lt;"&amp;1440,m_end,"&gt;"&amp;1140)&gt;1,"충돌",HYPERLINK("#'관리자_MASTER'!D"&amp;_xlfn.MAXIFS(m_row,m_teacher,BQ$4,m_date,($G$2+28),m_active,1,m_start,"&lt;"&amp;1440,m_end,"&gt;"&amp;1140),INDEX(m_label,_xlfn.MAXIFS(m_row,m_teacher,BQ$4,m_date,($G$2+28),m_active,1,m_start,"&lt;"&amp;1440,m_end,"&gt;"&amp;1140))))))</f>
        <v/>
      </c>
      <c r="BR15" s="86" t="str">
        <f aca="false">IF(OR(BR$4="",MONTH(($G$2+28))&lt;&gt;MONTH($C$2)),"",IF(COUNTIFS(m_teacher,BR$4,m_date,($G$2+28),m_active,1,m_start,"&lt;"&amp;1440,m_end,"&gt;"&amp;1140)=0,"",IF(COUNTIFS(m_teacher,BR$4,m_date,($G$2+28),m_active,1,m_start,"&lt;"&amp;1440,m_end,"&gt;"&amp;1140)&gt;1,"충돌",HYPERLINK("#'관리자_MASTER'!D"&amp;_xlfn.MAXIFS(m_row,m_teacher,BR$4,m_date,($G$2+28),m_active,1,m_start,"&lt;"&amp;1440,m_end,"&gt;"&amp;1140),INDEX(m_label,_xlfn.MAXIFS(m_row,m_teacher,BR$4,m_date,($G$2+28),m_active,1,m_start,"&lt;"&amp;1440,m_end,"&gt;"&amp;1140))))))</f>
        <v/>
      </c>
    </row>
    <row r="16" customFormat="false" ht="19.5" hidden="false" customHeight="true" outlineLevel="0" collapsed="false">
      <c r="A16" s="75" t="str">
        <f aca="false">IF(MONTH(($G$2+1))&lt;&gt;MONTH($C$2),"",CHOOSE(WEEKDAY(($G$2+1),2),"월","화","수","목","금","토","일")&amp;CHAR(10)&amp;TEXT(($G$2+1),"m/d"))</f>
        <v/>
      </c>
      <c r="B16" s="76" t="s">
        <v>91</v>
      </c>
      <c r="C16" s="77" t="str">
        <f aca="false">IF(OR(C$4="",MONTH(($G$2+1))&lt;&gt;MONTH($C$2)),"",IF(COUNTIFS(m_teacher,C$4,m_date,($G$2+1),m_active,1,m_start,"&lt;"&amp;600,m_end,"&gt;"&amp;0)=0,"",IF(COUNTIFS(m_teacher,C$4,m_date,($G$2+1),m_active,1,m_start,"&lt;"&amp;600,m_end,"&gt;"&amp;0)&gt;1,"충돌",HYPERLINK("#'관리자_MASTER'!D"&amp;_xlfn.MAXIFS(m_row,m_teacher,C$4,m_date,($G$2+1),m_active,1,m_start,"&lt;"&amp;600,m_end,"&gt;"&amp;0),INDEX(m_label,_xlfn.MAXIFS(m_row,m_teacher,C$4,m_date,($G$2+1),m_active,1,m_start,"&lt;"&amp;600,m_end,"&gt;"&amp;0))))))</f>
        <v/>
      </c>
      <c r="D16" s="77" t="str">
        <f aca="false">IF(OR(D$4="",MONTH(($G$2+1))&lt;&gt;MONTH($C$2)),"",IF(COUNTIFS(m_teacher,D$4,m_date,($G$2+1),m_active,1,m_start,"&lt;"&amp;600,m_end,"&gt;"&amp;0)=0,"",IF(COUNTIFS(m_teacher,D$4,m_date,($G$2+1),m_active,1,m_start,"&lt;"&amp;600,m_end,"&gt;"&amp;0)&gt;1,"충돌",HYPERLINK("#'관리자_MASTER'!D"&amp;_xlfn.MAXIFS(m_row,m_teacher,D$4,m_date,($G$2+1),m_active,1,m_start,"&lt;"&amp;600,m_end,"&gt;"&amp;0),INDEX(m_label,_xlfn.MAXIFS(m_row,m_teacher,D$4,m_date,($G$2+1),m_active,1,m_start,"&lt;"&amp;600,m_end,"&gt;"&amp;0))))))</f>
        <v/>
      </c>
      <c r="E16" s="77" t="str">
        <f aca="false">IF(OR(E$4="",MONTH(($G$2+1))&lt;&gt;MONTH($C$2)),"",IF(COUNTIFS(m_teacher,E$4,m_date,($G$2+1),m_active,1,m_start,"&lt;"&amp;600,m_end,"&gt;"&amp;0)=0,"",IF(COUNTIFS(m_teacher,E$4,m_date,($G$2+1),m_active,1,m_start,"&lt;"&amp;600,m_end,"&gt;"&amp;0)&gt;1,"충돌",HYPERLINK("#'관리자_MASTER'!D"&amp;_xlfn.MAXIFS(m_row,m_teacher,E$4,m_date,($G$2+1),m_active,1,m_start,"&lt;"&amp;600,m_end,"&gt;"&amp;0),INDEX(m_label,_xlfn.MAXIFS(m_row,m_teacher,E$4,m_date,($G$2+1),m_active,1,m_start,"&lt;"&amp;600,m_end,"&gt;"&amp;0))))))</f>
        <v/>
      </c>
      <c r="F16" s="77" t="str">
        <f aca="false">IF(OR(F$4="",MONTH(($G$2+1))&lt;&gt;MONTH($C$2)),"",IF(COUNTIFS(m_teacher,F$4,m_date,($G$2+1),m_active,1,m_start,"&lt;"&amp;600,m_end,"&gt;"&amp;0)=0,"",IF(COUNTIFS(m_teacher,F$4,m_date,($G$2+1),m_active,1,m_start,"&lt;"&amp;600,m_end,"&gt;"&amp;0)&gt;1,"충돌",HYPERLINK("#'관리자_MASTER'!D"&amp;_xlfn.MAXIFS(m_row,m_teacher,F$4,m_date,($G$2+1),m_active,1,m_start,"&lt;"&amp;600,m_end,"&gt;"&amp;0),INDEX(m_label,_xlfn.MAXIFS(m_row,m_teacher,F$4,m_date,($G$2+1),m_active,1,m_start,"&lt;"&amp;600,m_end,"&gt;"&amp;0))))))</f>
        <v/>
      </c>
      <c r="G16" s="77" t="str">
        <f aca="false">IF(OR(G$4="",MONTH(($G$2+1))&lt;&gt;MONTH($C$2)),"",IF(COUNTIFS(m_teacher,G$4,m_date,($G$2+1),m_active,1,m_start,"&lt;"&amp;600,m_end,"&gt;"&amp;0)=0,"",IF(COUNTIFS(m_teacher,G$4,m_date,($G$2+1),m_active,1,m_start,"&lt;"&amp;600,m_end,"&gt;"&amp;0)&gt;1,"충돌",HYPERLINK("#'관리자_MASTER'!D"&amp;_xlfn.MAXIFS(m_row,m_teacher,G$4,m_date,($G$2+1),m_active,1,m_start,"&lt;"&amp;600,m_end,"&gt;"&amp;0),INDEX(m_label,_xlfn.MAXIFS(m_row,m_teacher,G$4,m_date,($G$2+1),m_active,1,m_start,"&lt;"&amp;600,m_end,"&gt;"&amp;0))))))</f>
        <v/>
      </c>
      <c r="H16" s="77" t="str">
        <f aca="false">IF(OR(H$4="",MONTH(($G$2+1))&lt;&gt;MONTH($C$2)),"",IF(COUNTIFS(m_teacher,H$4,m_date,($G$2+1),m_active,1,m_start,"&lt;"&amp;600,m_end,"&gt;"&amp;0)=0,"",IF(COUNTIFS(m_teacher,H$4,m_date,($G$2+1),m_active,1,m_start,"&lt;"&amp;600,m_end,"&gt;"&amp;0)&gt;1,"충돌",HYPERLINK("#'관리자_MASTER'!D"&amp;_xlfn.MAXIFS(m_row,m_teacher,H$4,m_date,($G$2+1),m_active,1,m_start,"&lt;"&amp;600,m_end,"&gt;"&amp;0),INDEX(m_label,_xlfn.MAXIFS(m_row,m_teacher,H$4,m_date,($G$2+1),m_active,1,m_start,"&lt;"&amp;600,m_end,"&gt;"&amp;0))))))</f>
        <v/>
      </c>
      <c r="I16" s="77" t="str">
        <f aca="false">IF(OR(I$4="",MONTH(($G$2+1))&lt;&gt;MONTH($C$2)),"",IF(COUNTIFS(m_teacher,I$4,m_date,($G$2+1),m_active,1,m_start,"&lt;"&amp;600,m_end,"&gt;"&amp;0)=0,"",IF(COUNTIFS(m_teacher,I$4,m_date,($G$2+1),m_active,1,m_start,"&lt;"&amp;600,m_end,"&gt;"&amp;0)&gt;1,"충돌",HYPERLINK("#'관리자_MASTER'!D"&amp;_xlfn.MAXIFS(m_row,m_teacher,I$4,m_date,($G$2+1),m_active,1,m_start,"&lt;"&amp;600,m_end,"&gt;"&amp;0),INDEX(m_label,_xlfn.MAXIFS(m_row,m_teacher,I$4,m_date,($G$2+1),m_active,1,m_start,"&lt;"&amp;600,m_end,"&gt;"&amp;0))))))</f>
        <v/>
      </c>
      <c r="J16" s="77" t="str">
        <f aca="false">IF(OR(J$4="",MONTH(($G$2+1))&lt;&gt;MONTH($C$2)),"",IF(COUNTIFS(m_teacher,J$4,m_date,($G$2+1),m_active,1,m_start,"&lt;"&amp;600,m_end,"&gt;"&amp;0)=0,"",IF(COUNTIFS(m_teacher,J$4,m_date,($G$2+1),m_active,1,m_start,"&lt;"&amp;600,m_end,"&gt;"&amp;0)&gt;1,"충돌",HYPERLINK("#'관리자_MASTER'!D"&amp;_xlfn.MAXIFS(m_row,m_teacher,J$4,m_date,($G$2+1),m_active,1,m_start,"&lt;"&amp;600,m_end,"&gt;"&amp;0),INDEX(m_label,_xlfn.MAXIFS(m_row,m_teacher,J$4,m_date,($G$2+1),m_active,1,m_start,"&lt;"&amp;600,m_end,"&gt;"&amp;0))))))</f>
        <v/>
      </c>
      <c r="K16" s="77" t="str">
        <f aca="false">IF(OR(K$4="",MONTH(($G$2+1))&lt;&gt;MONTH($C$2)),"",IF(COUNTIFS(m_teacher,K$4,m_date,($G$2+1),m_active,1,m_start,"&lt;"&amp;600,m_end,"&gt;"&amp;0)=0,"",IF(COUNTIFS(m_teacher,K$4,m_date,($G$2+1),m_active,1,m_start,"&lt;"&amp;600,m_end,"&gt;"&amp;0)&gt;1,"충돌",HYPERLINK("#'관리자_MASTER'!D"&amp;_xlfn.MAXIFS(m_row,m_teacher,K$4,m_date,($G$2+1),m_active,1,m_start,"&lt;"&amp;600,m_end,"&gt;"&amp;0),INDEX(m_label,_xlfn.MAXIFS(m_row,m_teacher,K$4,m_date,($G$2+1),m_active,1,m_start,"&lt;"&amp;600,m_end,"&gt;"&amp;0))))))</f>
        <v/>
      </c>
      <c r="L16" s="77" t="str">
        <f aca="false">IF(OR(L$4="",MONTH(($G$2+1))&lt;&gt;MONTH($C$2)),"",IF(COUNTIFS(m_teacher,L$4,m_date,($G$2+1),m_active,1,m_start,"&lt;"&amp;600,m_end,"&gt;"&amp;0)=0,"",IF(COUNTIFS(m_teacher,L$4,m_date,($G$2+1),m_active,1,m_start,"&lt;"&amp;600,m_end,"&gt;"&amp;0)&gt;1,"충돌",HYPERLINK("#'관리자_MASTER'!D"&amp;_xlfn.MAXIFS(m_row,m_teacher,L$4,m_date,($G$2+1),m_active,1,m_start,"&lt;"&amp;600,m_end,"&gt;"&amp;0),INDEX(m_label,_xlfn.MAXIFS(m_row,m_teacher,L$4,m_date,($G$2+1),m_active,1,m_start,"&lt;"&amp;600,m_end,"&gt;"&amp;0))))))</f>
        <v/>
      </c>
      <c r="M16" s="77" t="str">
        <f aca="false">IF(OR(M$4="",MONTH(($G$2+1))&lt;&gt;MONTH($C$2)),"",IF(COUNTIFS(m_teacher,M$4,m_date,($G$2+1),m_active,1,m_start,"&lt;"&amp;600,m_end,"&gt;"&amp;0)=0,"",IF(COUNTIFS(m_teacher,M$4,m_date,($G$2+1),m_active,1,m_start,"&lt;"&amp;600,m_end,"&gt;"&amp;0)&gt;1,"충돌",HYPERLINK("#'관리자_MASTER'!D"&amp;_xlfn.MAXIFS(m_row,m_teacher,M$4,m_date,($G$2+1),m_active,1,m_start,"&lt;"&amp;600,m_end,"&gt;"&amp;0),INDEX(m_label,_xlfn.MAXIFS(m_row,m_teacher,M$4,m_date,($G$2+1),m_active,1,m_start,"&lt;"&amp;600,m_end,"&gt;"&amp;0))))))</f>
        <v/>
      </c>
      <c r="N16" s="77" t="str">
        <f aca="false">IF(OR(N$4="",MONTH(($G$2+1))&lt;&gt;MONTH($C$2)),"",IF(COUNTIFS(m_teacher,N$4,m_date,($G$2+1),m_active,1,m_start,"&lt;"&amp;600,m_end,"&gt;"&amp;0)=0,"",IF(COUNTIFS(m_teacher,N$4,m_date,($G$2+1),m_active,1,m_start,"&lt;"&amp;600,m_end,"&gt;"&amp;0)&gt;1,"충돌",HYPERLINK("#'관리자_MASTER'!D"&amp;_xlfn.MAXIFS(m_row,m_teacher,N$4,m_date,($G$2+1),m_active,1,m_start,"&lt;"&amp;600,m_end,"&gt;"&amp;0),INDEX(m_label,_xlfn.MAXIFS(m_row,m_teacher,N$4,m_date,($G$2+1),m_active,1,m_start,"&lt;"&amp;600,m_end,"&gt;"&amp;0))))))</f>
        <v/>
      </c>
      <c r="O16" s="78" t="str">
        <f aca="false">IF(MONTH(($G$2+8))&lt;&gt;MONTH($C$2),"",CHOOSE(WEEKDAY(($G$2+8),2),"월","화","수","목","금","토","일")&amp;CHAR(10)&amp;TEXT(($G$2+8),"m/d"))</f>
        <v>화
1/5</v>
      </c>
      <c r="P16" s="79" t="s">
        <v>91</v>
      </c>
      <c r="Q16" s="87" t="str">
        <f aca="false">IF(OR(Q$4="",MONTH(($G$2+8))&lt;&gt;MONTH($C$2)),"",IF(COUNTIFS(m_teacher,Q$4,m_date,($G$2+8),m_active,1,m_start,"&lt;"&amp;600,m_end,"&gt;"&amp;0)=0,"",IF(COUNTIFS(m_teacher,Q$4,m_date,($G$2+8),m_active,1,m_start,"&lt;"&amp;600,m_end,"&gt;"&amp;0)&gt;1,"충돌",HYPERLINK("#'관리자_MASTER'!D"&amp;_xlfn.MAXIFS(m_row,m_teacher,Q$4,m_date,($G$2+8),m_active,1,m_start,"&lt;"&amp;600,m_end,"&gt;"&amp;0),INDEX(m_label,_xlfn.MAXIFS(m_row,m_teacher,Q$4,m_date,($G$2+8),m_active,1,m_start,"&lt;"&amp;600,m_end,"&gt;"&amp;0))))))</f>
        <v/>
      </c>
      <c r="R16" s="87" t="str">
        <f aca="false">IF(OR(R$4="",MONTH(($G$2+8))&lt;&gt;MONTH($C$2)),"",IF(COUNTIFS(m_teacher,R$4,m_date,($G$2+8),m_active,1,m_start,"&lt;"&amp;600,m_end,"&gt;"&amp;0)=0,"",IF(COUNTIFS(m_teacher,R$4,m_date,($G$2+8),m_active,1,m_start,"&lt;"&amp;600,m_end,"&gt;"&amp;0)&gt;1,"충돌",HYPERLINK("#'관리자_MASTER'!D"&amp;_xlfn.MAXIFS(m_row,m_teacher,R$4,m_date,($G$2+8),m_active,1,m_start,"&lt;"&amp;600,m_end,"&gt;"&amp;0),INDEX(m_label,_xlfn.MAXIFS(m_row,m_teacher,R$4,m_date,($G$2+8),m_active,1,m_start,"&lt;"&amp;600,m_end,"&gt;"&amp;0))))))</f>
        <v/>
      </c>
      <c r="S16" s="87" t="str">
        <f aca="false">IF(OR(S$4="",MONTH(($G$2+8))&lt;&gt;MONTH($C$2)),"",IF(COUNTIFS(m_teacher,S$4,m_date,($G$2+8),m_active,1,m_start,"&lt;"&amp;600,m_end,"&gt;"&amp;0)=0,"",IF(COUNTIFS(m_teacher,S$4,m_date,($G$2+8),m_active,1,m_start,"&lt;"&amp;600,m_end,"&gt;"&amp;0)&gt;1,"충돌",HYPERLINK("#'관리자_MASTER'!D"&amp;_xlfn.MAXIFS(m_row,m_teacher,S$4,m_date,($G$2+8),m_active,1,m_start,"&lt;"&amp;600,m_end,"&gt;"&amp;0),INDEX(m_label,_xlfn.MAXIFS(m_row,m_teacher,S$4,m_date,($G$2+8),m_active,1,m_start,"&lt;"&amp;600,m_end,"&gt;"&amp;0))))))</f>
        <v/>
      </c>
      <c r="T16" s="87" t="str">
        <f aca="false">IF(OR(T$4="",MONTH(($G$2+8))&lt;&gt;MONTH($C$2)),"",IF(COUNTIFS(m_teacher,T$4,m_date,($G$2+8),m_active,1,m_start,"&lt;"&amp;600,m_end,"&gt;"&amp;0)=0,"",IF(COUNTIFS(m_teacher,T$4,m_date,($G$2+8),m_active,1,m_start,"&lt;"&amp;600,m_end,"&gt;"&amp;0)&gt;1,"충돌",HYPERLINK("#'관리자_MASTER'!D"&amp;_xlfn.MAXIFS(m_row,m_teacher,T$4,m_date,($G$2+8),m_active,1,m_start,"&lt;"&amp;600,m_end,"&gt;"&amp;0),INDEX(m_label,_xlfn.MAXIFS(m_row,m_teacher,T$4,m_date,($G$2+8),m_active,1,m_start,"&lt;"&amp;600,m_end,"&gt;"&amp;0))))))</f>
        <v/>
      </c>
      <c r="U16" s="87" t="str">
        <f aca="false">IF(OR(U$4="",MONTH(($G$2+8))&lt;&gt;MONTH($C$2)),"",IF(COUNTIFS(m_teacher,U$4,m_date,($G$2+8),m_active,1,m_start,"&lt;"&amp;600,m_end,"&gt;"&amp;0)=0,"",IF(COUNTIFS(m_teacher,U$4,m_date,($G$2+8),m_active,1,m_start,"&lt;"&amp;600,m_end,"&gt;"&amp;0)&gt;1,"충돌",HYPERLINK("#'관리자_MASTER'!D"&amp;_xlfn.MAXIFS(m_row,m_teacher,U$4,m_date,($G$2+8),m_active,1,m_start,"&lt;"&amp;600,m_end,"&gt;"&amp;0),INDEX(m_label,_xlfn.MAXIFS(m_row,m_teacher,U$4,m_date,($G$2+8),m_active,1,m_start,"&lt;"&amp;600,m_end,"&gt;"&amp;0))))))</f>
        <v/>
      </c>
      <c r="V16" s="87" t="str">
        <f aca="false">IF(OR(V$4="",MONTH(($G$2+8))&lt;&gt;MONTH($C$2)),"",IF(COUNTIFS(m_teacher,V$4,m_date,($G$2+8),m_active,1,m_start,"&lt;"&amp;600,m_end,"&gt;"&amp;0)=0,"",IF(COUNTIFS(m_teacher,V$4,m_date,($G$2+8),m_active,1,m_start,"&lt;"&amp;600,m_end,"&gt;"&amp;0)&gt;1,"충돌",HYPERLINK("#'관리자_MASTER'!D"&amp;_xlfn.MAXIFS(m_row,m_teacher,V$4,m_date,($G$2+8),m_active,1,m_start,"&lt;"&amp;600,m_end,"&gt;"&amp;0),INDEX(m_label,_xlfn.MAXIFS(m_row,m_teacher,V$4,m_date,($G$2+8),m_active,1,m_start,"&lt;"&amp;600,m_end,"&gt;"&amp;0))))))</f>
        <v/>
      </c>
      <c r="W16" s="87" t="str">
        <f aca="false">IF(OR(W$4="",MONTH(($G$2+8))&lt;&gt;MONTH($C$2)),"",IF(COUNTIFS(m_teacher,W$4,m_date,($G$2+8),m_active,1,m_start,"&lt;"&amp;600,m_end,"&gt;"&amp;0)=0,"",IF(COUNTIFS(m_teacher,W$4,m_date,($G$2+8),m_active,1,m_start,"&lt;"&amp;600,m_end,"&gt;"&amp;0)&gt;1,"충돌",HYPERLINK("#'관리자_MASTER'!D"&amp;_xlfn.MAXIFS(m_row,m_teacher,W$4,m_date,($G$2+8),m_active,1,m_start,"&lt;"&amp;600,m_end,"&gt;"&amp;0),INDEX(m_label,_xlfn.MAXIFS(m_row,m_teacher,W$4,m_date,($G$2+8),m_active,1,m_start,"&lt;"&amp;600,m_end,"&gt;"&amp;0))))))</f>
        <v/>
      </c>
      <c r="X16" s="87" t="str">
        <f aca="false">IF(OR(X$4="",MONTH(($G$2+8))&lt;&gt;MONTH($C$2)),"",IF(COUNTIFS(m_teacher,X$4,m_date,($G$2+8),m_active,1,m_start,"&lt;"&amp;600,m_end,"&gt;"&amp;0)=0,"",IF(COUNTIFS(m_teacher,X$4,m_date,($G$2+8),m_active,1,m_start,"&lt;"&amp;600,m_end,"&gt;"&amp;0)&gt;1,"충돌",HYPERLINK("#'관리자_MASTER'!D"&amp;_xlfn.MAXIFS(m_row,m_teacher,X$4,m_date,($G$2+8),m_active,1,m_start,"&lt;"&amp;600,m_end,"&gt;"&amp;0),INDEX(m_label,_xlfn.MAXIFS(m_row,m_teacher,X$4,m_date,($G$2+8),m_active,1,m_start,"&lt;"&amp;600,m_end,"&gt;"&amp;0))))))</f>
        <v/>
      </c>
      <c r="Y16" s="87" t="str">
        <f aca="false">IF(OR(Y$4="",MONTH(($G$2+8))&lt;&gt;MONTH($C$2)),"",IF(COUNTIFS(m_teacher,Y$4,m_date,($G$2+8),m_active,1,m_start,"&lt;"&amp;600,m_end,"&gt;"&amp;0)=0,"",IF(COUNTIFS(m_teacher,Y$4,m_date,($G$2+8),m_active,1,m_start,"&lt;"&amp;600,m_end,"&gt;"&amp;0)&gt;1,"충돌",HYPERLINK("#'관리자_MASTER'!D"&amp;_xlfn.MAXIFS(m_row,m_teacher,Y$4,m_date,($G$2+8),m_active,1,m_start,"&lt;"&amp;600,m_end,"&gt;"&amp;0),INDEX(m_label,_xlfn.MAXIFS(m_row,m_teacher,Y$4,m_date,($G$2+8),m_active,1,m_start,"&lt;"&amp;600,m_end,"&gt;"&amp;0))))))</f>
        <v/>
      </c>
      <c r="Z16" s="87" t="str">
        <f aca="false">IF(OR(Z$4="",MONTH(($G$2+8))&lt;&gt;MONTH($C$2)),"",IF(COUNTIFS(m_teacher,Z$4,m_date,($G$2+8),m_active,1,m_start,"&lt;"&amp;600,m_end,"&gt;"&amp;0)=0,"",IF(COUNTIFS(m_teacher,Z$4,m_date,($G$2+8),m_active,1,m_start,"&lt;"&amp;600,m_end,"&gt;"&amp;0)&gt;1,"충돌",HYPERLINK("#'관리자_MASTER'!D"&amp;_xlfn.MAXIFS(m_row,m_teacher,Z$4,m_date,($G$2+8),m_active,1,m_start,"&lt;"&amp;600,m_end,"&gt;"&amp;0),INDEX(m_label,_xlfn.MAXIFS(m_row,m_teacher,Z$4,m_date,($G$2+8),m_active,1,m_start,"&lt;"&amp;600,m_end,"&gt;"&amp;0))))))</f>
        <v/>
      </c>
      <c r="AA16" s="87" t="str">
        <f aca="false">IF(OR(AA$4="",MONTH(($G$2+8))&lt;&gt;MONTH($C$2)),"",IF(COUNTIFS(m_teacher,AA$4,m_date,($G$2+8),m_active,1,m_start,"&lt;"&amp;600,m_end,"&gt;"&amp;0)=0,"",IF(COUNTIFS(m_teacher,AA$4,m_date,($G$2+8),m_active,1,m_start,"&lt;"&amp;600,m_end,"&gt;"&amp;0)&gt;1,"충돌",HYPERLINK("#'관리자_MASTER'!D"&amp;_xlfn.MAXIFS(m_row,m_teacher,AA$4,m_date,($G$2+8),m_active,1,m_start,"&lt;"&amp;600,m_end,"&gt;"&amp;0),INDEX(m_label,_xlfn.MAXIFS(m_row,m_teacher,AA$4,m_date,($G$2+8),m_active,1,m_start,"&lt;"&amp;600,m_end,"&gt;"&amp;0))))))</f>
        <v/>
      </c>
      <c r="AB16" s="87" t="str">
        <f aca="false">IF(OR(AB$4="",MONTH(($G$2+8))&lt;&gt;MONTH($C$2)),"",IF(COUNTIFS(m_teacher,AB$4,m_date,($G$2+8),m_active,1,m_start,"&lt;"&amp;600,m_end,"&gt;"&amp;0)=0,"",IF(COUNTIFS(m_teacher,AB$4,m_date,($G$2+8),m_active,1,m_start,"&lt;"&amp;600,m_end,"&gt;"&amp;0)&gt;1,"충돌",HYPERLINK("#'관리자_MASTER'!D"&amp;_xlfn.MAXIFS(m_row,m_teacher,AB$4,m_date,($G$2+8),m_active,1,m_start,"&lt;"&amp;600,m_end,"&gt;"&amp;0),INDEX(m_label,_xlfn.MAXIFS(m_row,m_teacher,AB$4,m_date,($G$2+8),m_active,1,m_start,"&lt;"&amp;600,m_end,"&gt;"&amp;0))))))</f>
        <v/>
      </c>
      <c r="AC16" s="78" t="str">
        <f aca="false">IF(MONTH(($G$2+15))&lt;&gt;MONTH($C$2),"",CHOOSE(WEEKDAY(($G$2+15),2),"월","화","수","목","금","토","일")&amp;CHAR(10)&amp;TEXT(($G$2+15),"m/d"))</f>
        <v>화
1/12</v>
      </c>
      <c r="AD16" s="79" t="s">
        <v>91</v>
      </c>
      <c r="AE16" s="87" t="str">
        <f aca="false">IF(OR(AE$4="",MONTH(($G$2+15))&lt;&gt;MONTH($C$2)),"",IF(COUNTIFS(m_teacher,AE$4,m_date,($G$2+15),m_active,1,m_start,"&lt;"&amp;600,m_end,"&gt;"&amp;0)=0,"",IF(COUNTIFS(m_teacher,AE$4,m_date,($G$2+15),m_active,1,m_start,"&lt;"&amp;600,m_end,"&gt;"&amp;0)&gt;1,"충돌",HYPERLINK("#'관리자_MASTER'!D"&amp;_xlfn.MAXIFS(m_row,m_teacher,AE$4,m_date,($G$2+15),m_active,1,m_start,"&lt;"&amp;600,m_end,"&gt;"&amp;0),INDEX(m_label,_xlfn.MAXIFS(m_row,m_teacher,AE$4,m_date,($G$2+15),m_active,1,m_start,"&lt;"&amp;600,m_end,"&gt;"&amp;0))))))</f>
        <v/>
      </c>
      <c r="AF16" s="87" t="str">
        <f aca="false">IF(OR(AF$4="",MONTH(($G$2+15))&lt;&gt;MONTH($C$2)),"",IF(COUNTIFS(m_teacher,AF$4,m_date,($G$2+15),m_active,1,m_start,"&lt;"&amp;600,m_end,"&gt;"&amp;0)=0,"",IF(COUNTIFS(m_teacher,AF$4,m_date,($G$2+15),m_active,1,m_start,"&lt;"&amp;600,m_end,"&gt;"&amp;0)&gt;1,"충돌",HYPERLINK("#'관리자_MASTER'!D"&amp;_xlfn.MAXIFS(m_row,m_teacher,AF$4,m_date,($G$2+15),m_active,1,m_start,"&lt;"&amp;600,m_end,"&gt;"&amp;0),INDEX(m_label,_xlfn.MAXIFS(m_row,m_teacher,AF$4,m_date,($G$2+15),m_active,1,m_start,"&lt;"&amp;600,m_end,"&gt;"&amp;0))))))</f>
        <v/>
      </c>
      <c r="AG16" s="87" t="str">
        <f aca="false">IF(OR(AG$4="",MONTH(($G$2+15))&lt;&gt;MONTH($C$2)),"",IF(COUNTIFS(m_teacher,AG$4,m_date,($G$2+15),m_active,1,m_start,"&lt;"&amp;600,m_end,"&gt;"&amp;0)=0,"",IF(COUNTIFS(m_teacher,AG$4,m_date,($G$2+15),m_active,1,m_start,"&lt;"&amp;600,m_end,"&gt;"&amp;0)&gt;1,"충돌",HYPERLINK("#'관리자_MASTER'!D"&amp;_xlfn.MAXIFS(m_row,m_teacher,AG$4,m_date,($G$2+15),m_active,1,m_start,"&lt;"&amp;600,m_end,"&gt;"&amp;0),INDEX(m_label,_xlfn.MAXIFS(m_row,m_teacher,AG$4,m_date,($G$2+15),m_active,1,m_start,"&lt;"&amp;600,m_end,"&gt;"&amp;0))))))</f>
        <v/>
      </c>
      <c r="AH16" s="87" t="str">
        <f aca="false">IF(OR(AH$4="",MONTH(($G$2+15))&lt;&gt;MONTH($C$2)),"",IF(COUNTIFS(m_teacher,AH$4,m_date,($G$2+15),m_active,1,m_start,"&lt;"&amp;600,m_end,"&gt;"&amp;0)=0,"",IF(COUNTIFS(m_teacher,AH$4,m_date,($G$2+15),m_active,1,m_start,"&lt;"&amp;600,m_end,"&gt;"&amp;0)&gt;1,"충돌",HYPERLINK("#'관리자_MASTER'!D"&amp;_xlfn.MAXIFS(m_row,m_teacher,AH$4,m_date,($G$2+15),m_active,1,m_start,"&lt;"&amp;600,m_end,"&gt;"&amp;0),INDEX(m_label,_xlfn.MAXIFS(m_row,m_teacher,AH$4,m_date,($G$2+15),m_active,1,m_start,"&lt;"&amp;600,m_end,"&gt;"&amp;0))))))</f>
        <v/>
      </c>
      <c r="AI16" s="87" t="str">
        <f aca="false">IF(OR(AI$4="",MONTH(($G$2+15))&lt;&gt;MONTH($C$2)),"",IF(COUNTIFS(m_teacher,AI$4,m_date,($G$2+15),m_active,1,m_start,"&lt;"&amp;600,m_end,"&gt;"&amp;0)=0,"",IF(COUNTIFS(m_teacher,AI$4,m_date,($G$2+15),m_active,1,m_start,"&lt;"&amp;600,m_end,"&gt;"&amp;0)&gt;1,"충돌",HYPERLINK("#'관리자_MASTER'!D"&amp;_xlfn.MAXIFS(m_row,m_teacher,AI$4,m_date,($G$2+15),m_active,1,m_start,"&lt;"&amp;600,m_end,"&gt;"&amp;0),INDEX(m_label,_xlfn.MAXIFS(m_row,m_teacher,AI$4,m_date,($G$2+15),m_active,1,m_start,"&lt;"&amp;600,m_end,"&gt;"&amp;0))))))</f>
        <v/>
      </c>
      <c r="AJ16" s="87" t="str">
        <f aca="false">IF(OR(AJ$4="",MONTH(($G$2+15))&lt;&gt;MONTH($C$2)),"",IF(COUNTIFS(m_teacher,AJ$4,m_date,($G$2+15),m_active,1,m_start,"&lt;"&amp;600,m_end,"&gt;"&amp;0)=0,"",IF(COUNTIFS(m_teacher,AJ$4,m_date,($G$2+15),m_active,1,m_start,"&lt;"&amp;600,m_end,"&gt;"&amp;0)&gt;1,"충돌",HYPERLINK("#'관리자_MASTER'!D"&amp;_xlfn.MAXIFS(m_row,m_teacher,AJ$4,m_date,($G$2+15),m_active,1,m_start,"&lt;"&amp;600,m_end,"&gt;"&amp;0),INDEX(m_label,_xlfn.MAXIFS(m_row,m_teacher,AJ$4,m_date,($G$2+15),m_active,1,m_start,"&lt;"&amp;600,m_end,"&gt;"&amp;0))))))</f>
        <v/>
      </c>
      <c r="AK16" s="87" t="str">
        <f aca="false">IF(OR(AK$4="",MONTH(($G$2+15))&lt;&gt;MONTH($C$2)),"",IF(COUNTIFS(m_teacher,AK$4,m_date,($G$2+15),m_active,1,m_start,"&lt;"&amp;600,m_end,"&gt;"&amp;0)=0,"",IF(COUNTIFS(m_teacher,AK$4,m_date,($G$2+15),m_active,1,m_start,"&lt;"&amp;600,m_end,"&gt;"&amp;0)&gt;1,"충돌",HYPERLINK("#'관리자_MASTER'!D"&amp;_xlfn.MAXIFS(m_row,m_teacher,AK$4,m_date,($G$2+15),m_active,1,m_start,"&lt;"&amp;600,m_end,"&gt;"&amp;0),INDEX(m_label,_xlfn.MAXIFS(m_row,m_teacher,AK$4,m_date,($G$2+15),m_active,1,m_start,"&lt;"&amp;600,m_end,"&gt;"&amp;0))))))</f>
        <v/>
      </c>
      <c r="AL16" s="87" t="str">
        <f aca="false">IF(OR(AL$4="",MONTH(($G$2+15))&lt;&gt;MONTH($C$2)),"",IF(COUNTIFS(m_teacher,AL$4,m_date,($G$2+15),m_active,1,m_start,"&lt;"&amp;600,m_end,"&gt;"&amp;0)=0,"",IF(COUNTIFS(m_teacher,AL$4,m_date,($G$2+15),m_active,1,m_start,"&lt;"&amp;600,m_end,"&gt;"&amp;0)&gt;1,"충돌",HYPERLINK("#'관리자_MASTER'!D"&amp;_xlfn.MAXIFS(m_row,m_teacher,AL$4,m_date,($G$2+15),m_active,1,m_start,"&lt;"&amp;600,m_end,"&gt;"&amp;0),INDEX(m_label,_xlfn.MAXIFS(m_row,m_teacher,AL$4,m_date,($G$2+15),m_active,1,m_start,"&lt;"&amp;600,m_end,"&gt;"&amp;0))))))</f>
        <v/>
      </c>
      <c r="AM16" s="87" t="str">
        <f aca="false">IF(OR(AM$4="",MONTH(($G$2+15))&lt;&gt;MONTH($C$2)),"",IF(COUNTIFS(m_teacher,AM$4,m_date,($G$2+15),m_active,1,m_start,"&lt;"&amp;600,m_end,"&gt;"&amp;0)=0,"",IF(COUNTIFS(m_teacher,AM$4,m_date,($G$2+15),m_active,1,m_start,"&lt;"&amp;600,m_end,"&gt;"&amp;0)&gt;1,"충돌",HYPERLINK("#'관리자_MASTER'!D"&amp;_xlfn.MAXIFS(m_row,m_teacher,AM$4,m_date,($G$2+15),m_active,1,m_start,"&lt;"&amp;600,m_end,"&gt;"&amp;0),INDEX(m_label,_xlfn.MAXIFS(m_row,m_teacher,AM$4,m_date,($G$2+15),m_active,1,m_start,"&lt;"&amp;600,m_end,"&gt;"&amp;0))))))</f>
        <v/>
      </c>
      <c r="AN16" s="87" t="str">
        <f aca="false">IF(OR(AN$4="",MONTH(($G$2+15))&lt;&gt;MONTH($C$2)),"",IF(COUNTIFS(m_teacher,AN$4,m_date,($G$2+15),m_active,1,m_start,"&lt;"&amp;600,m_end,"&gt;"&amp;0)=0,"",IF(COUNTIFS(m_teacher,AN$4,m_date,($G$2+15),m_active,1,m_start,"&lt;"&amp;600,m_end,"&gt;"&amp;0)&gt;1,"충돌",HYPERLINK("#'관리자_MASTER'!D"&amp;_xlfn.MAXIFS(m_row,m_teacher,AN$4,m_date,($G$2+15),m_active,1,m_start,"&lt;"&amp;600,m_end,"&gt;"&amp;0),INDEX(m_label,_xlfn.MAXIFS(m_row,m_teacher,AN$4,m_date,($G$2+15),m_active,1,m_start,"&lt;"&amp;600,m_end,"&gt;"&amp;0))))))</f>
        <v/>
      </c>
      <c r="AO16" s="87" t="str">
        <f aca="false">IF(OR(AO$4="",MONTH(($G$2+15))&lt;&gt;MONTH($C$2)),"",IF(COUNTIFS(m_teacher,AO$4,m_date,($G$2+15),m_active,1,m_start,"&lt;"&amp;600,m_end,"&gt;"&amp;0)=0,"",IF(COUNTIFS(m_teacher,AO$4,m_date,($G$2+15),m_active,1,m_start,"&lt;"&amp;600,m_end,"&gt;"&amp;0)&gt;1,"충돌",HYPERLINK("#'관리자_MASTER'!D"&amp;_xlfn.MAXIFS(m_row,m_teacher,AO$4,m_date,($G$2+15),m_active,1,m_start,"&lt;"&amp;600,m_end,"&gt;"&amp;0),INDEX(m_label,_xlfn.MAXIFS(m_row,m_teacher,AO$4,m_date,($G$2+15),m_active,1,m_start,"&lt;"&amp;600,m_end,"&gt;"&amp;0))))))</f>
        <v/>
      </c>
      <c r="AP16" s="87" t="str">
        <f aca="false">IF(OR(AP$4="",MONTH(($G$2+15))&lt;&gt;MONTH($C$2)),"",IF(COUNTIFS(m_teacher,AP$4,m_date,($G$2+15),m_active,1,m_start,"&lt;"&amp;600,m_end,"&gt;"&amp;0)=0,"",IF(COUNTIFS(m_teacher,AP$4,m_date,($G$2+15),m_active,1,m_start,"&lt;"&amp;600,m_end,"&gt;"&amp;0)&gt;1,"충돌",HYPERLINK("#'관리자_MASTER'!D"&amp;_xlfn.MAXIFS(m_row,m_teacher,AP$4,m_date,($G$2+15),m_active,1,m_start,"&lt;"&amp;600,m_end,"&gt;"&amp;0),INDEX(m_label,_xlfn.MAXIFS(m_row,m_teacher,AP$4,m_date,($G$2+15),m_active,1,m_start,"&lt;"&amp;600,m_end,"&gt;"&amp;0))))))</f>
        <v/>
      </c>
      <c r="AQ16" s="78" t="str">
        <f aca="false">IF(MONTH(($G$2+22))&lt;&gt;MONTH($C$2),"",CHOOSE(WEEKDAY(($G$2+22),2),"월","화","수","목","금","토","일")&amp;CHAR(10)&amp;TEXT(($G$2+22),"m/d"))</f>
        <v>화
1/19</v>
      </c>
      <c r="AR16" s="79" t="s">
        <v>91</v>
      </c>
      <c r="AS16" s="87" t="str">
        <f aca="false">IF(OR(AS$4="",MONTH(($G$2+22))&lt;&gt;MONTH($C$2)),"",IF(COUNTIFS(m_teacher,AS$4,m_date,($G$2+22),m_active,1,m_start,"&lt;"&amp;600,m_end,"&gt;"&amp;0)=0,"",IF(COUNTIFS(m_teacher,AS$4,m_date,($G$2+22),m_active,1,m_start,"&lt;"&amp;600,m_end,"&gt;"&amp;0)&gt;1,"충돌",HYPERLINK("#'관리자_MASTER'!D"&amp;_xlfn.MAXIFS(m_row,m_teacher,AS$4,m_date,($G$2+22),m_active,1,m_start,"&lt;"&amp;600,m_end,"&gt;"&amp;0),INDEX(m_label,_xlfn.MAXIFS(m_row,m_teacher,AS$4,m_date,($G$2+22),m_active,1,m_start,"&lt;"&amp;600,m_end,"&gt;"&amp;0))))))</f>
        <v/>
      </c>
      <c r="AT16" s="87" t="str">
        <f aca="false">IF(OR(AT$4="",MONTH(($G$2+22))&lt;&gt;MONTH($C$2)),"",IF(COUNTIFS(m_teacher,AT$4,m_date,($G$2+22),m_active,1,m_start,"&lt;"&amp;600,m_end,"&gt;"&amp;0)=0,"",IF(COUNTIFS(m_teacher,AT$4,m_date,($G$2+22),m_active,1,m_start,"&lt;"&amp;600,m_end,"&gt;"&amp;0)&gt;1,"충돌",HYPERLINK("#'관리자_MASTER'!D"&amp;_xlfn.MAXIFS(m_row,m_teacher,AT$4,m_date,($G$2+22),m_active,1,m_start,"&lt;"&amp;600,m_end,"&gt;"&amp;0),INDEX(m_label,_xlfn.MAXIFS(m_row,m_teacher,AT$4,m_date,($G$2+22),m_active,1,m_start,"&lt;"&amp;600,m_end,"&gt;"&amp;0))))))</f>
        <v/>
      </c>
      <c r="AU16" s="87" t="str">
        <f aca="false">IF(OR(AU$4="",MONTH(($G$2+22))&lt;&gt;MONTH($C$2)),"",IF(COUNTIFS(m_teacher,AU$4,m_date,($G$2+22),m_active,1,m_start,"&lt;"&amp;600,m_end,"&gt;"&amp;0)=0,"",IF(COUNTIFS(m_teacher,AU$4,m_date,($G$2+22),m_active,1,m_start,"&lt;"&amp;600,m_end,"&gt;"&amp;0)&gt;1,"충돌",HYPERLINK("#'관리자_MASTER'!D"&amp;_xlfn.MAXIFS(m_row,m_teacher,AU$4,m_date,($G$2+22),m_active,1,m_start,"&lt;"&amp;600,m_end,"&gt;"&amp;0),INDEX(m_label,_xlfn.MAXIFS(m_row,m_teacher,AU$4,m_date,($G$2+22),m_active,1,m_start,"&lt;"&amp;600,m_end,"&gt;"&amp;0))))))</f>
        <v/>
      </c>
      <c r="AV16" s="87" t="str">
        <f aca="false">IF(OR(AV$4="",MONTH(($G$2+22))&lt;&gt;MONTH($C$2)),"",IF(COUNTIFS(m_teacher,AV$4,m_date,($G$2+22),m_active,1,m_start,"&lt;"&amp;600,m_end,"&gt;"&amp;0)=0,"",IF(COUNTIFS(m_teacher,AV$4,m_date,($G$2+22),m_active,1,m_start,"&lt;"&amp;600,m_end,"&gt;"&amp;0)&gt;1,"충돌",HYPERLINK("#'관리자_MASTER'!D"&amp;_xlfn.MAXIFS(m_row,m_teacher,AV$4,m_date,($G$2+22),m_active,1,m_start,"&lt;"&amp;600,m_end,"&gt;"&amp;0),INDEX(m_label,_xlfn.MAXIFS(m_row,m_teacher,AV$4,m_date,($G$2+22),m_active,1,m_start,"&lt;"&amp;600,m_end,"&gt;"&amp;0))))))</f>
        <v/>
      </c>
      <c r="AW16" s="87" t="str">
        <f aca="false">IF(OR(AW$4="",MONTH(($G$2+22))&lt;&gt;MONTH($C$2)),"",IF(COUNTIFS(m_teacher,AW$4,m_date,($G$2+22),m_active,1,m_start,"&lt;"&amp;600,m_end,"&gt;"&amp;0)=0,"",IF(COUNTIFS(m_teacher,AW$4,m_date,($G$2+22),m_active,1,m_start,"&lt;"&amp;600,m_end,"&gt;"&amp;0)&gt;1,"충돌",HYPERLINK("#'관리자_MASTER'!D"&amp;_xlfn.MAXIFS(m_row,m_teacher,AW$4,m_date,($G$2+22),m_active,1,m_start,"&lt;"&amp;600,m_end,"&gt;"&amp;0),INDEX(m_label,_xlfn.MAXIFS(m_row,m_teacher,AW$4,m_date,($G$2+22),m_active,1,m_start,"&lt;"&amp;600,m_end,"&gt;"&amp;0))))))</f>
        <v/>
      </c>
      <c r="AX16" s="87" t="str">
        <f aca="false">IF(OR(AX$4="",MONTH(($G$2+22))&lt;&gt;MONTH($C$2)),"",IF(COUNTIFS(m_teacher,AX$4,m_date,($G$2+22),m_active,1,m_start,"&lt;"&amp;600,m_end,"&gt;"&amp;0)=0,"",IF(COUNTIFS(m_teacher,AX$4,m_date,($G$2+22),m_active,1,m_start,"&lt;"&amp;600,m_end,"&gt;"&amp;0)&gt;1,"충돌",HYPERLINK("#'관리자_MASTER'!D"&amp;_xlfn.MAXIFS(m_row,m_teacher,AX$4,m_date,($G$2+22),m_active,1,m_start,"&lt;"&amp;600,m_end,"&gt;"&amp;0),INDEX(m_label,_xlfn.MAXIFS(m_row,m_teacher,AX$4,m_date,($G$2+22),m_active,1,m_start,"&lt;"&amp;600,m_end,"&gt;"&amp;0))))))</f>
        <v/>
      </c>
      <c r="AY16" s="87" t="str">
        <f aca="false">IF(OR(AY$4="",MONTH(($G$2+22))&lt;&gt;MONTH($C$2)),"",IF(COUNTIFS(m_teacher,AY$4,m_date,($G$2+22),m_active,1,m_start,"&lt;"&amp;600,m_end,"&gt;"&amp;0)=0,"",IF(COUNTIFS(m_teacher,AY$4,m_date,($G$2+22),m_active,1,m_start,"&lt;"&amp;600,m_end,"&gt;"&amp;0)&gt;1,"충돌",HYPERLINK("#'관리자_MASTER'!D"&amp;_xlfn.MAXIFS(m_row,m_teacher,AY$4,m_date,($G$2+22),m_active,1,m_start,"&lt;"&amp;600,m_end,"&gt;"&amp;0),INDEX(m_label,_xlfn.MAXIFS(m_row,m_teacher,AY$4,m_date,($G$2+22),m_active,1,m_start,"&lt;"&amp;600,m_end,"&gt;"&amp;0))))))</f>
        <v/>
      </c>
      <c r="AZ16" s="87" t="str">
        <f aca="false">IF(OR(AZ$4="",MONTH(($G$2+22))&lt;&gt;MONTH($C$2)),"",IF(COUNTIFS(m_teacher,AZ$4,m_date,($G$2+22),m_active,1,m_start,"&lt;"&amp;600,m_end,"&gt;"&amp;0)=0,"",IF(COUNTIFS(m_teacher,AZ$4,m_date,($G$2+22),m_active,1,m_start,"&lt;"&amp;600,m_end,"&gt;"&amp;0)&gt;1,"충돌",HYPERLINK("#'관리자_MASTER'!D"&amp;_xlfn.MAXIFS(m_row,m_teacher,AZ$4,m_date,($G$2+22),m_active,1,m_start,"&lt;"&amp;600,m_end,"&gt;"&amp;0),INDEX(m_label,_xlfn.MAXIFS(m_row,m_teacher,AZ$4,m_date,($G$2+22),m_active,1,m_start,"&lt;"&amp;600,m_end,"&gt;"&amp;0))))))</f>
        <v/>
      </c>
      <c r="BA16" s="87" t="str">
        <f aca="false">IF(OR(BA$4="",MONTH(($G$2+22))&lt;&gt;MONTH($C$2)),"",IF(COUNTIFS(m_teacher,BA$4,m_date,($G$2+22),m_active,1,m_start,"&lt;"&amp;600,m_end,"&gt;"&amp;0)=0,"",IF(COUNTIFS(m_teacher,BA$4,m_date,($G$2+22),m_active,1,m_start,"&lt;"&amp;600,m_end,"&gt;"&amp;0)&gt;1,"충돌",HYPERLINK("#'관리자_MASTER'!D"&amp;_xlfn.MAXIFS(m_row,m_teacher,BA$4,m_date,($G$2+22),m_active,1,m_start,"&lt;"&amp;600,m_end,"&gt;"&amp;0),INDEX(m_label,_xlfn.MAXIFS(m_row,m_teacher,BA$4,m_date,($G$2+22),m_active,1,m_start,"&lt;"&amp;600,m_end,"&gt;"&amp;0))))))</f>
        <v/>
      </c>
      <c r="BB16" s="87" t="str">
        <f aca="false">IF(OR(BB$4="",MONTH(($G$2+22))&lt;&gt;MONTH($C$2)),"",IF(COUNTIFS(m_teacher,BB$4,m_date,($G$2+22),m_active,1,m_start,"&lt;"&amp;600,m_end,"&gt;"&amp;0)=0,"",IF(COUNTIFS(m_teacher,BB$4,m_date,($G$2+22),m_active,1,m_start,"&lt;"&amp;600,m_end,"&gt;"&amp;0)&gt;1,"충돌",HYPERLINK("#'관리자_MASTER'!D"&amp;_xlfn.MAXIFS(m_row,m_teacher,BB$4,m_date,($G$2+22),m_active,1,m_start,"&lt;"&amp;600,m_end,"&gt;"&amp;0),INDEX(m_label,_xlfn.MAXIFS(m_row,m_teacher,BB$4,m_date,($G$2+22),m_active,1,m_start,"&lt;"&amp;600,m_end,"&gt;"&amp;0))))))</f>
        <v/>
      </c>
      <c r="BC16" s="87" t="str">
        <f aca="false">IF(OR(BC$4="",MONTH(($G$2+22))&lt;&gt;MONTH($C$2)),"",IF(COUNTIFS(m_teacher,BC$4,m_date,($G$2+22),m_active,1,m_start,"&lt;"&amp;600,m_end,"&gt;"&amp;0)=0,"",IF(COUNTIFS(m_teacher,BC$4,m_date,($G$2+22),m_active,1,m_start,"&lt;"&amp;600,m_end,"&gt;"&amp;0)&gt;1,"충돌",HYPERLINK("#'관리자_MASTER'!D"&amp;_xlfn.MAXIFS(m_row,m_teacher,BC$4,m_date,($G$2+22),m_active,1,m_start,"&lt;"&amp;600,m_end,"&gt;"&amp;0),INDEX(m_label,_xlfn.MAXIFS(m_row,m_teacher,BC$4,m_date,($G$2+22),m_active,1,m_start,"&lt;"&amp;600,m_end,"&gt;"&amp;0))))))</f>
        <v/>
      </c>
      <c r="BD16" s="87" t="str">
        <f aca="false">IF(OR(BD$4="",MONTH(($G$2+22))&lt;&gt;MONTH($C$2)),"",IF(COUNTIFS(m_teacher,BD$4,m_date,($G$2+22),m_active,1,m_start,"&lt;"&amp;600,m_end,"&gt;"&amp;0)=0,"",IF(COUNTIFS(m_teacher,BD$4,m_date,($G$2+22),m_active,1,m_start,"&lt;"&amp;600,m_end,"&gt;"&amp;0)&gt;1,"충돌",HYPERLINK("#'관리자_MASTER'!D"&amp;_xlfn.MAXIFS(m_row,m_teacher,BD$4,m_date,($G$2+22),m_active,1,m_start,"&lt;"&amp;600,m_end,"&gt;"&amp;0),INDEX(m_label,_xlfn.MAXIFS(m_row,m_teacher,BD$4,m_date,($G$2+22),m_active,1,m_start,"&lt;"&amp;600,m_end,"&gt;"&amp;0))))))</f>
        <v/>
      </c>
      <c r="BE16" s="78" t="str">
        <f aca="false">IF(MONTH(($G$2+29))&lt;&gt;MONTH($C$2),"",CHOOSE(WEEKDAY(($G$2+29),2),"월","화","수","목","금","토","일")&amp;CHAR(10)&amp;TEXT(($G$2+29),"m/d"))</f>
        <v>화
1/26</v>
      </c>
      <c r="BF16" s="79" t="s">
        <v>91</v>
      </c>
      <c r="BG16" s="87" t="str">
        <f aca="false">IF(OR(BG$4="",MONTH(($G$2+29))&lt;&gt;MONTH($C$2)),"",IF(COUNTIFS(m_teacher,BG$4,m_date,($G$2+29),m_active,1,m_start,"&lt;"&amp;600,m_end,"&gt;"&amp;0)=0,"",IF(COUNTIFS(m_teacher,BG$4,m_date,($G$2+29),m_active,1,m_start,"&lt;"&amp;600,m_end,"&gt;"&amp;0)&gt;1,"충돌",HYPERLINK("#'관리자_MASTER'!D"&amp;_xlfn.MAXIFS(m_row,m_teacher,BG$4,m_date,($G$2+29),m_active,1,m_start,"&lt;"&amp;600,m_end,"&gt;"&amp;0),INDEX(m_label,_xlfn.MAXIFS(m_row,m_teacher,BG$4,m_date,($G$2+29),m_active,1,m_start,"&lt;"&amp;600,m_end,"&gt;"&amp;0))))))</f>
        <v/>
      </c>
      <c r="BH16" s="87" t="str">
        <f aca="false">IF(OR(BH$4="",MONTH(($G$2+29))&lt;&gt;MONTH($C$2)),"",IF(COUNTIFS(m_teacher,BH$4,m_date,($G$2+29),m_active,1,m_start,"&lt;"&amp;600,m_end,"&gt;"&amp;0)=0,"",IF(COUNTIFS(m_teacher,BH$4,m_date,($G$2+29),m_active,1,m_start,"&lt;"&amp;600,m_end,"&gt;"&amp;0)&gt;1,"충돌",HYPERLINK("#'관리자_MASTER'!D"&amp;_xlfn.MAXIFS(m_row,m_teacher,BH$4,m_date,($G$2+29),m_active,1,m_start,"&lt;"&amp;600,m_end,"&gt;"&amp;0),INDEX(m_label,_xlfn.MAXIFS(m_row,m_teacher,BH$4,m_date,($G$2+29),m_active,1,m_start,"&lt;"&amp;600,m_end,"&gt;"&amp;0))))))</f>
        <v/>
      </c>
      <c r="BI16" s="87" t="str">
        <f aca="false">IF(OR(BI$4="",MONTH(($G$2+29))&lt;&gt;MONTH($C$2)),"",IF(COUNTIFS(m_teacher,BI$4,m_date,($G$2+29),m_active,1,m_start,"&lt;"&amp;600,m_end,"&gt;"&amp;0)=0,"",IF(COUNTIFS(m_teacher,BI$4,m_date,($G$2+29),m_active,1,m_start,"&lt;"&amp;600,m_end,"&gt;"&amp;0)&gt;1,"충돌",HYPERLINK("#'관리자_MASTER'!D"&amp;_xlfn.MAXIFS(m_row,m_teacher,BI$4,m_date,($G$2+29),m_active,1,m_start,"&lt;"&amp;600,m_end,"&gt;"&amp;0),INDEX(m_label,_xlfn.MAXIFS(m_row,m_teacher,BI$4,m_date,($G$2+29),m_active,1,m_start,"&lt;"&amp;600,m_end,"&gt;"&amp;0))))))</f>
        <v/>
      </c>
      <c r="BJ16" s="87" t="str">
        <f aca="false">IF(OR(BJ$4="",MONTH(($G$2+29))&lt;&gt;MONTH($C$2)),"",IF(COUNTIFS(m_teacher,BJ$4,m_date,($G$2+29),m_active,1,m_start,"&lt;"&amp;600,m_end,"&gt;"&amp;0)=0,"",IF(COUNTIFS(m_teacher,BJ$4,m_date,($G$2+29),m_active,1,m_start,"&lt;"&amp;600,m_end,"&gt;"&amp;0)&gt;1,"충돌",HYPERLINK("#'관리자_MASTER'!D"&amp;_xlfn.MAXIFS(m_row,m_teacher,BJ$4,m_date,($G$2+29),m_active,1,m_start,"&lt;"&amp;600,m_end,"&gt;"&amp;0),INDEX(m_label,_xlfn.MAXIFS(m_row,m_teacher,BJ$4,m_date,($G$2+29),m_active,1,m_start,"&lt;"&amp;600,m_end,"&gt;"&amp;0))))))</f>
        <v/>
      </c>
      <c r="BK16" s="87" t="str">
        <f aca="false">IF(OR(BK$4="",MONTH(($G$2+29))&lt;&gt;MONTH($C$2)),"",IF(COUNTIFS(m_teacher,BK$4,m_date,($G$2+29),m_active,1,m_start,"&lt;"&amp;600,m_end,"&gt;"&amp;0)=0,"",IF(COUNTIFS(m_teacher,BK$4,m_date,($G$2+29),m_active,1,m_start,"&lt;"&amp;600,m_end,"&gt;"&amp;0)&gt;1,"충돌",HYPERLINK("#'관리자_MASTER'!D"&amp;_xlfn.MAXIFS(m_row,m_teacher,BK$4,m_date,($G$2+29),m_active,1,m_start,"&lt;"&amp;600,m_end,"&gt;"&amp;0),INDEX(m_label,_xlfn.MAXIFS(m_row,m_teacher,BK$4,m_date,($G$2+29),m_active,1,m_start,"&lt;"&amp;600,m_end,"&gt;"&amp;0))))))</f>
        <v/>
      </c>
      <c r="BL16" s="87" t="str">
        <f aca="false">IF(OR(BL$4="",MONTH(($G$2+29))&lt;&gt;MONTH($C$2)),"",IF(COUNTIFS(m_teacher,BL$4,m_date,($G$2+29),m_active,1,m_start,"&lt;"&amp;600,m_end,"&gt;"&amp;0)=0,"",IF(COUNTIFS(m_teacher,BL$4,m_date,($G$2+29),m_active,1,m_start,"&lt;"&amp;600,m_end,"&gt;"&amp;0)&gt;1,"충돌",HYPERLINK("#'관리자_MASTER'!D"&amp;_xlfn.MAXIFS(m_row,m_teacher,BL$4,m_date,($G$2+29),m_active,1,m_start,"&lt;"&amp;600,m_end,"&gt;"&amp;0),INDEX(m_label,_xlfn.MAXIFS(m_row,m_teacher,BL$4,m_date,($G$2+29),m_active,1,m_start,"&lt;"&amp;600,m_end,"&gt;"&amp;0))))))</f>
        <v/>
      </c>
      <c r="BM16" s="87" t="str">
        <f aca="false">IF(OR(BM$4="",MONTH(($G$2+29))&lt;&gt;MONTH($C$2)),"",IF(COUNTIFS(m_teacher,BM$4,m_date,($G$2+29),m_active,1,m_start,"&lt;"&amp;600,m_end,"&gt;"&amp;0)=0,"",IF(COUNTIFS(m_teacher,BM$4,m_date,($G$2+29),m_active,1,m_start,"&lt;"&amp;600,m_end,"&gt;"&amp;0)&gt;1,"충돌",HYPERLINK("#'관리자_MASTER'!D"&amp;_xlfn.MAXIFS(m_row,m_teacher,BM$4,m_date,($G$2+29),m_active,1,m_start,"&lt;"&amp;600,m_end,"&gt;"&amp;0),INDEX(m_label,_xlfn.MAXIFS(m_row,m_teacher,BM$4,m_date,($G$2+29),m_active,1,m_start,"&lt;"&amp;600,m_end,"&gt;"&amp;0))))))</f>
        <v/>
      </c>
      <c r="BN16" s="87" t="str">
        <f aca="false">IF(OR(BN$4="",MONTH(($G$2+29))&lt;&gt;MONTH($C$2)),"",IF(COUNTIFS(m_teacher,BN$4,m_date,($G$2+29),m_active,1,m_start,"&lt;"&amp;600,m_end,"&gt;"&amp;0)=0,"",IF(COUNTIFS(m_teacher,BN$4,m_date,($G$2+29),m_active,1,m_start,"&lt;"&amp;600,m_end,"&gt;"&amp;0)&gt;1,"충돌",HYPERLINK("#'관리자_MASTER'!D"&amp;_xlfn.MAXIFS(m_row,m_teacher,BN$4,m_date,($G$2+29),m_active,1,m_start,"&lt;"&amp;600,m_end,"&gt;"&amp;0),INDEX(m_label,_xlfn.MAXIFS(m_row,m_teacher,BN$4,m_date,($G$2+29),m_active,1,m_start,"&lt;"&amp;600,m_end,"&gt;"&amp;0))))))</f>
        <v/>
      </c>
      <c r="BO16" s="87" t="str">
        <f aca="false">IF(OR(BO$4="",MONTH(($G$2+29))&lt;&gt;MONTH($C$2)),"",IF(COUNTIFS(m_teacher,BO$4,m_date,($G$2+29),m_active,1,m_start,"&lt;"&amp;600,m_end,"&gt;"&amp;0)=0,"",IF(COUNTIFS(m_teacher,BO$4,m_date,($G$2+29),m_active,1,m_start,"&lt;"&amp;600,m_end,"&gt;"&amp;0)&gt;1,"충돌",HYPERLINK("#'관리자_MASTER'!D"&amp;_xlfn.MAXIFS(m_row,m_teacher,BO$4,m_date,($G$2+29),m_active,1,m_start,"&lt;"&amp;600,m_end,"&gt;"&amp;0),INDEX(m_label,_xlfn.MAXIFS(m_row,m_teacher,BO$4,m_date,($G$2+29),m_active,1,m_start,"&lt;"&amp;600,m_end,"&gt;"&amp;0))))))</f>
        <v/>
      </c>
      <c r="BP16" s="87" t="str">
        <f aca="false">IF(OR(BP$4="",MONTH(($G$2+29))&lt;&gt;MONTH($C$2)),"",IF(COUNTIFS(m_teacher,BP$4,m_date,($G$2+29),m_active,1,m_start,"&lt;"&amp;600,m_end,"&gt;"&amp;0)=0,"",IF(COUNTIFS(m_teacher,BP$4,m_date,($G$2+29),m_active,1,m_start,"&lt;"&amp;600,m_end,"&gt;"&amp;0)&gt;1,"충돌",HYPERLINK("#'관리자_MASTER'!D"&amp;_xlfn.MAXIFS(m_row,m_teacher,BP$4,m_date,($G$2+29),m_active,1,m_start,"&lt;"&amp;600,m_end,"&gt;"&amp;0),INDEX(m_label,_xlfn.MAXIFS(m_row,m_teacher,BP$4,m_date,($G$2+29),m_active,1,m_start,"&lt;"&amp;600,m_end,"&gt;"&amp;0))))))</f>
        <v/>
      </c>
      <c r="BQ16" s="87" t="str">
        <f aca="false">IF(OR(BQ$4="",MONTH(($G$2+29))&lt;&gt;MONTH($C$2)),"",IF(COUNTIFS(m_teacher,BQ$4,m_date,($G$2+29),m_active,1,m_start,"&lt;"&amp;600,m_end,"&gt;"&amp;0)=0,"",IF(COUNTIFS(m_teacher,BQ$4,m_date,($G$2+29),m_active,1,m_start,"&lt;"&amp;600,m_end,"&gt;"&amp;0)&gt;1,"충돌",HYPERLINK("#'관리자_MASTER'!D"&amp;_xlfn.MAXIFS(m_row,m_teacher,BQ$4,m_date,($G$2+29),m_active,1,m_start,"&lt;"&amp;600,m_end,"&gt;"&amp;0),INDEX(m_label,_xlfn.MAXIFS(m_row,m_teacher,BQ$4,m_date,($G$2+29),m_active,1,m_start,"&lt;"&amp;600,m_end,"&gt;"&amp;0))))))</f>
        <v/>
      </c>
      <c r="BR16" s="87" t="str">
        <f aca="false">IF(OR(BR$4="",MONTH(($G$2+29))&lt;&gt;MONTH($C$2)),"",IF(COUNTIFS(m_teacher,BR$4,m_date,($G$2+29),m_active,1,m_start,"&lt;"&amp;600,m_end,"&gt;"&amp;0)=0,"",IF(COUNTIFS(m_teacher,BR$4,m_date,($G$2+29),m_active,1,m_start,"&lt;"&amp;600,m_end,"&gt;"&amp;0)&gt;1,"충돌",HYPERLINK("#'관리자_MASTER'!D"&amp;_xlfn.MAXIFS(m_row,m_teacher,BR$4,m_date,($G$2+29),m_active,1,m_start,"&lt;"&amp;600,m_end,"&gt;"&amp;0),INDEX(m_label,_xlfn.MAXIFS(m_row,m_teacher,BR$4,m_date,($G$2+29),m_active,1,m_start,"&lt;"&amp;600,m_end,"&gt;"&amp;0))))))</f>
        <v/>
      </c>
    </row>
    <row r="17" customFormat="false" ht="19.5" hidden="false" customHeight="true" outlineLevel="0" collapsed="false">
      <c r="A17" s="75"/>
      <c r="B17" s="76" t="s">
        <v>92</v>
      </c>
      <c r="C17" s="81" t="str">
        <f aca="false">IF(OR(C$4="",MONTH(($G$2+1))&lt;&gt;MONTH($C$2)),"",IF(COUNTIFS(m_teacher,C$4,m_date,($G$2+1),m_active,1,m_start,"&lt;"&amp;660,m_end,"&gt;"&amp;600)=0,"",IF(COUNTIFS(m_teacher,C$4,m_date,($G$2+1),m_active,1,m_start,"&lt;"&amp;660,m_end,"&gt;"&amp;600)&gt;1,"충돌",HYPERLINK("#'관리자_MASTER'!D"&amp;_xlfn.MAXIFS(m_row,m_teacher,C$4,m_date,($G$2+1),m_active,1,m_start,"&lt;"&amp;660,m_end,"&gt;"&amp;600),INDEX(m_label,_xlfn.MAXIFS(m_row,m_teacher,C$4,m_date,($G$2+1),m_active,1,m_start,"&lt;"&amp;660,m_end,"&gt;"&amp;600))))))</f>
        <v/>
      </c>
      <c r="D17" s="81" t="str">
        <f aca="false">IF(OR(D$4="",MONTH(($G$2+1))&lt;&gt;MONTH($C$2)),"",IF(COUNTIFS(m_teacher,D$4,m_date,($G$2+1),m_active,1,m_start,"&lt;"&amp;660,m_end,"&gt;"&amp;600)=0,"",IF(COUNTIFS(m_teacher,D$4,m_date,($G$2+1),m_active,1,m_start,"&lt;"&amp;660,m_end,"&gt;"&amp;600)&gt;1,"충돌",HYPERLINK("#'관리자_MASTER'!D"&amp;_xlfn.MAXIFS(m_row,m_teacher,D$4,m_date,($G$2+1),m_active,1,m_start,"&lt;"&amp;660,m_end,"&gt;"&amp;600),INDEX(m_label,_xlfn.MAXIFS(m_row,m_teacher,D$4,m_date,($G$2+1),m_active,1,m_start,"&lt;"&amp;660,m_end,"&gt;"&amp;600))))))</f>
        <v/>
      </c>
      <c r="E17" s="81" t="str">
        <f aca="false">IF(OR(E$4="",MONTH(($G$2+1))&lt;&gt;MONTH($C$2)),"",IF(COUNTIFS(m_teacher,E$4,m_date,($G$2+1),m_active,1,m_start,"&lt;"&amp;660,m_end,"&gt;"&amp;600)=0,"",IF(COUNTIFS(m_teacher,E$4,m_date,($G$2+1),m_active,1,m_start,"&lt;"&amp;660,m_end,"&gt;"&amp;600)&gt;1,"충돌",HYPERLINK("#'관리자_MASTER'!D"&amp;_xlfn.MAXIFS(m_row,m_teacher,E$4,m_date,($G$2+1),m_active,1,m_start,"&lt;"&amp;660,m_end,"&gt;"&amp;600),INDEX(m_label,_xlfn.MAXIFS(m_row,m_teacher,E$4,m_date,($G$2+1),m_active,1,m_start,"&lt;"&amp;660,m_end,"&gt;"&amp;600))))))</f>
        <v/>
      </c>
      <c r="F17" s="81" t="str">
        <f aca="false">IF(OR(F$4="",MONTH(($G$2+1))&lt;&gt;MONTH($C$2)),"",IF(COUNTIFS(m_teacher,F$4,m_date,($G$2+1),m_active,1,m_start,"&lt;"&amp;660,m_end,"&gt;"&amp;600)=0,"",IF(COUNTIFS(m_teacher,F$4,m_date,($G$2+1),m_active,1,m_start,"&lt;"&amp;660,m_end,"&gt;"&amp;600)&gt;1,"충돌",HYPERLINK("#'관리자_MASTER'!D"&amp;_xlfn.MAXIFS(m_row,m_teacher,F$4,m_date,($G$2+1),m_active,1,m_start,"&lt;"&amp;660,m_end,"&gt;"&amp;600),INDEX(m_label,_xlfn.MAXIFS(m_row,m_teacher,F$4,m_date,($G$2+1),m_active,1,m_start,"&lt;"&amp;660,m_end,"&gt;"&amp;600))))))</f>
        <v/>
      </c>
      <c r="G17" s="81" t="str">
        <f aca="false">IF(OR(G$4="",MONTH(($G$2+1))&lt;&gt;MONTH($C$2)),"",IF(COUNTIFS(m_teacher,G$4,m_date,($G$2+1),m_active,1,m_start,"&lt;"&amp;660,m_end,"&gt;"&amp;600)=0,"",IF(COUNTIFS(m_teacher,G$4,m_date,($G$2+1),m_active,1,m_start,"&lt;"&amp;660,m_end,"&gt;"&amp;600)&gt;1,"충돌",HYPERLINK("#'관리자_MASTER'!D"&amp;_xlfn.MAXIFS(m_row,m_teacher,G$4,m_date,($G$2+1),m_active,1,m_start,"&lt;"&amp;660,m_end,"&gt;"&amp;600),INDEX(m_label,_xlfn.MAXIFS(m_row,m_teacher,G$4,m_date,($G$2+1),m_active,1,m_start,"&lt;"&amp;660,m_end,"&gt;"&amp;600))))))</f>
        <v/>
      </c>
      <c r="H17" s="81" t="str">
        <f aca="false">IF(OR(H$4="",MONTH(($G$2+1))&lt;&gt;MONTH($C$2)),"",IF(COUNTIFS(m_teacher,H$4,m_date,($G$2+1),m_active,1,m_start,"&lt;"&amp;660,m_end,"&gt;"&amp;600)=0,"",IF(COUNTIFS(m_teacher,H$4,m_date,($G$2+1),m_active,1,m_start,"&lt;"&amp;660,m_end,"&gt;"&amp;600)&gt;1,"충돌",HYPERLINK("#'관리자_MASTER'!D"&amp;_xlfn.MAXIFS(m_row,m_teacher,H$4,m_date,($G$2+1),m_active,1,m_start,"&lt;"&amp;660,m_end,"&gt;"&amp;600),INDEX(m_label,_xlfn.MAXIFS(m_row,m_teacher,H$4,m_date,($G$2+1),m_active,1,m_start,"&lt;"&amp;660,m_end,"&gt;"&amp;600))))))</f>
        <v/>
      </c>
      <c r="I17" s="81" t="str">
        <f aca="false">IF(OR(I$4="",MONTH(($G$2+1))&lt;&gt;MONTH($C$2)),"",IF(COUNTIFS(m_teacher,I$4,m_date,($G$2+1),m_active,1,m_start,"&lt;"&amp;660,m_end,"&gt;"&amp;600)=0,"",IF(COUNTIFS(m_teacher,I$4,m_date,($G$2+1),m_active,1,m_start,"&lt;"&amp;660,m_end,"&gt;"&amp;600)&gt;1,"충돌",HYPERLINK("#'관리자_MASTER'!D"&amp;_xlfn.MAXIFS(m_row,m_teacher,I$4,m_date,($G$2+1),m_active,1,m_start,"&lt;"&amp;660,m_end,"&gt;"&amp;600),INDEX(m_label,_xlfn.MAXIFS(m_row,m_teacher,I$4,m_date,($G$2+1),m_active,1,m_start,"&lt;"&amp;660,m_end,"&gt;"&amp;600))))))</f>
        <v/>
      </c>
      <c r="J17" s="81" t="str">
        <f aca="false">IF(OR(J$4="",MONTH(($G$2+1))&lt;&gt;MONTH($C$2)),"",IF(COUNTIFS(m_teacher,J$4,m_date,($G$2+1),m_active,1,m_start,"&lt;"&amp;660,m_end,"&gt;"&amp;600)=0,"",IF(COUNTIFS(m_teacher,J$4,m_date,($G$2+1),m_active,1,m_start,"&lt;"&amp;660,m_end,"&gt;"&amp;600)&gt;1,"충돌",HYPERLINK("#'관리자_MASTER'!D"&amp;_xlfn.MAXIFS(m_row,m_teacher,J$4,m_date,($G$2+1),m_active,1,m_start,"&lt;"&amp;660,m_end,"&gt;"&amp;600),INDEX(m_label,_xlfn.MAXIFS(m_row,m_teacher,J$4,m_date,($G$2+1),m_active,1,m_start,"&lt;"&amp;660,m_end,"&gt;"&amp;600))))))</f>
        <v/>
      </c>
      <c r="K17" s="81" t="str">
        <f aca="false">IF(OR(K$4="",MONTH(($G$2+1))&lt;&gt;MONTH($C$2)),"",IF(COUNTIFS(m_teacher,K$4,m_date,($G$2+1),m_active,1,m_start,"&lt;"&amp;660,m_end,"&gt;"&amp;600)=0,"",IF(COUNTIFS(m_teacher,K$4,m_date,($G$2+1),m_active,1,m_start,"&lt;"&amp;660,m_end,"&gt;"&amp;600)&gt;1,"충돌",HYPERLINK("#'관리자_MASTER'!D"&amp;_xlfn.MAXIFS(m_row,m_teacher,K$4,m_date,($G$2+1),m_active,1,m_start,"&lt;"&amp;660,m_end,"&gt;"&amp;600),INDEX(m_label,_xlfn.MAXIFS(m_row,m_teacher,K$4,m_date,($G$2+1),m_active,1,m_start,"&lt;"&amp;660,m_end,"&gt;"&amp;600))))))</f>
        <v/>
      </c>
      <c r="L17" s="81" t="str">
        <f aca="false">IF(OR(L$4="",MONTH(($G$2+1))&lt;&gt;MONTH($C$2)),"",IF(COUNTIFS(m_teacher,L$4,m_date,($G$2+1),m_active,1,m_start,"&lt;"&amp;660,m_end,"&gt;"&amp;600)=0,"",IF(COUNTIFS(m_teacher,L$4,m_date,($G$2+1),m_active,1,m_start,"&lt;"&amp;660,m_end,"&gt;"&amp;600)&gt;1,"충돌",HYPERLINK("#'관리자_MASTER'!D"&amp;_xlfn.MAXIFS(m_row,m_teacher,L$4,m_date,($G$2+1),m_active,1,m_start,"&lt;"&amp;660,m_end,"&gt;"&amp;600),INDEX(m_label,_xlfn.MAXIFS(m_row,m_teacher,L$4,m_date,($G$2+1),m_active,1,m_start,"&lt;"&amp;660,m_end,"&gt;"&amp;600))))))</f>
        <v/>
      </c>
      <c r="M17" s="81" t="str">
        <f aca="false">IF(OR(M$4="",MONTH(($G$2+1))&lt;&gt;MONTH($C$2)),"",IF(COUNTIFS(m_teacher,M$4,m_date,($G$2+1),m_active,1,m_start,"&lt;"&amp;660,m_end,"&gt;"&amp;600)=0,"",IF(COUNTIFS(m_teacher,M$4,m_date,($G$2+1),m_active,1,m_start,"&lt;"&amp;660,m_end,"&gt;"&amp;600)&gt;1,"충돌",HYPERLINK("#'관리자_MASTER'!D"&amp;_xlfn.MAXIFS(m_row,m_teacher,M$4,m_date,($G$2+1),m_active,1,m_start,"&lt;"&amp;660,m_end,"&gt;"&amp;600),INDEX(m_label,_xlfn.MAXIFS(m_row,m_teacher,M$4,m_date,($G$2+1),m_active,1,m_start,"&lt;"&amp;660,m_end,"&gt;"&amp;600))))))</f>
        <v/>
      </c>
      <c r="N17" s="81" t="str">
        <f aca="false">IF(OR(N$4="",MONTH(($G$2+1))&lt;&gt;MONTH($C$2)),"",IF(COUNTIFS(m_teacher,N$4,m_date,($G$2+1),m_active,1,m_start,"&lt;"&amp;660,m_end,"&gt;"&amp;600)=0,"",IF(COUNTIFS(m_teacher,N$4,m_date,($G$2+1),m_active,1,m_start,"&lt;"&amp;660,m_end,"&gt;"&amp;600)&gt;1,"충돌",HYPERLINK("#'관리자_MASTER'!D"&amp;_xlfn.MAXIFS(m_row,m_teacher,N$4,m_date,($G$2+1),m_active,1,m_start,"&lt;"&amp;660,m_end,"&gt;"&amp;600),INDEX(m_label,_xlfn.MAXIFS(m_row,m_teacher,N$4,m_date,($G$2+1),m_active,1,m_start,"&lt;"&amp;660,m_end,"&gt;"&amp;600))))))</f>
        <v/>
      </c>
      <c r="O17" s="78"/>
      <c r="P17" s="79" t="s">
        <v>92</v>
      </c>
      <c r="Q17" s="88" t="str">
        <f aca="false">IF(OR(Q$4="",MONTH(($G$2+8))&lt;&gt;MONTH($C$2)),"",IF(COUNTIFS(m_teacher,Q$4,m_date,($G$2+8),m_active,1,m_start,"&lt;"&amp;660,m_end,"&gt;"&amp;600)=0,"",IF(COUNTIFS(m_teacher,Q$4,m_date,($G$2+8),m_active,1,m_start,"&lt;"&amp;660,m_end,"&gt;"&amp;600)&gt;1,"충돌",HYPERLINK("#'관리자_MASTER'!D"&amp;_xlfn.MAXIFS(m_row,m_teacher,Q$4,m_date,($G$2+8),m_active,1,m_start,"&lt;"&amp;660,m_end,"&gt;"&amp;600),INDEX(m_label,_xlfn.MAXIFS(m_row,m_teacher,Q$4,m_date,($G$2+8),m_active,1,m_start,"&lt;"&amp;660,m_end,"&gt;"&amp;600))))))</f>
        <v/>
      </c>
      <c r="R17" s="88" t="str">
        <f aca="false">IF(OR(R$4="",MONTH(($G$2+8))&lt;&gt;MONTH($C$2)),"",IF(COUNTIFS(m_teacher,R$4,m_date,($G$2+8),m_active,1,m_start,"&lt;"&amp;660,m_end,"&gt;"&amp;600)=0,"",IF(COUNTIFS(m_teacher,R$4,m_date,($G$2+8),m_active,1,m_start,"&lt;"&amp;660,m_end,"&gt;"&amp;600)&gt;1,"충돌",HYPERLINK("#'관리자_MASTER'!D"&amp;_xlfn.MAXIFS(m_row,m_teacher,R$4,m_date,($G$2+8),m_active,1,m_start,"&lt;"&amp;660,m_end,"&gt;"&amp;600),INDEX(m_label,_xlfn.MAXIFS(m_row,m_teacher,R$4,m_date,($G$2+8),m_active,1,m_start,"&lt;"&amp;660,m_end,"&gt;"&amp;600))))))</f>
        <v/>
      </c>
      <c r="S17" s="88" t="str">
        <f aca="false">IF(OR(S$4="",MONTH(($G$2+8))&lt;&gt;MONTH($C$2)),"",IF(COUNTIFS(m_teacher,S$4,m_date,($G$2+8),m_active,1,m_start,"&lt;"&amp;660,m_end,"&gt;"&amp;600)=0,"",IF(COUNTIFS(m_teacher,S$4,m_date,($G$2+8),m_active,1,m_start,"&lt;"&amp;660,m_end,"&gt;"&amp;600)&gt;1,"충돌",HYPERLINK("#'관리자_MASTER'!D"&amp;_xlfn.MAXIFS(m_row,m_teacher,S$4,m_date,($G$2+8),m_active,1,m_start,"&lt;"&amp;660,m_end,"&gt;"&amp;600),INDEX(m_label,_xlfn.MAXIFS(m_row,m_teacher,S$4,m_date,($G$2+8),m_active,1,m_start,"&lt;"&amp;660,m_end,"&gt;"&amp;600))))))</f>
        <v/>
      </c>
      <c r="T17" s="88" t="str">
        <f aca="false">IF(OR(T$4="",MONTH(($G$2+8))&lt;&gt;MONTH($C$2)),"",IF(COUNTIFS(m_teacher,T$4,m_date,($G$2+8),m_active,1,m_start,"&lt;"&amp;660,m_end,"&gt;"&amp;600)=0,"",IF(COUNTIFS(m_teacher,T$4,m_date,($G$2+8),m_active,1,m_start,"&lt;"&amp;660,m_end,"&gt;"&amp;600)&gt;1,"충돌",HYPERLINK("#'관리자_MASTER'!D"&amp;_xlfn.MAXIFS(m_row,m_teacher,T$4,m_date,($G$2+8),m_active,1,m_start,"&lt;"&amp;660,m_end,"&gt;"&amp;600),INDEX(m_label,_xlfn.MAXIFS(m_row,m_teacher,T$4,m_date,($G$2+8),m_active,1,m_start,"&lt;"&amp;660,m_end,"&gt;"&amp;600))))))</f>
        <v/>
      </c>
      <c r="U17" s="88" t="str">
        <f aca="false">IF(OR(U$4="",MONTH(($G$2+8))&lt;&gt;MONTH($C$2)),"",IF(COUNTIFS(m_teacher,U$4,m_date,($G$2+8),m_active,1,m_start,"&lt;"&amp;660,m_end,"&gt;"&amp;600)=0,"",IF(COUNTIFS(m_teacher,U$4,m_date,($G$2+8),m_active,1,m_start,"&lt;"&amp;660,m_end,"&gt;"&amp;600)&gt;1,"충돌",HYPERLINK("#'관리자_MASTER'!D"&amp;_xlfn.MAXIFS(m_row,m_teacher,U$4,m_date,($G$2+8),m_active,1,m_start,"&lt;"&amp;660,m_end,"&gt;"&amp;600),INDEX(m_label,_xlfn.MAXIFS(m_row,m_teacher,U$4,m_date,($G$2+8),m_active,1,m_start,"&lt;"&amp;660,m_end,"&gt;"&amp;600))))))</f>
        <v/>
      </c>
      <c r="V17" s="88" t="str">
        <f aca="false">IF(OR(V$4="",MONTH(($G$2+8))&lt;&gt;MONTH($C$2)),"",IF(COUNTIFS(m_teacher,V$4,m_date,($G$2+8),m_active,1,m_start,"&lt;"&amp;660,m_end,"&gt;"&amp;600)=0,"",IF(COUNTIFS(m_teacher,V$4,m_date,($G$2+8),m_active,1,m_start,"&lt;"&amp;660,m_end,"&gt;"&amp;600)&gt;1,"충돌",HYPERLINK("#'관리자_MASTER'!D"&amp;_xlfn.MAXIFS(m_row,m_teacher,V$4,m_date,($G$2+8),m_active,1,m_start,"&lt;"&amp;660,m_end,"&gt;"&amp;600),INDEX(m_label,_xlfn.MAXIFS(m_row,m_teacher,V$4,m_date,($G$2+8),m_active,1,m_start,"&lt;"&amp;660,m_end,"&gt;"&amp;600))))))</f>
        <v/>
      </c>
      <c r="W17" s="88" t="str">
        <f aca="false">IF(OR(W$4="",MONTH(($G$2+8))&lt;&gt;MONTH($C$2)),"",IF(COUNTIFS(m_teacher,W$4,m_date,($G$2+8),m_active,1,m_start,"&lt;"&amp;660,m_end,"&gt;"&amp;600)=0,"",IF(COUNTIFS(m_teacher,W$4,m_date,($G$2+8),m_active,1,m_start,"&lt;"&amp;660,m_end,"&gt;"&amp;600)&gt;1,"충돌",HYPERLINK("#'관리자_MASTER'!D"&amp;_xlfn.MAXIFS(m_row,m_teacher,W$4,m_date,($G$2+8),m_active,1,m_start,"&lt;"&amp;660,m_end,"&gt;"&amp;600),INDEX(m_label,_xlfn.MAXIFS(m_row,m_teacher,W$4,m_date,($G$2+8),m_active,1,m_start,"&lt;"&amp;660,m_end,"&gt;"&amp;600))))))</f>
        <v/>
      </c>
      <c r="X17" s="88" t="str">
        <f aca="false">IF(OR(X$4="",MONTH(($G$2+8))&lt;&gt;MONTH($C$2)),"",IF(COUNTIFS(m_teacher,X$4,m_date,($G$2+8),m_active,1,m_start,"&lt;"&amp;660,m_end,"&gt;"&amp;600)=0,"",IF(COUNTIFS(m_teacher,X$4,m_date,($G$2+8),m_active,1,m_start,"&lt;"&amp;660,m_end,"&gt;"&amp;600)&gt;1,"충돌",HYPERLINK("#'관리자_MASTER'!D"&amp;_xlfn.MAXIFS(m_row,m_teacher,X$4,m_date,($G$2+8),m_active,1,m_start,"&lt;"&amp;660,m_end,"&gt;"&amp;600),INDEX(m_label,_xlfn.MAXIFS(m_row,m_teacher,X$4,m_date,($G$2+8),m_active,1,m_start,"&lt;"&amp;660,m_end,"&gt;"&amp;600))))))</f>
        <v/>
      </c>
      <c r="Y17" s="88" t="str">
        <f aca="false">IF(OR(Y$4="",MONTH(($G$2+8))&lt;&gt;MONTH($C$2)),"",IF(COUNTIFS(m_teacher,Y$4,m_date,($G$2+8),m_active,1,m_start,"&lt;"&amp;660,m_end,"&gt;"&amp;600)=0,"",IF(COUNTIFS(m_teacher,Y$4,m_date,($G$2+8),m_active,1,m_start,"&lt;"&amp;660,m_end,"&gt;"&amp;600)&gt;1,"충돌",HYPERLINK("#'관리자_MASTER'!D"&amp;_xlfn.MAXIFS(m_row,m_teacher,Y$4,m_date,($G$2+8),m_active,1,m_start,"&lt;"&amp;660,m_end,"&gt;"&amp;600),INDEX(m_label,_xlfn.MAXIFS(m_row,m_teacher,Y$4,m_date,($G$2+8),m_active,1,m_start,"&lt;"&amp;660,m_end,"&gt;"&amp;600))))))</f>
        <v/>
      </c>
      <c r="Z17" s="88" t="str">
        <f aca="false">IF(OR(Z$4="",MONTH(($G$2+8))&lt;&gt;MONTH($C$2)),"",IF(COUNTIFS(m_teacher,Z$4,m_date,($G$2+8),m_active,1,m_start,"&lt;"&amp;660,m_end,"&gt;"&amp;600)=0,"",IF(COUNTIFS(m_teacher,Z$4,m_date,($G$2+8),m_active,1,m_start,"&lt;"&amp;660,m_end,"&gt;"&amp;600)&gt;1,"충돌",HYPERLINK("#'관리자_MASTER'!D"&amp;_xlfn.MAXIFS(m_row,m_teacher,Z$4,m_date,($G$2+8),m_active,1,m_start,"&lt;"&amp;660,m_end,"&gt;"&amp;600),INDEX(m_label,_xlfn.MAXIFS(m_row,m_teacher,Z$4,m_date,($G$2+8),m_active,1,m_start,"&lt;"&amp;660,m_end,"&gt;"&amp;600))))))</f>
        <v/>
      </c>
      <c r="AA17" s="88" t="str">
        <f aca="false">IF(OR(AA$4="",MONTH(($G$2+8))&lt;&gt;MONTH($C$2)),"",IF(COUNTIFS(m_teacher,AA$4,m_date,($G$2+8),m_active,1,m_start,"&lt;"&amp;660,m_end,"&gt;"&amp;600)=0,"",IF(COUNTIFS(m_teacher,AA$4,m_date,($G$2+8),m_active,1,m_start,"&lt;"&amp;660,m_end,"&gt;"&amp;600)&gt;1,"충돌",HYPERLINK("#'관리자_MASTER'!D"&amp;_xlfn.MAXIFS(m_row,m_teacher,AA$4,m_date,($G$2+8),m_active,1,m_start,"&lt;"&amp;660,m_end,"&gt;"&amp;600),INDEX(m_label,_xlfn.MAXIFS(m_row,m_teacher,AA$4,m_date,($G$2+8),m_active,1,m_start,"&lt;"&amp;660,m_end,"&gt;"&amp;600))))))</f>
        <v/>
      </c>
      <c r="AB17" s="88" t="str">
        <f aca="false">IF(OR(AB$4="",MONTH(($G$2+8))&lt;&gt;MONTH($C$2)),"",IF(COUNTIFS(m_teacher,AB$4,m_date,($G$2+8),m_active,1,m_start,"&lt;"&amp;660,m_end,"&gt;"&amp;600)=0,"",IF(COUNTIFS(m_teacher,AB$4,m_date,($G$2+8),m_active,1,m_start,"&lt;"&amp;660,m_end,"&gt;"&amp;600)&gt;1,"충돌",HYPERLINK("#'관리자_MASTER'!D"&amp;_xlfn.MAXIFS(m_row,m_teacher,AB$4,m_date,($G$2+8),m_active,1,m_start,"&lt;"&amp;660,m_end,"&gt;"&amp;600),INDEX(m_label,_xlfn.MAXIFS(m_row,m_teacher,AB$4,m_date,($G$2+8),m_active,1,m_start,"&lt;"&amp;660,m_end,"&gt;"&amp;600))))))</f>
        <v/>
      </c>
      <c r="AC17" s="78"/>
      <c r="AD17" s="79" t="s">
        <v>92</v>
      </c>
      <c r="AE17" s="88" t="str">
        <f aca="false">IF(OR(AE$4="",MONTH(($G$2+15))&lt;&gt;MONTH($C$2)),"",IF(COUNTIFS(m_teacher,AE$4,m_date,($G$2+15),m_active,1,m_start,"&lt;"&amp;660,m_end,"&gt;"&amp;600)=0,"",IF(COUNTIFS(m_teacher,AE$4,m_date,($G$2+15),m_active,1,m_start,"&lt;"&amp;660,m_end,"&gt;"&amp;600)&gt;1,"충돌",HYPERLINK("#'관리자_MASTER'!D"&amp;_xlfn.MAXIFS(m_row,m_teacher,AE$4,m_date,($G$2+15),m_active,1,m_start,"&lt;"&amp;660,m_end,"&gt;"&amp;600),INDEX(m_label,_xlfn.MAXIFS(m_row,m_teacher,AE$4,m_date,($G$2+15),m_active,1,m_start,"&lt;"&amp;660,m_end,"&gt;"&amp;600))))))</f>
        <v/>
      </c>
      <c r="AF17" s="88" t="str">
        <f aca="false">IF(OR(AF$4="",MONTH(($G$2+15))&lt;&gt;MONTH($C$2)),"",IF(COUNTIFS(m_teacher,AF$4,m_date,($G$2+15),m_active,1,m_start,"&lt;"&amp;660,m_end,"&gt;"&amp;600)=0,"",IF(COUNTIFS(m_teacher,AF$4,m_date,($G$2+15),m_active,1,m_start,"&lt;"&amp;660,m_end,"&gt;"&amp;600)&gt;1,"충돌",HYPERLINK("#'관리자_MASTER'!D"&amp;_xlfn.MAXIFS(m_row,m_teacher,AF$4,m_date,($G$2+15),m_active,1,m_start,"&lt;"&amp;660,m_end,"&gt;"&amp;600),INDEX(m_label,_xlfn.MAXIFS(m_row,m_teacher,AF$4,m_date,($G$2+15),m_active,1,m_start,"&lt;"&amp;660,m_end,"&gt;"&amp;600))))))</f>
        <v/>
      </c>
      <c r="AG17" s="88" t="str">
        <f aca="false">IF(OR(AG$4="",MONTH(($G$2+15))&lt;&gt;MONTH($C$2)),"",IF(COUNTIFS(m_teacher,AG$4,m_date,($G$2+15),m_active,1,m_start,"&lt;"&amp;660,m_end,"&gt;"&amp;600)=0,"",IF(COUNTIFS(m_teacher,AG$4,m_date,($G$2+15),m_active,1,m_start,"&lt;"&amp;660,m_end,"&gt;"&amp;600)&gt;1,"충돌",HYPERLINK("#'관리자_MASTER'!D"&amp;_xlfn.MAXIFS(m_row,m_teacher,AG$4,m_date,($G$2+15),m_active,1,m_start,"&lt;"&amp;660,m_end,"&gt;"&amp;600),INDEX(m_label,_xlfn.MAXIFS(m_row,m_teacher,AG$4,m_date,($G$2+15),m_active,1,m_start,"&lt;"&amp;660,m_end,"&gt;"&amp;600))))))</f>
        <v/>
      </c>
      <c r="AH17" s="88" t="str">
        <f aca="false">IF(OR(AH$4="",MONTH(($G$2+15))&lt;&gt;MONTH($C$2)),"",IF(COUNTIFS(m_teacher,AH$4,m_date,($G$2+15),m_active,1,m_start,"&lt;"&amp;660,m_end,"&gt;"&amp;600)=0,"",IF(COUNTIFS(m_teacher,AH$4,m_date,($G$2+15),m_active,1,m_start,"&lt;"&amp;660,m_end,"&gt;"&amp;600)&gt;1,"충돌",HYPERLINK("#'관리자_MASTER'!D"&amp;_xlfn.MAXIFS(m_row,m_teacher,AH$4,m_date,($G$2+15),m_active,1,m_start,"&lt;"&amp;660,m_end,"&gt;"&amp;600),INDEX(m_label,_xlfn.MAXIFS(m_row,m_teacher,AH$4,m_date,($G$2+15),m_active,1,m_start,"&lt;"&amp;660,m_end,"&gt;"&amp;600))))))</f>
        <v/>
      </c>
      <c r="AI17" s="88" t="str">
        <f aca="false">IF(OR(AI$4="",MONTH(($G$2+15))&lt;&gt;MONTH($C$2)),"",IF(COUNTIFS(m_teacher,AI$4,m_date,($G$2+15),m_active,1,m_start,"&lt;"&amp;660,m_end,"&gt;"&amp;600)=0,"",IF(COUNTIFS(m_teacher,AI$4,m_date,($G$2+15),m_active,1,m_start,"&lt;"&amp;660,m_end,"&gt;"&amp;600)&gt;1,"충돌",HYPERLINK("#'관리자_MASTER'!D"&amp;_xlfn.MAXIFS(m_row,m_teacher,AI$4,m_date,($G$2+15),m_active,1,m_start,"&lt;"&amp;660,m_end,"&gt;"&amp;600),INDEX(m_label,_xlfn.MAXIFS(m_row,m_teacher,AI$4,m_date,($G$2+15),m_active,1,m_start,"&lt;"&amp;660,m_end,"&gt;"&amp;600))))))</f>
        <v/>
      </c>
      <c r="AJ17" s="88" t="str">
        <f aca="false">IF(OR(AJ$4="",MONTH(($G$2+15))&lt;&gt;MONTH($C$2)),"",IF(COUNTIFS(m_teacher,AJ$4,m_date,($G$2+15),m_active,1,m_start,"&lt;"&amp;660,m_end,"&gt;"&amp;600)=0,"",IF(COUNTIFS(m_teacher,AJ$4,m_date,($G$2+15),m_active,1,m_start,"&lt;"&amp;660,m_end,"&gt;"&amp;600)&gt;1,"충돌",HYPERLINK("#'관리자_MASTER'!D"&amp;_xlfn.MAXIFS(m_row,m_teacher,AJ$4,m_date,($G$2+15),m_active,1,m_start,"&lt;"&amp;660,m_end,"&gt;"&amp;600),INDEX(m_label,_xlfn.MAXIFS(m_row,m_teacher,AJ$4,m_date,($G$2+15),m_active,1,m_start,"&lt;"&amp;660,m_end,"&gt;"&amp;600))))))</f>
        <v/>
      </c>
      <c r="AK17" s="88" t="str">
        <f aca="false">IF(OR(AK$4="",MONTH(($G$2+15))&lt;&gt;MONTH($C$2)),"",IF(COUNTIFS(m_teacher,AK$4,m_date,($G$2+15),m_active,1,m_start,"&lt;"&amp;660,m_end,"&gt;"&amp;600)=0,"",IF(COUNTIFS(m_teacher,AK$4,m_date,($G$2+15),m_active,1,m_start,"&lt;"&amp;660,m_end,"&gt;"&amp;600)&gt;1,"충돌",HYPERLINK("#'관리자_MASTER'!D"&amp;_xlfn.MAXIFS(m_row,m_teacher,AK$4,m_date,($G$2+15),m_active,1,m_start,"&lt;"&amp;660,m_end,"&gt;"&amp;600),INDEX(m_label,_xlfn.MAXIFS(m_row,m_teacher,AK$4,m_date,($G$2+15),m_active,1,m_start,"&lt;"&amp;660,m_end,"&gt;"&amp;600))))))</f>
        <v/>
      </c>
      <c r="AL17" s="88" t="str">
        <f aca="false">IF(OR(AL$4="",MONTH(($G$2+15))&lt;&gt;MONTH($C$2)),"",IF(COUNTIFS(m_teacher,AL$4,m_date,($G$2+15),m_active,1,m_start,"&lt;"&amp;660,m_end,"&gt;"&amp;600)=0,"",IF(COUNTIFS(m_teacher,AL$4,m_date,($G$2+15),m_active,1,m_start,"&lt;"&amp;660,m_end,"&gt;"&amp;600)&gt;1,"충돌",HYPERLINK("#'관리자_MASTER'!D"&amp;_xlfn.MAXIFS(m_row,m_teacher,AL$4,m_date,($G$2+15),m_active,1,m_start,"&lt;"&amp;660,m_end,"&gt;"&amp;600),INDEX(m_label,_xlfn.MAXIFS(m_row,m_teacher,AL$4,m_date,($G$2+15),m_active,1,m_start,"&lt;"&amp;660,m_end,"&gt;"&amp;600))))))</f>
        <v/>
      </c>
      <c r="AM17" s="88" t="str">
        <f aca="false">IF(OR(AM$4="",MONTH(($G$2+15))&lt;&gt;MONTH($C$2)),"",IF(COUNTIFS(m_teacher,AM$4,m_date,($G$2+15),m_active,1,m_start,"&lt;"&amp;660,m_end,"&gt;"&amp;600)=0,"",IF(COUNTIFS(m_teacher,AM$4,m_date,($G$2+15),m_active,1,m_start,"&lt;"&amp;660,m_end,"&gt;"&amp;600)&gt;1,"충돌",HYPERLINK("#'관리자_MASTER'!D"&amp;_xlfn.MAXIFS(m_row,m_teacher,AM$4,m_date,($G$2+15),m_active,1,m_start,"&lt;"&amp;660,m_end,"&gt;"&amp;600),INDEX(m_label,_xlfn.MAXIFS(m_row,m_teacher,AM$4,m_date,($G$2+15),m_active,1,m_start,"&lt;"&amp;660,m_end,"&gt;"&amp;600))))))</f>
        <v/>
      </c>
      <c r="AN17" s="88" t="str">
        <f aca="false">IF(OR(AN$4="",MONTH(($G$2+15))&lt;&gt;MONTH($C$2)),"",IF(COUNTIFS(m_teacher,AN$4,m_date,($G$2+15),m_active,1,m_start,"&lt;"&amp;660,m_end,"&gt;"&amp;600)=0,"",IF(COUNTIFS(m_teacher,AN$4,m_date,($G$2+15),m_active,1,m_start,"&lt;"&amp;660,m_end,"&gt;"&amp;600)&gt;1,"충돌",HYPERLINK("#'관리자_MASTER'!D"&amp;_xlfn.MAXIFS(m_row,m_teacher,AN$4,m_date,($G$2+15),m_active,1,m_start,"&lt;"&amp;660,m_end,"&gt;"&amp;600),INDEX(m_label,_xlfn.MAXIFS(m_row,m_teacher,AN$4,m_date,($G$2+15),m_active,1,m_start,"&lt;"&amp;660,m_end,"&gt;"&amp;600))))))</f>
        <v/>
      </c>
      <c r="AO17" s="88" t="str">
        <f aca="false">IF(OR(AO$4="",MONTH(($G$2+15))&lt;&gt;MONTH($C$2)),"",IF(COUNTIFS(m_teacher,AO$4,m_date,($G$2+15),m_active,1,m_start,"&lt;"&amp;660,m_end,"&gt;"&amp;600)=0,"",IF(COUNTIFS(m_teacher,AO$4,m_date,($G$2+15),m_active,1,m_start,"&lt;"&amp;660,m_end,"&gt;"&amp;600)&gt;1,"충돌",HYPERLINK("#'관리자_MASTER'!D"&amp;_xlfn.MAXIFS(m_row,m_teacher,AO$4,m_date,($G$2+15),m_active,1,m_start,"&lt;"&amp;660,m_end,"&gt;"&amp;600),INDEX(m_label,_xlfn.MAXIFS(m_row,m_teacher,AO$4,m_date,($G$2+15),m_active,1,m_start,"&lt;"&amp;660,m_end,"&gt;"&amp;600))))))</f>
        <v/>
      </c>
      <c r="AP17" s="88" t="str">
        <f aca="false">IF(OR(AP$4="",MONTH(($G$2+15))&lt;&gt;MONTH($C$2)),"",IF(COUNTIFS(m_teacher,AP$4,m_date,($G$2+15),m_active,1,m_start,"&lt;"&amp;660,m_end,"&gt;"&amp;600)=0,"",IF(COUNTIFS(m_teacher,AP$4,m_date,($G$2+15),m_active,1,m_start,"&lt;"&amp;660,m_end,"&gt;"&amp;600)&gt;1,"충돌",HYPERLINK("#'관리자_MASTER'!D"&amp;_xlfn.MAXIFS(m_row,m_teacher,AP$4,m_date,($G$2+15),m_active,1,m_start,"&lt;"&amp;660,m_end,"&gt;"&amp;600),INDEX(m_label,_xlfn.MAXIFS(m_row,m_teacher,AP$4,m_date,($G$2+15),m_active,1,m_start,"&lt;"&amp;660,m_end,"&gt;"&amp;600))))))</f>
        <v/>
      </c>
      <c r="AQ17" s="78"/>
      <c r="AR17" s="79" t="s">
        <v>92</v>
      </c>
      <c r="AS17" s="88" t="str">
        <f aca="false">IF(OR(AS$4="",MONTH(($G$2+22))&lt;&gt;MONTH($C$2)),"",IF(COUNTIFS(m_teacher,AS$4,m_date,($G$2+22),m_active,1,m_start,"&lt;"&amp;660,m_end,"&gt;"&amp;600)=0,"",IF(COUNTIFS(m_teacher,AS$4,m_date,($G$2+22),m_active,1,m_start,"&lt;"&amp;660,m_end,"&gt;"&amp;600)&gt;1,"충돌",HYPERLINK("#'관리자_MASTER'!D"&amp;_xlfn.MAXIFS(m_row,m_teacher,AS$4,m_date,($G$2+22),m_active,1,m_start,"&lt;"&amp;660,m_end,"&gt;"&amp;600),INDEX(m_label,_xlfn.MAXIFS(m_row,m_teacher,AS$4,m_date,($G$2+22),m_active,1,m_start,"&lt;"&amp;660,m_end,"&gt;"&amp;600))))))</f>
        <v/>
      </c>
      <c r="AT17" s="88" t="str">
        <f aca="false">IF(OR(AT$4="",MONTH(($G$2+22))&lt;&gt;MONTH($C$2)),"",IF(COUNTIFS(m_teacher,AT$4,m_date,($G$2+22),m_active,1,m_start,"&lt;"&amp;660,m_end,"&gt;"&amp;600)=0,"",IF(COUNTIFS(m_teacher,AT$4,m_date,($G$2+22),m_active,1,m_start,"&lt;"&amp;660,m_end,"&gt;"&amp;600)&gt;1,"충돌",HYPERLINK("#'관리자_MASTER'!D"&amp;_xlfn.MAXIFS(m_row,m_teacher,AT$4,m_date,($G$2+22),m_active,1,m_start,"&lt;"&amp;660,m_end,"&gt;"&amp;600),INDEX(m_label,_xlfn.MAXIFS(m_row,m_teacher,AT$4,m_date,($G$2+22),m_active,1,m_start,"&lt;"&amp;660,m_end,"&gt;"&amp;600))))))</f>
        <v/>
      </c>
      <c r="AU17" s="88" t="str">
        <f aca="false">IF(OR(AU$4="",MONTH(($G$2+22))&lt;&gt;MONTH($C$2)),"",IF(COUNTIFS(m_teacher,AU$4,m_date,($G$2+22),m_active,1,m_start,"&lt;"&amp;660,m_end,"&gt;"&amp;600)=0,"",IF(COUNTIFS(m_teacher,AU$4,m_date,($G$2+22),m_active,1,m_start,"&lt;"&amp;660,m_end,"&gt;"&amp;600)&gt;1,"충돌",HYPERLINK("#'관리자_MASTER'!D"&amp;_xlfn.MAXIFS(m_row,m_teacher,AU$4,m_date,($G$2+22),m_active,1,m_start,"&lt;"&amp;660,m_end,"&gt;"&amp;600),INDEX(m_label,_xlfn.MAXIFS(m_row,m_teacher,AU$4,m_date,($G$2+22),m_active,1,m_start,"&lt;"&amp;660,m_end,"&gt;"&amp;600))))))</f>
        <v/>
      </c>
      <c r="AV17" s="88" t="str">
        <f aca="false">IF(OR(AV$4="",MONTH(($G$2+22))&lt;&gt;MONTH($C$2)),"",IF(COUNTIFS(m_teacher,AV$4,m_date,($G$2+22),m_active,1,m_start,"&lt;"&amp;660,m_end,"&gt;"&amp;600)=0,"",IF(COUNTIFS(m_teacher,AV$4,m_date,($G$2+22),m_active,1,m_start,"&lt;"&amp;660,m_end,"&gt;"&amp;600)&gt;1,"충돌",HYPERLINK("#'관리자_MASTER'!D"&amp;_xlfn.MAXIFS(m_row,m_teacher,AV$4,m_date,($G$2+22),m_active,1,m_start,"&lt;"&amp;660,m_end,"&gt;"&amp;600),INDEX(m_label,_xlfn.MAXIFS(m_row,m_teacher,AV$4,m_date,($G$2+22),m_active,1,m_start,"&lt;"&amp;660,m_end,"&gt;"&amp;600))))))</f>
        <v/>
      </c>
      <c r="AW17" s="88" t="str">
        <f aca="false">IF(OR(AW$4="",MONTH(($G$2+22))&lt;&gt;MONTH($C$2)),"",IF(COUNTIFS(m_teacher,AW$4,m_date,($G$2+22),m_active,1,m_start,"&lt;"&amp;660,m_end,"&gt;"&amp;600)=0,"",IF(COUNTIFS(m_teacher,AW$4,m_date,($G$2+22),m_active,1,m_start,"&lt;"&amp;660,m_end,"&gt;"&amp;600)&gt;1,"충돌",HYPERLINK("#'관리자_MASTER'!D"&amp;_xlfn.MAXIFS(m_row,m_teacher,AW$4,m_date,($G$2+22),m_active,1,m_start,"&lt;"&amp;660,m_end,"&gt;"&amp;600),INDEX(m_label,_xlfn.MAXIFS(m_row,m_teacher,AW$4,m_date,($G$2+22),m_active,1,m_start,"&lt;"&amp;660,m_end,"&gt;"&amp;600))))))</f>
        <v/>
      </c>
      <c r="AX17" s="88" t="str">
        <f aca="false">IF(OR(AX$4="",MONTH(($G$2+22))&lt;&gt;MONTH($C$2)),"",IF(COUNTIFS(m_teacher,AX$4,m_date,($G$2+22),m_active,1,m_start,"&lt;"&amp;660,m_end,"&gt;"&amp;600)=0,"",IF(COUNTIFS(m_teacher,AX$4,m_date,($G$2+22),m_active,1,m_start,"&lt;"&amp;660,m_end,"&gt;"&amp;600)&gt;1,"충돌",HYPERLINK("#'관리자_MASTER'!D"&amp;_xlfn.MAXIFS(m_row,m_teacher,AX$4,m_date,($G$2+22),m_active,1,m_start,"&lt;"&amp;660,m_end,"&gt;"&amp;600),INDEX(m_label,_xlfn.MAXIFS(m_row,m_teacher,AX$4,m_date,($G$2+22),m_active,1,m_start,"&lt;"&amp;660,m_end,"&gt;"&amp;600))))))</f>
        <v/>
      </c>
      <c r="AY17" s="88" t="str">
        <f aca="false">IF(OR(AY$4="",MONTH(($G$2+22))&lt;&gt;MONTH($C$2)),"",IF(COUNTIFS(m_teacher,AY$4,m_date,($G$2+22),m_active,1,m_start,"&lt;"&amp;660,m_end,"&gt;"&amp;600)=0,"",IF(COUNTIFS(m_teacher,AY$4,m_date,($G$2+22),m_active,1,m_start,"&lt;"&amp;660,m_end,"&gt;"&amp;600)&gt;1,"충돌",HYPERLINK("#'관리자_MASTER'!D"&amp;_xlfn.MAXIFS(m_row,m_teacher,AY$4,m_date,($G$2+22),m_active,1,m_start,"&lt;"&amp;660,m_end,"&gt;"&amp;600),INDEX(m_label,_xlfn.MAXIFS(m_row,m_teacher,AY$4,m_date,($G$2+22),m_active,1,m_start,"&lt;"&amp;660,m_end,"&gt;"&amp;600))))))</f>
        <v/>
      </c>
      <c r="AZ17" s="88" t="str">
        <f aca="false">IF(OR(AZ$4="",MONTH(($G$2+22))&lt;&gt;MONTH($C$2)),"",IF(COUNTIFS(m_teacher,AZ$4,m_date,($G$2+22),m_active,1,m_start,"&lt;"&amp;660,m_end,"&gt;"&amp;600)=0,"",IF(COUNTIFS(m_teacher,AZ$4,m_date,($G$2+22),m_active,1,m_start,"&lt;"&amp;660,m_end,"&gt;"&amp;600)&gt;1,"충돌",HYPERLINK("#'관리자_MASTER'!D"&amp;_xlfn.MAXIFS(m_row,m_teacher,AZ$4,m_date,($G$2+22),m_active,1,m_start,"&lt;"&amp;660,m_end,"&gt;"&amp;600),INDEX(m_label,_xlfn.MAXIFS(m_row,m_teacher,AZ$4,m_date,($G$2+22),m_active,1,m_start,"&lt;"&amp;660,m_end,"&gt;"&amp;600))))))</f>
        <v/>
      </c>
      <c r="BA17" s="88" t="str">
        <f aca="false">IF(OR(BA$4="",MONTH(($G$2+22))&lt;&gt;MONTH($C$2)),"",IF(COUNTIFS(m_teacher,BA$4,m_date,($G$2+22),m_active,1,m_start,"&lt;"&amp;660,m_end,"&gt;"&amp;600)=0,"",IF(COUNTIFS(m_teacher,BA$4,m_date,($G$2+22),m_active,1,m_start,"&lt;"&amp;660,m_end,"&gt;"&amp;600)&gt;1,"충돌",HYPERLINK("#'관리자_MASTER'!D"&amp;_xlfn.MAXIFS(m_row,m_teacher,BA$4,m_date,($G$2+22),m_active,1,m_start,"&lt;"&amp;660,m_end,"&gt;"&amp;600),INDEX(m_label,_xlfn.MAXIFS(m_row,m_teacher,BA$4,m_date,($G$2+22),m_active,1,m_start,"&lt;"&amp;660,m_end,"&gt;"&amp;600))))))</f>
        <v/>
      </c>
      <c r="BB17" s="88" t="str">
        <f aca="false">IF(OR(BB$4="",MONTH(($G$2+22))&lt;&gt;MONTH($C$2)),"",IF(COUNTIFS(m_teacher,BB$4,m_date,($G$2+22),m_active,1,m_start,"&lt;"&amp;660,m_end,"&gt;"&amp;600)=0,"",IF(COUNTIFS(m_teacher,BB$4,m_date,($G$2+22),m_active,1,m_start,"&lt;"&amp;660,m_end,"&gt;"&amp;600)&gt;1,"충돌",HYPERLINK("#'관리자_MASTER'!D"&amp;_xlfn.MAXIFS(m_row,m_teacher,BB$4,m_date,($G$2+22),m_active,1,m_start,"&lt;"&amp;660,m_end,"&gt;"&amp;600),INDEX(m_label,_xlfn.MAXIFS(m_row,m_teacher,BB$4,m_date,($G$2+22),m_active,1,m_start,"&lt;"&amp;660,m_end,"&gt;"&amp;600))))))</f>
        <v/>
      </c>
      <c r="BC17" s="88" t="str">
        <f aca="false">IF(OR(BC$4="",MONTH(($G$2+22))&lt;&gt;MONTH($C$2)),"",IF(COUNTIFS(m_teacher,BC$4,m_date,($G$2+22),m_active,1,m_start,"&lt;"&amp;660,m_end,"&gt;"&amp;600)=0,"",IF(COUNTIFS(m_teacher,BC$4,m_date,($G$2+22),m_active,1,m_start,"&lt;"&amp;660,m_end,"&gt;"&amp;600)&gt;1,"충돌",HYPERLINK("#'관리자_MASTER'!D"&amp;_xlfn.MAXIFS(m_row,m_teacher,BC$4,m_date,($G$2+22),m_active,1,m_start,"&lt;"&amp;660,m_end,"&gt;"&amp;600),INDEX(m_label,_xlfn.MAXIFS(m_row,m_teacher,BC$4,m_date,($G$2+22),m_active,1,m_start,"&lt;"&amp;660,m_end,"&gt;"&amp;600))))))</f>
        <v/>
      </c>
      <c r="BD17" s="88" t="str">
        <f aca="false">IF(OR(BD$4="",MONTH(($G$2+22))&lt;&gt;MONTH($C$2)),"",IF(COUNTIFS(m_teacher,BD$4,m_date,($G$2+22),m_active,1,m_start,"&lt;"&amp;660,m_end,"&gt;"&amp;600)=0,"",IF(COUNTIFS(m_teacher,BD$4,m_date,($G$2+22),m_active,1,m_start,"&lt;"&amp;660,m_end,"&gt;"&amp;600)&gt;1,"충돌",HYPERLINK("#'관리자_MASTER'!D"&amp;_xlfn.MAXIFS(m_row,m_teacher,BD$4,m_date,($G$2+22),m_active,1,m_start,"&lt;"&amp;660,m_end,"&gt;"&amp;600),INDEX(m_label,_xlfn.MAXIFS(m_row,m_teacher,BD$4,m_date,($G$2+22),m_active,1,m_start,"&lt;"&amp;660,m_end,"&gt;"&amp;600))))))</f>
        <v/>
      </c>
      <c r="BE17" s="78"/>
      <c r="BF17" s="79" t="s">
        <v>92</v>
      </c>
      <c r="BG17" s="88" t="str">
        <f aca="false">IF(OR(BG$4="",MONTH(($G$2+29))&lt;&gt;MONTH($C$2)),"",IF(COUNTIFS(m_teacher,BG$4,m_date,($G$2+29),m_active,1,m_start,"&lt;"&amp;660,m_end,"&gt;"&amp;600)=0,"",IF(COUNTIFS(m_teacher,BG$4,m_date,($G$2+29),m_active,1,m_start,"&lt;"&amp;660,m_end,"&gt;"&amp;600)&gt;1,"충돌",HYPERLINK("#'관리자_MASTER'!D"&amp;_xlfn.MAXIFS(m_row,m_teacher,BG$4,m_date,($G$2+29),m_active,1,m_start,"&lt;"&amp;660,m_end,"&gt;"&amp;600),INDEX(m_label,_xlfn.MAXIFS(m_row,m_teacher,BG$4,m_date,($G$2+29),m_active,1,m_start,"&lt;"&amp;660,m_end,"&gt;"&amp;600))))))</f>
        <v/>
      </c>
      <c r="BH17" s="88" t="str">
        <f aca="false">IF(OR(BH$4="",MONTH(($G$2+29))&lt;&gt;MONTH($C$2)),"",IF(COUNTIFS(m_teacher,BH$4,m_date,($G$2+29),m_active,1,m_start,"&lt;"&amp;660,m_end,"&gt;"&amp;600)=0,"",IF(COUNTIFS(m_teacher,BH$4,m_date,($G$2+29),m_active,1,m_start,"&lt;"&amp;660,m_end,"&gt;"&amp;600)&gt;1,"충돌",HYPERLINK("#'관리자_MASTER'!D"&amp;_xlfn.MAXIFS(m_row,m_teacher,BH$4,m_date,($G$2+29),m_active,1,m_start,"&lt;"&amp;660,m_end,"&gt;"&amp;600),INDEX(m_label,_xlfn.MAXIFS(m_row,m_teacher,BH$4,m_date,($G$2+29),m_active,1,m_start,"&lt;"&amp;660,m_end,"&gt;"&amp;600))))))</f>
        <v/>
      </c>
      <c r="BI17" s="88" t="str">
        <f aca="false">IF(OR(BI$4="",MONTH(($G$2+29))&lt;&gt;MONTH($C$2)),"",IF(COUNTIFS(m_teacher,BI$4,m_date,($G$2+29),m_active,1,m_start,"&lt;"&amp;660,m_end,"&gt;"&amp;600)=0,"",IF(COUNTIFS(m_teacher,BI$4,m_date,($G$2+29),m_active,1,m_start,"&lt;"&amp;660,m_end,"&gt;"&amp;600)&gt;1,"충돌",HYPERLINK("#'관리자_MASTER'!D"&amp;_xlfn.MAXIFS(m_row,m_teacher,BI$4,m_date,($G$2+29),m_active,1,m_start,"&lt;"&amp;660,m_end,"&gt;"&amp;600),INDEX(m_label,_xlfn.MAXIFS(m_row,m_teacher,BI$4,m_date,($G$2+29),m_active,1,m_start,"&lt;"&amp;660,m_end,"&gt;"&amp;600))))))</f>
        <v/>
      </c>
      <c r="BJ17" s="88" t="str">
        <f aca="false">IF(OR(BJ$4="",MONTH(($G$2+29))&lt;&gt;MONTH($C$2)),"",IF(COUNTIFS(m_teacher,BJ$4,m_date,($G$2+29),m_active,1,m_start,"&lt;"&amp;660,m_end,"&gt;"&amp;600)=0,"",IF(COUNTIFS(m_teacher,BJ$4,m_date,($G$2+29),m_active,1,m_start,"&lt;"&amp;660,m_end,"&gt;"&amp;600)&gt;1,"충돌",HYPERLINK("#'관리자_MASTER'!D"&amp;_xlfn.MAXIFS(m_row,m_teacher,BJ$4,m_date,($G$2+29),m_active,1,m_start,"&lt;"&amp;660,m_end,"&gt;"&amp;600),INDEX(m_label,_xlfn.MAXIFS(m_row,m_teacher,BJ$4,m_date,($G$2+29),m_active,1,m_start,"&lt;"&amp;660,m_end,"&gt;"&amp;600))))))</f>
        <v/>
      </c>
      <c r="BK17" s="88" t="str">
        <f aca="false">IF(OR(BK$4="",MONTH(($G$2+29))&lt;&gt;MONTH($C$2)),"",IF(COUNTIFS(m_teacher,BK$4,m_date,($G$2+29),m_active,1,m_start,"&lt;"&amp;660,m_end,"&gt;"&amp;600)=0,"",IF(COUNTIFS(m_teacher,BK$4,m_date,($G$2+29),m_active,1,m_start,"&lt;"&amp;660,m_end,"&gt;"&amp;600)&gt;1,"충돌",HYPERLINK("#'관리자_MASTER'!D"&amp;_xlfn.MAXIFS(m_row,m_teacher,BK$4,m_date,($G$2+29),m_active,1,m_start,"&lt;"&amp;660,m_end,"&gt;"&amp;600),INDEX(m_label,_xlfn.MAXIFS(m_row,m_teacher,BK$4,m_date,($G$2+29),m_active,1,m_start,"&lt;"&amp;660,m_end,"&gt;"&amp;600))))))</f>
        <v/>
      </c>
      <c r="BL17" s="88" t="str">
        <f aca="false">IF(OR(BL$4="",MONTH(($G$2+29))&lt;&gt;MONTH($C$2)),"",IF(COUNTIFS(m_teacher,BL$4,m_date,($G$2+29),m_active,1,m_start,"&lt;"&amp;660,m_end,"&gt;"&amp;600)=0,"",IF(COUNTIFS(m_teacher,BL$4,m_date,($G$2+29),m_active,1,m_start,"&lt;"&amp;660,m_end,"&gt;"&amp;600)&gt;1,"충돌",HYPERLINK("#'관리자_MASTER'!D"&amp;_xlfn.MAXIFS(m_row,m_teacher,BL$4,m_date,($G$2+29),m_active,1,m_start,"&lt;"&amp;660,m_end,"&gt;"&amp;600),INDEX(m_label,_xlfn.MAXIFS(m_row,m_teacher,BL$4,m_date,($G$2+29),m_active,1,m_start,"&lt;"&amp;660,m_end,"&gt;"&amp;600))))))</f>
        <v/>
      </c>
      <c r="BM17" s="88" t="str">
        <f aca="false">IF(OR(BM$4="",MONTH(($G$2+29))&lt;&gt;MONTH($C$2)),"",IF(COUNTIFS(m_teacher,BM$4,m_date,($G$2+29),m_active,1,m_start,"&lt;"&amp;660,m_end,"&gt;"&amp;600)=0,"",IF(COUNTIFS(m_teacher,BM$4,m_date,($G$2+29),m_active,1,m_start,"&lt;"&amp;660,m_end,"&gt;"&amp;600)&gt;1,"충돌",HYPERLINK("#'관리자_MASTER'!D"&amp;_xlfn.MAXIFS(m_row,m_teacher,BM$4,m_date,($G$2+29),m_active,1,m_start,"&lt;"&amp;660,m_end,"&gt;"&amp;600),INDEX(m_label,_xlfn.MAXIFS(m_row,m_teacher,BM$4,m_date,($G$2+29),m_active,1,m_start,"&lt;"&amp;660,m_end,"&gt;"&amp;600))))))</f>
        <v/>
      </c>
      <c r="BN17" s="88" t="str">
        <f aca="false">IF(OR(BN$4="",MONTH(($G$2+29))&lt;&gt;MONTH($C$2)),"",IF(COUNTIFS(m_teacher,BN$4,m_date,($G$2+29),m_active,1,m_start,"&lt;"&amp;660,m_end,"&gt;"&amp;600)=0,"",IF(COUNTIFS(m_teacher,BN$4,m_date,($G$2+29),m_active,1,m_start,"&lt;"&amp;660,m_end,"&gt;"&amp;600)&gt;1,"충돌",HYPERLINK("#'관리자_MASTER'!D"&amp;_xlfn.MAXIFS(m_row,m_teacher,BN$4,m_date,($G$2+29),m_active,1,m_start,"&lt;"&amp;660,m_end,"&gt;"&amp;600),INDEX(m_label,_xlfn.MAXIFS(m_row,m_teacher,BN$4,m_date,($G$2+29),m_active,1,m_start,"&lt;"&amp;660,m_end,"&gt;"&amp;600))))))</f>
        <v/>
      </c>
      <c r="BO17" s="88" t="str">
        <f aca="false">IF(OR(BO$4="",MONTH(($G$2+29))&lt;&gt;MONTH($C$2)),"",IF(COUNTIFS(m_teacher,BO$4,m_date,($G$2+29),m_active,1,m_start,"&lt;"&amp;660,m_end,"&gt;"&amp;600)=0,"",IF(COUNTIFS(m_teacher,BO$4,m_date,($G$2+29),m_active,1,m_start,"&lt;"&amp;660,m_end,"&gt;"&amp;600)&gt;1,"충돌",HYPERLINK("#'관리자_MASTER'!D"&amp;_xlfn.MAXIFS(m_row,m_teacher,BO$4,m_date,($G$2+29),m_active,1,m_start,"&lt;"&amp;660,m_end,"&gt;"&amp;600),INDEX(m_label,_xlfn.MAXIFS(m_row,m_teacher,BO$4,m_date,($G$2+29),m_active,1,m_start,"&lt;"&amp;660,m_end,"&gt;"&amp;600))))))</f>
        <v/>
      </c>
      <c r="BP17" s="88" t="str">
        <f aca="false">IF(OR(BP$4="",MONTH(($G$2+29))&lt;&gt;MONTH($C$2)),"",IF(COUNTIFS(m_teacher,BP$4,m_date,($G$2+29),m_active,1,m_start,"&lt;"&amp;660,m_end,"&gt;"&amp;600)=0,"",IF(COUNTIFS(m_teacher,BP$4,m_date,($G$2+29),m_active,1,m_start,"&lt;"&amp;660,m_end,"&gt;"&amp;600)&gt;1,"충돌",HYPERLINK("#'관리자_MASTER'!D"&amp;_xlfn.MAXIFS(m_row,m_teacher,BP$4,m_date,($G$2+29),m_active,1,m_start,"&lt;"&amp;660,m_end,"&gt;"&amp;600),INDEX(m_label,_xlfn.MAXIFS(m_row,m_teacher,BP$4,m_date,($G$2+29),m_active,1,m_start,"&lt;"&amp;660,m_end,"&gt;"&amp;600))))))</f>
        <v/>
      </c>
      <c r="BQ17" s="88" t="str">
        <f aca="false">IF(OR(BQ$4="",MONTH(($G$2+29))&lt;&gt;MONTH($C$2)),"",IF(COUNTIFS(m_teacher,BQ$4,m_date,($G$2+29),m_active,1,m_start,"&lt;"&amp;660,m_end,"&gt;"&amp;600)=0,"",IF(COUNTIFS(m_teacher,BQ$4,m_date,($G$2+29),m_active,1,m_start,"&lt;"&amp;660,m_end,"&gt;"&amp;600)&gt;1,"충돌",HYPERLINK("#'관리자_MASTER'!D"&amp;_xlfn.MAXIFS(m_row,m_teacher,BQ$4,m_date,($G$2+29),m_active,1,m_start,"&lt;"&amp;660,m_end,"&gt;"&amp;600),INDEX(m_label,_xlfn.MAXIFS(m_row,m_teacher,BQ$4,m_date,($G$2+29),m_active,1,m_start,"&lt;"&amp;660,m_end,"&gt;"&amp;600))))))</f>
        <v/>
      </c>
      <c r="BR17" s="88" t="str">
        <f aca="false">IF(OR(BR$4="",MONTH(($G$2+29))&lt;&gt;MONTH($C$2)),"",IF(COUNTIFS(m_teacher,BR$4,m_date,($G$2+29),m_active,1,m_start,"&lt;"&amp;660,m_end,"&gt;"&amp;600)=0,"",IF(COUNTIFS(m_teacher,BR$4,m_date,($G$2+29),m_active,1,m_start,"&lt;"&amp;660,m_end,"&gt;"&amp;600)&gt;1,"충돌",HYPERLINK("#'관리자_MASTER'!D"&amp;_xlfn.MAXIFS(m_row,m_teacher,BR$4,m_date,($G$2+29),m_active,1,m_start,"&lt;"&amp;660,m_end,"&gt;"&amp;600),INDEX(m_label,_xlfn.MAXIFS(m_row,m_teacher,BR$4,m_date,($G$2+29),m_active,1,m_start,"&lt;"&amp;660,m_end,"&gt;"&amp;600))))))</f>
        <v/>
      </c>
    </row>
    <row r="18" customFormat="false" ht="19.5" hidden="false" customHeight="true" outlineLevel="0" collapsed="false">
      <c r="A18" s="75"/>
      <c r="B18" s="76" t="s">
        <v>93</v>
      </c>
      <c r="C18" s="81" t="str">
        <f aca="false">IF(OR(C$4="",MONTH(($G$2+1))&lt;&gt;MONTH($C$2)),"",IF(COUNTIFS(m_teacher,C$4,m_date,($G$2+1),m_active,1,m_start,"&lt;"&amp;720,m_end,"&gt;"&amp;660)=0,"",IF(COUNTIFS(m_teacher,C$4,m_date,($G$2+1),m_active,1,m_start,"&lt;"&amp;720,m_end,"&gt;"&amp;660)&gt;1,"충돌",HYPERLINK("#'관리자_MASTER'!D"&amp;_xlfn.MAXIFS(m_row,m_teacher,C$4,m_date,($G$2+1),m_active,1,m_start,"&lt;"&amp;720,m_end,"&gt;"&amp;660),INDEX(m_label,_xlfn.MAXIFS(m_row,m_teacher,C$4,m_date,($G$2+1),m_active,1,m_start,"&lt;"&amp;720,m_end,"&gt;"&amp;660))))))</f>
        <v/>
      </c>
      <c r="D18" s="81" t="str">
        <f aca="false">IF(OR(D$4="",MONTH(($G$2+1))&lt;&gt;MONTH($C$2)),"",IF(COUNTIFS(m_teacher,D$4,m_date,($G$2+1),m_active,1,m_start,"&lt;"&amp;720,m_end,"&gt;"&amp;660)=0,"",IF(COUNTIFS(m_teacher,D$4,m_date,($G$2+1),m_active,1,m_start,"&lt;"&amp;720,m_end,"&gt;"&amp;660)&gt;1,"충돌",HYPERLINK("#'관리자_MASTER'!D"&amp;_xlfn.MAXIFS(m_row,m_teacher,D$4,m_date,($G$2+1),m_active,1,m_start,"&lt;"&amp;720,m_end,"&gt;"&amp;660),INDEX(m_label,_xlfn.MAXIFS(m_row,m_teacher,D$4,m_date,($G$2+1),m_active,1,m_start,"&lt;"&amp;720,m_end,"&gt;"&amp;660))))))</f>
        <v/>
      </c>
      <c r="E18" s="81" t="str">
        <f aca="false">IF(OR(E$4="",MONTH(($G$2+1))&lt;&gt;MONTH($C$2)),"",IF(COUNTIFS(m_teacher,E$4,m_date,($G$2+1),m_active,1,m_start,"&lt;"&amp;720,m_end,"&gt;"&amp;660)=0,"",IF(COUNTIFS(m_teacher,E$4,m_date,($G$2+1),m_active,1,m_start,"&lt;"&amp;720,m_end,"&gt;"&amp;660)&gt;1,"충돌",HYPERLINK("#'관리자_MASTER'!D"&amp;_xlfn.MAXIFS(m_row,m_teacher,E$4,m_date,($G$2+1),m_active,1,m_start,"&lt;"&amp;720,m_end,"&gt;"&amp;660),INDEX(m_label,_xlfn.MAXIFS(m_row,m_teacher,E$4,m_date,($G$2+1),m_active,1,m_start,"&lt;"&amp;720,m_end,"&gt;"&amp;660))))))</f>
        <v/>
      </c>
      <c r="F18" s="81" t="str">
        <f aca="false">IF(OR(F$4="",MONTH(($G$2+1))&lt;&gt;MONTH($C$2)),"",IF(COUNTIFS(m_teacher,F$4,m_date,($G$2+1),m_active,1,m_start,"&lt;"&amp;720,m_end,"&gt;"&amp;660)=0,"",IF(COUNTIFS(m_teacher,F$4,m_date,($G$2+1),m_active,1,m_start,"&lt;"&amp;720,m_end,"&gt;"&amp;660)&gt;1,"충돌",HYPERLINK("#'관리자_MASTER'!D"&amp;_xlfn.MAXIFS(m_row,m_teacher,F$4,m_date,($G$2+1),m_active,1,m_start,"&lt;"&amp;720,m_end,"&gt;"&amp;660),INDEX(m_label,_xlfn.MAXIFS(m_row,m_teacher,F$4,m_date,($G$2+1),m_active,1,m_start,"&lt;"&amp;720,m_end,"&gt;"&amp;660))))))</f>
        <v/>
      </c>
      <c r="G18" s="81" t="str">
        <f aca="false">IF(OR(G$4="",MONTH(($G$2+1))&lt;&gt;MONTH($C$2)),"",IF(COUNTIFS(m_teacher,G$4,m_date,($G$2+1),m_active,1,m_start,"&lt;"&amp;720,m_end,"&gt;"&amp;660)=0,"",IF(COUNTIFS(m_teacher,G$4,m_date,($G$2+1),m_active,1,m_start,"&lt;"&amp;720,m_end,"&gt;"&amp;660)&gt;1,"충돌",HYPERLINK("#'관리자_MASTER'!D"&amp;_xlfn.MAXIFS(m_row,m_teacher,G$4,m_date,($G$2+1),m_active,1,m_start,"&lt;"&amp;720,m_end,"&gt;"&amp;660),INDEX(m_label,_xlfn.MAXIFS(m_row,m_teacher,G$4,m_date,($G$2+1),m_active,1,m_start,"&lt;"&amp;720,m_end,"&gt;"&amp;660))))))</f>
        <v/>
      </c>
      <c r="H18" s="81" t="str">
        <f aca="false">IF(OR(H$4="",MONTH(($G$2+1))&lt;&gt;MONTH($C$2)),"",IF(COUNTIFS(m_teacher,H$4,m_date,($G$2+1),m_active,1,m_start,"&lt;"&amp;720,m_end,"&gt;"&amp;660)=0,"",IF(COUNTIFS(m_teacher,H$4,m_date,($G$2+1),m_active,1,m_start,"&lt;"&amp;720,m_end,"&gt;"&amp;660)&gt;1,"충돌",HYPERLINK("#'관리자_MASTER'!D"&amp;_xlfn.MAXIFS(m_row,m_teacher,H$4,m_date,($G$2+1),m_active,1,m_start,"&lt;"&amp;720,m_end,"&gt;"&amp;660),INDEX(m_label,_xlfn.MAXIFS(m_row,m_teacher,H$4,m_date,($G$2+1),m_active,1,m_start,"&lt;"&amp;720,m_end,"&gt;"&amp;660))))))</f>
        <v/>
      </c>
      <c r="I18" s="81" t="str">
        <f aca="false">IF(OR(I$4="",MONTH(($G$2+1))&lt;&gt;MONTH($C$2)),"",IF(COUNTIFS(m_teacher,I$4,m_date,($G$2+1),m_active,1,m_start,"&lt;"&amp;720,m_end,"&gt;"&amp;660)=0,"",IF(COUNTIFS(m_teacher,I$4,m_date,($G$2+1),m_active,1,m_start,"&lt;"&amp;720,m_end,"&gt;"&amp;660)&gt;1,"충돌",HYPERLINK("#'관리자_MASTER'!D"&amp;_xlfn.MAXIFS(m_row,m_teacher,I$4,m_date,($G$2+1),m_active,1,m_start,"&lt;"&amp;720,m_end,"&gt;"&amp;660),INDEX(m_label,_xlfn.MAXIFS(m_row,m_teacher,I$4,m_date,($G$2+1),m_active,1,m_start,"&lt;"&amp;720,m_end,"&gt;"&amp;660))))))</f>
        <v/>
      </c>
      <c r="J18" s="81" t="str">
        <f aca="false">IF(OR(J$4="",MONTH(($G$2+1))&lt;&gt;MONTH($C$2)),"",IF(COUNTIFS(m_teacher,J$4,m_date,($G$2+1),m_active,1,m_start,"&lt;"&amp;720,m_end,"&gt;"&amp;660)=0,"",IF(COUNTIFS(m_teacher,J$4,m_date,($G$2+1),m_active,1,m_start,"&lt;"&amp;720,m_end,"&gt;"&amp;660)&gt;1,"충돌",HYPERLINK("#'관리자_MASTER'!D"&amp;_xlfn.MAXIFS(m_row,m_teacher,J$4,m_date,($G$2+1),m_active,1,m_start,"&lt;"&amp;720,m_end,"&gt;"&amp;660),INDEX(m_label,_xlfn.MAXIFS(m_row,m_teacher,J$4,m_date,($G$2+1),m_active,1,m_start,"&lt;"&amp;720,m_end,"&gt;"&amp;660))))))</f>
        <v/>
      </c>
      <c r="K18" s="81" t="str">
        <f aca="false">IF(OR(K$4="",MONTH(($G$2+1))&lt;&gt;MONTH($C$2)),"",IF(COUNTIFS(m_teacher,K$4,m_date,($G$2+1),m_active,1,m_start,"&lt;"&amp;720,m_end,"&gt;"&amp;660)=0,"",IF(COUNTIFS(m_teacher,K$4,m_date,($G$2+1),m_active,1,m_start,"&lt;"&amp;720,m_end,"&gt;"&amp;660)&gt;1,"충돌",HYPERLINK("#'관리자_MASTER'!D"&amp;_xlfn.MAXIFS(m_row,m_teacher,K$4,m_date,($G$2+1),m_active,1,m_start,"&lt;"&amp;720,m_end,"&gt;"&amp;660),INDEX(m_label,_xlfn.MAXIFS(m_row,m_teacher,K$4,m_date,($G$2+1),m_active,1,m_start,"&lt;"&amp;720,m_end,"&gt;"&amp;660))))))</f>
        <v/>
      </c>
      <c r="L18" s="81" t="str">
        <f aca="false">IF(OR(L$4="",MONTH(($G$2+1))&lt;&gt;MONTH($C$2)),"",IF(COUNTIFS(m_teacher,L$4,m_date,($G$2+1),m_active,1,m_start,"&lt;"&amp;720,m_end,"&gt;"&amp;660)=0,"",IF(COUNTIFS(m_teacher,L$4,m_date,($G$2+1),m_active,1,m_start,"&lt;"&amp;720,m_end,"&gt;"&amp;660)&gt;1,"충돌",HYPERLINK("#'관리자_MASTER'!D"&amp;_xlfn.MAXIFS(m_row,m_teacher,L$4,m_date,($G$2+1),m_active,1,m_start,"&lt;"&amp;720,m_end,"&gt;"&amp;660),INDEX(m_label,_xlfn.MAXIFS(m_row,m_teacher,L$4,m_date,($G$2+1),m_active,1,m_start,"&lt;"&amp;720,m_end,"&gt;"&amp;660))))))</f>
        <v/>
      </c>
      <c r="M18" s="81" t="str">
        <f aca="false">IF(OR(M$4="",MONTH(($G$2+1))&lt;&gt;MONTH($C$2)),"",IF(COUNTIFS(m_teacher,M$4,m_date,($G$2+1),m_active,1,m_start,"&lt;"&amp;720,m_end,"&gt;"&amp;660)=0,"",IF(COUNTIFS(m_teacher,M$4,m_date,($G$2+1),m_active,1,m_start,"&lt;"&amp;720,m_end,"&gt;"&amp;660)&gt;1,"충돌",HYPERLINK("#'관리자_MASTER'!D"&amp;_xlfn.MAXIFS(m_row,m_teacher,M$4,m_date,($G$2+1),m_active,1,m_start,"&lt;"&amp;720,m_end,"&gt;"&amp;660),INDEX(m_label,_xlfn.MAXIFS(m_row,m_teacher,M$4,m_date,($G$2+1),m_active,1,m_start,"&lt;"&amp;720,m_end,"&gt;"&amp;660))))))</f>
        <v/>
      </c>
      <c r="N18" s="81" t="str">
        <f aca="false">IF(OR(N$4="",MONTH(($G$2+1))&lt;&gt;MONTH($C$2)),"",IF(COUNTIFS(m_teacher,N$4,m_date,($G$2+1),m_active,1,m_start,"&lt;"&amp;720,m_end,"&gt;"&amp;660)=0,"",IF(COUNTIFS(m_teacher,N$4,m_date,($G$2+1),m_active,1,m_start,"&lt;"&amp;720,m_end,"&gt;"&amp;660)&gt;1,"충돌",HYPERLINK("#'관리자_MASTER'!D"&amp;_xlfn.MAXIFS(m_row,m_teacher,N$4,m_date,($G$2+1),m_active,1,m_start,"&lt;"&amp;720,m_end,"&gt;"&amp;660),INDEX(m_label,_xlfn.MAXIFS(m_row,m_teacher,N$4,m_date,($G$2+1),m_active,1,m_start,"&lt;"&amp;720,m_end,"&gt;"&amp;660))))))</f>
        <v/>
      </c>
      <c r="O18" s="78"/>
      <c r="P18" s="79" t="s">
        <v>93</v>
      </c>
      <c r="Q18" s="88" t="str">
        <f aca="false">IF(OR(Q$4="",MONTH(($G$2+8))&lt;&gt;MONTH($C$2)),"",IF(COUNTIFS(m_teacher,Q$4,m_date,($G$2+8),m_active,1,m_start,"&lt;"&amp;720,m_end,"&gt;"&amp;660)=0,"",IF(COUNTIFS(m_teacher,Q$4,m_date,($G$2+8),m_active,1,m_start,"&lt;"&amp;720,m_end,"&gt;"&amp;660)&gt;1,"충돌",HYPERLINK("#'관리자_MASTER'!D"&amp;_xlfn.MAXIFS(m_row,m_teacher,Q$4,m_date,($G$2+8),m_active,1,m_start,"&lt;"&amp;720,m_end,"&gt;"&amp;660),INDEX(m_label,_xlfn.MAXIFS(m_row,m_teacher,Q$4,m_date,($G$2+8),m_active,1,m_start,"&lt;"&amp;720,m_end,"&gt;"&amp;660))))))</f>
        <v/>
      </c>
      <c r="R18" s="88" t="str">
        <f aca="false">IF(OR(R$4="",MONTH(($G$2+8))&lt;&gt;MONTH($C$2)),"",IF(COUNTIFS(m_teacher,R$4,m_date,($G$2+8),m_active,1,m_start,"&lt;"&amp;720,m_end,"&gt;"&amp;660)=0,"",IF(COUNTIFS(m_teacher,R$4,m_date,($G$2+8),m_active,1,m_start,"&lt;"&amp;720,m_end,"&gt;"&amp;660)&gt;1,"충돌",HYPERLINK("#'관리자_MASTER'!D"&amp;_xlfn.MAXIFS(m_row,m_teacher,R$4,m_date,($G$2+8),m_active,1,m_start,"&lt;"&amp;720,m_end,"&gt;"&amp;660),INDEX(m_label,_xlfn.MAXIFS(m_row,m_teacher,R$4,m_date,($G$2+8),m_active,1,m_start,"&lt;"&amp;720,m_end,"&gt;"&amp;660))))))</f>
        <v/>
      </c>
      <c r="S18" s="88" t="str">
        <f aca="false">IF(OR(S$4="",MONTH(($G$2+8))&lt;&gt;MONTH($C$2)),"",IF(COUNTIFS(m_teacher,S$4,m_date,($G$2+8),m_active,1,m_start,"&lt;"&amp;720,m_end,"&gt;"&amp;660)=0,"",IF(COUNTIFS(m_teacher,S$4,m_date,($G$2+8),m_active,1,m_start,"&lt;"&amp;720,m_end,"&gt;"&amp;660)&gt;1,"충돌",HYPERLINK("#'관리자_MASTER'!D"&amp;_xlfn.MAXIFS(m_row,m_teacher,S$4,m_date,($G$2+8),m_active,1,m_start,"&lt;"&amp;720,m_end,"&gt;"&amp;660),INDEX(m_label,_xlfn.MAXIFS(m_row,m_teacher,S$4,m_date,($G$2+8),m_active,1,m_start,"&lt;"&amp;720,m_end,"&gt;"&amp;660))))))</f>
        <v/>
      </c>
      <c r="T18" s="88" t="str">
        <f aca="false">IF(OR(T$4="",MONTH(($G$2+8))&lt;&gt;MONTH($C$2)),"",IF(COUNTIFS(m_teacher,T$4,m_date,($G$2+8),m_active,1,m_start,"&lt;"&amp;720,m_end,"&gt;"&amp;660)=0,"",IF(COUNTIFS(m_teacher,T$4,m_date,($G$2+8),m_active,1,m_start,"&lt;"&amp;720,m_end,"&gt;"&amp;660)&gt;1,"충돌",HYPERLINK("#'관리자_MASTER'!D"&amp;_xlfn.MAXIFS(m_row,m_teacher,T$4,m_date,($G$2+8),m_active,1,m_start,"&lt;"&amp;720,m_end,"&gt;"&amp;660),INDEX(m_label,_xlfn.MAXIFS(m_row,m_teacher,T$4,m_date,($G$2+8),m_active,1,m_start,"&lt;"&amp;720,m_end,"&gt;"&amp;660))))))</f>
        <v/>
      </c>
      <c r="U18" s="88" t="str">
        <f aca="false">IF(OR(U$4="",MONTH(($G$2+8))&lt;&gt;MONTH($C$2)),"",IF(COUNTIFS(m_teacher,U$4,m_date,($G$2+8),m_active,1,m_start,"&lt;"&amp;720,m_end,"&gt;"&amp;660)=0,"",IF(COUNTIFS(m_teacher,U$4,m_date,($G$2+8),m_active,1,m_start,"&lt;"&amp;720,m_end,"&gt;"&amp;660)&gt;1,"충돌",HYPERLINK("#'관리자_MASTER'!D"&amp;_xlfn.MAXIFS(m_row,m_teacher,U$4,m_date,($G$2+8),m_active,1,m_start,"&lt;"&amp;720,m_end,"&gt;"&amp;660),INDEX(m_label,_xlfn.MAXIFS(m_row,m_teacher,U$4,m_date,($G$2+8),m_active,1,m_start,"&lt;"&amp;720,m_end,"&gt;"&amp;660))))))</f>
        <v/>
      </c>
      <c r="V18" s="88" t="str">
        <f aca="false">IF(OR(V$4="",MONTH(($G$2+8))&lt;&gt;MONTH($C$2)),"",IF(COUNTIFS(m_teacher,V$4,m_date,($G$2+8),m_active,1,m_start,"&lt;"&amp;720,m_end,"&gt;"&amp;660)=0,"",IF(COUNTIFS(m_teacher,V$4,m_date,($G$2+8),m_active,1,m_start,"&lt;"&amp;720,m_end,"&gt;"&amp;660)&gt;1,"충돌",HYPERLINK("#'관리자_MASTER'!D"&amp;_xlfn.MAXIFS(m_row,m_teacher,V$4,m_date,($G$2+8),m_active,1,m_start,"&lt;"&amp;720,m_end,"&gt;"&amp;660),INDEX(m_label,_xlfn.MAXIFS(m_row,m_teacher,V$4,m_date,($G$2+8),m_active,1,m_start,"&lt;"&amp;720,m_end,"&gt;"&amp;660))))))</f>
        <v/>
      </c>
      <c r="W18" s="88" t="str">
        <f aca="false">IF(OR(W$4="",MONTH(($G$2+8))&lt;&gt;MONTH($C$2)),"",IF(COUNTIFS(m_teacher,W$4,m_date,($G$2+8),m_active,1,m_start,"&lt;"&amp;720,m_end,"&gt;"&amp;660)=0,"",IF(COUNTIFS(m_teacher,W$4,m_date,($G$2+8),m_active,1,m_start,"&lt;"&amp;720,m_end,"&gt;"&amp;660)&gt;1,"충돌",HYPERLINK("#'관리자_MASTER'!D"&amp;_xlfn.MAXIFS(m_row,m_teacher,W$4,m_date,($G$2+8),m_active,1,m_start,"&lt;"&amp;720,m_end,"&gt;"&amp;660),INDEX(m_label,_xlfn.MAXIFS(m_row,m_teacher,W$4,m_date,($G$2+8),m_active,1,m_start,"&lt;"&amp;720,m_end,"&gt;"&amp;660))))))</f>
        <v/>
      </c>
      <c r="X18" s="88" t="str">
        <f aca="false">IF(OR(X$4="",MONTH(($G$2+8))&lt;&gt;MONTH($C$2)),"",IF(COUNTIFS(m_teacher,X$4,m_date,($G$2+8),m_active,1,m_start,"&lt;"&amp;720,m_end,"&gt;"&amp;660)=0,"",IF(COUNTIFS(m_teacher,X$4,m_date,($G$2+8),m_active,1,m_start,"&lt;"&amp;720,m_end,"&gt;"&amp;660)&gt;1,"충돌",HYPERLINK("#'관리자_MASTER'!D"&amp;_xlfn.MAXIFS(m_row,m_teacher,X$4,m_date,($G$2+8),m_active,1,m_start,"&lt;"&amp;720,m_end,"&gt;"&amp;660),INDEX(m_label,_xlfn.MAXIFS(m_row,m_teacher,X$4,m_date,($G$2+8),m_active,1,m_start,"&lt;"&amp;720,m_end,"&gt;"&amp;660))))))</f>
        <v/>
      </c>
      <c r="Y18" s="88" t="str">
        <f aca="false">IF(OR(Y$4="",MONTH(($G$2+8))&lt;&gt;MONTH($C$2)),"",IF(COUNTIFS(m_teacher,Y$4,m_date,($G$2+8),m_active,1,m_start,"&lt;"&amp;720,m_end,"&gt;"&amp;660)=0,"",IF(COUNTIFS(m_teacher,Y$4,m_date,($G$2+8),m_active,1,m_start,"&lt;"&amp;720,m_end,"&gt;"&amp;660)&gt;1,"충돌",HYPERLINK("#'관리자_MASTER'!D"&amp;_xlfn.MAXIFS(m_row,m_teacher,Y$4,m_date,($G$2+8),m_active,1,m_start,"&lt;"&amp;720,m_end,"&gt;"&amp;660),INDEX(m_label,_xlfn.MAXIFS(m_row,m_teacher,Y$4,m_date,($G$2+8),m_active,1,m_start,"&lt;"&amp;720,m_end,"&gt;"&amp;660))))))</f>
        <v/>
      </c>
      <c r="Z18" s="88" t="str">
        <f aca="false">IF(OR(Z$4="",MONTH(($G$2+8))&lt;&gt;MONTH($C$2)),"",IF(COUNTIFS(m_teacher,Z$4,m_date,($G$2+8),m_active,1,m_start,"&lt;"&amp;720,m_end,"&gt;"&amp;660)=0,"",IF(COUNTIFS(m_teacher,Z$4,m_date,($G$2+8),m_active,1,m_start,"&lt;"&amp;720,m_end,"&gt;"&amp;660)&gt;1,"충돌",HYPERLINK("#'관리자_MASTER'!D"&amp;_xlfn.MAXIFS(m_row,m_teacher,Z$4,m_date,($G$2+8),m_active,1,m_start,"&lt;"&amp;720,m_end,"&gt;"&amp;660),INDEX(m_label,_xlfn.MAXIFS(m_row,m_teacher,Z$4,m_date,($G$2+8),m_active,1,m_start,"&lt;"&amp;720,m_end,"&gt;"&amp;660))))))</f>
        <v/>
      </c>
      <c r="AA18" s="88" t="str">
        <f aca="false">IF(OR(AA$4="",MONTH(($G$2+8))&lt;&gt;MONTH($C$2)),"",IF(COUNTIFS(m_teacher,AA$4,m_date,($G$2+8),m_active,1,m_start,"&lt;"&amp;720,m_end,"&gt;"&amp;660)=0,"",IF(COUNTIFS(m_teacher,AA$4,m_date,($G$2+8),m_active,1,m_start,"&lt;"&amp;720,m_end,"&gt;"&amp;660)&gt;1,"충돌",HYPERLINK("#'관리자_MASTER'!D"&amp;_xlfn.MAXIFS(m_row,m_teacher,AA$4,m_date,($G$2+8),m_active,1,m_start,"&lt;"&amp;720,m_end,"&gt;"&amp;660),INDEX(m_label,_xlfn.MAXIFS(m_row,m_teacher,AA$4,m_date,($G$2+8),m_active,1,m_start,"&lt;"&amp;720,m_end,"&gt;"&amp;660))))))</f>
        <v/>
      </c>
      <c r="AB18" s="88" t="str">
        <f aca="false">IF(OR(AB$4="",MONTH(($G$2+8))&lt;&gt;MONTH($C$2)),"",IF(COUNTIFS(m_teacher,AB$4,m_date,($G$2+8),m_active,1,m_start,"&lt;"&amp;720,m_end,"&gt;"&amp;660)=0,"",IF(COUNTIFS(m_teacher,AB$4,m_date,($G$2+8),m_active,1,m_start,"&lt;"&amp;720,m_end,"&gt;"&amp;660)&gt;1,"충돌",HYPERLINK("#'관리자_MASTER'!D"&amp;_xlfn.MAXIFS(m_row,m_teacher,AB$4,m_date,($G$2+8),m_active,1,m_start,"&lt;"&amp;720,m_end,"&gt;"&amp;660),INDEX(m_label,_xlfn.MAXIFS(m_row,m_teacher,AB$4,m_date,($G$2+8),m_active,1,m_start,"&lt;"&amp;720,m_end,"&gt;"&amp;660))))))</f>
        <v/>
      </c>
      <c r="AC18" s="78"/>
      <c r="AD18" s="79" t="s">
        <v>93</v>
      </c>
      <c r="AE18" s="88" t="str">
        <f aca="false">IF(OR(AE$4="",MONTH(($G$2+15))&lt;&gt;MONTH($C$2)),"",IF(COUNTIFS(m_teacher,AE$4,m_date,($G$2+15),m_active,1,m_start,"&lt;"&amp;720,m_end,"&gt;"&amp;660)=0,"",IF(COUNTIFS(m_teacher,AE$4,m_date,($G$2+15),m_active,1,m_start,"&lt;"&amp;720,m_end,"&gt;"&amp;660)&gt;1,"충돌",HYPERLINK("#'관리자_MASTER'!D"&amp;_xlfn.MAXIFS(m_row,m_teacher,AE$4,m_date,($G$2+15),m_active,1,m_start,"&lt;"&amp;720,m_end,"&gt;"&amp;660),INDEX(m_label,_xlfn.MAXIFS(m_row,m_teacher,AE$4,m_date,($G$2+15),m_active,1,m_start,"&lt;"&amp;720,m_end,"&gt;"&amp;660))))))</f>
        <v/>
      </c>
      <c r="AF18" s="88" t="str">
        <f aca="false">IF(OR(AF$4="",MONTH(($G$2+15))&lt;&gt;MONTH($C$2)),"",IF(COUNTIFS(m_teacher,AF$4,m_date,($G$2+15),m_active,1,m_start,"&lt;"&amp;720,m_end,"&gt;"&amp;660)=0,"",IF(COUNTIFS(m_teacher,AF$4,m_date,($G$2+15),m_active,1,m_start,"&lt;"&amp;720,m_end,"&gt;"&amp;660)&gt;1,"충돌",HYPERLINK("#'관리자_MASTER'!D"&amp;_xlfn.MAXIFS(m_row,m_teacher,AF$4,m_date,($G$2+15),m_active,1,m_start,"&lt;"&amp;720,m_end,"&gt;"&amp;660),INDEX(m_label,_xlfn.MAXIFS(m_row,m_teacher,AF$4,m_date,($G$2+15),m_active,1,m_start,"&lt;"&amp;720,m_end,"&gt;"&amp;660))))))</f>
        <v/>
      </c>
      <c r="AG18" s="88" t="str">
        <f aca="false">IF(OR(AG$4="",MONTH(($G$2+15))&lt;&gt;MONTH($C$2)),"",IF(COUNTIFS(m_teacher,AG$4,m_date,($G$2+15),m_active,1,m_start,"&lt;"&amp;720,m_end,"&gt;"&amp;660)=0,"",IF(COUNTIFS(m_teacher,AG$4,m_date,($G$2+15),m_active,1,m_start,"&lt;"&amp;720,m_end,"&gt;"&amp;660)&gt;1,"충돌",HYPERLINK("#'관리자_MASTER'!D"&amp;_xlfn.MAXIFS(m_row,m_teacher,AG$4,m_date,($G$2+15),m_active,1,m_start,"&lt;"&amp;720,m_end,"&gt;"&amp;660),INDEX(m_label,_xlfn.MAXIFS(m_row,m_teacher,AG$4,m_date,($G$2+15),m_active,1,m_start,"&lt;"&amp;720,m_end,"&gt;"&amp;660))))))</f>
        <v/>
      </c>
      <c r="AH18" s="88" t="str">
        <f aca="false">IF(OR(AH$4="",MONTH(($G$2+15))&lt;&gt;MONTH($C$2)),"",IF(COUNTIFS(m_teacher,AH$4,m_date,($G$2+15),m_active,1,m_start,"&lt;"&amp;720,m_end,"&gt;"&amp;660)=0,"",IF(COUNTIFS(m_teacher,AH$4,m_date,($G$2+15),m_active,1,m_start,"&lt;"&amp;720,m_end,"&gt;"&amp;660)&gt;1,"충돌",HYPERLINK("#'관리자_MASTER'!D"&amp;_xlfn.MAXIFS(m_row,m_teacher,AH$4,m_date,($G$2+15),m_active,1,m_start,"&lt;"&amp;720,m_end,"&gt;"&amp;660),INDEX(m_label,_xlfn.MAXIFS(m_row,m_teacher,AH$4,m_date,($G$2+15),m_active,1,m_start,"&lt;"&amp;720,m_end,"&gt;"&amp;660))))))</f>
        <v/>
      </c>
      <c r="AI18" s="88" t="str">
        <f aca="false">IF(OR(AI$4="",MONTH(($G$2+15))&lt;&gt;MONTH($C$2)),"",IF(COUNTIFS(m_teacher,AI$4,m_date,($G$2+15),m_active,1,m_start,"&lt;"&amp;720,m_end,"&gt;"&amp;660)=0,"",IF(COUNTIFS(m_teacher,AI$4,m_date,($G$2+15),m_active,1,m_start,"&lt;"&amp;720,m_end,"&gt;"&amp;660)&gt;1,"충돌",HYPERLINK("#'관리자_MASTER'!D"&amp;_xlfn.MAXIFS(m_row,m_teacher,AI$4,m_date,($G$2+15),m_active,1,m_start,"&lt;"&amp;720,m_end,"&gt;"&amp;660),INDEX(m_label,_xlfn.MAXIFS(m_row,m_teacher,AI$4,m_date,($G$2+15),m_active,1,m_start,"&lt;"&amp;720,m_end,"&gt;"&amp;660))))))</f>
        <v/>
      </c>
      <c r="AJ18" s="88" t="str">
        <f aca="false">IF(OR(AJ$4="",MONTH(($G$2+15))&lt;&gt;MONTH($C$2)),"",IF(COUNTIFS(m_teacher,AJ$4,m_date,($G$2+15),m_active,1,m_start,"&lt;"&amp;720,m_end,"&gt;"&amp;660)=0,"",IF(COUNTIFS(m_teacher,AJ$4,m_date,($G$2+15),m_active,1,m_start,"&lt;"&amp;720,m_end,"&gt;"&amp;660)&gt;1,"충돌",HYPERLINK("#'관리자_MASTER'!D"&amp;_xlfn.MAXIFS(m_row,m_teacher,AJ$4,m_date,($G$2+15),m_active,1,m_start,"&lt;"&amp;720,m_end,"&gt;"&amp;660),INDEX(m_label,_xlfn.MAXIFS(m_row,m_teacher,AJ$4,m_date,($G$2+15),m_active,1,m_start,"&lt;"&amp;720,m_end,"&gt;"&amp;660))))))</f>
        <v/>
      </c>
      <c r="AK18" s="88" t="str">
        <f aca="false">IF(OR(AK$4="",MONTH(($G$2+15))&lt;&gt;MONTH($C$2)),"",IF(COUNTIFS(m_teacher,AK$4,m_date,($G$2+15),m_active,1,m_start,"&lt;"&amp;720,m_end,"&gt;"&amp;660)=0,"",IF(COUNTIFS(m_teacher,AK$4,m_date,($G$2+15),m_active,1,m_start,"&lt;"&amp;720,m_end,"&gt;"&amp;660)&gt;1,"충돌",HYPERLINK("#'관리자_MASTER'!D"&amp;_xlfn.MAXIFS(m_row,m_teacher,AK$4,m_date,($G$2+15),m_active,1,m_start,"&lt;"&amp;720,m_end,"&gt;"&amp;660),INDEX(m_label,_xlfn.MAXIFS(m_row,m_teacher,AK$4,m_date,($G$2+15),m_active,1,m_start,"&lt;"&amp;720,m_end,"&gt;"&amp;660))))))</f>
        <v/>
      </c>
      <c r="AL18" s="88" t="str">
        <f aca="false">IF(OR(AL$4="",MONTH(($G$2+15))&lt;&gt;MONTH($C$2)),"",IF(COUNTIFS(m_teacher,AL$4,m_date,($G$2+15),m_active,1,m_start,"&lt;"&amp;720,m_end,"&gt;"&amp;660)=0,"",IF(COUNTIFS(m_teacher,AL$4,m_date,($G$2+15),m_active,1,m_start,"&lt;"&amp;720,m_end,"&gt;"&amp;660)&gt;1,"충돌",HYPERLINK("#'관리자_MASTER'!D"&amp;_xlfn.MAXIFS(m_row,m_teacher,AL$4,m_date,($G$2+15),m_active,1,m_start,"&lt;"&amp;720,m_end,"&gt;"&amp;660),INDEX(m_label,_xlfn.MAXIFS(m_row,m_teacher,AL$4,m_date,($G$2+15),m_active,1,m_start,"&lt;"&amp;720,m_end,"&gt;"&amp;660))))))</f>
        <v/>
      </c>
      <c r="AM18" s="88" t="str">
        <f aca="false">IF(OR(AM$4="",MONTH(($G$2+15))&lt;&gt;MONTH($C$2)),"",IF(COUNTIFS(m_teacher,AM$4,m_date,($G$2+15),m_active,1,m_start,"&lt;"&amp;720,m_end,"&gt;"&amp;660)=0,"",IF(COUNTIFS(m_teacher,AM$4,m_date,($G$2+15),m_active,1,m_start,"&lt;"&amp;720,m_end,"&gt;"&amp;660)&gt;1,"충돌",HYPERLINK("#'관리자_MASTER'!D"&amp;_xlfn.MAXIFS(m_row,m_teacher,AM$4,m_date,($G$2+15),m_active,1,m_start,"&lt;"&amp;720,m_end,"&gt;"&amp;660),INDEX(m_label,_xlfn.MAXIFS(m_row,m_teacher,AM$4,m_date,($G$2+15),m_active,1,m_start,"&lt;"&amp;720,m_end,"&gt;"&amp;660))))))</f>
        <v/>
      </c>
      <c r="AN18" s="88" t="str">
        <f aca="false">IF(OR(AN$4="",MONTH(($G$2+15))&lt;&gt;MONTH($C$2)),"",IF(COUNTIFS(m_teacher,AN$4,m_date,($G$2+15),m_active,1,m_start,"&lt;"&amp;720,m_end,"&gt;"&amp;660)=0,"",IF(COUNTIFS(m_teacher,AN$4,m_date,($G$2+15),m_active,1,m_start,"&lt;"&amp;720,m_end,"&gt;"&amp;660)&gt;1,"충돌",HYPERLINK("#'관리자_MASTER'!D"&amp;_xlfn.MAXIFS(m_row,m_teacher,AN$4,m_date,($G$2+15),m_active,1,m_start,"&lt;"&amp;720,m_end,"&gt;"&amp;660),INDEX(m_label,_xlfn.MAXIFS(m_row,m_teacher,AN$4,m_date,($G$2+15),m_active,1,m_start,"&lt;"&amp;720,m_end,"&gt;"&amp;660))))))</f>
        <v/>
      </c>
      <c r="AO18" s="88" t="str">
        <f aca="false">IF(OR(AO$4="",MONTH(($G$2+15))&lt;&gt;MONTH($C$2)),"",IF(COUNTIFS(m_teacher,AO$4,m_date,($G$2+15),m_active,1,m_start,"&lt;"&amp;720,m_end,"&gt;"&amp;660)=0,"",IF(COUNTIFS(m_teacher,AO$4,m_date,($G$2+15),m_active,1,m_start,"&lt;"&amp;720,m_end,"&gt;"&amp;660)&gt;1,"충돌",HYPERLINK("#'관리자_MASTER'!D"&amp;_xlfn.MAXIFS(m_row,m_teacher,AO$4,m_date,($G$2+15),m_active,1,m_start,"&lt;"&amp;720,m_end,"&gt;"&amp;660),INDEX(m_label,_xlfn.MAXIFS(m_row,m_teacher,AO$4,m_date,($G$2+15),m_active,1,m_start,"&lt;"&amp;720,m_end,"&gt;"&amp;660))))))</f>
        <v/>
      </c>
      <c r="AP18" s="88" t="str">
        <f aca="false">IF(OR(AP$4="",MONTH(($G$2+15))&lt;&gt;MONTH($C$2)),"",IF(COUNTIFS(m_teacher,AP$4,m_date,($G$2+15),m_active,1,m_start,"&lt;"&amp;720,m_end,"&gt;"&amp;660)=0,"",IF(COUNTIFS(m_teacher,AP$4,m_date,($G$2+15),m_active,1,m_start,"&lt;"&amp;720,m_end,"&gt;"&amp;660)&gt;1,"충돌",HYPERLINK("#'관리자_MASTER'!D"&amp;_xlfn.MAXIFS(m_row,m_teacher,AP$4,m_date,($G$2+15),m_active,1,m_start,"&lt;"&amp;720,m_end,"&gt;"&amp;660),INDEX(m_label,_xlfn.MAXIFS(m_row,m_teacher,AP$4,m_date,($G$2+15),m_active,1,m_start,"&lt;"&amp;720,m_end,"&gt;"&amp;660))))))</f>
        <v/>
      </c>
      <c r="AQ18" s="78"/>
      <c r="AR18" s="79" t="s">
        <v>93</v>
      </c>
      <c r="AS18" s="88" t="str">
        <f aca="false">IF(OR(AS$4="",MONTH(($G$2+22))&lt;&gt;MONTH($C$2)),"",IF(COUNTIFS(m_teacher,AS$4,m_date,($G$2+22),m_active,1,m_start,"&lt;"&amp;720,m_end,"&gt;"&amp;660)=0,"",IF(COUNTIFS(m_teacher,AS$4,m_date,($G$2+22),m_active,1,m_start,"&lt;"&amp;720,m_end,"&gt;"&amp;660)&gt;1,"충돌",HYPERLINK("#'관리자_MASTER'!D"&amp;_xlfn.MAXIFS(m_row,m_teacher,AS$4,m_date,($G$2+22),m_active,1,m_start,"&lt;"&amp;720,m_end,"&gt;"&amp;660),INDEX(m_label,_xlfn.MAXIFS(m_row,m_teacher,AS$4,m_date,($G$2+22),m_active,1,m_start,"&lt;"&amp;720,m_end,"&gt;"&amp;660))))))</f>
        <v/>
      </c>
      <c r="AT18" s="88" t="str">
        <f aca="false">IF(OR(AT$4="",MONTH(($G$2+22))&lt;&gt;MONTH($C$2)),"",IF(COUNTIFS(m_teacher,AT$4,m_date,($G$2+22),m_active,1,m_start,"&lt;"&amp;720,m_end,"&gt;"&amp;660)=0,"",IF(COUNTIFS(m_teacher,AT$4,m_date,($G$2+22),m_active,1,m_start,"&lt;"&amp;720,m_end,"&gt;"&amp;660)&gt;1,"충돌",HYPERLINK("#'관리자_MASTER'!D"&amp;_xlfn.MAXIFS(m_row,m_teacher,AT$4,m_date,($G$2+22),m_active,1,m_start,"&lt;"&amp;720,m_end,"&gt;"&amp;660),INDEX(m_label,_xlfn.MAXIFS(m_row,m_teacher,AT$4,m_date,($G$2+22),m_active,1,m_start,"&lt;"&amp;720,m_end,"&gt;"&amp;660))))))</f>
        <v/>
      </c>
      <c r="AU18" s="88" t="str">
        <f aca="false">IF(OR(AU$4="",MONTH(($G$2+22))&lt;&gt;MONTH($C$2)),"",IF(COUNTIFS(m_teacher,AU$4,m_date,($G$2+22),m_active,1,m_start,"&lt;"&amp;720,m_end,"&gt;"&amp;660)=0,"",IF(COUNTIFS(m_teacher,AU$4,m_date,($G$2+22),m_active,1,m_start,"&lt;"&amp;720,m_end,"&gt;"&amp;660)&gt;1,"충돌",HYPERLINK("#'관리자_MASTER'!D"&amp;_xlfn.MAXIFS(m_row,m_teacher,AU$4,m_date,($G$2+22),m_active,1,m_start,"&lt;"&amp;720,m_end,"&gt;"&amp;660),INDEX(m_label,_xlfn.MAXIFS(m_row,m_teacher,AU$4,m_date,($G$2+22),m_active,1,m_start,"&lt;"&amp;720,m_end,"&gt;"&amp;660))))))</f>
        <v/>
      </c>
      <c r="AV18" s="88" t="str">
        <f aca="false">IF(OR(AV$4="",MONTH(($G$2+22))&lt;&gt;MONTH($C$2)),"",IF(COUNTIFS(m_teacher,AV$4,m_date,($G$2+22),m_active,1,m_start,"&lt;"&amp;720,m_end,"&gt;"&amp;660)=0,"",IF(COUNTIFS(m_teacher,AV$4,m_date,($G$2+22),m_active,1,m_start,"&lt;"&amp;720,m_end,"&gt;"&amp;660)&gt;1,"충돌",HYPERLINK("#'관리자_MASTER'!D"&amp;_xlfn.MAXIFS(m_row,m_teacher,AV$4,m_date,($G$2+22),m_active,1,m_start,"&lt;"&amp;720,m_end,"&gt;"&amp;660),INDEX(m_label,_xlfn.MAXIFS(m_row,m_teacher,AV$4,m_date,($G$2+22),m_active,1,m_start,"&lt;"&amp;720,m_end,"&gt;"&amp;660))))))</f>
        <v/>
      </c>
      <c r="AW18" s="88" t="str">
        <f aca="false">IF(OR(AW$4="",MONTH(($G$2+22))&lt;&gt;MONTH($C$2)),"",IF(COUNTIFS(m_teacher,AW$4,m_date,($G$2+22),m_active,1,m_start,"&lt;"&amp;720,m_end,"&gt;"&amp;660)=0,"",IF(COUNTIFS(m_teacher,AW$4,m_date,($G$2+22),m_active,1,m_start,"&lt;"&amp;720,m_end,"&gt;"&amp;660)&gt;1,"충돌",HYPERLINK("#'관리자_MASTER'!D"&amp;_xlfn.MAXIFS(m_row,m_teacher,AW$4,m_date,($G$2+22),m_active,1,m_start,"&lt;"&amp;720,m_end,"&gt;"&amp;660),INDEX(m_label,_xlfn.MAXIFS(m_row,m_teacher,AW$4,m_date,($G$2+22),m_active,1,m_start,"&lt;"&amp;720,m_end,"&gt;"&amp;660))))))</f>
        <v/>
      </c>
      <c r="AX18" s="88" t="str">
        <f aca="false">IF(OR(AX$4="",MONTH(($G$2+22))&lt;&gt;MONTH($C$2)),"",IF(COUNTIFS(m_teacher,AX$4,m_date,($G$2+22),m_active,1,m_start,"&lt;"&amp;720,m_end,"&gt;"&amp;660)=0,"",IF(COUNTIFS(m_teacher,AX$4,m_date,($G$2+22),m_active,1,m_start,"&lt;"&amp;720,m_end,"&gt;"&amp;660)&gt;1,"충돌",HYPERLINK("#'관리자_MASTER'!D"&amp;_xlfn.MAXIFS(m_row,m_teacher,AX$4,m_date,($G$2+22),m_active,1,m_start,"&lt;"&amp;720,m_end,"&gt;"&amp;660),INDEX(m_label,_xlfn.MAXIFS(m_row,m_teacher,AX$4,m_date,($G$2+22),m_active,1,m_start,"&lt;"&amp;720,m_end,"&gt;"&amp;660))))))</f>
        <v/>
      </c>
      <c r="AY18" s="88" t="str">
        <f aca="false">IF(OR(AY$4="",MONTH(($G$2+22))&lt;&gt;MONTH($C$2)),"",IF(COUNTIFS(m_teacher,AY$4,m_date,($G$2+22),m_active,1,m_start,"&lt;"&amp;720,m_end,"&gt;"&amp;660)=0,"",IF(COUNTIFS(m_teacher,AY$4,m_date,($G$2+22),m_active,1,m_start,"&lt;"&amp;720,m_end,"&gt;"&amp;660)&gt;1,"충돌",HYPERLINK("#'관리자_MASTER'!D"&amp;_xlfn.MAXIFS(m_row,m_teacher,AY$4,m_date,($G$2+22),m_active,1,m_start,"&lt;"&amp;720,m_end,"&gt;"&amp;660),INDEX(m_label,_xlfn.MAXIFS(m_row,m_teacher,AY$4,m_date,($G$2+22),m_active,1,m_start,"&lt;"&amp;720,m_end,"&gt;"&amp;660))))))</f>
        <v/>
      </c>
      <c r="AZ18" s="88" t="str">
        <f aca="false">IF(OR(AZ$4="",MONTH(($G$2+22))&lt;&gt;MONTH($C$2)),"",IF(COUNTIFS(m_teacher,AZ$4,m_date,($G$2+22),m_active,1,m_start,"&lt;"&amp;720,m_end,"&gt;"&amp;660)=0,"",IF(COUNTIFS(m_teacher,AZ$4,m_date,($G$2+22),m_active,1,m_start,"&lt;"&amp;720,m_end,"&gt;"&amp;660)&gt;1,"충돌",HYPERLINK("#'관리자_MASTER'!D"&amp;_xlfn.MAXIFS(m_row,m_teacher,AZ$4,m_date,($G$2+22),m_active,1,m_start,"&lt;"&amp;720,m_end,"&gt;"&amp;660),INDEX(m_label,_xlfn.MAXIFS(m_row,m_teacher,AZ$4,m_date,($G$2+22),m_active,1,m_start,"&lt;"&amp;720,m_end,"&gt;"&amp;660))))))</f>
        <v/>
      </c>
      <c r="BA18" s="88" t="str">
        <f aca="false">IF(OR(BA$4="",MONTH(($G$2+22))&lt;&gt;MONTH($C$2)),"",IF(COUNTIFS(m_teacher,BA$4,m_date,($G$2+22),m_active,1,m_start,"&lt;"&amp;720,m_end,"&gt;"&amp;660)=0,"",IF(COUNTIFS(m_teacher,BA$4,m_date,($G$2+22),m_active,1,m_start,"&lt;"&amp;720,m_end,"&gt;"&amp;660)&gt;1,"충돌",HYPERLINK("#'관리자_MASTER'!D"&amp;_xlfn.MAXIFS(m_row,m_teacher,BA$4,m_date,($G$2+22),m_active,1,m_start,"&lt;"&amp;720,m_end,"&gt;"&amp;660),INDEX(m_label,_xlfn.MAXIFS(m_row,m_teacher,BA$4,m_date,($G$2+22),m_active,1,m_start,"&lt;"&amp;720,m_end,"&gt;"&amp;660))))))</f>
        <v/>
      </c>
      <c r="BB18" s="88" t="str">
        <f aca="false">IF(OR(BB$4="",MONTH(($G$2+22))&lt;&gt;MONTH($C$2)),"",IF(COUNTIFS(m_teacher,BB$4,m_date,($G$2+22),m_active,1,m_start,"&lt;"&amp;720,m_end,"&gt;"&amp;660)=0,"",IF(COUNTIFS(m_teacher,BB$4,m_date,($G$2+22),m_active,1,m_start,"&lt;"&amp;720,m_end,"&gt;"&amp;660)&gt;1,"충돌",HYPERLINK("#'관리자_MASTER'!D"&amp;_xlfn.MAXIFS(m_row,m_teacher,BB$4,m_date,($G$2+22),m_active,1,m_start,"&lt;"&amp;720,m_end,"&gt;"&amp;660),INDEX(m_label,_xlfn.MAXIFS(m_row,m_teacher,BB$4,m_date,($G$2+22),m_active,1,m_start,"&lt;"&amp;720,m_end,"&gt;"&amp;660))))))</f>
        <v/>
      </c>
      <c r="BC18" s="88" t="str">
        <f aca="false">IF(OR(BC$4="",MONTH(($G$2+22))&lt;&gt;MONTH($C$2)),"",IF(COUNTIFS(m_teacher,BC$4,m_date,($G$2+22),m_active,1,m_start,"&lt;"&amp;720,m_end,"&gt;"&amp;660)=0,"",IF(COUNTIFS(m_teacher,BC$4,m_date,($G$2+22),m_active,1,m_start,"&lt;"&amp;720,m_end,"&gt;"&amp;660)&gt;1,"충돌",HYPERLINK("#'관리자_MASTER'!D"&amp;_xlfn.MAXIFS(m_row,m_teacher,BC$4,m_date,($G$2+22),m_active,1,m_start,"&lt;"&amp;720,m_end,"&gt;"&amp;660),INDEX(m_label,_xlfn.MAXIFS(m_row,m_teacher,BC$4,m_date,($G$2+22),m_active,1,m_start,"&lt;"&amp;720,m_end,"&gt;"&amp;660))))))</f>
        <v/>
      </c>
      <c r="BD18" s="88" t="str">
        <f aca="false">IF(OR(BD$4="",MONTH(($G$2+22))&lt;&gt;MONTH($C$2)),"",IF(COUNTIFS(m_teacher,BD$4,m_date,($G$2+22),m_active,1,m_start,"&lt;"&amp;720,m_end,"&gt;"&amp;660)=0,"",IF(COUNTIFS(m_teacher,BD$4,m_date,($G$2+22),m_active,1,m_start,"&lt;"&amp;720,m_end,"&gt;"&amp;660)&gt;1,"충돌",HYPERLINK("#'관리자_MASTER'!D"&amp;_xlfn.MAXIFS(m_row,m_teacher,BD$4,m_date,($G$2+22),m_active,1,m_start,"&lt;"&amp;720,m_end,"&gt;"&amp;660),INDEX(m_label,_xlfn.MAXIFS(m_row,m_teacher,BD$4,m_date,($G$2+22),m_active,1,m_start,"&lt;"&amp;720,m_end,"&gt;"&amp;660))))))</f>
        <v/>
      </c>
      <c r="BE18" s="78"/>
      <c r="BF18" s="79" t="s">
        <v>93</v>
      </c>
      <c r="BG18" s="88" t="str">
        <f aca="false">IF(OR(BG$4="",MONTH(($G$2+29))&lt;&gt;MONTH($C$2)),"",IF(COUNTIFS(m_teacher,BG$4,m_date,($G$2+29),m_active,1,m_start,"&lt;"&amp;720,m_end,"&gt;"&amp;660)=0,"",IF(COUNTIFS(m_teacher,BG$4,m_date,($G$2+29),m_active,1,m_start,"&lt;"&amp;720,m_end,"&gt;"&amp;660)&gt;1,"충돌",HYPERLINK("#'관리자_MASTER'!D"&amp;_xlfn.MAXIFS(m_row,m_teacher,BG$4,m_date,($G$2+29),m_active,1,m_start,"&lt;"&amp;720,m_end,"&gt;"&amp;660),INDEX(m_label,_xlfn.MAXIFS(m_row,m_teacher,BG$4,m_date,($G$2+29),m_active,1,m_start,"&lt;"&amp;720,m_end,"&gt;"&amp;660))))))</f>
        <v/>
      </c>
      <c r="BH18" s="88" t="str">
        <f aca="false">IF(OR(BH$4="",MONTH(($G$2+29))&lt;&gt;MONTH($C$2)),"",IF(COUNTIFS(m_teacher,BH$4,m_date,($G$2+29),m_active,1,m_start,"&lt;"&amp;720,m_end,"&gt;"&amp;660)=0,"",IF(COUNTIFS(m_teacher,BH$4,m_date,($G$2+29),m_active,1,m_start,"&lt;"&amp;720,m_end,"&gt;"&amp;660)&gt;1,"충돌",HYPERLINK("#'관리자_MASTER'!D"&amp;_xlfn.MAXIFS(m_row,m_teacher,BH$4,m_date,($G$2+29),m_active,1,m_start,"&lt;"&amp;720,m_end,"&gt;"&amp;660),INDEX(m_label,_xlfn.MAXIFS(m_row,m_teacher,BH$4,m_date,($G$2+29),m_active,1,m_start,"&lt;"&amp;720,m_end,"&gt;"&amp;660))))))</f>
        <v/>
      </c>
      <c r="BI18" s="88" t="str">
        <f aca="false">IF(OR(BI$4="",MONTH(($G$2+29))&lt;&gt;MONTH($C$2)),"",IF(COUNTIFS(m_teacher,BI$4,m_date,($G$2+29),m_active,1,m_start,"&lt;"&amp;720,m_end,"&gt;"&amp;660)=0,"",IF(COUNTIFS(m_teacher,BI$4,m_date,($G$2+29),m_active,1,m_start,"&lt;"&amp;720,m_end,"&gt;"&amp;660)&gt;1,"충돌",HYPERLINK("#'관리자_MASTER'!D"&amp;_xlfn.MAXIFS(m_row,m_teacher,BI$4,m_date,($G$2+29),m_active,1,m_start,"&lt;"&amp;720,m_end,"&gt;"&amp;660),INDEX(m_label,_xlfn.MAXIFS(m_row,m_teacher,BI$4,m_date,($G$2+29),m_active,1,m_start,"&lt;"&amp;720,m_end,"&gt;"&amp;660))))))</f>
        <v/>
      </c>
      <c r="BJ18" s="88" t="str">
        <f aca="false">IF(OR(BJ$4="",MONTH(($G$2+29))&lt;&gt;MONTH($C$2)),"",IF(COUNTIFS(m_teacher,BJ$4,m_date,($G$2+29),m_active,1,m_start,"&lt;"&amp;720,m_end,"&gt;"&amp;660)=0,"",IF(COUNTIFS(m_teacher,BJ$4,m_date,($G$2+29),m_active,1,m_start,"&lt;"&amp;720,m_end,"&gt;"&amp;660)&gt;1,"충돌",HYPERLINK("#'관리자_MASTER'!D"&amp;_xlfn.MAXIFS(m_row,m_teacher,BJ$4,m_date,($G$2+29),m_active,1,m_start,"&lt;"&amp;720,m_end,"&gt;"&amp;660),INDEX(m_label,_xlfn.MAXIFS(m_row,m_teacher,BJ$4,m_date,($G$2+29),m_active,1,m_start,"&lt;"&amp;720,m_end,"&gt;"&amp;660))))))</f>
        <v/>
      </c>
      <c r="BK18" s="88" t="str">
        <f aca="false">IF(OR(BK$4="",MONTH(($G$2+29))&lt;&gt;MONTH($C$2)),"",IF(COUNTIFS(m_teacher,BK$4,m_date,($G$2+29),m_active,1,m_start,"&lt;"&amp;720,m_end,"&gt;"&amp;660)=0,"",IF(COUNTIFS(m_teacher,BK$4,m_date,($G$2+29),m_active,1,m_start,"&lt;"&amp;720,m_end,"&gt;"&amp;660)&gt;1,"충돌",HYPERLINK("#'관리자_MASTER'!D"&amp;_xlfn.MAXIFS(m_row,m_teacher,BK$4,m_date,($G$2+29),m_active,1,m_start,"&lt;"&amp;720,m_end,"&gt;"&amp;660),INDEX(m_label,_xlfn.MAXIFS(m_row,m_teacher,BK$4,m_date,($G$2+29),m_active,1,m_start,"&lt;"&amp;720,m_end,"&gt;"&amp;660))))))</f>
        <v/>
      </c>
      <c r="BL18" s="88" t="str">
        <f aca="false">IF(OR(BL$4="",MONTH(($G$2+29))&lt;&gt;MONTH($C$2)),"",IF(COUNTIFS(m_teacher,BL$4,m_date,($G$2+29),m_active,1,m_start,"&lt;"&amp;720,m_end,"&gt;"&amp;660)=0,"",IF(COUNTIFS(m_teacher,BL$4,m_date,($G$2+29),m_active,1,m_start,"&lt;"&amp;720,m_end,"&gt;"&amp;660)&gt;1,"충돌",HYPERLINK("#'관리자_MASTER'!D"&amp;_xlfn.MAXIFS(m_row,m_teacher,BL$4,m_date,($G$2+29),m_active,1,m_start,"&lt;"&amp;720,m_end,"&gt;"&amp;660),INDEX(m_label,_xlfn.MAXIFS(m_row,m_teacher,BL$4,m_date,($G$2+29),m_active,1,m_start,"&lt;"&amp;720,m_end,"&gt;"&amp;660))))))</f>
        <v/>
      </c>
      <c r="BM18" s="88" t="str">
        <f aca="false">IF(OR(BM$4="",MONTH(($G$2+29))&lt;&gt;MONTH($C$2)),"",IF(COUNTIFS(m_teacher,BM$4,m_date,($G$2+29),m_active,1,m_start,"&lt;"&amp;720,m_end,"&gt;"&amp;660)=0,"",IF(COUNTIFS(m_teacher,BM$4,m_date,($G$2+29),m_active,1,m_start,"&lt;"&amp;720,m_end,"&gt;"&amp;660)&gt;1,"충돌",HYPERLINK("#'관리자_MASTER'!D"&amp;_xlfn.MAXIFS(m_row,m_teacher,BM$4,m_date,($G$2+29),m_active,1,m_start,"&lt;"&amp;720,m_end,"&gt;"&amp;660),INDEX(m_label,_xlfn.MAXIFS(m_row,m_teacher,BM$4,m_date,($G$2+29),m_active,1,m_start,"&lt;"&amp;720,m_end,"&gt;"&amp;660))))))</f>
        <v/>
      </c>
      <c r="BN18" s="88" t="str">
        <f aca="false">IF(OR(BN$4="",MONTH(($G$2+29))&lt;&gt;MONTH($C$2)),"",IF(COUNTIFS(m_teacher,BN$4,m_date,($G$2+29),m_active,1,m_start,"&lt;"&amp;720,m_end,"&gt;"&amp;660)=0,"",IF(COUNTIFS(m_teacher,BN$4,m_date,($G$2+29),m_active,1,m_start,"&lt;"&amp;720,m_end,"&gt;"&amp;660)&gt;1,"충돌",HYPERLINK("#'관리자_MASTER'!D"&amp;_xlfn.MAXIFS(m_row,m_teacher,BN$4,m_date,($G$2+29),m_active,1,m_start,"&lt;"&amp;720,m_end,"&gt;"&amp;660),INDEX(m_label,_xlfn.MAXIFS(m_row,m_teacher,BN$4,m_date,($G$2+29),m_active,1,m_start,"&lt;"&amp;720,m_end,"&gt;"&amp;660))))))</f>
        <v/>
      </c>
      <c r="BO18" s="88" t="str">
        <f aca="false">IF(OR(BO$4="",MONTH(($G$2+29))&lt;&gt;MONTH($C$2)),"",IF(COUNTIFS(m_teacher,BO$4,m_date,($G$2+29),m_active,1,m_start,"&lt;"&amp;720,m_end,"&gt;"&amp;660)=0,"",IF(COUNTIFS(m_teacher,BO$4,m_date,($G$2+29),m_active,1,m_start,"&lt;"&amp;720,m_end,"&gt;"&amp;660)&gt;1,"충돌",HYPERLINK("#'관리자_MASTER'!D"&amp;_xlfn.MAXIFS(m_row,m_teacher,BO$4,m_date,($G$2+29),m_active,1,m_start,"&lt;"&amp;720,m_end,"&gt;"&amp;660),INDEX(m_label,_xlfn.MAXIFS(m_row,m_teacher,BO$4,m_date,($G$2+29),m_active,1,m_start,"&lt;"&amp;720,m_end,"&gt;"&amp;660))))))</f>
        <v/>
      </c>
      <c r="BP18" s="88" t="str">
        <f aca="false">IF(OR(BP$4="",MONTH(($G$2+29))&lt;&gt;MONTH($C$2)),"",IF(COUNTIFS(m_teacher,BP$4,m_date,($G$2+29),m_active,1,m_start,"&lt;"&amp;720,m_end,"&gt;"&amp;660)=0,"",IF(COUNTIFS(m_teacher,BP$4,m_date,($G$2+29),m_active,1,m_start,"&lt;"&amp;720,m_end,"&gt;"&amp;660)&gt;1,"충돌",HYPERLINK("#'관리자_MASTER'!D"&amp;_xlfn.MAXIFS(m_row,m_teacher,BP$4,m_date,($G$2+29),m_active,1,m_start,"&lt;"&amp;720,m_end,"&gt;"&amp;660),INDEX(m_label,_xlfn.MAXIFS(m_row,m_teacher,BP$4,m_date,($G$2+29),m_active,1,m_start,"&lt;"&amp;720,m_end,"&gt;"&amp;660))))))</f>
        <v/>
      </c>
      <c r="BQ18" s="88" t="str">
        <f aca="false">IF(OR(BQ$4="",MONTH(($G$2+29))&lt;&gt;MONTH($C$2)),"",IF(COUNTIFS(m_teacher,BQ$4,m_date,($G$2+29),m_active,1,m_start,"&lt;"&amp;720,m_end,"&gt;"&amp;660)=0,"",IF(COUNTIFS(m_teacher,BQ$4,m_date,($G$2+29),m_active,1,m_start,"&lt;"&amp;720,m_end,"&gt;"&amp;660)&gt;1,"충돌",HYPERLINK("#'관리자_MASTER'!D"&amp;_xlfn.MAXIFS(m_row,m_teacher,BQ$4,m_date,($G$2+29),m_active,1,m_start,"&lt;"&amp;720,m_end,"&gt;"&amp;660),INDEX(m_label,_xlfn.MAXIFS(m_row,m_teacher,BQ$4,m_date,($G$2+29),m_active,1,m_start,"&lt;"&amp;720,m_end,"&gt;"&amp;660))))))</f>
        <v/>
      </c>
      <c r="BR18" s="88" t="str">
        <f aca="false">IF(OR(BR$4="",MONTH(($G$2+29))&lt;&gt;MONTH($C$2)),"",IF(COUNTIFS(m_teacher,BR$4,m_date,($G$2+29),m_active,1,m_start,"&lt;"&amp;720,m_end,"&gt;"&amp;660)=0,"",IF(COUNTIFS(m_teacher,BR$4,m_date,($G$2+29),m_active,1,m_start,"&lt;"&amp;720,m_end,"&gt;"&amp;660)&gt;1,"충돌",HYPERLINK("#'관리자_MASTER'!D"&amp;_xlfn.MAXIFS(m_row,m_teacher,BR$4,m_date,($G$2+29),m_active,1,m_start,"&lt;"&amp;720,m_end,"&gt;"&amp;660),INDEX(m_label,_xlfn.MAXIFS(m_row,m_teacher,BR$4,m_date,($G$2+29),m_active,1,m_start,"&lt;"&amp;720,m_end,"&gt;"&amp;660))))))</f>
        <v/>
      </c>
    </row>
    <row r="19" customFormat="false" ht="19.5" hidden="false" customHeight="true" outlineLevel="0" collapsed="false">
      <c r="A19" s="75"/>
      <c r="B19" s="76" t="s">
        <v>94</v>
      </c>
      <c r="C19" s="81" t="str">
        <f aca="false">IF(OR(C$4="",MONTH(($G$2+1))&lt;&gt;MONTH($C$2)),"",IF(COUNTIFS(m_teacher,C$4,m_date,($G$2+1),m_active,1,m_start,"&lt;"&amp;780,m_end,"&gt;"&amp;720)=0,"",IF(COUNTIFS(m_teacher,C$4,m_date,($G$2+1),m_active,1,m_start,"&lt;"&amp;780,m_end,"&gt;"&amp;720)&gt;1,"충돌",HYPERLINK("#'관리자_MASTER'!D"&amp;_xlfn.MAXIFS(m_row,m_teacher,C$4,m_date,($G$2+1),m_active,1,m_start,"&lt;"&amp;780,m_end,"&gt;"&amp;720),INDEX(m_label,_xlfn.MAXIFS(m_row,m_teacher,C$4,m_date,($G$2+1),m_active,1,m_start,"&lt;"&amp;780,m_end,"&gt;"&amp;720))))))</f>
        <v/>
      </c>
      <c r="D19" s="81" t="str">
        <f aca="false">IF(OR(D$4="",MONTH(($G$2+1))&lt;&gt;MONTH($C$2)),"",IF(COUNTIFS(m_teacher,D$4,m_date,($G$2+1),m_active,1,m_start,"&lt;"&amp;780,m_end,"&gt;"&amp;720)=0,"",IF(COUNTIFS(m_teacher,D$4,m_date,($G$2+1),m_active,1,m_start,"&lt;"&amp;780,m_end,"&gt;"&amp;720)&gt;1,"충돌",HYPERLINK("#'관리자_MASTER'!D"&amp;_xlfn.MAXIFS(m_row,m_teacher,D$4,m_date,($G$2+1),m_active,1,m_start,"&lt;"&amp;780,m_end,"&gt;"&amp;720),INDEX(m_label,_xlfn.MAXIFS(m_row,m_teacher,D$4,m_date,($G$2+1),m_active,1,m_start,"&lt;"&amp;780,m_end,"&gt;"&amp;720))))))</f>
        <v/>
      </c>
      <c r="E19" s="81" t="str">
        <f aca="false">IF(OR(E$4="",MONTH(($G$2+1))&lt;&gt;MONTH($C$2)),"",IF(COUNTIFS(m_teacher,E$4,m_date,($G$2+1),m_active,1,m_start,"&lt;"&amp;780,m_end,"&gt;"&amp;720)=0,"",IF(COUNTIFS(m_teacher,E$4,m_date,($G$2+1),m_active,1,m_start,"&lt;"&amp;780,m_end,"&gt;"&amp;720)&gt;1,"충돌",HYPERLINK("#'관리자_MASTER'!D"&amp;_xlfn.MAXIFS(m_row,m_teacher,E$4,m_date,($G$2+1),m_active,1,m_start,"&lt;"&amp;780,m_end,"&gt;"&amp;720),INDEX(m_label,_xlfn.MAXIFS(m_row,m_teacher,E$4,m_date,($G$2+1),m_active,1,m_start,"&lt;"&amp;780,m_end,"&gt;"&amp;720))))))</f>
        <v/>
      </c>
      <c r="F19" s="81" t="str">
        <f aca="false">IF(OR(F$4="",MONTH(($G$2+1))&lt;&gt;MONTH($C$2)),"",IF(COUNTIFS(m_teacher,F$4,m_date,($G$2+1),m_active,1,m_start,"&lt;"&amp;780,m_end,"&gt;"&amp;720)=0,"",IF(COUNTIFS(m_teacher,F$4,m_date,($G$2+1),m_active,1,m_start,"&lt;"&amp;780,m_end,"&gt;"&amp;720)&gt;1,"충돌",HYPERLINK("#'관리자_MASTER'!D"&amp;_xlfn.MAXIFS(m_row,m_teacher,F$4,m_date,($G$2+1),m_active,1,m_start,"&lt;"&amp;780,m_end,"&gt;"&amp;720),INDEX(m_label,_xlfn.MAXIFS(m_row,m_teacher,F$4,m_date,($G$2+1),m_active,1,m_start,"&lt;"&amp;780,m_end,"&gt;"&amp;720))))))</f>
        <v/>
      </c>
      <c r="G19" s="81" t="str">
        <f aca="false">IF(OR(G$4="",MONTH(($G$2+1))&lt;&gt;MONTH($C$2)),"",IF(COUNTIFS(m_teacher,G$4,m_date,($G$2+1),m_active,1,m_start,"&lt;"&amp;780,m_end,"&gt;"&amp;720)=0,"",IF(COUNTIFS(m_teacher,G$4,m_date,($G$2+1),m_active,1,m_start,"&lt;"&amp;780,m_end,"&gt;"&amp;720)&gt;1,"충돌",HYPERLINK("#'관리자_MASTER'!D"&amp;_xlfn.MAXIFS(m_row,m_teacher,G$4,m_date,($G$2+1),m_active,1,m_start,"&lt;"&amp;780,m_end,"&gt;"&amp;720),INDEX(m_label,_xlfn.MAXIFS(m_row,m_teacher,G$4,m_date,($G$2+1),m_active,1,m_start,"&lt;"&amp;780,m_end,"&gt;"&amp;720))))))</f>
        <v/>
      </c>
      <c r="H19" s="81" t="str">
        <f aca="false">IF(OR(H$4="",MONTH(($G$2+1))&lt;&gt;MONTH($C$2)),"",IF(COUNTIFS(m_teacher,H$4,m_date,($G$2+1),m_active,1,m_start,"&lt;"&amp;780,m_end,"&gt;"&amp;720)=0,"",IF(COUNTIFS(m_teacher,H$4,m_date,($G$2+1),m_active,1,m_start,"&lt;"&amp;780,m_end,"&gt;"&amp;720)&gt;1,"충돌",HYPERLINK("#'관리자_MASTER'!D"&amp;_xlfn.MAXIFS(m_row,m_teacher,H$4,m_date,($G$2+1),m_active,1,m_start,"&lt;"&amp;780,m_end,"&gt;"&amp;720),INDEX(m_label,_xlfn.MAXIFS(m_row,m_teacher,H$4,m_date,($G$2+1),m_active,1,m_start,"&lt;"&amp;780,m_end,"&gt;"&amp;720))))))</f>
        <v/>
      </c>
      <c r="I19" s="81" t="str">
        <f aca="false">IF(OR(I$4="",MONTH(($G$2+1))&lt;&gt;MONTH($C$2)),"",IF(COUNTIFS(m_teacher,I$4,m_date,($G$2+1),m_active,1,m_start,"&lt;"&amp;780,m_end,"&gt;"&amp;720)=0,"",IF(COUNTIFS(m_teacher,I$4,m_date,($G$2+1),m_active,1,m_start,"&lt;"&amp;780,m_end,"&gt;"&amp;720)&gt;1,"충돌",HYPERLINK("#'관리자_MASTER'!D"&amp;_xlfn.MAXIFS(m_row,m_teacher,I$4,m_date,($G$2+1),m_active,1,m_start,"&lt;"&amp;780,m_end,"&gt;"&amp;720),INDEX(m_label,_xlfn.MAXIFS(m_row,m_teacher,I$4,m_date,($G$2+1),m_active,1,m_start,"&lt;"&amp;780,m_end,"&gt;"&amp;720))))))</f>
        <v/>
      </c>
      <c r="J19" s="81" t="str">
        <f aca="false">IF(OR(J$4="",MONTH(($G$2+1))&lt;&gt;MONTH($C$2)),"",IF(COUNTIFS(m_teacher,J$4,m_date,($G$2+1),m_active,1,m_start,"&lt;"&amp;780,m_end,"&gt;"&amp;720)=0,"",IF(COUNTIFS(m_teacher,J$4,m_date,($G$2+1),m_active,1,m_start,"&lt;"&amp;780,m_end,"&gt;"&amp;720)&gt;1,"충돌",HYPERLINK("#'관리자_MASTER'!D"&amp;_xlfn.MAXIFS(m_row,m_teacher,J$4,m_date,($G$2+1),m_active,1,m_start,"&lt;"&amp;780,m_end,"&gt;"&amp;720),INDEX(m_label,_xlfn.MAXIFS(m_row,m_teacher,J$4,m_date,($G$2+1),m_active,1,m_start,"&lt;"&amp;780,m_end,"&gt;"&amp;720))))))</f>
        <v/>
      </c>
      <c r="K19" s="81" t="str">
        <f aca="false">IF(OR(K$4="",MONTH(($G$2+1))&lt;&gt;MONTH($C$2)),"",IF(COUNTIFS(m_teacher,K$4,m_date,($G$2+1),m_active,1,m_start,"&lt;"&amp;780,m_end,"&gt;"&amp;720)=0,"",IF(COUNTIFS(m_teacher,K$4,m_date,($G$2+1),m_active,1,m_start,"&lt;"&amp;780,m_end,"&gt;"&amp;720)&gt;1,"충돌",HYPERLINK("#'관리자_MASTER'!D"&amp;_xlfn.MAXIFS(m_row,m_teacher,K$4,m_date,($G$2+1),m_active,1,m_start,"&lt;"&amp;780,m_end,"&gt;"&amp;720),INDEX(m_label,_xlfn.MAXIFS(m_row,m_teacher,K$4,m_date,($G$2+1),m_active,1,m_start,"&lt;"&amp;780,m_end,"&gt;"&amp;720))))))</f>
        <v/>
      </c>
      <c r="L19" s="81" t="str">
        <f aca="false">IF(OR(L$4="",MONTH(($G$2+1))&lt;&gt;MONTH($C$2)),"",IF(COUNTIFS(m_teacher,L$4,m_date,($G$2+1),m_active,1,m_start,"&lt;"&amp;780,m_end,"&gt;"&amp;720)=0,"",IF(COUNTIFS(m_teacher,L$4,m_date,($G$2+1),m_active,1,m_start,"&lt;"&amp;780,m_end,"&gt;"&amp;720)&gt;1,"충돌",HYPERLINK("#'관리자_MASTER'!D"&amp;_xlfn.MAXIFS(m_row,m_teacher,L$4,m_date,($G$2+1),m_active,1,m_start,"&lt;"&amp;780,m_end,"&gt;"&amp;720),INDEX(m_label,_xlfn.MAXIFS(m_row,m_teacher,L$4,m_date,($G$2+1),m_active,1,m_start,"&lt;"&amp;780,m_end,"&gt;"&amp;720))))))</f>
        <v/>
      </c>
      <c r="M19" s="81" t="str">
        <f aca="false">IF(OR(M$4="",MONTH(($G$2+1))&lt;&gt;MONTH($C$2)),"",IF(COUNTIFS(m_teacher,M$4,m_date,($G$2+1),m_active,1,m_start,"&lt;"&amp;780,m_end,"&gt;"&amp;720)=0,"",IF(COUNTIFS(m_teacher,M$4,m_date,($G$2+1),m_active,1,m_start,"&lt;"&amp;780,m_end,"&gt;"&amp;720)&gt;1,"충돌",HYPERLINK("#'관리자_MASTER'!D"&amp;_xlfn.MAXIFS(m_row,m_teacher,M$4,m_date,($G$2+1),m_active,1,m_start,"&lt;"&amp;780,m_end,"&gt;"&amp;720),INDEX(m_label,_xlfn.MAXIFS(m_row,m_teacher,M$4,m_date,($G$2+1),m_active,1,m_start,"&lt;"&amp;780,m_end,"&gt;"&amp;720))))))</f>
        <v/>
      </c>
      <c r="N19" s="81" t="str">
        <f aca="false">IF(OR(N$4="",MONTH(($G$2+1))&lt;&gt;MONTH($C$2)),"",IF(COUNTIFS(m_teacher,N$4,m_date,($G$2+1),m_active,1,m_start,"&lt;"&amp;780,m_end,"&gt;"&amp;720)=0,"",IF(COUNTIFS(m_teacher,N$4,m_date,($G$2+1),m_active,1,m_start,"&lt;"&amp;780,m_end,"&gt;"&amp;720)&gt;1,"충돌",HYPERLINK("#'관리자_MASTER'!D"&amp;_xlfn.MAXIFS(m_row,m_teacher,N$4,m_date,($G$2+1),m_active,1,m_start,"&lt;"&amp;780,m_end,"&gt;"&amp;720),INDEX(m_label,_xlfn.MAXIFS(m_row,m_teacher,N$4,m_date,($G$2+1),m_active,1,m_start,"&lt;"&amp;780,m_end,"&gt;"&amp;720))))))</f>
        <v/>
      </c>
      <c r="O19" s="78"/>
      <c r="P19" s="79" t="s">
        <v>94</v>
      </c>
      <c r="Q19" s="88" t="str">
        <f aca="false">IF(OR(Q$4="",MONTH(($G$2+8))&lt;&gt;MONTH($C$2)),"",IF(COUNTIFS(m_teacher,Q$4,m_date,($G$2+8),m_active,1,m_start,"&lt;"&amp;780,m_end,"&gt;"&amp;720)=0,"",IF(COUNTIFS(m_teacher,Q$4,m_date,($G$2+8),m_active,1,m_start,"&lt;"&amp;780,m_end,"&gt;"&amp;720)&gt;1,"충돌",HYPERLINK("#'관리자_MASTER'!D"&amp;_xlfn.MAXIFS(m_row,m_teacher,Q$4,m_date,($G$2+8),m_active,1,m_start,"&lt;"&amp;780,m_end,"&gt;"&amp;720),INDEX(m_label,_xlfn.MAXIFS(m_row,m_teacher,Q$4,m_date,($G$2+8),m_active,1,m_start,"&lt;"&amp;780,m_end,"&gt;"&amp;720))))))</f>
        <v/>
      </c>
      <c r="R19" s="88" t="str">
        <f aca="false">IF(OR(R$4="",MONTH(($G$2+8))&lt;&gt;MONTH($C$2)),"",IF(COUNTIFS(m_teacher,R$4,m_date,($G$2+8),m_active,1,m_start,"&lt;"&amp;780,m_end,"&gt;"&amp;720)=0,"",IF(COUNTIFS(m_teacher,R$4,m_date,($G$2+8),m_active,1,m_start,"&lt;"&amp;780,m_end,"&gt;"&amp;720)&gt;1,"충돌",HYPERLINK("#'관리자_MASTER'!D"&amp;_xlfn.MAXIFS(m_row,m_teacher,R$4,m_date,($G$2+8),m_active,1,m_start,"&lt;"&amp;780,m_end,"&gt;"&amp;720),INDEX(m_label,_xlfn.MAXIFS(m_row,m_teacher,R$4,m_date,($G$2+8),m_active,1,m_start,"&lt;"&amp;780,m_end,"&gt;"&amp;720))))))</f>
        <v/>
      </c>
      <c r="S19" s="88" t="str">
        <f aca="false">IF(OR(S$4="",MONTH(($G$2+8))&lt;&gt;MONTH($C$2)),"",IF(COUNTIFS(m_teacher,S$4,m_date,($G$2+8),m_active,1,m_start,"&lt;"&amp;780,m_end,"&gt;"&amp;720)=0,"",IF(COUNTIFS(m_teacher,S$4,m_date,($G$2+8),m_active,1,m_start,"&lt;"&amp;780,m_end,"&gt;"&amp;720)&gt;1,"충돌",HYPERLINK("#'관리자_MASTER'!D"&amp;_xlfn.MAXIFS(m_row,m_teacher,S$4,m_date,($G$2+8),m_active,1,m_start,"&lt;"&amp;780,m_end,"&gt;"&amp;720),INDEX(m_label,_xlfn.MAXIFS(m_row,m_teacher,S$4,m_date,($G$2+8),m_active,1,m_start,"&lt;"&amp;780,m_end,"&gt;"&amp;720))))))</f>
        <v/>
      </c>
      <c r="T19" s="88" t="str">
        <f aca="false">IF(OR(T$4="",MONTH(($G$2+8))&lt;&gt;MONTH($C$2)),"",IF(COUNTIFS(m_teacher,T$4,m_date,($G$2+8),m_active,1,m_start,"&lt;"&amp;780,m_end,"&gt;"&amp;720)=0,"",IF(COUNTIFS(m_teacher,T$4,m_date,($G$2+8),m_active,1,m_start,"&lt;"&amp;780,m_end,"&gt;"&amp;720)&gt;1,"충돌",HYPERLINK("#'관리자_MASTER'!D"&amp;_xlfn.MAXIFS(m_row,m_teacher,T$4,m_date,($G$2+8),m_active,1,m_start,"&lt;"&amp;780,m_end,"&gt;"&amp;720),INDEX(m_label,_xlfn.MAXIFS(m_row,m_teacher,T$4,m_date,($G$2+8),m_active,1,m_start,"&lt;"&amp;780,m_end,"&gt;"&amp;720))))))</f>
        <v/>
      </c>
      <c r="U19" s="88" t="str">
        <f aca="false">IF(OR(U$4="",MONTH(($G$2+8))&lt;&gt;MONTH($C$2)),"",IF(COUNTIFS(m_teacher,U$4,m_date,($G$2+8),m_active,1,m_start,"&lt;"&amp;780,m_end,"&gt;"&amp;720)=0,"",IF(COUNTIFS(m_teacher,U$4,m_date,($G$2+8),m_active,1,m_start,"&lt;"&amp;780,m_end,"&gt;"&amp;720)&gt;1,"충돌",HYPERLINK("#'관리자_MASTER'!D"&amp;_xlfn.MAXIFS(m_row,m_teacher,U$4,m_date,($G$2+8),m_active,1,m_start,"&lt;"&amp;780,m_end,"&gt;"&amp;720),INDEX(m_label,_xlfn.MAXIFS(m_row,m_teacher,U$4,m_date,($G$2+8),m_active,1,m_start,"&lt;"&amp;780,m_end,"&gt;"&amp;720))))))</f>
        <v/>
      </c>
      <c r="V19" s="88" t="str">
        <f aca="false">IF(OR(V$4="",MONTH(($G$2+8))&lt;&gt;MONTH($C$2)),"",IF(COUNTIFS(m_teacher,V$4,m_date,($G$2+8),m_active,1,m_start,"&lt;"&amp;780,m_end,"&gt;"&amp;720)=0,"",IF(COUNTIFS(m_teacher,V$4,m_date,($G$2+8),m_active,1,m_start,"&lt;"&amp;780,m_end,"&gt;"&amp;720)&gt;1,"충돌",HYPERLINK("#'관리자_MASTER'!D"&amp;_xlfn.MAXIFS(m_row,m_teacher,V$4,m_date,($G$2+8),m_active,1,m_start,"&lt;"&amp;780,m_end,"&gt;"&amp;720),INDEX(m_label,_xlfn.MAXIFS(m_row,m_teacher,V$4,m_date,($G$2+8),m_active,1,m_start,"&lt;"&amp;780,m_end,"&gt;"&amp;720))))))</f>
        <v/>
      </c>
      <c r="W19" s="88" t="str">
        <f aca="false">IF(OR(W$4="",MONTH(($G$2+8))&lt;&gt;MONTH($C$2)),"",IF(COUNTIFS(m_teacher,W$4,m_date,($G$2+8),m_active,1,m_start,"&lt;"&amp;780,m_end,"&gt;"&amp;720)=0,"",IF(COUNTIFS(m_teacher,W$4,m_date,($G$2+8),m_active,1,m_start,"&lt;"&amp;780,m_end,"&gt;"&amp;720)&gt;1,"충돌",HYPERLINK("#'관리자_MASTER'!D"&amp;_xlfn.MAXIFS(m_row,m_teacher,W$4,m_date,($G$2+8),m_active,1,m_start,"&lt;"&amp;780,m_end,"&gt;"&amp;720),INDEX(m_label,_xlfn.MAXIFS(m_row,m_teacher,W$4,m_date,($G$2+8),m_active,1,m_start,"&lt;"&amp;780,m_end,"&gt;"&amp;720))))))</f>
        <v/>
      </c>
      <c r="X19" s="88" t="str">
        <f aca="false">IF(OR(X$4="",MONTH(($G$2+8))&lt;&gt;MONTH($C$2)),"",IF(COUNTIFS(m_teacher,X$4,m_date,($G$2+8),m_active,1,m_start,"&lt;"&amp;780,m_end,"&gt;"&amp;720)=0,"",IF(COUNTIFS(m_teacher,X$4,m_date,($G$2+8),m_active,1,m_start,"&lt;"&amp;780,m_end,"&gt;"&amp;720)&gt;1,"충돌",HYPERLINK("#'관리자_MASTER'!D"&amp;_xlfn.MAXIFS(m_row,m_teacher,X$4,m_date,($G$2+8),m_active,1,m_start,"&lt;"&amp;780,m_end,"&gt;"&amp;720),INDEX(m_label,_xlfn.MAXIFS(m_row,m_teacher,X$4,m_date,($G$2+8),m_active,1,m_start,"&lt;"&amp;780,m_end,"&gt;"&amp;720))))))</f>
        <v/>
      </c>
      <c r="Y19" s="88" t="str">
        <f aca="false">IF(OR(Y$4="",MONTH(($G$2+8))&lt;&gt;MONTH($C$2)),"",IF(COUNTIFS(m_teacher,Y$4,m_date,($G$2+8),m_active,1,m_start,"&lt;"&amp;780,m_end,"&gt;"&amp;720)=0,"",IF(COUNTIFS(m_teacher,Y$4,m_date,($G$2+8),m_active,1,m_start,"&lt;"&amp;780,m_end,"&gt;"&amp;720)&gt;1,"충돌",HYPERLINK("#'관리자_MASTER'!D"&amp;_xlfn.MAXIFS(m_row,m_teacher,Y$4,m_date,($G$2+8),m_active,1,m_start,"&lt;"&amp;780,m_end,"&gt;"&amp;720),INDEX(m_label,_xlfn.MAXIFS(m_row,m_teacher,Y$4,m_date,($G$2+8),m_active,1,m_start,"&lt;"&amp;780,m_end,"&gt;"&amp;720))))))</f>
        <v/>
      </c>
      <c r="Z19" s="88" t="str">
        <f aca="false">IF(OR(Z$4="",MONTH(($G$2+8))&lt;&gt;MONTH($C$2)),"",IF(COUNTIFS(m_teacher,Z$4,m_date,($G$2+8),m_active,1,m_start,"&lt;"&amp;780,m_end,"&gt;"&amp;720)=0,"",IF(COUNTIFS(m_teacher,Z$4,m_date,($G$2+8),m_active,1,m_start,"&lt;"&amp;780,m_end,"&gt;"&amp;720)&gt;1,"충돌",HYPERLINK("#'관리자_MASTER'!D"&amp;_xlfn.MAXIFS(m_row,m_teacher,Z$4,m_date,($G$2+8),m_active,1,m_start,"&lt;"&amp;780,m_end,"&gt;"&amp;720),INDEX(m_label,_xlfn.MAXIFS(m_row,m_teacher,Z$4,m_date,($G$2+8),m_active,1,m_start,"&lt;"&amp;780,m_end,"&gt;"&amp;720))))))</f>
        <v/>
      </c>
      <c r="AA19" s="88" t="str">
        <f aca="false">IF(OR(AA$4="",MONTH(($G$2+8))&lt;&gt;MONTH($C$2)),"",IF(COUNTIFS(m_teacher,AA$4,m_date,($G$2+8),m_active,1,m_start,"&lt;"&amp;780,m_end,"&gt;"&amp;720)=0,"",IF(COUNTIFS(m_teacher,AA$4,m_date,($G$2+8),m_active,1,m_start,"&lt;"&amp;780,m_end,"&gt;"&amp;720)&gt;1,"충돌",HYPERLINK("#'관리자_MASTER'!D"&amp;_xlfn.MAXIFS(m_row,m_teacher,AA$4,m_date,($G$2+8),m_active,1,m_start,"&lt;"&amp;780,m_end,"&gt;"&amp;720),INDEX(m_label,_xlfn.MAXIFS(m_row,m_teacher,AA$4,m_date,($G$2+8),m_active,1,m_start,"&lt;"&amp;780,m_end,"&gt;"&amp;720))))))</f>
        <v/>
      </c>
      <c r="AB19" s="88" t="str">
        <f aca="false">IF(OR(AB$4="",MONTH(($G$2+8))&lt;&gt;MONTH($C$2)),"",IF(COUNTIFS(m_teacher,AB$4,m_date,($G$2+8),m_active,1,m_start,"&lt;"&amp;780,m_end,"&gt;"&amp;720)=0,"",IF(COUNTIFS(m_teacher,AB$4,m_date,($G$2+8),m_active,1,m_start,"&lt;"&amp;780,m_end,"&gt;"&amp;720)&gt;1,"충돌",HYPERLINK("#'관리자_MASTER'!D"&amp;_xlfn.MAXIFS(m_row,m_teacher,AB$4,m_date,($G$2+8),m_active,1,m_start,"&lt;"&amp;780,m_end,"&gt;"&amp;720),INDEX(m_label,_xlfn.MAXIFS(m_row,m_teacher,AB$4,m_date,($G$2+8),m_active,1,m_start,"&lt;"&amp;780,m_end,"&gt;"&amp;720))))))</f>
        <v/>
      </c>
      <c r="AC19" s="78"/>
      <c r="AD19" s="79" t="s">
        <v>94</v>
      </c>
      <c r="AE19" s="88" t="str">
        <f aca="false">IF(OR(AE$4="",MONTH(($G$2+15))&lt;&gt;MONTH($C$2)),"",IF(COUNTIFS(m_teacher,AE$4,m_date,($G$2+15),m_active,1,m_start,"&lt;"&amp;780,m_end,"&gt;"&amp;720)=0,"",IF(COUNTIFS(m_teacher,AE$4,m_date,($G$2+15),m_active,1,m_start,"&lt;"&amp;780,m_end,"&gt;"&amp;720)&gt;1,"충돌",HYPERLINK("#'관리자_MASTER'!D"&amp;_xlfn.MAXIFS(m_row,m_teacher,AE$4,m_date,($G$2+15),m_active,1,m_start,"&lt;"&amp;780,m_end,"&gt;"&amp;720),INDEX(m_label,_xlfn.MAXIFS(m_row,m_teacher,AE$4,m_date,($G$2+15),m_active,1,m_start,"&lt;"&amp;780,m_end,"&gt;"&amp;720))))))</f>
        <v/>
      </c>
      <c r="AF19" s="88" t="str">
        <f aca="false">IF(OR(AF$4="",MONTH(($G$2+15))&lt;&gt;MONTH($C$2)),"",IF(COUNTIFS(m_teacher,AF$4,m_date,($G$2+15),m_active,1,m_start,"&lt;"&amp;780,m_end,"&gt;"&amp;720)=0,"",IF(COUNTIFS(m_teacher,AF$4,m_date,($G$2+15),m_active,1,m_start,"&lt;"&amp;780,m_end,"&gt;"&amp;720)&gt;1,"충돌",HYPERLINK("#'관리자_MASTER'!D"&amp;_xlfn.MAXIFS(m_row,m_teacher,AF$4,m_date,($G$2+15),m_active,1,m_start,"&lt;"&amp;780,m_end,"&gt;"&amp;720),INDEX(m_label,_xlfn.MAXIFS(m_row,m_teacher,AF$4,m_date,($G$2+15),m_active,1,m_start,"&lt;"&amp;780,m_end,"&gt;"&amp;720))))))</f>
        <v/>
      </c>
      <c r="AG19" s="88" t="str">
        <f aca="false">IF(OR(AG$4="",MONTH(($G$2+15))&lt;&gt;MONTH($C$2)),"",IF(COUNTIFS(m_teacher,AG$4,m_date,($G$2+15),m_active,1,m_start,"&lt;"&amp;780,m_end,"&gt;"&amp;720)=0,"",IF(COUNTIFS(m_teacher,AG$4,m_date,($G$2+15),m_active,1,m_start,"&lt;"&amp;780,m_end,"&gt;"&amp;720)&gt;1,"충돌",HYPERLINK("#'관리자_MASTER'!D"&amp;_xlfn.MAXIFS(m_row,m_teacher,AG$4,m_date,($G$2+15),m_active,1,m_start,"&lt;"&amp;780,m_end,"&gt;"&amp;720),INDEX(m_label,_xlfn.MAXIFS(m_row,m_teacher,AG$4,m_date,($G$2+15),m_active,1,m_start,"&lt;"&amp;780,m_end,"&gt;"&amp;720))))))</f>
        <v/>
      </c>
      <c r="AH19" s="88" t="str">
        <f aca="false">IF(OR(AH$4="",MONTH(($G$2+15))&lt;&gt;MONTH($C$2)),"",IF(COUNTIFS(m_teacher,AH$4,m_date,($G$2+15),m_active,1,m_start,"&lt;"&amp;780,m_end,"&gt;"&amp;720)=0,"",IF(COUNTIFS(m_teacher,AH$4,m_date,($G$2+15),m_active,1,m_start,"&lt;"&amp;780,m_end,"&gt;"&amp;720)&gt;1,"충돌",HYPERLINK("#'관리자_MASTER'!D"&amp;_xlfn.MAXIFS(m_row,m_teacher,AH$4,m_date,($G$2+15),m_active,1,m_start,"&lt;"&amp;780,m_end,"&gt;"&amp;720),INDEX(m_label,_xlfn.MAXIFS(m_row,m_teacher,AH$4,m_date,($G$2+15),m_active,1,m_start,"&lt;"&amp;780,m_end,"&gt;"&amp;720))))))</f>
        <v/>
      </c>
      <c r="AI19" s="88" t="str">
        <f aca="false">IF(OR(AI$4="",MONTH(($G$2+15))&lt;&gt;MONTH($C$2)),"",IF(COUNTIFS(m_teacher,AI$4,m_date,($G$2+15),m_active,1,m_start,"&lt;"&amp;780,m_end,"&gt;"&amp;720)=0,"",IF(COUNTIFS(m_teacher,AI$4,m_date,($G$2+15),m_active,1,m_start,"&lt;"&amp;780,m_end,"&gt;"&amp;720)&gt;1,"충돌",HYPERLINK("#'관리자_MASTER'!D"&amp;_xlfn.MAXIFS(m_row,m_teacher,AI$4,m_date,($G$2+15),m_active,1,m_start,"&lt;"&amp;780,m_end,"&gt;"&amp;720),INDEX(m_label,_xlfn.MAXIFS(m_row,m_teacher,AI$4,m_date,($G$2+15),m_active,1,m_start,"&lt;"&amp;780,m_end,"&gt;"&amp;720))))))</f>
        <v/>
      </c>
      <c r="AJ19" s="88" t="str">
        <f aca="false">IF(OR(AJ$4="",MONTH(($G$2+15))&lt;&gt;MONTH($C$2)),"",IF(COUNTIFS(m_teacher,AJ$4,m_date,($G$2+15),m_active,1,m_start,"&lt;"&amp;780,m_end,"&gt;"&amp;720)=0,"",IF(COUNTIFS(m_teacher,AJ$4,m_date,($G$2+15),m_active,1,m_start,"&lt;"&amp;780,m_end,"&gt;"&amp;720)&gt;1,"충돌",HYPERLINK("#'관리자_MASTER'!D"&amp;_xlfn.MAXIFS(m_row,m_teacher,AJ$4,m_date,($G$2+15),m_active,1,m_start,"&lt;"&amp;780,m_end,"&gt;"&amp;720),INDEX(m_label,_xlfn.MAXIFS(m_row,m_teacher,AJ$4,m_date,($G$2+15),m_active,1,m_start,"&lt;"&amp;780,m_end,"&gt;"&amp;720))))))</f>
        <v/>
      </c>
      <c r="AK19" s="88" t="str">
        <f aca="false">IF(OR(AK$4="",MONTH(($G$2+15))&lt;&gt;MONTH($C$2)),"",IF(COUNTIFS(m_teacher,AK$4,m_date,($G$2+15),m_active,1,m_start,"&lt;"&amp;780,m_end,"&gt;"&amp;720)=0,"",IF(COUNTIFS(m_teacher,AK$4,m_date,($G$2+15),m_active,1,m_start,"&lt;"&amp;780,m_end,"&gt;"&amp;720)&gt;1,"충돌",HYPERLINK("#'관리자_MASTER'!D"&amp;_xlfn.MAXIFS(m_row,m_teacher,AK$4,m_date,($G$2+15),m_active,1,m_start,"&lt;"&amp;780,m_end,"&gt;"&amp;720),INDEX(m_label,_xlfn.MAXIFS(m_row,m_teacher,AK$4,m_date,($G$2+15),m_active,1,m_start,"&lt;"&amp;780,m_end,"&gt;"&amp;720))))))</f>
        <v/>
      </c>
      <c r="AL19" s="88" t="str">
        <f aca="false">IF(OR(AL$4="",MONTH(($G$2+15))&lt;&gt;MONTH($C$2)),"",IF(COUNTIFS(m_teacher,AL$4,m_date,($G$2+15),m_active,1,m_start,"&lt;"&amp;780,m_end,"&gt;"&amp;720)=0,"",IF(COUNTIFS(m_teacher,AL$4,m_date,($G$2+15),m_active,1,m_start,"&lt;"&amp;780,m_end,"&gt;"&amp;720)&gt;1,"충돌",HYPERLINK("#'관리자_MASTER'!D"&amp;_xlfn.MAXIFS(m_row,m_teacher,AL$4,m_date,($G$2+15),m_active,1,m_start,"&lt;"&amp;780,m_end,"&gt;"&amp;720),INDEX(m_label,_xlfn.MAXIFS(m_row,m_teacher,AL$4,m_date,($G$2+15),m_active,1,m_start,"&lt;"&amp;780,m_end,"&gt;"&amp;720))))))</f>
        <v/>
      </c>
      <c r="AM19" s="88" t="str">
        <f aca="false">IF(OR(AM$4="",MONTH(($G$2+15))&lt;&gt;MONTH($C$2)),"",IF(COUNTIFS(m_teacher,AM$4,m_date,($G$2+15),m_active,1,m_start,"&lt;"&amp;780,m_end,"&gt;"&amp;720)=0,"",IF(COUNTIFS(m_teacher,AM$4,m_date,($G$2+15),m_active,1,m_start,"&lt;"&amp;780,m_end,"&gt;"&amp;720)&gt;1,"충돌",HYPERLINK("#'관리자_MASTER'!D"&amp;_xlfn.MAXIFS(m_row,m_teacher,AM$4,m_date,($G$2+15),m_active,1,m_start,"&lt;"&amp;780,m_end,"&gt;"&amp;720),INDEX(m_label,_xlfn.MAXIFS(m_row,m_teacher,AM$4,m_date,($G$2+15),m_active,1,m_start,"&lt;"&amp;780,m_end,"&gt;"&amp;720))))))</f>
        <v/>
      </c>
      <c r="AN19" s="88" t="str">
        <f aca="false">IF(OR(AN$4="",MONTH(($G$2+15))&lt;&gt;MONTH($C$2)),"",IF(COUNTIFS(m_teacher,AN$4,m_date,($G$2+15),m_active,1,m_start,"&lt;"&amp;780,m_end,"&gt;"&amp;720)=0,"",IF(COUNTIFS(m_teacher,AN$4,m_date,($G$2+15),m_active,1,m_start,"&lt;"&amp;780,m_end,"&gt;"&amp;720)&gt;1,"충돌",HYPERLINK("#'관리자_MASTER'!D"&amp;_xlfn.MAXIFS(m_row,m_teacher,AN$4,m_date,($G$2+15),m_active,1,m_start,"&lt;"&amp;780,m_end,"&gt;"&amp;720),INDEX(m_label,_xlfn.MAXIFS(m_row,m_teacher,AN$4,m_date,($G$2+15),m_active,1,m_start,"&lt;"&amp;780,m_end,"&gt;"&amp;720))))))</f>
        <v/>
      </c>
      <c r="AO19" s="88" t="str">
        <f aca="false">IF(OR(AO$4="",MONTH(($G$2+15))&lt;&gt;MONTH($C$2)),"",IF(COUNTIFS(m_teacher,AO$4,m_date,($G$2+15),m_active,1,m_start,"&lt;"&amp;780,m_end,"&gt;"&amp;720)=0,"",IF(COUNTIFS(m_teacher,AO$4,m_date,($G$2+15),m_active,1,m_start,"&lt;"&amp;780,m_end,"&gt;"&amp;720)&gt;1,"충돌",HYPERLINK("#'관리자_MASTER'!D"&amp;_xlfn.MAXIFS(m_row,m_teacher,AO$4,m_date,($G$2+15),m_active,1,m_start,"&lt;"&amp;780,m_end,"&gt;"&amp;720),INDEX(m_label,_xlfn.MAXIFS(m_row,m_teacher,AO$4,m_date,($G$2+15),m_active,1,m_start,"&lt;"&amp;780,m_end,"&gt;"&amp;720))))))</f>
        <v/>
      </c>
      <c r="AP19" s="88" t="str">
        <f aca="false">IF(OR(AP$4="",MONTH(($G$2+15))&lt;&gt;MONTH($C$2)),"",IF(COUNTIFS(m_teacher,AP$4,m_date,($G$2+15),m_active,1,m_start,"&lt;"&amp;780,m_end,"&gt;"&amp;720)=0,"",IF(COUNTIFS(m_teacher,AP$4,m_date,($G$2+15),m_active,1,m_start,"&lt;"&amp;780,m_end,"&gt;"&amp;720)&gt;1,"충돌",HYPERLINK("#'관리자_MASTER'!D"&amp;_xlfn.MAXIFS(m_row,m_teacher,AP$4,m_date,($G$2+15),m_active,1,m_start,"&lt;"&amp;780,m_end,"&gt;"&amp;720),INDEX(m_label,_xlfn.MAXIFS(m_row,m_teacher,AP$4,m_date,($G$2+15),m_active,1,m_start,"&lt;"&amp;780,m_end,"&gt;"&amp;720))))))</f>
        <v/>
      </c>
      <c r="AQ19" s="78"/>
      <c r="AR19" s="79" t="s">
        <v>94</v>
      </c>
      <c r="AS19" s="88" t="str">
        <f aca="false">IF(OR(AS$4="",MONTH(($G$2+22))&lt;&gt;MONTH($C$2)),"",IF(COUNTIFS(m_teacher,AS$4,m_date,($G$2+22),m_active,1,m_start,"&lt;"&amp;780,m_end,"&gt;"&amp;720)=0,"",IF(COUNTIFS(m_teacher,AS$4,m_date,($G$2+22),m_active,1,m_start,"&lt;"&amp;780,m_end,"&gt;"&amp;720)&gt;1,"충돌",HYPERLINK("#'관리자_MASTER'!D"&amp;_xlfn.MAXIFS(m_row,m_teacher,AS$4,m_date,($G$2+22),m_active,1,m_start,"&lt;"&amp;780,m_end,"&gt;"&amp;720),INDEX(m_label,_xlfn.MAXIFS(m_row,m_teacher,AS$4,m_date,($G$2+22),m_active,1,m_start,"&lt;"&amp;780,m_end,"&gt;"&amp;720))))))</f>
        <v/>
      </c>
      <c r="AT19" s="88" t="str">
        <f aca="false">IF(OR(AT$4="",MONTH(($G$2+22))&lt;&gt;MONTH($C$2)),"",IF(COUNTIFS(m_teacher,AT$4,m_date,($G$2+22),m_active,1,m_start,"&lt;"&amp;780,m_end,"&gt;"&amp;720)=0,"",IF(COUNTIFS(m_teacher,AT$4,m_date,($G$2+22),m_active,1,m_start,"&lt;"&amp;780,m_end,"&gt;"&amp;720)&gt;1,"충돌",HYPERLINK("#'관리자_MASTER'!D"&amp;_xlfn.MAXIFS(m_row,m_teacher,AT$4,m_date,($G$2+22),m_active,1,m_start,"&lt;"&amp;780,m_end,"&gt;"&amp;720),INDEX(m_label,_xlfn.MAXIFS(m_row,m_teacher,AT$4,m_date,($G$2+22),m_active,1,m_start,"&lt;"&amp;780,m_end,"&gt;"&amp;720))))))</f>
        <v/>
      </c>
      <c r="AU19" s="88" t="str">
        <f aca="false">IF(OR(AU$4="",MONTH(($G$2+22))&lt;&gt;MONTH($C$2)),"",IF(COUNTIFS(m_teacher,AU$4,m_date,($G$2+22),m_active,1,m_start,"&lt;"&amp;780,m_end,"&gt;"&amp;720)=0,"",IF(COUNTIFS(m_teacher,AU$4,m_date,($G$2+22),m_active,1,m_start,"&lt;"&amp;780,m_end,"&gt;"&amp;720)&gt;1,"충돌",HYPERLINK("#'관리자_MASTER'!D"&amp;_xlfn.MAXIFS(m_row,m_teacher,AU$4,m_date,($G$2+22),m_active,1,m_start,"&lt;"&amp;780,m_end,"&gt;"&amp;720),INDEX(m_label,_xlfn.MAXIFS(m_row,m_teacher,AU$4,m_date,($G$2+22),m_active,1,m_start,"&lt;"&amp;780,m_end,"&gt;"&amp;720))))))</f>
        <v/>
      </c>
      <c r="AV19" s="88" t="str">
        <f aca="false">IF(OR(AV$4="",MONTH(($G$2+22))&lt;&gt;MONTH($C$2)),"",IF(COUNTIFS(m_teacher,AV$4,m_date,($G$2+22),m_active,1,m_start,"&lt;"&amp;780,m_end,"&gt;"&amp;720)=0,"",IF(COUNTIFS(m_teacher,AV$4,m_date,($G$2+22),m_active,1,m_start,"&lt;"&amp;780,m_end,"&gt;"&amp;720)&gt;1,"충돌",HYPERLINK("#'관리자_MASTER'!D"&amp;_xlfn.MAXIFS(m_row,m_teacher,AV$4,m_date,($G$2+22),m_active,1,m_start,"&lt;"&amp;780,m_end,"&gt;"&amp;720),INDEX(m_label,_xlfn.MAXIFS(m_row,m_teacher,AV$4,m_date,($G$2+22),m_active,1,m_start,"&lt;"&amp;780,m_end,"&gt;"&amp;720))))))</f>
        <v/>
      </c>
      <c r="AW19" s="88" t="str">
        <f aca="false">IF(OR(AW$4="",MONTH(($G$2+22))&lt;&gt;MONTH($C$2)),"",IF(COUNTIFS(m_teacher,AW$4,m_date,($G$2+22),m_active,1,m_start,"&lt;"&amp;780,m_end,"&gt;"&amp;720)=0,"",IF(COUNTIFS(m_teacher,AW$4,m_date,($G$2+22),m_active,1,m_start,"&lt;"&amp;780,m_end,"&gt;"&amp;720)&gt;1,"충돌",HYPERLINK("#'관리자_MASTER'!D"&amp;_xlfn.MAXIFS(m_row,m_teacher,AW$4,m_date,($G$2+22),m_active,1,m_start,"&lt;"&amp;780,m_end,"&gt;"&amp;720),INDEX(m_label,_xlfn.MAXIFS(m_row,m_teacher,AW$4,m_date,($G$2+22),m_active,1,m_start,"&lt;"&amp;780,m_end,"&gt;"&amp;720))))))</f>
        <v/>
      </c>
      <c r="AX19" s="88" t="str">
        <f aca="false">IF(OR(AX$4="",MONTH(($G$2+22))&lt;&gt;MONTH($C$2)),"",IF(COUNTIFS(m_teacher,AX$4,m_date,($G$2+22),m_active,1,m_start,"&lt;"&amp;780,m_end,"&gt;"&amp;720)=0,"",IF(COUNTIFS(m_teacher,AX$4,m_date,($G$2+22),m_active,1,m_start,"&lt;"&amp;780,m_end,"&gt;"&amp;720)&gt;1,"충돌",HYPERLINK("#'관리자_MASTER'!D"&amp;_xlfn.MAXIFS(m_row,m_teacher,AX$4,m_date,($G$2+22),m_active,1,m_start,"&lt;"&amp;780,m_end,"&gt;"&amp;720),INDEX(m_label,_xlfn.MAXIFS(m_row,m_teacher,AX$4,m_date,($G$2+22),m_active,1,m_start,"&lt;"&amp;780,m_end,"&gt;"&amp;720))))))</f>
        <v/>
      </c>
      <c r="AY19" s="88" t="str">
        <f aca="false">IF(OR(AY$4="",MONTH(($G$2+22))&lt;&gt;MONTH($C$2)),"",IF(COUNTIFS(m_teacher,AY$4,m_date,($G$2+22),m_active,1,m_start,"&lt;"&amp;780,m_end,"&gt;"&amp;720)=0,"",IF(COUNTIFS(m_teacher,AY$4,m_date,($G$2+22),m_active,1,m_start,"&lt;"&amp;780,m_end,"&gt;"&amp;720)&gt;1,"충돌",HYPERLINK("#'관리자_MASTER'!D"&amp;_xlfn.MAXIFS(m_row,m_teacher,AY$4,m_date,($G$2+22),m_active,1,m_start,"&lt;"&amp;780,m_end,"&gt;"&amp;720),INDEX(m_label,_xlfn.MAXIFS(m_row,m_teacher,AY$4,m_date,($G$2+22),m_active,1,m_start,"&lt;"&amp;780,m_end,"&gt;"&amp;720))))))</f>
        <v/>
      </c>
      <c r="AZ19" s="88" t="str">
        <f aca="false">IF(OR(AZ$4="",MONTH(($G$2+22))&lt;&gt;MONTH($C$2)),"",IF(COUNTIFS(m_teacher,AZ$4,m_date,($G$2+22),m_active,1,m_start,"&lt;"&amp;780,m_end,"&gt;"&amp;720)=0,"",IF(COUNTIFS(m_teacher,AZ$4,m_date,($G$2+22),m_active,1,m_start,"&lt;"&amp;780,m_end,"&gt;"&amp;720)&gt;1,"충돌",HYPERLINK("#'관리자_MASTER'!D"&amp;_xlfn.MAXIFS(m_row,m_teacher,AZ$4,m_date,($G$2+22),m_active,1,m_start,"&lt;"&amp;780,m_end,"&gt;"&amp;720),INDEX(m_label,_xlfn.MAXIFS(m_row,m_teacher,AZ$4,m_date,($G$2+22),m_active,1,m_start,"&lt;"&amp;780,m_end,"&gt;"&amp;720))))))</f>
        <v/>
      </c>
      <c r="BA19" s="88" t="str">
        <f aca="false">IF(OR(BA$4="",MONTH(($G$2+22))&lt;&gt;MONTH($C$2)),"",IF(COUNTIFS(m_teacher,BA$4,m_date,($G$2+22),m_active,1,m_start,"&lt;"&amp;780,m_end,"&gt;"&amp;720)=0,"",IF(COUNTIFS(m_teacher,BA$4,m_date,($G$2+22),m_active,1,m_start,"&lt;"&amp;780,m_end,"&gt;"&amp;720)&gt;1,"충돌",HYPERLINK("#'관리자_MASTER'!D"&amp;_xlfn.MAXIFS(m_row,m_teacher,BA$4,m_date,($G$2+22),m_active,1,m_start,"&lt;"&amp;780,m_end,"&gt;"&amp;720),INDEX(m_label,_xlfn.MAXIFS(m_row,m_teacher,BA$4,m_date,($G$2+22),m_active,1,m_start,"&lt;"&amp;780,m_end,"&gt;"&amp;720))))))</f>
        <v/>
      </c>
      <c r="BB19" s="88" t="str">
        <f aca="false">IF(OR(BB$4="",MONTH(($G$2+22))&lt;&gt;MONTH($C$2)),"",IF(COUNTIFS(m_teacher,BB$4,m_date,($G$2+22),m_active,1,m_start,"&lt;"&amp;780,m_end,"&gt;"&amp;720)=0,"",IF(COUNTIFS(m_teacher,BB$4,m_date,($G$2+22),m_active,1,m_start,"&lt;"&amp;780,m_end,"&gt;"&amp;720)&gt;1,"충돌",HYPERLINK("#'관리자_MASTER'!D"&amp;_xlfn.MAXIFS(m_row,m_teacher,BB$4,m_date,($G$2+22),m_active,1,m_start,"&lt;"&amp;780,m_end,"&gt;"&amp;720),INDEX(m_label,_xlfn.MAXIFS(m_row,m_teacher,BB$4,m_date,($G$2+22),m_active,1,m_start,"&lt;"&amp;780,m_end,"&gt;"&amp;720))))))</f>
        <v/>
      </c>
      <c r="BC19" s="88" t="str">
        <f aca="false">IF(OR(BC$4="",MONTH(($G$2+22))&lt;&gt;MONTH($C$2)),"",IF(COUNTIFS(m_teacher,BC$4,m_date,($G$2+22),m_active,1,m_start,"&lt;"&amp;780,m_end,"&gt;"&amp;720)=0,"",IF(COUNTIFS(m_teacher,BC$4,m_date,($G$2+22),m_active,1,m_start,"&lt;"&amp;780,m_end,"&gt;"&amp;720)&gt;1,"충돌",HYPERLINK("#'관리자_MASTER'!D"&amp;_xlfn.MAXIFS(m_row,m_teacher,BC$4,m_date,($G$2+22),m_active,1,m_start,"&lt;"&amp;780,m_end,"&gt;"&amp;720),INDEX(m_label,_xlfn.MAXIFS(m_row,m_teacher,BC$4,m_date,($G$2+22),m_active,1,m_start,"&lt;"&amp;780,m_end,"&gt;"&amp;720))))))</f>
        <v/>
      </c>
      <c r="BD19" s="88" t="str">
        <f aca="false">IF(OR(BD$4="",MONTH(($G$2+22))&lt;&gt;MONTH($C$2)),"",IF(COUNTIFS(m_teacher,BD$4,m_date,($G$2+22),m_active,1,m_start,"&lt;"&amp;780,m_end,"&gt;"&amp;720)=0,"",IF(COUNTIFS(m_teacher,BD$4,m_date,($G$2+22),m_active,1,m_start,"&lt;"&amp;780,m_end,"&gt;"&amp;720)&gt;1,"충돌",HYPERLINK("#'관리자_MASTER'!D"&amp;_xlfn.MAXIFS(m_row,m_teacher,BD$4,m_date,($G$2+22),m_active,1,m_start,"&lt;"&amp;780,m_end,"&gt;"&amp;720),INDEX(m_label,_xlfn.MAXIFS(m_row,m_teacher,BD$4,m_date,($G$2+22),m_active,1,m_start,"&lt;"&amp;780,m_end,"&gt;"&amp;720))))))</f>
        <v/>
      </c>
      <c r="BE19" s="78"/>
      <c r="BF19" s="79" t="s">
        <v>94</v>
      </c>
      <c r="BG19" s="88" t="str">
        <f aca="false">IF(OR(BG$4="",MONTH(($G$2+29))&lt;&gt;MONTH($C$2)),"",IF(COUNTIFS(m_teacher,BG$4,m_date,($G$2+29),m_active,1,m_start,"&lt;"&amp;780,m_end,"&gt;"&amp;720)=0,"",IF(COUNTIFS(m_teacher,BG$4,m_date,($G$2+29),m_active,1,m_start,"&lt;"&amp;780,m_end,"&gt;"&amp;720)&gt;1,"충돌",HYPERLINK("#'관리자_MASTER'!D"&amp;_xlfn.MAXIFS(m_row,m_teacher,BG$4,m_date,($G$2+29),m_active,1,m_start,"&lt;"&amp;780,m_end,"&gt;"&amp;720),INDEX(m_label,_xlfn.MAXIFS(m_row,m_teacher,BG$4,m_date,($G$2+29),m_active,1,m_start,"&lt;"&amp;780,m_end,"&gt;"&amp;720))))))</f>
        <v/>
      </c>
      <c r="BH19" s="88" t="str">
        <f aca="false">IF(OR(BH$4="",MONTH(($G$2+29))&lt;&gt;MONTH($C$2)),"",IF(COUNTIFS(m_teacher,BH$4,m_date,($G$2+29),m_active,1,m_start,"&lt;"&amp;780,m_end,"&gt;"&amp;720)=0,"",IF(COUNTIFS(m_teacher,BH$4,m_date,($G$2+29),m_active,1,m_start,"&lt;"&amp;780,m_end,"&gt;"&amp;720)&gt;1,"충돌",HYPERLINK("#'관리자_MASTER'!D"&amp;_xlfn.MAXIFS(m_row,m_teacher,BH$4,m_date,($G$2+29),m_active,1,m_start,"&lt;"&amp;780,m_end,"&gt;"&amp;720),INDEX(m_label,_xlfn.MAXIFS(m_row,m_teacher,BH$4,m_date,($G$2+29),m_active,1,m_start,"&lt;"&amp;780,m_end,"&gt;"&amp;720))))))</f>
        <v/>
      </c>
      <c r="BI19" s="88" t="str">
        <f aca="false">IF(OR(BI$4="",MONTH(($G$2+29))&lt;&gt;MONTH($C$2)),"",IF(COUNTIFS(m_teacher,BI$4,m_date,($G$2+29),m_active,1,m_start,"&lt;"&amp;780,m_end,"&gt;"&amp;720)=0,"",IF(COUNTIFS(m_teacher,BI$4,m_date,($G$2+29),m_active,1,m_start,"&lt;"&amp;780,m_end,"&gt;"&amp;720)&gt;1,"충돌",HYPERLINK("#'관리자_MASTER'!D"&amp;_xlfn.MAXIFS(m_row,m_teacher,BI$4,m_date,($G$2+29),m_active,1,m_start,"&lt;"&amp;780,m_end,"&gt;"&amp;720),INDEX(m_label,_xlfn.MAXIFS(m_row,m_teacher,BI$4,m_date,($G$2+29),m_active,1,m_start,"&lt;"&amp;780,m_end,"&gt;"&amp;720))))))</f>
        <v/>
      </c>
      <c r="BJ19" s="88" t="str">
        <f aca="false">IF(OR(BJ$4="",MONTH(($G$2+29))&lt;&gt;MONTH($C$2)),"",IF(COUNTIFS(m_teacher,BJ$4,m_date,($G$2+29),m_active,1,m_start,"&lt;"&amp;780,m_end,"&gt;"&amp;720)=0,"",IF(COUNTIFS(m_teacher,BJ$4,m_date,($G$2+29),m_active,1,m_start,"&lt;"&amp;780,m_end,"&gt;"&amp;720)&gt;1,"충돌",HYPERLINK("#'관리자_MASTER'!D"&amp;_xlfn.MAXIFS(m_row,m_teacher,BJ$4,m_date,($G$2+29),m_active,1,m_start,"&lt;"&amp;780,m_end,"&gt;"&amp;720),INDEX(m_label,_xlfn.MAXIFS(m_row,m_teacher,BJ$4,m_date,($G$2+29),m_active,1,m_start,"&lt;"&amp;780,m_end,"&gt;"&amp;720))))))</f>
        <v/>
      </c>
      <c r="BK19" s="88" t="str">
        <f aca="false">IF(OR(BK$4="",MONTH(($G$2+29))&lt;&gt;MONTH($C$2)),"",IF(COUNTIFS(m_teacher,BK$4,m_date,($G$2+29),m_active,1,m_start,"&lt;"&amp;780,m_end,"&gt;"&amp;720)=0,"",IF(COUNTIFS(m_teacher,BK$4,m_date,($G$2+29),m_active,1,m_start,"&lt;"&amp;780,m_end,"&gt;"&amp;720)&gt;1,"충돌",HYPERLINK("#'관리자_MASTER'!D"&amp;_xlfn.MAXIFS(m_row,m_teacher,BK$4,m_date,($G$2+29),m_active,1,m_start,"&lt;"&amp;780,m_end,"&gt;"&amp;720),INDEX(m_label,_xlfn.MAXIFS(m_row,m_teacher,BK$4,m_date,($G$2+29),m_active,1,m_start,"&lt;"&amp;780,m_end,"&gt;"&amp;720))))))</f>
        <v/>
      </c>
      <c r="BL19" s="88" t="str">
        <f aca="false">IF(OR(BL$4="",MONTH(($G$2+29))&lt;&gt;MONTH($C$2)),"",IF(COUNTIFS(m_teacher,BL$4,m_date,($G$2+29),m_active,1,m_start,"&lt;"&amp;780,m_end,"&gt;"&amp;720)=0,"",IF(COUNTIFS(m_teacher,BL$4,m_date,($G$2+29),m_active,1,m_start,"&lt;"&amp;780,m_end,"&gt;"&amp;720)&gt;1,"충돌",HYPERLINK("#'관리자_MASTER'!D"&amp;_xlfn.MAXIFS(m_row,m_teacher,BL$4,m_date,($G$2+29),m_active,1,m_start,"&lt;"&amp;780,m_end,"&gt;"&amp;720),INDEX(m_label,_xlfn.MAXIFS(m_row,m_teacher,BL$4,m_date,($G$2+29),m_active,1,m_start,"&lt;"&amp;780,m_end,"&gt;"&amp;720))))))</f>
        <v/>
      </c>
      <c r="BM19" s="88" t="str">
        <f aca="false">IF(OR(BM$4="",MONTH(($G$2+29))&lt;&gt;MONTH($C$2)),"",IF(COUNTIFS(m_teacher,BM$4,m_date,($G$2+29),m_active,1,m_start,"&lt;"&amp;780,m_end,"&gt;"&amp;720)=0,"",IF(COUNTIFS(m_teacher,BM$4,m_date,($G$2+29),m_active,1,m_start,"&lt;"&amp;780,m_end,"&gt;"&amp;720)&gt;1,"충돌",HYPERLINK("#'관리자_MASTER'!D"&amp;_xlfn.MAXIFS(m_row,m_teacher,BM$4,m_date,($G$2+29),m_active,1,m_start,"&lt;"&amp;780,m_end,"&gt;"&amp;720),INDEX(m_label,_xlfn.MAXIFS(m_row,m_teacher,BM$4,m_date,($G$2+29),m_active,1,m_start,"&lt;"&amp;780,m_end,"&gt;"&amp;720))))))</f>
        <v/>
      </c>
      <c r="BN19" s="88" t="str">
        <f aca="false">IF(OR(BN$4="",MONTH(($G$2+29))&lt;&gt;MONTH($C$2)),"",IF(COUNTIFS(m_teacher,BN$4,m_date,($G$2+29),m_active,1,m_start,"&lt;"&amp;780,m_end,"&gt;"&amp;720)=0,"",IF(COUNTIFS(m_teacher,BN$4,m_date,($G$2+29),m_active,1,m_start,"&lt;"&amp;780,m_end,"&gt;"&amp;720)&gt;1,"충돌",HYPERLINK("#'관리자_MASTER'!D"&amp;_xlfn.MAXIFS(m_row,m_teacher,BN$4,m_date,($G$2+29),m_active,1,m_start,"&lt;"&amp;780,m_end,"&gt;"&amp;720),INDEX(m_label,_xlfn.MAXIFS(m_row,m_teacher,BN$4,m_date,($G$2+29),m_active,1,m_start,"&lt;"&amp;780,m_end,"&gt;"&amp;720))))))</f>
        <v/>
      </c>
      <c r="BO19" s="88" t="str">
        <f aca="false">IF(OR(BO$4="",MONTH(($G$2+29))&lt;&gt;MONTH($C$2)),"",IF(COUNTIFS(m_teacher,BO$4,m_date,($G$2+29),m_active,1,m_start,"&lt;"&amp;780,m_end,"&gt;"&amp;720)=0,"",IF(COUNTIFS(m_teacher,BO$4,m_date,($G$2+29),m_active,1,m_start,"&lt;"&amp;780,m_end,"&gt;"&amp;720)&gt;1,"충돌",HYPERLINK("#'관리자_MASTER'!D"&amp;_xlfn.MAXIFS(m_row,m_teacher,BO$4,m_date,($G$2+29),m_active,1,m_start,"&lt;"&amp;780,m_end,"&gt;"&amp;720),INDEX(m_label,_xlfn.MAXIFS(m_row,m_teacher,BO$4,m_date,($G$2+29),m_active,1,m_start,"&lt;"&amp;780,m_end,"&gt;"&amp;720))))))</f>
        <v/>
      </c>
      <c r="BP19" s="88" t="str">
        <f aca="false">IF(OR(BP$4="",MONTH(($G$2+29))&lt;&gt;MONTH($C$2)),"",IF(COUNTIFS(m_teacher,BP$4,m_date,($G$2+29),m_active,1,m_start,"&lt;"&amp;780,m_end,"&gt;"&amp;720)=0,"",IF(COUNTIFS(m_teacher,BP$4,m_date,($G$2+29),m_active,1,m_start,"&lt;"&amp;780,m_end,"&gt;"&amp;720)&gt;1,"충돌",HYPERLINK("#'관리자_MASTER'!D"&amp;_xlfn.MAXIFS(m_row,m_teacher,BP$4,m_date,($G$2+29),m_active,1,m_start,"&lt;"&amp;780,m_end,"&gt;"&amp;720),INDEX(m_label,_xlfn.MAXIFS(m_row,m_teacher,BP$4,m_date,($G$2+29),m_active,1,m_start,"&lt;"&amp;780,m_end,"&gt;"&amp;720))))))</f>
        <v/>
      </c>
      <c r="BQ19" s="88" t="str">
        <f aca="false">IF(OR(BQ$4="",MONTH(($G$2+29))&lt;&gt;MONTH($C$2)),"",IF(COUNTIFS(m_teacher,BQ$4,m_date,($G$2+29),m_active,1,m_start,"&lt;"&amp;780,m_end,"&gt;"&amp;720)=0,"",IF(COUNTIFS(m_teacher,BQ$4,m_date,($G$2+29),m_active,1,m_start,"&lt;"&amp;780,m_end,"&gt;"&amp;720)&gt;1,"충돌",HYPERLINK("#'관리자_MASTER'!D"&amp;_xlfn.MAXIFS(m_row,m_teacher,BQ$4,m_date,($G$2+29),m_active,1,m_start,"&lt;"&amp;780,m_end,"&gt;"&amp;720),INDEX(m_label,_xlfn.MAXIFS(m_row,m_teacher,BQ$4,m_date,($G$2+29),m_active,1,m_start,"&lt;"&amp;780,m_end,"&gt;"&amp;720))))))</f>
        <v/>
      </c>
      <c r="BR19" s="88" t="str">
        <f aca="false">IF(OR(BR$4="",MONTH(($G$2+29))&lt;&gt;MONTH($C$2)),"",IF(COUNTIFS(m_teacher,BR$4,m_date,($G$2+29),m_active,1,m_start,"&lt;"&amp;780,m_end,"&gt;"&amp;720)=0,"",IF(COUNTIFS(m_teacher,BR$4,m_date,($G$2+29),m_active,1,m_start,"&lt;"&amp;780,m_end,"&gt;"&amp;720)&gt;1,"충돌",HYPERLINK("#'관리자_MASTER'!D"&amp;_xlfn.MAXIFS(m_row,m_teacher,BR$4,m_date,($G$2+29),m_active,1,m_start,"&lt;"&amp;780,m_end,"&gt;"&amp;720),INDEX(m_label,_xlfn.MAXIFS(m_row,m_teacher,BR$4,m_date,($G$2+29),m_active,1,m_start,"&lt;"&amp;780,m_end,"&gt;"&amp;720))))))</f>
        <v/>
      </c>
    </row>
    <row r="20" customFormat="false" ht="19.5" hidden="false" customHeight="true" outlineLevel="0" collapsed="false">
      <c r="A20" s="75"/>
      <c r="B20" s="76" t="s">
        <v>95</v>
      </c>
      <c r="C20" s="81" t="str">
        <f aca="false">IF(OR(C$4="",MONTH(($G$2+1))&lt;&gt;MONTH($C$2)),"",IF(COUNTIFS(m_teacher,C$4,m_date,($G$2+1),m_active,1,m_start,"&lt;"&amp;840,m_end,"&gt;"&amp;780)=0,"",IF(COUNTIFS(m_teacher,C$4,m_date,($G$2+1),m_active,1,m_start,"&lt;"&amp;840,m_end,"&gt;"&amp;780)&gt;1,"충돌",HYPERLINK("#'관리자_MASTER'!D"&amp;_xlfn.MAXIFS(m_row,m_teacher,C$4,m_date,($G$2+1),m_active,1,m_start,"&lt;"&amp;840,m_end,"&gt;"&amp;780),INDEX(m_label,_xlfn.MAXIFS(m_row,m_teacher,C$4,m_date,($G$2+1),m_active,1,m_start,"&lt;"&amp;840,m_end,"&gt;"&amp;780))))))</f>
        <v/>
      </c>
      <c r="D20" s="81" t="str">
        <f aca="false">IF(OR(D$4="",MONTH(($G$2+1))&lt;&gt;MONTH($C$2)),"",IF(COUNTIFS(m_teacher,D$4,m_date,($G$2+1),m_active,1,m_start,"&lt;"&amp;840,m_end,"&gt;"&amp;780)=0,"",IF(COUNTIFS(m_teacher,D$4,m_date,($G$2+1),m_active,1,m_start,"&lt;"&amp;840,m_end,"&gt;"&amp;780)&gt;1,"충돌",HYPERLINK("#'관리자_MASTER'!D"&amp;_xlfn.MAXIFS(m_row,m_teacher,D$4,m_date,($G$2+1),m_active,1,m_start,"&lt;"&amp;840,m_end,"&gt;"&amp;780),INDEX(m_label,_xlfn.MAXIFS(m_row,m_teacher,D$4,m_date,($G$2+1),m_active,1,m_start,"&lt;"&amp;840,m_end,"&gt;"&amp;780))))))</f>
        <v/>
      </c>
      <c r="E20" s="81" t="str">
        <f aca="false">IF(OR(E$4="",MONTH(($G$2+1))&lt;&gt;MONTH($C$2)),"",IF(COUNTIFS(m_teacher,E$4,m_date,($G$2+1),m_active,1,m_start,"&lt;"&amp;840,m_end,"&gt;"&amp;780)=0,"",IF(COUNTIFS(m_teacher,E$4,m_date,($G$2+1),m_active,1,m_start,"&lt;"&amp;840,m_end,"&gt;"&amp;780)&gt;1,"충돌",HYPERLINK("#'관리자_MASTER'!D"&amp;_xlfn.MAXIFS(m_row,m_teacher,E$4,m_date,($G$2+1),m_active,1,m_start,"&lt;"&amp;840,m_end,"&gt;"&amp;780),INDEX(m_label,_xlfn.MAXIFS(m_row,m_teacher,E$4,m_date,($G$2+1),m_active,1,m_start,"&lt;"&amp;840,m_end,"&gt;"&amp;780))))))</f>
        <v/>
      </c>
      <c r="F20" s="81" t="str">
        <f aca="false">IF(OR(F$4="",MONTH(($G$2+1))&lt;&gt;MONTH($C$2)),"",IF(COUNTIFS(m_teacher,F$4,m_date,($G$2+1),m_active,1,m_start,"&lt;"&amp;840,m_end,"&gt;"&amp;780)=0,"",IF(COUNTIFS(m_teacher,F$4,m_date,($G$2+1),m_active,1,m_start,"&lt;"&amp;840,m_end,"&gt;"&amp;780)&gt;1,"충돌",HYPERLINK("#'관리자_MASTER'!D"&amp;_xlfn.MAXIFS(m_row,m_teacher,F$4,m_date,($G$2+1),m_active,1,m_start,"&lt;"&amp;840,m_end,"&gt;"&amp;780),INDEX(m_label,_xlfn.MAXIFS(m_row,m_teacher,F$4,m_date,($G$2+1),m_active,1,m_start,"&lt;"&amp;840,m_end,"&gt;"&amp;780))))))</f>
        <v/>
      </c>
      <c r="G20" s="81" t="str">
        <f aca="false">IF(OR(G$4="",MONTH(($G$2+1))&lt;&gt;MONTH($C$2)),"",IF(COUNTIFS(m_teacher,G$4,m_date,($G$2+1),m_active,1,m_start,"&lt;"&amp;840,m_end,"&gt;"&amp;780)=0,"",IF(COUNTIFS(m_teacher,G$4,m_date,($G$2+1),m_active,1,m_start,"&lt;"&amp;840,m_end,"&gt;"&amp;780)&gt;1,"충돌",HYPERLINK("#'관리자_MASTER'!D"&amp;_xlfn.MAXIFS(m_row,m_teacher,G$4,m_date,($G$2+1),m_active,1,m_start,"&lt;"&amp;840,m_end,"&gt;"&amp;780),INDEX(m_label,_xlfn.MAXIFS(m_row,m_teacher,G$4,m_date,($G$2+1),m_active,1,m_start,"&lt;"&amp;840,m_end,"&gt;"&amp;780))))))</f>
        <v/>
      </c>
      <c r="H20" s="81" t="str">
        <f aca="false">IF(OR(H$4="",MONTH(($G$2+1))&lt;&gt;MONTH($C$2)),"",IF(COUNTIFS(m_teacher,H$4,m_date,($G$2+1),m_active,1,m_start,"&lt;"&amp;840,m_end,"&gt;"&amp;780)=0,"",IF(COUNTIFS(m_teacher,H$4,m_date,($G$2+1),m_active,1,m_start,"&lt;"&amp;840,m_end,"&gt;"&amp;780)&gt;1,"충돌",HYPERLINK("#'관리자_MASTER'!D"&amp;_xlfn.MAXIFS(m_row,m_teacher,H$4,m_date,($G$2+1),m_active,1,m_start,"&lt;"&amp;840,m_end,"&gt;"&amp;780),INDEX(m_label,_xlfn.MAXIFS(m_row,m_teacher,H$4,m_date,($G$2+1),m_active,1,m_start,"&lt;"&amp;840,m_end,"&gt;"&amp;780))))))</f>
        <v/>
      </c>
      <c r="I20" s="81" t="str">
        <f aca="false">IF(OR(I$4="",MONTH(($G$2+1))&lt;&gt;MONTH($C$2)),"",IF(COUNTIFS(m_teacher,I$4,m_date,($G$2+1),m_active,1,m_start,"&lt;"&amp;840,m_end,"&gt;"&amp;780)=0,"",IF(COUNTIFS(m_teacher,I$4,m_date,($G$2+1),m_active,1,m_start,"&lt;"&amp;840,m_end,"&gt;"&amp;780)&gt;1,"충돌",HYPERLINK("#'관리자_MASTER'!D"&amp;_xlfn.MAXIFS(m_row,m_teacher,I$4,m_date,($G$2+1),m_active,1,m_start,"&lt;"&amp;840,m_end,"&gt;"&amp;780),INDEX(m_label,_xlfn.MAXIFS(m_row,m_teacher,I$4,m_date,($G$2+1),m_active,1,m_start,"&lt;"&amp;840,m_end,"&gt;"&amp;780))))))</f>
        <v/>
      </c>
      <c r="J20" s="81" t="str">
        <f aca="false">IF(OR(J$4="",MONTH(($G$2+1))&lt;&gt;MONTH($C$2)),"",IF(COUNTIFS(m_teacher,J$4,m_date,($G$2+1),m_active,1,m_start,"&lt;"&amp;840,m_end,"&gt;"&amp;780)=0,"",IF(COUNTIFS(m_teacher,J$4,m_date,($G$2+1),m_active,1,m_start,"&lt;"&amp;840,m_end,"&gt;"&amp;780)&gt;1,"충돌",HYPERLINK("#'관리자_MASTER'!D"&amp;_xlfn.MAXIFS(m_row,m_teacher,J$4,m_date,($G$2+1),m_active,1,m_start,"&lt;"&amp;840,m_end,"&gt;"&amp;780),INDEX(m_label,_xlfn.MAXIFS(m_row,m_teacher,J$4,m_date,($G$2+1),m_active,1,m_start,"&lt;"&amp;840,m_end,"&gt;"&amp;780))))))</f>
        <v/>
      </c>
      <c r="K20" s="81" t="str">
        <f aca="false">IF(OR(K$4="",MONTH(($G$2+1))&lt;&gt;MONTH($C$2)),"",IF(COUNTIFS(m_teacher,K$4,m_date,($G$2+1),m_active,1,m_start,"&lt;"&amp;840,m_end,"&gt;"&amp;780)=0,"",IF(COUNTIFS(m_teacher,K$4,m_date,($G$2+1),m_active,1,m_start,"&lt;"&amp;840,m_end,"&gt;"&amp;780)&gt;1,"충돌",HYPERLINK("#'관리자_MASTER'!D"&amp;_xlfn.MAXIFS(m_row,m_teacher,K$4,m_date,($G$2+1),m_active,1,m_start,"&lt;"&amp;840,m_end,"&gt;"&amp;780),INDEX(m_label,_xlfn.MAXIFS(m_row,m_teacher,K$4,m_date,($G$2+1),m_active,1,m_start,"&lt;"&amp;840,m_end,"&gt;"&amp;780))))))</f>
        <v/>
      </c>
      <c r="L20" s="81" t="str">
        <f aca="false">IF(OR(L$4="",MONTH(($G$2+1))&lt;&gt;MONTH($C$2)),"",IF(COUNTIFS(m_teacher,L$4,m_date,($G$2+1),m_active,1,m_start,"&lt;"&amp;840,m_end,"&gt;"&amp;780)=0,"",IF(COUNTIFS(m_teacher,L$4,m_date,($G$2+1),m_active,1,m_start,"&lt;"&amp;840,m_end,"&gt;"&amp;780)&gt;1,"충돌",HYPERLINK("#'관리자_MASTER'!D"&amp;_xlfn.MAXIFS(m_row,m_teacher,L$4,m_date,($G$2+1),m_active,1,m_start,"&lt;"&amp;840,m_end,"&gt;"&amp;780),INDEX(m_label,_xlfn.MAXIFS(m_row,m_teacher,L$4,m_date,($G$2+1),m_active,1,m_start,"&lt;"&amp;840,m_end,"&gt;"&amp;780))))))</f>
        <v/>
      </c>
      <c r="M20" s="81" t="str">
        <f aca="false">IF(OR(M$4="",MONTH(($G$2+1))&lt;&gt;MONTH($C$2)),"",IF(COUNTIFS(m_teacher,M$4,m_date,($G$2+1),m_active,1,m_start,"&lt;"&amp;840,m_end,"&gt;"&amp;780)=0,"",IF(COUNTIFS(m_teacher,M$4,m_date,($G$2+1),m_active,1,m_start,"&lt;"&amp;840,m_end,"&gt;"&amp;780)&gt;1,"충돌",HYPERLINK("#'관리자_MASTER'!D"&amp;_xlfn.MAXIFS(m_row,m_teacher,M$4,m_date,($G$2+1),m_active,1,m_start,"&lt;"&amp;840,m_end,"&gt;"&amp;780),INDEX(m_label,_xlfn.MAXIFS(m_row,m_teacher,M$4,m_date,($G$2+1),m_active,1,m_start,"&lt;"&amp;840,m_end,"&gt;"&amp;780))))))</f>
        <v/>
      </c>
      <c r="N20" s="81" t="str">
        <f aca="false">IF(OR(N$4="",MONTH(($G$2+1))&lt;&gt;MONTH($C$2)),"",IF(COUNTIFS(m_teacher,N$4,m_date,($G$2+1),m_active,1,m_start,"&lt;"&amp;840,m_end,"&gt;"&amp;780)=0,"",IF(COUNTIFS(m_teacher,N$4,m_date,($G$2+1),m_active,1,m_start,"&lt;"&amp;840,m_end,"&gt;"&amp;780)&gt;1,"충돌",HYPERLINK("#'관리자_MASTER'!D"&amp;_xlfn.MAXIFS(m_row,m_teacher,N$4,m_date,($G$2+1),m_active,1,m_start,"&lt;"&amp;840,m_end,"&gt;"&amp;780),INDEX(m_label,_xlfn.MAXIFS(m_row,m_teacher,N$4,m_date,($G$2+1),m_active,1,m_start,"&lt;"&amp;840,m_end,"&gt;"&amp;780))))))</f>
        <v/>
      </c>
      <c r="O20" s="78"/>
      <c r="P20" s="79" t="s">
        <v>95</v>
      </c>
      <c r="Q20" s="88" t="str">
        <f aca="false">IF(OR(Q$4="",MONTH(($G$2+8))&lt;&gt;MONTH($C$2)),"",IF(COUNTIFS(m_teacher,Q$4,m_date,($G$2+8),m_active,1,m_start,"&lt;"&amp;840,m_end,"&gt;"&amp;780)=0,"",IF(COUNTIFS(m_teacher,Q$4,m_date,($G$2+8),m_active,1,m_start,"&lt;"&amp;840,m_end,"&gt;"&amp;780)&gt;1,"충돌",HYPERLINK("#'관리자_MASTER'!D"&amp;_xlfn.MAXIFS(m_row,m_teacher,Q$4,m_date,($G$2+8),m_active,1,m_start,"&lt;"&amp;840,m_end,"&gt;"&amp;780),INDEX(m_label,_xlfn.MAXIFS(m_row,m_teacher,Q$4,m_date,($G$2+8),m_active,1,m_start,"&lt;"&amp;840,m_end,"&gt;"&amp;780))))))</f>
        <v/>
      </c>
      <c r="R20" s="88" t="str">
        <f aca="false">IF(OR(R$4="",MONTH(($G$2+8))&lt;&gt;MONTH($C$2)),"",IF(COUNTIFS(m_teacher,R$4,m_date,($G$2+8),m_active,1,m_start,"&lt;"&amp;840,m_end,"&gt;"&amp;780)=0,"",IF(COUNTIFS(m_teacher,R$4,m_date,($G$2+8),m_active,1,m_start,"&lt;"&amp;840,m_end,"&gt;"&amp;780)&gt;1,"충돌",HYPERLINK("#'관리자_MASTER'!D"&amp;_xlfn.MAXIFS(m_row,m_teacher,R$4,m_date,($G$2+8),m_active,1,m_start,"&lt;"&amp;840,m_end,"&gt;"&amp;780),INDEX(m_label,_xlfn.MAXIFS(m_row,m_teacher,R$4,m_date,($G$2+8),m_active,1,m_start,"&lt;"&amp;840,m_end,"&gt;"&amp;780))))))</f>
        <v/>
      </c>
      <c r="S20" s="88" t="str">
        <f aca="false">IF(OR(S$4="",MONTH(($G$2+8))&lt;&gt;MONTH($C$2)),"",IF(COUNTIFS(m_teacher,S$4,m_date,($G$2+8),m_active,1,m_start,"&lt;"&amp;840,m_end,"&gt;"&amp;780)=0,"",IF(COUNTIFS(m_teacher,S$4,m_date,($G$2+8),m_active,1,m_start,"&lt;"&amp;840,m_end,"&gt;"&amp;780)&gt;1,"충돌",HYPERLINK("#'관리자_MASTER'!D"&amp;_xlfn.MAXIFS(m_row,m_teacher,S$4,m_date,($G$2+8),m_active,1,m_start,"&lt;"&amp;840,m_end,"&gt;"&amp;780),INDEX(m_label,_xlfn.MAXIFS(m_row,m_teacher,S$4,m_date,($G$2+8),m_active,1,m_start,"&lt;"&amp;840,m_end,"&gt;"&amp;780))))))</f>
        <v/>
      </c>
      <c r="T20" s="88" t="str">
        <f aca="false">IF(OR(T$4="",MONTH(($G$2+8))&lt;&gt;MONTH($C$2)),"",IF(COUNTIFS(m_teacher,T$4,m_date,($G$2+8),m_active,1,m_start,"&lt;"&amp;840,m_end,"&gt;"&amp;780)=0,"",IF(COUNTIFS(m_teacher,T$4,m_date,($G$2+8),m_active,1,m_start,"&lt;"&amp;840,m_end,"&gt;"&amp;780)&gt;1,"충돌",HYPERLINK("#'관리자_MASTER'!D"&amp;_xlfn.MAXIFS(m_row,m_teacher,T$4,m_date,($G$2+8),m_active,1,m_start,"&lt;"&amp;840,m_end,"&gt;"&amp;780),INDEX(m_label,_xlfn.MAXIFS(m_row,m_teacher,T$4,m_date,($G$2+8),m_active,1,m_start,"&lt;"&amp;840,m_end,"&gt;"&amp;780))))))</f>
        <v/>
      </c>
      <c r="U20" s="88" t="str">
        <f aca="false">IF(OR(U$4="",MONTH(($G$2+8))&lt;&gt;MONTH($C$2)),"",IF(COUNTIFS(m_teacher,U$4,m_date,($G$2+8),m_active,1,m_start,"&lt;"&amp;840,m_end,"&gt;"&amp;780)=0,"",IF(COUNTIFS(m_teacher,U$4,m_date,($G$2+8),m_active,1,m_start,"&lt;"&amp;840,m_end,"&gt;"&amp;780)&gt;1,"충돌",HYPERLINK("#'관리자_MASTER'!D"&amp;_xlfn.MAXIFS(m_row,m_teacher,U$4,m_date,($G$2+8),m_active,1,m_start,"&lt;"&amp;840,m_end,"&gt;"&amp;780),INDEX(m_label,_xlfn.MAXIFS(m_row,m_teacher,U$4,m_date,($G$2+8),m_active,1,m_start,"&lt;"&amp;840,m_end,"&gt;"&amp;780))))))</f>
        <v/>
      </c>
      <c r="V20" s="88" t="str">
        <f aca="false">IF(OR(V$4="",MONTH(($G$2+8))&lt;&gt;MONTH($C$2)),"",IF(COUNTIFS(m_teacher,V$4,m_date,($G$2+8),m_active,1,m_start,"&lt;"&amp;840,m_end,"&gt;"&amp;780)=0,"",IF(COUNTIFS(m_teacher,V$4,m_date,($G$2+8),m_active,1,m_start,"&lt;"&amp;840,m_end,"&gt;"&amp;780)&gt;1,"충돌",HYPERLINK("#'관리자_MASTER'!D"&amp;_xlfn.MAXIFS(m_row,m_teacher,V$4,m_date,($G$2+8),m_active,1,m_start,"&lt;"&amp;840,m_end,"&gt;"&amp;780),INDEX(m_label,_xlfn.MAXIFS(m_row,m_teacher,V$4,m_date,($G$2+8),m_active,1,m_start,"&lt;"&amp;840,m_end,"&gt;"&amp;780))))))</f>
        <v/>
      </c>
      <c r="W20" s="88" t="str">
        <f aca="false">IF(OR(W$4="",MONTH(($G$2+8))&lt;&gt;MONTH($C$2)),"",IF(COUNTIFS(m_teacher,W$4,m_date,($G$2+8),m_active,1,m_start,"&lt;"&amp;840,m_end,"&gt;"&amp;780)=0,"",IF(COUNTIFS(m_teacher,W$4,m_date,($G$2+8),m_active,1,m_start,"&lt;"&amp;840,m_end,"&gt;"&amp;780)&gt;1,"충돌",HYPERLINK("#'관리자_MASTER'!D"&amp;_xlfn.MAXIFS(m_row,m_teacher,W$4,m_date,($G$2+8),m_active,1,m_start,"&lt;"&amp;840,m_end,"&gt;"&amp;780),INDEX(m_label,_xlfn.MAXIFS(m_row,m_teacher,W$4,m_date,($G$2+8),m_active,1,m_start,"&lt;"&amp;840,m_end,"&gt;"&amp;780))))))</f>
        <v/>
      </c>
      <c r="X20" s="88" t="str">
        <f aca="false">IF(OR(X$4="",MONTH(($G$2+8))&lt;&gt;MONTH($C$2)),"",IF(COUNTIFS(m_teacher,X$4,m_date,($G$2+8),m_active,1,m_start,"&lt;"&amp;840,m_end,"&gt;"&amp;780)=0,"",IF(COUNTIFS(m_teacher,X$4,m_date,($G$2+8),m_active,1,m_start,"&lt;"&amp;840,m_end,"&gt;"&amp;780)&gt;1,"충돌",HYPERLINK("#'관리자_MASTER'!D"&amp;_xlfn.MAXIFS(m_row,m_teacher,X$4,m_date,($G$2+8),m_active,1,m_start,"&lt;"&amp;840,m_end,"&gt;"&amp;780),INDEX(m_label,_xlfn.MAXIFS(m_row,m_teacher,X$4,m_date,($G$2+8),m_active,1,m_start,"&lt;"&amp;840,m_end,"&gt;"&amp;780))))))</f>
        <v/>
      </c>
      <c r="Y20" s="88" t="str">
        <f aca="false">IF(OR(Y$4="",MONTH(($G$2+8))&lt;&gt;MONTH($C$2)),"",IF(COUNTIFS(m_teacher,Y$4,m_date,($G$2+8),m_active,1,m_start,"&lt;"&amp;840,m_end,"&gt;"&amp;780)=0,"",IF(COUNTIFS(m_teacher,Y$4,m_date,($G$2+8),m_active,1,m_start,"&lt;"&amp;840,m_end,"&gt;"&amp;780)&gt;1,"충돌",HYPERLINK("#'관리자_MASTER'!D"&amp;_xlfn.MAXIFS(m_row,m_teacher,Y$4,m_date,($G$2+8),m_active,1,m_start,"&lt;"&amp;840,m_end,"&gt;"&amp;780),INDEX(m_label,_xlfn.MAXIFS(m_row,m_teacher,Y$4,m_date,($G$2+8),m_active,1,m_start,"&lt;"&amp;840,m_end,"&gt;"&amp;780))))))</f>
        <v/>
      </c>
      <c r="Z20" s="88" t="str">
        <f aca="false">IF(OR(Z$4="",MONTH(($G$2+8))&lt;&gt;MONTH($C$2)),"",IF(COUNTIFS(m_teacher,Z$4,m_date,($G$2+8),m_active,1,m_start,"&lt;"&amp;840,m_end,"&gt;"&amp;780)=0,"",IF(COUNTIFS(m_teacher,Z$4,m_date,($G$2+8),m_active,1,m_start,"&lt;"&amp;840,m_end,"&gt;"&amp;780)&gt;1,"충돌",HYPERLINK("#'관리자_MASTER'!D"&amp;_xlfn.MAXIFS(m_row,m_teacher,Z$4,m_date,($G$2+8),m_active,1,m_start,"&lt;"&amp;840,m_end,"&gt;"&amp;780),INDEX(m_label,_xlfn.MAXIFS(m_row,m_teacher,Z$4,m_date,($G$2+8),m_active,1,m_start,"&lt;"&amp;840,m_end,"&gt;"&amp;780))))))</f>
        <v/>
      </c>
      <c r="AA20" s="88" t="str">
        <f aca="false">IF(OR(AA$4="",MONTH(($G$2+8))&lt;&gt;MONTH($C$2)),"",IF(COUNTIFS(m_teacher,AA$4,m_date,($G$2+8),m_active,1,m_start,"&lt;"&amp;840,m_end,"&gt;"&amp;780)=0,"",IF(COUNTIFS(m_teacher,AA$4,m_date,($G$2+8),m_active,1,m_start,"&lt;"&amp;840,m_end,"&gt;"&amp;780)&gt;1,"충돌",HYPERLINK("#'관리자_MASTER'!D"&amp;_xlfn.MAXIFS(m_row,m_teacher,AA$4,m_date,($G$2+8),m_active,1,m_start,"&lt;"&amp;840,m_end,"&gt;"&amp;780),INDEX(m_label,_xlfn.MAXIFS(m_row,m_teacher,AA$4,m_date,($G$2+8),m_active,1,m_start,"&lt;"&amp;840,m_end,"&gt;"&amp;780))))))</f>
        <v/>
      </c>
      <c r="AB20" s="88" t="str">
        <f aca="false">IF(OR(AB$4="",MONTH(($G$2+8))&lt;&gt;MONTH($C$2)),"",IF(COUNTIFS(m_teacher,AB$4,m_date,($G$2+8),m_active,1,m_start,"&lt;"&amp;840,m_end,"&gt;"&amp;780)=0,"",IF(COUNTIFS(m_teacher,AB$4,m_date,($G$2+8),m_active,1,m_start,"&lt;"&amp;840,m_end,"&gt;"&amp;780)&gt;1,"충돌",HYPERLINK("#'관리자_MASTER'!D"&amp;_xlfn.MAXIFS(m_row,m_teacher,AB$4,m_date,($G$2+8),m_active,1,m_start,"&lt;"&amp;840,m_end,"&gt;"&amp;780),INDEX(m_label,_xlfn.MAXIFS(m_row,m_teacher,AB$4,m_date,($G$2+8),m_active,1,m_start,"&lt;"&amp;840,m_end,"&gt;"&amp;780))))))</f>
        <v/>
      </c>
      <c r="AC20" s="78"/>
      <c r="AD20" s="79" t="s">
        <v>95</v>
      </c>
      <c r="AE20" s="88" t="str">
        <f aca="false">IF(OR(AE$4="",MONTH(($G$2+15))&lt;&gt;MONTH($C$2)),"",IF(COUNTIFS(m_teacher,AE$4,m_date,($G$2+15),m_active,1,m_start,"&lt;"&amp;840,m_end,"&gt;"&amp;780)=0,"",IF(COUNTIFS(m_teacher,AE$4,m_date,($G$2+15),m_active,1,m_start,"&lt;"&amp;840,m_end,"&gt;"&amp;780)&gt;1,"충돌",HYPERLINK("#'관리자_MASTER'!D"&amp;_xlfn.MAXIFS(m_row,m_teacher,AE$4,m_date,($G$2+15),m_active,1,m_start,"&lt;"&amp;840,m_end,"&gt;"&amp;780),INDEX(m_label,_xlfn.MAXIFS(m_row,m_teacher,AE$4,m_date,($G$2+15),m_active,1,m_start,"&lt;"&amp;840,m_end,"&gt;"&amp;780))))))</f>
        <v/>
      </c>
      <c r="AF20" s="88" t="str">
        <f aca="false">IF(OR(AF$4="",MONTH(($G$2+15))&lt;&gt;MONTH($C$2)),"",IF(COUNTIFS(m_teacher,AF$4,m_date,($G$2+15),m_active,1,m_start,"&lt;"&amp;840,m_end,"&gt;"&amp;780)=0,"",IF(COUNTIFS(m_teacher,AF$4,m_date,($G$2+15),m_active,1,m_start,"&lt;"&amp;840,m_end,"&gt;"&amp;780)&gt;1,"충돌",HYPERLINK("#'관리자_MASTER'!D"&amp;_xlfn.MAXIFS(m_row,m_teacher,AF$4,m_date,($G$2+15),m_active,1,m_start,"&lt;"&amp;840,m_end,"&gt;"&amp;780),INDEX(m_label,_xlfn.MAXIFS(m_row,m_teacher,AF$4,m_date,($G$2+15),m_active,1,m_start,"&lt;"&amp;840,m_end,"&gt;"&amp;780))))))</f>
        <v/>
      </c>
      <c r="AG20" s="88" t="str">
        <f aca="false">IF(OR(AG$4="",MONTH(($G$2+15))&lt;&gt;MONTH($C$2)),"",IF(COUNTIFS(m_teacher,AG$4,m_date,($G$2+15),m_active,1,m_start,"&lt;"&amp;840,m_end,"&gt;"&amp;780)=0,"",IF(COUNTIFS(m_teacher,AG$4,m_date,($G$2+15),m_active,1,m_start,"&lt;"&amp;840,m_end,"&gt;"&amp;780)&gt;1,"충돌",HYPERLINK("#'관리자_MASTER'!D"&amp;_xlfn.MAXIFS(m_row,m_teacher,AG$4,m_date,($G$2+15),m_active,1,m_start,"&lt;"&amp;840,m_end,"&gt;"&amp;780),INDEX(m_label,_xlfn.MAXIFS(m_row,m_teacher,AG$4,m_date,($G$2+15),m_active,1,m_start,"&lt;"&amp;840,m_end,"&gt;"&amp;780))))))</f>
        <v/>
      </c>
      <c r="AH20" s="88" t="str">
        <f aca="false">IF(OR(AH$4="",MONTH(($G$2+15))&lt;&gt;MONTH($C$2)),"",IF(COUNTIFS(m_teacher,AH$4,m_date,($G$2+15),m_active,1,m_start,"&lt;"&amp;840,m_end,"&gt;"&amp;780)=0,"",IF(COUNTIFS(m_teacher,AH$4,m_date,($G$2+15),m_active,1,m_start,"&lt;"&amp;840,m_end,"&gt;"&amp;780)&gt;1,"충돌",HYPERLINK("#'관리자_MASTER'!D"&amp;_xlfn.MAXIFS(m_row,m_teacher,AH$4,m_date,($G$2+15),m_active,1,m_start,"&lt;"&amp;840,m_end,"&gt;"&amp;780),INDEX(m_label,_xlfn.MAXIFS(m_row,m_teacher,AH$4,m_date,($G$2+15),m_active,1,m_start,"&lt;"&amp;840,m_end,"&gt;"&amp;780))))))</f>
        <v/>
      </c>
      <c r="AI20" s="88" t="str">
        <f aca="false">IF(OR(AI$4="",MONTH(($G$2+15))&lt;&gt;MONTH($C$2)),"",IF(COUNTIFS(m_teacher,AI$4,m_date,($G$2+15),m_active,1,m_start,"&lt;"&amp;840,m_end,"&gt;"&amp;780)=0,"",IF(COUNTIFS(m_teacher,AI$4,m_date,($G$2+15),m_active,1,m_start,"&lt;"&amp;840,m_end,"&gt;"&amp;780)&gt;1,"충돌",HYPERLINK("#'관리자_MASTER'!D"&amp;_xlfn.MAXIFS(m_row,m_teacher,AI$4,m_date,($G$2+15),m_active,1,m_start,"&lt;"&amp;840,m_end,"&gt;"&amp;780),INDEX(m_label,_xlfn.MAXIFS(m_row,m_teacher,AI$4,m_date,($G$2+15),m_active,1,m_start,"&lt;"&amp;840,m_end,"&gt;"&amp;780))))))</f>
        <v/>
      </c>
      <c r="AJ20" s="88" t="str">
        <f aca="false">IF(OR(AJ$4="",MONTH(($G$2+15))&lt;&gt;MONTH($C$2)),"",IF(COUNTIFS(m_teacher,AJ$4,m_date,($G$2+15),m_active,1,m_start,"&lt;"&amp;840,m_end,"&gt;"&amp;780)=0,"",IF(COUNTIFS(m_teacher,AJ$4,m_date,($G$2+15),m_active,1,m_start,"&lt;"&amp;840,m_end,"&gt;"&amp;780)&gt;1,"충돌",HYPERLINK("#'관리자_MASTER'!D"&amp;_xlfn.MAXIFS(m_row,m_teacher,AJ$4,m_date,($G$2+15),m_active,1,m_start,"&lt;"&amp;840,m_end,"&gt;"&amp;780),INDEX(m_label,_xlfn.MAXIFS(m_row,m_teacher,AJ$4,m_date,($G$2+15),m_active,1,m_start,"&lt;"&amp;840,m_end,"&gt;"&amp;780))))))</f>
        <v/>
      </c>
      <c r="AK20" s="88" t="str">
        <f aca="false">IF(OR(AK$4="",MONTH(($G$2+15))&lt;&gt;MONTH($C$2)),"",IF(COUNTIFS(m_teacher,AK$4,m_date,($G$2+15),m_active,1,m_start,"&lt;"&amp;840,m_end,"&gt;"&amp;780)=0,"",IF(COUNTIFS(m_teacher,AK$4,m_date,($G$2+15),m_active,1,m_start,"&lt;"&amp;840,m_end,"&gt;"&amp;780)&gt;1,"충돌",HYPERLINK("#'관리자_MASTER'!D"&amp;_xlfn.MAXIFS(m_row,m_teacher,AK$4,m_date,($G$2+15),m_active,1,m_start,"&lt;"&amp;840,m_end,"&gt;"&amp;780),INDEX(m_label,_xlfn.MAXIFS(m_row,m_teacher,AK$4,m_date,($G$2+15),m_active,1,m_start,"&lt;"&amp;840,m_end,"&gt;"&amp;780))))))</f>
        <v/>
      </c>
      <c r="AL20" s="88" t="str">
        <f aca="false">IF(OR(AL$4="",MONTH(($G$2+15))&lt;&gt;MONTH($C$2)),"",IF(COUNTIFS(m_teacher,AL$4,m_date,($G$2+15),m_active,1,m_start,"&lt;"&amp;840,m_end,"&gt;"&amp;780)=0,"",IF(COUNTIFS(m_teacher,AL$4,m_date,($G$2+15),m_active,1,m_start,"&lt;"&amp;840,m_end,"&gt;"&amp;780)&gt;1,"충돌",HYPERLINK("#'관리자_MASTER'!D"&amp;_xlfn.MAXIFS(m_row,m_teacher,AL$4,m_date,($G$2+15),m_active,1,m_start,"&lt;"&amp;840,m_end,"&gt;"&amp;780),INDEX(m_label,_xlfn.MAXIFS(m_row,m_teacher,AL$4,m_date,($G$2+15),m_active,1,m_start,"&lt;"&amp;840,m_end,"&gt;"&amp;780))))))</f>
        <v/>
      </c>
      <c r="AM20" s="88" t="str">
        <f aca="false">IF(OR(AM$4="",MONTH(($G$2+15))&lt;&gt;MONTH($C$2)),"",IF(COUNTIFS(m_teacher,AM$4,m_date,($G$2+15),m_active,1,m_start,"&lt;"&amp;840,m_end,"&gt;"&amp;780)=0,"",IF(COUNTIFS(m_teacher,AM$4,m_date,($G$2+15),m_active,1,m_start,"&lt;"&amp;840,m_end,"&gt;"&amp;780)&gt;1,"충돌",HYPERLINK("#'관리자_MASTER'!D"&amp;_xlfn.MAXIFS(m_row,m_teacher,AM$4,m_date,($G$2+15),m_active,1,m_start,"&lt;"&amp;840,m_end,"&gt;"&amp;780),INDEX(m_label,_xlfn.MAXIFS(m_row,m_teacher,AM$4,m_date,($G$2+15),m_active,1,m_start,"&lt;"&amp;840,m_end,"&gt;"&amp;780))))))</f>
        <v/>
      </c>
      <c r="AN20" s="88" t="str">
        <f aca="false">IF(OR(AN$4="",MONTH(($G$2+15))&lt;&gt;MONTH($C$2)),"",IF(COUNTIFS(m_teacher,AN$4,m_date,($G$2+15),m_active,1,m_start,"&lt;"&amp;840,m_end,"&gt;"&amp;780)=0,"",IF(COUNTIFS(m_teacher,AN$4,m_date,($G$2+15),m_active,1,m_start,"&lt;"&amp;840,m_end,"&gt;"&amp;780)&gt;1,"충돌",HYPERLINK("#'관리자_MASTER'!D"&amp;_xlfn.MAXIFS(m_row,m_teacher,AN$4,m_date,($G$2+15),m_active,1,m_start,"&lt;"&amp;840,m_end,"&gt;"&amp;780),INDEX(m_label,_xlfn.MAXIFS(m_row,m_teacher,AN$4,m_date,($G$2+15),m_active,1,m_start,"&lt;"&amp;840,m_end,"&gt;"&amp;780))))))</f>
        <v/>
      </c>
      <c r="AO20" s="88" t="str">
        <f aca="false">IF(OR(AO$4="",MONTH(($G$2+15))&lt;&gt;MONTH($C$2)),"",IF(COUNTIFS(m_teacher,AO$4,m_date,($G$2+15),m_active,1,m_start,"&lt;"&amp;840,m_end,"&gt;"&amp;780)=0,"",IF(COUNTIFS(m_teacher,AO$4,m_date,($G$2+15),m_active,1,m_start,"&lt;"&amp;840,m_end,"&gt;"&amp;780)&gt;1,"충돌",HYPERLINK("#'관리자_MASTER'!D"&amp;_xlfn.MAXIFS(m_row,m_teacher,AO$4,m_date,($G$2+15),m_active,1,m_start,"&lt;"&amp;840,m_end,"&gt;"&amp;780),INDEX(m_label,_xlfn.MAXIFS(m_row,m_teacher,AO$4,m_date,($G$2+15),m_active,1,m_start,"&lt;"&amp;840,m_end,"&gt;"&amp;780))))))</f>
        <v/>
      </c>
      <c r="AP20" s="88" t="str">
        <f aca="false">IF(OR(AP$4="",MONTH(($G$2+15))&lt;&gt;MONTH($C$2)),"",IF(COUNTIFS(m_teacher,AP$4,m_date,($G$2+15),m_active,1,m_start,"&lt;"&amp;840,m_end,"&gt;"&amp;780)=0,"",IF(COUNTIFS(m_teacher,AP$4,m_date,($G$2+15),m_active,1,m_start,"&lt;"&amp;840,m_end,"&gt;"&amp;780)&gt;1,"충돌",HYPERLINK("#'관리자_MASTER'!D"&amp;_xlfn.MAXIFS(m_row,m_teacher,AP$4,m_date,($G$2+15),m_active,1,m_start,"&lt;"&amp;840,m_end,"&gt;"&amp;780),INDEX(m_label,_xlfn.MAXIFS(m_row,m_teacher,AP$4,m_date,($G$2+15),m_active,1,m_start,"&lt;"&amp;840,m_end,"&gt;"&amp;780))))))</f>
        <v/>
      </c>
      <c r="AQ20" s="78"/>
      <c r="AR20" s="79" t="s">
        <v>95</v>
      </c>
      <c r="AS20" s="88" t="str">
        <f aca="false">IF(OR(AS$4="",MONTH(($G$2+22))&lt;&gt;MONTH($C$2)),"",IF(COUNTIFS(m_teacher,AS$4,m_date,($G$2+22),m_active,1,m_start,"&lt;"&amp;840,m_end,"&gt;"&amp;780)=0,"",IF(COUNTIFS(m_teacher,AS$4,m_date,($G$2+22),m_active,1,m_start,"&lt;"&amp;840,m_end,"&gt;"&amp;780)&gt;1,"충돌",HYPERLINK("#'관리자_MASTER'!D"&amp;_xlfn.MAXIFS(m_row,m_teacher,AS$4,m_date,($G$2+22),m_active,1,m_start,"&lt;"&amp;840,m_end,"&gt;"&amp;780),INDEX(m_label,_xlfn.MAXIFS(m_row,m_teacher,AS$4,m_date,($G$2+22),m_active,1,m_start,"&lt;"&amp;840,m_end,"&gt;"&amp;780))))))</f>
        <v/>
      </c>
      <c r="AT20" s="88" t="str">
        <f aca="false">IF(OR(AT$4="",MONTH(($G$2+22))&lt;&gt;MONTH($C$2)),"",IF(COUNTIFS(m_teacher,AT$4,m_date,($G$2+22),m_active,1,m_start,"&lt;"&amp;840,m_end,"&gt;"&amp;780)=0,"",IF(COUNTIFS(m_teacher,AT$4,m_date,($G$2+22),m_active,1,m_start,"&lt;"&amp;840,m_end,"&gt;"&amp;780)&gt;1,"충돌",HYPERLINK("#'관리자_MASTER'!D"&amp;_xlfn.MAXIFS(m_row,m_teacher,AT$4,m_date,($G$2+22),m_active,1,m_start,"&lt;"&amp;840,m_end,"&gt;"&amp;780),INDEX(m_label,_xlfn.MAXIFS(m_row,m_teacher,AT$4,m_date,($G$2+22),m_active,1,m_start,"&lt;"&amp;840,m_end,"&gt;"&amp;780))))))</f>
        <v/>
      </c>
      <c r="AU20" s="88" t="str">
        <f aca="false">IF(OR(AU$4="",MONTH(($G$2+22))&lt;&gt;MONTH($C$2)),"",IF(COUNTIFS(m_teacher,AU$4,m_date,($G$2+22),m_active,1,m_start,"&lt;"&amp;840,m_end,"&gt;"&amp;780)=0,"",IF(COUNTIFS(m_teacher,AU$4,m_date,($G$2+22),m_active,1,m_start,"&lt;"&amp;840,m_end,"&gt;"&amp;780)&gt;1,"충돌",HYPERLINK("#'관리자_MASTER'!D"&amp;_xlfn.MAXIFS(m_row,m_teacher,AU$4,m_date,($G$2+22),m_active,1,m_start,"&lt;"&amp;840,m_end,"&gt;"&amp;780),INDEX(m_label,_xlfn.MAXIFS(m_row,m_teacher,AU$4,m_date,($G$2+22),m_active,1,m_start,"&lt;"&amp;840,m_end,"&gt;"&amp;780))))))</f>
        <v/>
      </c>
      <c r="AV20" s="88" t="str">
        <f aca="false">IF(OR(AV$4="",MONTH(($G$2+22))&lt;&gt;MONTH($C$2)),"",IF(COUNTIFS(m_teacher,AV$4,m_date,($G$2+22),m_active,1,m_start,"&lt;"&amp;840,m_end,"&gt;"&amp;780)=0,"",IF(COUNTIFS(m_teacher,AV$4,m_date,($G$2+22),m_active,1,m_start,"&lt;"&amp;840,m_end,"&gt;"&amp;780)&gt;1,"충돌",HYPERLINK("#'관리자_MASTER'!D"&amp;_xlfn.MAXIFS(m_row,m_teacher,AV$4,m_date,($G$2+22),m_active,1,m_start,"&lt;"&amp;840,m_end,"&gt;"&amp;780),INDEX(m_label,_xlfn.MAXIFS(m_row,m_teacher,AV$4,m_date,($G$2+22),m_active,1,m_start,"&lt;"&amp;840,m_end,"&gt;"&amp;780))))))</f>
        <v/>
      </c>
      <c r="AW20" s="88" t="str">
        <f aca="false">IF(OR(AW$4="",MONTH(($G$2+22))&lt;&gt;MONTH($C$2)),"",IF(COUNTIFS(m_teacher,AW$4,m_date,($G$2+22),m_active,1,m_start,"&lt;"&amp;840,m_end,"&gt;"&amp;780)=0,"",IF(COUNTIFS(m_teacher,AW$4,m_date,($G$2+22),m_active,1,m_start,"&lt;"&amp;840,m_end,"&gt;"&amp;780)&gt;1,"충돌",HYPERLINK("#'관리자_MASTER'!D"&amp;_xlfn.MAXIFS(m_row,m_teacher,AW$4,m_date,($G$2+22),m_active,1,m_start,"&lt;"&amp;840,m_end,"&gt;"&amp;780),INDEX(m_label,_xlfn.MAXIFS(m_row,m_teacher,AW$4,m_date,($G$2+22),m_active,1,m_start,"&lt;"&amp;840,m_end,"&gt;"&amp;780))))))</f>
        <v/>
      </c>
      <c r="AX20" s="88" t="str">
        <f aca="false">IF(OR(AX$4="",MONTH(($G$2+22))&lt;&gt;MONTH($C$2)),"",IF(COUNTIFS(m_teacher,AX$4,m_date,($G$2+22),m_active,1,m_start,"&lt;"&amp;840,m_end,"&gt;"&amp;780)=0,"",IF(COUNTIFS(m_teacher,AX$4,m_date,($G$2+22),m_active,1,m_start,"&lt;"&amp;840,m_end,"&gt;"&amp;780)&gt;1,"충돌",HYPERLINK("#'관리자_MASTER'!D"&amp;_xlfn.MAXIFS(m_row,m_teacher,AX$4,m_date,($G$2+22),m_active,1,m_start,"&lt;"&amp;840,m_end,"&gt;"&amp;780),INDEX(m_label,_xlfn.MAXIFS(m_row,m_teacher,AX$4,m_date,($G$2+22),m_active,1,m_start,"&lt;"&amp;840,m_end,"&gt;"&amp;780))))))</f>
        <v/>
      </c>
      <c r="AY20" s="88" t="str">
        <f aca="false">IF(OR(AY$4="",MONTH(($G$2+22))&lt;&gt;MONTH($C$2)),"",IF(COUNTIFS(m_teacher,AY$4,m_date,($G$2+22),m_active,1,m_start,"&lt;"&amp;840,m_end,"&gt;"&amp;780)=0,"",IF(COUNTIFS(m_teacher,AY$4,m_date,($G$2+22),m_active,1,m_start,"&lt;"&amp;840,m_end,"&gt;"&amp;780)&gt;1,"충돌",HYPERLINK("#'관리자_MASTER'!D"&amp;_xlfn.MAXIFS(m_row,m_teacher,AY$4,m_date,($G$2+22),m_active,1,m_start,"&lt;"&amp;840,m_end,"&gt;"&amp;780),INDEX(m_label,_xlfn.MAXIFS(m_row,m_teacher,AY$4,m_date,($G$2+22),m_active,1,m_start,"&lt;"&amp;840,m_end,"&gt;"&amp;780))))))</f>
        <v/>
      </c>
      <c r="AZ20" s="88" t="str">
        <f aca="false">IF(OR(AZ$4="",MONTH(($G$2+22))&lt;&gt;MONTH($C$2)),"",IF(COUNTIFS(m_teacher,AZ$4,m_date,($G$2+22),m_active,1,m_start,"&lt;"&amp;840,m_end,"&gt;"&amp;780)=0,"",IF(COUNTIFS(m_teacher,AZ$4,m_date,($G$2+22),m_active,1,m_start,"&lt;"&amp;840,m_end,"&gt;"&amp;780)&gt;1,"충돌",HYPERLINK("#'관리자_MASTER'!D"&amp;_xlfn.MAXIFS(m_row,m_teacher,AZ$4,m_date,($G$2+22),m_active,1,m_start,"&lt;"&amp;840,m_end,"&gt;"&amp;780),INDEX(m_label,_xlfn.MAXIFS(m_row,m_teacher,AZ$4,m_date,($G$2+22),m_active,1,m_start,"&lt;"&amp;840,m_end,"&gt;"&amp;780))))))</f>
        <v/>
      </c>
      <c r="BA20" s="88" t="str">
        <f aca="false">IF(OR(BA$4="",MONTH(($G$2+22))&lt;&gt;MONTH($C$2)),"",IF(COUNTIFS(m_teacher,BA$4,m_date,($G$2+22),m_active,1,m_start,"&lt;"&amp;840,m_end,"&gt;"&amp;780)=0,"",IF(COUNTIFS(m_teacher,BA$4,m_date,($G$2+22),m_active,1,m_start,"&lt;"&amp;840,m_end,"&gt;"&amp;780)&gt;1,"충돌",HYPERLINK("#'관리자_MASTER'!D"&amp;_xlfn.MAXIFS(m_row,m_teacher,BA$4,m_date,($G$2+22),m_active,1,m_start,"&lt;"&amp;840,m_end,"&gt;"&amp;780),INDEX(m_label,_xlfn.MAXIFS(m_row,m_teacher,BA$4,m_date,($G$2+22),m_active,1,m_start,"&lt;"&amp;840,m_end,"&gt;"&amp;780))))))</f>
        <v/>
      </c>
      <c r="BB20" s="88" t="str">
        <f aca="false">IF(OR(BB$4="",MONTH(($G$2+22))&lt;&gt;MONTH($C$2)),"",IF(COUNTIFS(m_teacher,BB$4,m_date,($G$2+22),m_active,1,m_start,"&lt;"&amp;840,m_end,"&gt;"&amp;780)=0,"",IF(COUNTIFS(m_teacher,BB$4,m_date,($G$2+22),m_active,1,m_start,"&lt;"&amp;840,m_end,"&gt;"&amp;780)&gt;1,"충돌",HYPERLINK("#'관리자_MASTER'!D"&amp;_xlfn.MAXIFS(m_row,m_teacher,BB$4,m_date,($G$2+22),m_active,1,m_start,"&lt;"&amp;840,m_end,"&gt;"&amp;780),INDEX(m_label,_xlfn.MAXIFS(m_row,m_teacher,BB$4,m_date,($G$2+22),m_active,1,m_start,"&lt;"&amp;840,m_end,"&gt;"&amp;780))))))</f>
        <v/>
      </c>
      <c r="BC20" s="88" t="str">
        <f aca="false">IF(OR(BC$4="",MONTH(($G$2+22))&lt;&gt;MONTH($C$2)),"",IF(COUNTIFS(m_teacher,BC$4,m_date,($G$2+22),m_active,1,m_start,"&lt;"&amp;840,m_end,"&gt;"&amp;780)=0,"",IF(COUNTIFS(m_teacher,BC$4,m_date,($G$2+22),m_active,1,m_start,"&lt;"&amp;840,m_end,"&gt;"&amp;780)&gt;1,"충돌",HYPERLINK("#'관리자_MASTER'!D"&amp;_xlfn.MAXIFS(m_row,m_teacher,BC$4,m_date,($G$2+22),m_active,1,m_start,"&lt;"&amp;840,m_end,"&gt;"&amp;780),INDEX(m_label,_xlfn.MAXIFS(m_row,m_teacher,BC$4,m_date,($G$2+22),m_active,1,m_start,"&lt;"&amp;840,m_end,"&gt;"&amp;780))))))</f>
        <v/>
      </c>
      <c r="BD20" s="88" t="str">
        <f aca="false">IF(OR(BD$4="",MONTH(($G$2+22))&lt;&gt;MONTH($C$2)),"",IF(COUNTIFS(m_teacher,BD$4,m_date,($G$2+22),m_active,1,m_start,"&lt;"&amp;840,m_end,"&gt;"&amp;780)=0,"",IF(COUNTIFS(m_teacher,BD$4,m_date,($G$2+22),m_active,1,m_start,"&lt;"&amp;840,m_end,"&gt;"&amp;780)&gt;1,"충돌",HYPERLINK("#'관리자_MASTER'!D"&amp;_xlfn.MAXIFS(m_row,m_teacher,BD$4,m_date,($G$2+22),m_active,1,m_start,"&lt;"&amp;840,m_end,"&gt;"&amp;780),INDEX(m_label,_xlfn.MAXIFS(m_row,m_teacher,BD$4,m_date,($G$2+22),m_active,1,m_start,"&lt;"&amp;840,m_end,"&gt;"&amp;780))))))</f>
        <v/>
      </c>
      <c r="BE20" s="78"/>
      <c r="BF20" s="79" t="s">
        <v>95</v>
      </c>
      <c r="BG20" s="88" t="str">
        <f aca="false">IF(OR(BG$4="",MONTH(($G$2+29))&lt;&gt;MONTH($C$2)),"",IF(COUNTIFS(m_teacher,BG$4,m_date,($G$2+29),m_active,1,m_start,"&lt;"&amp;840,m_end,"&gt;"&amp;780)=0,"",IF(COUNTIFS(m_teacher,BG$4,m_date,($G$2+29),m_active,1,m_start,"&lt;"&amp;840,m_end,"&gt;"&amp;780)&gt;1,"충돌",HYPERLINK("#'관리자_MASTER'!D"&amp;_xlfn.MAXIFS(m_row,m_teacher,BG$4,m_date,($G$2+29),m_active,1,m_start,"&lt;"&amp;840,m_end,"&gt;"&amp;780),INDEX(m_label,_xlfn.MAXIFS(m_row,m_teacher,BG$4,m_date,($G$2+29),m_active,1,m_start,"&lt;"&amp;840,m_end,"&gt;"&amp;780))))))</f>
        <v/>
      </c>
      <c r="BH20" s="88" t="str">
        <f aca="false">IF(OR(BH$4="",MONTH(($G$2+29))&lt;&gt;MONTH($C$2)),"",IF(COUNTIFS(m_teacher,BH$4,m_date,($G$2+29),m_active,1,m_start,"&lt;"&amp;840,m_end,"&gt;"&amp;780)=0,"",IF(COUNTIFS(m_teacher,BH$4,m_date,($G$2+29),m_active,1,m_start,"&lt;"&amp;840,m_end,"&gt;"&amp;780)&gt;1,"충돌",HYPERLINK("#'관리자_MASTER'!D"&amp;_xlfn.MAXIFS(m_row,m_teacher,BH$4,m_date,($G$2+29),m_active,1,m_start,"&lt;"&amp;840,m_end,"&gt;"&amp;780),INDEX(m_label,_xlfn.MAXIFS(m_row,m_teacher,BH$4,m_date,($G$2+29),m_active,1,m_start,"&lt;"&amp;840,m_end,"&gt;"&amp;780))))))</f>
        <v/>
      </c>
      <c r="BI20" s="88" t="str">
        <f aca="false">IF(OR(BI$4="",MONTH(($G$2+29))&lt;&gt;MONTH($C$2)),"",IF(COUNTIFS(m_teacher,BI$4,m_date,($G$2+29),m_active,1,m_start,"&lt;"&amp;840,m_end,"&gt;"&amp;780)=0,"",IF(COUNTIFS(m_teacher,BI$4,m_date,($G$2+29),m_active,1,m_start,"&lt;"&amp;840,m_end,"&gt;"&amp;780)&gt;1,"충돌",HYPERLINK("#'관리자_MASTER'!D"&amp;_xlfn.MAXIFS(m_row,m_teacher,BI$4,m_date,($G$2+29),m_active,1,m_start,"&lt;"&amp;840,m_end,"&gt;"&amp;780),INDEX(m_label,_xlfn.MAXIFS(m_row,m_teacher,BI$4,m_date,($G$2+29),m_active,1,m_start,"&lt;"&amp;840,m_end,"&gt;"&amp;780))))))</f>
        <v/>
      </c>
      <c r="BJ20" s="88" t="str">
        <f aca="false">IF(OR(BJ$4="",MONTH(($G$2+29))&lt;&gt;MONTH($C$2)),"",IF(COUNTIFS(m_teacher,BJ$4,m_date,($G$2+29),m_active,1,m_start,"&lt;"&amp;840,m_end,"&gt;"&amp;780)=0,"",IF(COUNTIFS(m_teacher,BJ$4,m_date,($G$2+29),m_active,1,m_start,"&lt;"&amp;840,m_end,"&gt;"&amp;780)&gt;1,"충돌",HYPERLINK("#'관리자_MASTER'!D"&amp;_xlfn.MAXIFS(m_row,m_teacher,BJ$4,m_date,($G$2+29),m_active,1,m_start,"&lt;"&amp;840,m_end,"&gt;"&amp;780),INDEX(m_label,_xlfn.MAXIFS(m_row,m_teacher,BJ$4,m_date,($G$2+29),m_active,1,m_start,"&lt;"&amp;840,m_end,"&gt;"&amp;780))))))</f>
        <v/>
      </c>
      <c r="BK20" s="88" t="str">
        <f aca="false">IF(OR(BK$4="",MONTH(($G$2+29))&lt;&gt;MONTH($C$2)),"",IF(COUNTIFS(m_teacher,BK$4,m_date,($G$2+29),m_active,1,m_start,"&lt;"&amp;840,m_end,"&gt;"&amp;780)=0,"",IF(COUNTIFS(m_teacher,BK$4,m_date,($G$2+29),m_active,1,m_start,"&lt;"&amp;840,m_end,"&gt;"&amp;780)&gt;1,"충돌",HYPERLINK("#'관리자_MASTER'!D"&amp;_xlfn.MAXIFS(m_row,m_teacher,BK$4,m_date,($G$2+29),m_active,1,m_start,"&lt;"&amp;840,m_end,"&gt;"&amp;780),INDEX(m_label,_xlfn.MAXIFS(m_row,m_teacher,BK$4,m_date,($G$2+29),m_active,1,m_start,"&lt;"&amp;840,m_end,"&gt;"&amp;780))))))</f>
        <v/>
      </c>
      <c r="BL20" s="88" t="str">
        <f aca="false">IF(OR(BL$4="",MONTH(($G$2+29))&lt;&gt;MONTH($C$2)),"",IF(COUNTIFS(m_teacher,BL$4,m_date,($G$2+29),m_active,1,m_start,"&lt;"&amp;840,m_end,"&gt;"&amp;780)=0,"",IF(COUNTIFS(m_teacher,BL$4,m_date,($G$2+29),m_active,1,m_start,"&lt;"&amp;840,m_end,"&gt;"&amp;780)&gt;1,"충돌",HYPERLINK("#'관리자_MASTER'!D"&amp;_xlfn.MAXIFS(m_row,m_teacher,BL$4,m_date,($G$2+29),m_active,1,m_start,"&lt;"&amp;840,m_end,"&gt;"&amp;780),INDEX(m_label,_xlfn.MAXIFS(m_row,m_teacher,BL$4,m_date,($G$2+29),m_active,1,m_start,"&lt;"&amp;840,m_end,"&gt;"&amp;780))))))</f>
        <v/>
      </c>
      <c r="BM20" s="88" t="str">
        <f aca="false">IF(OR(BM$4="",MONTH(($G$2+29))&lt;&gt;MONTH($C$2)),"",IF(COUNTIFS(m_teacher,BM$4,m_date,($G$2+29),m_active,1,m_start,"&lt;"&amp;840,m_end,"&gt;"&amp;780)=0,"",IF(COUNTIFS(m_teacher,BM$4,m_date,($G$2+29),m_active,1,m_start,"&lt;"&amp;840,m_end,"&gt;"&amp;780)&gt;1,"충돌",HYPERLINK("#'관리자_MASTER'!D"&amp;_xlfn.MAXIFS(m_row,m_teacher,BM$4,m_date,($G$2+29),m_active,1,m_start,"&lt;"&amp;840,m_end,"&gt;"&amp;780),INDEX(m_label,_xlfn.MAXIFS(m_row,m_teacher,BM$4,m_date,($G$2+29),m_active,1,m_start,"&lt;"&amp;840,m_end,"&gt;"&amp;780))))))</f>
        <v/>
      </c>
      <c r="BN20" s="88" t="str">
        <f aca="false">IF(OR(BN$4="",MONTH(($G$2+29))&lt;&gt;MONTH($C$2)),"",IF(COUNTIFS(m_teacher,BN$4,m_date,($G$2+29),m_active,1,m_start,"&lt;"&amp;840,m_end,"&gt;"&amp;780)=0,"",IF(COUNTIFS(m_teacher,BN$4,m_date,($G$2+29),m_active,1,m_start,"&lt;"&amp;840,m_end,"&gt;"&amp;780)&gt;1,"충돌",HYPERLINK("#'관리자_MASTER'!D"&amp;_xlfn.MAXIFS(m_row,m_teacher,BN$4,m_date,($G$2+29),m_active,1,m_start,"&lt;"&amp;840,m_end,"&gt;"&amp;780),INDEX(m_label,_xlfn.MAXIFS(m_row,m_teacher,BN$4,m_date,($G$2+29),m_active,1,m_start,"&lt;"&amp;840,m_end,"&gt;"&amp;780))))))</f>
        <v/>
      </c>
      <c r="BO20" s="88" t="str">
        <f aca="false">IF(OR(BO$4="",MONTH(($G$2+29))&lt;&gt;MONTH($C$2)),"",IF(COUNTIFS(m_teacher,BO$4,m_date,($G$2+29),m_active,1,m_start,"&lt;"&amp;840,m_end,"&gt;"&amp;780)=0,"",IF(COUNTIFS(m_teacher,BO$4,m_date,($G$2+29),m_active,1,m_start,"&lt;"&amp;840,m_end,"&gt;"&amp;780)&gt;1,"충돌",HYPERLINK("#'관리자_MASTER'!D"&amp;_xlfn.MAXIFS(m_row,m_teacher,BO$4,m_date,($G$2+29),m_active,1,m_start,"&lt;"&amp;840,m_end,"&gt;"&amp;780),INDEX(m_label,_xlfn.MAXIFS(m_row,m_teacher,BO$4,m_date,($G$2+29),m_active,1,m_start,"&lt;"&amp;840,m_end,"&gt;"&amp;780))))))</f>
        <v/>
      </c>
      <c r="BP20" s="88" t="str">
        <f aca="false">IF(OR(BP$4="",MONTH(($G$2+29))&lt;&gt;MONTH($C$2)),"",IF(COUNTIFS(m_teacher,BP$4,m_date,($G$2+29),m_active,1,m_start,"&lt;"&amp;840,m_end,"&gt;"&amp;780)=0,"",IF(COUNTIFS(m_teacher,BP$4,m_date,($G$2+29),m_active,1,m_start,"&lt;"&amp;840,m_end,"&gt;"&amp;780)&gt;1,"충돌",HYPERLINK("#'관리자_MASTER'!D"&amp;_xlfn.MAXIFS(m_row,m_teacher,BP$4,m_date,($G$2+29),m_active,1,m_start,"&lt;"&amp;840,m_end,"&gt;"&amp;780),INDEX(m_label,_xlfn.MAXIFS(m_row,m_teacher,BP$4,m_date,($G$2+29),m_active,1,m_start,"&lt;"&amp;840,m_end,"&gt;"&amp;780))))))</f>
        <v/>
      </c>
      <c r="BQ20" s="88" t="str">
        <f aca="false">IF(OR(BQ$4="",MONTH(($G$2+29))&lt;&gt;MONTH($C$2)),"",IF(COUNTIFS(m_teacher,BQ$4,m_date,($G$2+29),m_active,1,m_start,"&lt;"&amp;840,m_end,"&gt;"&amp;780)=0,"",IF(COUNTIFS(m_teacher,BQ$4,m_date,($G$2+29),m_active,1,m_start,"&lt;"&amp;840,m_end,"&gt;"&amp;780)&gt;1,"충돌",HYPERLINK("#'관리자_MASTER'!D"&amp;_xlfn.MAXIFS(m_row,m_teacher,BQ$4,m_date,($G$2+29),m_active,1,m_start,"&lt;"&amp;840,m_end,"&gt;"&amp;780),INDEX(m_label,_xlfn.MAXIFS(m_row,m_teacher,BQ$4,m_date,($G$2+29),m_active,1,m_start,"&lt;"&amp;840,m_end,"&gt;"&amp;780))))))</f>
        <v/>
      </c>
      <c r="BR20" s="88" t="str">
        <f aca="false">IF(OR(BR$4="",MONTH(($G$2+29))&lt;&gt;MONTH($C$2)),"",IF(COUNTIFS(m_teacher,BR$4,m_date,($G$2+29),m_active,1,m_start,"&lt;"&amp;840,m_end,"&gt;"&amp;780)=0,"",IF(COUNTIFS(m_teacher,BR$4,m_date,($G$2+29),m_active,1,m_start,"&lt;"&amp;840,m_end,"&gt;"&amp;780)&gt;1,"충돌",HYPERLINK("#'관리자_MASTER'!D"&amp;_xlfn.MAXIFS(m_row,m_teacher,BR$4,m_date,($G$2+29),m_active,1,m_start,"&lt;"&amp;840,m_end,"&gt;"&amp;780),INDEX(m_label,_xlfn.MAXIFS(m_row,m_teacher,BR$4,m_date,($G$2+29),m_active,1,m_start,"&lt;"&amp;840,m_end,"&gt;"&amp;780))))))</f>
        <v/>
      </c>
    </row>
    <row r="21" customFormat="false" ht="19.5" hidden="false" customHeight="true" outlineLevel="0" collapsed="false">
      <c r="A21" s="75"/>
      <c r="B21" s="76" t="s">
        <v>96</v>
      </c>
      <c r="C21" s="81" t="str">
        <f aca="false">IF(OR(C$4="",MONTH(($G$2+1))&lt;&gt;MONTH($C$2)),"",IF(COUNTIFS(m_teacher,C$4,m_date,($G$2+1),m_active,1,m_start,"&lt;"&amp;900,m_end,"&gt;"&amp;840)=0,"",IF(COUNTIFS(m_teacher,C$4,m_date,($G$2+1),m_active,1,m_start,"&lt;"&amp;900,m_end,"&gt;"&amp;840)&gt;1,"충돌",HYPERLINK("#'관리자_MASTER'!D"&amp;_xlfn.MAXIFS(m_row,m_teacher,C$4,m_date,($G$2+1),m_active,1,m_start,"&lt;"&amp;900,m_end,"&gt;"&amp;840),INDEX(m_label,_xlfn.MAXIFS(m_row,m_teacher,C$4,m_date,($G$2+1),m_active,1,m_start,"&lt;"&amp;900,m_end,"&gt;"&amp;840))))))</f>
        <v/>
      </c>
      <c r="D21" s="81" t="str">
        <f aca="false">IF(OR(D$4="",MONTH(($G$2+1))&lt;&gt;MONTH($C$2)),"",IF(COUNTIFS(m_teacher,D$4,m_date,($G$2+1),m_active,1,m_start,"&lt;"&amp;900,m_end,"&gt;"&amp;840)=0,"",IF(COUNTIFS(m_teacher,D$4,m_date,($G$2+1),m_active,1,m_start,"&lt;"&amp;900,m_end,"&gt;"&amp;840)&gt;1,"충돌",HYPERLINK("#'관리자_MASTER'!D"&amp;_xlfn.MAXIFS(m_row,m_teacher,D$4,m_date,($G$2+1),m_active,1,m_start,"&lt;"&amp;900,m_end,"&gt;"&amp;840),INDEX(m_label,_xlfn.MAXIFS(m_row,m_teacher,D$4,m_date,($G$2+1),m_active,1,m_start,"&lt;"&amp;900,m_end,"&gt;"&amp;840))))))</f>
        <v/>
      </c>
      <c r="E21" s="81" t="str">
        <f aca="false">IF(OR(E$4="",MONTH(($G$2+1))&lt;&gt;MONTH($C$2)),"",IF(COUNTIFS(m_teacher,E$4,m_date,($G$2+1),m_active,1,m_start,"&lt;"&amp;900,m_end,"&gt;"&amp;840)=0,"",IF(COUNTIFS(m_teacher,E$4,m_date,($G$2+1),m_active,1,m_start,"&lt;"&amp;900,m_end,"&gt;"&amp;840)&gt;1,"충돌",HYPERLINK("#'관리자_MASTER'!D"&amp;_xlfn.MAXIFS(m_row,m_teacher,E$4,m_date,($G$2+1),m_active,1,m_start,"&lt;"&amp;900,m_end,"&gt;"&amp;840),INDEX(m_label,_xlfn.MAXIFS(m_row,m_teacher,E$4,m_date,($G$2+1),m_active,1,m_start,"&lt;"&amp;900,m_end,"&gt;"&amp;840))))))</f>
        <v/>
      </c>
      <c r="F21" s="81" t="str">
        <f aca="false">IF(OR(F$4="",MONTH(($G$2+1))&lt;&gt;MONTH($C$2)),"",IF(COUNTIFS(m_teacher,F$4,m_date,($G$2+1),m_active,1,m_start,"&lt;"&amp;900,m_end,"&gt;"&amp;840)=0,"",IF(COUNTIFS(m_teacher,F$4,m_date,($G$2+1),m_active,1,m_start,"&lt;"&amp;900,m_end,"&gt;"&amp;840)&gt;1,"충돌",HYPERLINK("#'관리자_MASTER'!D"&amp;_xlfn.MAXIFS(m_row,m_teacher,F$4,m_date,($G$2+1),m_active,1,m_start,"&lt;"&amp;900,m_end,"&gt;"&amp;840),INDEX(m_label,_xlfn.MAXIFS(m_row,m_teacher,F$4,m_date,($G$2+1),m_active,1,m_start,"&lt;"&amp;900,m_end,"&gt;"&amp;840))))))</f>
        <v/>
      </c>
      <c r="G21" s="81" t="str">
        <f aca="false">IF(OR(G$4="",MONTH(($G$2+1))&lt;&gt;MONTH($C$2)),"",IF(COUNTIFS(m_teacher,G$4,m_date,($G$2+1),m_active,1,m_start,"&lt;"&amp;900,m_end,"&gt;"&amp;840)=0,"",IF(COUNTIFS(m_teacher,G$4,m_date,($G$2+1),m_active,1,m_start,"&lt;"&amp;900,m_end,"&gt;"&amp;840)&gt;1,"충돌",HYPERLINK("#'관리자_MASTER'!D"&amp;_xlfn.MAXIFS(m_row,m_teacher,G$4,m_date,($G$2+1),m_active,1,m_start,"&lt;"&amp;900,m_end,"&gt;"&amp;840),INDEX(m_label,_xlfn.MAXIFS(m_row,m_teacher,G$4,m_date,($G$2+1),m_active,1,m_start,"&lt;"&amp;900,m_end,"&gt;"&amp;840))))))</f>
        <v/>
      </c>
      <c r="H21" s="81" t="str">
        <f aca="false">IF(OR(H$4="",MONTH(($G$2+1))&lt;&gt;MONTH($C$2)),"",IF(COUNTIFS(m_teacher,H$4,m_date,($G$2+1),m_active,1,m_start,"&lt;"&amp;900,m_end,"&gt;"&amp;840)=0,"",IF(COUNTIFS(m_teacher,H$4,m_date,($G$2+1),m_active,1,m_start,"&lt;"&amp;900,m_end,"&gt;"&amp;840)&gt;1,"충돌",HYPERLINK("#'관리자_MASTER'!D"&amp;_xlfn.MAXIFS(m_row,m_teacher,H$4,m_date,($G$2+1),m_active,1,m_start,"&lt;"&amp;900,m_end,"&gt;"&amp;840),INDEX(m_label,_xlfn.MAXIFS(m_row,m_teacher,H$4,m_date,($G$2+1),m_active,1,m_start,"&lt;"&amp;900,m_end,"&gt;"&amp;840))))))</f>
        <v/>
      </c>
      <c r="I21" s="81" t="str">
        <f aca="false">IF(OR(I$4="",MONTH(($G$2+1))&lt;&gt;MONTH($C$2)),"",IF(COUNTIFS(m_teacher,I$4,m_date,($G$2+1),m_active,1,m_start,"&lt;"&amp;900,m_end,"&gt;"&amp;840)=0,"",IF(COUNTIFS(m_teacher,I$4,m_date,($G$2+1),m_active,1,m_start,"&lt;"&amp;900,m_end,"&gt;"&amp;840)&gt;1,"충돌",HYPERLINK("#'관리자_MASTER'!D"&amp;_xlfn.MAXIFS(m_row,m_teacher,I$4,m_date,($G$2+1),m_active,1,m_start,"&lt;"&amp;900,m_end,"&gt;"&amp;840),INDEX(m_label,_xlfn.MAXIFS(m_row,m_teacher,I$4,m_date,($G$2+1),m_active,1,m_start,"&lt;"&amp;900,m_end,"&gt;"&amp;840))))))</f>
        <v/>
      </c>
      <c r="J21" s="81" t="str">
        <f aca="false">IF(OR(J$4="",MONTH(($G$2+1))&lt;&gt;MONTH($C$2)),"",IF(COUNTIFS(m_teacher,J$4,m_date,($G$2+1),m_active,1,m_start,"&lt;"&amp;900,m_end,"&gt;"&amp;840)=0,"",IF(COUNTIFS(m_teacher,J$4,m_date,($G$2+1),m_active,1,m_start,"&lt;"&amp;900,m_end,"&gt;"&amp;840)&gt;1,"충돌",HYPERLINK("#'관리자_MASTER'!D"&amp;_xlfn.MAXIFS(m_row,m_teacher,J$4,m_date,($G$2+1),m_active,1,m_start,"&lt;"&amp;900,m_end,"&gt;"&amp;840),INDEX(m_label,_xlfn.MAXIFS(m_row,m_teacher,J$4,m_date,($G$2+1),m_active,1,m_start,"&lt;"&amp;900,m_end,"&gt;"&amp;840))))))</f>
        <v/>
      </c>
      <c r="K21" s="81" t="str">
        <f aca="false">IF(OR(K$4="",MONTH(($G$2+1))&lt;&gt;MONTH($C$2)),"",IF(COUNTIFS(m_teacher,K$4,m_date,($G$2+1),m_active,1,m_start,"&lt;"&amp;900,m_end,"&gt;"&amp;840)=0,"",IF(COUNTIFS(m_teacher,K$4,m_date,($G$2+1),m_active,1,m_start,"&lt;"&amp;900,m_end,"&gt;"&amp;840)&gt;1,"충돌",HYPERLINK("#'관리자_MASTER'!D"&amp;_xlfn.MAXIFS(m_row,m_teacher,K$4,m_date,($G$2+1),m_active,1,m_start,"&lt;"&amp;900,m_end,"&gt;"&amp;840),INDEX(m_label,_xlfn.MAXIFS(m_row,m_teacher,K$4,m_date,($G$2+1),m_active,1,m_start,"&lt;"&amp;900,m_end,"&gt;"&amp;840))))))</f>
        <v/>
      </c>
      <c r="L21" s="81" t="str">
        <f aca="false">IF(OR(L$4="",MONTH(($G$2+1))&lt;&gt;MONTH($C$2)),"",IF(COUNTIFS(m_teacher,L$4,m_date,($G$2+1),m_active,1,m_start,"&lt;"&amp;900,m_end,"&gt;"&amp;840)=0,"",IF(COUNTIFS(m_teacher,L$4,m_date,($G$2+1),m_active,1,m_start,"&lt;"&amp;900,m_end,"&gt;"&amp;840)&gt;1,"충돌",HYPERLINK("#'관리자_MASTER'!D"&amp;_xlfn.MAXIFS(m_row,m_teacher,L$4,m_date,($G$2+1),m_active,1,m_start,"&lt;"&amp;900,m_end,"&gt;"&amp;840),INDEX(m_label,_xlfn.MAXIFS(m_row,m_teacher,L$4,m_date,($G$2+1),m_active,1,m_start,"&lt;"&amp;900,m_end,"&gt;"&amp;840))))))</f>
        <v/>
      </c>
      <c r="M21" s="81" t="str">
        <f aca="false">IF(OR(M$4="",MONTH(($G$2+1))&lt;&gt;MONTH($C$2)),"",IF(COUNTIFS(m_teacher,M$4,m_date,($G$2+1),m_active,1,m_start,"&lt;"&amp;900,m_end,"&gt;"&amp;840)=0,"",IF(COUNTIFS(m_teacher,M$4,m_date,($G$2+1),m_active,1,m_start,"&lt;"&amp;900,m_end,"&gt;"&amp;840)&gt;1,"충돌",HYPERLINK("#'관리자_MASTER'!D"&amp;_xlfn.MAXIFS(m_row,m_teacher,M$4,m_date,($G$2+1),m_active,1,m_start,"&lt;"&amp;900,m_end,"&gt;"&amp;840),INDEX(m_label,_xlfn.MAXIFS(m_row,m_teacher,M$4,m_date,($G$2+1),m_active,1,m_start,"&lt;"&amp;900,m_end,"&gt;"&amp;840))))))</f>
        <v/>
      </c>
      <c r="N21" s="81" t="str">
        <f aca="false">IF(OR(N$4="",MONTH(($G$2+1))&lt;&gt;MONTH($C$2)),"",IF(COUNTIFS(m_teacher,N$4,m_date,($G$2+1),m_active,1,m_start,"&lt;"&amp;900,m_end,"&gt;"&amp;840)=0,"",IF(COUNTIFS(m_teacher,N$4,m_date,($G$2+1),m_active,1,m_start,"&lt;"&amp;900,m_end,"&gt;"&amp;840)&gt;1,"충돌",HYPERLINK("#'관리자_MASTER'!D"&amp;_xlfn.MAXIFS(m_row,m_teacher,N$4,m_date,($G$2+1),m_active,1,m_start,"&lt;"&amp;900,m_end,"&gt;"&amp;840),INDEX(m_label,_xlfn.MAXIFS(m_row,m_teacher,N$4,m_date,($G$2+1),m_active,1,m_start,"&lt;"&amp;900,m_end,"&gt;"&amp;840))))))</f>
        <v/>
      </c>
      <c r="O21" s="78"/>
      <c r="P21" s="79" t="s">
        <v>96</v>
      </c>
      <c r="Q21" s="88" t="str">
        <f aca="false">IF(OR(Q$4="",MONTH(($G$2+8))&lt;&gt;MONTH($C$2)),"",IF(COUNTIFS(m_teacher,Q$4,m_date,($G$2+8),m_active,1,m_start,"&lt;"&amp;900,m_end,"&gt;"&amp;840)=0,"",IF(COUNTIFS(m_teacher,Q$4,m_date,($G$2+8),m_active,1,m_start,"&lt;"&amp;900,m_end,"&gt;"&amp;840)&gt;1,"충돌",HYPERLINK("#'관리자_MASTER'!D"&amp;_xlfn.MAXIFS(m_row,m_teacher,Q$4,m_date,($G$2+8),m_active,1,m_start,"&lt;"&amp;900,m_end,"&gt;"&amp;840),INDEX(m_label,_xlfn.MAXIFS(m_row,m_teacher,Q$4,m_date,($G$2+8),m_active,1,m_start,"&lt;"&amp;900,m_end,"&gt;"&amp;840))))))</f>
        <v/>
      </c>
      <c r="R21" s="88" t="str">
        <f aca="false">IF(OR(R$4="",MONTH(($G$2+8))&lt;&gt;MONTH($C$2)),"",IF(COUNTIFS(m_teacher,R$4,m_date,($G$2+8),m_active,1,m_start,"&lt;"&amp;900,m_end,"&gt;"&amp;840)=0,"",IF(COUNTIFS(m_teacher,R$4,m_date,($G$2+8),m_active,1,m_start,"&lt;"&amp;900,m_end,"&gt;"&amp;840)&gt;1,"충돌",HYPERLINK("#'관리자_MASTER'!D"&amp;_xlfn.MAXIFS(m_row,m_teacher,R$4,m_date,($G$2+8),m_active,1,m_start,"&lt;"&amp;900,m_end,"&gt;"&amp;840),INDEX(m_label,_xlfn.MAXIFS(m_row,m_teacher,R$4,m_date,($G$2+8),m_active,1,m_start,"&lt;"&amp;900,m_end,"&gt;"&amp;840))))))</f>
        <v/>
      </c>
      <c r="S21" s="88" t="str">
        <f aca="false">IF(OR(S$4="",MONTH(($G$2+8))&lt;&gt;MONTH($C$2)),"",IF(COUNTIFS(m_teacher,S$4,m_date,($G$2+8),m_active,1,m_start,"&lt;"&amp;900,m_end,"&gt;"&amp;840)=0,"",IF(COUNTIFS(m_teacher,S$4,m_date,($G$2+8),m_active,1,m_start,"&lt;"&amp;900,m_end,"&gt;"&amp;840)&gt;1,"충돌",HYPERLINK("#'관리자_MASTER'!D"&amp;_xlfn.MAXIFS(m_row,m_teacher,S$4,m_date,($G$2+8),m_active,1,m_start,"&lt;"&amp;900,m_end,"&gt;"&amp;840),INDEX(m_label,_xlfn.MAXIFS(m_row,m_teacher,S$4,m_date,($G$2+8),m_active,1,m_start,"&lt;"&amp;900,m_end,"&gt;"&amp;840))))))</f>
        <v/>
      </c>
      <c r="T21" s="88" t="str">
        <f aca="false">IF(OR(T$4="",MONTH(($G$2+8))&lt;&gt;MONTH($C$2)),"",IF(COUNTIFS(m_teacher,T$4,m_date,($G$2+8),m_active,1,m_start,"&lt;"&amp;900,m_end,"&gt;"&amp;840)=0,"",IF(COUNTIFS(m_teacher,T$4,m_date,($G$2+8),m_active,1,m_start,"&lt;"&amp;900,m_end,"&gt;"&amp;840)&gt;1,"충돌",HYPERLINK("#'관리자_MASTER'!D"&amp;_xlfn.MAXIFS(m_row,m_teacher,T$4,m_date,($G$2+8),m_active,1,m_start,"&lt;"&amp;900,m_end,"&gt;"&amp;840),INDEX(m_label,_xlfn.MAXIFS(m_row,m_teacher,T$4,m_date,($G$2+8),m_active,1,m_start,"&lt;"&amp;900,m_end,"&gt;"&amp;840))))))</f>
        <v/>
      </c>
      <c r="U21" s="88" t="str">
        <f aca="false">IF(OR(U$4="",MONTH(($G$2+8))&lt;&gt;MONTH($C$2)),"",IF(COUNTIFS(m_teacher,U$4,m_date,($G$2+8),m_active,1,m_start,"&lt;"&amp;900,m_end,"&gt;"&amp;840)=0,"",IF(COUNTIFS(m_teacher,U$4,m_date,($G$2+8),m_active,1,m_start,"&lt;"&amp;900,m_end,"&gt;"&amp;840)&gt;1,"충돌",HYPERLINK("#'관리자_MASTER'!D"&amp;_xlfn.MAXIFS(m_row,m_teacher,U$4,m_date,($G$2+8),m_active,1,m_start,"&lt;"&amp;900,m_end,"&gt;"&amp;840),INDEX(m_label,_xlfn.MAXIFS(m_row,m_teacher,U$4,m_date,($G$2+8),m_active,1,m_start,"&lt;"&amp;900,m_end,"&gt;"&amp;840))))))</f>
        <v/>
      </c>
      <c r="V21" s="88" t="str">
        <f aca="false">IF(OR(V$4="",MONTH(($G$2+8))&lt;&gt;MONTH($C$2)),"",IF(COUNTIFS(m_teacher,V$4,m_date,($G$2+8),m_active,1,m_start,"&lt;"&amp;900,m_end,"&gt;"&amp;840)=0,"",IF(COUNTIFS(m_teacher,V$4,m_date,($G$2+8),m_active,1,m_start,"&lt;"&amp;900,m_end,"&gt;"&amp;840)&gt;1,"충돌",HYPERLINK("#'관리자_MASTER'!D"&amp;_xlfn.MAXIFS(m_row,m_teacher,V$4,m_date,($G$2+8),m_active,1,m_start,"&lt;"&amp;900,m_end,"&gt;"&amp;840),INDEX(m_label,_xlfn.MAXIFS(m_row,m_teacher,V$4,m_date,($G$2+8),m_active,1,m_start,"&lt;"&amp;900,m_end,"&gt;"&amp;840))))))</f>
        <v/>
      </c>
      <c r="W21" s="88" t="str">
        <f aca="false">IF(OR(W$4="",MONTH(($G$2+8))&lt;&gt;MONTH($C$2)),"",IF(COUNTIFS(m_teacher,W$4,m_date,($G$2+8),m_active,1,m_start,"&lt;"&amp;900,m_end,"&gt;"&amp;840)=0,"",IF(COUNTIFS(m_teacher,W$4,m_date,($G$2+8),m_active,1,m_start,"&lt;"&amp;900,m_end,"&gt;"&amp;840)&gt;1,"충돌",HYPERLINK("#'관리자_MASTER'!D"&amp;_xlfn.MAXIFS(m_row,m_teacher,W$4,m_date,($G$2+8),m_active,1,m_start,"&lt;"&amp;900,m_end,"&gt;"&amp;840),INDEX(m_label,_xlfn.MAXIFS(m_row,m_teacher,W$4,m_date,($G$2+8),m_active,1,m_start,"&lt;"&amp;900,m_end,"&gt;"&amp;840))))))</f>
        <v/>
      </c>
      <c r="X21" s="88" t="str">
        <f aca="false">IF(OR(X$4="",MONTH(($G$2+8))&lt;&gt;MONTH($C$2)),"",IF(COUNTIFS(m_teacher,X$4,m_date,($G$2+8),m_active,1,m_start,"&lt;"&amp;900,m_end,"&gt;"&amp;840)=0,"",IF(COUNTIFS(m_teacher,X$4,m_date,($G$2+8),m_active,1,m_start,"&lt;"&amp;900,m_end,"&gt;"&amp;840)&gt;1,"충돌",HYPERLINK("#'관리자_MASTER'!D"&amp;_xlfn.MAXIFS(m_row,m_teacher,X$4,m_date,($G$2+8),m_active,1,m_start,"&lt;"&amp;900,m_end,"&gt;"&amp;840),INDEX(m_label,_xlfn.MAXIFS(m_row,m_teacher,X$4,m_date,($G$2+8),m_active,1,m_start,"&lt;"&amp;900,m_end,"&gt;"&amp;840))))))</f>
        <v/>
      </c>
      <c r="Y21" s="88" t="str">
        <f aca="false">IF(OR(Y$4="",MONTH(($G$2+8))&lt;&gt;MONTH($C$2)),"",IF(COUNTIFS(m_teacher,Y$4,m_date,($G$2+8),m_active,1,m_start,"&lt;"&amp;900,m_end,"&gt;"&amp;840)=0,"",IF(COUNTIFS(m_teacher,Y$4,m_date,($G$2+8),m_active,1,m_start,"&lt;"&amp;900,m_end,"&gt;"&amp;840)&gt;1,"충돌",HYPERLINK("#'관리자_MASTER'!D"&amp;_xlfn.MAXIFS(m_row,m_teacher,Y$4,m_date,($G$2+8),m_active,1,m_start,"&lt;"&amp;900,m_end,"&gt;"&amp;840),INDEX(m_label,_xlfn.MAXIFS(m_row,m_teacher,Y$4,m_date,($G$2+8),m_active,1,m_start,"&lt;"&amp;900,m_end,"&gt;"&amp;840))))))</f>
        <v/>
      </c>
      <c r="Z21" s="88" t="str">
        <f aca="false">IF(OR(Z$4="",MONTH(($G$2+8))&lt;&gt;MONTH($C$2)),"",IF(COUNTIFS(m_teacher,Z$4,m_date,($G$2+8),m_active,1,m_start,"&lt;"&amp;900,m_end,"&gt;"&amp;840)=0,"",IF(COUNTIFS(m_teacher,Z$4,m_date,($G$2+8),m_active,1,m_start,"&lt;"&amp;900,m_end,"&gt;"&amp;840)&gt;1,"충돌",HYPERLINK("#'관리자_MASTER'!D"&amp;_xlfn.MAXIFS(m_row,m_teacher,Z$4,m_date,($G$2+8),m_active,1,m_start,"&lt;"&amp;900,m_end,"&gt;"&amp;840),INDEX(m_label,_xlfn.MAXIFS(m_row,m_teacher,Z$4,m_date,($G$2+8),m_active,1,m_start,"&lt;"&amp;900,m_end,"&gt;"&amp;840))))))</f>
        <v/>
      </c>
      <c r="AA21" s="88" t="str">
        <f aca="false">IF(OR(AA$4="",MONTH(($G$2+8))&lt;&gt;MONTH($C$2)),"",IF(COUNTIFS(m_teacher,AA$4,m_date,($G$2+8),m_active,1,m_start,"&lt;"&amp;900,m_end,"&gt;"&amp;840)=0,"",IF(COUNTIFS(m_teacher,AA$4,m_date,($G$2+8),m_active,1,m_start,"&lt;"&amp;900,m_end,"&gt;"&amp;840)&gt;1,"충돌",HYPERLINK("#'관리자_MASTER'!D"&amp;_xlfn.MAXIFS(m_row,m_teacher,AA$4,m_date,($G$2+8),m_active,1,m_start,"&lt;"&amp;900,m_end,"&gt;"&amp;840),INDEX(m_label,_xlfn.MAXIFS(m_row,m_teacher,AA$4,m_date,($G$2+8),m_active,1,m_start,"&lt;"&amp;900,m_end,"&gt;"&amp;840))))))</f>
        <v/>
      </c>
      <c r="AB21" s="88" t="str">
        <f aca="false">IF(OR(AB$4="",MONTH(($G$2+8))&lt;&gt;MONTH($C$2)),"",IF(COUNTIFS(m_teacher,AB$4,m_date,($G$2+8),m_active,1,m_start,"&lt;"&amp;900,m_end,"&gt;"&amp;840)=0,"",IF(COUNTIFS(m_teacher,AB$4,m_date,($G$2+8),m_active,1,m_start,"&lt;"&amp;900,m_end,"&gt;"&amp;840)&gt;1,"충돌",HYPERLINK("#'관리자_MASTER'!D"&amp;_xlfn.MAXIFS(m_row,m_teacher,AB$4,m_date,($G$2+8),m_active,1,m_start,"&lt;"&amp;900,m_end,"&gt;"&amp;840),INDEX(m_label,_xlfn.MAXIFS(m_row,m_teacher,AB$4,m_date,($G$2+8),m_active,1,m_start,"&lt;"&amp;900,m_end,"&gt;"&amp;840))))))</f>
        <v/>
      </c>
      <c r="AC21" s="78"/>
      <c r="AD21" s="79" t="s">
        <v>96</v>
      </c>
      <c r="AE21" s="88" t="str">
        <f aca="false">IF(OR(AE$4="",MONTH(($G$2+15))&lt;&gt;MONTH($C$2)),"",IF(COUNTIFS(m_teacher,AE$4,m_date,($G$2+15),m_active,1,m_start,"&lt;"&amp;900,m_end,"&gt;"&amp;840)=0,"",IF(COUNTIFS(m_teacher,AE$4,m_date,($G$2+15),m_active,1,m_start,"&lt;"&amp;900,m_end,"&gt;"&amp;840)&gt;1,"충돌",HYPERLINK("#'관리자_MASTER'!D"&amp;_xlfn.MAXIFS(m_row,m_teacher,AE$4,m_date,($G$2+15),m_active,1,m_start,"&lt;"&amp;900,m_end,"&gt;"&amp;840),INDEX(m_label,_xlfn.MAXIFS(m_row,m_teacher,AE$4,m_date,($G$2+15),m_active,1,m_start,"&lt;"&amp;900,m_end,"&gt;"&amp;840))))))</f>
        <v/>
      </c>
      <c r="AF21" s="88" t="str">
        <f aca="false">IF(OR(AF$4="",MONTH(($G$2+15))&lt;&gt;MONTH($C$2)),"",IF(COUNTIFS(m_teacher,AF$4,m_date,($G$2+15),m_active,1,m_start,"&lt;"&amp;900,m_end,"&gt;"&amp;840)=0,"",IF(COUNTIFS(m_teacher,AF$4,m_date,($G$2+15),m_active,1,m_start,"&lt;"&amp;900,m_end,"&gt;"&amp;840)&gt;1,"충돌",HYPERLINK("#'관리자_MASTER'!D"&amp;_xlfn.MAXIFS(m_row,m_teacher,AF$4,m_date,($G$2+15),m_active,1,m_start,"&lt;"&amp;900,m_end,"&gt;"&amp;840),INDEX(m_label,_xlfn.MAXIFS(m_row,m_teacher,AF$4,m_date,($G$2+15),m_active,1,m_start,"&lt;"&amp;900,m_end,"&gt;"&amp;840))))))</f>
        <v/>
      </c>
      <c r="AG21" s="88" t="str">
        <f aca="false">IF(OR(AG$4="",MONTH(($G$2+15))&lt;&gt;MONTH($C$2)),"",IF(COUNTIFS(m_teacher,AG$4,m_date,($G$2+15),m_active,1,m_start,"&lt;"&amp;900,m_end,"&gt;"&amp;840)=0,"",IF(COUNTIFS(m_teacher,AG$4,m_date,($G$2+15),m_active,1,m_start,"&lt;"&amp;900,m_end,"&gt;"&amp;840)&gt;1,"충돌",HYPERLINK("#'관리자_MASTER'!D"&amp;_xlfn.MAXIFS(m_row,m_teacher,AG$4,m_date,($G$2+15),m_active,1,m_start,"&lt;"&amp;900,m_end,"&gt;"&amp;840),INDEX(m_label,_xlfn.MAXIFS(m_row,m_teacher,AG$4,m_date,($G$2+15),m_active,1,m_start,"&lt;"&amp;900,m_end,"&gt;"&amp;840))))))</f>
        <v/>
      </c>
      <c r="AH21" s="88" t="str">
        <f aca="false">IF(OR(AH$4="",MONTH(($G$2+15))&lt;&gt;MONTH($C$2)),"",IF(COUNTIFS(m_teacher,AH$4,m_date,($G$2+15),m_active,1,m_start,"&lt;"&amp;900,m_end,"&gt;"&amp;840)=0,"",IF(COUNTIFS(m_teacher,AH$4,m_date,($G$2+15),m_active,1,m_start,"&lt;"&amp;900,m_end,"&gt;"&amp;840)&gt;1,"충돌",HYPERLINK("#'관리자_MASTER'!D"&amp;_xlfn.MAXIFS(m_row,m_teacher,AH$4,m_date,($G$2+15),m_active,1,m_start,"&lt;"&amp;900,m_end,"&gt;"&amp;840),INDEX(m_label,_xlfn.MAXIFS(m_row,m_teacher,AH$4,m_date,($G$2+15),m_active,1,m_start,"&lt;"&amp;900,m_end,"&gt;"&amp;840))))))</f>
        <v/>
      </c>
      <c r="AI21" s="88" t="str">
        <f aca="false">IF(OR(AI$4="",MONTH(($G$2+15))&lt;&gt;MONTH($C$2)),"",IF(COUNTIFS(m_teacher,AI$4,m_date,($G$2+15),m_active,1,m_start,"&lt;"&amp;900,m_end,"&gt;"&amp;840)=0,"",IF(COUNTIFS(m_teacher,AI$4,m_date,($G$2+15),m_active,1,m_start,"&lt;"&amp;900,m_end,"&gt;"&amp;840)&gt;1,"충돌",HYPERLINK("#'관리자_MASTER'!D"&amp;_xlfn.MAXIFS(m_row,m_teacher,AI$4,m_date,($G$2+15),m_active,1,m_start,"&lt;"&amp;900,m_end,"&gt;"&amp;840),INDEX(m_label,_xlfn.MAXIFS(m_row,m_teacher,AI$4,m_date,($G$2+15),m_active,1,m_start,"&lt;"&amp;900,m_end,"&gt;"&amp;840))))))</f>
        <v/>
      </c>
      <c r="AJ21" s="88" t="str">
        <f aca="false">IF(OR(AJ$4="",MONTH(($G$2+15))&lt;&gt;MONTH($C$2)),"",IF(COUNTIFS(m_teacher,AJ$4,m_date,($G$2+15),m_active,1,m_start,"&lt;"&amp;900,m_end,"&gt;"&amp;840)=0,"",IF(COUNTIFS(m_teacher,AJ$4,m_date,($G$2+15),m_active,1,m_start,"&lt;"&amp;900,m_end,"&gt;"&amp;840)&gt;1,"충돌",HYPERLINK("#'관리자_MASTER'!D"&amp;_xlfn.MAXIFS(m_row,m_teacher,AJ$4,m_date,($G$2+15),m_active,1,m_start,"&lt;"&amp;900,m_end,"&gt;"&amp;840),INDEX(m_label,_xlfn.MAXIFS(m_row,m_teacher,AJ$4,m_date,($G$2+15),m_active,1,m_start,"&lt;"&amp;900,m_end,"&gt;"&amp;840))))))</f>
        <v/>
      </c>
      <c r="AK21" s="88" t="str">
        <f aca="false">IF(OR(AK$4="",MONTH(($G$2+15))&lt;&gt;MONTH($C$2)),"",IF(COUNTIFS(m_teacher,AK$4,m_date,($G$2+15),m_active,1,m_start,"&lt;"&amp;900,m_end,"&gt;"&amp;840)=0,"",IF(COUNTIFS(m_teacher,AK$4,m_date,($G$2+15),m_active,1,m_start,"&lt;"&amp;900,m_end,"&gt;"&amp;840)&gt;1,"충돌",HYPERLINK("#'관리자_MASTER'!D"&amp;_xlfn.MAXIFS(m_row,m_teacher,AK$4,m_date,($G$2+15),m_active,1,m_start,"&lt;"&amp;900,m_end,"&gt;"&amp;840),INDEX(m_label,_xlfn.MAXIFS(m_row,m_teacher,AK$4,m_date,($G$2+15),m_active,1,m_start,"&lt;"&amp;900,m_end,"&gt;"&amp;840))))))</f>
        <v/>
      </c>
      <c r="AL21" s="88" t="str">
        <f aca="false">IF(OR(AL$4="",MONTH(($G$2+15))&lt;&gt;MONTH($C$2)),"",IF(COUNTIFS(m_teacher,AL$4,m_date,($G$2+15),m_active,1,m_start,"&lt;"&amp;900,m_end,"&gt;"&amp;840)=0,"",IF(COUNTIFS(m_teacher,AL$4,m_date,($G$2+15),m_active,1,m_start,"&lt;"&amp;900,m_end,"&gt;"&amp;840)&gt;1,"충돌",HYPERLINK("#'관리자_MASTER'!D"&amp;_xlfn.MAXIFS(m_row,m_teacher,AL$4,m_date,($G$2+15),m_active,1,m_start,"&lt;"&amp;900,m_end,"&gt;"&amp;840),INDEX(m_label,_xlfn.MAXIFS(m_row,m_teacher,AL$4,m_date,($G$2+15),m_active,1,m_start,"&lt;"&amp;900,m_end,"&gt;"&amp;840))))))</f>
        <v/>
      </c>
      <c r="AM21" s="88" t="str">
        <f aca="false">IF(OR(AM$4="",MONTH(($G$2+15))&lt;&gt;MONTH($C$2)),"",IF(COUNTIFS(m_teacher,AM$4,m_date,($G$2+15),m_active,1,m_start,"&lt;"&amp;900,m_end,"&gt;"&amp;840)=0,"",IF(COUNTIFS(m_teacher,AM$4,m_date,($G$2+15),m_active,1,m_start,"&lt;"&amp;900,m_end,"&gt;"&amp;840)&gt;1,"충돌",HYPERLINK("#'관리자_MASTER'!D"&amp;_xlfn.MAXIFS(m_row,m_teacher,AM$4,m_date,($G$2+15),m_active,1,m_start,"&lt;"&amp;900,m_end,"&gt;"&amp;840),INDEX(m_label,_xlfn.MAXIFS(m_row,m_teacher,AM$4,m_date,($G$2+15),m_active,1,m_start,"&lt;"&amp;900,m_end,"&gt;"&amp;840))))))</f>
        <v/>
      </c>
      <c r="AN21" s="88" t="str">
        <f aca="false">IF(OR(AN$4="",MONTH(($G$2+15))&lt;&gt;MONTH($C$2)),"",IF(COUNTIFS(m_teacher,AN$4,m_date,($G$2+15),m_active,1,m_start,"&lt;"&amp;900,m_end,"&gt;"&amp;840)=0,"",IF(COUNTIFS(m_teacher,AN$4,m_date,($G$2+15),m_active,1,m_start,"&lt;"&amp;900,m_end,"&gt;"&amp;840)&gt;1,"충돌",HYPERLINK("#'관리자_MASTER'!D"&amp;_xlfn.MAXIFS(m_row,m_teacher,AN$4,m_date,($G$2+15),m_active,1,m_start,"&lt;"&amp;900,m_end,"&gt;"&amp;840),INDEX(m_label,_xlfn.MAXIFS(m_row,m_teacher,AN$4,m_date,($G$2+15),m_active,1,m_start,"&lt;"&amp;900,m_end,"&gt;"&amp;840))))))</f>
        <v/>
      </c>
      <c r="AO21" s="88" t="str">
        <f aca="false">IF(OR(AO$4="",MONTH(($G$2+15))&lt;&gt;MONTH($C$2)),"",IF(COUNTIFS(m_teacher,AO$4,m_date,($G$2+15),m_active,1,m_start,"&lt;"&amp;900,m_end,"&gt;"&amp;840)=0,"",IF(COUNTIFS(m_teacher,AO$4,m_date,($G$2+15),m_active,1,m_start,"&lt;"&amp;900,m_end,"&gt;"&amp;840)&gt;1,"충돌",HYPERLINK("#'관리자_MASTER'!D"&amp;_xlfn.MAXIFS(m_row,m_teacher,AO$4,m_date,($G$2+15),m_active,1,m_start,"&lt;"&amp;900,m_end,"&gt;"&amp;840),INDEX(m_label,_xlfn.MAXIFS(m_row,m_teacher,AO$4,m_date,($G$2+15),m_active,1,m_start,"&lt;"&amp;900,m_end,"&gt;"&amp;840))))))</f>
        <v/>
      </c>
      <c r="AP21" s="88" t="str">
        <f aca="false">IF(OR(AP$4="",MONTH(($G$2+15))&lt;&gt;MONTH($C$2)),"",IF(COUNTIFS(m_teacher,AP$4,m_date,($G$2+15),m_active,1,m_start,"&lt;"&amp;900,m_end,"&gt;"&amp;840)=0,"",IF(COUNTIFS(m_teacher,AP$4,m_date,($G$2+15),m_active,1,m_start,"&lt;"&amp;900,m_end,"&gt;"&amp;840)&gt;1,"충돌",HYPERLINK("#'관리자_MASTER'!D"&amp;_xlfn.MAXIFS(m_row,m_teacher,AP$4,m_date,($G$2+15),m_active,1,m_start,"&lt;"&amp;900,m_end,"&gt;"&amp;840),INDEX(m_label,_xlfn.MAXIFS(m_row,m_teacher,AP$4,m_date,($G$2+15),m_active,1,m_start,"&lt;"&amp;900,m_end,"&gt;"&amp;840))))))</f>
        <v/>
      </c>
      <c r="AQ21" s="78"/>
      <c r="AR21" s="79" t="s">
        <v>96</v>
      </c>
      <c r="AS21" s="88" t="str">
        <f aca="false">IF(OR(AS$4="",MONTH(($G$2+22))&lt;&gt;MONTH($C$2)),"",IF(COUNTIFS(m_teacher,AS$4,m_date,($G$2+22),m_active,1,m_start,"&lt;"&amp;900,m_end,"&gt;"&amp;840)=0,"",IF(COUNTIFS(m_teacher,AS$4,m_date,($G$2+22),m_active,1,m_start,"&lt;"&amp;900,m_end,"&gt;"&amp;840)&gt;1,"충돌",HYPERLINK("#'관리자_MASTER'!D"&amp;_xlfn.MAXIFS(m_row,m_teacher,AS$4,m_date,($G$2+22),m_active,1,m_start,"&lt;"&amp;900,m_end,"&gt;"&amp;840),INDEX(m_label,_xlfn.MAXIFS(m_row,m_teacher,AS$4,m_date,($G$2+22),m_active,1,m_start,"&lt;"&amp;900,m_end,"&gt;"&amp;840))))))</f>
        <v/>
      </c>
      <c r="AT21" s="88" t="str">
        <f aca="false">IF(OR(AT$4="",MONTH(($G$2+22))&lt;&gt;MONTH($C$2)),"",IF(COUNTIFS(m_teacher,AT$4,m_date,($G$2+22),m_active,1,m_start,"&lt;"&amp;900,m_end,"&gt;"&amp;840)=0,"",IF(COUNTIFS(m_teacher,AT$4,m_date,($G$2+22),m_active,1,m_start,"&lt;"&amp;900,m_end,"&gt;"&amp;840)&gt;1,"충돌",HYPERLINK("#'관리자_MASTER'!D"&amp;_xlfn.MAXIFS(m_row,m_teacher,AT$4,m_date,($G$2+22),m_active,1,m_start,"&lt;"&amp;900,m_end,"&gt;"&amp;840),INDEX(m_label,_xlfn.MAXIFS(m_row,m_teacher,AT$4,m_date,($G$2+22),m_active,1,m_start,"&lt;"&amp;900,m_end,"&gt;"&amp;840))))))</f>
        <v/>
      </c>
      <c r="AU21" s="88" t="str">
        <f aca="false">IF(OR(AU$4="",MONTH(($G$2+22))&lt;&gt;MONTH($C$2)),"",IF(COUNTIFS(m_teacher,AU$4,m_date,($G$2+22),m_active,1,m_start,"&lt;"&amp;900,m_end,"&gt;"&amp;840)=0,"",IF(COUNTIFS(m_teacher,AU$4,m_date,($G$2+22),m_active,1,m_start,"&lt;"&amp;900,m_end,"&gt;"&amp;840)&gt;1,"충돌",HYPERLINK("#'관리자_MASTER'!D"&amp;_xlfn.MAXIFS(m_row,m_teacher,AU$4,m_date,($G$2+22),m_active,1,m_start,"&lt;"&amp;900,m_end,"&gt;"&amp;840),INDEX(m_label,_xlfn.MAXIFS(m_row,m_teacher,AU$4,m_date,($G$2+22),m_active,1,m_start,"&lt;"&amp;900,m_end,"&gt;"&amp;840))))))</f>
        <v/>
      </c>
      <c r="AV21" s="88" t="str">
        <f aca="false">IF(OR(AV$4="",MONTH(($G$2+22))&lt;&gt;MONTH($C$2)),"",IF(COUNTIFS(m_teacher,AV$4,m_date,($G$2+22),m_active,1,m_start,"&lt;"&amp;900,m_end,"&gt;"&amp;840)=0,"",IF(COUNTIFS(m_teacher,AV$4,m_date,($G$2+22),m_active,1,m_start,"&lt;"&amp;900,m_end,"&gt;"&amp;840)&gt;1,"충돌",HYPERLINK("#'관리자_MASTER'!D"&amp;_xlfn.MAXIFS(m_row,m_teacher,AV$4,m_date,($G$2+22),m_active,1,m_start,"&lt;"&amp;900,m_end,"&gt;"&amp;840),INDEX(m_label,_xlfn.MAXIFS(m_row,m_teacher,AV$4,m_date,($G$2+22),m_active,1,m_start,"&lt;"&amp;900,m_end,"&gt;"&amp;840))))))</f>
        <v/>
      </c>
      <c r="AW21" s="88" t="str">
        <f aca="false">IF(OR(AW$4="",MONTH(($G$2+22))&lt;&gt;MONTH($C$2)),"",IF(COUNTIFS(m_teacher,AW$4,m_date,($G$2+22),m_active,1,m_start,"&lt;"&amp;900,m_end,"&gt;"&amp;840)=0,"",IF(COUNTIFS(m_teacher,AW$4,m_date,($G$2+22),m_active,1,m_start,"&lt;"&amp;900,m_end,"&gt;"&amp;840)&gt;1,"충돌",HYPERLINK("#'관리자_MASTER'!D"&amp;_xlfn.MAXIFS(m_row,m_teacher,AW$4,m_date,($G$2+22),m_active,1,m_start,"&lt;"&amp;900,m_end,"&gt;"&amp;840),INDEX(m_label,_xlfn.MAXIFS(m_row,m_teacher,AW$4,m_date,($G$2+22),m_active,1,m_start,"&lt;"&amp;900,m_end,"&gt;"&amp;840))))))</f>
        <v/>
      </c>
      <c r="AX21" s="88" t="str">
        <f aca="false">IF(OR(AX$4="",MONTH(($G$2+22))&lt;&gt;MONTH($C$2)),"",IF(COUNTIFS(m_teacher,AX$4,m_date,($G$2+22),m_active,1,m_start,"&lt;"&amp;900,m_end,"&gt;"&amp;840)=0,"",IF(COUNTIFS(m_teacher,AX$4,m_date,($G$2+22),m_active,1,m_start,"&lt;"&amp;900,m_end,"&gt;"&amp;840)&gt;1,"충돌",HYPERLINK("#'관리자_MASTER'!D"&amp;_xlfn.MAXIFS(m_row,m_teacher,AX$4,m_date,($G$2+22),m_active,1,m_start,"&lt;"&amp;900,m_end,"&gt;"&amp;840),INDEX(m_label,_xlfn.MAXIFS(m_row,m_teacher,AX$4,m_date,($G$2+22),m_active,1,m_start,"&lt;"&amp;900,m_end,"&gt;"&amp;840))))))</f>
        <v/>
      </c>
      <c r="AY21" s="88" t="str">
        <f aca="false">IF(OR(AY$4="",MONTH(($G$2+22))&lt;&gt;MONTH($C$2)),"",IF(COUNTIFS(m_teacher,AY$4,m_date,($G$2+22),m_active,1,m_start,"&lt;"&amp;900,m_end,"&gt;"&amp;840)=0,"",IF(COUNTIFS(m_teacher,AY$4,m_date,($G$2+22),m_active,1,m_start,"&lt;"&amp;900,m_end,"&gt;"&amp;840)&gt;1,"충돌",HYPERLINK("#'관리자_MASTER'!D"&amp;_xlfn.MAXIFS(m_row,m_teacher,AY$4,m_date,($G$2+22),m_active,1,m_start,"&lt;"&amp;900,m_end,"&gt;"&amp;840),INDEX(m_label,_xlfn.MAXIFS(m_row,m_teacher,AY$4,m_date,($G$2+22),m_active,1,m_start,"&lt;"&amp;900,m_end,"&gt;"&amp;840))))))</f>
        <v/>
      </c>
      <c r="AZ21" s="88" t="str">
        <f aca="false">IF(OR(AZ$4="",MONTH(($G$2+22))&lt;&gt;MONTH($C$2)),"",IF(COUNTIFS(m_teacher,AZ$4,m_date,($G$2+22),m_active,1,m_start,"&lt;"&amp;900,m_end,"&gt;"&amp;840)=0,"",IF(COUNTIFS(m_teacher,AZ$4,m_date,($G$2+22),m_active,1,m_start,"&lt;"&amp;900,m_end,"&gt;"&amp;840)&gt;1,"충돌",HYPERLINK("#'관리자_MASTER'!D"&amp;_xlfn.MAXIFS(m_row,m_teacher,AZ$4,m_date,($G$2+22),m_active,1,m_start,"&lt;"&amp;900,m_end,"&gt;"&amp;840),INDEX(m_label,_xlfn.MAXIFS(m_row,m_teacher,AZ$4,m_date,($G$2+22),m_active,1,m_start,"&lt;"&amp;900,m_end,"&gt;"&amp;840))))))</f>
        <v/>
      </c>
      <c r="BA21" s="88" t="str">
        <f aca="false">IF(OR(BA$4="",MONTH(($G$2+22))&lt;&gt;MONTH($C$2)),"",IF(COUNTIFS(m_teacher,BA$4,m_date,($G$2+22),m_active,1,m_start,"&lt;"&amp;900,m_end,"&gt;"&amp;840)=0,"",IF(COUNTIFS(m_teacher,BA$4,m_date,($G$2+22),m_active,1,m_start,"&lt;"&amp;900,m_end,"&gt;"&amp;840)&gt;1,"충돌",HYPERLINK("#'관리자_MASTER'!D"&amp;_xlfn.MAXIFS(m_row,m_teacher,BA$4,m_date,($G$2+22),m_active,1,m_start,"&lt;"&amp;900,m_end,"&gt;"&amp;840),INDEX(m_label,_xlfn.MAXIFS(m_row,m_teacher,BA$4,m_date,($G$2+22),m_active,1,m_start,"&lt;"&amp;900,m_end,"&gt;"&amp;840))))))</f>
        <v/>
      </c>
      <c r="BB21" s="88" t="str">
        <f aca="false">IF(OR(BB$4="",MONTH(($G$2+22))&lt;&gt;MONTH($C$2)),"",IF(COUNTIFS(m_teacher,BB$4,m_date,($G$2+22),m_active,1,m_start,"&lt;"&amp;900,m_end,"&gt;"&amp;840)=0,"",IF(COUNTIFS(m_teacher,BB$4,m_date,($G$2+22),m_active,1,m_start,"&lt;"&amp;900,m_end,"&gt;"&amp;840)&gt;1,"충돌",HYPERLINK("#'관리자_MASTER'!D"&amp;_xlfn.MAXIFS(m_row,m_teacher,BB$4,m_date,($G$2+22),m_active,1,m_start,"&lt;"&amp;900,m_end,"&gt;"&amp;840),INDEX(m_label,_xlfn.MAXIFS(m_row,m_teacher,BB$4,m_date,($G$2+22),m_active,1,m_start,"&lt;"&amp;900,m_end,"&gt;"&amp;840))))))</f>
        <v/>
      </c>
      <c r="BC21" s="88" t="str">
        <f aca="false">IF(OR(BC$4="",MONTH(($G$2+22))&lt;&gt;MONTH($C$2)),"",IF(COUNTIFS(m_teacher,BC$4,m_date,($G$2+22),m_active,1,m_start,"&lt;"&amp;900,m_end,"&gt;"&amp;840)=0,"",IF(COUNTIFS(m_teacher,BC$4,m_date,($G$2+22),m_active,1,m_start,"&lt;"&amp;900,m_end,"&gt;"&amp;840)&gt;1,"충돌",HYPERLINK("#'관리자_MASTER'!D"&amp;_xlfn.MAXIFS(m_row,m_teacher,BC$4,m_date,($G$2+22),m_active,1,m_start,"&lt;"&amp;900,m_end,"&gt;"&amp;840),INDEX(m_label,_xlfn.MAXIFS(m_row,m_teacher,BC$4,m_date,($G$2+22),m_active,1,m_start,"&lt;"&amp;900,m_end,"&gt;"&amp;840))))))</f>
        <v/>
      </c>
      <c r="BD21" s="88" t="str">
        <f aca="false">IF(OR(BD$4="",MONTH(($G$2+22))&lt;&gt;MONTH($C$2)),"",IF(COUNTIFS(m_teacher,BD$4,m_date,($G$2+22),m_active,1,m_start,"&lt;"&amp;900,m_end,"&gt;"&amp;840)=0,"",IF(COUNTIFS(m_teacher,BD$4,m_date,($G$2+22),m_active,1,m_start,"&lt;"&amp;900,m_end,"&gt;"&amp;840)&gt;1,"충돌",HYPERLINK("#'관리자_MASTER'!D"&amp;_xlfn.MAXIFS(m_row,m_teacher,BD$4,m_date,($G$2+22),m_active,1,m_start,"&lt;"&amp;900,m_end,"&gt;"&amp;840),INDEX(m_label,_xlfn.MAXIFS(m_row,m_teacher,BD$4,m_date,($G$2+22),m_active,1,m_start,"&lt;"&amp;900,m_end,"&gt;"&amp;840))))))</f>
        <v/>
      </c>
      <c r="BE21" s="78"/>
      <c r="BF21" s="79" t="s">
        <v>96</v>
      </c>
      <c r="BG21" s="88" t="str">
        <f aca="false">IF(OR(BG$4="",MONTH(($G$2+29))&lt;&gt;MONTH($C$2)),"",IF(COUNTIFS(m_teacher,BG$4,m_date,($G$2+29),m_active,1,m_start,"&lt;"&amp;900,m_end,"&gt;"&amp;840)=0,"",IF(COUNTIFS(m_teacher,BG$4,m_date,($G$2+29),m_active,1,m_start,"&lt;"&amp;900,m_end,"&gt;"&amp;840)&gt;1,"충돌",HYPERLINK("#'관리자_MASTER'!D"&amp;_xlfn.MAXIFS(m_row,m_teacher,BG$4,m_date,($G$2+29),m_active,1,m_start,"&lt;"&amp;900,m_end,"&gt;"&amp;840),INDEX(m_label,_xlfn.MAXIFS(m_row,m_teacher,BG$4,m_date,($G$2+29),m_active,1,m_start,"&lt;"&amp;900,m_end,"&gt;"&amp;840))))))</f>
        <v/>
      </c>
      <c r="BH21" s="88" t="str">
        <f aca="false">IF(OR(BH$4="",MONTH(($G$2+29))&lt;&gt;MONTH($C$2)),"",IF(COUNTIFS(m_teacher,BH$4,m_date,($G$2+29),m_active,1,m_start,"&lt;"&amp;900,m_end,"&gt;"&amp;840)=0,"",IF(COUNTIFS(m_teacher,BH$4,m_date,($G$2+29),m_active,1,m_start,"&lt;"&amp;900,m_end,"&gt;"&amp;840)&gt;1,"충돌",HYPERLINK("#'관리자_MASTER'!D"&amp;_xlfn.MAXIFS(m_row,m_teacher,BH$4,m_date,($G$2+29),m_active,1,m_start,"&lt;"&amp;900,m_end,"&gt;"&amp;840),INDEX(m_label,_xlfn.MAXIFS(m_row,m_teacher,BH$4,m_date,($G$2+29),m_active,1,m_start,"&lt;"&amp;900,m_end,"&gt;"&amp;840))))))</f>
        <v/>
      </c>
      <c r="BI21" s="88" t="str">
        <f aca="false">IF(OR(BI$4="",MONTH(($G$2+29))&lt;&gt;MONTH($C$2)),"",IF(COUNTIFS(m_teacher,BI$4,m_date,($G$2+29),m_active,1,m_start,"&lt;"&amp;900,m_end,"&gt;"&amp;840)=0,"",IF(COUNTIFS(m_teacher,BI$4,m_date,($G$2+29),m_active,1,m_start,"&lt;"&amp;900,m_end,"&gt;"&amp;840)&gt;1,"충돌",HYPERLINK("#'관리자_MASTER'!D"&amp;_xlfn.MAXIFS(m_row,m_teacher,BI$4,m_date,($G$2+29),m_active,1,m_start,"&lt;"&amp;900,m_end,"&gt;"&amp;840),INDEX(m_label,_xlfn.MAXIFS(m_row,m_teacher,BI$4,m_date,($G$2+29),m_active,1,m_start,"&lt;"&amp;900,m_end,"&gt;"&amp;840))))))</f>
        <v/>
      </c>
      <c r="BJ21" s="88" t="str">
        <f aca="false">IF(OR(BJ$4="",MONTH(($G$2+29))&lt;&gt;MONTH($C$2)),"",IF(COUNTIFS(m_teacher,BJ$4,m_date,($G$2+29),m_active,1,m_start,"&lt;"&amp;900,m_end,"&gt;"&amp;840)=0,"",IF(COUNTIFS(m_teacher,BJ$4,m_date,($G$2+29),m_active,1,m_start,"&lt;"&amp;900,m_end,"&gt;"&amp;840)&gt;1,"충돌",HYPERLINK("#'관리자_MASTER'!D"&amp;_xlfn.MAXIFS(m_row,m_teacher,BJ$4,m_date,($G$2+29),m_active,1,m_start,"&lt;"&amp;900,m_end,"&gt;"&amp;840),INDEX(m_label,_xlfn.MAXIFS(m_row,m_teacher,BJ$4,m_date,($G$2+29),m_active,1,m_start,"&lt;"&amp;900,m_end,"&gt;"&amp;840))))))</f>
        <v/>
      </c>
      <c r="BK21" s="88" t="str">
        <f aca="false">IF(OR(BK$4="",MONTH(($G$2+29))&lt;&gt;MONTH($C$2)),"",IF(COUNTIFS(m_teacher,BK$4,m_date,($G$2+29),m_active,1,m_start,"&lt;"&amp;900,m_end,"&gt;"&amp;840)=0,"",IF(COUNTIFS(m_teacher,BK$4,m_date,($G$2+29),m_active,1,m_start,"&lt;"&amp;900,m_end,"&gt;"&amp;840)&gt;1,"충돌",HYPERLINK("#'관리자_MASTER'!D"&amp;_xlfn.MAXIFS(m_row,m_teacher,BK$4,m_date,($G$2+29),m_active,1,m_start,"&lt;"&amp;900,m_end,"&gt;"&amp;840),INDEX(m_label,_xlfn.MAXIFS(m_row,m_teacher,BK$4,m_date,($G$2+29),m_active,1,m_start,"&lt;"&amp;900,m_end,"&gt;"&amp;840))))))</f>
        <v/>
      </c>
      <c r="BL21" s="88" t="str">
        <f aca="false">IF(OR(BL$4="",MONTH(($G$2+29))&lt;&gt;MONTH($C$2)),"",IF(COUNTIFS(m_teacher,BL$4,m_date,($G$2+29),m_active,1,m_start,"&lt;"&amp;900,m_end,"&gt;"&amp;840)=0,"",IF(COUNTIFS(m_teacher,BL$4,m_date,($G$2+29),m_active,1,m_start,"&lt;"&amp;900,m_end,"&gt;"&amp;840)&gt;1,"충돌",HYPERLINK("#'관리자_MASTER'!D"&amp;_xlfn.MAXIFS(m_row,m_teacher,BL$4,m_date,($G$2+29),m_active,1,m_start,"&lt;"&amp;900,m_end,"&gt;"&amp;840),INDEX(m_label,_xlfn.MAXIFS(m_row,m_teacher,BL$4,m_date,($G$2+29),m_active,1,m_start,"&lt;"&amp;900,m_end,"&gt;"&amp;840))))))</f>
        <v/>
      </c>
      <c r="BM21" s="88" t="str">
        <f aca="false">IF(OR(BM$4="",MONTH(($G$2+29))&lt;&gt;MONTH($C$2)),"",IF(COUNTIFS(m_teacher,BM$4,m_date,($G$2+29),m_active,1,m_start,"&lt;"&amp;900,m_end,"&gt;"&amp;840)=0,"",IF(COUNTIFS(m_teacher,BM$4,m_date,($G$2+29),m_active,1,m_start,"&lt;"&amp;900,m_end,"&gt;"&amp;840)&gt;1,"충돌",HYPERLINK("#'관리자_MASTER'!D"&amp;_xlfn.MAXIFS(m_row,m_teacher,BM$4,m_date,($G$2+29),m_active,1,m_start,"&lt;"&amp;900,m_end,"&gt;"&amp;840),INDEX(m_label,_xlfn.MAXIFS(m_row,m_teacher,BM$4,m_date,($G$2+29),m_active,1,m_start,"&lt;"&amp;900,m_end,"&gt;"&amp;840))))))</f>
        <v/>
      </c>
      <c r="BN21" s="88" t="str">
        <f aca="false">IF(OR(BN$4="",MONTH(($G$2+29))&lt;&gt;MONTH($C$2)),"",IF(COUNTIFS(m_teacher,BN$4,m_date,($G$2+29),m_active,1,m_start,"&lt;"&amp;900,m_end,"&gt;"&amp;840)=0,"",IF(COUNTIFS(m_teacher,BN$4,m_date,($G$2+29),m_active,1,m_start,"&lt;"&amp;900,m_end,"&gt;"&amp;840)&gt;1,"충돌",HYPERLINK("#'관리자_MASTER'!D"&amp;_xlfn.MAXIFS(m_row,m_teacher,BN$4,m_date,($G$2+29),m_active,1,m_start,"&lt;"&amp;900,m_end,"&gt;"&amp;840),INDEX(m_label,_xlfn.MAXIFS(m_row,m_teacher,BN$4,m_date,($G$2+29),m_active,1,m_start,"&lt;"&amp;900,m_end,"&gt;"&amp;840))))))</f>
        <v/>
      </c>
      <c r="BO21" s="88" t="str">
        <f aca="false">IF(OR(BO$4="",MONTH(($G$2+29))&lt;&gt;MONTH($C$2)),"",IF(COUNTIFS(m_teacher,BO$4,m_date,($G$2+29),m_active,1,m_start,"&lt;"&amp;900,m_end,"&gt;"&amp;840)=0,"",IF(COUNTIFS(m_teacher,BO$4,m_date,($G$2+29),m_active,1,m_start,"&lt;"&amp;900,m_end,"&gt;"&amp;840)&gt;1,"충돌",HYPERLINK("#'관리자_MASTER'!D"&amp;_xlfn.MAXIFS(m_row,m_teacher,BO$4,m_date,($G$2+29),m_active,1,m_start,"&lt;"&amp;900,m_end,"&gt;"&amp;840),INDEX(m_label,_xlfn.MAXIFS(m_row,m_teacher,BO$4,m_date,($G$2+29),m_active,1,m_start,"&lt;"&amp;900,m_end,"&gt;"&amp;840))))))</f>
        <v/>
      </c>
      <c r="BP21" s="88" t="str">
        <f aca="false">IF(OR(BP$4="",MONTH(($G$2+29))&lt;&gt;MONTH($C$2)),"",IF(COUNTIFS(m_teacher,BP$4,m_date,($G$2+29),m_active,1,m_start,"&lt;"&amp;900,m_end,"&gt;"&amp;840)=0,"",IF(COUNTIFS(m_teacher,BP$4,m_date,($G$2+29),m_active,1,m_start,"&lt;"&amp;900,m_end,"&gt;"&amp;840)&gt;1,"충돌",HYPERLINK("#'관리자_MASTER'!D"&amp;_xlfn.MAXIFS(m_row,m_teacher,BP$4,m_date,($G$2+29),m_active,1,m_start,"&lt;"&amp;900,m_end,"&gt;"&amp;840),INDEX(m_label,_xlfn.MAXIFS(m_row,m_teacher,BP$4,m_date,($G$2+29),m_active,1,m_start,"&lt;"&amp;900,m_end,"&gt;"&amp;840))))))</f>
        <v/>
      </c>
      <c r="BQ21" s="88" t="str">
        <f aca="false">IF(OR(BQ$4="",MONTH(($G$2+29))&lt;&gt;MONTH($C$2)),"",IF(COUNTIFS(m_teacher,BQ$4,m_date,($G$2+29),m_active,1,m_start,"&lt;"&amp;900,m_end,"&gt;"&amp;840)=0,"",IF(COUNTIFS(m_teacher,BQ$4,m_date,($G$2+29),m_active,1,m_start,"&lt;"&amp;900,m_end,"&gt;"&amp;840)&gt;1,"충돌",HYPERLINK("#'관리자_MASTER'!D"&amp;_xlfn.MAXIFS(m_row,m_teacher,BQ$4,m_date,($G$2+29),m_active,1,m_start,"&lt;"&amp;900,m_end,"&gt;"&amp;840),INDEX(m_label,_xlfn.MAXIFS(m_row,m_teacher,BQ$4,m_date,($G$2+29),m_active,1,m_start,"&lt;"&amp;900,m_end,"&gt;"&amp;840))))))</f>
        <v/>
      </c>
      <c r="BR21" s="88" t="str">
        <f aca="false">IF(OR(BR$4="",MONTH(($G$2+29))&lt;&gt;MONTH($C$2)),"",IF(COUNTIFS(m_teacher,BR$4,m_date,($G$2+29),m_active,1,m_start,"&lt;"&amp;900,m_end,"&gt;"&amp;840)=0,"",IF(COUNTIFS(m_teacher,BR$4,m_date,($G$2+29),m_active,1,m_start,"&lt;"&amp;900,m_end,"&gt;"&amp;840)&gt;1,"충돌",HYPERLINK("#'관리자_MASTER'!D"&amp;_xlfn.MAXIFS(m_row,m_teacher,BR$4,m_date,($G$2+29),m_active,1,m_start,"&lt;"&amp;900,m_end,"&gt;"&amp;840),INDEX(m_label,_xlfn.MAXIFS(m_row,m_teacher,BR$4,m_date,($G$2+29),m_active,1,m_start,"&lt;"&amp;900,m_end,"&gt;"&amp;840))))))</f>
        <v/>
      </c>
    </row>
    <row r="22" customFormat="false" ht="19.5" hidden="false" customHeight="true" outlineLevel="0" collapsed="false">
      <c r="A22" s="75"/>
      <c r="B22" s="76" t="s">
        <v>97</v>
      </c>
      <c r="C22" s="81" t="str">
        <f aca="false">IF(OR(C$4="",MONTH(($G$2+1))&lt;&gt;MONTH($C$2)),"",IF(COUNTIFS(m_teacher,C$4,m_date,($G$2+1),m_active,1,m_start,"&lt;"&amp;960,m_end,"&gt;"&amp;900)=0,"",IF(COUNTIFS(m_teacher,C$4,m_date,($G$2+1),m_active,1,m_start,"&lt;"&amp;960,m_end,"&gt;"&amp;900)&gt;1,"충돌",HYPERLINK("#'관리자_MASTER'!D"&amp;_xlfn.MAXIFS(m_row,m_teacher,C$4,m_date,($G$2+1),m_active,1,m_start,"&lt;"&amp;960,m_end,"&gt;"&amp;900),INDEX(m_label,_xlfn.MAXIFS(m_row,m_teacher,C$4,m_date,($G$2+1),m_active,1,m_start,"&lt;"&amp;960,m_end,"&gt;"&amp;900))))))</f>
        <v/>
      </c>
      <c r="D22" s="81" t="str">
        <f aca="false">IF(OR(D$4="",MONTH(($G$2+1))&lt;&gt;MONTH($C$2)),"",IF(COUNTIFS(m_teacher,D$4,m_date,($G$2+1),m_active,1,m_start,"&lt;"&amp;960,m_end,"&gt;"&amp;900)=0,"",IF(COUNTIFS(m_teacher,D$4,m_date,($G$2+1),m_active,1,m_start,"&lt;"&amp;960,m_end,"&gt;"&amp;900)&gt;1,"충돌",HYPERLINK("#'관리자_MASTER'!D"&amp;_xlfn.MAXIFS(m_row,m_teacher,D$4,m_date,($G$2+1),m_active,1,m_start,"&lt;"&amp;960,m_end,"&gt;"&amp;900),INDEX(m_label,_xlfn.MAXIFS(m_row,m_teacher,D$4,m_date,($G$2+1),m_active,1,m_start,"&lt;"&amp;960,m_end,"&gt;"&amp;900))))))</f>
        <v/>
      </c>
      <c r="E22" s="81" t="str">
        <f aca="false">IF(OR(E$4="",MONTH(($G$2+1))&lt;&gt;MONTH($C$2)),"",IF(COUNTIFS(m_teacher,E$4,m_date,($G$2+1),m_active,1,m_start,"&lt;"&amp;960,m_end,"&gt;"&amp;900)=0,"",IF(COUNTIFS(m_teacher,E$4,m_date,($G$2+1),m_active,1,m_start,"&lt;"&amp;960,m_end,"&gt;"&amp;900)&gt;1,"충돌",HYPERLINK("#'관리자_MASTER'!D"&amp;_xlfn.MAXIFS(m_row,m_teacher,E$4,m_date,($G$2+1),m_active,1,m_start,"&lt;"&amp;960,m_end,"&gt;"&amp;900),INDEX(m_label,_xlfn.MAXIFS(m_row,m_teacher,E$4,m_date,($G$2+1),m_active,1,m_start,"&lt;"&amp;960,m_end,"&gt;"&amp;900))))))</f>
        <v/>
      </c>
      <c r="F22" s="81" t="str">
        <f aca="false">IF(OR(F$4="",MONTH(($G$2+1))&lt;&gt;MONTH($C$2)),"",IF(COUNTIFS(m_teacher,F$4,m_date,($G$2+1),m_active,1,m_start,"&lt;"&amp;960,m_end,"&gt;"&amp;900)=0,"",IF(COUNTIFS(m_teacher,F$4,m_date,($G$2+1),m_active,1,m_start,"&lt;"&amp;960,m_end,"&gt;"&amp;900)&gt;1,"충돌",HYPERLINK("#'관리자_MASTER'!D"&amp;_xlfn.MAXIFS(m_row,m_teacher,F$4,m_date,($G$2+1),m_active,1,m_start,"&lt;"&amp;960,m_end,"&gt;"&amp;900),INDEX(m_label,_xlfn.MAXIFS(m_row,m_teacher,F$4,m_date,($G$2+1),m_active,1,m_start,"&lt;"&amp;960,m_end,"&gt;"&amp;900))))))</f>
        <v/>
      </c>
      <c r="G22" s="81" t="str">
        <f aca="false">IF(OR(G$4="",MONTH(($G$2+1))&lt;&gt;MONTH($C$2)),"",IF(COUNTIFS(m_teacher,G$4,m_date,($G$2+1),m_active,1,m_start,"&lt;"&amp;960,m_end,"&gt;"&amp;900)=0,"",IF(COUNTIFS(m_teacher,G$4,m_date,($G$2+1),m_active,1,m_start,"&lt;"&amp;960,m_end,"&gt;"&amp;900)&gt;1,"충돌",HYPERLINK("#'관리자_MASTER'!D"&amp;_xlfn.MAXIFS(m_row,m_teacher,G$4,m_date,($G$2+1),m_active,1,m_start,"&lt;"&amp;960,m_end,"&gt;"&amp;900),INDEX(m_label,_xlfn.MAXIFS(m_row,m_teacher,G$4,m_date,($G$2+1),m_active,1,m_start,"&lt;"&amp;960,m_end,"&gt;"&amp;900))))))</f>
        <v/>
      </c>
      <c r="H22" s="81" t="str">
        <f aca="false">IF(OR(H$4="",MONTH(($G$2+1))&lt;&gt;MONTH($C$2)),"",IF(COUNTIFS(m_teacher,H$4,m_date,($G$2+1),m_active,1,m_start,"&lt;"&amp;960,m_end,"&gt;"&amp;900)=0,"",IF(COUNTIFS(m_teacher,H$4,m_date,($G$2+1),m_active,1,m_start,"&lt;"&amp;960,m_end,"&gt;"&amp;900)&gt;1,"충돌",HYPERLINK("#'관리자_MASTER'!D"&amp;_xlfn.MAXIFS(m_row,m_teacher,H$4,m_date,($G$2+1),m_active,1,m_start,"&lt;"&amp;960,m_end,"&gt;"&amp;900),INDEX(m_label,_xlfn.MAXIFS(m_row,m_teacher,H$4,m_date,($G$2+1),m_active,1,m_start,"&lt;"&amp;960,m_end,"&gt;"&amp;900))))))</f>
        <v/>
      </c>
      <c r="I22" s="81" t="str">
        <f aca="false">IF(OR(I$4="",MONTH(($G$2+1))&lt;&gt;MONTH($C$2)),"",IF(COUNTIFS(m_teacher,I$4,m_date,($G$2+1),m_active,1,m_start,"&lt;"&amp;960,m_end,"&gt;"&amp;900)=0,"",IF(COUNTIFS(m_teacher,I$4,m_date,($G$2+1),m_active,1,m_start,"&lt;"&amp;960,m_end,"&gt;"&amp;900)&gt;1,"충돌",HYPERLINK("#'관리자_MASTER'!D"&amp;_xlfn.MAXIFS(m_row,m_teacher,I$4,m_date,($G$2+1),m_active,1,m_start,"&lt;"&amp;960,m_end,"&gt;"&amp;900),INDEX(m_label,_xlfn.MAXIFS(m_row,m_teacher,I$4,m_date,($G$2+1),m_active,1,m_start,"&lt;"&amp;960,m_end,"&gt;"&amp;900))))))</f>
        <v/>
      </c>
      <c r="J22" s="81" t="str">
        <f aca="false">IF(OR(J$4="",MONTH(($G$2+1))&lt;&gt;MONTH($C$2)),"",IF(COUNTIFS(m_teacher,J$4,m_date,($G$2+1),m_active,1,m_start,"&lt;"&amp;960,m_end,"&gt;"&amp;900)=0,"",IF(COUNTIFS(m_teacher,J$4,m_date,($G$2+1),m_active,1,m_start,"&lt;"&amp;960,m_end,"&gt;"&amp;900)&gt;1,"충돌",HYPERLINK("#'관리자_MASTER'!D"&amp;_xlfn.MAXIFS(m_row,m_teacher,J$4,m_date,($G$2+1),m_active,1,m_start,"&lt;"&amp;960,m_end,"&gt;"&amp;900),INDEX(m_label,_xlfn.MAXIFS(m_row,m_teacher,J$4,m_date,($G$2+1),m_active,1,m_start,"&lt;"&amp;960,m_end,"&gt;"&amp;900))))))</f>
        <v/>
      </c>
      <c r="K22" s="81" t="str">
        <f aca="false">IF(OR(K$4="",MONTH(($G$2+1))&lt;&gt;MONTH($C$2)),"",IF(COUNTIFS(m_teacher,K$4,m_date,($G$2+1),m_active,1,m_start,"&lt;"&amp;960,m_end,"&gt;"&amp;900)=0,"",IF(COUNTIFS(m_teacher,K$4,m_date,($G$2+1),m_active,1,m_start,"&lt;"&amp;960,m_end,"&gt;"&amp;900)&gt;1,"충돌",HYPERLINK("#'관리자_MASTER'!D"&amp;_xlfn.MAXIFS(m_row,m_teacher,K$4,m_date,($G$2+1),m_active,1,m_start,"&lt;"&amp;960,m_end,"&gt;"&amp;900),INDEX(m_label,_xlfn.MAXIFS(m_row,m_teacher,K$4,m_date,($G$2+1),m_active,1,m_start,"&lt;"&amp;960,m_end,"&gt;"&amp;900))))))</f>
        <v/>
      </c>
      <c r="L22" s="81" t="str">
        <f aca="false">IF(OR(L$4="",MONTH(($G$2+1))&lt;&gt;MONTH($C$2)),"",IF(COUNTIFS(m_teacher,L$4,m_date,($G$2+1),m_active,1,m_start,"&lt;"&amp;960,m_end,"&gt;"&amp;900)=0,"",IF(COUNTIFS(m_teacher,L$4,m_date,($G$2+1),m_active,1,m_start,"&lt;"&amp;960,m_end,"&gt;"&amp;900)&gt;1,"충돌",HYPERLINK("#'관리자_MASTER'!D"&amp;_xlfn.MAXIFS(m_row,m_teacher,L$4,m_date,($G$2+1),m_active,1,m_start,"&lt;"&amp;960,m_end,"&gt;"&amp;900),INDEX(m_label,_xlfn.MAXIFS(m_row,m_teacher,L$4,m_date,($G$2+1),m_active,1,m_start,"&lt;"&amp;960,m_end,"&gt;"&amp;900))))))</f>
        <v/>
      </c>
      <c r="M22" s="81" t="str">
        <f aca="false">IF(OR(M$4="",MONTH(($G$2+1))&lt;&gt;MONTH($C$2)),"",IF(COUNTIFS(m_teacher,M$4,m_date,($G$2+1),m_active,1,m_start,"&lt;"&amp;960,m_end,"&gt;"&amp;900)=0,"",IF(COUNTIFS(m_teacher,M$4,m_date,($G$2+1),m_active,1,m_start,"&lt;"&amp;960,m_end,"&gt;"&amp;900)&gt;1,"충돌",HYPERLINK("#'관리자_MASTER'!D"&amp;_xlfn.MAXIFS(m_row,m_teacher,M$4,m_date,($G$2+1),m_active,1,m_start,"&lt;"&amp;960,m_end,"&gt;"&amp;900),INDEX(m_label,_xlfn.MAXIFS(m_row,m_teacher,M$4,m_date,($G$2+1),m_active,1,m_start,"&lt;"&amp;960,m_end,"&gt;"&amp;900))))))</f>
        <v/>
      </c>
      <c r="N22" s="81" t="str">
        <f aca="false">IF(OR(N$4="",MONTH(($G$2+1))&lt;&gt;MONTH($C$2)),"",IF(COUNTIFS(m_teacher,N$4,m_date,($G$2+1),m_active,1,m_start,"&lt;"&amp;960,m_end,"&gt;"&amp;900)=0,"",IF(COUNTIFS(m_teacher,N$4,m_date,($G$2+1),m_active,1,m_start,"&lt;"&amp;960,m_end,"&gt;"&amp;900)&gt;1,"충돌",HYPERLINK("#'관리자_MASTER'!D"&amp;_xlfn.MAXIFS(m_row,m_teacher,N$4,m_date,($G$2+1),m_active,1,m_start,"&lt;"&amp;960,m_end,"&gt;"&amp;900),INDEX(m_label,_xlfn.MAXIFS(m_row,m_teacher,N$4,m_date,($G$2+1),m_active,1,m_start,"&lt;"&amp;960,m_end,"&gt;"&amp;900))))))</f>
        <v/>
      </c>
      <c r="O22" s="78"/>
      <c r="P22" s="79" t="s">
        <v>97</v>
      </c>
      <c r="Q22" s="88" t="str">
        <f aca="false">IF(OR(Q$4="",MONTH(($G$2+8))&lt;&gt;MONTH($C$2)),"",IF(COUNTIFS(m_teacher,Q$4,m_date,($G$2+8),m_active,1,m_start,"&lt;"&amp;960,m_end,"&gt;"&amp;900)=0,"",IF(COUNTIFS(m_teacher,Q$4,m_date,($G$2+8),m_active,1,m_start,"&lt;"&amp;960,m_end,"&gt;"&amp;900)&gt;1,"충돌",HYPERLINK("#'관리자_MASTER'!D"&amp;_xlfn.MAXIFS(m_row,m_teacher,Q$4,m_date,($G$2+8),m_active,1,m_start,"&lt;"&amp;960,m_end,"&gt;"&amp;900),INDEX(m_label,_xlfn.MAXIFS(m_row,m_teacher,Q$4,m_date,($G$2+8),m_active,1,m_start,"&lt;"&amp;960,m_end,"&gt;"&amp;900))))))</f>
        <v/>
      </c>
      <c r="R22" s="88" t="str">
        <f aca="false">IF(OR(R$4="",MONTH(($G$2+8))&lt;&gt;MONTH($C$2)),"",IF(COUNTIFS(m_teacher,R$4,m_date,($G$2+8),m_active,1,m_start,"&lt;"&amp;960,m_end,"&gt;"&amp;900)=0,"",IF(COUNTIFS(m_teacher,R$4,m_date,($G$2+8),m_active,1,m_start,"&lt;"&amp;960,m_end,"&gt;"&amp;900)&gt;1,"충돌",HYPERLINK("#'관리자_MASTER'!D"&amp;_xlfn.MAXIFS(m_row,m_teacher,R$4,m_date,($G$2+8),m_active,1,m_start,"&lt;"&amp;960,m_end,"&gt;"&amp;900),INDEX(m_label,_xlfn.MAXIFS(m_row,m_teacher,R$4,m_date,($G$2+8),m_active,1,m_start,"&lt;"&amp;960,m_end,"&gt;"&amp;900))))))</f>
        <v/>
      </c>
      <c r="S22" s="88" t="str">
        <f aca="false">IF(OR(S$4="",MONTH(($G$2+8))&lt;&gt;MONTH($C$2)),"",IF(COUNTIFS(m_teacher,S$4,m_date,($G$2+8),m_active,1,m_start,"&lt;"&amp;960,m_end,"&gt;"&amp;900)=0,"",IF(COUNTIFS(m_teacher,S$4,m_date,($G$2+8),m_active,1,m_start,"&lt;"&amp;960,m_end,"&gt;"&amp;900)&gt;1,"충돌",HYPERLINK("#'관리자_MASTER'!D"&amp;_xlfn.MAXIFS(m_row,m_teacher,S$4,m_date,($G$2+8),m_active,1,m_start,"&lt;"&amp;960,m_end,"&gt;"&amp;900),INDEX(m_label,_xlfn.MAXIFS(m_row,m_teacher,S$4,m_date,($G$2+8),m_active,1,m_start,"&lt;"&amp;960,m_end,"&gt;"&amp;900))))))</f>
        <v/>
      </c>
      <c r="T22" s="88" t="str">
        <f aca="false">IF(OR(T$4="",MONTH(($G$2+8))&lt;&gt;MONTH($C$2)),"",IF(COUNTIFS(m_teacher,T$4,m_date,($G$2+8),m_active,1,m_start,"&lt;"&amp;960,m_end,"&gt;"&amp;900)=0,"",IF(COUNTIFS(m_teacher,T$4,m_date,($G$2+8),m_active,1,m_start,"&lt;"&amp;960,m_end,"&gt;"&amp;900)&gt;1,"충돌",HYPERLINK("#'관리자_MASTER'!D"&amp;_xlfn.MAXIFS(m_row,m_teacher,T$4,m_date,($G$2+8),m_active,1,m_start,"&lt;"&amp;960,m_end,"&gt;"&amp;900),INDEX(m_label,_xlfn.MAXIFS(m_row,m_teacher,T$4,m_date,($G$2+8),m_active,1,m_start,"&lt;"&amp;960,m_end,"&gt;"&amp;900))))))</f>
        <v/>
      </c>
      <c r="U22" s="88" t="str">
        <f aca="false">IF(OR(U$4="",MONTH(($G$2+8))&lt;&gt;MONTH($C$2)),"",IF(COUNTIFS(m_teacher,U$4,m_date,($G$2+8),m_active,1,m_start,"&lt;"&amp;960,m_end,"&gt;"&amp;900)=0,"",IF(COUNTIFS(m_teacher,U$4,m_date,($G$2+8),m_active,1,m_start,"&lt;"&amp;960,m_end,"&gt;"&amp;900)&gt;1,"충돌",HYPERLINK("#'관리자_MASTER'!D"&amp;_xlfn.MAXIFS(m_row,m_teacher,U$4,m_date,($G$2+8),m_active,1,m_start,"&lt;"&amp;960,m_end,"&gt;"&amp;900),INDEX(m_label,_xlfn.MAXIFS(m_row,m_teacher,U$4,m_date,($G$2+8),m_active,1,m_start,"&lt;"&amp;960,m_end,"&gt;"&amp;900))))))</f>
        <v/>
      </c>
      <c r="V22" s="88" t="str">
        <f aca="false">IF(OR(V$4="",MONTH(($G$2+8))&lt;&gt;MONTH($C$2)),"",IF(COUNTIFS(m_teacher,V$4,m_date,($G$2+8),m_active,1,m_start,"&lt;"&amp;960,m_end,"&gt;"&amp;900)=0,"",IF(COUNTIFS(m_teacher,V$4,m_date,($G$2+8),m_active,1,m_start,"&lt;"&amp;960,m_end,"&gt;"&amp;900)&gt;1,"충돌",HYPERLINK("#'관리자_MASTER'!D"&amp;_xlfn.MAXIFS(m_row,m_teacher,V$4,m_date,($G$2+8),m_active,1,m_start,"&lt;"&amp;960,m_end,"&gt;"&amp;900),INDEX(m_label,_xlfn.MAXIFS(m_row,m_teacher,V$4,m_date,($G$2+8),m_active,1,m_start,"&lt;"&amp;960,m_end,"&gt;"&amp;900))))))</f>
        <v/>
      </c>
      <c r="W22" s="88" t="str">
        <f aca="false">IF(OR(W$4="",MONTH(($G$2+8))&lt;&gt;MONTH($C$2)),"",IF(COUNTIFS(m_teacher,W$4,m_date,($G$2+8),m_active,1,m_start,"&lt;"&amp;960,m_end,"&gt;"&amp;900)=0,"",IF(COUNTIFS(m_teacher,W$4,m_date,($G$2+8),m_active,1,m_start,"&lt;"&amp;960,m_end,"&gt;"&amp;900)&gt;1,"충돌",HYPERLINK("#'관리자_MASTER'!D"&amp;_xlfn.MAXIFS(m_row,m_teacher,W$4,m_date,($G$2+8),m_active,1,m_start,"&lt;"&amp;960,m_end,"&gt;"&amp;900),INDEX(m_label,_xlfn.MAXIFS(m_row,m_teacher,W$4,m_date,($G$2+8),m_active,1,m_start,"&lt;"&amp;960,m_end,"&gt;"&amp;900))))))</f>
        <v/>
      </c>
      <c r="X22" s="88" t="str">
        <f aca="false">IF(OR(X$4="",MONTH(($G$2+8))&lt;&gt;MONTH($C$2)),"",IF(COUNTIFS(m_teacher,X$4,m_date,($G$2+8),m_active,1,m_start,"&lt;"&amp;960,m_end,"&gt;"&amp;900)=0,"",IF(COUNTIFS(m_teacher,X$4,m_date,($G$2+8),m_active,1,m_start,"&lt;"&amp;960,m_end,"&gt;"&amp;900)&gt;1,"충돌",HYPERLINK("#'관리자_MASTER'!D"&amp;_xlfn.MAXIFS(m_row,m_teacher,X$4,m_date,($G$2+8),m_active,1,m_start,"&lt;"&amp;960,m_end,"&gt;"&amp;900),INDEX(m_label,_xlfn.MAXIFS(m_row,m_teacher,X$4,m_date,($G$2+8),m_active,1,m_start,"&lt;"&amp;960,m_end,"&gt;"&amp;900))))))</f>
        <v/>
      </c>
      <c r="Y22" s="88" t="str">
        <f aca="false">IF(OR(Y$4="",MONTH(($G$2+8))&lt;&gt;MONTH($C$2)),"",IF(COUNTIFS(m_teacher,Y$4,m_date,($G$2+8),m_active,1,m_start,"&lt;"&amp;960,m_end,"&gt;"&amp;900)=0,"",IF(COUNTIFS(m_teacher,Y$4,m_date,($G$2+8),m_active,1,m_start,"&lt;"&amp;960,m_end,"&gt;"&amp;900)&gt;1,"충돌",HYPERLINK("#'관리자_MASTER'!D"&amp;_xlfn.MAXIFS(m_row,m_teacher,Y$4,m_date,($G$2+8),m_active,1,m_start,"&lt;"&amp;960,m_end,"&gt;"&amp;900),INDEX(m_label,_xlfn.MAXIFS(m_row,m_teacher,Y$4,m_date,($G$2+8),m_active,1,m_start,"&lt;"&amp;960,m_end,"&gt;"&amp;900))))))</f>
        <v/>
      </c>
      <c r="Z22" s="88" t="str">
        <f aca="false">IF(OR(Z$4="",MONTH(($G$2+8))&lt;&gt;MONTH($C$2)),"",IF(COUNTIFS(m_teacher,Z$4,m_date,($G$2+8),m_active,1,m_start,"&lt;"&amp;960,m_end,"&gt;"&amp;900)=0,"",IF(COUNTIFS(m_teacher,Z$4,m_date,($G$2+8),m_active,1,m_start,"&lt;"&amp;960,m_end,"&gt;"&amp;900)&gt;1,"충돌",HYPERLINK("#'관리자_MASTER'!D"&amp;_xlfn.MAXIFS(m_row,m_teacher,Z$4,m_date,($G$2+8),m_active,1,m_start,"&lt;"&amp;960,m_end,"&gt;"&amp;900),INDEX(m_label,_xlfn.MAXIFS(m_row,m_teacher,Z$4,m_date,($G$2+8),m_active,1,m_start,"&lt;"&amp;960,m_end,"&gt;"&amp;900))))))</f>
        <v/>
      </c>
      <c r="AA22" s="88" t="str">
        <f aca="false">IF(OR(AA$4="",MONTH(($G$2+8))&lt;&gt;MONTH($C$2)),"",IF(COUNTIFS(m_teacher,AA$4,m_date,($G$2+8),m_active,1,m_start,"&lt;"&amp;960,m_end,"&gt;"&amp;900)=0,"",IF(COUNTIFS(m_teacher,AA$4,m_date,($G$2+8),m_active,1,m_start,"&lt;"&amp;960,m_end,"&gt;"&amp;900)&gt;1,"충돌",HYPERLINK("#'관리자_MASTER'!D"&amp;_xlfn.MAXIFS(m_row,m_teacher,AA$4,m_date,($G$2+8),m_active,1,m_start,"&lt;"&amp;960,m_end,"&gt;"&amp;900),INDEX(m_label,_xlfn.MAXIFS(m_row,m_teacher,AA$4,m_date,($G$2+8),m_active,1,m_start,"&lt;"&amp;960,m_end,"&gt;"&amp;900))))))</f>
        <v/>
      </c>
      <c r="AB22" s="88" t="str">
        <f aca="false">IF(OR(AB$4="",MONTH(($G$2+8))&lt;&gt;MONTH($C$2)),"",IF(COUNTIFS(m_teacher,AB$4,m_date,($G$2+8),m_active,1,m_start,"&lt;"&amp;960,m_end,"&gt;"&amp;900)=0,"",IF(COUNTIFS(m_teacher,AB$4,m_date,($G$2+8),m_active,1,m_start,"&lt;"&amp;960,m_end,"&gt;"&amp;900)&gt;1,"충돌",HYPERLINK("#'관리자_MASTER'!D"&amp;_xlfn.MAXIFS(m_row,m_teacher,AB$4,m_date,($G$2+8),m_active,1,m_start,"&lt;"&amp;960,m_end,"&gt;"&amp;900),INDEX(m_label,_xlfn.MAXIFS(m_row,m_teacher,AB$4,m_date,($G$2+8),m_active,1,m_start,"&lt;"&amp;960,m_end,"&gt;"&amp;900))))))</f>
        <v/>
      </c>
      <c r="AC22" s="78"/>
      <c r="AD22" s="79" t="s">
        <v>97</v>
      </c>
      <c r="AE22" s="88" t="str">
        <f aca="false">IF(OR(AE$4="",MONTH(($G$2+15))&lt;&gt;MONTH($C$2)),"",IF(COUNTIFS(m_teacher,AE$4,m_date,($G$2+15),m_active,1,m_start,"&lt;"&amp;960,m_end,"&gt;"&amp;900)=0,"",IF(COUNTIFS(m_teacher,AE$4,m_date,($G$2+15),m_active,1,m_start,"&lt;"&amp;960,m_end,"&gt;"&amp;900)&gt;1,"충돌",HYPERLINK("#'관리자_MASTER'!D"&amp;_xlfn.MAXIFS(m_row,m_teacher,AE$4,m_date,($G$2+15),m_active,1,m_start,"&lt;"&amp;960,m_end,"&gt;"&amp;900),INDEX(m_label,_xlfn.MAXIFS(m_row,m_teacher,AE$4,m_date,($G$2+15),m_active,1,m_start,"&lt;"&amp;960,m_end,"&gt;"&amp;900))))))</f>
        <v/>
      </c>
      <c r="AF22" s="88" t="str">
        <f aca="false">IF(OR(AF$4="",MONTH(($G$2+15))&lt;&gt;MONTH($C$2)),"",IF(COUNTIFS(m_teacher,AF$4,m_date,($G$2+15),m_active,1,m_start,"&lt;"&amp;960,m_end,"&gt;"&amp;900)=0,"",IF(COUNTIFS(m_teacher,AF$4,m_date,($G$2+15),m_active,1,m_start,"&lt;"&amp;960,m_end,"&gt;"&amp;900)&gt;1,"충돌",HYPERLINK("#'관리자_MASTER'!D"&amp;_xlfn.MAXIFS(m_row,m_teacher,AF$4,m_date,($G$2+15),m_active,1,m_start,"&lt;"&amp;960,m_end,"&gt;"&amp;900),INDEX(m_label,_xlfn.MAXIFS(m_row,m_teacher,AF$4,m_date,($G$2+15),m_active,1,m_start,"&lt;"&amp;960,m_end,"&gt;"&amp;900))))))</f>
        <v/>
      </c>
      <c r="AG22" s="88" t="str">
        <f aca="false">IF(OR(AG$4="",MONTH(($G$2+15))&lt;&gt;MONTH($C$2)),"",IF(COUNTIFS(m_teacher,AG$4,m_date,($G$2+15),m_active,1,m_start,"&lt;"&amp;960,m_end,"&gt;"&amp;900)=0,"",IF(COUNTIFS(m_teacher,AG$4,m_date,($G$2+15),m_active,1,m_start,"&lt;"&amp;960,m_end,"&gt;"&amp;900)&gt;1,"충돌",HYPERLINK("#'관리자_MASTER'!D"&amp;_xlfn.MAXIFS(m_row,m_teacher,AG$4,m_date,($G$2+15),m_active,1,m_start,"&lt;"&amp;960,m_end,"&gt;"&amp;900),INDEX(m_label,_xlfn.MAXIFS(m_row,m_teacher,AG$4,m_date,($G$2+15),m_active,1,m_start,"&lt;"&amp;960,m_end,"&gt;"&amp;900))))))</f>
        <v/>
      </c>
      <c r="AH22" s="88" t="str">
        <f aca="false">IF(OR(AH$4="",MONTH(($G$2+15))&lt;&gt;MONTH($C$2)),"",IF(COUNTIFS(m_teacher,AH$4,m_date,($G$2+15),m_active,1,m_start,"&lt;"&amp;960,m_end,"&gt;"&amp;900)=0,"",IF(COUNTIFS(m_teacher,AH$4,m_date,($G$2+15),m_active,1,m_start,"&lt;"&amp;960,m_end,"&gt;"&amp;900)&gt;1,"충돌",HYPERLINK("#'관리자_MASTER'!D"&amp;_xlfn.MAXIFS(m_row,m_teacher,AH$4,m_date,($G$2+15),m_active,1,m_start,"&lt;"&amp;960,m_end,"&gt;"&amp;900),INDEX(m_label,_xlfn.MAXIFS(m_row,m_teacher,AH$4,m_date,($G$2+15),m_active,1,m_start,"&lt;"&amp;960,m_end,"&gt;"&amp;900))))))</f>
        <v/>
      </c>
      <c r="AI22" s="88" t="str">
        <f aca="false">IF(OR(AI$4="",MONTH(($G$2+15))&lt;&gt;MONTH($C$2)),"",IF(COUNTIFS(m_teacher,AI$4,m_date,($G$2+15),m_active,1,m_start,"&lt;"&amp;960,m_end,"&gt;"&amp;900)=0,"",IF(COUNTIFS(m_teacher,AI$4,m_date,($G$2+15),m_active,1,m_start,"&lt;"&amp;960,m_end,"&gt;"&amp;900)&gt;1,"충돌",HYPERLINK("#'관리자_MASTER'!D"&amp;_xlfn.MAXIFS(m_row,m_teacher,AI$4,m_date,($G$2+15),m_active,1,m_start,"&lt;"&amp;960,m_end,"&gt;"&amp;900),INDEX(m_label,_xlfn.MAXIFS(m_row,m_teacher,AI$4,m_date,($G$2+15),m_active,1,m_start,"&lt;"&amp;960,m_end,"&gt;"&amp;900))))))</f>
        <v/>
      </c>
      <c r="AJ22" s="88" t="str">
        <f aca="false">IF(OR(AJ$4="",MONTH(($G$2+15))&lt;&gt;MONTH($C$2)),"",IF(COUNTIFS(m_teacher,AJ$4,m_date,($G$2+15),m_active,1,m_start,"&lt;"&amp;960,m_end,"&gt;"&amp;900)=0,"",IF(COUNTIFS(m_teacher,AJ$4,m_date,($G$2+15),m_active,1,m_start,"&lt;"&amp;960,m_end,"&gt;"&amp;900)&gt;1,"충돌",HYPERLINK("#'관리자_MASTER'!D"&amp;_xlfn.MAXIFS(m_row,m_teacher,AJ$4,m_date,($G$2+15),m_active,1,m_start,"&lt;"&amp;960,m_end,"&gt;"&amp;900),INDEX(m_label,_xlfn.MAXIFS(m_row,m_teacher,AJ$4,m_date,($G$2+15),m_active,1,m_start,"&lt;"&amp;960,m_end,"&gt;"&amp;900))))))</f>
        <v/>
      </c>
      <c r="AK22" s="88" t="str">
        <f aca="false">IF(OR(AK$4="",MONTH(($G$2+15))&lt;&gt;MONTH($C$2)),"",IF(COUNTIFS(m_teacher,AK$4,m_date,($G$2+15),m_active,1,m_start,"&lt;"&amp;960,m_end,"&gt;"&amp;900)=0,"",IF(COUNTIFS(m_teacher,AK$4,m_date,($G$2+15),m_active,1,m_start,"&lt;"&amp;960,m_end,"&gt;"&amp;900)&gt;1,"충돌",HYPERLINK("#'관리자_MASTER'!D"&amp;_xlfn.MAXIFS(m_row,m_teacher,AK$4,m_date,($G$2+15),m_active,1,m_start,"&lt;"&amp;960,m_end,"&gt;"&amp;900),INDEX(m_label,_xlfn.MAXIFS(m_row,m_teacher,AK$4,m_date,($G$2+15),m_active,1,m_start,"&lt;"&amp;960,m_end,"&gt;"&amp;900))))))</f>
        <v/>
      </c>
      <c r="AL22" s="88" t="str">
        <f aca="false">IF(OR(AL$4="",MONTH(($G$2+15))&lt;&gt;MONTH($C$2)),"",IF(COUNTIFS(m_teacher,AL$4,m_date,($G$2+15),m_active,1,m_start,"&lt;"&amp;960,m_end,"&gt;"&amp;900)=0,"",IF(COUNTIFS(m_teacher,AL$4,m_date,($G$2+15),m_active,1,m_start,"&lt;"&amp;960,m_end,"&gt;"&amp;900)&gt;1,"충돌",HYPERLINK("#'관리자_MASTER'!D"&amp;_xlfn.MAXIFS(m_row,m_teacher,AL$4,m_date,($G$2+15),m_active,1,m_start,"&lt;"&amp;960,m_end,"&gt;"&amp;900),INDEX(m_label,_xlfn.MAXIFS(m_row,m_teacher,AL$4,m_date,($G$2+15),m_active,1,m_start,"&lt;"&amp;960,m_end,"&gt;"&amp;900))))))</f>
        <v/>
      </c>
      <c r="AM22" s="88" t="str">
        <f aca="false">IF(OR(AM$4="",MONTH(($G$2+15))&lt;&gt;MONTH($C$2)),"",IF(COUNTIFS(m_teacher,AM$4,m_date,($G$2+15),m_active,1,m_start,"&lt;"&amp;960,m_end,"&gt;"&amp;900)=0,"",IF(COUNTIFS(m_teacher,AM$4,m_date,($G$2+15),m_active,1,m_start,"&lt;"&amp;960,m_end,"&gt;"&amp;900)&gt;1,"충돌",HYPERLINK("#'관리자_MASTER'!D"&amp;_xlfn.MAXIFS(m_row,m_teacher,AM$4,m_date,($G$2+15),m_active,1,m_start,"&lt;"&amp;960,m_end,"&gt;"&amp;900),INDEX(m_label,_xlfn.MAXIFS(m_row,m_teacher,AM$4,m_date,($G$2+15),m_active,1,m_start,"&lt;"&amp;960,m_end,"&gt;"&amp;900))))))</f>
        <v/>
      </c>
      <c r="AN22" s="88" t="str">
        <f aca="false">IF(OR(AN$4="",MONTH(($G$2+15))&lt;&gt;MONTH($C$2)),"",IF(COUNTIFS(m_teacher,AN$4,m_date,($G$2+15),m_active,1,m_start,"&lt;"&amp;960,m_end,"&gt;"&amp;900)=0,"",IF(COUNTIFS(m_teacher,AN$4,m_date,($G$2+15),m_active,1,m_start,"&lt;"&amp;960,m_end,"&gt;"&amp;900)&gt;1,"충돌",HYPERLINK("#'관리자_MASTER'!D"&amp;_xlfn.MAXIFS(m_row,m_teacher,AN$4,m_date,($G$2+15),m_active,1,m_start,"&lt;"&amp;960,m_end,"&gt;"&amp;900),INDEX(m_label,_xlfn.MAXIFS(m_row,m_teacher,AN$4,m_date,($G$2+15),m_active,1,m_start,"&lt;"&amp;960,m_end,"&gt;"&amp;900))))))</f>
        <v/>
      </c>
      <c r="AO22" s="88" t="str">
        <f aca="false">IF(OR(AO$4="",MONTH(($G$2+15))&lt;&gt;MONTH($C$2)),"",IF(COUNTIFS(m_teacher,AO$4,m_date,($G$2+15),m_active,1,m_start,"&lt;"&amp;960,m_end,"&gt;"&amp;900)=0,"",IF(COUNTIFS(m_teacher,AO$4,m_date,($G$2+15),m_active,1,m_start,"&lt;"&amp;960,m_end,"&gt;"&amp;900)&gt;1,"충돌",HYPERLINK("#'관리자_MASTER'!D"&amp;_xlfn.MAXIFS(m_row,m_teacher,AO$4,m_date,($G$2+15),m_active,1,m_start,"&lt;"&amp;960,m_end,"&gt;"&amp;900),INDEX(m_label,_xlfn.MAXIFS(m_row,m_teacher,AO$4,m_date,($G$2+15),m_active,1,m_start,"&lt;"&amp;960,m_end,"&gt;"&amp;900))))))</f>
        <v/>
      </c>
      <c r="AP22" s="88" t="str">
        <f aca="false">IF(OR(AP$4="",MONTH(($G$2+15))&lt;&gt;MONTH($C$2)),"",IF(COUNTIFS(m_teacher,AP$4,m_date,($G$2+15),m_active,1,m_start,"&lt;"&amp;960,m_end,"&gt;"&amp;900)=0,"",IF(COUNTIFS(m_teacher,AP$4,m_date,($G$2+15),m_active,1,m_start,"&lt;"&amp;960,m_end,"&gt;"&amp;900)&gt;1,"충돌",HYPERLINK("#'관리자_MASTER'!D"&amp;_xlfn.MAXIFS(m_row,m_teacher,AP$4,m_date,($G$2+15),m_active,1,m_start,"&lt;"&amp;960,m_end,"&gt;"&amp;900),INDEX(m_label,_xlfn.MAXIFS(m_row,m_teacher,AP$4,m_date,($G$2+15),m_active,1,m_start,"&lt;"&amp;960,m_end,"&gt;"&amp;900))))))</f>
        <v/>
      </c>
      <c r="AQ22" s="78"/>
      <c r="AR22" s="79" t="s">
        <v>97</v>
      </c>
      <c r="AS22" s="88" t="str">
        <f aca="false">IF(OR(AS$4="",MONTH(($G$2+22))&lt;&gt;MONTH($C$2)),"",IF(COUNTIFS(m_teacher,AS$4,m_date,($G$2+22),m_active,1,m_start,"&lt;"&amp;960,m_end,"&gt;"&amp;900)=0,"",IF(COUNTIFS(m_teacher,AS$4,m_date,($G$2+22),m_active,1,m_start,"&lt;"&amp;960,m_end,"&gt;"&amp;900)&gt;1,"충돌",HYPERLINK("#'관리자_MASTER'!D"&amp;_xlfn.MAXIFS(m_row,m_teacher,AS$4,m_date,($G$2+22),m_active,1,m_start,"&lt;"&amp;960,m_end,"&gt;"&amp;900),INDEX(m_label,_xlfn.MAXIFS(m_row,m_teacher,AS$4,m_date,($G$2+22),m_active,1,m_start,"&lt;"&amp;960,m_end,"&gt;"&amp;900))))))</f>
        <v/>
      </c>
      <c r="AT22" s="88" t="str">
        <f aca="false">IF(OR(AT$4="",MONTH(($G$2+22))&lt;&gt;MONTH($C$2)),"",IF(COUNTIFS(m_teacher,AT$4,m_date,($G$2+22),m_active,1,m_start,"&lt;"&amp;960,m_end,"&gt;"&amp;900)=0,"",IF(COUNTIFS(m_teacher,AT$4,m_date,($G$2+22),m_active,1,m_start,"&lt;"&amp;960,m_end,"&gt;"&amp;900)&gt;1,"충돌",HYPERLINK("#'관리자_MASTER'!D"&amp;_xlfn.MAXIFS(m_row,m_teacher,AT$4,m_date,($G$2+22),m_active,1,m_start,"&lt;"&amp;960,m_end,"&gt;"&amp;900),INDEX(m_label,_xlfn.MAXIFS(m_row,m_teacher,AT$4,m_date,($G$2+22),m_active,1,m_start,"&lt;"&amp;960,m_end,"&gt;"&amp;900))))))</f>
        <v/>
      </c>
      <c r="AU22" s="88" t="str">
        <f aca="false">IF(OR(AU$4="",MONTH(($G$2+22))&lt;&gt;MONTH($C$2)),"",IF(COUNTIFS(m_teacher,AU$4,m_date,($G$2+22),m_active,1,m_start,"&lt;"&amp;960,m_end,"&gt;"&amp;900)=0,"",IF(COUNTIFS(m_teacher,AU$4,m_date,($G$2+22),m_active,1,m_start,"&lt;"&amp;960,m_end,"&gt;"&amp;900)&gt;1,"충돌",HYPERLINK("#'관리자_MASTER'!D"&amp;_xlfn.MAXIFS(m_row,m_teacher,AU$4,m_date,($G$2+22),m_active,1,m_start,"&lt;"&amp;960,m_end,"&gt;"&amp;900),INDEX(m_label,_xlfn.MAXIFS(m_row,m_teacher,AU$4,m_date,($G$2+22),m_active,1,m_start,"&lt;"&amp;960,m_end,"&gt;"&amp;900))))))</f>
        <v/>
      </c>
      <c r="AV22" s="88" t="str">
        <f aca="false">IF(OR(AV$4="",MONTH(($G$2+22))&lt;&gt;MONTH($C$2)),"",IF(COUNTIFS(m_teacher,AV$4,m_date,($G$2+22),m_active,1,m_start,"&lt;"&amp;960,m_end,"&gt;"&amp;900)=0,"",IF(COUNTIFS(m_teacher,AV$4,m_date,($G$2+22),m_active,1,m_start,"&lt;"&amp;960,m_end,"&gt;"&amp;900)&gt;1,"충돌",HYPERLINK("#'관리자_MASTER'!D"&amp;_xlfn.MAXIFS(m_row,m_teacher,AV$4,m_date,($G$2+22),m_active,1,m_start,"&lt;"&amp;960,m_end,"&gt;"&amp;900),INDEX(m_label,_xlfn.MAXIFS(m_row,m_teacher,AV$4,m_date,($G$2+22),m_active,1,m_start,"&lt;"&amp;960,m_end,"&gt;"&amp;900))))))</f>
        <v/>
      </c>
      <c r="AW22" s="88" t="str">
        <f aca="false">IF(OR(AW$4="",MONTH(($G$2+22))&lt;&gt;MONTH($C$2)),"",IF(COUNTIFS(m_teacher,AW$4,m_date,($G$2+22),m_active,1,m_start,"&lt;"&amp;960,m_end,"&gt;"&amp;900)=0,"",IF(COUNTIFS(m_teacher,AW$4,m_date,($G$2+22),m_active,1,m_start,"&lt;"&amp;960,m_end,"&gt;"&amp;900)&gt;1,"충돌",HYPERLINK("#'관리자_MASTER'!D"&amp;_xlfn.MAXIFS(m_row,m_teacher,AW$4,m_date,($G$2+22),m_active,1,m_start,"&lt;"&amp;960,m_end,"&gt;"&amp;900),INDEX(m_label,_xlfn.MAXIFS(m_row,m_teacher,AW$4,m_date,($G$2+22),m_active,1,m_start,"&lt;"&amp;960,m_end,"&gt;"&amp;900))))))</f>
        <v/>
      </c>
      <c r="AX22" s="88" t="str">
        <f aca="false">IF(OR(AX$4="",MONTH(($G$2+22))&lt;&gt;MONTH($C$2)),"",IF(COUNTIFS(m_teacher,AX$4,m_date,($G$2+22),m_active,1,m_start,"&lt;"&amp;960,m_end,"&gt;"&amp;900)=0,"",IF(COUNTIFS(m_teacher,AX$4,m_date,($G$2+22),m_active,1,m_start,"&lt;"&amp;960,m_end,"&gt;"&amp;900)&gt;1,"충돌",HYPERLINK("#'관리자_MASTER'!D"&amp;_xlfn.MAXIFS(m_row,m_teacher,AX$4,m_date,($G$2+22),m_active,1,m_start,"&lt;"&amp;960,m_end,"&gt;"&amp;900),INDEX(m_label,_xlfn.MAXIFS(m_row,m_teacher,AX$4,m_date,($G$2+22),m_active,1,m_start,"&lt;"&amp;960,m_end,"&gt;"&amp;900))))))</f>
        <v/>
      </c>
      <c r="AY22" s="88" t="str">
        <f aca="false">IF(OR(AY$4="",MONTH(($G$2+22))&lt;&gt;MONTH($C$2)),"",IF(COUNTIFS(m_teacher,AY$4,m_date,($G$2+22),m_active,1,m_start,"&lt;"&amp;960,m_end,"&gt;"&amp;900)=0,"",IF(COUNTIFS(m_teacher,AY$4,m_date,($G$2+22),m_active,1,m_start,"&lt;"&amp;960,m_end,"&gt;"&amp;900)&gt;1,"충돌",HYPERLINK("#'관리자_MASTER'!D"&amp;_xlfn.MAXIFS(m_row,m_teacher,AY$4,m_date,($G$2+22),m_active,1,m_start,"&lt;"&amp;960,m_end,"&gt;"&amp;900),INDEX(m_label,_xlfn.MAXIFS(m_row,m_teacher,AY$4,m_date,($G$2+22),m_active,1,m_start,"&lt;"&amp;960,m_end,"&gt;"&amp;900))))))</f>
        <v/>
      </c>
      <c r="AZ22" s="88" t="str">
        <f aca="false">IF(OR(AZ$4="",MONTH(($G$2+22))&lt;&gt;MONTH($C$2)),"",IF(COUNTIFS(m_teacher,AZ$4,m_date,($G$2+22),m_active,1,m_start,"&lt;"&amp;960,m_end,"&gt;"&amp;900)=0,"",IF(COUNTIFS(m_teacher,AZ$4,m_date,($G$2+22),m_active,1,m_start,"&lt;"&amp;960,m_end,"&gt;"&amp;900)&gt;1,"충돌",HYPERLINK("#'관리자_MASTER'!D"&amp;_xlfn.MAXIFS(m_row,m_teacher,AZ$4,m_date,($G$2+22),m_active,1,m_start,"&lt;"&amp;960,m_end,"&gt;"&amp;900),INDEX(m_label,_xlfn.MAXIFS(m_row,m_teacher,AZ$4,m_date,($G$2+22),m_active,1,m_start,"&lt;"&amp;960,m_end,"&gt;"&amp;900))))))</f>
        <v/>
      </c>
      <c r="BA22" s="88" t="str">
        <f aca="false">IF(OR(BA$4="",MONTH(($G$2+22))&lt;&gt;MONTH($C$2)),"",IF(COUNTIFS(m_teacher,BA$4,m_date,($G$2+22),m_active,1,m_start,"&lt;"&amp;960,m_end,"&gt;"&amp;900)=0,"",IF(COUNTIFS(m_teacher,BA$4,m_date,($G$2+22),m_active,1,m_start,"&lt;"&amp;960,m_end,"&gt;"&amp;900)&gt;1,"충돌",HYPERLINK("#'관리자_MASTER'!D"&amp;_xlfn.MAXIFS(m_row,m_teacher,BA$4,m_date,($G$2+22),m_active,1,m_start,"&lt;"&amp;960,m_end,"&gt;"&amp;900),INDEX(m_label,_xlfn.MAXIFS(m_row,m_teacher,BA$4,m_date,($G$2+22),m_active,1,m_start,"&lt;"&amp;960,m_end,"&gt;"&amp;900))))))</f>
        <v/>
      </c>
      <c r="BB22" s="88" t="str">
        <f aca="false">IF(OR(BB$4="",MONTH(($G$2+22))&lt;&gt;MONTH($C$2)),"",IF(COUNTIFS(m_teacher,BB$4,m_date,($G$2+22),m_active,1,m_start,"&lt;"&amp;960,m_end,"&gt;"&amp;900)=0,"",IF(COUNTIFS(m_teacher,BB$4,m_date,($G$2+22),m_active,1,m_start,"&lt;"&amp;960,m_end,"&gt;"&amp;900)&gt;1,"충돌",HYPERLINK("#'관리자_MASTER'!D"&amp;_xlfn.MAXIFS(m_row,m_teacher,BB$4,m_date,($G$2+22),m_active,1,m_start,"&lt;"&amp;960,m_end,"&gt;"&amp;900),INDEX(m_label,_xlfn.MAXIFS(m_row,m_teacher,BB$4,m_date,($G$2+22),m_active,1,m_start,"&lt;"&amp;960,m_end,"&gt;"&amp;900))))))</f>
        <v/>
      </c>
      <c r="BC22" s="88" t="str">
        <f aca="false">IF(OR(BC$4="",MONTH(($G$2+22))&lt;&gt;MONTH($C$2)),"",IF(COUNTIFS(m_teacher,BC$4,m_date,($G$2+22),m_active,1,m_start,"&lt;"&amp;960,m_end,"&gt;"&amp;900)=0,"",IF(COUNTIFS(m_teacher,BC$4,m_date,($G$2+22),m_active,1,m_start,"&lt;"&amp;960,m_end,"&gt;"&amp;900)&gt;1,"충돌",HYPERLINK("#'관리자_MASTER'!D"&amp;_xlfn.MAXIFS(m_row,m_teacher,BC$4,m_date,($G$2+22),m_active,1,m_start,"&lt;"&amp;960,m_end,"&gt;"&amp;900),INDEX(m_label,_xlfn.MAXIFS(m_row,m_teacher,BC$4,m_date,($G$2+22),m_active,1,m_start,"&lt;"&amp;960,m_end,"&gt;"&amp;900))))))</f>
        <v/>
      </c>
      <c r="BD22" s="88" t="str">
        <f aca="false">IF(OR(BD$4="",MONTH(($G$2+22))&lt;&gt;MONTH($C$2)),"",IF(COUNTIFS(m_teacher,BD$4,m_date,($G$2+22),m_active,1,m_start,"&lt;"&amp;960,m_end,"&gt;"&amp;900)=0,"",IF(COUNTIFS(m_teacher,BD$4,m_date,($G$2+22),m_active,1,m_start,"&lt;"&amp;960,m_end,"&gt;"&amp;900)&gt;1,"충돌",HYPERLINK("#'관리자_MASTER'!D"&amp;_xlfn.MAXIFS(m_row,m_teacher,BD$4,m_date,($G$2+22),m_active,1,m_start,"&lt;"&amp;960,m_end,"&gt;"&amp;900),INDEX(m_label,_xlfn.MAXIFS(m_row,m_teacher,BD$4,m_date,($G$2+22),m_active,1,m_start,"&lt;"&amp;960,m_end,"&gt;"&amp;900))))))</f>
        <v/>
      </c>
      <c r="BE22" s="78"/>
      <c r="BF22" s="79" t="s">
        <v>97</v>
      </c>
      <c r="BG22" s="88" t="str">
        <f aca="false">IF(OR(BG$4="",MONTH(($G$2+29))&lt;&gt;MONTH($C$2)),"",IF(COUNTIFS(m_teacher,BG$4,m_date,($G$2+29),m_active,1,m_start,"&lt;"&amp;960,m_end,"&gt;"&amp;900)=0,"",IF(COUNTIFS(m_teacher,BG$4,m_date,($G$2+29),m_active,1,m_start,"&lt;"&amp;960,m_end,"&gt;"&amp;900)&gt;1,"충돌",HYPERLINK("#'관리자_MASTER'!D"&amp;_xlfn.MAXIFS(m_row,m_teacher,BG$4,m_date,($G$2+29),m_active,1,m_start,"&lt;"&amp;960,m_end,"&gt;"&amp;900),INDEX(m_label,_xlfn.MAXIFS(m_row,m_teacher,BG$4,m_date,($G$2+29),m_active,1,m_start,"&lt;"&amp;960,m_end,"&gt;"&amp;900))))))</f>
        <v/>
      </c>
      <c r="BH22" s="88" t="str">
        <f aca="false">IF(OR(BH$4="",MONTH(($G$2+29))&lt;&gt;MONTH($C$2)),"",IF(COUNTIFS(m_teacher,BH$4,m_date,($G$2+29),m_active,1,m_start,"&lt;"&amp;960,m_end,"&gt;"&amp;900)=0,"",IF(COUNTIFS(m_teacher,BH$4,m_date,($G$2+29),m_active,1,m_start,"&lt;"&amp;960,m_end,"&gt;"&amp;900)&gt;1,"충돌",HYPERLINK("#'관리자_MASTER'!D"&amp;_xlfn.MAXIFS(m_row,m_teacher,BH$4,m_date,($G$2+29),m_active,1,m_start,"&lt;"&amp;960,m_end,"&gt;"&amp;900),INDEX(m_label,_xlfn.MAXIFS(m_row,m_teacher,BH$4,m_date,($G$2+29),m_active,1,m_start,"&lt;"&amp;960,m_end,"&gt;"&amp;900))))))</f>
        <v/>
      </c>
      <c r="BI22" s="88" t="str">
        <f aca="false">IF(OR(BI$4="",MONTH(($G$2+29))&lt;&gt;MONTH($C$2)),"",IF(COUNTIFS(m_teacher,BI$4,m_date,($G$2+29),m_active,1,m_start,"&lt;"&amp;960,m_end,"&gt;"&amp;900)=0,"",IF(COUNTIFS(m_teacher,BI$4,m_date,($G$2+29),m_active,1,m_start,"&lt;"&amp;960,m_end,"&gt;"&amp;900)&gt;1,"충돌",HYPERLINK("#'관리자_MASTER'!D"&amp;_xlfn.MAXIFS(m_row,m_teacher,BI$4,m_date,($G$2+29),m_active,1,m_start,"&lt;"&amp;960,m_end,"&gt;"&amp;900),INDEX(m_label,_xlfn.MAXIFS(m_row,m_teacher,BI$4,m_date,($G$2+29),m_active,1,m_start,"&lt;"&amp;960,m_end,"&gt;"&amp;900))))))</f>
        <v/>
      </c>
      <c r="BJ22" s="88" t="str">
        <f aca="false">IF(OR(BJ$4="",MONTH(($G$2+29))&lt;&gt;MONTH($C$2)),"",IF(COUNTIFS(m_teacher,BJ$4,m_date,($G$2+29),m_active,1,m_start,"&lt;"&amp;960,m_end,"&gt;"&amp;900)=0,"",IF(COUNTIFS(m_teacher,BJ$4,m_date,($G$2+29),m_active,1,m_start,"&lt;"&amp;960,m_end,"&gt;"&amp;900)&gt;1,"충돌",HYPERLINK("#'관리자_MASTER'!D"&amp;_xlfn.MAXIFS(m_row,m_teacher,BJ$4,m_date,($G$2+29),m_active,1,m_start,"&lt;"&amp;960,m_end,"&gt;"&amp;900),INDEX(m_label,_xlfn.MAXIFS(m_row,m_teacher,BJ$4,m_date,($G$2+29),m_active,1,m_start,"&lt;"&amp;960,m_end,"&gt;"&amp;900))))))</f>
        <v/>
      </c>
      <c r="BK22" s="88" t="str">
        <f aca="false">IF(OR(BK$4="",MONTH(($G$2+29))&lt;&gt;MONTH($C$2)),"",IF(COUNTIFS(m_teacher,BK$4,m_date,($G$2+29),m_active,1,m_start,"&lt;"&amp;960,m_end,"&gt;"&amp;900)=0,"",IF(COUNTIFS(m_teacher,BK$4,m_date,($G$2+29),m_active,1,m_start,"&lt;"&amp;960,m_end,"&gt;"&amp;900)&gt;1,"충돌",HYPERLINK("#'관리자_MASTER'!D"&amp;_xlfn.MAXIFS(m_row,m_teacher,BK$4,m_date,($G$2+29),m_active,1,m_start,"&lt;"&amp;960,m_end,"&gt;"&amp;900),INDEX(m_label,_xlfn.MAXIFS(m_row,m_teacher,BK$4,m_date,($G$2+29),m_active,1,m_start,"&lt;"&amp;960,m_end,"&gt;"&amp;900))))))</f>
        <v/>
      </c>
      <c r="BL22" s="88" t="str">
        <f aca="false">IF(OR(BL$4="",MONTH(($G$2+29))&lt;&gt;MONTH($C$2)),"",IF(COUNTIFS(m_teacher,BL$4,m_date,($G$2+29),m_active,1,m_start,"&lt;"&amp;960,m_end,"&gt;"&amp;900)=0,"",IF(COUNTIFS(m_teacher,BL$4,m_date,($G$2+29),m_active,1,m_start,"&lt;"&amp;960,m_end,"&gt;"&amp;900)&gt;1,"충돌",HYPERLINK("#'관리자_MASTER'!D"&amp;_xlfn.MAXIFS(m_row,m_teacher,BL$4,m_date,($G$2+29),m_active,1,m_start,"&lt;"&amp;960,m_end,"&gt;"&amp;900),INDEX(m_label,_xlfn.MAXIFS(m_row,m_teacher,BL$4,m_date,($G$2+29),m_active,1,m_start,"&lt;"&amp;960,m_end,"&gt;"&amp;900))))))</f>
        <v/>
      </c>
      <c r="BM22" s="88" t="str">
        <f aca="false">IF(OR(BM$4="",MONTH(($G$2+29))&lt;&gt;MONTH($C$2)),"",IF(COUNTIFS(m_teacher,BM$4,m_date,($G$2+29),m_active,1,m_start,"&lt;"&amp;960,m_end,"&gt;"&amp;900)=0,"",IF(COUNTIFS(m_teacher,BM$4,m_date,($G$2+29),m_active,1,m_start,"&lt;"&amp;960,m_end,"&gt;"&amp;900)&gt;1,"충돌",HYPERLINK("#'관리자_MASTER'!D"&amp;_xlfn.MAXIFS(m_row,m_teacher,BM$4,m_date,($G$2+29),m_active,1,m_start,"&lt;"&amp;960,m_end,"&gt;"&amp;900),INDEX(m_label,_xlfn.MAXIFS(m_row,m_teacher,BM$4,m_date,($G$2+29),m_active,1,m_start,"&lt;"&amp;960,m_end,"&gt;"&amp;900))))))</f>
        <v/>
      </c>
      <c r="BN22" s="88" t="str">
        <f aca="false">IF(OR(BN$4="",MONTH(($G$2+29))&lt;&gt;MONTH($C$2)),"",IF(COUNTIFS(m_teacher,BN$4,m_date,($G$2+29),m_active,1,m_start,"&lt;"&amp;960,m_end,"&gt;"&amp;900)=0,"",IF(COUNTIFS(m_teacher,BN$4,m_date,($G$2+29),m_active,1,m_start,"&lt;"&amp;960,m_end,"&gt;"&amp;900)&gt;1,"충돌",HYPERLINK("#'관리자_MASTER'!D"&amp;_xlfn.MAXIFS(m_row,m_teacher,BN$4,m_date,($G$2+29),m_active,1,m_start,"&lt;"&amp;960,m_end,"&gt;"&amp;900),INDEX(m_label,_xlfn.MAXIFS(m_row,m_teacher,BN$4,m_date,($G$2+29),m_active,1,m_start,"&lt;"&amp;960,m_end,"&gt;"&amp;900))))))</f>
        <v/>
      </c>
      <c r="BO22" s="88" t="str">
        <f aca="false">IF(OR(BO$4="",MONTH(($G$2+29))&lt;&gt;MONTH($C$2)),"",IF(COUNTIFS(m_teacher,BO$4,m_date,($G$2+29),m_active,1,m_start,"&lt;"&amp;960,m_end,"&gt;"&amp;900)=0,"",IF(COUNTIFS(m_teacher,BO$4,m_date,($G$2+29),m_active,1,m_start,"&lt;"&amp;960,m_end,"&gt;"&amp;900)&gt;1,"충돌",HYPERLINK("#'관리자_MASTER'!D"&amp;_xlfn.MAXIFS(m_row,m_teacher,BO$4,m_date,($G$2+29),m_active,1,m_start,"&lt;"&amp;960,m_end,"&gt;"&amp;900),INDEX(m_label,_xlfn.MAXIFS(m_row,m_teacher,BO$4,m_date,($G$2+29),m_active,1,m_start,"&lt;"&amp;960,m_end,"&gt;"&amp;900))))))</f>
        <v/>
      </c>
      <c r="BP22" s="88" t="str">
        <f aca="false">IF(OR(BP$4="",MONTH(($G$2+29))&lt;&gt;MONTH($C$2)),"",IF(COUNTIFS(m_teacher,BP$4,m_date,($G$2+29),m_active,1,m_start,"&lt;"&amp;960,m_end,"&gt;"&amp;900)=0,"",IF(COUNTIFS(m_teacher,BP$4,m_date,($G$2+29),m_active,1,m_start,"&lt;"&amp;960,m_end,"&gt;"&amp;900)&gt;1,"충돌",HYPERLINK("#'관리자_MASTER'!D"&amp;_xlfn.MAXIFS(m_row,m_teacher,BP$4,m_date,($G$2+29),m_active,1,m_start,"&lt;"&amp;960,m_end,"&gt;"&amp;900),INDEX(m_label,_xlfn.MAXIFS(m_row,m_teacher,BP$4,m_date,($G$2+29),m_active,1,m_start,"&lt;"&amp;960,m_end,"&gt;"&amp;900))))))</f>
        <v/>
      </c>
      <c r="BQ22" s="88" t="str">
        <f aca="false">IF(OR(BQ$4="",MONTH(($G$2+29))&lt;&gt;MONTH($C$2)),"",IF(COUNTIFS(m_teacher,BQ$4,m_date,($G$2+29),m_active,1,m_start,"&lt;"&amp;960,m_end,"&gt;"&amp;900)=0,"",IF(COUNTIFS(m_teacher,BQ$4,m_date,($G$2+29),m_active,1,m_start,"&lt;"&amp;960,m_end,"&gt;"&amp;900)&gt;1,"충돌",HYPERLINK("#'관리자_MASTER'!D"&amp;_xlfn.MAXIFS(m_row,m_teacher,BQ$4,m_date,($G$2+29),m_active,1,m_start,"&lt;"&amp;960,m_end,"&gt;"&amp;900),INDEX(m_label,_xlfn.MAXIFS(m_row,m_teacher,BQ$4,m_date,($G$2+29),m_active,1,m_start,"&lt;"&amp;960,m_end,"&gt;"&amp;900))))))</f>
        <v/>
      </c>
      <c r="BR22" s="88" t="str">
        <f aca="false">IF(OR(BR$4="",MONTH(($G$2+29))&lt;&gt;MONTH($C$2)),"",IF(COUNTIFS(m_teacher,BR$4,m_date,($G$2+29),m_active,1,m_start,"&lt;"&amp;960,m_end,"&gt;"&amp;900)=0,"",IF(COUNTIFS(m_teacher,BR$4,m_date,($G$2+29),m_active,1,m_start,"&lt;"&amp;960,m_end,"&gt;"&amp;900)&gt;1,"충돌",HYPERLINK("#'관리자_MASTER'!D"&amp;_xlfn.MAXIFS(m_row,m_teacher,BR$4,m_date,($G$2+29),m_active,1,m_start,"&lt;"&amp;960,m_end,"&gt;"&amp;900),INDEX(m_label,_xlfn.MAXIFS(m_row,m_teacher,BR$4,m_date,($G$2+29),m_active,1,m_start,"&lt;"&amp;960,m_end,"&gt;"&amp;900))))))</f>
        <v/>
      </c>
    </row>
    <row r="23" customFormat="false" ht="19.5" hidden="false" customHeight="true" outlineLevel="0" collapsed="false">
      <c r="A23" s="75"/>
      <c r="B23" s="76" t="s">
        <v>98</v>
      </c>
      <c r="C23" s="81" t="str">
        <f aca="false">IF(OR(C$4="",MONTH(($G$2+1))&lt;&gt;MONTH($C$2)),"",IF(COUNTIFS(m_teacher,C$4,m_date,($G$2+1),m_active,1,m_start,"&lt;"&amp;1020,m_end,"&gt;"&amp;960)=0,"",IF(COUNTIFS(m_teacher,C$4,m_date,($G$2+1),m_active,1,m_start,"&lt;"&amp;1020,m_end,"&gt;"&amp;960)&gt;1,"충돌",HYPERLINK("#'관리자_MASTER'!D"&amp;_xlfn.MAXIFS(m_row,m_teacher,C$4,m_date,($G$2+1),m_active,1,m_start,"&lt;"&amp;1020,m_end,"&gt;"&amp;960),INDEX(m_label,_xlfn.MAXIFS(m_row,m_teacher,C$4,m_date,($G$2+1),m_active,1,m_start,"&lt;"&amp;1020,m_end,"&gt;"&amp;960))))))</f>
        <v/>
      </c>
      <c r="D23" s="81" t="str">
        <f aca="false">IF(OR(D$4="",MONTH(($G$2+1))&lt;&gt;MONTH($C$2)),"",IF(COUNTIFS(m_teacher,D$4,m_date,($G$2+1),m_active,1,m_start,"&lt;"&amp;1020,m_end,"&gt;"&amp;960)=0,"",IF(COUNTIFS(m_teacher,D$4,m_date,($G$2+1),m_active,1,m_start,"&lt;"&amp;1020,m_end,"&gt;"&amp;960)&gt;1,"충돌",HYPERLINK("#'관리자_MASTER'!D"&amp;_xlfn.MAXIFS(m_row,m_teacher,D$4,m_date,($G$2+1),m_active,1,m_start,"&lt;"&amp;1020,m_end,"&gt;"&amp;960),INDEX(m_label,_xlfn.MAXIFS(m_row,m_teacher,D$4,m_date,($G$2+1),m_active,1,m_start,"&lt;"&amp;1020,m_end,"&gt;"&amp;960))))))</f>
        <v/>
      </c>
      <c r="E23" s="81" t="str">
        <f aca="false">IF(OR(E$4="",MONTH(($G$2+1))&lt;&gt;MONTH($C$2)),"",IF(COUNTIFS(m_teacher,E$4,m_date,($G$2+1),m_active,1,m_start,"&lt;"&amp;1020,m_end,"&gt;"&amp;960)=0,"",IF(COUNTIFS(m_teacher,E$4,m_date,($G$2+1),m_active,1,m_start,"&lt;"&amp;1020,m_end,"&gt;"&amp;960)&gt;1,"충돌",HYPERLINK("#'관리자_MASTER'!D"&amp;_xlfn.MAXIFS(m_row,m_teacher,E$4,m_date,($G$2+1),m_active,1,m_start,"&lt;"&amp;1020,m_end,"&gt;"&amp;960),INDEX(m_label,_xlfn.MAXIFS(m_row,m_teacher,E$4,m_date,($G$2+1),m_active,1,m_start,"&lt;"&amp;1020,m_end,"&gt;"&amp;960))))))</f>
        <v/>
      </c>
      <c r="F23" s="81" t="str">
        <f aca="false">IF(OR(F$4="",MONTH(($G$2+1))&lt;&gt;MONTH($C$2)),"",IF(COUNTIFS(m_teacher,F$4,m_date,($G$2+1),m_active,1,m_start,"&lt;"&amp;1020,m_end,"&gt;"&amp;960)=0,"",IF(COUNTIFS(m_teacher,F$4,m_date,($G$2+1),m_active,1,m_start,"&lt;"&amp;1020,m_end,"&gt;"&amp;960)&gt;1,"충돌",HYPERLINK("#'관리자_MASTER'!D"&amp;_xlfn.MAXIFS(m_row,m_teacher,F$4,m_date,($G$2+1),m_active,1,m_start,"&lt;"&amp;1020,m_end,"&gt;"&amp;960),INDEX(m_label,_xlfn.MAXIFS(m_row,m_teacher,F$4,m_date,($G$2+1),m_active,1,m_start,"&lt;"&amp;1020,m_end,"&gt;"&amp;960))))))</f>
        <v/>
      </c>
      <c r="G23" s="81" t="str">
        <f aca="false">IF(OR(G$4="",MONTH(($G$2+1))&lt;&gt;MONTH($C$2)),"",IF(COUNTIFS(m_teacher,G$4,m_date,($G$2+1),m_active,1,m_start,"&lt;"&amp;1020,m_end,"&gt;"&amp;960)=0,"",IF(COUNTIFS(m_teacher,G$4,m_date,($G$2+1),m_active,1,m_start,"&lt;"&amp;1020,m_end,"&gt;"&amp;960)&gt;1,"충돌",HYPERLINK("#'관리자_MASTER'!D"&amp;_xlfn.MAXIFS(m_row,m_teacher,G$4,m_date,($G$2+1),m_active,1,m_start,"&lt;"&amp;1020,m_end,"&gt;"&amp;960),INDEX(m_label,_xlfn.MAXIFS(m_row,m_teacher,G$4,m_date,($G$2+1),m_active,1,m_start,"&lt;"&amp;1020,m_end,"&gt;"&amp;960))))))</f>
        <v/>
      </c>
      <c r="H23" s="81" t="str">
        <f aca="false">IF(OR(H$4="",MONTH(($G$2+1))&lt;&gt;MONTH($C$2)),"",IF(COUNTIFS(m_teacher,H$4,m_date,($G$2+1),m_active,1,m_start,"&lt;"&amp;1020,m_end,"&gt;"&amp;960)=0,"",IF(COUNTIFS(m_teacher,H$4,m_date,($G$2+1),m_active,1,m_start,"&lt;"&amp;1020,m_end,"&gt;"&amp;960)&gt;1,"충돌",HYPERLINK("#'관리자_MASTER'!D"&amp;_xlfn.MAXIFS(m_row,m_teacher,H$4,m_date,($G$2+1),m_active,1,m_start,"&lt;"&amp;1020,m_end,"&gt;"&amp;960),INDEX(m_label,_xlfn.MAXIFS(m_row,m_teacher,H$4,m_date,($G$2+1),m_active,1,m_start,"&lt;"&amp;1020,m_end,"&gt;"&amp;960))))))</f>
        <v/>
      </c>
      <c r="I23" s="81" t="str">
        <f aca="false">IF(OR(I$4="",MONTH(($G$2+1))&lt;&gt;MONTH($C$2)),"",IF(COUNTIFS(m_teacher,I$4,m_date,($G$2+1),m_active,1,m_start,"&lt;"&amp;1020,m_end,"&gt;"&amp;960)=0,"",IF(COUNTIFS(m_teacher,I$4,m_date,($G$2+1),m_active,1,m_start,"&lt;"&amp;1020,m_end,"&gt;"&amp;960)&gt;1,"충돌",HYPERLINK("#'관리자_MASTER'!D"&amp;_xlfn.MAXIFS(m_row,m_teacher,I$4,m_date,($G$2+1),m_active,1,m_start,"&lt;"&amp;1020,m_end,"&gt;"&amp;960),INDEX(m_label,_xlfn.MAXIFS(m_row,m_teacher,I$4,m_date,($G$2+1),m_active,1,m_start,"&lt;"&amp;1020,m_end,"&gt;"&amp;960))))))</f>
        <v/>
      </c>
      <c r="J23" s="81" t="str">
        <f aca="false">IF(OR(J$4="",MONTH(($G$2+1))&lt;&gt;MONTH($C$2)),"",IF(COUNTIFS(m_teacher,J$4,m_date,($G$2+1),m_active,1,m_start,"&lt;"&amp;1020,m_end,"&gt;"&amp;960)=0,"",IF(COUNTIFS(m_teacher,J$4,m_date,($G$2+1),m_active,1,m_start,"&lt;"&amp;1020,m_end,"&gt;"&amp;960)&gt;1,"충돌",HYPERLINK("#'관리자_MASTER'!D"&amp;_xlfn.MAXIFS(m_row,m_teacher,J$4,m_date,($G$2+1),m_active,1,m_start,"&lt;"&amp;1020,m_end,"&gt;"&amp;960),INDEX(m_label,_xlfn.MAXIFS(m_row,m_teacher,J$4,m_date,($G$2+1),m_active,1,m_start,"&lt;"&amp;1020,m_end,"&gt;"&amp;960))))))</f>
        <v/>
      </c>
      <c r="K23" s="81" t="str">
        <f aca="false">IF(OR(K$4="",MONTH(($G$2+1))&lt;&gt;MONTH($C$2)),"",IF(COUNTIFS(m_teacher,K$4,m_date,($G$2+1),m_active,1,m_start,"&lt;"&amp;1020,m_end,"&gt;"&amp;960)=0,"",IF(COUNTIFS(m_teacher,K$4,m_date,($G$2+1),m_active,1,m_start,"&lt;"&amp;1020,m_end,"&gt;"&amp;960)&gt;1,"충돌",HYPERLINK("#'관리자_MASTER'!D"&amp;_xlfn.MAXIFS(m_row,m_teacher,K$4,m_date,($G$2+1),m_active,1,m_start,"&lt;"&amp;1020,m_end,"&gt;"&amp;960),INDEX(m_label,_xlfn.MAXIFS(m_row,m_teacher,K$4,m_date,($G$2+1),m_active,1,m_start,"&lt;"&amp;1020,m_end,"&gt;"&amp;960))))))</f>
        <v/>
      </c>
      <c r="L23" s="81" t="str">
        <f aca="false">IF(OR(L$4="",MONTH(($G$2+1))&lt;&gt;MONTH($C$2)),"",IF(COUNTIFS(m_teacher,L$4,m_date,($G$2+1),m_active,1,m_start,"&lt;"&amp;1020,m_end,"&gt;"&amp;960)=0,"",IF(COUNTIFS(m_teacher,L$4,m_date,($G$2+1),m_active,1,m_start,"&lt;"&amp;1020,m_end,"&gt;"&amp;960)&gt;1,"충돌",HYPERLINK("#'관리자_MASTER'!D"&amp;_xlfn.MAXIFS(m_row,m_teacher,L$4,m_date,($G$2+1),m_active,1,m_start,"&lt;"&amp;1020,m_end,"&gt;"&amp;960),INDEX(m_label,_xlfn.MAXIFS(m_row,m_teacher,L$4,m_date,($G$2+1),m_active,1,m_start,"&lt;"&amp;1020,m_end,"&gt;"&amp;960))))))</f>
        <v/>
      </c>
      <c r="M23" s="81" t="str">
        <f aca="false">IF(OR(M$4="",MONTH(($G$2+1))&lt;&gt;MONTH($C$2)),"",IF(COUNTIFS(m_teacher,M$4,m_date,($G$2+1),m_active,1,m_start,"&lt;"&amp;1020,m_end,"&gt;"&amp;960)=0,"",IF(COUNTIFS(m_teacher,M$4,m_date,($G$2+1),m_active,1,m_start,"&lt;"&amp;1020,m_end,"&gt;"&amp;960)&gt;1,"충돌",HYPERLINK("#'관리자_MASTER'!D"&amp;_xlfn.MAXIFS(m_row,m_teacher,M$4,m_date,($G$2+1),m_active,1,m_start,"&lt;"&amp;1020,m_end,"&gt;"&amp;960),INDEX(m_label,_xlfn.MAXIFS(m_row,m_teacher,M$4,m_date,($G$2+1),m_active,1,m_start,"&lt;"&amp;1020,m_end,"&gt;"&amp;960))))))</f>
        <v/>
      </c>
      <c r="N23" s="81" t="str">
        <f aca="false">IF(OR(N$4="",MONTH(($G$2+1))&lt;&gt;MONTH($C$2)),"",IF(COUNTIFS(m_teacher,N$4,m_date,($G$2+1),m_active,1,m_start,"&lt;"&amp;1020,m_end,"&gt;"&amp;960)=0,"",IF(COUNTIFS(m_teacher,N$4,m_date,($G$2+1),m_active,1,m_start,"&lt;"&amp;1020,m_end,"&gt;"&amp;960)&gt;1,"충돌",HYPERLINK("#'관리자_MASTER'!D"&amp;_xlfn.MAXIFS(m_row,m_teacher,N$4,m_date,($G$2+1),m_active,1,m_start,"&lt;"&amp;1020,m_end,"&gt;"&amp;960),INDEX(m_label,_xlfn.MAXIFS(m_row,m_teacher,N$4,m_date,($G$2+1),m_active,1,m_start,"&lt;"&amp;1020,m_end,"&gt;"&amp;960))))))</f>
        <v/>
      </c>
      <c r="O23" s="78"/>
      <c r="P23" s="79" t="s">
        <v>98</v>
      </c>
      <c r="Q23" s="88" t="str">
        <f aca="false">IF(OR(Q$4="",MONTH(($G$2+8))&lt;&gt;MONTH($C$2)),"",IF(COUNTIFS(m_teacher,Q$4,m_date,($G$2+8),m_active,1,m_start,"&lt;"&amp;1020,m_end,"&gt;"&amp;960)=0,"",IF(COUNTIFS(m_teacher,Q$4,m_date,($G$2+8),m_active,1,m_start,"&lt;"&amp;1020,m_end,"&gt;"&amp;960)&gt;1,"충돌",HYPERLINK("#'관리자_MASTER'!D"&amp;_xlfn.MAXIFS(m_row,m_teacher,Q$4,m_date,($G$2+8),m_active,1,m_start,"&lt;"&amp;1020,m_end,"&gt;"&amp;960),INDEX(m_label,_xlfn.MAXIFS(m_row,m_teacher,Q$4,m_date,($G$2+8),m_active,1,m_start,"&lt;"&amp;1020,m_end,"&gt;"&amp;960))))))</f>
        <v/>
      </c>
      <c r="R23" s="88" t="str">
        <f aca="false">IF(OR(R$4="",MONTH(($G$2+8))&lt;&gt;MONTH($C$2)),"",IF(COUNTIFS(m_teacher,R$4,m_date,($G$2+8),m_active,1,m_start,"&lt;"&amp;1020,m_end,"&gt;"&amp;960)=0,"",IF(COUNTIFS(m_teacher,R$4,m_date,($G$2+8),m_active,1,m_start,"&lt;"&amp;1020,m_end,"&gt;"&amp;960)&gt;1,"충돌",HYPERLINK("#'관리자_MASTER'!D"&amp;_xlfn.MAXIFS(m_row,m_teacher,R$4,m_date,($G$2+8),m_active,1,m_start,"&lt;"&amp;1020,m_end,"&gt;"&amp;960),INDEX(m_label,_xlfn.MAXIFS(m_row,m_teacher,R$4,m_date,($G$2+8),m_active,1,m_start,"&lt;"&amp;1020,m_end,"&gt;"&amp;960))))))</f>
        <v/>
      </c>
      <c r="S23" s="88" t="str">
        <f aca="false">IF(OR(S$4="",MONTH(($G$2+8))&lt;&gt;MONTH($C$2)),"",IF(COUNTIFS(m_teacher,S$4,m_date,($G$2+8),m_active,1,m_start,"&lt;"&amp;1020,m_end,"&gt;"&amp;960)=0,"",IF(COUNTIFS(m_teacher,S$4,m_date,($G$2+8),m_active,1,m_start,"&lt;"&amp;1020,m_end,"&gt;"&amp;960)&gt;1,"충돌",HYPERLINK("#'관리자_MASTER'!D"&amp;_xlfn.MAXIFS(m_row,m_teacher,S$4,m_date,($G$2+8),m_active,1,m_start,"&lt;"&amp;1020,m_end,"&gt;"&amp;960),INDEX(m_label,_xlfn.MAXIFS(m_row,m_teacher,S$4,m_date,($G$2+8),m_active,1,m_start,"&lt;"&amp;1020,m_end,"&gt;"&amp;960))))))</f>
        <v/>
      </c>
      <c r="T23" s="88" t="str">
        <f aca="false">IF(OR(T$4="",MONTH(($G$2+8))&lt;&gt;MONTH($C$2)),"",IF(COUNTIFS(m_teacher,T$4,m_date,($G$2+8),m_active,1,m_start,"&lt;"&amp;1020,m_end,"&gt;"&amp;960)=0,"",IF(COUNTIFS(m_teacher,T$4,m_date,($G$2+8),m_active,1,m_start,"&lt;"&amp;1020,m_end,"&gt;"&amp;960)&gt;1,"충돌",HYPERLINK("#'관리자_MASTER'!D"&amp;_xlfn.MAXIFS(m_row,m_teacher,T$4,m_date,($G$2+8),m_active,1,m_start,"&lt;"&amp;1020,m_end,"&gt;"&amp;960),INDEX(m_label,_xlfn.MAXIFS(m_row,m_teacher,T$4,m_date,($G$2+8),m_active,1,m_start,"&lt;"&amp;1020,m_end,"&gt;"&amp;960))))))</f>
        <v/>
      </c>
      <c r="U23" s="88" t="str">
        <f aca="false">IF(OR(U$4="",MONTH(($G$2+8))&lt;&gt;MONTH($C$2)),"",IF(COUNTIFS(m_teacher,U$4,m_date,($G$2+8),m_active,1,m_start,"&lt;"&amp;1020,m_end,"&gt;"&amp;960)=0,"",IF(COUNTIFS(m_teacher,U$4,m_date,($G$2+8),m_active,1,m_start,"&lt;"&amp;1020,m_end,"&gt;"&amp;960)&gt;1,"충돌",HYPERLINK("#'관리자_MASTER'!D"&amp;_xlfn.MAXIFS(m_row,m_teacher,U$4,m_date,($G$2+8),m_active,1,m_start,"&lt;"&amp;1020,m_end,"&gt;"&amp;960),INDEX(m_label,_xlfn.MAXIFS(m_row,m_teacher,U$4,m_date,($G$2+8),m_active,1,m_start,"&lt;"&amp;1020,m_end,"&gt;"&amp;960))))))</f>
        <v/>
      </c>
      <c r="V23" s="88" t="str">
        <f aca="false">IF(OR(V$4="",MONTH(($G$2+8))&lt;&gt;MONTH($C$2)),"",IF(COUNTIFS(m_teacher,V$4,m_date,($G$2+8),m_active,1,m_start,"&lt;"&amp;1020,m_end,"&gt;"&amp;960)=0,"",IF(COUNTIFS(m_teacher,V$4,m_date,($G$2+8),m_active,1,m_start,"&lt;"&amp;1020,m_end,"&gt;"&amp;960)&gt;1,"충돌",HYPERLINK("#'관리자_MASTER'!D"&amp;_xlfn.MAXIFS(m_row,m_teacher,V$4,m_date,($G$2+8),m_active,1,m_start,"&lt;"&amp;1020,m_end,"&gt;"&amp;960),INDEX(m_label,_xlfn.MAXIFS(m_row,m_teacher,V$4,m_date,($G$2+8),m_active,1,m_start,"&lt;"&amp;1020,m_end,"&gt;"&amp;960))))))</f>
        <v/>
      </c>
      <c r="W23" s="88" t="str">
        <f aca="false">IF(OR(W$4="",MONTH(($G$2+8))&lt;&gt;MONTH($C$2)),"",IF(COUNTIFS(m_teacher,W$4,m_date,($G$2+8),m_active,1,m_start,"&lt;"&amp;1020,m_end,"&gt;"&amp;960)=0,"",IF(COUNTIFS(m_teacher,W$4,m_date,($G$2+8),m_active,1,m_start,"&lt;"&amp;1020,m_end,"&gt;"&amp;960)&gt;1,"충돌",HYPERLINK("#'관리자_MASTER'!D"&amp;_xlfn.MAXIFS(m_row,m_teacher,W$4,m_date,($G$2+8),m_active,1,m_start,"&lt;"&amp;1020,m_end,"&gt;"&amp;960),INDEX(m_label,_xlfn.MAXIFS(m_row,m_teacher,W$4,m_date,($G$2+8),m_active,1,m_start,"&lt;"&amp;1020,m_end,"&gt;"&amp;960))))))</f>
        <v/>
      </c>
      <c r="X23" s="88" t="str">
        <f aca="false">IF(OR(X$4="",MONTH(($G$2+8))&lt;&gt;MONTH($C$2)),"",IF(COUNTIFS(m_teacher,X$4,m_date,($G$2+8),m_active,1,m_start,"&lt;"&amp;1020,m_end,"&gt;"&amp;960)=0,"",IF(COUNTIFS(m_teacher,X$4,m_date,($G$2+8),m_active,1,m_start,"&lt;"&amp;1020,m_end,"&gt;"&amp;960)&gt;1,"충돌",HYPERLINK("#'관리자_MASTER'!D"&amp;_xlfn.MAXIFS(m_row,m_teacher,X$4,m_date,($G$2+8),m_active,1,m_start,"&lt;"&amp;1020,m_end,"&gt;"&amp;960),INDEX(m_label,_xlfn.MAXIFS(m_row,m_teacher,X$4,m_date,($G$2+8),m_active,1,m_start,"&lt;"&amp;1020,m_end,"&gt;"&amp;960))))))</f>
        <v/>
      </c>
      <c r="Y23" s="88" t="str">
        <f aca="false">IF(OR(Y$4="",MONTH(($G$2+8))&lt;&gt;MONTH($C$2)),"",IF(COUNTIFS(m_teacher,Y$4,m_date,($G$2+8),m_active,1,m_start,"&lt;"&amp;1020,m_end,"&gt;"&amp;960)=0,"",IF(COUNTIFS(m_teacher,Y$4,m_date,($G$2+8),m_active,1,m_start,"&lt;"&amp;1020,m_end,"&gt;"&amp;960)&gt;1,"충돌",HYPERLINK("#'관리자_MASTER'!D"&amp;_xlfn.MAXIFS(m_row,m_teacher,Y$4,m_date,($G$2+8),m_active,1,m_start,"&lt;"&amp;1020,m_end,"&gt;"&amp;960),INDEX(m_label,_xlfn.MAXIFS(m_row,m_teacher,Y$4,m_date,($G$2+8),m_active,1,m_start,"&lt;"&amp;1020,m_end,"&gt;"&amp;960))))))</f>
        <v/>
      </c>
      <c r="Z23" s="88" t="str">
        <f aca="false">IF(OR(Z$4="",MONTH(($G$2+8))&lt;&gt;MONTH($C$2)),"",IF(COUNTIFS(m_teacher,Z$4,m_date,($G$2+8),m_active,1,m_start,"&lt;"&amp;1020,m_end,"&gt;"&amp;960)=0,"",IF(COUNTIFS(m_teacher,Z$4,m_date,($G$2+8),m_active,1,m_start,"&lt;"&amp;1020,m_end,"&gt;"&amp;960)&gt;1,"충돌",HYPERLINK("#'관리자_MASTER'!D"&amp;_xlfn.MAXIFS(m_row,m_teacher,Z$4,m_date,($G$2+8),m_active,1,m_start,"&lt;"&amp;1020,m_end,"&gt;"&amp;960),INDEX(m_label,_xlfn.MAXIFS(m_row,m_teacher,Z$4,m_date,($G$2+8),m_active,1,m_start,"&lt;"&amp;1020,m_end,"&gt;"&amp;960))))))</f>
        <v/>
      </c>
      <c r="AA23" s="88" t="str">
        <f aca="false">IF(OR(AA$4="",MONTH(($G$2+8))&lt;&gt;MONTH($C$2)),"",IF(COUNTIFS(m_teacher,AA$4,m_date,($G$2+8),m_active,1,m_start,"&lt;"&amp;1020,m_end,"&gt;"&amp;960)=0,"",IF(COUNTIFS(m_teacher,AA$4,m_date,($G$2+8),m_active,1,m_start,"&lt;"&amp;1020,m_end,"&gt;"&amp;960)&gt;1,"충돌",HYPERLINK("#'관리자_MASTER'!D"&amp;_xlfn.MAXIFS(m_row,m_teacher,AA$4,m_date,($G$2+8),m_active,1,m_start,"&lt;"&amp;1020,m_end,"&gt;"&amp;960),INDEX(m_label,_xlfn.MAXIFS(m_row,m_teacher,AA$4,m_date,($G$2+8),m_active,1,m_start,"&lt;"&amp;1020,m_end,"&gt;"&amp;960))))))</f>
        <v/>
      </c>
      <c r="AB23" s="88" t="str">
        <f aca="false">IF(OR(AB$4="",MONTH(($G$2+8))&lt;&gt;MONTH($C$2)),"",IF(COUNTIFS(m_teacher,AB$4,m_date,($G$2+8),m_active,1,m_start,"&lt;"&amp;1020,m_end,"&gt;"&amp;960)=0,"",IF(COUNTIFS(m_teacher,AB$4,m_date,($G$2+8),m_active,1,m_start,"&lt;"&amp;1020,m_end,"&gt;"&amp;960)&gt;1,"충돌",HYPERLINK("#'관리자_MASTER'!D"&amp;_xlfn.MAXIFS(m_row,m_teacher,AB$4,m_date,($G$2+8),m_active,1,m_start,"&lt;"&amp;1020,m_end,"&gt;"&amp;960),INDEX(m_label,_xlfn.MAXIFS(m_row,m_teacher,AB$4,m_date,($G$2+8),m_active,1,m_start,"&lt;"&amp;1020,m_end,"&gt;"&amp;960))))))</f>
        <v/>
      </c>
      <c r="AC23" s="78"/>
      <c r="AD23" s="79" t="s">
        <v>98</v>
      </c>
      <c r="AE23" s="88" t="str">
        <f aca="false">IF(OR(AE$4="",MONTH(($G$2+15))&lt;&gt;MONTH($C$2)),"",IF(COUNTIFS(m_teacher,AE$4,m_date,($G$2+15),m_active,1,m_start,"&lt;"&amp;1020,m_end,"&gt;"&amp;960)=0,"",IF(COUNTIFS(m_teacher,AE$4,m_date,($G$2+15),m_active,1,m_start,"&lt;"&amp;1020,m_end,"&gt;"&amp;960)&gt;1,"충돌",HYPERLINK("#'관리자_MASTER'!D"&amp;_xlfn.MAXIFS(m_row,m_teacher,AE$4,m_date,($G$2+15),m_active,1,m_start,"&lt;"&amp;1020,m_end,"&gt;"&amp;960),INDEX(m_label,_xlfn.MAXIFS(m_row,m_teacher,AE$4,m_date,($G$2+15),m_active,1,m_start,"&lt;"&amp;1020,m_end,"&gt;"&amp;960))))))</f>
        <v/>
      </c>
      <c r="AF23" s="88" t="str">
        <f aca="false">IF(OR(AF$4="",MONTH(($G$2+15))&lt;&gt;MONTH($C$2)),"",IF(COUNTIFS(m_teacher,AF$4,m_date,($G$2+15),m_active,1,m_start,"&lt;"&amp;1020,m_end,"&gt;"&amp;960)=0,"",IF(COUNTIFS(m_teacher,AF$4,m_date,($G$2+15),m_active,1,m_start,"&lt;"&amp;1020,m_end,"&gt;"&amp;960)&gt;1,"충돌",HYPERLINK("#'관리자_MASTER'!D"&amp;_xlfn.MAXIFS(m_row,m_teacher,AF$4,m_date,($G$2+15),m_active,1,m_start,"&lt;"&amp;1020,m_end,"&gt;"&amp;960),INDEX(m_label,_xlfn.MAXIFS(m_row,m_teacher,AF$4,m_date,($G$2+15),m_active,1,m_start,"&lt;"&amp;1020,m_end,"&gt;"&amp;960))))))</f>
        <v/>
      </c>
      <c r="AG23" s="88" t="str">
        <f aca="false">IF(OR(AG$4="",MONTH(($G$2+15))&lt;&gt;MONTH($C$2)),"",IF(COUNTIFS(m_teacher,AG$4,m_date,($G$2+15),m_active,1,m_start,"&lt;"&amp;1020,m_end,"&gt;"&amp;960)=0,"",IF(COUNTIFS(m_teacher,AG$4,m_date,($G$2+15),m_active,1,m_start,"&lt;"&amp;1020,m_end,"&gt;"&amp;960)&gt;1,"충돌",HYPERLINK("#'관리자_MASTER'!D"&amp;_xlfn.MAXIFS(m_row,m_teacher,AG$4,m_date,($G$2+15),m_active,1,m_start,"&lt;"&amp;1020,m_end,"&gt;"&amp;960),INDEX(m_label,_xlfn.MAXIFS(m_row,m_teacher,AG$4,m_date,($G$2+15),m_active,1,m_start,"&lt;"&amp;1020,m_end,"&gt;"&amp;960))))))</f>
        <v/>
      </c>
      <c r="AH23" s="88" t="str">
        <f aca="false">IF(OR(AH$4="",MONTH(($G$2+15))&lt;&gt;MONTH($C$2)),"",IF(COUNTIFS(m_teacher,AH$4,m_date,($G$2+15),m_active,1,m_start,"&lt;"&amp;1020,m_end,"&gt;"&amp;960)=0,"",IF(COUNTIFS(m_teacher,AH$4,m_date,($G$2+15),m_active,1,m_start,"&lt;"&amp;1020,m_end,"&gt;"&amp;960)&gt;1,"충돌",HYPERLINK("#'관리자_MASTER'!D"&amp;_xlfn.MAXIFS(m_row,m_teacher,AH$4,m_date,($G$2+15),m_active,1,m_start,"&lt;"&amp;1020,m_end,"&gt;"&amp;960),INDEX(m_label,_xlfn.MAXIFS(m_row,m_teacher,AH$4,m_date,($G$2+15),m_active,1,m_start,"&lt;"&amp;1020,m_end,"&gt;"&amp;960))))))</f>
        <v/>
      </c>
      <c r="AI23" s="88" t="str">
        <f aca="false">IF(OR(AI$4="",MONTH(($G$2+15))&lt;&gt;MONTH($C$2)),"",IF(COUNTIFS(m_teacher,AI$4,m_date,($G$2+15),m_active,1,m_start,"&lt;"&amp;1020,m_end,"&gt;"&amp;960)=0,"",IF(COUNTIFS(m_teacher,AI$4,m_date,($G$2+15),m_active,1,m_start,"&lt;"&amp;1020,m_end,"&gt;"&amp;960)&gt;1,"충돌",HYPERLINK("#'관리자_MASTER'!D"&amp;_xlfn.MAXIFS(m_row,m_teacher,AI$4,m_date,($G$2+15),m_active,1,m_start,"&lt;"&amp;1020,m_end,"&gt;"&amp;960),INDEX(m_label,_xlfn.MAXIFS(m_row,m_teacher,AI$4,m_date,($G$2+15),m_active,1,m_start,"&lt;"&amp;1020,m_end,"&gt;"&amp;960))))))</f>
        <v/>
      </c>
      <c r="AJ23" s="88" t="str">
        <f aca="false">IF(OR(AJ$4="",MONTH(($G$2+15))&lt;&gt;MONTH($C$2)),"",IF(COUNTIFS(m_teacher,AJ$4,m_date,($G$2+15),m_active,1,m_start,"&lt;"&amp;1020,m_end,"&gt;"&amp;960)=0,"",IF(COUNTIFS(m_teacher,AJ$4,m_date,($G$2+15),m_active,1,m_start,"&lt;"&amp;1020,m_end,"&gt;"&amp;960)&gt;1,"충돌",HYPERLINK("#'관리자_MASTER'!D"&amp;_xlfn.MAXIFS(m_row,m_teacher,AJ$4,m_date,($G$2+15),m_active,1,m_start,"&lt;"&amp;1020,m_end,"&gt;"&amp;960),INDEX(m_label,_xlfn.MAXIFS(m_row,m_teacher,AJ$4,m_date,($G$2+15),m_active,1,m_start,"&lt;"&amp;1020,m_end,"&gt;"&amp;960))))))</f>
        <v/>
      </c>
      <c r="AK23" s="88" t="str">
        <f aca="false">IF(OR(AK$4="",MONTH(($G$2+15))&lt;&gt;MONTH($C$2)),"",IF(COUNTIFS(m_teacher,AK$4,m_date,($G$2+15),m_active,1,m_start,"&lt;"&amp;1020,m_end,"&gt;"&amp;960)=0,"",IF(COUNTIFS(m_teacher,AK$4,m_date,($G$2+15),m_active,1,m_start,"&lt;"&amp;1020,m_end,"&gt;"&amp;960)&gt;1,"충돌",HYPERLINK("#'관리자_MASTER'!D"&amp;_xlfn.MAXIFS(m_row,m_teacher,AK$4,m_date,($G$2+15),m_active,1,m_start,"&lt;"&amp;1020,m_end,"&gt;"&amp;960),INDEX(m_label,_xlfn.MAXIFS(m_row,m_teacher,AK$4,m_date,($G$2+15),m_active,1,m_start,"&lt;"&amp;1020,m_end,"&gt;"&amp;960))))))</f>
        <v/>
      </c>
      <c r="AL23" s="88" t="str">
        <f aca="false">IF(OR(AL$4="",MONTH(($G$2+15))&lt;&gt;MONTH($C$2)),"",IF(COUNTIFS(m_teacher,AL$4,m_date,($G$2+15),m_active,1,m_start,"&lt;"&amp;1020,m_end,"&gt;"&amp;960)=0,"",IF(COUNTIFS(m_teacher,AL$4,m_date,($G$2+15),m_active,1,m_start,"&lt;"&amp;1020,m_end,"&gt;"&amp;960)&gt;1,"충돌",HYPERLINK("#'관리자_MASTER'!D"&amp;_xlfn.MAXIFS(m_row,m_teacher,AL$4,m_date,($G$2+15),m_active,1,m_start,"&lt;"&amp;1020,m_end,"&gt;"&amp;960),INDEX(m_label,_xlfn.MAXIFS(m_row,m_teacher,AL$4,m_date,($G$2+15),m_active,1,m_start,"&lt;"&amp;1020,m_end,"&gt;"&amp;960))))))</f>
        <v/>
      </c>
      <c r="AM23" s="88" t="str">
        <f aca="false">IF(OR(AM$4="",MONTH(($G$2+15))&lt;&gt;MONTH($C$2)),"",IF(COUNTIFS(m_teacher,AM$4,m_date,($G$2+15),m_active,1,m_start,"&lt;"&amp;1020,m_end,"&gt;"&amp;960)=0,"",IF(COUNTIFS(m_teacher,AM$4,m_date,($G$2+15),m_active,1,m_start,"&lt;"&amp;1020,m_end,"&gt;"&amp;960)&gt;1,"충돌",HYPERLINK("#'관리자_MASTER'!D"&amp;_xlfn.MAXIFS(m_row,m_teacher,AM$4,m_date,($G$2+15),m_active,1,m_start,"&lt;"&amp;1020,m_end,"&gt;"&amp;960),INDEX(m_label,_xlfn.MAXIFS(m_row,m_teacher,AM$4,m_date,($G$2+15),m_active,1,m_start,"&lt;"&amp;1020,m_end,"&gt;"&amp;960))))))</f>
        <v/>
      </c>
      <c r="AN23" s="88" t="str">
        <f aca="false">IF(OR(AN$4="",MONTH(($G$2+15))&lt;&gt;MONTH($C$2)),"",IF(COUNTIFS(m_teacher,AN$4,m_date,($G$2+15),m_active,1,m_start,"&lt;"&amp;1020,m_end,"&gt;"&amp;960)=0,"",IF(COUNTIFS(m_teacher,AN$4,m_date,($G$2+15),m_active,1,m_start,"&lt;"&amp;1020,m_end,"&gt;"&amp;960)&gt;1,"충돌",HYPERLINK("#'관리자_MASTER'!D"&amp;_xlfn.MAXIFS(m_row,m_teacher,AN$4,m_date,($G$2+15),m_active,1,m_start,"&lt;"&amp;1020,m_end,"&gt;"&amp;960),INDEX(m_label,_xlfn.MAXIFS(m_row,m_teacher,AN$4,m_date,($G$2+15),m_active,1,m_start,"&lt;"&amp;1020,m_end,"&gt;"&amp;960))))))</f>
        <v/>
      </c>
      <c r="AO23" s="88" t="str">
        <f aca="false">IF(OR(AO$4="",MONTH(($G$2+15))&lt;&gt;MONTH($C$2)),"",IF(COUNTIFS(m_teacher,AO$4,m_date,($G$2+15),m_active,1,m_start,"&lt;"&amp;1020,m_end,"&gt;"&amp;960)=0,"",IF(COUNTIFS(m_teacher,AO$4,m_date,($G$2+15),m_active,1,m_start,"&lt;"&amp;1020,m_end,"&gt;"&amp;960)&gt;1,"충돌",HYPERLINK("#'관리자_MASTER'!D"&amp;_xlfn.MAXIFS(m_row,m_teacher,AO$4,m_date,($G$2+15),m_active,1,m_start,"&lt;"&amp;1020,m_end,"&gt;"&amp;960),INDEX(m_label,_xlfn.MAXIFS(m_row,m_teacher,AO$4,m_date,($G$2+15),m_active,1,m_start,"&lt;"&amp;1020,m_end,"&gt;"&amp;960))))))</f>
        <v/>
      </c>
      <c r="AP23" s="88" t="str">
        <f aca="false">IF(OR(AP$4="",MONTH(($G$2+15))&lt;&gt;MONTH($C$2)),"",IF(COUNTIFS(m_teacher,AP$4,m_date,($G$2+15),m_active,1,m_start,"&lt;"&amp;1020,m_end,"&gt;"&amp;960)=0,"",IF(COUNTIFS(m_teacher,AP$4,m_date,($G$2+15),m_active,1,m_start,"&lt;"&amp;1020,m_end,"&gt;"&amp;960)&gt;1,"충돌",HYPERLINK("#'관리자_MASTER'!D"&amp;_xlfn.MAXIFS(m_row,m_teacher,AP$4,m_date,($G$2+15),m_active,1,m_start,"&lt;"&amp;1020,m_end,"&gt;"&amp;960),INDEX(m_label,_xlfn.MAXIFS(m_row,m_teacher,AP$4,m_date,($G$2+15),m_active,1,m_start,"&lt;"&amp;1020,m_end,"&gt;"&amp;960))))))</f>
        <v/>
      </c>
      <c r="AQ23" s="78"/>
      <c r="AR23" s="79" t="s">
        <v>98</v>
      </c>
      <c r="AS23" s="88" t="str">
        <f aca="false">IF(OR(AS$4="",MONTH(($G$2+22))&lt;&gt;MONTH($C$2)),"",IF(COUNTIFS(m_teacher,AS$4,m_date,($G$2+22),m_active,1,m_start,"&lt;"&amp;1020,m_end,"&gt;"&amp;960)=0,"",IF(COUNTIFS(m_teacher,AS$4,m_date,($G$2+22),m_active,1,m_start,"&lt;"&amp;1020,m_end,"&gt;"&amp;960)&gt;1,"충돌",HYPERLINK("#'관리자_MASTER'!D"&amp;_xlfn.MAXIFS(m_row,m_teacher,AS$4,m_date,($G$2+22),m_active,1,m_start,"&lt;"&amp;1020,m_end,"&gt;"&amp;960),INDEX(m_label,_xlfn.MAXIFS(m_row,m_teacher,AS$4,m_date,($G$2+22),m_active,1,m_start,"&lt;"&amp;1020,m_end,"&gt;"&amp;960))))))</f>
        <v/>
      </c>
      <c r="AT23" s="88" t="str">
        <f aca="false">IF(OR(AT$4="",MONTH(($G$2+22))&lt;&gt;MONTH($C$2)),"",IF(COUNTIFS(m_teacher,AT$4,m_date,($G$2+22),m_active,1,m_start,"&lt;"&amp;1020,m_end,"&gt;"&amp;960)=0,"",IF(COUNTIFS(m_teacher,AT$4,m_date,($G$2+22),m_active,1,m_start,"&lt;"&amp;1020,m_end,"&gt;"&amp;960)&gt;1,"충돌",HYPERLINK("#'관리자_MASTER'!D"&amp;_xlfn.MAXIFS(m_row,m_teacher,AT$4,m_date,($G$2+22),m_active,1,m_start,"&lt;"&amp;1020,m_end,"&gt;"&amp;960),INDEX(m_label,_xlfn.MAXIFS(m_row,m_teacher,AT$4,m_date,($G$2+22),m_active,1,m_start,"&lt;"&amp;1020,m_end,"&gt;"&amp;960))))))</f>
        <v/>
      </c>
      <c r="AU23" s="88" t="str">
        <f aca="false">IF(OR(AU$4="",MONTH(($G$2+22))&lt;&gt;MONTH($C$2)),"",IF(COUNTIFS(m_teacher,AU$4,m_date,($G$2+22),m_active,1,m_start,"&lt;"&amp;1020,m_end,"&gt;"&amp;960)=0,"",IF(COUNTIFS(m_teacher,AU$4,m_date,($G$2+22),m_active,1,m_start,"&lt;"&amp;1020,m_end,"&gt;"&amp;960)&gt;1,"충돌",HYPERLINK("#'관리자_MASTER'!D"&amp;_xlfn.MAXIFS(m_row,m_teacher,AU$4,m_date,($G$2+22),m_active,1,m_start,"&lt;"&amp;1020,m_end,"&gt;"&amp;960),INDEX(m_label,_xlfn.MAXIFS(m_row,m_teacher,AU$4,m_date,($G$2+22),m_active,1,m_start,"&lt;"&amp;1020,m_end,"&gt;"&amp;960))))))</f>
        <v/>
      </c>
      <c r="AV23" s="88" t="str">
        <f aca="false">IF(OR(AV$4="",MONTH(($G$2+22))&lt;&gt;MONTH($C$2)),"",IF(COUNTIFS(m_teacher,AV$4,m_date,($G$2+22),m_active,1,m_start,"&lt;"&amp;1020,m_end,"&gt;"&amp;960)=0,"",IF(COUNTIFS(m_teacher,AV$4,m_date,($G$2+22),m_active,1,m_start,"&lt;"&amp;1020,m_end,"&gt;"&amp;960)&gt;1,"충돌",HYPERLINK("#'관리자_MASTER'!D"&amp;_xlfn.MAXIFS(m_row,m_teacher,AV$4,m_date,($G$2+22),m_active,1,m_start,"&lt;"&amp;1020,m_end,"&gt;"&amp;960),INDEX(m_label,_xlfn.MAXIFS(m_row,m_teacher,AV$4,m_date,($G$2+22),m_active,1,m_start,"&lt;"&amp;1020,m_end,"&gt;"&amp;960))))))</f>
        <v/>
      </c>
      <c r="AW23" s="88" t="str">
        <f aca="false">IF(OR(AW$4="",MONTH(($G$2+22))&lt;&gt;MONTH($C$2)),"",IF(COUNTIFS(m_teacher,AW$4,m_date,($G$2+22),m_active,1,m_start,"&lt;"&amp;1020,m_end,"&gt;"&amp;960)=0,"",IF(COUNTIFS(m_teacher,AW$4,m_date,($G$2+22),m_active,1,m_start,"&lt;"&amp;1020,m_end,"&gt;"&amp;960)&gt;1,"충돌",HYPERLINK("#'관리자_MASTER'!D"&amp;_xlfn.MAXIFS(m_row,m_teacher,AW$4,m_date,($G$2+22),m_active,1,m_start,"&lt;"&amp;1020,m_end,"&gt;"&amp;960),INDEX(m_label,_xlfn.MAXIFS(m_row,m_teacher,AW$4,m_date,($G$2+22),m_active,1,m_start,"&lt;"&amp;1020,m_end,"&gt;"&amp;960))))))</f>
        <v/>
      </c>
      <c r="AX23" s="88" t="str">
        <f aca="false">IF(OR(AX$4="",MONTH(($G$2+22))&lt;&gt;MONTH($C$2)),"",IF(COUNTIFS(m_teacher,AX$4,m_date,($G$2+22),m_active,1,m_start,"&lt;"&amp;1020,m_end,"&gt;"&amp;960)=0,"",IF(COUNTIFS(m_teacher,AX$4,m_date,($G$2+22),m_active,1,m_start,"&lt;"&amp;1020,m_end,"&gt;"&amp;960)&gt;1,"충돌",HYPERLINK("#'관리자_MASTER'!D"&amp;_xlfn.MAXIFS(m_row,m_teacher,AX$4,m_date,($G$2+22),m_active,1,m_start,"&lt;"&amp;1020,m_end,"&gt;"&amp;960),INDEX(m_label,_xlfn.MAXIFS(m_row,m_teacher,AX$4,m_date,($G$2+22),m_active,1,m_start,"&lt;"&amp;1020,m_end,"&gt;"&amp;960))))))</f>
        <v/>
      </c>
      <c r="AY23" s="88" t="str">
        <f aca="false">IF(OR(AY$4="",MONTH(($G$2+22))&lt;&gt;MONTH($C$2)),"",IF(COUNTIFS(m_teacher,AY$4,m_date,($G$2+22),m_active,1,m_start,"&lt;"&amp;1020,m_end,"&gt;"&amp;960)=0,"",IF(COUNTIFS(m_teacher,AY$4,m_date,($G$2+22),m_active,1,m_start,"&lt;"&amp;1020,m_end,"&gt;"&amp;960)&gt;1,"충돌",HYPERLINK("#'관리자_MASTER'!D"&amp;_xlfn.MAXIFS(m_row,m_teacher,AY$4,m_date,($G$2+22),m_active,1,m_start,"&lt;"&amp;1020,m_end,"&gt;"&amp;960),INDEX(m_label,_xlfn.MAXIFS(m_row,m_teacher,AY$4,m_date,($G$2+22),m_active,1,m_start,"&lt;"&amp;1020,m_end,"&gt;"&amp;960))))))</f>
        <v/>
      </c>
      <c r="AZ23" s="88" t="str">
        <f aca="false">IF(OR(AZ$4="",MONTH(($G$2+22))&lt;&gt;MONTH($C$2)),"",IF(COUNTIFS(m_teacher,AZ$4,m_date,($G$2+22),m_active,1,m_start,"&lt;"&amp;1020,m_end,"&gt;"&amp;960)=0,"",IF(COUNTIFS(m_teacher,AZ$4,m_date,($G$2+22),m_active,1,m_start,"&lt;"&amp;1020,m_end,"&gt;"&amp;960)&gt;1,"충돌",HYPERLINK("#'관리자_MASTER'!D"&amp;_xlfn.MAXIFS(m_row,m_teacher,AZ$4,m_date,($G$2+22),m_active,1,m_start,"&lt;"&amp;1020,m_end,"&gt;"&amp;960),INDEX(m_label,_xlfn.MAXIFS(m_row,m_teacher,AZ$4,m_date,($G$2+22),m_active,1,m_start,"&lt;"&amp;1020,m_end,"&gt;"&amp;960))))))</f>
        <v/>
      </c>
      <c r="BA23" s="88" t="str">
        <f aca="false">IF(OR(BA$4="",MONTH(($G$2+22))&lt;&gt;MONTH($C$2)),"",IF(COUNTIFS(m_teacher,BA$4,m_date,($G$2+22),m_active,1,m_start,"&lt;"&amp;1020,m_end,"&gt;"&amp;960)=0,"",IF(COUNTIFS(m_teacher,BA$4,m_date,($G$2+22),m_active,1,m_start,"&lt;"&amp;1020,m_end,"&gt;"&amp;960)&gt;1,"충돌",HYPERLINK("#'관리자_MASTER'!D"&amp;_xlfn.MAXIFS(m_row,m_teacher,BA$4,m_date,($G$2+22),m_active,1,m_start,"&lt;"&amp;1020,m_end,"&gt;"&amp;960),INDEX(m_label,_xlfn.MAXIFS(m_row,m_teacher,BA$4,m_date,($G$2+22),m_active,1,m_start,"&lt;"&amp;1020,m_end,"&gt;"&amp;960))))))</f>
        <v/>
      </c>
      <c r="BB23" s="88" t="str">
        <f aca="false">IF(OR(BB$4="",MONTH(($G$2+22))&lt;&gt;MONTH($C$2)),"",IF(COUNTIFS(m_teacher,BB$4,m_date,($G$2+22),m_active,1,m_start,"&lt;"&amp;1020,m_end,"&gt;"&amp;960)=0,"",IF(COUNTIFS(m_teacher,BB$4,m_date,($G$2+22),m_active,1,m_start,"&lt;"&amp;1020,m_end,"&gt;"&amp;960)&gt;1,"충돌",HYPERLINK("#'관리자_MASTER'!D"&amp;_xlfn.MAXIFS(m_row,m_teacher,BB$4,m_date,($G$2+22),m_active,1,m_start,"&lt;"&amp;1020,m_end,"&gt;"&amp;960),INDEX(m_label,_xlfn.MAXIFS(m_row,m_teacher,BB$4,m_date,($G$2+22),m_active,1,m_start,"&lt;"&amp;1020,m_end,"&gt;"&amp;960))))))</f>
        <v/>
      </c>
      <c r="BC23" s="88" t="str">
        <f aca="false">IF(OR(BC$4="",MONTH(($G$2+22))&lt;&gt;MONTH($C$2)),"",IF(COUNTIFS(m_teacher,BC$4,m_date,($G$2+22),m_active,1,m_start,"&lt;"&amp;1020,m_end,"&gt;"&amp;960)=0,"",IF(COUNTIFS(m_teacher,BC$4,m_date,($G$2+22),m_active,1,m_start,"&lt;"&amp;1020,m_end,"&gt;"&amp;960)&gt;1,"충돌",HYPERLINK("#'관리자_MASTER'!D"&amp;_xlfn.MAXIFS(m_row,m_teacher,BC$4,m_date,($G$2+22),m_active,1,m_start,"&lt;"&amp;1020,m_end,"&gt;"&amp;960),INDEX(m_label,_xlfn.MAXIFS(m_row,m_teacher,BC$4,m_date,($G$2+22),m_active,1,m_start,"&lt;"&amp;1020,m_end,"&gt;"&amp;960))))))</f>
        <v/>
      </c>
      <c r="BD23" s="88" t="str">
        <f aca="false">IF(OR(BD$4="",MONTH(($G$2+22))&lt;&gt;MONTH($C$2)),"",IF(COUNTIFS(m_teacher,BD$4,m_date,($G$2+22),m_active,1,m_start,"&lt;"&amp;1020,m_end,"&gt;"&amp;960)=0,"",IF(COUNTIFS(m_teacher,BD$4,m_date,($G$2+22),m_active,1,m_start,"&lt;"&amp;1020,m_end,"&gt;"&amp;960)&gt;1,"충돌",HYPERLINK("#'관리자_MASTER'!D"&amp;_xlfn.MAXIFS(m_row,m_teacher,BD$4,m_date,($G$2+22),m_active,1,m_start,"&lt;"&amp;1020,m_end,"&gt;"&amp;960),INDEX(m_label,_xlfn.MAXIFS(m_row,m_teacher,BD$4,m_date,($G$2+22),m_active,1,m_start,"&lt;"&amp;1020,m_end,"&gt;"&amp;960))))))</f>
        <v/>
      </c>
      <c r="BE23" s="78"/>
      <c r="BF23" s="79" t="s">
        <v>98</v>
      </c>
      <c r="BG23" s="88" t="str">
        <f aca="false">IF(OR(BG$4="",MONTH(($G$2+29))&lt;&gt;MONTH($C$2)),"",IF(COUNTIFS(m_teacher,BG$4,m_date,($G$2+29),m_active,1,m_start,"&lt;"&amp;1020,m_end,"&gt;"&amp;960)=0,"",IF(COUNTIFS(m_teacher,BG$4,m_date,($G$2+29),m_active,1,m_start,"&lt;"&amp;1020,m_end,"&gt;"&amp;960)&gt;1,"충돌",HYPERLINK("#'관리자_MASTER'!D"&amp;_xlfn.MAXIFS(m_row,m_teacher,BG$4,m_date,($G$2+29),m_active,1,m_start,"&lt;"&amp;1020,m_end,"&gt;"&amp;960),INDEX(m_label,_xlfn.MAXIFS(m_row,m_teacher,BG$4,m_date,($G$2+29),m_active,1,m_start,"&lt;"&amp;1020,m_end,"&gt;"&amp;960))))))</f>
        <v/>
      </c>
      <c r="BH23" s="88" t="str">
        <f aca="false">IF(OR(BH$4="",MONTH(($G$2+29))&lt;&gt;MONTH($C$2)),"",IF(COUNTIFS(m_teacher,BH$4,m_date,($G$2+29),m_active,1,m_start,"&lt;"&amp;1020,m_end,"&gt;"&amp;960)=0,"",IF(COUNTIFS(m_teacher,BH$4,m_date,($G$2+29),m_active,1,m_start,"&lt;"&amp;1020,m_end,"&gt;"&amp;960)&gt;1,"충돌",HYPERLINK("#'관리자_MASTER'!D"&amp;_xlfn.MAXIFS(m_row,m_teacher,BH$4,m_date,($G$2+29),m_active,1,m_start,"&lt;"&amp;1020,m_end,"&gt;"&amp;960),INDEX(m_label,_xlfn.MAXIFS(m_row,m_teacher,BH$4,m_date,($G$2+29),m_active,1,m_start,"&lt;"&amp;1020,m_end,"&gt;"&amp;960))))))</f>
        <v/>
      </c>
      <c r="BI23" s="88" t="str">
        <f aca="false">IF(OR(BI$4="",MONTH(($G$2+29))&lt;&gt;MONTH($C$2)),"",IF(COUNTIFS(m_teacher,BI$4,m_date,($G$2+29),m_active,1,m_start,"&lt;"&amp;1020,m_end,"&gt;"&amp;960)=0,"",IF(COUNTIFS(m_teacher,BI$4,m_date,($G$2+29),m_active,1,m_start,"&lt;"&amp;1020,m_end,"&gt;"&amp;960)&gt;1,"충돌",HYPERLINK("#'관리자_MASTER'!D"&amp;_xlfn.MAXIFS(m_row,m_teacher,BI$4,m_date,($G$2+29),m_active,1,m_start,"&lt;"&amp;1020,m_end,"&gt;"&amp;960),INDEX(m_label,_xlfn.MAXIFS(m_row,m_teacher,BI$4,m_date,($G$2+29),m_active,1,m_start,"&lt;"&amp;1020,m_end,"&gt;"&amp;960))))))</f>
        <v/>
      </c>
      <c r="BJ23" s="88" t="str">
        <f aca="false">IF(OR(BJ$4="",MONTH(($G$2+29))&lt;&gt;MONTH($C$2)),"",IF(COUNTIFS(m_teacher,BJ$4,m_date,($G$2+29),m_active,1,m_start,"&lt;"&amp;1020,m_end,"&gt;"&amp;960)=0,"",IF(COUNTIFS(m_teacher,BJ$4,m_date,($G$2+29),m_active,1,m_start,"&lt;"&amp;1020,m_end,"&gt;"&amp;960)&gt;1,"충돌",HYPERLINK("#'관리자_MASTER'!D"&amp;_xlfn.MAXIFS(m_row,m_teacher,BJ$4,m_date,($G$2+29),m_active,1,m_start,"&lt;"&amp;1020,m_end,"&gt;"&amp;960),INDEX(m_label,_xlfn.MAXIFS(m_row,m_teacher,BJ$4,m_date,($G$2+29),m_active,1,m_start,"&lt;"&amp;1020,m_end,"&gt;"&amp;960))))))</f>
        <v/>
      </c>
      <c r="BK23" s="88" t="str">
        <f aca="false">IF(OR(BK$4="",MONTH(($G$2+29))&lt;&gt;MONTH($C$2)),"",IF(COUNTIFS(m_teacher,BK$4,m_date,($G$2+29),m_active,1,m_start,"&lt;"&amp;1020,m_end,"&gt;"&amp;960)=0,"",IF(COUNTIFS(m_teacher,BK$4,m_date,($G$2+29),m_active,1,m_start,"&lt;"&amp;1020,m_end,"&gt;"&amp;960)&gt;1,"충돌",HYPERLINK("#'관리자_MASTER'!D"&amp;_xlfn.MAXIFS(m_row,m_teacher,BK$4,m_date,($G$2+29),m_active,1,m_start,"&lt;"&amp;1020,m_end,"&gt;"&amp;960),INDEX(m_label,_xlfn.MAXIFS(m_row,m_teacher,BK$4,m_date,($G$2+29),m_active,1,m_start,"&lt;"&amp;1020,m_end,"&gt;"&amp;960))))))</f>
        <v/>
      </c>
      <c r="BL23" s="88" t="str">
        <f aca="false">IF(OR(BL$4="",MONTH(($G$2+29))&lt;&gt;MONTH($C$2)),"",IF(COUNTIFS(m_teacher,BL$4,m_date,($G$2+29),m_active,1,m_start,"&lt;"&amp;1020,m_end,"&gt;"&amp;960)=0,"",IF(COUNTIFS(m_teacher,BL$4,m_date,($G$2+29),m_active,1,m_start,"&lt;"&amp;1020,m_end,"&gt;"&amp;960)&gt;1,"충돌",HYPERLINK("#'관리자_MASTER'!D"&amp;_xlfn.MAXIFS(m_row,m_teacher,BL$4,m_date,($G$2+29),m_active,1,m_start,"&lt;"&amp;1020,m_end,"&gt;"&amp;960),INDEX(m_label,_xlfn.MAXIFS(m_row,m_teacher,BL$4,m_date,($G$2+29),m_active,1,m_start,"&lt;"&amp;1020,m_end,"&gt;"&amp;960))))))</f>
        <v/>
      </c>
      <c r="BM23" s="88" t="str">
        <f aca="false">IF(OR(BM$4="",MONTH(($G$2+29))&lt;&gt;MONTH($C$2)),"",IF(COUNTIFS(m_teacher,BM$4,m_date,($G$2+29),m_active,1,m_start,"&lt;"&amp;1020,m_end,"&gt;"&amp;960)=0,"",IF(COUNTIFS(m_teacher,BM$4,m_date,($G$2+29),m_active,1,m_start,"&lt;"&amp;1020,m_end,"&gt;"&amp;960)&gt;1,"충돌",HYPERLINK("#'관리자_MASTER'!D"&amp;_xlfn.MAXIFS(m_row,m_teacher,BM$4,m_date,($G$2+29),m_active,1,m_start,"&lt;"&amp;1020,m_end,"&gt;"&amp;960),INDEX(m_label,_xlfn.MAXIFS(m_row,m_teacher,BM$4,m_date,($G$2+29),m_active,1,m_start,"&lt;"&amp;1020,m_end,"&gt;"&amp;960))))))</f>
        <v/>
      </c>
      <c r="BN23" s="88" t="str">
        <f aca="false">IF(OR(BN$4="",MONTH(($G$2+29))&lt;&gt;MONTH($C$2)),"",IF(COUNTIFS(m_teacher,BN$4,m_date,($G$2+29),m_active,1,m_start,"&lt;"&amp;1020,m_end,"&gt;"&amp;960)=0,"",IF(COUNTIFS(m_teacher,BN$4,m_date,($G$2+29),m_active,1,m_start,"&lt;"&amp;1020,m_end,"&gt;"&amp;960)&gt;1,"충돌",HYPERLINK("#'관리자_MASTER'!D"&amp;_xlfn.MAXIFS(m_row,m_teacher,BN$4,m_date,($G$2+29),m_active,1,m_start,"&lt;"&amp;1020,m_end,"&gt;"&amp;960),INDEX(m_label,_xlfn.MAXIFS(m_row,m_teacher,BN$4,m_date,($G$2+29),m_active,1,m_start,"&lt;"&amp;1020,m_end,"&gt;"&amp;960))))))</f>
        <v/>
      </c>
      <c r="BO23" s="88" t="str">
        <f aca="false">IF(OR(BO$4="",MONTH(($G$2+29))&lt;&gt;MONTH($C$2)),"",IF(COUNTIFS(m_teacher,BO$4,m_date,($G$2+29),m_active,1,m_start,"&lt;"&amp;1020,m_end,"&gt;"&amp;960)=0,"",IF(COUNTIFS(m_teacher,BO$4,m_date,($G$2+29),m_active,1,m_start,"&lt;"&amp;1020,m_end,"&gt;"&amp;960)&gt;1,"충돌",HYPERLINK("#'관리자_MASTER'!D"&amp;_xlfn.MAXIFS(m_row,m_teacher,BO$4,m_date,($G$2+29),m_active,1,m_start,"&lt;"&amp;1020,m_end,"&gt;"&amp;960),INDEX(m_label,_xlfn.MAXIFS(m_row,m_teacher,BO$4,m_date,($G$2+29),m_active,1,m_start,"&lt;"&amp;1020,m_end,"&gt;"&amp;960))))))</f>
        <v/>
      </c>
      <c r="BP23" s="88" t="str">
        <f aca="false">IF(OR(BP$4="",MONTH(($G$2+29))&lt;&gt;MONTH($C$2)),"",IF(COUNTIFS(m_teacher,BP$4,m_date,($G$2+29),m_active,1,m_start,"&lt;"&amp;1020,m_end,"&gt;"&amp;960)=0,"",IF(COUNTIFS(m_teacher,BP$4,m_date,($G$2+29),m_active,1,m_start,"&lt;"&amp;1020,m_end,"&gt;"&amp;960)&gt;1,"충돌",HYPERLINK("#'관리자_MASTER'!D"&amp;_xlfn.MAXIFS(m_row,m_teacher,BP$4,m_date,($G$2+29),m_active,1,m_start,"&lt;"&amp;1020,m_end,"&gt;"&amp;960),INDEX(m_label,_xlfn.MAXIFS(m_row,m_teacher,BP$4,m_date,($G$2+29),m_active,1,m_start,"&lt;"&amp;1020,m_end,"&gt;"&amp;960))))))</f>
        <v/>
      </c>
      <c r="BQ23" s="88" t="str">
        <f aca="false">IF(OR(BQ$4="",MONTH(($G$2+29))&lt;&gt;MONTH($C$2)),"",IF(COUNTIFS(m_teacher,BQ$4,m_date,($G$2+29),m_active,1,m_start,"&lt;"&amp;1020,m_end,"&gt;"&amp;960)=0,"",IF(COUNTIFS(m_teacher,BQ$4,m_date,($G$2+29),m_active,1,m_start,"&lt;"&amp;1020,m_end,"&gt;"&amp;960)&gt;1,"충돌",HYPERLINK("#'관리자_MASTER'!D"&amp;_xlfn.MAXIFS(m_row,m_teacher,BQ$4,m_date,($G$2+29),m_active,1,m_start,"&lt;"&amp;1020,m_end,"&gt;"&amp;960),INDEX(m_label,_xlfn.MAXIFS(m_row,m_teacher,BQ$4,m_date,($G$2+29),m_active,1,m_start,"&lt;"&amp;1020,m_end,"&gt;"&amp;960))))))</f>
        <v/>
      </c>
      <c r="BR23" s="88" t="str">
        <f aca="false">IF(OR(BR$4="",MONTH(($G$2+29))&lt;&gt;MONTH($C$2)),"",IF(COUNTIFS(m_teacher,BR$4,m_date,($G$2+29),m_active,1,m_start,"&lt;"&amp;1020,m_end,"&gt;"&amp;960)=0,"",IF(COUNTIFS(m_teacher,BR$4,m_date,($G$2+29),m_active,1,m_start,"&lt;"&amp;1020,m_end,"&gt;"&amp;960)&gt;1,"충돌",HYPERLINK("#'관리자_MASTER'!D"&amp;_xlfn.MAXIFS(m_row,m_teacher,BR$4,m_date,($G$2+29),m_active,1,m_start,"&lt;"&amp;1020,m_end,"&gt;"&amp;960),INDEX(m_label,_xlfn.MAXIFS(m_row,m_teacher,BR$4,m_date,($G$2+29),m_active,1,m_start,"&lt;"&amp;1020,m_end,"&gt;"&amp;960))))))</f>
        <v/>
      </c>
    </row>
    <row r="24" customFormat="false" ht="19.5" hidden="false" customHeight="true" outlineLevel="0" collapsed="false">
      <c r="A24" s="75"/>
      <c r="B24" s="76" t="s">
        <v>99</v>
      </c>
      <c r="C24" s="81" t="str">
        <f aca="false">IF(OR(C$4="",MONTH(($G$2+1))&lt;&gt;MONTH($C$2)),"",IF(COUNTIFS(m_teacher,C$4,m_date,($G$2+1),m_active,1,m_start,"&lt;"&amp;1080,m_end,"&gt;"&amp;1020)=0,"",IF(COUNTIFS(m_teacher,C$4,m_date,($G$2+1),m_active,1,m_start,"&lt;"&amp;1080,m_end,"&gt;"&amp;1020)&gt;1,"충돌",HYPERLINK("#'관리자_MASTER'!D"&amp;_xlfn.MAXIFS(m_row,m_teacher,C$4,m_date,($G$2+1),m_active,1,m_start,"&lt;"&amp;1080,m_end,"&gt;"&amp;1020),INDEX(m_label,_xlfn.MAXIFS(m_row,m_teacher,C$4,m_date,($G$2+1),m_active,1,m_start,"&lt;"&amp;1080,m_end,"&gt;"&amp;1020))))))</f>
        <v/>
      </c>
      <c r="D24" s="81" t="str">
        <f aca="false">IF(OR(D$4="",MONTH(($G$2+1))&lt;&gt;MONTH($C$2)),"",IF(COUNTIFS(m_teacher,D$4,m_date,($G$2+1),m_active,1,m_start,"&lt;"&amp;1080,m_end,"&gt;"&amp;1020)=0,"",IF(COUNTIFS(m_teacher,D$4,m_date,($G$2+1),m_active,1,m_start,"&lt;"&amp;1080,m_end,"&gt;"&amp;1020)&gt;1,"충돌",HYPERLINK("#'관리자_MASTER'!D"&amp;_xlfn.MAXIFS(m_row,m_teacher,D$4,m_date,($G$2+1),m_active,1,m_start,"&lt;"&amp;1080,m_end,"&gt;"&amp;1020),INDEX(m_label,_xlfn.MAXIFS(m_row,m_teacher,D$4,m_date,($G$2+1),m_active,1,m_start,"&lt;"&amp;1080,m_end,"&gt;"&amp;1020))))))</f>
        <v/>
      </c>
      <c r="E24" s="81" t="str">
        <f aca="false">IF(OR(E$4="",MONTH(($G$2+1))&lt;&gt;MONTH($C$2)),"",IF(COUNTIFS(m_teacher,E$4,m_date,($G$2+1),m_active,1,m_start,"&lt;"&amp;1080,m_end,"&gt;"&amp;1020)=0,"",IF(COUNTIFS(m_teacher,E$4,m_date,($G$2+1),m_active,1,m_start,"&lt;"&amp;1080,m_end,"&gt;"&amp;1020)&gt;1,"충돌",HYPERLINK("#'관리자_MASTER'!D"&amp;_xlfn.MAXIFS(m_row,m_teacher,E$4,m_date,($G$2+1),m_active,1,m_start,"&lt;"&amp;1080,m_end,"&gt;"&amp;1020),INDEX(m_label,_xlfn.MAXIFS(m_row,m_teacher,E$4,m_date,($G$2+1),m_active,1,m_start,"&lt;"&amp;1080,m_end,"&gt;"&amp;1020))))))</f>
        <v/>
      </c>
      <c r="F24" s="81" t="str">
        <f aca="false">IF(OR(F$4="",MONTH(($G$2+1))&lt;&gt;MONTH($C$2)),"",IF(COUNTIFS(m_teacher,F$4,m_date,($G$2+1),m_active,1,m_start,"&lt;"&amp;1080,m_end,"&gt;"&amp;1020)=0,"",IF(COUNTIFS(m_teacher,F$4,m_date,($G$2+1),m_active,1,m_start,"&lt;"&amp;1080,m_end,"&gt;"&amp;1020)&gt;1,"충돌",HYPERLINK("#'관리자_MASTER'!D"&amp;_xlfn.MAXIFS(m_row,m_teacher,F$4,m_date,($G$2+1),m_active,1,m_start,"&lt;"&amp;1080,m_end,"&gt;"&amp;1020),INDEX(m_label,_xlfn.MAXIFS(m_row,m_teacher,F$4,m_date,($G$2+1),m_active,1,m_start,"&lt;"&amp;1080,m_end,"&gt;"&amp;1020))))))</f>
        <v/>
      </c>
      <c r="G24" s="81" t="str">
        <f aca="false">IF(OR(G$4="",MONTH(($G$2+1))&lt;&gt;MONTH($C$2)),"",IF(COUNTIFS(m_teacher,G$4,m_date,($G$2+1),m_active,1,m_start,"&lt;"&amp;1080,m_end,"&gt;"&amp;1020)=0,"",IF(COUNTIFS(m_teacher,G$4,m_date,($G$2+1),m_active,1,m_start,"&lt;"&amp;1080,m_end,"&gt;"&amp;1020)&gt;1,"충돌",HYPERLINK("#'관리자_MASTER'!D"&amp;_xlfn.MAXIFS(m_row,m_teacher,G$4,m_date,($G$2+1),m_active,1,m_start,"&lt;"&amp;1080,m_end,"&gt;"&amp;1020),INDEX(m_label,_xlfn.MAXIFS(m_row,m_teacher,G$4,m_date,($G$2+1),m_active,1,m_start,"&lt;"&amp;1080,m_end,"&gt;"&amp;1020))))))</f>
        <v/>
      </c>
      <c r="H24" s="81" t="str">
        <f aca="false">IF(OR(H$4="",MONTH(($G$2+1))&lt;&gt;MONTH($C$2)),"",IF(COUNTIFS(m_teacher,H$4,m_date,($G$2+1),m_active,1,m_start,"&lt;"&amp;1080,m_end,"&gt;"&amp;1020)=0,"",IF(COUNTIFS(m_teacher,H$4,m_date,($G$2+1),m_active,1,m_start,"&lt;"&amp;1080,m_end,"&gt;"&amp;1020)&gt;1,"충돌",HYPERLINK("#'관리자_MASTER'!D"&amp;_xlfn.MAXIFS(m_row,m_teacher,H$4,m_date,($G$2+1),m_active,1,m_start,"&lt;"&amp;1080,m_end,"&gt;"&amp;1020),INDEX(m_label,_xlfn.MAXIFS(m_row,m_teacher,H$4,m_date,($G$2+1),m_active,1,m_start,"&lt;"&amp;1080,m_end,"&gt;"&amp;1020))))))</f>
        <v/>
      </c>
      <c r="I24" s="81" t="str">
        <f aca="false">IF(OR(I$4="",MONTH(($G$2+1))&lt;&gt;MONTH($C$2)),"",IF(COUNTIFS(m_teacher,I$4,m_date,($G$2+1),m_active,1,m_start,"&lt;"&amp;1080,m_end,"&gt;"&amp;1020)=0,"",IF(COUNTIFS(m_teacher,I$4,m_date,($G$2+1),m_active,1,m_start,"&lt;"&amp;1080,m_end,"&gt;"&amp;1020)&gt;1,"충돌",HYPERLINK("#'관리자_MASTER'!D"&amp;_xlfn.MAXIFS(m_row,m_teacher,I$4,m_date,($G$2+1),m_active,1,m_start,"&lt;"&amp;1080,m_end,"&gt;"&amp;1020),INDEX(m_label,_xlfn.MAXIFS(m_row,m_teacher,I$4,m_date,($G$2+1),m_active,1,m_start,"&lt;"&amp;1080,m_end,"&gt;"&amp;1020))))))</f>
        <v/>
      </c>
      <c r="J24" s="81" t="str">
        <f aca="false">IF(OR(J$4="",MONTH(($G$2+1))&lt;&gt;MONTH($C$2)),"",IF(COUNTIFS(m_teacher,J$4,m_date,($G$2+1),m_active,1,m_start,"&lt;"&amp;1080,m_end,"&gt;"&amp;1020)=0,"",IF(COUNTIFS(m_teacher,J$4,m_date,($G$2+1),m_active,1,m_start,"&lt;"&amp;1080,m_end,"&gt;"&amp;1020)&gt;1,"충돌",HYPERLINK("#'관리자_MASTER'!D"&amp;_xlfn.MAXIFS(m_row,m_teacher,J$4,m_date,($G$2+1),m_active,1,m_start,"&lt;"&amp;1080,m_end,"&gt;"&amp;1020),INDEX(m_label,_xlfn.MAXIFS(m_row,m_teacher,J$4,m_date,($G$2+1),m_active,1,m_start,"&lt;"&amp;1080,m_end,"&gt;"&amp;1020))))))</f>
        <v/>
      </c>
      <c r="K24" s="81" t="str">
        <f aca="false">IF(OR(K$4="",MONTH(($G$2+1))&lt;&gt;MONTH($C$2)),"",IF(COUNTIFS(m_teacher,K$4,m_date,($G$2+1),m_active,1,m_start,"&lt;"&amp;1080,m_end,"&gt;"&amp;1020)=0,"",IF(COUNTIFS(m_teacher,K$4,m_date,($G$2+1),m_active,1,m_start,"&lt;"&amp;1080,m_end,"&gt;"&amp;1020)&gt;1,"충돌",HYPERLINK("#'관리자_MASTER'!D"&amp;_xlfn.MAXIFS(m_row,m_teacher,K$4,m_date,($G$2+1),m_active,1,m_start,"&lt;"&amp;1080,m_end,"&gt;"&amp;1020),INDEX(m_label,_xlfn.MAXIFS(m_row,m_teacher,K$4,m_date,($G$2+1),m_active,1,m_start,"&lt;"&amp;1080,m_end,"&gt;"&amp;1020))))))</f>
        <v/>
      </c>
      <c r="L24" s="81" t="str">
        <f aca="false">IF(OR(L$4="",MONTH(($G$2+1))&lt;&gt;MONTH($C$2)),"",IF(COUNTIFS(m_teacher,L$4,m_date,($G$2+1),m_active,1,m_start,"&lt;"&amp;1080,m_end,"&gt;"&amp;1020)=0,"",IF(COUNTIFS(m_teacher,L$4,m_date,($G$2+1),m_active,1,m_start,"&lt;"&amp;1080,m_end,"&gt;"&amp;1020)&gt;1,"충돌",HYPERLINK("#'관리자_MASTER'!D"&amp;_xlfn.MAXIFS(m_row,m_teacher,L$4,m_date,($G$2+1),m_active,1,m_start,"&lt;"&amp;1080,m_end,"&gt;"&amp;1020),INDEX(m_label,_xlfn.MAXIFS(m_row,m_teacher,L$4,m_date,($G$2+1),m_active,1,m_start,"&lt;"&amp;1080,m_end,"&gt;"&amp;1020))))))</f>
        <v/>
      </c>
      <c r="M24" s="81" t="str">
        <f aca="false">IF(OR(M$4="",MONTH(($G$2+1))&lt;&gt;MONTH($C$2)),"",IF(COUNTIFS(m_teacher,M$4,m_date,($G$2+1),m_active,1,m_start,"&lt;"&amp;1080,m_end,"&gt;"&amp;1020)=0,"",IF(COUNTIFS(m_teacher,M$4,m_date,($G$2+1),m_active,1,m_start,"&lt;"&amp;1080,m_end,"&gt;"&amp;1020)&gt;1,"충돌",HYPERLINK("#'관리자_MASTER'!D"&amp;_xlfn.MAXIFS(m_row,m_teacher,M$4,m_date,($G$2+1),m_active,1,m_start,"&lt;"&amp;1080,m_end,"&gt;"&amp;1020),INDEX(m_label,_xlfn.MAXIFS(m_row,m_teacher,M$4,m_date,($G$2+1),m_active,1,m_start,"&lt;"&amp;1080,m_end,"&gt;"&amp;1020))))))</f>
        <v/>
      </c>
      <c r="N24" s="81" t="str">
        <f aca="false">IF(OR(N$4="",MONTH(($G$2+1))&lt;&gt;MONTH($C$2)),"",IF(COUNTIFS(m_teacher,N$4,m_date,($G$2+1),m_active,1,m_start,"&lt;"&amp;1080,m_end,"&gt;"&amp;1020)=0,"",IF(COUNTIFS(m_teacher,N$4,m_date,($G$2+1),m_active,1,m_start,"&lt;"&amp;1080,m_end,"&gt;"&amp;1020)&gt;1,"충돌",HYPERLINK("#'관리자_MASTER'!D"&amp;_xlfn.MAXIFS(m_row,m_teacher,N$4,m_date,($G$2+1),m_active,1,m_start,"&lt;"&amp;1080,m_end,"&gt;"&amp;1020),INDEX(m_label,_xlfn.MAXIFS(m_row,m_teacher,N$4,m_date,($G$2+1),m_active,1,m_start,"&lt;"&amp;1080,m_end,"&gt;"&amp;1020))))))</f>
        <v/>
      </c>
      <c r="O24" s="78"/>
      <c r="P24" s="79" t="s">
        <v>99</v>
      </c>
      <c r="Q24" s="88" t="str">
        <f aca="false">IF(OR(Q$4="",MONTH(($G$2+8))&lt;&gt;MONTH($C$2)),"",IF(COUNTIFS(m_teacher,Q$4,m_date,($G$2+8),m_active,1,m_start,"&lt;"&amp;1080,m_end,"&gt;"&amp;1020)=0,"",IF(COUNTIFS(m_teacher,Q$4,m_date,($G$2+8),m_active,1,m_start,"&lt;"&amp;1080,m_end,"&gt;"&amp;1020)&gt;1,"충돌",HYPERLINK("#'관리자_MASTER'!D"&amp;_xlfn.MAXIFS(m_row,m_teacher,Q$4,m_date,($G$2+8),m_active,1,m_start,"&lt;"&amp;1080,m_end,"&gt;"&amp;1020),INDEX(m_label,_xlfn.MAXIFS(m_row,m_teacher,Q$4,m_date,($G$2+8),m_active,1,m_start,"&lt;"&amp;1080,m_end,"&gt;"&amp;1020))))))</f>
        <v/>
      </c>
      <c r="R24" s="88" t="str">
        <f aca="false">IF(OR(R$4="",MONTH(($G$2+8))&lt;&gt;MONTH($C$2)),"",IF(COUNTIFS(m_teacher,R$4,m_date,($G$2+8),m_active,1,m_start,"&lt;"&amp;1080,m_end,"&gt;"&amp;1020)=0,"",IF(COUNTIFS(m_teacher,R$4,m_date,($G$2+8),m_active,1,m_start,"&lt;"&amp;1080,m_end,"&gt;"&amp;1020)&gt;1,"충돌",HYPERLINK("#'관리자_MASTER'!D"&amp;_xlfn.MAXIFS(m_row,m_teacher,R$4,m_date,($G$2+8),m_active,1,m_start,"&lt;"&amp;1080,m_end,"&gt;"&amp;1020),INDEX(m_label,_xlfn.MAXIFS(m_row,m_teacher,R$4,m_date,($G$2+8),m_active,1,m_start,"&lt;"&amp;1080,m_end,"&gt;"&amp;1020))))))</f>
        <v/>
      </c>
      <c r="S24" s="88" t="str">
        <f aca="false">IF(OR(S$4="",MONTH(($G$2+8))&lt;&gt;MONTH($C$2)),"",IF(COUNTIFS(m_teacher,S$4,m_date,($G$2+8),m_active,1,m_start,"&lt;"&amp;1080,m_end,"&gt;"&amp;1020)=0,"",IF(COUNTIFS(m_teacher,S$4,m_date,($G$2+8),m_active,1,m_start,"&lt;"&amp;1080,m_end,"&gt;"&amp;1020)&gt;1,"충돌",HYPERLINK("#'관리자_MASTER'!D"&amp;_xlfn.MAXIFS(m_row,m_teacher,S$4,m_date,($G$2+8),m_active,1,m_start,"&lt;"&amp;1080,m_end,"&gt;"&amp;1020),INDEX(m_label,_xlfn.MAXIFS(m_row,m_teacher,S$4,m_date,($G$2+8),m_active,1,m_start,"&lt;"&amp;1080,m_end,"&gt;"&amp;1020))))))</f>
        <v/>
      </c>
      <c r="T24" s="88" t="str">
        <f aca="false">IF(OR(T$4="",MONTH(($G$2+8))&lt;&gt;MONTH($C$2)),"",IF(COUNTIFS(m_teacher,T$4,m_date,($G$2+8),m_active,1,m_start,"&lt;"&amp;1080,m_end,"&gt;"&amp;1020)=0,"",IF(COUNTIFS(m_teacher,T$4,m_date,($G$2+8),m_active,1,m_start,"&lt;"&amp;1080,m_end,"&gt;"&amp;1020)&gt;1,"충돌",HYPERLINK("#'관리자_MASTER'!D"&amp;_xlfn.MAXIFS(m_row,m_teacher,T$4,m_date,($G$2+8),m_active,1,m_start,"&lt;"&amp;1080,m_end,"&gt;"&amp;1020),INDEX(m_label,_xlfn.MAXIFS(m_row,m_teacher,T$4,m_date,($G$2+8),m_active,1,m_start,"&lt;"&amp;1080,m_end,"&gt;"&amp;1020))))))</f>
        <v/>
      </c>
      <c r="U24" s="88" t="str">
        <f aca="false">IF(OR(U$4="",MONTH(($G$2+8))&lt;&gt;MONTH($C$2)),"",IF(COUNTIFS(m_teacher,U$4,m_date,($G$2+8),m_active,1,m_start,"&lt;"&amp;1080,m_end,"&gt;"&amp;1020)=0,"",IF(COUNTIFS(m_teacher,U$4,m_date,($G$2+8),m_active,1,m_start,"&lt;"&amp;1080,m_end,"&gt;"&amp;1020)&gt;1,"충돌",HYPERLINK("#'관리자_MASTER'!D"&amp;_xlfn.MAXIFS(m_row,m_teacher,U$4,m_date,($G$2+8),m_active,1,m_start,"&lt;"&amp;1080,m_end,"&gt;"&amp;1020),INDEX(m_label,_xlfn.MAXIFS(m_row,m_teacher,U$4,m_date,($G$2+8),m_active,1,m_start,"&lt;"&amp;1080,m_end,"&gt;"&amp;1020))))))</f>
        <v/>
      </c>
      <c r="V24" s="88" t="str">
        <f aca="false">IF(OR(V$4="",MONTH(($G$2+8))&lt;&gt;MONTH($C$2)),"",IF(COUNTIFS(m_teacher,V$4,m_date,($G$2+8),m_active,1,m_start,"&lt;"&amp;1080,m_end,"&gt;"&amp;1020)=0,"",IF(COUNTIFS(m_teacher,V$4,m_date,($G$2+8),m_active,1,m_start,"&lt;"&amp;1080,m_end,"&gt;"&amp;1020)&gt;1,"충돌",HYPERLINK("#'관리자_MASTER'!D"&amp;_xlfn.MAXIFS(m_row,m_teacher,V$4,m_date,($G$2+8),m_active,1,m_start,"&lt;"&amp;1080,m_end,"&gt;"&amp;1020),INDEX(m_label,_xlfn.MAXIFS(m_row,m_teacher,V$4,m_date,($G$2+8),m_active,1,m_start,"&lt;"&amp;1080,m_end,"&gt;"&amp;1020))))))</f>
        <v/>
      </c>
      <c r="W24" s="88" t="str">
        <f aca="false">IF(OR(W$4="",MONTH(($G$2+8))&lt;&gt;MONTH($C$2)),"",IF(COUNTIFS(m_teacher,W$4,m_date,($G$2+8),m_active,1,m_start,"&lt;"&amp;1080,m_end,"&gt;"&amp;1020)=0,"",IF(COUNTIFS(m_teacher,W$4,m_date,($G$2+8),m_active,1,m_start,"&lt;"&amp;1080,m_end,"&gt;"&amp;1020)&gt;1,"충돌",HYPERLINK("#'관리자_MASTER'!D"&amp;_xlfn.MAXIFS(m_row,m_teacher,W$4,m_date,($G$2+8),m_active,1,m_start,"&lt;"&amp;1080,m_end,"&gt;"&amp;1020),INDEX(m_label,_xlfn.MAXIFS(m_row,m_teacher,W$4,m_date,($G$2+8),m_active,1,m_start,"&lt;"&amp;1080,m_end,"&gt;"&amp;1020))))))</f>
        <v/>
      </c>
      <c r="X24" s="88" t="str">
        <f aca="false">IF(OR(X$4="",MONTH(($G$2+8))&lt;&gt;MONTH($C$2)),"",IF(COUNTIFS(m_teacher,X$4,m_date,($G$2+8),m_active,1,m_start,"&lt;"&amp;1080,m_end,"&gt;"&amp;1020)=0,"",IF(COUNTIFS(m_teacher,X$4,m_date,($G$2+8),m_active,1,m_start,"&lt;"&amp;1080,m_end,"&gt;"&amp;1020)&gt;1,"충돌",HYPERLINK("#'관리자_MASTER'!D"&amp;_xlfn.MAXIFS(m_row,m_teacher,X$4,m_date,($G$2+8),m_active,1,m_start,"&lt;"&amp;1080,m_end,"&gt;"&amp;1020),INDEX(m_label,_xlfn.MAXIFS(m_row,m_teacher,X$4,m_date,($G$2+8),m_active,1,m_start,"&lt;"&amp;1080,m_end,"&gt;"&amp;1020))))))</f>
        <v/>
      </c>
      <c r="Y24" s="88" t="str">
        <f aca="false">IF(OR(Y$4="",MONTH(($G$2+8))&lt;&gt;MONTH($C$2)),"",IF(COUNTIFS(m_teacher,Y$4,m_date,($G$2+8),m_active,1,m_start,"&lt;"&amp;1080,m_end,"&gt;"&amp;1020)=0,"",IF(COUNTIFS(m_teacher,Y$4,m_date,($G$2+8),m_active,1,m_start,"&lt;"&amp;1080,m_end,"&gt;"&amp;1020)&gt;1,"충돌",HYPERLINK("#'관리자_MASTER'!D"&amp;_xlfn.MAXIFS(m_row,m_teacher,Y$4,m_date,($G$2+8),m_active,1,m_start,"&lt;"&amp;1080,m_end,"&gt;"&amp;1020),INDEX(m_label,_xlfn.MAXIFS(m_row,m_teacher,Y$4,m_date,($G$2+8),m_active,1,m_start,"&lt;"&amp;1080,m_end,"&gt;"&amp;1020))))))</f>
        <v/>
      </c>
      <c r="Z24" s="88" t="str">
        <f aca="false">IF(OR(Z$4="",MONTH(($G$2+8))&lt;&gt;MONTH($C$2)),"",IF(COUNTIFS(m_teacher,Z$4,m_date,($G$2+8),m_active,1,m_start,"&lt;"&amp;1080,m_end,"&gt;"&amp;1020)=0,"",IF(COUNTIFS(m_teacher,Z$4,m_date,($G$2+8),m_active,1,m_start,"&lt;"&amp;1080,m_end,"&gt;"&amp;1020)&gt;1,"충돌",HYPERLINK("#'관리자_MASTER'!D"&amp;_xlfn.MAXIFS(m_row,m_teacher,Z$4,m_date,($G$2+8),m_active,1,m_start,"&lt;"&amp;1080,m_end,"&gt;"&amp;1020),INDEX(m_label,_xlfn.MAXIFS(m_row,m_teacher,Z$4,m_date,($G$2+8),m_active,1,m_start,"&lt;"&amp;1080,m_end,"&gt;"&amp;1020))))))</f>
        <v/>
      </c>
      <c r="AA24" s="88" t="str">
        <f aca="false">IF(OR(AA$4="",MONTH(($G$2+8))&lt;&gt;MONTH($C$2)),"",IF(COUNTIFS(m_teacher,AA$4,m_date,($G$2+8),m_active,1,m_start,"&lt;"&amp;1080,m_end,"&gt;"&amp;1020)=0,"",IF(COUNTIFS(m_teacher,AA$4,m_date,($G$2+8),m_active,1,m_start,"&lt;"&amp;1080,m_end,"&gt;"&amp;1020)&gt;1,"충돌",HYPERLINK("#'관리자_MASTER'!D"&amp;_xlfn.MAXIFS(m_row,m_teacher,AA$4,m_date,($G$2+8),m_active,1,m_start,"&lt;"&amp;1080,m_end,"&gt;"&amp;1020),INDEX(m_label,_xlfn.MAXIFS(m_row,m_teacher,AA$4,m_date,($G$2+8),m_active,1,m_start,"&lt;"&amp;1080,m_end,"&gt;"&amp;1020))))))</f>
        <v/>
      </c>
      <c r="AB24" s="88" t="str">
        <f aca="false">IF(OR(AB$4="",MONTH(($G$2+8))&lt;&gt;MONTH($C$2)),"",IF(COUNTIFS(m_teacher,AB$4,m_date,($G$2+8),m_active,1,m_start,"&lt;"&amp;1080,m_end,"&gt;"&amp;1020)=0,"",IF(COUNTIFS(m_teacher,AB$4,m_date,($G$2+8),m_active,1,m_start,"&lt;"&amp;1080,m_end,"&gt;"&amp;1020)&gt;1,"충돌",HYPERLINK("#'관리자_MASTER'!D"&amp;_xlfn.MAXIFS(m_row,m_teacher,AB$4,m_date,($G$2+8),m_active,1,m_start,"&lt;"&amp;1080,m_end,"&gt;"&amp;1020),INDEX(m_label,_xlfn.MAXIFS(m_row,m_teacher,AB$4,m_date,($G$2+8),m_active,1,m_start,"&lt;"&amp;1080,m_end,"&gt;"&amp;1020))))))</f>
        <v/>
      </c>
      <c r="AC24" s="78"/>
      <c r="AD24" s="79" t="s">
        <v>99</v>
      </c>
      <c r="AE24" s="88" t="str">
        <f aca="false">IF(OR(AE$4="",MONTH(($G$2+15))&lt;&gt;MONTH($C$2)),"",IF(COUNTIFS(m_teacher,AE$4,m_date,($G$2+15),m_active,1,m_start,"&lt;"&amp;1080,m_end,"&gt;"&amp;1020)=0,"",IF(COUNTIFS(m_teacher,AE$4,m_date,($G$2+15),m_active,1,m_start,"&lt;"&amp;1080,m_end,"&gt;"&amp;1020)&gt;1,"충돌",HYPERLINK("#'관리자_MASTER'!D"&amp;_xlfn.MAXIFS(m_row,m_teacher,AE$4,m_date,($G$2+15),m_active,1,m_start,"&lt;"&amp;1080,m_end,"&gt;"&amp;1020),INDEX(m_label,_xlfn.MAXIFS(m_row,m_teacher,AE$4,m_date,($G$2+15),m_active,1,m_start,"&lt;"&amp;1080,m_end,"&gt;"&amp;1020))))))</f>
        <v/>
      </c>
      <c r="AF24" s="88" t="str">
        <f aca="false">IF(OR(AF$4="",MONTH(($G$2+15))&lt;&gt;MONTH($C$2)),"",IF(COUNTIFS(m_teacher,AF$4,m_date,($G$2+15),m_active,1,m_start,"&lt;"&amp;1080,m_end,"&gt;"&amp;1020)=0,"",IF(COUNTIFS(m_teacher,AF$4,m_date,($G$2+15),m_active,1,m_start,"&lt;"&amp;1080,m_end,"&gt;"&amp;1020)&gt;1,"충돌",HYPERLINK("#'관리자_MASTER'!D"&amp;_xlfn.MAXIFS(m_row,m_teacher,AF$4,m_date,($G$2+15),m_active,1,m_start,"&lt;"&amp;1080,m_end,"&gt;"&amp;1020),INDEX(m_label,_xlfn.MAXIFS(m_row,m_teacher,AF$4,m_date,($G$2+15),m_active,1,m_start,"&lt;"&amp;1080,m_end,"&gt;"&amp;1020))))))</f>
        <v/>
      </c>
      <c r="AG24" s="88" t="str">
        <f aca="false">IF(OR(AG$4="",MONTH(($G$2+15))&lt;&gt;MONTH($C$2)),"",IF(COUNTIFS(m_teacher,AG$4,m_date,($G$2+15),m_active,1,m_start,"&lt;"&amp;1080,m_end,"&gt;"&amp;1020)=0,"",IF(COUNTIFS(m_teacher,AG$4,m_date,($G$2+15),m_active,1,m_start,"&lt;"&amp;1080,m_end,"&gt;"&amp;1020)&gt;1,"충돌",HYPERLINK("#'관리자_MASTER'!D"&amp;_xlfn.MAXIFS(m_row,m_teacher,AG$4,m_date,($G$2+15),m_active,1,m_start,"&lt;"&amp;1080,m_end,"&gt;"&amp;1020),INDEX(m_label,_xlfn.MAXIFS(m_row,m_teacher,AG$4,m_date,($G$2+15),m_active,1,m_start,"&lt;"&amp;1080,m_end,"&gt;"&amp;1020))))))</f>
        <v/>
      </c>
      <c r="AH24" s="88" t="str">
        <f aca="false">IF(OR(AH$4="",MONTH(($G$2+15))&lt;&gt;MONTH($C$2)),"",IF(COUNTIFS(m_teacher,AH$4,m_date,($G$2+15),m_active,1,m_start,"&lt;"&amp;1080,m_end,"&gt;"&amp;1020)=0,"",IF(COUNTIFS(m_teacher,AH$4,m_date,($G$2+15),m_active,1,m_start,"&lt;"&amp;1080,m_end,"&gt;"&amp;1020)&gt;1,"충돌",HYPERLINK("#'관리자_MASTER'!D"&amp;_xlfn.MAXIFS(m_row,m_teacher,AH$4,m_date,($G$2+15),m_active,1,m_start,"&lt;"&amp;1080,m_end,"&gt;"&amp;1020),INDEX(m_label,_xlfn.MAXIFS(m_row,m_teacher,AH$4,m_date,($G$2+15),m_active,1,m_start,"&lt;"&amp;1080,m_end,"&gt;"&amp;1020))))))</f>
        <v/>
      </c>
      <c r="AI24" s="88" t="str">
        <f aca="false">IF(OR(AI$4="",MONTH(($G$2+15))&lt;&gt;MONTH($C$2)),"",IF(COUNTIFS(m_teacher,AI$4,m_date,($G$2+15),m_active,1,m_start,"&lt;"&amp;1080,m_end,"&gt;"&amp;1020)=0,"",IF(COUNTIFS(m_teacher,AI$4,m_date,($G$2+15),m_active,1,m_start,"&lt;"&amp;1080,m_end,"&gt;"&amp;1020)&gt;1,"충돌",HYPERLINK("#'관리자_MASTER'!D"&amp;_xlfn.MAXIFS(m_row,m_teacher,AI$4,m_date,($G$2+15),m_active,1,m_start,"&lt;"&amp;1080,m_end,"&gt;"&amp;1020),INDEX(m_label,_xlfn.MAXIFS(m_row,m_teacher,AI$4,m_date,($G$2+15),m_active,1,m_start,"&lt;"&amp;1080,m_end,"&gt;"&amp;1020))))))</f>
        <v/>
      </c>
      <c r="AJ24" s="88" t="str">
        <f aca="false">IF(OR(AJ$4="",MONTH(($G$2+15))&lt;&gt;MONTH($C$2)),"",IF(COUNTIFS(m_teacher,AJ$4,m_date,($G$2+15),m_active,1,m_start,"&lt;"&amp;1080,m_end,"&gt;"&amp;1020)=0,"",IF(COUNTIFS(m_teacher,AJ$4,m_date,($G$2+15),m_active,1,m_start,"&lt;"&amp;1080,m_end,"&gt;"&amp;1020)&gt;1,"충돌",HYPERLINK("#'관리자_MASTER'!D"&amp;_xlfn.MAXIFS(m_row,m_teacher,AJ$4,m_date,($G$2+15),m_active,1,m_start,"&lt;"&amp;1080,m_end,"&gt;"&amp;1020),INDEX(m_label,_xlfn.MAXIFS(m_row,m_teacher,AJ$4,m_date,($G$2+15),m_active,1,m_start,"&lt;"&amp;1080,m_end,"&gt;"&amp;1020))))))</f>
        <v/>
      </c>
      <c r="AK24" s="88" t="str">
        <f aca="false">IF(OR(AK$4="",MONTH(($G$2+15))&lt;&gt;MONTH($C$2)),"",IF(COUNTIFS(m_teacher,AK$4,m_date,($G$2+15),m_active,1,m_start,"&lt;"&amp;1080,m_end,"&gt;"&amp;1020)=0,"",IF(COUNTIFS(m_teacher,AK$4,m_date,($G$2+15),m_active,1,m_start,"&lt;"&amp;1080,m_end,"&gt;"&amp;1020)&gt;1,"충돌",HYPERLINK("#'관리자_MASTER'!D"&amp;_xlfn.MAXIFS(m_row,m_teacher,AK$4,m_date,($G$2+15),m_active,1,m_start,"&lt;"&amp;1080,m_end,"&gt;"&amp;1020),INDEX(m_label,_xlfn.MAXIFS(m_row,m_teacher,AK$4,m_date,($G$2+15),m_active,1,m_start,"&lt;"&amp;1080,m_end,"&gt;"&amp;1020))))))</f>
        <v/>
      </c>
      <c r="AL24" s="88" t="str">
        <f aca="false">IF(OR(AL$4="",MONTH(($G$2+15))&lt;&gt;MONTH($C$2)),"",IF(COUNTIFS(m_teacher,AL$4,m_date,($G$2+15),m_active,1,m_start,"&lt;"&amp;1080,m_end,"&gt;"&amp;1020)=0,"",IF(COUNTIFS(m_teacher,AL$4,m_date,($G$2+15),m_active,1,m_start,"&lt;"&amp;1080,m_end,"&gt;"&amp;1020)&gt;1,"충돌",HYPERLINK("#'관리자_MASTER'!D"&amp;_xlfn.MAXIFS(m_row,m_teacher,AL$4,m_date,($G$2+15),m_active,1,m_start,"&lt;"&amp;1080,m_end,"&gt;"&amp;1020),INDEX(m_label,_xlfn.MAXIFS(m_row,m_teacher,AL$4,m_date,($G$2+15),m_active,1,m_start,"&lt;"&amp;1080,m_end,"&gt;"&amp;1020))))))</f>
        <v/>
      </c>
      <c r="AM24" s="88" t="str">
        <f aca="false">IF(OR(AM$4="",MONTH(($G$2+15))&lt;&gt;MONTH($C$2)),"",IF(COUNTIFS(m_teacher,AM$4,m_date,($G$2+15),m_active,1,m_start,"&lt;"&amp;1080,m_end,"&gt;"&amp;1020)=0,"",IF(COUNTIFS(m_teacher,AM$4,m_date,($G$2+15),m_active,1,m_start,"&lt;"&amp;1080,m_end,"&gt;"&amp;1020)&gt;1,"충돌",HYPERLINK("#'관리자_MASTER'!D"&amp;_xlfn.MAXIFS(m_row,m_teacher,AM$4,m_date,($G$2+15),m_active,1,m_start,"&lt;"&amp;1080,m_end,"&gt;"&amp;1020),INDEX(m_label,_xlfn.MAXIFS(m_row,m_teacher,AM$4,m_date,($G$2+15),m_active,1,m_start,"&lt;"&amp;1080,m_end,"&gt;"&amp;1020))))))</f>
        <v/>
      </c>
      <c r="AN24" s="88" t="str">
        <f aca="false">IF(OR(AN$4="",MONTH(($G$2+15))&lt;&gt;MONTH($C$2)),"",IF(COUNTIFS(m_teacher,AN$4,m_date,($G$2+15),m_active,1,m_start,"&lt;"&amp;1080,m_end,"&gt;"&amp;1020)=0,"",IF(COUNTIFS(m_teacher,AN$4,m_date,($G$2+15),m_active,1,m_start,"&lt;"&amp;1080,m_end,"&gt;"&amp;1020)&gt;1,"충돌",HYPERLINK("#'관리자_MASTER'!D"&amp;_xlfn.MAXIFS(m_row,m_teacher,AN$4,m_date,($G$2+15),m_active,1,m_start,"&lt;"&amp;1080,m_end,"&gt;"&amp;1020),INDEX(m_label,_xlfn.MAXIFS(m_row,m_teacher,AN$4,m_date,($G$2+15),m_active,1,m_start,"&lt;"&amp;1080,m_end,"&gt;"&amp;1020))))))</f>
        <v/>
      </c>
      <c r="AO24" s="88" t="str">
        <f aca="false">IF(OR(AO$4="",MONTH(($G$2+15))&lt;&gt;MONTH($C$2)),"",IF(COUNTIFS(m_teacher,AO$4,m_date,($G$2+15),m_active,1,m_start,"&lt;"&amp;1080,m_end,"&gt;"&amp;1020)=0,"",IF(COUNTIFS(m_teacher,AO$4,m_date,($G$2+15),m_active,1,m_start,"&lt;"&amp;1080,m_end,"&gt;"&amp;1020)&gt;1,"충돌",HYPERLINK("#'관리자_MASTER'!D"&amp;_xlfn.MAXIFS(m_row,m_teacher,AO$4,m_date,($G$2+15),m_active,1,m_start,"&lt;"&amp;1080,m_end,"&gt;"&amp;1020),INDEX(m_label,_xlfn.MAXIFS(m_row,m_teacher,AO$4,m_date,($G$2+15),m_active,1,m_start,"&lt;"&amp;1080,m_end,"&gt;"&amp;1020))))))</f>
        <v/>
      </c>
      <c r="AP24" s="88" t="str">
        <f aca="false">IF(OR(AP$4="",MONTH(($G$2+15))&lt;&gt;MONTH($C$2)),"",IF(COUNTIFS(m_teacher,AP$4,m_date,($G$2+15),m_active,1,m_start,"&lt;"&amp;1080,m_end,"&gt;"&amp;1020)=0,"",IF(COUNTIFS(m_teacher,AP$4,m_date,($G$2+15),m_active,1,m_start,"&lt;"&amp;1080,m_end,"&gt;"&amp;1020)&gt;1,"충돌",HYPERLINK("#'관리자_MASTER'!D"&amp;_xlfn.MAXIFS(m_row,m_teacher,AP$4,m_date,($G$2+15),m_active,1,m_start,"&lt;"&amp;1080,m_end,"&gt;"&amp;1020),INDEX(m_label,_xlfn.MAXIFS(m_row,m_teacher,AP$4,m_date,($G$2+15),m_active,1,m_start,"&lt;"&amp;1080,m_end,"&gt;"&amp;1020))))))</f>
        <v/>
      </c>
      <c r="AQ24" s="78"/>
      <c r="AR24" s="79" t="s">
        <v>99</v>
      </c>
      <c r="AS24" s="88" t="str">
        <f aca="false">IF(OR(AS$4="",MONTH(($G$2+22))&lt;&gt;MONTH($C$2)),"",IF(COUNTIFS(m_teacher,AS$4,m_date,($G$2+22),m_active,1,m_start,"&lt;"&amp;1080,m_end,"&gt;"&amp;1020)=0,"",IF(COUNTIFS(m_teacher,AS$4,m_date,($G$2+22),m_active,1,m_start,"&lt;"&amp;1080,m_end,"&gt;"&amp;1020)&gt;1,"충돌",HYPERLINK("#'관리자_MASTER'!D"&amp;_xlfn.MAXIFS(m_row,m_teacher,AS$4,m_date,($G$2+22),m_active,1,m_start,"&lt;"&amp;1080,m_end,"&gt;"&amp;1020),INDEX(m_label,_xlfn.MAXIFS(m_row,m_teacher,AS$4,m_date,($G$2+22),m_active,1,m_start,"&lt;"&amp;1080,m_end,"&gt;"&amp;1020))))))</f>
        <v/>
      </c>
      <c r="AT24" s="88" t="str">
        <f aca="false">IF(OR(AT$4="",MONTH(($G$2+22))&lt;&gt;MONTH($C$2)),"",IF(COUNTIFS(m_teacher,AT$4,m_date,($G$2+22),m_active,1,m_start,"&lt;"&amp;1080,m_end,"&gt;"&amp;1020)=0,"",IF(COUNTIFS(m_teacher,AT$4,m_date,($G$2+22),m_active,1,m_start,"&lt;"&amp;1080,m_end,"&gt;"&amp;1020)&gt;1,"충돌",HYPERLINK("#'관리자_MASTER'!D"&amp;_xlfn.MAXIFS(m_row,m_teacher,AT$4,m_date,($G$2+22),m_active,1,m_start,"&lt;"&amp;1080,m_end,"&gt;"&amp;1020),INDEX(m_label,_xlfn.MAXIFS(m_row,m_teacher,AT$4,m_date,($G$2+22),m_active,1,m_start,"&lt;"&amp;1080,m_end,"&gt;"&amp;1020))))))</f>
        <v/>
      </c>
      <c r="AU24" s="88" t="str">
        <f aca="false">IF(OR(AU$4="",MONTH(($G$2+22))&lt;&gt;MONTH($C$2)),"",IF(COUNTIFS(m_teacher,AU$4,m_date,($G$2+22),m_active,1,m_start,"&lt;"&amp;1080,m_end,"&gt;"&amp;1020)=0,"",IF(COUNTIFS(m_teacher,AU$4,m_date,($G$2+22),m_active,1,m_start,"&lt;"&amp;1080,m_end,"&gt;"&amp;1020)&gt;1,"충돌",HYPERLINK("#'관리자_MASTER'!D"&amp;_xlfn.MAXIFS(m_row,m_teacher,AU$4,m_date,($G$2+22),m_active,1,m_start,"&lt;"&amp;1080,m_end,"&gt;"&amp;1020),INDEX(m_label,_xlfn.MAXIFS(m_row,m_teacher,AU$4,m_date,($G$2+22),m_active,1,m_start,"&lt;"&amp;1080,m_end,"&gt;"&amp;1020))))))</f>
        <v/>
      </c>
      <c r="AV24" s="88" t="str">
        <f aca="false">IF(OR(AV$4="",MONTH(($G$2+22))&lt;&gt;MONTH($C$2)),"",IF(COUNTIFS(m_teacher,AV$4,m_date,($G$2+22),m_active,1,m_start,"&lt;"&amp;1080,m_end,"&gt;"&amp;1020)=0,"",IF(COUNTIFS(m_teacher,AV$4,m_date,($G$2+22),m_active,1,m_start,"&lt;"&amp;1080,m_end,"&gt;"&amp;1020)&gt;1,"충돌",HYPERLINK("#'관리자_MASTER'!D"&amp;_xlfn.MAXIFS(m_row,m_teacher,AV$4,m_date,($G$2+22),m_active,1,m_start,"&lt;"&amp;1080,m_end,"&gt;"&amp;1020),INDEX(m_label,_xlfn.MAXIFS(m_row,m_teacher,AV$4,m_date,($G$2+22),m_active,1,m_start,"&lt;"&amp;1080,m_end,"&gt;"&amp;1020))))))</f>
        <v/>
      </c>
      <c r="AW24" s="88" t="str">
        <f aca="false">IF(OR(AW$4="",MONTH(($G$2+22))&lt;&gt;MONTH($C$2)),"",IF(COUNTIFS(m_teacher,AW$4,m_date,($G$2+22),m_active,1,m_start,"&lt;"&amp;1080,m_end,"&gt;"&amp;1020)=0,"",IF(COUNTIFS(m_teacher,AW$4,m_date,($G$2+22),m_active,1,m_start,"&lt;"&amp;1080,m_end,"&gt;"&amp;1020)&gt;1,"충돌",HYPERLINK("#'관리자_MASTER'!D"&amp;_xlfn.MAXIFS(m_row,m_teacher,AW$4,m_date,($G$2+22),m_active,1,m_start,"&lt;"&amp;1080,m_end,"&gt;"&amp;1020),INDEX(m_label,_xlfn.MAXIFS(m_row,m_teacher,AW$4,m_date,($G$2+22),m_active,1,m_start,"&lt;"&amp;1080,m_end,"&gt;"&amp;1020))))))</f>
        <v/>
      </c>
      <c r="AX24" s="88" t="str">
        <f aca="false">IF(OR(AX$4="",MONTH(($G$2+22))&lt;&gt;MONTH($C$2)),"",IF(COUNTIFS(m_teacher,AX$4,m_date,($G$2+22),m_active,1,m_start,"&lt;"&amp;1080,m_end,"&gt;"&amp;1020)=0,"",IF(COUNTIFS(m_teacher,AX$4,m_date,($G$2+22),m_active,1,m_start,"&lt;"&amp;1080,m_end,"&gt;"&amp;1020)&gt;1,"충돌",HYPERLINK("#'관리자_MASTER'!D"&amp;_xlfn.MAXIFS(m_row,m_teacher,AX$4,m_date,($G$2+22),m_active,1,m_start,"&lt;"&amp;1080,m_end,"&gt;"&amp;1020),INDEX(m_label,_xlfn.MAXIFS(m_row,m_teacher,AX$4,m_date,($G$2+22),m_active,1,m_start,"&lt;"&amp;1080,m_end,"&gt;"&amp;1020))))))</f>
        <v/>
      </c>
      <c r="AY24" s="88" t="str">
        <f aca="false">IF(OR(AY$4="",MONTH(($G$2+22))&lt;&gt;MONTH($C$2)),"",IF(COUNTIFS(m_teacher,AY$4,m_date,($G$2+22),m_active,1,m_start,"&lt;"&amp;1080,m_end,"&gt;"&amp;1020)=0,"",IF(COUNTIFS(m_teacher,AY$4,m_date,($G$2+22),m_active,1,m_start,"&lt;"&amp;1080,m_end,"&gt;"&amp;1020)&gt;1,"충돌",HYPERLINK("#'관리자_MASTER'!D"&amp;_xlfn.MAXIFS(m_row,m_teacher,AY$4,m_date,($G$2+22),m_active,1,m_start,"&lt;"&amp;1080,m_end,"&gt;"&amp;1020),INDEX(m_label,_xlfn.MAXIFS(m_row,m_teacher,AY$4,m_date,($G$2+22),m_active,1,m_start,"&lt;"&amp;1080,m_end,"&gt;"&amp;1020))))))</f>
        <v/>
      </c>
      <c r="AZ24" s="88" t="str">
        <f aca="false">IF(OR(AZ$4="",MONTH(($G$2+22))&lt;&gt;MONTH($C$2)),"",IF(COUNTIFS(m_teacher,AZ$4,m_date,($G$2+22),m_active,1,m_start,"&lt;"&amp;1080,m_end,"&gt;"&amp;1020)=0,"",IF(COUNTIFS(m_teacher,AZ$4,m_date,($G$2+22),m_active,1,m_start,"&lt;"&amp;1080,m_end,"&gt;"&amp;1020)&gt;1,"충돌",HYPERLINK("#'관리자_MASTER'!D"&amp;_xlfn.MAXIFS(m_row,m_teacher,AZ$4,m_date,($G$2+22),m_active,1,m_start,"&lt;"&amp;1080,m_end,"&gt;"&amp;1020),INDEX(m_label,_xlfn.MAXIFS(m_row,m_teacher,AZ$4,m_date,($G$2+22),m_active,1,m_start,"&lt;"&amp;1080,m_end,"&gt;"&amp;1020))))))</f>
        <v/>
      </c>
      <c r="BA24" s="88" t="str">
        <f aca="false">IF(OR(BA$4="",MONTH(($G$2+22))&lt;&gt;MONTH($C$2)),"",IF(COUNTIFS(m_teacher,BA$4,m_date,($G$2+22),m_active,1,m_start,"&lt;"&amp;1080,m_end,"&gt;"&amp;1020)=0,"",IF(COUNTIFS(m_teacher,BA$4,m_date,($G$2+22),m_active,1,m_start,"&lt;"&amp;1080,m_end,"&gt;"&amp;1020)&gt;1,"충돌",HYPERLINK("#'관리자_MASTER'!D"&amp;_xlfn.MAXIFS(m_row,m_teacher,BA$4,m_date,($G$2+22),m_active,1,m_start,"&lt;"&amp;1080,m_end,"&gt;"&amp;1020),INDEX(m_label,_xlfn.MAXIFS(m_row,m_teacher,BA$4,m_date,($G$2+22),m_active,1,m_start,"&lt;"&amp;1080,m_end,"&gt;"&amp;1020))))))</f>
        <v/>
      </c>
      <c r="BB24" s="88" t="str">
        <f aca="false">IF(OR(BB$4="",MONTH(($G$2+22))&lt;&gt;MONTH($C$2)),"",IF(COUNTIFS(m_teacher,BB$4,m_date,($G$2+22),m_active,1,m_start,"&lt;"&amp;1080,m_end,"&gt;"&amp;1020)=0,"",IF(COUNTIFS(m_teacher,BB$4,m_date,($G$2+22),m_active,1,m_start,"&lt;"&amp;1080,m_end,"&gt;"&amp;1020)&gt;1,"충돌",HYPERLINK("#'관리자_MASTER'!D"&amp;_xlfn.MAXIFS(m_row,m_teacher,BB$4,m_date,($G$2+22),m_active,1,m_start,"&lt;"&amp;1080,m_end,"&gt;"&amp;1020),INDEX(m_label,_xlfn.MAXIFS(m_row,m_teacher,BB$4,m_date,($G$2+22),m_active,1,m_start,"&lt;"&amp;1080,m_end,"&gt;"&amp;1020))))))</f>
        <v/>
      </c>
      <c r="BC24" s="88" t="str">
        <f aca="false">IF(OR(BC$4="",MONTH(($G$2+22))&lt;&gt;MONTH($C$2)),"",IF(COUNTIFS(m_teacher,BC$4,m_date,($G$2+22),m_active,1,m_start,"&lt;"&amp;1080,m_end,"&gt;"&amp;1020)=0,"",IF(COUNTIFS(m_teacher,BC$4,m_date,($G$2+22),m_active,1,m_start,"&lt;"&amp;1080,m_end,"&gt;"&amp;1020)&gt;1,"충돌",HYPERLINK("#'관리자_MASTER'!D"&amp;_xlfn.MAXIFS(m_row,m_teacher,BC$4,m_date,($G$2+22),m_active,1,m_start,"&lt;"&amp;1080,m_end,"&gt;"&amp;1020),INDEX(m_label,_xlfn.MAXIFS(m_row,m_teacher,BC$4,m_date,($G$2+22),m_active,1,m_start,"&lt;"&amp;1080,m_end,"&gt;"&amp;1020))))))</f>
        <v/>
      </c>
      <c r="BD24" s="88" t="str">
        <f aca="false">IF(OR(BD$4="",MONTH(($G$2+22))&lt;&gt;MONTH($C$2)),"",IF(COUNTIFS(m_teacher,BD$4,m_date,($G$2+22),m_active,1,m_start,"&lt;"&amp;1080,m_end,"&gt;"&amp;1020)=0,"",IF(COUNTIFS(m_teacher,BD$4,m_date,($G$2+22),m_active,1,m_start,"&lt;"&amp;1080,m_end,"&gt;"&amp;1020)&gt;1,"충돌",HYPERLINK("#'관리자_MASTER'!D"&amp;_xlfn.MAXIFS(m_row,m_teacher,BD$4,m_date,($G$2+22),m_active,1,m_start,"&lt;"&amp;1080,m_end,"&gt;"&amp;1020),INDEX(m_label,_xlfn.MAXIFS(m_row,m_teacher,BD$4,m_date,($G$2+22),m_active,1,m_start,"&lt;"&amp;1080,m_end,"&gt;"&amp;1020))))))</f>
        <v/>
      </c>
      <c r="BE24" s="78"/>
      <c r="BF24" s="79" t="s">
        <v>99</v>
      </c>
      <c r="BG24" s="88" t="str">
        <f aca="false">IF(OR(BG$4="",MONTH(($G$2+29))&lt;&gt;MONTH($C$2)),"",IF(COUNTIFS(m_teacher,BG$4,m_date,($G$2+29),m_active,1,m_start,"&lt;"&amp;1080,m_end,"&gt;"&amp;1020)=0,"",IF(COUNTIFS(m_teacher,BG$4,m_date,($G$2+29),m_active,1,m_start,"&lt;"&amp;1080,m_end,"&gt;"&amp;1020)&gt;1,"충돌",HYPERLINK("#'관리자_MASTER'!D"&amp;_xlfn.MAXIFS(m_row,m_teacher,BG$4,m_date,($G$2+29),m_active,1,m_start,"&lt;"&amp;1080,m_end,"&gt;"&amp;1020),INDEX(m_label,_xlfn.MAXIFS(m_row,m_teacher,BG$4,m_date,($G$2+29),m_active,1,m_start,"&lt;"&amp;1080,m_end,"&gt;"&amp;1020))))))</f>
        <v/>
      </c>
      <c r="BH24" s="88" t="str">
        <f aca="false">IF(OR(BH$4="",MONTH(($G$2+29))&lt;&gt;MONTH($C$2)),"",IF(COUNTIFS(m_teacher,BH$4,m_date,($G$2+29),m_active,1,m_start,"&lt;"&amp;1080,m_end,"&gt;"&amp;1020)=0,"",IF(COUNTIFS(m_teacher,BH$4,m_date,($G$2+29),m_active,1,m_start,"&lt;"&amp;1080,m_end,"&gt;"&amp;1020)&gt;1,"충돌",HYPERLINK("#'관리자_MASTER'!D"&amp;_xlfn.MAXIFS(m_row,m_teacher,BH$4,m_date,($G$2+29),m_active,1,m_start,"&lt;"&amp;1080,m_end,"&gt;"&amp;1020),INDEX(m_label,_xlfn.MAXIFS(m_row,m_teacher,BH$4,m_date,($G$2+29),m_active,1,m_start,"&lt;"&amp;1080,m_end,"&gt;"&amp;1020))))))</f>
        <v/>
      </c>
      <c r="BI24" s="88" t="str">
        <f aca="false">IF(OR(BI$4="",MONTH(($G$2+29))&lt;&gt;MONTH($C$2)),"",IF(COUNTIFS(m_teacher,BI$4,m_date,($G$2+29),m_active,1,m_start,"&lt;"&amp;1080,m_end,"&gt;"&amp;1020)=0,"",IF(COUNTIFS(m_teacher,BI$4,m_date,($G$2+29),m_active,1,m_start,"&lt;"&amp;1080,m_end,"&gt;"&amp;1020)&gt;1,"충돌",HYPERLINK("#'관리자_MASTER'!D"&amp;_xlfn.MAXIFS(m_row,m_teacher,BI$4,m_date,($G$2+29),m_active,1,m_start,"&lt;"&amp;1080,m_end,"&gt;"&amp;1020),INDEX(m_label,_xlfn.MAXIFS(m_row,m_teacher,BI$4,m_date,($G$2+29),m_active,1,m_start,"&lt;"&amp;1080,m_end,"&gt;"&amp;1020))))))</f>
        <v/>
      </c>
      <c r="BJ24" s="88" t="str">
        <f aca="false">IF(OR(BJ$4="",MONTH(($G$2+29))&lt;&gt;MONTH($C$2)),"",IF(COUNTIFS(m_teacher,BJ$4,m_date,($G$2+29),m_active,1,m_start,"&lt;"&amp;1080,m_end,"&gt;"&amp;1020)=0,"",IF(COUNTIFS(m_teacher,BJ$4,m_date,($G$2+29),m_active,1,m_start,"&lt;"&amp;1080,m_end,"&gt;"&amp;1020)&gt;1,"충돌",HYPERLINK("#'관리자_MASTER'!D"&amp;_xlfn.MAXIFS(m_row,m_teacher,BJ$4,m_date,($G$2+29),m_active,1,m_start,"&lt;"&amp;1080,m_end,"&gt;"&amp;1020),INDEX(m_label,_xlfn.MAXIFS(m_row,m_teacher,BJ$4,m_date,($G$2+29),m_active,1,m_start,"&lt;"&amp;1080,m_end,"&gt;"&amp;1020))))))</f>
        <v/>
      </c>
      <c r="BK24" s="88" t="str">
        <f aca="false">IF(OR(BK$4="",MONTH(($G$2+29))&lt;&gt;MONTH($C$2)),"",IF(COUNTIFS(m_teacher,BK$4,m_date,($G$2+29),m_active,1,m_start,"&lt;"&amp;1080,m_end,"&gt;"&amp;1020)=0,"",IF(COUNTIFS(m_teacher,BK$4,m_date,($G$2+29),m_active,1,m_start,"&lt;"&amp;1080,m_end,"&gt;"&amp;1020)&gt;1,"충돌",HYPERLINK("#'관리자_MASTER'!D"&amp;_xlfn.MAXIFS(m_row,m_teacher,BK$4,m_date,($G$2+29),m_active,1,m_start,"&lt;"&amp;1080,m_end,"&gt;"&amp;1020),INDEX(m_label,_xlfn.MAXIFS(m_row,m_teacher,BK$4,m_date,($G$2+29),m_active,1,m_start,"&lt;"&amp;1080,m_end,"&gt;"&amp;1020))))))</f>
        <v/>
      </c>
      <c r="BL24" s="88" t="str">
        <f aca="false">IF(OR(BL$4="",MONTH(($G$2+29))&lt;&gt;MONTH($C$2)),"",IF(COUNTIFS(m_teacher,BL$4,m_date,($G$2+29),m_active,1,m_start,"&lt;"&amp;1080,m_end,"&gt;"&amp;1020)=0,"",IF(COUNTIFS(m_teacher,BL$4,m_date,($G$2+29),m_active,1,m_start,"&lt;"&amp;1080,m_end,"&gt;"&amp;1020)&gt;1,"충돌",HYPERLINK("#'관리자_MASTER'!D"&amp;_xlfn.MAXIFS(m_row,m_teacher,BL$4,m_date,($G$2+29),m_active,1,m_start,"&lt;"&amp;1080,m_end,"&gt;"&amp;1020),INDEX(m_label,_xlfn.MAXIFS(m_row,m_teacher,BL$4,m_date,($G$2+29),m_active,1,m_start,"&lt;"&amp;1080,m_end,"&gt;"&amp;1020))))))</f>
        <v/>
      </c>
      <c r="BM24" s="88" t="str">
        <f aca="false">IF(OR(BM$4="",MONTH(($G$2+29))&lt;&gt;MONTH($C$2)),"",IF(COUNTIFS(m_teacher,BM$4,m_date,($G$2+29),m_active,1,m_start,"&lt;"&amp;1080,m_end,"&gt;"&amp;1020)=0,"",IF(COUNTIFS(m_teacher,BM$4,m_date,($G$2+29),m_active,1,m_start,"&lt;"&amp;1080,m_end,"&gt;"&amp;1020)&gt;1,"충돌",HYPERLINK("#'관리자_MASTER'!D"&amp;_xlfn.MAXIFS(m_row,m_teacher,BM$4,m_date,($G$2+29),m_active,1,m_start,"&lt;"&amp;1080,m_end,"&gt;"&amp;1020),INDEX(m_label,_xlfn.MAXIFS(m_row,m_teacher,BM$4,m_date,($G$2+29),m_active,1,m_start,"&lt;"&amp;1080,m_end,"&gt;"&amp;1020))))))</f>
        <v/>
      </c>
      <c r="BN24" s="88" t="str">
        <f aca="false">IF(OR(BN$4="",MONTH(($G$2+29))&lt;&gt;MONTH($C$2)),"",IF(COUNTIFS(m_teacher,BN$4,m_date,($G$2+29),m_active,1,m_start,"&lt;"&amp;1080,m_end,"&gt;"&amp;1020)=0,"",IF(COUNTIFS(m_teacher,BN$4,m_date,($G$2+29),m_active,1,m_start,"&lt;"&amp;1080,m_end,"&gt;"&amp;1020)&gt;1,"충돌",HYPERLINK("#'관리자_MASTER'!D"&amp;_xlfn.MAXIFS(m_row,m_teacher,BN$4,m_date,($G$2+29),m_active,1,m_start,"&lt;"&amp;1080,m_end,"&gt;"&amp;1020),INDEX(m_label,_xlfn.MAXIFS(m_row,m_teacher,BN$4,m_date,($G$2+29),m_active,1,m_start,"&lt;"&amp;1080,m_end,"&gt;"&amp;1020))))))</f>
        <v/>
      </c>
      <c r="BO24" s="88" t="str">
        <f aca="false">IF(OR(BO$4="",MONTH(($G$2+29))&lt;&gt;MONTH($C$2)),"",IF(COUNTIFS(m_teacher,BO$4,m_date,($G$2+29),m_active,1,m_start,"&lt;"&amp;1080,m_end,"&gt;"&amp;1020)=0,"",IF(COUNTIFS(m_teacher,BO$4,m_date,($G$2+29),m_active,1,m_start,"&lt;"&amp;1080,m_end,"&gt;"&amp;1020)&gt;1,"충돌",HYPERLINK("#'관리자_MASTER'!D"&amp;_xlfn.MAXIFS(m_row,m_teacher,BO$4,m_date,($G$2+29),m_active,1,m_start,"&lt;"&amp;1080,m_end,"&gt;"&amp;1020),INDEX(m_label,_xlfn.MAXIFS(m_row,m_teacher,BO$4,m_date,($G$2+29),m_active,1,m_start,"&lt;"&amp;1080,m_end,"&gt;"&amp;1020))))))</f>
        <v/>
      </c>
      <c r="BP24" s="88" t="str">
        <f aca="false">IF(OR(BP$4="",MONTH(($G$2+29))&lt;&gt;MONTH($C$2)),"",IF(COUNTIFS(m_teacher,BP$4,m_date,($G$2+29),m_active,1,m_start,"&lt;"&amp;1080,m_end,"&gt;"&amp;1020)=0,"",IF(COUNTIFS(m_teacher,BP$4,m_date,($G$2+29),m_active,1,m_start,"&lt;"&amp;1080,m_end,"&gt;"&amp;1020)&gt;1,"충돌",HYPERLINK("#'관리자_MASTER'!D"&amp;_xlfn.MAXIFS(m_row,m_teacher,BP$4,m_date,($G$2+29),m_active,1,m_start,"&lt;"&amp;1080,m_end,"&gt;"&amp;1020),INDEX(m_label,_xlfn.MAXIFS(m_row,m_teacher,BP$4,m_date,($G$2+29),m_active,1,m_start,"&lt;"&amp;1080,m_end,"&gt;"&amp;1020))))))</f>
        <v/>
      </c>
      <c r="BQ24" s="88" t="str">
        <f aca="false">IF(OR(BQ$4="",MONTH(($G$2+29))&lt;&gt;MONTH($C$2)),"",IF(COUNTIFS(m_teacher,BQ$4,m_date,($G$2+29),m_active,1,m_start,"&lt;"&amp;1080,m_end,"&gt;"&amp;1020)=0,"",IF(COUNTIFS(m_teacher,BQ$4,m_date,($G$2+29),m_active,1,m_start,"&lt;"&amp;1080,m_end,"&gt;"&amp;1020)&gt;1,"충돌",HYPERLINK("#'관리자_MASTER'!D"&amp;_xlfn.MAXIFS(m_row,m_teacher,BQ$4,m_date,($G$2+29),m_active,1,m_start,"&lt;"&amp;1080,m_end,"&gt;"&amp;1020),INDEX(m_label,_xlfn.MAXIFS(m_row,m_teacher,BQ$4,m_date,($G$2+29),m_active,1,m_start,"&lt;"&amp;1080,m_end,"&gt;"&amp;1020))))))</f>
        <v/>
      </c>
      <c r="BR24" s="88" t="str">
        <f aca="false">IF(OR(BR$4="",MONTH(($G$2+29))&lt;&gt;MONTH($C$2)),"",IF(COUNTIFS(m_teacher,BR$4,m_date,($G$2+29),m_active,1,m_start,"&lt;"&amp;1080,m_end,"&gt;"&amp;1020)=0,"",IF(COUNTIFS(m_teacher,BR$4,m_date,($G$2+29),m_active,1,m_start,"&lt;"&amp;1080,m_end,"&gt;"&amp;1020)&gt;1,"충돌",HYPERLINK("#'관리자_MASTER'!D"&amp;_xlfn.MAXIFS(m_row,m_teacher,BR$4,m_date,($G$2+29),m_active,1,m_start,"&lt;"&amp;1080,m_end,"&gt;"&amp;1020),INDEX(m_label,_xlfn.MAXIFS(m_row,m_teacher,BR$4,m_date,($G$2+29),m_active,1,m_start,"&lt;"&amp;1080,m_end,"&gt;"&amp;1020))))))</f>
        <v/>
      </c>
    </row>
    <row r="25" customFormat="false" ht="19.5" hidden="false" customHeight="true" outlineLevel="0" collapsed="false">
      <c r="A25" s="75"/>
      <c r="B25" s="76" t="s">
        <v>100</v>
      </c>
      <c r="C25" s="81" t="str">
        <f aca="false">IF(OR(C$4="",MONTH(($G$2+1))&lt;&gt;MONTH($C$2)),"",IF(COUNTIFS(m_teacher,C$4,m_date,($G$2+1),m_active,1,m_start,"&lt;"&amp;1140,m_end,"&gt;"&amp;1080)=0,"",IF(COUNTIFS(m_teacher,C$4,m_date,($G$2+1),m_active,1,m_start,"&lt;"&amp;1140,m_end,"&gt;"&amp;1080)&gt;1,"충돌",HYPERLINK("#'관리자_MASTER'!D"&amp;_xlfn.MAXIFS(m_row,m_teacher,C$4,m_date,($G$2+1),m_active,1,m_start,"&lt;"&amp;1140,m_end,"&gt;"&amp;1080),INDEX(m_label,_xlfn.MAXIFS(m_row,m_teacher,C$4,m_date,($G$2+1),m_active,1,m_start,"&lt;"&amp;1140,m_end,"&gt;"&amp;1080))))))</f>
        <v/>
      </c>
      <c r="D25" s="81" t="str">
        <f aca="false">IF(OR(D$4="",MONTH(($G$2+1))&lt;&gt;MONTH($C$2)),"",IF(COUNTIFS(m_teacher,D$4,m_date,($G$2+1),m_active,1,m_start,"&lt;"&amp;1140,m_end,"&gt;"&amp;1080)=0,"",IF(COUNTIFS(m_teacher,D$4,m_date,($G$2+1),m_active,1,m_start,"&lt;"&amp;1140,m_end,"&gt;"&amp;1080)&gt;1,"충돌",HYPERLINK("#'관리자_MASTER'!D"&amp;_xlfn.MAXIFS(m_row,m_teacher,D$4,m_date,($G$2+1),m_active,1,m_start,"&lt;"&amp;1140,m_end,"&gt;"&amp;1080),INDEX(m_label,_xlfn.MAXIFS(m_row,m_teacher,D$4,m_date,($G$2+1),m_active,1,m_start,"&lt;"&amp;1140,m_end,"&gt;"&amp;1080))))))</f>
        <v/>
      </c>
      <c r="E25" s="81" t="str">
        <f aca="false">IF(OR(E$4="",MONTH(($G$2+1))&lt;&gt;MONTH($C$2)),"",IF(COUNTIFS(m_teacher,E$4,m_date,($G$2+1),m_active,1,m_start,"&lt;"&amp;1140,m_end,"&gt;"&amp;1080)=0,"",IF(COUNTIFS(m_teacher,E$4,m_date,($G$2+1),m_active,1,m_start,"&lt;"&amp;1140,m_end,"&gt;"&amp;1080)&gt;1,"충돌",HYPERLINK("#'관리자_MASTER'!D"&amp;_xlfn.MAXIFS(m_row,m_teacher,E$4,m_date,($G$2+1),m_active,1,m_start,"&lt;"&amp;1140,m_end,"&gt;"&amp;1080),INDEX(m_label,_xlfn.MAXIFS(m_row,m_teacher,E$4,m_date,($G$2+1),m_active,1,m_start,"&lt;"&amp;1140,m_end,"&gt;"&amp;1080))))))</f>
        <v/>
      </c>
      <c r="F25" s="81" t="str">
        <f aca="false">IF(OR(F$4="",MONTH(($G$2+1))&lt;&gt;MONTH($C$2)),"",IF(COUNTIFS(m_teacher,F$4,m_date,($G$2+1),m_active,1,m_start,"&lt;"&amp;1140,m_end,"&gt;"&amp;1080)=0,"",IF(COUNTIFS(m_teacher,F$4,m_date,($G$2+1),m_active,1,m_start,"&lt;"&amp;1140,m_end,"&gt;"&amp;1080)&gt;1,"충돌",HYPERLINK("#'관리자_MASTER'!D"&amp;_xlfn.MAXIFS(m_row,m_teacher,F$4,m_date,($G$2+1),m_active,1,m_start,"&lt;"&amp;1140,m_end,"&gt;"&amp;1080),INDEX(m_label,_xlfn.MAXIFS(m_row,m_teacher,F$4,m_date,($G$2+1),m_active,1,m_start,"&lt;"&amp;1140,m_end,"&gt;"&amp;1080))))))</f>
        <v/>
      </c>
      <c r="G25" s="81" t="str">
        <f aca="false">IF(OR(G$4="",MONTH(($G$2+1))&lt;&gt;MONTH($C$2)),"",IF(COUNTIFS(m_teacher,G$4,m_date,($G$2+1),m_active,1,m_start,"&lt;"&amp;1140,m_end,"&gt;"&amp;1080)=0,"",IF(COUNTIFS(m_teacher,G$4,m_date,($G$2+1),m_active,1,m_start,"&lt;"&amp;1140,m_end,"&gt;"&amp;1080)&gt;1,"충돌",HYPERLINK("#'관리자_MASTER'!D"&amp;_xlfn.MAXIFS(m_row,m_teacher,G$4,m_date,($G$2+1),m_active,1,m_start,"&lt;"&amp;1140,m_end,"&gt;"&amp;1080),INDEX(m_label,_xlfn.MAXIFS(m_row,m_teacher,G$4,m_date,($G$2+1),m_active,1,m_start,"&lt;"&amp;1140,m_end,"&gt;"&amp;1080))))))</f>
        <v/>
      </c>
      <c r="H25" s="81" t="str">
        <f aca="false">IF(OR(H$4="",MONTH(($G$2+1))&lt;&gt;MONTH($C$2)),"",IF(COUNTIFS(m_teacher,H$4,m_date,($G$2+1),m_active,1,m_start,"&lt;"&amp;1140,m_end,"&gt;"&amp;1080)=0,"",IF(COUNTIFS(m_teacher,H$4,m_date,($G$2+1),m_active,1,m_start,"&lt;"&amp;1140,m_end,"&gt;"&amp;1080)&gt;1,"충돌",HYPERLINK("#'관리자_MASTER'!D"&amp;_xlfn.MAXIFS(m_row,m_teacher,H$4,m_date,($G$2+1),m_active,1,m_start,"&lt;"&amp;1140,m_end,"&gt;"&amp;1080),INDEX(m_label,_xlfn.MAXIFS(m_row,m_teacher,H$4,m_date,($G$2+1),m_active,1,m_start,"&lt;"&amp;1140,m_end,"&gt;"&amp;1080))))))</f>
        <v/>
      </c>
      <c r="I25" s="81" t="str">
        <f aca="false">IF(OR(I$4="",MONTH(($G$2+1))&lt;&gt;MONTH($C$2)),"",IF(COUNTIFS(m_teacher,I$4,m_date,($G$2+1),m_active,1,m_start,"&lt;"&amp;1140,m_end,"&gt;"&amp;1080)=0,"",IF(COUNTIFS(m_teacher,I$4,m_date,($G$2+1),m_active,1,m_start,"&lt;"&amp;1140,m_end,"&gt;"&amp;1080)&gt;1,"충돌",HYPERLINK("#'관리자_MASTER'!D"&amp;_xlfn.MAXIFS(m_row,m_teacher,I$4,m_date,($G$2+1),m_active,1,m_start,"&lt;"&amp;1140,m_end,"&gt;"&amp;1080),INDEX(m_label,_xlfn.MAXIFS(m_row,m_teacher,I$4,m_date,($G$2+1),m_active,1,m_start,"&lt;"&amp;1140,m_end,"&gt;"&amp;1080))))))</f>
        <v/>
      </c>
      <c r="J25" s="81" t="str">
        <f aca="false">IF(OR(J$4="",MONTH(($G$2+1))&lt;&gt;MONTH($C$2)),"",IF(COUNTIFS(m_teacher,J$4,m_date,($G$2+1),m_active,1,m_start,"&lt;"&amp;1140,m_end,"&gt;"&amp;1080)=0,"",IF(COUNTIFS(m_teacher,J$4,m_date,($G$2+1),m_active,1,m_start,"&lt;"&amp;1140,m_end,"&gt;"&amp;1080)&gt;1,"충돌",HYPERLINK("#'관리자_MASTER'!D"&amp;_xlfn.MAXIFS(m_row,m_teacher,J$4,m_date,($G$2+1),m_active,1,m_start,"&lt;"&amp;1140,m_end,"&gt;"&amp;1080),INDEX(m_label,_xlfn.MAXIFS(m_row,m_teacher,J$4,m_date,($G$2+1),m_active,1,m_start,"&lt;"&amp;1140,m_end,"&gt;"&amp;1080))))))</f>
        <v/>
      </c>
      <c r="K25" s="81" t="str">
        <f aca="false">IF(OR(K$4="",MONTH(($G$2+1))&lt;&gt;MONTH($C$2)),"",IF(COUNTIFS(m_teacher,K$4,m_date,($G$2+1),m_active,1,m_start,"&lt;"&amp;1140,m_end,"&gt;"&amp;1080)=0,"",IF(COUNTIFS(m_teacher,K$4,m_date,($G$2+1),m_active,1,m_start,"&lt;"&amp;1140,m_end,"&gt;"&amp;1080)&gt;1,"충돌",HYPERLINK("#'관리자_MASTER'!D"&amp;_xlfn.MAXIFS(m_row,m_teacher,K$4,m_date,($G$2+1),m_active,1,m_start,"&lt;"&amp;1140,m_end,"&gt;"&amp;1080),INDEX(m_label,_xlfn.MAXIFS(m_row,m_teacher,K$4,m_date,($G$2+1),m_active,1,m_start,"&lt;"&amp;1140,m_end,"&gt;"&amp;1080))))))</f>
        <v/>
      </c>
      <c r="L25" s="81" t="str">
        <f aca="false">IF(OR(L$4="",MONTH(($G$2+1))&lt;&gt;MONTH($C$2)),"",IF(COUNTIFS(m_teacher,L$4,m_date,($G$2+1),m_active,1,m_start,"&lt;"&amp;1140,m_end,"&gt;"&amp;1080)=0,"",IF(COUNTIFS(m_teacher,L$4,m_date,($G$2+1),m_active,1,m_start,"&lt;"&amp;1140,m_end,"&gt;"&amp;1080)&gt;1,"충돌",HYPERLINK("#'관리자_MASTER'!D"&amp;_xlfn.MAXIFS(m_row,m_teacher,L$4,m_date,($G$2+1),m_active,1,m_start,"&lt;"&amp;1140,m_end,"&gt;"&amp;1080),INDEX(m_label,_xlfn.MAXIFS(m_row,m_teacher,L$4,m_date,($G$2+1),m_active,1,m_start,"&lt;"&amp;1140,m_end,"&gt;"&amp;1080))))))</f>
        <v/>
      </c>
      <c r="M25" s="81" t="str">
        <f aca="false">IF(OR(M$4="",MONTH(($G$2+1))&lt;&gt;MONTH($C$2)),"",IF(COUNTIFS(m_teacher,M$4,m_date,($G$2+1),m_active,1,m_start,"&lt;"&amp;1140,m_end,"&gt;"&amp;1080)=0,"",IF(COUNTIFS(m_teacher,M$4,m_date,($G$2+1),m_active,1,m_start,"&lt;"&amp;1140,m_end,"&gt;"&amp;1080)&gt;1,"충돌",HYPERLINK("#'관리자_MASTER'!D"&amp;_xlfn.MAXIFS(m_row,m_teacher,M$4,m_date,($G$2+1),m_active,1,m_start,"&lt;"&amp;1140,m_end,"&gt;"&amp;1080),INDEX(m_label,_xlfn.MAXIFS(m_row,m_teacher,M$4,m_date,($G$2+1),m_active,1,m_start,"&lt;"&amp;1140,m_end,"&gt;"&amp;1080))))))</f>
        <v/>
      </c>
      <c r="N25" s="81" t="str">
        <f aca="false">IF(OR(N$4="",MONTH(($G$2+1))&lt;&gt;MONTH($C$2)),"",IF(COUNTIFS(m_teacher,N$4,m_date,($G$2+1),m_active,1,m_start,"&lt;"&amp;1140,m_end,"&gt;"&amp;1080)=0,"",IF(COUNTIFS(m_teacher,N$4,m_date,($G$2+1),m_active,1,m_start,"&lt;"&amp;1140,m_end,"&gt;"&amp;1080)&gt;1,"충돌",HYPERLINK("#'관리자_MASTER'!D"&amp;_xlfn.MAXIFS(m_row,m_teacher,N$4,m_date,($G$2+1),m_active,1,m_start,"&lt;"&amp;1140,m_end,"&gt;"&amp;1080),INDEX(m_label,_xlfn.MAXIFS(m_row,m_teacher,N$4,m_date,($G$2+1),m_active,1,m_start,"&lt;"&amp;1140,m_end,"&gt;"&amp;1080))))))</f>
        <v/>
      </c>
      <c r="O25" s="78"/>
      <c r="P25" s="79" t="s">
        <v>100</v>
      </c>
      <c r="Q25" s="88" t="str">
        <f aca="false">IF(OR(Q$4="",MONTH(($G$2+8))&lt;&gt;MONTH($C$2)),"",IF(COUNTIFS(m_teacher,Q$4,m_date,($G$2+8),m_active,1,m_start,"&lt;"&amp;1140,m_end,"&gt;"&amp;1080)=0,"",IF(COUNTIFS(m_teacher,Q$4,m_date,($G$2+8),m_active,1,m_start,"&lt;"&amp;1140,m_end,"&gt;"&amp;1080)&gt;1,"충돌",HYPERLINK("#'관리자_MASTER'!D"&amp;_xlfn.MAXIFS(m_row,m_teacher,Q$4,m_date,($G$2+8),m_active,1,m_start,"&lt;"&amp;1140,m_end,"&gt;"&amp;1080),INDEX(m_label,_xlfn.MAXIFS(m_row,m_teacher,Q$4,m_date,($G$2+8),m_active,1,m_start,"&lt;"&amp;1140,m_end,"&gt;"&amp;1080))))))</f>
        <v/>
      </c>
      <c r="R25" s="88" t="str">
        <f aca="false">IF(OR(R$4="",MONTH(($G$2+8))&lt;&gt;MONTH($C$2)),"",IF(COUNTIFS(m_teacher,R$4,m_date,($G$2+8),m_active,1,m_start,"&lt;"&amp;1140,m_end,"&gt;"&amp;1080)=0,"",IF(COUNTIFS(m_teacher,R$4,m_date,($G$2+8),m_active,1,m_start,"&lt;"&amp;1140,m_end,"&gt;"&amp;1080)&gt;1,"충돌",HYPERLINK("#'관리자_MASTER'!D"&amp;_xlfn.MAXIFS(m_row,m_teacher,R$4,m_date,($G$2+8),m_active,1,m_start,"&lt;"&amp;1140,m_end,"&gt;"&amp;1080),INDEX(m_label,_xlfn.MAXIFS(m_row,m_teacher,R$4,m_date,($G$2+8),m_active,1,m_start,"&lt;"&amp;1140,m_end,"&gt;"&amp;1080))))))</f>
        <v/>
      </c>
      <c r="S25" s="88" t="str">
        <f aca="false">IF(OR(S$4="",MONTH(($G$2+8))&lt;&gt;MONTH($C$2)),"",IF(COUNTIFS(m_teacher,S$4,m_date,($G$2+8),m_active,1,m_start,"&lt;"&amp;1140,m_end,"&gt;"&amp;1080)=0,"",IF(COUNTIFS(m_teacher,S$4,m_date,($G$2+8),m_active,1,m_start,"&lt;"&amp;1140,m_end,"&gt;"&amp;1080)&gt;1,"충돌",HYPERLINK("#'관리자_MASTER'!D"&amp;_xlfn.MAXIFS(m_row,m_teacher,S$4,m_date,($G$2+8),m_active,1,m_start,"&lt;"&amp;1140,m_end,"&gt;"&amp;1080),INDEX(m_label,_xlfn.MAXIFS(m_row,m_teacher,S$4,m_date,($G$2+8),m_active,1,m_start,"&lt;"&amp;1140,m_end,"&gt;"&amp;1080))))))</f>
        <v/>
      </c>
      <c r="T25" s="88" t="str">
        <f aca="false">IF(OR(T$4="",MONTH(($G$2+8))&lt;&gt;MONTH($C$2)),"",IF(COUNTIFS(m_teacher,T$4,m_date,($G$2+8),m_active,1,m_start,"&lt;"&amp;1140,m_end,"&gt;"&amp;1080)=0,"",IF(COUNTIFS(m_teacher,T$4,m_date,($G$2+8),m_active,1,m_start,"&lt;"&amp;1140,m_end,"&gt;"&amp;1080)&gt;1,"충돌",HYPERLINK("#'관리자_MASTER'!D"&amp;_xlfn.MAXIFS(m_row,m_teacher,T$4,m_date,($G$2+8),m_active,1,m_start,"&lt;"&amp;1140,m_end,"&gt;"&amp;1080),INDEX(m_label,_xlfn.MAXIFS(m_row,m_teacher,T$4,m_date,($G$2+8),m_active,1,m_start,"&lt;"&amp;1140,m_end,"&gt;"&amp;1080))))))</f>
        <v/>
      </c>
      <c r="U25" s="88" t="str">
        <f aca="false">IF(OR(U$4="",MONTH(($G$2+8))&lt;&gt;MONTH($C$2)),"",IF(COUNTIFS(m_teacher,U$4,m_date,($G$2+8),m_active,1,m_start,"&lt;"&amp;1140,m_end,"&gt;"&amp;1080)=0,"",IF(COUNTIFS(m_teacher,U$4,m_date,($G$2+8),m_active,1,m_start,"&lt;"&amp;1140,m_end,"&gt;"&amp;1080)&gt;1,"충돌",HYPERLINK("#'관리자_MASTER'!D"&amp;_xlfn.MAXIFS(m_row,m_teacher,U$4,m_date,($G$2+8),m_active,1,m_start,"&lt;"&amp;1140,m_end,"&gt;"&amp;1080),INDEX(m_label,_xlfn.MAXIFS(m_row,m_teacher,U$4,m_date,($G$2+8),m_active,1,m_start,"&lt;"&amp;1140,m_end,"&gt;"&amp;1080))))))</f>
        <v/>
      </c>
      <c r="V25" s="88" t="str">
        <f aca="false">IF(OR(V$4="",MONTH(($G$2+8))&lt;&gt;MONTH($C$2)),"",IF(COUNTIFS(m_teacher,V$4,m_date,($G$2+8),m_active,1,m_start,"&lt;"&amp;1140,m_end,"&gt;"&amp;1080)=0,"",IF(COUNTIFS(m_teacher,V$4,m_date,($G$2+8),m_active,1,m_start,"&lt;"&amp;1140,m_end,"&gt;"&amp;1080)&gt;1,"충돌",HYPERLINK("#'관리자_MASTER'!D"&amp;_xlfn.MAXIFS(m_row,m_teacher,V$4,m_date,($G$2+8),m_active,1,m_start,"&lt;"&amp;1140,m_end,"&gt;"&amp;1080),INDEX(m_label,_xlfn.MAXIFS(m_row,m_teacher,V$4,m_date,($G$2+8),m_active,1,m_start,"&lt;"&amp;1140,m_end,"&gt;"&amp;1080))))))</f>
        <v/>
      </c>
      <c r="W25" s="88" t="str">
        <f aca="false">IF(OR(W$4="",MONTH(($G$2+8))&lt;&gt;MONTH($C$2)),"",IF(COUNTIFS(m_teacher,W$4,m_date,($G$2+8),m_active,1,m_start,"&lt;"&amp;1140,m_end,"&gt;"&amp;1080)=0,"",IF(COUNTIFS(m_teacher,W$4,m_date,($G$2+8),m_active,1,m_start,"&lt;"&amp;1140,m_end,"&gt;"&amp;1080)&gt;1,"충돌",HYPERLINK("#'관리자_MASTER'!D"&amp;_xlfn.MAXIFS(m_row,m_teacher,W$4,m_date,($G$2+8),m_active,1,m_start,"&lt;"&amp;1140,m_end,"&gt;"&amp;1080),INDEX(m_label,_xlfn.MAXIFS(m_row,m_teacher,W$4,m_date,($G$2+8),m_active,1,m_start,"&lt;"&amp;1140,m_end,"&gt;"&amp;1080))))))</f>
        <v/>
      </c>
      <c r="X25" s="88" t="str">
        <f aca="false">IF(OR(X$4="",MONTH(($G$2+8))&lt;&gt;MONTH($C$2)),"",IF(COUNTIFS(m_teacher,X$4,m_date,($G$2+8),m_active,1,m_start,"&lt;"&amp;1140,m_end,"&gt;"&amp;1080)=0,"",IF(COUNTIFS(m_teacher,X$4,m_date,($G$2+8),m_active,1,m_start,"&lt;"&amp;1140,m_end,"&gt;"&amp;1080)&gt;1,"충돌",HYPERLINK("#'관리자_MASTER'!D"&amp;_xlfn.MAXIFS(m_row,m_teacher,X$4,m_date,($G$2+8),m_active,1,m_start,"&lt;"&amp;1140,m_end,"&gt;"&amp;1080),INDEX(m_label,_xlfn.MAXIFS(m_row,m_teacher,X$4,m_date,($G$2+8),m_active,1,m_start,"&lt;"&amp;1140,m_end,"&gt;"&amp;1080))))))</f>
        <v/>
      </c>
      <c r="Y25" s="88" t="str">
        <f aca="false">IF(OR(Y$4="",MONTH(($G$2+8))&lt;&gt;MONTH($C$2)),"",IF(COUNTIFS(m_teacher,Y$4,m_date,($G$2+8),m_active,1,m_start,"&lt;"&amp;1140,m_end,"&gt;"&amp;1080)=0,"",IF(COUNTIFS(m_teacher,Y$4,m_date,($G$2+8),m_active,1,m_start,"&lt;"&amp;1140,m_end,"&gt;"&amp;1080)&gt;1,"충돌",HYPERLINK("#'관리자_MASTER'!D"&amp;_xlfn.MAXIFS(m_row,m_teacher,Y$4,m_date,($G$2+8),m_active,1,m_start,"&lt;"&amp;1140,m_end,"&gt;"&amp;1080),INDEX(m_label,_xlfn.MAXIFS(m_row,m_teacher,Y$4,m_date,($G$2+8),m_active,1,m_start,"&lt;"&amp;1140,m_end,"&gt;"&amp;1080))))))</f>
        <v/>
      </c>
      <c r="Z25" s="88" t="str">
        <f aca="false">IF(OR(Z$4="",MONTH(($G$2+8))&lt;&gt;MONTH($C$2)),"",IF(COUNTIFS(m_teacher,Z$4,m_date,($G$2+8),m_active,1,m_start,"&lt;"&amp;1140,m_end,"&gt;"&amp;1080)=0,"",IF(COUNTIFS(m_teacher,Z$4,m_date,($G$2+8),m_active,1,m_start,"&lt;"&amp;1140,m_end,"&gt;"&amp;1080)&gt;1,"충돌",HYPERLINK("#'관리자_MASTER'!D"&amp;_xlfn.MAXIFS(m_row,m_teacher,Z$4,m_date,($G$2+8),m_active,1,m_start,"&lt;"&amp;1140,m_end,"&gt;"&amp;1080),INDEX(m_label,_xlfn.MAXIFS(m_row,m_teacher,Z$4,m_date,($G$2+8),m_active,1,m_start,"&lt;"&amp;1140,m_end,"&gt;"&amp;1080))))))</f>
        <v/>
      </c>
      <c r="AA25" s="88" t="str">
        <f aca="false">IF(OR(AA$4="",MONTH(($G$2+8))&lt;&gt;MONTH($C$2)),"",IF(COUNTIFS(m_teacher,AA$4,m_date,($G$2+8),m_active,1,m_start,"&lt;"&amp;1140,m_end,"&gt;"&amp;1080)=0,"",IF(COUNTIFS(m_teacher,AA$4,m_date,($G$2+8),m_active,1,m_start,"&lt;"&amp;1140,m_end,"&gt;"&amp;1080)&gt;1,"충돌",HYPERLINK("#'관리자_MASTER'!D"&amp;_xlfn.MAXIFS(m_row,m_teacher,AA$4,m_date,($G$2+8),m_active,1,m_start,"&lt;"&amp;1140,m_end,"&gt;"&amp;1080),INDEX(m_label,_xlfn.MAXIFS(m_row,m_teacher,AA$4,m_date,($G$2+8),m_active,1,m_start,"&lt;"&amp;1140,m_end,"&gt;"&amp;1080))))))</f>
        <v/>
      </c>
      <c r="AB25" s="88" t="str">
        <f aca="false">IF(OR(AB$4="",MONTH(($G$2+8))&lt;&gt;MONTH($C$2)),"",IF(COUNTIFS(m_teacher,AB$4,m_date,($G$2+8),m_active,1,m_start,"&lt;"&amp;1140,m_end,"&gt;"&amp;1080)=0,"",IF(COUNTIFS(m_teacher,AB$4,m_date,($G$2+8),m_active,1,m_start,"&lt;"&amp;1140,m_end,"&gt;"&amp;1080)&gt;1,"충돌",HYPERLINK("#'관리자_MASTER'!D"&amp;_xlfn.MAXIFS(m_row,m_teacher,AB$4,m_date,($G$2+8),m_active,1,m_start,"&lt;"&amp;1140,m_end,"&gt;"&amp;1080),INDEX(m_label,_xlfn.MAXIFS(m_row,m_teacher,AB$4,m_date,($G$2+8),m_active,1,m_start,"&lt;"&amp;1140,m_end,"&gt;"&amp;1080))))))</f>
        <v/>
      </c>
      <c r="AC25" s="78"/>
      <c r="AD25" s="79" t="s">
        <v>100</v>
      </c>
      <c r="AE25" s="88" t="str">
        <f aca="false">IF(OR(AE$4="",MONTH(($G$2+15))&lt;&gt;MONTH($C$2)),"",IF(COUNTIFS(m_teacher,AE$4,m_date,($G$2+15),m_active,1,m_start,"&lt;"&amp;1140,m_end,"&gt;"&amp;1080)=0,"",IF(COUNTIFS(m_teacher,AE$4,m_date,($G$2+15),m_active,1,m_start,"&lt;"&amp;1140,m_end,"&gt;"&amp;1080)&gt;1,"충돌",HYPERLINK("#'관리자_MASTER'!D"&amp;_xlfn.MAXIFS(m_row,m_teacher,AE$4,m_date,($G$2+15),m_active,1,m_start,"&lt;"&amp;1140,m_end,"&gt;"&amp;1080),INDEX(m_label,_xlfn.MAXIFS(m_row,m_teacher,AE$4,m_date,($G$2+15),m_active,1,m_start,"&lt;"&amp;1140,m_end,"&gt;"&amp;1080))))))</f>
        <v/>
      </c>
      <c r="AF25" s="88" t="str">
        <f aca="false">IF(OR(AF$4="",MONTH(($G$2+15))&lt;&gt;MONTH($C$2)),"",IF(COUNTIFS(m_teacher,AF$4,m_date,($G$2+15),m_active,1,m_start,"&lt;"&amp;1140,m_end,"&gt;"&amp;1080)=0,"",IF(COUNTIFS(m_teacher,AF$4,m_date,($G$2+15),m_active,1,m_start,"&lt;"&amp;1140,m_end,"&gt;"&amp;1080)&gt;1,"충돌",HYPERLINK("#'관리자_MASTER'!D"&amp;_xlfn.MAXIFS(m_row,m_teacher,AF$4,m_date,($G$2+15),m_active,1,m_start,"&lt;"&amp;1140,m_end,"&gt;"&amp;1080),INDEX(m_label,_xlfn.MAXIFS(m_row,m_teacher,AF$4,m_date,($G$2+15),m_active,1,m_start,"&lt;"&amp;1140,m_end,"&gt;"&amp;1080))))))</f>
        <v/>
      </c>
      <c r="AG25" s="88" t="str">
        <f aca="false">IF(OR(AG$4="",MONTH(($G$2+15))&lt;&gt;MONTH($C$2)),"",IF(COUNTIFS(m_teacher,AG$4,m_date,($G$2+15),m_active,1,m_start,"&lt;"&amp;1140,m_end,"&gt;"&amp;1080)=0,"",IF(COUNTIFS(m_teacher,AG$4,m_date,($G$2+15),m_active,1,m_start,"&lt;"&amp;1140,m_end,"&gt;"&amp;1080)&gt;1,"충돌",HYPERLINK("#'관리자_MASTER'!D"&amp;_xlfn.MAXIFS(m_row,m_teacher,AG$4,m_date,($G$2+15),m_active,1,m_start,"&lt;"&amp;1140,m_end,"&gt;"&amp;1080),INDEX(m_label,_xlfn.MAXIFS(m_row,m_teacher,AG$4,m_date,($G$2+15),m_active,1,m_start,"&lt;"&amp;1140,m_end,"&gt;"&amp;1080))))))</f>
        <v/>
      </c>
      <c r="AH25" s="88" t="str">
        <f aca="false">IF(OR(AH$4="",MONTH(($G$2+15))&lt;&gt;MONTH($C$2)),"",IF(COUNTIFS(m_teacher,AH$4,m_date,($G$2+15),m_active,1,m_start,"&lt;"&amp;1140,m_end,"&gt;"&amp;1080)=0,"",IF(COUNTIFS(m_teacher,AH$4,m_date,($G$2+15),m_active,1,m_start,"&lt;"&amp;1140,m_end,"&gt;"&amp;1080)&gt;1,"충돌",HYPERLINK("#'관리자_MASTER'!D"&amp;_xlfn.MAXIFS(m_row,m_teacher,AH$4,m_date,($G$2+15),m_active,1,m_start,"&lt;"&amp;1140,m_end,"&gt;"&amp;1080),INDEX(m_label,_xlfn.MAXIFS(m_row,m_teacher,AH$4,m_date,($G$2+15),m_active,1,m_start,"&lt;"&amp;1140,m_end,"&gt;"&amp;1080))))))</f>
        <v/>
      </c>
      <c r="AI25" s="88" t="str">
        <f aca="false">IF(OR(AI$4="",MONTH(($G$2+15))&lt;&gt;MONTH($C$2)),"",IF(COUNTIFS(m_teacher,AI$4,m_date,($G$2+15),m_active,1,m_start,"&lt;"&amp;1140,m_end,"&gt;"&amp;1080)=0,"",IF(COUNTIFS(m_teacher,AI$4,m_date,($G$2+15),m_active,1,m_start,"&lt;"&amp;1140,m_end,"&gt;"&amp;1080)&gt;1,"충돌",HYPERLINK("#'관리자_MASTER'!D"&amp;_xlfn.MAXIFS(m_row,m_teacher,AI$4,m_date,($G$2+15),m_active,1,m_start,"&lt;"&amp;1140,m_end,"&gt;"&amp;1080),INDEX(m_label,_xlfn.MAXIFS(m_row,m_teacher,AI$4,m_date,($G$2+15),m_active,1,m_start,"&lt;"&amp;1140,m_end,"&gt;"&amp;1080))))))</f>
        <v/>
      </c>
      <c r="AJ25" s="88" t="str">
        <f aca="false">IF(OR(AJ$4="",MONTH(($G$2+15))&lt;&gt;MONTH($C$2)),"",IF(COUNTIFS(m_teacher,AJ$4,m_date,($G$2+15),m_active,1,m_start,"&lt;"&amp;1140,m_end,"&gt;"&amp;1080)=0,"",IF(COUNTIFS(m_teacher,AJ$4,m_date,($G$2+15),m_active,1,m_start,"&lt;"&amp;1140,m_end,"&gt;"&amp;1080)&gt;1,"충돌",HYPERLINK("#'관리자_MASTER'!D"&amp;_xlfn.MAXIFS(m_row,m_teacher,AJ$4,m_date,($G$2+15),m_active,1,m_start,"&lt;"&amp;1140,m_end,"&gt;"&amp;1080),INDEX(m_label,_xlfn.MAXIFS(m_row,m_teacher,AJ$4,m_date,($G$2+15),m_active,1,m_start,"&lt;"&amp;1140,m_end,"&gt;"&amp;1080))))))</f>
        <v/>
      </c>
      <c r="AK25" s="88" t="str">
        <f aca="false">IF(OR(AK$4="",MONTH(($G$2+15))&lt;&gt;MONTH($C$2)),"",IF(COUNTIFS(m_teacher,AK$4,m_date,($G$2+15),m_active,1,m_start,"&lt;"&amp;1140,m_end,"&gt;"&amp;1080)=0,"",IF(COUNTIFS(m_teacher,AK$4,m_date,($G$2+15),m_active,1,m_start,"&lt;"&amp;1140,m_end,"&gt;"&amp;1080)&gt;1,"충돌",HYPERLINK("#'관리자_MASTER'!D"&amp;_xlfn.MAXIFS(m_row,m_teacher,AK$4,m_date,($G$2+15),m_active,1,m_start,"&lt;"&amp;1140,m_end,"&gt;"&amp;1080),INDEX(m_label,_xlfn.MAXIFS(m_row,m_teacher,AK$4,m_date,($G$2+15),m_active,1,m_start,"&lt;"&amp;1140,m_end,"&gt;"&amp;1080))))))</f>
        <v/>
      </c>
      <c r="AL25" s="88" t="str">
        <f aca="false">IF(OR(AL$4="",MONTH(($G$2+15))&lt;&gt;MONTH($C$2)),"",IF(COUNTIFS(m_teacher,AL$4,m_date,($G$2+15),m_active,1,m_start,"&lt;"&amp;1140,m_end,"&gt;"&amp;1080)=0,"",IF(COUNTIFS(m_teacher,AL$4,m_date,($G$2+15),m_active,1,m_start,"&lt;"&amp;1140,m_end,"&gt;"&amp;1080)&gt;1,"충돌",HYPERLINK("#'관리자_MASTER'!D"&amp;_xlfn.MAXIFS(m_row,m_teacher,AL$4,m_date,($G$2+15),m_active,1,m_start,"&lt;"&amp;1140,m_end,"&gt;"&amp;1080),INDEX(m_label,_xlfn.MAXIFS(m_row,m_teacher,AL$4,m_date,($G$2+15),m_active,1,m_start,"&lt;"&amp;1140,m_end,"&gt;"&amp;1080))))))</f>
        <v/>
      </c>
      <c r="AM25" s="88" t="str">
        <f aca="false">IF(OR(AM$4="",MONTH(($G$2+15))&lt;&gt;MONTH($C$2)),"",IF(COUNTIFS(m_teacher,AM$4,m_date,($G$2+15),m_active,1,m_start,"&lt;"&amp;1140,m_end,"&gt;"&amp;1080)=0,"",IF(COUNTIFS(m_teacher,AM$4,m_date,($G$2+15),m_active,1,m_start,"&lt;"&amp;1140,m_end,"&gt;"&amp;1080)&gt;1,"충돌",HYPERLINK("#'관리자_MASTER'!D"&amp;_xlfn.MAXIFS(m_row,m_teacher,AM$4,m_date,($G$2+15),m_active,1,m_start,"&lt;"&amp;1140,m_end,"&gt;"&amp;1080),INDEX(m_label,_xlfn.MAXIFS(m_row,m_teacher,AM$4,m_date,($G$2+15),m_active,1,m_start,"&lt;"&amp;1140,m_end,"&gt;"&amp;1080))))))</f>
        <v/>
      </c>
      <c r="AN25" s="88" t="str">
        <f aca="false">IF(OR(AN$4="",MONTH(($G$2+15))&lt;&gt;MONTH($C$2)),"",IF(COUNTIFS(m_teacher,AN$4,m_date,($G$2+15),m_active,1,m_start,"&lt;"&amp;1140,m_end,"&gt;"&amp;1080)=0,"",IF(COUNTIFS(m_teacher,AN$4,m_date,($G$2+15),m_active,1,m_start,"&lt;"&amp;1140,m_end,"&gt;"&amp;1080)&gt;1,"충돌",HYPERLINK("#'관리자_MASTER'!D"&amp;_xlfn.MAXIFS(m_row,m_teacher,AN$4,m_date,($G$2+15),m_active,1,m_start,"&lt;"&amp;1140,m_end,"&gt;"&amp;1080),INDEX(m_label,_xlfn.MAXIFS(m_row,m_teacher,AN$4,m_date,($G$2+15),m_active,1,m_start,"&lt;"&amp;1140,m_end,"&gt;"&amp;1080))))))</f>
        <v/>
      </c>
      <c r="AO25" s="88" t="str">
        <f aca="false">IF(OR(AO$4="",MONTH(($G$2+15))&lt;&gt;MONTH($C$2)),"",IF(COUNTIFS(m_teacher,AO$4,m_date,($G$2+15),m_active,1,m_start,"&lt;"&amp;1140,m_end,"&gt;"&amp;1080)=0,"",IF(COUNTIFS(m_teacher,AO$4,m_date,($G$2+15),m_active,1,m_start,"&lt;"&amp;1140,m_end,"&gt;"&amp;1080)&gt;1,"충돌",HYPERLINK("#'관리자_MASTER'!D"&amp;_xlfn.MAXIFS(m_row,m_teacher,AO$4,m_date,($G$2+15),m_active,1,m_start,"&lt;"&amp;1140,m_end,"&gt;"&amp;1080),INDEX(m_label,_xlfn.MAXIFS(m_row,m_teacher,AO$4,m_date,($G$2+15),m_active,1,m_start,"&lt;"&amp;1140,m_end,"&gt;"&amp;1080))))))</f>
        <v/>
      </c>
      <c r="AP25" s="88" t="str">
        <f aca="false">IF(OR(AP$4="",MONTH(($G$2+15))&lt;&gt;MONTH($C$2)),"",IF(COUNTIFS(m_teacher,AP$4,m_date,($G$2+15),m_active,1,m_start,"&lt;"&amp;1140,m_end,"&gt;"&amp;1080)=0,"",IF(COUNTIFS(m_teacher,AP$4,m_date,($G$2+15),m_active,1,m_start,"&lt;"&amp;1140,m_end,"&gt;"&amp;1080)&gt;1,"충돌",HYPERLINK("#'관리자_MASTER'!D"&amp;_xlfn.MAXIFS(m_row,m_teacher,AP$4,m_date,($G$2+15),m_active,1,m_start,"&lt;"&amp;1140,m_end,"&gt;"&amp;1080),INDEX(m_label,_xlfn.MAXIFS(m_row,m_teacher,AP$4,m_date,($G$2+15),m_active,1,m_start,"&lt;"&amp;1140,m_end,"&gt;"&amp;1080))))))</f>
        <v/>
      </c>
      <c r="AQ25" s="78"/>
      <c r="AR25" s="79" t="s">
        <v>100</v>
      </c>
      <c r="AS25" s="88" t="str">
        <f aca="false">IF(OR(AS$4="",MONTH(($G$2+22))&lt;&gt;MONTH($C$2)),"",IF(COUNTIFS(m_teacher,AS$4,m_date,($G$2+22),m_active,1,m_start,"&lt;"&amp;1140,m_end,"&gt;"&amp;1080)=0,"",IF(COUNTIFS(m_teacher,AS$4,m_date,($G$2+22),m_active,1,m_start,"&lt;"&amp;1140,m_end,"&gt;"&amp;1080)&gt;1,"충돌",HYPERLINK("#'관리자_MASTER'!D"&amp;_xlfn.MAXIFS(m_row,m_teacher,AS$4,m_date,($G$2+22),m_active,1,m_start,"&lt;"&amp;1140,m_end,"&gt;"&amp;1080),INDEX(m_label,_xlfn.MAXIFS(m_row,m_teacher,AS$4,m_date,($G$2+22),m_active,1,m_start,"&lt;"&amp;1140,m_end,"&gt;"&amp;1080))))))</f>
        <v/>
      </c>
      <c r="AT25" s="88" t="str">
        <f aca="false">IF(OR(AT$4="",MONTH(($G$2+22))&lt;&gt;MONTH($C$2)),"",IF(COUNTIFS(m_teacher,AT$4,m_date,($G$2+22),m_active,1,m_start,"&lt;"&amp;1140,m_end,"&gt;"&amp;1080)=0,"",IF(COUNTIFS(m_teacher,AT$4,m_date,($G$2+22),m_active,1,m_start,"&lt;"&amp;1140,m_end,"&gt;"&amp;1080)&gt;1,"충돌",HYPERLINK("#'관리자_MASTER'!D"&amp;_xlfn.MAXIFS(m_row,m_teacher,AT$4,m_date,($G$2+22),m_active,1,m_start,"&lt;"&amp;1140,m_end,"&gt;"&amp;1080),INDEX(m_label,_xlfn.MAXIFS(m_row,m_teacher,AT$4,m_date,($G$2+22),m_active,1,m_start,"&lt;"&amp;1140,m_end,"&gt;"&amp;1080))))))</f>
        <v/>
      </c>
      <c r="AU25" s="88" t="str">
        <f aca="false">IF(OR(AU$4="",MONTH(($G$2+22))&lt;&gt;MONTH($C$2)),"",IF(COUNTIFS(m_teacher,AU$4,m_date,($G$2+22),m_active,1,m_start,"&lt;"&amp;1140,m_end,"&gt;"&amp;1080)=0,"",IF(COUNTIFS(m_teacher,AU$4,m_date,($G$2+22),m_active,1,m_start,"&lt;"&amp;1140,m_end,"&gt;"&amp;1080)&gt;1,"충돌",HYPERLINK("#'관리자_MASTER'!D"&amp;_xlfn.MAXIFS(m_row,m_teacher,AU$4,m_date,($G$2+22),m_active,1,m_start,"&lt;"&amp;1140,m_end,"&gt;"&amp;1080),INDEX(m_label,_xlfn.MAXIFS(m_row,m_teacher,AU$4,m_date,($G$2+22),m_active,1,m_start,"&lt;"&amp;1140,m_end,"&gt;"&amp;1080))))))</f>
        <v/>
      </c>
      <c r="AV25" s="88" t="str">
        <f aca="false">IF(OR(AV$4="",MONTH(($G$2+22))&lt;&gt;MONTH($C$2)),"",IF(COUNTIFS(m_teacher,AV$4,m_date,($G$2+22),m_active,1,m_start,"&lt;"&amp;1140,m_end,"&gt;"&amp;1080)=0,"",IF(COUNTIFS(m_teacher,AV$4,m_date,($G$2+22),m_active,1,m_start,"&lt;"&amp;1140,m_end,"&gt;"&amp;1080)&gt;1,"충돌",HYPERLINK("#'관리자_MASTER'!D"&amp;_xlfn.MAXIFS(m_row,m_teacher,AV$4,m_date,($G$2+22),m_active,1,m_start,"&lt;"&amp;1140,m_end,"&gt;"&amp;1080),INDEX(m_label,_xlfn.MAXIFS(m_row,m_teacher,AV$4,m_date,($G$2+22),m_active,1,m_start,"&lt;"&amp;1140,m_end,"&gt;"&amp;1080))))))</f>
        <v/>
      </c>
      <c r="AW25" s="88" t="str">
        <f aca="false">IF(OR(AW$4="",MONTH(($G$2+22))&lt;&gt;MONTH($C$2)),"",IF(COUNTIFS(m_teacher,AW$4,m_date,($G$2+22),m_active,1,m_start,"&lt;"&amp;1140,m_end,"&gt;"&amp;1080)=0,"",IF(COUNTIFS(m_teacher,AW$4,m_date,($G$2+22),m_active,1,m_start,"&lt;"&amp;1140,m_end,"&gt;"&amp;1080)&gt;1,"충돌",HYPERLINK("#'관리자_MASTER'!D"&amp;_xlfn.MAXIFS(m_row,m_teacher,AW$4,m_date,($G$2+22),m_active,1,m_start,"&lt;"&amp;1140,m_end,"&gt;"&amp;1080),INDEX(m_label,_xlfn.MAXIFS(m_row,m_teacher,AW$4,m_date,($G$2+22),m_active,1,m_start,"&lt;"&amp;1140,m_end,"&gt;"&amp;1080))))))</f>
        <v/>
      </c>
      <c r="AX25" s="88" t="str">
        <f aca="false">IF(OR(AX$4="",MONTH(($G$2+22))&lt;&gt;MONTH($C$2)),"",IF(COUNTIFS(m_teacher,AX$4,m_date,($G$2+22),m_active,1,m_start,"&lt;"&amp;1140,m_end,"&gt;"&amp;1080)=0,"",IF(COUNTIFS(m_teacher,AX$4,m_date,($G$2+22),m_active,1,m_start,"&lt;"&amp;1140,m_end,"&gt;"&amp;1080)&gt;1,"충돌",HYPERLINK("#'관리자_MASTER'!D"&amp;_xlfn.MAXIFS(m_row,m_teacher,AX$4,m_date,($G$2+22),m_active,1,m_start,"&lt;"&amp;1140,m_end,"&gt;"&amp;1080),INDEX(m_label,_xlfn.MAXIFS(m_row,m_teacher,AX$4,m_date,($G$2+22),m_active,1,m_start,"&lt;"&amp;1140,m_end,"&gt;"&amp;1080))))))</f>
        <v/>
      </c>
      <c r="AY25" s="88" t="str">
        <f aca="false">IF(OR(AY$4="",MONTH(($G$2+22))&lt;&gt;MONTH($C$2)),"",IF(COUNTIFS(m_teacher,AY$4,m_date,($G$2+22),m_active,1,m_start,"&lt;"&amp;1140,m_end,"&gt;"&amp;1080)=0,"",IF(COUNTIFS(m_teacher,AY$4,m_date,($G$2+22),m_active,1,m_start,"&lt;"&amp;1140,m_end,"&gt;"&amp;1080)&gt;1,"충돌",HYPERLINK("#'관리자_MASTER'!D"&amp;_xlfn.MAXIFS(m_row,m_teacher,AY$4,m_date,($G$2+22),m_active,1,m_start,"&lt;"&amp;1140,m_end,"&gt;"&amp;1080),INDEX(m_label,_xlfn.MAXIFS(m_row,m_teacher,AY$4,m_date,($G$2+22),m_active,1,m_start,"&lt;"&amp;1140,m_end,"&gt;"&amp;1080))))))</f>
        <v/>
      </c>
      <c r="AZ25" s="88" t="str">
        <f aca="false">IF(OR(AZ$4="",MONTH(($G$2+22))&lt;&gt;MONTH($C$2)),"",IF(COUNTIFS(m_teacher,AZ$4,m_date,($G$2+22),m_active,1,m_start,"&lt;"&amp;1140,m_end,"&gt;"&amp;1080)=0,"",IF(COUNTIFS(m_teacher,AZ$4,m_date,($G$2+22),m_active,1,m_start,"&lt;"&amp;1140,m_end,"&gt;"&amp;1080)&gt;1,"충돌",HYPERLINK("#'관리자_MASTER'!D"&amp;_xlfn.MAXIFS(m_row,m_teacher,AZ$4,m_date,($G$2+22),m_active,1,m_start,"&lt;"&amp;1140,m_end,"&gt;"&amp;1080),INDEX(m_label,_xlfn.MAXIFS(m_row,m_teacher,AZ$4,m_date,($G$2+22),m_active,1,m_start,"&lt;"&amp;1140,m_end,"&gt;"&amp;1080))))))</f>
        <v/>
      </c>
      <c r="BA25" s="88" t="str">
        <f aca="false">IF(OR(BA$4="",MONTH(($G$2+22))&lt;&gt;MONTH($C$2)),"",IF(COUNTIFS(m_teacher,BA$4,m_date,($G$2+22),m_active,1,m_start,"&lt;"&amp;1140,m_end,"&gt;"&amp;1080)=0,"",IF(COUNTIFS(m_teacher,BA$4,m_date,($G$2+22),m_active,1,m_start,"&lt;"&amp;1140,m_end,"&gt;"&amp;1080)&gt;1,"충돌",HYPERLINK("#'관리자_MASTER'!D"&amp;_xlfn.MAXIFS(m_row,m_teacher,BA$4,m_date,($G$2+22),m_active,1,m_start,"&lt;"&amp;1140,m_end,"&gt;"&amp;1080),INDEX(m_label,_xlfn.MAXIFS(m_row,m_teacher,BA$4,m_date,($G$2+22),m_active,1,m_start,"&lt;"&amp;1140,m_end,"&gt;"&amp;1080))))))</f>
        <v/>
      </c>
      <c r="BB25" s="88" t="str">
        <f aca="false">IF(OR(BB$4="",MONTH(($G$2+22))&lt;&gt;MONTH($C$2)),"",IF(COUNTIFS(m_teacher,BB$4,m_date,($G$2+22),m_active,1,m_start,"&lt;"&amp;1140,m_end,"&gt;"&amp;1080)=0,"",IF(COUNTIFS(m_teacher,BB$4,m_date,($G$2+22),m_active,1,m_start,"&lt;"&amp;1140,m_end,"&gt;"&amp;1080)&gt;1,"충돌",HYPERLINK("#'관리자_MASTER'!D"&amp;_xlfn.MAXIFS(m_row,m_teacher,BB$4,m_date,($G$2+22),m_active,1,m_start,"&lt;"&amp;1140,m_end,"&gt;"&amp;1080),INDEX(m_label,_xlfn.MAXIFS(m_row,m_teacher,BB$4,m_date,($G$2+22),m_active,1,m_start,"&lt;"&amp;1140,m_end,"&gt;"&amp;1080))))))</f>
        <v/>
      </c>
      <c r="BC25" s="88" t="str">
        <f aca="false">IF(OR(BC$4="",MONTH(($G$2+22))&lt;&gt;MONTH($C$2)),"",IF(COUNTIFS(m_teacher,BC$4,m_date,($G$2+22),m_active,1,m_start,"&lt;"&amp;1140,m_end,"&gt;"&amp;1080)=0,"",IF(COUNTIFS(m_teacher,BC$4,m_date,($G$2+22),m_active,1,m_start,"&lt;"&amp;1140,m_end,"&gt;"&amp;1080)&gt;1,"충돌",HYPERLINK("#'관리자_MASTER'!D"&amp;_xlfn.MAXIFS(m_row,m_teacher,BC$4,m_date,($G$2+22),m_active,1,m_start,"&lt;"&amp;1140,m_end,"&gt;"&amp;1080),INDEX(m_label,_xlfn.MAXIFS(m_row,m_teacher,BC$4,m_date,($G$2+22),m_active,1,m_start,"&lt;"&amp;1140,m_end,"&gt;"&amp;1080))))))</f>
        <v/>
      </c>
      <c r="BD25" s="88" t="str">
        <f aca="false">IF(OR(BD$4="",MONTH(($G$2+22))&lt;&gt;MONTH($C$2)),"",IF(COUNTIFS(m_teacher,BD$4,m_date,($G$2+22),m_active,1,m_start,"&lt;"&amp;1140,m_end,"&gt;"&amp;1080)=0,"",IF(COUNTIFS(m_teacher,BD$4,m_date,($G$2+22),m_active,1,m_start,"&lt;"&amp;1140,m_end,"&gt;"&amp;1080)&gt;1,"충돌",HYPERLINK("#'관리자_MASTER'!D"&amp;_xlfn.MAXIFS(m_row,m_teacher,BD$4,m_date,($G$2+22),m_active,1,m_start,"&lt;"&amp;1140,m_end,"&gt;"&amp;1080),INDEX(m_label,_xlfn.MAXIFS(m_row,m_teacher,BD$4,m_date,($G$2+22),m_active,1,m_start,"&lt;"&amp;1140,m_end,"&gt;"&amp;1080))))))</f>
        <v/>
      </c>
      <c r="BE25" s="78"/>
      <c r="BF25" s="79" t="s">
        <v>100</v>
      </c>
      <c r="BG25" s="88" t="str">
        <f aca="false">IF(OR(BG$4="",MONTH(($G$2+29))&lt;&gt;MONTH($C$2)),"",IF(COUNTIFS(m_teacher,BG$4,m_date,($G$2+29),m_active,1,m_start,"&lt;"&amp;1140,m_end,"&gt;"&amp;1080)=0,"",IF(COUNTIFS(m_teacher,BG$4,m_date,($G$2+29),m_active,1,m_start,"&lt;"&amp;1140,m_end,"&gt;"&amp;1080)&gt;1,"충돌",HYPERLINK("#'관리자_MASTER'!D"&amp;_xlfn.MAXIFS(m_row,m_teacher,BG$4,m_date,($G$2+29),m_active,1,m_start,"&lt;"&amp;1140,m_end,"&gt;"&amp;1080),INDEX(m_label,_xlfn.MAXIFS(m_row,m_teacher,BG$4,m_date,($G$2+29),m_active,1,m_start,"&lt;"&amp;1140,m_end,"&gt;"&amp;1080))))))</f>
        <v/>
      </c>
      <c r="BH25" s="88" t="str">
        <f aca="false">IF(OR(BH$4="",MONTH(($G$2+29))&lt;&gt;MONTH($C$2)),"",IF(COUNTIFS(m_teacher,BH$4,m_date,($G$2+29),m_active,1,m_start,"&lt;"&amp;1140,m_end,"&gt;"&amp;1080)=0,"",IF(COUNTIFS(m_teacher,BH$4,m_date,($G$2+29),m_active,1,m_start,"&lt;"&amp;1140,m_end,"&gt;"&amp;1080)&gt;1,"충돌",HYPERLINK("#'관리자_MASTER'!D"&amp;_xlfn.MAXIFS(m_row,m_teacher,BH$4,m_date,($G$2+29),m_active,1,m_start,"&lt;"&amp;1140,m_end,"&gt;"&amp;1080),INDEX(m_label,_xlfn.MAXIFS(m_row,m_teacher,BH$4,m_date,($G$2+29),m_active,1,m_start,"&lt;"&amp;1140,m_end,"&gt;"&amp;1080))))))</f>
        <v/>
      </c>
      <c r="BI25" s="88" t="str">
        <f aca="false">IF(OR(BI$4="",MONTH(($G$2+29))&lt;&gt;MONTH($C$2)),"",IF(COUNTIFS(m_teacher,BI$4,m_date,($G$2+29),m_active,1,m_start,"&lt;"&amp;1140,m_end,"&gt;"&amp;1080)=0,"",IF(COUNTIFS(m_teacher,BI$4,m_date,($G$2+29),m_active,1,m_start,"&lt;"&amp;1140,m_end,"&gt;"&amp;1080)&gt;1,"충돌",HYPERLINK("#'관리자_MASTER'!D"&amp;_xlfn.MAXIFS(m_row,m_teacher,BI$4,m_date,($G$2+29),m_active,1,m_start,"&lt;"&amp;1140,m_end,"&gt;"&amp;1080),INDEX(m_label,_xlfn.MAXIFS(m_row,m_teacher,BI$4,m_date,($G$2+29),m_active,1,m_start,"&lt;"&amp;1140,m_end,"&gt;"&amp;1080))))))</f>
        <v/>
      </c>
      <c r="BJ25" s="88" t="str">
        <f aca="false">IF(OR(BJ$4="",MONTH(($G$2+29))&lt;&gt;MONTH($C$2)),"",IF(COUNTIFS(m_teacher,BJ$4,m_date,($G$2+29),m_active,1,m_start,"&lt;"&amp;1140,m_end,"&gt;"&amp;1080)=0,"",IF(COUNTIFS(m_teacher,BJ$4,m_date,($G$2+29),m_active,1,m_start,"&lt;"&amp;1140,m_end,"&gt;"&amp;1080)&gt;1,"충돌",HYPERLINK("#'관리자_MASTER'!D"&amp;_xlfn.MAXIFS(m_row,m_teacher,BJ$4,m_date,($G$2+29),m_active,1,m_start,"&lt;"&amp;1140,m_end,"&gt;"&amp;1080),INDEX(m_label,_xlfn.MAXIFS(m_row,m_teacher,BJ$4,m_date,($G$2+29),m_active,1,m_start,"&lt;"&amp;1140,m_end,"&gt;"&amp;1080))))))</f>
        <v/>
      </c>
      <c r="BK25" s="88" t="str">
        <f aca="false">IF(OR(BK$4="",MONTH(($G$2+29))&lt;&gt;MONTH($C$2)),"",IF(COUNTIFS(m_teacher,BK$4,m_date,($G$2+29),m_active,1,m_start,"&lt;"&amp;1140,m_end,"&gt;"&amp;1080)=0,"",IF(COUNTIFS(m_teacher,BK$4,m_date,($G$2+29),m_active,1,m_start,"&lt;"&amp;1140,m_end,"&gt;"&amp;1080)&gt;1,"충돌",HYPERLINK("#'관리자_MASTER'!D"&amp;_xlfn.MAXIFS(m_row,m_teacher,BK$4,m_date,($G$2+29),m_active,1,m_start,"&lt;"&amp;1140,m_end,"&gt;"&amp;1080),INDEX(m_label,_xlfn.MAXIFS(m_row,m_teacher,BK$4,m_date,($G$2+29),m_active,1,m_start,"&lt;"&amp;1140,m_end,"&gt;"&amp;1080))))))</f>
        <v/>
      </c>
      <c r="BL25" s="88" t="str">
        <f aca="false">IF(OR(BL$4="",MONTH(($G$2+29))&lt;&gt;MONTH($C$2)),"",IF(COUNTIFS(m_teacher,BL$4,m_date,($G$2+29),m_active,1,m_start,"&lt;"&amp;1140,m_end,"&gt;"&amp;1080)=0,"",IF(COUNTIFS(m_teacher,BL$4,m_date,($G$2+29),m_active,1,m_start,"&lt;"&amp;1140,m_end,"&gt;"&amp;1080)&gt;1,"충돌",HYPERLINK("#'관리자_MASTER'!D"&amp;_xlfn.MAXIFS(m_row,m_teacher,BL$4,m_date,($G$2+29),m_active,1,m_start,"&lt;"&amp;1140,m_end,"&gt;"&amp;1080),INDEX(m_label,_xlfn.MAXIFS(m_row,m_teacher,BL$4,m_date,($G$2+29),m_active,1,m_start,"&lt;"&amp;1140,m_end,"&gt;"&amp;1080))))))</f>
        <v/>
      </c>
      <c r="BM25" s="88" t="str">
        <f aca="false">IF(OR(BM$4="",MONTH(($G$2+29))&lt;&gt;MONTH($C$2)),"",IF(COUNTIFS(m_teacher,BM$4,m_date,($G$2+29),m_active,1,m_start,"&lt;"&amp;1140,m_end,"&gt;"&amp;1080)=0,"",IF(COUNTIFS(m_teacher,BM$4,m_date,($G$2+29),m_active,1,m_start,"&lt;"&amp;1140,m_end,"&gt;"&amp;1080)&gt;1,"충돌",HYPERLINK("#'관리자_MASTER'!D"&amp;_xlfn.MAXIFS(m_row,m_teacher,BM$4,m_date,($G$2+29),m_active,1,m_start,"&lt;"&amp;1140,m_end,"&gt;"&amp;1080),INDEX(m_label,_xlfn.MAXIFS(m_row,m_teacher,BM$4,m_date,($G$2+29),m_active,1,m_start,"&lt;"&amp;1140,m_end,"&gt;"&amp;1080))))))</f>
        <v/>
      </c>
      <c r="BN25" s="88" t="str">
        <f aca="false">IF(OR(BN$4="",MONTH(($G$2+29))&lt;&gt;MONTH($C$2)),"",IF(COUNTIFS(m_teacher,BN$4,m_date,($G$2+29),m_active,1,m_start,"&lt;"&amp;1140,m_end,"&gt;"&amp;1080)=0,"",IF(COUNTIFS(m_teacher,BN$4,m_date,($G$2+29),m_active,1,m_start,"&lt;"&amp;1140,m_end,"&gt;"&amp;1080)&gt;1,"충돌",HYPERLINK("#'관리자_MASTER'!D"&amp;_xlfn.MAXIFS(m_row,m_teacher,BN$4,m_date,($G$2+29),m_active,1,m_start,"&lt;"&amp;1140,m_end,"&gt;"&amp;1080),INDEX(m_label,_xlfn.MAXIFS(m_row,m_teacher,BN$4,m_date,($G$2+29),m_active,1,m_start,"&lt;"&amp;1140,m_end,"&gt;"&amp;1080))))))</f>
        <v/>
      </c>
      <c r="BO25" s="88" t="str">
        <f aca="false">IF(OR(BO$4="",MONTH(($G$2+29))&lt;&gt;MONTH($C$2)),"",IF(COUNTIFS(m_teacher,BO$4,m_date,($G$2+29),m_active,1,m_start,"&lt;"&amp;1140,m_end,"&gt;"&amp;1080)=0,"",IF(COUNTIFS(m_teacher,BO$4,m_date,($G$2+29),m_active,1,m_start,"&lt;"&amp;1140,m_end,"&gt;"&amp;1080)&gt;1,"충돌",HYPERLINK("#'관리자_MASTER'!D"&amp;_xlfn.MAXIFS(m_row,m_teacher,BO$4,m_date,($G$2+29),m_active,1,m_start,"&lt;"&amp;1140,m_end,"&gt;"&amp;1080),INDEX(m_label,_xlfn.MAXIFS(m_row,m_teacher,BO$4,m_date,($G$2+29),m_active,1,m_start,"&lt;"&amp;1140,m_end,"&gt;"&amp;1080))))))</f>
        <v/>
      </c>
      <c r="BP25" s="88" t="str">
        <f aca="false">IF(OR(BP$4="",MONTH(($G$2+29))&lt;&gt;MONTH($C$2)),"",IF(COUNTIFS(m_teacher,BP$4,m_date,($G$2+29),m_active,1,m_start,"&lt;"&amp;1140,m_end,"&gt;"&amp;1080)=0,"",IF(COUNTIFS(m_teacher,BP$4,m_date,($G$2+29),m_active,1,m_start,"&lt;"&amp;1140,m_end,"&gt;"&amp;1080)&gt;1,"충돌",HYPERLINK("#'관리자_MASTER'!D"&amp;_xlfn.MAXIFS(m_row,m_teacher,BP$4,m_date,($G$2+29),m_active,1,m_start,"&lt;"&amp;1140,m_end,"&gt;"&amp;1080),INDEX(m_label,_xlfn.MAXIFS(m_row,m_teacher,BP$4,m_date,($G$2+29),m_active,1,m_start,"&lt;"&amp;1140,m_end,"&gt;"&amp;1080))))))</f>
        <v/>
      </c>
      <c r="BQ25" s="88" t="str">
        <f aca="false">IF(OR(BQ$4="",MONTH(($G$2+29))&lt;&gt;MONTH($C$2)),"",IF(COUNTIFS(m_teacher,BQ$4,m_date,($G$2+29),m_active,1,m_start,"&lt;"&amp;1140,m_end,"&gt;"&amp;1080)=0,"",IF(COUNTIFS(m_teacher,BQ$4,m_date,($G$2+29),m_active,1,m_start,"&lt;"&amp;1140,m_end,"&gt;"&amp;1080)&gt;1,"충돌",HYPERLINK("#'관리자_MASTER'!D"&amp;_xlfn.MAXIFS(m_row,m_teacher,BQ$4,m_date,($G$2+29),m_active,1,m_start,"&lt;"&amp;1140,m_end,"&gt;"&amp;1080),INDEX(m_label,_xlfn.MAXIFS(m_row,m_teacher,BQ$4,m_date,($G$2+29),m_active,1,m_start,"&lt;"&amp;1140,m_end,"&gt;"&amp;1080))))))</f>
        <v/>
      </c>
      <c r="BR25" s="88" t="str">
        <f aca="false">IF(OR(BR$4="",MONTH(($G$2+29))&lt;&gt;MONTH($C$2)),"",IF(COUNTIFS(m_teacher,BR$4,m_date,($G$2+29),m_active,1,m_start,"&lt;"&amp;1140,m_end,"&gt;"&amp;1080)=0,"",IF(COUNTIFS(m_teacher,BR$4,m_date,($G$2+29),m_active,1,m_start,"&lt;"&amp;1140,m_end,"&gt;"&amp;1080)&gt;1,"충돌",HYPERLINK("#'관리자_MASTER'!D"&amp;_xlfn.MAXIFS(m_row,m_teacher,BR$4,m_date,($G$2+29),m_active,1,m_start,"&lt;"&amp;1140,m_end,"&gt;"&amp;1080),INDEX(m_label,_xlfn.MAXIFS(m_row,m_teacher,BR$4,m_date,($G$2+29),m_active,1,m_start,"&lt;"&amp;1140,m_end,"&gt;"&amp;1080))))))</f>
        <v/>
      </c>
    </row>
    <row r="26" customFormat="false" ht="19.5" hidden="false" customHeight="true" outlineLevel="0" collapsed="false">
      <c r="A26" s="75"/>
      <c r="B26" s="83" t="s">
        <v>101</v>
      </c>
      <c r="C26" s="84" t="str">
        <f aca="false">IF(OR(C$4="",MONTH(($G$2+1))&lt;&gt;MONTH($C$2)),"",IF(COUNTIFS(m_teacher,C$4,m_date,($G$2+1),m_active,1,m_start,"&lt;"&amp;1440,m_end,"&gt;"&amp;1140)=0,"",IF(COUNTIFS(m_teacher,C$4,m_date,($G$2+1),m_active,1,m_start,"&lt;"&amp;1440,m_end,"&gt;"&amp;1140)&gt;1,"충돌",HYPERLINK("#'관리자_MASTER'!D"&amp;_xlfn.MAXIFS(m_row,m_teacher,C$4,m_date,($G$2+1),m_active,1,m_start,"&lt;"&amp;1440,m_end,"&gt;"&amp;1140),INDEX(m_label,_xlfn.MAXIFS(m_row,m_teacher,C$4,m_date,($G$2+1),m_active,1,m_start,"&lt;"&amp;1440,m_end,"&gt;"&amp;1140))))))</f>
        <v/>
      </c>
      <c r="D26" s="84" t="str">
        <f aca="false">IF(OR(D$4="",MONTH(($G$2+1))&lt;&gt;MONTH($C$2)),"",IF(COUNTIFS(m_teacher,D$4,m_date,($G$2+1),m_active,1,m_start,"&lt;"&amp;1440,m_end,"&gt;"&amp;1140)=0,"",IF(COUNTIFS(m_teacher,D$4,m_date,($G$2+1),m_active,1,m_start,"&lt;"&amp;1440,m_end,"&gt;"&amp;1140)&gt;1,"충돌",HYPERLINK("#'관리자_MASTER'!D"&amp;_xlfn.MAXIFS(m_row,m_teacher,D$4,m_date,($G$2+1),m_active,1,m_start,"&lt;"&amp;1440,m_end,"&gt;"&amp;1140),INDEX(m_label,_xlfn.MAXIFS(m_row,m_teacher,D$4,m_date,($G$2+1),m_active,1,m_start,"&lt;"&amp;1440,m_end,"&gt;"&amp;1140))))))</f>
        <v/>
      </c>
      <c r="E26" s="84" t="str">
        <f aca="false">IF(OR(E$4="",MONTH(($G$2+1))&lt;&gt;MONTH($C$2)),"",IF(COUNTIFS(m_teacher,E$4,m_date,($G$2+1),m_active,1,m_start,"&lt;"&amp;1440,m_end,"&gt;"&amp;1140)=0,"",IF(COUNTIFS(m_teacher,E$4,m_date,($G$2+1),m_active,1,m_start,"&lt;"&amp;1440,m_end,"&gt;"&amp;1140)&gt;1,"충돌",HYPERLINK("#'관리자_MASTER'!D"&amp;_xlfn.MAXIFS(m_row,m_teacher,E$4,m_date,($G$2+1),m_active,1,m_start,"&lt;"&amp;1440,m_end,"&gt;"&amp;1140),INDEX(m_label,_xlfn.MAXIFS(m_row,m_teacher,E$4,m_date,($G$2+1),m_active,1,m_start,"&lt;"&amp;1440,m_end,"&gt;"&amp;1140))))))</f>
        <v/>
      </c>
      <c r="F26" s="84" t="str">
        <f aca="false">IF(OR(F$4="",MONTH(($G$2+1))&lt;&gt;MONTH($C$2)),"",IF(COUNTIFS(m_teacher,F$4,m_date,($G$2+1),m_active,1,m_start,"&lt;"&amp;1440,m_end,"&gt;"&amp;1140)=0,"",IF(COUNTIFS(m_teacher,F$4,m_date,($G$2+1),m_active,1,m_start,"&lt;"&amp;1440,m_end,"&gt;"&amp;1140)&gt;1,"충돌",HYPERLINK("#'관리자_MASTER'!D"&amp;_xlfn.MAXIFS(m_row,m_teacher,F$4,m_date,($G$2+1),m_active,1,m_start,"&lt;"&amp;1440,m_end,"&gt;"&amp;1140),INDEX(m_label,_xlfn.MAXIFS(m_row,m_teacher,F$4,m_date,($G$2+1),m_active,1,m_start,"&lt;"&amp;1440,m_end,"&gt;"&amp;1140))))))</f>
        <v/>
      </c>
      <c r="G26" s="84" t="str">
        <f aca="false">IF(OR(G$4="",MONTH(($G$2+1))&lt;&gt;MONTH($C$2)),"",IF(COUNTIFS(m_teacher,G$4,m_date,($G$2+1),m_active,1,m_start,"&lt;"&amp;1440,m_end,"&gt;"&amp;1140)=0,"",IF(COUNTIFS(m_teacher,G$4,m_date,($G$2+1),m_active,1,m_start,"&lt;"&amp;1440,m_end,"&gt;"&amp;1140)&gt;1,"충돌",HYPERLINK("#'관리자_MASTER'!D"&amp;_xlfn.MAXIFS(m_row,m_teacher,G$4,m_date,($G$2+1),m_active,1,m_start,"&lt;"&amp;1440,m_end,"&gt;"&amp;1140),INDEX(m_label,_xlfn.MAXIFS(m_row,m_teacher,G$4,m_date,($G$2+1),m_active,1,m_start,"&lt;"&amp;1440,m_end,"&gt;"&amp;1140))))))</f>
        <v/>
      </c>
      <c r="H26" s="84" t="str">
        <f aca="false">IF(OR(H$4="",MONTH(($G$2+1))&lt;&gt;MONTH($C$2)),"",IF(COUNTIFS(m_teacher,H$4,m_date,($G$2+1),m_active,1,m_start,"&lt;"&amp;1440,m_end,"&gt;"&amp;1140)=0,"",IF(COUNTIFS(m_teacher,H$4,m_date,($G$2+1),m_active,1,m_start,"&lt;"&amp;1440,m_end,"&gt;"&amp;1140)&gt;1,"충돌",HYPERLINK("#'관리자_MASTER'!D"&amp;_xlfn.MAXIFS(m_row,m_teacher,H$4,m_date,($G$2+1),m_active,1,m_start,"&lt;"&amp;1440,m_end,"&gt;"&amp;1140),INDEX(m_label,_xlfn.MAXIFS(m_row,m_teacher,H$4,m_date,($G$2+1),m_active,1,m_start,"&lt;"&amp;1440,m_end,"&gt;"&amp;1140))))))</f>
        <v/>
      </c>
      <c r="I26" s="84" t="str">
        <f aca="false">IF(OR(I$4="",MONTH(($G$2+1))&lt;&gt;MONTH($C$2)),"",IF(COUNTIFS(m_teacher,I$4,m_date,($G$2+1),m_active,1,m_start,"&lt;"&amp;1440,m_end,"&gt;"&amp;1140)=0,"",IF(COUNTIFS(m_teacher,I$4,m_date,($G$2+1),m_active,1,m_start,"&lt;"&amp;1440,m_end,"&gt;"&amp;1140)&gt;1,"충돌",HYPERLINK("#'관리자_MASTER'!D"&amp;_xlfn.MAXIFS(m_row,m_teacher,I$4,m_date,($G$2+1),m_active,1,m_start,"&lt;"&amp;1440,m_end,"&gt;"&amp;1140),INDEX(m_label,_xlfn.MAXIFS(m_row,m_teacher,I$4,m_date,($G$2+1),m_active,1,m_start,"&lt;"&amp;1440,m_end,"&gt;"&amp;1140))))))</f>
        <v/>
      </c>
      <c r="J26" s="84" t="str">
        <f aca="false">IF(OR(J$4="",MONTH(($G$2+1))&lt;&gt;MONTH($C$2)),"",IF(COUNTIFS(m_teacher,J$4,m_date,($G$2+1),m_active,1,m_start,"&lt;"&amp;1440,m_end,"&gt;"&amp;1140)=0,"",IF(COUNTIFS(m_teacher,J$4,m_date,($G$2+1),m_active,1,m_start,"&lt;"&amp;1440,m_end,"&gt;"&amp;1140)&gt;1,"충돌",HYPERLINK("#'관리자_MASTER'!D"&amp;_xlfn.MAXIFS(m_row,m_teacher,J$4,m_date,($G$2+1),m_active,1,m_start,"&lt;"&amp;1440,m_end,"&gt;"&amp;1140),INDEX(m_label,_xlfn.MAXIFS(m_row,m_teacher,J$4,m_date,($G$2+1),m_active,1,m_start,"&lt;"&amp;1440,m_end,"&gt;"&amp;1140))))))</f>
        <v/>
      </c>
      <c r="K26" s="84" t="str">
        <f aca="false">IF(OR(K$4="",MONTH(($G$2+1))&lt;&gt;MONTH($C$2)),"",IF(COUNTIFS(m_teacher,K$4,m_date,($G$2+1),m_active,1,m_start,"&lt;"&amp;1440,m_end,"&gt;"&amp;1140)=0,"",IF(COUNTIFS(m_teacher,K$4,m_date,($G$2+1),m_active,1,m_start,"&lt;"&amp;1440,m_end,"&gt;"&amp;1140)&gt;1,"충돌",HYPERLINK("#'관리자_MASTER'!D"&amp;_xlfn.MAXIFS(m_row,m_teacher,K$4,m_date,($G$2+1),m_active,1,m_start,"&lt;"&amp;1440,m_end,"&gt;"&amp;1140),INDEX(m_label,_xlfn.MAXIFS(m_row,m_teacher,K$4,m_date,($G$2+1),m_active,1,m_start,"&lt;"&amp;1440,m_end,"&gt;"&amp;1140))))))</f>
        <v/>
      </c>
      <c r="L26" s="84" t="str">
        <f aca="false">IF(OR(L$4="",MONTH(($G$2+1))&lt;&gt;MONTH($C$2)),"",IF(COUNTIFS(m_teacher,L$4,m_date,($G$2+1),m_active,1,m_start,"&lt;"&amp;1440,m_end,"&gt;"&amp;1140)=0,"",IF(COUNTIFS(m_teacher,L$4,m_date,($G$2+1),m_active,1,m_start,"&lt;"&amp;1440,m_end,"&gt;"&amp;1140)&gt;1,"충돌",HYPERLINK("#'관리자_MASTER'!D"&amp;_xlfn.MAXIFS(m_row,m_teacher,L$4,m_date,($G$2+1),m_active,1,m_start,"&lt;"&amp;1440,m_end,"&gt;"&amp;1140),INDEX(m_label,_xlfn.MAXIFS(m_row,m_teacher,L$4,m_date,($G$2+1),m_active,1,m_start,"&lt;"&amp;1440,m_end,"&gt;"&amp;1140))))))</f>
        <v/>
      </c>
      <c r="M26" s="84" t="str">
        <f aca="false">IF(OR(M$4="",MONTH(($G$2+1))&lt;&gt;MONTH($C$2)),"",IF(COUNTIFS(m_teacher,M$4,m_date,($G$2+1),m_active,1,m_start,"&lt;"&amp;1440,m_end,"&gt;"&amp;1140)=0,"",IF(COUNTIFS(m_teacher,M$4,m_date,($G$2+1),m_active,1,m_start,"&lt;"&amp;1440,m_end,"&gt;"&amp;1140)&gt;1,"충돌",HYPERLINK("#'관리자_MASTER'!D"&amp;_xlfn.MAXIFS(m_row,m_teacher,M$4,m_date,($G$2+1),m_active,1,m_start,"&lt;"&amp;1440,m_end,"&gt;"&amp;1140),INDEX(m_label,_xlfn.MAXIFS(m_row,m_teacher,M$4,m_date,($G$2+1),m_active,1,m_start,"&lt;"&amp;1440,m_end,"&gt;"&amp;1140))))))</f>
        <v/>
      </c>
      <c r="N26" s="84" t="str">
        <f aca="false">IF(OR(N$4="",MONTH(($G$2+1))&lt;&gt;MONTH($C$2)),"",IF(COUNTIFS(m_teacher,N$4,m_date,($G$2+1),m_active,1,m_start,"&lt;"&amp;1440,m_end,"&gt;"&amp;1140)=0,"",IF(COUNTIFS(m_teacher,N$4,m_date,($G$2+1),m_active,1,m_start,"&lt;"&amp;1440,m_end,"&gt;"&amp;1140)&gt;1,"충돌",HYPERLINK("#'관리자_MASTER'!D"&amp;_xlfn.MAXIFS(m_row,m_teacher,N$4,m_date,($G$2+1),m_active,1,m_start,"&lt;"&amp;1440,m_end,"&gt;"&amp;1140),INDEX(m_label,_xlfn.MAXIFS(m_row,m_teacher,N$4,m_date,($G$2+1),m_active,1,m_start,"&lt;"&amp;1440,m_end,"&gt;"&amp;1140))))))</f>
        <v/>
      </c>
      <c r="O26" s="78"/>
      <c r="P26" s="85" t="s">
        <v>101</v>
      </c>
      <c r="Q26" s="89" t="str">
        <f aca="false">IF(OR(Q$4="",MONTH(($G$2+8))&lt;&gt;MONTH($C$2)),"",IF(COUNTIFS(m_teacher,Q$4,m_date,($G$2+8),m_active,1,m_start,"&lt;"&amp;1440,m_end,"&gt;"&amp;1140)=0,"",IF(COUNTIFS(m_teacher,Q$4,m_date,($G$2+8),m_active,1,m_start,"&lt;"&amp;1440,m_end,"&gt;"&amp;1140)&gt;1,"충돌",HYPERLINK("#'관리자_MASTER'!D"&amp;_xlfn.MAXIFS(m_row,m_teacher,Q$4,m_date,($G$2+8),m_active,1,m_start,"&lt;"&amp;1440,m_end,"&gt;"&amp;1140),INDEX(m_label,_xlfn.MAXIFS(m_row,m_teacher,Q$4,m_date,($G$2+8),m_active,1,m_start,"&lt;"&amp;1440,m_end,"&gt;"&amp;1140))))))</f>
        <v/>
      </c>
      <c r="R26" s="89" t="str">
        <f aca="false">IF(OR(R$4="",MONTH(($G$2+8))&lt;&gt;MONTH($C$2)),"",IF(COUNTIFS(m_teacher,R$4,m_date,($G$2+8),m_active,1,m_start,"&lt;"&amp;1440,m_end,"&gt;"&amp;1140)=0,"",IF(COUNTIFS(m_teacher,R$4,m_date,($G$2+8),m_active,1,m_start,"&lt;"&amp;1440,m_end,"&gt;"&amp;1140)&gt;1,"충돌",HYPERLINK("#'관리자_MASTER'!D"&amp;_xlfn.MAXIFS(m_row,m_teacher,R$4,m_date,($G$2+8),m_active,1,m_start,"&lt;"&amp;1440,m_end,"&gt;"&amp;1140),INDEX(m_label,_xlfn.MAXIFS(m_row,m_teacher,R$4,m_date,($G$2+8),m_active,1,m_start,"&lt;"&amp;1440,m_end,"&gt;"&amp;1140))))))</f>
        <v/>
      </c>
      <c r="S26" s="89" t="str">
        <f aca="false">IF(OR(S$4="",MONTH(($G$2+8))&lt;&gt;MONTH($C$2)),"",IF(COUNTIFS(m_teacher,S$4,m_date,($G$2+8),m_active,1,m_start,"&lt;"&amp;1440,m_end,"&gt;"&amp;1140)=0,"",IF(COUNTIFS(m_teacher,S$4,m_date,($G$2+8),m_active,1,m_start,"&lt;"&amp;1440,m_end,"&gt;"&amp;1140)&gt;1,"충돌",HYPERLINK("#'관리자_MASTER'!D"&amp;_xlfn.MAXIFS(m_row,m_teacher,S$4,m_date,($G$2+8),m_active,1,m_start,"&lt;"&amp;1440,m_end,"&gt;"&amp;1140),INDEX(m_label,_xlfn.MAXIFS(m_row,m_teacher,S$4,m_date,($G$2+8),m_active,1,m_start,"&lt;"&amp;1440,m_end,"&gt;"&amp;1140))))))</f>
        <v/>
      </c>
      <c r="T26" s="89" t="str">
        <f aca="false">IF(OR(T$4="",MONTH(($G$2+8))&lt;&gt;MONTH($C$2)),"",IF(COUNTIFS(m_teacher,T$4,m_date,($G$2+8),m_active,1,m_start,"&lt;"&amp;1440,m_end,"&gt;"&amp;1140)=0,"",IF(COUNTIFS(m_teacher,T$4,m_date,($G$2+8),m_active,1,m_start,"&lt;"&amp;1440,m_end,"&gt;"&amp;1140)&gt;1,"충돌",HYPERLINK("#'관리자_MASTER'!D"&amp;_xlfn.MAXIFS(m_row,m_teacher,T$4,m_date,($G$2+8),m_active,1,m_start,"&lt;"&amp;1440,m_end,"&gt;"&amp;1140),INDEX(m_label,_xlfn.MAXIFS(m_row,m_teacher,T$4,m_date,($G$2+8),m_active,1,m_start,"&lt;"&amp;1440,m_end,"&gt;"&amp;1140))))))</f>
        <v/>
      </c>
      <c r="U26" s="89" t="str">
        <f aca="false">IF(OR(U$4="",MONTH(($G$2+8))&lt;&gt;MONTH($C$2)),"",IF(COUNTIFS(m_teacher,U$4,m_date,($G$2+8),m_active,1,m_start,"&lt;"&amp;1440,m_end,"&gt;"&amp;1140)=0,"",IF(COUNTIFS(m_teacher,U$4,m_date,($G$2+8),m_active,1,m_start,"&lt;"&amp;1440,m_end,"&gt;"&amp;1140)&gt;1,"충돌",HYPERLINK("#'관리자_MASTER'!D"&amp;_xlfn.MAXIFS(m_row,m_teacher,U$4,m_date,($G$2+8),m_active,1,m_start,"&lt;"&amp;1440,m_end,"&gt;"&amp;1140),INDEX(m_label,_xlfn.MAXIFS(m_row,m_teacher,U$4,m_date,($G$2+8),m_active,1,m_start,"&lt;"&amp;1440,m_end,"&gt;"&amp;1140))))))</f>
        <v/>
      </c>
      <c r="V26" s="89" t="str">
        <f aca="false">IF(OR(V$4="",MONTH(($G$2+8))&lt;&gt;MONTH($C$2)),"",IF(COUNTIFS(m_teacher,V$4,m_date,($G$2+8),m_active,1,m_start,"&lt;"&amp;1440,m_end,"&gt;"&amp;1140)=0,"",IF(COUNTIFS(m_teacher,V$4,m_date,($G$2+8),m_active,1,m_start,"&lt;"&amp;1440,m_end,"&gt;"&amp;1140)&gt;1,"충돌",HYPERLINK("#'관리자_MASTER'!D"&amp;_xlfn.MAXIFS(m_row,m_teacher,V$4,m_date,($G$2+8),m_active,1,m_start,"&lt;"&amp;1440,m_end,"&gt;"&amp;1140),INDEX(m_label,_xlfn.MAXIFS(m_row,m_teacher,V$4,m_date,($G$2+8),m_active,1,m_start,"&lt;"&amp;1440,m_end,"&gt;"&amp;1140))))))</f>
        <v/>
      </c>
      <c r="W26" s="89" t="str">
        <f aca="false">IF(OR(W$4="",MONTH(($G$2+8))&lt;&gt;MONTH($C$2)),"",IF(COUNTIFS(m_teacher,W$4,m_date,($G$2+8),m_active,1,m_start,"&lt;"&amp;1440,m_end,"&gt;"&amp;1140)=0,"",IF(COUNTIFS(m_teacher,W$4,m_date,($G$2+8),m_active,1,m_start,"&lt;"&amp;1440,m_end,"&gt;"&amp;1140)&gt;1,"충돌",HYPERLINK("#'관리자_MASTER'!D"&amp;_xlfn.MAXIFS(m_row,m_teacher,W$4,m_date,($G$2+8),m_active,1,m_start,"&lt;"&amp;1440,m_end,"&gt;"&amp;1140),INDEX(m_label,_xlfn.MAXIFS(m_row,m_teacher,W$4,m_date,($G$2+8),m_active,1,m_start,"&lt;"&amp;1440,m_end,"&gt;"&amp;1140))))))</f>
        <v/>
      </c>
      <c r="X26" s="89" t="str">
        <f aca="false">IF(OR(X$4="",MONTH(($G$2+8))&lt;&gt;MONTH($C$2)),"",IF(COUNTIFS(m_teacher,X$4,m_date,($G$2+8),m_active,1,m_start,"&lt;"&amp;1440,m_end,"&gt;"&amp;1140)=0,"",IF(COUNTIFS(m_teacher,X$4,m_date,($G$2+8),m_active,1,m_start,"&lt;"&amp;1440,m_end,"&gt;"&amp;1140)&gt;1,"충돌",HYPERLINK("#'관리자_MASTER'!D"&amp;_xlfn.MAXIFS(m_row,m_teacher,X$4,m_date,($G$2+8),m_active,1,m_start,"&lt;"&amp;1440,m_end,"&gt;"&amp;1140),INDEX(m_label,_xlfn.MAXIFS(m_row,m_teacher,X$4,m_date,($G$2+8),m_active,1,m_start,"&lt;"&amp;1440,m_end,"&gt;"&amp;1140))))))</f>
        <v/>
      </c>
      <c r="Y26" s="89" t="str">
        <f aca="false">IF(OR(Y$4="",MONTH(($G$2+8))&lt;&gt;MONTH($C$2)),"",IF(COUNTIFS(m_teacher,Y$4,m_date,($G$2+8),m_active,1,m_start,"&lt;"&amp;1440,m_end,"&gt;"&amp;1140)=0,"",IF(COUNTIFS(m_teacher,Y$4,m_date,($G$2+8),m_active,1,m_start,"&lt;"&amp;1440,m_end,"&gt;"&amp;1140)&gt;1,"충돌",HYPERLINK("#'관리자_MASTER'!D"&amp;_xlfn.MAXIFS(m_row,m_teacher,Y$4,m_date,($G$2+8),m_active,1,m_start,"&lt;"&amp;1440,m_end,"&gt;"&amp;1140),INDEX(m_label,_xlfn.MAXIFS(m_row,m_teacher,Y$4,m_date,($G$2+8),m_active,1,m_start,"&lt;"&amp;1440,m_end,"&gt;"&amp;1140))))))</f>
        <v/>
      </c>
      <c r="Z26" s="89" t="str">
        <f aca="false">IF(OR(Z$4="",MONTH(($G$2+8))&lt;&gt;MONTH($C$2)),"",IF(COUNTIFS(m_teacher,Z$4,m_date,($G$2+8),m_active,1,m_start,"&lt;"&amp;1440,m_end,"&gt;"&amp;1140)=0,"",IF(COUNTIFS(m_teacher,Z$4,m_date,($G$2+8),m_active,1,m_start,"&lt;"&amp;1440,m_end,"&gt;"&amp;1140)&gt;1,"충돌",HYPERLINK("#'관리자_MASTER'!D"&amp;_xlfn.MAXIFS(m_row,m_teacher,Z$4,m_date,($G$2+8),m_active,1,m_start,"&lt;"&amp;1440,m_end,"&gt;"&amp;1140),INDEX(m_label,_xlfn.MAXIFS(m_row,m_teacher,Z$4,m_date,($G$2+8),m_active,1,m_start,"&lt;"&amp;1440,m_end,"&gt;"&amp;1140))))))</f>
        <v/>
      </c>
      <c r="AA26" s="89" t="str">
        <f aca="false">IF(OR(AA$4="",MONTH(($G$2+8))&lt;&gt;MONTH($C$2)),"",IF(COUNTIFS(m_teacher,AA$4,m_date,($G$2+8),m_active,1,m_start,"&lt;"&amp;1440,m_end,"&gt;"&amp;1140)=0,"",IF(COUNTIFS(m_teacher,AA$4,m_date,($G$2+8),m_active,1,m_start,"&lt;"&amp;1440,m_end,"&gt;"&amp;1140)&gt;1,"충돌",HYPERLINK("#'관리자_MASTER'!D"&amp;_xlfn.MAXIFS(m_row,m_teacher,AA$4,m_date,($G$2+8),m_active,1,m_start,"&lt;"&amp;1440,m_end,"&gt;"&amp;1140),INDEX(m_label,_xlfn.MAXIFS(m_row,m_teacher,AA$4,m_date,($G$2+8),m_active,1,m_start,"&lt;"&amp;1440,m_end,"&gt;"&amp;1140))))))</f>
        <v/>
      </c>
      <c r="AB26" s="89" t="str">
        <f aca="false">IF(OR(AB$4="",MONTH(($G$2+8))&lt;&gt;MONTH($C$2)),"",IF(COUNTIFS(m_teacher,AB$4,m_date,($G$2+8),m_active,1,m_start,"&lt;"&amp;1440,m_end,"&gt;"&amp;1140)=0,"",IF(COUNTIFS(m_teacher,AB$4,m_date,($G$2+8),m_active,1,m_start,"&lt;"&amp;1440,m_end,"&gt;"&amp;1140)&gt;1,"충돌",HYPERLINK("#'관리자_MASTER'!D"&amp;_xlfn.MAXIFS(m_row,m_teacher,AB$4,m_date,($G$2+8),m_active,1,m_start,"&lt;"&amp;1440,m_end,"&gt;"&amp;1140),INDEX(m_label,_xlfn.MAXIFS(m_row,m_teacher,AB$4,m_date,($G$2+8),m_active,1,m_start,"&lt;"&amp;1440,m_end,"&gt;"&amp;1140))))))</f>
        <v/>
      </c>
      <c r="AC26" s="78"/>
      <c r="AD26" s="85" t="s">
        <v>101</v>
      </c>
      <c r="AE26" s="89" t="str">
        <f aca="false">IF(OR(AE$4="",MONTH(($G$2+15))&lt;&gt;MONTH($C$2)),"",IF(COUNTIFS(m_teacher,AE$4,m_date,($G$2+15),m_active,1,m_start,"&lt;"&amp;1440,m_end,"&gt;"&amp;1140)=0,"",IF(COUNTIFS(m_teacher,AE$4,m_date,($G$2+15),m_active,1,m_start,"&lt;"&amp;1440,m_end,"&gt;"&amp;1140)&gt;1,"충돌",HYPERLINK("#'관리자_MASTER'!D"&amp;_xlfn.MAXIFS(m_row,m_teacher,AE$4,m_date,($G$2+15),m_active,1,m_start,"&lt;"&amp;1440,m_end,"&gt;"&amp;1140),INDEX(m_label,_xlfn.MAXIFS(m_row,m_teacher,AE$4,m_date,($G$2+15),m_active,1,m_start,"&lt;"&amp;1440,m_end,"&gt;"&amp;1140))))))</f>
        <v/>
      </c>
      <c r="AF26" s="89" t="str">
        <f aca="false">IF(OR(AF$4="",MONTH(($G$2+15))&lt;&gt;MONTH($C$2)),"",IF(COUNTIFS(m_teacher,AF$4,m_date,($G$2+15),m_active,1,m_start,"&lt;"&amp;1440,m_end,"&gt;"&amp;1140)=0,"",IF(COUNTIFS(m_teacher,AF$4,m_date,($G$2+15),m_active,1,m_start,"&lt;"&amp;1440,m_end,"&gt;"&amp;1140)&gt;1,"충돌",HYPERLINK("#'관리자_MASTER'!D"&amp;_xlfn.MAXIFS(m_row,m_teacher,AF$4,m_date,($G$2+15),m_active,1,m_start,"&lt;"&amp;1440,m_end,"&gt;"&amp;1140),INDEX(m_label,_xlfn.MAXIFS(m_row,m_teacher,AF$4,m_date,($G$2+15),m_active,1,m_start,"&lt;"&amp;1440,m_end,"&gt;"&amp;1140))))))</f>
        <v/>
      </c>
      <c r="AG26" s="89" t="str">
        <f aca="false">IF(OR(AG$4="",MONTH(($G$2+15))&lt;&gt;MONTH($C$2)),"",IF(COUNTIFS(m_teacher,AG$4,m_date,($G$2+15),m_active,1,m_start,"&lt;"&amp;1440,m_end,"&gt;"&amp;1140)=0,"",IF(COUNTIFS(m_teacher,AG$4,m_date,($G$2+15),m_active,1,m_start,"&lt;"&amp;1440,m_end,"&gt;"&amp;1140)&gt;1,"충돌",HYPERLINK("#'관리자_MASTER'!D"&amp;_xlfn.MAXIFS(m_row,m_teacher,AG$4,m_date,($G$2+15),m_active,1,m_start,"&lt;"&amp;1440,m_end,"&gt;"&amp;1140),INDEX(m_label,_xlfn.MAXIFS(m_row,m_teacher,AG$4,m_date,($G$2+15),m_active,1,m_start,"&lt;"&amp;1440,m_end,"&gt;"&amp;1140))))))</f>
        <v/>
      </c>
      <c r="AH26" s="89" t="str">
        <f aca="false">IF(OR(AH$4="",MONTH(($G$2+15))&lt;&gt;MONTH($C$2)),"",IF(COUNTIFS(m_teacher,AH$4,m_date,($G$2+15),m_active,1,m_start,"&lt;"&amp;1440,m_end,"&gt;"&amp;1140)=0,"",IF(COUNTIFS(m_teacher,AH$4,m_date,($G$2+15),m_active,1,m_start,"&lt;"&amp;1440,m_end,"&gt;"&amp;1140)&gt;1,"충돌",HYPERLINK("#'관리자_MASTER'!D"&amp;_xlfn.MAXIFS(m_row,m_teacher,AH$4,m_date,($G$2+15),m_active,1,m_start,"&lt;"&amp;1440,m_end,"&gt;"&amp;1140),INDEX(m_label,_xlfn.MAXIFS(m_row,m_teacher,AH$4,m_date,($G$2+15),m_active,1,m_start,"&lt;"&amp;1440,m_end,"&gt;"&amp;1140))))))</f>
        <v/>
      </c>
      <c r="AI26" s="89" t="str">
        <f aca="false">IF(OR(AI$4="",MONTH(($G$2+15))&lt;&gt;MONTH($C$2)),"",IF(COUNTIFS(m_teacher,AI$4,m_date,($G$2+15),m_active,1,m_start,"&lt;"&amp;1440,m_end,"&gt;"&amp;1140)=0,"",IF(COUNTIFS(m_teacher,AI$4,m_date,($G$2+15),m_active,1,m_start,"&lt;"&amp;1440,m_end,"&gt;"&amp;1140)&gt;1,"충돌",HYPERLINK("#'관리자_MASTER'!D"&amp;_xlfn.MAXIFS(m_row,m_teacher,AI$4,m_date,($G$2+15),m_active,1,m_start,"&lt;"&amp;1440,m_end,"&gt;"&amp;1140),INDEX(m_label,_xlfn.MAXIFS(m_row,m_teacher,AI$4,m_date,($G$2+15),m_active,1,m_start,"&lt;"&amp;1440,m_end,"&gt;"&amp;1140))))))</f>
        <v/>
      </c>
      <c r="AJ26" s="89" t="str">
        <f aca="false">IF(OR(AJ$4="",MONTH(($G$2+15))&lt;&gt;MONTH($C$2)),"",IF(COUNTIFS(m_teacher,AJ$4,m_date,($G$2+15),m_active,1,m_start,"&lt;"&amp;1440,m_end,"&gt;"&amp;1140)=0,"",IF(COUNTIFS(m_teacher,AJ$4,m_date,($G$2+15),m_active,1,m_start,"&lt;"&amp;1440,m_end,"&gt;"&amp;1140)&gt;1,"충돌",HYPERLINK("#'관리자_MASTER'!D"&amp;_xlfn.MAXIFS(m_row,m_teacher,AJ$4,m_date,($G$2+15),m_active,1,m_start,"&lt;"&amp;1440,m_end,"&gt;"&amp;1140),INDEX(m_label,_xlfn.MAXIFS(m_row,m_teacher,AJ$4,m_date,($G$2+15),m_active,1,m_start,"&lt;"&amp;1440,m_end,"&gt;"&amp;1140))))))</f>
        <v/>
      </c>
      <c r="AK26" s="89" t="str">
        <f aca="false">IF(OR(AK$4="",MONTH(($G$2+15))&lt;&gt;MONTH($C$2)),"",IF(COUNTIFS(m_teacher,AK$4,m_date,($G$2+15),m_active,1,m_start,"&lt;"&amp;1440,m_end,"&gt;"&amp;1140)=0,"",IF(COUNTIFS(m_teacher,AK$4,m_date,($G$2+15),m_active,1,m_start,"&lt;"&amp;1440,m_end,"&gt;"&amp;1140)&gt;1,"충돌",HYPERLINK("#'관리자_MASTER'!D"&amp;_xlfn.MAXIFS(m_row,m_teacher,AK$4,m_date,($G$2+15),m_active,1,m_start,"&lt;"&amp;1440,m_end,"&gt;"&amp;1140),INDEX(m_label,_xlfn.MAXIFS(m_row,m_teacher,AK$4,m_date,($G$2+15),m_active,1,m_start,"&lt;"&amp;1440,m_end,"&gt;"&amp;1140))))))</f>
        <v/>
      </c>
      <c r="AL26" s="89" t="str">
        <f aca="false">IF(OR(AL$4="",MONTH(($G$2+15))&lt;&gt;MONTH($C$2)),"",IF(COUNTIFS(m_teacher,AL$4,m_date,($G$2+15),m_active,1,m_start,"&lt;"&amp;1440,m_end,"&gt;"&amp;1140)=0,"",IF(COUNTIFS(m_teacher,AL$4,m_date,($G$2+15),m_active,1,m_start,"&lt;"&amp;1440,m_end,"&gt;"&amp;1140)&gt;1,"충돌",HYPERLINK("#'관리자_MASTER'!D"&amp;_xlfn.MAXIFS(m_row,m_teacher,AL$4,m_date,($G$2+15),m_active,1,m_start,"&lt;"&amp;1440,m_end,"&gt;"&amp;1140),INDEX(m_label,_xlfn.MAXIFS(m_row,m_teacher,AL$4,m_date,($G$2+15),m_active,1,m_start,"&lt;"&amp;1440,m_end,"&gt;"&amp;1140))))))</f>
        <v/>
      </c>
      <c r="AM26" s="89" t="str">
        <f aca="false">IF(OR(AM$4="",MONTH(($G$2+15))&lt;&gt;MONTH($C$2)),"",IF(COUNTIFS(m_teacher,AM$4,m_date,($G$2+15),m_active,1,m_start,"&lt;"&amp;1440,m_end,"&gt;"&amp;1140)=0,"",IF(COUNTIFS(m_teacher,AM$4,m_date,($G$2+15),m_active,1,m_start,"&lt;"&amp;1440,m_end,"&gt;"&amp;1140)&gt;1,"충돌",HYPERLINK("#'관리자_MASTER'!D"&amp;_xlfn.MAXIFS(m_row,m_teacher,AM$4,m_date,($G$2+15),m_active,1,m_start,"&lt;"&amp;1440,m_end,"&gt;"&amp;1140),INDEX(m_label,_xlfn.MAXIFS(m_row,m_teacher,AM$4,m_date,($G$2+15),m_active,1,m_start,"&lt;"&amp;1440,m_end,"&gt;"&amp;1140))))))</f>
        <v/>
      </c>
      <c r="AN26" s="89" t="str">
        <f aca="false">IF(OR(AN$4="",MONTH(($G$2+15))&lt;&gt;MONTH($C$2)),"",IF(COUNTIFS(m_teacher,AN$4,m_date,($G$2+15),m_active,1,m_start,"&lt;"&amp;1440,m_end,"&gt;"&amp;1140)=0,"",IF(COUNTIFS(m_teacher,AN$4,m_date,($G$2+15),m_active,1,m_start,"&lt;"&amp;1440,m_end,"&gt;"&amp;1140)&gt;1,"충돌",HYPERLINK("#'관리자_MASTER'!D"&amp;_xlfn.MAXIFS(m_row,m_teacher,AN$4,m_date,($G$2+15),m_active,1,m_start,"&lt;"&amp;1440,m_end,"&gt;"&amp;1140),INDEX(m_label,_xlfn.MAXIFS(m_row,m_teacher,AN$4,m_date,($G$2+15),m_active,1,m_start,"&lt;"&amp;1440,m_end,"&gt;"&amp;1140))))))</f>
        <v/>
      </c>
      <c r="AO26" s="89" t="str">
        <f aca="false">IF(OR(AO$4="",MONTH(($G$2+15))&lt;&gt;MONTH($C$2)),"",IF(COUNTIFS(m_teacher,AO$4,m_date,($G$2+15),m_active,1,m_start,"&lt;"&amp;1440,m_end,"&gt;"&amp;1140)=0,"",IF(COUNTIFS(m_teacher,AO$4,m_date,($G$2+15),m_active,1,m_start,"&lt;"&amp;1440,m_end,"&gt;"&amp;1140)&gt;1,"충돌",HYPERLINK("#'관리자_MASTER'!D"&amp;_xlfn.MAXIFS(m_row,m_teacher,AO$4,m_date,($G$2+15),m_active,1,m_start,"&lt;"&amp;1440,m_end,"&gt;"&amp;1140),INDEX(m_label,_xlfn.MAXIFS(m_row,m_teacher,AO$4,m_date,($G$2+15),m_active,1,m_start,"&lt;"&amp;1440,m_end,"&gt;"&amp;1140))))))</f>
        <v/>
      </c>
      <c r="AP26" s="89" t="str">
        <f aca="false">IF(OR(AP$4="",MONTH(($G$2+15))&lt;&gt;MONTH($C$2)),"",IF(COUNTIFS(m_teacher,AP$4,m_date,($G$2+15),m_active,1,m_start,"&lt;"&amp;1440,m_end,"&gt;"&amp;1140)=0,"",IF(COUNTIFS(m_teacher,AP$4,m_date,($G$2+15),m_active,1,m_start,"&lt;"&amp;1440,m_end,"&gt;"&amp;1140)&gt;1,"충돌",HYPERLINK("#'관리자_MASTER'!D"&amp;_xlfn.MAXIFS(m_row,m_teacher,AP$4,m_date,($G$2+15),m_active,1,m_start,"&lt;"&amp;1440,m_end,"&gt;"&amp;1140),INDEX(m_label,_xlfn.MAXIFS(m_row,m_teacher,AP$4,m_date,($G$2+15),m_active,1,m_start,"&lt;"&amp;1440,m_end,"&gt;"&amp;1140))))))</f>
        <v/>
      </c>
      <c r="AQ26" s="78"/>
      <c r="AR26" s="85" t="s">
        <v>101</v>
      </c>
      <c r="AS26" s="89" t="str">
        <f aca="false">IF(OR(AS$4="",MONTH(($G$2+22))&lt;&gt;MONTH($C$2)),"",IF(COUNTIFS(m_teacher,AS$4,m_date,($G$2+22),m_active,1,m_start,"&lt;"&amp;1440,m_end,"&gt;"&amp;1140)=0,"",IF(COUNTIFS(m_teacher,AS$4,m_date,($G$2+22),m_active,1,m_start,"&lt;"&amp;1440,m_end,"&gt;"&amp;1140)&gt;1,"충돌",HYPERLINK("#'관리자_MASTER'!D"&amp;_xlfn.MAXIFS(m_row,m_teacher,AS$4,m_date,($G$2+22),m_active,1,m_start,"&lt;"&amp;1440,m_end,"&gt;"&amp;1140),INDEX(m_label,_xlfn.MAXIFS(m_row,m_teacher,AS$4,m_date,($G$2+22),m_active,1,m_start,"&lt;"&amp;1440,m_end,"&gt;"&amp;1140))))))</f>
        <v/>
      </c>
      <c r="AT26" s="89" t="str">
        <f aca="false">IF(OR(AT$4="",MONTH(($G$2+22))&lt;&gt;MONTH($C$2)),"",IF(COUNTIFS(m_teacher,AT$4,m_date,($G$2+22),m_active,1,m_start,"&lt;"&amp;1440,m_end,"&gt;"&amp;1140)=0,"",IF(COUNTIFS(m_teacher,AT$4,m_date,($G$2+22),m_active,1,m_start,"&lt;"&amp;1440,m_end,"&gt;"&amp;1140)&gt;1,"충돌",HYPERLINK("#'관리자_MASTER'!D"&amp;_xlfn.MAXIFS(m_row,m_teacher,AT$4,m_date,($G$2+22),m_active,1,m_start,"&lt;"&amp;1440,m_end,"&gt;"&amp;1140),INDEX(m_label,_xlfn.MAXIFS(m_row,m_teacher,AT$4,m_date,($G$2+22),m_active,1,m_start,"&lt;"&amp;1440,m_end,"&gt;"&amp;1140))))))</f>
        <v/>
      </c>
      <c r="AU26" s="89" t="str">
        <f aca="false">IF(OR(AU$4="",MONTH(($G$2+22))&lt;&gt;MONTH($C$2)),"",IF(COUNTIFS(m_teacher,AU$4,m_date,($G$2+22),m_active,1,m_start,"&lt;"&amp;1440,m_end,"&gt;"&amp;1140)=0,"",IF(COUNTIFS(m_teacher,AU$4,m_date,($G$2+22),m_active,1,m_start,"&lt;"&amp;1440,m_end,"&gt;"&amp;1140)&gt;1,"충돌",HYPERLINK("#'관리자_MASTER'!D"&amp;_xlfn.MAXIFS(m_row,m_teacher,AU$4,m_date,($G$2+22),m_active,1,m_start,"&lt;"&amp;1440,m_end,"&gt;"&amp;1140),INDEX(m_label,_xlfn.MAXIFS(m_row,m_teacher,AU$4,m_date,($G$2+22),m_active,1,m_start,"&lt;"&amp;1440,m_end,"&gt;"&amp;1140))))))</f>
        <v/>
      </c>
      <c r="AV26" s="89" t="str">
        <f aca="false">IF(OR(AV$4="",MONTH(($G$2+22))&lt;&gt;MONTH($C$2)),"",IF(COUNTIFS(m_teacher,AV$4,m_date,($G$2+22),m_active,1,m_start,"&lt;"&amp;1440,m_end,"&gt;"&amp;1140)=0,"",IF(COUNTIFS(m_teacher,AV$4,m_date,($G$2+22),m_active,1,m_start,"&lt;"&amp;1440,m_end,"&gt;"&amp;1140)&gt;1,"충돌",HYPERLINK("#'관리자_MASTER'!D"&amp;_xlfn.MAXIFS(m_row,m_teacher,AV$4,m_date,($G$2+22),m_active,1,m_start,"&lt;"&amp;1440,m_end,"&gt;"&amp;1140),INDEX(m_label,_xlfn.MAXIFS(m_row,m_teacher,AV$4,m_date,($G$2+22),m_active,1,m_start,"&lt;"&amp;1440,m_end,"&gt;"&amp;1140))))))</f>
        <v/>
      </c>
      <c r="AW26" s="89" t="str">
        <f aca="false">IF(OR(AW$4="",MONTH(($G$2+22))&lt;&gt;MONTH($C$2)),"",IF(COUNTIFS(m_teacher,AW$4,m_date,($G$2+22),m_active,1,m_start,"&lt;"&amp;1440,m_end,"&gt;"&amp;1140)=0,"",IF(COUNTIFS(m_teacher,AW$4,m_date,($G$2+22),m_active,1,m_start,"&lt;"&amp;1440,m_end,"&gt;"&amp;1140)&gt;1,"충돌",HYPERLINK("#'관리자_MASTER'!D"&amp;_xlfn.MAXIFS(m_row,m_teacher,AW$4,m_date,($G$2+22),m_active,1,m_start,"&lt;"&amp;1440,m_end,"&gt;"&amp;1140),INDEX(m_label,_xlfn.MAXIFS(m_row,m_teacher,AW$4,m_date,($G$2+22),m_active,1,m_start,"&lt;"&amp;1440,m_end,"&gt;"&amp;1140))))))</f>
        <v/>
      </c>
      <c r="AX26" s="89" t="str">
        <f aca="false">IF(OR(AX$4="",MONTH(($G$2+22))&lt;&gt;MONTH($C$2)),"",IF(COUNTIFS(m_teacher,AX$4,m_date,($G$2+22),m_active,1,m_start,"&lt;"&amp;1440,m_end,"&gt;"&amp;1140)=0,"",IF(COUNTIFS(m_teacher,AX$4,m_date,($G$2+22),m_active,1,m_start,"&lt;"&amp;1440,m_end,"&gt;"&amp;1140)&gt;1,"충돌",HYPERLINK("#'관리자_MASTER'!D"&amp;_xlfn.MAXIFS(m_row,m_teacher,AX$4,m_date,($G$2+22),m_active,1,m_start,"&lt;"&amp;1440,m_end,"&gt;"&amp;1140),INDEX(m_label,_xlfn.MAXIFS(m_row,m_teacher,AX$4,m_date,($G$2+22),m_active,1,m_start,"&lt;"&amp;1440,m_end,"&gt;"&amp;1140))))))</f>
        <v/>
      </c>
      <c r="AY26" s="89" t="str">
        <f aca="false">IF(OR(AY$4="",MONTH(($G$2+22))&lt;&gt;MONTH($C$2)),"",IF(COUNTIFS(m_teacher,AY$4,m_date,($G$2+22),m_active,1,m_start,"&lt;"&amp;1440,m_end,"&gt;"&amp;1140)=0,"",IF(COUNTIFS(m_teacher,AY$4,m_date,($G$2+22),m_active,1,m_start,"&lt;"&amp;1440,m_end,"&gt;"&amp;1140)&gt;1,"충돌",HYPERLINK("#'관리자_MASTER'!D"&amp;_xlfn.MAXIFS(m_row,m_teacher,AY$4,m_date,($G$2+22),m_active,1,m_start,"&lt;"&amp;1440,m_end,"&gt;"&amp;1140),INDEX(m_label,_xlfn.MAXIFS(m_row,m_teacher,AY$4,m_date,($G$2+22),m_active,1,m_start,"&lt;"&amp;1440,m_end,"&gt;"&amp;1140))))))</f>
        <v/>
      </c>
      <c r="AZ26" s="89" t="str">
        <f aca="false">IF(OR(AZ$4="",MONTH(($G$2+22))&lt;&gt;MONTH($C$2)),"",IF(COUNTIFS(m_teacher,AZ$4,m_date,($G$2+22),m_active,1,m_start,"&lt;"&amp;1440,m_end,"&gt;"&amp;1140)=0,"",IF(COUNTIFS(m_teacher,AZ$4,m_date,($G$2+22),m_active,1,m_start,"&lt;"&amp;1440,m_end,"&gt;"&amp;1140)&gt;1,"충돌",HYPERLINK("#'관리자_MASTER'!D"&amp;_xlfn.MAXIFS(m_row,m_teacher,AZ$4,m_date,($G$2+22),m_active,1,m_start,"&lt;"&amp;1440,m_end,"&gt;"&amp;1140),INDEX(m_label,_xlfn.MAXIFS(m_row,m_teacher,AZ$4,m_date,($G$2+22),m_active,1,m_start,"&lt;"&amp;1440,m_end,"&gt;"&amp;1140))))))</f>
        <v/>
      </c>
      <c r="BA26" s="89" t="str">
        <f aca="false">IF(OR(BA$4="",MONTH(($G$2+22))&lt;&gt;MONTH($C$2)),"",IF(COUNTIFS(m_teacher,BA$4,m_date,($G$2+22),m_active,1,m_start,"&lt;"&amp;1440,m_end,"&gt;"&amp;1140)=0,"",IF(COUNTIFS(m_teacher,BA$4,m_date,($G$2+22),m_active,1,m_start,"&lt;"&amp;1440,m_end,"&gt;"&amp;1140)&gt;1,"충돌",HYPERLINK("#'관리자_MASTER'!D"&amp;_xlfn.MAXIFS(m_row,m_teacher,BA$4,m_date,($G$2+22),m_active,1,m_start,"&lt;"&amp;1440,m_end,"&gt;"&amp;1140),INDEX(m_label,_xlfn.MAXIFS(m_row,m_teacher,BA$4,m_date,($G$2+22),m_active,1,m_start,"&lt;"&amp;1440,m_end,"&gt;"&amp;1140))))))</f>
        <v/>
      </c>
      <c r="BB26" s="89" t="str">
        <f aca="false">IF(OR(BB$4="",MONTH(($G$2+22))&lt;&gt;MONTH($C$2)),"",IF(COUNTIFS(m_teacher,BB$4,m_date,($G$2+22),m_active,1,m_start,"&lt;"&amp;1440,m_end,"&gt;"&amp;1140)=0,"",IF(COUNTIFS(m_teacher,BB$4,m_date,($G$2+22),m_active,1,m_start,"&lt;"&amp;1440,m_end,"&gt;"&amp;1140)&gt;1,"충돌",HYPERLINK("#'관리자_MASTER'!D"&amp;_xlfn.MAXIFS(m_row,m_teacher,BB$4,m_date,($G$2+22),m_active,1,m_start,"&lt;"&amp;1440,m_end,"&gt;"&amp;1140),INDEX(m_label,_xlfn.MAXIFS(m_row,m_teacher,BB$4,m_date,($G$2+22),m_active,1,m_start,"&lt;"&amp;1440,m_end,"&gt;"&amp;1140))))))</f>
        <v/>
      </c>
      <c r="BC26" s="89" t="str">
        <f aca="false">IF(OR(BC$4="",MONTH(($G$2+22))&lt;&gt;MONTH($C$2)),"",IF(COUNTIFS(m_teacher,BC$4,m_date,($G$2+22),m_active,1,m_start,"&lt;"&amp;1440,m_end,"&gt;"&amp;1140)=0,"",IF(COUNTIFS(m_teacher,BC$4,m_date,($G$2+22),m_active,1,m_start,"&lt;"&amp;1440,m_end,"&gt;"&amp;1140)&gt;1,"충돌",HYPERLINK("#'관리자_MASTER'!D"&amp;_xlfn.MAXIFS(m_row,m_teacher,BC$4,m_date,($G$2+22),m_active,1,m_start,"&lt;"&amp;1440,m_end,"&gt;"&amp;1140),INDEX(m_label,_xlfn.MAXIFS(m_row,m_teacher,BC$4,m_date,($G$2+22),m_active,1,m_start,"&lt;"&amp;1440,m_end,"&gt;"&amp;1140))))))</f>
        <v/>
      </c>
      <c r="BD26" s="89" t="str">
        <f aca="false">IF(OR(BD$4="",MONTH(($G$2+22))&lt;&gt;MONTH($C$2)),"",IF(COUNTIFS(m_teacher,BD$4,m_date,($G$2+22),m_active,1,m_start,"&lt;"&amp;1440,m_end,"&gt;"&amp;1140)=0,"",IF(COUNTIFS(m_teacher,BD$4,m_date,($G$2+22),m_active,1,m_start,"&lt;"&amp;1440,m_end,"&gt;"&amp;1140)&gt;1,"충돌",HYPERLINK("#'관리자_MASTER'!D"&amp;_xlfn.MAXIFS(m_row,m_teacher,BD$4,m_date,($G$2+22),m_active,1,m_start,"&lt;"&amp;1440,m_end,"&gt;"&amp;1140),INDEX(m_label,_xlfn.MAXIFS(m_row,m_teacher,BD$4,m_date,($G$2+22),m_active,1,m_start,"&lt;"&amp;1440,m_end,"&gt;"&amp;1140))))))</f>
        <v/>
      </c>
      <c r="BE26" s="78"/>
      <c r="BF26" s="85" t="s">
        <v>101</v>
      </c>
      <c r="BG26" s="89" t="str">
        <f aca="false">IF(OR(BG$4="",MONTH(($G$2+29))&lt;&gt;MONTH($C$2)),"",IF(COUNTIFS(m_teacher,BG$4,m_date,($G$2+29),m_active,1,m_start,"&lt;"&amp;1440,m_end,"&gt;"&amp;1140)=0,"",IF(COUNTIFS(m_teacher,BG$4,m_date,($G$2+29),m_active,1,m_start,"&lt;"&amp;1440,m_end,"&gt;"&amp;1140)&gt;1,"충돌",HYPERLINK("#'관리자_MASTER'!D"&amp;_xlfn.MAXIFS(m_row,m_teacher,BG$4,m_date,($G$2+29),m_active,1,m_start,"&lt;"&amp;1440,m_end,"&gt;"&amp;1140),INDEX(m_label,_xlfn.MAXIFS(m_row,m_teacher,BG$4,m_date,($G$2+29),m_active,1,m_start,"&lt;"&amp;1440,m_end,"&gt;"&amp;1140))))))</f>
        <v/>
      </c>
      <c r="BH26" s="89" t="str">
        <f aca="false">IF(OR(BH$4="",MONTH(($G$2+29))&lt;&gt;MONTH($C$2)),"",IF(COUNTIFS(m_teacher,BH$4,m_date,($G$2+29),m_active,1,m_start,"&lt;"&amp;1440,m_end,"&gt;"&amp;1140)=0,"",IF(COUNTIFS(m_teacher,BH$4,m_date,($G$2+29),m_active,1,m_start,"&lt;"&amp;1440,m_end,"&gt;"&amp;1140)&gt;1,"충돌",HYPERLINK("#'관리자_MASTER'!D"&amp;_xlfn.MAXIFS(m_row,m_teacher,BH$4,m_date,($G$2+29),m_active,1,m_start,"&lt;"&amp;1440,m_end,"&gt;"&amp;1140),INDEX(m_label,_xlfn.MAXIFS(m_row,m_teacher,BH$4,m_date,($G$2+29),m_active,1,m_start,"&lt;"&amp;1440,m_end,"&gt;"&amp;1140))))))</f>
        <v/>
      </c>
      <c r="BI26" s="89" t="str">
        <f aca="false">IF(OR(BI$4="",MONTH(($G$2+29))&lt;&gt;MONTH($C$2)),"",IF(COUNTIFS(m_teacher,BI$4,m_date,($G$2+29),m_active,1,m_start,"&lt;"&amp;1440,m_end,"&gt;"&amp;1140)=0,"",IF(COUNTIFS(m_teacher,BI$4,m_date,($G$2+29),m_active,1,m_start,"&lt;"&amp;1440,m_end,"&gt;"&amp;1140)&gt;1,"충돌",HYPERLINK("#'관리자_MASTER'!D"&amp;_xlfn.MAXIFS(m_row,m_teacher,BI$4,m_date,($G$2+29),m_active,1,m_start,"&lt;"&amp;1440,m_end,"&gt;"&amp;1140),INDEX(m_label,_xlfn.MAXIFS(m_row,m_teacher,BI$4,m_date,($G$2+29),m_active,1,m_start,"&lt;"&amp;1440,m_end,"&gt;"&amp;1140))))))</f>
        <v/>
      </c>
      <c r="BJ26" s="89" t="str">
        <f aca="false">IF(OR(BJ$4="",MONTH(($G$2+29))&lt;&gt;MONTH($C$2)),"",IF(COUNTIFS(m_teacher,BJ$4,m_date,($G$2+29),m_active,1,m_start,"&lt;"&amp;1440,m_end,"&gt;"&amp;1140)=0,"",IF(COUNTIFS(m_teacher,BJ$4,m_date,($G$2+29),m_active,1,m_start,"&lt;"&amp;1440,m_end,"&gt;"&amp;1140)&gt;1,"충돌",HYPERLINK("#'관리자_MASTER'!D"&amp;_xlfn.MAXIFS(m_row,m_teacher,BJ$4,m_date,($G$2+29),m_active,1,m_start,"&lt;"&amp;1440,m_end,"&gt;"&amp;1140),INDEX(m_label,_xlfn.MAXIFS(m_row,m_teacher,BJ$4,m_date,($G$2+29),m_active,1,m_start,"&lt;"&amp;1440,m_end,"&gt;"&amp;1140))))))</f>
        <v/>
      </c>
      <c r="BK26" s="89" t="str">
        <f aca="false">IF(OR(BK$4="",MONTH(($G$2+29))&lt;&gt;MONTH($C$2)),"",IF(COUNTIFS(m_teacher,BK$4,m_date,($G$2+29),m_active,1,m_start,"&lt;"&amp;1440,m_end,"&gt;"&amp;1140)=0,"",IF(COUNTIFS(m_teacher,BK$4,m_date,($G$2+29),m_active,1,m_start,"&lt;"&amp;1440,m_end,"&gt;"&amp;1140)&gt;1,"충돌",HYPERLINK("#'관리자_MASTER'!D"&amp;_xlfn.MAXIFS(m_row,m_teacher,BK$4,m_date,($G$2+29),m_active,1,m_start,"&lt;"&amp;1440,m_end,"&gt;"&amp;1140),INDEX(m_label,_xlfn.MAXIFS(m_row,m_teacher,BK$4,m_date,($G$2+29),m_active,1,m_start,"&lt;"&amp;1440,m_end,"&gt;"&amp;1140))))))</f>
        <v/>
      </c>
      <c r="BL26" s="89" t="str">
        <f aca="false">IF(OR(BL$4="",MONTH(($G$2+29))&lt;&gt;MONTH($C$2)),"",IF(COUNTIFS(m_teacher,BL$4,m_date,($G$2+29),m_active,1,m_start,"&lt;"&amp;1440,m_end,"&gt;"&amp;1140)=0,"",IF(COUNTIFS(m_teacher,BL$4,m_date,($G$2+29),m_active,1,m_start,"&lt;"&amp;1440,m_end,"&gt;"&amp;1140)&gt;1,"충돌",HYPERLINK("#'관리자_MASTER'!D"&amp;_xlfn.MAXIFS(m_row,m_teacher,BL$4,m_date,($G$2+29),m_active,1,m_start,"&lt;"&amp;1440,m_end,"&gt;"&amp;1140),INDEX(m_label,_xlfn.MAXIFS(m_row,m_teacher,BL$4,m_date,($G$2+29),m_active,1,m_start,"&lt;"&amp;1440,m_end,"&gt;"&amp;1140))))))</f>
        <v/>
      </c>
      <c r="BM26" s="89" t="str">
        <f aca="false">IF(OR(BM$4="",MONTH(($G$2+29))&lt;&gt;MONTH($C$2)),"",IF(COUNTIFS(m_teacher,BM$4,m_date,($G$2+29),m_active,1,m_start,"&lt;"&amp;1440,m_end,"&gt;"&amp;1140)=0,"",IF(COUNTIFS(m_teacher,BM$4,m_date,($G$2+29),m_active,1,m_start,"&lt;"&amp;1440,m_end,"&gt;"&amp;1140)&gt;1,"충돌",HYPERLINK("#'관리자_MASTER'!D"&amp;_xlfn.MAXIFS(m_row,m_teacher,BM$4,m_date,($G$2+29),m_active,1,m_start,"&lt;"&amp;1440,m_end,"&gt;"&amp;1140),INDEX(m_label,_xlfn.MAXIFS(m_row,m_teacher,BM$4,m_date,($G$2+29),m_active,1,m_start,"&lt;"&amp;1440,m_end,"&gt;"&amp;1140))))))</f>
        <v/>
      </c>
      <c r="BN26" s="89" t="str">
        <f aca="false">IF(OR(BN$4="",MONTH(($G$2+29))&lt;&gt;MONTH($C$2)),"",IF(COUNTIFS(m_teacher,BN$4,m_date,($G$2+29),m_active,1,m_start,"&lt;"&amp;1440,m_end,"&gt;"&amp;1140)=0,"",IF(COUNTIFS(m_teacher,BN$4,m_date,($G$2+29),m_active,1,m_start,"&lt;"&amp;1440,m_end,"&gt;"&amp;1140)&gt;1,"충돌",HYPERLINK("#'관리자_MASTER'!D"&amp;_xlfn.MAXIFS(m_row,m_teacher,BN$4,m_date,($G$2+29),m_active,1,m_start,"&lt;"&amp;1440,m_end,"&gt;"&amp;1140),INDEX(m_label,_xlfn.MAXIFS(m_row,m_teacher,BN$4,m_date,($G$2+29),m_active,1,m_start,"&lt;"&amp;1440,m_end,"&gt;"&amp;1140))))))</f>
        <v/>
      </c>
      <c r="BO26" s="89" t="str">
        <f aca="false">IF(OR(BO$4="",MONTH(($G$2+29))&lt;&gt;MONTH($C$2)),"",IF(COUNTIFS(m_teacher,BO$4,m_date,($G$2+29),m_active,1,m_start,"&lt;"&amp;1440,m_end,"&gt;"&amp;1140)=0,"",IF(COUNTIFS(m_teacher,BO$4,m_date,($G$2+29),m_active,1,m_start,"&lt;"&amp;1440,m_end,"&gt;"&amp;1140)&gt;1,"충돌",HYPERLINK("#'관리자_MASTER'!D"&amp;_xlfn.MAXIFS(m_row,m_teacher,BO$4,m_date,($G$2+29),m_active,1,m_start,"&lt;"&amp;1440,m_end,"&gt;"&amp;1140),INDEX(m_label,_xlfn.MAXIFS(m_row,m_teacher,BO$4,m_date,($G$2+29),m_active,1,m_start,"&lt;"&amp;1440,m_end,"&gt;"&amp;1140))))))</f>
        <v/>
      </c>
      <c r="BP26" s="89" t="str">
        <f aca="false">IF(OR(BP$4="",MONTH(($G$2+29))&lt;&gt;MONTH($C$2)),"",IF(COUNTIFS(m_teacher,BP$4,m_date,($G$2+29),m_active,1,m_start,"&lt;"&amp;1440,m_end,"&gt;"&amp;1140)=0,"",IF(COUNTIFS(m_teacher,BP$4,m_date,($G$2+29),m_active,1,m_start,"&lt;"&amp;1440,m_end,"&gt;"&amp;1140)&gt;1,"충돌",HYPERLINK("#'관리자_MASTER'!D"&amp;_xlfn.MAXIFS(m_row,m_teacher,BP$4,m_date,($G$2+29),m_active,1,m_start,"&lt;"&amp;1440,m_end,"&gt;"&amp;1140),INDEX(m_label,_xlfn.MAXIFS(m_row,m_teacher,BP$4,m_date,($G$2+29),m_active,1,m_start,"&lt;"&amp;1440,m_end,"&gt;"&amp;1140))))))</f>
        <v/>
      </c>
      <c r="BQ26" s="89" t="str">
        <f aca="false">IF(OR(BQ$4="",MONTH(($G$2+29))&lt;&gt;MONTH($C$2)),"",IF(COUNTIFS(m_teacher,BQ$4,m_date,($G$2+29),m_active,1,m_start,"&lt;"&amp;1440,m_end,"&gt;"&amp;1140)=0,"",IF(COUNTIFS(m_teacher,BQ$4,m_date,($G$2+29),m_active,1,m_start,"&lt;"&amp;1440,m_end,"&gt;"&amp;1140)&gt;1,"충돌",HYPERLINK("#'관리자_MASTER'!D"&amp;_xlfn.MAXIFS(m_row,m_teacher,BQ$4,m_date,($G$2+29),m_active,1,m_start,"&lt;"&amp;1440,m_end,"&gt;"&amp;1140),INDEX(m_label,_xlfn.MAXIFS(m_row,m_teacher,BQ$4,m_date,($G$2+29),m_active,1,m_start,"&lt;"&amp;1440,m_end,"&gt;"&amp;1140))))))</f>
        <v/>
      </c>
      <c r="BR26" s="89" t="str">
        <f aca="false">IF(OR(BR$4="",MONTH(($G$2+29))&lt;&gt;MONTH($C$2)),"",IF(COUNTIFS(m_teacher,BR$4,m_date,($G$2+29),m_active,1,m_start,"&lt;"&amp;1440,m_end,"&gt;"&amp;1140)=0,"",IF(COUNTIFS(m_teacher,BR$4,m_date,($G$2+29),m_active,1,m_start,"&lt;"&amp;1440,m_end,"&gt;"&amp;1140)&gt;1,"충돌",HYPERLINK("#'관리자_MASTER'!D"&amp;_xlfn.MAXIFS(m_row,m_teacher,BR$4,m_date,($G$2+29),m_active,1,m_start,"&lt;"&amp;1440,m_end,"&gt;"&amp;1140),INDEX(m_label,_xlfn.MAXIFS(m_row,m_teacher,BR$4,m_date,($G$2+29),m_active,1,m_start,"&lt;"&amp;1440,m_end,"&gt;"&amp;1140))))))</f>
        <v/>
      </c>
    </row>
    <row r="27" customFormat="false" ht="19.5" hidden="false" customHeight="true" outlineLevel="0" collapsed="false">
      <c r="A27" s="75" t="str">
        <f aca="false">IF(MONTH(($G$2+2))&lt;&gt;MONTH($C$2),"",CHOOSE(WEEKDAY(($G$2+2),2),"월","화","수","목","금","토","일")&amp;CHAR(10)&amp;TEXT(($G$2+2),"m/d"))</f>
        <v/>
      </c>
      <c r="B27" s="76" t="s">
        <v>91</v>
      </c>
      <c r="C27" s="77" t="str">
        <f aca="false">IF(OR(C$4="",MONTH(($G$2+2))&lt;&gt;MONTH($C$2)),"",IF(COUNTIFS(m_teacher,C$4,m_date,($G$2+2),m_active,1,m_start,"&lt;"&amp;600,m_end,"&gt;"&amp;0)=0,"",IF(COUNTIFS(m_teacher,C$4,m_date,($G$2+2),m_active,1,m_start,"&lt;"&amp;600,m_end,"&gt;"&amp;0)&gt;1,"충돌",HYPERLINK("#'관리자_MASTER'!D"&amp;_xlfn.MAXIFS(m_row,m_teacher,C$4,m_date,($G$2+2),m_active,1,m_start,"&lt;"&amp;600,m_end,"&gt;"&amp;0),INDEX(m_label,_xlfn.MAXIFS(m_row,m_teacher,C$4,m_date,($G$2+2),m_active,1,m_start,"&lt;"&amp;600,m_end,"&gt;"&amp;0))))))</f>
        <v/>
      </c>
      <c r="D27" s="77" t="str">
        <f aca="false">IF(OR(D$4="",MONTH(($G$2+2))&lt;&gt;MONTH($C$2)),"",IF(COUNTIFS(m_teacher,D$4,m_date,($G$2+2),m_active,1,m_start,"&lt;"&amp;600,m_end,"&gt;"&amp;0)=0,"",IF(COUNTIFS(m_teacher,D$4,m_date,($G$2+2),m_active,1,m_start,"&lt;"&amp;600,m_end,"&gt;"&amp;0)&gt;1,"충돌",HYPERLINK("#'관리자_MASTER'!D"&amp;_xlfn.MAXIFS(m_row,m_teacher,D$4,m_date,($G$2+2),m_active,1,m_start,"&lt;"&amp;600,m_end,"&gt;"&amp;0),INDEX(m_label,_xlfn.MAXIFS(m_row,m_teacher,D$4,m_date,($G$2+2),m_active,1,m_start,"&lt;"&amp;600,m_end,"&gt;"&amp;0))))))</f>
        <v/>
      </c>
      <c r="E27" s="77" t="str">
        <f aca="false">IF(OR(E$4="",MONTH(($G$2+2))&lt;&gt;MONTH($C$2)),"",IF(COUNTIFS(m_teacher,E$4,m_date,($G$2+2),m_active,1,m_start,"&lt;"&amp;600,m_end,"&gt;"&amp;0)=0,"",IF(COUNTIFS(m_teacher,E$4,m_date,($G$2+2),m_active,1,m_start,"&lt;"&amp;600,m_end,"&gt;"&amp;0)&gt;1,"충돌",HYPERLINK("#'관리자_MASTER'!D"&amp;_xlfn.MAXIFS(m_row,m_teacher,E$4,m_date,($G$2+2),m_active,1,m_start,"&lt;"&amp;600,m_end,"&gt;"&amp;0),INDEX(m_label,_xlfn.MAXIFS(m_row,m_teacher,E$4,m_date,($G$2+2),m_active,1,m_start,"&lt;"&amp;600,m_end,"&gt;"&amp;0))))))</f>
        <v/>
      </c>
      <c r="F27" s="77" t="str">
        <f aca="false">IF(OR(F$4="",MONTH(($G$2+2))&lt;&gt;MONTH($C$2)),"",IF(COUNTIFS(m_teacher,F$4,m_date,($G$2+2),m_active,1,m_start,"&lt;"&amp;600,m_end,"&gt;"&amp;0)=0,"",IF(COUNTIFS(m_teacher,F$4,m_date,($G$2+2),m_active,1,m_start,"&lt;"&amp;600,m_end,"&gt;"&amp;0)&gt;1,"충돌",HYPERLINK("#'관리자_MASTER'!D"&amp;_xlfn.MAXIFS(m_row,m_teacher,F$4,m_date,($G$2+2),m_active,1,m_start,"&lt;"&amp;600,m_end,"&gt;"&amp;0),INDEX(m_label,_xlfn.MAXIFS(m_row,m_teacher,F$4,m_date,($G$2+2),m_active,1,m_start,"&lt;"&amp;600,m_end,"&gt;"&amp;0))))))</f>
        <v/>
      </c>
      <c r="G27" s="77" t="str">
        <f aca="false">IF(OR(G$4="",MONTH(($G$2+2))&lt;&gt;MONTH($C$2)),"",IF(COUNTIFS(m_teacher,G$4,m_date,($G$2+2),m_active,1,m_start,"&lt;"&amp;600,m_end,"&gt;"&amp;0)=0,"",IF(COUNTIFS(m_teacher,G$4,m_date,($G$2+2),m_active,1,m_start,"&lt;"&amp;600,m_end,"&gt;"&amp;0)&gt;1,"충돌",HYPERLINK("#'관리자_MASTER'!D"&amp;_xlfn.MAXIFS(m_row,m_teacher,G$4,m_date,($G$2+2),m_active,1,m_start,"&lt;"&amp;600,m_end,"&gt;"&amp;0),INDEX(m_label,_xlfn.MAXIFS(m_row,m_teacher,G$4,m_date,($G$2+2),m_active,1,m_start,"&lt;"&amp;600,m_end,"&gt;"&amp;0))))))</f>
        <v/>
      </c>
      <c r="H27" s="77" t="str">
        <f aca="false">IF(OR(H$4="",MONTH(($G$2+2))&lt;&gt;MONTH($C$2)),"",IF(COUNTIFS(m_teacher,H$4,m_date,($G$2+2),m_active,1,m_start,"&lt;"&amp;600,m_end,"&gt;"&amp;0)=0,"",IF(COUNTIFS(m_teacher,H$4,m_date,($G$2+2),m_active,1,m_start,"&lt;"&amp;600,m_end,"&gt;"&amp;0)&gt;1,"충돌",HYPERLINK("#'관리자_MASTER'!D"&amp;_xlfn.MAXIFS(m_row,m_teacher,H$4,m_date,($G$2+2),m_active,1,m_start,"&lt;"&amp;600,m_end,"&gt;"&amp;0),INDEX(m_label,_xlfn.MAXIFS(m_row,m_teacher,H$4,m_date,($G$2+2),m_active,1,m_start,"&lt;"&amp;600,m_end,"&gt;"&amp;0))))))</f>
        <v/>
      </c>
      <c r="I27" s="77" t="str">
        <f aca="false">IF(OR(I$4="",MONTH(($G$2+2))&lt;&gt;MONTH($C$2)),"",IF(COUNTIFS(m_teacher,I$4,m_date,($G$2+2),m_active,1,m_start,"&lt;"&amp;600,m_end,"&gt;"&amp;0)=0,"",IF(COUNTIFS(m_teacher,I$4,m_date,($G$2+2),m_active,1,m_start,"&lt;"&amp;600,m_end,"&gt;"&amp;0)&gt;1,"충돌",HYPERLINK("#'관리자_MASTER'!D"&amp;_xlfn.MAXIFS(m_row,m_teacher,I$4,m_date,($G$2+2),m_active,1,m_start,"&lt;"&amp;600,m_end,"&gt;"&amp;0),INDEX(m_label,_xlfn.MAXIFS(m_row,m_teacher,I$4,m_date,($G$2+2),m_active,1,m_start,"&lt;"&amp;600,m_end,"&gt;"&amp;0))))))</f>
        <v/>
      </c>
      <c r="J27" s="77" t="str">
        <f aca="false">IF(OR(J$4="",MONTH(($G$2+2))&lt;&gt;MONTH($C$2)),"",IF(COUNTIFS(m_teacher,J$4,m_date,($G$2+2),m_active,1,m_start,"&lt;"&amp;600,m_end,"&gt;"&amp;0)=0,"",IF(COUNTIFS(m_teacher,J$4,m_date,($G$2+2),m_active,1,m_start,"&lt;"&amp;600,m_end,"&gt;"&amp;0)&gt;1,"충돌",HYPERLINK("#'관리자_MASTER'!D"&amp;_xlfn.MAXIFS(m_row,m_teacher,J$4,m_date,($G$2+2),m_active,1,m_start,"&lt;"&amp;600,m_end,"&gt;"&amp;0),INDEX(m_label,_xlfn.MAXIFS(m_row,m_teacher,J$4,m_date,($G$2+2),m_active,1,m_start,"&lt;"&amp;600,m_end,"&gt;"&amp;0))))))</f>
        <v/>
      </c>
      <c r="K27" s="77" t="str">
        <f aca="false">IF(OR(K$4="",MONTH(($G$2+2))&lt;&gt;MONTH($C$2)),"",IF(COUNTIFS(m_teacher,K$4,m_date,($G$2+2),m_active,1,m_start,"&lt;"&amp;600,m_end,"&gt;"&amp;0)=0,"",IF(COUNTIFS(m_teacher,K$4,m_date,($G$2+2),m_active,1,m_start,"&lt;"&amp;600,m_end,"&gt;"&amp;0)&gt;1,"충돌",HYPERLINK("#'관리자_MASTER'!D"&amp;_xlfn.MAXIFS(m_row,m_teacher,K$4,m_date,($G$2+2),m_active,1,m_start,"&lt;"&amp;600,m_end,"&gt;"&amp;0),INDEX(m_label,_xlfn.MAXIFS(m_row,m_teacher,K$4,m_date,($G$2+2),m_active,1,m_start,"&lt;"&amp;600,m_end,"&gt;"&amp;0))))))</f>
        <v/>
      </c>
      <c r="L27" s="77" t="str">
        <f aca="false">IF(OR(L$4="",MONTH(($G$2+2))&lt;&gt;MONTH($C$2)),"",IF(COUNTIFS(m_teacher,L$4,m_date,($G$2+2),m_active,1,m_start,"&lt;"&amp;600,m_end,"&gt;"&amp;0)=0,"",IF(COUNTIFS(m_teacher,L$4,m_date,($G$2+2),m_active,1,m_start,"&lt;"&amp;600,m_end,"&gt;"&amp;0)&gt;1,"충돌",HYPERLINK("#'관리자_MASTER'!D"&amp;_xlfn.MAXIFS(m_row,m_teacher,L$4,m_date,($G$2+2),m_active,1,m_start,"&lt;"&amp;600,m_end,"&gt;"&amp;0),INDEX(m_label,_xlfn.MAXIFS(m_row,m_teacher,L$4,m_date,($G$2+2),m_active,1,m_start,"&lt;"&amp;600,m_end,"&gt;"&amp;0))))))</f>
        <v/>
      </c>
      <c r="M27" s="77" t="str">
        <f aca="false">IF(OR(M$4="",MONTH(($G$2+2))&lt;&gt;MONTH($C$2)),"",IF(COUNTIFS(m_teacher,M$4,m_date,($G$2+2),m_active,1,m_start,"&lt;"&amp;600,m_end,"&gt;"&amp;0)=0,"",IF(COUNTIFS(m_teacher,M$4,m_date,($G$2+2),m_active,1,m_start,"&lt;"&amp;600,m_end,"&gt;"&amp;0)&gt;1,"충돌",HYPERLINK("#'관리자_MASTER'!D"&amp;_xlfn.MAXIFS(m_row,m_teacher,M$4,m_date,($G$2+2),m_active,1,m_start,"&lt;"&amp;600,m_end,"&gt;"&amp;0),INDEX(m_label,_xlfn.MAXIFS(m_row,m_teacher,M$4,m_date,($G$2+2),m_active,1,m_start,"&lt;"&amp;600,m_end,"&gt;"&amp;0))))))</f>
        <v/>
      </c>
      <c r="N27" s="77" t="str">
        <f aca="false">IF(OR(N$4="",MONTH(($G$2+2))&lt;&gt;MONTH($C$2)),"",IF(COUNTIFS(m_teacher,N$4,m_date,($G$2+2),m_active,1,m_start,"&lt;"&amp;600,m_end,"&gt;"&amp;0)=0,"",IF(COUNTIFS(m_teacher,N$4,m_date,($G$2+2),m_active,1,m_start,"&lt;"&amp;600,m_end,"&gt;"&amp;0)&gt;1,"충돌",HYPERLINK("#'관리자_MASTER'!D"&amp;_xlfn.MAXIFS(m_row,m_teacher,N$4,m_date,($G$2+2),m_active,1,m_start,"&lt;"&amp;600,m_end,"&gt;"&amp;0),INDEX(m_label,_xlfn.MAXIFS(m_row,m_teacher,N$4,m_date,($G$2+2),m_active,1,m_start,"&lt;"&amp;600,m_end,"&gt;"&amp;0))))))</f>
        <v/>
      </c>
      <c r="O27" s="78" t="str">
        <f aca="false">IF(MONTH(($G$2+9))&lt;&gt;MONTH($C$2),"",CHOOSE(WEEKDAY(($G$2+9),2),"월","화","수","목","금","토","일")&amp;CHAR(10)&amp;TEXT(($G$2+9),"m/d"))</f>
        <v>수
1/6</v>
      </c>
      <c r="P27" s="79" t="s">
        <v>91</v>
      </c>
      <c r="Q27" s="80" t="str">
        <f aca="false">IF(OR(Q$4="",MONTH(($G$2+9))&lt;&gt;MONTH($C$2)),"",IF(COUNTIFS(m_teacher,Q$4,m_date,($G$2+9),m_active,1,m_start,"&lt;"&amp;600,m_end,"&gt;"&amp;0)=0,"",IF(COUNTIFS(m_teacher,Q$4,m_date,($G$2+9),m_active,1,m_start,"&lt;"&amp;600,m_end,"&gt;"&amp;0)&gt;1,"충돌",HYPERLINK("#'관리자_MASTER'!D"&amp;_xlfn.MAXIFS(m_row,m_teacher,Q$4,m_date,($G$2+9),m_active,1,m_start,"&lt;"&amp;600,m_end,"&gt;"&amp;0),INDEX(m_label,_xlfn.MAXIFS(m_row,m_teacher,Q$4,m_date,($G$2+9),m_active,1,m_start,"&lt;"&amp;600,m_end,"&gt;"&amp;0))))))</f>
        <v/>
      </c>
      <c r="R27" s="80" t="str">
        <f aca="false">IF(OR(R$4="",MONTH(($G$2+9))&lt;&gt;MONTH($C$2)),"",IF(COUNTIFS(m_teacher,R$4,m_date,($G$2+9),m_active,1,m_start,"&lt;"&amp;600,m_end,"&gt;"&amp;0)=0,"",IF(COUNTIFS(m_teacher,R$4,m_date,($G$2+9),m_active,1,m_start,"&lt;"&amp;600,m_end,"&gt;"&amp;0)&gt;1,"충돌",HYPERLINK("#'관리자_MASTER'!D"&amp;_xlfn.MAXIFS(m_row,m_teacher,R$4,m_date,($G$2+9),m_active,1,m_start,"&lt;"&amp;600,m_end,"&gt;"&amp;0),INDEX(m_label,_xlfn.MAXIFS(m_row,m_teacher,R$4,m_date,($G$2+9),m_active,1,m_start,"&lt;"&amp;600,m_end,"&gt;"&amp;0))))))</f>
        <v/>
      </c>
      <c r="S27" s="80" t="str">
        <f aca="false">IF(OR(S$4="",MONTH(($G$2+9))&lt;&gt;MONTH($C$2)),"",IF(COUNTIFS(m_teacher,S$4,m_date,($G$2+9),m_active,1,m_start,"&lt;"&amp;600,m_end,"&gt;"&amp;0)=0,"",IF(COUNTIFS(m_teacher,S$4,m_date,($G$2+9),m_active,1,m_start,"&lt;"&amp;600,m_end,"&gt;"&amp;0)&gt;1,"충돌",HYPERLINK("#'관리자_MASTER'!D"&amp;_xlfn.MAXIFS(m_row,m_teacher,S$4,m_date,($G$2+9),m_active,1,m_start,"&lt;"&amp;600,m_end,"&gt;"&amp;0),INDEX(m_label,_xlfn.MAXIFS(m_row,m_teacher,S$4,m_date,($G$2+9),m_active,1,m_start,"&lt;"&amp;600,m_end,"&gt;"&amp;0))))))</f>
        <v/>
      </c>
      <c r="T27" s="80" t="str">
        <f aca="false">IF(OR(T$4="",MONTH(($G$2+9))&lt;&gt;MONTH($C$2)),"",IF(COUNTIFS(m_teacher,T$4,m_date,($G$2+9),m_active,1,m_start,"&lt;"&amp;600,m_end,"&gt;"&amp;0)=0,"",IF(COUNTIFS(m_teacher,T$4,m_date,($G$2+9),m_active,1,m_start,"&lt;"&amp;600,m_end,"&gt;"&amp;0)&gt;1,"충돌",HYPERLINK("#'관리자_MASTER'!D"&amp;_xlfn.MAXIFS(m_row,m_teacher,T$4,m_date,($G$2+9),m_active,1,m_start,"&lt;"&amp;600,m_end,"&gt;"&amp;0),INDEX(m_label,_xlfn.MAXIFS(m_row,m_teacher,T$4,m_date,($G$2+9),m_active,1,m_start,"&lt;"&amp;600,m_end,"&gt;"&amp;0))))))</f>
        <v/>
      </c>
      <c r="U27" s="80" t="str">
        <f aca="false">IF(OR(U$4="",MONTH(($G$2+9))&lt;&gt;MONTH($C$2)),"",IF(COUNTIFS(m_teacher,U$4,m_date,($G$2+9),m_active,1,m_start,"&lt;"&amp;600,m_end,"&gt;"&amp;0)=0,"",IF(COUNTIFS(m_teacher,U$4,m_date,($G$2+9),m_active,1,m_start,"&lt;"&amp;600,m_end,"&gt;"&amp;0)&gt;1,"충돌",HYPERLINK("#'관리자_MASTER'!D"&amp;_xlfn.MAXIFS(m_row,m_teacher,U$4,m_date,($G$2+9),m_active,1,m_start,"&lt;"&amp;600,m_end,"&gt;"&amp;0),INDEX(m_label,_xlfn.MAXIFS(m_row,m_teacher,U$4,m_date,($G$2+9),m_active,1,m_start,"&lt;"&amp;600,m_end,"&gt;"&amp;0))))))</f>
        <v/>
      </c>
      <c r="V27" s="80" t="str">
        <f aca="false">IF(OR(V$4="",MONTH(($G$2+9))&lt;&gt;MONTH($C$2)),"",IF(COUNTIFS(m_teacher,V$4,m_date,($G$2+9),m_active,1,m_start,"&lt;"&amp;600,m_end,"&gt;"&amp;0)=0,"",IF(COUNTIFS(m_teacher,V$4,m_date,($G$2+9),m_active,1,m_start,"&lt;"&amp;600,m_end,"&gt;"&amp;0)&gt;1,"충돌",HYPERLINK("#'관리자_MASTER'!D"&amp;_xlfn.MAXIFS(m_row,m_teacher,V$4,m_date,($G$2+9),m_active,1,m_start,"&lt;"&amp;600,m_end,"&gt;"&amp;0),INDEX(m_label,_xlfn.MAXIFS(m_row,m_teacher,V$4,m_date,($G$2+9),m_active,1,m_start,"&lt;"&amp;600,m_end,"&gt;"&amp;0))))))</f>
        <v/>
      </c>
      <c r="W27" s="80" t="str">
        <f aca="false">IF(OR(W$4="",MONTH(($G$2+9))&lt;&gt;MONTH($C$2)),"",IF(COUNTIFS(m_teacher,W$4,m_date,($G$2+9),m_active,1,m_start,"&lt;"&amp;600,m_end,"&gt;"&amp;0)=0,"",IF(COUNTIFS(m_teacher,W$4,m_date,($G$2+9),m_active,1,m_start,"&lt;"&amp;600,m_end,"&gt;"&amp;0)&gt;1,"충돌",HYPERLINK("#'관리자_MASTER'!D"&amp;_xlfn.MAXIFS(m_row,m_teacher,W$4,m_date,($G$2+9),m_active,1,m_start,"&lt;"&amp;600,m_end,"&gt;"&amp;0),INDEX(m_label,_xlfn.MAXIFS(m_row,m_teacher,W$4,m_date,($G$2+9),m_active,1,m_start,"&lt;"&amp;600,m_end,"&gt;"&amp;0))))))</f>
        <v/>
      </c>
      <c r="X27" s="80" t="str">
        <f aca="false">IF(OR(X$4="",MONTH(($G$2+9))&lt;&gt;MONTH($C$2)),"",IF(COUNTIFS(m_teacher,X$4,m_date,($G$2+9),m_active,1,m_start,"&lt;"&amp;600,m_end,"&gt;"&amp;0)=0,"",IF(COUNTIFS(m_teacher,X$4,m_date,($G$2+9),m_active,1,m_start,"&lt;"&amp;600,m_end,"&gt;"&amp;0)&gt;1,"충돌",HYPERLINK("#'관리자_MASTER'!D"&amp;_xlfn.MAXIFS(m_row,m_teacher,X$4,m_date,($G$2+9),m_active,1,m_start,"&lt;"&amp;600,m_end,"&gt;"&amp;0),INDEX(m_label,_xlfn.MAXIFS(m_row,m_teacher,X$4,m_date,($G$2+9),m_active,1,m_start,"&lt;"&amp;600,m_end,"&gt;"&amp;0))))))</f>
        <v/>
      </c>
      <c r="Y27" s="80" t="str">
        <f aca="false">IF(OR(Y$4="",MONTH(($G$2+9))&lt;&gt;MONTH($C$2)),"",IF(COUNTIFS(m_teacher,Y$4,m_date,($G$2+9),m_active,1,m_start,"&lt;"&amp;600,m_end,"&gt;"&amp;0)=0,"",IF(COUNTIFS(m_teacher,Y$4,m_date,($G$2+9),m_active,1,m_start,"&lt;"&amp;600,m_end,"&gt;"&amp;0)&gt;1,"충돌",HYPERLINK("#'관리자_MASTER'!D"&amp;_xlfn.MAXIFS(m_row,m_teacher,Y$4,m_date,($G$2+9),m_active,1,m_start,"&lt;"&amp;600,m_end,"&gt;"&amp;0),INDEX(m_label,_xlfn.MAXIFS(m_row,m_teacher,Y$4,m_date,($G$2+9),m_active,1,m_start,"&lt;"&amp;600,m_end,"&gt;"&amp;0))))))</f>
        <v/>
      </c>
      <c r="Z27" s="80" t="str">
        <f aca="false">IF(OR(Z$4="",MONTH(($G$2+9))&lt;&gt;MONTH($C$2)),"",IF(COUNTIFS(m_teacher,Z$4,m_date,($G$2+9),m_active,1,m_start,"&lt;"&amp;600,m_end,"&gt;"&amp;0)=0,"",IF(COUNTIFS(m_teacher,Z$4,m_date,($G$2+9),m_active,1,m_start,"&lt;"&amp;600,m_end,"&gt;"&amp;0)&gt;1,"충돌",HYPERLINK("#'관리자_MASTER'!D"&amp;_xlfn.MAXIFS(m_row,m_teacher,Z$4,m_date,($G$2+9),m_active,1,m_start,"&lt;"&amp;600,m_end,"&gt;"&amp;0),INDEX(m_label,_xlfn.MAXIFS(m_row,m_teacher,Z$4,m_date,($G$2+9),m_active,1,m_start,"&lt;"&amp;600,m_end,"&gt;"&amp;0))))))</f>
        <v/>
      </c>
      <c r="AA27" s="80" t="str">
        <f aca="false">IF(OR(AA$4="",MONTH(($G$2+9))&lt;&gt;MONTH($C$2)),"",IF(COUNTIFS(m_teacher,AA$4,m_date,($G$2+9),m_active,1,m_start,"&lt;"&amp;600,m_end,"&gt;"&amp;0)=0,"",IF(COUNTIFS(m_teacher,AA$4,m_date,($G$2+9),m_active,1,m_start,"&lt;"&amp;600,m_end,"&gt;"&amp;0)&gt;1,"충돌",HYPERLINK("#'관리자_MASTER'!D"&amp;_xlfn.MAXIFS(m_row,m_teacher,AA$4,m_date,($G$2+9),m_active,1,m_start,"&lt;"&amp;600,m_end,"&gt;"&amp;0),INDEX(m_label,_xlfn.MAXIFS(m_row,m_teacher,AA$4,m_date,($G$2+9),m_active,1,m_start,"&lt;"&amp;600,m_end,"&gt;"&amp;0))))))</f>
        <v/>
      </c>
      <c r="AB27" s="80" t="str">
        <f aca="false">IF(OR(AB$4="",MONTH(($G$2+9))&lt;&gt;MONTH($C$2)),"",IF(COUNTIFS(m_teacher,AB$4,m_date,($G$2+9),m_active,1,m_start,"&lt;"&amp;600,m_end,"&gt;"&amp;0)=0,"",IF(COUNTIFS(m_teacher,AB$4,m_date,($G$2+9),m_active,1,m_start,"&lt;"&amp;600,m_end,"&gt;"&amp;0)&gt;1,"충돌",HYPERLINK("#'관리자_MASTER'!D"&amp;_xlfn.MAXIFS(m_row,m_teacher,AB$4,m_date,($G$2+9),m_active,1,m_start,"&lt;"&amp;600,m_end,"&gt;"&amp;0),INDEX(m_label,_xlfn.MAXIFS(m_row,m_teacher,AB$4,m_date,($G$2+9),m_active,1,m_start,"&lt;"&amp;600,m_end,"&gt;"&amp;0))))))</f>
        <v/>
      </c>
      <c r="AC27" s="78" t="str">
        <f aca="false">IF(MONTH(($G$2+16))&lt;&gt;MONTH($C$2),"",CHOOSE(WEEKDAY(($G$2+16),2),"월","화","수","목","금","토","일")&amp;CHAR(10)&amp;TEXT(($G$2+16),"m/d"))</f>
        <v>수
1/13</v>
      </c>
      <c r="AD27" s="79" t="s">
        <v>91</v>
      </c>
      <c r="AE27" s="80" t="str">
        <f aca="false">IF(OR(AE$4="",MONTH(($G$2+16))&lt;&gt;MONTH($C$2)),"",IF(COUNTIFS(m_teacher,AE$4,m_date,($G$2+16),m_active,1,m_start,"&lt;"&amp;600,m_end,"&gt;"&amp;0)=0,"",IF(COUNTIFS(m_teacher,AE$4,m_date,($G$2+16),m_active,1,m_start,"&lt;"&amp;600,m_end,"&gt;"&amp;0)&gt;1,"충돌",HYPERLINK("#'관리자_MASTER'!D"&amp;_xlfn.MAXIFS(m_row,m_teacher,AE$4,m_date,($G$2+16),m_active,1,m_start,"&lt;"&amp;600,m_end,"&gt;"&amp;0),INDEX(m_label,_xlfn.MAXIFS(m_row,m_teacher,AE$4,m_date,($G$2+16),m_active,1,m_start,"&lt;"&amp;600,m_end,"&gt;"&amp;0))))))</f>
        <v/>
      </c>
      <c r="AF27" s="80" t="str">
        <f aca="false">IF(OR(AF$4="",MONTH(($G$2+16))&lt;&gt;MONTH($C$2)),"",IF(COUNTIFS(m_teacher,AF$4,m_date,($G$2+16),m_active,1,m_start,"&lt;"&amp;600,m_end,"&gt;"&amp;0)=0,"",IF(COUNTIFS(m_teacher,AF$4,m_date,($G$2+16),m_active,1,m_start,"&lt;"&amp;600,m_end,"&gt;"&amp;0)&gt;1,"충돌",HYPERLINK("#'관리자_MASTER'!D"&amp;_xlfn.MAXIFS(m_row,m_teacher,AF$4,m_date,($G$2+16),m_active,1,m_start,"&lt;"&amp;600,m_end,"&gt;"&amp;0),INDEX(m_label,_xlfn.MAXIFS(m_row,m_teacher,AF$4,m_date,($G$2+16),m_active,1,m_start,"&lt;"&amp;600,m_end,"&gt;"&amp;0))))))</f>
        <v/>
      </c>
      <c r="AG27" s="80" t="str">
        <f aca="false">IF(OR(AG$4="",MONTH(($G$2+16))&lt;&gt;MONTH($C$2)),"",IF(COUNTIFS(m_teacher,AG$4,m_date,($G$2+16),m_active,1,m_start,"&lt;"&amp;600,m_end,"&gt;"&amp;0)=0,"",IF(COUNTIFS(m_teacher,AG$4,m_date,($G$2+16),m_active,1,m_start,"&lt;"&amp;600,m_end,"&gt;"&amp;0)&gt;1,"충돌",HYPERLINK("#'관리자_MASTER'!D"&amp;_xlfn.MAXIFS(m_row,m_teacher,AG$4,m_date,($G$2+16),m_active,1,m_start,"&lt;"&amp;600,m_end,"&gt;"&amp;0),INDEX(m_label,_xlfn.MAXIFS(m_row,m_teacher,AG$4,m_date,($G$2+16),m_active,1,m_start,"&lt;"&amp;600,m_end,"&gt;"&amp;0))))))</f>
        <v/>
      </c>
      <c r="AH27" s="80" t="str">
        <f aca="false">IF(OR(AH$4="",MONTH(($G$2+16))&lt;&gt;MONTH($C$2)),"",IF(COUNTIFS(m_teacher,AH$4,m_date,($G$2+16),m_active,1,m_start,"&lt;"&amp;600,m_end,"&gt;"&amp;0)=0,"",IF(COUNTIFS(m_teacher,AH$4,m_date,($G$2+16),m_active,1,m_start,"&lt;"&amp;600,m_end,"&gt;"&amp;0)&gt;1,"충돌",HYPERLINK("#'관리자_MASTER'!D"&amp;_xlfn.MAXIFS(m_row,m_teacher,AH$4,m_date,($G$2+16),m_active,1,m_start,"&lt;"&amp;600,m_end,"&gt;"&amp;0),INDEX(m_label,_xlfn.MAXIFS(m_row,m_teacher,AH$4,m_date,($G$2+16),m_active,1,m_start,"&lt;"&amp;600,m_end,"&gt;"&amp;0))))))</f>
        <v/>
      </c>
      <c r="AI27" s="80" t="str">
        <f aca="false">IF(OR(AI$4="",MONTH(($G$2+16))&lt;&gt;MONTH($C$2)),"",IF(COUNTIFS(m_teacher,AI$4,m_date,($G$2+16),m_active,1,m_start,"&lt;"&amp;600,m_end,"&gt;"&amp;0)=0,"",IF(COUNTIFS(m_teacher,AI$4,m_date,($G$2+16),m_active,1,m_start,"&lt;"&amp;600,m_end,"&gt;"&amp;0)&gt;1,"충돌",HYPERLINK("#'관리자_MASTER'!D"&amp;_xlfn.MAXIFS(m_row,m_teacher,AI$4,m_date,($G$2+16),m_active,1,m_start,"&lt;"&amp;600,m_end,"&gt;"&amp;0),INDEX(m_label,_xlfn.MAXIFS(m_row,m_teacher,AI$4,m_date,($G$2+16),m_active,1,m_start,"&lt;"&amp;600,m_end,"&gt;"&amp;0))))))</f>
        <v/>
      </c>
      <c r="AJ27" s="80" t="str">
        <f aca="false">IF(OR(AJ$4="",MONTH(($G$2+16))&lt;&gt;MONTH($C$2)),"",IF(COUNTIFS(m_teacher,AJ$4,m_date,($G$2+16),m_active,1,m_start,"&lt;"&amp;600,m_end,"&gt;"&amp;0)=0,"",IF(COUNTIFS(m_teacher,AJ$4,m_date,($G$2+16),m_active,1,m_start,"&lt;"&amp;600,m_end,"&gt;"&amp;0)&gt;1,"충돌",HYPERLINK("#'관리자_MASTER'!D"&amp;_xlfn.MAXIFS(m_row,m_teacher,AJ$4,m_date,($G$2+16),m_active,1,m_start,"&lt;"&amp;600,m_end,"&gt;"&amp;0),INDEX(m_label,_xlfn.MAXIFS(m_row,m_teacher,AJ$4,m_date,($G$2+16),m_active,1,m_start,"&lt;"&amp;600,m_end,"&gt;"&amp;0))))))</f>
        <v/>
      </c>
      <c r="AK27" s="80" t="str">
        <f aca="false">IF(OR(AK$4="",MONTH(($G$2+16))&lt;&gt;MONTH($C$2)),"",IF(COUNTIFS(m_teacher,AK$4,m_date,($G$2+16),m_active,1,m_start,"&lt;"&amp;600,m_end,"&gt;"&amp;0)=0,"",IF(COUNTIFS(m_teacher,AK$4,m_date,($G$2+16),m_active,1,m_start,"&lt;"&amp;600,m_end,"&gt;"&amp;0)&gt;1,"충돌",HYPERLINK("#'관리자_MASTER'!D"&amp;_xlfn.MAXIFS(m_row,m_teacher,AK$4,m_date,($G$2+16),m_active,1,m_start,"&lt;"&amp;600,m_end,"&gt;"&amp;0),INDEX(m_label,_xlfn.MAXIFS(m_row,m_teacher,AK$4,m_date,($G$2+16),m_active,1,m_start,"&lt;"&amp;600,m_end,"&gt;"&amp;0))))))</f>
        <v/>
      </c>
      <c r="AL27" s="80" t="str">
        <f aca="false">IF(OR(AL$4="",MONTH(($G$2+16))&lt;&gt;MONTH($C$2)),"",IF(COUNTIFS(m_teacher,AL$4,m_date,($G$2+16),m_active,1,m_start,"&lt;"&amp;600,m_end,"&gt;"&amp;0)=0,"",IF(COUNTIFS(m_teacher,AL$4,m_date,($G$2+16),m_active,1,m_start,"&lt;"&amp;600,m_end,"&gt;"&amp;0)&gt;1,"충돌",HYPERLINK("#'관리자_MASTER'!D"&amp;_xlfn.MAXIFS(m_row,m_teacher,AL$4,m_date,($G$2+16),m_active,1,m_start,"&lt;"&amp;600,m_end,"&gt;"&amp;0),INDEX(m_label,_xlfn.MAXIFS(m_row,m_teacher,AL$4,m_date,($G$2+16),m_active,1,m_start,"&lt;"&amp;600,m_end,"&gt;"&amp;0))))))</f>
        <v/>
      </c>
      <c r="AM27" s="80" t="str">
        <f aca="false">IF(OR(AM$4="",MONTH(($G$2+16))&lt;&gt;MONTH($C$2)),"",IF(COUNTIFS(m_teacher,AM$4,m_date,($G$2+16),m_active,1,m_start,"&lt;"&amp;600,m_end,"&gt;"&amp;0)=0,"",IF(COUNTIFS(m_teacher,AM$4,m_date,($G$2+16),m_active,1,m_start,"&lt;"&amp;600,m_end,"&gt;"&amp;0)&gt;1,"충돌",HYPERLINK("#'관리자_MASTER'!D"&amp;_xlfn.MAXIFS(m_row,m_teacher,AM$4,m_date,($G$2+16),m_active,1,m_start,"&lt;"&amp;600,m_end,"&gt;"&amp;0),INDEX(m_label,_xlfn.MAXIFS(m_row,m_teacher,AM$4,m_date,($G$2+16),m_active,1,m_start,"&lt;"&amp;600,m_end,"&gt;"&amp;0))))))</f>
        <v/>
      </c>
      <c r="AN27" s="80" t="str">
        <f aca="false">IF(OR(AN$4="",MONTH(($G$2+16))&lt;&gt;MONTH($C$2)),"",IF(COUNTIFS(m_teacher,AN$4,m_date,($G$2+16),m_active,1,m_start,"&lt;"&amp;600,m_end,"&gt;"&amp;0)=0,"",IF(COUNTIFS(m_teacher,AN$4,m_date,($G$2+16),m_active,1,m_start,"&lt;"&amp;600,m_end,"&gt;"&amp;0)&gt;1,"충돌",HYPERLINK("#'관리자_MASTER'!D"&amp;_xlfn.MAXIFS(m_row,m_teacher,AN$4,m_date,($G$2+16),m_active,1,m_start,"&lt;"&amp;600,m_end,"&gt;"&amp;0),INDEX(m_label,_xlfn.MAXIFS(m_row,m_teacher,AN$4,m_date,($G$2+16),m_active,1,m_start,"&lt;"&amp;600,m_end,"&gt;"&amp;0))))))</f>
        <v/>
      </c>
      <c r="AO27" s="80" t="str">
        <f aca="false">IF(OR(AO$4="",MONTH(($G$2+16))&lt;&gt;MONTH($C$2)),"",IF(COUNTIFS(m_teacher,AO$4,m_date,($G$2+16),m_active,1,m_start,"&lt;"&amp;600,m_end,"&gt;"&amp;0)=0,"",IF(COUNTIFS(m_teacher,AO$4,m_date,($G$2+16),m_active,1,m_start,"&lt;"&amp;600,m_end,"&gt;"&amp;0)&gt;1,"충돌",HYPERLINK("#'관리자_MASTER'!D"&amp;_xlfn.MAXIFS(m_row,m_teacher,AO$4,m_date,($G$2+16),m_active,1,m_start,"&lt;"&amp;600,m_end,"&gt;"&amp;0),INDEX(m_label,_xlfn.MAXIFS(m_row,m_teacher,AO$4,m_date,($G$2+16),m_active,1,m_start,"&lt;"&amp;600,m_end,"&gt;"&amp;0))))))</f>
        <v/>
      </c>
      <c r="AP27" s="80" t="str">
        <f aca="false">IF(OR(AP$4="",MONTH(($G$2+16))&lt;&gt;MONTH($C$2)),"",IF(COUNTIFS(m_teacher,AP$4,m_date,($G$2+16),m_active,1,m_start,"&lt;"&amp;600,m_end,"&gt;"&amp;0)=0,"",IF(COUNTIFS(m_teacher,AP$4,m_date,($G$2+16),m_active,1,m_start,"&lt;"&amp;600,m_end,"&gt;"&amp;0)&gt;1,"충돌",HYPERLINK("#'관리자_MASTER'!D"&amp;_xlfn.MAXIFS(m_row,m_teacher,AP$4,m_date,($G$2+16),m_active,1,m_start,"&lt;"&amp;600,m_end,"&gt;"&amp;0),INDEX(m_label,_xlfn.MAXIFS(m_row,m_teacher,AP$4,m_date,($G$2+16),m_active,1,m_start,"&lt;"&amp;600,m_end,"&gt;"&amp;0))))))</f>
        <v/>
      </c>
      <c r="AQ27" s="78" t="str">
        <f aca="false">IF(MONTH(($G$2+23))&lt;&gt;MONTH($C$2),"",CHOOSE(WEEKDAY(($G$2+23),2),"월","화","수","목","금","토","일")&amp;CHAR(10)&amp;TEXT(($G$2+23),"m/d"))</f>
        <v>수
1/20</v>
      </c>
      <c r="AR27" s="79" t="s">
        <v>91</v>
      </c>
      <c r="AS27" s="80" t="str">
        <f aca="false">IF(OR(AS$4="",MONTH(($G$2+23))&lt;&gt;MONTH($C$2)),"",IF(COUNTIFS(m_teacher,AS$4,m_date,($G$2+23),m_active,1,m_start,"&lt;"&amp;600,m_end,"&gt;"&amp;0)=0,"",IF(COUNTIFS(m_teacher,AS$4,m_date,($G$2+23),m_active,1,m_start,"&lt;"&amp;600,m_end,"&gt;"&amp;0)&gt;1,"충돌",HYPERLINK("#'관리자_MASTER'!D"&amp;_xlfn.MAXIFS(m_row,m_teacher,AS$4,m_date,($G$2+23),m_active,1,m_start,"&lt;"&amp;600,m_end,"&gt;"&amp;0),INDEX(m_label,_xlfn.MAXIFS(m_row,m_teacher,AS$4,m_date,($G$2+23),m_active,1,m_start,"&lt;"&amp;600,m_end,"&gt;"&amp;0))))))</f>
        <v/>
      </c>
      <c r="AT27" s="80" t="str">
        <f aca="false">IF(OR(AT$4="",MONTH(($G$2+23))&lt;&gt;MONTH($C$2)),"",IF(COUNTIFS(m_teacher,AT$4,m_date,($G$2+23),m_active,1,m_start,"&lt;"&amp;600,m_end,"&gt;"&amp;0)=0,"",IF(COUNTIFS(m_teacher,AT$4,m_date,($G$2+23),m_active,1,m_start,"&lt;"&amp;600,m_end,"&gt;"&amp;0)&gt;1,"충돌",HYPERLINK("#'관리자_MASTER'!D"&amp;_xlfn.MAXIFS(m_row,m_teacher,AT$4,m_date,($G$2+23),m_active,1,m_start,"&lt;"&amp;600,m_end,"&gt;"&amp;0),INDEX(m_label,_xlfn.MAXIFS(m_row,m_teacher,AT$4,m_date,($G$2+23),m_active,1,m_start,"&lt;"&amp;600,m_end,"&gt;"&amp;0))))))</f>
        <v/>
      </c>
      <c r="AU27" s="80" t="str">
        <f aca="false">IF(OR(AU$4="",MONTH(($G$2+23))&lt;&gt;MONTH($C$2)),"",IF(COUNTIFS(m_teacher,AU$4,m_date,($G$2+23),m_active,1,m_start,"&lt;"&amp;600,m_end,"&gt;"&amp;0)=0,"",IF(COUNTIFS(m_teacher,AU$4,m_date,($G$2+23),m_active,1,m_start,"&lt;"&amp;600,m_end,"&gt;"&amp;0)&gt;1,"충돌",HYPERLINK("#'관리자_MASTER'!D"&amp;_xlfn.MAXIFS(m_row,m_teacher,AU$4,m_date,($G$2+23),m_active,1,m_start,"&lt;"&amp;600,m_end,"&gt;"&amp;0),INDEX(m_label,_xlfn.MAXIFS(m_row,m_teacher,AU$4,m_date,($G$2+23),m_active,1,m_start,"&lt;"&amp;600,m_end,"&gt;"&amp;0))))))</f>
        <v/>
      </c>
      <c r="AV27" s="80" t="str">
        <f aca="false">IF(OR(AV$4="",MONTH(($G$2+23))&lt;&gt;MONTH($C$2)),"",IF(COUNTIFS(m_teacher,AV$4,m_date,($G$2+23),m_active,1,m_start,"&lt;"&amp;600,m_end,"&gt;"&amp;0)=0,"",IF(COUNTIFS(m_teacher,AV$4,m_date,($G$2+23),m_active,1,m_start,"&lt;"&amp;600,m_end,"&gt;"&amp;0)&gt;1,"충돌",HYPERLINK("#'관리자_MASTER'!D"&amp;_xlfn.MAXIFS(m_row,m_teacher,AV$4,m_date,($G$2+23),m_active,1,m_start,"&lt;"&amp;600,m_end,"&gt;"&amp;0),INDEX(m_label,_xlfn.MAXIFS(m_row,m_teacher,AV$4,m_date,($G$2+23),m_active,1,m_start,"&lt;"&amp;600,m_end,"&gt;"&amp;0))))))</f>
        <v/>
      </c>
      <c r="AW27" s="80" t="str">
        <f aca="false">IF(OR(AW$4="",MONTH(($G$2+23))&lt;&gt;MONTH($C$2)),"",IF(COUNTIFS(m_teacher,AW$4,m_date,($G$2+23),m_active,1,m_start,"&lt;"&amp;600,m_end,"&gt;"&amp;0)=0,"",IF(COUNTIFS(m_teacher,AW$4,m_date,($G$2+23),m_active,1,m_start,"&lt;"&amp;600,m_end,"&gt;"&amp;0)&gt;1,"충돌",HYPERLINK("#'관리자_MASTER'!D"&amp;_xlfn.MAXIFS(m_row,m_teacher,AW$4,m_date,($G$2+23),m_active,1,m_start,"&lt;"&amp;600,m_end,"&gt;"&amp;0),INDEX(m_label,_xlfn.MAXIFS(m_row,m_teacher,AW$4,m_date,($G$2+23),m_active,1,m_start,"&lt;"&amp;600,m_end,"&gt;"&amp;0))))))</f>
        <v/>
      </c>
      <c r="AX27" s="80" t="str">
        <f aca="false">IF(OR(AX$4="",MONTH(($G$2+23))&lt;&gt;MONTH($C$2)),"",IF(COUNTIFS(m_teacher,AX$4,m_date,($G$2+23),m_active,1,m_start,"&lt;"&amp;600,m_end,"&gt;"&amp;0)=0,"",IF(COUNTIFS(m_teacher,AX$4,m_date,($G$2+23),m_active,1,m_start,"&lt;"&amp;600,m_end,"&gt;"&amp;0)&gt;1,"충돌",HYPERLINK("#'관리자_MASTER'!D"&amp;_xlfn.MAXIFS(m_row,m_teacher,AX$4,m_date,($G$2+23),m_active,1,m_start,"&lt;"&amp;600,m_end,"&gt;"&amp;0),INDEX(m_label,_xlfn.MAXIFS(m_row,m_teacher,AX$4,m_date,($G$2+23),m_active,1,m_start,"&lt;"&amp;600,m_end,"&gt;"&amp;0))))))</f>
        <v/>
      </c>
      <c r="AY27" s="80" t="str">
        <f aca="false">IF(OR(AY$4="",MONTH(($G$2+23))&lt;&gt;MONTH($C$2)),"",IF(COUNTIFS(m_teacher,AY$4,m_date,($G$2+23),m_active,1,m_start,"&lt;"&amp;600,m_end,"&gt;"&amp;0)=0,"",IF(COUNTIFS(m_teacher,AY$4,m_date,($G$2+23),m_active,1,m_start,"&lt;"&amp;600,m_end,"&gt;"&amp;0)&gt;1,"충돌",HYPERLINK("#'관리자_MASTER'!D"&amp;_xlfn.MAXIFS(m_row,m_teacher,AY$4,m_date,($G$2+23),m_active,1,m_start,"&lt;"&amp;600,m_end,"&gt;"&amp;0),INDEX(m_label,_xlfn.MAXIFS(m_row,m_teacher,AY$4,m_date,($G$2+23),m_active,1,m_start,"&lt;"&amp;600,m_end,"&gt;"&amp;0))))))</f>
        <v/>
      </c>
      <c r="AZ27" s="80" t="str">
        <f aca="false">IF(OR(AZ$4="",MONTH(($G$2+23))&lt;&gt;MONTH($C$2)),"",IF(COUNTIFS(m_teacher,AZ$4,m_date,($G$2+23),m_active,1,m_start,"&lt;"&amp;600,m_end,"&gt;"&amp;0)=0,"",IF(COUNTIFS(m_teacher,AZ$4,m_date,($G$2+23),m_active,1,m_start,"&lt;"&amp;600,m_end,"&gt;"&amp;0)&gt;1,"충돌",HYPERLINK("#'관리자_MASTER'!D"&amp;_xlfn.MAXIFS(m_row,m_teacher,AZ$4,m_date,($G$2+23),m_active,1,m_start,"&lt;"&amp;600,m_end,"&gt;"&amp;0),INDEX(m_label,_xlfn.MAXIFS(m_row,m_teacher,AZ$4,m_date,($G$2+23),m_active,1,m_start,"&lt;"&amp;600,m_end,"&gt;"&amp;0))))))</f>
        <v/>
      </c>
      <c r="BA27" s="80" t="str">
        <f aca="false">IF(OR(BA$4="",MONTH(($G$2+23))&lt;&gt;MONTH($C$2)),"",IF(COUNTIFS(m_teacher,BA$4,m_date,($G$2+23),m_active,1,m_start,"&lt;"&amp;600,m_end,"&gt;"&amp;0)=0,"",IF(COUNTIFS(m_teacher,BA$4,m_date,($G$2+23),m_active,1,m_start,"&lt;"&amp;600,m_end,"&gt;"&amp;0)&gt;1,"충돌",HYPERLINK("#'관리자_MASTER'!D"&amp;_xlfn.MAXIFS(m_row,m_teacher,BA$4,m_date,($G$2+23),m_active,1,m_start,"&lt;"&amp;600,m_end,"&gt;"&amp;0),INDEX(m_label,_xlfn.MAXIFS(m_row,m_teacher,BA$4,m_date,($G$2+23),m_active,1,m_start,"&lt;"&amp;600,m_end,"&gt;"&amp;0))))))</f>
        <v/>
      </c>
      <c r="BB27" s="80" t="str">
        <f aca="false">IF(OR(BB$4="",MONTH(($G$2+23))&lt;&gt;MONTH($C$2)),"",IF(COUNTIFS(m_teacher,BB$4,m_date,($G$2+23),m_active,1,m_start,"&lt;"&amp;600,m_end,"&gt;"&amp;0)=0,"",IF(COUNTIFS(m_teacher,BB$4,m_date,($G$2+23),m_active,1,m_start,"&lt;"&amp;600,m_end,"&gt;"&amp;0)&gt;1,"충돌",HYPERLINK("#'관리자_MASTER'!D"&amp;_xlfn.MAXIFS(m_row,m_teacher,BB$4,m_date,($G$2+23),m_active,1,m_start,"&lt;"&amp;600,m_end,"&gt;"&amp;0),INDEX(m_label,_xlfn.MAXIFS(m_row,m_teacher,BB$4,m_date,($G$2+23),m_active,1,m_start,"&lt;"&amp;600,m_end,"&gt;"&amp;0))))))</f>
        <v/>
      </c>
      <c r="BC27" s="80" t="str">
        <f aca="false">IF(OR(BC$4="",MONTH(($G$2+23))&lt;&gt;MONTH($C$2)),"",IF(COUNTIFS(m_teacher,BC$4,m_date,($G$2+23),m_active,1,m_start,"&lt;"&amp;600,m_end,"&gt;"&amp;0)=0,"",IF(COUNTIFS(m_teacher,BC$4,m_date,($G$2+23),m_active,1,m_start,"&lt;"&amp;600,m_end,"&gt;"&amp;0)&gt;1,"충돌",HYPERLINK("#'관리자_MASTER'!D"&amp;_xlfn.MAXIFS(m_row,m_teacher,BC$4,m_date,($G$2+23),m_active,1,m_start,"&lt;"&amp;600,m_end,"&gt;"&amp;0),INDEX(m_label,_xlfn.MAXIFS(m_row,m_teacher,BC$4,m_date,($G$2+23),m_active,1,m_start,"&lt;"&amp;600,m_end,"&gt;"&amp;0))))))</f>
        <v/>
      </c>
      <c r="BD27" s="80" t="str">
        <f aca="false">IF(OR(BD$4="",MONTH(($G$2+23))&lt;&gt;MONTH($C$2)),"",IF(COUNTIFS(m_teacher,BD$4,m_date,($G$2+23),m_active,1,m_start,"&lt;"&amp;600,m_end,"&gt;"&amp;0)=0,"",IF(COUNTIFS(m_teacher,BD$4,m_date,($G$2+23),m_active,1,m_start,"&lt;"&amp;600,m_end,"&gt;"&amp;0)&gt;1,"충돌",HYPERLINK("#'관리자_MASTER'!D"&amp;_xlfn.MAXIFS(m_row,m_teacher,BD$4,m_date,($G$2+23),m_active,1,m_start,"&lt;"&amp;600,m_end,"&gt;"&amp;0),INDEX(m_label,_xlfn.MAXIFS(m_row,m_teacher,BD$4,m_date,($G$2+23),m_active,1,m_start,"&lt;"&amp;600,m_end,"&gt;"&amp;0))))))</f>
        <v/>
      </c>
      <c r="BE27" s="78" t="str">
        <f aca="false">IF(MONTH(($G$2+30))&lt;&gt;MONTH($C$2),"",CHOOSE(WEEKDAY(($G$2+30),2),"월","화","수","목","금","토","일")&amp;CHAR(10)&amp;TEXT(($G$2+30),"m/d"))</f>
        <v>수
1/27</v>
      </c>
      <c r="BF27" s="79" t="s">
        <v>91</v>
      </c>
      <c r="BG27" s="80" t="str">
        <f aca="false">IF(OR(BG$4="",MONTH(($G$2+30))&lt;&gt;MONTH($C$2)),"",IF(COUNTIFS(m_teacher,BG$4,m_date,($G$2+30),m_active,1,m_start,"&lt;"&amp;600,m_end,"&gt;"&amp;0)=0,"",IF(COUNTIFS(m_teacher,BG$4,m_date,($G$2+30),m_active,1,m_start,"&lt;"&amp;600,m_end,"&gt;"&amp;0)&gt;1,"충돌",HYPERLINK("#'관리자_MASTER'!D"&amp;_xlfn.MAXIFS(m_row,m_teacher,BG$4,m_date,($G$2+30),m_active,1,m_start,"&lt;"&amp;600,m_end,"&gt;"&amp;0),INDEX(m_label,_xlfn.MAXIFS(m_row,m_teacher,BG$4,m_date,($G$2+30),m_active,1,m_start,"&lt;"&amp;600,m_end,"&gt;"&amp;0))))))</f>
        <v/>
      </c>
      <c r="BH27" s="80" t="str">
        <f aca="false">IF(OR(BH$4="",MONTH(($G$2+30))&lt;&gt;MONTH($C$2)),"",IF(COUNTIFS(m_teacher,BH$4,m_date,($G$2+30),m_active,1,m_start,"&lt;"&amp;600,m_end,"&gt;"&amp;0)=0,"",IF(COUNTIFS(m_teacher,BH$4,m_date,($G$2+30),m_active,1,m_start,"&lt;"&amp;600,m_end,"&gt;"&amp;0)&gt;1,"충돌",HYPERLINK("#'관리자_MASTER'!D"&amp;_xlfn.MAXIFS(m_row,m_teacher,BH$4,m_date,($G$2+30),m_active,1,m_start,"&lt;"&amp;600,m_end,"&gt;"&amp;0),INDEX(m_label,_xlfn.MAXIFS(m_row,m_teacher,BH$4,m_date,($G$2+30),m_active,1,m_start,"&lt;"&amp;600,m_end,"&gt;"&amp;0))))))</f>
        <v/>
      </c>
      <c r="BI27" s="80" t="str">
        <f aca="false">IF(OR(BI$4="",MONTH(($G$2+30))&lt;&gt;MONTH($C$2)),"",IF(COUNTIFS(m_teacher,BI$4,m_date,($G$2+30),m_active,1,m_start,"&lt;"&amp;600,m_end,"&gt;"&amp;0)=0,"",IF(COUNTIFS(m_teacher,BI$4,m_date,($G$2+30),m_active,1,m_start,"&lt;"&amp;600,m_end,"&gt;"&amp;0)&gt;1,"충돌",HYPERLINK("#'관리자_MASTER'!D"&amp;_xlfn.MAXIFS(m_row,m_teacher,BI$4,m_date,($G$2+30),m_active,1,m_start,"&lt;"&amp;600,m_end,"&gt;"&amp;0),INDEX(m_label,_xlfn.MAXIFS(m_row,m_teacher,BI$4,m_date,($G$2+30),m_active,1,m_start,"&lt;"&amp;600,m_end,"&gt;"&amp;0))))))</f>
        <v/>
      </c>
      <c r="BJ27" s="80" t="str">
        <f aca="false">IF(OR(BJ$4="",MONTH(($G$2+30))&lt;&gt;MONTH($C$2)),"",IF(COUNTIFS(m_teacher,BJ$4,m_date,($G$2+30),m_active,1,m_start,"&lt;"&amp;600,m_end,"&gt;"&amp;0)=0,"",IF(COUNTIFS(m_teacher,BJ$4,m_date,($G$2+30),m_active,1,m_start,"&lt;"&amp;600,m_end,"&gt;"&amp;0)&gt;1,"충돌",HYPERLINK("#'관리자_MASTER'!D"&amp;_xlfn.MAXIFS(m_row,m_teacher,BJ$4,m_date,($G$2+30),m_active,1,m_start,"&lt;"&amp;600,m_end,"&gt;"&amp;0),INDEX(m_label,_xlfn.MAXIFS(m_row,m_teacher,BJ$4,m_date,($G$2+30),m_active,1,m_start,"&lt;"&amp;600,m_end,"&gt;"&amp;0))))))</f>
        <v/>
      </c>
      <c r="BK27" s="80" t="str">
        <f aca="false">IF(OR(BK$4="",MONTH(($G$2+30))&lt;&gt;MONTH($C$2)),"",IF(COUNTIFS(m_teacher,BK$4,m_date,($G$2+30),m_active,1,m_start,"&lt;"&amp;600,m_end,"&gt;"&amp;0)=0,"",IF(COUNTIFS(m_teacher,BK$4,m_date,($G$2+30),m_active,1,m_start,"&lt;"&amp;600,m_end,"&gt;"&amp;0)&gt;1,"충돌",HYPERLINK("#'관리자_MASTER'!D"&amp;_xlfn.MAXIFS(m_row,m_teacher,BK$4,m_date,($G$2+30),m_active,1,m_start,"&lt;"&amp;600,m_end,"&gt;"&amp;0),INDEX(m_label,_xlfn.MAXIFS(m_row,m_teacher,BK$4,m_date,($G$2+30),m_active,1,m_start,"&lt;"&amp;600,m_end,"&gt;"&amp;0))))))</f>
        <v/>
      </c>
      <c r="BL27" s="80" t="str">
        <f aca="false">IF(OR(BL$4="",MONTH(($G$2+30))&lt;&gt;MONTH($C$2)),"",IF(COUNTIFS(m_teacher,BL$4,m_date,($G$2+30),m_active,1,m_start,"&lt;"&amp;600,m_end,"&gt;"&amp;0)=0,"",IF(COUNTIFS(m_teacher,BL$4,m_date,($G$2+30),m_active,1,m_start,"&lt;"&amp;600,m_end,"&gt;"&amp;0)&gt;1,"충돌",HYPERLINK("#'관리자_MASTER'!D"&amp;_xlfn.MAXIFS(m_row,m_teacher,BL$4,m_date,($G$2+30),m_active,1,m_start,"&lt;"&amp;600,m_end,"&gt;"&amp;0),INDEX(m_label,_xlfn.MAXIFS(m_row,m_teacher,BL$4,m_date,($G$2+30),m_active,1,m_start,"&lt;"&amp;600,m_end,"&gt;"&amp;0))))))</f>
        <v/>
      </c>
      <c r="BM27" s="80" t="str">
        <f aca="false">IF(OR(BM$4="",MONTH(($G$2+30))&lt;&gt;MONTH($C$2)),"",IF(COUNTIFS(m_teacher,BM$4,m_date,($G$2+30),m_active,1,m_start,"&lt;"&amp;600,m_end,"&gt;"&amp;0)=0,"",IF(COUNTIFS(m_teacher,BM$4,m_date,($G$2+30),m_active,1,m_start,"&lt;"&amp;600,m_end,"&gt;"&amp;0)&gt;1,"충돌",HYPERLINK("#'관리자_MASTER'!D"&amp;_xlfn.MAXIFS(m_row,m_teacher,BM$4,m_date,($G$2+30),m_active,1,m_start,"&lt;"&amp;600,m_end,"&gt;"&amp;0),INDEX(m_label,_xlfn.MAXIFS(m_row,m_teacher,BM$4,m_date,($G$2+30),m_active,1,m_start,"&lt;"&amp;600,m_end,"&gt;"&amp;0))))))</f>
        <v/>
      </c>
      <c r="BN27" s="80" t="str">
        <f aca="false">IF(OR(BN$4="",MONTH(($G$2+30))&lt;&gt;MONTH($C$2)),"",IF(COUNTIFS(m_teacher,BN$4,m_date,($G$2+30),m_active,1,m_start,"&lt;"&amp;600,m_end,"&gt;"&amp;0)=0,"",IF(COUNTIFS(m_teacher,BN$4,m_date,($G$2+30),m_active,1,m_start,"&lt;"&amp;600,m_end,"&gt;"&amp;0)&gt;1,"충돌",HYPERLINK("#'관리자_MASTER'!D"&amp;_xlfn.MAXIFS(m_row,m_teacher,BN$4,m_date,($G$2+30),m_active,1,m_start,"&lt;"&amp;600,m_end,"&gt;"&amp;0),INDEX(m_label,_xlfn.MAXIFS(m_row,m_teacher,BN$4,m_date,($G$2+30),m_active,1,m_start,"&lt;"&amp;600,m_end,"&gt;"&amp;0))))))</f>
        <v/>
      </c>
      <c r="BO27" s="80" t="str">
        <f aca="false">IF(OR(BO$4="",MONTH(($G$2+30))&lt;&gt;MONTH($C$2)),"",IF(COUNTIFS(m_teacher,BO$4,m_date,($G$2+30),m_active,1,m_start,"&lt;"&amp;600,m_end,"&gt;"&amp;0)=0,"",IF(COUNTIFS(m_teacher,BO$4,m_date,($G$2+30),m_active,1,m_start,"&lt;"&amp;600,m_end,"&gt;"&amp;0)&gt;1,"충돌",HYPERLINK("#'관리자_MASTER'!D"&amp;_xlfn.MAXIFS(m_row,m_teacher,BO$4,m_date,($G$2+30),m_active,1,m_start,"&lt;"&amp;600,m_end,"&gt;"&amp;0),INDEX(m_label,_xlfn.MAXIFS(m_row,m_teacher,BO$4,m_date,($G$2+30),m_active,1,m_start,"&lt;"&amp;600,m_end,"&gt;"&amp;0))))))</f>
        <v/>
      </c>
      <c r="BP27" s="80" t="str">
        <f aca="false">IF(OR(BP$4="",MONTH(($G$2+30))&lt;&gt;MONTH($C$2)),"",IF(COUNTIFS(m_teacher,BP$4,m_date,($G$2+30),m_active,1,m_start,"&lt;"&amp;600,m_end,"&gt;"&amp;0)=0,"",IF(COUNTIFS(m_teacher,BP$4,m_date,($G$2+30),m_active,1,m_start,"&lt;"&amp;600,m_end,"&gt;"&amp;0)&gt;1,"충돌",HYPERLINK("#'관리자_MASTER'!D"&amp;_xlfn.MAXIFS(m_row,m_teacher,BP$4,m_date,($G$2+30),m_active,1,m_start,"&lt;"&amp;600,m_end,"&gt;"&amp;0),INDEX(m_label,_xlfn.MAXIFS(m_row,m_teacher,BP$4,m_date,($G$2+30),m_active,1,m_start,"&lt;"&amp;600,m_end,"&gt;"&amp;0))))))</f>
        <v/>
      </c>
      <c r="BQ27" s="80" t="str">
        <f aca="false">IF(OR(BQ$4="",MONTH(($G$2+30))&lt;&gt;MONTH($C$2)),"",IF(COUNTIFS(m_teacher,BQ$4,m_date,($G$2+30),m_active,1,m_start,"&lt;"&amp;600,m_end,"&gt;"&amp;0)=0,"",IF(COUNTIFS(m_teacher,BQ$4,m_date,($G$2+30),m_active,1,m_start,"&lt;"&amp;600,m_end,"&gt;"&amp;0)&gt;1,"충돌",HYPERLINK("#'관리자_MASTER'!D"&amp;_xlfn.MAXIFS(m_row,m_teacher,BQ$4,m_date,($G$2+30),m_active,1,m_start,"&lt;"&amp;600,m_end,"&gt;"&amp;0),INDEX(m_label,_xlfn.MAXIFS(m_row,m_teacher,BQ$4,m_date,($G$2+30),m_active,1,m_start,"&lt;"&amp;600,m_end,"&gt;"&amp;0))))))</f>
        <v/>
      </c>
      <c r="BR27" s="80" t="str">
        <f aca="false">IF(OR(BR$4="",MONTH(($G$2+30))&lt;&gt;MONTH($C$2)),"",IF(COUNTIFS(m_teacher,BR$4,m_date,($G$2+30),m_active,1,m_start,"&lt;"&amp;600,m_end,"&gt;"&amp;0)=0,"",IF(COUNTIFS(m_teacher,BR$4,m_date,($G$2+30),m_active,1,m_start,"&lt;"&amp;600,m_end,"&gt;"&amp;0)&gt;1,"충돌",HYPERLINK("#'관리자_MASTER'!D"&amp;_xlfn.MAXIFS(m_row,m_teacher,BR$4,m_date,($G$2+30),m_active,1,m_start,"&lt;"&amp;600,m_end,"&gt;"&amp;0),INDEX(m_label,_xlfn.MAXIFS(m_row,m_teacher,BR$4,m_date,($G$2+30),m_active,1,m_start,"&lt;"&amp;600,m_end,"&gt;"&amp;0))))))</f>
        <v/>
      </c>
    </row>
    <row r="28" customFormat="false" ht="19.5" hidden="false" customHeight="true" outlineLevel="0" collapsed="false">
      <c r="A28" s="75"/>
      <c r="B28" s="76" t="s">
        <v>92</v>
      </c>
      <c r="C28" s="81" t="str">
        <f aca="false">IF(OR(C$4="",MONTH(($G$2+2))&lt;&gt;MONTH($C$2)),"",IF(COUNTIFS(m_teacher,C$4,m_date,($G$2+2),m_active,1,m_start,"&lt;"&amp;660,m_end,"&gt;"&amp;600)=0,"",IF(COUNTIFS(m_teacher,C$4,m_date,($G$2+2),m_active,1,m_start,"&lt;"&amp;660,m_end,"&gt;"&amp;600)&gt;1,"충돌",HYPERLINK("#'관리자_MASTER'!D"&amp;_xlfn.MAXIFS(m_row,m_teacher,C$4,m_date,($G$2+2),m_active,1,m_start,"&lt;"&amp;660,m_end,"&gt;"&amp;600),INDEX(m_label,_xlfn.MAXIFS(m_row,m_teacher,C$4,m_date,($G$2+2),m_active,1,m_start,"&lt;"&amp;660,m_end,"&gt;"&amp;600))))))</f>
        <v/>
      </c>
      <c r="D28" s="81" t="str">
        <f aca="false">IF(OR(D$4="",MONTH(($G$2+2))&lt;&gt;MONTH($C$2)),"",IF(COUNTIFS(m_teacher,D$4,m_date,($G$2+2),m_active,1,m_start,"&lt;"&amp;660,m_end,"&gt;"&amp;600)=0,"",IF(COUNTIFS(m_teacher,D$4,m_date,($G$2+2),m_active,1,m_start,"&lt;"&amp;660,m_end,"&gt;"&amp;600)&gt;1,"충돌",HYPERLINK("#'관리자_MASTER'!D"&amp;_xlfn.MAXIFS(m_row,m_teacher,D$4,m_date,($G$2+2),m_active,1,m_start,"&lt;"&amp;660,m_end,"&gt;"&amp;600),INDEX(m_label,_xlfn.MAXIFS(m_row,m_teacher,D$4,m_date,($G$2+2),m_active,1,m_start,"&lt;"&amp;660,m_end,"&gt;"&amp;600))))))</f>
        <v/>
      </c>
      <c r="E28" s="81" t="str">
        <f aca="false">IF(OR(E$4="",MONTH(($G$2+2))&lt;&gt;MONTH($C$2)),"",IF(COUNTIFS(m_teacher,E$4,m_date,($G$2+2),m_active,1,m_start,"&lt;"&amp;660,m_end,"&gt;"&amp;600)=0,"",IF(COUNTIFS(m_teacher,E$4,m_date,($G$2+2),m_active,1,m_start,"&lt;"&amp;660,m_end,"&gt;"&amp;600)&gt;1,"충돌",HYPERLINK("#'관리자_MASTER'!D"&amp;_xlfn.MAXIFS(m_row,m_teacher,E$4,m_date,($G$2+2),m_active,1,m_start,"&lt;"&amp;660,m_end,"&gt;"&amp;600),INDEX(m_label,_xlfn.MAXIFS(m_row,m_teacher,E$4,m_date,($G$2+2),m_active,1,m_start,"&lt;"&amp;660,m_end,"&gt;"&amp;600))))))</f>
        <v/>
      </c>
      <c r="F28" s="81" t="str">
        <f aca="false">IF(OR(F$4="",MONTH(($G$2+2))&lt;&gt;MONTH($C$2)),"",IF(COUNTIFS(m_teacher,F$4,m_date,($G$2+2),m_active,1,m_start,"&lt;"&amp;660,m_end,"&gt;"&amp;600)=0,"",IF(COUNTIFS(m_teacher,F$4,m_date,($G$2+2),m_active,1,m_start,"&lt;"&amp;660,m_end,"&gt;"&amp;600)&gt;1,"충돌",HYPERLINK("#'관리자_MASTER'!D"&amp;_xlfn.MAXIFS(m_row,m_teacher,F$4,m_date,($G$2+2),m_active,1,m_start,"&lt;"&amp;660,m_end,"&gt;"&amp;600),INDEX(m_label,_xlfn.MAXIFS(m_row,m_teacher,F$4,m_date,($G$2+2),m_active,1,m_start,"&lt;"&amp;660,m_end,"&gt;"&amp;600))))))</f>
        <v/>
      </c>
      <c r="G28" s="81" t="str">
        <f aca="false">IF(OR(G$4="",MONTH(($G$2+2))&lt;&gt;MONTH($C$2)),"",IF(COUNTIFS(m_teacher,G$4,m_date,($G$2+2),m_active,1,m_start,"&lt;"&amp;660,m_end,"&gt;"&amp;600)=0,"",IF(COUNTIFS(m_teacher,G$4,m_date,($G$2+2),m_active,1,m_start,"&lt;"&amp;660,m_end,"&gt;"&amp;600)&gt;1,"충돌",HYPERLINK("#'관리자_MASTER'!D"&amp;_xlfn.MAXIFS(m_row,m_teacher,G$4,m_date,($G$2+2),m_active,1,m_start,"&lt;"&amp;660,m_end,"&gt;"&amp;600),INDEX(m_label,_xlfn.MAXIFS(m_row,m_teacher,G$4,m_date,($G$2+2),m_active,1,m_start,"&lt;"&amp;660,m_end,"&gt;"&amp;600))))))</f>
        <v/>
      </c>
      <c r="H28" s="81" t="str">
        <f aca="false">IF(OR(H$4="",MONTH(($G$2+2))&lt;&gt;MONTH($C$2)),"",IF(COUNTIFS(m_teacher,H$4,m_date,($G$2+2),m_active,1,m_start,"&lt;"&amp;660,m_end,"&gt;"&amp;600)=0,"",IF(COUNTIFS(m_teacher,H$4,m_date,($G$2+2),m_active,1,m_start,"&lt;"&amp;660,m_end,"&gt;"&amp;600)&gt;1,"충돌",HYPERLINK("#'관리자_MASTER'!D"&amp;_xlfn.MAXIFS(m_row,m_teacher,H$4,m_date,($G$2+2),m_active,1,m_start,"&lt;"&amp;660,m_end,"&gt;"&amp;600),INDEX(m_label,_xlfn.MAXIFS(m_row,m_teacher,H$4,m_date,($G$2+2),m_active,1,m_start,"&lt;"&amp;660,m_end,"&gt;"&amp;600))))))</f>
        <v/>
      </c>
      <c r="I28" s="81" t="str">
        <f aca="false">IF(OR(I$4="",MONTH(($G$2+2))&lt;&gt;MONTH($C$2)),"",IF(COUNTIFS(m_teacher,I$4,m_date,($G$2+2),m_active,1,m_start,"&lt;"&amp;660,m_end,"&gt;"&amp;600)=0,"",IF(COUNTIFS(m_teacher,I$4,m_date,($G$2+2),m_active,1,m_start,"&lt;"&amp;660,m_end,"&gt;"&amp;600)&gt;1,"충돌",HYPERLINK("#'관리자_MASTER'!D"&amp;_xlfn.MAXIFS(m_row,m_teacher,I$4,m_date,($G$2+2),m_active,1,m_start,"&lt;"&amp;660,m_end,"&gt;"&amp;600),INDEX(m_label,_xlfn.MAXIFS(m_row,m_teacher,I$4,m_date,($G$2+2),m_active,1,m_start,"&lt;"&amp;660,m_end,"&gt;"&amp;600))))))</f>
        <v/>
      </c>
      <c r="J28" s="81" t="str">
        <f aca="false">IF(OR(J$4="",MONTH(($G$2+2))&lt;&gt;MONTH($C$2)),"",IF(COUNTIFS(m_teacher,J$4,m_date,($G$2+2),m_active,1,m_start,"&lt;"&amp;660,m_end,"&gt;"&amp;600)=0,"",IF(COUNTIFS(m_teacher,J$4,m_date,($G$2+2),m_active,1,m_start,"&lt;"&amp;660,m_end,"&gt;"&amp;600)&gt;1,"충돌",HYPERLINK("#'관리자_MASTER'!D"&amp;_xlfn.MAXIFS(m_row,m_teacher,J$4,m_date,($G$2+2),m_active,1,m_start,"&lt;"&amp;660,m_end,"&gt;"&amp;600),INDEX(m_label,_xlfn.MAXIFS(m_row,m_teacher,J$4,m_date,($G$2+2),m_active,1,m_start,"&lt;"&amp;660,m_end,"&gt;"&amp;600))))))</f>
        <v/>
      </c>
      <c r="K28" s="81" t="str">
        <f aca="false">IF(OR(K$4="",MONTH(($G$2+2))&lt;&gt;MONTH($C$2)),"",IF(COUNTIFS(m_teacher,K$4,m_date,($G$2+2),m_active,1,m_start,"&lt;"&amp;660,m_end,"&gt;"&amp;600)=0,"",IF(COUNTIFS(m_teacher,K$4,m_date,($G$2+2),m_active,1,m_start,"&lt;"&amp;660,m_end,"&gt;"&amp;600)&gt;1,"충돌",HYPERLINK("#'관리자_MASTER'!D"&amp;_xlfn.MAXIFS(m_row,m_teacher,K$4,m_date,($G$2+2),m_active,1,m_start,"&lt;"&amp;660,m_end,"&gt;"&amp;600),INDEX(m_label,_xlfn.MAXIFS(m_row,m_teacher,K$4,m_date,($G$2+2),m_active,1,m_start,"&lt;"&amp;660,m_end,"&gt;"&amp;600))))))</f>
        <v/>
      </c>
      <c r="L28" s="81" t="str">
        <f aca="false">IF(OR(L$4="",MONTH(($G$2+2))&lt;&gt;MONTH($C$2)),"",IF(COUNTIFS(m_teacher,L$4,m_date,($G$2+2),m_active,1,m_start,"&lt;"&amp;660,m_end,"&gt;"&amp;600)=0,"",IF(COUNTIFS(m_teacher,L$4,m_date,($G$2+2),m_active,1,m_start,"&lt;"&amp;660,m_end,"&gt;"&amp;600)&gt;1,"충돌",HYPERLINK("#'관리자_MASTER'!D"&amp;_xlfn.MAXIFS(m_row,m_teacher,L$4,m_date,($G$2+2),m_active,1,m_start,"&lt;"&amp;660,m_end,"&gt;"&amp;600),INDEX(m_label,_xlfn.MAXIFS(m_row,m_teacher,L$4,m_date,($G$2+2),m_active,1,m_start,"&lt;"&amp;660,m_end,"&gt;"&amp;600))))))</f>
        <v/>
      </c>
      <c r="M28" s="81" t="str">
        <f aca="false">IF(OR(M$4="",MONTH(($G$2+2))&lt;&gt;MONTH($C$2)),"",IF(COUNTIFS(m_teacher,M$4,m_date,($G$2+2),m_active,1,m_start,"&lt;"&amp;660,m_end,"&gt;"&amp;600)=0,"",IF(COUNTIFS(m_teacher,M$4,m_date,($G$2+2),m_active,1,m_start,"&lt;"&amp;660,m_end,"&gt;"&amp;600)&gt;1,"충돌",HYPERLINK("#'관리자_MASTER'!D"&amp;_xlfn.MAXIFS(m_row,m_teacher,M$4,m_date,($G$2+2),m_active,1,m_start,"&lt;"&amp;660,m_end,"&gt;"&amp;600),INDEX(m_label,_xlfn.MAXIFS(m_row,m_teacher,M$4,m_date,($G$2+2),m_active,1,m_start,"&lt;"&amp;660,m_end,"&gt;"&amp;600))))))</f>
        <v/>
      </c>
      <c r="N28" s="81" t="str">
        <f aca="false">IF(OR(N$4="",MONTH(($G$2+2))&lt;&gt;MONTH($C$2)),"",IF(COUNTIFS(m_teacher,N$4,m_date,($G$2+2),m_active,1,m_start,"&lt;"&amp;660,m_end,"&gt;"&amp;600)=0,"",IF(COUNTIFS(m_teacher,N$4,m_date,($G$2+2),m_active,1,m_start,"&lt;"&amp;660,m_end,"&gt;"&amp;600)&gt;1,"충돌",HYPERLINK("#'관리자_MASTER'!D"&amp;_xlfn.MAXIFS(m_row,m_teacher,N$4,m_date,($G$2+2),m_active,1,m_start,"&lt;"&amp;660,m_end,"&gt;"&amp;600),INDEX(m_label,_xlfn.MAXIFS(m_row,m_teacher,N$4,m_date,($G$2+2),m_active,1,m_start,"&lt;"&amp;660,m_end,"&gt;"&amp;600))))))</f>
        <v/>
      </c>
      <c r="O28" s="78"/>
      <c r="P28" s="79" t="s">
        <v>92</v>
      </c>
      <c r="Q28" s="82" t="str">
        <f aca="false">IF(OR(Q$4="",MONTH(($G$2+9))&lt;&gt;MONTH($C$2)),"",IF(COUNTIFS(m_teacher,Q$4,m_date,($G$2+9),m_active,1,m_start,"&lt;"&amp;660,m_end,"&gt;"&amp;600)=0,"",IF(COUNTIFS(m_teacher,Q$4,m_date,($G$2+9),m_active,1,m_start,"&lt;"&amp;660,m_end,"&gt;"&amp;600)&gt;1,"충돌",HYPERLINK("#'관리자_MASTER'!D"&amp;_xlfn.MAXIFS(m_row,m_teacher,Q$4,m_date,($G$2+9),m_active,1,m_start,"&lt;"&amp;660,m_end,"&gt;"&amp;600),INDEX(m_label,_xlfn.MAXIFS(m_row,m_teacher,Q$4,m_date,($G$2+9),m_active,1,m_start,"&lt;"&amp;660,m_end,"&gt;"&amp;600))))))</f>
        <v/>
      </c>
      <c r="R28" s="82" t="str">
        <f aca="false">IF(OR(R$4="",MONTH(($G$2+9))&lt;&gt;MONTH($C$2)),"",IF(COUNTIFS(m_teacher,R$4,m_date,($G$2+9),m_active,1,m_start,"&lt;"&amp;660,m_end,"&gt;"&amp;600)=0,"",IF(COUNTIFS(m_teacher,R$4,m_date,($G$2+9),m_active,1,m_start,"&lt;"&amp;660,m_end,"&gt;"&amp;600)&gt;1,"충돌",HYPERLINK("#'관리자_MASTER'!D"&amp;_xlfn.MAXIFS(m_row,m_teacher,R$4,m_date,($G$2+9),m_active,1,m_start,"&lt;"&amp;660,m_end,"&gt;"&amp;600),INDEX(m_label,_xlfn.MAXIFS(m_row,m_teacher,R$4,m_date,($G$2+9),m_active,1,m_start,"&lt;"&amp;660,m_end,"&gt;"&amp;600))))))</f>
        <v/>
      </c>
      <c r="S28" s="82" t="str">
        <f aca="false">IF(OR(S$4="",MONTH(($G$2+9))&lt;&gt;MONTH($C$2)),"",IF(COUNTIFS(m_teacher,S$4,m_date,($G$2+9),m_active,1,m_start,"&lt;"&amp;660,m_end,"&gt;"&amp;600)=0,"",IF(COUNTIFS(m_teacher,S$4,m_date,($G$2+9),m_active,1,m_start,"&lt;"&amp;660,m_end,"&gt;"&amp;600)&gt;1,"충돌",HYPERLINK("#'관리자_MASTER'!D"&amp;_xlfn.MAXIFS(m_row,m_teacher,S$4,m_date,($G$2+9),m_active,1,m_start,"&lt;"&amp;660,m_end,"&gt;"&amp;600),INDEX(m_label,_xlfn.MAXIFS(m_row,m_teacher,S$4,m_date,($G$2+9),m_active,1,m_start,"&lt;"&amp;660,m_end,"&gt;"&amp;600))))))</f>
        <v/>
      </c>
      <c r="T28" s="82" t="str">
        <f aca="false">IF(OR(T$4="",MONTH(($G$2+9))&lt;&gt;MONTH($C$2)),"",IF(COUNTIFS(m_teacher,T$4,m_date,($G$2+9),m_active,1,m_start,"&lt;"&amp;660,m_end,"&gt;"&amp;600)=0,"",IF(COUNTIFS(m_teacher,T$4,m_date,($G$2+9),m_active,1,m_start,"&lt;"&amp;660,m_end,"&gt;"&amp;600)&gt;1,"충돌",HYPERLINK("#'관리자_MASTER'!D"&amp;_xlfn.MAXIFS(m_row,m_teacher,T$4,m_date,($G$2+9),m_active,1,m_start,"&lt;"&amp;660,m_end,"&gt;"&amp;600),INDEX(m_label,_xlfn.MAXIFS(m_row,m_teacher,T$4,m_date,($G$2+9),m_active,1,m_start,"&lt;"&amp;660,m_end,"&gt;"&amp;600))))))</f>
        <v/>
      </c>
      <c r="U28" s="82" t="str">
        <f aca="false">IF(OR(U$4="",MONTH(($G$2+9))&lt;&gt;MONTH($C$2)),"",IF(COUNTIFS(m_teacher,U$4,m_date,($G$2+9),m_active,1,m_start,"&lt;"&amp;660,m_end,"&gt;"&amp;600)=0,"",IF(COUNTIFS(m_teacher,U$4,m_date,($G$2+9),m_active,1,m_start,"&lt;"&amp;660,m_end,"&gt;"&amp;600)&gt;1,"충돌",HYPERLINK("#'관리자_MASTER'!D"&amp;_xlfn.MAXIFS(m_row,m_teacher,U$4,m_date,($G$2+9),m_active,1,m_start,"&lt;"&amp;660,m_end,"&gt;"&amp;600),INDEX(m_label,_xlfn.MAXIFS(m_row,m_teacher,U$4,m_date,($G$2+9),m_active,1,m_start,"&lt;"&amp;660,m_end,"&gt;"&amp;600))))))</f>
        <v>김태준(10), 김명국(12)</v>
      </c>
      <c r="V28" s="82" t="str">
        <f aca="false">IF(OR(V$4="",MONTH(($G$2+9))&lt;&gt;MONTH($C$2)),"",IF(COUNTIFS(m_teacher,V$4,m_date,($G$2+9),m_active,1,m_start,"&lt;"&amp;660,m_end,"&gt;"&amp;600)=0,"",IF(COUNTIFS(m_teacher,V$4,m_date,($G$2+9),m_active,1,m_start,"&lt;"&amp;660,m_end,"&gt;"&amp;600)&gt;1,"충돌",HYPERLINK("#'관리자_MASTER'!D"&amp;_xlfn.MAXIFS(m_row,m_teacher,V$4,m_date,($G$2+9),m_active,1,m_start,"&lt;"&amp;660,m_end,"&gt;"&amp;600),INDEX(m_label,_xlfn.MAXIFS(m_row,m_teacher,V$4,m_date,($G$2+9),m_active,1,m_start,"&lt;"&amp;660,m_end,"&gt;"&amp;600))))))</f>
        <v/>
      </c>
      <c r="W28" s="82" t="str">
        <f aca="false">IF(OR(W$4="",MONTH(($G$2+9))&lt;&gt;MONTH($C$2)),"",IF(COUNTIFS(m_teacher,W$4,m_date,($G$2+9),m_active,1,m_start,"&lt;"&amp;660,m_end,"&gt;"&amp;600)=0,"",IF(COUNTIFS(m_teacher,W$4,m_date,($G$2+9),m_active,1,m_start,"&lt;"&amp;660,m_end,"&gt;"&amp;600)&gt;1,"충돌",HYPERLINK("#'관리자_MASTER'!D"&amp;_xlfn.MAXIFS(m_row,m_teacher,W$4,m_date,($G$2+9),m_active,1,m_start,"&lt;"&amp;660,m_end,"&gt;"&amp;600),INDEX(m_label,_xlfn.MAXIFS(m_row,m_teacher,W$4,m_date,($G$2+9),m_active,1,m_start,"&lt;"&amp;660,m_end,"&gt;"&amp;600))))))</f>
        <v/>
      </c>
      <c r="X28" s="82" t="str">
        <f aca="false">IF(OR(X$4="",MONTH(($G$2+9))&lt;&gt;MONTH($C$2)),"",IF(COUNTIFS(m_teacher,X$4,m_date,($G$2+9),m_active,1,m_start,"&lt;"&amp;660,m_end,"&gt;"&amp;600)=0,"",IF(COUNTIFS(m_teacher,X$4,m_date,($G$2+9),m_active,1,m_start,"&lt;"&amp;660,m_end,"&gt;"&amp;600)&gt;1,"충돌",HYPERLINK("#'관리자_MASTER'!D"&amp;_xlfn.MAXIFS(m_row,m_teacher,X$4,m_date,($G$2+9),m_active,1,m_start,"&lt;"&amp;660,m_end,"&gt;"&amp;600),INDEX(m_label,_xlfn.MAXIFS(m_row,m_teacher,X$4,m_date,($G$2+9),m_active,1,m_start,"&lt;"&amp;660,m_end,"&gt;"&amp;600))))))</f>
        <v/>
      </c>
      <c r="Y28" s="82" t="str">
        <f aca="false">IF(OR(Y$4="",MONTH(($G$2+9))&lt;&gt;MONTH($C$2)),"",IF(COUNTIFS(m_teacher,Y$4,m_date,($G$2+9),m_active,1,m_start,"&lt;"&amp;660,m_end,"&gt;"&amp;600)=0,"",IF(COUNTIFS(m_teacher,Y$4,m_date,($G$2+9),m_active,1,m_start,"&lt;"&amp;660,m_end,"&gt;"&amp;600)&gt;1,"충돌",HYPERLINK("#'관리자_MASTER'!D"&amp;_xlfn.MAXIFS(m_row,m_teacher,Y$4,m_date,($G$2+9),m_active,1,m_start,"&lt;"&amp;660,m_end,"&gt;"&amp;600),INDEX(m_label,_xlfn.MAXIFS(m_row,m_teacher,Y$4,m_date,($G$2+9),m_active,1,m_start,"&lt;"&amp;660,m_end,"&gt;"&amp;600))))))</f>
        <v/>
      </c>
      <c r="Z28" s="82" t="str">
        <f aca="false">IF(OR(Z$4="",MONTH(($G$2+9))&lt;&gt;MONTH($C$2)),"",IF(COUNTIFS(m_teacher,Z$4,m_date,($G$2+9),m_active,1,m_start,"&lt;"&amp;660,m_end,"&gt;"&amp;600)=0,"",IF(COUNTIFS(m_teacher,Z$4,m_date,($G$2+9),m_active,1,m_start,"&lt;"&amp;660,m_end,"&gt;"&amp;600)&gt;1,"충돌",HYPERLINK("#'관리자_MASTER'!D"&amp;_xlfn.MAXIFS(m_row,m_teacher,Z$4,m_date,($G$2+9),m_active,1,m_start,"&lt;"&amp;660,m_end,"&gt;"&amp;600),INDEX(m_label,_xlfn.MAXIFS(m_row,m_teacher,Z$4,m_date,($G$2+9),m_active,1,m_start,"&lt;"&amp;660,m_end,"&gt;"&amp;600))))))</f>
        <v/>
      </c>
      <c r="AA28" s="82" t="str">
        <f aca="false">IF(OR(AA$4="",MONTH(($G$2+9))&lt;&gt;MONTH($C$2)),"",IF(COUNTIFS(m_teacher,AA$4,m_date,($G$2+9),m_active,1,m_start,"&lt;"&amp;660,m_end,"&gt;"&amp;600)=0,"",IF(COUNTIFS(m_teacher,AA$4,m_date,($G$2+9),m_active,1,m_start,"&lt;"&amp;660,m_end,"&gt;"&amp;600)&gt;1,"충돌",HYPERLINK("#'관리자_MASTER'!D"&amp;_xlfn.MAXIFS(m_row,m_teacher,AA$4,m_date,($G$2+9),m_active,1,m_start,"&lt;"&amp;660,m_end,"&gt;"&amp;600),INDEX(m_label,_xlfn.MAXIFS(m_row,m_teacher,AA$4,m_date,($G$2+9),m_active,1,m_start,"&lt;"&amp;660,m_end,"&gt;"&amp;600))))))</f>
        <v/>
      </c>
      <c r="AB28" s="82" t="str">
        <f aca="false">IF(OR(AB$4="",MONTH(($G$2+9))&lt;&gt;MONTH($C$2)),"",IF(COUNTIFS(m_teacher,AB$4,m_date,($G$2+9),m_active,1,m_start,"&lt;"&amp;660,m_end,"&gt;"&amp;600)=0,"",IF(COUNTIFS(m_teacher,AB$4,m_date,($G$2+9),m_active,1,m_start,"&lt;"&amp;660,m_end,"&gt;"&amp;600)&gt;1,"충돌",HYPERLINK("#'관리자_MASTER'!D"&amp;_xlfn.MAXIFS(m_row,m_teacher,AB$4,m_date,($G$2+9),m_active,1,m_start,"&lt;"&amp;660,m_end,"&gt;"&amp;600),INDEX(m_label,_xlfn.MAXIFS(m_row,m_teacher,AB$4,m_date,($G$2+9),m_active,1,m_start,"&lt;"&amp;660,m_end,"&gt;"&amp;600))))))</f>
        <v/>
      </c>
      <c r="AC28" s="78"/>
      <c r="AD28" s="79" t="s">
        <v>92</v>
      </c>
      <c r="AE28" s="82" t="str">
        <f aca="false">IF(OR(AE$4="",MONTH(($G$2+16))&lt;&gt;MONTH($C$2)),"",IF(COUNTIFS(m_teacher,AE$4,m_date,($G$2+16),m_active,1,m_start,"&lt;"&amp;660,m_end,"&gt;"&amp;600)=0,"",IF(COUNTIFS(m_teacher,AE$4,m_date,($G$2+16),m_active,1,m_start,"&lt;"&amp;660,m_end,"&gt;"&amp;600)&gt;1,"충돌",HYPERLINK("#'관리자_MASTER'!D"&amp;_xlfn.MAXIFS(m_row,m_teacher,AE$4,m_date,($G$2+16),m_active,1,m_start,"&lt;"&amp;660,m_end,"&gt;"&amp;600),INDEX(m_label,_xlfn.MAXIFS(m_row,m_teacher,AE$4,m_date,($G$2+16),m_active,1,m_start,"&lt;"&amp;660,m_end,"&gt;"&amp;600))))))</f>
        <v/>
      </c>
      <c r="AF28" s="82" t="str">
        <f aca="false">IF(OR(AF$4="",MONTH(($G$2+16))&lt;&gt;MONTH($C$2)),"",IF(COUNTIFS(m_teacher,AF$4,m_date,($G$2+16),m_active,1,m_start,"&lt;"&amp;660,m_end,"&gt;"&amp;600)=0,"",IF(COUNTIFS(m_teacher,AF$4,m_date,($G$2+16),m_active,1,m_start,"&lt;"&amp;660,m_end,"&gt;"&amp;600)&gt;1,"충돌",HYPERLINK("#'관리자_MASTER'!D"&amp;_xlfn.MAXIFS(m_row,m_teacher,AF$4,m_date,($G$2+16),m_active,1,m_start,"&lt;"&amp;660,m_end,"&gt;"&amp;600),INDEX(m_label,_xlfn.MAXIFS(m_row,m_teacher,AF$4,m_date,($G$2+16),m_active,1,m_start,"&lt;"&amp;660,m_end,"&gt;"&amp;600))))))</f>
        <v/>
      </c>
      <c r="AG28" s="82" t="str">
        <f aca="false">IF(OR(AG$4="",MONTH(($G$2+16))&lt;&gt;MONTH($C$2)),"",IF(COUNTIFS(m_teacher,AG$4,m_date,($G$2+16),m_active,1,m_start,"&lt;"&amp;660,m_end,"&gt;"&amp;600)=0,"",IF(COUNTIFS(m_teacher,AG$4,m_date,($G$2+16),m_active,1,m_start,"&lt;"&amp;660,m_end,"&gt;"&amp;600)&gt;1,"충돌",HYPERLINK("#'관리자_MASTER'!D"&amp;_xlfn.MAXIFS(m_row,m_teacher,AG$4,m_date,($G$2+16),m_active,1,m_start,"&lt;"&amp;660,m_end,"&gt;"&amp;600),INDEX(m_label,_xlfn.MAXIFS(m_row,m_teacher,AG$4,m_date,($G$2+16),m_active,1,m_start,"&lt;"&amp;660,m_end,"&gt;"&amp;600))))))</f>
        <v/>
      </c>
      <c r="AH28" s="82" t="str">
        <f aca="false">IF(OR(AH$4="",MONTH(($G$2+16))&lt;&gt;MONTH($C$2)),"",IF(COUNTIFS(m_teacher,AH$4,m_date,($G$2+16),m_active,1,m_start,"&lt;"&amp;660,m_end,"&gt;"&amp;600)=0,"",IF(COUNTIFS(m_teacher,AH$4,m_date,($G$2+16),m_active,1,m_start,"&lt;"&amp;660,m_end,"&gt;"&amp;600)&gt;1,"충돌",HYPERLINK("#'관리자_MASTER'!D"&amp;_xlfn.MAXIFS(m_row,m_teacher,AH$4,m_date,($G$2+16),m_active,1,m_start,"&lt;"&amp;660,m_end,"&gt;"&amp;600),INDEX(m_label,_xlfn.MAXIFS(m_row,m_teacher,AH$4,m_date,($G$2+16),m_active,1,m_start,"&lt;"&amp;660,m_end,"&gt;"&amp;600))))))</f>
        <v/>
      </c>
      <c r="AI28" s="82" t="str">
        <f aca="false">IF(OR(AI$4="",MONTH(($G$2+16))&lt;&gt;MONTH($C$2)),"",IF(COUNTIFS(m_teacher,AI$4,m_date,($G$2+16),m_active,1,m_start,"&lt;"&amp;660,m_end,"&gt;"&amp;600)=0,"",IF(COUNTIFS(m_teacher,AI$4,m_date,($G$2+16),m_active,1,m_start,"&lt;"&amp;660,m_end,"&gt;"&amp;600)&gt;1,"충돌",HYPERLINK("#'관리자_MASTER'!D"&amp;_xlfn.MAXIFS(m_row,m_teacher,AI$4,m_date,($G$2+16),m_active,1,m_start,"&lt;"&amp;660,m_end,"&gt;"&amp;600),INDEX(m_label,_xlfn.MAXIFS(m_row,m_teacher,AI$4,m_date,($G$2+16),m_active,1,m_start,"&lt;"&amp;660,m_end,"&gt;"&amp;600))))))</f>
        <v/>
      </c>
      <c r="AJ28" s="82" t="str">
        <f aca="false">IF(OR(AJ$4="",MONTH(($G$2+16))&lt;&gt;MONTH($C$2)),"",IF(COUNTIFS(m_teacher,AJ$4,m_date,($G$2+16),m_active,1,m_start,"&lt;"&amp;660,m_end,"&gt;"&amp;600)=0,"",IF(COUNTIFS(m_teacher,AJ$4,m_date,($G$2+16),m_active,1,m_start,"&lt;"&amp;660,m_end,"&gt;"&amp;600)&gt;1,"충돌",HYPERLINK("#'관리자_MASTER'!D"&amp;_xlfn.MAXIFS(m_row,m_teacher,AJ$4,m_date,($G$2+16),m_active,1,m_start,"&lt;"&amp;660,m_end,"&gt;"&amp;600),INDEX(m_label,_xlfn.MAXIFS(m_row,m_teacher,AJ$4,m_date,($G$2+16),m_active,1,m_start,"&lt;"&amp;660,m_end,"&gt;"&amp;600))))))</f>
        <v/>
      </c>
      <c r="AK28" s="82" t="str">
        <f aca="false">IF(OR(AK$4="",MONTH(($G$2+16))&lt;&gt;MONTH($C$2)),"",IF(COUNTIFS(m_teacher,AK$4,m_date,($G$2+16),m_active,1,m_start,"&lt;"&amp;660,m_end,"&gt;"&amp;600)=0,"",IF(COUNTIFS(m_teacher,AK$4,m_date,($G$2+16),m_active,1,m_start,"&lt;"&amp;660,m_end,"&gt;"&amp;600)&gt;1,"충돌",HYPERLINK("#'관리자_MASTER'!D"&amp;_xlfn.MAXIFS(m_row,m_teacher,AK$4,m_date,($G$2+16),m_active,1,m_start,"&lt;"&amp;660,m_end,"&gt;"&amp;600),INDEX(m_label,_xlfn.MAXIFS(m_row,m_teacher,AK$4,m_date,($G$2+16),m_active,1,m_start,"&lt;"&amp;660,m_end,"&gt;"&amp;600))))))</f>
        <v/>
      </c>
      <c r="AL28" s="82" t="str">
        <f aca="false">IF(OR(AL$4="",MONTH(($G$2+16))&lt;&gt;MONTH($C$2)),"",IF(COUNTIFS(m_teacher,AL$4,m_date,($G$2+16),m_active,1,m_start,"&lt;"&amp;660,m_end,"&gt;"&amp;600)=0,"",IF(COUNTIFS(m_teacher,AL$4,m_date,($G$2+16),m_active,1,m_start,"&lt;"&amp;660,m_end,"&gt;"&amp;600)&gt;1,"충돌",HYPERLINK("#'관리자_MASTER'!D"&amp;_xlfn.MAXIFS(m_row,m_teacher,AL$4,m_date,($G$2+16),m_active,1,m_start,"&lt;"&amp;660,m_end,"&gt;"&amp;600),INDEX(m_label,_xlfn.MAXIFS(m_row,m_teacher,AL$4,m_date,($G$2+16),m_active,1,m_start,"&lt;"&amp;660,m_end,"&gt;"&amp;600))))))</f>
        <v/>
      </c>
      <c r="AM28" s="82" t="str">
        <f aca="false">IF(OR(AM$4="",MONTH(($G$2+16))&lt;&gt;MONTH($C$2)),"",IF(COUNTIFS(m_teacher,AM$4,m_date,($G$2+16),m_active,1,m_start,"&lt;"&amp;660,m_end,"&gt;"&amp;600)=0,"",IF(COUNTIFS(m_teacher,AM$4,m_date,($G$2+16),m_active,1,m_start,"&lt;"&amp;660,m_end,"&gt;"&amp;600)&gt;1,"충돌",HYPERLINK("#'관리자_MASTER'!D"&amp;_xlfn.MAXIFS(m_row,m_teacher,AM$4,m_date,($G$2+16),m_active,1,m_start,"&lt;"&amp;660,m_end,"&gt;"&amp;600),INDEX(m_label,_xlfn.MAXIFS(m_row,m_teacher,AM$4,m_date,($G$2+16),m_active,1,m_start,"&lt;"&amp;660,m_end,"&gt;"&amp;600))))))</f>
        <v/>
      </c>
      <c r="AN28" s="82" t="str">
        <f aca="false">IF(OR(AN$4="",MONTH(($G$2+16))&lt;&gt;MONTH($C$2)),"",IF(COUNTIFS(m_teacher,AN$4,m_date,($G$2+16),m_active,1,m_start,"&lt;"&amp;660,m_end,"&gt;"&amp;600)=0,"",IF(COUNTIFS(m_teacher,AN$4,m_date,($G$2+16),m_active,1,m_start,"&lt;"&amp;660,m_end,"&gt;"&amp;600)&gt;1,"충돌",HYPERLINK("#'관리자_MASTER'!D"&amp;_xlfn.MAXIFS(m_row,m_teacher,AN$4,m_date,($G$2+16),m_active,1,m_start,"&lt;"&amp;660,m_end,"&gt;"&amp;600),INDEX(m_label,_xlfn.MAXIFS(m_row,m_teacher,AN$4,m_date,($G$2+16),m_active,1,m_start,"&lt;"&amp;660,m_end,"&gt;"&amp;600))))))</f>
        <v/>
      </c>
      <c r="AO28" s="82" t="str">
        <f aca="false">IF(OR(AO$4="",MONTH(($G$2+16))&lt;&gt;MONTH($C$2)),"",IF(COUNTIFS(m_teacher,AO$4,m_date,($G$2+16),m_active,1,m_start,"&lt;"&amp;660,m_end,"&gt;"&amp;600)=0,"",IF(COUNTIFS(m_teacher,AO$4,m_date,($G$2+16),m_active,1,m_start,"&lt;"&amp;660,m_end,"&gt;"&amp;600)&gt;1,"충돌",HYPERLINK("#'관리자_MASTER'!D"&amp;_xlfn.MAXIFS(m_row,m_teacher,AO$4,m_date,($G$2+16),m_active,1,m_start,"&lt;"&amp;660,m_end,"&gt;"&amp;600),INDEX(m_label,_xlfn.MAXIFS(m_row,m_teacher,AO$4,m_date,($G$2+16),m_active,1,m_start,"&lt;"&amp;660,m_end,"&gt;"&amp;600))))))</f>
        <v/>
      </c>
      <c r="AP28" s="82" t="str">
        <f aca="false">IF(OR(AP$4="",MONTH(($G$2+16))&lt;&gt;MONTH($C$2)),"",IF(COUNTIFS(m_teacher,AP$4,m_date,($G$2+16),m_active,1,m_start,"&lt;"&amp;660,m_end,"&gt;"&amp;600)=0,"",IF(COUNTIFS(m_teacher,AP$4,m_date,($G$2+16),m_active,1,m_start,"&lt;"&amp;660,m_end,"&gt;"&amp;600)&gt;1,"충돌",HYPERLINK("#'관리자_MASTER'!D"&amp;_xlfn.MAXIFS(m_row,m_teacher,AP$4,m_date,($G$2+16),m_active,1,m_start,"&lt;"&amp;660,m_end,"&gt;"&amp;600),INDEX(m_label,_xlfn.MAXIFS(m_row,m_teacher,AP$4,m_date,($G$2+16),m_active,1,m_start,"&lt;"&amp;660,m_end,"&gt;"&amp;600))))))</f>
        <v/>
      </c>
      <c r="AQ28" s="78"/>
      <c r="AR28" s="79" t="s">
        <v>92</v>
      </c>
      <c r="AS28" s="82" t="str">
        <f aca="false">IF(OR(AS$4="",MONTH(($G$2+23))&lt;&gt;MONTH($C$2)),"",IF(COUNTIFS(m_teacher,AS$4,m_date,($G$2+23),m_active,1,m_start,"&lt;"&amp;660,m_end,"&gt;"&amp;600)=0,"",IF(COUNTIFS(m_teacher,AS$4,m_date,($G$2+23),m_active,1,m_start,"&lt;"&amp;660,m_end,"&gt;"&amp;600)&gt;1,"충돌",HYPERLINK("#'관리자_MASTER'!D"&amp;_xlfn.MAXIFS(m_row,m_teacher,AS$4,m_date,($G$2+23),m_active,1,m_start,"&lt;"&amp;660,m_end,"&gt;"&amp;600),INDEX(m_label,_xlfn.MAXIFS(m_row,m_teacher,AS$4,m_date,($G$2+23),m_active,1,m_start,"&lt;"&amp;660,m_end,"&gt;"&amp;600))))))</f>
        <v/>
      </c>
      <c r="AT28" s="82" t="str">
        <f aca="false">IF(OR(AT$4="",MONTH(($G$2+23))&lt;&gt;MONTH($C$2)),"",IF(COUNTIFS(m_teacher,AT$4,m_date,($G$2+23),m_active,1,m_start,"&lt;"&amp;660,m_end,"&gt;"&amp;600)=0,"",IF(COUNTIFS(m_teacher,AT$4,m_date,($G$2+23),m_active,1,m_start,"&lt;"&amp;660,m_end,"&gt;"&amp;600)&gt;1,"충돌",HYPERLINK("#'관리자_MASTER'!D"&amp;_xlfn.MAXIFS(m_row,m_teacher,AT$4,m_date,($G$2+23),m_active,1,m_start,"&lt;"&amp;660,m_end,"&gt;"&amp;600),INDEX(m_label,_xlfn.MAXIFS(m_row,m_teacher,AT$4,m_date,($G$2+23),m_active,1,m_start,"&lt;"&amp;660,m_end,"&gt;"&amp;600))))))</f>
        <v/>
      </c>
      <c r="AU28" s="82" t="str">
        <f aca="false">IF(OR(AU$4="",MONTH(($G$2+23))&lt;&gt;MONTH($C$2)),"",IF(COUNTIFS(m_teacher,AU$4,m_date,($G$2+23),m_active,1,m_start,"&lt;"&amp;660,m_end,"&gt;"&amp;600)=0,"",IF(COUNTIFS(m_teacher,AU$4,m_date,($G$2+23),m_active,1,m_start,"&lt;"&amp;660,m_end,"&gt;"&amp;600)&gt;1,"충돌",HYPERLINK("#'관리자_MASTER'!D"&amp;_xlfn.MAXIFS(m_row,m_teacher,AU$4,m_date,($G$2+23),m_active,1,m_start,"&lt;"&amp;660,m_end,"&gt;"&amp;600),INDEX(m_label,_xlfn.MAXIFS(m_row,m_teacher,AU$4,m_date,($G$2+23),m_active,1,m_start,"&lt;"&amp;660,m_end,"&gt;"&amp;600))))))</f>
        <v/>
      </c>
      <c r="AV28" s="82" t="str">
        <f aca="false">IF(OR(AV$4="",MONTH(($G$2+23))&lt;&gt;MONTH($C$2)),"",IF(COUNTIFS(m_teacher,AV$4,m_date,($G$2+23),m_active,1,m_start,"&lt;"&amp;660,m_end,"&gt;"&amp;600)=0,"",IF(COUNTIFS(m_teacher,AV$4,m_date,($G$2+23),m_active,1,m_start,"&lt;"&amp;660,m_end,"&gt;"&amp;600)&gt;1,"충돌",HYPERLINK("#'관리자_MASTER'!D"&amp;_xlfn.MAXIFS(m_row,m_teacher,AV$4,m_date,($G$2+23),m_active,1,m_start,"&lt;"&amp;660,m_end,"&gt;"&amp;600),INDEX(m_label,_xlfn.MAXIFS(m_row,m_teacher,AV$4,m_date,($G$2+23),m_active,1,m_start,"&lt;"&amp;660,m_end,"&gt;"&amp;600))))))</f>
        <v/>
      </c>
      <c r="AW28" s="82" t="str">
        <f aca="false">IF(OR(AW$4="",MONTH(($G$2+23))&lt;&gt;MONTH($C$2)),"",IF(COUNTIFS(m_teacher,AW$4,m_date,($G$2+23),m_active,1,m_start,"&lt;"&amp;660,m_end,"&gt;"&amp;600)=0,"",IF(COUNTIFS(m_teacher,AW$4,m_date,($G$2+23),m_active,1,m_start,"&lt;"&amp;660,m_end,"&gt;"&amp;600)&gt;1,"충돌",HYPERLINK("#'관리자_MASTER'!D"&amp;_xlfn.MAXIFS(m_row,m_teacher,AW$4,m_date,($G$2+23),m_active,1,m_start,"&lt;"&amp;660,m_end,"&gt;"&amp;600),INDEX(m_label,_xlfn.MAXIFS(m_row,m_teacher,AW$4,m_date,($G$2+23),m_active,1,m_start,"&lt;"&amp;660,m_end,"&gt;"&amp;600))))))</f>
        <v/>
      </c>
      <c r="AX28" s="82" t="str">
        <f aca="false">IF(OR(AX$4="",MONTH(($G$2+23))&lt;&gt;MONTH($C$2)),"",IF(COUNTIFS(m_teacher,AX$4,m_date,($G$2+23),m_active,1,m_start,"&lt;"&amp;660,m_end,"&gt;"&amp;600)=0,"",IF(COUNTIFS(m_teacher,AX$4,m_date,($G$2+23),m_active,1,m_start,"&lt;"&amp;660,m_end,"&gt;"&amp;600)&gt;1,"충돌",HYPERLINK("#'관리자_MASTER'!D"&amp;_xlfn.MAXIFS(m_row,m_teacher,AX$4,m_date,($G$2+23),m_active,1,m_start,"&lt;"&amp;660,m_end,"&gt;"&amp;600),INDEX(m_label,_xlfn.MAXIFS(m_row,m_teacher,AX$4,m_date,($G$2+23),m_active,1,m_start,"&lt;"&amp;660,m_end,"&gt;"&amp;600))))))</f>
        <v/>
      </c>
      <c r="AY28" s="82" t="str">
        <f aca="false">IF(OR(AY$4="",MONTH(($G$2+23))&lt;&gt;MONTH($C$2)),"",IF(COUNTIFS(m_teacher,AY$4,m_date,($G$2+23),m_active,1,m_start,"&lt;"&amp;660,m_end,"&gt;"&amp;600)=0,"",IF(COUNTIFS(m_teacher,AY$4,m_date,($G$2+23),m_active,1,m_start,"&lt;"&amp;660,m_end,"&gt;"&amp;600)&gt;1,"충돌",HYPERLINK("#'관리자_MASTER'!D"&amp;_xlfn.MAXIFS(m_row,m_teacher,AY$4,m_date,($G$2+23),m_active,1,m_start,"&lt;"&amp;660,m_end,"&gt;"&amp;600),INDEX(m_label,_xlfn.MAXIFS(m_row,m_teacher,AY$4,m_date,($G$2+23),m_active,1,m_start,"&lt;"&amp;660,m_end,"&gt;"&amp;600))))))</f>
        <v/>
      </c>
      <c r="AZ28" s="82" t="str">
        <f aca="false">IF(OR(AZ$4="",MONTH(($G$2+23))&lt;&gt;MONTH($C$2)),"",IF(COUNTIFS(m_teacher,AZ$4,m_date,($G$2+23),m_active,1,m_start,"&lt;"&amp;660,m_end,"&gt;"&amp;600)=0,"",IF(COUNTIFS(m_teacher,AZ$4,m_date,($G$2+23),m_active,1,m_start,"&lt;"&amp;660,m_end,"&gt;"&amp;600)&gt;1,"충돌",HYPERLINK("#'관리자_MASTER'!D"&amp;_xlfn.MAXIFS(m_row,m_teacher,AZ$4,m_date,($G$2+23),m_active,1,m_start,"&lt;"&amp;660,m_end,"&gt;"&amp;600),INDEX(m_label,_xlfn.MAXIFS(m_row,m_teacher,AZ$4,m_date,($G$2+23),m_active,1,m_start,"&lt;"&amp;660,m_end,"&gt;"&amp;600))))))</f>
        <v/>
      </c>
      <c r="BA28" s="82" t="str">
        <f aca="false">IF(OR(BA$4="",MONTH(($G$2+23))&lt;&gt;MONTH($C$2)),"",IF(COUNTIFS(m_teacher,BA$4,m_date,($G$2+23),m_active,1,m_start,"&lt;"&amp;660,m_end,"&gt;"&amp;600)=0,"",IF(COUNTIFS(m_teacher,BA$4,m_date,($G$2+23),m_active,1,m_start,"&lt;"&amp;660,m_end,"&gt;"&amp;600)&gt;1,"충돌",HYPERLINK("#'관리자_MASTER'!D"&amp;_xlfn.MAXIFS(m_row,m_teacher,BA$4,m_date,($G$2+23),m_active,1,m_start,"&lt;"&amp;660,m_end,"&gt;"&amp;600),INDEX(m_label,_xlfn.MAXIFS(m_row,m_teacher,BA$4,m_date,($G$2+23),m_active,1,m_start,"&lt;"&amp;660,m_end,"&gt;"&amp;600))))))</f>
        <v/>
      </c>
      <c r="BB28" s="82" t="str">
        <f aca="false">IF(OR(BB$4="",MONTH(($G$2+23))&lt;&gt;MONTH($C$2)),"",IF(COUNTIFS(m_teacher,BB$4,m_date,($G$2+23),m_active,1,m_start,"&lt;"&amp;660,m_end,"&gt;"&amp;600)=0,"",IF(COUNTIFS(m_teacher,BB$4,m_date,($G$2+23),m_active,1,m_start,"&lt;"&amp;660,m_end,"&gt;"&amp;600)&gt;1,"충돌",HYPERLINK("#'관리자_MASTER'!D"&amp;_xlfn.MAXIFS(m_row,m_teacher,BB$4,m_date,($G$2+23),m_active,1,m_start,"&lt;"&amp;660,m_end,"&gt;"&amp;600),INDEX(m_label,_xlfn.MAXIFS(m_row,m_teacher,BB$4,m_date,($G$2+23),m_active,1,m_start,"&lt;"&amp;660,m_end,"&gt;"&amp;600))))))</f>
        <v/>
      </c>
      <c r="BC28" s="82" t="str">
        <f aca="false">IF(OR(BC$4="",MONTH(($G$2+23))&lt;&gt;MONTH($C$2)),"",IF(COUNTIFS(m_teacher,BC$4,m_date,($G$2+23),m_active,1,m_start,"&lt;"&amp;660,m_end,"&gt;"&amp;600)=0,"",IF(COUNTIFS(m_teacher,BC$4,m_date,($G$2+23),m_active,1,m_start,"&lt;"&amp;660,m_end,"&gt;"&amp;600)&gt;1,"충돌",HYPERLINK("#'관리자_MASTER'!D"&amp;_xlfn.MAXIFS(m_row,m_teacher,BC$4,m_date,($G$2+23),m_active,1,m_start,"&lt;"&amp;660,m_end,"&gt;"&amp;600),INDEX(m_label,_xlfn.MAXIFS(m_row,m_teacher,BC$4,m_date,($G$2+23),m_active,1,m_start,"&lt;"&amp;660,m_end,"&gt;"&amp;600))))))</f>
        <v/>
      </c>
      <c r="BD28" s="82" t="str">
        <f aca="false">IF(OR(BD$4="",MONTH(($G$2+23))&lt;&gt;MONTH($C$2)),"",IF(COUNTIFS(m_teacher,BD$4,m_date,($G$2+23),m_active,1,m_start,"&lt;"&amp;660,m_end,"&gt;"&amp;600)=0,"",IF(COUNTIFS(m_teacher,BD$4,m_date,($G$2+23),m_active,1,m_start,"&lt;"&amp;660,m_end,"&gt;"&amp;600)&gt;1,"충돌",HYPERLINK("#'관리자_MASTER'!D"&amp;_xlfn.MAXIFS(m_row,m_teacher,BD$4,m_date,($G$2+23),m_active,1,m_start,"&lt;"&amp;660,m_end,"&gt;"&amp;600),INDEX(m_label,_xlfn.MAXIFS(m_row,m_teacher,BD$4,m_date,($G$2+23),m_active,1,m_start,"&lt;"&amp;660,m_end,"&gt;"&amp;600))))))</f>
        <v/>
      </c>
      <c r="BE28" s="78"/>
      <c r="BF28" s="79" t="s">
        <v>92</v>
      </c>
      <c r="BG28" s="82" t="str">
        <f aca="false">IF(OR(BG$4="",MONTH(($G$2+30))&lt;&gt;MONTH($C$2)),"",IF(COUNTIFS(m_teacher,BG$4,m_date,($G$2+30),m_active,1,m_start,"&lt;"&amp;660,m_end,"&gt;"&amp;600)=0,"",IF(COUNTIFS(m_teacher,BG$4,m_date,($G$2+30),m_active,1,m_start,"&lt;"&amp;660,m_end,"&gt;"&amp;600)&gt;1,"충돌",HYPERLINK("#'관리자_MASTER'!D"&amp;_xlfn.MAXIFS(m_row,m_teacher,BG$4,m_date,($G$2+30),m_active,1,m_start,"&lt;"&amp;660,m_end,"&gt;"&amp;600),INDEX(m_label,_xlfn.MAXIFS(m_row,m_teacher,BG$4,m_date,($G$2+30),m_active,1,m_start,"&lt;"&amp;660,m_end,"&gt;"&amp;600))))))</f>
        <v/>
      </c>
      <c r="BH28" s="82" t="str">
        <f aca="false">IF(OR(BH$4="",MONTH(($G$2+30))&lt;&gt;MONTH($C$2)),"",IF(COUNTIFS(m_teacher,BH$4,m_date,($G$2+30),m_active,1,m_start,"&lt;"&amp;660,m_end,"&gt;"&amp;600)=0,"",IF(COUNTIFS(m_teacher,BH$4,m_date,($G$2+30),m_active,1,m_start,"&lt;"&amp;660,m_end,"&gt;"&amp;600)&gt;1,"충돌",HYPERLINK("#'관리자_MASTER'!D"&amp;_xlfn.MAXIFS(m_row,m_teacher,BH$4,m_date,($G$2+30),m_active,1,m_start,"&lt;"&amp;660,m_end,"&gt;"&amp;600),INDEX(m_label,_xlfn.MAXIFS(m_row,m_teacher,BH$4,m_date,($G$2+30),m_active,1,m_start,"&lt;"&amp;660,m_end,"&gt;"&amp;600))))))</f>
        <v/>
      </c>
      <c r="BI28" s="82" t="str">
        <f aca="false">IF(OR(BI$4="",MONTH(($G$2+30))&lt;&gt;MONTH($C$2)),"",IF(COUNTIFS(m_teacher,BI$4,m_date,($G$2+30),m_active,1,m_start,"&lt;"&amp;660,m_end,"&gt;"&amp;600)=0,"",IF(COUNTIFS(m_teacher,BI$4,m_date,($G$2+30),m_active,1,m_start,"&lt;"&amp;660,m_end,"&gt;"&amp;600)&gt;1,"충돌",HYPERLINK("#'관리자_MASTER'!D"&amp;_xlfn.MAXIFS(m_row,m_teacher,BI$4,m_date,($G$2+30),m_active,1,m_start,"&lt;"&amp;660,m_end,"&gt;"&amp;600),INDEX(m_label,_xlfn.MAXIFS(m_row,m_teacher,BI$4,m_date,($G$2+30),m_active,1,m_start,"&lt;"&amp;660,m_end,"&gt;"&amp;600))))))</f>
        <v/>
      </c>
      <c r="BJ28" s="82" t="str">
        <f aca="false">IF(OR(BJ$4="",MONTH(($G$2+30))&lt;&gt;MONTH($C$2)),"",IF(COUNTIFS(m_teacher,BJ$4,m_date,($G$2+30),m_active,1,m_start,"&lt;"&amp;660,m_end,"&gt;"&amp;600)=0,"",IF(COUNTIFS(m_teacher,BJ$4,m_date,($G$2+30),m_active,1,m_start,"&lt;"&amp;660,m_end,"&gt;"&amp;600)&gt;1,"충돌",HYPERLINK("#'관리자_MASTER'!D"&amp;_xlfn.MAXIFS(m_row,m_teacher,BJ$4,m_date,($G$2+30),m_active,1,m_start,"&lt;"&amp;660,m_end,"&gt;"&amp;600),INDEX(m_label,_xlfn.MAXIFS(m_row,m_teacher,BJ$4,m_date,($G$2+30),m_active,1,m_start,"&lt;"&amp;660,m_end,"&gt;"&amp;600))))))</f>
        <v/>
      </c>
      <c r="BK28" s="82" t="str">
        <f aca="false">IF(OR(BK$4="",MONTH(($G$2+30))&lt;&gt;MONTH($C$2)),"",IF(COUNTIFS(m_teacher,BK$4,m_date,($G$2+30),m_active,1,m_start,"&lt;"&amp;660,m_end,"&gt;"&amp;600)=0,"",IF(COUNTIFS(m_teacher,BK$4,m_date,($G$2+30),m_active,1,m_start,"&lt;"&amp;660,m_end,"&gt;"&amp;600)&gt;1,"충돌",HYPERLINK("#'관리자_MASTER'!D"&amp;_xlfn.MAXIFS(m_row,m_teacher,BK$4,m_date,($G$2+30),m_active,1,m_start,"&lt;"&amp;660,m_end,"&gt;"&amp;600),INDEX(m_label,_xlfn.MAXIFS(m_row,m_teacher,BK$4,m_date,($G$2+30),m_active,1,m_start,"&lt;"&amp;660,m_end,"&gt;"&amp;600))))))</f>
        <v/>
      </c>
      <c r="BL28" s="82" t="str">
        <f aca="false">IF(OR(BL$4="",MONTH(($G$2+30))&lt;&gt;MONTH($C$2)),"",IF(COUNTIFS(m_teacher,BL$4,m_date,($G$2+30),m_active,1,m_start,"&lt;"&amp;660,m_end,"&gt;"&amp;600)=0,"",IF(COUNTIFS(m_teacher,BL$4,m_date,($G$2+30),m_active,1,m_start,"&lt;"&amp;660,m_end,"&gt;"&amp;600)&gt;1,"충돌",HYPERLINK("#'관리자_MASTER'!D"&amp;_xlfn.MAXIFS(m_row,m_teacher,BL$4,m_date,($G$2+30),m_active,1,m_start,"&lt;"&amp;660,m_end,"&gt;"&amp;600),INDEX(m_label,_xlfn.MAXIFS(m_row,m_teacher,BL$4,m_date,($G$2+30),m_active,1,m_start,"&lt;"&amp;660,m_end,"&gt;"&amp;600))))))</f>
        <v/>
      </c>
      <c r="BM28" s="82" t="str">
        <f aca="false">IF(OR(BM$4="",MONTH(($G$2+30))&lt;&gt;MONTH($C$2)),"",IF(COUNTIFS(m_teacher,BM$4,m_date,($G$2+30),m_active,1,m_start,"&lt;"&amp;660,m_end,"&gt;"&amp;600)=0,"",IF(COUNTIFS(m_teacher,BM$4,m_date,($G$2+30),m_active,1,m_start,"&lt;"&amp;660,m_end,"&gt;"&amp;600)&gt;1,"충돌",HYPERLINK("#'관리자_MASTER'!D"&amp;_xlfn.MAXIFS(m_row,m_teacher,BM$4,m_date,($G$2+30),m_active,1,m_start,"&lt;"&amp;660,m_end,"&gt;"&amp;600),INDEX(m_label,_xlfn.MAXIFS(m_row,m_teacher,BM$4,m_date,($G$2+30),m_active,1,m_start,"&lt;"&amp;660,m_end,"&gt;"&amp;600))))))</f>
        <v/>
      </c>
      <c r="BN28" s="82" t="str">
        <f aca="false">IF(OR(BN$4="",MONTH(($G$2+30))&lt;&gt;MONTH($C$2)),"",IF(COUNTIFS(m_teacher,BN$4,m_date,($G$2+30),m_active,1,m_start,"&lt;"&amp;660,m_end,"&gt;"&amp;600)=0,"",IF(COUNTIFS(m_teacher,BN$4,m_date,($G$2+30),m_active,1,m_start,"&lt;"&amp;660,m_end,"&gt;"&amp;600)&gt;1,"충돌",HYPERLINK("#'관리자_MASTER'!D"&amp;_xlfn.MAXIFS(m_row,m_teacher,BN$4,m_date,($G$2+30),m_active,1,m_start,"&lt;"&amp;660,m_end,"&gt;"&amp;600),INDEX(m_label,_xlfn.MAXIFS(m_row,m_teacher,BN$4,m_date,($G$2+30),m_active,1,m_start,"&lt;"&amp;660,m_end,"&gt;"&amp;600))))))</f>
        <v/>
      </c>
      <c r="BO28" s="82" t="str">
        <f aca="false">IF(OR(BO$4="",MONTH(($G$2+30))&lt;&gt;MONTH($C$2)),"",IF(COUNTIFS(m_teacher,BO$4,m_date,($G$2+30),m_active,1,m_start,"&lt;"&amp;660,m_end,"&gt;"&amp;600)=0,"",IF(COUNTIFS(m_teacher,BO$4,m_date,($G$2+30),m_active,1,m_start,"&lt;"&amp;660,m_end,"&gt;"&amp;600)&gt;1,"충돌",HYPERLINK("#'관리자_MASTER'!D"&amp;_xlfn.MAXIFS(m_row,m_teacher,BO$4,m_date,($G$2+30),m_active,1,m_start,"&lt;"&amp;660,m_end,"&gt;"&amp;600),INDEX(m_label,_xlfn.MAXIFS(m_row,m_teacher,BO$4,m_date,($G$2+30),m_active,1,m_start,"&lt;"&amp;660,m_end,"&gt;"&amp;600))))))</f>
        <v/>
      </c>
      <c r="BP28" s="82" t="str">
        <f aca="false">IF(OR(BP$4="",MONTH(($G$2+30))&lt;&gt;MONTH($C$2)),"",IF(COUNTIFS(m_teacher,BP$4,m_date,($G$2+30),m_active,1,m_start,"&lt;"&amp;660,m_end,"&gt;"&amp;600)=0,"",IF(COUNTIFS(m_teacher,BP$4,m_date,($G$2+30),m_active,1,m_start,"&lt;"&amp;660,m_end,"&gt;"&amp;600)&gt;1,"충돌",HYPERLINK("#'관리자_MASTER'!D"&amp;_xlfn.MAXIFS(m_row,m_teacher,BP$4,m_date,($G$2+30),m_active,1,m_start,"&lt;"&amp;660,m_end,"&gt;"&amp;600),INDEX(m_label,_xlfn.MAXIFS(m_row,m_teacher,BP$4,m_date,($G$2+30),m_active,1,m_start,"&lt;"&amp;660,m_end,"&gt;"&amp;600))))))</f>
        <v/>
      </c>
      <c r="BQ28" s="82" t="str">
        <f aca="false">IF(OR(BQ$4="",MONTH(($G$2+30))&lt;&gt;MONTH($C$2)),"",IF(COUNTIFS(m_teacher,BQ$4,m_date,($G$2+30),m_active,1,m_start,"&lt;"&amp;660,m_end,"&gt;"&amp;600)=0,"",IF(COUNTIFS(m_teacher,BQ$4,m_date,($G$2+30),m_active,1,m_start,"&lt;"&amp;660,m_end,"&gt;"&amp;600)&gt;1,"충돌",HYPERLINK("#'관리자_MASTER'!D"&amp;_xlfn.MAXIFS(m_row,m_teacher,BQ$4,m_date,($G$2+30),m_active,1,m_start,"&lt;"&amp;660,m_end,"&gt;"&amp;600),INDEX(m_label,_xlfn.MAXIFS(m_row,m_teacher,BQ$4,m_date,($G$2+30),m_active,1,m_start,"&lt;"&amp;660,m_end,"&gt;"&amp;600))))))</f>
        <v/>
      </c>
      <c r="BR28" s="82" t="str">
        <f aca="false">IF(OR(BR$4="",MONTH(($G$2+30))&lt;&gt;MONTH($C$2)),"",IF(COUNTIFS(m_teacher,BR$4,m_date,($G$2+30),m_active,1,m_start,"&lt;"&amp;660,m_end,"&gt;"&amp;600)=0,"",IF(COUNTIFS(m_teacher,BR$4,m_date,($G$2+30),m_active,1,m_start,"&lt;"&amp;660,m_end,"&gt;"&amp;600)&gt;1,"충돌",HYPERLINK("#'관리자_MASTER'!D"&amp;_xlfn.MAXIFS(m_row,m_teacher,BR$4,m_date,($G$2+30),m_active,1,m_start,"&lt;"&amp;660,m_end,"&gt;"&amp;600),INDEX(m_label,_xlfn.MAXIFS(m_row,m_teacher,BR$4,m_date,($G$2+30),m_active,1,m_start,"&lt;"&amp;660,m_end,"&gt;"&amp;600))))))</f>
        <v/>
      </c>
    </row>
    <row r="29" customFormat="false" ht="19.5" hidden="false" customHeight="true" outlineLevel="0" collapsed="false">
      <c r="A29" s="75"/>
      <c r="B29" s="76" t="s">
        <v>93</v>
      </c>
      <c r="C29" s="81" t="str">
        <f aca="false">IF(OR(C$4="",MONTH(($G$2+2))&lt;&gt;MONTH($C$2)),"",IF(COUNTIFS(m_teacher,C$4,m_date,($G$2+2),m_active,1,m_start,"&lt;"&amp;720,m_end,"&gt;"&amp;660)=0,"",IF(COUNTIFS(m_teacher,C$4,m_date,($G$2+2),m_active,1,m_start,"&lt;"&amp;720,m_end,"&gt;"&amp;660)&gt;1,"충돌",HYPERLINK("#'관리자_MASTER'!D"&amp;_xlfn.MAXIFS(m_row,m_teacher,C$4,m_date,($G$2+2),m_active,1,m_start,"&lt;"&amp;720,m_end,"&gt;"&amp;660),INDEX(m_label,_xlfn.MAXIFS(m_row,m_teacher,C$4,m_date,($G$2+2),m_active,1,m_start,"&lt;"&amp;720,m_end,"&gt;"&amp;660))))))</f>
        <v/>
      </c>
      <c r="D29" s="81" t="str">
        <f aca="false">IF(OR(D$4="",MONTH(($G$2+2))&lt;&gt;MONTH($C$2)),"",IF(COUNTIFS(m_teacher,D$4,m_date,($G$2+2),m_active,1,m_start,"&lt;"&amp;720,m_end,"&gt;"&amp;660)=0,"",IF(COUNTIFS(m_teacher,D$4,m_date,($G$2+2),m_active,1,m_start,"&lt;"&amp;720,m_end,"&gt;"&amp;660)&gt;1,"충돌",HYPERLINK("#'관리자_MASTER'!D"&amp;_xlfn.MAXIFS(m_row,m_teacher,D$4,m_date,($G$2+2),m_active,1,m_start,"&lt;"&amp;720,m_end,"&gt;"&amp;660),INDEX(m_label,_xlfn.MAXIFS(m_row,m_teacher,D$4,m_date,($G$2+2),m_active,1,m_start,"&lt;"&amp;720,m_end,"&gt;"&amp;660))))))</f>
        <v/>
      </c>
      <c r="E29" s="81" t="str">
        <f aca="false">IF(OR(E$4="",MONTH(($G$2+2))&lt;&gt;MONTH($C$2)),"",IF(COUNTIFS(m_teacher,E$4,m_date,($G$2+2),m_active,1,m_start,"&lt;"&amp;720,m_end,"&gt;"&amp;660)=0,"",IF(COUNTIFS(m_teacher,E$4,m_date,($G$2+2),m_active,1,m_start,"&lt;"&amp;720,m_end,"&gt;"&amp;660)&gt;1,"충돌",HYPERLINK("#'관리자_MASTER'!D"&amp;_xlfn.MAXIFS(m_row,m_teacher,E$4,m_date,($G$2+2),m_active,1,m_start,"&lt;"&amp;720,m_end,"&gt;"&amp;660),INDEX(m_label,_xlfn.MAXIFS(m_row,m_teacher,E$4,m_date,($G$2+2),m_active,1,m_start,"&lt;"&amp;720,m_end,"&gt;"&amp;660))))))</f>
        <v/>
      </c>
      <c r="F29" s="81" t="str">
        <f aca="false">IF(OR(F$4="",MONTH(($G$2+2))&lt;&gt;MONTH($C$2)),"",IF(COUNTIFS(m_teacher,F$4,m_date,($G$2+2),m_active,1,m_start,"&lt;"&amp;720,m_end,"&gt;"&amp;660)=0,"",IF(COUNTIFS(m_teacher,F$4,m_date,($G$2+2),m_active,1,m_start,"&lt;"&amp;720,m_end,"&gt;"&amp;660)&gt;1,"충돌",HYPERLINK("#'관리자_MASTER'!D"&amp;_xlfn.MAXIFS(m_row,m_teacher,F$4,m_date,($G$2+2),m_active,1,m_start,"&lt;"&amp;720,m_end,"&gt;"&amp;660),INDEX(m_label,_xlfn.MAXIFS(m_row,m_teacher,F$4,m_date,($G$2+2),m_active,1,m_start,"&lt;"&amp;720,m_end,"&gt;"&amp;660))))))</f>
        <v/>
      </c>
      <c r="G29" s="81" t="str">
        <f aca="false">IF(OR(G$4="",MONTH(($G$2+2))&lt;&gt;MONTH($C$2)),"",IF(COUNTIFS(m_teacher,G$4,m_date,($G$2+2),m_active,1,m_start,"&lt;"&amp;720,m_end,"&gt;"&amp;660)=0,"",IF(COUNTIFS(m_teacher,G$4,m_date,($G$2+2),m_active,1,m_start,"&lt;"&amp;720,m_end,"&gt;"&amp;660)&gt;1,"충돌",HYPERLINK("#'관리자_MASTER'!D"&amp;_xlfn.MAXIFS(m_row,m_teacher,G$4,m_date,($G$2+2),m_active,1,m_start,"&lt;"&amp;720,m_end,"&gt;"&amp;660),INDEX(m_label,_xlfn.MAXIFS(m_row,m_teacher,G$4,m_date,($G$2+2),m_active,1,m_start,"&lt;"&amp;720,m_end,"&gt;"&amp;660))))))</f>
        <v/>
      </c>
      <c r="H29" s="81" t="str">
        <f aca="false">IF(OR(H$4="",MONTH(($G$2+2))&lt;&gt;MONTH($C$2)),"",IF(COUNTIFS(m_teacher,H$4,m_date,($G$2+2),m_active,1,m_start,"&lt;"&amp;720,m_end,"&gt;"&amp;660)=0,"",IF(COUNTIFS(m_teacher,H$4,m_date,($G$2+2),m_active,1,m_start,"&lt;"&amp;720,m_end,"&gt;"&amp;660)&gt;1,"충돌",HYPERLINK("#'관리자_MASTER'!D"&amp;_xlfn.MAXIFS(m_row,m_teacher,H$4,m_date,($G$2+2),m_active,1,m_start,"&lt;"&amp;720,m_end,"&gt;"&amp;660),INDEX(m_label,_xlfn.MAXIFS(m_row,m_teacher,H$4,m_date,($G$2+2),m_active,1,m_start,"&lt;"&amp;720,m_end,"&gt;"&amp;660))))))</f>
        <v/>
      </c>
      <c r="I29" s="81" t="str">
        <f aca="false">IF(OR(I$4="",MONTH(($G$2+2))&lt;&gt;MONTH($C$2)),"",IF(COUNTIFS(m_teacher,I$4,m_date,($G$2+2),m_active,1,m_start,"&lt;"&amp;720,m_end,"&gt;"&amp;660)=0,"",IF(COUNTIFS(m_teacher,I$4,m_date,($G$2+2),m_active,1,m_start,"&lt;"&amp;720,m_end,"&gt;"&amp;660)&gt;1,"충돌",HYPERLINK("#'관리자_MASTER'!D"&amp;_xlfn.MAXIFS(m_row,m_teacher,I$4,m_date,($G$2+2),m_active,1,m_start,"&lt;"&amp;720,m_end,"&gt;"&amp;660),INDEX(m_label,_xlfn.MAXIFS(m_row,m_teacher,I$4,m_date,($G$2+2),m_active,1,m_start,"&lt;"&amp;720,m_end,"&gt;"&amp;660))))))</f>
        <v/>
      </c>
      <c r="J29" s="81" t="str">
        <f aca="false">IF(OR(J$4="",MONTH(($G$2+2))&lt;&gt;MONTH($C$2)),"",IF(COUNTIFS(m_teacher,J$4,m_date,($G$2+2),m_active,1,m_start,"&lt;"&amp;720,m_end,"&gt;"&amp;660)=0,"",IF(COUNTIFS(m_teacher,J$4,m_date,($G$2+2),m_active,1,m_start,"&lt;"&amp;720,m_end,"&gt;"&amp;660)&gt;1,"충돌",HYPERLINK("#'관리자_MASTER'!D"&amp;_xlfn.MAXIFS(m_row,m_teacher,J$4,m_date,($G$2+2),m_active,1,m_start,"&lt;"&amp;720,m_end,"&gt;"&amp;660),INDEX(m_label,_xlfn.MAXIFS(m_row,m_teacher,J$4,m_date,($G$2+2),m_active,1,m_start,"&lt;"&amp;720,m_end,"&gt;"&amp;660))))))</f>
        <v/>
      </c>
      <c r="K29" s="81" t="str">
        <f aca="false">IF(OR(K$4="",MONTH(($G$2+2))&lt;&gt;MONTH($C$2)),"",IF(COUNTIFS(m_teacher,K$4,m_date,($G$2+2),m_active,1,m_start,"&lt;"&amp;720,m_end,"&gt;"&amp;660)=0,"",IF(COUNTIFS(m_teacher,K$4,m_date,($G$2+2),m_active,1,m_start,"&lt;"&amp;720,m_end,"&gt;"&amp;660)&gt;1,"충돌",HYPERLINK("#'관리자_MASTER'!D"&amp;_xlfn.MAXIFS(m_row,m_teacher,K$4,m_date,($G$2+2),m_active,1,m_start,"&lt;"&amp;720,m_end,"&gt;"&amp;660),INDEX(m_label,_xlfn.MAXIFS(m_row,m_teacher,K$4,m_date,($G$2+2),m_active,1,m_start,"&lt;"&amp;720,m_end,"&gt;"&amp;660))))))</f>
        <v/>
      </c>
      <c r="L29" s="81" t="str">
        <f aca="false">IF(OR(L$4="",MONTH(($G$2+2))&lt;&gt;MONTH($C$2)),"",IF(COUNTIFS(m_teacher,L$4,m_date,($G$2+2),m_active,1,m_start,"&lt;"&amp;720,m_end,"&gt;"&amp;660)=0,"",IF(COUNTIFS(m_teacher,L$4,m_date,($G$2+2),m_active,1,m_start,"&lt;"&amp;720,m_end,"&gt;"&amp;660)&gt;1,"충돌",HYPERLINK("#'관리자_MASTER'!D"&amp;_xlfn.MAXIFS(m_row,m_teacher,L$4,m_date,($G$2+2),m_active,1,m_start,"&lt;"&amp;720,m_end,"&gt;"&amp;660),INDEX(m_label,_xlfn.MAXIFS(m_row,m_teacher,L$4,m_date,($G$2+2),m_active,1,m_start,"&lt;"&amp;720,m_end,"&gt;"&amp;660))))))</f>
        <v/>
      </c>
      <c r="M29" s="81" t="str">
        <f aca="false">IF(OR(M$4="",MONTH(($G$2+2))&lt;&gt;MONTH($C$2)),"",IF(COUNTIFS(m_teacher,M$4,m_date,($G$2+2),m_active,1,m_start,"&lt;"&amp;720,m_end,"&gt;"&amp;660)=0,"",IF(COUNTIFS(m_teacher,M$4,m_date,($G$2+2),m_active,1,m_start,"&lt;"&amp;720,m_end,"&gt;"&amp;660)&gt;1,"충돌",HYPERLINK("#'관리자_MASTER'!D"&amp;_xlfn.MAXIFS(m_row,m_teacher,M$4,m_date,($G$2+2),m_active,1,m_start,"&lt;"&amp;720,m_end,"&gt;"&amp;660),INDEX(m_label,_xlfn.MAXIFS(m_row,m_teacher,M$4,m_date,($G$2+2),m_active,1,m_start,"&lt;"&amp;720,m_end,"&gt;"&amp;660))))))</f>
        <v/>
      </c>
      <c r="N29" s="81" t="str">
        <f aca="false">IF(OR(N$4="",MONTH(($G$2+2))&lt;&gt;MONTH($C$2)),"",IF(COUNTIFS(m_teacher,N$4,m_date,($G$2+2),m_active,1,m_start,"&lt;"&amp;720,m_end,"&gt;"&amp;660)=0,"",IF(COUNTIFS(m_teacher,N$4,m_date,($G$2+2),m_active,1,m_start,"&lt;"&amp;720,m_end,"&gt;"&amp;660)&gt;1,"충돌",HYPERLINK("#'관리자_MASTER'!D"&amp;_xlfn.MAXIFS(m_row,m_teacher,N$4,m_date,($G$2+2),m_active,1,m_start,"&lt;"&amp;720,m_end,"&gt;"&amp;660),INDEX(m_label,_xlfn.MAXIFS(m_row,m_teacher,N$4,m_date,($G$2+2),m_active,1,m_start,"&lt;"&amp;720,m_end,"&gt;"&amp;660))))))</f>
        <v/>
      </c>
      <c r="O29" s="78"/>
      <c r="P29" s="79" t="s">
        <v>93</v>
      </c>
      <c r="Q29" s="82" t="str">
        <f aca="false">IF(OR(Q$4="",MONTH(($G$2+9))&lt;&gt;MONTH($C$2)),"",IF(COUNTIFS(m_teacher,Q$4,m_date,($G$2+9),m_active,1,m_start,"&lt;"&amp;720,m_end,"&gt;"&amp;660)=0,"",IF(COUNTIFS(m_teacher,Q$4,m_date,($G$2+9),m_active,1,m_start,"&lt;"&amp;720,m_end,"&gt;"&amp;660)&gt;1,"충돌",HYPERLINK("#'관리자_MASTER'!D"&amp;_xlfn.MAXIFS(m_row,m_teacher,Q$4,m_date,($G$2+9),m_active,1,m_start,"&lt;"&amp;720,m_end,"&gt;"&amp;660),INDEX(m_label,_xlfn.MAXIFS(m_row,m_teacher,Q$4,m_date,($G$2+9),m_active,1,m_start,"&lt;"&amp;720,m_end,"&gt;"&amp;660))))))</f>
        <v/>
      </c>
      <c r="R29" s="82" t="str">
        <f aca="false">IF(OR(R$4="",MONTH(($G$2+9))&lt;&gt;MONTH($C$2)),"",IF(COUNTIFS(m_teacher,R$4,m_date,($G$2+9),m_active,1,m_start,"&lt;"&amp;720,m_end,"&gt;"&amp;660)=0,"",IF(COUNTIFS(m_teacher,R$4,m_date,($G$2+9),m_active,1,m_start,"&lt;"&amp;720,m_end,"&gt;"&amp;660)&gt;1,"충돌",HYPERLINK("#'관리자_MASTER'!D"&amp;_xlfn.MAXIFS(m_row,m_teacher,R$4,m_date,($G$2+9),m_active,1,m_start,"&lt;"&amp;720,m_end,"&gt;"&amp;660),INDEX(m_label,_xlfn.MAXIFS(m_row,m_teacher,R$4,m_date,($G$2+9),m_active,1,m_start,"&lt;"&amp;720,m_end,"&gt;"&amp;660))))))</f>
        <v/>
      </c>
      <c r="S29" s="82" t="str">
        <f aca="false">IF(OR(S$4="",MONTH(($G$2+9))&lt;&gt;MONTH($C$2)),"",IF(COUNTIFS(m_teacher,S$4,m_date,($G$2+9),m_active,1,m_start,"&lt;"&amp;720,m_end,"&gt;"&amp;660)=0,"",IF(COUNTIFS(m_teacher,S$4,m_date,($G$2+9),m_active,1,m_start,"&lt;"&amp;720,m_end,"&gt;"&amp;660)&gt;1,"충돌",HYPERLINK("#'관리자_MASTER'!D"&amp;_xlfn.MAXIFS(m_row,m_teacher,S$4,m_date,($G$2+9),m_active,1,m_start,"&lt;"&amp;720,m_end,"&gt;"&amp;660),INDEX(m_label,_xlfn.MAXIFS(m_row,m_teacher,S$4,m_date,($G$2+9),m_active,1,m_start,"&lt;"&amp;720,m_end,"&gt;"&amp;660))))))</f>
        <v/>
      </c>
      <c r="T29" s="82" t="str">
        <f aca="false">IF(OR(T$4="",MONTH(($G$2+9))&lt;&gt;MONTH($C$2)),"",IF(COUNTIFS(m_teacher,T$4,m_date,($G$2+9),m_active,1,m_start,"&lt;"&amp;720,m_end,"&gt;"&amp;660)=0,"",IF(COUNTIFS(m_teacher,T$4,m_date,($G$2+9),m_active,1,m_start,"&lt;"&amp;720,m_end,"&gt;"&amp;660)&gt;1,"충돌",HYPERLINK("#'관리자_MASTER'!D"&amp;_xlfn.MAXIFS(m_row,m_teacher,T$4,m_date,($G$2+9),m_active,1,m_start,"&lt;"&amp;720,m_end,"&gt;"&amp;660),INDEX(m_label,_xlfn.MAXIFS(m_row,m_teacher,T$4,m_date,($G$2+9),m_active,1,m_start,"&lt;"&amp;720,m_end,"&gt;"&amp;660))))))</f>
        <v/>
      </c>
      <c r="U29" s="82" t="str">
        <f aca="false">IF(OR(U$4="",MONTH(($G$2+9))&lt;&gt;MONTH($C$2)),"",IF(COUNTIFS(m_teacher,U$4,m_date,($G$2+9),m_active,1,m_start,"&lt;"&amp;720,m_end,"&gt;"&amp;660)=0,"",IF(COUNTIFS(m_teacher,U$4,m_date,($G$2+9),m_active,1,m_start,"&lt;"&amp;720,m_end,"&gt;"&amp;660)&gt;1,"충돌",HYPERLINK("#'관리자_MASTER'!D"&amp;_xlfn.MAXIFS(m_row,m_teacher,U$4,m_date,($G$2+9),m_active,1,m_start,"&lt;"&amp;720,m_end,"&gt;"&amp;660),INDEX(m_label,_xlfn.MAXIFS(m_row,m_teacher,U$4,m_date,($G$2+9),m_active,1,m_start,"&lt;"&amp;720,m_end,"&gt;"&amp;660))))))</f>
        <v>김태준(10), 김명국(12)</v>
      </c>
      <c r="V29" s="82" t="str">
        <f aca="false">IF(OR(V$4="",MONTH(($G$2+9))&lt;&gt;MONTH($C$2)),"",IF(COUNTIFS(m_teacher,V$4,m_date,($G$2+9),m_active,1,m_start,"&lt;"&amp;720,m_end,"&gt;"&amp;660)=0,"",IF(COUNTIFS(m_teacher,V$4,m_date,($G$2+9),m_active,1,m_start,"&lt;"&amp;720,m_end,"&gt;"&amp;660)&gt;1,"충돌",HYPERLINK("#'관리자_MASTER'!D"&amp;_xlfn.MAXIFS(m_row,m_teacher,V$4,m_date,($G$2+9),m_active,1,m_start,"&lt;"&amp;720,m_end,"&gt;"&amp;660),INDEX(m_label,_xlfn.MAXIFS(m_row,m_teacher,V$4,m_date,($G$2+9),m_active,1,m_start,"&lt;"&amp;720,m_end,"&gt;"&amp;660))))))</f>
        <v/>
      </c>
      <c r="W29" s="82" t="str">
        <f aca="false">IF(OR(W$4="",MONTH(($G$2+9))&lt;&gt;MONTH($C$2)),"",IF(COUNTIFS(m_teacher,W$4,m_date,($G$2+9),m_active,1,m_start,"&lt;"&amp;720,m_end,"&gt;"&amp;660)=0,"",IF(COUNTIFS(m_teacher,W$4,m_date,($G$2+9),m_active,1,m_start,"&lt;"&amp;720,m_end,"&gt;"&amp;660)&gt;1,"충돌",HYPERLINK("#'관리자_MASTER'!D"&amp;_xlfn.MAXIFS(m_row,m_teacher,W$4,m_date,($G$2+9),m_active,1,m_start,"&lt;"&amp;720,m_end,"&gt;"&amp;660),INDEX(m_label,_xlfn.MAXIFS(m_row,m_teacher,W$4,m_date,($G$2+9),m_active,1,m_start,"&lt;"&amp;720,m_end,"&gt;"&amp;660))))))</f>
        <v/>
      </c>
      <c r="X29" s="82" t="str">
        <f aca="false">IF(OR(X$4="",MONTH(($G$2+9))&lt;&gt;MONTH($C$2)),"",IF(COUNTIFS(m_teacher,X$4,m_date,($G$2+9),m_active,1,m_start,"&lt;"&amp;720,m_end,"&gt;"&amp;660)=0,"",IF(COUNTIFS(m_teacher,X$4,m_date,($G$2+9),m_active,1,m_start,"&lt;"&amp;720,m_end,"&gt;"&amp;660)&gt;1,"충돌",HYPERLINK("#'관리자_MASTER'!D"&amp;_xlfn.MAXIFS(m_row,m_teacher,X$4,m_date,($G$2+9),m_active,1,m_start,"&lt;"&amp;720,m_end,"&gt;"&amp;660),INDEX(m_label,_xlfn.MAXIFS(m_row,m_teacher,X$4,m_date,($G$2+9),m_active,1,m_start,"&lt;"&amp;720,m_end,"&gt;"&amp;660))))))</f>
        <v/>
      </c>
      <c r="Y29" s="82" t="str">
        <f aca="false">IF(OR(Y$4="",MONTH(($G$2+9))&lt;&gt;MONTH($C$2)),"",IF(COUNTIFS(m_teacher,Y$4,m_date,($G$2+9),m_active,1,m_start,"&lt;"&amp;720,m_end,"&gt;"&amp;660)=0,"",IF(COUNTIFS(m_teacher,Y$4,m_date,($G$2+9),m_active,1,m_start,"&lt;"&amp;720,m_end,"&gt;"&amp;660)&gt;1,"충돌",HYPERLINK("#'관리자_MASTER'!D"&amp;_xlfn.MAXIFS(m_row,m_teacher,Y$4,m_date,($G$2+9),m_active,1,m_start,"&lt;"&amp;720,m_end,"&gt;"&amp;660),INDEX(m_label,_xlfn.MAXIFS(m_row,m_teacher,Y$4,m_date,($G$2+9),m_active,1,m_start,"&lt;"&amp;720,m_end,"&gt;"&amp;660))))))</f>
        <v/>
      </c>
      <c r="Z29" s="82" t="str">
        <f aca="false">IF(OR(Z$4="",MONTH(($G$2+9))&lt;&gt;MONTH($C$2)),"",IF(COUNTIFS(m_teacher,Z$4,m_date,($G$2+9),m_active,1,m_start,"&lt;"&amp;720,m_end,"&gt;"&amp;660)=0,"",IF(COUNTIFS(m_teacher,Z$4,m_date,($G$2+9),m_active,1,m_start,"&lt;"&amp;720,m_end,"&gt;"&amp;660)&gt;1,"충돌",HYPERLINK("#'관리자_MASTER'!D"&amp;_xlfn.MAXIFS(m_row,m_teacher,Z$4,m_date,($G$2+9),m_active,1,m_start,"&lt;"&amp;720,m_end,"&gt;"&amp;660),INDEX(m_label,_xlfn.MAXIFS(m_row,m_teacher,Z$4,m_date,($G$2+9),m_active,1,m_start,"&lt;"&amp;720,m_end,"&gt;"&amp;660))))))</f>
        <v/>
      </c>
      <c r="AA29" s="82" t="str">
        <f aca="false">IF(OR(AA$4="",MONTH(($G$2+9))&lt;&gt;MONTH($C$2)),"",IF(COUNTIFS(m_teacher,AA$4,m_date,($G$2+9),m_active,1,m_start,"&lt;"&amp;720,m_end,"&gt;"&amp;660)=0,"",IF(COUNTIFS(m_teacher,AA$4,m_date,($G$2+9),m_active,1,m_start,"&lt;"&amp;720,m_end,"&gt;"&amp;660)&gt;1,"충돌",HYPERLINK("#'관리자_MASTER'!D"&amp;_xlfn.MAXIFS(m_row,m_teacher,AA$4,m_date,($G$2+9),m_active,1,m_start,"&lt;"&amp;720,m_end,"&gt;"&amp;660),INDEX(m_label,_xlfn.MAXIFS(m_row,m_teacher,AA$4,m_date,($G$2+9),m_active,1,m_start,"&lt;"&amp;720,m_end,"&gt;"&amp;660))))))</f>
        <v/>
      </c>
      <c r="AB29" s="82" t="str">
        <f aca="false">IF(OR(AB$4="",MONTH(($G$2+9))&lt;&gt;MONTH($C$2)),"",IF(COUNTIFS(m_teacher,AB$4,m_date,($G$2+9),m_active,1,m_start,"&lt;"&amp;720,m_end,"&gt;"&amp;660)=0,"",IF(COUNTIFS(m_teacher,AB$4,m_date,($G$2+9),m_active,1,m_start,"&lt;"&amp;720,m_end,"&gt;"&amp;660)&gt;1,"충돌",HYPERLINK("#'관리자_MASTER'!D"&amp;_xlfn.MAXIFS(m_row,m_teacher,AB$4,m_date,($G$2+9),m_active,1,m_start,"&lt;"&amp;720,m_end,"&gt;"&amp;660),INDEX(m_label,_xlfn.MAXIFS(m_row,m_teacher,AB$4,m_date,($G$2+9),m_active,1,m_start,"&lt;"&amp;720,m_end,"&gt;"&amp;660))))))</f>
        <v/>
      </c>
      <c r="AC29" s="78"/>
      <c r="AD29" s="79" t="s">
        <v>93</v>
      </c>
      <c r="AE29" s="82" t="str">
        <f aca="false">IF(OR(AE$4="",MONTH(($G$2+16))&lt;&gt;MONTH($C$2)),"",IF(COUNTIFS(m_teacher,AE$4,m_date,($G$2+16),m_active,1,m_start,"&lt;"&amp;720,m_end,"&gt;"&amp;660)=0,"",IF(COUNTIFS(m_teacher,AE$4,m_date,($G$2+16),m_active,1,m_start,"&lt;"&amp;720,m_end,"&gt;"&amp;660)&gt;1,"충돌",HYPERLINK("#'관리자_MASTER'!D"&amp;_xlfn.MAXIFS(m_row,m_teacher,AE$4,m_date,($G$2+16),m_active,1,m_start,"&lt;"&amp;720,m_end,"&gt;"&amp;660),INDEX(m_label,_xlfn.MAXIFS(m_row,m_teacher,AE$4,m_date,($G$2+16),m_active,1,m_start,"&lt;"&amp;720,m_end,"&gt;"&amp;660))))))</f>
        <v/>
      </c>
      <c r="AF29" s="82" t="str">
        <f aca="false">IF(OR(AF$4="",MONTH(($G$2+16))&lt;&gt;MONTH($C$2)),"",IF(COUNTIFS(m_teacher,AF$4,m_date,($G$2+16),m_active,1,m_start,"&lt;"&amp;720,m_end,"&gt;"&amp;660)=0,"",IF(COUNTIFS(m_teacher,AF$4,m_date,($G$2+16),m_active,1,m_start,"&lt;"&amp;720,m_end,"&gt;"&amp;660)&gt;1,"충돌",HYPERLINK("#'관리자_MASTER'!D"&amp;_xlfn.MAXIFS(m_row,m_teacher,AF$4,m_date,($G$2+16),m_active,1,m_start,"&lt;"&amp;720,m_end,"&gt;"&amp;660),INDEX(m_label,_xlfn.MAXIFS(m_row,m_teacher,AF$4,m_date,($G$2+16),m_active,1,m_start,"&lt;"&amp;720,m_end,"&gt;"&amp;660))))))</f>
        <v/>
      </c>
      <c r="AG29" s="82" t="str">
        <f aca="false">IF(OR(AG$4="",MONTH(($G$2+16))&lt;&gt;MONTH($C$2)),"",IF(COUNTIFS(m_teacher,AG$4,m_date,($G$2+16),m_active,1,m_start,"&lt;"&amp;720,m_end,"&gt;"&amp;660)=0,"",IF(COUNTIFS(m_teacher,AG$4,m_date,($G$2+16),m_active,1,m_start,"&lt;"&amp;720,m_end,"&gt;"&amp;660)&gt;1,"충돌",HYPERLINK("#'관리자_MASTER'!D"&amp;_xlfn.MAXIFS(m_row,m_teacher,AG$4,m_date,($G$2+16),m_active,1,m_start,"&lt;"&amp;720,m_end,"&gt;"&amp;660),INDEX(m_label,_xlfn.MAXIFS(m_row,m_teacher,AG$4,m_date,($G$2+16),m_active,1,m_start,"&lt;"&amp;720,m_end,"&gt;"&amp;660))))))</f>
        <v/>
      </c>
      <c r="AH29" s="82" t="str">
        <f aca="false">IF(OR(AH$4="",MONTH(($G$2+16))&lt;&gt;MONTH($C$2)),"",IF(COUNTIFS(m_teacher,AH$4,m_date,($G$2+16),m_active,1,m_start,"&lt;"&amp;720,m_end,"&gt;"&amp;660)=0,"",IF(COUNTIFS(m_teacher,AH$4,m_date,($G$2+16),m_active,1,m_start,"&lt;"&amp;720,m_end,"&gt;"&amp;660)&gt;1,"충돌",HYPERLINK("#'관리자_MASTER'!D"&amp;_xlfn.MAXIFS(m_row,m_teacher,AH$4,m_date,($G$2+16),m_active,1,m_start,"&lt;"&amp;720,m_end,"&gt;"&amp;660),INDEX(m_label,_xlfn.MAXIFS(m_row,m_teacher,AH$4,m_date,($G$2+16),m_active,1,m_start,"&lt;"&amp;720,m_end,"&gt;"&amp;660))))))</f>
        <v/>
      </c>
      <c r="AI29" s="82" t="str">
        <f aca="false">IF(OR(AI$4="",MONTH(($G$2+16))&lt;&gt;MONTH($C$2)),"",IF(COUNTIFS(m_teacher,AI$4,m_date,($G$2+16),m_active,1,m_start,"&lt;"&amp;720,m_end,"&gt;"&amp;660)=0,"",IF(COUNTIFS(m_teacher,AI$4,m_date,($G$2+16),m_active,1,m_start,"&lt;"&amp;720,m_end,"&gt;"&amp;660)&gt;1,"충돌",HYPERLINK("#'관리자_MASTER'!D"&amp;_xlfn.MAXIFS(m_row,m_teacher,AI$4,m_date,($G$2+16),m_active,1,m_start,"&lt;"&amp;720,m_end,"&gt;"&amp;660),INDEX(m_label,_xlfn.MAXIFS(m_row,m_teacher,AI$4,m_date,($G$2+16),m_active,1,m_start,"&lt;"&amp;720,m_end,"&gt;"&amp;660))))))</f>
        <v/>
      </c>
      <c r="AJ29" s="82" t="str">
        <f aca="false">IF(OR(AJ$4="",MONTH(($G$2+16))&lt;&gt;MONTH($C$2)),"",IF(COUNTIFS(m_teacher,AJ$4,m_date,($G$2+16),m_active,1,m_start,"&lt;"&amp;720,m_end,"&gt;"&amp;660)=0,"",IF(COUNTIFS(m_teacher,AJ$4,m_date,($G$2+16),m_active,1,m_start,"&lt;"&amp;720,m_end,"&gt;"&amp;660)&gt;1,"충돌",HYPERLINK("#'관리자_MASTER'!D"&amp;_xlfn.MAXIFS(m_row,m_teacher,AJ$4,m_date,($G$2+16),m_active,1,m_start,"&lt;"&amp;720,m_end,"&gt;"&amp;660),INDEX(m_label,_xlfn.MAXIFS(m_row,m_teacher,AJ$4,m_date,($G$2+16),m_active,1,m_start,"&lt;"&amp;720,m_end,"&gt;"&amp;660))))))</f>
        <v/>
      </c>
      <c r="AK29" s="82" t="str">
        <f aca="false">IF(OR(AK$4="",MONTH(($G$2+16))&lt;&gt;MONTH($C$2)),"",IF(COUNTIFS(m_teacher,AK$4,m_date,($G$2+16),m_active,1,m_start,"&lt;"&amp;720,m_end,"&gt;"&amp;660)=0,"",IF(COUNTIFS(m_teacher,AK$4,m_date,($G$2+16),m_active,1,m_start,"&lt;"&amp;720,m_end,"&gt;"&amp;660)&gt;1,"충돌",HYPERLINK("#'관리자_MASTER'!D"&amp;_xlfn.MAXIFS(m_row,m_teacher,AK$4,m_date,($G$2+16),m_active,1,m_start,"&lt;"&amp;720,m_end,"&gt;"&amp;660),INDEX(m_label,_xlfn.MAXIFS(m_row,m_teacher,AK$4,m_date,($G$2+16),m_active,1,m_start,"&lt;"&amp;720,m_end,"&gt;"&amp;660))))))</f>
        <v/>
      </c>
      <c r="AL29" s="82" t="str">
        <f aca="false">IF(OR(AL$4="",MONTH(($G$2+16))&lt;&gt;MONTH($C$2)),"",IF(COUNTIFS(m_teacher,AL$4,m_date,($G$2+16),m_active,1,m_start,"&lt;"&amp;720,m_end,"&gt;"&amp;660)=0,"",IF(COUNTIFS(m_teacher,AL$4,m_date,($G$2+16),m_active,1,m_start,"&lt;"&amp;720,m_end,"&gt;"&amp;660)&gt;1,"충돌",HYPERLINK("#'관리자_MASTER'!D"&amp;_xlfn.MAXIFS(m_row,m_teacher,AL$4,m_date,($G$2+16),m_active,1,m_start,"&lt;"&amp;720,m_end,"&gt;"&amp;660),INDEX(m_label,_xlfn.MAXIFS(m_row,m_teacher,AL$4,m_date,($G$2+16),m_active,1,m_start,"&lt;"&amp;720,m_end,"&gt;"&amp;660))))))</f>
        <v/>
      </c>
      <c r="AM29" s="82" t="str">
        <f aca="false">IF(OR(AM$4="",MONTH(($G$2+16))&lt;&gt;MONTH($C$2)),"",IF(COUNTIFS(m_teacher,AM$4,m_date,($G$2+16),m_active,1,m_start,"&lt;"&amp;720,m_end,"&gt;"&amp;660)=0,"",IF(COUNTIFS(m_teacher,AM$4,m_date,($G$2+16),m_active,1,m_start,"&lt;"&amp;720,m_end,"&gt;"&amp;660)&gt;1,"충돌",HYPERLINK("#'관리자_MASTER'!D"&amp;_xlfn.MAXIFS(m_row,m_teacher,AM$4,m_date,($G$2+16),m_active,1,m_start,"&lt;"&amp;720,m_end,"&gt;"&amp;660),INDEX(m_label,_xlfn.MAXIFS(m_row,m_teacher,AM$4,m_date,($G$2+16),m_active,1,m_start,"&lt;"&amp;720,m_end,"&gt;"&amp;660))))))</f>
        <v/>
      </c>
      <c r="AN29" s="82" t="str">
        <f aca="false">IF(OR(AN$4="",MONTH(($G$2+16))&lt;&gt;MONTH($C$2)),"",IF(COUNTIFS(m_teacher,AN$4,m_date,($G$2+16),m_active,1,m_start,"&lt;"&amp;720,m_end,"&gt;"&amp;660)=0,"",IF(COUNTIFS(m_teacher,AN$4,m_date,($G$2+16),m_active,1,m_start,"&lt;"&amp;720,m_end,"&gt;"&amp;660)&gt;1,"충돌",HYPERLINK("#'관리자_MASTER'!D"&amp;_xlfn.MAXIFS(m_row,m_teacher,AN$4,m_date,($G$2+16),m_active,1,m_start,"&lt;"&amp;720,m_end,"&gt;"&amp;660),INDEX(m_label,_xlfn.MAXIFS(m_row,m_teacher,AN$4,m_date,($G$2+16),m_active,1,m_start,"&lt;"&amp;720,m_end,"&gt;"&amp;660))))))</f>
        <v/>
      </c>
      <c r="AO29" s="82" t="str">
        <f aca="false">IF(OR(AO$4="",MONTH(($G$2+16))&lt;&gt;MONTH($C$2)),"",IF(COUNTIFS(m_teacher,AO$4,m_date,($G$2+16),m_active,1,m_start,"&lt;"&amp;720,m_end,"&gt;"&amp;660)=0,"",IF(COUNTIFS(m_teacher,AO$4,m_date,($G$2+16),m_active,1,m_start,"&lt;"&amp;720,m_end,"&gt;"&amp;660)&gt;1,"충돌",HYPERLINK("#'관리자_MASTER'!D"&amp;_xlfn.MAXIFS(m_row,m_teacher,AO$4,m_date,($G$2+16),m_active,1,m_start,"&lt;"&amp;720,m_end,"&gt;"&amp;660),INDEX(m_label,_xlfn.MAXIFS(m_row,m_teacher,AO$4,m_date,($G$2+16),m_active,1,m_start,"&lt;"&amp;720,m_end,"&gt;"&amp;660))))))</f>
        <v/>
      </c>
      <c r="AP29" s="82" t="str">
        <f aca="false">IF(OR(AP$4="",MONTH(($G$2+16))&lt;&gt;MONTH($C$2)),"",IF(COUNTIFS(m_teacher,AP$4,m_date,($G$2+16),m_active,1,m_start,"&lt;"&amp;720,m_end,"&gt;"&amp;660)=0,"",IF(COUNTIFS(m_teacher,AP$4,m_date,($G$2+16),m_active,1,m_start,"&lt;"&amp;720,m_end,"&gt;"&amp;660)&gt;1,"충돌",HYPERLINK("#'관리자_MASTER'!D"&amp;_xlfn.MAXIFS(m_row,m_teacher,AP$4,m_date,($G$2+16),m_active,1,m_start,"&lt;"&amp;720,m_end,"&gt;"&amp;660),INDEX(m_label,_xlfn.MAXIFS(m_row,m_teacher,AP$4,m_date,($G$2+16),m_active,1,m_start,"&lt;"&amp;720,m_end,"&gt;"&amp;660))))))</f>
        <v/>
      </c>
      <c r="AQ29" s="78"/>
      <c r="AR29" s="79" t="s">
        <v>93</v>
      </c>
      <c r="AS29" s="82" t="str">
        <f aca="false">IF(OR(AS$4="",MONTH(($G$2+23))&lt;&gt;MONTH($C$2)),"",IF(COUNTIFS(m_teacher,AS$4,m_date,($G$2+23),m_active,1,m_start,"&lt;"&amp;720,m_end,"&gt;"&amp;660)=0,"",IF(COUNTIFS(m_teacher,AS$4,m_date,($G$2+23),m_active,1,m_start,"&lt;"&amp;720,m_end,"&gt;"&amp;660)&gt;1,"충돌",HYPERLINK("#'관리자_MASTER'!D"&amp;_xlfn.MAXIFS(m_row,m_teacher,AS$4,m_date,($G$2+23),m_active,1,m_start,"&lt;"&amp;720,m_end,"&gt;"&amp;660),INDEX(m_label,_xlfn.MAXIFS(m_row,m_teacher,AS$4,m_date,($G$2+23),m_active,1,m_start,"&lt;"&amp;720,m_end,"&gt;"&amp;660))))))</f>
        <v/>
      </c>
      <c r="AT29" s="82" t="str">
        <f aca="false">IF(OR(AT$4="",MONTH(($G$2+23))&lt;&gt;MONTH($C$2)),"",IF(COUNTIFS(m_teacher,AT$4,m_date,($G$2+23),m_active,1,m_start,"&lt;"&amp;720,m_end,"&gt;"&amp;660)=0,"",IF(COUNTIFS(m_teacher,AT$4,m_date,($G$2+23),m_active,1,m_start,"&lt;"&amp;720,m_end,"&gt;"&amp;660)&gt;1,"충돌",HYPERLINK("#'관리자_MASTER'!D"&amp;_xlfn.MAXIFS(m_row,m_teacher,AT$4,m_date,($G$2+23),m_active,1,m_start,"&lt;"&amp;720,m_end,"&gt;"&amp;660),INDEX(m_label,_xlfn.MAXIFS(m_row,m_teacher,AT$4,m_date,($G$2+23),m_active,1,m_start,"&lt;"&amp;720,m_end,"&gt;"&amp;660))))))</f>
        <v/>
      </c>
      <c r="AU29" s="82" t="str">
        <f aca="false">IF(OR(AU$4="",MONTH(($G$2+23))&lt;&gt;MONTH($C$2)),"",IF(COUNTIFS(m_teacher,AU$4,m_date,($G$2+23),m_active,1,m_start,"&lt;"&amp;720,m_end,"&gt;"&amp;660)=0,"",IF(COUNTIFS(m_teacher,AU$4,m_date,($G$2+23),m_active,1,m_start,"&lt;"&amp;720,m_end,"&gt;"&amp;660)&gt;1,"충돌",HYPERLINK("#'관리자_MASTER'!D"&amp;_xlfn.MAXIFS(m_row,m_teacher,AU$4,m_date,($G$2+23),m_active,1,m_start,"&lt;"&amp;720,m_end,"&gt;"&amp;660),INDEX(m_label,_xlfn.MAXIFS(m_row,m_teacher,AU$4,m_date,($G$2+23),m_active,1,m_start,"&lt;"&amp;720,m_end,"&gt;"&amp;660))))))</f>
        <v/>
      </c>
      <c r="AV29" s="82" t="str">
        <f aca="false">IF(OR(AV$4="",MONTH(($G$2+23))&lt;&gt;MONTH($C$2)),"",IF(COUNTIFS(m_teacher,AV$4,m_date,($G$2+23),m_active,1,m_start,"&lt;"&amp;720,m_end,"&gt;"&amp;660)=0,"",IF(COUNTIFS(m_teacher,AV$4,m_date,($G$2+23),m_active,1,m_start,"&lt;"&amp;720,m_end,"&gt;"&amp;660)&gt;1,"충돌",HYPERLINK("#'관리자_MASTER'!D"&amp;_xlfn.MAXIFS(m_row,m_teacher,AV$4,m_date,($G$2+23),m_active,1,m_start,"&lt;"&amp;720,m_end,"&gt;"&amp;660),INDEX(m_label,_xlfn.MAXIFS(m_row,m_teacher,AV$4,m_date,($G$2+23),m_active,1,m_start,"&lt;"&amp;720,m_end,"&gt;"&amp;660))))))</f>
        <v/>
      </c>
      <c r="AW29" s="82" t="str">
        <f aca="false">IF(OR(AW$4="",MONTH(($G$2+23))&lt;&gt;MONTH($C$2)),"",IF(COUNTIFS(m_teacher,AW$4,m_date,($G$2+23),m_active,1,m_start,"&lt;"&amp;720,m_end,"&gt;"&amp;660)=0,"",IF(COUNTIFS(m_teacher,AW$4,m_date,($G$2+23),m_active,1,m_start,"&lt;"&amp;720,m_end,"&gt;"&amp;660)&gt;1,"충돌",HYPERLINK("#'관리자_MASTER'!D"&amp;_xlfn.MAXIFS(m_row,m_teacher,AW$4,m_date,($G$2+23),m_active,1,m_start,"&lt;"&amp;720,m_end,"&gt;"&amp;660),INDEX(m_label,_xlfn.MAXIFS(m_row,m_teacher,AW$4,m_date,($G$2+23),m_active,1,m_start,"&lt;"&amp;720,m_end,"&gt;"&amp;660))))))</f>
        <v/>
      </c>
      <c r="AX29" s="82" t="str">
        <f aca="false">IF(OR(AX$4="",MONTH(($G$2+23))&lt;&gt;MONTH($C$2)),"",IF(COUNTIFS(m_teacher,AX$4,m_date,($G$2+23),m_active,1,m_start,"&lt;"&amp;720,m_end,"&gt;"&amp;660)=0,"",IF(COUNTIFS(m_teacher,AX$4,m_date,($G$2+23),m_active,1,m_start,"&lt;"&amp;720,m_end,"&gt;"&amp;660)&gt;1,"충돌",HYPERLINK("#'관리자_MASTER'!D"&amp;_xlfn.MAXIFS(m_row,m_teacher,AX$4,m_date,($G$2+23),m_active,1,m_start,"&lt;"&amp;720,m_end,"&gt;"&amp;660),INDEX(m_label,_xlfn.MAXIFS(m_row,m_teacher,AX$4,m_date,($G$2+23),m_active,1,m_start,"&lt;"&amp;720,m_end,"&gt;"&amp;660))))))</f>
        <v/>
      </c>
      <c r="AY29" s="82" t="str">
        <f aca="false">IF(OR(AY$4="",MONTH(($G$2+23))&lt;&gt;MONTH($C$2)),"",IF(COUNTIFS(m_teacher,AY$4,m_date,($G$2+23),m_active,1,m_start,"&lt;"&amp;720,m_end,"&gt;"&amp;660)=0,"",IF(COUNTIFS(m_teacher,AY$4,m_date,($G$2+23),m_active,1,m_start,"&lt;"&amp;720,m_end,"&gt;"&amp;660)&gt;1,"충돌",HYPERLINK("#'관리자_MASTER'!D"&amp;_xlfn.MAXIFS(m_row,m_teacher,AY$4,m_date,($G$2+23),m_active,1,m_start,"&lt;"&amp;720,m_end,"&gt;"&amp;660),INDEX(m_label,_xlfn.MAXIFS(m_row,m_teacher,AY$4,m_date,($G$2+23),m_active,1,m_start,"&lt;"&amp;720,m_end,"&gt;"&amp;660))))))</f>
        <v/>
      </c>
      <c r="AZ29" s="82" t="str">
        <f aca="false">IF(OR(AZ$4="",MONTH(($G$2+23))&lt;&gt;MONTH($C$2)),"",IF(COUNTIFS(m_teacher,AZ$4,m_date,($G$2+23),m_active,1,m_start,"&lt;"&amp;720,m_end,"&gt;"&amp;660)=0,"",IF(COUNTIFS(m_teacher,AZ$4,m_date,($G$2+23),m_active,1,m_start,"&lt;"&amp;720,m_end,"&gt;"&amp;660)&gt;1,"충돌",HYPERLINK("#'관리자_MASTER'!D"&amp;_xlfn.MAXIFS(m_row,m_teacher,AZ$4,m_date,($G$2+23),m_active,1,m_start,"&lt;"&amp;720,m_end,"&gt;"&amp;660),INDEX(m_label,_xlfn.MAXIFS(m_row,m_teacher,AZ$4,m_date,($G$2+23),m_active,1,m_start,"&lt;"&amp;720,m_end,"&gt;"&amp;660))))))</f>
        <v/>
      </c>
      <c r="BA29" s="82" t="str">
        <f aca="false">IF(OR(BA$4="",MONTH(($G$2+23))&lt;&gt;MONTH($C$2)),"",IF(COUNTIFS(m_teacher,BA$4,m_date,($G$2+23),m_active,1,m_start,"&lt;"&amp;720,m_end,"&gt;"&amp;660)=0,"",IF(COUNTIFS(m_teacher,BA$4,m_date,($G$2+23),m_active,1,m_start,"&lt;"&amp;720,m_end,"&gt;"&amp;660)&gt;1,"충돌",HYPERLINK("#'관리자_MASTER'!D"&amp;_xlfn.MAXIFS(m_row,m_teacher,BA$4,m_date,($G$2+23),m_active,1,m_start,"&lt;"&amp;720,m_end,"&gt;"&amp;660),INDEX(m_label,_xlfn.MAXIFS(m_row,m_teacher,BA$4,m_date,($G$2+23),m_active,1,m_start,"&lt;"&amp;720,m_end,"&gt;"&amp;660))))))</f>
        <v/>
      </c>
      <c r="BB29" s="82" t="str">
        <f aca="false">IF(OR(BB$4="",MONTH(($G$2+23))&lt;&gt;MONTH($C$2)),"",IF(COUNTIFS(m_teacher,BB$4,m_date,($G$2+23),m_active,1,m_start,"&lt;"&amp;720,m_end,"&gt;"&amp;660)=0,"",IF(COUNTIFS(m_teacher,BB$4,m_date,($G$2+23),m_active,1,m_start,"&lt;"&amp;720,m_end,"&gt;"&amp;660)&gt;1,"충돌",HYPERLINK("#'관리자_MASTER'!D"&amp;_xlfn.MAXIFS(m_row,m_teacher,BB$4,m_date,($G$2+23),m_active,1,m_start,"&lt;"&amp;720,m_end,"&gt;"&amp;660),INDEX(m_label,_xlfn.MAXIFS(m_row,m_teacher,BB$4,m_date,($G$2+23),m_active,1,m_start,"&lt;"&amp;720,m_end,"&gt;"&amp;660))))))</f>
        <v/>
      </c>
      <c r="BC29" s="82" t="str">
        <f aca="false">IF(OR(BC$4="",MONTH(($G$2+23))&lt;&gt;MONTH($C$2)),"",IF(COUNTIFS(m_teacher,BC$4,m_date,($G$2+23),m_active,1,m_start,"&lt;"&amp;720,m_end,"&gt;"&amp;660)=0,"",IF(COUNTIFS(m_teacher,BC$4,m_date,($G$2+23),m_active,1,m_start,"&lt;"&amp;720,m_end,"&gt;"&amp;660)&gt;1,"충돌",HYPERLINK("#'관리자_MASTER'!D"&amp;_xlfn.MAXIFS(m_row,m_teacher,BC$4,m_date,($G$2+23),m_active,1,m_start,"&lt;"&amp;720,m_end,"&gt;"&amp;660),INDEX(m_label,_xlfn.MAXIFS(m_row,m_teacher,BC$4,m_date,($G$2+23),m_active,1,m_start,"&lt;"&amp;720,m_end,"&gt;"&amp;660))))))</f>
        <v/>
      </c>
      <c r="BD29" s="82" t="str">
        <f aca="false">IF(OR(BD$4="",MONTH(($G$2+23))&lt;&gt;MONTH($C$2)),"",IF(COUNTIFS(m_teacher,BD$4,m_date,($G$2+23),m_active,1,m_start,"&lt;"&amp;720,m_end,"&gt;"&amp;660)=0,"",IF(COUNTIFS(m_teacher,BD$4,m_date,($G$2+23),m_active,1,m_start,"&lt;"&amp;720,m_end,"&gt;"&amp;660)&gt;1,"충돌",HYPERLINK("#'관리자_MASTER'!D"&amp;_xlfn.MAXIFS(m_row,m_teacher,BD$4,m_date,($G$2+23),m_active,1,m_start,"&lt;"&amp;720,m_end,"&gt;"&amp;660),INDEX(m_label,_xlfn.MAXIFS(m_row,m_teacher,BD$4,m_date,($G$2+23),m_active,1,m_start,"&lt;"&amp;720,m_end,"&gt;"&amp;660))))))</f>
        <v/>
      </c>
      <c r="BE29" s="78"/>
      <c r="BF29" s="79" t="s">
        <v>93</v>
      </c>
      <c r="BG29" s="82" t="str">
        <f aca="false">IF(OR(BG$4="",MONTH(($G$2+30))&lt;&gt;MONTH($C$2)),"",IF(COUNTIFS(m_teacher,BG$4,m_date,($G$2+30),m_active,1,m_start,"&lt;"&amp;720,m_end,"&gt;"&amp;660)=0,"",IF(COUNTIFS(m_teacher,BG$4,m_date,($G$2+30),m_active,1,m_start,"&lt;"&amp;720,m_end,"&gt;"&amp;660)&gt;1,"충돌",HYPERLINK("#'관리자_MASTER'!D"&amp;_xlfn.MAXIFS(m_row,m_teacher,BG$4,m_date,($G$2+30),m_active,1,m_start,"&lt;"&amp;720,m_end,"&gt;"&amp;660),INDEX(m_label,_xlfn.MAXIFS(m_row,m_teacher,BG$4,m_date,($G$2+30),m_active,1,m_start,"&lt;"&amp;720,m_end,"&gt;"&amp;660))))))</f>
        <v/>
      </c>
      <c r="BH29" s="82" t="str">
        <f aca="false">IF(OR(BH$4="",MONTH(($G$2+30))&lt;&gt;MONTH($C$2)),"",IF(COUNTIFS(m_teacher,BH$4,m_date,($G$2+30),m_active,1,m_start,"&lt;"&amp;720,m_end,"&gt;"&amp;660)=0,"",IF(COUNTIFS(m_teacher,BH$4,m_date,($G$2+30),m_active,1,m_start,"&lt;"&amp;720,m_end,"&gt;"&amp;660)&gt;1,"충돌",HYPERLINK("#'관리자_MASTER'!D"&amp;_xlfn.MAXIFS(m_row,m_teacher,BH$4,m_date,($G$2+30),m_active,1,m_start,"&lt;"&amp;720,m_end,"&gt;"&amp;660),INDEX(m_label,_xlfn.MAXIFS(m_row,m_teacher,BH$4,m_date,($G$2+30),m_active,1,m_start,"&lt;"&amp;720,m_end,"&gt;"&amp;660))))))</f>
        <v/>
      </c>
      <c r="BI29" s="82" t="str">
        <f aca="false">IF(OR(BI$4="",MONTH(($G$2+30))&lt;&gt;MONTH($C$2)),"",IF(COUNTIFS(m_teacher,BI$4,m_date,($G$2+30),m_active,1,m_start,"&lt;"&amp;720,m_end,"&gt;"&amp;660)=0,"",IF(COUNTIFS(m_teacher,BI$4,m_date,($G$2+30),m_active,1,m_start,"&lt;"&amp;720,m_end,"&gt;"&amp;660)&gt;1,"충돌",HYPERLINK("#'관리자_MASTER'!D"&amp;_xlfn.MAXIFS(m_row,m_teacher,BI$4,m_date,($G$2+30),m_active,1,m_start,"&lt;"&amp;720,m_end,"&gt;"&amp;660),INDEX(m_label,_xlfn.MAXIFS(m_row,m_teacher,BI$4,m_date,($G$2+30),m_active,1,m_start,"&lt;"&amp;720,m_end,"&gt;"&amp;660))))))</f>
        <v/>
      </c>
      <c r="BJ29" s="82" t="str">
        <f aca="false">IF(OR(BJ$4="",MONTH(($G$2+30))&lt;&gt;MONTH($C$2)),"",IF(COUNTIFS(m_teacher,BJ$4,m_date,($G$2+30),m_active,1,m_start,"&lt;"&amp;720,m_end,"&gt;"&amp;660)=0,"",IF(COUNTIFS(m_teacher,BJ$4,m_date,($G$2+30),m_active,1,m_start,"&lt;"&amp;720,m_end,"&gt;"&amp;660)&gt;1,"충돌",HYPERLINK("#'관리자_MASTER'!D"&amp;_xlfn.MAXIFS(m_row,m_teacher,BJ$4,m_date,($G$2+30),m_active,1,m_start,"&lt;"&amp;720,m_end,"&gt;"&amp;660),INDEX(m_label,_xlfn.MAXIFS(m_row,m_teacher,BJ$4,m_date,($G$2+30),m_active,1,m_start,"&lt;"&amp;720,m_end,"&gt;"&amp;660))))))</f>
        <v/>
      </c>
      <c r="BK29" s="82" t="str">
        <f aca="false">IF(OR(BK$4="",MONTH(($G$2+30))&lt;&gt;MONTH($C$2)),"",IF(COUNTIFS(m_teacher,BK$4,m_date,($G$2+30),m_active,1,m_start,"&lt;"&amp;720,m_end,"&gt;"&amp;660)=0,"",IF(COUNTIFS(m_teacher,BK$4,m_date,($G$2+30),m_active,1,m_start,"&lt;"&amp;720,m_end,"&gt;"&amp;660)&gt;1,"충돌",HYPERLINK("#'관리자_MASTER'!D"&amp;_xlfn.MAXIFS(m_row,m_teacher,BK$4,m_date,($G$2+30),m_active,1,m_start,"&lt;"&amp;720,m_end,"&gt;"&amp;660),INDEX(m_label,_xlfn.MAXIFS(m_row,m_teacher,BK$4,m_date,($G$2+30),m_active,1,m_start,"&lt;"&amp;720,m_end,"&gt;"&amp;660))))))</f>
        <v/>
      </c>
      <c r="BL29" s="82" t="str">
        <f aca="false">IF(OR(BL$4="",MONTH(($G$2+30))&lt;&gt;MONTH($C$2)),"",IF(COUNTIFS(m_teacher,BL$4,m_date,($G$2+30),m_active,1,m_start,"&lt;"&amp;720,m_end,"&gt;"&amp;660)=0,"",IF(COUNTIFS(m_teacher,BL$4,m_date,($G$2+30),m_active,1,m_start,"&lt;"&amp;720,m_end,"&gt;"&amp;660)&gt;1,"충돌",HYPERLINK("#'관리자_MASTER'!D"&amp;_xlfn.MAXIFS(m_row,m_teacher,BL$4,m_date,($G$2+30),m_active,1,m_start,"&lt;"&amp;720,m_end,"&gt;"&amp;660),INDEX(m_label,_xlfn.MAXIFS(m_row,m_teacher,BL$4,m_date,($G$2+30),m_active,1,m_start,"&lt;"&amp;720,m_end,"&gt;"&amp;660))))))</f>
        <v/>
      </c>
      <c r="BM29" s="82" t="str">
        <f aca="false">IF(OR(BM$4="",MONTH(($G$2+30))&lt;&gt;MONTH($C$2)),"",IF(COUNTIFS(m_teacher,BM$4,m_date,($G$2+30),m_active,1,m_start,"&lt;"&amp;720,m_end,"&gt;"&amp;660)=0,"",IF(COUNTIFS(m_teacher,BM$4,m_date,($G$2+30),m_active,1,m_start,"&lt;"&amp;720,m_end,"&gt;"&amp;660)&gt;1,"충돌",HYPERLINK("#'관리자_MASTER'!D"&amp;_xlfn.MAXIFS(m_row,m_teacher,BM$4,m_date,($G$2+30),m_active,1,m_start,"&lt;"&amp;720,m_end,"&gt;"&amp;660),INDEX(m_label,_xlfn.MAXIFS(m_row,m_teacher,BM$4,m_date,($G$2+30),m_active,1,m_start,"&lt;"&amp;720,m_end,"&gt;"&amp;660))))))</f>
        <v/>
      </c>
      <c r="BN29" s="82" t="str">
        <f aca="false">IF(OR(BN$4="",MONTH(($G$2+30))&lt;&gt;MONTH($C$2)),"",IF(COUNTIFS(m_teacher,BN$4,m_date,($G$2+30),m_active,1,m_start,"&lt;"&amp;720,m_end,"&gt;"&amp;660)=0,"",IF(COUNTIFS(m_teacher,BN$4,m_date,($G$2+30),m_active,1,m_start,"&lt;"&amp;720,m_end,"&gt;"&amp;660)&gt;1,"충돌",HYPERLINK("#'관리자_MASTER'!D"&amp;_xlfn.MAXIFS(m_row,m_teacher,BN$4,m_date,($G$2+30),m_active,1,m_start,"&lt;"&amp;720,m_end,"&gt;"&amp;660),INDEX(m_label,_xlfn.MAXIFS(m_row,m_teacher,BN$4,m_date,($G$2+30),m_active,1,m_start,"&lt;"&amp;720,m_end,"&gt;"&amp;660))))))</f>
        <v/>
      </c>
      <c r="BO29" s="82" t="str">
        <f aca="false">IF(OR(BO$4="",MONTH(($G$2+30))&lt;&gt;MONTH($C$2)),"",IF(COUNTIFS(m_teacher,BO$4,m_date,($G$2+30),m_active,1,m_start,"&lt;"&amp;720,m_end,"&gt;"&amp;660)=0,"",IF(COUNTIFS(m_teacher,BO$4,m_date,($G$2+30),m_active,1,m_start,"&lt;"&amp;720,m_end,"&gt;"&amp;660)&gt;1,"충돌",HYPERLINK("#'관리자_MASTER'!D"&amp;_xlfn.MAXIFS(m_row,m_teacher,BO$4,m_date,($G$2+30),m_active,1,m_start,"&lt;"&amp;720,m_end,"&gt;"&amp;660),INDEX(m_label,_xlfn.MAXIFS(m_row,m_teacher,BO$4,m_date,($G$2+30),m_active,1,m_start,"&lt;"&amp;720,m_end,"&gt;"&amp;660))))))</f>
        <v/>
      </c>
      <c r="BP29" s="82" t="str">
        <f aca="false">IF(OR(BP$4="",MONTH(($G$2+30))&lt;&gt;MONTH($C$2)),"",IF(COUNTIFS(m_teacher,BP$4,m_date,($G$2+30),m_active,1,m_start,"&lt;"&amp;720,m_end,"&gt;"&amp;660)=0,"",IF(COUNTIFS(m_teacher,BP$4,m_date,($G$2+30),m_active,1,m_start,"&lt;"&amp;720,m_end,"&gt;"&amp;660)&gt;1,"충돌",HYPERLINK("#'관리자_MASTER'!D"&amp;_xlfn.MAXIFS(m_row,m_teacher,BP$4,m_date,($G$2+30),m_active,1,m_start,"&lt;"&amp;720,m_end,"&gt;"&amp;660),INDEX(m_label,_xlfn.MAXIFS(m_row,m_teacher,BP$4,m_date,($G$2+30),m_active,1,m_start,"&lt;"&amp;720,m_end,"&gt;"&amp;660))))))</f>
        <v/>
      </c>
      <c r="BQ29" s="82" t="str">
        <f aca="false">IF(OR(BQ$4="",MONTH(($G$2+30))&lt;&gt;MONTH($C$2)),"",IF(COUNTIFS(m_teacher,BQ$4,m_date,($G$2+30),m_active,1,m_start,"&lt;"&amp;720,m_end,"&gt;"&amp;660)=0,"",IF(COUNTIFS(m_teacher,BQ$4,m_date,($G$2+30),m_active,1,m_start,"&lt;"&amp;720,m_end,"&gt;"&amp;660)&gt;1,"충돌",HYPERLINK("#'관리자_MASTER'!D"&amp;_xlfn.MAXIFS(m_row,m_teacher,BQ$4,m_date,($G$2+30),m_active,1,m_start,"&lt;"&amp;720,m_end,"&gt;"&amp;660),INDEX(m_label,_xlfn.MAXIFS(m_row,m_teacher,BQ$4,m_date,($G$2+30),m_active,1,m_start,"&lt;"&amp;720,m_end,"&gt;"&amp;660))))))</f>
        <v/>
      </c>
      <c r="BR29" s="82" t="str">
        <f aca="false">IF(OR(BR$4="",MONTH(($G$2+30))&lt;&gt;MONTH($C$2)),"",IF(COUNTIFS(m_teacher,BR$4,m_date,($G$2+30),m_active,1,m_start,"&lt;"&amp;720,m_end,"&gt;"&amp;660)=0,"",IF(COUNTIFS(m_teacher,BR$4,m_date,($G$2+30),m_active,1,m_start,"&lt;"&amp;720,m_end,"&gt;"&amp;660)&gt;1,"충돌",HYPERLINK("#'관리자_MASTER'!D"&amp;_xlfn.MAXIFS(m_row,m_teacher,BR$4,m_date,($G$2+30),m_active,1,m_start,"&lt;"&amp;720,m_end,"&gt;"&amp;660),INDEX(m_label,_xlfn.MAXIFS(m_row,m_teacher,BR$4,m_date,($G$2+30),m_active,1,m_start,"&lt;"&amp;720,m_end,"&gt;"&amp;660))))))</f>
        <v/>
      </c>
    </row>
    <row r="30" customFormat="false" ht="19.5" hidden="false" customHeight="true" outlineLevel="0" collapsed="false">
      <c r="A30" s="75"/>
      <c r="B30" s="76" t="s">
        <v>94</v>
      </c>
      <c r="C30" s="81" t="str">
        <f aca="false">IF(OR(C$4="",MONTH(($G$2+2))&lt;&gt;MONTH($C$2)),"",IF(COUNTIFS(m_teacher,C$4,m_date,($G$2+2),m_active,1,m_start,"&lt;"&amp;780,m_end,"&gt;"&amp;720)=0,"",IF(COUNTIFS(m_teacher,C$4,m_date,($G$2+2),m_active,1,m_start,"&lt;"&amp;780,m_end,"&gt;"&amp;720)&gt;1,"충돌",HYPERLINK("#'관리자_MASTER'!D"&amp;_xlfn.MAXIFS(m_row,m_teacher,C$4,m_date,($G$2+2),m_active,1,m_start,"&lt;"&amp;780,m_end,"&gt;"&amp;720),INDEX(m_label,_xlfn.MAXIFS(m_row,m_teacher,C$4,m_date,($G$2+2),m_active,1,m_start,"&lt;"&amp;780,m_end,"&gt;"&amp;720))))))</f>
        <v/>
      </c>
      <c r="D30" s="81" t="str">
        <f aca="false">IF(OR(D$4="",MONTH(($G$2+2))&lt;&gt;MONTH($C$2)),"",IF(COUNTIFS(m_teacher,D$4,m_date,($G$2+2),m_active,1,m_start,"&lt;"&amp;780,m_end,"&gt;"&amp;720)=0,"",IF(COUNTIFS(m_teacher,D$4,m_date,($G$2+2),m_active,1,m_start,"&lt;"&amp;780,m_end,"&gt;"&amp;720)&gt;1,"충돌",HYPERLINK("#'관리자_MASTER'!D"&amp;_xlfn.MAXIFS(m_row,m_teacher,D$4,m_date,($G$2+2),m_active,1,m_start,"&lt;"&amp;780,m_end,"&gt;"&amp;720),INDEX(m_label,_xlfn.MAXIFS(m_row,m_teacher,D$4,m_date,($G$2+2),m_active,1,m_start,"&lt;"&amp;780,m_end,"&gt;"&amp;720))))))</f>
        <v/>
      </c>
      <c r="E30" s="81" t="str">
        <f aca="false">IF(OR(E$4="",MONTH(($G$2+2))&lt;&gt;MONTH($C$2)),"",IF(COUNTIFS(m_teacher,E$4,m_date,($G$2+2),m_active,1,m_start,"&lt;"&amp;780,m_end,"&gt;"&amp;720)=0,"",IF(COUNTIFS(m_teacher,E$4,m_date,($G$2+2),m_active,1,m_start,"&lt;"&amp;780,m_end,"&gt;"&amp;720)&gt;1,"충돌",HYPERLINK("#'관리자_MASTER'!D"&amp;_xlfn.MAXIFS(m_row,m_teacher,E$4,m_date,($G$2+2),m_active,1,m_start,"&lt;"&amp;780,m_end,"&gt;"&amp;720),INDEX(m_label,_xlfn.MAXIFS(m_row,m_teacher,E$4,m_date,($G$2+2),m_active,1,m_start,"&lt;"&amp;780,m_end,"&gt;"&amp;720))))))</f>
        <v/>
      </c>
      <c r="F30" s="81" t="str">
        <f aca="false">IF(OR(F$4="",MONTH(($G$2+2))&lt;&gt;MONTH($C$2)),"",IF(COUNTIFS(m_teacher,F$4,m_date,($G$2+2),m_active,1,m_start,"&lt;"&amp;780,m_end,"&gt;"&amp;720)=0,"",IF(COUNTIFS(m_teacher,F$4,m_date,($G$2+2),m_active,1,m_start,"&lt;"&amp;780,m_end,"&gt;"&amp;720)&gt;1,"충돌",HYPERLINK("#'관리자_MASTER'!D"&amp;_xlfn.MAXIFS(m_row,m_teacher,F$4,m_date,($G$2+2),m_active,1,m_start,"&lt;"&amp;780,m_end,"&gt;"&amp;720),INDEX(m_label,_xlfn.MAXIFS(m_row,m_teacher,F$4,m_date,($G$2+2),m_active,1,m_start,"&lt;"&amp;780,m_end,"&gt;"&amp;720))))))</f>
        <v/>
      </c>
      <c r="G30" s="81" t="str">
        <f aca="false">IF(OR(G$4="",MONTH(($G$2+2))&lt;&gt;MONTH($C$2)),"",IF(COUNTIFS(m_teacher,G$4,m_date,($G$2+2),m_active,1,m_start,"&lt;"&amp;780,m_end,"&gt;"&amp;720)=0,"",IF(COUNTIFS(m_teacher,G$4,m_date,($G$2+2),m_active,1,m_start,"&lt;"&amp;780,m_end,"&gt;"&amp;720)&gt;1,"충돌",HYPERLINK("#'관리자_MASTER'!D"&amp;_xlfn.MAXIFS(m_row,m_teacher,G$4,m_date,($G$2+2),m_active,1,m_start,"&lt;"&amp;780,m_end,"&gt;"&amp;720),INDEX(m_label,_xlfn.MAXIFS(m_row,m_teacher,G$4,m_date,($G$2+2),m_active,1,m_start,"&lt;"&amp;780,m_end,"&gt;"&amp;720))))))</f>
        <v/>
      </c>
      <c r="H30" s="81" t="str">
        <f aca="false">IF(OR(H$4="",MONTH(($G$2+2))&lt;&gt;MONTH($C$2)),"",IF(COUNTIFS(m_teacher,H$4,m_date,($G$2+2),m_active,1,m_start,"&lt;"&amp;780,m_end,"&gt;"&amp;720)=0,"",IF(COUNTIFS(m_teacher,H$4,m_date,($G$2+2),m_active,1,m_start,"&lt;"&amp;780,m_end,"&gt;"&amp;720)&gt;1,"충돌",HYPERLINK("#'관리자_MASTER'!D"&amp;_xlfn.MAXIFS(m_row,m_teacher,H$4,m_date,($G$2+2),m_active,1,m_start,"&lt;"&amp;780,m_end,"&gt;"&amp;720),INDEX(m_label,_xlfn.MAXIFS(m_row,m_teacher,H$4,m_date,($G$2+2),m_active,1,m_start,"&lt;"&amp;780,m_end,"&gt;"&amp;720))))))</f>
        <v/>
      </c>
      <c r="I30" s="81" t="str">
        <f aca="false">IF(OR(I$4="",MONTH(($G$2+2))&lt;&gt;MONTH($C$2)),"",IF(COUNTIFS(m_teacher,I$4,m_date,($G$2+2),m_active,1,m_start,"&lt;"&amp;780,m_end,"&gt;"&amp;720)=0,"",IF(COUNTIFS(m_teacher,I$4,m_date,($G$2+2),m_active,1,m_start,"&lt;"&amp;780,m_end,"&gt;"&amp;720)&gt;1,"충돌",HYPERLINK("#'관리자_MASTER'!D"&amp;_xlfn.MAXIFS(m_row,m_teacher,I$4,m_date,($G$2+2),m_active,1,m_start,"&lt;"&amp;780,m_end,"&gt;"&amp;720),INDEX(m_label,_xlfn.MAXIFS(m_row,m_teacher,I$4,m_date,($G$2+2),m_active,1,m_start,"&lt;"&amp;780,m_end,"&gt;"&amp;720))))))</f>
        <v/>
      </c>
      <c r="J30" s="81" t="str">
        <f aca="false">IF(OR(J$4="",MONTH(($G$2+2))&lt;&gt;MONTH($C$2)),"",IF(COUNTIFS(m_teacher,J$4,m_date,($G$2+2),m_active,1,m_start,"&lt;"&amp;780,m_end,"&gt;"&amp;720)=0,"",IF(COUNTIFS(m_teacher,J$4,m_date,($G$2+2),m_active,1,m_start,"&lt;"&amp;780,m_end,"&gt;"&amp;720)&gt;1,"충돌",HYPERLINK("#'관리자_MASTER'!D"&amp;_xlfn.MAXIFS(m_row,m_teacher,J$4,m_date,($G$2+2),m_active,1,m_start,"&lt;"&amp;780,m_end,"&gt;"&amp;720),INDEX(m_label,_xlfn.MAXIFS(m_row,m_teacher,J$4,m_date,($G$2+2),m_active,1,m_start,"&lt;"&amp;780,m_end,"&gt;"&amp;720))))))</f>
        <v/>
      </c>
      <c r="K30" s="81" t="str">
        <f aca="false">IF(OR(K$4="",MONTH(($G$2+2))&lt;&gt;MONTH($C$2)),"",IF(COUNTIFS(m_teacher,K$4,m_date,($G$2+2),m_active,1,m_start,"&lt;"&amp;780,m_end,"&gt;"&amp;720)=0,"",IF(COUNTIFS(m_teacher,K$4,m_date,($G$2+2),m_active,1,m_start,"&lt;"&amp;780,m_end,"&gt;"&amp;720)&gt;1,"충돌",HYPERLINK("#'관리자_MASTER'!D"&amp;_xlfn.MAXIFS(m_row,m_teacher,K$4,m_date,($G$2+2),m_active,1,m_start,"&lt;"&amp;780,m_end,"&gt;"&amp;720),INDEX(m_label,_xlfn.MAXIFS(m_row,m_teacher,K$4,m_date,($G$2+2),m_active,1,m_start,"&lt;"&amp;780,m_end,"&gt;"&amp;720))))))</f>
        <v/>
      </c>
      <c r="L30" s="81" t="str">
        <f aca="false">IF(OR(L$4="",MONTH(($G$2+2))&lt;&gt;MONTH($C$2)),"",IF(COUNTIFS(m_teacher,L$4,m_date,($G$2+2),m_active,1,m_start,"&lt;"&amp;780,m_end,"&gt;"&amp;720)=0,"",IF(COUNTIFS(m_teacher,L$4,m_date,($G$2+2),m_active,1,m_start,"&lt;"&amp;780,m_end,"&gt;"&amp;720)&gt;1,"충돌",HYPERLINK("#'관리자_MASTER'!D"&amp;_xlfn.MAXIFS(m_row,m_teacher,L$4,m_date,($G$2+2),m_active,1,m_start,"&lt;"&amp;780,m_end,"&gt;"&amp;720),INDEX(m_label,_xlfn.MAXIFS(m_row,m_teacher,L$4,m_date,($G$2+2),m_active,1,m_start,"&lt;"&amp;780,m_end,"&gt;"&amp;720))))))</f>
        <v/>
      </c>
      <c r="M30" s="81" t="str">
        <f aca="false">IF(OR(M$4="",MONTH(($G$2+2))&lt;&gt;MONTH($C$2)),"",IF(COUNTIFS(m_teacher,M$4,m_date,($G$2+2),m_active,1,m_start,"&lt;"&amp;780,m_end,"&gt;"&amp;720)=0,"",IF(COUNTIFS(m_teacher,M$4,m_date,($G$2+2),m_active,1,m_start,"&lt;"&amp;780,m_end,"&gt;"&amp;720)&gt;1,"충돌",HYPERLINK("#'관리자_MASTER'!D"&amp;_xlfn.MAXIFS(m_row,m_teacher,M$4,m_date,($G$2+2),m_active,1,m_start,"&lt;"&amp;780,m_end,"&gt;"&amp;720),INDEX(m_label,_xlfn.MAXIFS(m_row,m_teacher,M$4,m_date,($G$2+2),m_active,1,m_start,"&lt;"&amp;780,m_end,"&gt;"&amp;720))))))</f>
        <v/>
      </c>
      <c r="N30" s="81" t="str">
        <f aca="false">IF(OR(N$4="",MONTH(($G$2+2))&lt;&gt;MONTH($C$2)),"",IF(COUNTIFS(m_teacher,N$4,m_date,($G$2+2),m_active,1,m_start,"&lt;"&amp;780,m_end,"&gt;"&amp;720)=0,"",IF(COUNTIFS(m_teacher,N$4,m_date,($G$2+2),m_active,1,m_start,"&lt;"&amp;780,m_end,"&gt;"&amp;720)&gt;1,"충돌",HYPERLINK("#'관리자_MASTER'!D"&amp;_xlfn.MAXIFS(m_row,m_teacher,N$4,m_date,($G$2+2),m_active,1,m_start,"&lt;"&amp;780,m_end,"&gt;"&amp;720),INDEX(m_label,_xlfn.MAXIFS(m_row,m_teacher,N$4,m_date,($G$2+2),m_active,1,m_start,"&lt;"&amp;780,m_end,"&gt;"&amp;720))))))</f>
        <v/>
      </c>
      <c r="O30" s="78"/>
      <c r="P30" s="79" t="s">
        <v>94</v>
      </c>
      <c r="Q30" s="82" t="str">
        <f aca="false">IF(OR(Q$4="",MONTH(($G$2+9))&lt;&gt;MONTH($C$2)),"",IF(COUNTIFS(m_teacher,Q$4,m_date,($G$2+9),m_active,1,m_start,"&lt;"&amp;780,m_end,"&gt;"&amp;720)=0,"",IF(COUNTIFS(m_teacher,Q$4,m_date,($G$2+9),m_active,1,m_start,"&lt;"&amp;780,m_end,"&gt;"&amp;720)&gt;1,"충돌",HYPERLINK("#'관리자_MASTER'!D"&amp;_xlfn.MAXIFS(m_row,m_teacher,Q$4,m_date,($G$2+9),m_active,1,m_start,"&lt;"&amp;780,m_end,"&gt;"&amp;720),INDEX(m_label,_xlfn.MAXIFS(m_row,m_teacher,Q$4,m_date,($G$2+9),m_active,1,m_start,"&lt;"&amp;780,m_end,"&gt;"&amp;720))))))</f>
        <v/>
      </c>
      <c r="R30" s="82" t="str">
        <f aca="false">IF(OR(R$4="",MONTH(($G$2+9))&lt;&gt;MONTH($C$2)),"",IF(COUNTIFS(m_teacher,R$4,m_date,($G$2+9),m_active,1,m_start,"&lt;"&amp;780,m_end,"&gt;"&amp;720)=0,"",IF(COUNTIFS(m_teacher,R$4,m_date,($G$2+9),m_active,1,m_start,"&lt;"&amp;780,m_end,"&gt;"&amp;720)&gt;1,"충돌",HYPERLINK("#'관리자_MASTER'!D"&amp;_xlfn.MAXIFS(m_row,m_teacher,R$4,m_date,($G$2+9),m_active,1,m_start,"&lt;"&amp;780,m_end,"&gt;"&amp;720),INDEX(m_label,_xlfn.MAXIFS(m_row,m_teacher,R$4,m_date,($G$2+9),m_active,1,m_start,"&lt;"&amp;780,m_end,"&gt;"&amp;720))))))</f>
        <v/>
      </c>
      <c r="S30" s="82" t="str">
        <f aca="false">IF(OR(S$4="",MONTH(($G$2+9))&lt;&gt;MONTH($C$2)),"",IF(COUNTIFS(m_teacher,S$4,m_date,($G$2+9),m_active,1,m_start,"&lt;"&amp;780,m_end,"&gt;"&amp;720)=0,"",IF(COUNTIFS(m_teacher,S$4,m_date,($G$2+9),m_active,1,m_start,"&lt;"&amp;780,m_end,"&gt;"&amp;720)&gt;1,"충돌",HYPERLINK("#'관리자_MASTER'!D"&amp;_xlfn.MAXIFS(m_row,m_teacher,S$4,m_date,($G$2+9),m_active,1,m_start,"&lt;"&amp;780,m_end,"&gt;"&amp;720),INDEX(m_label,_xlfn.MAXIFS(m_row,m_teacher,S$4,m_date,($G$2+9),m_active,1,m_start,"&lt;"&amp;780,m_end,"&gt;"&amp;720))))))</f>
        <v/>
      </c>
      <c r="T30" s="82" t="str">
        <f aca="false">IF(OR(T$4="",MONTH(($G$2+9))&lt;&gt;MONTH($C$2)),"",IF(COUNTIFS(m_teacher,T$4,m_date,($G$2+9),m_active,1,m_start,"&lt;"&amp;780,m_end,"&gt;"&amp;720)=0,"",IF(COUNTIFS(m_teacher,T$4,m_date,($G$2+9),m_active,1,m_start,"&lt;"&amp;780,m_end,"&gt;"&amp;720)&gt;1,"충돌",HYPERLINK("#'관리자_MASTER'!D"&amp;_xlfn.MAXIFS(m_row,m_teacher,T$4,m_date,($G$2+9),m_active,1,m_start,"&lt;"&amp;780,m_end,"&gt;"&amp;720),INDEX(m_label,_xlfn.MAXIFS(m_row,m_teacher,T$4,m_date,($G$2+9),m_active,1,m_start,"&lt;"&amp;780,m_end,"&gt;"&amp;720))))))</f>
        <v/>
      </c>
      <c r="U30" s="82" t="str">
        <f aca="false">IF(OR(U$4="",MONTH(($G$2+9))&lt;&gt;MONTH($C$2)),"",IF(COUNTIFS(m_teacher,U$4,m_date,($G$2+9),m_active,1,m_start,"&lt;"&amp;780,m_end,"&gt;"&amp;720)=0,"",IF(COUNTIFS(m_teacher,U$4,m_date,($G$2+9),m_active,1,m_start,"&lt;"&amp;780,m_end,"&gt;"&amp;720)&gt;1,"충돌",HYPERLINK("#'관리자_MASTER'!D"&amp;_xlfn.MAXIFS(m_row,m_teacher,U$4,m_date,($G$2+9),m_active,1,m_start,"&lt;"&amp;780,m_end,"&gt;"&amp;720),INDEX(m_label,_xlfn.MAXIFS(m_row,m_teacher,U$4,m_date,($G$2+9),m_active,1,m_start,"&lt;"&amp;780,m_end,"&gt;"&amp;720))))))</f>
        <v/>
      </c>
      <c r="V30" s="82" t="str">
        <f aca="false">IF(OR(V$4="",MONTH(($G$2+9))&lt;&gt;MONTH($C$2)),"",IF(COUNTIFS(m_teacher,V$4,m_date,($G$2+9),m_active,1,m_start,"&lt;"&amp;780,m_end,"&gt;"&amp;720)=0,"",IF(COUNTIFS(m_teacher,V$4,m_date,($G$2+9),m_active,1,m_start,"&lt;"&amp;780,m_end,"&gt;"&amp;720)&gt;1,"충돌",HYPERLINK("#'관리자_MASTER'!D"&amp;_xlfn.MAXIFS(m_row,m_teacher,V$4,m_date,($G$2+9),m_active,1,m_start,"&lt;"&amp;780,m_end,"&gt;"&amp;720),INDEX(m_label,_xlfn.MAXIFS(m_row,m_teacher,V$4,m_date,($G$2+9),m_active,1,m_start,"&lt;"&amp;780,m_end,"&gt;"&amp;720))))))</f>
        <v/>
      </c>
      <c r="W30" s="82" t="str">
        <f aca="false">IF(OR(W$4="",MONTH(($G$2+9))&lt;&gt;MONTH($C$2)),"",IF(COUNTIFS(m_teacher,W$4,m_date,($G$2+9),m_active,1,m_start,"&lt;"&amp;780,m_end,"&gt;"&amp;720)=0,"",IF(COUNTIFS(m_teacher,W$4,m_date,($G$2+9),m_active,1,m_start,"&lt;"&amp;780,m_end,"&gt;"&amp;720)&gt;1,"충돌",HYPERLINK("#'관리자_MASTER'!D"&amp;_xlfn.MAXIFS(m_row,m_teacher,W$4,m_date,($G$2+9),m_active,1,m_start,"&lt;"&amp;780,m_end,"&gt;"&amp;720),INDEX(m_label,_xlfn.MAXIFS(m_row,m_teacher,W$4,m_date,($G$2+9),m_active,1,m_start,"&lt;"&amp;780,m_end,"&gt;"&amp;720))))))</f>
        <v/>
      </c>
      <c r="X30" s="82" t="str">
        <f aca="false">IF(OR(X$4="",MONTH(($G$2+9))&lt;&gt;MONTH($C$2)),"",IF(COUNTIFS(m_teacher,X$4,m_date,($G$2+9),m_active,1,m_start,"&lt;"&amp;780,m_end,"&gt;"&amp;720)=0,"",IF(COUNTIFS(m_teacher,X$4,m_date,($G$2+9),m_active,1,m_start,"&lt;"&amp;780,m_end,"&gt;"&amp;720)&gt;1,"충돌",HYPERLINK("#'관리자_MASTER'!D"&amp;_xlfn.MAXIFS(m_row,m_teacher,X$4,m_date,($G$2+9),m_active,1,m_start,"&lt;"&amp;780,m_end,"&gt;"&amp;720),INDEX(m_label,_xlfn.MAXIFS(m_row,m_teacher,X$4,m_date,($G$2+9),m_active,1,m_start,"&lt;"&amp;780,m_end,"&gt;"&amp;720))))))</f>
        <v/>
      </c>
      <c r="Y30" s="82" t="str">
        <f aca="false">IF(OR(Y$4="",MONTH(($G$2+9))&lt;&gt;MONTH($C$2)),"",IF(COUNTIFS(m_teacher,Y$4,m_date,($G$2+9),m_active,1,m_start,"&lt;"&amp;780,m_end,"&gt;"&amp;720)=0,"",IF(COUNTIFS(m_teacher,Y$4,m_date,($G$2+9),m_active,1,m_start,"&lt;"&amp;780,m_end,"&gt;"&amp;720)&gt;1,"충돌",HYPERLINK("#'관리자_MASTER'!D"&amp;_xlfn.MAXIFS(m_row,m_teacher,Y$4,m_date,($G$2+9),m_active,1,m_start,"&lt;"&amp;780,m_end,"&gt;"&amp;720),INDEX(m_label,_xlfn.MAXIFS(m_row,m_teacher,Y$4,m_date,($G$2+9),m_active,1,m_start,"&lt;"&amp;780,m_end,"&gt;"&amp;720))))))</f>
        <v/>
      </c>
      <c r="Z30" s="82" t="str">
        <f aca="false">IF(OR(Z$4="",MONTH(($G$2+9))&lt;&gt;MONTH($C$2)),"",IF(COUNTIFS(m_teacher,Z$4,m_date,($G$2+9),m_active,1,m_start,"&lt;"&amp;780,m_end,"&gt;"&amp;720)=0,"",IF(COUNTIFS(m_teacher,Z$4,m_date,($G$2+9),m_active,1,m_start,"&lt;"&amp;780,m_end,"&gt;"&amp;720)&gt;1,"충돌",HYPERLINK("#'관리자_MASTER'!D"&amp;_xlfn.MAXIFS(m_row,m_teacher,Z$4,m_date,($G$2+9),m_active,1,m_start,"&lt;"&amp;780,m_end,"&gt;"&amp;720),INDEX(m_label,_xlfn.MAXIFS(m_row,m_teacher,Z$4,m_date,($G$2+9),m_active,1,m_start,"&lt;"&amp;780,m_end,"&gt;"&amp;720))))))</f>
        <v/>
      </c>
      <c r="AA30" s="82" t="str">
        <f aca="false">IF(OR(AA$4="",MONTH(($G$2+9))&lt;&gt;MONTH($C$2)),"",IF(COUNTIFS(m_teacher,AA$4,m_date,($G$2+9),m_active,1,m_start,"&lt;"&amp;780,m_end,"&gt;"&amp;720)=0,"",IF(COUNTIFS(m_teacher,AA$4,m_date,($G$2+9),m_active,1,m_start,"&lt;"&amp;780,m_end,"&gt;"&amp;720)&gt;1,"충돌",HYPERLINK("#'관리자_MASTER'!D"&amp;_xlfn.MAXIFS(m_row,m_teacher,AA$4,m_date,($G$2+9),m_active,1,m_start,"&lt;"&amp;780,m_end,"&gt;"&amp;720),INDEX(m_label,_xlfn.MAXIFS(m_row,m_teacher,AA$4,m_date,($G$2+9),m_active,1,m_start,"&lt;"&amp;780,m_end,"&gt;"&amp;720))))))</f>
        <v/>
      </c>
      <c r="AB30" s="82" t="str">
        <f aca="false">IF(OR(AB$4="",MONTH(($G$2+9))&lt;&gt;MONTH($C$2)),"",IF(COUNTIFS(m_teacher,AB$4,m_date,($G$2+9),m_active,1,m_start,"&lt;"&amp;780,m_end,"&gt;"&amp;720)=0,"",IF(COUNTIFS(m_teacher,AB$4,m_date,($G$2+9),m_active,1,m_start,"&lt;"&amp;780,m_end,"&gt;"&amp;720)&gt;1,"충돌",HYPERLINK("#'관리자_MASTER'!D"&amp;_xlfn.MAXIFS(m_row,m_teacher,AB$4,m_date,($G$2+9),m_active,1,m_start,"&lt;"&amp;780,m_end,"&gt;"&amp;720),INDEX(m_label,_xlfn.MAXIFS(m_row,m_teacher,AB$4,m_date,($G$2+9),m_active,1,m_start,"&lt;"&amp;780,m_end,"&gt;"&amp;720))))))</f>
        <v/>
      </c>
      <c r="AC30" s="78"/>
      <c r="AD30" s="79" t="s">
        <v>94</v>
      </c>
      <c r="AE30" s="82" t="str">
        <f aca="false">IF(OR(AE$4="",MONTH(($G$2+16))&lt;&gt;MONTH($C$2)),"",IF(COUNTIFS(m_teacher,AE$4,m_date,($G$2+16),m_active,1,m_start,"&lt;"&amp;780,m_end,"&gt;"&amp;720)=0,"",IF(COUNTIFS(m_teacher,AE$4,m_date,($G$2+16),m_active,1,m_start,"&lt;"&amp;780,m_end,"&gt;"&amp;720)&gt;1,"충돌",HYPERLINK("#'관리자_MASTER'!D"&amp;_xlfn.MAXIFS(m_row,m_teacher,AE$4,m_date,($G$2+16),m_active,1,m_start,"&lt;"&amp;780,m_end,"&gt;"&amp;720),INDEX(m_label,_xlfn.MAXIFS(m_row,m_teacher,AE$4,m_date,($G$2+16),m_active,1,m_start,"&lt;"&amp;780,m_end,"&gt;"&amp;720))))))</f>
        <v/>
      </c>
      <c r="AF30" s="82" t="str">
        <f aca="false">IF(OR(AF$4="",MONTH(($G$2+16))&lt;&gt;MONTH($C$2)),"",IF(COUNTIFS(m_teacher,AF$4,m_date,($G$2+16),m_active,1,m_start,"&lt;"&amp;780,m_end,"&gt;"&amp;720)=0,"",IF(COUNTIFS(m_teacher,AF$4,m_date,($G$2+16),m_active,1,m_start,"&lt;"&amp;780,m_end,"&gt;"&amp;720)&gt;1,"충돌",HYPERLINK("#'관리자_MASTER'!D"&amp;_xlfn.MAXIFS(m_row,m_teacher,AF$4,m_date,($G$2+16),m_active,1,m_start,"&lt;"&amp;780,m_end,"&gt;"&amp;720),INDEX(m_label,_xlfn.MAXIFS(m_row,m_teacher,AF$4,m_date,($G$2+16),m_active,1,m_start,"&lt;"&amp;780,m_end,"&gt;"&amp;720))))))</f>
        <v/>
      </c>
      <c r="AG30" s="82" t="str">
        <f aca="false">IF(OR(AG$4="",MONTH(($G$2+16))&lt;&gt;MONTH($C$2)),"",IF(COUNTIFS(m_teacher,AG$4,m_date,($G$2+16),m_active,1,m_start,"&lt;"&amp;780,m_end,"&gt;"&amp;720)=0,"",IF(COUNTIFS(m_teacher,AG$4,m_date,($G$2+16),m_active,1,m_start,"&lt;"&amp;780,m_end,"&gt;"&amp;720)&gt;1,"충돌",HYPERLINK("#'관리자_MASTER'!D"&amp;_xlfn.MAXIFS(m_row,m_teacher,AG$4,m_date,($G$2+16),m_active,1,m_start,"&lt;"&amp;780,m_end,"&gt;"&amp;720),INDEX(m_label,_xlfn.MAXIFS(m_row,m_teacher,AG$4,m_date,($G$2+16),m_active,1,m_start,"&lt;"&amp;780,m_end,"&gt;"&amp;720))))))</f>
        <v/>
      </c>
      <c r="AH30" s="82" t="str">
        <f aca="false">IF(OR(AH$4="",MONTH(($G$2+16))&lt;&gt;MONTH($C$2)),"",IF(COUNTIFS(m_teacher,AH$4,m_date,($G$2+16),m_active,1,m_start,"&lt;"&amp;780,m_end,"&gt;"&amp;720)=0,"",IF(COUNTIFS(m_teacher,AH$4,m_date,($G$2+16),m_active,1,m_start,"&lt;"&amp;780,m_end,"&gt;"&amp;720)&gt;1,"충돌",HYPERLINK("#'관리자_MASTER'!D"&amp;_xlfn.MAXIFS(m_row,m_teacher,AH$4,m_date,($G$2+16),m_active,1,m_start,"&lt;"&amp;780,m_end,"&gt;"&amp;720),INDEX(m_label,_xlfn.MAXIFS(m_row,m_teacher,AH$4,m_date,($G$2+16),m_active,1,m_start,"&lt;"&amp;780,m_end,"&gt;"&amp;720))))))</f>
        <v/>
      </c>
      <c r="AI30" s="82" t="str">
        <f aca="false">IF(OR(AI$4="",MONTH(($G$2+16))&lt;&gt;MONTH($C$2)),"",IF(COUNTIFS(m_teacher,AI$4,m_date,($G$2+16),m_active,1,m_start,"&lt;"&amp;780,m_end,"&gt;"&amp;720)=0,"",IF(COUNTIFS(m_teacher,AI$4,m_date,($G$2+16),m_active,1,m_start,"&lt;"&amp;780,m_end,"&gt;"&amp;720)&gt;1,"충돌",HYPERLINK("#'관리자_MASTER'!D"&amp;_xlfn.MAXIFS(m_row,m_teacher,AI$4,m_date,($G$2+16),m_active,1,m_start,"&lt;"&amp;780,m_end,"&gt;"&amp;720),INDEX(m_label,_xlfn.MAXIFS(m_row,m_teacher,AI$4,m_date,($G$2+16),m_active,1,m_start,"&lt;"&amp;780,m_end,"&gt;"&amp;720))))))</f>
        <v/>
      </c>
      <c r="AJ30" s="82" t="str">
        <f aca="false">IF(OR(AJ$4="",MONTH(($G$2+16))&lt;&gt;MONTH($C$2)),"",IF(COUNTIFS(m_teacher,AJ$4,m_date,($G$2+16),m_active,1,m_start,"&lt;"&amp;780,m_end,"&gt;"&amp;720)=0,"",IF(COUNTIFS(m_teacher,AJ$4,m_date,($G$2+16),m_active,1,m_start,"&lt;"&amp;780,m_end,"&gt;"&amp;720)&gt;1,"충돌",HYPERLINK("#'관리자_MASTER'!D"&amp;_xlfn.MAXIFS(m_row,m_teacher,AJ$4,m_date,($G$2+16),m_active,1,m_start,"&lt;"&amp;780,m_end,"&gt;"&amp;720),INDEX(m_label,_xlfn.MAXIFS(m_row,m_teacher,AJ$4,m_date,($G$2+16),m_active,1,m_start,"&lt;"&amp;780,m_end,"&gt;"&amp;720))))))</f>
        <v/>
      </c>
      <c r="AK30" s="82" t="str">
        <f aca="false">IF(OR(AK$4="",MONTH(($G$2+16))&lt;&gt;MONTH($C$2)),"",IF(COUNTIFS(m_teacher,AK$4,m_date,($G$2+16),m_active,1,m_start,"&lt;"&amp;780,m_end,"&gt;"&amp;720)=0,"",IF(COUNTIFS(m_teacher,AK$4,m_date,($G$2+16),m_active,1,m_start,"&lt;"&amp;780,m_end,"&gt;"&amp;720)&gt;1,"충돌",HYPERLINK("#'관리자_MASTER'!D"&amp;_xlfn.MAXIFS(m_row,m_teacher,AK$4,m_date,($G$2+16),m_active,1,m_start,"&lt;"&amp;780,m_end,"&gt;"&amp;720),INDEX(m_label,_xlfn.MAXIFS(m_row,m_teacher,AK$4,m_date,($G$2+16),m_active,1,m_start,"&lt;"&amp;780,m_end,"&gt;"&amp;720))))))</f>
        <v/>
      </c>
      <c r="AL30" s="82" t="str">
        <f aca="false">IF(OR(AL$4="",MONTH(($G$2+16))&lt;&gt;MONTH($C$2)),"",IF(COUNTIFS(m_teacher,AL$4,m_date,($G$2+16),m_active,1,m_start,"&lt;"&amp;780,m_end,"&gt;"&amp;720)=0,"",IF(COUNTIFS(m_teacher,AL$4,m_date,($G$2+16),m_active,1,m_start,"&lt;"&amp;780,m_end,"&gt;"&amp;720)&gt;1,"충돌",HYPERLINK("#'관리자_MASTER'!D"&amp;_xlfn.MAXIFS(m_row,m_teacher,AL$4,m_date,($G$2+16),m_active,1,m_start,"&lt;"&amp;780,m_end,"&gt;"&amp;720),INDEX(m_label,_xlfn.MAXIFS(m_row,m_teacher,AL$4,m_date,($G$2+16),m_active,1,m_start,"&lt;"&amp;780,m_end,"&gt;"&amp;720))))))</f>
        <v/>
      </c>
      <c r="AM30" s="82" t="str">
        <f aca="false">IF(OR(AM$4="",MONTH(($G$2+16))&lt;&gt;MONTH($C$2)),"",IF(COUNTIFS(m_teacher,AM$4,m_date,($G$2+16),m_active,1,m_start,"&lt;"&amp;780,m_end,"&gt;"&amp;720)=0,"",IF(COUNTIFS(m_teacher,AM$4,m_date,($G$2+16),m_active,1,m_start,"&lt;"&amp;780,m_end,"&gt;"&amp;720)&gt;1,"충돌",HYPERLINK("#'관리자_MASTER'!D"&amp;_xlfn.MAXIFS(m_row,m_teacher,AM$4,m_date,($G$2+16),m_active,1,m_start,"&lt;"&amp;780,m_end,"&gt;"&amp;720),INDEX(m_label,_xlfn.MAXIFS(m_row,m_teacher,AM$4,m_date,($G$2+16),m_active,1,m_start,"&lt;"&amp;780,m_end,"&gt;"&amp;720))))))</f>
        <v/>
      </c>
      <c r="AN30" s="82" t="str">
        <f aca="false">IF(OR(AN$4="",MONTH(($G$2+16))&lt;&gt;MONTH($C$2)),"",IF(COUNTIFS(m_teacher,AN$4,m_date,($G$2+16),m_active,1,m_start,"&lt;"&amp;780,m_end,"&gt;"&amp;720)=0,"",IF(COUNTIFS(m_teacher,AN$4,m_date,($G$2+16),m_active,1,m_start,"&lt;"&amp;780,m_end,"&gt;"&amp;720)&gt;1,"충돌",HYPERLINK("#'관리자_MASTER'!D"&amp;_xlfn.MAXIFS(m_row,m_teacher,AN$4,m_date,($G$2+16),m_active,1,m_start,"&lt;"&amp;780,m_end,"&gt;"&amp;720),INDEX(m_label,_xlfn.MAXIFS(m_row,m_teacher,AN$4,m_date,($G$2+16),m_active,1,m_start,"&lt;"&amp;780,m_end,"&gt;"&amp;720))))))</f>
        <v/>
      </c>
      <c r="AO30" s="82" t="str">
        <f aca="false">IF(OR(AO$4="",MONTH(($G$2+16))&lt;&gt;MONTH($C$2)),"",IF(COUNTIFS(m_teacher,AO$4,m_date,($G$2+16),m_active,1,m_start,"&lt;"&amp;780,m_end,"&gt;"&amp;720)=0,"",IF(COUNTIFS(m_teacher,AO$4,m_date,($G$2+16),m_active,1,m_start,"&lt;"&amp;780,m_end,"&gt;"&amp;720)&gt;1,"충돌",HYPERLINK("#'관리자_MASTER'!D"&amp;_xlfn.MAXIFS(m_row,m_teacher,AO$4,m_date,($G$2+16),m_active,1,m_start,"&lt;"&amp;780,m_end,"&gt;"&amp;720),INDEX(m_label,_xlfn.MAXIFS(m_row,m_teacher,AO$4,m_date,($G$2+16),m_active,1,m_start,"&lt;"&amp;780,m_end,"&gt;"&amp;720))))))</f>
        <v/>
      </c>
      <c r="AP30" s="82" t="str">
        <f aca="false">IF(OR(AP$4="",MONTH(($G$2+16))&lt;&gt;MONTH($C$2)),"",IF(COUNTIFS(m_teacher,AP$4,m_date,($G$2+16),m_active,1,m_start,"&lt;"&amp;780,m_end,"&gt;"&amp;720)=0,"",IF(COUNTIFS(m_teacher,AP$4,m_date,($G$2+16),m_active,1,m_start,"&lt;"&amp;780,m_end,"&gt;"&amp;720)&gt;1,"충돌",HYPERLINK("#'관리자_MASTER'!D"&amp;_xlfn.MAXIFS(m_row,m_teacher,AP$4,m_date,($G$2+16),m_active,1,m_start,"&lt;"&amp;780,m_end,"&gt;"&amp;720),INDEX(m_label,_xlfn.MAXIFS(m_row,m_teacher,AP$4,m_date,($G$2+16),m_active,1,m_start,"&lt;"&amp;780,m_end,"&gt;"&amp;720))))))</f>
        <v/>
      </c>
      <c r="AQ30" s="78"/>
      <c r="AR30" s="79" t="s">
        <v>94</v>
      </c>
      <c r="AS30" s="82" t="str">
        <f aca="false">IF(OR(AS$4="",MONTH(($G$2+23))&lt;&gt;MONTH($C$2)),"",IF(COUNTIFS(m_teacher,AS$4,m_date,($G$2+23),m_active,1,m_start,"&lt;"&amp;780,m_end,"&gt;"&amp;720)=0,"",IF(COUNTIFS(m_teacher,AS$4,m_date,($G$2+23),m_active,1,m_start,"&lt;"&amp;780,m_end,"&gt;"&amp;720)&gt;1,"충돌",HYPERLINK("#'관리자_MASTER'!D"&amp;_xlfn.MAXIFS(m_row,m_teacher,AS$4,m_date,($G$2+23),m_active,1,m_start,"&lt;"&amp;780,m_end,"&gt;"&amp;720),INDEX(m_label,_xlfn.MAXIFS(m_row,m_teacher,AS$4,m_date,($G$2+23),m_active,1,m_start,"&lt;"&amp;780,m_end,"&gt;"&amp;720))))))</f>
        <v/>
      </c>
      <c r="AT30" s="82" t="str">
        <f aca="false">IF(OR(AT$4="",MONTH(($G$2+23))&lt;&gt;MONTH($C$2)),"",IF(COUNTIFS(m_teacher,AT$4,m_date,($G$2+23),m_active,1,m_start,"&lt;"&amp;780,m_end,"&gt;"&amp;720)=0,"",IF(COUNTIFS(m_teacher,AT$4,m_date,($G$2+23),m_active,1,m_start,"&lt;"&amp;780,m_end,"&gt;"&amp;720)&gt;1,"충돌",HYPERLINK("#'관리자_MASTER'!D"&amp;_xlfn.MAXIFS(m_row,m_teacher,AT$4,m_date,($G$2+23),m_active,1,m_start,"&lt;"&amp;780,m_end,"&gt;"&amp;720),INDEX(m_label,_xlfn.MAXIFS(m_row,m_teacher,AT$4,m_date,($G$2+23),m_active,1,m_start,"&lt;"&amp;780,m_end,"&gt;"&amp;720))))))</f>
        <v/>
      </c>
      <c r="AU30" s="82" t="str">
        <f aca="false">IF(OR(AU$4="",MONTH(($G$2+23))&lt;&gt;MONTH($C$2)),"",IF(COUNTIFS(m_teacher,AU$4,m_date,($G$2+23),m_active,1,m_start,"&lt;"&amp;780,m_end,"&gt;"&amp;720)=0,"",IF(COUNTIFS(m_teacher,AU$4,m_date,($G$2+23),m_active,1,m_start,"&lt;"&amp;780,m_end,"&gt;"&amp;720)&gt;1,"충돌",HYPERLINK("#'관리자_MASTER'!D"&amp;_xlfn.MAXIFS(m_row,m_teacher,AU$4,m_date,($G$2+23),m_active,1,m_start,"&lt;"&amp;780,m_end,"&gt;"&amp;720),INDEX(m_label,_xlfn.MAXIFS(m_row,m_teacher,AU$4,m_date,($G$2+23),m_active,1,m_start,"&lt;"&amp;780,m_end,"&gt;"&amp;720))))))</f>
        <v/>
      </c>
      <c r="AV30" s="82" t="str">
        <f aca="false">IF(OR(AV$4="",MONTH(($G$2+23))&lt;&gt;MONTH($C$2)),"",IF(COUNTIFS(m_teacher,AV$4,m_date,($G$2+23),m_active,1,m_start,"&lt;"&amp;780,m_end,"&gt;"&amp;720)=0,"",IF(COUNTIFS(m_teacher,AV$4,m_date,($G$2+23),m_active,1,m_start,"&lt;"&amp;780,m_end,"&gt;"&amp;720)&gt;1,"충돌",HYPERLINK("#'관리자_MASTER'!D"&amp;_xlfn.MAXIFS(m_row,m_teacher,AV$4,m_date,($G$2+23),m_active,1,m_start,"&lt;"&amp;780,m_end,"&gt;"&amp;720),INDEX(m_label,_xlfn.MAXIFS(m_row,m_teacher,AV$4,m_date,($G$2+23),m_active,1,m_start,"&lt;"&amp;780,m_end,"&gt;"&amp;720))))))</f>
        <v/>
      </c>
      <c r="AW30" s="82" t="str">
        <f aca="false">IF(OR(AW$4="",MONTH(($G$2+23))&lt;&gt;MONTH($C$2)),"",IF(COUNTIFS(m_teacher,AW$4,m_date,($G$2+23),m_active,1,m_start,"&lt;"&amp;780,m_end,"&gt;"&amp;720)=0,"",IF(COUNTIFS(m_teacher,AW$4,m_date,($G$2+23),m_active,1,m_start,"&lt;"&amp;780,m_end,"&gt;"&amp;720)&gt;1,"충돌",HYPERLINK("#'관리자_MASTER'!D"&amp;_xlfn.MAXIFS(m_row,m_teacher,AW$4,m_date,($G$2+23),m_active,1,m_start,"&lt;"&amp;780,m_end,"&gt;"&amp;720),INDEX(m_label,_xlfn.MAXIFS(m_row,m_teacher,AW$4,m_date,($G$2+23),m_active,1,m_start,"&lt;"&amp;780,m_end,"&gt;"&amp;720))))))</f>
        <v/>
      </c>
      <c r="AX30" s="82" t="str">
        <f aca="false">IF(OR(AX$4="",MONTH(($G$2+23))&lt;&gt;MONTH($C$2)),"",IF(COUNTIFS(m_teacher,AX$4,m_date,($G$2+23),m_active,1,m_start,"&lt;"&amp;780,m_end,"&gt;"&amp;720)=0,"",IF(COUNTIFS(m_teacher,AX$4,m_date,($G$2+23),m_active,1,m_start,"&lt;"&amp;780,m_end,"&gt;"&amp;720)&gt;1,"충돌",HYPERLINK("#'관리자_MASTER'!D"&amp;_xlfn.MAXIFS(m_row,m_teacher,AX$4,m_date,($G$2+23),m_active,1,m_start,"&lt;"&amp;780,m_end,"&gt;"&amp;720),INDEX(m_label,_xlfn.MAXIFS(m_row,m_teacher,AX$4,m_date,($G$2+23),m_active,1,m_start,"&lt;"&amp;780,m_end,"&gt;"&amp;720))))))</f>
        <v/>
      </c>
      <c r="AY30" s="82" t="str">
        <f aca="false">IF(OR(AY$4="",MONTH(($G$2+23))&lt;&gt;MONTH($C$2)),"",IF(COUNTIFS(m_teacher,AY$4,m_date,($G$2+23),m_active,1,m_start,"&lt;"&amp;780,m_end,"&gt;"&amp;720)=0,"",IF(COUNTIFS(m_teacher,AY$4,m_date,($G$2+23),m_active,1,m_start,"&lt;"&amp;780,m_end,"&gt;"&amp;720)&gt;1,"충돌",HYPERLINK("#'관리자_MASTER'!D"&amp;_xlfn.MAXIFS(m_row,m_teacher,AY$4,m_date,($G$2+23),m_active,1,m_start,"&lt;"&amp;780,m_end,"&gt;"&amp;720),INDEX(m_label,_xlfn.MAXIFS(m_row,m_teacher,AY$4,m_date,($G$2+23),m_active,1,m_start,"&lt;"&amp;780,m_end,"&gt;"&amp;720))))))</f>
        <v/>
      </c>
      <c r="AZ30" s="82" t="str">
        <f aca="false">IF(OR(AZ$4="",MONTH(($G$2+23))&lt;&gt;MONTH($C$2)),"",IF(COUNTIFS(m_teacher,AZ$4,m_date,($G$2+23),m_active,1,m_start,"&lt;"&amp;780,m_end,"&gt;"&amp;720)=0,"",IF(COUNTIFS(m_teacher,AZ$4,m_date,($G$2+23),m_active,1,m_start,"&lt;"&amp;780,m_end,"&gt;"&amp;720)&gt;1,"충돌",HYPERLINK("#'관리자_MASTER'!D"&amp;_xlfn.MAXIFS(m_row,m_teacher,AZ$4,m_date,($G$2+23),m_active,1,m_start,"&lt;"&amp;780,m_end,"&gt;"&amp;720),INDEX(m_label,_xlfn.MAXIFS(m_row,m_teacher,AZ$4,m_date,($G$2+23),m_active,1,m_start,"&lt;"&amp;780,m_end,"&gt;"&amp;720))))))</f>
        <v/>
      </c>
      <c r="BA30" s="82" t="str">
        <f aca="false">IF(OR(BA$4="",MONTH(($G$2+23))&lt;&gt;MONTH($C$2)),"",IF(COUNTIFS(m_teacher,BA$4,m_date,($G$2+23),m_active,1,m_start,"&lt;"&amp;780,m_end,"&gt;"&amp;720)=0,"",IF(COUNTIFS(m_teacher,BA$4,m_date,($G$2+23),m_active,1,m_start,"&lt;"&amp;780,m_end,"&gt;"&amp;720)&gt;1,"충돌",HYPERLINK("#'관리자_MASTER'!D"&amp;_xlfn.MAXIFS(m_row,m_teacher,BA$4,m_date,($G$2+23),m_active,1,m_start,"&lt;"&amp;780,m_end,"&gt;"&amp;720),INDEX(m_label,_xlfn.MAXIFS(m_row,m_teacher,BA$4,m_date,($G$2+23),m_active,1,m_start,"&lt;"&amp;780,m_end,"&gt;"&amp;720))))))</f>
        <v/>
      </c>
      <c r="BB30" s="82" t="str">
        <f aca="false">IF(OR(BB$4="",MONTH(($G$2+23))&lt;&gt;MONTH($C$2)),"",IF(COUNTIFS(m_teacher,BB$4,m_date,($G$2+23),m_active,1,m_start,"&lt;"&amp;780,m_end,"&gt;"&amp;720)=0,"",IF(COUNTIFS(m_teacher,BB$4,m_date,($G$2+23),m_active,1,m_start,"&lt;"&amp;780,m_end,"&gt;"&amp;720)&gt;1,"충돌",HYPERLINK("#'관리자_MASTER'!D"&amp;_xlfn.MAXIFS(m_row,m_teacher,BB$4,m_date,($G$2+23),m_active,1,m_start,"&lt;"&amp;780,m_end,"&gt;"&amp;720),INDEX(m_label,_xlfn.MAXIFS(m_row,m_teacher,BB$4,m_date,($G$2+23),m_active,1,m_start,"&lt;"&amp;780,m_end,"&gt;"&amp;720))))))</f>
        <v/>
      </c>
      <c r="BC30" s="82" t="str">
        <f aca="false">IF(OR(BC$4="",MONTH(($G$2+23))&lt;&gt;MONTH($C$2)),"",IF(COUNTIFS(m_teacher,BC$4,m_date,($G$2+23),m_active,1,m_start,"&lt;"&amp;780,m_end,"&gt;"&amp;720)=0,"",IF(COUNTIFS(m_teacher,BC$4,m_date,($G$2+23),m_active,1,m_start,"&lt;"&amp;780,m_end,"&gt;"&amp;720)&gt;1,"충돌",HYPERLINK("#'관리자_MASTER'!D"&amp;_xlfn.MAXIFS(m_row,m_teacher,BC$4,m_date,($G$2+23),m_active,1,m_start,"&lt;"&amp;780,m_end,"&gt;"&amp;720),INDEX(m_label,_xlfn.MAXIFS(m_row,m_teacher,BC$4,m_date,($G$2+23),m_active,1,m_start,"&lt;"&amp;780,m_end,"&gt;"&amp;720))))))</f>
        <v/>
      </c>
      <c r="BD30" s="82" t="str">
        <f aca="false">IF(OR(BD$4="",MONTH(($G$2+23))&lt;&gt;MONTH($C$2)),"",IF(COUNTIFS(m_teacher,BD$4,m_date,($G$2+23),m_active,1,m_start,"&lt;"&amp;780,m_end,"&gt;"&amp;720)=0,"",IF(COUNTIFS(m_teacher,BD$4,m_date,($G$2+23),m_active,1,m_start,"&lt;"&amp;780,m_end,"&gt;"&amp;720)&gt;1,"충돌",HYPERLINK("#'관리자_MASTER'!D"&amp;_xlfn.MAXIFS(m_row,m_teacher,BD$4,m_date,($G$2+23),m_active,1,m_start,"&lt;"&amp;780,m_end,"&gt;"&amp;720),INDEX(m_label,_xlfn.MAXIFS(m_row,m_teacher,BD$4,m_date,($G$2+23),m_active,1,m_start,"&lt;"&amp;780,m_end,"&gt;"&amp;720))))))</f>
        <v/>
      </c>
      <c r="BE30" s="78"/>
      <c r="BF30" s="79" t="s">
        <v>94</v>
      </c>
      <c r="BG30" s="82" t="str">
        <f aca="false">IF(OR(BG$4="",MONTH(($G$2+30))&lt;&gt;MONTH($C$2)),"",IF(COUNTIFS(m_teacher,BG$4,m_date,($G$2+30),m_active,1,m_start,"&lt;"&amp;780,m_end,"&gt;"&amp;720)=0,"",IF(COUNTIFS(m_teacher,BG$4,m_date,($G$2+30),m_active,1,m_start,"&lt;"&amp;780,m_end,"&gt;"&amp;720)&gt;1,"충돌",HYPERLINK("#'관리자_MASTER'!D"&amp;_xlfn.MAXIFS(m_row,m_teacher,BG$4,m_date,($G$2+30),m_active,1,m_start,"&lt;"&amp;780,m_end,"&gt;"&amp;720),INDEX(m_label,_xlfn.MAXIFS(m_row,m_teacher,BG$4,m_date,($G$2+30),m_active,1,m_start,"&lt;"&amp;780,m_end,"&gt;"&amp;720))))))</f>
        <v/>
      </c>
      <c r="BH30" s="82" t="str">
        <f aca="false">IF(OR(BH$4="",MONTH(($G$2+30))&lt;&gt;MONTH($C$2)),"",IF(COUNTIFS(m_teacher,BH$4,m_date,($G$2+30),m_active,1,m_start,"&lt;"&amp;780,m_end,"&gt;"&amp;720)=0,"",IF(COUNTIFS(m_teacher,BH$4,m_date,($G$2+30),m_active,1,m_start,"&lt;"&amp;780,m_end,"&gt;"&amp;720)&gt;1,"충돌",HYPERLINK("#'관리자_MASTER'!D"&amp;_xlfn.MAXIFS(m_row,m_teacher,BH$4,m_date,($G$2+30),m_active,1,m_start,"&lt;"&amp;780,m_end,"&gt;"&amp;720),INDEX(m_label,_xlfn.MAXIFS(m_row,m_teacher,BH$4,m_date,($G$2+30),m_active,1,m_start,"&lt;"&amp;780,m_end,"&gt;"&amp;720))))))</f>
        <v/>
      </c>
      <c r="BI30" s="82" t="str">
        <f aca="false">IF(OR(BI$4="",MONTH(($G$2+30))&lt;&gt;MONTH($C$2)),"",IF(COUNTIFS(m_teacher,BI$4,m_date,($G$2+30),m_active,1,m_start,"&lt;"&amp;780,m_end,"&gt;"&amp;720)=0,"",IF(COUNTIFS(m_teacher,BI$4,m_date,($G$2+30),m_active,1,m_start,"&lt;"&amp;780,m_end,"&gt;"&amp;720)&gt;1,"충돌",HYPERLINK("#'관리자_MASTER'!D"&amp;_xlfn.MAXIFS(m_row,m_teacher,BI$4,m_date,($G$2+30),m_active,1,m_start,"&lt;"&amp;780,m_end,"&gt;"&amp;720),INDEX(m_label,_xlfn.MAXIFS(m_row,m_teacher,BI$4,m_date,($G$2+30),m_active,1,m_start,"&lt;"&amp;780,m_end,"&gt;"&amp;720))))))</f>
        <v/>
      </c>
      <c r="BJ30" s="82" t="str">
        <f aca="false">IF(OR(BJ$4="",MONTH(($G$2+30))&lt;&gt;MONTH($C$2)),"",IF(COUNTIFS(m_teacher,BJ$4,m_date,($G$2+30),m_active,1,m_start,"&lt;"&amp;780,m_end,"&gt;"&amp;720)=0,"",IF(COUNTIFS(m_teacher,BJ$4,m_date,($G$2+30),m_active,1,m_start,"&lt;"&amp;780,m_end,"&gt;"&amp;720)&gt;1,"충돌",HYPERLINK("#'관리자_MASTER'!D"&amp;_xlfn.MAXIFS(m_row,m_teacher,BJ$4,m_date,($G$2+30),m_active,1,m_start,"&lt;"&amp;780,m_end,"&gt;"&amp;720),INDEX(m_label,_xlfn.MAXIFS(m_row,m_teacher,BJ$4,m_date,($G$2+30),m_active,1,m_start,"&lt;"&amp;780,m_end,"&gt;"&amp;720))))))</f>
        <v/>
      </c>
      <c r="BK30" s="82" t="str">
        <f aca="false">IF(OR(BK$4="",MONTH(($G$2+30))&lt;&gt;MONTH($C$2)),"",IF(COUNTIFS(m_teacher,BK$4,m_date,($G$2+30),m_active,1,m_start,"&lt;"&amp;780,m_end,"&gt;"&amp;720)=0,"",IF(COUNTIFS(m_teacher,BK$4,m_date,($G$2+30),m_active,1,m_start,"&lt;"&amp;780,m_end,"&gt;"&amp;720)&gt;1,"충돌",HYPERLINK("#'관리자_MASTER'!D"&amp;_xlfn.MAXIFS(m_row,m_teacher,BK$4,m_date,($G$2+30),m_active,1,m_start,"&lt;"&amp;780,m_end,"&gt;"&amp;720),INDEX(m_label,_xlfn.MAXIFS(m_row,m_teacher,BK$4,m_date,($G$2+30),m_active,1,m_start,"&lt;"&amp;780,m_end,"&gt;"&amp;720))))))</f>
        <v/>
      </c>
      <c r="BL30" s="82" t="str">
        <f aca="false">IF(OR(BL$4="",MONTH(($G$2+30))&lt;&gt;MONTH($C$2)),"",IF(COUNTIFS(m_teacher,BL$4,m_date,($G$2+30),m_active,1,m_start,"&lt;"&amp;780,m_end,"&gt;"&amp;720)=0,"",IF(COUNTIFS(m_teacher,BL$4,m_date,($G$2+30),m_active,1,m_start,"&lt;"&amp;780,m_end,"&gt;"&amp;720)&gt;1,"충돌",HYPERLINK("#'관리자_MASTER'!D"&amp;_xlfn.MAXIFS(m_row,m_teacher,BL$4,m_date,($G$2+30),m_active,1,m_start,"&lt;"&amp;780,m_end,"&gt;"&amp;720),INDEX(m_label,_xlfn.MAXIFS(m_row,m_teacher,BL$4,m_date,($G$2+30),m_active,1,m_start,"&lt;"&amp;780,m_end,"&gt;"&amp;720))))))</f>
        <v/>
      </c>
      <c r="BM30" s="82" t="str">
        <f aca="false">IF(OR(BM$4="",MONTH(($G$2+30))&lt;&gt;MONTH($C$2)),"",IF(COUNTIFS(m_teacher,BM$4,m_date,($G$2+30),m_active,1,m_start,"&lt;"&amp;780,m_end,"&gt;"&amp;720)=0,"",IF(COUNTIFS(m_teacher,BM$4,m_date,($G$2+30),m_active,1,m_start,"&lt;"&amp;780,m_end,"&gt;"&amp;720)&gt;1,"충돌",HYPERLINK("#'관리자_MASTER'!D"&amp;_xlfn.MAXIFS(m_row,m_teacher,BM$4,m_date,($G$2+30),m_active,1,m_start,"&lt;"&amp;780,m_end,"&gt;"&amp;720),INDEX(m_label,_xlfn.MAXIFS(m_row,m_teacher,BM$4,m_date,($G$2+30),m_active,1,m_start,"&lt;"&amp;780,m_end,"&gt;"&amp;720))))))</f>
        <v/>
      </c>
      <c r="BN30" s="82" t="str">
        <f aca="false">IF(OR(BN$4="",MONTH(($G$2+30))&lt;&gt;MONTH($C$2)),"",IF(COUNTIFS(m_teacher,BN$4,m_date,($G$2+30),m_active,1,m_start,"&lt;"&amp;780,m_end,"&gt;"&amp;720)=0,"",IF(COUNTIFS(m_teacher,BN$4,m_date,($G$2+30),m_active,1,m_start,"&lt;"&amp;780,m_end,"&gt;"&amp;720)&gt;1,"충돌",HYPERLINK("#'관리자_MASTER'!D"&amp;_xlfn.MAXIFS(m_row,m_teacher,BN$4,m_date,($G$2+30),m_active,1,m_start,"&lt;"&amp;780,m_end,"&gt;"&amp;720),INDEX(m_label,_xlfn.MAXIFS(m_row,m_teacher,BN$4,m_date,($G$2+30),m_active,1,m_start,"&lt;"&amp;780,m_end,"&gt;"&amp;720))))))</f>
        <v/>
      </c>
      <c r="BO30" s="82" t="str">
        <f aca="false">IF(OR(BO$4="",MONTH(($G$2+30))&lt;&gt;MONTH($C$2)),"",IF(COUNTIFS(m_teacher,BO$4,m_date,($G$2+30),m_active,1,m_start,"&lt;"&amp;780,m_end,"&gt;"&amp;720)=0,"",IF(COUNTIFS(m_teacher,BO$4,m_date,($G$2+30),m_active,1,m_start,"&lt;"&amp;780,m_end,"&gt;"&amp;720)&gt;1,"충돌",HYPERLINK("#'관리자_MASTER'!D"&amp;_xlfn.MAXIFS(m_row,m_teacher,BO$4,m_date,($G$2+30),m_active,1,m_start,"&lt;"&amp;780,m_end,"&gt;"&amp;720),INDEX(m_label,_xlfn.MAXIFS(m_row,m_teacher,BO$4,m_date,($G$2+30),m_active,1,m_start,"&lt;"&amp;780,m_end,"&gt;"&amp;720))))))</f>
        <v/>
      </c>
      <c r="BP30" s="82" t="str">
        <f aca="false">IF(OR(BP$4="",MONTH(($G$2+30))&lt;&gt;MONTH($C$2)),"",IF(COUNTIFS(m_teacher,BP$4,m_date,($G$2+30),m_active,1,m_start,"&lt;"&amp;780,m_end,"&gt;"&amp;720)=0,"",IF(COUNTIFS(m_teacher,BP$4,m_date,($G$2+30),m_active,1,m_start,"&lt;"&amp;780,m_end,"&gt;"&amp;720)&gt;1,"충돌",HYPERLINK("#'관리자_MASTER'!D"&amp;_xlfn.MAXIFS(m_row,m_teacher,BP$4,m_date,($G$2+30),m_active,1,m_start,"&lt;"&amp;780,m_end,"&gt;"&amp;720),INDEX(m_label,_xlfn.MAXIFS(m_row,m_teacher,BP$4,m_date,($G$2+30),m_active,1,m_start,"&lt;"&amp;780,m_end,"&gt;"&amp;720))))))</f>
        <v/>
      </c>
      <c r="BQ30" s="82" t="str">
        <f aca="false">IF(OR(BQ$4="",MONTH(($G$2+30))&lt;&gt;MONTH($C$2)),"",IF(COUNTIFS(m_teacher,BQ$4,m_date,($G$2+30),m_active,1,m_start,"&lt;"&amp;780,m_end,"&gt;"&amp;720)=0,"",IF(COUNTIFS(m_teacher,BQ$4,m_date,($G$2+30),m_active,1,m_start,"&lt;"&amp;780,m_end,"&gt;"&amp;720)&gt;1,"충돌",HYPERLINK("#'관리자_MASTER'!D"&amp;_xlfn.MAXIFS(m_row,m_teacher,BQ$4,m_date,($G$2+30),m_active,1,m_start,"&lt;"&amp;780,m_end,"&gt;"&amp;720),INDEX(m_label,_xlfn.MAXIFS(m_row,m_teacher,BQ$4,m_date,($G$2+30),m_active,1,m_start,"&lt;"&amp;780,m_end,"&gt;"&amp;720))))))</f>
        <v/>
      </c>
      <c r="BR30" s="82" t="str">
        <f aca="false">IF(OR(BR$4="",MONTH(($G$2+30))&lt;&gt;MONTH($C$2)),"",IF(COUNTIFS(m_teacher,BR$4,m_date,($G$2+30),m_active,1,m_start,"&lt;"&amp;780,m_end,"&gt;"&amp;720)=0,"",IF(COUNTIFS(m_teacher,BR$4,m_date,($G$2+30),m_active,1,m_start,"&lt;"&amp;780,m_end,"&gt;"&amp;720)&gt;1,"충돌",HYPERLINK("#'관리자_MASTER'!D"&amp;_xlfn.MAXIFS(m_row,m_teacher,BR$4,m_date,($G$2+30),m_active,1,m_start,"&lt;"&amp;780,m_end,"&gt;"&amp;720),INDEX(m_label,_xlfn.MAXIFS(m_row,m_teacher,BR$4,m_date,($G$2+30),m_active,1,m_start,"&lt;"&amp;780,m_end,"&gt;"&amp;720))))))</f>
        <v/>
      </c>
    </row>
    <row r="31" customFormat="false" ht="19.5" hidden="false" customHeight="true" outlineLevel="0" collapsed="false">
      <c r="A31" s="75"/>
      <c r="B31" s="76" t="s">
        <v>95</v>
      </c>
      <c r="C31" s="81" t="str">
        <f aca="false">IF(OR(C$4="",MONTH(($G$2+2))&lt;&gt;MONTH($C$2)),"",IF(COUNTIFS(m_teacher,C$4,m_date,($G$2+2),m_active,1,m_start,"&lt;"&amp;840,m_end,"&gt;"&amp;780)=0,"",IF(COUNTIFS(m_teacher,C$4,m_date,($G$2+2),m_active,1,m_start,"&lt;"&amp;840,m_end,"&gt;"&amp;780)&gt;1,"충돌",HYPERLINK("#'관리자_MASTER'!D"&amp;_xlfn.MAXIFS(m_row,m_teacher,C$4,m_date,($G$2+2),m_active,1,m_start,"&lt;"&amp;840,m_end,"&gt;"&amp;780),INDEX(m_label,_xlfn.MAXIFS(m_row,m_teacher,C$4,m_date,($G$2+2),m_active,1,m_start,"&lt;"&amp;840,m_end,"&gt;"&amp;780))))))</f>
        <v/>
      </c>
      <c r="D31" s="81" t="str">
        <f aca="false">IF(OR(D$4="",MONTH(($G$2+2))&lt;&gt;MONTH($C$2)),"",IF(COUNTIFS(m_teacher,D$4,m_date,($G$2+2),m_active,1,m_start,"&lt;"&amp;840,m_end,"&gt;"&amp;780)=0,"",IF(COUNTIFS(m_teacher,D$4,m_date,($G$2+2),m_active,1,m_start,"&lt;"&amp;840,m_end,"&gt;"&amp;780)&gt;1,"충돌",HYPERLINK("#'관리자_MASTER'!D"&amp;_xlfn.MAXIFS(m_row,m_teacher,D$4,m_date,($G$2+2),m_active,1,m_start,"&lt;"&amp;840,m_end,"&gt;"&amp;780),INDEX(m_label,_xlfn.MAXIFS(m_row,m_teacher,D$4,m_date,($G$2+2),m_active,1,m_start,"&lt;"&amp;840,m_end,"&gt;"&amp;780))))))</f>
        <v/>
      </c>
      <c r="E31" s="81" t="str">
        <f aca="false">IF(OR(E$4="",MONTH(($G$2+2))&lt;&gt;MONTH($C$2)),"",IF(COUNTIFS(m_teacher,E$4,m_date,($G$2+2),m_active,1,m_start,"&lt;"&amp;840,m_end,"&gt;"&amp;780)=0,"",IF(COUNTIFS(m_teacher,E$4,m_date,($G$2+2),m_active,1,m_start,"&lt;"&amp;840,m_end,"&gt;"&amp;780)&gt;1,"충돌",HYPERLINK("#'관리자_MASTER'!D"&amp;_xlfn.MAXIFS(m_row,m_teacher,E$4,m_date,($G$2+2),m_active,1,m_start,"&lt;"&amp;840,m_end,"&gt;"&amp;780),INDEX(m_label,_xlfn.MAXIFS(m_row,m_teacher,E$4,m_date,($G$2+2),m_active,1,m_start,"&lt;"&amp;840,m_end,"&gt;"&amp;780))))))</f>
        <v/>
      </c>
      <c r="F31" s="81" t="str">
        <f aca="false">IF(OR(F$4="",MONTH(($G$2+2))&lt;&gt;MONTH($C$2)),"",IF(COUNTIFS(m_teacher,F$4,m_date,($G$2+2),m_active,1,m_start,"&lt;"&amp;840,m_end,"&gt;"&amp;780)=0,"",IF(COUNTIFS(m_teacher,F$4,m_date,($G$2+2),m_active,1,m_start,"&lt;"&amp;840,m_end,"&gt;"&amp;780)&gt;1,"충돌",HYPERLINK("#'관리자_MASTER'!D"&amp;_xlfn.MAXIFS(m_row,m_teacher,F$4,m_date,($G$2+2),m_active,1,m_start,"&lt;"&amp;840,m_end,"&gt;"&amp;780),INDEX(m_label,_xlfn.MAXIFS(m_row,m_teacher,F$4,m_date,($G$2+2),m_active,1,m_start,"&lt;"&amp;840,m_end,"&gt;"&amp;780))))))</f>
        <v/>
      </c>
      <c r="G31" s="81" t="str">
        <f aca="false">IF(OR(G$4="",MONTH(($G$2+2))&lt;&gt;MONTH($C$2)),"",IF(COUNTIFS(m_teacher,G$4,m_date,($G$2+2),m_active,1,m_start,"&lt;"&amp;840,m_end,"&gt;"&amp;780)=0,"",IF(COUNTIFS(m_teacher,G$4,m_date,($G$2+2),m_active,1,m_start,"&lt;"&amp;840,m_end,"&gt;"&amp;780)&gt;1,"충돌",HYPERLINK("#'관리자_MASTER'!D"&amp;_xlfn.MAXIFS(m_row,m_teacher,G$4,m_date,($G$2+2),m_active,1,m_start,"&lt;"&amp;840,m_end,"&gt;"&amp;780),INDEX(m_label,_xlfn.MAXIFS(m_row,m_teacher,G$4,m_date,($G$2+2),m_active,1,m_start,"&lt;"&amp;840,m_end,"&gt;"&amp;780))))))</f>
        <v/>
      </c>
      <c r="H31" s="81" t="str">
        <f aca="false">IF(OR(H$4="",MONTH(($G$2+2))&lt;&gt;MONTH($C$2)),"",IF(COUNTIFS(m_teacher,H$4,m_date,($G$2+2),m_active,1,m_start,"&lt;"&amp;840,m_end,"&gt;"&amp;780)=0,"",IF(COUNTIFS(m_teacher,H$4,m_date,($G$2+2),m_active,1,m_start,"&lt;"&amp;840,m_end,"&gt;"&amp;780)&gt;1,"충돌",HYPERLINK("#'관리자_MASTER'!D"&amp;_xlfn.MAXIFS(m_row,m_teacher,H$4,m_date,($G$2+2),m_active,1,m_start,"&lt;"&amp;840,m_end,"&gt;"&amp;780),INDEX(m_label,_xlfn.MAXIFS(m_row,m_teacher,H$4,m_date,($G$2+2),m_active,1,m_start,"&lt;"&amp;840,m_end,"&gt;"&amp;780))))))</f>
        <v/>
      </c>
      <c r="I31" s="81" t="str">
        <f aca="false">IF(OR(I$4="",MONTH(($G$2+2))&lt;&gt;MONTH($C$2)),"",IF(COUNTIFS(m_teacher,I$4,m_date,($G$2+2),m_active,1,m_start,"&lt;"&amp;840,m_end,"&gt;"&amp;780)=0,"",IF(COUNTIFS(m_teacher,I$4,m_date,($G$2+2),m_active,1,m_start,"&lt;"&amp;840,m_end,"&gt;"&amp;780)&gt;1,"충돌",HYPERLINK("#'관리자_MASTER'!D"&amp;_xlfn.MAXIFS(m_row,m_teacher,I$4,m_date,($G$2+2),m_active,1,m_start,"&lt;"&amp;840,m_end,"&gt;"&amp;780),INDEX(m_label,_xlfn.MAXIFS(m_row,m_teacher,I$4,m_date,($G$2+2),m_active,1,m_start,"&lt;"&amp;840,m_end,"&gt;"&amp;780))))))</f>
        <v/>
      </c>
      <c r="J31" s="81" t="str">
        <f aca="false">IF(OR(J$4="",MONTH(($G$2+2))&lt;&gt;MONTH($C$2)),"",IF(COUNTIFS(m_teacher,J$4,m_date,($G$2+2),m_active,1,m_start,"&lt;"&amp;840,m_end,"&gt;"&amp;780)=0,"",IF(COUNTIFS(m_teacher,J$4,m_date,($G$2+2),m_active,1,m_start,"&lt;"&amp;840,m_end,"&gt;"&amp;780)&gt;1,"충돌",HYPERLINK("#'관리자_MASTER'!D"&amp;_xlfn.MAXIFS(m_row,m_teacher,J$4,m_date,($G$2+2),m_active,1,m_start,"&lt;"&amp;840,m_end,"&gt;"&amp;780),INDEX(m_label,_xlfn.MAXIFS(m_row,m_teacher,J$4,m_date,($G$2+2),m_active,1,m_start,"&lt;"&amp;840,m_end,"&gt;"&amp;780))))))</f>
        <v/>
      </c>
      <c r="K31" s="81" t="str">
        <f aca="false">IF(OR(K$4="",MONTH(($G$2+2))&lt;&gt;MONTH($C$2)),"",IF(COUNTIFS(m_teacher,K$4,m_date,($G$2+2),m_active,1,m_start,"&lt;"&amp;840,m_end,"&gt;"&amp;780)=0,"",IF(COUNTIFS(m_teacher,K$4,m_date,($G$2+2),m_active,1,m_start,"&lt;"&amp;840,m_end,"&gt;"&amp;780)&gt;1,"충돌",HYPERLINK("#'관리자_MASTER'!D"&amp;_xlfn.MAXIFS(m_row,m_teacher,K$4,m_date,($G$2+2),m_active,1,m_start,"&lt;"&amp;840,m_end,"&gt;"&amp;780),INDEX(m_label,_xlfn.MAXIFS(m_row,m_teacher,K$4,m_date,($G$2+2),m_active,1,m_start,"&lt;"&amp;840,m_end,"&gt;"&amp;780))))))</f>
        <v/>
      </c>
      <c r="L31" s="81" t="str">
        <f aca="false">IF(OR(L$4="",MONTH(($G$2+2))&lt;&gt;MONTH($C$2)),"",IF(COUNTIFS(m_teacher,L$4,m_date,($G$2+2),m_active,1,m_start,"&lt;"&amp;840,m_end,"&gt;"&amp;780)=0,"",IF(COUNTIFS(m_teacher,L$4,m_date,($G$2+2),m_active,1,m_start,"&lt;"&amp;840,m_end,"&gt;"&amp;780)&gt;1,"충돌",HYPERLINK("#'관리자_MASTER'!D"&amp;_xlfn.MAXIFS(m_row,m_teacher,L$4,m_date,($G$2+2),m_active,1,m_start,"&lt;"&amp;840,m_end,"&gt;"&amp;780),INDEX(m_label,_xlfn.MAXIFS(m_row,m_teacher,L$4,m_date,($G$2+2),m_active,1,m_start,"&lt;"&amp;840,m_end,"&gt;"&amp;780))))))</f>
        <v/>
      </c>
      <c r="M31" s="81" t="str">
        <f aca="false">IF(OR(M$4="",MONTH(($G$2+2))&lt;&gt;MONTH($C$2)),"",IF(COUNTIFS(m_teacher,M$4,m_date,($G$2+2),m_active,1,m_start,"&lt;"&amp;840,m_end,"&gt;"&amp;780)=0,"",IF(COUNTIFS(m_teacher,M$4,m_date,($G$2+2),m_active,1,m_start,"&lt;"&amp;840,m_end,"&gt;"&amp;780)&gt;1,"충돌",HYPERLINK("#'관리자_MASTER'!D"&amp;_xlfn.MAXIFS(m_row,m_teacher,M$4,m_date,($G$2+2),m_active,1,m_start,"&lt;"&amp;840,m_end,"&gt;"&amp;780),INDEX(m_label,_xlfn.MAXIFS(m_row,m_teacher,M$4,m_date,($G$2+2),m_active,1,m_start,"&lt;"&amp;840,m_end,"&gt;"&amp;780))))))</f>
        <v/>
      </c>
      <c r="N31" s="81" t="str">
        <f aca="false">IF(OR(N$4="",MONTH(($G$2+2))&lt;&gt;MONTH($C$2)),"",IF(COUNTIFS(m_teacher,N$4,m_date,($G$2+2),m_active,1,m_start,"&lt;"&amp;840,m_end,"&gt;"&amp;780)=0,"",IF(COUNTIFS(m_teacher,N$4,m_date,($G$2+2),m_active,1,m_start,"&lt;"&amp;840,m_end,"&gt;"&amp;780)&gt;1,"충돌",HYPERLINK("#'관리자_MASTER'!D"&amp;_xlfn.MAXIFS(m_row,m_teacher,N$4,m_date,($G$2+2),m_active,1,m_start,"&lt;"&amp;840,m_end,"&gt;"&amp;780),INDEX(m_label,_xlfn.MAXIFS(m_row,m_teacher,N$4,m_date,($G$2+2),m_active,1,m_start,"&lt;"&amp;840,m_end,"&gt;"&amp;780))))))</f>
        <v/>
      </c>
      <c r="O31" s="78"/>
      <c r="P31" s="79" t="s">
        <v>95</v>
      </c>
      <c r="Q31" s="82" t="str">
        <f aca="false">IF(OR(Q$4="",MONTH(($G$2+9))&lt;&gt;MONTH($C$2)),"",IF(COUNTIFS(m_teacher,Q$4,m_date,($G$2+9),m_active,1,m_start,"&lt;"&amp;840,m_end,"&gt;"&amp;780)=0,"",IF(COUNTIFS(m_teacher,Q$4,m_date,($G$2+9),m_active,1,m_start,"&lt;"&amp;840,m_end,"&gt;"&amp;780)&gt;1,"충돌",HYPERLINK("#'관리자_MASTER'!D"&amp;_xlfn.MAXIFS(m_row,m_teacher,Q$4,m_date,($G$2+9),m_active,1,m_start,"&lt;"&amp;840,m_end,"&gt;"&amp;780),INDEX(m_label,_xlfn.MAXIFS(m_row,m_teacher,Q$4,m_date,($G$2+9),m_active,1,m_start,"&lt;"&amp;840,m_end,"&gt;"&amp;780))))))</f>
        <v/>
      </c>
      <c r="R31" s="82" t="str">
        <f aca="false">IF(OR(R$4="",MONTH(($G$2+9))&lt;&gt;MONTH($C$2)),"",IF(COUNTIFS(m_teacher,R$4,m_date,($G$2+9),m_active,1,m_start,"&lt;"&amp;840,m_end,"&gt;"&amp;780)=0,"",IF(COUNTIFS(m_teacher,R$4,m_date,($G$2+9),m_active,1,m_start,"&lt;"&amp;840,m_end,"&gt;"&amp;780)&gt;1,"충돌",HYPERLINK("#'관리자_MASTER'!D"&amp;_xlfn.MAXIFS(m_row,m_teacher,R$4,m_date,($G$2+9),m_active,1,m_start,"&lt;"&amp;840,m_end,"&gt;"&amp;780),INDEX(m_label,_xlfn.MAXIFS(m_row,m_teacher,R$4,m_date,($G$2+9),m_active,1,m_start,"&lt;"&amp;840,m_end,"&gt;"&amp;780))))))</f>
        <v/>
      </c>
      <c r="S31" s="82" t="str">
        <f aca="false">IF(OR(S$4="",MONTH(($G$2+9))&lt;&gt;MONTH($C$2)),"",IF(COUNTIFS(m_teacher,S$4,m_date,($G$2+9),m_active,1,m_start,"&lt;"&amp;840,m_end,"&gt;"&amp;780)=0,"",IF(COUNTIFS(m_teacher,S$4,m_date,($G$2+9),m_active,1,m_start,"&lt;"&amp;840,m_end,"&gt;"&amp;780)&gt;1,"충돌",HYPERLINK("#'관리자_MASTER'!D"&amp;_xlfn.MAXIFS(m_row,m_teacher,S$4,m_date,($G$2+9),m_active,1,m_start,"&lt;"&amp;840,m_end,"&gt;"&amp;780),INDEX(m_label,_xlfn.MAXIFS(m_row,m_teacher,S$4,m_date,($G$2+9),m_active,1,m_start,"&lt;"&amp;840,m_end,"&gt;"&amp;780))))))</f>
        <v/>
      </c>
      <c r="T31" s="82" t="str">
        <f aca="false">IF(OR(T$4="",MONTH(($G$2+9))&lt;&gt;MONTH($C$2)),"",IF(COUNTIFS(m_teacher,T$4,m_date,($G$2+9),m_active,1,m_start,"&lt;"&amp;840,m_end,"&gt;"&amp;780)=0,"",IF(COUNTIFS(m_teacher,T$4,m_date,($G$2+9),m_active,1,m_start,"&lt;"&amp;840,m_end,"&gt;"&amp;780)&gt;1,"충돌",HYPERLINK("#'관리자_MASTER'!D"&amp;_xlfn.MAXIFS(m_row,m_teacher,T$4,m_date,($G$2+9),m_active,1,m_start,"&lt;"&amp;840,m_end,"&gt;"&amp;780),INDEX(m_label,_xlfn.MAXIFS(m_row,m_teacher,T$4,m_date,($G$2+9),m_active,1,m_start,"&lt;"&amp;840,m_end,"&gt;"&amp;780))))))</f>
        <v/>
      </c>
      <c r="U31" s="82" t="str">
        <f aca="false">IF(OR(U$4="",MONTH(($G$2+9))&lt;&gt;MONTH($C$2)),"",IF(COUNTIFS(m_teacher,U$4,m_date,($G$2+9),m_active,1,m_start,"&lt;"&amp;840,m_end,"&gt;"&amp;780)=0,"",IF(COUNTIFS(m_teacher,U$4,m_date,($G$2+9),m_active,1,m_start,"&lt;"&amp;840,m_end,"&gt;"&amp;780)&gt;1,"충돌",HYPERLINK("#'관리자_MASTER'!D"&amp;_xlfn.MAXIFS(m_row,m_teacher,U$4,m_date,($G$2+9),m_active,1,m_start,"&lt;"&amp;840,m_end,"&gt;"&amp;780),INDEX(m_label,_xlfn.MAXIFS(m_row,m_teacher,U$4,m_date,($G$2+9),m_active,1,m_start,"&lt;"&amp;840,m_end,"&gt;"&amp;780))))))</f>
        <v/>
      </c>
      <c r="V31" s="82" t="str">
        <f aca="false">IF(OR(V$4="",MONTH(($G$2+9))&lt;&gt;MONTH($C$2)),"",IF(COUNTIFS(m_teacher,V$4,m_date,($G$2+9),m_active,1,m_start,"&lt;"&amp;840,m_end,"&gt;"&amp;780)=0,"",IF(COUNTIFS(m_teacher,V$4,m_date,($G$2+9),m_active,1,m_start,"&lt;"&amp;840,m_end,"&gt;"&amp;780)&gt;1,"충돌",HYPERLINK("#'관리자_MASTER'!D"&amp;_xlfn.MAXIFS(m_row,m_teacher,V$4,m_date,($G$2+9),m_active,1,m_start,"&lt;"&amp;840,m_end,"&gt;"&amp;780),INDEX(m_label,_xlfn.MAXIFS(m_row,m_teacher,V$4,m_date,($G$2+9),m_active,1,m_start,"&lt;"&amp;840,m_end,"&gt;"&amp;780))))))</f>
        <v/>
      </c>
      <c r="W31" s="82" t="str">
        <f aca="false">IF(OR(W$4="",MONTH(($G$2+9))&lt;&gt;MONTH($C$2)),"",IF(COUNTIFS(m_teacher,W$4,m_date,($G$2+9),m_active,1,m_start,"&lt;"&amp;840,m_end,"&gt;"&amp;780)=0,"",IF(COUNTIFS(m_teacher,W$4,m_date,($G$2+9),m_active,1,m_start,"&lt;"&amp;840,m_end,"&gt;"&amp;780)&gt;1,"충돌",HYPERLINK("#'관리자_MASTER'!D"&amp;_xlfn.MAXIFS(m_row,m_teacher,W$4,m_date,($G$2+9),m_active,1,m_start,"&lt;"&amp;840,m_end,"&gt;"&amp;780),INDEX(m_label,_xlfn.MAXIFS(m_row,m_teacher,W$4,m_date,($G$2+9),m_active,1,m_start,"&lt;"&amp;840,m_end,"&gt;"&amp;780))))))</f>
        <v/>
      </c>
      <c r="X31" s="82" t="str">
        <f aca="false">IF(OR(X$4="",MONTH(($G$2+9))&lt;&gt;MONTH($C$2)),"",IF(COUNTIFS(m_teacher,X$4,m_date,($G$2+9),m_active,1,m_start,"&lt;"&amp;840,m_end,"&gt;"&amp;780)=0,"",IF(COUNTIFS(m_teacher,X$4,m_date,($G$2+9),m_active,1,m_start,"&lt;"&amp;840,m_end,"&gt;"&amp;780)&gt;1,"충돌",HYPERLINK("#'관리자_MASTER'!D"&amp;_xlfn.MAXIFS(m_row,m_teacher,X$4,m_date,($G$2+9),m_active,1,m_start,"&lt;"&amp;840,m_end,"&gt;"&amp;780),INDEX(m_label,_xlfn.MAXIFS(m_row,m_teacher,X$4,m_date,($G$2+9),m_active,1,m_start,"&lt;"&amp;840,m_end,"&gt;"&amp;780))))))</f>
        <v/>
      </c>
      <c r="Y31" s="82" t="str">
        <f aca="false">IF(OR(Y$4="",MONTH(($G$2+9))&lt;&gt;MONTH($C$2)),"",IF(COUNTIFS(m_teacher,Y$4,m_date,($G$2+9),m_active,1,m_start,"&lt;"&amp;840,m_end,"&gt;"&amp;780)=0,"",IF(COUNTIFS(m_teacher,Y$4,m_date,($G$2+9),m_active,1,m_start,"&lt;"&amp;840,m_end,"&gt;"&amp;780)&gt;1,"충돌",HYPERLINK("#'관리자_MASTER'!D"&amp;_xlfn.MAXIFS(m_row,m_teacher,Y$4,m_date,($G$2+9),m_active,1,m_start,"&lt;"&amp;840,m_end,"&gt;"&amp;780),INDEX(m_label,_xlfn.MAXIFS(m_row,m_teacher,Y$4,m_date,($G$2+9),m_active,1,m_start,"&lt;"&amp;840,m_end,"&gt;"&amp;780))))))</f>
        <v/>
      </c>
      <c r="Z31" s="82" t="str">
        <f aca="false">IF(OR(Z$4="",MONTH(($G$2+9))&lt;&gt;MONTH($C$2)),"",IF(COUNTIFS(m_teacher,Z$4,m_date,($G$2+9),m_active,1,m_start,"&lt;"&amp;840,m_end,"&gt;"&amp;780)=0,"",IF(COUNTIFS(m_teacher,Z$4,m_date,($G$2+9),m_active,1,m_start,"&lt;"&amp;840,m_end,"&gt;"&amp;780)&gt;1,"충돌",HYPERLINK("#'관리자_MASTER'!D"&amp;_xlfn.MAXIFS(m_row,m_teacher,Z$4,m_date,($G$2+9),m_active,1,m_start,"&lt;"&amp;840,m_end,"&gt;"&amp;780),INDEX(m_label,_xlfn.MAXIFS(m_row,m_teacher,Z$4,m_date,($G$2+9),m_active,1,m_start,"&lt;"&amp;840,m_end,"&gt;"&amp;780))))))</f>
        <v/>
      </c>
      <c r="AA31" s="82" t="str">
        <f aca="false">IF(OR(AA$4="",MONTH(($G$2+9))&lt;&gt;MONTH($C$2)),"",IF(COUNTIFS(m_teacher,AA$4,m_date,($G$2+9),m_active,1,m_start,"&lt;"&amp;840,m_end,"&gt;"&amp;780)=0,"",IF(COUNTIFS(m_teacher,AA$4,m_date,($G$2+9),m_active,1,m_start,"&lt;"&amp;840,m_end,"&gt;"&amp;780)&gt;1,"충돌",HYPERLINK("#'관리자_MASTER'!D"&amp;_xlfn.MAXIFS(m_row,m_teacher,AA$4,m_date,($G$2+9),m_active,1,m_start,"&lt;"&amp;840,m_end,"&gt;"&amp;780),INDEX(m_label,_xlfn.MAXIFS(m_row,m_teacher,AA$4,m_date,($G$2+9),m_active,1,m_start,"&lt;"&amp;840,m_end,"&gt;"&amp;780))))))</f>
        <v/>
      </c>
      <c r="AB31" s="82" t="str">
        <f aca="false">IF(OR(AB$4="",MONTH(($G$2+9))&lt;&gt;MONTH($C$2)),"",IF(COUNTIFS(m_teacher,AB$4,m_date,($G$2+9),m_active,1,m_start,"&lt;"&amp;840,m_end,"&gt;"&amp;780)=0,"",IF(COUNTIFS(m_teacher,AB$4,m_date,($G$2+9),m_active,1,m_start,"&lt;"&amp;840,m_end,"&gt;"&amp;780)&gt;1,"충돌",HYPERLINK("#'관리자_MASTER'!D"&amp;_xlfn.MAXIFS(m_row,m_teacher,AB$4,m_date,($G$2+9),m_active,1,m_start,"&lt;"&amp;840,m_end,"&gt;"&amp;780),INDEX(m_label,_xlfn.MAXIFS(m_row,m_teacher,AB$4,m_date,($G$2+9),m_active,1,m_start,"&lt;"&amp;840,m_end,"&gt;"&amp;780))))))</f>
        <v/>
      </c>
      <c r="AC31" s="78"/>
      <c r="AD31" s="79" t="s">
        <v>95</v>
      </c>
      <c r="AE31" s="82" t="str">
        <f aca="false">IF(OR(AE$4="",MONTH(($G$2+16))&lt;&gt;MONTH($C$2)),"",IF(COUNTIFS(m_teacher,AE$4,m_date,($G$2+16),m_active,1,m_start,"&lt;"&amp;840,m_end,"&gt;"&amp;780)=0,"",IF(COUNTIFS(m_teacher,AE$4,m_date,($G$2+16),m_active,1,m_start,"&lt;"&amp;840,m_end,"&gt;"&amp;780)&gt;1,"충돌",HYPERLINK("#'관리자_MASTER'!D"&amp;_xlfn.MAXIFS(m_row,m_teacher,AE$4,m_date,($G$2+16),m_active,1,m_start,"&lt;"&amp;840,m_end,"&gt;"&amp;780),INDEX(m_label,_xlfn.MAXIFS(m_row,m_teacher,AE$4,m_date,($G$2+16),m_active,1,m_start,"&lt;"&amp;840,m_end,"&gt;"&amp;780))))))</f>
        <v/>
      </c>
      <c r="AF31" s="82" t="str">
        <f aca="false">IF(OR(AF$4="",MONTH(($G$2+16))&lt;&gt;MONTH($C$2)),"",IF(COUNTIFS(m_teacher,AF$4,m_date,($G$2+16),m_active,1,m_start,"&lt;"&amp;840,m_end,"&gt;"&amp;780)=0,"",IF(COUNTIFS(m_teacher,AF$4,m_date,($G$2+16),m_active,1,m_start,"&lt;"&amp;840,m_end,"&gt;"&amp;780)&gt;1,"충돌",HYPERLINK("#'관리자_MASTER'!D"&amp;_xlfn.MAXIFS(m_row,m_teacher,AF$4,m_date,($G$2+16),m_active,1,m_start,"&lt;"&amp;840,m_end,"&gt;"&amp;780),INDEX(m_label,_xlfn.MAXIFS(m_row,m_teacher,AF$4,m_date,($G$2+16),m_active,1,m_start,"&lt;"&amp;840,m_end,"&gt;"&amp;780))))))</f>
        <v/>
      </c>
      <c r="AG31" s="82" t="str">
        <f aca="false">IF(OR(AG$4="",MONTH(($G$2+16))&lt;&gt;MONTH($C$2)),"",IF(COUNTIFS(m_teacher,AG$4,m_date,($G$2+16),m_active,1,m_start,"&lt;"&amp;840,m_end,"&gt;"&amp;780)=0,"",IF(COUNTIFS(m_teacher,AG$4,m_date,($G$2+16),m_active,1,m_start,"&lt;"&amp;840,m_end,"&gt;"&amp;780)&gt;1,"충돌",HYPERLINK("#'관리자_MASTER'!D"&amp;_xlfn.MAXIFS(m_row,m_teacher,AG$4,m_date,($G$2+16),m_active,1,m_start,"&lt;"&amp;840,m_end,"&gt;"&amp;780),INDEX(m_label,_xlfn.MAXIFS(m_row,m_teacher,AG$4,m_date,($G$2+16),m_active,1,m_start,"&lt;"&amp;840,m_end,"&gt;"&amp;780))))))</f>
        <v/>
      </c>
      <c r="AH31" s="82" t="str">
        <f aca="false">IF(OR(AH$4="",MONTH(($G$2+16))&lt;&gt;MONTH($C$2)),"",IF(COUNTIFS(m_teacher,AH$4,m_date,($G$2+16),m_active,1,m_start,"&lt;"&amp;840,m_end,"&gt;"&amp;780)=0,"",IF(COUNTIFS(m_teacher,AH$4,m_date,($G$2+16),m_active,1,m_start,"&lt;"&amp;840,m_end,"&gt;"&amp;780)&gt;1,"충돌",HYPERLINK("#'관리자_MASTER'!D"&amp;_xlfn.MAXIFS(m_row,m_teacher,AH$4,m_date,($G$2+16),m_active,1,m_start,"&lt;"&amp;840,m_end,"&gt;"&amp;780),INDEX(m_label,_xlfn.MAXIFS(m_row,m_teacher,AH$4,m_date,($G$2+16),m_active,1,m_start,"&lt;"&amp;840,m_end,"&gt;"&amp;780))))))</f>
        <v/>
      </c>
      <c r="AI31" s="82" t="str">
        <f aca="false">IF(OR(AI$4="",MONTH(($G$2+16))&lt;&gt;MONTH($C$2)),"",IF(COUNTIFS(m_teacher,AI$4,m_date,($G$2+16),m_active,1,m_start,"&lt;"&amp;840,m_end,"&gt;"&amp;780)=0,"",IF(COUNTIFS(m_teacher,AI$4,m_date,($G$2+16),m_active,1,m_start,"&lt;"&amp;840,m_end,"&gt;"&amp;780)&gt;1,"충돌",HYPERLINK("#'관리자_MASTER'!D"&amp;_xlfn.MAXIFS(m_row,m_teacher,AI$4,m_date,($G$2+16),m_active,1,m_start,"&lt;"&amp;840,m_end,"&gt;"&amp;780),INDEX(m_label,_xlfn.MAXIFS(m_row,m_teacher,AI$4,m_date,($G$2+16),m_active,1,m_start,"&lt;"&amp;840,m_end,"&gt;"&amp;780))))))</f>
        <v/>
      </c>
      <c r="AJ31" s="82" t="str">
        <f aca="false">IF(OR(AJ$4="",MONTH(($G$2+16))&lt;&gt;MONTH($C$2)),"",IF(COUNTIFS(m_teacher,AJ$4,m_date,($G$2+16),m_active,1,m_start,"&lt;"&amp;840,m_end,"&gt;"&amp;780)=0,"",IF(COUNTIFS(m_teacher,AJ$4,m_date,($G$2+16),m_active,1,m_start,"&lt;"&amp;840,m_end,"&gt;"&amp;780)&gt;1,"충돌",HYPERLINK("#'관리자_MASTER'!D"&amp;_xlfn.MAXIFS(m_row,m_teacher,AJ$4,m_date,($G$2+16),m_active,1,m_start,"&lt;"&amp;840,m_end,"&gt;"&amp;780),INDEX(m_label,_xlfn.MAXIFS(m_row,m_teacher,AJ$4,m_date,($G$2+16),m_active,1,m_start,"&lt;"&amp;840,m_end,"&gt;"&amp;780))))))</f>
        <v/>
      </c>
      <c r="AK31" s="82" t="str">
        <f aca="false">IF(OR(AK$4="",MONTH(($G$2+16))&lt;&gt;MONTH($C$2)),"",IF(COUNTIFS(m_teacher,AK$4,m_date,($G$2+16),m_active,1,m_start,"&lt;"&amp;840,m_end,"&gt;"&amp;780)=0,"",IF(COUNTIFS(m_teacher,AK$4,m_date,($G$2+16),m_active,1,m_start,"&lt;"&amp;840,m_end,"&gt;"&amp;780)&gt;1,"충돌",HYPERLINK("#'관리자_MASTER'!D"&amp;_xlfn.MAXIFS(m_row,m_teacher,AK$4,m_date,($G$2+16),m_active,1,m_start,"&lt;"&amp;840,m_end,"&gt;"&amp;780),INDEX(m_label,_xlfn.MAXIFS(m_row,m_teacher,AK$4,m_date,($G$2+16),m_active,1,m_start,"&lt;"&amp;840,m_end,"&gt;"&amp;780))))))</f>
        <v/>
      </c>
      <c r="AL31" s="82" t="str">
        <f aca="false">IF(OR(AL$4="",MONTH(($G$2+16))&lt;&gt;MONTH($C$2)),"",IF(COUNTIFS(m_teacher,AL$4,m_date,($G$2+16),m_active,1,m_start,"&lt;"&amp;840,m_end,"&gt;"&amp;780)=0,"",IF(COUNTIFS(m_teacher,AL$4,m_date,($G$2+16),m_active,1,m_start,"&lt;"&amp;840,m_end,"&gt;"&amp;780)&gt;1,"충돌",HYPERLINK("#'관리자_MASTER'!D"&amp;_xlfn.MAXIFS(m_row,m_teacher,AL$4,m_date,($G$2+16),m_active,1,m_start,"&lt;"&amp;840,m_end,"&gt;"&amp;780),INDEX(m_label,_xlfn.MAXIFS(m_row,m_teacher,AL$4,m_date,($G$2+16),m_active,1,m_start,"&lt;"&amp;840,m_end,"&gt;"&amp;780))))))</f>
        <v/>
      </c>
      <c r="AM31" s="82" t="str">
        <f aca="false">IF(OR(AM$4="",MONTH(($G$2+16))&lt;&gt;MONTH($C$2)),"",IF(COUNTIFS(m_teacher,AM$4,m_date,($G$2+16),m_active,1,m_start,"&lt;"&amp;840,m_end,"&gt;"&amp;780)=0,"",IF(COUNTIFS(m_teacher,AM$4,m_date,($G$2+16),m_active,1,m_start,"&lt;"&amp;840,m_end,"&gt;"&amp;780)&gt;1,"충돌",HYPERLINK("#'관리자_MASTER'!D"&amp;_xlfn.MAXIFS(m_row,m_teacher,AM$4,m_date,($G$2+16),m_active,1,m_start,"&lt;"&amp;840,m_end,"&gt;"&amp;780),INDEX(m_label,_xlfn.MAXIFS(m_row,m_teacher,AM$4,m_date,($G$2+16),m_active,1,m_start,"&lt;"&amp;840,m_end,"&gt;"&amp;780))))))</f>
        <v/>
      </c>
      <c r="AN31" s="82" t="str">
        <f aca="false">IF(OR(AN$4="",MONTH(($G$2+16))&lt;&gt;MONTH($C$2)),"",IF(COUNTIFS(m_teacher,AN$4,m_date,($G$2+16),m_active,1,m_start,"&lt;"&amp;840,m_end,"&gt;"&amp;780)=0,"",IF(COUNTIFS(m_teacher,AN$4,m_date,($G$2+16),m_active,1,m_start,"&lt;"&amp;840,m_end,"&gt;"&amp;780)&gt;1,"충돌",HYPERLINK("#'관리자_MASTER'!D"&amp;_xlfn.MAXIFS(m_row,m_teacher,AN$4,m_date,($G$2+16),m_active,1,m_start,"&lt;"&amp;840,m_end,"&gt;"&amp;780),INDEX(m_label,_xlfn.MAXIFS(m_row,m_teacher,AN$4,m_date,($G$2+16),m_active,1,m_start,"&lt;"&amp;840,m_end,"&gt;"&amp;780))))))</f>
        <v/>
      </c>
      <c r="AO31" s="82" t="str">
        <f aca="false">IF(OR(AO$4="",MONTH(($G$2+16))&lt;&gt;MONTH($C$2)),"",IF(COUNTIFS(m_teacher,AO$4,m_date,($G$2+16),m_active,1,m_start,"&lt;"&amp;840,m_end,"&gt;"&amp;780)=0,"",IF(COUNTIFS(m_teacher,AO$4,m_date,($G$2+16),m_active,1,m_start,"&lt;"&amp;840,m_end,"&gt;"&amp;780)&gt;1,"충돌",HYPERLINK("#'관리자_MASTER'!D"&amp;_xlfn.MAXIFS(m_row,m_teacher,AO$4,m_date,($G$2+16),m_active,1,m_start,"&lt;"&amp;840,m_end,"&gt;"&amp;780),INDEX(m_label,_xlfn.MAXIFS(m_row,m_teacher,AO$4,m_date,($G$2+16),m_active,1,m_start,"&lt;"&amp;840,m_end,"&gt;"&amp;780))))))</f>
        <v/>
      </c>
      <c r="AP31" s="82" t="str">
        <f aca="false">IF(OR(AP$4="",MONTH(($G$2+16))&lt;&gt;MONTH($C$2)),"",IF(COUNTIFS(m_teacher,AP$4,m_date,($G$2+16),m_active,1,m_start,"&lt;"&amp;840,m_end,"&gt;"&amp;780)=0,"",IF(COUNTIFS(m_teacher,AP$4,m_date,($G$2+16),m_active,1,m_start,"&lt;"&amp;840,m_end,"&gt;"&amp;780)&gt;1,"충돌",HYPERLINK("#'관리자_MASTER'!D"&amp;_xlfn.MAXIFS(m_row,m_teacher,AP$4,m_date,($G$2+16),m_active,1,m_start,"&lt;"&amp;840,m_end,"&gt;"&amp;780),INDEX(m_label,_xlfn.MAXIFS(m_row,m_teacher,AP$4,m_date,($G$2+16),m_active,1,m_start,"&lt;"&amp;840,m_end,"&gt;"&amp;780))))))</f>
        <v/>
      </c>
      <c r="AQ31" s="78"/>
      <c r="AR31" s="79" t="s">
        <v>95</v>
      </c>
      <c r="AS31" s="82" t="str">
        <f aca="false">IF(OR(AS$4="",MONTH(($G$2+23))&lt;&gt;MONTH($C$2)),"",IF(COUNTIFS(m_teacher,AS$4,m_date,($G$2+23),m_active,1,m_start,"&lt;"&amp;840,m_end,"&gt;"&amp;780)=0,"",IF(COUNTIFS(m_teacher,AS$4,m_date,($G$2+23),m_active,1,m_start,"&lt;"&amp;840,m_end,"&gt;"&amp;780)&gt;1,"충돌",HYPERLINK("#'관리자_MASTER'!D"&amp;_xlfn.MAXIFS(m_row,m_teacher,AS$4,m_date,($G$2+23),m_active,1,m_start,"&lt;"&amp;840,m_end,"&gt;"&amp;780),INDEX(m_label,_xlfn.MAXIFS(m_row,m_teacher,AS$4,m_date,($G$2+23),m_active,1,m_start,"&lt;"&amp;840,m_end,"&gt;"&amp;780))))))</f>
        <v/>
      </c>
      <c r="AT31" s="82" t="str">
        <f aca="false">IF(OR(AT$4="",MONTH(($G$2+23))&lt;&gt;MONTH($C$2)),"",IF(COUNTIFS(m_teacher,AT$4,m_date,($G$2+23),m_active,1,m_start,"&lt;"&amp;840,m_end,"&gt;"&amp;780)=0,"",IF(COUNTIFS(m_teacher,AT$4,m_date,($G$2+23),m_active,1,m_start,"&lt;"&amp;840,m_end,"&gt;"&amp;780)&gt;1,"충돌",HYPERLINK("#'관리자_MASTER'!D"&amp;_xlfn.MAXIFS(m_row,m_teacher,AT$4,m_date,($G$2+23),m_active,1,m_start,"&lt;"&amp;840,m_end,"&gt;"&amp;780),INDEX(m_label,_xlfn.MAXIFS(m_row,m_teacher,AT$4,m_date,($G$2+23),m_active,1,m_start,"&lt;"&amp;840,m_end,"&gt;"&amp;780))))))</f>
        <v/>
      </c>
      <c r="AU31" s="82" t="str">
        <f aca="false">IF(OR(AU$4="",MONTH(($G$2+23))&lt;&gt;MONTH($C$2)),"",IF(COUNTIFS(m_teacher,AU$4,m_date,($G$2+23),m_active,1,m_start,"&lt;"&amp;840,m_end,"&gt;"&amp;780)=0,"",IF(COUNTIFS(m_teacher,AU$4,m_date,($G$2+23),m_active,1,m_start,"&lt;"&amp;840,m_end,"&gt;"&amp;780)&gt;1,"충돌",HYPERLINK("#'관리자_MASTER'!D"&amp;_xlfn.MAXIFS(m_row,m_teacher,AU$4,m_date,($G$2+23),m_active,1,m_start,"&lt;"&amp;840,m_end,"&gt;"&amp;780),INDEX(m_label,_xlfn.MAXIFS(m_row,m_teacher,AU$4,m_date,($G$2+23),m_active,1,m_start,"&lt;"&amp;840,m_end,"&gt;"&amp;780))))))</f>
        <v/>
      </c>
      <c r="AV31" s="82" t="str">
        <f aca="false">IF(OR(AV$4="",MONTH(($G$2+23))&lt;&gt;MONTH($C$2)),"",IF(COUNTIFS(m_teacher,AV$4,m_date,($G$2+23),m_active,1,m_start,"&lt;"&amp;840,m_end,"&gt;"&amp;780)=0,"",IF(COUNTIFS(m_teacher,AV$4,m_date,($G$2+23),m_active,1,m_start,"&lt;"&amp;840,m_end,"&gt;"&amp;780)&gt;1,"충돌",HYPERLINK("#'관리자_MASTER'!D"&amp;_xlfn.MAXIFS(m_row,m_teacher,AV$4,m_date,($G$2+23),m_active,1,m_start,"&lt;"&amp;840,m_end,"&gt;"&amp;780),INDEX(m_label,_xlfn.MAXIFS(m_row,m_teacher,AV$4,m_date,($G$2+23),m_active,1,m_start,"&lt;"&amp;840,m_end,"&gt;"&amp;780))))))</f>
        <v/>
      </c>
      <c r="AW31" s="82" t="str">
        <f aca="false">IF(OR(AW$4="",MONTH(($G$2+23))&lt;&gt;MONTH($C$2)),"",IF(COUNTIFS(m_teacher,AW$4,m_date,($G$2+23),m_active,1,m_start,"&lt;"&amp;840,m_end,"&gt;"&amp;780)=0,"",IF(COUNTIFS(m_teacher,AW$4,m_date,($G$2+23),m_active,1,m_start,"&lt;"&amp;840,m_end,"&gt;"&amp;780)&gt;1,"충돌",HYPERLINK("#'관리자_MASTER'!D"&amp;_xlfn.MAXIFS(m_row,m_teacher,AW$4,m_date,($G$2+23),m_active,1,m_start,"&lt;"&amp;840,m_end,"&gt;"&amp;780),INDEX(m_label,_xlfn.MAXIFS(m_row,m_teacher,AW$4,m_date,($G$2+23),m_active,1,m_start,"&lt;"&amp;840,m_end,"&gt;"&amp;780))))))</f>
        <v/>
      </c>
      <c r="AX31" s="82" t="str">
        <f aca="false">IF(OR(AX$4="",MONTH(($G$2+23))&lt;&gt;MONTH($C$2)),"",IF(COUNTIFS(m_teacher,AX$4,m_date,($G$2+23),m_active,1,m_start,"&lt;"&amp;840,m_end,"&gt;"&amp;780)=0,"",IF(COUNTIFS(m_teacher,AX$4,m_date,($G$2+23),m_active,1,m_start,"&lt;"&amp;840,m_end,"&gt;"&amp;780)&gt;1,"충돌",HYPERLINK("#'관리자_MASTER'!D"&amp;_xlfn.MAXIFS(m_row,m_teacher,AX$4,m_date,($G$2+23),m_active,1,m_start,"&lt;"&amp;840,m_end,"&gt;"&amp;780),INDEX(m_label,_xlfn.MAXIFS(m_row,m_teacher,AX$4,m_date,($G$2+23),m_active,1,m_start,"&lt;"&amp;840,m_end,"&gt;"&amp;780))))))</f>
        <v/>
      </c>
      <c r="AY31" s="82" t="str">
        <f aca="false">IF(OR(AY$4="",MONTH(($G$2+23))&lt;&gt;MONTH($C$2)),"",IF(COUNTIFS(m_teacher,AY$4,m_date,($G$2+23),m_active,1,m_start,"&lt;"&amp;840,m_end,"&gt;"&amp;780)=0,"",IF(COUNTIFS(m_teacher,AY$4,m_date,($G$2+23),m_active,1,m_start,"&lt;"&amp;840,m_end,"&gt;"&amp;780)&gt;1,"충돌",HYPERLINK("#'관리자_MASTER'!D"&amp;_xlfn.MAXIFS(m_row,m_teacher,AY$4,m_date,($G$2+23),m_active,1,m_start,"&lt;"&amp;840,m_end,"&gt;"&amp;780),INDEX(m_label,_xlfn.MAXIFS(m_row,m_teacher,AY$4,m_date,($G$2+23),m_active,1,m_start,"&lt;"&amp;840,m_end,"&gt;"&amp;780))))))</f>
        <v/>
      </c>
      <c r="AZ31" s="82" t="str">
        <f aca="false">IF(OR(AZ$4="",MONTH(($G$2+23))&lt;&gt;MONTH($C$2)),"",IF(COUNTIFS(m_teacher,AZ$4,m_date,($G$2+23),m_active,1,m_start,"&lt;"&amp;840,m_end,"&gt;"&amp;780)=0,"",IF(COUNTIFS(m_teacher,AZ$4,m_date,($G$2+23),m_active,1,m_start,"&lt;"&amp;840,m_end,"&gt;"&amp;780)&gt;1,"충돌",HYPERLINK("#'관리자_MASTER'!D"&amp;_xlfn.MAXIFS(m_row,m_teacher,AZ$4,m_date,($G$2+23),m_active,1,m_start,"&lt;"&amp;840,m_end,"&gt;"&amp;780),INDEX(m_label,_xlfn.MAXIFS(m_row,m_teacher,AZ$4,m_date,($G$2+23),m_active,1,m_start,"&lt;"&amp;840,m_end,"&gt;"&amp;780))))))</f>
        <v/>
      </c>
      <c r="BA31" s="82" t="str">
        <f aca="false">IF(OR(BA$4="",MONTH(($G$2+23))&lt;&gt;MONTH($C$2)),"",IF(COUNTIFS(m_teacher,BA$4,m_date,($G$2+23),m_active,1,m_start,"&lt;"&amp;840,m_end,"&gt;"&amp;780)=0,"",IF(COUNTIFS(m_teacher,BA$4,m_date,($G$2+23),m_active,1,m_start,"&lt;"&amp;840,m_end,"&gt;"&amp;780)&gt;1,"충돌",HYPERLINK("#'관리자_MASTER'!D"&amp;_xlfn.MAXIFS(m_row,m_teacher,BA$4,m_date,($G$2+23),m_active,1,m_start,"&lt;"&amp;840,m_end,"&gt;"&amp;780),INDEX(m_label,_xlfn.MAXIFS(m_row,m_teacher,BA$4,m_date,($G$2+23),m_active,1,m_start,"&lt;"&amp;840,m_end,"&gt;"&amp;780))))))</f>
        <v/>
      </c>
      <c r="BB31" s="82" t="str">
        <f aca="false">IF(OR(BB$4="",MONTH(($G$2+23))&lt;&gt;MONTH($C$2)),"",IF(COUNTIFS(m_teacher,BB$4,m_date,($G$2+23),m_active,1,m_start,"&lt;"&amp;840,m_end,"&gt;"&amp;780)=0,"",IF(COUNTIFS(m_teacher,BB$4,m_date,($G$2+23),m_active,1,m_start,"&lt;"&amp;840,m_end,"&gt;"&amp;780)&gt;1,"충돌",HYPERLINK("#'관리자_MASTER'!D"&amp;_xlfn.MAXIFS(m_row,m_teacher,BB$4,m_date,($G$2+23),m_active,1,m_start,"&lt;"&amp;840,m_end,"&gt;"&amp;780),INDEX(m_label,_xlfn.MAXIFS(m_row,m_teacher,BB$4,m_date,($G$2+23),m_active,1,m_start,"&lt;"&amp;840,m_end,"&gt;"&amp;780))))))</f>
        <v/>
      </c>
      <c r="BC31" s="82" t="str">
        <f aca="false">IF(OR(BC$4="",MONTH(($G$2+23))&lt;&gt;MONTH($C$2)),"",IF(COUNTIFS(m_teacher,BC$4,m_date,($G$2+23),m_active,1,m_start,"&lt;"&amp;840,m_end,"&gt;"&amp;780)=0,"",IF(COUNTIFS(m_teacher,BC$4,m_date,($G$2+23),m_active,1,m_start,"&lt;"&amp;840,m_end,"&gt;"&amp;780)&gt;1,"충돌",HYPERLINK("#'관리자_MASTER'!D"&amp;_xlfn.MAXIFS(m_row,m_teacher,BC$4,m_date,($G$2+23),m_active,1,m_start,"&lt;"&amp;840,m_end,"&gt;"&amp;780),INDEX(m_label,_xlfn.MAXIFS(m_row,m_teacher,BC$4,m_date,($G$2+23),m_active,1,m_start,"&lt;"&amp;840,m_end,"&gt;"&amp;780))))))</f>
        <v/>
      </c>
      <c r="BD31" s="82" t="str">
        <f aca="false">IF(OR(BD$4="",MONTH(($G$2+23))&lt;&gt;MONTH($C$2)),"",IF(COUNTIFS(m_teacher,BD$4,m_date,($G$2+23),m_active,1,m_start,"&lt;"&amp;840,m_end,"&gt;"&amp;780)=0,"",IF(COUNTIFS(m_teacher,BD$4,m_date,($G$2+23),m_active,1,m_start,"&lt;"&amp;840,m_end,"&gt;"&amp;780)&gt;1,"충돌",HYPERLINK("#'관리자_MASTER'!D"&amp;_xlfn.MAXIFS(m_row,m_teacher,BD$4,m_date,($G$2+23),m_active,1,m_start,"&lt;"&amp;840,m_end,"&gt;"&amp;780),INDEX(m_label,_xlfn.MAXIFS(m_row,m_teacher,BD$4,m_date,($G$2+23),m_active,1,m_start,"&lt;"&amp;840,m_end,"&gt;"&amp;780))))))</f>
        <v/>
      </c>
      <c r="BE31" s="78"/>
      <c r="BF31" s="79" t="s">
        <v>95</v>
      </c>
      <c r="BG31" s="82" t="str">
        <f aca="false">IF(OR(BG$4="",MONTH(($G$2+30))&lt;&gt;MONTH($C$2)),"",IF(COUNTIFS(m_teacher,BG$4,m_date,($G$2+30),m_active,1,m_start,"&lt;"&amp;840,m_end,"&gt;"&amp;780)=0,"",IF(COUNTIFS(m_teacher,BG$4,m_date,($G$2+30),m_active,1,m_start,"&lt;"&amp;840,m_end,"&gt;"&amp;780)&gt;1,"충돌",HYPERLINK("#'관리자_MASTER'!D"&amp;_xlfn.MAXIFS(m_row,m_teacher,BG$4,m_date,($G$2+30),m_active,1,m_start,"&lt;"&amp;840,m_end,"&gt;"&amp;780),INDEX(m_label,_xlfn.MAXIFS(m_row,m_teacher,BG$4,m_date,($G$2+30),m_active,1,m_start,"&lt;"&amp;840,m_end,"&gt;"&amp;780))))))</f>
        <v/>
      </c>
      <c r="BH31" s="82" t="str">
        <f aca="false">IF(OR(BH$4="",MONTH(($G$2+30))&lt;&gt;MONTH($C$2)),"",IF(COUNTIFS(m_teacher,BH$4,m_date,($G$2+30),m_active,1,m_start,"&lt;"&amp;840,m_end,"&gt;"&amp;780)=0,"",IF(COUNTIFS(m_teacher,BH$4,m_date,($G$2+30),m_active,1,m_start,"&lt;"&amp;840,m_end,"&gt;"&amp;780)&gt;1,"충돌",HYPERLINK("#'관리자_MASTER'!D"&amp;_xlfn.MAXIFS(m_row,m_teacher,BH$4,m_date,($G$2+30),m_active,1,m_start,"&lt;"&amp;840,m_end,"&gt;"&amp;780),INDEX(m_label,_xlfn.MAXIFS(m_row,m_teacher,BH$4,m_date,($G$2+30),m_active,1,m_start,"&lt;"&amp;840,m_end,"&gt;"&amp;780))))))</f>
        <v/>
      </c>
      <c r="BI31" s="82" t="str">
        <f aca="false">IF(OR(BI$4="",MONTH(($G$2+30))&lt;&gt;MONTH($C$2)),"",IF(COUNTIFS(m_teacher,BI$4,m_date,($G$2+30),m_active,1,m_start,"&lt;"&amp;840,m_end,"&gt;"&amp;780)=0,"",IF(COUNTIFS(m_teacher,BI$4,m_date,($G$2+30),m_active,1,m_start,"&lt;"&amp;840,m_end,"&gt;"&amp;780)&gt;1,"충돌",HYPERLINK("#'관리자_MASTER'!D"&amp;_xlfn.MAXIFS(m_row,m_teacher,BI$4,m_date,($G$2+30),m_active,1,m_start,"&lt;"&amp;840,m_end,"&gt;"&amp;780),INDEX(m_label,_xlfn.MAXIFS(m_row,m_teacher,BI$4,m_date,($G$2+30),m_active,1,m_start,"&lt;"&amp;840,m_end,"&gt;"&amp;780))))))</f>
        <v/>
      </c>
      <c r="BJ31" s="82" t="str">
        <f aca="false">IF(OR(BJ$4="",MONTH(($G$2+30))&lt;&gt;MONTH($C$2)),"",IF(COUNTIFS(m_teacher,BJ$4,m_date,($G$2+30),m_active,1,m_start,"&lt;"&amp;840,m_end,"&gt;"&amp;780)=0,"",IF(COUNTIFS(m_teacher,BJ$4,m_date,($G$2+30),m_active,1,m_start,"&lt;"&amp;840,m_end,"&gt;"&amp;780)&gt;1,"충돌",HYPERLINK("#'관리자_MASTER'!D"&amp;_xlfn.MAXIFS(m_row,m_teacher,BJ$4,m_date,($G$2+30),m_active,1,m_start,"&lt;"&amp;840,m_end,"&gt;"&amp;780),INDEX(m_label,_xlfn.MAXIFS(m_row,m_teacher,BJ$4,m_date,($G$2+30),m_active,1,m_start,"&lt;"&amp;840,m_end,"&gt;"&amp;780))))))</f>
        <v/>
      </c>
      <c r="BK31" s="82" t="str">
        <f aca="false">IF(OR(BK$4="",MONTH(($G$2+30))&lt;&gt;MONTH($C$2)),"",IF(COUNTIFS(m_teacher,BK$4,m_date,($G$2+30),m_active,1,m_start,"&lt;"&amp;840,m_end,"&gt;"&amp;780)=0,"",IF(COUNTIFS(m_teacher,BK$4,m_date,($G$2+30),m_active,1,m_start,"&lt;"&amp;840,m_end,"&gt;"&amp;780)&gt;1,"충돌",HYPERLINK("#'관리자_MASTER'!D"&amp;_xlfn.MAXIFS(m_row,m_teacher,BK$4,m_date,($G$2+30),m_active,1,m_start,"&lt;"&amp;840,m_end,"&gt;"&amp;780),INDEX(m_label,_xlfn.MAXIFS(m_row,m_teacher,BK$4,m_date,($G$2+30),m_active,1,m_start,"&lt;"&amp;840,m_end,"&gt;"&amp;780))))))</f>
        <v/>
      </c>
      <c r="BL31" s="82" t="str">
        <f aca="false">IF(OR(BL$4="",MONTH(($G$2+30))&lt;&gt;MONTH($C$2)),"",IF(COUNTIFS(m_teacher,BL$4,m_date,($G$2+30),m_active,1,m_start,"&lt;"&amp;840,m_end,"&gt;"&amp;780)=0,"",IF(COUNTIFS(m_teacher,BL$4,m_date,($G$2+30),m_active,1,m_start,"&lt;"&amp;840,m_end,"&gt;"&amp;780)&gt;1,"충돌",HYPERLINK("#'관리자_MASTER'!D"&amp;_xlfn.MAXIFS(m_row,m_teacher,BL$4,m_date,($G$2+30),m_active,1,m_start,"&lt;"&amp;840,m_end,"&gt;"&amp;780),INDEX(m_label,_xlfn.MAXIFS(m_row,m_teacher,BL$4,m_date,($G$2+30),m_active,1,m_start,"&lt;"&amp;840,m_end,"&gt;"&amp;780))))))</f>
        <v/>
      </c>
      <c r="BM31" s="82" t="str">
        <f aca="false">IF(OR(BM$4="",MONTH(($G$2+30))&lt;&gt;MONTH($C$2)),"",IF(COUNTIFS(m_teacher,BM$4,m_date,($G$2+30),m_active,1,m_start,"&lt;"&amp;840,m_end,"&gt;"&amp;780)=0,"",IF(COUNTIFS(m_teacher,BM$4,m_date,($G$2+30),m_active,1,m_start,"&lt;"&amp;840,m_end,"&gt;"&amp;780)&gt;1,"충돌",HYPERLINK("#'관리자_MASTER'!D"&amp;_xlfn.MAXIFS(m_row,m_teacher,BM$4,m_date,($G$2+30),m_active,1,m_start,"&lt;"&amp;840,m_end,"&gt;"&amp;780),INDEX(m_label,_xlfn.MAXIFS(m_row,m_teacher,BM$4,m_date,($G$2+30),m_active,1,m_start,"&lt;"&amp;840,m_end,"&gt;"&amp;780))))))</f>
        <v/>
      </c>
      <c r="BN31" s="82" t="str">
        <f aca="false">IF(OR(BN$4="",MONTH(($G$2+30))&lt;&gt;MONTH($C$2)),"",IF(COUNTIFS(m_teacher,BN$4,m_date,($G$2+30),m_active,1,m_start,"&lt;"&amp;840,m_end,"&gt;"&amp;780)=0,"",IF(COUNTIFS(m_teacher,BN$4,m_date,($G$2+30),m_active,1,m_start,"&lt;"&amp;840,m_end,"&gt;"&amp;780)&gt;1,"충돌",HYPERLINK("#'관리자_MASTER'!D"&amp;_xlfn.MAXIFS(m_row,m_teacher,BN$4,m_date,($G$2+30),m_active,1,m_start,"&lt;"&amp;840,m_end,"&gt;"&amp;780),INDEX(m_label,_xlfn.MAXIFS(m_row,m_teacher,BN$4,m_date,($G$2+30),m_active,1,m_start,"&lt;"&amp;840,m_end,"&gt;"&amp;780))))))</f>
        <v/>
      </c>
      <c r="BO31" s="82" t="str">
        <f aca="false">IF(OR(BO$4="",MONTH(($G$2+30))&lt;&gt;MONTH($C$2)),"",IF(COUNTIFS(m_teacher,BO$4,m_date,($G$2+30),m_active,1,m_start,"&lt;"&amp;840,m_end,"&gt;"&amp;780)=0,"",IF(COUNTIFS(m_teacher,BO$4,m_date,($G$2+30),m_active,1,m_start,"&lt;"&amp;840,m_end,"&gt;"&amp;780)&gt;1,"충돌",HYPERLINK("#'관리자_MASTER'!D"&amp;_xlfn.MAXIFS(m_row,m_teacher,BO$4,m_date,($G$2+30),m_active,1,m_start,"&lt;"&amp;840,m_end,"&gt;"&amp;780),INDEX(m_label,_xlfn.MAXIFS(m_row,m_teacher,BO$4,m_date,($G$2+30),m_active,1,m_start,"&lt;"&amp;840,m_end,"&gt;"&amp;780))))))</f>
        <v/>
      </c>
      <c r="BP31" s="82" t="str">
        <f aca="false">IF(OR(BP$4="",MONTH(($G$2+30))&lt;&gt;MONTH($C$2)),"",IF(COUNTIFS(m_teacher,BP$4,m_date,($G$2+30),m_active,1,m_start,"&lt;"&amp;840,m_end,"&gt;"&amp;780)=0,"",IF(COUNTIFS(m_teacher,BP$4,m_date,($G$2+30),m_active,1,m_start,"&lt;"&amp;840,m_end,"&gt;"&amp;780)&gt;1,"충돌",HYPERLINK("#'관리자_MASTER'!D"&amp;_xlfn.MAXIFS(m_row,m_teacher,BP$4,m_date,($G$2+30),m_active,1,m_start,"&lt;"&amp;840,m_end,"&gt;"&amp;780),INDEX(m_label,_xlfn.MAXIFS(m_row,m_teacher,BP$4,m_date,($G$2+30),m_active,1,m_start,"&lt;"&amp;840,m_end,"&gt;"&amp;780))))))</f>
        <v/>
      </c>
      <c r="BQ31" s="82" t="str">
        <f aca="false">IF(OR(BQ$4="",MONTH(($G$2+30))&lt;&gt;MONTH($C$2)),"",IF(COUNTIFS(m_teacher,BQ$4,m_date,($G$2+30),m_active,1,m_start,"&lt;"&amp;840,m_end,"&gt;"&amp;780)=0,"",IF(COUNTIFS(m_teacher,BQ$4,m_date,($G$2+30),m_active,1,m_start,"&lt;"&amp;840,m_end,"&gt;"&amp;780)&gt;1,"충돌",HYPERLINK("#'관리자_MASTER'!D"&amp;_xlfn.MAXIFS(m_row,m_teacher,BQ$4,m_date,($G$2+30),m_active,1,m_start,"&lt;"&amp;840,m_end,"&gt;"&amp;780),INDEX(m_label,_xlfn.MAXIFS(m_row,m_teacher,BQ$4,m_date,($G$2+30),m_active,1,m_start,"&lt;"&amp;840,m_end,"&gt;"&amp;780))))))</f>
        <v/>
      </c>
      <c r="BR31" s="82" t="str">
        <f aca="false">IF(OR(BR$4="",MONTH(($G$2+30))&lt;&gt;MONTH($C$2)),"",IF(COUNTIFS(m_teacher,BR$4,m_date,($G$2+30),m_active,1,m_start,"&lt;"&amp;840,m_end,"&gt;"&amp;780)=0,"",IF(COUNTIFS(m_teacher,BR$4,m_date,($G$2+30),m_active,1,m_start,"&lt;"&amp;840,m_end,"&gt;"&amp;780)&gt;1,"충돌",HYPERLINK("#'관리자_MASTER'!D"&amp;_xlfn.MAXIFS(m_row,m_teacher,BR$4,m_date,($G$2+30),m_active,1,m_start,"&lt;"&amp;840,m_end,"&gt;"&amp;780),INDEX(m_label,_xlfn.MAXIFS(m_row,m_teacher,BR$4,m_date,($G$2+30),m_active,1,m_start,"&lt;"&amp;840,m_end,"&gt;"&amp;780))))))</f>
        <v/>
      </c>
    </row>
    <row r="32" customFormat="false" ht="19.5" hidden="false" customHeight="true" outlineLevel="0" collapsed="false">
      <c r="A32" s="75"/>
      <c r="B32" s="76" t="s">
        <v>96</v>
      </c>
      <c r="C32" s="81" t="str">
        <f aca="false">IF(OR(C$4="",MONTH(($G$2+2))&lt;&gt;MONTH($C$2)),"",IF(COUNTIFS(m_teacher,C$4,m_date,($G$2+2),m_active,1,m_start,"&lt;"&amp;900,m_end,"&gt;"&amp;840)=0,"",IF(COUNTIFS(m_teacher,C$4,m_date,($G$2+2),m_active,1,m_start,"&lt;"&amp;900,m_end,"&gt;"&amp;840)&gt;1,"충돌",HYPERLINK("#'관리자_MASTER'!D"&amp;_xlfn.MAXIFS(m_row,m_teacher,C$4,m_date,($G$2+2),m_active,1,m_start,"&lt;"&amp;900,m_end,"&gt;"&amp;840),INDEX(m_label,_xlfn.MAXIFS(m_row,m_teacher,C$4,m_date,($G$2+2),m_active,1,m_start,"&lt;"&amp;900,m_end,"&gt;"&amp;840))))))</f>
        <v/>
      </c>
      <c r="D32" s="81" t="str">
        <f aca="false">IF(OR(D$4="",MONTH(($G$2+2))&lt;&gt;MONTH($C$2)),"",IF(COUNTIFS(m_teacher,D$4,m_date,($G$2+2),m_active,1,m_start,"&lt;"&amp;900,m_end,"&gt;"&amp;840)=0,"",IF(COUNTIFS(m_teacher,D$4,m_date,($G$2+2),m_active,1,m_start,"&lt;"&amp;900,m_end,"&gt;"&amp;840)&gt;1,"충돌",HYPERLINK("#'관리자_MASTER'!D"&amp;_xlfn.MAXIFS(m_row,m_teacher,D$4,m_date,($G$2+2),m_active,1,m_start,"&lt;"&amp;900,m_end,"&gt;"&amp;840),INDEX(m_label,_xlfn.MAXIFS(m_row,m_teacher,D$4,m_date,($G$2+2),m_active,1,m_start,"&lt;"&amp;900,m_end,"&gt;"&amp;840))))))</f>
        <v/>
      </c>
      <c r="E32" s="81" t="str">
        <f aca="false">IF(OR(E$4="",MONTH(($G$2+2))&lt;&gt;MONTH($C$2)),"",IF(COUNTIFS(m_teacher,E$4,m_date,($G$2+2),m_active,1,m_start,"&lt;"&amp;900,m_end,"&gt;"&amp;840)=0,"",IF(COUNTIFS(m_teacher,E$4,m_date,($G$2+2),m_active,1,m_start,"&lt;"&amp;900,m_end,"&gt;"&amp;840)&gt;1,"충돌",HYPERLINK("#'관리자_MASTER'!D"&amp;_xlfn.MAXIFS(m_row,m_teacher,E$4,m_date,($G$2+2),m_active,1,m_start,"&lt;"&amp;900,m_end,"&gt;"&amp;840),INDEX(m_label,_xlfn.MAXIFS(m_row,m_teacher,E$4,m_date,($G$2+2),m_active,1,m_start,"&lt;"&amp;900,m_end,"&gt;"&amp;840))))))</f>
        <v/>
      </c>
      <c r="F32" s="81" t="str">
        <f aca="false">IF(OR(F$4="",MONTH(($G$2+2))&lt;&gt;MONTH($C$2)),"",IF(COUNTIFS(m_teacher,F$4,m_date,($G$2+2),m_active,1,m_start,"&lt;"&amp;900,m_end,"&gt;"&amp;840)=0,"",IF(COUNTIFS(m_teacher,F$4,m_date,($G$2+2),m_active,1,m_start,"&lt;"&amp;900,m_end,"&gt;"&amp;840)&gt;1,"충돌",HYPERLINK("#'관리자_MASTER'!D"&amp;_xlfn.MAXIFS(m_row,m_teacher,F$4,m_date,($G$2+2),m_active,1,m_start,"&lt;"&amp;900,m_end,"&gt;"&amp;840),INDEX(m_label,_xlfn.MAXIFS(m_row,m_teacher,F$4,m_date,($G$2+2),m_active,1,m_start,"&lt;"&amp;900,m_end,"&gt;"&amp;840))))))</f>
        <v/>
      </c>
      <c r="G32" s="81" t="str">
        <f aca="false">IF(OR(G$4="",MONTH(($G$2+2))&lt;&gt;MONTH($C$2)),"",IF(COUNTIFS(m_teacher,G$4,m_date,($G$2+2),m_active,1,m_start,"&lt;"&amp;900,m_end,"&gt;"&amp;840)=0,"",IF(COUNTIFS(m_teacher,G$4,m_date,($G$2+2),m_active,1,m_start,"&lt;"&amp;900,m_end,"&gt;"&amp;840)&gt;1,"충돌",HYPERLINK("#'관리자_MASTER'!D"&amp;_xlfn.MAXIFS(m_row,m_teacher,G$4,m_date,($G$2+2),m_active,1,m_start,"&lt;"&amp;900,m_end,"&gt;"&amp;840),INDEX(m_label,_xlfn.MAXIFS(m_row,m_teacher,G$4,m_date,($G$2+2),m_active,1,m_start,"&lt;"&amp;900,m_end,"&gt;"&amp;840))))))</f>
        <v/>
      </c>
      <c r="H32" s="81" t="str">
        <f aca="false">IF(OR(H$4="",MONTH(($G$2+2))&lt;&gt;MONTH($C$2)),"",IF(COUNTIFS(m_teacher,H$4,m_date,($G$2+2),m_active,1,m_start,"&lt;"&amp;900,m_end,"&gt;"&amp;840)=0,"",IF(COUNTIFS(m_teacher,H$4,m_date,($G$2+2),m_active,1,m_start,"&lt;"&amp;900,m_end,"&gt;"&amp;840)&gt;1,"충돌",HYPERLINK("#'관리자_MASTER'!D"&amp;_xlfn.MAXIFS(m_row,m_teacher,H$4,m_date,($G$2+2),m_active,1,m_start,"&lt;"&amp;900,m_end,"&gt;"&amp;840),INDEX(m_label,_xlfn.MAXIFS(m_row,m_teacher,H$4,m_date,($G$2+2),m_active,1,m_start,"&lt;"&amp;900,m_end,"&gt;"&amp;840))))))</f>
        <v/>
      </c>
      <c r="I32" s="81" t="str">
        <f aca="false">IF(OR(I$4="",MONTH(($G$2+2))&lt;&gt;MONTH($C$2)),"",IF(COUNTIFS(m_teacher,I$4,m_date,($G$2+2),m_active,1,m_start,"&lt;"&amp;900,m_end,"&gt;"&amp;840)=0,"",IF(COUNTIFS(m_teacher,I$4,m_date,($G$2+2),m_active,1,m_start,"&lt;"&amp;900,m_end,"&gt;"&amp;840)&gt;1,"충돌",HYPERLINK("#'관리자_MASTER'!D"&amp;_xlfn.MAXIFS(m_row,m_teacher,I$4,m_date,($G$2+2),m_active,1,m_start,"&lt;"&amp;900,m_end,"&gt;"&amp;840),INDEX(m_label,_xlfn.MAXIFS(m_row,m_teacher,I$4,m_date,($G$2+2),m_active,1,m_start,"&lt;"&amp;900,m_end,"&gt;"&amp;840))))))</f>
        <v/>
      </c>
      <c r="J32" s="81" t="str">
        <f aca="false">IF(OR(J$4="",MONTH(($G$2+2))&lt;&gt;MONTH($C$2)),"",IF(COUNTIFS(m_teacher,J$4,m_date,($G$2+2),m_active,1,m_start,"&lt;"&amp;900,m_end,"&gt;"&amp;840)=0,"",IF(COUNTIFS(m_teacher,J$4,m_date,($G$2+2),m_active,1,m_start,"&lt;"&amp;900,m_end,"&gt;"&amp;840)&gt;1,"충돌",HYPERLINK("#'관리자_MASTER'!D"&amp;_xlfn.MAXIFS(m_row,m_teacher,J$4,m_date,($G$2+2),m_active,1,m_start,"&lt;"&amp;900,m_end,"&gt;"&amp;840),INDEX(m_label,_xlfn.MAXIFS(m_row,m_teacher,J$4,m_date,($G$2+2),m_active,1,m_start,"&lt;"&amp;900,m_end,"&gt;"&amp;840))))))</f>
        <v/>
      </c>
      <c r="K32" s="81" t="str">
        <f aca="false">IF(OR(K$4="",MONTH(($G$2+2))&lt;&gt;MONTH($C$2)),"",IF(COUNTIFS(m_teacher,K$4,m_date,($G$2+2),m_active,1,m_start,"&lt;"&amp;900,m_end,"&gt;"&amp;840)=0,"",IF(COUNTIFS(m_teacher,K$4,m_date,($G$2+2),m_active,1,m_start,"&lt;"&amp;900,m_end,"&gt;"&amp;840)&gt;1,"충돌",HYPERLINK("#'관리자_MASTER'!D"&amp;_xlfn.MAXIFS(m_row,m_teacher,K$4,m_date,($G$2+2),m_active,1,m_start,"&lt;"&amp;900,m_end,"&gt;"&amp;840),INDEX(m_label,_xlfn.MAXIFS(m_row,m_teacher,K$4,m_date,($G$2+2),m_active,1,m_start,"&lt;"&amp;900,m_end,"&gt;"&amp;840))))))</f>
        <v/>
      </c>
      <c r="L32" s="81" t="str">
        <f aca="false">IF(OR(L$4="",MONTH(($G$2+2))&lt;&gt;MONTH($C$2)),"",IF(COUNTIFS(m_teacher,L$4,m_date,($G$2+2),m_active,1,m_start,"&lt;"&amp;900,m_end,"&gt;"&amp;840)=0,"",IF(COUNTIFS(m_teacher,L$4,m_date,($G$2+2),m_active,1,m_start,"&lt;"&amp;900,m_end,"&gt;"&amp;840)&gt;1,"충돌",HYPERLINK("#'관리자_MASTER'!D"&amp;_xlfn.MAXIFS(m_row,m_teacher,L$4,m_date,($G$2+2),m_active,1,m_start,"&lt;"&amp;900,m_end,"&gt;"&amp;840),INDEX(m_label,_xlfn.MAXIFS(m_row,m_teacher,L$4,m_date,($G$2+2),m_active,1,m_start,"&lt;"&amp;900,m_end,"&gt;"&amp;840))))))</f>
        <v/>
      </c>
      <c r="M32" s="81" t="str">
        <f aca="false">IF(OR(M$4="",MONTH(($G$2+2))&lt;&gt;MONTH($C$2)),"",IF(COUNTIFS(m_teacher,M$4,m_date,($G$2+2),m_active,1,m_start,"&lt;"&amp;900,m_end,"&gt;"&amp;840)=0,"",IF(COUNTIFS(m_teacher,M$4,m_date,($G$2+2),m_active,1,m_start,"&lt;"&amp;900,m_end,"&gt;"&amp;840)&gt;1,"충돌",HYPERLINK("#'관리자_MASTER'!D"&amp;_xlfn.MAXIFS(m_row,m_teacher,M$4,m_date,($G$2+2),m_active,1,m_start,"&lt;"&amp;900,m_end,"&gt;"&amp;840),INDEX(m_label,_xlfn.MAXIFS(m_row,m_teacher,M$4,m_date,($G$2+2),m_active,1,m_start,"&lt;"&amp;900,m_end,"&gt;"&amp;840))))))</f>
        <v/>
      </c>
      <c r="N32" s="81" t="str">
        <f aca="false">IF(OR(N$4="",MONTH(($G$2+2))&lt;&gt;MONTH($C$2)),"",IF(COUNTIFS(m_teacher,N$4,m_date,($G$2+2),m_active,1,m_start,"&lt;"&amp;900,m_end,"&gt;"&amp;840)=0,"",IF(COUNTIFS(m_teacher,N$4,m_date,($G$2+2),m_active,1,m_start,"&lt;"&amp;900,m_end,"&gt;"&amp;840)&gt;1,"충돌",HYPERLINK("#'관리자_MASTER'!D"&amp;_xlfn.MAXIFS(m_row,m_teacher,N$4,m_date,($G$2+2),m_active,1,m_start,"&lt;"&amp;900,m_end,"&gt;"&amp;840),INDEX(m_label,_xlfn.MAXIFS(m_row,m_teacher,N$4,m_date,($G$2+2),m_active,1,m_start,"&lt;"&amp;900,m_end,"&gt;"&amp;840))))))</f>
        <v/>
      </c>
      <c r="O32" s="78"/>
      <c r="P32" s="79" t="s">
        <v>96</v>
      </c>
      <c r="Q32" s="82" t="str">
        <f aca="false">IF(OR(Q$4="",MONTH(($G$2+9))&lt;&gt;MONTH($C$2)),"",IF(COUNTIFS(m_teacher,Q$4,m_date,($G$2+9),m_active,1,m_start,"&lt;"&amp;900,m_end,"&gt;"&amp;840)=0,"",IF(COUNTIFS(m_teacher,Q$4,m_date,($G$2+9),m_active,1,m_start,"&lt;"&amp;900,m_end,"&gt;"&amp;840)&gt;1,"충돌",HYPERLINK("#'관리자_MASTER'!D"&amp;_xlfn.MAXIFS(m_row,m_teacher,Q$4,m_date,($G$2+9),m_active,1,m_start,"&lt;"&amp;900,m_end,"&gt;"&amp;840),INDEX(m_label,_xlfn.MAXIFS(m_row,m_teacher,Q$4,m_date,($G$2+9),m_active,1,m_start,"&lt;"&amp;900,m_end,"&gt;"&amp;840))))))</f>
        <v/>
      </c>
      <c r="R32" s="82" t="str">
        <f aca="false">IF(OR(R$4="",MONTH(($G$2+9))&lt;&gt;MONTH($C$2)),"",IF(COUNTIFS(m_teacher,R$4,m_date,($G$2+9),m_active,1,m_start,"&lt;"&amp;900,m_end,"&gt;"&amp;840)=0,"",IF(COUNTIFS(m_teacher,R$4,m_date,($G$2+9),m_active,1,m_start,"&lt;"&amp;900,m_end,"&gt;"&amp;840)&gt;1,"충돌",HYPERLINK("#'관리자_MASTER'!D"&amp;_xlfn.MAXIFS(m_row,m_teacher,R$4,m_date,($G$2+9),m_active,1,m_start,"&lt;"&amp;900,m_end,"&gt;"&amp;840),INDEX(m_label,_xlfn.MAXIFS(m_row,m_teacher,R$4,m_date,($G$2+9),m_active,1,m_start,"&lt;"&amp;900,m_end,"&gt;"&amp;840))))))</f>
        <v/>
      </c>
      <c r="S32" s="82" t="str">
        <f aca="false">IF(OR(S$4="",MONTH(($G$2+9))&lt;&gt;MONTH($C$2)),"",IF(COUNTIFS(m_teacher,S$4,m_date,($G$2+9),m_active,1,m_start,"&lt;"&amp;900,m_end,"&gt;"&amp;840)=0,"",IF(COUNTIFS(m_teacher,S$4,m_date,($G$2+9),m_active,1,m_start,"&lt;"&amp;900,m_end,"&gt;"&amp;840)&gt;1,"충돌",HYPERLINK("#'관리자_MASTER'!D"&amp;_xlfn.MAXIFS(m_row,m_teacher,S$4,m_date,($G$2+9),m_active,1,m_start,"&lt;"&amp;900,m_end,"&gt;"&amp;840),INDEX(m_label,_xlfn.MAXIFS(m_row,m_teacher,S$4,m_date,($G$2+9),m_active,1,m_start,"&lt;"&amp;900,m_end,"&gt;"&amp;840))))))</f>
        <v/>
      </c>
      <c r="T32" s="82" t="str">
        <f aca="false">IF(OR(T$4="",MONTH(($G$2+9))&lt;&gt;MONTH($C$2)),"",IF(COUNTIFS(m_teacher,T$4,m_date,($G$2+9),m_active,1,m_start,"&lt;"&amp;900,m_end,"&gt;"&amp;840)=0,"",IF(COUNTIFS(m_teacher,T$4,m_date,($G$2+9),m_active,1,m_start,"&lt;"&amp;900,m_end,"&gt;"&amp;840)&gt;1,"충돌",HYPERLINK("#'관리자_MASTER'!D"&amp;_xlfn.MAXIFS(m_row,m_teacher,T$4,m_date,($G$2+9),m_active,1,m_start,"&lt;"&amp;900,m_end,"&gt;"&amp;840),INDEX(m_label,_xlfn.MAXIFS(m_row,m_teacher,T$4,m_date,($G$2+9),m_active,1,m_start,"&lt;"&amp;900,m_end,"&gt;"&amp;840))))))</f>
        <v/>
      </c>
      <c r="U32" s="82" t="str">
        <f aca="false">IF(OR(U$4="",MONTH(($G$2+9))&lt;&gt;MONTH($C$2)),"",IF(COUNTIFS(m_teacher,U$4,m_date,($G$2+9),m_active,1,m_start,"&lt;"&amp;900,m_end,"&gt;"&amp;840)=0,"",IF(COUNTIFS(m_teacher,U$4,m_date,($G$2+9),m_active,1,m_start,"&lt;"&amp;900,m_end,"&gt;"&amp;840)&gt;1,"충돌",HYPERLINK("#'관리자_MASTER'!D"&amp;_xlfn.MAXIFS(m_row,m_teacher,U$4,m_date,($G$2+9),m_active,1,m_start,"&lt;"&amp;900,m_end,"&gt;"&amp;840),INDEX(m_label,_xlfn.MAXIFS(m_row,m_teacher,U$4,m_date,($G$2+9),m_active,1,m_start,"&lt;"&amp;900,m_end,"&gt;"&amp;840))))))</f>
        <v/>
      </c>
      <c r="V32" s="82" t="str">
        <f aca="false">IF(OR(V$4="",MONTH(($G$2+9))&lt;&gt;MONTH($C$2)),"",IF(COUNTIFS(m_teacher,V$4,m_date,($G$2+9),m_active,1,m_start,"&lt;"&amp;900,m_end,"&gt;"&amp;840)=0,"",IF(COUNTIFS(m_teacher,V$4,m_date,($G$2+9),m_active,1,m_start,"&lt;"&amp;900,m_end,"&gt;"&amp;840)&gt;1,"충돌",HYPERLINK("#'관리자_MASTER'!D"&amp;_xlfn.MAXIFS(m_row,m_teacher,V$4,m_date,($G$2+9),m_active,1,m_start,"&lt;"&amp;900,m_end,"&gt;"&amp;840),INDEX(m_label,_xlfn.MAXIFS(m_row,m_teacher,V$4,m_date,($G$2+9),m_active,1,m_start,"&lt;"&amp;900,m_end,"&gt;"&amp;840))))))</f>
        <v/>
      </c>
      <c r="W32" s="82" t="str">
        <f aca="false">IF(OR(W$4="",MONTH(($G$2+9))&lt;&gt;MONTH($C$2)),"",IF(COUNTIFS(m_teacher,W$4,m_date,($G$2+9),m_active,1,m_start,"&lt;"&amp;900,m_end,"&gt;"&amp;840)=0,"",IF(COUNTIFS(m_teacher,W$4,m_date,($G$2+9),m_active,1,m_start,"&lt;"&amp;900,m_end,"&gt;"&amp;840)&gt;1,"충돌",HYPERLINK("#'관리자_MASTER'!D"&amp;_xlfn.MAXIFS(m_row,m_teacher,W$4,m_date,($G$2+9),m_active,1,m_start,"&lt;"&amp;900,m_end,"&gt;"&amp;840),INDEX(m_label,_xlfn.MAXIFS(m_row,m_teacher,W$4,m_date,($G$2+9),m_active,1,m_start,"&lt;"&amp;900,m_end,"&gt;"&amp;840))))))</f>
        <v/>
      </c>
      <c r="X32" s="82" t="str">
        <f aca="false">IF(OR(X$4="",MONTH(($G$2+9))&lt;&gt;MONTH($C$2)),"",IF(COUNTIFS(m_teacher,X$4,m_date,($G$2+9),m_active,1,m_start,"&lt;"&amp;900,m_end,"&gt;"&amp;840)=0,"",IF(COUNTIFS(m_teacher,X$4,m_date,($G$2+9),m_active,1,m_start,"&lt;"&amp;900,m_end,"&gt;"&amp;840)&gt;1,"충돌",HYPERLINK("#'관리자_MASTER'!D"&amp;_xlfn.MAXIFS(m_row,m_teacher,X$4,m_date,($G$2+9),m_active,1,m_start,"&lt;"&amp;900,m_end,"&gt;"&amp;840),INDEX(m_label,_xlfn.MAXIFS(m_row,m_teacher,X$4,m_date,($G$2+9),m_active,1,m_start,"&lt;"&amp;900,m_end,"&gt;"&amp;840))))))</f>
        <v/>
      </c>
      <c r="Y32" s="82" t="str">
        <f aca="false">IF(OR(Y$4="",MONTH(($G$2+9))&lt;&gt;MONTH($C$2)),"",IF(COUNTIFS(m_teacher,Y$4,m_date,($G$2+9),m_active,1,m_start,"&lt;"&amp;900,m_end,"&gt;"&amp;840)=0,"",IF(COUNTIFS(m_teacher,Y$4,m_date,($G$2+9),m_active,1,m_start,"&lt;"&amp;900,m_end,"&gt;"&amp;840)&gt;1,"충돌",HYPERLINK("#'관리자_MASTER'!D"&amp;_xlfn.MAXIFS(m_row,m_teacher,Y$4,m_date,($G$2+9),m_active,1,m_start,"&lt;"&amp;900,m_end,"&gt;"&amp;840),INDEX(m_label,_xlfn.MAXIFS(m_row,m_teacher,Y$4,m_date,($G$2+9),m_active,1,m_start,"&lt;"&amp;900,m_end,"&gt;"&amp;840))))))</f>
        <v/>
      </c>
      <c r="Z32" s="82" t="str">
        <f aca="false">IF(OR(Z$4="",MONTH(($G$2+9))&lt;&gt;MONTH($C$2)),"",IF(COUNTIFS(m_teacher,Z$4,m_date,($G$2+9),m_active,1,m_start,"&lt;"&amp;900,m_end,"&gt;"&amp;840)=0,"",IF(COUNTIFS(m_teacher,Z$4,m_date,($G$2+9),m_active,1,m_start,"&lt;"&amp;900,m_end,"&gt;"&amp;840)&gt;1,"충돌",HYPERLINK("#'관리자_MASTER'!D"&amp;_xlfn.MAXIFS(m_row,m_teacher,Z$4,m_date,($G$2+9),m_active,1,m_start,"&lt;"&amp;900,m_end,"&gt;"&amp;840),INDEX(m_label,_xlfn.MAXIFS(m_row,m_teacher,Z$4,m_date,($G$2+9),m_active,1,m_start,"&lt;"&amp;900,m_end,"&gt;"&amp;840))))))</f>
        <v/>
      </c>
      <c r="AA32" s="82" t="str">
        <f aca="false">IF(OR(AA$4="",MONTH(($G$2+9))&lt;&gt;MONTH($C$2)),"",IF(COUNTIFS(m_teacher,AA$4,m_date,($G$2+9),m_active,1,m_start,"&lt;"&amp;900,m_end,"&gt;"&amp;840)=0,"",IF(COUNTIFS(m_teacher,AA$4,m_date,($G$2+9),m_active,1,m_start,"&lt;"&amp;900,m_end,"&gt;"&amp;840)&gt;1,"충돌",HYPERLINK("#'관리자_MASTER'!D"&amp;_xlfn.MAXIFS(m_row,m_teacher,AA$4,m_date,($G$2+9),m_active,1,m_start,"&lt;"&amp;900,m_end,"&gt;"&amp;840),INDEX(m_label,_xlfn.MAXIFS(m_row,m_teacher,AA$4,m_date,($G$2+9),m_active,1,m_start,"&lt;"&amp;900,m_end,"&gt;"&amp;840))))))</f>
        <v/>
      </c>
      <c r="AB32" s="82" t="str">
        <f aca="false">IF(OR(AB$4="",MONTH(($G$2+9))&lt;&gt;MONTH($C$2)),"",IF(COUNTIFS(m_teacher,AB$4,m_date,($G$2+9),m_active,1,m_start,"&lt;"&amp;900,m_end,"&gt;"&amp;840)=0,"",IF(COUNTIFS(m_teacher,AB$4,m_date,($G$2+9),m_active,1,m_start,"&lt;"&amp;900,m_end,"&gt;"&amp;840)&gt;1,"충돌",HYPERLINK("#'관리자_MASTER'!D"&amp;_xlfn.MAXIFS(m_row,m_teacher,AB$4,m_date,($G$2+9),m_active,1,m_start,"&lt;"&amp;900,m_end,"&gt;"&amp;840),INDEX(m_label,_xlfn.MAXIFS(m_row,m_teacher,AB$4,m_date,($G$2+9),m_active,1,m_start,"&lt;"&amp;900,m_end,"&gt;"&amp;840))))))</f>
        <v/>
      </c>
      <c r="AC32" s="78"/>
      <c r="AD32" s="79" t="s">
        <v>96</v>
      </c>
      <c r="AE32" s="82" t="str">
        <f aca="false">IF(OR(AE$4="",MONTH(($G$2+16))&lt;&gt;MONTH($C$2)),"",IF(COUNTIFS(m_teacher,AE$4,m_date,($G$2+16),m_active,1,m_start,"&lt;"&amp;900,m_end,"&gt;"&amp;840)=0,"",IF(COUNTIFS(m_teacher,AE$4,m_date,($G$2+16),m_active,1,m_start,"&lt;"&amp;900,m_end,"&gt;"&amp;840)&gt;1,"충돌",HYPERLINK("#'관리자_MASTER'!D"&amp;_xlfn.MAXIFS(m_row,m_teacher,AE$4,m_date,($G$2+16),m_active,1,m_start,"&lt;"&amp;900,m_end,"&gt;"&amp;840),INDEX(m_label,_xlfn.MAXIFS(m_row,m_teacher,AE$4,m_date,($G$2+16),m_active,1,m_start,"&lt;"&amp;900,m_end,"&gt;"&amp;840))))))</f>
        <v/>
      </c>
      <c r="AF32" s="82" t="str">
        <f aca="false">IF(OR(AF$4="",MONTH(($G$2+16))&lt;&gt;MONTH($C$2)),"",IF(COUNTIFS(m_teacher,AF$4,m_date,($G$2+16),m_active,1,m_start,"&lt;"&amp;900,m_end,"&gt;"&amp;840)=0,"",IF(COUNTIFS(m_teacher,AF$4,m_date,($G$2+16),m_active,1,m_start,"&lt;"&amp;900,m_end,"&gt;"&amp;840)&gt;1,"충돌",HYPERLINK("#'관리자_MASTER'!D"&amp;_xlfn.MAXIFS(m_row,m_teacher,AF$4,m_date,($G$2+16),m_active,1,m_start,"&lt;"&amp;900,m_end,"&gt;"&amp;840),INDEX(m_label,_xlfn.MAXIFS(m_row,m_teacher,AF$4,m_date,($G$2+16),m_active,1,m_start,"&lt;"&amp;900,m_end,"&gt;"&amp;840))))))</f>
        <v/>
      </c>
      <c r="AG32" s="82" t="str">
        <f aca="false">IF(OR(AG$4="",MONTH(($G$2+16))&lt;&gt;MONTH($C$2)),"",IF(COUNTIFS(m_teacher,AG$4,m_date,($G$2+16),m_active,1,m_start,"&lt;"&amp;900,m_end,"&gt;"&amp;840)=0,"",IF(COUNTIFS(m_teacher,AG$4,m_date,($G$2+16),m_active,1,m_start,"&lt;"&amp;900,m_end,"&gt;"&amp;840)&gt;1,"충돌",HYPERLINK("#'관리자_MASTER'!D"&amp;_xlfn.MAXIFS(m_row,m_teacher,AG$4,m_date,($G$2+16),m_active,1,m_start,"&lt;"&amp;900,m_end,"&gt;"&amp;840),INDEX(m_label,_xlfn.MAXIFS(m_row,m_teacher,AG$4,m_date,($G$2+16),m_active,1,m_start,"&lt;"&amp;900,m_end,"&gt;"&amp;840))))))</f>
        <v/>
      </c>
      <c r="AH32" s="82" t="str">
        <f aca="false">IF(OR(AH$4="",MONTH(($G$2+16))&lt;&gt;MONTH($C$2)),"",IF(COUNTIFS(m_teacher,AH$4,m_date,($G$2+16),m_active,1,m_start,"&lt;"&amp;900,m_end,"&gt;"&amp;840)=0,"",IF(COUNTIFS(m_teacher,AH$4,m_date,($G$2+16),m_active,1,m_start,"&lt;"&amp;900,m_end,"&gt;"&amp;840)&gt;1,"충돌",HYPERLINK("#'관리자_MASTER'!D"&amp;_xlfn.MAXIFS(m_row,m_teacher,AH$4,m_date,($G$2+16),m_active,1,m_start,"&lt;"&amp;900,m_end,"&gt;"&amp;840),INDEX(m_label,_xlfn.MAXIFS(m_row,m_teacher,AH$4,m_date,($G$2+16),m_active,1,m_start,"&lt;"&amp;900,m_end,"&gt;"&amp;840))))))</f>
        <v/>
      </c>
      <c r="AI32" s="82" t="str">
        <f aca="false">IF(OR(AI$4="",MONTH(($G$2+16))&lt;&gt;MONTH($C$2)),"",IF(COUNTIFS(m_teacher,AI$4,m_date,($G$2+16),m_active,1,m_start,"&lt;"&amp;900,m_end,"&gt;"&amp;840)=0,"",IF(COUNTIFS(m_teacher,AI$4,m_date,($G$2+16),m_active,1,m_start,"&lt;"&amp;900,m_end,"&gt;"&amp;840)&gt;1,"충돌",HYPERLINK("#'관리자_MASTER'!D"&amp;_xlfn.MAXIFS(m_row,m_teacher,AI$4,m_date,($G$2+16),m_active,1,m_start,"&lt;"&amp;900,m_end,"&gt;"&amp;840),INDEX(m_label,_xlfn.MAXIFS(m_row,m_teacher,AI$4,m_date,($G$2+16),m_active,1,m_start,"&lt;"&amp;900,m_end,"&gt;"&amp;840))))))</f>
        <v/>
      </c>
      <c r="AJ32" s="82" t="str">
        <f aca="false">IF(OR(AJ$4="",MONTH(($G$2+16))&lt;&gt;MONTH($C$2)),"",IF(COUNTIFS(m_teacher,AJ$4,m_date,($G$2+16),m_active,1,m_start,"&lt;"&amp;900,m_end,"&gt;"&amp;840)=0,"",IF(COUNTIFS(m_teacher,AJ$4,m_date,($G$2+16),m_active,1,m_start,"&lt;"&amp;900,m_end,"&gt;"&amp;840)&gt;1,"충돌",HYPERLINK("#'관리자_MASTER'!D"&amp;_xlfn.MAXIFS(m_row,m_teacher,AJ$4,m_date,($G$2+16),m_active,1,m_start,"&lt;"&amp;900,m_end,"&gt;"&amp;840),INDEX(m_label,_xlfn.MAXIFS(m_row,m_teacher,AJ$4,m_date,($G$2+16),m_active,1,m_start,"&lt;"&amp;900,m_end,"&gt;"&amp;840))))))</f>
        <v/>
      </c>
      <c r="AK32" s="82" t="str">
        <f aca="false">IF(OR(AK$4="",MONTH(($G$2+16))&lt;&gt;MONTH($C$2)),"",IF(COUNTIFS(m_teacher,AK$4,m_date,($G$2+16),m_active,1,m_start,"&lt;"&amp;900,m_end,"&gt;"&amp;840)=0,"",IF(COUNTIFS(m_teacher,AK$4,m_date,($G$2+16),m_active,1,m_start,"&lt;"&amp;900,m_end,"&gt;"&amp;840)&gt;1,"충돌",HYPERLINK("#'관리자_MASTER'!D"&amp;_xlfn.MAXIFS(m_row,m_teacher,AK$4,m_date,($G$2+16),m_active,1,m_start,"&lt;"&amp;900,m_end,"&gt;"&amp;840),INDEX(m_label,_xlfn.MAXIFS(m_row,m_teacher,AK$4,m_date,($G$2+16),m_active,1,m_start,"&lt;"&amp;900,m_end,"&gt;"&amp;840))))))</f>
        <v/>
      </c>
      <c r="AL32" s="82" t="str">
        <f aca="false">IF(OR(AL$4="",MONTH(($G$2+16))&lt;&gt;MONTH($C$2)),"",IF(COUNTIFS(m_teacher,AL$4,m_date,($G$2+16),m_active,1,m_start,"&lt;"&amp;900,m_end,"&gt;"&amp;840)=0,"",IF(COUNTIFS(m_teacher,AL$4,m_date,($G$2+16),m_active,1,m_start,"&lt;"&amp;900,m_end,"&gt;"&amp;840)&gt;1,"충돌",HYPERLINK("#'관리자_MASTER'!D"&amp;_xlfn.MAXIFS(m_row,m_teacher,AL$4,m_date,($G$2+16),m_active,1,m_start,"&lt;"&amp;900,m_end,"&gt;"&amp;840),INDEX(m_label,_xlfn.MAXIFS(m_row,m_teacher,AL$4,m_date,($G$2+16),m_active,1,m_start,"&lt;"&amp;900,m_end,"&gt;"&amp;840))))))</f>
        <v/>
      </c>
      <c r="AM32" s="82" t="str">
        <f aca="false">IF(OR(AM$4="",MONTH(($G$2+16))&lt;&gt;MONTH($C$2)),"",IF(COUNTIFS(m_teacher,AM$4,m_date,($G$2+16),m_active,1,m_start,"&lt;"&amp;900,m_end,"&gt;"&amp;840)=0,"",IF(COUNTIFS(m_teacher,AM$4,m_date,($G$2+16),m_active,1,m_start,"&lt;"&amp;900,m_end,"&gt;"&amp;840)&gt;1,"충돌",HYPERLINK("#'관리자_MASTER'!D"&amp;_xlfn.MAXIFS(m_row,m_teacher,AM$4,m_date,($G$2+16),m_active,1,m_start,"&lt;"&amp;900,m_end,"&gt;"&amp;840),INDEX(m_label,_xlfn.MAXIFS(m_row,m_teacher,AM$4,m_date,($G$2+16),m_active,1,m_start,"&lt;"&amp;900,m_end,"&gt;"&amp;840))))))</f>
        <v/>
      </c>
      <c r="AN32" s="82" t="str">
        <f aca="false">IF(OR(AN$4="",MONTH(($G$2+16))&lt;&gt;MONTH($C$2)),"",IF(COUNTIFS(m_teacher,AN$4,m_date,($G$2+16),m_active,1,m_start,"&lt;"&amp;900,m_end,"&gt;"&amp;840)=0,"",IF(COUNTIFS(m_teacher,AN$4,m_date,($G$2+16),m_active,1,m_start,"&lt;"&amp;900,m_end,"&gt;"&amp;840)&gt;1,"충돌",HYPERLINK("#'관리자_MASTER'!D"&amp;_xlfn.MAXIFS(m_row,m_teacher,AN$4,m_date,($G$2+16),m_active,1,m_start,"&lt;"&amp;900,m_end,"&gt;"&amp;840),INDEX(m_label,_xlfn.MAXIFS(m_row,m_teacher,AN$4,m_date,($G$2+16),m_active,1,m_start,"&lt;"&amp;900,m_end,"&gt;"&amp;840))))))</f>
        <v/>
      </c>
      <c r="AO32" s="82" t="str">
        <f aca="false">IF(OR(AO$4="",MONTH(($G$2+16))&lt;&gt;MONTH($C$2)),"",IF(COUNTIFS(m_teacher,AO$4,m_date,($G$2+16),m_active,1,m_start,"&lt;"&amp;900,m_end,"&gt;"&amp;840)=0,"",IF(COUNTIFS(m_teacher,AO$4,m_date,($G$2+16),m_active,1,m_start,"&lt;"&amp;900,m_end,"&gt;"&amp;840)&gt;1,"충돌",HYPERLINK("#'관리자_MASTER'!D"&amp;_xlfn.MAXIFS(m_row,m_teacher,AO$4,m_date,($G$2+16),m_active,1,m_start,"&lt;"&amp;900,m_end,"&gt;"&amp;840),INDEX(m_label,_xlfn.MAXIFS(m_row,m_teacher,AO$4,m_date,($G$2+16),m_active,1,m_start,"&lt;"&amp;900,m_end,"&gt;"&amp;840))))))</f>
        <v/>
      </c>
      <c r="AP32" s="82" t="str">
        <f aca="false">IF(OR(AP$4="",MONTH(($G$2+16))&lt;&gt;MONTH($C$2)),"",IF(COUNTIFS(m_teacher,AP$4,m_date,($G$2+16),m_active,1,m_start,"&lt;"&amp;900,m_end,"&gt;"&amp;840)=0,"",IF(COUNTIFS(m_teacher,AP$4,m_date,($G$2+16),m_active,1,m_start,"&lt;"&amp;900,m_end,"&gt;"&amp;840)&gt;1,"충돌",HYPERLINK("#'관리자_MASTER'!D"&amp;_xlfn.MAXIFS(m_row,m_teacher,AP$4,m_date,($G$2+16),m_active,1,m_start,"&lt;"&amp;900,m_end,"&gt;"&amp;840),INDEX(m_label,_xlfn.MAXIFS(m_row,m_teacher,AP$4,m_date,($G$2+16),m_active,1,m_start,"&lt;"&amp;900,m_end,"&gt;"&amp;840))))))</f>
        <v/>
      </c>
      <c r="AQ32" s="78"/>
      <c r="AR32" s="79" t="s">
        <v>96</v>
      </c>
      <c r="AS32" s="82" t="str">
        <f aca="false">IF(OR(AS$4="",MONTH(($G$2+23))&lt;&gt;MONTH($C$2)),"",IF(COUNTIFS(m_teacher,AS$4,m_date,($G$2+23),m_active,1,m_start,"&lt;"&amp;900,m_end,"&gt;"&amp;840)=0,"",IF(COUNTIFS(m_teacher,AS$4,m_date,($G$2+23),m_active,1,m_start,"&lt;"&amp;900,m_end,"&gt;"&amp;840)&gt;1,"충돌",HYPERLINK("#'관리자_MASTER'!D"&amp;_xlfn.MAXIFS(m_row,m_teacher,AS$4,m_date,($G$2+23),m_active,1,m_start,"&lt;"&amp;900,m_end,"&gt;"&amp;840),INDEX(m_label,_xlfn.MAXIFS(m_row,m_teacher,AS$4,m_date,($G$2+23),m_active,1,m_start,"&lt;"&amp;900,m_end,"&gt;"&amp;840))))))</f>
        <v/>
      </c>
      <c r="AT32" s="82" t="str">
        <f aca="false">IF(OR(AT$4="",MONTH(($G$2+23))&lt;&gt;MONTH($C$2)),"",IF(COUNTIFS(m_teacher,AT$4,m_date,($G$2+23),m_active,1,m_start,"&lt;"&amp;900,m_end,"&gt;"&amp;840)=0,"",IF(COUNTIFS(m_teacher,AT$4,m_date,($G$2+23),m_active,1,m_start,"&lt;"&amp;900,m_end,"&gt;"&amp;840)&gt;1,"충돌",HYPERLINK("#'관리자_MASTER'!D"&amp;_xlfn.MAXIFS(m_row,m_teacher,AT$4,m_date,($G$2+23),m_active,1,m_start,"&lt;"&amp;900,m_end,"&gt;"&amp;840),INDEX(m_label,_xlfn.MAXIFS(m_row,m_teacher,AT$4,m_date,($G$2+23),m_active,1,m_start,"&lt;"&amp;900,m_end,"&gt;"&amp;840))))))</f>
        <v/>
      </c>
      <c r="AU32" s="82" t="str">
        <f aca="false">IF(OR(AU$4="",MONTH(($G$2+23))&lt;&gt;MONTH($C$2)),"",IF(COUNTIFS(m_teacher,AU$4,m_date,($G$2+23),m_active,1,m_start,"&lt;"&amp;900,m_end,"&gt;"&amp;840)=0,"",IF(COUNTIFS(m_teacher,AU$4,m_date,($G$2+23),m_active,1,m_start,"&lt;"&amp;900,m_end,"&gt;"&amp;840)&gt;1,"충돌",HYPERLINK("#'관리자_MASTER'!D"&amp;_xlfn.MAXIFS(m_row,m_teacher,AU$4,m_date,($G$2+23),m_active,1,m_start,"&lt;"&amp;900,m_end,"&gt;"&amp;840),INDEX(m_label,_xlfn.MAXIFS(m_row,m_teacher,AU$4,m_date,($G$2+23),m_active,1,m_start,"&lt;"&amp;900,m_end,"&gt;"&amp;840))))))</f>
        <v/>
      </c>
      <c r="AV32" s="82" t="str">
        <f aca="false">IF(OR(AV$4="",MONTH(($G$2+23))&lt;&gt;MONTH($C$2)),"",IF(COUNTIFS(m_teacher,AV$4,m_date,($G$2+23),m_active,1,m_start,"&lt;"&amp;900,m_end,"&gt;"&amp;840)=0,"",IF(COUNTIFS(m_teacher,AV$4,m_date,($G$2+23),m_active,1,m_start,"&lt;"&amp;900,m_end,"&gt;"&amp;840)&gt;1,"충돌",HYPERLINK("#'관리자_MASTER'!D"&amp;_xlfn.MAXIFS(m_row,m_teacher,AV$4,m_date,($G$2+23),m_active,1,m_start,"&lt;"&amp;900,m_end,"&gt;"&amp;840),INDEX(m_label,_xlfn.MAXIFS(m_row,m_teacher,AV$4,m_date,($G$2+23),m_active,1,m_start,"&lt;"&amp;900,m_end,"&gt;"&amp;840))))))</f>
        <v/>
      </c>
      <c r="AW32" s="82" t="str">
        <f aca="false">IF(OR(AW$4="",MONTH(($G$2+23))&lt;&gt;MONTH($C$2)),"",IF(COUNTIFS(m_teacher,AW$4,m_date,($G$2+23),m_active,1,m_start,"&lt;"&amp;900,m_end,"&gt;"&amp;840)=0,"",IF(COUNTIFS(m_teacher,AW$4,m_date,($G$2+23),m_active,1,m_start,"&lt;"&amp;900,m_end,"&gt;"&amp;840)&gt;1,"충돌",HYPERLINK("#'관리자_MASTER'!D"&amp;_xlfn.MAXIFS(m_row,m_teacher,AW$4,m_date,($G$2+23),m_active,1,m_start,"&lt;"&amp;900,m_end,"&gt;"&amp;840),INDEX(m_label,_xlfn.MAXIFS(m_row,m_teacher,AW$4,m_date,($G$2+23),m_active,1,m_start,"&lt;"&amp;900,m_end,"&gt;"&amp;840))))))</f>
        <v/>
      </c>
      <c r="AX32" s="82" t="str">
        <f aca="false">IF(OR(AX$4="",MONTH(($G$2+23))&lt;&gt;MONTH($C$2)),"",IF(COUNTIFS(m_teacher,AX$4,m_date,($G$2+23),m_active,1,m_start,"&lt;"&amp;900,m_end,"&gt;"&amp;840)=0,"",IF(COUNTIFS(m_teacher,AX$4,m_date,($G$2+23),m_active,1,m_start,"&lt;"&amp;900,m_end,"&gt;"&amp;840)&gt;1,"충돌",HYPERLINK("#'관리자_MASTER'!D"&amp;_xlfn.MAXIFS(m_row,m_teacher,AX$4,m_date,($G$2+23),m_active,1,m_start,"&lt;"&amp;900,m_end,"&gt;"&amp;840),INDEX(m_label,_xlfn.MAXIFS(m_row,m_teacher,AX$4,m_date,($G$2+23),m_active,1,m_start,"&lt;"&amp;900,m_end,"&gt;"&amp;840))))))</f>
        <v/>
      </c>
      <c r="AY32" s="82" t="str">
        <f aca="false">IF(OR(AY$4="",MONTH(($G$2+23))&lt;&gt;MONTH($C$2)),"",IF(COUNTIFS(m_teacher,AY$4,m_date,($G$2+23),m_active,1,m_start,"&lt;"&amp;900,m_end,"&gt;"&amp;840)=0,"",IF(COUNTIFS(m_teacher,AY$4,m_date,($G$2+23),m_active,1,m_start,"&lt;"&amp;900,m_end,"&gt;"&amp;840)&gt;1,"충돌",HYPERLINK("#'관리자_MASTER'!D"&amp;_xlfn.MAXIFS(m_row,m_teacher,AY$4,m_date,($G$2+23),m_active,1,m_start,"&lt;"&amp;900,m_end,"&gt;"&amp;840),INDEX(m_label,_xlfn.MAXIFS(m_row,m_teacher,AY$4,m_date,($G$2+23),m_active,1,m_start,"&lt;"&amp;900,m_end,"&gt;"&amp;840))))))</f>
        <v/>
      </c>
      <c r="AZ32" s="82" t="str">
        <f aca="false">IF(OR(AZ$4="",MONTH(($G$2+23))&lt;&gt;MONTH($C$2)),"",IF(COUNTIFS(m_teacher,AZ$4,m_date,($G$2+23),m_active,1,m_start,"&lt;"&amp;900,m_end,"&gt;"&amp;840)=0,"",IF(COUNTIFS(m_teacher,AZ$4,m_date,($G$2+23),m_active,1,m_start,"&lt;"&amp;900,m_end,"&gt;"&amp;840)&gt;1,"충돌",HYPERLINK("#'관리자_MASTER'!D"&amp;_xlfn.MAXIFS(m_row,m_teacher,AZ$4,m_date,($G$2+23),m_active,1,m_start,"&lt;"&amp;900,m_end,"&gt;"&amp;840),INDEX(m_label,_xlfn.MAXIFS(m_row,m_teacher,AZ$4,m_date,($G$2+23),m_active,1,m_start,"&lt;"&amp;900,m_end,"&gt;"&amp;840))))))</f>
        <v/>
      </c>
      <c r="BA32" s="82" t="str">
        <f aca="false">IF(OR(BA$4="",MONTH(($G$2+23))&lt;&gt;MONTH($C$2)),"",IF(COUNTIFS(m_teacher,BA$4,m_date,($G$2+23),m_active,1,m_start,"&lt;"&amp;900,m_end,"&gt;"&amp;840)=0,"",IF(COUNTIFS(m_teacher,BA$4,m_date,($G$2+23),m_active,1,m_start,"&lt;"&amp;900,m_end,"&gt;"&amp;840)&gt;1,"충돌",HYPERLINK("#'관리자_MASTER'!D"&amp;_xlfn.MAXIFS(m_row,m_teacher,BA$4,m_date,($G$2+23),m_active,1,m_start,"&lt;"&amp;900,m_end,"&gt;"&amp;840),INDEX(m_label,_xlfn.MAXIFS(m_row,m_teacher,BA$4,m_date,($G$2+23),m_active,1,m_start,"&lt;"&amp;900,m_end,"&gt;"&amp;840))))))</f>
        <v/>
      </c>
      <c r="BB32" s="82" t="str">
        <f aca="false">IF(OR(BB$4="",MONTH(($G$2+23))&lt;&gt;MONTH($C$2)),"",IF(COUNTIFS(m_teacher,BB$4,m_date,($G$2+23),m_active,1,m_start,"&lt;"&amp;900,m_end,"&gt;"&amp;840)=0,"",IF(COUNTIFS(m_teacher,BB$4,m_date,($G$2+23),m_active,1,m_start,"&lt;"&amp;900,m_end,"&gt;"&amp;840)&gt;1,"충돌",HYPERLINK("#'관리자_MASTER'!D"&amp;_xlfn.MAXIFS(m_row,m_teacher,BB$4,m_date,($G$2+23),m_active,1,m_start,"&lt;"&amp;900,m_end,"&gt;"&amp;840),INDEX(m_label,_xlfn.MAXIFS(m_row,m_teacher,BB$4,m_date,($G$2+23),m_active,1,m_start,"&lt;"&amp;900,m_end,"&gt;"&amp;840))))))</f>
        <v/>
      </c>
      <c r="BC32" s="82" t="str">
        <f aca="false">IF(OR(BC$4="",MONTH(($G$2+23))&lt;&gt;MONTH($C$2)),"",IF(COUNTIFS(m_teacher,BC$4,m_date,($G$2+23),m_active,1,m_start,"&lt;"&amp;900,m_end,"&gt;"&amp;840)=0,"",IF(COUNTIFS(m_teacher,BC$4,m_date,($G$2+23),m_active,1,m_start,"&lt;"&amp;900,m_end,"&gt;"&amp;840)&gt;1,"충돌",HYPERLINK("#'관리자_MASTER'!D"&amp;_xlfn.MAXIFS(m_row,m_teacher,BC$4,m_date,($G$2+23),m_active,1,m_start,"&lt;"&amp;900,m_end,"&gt;"&amp;840),INDEX(m_label,_xlfn.MAXIFS(m_row,m_teacher,BC$4,m_date,($G$2+23),m_active,1,m_start,"&lt;"&amp;900,m_end,"&gt;"&amp;840))))))</f>
        <v/>
      </c>
      <c r="BD32" s="82" t="str">
        <f aca="false">IF(OR(BD$4="",MONTH(($G$2+23))&lt;&gt;MONTH($C$2)),"",IF(COUNTIFS(m_teacher,BD$4,m_date,($G$2+23),m_active,1,m_start,"&lt;"&amp;900,m_end,"&gt;"&amp;840)=0,"",IF(COUNTIFS(m_teacher,BD$4,m_date,($G$2+23),m_active,1,m_start,"&lt;"&amp;900,m_end,"&gt;"&amp;840)&gt;1,"충돌",HYPERLINK("#'관리자_MASTER'!D"&amp;_xlfn.MAXIFS(m_row,m_teacher,BD$4,m_date,($G$2+23),m_active,1,m_start,"&lt;"&amp;900,m_end,"&gt;"&amp;840),INDEX(m_label,_xlfn.MAXIFS(m_row,m_teacher,BD$4,m_date,($G$2+23),m_active,1,m_start,"&lt;"&amp;900,m_end,"&gt;"&amp;840))))))</f>
        <v/>
      </c>
      <c r="BE32" s="78"/>
      <c r="BF32" s="79" t="s">
        <v>96</v>
      </c>
      <c r="BG32" s="82" t="str">
        <f aca="false">IF(OR(BG$4="",MONTH(($G$2+30))&lt;&gt;MONTH($C$2)),"",IF(COUNTIFS(m_teacher,BG$4,m_date,($G$2+30),m_active,1,m_start,"&lt;"&amp;900,m_end,"&gt;"&amp;840)=0,"",IF(COUNTIFS(m_teacher,BG$4,m_date,($G$2+30),m_active,1,m_start,"&lt;"&amp;900,m_end,"&gt;"&amp;840)&gt;1,"충돌",HYPERLINK("#'관리자_MASTER'!D"&amp;_xlfn.MAXIFS(m_row,m_teacher,BG$4,m_date,($G$2+30),m_active,1,m_start,"&lt;"&amp;900,m_end,"&gt;"&amp;840),INDEX(m_label,_xlfn.MAXIFS(m_row,m_teacher,BG$4,m_date,($G$2+30),m_active,1,m_start,"&lt;"&amp;900,m_end,"&gt;"&amp;840))))))</f>
        <v/>
      </c>
      <c r="BH32" s="82" t="str">
        <f aca="false">IF(OR(BH$4="",MONTH(($G$2+30))&lt;&gt;MONTH($C$2)),"",IF(COUNTIFS(m_teacher,BH$4,m_date,($G$2+30),m_active,1,m_start,"&lt;"&amp;900,m_end,"&gt;"&amp;840)=0,"",IF(COUNTIFS(m_teacher,BH$4,m_date,($G$2+30),m_active,1,m_start,"&lt;"&amp;900,m_end,"&gt;"&amp;840)&gt;1,"충돌",HYPERLINK("#'관리자_MASTER'!D"&amp;_xlfn.MAXIFS(m_row,m_teacher,BH$4,m_date,($G$2+30),m_active,1,m_start,"&lt;"&amp;900,m_end,"&gt;"&amp;840),INDEX(m_label,_xlfn.MAXIFS(m_row,m_teacher,BH$4,m_date,($G$2+30),m_active,1,m_start,"&lt;"&amp;900,m_end,"&gt;"&amp;840))))))</f>
        <v/>
      </c>
      <c r="BI32" s="82" t="str">
        <f aca="false">IF(OR(BI$4="",MONTH(($G$2+30))&lt;&gt;MONTH($C$2)),"",IF(COUNTIFS(m_teacher,BI$4,m_date,($G$2+30),m_active,1,m_start,"&lt;"&amp;900,m_end,"&gt;"&amp;840)=0,"",IF(COUNTIFS(m_teacher,BI$4,m_date,($G$2+30),m_active,1,m_start,"&lt;"&amp;900,m_end,"&gt;"&amp;840)&gt;1,"충돌",HYPERLINK("#'관리자_MASTER'!D"&amp;_xlfn.MAXIFS(m_row,m_teacher,BI$4,m_date,($G$2+30),m_active,1,m_start,"&lt;"&amp;900,m_end,"&gt;"&amp;840),INDEX(m_label,_xlfn.MAXIFS(m_row,m_teacher,BI$4,m_date,($G$2+30),m_active,1,m_start,"&lt;"&amp;900,m_end,"&gt;"&amp;840))))))</f>
        <v/>
      </c>
      <c r="BJ32" s="82" t="str">
        <f aca="false">IF(OR(BJ$4="",MONTH(($G$2+30))&lt;&gt;MONTH($C$2)),"",IF(COUNTIFS(m_teacher,BJ$4,m_date,($G$2+30),m_active,1,m_start,"&lt;"&amp;900,m_end,"&gt;"&amp;840)=0,"",IF(COUNTIFS(m_teacher,BJ$4,m_date,($G$2+30),m_active,1,m_start,"&lt;"&amp;900,m_end,"&gt;"&amp;840)&gt;1,"충돌",HYPERLINK("#'관리자_MASTER'!D"&amp;_xlfn.MAXIFS(m_row,m_teacher,BJ$4,m_date,($G$2+30),m_active,1,m_start,"&lt;"&amp;900,m_end,"&gt;"&amp;840),INDEX(m_label,_xlfn.MAXIFS(m_row,m_teacher,BJ$4,m_date,($G$2+30),m_active,1,m_start,"&lt;"&amp;900,m_end,"&gt;"&amp;840))))))</f>
        <v/>
      </c>
      <c r="BK32" s="82" t="str">
        <f aca="false">IF(OR(BK$4="",MONTH(($G$2+30))&lt;&gt;MONTH($C$2)),"",IF(COUNTIFS(m_teacher,BK$4,m_date,($G$2+30),m_active,1,m_start,"&lt;"&amp;900,m_end,"&gt;"&amp;840)=0,"",IF(COUNTIFS(m_teacher,BK$4,m_date,($G$2+30),m_active,1,m_start,"&lt;"&amp;900,m_end,"&gt;"&amp;840)&gt;1,"충돌",HYPERLINK("#'관리자_MASTER'!D"&amp;_xlfn.MAXIFS(m_row,m_teacher,BK$4,m_date,($G$2+30),m_active,1,m_start,"&lt;"&amp;900,m_end,"&gt;"&amp;840),INDEX(m_label,_xlfn.MAXIFS(m_row,m_teacher,BK$4,m_date,($G$2+30),m_active,1,m_start,"&lt;"&amp;900,m_end,"&gt;"&amp;840))))))</f>
        <v/>
      </c>
      <c r="BL32" s="82" t="str">
        <f aca="false">IF(OR(BL$4="",MONTH(($G$2+30))&lt;&gt;MONTH($C$2)),"",IF(COUNTIFS(m_teacher,BL$4,m_date,($G$2+30),m_active,1,m_start,"&lt;"&amp;900,m_end,"&gt;"&amp;840)=0,"",IF(COUNTIFS(m_teacher,BL$4,m_date,($G$2+30),m_active,1,m_start,"&lt;"&amp;900,m_end,"&gt;"&amp;840)&gt;1,"충돌",HYPERLINK("#'관리자_MASTER'!D"&amp;_xlfn.MAXIFS(m_row,m_teacher,BL$4,m_date,($G$2+30),m_active,1,m_start,"&lt;"&amp;900,m_end,"&gt;"&amp;840),INDEX(m_label,_xlfn.MAXIFS(m_row,m_teacher,BL$4,m_date,($G$2+30),m_active,1,m_start,"&lt;"&amp;900,m_end,"&gt;"&amp;840))))))</f>
        <v/>
      </c>
      <c r="BM32" s="82" t="str">
        <f aca="false">IF(OR(BM$4="",MONTH(($G$2+30))&lt;&gt;MONTH($C$2)),"",IF(COUNTIFS(m_teacher,BM$4,m_date,($G$2+30),m_active,1,m_start,"&lt;"&amp;900,m_end,"&gt;"&amp;840)=0,"",IF(COUNTIFS(m_teacher,BM$4,m_date,($G$2+30),m_active,1,m_start,"&lt;"&amp;900,m_end,"&gt;"&amp;840)&gt;1,"충돌",HYPERLINK("#'관리자_MASTER'!D"&amp;_xlfn.MAXIFS(m_row,m_teacher,BM$4,m_date,($G$2+30),m_active,1,m_start,"&lt;"&amp;900,m_end,"&gt;"&amp;840),INDEX(m_label,_xlfn.MAXIFS(m_row,m_teacher,BM$4,m_date,($G$2+30),m_active,1,m_start,"&lt;"&amp;900,m_end,"&gt;"&amp;840))))))</f>
        <v/>
      </c>
      <c r="BN32" s="82" t="str">
        <f aca="false">IF(OR(BN$4="",MONTH(($G$2+30))&lt;&gt;MONTH($C$2)),"",IF(COUNTIFS(m_teacher,BN$4,m_date,($G$2+30),m_active,1,m_start,"&lt;"&amp;900,m_end,"&gt;"&amp;840)=0,"",IF(COUNTIFS(m_teacher,BN$4,m_date,($G$2+30),m_active,1,m_start,"&lt;"&amp;900,m_end,"&gt;"&amp;840)&gt;1,"충돌",HYPERLINK("#'관리자_MASTER'!D"&amp;_xlfn.MAXIFS(m_row,m_teacher,BN$4,m_date,($G$2+30),m_active,1,m_start,"&lt;"&amp;900,m_end,"&gt;"&amp;840),INDEX(m_label,_xlfn.MAXIFS(m_row,m_teacher,BN$4,m_date,($G$2+30),m_active,1,m_start,"&lt;"&amp;900,m_end,"&gt;"&amp;840))))))</f>
        <v/>
      </c>
      <c r="BO32" s="82" t="str">
        <f aca="false">IF(OR(BO$4="",MONTH(($G$2+30))&lt;&gt;MONTH($C$2)),"",IF(COUNTIFS(m_teacher,BO$4,m_date,($G$2+30),m_active,1,m_start,"&lt;"&amp;900,m_end,"&gt;"&amp;840)=0,"",IF(COUNTIFS(m_teacher,BO$4,m_date,($G$2+30),m_active,1,m_start,"&lt;"&amp;900,m_end,"&gt;"&amp;840)&gt;1,"충돌",HYPERLINK("#'관리자_MASTER'!D"&amp;_xlfn.MAXIFS(m_row,m_teacher,BO$4,m_date,($G$2+30),m_active,1,m_start,"&lt;"&amp;900,m_end,"&gt;"&amp;840),INDEX(m_label,_xlfn.MAXIFS(m_row,m_teacher,BO$4,m_date,($G$2+30),m_active,1,m_start,"&lt;"&amp;900,m_end,"&gt;"&amp;840))))))</f>
        <v/>
      </c>
      <c r="BP32" s="82" t="str">
        <f aca="false">IF(OR(BP$4="",MONTH(($G$2+30))&lt;&gt;MONTH($C$2)),"",IF(COUNTIFS(m_teacher,BP$4,m_date,($G$2+30),m_active,1,m_start,"&lt;"&amp;900,m_end,"&gt;"&amp;840)=0,"",IF(COUNTIFS(m_teacher,BP$4,m_date,($G$2+30),m_active,1,m_start,"&lt;"&amp;900,m_end,"&gt;"&amp;840)&gt;1,"충돌",HYPERLINK("#'관리자_MASTER'!D"&amp;_xlfn.MAXIFS(m_row,m_teacher,BP$4,m_date,($G$2+30),m_active,1,m_start,"&lt;"&amp;900,m_end,"&gt;"&amp;840),INDEX(m_label,_xlfn.MAXIFS(m_row,m_teacher,BP$4,m_date,($G$2+30),m_active,1,m_start,"&lt;"&amp;900,m_end,"&gt;"&amp;840))))))</f>
        <v/>
      </c>
      <c r="BQ32" s="82" t="str">
        <f aca="false">IF(OR(BQ$4="",MONTH(($G$2+30))&lt;&gt;MONTH($C$2)),"",IF(COUNTIFS(m_teacher,BQ$4,m_date,($G$2+30),m_active,1,m_start,"&lt;"&amp;900,m_end,"&gt;"&amp;840)=0,"",IF(COUNTIFS(m_teacher,BQ$4,m_date,($G$2+30),m_active,1,m_start,"&lt;"&amp;900,m_end,"&gt;"&amp;840)&gt;1,"충돌",HYPERLINK("#'관리자_MASTER'!D"&amp;_xlfn.MAXIFS(m_row,m_teacher,BQ$4,m_date,($G$2+30),m_active,1,m_start,"&lt;"&amp;900,m_end,"&gt;"&amp;840),INDEX(m_label,_xlfn.MAXIFS(m_row,m_teacher,BQ$4,m_date,($G$2+30),m_active,1,m_start,"&lt;"&amp;900,m_end,"&gt;"&amp;840))))))</f>
        <v/>
      </c>
      <c r="BR32" s="82" t="str">
        <f aca="false">IF(OR(BR$4="",MONTH(($G$2+30))&lt;&gt;MONTH($C$2)),"",IF(COUNTIFS(m_teacher,BR$4,m_date,($G$2+30),m_active,1,m_start,"&lt;"&amp;900,m_end,"&gt;"&amp;840)=0,"",IF(COUNTIFS(m_teacher,BR$4,m_date,($G$2+30),m_active,1,m_start,"&lt;"&amp;900,m_end,"&gt;"&amp;840)&gt;1,"충돌",HYPERLINK("#'관리자_MASTER'!D"&amp;_xlfn.MAXIFS(m_row,m_teacher,BR$4,m_date,($G$2+30),m_active,1,m_start,"&lt;"&amp;900,m_end,"&gt;"&amp;840),INDEX(m_label,_xlfn.MAXIFS(m_row,m_teacher,BR$4,m_date,($G$2+30),m_active,1,m_start,"&lt;"&amp;900,m_end,"&gt;"&amp;840))))))</f>
        <v/>
      </c>
    </row>
    <row r="33" customFormat="false" ht="19.5" hidden="false" customHeight="true" outlineLevel="0" collapsed="false">
      <c r="A33" s="75"/>
      <c r="B33" s="76" t="s">
        <v>97</v>
      </c>
      <c r="C33" s="81" t="str">
        <f aca="false">IF(OR(C$4="",MONTH(($G$2+2))&lt;&gt;MONTH($C$2)),"",IF(COUNTIFS(m_teacher,C$4,m_date,($G$2+2),m_active,1,m_start,"&lt;"&amp;960,m_end,"&gt;"&amp;900)=0,"",IF(COUNTIFS(m_teacher,C$4,m_date,($G$2+2),m_active,1,m_start,"&lt;"&amp;960,m_end,"&gt;"&amp;900)&gt;1,"충돌",HYPERLINK("#'관리자_MASTER'!D"&amp;_xlfn.MAXIFS(m_row,m_teacher,C$4,m_date,($G$2+2),m_active,1,m_start,"&lt;"&amp;960,m_end,"&gt;"&amp;900),INDEX(m_label,_xlfn.MAXIFS(m_row,m_teacher,C$4,m_date,($G$2+2),m_active,1,m_start,"&lt;"&amp;960,m_end,"&gt;"&amp;900))))))</f>
        <v/>
      </c>
      <c r="D33" s="81" t="str">
        <f aca="false">IF(OR(D$4="",MONTH(($G$2+2))&lt;&gt;MONTH($C$2)),"",IF(COUNTIFS(m_teacher,D$4,m_date,($G$2+2),m_active,1,m_start,"&lt;"&amp;960,m_end,"&gt;"&amp;900)=0,"",IF(COUNTIFS(m_teacher,D$4,m_date,($G$2+2),m_active,1,m_start,"&lt;"&amp;960,m_end,"&gt;"&amp;900)&gt;1,"충돌",HYPERLINK("#'관리자_MASTER'!D"&amp;_xlfn.MAXIFS(m_row,m_teacher,D$4,m_date,($G$2+2),m_active,1,m_start,"&lt;"&amp;960,m_end,"&gt;"&amp;900),INDEX(m_label,_xlfn.MAXIFS(m_row,m_teacher,D$4,m_date,($G$2+2),m_active,1,m_start,"&lt;"&amp;960,m_end,"&gt;"&amp;900))))))</f>
        <v/>
      </c>
      <c r="E33" s="81" t="str">
        <f aca="false">IF(OR(E$4="",MONTH(($G$2+2))&lt;&gt;MONTH($C$2)),"",IF(COUNTIFS(m_teacher,E$4,m_date,($G$2+2),m_active,1,m_start,"&lt;"&amp;960,m_end,"&gt;"&amp;900)=0,"",IF(COUNTIFS(m_teacher,E$4,m_date,($G$2+2),m_active,1,m_start,"&lt;"&amp;960,m_end,"&gt;"&amp;900)&gt;1,"충돌",HYPERLINK("#'관리자_MASTER'!D"&amp;_xlfn.MAXIFS(m_row,m_teacher,E$4,m_date,($G$2+2),m_active,1,m_start,"&lt;"&amp;960,m_end,"&gt;"&amp;900),INDEX(m_label,_xlfn.MAXIFS(m_row,m_teacher,E$4,m_date,($G$2+2),m_active,1,m_start,"&lt;"&amp;960,m_end,"&gt;"&amp;900))))))</f>
        <v/>
      </c>
      <c r="F33" s="81" t="str">
        <f aca="false">IF(OR(F$4="",MONTH(($G$2+2))&lt;&gt;MONTH($C$2)),"",IF(COUNTIFS(m_teacher,F$4,m_date,($G$2+2),m_active,1,m_start,"&lt;"&amp;960,m_end,"&gt;"&amp;900)=0,"",IF(COUNTIFS(m_teacher,F$4,m_date,($G$2+2),m_active,1,m_start,"&lt;"&amp;960,m_end,"&gt;"&amp;900)&gt;1,"충돌",HYPERLINK("#'관리자_MASTER'!D"&amp;_xlfn.MAXIFS(m_row,m_teacher,F$4,m_date,($G$2+2),m_active,1,m_start,"&lt;"&amp;960,m_end,"&gt;"&amp;900),INDEX(m_label,_xlfn.MAXIFS(m_row,m_teacher,F$4,m_date,($G$2+2),m_active,1,m_start,"&lt;"&amp;960,m_end,"&gt;"&amp;900))))))</f>
        <v/>
      </c>
      <c r="G33" s="81" t="str">
        <f aca="false">IF(OR(G$4="",MONTH(($G$2+2))&lt;&gt;MONTH($C$2)),"",IF(COUNTIFS(m_teacher,G$4,m_date,($G$2+2),m_active,1,m_start,"&lt;"&amp;960,m_end,"&gt;"&amp;900)=0,"",IF(COUNTIFS(m_teacher,G$4,m_date,($G$2+2),m_active,1,m_start,"&lt;"&amp;960,m_end,"&gt;"&amp;900)&gt;1,"충돌",HYPERLINK("#'관리자_MASTER'!D"&amp;_xlfn.MAXIFS(m_row,m_teacher,G$4,m_date,($G$2+2),m_active,1,m_start,"&lt;"&amp;960,m_end,"&gt;"&amp;900),INDEX(m_label,_xlfn.MAXIFS(m_row,m_teacher,G$4,m_date,($G$2+2),m_active,1,m_start,"&lt;"&amp;960,m_end,"&gt;"&amp;900))))))</f>
        <v/>
      </c>
      <c r="H33" s="81" t="str">
        <f aca="false">IF(OR(H$4="",MONTH(($G$2+2))&lt;&gt;MONTH($C$2)),"",IF(COUNTIFS(m_teacher,H$4,m_date,($G$2+2),m_active,1,m_start,"&lt;"&amp;960,m_end,"&gt;"&amp;900)=0,"",IF(COUNTIFS(m_teacher,H$4,m_date,($G$2+2),m_active,1,m_start,"&lt;"&amp;960,m_end,"&gt;"&amp;900)&gt;1,"충돌",HYPERLINK("#'관리자_MASTER'!D"&amp;_xlfn.MAXIFS(m_row,m_teacher,H$4,m_date,($G$2+2),m_active,1,m_start,"&lt;"&amp;960,m_end,"&gt;"&amp;900),INDEX(m_label,_xlfn.MAXIFS(m_row,m_teacher,H$4,m_date,($G$2+2),m_active,1,m_start,"&lt;"&amp;960,m_end,"&gt;"&amp;900))))))</f>
        <v/>
      </c>
      <c r="I33" s="81" t="str">
        <f aca="false">IF(OR(I$4="",MONTH(($G$2+2))&lt;&gt;MONTH($C$2)),"",IF(COUNTIFS(m_teacher,I$4,m_date,($G$2+2),m_active,1,m_start,"&lt;"&amp;960,m_end,"&gt;"&amp;900)=0,"",IF(COUNTIFS(m_teacher,I$4,m_date,($G$2+2),m_active,1,m_start,"&lt;"&amp;960,m_end,"&gt;"&amp;900)&gt;1,"충돌",HYPERLINK("#'관리자_MASTER'!D"&amp;_xlfn.MAXIFS(m_row,m_teacher,I$4,m_date,($G$2+2),m_active,1,m_start,"&lt;"&amp;960,m_end,"&gt;"&amp;900),INDEX(m_label,_xlfn.MAXIFS(m_row,m_teacher,I$4,m_date,($G$2+2),m_active,1,m_start,"&lt;"&amp;960,m_end,"&gt;"&amp;900))))))</f>
        <v/>
      </c>
      <c r="J33" s="81" t="str">
        <f aca="false">IF(OR(J$4="",MONTH(($G$2+2))&lt;&gt;MONTH($C$2)),"",IF(COUNTIFS(m_teacher,J$4,m_date,($G$2+2),m_active,1,m_start,"&lt;"&amp;960,m_end,"&gt;"&amp;900)=0,"",IF(COUNTIFS(m_teacher,J$4,m_date,($G$2+2),m_active,1,m_start,"&lt;"&amp;960,m_end,"&gt;"&amp;900)&gt;1,"충돌",HYPERLINK("#'관리자_MASTER'!D"&amp;_xlfn.MAXIFS(m_row,m_teacher,J$4,m_date,($G$2+2),m_active,1,m_start,"&lt;"&amp;960,m_end,"&gt;"&amp;900),INDEX(m_label,_xlfn.MAXIFS(m_row,m_teacher,J$4,m_date,($G$2+2),m_active,1,m_start,"&lt;"&amp;960,m_end,"&gt;"&amp;900))))))</f>
        <v/>
      </c>
      <c r="K33" s="81" t="str">
        <f aca="false">IF(OR(K$4="",MONTH(($G$2+2))&lt;&gt;MONTH($C$2)),"",IF(COUNTIFS(m_teacher,K$4,m_date,($G$2+2),m_active,1,m_start,"&lt;"&amp;960,m_end,"&gt;"&amp;900)=0,"",IF(COUNTIFS(m_teacher,K$4,m_date,($G$2+2),m_active,1,m_start,"&lt;"&amp;960,m_end,"&gt;"&amp;900)&gt;1,"충돌",HYPERLINK("#'관리자_MASTER'!D"&amp;_xlfn.MAXIFS(m_row,m_teacher,K$4,m_date,($G$2+2),m_active,1,m_start,"&lt;"&amp;960,m_end,"&gt;"&amp;900),INDEX(m_label,_xlfn.MAXIFS(m_row,m_teacher,K$4,m_date,($G$2+2),m_active,1,m_start,"&lt;"&amp;960,m_end,"&gt;"&amp;900))))))</f>
        <v/>
      </c>
      <c r="L33" s="81" t="str">
        <f aca="false">IF(OR(L$4="",MONTH(($G$2+2))&lt;&gt;MONTH($C$2)),"",IF(COUNTIFS(m_teacher,L$4,m_date,($G$2+2),m_active,1,m_start,"&lt;"&amp;960,m_end,"&gt;"&amp;900)=0,"",IF(COUNTIFS(m_teacher,L$4,m_date,($G$2+2),m_active,1,m_start,"&lt;"&amp;960,m_end,"&gt;"&amp;900)&gt;1,"충돌",HYPERLINK("#'관리자_MASTER'!D"&amp;_xlfn.MAXIFS(m_row,m_teacher,L$4,m_date,($G$2+2),m_active,1,m_start,"&lt;"&amp;960,m_end,"&gt;"&amp;900),INDEX(m_label,_xlfn.MAXIFS(m_row,m_teacher,L$4,m_date,($G$2+2),m_active,1,m_start,"&lt;"&amp;960,m_end,"&gt;"&amp;900))))))</f>
        <v/>
      </c>
      <c r="M33" s="81" t="str">
        <f aca="false">IF(OR(M$4="",MONTH(($G$2+2))&lt;&gt;MONTH($C$2)),"",IF(COUNTIFS(m_teacher,M$4,m_date,($G$2+2),m_active,1,m_start,"&lt;"&amp;960,m_end,"&gt;"&amp;900)=0,"",IF(COUNTIFS(m_teacher,M$4,m_date,($G$2+2),m_active,1,m_start,"&lt;"&amp;960,m_end,"&gt;"&amp;900)&gt;1,"충돌",HYPERLINK("#'관리자_MASTER'!D"&amp;_xlfn.MAXIFS(m_row,m_teacher,M$4,m_date,($G$2+2),m_active,1,m_start,"&lt;"&amp;960,m_end,"&gt;"&amp;900),INDEX(m_label,_xlfn.MAXIFS(m_row,m_teacher,M$4,m_date,($G$2+2),m_active,1,m_start,"&lt;"&amp;960,m_end,"&gt;"&amp;900))))))</f>
        <v/>
      </c>
      <c r="N33" s="81" t="str">
        <f aca="false">IF(OR(N$4="",MONTH(($G$2+2))&lt;&gt;MONTH($C$2)),"",IF(COUNTIFS(m_teacher,N$4,m_date,($G$2+2),m_active,1,m_start,"&lt;"&amp;960,m_end,"&gt;"&amp;900)=0,"",IF(COUNTIFS(m_teacher,N$4,m_date,($G$2+2),m_active,1,m_start,"&lt;"&amp;960,m_end,"&gt;"&amp;900)&gt;1,"충돌",HYPERLINK("#'관리자_MASTER'!D"&amp;_xlfn.MAXIFS(m_row,m_teacher,N$4,m_date,($G$2+2),m_active,1,m_start,"&lt;"&amp;960,m_end,"&gt;"&amp;900),INDEX(m_label,_xlfn.MAXIFS(m_row,m_teacher,N$4,m_date,($G$2+2),m_active,1,m_start,"&lt;"&amp;960,m_end,"&gt;"&amp;900))))))</f>
        <v/>
      </c>
      <c r="O33" s="78"/>
      <c r="P33" s="79" t="s">
        <v>97</v>
      </c>
      <c r="Q33" s="82" t="str">
        <f aca="false">IF(OR(Q$4="",MONTH(($G$2+9))&lt;&gt;MONTH($C$2)),"",IF(COUNTIFS(m_teacher,Q$4,m_date,($G$2+9),m_active,1,m_start,"&lt;"&amp;960,m_end,"&gt;"&amp;900)=0,"",IF(COUNTIFS(m_teacher,Q$4,m_date,($G$2+9),m_active,1,m_start,"&lt;"&amp;960,m_end,"&gt;"&amp;900)&gt;1,"충돌",HYPERLINK("#'관리자_MASTER'!D"&amp;_xlfn.MAXIFS(m_row,m_teacher,Q$4,m_date,($G$2+9),m_active,1,m_start,"&lt;"&amp;960,m_end,"&gt;"&amp;900),INDEX(m_label,_xlfn.MAXIFS(m_row,m_teacher,Q$4,m_date,($G$2+9),m_active,1,m_start,"&lt;"&amp;960,m_end,"&gt;"&amp;900))))))</f>
        <v/>
      </c>
      <c r="R33" s="82" t="str">
        <f aca="false">IF(OR(R$4="",MONTH(($G$2+9))&lt;&gt;MONTH($C$2)),"",IF(COUNTIFS(m_teacher,R$4,m_date,($G$2+9),m_active,1,m_start,"&lt;"&amp;960,m_end,"&gt;"&amp;900)=0,"",IF(COUNTIFS(m_teacher,R$4,m_date,($G$2+9),m_active,1,m_start,"&lt;"&amp;960,m_end,"&gt;"&amp;900)&gt;1,"충돌",HYPERLINK("#'관리자_MASTER'!D"&amp;_xlfn.MAXIFS(m_row,m_teacher,R$4,m_date,($G$2+9),m_active,1,m_start,"&lt;"&amp;960,m_end,"&gt;"&amp;900),INDEX(m_label,_xlfn.MAXIFS(m_row,m_teacher,R$4,m_date,($G$2+9),m_active,1,m_start,"&lt;"&amp;960,m_end,"&gt;"&amp;900))))))</f>
        <v/>
      </c>
      <c r="S33" s="82" t="str">
        <f aca="false">IF(OR(S$4="",MONTH(($G$2+9))&lt;&gt;MONTH($C$2)),"",IF(COUNTIFS(m_teacher,S$4,m_date,($G$2+9),m_active,1,m_start,"&lt;"&amp;960,m_end,"&gt;"&amp;900)=0,"",IF(COUNTIFS(m_teacher,S$4,m_date,($G$2+9),m_active,1,m_start,"&lt;"&amp;960,m_end,"&gt;"&amp;900)&gt;1,"충돌",HYPERLINK("#'관리자_MASTER'!D"&amp;_xlfn.MAXIFS(m_row,m_teacher,S$4,m_date,($G$2+9),m_active,1,m_start,"&lt;"&amp;960,m_end,"&gt;"&amp;900),INDEX(m_label,_xlfn.MAXIFS(m_row,m_teacher,S$4,m_date,($G$2+9),m_active,1,m_start,"&lt;"&amp;960,m_end,"&gt;"&amp;900))))))</f>
        <v/>
      </c>
      <c r="T33" s="82" t="str">
        <f aca="false">IF(OR(T$4="",MONTH(($G$2+9))&lt;&gt;MONTH($C$2)),"",IF(COUNTIFS(m_teacher,T$4,m_date,($G$2+9),m_active,1,m_start,"&lt;"&amp;960,m_end,"&gt;"&amp;900)=0,"",IF(COUNTIFS(m_teacher,T$4,m_date,($G$2+9),m_active,1,m_start,"&lt;"&amp;960,m_end,"&gt;"&amp;900)&gt;1,"충돌",HYPERLINK("#'관리자_MASTER'!D"&amp;_xlfn.MAXIFS(m_row,m_teacher,T$4,m_date,($G$2+9),m_active,1,m_start,"&lt;"&amp;960,m_end,"&gt;"&amp;900),INDEX(m_label,_xlfn.MAXIFS(m_row,m_teacher,T$4,m_date,($G$2+9),m_active,1,m_start,"&lt;"&amp;960,m_end,"&gt;"&amp;900))))))</f>
        <v/>
      </c>
      <c r="U33" s="82" t="str">
        <f aca="false">IF(OR(U$4="",MONTH(($G$2+9))&lt;&gt;MONTH($C$2)),"",IF(COUNTIFS(m_teacher,U$4,m_date,($G$2+9),m_active,1,m_start,"&lt;"&amp;960,m_end,"&gt;"&amp;900)=0,"",IF(COUNTIFS(m_teacher,U$4,m_date,($G$2+9),m_active,1,m_start,"&lt;"&amp;960,m_end,"&gt;"&amp;900)&gt;1,"충돌",HYPERLINK("#'관리자_MASTER'!D"&amp;_xlfn.MAXIFS(m_row,m_teacher,U$4,m_date,($G$2+9),m_active,1,m_start,"&lt;"&amp;960,m_end,"&gt;"&amp;900),INDEX(m_label,_xlfn.MAXIFS(m_row,m_teacher,U$4,m_date,($G$2+9),m_active,1,m_start,"&lt;"&amp;960,m_end,"&gt;"&amp;900))))))</f>
        <v/>
      </c>
      <c r="V33" s="82" t="str">
        <f aca="false">IF(OR(V$4="",MONTH(($G$2+9))&lt;&gt;MONTH($C$2)),"",IF(COUNTIFS(m_teacher,V$4,m_date,($G$2+9),m_active,1,m_start,"&lt;"&amp;960,m_end,"&gt;"&amp;900)=0,"",IF(COUNTIFS(m_teacher,V$4,m_date,($G$2+9),m_active,1,m_start,"&lt;"&amp;960,m_end,"&gt;"&amp;900)&gt;1,"충돌",HYPERLINK("#'관리자_MASTER'!D"&amp;_xlfn.MAXIFS(m_row,m_teacher,V$4,m_date,($G$2+9),m_active,1,m_start,"&lt;"&amp;960,m_end,"&gt;"&amp;900),INDEX(m_label,_xlfn.MAXIFS(m_row,m_teacher,V$4,m_date,($G$2+9),m_active,1,m_start,"&lt;"&amp;960,m_end,"&gt;"&amp;900))))))</f>
        <v/>
      </c>
      <c r="W33" s="82" t="str">
        <f aca="false">IF(OR(W$4="",MONTH(($G$2+9))&lt;&gt;MONTH($C$2)),"",IF(COUNTIFS(m_teacher,W$4,m_date,($G$2+9),m_active,1,m_start,"&lt;"&amp;960,m_end,"&gt;"&amp;900)=0,"",IF(COUNTIFS(m_teacher,W$4,m_date,($G$2+9),m_active,1,m_start,"&lt;"&amp;960,m_end,"&gt;"&amp;900)&gt;1,"충돌",HYPERLINK("#'관리자_MASTER'!D"&amp;_xlfn.MAXIFS(m_row,m_teacher,W$4,m_date,($G$2+9),m_active,1,m_start,"&lt;"&amp;960,m_end,"&gt;"&amp;900),INDEX(m_label,_xlfn.MAXIFS(m_row,m_teacher,W$4,m_date,($G$2+9),m_active,1,m_start,"&lt;"&amp;960,m_end,"&gt;"&amp;900))))))</f>
        <v/>
      </c>
      <c r="X33" s="82" t="str">
        <f aca="false">IF(OR(X$4="",MONTH(($G$2+9))&lt;&gt;MONTH($C$2)),"",IF(COUNTIFS(m_teacher,X$4,m_date,($G$2+9),m_active,1,m_start,"&lt;"&amp;960,m_end,"&gt;"&amp;900)=0,"",IF(COUNTIFS(m_teacher,X$4,m_date,($G$2+9),m_active,1,m_start,"&lt;"&amp;960,m_end,"&gt;"&amp;900)&gt;1,"충돌",HYPERLINK("#'관리자_MASTER'!D"&amp;_xlfn.MAXIFS(m_row,m_teacher,X$4,m_date,($G$2+9),m_active,1,m_start,"&lt;"&amp;960,m_end,"&gt;"&amp;900),INDEX(m_label,_xlfn.MAXIFS(m_row,m_teacher,X$4,m_date,($G$2+9),m_active,1,m_start,"&lt;"&amp;960,m_end,"&gt;"&amp;900))))))</f>
        <v/>
      </c>
      <c r="Y33" s="82" t="str">
        <f aca="false">IF(OR(Y$4="",MONTH(($G$2+9))&lt;&gt;MONTH($C$2)),"",IF(COUNTIFS(m_teacher,Y$4,m_date,($G$2+9),m_active,1,m_start,"&lt;"&amp;960,m_end,"&gt;"&amp;900)=0,"",IF(COUNTIFS(m_teacher,Y$4,m_date,($G$2+9),m_active,1,m_start,"&lt;"&amp;960,m_end,"&gt;"&amp;900)&gt;1,"충돌",HYPERLINK("#'관리자_MASTER'!D"&amp;_xlfn.MAXIFS(m_row,m_teacher,Y$4,m_date,($G$2+9),m_active,1,m_start,"&lt;"&amp;960,m_end,"&gt;"&amp;900),INDEX(m_label,_xlfn.MAXIFS(m_row,m_teacher,Y$4,m_date,($G$2+9),m_active,1,m_start,"&lt;"&amp;960,m_end,"&gt;"&amp;900))))))</f>
        <v/>
      </c>
      <c r="Z33" s="82" t="str">
        <f aca="false">IF(OR(Z$4="",MONTH(($G$2+9))&lt;&gt;MONTH($C$2)),"",IF(COUNTIFS(m_teacher,Z$4,m_date,($G$2+9),m_active,1,m_start,"&lt;"&amp;960,m_end,"&gt;"&amp;900)=0,"",IF(COUNTIFS(m_teacher,Z$4,m_date,($G$2+9),m_active,1,m_start,"&lt;"&amp;960,m_end,"&gt;"&amp;900)&gt;1,"충돌",HYPERLINK("#'관리자_MASTER'!D"&amp;_xlfn.MAXIFS(m_row,m_teacher,Z$4,m_date,($G$2+9),m_active,1,m_start,"&lt;"&amp;960,m_end,"&gt;"&amp;900),INDEX(m_label,_xlfn.MAXIFS(m_row,m_teacher,Z$4,m_date,($G$2+9),m_active,1,m_start,"&lt;"&amp;960,m_end,"&gt;"&amp;900))))))</f>
        <v/>
      </c>
      <c r="AA33" s="82" t="str">
        <f aca="false">IF(OR(AA$4="",MONTH(($G$2+9))&lt;&gt;MONTH($C$2)),"",IF(COUNTIFS(m_teacher,AA$4,m_date,($G$2+9),m_active,1,m_start,"&lt;"&amp;960,m_end,"&gt;"&amp;900)=0,"",IF(COUNTIFS(m_teacher,AA$4,m_date,($G$2+9),m_active,1,m_start,"&lt;"&amp;960,m_end,"&gt;"&amp;900)&gt;1,"충돌",HYPERLINK("#'관리자_MASTER'!D"&amp;_xlfn.MAXIFS(m_row,m_teacher,AA$4,m_date,($G$2+9),m_active,1,m_start,"&lt;"&amp;960,m_end,"&gt;"&amp;900),INDEX(m_label,_xlfn.MAXIFS(m_row,m_teacher,AA$4,m_date,($G$2+9),m_active,1,m_start,"&lt;"&amp;960,m_end,"&gt;"&amp;900))))))</f>
        <v/>
      </c>
      <c r="AB33" s="82" t="str">
        <f aca="false">IF(OR(AB$4="",MONTH(($G$2+9))&lt;&gt;MONTH($C$2)),"",IF(COUNTIFS(m_teacher,AB$4,m_date,($G$2+9),m_active,1,m_start,"&lt;"&amp;960,m_end,"&gt;"&amp;900)=0,"",IF(COUNTIFS(m_teacher,AB$4,m_date,($G$2+9),m_active,1,m_start,"&lt;"&amp;960,m_end,"&gt;"&amp;900)&gt;1,"충돌",HYPERLINK("#'관리자_MASTER'!D"&amp;_xlfn.MAXIFS(m_row,m_teacher,AB$4,m_date,($G$2+9),m_active,1,m_start,"&lt;"&amp;960,m_end,"&gt;"&amp;900),INDEX(m_label,_xlfn.MAXIFS(m_row,m_teacher,AB$4,m_date,($G$2+9),m_active,1,m_start,"&lt;"&amp;960,m_end,"&gt;"&amp;900))))))</f>
        <v/>
      </c>
      <c r="AC33" s="78"/>
      <c r="AD33" s="79" t="s">
        <v>97</v>
      </c>
      <c r="AE33" s="82" t="str">
        <f aca="false">IF(OR(AE$4="",MONTH(($G$2+16))&lt;&gt;MONTH($C$2)),"",IF(COUNTIFS(m_teacher,AE$4,m_date,($G$2+16),m_active,1,m_start,"&lt;"&amp;960,m_end,"&gt;"&amp;900)=0,"",IF(COUNTIFS(m_teacher,AE$4,m_date,($G$2+16),m_active,1,m_start,"&lt;"&amp;960,m_end,"&gt;"&amp;900)&gt;1,"충돌",HYPERLINK("#'관리자_MASTER'!D"&amp;_xlfn.MAXIFS(m_row,m_teacher,AE$4,m_date,($G$2+16),m_active,1,m_start,"&lt;"&amp;960,m_end,"&gt;"&amp;900),INDEX(m_label,_xlfn.MAXIFS(m_row,m_teacher,AE$4,m_date,($G$2+16),m_active,1,m_start,"&lt;"&amp;960,m_end,"&gt;"&amp;900))))))</f>
        <v/>
      </c>
      <c r="AF33" s="82" t="str">
        <f aca="false">IF(OR(AF$4="",MONTH(($G$2+16))&lt;&gt;MONTH($C$2)),"",IF(COUNTIFS(m_teacher,AF$4,m_date,($G$2+16),m_active,1,m_start,"&lt;"&amp;960,m_end,"&gt;"&amp;900)=0,"",IF(COUNTIFS(m_teacher,AF$4,m_date,($G$2+16),m_active,1,m_start,"&lt;"&amp;960,m_end,"&gt;"&amp;900)&gt;1,"충돌",HYPERLINK("#'관리자_MASTER'!D"&amp;_xlfn.MAXIFS(m_row,m_teacher,AF$4,m_date,($G$2+16),m_active,1,m_start,"&lt;"&amp;960,m_end,"&gt;"&amp;900),INDEX(m_label,_xlfn.MAXIFS(m_row,m_teacher,AF$4,m_date,($G$2+16),m_active,1,m_start,"&lt;"&amp;960,m_end,"&gt;"&amp;900))))))</f>
        <v/>
      </c>
      <c r="AG33" s="82" t="str">
        <f aca="false">IF(OR(AG$4="",MONTH(($G$2+16))&lt;&gt;MONTH($C$2)),"",IF(COUNTIFS(m_teacher,AG$4,m_date,($G$2+16),m_active,1,m_start,"&lt;"&amp;960,m_end,"&gt;"&amp;900)=0,"",IF(COUNTIFS(m_teacher,AG$4,m_date,($G$2+16),m_active,1,m_start,"&lt;"&amp;960,m_end,"&gt;"&amp;900)&gt;1,"충돌",HYPERLINK("#'관리자_MASTER'!D"&amp;_xlfn.MAXIFS(m_row,m_teacher,AG$4,m_date,($G$2+16),m_active,1,m_start,"&lt;"&amp;960,m_end,"&gt;"&amp;900),INDEX(m_label,_xlfn.MAXIFS(m_row,m_teacher,AG$4,m_date,($G$2+16),m_active,1,m_start,"&lt;"&amp;960,m_end,"&gt;"&amp;900))))))</f>
        <v/>
      </c>
      <c r="AH33" s="82" t="str">
        <f aca="false">IF(OR(AH$4="",MONTH(($G$2+16))&lt;&gt;MONTH($C$2)),"",IF(COUNTIFS(m_teacher,AH$4,m_date,($G$2+16),m_active,1,m_start,"&lt;"&amp;960,m_end,"&gt;"&amp;900)=0,"",IF(COUNTIFS(m_teacher,AH$4,m_date,($G$2+16),m_active,1,m_start,"&lt;"&amp;960,m_end,"&gt;"&amp;900)&gt;1,"충돌",HYPERLINK("#'관리자_MASTER'!D"&amp;_xlfn.MAXIFS(m_row,m_teacher,AH$4,m_date,($G$2+16),m_active,1,m_start,"&lt;"&amp;960,m_end,"&gt;"&amp;900),INDEX(m_label,_xlfn.MAXIFS(m_row,m_teacher,AH$4,m_date,($G$2+16),m_active,1,m_start,"&lt;"&amp;960,m_end,"&gt;"&amp;900))))))</f>
        <v/>
      </c>
      <c r="AI33" s="82" t="str">
        <f aca="false">IF(OR(AI$4="",MONTH(($G$2+16))&lt;&gt;MONTH($C$2)),"",IF(COUNTIFS(m_teacher,AI$4,m_date,($G$2+16),m_active,1,m_start,"&lt;"&amp;960,m_end,"&gt;"&amp;900)=0,"",IF(COUNTIFS(m_teacher,AI$4,m_date,($G$2+16),m_active,1,m_start,"&lt;"&amp;960,m_end,"&gt;"&amp;900)&gt;1,"충돌",HYPERLINK("#'관리자_MASTER'!D"&amp;_xlfn.MAXIFS(m_row,m_teacher,AI$4,m_date,($G$2+16),m_active,1,m_start,"&lt;"&amp;960,m_end,"&gt;"&amp;900),INDEX(m_label,_xlfn.MAXIFS(m_row,m_teacher,AI$4,m_date,($G$2+16),m_active,1,m_start,"&lt;"&amp;960,m_end,"&gt;"&amp;900))))))</f>
        <v/>
      </c>
      <c r="AJ33" s="82" t="str">
        <f aca="false">IF(OR(AJ$4="",MONTH(($G$2+16))&lt;&gt;MONTH($C$2)),"",IF(COUNTIFS(m_teacher,AJ$4,m_date,($G$2+16),m_active,1,m_start,"&lt;"&amp;960,m_end,"&gt;"&amp;900)=0,"",IF(COUNTIFS(m_teacher,AJ$4,m_date,($G$2+16),m_active,1,m_start,"&lt;"&amp;960,m_end,"&gt;"&amp;900)&gt;1,"충돌",HYPERLINK("#'관리자_MASTER'!D"&amp;_xlfn.MAXIFS(m_row,m_teacher,AJ$4,m_date,($G$2+16),m_active,1,m_start,"&lt;"&amp;960,m_end,"&gt;"&amp;900),INDEX(m_label,_xlfn.MAXIFS(m_row,m_teacher,AJ$4,m_date,($G$2+16),m_active,1,m_start,"&lt;"&amp;960,m_end,"&gt;"&amp;900))))))</f>
        <v/>
      </c>
      <c r="AK33" s="82" t="str">
        <f aca="false">IF(OR(AK$4="",MONTH(($G$2+16))&lt;&gt;MONTH($C$2)),"",IF(COUNTIFS(m_teacher,AK$4,m_date,($G$2+16),m_active,1,m_start,"&lt;"&amp;960,m_end,"&gt;"&amp;900)=0,"",IF(COUNTIFS(m_teacher,AK$4,m_date,($G$2+16),m_active,1,m_start,"&lt;"&amp;960,m_end,"&gt;"&amp;900)&gt;1,"충돌",HYPERLINK("#'관리자_MASTER'!D"&amp;_xlfn.MAXIFS(m_row,m_teacher,AK$4,m_date,($G$2+16),m_active,1,m_start,"&lt;"&amp;960,m_end,"&gt;"&amp;900),INDEX(m_label,_xlfn.MAXIFS(m_row,m_teacher,AK$4,m_date,($G$2+16),m_active,1,m_start,"&lt;"&amp;960,m_end,"&gt;"&amp;900))))))</f>
        <v/>
      </c>
      <c r="AL33" s="82" t="str">
        <f aca="false">IF(OR(AL$4="",MONTH(($G$2+16))&lt;&gt;MONTH($C$2)),"",IF(COUNTIFS(m_teacher,AL$4,m_date,($G$2+16),m_active,1,m_start,"&lt;"&amp;960,m_end,"&gt;"&amp;900)=0,"",IF(COUNTIFS(m_teacher,AL$4,m_date,($G$2+16),m_active,1,m_start,"&lt;"&amp;960,m_end,"&gt;"&amp;900)&gt;1,"충돌",HYPERLINK("#'관리자_MASTER'!D"&amp;_xlfn.MAXIFS(m_row,m_teacher,AL$4,m_date,($G$2+16),m_active,1,m_start,"&lt;"&amp;960,m_end,"&gt;"&amp;900),INDEX(m_label,_xlfn.MAXIFS(m_row,m_teacher,AL$4,m_date,($G$2+16),m_active,1,m_start,"&lt;"&amp;960,m_end,"&gt;"&amp;900))))))</f>
        <v/>
      </c>
      <c r="AM33" s="82" t="str">
        <f aca="false">IF(OR(AM$4="",MONTH(($G$2+16))&lt;&gt;MONTH($C$2)),"",IF(COUNTIFS(m_teacher,AM$4,m_date,($G$2+16),m_active,1,m_start,"&lt;"&amp;960,m_end,"&gt;"&amp;900)=0,"",IF(COUNTIFS(m_teacher,AM$4,m_date,($G$2+16),m_active,1,m_start,"&lt;"&amp;960,m_end,"&gt;"&amp;900)&gt;1,"충돌",HYPERLINK("#'관리자_MASTER'!D"&amp;_xlfn.MAXIFS(m_row,m_teacher,AM$4,m_date,($G$2+16),m_active,1,m_start,"&lt;"&amp;960,m_end,"&gt;"&amp;900),INDEX(m_label,_xlfn.MAXIFS(m_row,m_teacher,AM$4,m_date,($G$2+16),m_active,1,m_start,"&lt;"&amp;960,m_end,"&gt;"&amp;900))))))</f>
        <v/>
      </c>
      <c r="AN33" s="82" t="str">
        <f aca="false">IF(OR(AN$4="",MONTH(($G$2+16))&lt;&gt;MONTH($C$2)),"",IF(COUNTIFS(m_teacher,AN$4,m_date,($G$2+16),m_active,1,m_start,"&lt;"&amp;960,m_end,"&gt;"&amp;900)=0,"",IF(COUNTIFS(m_teacher,AN$4,m_date,($G$2+16),m_active,1,m_start,"&lt;"&amp;960,m_end,"&gt;"&amp;900)&gt;1,"충돌",HYPERLINK("#'관리자_MASTER'!D"&amp;_xlfn.MAXIFS(m_row,m_teacher,AN$4,m_date,($G$2+16),m_active,1,m_start,"&lt;"&amp;960,m_end,"&gt;"&amp;900),INDEX(m_label,_xlfn.MAXIFS(m_row,m_teacher,AN$4,m_date,($G$2+16),m_active,1,m_start,"&lt;"&amp;960,m_end,"&gt;"&amp;900))))))</f>
        <v/>
      </c>
      <c r="AO33" s="82" t="str">
        <f aca="false">IF(OR(AO$4="",MONTH(($G$2+16))&lt;&gt;MONTH($C$2)),"",IF(COUNTIFS(m_teacher,AO$4,m_date,($G$2+16),m_active,1,m_start,"&lt;"&amp;960,m_end,"&gt;"&amp;900)=0,"",IF(COUNTIFS(m_teacher,AO$4,m_date,($G$2+16),m_active,1,m_start,"&lt;"&amp;960,m_end,"&gt;"&amp;900)&gt;1,"충돌",HYPERLINK("#'관리자_MASTER'!D"&amp;_xlfn.MAXIFS(m_row,m_teacher,AO$4,m_date,($G$2+16),m_active,1,m_start,"&lt;"&amp;960,m_end,"&gt;"&amp;900),INDEX(m_label,_xlfn.MAXIFS(m_row,m_teacher,AO$4,m_date,($G$2+16),m_active,1,m_start,"&lt;"&amp;960,m_end,"&gt;"&amp;900))))))</f>
        <v/>
      </c>
      <c r="AP33" s="82" t="str">
        <f aca="false">IF(OR(AP$4="",MONTH(($G$2+16))&lt;&gt;MONTH($C$2)),"",IF(COUNTIFS(m_teacher,AP$4,m_date,($G$2+16),m_active,1,m_start,"&lt;"&amp;960,m_end,"&gt;"&amp;900)=0,"",IF(COUNTIFS(m_teacher,AP$4,m_date,($G$2+16),m_active,1,m_start,"&lt;"&amp;960,m_end,"&gt;"&amp;900)&gt;1,"충돌",HYPERLINK("#'관리자_MASTER'!D"&amp;_xlfn.MAXIFS(m_row,m_teacher,AP$4,m_date,($G$2+16),m_active,1,m_start,"&lt;"&amp;960,m_end,"&gt;"&amp;900),INDEX(m_label,_xlfn.MAXIFS(m_row,m_teacher,AP$4,m_date,($G$2+16),m_active,1,m_start,"&lt;"&amp;960,m_end,"&gt;"&amp;900))))))</f>
        <v/>
      </c>
      <c r="AQ33" s="78"/>
      <c r="AR33" s="79" t="s">
        <v>97</v>
      </c>
      <c r="AS33" s="82" t="str">
        <f aca="false">IF(OR(AS$4="",MONTH(($G$2+23))&lt;&gt;MONTH($C$2)),"",IF(COUNTIFS(m_teacher,AS$4,m_date,($G$2+23),m_active,1,m_start,"&lt;"&amp;960,m_end,"&gt;"&amp;900)=0,"",IF(COUNTIFS(m_teacher,AS$4,m_date,($G$2+23),m_active,1,m_start,"&lt;"&amp;960,m_end,"&gt;"&amp;900)&gt;1,"충돌",HYPERLINK("#'관리자_MASTER'!D"&amp;_xlfn.MAXIFS(m_row,m_teacher,AS$4,m_date,($G$2+23),m_active,1,m_start,"&lt;"&amp;960,m_end,"&gt;"&amp;900),INDEX(m_label,_xlfn.MAXIFS(m_row,m_teacher,AS$4,m_date,($G$2+23),m_active,1,m_start,"&lt;"&amp;960,m_end,"&gt;"&amp;900))))))</f>
        <v/>
      </c>
      <c r="AT33" s="82" t="str">
        <f aca="false">IF(OR(AT$4="",MONTH(($G$2+23))&lt;&gt;MONTH($C$2)),"",IF(COUNTIFS(m_teacher,AT$4,m_date,($G$2+23),m_active,1,m_start,"&lt;"&amp;960,m_end,"&gt;"&amp;900)=0,"",IF(COUNTIFS(m_teacher,AT$4,m_date,($G$2+23),m_active,1,m_start,"&lt;"&amp;960,m_end,"&gt;"&amp;900)&gt;1,"충돌",HYPERLINK("#'관리자_MASTER'!D"&amp;_xlfn.MAXIFS(m_row,m_teacher,AT$4,m_date,($G$2+23),m_active,1,m_start,"&lt;"&amp;960,m_end,"&gt;"&amp;900),INDEX(m_label,_xlfn.MAXIFS(m_row,m_teacher,AT$4,m_date,($G$2+23),m_active,1,m_start,"&lt;"&amp;960,m_end,"&gt;"&amp;900))))))</f>
        <v/>
      </c>
      <c r="AU33" s="82" t="str">
        <f aca="false">IF(OR(AU$4="",MONTH(($G$2+23))&lt;&gt;MONTH($C$2)),"",IF(COUNTIFS(m_teacher,AU$4,m_date,($G$2+23),m_active,1,m_start,"&lt;"&amp;960,m_end,"&gt;"&amp;900)=0,"",IF(COUNTIFS(m_teacher,AU$4,m_date,($G$2+23),m_active,1,m_start,"&lt;"&amp;960,m_end,"&gt;"&amp;900)&gt;1,"충돌",HYPERLINK("#'관리자_MASTER'!D"&amp;_xlfn.MAXIFS(m_row,m_teacher,AU$4,m_date,($G$2+23),m_active,1,m_start,"&lt;"&amp;960,m_end,"&gt;"&amp;900),INDEX(m_label,_xlfn.MAXIFS(m_row,m_teacher,AU$4,m_date,($G$2+23),m_active,1,m_start,"&lt;"&amp;960,m_end,"&gt;"&amp;900))))))</f>
        <v/>
      </c>
      <c r="AV33" s="82" t="str">
        <f aca="false">IF(OR(AV$4="",MONTH(($G$2+23))&lt;&gt;MONTH($C$2)),"",IF(COUNTIFS(m_teacher,AV$4,m_date,($G$2+23),m_active,1,m_start,"&lt;"&amp;960,m_end,"&gt;"&amp;900)=0,"",IF(COUNTIFS(m_teacher,AV$4,m_date,($G$2+23),m_active,1,m_start,"&lt;"&amp;960,m_end,"&gt;"&amp;900)&gt;1,"충돌",HYPERLINK("#'관리자_MASTER'!D"&amp;_xlfn.MAXIFS(m_row,m_teacher,AV$4,m_date,($G$2+23),m_active,1,m_start,"&lt;"&amp;960,m_end,"&gt;"&amp;900),INDEX(m_label,_xlfn.MAXIFS(m_row,m_teacher,AV$4,m_date,($G$2+23),m_active,1,m_start,"&lt;"&amp;960,m_end,"&gt;"&amp;900))))))</f>
        <v/>
      </c>
      <c r="AW33" s="82" t="str">
        <f aca="false">IF(OR(AW$4="",MONTH(($G$2+23))&lt;&gt;MONTH($C$2)),"",IF(COUNTIFS(m_teacher,AW$4,m_date,($G$2+23),m_active,1,m_start,"&lt;"&amp;960,m_end,"&gt;"&amp;900)=0,"",IF(COUNTIFS(m_teacher,AW$4,m_date,($G$2+23),m_active,1,m_start,"&lt;"&amp;960,m_end,"&gt;"&amp;900)&gt;1,"충돌",HYPERLINK("#'관리자_MASTER'!D"&amp;_xlfn.MAXIFS(m_row,m_teacher,AW$4,m_date,($G$2+23),m_active,1,m_start,"&lt;"&amp;960,m_end,"&gt;"&amp;900),INDEX(m_label,_xlfn.MAXIFS(m_row,m_teacher,AW$4,m_date,($G$2+23),m_active,1,m_start,"&lt;"&amp;960,m_end,"&gt;"&amp;900))))))</f>
        <v/>
      </c>
      <c r="AX33" s="82" t="str">
        <f aca="false">IF(OR(AX$4="",MONTH(($G$2+23))&lt;&gt;MONTH($C$2)),"",IF(COUNTIFS(m_teacher,AX$4,m_date,($G$2+23),m_active,1,m_start,"&lt;"&amp;960,m_end,"&gt;"&amp;900)=0,"",IF(COUNTIFS(m_teacher,AX$4,m_date,($G$2+23),m_active,1,m_start,"&lt;"&amp;960,m_end,"&gt;"&amp;900)&gt;1,"충돌",HYPERLINK("#'관리자_MASTER'!D"&amp;_xlfn.MAXIFS(m_row,m_teacher,AX$4,m_date,($G$2+23),m_active,1,m_start,"&lt;"&amp;960,m_end,"&gt;"&amp;900),INDEX(m_label,_xlfn.MAXIFS(m_row,m_teacher,AX$4,m_date,($G$2+23),m_active,1,m_start,"&lt;"&amp;960,m_end,"&gt;"&amp;900))))))</f>
        <v/>
      </c>
      <c r="AY33" s="82" t="str">
        <f aca="false">IF(OR(AY$4="",MONTH(($G$2+23))&lt;&gt;MONTH($C$2)),"",IF(COUNTIFS(m_teacher,AY$4,m_date,($G$2+23),m_active,1,m_start,"&lt;"&amp;960,m_end,"&gt;"&amp;900)=0,"",IF(COUNTIFS(m_teacher,AY$4,m_date,($G$2+23),m_active,1,m_start,"&lt;"&amp;960,m_end,"&gt;"&amp;900)&gt;1,"충돌",HYPERLINK("#'관리자_MASTER'!D"&amp;_xlfn.MAXIFS(m_row,m_teacher,AY$4,m_date,($G$2+23),m_active,1,m_start,"&lt;"&amp;960,m_end,"&gt;"&amp;900),INDEX(m_label,_xlfn.MAXIFS(m_row,m_teacher,AY$4,m_date,($G$2+23),m_active,1,m_start,"&lt;"&amp;960,m_end,"&gt;"&amp;900))))))</f>
        <v/>
      </c>
      <c r="AZ33" s="82" t="str">
        <f aca="false">IF(OR(AZ$4="",MONTH(($G$2+23))&lt;&gt;MONTH($C$2)),"",IF(COUNTIFS(m_teacher,AZ$4,m_date,($G$2+23),m_active,1,m_start,"&lt;"&amp;960,m_end,"&gt;"&amp;900)=0,"",IF(COUNTIFS(m_teacher,AZ$4,m_date,($G$2+23),m_active,1,m_start,"&lt;"&amp;960,m_end,"&gt;"&amp;900)&gt;1,"충돌",HYPERLINK("#'관리자_MASTER'!D"&amp;_xlfn.MAXIFS(m_row,m_teacher,AZ$4,m_date,($G$2+23),m_active,1,m_start,"&lt;"&amp;960,m_end,"&gt;"&amp;900),INDEX(m_label,_xlfn.MAXIFS(m_row,m_teacher,AZ$4,m_date,($G$2+23),m_active,1,m_start,"&lt;"&amp;960,m_end,"&gt;"&amp;900))))))</f>
        <v/>
      </c>
      <c r="BA33" s="82" t="str">
        <f aca="false">IF(OR(BA$4="",MONTH(($G$2+23))&lt;&gt;MONTH($C$2)),"",IF(COUNTIFS(m_teacher,BA$4,m_date,($G$2+23),m_active,1,m_start,"&lt;"&amp;960,m_end,"&gt;"&amp;900)=0,"",IF(COUNTIFS(m_teacher,BA$4,m_date,($G$2+23),m_active,1,m_start,"&lt;"&amp;960,m_end,"&gt;"&amp;900)&gt;1,"충돌",HYPERLINK("#'관리자_MASTER'!D"&amp;_xlfn.MAXIFS(m_row,m_teacher,BA$4,m_date,($G$2+23),m_active,1,m_start,"&lt;"&amp;960,m_end,"&gt;"&amp;900),INDEX(m_label,_xlfn.MAXIFS(m_row,m_teacher,BA$4,m_date,($G$2+23),m_active,1,m_start,"&lt;"&amp;960,m_end,"&gt;"&amp;900))))))</f>
        <v/>
      </c>
      <c r="BB33" s="82" t="str">
        <f aca="false">IF(OR(BB$4="",MONTH(($G$2+23))&lt;&gt;MONTH($C$2)),"",IF(COUNTIFS(m_teacher,BB$4,m_date,($G$2+23),m_active,1,m_start,"&lt;"&amp;960,m_end,"&gt;"&amp;900)=0,"",IF(COUNTIFS(m_teacher,BB$4,m_date,($G$2+23),m_active,1,m_start,"&lt;"&amp;960,m_end,"&gt;"&amp;900)&gt;1,"충돌",HYPERLINK("#'관리자_MASTER'!D"&amp;_xlfn.MAXIFS(m_row,m_teacher,BB$4,m_date,($G$2+23),m_active,1,m_start,"&lt;"&amp;960,m_end,"&gt;"&amp;900),INDEX(m_label,_xlfn.MAXIFS(m_row,m_teacher,BB$4,m_date,($G$2+23),m_active,1,m_start,"&lt;"&amp;960,m_end,"&gt;"&amp;900))))))</f>
        <v/>
      </c>
      <c r="BC33" s="82" t="str">
        <f aca="false">IF(OR(BC$4="",MONTH(($G$2+23))&lt;&gt;MONTH($C$2)),"",IF(COUNTIFS(m_teacher,BC$4,m_date,($G$2+23),m_active,1,m_start,"&lt;"&amp;960,m_end,"&gt;"&amp;900)=0,"",IF(COUNTIFS(m_teacher,BC$4,m_date,($G$2+23),m_active,1,m_start,"&lt;"&amp;960,m_end,"&gt;"&amp;900)&gt;1,"충돌",HYPERLINK("#'관리자_MASTER'!D"&amp;_xlfn.MAXIFS(m_row,m_teacher,BC$4,m_date,($G$2+23),m_active,1,m_start,"&lt;"&amp;960,m_end,"&gt;"&amp;900),INDEX(m_label,_xlfn.MAXIFS(m_row,m_teacher,BC$4,m_date,($G$2+23),m_active,1,m_start,"&lt;"&amp;960,m_end,"&gt;"&amp;900))))))</f>
        <v/>
      </c>
      <c r="BD33" s="82" t="str">
        <f aca="false">IF(OR(BD$4="",MONTH(($G$2+23))&lt;&gt;MONTH($C$2)),"",IF(COUNTIFS(m_teacher,BD$4,m_date,($G$2+23),m_active,1,m_start,"&lt;"&amp;960,m_end,"&gt;"&amp;900)=0,"",IF(COUNTIFS(m_teacher,BD$4,m_date,($G$2+23),m_active,1,m_start,"&lt;"&amp;960,m_end,"&gt;"&amp;900)&gt;1,"충돌",HYPERLINK("#'관리자_MASTER'!D"&amp;_xlfn.MAXIFS(m_row,m_teacher,BD$4,m_date,($G$2+23),m_active,1,m_start,"&lt;"&amp;960,m_end,"&gt;"&amp;900),INDEX(m_label,_xlfn.MAXIFS(m_row,m_teacher,BD$4,m_date,($G$2+23),m_active,1,m_start,"&lt;"&amp;960,m_end,"&gt;"&amp;900))))))</f>
        <v/>
      </c>
      <c r="BE33" s="78"/>
      <c r="BF33" s="79" t="s">
        <v>97</v>
      </c>
      <c r="BG33" s="82" t="str">
        <f aca="false">IF(OR(BG$4="",MONTH(($G$2+30))&lt;&gt;MONTH($C$2)),"",IF(COUNTIFS(m_teacher,BG$4,m_date,($G$2+30),m_active,1,m_start,"&lt;"&amp;960,m_end,"&gt;"&amp;900)=0,"",IF(COUNTIFS(m_teacher,BG$4,m_date,($G$2+30),m_active,1,m_start,"&lt;"&amp;960,m_end,"&gt;"&amp;900)&gt;1,"충돌",HYPERLINK("#'관리자_MASTER'!D"&amp;_xlfn.MAXIFS(m_row,m_teacher,BG$4,m_date,($G$2+30),m_active,1,m_start,"&lt;"&amp;960,m_end,"&gt;"&amp;900),INDEX(m_label,_xlfn.MAXIFS(m_row,m_teacher,BG$4,m_date,($G$2+30),m_active,1,m_start,"&lt;"&amp;960,m_end,"&gt;"&amp;900))))))</f>
        <v/>
      </c>
      <c r="BH33" s="82" t="str">
        <f aca="false">IF(OR(BH$4="",MONTH(($G$2+30))&lt;&gt;MONTH($C$2)),"",IF(COUNTIFS(m_teacher,BH$4,m_date,($G$2+30),m_active,1,m_start,"&lt;"&amp;960,m_end,"&gt;"&amp;900)=0,"",IF(COUNTIFS(m_teacher,BH$4,m_date,($G$2+30),m_active,1,m_start,"&lt;"&amp;960,m_end,"&gt;"&amp;900)&gt;1,"충돌",HYPERLINK("#'관리자_MASTER'!D"&amp;_xlfn.MAXIFS(m_row,m_teacher,BH$4,m_date,($G$2+30),m_active,1,m_start,"&lt;"&amp;960,m_end,"&gt;"&amp;900),INDEX(m_label,_xlfn.MAXIFS(m_row,m_teacher,BH$4,m_date,($G$2+30),m_active,1,m_start,"&lt;"&amp;960,m_end,"&gt;"&amp;900))))))</f>
        <v/>
      </c>
      <c r="BI33" s="82" t="str">
        <f aca="false">IF(OR(BI$4="",MONTH(($G$2+30))&lt;&gt;MONTH($C$2)),"",IF(COUNTIFS(m_teacher,BI$4,m_date,($G$2+30),m_active,1,m_start,"&lt;"&amp;960,m_end,"&gt;"&amp;900)=0,"",IF(COUNTIFS(m_teacher,BI$4,m_date,($G$2+30),m_active,1,m_start,"&lt;"&amp;960,m_end,"&gt;"&amp;900)&gt;1,"충돌",HYPERLINK("#'관리자_MASTER'!D"&amp;_xlfn.MAXIFS(m_row,m_teacher,BI$4,m_date,($G$2+30),m_active,1,m_start,"&lt;"&amp;960,m_end,"&gt;"&amp;900),INDEX(m_label,_xlfn.MAXIFS(m_row,m_teacher,BI$4,m_date,($G$2+30),m_active,1,m_start,"&lt;"&amp;960,m_end,"&gt;"&amp;900))))))</f>
        <v/>
      </c>
      <c r="BJ33" s="82" t="str">
        <f aca="false">IF(OR(BJ$4="",MONTH(($G$2+30))&lt;&gt;MONTH($C$2)),"",IF(COUNTIFS(m_teacher,BJ$4,m_date,($G$2+30),m_active,1,m_start,"&lt;"&amp;960,m_end,"&gt;"&amp;900)=0,"",IF(COUNTIFS(m_teacher,BJ$4,m_date,($G$2+30),m_active,1,m_start,"&lt;"&amp;960,m_end,"&gt;"&amp;900)&gt;1,"충돌",HYPERLINK("#'관리자_MASTER'!D"&amp;_xlfn.MAXIFS(m_row,m_teacher,BJ$4,m_date,($G$2+30),m_active,1,m_start,"&lt;"&amp;960,m_end,"&gt;"&amp;900),INDEX(m_label,_xlfn.MAXIFS(m_row,m_teacher,BJ$4,m_date,($G$2+30),m_active,1,m_start,"&lt;"&amp;960,m_end,"&gt;"&amp;900))))))</f>
        <v/>
      </c>
      <c r="BK33" s="82" t="str">
        <f aca="false">IF(OR(BK$4="",MONTH(($G$2+30))&lt;&gt;MONTH($C$2)),"",IF(COUNTIFS(m_teacher,BK$4,m_date,($G$2+30),m_active,1,m_start,"&lt;"&amp;960,m_end,"&gt;"&amp;900)=0,"",IF(COUNTIFS(m_teacher,BK$4,m_date,($G$2+30),m_active,1,m_start,"&lt;"&amp;960,m_end,"&gt;"&amp;900)&gt;1,"충돌",HYPERLINK("#'관리자_MASTER'!D"&amp;_xlfn.MAXIFS(m_row,m_teacher,BK$4,m_date,($G$2+30),m_active,1,m_start,"&lt;"&amp;960,m_end,"&gt;"&amp;900),INDEX(m_label,_xlfn.MAXIFS(m_row,m_teacher,BK$4,m_date,($G$2+30),m_active,1,m_start,"&lt;"&amp;960,m_end,"&gt;"&amp;900))))))</f>
        <v/>
      </c>
      <c r="BL33" s="82" t="str">
        <f aca="false">IF(OR(BL$4="",MONTH(($G$2+30))&lt;&gt;MONTH($C$2)),"",IF(COUNTIFS(m_teacher,BL$4,m_date,($G$2+30),m_active,1,m_start,"&lt;"&amp;960,m_end,"&gt;"&amp;900)=0,"",IF(COUNTIFS(m_teacher,BL$4,m_date,($G$2+30),m_active,1,m_start,"&lt;"&amp;960,m_end,"&gt;"&amp;900)&gt;1,"충돌",HYPERLINK("#'관리자_MASTER'!D"&amp;_xlfn.MAXIFS(m_row,m_teacher,BL$4,m_date,($G$2+30),m_active,1,m_start,"&lt;"&amp;960,m_end,"&gt;"&amp;900),INDEX(m_label,_xlfn.MAXIFS(m_row,m_teacher,BL$4,m_date,($G$2+30),m_active,1,m_start,"&lt;"&amp;960,m_end,"&gt;"&amp;900))))))</f>
        <v/>
      </c>
      <c r="BM33" s="82" t="str">
        <f aca="false">IF(OR(BM$4="",MONTH(($G$2+30))&lt;&gt;MONTH($C$2)),"",IF(COUNTIFS(m_teacher,BM$4,m_date,($G$2+30),m_active,1,m_start,"&lt;"&amp;960,m_end,"&gt;"&amp;900)=0,"",IF(COUNTIFS(m_teacher,BM$4,m_date,($G$2+30),m_active,1,m_start,"&lt;"&amp;960,m_end,"&gt;"&amp;900)&gt;1,"충돌",HYPERLINK("#'관리자_MASTER'!D"&amp;_xlfn.MAXIFS(m_row,m_teacher,BM$4,m_date,($G$2+30),m_active,1,m_start,"&lt;"&amp;960,m_end,"&gt;"&amp;900),INDEX(m_label,_xlfn.MAXIFS(m_row,m_teacher,BM$4,m_date,($G$2+30),m_active,1,m_start,"&lt;"&amp;960,m_end,"&gt;"&amp;900))))))</f>
        <v/>
      </c>
      <c r="BN33" s="82" t="str">
        <f aca="false">IF(OR(BN$4="",MONTH(($G$2+30))&lt;&gt;MONTH($C$2)),"",IF(COUNTIFS(m_teacher,BN$4,m_date,($G$2+30),m_active,1,m_start,"&lt;"&amp;960,m_end,"&gt;"&amp;900)=0,"",IF(COUNTIFS(m_teacher,BN$4,m_date,($G$2+30),m_active,1,m_start,"&lt;"&amp;960,m_end,"&gt;"&amp;900)&gt;1,"충돌",HYPERLINK("#'관리자_MASTER'!D"&amp;_xlfn.MAXIFS(m_row,m_teacher,BN$4,m_date,($G$2+30),m_active,1,m_start,"&lt;"&amp;960,m_end,"&gt;"&amp;900),INDEX(m_label,_xlfn.MAXIFS(m_row,m_teacher,BN$4,m_date,($G$2+30),m_active,1,m_start,"&lt;"&amp;960,m_end,"&gt;"&amp;900))))))</f>
        <v/>
      </c>
      <c r="BO33" s="82" t="str">
        <f aca="false">IF(OR(BO$4="",MONTH(($G$2+30))&lt;&gt;MONTH($C$2)),"",IF(COUNTIFS(m_teacher,BO$4,m_date,($G$2+30),m_active,1,m_start,"&lt;"&amp;960,m_end,"&gt;"&amp;900)=0,"",IF(COUNTIFS(m_teacher,BO$4,m_date,($G$2+30),m_active,1,m_start,"&lt;"&amp;960,m_end,"&gt;"&amp;900)&gt;1,"충돌",HYPERLINK("#'관리자_MASTER'!D"&amp;_xlfn.MAXIFS(m_row,m_teacher,BO$4,m_date,($G$2+30),m_active,1,m_start,"&lt;"&amp;960,m_end,"&gt;"&amp;900),INDEX(m_label,_xlfn.MAXIFS(m_row,m_teacher,BO$4,m_date,($G$2+30),m_active,1,m_start,"&lt;"&amp;960,m_end,"&gt;"&amp;900))))))</f>
        <v/>
      </c>
      <c r="BP33" s="82" t="str">
        <f aca="false">IF(OR(BP$4="",MONTH(($G$2+30))&lt;&gt;MONTH($C$2)),"",IF(COUNTIFS(m_teacher,BP$4,m_date,($G$2+30),m_active,1,m_start,"&lt;"&amp;960,m_end,"&gt;"&amp;900)=0,"",IF(COUNTIFS(m_teacher,BP$4,m_date,($G$2+30),m_active,1,m_start,"&lt;"&amp;960,m_end,"&gt;"&amp;900)&gt;1,"충돌",HYPERLINK("#'관리자_MASTER'!D"&amp;_xlfn.MAXIFS(m_row,m_teacher,BP$4,m_date,($G$2+30),m_active,1,m_start,"&lt;"&amp;960,m_end,"&gt;"&amp;900),INDEX(m_label,_xlfn.MAXIFS(m_row,m_teacher,BP$4,m_date,($G$2+30),m_active,1,m_start,"&lt;"&amp;960,m_end,"&gt;"&amp;900))))))</f>
        <v/>
      </c>
      <c r="BQ33" s="82" t="str">
        <f aca="false">IF(OR(BQ$4="",MONTH(($G$2+30))&lt;&gt;MONTH($C$2)),"",IF(COUNTIFS(m_teacher,BQ$4,m_date,($G$2+30),m_active,1,m_start,"&lt;"&amp;960,m_end,"&gt;"&amp;900)=0,"",IF(COUNTIFS(m_teacher,BQ$4,m_date,($G$2+30),m_active,1,m_start,"&lt;"&amp;960,m_end,"&gt;"&amp;900)&gt;1,"충돌",HYPERLINK("#'관리자_MASTER'!D"&amp;_xlfn.MAXIFS(m_row,m_teacher,BQ$4,m_date,($G$2+30),m_active,1,m_start,"&lt;"&amp;960,m_end,"&gt;"&amp;900),INDEX(m_label,_xlfn.MAXIFS(m_row,m_teacher,BQ$4,m_date,($G$2+30),m_active,1,m_start,"&lt;"&amp;960,m_end,"&gt;"&amp;900))))))</f>
        <v/>
      </c>
      <c r="BR33" s="82" t="str">
        <f aca="false">IF(OR(BR$4="",MONTH(($G$2+30))&lt;&gt;MONTH($C$2)),"",IF(COUNTIFS(m_teacher,BR$4,m_date,($G$2+30),m_active,1,m_start,"&lt;"&amp;960,m_end,"&gt;"&amp;900)=0,"",IF(COUNTIFS(m_teacher,BR$4,m_date,($G$2+30),m_active,1,m_start,"&lt;"&amp;960,m_end,"&gt;"&amp;900)&gt;1,"충돌",HYPERLINK("#'관리자_MASTER'!D"&amp;_xlfn.MAXIFS(m_row,m_teacher,BR$4,m_date,($G$2+30),m_active,1,m_start,"&lt;"&amp;960,m_end,"&gt;"&amp;900),INDEX(m_label,_xlfn.MAXIFS(m_row,m_teacher,BR$4,m_date,($G$2+30),m_active,1,m_start,"&lt;"&amp;960,m_end,"&gt;"&amp;900))))))</f>
        <v/>
      </c>
    </row>
    <row r="34" customFormat="false" ht="19.5" hidden="false" customHeight="true" outlineLevel="0" collapsed="false">
      <c r="A34" s="75"/>
      <c r="B34" s="76" t="s">
        <v>98</v>
      </c>
      <c r="C34" s="81" t="str">
        <f aca="false">IF(OR(C$4="",MONTH(($G$2+2))&lt;&gt;MONTH($C$2)),"",IF(COUNTIFS(m_teacher,C$4,m_date,($G$2+2),m_active,1,m_start,"&lt;"&amp;1020,m_end,"&gt;"&amp;960)=0,"",IF(COUNTIFS(m_teacher,C$4,m_date,($G$2+2),m_active,1,m_start,"&lt;"&amp;1020,m_end,"&gt;"&amp;960)&gt;1,"충돌",HYPERLINK("#'관리자_MASTER'!D"&amp;_xlfn.MAXIFS(m_row,m_teacher,C$4,m_date,($G$2+2),m_active,1,m_start,"&lt;"&amp;1020,m_end,"&gt;"&amp;960),INDEX(m_label,_xlfn.MAXIFS(m_row,m_teacher,C$4,m_date,($G$2+2),m_active,1,m_start,"&lt;"&amp;1020,m_end,"&gt;"&amp;960))))))</f>
        <v/>
      </c>
      <c r="D34" s="81" t="str">
        <f aca="false">IF(OR(D$4="",MONTH(($G$2+2))&lt;&gt;MONTH($C$2)),"",IF(COUNTIFS(m_teacher,D$4,m_date,($G$2+2),m_active,1,m_start,"&lt;"&amp;1020,m_end,"&gt;"&amp;960)=0,"",IF(COUNTIFS(m_teacher,D$4,m_date,($G$2+2),m_active,1,m_start,"&lt;"&amp;1020,m_end,"&gt;"&amp;960)&gt;1,"충돌",HYPERLINK("#'관리자_MASTER'!D"&amp;_xlfn.MAXIFS(m_row,m_teacher,D$4,m_date,($G$2+2),m_active,1,m_start,"&lt;"&amp;1020,m_end,"&gt;"&amp;960),INDEX(m_label,_xlfn.MAXIFS(m_row,m_teacher,D$4,m_date,($G$2+2),m_active,1,m_start,"&lt;"&amp;1020,m_end,"&gt;"&amp;960))))))</f>
        <v/>
      </c>
      <c r="E34" s="81" t="str">
        <f aca="false">IF(OR(E$4="",MONTH(($G$2+2))&lt;&gt;MONTH($C$2)),"",IF(COUNTIFS(m_teacher,E$4,m_date,($G$2+2),m_active,1,m_start,"&lt;"&amp;1020,m_end,"&gt;"&amp;960)=0,"",IF(COUNTIFS(m_teacher,E$4,m_date,($G$2+2),m_active,1,m_start,"&lt;"&amp;1020,m_end,"&gt;"&amp;960)&gt;1,"충돌",HYPERLINK("#'관리자_MASTER'!D"&amp;_xlfn.MAXIFS(m_row,m_teacher,E$4,m_date,($G$2+2),m_active,1,m_start,"&lt;"&amp;1020,m_end,"&gt;"&amp;960),INDEX(m_label,_xlfn.MAXIFS(m_row,m_teacher,E$4,m_date,($G$2+2),m_active,1,m_start,"&lt;"&amp;1020,m_end,"&gt;"&amp;960))))))</f>
        <v/>
      </c>
      <c r="F34" s="81" t="str">
        <f aca="false">IF(OR(F$4="",MONTH(($G$2+2))&lt;&gt;MONTH($C$2)),"",IF(COUNTIFS(m_teacher,F$4,m_date,($G$2+2),m_active,1,m_start,"&lt;"&amp;1020,m_end,"&gt;"&amp;960)=0,"",IF(COUNTIFS(m_teacher,F$4,m_date,($G$2+2),m_active,1,m_start,"&lt;"&amp;1020,m_end,"&gt;"&amp;960)&gt;1,"충돌",HYPERLINK("#'관리자_MASTER'!D"&amp;_xlfn.MAXIFS(m_row,m_teacher,F$4,m_date,($G$2+2),m_active,1,m_start,"&lt;"&amp;1020,m_end,"&gt;"&amp;960),INDEX(m_label,_xlfn.MAXIFS(m_row,m_teacher,F$4,m_date,($G$2+2),m_active,1,m_start,"&lt;"&amp;1020,m_end,"&gt;"&amp;960))))))</f>
        <v/>
      </c>
      <c r="G34" s="81" t="str">
        <f aca="false">IF(OR(G$4="",MONTH(($G$2+2))&lt;&gt;MONTH($C$2)),"",IF(COUNTIFS(m_teacher,G$4,m_date,($G$2+2),m_active,1,m_start,"&lt;"&amp;1020,m_end,"&gt;"&amp;960)=0,"",IF(COUNTIFS(m_teacher,G$4,m_date,($G$2+2),m_active,1,m_start,"&lt;"&amp;1020,m_end,"&gt;"&amp;960)&gt;1,"충돌",HYPERLINK("#'관리자_MASTER'!D"&amp;_xlfn.MAXIFS(m_row,m_teacher,G$4,m_date,($G$2+2),m_active,1,m_start,"&lt;"&amp;1020,m_end,"&gt;"&amp;960),INDEX(m_label,_xlfn.MAXIFS(m_row,m_teacher,G$4,m_date,($G$2+2),m_active,1,m_start,"&lt;"&amp;1020,m_end,"&gt;"&amp;960))))))</f>
        <v/>
      </c>
      <c r="H34" s="81" t="str">
        <f aca="false">IF(OR(H$4="",MONTH(($G$2+2))&lt;&gt;MONTH($C$2)),"",IF(COUNTIFS(m_teacher,H$4,m_date,($G$2+2),m_active,1,m_start,"&lt;"&amp;1020,m_end,"&gt;"&amp;960)=0,"",IF(COUNTIFS(m_teacher,H$4,m_date,($G$2+2),m_active,1,m_start,"&lt;"&amp;1020,m_end,"&gt;"&amp;960)&gt;1,"충돌",HYPERLINK("#'관리자_MASTER'!D"&amp;_xlfn.MAXIFS(m_row,m_teacher,H$4,m_date,($G$2+2),m_active,1,m_start,"&lt;"&amp;1020,m_end,"&gt;"&amp;960),INDEX(m_label,_xlfn.MAXIFS(m_row,m_teacher,H$4,m_date,($G$2+2),m_active,1,m_start,"&lt;"&amp;1020,m_end,"&gt;"&amp;960))))))</f>
        <v/>
      </c>
      <c r="I34" s="81" t="str">
        <f aca="false">IF(OR(I$4="",MONTH(($G$2+2))&lt;&gt;MONTH($C$2)),"",IF(COUNTIFS(m_teacher,I$4,m_date,($G$2+2),m_active,1,m_start,"&lt;"&amp;1020,m_end,"&gt;"&amp;960)=0,"",IF(COUNTIFS(m_teacher,I$4,m_date,($G$2+2),m_active,1,m_start,"&lt;"&amp;1020,m_end,"&gt;"&amp;960)&gt;1,"충돌",HYPERLINK("#'관리자_MASTER'!D"&amp;_xlfn.MAXIFS(m_row,m_teacher,I$4,m_date,($G$2+2),m_active,1,m_start,"&lt;"&amp;1020,m_end,"&gt;"&amp;960),INDEX(m_label,_xlfn.MAXIFS(m_row,m_teacher,I$4,m_date,($G$2+2),m_active,1,m_start,"&lt;"&amp;1020,m_end,"&gt;"&amp;960))))))</f>
        <v/>
      </c>
      <c r="J34" s="81" t="str">
        <f aca="false">IF(OR(J$4="",MONTH(($G$2+2))&lt;&gt;MONTH($C$2)),"",IF(COUNTIFS(m_teacher,J$4,m_date,($G$2+2),m_active,1,m_start,"&lt;"&amp;1020,m_end,"&gt;"&amp;960)=0,"",IF(COUNTIFS(m_teacher,J$4,m_date,($G$2+2),m_active,1,m_start,"&lt;"&amp;1020,m_end,"&gt;"&amp;960)&gt;1,"충돌",HYPERLINK("#'관리자_MASTER'!D"&amp;_xlfn.MAXIFS(m_row,m_teacher,J$4,m_date,($G$2+2),m_active,1,m_start,"&lt;"&amp;1020,m_end,"&gt;"&amp;960),INDEX(m_label,_xlfn.MAXIFS(m_row,m_teacher,J$4,m_date,($G$2+2),m_active,1,m_start,"&lt;"&amp;1020,m_end,"&gt;"&amp;960))))))</f>
        <v/>
      </c>
      <c r="K34" s="81" t="str">
        <f aca="false">IF(OR(K$4="",MONTH(($G$2+2))&lt;&gt;MONTH($C$2)),"",IF(COUNTIFS(m_teacher,K$4,m_date,($G$2+2),m_active,1,m_start,"&lt;"&amp;1020,m_end,"&gt;"&amp;960)=0,"",IF(COUNTIFS(m_teacher,K$4,m_date,($G$2+2),m_active,1,m_start,"&lt;"&amp;1020,m_end,"&gt;"&amp;960)&gt;1,"충돌",HYPERLINK("#'관리자_MASTER'!D"&amp;_xlfn.MAXIFS(m_row,m_teacher,K$4,m_date,($G$2+2),m_active,1,m_start,"&lt;"&amp;1020,m_end,"&gt;"&amp;960),INDEX(m_label,_xlfn.MAXIFS(m_row,m_teacher,K$4,m_date,($G$2+2),m_active,1,m_start,"&lt;"&amp;1020,m_end,"&gt;"&amp;960))))))</f>
        <v/>
      </c>
      <c r="L34" s="81" t="str">
        <f aca="false">IF(OR(L$4="",MONTH(($G$2+2))&lt;&gt;MONTH($C$2)),"",IF(COUNTIFS(m_teacher,L$4,m_date,($G$2+2),m_active,1,m_start,"&lt;"&amp;1020,m_end,"&gt;"&amp;960)=0,"",IF(COUNTIFS(m_teacher,L$4,m_date,($G$2+2),m_active,1,m_start,"&lt;"&amp;1020,m_end,"&gt;"&amp;960)&gt;1,"충돌",HYPERLINK("#'관리자_MASTER'!D"&amp;_xlfn.MAXIFS(m_row,m_teacher,L$4,m_date,($G$2+2),m_active,1,m_start,"&lt;"&amp;1020,m_end,"&gt;"&amp;960),INDEX(m_label,_xlfn.MAXIFS(m_row,m_teacher,L$4,m_date,($G$2+2),m_active,1,m_start,"&lt;"&amp;1020,m_end,"&gt;"&amp;960))))))</f>
        <v/>
      </c>
      <c r="M34" s="81" t="str">
        <f aca="false">IF(OR(M$4="",MONTH(($G$2+2))&lt;&gt;MONTH($C$2)),"",IF(COUNTIFS(m_teacher,M$4,m_date,($G$2+2),m_active,1,m_start,"&lt;"&amp;1020,m_end,"&gt;"&amp;960)=0,"",IF(COUNTIFS(m_teacher,M$4,m_date,($G$2+2),m_active,1,m_start,"&lt;"&amp;1020,m_end,"&gt;"&amp;960)&gt;1,"충돌",HYPERLINK("#'관리자_MASTER'!D"&amp;_xlfn.MAXIFS(m_row,m_teacher,M$4,m_date,($G$2+2),m_active,1,m_start,"&lt;"&amp;1020,m_end,"&gt;"&amp;960),INDEX(m_label,_xlfn.MAXIFS(m_row,m_teacher,M$4,m_date,($G$2+2),m_active,1,m_start,"&lt;"&amp;1020,m_end,"&gt;"&amp;960))))))</f>
        <v/>
      </c>
      <c r="N34" s="81" t="str">
        <f aca="false">IF(OR(N$4="",MONTH(($G$2+2))&lt;&gt;MONTH($C$2)),"",IF(COUNTIFS(m_teacher,N$4,m_date,($G$2+2),m_active,1,m_start,"&lt;"&amp;1020,m_end,"&gt;"&amp;960)=0,"",IF(COUNTIFS(m_teacher,N$4,m_date,($G$2+2),m_active,1,m_start,"&lt;"&amp;1020,m_end,"&gt;"&amp;960)&gt;1,"충돌",HYPERLINK("#'관리자_MASTER'!D"&amp;_xlfn.MAXIFS(m_row,m_teacher,N$4,m_date,($G$2+2),m_active,1,m_start,"&lt;"&amp;1020,m_end,"&gt;"&amp;960),INDEX(m_label,_xlfn.MAXIFS(m_row,m_teacher,N$4,m_date,($G$2+2),m_active,1,m_start,"&lt;"&amp;1020,m_end,"&gt;"&amp;960))))))</f>
        <v/>
      </c>
      <c r="O34" s="78"/>
      <c r="P34" s="79" t="s">
        <v>98</v>
      </c>
      <c r="Q34" s="82" t="str">
        <f aca="false">IF(OR(Q$4="",MONTH(($G$2+9))&lt;&gt;MONTH($C$2)),"",IF(COUNTIFS(m_teacher,Q$4,m_date,($G$2+9),m_active,1,m_start,"&lt;"&amp;1020,m_end,"&gt;"&amp;960)=0,"",IF(COUNTIFS(m_teacher,Q$4,m_date,($G$2+9),m_active,1,m_start,"&lt;"&amp;1020,m_end,"&gt;"&amp;960)&gt;1,"충돌",HYPERLINK("#'관리자_MASTER'!D"&amp;_xlfn.MAXIFS(m_row,m_teacher,Q$4,m_date,($G$2+9),m_active,1,m_start,"&lt;"&amp;1020,m_end,"&gt;"&amp;960),INDEX(m_label,_xlfn.MAXIFS(m_row,m_teacher,Q$4,m_date,($G$2+9),m_active,1,m_start,"&lt;"&amp;1020,m_end,"&gt;"&amp;960))))))</f>
        <v/>
      </c>
      <c r="R34" s="82" t="str">
        <f aca="false">IF(OR(R$4="",MONTH(($G$2+9))&lt;&gt;MONTH($C$2)),"",IF(COUNTIFS(m_teacher,R$4,m_date,($G$2+9),m_active,1,m_start,"&lt;"&amp;1020,m_end,"&gt;"&amp;960)=0,"",IF(COUNTIFS(m_teacher,R$4,m_date,($G$2+9),m_active,1,m_start,"&lt;"&amp;1020,m_end,"&gt;"&amp;960)&gt;1,"충돌",HYPERLINK("#'관리자_MASTER'!D"&amp;_xlfn.MAXIFS(m_row,m_teacher,R$4,m_date,($G$2+9),m_active,1,m_start,"&lt;"&amp;1020,m_end,"&gt;"&amp;960),INDEX(m_label,_xlfn.MAXIFS(m_row,m_teacher,R$4,m_date,($G$2+9),m_active,1,m_start,"&lt;"&amp;1020,m_end,"&gt;"&amp;960))))))</f>
        <v/>
      </c>
      <c r="S34" s="82" t="str">
        <f aca="false">IF(OR(S$4="",MONTH(($G$2+9))&lt;&gt;MONTH($C$2)),"",IF(COUNTIFS(m_teacher,S$4,m_date,($G$2+9),m_active,1,m_start,"&lt;"&amp;1020,m_end,"&gt;"&amp;960)=0,"",IF(COUNTIFS(m_teacher,S$4,m_date,($G$2+9),m_active,1,m_start,"&lt;"&amp;1020,m_end,"&gt;"&amp;960)&gt;1,"충돌",HYPERLINK("#'관리자_MASTER'!D"&amp;_xlfn.MAXIFS(m_row,m_teacher,S$4,m_date,($G$2+9),m_active,1,m_start,"&lt;"&amp;1020,m_end,"&gt;"&amp;960),INDEX(m_label,_xlfn.MAXIFS(m_row,m_teacher,S$4,m_date,($G$2+9),m_active,1,m_start,"&lt;"&amp;1020,m_end,"&gt;"&amp;960))))))</f>
        <v/>
      </c>
      <c r="T34" s="82" t="str">
        <f aca="false">IF(OR(T$4="",MONTH(($G$2+9))&lt;&gt;MONTH($C$2)),"",IF(COUNTIFS(m_teacher,T$4,m_date,($G$2+9),m_active,1,m_start,"&lt;"&amp;1020,m_end,"&gt;"&amp;960)=0,"",IF(COUNTIFS(m_teacher,T$4,m_date,($G$2+9),m_active,1,m_start,"&lt;"&amp;1020,m_end,"&gt;"&amp;960)&gt;1,"충돌",HYPERLINK("#'관리자_MASTER'!D"&amp;_xlfn.MAXIFS(m_row,m_teacher,T$4,m_date,($G$2+9),m_active,1,m_start,"&lt;"&amp;1020,m_end,"&gt;"&amp;960),INDEX(m_label,_xlfn.MAXIFS(m_row,m_teacher,T$4,m_date,($G$2+9),m_active,1,m_start,"&lt;"&amp;1020,m_end,"&gt;"&amp;960))))))</f>
        <v/>
      </c>
      <c r="U34" s="82" t="str">
        <f aca="false">IF(OR(U$4="",MONTH(($G$2+9))&lt;&gt;MONTH($C$2)),"",IF(COUNTIFS(m_teacher,U$4,m_date,($G$2+9),m_active,1,m_start,"&lt;"&amp;1020,m_end,"&gt;"&amp;960)=0,"",IF(COUNTIFS(m_teacher,U$4,m_date,($G$2+9),m_active,1,m_start,"&lt;"&amp;1020,m_end,"&gt;"&amp;960)&gt;1,"충돌",HYPERLINK("#'관리자_MASTER'!D"&amp;_xlfn.MAXIFS(m_row,m_teacher,U$4,m_date,($G$2+9),m_active,1,m_start,"&lt;"&amp;1020,m_end,"&gt;"&amp;960),INDEX(m_label,_xlfn.MAXIFS(m_row,m_teacher,U$4,m_date,($G$2+9),m_active,1,m_start,"&lt;"&amp;1020,m_end,"&gt;"&amp;960))))))</f>
        <v/>
      </c>
      <c r="V34" s="82" t="str">
        <f aca="false">IF(OR(V$4="",MONTH(($G$2+9))&lt;&gt;MONTH($C$2)),"",IF(COUNTIFS(m_teacher,V$4,m_date,($G$2+9),m_active,1,m_start,"&lt;"&amp;1020,m_end,"&gt;"&amp;960)=0,"",IF(COUNTIFS(m_teacher,V$4,m_date,($G$2+9),m_active,1,m_start,"&lt;"&amp;1020,m_end,"&gt;"&amp;960)&gt;1,"충돌",HYPERLINK("#'관리자_MASTER'!D"&amp;_xlfn.MAXIFS(m_row,m_teacher,V$4,m_date,($G$2+9),m_active,1,m_start,"&lt;"&amp;1020,m_end,"&gt;"&amp;960),INDEX(m_label,_xlfn.MAXIFS(m_row,m_teacher,V$4,m_date,($G$2+9),m_active,1,m_start,"&lt;"&amp;1020,m_end,"&gt;"&amp;960))))))</f>
        <v/>
      </c>
      <c r="W34" s="82" t="str">
        <f aca="false">IF(OR(W$4="",MONTH(($G$2+9))&lt;&gt;MONTH($C$2)),"",IF(COUNTIFS(m_teacher,W$4,m_date,($G$2+9),m_active,1,m_start,"&lt;"&amp;1020,m_end,"&gt;"&amp;960)=0,"",IF(COUNTIFS(m_teacher,W$4,m_date,($G$2+9),m_active,1,m_start,"&lt;"&amp;1020,m_end,"&gt;"&amp;960)&gt;1,"충돌",HYPERLINK("#'관리자_MASTER'!D"&amp;_xlfn.MAXIFS(m_row,m_teacher,W$4,m_date,($G$2+9),m_active,1,m_start,"&lt;"&amp;1020,m_end,"&gt;"&amp;960),INDEX(m_label,_xlfn.MAXIFS(m_row,m_teacher,W$4,m_date,($G$2+9),m_active,1,m_start,"&lt;"&amp;1020,m_end,"&gt;"&amp;960))))))</f>
        <v/>
      </c>
      <c r="X34" s="82" t="str">
        <f aca="false">IF(OR(X$4="",MONTH(($G$2+9))&lt;&gt;MONTH($C$2)),"",IF(COUNTIFS(m_teacher,X$4,m_date,($G$2+9),m_active,1,m_start,"&lt;"&amp;1020,m_end,"&gt;"&amp;960)=0,"",IF(COUNTIFS(m_teacher,X$4,m_date,($G$2+9),m_active,1,m_start,"&lt;"&amp;1020,m_end,"&gt;"&amp;960)&gt;1,"충돌",HYPERLINK("#'관리자_MASTER'!D"&amp;_xlfn.MAXIFS(m_row,m_teacher,X$4,m_date,($G$2+9),m_active,1,m_start,"&lt;"&amp;1020,m_end,"&gt;"&amp;960),INDEX(m_label,_xlfn.MAXIFS(m_row,m_teacher,X$4,m_date,($G$2+9),m_active,1,m_start,"&lt;"&amp;1020,m_end,"&gt;"&amp;960))))))</f>
        <v/>
      </c>
      <c r="Y34" s="82" t="str">
        <f aca="false">IF(OR(Y$4="",MONTH(($G$2+9))&lt;&gt;MONTH($C$2)),"",IF(COUNTIFS(m_teacher,Y$4,m_date,($G$2+9),m_active,1,m_start,"&lt;"&amp;1020,m_end,"&gt;"&amp;960)=0,"",IF(COUNTIFS(m_teacher,Y$4,m_date,($G$2+9),m_active,1,m_start,"&lt;"&amp;1020,m_end,"&gt;"&amp;960)&gt;1,"충돌",HYPERLINK("#'관리자_MASTER'!D"&amp;_xlfn.MAXIFS(m_row,m_teacher,Y$4,m_date,($G$2+9),m_active,1,m_start,"&lt;"&amp;1020,m_end,"&gt;"&amp;960),INDEX(m_label,_xlfn.MAXIFS(m_row,m_teacher,Y$4,m_date,($G$2+9),m_active,1,m_start,"&lt;"&amp;1020,m_end,"&gt;"&amp;960))))))</f>
        <v/>
      </c>
      <c r="Z34" s="82" t="str">
        <f aca="false">IF(OR(Z$4="",MONTH(($G$2+9))&lt;&gt;MONTH($C$2)),"",IF(COUNTIFS(m_teacher,Z$4,m_date,($G$2+9),m_active,1,m_start,"&lt;"&amp;1020,m_end,"&gt;"&amp;960)=0,"",IF(COUNTIFS(m_teacher,Z$4,m_date,($G$2+9),m_active,1,m_start,"&lt;"&amp;1020,m_end,"&gt;"&amp;960)&gt;1,"충돌",HYPERLINK("#'관리자_MASTER'!D"&amp;_xlfn.MAXIFS(m_row,m_teacher,Z$4,m_date,($G$2+9),m_active,1,m_start,"&lt;"&amp;1020,m_end,"&gt;"&amp;960),INDEX(m_label,_xlfn.MAXIFS(m_row,m_teacher,Z$4,m_date,($G$2+9),m_active,1,m_start,"&lt;"&amp;1020,m_end,"&gt;"&amp;960))))))</f>
        <v/>
      </c>
      <c r="AA34" s="82" t="str">
        <f aca="false">IF(OR(AA$4="",MONTH(($G$2+9))&lt;&gt;MONTH($C$2)),"",IF(COUNTIFS(m_teacher,AA$4,m_date,($G$2+9),m_active,1,m_start,"&lt;"&amp;1020,m_end,"&gt;"&amp;960)=0,"",IF(COUNTIFS(m_teacher,AA$4,m_date,($G$2+9),m_active,1,m_start,"&lt;"&amp;1020,m_end,"&gt;"&amp;960)&gt;1,"충돌",HYPERLINK("#'관리자_MASTER'!D"&amp;_xlfn.MAXIFS(m_row,m_teacher,AA$4,m_date,($G$2+9),m_active,1,m_start,"&lt;"&amp;1020,m_end,"&gt;"&amp;960),INDEX(m_label,_xlfn.MAXIFS(m_row,m_teacher,AA$4,m_date,($G$2+9),m_active,1,m_start,"&lt;"&amp;1020,m_end,"&gt;"&amp;960))))))</f>
        <v/>
      </c>
      <c r="AB34" s="82" t="str">
        <f aca="false">IF(OR(AB$4="",MONTH(($G$2+9))&lt;&gt;MONTH($C$2)),"",IF(COUNTIFS(m_teacher,AB$4,m_date,($G$2+9),m_active,1,m_start,"&lt;"&amp;1020,m_end,"&gt;"&amp;960)=0,"",IF(COUNTIFS(m_teacher,AB$4,m_date,($G$2+9),m_active,1,m_start,"&lt;"&amp;1020,m_end,"&gt;"&amp;960)&gt;1,"충돌",HYPERLINK("#'관리자_MASTER'!D"&amp;_xlfn.MAXIFS(m_row,m_teacher,AB$4,m_date,($G$2+9),m_active,1,m_start,"&lt;"&amp;1020,m_end,"&gt;"&amp;960),INDEX(m_label,_xlfn.MAXIFS(m_row,m_teacher,AB$4,m_date,($G$2+9),m_active,1,m_start,"&lt;"&amp;1020,m_end,"&gt;"&amp;960))))))</f>
        <v/>
      </c>
      <c r="AC34" s="78"/>
      <c r="AD34" s="79" t="s">
        <v>98</v>
      </c>
      <c r="AE34" s="82" t="str">
        <f aca="false">IF(OR(AE$4="",MONTH(($G$2+16))&lt;&gt;MONTH($C$2)),"",IF(COUNTIFS(m_teacher,AE$4,m_date,($G$2+16),m_active,1,m_start,"&lt;"&amp;1020,m_end,"&gt;"&amp;960)=0,"",IF(COUNTIFS(m_teacher,AE$4,m_date,($G$2+16),m_active,1,m_start,"&lt;"&amp;1020,m_end,"&gt;"&amp;960)&gt;1,"충돌",HYPERLINK("#'관리자_MASTER'!D"&amp;_xlfn.MAXIFS(m_row,m_teacher,AE$4,m_date,($G$2+16),m_active,1,m_start,"&lt;"&amp;1020,m_end,"&gt;"&amp;960),INDEX(m_label,_xlfn.MAXIFS(m_row,m_teacher,AE$4,m_date,($G$2+16),m_active,1,m_start,"&lt;"&amp;1020,m_end,"&gt;"&amp;960))))))</f>
        <v/>
      </c>
      <c r="AF34" s="82" t="str">
        <f aca="false">IF(OR(AF$4="",MONTH(($G$2+16))&lt;&gt;MONTH($C$2)),"",IF(COUNTIFS(m_teacher,AF$4,m_date,($G$2+16),m_active,1,m_start,"&lt;"&amp;1020,m_end,"&gt;"&amp;960)=0,"",IF(COUNTIFS(m_teacher,AF$4,m_date,($G$2+16),m_active,1,m_start,"&lt;"&amp;1020,m_end,"&gt;"&amp;960)&gt;1,"충돌",HYPERLINK("#'관리자_MASTER'!D"&amp;_xlfn.MAXIFS(m_row,m_teacher,AF$4,m_date,($G$2+16),m_active,1,m_start,"&lt;"&amp;1020,m_end,"&gt;"&amp;960),INDEX(m_label,_xlfn.MAXIFS(m_row,m_teacher,AF$4,m_date,($G$2+16),m_active,1,m_start,"&lt;"&amp;1020,m_end,"&gt;"&amp;960))))))</f>
        <v/>
      </c>
      <c r="AG34" s="82" t="str">
        <f aca="false">IF(OR(AG$4="",MONTH(($G$2+16))&lt;&gt;MONTH($C$2)),"",IF(COUNTIFS(m_teacher,AG$4,m_date,($G$2+16),m_active,1,m_start,"&lt;"&amp;1020,m_end,"&gt;"&amp;960)=0,"",IF(COUNTIFS(m_teacher,AG$4,m_date,($G$2+16),m_active,1,m_start,"&lt;"&amp;1020,m_end,"&gt;"&amp;960)&gt;1,"충돌",HYPERLINK("#'관리자_MASTER'!D"&amp;_xlfn.MAXIFS(m_row,m_teacher,AG$4,m_date,($G$2+16),m_active,1,m_start,"&lt;"&amp;1020,m_end,"&gt;"&amp;960),INDEX(m_label,_xlfn.MAXIFS(m_row,m_teacher,AG$4,m_date,($G$2+16),m_active,1,m_start,"&lt;"&amp;1020,m_end,"&gt;"&amp;960))))))</f>
        <v/>
      </c>
      <c r="AH34" s="82" t="str">
        <f aca="false">IF(OR(AH$4="",MONTH(($G$2+16))&lt;&gt;MONTH($C$2)),"",IF(COUNTIFS(m_teacher,AH$4,m_date,($G$2+16),m_active,1,m_start,"&lt;"&amp;1020,m_end,"&gt;"&amp;960)=0,"",IF(COUNTIFS(m_teacher,AH$4,m_date,($G$2+16),m_active,1,m_start,"&lt;"&amp;1020,m_end,"&gt;"&amp;960)&gt;1,"충돌",HYPERLINK("#'관리자_MASTER'!D"&amp;_xlfn.MAXIFS(m_row,m_teacher,AH$4,m_date,($G$2+16),m_active,1,m_start,"&lt;"&amp;1020,m_end,"&gt;"&amp;960),INDEX(m_label,_xlfn.MAXIFS(m_row,m_teacher,AH$4,m_date,($G$2+16),m_active,1,m_start,"&lt;"&amp;1020,m_end,"&gt;"&amp;960))))))</f>
        <v/>
      </c>
      <c r="AI34" s="82" t="str">
        <f aca="false">IF(OR(AI$4="",MONTH(($G$2+16))&lt;&gt;MONTH($C$2)),"",IF(COUNTIFS(m_teacher,AI$4,m_date,($G$2+16),m_active,1,m_start,"&lt;"&amp;1020,m_end,"&gt;"&amp;960)=0,"",IF(COUNTIFS(m_teacher,AI$4,m_date,($G$2+16),m_active,1,m_start,"&lt;"&amp;1020,m_end,"&gt;"&amp;960)&gt;1,"충돌",HYPERLINK("#'관리자_MASTER'!D"&amp;_xlfn.MAXIFS(m_row,m_teacher,AI$4,m_date,($G$2+16),m_active,1,m_start,"&lt;"&amp;1020,m_end,"&gt;"&amp;960),INDEX(m_label,_xlfn.MAXIFS(m_row,m_teacher,AI$4,m_date,($G$2+16),m_active,1,m_start,"&lt;"&amp;1020,m_end,"&gt;"&amp;960))))))</f>
        <v/>
      </c>
      <c r="AJ34" s="82" t="str">
        <f aca="false">IF(OR(AJ$4="",MONTH(($G$2+16))&lt;&gt;MONTH($C$2)),"",IF(COUNTIFS(m_teacher,AJ$4,m_date,($G$2+16),m_active,1,m_start,"&lt;"&amp;1020,m_end,"&gt;"&amp;960)=0,"",IF(COUNTIFS(m_teacher,AJ$4,m_date,($G$2+16),m_active,1,m_start,"&lt;"&amp;1020,m_end,"&gt;"&amp;960)&gt;1,"충돌",HYPERLINK("#'관리자_MASTER'!D"&amp;_xlfn.MAXIFS(m_row,m_teacher,AJ$4,m_date,($G$2+16),m_active,1,m_start,"&lt;"&amp;1020,m_end,"&gt;"&amp;960),INDEX(m_label,_xlfn.MAXIFS(m_row,m_teacher,AJ$4,m_date,($G$2+16),m_active,1,m_start,"&lt;"&amp;1020,m_end,"&gt;"&amp;960))))))</f>
        <v/>
      </c>
      <c r="AK34" s="82" t="str">
        <f aca="false">IF(OR(AK$4="",MONTH(($G$2+16))&lt;&gt;MONTH($C$2)),"",IF(COUNTIFS(m_teacher,AK$4,m_date,($G$2+16),m_active,1,m_start,"&lt;"&amp;1020,m_end,"&gt;"&amp;960)=0,"",IF(COUNTIFS(m_teacher,AK$4,m_date,($G$2+16),m_active,1,m_start,"&lt;"&amp;1020,m_end,"&gt;"&amp;960)&gt;1,"충돌",HYPERLINK("#'관리자_MASTER'!D"&amp;_xlfn.MAXIFS(m_row,m_teacher,AK$4,m_date,($G$2+16),m_active,1,m_start,"&lt;"&amp;1020,m_end,"&gt;"&amp;960),INDEX(m_label,_xlfn.MAXIFS(m_row,m_teacher,AK$4,m_date,($G$2+16),m_active,1,m_start,"&lt;"&amp;1020,m_end,"&gt;"&amp;960))))))</f>
        <v/>
      </c>
      <c r="AL34" s="82" t="str">
        <f aca="false">IF(OR(AL$4="",MONTH(($G$2+16))&lt;&gt;MONTH($C$2)),"",IF(COUNTIFS(m_teacher,AL$4,m_date,($G$2+16),m_active,1,m_start,"&lt;"&amp;1020,m_end,"&gt;"&amp;960)=0,"",IF(COUNTIFS(m_teacher,AL$4,m_date,($G$2+16),m_active,1,m_start,"&lt;"&amp;1020,m_end,"&gt;"&amp;960)&gt;1,"충돌",HYPERLINK("#'관리자_MASTER'!D"&amp;_xlfn.MAXIFS(m_row,m_teacher,AL$4,m_date,($G$2+16),m_active,1,m_start,"&lt;"&amp;1020,m_end,"&gt;"&amp;960),INDEX(m_label,_xlfn.MAXIFS(m_row,m_teacher,AL$4,m_date,($G$2+16),m_active,1,m_start,"&lt;"&amp;1020,m_end,"&gt;"&amp;960))))))</f>
        <v/>
      </c>
      <c r="AM34" s="82" t="str">
        <f aca="false">IF(OR(AM$4="",MONTH(($G$2+16))&lt;&gt;MONTH($C$2)),"",IF(COUNTIFS(m_teacher,AM$4,m_date,($G$2+16),m_active,1,m_start,"&lt;"&amp;1020,m_end,"&gt;"&amp;960)=0,"",IF(COUNTIFS(m_teacher,AM$4,m_date,($G$2+16),m_active,1,m_start,"&lt;"&amp;1020,m_end,"&gt;"&amp;960)&gt;1,"충돌",HYPERLINK("#'관리자_MASTER'!D"&amp;_xlfn.MAXIFS(m_row,m_teacher,AM$4,m_date,($G$2+16),m_active,1,m_start,"&lt;"&amp;1020,m_end,"&gt;"&amp;960),INDEX(m_label,_xlfn.MAXIFS(m_row,m_teacher,AM$4,m_date,($G$2+16),m_active,1,m_start,"&lt;"&amp;1020,m_end,"&gt;"&amp;960))))))</f>
        <v/>
      </c>
      <c r="AN34" s="82" t="str">
        <f aca="false">IF(OR(AN$4="",MONTH(($G$2+16))&lt;&gt;MONTH($C$2)),"",IF(COUNTIFS(m_teacher,AN$4,m_date,($G$2+16),m_active,1,m_start,"&lt;"&amp;1020,m_end,"&gt;"&amp;960)=0,"",IF(COUNTIFS(m_teacher,AN$4,m_date,($G$2+16),m_active,1,m_start,"&lt;"&amp;1020,m_end,"&gt;"&amp;960)&gt;1,"충돌",HYPERLINK("#'관리자_MASTER'!D"&amp;_xlfn.MAXIFS(m_row,m_teacher,AN$4,m_date,($G$2+16),m_active,1,m_start,"&lt;"&amp;1020,m_end,"&gt;"&amp;960),INDEX(m_label,_xlfn.MAXIFS(m_row,m_teacher,AN$4,m_date,($G$2+16),m_active,1,m_start,"&lt;"&amp;1020,m_end,"&gt;"&amp;960))))))</f>
        <v/>
      </c>
      <c r="AO34" s="82" t="str">
        <f aca="false">IF(OR(AO$4="",MONTH(($G$2+16))&lt;&gt;MONTH($C$2)),"",IF(COUNTIFS(m_teacher,AO$4,m_date,($G$2+16),m_active,1,m_start,"&lt;"&amp;1020,m_end,"&gt;"&amp;960)=0,"",IF(COUNTIFS(m_teacher,AO$4,m_date,($G$2+16),m_active,1,m_start,"&lt;"&amp;1020,m_end,"&gt;"&amp;960)&gt;1,"충돌",HYPERLINK("#'관리자_MASTER'!D"&amp;_xlfn.MAXIFS(m_row,m_teacher,AO$4,m_date,($G$2+16),m_active,1,m_start,"&lt;"&amp;1020,m_end,"&gt;"&amp;960),INDEX(m_label,_xlfn.MAXIFS(m_row,m_teacher,AO$4,m_date,($G$2+16),m_active,1,m_start,"&lt;"&amp;1020,m_end,"&gt;"&amp;960))))))</f>
        <v/>
      </c>
      <c r="AP34" s="82" t="str">
        <f aca="false">IF(OR(AP$4="",MONTH(($G$2+16))&lt;&gt;MONTH($C$2)),"",IF(COUNTIFS(m_teacher,AP$4,m_date,($G$2+16),m_active,1,m_start,"&lt;"&amp;1020,m_end,"&gt;"&amp;960)=0,"",IF(COUNTIFS(m_teacher,AP$4,m_date,($G$2+16),m_active,1,m_start,"&lt;"&amp;1020,m_end,"&gt;"&amp;960)&gt;1,"충돌",HYPERLINK("#'관리자_MASTER'!D"&amp;_xlfn.MAXIFS(m_row,m_teacher,AP$4,m_date,($G$2+16),m_active,1,m_start,"&lt;"&amp;1020,m_end,"&gt;"&amp;960),INDEX(m_label,_xlfn.MAXIFS(m_row,m_teacher,AP$4,m_date,($G$2+16),m_active,1,m_start,"&lt;"&amp;1020,m_end,"&gt;"&amp;960))))))</f>
        <v/>
      </c>
      <c r="AQ34" s="78"/>
      <c r="AR34" s="79" t="s">
        <v>98</v>
      </c>
      <c r="AS34" s="82" t="str">
        <f aca="false">IF(OR(AS$4="",MONTH(($G$2+23))&lt;&gt;MONTH($C$2)),"",IF(COUNTIFS(m_teacher,AS$4,m_date,($G$2+23),m_active,1,m_start,"&lt;"&amp;1020,m_end,"&gt;"&amp;960)=0,"",IF(COUNTIFS(m_teacher,AS$4,m_date,($G$2+23),m_active,1,m_start,"&lt;"&amp;1020,m_end,"&gt;"&amp;960)&gt;1,"충돌",HYPERLINK("#'관리자_MASTER'!D"&amp;_xlfn.MAXIFS(m_row,m_teacher,AS$4,m_date,($G$2+23),m_active,1,m_start,"&lt;"&amp;1020,m_end,"&gt;"&amp;960),INDEX(m_label,_xlfn.MAXIFS(m_row,m_teacher,AS$4,m_date,($G$2+23),m_active,1,m_start,"&lt;"&amp;1020,m_end,"&gt;"&amp;960))))))</f>
        <v/>
      </c>
      <c r="AT34" s="82" t="str">
        <f aca="false">IF(OR(AT$4="",MONTH(($G$2+23))&lt;&gt;MONTH($C$2)),"",IF(COUNTIFS(m_teacher,AT$4,m_date,($G$2+23),m_active,1,m_start,"&lt;"&amp;1020,m_end,"&gt;"&amp;960)=0,"",IF(COUNTIFS(m_teacher,AT$4,m_date,($G$2+23),m_active,1,m_start,"&lt;"&amp;1020,m_end,"&gt;"&amp;960)&gt;1,"충돌",HYPERLINK("#'관리자_MASTER'!D"&amp;_xlfn.MAXIFS(m_row,m_teacher,AT$4,m_date,($G$2+23),m_active,1,m_start,"&lt;"&amp;1020,m_end,"&gt;"&amp;960),INDEX(m_label,_xlfn.MAXIFS(m_row,m_teacher,AT$4,m_date,($G$2+23),m_active,1,m_start,"&lt;"&amp;1020,m_end,"&gt;"&amp;960))))))</f>
        <v/>
      </c>
      <c r="AU34" s="82" t="str">
        <f aca="false">IF(OR(AU$4="",MONTH(($G$2+23))&lt;&gt;MONTH($C$2)),"",IF(COUNTIFS(m_teacher,AU$4,m_date,($G$2+23),m_active,1,m_start,"&lt;"&amp;1020,m_end,"&gt;"&amp;960)=0,"",IF(COUNTIFS(m_teacher,AU$4,m_date,($G$2+23),m_active,1,m_start,"&lt;"&amp;1020,m_end,"&gt;"&amp;960)&gt;1,"충돌",HYPERLINK("#'관리자_MASTER'!D"&amp;_xlfn.MAXIFS(m_row,m_teacher,AU$4,m_date,($G$2+23),m_active,1,m_start,"&lt;"&amp;1020,m_end,"&gt;"&amp;960),INDEX(m_label,_xlfn.MAXIFS(m_row,m_teacher,AU$4,m_date,($G$2+23),m_active,1,m_start,"&lt;"&amp;1020,m_end,"&gt;"&amp;960))))))</f>
        <v/>
      </c>
      <c r="AV34" s="82" t="str">
        <f aca="false">IF(OR(AV$4="",MONTH(($G$2+23))&lt;&gt;MONTH($C$2)),"",IF(COUNTIFS(m_teacher,AV$4,m_date,($G$2+23),m_active,1,m_start,"&lt;"&amp;1020,m_end,"&gt;"&amp;960)=0,"",IF(COUNTIFS(m_teacher,AV$4,m_date,($G$2+23),m_active,1,m_start,"&lt;"&amp;1020,m_end,"&gt;"&amp;960)&gt;1,"충돌",HYPERLINK("#'관리자_MASTER'!D"&amp;_xlfn.MAXIFS(m_row,m_teacher,AV$4,m_date,($G$2+23),m_active,1,m_start,"&lt;"&amp;1020,m_end,"&gt;"&amp;960),INDEX(m_label,_xlfn.MAXIFS(m_row,m_teacher,AV$4,m_date,($G$2+23),m_active,1,m_start,"&lt;"&amp;1020,m_end,"&gt;"&amp;960))))))</f>
        <v/>
      </c>
      <c r="AW34" s="82" t="str">
        <f aca="false">IF(OR(AW$4="",MONTH(($G$2+23))&lt;&gt;MONTH($C$2)),"",IF(COUNTIFS(m_teacher,AW$4,m_date,($G$2+23),m_active,1,m_start,"&lt;"&amp;1020,m_end,"&gt;"&amp;960)=0,"",IF(COUNTIFS(m_teacher,AW$4,m_date,($G$2+23),m_active,1,m_start,"&lt;"&amp;1020,m_end,"&gt;"&amp;960)&gt;1,"충돌",HYPERLINK("#'관리자_MASTER'!D"&amp;_xlfn.MAXIFS(m_row,m_teacher,AW$4,m_date,($G$2+23),m_active,1,m_start,"&lt;"&amp;1020,m_end,"&gt;"&amp;960),INDEX(m_label,_xlfn.MAXIFS(m_row,m_teacher,AW$4,m_date,($G$2+23),m_active,1,m_start,"&lt;"&amp;1020,m_end,"&gt;"&amp;960))))))</f>
        <v/>
      </c>
      <c r="AX34" s="82" t="str">
        <f aca="false">IF(OR(AX$4="",MONTH(($G$2+23))&lt;&gt;MONTH($C$2)),"",IF(COUNTIFS(m_teacher,AX$4,m_date,($G$2+23),m_active,1,m_start,"&lt;"&amp;1020,m_end,"&gt;"&amp;960)=0,"",IF(COUNTIFS(m_teacher,AX$4,m_date,($G$2+23),m_active,1,m_start,"&lt;"&amp;1020,m_end,"&gt;"&amp;960)&gt;1,"충돌",HYPERLINK("#'관리자_MASTER'!D"&amp;_xlfn.MAXIFS(m_row,m_teacher,AX$4,m_date,($G$2+23),m_active,1,m_start,"&lt;"&amp;1020,m_end,"&gt;"&amp;960),INDEX(m_label,_xlfn.MAXIFS(m_row,m_teacher,AX$4,m_date,($G$2+23),m_active,1,m_start,"&lt;"&amp;1020,m_end,"&gt;"&amp;960))))))</f>
        <v/>
      </c>
      <c r="AY34" s="82" t="str">
        <f aca="false">IF(OR(AY$4="",MONTH(($G$2+23))&lt;&gt;MONTH($C$2)),"",IF(COUNTIFS(m_teacher,AY$4,m_date,($G$2+23),m_active,1,m_start,"&lt;"&amp;1020,m_end,"&gt;"&amp;960)=0,"",IF(COUNTIFS(m_teacher,AY$4,m_date,($G$2+23),m_active,1,m_start,"&lt;"&amp;1020,m_end,"&gt;"&amp;960)&gt;1,"충돌",HYPERLINK("#'관리자_MASTER'!D"&amp;_xlfn.MAXIFS(m_row,m_teacher,AY$4,m_date,($G$2+23),m_active,1,m_start,"&lt;"&amp;1020,m_end,"&gt;"&amp;960),INDEX(m_label,_xlfn.MAXIFS(m_row,m_teacher,AY$4,m_date,($G$2+23),m_active,1,m_start,"&lt;"&amp;1020,m_end,"&gt;"&amp;960))))))</f>
        <v/>
      </c>
      <c r="AZ34" s="82" t="str">
        <f aca="false">IF(OR(AZ$4="",MONTH(($G$2+23))&lt;&gt;MONTH($C$2)),"",IF(COUNTIFS(m_teacher,AZ$4,m_date,($G$2+23),m_active,1,m_start,"&lt;"&amp;1020,m_end,"&gt;"&amp;960)=0,"",IF(COUNTIFS(m_teacher,AZ$4,m_date,($G$2+23),m_active,1,m_start,"&lt;"&amp;1020,m_end,"&gt;"&amp;960)&gt;1,"충돌",HYPERLINK("#'관리자_MASTER'!D"&amp;_xlfn.MAXIFS(m_row,m_teacher,AZ$4,m_date,($G$2+23),m_active,1,m_start,"&lt;"&amp;1020,m_end,"&gt;"&amp;960),INDEX(m_label,_xlfn.MAXIFS(m_row,m_teacher,AZ$4,m_date,($G$2+23),m_active,1,m_start,"&lt;"&amp;1020,m_end,"&gt;"&amp;960))))))</f>
        <v/>
      </c>
      <c r="BA34" s="82" t="str">
        <f aca="false">IF(OR(BA$4="",MONTH(($G$2+23))&lt;&gt;MONTH($C$2)),"",IF(COUNTIFS(m_teacher,BA$4,m_date,($G$2+23),m_active,1,m_start,"&lt;"&amp;1020,m_end,"&gt;"&amp;960)=0,"",IF(COUNTIFS(m_teacher,BA$4,m_date,($G$2+23),m_active,1,m_start,"&lt;"&amp;1020,m_end,"&gt;"&amp;960)&gt;1,"충돌",HYPERLINK("#'관리자_MASTER'!D"&amp;_xlfn.MAXIFS(m_row,m_teacher,BA$4,m_date,($G$2+23),m_active,1,m_start,"&lt;"&amp;1020,m_end,"&gt;"&amp;960),INDEX(m_label,_xlfn.MAXIFS(m_row,m_teacher,BA$4,m_date,($G$2+23),m_active,1,m_start,"&lt;"&amp;1020,m_end,"&gt;"&amp;960))))))</f>
        <v/>
      </c>
      <c r="BB34" s="82" t="str">
        <f aca="false">IF(OR(BB$4="",MONTH(($G$2+23))&lt;&gt;MONTH($C$2)),"",IF(COUNTIFS(m_teacher,BB$4,m_date,($G$2+23),m_active,1,m_start,"&lt;"&amp;1020,m_end,"&gt;"&amp;960)=0,"",IF(COUNTIFS(m_teacher,BB$4,m_date,($G$2+23),m_active,1,m_start,"&lt;"&amp;1020,m_end,"&gt;"&amp;960)&gt;1,"충돌",HYPERLINK("#'관리자_MASTER'!D"&amp;_xlfn.MAXIFS(m_row,m_teacher,BB$4,m_date,($G$2+23),m_active,1,m_start,"&lt;"&amp;1020,m_end,"&gt;"&amp;960),INDEX(m_label,_xlfn.MAXIFS(m_row,m_teacher,BB$4,m_date,($G$2+23),m_active,1,m_start,"&lt;"&amp;1020,m_end,"&gt;"&amp;960))))))</f>
        <v/>
      </c>
      <c r="BC34" s="82" t="str">
        <f aca="false">IF(OR(BC$4="",MONTH(($G$2+23))&lt;&gt;MONTH($C$2)),"",IF(COUNTIFS(m_teacher,BC$4,m_date,($G$2+23),m_active,1,m_start,"&lt;"&amp;1020,m_end,"&gt;"&amp;960)=0,"",IF(COUNTIFS(m_teacher,BC$4,m_date,($G$2+23),m_active,1,m_start,"&lt;"&amp;1020,m_end,"&gt;"&amp;960)&gt;1,"충돌",HYPERLINK("#'관리자_MASTER'!D"&amp;_xlfn.MAXIFS(m_row,m_teacher,BC$4,m_date,($G$2+23),m_active,1,m_start,"&lt;"&amp;1020,m_end,"&gt;"&amp;960),INDEX(m_label,_xlfn.MAXIFS(m_row,m_teacher,BC$4,m_date,($G$2+23),m_active,1,m_start,"&lt;"&amp;1020,m_end,"&gt;"&amp;960))))))</f>
        <v/>
      </c>
      <c r="BD34" s="82" t="str">
        <f aca="false">IF(OR(BD$4="",MONTH(($G$2+23))&lt;&gt;MONTH($C$2)),"",IF(COUNTIFS(m_teacher,BD$4,m_date,($G$2+23),m_active,1,m_start,"&lt;"&amp;1020,m_end,"&gt;"&amp;960)=0,"",IF(COUNTIFS(m_teacher,BD$4,m_date,($G$2+23),m_active,1,m_start,"&lt;"&amp;1020,m_end,"&gt;"&amp;960)&gt;1,"충돌",HYPERLINK("#'관리자_MASTER'!D"&amp;_xlfn.MAXIFS(m_row,m_teacher,BD$4,m_date,($G$2+23),m_active,1,m_start,"&lt;"&amp;1020,m_end,"&gt;"&amp;960),INDEX(m_label,_xlfn.MAXIFS(m_row,m_teacher,BD$4,m_date,($G$2+23),m_active,1,m_start,"&lt;"&amp;1020,m_end,"&gt;"&amp;960))))))</f>
        <v/>
      </c>
      <c r="BE34" s="78"/>
      <c r="BF34" s="79" t="s">
        <v>98</v>
      </c>
      <c r="BG34" s="82" t="str">
        <f aca="false">IF(OR(BG$4="",MONTH(($G$2+30))&lt;&gt;MONTH($C$2)),"",IF(COUNTIFS(m_teacher,BG$4,m_date,($G$2+30),m_active,1,m_start,"&lt;"&amp;1020,m_end,"&gt;"&amp;960)=0,"",IF(COUNTIFS(m_teacher,BG$4,m_date,($G$2+30),m_active,1,m_start,"&lt;"&amp;1020,m_end,"&gt;"&amp;960)&gt;1,"충돌",HYPERLINK("#'관리자_MASTER'!D"&amp;_xlfn.MAXIFS(m_row,m_teacher,BG$4,m_date,($G$2+30),m_active,1,m_start,"&lt;"&amp;1020,m_end,"&gt;"&amp;960),INDEX(m_label,_xlfn.MAXIFS(m_row,m_teacher,BG$4,m_date,($G$2+30),m_active,1,m_start,"&lt;"&amp;1020,m_end,"&gt;"&amp;960))))))</f>
        <v/>
      </c>
      <c r="BH34" s="82" t="str">
        <f aca="false">IF(OR(BH$4="",MONTH(($G$2+30))&lt;&gt;MONTH($C$2)),"",IF(COUNTIFS(m_teacher,BH$4,m_date,($G$2+30),m_active,1,m_start,"&lt;"&amp;1020,m_end,"&gt;"&amp;960)=0,"",IF(COUNTIFS(m_teacher,BH$4,m_date,($G$2+30),m_active,1,m_start,"&lt;"&amp;1020,m_end,"&gt;"&amp;960)&gt;1,"충돌",HYPERLINK("#'관리자_MASTER'!D"&amp;_xlfn.MAXIFS(m_row,m_teacher,BH$4,m_date,($G$2+30),m_active,1,m_start,"&lt;"&amp;1020,m_end,"&gt;"&amp;960),INDEX(m_label,_xlfn.MAXIFS(m_row,m_teacher,BH$4,m_date,($G$2+30),m_active,1,m_start,"&lt;"&amp;1020,m_end,"&gt;"&amp;960))))))</f>
        <v/>
      </c>
      <c r="BI34" s="82" t="str">
        <f aca="false">IF(OR(BI$4="",MONTH(($G$2+30))&lt;&gt;MONTH($C$2)),"",IF(COUNTIFS(m_teacher,BI$4,m_date,($G$2+30),m_active,1,m_start,"&lt;"&amp;1020,m_end,"&gt;"&amp;960)=0,"",IF(COUNTIFS(m_teacher,BI$4,m_date,($G$2+30),m_active,1,m_start,"&lt;"&amp;1020,m_end,"&gt;"&amp;960)&gt;1,"충돌",HYPERLINK("#'관리자_MASTER'!D"&amp;_xlfn.MAXIFS(m_row,m_teacher,BI$4,m_date,($G$2+30),m_active,1,m_start,"&lt;"&amp;1020,m_end,"&gt;"&amp;960),INDEX(m_label,_xlfn.MAXIFS(m_row,m_teacher,BI$4,m_date,($G$2+30),m_active,1,m_start,"&lt;"&amp;1020,m_end,"&gt;"&amp;960))))))</f>
        <v/>
      </c>
      <c r="BJ34" s="82" t="str">
        <f aca="false">IF(OR(BJ$4="",MONTH(($G$2+30))&lt;&gt;MONTH($C$2)),"",IF(COUNTIFS(m_teacher,BJ$4,m_date,($G$2+30),m_active,1,m_start,"&lt;"&amp;1020,m_end,"&gt;"&amp;960)=0,"",IF(COUNTIFS(m_teacher,BJ$4,m_date,($G$2+30),m_active,1,m_start,"&lt;"&amp;1020,m_end,"&gt;"&amp;960)&gt;1,"충돌",HYPERLINK("#'관리자_MASTER'!D"&amp;_xlfn.MAXIFS(m_row,m_teacher,BJ$4,m_date,($G$2+30),m_active,1,m_start,"&lt;"&amp;1020,m_end,"&gt;"&amp;960),INDEX(m_label,_xlfn.MAXIFS(m_row,m_teacher,BJ$4,m_date,($G$2+30),m_active,1,m_start,"&lt;"&amp;1020,m_end,"&gt;"&amp;960))))))</f>
        <v/>
      </c>
      <c r="BK34" s="82" t="str">
        <f aca="false">IF(OR(BK$4="",MONTH(($G$2+30))&lt;&gt;MONTH($C$2)),"",IF(COUNTIFS(m_teacher,BK$4,m_date,($G$2+30),m_active,1,m_start,"&lt;"&amp;1020,m_end,"&gt;"&amp;960)=0,"",IF(COUNTIFS(m_teacher,BK$4,m_date,($G$2+30),m_active,1,m_start,"&lt;"&amp;1020,m_end,"&gt;"&amp;960)&gt;1,"충돌",HYPERLINK("#'관리자_MASTER'!D"&amp;_xlfn.MAXIFS(m_row,m_teacher,BK$4,m_date,($G$2+30),m_active,1,m_start,"&lt;"&amp;1020,m_end,"&gt;"&amp;960),INDEX(m_label,_xlfn.MAXIFS(m_row,m_teacher,BK$4,m_date,($G$2+30),m_active,1,m_start,"&lt;"&amp;1020,m_end,"&gt;"&amp;960))))))</f>
        <v/>
      </c>
      <c r="BL34" s="82" t="str">
        <f aca="false">IF(OR(BL$4="",MONTH(($G$2+30))&lt;&gt;MONTH($C$2)),"",IF(COUNTIFS(m_teacher,BL$4,m_date,($G$2+30),m_active,1,m_start,"&lt;"&amp;1020,m_end,"&gt;"&amp;960)=0,"",IF(COUNTIFS(m_teacher,BL$4,m_date,($G$2+30),m_active,1,m_start,"&lt;"&amp;1020,m_end,"&gt;"&amp;960)&gt;1,"충돌",HYPERLINK("#'관리자_MASTER'!D"&amp;_xlfn.MAXIFS(m_row,m_teacher,BL$4,m_date,($G$2+30),m_active,1,m_start,"&lt;"&amp;1020,m_end,"&gt;"&amp;960),INDEX(m_label,_xlfn.MAXIFS(m_row,m_teacher,BL$4,m_date,($G$2+30),m_active,1,m_start,"&lt;"&amp;1020,m_end,"&gt;"&amp;960))))))</f>
        <v/>
      </c>
      <c r="BM34" s="82" t="str">
        <f aca="false">IF(OR(BM$4="",MONTH(($G$2+30))&lt;&gt;MONTH($C$2)),"",IF(COUNTIFS(m_teacher,BM$4,m_date,($G$2+30),m_active,1,m_start,"&lt;"&amp;1020,m_end,"&gt;"&amp;960)=0,"",IF(COUNTIFS(m_teacher,BM$4,m_date,($G$2+30),m_active,1,m_start,"&lt;"&amp;1020,m_end,"&gt;"&amp;960)&gt;1,"충돌",HYPERLINK("#'관리자_MASTER'!D"&amp;_xlfn.MAXIFS(m_row,m_teacher,BM$4,m_date,($G$2+30),m_active,1,m_start,"&lt;"&amp;1020,m_end,"&gt;"&amp;960),INDEX(m_label,_xlfn.MAXIFS(m_row,m_teacher,BM$4,m_date,($G$2+30),m_active,1,m_start,"&lt;"&amp;1020,m_end,"&gt;"&amp;960))))))</f>
        <v/>
      </c>
      <c r="BN34" s="82" t="str">
        <f aca="false">IF(OR(BN$4="",MONTH(($G$2+30))&lt;&gt;MONTH($C$2)),"",IF(COUNTIFS(m_teacher,BN$4,m_date,($G$2+30),m_active,1,m_start,"&lt;"&amp;1020,m_end,"&gt;"&amp;960)=0,"",IF(COUNTIFS(m_teacher,BN$4,m_date,($G$2+30),m_active,1,m_start,"&lt;"&amp;1020,m_end,"&gt;"&amp;960)&gt;1,"충돌",HYPERLINK("#'관리자_MASTER'!D"&amp;_xlfn.MAXIFS(m_row,m_teacher,BN$4,m_date,($G$2+30),m_active,1,m_start,"&lt;"&amp;1020,m_end,"&gt;"&amp;960),INDEX(m_label,_xlfn.MAXIFS(m_row,m_teacher,BN$4,m_date,($G$2+30),m_active,1,m_start,"&lt;"&amp;1020,m_end,"&gt;"&amp;960))))))</f>
        <v/>
      </c>
      <c r="BO34" s="82" t="str">
        <f aca="false">IF(OR(BO$4="",MONTH(($G$2+30))&lt;&gt;MONTH($C$2)),"",IF(COUNTIFS(m_teacher,BO$4,m_date,($G$2+30),m_active,1,m_start,"&lt;"&amp;1020,m_end,"&gt;"&amp;960)=0,"",IF(COUNTIFS(m_teacher,BO$4,m_date,($G$2+30),m_active,1,m_start,"&lt;"&amp;1020,m_end,"&gt;"&amp;960)&gt;1,"충돌",HYPERLINK("#'관리자_MASTER'!D"&amp;_xlfn.MAXIFS(m_row,m_teacher,BO$4,m_date,($G$2+30),m_active,1,m_start,"&lt;"&amp;1020,m_end,"&gt;"&amp;960),INDEX(m_label,_xlfn.MAXIFS(m_row,m_teacher,BO$4,m_date,($G$2+30),m_active,1,m_start,"&lt;"&amp;1020,m_end,"&gt;"&amp;960))))))</f>
        <v/>
      </c>
      <c r="BP34" s="82" t="str">
        <f aca="false">IF(OR(BP$4="",MONTH(($G$2+30))&lt;&gt;MONTH($C$2)),"",IF(COUNTIFS(m_teacher,BP$4,m_date,($G$2+30),m_active,1,m_start,"&lt;"&amp;1020,m_end,"&gt;"&amp;960)=0,"",IF(COUNTIFS(m_teacher,BP$4,m_date,($G$2+30),m_active,1,m_start,"&lt;"&amp;1020,m_end,"&gt;"&amp;960)&gt;1,"충돌",HYPERLINK("#'관리자_MASTER'!D"&amp;_xlfn.MAXIFS(m_row,m_teacher,BP$4,m_date,($G$2+30),m_active,1,m_start,"&lt;"&amp;1020,m_end,"&gt;"&amp;960),INDEX(m_label,_xlfn.MAXIFS(m_row,m_teacher,BP$4,m_date,($G$2+30),m_active,1,m_start,"&lt;"&amp;1020,m_end,"&gt;"&amp;960))))))</f>
        <v/>
      </c>
      <c r="BQ34" s="82" t="str">
        <f aca="false">IF(OR(BQ$4="",MONTH(($G$2+30))&lt;&gt;MONTH($C$2)),"",IF(COUNTIFS(m_teacher,BQ$4,m_date,($G$2+30),m_active,1,m_start,"&lt;"&amp;1020,m_end,"&gt;"&amp;960)=0,"",IF(COUNTIFS(m_teacher,BQ$4,m_date,($G$2+30),m_active,1,m_start,"&lt;"&amp;1020,m_end,"&gt;"&amp;960)&gt;1,"충돌",HYPERLINK("#'관리자_MASTER'!D"&amp;_xlfn.MAXIFS(m_row,m_teacher,BQ$4,m_date,($G$2+30),m_active,1,m_start,"&lt;"&amp;1020,m_end,"&gt;"&amp;960),INDEX(m_label,_xlfn.MAXIFS(m_row,m_teacher,BQ$4,m_date,($G$2+30),m_active,1,m_start,"&lt;"&amp;1020,m_end,"&gt;"&amp;960))))))</f>
        <v/>
      </c>
      <c r="BR34" s="82" t="str">
        <f aca="false">IF(OR(BR$4="",MONTH(($G$2+30))&lt;&gt;MONTH($C$2)),"",IF(COUNTIFS(m_teacher,BR$4,m_date,($G$2+30),m_active,1,m_start,"&lt;"&amp;1020,m_end,"&gt;"&amp;960)=0,"",IF(COUNTIFS(m_teacher,BR$4,m_date,($G$2+30),m_active,1,m_start,"&lt;"&amp;1020,m_end,"&gt;"&amp;960)&gt;1,"충돌",HYPERLINK("#'관리자_MASTER'!D"&amp;_xlfn.MAXIFS(m_row,m_teacher,BR$4,m_date,($G$2+30),m_active,1,m_start,"&lt;"&amp;1020,m_end,"&gt;"&amp;960),INDEX(m_label,_xlfn.MAXIFS(m_row,m_teacher,BR$4,m_date,($G$2+30),m_active,1,m_start,"&lt;"&amp;1020,m_end,"&gt;"&amp;960))))))</f>
        <v/>
      </c>
    </row>
    <row r="35" customFormat="false" ht="19.5" hidden="false" customHeight="true" outlineLevel="0" collapsed="false">
      <c r="A35" s="75"/>
      <c r="B35" s="76" t="s">
        <v>99</v>
      </c>
      <c r="C35" s="81" t="str">
        <f aca="false">IF(OR(C$4="",MONTH(($G$2+2))&lt;&gt;MONTH($C$2)),"",IF(COUNTIFS(m_teacher,C$4,m_date,($G$2+2),m_active,1,m_start,"&lt;"&amp;1080,m_end,"&gt;"&amp;1020)=0,"",IF(COUNTIFS(m_teacher,C$4,m_date,($G$2+2),m_active,1,m_start,"&lt;"&amp;1080,m_end,"&gt;"&amp;1020)&gt;1,"충돌",HYPERLINK("#'관리자_MASTER'!D"&amp;_xlfn.MAXIFS(m_row,m_teacher,C$4,m_date,($G$2+2),m_active,1,m_start,"&lt;"&amp;1080,m_end,"&gt;"&amp;1020),INDEX(m_label,_xlfn.MAXIFS(m_row,m_teacher,C$4,m_date,($G$2+2),m_active,1,m_start,"&lt;"&amp;1080,m_end,"&gt;"&amp;1020))))))</f>
        <v/>
      </c>
      <c r="D35" s="81" t="str">
        <f aca="false">IF(OR(D$4="",MONTH(($G$2+2))&lt;&gt;MONTH($C$2)),"",IF(COUNTIFS(m_teacher,D$4,m_date,($G$2+2),m_active,1,m_start,"&lt;"&amp;1080,m_end,"&gt;"&amp;1020)=0,"",IF(COUNTIFS(m_teacher,D$4,m_date,($G$2+2),m_active,1,m_start,"&lt;"&amp;1080,m_end,"&gt;"&amp;1020)&gt;1,"충돌",HYPERLINK("#'관리자_MASTER'!D"&amp;_xlfn.MAXIFS(m_row,m_teacher,D$4,m_date,($G$2+2),m_active,1,m_start,"&lt;"&amp;1080,m_end,"&gt;"&amp;1020),INDEX(m_label,_xlfn.MAXIFS(m_row,m_teacher,D$4,m_date,($G$2+2),m_active,1,m_start,"&lt;"&amp;1080,m_end,"&gt;"&amp;1020))))))</f>
        <v/>
      </c>
      <c r="E35" s="81" t="str">
        <f aca="false">IF(OR(E$4="",MONTH(($G$2+2))&lt;&gt;MONTH($C$2)),"",IF(COUNTIFS(m_teacher,E$4,m_date,($G$2+2),m_active,1,m_start,"&lt;"&amp;1080,m_end,"&gt;"&amp;1020)=0,"",IF(COUNTIFS(m_teacher,E$4,m_date,($G$2+2),m_active,1,m_start,"&lt;"&amp;1080,m_end,"&gt;"&amp;1020)&gt;1,"충돌",HYPERLINK("#'관리자_MASTER'!D"&amp;_xlfn.MAXIFS(m_row,m_teacher,E$4,m_date,($G$2+2),m_active,1,m_start,"&lt;"&amp;1080,m_end,"&gt;"&amp;1020),INDEX(m_label,_xlfn.MAXIFS(m_row,m_teacher,E$4,m_date,($G$2+2),m_active,1,m_start,"&lt;"&amp;1080,m_end,"&gt;"&amp;1020))))))</f>
        <v/>
      </c>
      <c r="F35" s="81" t="str">
        <f aca="false">IF(OR(F$4="",MONTH(($G$2+2))&lt;&gt;MONTH($C$2)),"",IF(COUNTIFS(m_teacher,F$4,m_date,($G$2+2),m_active,1,m_start,"&lt;"&amp;1080,m_end,"&gt;"&amp;1020)=0,"",IF(COUNTIFS(m_teacher,F$4,m_date,($G$2+2),m_active,1,m_start,"&lt;"&amp;1080,m_end,"&gt;"&amp;1020)&gt;1,"충돌",HYPERLINK("#'관리자_MASTER'!D"&amp;_xlfn.MAXIFS(m_row,m_teacher,F$4,m_date,($G$2+2),m_active,1,m_start,"&lt;"&amp;1080,m_end,"&gt;"&amp;1020),INDEX(m_label,_xlfn.MAXIFS(m_row,m_teacher,F$4,m_date,($G$2+2),m_active,1,m_start,"&lt;"&amp;1080,m_end,"&gt;"&amp;1020))))))</f>
        <v/>
      </c>
      <c r="G35" s="81" t="str">
        <f aca="false">IF(OR(G$4="",MONTH(($G$2+2))&lt;&gt;MONTH($C$2)),"",IF(COUNTIFS(m_teacher,G$4,m_date,($G$2+2),m_active,1,m_start,"&lt;"&amp;1080,m_end,"&gt;"&amp;1020)=0,"",IF(COUNTIFS(m_teacher,G$4,m_date,($G$2+2),m_active,1,m_start,"&lt;"&amp;1080,m_end,"&gt;"&amp;1020)&gt;1,"충돌",HYPERLINK("#'관리자_MASTER'!D"&amp;_xlfn.MAXIFS(m_row,m_teacher,G$4,m_date,($G$2+2),m_active,1,m_start,"&lt;"&amp;1080,m_end,"&gt;"&amp;1020),INDEX(m_label,_xlfn.MAXIFS(m_row,m_teacher,G$4,m_date,($G$2+2),m_active,1,m_start,"&lt;"&amp;1080,m_end,"&gt;"&amp;1020))))))</f>
        <v/>
      </c>
      <c r="H35" s="81" t="str">
        <f aca="false">IF(OR(H$4="",MONTH(($G$2+2))&lt;&gt;MONTH($C$2)),"",IF(COUNTIFS(m_teacher,H$4,m_date,($G$2+2),m_active,1,m_start,"&lt;"&amp;1080,m_end,"&gt;"&amp;1020)=0,"",IF(COUNTIFS(m_teacher,H$4,m_date,($G$2+2),m_active,1,m_start,"&lt;"&amp;1080,m_end,"&gt;"&amp;1020)&gt;1,"충돌",HYPERLINK("#'관리자_MASTER'!D"&amp;_xlfn.MAXIFS(m_row,m_teacher,H$4,m_date,($G$2+2),m_active,1,m_start,"&lt;"&amp;1080,m_end,"&gt;"&amp;1020),INDEX(m_label,_xlfn.MAXIFS(m_row,m_teacher,H$4,m_date,($G$2+2),m_active,1,m_start,"&lt;"&amp;1080,m_end,"&gt;"&amp;1020))))))</f>
        <v/>
      </c>
      <c r="I35" s="81" t="str">
        <f aca="false">IF(OR(I$4="",MONTH(($G$2+2))&lt;&gt;MONTH($C$2)),"",IF(COUNTIFS(m_teacher,I$4,m_date,($G$2+2),m_active,1,m_start,"&lt;"&amp;1080,m_end,"&gt;"&amp;1020)=0,"",IF(COUNTIFS(m_teacher,I$4,m_date,($G$2+2),m_active,1,m_start,"&lt;"&amp;1080,m_end,"&gt;"&amp;1020)&gt;1,"충돌",HYPERLINK("#'관리자_MASTER'!D"&amp;_xlfn.MAXIFS(m_row,m_teacher,I$4,m_date,($G$2+2),m_active,1,m_start,"&lt;"&amp;1080,m_end,"&gt;"&amp;1020),INDEX(m_label,_xlfn.MAXIFS(m_row,m_teacher,I$4,m_date,($G$2+2),m_active,1,m_start,"&lt;"&amp;1080,m_end,"&gt;"&amp;1020))))))</f>
        <v/>
      </c>
      <c r="J35" s="81" t="str">
        <f aca="false">IF(OR(J$4="",MONTH(($G$2+2))&lt;&gt;MONTH($C$2)),"",IF(COUNTIFS(m_teacher,J$4,m_date,($G$2+2),m_active,1,m_start,"&lt;"&amp;1080,m_end,"&gt;"&amp;1020)=0,"",IF(COUNTIFS(m_teacher,J$4,m_date,($G$2+2),m_active,1,m_start,"&lt;"&amp;1080,m_end,"&gt;"&amp;1020)&gt;1,"충돌",HYPERLINK("#'관리자_MASTER'!D"&amp;_xlfn.MAXIFS(m_row,m_teacher,J$4,m_date,($G$2+2),m_active,1,m_start,"&lt;"&amp;1080,m_end,"&gt;"&amp;1020),INDEX(m_label,_xlfn.MAXIFS(m_row,m_teacher,J$4,m_date,($G$2+2),m_active,1,m_start,"&lt;"&amp;1080,m_end,"&gt;"&amp;1020))))))</f>
        <v/>
      </c>
      <c r="K35" s="81" t="str">
        <f aca="false">IF(OR(K$4="",MONTH(($G$2+2))&lt;&gt;MONTH($C$2)),"",IF(COUNTIFS(m_teacher,K$4,m_date,($G$2+2),m_active,1,m_start,"&lt;"&amp;1080,m_end,"&gt;"&amp;1020)=0,"",IF(COUNTIFS(m_teacher,K$4,m_date,($G$2+2),m_active,1,m_start,"&lt;"&amp;1080,m_end,"&gt;"&amp;1020)&gt;1,"충돌",HYPERLINK("#'관리자_MASTER'!D"&amp;_xlfn.MAXIFS(m_row,m_teacher,K$4,m_date,($G$2+2),m_active,1,m_start,"&lt;"&amp;1080,m_end,"&gt;"&amp;1020),INDEX(m_label,_xlfn.MAXIFS(m_row,m_teacher,K$4,m_date,($G$2+2),m_active,1,m_start,"&lt;"&amp;1080,m_end,"&gt;"&amp;1020))))))</f>
        <v/>
      </c>
      <c r="L35" s="81" t="str">
        <f aca="false">IF(OR(L$4="",MONTH(($G$2+2))&lt;&gt;MONTH($C$2)),"",IF(COUNTIFS(m_teacher,L$4,m_date,($G$2+2),m_active,1,m_start,"&lt;"&amp;1080,m_end,"&gt;"&amp;1020)=0,"",IF(COUNTIFS(m_teacher,L$4,m_date,($G$2+2),m_active,1,m_start,"&lt;"&amp;1080,m_end,"&gt;"&amp;1020)&gt;1,"충돌",HYPERLINK("#'관리자_MASTER'!D"&amp;_xlfn.MAXIFS(m_row,m_teacher,L$4,m_date,($G$2+2),m_active,1,m_start,"&lt;"&amp;1080,m_end,"&gt;"&amp;1020),INDEX(m_label,_xlfn.MAXIFS(m_row,m_teacher,L$4,m_date,($G$2+2),m_active,1,m_start,"&lt;"&amp;1080,m_end,"&gt;"&amp;1020))))))</f>
        <v/>
      </c>
      <c r="M35" s="81" t="str">
        <f aca="false">IF(OR(M$4="",MONTH(($G$2+2))&lt;&gt;MONTH($C$2)),"",IF(COUNTIFS(m_teacher,M$4,m_date,($G$2+2),m_active,1,m_start,"&lt;"&amp;1080,m_end,"&gt;"&amp;1020)=0,"",IF(COUNTIFS(m_teacher,M$4,m_date,($G$2+2),m_active,1,m_start,"&lt;"&amp;1080,m_end,"&gt;"&amp;1020)&gt;1,"충돌",HYPERLINK("#'관리자_MASTER'!D"&amp;_xlfn.MAXIFS(m_row,m_teacher,M$4,m_date,($G$2+2),m_active,1,m_start,"&lt;"&amp;1080,m_end,"&gt;"&amp;1020),INDEX(m_label,_xlfn.MAXIFS(m_row,m_teacher,M$4,m_date,($G$2+2),m_active,1,m_start,"&lt;"&amp;1080,m_end,"&gt;"&amp;1020))))))</f>
        <v/>
      </c>
      <c r="N35" s="81" t="str">
        <f aca="false">IF(OR(N$4="",MONTH(($G$2+2))&lt;&gt;MONTH($C$2)),"",IF(COUNTIFS(m_teacher,N$4,m_date,($G$2+2),m_active,1,m_start,"&lt;"&amp;1080,m_end,"&gt;"&amp;1020)=0,"",IF(COUNTIFS(m_teacher,N$4,m_date,($G$2+2),m_active,1,m_start,"&lt;"&amp;1080,m_end,"&gt;"&amp;1020)&gt;1,"충돌",HYPERLINK("#'관리자_MASTER'!D"&amp;_xlfn.MAXIFS(m_row,m_teacher,N$4,m_date,($G$2+2),m_active,1,m_start,"&lt;"&amp;1080,m_end,"&gt;"&amp;1020),INDEX(m_label,_xlfn.MAXIFS(m_row,m_teacher,N$4,m_date,($G$2+2),m_active,1,m_start,"&lt;"&amp;1080,m_end,"&gt;"&amp;1020))))))</f>
        <v/>
      </c>
      <c r="O35" s="78"/>
      <c r="P35" s="79" t="s">
        <v>99</v>
      </c>
      <c r="Q35" s="82" t="str">
        <f aca="false">IF(OR(Q$4="",MONTH(($G$2+9))&lt;&gt;MONTH($C$2)),"",IF(COUNTIFS(m_teacher,Q$4,m_date,($G$2+9),m_active,1,m_start,"&lt;"&amp;1080,m_end,"&gt;"&amp;1020)=0,"",IF(COUNTIFS(m_teacher,Q$4,m_date,($G$2+9),m_active,1,m_start,"&lt;"&amp;1080,m_end,"&gt;"&amp;1020)&gt;1,"충돌",HYPERLINK("#'관리자_MASTER'!D"&amp;_xlfn.MAXIFS(m_row,m_teacher,Q$4,m_date,($G$2+9),m_active,1,m_start,"&lt;"&amp;1080,m_end,"&gt;"&amp;1020),INDEX(m_label,_xlfn.MAXIFS(m_row,m_teacher,Q$4,m_date,($G$2+9),m_active,1,m_start,"&lt;"&amp;1080,m_end,"&gt;"&amp;1020))))))</f>
        <v/>
      </c>
      <c r="R35" s="82" t="str">
        <f aca="false">IF(OR(R$4="",MONTH(($G$2+9))&lt;&gt;MONTH($C$2)),"",IF(COUNTIFS(m_teacher,R$4,m_date,($G$2+9),m_active,1,m_start,"&lt;"&amp;1080,m_end,"&gt;"&amp;1020)=0,"",IF(COUNTIFS(m_teacher,R$4,m_date,($G$2+9),m_active,1,m_start,"&lt;"&amp;1080,m_end,"&gt;"&amp;1020)&gt;1,"충돌",HYPERLINK("#'관리자_MASTER'!D"&amp;_xlfn.MAXIFS(m_row,m_teacher,R$4,m_date,($G$2+9),m_active,1,m_start,"&lt;"&amp;1080,m_end,"&gt;"&amp;1020),INDEX(m_label,_xlfn.MAXIFS(m_row,m_teacher,R$4,m_date,($G$2+9),m_active,1,m_start,"&lt;"&amp;1080,m_end,"&gt;"&amp;1020))))))</f>
        <v/>
      </c>
      <c r="S35" s="82" t="str">
        <f aca="false">IF(OR(S$4="",MONTH(($G$2+9))&lt;&gt;MONTH($C$2)),"",IF(COUNTIFS(m_teacher,S$4,m_date,($G$2+9),m_active,1,m_start,"&lt;"&amp;1080,m_end,"&gt;"&amp;1020)=0,"",IF(COUNTIFS(m_teacher,S$4,m_date,($G$2+9),m_active,1,m_start,"&lt;"&amp;1080,m_end,"&gt;"&amp;1020)&gt;1,"충돌",HYPERLINK("#'관리자_MASTER'!D"&amp;_xlfn.MAXIFS(m_row,m_teacher,S$4,m_date,($G$2+9),m_active,1,m_start,"&lt;"&amp;1080,m_end,"&gt;"&amp;1020),INDEX(m_label,_xlfn.MAXIFS(m_row,m_teacher,S$4,m_date,($G$2+9),m_active,1,m_start,"&lt;"&amp;1080,m_end,"&gt;"&amp;1020))))))</f>
        <v/>
      </c>
      <c r="T35" s="82" t="str">
        <f aca="false">IF(OR(T$4="",MONTH(($G$2+9))&lt;&gt;MONTH($C$2)),"",IF(COUNTIFS(m_teacher,T$4,m_date,($G$2+9),m_active,1,m_start,"&lt;"&amp;1080,m_end,"&gt;"&amp;1020)=0,"",IF(COUNTIFS(m_teacher,T$4,m_date,($G$2+9),m_active,1,m_start,"&lt;"&amp;1080,m_end,"&gt;"&amp;1020)&gt;1,"충돌",HYPERLINK("#'관리자_MASTER'!D"&amp;_xlfn.MAXIFS(m_row,m_teacher,T$4,m_date,($G$2+9),m_active,1,m_start,"&lt;"&amp;1080,m_end,"&gt;"&amp;1020),INDEX(m_label,_xlfn.MAXIFS(m_row,m_teacher,T$4,m_date,($G$2+9),m_active,1,m_start,"&lt;"&amp;1080,m_end,"&gt;"&amp;1020))))))</f>
        <v/>
      </c>
      <c r="U35" s="82" t="str">
        <f aca="false">IF(OR(U$4="",MONTH(($G$2+9))&lt;&gt;MONTH($C$2)),"",IF(COUNTIFS(m_teacher,U$4,m_date,($G$2+9),m_active,1,m_start,"&lt;"&amp;1080,m_end,"&gt;"&amp;1020)=0,"",IF(COUNTIFS(m_teacher,U$4,m_date,($G$2+9),m_active,1,m_start,"&lt;"&amp;1080,m_end,"&gt;"&amp;1020)&gt;1,"충돌",HYPERLINK("#'관리자_MASTER'!D"&amp;_xlfn.MAXIFS(m_row,m_teacher,U$4,m_date,($G$2+9),m_active,1,m_start,"&lt;"&amp;1080,m_end,"&gt;"&amp;1020),INDEX(m_label,_xlfn.MAXIFS(m_row,m_teacher,U$4,m_date,($G$2+9),m_active,1,m_start,"&lt;"&amp;1080,m_end,"&gt;"&amp;1020))))))</f>
        <v/>
      </c>
      <c r="V35" s="82" t="str">
        <f aca="false">IF(OR(V$4="",MONTH(($G$2+9))&lt;&gt;MONTH($C$2)),"",IF(COUNTIFS(m_teacher,V$4,m_date,($G$2+9),m_active,1,m_start,"&lt;"&amp;1080,m_end,"&gt;"&amp;1020)=0,"",IF(COUNTIFS(m_teacher,V$4,m_date,($G$2+9),m_active,1,m_start,"&lt;"&amp;1080,m_end,"&gt;"&amp;1020)&gt;1,"충돌",HYPERLINK("#'관리자_MASTER'!D"&amp;_xlfn.MAXIFS(m_row,m_teacher,V$4,m_date,($G$2+9),m_active,1,m_start,"&lt;"&amp;1080,m_end,"&gt;"&amp;1020),INDEX(m_label,_xlfn.MAXIFS(m_row,m_teacher,V$4,m_date,($G$2+9),m_active,1,m_start,"&lt;"&amp;1080,m_end,"&gt;"&amp;1020))))))</f>
        <v/>
      </c>
      <c r="W35" s="82" t="str">
        <f aca="false">IF(OR(W$4="",MONTH(($G$2+9))&lt;&gt;MONTH($C$2)),"",IF(COUNTIFS(m_teacher,W$4,m_date,($G$2+9),m_active,1,m_start,"&lt;"&amp;1080,m_end,"&gt;"&amp;1020)=0,"",IF(COUNTIFS(m_teacher,W$4,m_date,($G$2+9),m_active,1,m_start,"&lt;"&amp;1080,m_end,"&gt;"&amp;1020)&gt;1,"충돌",HYPERLINK("#'관리자_MASTER'!D"&amp;_xlfn.MAXIFS(m_row,m_teacher,W$4,m_date,($G$2+9),m_active,1,m_start,"&lt;"&amp;1080,m_end,"&gt;"&amp;1020),INDEX(m_label,_xlfn.MAXIFS(m_row,m_teacher,W$4,m_date,($G$2+9),m_active,1,m_start,"&lt;"&amp;1080,m_end,"&gt;"&amp;1020))))))</f>
        <v/>
      </c>
      <c r="X35" s="82" t="str">
        <f aca="false">IF(OR(X$4="",MONTH(($G$2+9))&lt;&gt;MONTH($C$2)),"",IF(COUNTIFS(m_teacher,X$4,m_date,($G$2+9),m_active,1,m_start,"&lt;"&amp;1080,m_end,"&gt;"&amp;1020)=0,"",IF(COUNTIFS(m_teacher,X$4,m_date,($G$2+9),m_active,1,m_start,"&lt;"&amp;1080,m_end,"&gt;"&amp;1020)&gt;1,"충돌",HYPERLINK("#'관리자_MASTER'!D"&amp;_xlfn.MAXIFS(m_row,m_teacher,X$4,m_date,($G$2+9),m_active,1,m_start,"&lt;"&amp;1080,m_end,"&gt;"&amp;1020),INDEX(m_label,_xlfn.MAXIFS(m_row,m_teacher,X$4,m_date,($G$2+9),m_active,1,m_start,"&lt;"&amp;1080,m_end,"&gt;"&amp;1020))))))</f>
        <v/>
      </c>
      <c r="Y35" s="82" t="str">
        <f aca="false">IF(OR(Y$4="",MONTH(($G$2+9))&lt;&gt;MONTH($C$2)),"",IF(COUNTIFS(m_teacher,Y$4,m_date,($G$2+9),m_active,1,m_start,"&lt;"&amp;1080,m_end,"&gt;"&amp;1020)=0,"",IF(COUNTIFS(m_teacher,Y$4,m_date,($G$2+9),m_active,1,m_start,"&lt;"&amp;1080,m_end,"&gt;"&amp;1020)&gt;1,"충돌",HYPERLINK("#'관리자_MASTER'!D"&amp;_xlfn.MAXIFS(m_row,m_teacher,Y$4,m_date,($G$2+9),m_active,1,m_start,"&lt;"&amp;1080,m_end,"&gt;"&amp;1020),INDEX(m_label,_xlfn.MAXIFS(m_row,m_teacher,Y$4,m_date,($G$2+9),m_active,1,m_start,"&lt;"&amp;1080,m_end,"&gt;"&amp;1020))))))</f>
        <v/>
      </c>
      <c r="Z35" s="82" t="str">
        <f aca="false">IF(OR(Z$4="",MONTH(($G$2+9))&lt;&gt;MONTH($C$2)),"",IF(COUNTIFS(m_teacher,Z$4,m_date,($G$2+9),m_active,1,m_start,"&lt;"&amp;1080,m_end,"&gt;"&amp;1020)=0,"",IF(COUNTIFS(m_teacher,Z$4,m_date,($G$2+9),m_active,1,m_start,"&lt;"&amp;1080,m_end,"&gt;"&amp;1020)&gt;1,"충돌",HYPERLINK("#'관리자_MASTER'!D"&amp;_xlfn.MAXIFS(m_row,m_teacher,Z$4,m_date,($G$2+9),m_active,1,m_start,"&lt;"&amp;1080,m_end,"&gt;"&amp;1020),INDEX(m_label,_xlfn.MAXIFS(m_row,m_teacher,Z$4,m_date,($G$2+9),m_active,1,m_start,"&lt;"&amp;1080,m_end,"&gt;"&amp;1020))))))</f>
        <v/>
      </c>
      <c r="AA35" s="82" t="str">
        <f aca="false">IF(OR(AA$4="",MONTH(($G$2+9))&lt;&gt;MONTH($C$2)),"",IF(COUNTIFS(m_teacher,AA$4,m_date,($G$2+9),m_active,1,m_start,"&lt;"&amp;1080,m_end,"&gt;"&amp;1020)=0,"",IF(COUNTIFS(m_teacher,AA$4,m_date,($G$2+9),m_active,1,m_start,"&lt;"&amp;1080,m_end,"&gt;"&amp;1020)&gt;1,"충돌",HYPERLINK("#'관리자_MASTER'!D"&amp;_xlfn.MAXIFS(m_row,m_teacher,AA$4,m_date,($G$2+9),m_active,1,m_start,"&lt;"&amp;1080,m_end,"&gt;"&amp;1020),INDEX(m_label,_xlfn.MAXIFS(m_row,m_teacher,AA$4,m_date,($G$2+9),m_active,1,m_start,"&lt;"&amp;1080,m_end,"&gt;"&amp;1020))))))</f>
        <v/>
      </c>
      <c r="AB35" s="82" t="str">
        <f aca="false">IF(OR(AB$4="",MONTH(($G$2+9))&lt;&gt;MONTH($C$2)),"",IF(COUNTIFS(m_teacher,AB$4,m_date,($G$2+9),m_active,1,m_start,"&lt;"&amp;1080,m_end,"&gt;"&amp;1020)=0,"",IF(COUNTIFS(m_teacher,AB$4,m_date,($G$2+9),m_active,1,m_start,"&lt;"&amp;1080,m_end,"&gt;"&amp;1020)&gt;1,"충돌",HYPERLINK("#'관리자_MASTER'!D"&amp;_xlfn.MAXIFS(m_row,m_teacher,AB$4,m_date,($G$2+9),m_active,1,m_start,"&lt;"&amp;1080,m_end,"&gt;"&amp;1020),INDEX(m_label,_xlfn.MAXIFS(m_row,m_teacher,AB$4,m_date,($G$2+9),m_active,1,m_start,"&lt;"&amp;1080,m_end,"&gt;"&amp;1020))))))</f>
        <v/>
      </c>
      <c r="AC35" s="78"/>
      <c r="AD35" s="79" t="s">
        <v>99</v>
      </c>
      <c r="AE35" s="82" t="str">
        <f aca="false">IF(OR(AE$4="",MONTH(($G$2+16))&lt;&gt;MONTH($C$2)),"",IF(COUNTIFS(m_teacher,AE$4,m_date,($G$2+16),m_active,1,m_start,"&lt;"&amp;1080,m_end,"&gt;"&amp;1020)=0,"",IF(COUNTIFS(m_teacher,AE$4,m_date,($G$2+16),m_active,1,m_start,"&lt;"&amp;1080,m_end,"&gt;"&amp;1020)&gt;1,"충돌",HYPERLINK("#'관리자_MASTER'!D"&amp;_xlfn.MAXIFS(m_row,m_teacher,AE$4,m_date,($G$2+16),m_active,1,m_start,"&lt;"&amp;1080,m_end,"&gt;"&amp;1020),INDEX(m_label,_xlfn.MAXIFS(m_row,m_teacher,AE$4,m_date,($G$2+16),m_active,1,m_start,"&lt;"&amp;1080,m_end,"&gt;"&amp;1020))))))</f>
        <v/>
      </c>
      <c r="AF35" s="82" t="str">
        <f aca="false">IF(OR(AF$4="",MONTH(($G$2+16))&lt;&gt;MONTH($C$2)),"",IF(COUNTIFS(m_teacher,AF$4,m_date,($G$2+16),m_active,1,m_start,"&lt;"&amp;1080,m_end,"&gt;"&amp;1020)=0,"",IF(COUNTIFS(m_teacher,AF$4,m_date,($G$2+16),m_active,1,m_start,"&lt;"&amp;1080,m_end,"&gt;"&amp;1020)&gt;1,"충돌",HYPERLINK("#'관리자_MASTER'!D"&amp;_xlfn.MAXIFS(m_row,m_teacher,AF$4,m_date,($G$2+16),m_active,1,m_start,"&lt;"&amp;1080,m_end,"&gt;"&amp;1020),INDEX(m_label,_xlfn.MAXIFS(m_row,m_teacher,AF$4,m_date,($G$2+16),m_active,1,m_start,"&lt;"&amp;1080,m_end,"&gt;"&amp;1020))))))</f>
        <v/>
      </c>
      <c r="AG35" s="82" t="str">
        <f aca="false">IF(OR(AG$4="",MONTH(($G$2+16))&lt;&gt;MONTH($C$2)),"",IF(COUNTIFS(m_teacher,AG$4,m_date,($G$2+16),m_active,1,m_start,"&lt;"&amp;1080,m_end,"&gt;"&amp;1020)=0,"",IF(COUNTIFS(m_teacher,AG$4,m_date,($G$2+16),m_active,1,m_start,"&lt;"&amp;1080,m_end,"&gt;"&amp;1020)&gt;1,"충돌",HYPERLINK("#'관리자_MASTER'!D"&amp;_xlfn.MAXIFS(m_row,m_teacher,AG$4,m_date,($G$2+16),m_active,1,m_start,"&lt;"&amp;1080,m_end,"&gt;"&amp;1020),INDEX(m_label,_xlfn.MAXIFS(m_row,m_teacher,AG$4,m_date,($G$2+16),m_active,1,m_start,"&lt;"&amp;1080,m_end,"&gt;"&amp;1020))))))</f>
        <v/>
      </c>
      <c r="AH35" s="82" t="str">
        <f aca="false">IF(OR(AH$4="",MONTH(($G$2+16))&lt;&gt;MONTH($C$2)),"",IF(COUNTIFS(m_teacher,AH$4,m_date,($G$2+16),m_active,1,m_start,"&lt;"&amp;1080,m_end,"&gt;"&amp;1020)=0,"",IF(COUNTIFS(m_teacher,AH$4,m_date,($G$2+16),m_active,1,m_start,"&lt;"&amp;1080,m_end,"&gt;"&amp;1020)&gt;1,"충돌",HYPERLINK("#'관리자_MASTER'!D"&amp;_xlfn.MAXIFS(m_row,m_teacher,AH$4,m_date,($G$2+16),m_active,1,m_start,"&lt;"&amp;1080,m_end,"&gt;"&amp;1020),INDEX(m_label,_xlfn.MAXIFS(m_row,m_teacher,AH$4,m_date,($G$2+16),m_active,1,m_start,"&lt;"&amp;1080,m_end,"&gt;"&amp;1020))))))</f>
        <v/>
      </c>
      <c r="AI35" s="82" t="str">
        <f aca="false">IF(OR(AI$4="",MONTH(($G$2+16))&lt;&gt;MONTH($C$2)),"",IF(COUNTIFS(m_teacher,AI$4,m_date,($G$2+16),m_active,1,m_start,"&lt;"&amp;1080,m_end,"&gt;"&amp;1020)=0,"",IF(COUNTIFS(m_teacher,AI$4,m_date,($G$2+16),m_active,1,m_start,"&lt;"&amp;1080,m_end,"&gt;"&amp;1020)&gt;1,"충돌",HYPERLINK("#'관리자_MASTER'!D"&amp;_xlfn.MAXIFS(m_row,m_teacher,AI$4,m_date,($G$2+16),m_active,1,m_start,"&lt;"&amp;1080,m_end,"&gt;"&amp;1020),INDEX(m_label,_xlfn.MAXIFS(m_row,m_teacher,AI$4,m_date,($G$2+16),m_active,1,m_start,"&lt;"&amp;1080,m_end,"&gt;"&amp;1020))))))</f>
        <v/>
      </c>
      <c r="AJ35" s="82" t="str">
        <f aca="false">IF(OR(AJ$4="",MONTH(($G$2+16))&lt;&gt;MONTH($C$2)),"",IF(COUNTIFS(m_teacher,AJ$4,m_date,($G$2+16),m_active,1,m_start,"&lt;"&amp;1080,m_end,"&gt;"&amp;1020)=0,"",IF(COUNTIFS(m_teacher,AJ$4,m_date,($G$2+16),m_active,1,m_start,"&lt;"&amp;1080,m_end,"&gt;"&amp;1020)&gt;1,"충돌",HYPERLINK("#'관리자_MASTER'!D"&amp;_xlfn.MAXIFS(m_row,m_teacher,AJ$4,m_date,($G$2+16),m_active,1,m_start,"&lt;"&amp;1080,m_end,"&gt;"&amp;1020),INDEX(m_label,_xlfn.MAXIFS(m_row,m_teacher,AJ$4,m_date,($G$2+16),m_active,1,m_start,"&lt;"&amp;1080,m_end,"&gt;"&amp;1020))))))</f>
        <v/>
      </c>
      <c r="AK35" s="82" t="str">
        <f aca="false">IF(OR(AK$4="",MONTH(($G$2+16))&lt;&gt;MONTH($C$2)),"",IF(COUNTIFS(m_teacher,AK$4,m_date,($G$2+16),m_active,1,m_start,"&lt;"&amp;1080,m_end,"&gt;"&amp;1020)=0,"",IF(COUNTIFS(m_teacher,AK$4,m_date,($G$2+16),m_active,1,m_start,"&lt;"&amp;1080,m_end,"&gt;"&amp;1020)&gt;1,"충돌",HYPERLINK("#'관리자_MASTER'!D"&amp;_xlfn.MAXIFS(m_row,m_teacher,AK$4,m_date,($G$2+16),m_active,1,m_start,"&lt;"&amp;1080,m_end,"&gt;"&amp;1020),INDEX(m_label,_xlfn.MAXIFS(m_row,m_teacher,AK$4,m_date,($G$2+16),m_active,1,m_start,"&lt;"&amp;1080,m_end,"&gt;"&amp;1020))))))</f>
        <v/>
      </c>
      <c r="AL35" s="82" t="str">
        <f aca="false">IF(OR(AL$4="",MONTH(($G$2+16))&lt;&gt;MONTH($C$2)),"",IF(COUNTIFS(m_teacher,AL$4,m_date,($G$2+16),m_active,1,m_start,"&lt;"&amp;1080,m_end,"&gt;"&amp;1020)=0,"",IF(COUNTIFS(m_teacher,AL$4,m_date,($G$2+16),m_active,1,m_start,"&lt;"&amp;1080,m_end,"&gt;"&amp;1020)&gt;1,"충돌",HYPERLINK("#'관리자_MASTER'!D"&amp;_xlfn.MAXIFS(m_row,m_teacher,AL$4,m_date,($G$2+16),m_active,1,m_start,"&lt;"&amp;1080,m_end,"&gt;"&amp;1020),INDEX(m_label,_xlfn.MAXIFS(m_row,m_teacher,AL$4,m_date,($G$2+16),m_active,1,m_start,"&lt;"&amp;1080,m_end,"&gt;"&amp;1020))))))</f>
        <v/>
      </c>
      <c r="AM35" s="82" t="str">
        <f aca="false">IF(OR(AM$4="",MONTH(($G$2+16))&lt;&gt;MONTH($C$2)),"",IF(COUNTIFS(m_teacher,AM$4,m_date,($G$2+16),m_active,1,m_start,"&lt;"&amp;1080,m_end,"&gt;"&amp;1020)=0,"",IF(COUNTIFS(m_teacher,AM$4,m_date,($G$2+16),m_active,1,m_start,"&lt;"&amp;1080,m_end,"&gt;"&amp;1020)&gt;1,"충돌",HYPERLINK("#'관리자_MASTER'!D"&amp;_xlfn.MAXIFS(m_row,m_teacher,AM$4,m_date,($G$2+16),m_active,1,m_start,"&lt;"&amp;1080,m_end,"&gt;"&amp;1020),INDEX(m_label,_xlfn.MAXIFS(m_row,m_teacher,AM$4,m_date,($G$2+16),m_active,1,m_start,"&lt;"&amp;1080,m_end,"&gt;"&amp;1020))))))</f>
        <v/>
      </c>
      <c r="AN35" s="82" t="str">
        <f aca="false">IF(OR(AN$4="",MONTH(($G$2+16))&lt;&gt;MONTH($C$2)),"",IF(COUNTIFS(m_teacher,AN$4,m_date,($G$2+16),m_active,1,m_start,"&lt;"&amp;1080,m_end,"&gt;"&amp;1020)=0,"",IF(COUNTIFS(m_teacher,AN$4,m_date,($G$2+16),m_active,1,m_start,"&lt;"&amp;1080,m_end,"&gt;"&amp;1020)&gt;1,"충돌",HYPERLINK("#'관리자_MASTER'!D"&amp;_xlfn.MAXIFS(m_row,m_teacher,AN$4,m_date,($G$2+16),m_active,1,m_start,"&lt;"&amp;1080,m_end,"&gt;"&amp;1020),INDEX(m_label,_xlfn.MAXIFS(m_row,m_teacher,AN$4,m_date,($G$2+16),m_active,1,m_start,"&lt;"&amp;1080,m_end,"&gt;"&amp;1020))))))</f>
        <v/>
      </c>
      <c r="AO35" s="82" t="str">
        <f aca="false">IF(OR(AO$4="",MONTH(($G$2+16))&lt;&gt;MONTH($C$2)),"",IF(COUNTIFS(m_teacher,AO$4,m_date,($G$2+16),m_active,1,m_start,"&lt;"&amp;1080,m_end,"&gt;"&amp;1020)=0,"",IF(COUNTIFS(m_teacher,AO$4,m_date,($G$2+16),m_active,1,m_start,"&lt;"&amp;1080,m_end,"&gt;"&amp;1020)&gt;1,"충돌",HYPERLINK("#'관리자_MASTER'!D"&amp;_xlfn.MAXIFS(m_row,m_teacher,AO$4,m_date,($G$2+16),m_active,1,m_start,"&lt;"&amp;1080,m_end,"&gt;"&amp;1020),INDEX(m_label,_xlfn.MAXIFS(m_row,m_teacher,AO$4,m_date,($G$2+16),m_active,1,m_start,"&lt;"&amp;1080,m_end,"&gt;"&amp;1020))))))</f>
        <v/>
      </c>
      <c r="AP35" s="82" t="str">
        <f aca="false">IF(OR(AP$4="",MONTH(($G$2+16))&lt;&gt;MONTH($C$2)),"",IF(COUNTIFS(m_teacher,AP$4,m_date,($G$2+16),m_active,1,m_start,"&lt;"&amp;1080,m_end,"&gt;"&amp;1020)=0,"",IF(COUNTIFS(m_teacher,AP$4,m_date,($G$2+16),m_active,1,m_start,"&lt;"&amp;1080,m_end,"&gt;"&amp;1020)&gt;1,"충돌",HYPERLINK("#'관리자_MASTER'!D"&amp;_xlfn.MAXIFS(m_row,m_teacher,AP$4,m_date,($G$2+16),m_active,1,m_start,"&lt;"&amp;1080,m_end,"&gt;"&amp;1020),INDEX(m_label,_xlfn.MAXIFS(m_row,m_teacher,AP$4,m_date,($G$2+16),m_active,1,m_start,"&lt;"&amp;1080,m_end,"&gt;"&amp;1020))))))</f>
        <v/>
      </c>
      <c r="AQ35" s="78"/>
      <c r="AR35" s="79" t="s">
        <v>99</v>
      </c>
      <c r="AS35" s="82" t="str">
        <f aca="false">IF(OR(AS$4="",MONTH(($G$2+23))&lt;&gt;MONTH($C$2)),"",IF(COUNTIFS(m_teacher,AS$4,m_date,($G$2+23),m_active,1,m_start,"&lt;"&amp;1080,m_end,"&gt;"&amp;1020)=0,"",IF(COUNTIFS(m_teacher,AS$4,m_date,($G$2+23),m_active,1,m_start,"&lt;"&amp;1080,m_end,"&gt;"&amp;1020)&gt;1,"충돌",HYPERLINK("#'관리자_MASTER'!D"&amp;_xlfn.MAXIFS(m_row,m_teacher,AS$4,m_date,($G$2+23),m_active,1,m_start,"&lt;"&amp;1080,m_end,"&gt;"&amp;1020),INDEX(m_label,_xlfn.MAXIFS(m_row,m_teacher,AS$4,m_date,($G$2+23),m_active,1,m_start,"&lt;"&amp;1080,m_end,"&gt;"&amp;1020))))))</f>
        <v/>
      </c>
      <c r="AT35" s="82" t="str">
        <f aca="false">IF(OR(AT$4="",MONTH(($G$2+23))&lt;&gt;MONTH($C$2)),"",IF(COUNTIFS(m_teacher,AT$4,m_date,($G$2+23),m_active,1,m_start,"&lt;"&amp;1080,m_end,"&gt;"&amp;1020)=0,"",IF(COUNTIFS(m_teacher,AT$4,m_date,($G$2+23),m_active,1,m_start,"&lt;"&amp;1080,m_end,"&gt;"&amp;1020)&gt;1,"충돌",HYPERLINK("#'관리자_MASTER'!D"&amp;_xlfn.MAXIFS(m_row,m_teacher,AT$4,m_date,($G$2+23),m_active,1,m_start,"&lt;"&amp;1080,m_end,"&gt;"&amp;1020),INDEX(m_label,_xlfn.MAXIFS(m_row,m_teacher,AT$4,m_date,($G$2+23),m_active,1,m_start,"&lt;"&amp;1080,m_end,"&gt;"&amp;1020))))))</f>
        <v/>
      </c>
      <c r="AU35" s="82" t="str">
        <f aca="false">IF(OR(AU$4="",MONTH(($G$2+23))&lt;&gt;MONTH($C$2)),"",IF(COUNTIFS(m_teacher,AU$4,m_date,($G$2+23),m_active,1,m_start,"&lt;"&amp;1080,m_end,"&gt;"&amp;1020)=0,"",IF(COUNTIFS(m_teacher,AU$4,m_date,($G$2+23),m_active,1,m_start,"&lt;"&amp;1080,m_end,"&gt;"&amp;1020)&gt;1,"충돌",HYPERLINK("#'관리자_MASTER'!D"&amp;_xlfn.MAXIFS(m_row,m_teacher,AU$4,m_date,($G$2+23),m_active,1,m_start,"&lt;"&amp;1080,m_end,"&gt;"&amp;1020),INDEX(m_label,_xlfn.MAXIFS(m_row,m_teacher,AU$4,m_date,($G$2+23),m_active,1,m_start,"&lt;"&amp;1080,m_end,"&gt;"&amp;1020))))))</f>
        <v/>
      </c>
      <c r="AV35" s="82" t="str">
        <f aca="false">IF(OR(AV$4="",MONTH(($G$2+23))&lt;&gt;MONTH($C$2)),"",IF(COUNTIFS(m_teacher,AV$4,m_date,($G$2+23),m_active,1,m_start,"&lt;"&amp;1080,m_end,"&gt;"&amp;1020)=0,"",IF(COUNTIFS(m_teacher,AV$4,m_date,($G$2+23),m_active,1,m_start,"&lt;"&amp;1080,m_end,"&gt;"&amp;1020)&gt;1,"충돌",HYPERLINK("#'관리자_MASTER'!D"&amp;_xlfn.MAXIFS(m_row,m_teacher,AV$4,m_date,($G$2+23),m_active,1,m_start,"&lt;"&amp;1080,m_end,"&gt;"&amp;1020),INDEX(m_label,_xlfn.MAXIFS(m_row,m_teacher,AV$4,m_date,($G$2+23),m_active,1,m_start,"&lt;"&amp;1080,m_end,"&gt;"&amp;1020))))))</f>
        <v/>
      </c>
      <c r="AW35" s="82" t="str">
        <f aca="false">IF(OR(AW$4="",MONTH(($G$2+23))&lt;&gt;MONTH($C$2)),"",IF(COUNTIFS(m_teacher,AW$4,m_date,($G$2+23),m_active,1,m_start,"&lt;"&amp;1080,m_end,"&gt;"&amp;1020)=0,"",IF(COUNTIFS(m_teacher,AW$4,m_date,($G$2+23),m_active,1,m_start,"&lt;"&amp;1080,m_end,"&gt;"&amp;1020)&gt;1,"충돌",HYPERLINK("#'관리자_MASTER'!D"&amp;_xlfn.MAXIFS(m_row,m_teacher,AW$4,m_date,($G$2+23),m_active,1,m_start,"&lt;"&amp;1080,m_end,"&gt;"&amp;1020),INDEX(m_label,_xlfn.MAXIFS(m_row,m_teacher,AW$4,m_date,($G$2+23),m_active,1,m_start,"&lt;"&amp;1080,m_end,"&gt;"&amp;1020))))))</f>
        <v/>
      </c>
      <c r="AX35" s="82" t="str">
        <f aca="false">IF(OR(AX$4="",MONTH(($G$2+23))&lt;&gt;MONTH($C$2)),"",IF(COUNTIFS(m_teacher,AX$4,m_date,($G$2+23),m_active,1,m_start,"&lt;"&amp;1080,m_end,"&gt;"&amp;1020)=0,"",IF(COUNTIFS(m_teacher,AX$4,m_date,($G$2+23),m_active,1,m_start,"&lt;"&amp;1080,m_end,"&gt;"&amp;1020)&gt;1,"충돌",HYPERLINK("#'관리자_MASTER'!D"&amp;_xlfn.MAXIFS(m_row,m_teacher,AX$4,m_date,($G$2+23),m_active,1,m_start,"&lt;"&amp;1080,m_end,"&gt;"&amp;1020),INDEX(m_label,_xlfn.MAXIFS(m_row,m_teacher,AX$4,m_date,($G$2+23),m_active,1,m_start,"&lt;"&amp;1080,m_end,"&gt;"&amp;1020))))))</f>
        <v/>
      </c>
      <c r="AY35" s="82" t="str">
        <f aca="false">IF(OR(AY$4="",MONTH(($G$2+23))&lt;&gt;MONTH($C$2)),"",IF(COUNTIFS(m_teacher,AY$4,m_date,($G$2+23),m_active,1,m_start,"&lt;"&amp;1080,m_end,"&gt;"&amp;1020)=0,"",IF(COUNTIFS(m_teacher,AY$4,m_date,($G$2+23),m_active,1,m_start,"&lt;"&amp;1080,m_end,"&gt;"&amp;1020)&gt;1,"충돌",HYPERLINK("#'관리자_MASTER'!D"&amp;_xlfn.MAXIFS(m_row,m_teacher,AY$4,m_date,($G$2+23),m_active,1,m_start,"&lt;"&amp;1080,m_end,"&gt;"&amp;1020),INDEX(m_label,_xlfn.MAXIFS(m_row,m_teacher,AY$4,m_date,($G$2+23),m_active,1,m_start,"&lt;"&amp;1080,m_end,"&gt;"&amp;1020))))))</f>
        <v/>
      </c>
      <c r="AZ35" s="82" t="str">
        <f aca="false">IF(OR(AZ$4="",MONTH(($G$2+23))&lt;&gt;MONTH($C$2)),"",IF(COUNTIFS(m_teacher,AZ$4,m_date,($G$2+23),m_active,1,m_start,"&lt;"&amp;1080,m_end,"&gt;"&amp;1020)=0,"",IF(COUNTIFS(m_teacher,AZ$4,m_date,($G$2+23),m_active,1,m_start,"&lt;"&amp;1080,m_end,"&gt;"&amp;1020)&gt;1,"충돌",HYPERLINK("#'관리자_MASTER'!D"&amp;_xlfn.MAXIFS(m_row,m_teacher,AZ$4,m_date,($G$2+23),m_active,1,m_start,"&lt;"&amp;1080,m_end,"&gt;"&amp;1020),INDEX(m_label,_xlfn.MAXIFS(m_row,m_teacher,AZ$4,m_date,($G$2+23),m_active,1,m_start,"&lt;"&amp;1080,m_end,"&gt;"&amp;1020))))))</f>
        <v/>
      </c>
      <c r="BA35" s="82" t="str">
        <f aca="false">IF(OR(BA$4="",MONTH(($G$2+23))&lt;&gt;MONTH($C$2)),"",IF(COUNTIFS(m_teacher,BA$4,m_date,($G$2+23),m_active,1,m_start,"&lt;"&amp;1080,m_end,"&gt;"&amp;1020)=0,"",IF(COUNTIFS(m_teacher,BA$4,m_date,($G$2+23),m_active,1,m_start,"&lt;"&amp;1080,m_end,"&gt;"&amp;1020)&gt;1,"충돌",HYPERLINK("#'관리자_MASTER'!D"&amp;_xlfn.MAXIFS(m_row,m_teacher,BA$4,m_date,($G$2+23),m_active,1,m_start,"&lt;"&amp;1080,m_end,"&gt;"&amp;1020),INDEX(m_label,_xlfn.MAXIFS(m_row,m_teacher,BA$4,m_date,($G$2+23),m_active,1,m_start,"&lt;"&amp;1080,m_end,"&gt;"&amp;1020))))))</f>
        <v/>
      </c>
      <c r="BB35" s="82" t="str">
        <f aca="false">IF(OR(BB$4="",MONTH(($G$2+23))&lt;&gt;MONTH($C$2)),"",IF(COUNTIFS(m_teacher,BB$4,m_date,($G$2+23),m_active,1,m_start,"&lt;"&amp;1080,m_end,"&gt;"&amp;1020)=0,"",IF(COUNTIFS(m_teacher,BB$4,m_date,($G$2+23),m_active,1,m_start,"&lt;"&amp;1080,m_end,"&gt;"&amp;1020)&gt;1,"충돌",HYPERLINK("#'관리자_MASTER'!D"&amp;_xlfn.MAXIFS(m_row,m_teacher,BB$4,m_date,($G$2+23),m_active,1,m_start,"&lt;"&amp;1080,m_end,"&gt;"&amp;1020),INDEX(m_label,_xlfn.MAXIFS(m_row,m_teacher,BB$4,m_date,($G$2+23),m_active,1,m_start,"&lt;"&amp;1080,m_end,"&gt;"&amp;1020))))))</f>
        <v/>
      </c>
      <c r="BC35" s="82" t="str">
        <f aca="false">IF(OR(BC$4="",MONTH(($G$2+23))&lt;&gt;MONTH($C$2)),"",IF(COUNTIFS(m_teacher,BC$4,m_date,($G$2+23),m_active,1,m_start,"&lt;"&amp;1080,m_end,"&gt;"&amp;1020)=0,"",IF(COUNTIFS(m_teacher,BC$4,m_date,($G$2+23),m_active,1,m_start,"&lt;"&amp;1080,m_end,"&gt;"&amp;1020)&gt;1,"충돌",HYPERLINK("#'관리자_MASTER'!D"&amp;_xlfn.MAXIFS(m_row,m_teacher,BC$4,m_date,($G$2+23),m_active,1,m_start,"&lt;"&amp;1080,m_end,"&gt;"&amp;1020),INDEX(m_label,_xlfn.MAXIFS(m_row,m_teacher,BC$4,m_date,($G$2+23),m_active,1,m_start,"&lt;"&amp;1080,m_end,"&gt;"&amp;1020))))))</f>
        <v/>
      </c>
      <c r="BD35" s="82" t="str">
        <f aca="false">IF(OR(BD$4="",MONTH(($G$2+23))&lt;&gt;MONTH($C$2)),"",IF(COUNTIFS(m_teacher,BD$4,m_date,($G$2+23),m_active,1,m_start,"&lt;"&amp;1080,m_end,"&gt;"&amp;1020)=0,"",IF(COUNTIFS(m_teacher,BD$4,m_date,($G$2+23),m_active,1,m_start,"&lt;"&amp;1080,m_end,"&gt;"&amp;1020)&gt;1,"충돌",HYPERLINK("#'관리자_MASTER'!D"&amp;_xlfn.MAXIFS(m_row,m_teacher,BD$4,m_date,($G$2+23),m_active,1,m_start,"&lt;"&amp;1080,m_end,"&gt;"&amp;1020),INDEX(m_label,_xlfn.MAXIFS(m_row,m_teacher,BD$4,m_date,($G$2+23),m_active,1,m_start,"&lt;"&amp;1080,m_end,"&gt;"&amp;1020))))))</f>
        <v/>
      </c>
      <c r="BE35" s="78"/>
      <c r="BF35" s="79" t="s">
        <v>99</v>
      </c>
      <c r="BG35" s="82" t="str">
        <f aca="false">IF(OR(BG$4="",MONTH(($G$2+30))&lt;&gt;MONTH($C$2)),"",IF(COUNTIFS(m_teacher,BG$4,m_date,($G$2+30),m_active,1,m_start,"&lt;"&amp;1080,m_end,"&gt;"&amp;1020)=0,"",IF(COUNTIFS(m_teacher,BG$4,m_date,($G$2+30),m_active,1,m_start,"&lt;"&amp;1080,m_end,"&gt;"&amp;1020)&gt;1,"충돌",HYPERLINK("#'관리자_MASTER'!D"&amp;_xlfn.MAXIFS(m_row,m_teacher,BG$4,m_date,($G$2+30),m_active,1,m_start,"&lt;"&amp;1080,m_end,"&gt;"&amp;1020),INDEX(m_label,_xlfn.MAXIFS(m_row,m_teacher,BG$4,m_date,($G$2+30),m_active,1,m_start,"&lt;"&amp;1080,m_end,"&gt;"&amp;1020))))))</f>
        <v/>
      </c>
      <c r="BH35" s="82" t="str">
        <f aca="false">IF(OR(BH$4="",MONTH(($G$2+30))&lt;&gt;MONTH($C$2)),"",IF(COUNTIFS(m_teacher,BH$4,m_date,($G$2+30),m_active,1,m_start,"&lt;"&amp;1080,m_end,"&gt;"&amp;1020)=0,"",IF(COUNTIFS(m_teacher,BH$4,m_date,($G$2+30),m_active,1,m_start,"&lt;"&amp;1080,m_end,"&gt;"&amp;1020)&gt;1,"충돌",HYPERLINK("#'관리자_MASTER'!D"&amp;_xlfn.MAXIFS(m_row,m_teacher,BH$4,m_date,($G$2+30),m_active,1,m_start,"&lt;"&amp;1080,m_end,"&gt;"&amp;1020),INDEX(m_label,_xlfn.MAXIFS(m_row,m_teacher,BH$4,m_date,($G$2+30),m_active,1,m_start,"&lt;"&amp;1080,m_end,"&gt;"&amp;1020))))))</f>
        <v/>
      </c>
      <c r="BI35" s="82" t="str">
        <f aca="false">IF(OR(BI$4="",MONTH(($G$2+30))&lt;&gt;MONTH($C$2)),"",IF(COUNTIFS(m_teacher,BI$4,m_date,($G$2+30),m_active,1,m_start,"&lt;"&amp;1080,m_end,"&gt;"&amp;1020)=0,"",IF(COUNTIFS(m_teacher,BI$4,m_date,($G$2+30),m_active,1,m_start,"&lt;"&amp;1080,m_end,"&gt;"&amp;1020)&gt;1,"충돌",HYPERLINK("#'관리자_MASTER'!D"&amp;_xlfn.MAXIFS(m_row,m_teacher,BI$4,m_date,($G$2+30),m_active,1,m_start,"&lt;"&amp;1080,m_end,"&gt;"&amp;1020),INDEX(m_label,_xlfn.MAXIFS(m_row,m_teacher,BI$4,m_date,($G$2+30),m_active,1,m_start,"&lt;"&amp;1080,m_end,"&gt;"&amp;1020))))))</f>
        <v/>
      </c>
      <c r="BJ35" s="82" t="str">
        <f aca="false">IF(OR(BJ$4="",MONTH(($G$2+30))&lt;&gt;MONTH($C$2)),"",IF(COUNTIFS(m_teacher,BJ$4,m_date,($G$2+30),m_active,1,m_start,"&lt;"&amp;1080,m_end,"&gt;"&amp;1020)=0,"",IF(COUNTIFS(m_teacher,BJ$4,m_date,($G$2+30),m_active,1,m_start,"&lt;"&amp;1080,m_end,"&gt;"&amp;1020)&gt;1,"충돌",HYPERLINK("#'관리자_MASTER'!D"&amp;_xlfn.MAXIFS(m_row,m_teacher,BJ$4,m_date,($G$2+30),m_active,1,m_start,"&lt;"&amp;1080,m_end,"&gt;"&amp;1020),INDEX(m_label,_xlfn.MAXIFS(m_row,m_teacher,BJ$4,m_date,($G$2+30),m_active,1,m_start,"&lt;"&amp;1080,m_end,"&gt;"&amp;1020))))))</f>
        <v/>
      </c>
      <c r="BK35" s="82" t="str">
        <f aca="false">IF(OR(BK$4="",MONTH(($G$2+30))&lt;&gt;MONTH($C$2)),"",IF(COUNTIFS(m_teacher,BK$4,m_date,($G$2+30),m_active,1,m_start,"&lt;"&amp;1080,m_end,"&gt;"&amp;1020)=0,"",IF(COUNTIFS(m_teacher,BK$4,m_date,($G$2+30),m_active,1,m_start,"&lt;"&amp;1080,m_end,"&gt;"&amp;1020)&gt;1,"충돌",HYPERLINK("#'관리자_MASTER'!D"&amp;_xlfn.MAXIFS(m_row,m_teacher,BK$4,m_date,($G$2+30),m_active,1,m_start,"&lt;"&amp;1080,m_end,"&gt;"&amp;1020),INDEX(m_label,_xlfn.MAXIFS(m_row,m_teacher,BK$4,m_date,($G$2+30),m_active,1,m_start,"&lt;"&amp;1080,m_end,"&gt;"&amp;1020))))))</f>
        <v/>
      </c>
      <c r="BL35" s="82" t="str">
        <f aca="false">IF(OR(BL$4="",MONTH(($G$2+30))&lt;&gt;MONTH($C$2)),"",IF(COUNTIFS(m_teacher,BL$4,m_date,($G$2+30),m_active,1,m_start,"&lt;"&amp;1080,m_end,"&gt;"&amp;1020)=0,"",IF(COUNTIFS(m_teacher,BL$4,m_date,($G$2+30),m_active,1,m_start,"&lt;"&amp;1080,m_end,"&gt;"&amp;1020)&gt;1,"충돌",HYPERLINK("#'관리자_MASTER'!D"&amp;_xlfn.MAXIFS(m_row,m_teacher,BL$4,m_date,($G$2+30),m_active,1,m_start,"&lt;"&amp;1080,m_end,"&gt;"&amp;1020),INDEX(m_label,_xlfn.MAXIFS(m_row,m_teacher,BL$4,m_date,($G$2+30),m_active,1,m_start,"&lt;"&amp;1080,m_end,"&gt;"&amp;1020))))))</f>
        <v/>
      </c>
      <c r="BM35" s="82" t="str">
        <f aca="false">IF(OR(BM$4="",MONTH(($G$2+30))&lt;&gt;MONTH($C$2)),"",IF(COUNTIFS(m_teacher,BM$4,m_date,($G$2+30),m_active,1,m_start,"&lt;"&amp;1080,m_end,"&gt;"&amp;1020)=0,"",IF(COUNTIFS(m_teacher,BM$4,m_date,($G$2+30),m_active,1,m_start,"&lt;"&amp;1080,m_end,"&gt;"&amp;1020)&gt;1,"충돌",HYPERLINK("#'관리자_MASTER'!D"&amp;_xlfn.MAXIFS(m_row,m_teacher,BM$4,m_date,($G$2+30),m_active,1,m_start,"&lt;"&amp;1080,m_end,"&gt;"&amp;1020),INDEX(m_label,_xlfn.MAXIFS(m_row,m_teacher,BM$4,m_date,($G$2+30),m_active,1,m_start,"&lt;"&amp;1080,m_end,"&gt;"&amp;1020))))))</f>
        <v/>
      </c>
      <c r="BN35" s="82" t="str">
        <f aca="false">IF(OR(BN$4="",MONTH(($G$2+30))&lt;&gt;MONTH($C$2)),"",IF(COUNTIFS(m_teacher,BN$4,m_date,($G$2+30),m_active,1,m_start,"&lt;"&amp;1080,m_end,"&gt;"&amp;1020)=0,"",IF(COUNTIFS(m_teacher,BN$4,m_date,($G$2+30),m_active,1,m_start,"&lt;"&amp;1080,m_end,"&gt;"&amp;1020)&gt;1,"충돌",HYPERLINK("#'관리자_MASTER'!D"&amp;_xlfn.MAXIFS(m_row,m_teacher,BN$4,m_date,($G$2+30),m_active,1,m_start,"&lt;"&amp;1080,m_end,"&gt;"&amp;1020),INDEX(m_label,_xlfn.MAXIFS(m_row,m_teacher,BN$4,m_date,($G$2+30),m_active,1,m_start,"&lt;"&amp;1080,m_end,"&gt;"&amp;1020))))))</f>
        <v/>
      </c>
      <c r="BO35" s="82" t="str">
        <f aca="false">IF(OR(BO$4="",MONTH(($G$2+30))&lt;&gt;MONTH($C$2)),"",IF(COUNTIFS(m_teacher,BO$4,m_date,($G$2+30),m_active,1,m_start,"&lt;"&amp;1080,m_end,"&gt;"&amp;1020)=0,"",IF(COUNTIFS(m_teacher,BO$4,m_date,($G$2+30),m_active,1,m_start,"&lt;"&amp;1080,m_end,"&gt;"&amp;1020)&gt;1,"충돌",HYPERLINK("#'관리자_MASTER'!D"&amp;_xlfn.MAXIFS(m_row,m_teacher,BO$4,m_date,($G$2+30),m_active,1,m_start,"&lt;"&amp;1080,m_end,"&gt;"&amp;1020),INDEX(m_label,_xlfn.MAXIFS(m_row,m_teacher,BO$4,m_date,($G$2+30),m_active,1,m_start,"&lt;"&amp;1080,m_end,"&gt;"&amp;1020))))))</f>
        <v/>
      </c>
      <c r="BP35" s="82" t="str">
        <f aca="false">IF(OR(BP$4="",MONTH(($G$2+30))&lt;&gt;MONTH($C$2)),"",IF(COUNTIFS(m_teacher,BP$4,m_date,($G$2+30),m_active,1,m_start,"&lt;"&amp;1080,m_end,"&gt;"&amp;1020)=0,"",IF(COUNTIFS(m_teacher,BP$4,m_date,($G$2+30),m_active,1,m_start,"&lt;"&amp;1080,m_end,"&gt;"&amp;1020)&gt;1,"충돌",HYPERLINK("#'관리자_MASTER'!D"&amp;_xlfn.MAXIFS(m_row,m_teacher,BP$4,m_date,($G$2+30),m_active,1,m_start,"&lt;"&amp;1080,m_end,"&gt;"&amp;1020),INDEX(m_label,_xlfn.MAXIFS(m_row,m_teacher,BP$4,m_date,($G$2+30),m_active,1,m_start,"&lt;"&amp;1080,m_end,"&gt;"&amp;1020))))))</f>
        <v/>
      </c>
      <c r="BQ35" s="82" t="str">
        <f aca="false">IF(OR(BQ$4="",MONTH(($G$2+30))&lt;&gt;MONTH($C$2)),"",IF(COUNTIFS(m_teacher,BQ$4,m_date,($G$2+30),m_active,1,m_start,"&lt;"&amp;1080,m_end,"&gt;"&amp;1020)=0,"",IF(COUNTIFS(m_teacher,BQ$4,m_date,($G$2+30),m_active,1,m_start,"&lt;"&amp;1080,m_end,"&gt;"&amp;1020)&gt;1,"충돌",HYPERLINK("#'관리자_MASTER'!D"&amp;_xlfn.MAXIFS(m_row,m_teacher,BQ$4,m_date,($G$2+30),m_active,1,m_start,"&lt;"&amp;1080,m_end,"&gt;"&amp;1020),INDEX(m_label,_xlfn.MAXIFS(m_row,m_teacher,BQ$4,m_date,($G$2+30),m_active,1,m_start,"&lt;"&amp;1080,m_end,"&gt;"&amp;1020))))))</f>
        <v/>
      </c>
      <c r="BR35" s="82" t="str">
        <f aca="false">IF(OR(BR$4="",MONTH(($G$2+30))&lt;&gt;MONTH($C$2)),"",IF(COUNTIFS(m_teacher,BR$4,m_date,($G$2+30),m_active,1,m_start,"&lt;"&amp;1080,m_end,"&gt;"&amp;1020)=0,"",IF(COUNTIFS(m_teacher,BR$4,m_date,($G$2+30),m_active,1,m_start,"&lt;"&amp;1080,m_end,"&gt;"&amp;1020)&gt;1,"충돌",HYPERLINK("#'관리자_MASTER'!D"&amp;_xlfn.MAXIFS(m_row,m_teacher,BR$4,m_date,($G$2+30),m_active,1,m_start,"&lt;"&amp;1080,m_end,"&gt;"&amp;1020),INDEX(m_label,_xlfn.MAXIFS(m_row,m_teacher,BR$4,m_date,($G$2+30),m_active,1,m_start,"&lt;"&amp;1080,m_end,"&gt;"&amp;1020))))))</f>
        <v/>
      </c>
    </row>
    <row r="36" customFormat="false" ht="19.5" hidden="false" customHeight="true" outlineLevel="0" collapsed="false">
      <c r="A36" s="75"/>
      <c r="B36" s="76" t="s">
        <v>100</v>
      </c>
      <c r="C36" s="81" t="str">
        <f aca="false">IF(OR(C$4="",MONTH(($G$2+2))&lt;&gt;MONTH($C$2)),"",IF(COUNTIFS(m_teacher,C$4,m_date,($G$2+2),m_active,1,m_start,"&lt;"&amp;1140,m_end,"&gt;"&amp;1080)=0,"",IF(COUNTIFS(m_teacher,C$4,m_date,($G$2+2),m_active,1,m_start,"&lt;"&amp;1140,m_end,"&gt;"&amp;1080)&gt;1,"충돌",HYPERLINK("#'관리자_MASTER'!D"&amp;_xlfn.MAXIFS(m_row,m_teacher,C$4,m_date,($G$2+2),m_active,1,m_start,"&lt;"&amp;1140,m_end,"&gt;"&amp;1080),INDEX(m_label,_xlfn.MAXIFS(m_row,m_teacher,C$4,m_date,($G$2+2),m_active,1,m_start,"&lt;"&amp;1140,m_end,"&gt;"&amp;1080))))))</f>
        <v/>
      </c>
      <c r="D36" s="81" t="str">
        <f aca="false">IF(OR(D$4="",MONTH(($G$2+2))&lt;&gt;MONTH($C$2)),"",IF(COUNTIFS(m_teacher,D$4,m_date,($G$2+2),m_active,1,m_start,"&lt;"&amp;1140,m_end,"&gt;"&amp;1080)=0,"",IF(COUNTIFS(m_teacher,D$4,m_date,($G$2+2),m_active,1,m_start,"&lt;"&amp;1140,m_end,"&gt;"&amp;1080)&gt;1,"충돌",HYPERLINK("#'관리자_MASTER'!D"&amp;_xlfn.MAXIFS(m_row,m_teacher,D$4,m_date,($G$2+2),m_active,1,m_start,"&lt;"&amp;1140,m_end,"&gt;"&amp;1080),INDEX(m_label,_xlfn.MAXIFS(m_row,m_teacher,D$4,m_date,($G$2+2),m_active,1,m_start,"&lt;"&amp;1140,m_end,"&gt;"&amp;1080))))))</f>
        <v/>
      </c>
      <c r="E36" s="81" t="str">
        <f aca="false">IF(OR(E$4="",MONTH(($G$2+2))&lt;&gt;MONTH($C$2)),"",IF(COUNTIFS(m_teacher,E$4,m_date,($G$2+2),m_active,1,m_start,"&lt;"&amp;1140,m_end,"&gt;"&amp;1080)=0,"",IF(COUNTIFS(m_teacher,E$4,m_date,($G$2+2),m_active,1,m_start,"&lt;"&amp;1140,m_end,"&gt;"&amp;1080)&gt;1,"충돌",HYPERLINK("#'관리자_MASTER'!D"&amp;_xlfn.MAXIFS(m_row,m_teacher,E$4,m_date,($G$2+2),m_active,1,m_start,"&lt;"&amp;1140,m_end,"&gt;"&amp;1080),INDEX(m_label,_xlfn.MAXIFS(m_row,m_teacher,E$4,m_date,($G$2+2),m_active,1,m_start,"&lt;"&amp;1140,m_end,"&gt;"&amp;1080))))))</f>
        <v/>
      </c>
      <c r="F36" s="81" t="str">
        <f aca="false">IF(OR(F$4="",MONTH(($G$2+2))&lt;&gt;MONTH($C$2)),"",IF(COUNTIFS(m_teacher,F$4,m_date,($G$2+2),m_active,1,m_start,"&lt;"&amp;1140,m_end,"&gt;"&amp;1080)=0,"",IF(COUNTIFS(m_teacher,F$4,m_date,($G$2+2),m_active,1,m_start,"&lt;"&amp;1140,m_end,"&gt;"&amp;1080)&gt;1,"충돌",HYPERLINK("#'관리자_MASTER'!D"&amp;_xlfn.MAXIFS(m_row,m_teacher,F$4,m_date,($G$2+2),m_active,1,m_start,"&lt;"&amp;1140,m_end,"&gt;"&amp;1080),INDEX(m_label,_xlfn.MAXIFS(m_row,m_teacher,F$4,m_date,($G$2+2),m_active,1,m_start,"&lt;"&amp;1140,m_end,"&gt;"&amp;1080))))))</f>
        <v/>
      </c>
      <c r="G36" s="81" t="str">
        <f aca="false">IF(OR(G$4="",MONTH(($G$2+2))&lt;&gt;MONTH($C$2)),"",IF(COUNTIFS(m_teacher,G$4,m_date,($G$2+2),m_active,1,m_start,"&lt;"&amp;1140,m_end,"&gt;"&amp;1080)=0,"",IF(COUNTIFS(m_teacher,G$4,m_date,($G$2+2),m_active,1,m_start,"&lt;"&amp;1140,m_end,"&gt;"&amp;1080)&gt;1,"충돌",HYPERLINK("#'관리자_MASTER'!D"&amp;_xlfn.MAXIFS(m_row,m_teacher,G$4,m_date,($G$2+2),m_active,1,m_start,"&lt;"&amp;1140,m_end,"&gt;"&amp;1080),INDEX(m_label,_xlfn.MAXIFS(m_row,m_teacher,G$4,m_date,($G$2+2),m_active,1,m_start,"&lt;"&amp;1140,m_end,"&gt;"&amp;1080))))))</f>
        <v/>
      </c>
      <c r="H36" s="81" t="str">
        <f aca="false">IF(OR(H$4="",MONTH(($G$2+2))&lt;&gt;MONTH($C$2)),"",IF(COUNTIFS(m_teacher,H$4,m_date,($G$2+2),m_active,1,m_start,"&lt;"&amp;1140,m_end,"&gt;"&amp;1080)=0,"",IF(COUNTIFS(m_teacher,H$4,m_date,($G$2+2),m_active,1,m_start,"&lt;"&amp;1140,m_end,"&gt;"&amp;1080)&gt;1,"충돌",HYPERLINK("#'관리자_MASTER'!D"&amp;_xlfn.MAXIFS(m_row,m_teacher,H$4,m_date,($G$2+2),m_active,1,m_start,"&lt;"&amp;1140,m_end,"&gt;"&amp;1080),INDEX(m_label,_xlfn.MAXIFS(m_row,m_teacher,H$4,m_date,($G$2+2),m_active,1,m_start,"&lt;"&amp;1140,m_end,"&gt;"&amp;1080))))))</f>
        <v/>
      </c>
      <c r="I36" s="81" t="str">
        <f aca="false">IF(OR(I$4="",MONTH(($G$2+2))&lt;&gt;MONTH($C$2)),"",IF(COUNTIFS(m_teacher,I$4,m_date,($G$2+2),m_active,1,m_start,"&lt;"&amp;1140,m_end,"&gt;"&amp;1080)=0,"",IF(COUNTIFS(m_teacher,I$4,m_date,($G$2+2),m_active,1,m_start,"&lt;"&amp;1140,m_end,"&gt;"&amp;1080)&gt;1,"충돌",HYPERLINK("#'관리자_MASTER'!D"&amp;_xlfn.MAXIFS(m_row,m_teacher,I$4,m_date,($G$2+2),m_active,1,m_start,"&lt;"&amp;1140,m_end,"&gt;"&amp;1080),INDEX(m_label,_xlfn.MAXIFS(m_row,m_teacher,I$4,m_date,($G$2+2),m_active,1,m_start,"&lt;"&amp;1140,m_end,"&gt;"&amp;1080))))))</f>
        <v/>
      </c>
      <c r="J36" s="81" t="str">
        <f aca="false">IF(OR(J$4="",MONTH(($G$2+2))&lt;&gt;MONTH($C$2)),"",IF(COUNTIFS(m_teacher,J$4,m_date,($G$2+2),m_active,1,m_start,"&lt;"&amp;1140,m_end,"&gt;"&amp;1080)=0,"",IF(COUNTIFS(m_teacher,J$4,m_date,($G$2+2),m_active,1,m_start,"&lt;"&amp;1140,m_end,"&gt;"&amp;1080)&gt;1,"충돌",HYPERLINK("#'관리자_MASTER'!D"&amp;_xlfn.MAXIFS(m_row,m_teacher,J$4,m_date,($G$2+2),m_active,1,m_start,"&lt;"&amp;1140,m_end,"&gt;"&amp;1080),INDEX(m_label,_xlfn.MAXIFS(m_row,m_teacher,J$4,m_date,($G$2+2),m_active,1,m_start,"&lt;"&amp;1140,m_end,"&gt;"&amp;1080))))))</f>
        <v/>
      </c>
      <c r="K36" s="81" t="str">
        <f aca="false">IF(OR(K$4="",MONTH(($G$2+2))&lt;&gt;MONTH($C$2)),"",IF(COUNTIFS(m_teacher,K$4,m_date,($G$2+2),m_active,1,m_start,"&lt;"&amp;1140,m_end,"&gt;"&amp;1080)=0,"",IF(COUNTIFS(m_teacher,K$4,m_date,($G$2+2),m_active,1,m_start,"&lt;"&amp;1140,m_end,"&gt;"&amp;1080)&gt;1,"충돌",HYPERLINK("#'관리자_MASTER'!D"&amp;_xlfn.MAXIFS(m_row,m_teacher,K$4,m_date,($G$2+2),m_active,1,m_start,"&lt;"&amp;1140,m_end,"&gt;"&amp;1080),INDEX(m_label,_xlfn.MAXIFS(m_row,m_teacher,K$4,m_date,($G$2+2),m_active,1,m_start,"&lt;"&amp;1140,m_end,"&gt;"&amp;1080))))))</f>
        <v/>
      </c>
      <c r="L36" s="81" t="str">
        <f aca="false">IF(OR(L$4="",MONTH(($G$2+2))&lt;&gt;MONTH($C$2)),"",IF(COUNTIFS(m_teacher,L$4,m_date,($G$2+2),m_active,1,m_start,"&lt;"&amp;1140,m_end,"&gt;"&amp;1080)=0,"",IF(COUNTIFS(m_teacher,L$4,m_date,($G$2+2),m_active,1,m_start,"&lt;"&amp;1140,m_end,"&gt;"&amp;1080)&gt;1,"충돌",HYPERLINK("#'관리자_MASTER'!D"&amp;_xlfn.MAXIFS(m_row,m_teacher,L$4,m_date,($G$2+2),m_active,1,m_start,"&lt;"&amp;1140,m_end,"&gt;"&amp;1080),INDEX(m_label,_xlfn.MAXIFS(m_row,m_teacher,L$4,m_date,($G$2+2),m_active,1,m_start,"&lt;"&amp;1140,m_end,"&gt;"&amp;1080))))))</f>
        <v/>
      </c>
      <c r="M36" s="81" t="str">
        <f aca="false">IF(OR(M$4="",MONTH(($G$2+2))&lt;&gt;MONTH($C$2)),"",IF(COUNTIFS(m_teacher,M$4,m_date,($G$2+2),m_active,1,m_start,"&lt;"&amp;1140,m_end,"&gt;"&amp;1080)=0,"",IF(COUNTIFS(m_teacher,M$4,m_date,($G$2+2),m_active,1,m_start,"&lt;"&amp;1140,m_end,"&gt;"&amp;1080)&gt;1,"충돌",HYPERLINK("#'관리자_MASTER'!D"&amp;_xlfn.MAXIFS(m_row,m_teacher,M$4,m_date,($G$2+2),m_active,1,m_start,"&lt;"&amp;1140,m_end,"&gt;"&amp;1080),INDEX(m_label,_xlfn.MAXIFS(m_row,m_teacher,M$4,m_date,($G$2+2),m_active,1,m_start,"&lt;"&amp;1140,m_end,"&gt;"&amp;1080))))))</f>
        <v/>
      </c>
      <c r="N36" s="81" t="str">
        <f aca="false">IF(OR(N$4="",MONTH(($G$2+2))&lt;&gt;MONTH($C$2)),"",IF(COUNTIFS(m_teacher,N$4,m_date,($G$2+2),m_active,1,m_start,"&lt;"&amp;1140,m_end,"&gt;"&amp;1080)=0,"",IF(COUNTIFS(m_teacher,N$4,m_date,($G$2+2),m_active,1,m_start,"&lt;"&amp;1140,m_end,"&gt;"&amp;1080)&gt;1,"충돌",HYPERLINK("#'관리자_MASTER'!D"&amp;_xlfn.MAXIFS(m_row,m_teacher,N$4,m_date,($G$2+2),m_active,1,m_start,"&lt;"&amp;1140,m_end,"&gt;"&amp;1080),INDEX(m_label,_xlfn.MAXIFS(m_row,m_teacher,N$4,m_date,($G$2+2),m_active,1,m_start,"&lt;"&amp;1140,m_end,"&gt;"&amp;1080))))))</f>
        <v/>
      </c>
      <c r="O36" s="78"/>
      <c r="P36" s="79" t="s">
        <v>100</v>
      </c>
      <c r="Q36" s="82" t="str">
        <f aca="false">IF(OR(Q$4="",MONTH(($G$2+9))&lt;&gt;MONTH($C$2)),"",IF(COUNTIFS(m_teacher,Q$4,m_date,($G$2+9),m_active,1,m_start,"&lt;"&amp;1140,m_end,"&gt;"&amp;1080)=0,"",IF(COUNTIFS(m_teacher,Q$4,m_date,($G$2+9),m_active,1,m_start,"&lt;"&amp;1140,m_end,"&gt;"&amp;1080)&gt;1,"충돌",HYPERLINK("#'관리자_MASTER'!D"&amp;_xlfn.MAXIFS(m_row,m_teacher,Q$4,m_date,($G$2+9),m_active,1,m_start,"&lt;"&amp;1140,m_end,"&gt;"&amp;1080),INDEX(m_label,_xlfn.MAXIFS(m_row,m_teacher,Q$4,m_date,($G$2+9),m_active,1,m_start,"&lt;"&amp;1140,m_end,"&gt;"&amp;1080))))))</f>
        <v/>
      </c>
      <c r="R36" s="82" t="str">
        <f aca="false">IF(OR(R$4="",MONTH(($G$2+9))&lt;&gt;MONTH($C$2)),"",IF(COUNTIFS(m_teacher,R$4,m_date,($G$2+9),m_active,1,m_start,"&lt;"&amp;1140,m_end,"&gt;"&amp;1080)=0,"",IF(COUNTIFS(m_teacher,R$4,m_date,($G$2+9),m_active,1,m_start,"&lt;"&amp;1140,m_end,"&gt;"&amp;1080)&gt;1,"충돌",HYPERLINK("#'관리자_MASTER'!D"&amp;_xlfn.MAXIFS(m_row,m_teacher,R$4,m_date,($G$2+9),m_active,1,m_start,"&lt;"&amp;1140,m_end,"&gt;"&amp;1080),INDEX(m_label,_xlfn.MAXIFS(m_row,m_teacher,R$4,m_date,($G$2+9),m_active,1,m_start,"&lt;"&amp;1140,m_end,"&gt;"&amp;1080))))))</f>
        <v/>
      </c>
      <c r="S36" s="82" t="str">
        <f aca="false">IF(OR(S$4="",MONTH(($G$2+9))&lt;&gt;MONTH($C$2)),"",IF(COUNTIFS(m_teacher,S$4,m_date,($G$2+9),m_active,1,m_start,"&lt;"&amp;1140,m_end,"&gt;"&amp;1080)=0,"",IF(COUNTIFS(m_teacher,S$4,m_date,($G$2+9),m_active,1,m_start,"&lt;"&amp;1140,m_end,"&gt;"&amp;1080)&gt;1,"충돌",HYPERLINK("#'관리자_MASTER'!D"&amp;_xlfn.MAXIFS(m_row,m_teacher,S$4,m_date,($G$2+9),m_active,1,m_start,"&lt;"&amp;1140,m_end,"&gt;"&amp;1080),INDEX(m_label,_xlfn.MAXIFS(m_row,m_teacher,S$4,m_date,($G$2+9),m_active,1,m_start,"&lt;"&amp;1140,m_end,"&gt;"&amp;1080))))))</f>
        <v/>
      </c>
      <c r="T36" s="82" t="str">
        <f aca="false">IF(OR(T$4="",MONTH(($G$2+9))&lt;&gt;MONTH($C$2)),"",IF(COUNTIFS(m_teacher,T$4,m_date,($G$2+9),m_active,1,m_start,"&lt;"&amp;1140,m_end,"&gt;"&amp;1080)=0,"",IF(COUNTIFS(m_teacher,T$4,m_date,($G$2+9),m_active,1,m_start,"&lt;"&amp;1140,m_end,"&gt;"&amp;1080)&gt;1,"충돌",HYPERLINK("#'관리자_MASTER'!D"&amp;_xlfn.MAXIFS(m_row,m_teacher,T$4,m_date,($G$2+9),m_active,1,m_start,"&lt;"&amp;1140,m_end,"&gt;"&amp;1080),INDEX(m_label,_xlfn.MAXIFS(m_row,m_teacher,T$4,m_date,($G$2+9),m_active,1,m_start,"&lt;"&amp;1140,m_end,"&gt;"&amp;1080))))))</f>
        <v/>
      </c>
      <c r="U36" s="82" t="str">
        <f aca="false">IF(OR(U$4="",MONTH(($G$2+9))&lt;&gt;MONTH($C$2)),"",IF(COUNTIFS(m_teacher,U$4,m_date,($G$2+9),m_active,1,m_start,"&lt;"&amp;1140,m_end,"&gt;"&amp;1080)=0,"",IF(COUNTIFS(m_teacher,U$4,m_date,($G$2+9),m_active,1,m_start,"&lt;"&amp;1140,m_end,"&gt;"&amp;1080)&gt;1,"충돌",HYPERLINK("#'관리자_MASTER'!D"&amp;_xlfn.MAXIFS(m_row,m_teacher,U$4,m_date,($G$2+9),m_active,1,m_start,"&lt;"&amp;1140,m_end,"&gt;"&amp;1080),INDEX(m_label,_xlfn.MAXIFS(m_row,m_teacher,U$4,m_date,($G$2+9),m_active,1,m_start,"&lt;"&amp;1140,m_end,"&gt;"&amp;1080))))))</f>
        <v/>
      </c>
      <c r="V36" s="82" t="str">
        <f aca="false">IF(OR(V$4="",MONTH(($G$2+9))&lt;&gt;MONTH($C$2)),"",IF(COUNTIFS(m_teacher,V$4,m_date,($G$2+9),m_active,1,m_start,"&lt;"&amp;1140,m_end,"&gt;"&amp;1080)=0,"",IF(COUNTIFS(m_teacher,V$4,m_date,($G$2+9),m_active,1,m_start,"&lt;"&amp;1140,m_end,"&gt;"&amp;1080)&gt;1,"충돌",HYPERLINK("#'관리자_MASTER'!D"&amp;_xlfn.MAXIFS(m_row,m_teacher,V$4,m_date,($G$2+9),m_active,1,m_start,"&lt;"&amp;1140,m_end,"&gt;"&amp;1080),INDEX(m_label,_xlfn.MAXIFS(m_row,m_teacher,V$4,m_date,($G$2+9),m_active,1,m_start,"&lt;"&amp;1140,m_end,"&gt;"&amp;1080))))))</f>
        <v/>
      </c>
      <c r="W36" s="82" t="str">
        <f aca="false">IF(OR(W$4="",MONTH(($G$2+9))&lt;&gt;MONTH($C$2)),"",IF(COUNTIFS(m_teacher,W$4,m_date,($G$2+9),m_active,1,m_start,"&lt;"&amp;1140,m_end,"&gt;"&amp;1080)=0,"",IF(COUNTIFS(m_teacher,W$4,m_date,($G$2+9),m_active,1,m_start,"&lt;"&amp;1140,m_end,"&gt;"&amp;1080)&gt;1,"충돌",HYPERLINK("#'관리자_MASTER'!D"&amp;_xlfn.MAXIFS(m_row,m_teacher,W$4,m_date,($G$2+9),m_active,1,m_start,"&lt;"&amp;1140,m_end,"&gt;"&amp;1080),INDEX(m_label,_xlfn.MAXIFS(m_row,m_teacher,W$4,m_date,($G$2+9),m_active,1,m_start,"&lt;"&amp;1140,m_end,"&gt;"&amp;1080))))))</f>
        <v/>
      </c>
      <c r="X36" s="82" t="str">
        <f aca="false">IF(OR(X$4="",MONTH(($G$2+9))&lt;&gt;MONTH($C$2)),"",IF(COUNTIFS(m_teacher,X$4,m_date,($G$2+9),m_active,1,m_start,"&lt;"&amp;1140,m_end,"&gt;"&amp;1080)=0,"",IF(COUNTIFS(m_teacher,X$4,m_date,($G$2+9),m_active,1,m_start,"&lt;"&amp;1140,m_end,"&gt;"&amp;1080)&gt;1,"충돌",HYPERLINK("#'관리자_MASTER'!D"&amp;_xlfn.MAXIFS(m_row,m_teacher,X$4,m_date,($G$2+9),m_active,1,m_start,"&lt;"&amp;1140,m_end,"&gt;"&amp;1080),INDEX(m_label,_xlfn.MAXIFS(m_row,m_teacher,X$4,m_date,($G$2+9),m_active,1,m_start,"&lt;"&amp;1140,m_end,"&gt;"&amp;1080))))))</f>
        <v/>
      </c>
      <c r="Y36" s="82" t="str">
        <f aca="false">IF(OR(Y$4="",MONTH(($G$2+9))&lt;&gt;MONTH($C$2)),"",IF(COUNTIFS(m_teacher,Y$4,m_date,($G$2+9),m_active,1,m_start,"&lt;"&amp;1140,m_end,"&gt;"&amp;1080)=0,"",IF(COUNTIFS(m_teacher,Y$4,m_date,($G$2+9),m_active,1,m_start,"&lt;"&amp;1140,m_end,"&gt;"&amp;1080)&gt;1,"충돌",HYPERLINK("#'관리자_MASTER'!D"&amp;_xlfn.MAXIFS(m_row,m_teacher,Y$4,m_date,($G$2+9),m_active,1,m_start,"&lt;"&amp;1140,m_end,"&gt;"&amp;1080),INDEX(m_label,_xlfn.MAXIFS(m_row,m_teacher,Y$4,m_date,($G$2+9),m_active,1,m_start,"&lt;"&amp;1140,m_end,"&gt;"&amp;1080))))))</f>
        <v/>
      </c>
      <c r="Z36" s="82" t="str">
        <f aca="false">IF(OR(Z$4="",MONTH(($G$2+9))&lt;&gt;MONTH($C$2)),"",IF(COUNTIFS(m_teacher,Z$4,m_date,($G$2+9),m_active,1,m_start,"&lt;"&amp;1140,m_end,"&gt;"&amp;1080)=0,"",IF(COUNTIFS(m_teacher,Z$4,m_date,($G$2+9),m_active,1,m_start,"&lt;"&amp;1140,m_end,"&gt;"&amp;1080)&gt;1,"충돌",HYPERLINK("#'관리자_MASTER'!D"&amp;_xlfn.MAXIFS(m_row,m_teacher,Z$4,m_date,($G$2+9),m_active,1,m_start,"&lt;"&amp;1140,m_end,"&gt;"&amp;1080),INDEX(m_label,_xlfn.MAXIFS(m_row,m_teacher,Z$4,m_date,($G$2+9),m_active,1,m_start,"&lt;"&amp;1140,m_end,"&gt;"&amp;1080))))))</f>
        <v/>
      </c>
      <c r="AA36" s="82" t="str">
        <f aca="false">IF(OR(AA$4="",MONTH(($G$2+9))&lt;&gt;MONTH($C$2)),"",IF(COUNTIFS(m_teacher,AA$4,m_date,($G$2+9),m_active,1,m_start,"&lt;"&amp;1140,m_end,"&gt;"&amp;1080)=0,"",IF(COUNTIFS(m_teacher,AA$4,m_date,($G$2+9),m_active,1,m_start,"&lt;"&amp;1140,m_end,"&gt;"&amp;1080)&gt;1,"충돌",HYPERLINK("#'관리자_MASTER'!D"&amp;_xlfn.MAXIFS(m_row,m_teacher,AA$4,m_date,($G$2+9),m_active,1,m_start,"&lt;"&amp;1140,m_end,"&gt;"&amp;1080),INDEX(m_label,_xlfn.MAXIFS(m_row,m_teacher,AA$4,m_date,($G$2+9),m_active,1,m_start,"&lt;"&amp;1140,m_end,"&gt;"&amp;1080))))))</f>
        <v/>
      </c>
      <c r="AB36" s="82" t="str">
        <f aca="false">IF(OR(AB$4="",MONTH(($G$2+9))&lt;&gt;MONTH($C$2)),"",IF(COUNTIFS(m_teacher,AB$4,m_date,($G$2+9),m_active,1,m_start,"&lt;"&amp;1140,m_end,"&gt;"&amp;1080)=0,"",IF(COUNTIFS(m_teacher,AB$4,m_date,($G$2+9),m_active,1,m_start,"&lt;"&amp;1140,m_end,"&gt;"&amp;1080)&gt;1,"충돌",HYPERLINK("#'관리자_MASTER'!D"&amp;_xlfn.MAXIFS(m_row,m_teacher,AB$4,m_date,($G$2+9),m_active,1,m_start,"&lt;"&amp;1140,m_end,"&gt;"&amp;1080),INDEX(m_label,_xlfn.MAXIFS(m_row,m_teacher,AB$4,m_date,($G$2+9),m_active,1,m_start,"&lt;"&amp;1140,m_end,"&gt;"&amp;1080))))))</f>
        <v/>
      </c>
      <c r="AC36" s="78"/>
      <c r="AD36" s="79" t="s">
        <v>100</v>
      </c>
      <c r="AE36" s="82" t="str">
        <f aca="false">IF(OR(AE$4="",MONTH(($G$2+16))&lt;&gt;MONTH($C$2)),"",IF(COUNTIFS(m_teacher,AE$4,m_date,($G$2+16),m_active,1,m_start,"&lt;"&amp;1140,m_end,"&gt;"&amp;1080)=0,"",IF(COUNTIFS(m_teacher,AE$4,m_date,($G$2+16),m_active,1,m_start,"&lt;"&amp;1140,m_end,"&gt;"&amp;1080)&gt;1,"충돌",HYPERLINK("#'관리자_MASTER'!D"&amp;_xlfn.MAXIFS(m_row,m_teacher,AE$4,m_date,($G$2+16),m_active,1,m_start,"&lt;"&amp;1140,m_end,"&gt;"&amp;1080),INDEX(m_label,_xlfn.MAXIFS(m_row,m_teacher,AE$4,m_date,($G$2+16),m_active,1,m_start,"&lt;"&amp;1140,m_end,"&gt;"&amp;1080))))))</f>
        <v/>
      </c>
      <c r="AF36" s="82" t="str">
        <f aca="false">IF(OR(AF$4="",MONTH(($G$2+16))&lt;&gt;MONTH($C$2)),"",IF(COUNTIFS(m_teacher,AF$4,m_date,($G$2+16),m_active,1,m_start,"&lt;"&amp;1140,m_end,"&gt;"&amp;1080)=0,"",IF(COUNTIFS(m_teacher,AF$4,m_date,($G$2+16),m_active,1,m_start,"&lt;"&amp;1140,m_end,"&gt;"&amp;1080)&gt;1,"충돌",HYPERLINK("#'관리자_MASTER'!D"&amp;_xlfn.MAXIFS(m_row,m_teacher,AF$4,m_date,($G$2+16),m_active,1,m_start,"&lt;"&amp;1140,m_end,"&gt;"&amp;1080),INDEX(m_label,_xlfn.MAXIFS(m_row,m_teacher,AF$4,m_date,($G$2+16),m_active,1,m_start,"&lt;"&amp;1140,m_end,"&gt;"&amp;1080))))))</f>
        <v/>
      </c>
      <c r="AG36" s="82" t="str">
        <f aca="false">IF(OR(AG$4="",MONTH(($G$2+16))&lt;&gt;MONTH($C$2)),"",IF(COUNTIFS(m_teacher,AG$4,m_date,($G$2+16),m_active,1,m_start,"&lt;"&amp;1140,m_end,"&gt;"&amp;1080)=0,"",IF(COUNTIFS(m_teacher,AG$4,m_date,($G$2+16),m_active,1,m_start,"&lt;"&amp;1140,m_end,"&gt;"&amp;1080)&gt;1,"충돌",HYPERLINK("#'관리자_MASTER'!D"&amp;_xlfn.MAXIFS(m_row,m_teacher,AG$4,m_date,($G$2+16),m_active,1,m_start,"&lt;"&amp;1140,m_end,"&gt;"&amp;1080),INDEX(m_label,_xlfn.MAXIFS(m_row,m_teacher,AG$4,m_date,($G$2+16),m_active,1,m_start,"&lt;"&amp;1140,m_end,"&gt;"&amp;1080))))))</f>
        <v/>
      </c>
      <c r="AH36" s="82" t="str">
        <f aca="false">IF(OR(AH$4="",MONTH(($G$2+16))&lt;&gt;MONTH($C$2)),"",IF(COUNTIFS(m_teacher,AH$4,m_date,($G$2+16),m_active,1,m_start,"&lt;"&amp;1140,m_end,"&gt;"&amp;1080)=0,"",IF(COUNTIFS(m_teacher,AH$4,m_date,($G$2+16),m_active,1,m_start,"&lt;"&amp;1140,m_end,"&gt;"&amp;1080)&gt;1,"충돌",HYPERLINK("#'관리자_MASTER'!D"&amp;_xlfn.MAXIFS(m_row,m_teacher,AH$4,m_date,($G$2+16),m_active,1,m_start,"&lt;"&amp;1140,m_end,"&gt;"&amp;1080),INDEX(m_label,_xlfn.MAXIFS(m_row,m_teacher,AH$4,m_date,($G$2+16),m_active,1,m_start,"&lt;"&amp;1140,m_end,"&gt;"&amp;1080))))))</f>
        <v/>
      </c>
      <c r="AI36" s="82" t="str">
        <f aca="false">IF(OR(AI$4="",MONTH(($G$2+16))&lt;&gt;MONTH($C$2)),"",IF(COUNTIFS(m_teacher,AI$4,m_date,($G$2+16),m_active,1,m_start,"&lt;"&amp;1140,m_end,"&gt;"&amp;1080)=0,"",IF(COUNTIFS(m_teacher,AI$4,m_date,($G$2+16),m_active,1,m_start,"&lt;"&amp;1140,m_end,"&gt;"&amp;1080)&gt;1,"충돌",HYPERLINK("#'관리자_MASTER'!D"&amp;_xlfn.MAXIFS(m_row,m_teacher,AI$4,m_date,($G$2+16),m_active,1,m_start,"&lt;"&amp;1140,m_end,"&gt;"&amp;1080),INDEX(m_label,_xlfn.MAXIFS(m_row,m_teacher,AI$4,m_date,($G$2+16),m_active,1,m_start,"&lt;"&amp;1140,m_end,"&gt;"&amp;1080))))))</f>
        <v/>
      </c>
      <c r="AJ36" s="82" t="str">
        <f aca="false">IF(OR(AJ$4="",MONTH(($G$2+16))&lt;&gt;MONTH($C$2)),"",IF(COUNTIFS(m_teacher,AJ$4,m_date,($G$2+16),m_active,1,m_start,"&lt;"&amp;1140,m_end,"&gt;"&amp;1080)=0,"",IF(COUNTIFS(m_teacher,AJ$4,m_date,($G$2+16),m_active,1,m_start,"&lt;"&amp;1140,m_end,"&gt;"&amp;1080)&gt;1,"충돌",HYPERLINK("#'관리자_MASTER'!D"&amp;_xlfn.MAXIFS(m_row,m_teacher,AJ$4,m_date,($G$2+16),m_active,1,m_start,"&lt;"&amp;1140,m_end,"&gt;"&amp;1080),INDEX(m_label,_xlfn.MAXIFS(m_row,m_teacher,AJ$4,m_date,($G$2+16),m_active,1,m_start,"&lt;"&amp;1140,m_end,"&gt;"&amp;1080))))))</f>
        <v/>
      </c>
      <c r="AK36" s="82" t="str">
        <f aca="false">IF(OR(AK$4="",MONTH(($G$2+16))&lt;&gt;MONTH($C$2)),"",IF(COUNTIFS(m_teacher,AK$4,m_date,($G$2+16),m_active,1,m_start,"&lt;"&amp;1140,m_end,"&gt;"&amp;1080)=0,"",IF(COUNTIFS(m_teacher,AK$4,m_date,($G$2+16),m_active,1,m_start,"&lt;"&amp;1140,m_end,"&gt;"&amp;1080)&gt;1,"충돌",HYPERLINK("#'관리자_MASTER'!D"&amp;_xlfn.MAXIFS(m_row,m_teacher,AK$4,m_date,($G$2+16),m_active,1,m_start,"&lt;"&amp;1140,m_end,"&gt;"&amp;1080),INDEX(m_label,_xlfn.MAXIFS(m_row,m_teacher,AK$4,m_date,($G$2+16),m_active,1,m_start,"&lt;"&amp;1140,m_end,"&gt;"&amp;1080))))))</f>
        <v/>
      </c>
      <c r="AL36" s="82" t="str">
        <f aca="false">IF(OR(AL$4="",MONTH(($G$2+16))&lt;&gt;MONTH($C$2)),"",IF(COUNTIFS(m_teacher,AL$4,m_date,($G$2+16),m_active,1,m_start,"&lt;"&amp;1140,m_end,"&gt;"&amp;1080)=0,"",IF(COUNTIFS(m_teacher,AL$4,m_date,($G$2+16),m_active,1,m_start,"&lt;"&amp;1140,m_end,"&gt;"&amp;1080)&gt;1,"충돌",HYPERLINK("#'관리자_MASTER'!D"&amp;_xlfn.MAXIFS(m_row,m_teacher,AL$4,m_date,($G$2+16),m_active,1,m_start,"&lt;"&amp;1140,m_end,"&gt;"&amp;1080),INDEX(m_label,_xlfn.MAXIFS(m_row,m_teacher,AL$4,m_date,($G$2+16),m_active,1,m_start,"&lt;"&amp;1140,m_end,"&gt;"&amp;1080))))))</f>
        <v/>
      </c>
      <c r="AM36" s="82" t="str">
        <f aca="false">IF(OR(AM$4="",MONTH(($G$2+16))&lt;&gt;MONTH($C$2)),"",IF(COUNTIFS(m_teacher,AM$4,m_date,($G$2+16),m_active,1,m_start,"&lt;"&amp;1140,m_end,"&gt;"&amp;1080)=0,"",IF(COUNTIFS(m_teacher,AM$4,m_date,($G$2+16),m_active,1,m_start,"&lt;"&amp;1140,m_end,"&gt;"&amp;1080)&gt;1,"충돌",HYPERLINK("#'관리자_MASTER'!D"&amp;_xlfn.MAXIFS(m_row,m_teacher,AM$4,m_date,($G$2+16),m_active,1,m_start,"&lt;"&amp;1140,m_end,"&gt;"&amp;1080),INDEX(m_label,_xlfn.MAXIFS(m_row,m_teacher,AM$4,m_date,($G$2+16),m_active,1,m_start,"&lt;"&amp;1140,m_end,"&gt;"&amp;1080))))))</f>
        <v/>
      </c>
      <c r="AN36" s="82" t="str">
        <f aca="false">IF(OR(AN$4="",MONTH(($G$2+16))&lt;&gt;MONTH($C$2)),"",IF(COUNTIFS(m_teacher,AN$4,m_date,($G$2+16),m_active,1,m_start,"&lt;"&amp;1140,m_end,"&gt;"&amp;1080)=0,"",IF(COUNTIFS(m_teacher,AN$4,m_date,($G$2+16),m_active,1,m_start,"&lt;"&amp;1140,m_end,"&gt;"&amp;1080)&gt;1,"충돌",HYPERLINK("#'관리자_MASTER'!D"&amp;_xlfn.MAXIFS(m_row,m_teacher,AN$4,m_date,($G$2+16),m_active,1,m_start,"&lt;"&amp;1140,m_end,"&gt;"&amp;1080),INDEX(m_label,_xlfn.MAXIFS(m_row,m_teacher,AN$4,m_date,($G$2+16),m_active,1,m_start,"&lt;"&amp;1140,m_end,"&gt;"&amp;1080))))))</f>
        <v/>
      </c>
      <c r="AO36" s="82" t="str">
        <f aca="false">IF(OR(AO$4="",MONTH(($G$2+16))&lt;&gt;MONTH($C$2)),"",IF(COUNTIFS(m_teacher,AO$4,m_date,($G$2+16),m_active,1,m_start,"&lt;"&amp;1140,m_end,"&gt;"&amp;1080)=0,"",IF(COUNTIFS(m_teacher,AO$4,m_date,($G$2+16),m_active,1,m_start,"&lt;"&amp;1140,m_end,"&gt;"&amp;1080)&gt;1,"충돌",HYPERLINK("#'관리자_MASTER'!D"&amp;_xlfn.MAXIFS(m_row,m_teacher,AO$4,m_date,($G$2+16),m_active,1,m_start,"&lt;"&amp;1140,m_end,"&gt;"&amp;1080),INDEX(m_label,_xlfn.MAXIFS(m_row,m_teacher,AO$4,m_date,($G$2+16),m_active,1,m_start,"&lt;"&amp;1140,m_end,"&gt;"&amp;1080))))))</f>
        <v/>
      </c>
      <c r="AP36" s="82" t="str">
        <f aca="false">IF(OR(AP$4="",MONTH(($G$2+16))&lt;&gt;MONTH($C$2)),"",IF(COUNTIFS(m_teacher,AP$4,m_date,($G$2+16),m_active,1,m_start,"&lt;"&amp;1140,m_end,"&gt;"&amp;1080)=0,"",IF(COUNTIFS(m_teacher,AP$4,m_date,($G$2+16),m_active,1,m_start,"&lt;"&amp;1140,m_end,"&gt;"&amp;1080)&gt;1,"충돌",HYPERLINK("#'관리자_MASTER'!D"&amp;_xlfn.MAXIFS(m_row,m_teacher,AP$4,m_date,($G$2+16),m_active,1,m_start,"&lt;"&amp;1140,m_end,"&gt;"&amp;1080),INDEX(m_label,_xlfn.MAXIFS(m_row,m_teacher,AP$4,m_date,($G$2+16),m_active,1,m_start,"&lt;"&amp;1140,m_end,"&gt;"&amp;1080))))))</f>
        <v/>
      </c>
      <c r="AQ36" s="78"/>
      <c r="AR36" s="79" t="s">
        <v>100</v>
      </c>
      <c r="AS36" s="82" t="str">
        <f aca="false">IF(OR(AS$4="",MONTH(($G$2+23))&lt;&gt;MONTH($C$2)),"",IF(COUNTIFS(m_teacher,AS$4,m_date,($G$2+23),m_active,1,m_start,"&lt;"&amp;1140,m_end,"&gt;"&amp;1080)=0,"",IF(COUNTIFS(m_teacher,AS$4,m_date,($G$2+23),m_active,1,m_start,"&lt;"&amp;1140,m_end,"&gt;"&amp;1080)&gt;1,"충돌",HYPERLINK("#'관리자_MASTER'!D"&amp;_xlfn.MAXIFS(m_row,m_teacher,AS$4,m_date,($G$2+23),m_active,1,m_start,"&lt;"&amp;1140,m_end,"&gt;"&amp;1080),INDEX(m_label,_xlfn.MAXIFS(m_row,m_teacher,AS$4,m_date,($G$2+23),m_active,1,m_start,"&lt;"&amp;1140,m_end,"&gt;"&amp;1080))))))</f>
        <v/>
      </c>
      <c r="AT36" s="82" t="str">
        <f aca="false">IF(OR(AT$4="",MONTH(($G$2+23))&lt;&gt;MONTH($C$2)),"",IF(COUNTIFS(m_teacher,AT$4,m_date,($G$2+23),m_active,1,m_start,"&lt;"&amp;1140,m_end,"&gt;"&amp;1080)=0,"",IF(COUNTIFS(m_teacher,AT$4,m_date,($G$2+23),m_active,1,m_start,"&lt;"&amp;1140,m_end,"&gt;"&amp;1080)&gt;1,"충돌",HYPERLINK("#'관리자_MASTER'!D"&amp;_xlfn.MAXIFS(m_row,m_teacher,AT$4,m_date,($G$2+23),m_active,1,m_start,"&lt;"&amp;1140,m_end,"&gt;"&amp;1080),INDEX(m_label,_xlfn.MAXIFS(m_row,m_teacher,AT$4,m_date,($G$2+23),m_active,1,m_start,"&lt;"&amp;1140,m_end,"&gt;"&amp;1080))))))</f>
        <v/>
      </c>
      <c r="AU36" s="82" t="str">
        <f aca="false">IF(OR(AU$4="",MONTH(($G$2+23))&lt;&gt;MONTH($C$2)),"",IF(COUNTIFS(m_teacher,AU$4,m_date,($G$2+23),m_active,1,m_start,"&lt;"&amp;1140,m_end,"&gt;"&amp;1080)=0,"",IF(COUNTIFS(m_teacher,AU$4,m_date,($G$2+23),m_active,1,m_start,"&lt;"&amp;1140,m_end,"&gt;"&amp;1080)&gt;1,"충돌",HYPERLINK("#'관리자_MASTER'!D"&amp;_xlfn.MAXIFS(m_row,m_teacher,AU$4,m_date,($G$2+23),m_active,1,m_start,"&lt;"&amp;1140,m_end,"&gt;"&amp;1080),INDEX(m_label,_xlfn.MAXIFS(m_row,m_teacher,AU$4,m_date,($G$2+23),m_active,1,m_start,"&lt;"&amp;1140,m_end,"&gt;"&amp;1080))))))</f>
        <v/>
      </c>
      <c r="AV36" s="82" t="str">
        <f aca="false">IF(OR(AV$4="",MONTH(($G$2+23))&lt;&gt;MONTH($C$2)),"",IF(COUNTIFS(m_teacher,AV$4,m_date,($G$2+23),m_active,1,m_start,"&lt;"&amp;1140,m_end,"&gt;"&amp;1080)=0,"",IF(COUNTIFS(m_teacher,AV$4,m_date,($G$2+23),m_active,1,m_start,"&lt;"&amp;1140,m_end,"&gt;"&amp;1080)&gt;1,"충돌",HYPERLINK("#'관리자_MASTER'!D"&amp;_xlfn.MAXIFS(m_row,m_teacher,AV$4,m_date,($G$2+23),m_active,1,m_start,"&lt;"&amp;1140,m_end,"&gt;"&amp;1080),INDEX(m_label,_xlfn.MAXIFS(m_row,m_teacher,AV$4,m_date,($G$2+23),m_active,1,m_start,"&lt;"&amp;1140,m_end,"&gt;"&amp;1080))))))</f>
        <v/>
      </c>
      <c r="AW36" s="82" t="str">
        <f aca="false">IF(OR(AW$4="",MONTH(($G$2+23))&lt;&gt;MONTH($C$2)),"",IF(COUNTIFS(m_teacher,AW$4,m_date,($G$2+23),m_active,1,m_start,"&lt;"&amp;1140,m_end,"&gt;"&amp;1080)=0,"",IF(COUNTIFS(m_teacher,AW$4,m_date,($G$2+23),m_active,1,m_start,"&lt;"&amp;1140,m_end,"&gt;"&amp;1080)&gt;1,"충돌",HYPERLINK("#'관리자_MASTER'!D"&amp;_xlfn.MAXIFS(m_row,m_teacher,AW$4,m_date,($G$2+23),m_active,1,m_start,"&lt;"&amp;1140,m_end,"&gt;"&amp;1080),INDEX(m_label,_xlfn.MAXIFS(m_row,m_teacher,AW$4,m_date,($G$2+23),m_active,1,m_start,"&lt;"&amp;1140,m_end,"&gt;"&amp;1080))))))</f>
        <v/>
      </c>
      <c r="AX36" s="82" t="str">
        <f aca="false">IF(OR(AX$4="",MONTH(($G$2+23))&lt;&gt;MONTH($C$2)),"",IF(COUNTIFS(m_teacher,AX$4,m_date,($G$2+23),m_active,1,m_start,"&lt;"&amp;1140,m_end,"&gt;"&amp;1080)=0,"",IF(COUNTIFS(m_teacher,AX$4,m_date,($G$2+23),m_active,1,m_start,"&lt;"&amp;1140,m_end,"&gt;"&amp;1080)&gt;1,"충돌",HYPERLINK("#'관리자_MASTER'!D"&amp;_xlfn.MAXIFS(m_row,m_teacher,AX$4,m_date,($G$2+23),m_active,1,m_start,"&lt;"&amp;1140,m_end,"&gt;"&amp;1080),INDEX(m_label,_xlfn.MAXIFS(m_row,m_teacher,AX$4,m_date,($G$2+23),m_active,1,m_start,"&lt;"&amp;1140,m_end,"&gt;"&amp;1080))))))</f>
        <v/>
      </c>
      <c r="AY36" s="82" t="str">
        <f aca="false">IF(OR(AY$4="",MONTH(($G$2+23))&lt;&gt;MONTH($C$2)),"",IF(COUNTIFS(m_teacher,AY$4,m_date,($G$2+23),m_active,1,m_start,"&lt;"&amp;1140,m_end,"&gt;"&amp;1080)=0,"",IF(COUNTIFS(m_teacher,AY$4,m_date,($G$2+23),m_active,1,m_start,"&lt;"&amp;1140,m_end,"&gt;"&amp;1080)&gt;1,"충돌",HYPERLINK("#'관리자_MASTER'!D"&amp;_xlfn.MAXIFS(m_row,m_teacher,AY$4,m_date,($G$2+23),m_active,1,m_start,"&lt;"&amp;1140,m_end,"&gt;"&amp;1080),INDEX(m_label,_xlfn.MAXIFS(m_row,m_teacher,AY$4,m_date,($G$2+23),m_active,1,m_start,"&lt;"&amp;1140,m_end,"&gt;"&amp;1080))))))</f>
        <v/>
      </c>
      <c r="AZ36" s="82" t="str">
        <f aca="false">IF(OR(AZ$4="",MONTH(($G$2+23))&lt;&gt;MONTH($C$2)),"",IF(COUNTIFS(m_teacher,AZ$4,m_date,($G$2+23),m_active,1,m_start,"&lt;"&amp;1140,m_end,"&gt;"&amp;1080)=0,"",IF(COUNTIFS(m_teacher,AZ$4,m_date,($G$2+23),m_active,1,m_start,"&lt;"&amp;1140,m_end,"&gt;"&amp;1080)&gt;1,"충돌",HYPERLINK("#'관리자_MASTER'!D"&amp;_xlfn.MAXIFS(m_row,m_teacher,AZ$4,m_date,($G$2+23),m_active,1,m_start,"&lt;"&amp;1140,m_end,"&gt;"&amp;1080),INDEX(m_label,_xlfn.MAXIFS(m_row,m_teacher,AZ$4,m_date,($G$2+23),m_active,1,m_start,"&lt;"&amp;1140,m_end,"&gt;"&amp;1080))))))</f>
        <v/>
      </c>
      <c r="BA36" s="82" t="str">
        <f aca="false">IF(OR(BA$4="",MONTH(($G$2+23))&lt;&gt;MONTH($C$2)),"",IF(COUNTIFS(m_teacher,BA$4,m_date,($G$2+23),m_active,1,m_start,"&lt;"&amp;1140,m_end,"&gt;"&amp;1080)=0,"",IF(COUNTIFS(m_teacher,BA$4,m_date,($G$2+23),m_active,1,m_start,"&lt;"&amp;1140,m_end,"&gt;"&amp;1080)&gt;1,"충돌",HYPERLINK("#'관리자_MASTER'!D"&amp;_xlfn.MAXIFS(m_row,m_teacher,BA$4,m_date,($G$2+23),m_active,1,m_start,"&lt;"&amp;1140,m_end,"&gt;"&amp;1080),INDEX(m_label,_xlfn.MAXIFS(m_row,m_teacher,BA$4,m_date,($G$2+23),m_active,1,m_start,"&lt;"&amp;1140,m_end,"&gt;"&amp;1080))))))</f>
        <v/>
      </c>
      <c r="BB36" s="82" t="str">
        <f aca="false">IF(OR(BB$4="",MONTH(($G$2+23))&lt;&gt;MONTH($C$2)),"",IF(COUNTIFS(m_teacher,BB$4,m_date,($G$2+23),m_active,1,m_start,"&lt;"&amp;1140,m_end,"&gt;"&amp;1080)=0,"",IF(COUNTIFS(m_teacher,BB$4,m_date,($G$2+23),m_active,1,m_start,"&lt;"&amp;1140,m_end,"&gt;"&amp;1080)&gt;1,"충돌",HYPERLINK("#'관리자_MASTER'!D"&amp;_xlfn.MAXIFS(m_row,m_teacher,BB$4,m_date,($G$2+23),m_active,1,m_start,"&lt;"&amp;1140,m_end,"&gt;"&amp;1080),INDEX(m_label,_xlfn.MAXIFS(m_row,m_teacher,BB$4,m_date,($G$2+23),m_active,1,m_start,"&lt;"&amp;1140,m_end,"&gt;"&amp;1080))))))</f>
        <v/>
      </c>
      <c r="BC36" s="82" t="str">
        <f aca="false">IF(OR(BC$4="",MONTH(($G$2+23))&lt;&gt;MONTH($C$2)),"",IF(COUNTIFS(m_teacher,BC$4,m_date,($G$2+23),m_active,1,m_start,"&lt;"&amp;1140,m_end,"&gt;"&amp;1080)=0,"",IF(COUNTIFS(m_teacher,BC$4,m_date,($G$2+23),m_active,1,m_start,"&lt;"&amp;1140,m_end,"&gt;"&amp;1080)&gt;1,"충돌",HYPERLINK("#'관리자_MASTER'!D"&amp;_xlfn.MAXIFS(m_row,m_teacher,BC$4,m_date,($G$2+23),m_active,1,m_start,"&lt;"&amp;1140,m_end,"&gt;"&amp;1080),INDEX(m_label,_xlfn.MAXIFS(m_row,m_teacher,BC$4,m_date,($G$2+23),m_active,1,m_start,"&lt;"&amp;1140,m_end,"&gt;"&amp;1080))))))</f>
        <v/>
      </c>
      <c r="BD36" s="82" t="str">
        <f aca="false">IF(OR(BD$4="",MONTH(($G$2+23))&lt;&gt;MONTH($C$2)),"",IF(COUNTIFS(m_teacher,BD$4,m_date,($G$2+23),m_active,1,m_start,"&lt;"&amp;1140,m_end,"&gt;"&amp;1080)=0,"",IF(COUNTIFS(m_teacher,BD$4,m_date,($G$2+23),m_active,1,m_start,"&lt;"&amp;1140,m_end,"&gt;"&amp;1080)&gt;1,"충돌",HYPERLINK("#'관리자_MASTER'!D"&amp;_xlfn.MAXIFS(m_row,m_teacher,BD$4,m_date,($G$2+23),m_active,1,m_start,"&lt;"&amp;1140,m_end,"&gt;"&amp;1080),INDEX(m_label,_xlfn.MAXIFS(m_row,m_teacher,BD$4,m_date,($G$2+23),m_active,1,m_start,"&lt;"&amp;1140,m_end,"&gt;"&amp;1080))))))</f>
        <v/>
      </c>
      <c r="BE36" s="78"/>
      <c r="BF36" s="79" t="s">
        <v>100</v>
      </c>
      <c r="BG36" s="82" t="str">
        <f aca="false">IF(OR(BG$4="",MONTH(($G$2+30))&lt;&gt;MONTH($C$2)),"",IF(COUNTIFS(m_teacher,BG$4,m_date,($G$2+30),m_active,1,m_start,"&lt;"&amp;1140,m_end,"&gt;"&amp;1080)=0,"",IF(COUNTIFS(m_teacher,BG$4,m_date,($G$2+30),m_active,1,m_start,"&lt;"&amp;1140,m_end,"&gt;"&amp;1080)&gt;1,"충돌",HYPERLINK("#'관리자_MASTER'!D"&amp;_xlfn.MAXIFS(m_row,m_teacher,BG$4,m_date,($G$2+30),m_active,1,m_start,"&lt;"&amp;1140,m_end,"&gt;"&amp;1080),INDEX(m_label,_xlfn.MAXIFS(m_row,m_teacher,BG$4,m_date,($G$2+30),m_active,1,m_start,"&lt;"&amp;1140,m_end,"&gt;"&amp;1080))))))</f>
        <v/>
      </c>
      <c r="BH36" s="82" t="str">
        <f aca="false">IF(OR(BH$4="",MONTH(($G$2+30))&lt;&gt;MONTH($C$2)),"",IF(COUNTIFS(m_teacher,BH$4,m_date,($G$2+30),m_active,1,m_start,"&lt;"&amp;1140,m_end,"&gt;"&amp;1080)=0,"",IF(COUNTIFS(m_teacher,BH$4,m_date,($G$2+30),m_active,1,m_start,"&lt;"&amp;1140,m_end,"&gt;"&amp;1080)&gt;1,"충돌",HYPERLINK("#'관리자_MASTER'!D"&amp;_xlfn.MAXIFS(m_row,m_teacher,BH$4,m_date,($G$2+30),m_active,1,m_start,"&lt;"&amp;1140,m_end,"&gt;"&amp;1080),INDEX(m_label,_xlfn.MAXIFS(m_row,m_teacher,BH$4,m_date,($G$2+30),m_active,1,m_start,"&lt;"&amp;1140,m_end,"&gt;"&amp;1080))))))</f>
        <v/>
      </c>
      <c r="BI36" s="82" t="str">
        <f aca="false">IF(OR(BI$4="",MONTH(($G$2+30))&lt;&gt;MONTH($C$2)),"",IF(COUNTIFS(m_teacher,BI$4,m_date,($G$2+30),m_active,1,m_start,"&lt;"&amp;1140,m_end,"&gt;"&amp;1080)=0,"",IF(COUNTIFS(m_teacher,BI$4,m_date,($G$2+30),m_active,1,m_start,"&lt;"&amp;1140,m_end,"&gt;"&amp;1080)&gt;1,"충돌",HYPERLINK("#'관리자_MASTER'!D"&amp;_xlfn.MAXIFS(m_row,m_teacher,BI$4,m_date,($G$2+30),m_active,1,m_start,"&lt;"&amp;1140,m_end,"&gt;"&amp;1080),INDEX(m_label,_xlfn.MAXIFS(m_row,m_teacher,BI$4,m_date,($G$2+30),m_active,1,m_start,"&lt;"&amp;1140,m_end,"&gt;"&amp;1080))))))</f>
        <v/>
      </c>
      <c r="BJ36" s="82" t="str">
        <f aca="false">IF(OR(BJ$4="",MONTH(($G$2+30))&lt;&gt;MONTH($C$2)),"",IF(COUNTIFS(m_teacher,BJ$4,m_date,($G$2+30),m_active,1,m_start,"&lt;"&amp;1140,m_end,"&gt;"&amp;1080)=0,"",IF(COUNTIFS(m_teacher,BJ$4,m_date,($G$2+30),m_active,1,m_start,"&lt;"&amp;1140,m_end,"&gt;"&amp;1080)&gt;1,"충돌",HYPERLINK("#'관리자_MASTER'!D"&amp;_xlfn.MAXIFS(m_row,m_teacher,BJ$4,m_date,($G$2+30),m_active,1,m_start,"&lt;"&amp;1140,m_end,"&gt;"&amp;1080),INDEX(m_label,_xlfn.MAXIFS(m_row,m_teacher,BJ$4,m_date,($G$2+30),m_active,1,m_start,"&lt;"&amp;1140,m_end,"&gt;"&amp;1080))))))</f>
        <v/>
      </c>
      <c r="BK36" s="82" t="str">
        <f aca="false">IF(OR(BK$4="",MONTH(($G$2+30))&lt;&gt;MONTH($C$2)),"",IF(COUNTIFS(m_teacher,BK$4,m_date,($G$2+30),m_active,1,m_start,"&lt;"&amp;1140,m_end,"&gt;"&amp;1080)=0,"",IF(COUNTIFS(m_teacher,BK$4,m_date,($G$2+30),m_active,1,m_start,"&lt;"&amp;1140,m_end,"&gt;"&amp;1080)&gt;1,"충돌",HYPERLINK("#'관리자_MASTER'!D"&amp;_xlfn.MAXIFS(m_row,m_teacher,BK$4,m_date,($G$2+30),m_active,1,m_start,"&lt;"&amp;1140,m_end,"&gt;"&amp;1080),INDEX(m_label,_xlfn.MAXIFS(m_row,m_teacher,BK$4,m_date,($G$2+30),m_active,1,m_start,"&lt;"&amp;1140,m_end,"&gt;"&amp;1080))))))</f>
        <v/>
      </c>
      <c r="BL36" s="82" t="str">
        <f aca="false">IF(OR(BL$4="",MONTH(($G$2+30))&lt;&gt;MONTH($C$2)),"",IF(COUNTIFS(m_teacher,BL$4,m_date,($G$2+30),m_active,1,m_start,"&lt;"&amp;1140,m_end,"&gt;"&amp;1080)=0,"",IF(COUNTIFS(m_teacher,BL$4,m_date,($G$2+30),m_active,1,m_start,"&lt;"&amp;1140,m_end,"&gt;"&amp;1080)&gt;1,"충돌",HYPERLINK("#'관리자_MASTER'!D"&amp;_xlfn.MAXIFS(m_row,m_teacher,BL$4,m_date,($G$2+30),m_active,1,m_start,"&lt;"&amp;1140,m_end,"&gt;"&amp;1080),INDEX(m_label,_xlfn.MAXIFS(m_row,m_teacher,BL$4,m_date,($G$2+30),m_active,1,m_start,"&lt;"&amp;1140,m_end,"&gt;"&amp;1080))))))</f>
        <v/>
      </c>
      <c r="BM36" s="82" t="str">
        <f aca="false">IF(OR(BM$4="",MONTH(($G$2+30))&lt;&gt;MONTH($C$2)),"",IF(COUNTIFS(m_teacher,BM$4,m_date,($G$2+30),m_active,1,m_start,"&lt;"&amp;1140,m_end,"&gt;"&amp;1080)=0,"",IF(COUNTIFS(m_teacher,BM$4,m_date,($G$2+30),m_active,1,m_start,"&lt;"&amp;1140,m_end,"&gt;"&amp;1080)&gt;1,"충돌",HYPERLINK("#'관리자_MASTER'!D"&amp;_xlfn.MAXIFS(m_row,m_teacher,BM$4,m_date,($G$2+30),m_active,1,m_start,"&lt;"&amp;1140,m_end,"&gt;"&amp;1080),INDEX(m_label,_xlfn.MAXIFS(m_row,m_teacher,BM$4,m_date,($G$2+30),m_active,1,m_start,"&lt;"&amp;1140,m_end,"&gt;"&amp;1080))))))</f>
        <v/>
      </c>
      <c r="BN36" s="82" t="str">
        <f aca="false">IF(OR(BN$4="",MONTH(($G$2+30))&lt;&gt;MONTH($C$2)),"",IF(COUNTIFS(m_teacher,BN$4,m_date,($G$2+30),m_active,1,m_start,"&lt;"&amp;1140,m_end,"&gt;"&amp;1080)=0,"",IF(COUNTIFS(m_teacher,BN$4,m_date,($G$2+30),m_active,1,m_start,"&lt;"&amp;1140,m_end,"&gt;"&amp;1080)&gt;1,"충돌",HYPERLINK("#'관리자_MASTER'!D"&amp;_xlfn.MAXIFS(m_row,m_teacher,BN$4,m_date,($G$2+30),m_active,1,m_start,"&lt;"&amp;1140,m_end,"&gt;"&amp;1080),INDEX(m_label,_xlfn.MAXIFS(m_row,m_teacher,BN$4,m_date,($G$2+30),m_active,1,m_start,"&lt;"&amp;1140,m_end,"&gt;"&amp;1080))))))</f>
        <v/>
      </c>
      <c r="BO36" s="82" t="str">
        <f aca="false">IF(OR(BO$4="",MONTH(($G$2+30))&lt;&gt;MONTH($C$2)),"",IF(COUNTIFS(m_teacher,BO$4,m_date,($G$2+30),m_active,1,m_start,"&lt;"&amp;1140,m_end,"&gt;"&amp;1080)=0,"",IF(COUNTIFS(m_teacher,BO$4,m_date,($G$2+30),m_active,1,m_start,"&lt;"&amp;1140,m_end,"&gt;"&amp;1080)&gt;1,"충돌",HYPERLINK("#'관리자_MASTER'!D"&amp;_xlfn.MAXIFS(m_row,m_teacher,BO$4,m_date,($G$2+30),m_active,1,m_start,"&lt;"&amp;1140,m_end,"&gt;"&amp;1080),INDEX(m_label,_xlfn.MAXIFS(m_row,m_teacher,BO$4,m_date,($G$2+30),m_active,1,m_start,"&lt;"&amp;1140,m_end,"&gt;"&amp;1080))))))</f>
        <v/>
      </c>
      <c r="BP36" s="82" t="str">
        <f aca="false">IF(OR(BP$4="",MONTH(($G$2+30))&lt;&gt;MONTH($C$2)),"",IF(COUNTIFS(m_teacher,BP$4,m_date,($G$2+30),m_active,1,m_start,"&lt;"&amp;1140,m_end,"&gt;"&amp;1080)=0,"",IF(COUNTIFS(m_teacher,BP$4,m_date,($G$2+30),m_active,1,m_start,"&lt;"&amp;1140,m_end,"&gt;"&amp;1080)&gt;1,"충돌",HYPERLINK("#'관리자_MASTER'!D"&amp;_xlfn.MAXIFS(m_row,m_teacher,BP$4,m_date,($G$2+30),m_active,1,m_start,"&lt;"&amp;1140,m_end,"&gt;"&amp;1080),INDEX(m_label,_xlfn.MAXIFS(m_row,m_teacher,BP$4,m_date,($G$2+30),m_active,1,m_start,"&lt;"&amp;1140,m_end,"&gt;"&amp;1080))))))</f>
        <v/>
      </c>
      <c r="BQ36" s="82" t="str">
        <f aca="false">IF(OR(BQ$4="",MONTH(($G$2+30))&lt;&gt;MONTH($C$2)),"",IF(COUNTIFS(m_teacher,BQ$4,m_date,($G$2+30),m_active,1,m_start,"&lt;"&amp;1140,m_end,"&gt;"&amp;1080)=0,"",IF(COUNTIFS(m_teacher,BQ$4,m_date,($G$2+30),m_active,1,m_start,"&lt;"&amp;1140,m_end,"&gt;"&amp;1080)&gt;1,"충돌",HYPERLINK("#'관리자_MASTER'!D"&amp;_xlfn.MAXIFS(m_row,m_teacher,BQ$4,m_date,($G$2+30),m_active,1,m_start,"&lt;"&amp;1140,m_end,"&gt;"&amp;1080),INDEX(m_label,_xlfn.MAXIFS(m_row,m_teacher,BQ$4,m_date,($G$2+30),m_active,1,m_start,"&lt;"&amp;1140,m_end,"&gt;"&amp;1080))))))</f>
        <v/>
      </c>
      <c r="BR36" s="82" t="str">
        <f aca="false">IF(OR(BR$4="",MONTH(($G$2+30))&lt;&gt;MONTH($C$2)),"",IF(COUNTIFS(m_teacher,BR$4,m_date,($G$2+30),m_active,1,m_start,"&lt;"&amp;1140,m_end,"&gt;"&amp;1080)=0,"",IF(COUNTIFS(m_teacher,BR$4,m_date,($G$2+30),m_active,1,m_start,"&lt;"&amp;1140,m_end,"&gt;"&amp;1080)&gt;1,"충돌",HYPERLINK("#'관리자_MASTER'!D"&amp;_xlfn.MAXIFS(m_row,m_teacher,BR$4,m_date,($G$2+30),m_active,1,m_start,"&lt;"&amp;1140,m_end,"&gt;"&amp;1080),INDEX(m_label,_xlfn.MAXIFS(m_row,m_teacher,BR$4,m_date,($G$2+30),m_active,1,m_start,"&lt;"&amp;1140,m_end,"&gt;"&amp;1080))))))</f>
        <v/>
      </c>
    </row>
    <row r="37" customFormat="false" ht="19.5" hidden="false" customHeight="true" outlineLevel="0" collapsed="false">
      <c r="A37" s="75"/>
      <c r="B37" s="83" t="s">
        <v>101</v>
      </c>
      <c r="C37" s="84" t="str">
        <f aca="false">IF(OR(C$4="",MONTH(($G$2+2))&lt;&gt;MONTH($C$2)),"",IF(COUNTIFS(m_teacher,C$4,m_date,($G$2+2),m_active,1,m_start,"&lt;"&amp;1440,m_end,"&gt;"&amp;1140)=0,"",IF(COUNTIFS(m_teacher,C$4,m_date,($G$2+2),m_active,1,m_start,"&lt;"&amp;1440,m_end,"&gt;"&amp;1140)&gt;1,"충돌",HYPERLINK("#'관리자_MASTER'!D"&amp;_xlfn.MAXIFS(m_row,m_teacher,C$4,m_date,($G$2+2),m_active,1,m_start,"&lt;"&amp;1440,m_end,"&gt;"&amp;1140),INDEX(m_label,_xlfn.MAXIFS(m_row,m_teacher,C$4,m_date,($G$2+2),m_active,1,m_start,"&lt;"&amp;1440,m_end,"&gt;"&amp;1140))))))</f>
        <v/>
      </c>
      <c r="D37" s="84" t="str">
        <f aca="false">IF(OR(D$4="",MONTH(($G$2+2))&lt;&gt;MONTH($C$2)),"",IF(COUNTIFS(m_teacher,D$4,m_date,($G$2+2),m_active,1,m_start,"&lt;"&amp;1440,m_end,"&gt;"&amp;1140)=0,"",IF(COUNTIFS(m_teacher,D$4,m_date,($G$2+2),m_active,1,m_start,"&lt;"&amp;1440,m_end,"&gt;"&amp;1140)&gt;1,"충돌",HYPERLINK("#'관리자_MASTER'!D"&amp;_xlfn.MAXIFS(m_row,m_teacher,D$4,m_date,($G$2+2),m_active,1,m_start,"&lt;"&amp;1440,m_end,"&gt;"&amp;1140),INDEX(m_label,_xlfn.MAXIFS(m_row,m_teacher,D$4,m_date,($G$2+2),m_active,1,m_start,"&lt;"&amp;1440,m_end,"&gt;"&amp;1140))))))</f>
        <v/>
      </c>
      <c r="E37" s="84" t="str">
        <f aca="false">IF(OR(E$4="",MONTH(($G$2+2))&lt;&gt;MONTH($C$2)),"",IF(COUNTIFS(m_teacher,E$4,m_date,($G$2+2),m_active,1,m_start,"&lt;"&amp;1440,m_end,"&gt;"&amp;1140)=0,"",IF(COUNTIFS(m_teacher,E$4,m_date,($G$2+2),m_active,1,m_start,"&lt;"&amp;1440,m_end,"&gt;"&amp;1140)&gt;1,"충돌",HYPERLINK("#'관리자_MASTER'!D"&amp;_xlfn.MAXIFS(m_row,m_teacher,E$4,m_date,($G$2+2),m_active,1,m_start,"&lt;"&amp;1440,m_end,"&gt;"&amp;1140),INDEX(m_label,_xlfn.MAXIFS(m_row,m_teacher,E$4,m_date,($G$2+2),m_active,1,m_start,"&lt;"&amp;1440,m_end,"&gt;"&amp;1140))))))</f>
        <v/>
      </c>
      <c r="F37" s="84" t="str">
        <f aca="false">IF(OR(F$4="",MONTH(($G$2+2))&lt;&gt;MONTH($C$2)),"",IF(COUNTIFS(m_teacher,F$4,m_date,($G$2+2),m_active,1,m_start,"&lt;"&amp;1440,m_end,"&gt;"&amp;1140)=0,"",IF(COUNTIFS(m_teacher,F$4,m_date,($G$2+2),m_active,1,m_start,"&lt;"&amp;1440,m_end,"&gt;"&amp;1140)&gt;1,"충돌",HYPERLINK("#'관리자_MASTER'!D"&amp;_xlfn.MAXIFS(m_row,m_teacher,F$4,m_date,($G$2+2),m_active,1,m_start,"&lt;"&amp;1440,m_end,"&gt;"&amp;1140),INDEX(m_label,_xlfn.MAXIFS(m_row,m_teacher,F$4,m_date,($G$2+2),m_active,1,m_start,"&lt;"&amp;1440,m_end,"&gt;"&amp;1140))))))</f>
        <v/>
      </c>
      <c r="G37" s="84" t="str">
        <f aca="false">IF(OR(G$4="",MONTH(($G$2+2))&lt;&gt;MONTH($C$2)),"",IF(COUNTIFS(m_teacher,G$4,m_date,($G$2+2),m_active,1,m_start,"&lt;"&amp;1440,m_end,"&gt;"&amp;1140)=0,"",IF(COUNTIFS(m_teacher,G$4,m_date,($G$2+2),m_active,1,m_start,"&lt;"&amp;1440,m_end,"&gt;"&amp;1140)&gt;1,"충돌",HYPERLINK("#'관리자_MASTER'!D"&amp;_xlfn.MAXIFS(m_row,m_teacher,G$4,m_date,($G$2+2),m_active,1,m_start,"&lt;"&amp;1440,m_end,"&gt;"&amp;1140),INDEX(m_label,_xlfn.MAXIFS(m_row,m_teacher,G$4,m_date,($G$2+2),m_active,1,m_start,"&lt;"&amp;1440,m_end,"&gt;"&amp;1140))))))</f>
        <v/>
      </c>
      <c r="H37" s="84" t="str">
        <f aca="false">IF(OR(H$4="",MONTH(($G$2+2))&lt;&gt;MONTH($C$2)),"",IF(COUNTIFS(m_teacher,H$4,m_date,($G$2+2),m_active,1,m_start,"&lt;"&amp;1440,m_end,"&gt;"&amp;1140)=0,"",IF(COUNTIFS(m_teacher,H$4,m_date,($G$2+2),m_active,1,m_start,"&lt;"&amp;1440,m_end,"&gt;"&amp;1140)&gt;1,"충돌",HYPERLINK("#'관리자_MASTER'!D"&amp;_xlfn.MAXIFS(m_row,m_teacher,H$4,m_date,($G$2+2),m_active,1,m_start,"&lt;"&amp;1440,m_end,"&gt;"&amp;1140),INDEX(m_label,_xlfn.MAXIFS(m_row,m_teacher,H$4,m_date,($G$2+2),m_active,1,m_start,"&lt;"&amp;1440,m_end,"&gt;"&amp;1140))))))</f>
        <v/>
      </c>
      <c r="I37" s="84" t="str">
        <f aca="false">IF(OR(I$4="",MONTH(($G$2+2))&lt;&gt;MONTH($C$2)),"",IF(COUNTIFS(m_teacher,I$4,m_date,($G$2+2),m_active,1,m_start,"&lt;"&amp;1440,m_end,"&gt;"&amp;1140)=0,"",IF(COUNTIFS(m_teacher,I$4,m_date,($G$2+2),m_active,1,m_start,"&lt;"&amp;1440,m_end,"&gt;"&amp;1140)&gt;1,"충돌",HYPERLINK("#'관리자_MASTER'!D"&amp;_xlfn.MAXIFS(m_row,m_teacher,I$4,m_date,($G$2+2),m_active,1,m_start,"&lt;"&amp;1440,m_end,"&gt;"&amp;1140),INDEX(m_label,_xlfn.MAXIFS(m_row,m_teacher,I$4,m_date,($G$2+2),m_active,1,m_start,"&lt;"&amp;1440,m_end,"&gt;"&amp;1140))))))</f>
        <v/>
      </c>
      <c r="J37" s="84" t="str">
        <f aca="false">IF(OR(J$4="",MONTH(($G$2+2))&lt;&gt;MONTH($C$2)),"",IF(COUNTIFS(m_teacher,J$4,m_date,($G$2+2),m_active,1,m_start,"&lt;"&amp;1440,m_end,"&gt;"&amp;1140)=0,"",IF(COUNTIFS(m_teacher,J$4,m_date,($G$2+2),m_active,1,m_start,"&lt;"&amp;1440,m_end,"&gt;"&amp;1140)&gt;1,"충돌",HYPERLINK("#'관리자_MASTER'!D"&amp;_xlfn.MAXIFS(m_row,m_teacher,J$4,m_date,($G$2+2),m_active,1,m_start,"&lt;"&amp;1440,m_end,"&gt;"&amp;1140),INDEX(m_label,_xlfn.MAXIFS(m_row,m_teacher,J$4,m_date,($G$2+2),m_active,1,m_start,"&lt;"&amp;1440,m_end,"&gt;"&amp;1140))))))</f>
        <v/>
      </c>
      <c r="K37" s="84" t="str">
        <f aca="false">IF(OR(K$4="",MONTH(($G$2+2))&lt;&gt;MONTH($C$2)),"",IF(COUNTIFS(m_teacher,K$4,m_date,($G$2+2),m_active,1,m_start,"&lt;"&amp;1440,m_end,"&gt;"&amp;1140)=0,"",IF(COUNTIFS(m_teacher,K$4,m_date,($G$2+2),m_active,1,m_start,"&lt;"&amp;1440,m_end,"&gt;"&amp;1140)&gt;1,"충돌",HYPERLINK("#'관리자_MASTER'!D"&amp;_xlfn.MAXIFS(m_row,m_teacher,K$4,m_date,($G$2+2),m_active,1,m_start,"&lt;"&amp;1440,m_end,"&gt;"&amp;1140),INDEX(m_label,_xlfn.MAXIFS(m_row,m_teacher,K$4,m_date,($G$2+2),m_active,1,m_start,"&lt;"&amp;1440,m_end,"&gt;"&amp;1140))))))</f>
        <v/>
      </c>
      <c r="L37" s="84" t="str">
        <f aca="false">IF(OR(L$4="",MONTH(($G$2+2))&lt;&gt;MONTH($C$2)),"",IF(COUNTIFS(m_teacher,L$4,m_date,($G$2+2),m_active,1,m_start,"&lt;"&amp;1440,m_end,"&gt;"&amp;1140)=0,"",IF(COUNTIFS(m_teacher,L$4,m_date,($G$2+2),m_active,1,m_start,"&lt;"&amp;1440,m_end,"&gt;"&amp;1140)&gt;1,"충돌",HYPERLINK("#'관리자_MASTER'!D"&amp;_xlfn.MAXIFS(m_row,m_teacher,L$4,m_date,($G$2+2),m_active,1,m_start,"&lt;"&amp;1440,m_end,"&gt;"&amp;1140),INDEX(m_label,_xlfn.MAXIFS(m_row,m_teacher,L$4,m_date,($G$2+2),m_active,1,m_start,"&lt;"&amp;1440,m_end,"&gt;"&amp;1140))))))</f>
        <v/>
      </c>
      <c r="M37" s="84" t="str">
        <f aca="false">IF(OR(M$4="",MONTH(($G$2+2))&lt;&gt;MONTH($C$2)),"",IF(COUNTIFS(m_teacher,M$4,m_date,($G$2+2),m_active,1,m_start,"&lt;"&amp;1440,m_end,"&gt;"&amp;1140)=0,"",IF(COUNTIFS(m_teacher,M$4,m_date,($G$2+2),m_active,1,m_start,"&lt;"&amp;1440,m_end,"&gt;"&amp;1140)&gt;1,"충돌",HYPERLINK("#'관리자_MASTER'!D"&amp;_xlfn.MAXIFS(m_row,m_teacher,M$4,m_date,($G$2+2),m_active,1,m_start,"&lt;"&amp;1440,m_end,"&gt;"&amp;1140),INDEX(m_label,_xlfn.MAXIFS(m_row,m_teacher,M$4,m_date,($G$2+2),m_active,1,m_start,"&lt;"&amp;1440,m_end,"&gt;"&amp;1140))))))</f>
        <v/>
      </c>
      <c r="N37" s="84" t="str">
        <f aca="false">IF(OR(N$4="",MONTH(($G$2+2))&lt;&gt;MONTH($C$2)),"",IF(COUNTIFS(m_teacher,N$4,m_date,($G$2+2),m_active,1,m_start,"&lt;"&amp;1440,m_end,"&gt;"&amp;1140)=0,"",IF(COUNTIFS(m_teacher,N$4,m_date,($G$2+2),m_active,1,m_start,"&lt;"&amp;1440,m_end,"&gt;"&amp;1140)&gt;1,"충돌",HYPERLINK("#'관리자_MASTER'!D"&amp;_xlfn.MAXIFS(m_row,m_teacher,N$4,m_date,($G$2+2),m_active,1,m_start,"&lt;"&amp;1440,m_end,"&gt;"&amp;1140),INDEX(m_label,_xlfn.MAXIFS(m_row,m_teacher,N$4,m_date,($G$2+2),m_active,1,m_start,"&lt;"&amp;1440,m_end,"&gt;"&amp;1140))))))</f>
        <v/>
      </c>
      <c r="O37" s="78"/>
      <c r="P37" s="85" t="s">
        <v>101</v>
      </c>
      <c r="Q37" s="86" t="str">
        <f aca="false">IF(OR(Q$4="",MONTH(($G$2+9))&lt;&gt;MONTH($C$2)),"",IF(COUNTIFS(m_teacher,Q$4,m_date,($G$2+9),m_active,1,m_start,"&lt;"&amp;1440,m_end,"&gt;"&amp;1140)=0,"",IF(COUNTIFS(m_teacher,Q$4,m_date,($G$2+9),m_active,1,m_start,"&lt;"&amp;1440,m_end,"&gt;"&amp;1140)&gt;1,"충돌",HYPERLINK("#'관리자_MASTER'!D"&amp;_xlfn.MAXIFS(m_row,m_teacher,Q$4,m_date,($G$2+9),m_active,1,m_start,"&lt;"&amp;1440,m_end,"&gt;"&amp;1140),INDEX(m_label,_xlfn.MAXIFS(m_row,m_teacher,Q$4,m_date,($G$2+9),m_active,1,m_start,"&lt;"&amp;1440,m_end,"&gt;"&amp;1140))))))</f>
        <v/>
      </c>
      <c r="R37" s="86" t="str">
        <f aca="false">IF(OR(R$4="",MONTH(($G$2+9))&lt;&gt;MONTH($C$2)),"",IF(COUNTIFS(m_teacher,R$4,m_date,($G$2+9),m_active,1,m_start,"&lt;"&amp;1440,m_end,"&gt;"&amp;1140)=0,"",IF(COUNTIFS(m_teacher,R$4,m_date,($G$2+9),m_active,1,m_start,"&lt;"&amp;1440,m_end,"&gt;"&amp;1140)&gt;1,"충돌",HYPERLINK("#'관리자_MASTER'!D"&amp;_xlfn.MAXIFS(m_row,m_teacher,R$4,m_date,($G$2+9),m_active,1,m_start,"&lt;"&amp;1440,m_end,"&gt;"&amp;1140),INDEX(m_label,_xlfn.MAXIFS(m_row,m_teacher,R$4,m_date,($G$2+9),m_active,1,m_start,"&lt;"&amp;1440,m_end,"&gt;"&amp;1140))))))</f>
        <v/>
      </c>
      <c r="S37" s="86" t="str">
        <f aca="false">IF(OR(S$4="",MONTH(($G$2+9))&lt;&gt;MONTH($C$2)),"",IF(COUNTIFS(m_teacher,S$4,m_date,($G$2+9),m_active,1,m_start,"&lt;"&amp;1440,m_end,"&gt;"&amp;1140)=0,"",IF(COUNTIFS(m_teacher,S$4,m_date,($G$2+9),m_active,1,m_start,"&lt;"&amp;1440,m_end,"&gt;"&amp;1140)&gt;1,"충돌",HYPERLINK("#'관리자_MASTER'!D"&amp;_xlfn.MAXIFS(m_row,m_teacher,S$4,m_date,($G$2+9),m_active,1,m_start,"&lt;"&amp;1440,m_end,"&gt;"&amp;1140),INDEX(m_label,_xlfn.MAXIFS(m_row,m_teacher,S$4,m_date,($G$2+9),m_active,1,m_start,"&lt;"&amp;1440,m_end,"&gt;"&amp;1140))))))</f>
        <v/>
      </c>
      <c r="T37" s="86" t="str">
        <f aca="false">IF(OR(T$4="",MONTH(($G$2+9))&lt;&gt;MONTH($C$2)),"",IF(COUNTIFS(m_teacher,T$4,m_date,($G$2+9),m_active,1,m_start,"&lt;"&amp;1440,m_end,"&gt;"&amp;1140)=0,"",IF(COUNTIFS(m_teacher,T$4,m_date,($G$2+9),m_active,1,m_start,"&lt;"&amp;1440,m_end,"&gt;"&amp;1140)&gt;1,"충돌",HYPERLINK("#'관리자_MASTER'!D"&amp;_xlfn.MAXIFS(m_row,m_teacher,T$4,m_date,($G$2+9),m_active,1,m_start,"&lt;"&amp;1440,m_end,"&gt;"&amp;1140),INDEX(m_label,_xlfn.MAXIFS(m_row,m_teacher,T$4,m_date,($G$2+9),m_active,1,m_start,"&lt;"&amp;1440,m_end,"&gt;"&amp;1140))))))</f>
        <v/>
      </c>
      <c r="U37" s="86" t="str">
        <f aca="false">IF(OR(U$4="",MONTH(($G$2+9))&lt;&gt;MONTH($C$2)),"",IF(COUNTIFS(m_teacher,U$4,m_date,($G$2+9),m_active,1,m_start,"&lt;"&amp;1440,m_end,"&gt;"&amp;1140)=0,"",IF(COUNTIFS(m_teacher,U$4,m_date,($G$2+9),m_active,1,m_start,"&lt;"&amp;1440,m_end,"&gt;"&amp;1140)&gt;1,"충돌",HYPERLINK("#'관리자_MASTER'!D"&amp;_xlfn.MAXIFS(m_row,m_teacher,U$4,m_date,($G$2+9),m_active,1,m_start,"&lt;"&amp;1440,m_end,"&gt;"&amp;1140),INDEX(m_label,_xlfn.MAXIFS(m_row,m_teacher,U$4,m_date,($G$2+9),m_active,1,m_start,"&lt;"&amp;1440,m_end,"&gt;"&amp;1140))))))</f>
        <v/>
      </c>
      <c r="V37" s="86" t="str">
        <f aca="false">IF(OR(V$4="",MONTH(($G$2+9))&lt;&gt;MONTH($C$2)),"",IF(COUNTIFS(m_teacher,V$4,m_date,($G$2+9),m_active,1,m_start,"&lt;"&amp;1440,m_end,"&gt;"&amp;1140)=0,"",IF(COUNTIFS(m_teacher,V$4,m_date,($G$2+9),m_active,1,m_start,"&lt;"&amp;1440,m_end,"&gt;"&amp;1140)&gt;1,"충돌",HYPERLINK("#'관리자_MASTER'!D"&amp;_xlfn.MAXIFS(m_row,m_teacher,V$4,m_date,($G$2+9),m_active,1,m_start,"&lt;"&amp;1440,m_end,"&gt;"&amp;1140),INDEX(m_label,_xlfn.MAXIFS(m_row,m_teacher,V$4,m_date,($G$2+9),m_active,1,m_start,"&lt;"&amp;1440,m_end,"&gt;"&amp;1140))))))</f>
        <v/>
      </c>
      <c r="W37" s="86" t="str">
        <f aca="false">IF(OR(W$4="",MONTH(($G$2+9))&lt;&gt;MONTH($C$2)),"",IF(COUNTIFS(m_teacher,W$4,m_date,($G$2+9),m_active,1,m_start,"&lt;"&amp;1440,m_end,"&gt;"&amp;1140)=0,"",IF(COUNTIFS(m_teacher,W$4,m_date,($G$2+9),m_active,1,m_start,"&lt;"&amp;1440,m_end,"&gt;"&amp;1140)&gt;1,"충돌",HYPERLINK("#'관리자_MASTER'!D"&amp;_xlfn.MAXIFS(m_row,m_teacher,W$4,m_date,($G$2+9),m_active,1,m_start,"&lt;"&amp;1440,m_end,"&gt;"&amp;1140),INDEX(m_label,_xlfn.MAXIFS(m_row,m_teacher,W$4,m_date,($G$2+9),m_active,1,m_start,"&lt;"&amp;1440,m_end,"&gt;"&amp;1140))))))</f>
        <v/>
      </c>
      <c r="X37" s="86" t="str">
        <f aca="false">IF(OR(X$4="",MONTH(($G$2+9))&lt;&gt;MONTH($C$2)),"",IF(COUNTIFS(m_teacher,X$4,m_date,($G$2+9),m_active,1,m_start,"&lt;"&amp;1440,m_end,"&gt;"&amp;1140)=0,"",IF(COUNTIFS(m_teacher,X$4,m_date,($G$2+9),m_active,1,m_start,"&lt;"&amp;1440,m_end,"&gt;"&amp;1140)&gt;1,"충돌",HYPERLINK("#'관리자_MASTER'!D"&amp;_xlfn.MAXIFS(m_row,m_teacher,X$4,m_date,($G$2+9),m_active,1,m_start,"&lt;"&amp;1440,m_end,"&gt;"&amp;1140),INDEX(m_label,_xlfn.MAXIFS(m_row,m_teacher,X$4,m_date,($G$2+9),m_active,1,m_start,"&lt;"&amp;1440,m_end,"&gt;"&amp;1140))))))</f>
        <v/>
      </c>
      <c r="Y37" s="86" t="str">
        <f aca="false">IF(OR(Y$4="",MONTH(($G$2+9))&lt;&gt;MONTH($C$2)),"",IF(COUNTIFS(m_teacher,Y$4,m_date,($G$2+9),m_active,1,m_start,"&lt;"&amp;1440,m_end,"&gt;"&amp;1140)=0,"",IF(COUNTIFS(m_teacher,Y$4,m_date,($G$2+9),m_active,1,m_start,"&lt;"&amp;1440,m_end,"&gt;"&amp;1140)&gt;1,"충돌",HYPERLINK("#'관리자_MASTER'!D"&amp;_xlfn.MAXIFS(m_row,m_teacher,Y$4,m_date,($G$2+9),m_active,1,m_start,"&lt;"&amp;1440,m_end,"&gt;"&amp;1140),INDEX(m_label,_xlfn.MAXIFS(m_row,m_teacher,Y$4,m_date,($G$2+9),m_active,1,m_start,"&lt;"&amp;1440,m_end,"&gt;"&amp;1140))))))</f>
        <v/>
      </c>
      <c r="Z37" s="86" t="str">
        <f aca="false">IF(OR(Z$4="",MONTH(($G$2+9))&lt;&gt;MONTH($C$2)),"",IF(COUNTIFS(m_teacher,Z$4,m_date,($G$2+9),m_active,1,m_start,"&lt;"&amp;1440,m_end,"&gt;"&amp;1140)=0,"",IF(COUNTIFS(m_teacher,Z$4,m_date,($G$2+9),m_active,1,m_start,"&lt;"&amp;1440,m_end,"&gt;"&amp;1140)&gt;1,"충돌",HYPERLINK("#'관리자_MASTER'!D"&amp;_xlfn.MAXIFS(m_row,m_teacher,Z$4,m_date,($G$2+9),m_active,1,m_start,"&lt;"&amp;1440,m_end,"&gt;"&amp;1140),INDEX(m_label,_xlfn.MAXIFS(m_row,m_teacher,Z$4,m_date,($G$2+9),m_active,1,m_start,"&lt;"&amp;1440,m_end,"&gt;"&amp;1140))))))</f>
        <v/>
      </c>
      <c r="AA37" s="86" t="str">
        <f aca="false">IF(OR(AA$4="",MONTH(($G$2+9))&lt;&gt;MONTH($C$2)),"",IF(COUNTIFS(m_teacher,AA$4,m_date,($G$2+9),m_active,1,m_start,"&lt;"&amp;1440,m_end,"&gt;"&amp;1140)=0,"",IF(COUNTIFS(m_teacher,AA$4,m_date,($G$2+9),m_active,1,m_start,"&lt;"&amp;1440,m_end,"&gt;"&amp;1140)&gt;1,"충돌",HYPERLINK("#'관리자_MASTER'!D"&amp;_xlfn.MAXIFS(m_row,m_teacher,AA$4,m_date,($G$2+9),m_active,1,m_start,"&lt;"&amp;1440,m_end,"&gt;"&amp;1140),INDEX(m_label,_xlfn.MAXIFS(m_row,m_teacher,AA$4,m_date,($G$2+9),m_active,1,m_start,"&lt;"&amp;1440,m_end,"&gt;"&amp;1140))))))</f>
        <v/>
      </c>
      <c r="AB37" s="86" t="str">
        <f aca="false">IF(OR(AB$4="",MONTH(($G$2+9))&lt;&gt;MONTH($C$2)),"",IF(COUNTIFS(m_teacher,AB$4,m_date,($G$2+9),m_active,1,m_start,"&lt;"&amp;1440,m_end,"&gt;"&amp;1140)=0,"",IF(COUNTIFS(m_teacher,AB$4,m_date,($G$2+9),m_active,1,m_start,"&lt;"&amp;1440,m_end,"&gt;"&amp;1140)&gt;1,"충돌",HYPERLINK("#'관리자_MASTER'!D"&amp;_xlfn.MAXIFS(m_row,m_teacher,AB$4,m_date,($G$2+9),m_active,1,m_start,"&lt;"&amp;1440,m_end,"&gt;"&amp;1140),INDEX(m_label,_xlfn.MAXIFS(m_row,m_teacher,AB$4,m_date,($G$2+9),m_active,1,m_start,"&lt;"&amp;1440,m_end,"&gt;"&amp;1140))))))</f>
        <v/>
      </c>
      <c r="AC37" s="78"/>
      <c r="AD37" s="85" t="s">
        <v>101</v>
      </c>
      <c r="AE37" s="86" t="str">
        <f aca="false">IF(OR(AE$4="",MONTH(($G$2+16))&lt;&gt;MONTH($C$2)),"",IF(COUNTIFS(m_teacher,AE$4,m_date,($G$2+16),m_active,1,m_start,"&lt;"&amp;1440,m_end,"&gt;"&amp;1140)=0,"",IF(COUNTIFS(m_teacher,AE$4,m_date,($G$2+16),m_active,1,m_start,"&lt;"&amp;1440,m_end,"&gt;"&amp;1140)&gt;1,"충돌",HYPERLINK("#'관리자_MASTER'!D"&amp;_xlfn.MAXIFS(m_row,m_teacher,AE$4,m_date,($G$2+16),m_active,1,m_start,"&lt;"&amp;1440,m_end,"&gt;"&amp;1140),INDEX(m_label,_xlfn.MAXIFS(m_row,m_teacher,AE$4,m_date,($G$2+16),m_active,1,m_start,"&lt;"&amp;1440,m_end,"&gt;"&amp;1140))))))</f>
        <v/>
      </c>
      <c r="AF37" s="86" t="str">
        <f aca="false">IF(OR(AF$4="",MONTH(($G$2+16))&lt;&gt;MONTH($C$2)),"",IF(COUNTIFS(m_teacher,AF$4,m_date,($G$2+16),m_active,1,m_start,"&lt;"&amp;1440,m_end,"&gt;"&amp;1140)=0,"",IF(COUNTIFS(m_teacher,AF$4,m_date,($G$2+16),m_active,1,m_start,"&lt;"&amp;1440,m_end,"&gt;"&amp;1140)&gt;1,"충돌",HYPERLINK("#'관리자_MASTER'!D"&amp;_xlfn.MAXIFS(m_row,m_teacher,AF$4,m_date,($G$2+16),m_active,1,m_start,"&lt;"&amp;1440,m_end,"&gt;"&amp;1140),INDEX(m_label,_xlfn.MAXIFS(m_row,m_teacher,AF$4,m_date,($G$2+16),m_active,1,m_start,"&lt;"&amp;1440,m_end,"&gt;"&amp;1140))))))</f>
        <v/>
      </c>
      <c r="AG37" s="86" t="str">
        <f aca="false">IF(OR(AG$4="",MONTH(($G$2+16))&lt;&gt;MONTH($C$2)),"",IF(COUNTIFS(m_teacher,AG$4,m_date,($G$2+16),m_active,1,m_start,"&lt;"&amp;1440,m_end,"&gt;"&amp;1140)=0,"",IF(COUNTIFS(m_teacher,AG$4,m_date,($G$2+16),m_active,1,m_start,"&lt;"&amp;1440,m_end,"&gt;"&amp;1140)&gt;1,"충돌",HYPERLINK("#'관리자_MASTER'!D"&amp;_xlfn.MAXIFS(m_row,m_teacher,AG$4,m_date,($G$2+16),m_active,1,m_start,"&lt;"&amp;1440,m_end,"&gt;"&amp;1140),INDEX(m_label,_xlfn.MAXIFS(m_row,m_teacher,AG$4,m_date,($G$2+16),m_active,1,m_start,"&lt;"&amp;1440,m_end,"&gt;"&amp;1140))))))</f>
        <v/>
      </c>
      <c r="AH37" s="86" t="str">
        <f aca="false">IF(OR(AH$4="",MONTH(($G$2+16))&lt;&gt;MONTH($C$2)),"",IF(COUNTIFS(m_teacher,AH$4,m_date,($G$2+16),m_active,1,m_start,"&lt;"&amp;1440,m_end,"&gt;"&amp;1140)=0,"",IF(COUNTIFS(m_teacher,AH$4,m_date,($G$2+16),m_active,1,m_start,"&lt;"&amp;1440,m_end,"&gt;"&amp;1140)&gt;1,"충돌",HYPERLINK("#'관리자_MASTER'!D"&amp;_xlfn.MAXIFS(m_row,m_teacher,AH$4,m_date,($G$2+16),m_active,1,m_start,"&lt;"&amp;1440,m_end,"&gt;"&amp;1140),INDEX(m_label,_xlfn.MAXIFS(m_row,m_teacher,AH$4,m_date,($G$2+16),m_active,1,m_start,"&lt;"&amp;1440,m_end,"&gt;"&amp;1140))))))</f>
        <v/>
      </c>
      <c r="AI37" s="86" t="str">
        <f aca="false">IF(OR(AI$4="",MONTH(($G$2+16))&lt;&gt;MONTH($C$2)),"",IF(COUNTIFS(m_teacher,AI$4,m_date,($G$2+16),m_active,1,m_start,"&lt;"&amp;1440,m_end,"&gt;"&amp;1140)=0,"",IF(COUNTIFS(m_teacher,AI$4,m_date,($G$2+16),m_active,1,m_start,"&lt;"&amp;1440,m_end,"&gt;"&amp;1140)&gt;1,"충돌",HYPERLINK("#'관리자_MASTER'!D"&amp;_xlfn.MAXIFS(m_row,m_teacher,AI$4,m_date,($G$2+16),m_active,1,m_start,"&lt;"&amp;1440,m_end,"&gt;"&amp;1140),INDEX(m_label,_xlfn.MAXIFS(m_row,m_teacher,AI$4,m_date,($G$2+16),m_active,1,m_start,"&lt;"&amp;1440,m_end,"&gt;"&amp;1140))))))</f>
        <v/>
      </c>
      <c r="AJ37" s="86" t="str">
        <f aca="false">IF(OR(AJ$4="",MONTH(($G$2+16))&lt;&gt;MONTH($C$2)),"",IF(COUNTIFS(m_teacher,AJ$4,m_date,($G$2+16),m_active,1,m_start,"&lt;"&amp;1440,m_end,"&gt;"&amp;1140)=0,"",IF(COUNTIFS(m_teacher,AJ$4,m_date,($G$2+16),m_active,1,m_start,"&lt;"&amp;1440,m_end,"&gt;"&amp;1140)&gt;1,"충돌",HYPERLINK("#'관리자_MASTER'!D"&amp;_xlfn.MAXIFS(m_row,m_teacher,AJ$4,m_date,($G$2+16),m_active,1,m_start,"&lt;"&amp;1440,m_end,"&gt;"&amp;1140),INDEX(m_label,_xlfn.MAXIFS(m_row,m_teacher,AJ$4,m_date,($G$2+16),m_active,1,m_start,"&lt;"&amp;1440,m_end,"&gt;"&amp;1140))))))</f>
        <v/>
      </c>
      <c r="AK37" s="86" t="str">
        <f aca="false">IF(OR(AK$4="",MONTH(($G$2+16))&lt;&gt;MONTH($C$2)),"",IF(COUNTIFS(m_teacher,AK$4,m_date,($G$2+16),m_active,1,m_start,"&lt;"&amp;1440,m_end,"&gt;"&amp;1140)=0,"",IF(COUNTIFS(m_teacher,AK$4,m_date,($G$2+16),m_active,1,m_start,"&lt;"&amp;1440,m_end,"&gt;"&amp;1140)&gt;1,"충돌",HYPERLINK("#'관리자_MASTER'!D"&amp;_xlfn.MAXIFS(m_row,m_teacher,AK$4,m_date,($G$2+16),m_active,1,m_start,"&lt;"&amp;1440,m_end,"&gt;"&amp;1140),INDEX(m_label,_xlfn.MAXIFS(m_row,m_teacher,AK$4,m_date,($G$2+16),m_active,1,m_start,"&lt;"&amp;1440,m_end,"&gt;"&amp;1140))))))</f>
        <v/>
      </c>
      <c r="AL37" s="86" t="str">
        <f aca="false">IF(OR(AL$4="",MONTH(($G$2+16))&lt;&gt;MONTH($C$2)),"",IF(COUNTIFS(m_teacher,AL$4,m_date,($G$2+16),m_active,1,m_start,"&lt;"&amp;1440,m_end,"&gt;"&amp;1140)=0,"",IF(COUNTIFS(m_teacher,AL$4,m_date,($G$2+16),m_active,1,m_start,"&lt;"&amp;1440,m_end,"&gt;"&amp;1140)&gt;1,"충돌",HYPERLINK("#'관리자_MASTER'!D"&amp;_xlfn.MAXIFS(m_row,m_teacher,AL$4,m_date,($G$2+16),m_active,1,m_start,"&lt;"&amp;1440,m_end,"&gt;"&amp;1140),INDEX(m_label,_xlfn.MAXIFS(m_row,m_teacher,AL$4,m_date,($G$2+16),m_active,1,m_start,"&lt;"&amp;1440,m_end,"&gt;"&amp;1140))))))</f>
        <v/>
      </c>
      <c r="AM37" s="86" t="str">
        <f aca="false">IF(OR(AM$4="",MONTH(($G$2+16))&lt;&gt;MONTH($C$2)),"",IF(COUNTIFS(m_teacher,AM$4,m_date,($G$2+16),m_active,1,m_start,"&lt;"&amp;1440,m_end,"&gt;"&amp;1140)=0,"",IF(COUNTIFS(m_teacher,AM$4,m_date,($G$2+16),m_active,1,m_start,"&lt;"&amp;1440,m_end,"&gt;"&amp;1140)&gt;1,"충돌",HYPERLINK("#'관리자_MASTER'!D"&amp;_xlfn.MAXIFS(m_row,m_teacher,AM$4,m_date,($G$2+16),m_active,1,m_start,"&lt;"&amp;1440,m_end,"&gt;"&amp;1140),INDEX(m_label,_xlfn.MAXIFS(m_row,m_teacher,AM$4,m_date,($G$2+16),m_active,1,m_start,"&lt;"&amp;1440,m_end,"&gt;"&amp;1140))))))</f>
        <v/>
      </c>
      <c r="AN37" s="86" t="str">
        <f aca="false">IF(OR(AN$4="",MONTH(($G$2+16))&lt;&gt;MONTH($C$2)),"",IF(COUNTIFS(m_teacher,AN$4,m_date,($G$2+16),m_active,1,m_start,"&lt;"&amp;1440,m_end,"&gt;"&amp;1140)=0,"",IF(COUNTIFS(m_teacher,AN$4,m_date,($G$2+16),m_active,1,m_start,"&lt;"&amp;1440,m_end,"&gt;"&amp;1140)&gt;1,"충돌",HYPERLINK("#'관리자_MASTER'!D"&amp;_xlfn.MAXIFS(m_row,m_teacher,AN$4,m_date,($G$2+16),m_active,1,m_start,"&lt;"&amp;1440,m_end,"&gt;"&amp;1140),INDEX(m_label,_xlfn.MAXIFS(m_row,m_teacher,AN$4,m_date,($G$2+16),m_active,1,m_start,"&lt;"&amp;1440,m_end,"&gt;"&amp;1140))))))</f>
        <v/>
      </c>
      <c r="AO37" s="86" t="str">
        <f aca="false">IF(OR(AO$4="",MONTH(($G$2+16))&lt;&gt;MONTH($C$2)),"",IF(COUNTIFS(m_teacher,AO$4,m_date,($G$2+16),m_active,1,m_start,"&lt;"&amp;1440,m_end,"&gt;"&amp;1140)=0,"",IF(COUNTIFS(m_teacher,AO$4,m_date,($G$2+16),m_active,1,m_start,"&lt;"&amp;1440,m_end,"&gt;"&amp;1140)&gt;1,"충돌",HYPERLINK("#'관리자_MASTER'!D"&amp;_xlfn.MAXIFS(m_row,m_teacher,AO$4,m_date,($G$2+16),m_active,1,m_start,"&lt;"&amp;1440,m_end,"&gt;"&amp;1140),INDEX(m_label,_xlfn.MAXIFS(m_row,m_teacher,AO$4,m_date,($G$2+16),m_active,1,m_start,"&lt;"&amp;1440,m_end,"&gt;"&amp;1140))))))</f>
        <v/>
      </c>
      <c r="AP37" s="86" t="str">
        <f aca="false">IF(OR(AP$4="",MONTH(($G$2+16))&lt;&gt;MONTH($C$2)),"",IF(COUNTIFS(m_teacher,AP$4,m_date,($G$2+16),m_active,1,m_start,"&lt;"&amp;1440,m_end,"&gt;"&amp;1140)=0,"",IF(COUNTIFS(m_teacher,AP$4,m_date,($G$2+16),m_active,1,m_start,"&lt;"&amp;1440,m_end,"&gt;"&amp;1140)&gt;1,"충돌",HYPERLINK("#'관리자_MASTER'!D"&amp;_xlfn.MAXIFS(m_row,m_teacher,AP$4,m_date,($G$2+16),m_active,1,m_start,"&lt;"&amp;1440,m_end,"&gt;"&amp;1140),INDEX(m_label,_xlfn.MAXIFS(m_row,m_teacher,AP$4,m_date,($G$2+16),m_active,1,m_start,"&lt;"&amp;1440,m_end,"&gt;"&amp;1140))))))</f>
        <v/>
      </c>
      <c r="AQ37" s="78"/>
      <c r="AR37" s="85" t="s">
        <v>101</v>
      </c>
      <c r="AS37" s="86" t="str">
        <f aca="false">IF(OR(AS$4="",MONTH(($G$2+23))&lt;&gt;MONTH($C$2)),"",IF(COUNTIFS(m_teacher,AS$4,m_date,($G$2+23),m_active,1,m_start,"&lt;"&amp;1440,m_end,"&gt;"&amp;1140)=0,"",IF(COUNTIFS(m_teacher,AS$4,m_date,($G$2+23),m_active,1,m_start,"&lt;"&amp;1440,m_end,"&gt;"&amp;1140)&gt;1,"충돌",HYPERLINK("#'관리자_MASTER'!D"&amp;_xlfn.MAXIFS(m_row,m_teacher,AS$4,m_date,($G$2+23),m_active,1,m_start,"&lt;"&amp;1440,m_end,"&gt;"&amp;1140),INDEX(m_label,_xlfn.MAXIFS(m_row,m_teacher,AS$4,m_date,($G$2+23),m_active,1,m_start,"&lt;"&amp;1440,m_end,"&gt;"&amp;1140))))))</f>
        <v/>
      </c>
      <c r="AT37" s="86" t="str">
        <f aca="false">IF(OR(AT$4="",MONTH(($G$2+23))&lt;&gt;MONTH($C$2)),"",IF(COUNTIFS(m_teacher,AT$4,m_date,($G$2+23),m_active,1,m_start,"&lt;"&amp;1440,m_end,"&gt;"&amp;1140)=0,"",IF(COUNTIFS(m_teacher,AT$4,m_date,($G$2+23),m_active,1,m_start,"&lt;"&amp;1440,m_end,"&gt;"&amp;1140)&gt;1,"충돌",HYPERLINK("#'관리자_MASTER'!D"&amp;_xlfn.MAXIFS(m_row,m_teacher,AT$4,m_date,($G$2+23),m_active,1,m_start,"&lt;"&amp;1440,m_end,"&gt;"&amp;1140),INDEX(m_label,_xlfn.MAXIFS(m_row,m_teacher,AT$4,m_date,($G$2+23),m_active,1,m_start,"&lt;"&amp;1440,m_end,"&gt;"&amp;1140))))))</f>
        <v/>
      </c>
      <c r="AU37" s="86" t="str">
        <f aca="false">IF(OR(AU$4="",MONTH(($G$2+23))&lt;&gt;MONTH($C$2)),"",IF(COUNTIFS(m_teacher,AU$4,m_date,($G$2+23),m_active,1,m_start,"&lt;"&amp;1440,m_end,"&gt;"&amp;1140)=0,"",IF(COUNTIFS(m_teacher,AU$4,m_date,($G$2+23),m_active,1,m_start,"&lt;"&amp;1440,m_end,"&gt;"&amp;1140)&gt;1,"충돌",HYPERLINK("#'관리자_MASTER'!D"&amp;_xlfn.MAXIFS(m_row,m_teacher,AU$4,m_date,($G$2+23),m_active,1,m_start,"&lt;"&amp;1440,m_end,"&gt;"&amp;1140),INDEX(m_label,_xlfn.MAXIFS(m_row,m_teacher,AU$4,m_date,($G$2+23),m_active,1,m_start,"&lt;"&amp;1440,m_end,"&gt;"&amp;1140))))))</f>
        <v/>
      </c>
      <c r="AV37" s="86" t="str">
        <f aca="false">IF(OR(AV$4="",MONTH(($G$2+23))&lt;&gt;MONTH($C$2)),"",IF(COUNTIFS(m_teacher,AV$4,m_date,($G$2+23),m_active,1,m_start,"&lt;"&amp;1440,m_end,"&gt;"&amp;1140)=0,"",IF(COUNTIFS(m_teacher,AV$4,m_date,($G$2+23),m_active,1,m_start,"&lt;"&amp;1440,m_end,"&gt;"&amp;1140)&gt;1,"충돌",HYPERLINK("#'관리자_MASTER'!D"&amp;_xlfn.MAXIFS(m_row,m_teacher,AV$4,m_date,($G$2+23),m_active,1,m_start,"&lt;"&amp;1440,m_end,"&gt;"&amp;1140),INDEX(m_label,_xlfn.MAXIFS(m_row,m_teacher,AV$4,m_date,($G$2+23),m_active,1,m_start,"&lt;"&amp;1440,m_end,"&gt;"&amp;1140))))))</f>
        <v/>
      </c>
      <c r="AW37" s="86" t="str">
        <f aca="false">IF(OR(AW$4="",MONTH(($G$2+23))&lt;&gt;MONTH($C$2)),"",IF(COUNTIFS(m_teacher,AW$4,m_date,($G$2+23),m_active,1,m_start,"&lt;"&amp;1440,m_end,"&gt;"&amp;1140)=0,"",IF(COUNTIFS(m_teacher,AW$4,m_date,($G$2+23),m_active,1,m_start,"&lt;"&amp;1440,m_end,"&gt;"&amp;1140)&gt;1,"충돌",HYPERLINK("#'관리자_MASTER'!D"&amp;_xlfn.MAXIFS(m_row,m_teacher,AW$4,m_date,($G$2+23),m_active,1,m_start,"&lt;"&amp;1440,m_end,"&gt;"&amp;1140),INDEX(m_label,_xlfn.MAXIFS(m_row,m_teacher,AW$4,m_date,($G$2+23),m_active,1,m_start,"&lt;"&amp;1440,m_end,"&gt;"&amp;1140))))))</f>
        <v/>
      </c>
      <c r="AX37" s="86" t="str">
        <f aca="false">IF(OR(AX$4="",MONTH(($G$2+23))&lt;&gt;MONTH($C$2)),"",IF(COUNTIFS(m_teacher,AX$4,m_date,($G$2+23),m_active,1,m_start,"&lt;"&amp;1440,m_end,"&gt;"&amp;1140)=0,"",IF(COUNTIFS(m_teacher,AX$4,m_date,($G$2+23),m_active,1,m_start,"&lt;"&amp;1440,m_end,"&gt;"&amp;1140)&gt;1,"충돌",HYPERLINK("#'관리자_MASTER'!D"&amp;_xlfn.MAXIFS(m_row,m_teacher,AX$4,m_date,($G$2+23),m_active,1,m_start,"&lt;"&amp;1440,m_end,"&gt;"&amp;1140),INDEX(m_label,_xlfn.MAXIFS(m_row,m_teacher,AX$4,m_date,($G$2+23),m_active,1,m_start,"&lt;"&amp;1440,m_end,"&gt;"&amp;1140))))))</f>
        <v/>
      </c>
      <c r="AY37" s="86" t="str">
        <f aca="false">IF(OR(AY$4="",MONTH(($G$2+23))&lt;&gt;MONTH($C$2)),"",IF(COUNTIFS(m_teacher,AY$4,m_date,($G$2+23),m_active,1,m_start,"&lt;"&amp;1440,m_end,"&gt;"&amp;1140)=0,"",IF(COUNTIFS(m_teacher,AY$4,m_date,($G$2+23),m_active,1,m_start,"&lt;"&amp;1440,m_end,"&gt;"&amp;1140)&gt;1,"충돌",HYPERLINK("#'관리자_MASTER'!D"&amp;_xlfn.MAXIFS(m_row,m_teacher,AY$4,m_date,($G$2+23),m_active,1,m_start,"&lt;"&amp;1440,m_end,"&gt;"&amp;1140),INDEX(m_label,_xlfn.MAXIFS(m_row,m_teacher,AY$4,m_date,($G$2+23),m_active,1,m_start,"&lt;"&amp;1440,m_end,"&gt;"&amp;1140))))))</f>
        <v/>
      </c>
      <c r="AZ37" s="86" t="str">
        <f aca="false">IF(OR(AZ$4="",MONTH(($G$2+23))&lt;&gt;MONTH($C$2)),"",IF(COUNTIFS(m_teacher,AZ$4,m_date,($G$2+23),m_active,1,m_start,"&lt;"&amp;1440,m_end,"&gt;"&amp;1140)=0,"",IF(COUNTIFS(m_teacher,AZ$4,m_date,($G$2+23),m_active,1,m_start,"&lt;"&amp;1440,m_end,"&gt;"&amp;1140)&gt;1,"충돌",HYPERLINK("#'관리자_MASTER'!D"&amp;_xlfn.MAXIFS(m_row,m_teacher,AZ$4,m_date,($G$2+23),m_active,1,m_start,"&lt;"&amp;1440,m_end,"&gt;"&amp;1140),INDEX(m_label,_xlfn.MAXIFS(m_row,m_teacher,AZ$4,m_date,($G$2+23),m_active,1,m_start,"&lt;"&amp;1440,m_end,"&gt;"&amp;1140))))))</f>
        <v/>
      </c>
      <c r="BA37" s="86" t="str">
        <f aca="false">IF(OR(BA$4="",MONTH(($G$2+23))&lt;&gt;MONTH($C$2)),"",IF(COUNTIFS(m_teacher,BA$4,m_date,($G$2+23),m_active,1,m_start,"&lt;"&amp;1440,m_end,"&gt;"&amp;1140)=0,"",IF(COUNTIFS(m_teacher,BA$4,m_date,($G$2+23),m_active,1,m_start,"&lt;"&amp;1440,m_end,"&gt;"&amp;1140)&gt;1,"충돌",HYPERLINK("#'관리자_MASTER'!D"&amp;_xlfn.MAXIFS(m_row,m_teacher,BA$4,m_date,($G$2+23),m_active,1,m_start,"&lt;"&amp;1440,m_end,"&gt;"&amp;1140),INDEX(m_label,_xlfn.MAXIFS(m_row,m_teacher,BA$4,m_date,($G$2+23),m_active,1,m_start,"&lt;"&amp;1440,m_end,"&gt;"&amp;1140))))))</f>
        <v/>
      </c>
      <c r="BB37" s="86" t="str">
        <f aca="false">IF(OR(BB$4="",MONTH(($G$2+23))&lt;&gt;MONTH($C$2)),"",IF(COUNTIFS(m_teacher,BB$4,m_date,($G$2+23),m_active,1,m_start,"&lt;"&amp;1440,m_end,"&gt;"&amp;1140)=0,"",IF(COUNTIFS(m_teacher,BB$4,m_date,($G$2+23),m_active,1,m_start,"&lt;"&amp;1440,m_end,"&gt;"&amp;1140)&gt;1,"충돌",HYPERLINK("#'관리자_MASTER'!D"&amp;_xlfn.MAXIFS(m_row,m_teacher,BB$4,m_date,($G$2+23),m_active,1,m_start,"&lt;"&amp;1440,m_end,"&gt;"&amp;1140),INDEX(m_label,_xlfn.MAXIFS(m_row,m_teacher,BB$4,m_date,($G$2+23),m_active,1,m_start,"&lt;"&amp;1440,m_end,"&gt;"&amp;1140))))))</f>
        <v/>
      </c>
      <c r="BC37" s="86" t="str">
        <f aca="false">IF(OR(BC$4="",MONTH(($G$2+23))&lt;&gt;MONTH($C$2)),"",IF(COUNTIFS(m_teacher,BC$4,m_date,($G$2+23),m_active,1,m_start,"&lt;"&amp;1440,m_end,"&gt;"&amp;1140)=0,"",IF(COUNTIFS(m_teacher,BC$4,m_date,($G$2+23),m_active,1,m_start,"&lt;"&amp;1440,m_end,"&gt;"&amp;1140)&gt;1,"충돌",HYPERLINK("#'관리자_MASTER'!D"&amp;_xlfn.MAXIFS(m_row,m_teacher,BC$4,m_date,($G$2+23),m_active,1,m_start,"&lt;"&amp;1440,m_end,"&gt;"&amp;1140),INDEX(m_label,_xlfn.MAXIFS(m_row,m_teacher,BC$4,m_date,($G$2+23),m_active,1,m_start,"&lt;"&amp;1440,m_end,"&gt;"&amp;1140))))))</f>
        <v/>
      </c>
      <c r="BD37" s="86" t="str">
        <f aca="false">IF(OR(BD$4="",MONTH(($G$2+23))&lt;&gt;MONTH($C$2)),"",IF(COUNTIFS(m_teacher,BD$4,m_date,($G$2+23),m_active,1,m_start,"&lt;"&amp;1440,m_end,"&gt;"&amp;1140)=0,"",IF(COUNTIFS(m_teacher,BD$4,m_date,($G$2+23),m_active,1,m_start,"&lt;"&amp;1440,m_end,"&gt;"&amp;1140)&gt;1,"충돌",HYPERLINK("#'관리자_MASTER'!D"&amp;_xlfn.MAXIFS(m_row,m_teacher,BD$4,m_date,($G$2+23),m_active,1,m_start,"&lt;"&amp;1440,m_end,"&gt;"&amp;1140),INDEX(m_label,_xlfn.MAXIFS(m_row,m_teacher,BD$4,m_date,($G$2+23),m_active,1,m_start,"&lt;"&amp;1440,m_end,"&gt;"&amp;1140))))))</f>
        <v/>
      </c>
      <c r="BE37" s="78"/>
      <c r="BF37" s="85" t="s">
        <v>101</v>
      </c>
      <c r="BG37" s="86" t="str">
        <f aca="false">IF(OR(BG$4="",MONTH(($G$2+30))&lt;&gt;MONTH($C$2)),"",IF(COUNTIFS(m_teacher,BG$4,m_date,($G$2+30),m_active,1,m_start,"&lt;"&amp;1440,m_end,"&gt;"&amp;1140)=0,"",IF(COUNTIFS(m_teacher,BG$4,m_date,($G$2+30),m_active,1,m_start,"&lt;"&amp;1440,m_end,"&gt;"&amp;1140)&gt;1,"충돌",HYPERLINK("#'관리자_MASTER'!D"&amp;_xlfn.MAXIFS(m_row,m_teacher,BG$4,m_date,($G$2+30),m_active,1,m_start,"&lt;"&amp;1440,m_end,"&gt;"&amp;1140),INDEX(m_label,_xlfn.MAXIFS(m_row,m_teacher,BG$4,m_date,($G$2+30),m_active,1,m_start,"&lt;"&amp;1440,m_end,"&gt;"&amp;1140))))))</f>
        <v/>
      </c>
      <c r="BH37" s="86" t="str">
        <f aca="false">IF(OR(BH$4="",MONTH(($G$2+30))&lt;&gt;MONTH($C$2)),"",IF(COUNTIFS(m_teacher,BH$4,m_date,($G$2+30),m_active,1,m_start,"&lt;"&amp;1440,m_end,"&gt;"&amp;1140)=0,"",IF(COUNTIFS(m_teacher,BH$4,m_date,($G$2+30),m_active,1,m_start,"&lt;"&amp;1440,m_end,"&gt;"&amp;1140)&gt;1,"충돌",HYPERLINK("#'관리자_MASTER'!D"&amp;_xlfn.MAXIFS(m_row,m_teacher,BH$4,m_date,($G$2+30),m_active,1,m_start,"&lt;"&amp;1440,m_end,"&gt;"&amp;1140),INDEX(m_label,_xlfn.MAXIFS(m_row,m_teacher,BH$4,m_date,($G$2+30),m_active,1,m_start,"&lt;"&amp;1440,m_end,"&gt;"&amp;1140))))))</f>
        <v/>
      </c>
      <c r="BI37" s="86" t="str">
        <f aca="false">IF(OR(BI$4="",MONTH(($G$2+30))&lt;&gt;MONTH($C$2)),"",IF(COUNTIFS(m_teacher,BI$4,m_date,($G$2+30),m_active,1,m_start,"&lt;"&amp;1440,m_end,"&gt;"&amp;1140)=0,"",IF(COUNTIFS(m_teacher,BI$4,m_date,($G$2+30),m_active,1,m_start,"&lt;"&amp;1440,m_end,"&gt;"&amp;1140)&gt;1,"충돌",HYPERLINK("#'관리자_MASTER'!D"&amp;_xlfn.MAXIFS(m_row,m_teacher,BI$4,m_date,($G$2+30),m_active,1,m_start,"&lt;"&amp;1440,m_end,"&gt;"&amp;1140),INDEX(m_label,_xlfn.MAXIFS(m_row,m_teacher,BI$4,m_date,($G$2+30),m_active,1,m_start,"&lt;"&amp;1440,m_end,"&gt;"&amp;1140))))))</f>
        <v/>
      </c>
      <c r="BJ37" s="86" t="str">
        <f aca="false">IF(OR(BJ$4="",MONTH(($G$2+30))&lt;&gt;MONTH($C$2)),"",IF(COUNTIFS(m_teacher,BJ$4,m_date,($G$2+30),m_active,1,m_start,"&lt;"&amp;1440,m_end,"&gt;"&amp;1140)=0,"",IF(COUNTIFS(m_teacher,BJ$4,m_date,($G$2+30),m_active,1,m_start,"&lt;"&amp;1440,m_end,"&gt;"&amp;1140)&gt;1,"충돌",HYPERLINK("#'관리자_MASTER'!D"&amp;_xlfn.MAXIFS(m_row,m_teacher,BJ$4,m_date,($G$2+30),m_active,1,m_start,"&lt;"&amp;1440,m_end,"&gt;"&amp;1140),INDEX(m_label,_xlfn.MAXIFS(m_row,m_teacher,BJ$4,m_date,($G$2+30),m_active,1,m_start,"&lt;"&amp;1440,m_end,"&gt;"&amp;1140))))))</f>
        <v/>
      </c>
      <c r="BK37" s="86" t="str">
        <f aca="false">IF(OR(BK$4="",MONTH(($G$2+30))&lt;&gt;MONTH($C$2)),"",IF(COUNTIFS(m_teacher,BK$4,m_date,($G$2+30),m_active,1,m_start,"&lt;"&amp;1440,m_end,"&gt;"&amp;1140)=0,"",IF(COUNTIFS(m_teacher,BK$4,m_date,($G$2+30),m_active,1,m_start,"&lt;"&amp;1440,m_end,"&gt;"&amp;1140)&gt;1,"충돌",HYPERLINK("#'관리자_MASTER'!D"&amp;_xlfn.MAXIFS(m_row,m_teacher,BK$4,m_date,($G$2+30),m_active,1,m_start,"&lt;"&amp;1440,m_end,"&gt;"&amp;1140),INDEX(m_label,_xlfn.MAXIFS(m_row,m_teacher,BK$4,m_date,($G$2+30),m_active,1,m_start,"&lt;"&amp;1440,m_end,"&gt;"&amp;1140))))))</f>
        <v/>
      </c>
      <c r="BL37" s="86" t="str">
        <f aca="false">IF(OR(BL$4="",MONTH(($G$2+30))&lt;&gt;MONTH($C$2)),"",IF(COUNTIFS(m_teacher,BL$4,m_date,($G$2+30),m_active,1,m_start,"&lt;"&amp;1440,m_end,"&gt;"&amp;1140)=0,"",IF(COUNTIFS(m_teacher,BL$4,m_date,($G$2+30),m_active,1,m_start,"&lt;"&amp;1440,m_end,"&gt;"&amp;1140)&gt;1,"충돌",HYPERLINK("#'관리자_MASTER'!D"&amp;_xlfn.MAXIFS(m_row,m_teacher,BL$4,m_date,($G$2+30),m_active,1,m_start,"&lt;"&amp;1440,m_end,"&gt;"&amp;1140),INDEX(m_label,_xlfn.MAXIFS(m_row,m_teacher,BL$4,m_date,($G$2+30),m_active,1,m_start,"&lt;"&amp;1440,m_end,"&gt;"&amp;1140))))))</f>
        <v/>
      </c>
      <c r="BM37" s="86" t="str">
        <f aca="false">IF(OR(BM$4="",MONTH(($G$2+30))&lt;&gt;MONTH($C$2)),"",IF(COUNTIFS(m_teacher,BM$4,m_date,($G$2+30),m_active,1,m_start,"&lt;"&amp;1440,m_end,"&gt;"&amp;1140)=0,"",IF(COUNTIFS(m_teacher,BM$4,m_date,($G$2+30),m_active,1,m_start,"&lt;"&amp;1440,m_end,"&gt;"&amp;1140)&gt;1,"충돌",HYPERLINK("#'관리자_MASTER'!D"&amp;_xlfn.MAXIFS(m_row,m_teacher,BM$4,m_date,($G$2+30),m_active,1,m_start,"&lt;"&amp;1440,m_end,"&gt;"&amp;1140),INDEX(m_label,_xlfn.MAXIFS(m_row,m_teacher,BM$4,m_date,($G$2+30),m_active,1,m_start,"&lt;"&amp;1440,m_end,"&gt;"&amp;1140))))))</f>
        <v/>
      </c>
      <c r="BN37" s="86" t="str">
        <f aca="false">IF(OR(BN$4="",MONTH(($G$2+30))&lt;&gt;MONTH($C$2)),"",IF(COUNTIFS(m_teacher,BN$4,m_date,($G$2+30),m_active,1,m_start,"&lt;"&amp;1440,m_end,"&gt;"&amp;1140)=0,"",IF(COUNTIFS(m_teacher,BN$4,m_date,($G$2+30),m_active,1,m_start,"&lt;"&amp;1440,m_end,"&gt;"&amp;1140)&gt;1,"충돌",HYPERLINK("#'관리자_MASTER'!D"&amp;_xlfn.MAXIFS(m_row,m_teacher,BN$4,m_date,($G$2+30),m_active,1,m_start,"&lt;"&amp;1440,m_end,"&gt;"&amp;1140),INDEX(m_label,_xlfn.MAXIFS(m_row,m_teacher,BN$4,m_date,($G$2+30),m_active,1,m_start,"&lt;"&amp;1440,m_end,"&gt;"&amp;1140))))))</f>
        <v/>
      </c>
      <c r="BO37" s="86" t="str">
        <f aca="false">IF(OR(BO$4="",MONTH(($G$2+30))&lt;&gt;MONTH($C$2)),"",IF(COUNTIFS(m_teacher,BO$4,m_date,($G$2+30),m_active,1,m_start,"&lt;"&amp;1440,m_end,"&gt;"&amp;1140)=0,"",IF(COUNTIFS(m_teacher,BO$4,m_date,($G$2+30),m_active,1,m_start,"&lt;"&amp;1440,m_end,"&gt;"&amp;1140)&gt;1,"충돌",HYPERLINK("#'관리자_MASTER'!D"&amp;_xlfn.MAXIFS(m_row,m_teacher,BO$4,m_date,($G$2+30),m_active,1,m_start,"&lt;"&amp;1440,m_end,"&gt;"&amp;1140),INDEX(m_label,_xlfn.MAXIFS(m_row,m_teacher,BO$4,m_date,($G$2+30),m_active,1,m_start,"&lt;"&amp;1440,m_end,"&gt;"&amp;1140))))))</f>
        <v/>
      </c>
      <c r="BP37" s="86" t="str">
        <f aca="false">IF(OR(BP$4="",MONTH(($G$2+30))&lt;&gt;MONTH($C$2)),"",IF(COUNTIFS(m_teacher,BP$4,m_date,($G$2+30),m_active,1,m_start,"&lt;"&amp;1440,m_end,"&gt;"&amp;1140)=0,"",IF(COUNTIFS(m_teacher,BP$4,m_date,($G$2+30),m_active,1,m_start,"&lt;"&amp;1440,m_end,"&gt;"&amp;1140)&gt;1,"충돌",HYPERLINK("#'관리자_MASTER'!D"&amp;_xlfn.MAXIFS(m_row,m_teacher,BP$4,m_date,($G$2+30),m_active,1,m_start,"&lt;"&amp;1440,m_end,"&gt;"&amp;1140),INDEX(m_label,_xlfn.MAXIFS(m_row,m_teacher,BP$4,m_date,($G$2+30),m_active,1,m_start,"&lt;"&amp;1440,m_end,"&gt;"&amp;1140))))))</f>
        <v/>
      </c>
      <c r="BQ37" s="86" t="str">
        <f aca="false">IF(OR(BQ$4="",MONTH(($G$2+30))&lt;&gt;MONTH($C$2)),"",IF(COUNTIFS(m_teacher,BQ$4,m_date,($G$2+30),m_active,1,m_start,"&lt;"&amp;1440,m_end,"&gt;"&amp;1140)=0,"",IF(COUNTIFS(m_teacher,BQ$4,m_date,($G$2+30),m_active,1,m_start,"&lt;"&amp;1440,m_end,"&gt;"&amp;1140)&gt;1,"충돌",HYPERLINK("#'관리자_MASTER'!D"&amp;_xlfn.MAXIFS(m_row,m_teacher,BQ$4,m_date,($G$2+30),m_active,1,m_start,"&lt;"&amp;1440,m_end,"&gt;"&amp;1140),INDEX(m_label,_xlfn.MAXIFS(m_row,m_teacher,BQ$4,m_date,($G$2+30),m_active,1,m_start,"&lt;"&amp;1440,m_end,"&gt;"&amp;1140))))))</f>
        <v/>
      </c>
      <c r="BR37" s="86" t="str">
        <f aca="false">IF(OR(BR$4="",MONTH(($G$2+30))&lt;&gt;MONTH($C$2)),"",IF(COUNTIFS(m_teacher,BR$4,m_date,($G$2+30),m_active,1,m_start,"&lt;"&amp;1440,m_end,"&gt;"&amp;1140)=0,"",IF(COUNTIFS(m_teacher,BR$4,m_date,($G$2+30),m_active,1,m_start,"&lt;"&amp;1440,m_end,"&gt;"&amp;1140)&gt;1,"충돌",HYPERLINK("#'관리자_MASTER'!D"&amp;_xlfn.MAXIFS(m_row,m_teacher,BR$4,m_date,($G$2+30),m_active,1,m_start,"&lt;"&amp;1440,m_end,"&gt;"&amp;1140),INDEX(m_label,_xlfn.MAXIFS(m_row,m_teacher,BR$4,m_date,($G$2+30),m_active,1,m_start,"&lt;"&amp;1440,m_end,"&gt;"&amp;1140))))))</f>
        <v/>
      </c>
    </row>
    <row r="38" customFormat="false" ht="19.5" hidden="false" customHeight="true" outlineLevel="0" collapsed="false">
      <c r="A38" s="75" t="str">
        <f aca="false">IF(MONTH(($G$2+3))&lt;&gt;MONTH($C$2),"",CHOOSE(WEEKDAY(($G$2+3),2),"월","화","수","목","금","토","일")&amp;CHAR(10)&amp;TEXT(($G$2+3),"m/d"))</f>
        <v/>
      </c>
      <c r="B38" s="76" t="s">
        <v>91</v>
      </c>
      <c r="C38" s="77" t="str">
        <f aca="false">IF(OR(C$4="",MONTH(($G$2+3))&lt;&gt;MONTH($C$2)),"",IF(COUNTIFS(m_teacher,C$4,m_date,($G$2+3),m_active,1,m_start,"&lt;"&amp;600,m_end,"&gt;"&amp;0)=0,"",IF(COUNTIFS(m_teacher,C$4,m_date,($G$2+3),m_active,1,m_start,"&lt;"&amp;600,m_end,"&gt;"&amp;0)&gt;1,"충돌",HYPERLINK("#'관리자_MASTER'!D"&amp;_xlfn.MAXIFS(m_row,m_teacher,C$4,m_date,($G$2+3),m_active,1,m_start,"&lt;"&amp;600,m_end,"&gt;"&amp;0),INDEX(m_label,_xlfn.MAXIFS(m_row,m_teacher,C$4,m_date,($G$2+3),m_active,1,m_start,"&lt;"&amp;600,m_end,"&gt;"&amp;0))))))</f>
        <v/>
      </c>
      <c r="D38" s="77" t="str">
        <f aca="false">IF(OR(D$4="",MONTH(($G$2+3))&lt;&gt;MONTH($C$2)),"",IF(COUNTIFS(m_teacher,D$4,m_date,($G$2+3),m_active,1,m_start,"&lt;"&amp;600,m_end,"&gt;"&amp;0)=0,"",IF(COUNTIFS(m_teacher,D$4,m_date,($G$2+3),m_active,1,m_start,"&lt;"&amp;600,m_end,"&gt;"&amp;0)&gt;1,"충돌",HYPERLINK("#'관리자_MASTER'!D"&amp;_xlfn.MAXIFS(m_row,m_teacher,D$4,m_date,($G$2+3),m_active,1,m_start,"&lt;"&amp;600,m_end,"&gt;"&amp;0),INDEX(m_label,_xlfn.MAXIFS(m_row,m_teacher,D$4,m_date,($G$2+3),m_active,1,m_start,"&lt;"&amp;600,m_end,"&gt;"&amp;0))))))</f>
        <v/>
      </c>
      <c r="E38" s="77" t="str">
        <f aca="false">IF(OR(E$4="",MONTH(($G$2+3))&lt;&gt;MONTH($C$2)),"",IF(COUNTIFS(m_teacher,E$4,m_date,($G$2+3),m_active,1,m_start,"&lt;"&amp;600,m_end,"&gt;"&amp;0)=0,"",IF(COUNTIFS(m_teacher,E$4,m_date,($G$2+3),m_active,1,m_start,"&lt;"&amp;600,m_end,"&gt;"&amp;0)&gt;1,"충돌",HYPERLINK("#'관리자_MASTER'!D"&amp;_xlfn.MAXIFS(m_row,m_teacher,E$4,m_date,($G$2+3),m_active,1,m_start,"&lt;"&amp;600,m_end,"&gt;"&amp;0),INDEX(m_label,_xlfn.MAXIFS(m_row,m_teacher,E$4,m_date,($G$2+3),m_active,1,m_start,"&lt;"&amp;600,m_end,"&gt;"&amp;0))))))</f>
        <v/>
      </c>
      <c r="F38" s="77" t="str">
        <f aca="false">IF(OR(F$4="",MONTH(($G$2+3))&lt;&gt;MONTH($C$2)),"",IF(COUNTIFS(m_teacher,F$4,m_date,($G$2+3),m_active,1,m_start,"&lt;"&amp;600,m_end,"&gt;"&amp;0)=0,"",IF(COUNTIFS(m_teacher,F$4,m_date,($G$2+3),m_active,1,m_start,"&lt;"&amp;600,m_end,"&gt;"&amp;0)&gt;1,"충돌",HYPERLINK("#'관리자_MASTER'!D"&amp;_xlfn.MAXIFS(m_row,m_teacher,F$4,m_date,($G$2+3),m_active,1,m_start,"&lt;"&amp;600,m_end,"&gt;"&amp;0),INDEX(m_label,_xlfn.MAXIFS(m_row,m_teacher,F$4,m_date,($G$2+3),m_active,1,m_start,"&lt;"&amp;600,m_end,"&gt;"&amp;0))))))</f>
        <v/>
      </c>
      <c r="G38" s="77" t="str">
        <f aca="false">IF(OR(G$4="",MONTH(($G$2+3))&lt;&gt;MONTH($C$2)),"",IF(COUNTIFS(m_teacher,G$4,m_date,($G$2+3),m_active,1,m_start,"&lt;"&amp;600,m_end,"&gt;"&amp;0)=0,"",IF(COUNTIFS(m_teacher,G$4,m_date,($G$2+3),m_active,1,m_start,"&lt;"&amp;600,m_end,"&gt;"&amp;0)&gt;1,"충돌",HYPERLINK("#'관리자_MASTER'!D"&amp;_xlfn.MAXIFS(m_row,m_teacher,G$4,m_date,($G$2+3),m_active,1,m_start,"&lt;"&amp;600,m_end,"&gt;"&amp;0),INDEX(m_label,_xlfn.MAXIFS(m_row,m_teacher,G$4,m_date,($G$2+3),m_active,1,m_start,"&lt;"&amp;600,m_end,"&gt;"&amp;0))))))</f>
        <v/>
      </c>
      <c r="H38" s="77" t="str">
        <f aca="false">IF(OR(H$4="",MONTH(($G$2+3))&lt;&gt;MONTH($C$2)),"",IF(COUNTIFS(m_teacher,H$4,m_date,($G$2+3),m_active,1,m_start,"&lt;"&amp;600,m_end,"&gt;"&amp;0)=0,"",IF(COUNTIFS(m_teacher,H$4,m_date,($G$2+3),m_active,1,m_start,"&lt;"&amp;600,m_end,"&gt;"&amp;0)&gt;1,"충돌",HYPERLINK("#'관리자_MASTER'!D"&amp;_xlfn.MAXIFS(m_row,m_teacher,H$4,m_date,($G$2+3),m_active,1,m_start,"&lt;"&amp;600,m_end,"&gt;"&amp;0),INDEX(m_label,_xlfn.MAXIFS(m_row,m_teacher,H$4,m_date,($G$2+3),m_active,1,m_start,"&lt;"&amp;600,m_end,"&gt;"&amp;0))))))</f>
        <v/>
      </c>
      <c r="I38" s="77" t="str">
        <f aca="false">IF(OR(I$4="",MONTH(($G$2+3))&lt;&gt;MONTH($C$2)),"",IF(COUNTIFS(m_teacher,I$4,m_date,($G$2+3),m_active,1,m_start,"&lt;"&amp;600,m_end,"&gt;"&amp;0)=0,"",IF(COUNTIFS(m_teacher,I$4,m_date,($G$2+3),m_active,1,m_start,"&lt;"&amp;600,m_end,"&gt;"&amp;0)&gt;1,"충돌",HYPERLINK("#'관리자_MASTER'!D"&amp;_xlfn.MAXIFS(m_row,m_teacher,I$4,m_date,($G$2+3),m_active,1,m_start,"&lt;"&amp;600,m_end,"&gt;"&amp;0),INDEX(m_label,_xlfn.MAXIFS(m_row,m_teacher,I$4,m_date,($G$2+3),m_active,1,m_start,"&lt;"&amp;600,m_end,"&gt;"&amp;0))))))</f>
        <v/>
      </c>
      <c r="J38" s="77" t="str">
        <f aca="false">IF(OR(J$4="",MONTH(($G$2+3))&lt;&gt;MONTH($C$2)),"",IF(COUNTIFS(m_teacher,J$4,m_date,($G$2+3),m_active,1,m_start,"&lt;"&amp;600,m_end,"&gt;"&amp;0)=0,"",IF(COUNTIFS(m_teacher,J$4,m_date,($G$2+3),m_active,1,m_start,"&lt;"&amp;600,m_end,"&gt;"&amp;0)&gt;1,"충돌",HYPERLINK("#'관리자_MASTER'!D"&amp;_xlfn.MAXIFS(m_row,m_teacher,J$4,m_date,($G$2+3),m_active,1,m_start,"&lt;"&amp;600,m_end,"&gt;"&amp;0),INDEX(m_label,_xlfn.MAXIFS(m_row,m_teacher,J$4,m_date,($G$2+3),m_active,1,m_start,"&lt;"&amp;600,m_end,"&gt;"&amp;0))))))</f>
        <v/>
      </c>
      <c r="K38" s="77" t="str">
        <f aca="false">IF(OR(K$4="",MONTH(($G$2+3))&lt;&gt;MONTH($C$2)),"",IF(COUNTIFS(m_teacher,K$4,m_date,($G$2+3),m_active,1,m_start,"&lt;"&amp;600,m_end,"&gt;"&amp;0)=0,"",IF(COUNTIFS(m_teacher,K$4,m_date,($G$2+3),m_active,1,m_start,"&lt;"&amp;600,m_end,"&gt;"&amp;0)&gt;1,"충돌",HYPERLINK("#'관리자_MASTER'!D"&amp;_xlfn.MAXIFS(m_row,m_teacher,K$4,m_date,($G$2+3),m_active,1,m_start,"&lt;"&amp;600,m_end,"&gt;"&amp;0),INDEX(m_label,_xlfn.MAXIFS(m_row,m_teacher,K$4,m_date,($G$2+3),m_active,1,m_start,"&lt;"&amp;600,m_end,"&gt;"&amp;0))))))</f>
        <v/>
      </c>
      <c r="L38" s="77" t="str">
        <f aca="false">IF(OR(L$4="",MONTH(($G$2+3))&lt;&gt;MONTH($C$2)),"",IF(COUNTIFS(m_teacher,L$4,m_date,($G$2+3),m_active,1,m_start,"&lt;"&amp;600,m_end,"&gt;"&amp;0)=0,"",IF(COUNTIFS(m_teacher,L$4,m_date,($G$2+3),m_active,1,m_start,"&lt;"&amp;600,m_end,"&gt;"&amp;0)&gt;1,"충돌",HYPERLINK("#'관리자_MASTER'!D"&amp;_xlfn.MAXIFS(m_row,m_teacher,L$4,m_date,($G$2+3),m_active,1,m_start,"&lt;"&amp;600,m_end,"&gt;"&amp;0),INDEX(m_label,_xlfn.MAXIFS(m_row,m_teacher,L$4,m_date,($G$2+3),m_active,1,m_start,"&lt;"&amp;600,m_end,"&gt;"&amp;0))))))</f>
        <v/>
      </c>
      <c r="M38" s="77" t="str">
        <f aca="false">IF(OR(M$4="",MONTH(($G$2+3))&lt;&gt;MONTH($C$2)),"",IF(COUNTIFS(m_teacher,M$4,m_date,($G$2+3),m_active,1,m_start,"&lt;"&amp;600,m_end,"&gt;"&amp;0)=0,"",IF(COUNTIFS(m_teacher,M$4,m_date,($G$2+3),m_active,1,m_start,"&lt;"&amp;600,m_end,"&gt;"&amp;0)&gt;1,"충돌",HYPERLINK("#'관리자_MASTER'!D"&amp;_xlfn.MAXIFS(m_row,m_teacher,M$4,m_date,($G$2+3),m_active,1,m_start,"&lt;"&amp;600,m_end,"&gt;"&amp;0),INDEX(m_label,_xlfn.MAXIFS(m_row,m_teacher,M$4,m_date,($G$2+3),m_active,1,m_start,"&lt;"&amp;600,m_end,"&gt;"&amp;0))))))</f>
        <v/>
      </c>
      <c r="N38" s="77" t="str">
        <f aca="false">IF(OR(N$4="",MONTH(($G$2+3))&lt;&gt;MONTH($C$2)),"",IF(COUNTIFS(m_teacher,N$4,m_date,($G$2+3),m_active,1,m_start,"&lt;"&amp;600,m_end,"&gt;"&amp;0)=0,"",IF(COUNTIFS(m_teacher,N$4,m_date,($G$2+3),m_active,1,m_start,"&lt;"&amp;600,m_end,"&gt;"&amp;0)&gt;1,"충돌",HYPERLINK("#'관리자_MASTER'!D"&amp;_xlfn.MAXIFS(m_row,m_teacher,N$4,m_date,($G$2+3),m_active,1,m_start,"&lt;"&amp;600,m_end,"&gt;"&amp;0),INDEX(m_label,_xlfn.MAXIFS(m_row,m_teacher,N$4,m_date,($G$2+3),m_active,1,m_start,"&lt;"&amp;600,m_end,"&gt;"&amp;0))))))</f>
        <v/>
      </c>
      <c r="O38" s="78" t="str">
        <f aca="false">IF(MONTH(($G$2+10))&lt;&gt;MONTH($C$2),"",CHOOSE(WEEKDAY(($G$2+10),2),"월","화","수","목","금","토","일")&amp;CHAR(10)&amp;TEXT(($G$2+10),"m/d"))</f>
        <v>목
1/7</v>
      </c>
      <c r="P38" s="79" t="s">
        <v>91</v>
      </c>
      <c r="Q38" s="87" t="str">
        <f aca="false">IF(OR(Q$4="",MONTH(($G$2+10))&lt;&gt;MONTH($C$2)),"",IF(COUNTIFS(m_teacher,Q$4,m_date,($G$2+10),m_active,1,m_start,"&lt;"&amp;600,m_end,"&gt;"&amp;0)=0,"",IF(COUNTIFS(m_teacher,Q$4,m_date,($G$2+10),m_active,1,m_start,"&lt;"&amp;600,m_end,"&gt;"&amp;0)&gt;1,"충돌",HYPERLINK("#'관리자_MASTER'!D"&amp;_xlfn.MAXIFS(m_row,m_teacher,Q$4,m_date,($G$2+10),m_active,1,m_start,"&lt;"&amp;600,m_end,"&gt;"&amp;0),INDEX(m_label,_xlfn.MAXIFS(m_row,m_teacher,Q$4,m_date,($G$2+10),m_active,1,m_start,"&lt;"&amp;600,m_end,"&gt;"&amp;0))))))</f>
        <v/>
      </c>
      <c r="R38" s="87" t="str">
        <f aca="false">IF(OR(R$4="",MONTH(($G$2+10))&lt;&gt;MONTH($C$2)),"",IF(COUNTIFS(m_teacher,R$4,m_date,($G$2+10),m_active,1,m_start,"&lt;"&amp;600,m_end,"&gt;"&amp;0)=0,"",IF(COUNTIFS(m_teacher,R$4,m_date,($G$2+10),m_active,1,m_start,"&lt;"&amp;600,m_end,"&gt;"&amp;0)&gt;1,"충돌",HYPERLINK("#'관리자_MASTER'!D"&amp;_xlfn.MAXIFS(m_row,m_teacher,R$4,m_date,($G$2+10),m_active,1,m_start,"&lt;"&amp;600,m_end,"&gt;"&amp;0),INDEX(m_label,_xlfn.MAXIFS(m_row,m_teacher,R$4,m_date,($G$2+10),m_active,1,m_start,"&lt;"&amp;600,m_end,"&gt;"&amp;0))))))</f>
        <v/>
      </c>
      <c r="S38" s="87" t="str">
        <f aca="false">IF(OR(S$4="",MONTH(($G$2+10))&lt;&gt;MONTH($C$2)),"",IF(COUNTIFS(m_teacher,S$4,m_date,($G$2+10),m_active,1,m_start,"&lt;"&amp;600,m_end,"&gt;"&amp;0)=0,"",IF(COUNTIFS(m_teacher,S$4,m_date,($G$2+10),m_active,1,m_start,"&lt;"&amp;600,m_end,"&gt;"&amp;0)&gt;1,"충돌",HYPERLINK("#'관리자_MASTER'!D"&amp;_xlfn.MAXIFS(m_row,m_teacher,S$4,m_date,($G$2+10),m_active,1,m_start,"&lt;"&amp;600,m_end,"&gt;"&amp;0),INDEX(m_label,_xlfn.MAXIFS(m_row,m_teacher,S$4,m_date,($G$2+10),m_active,1,m_start,"&lt;"&amp;600,m_end,"&gt;"&amp;0))))))</f>
        <v/>
      </c>
      <c r="T38" s="87" t="str">
        <f aca="false">IF(OR(T$4="",MONTH(($G$2+10))&lt;&gt;MONTH($C$2)),"",IF(COUNTIFS(m_teacher,T$4,m_date,($G$2+10),m_active,1,m_start,"&lt;"&amp;600,m_end,"&gt;"&amp;0)=0,"",IF(COUNTIFS(m_teacher,T$4,m_date,($G$2+10),m_active,1,m_start,"&lt;"&amp;600,m_end,"&gt;"&amp;0)&gt;1,"충돌",HYPERLINK("#'관리자_MASTER'!D"&amp;_xlfn.MAXIFS(m_row,m_teacher,T$4,m_date,($G$2+10),m_active,1,m_start,"&lt;"&amp;600,m_end,"&gt;"&amp;0),INDEX(m_label,_xlfn.MAXIFS(m_row,m_teacher,T$4,m_date,($G$2+10),m_active,1,m_start,"&lt;"&amp;600,m_end,"&gt;"&amp;0))))))</f>
        <v/>
      </c>
      <c r="U38" s="87" t="str">
        <f aca="false">IF(OR(U$4="",MONTH(($G$2+10))&lt;&gt;MONTH($C$2)),"",IF(COUNTIFS(m_teacher,U$4,m_date,($G$2+10),m_active,1,m_start,"&lt;"&amp;600,m_end,"&gt;"&amp;0)=0,"",IF(COUNTIFS(m_teacher,U$4,m_date,($G$2+10),m_active,1,m_start,"&lt;"&amp;600,m_end,"&gt;"&amp;0)&gt;1,"충돌",HYPERLINK("#'관리자_MASTER'!D"&amp;_xlfn.MAXIFS(m_row,m_teacher,U$4,m_date,($G$2+10),m_active,1,m_start,"&lt;"&amp;600,m_end,"&gt;"&amp;0),INDEX(m_label,_xlfn.MAXIFS(m_row,m_teacher,U$4,m_date,($G$2+10),m_active,1,m_start,"&lt;"&amp;600,m_end,"&gt;"&amp;0))))))</f>
        <v/>
      </c>
      <c r="V38" s="87" t="str">
        <f aca="false">IF(OR(V$4="",MONTH(($G$2+10))&lt;&gt;MONTH($C$2)),"",IF(COUNTIFS(m_teacher,V$4,m_date,($G$2+10),m_active,1,m_start,"&lt;"&amp;600,m_end,"&gt;"&amp;0)=0,"",IF(COUNTIFS(m_teacher,V$4,m_date,($G$2+10),m_active,1,m_start,"&lt;"&amp;600,m_end,"&gt;"&amp;0)&gt;1,"충돌",HYPERLINK("#'관리자_MASTER'!D"&amp;_xlfn.MAXIFS(m_row,m_teacher,V$4,m_date,($G$2+10),m_active,1,m_start,"&lt;"&amp;600,m_end,"&gt;"&amp;0),INDEX(m_label,_xlfn.MAXIFS(m_row,m_teacher,V$4,m_date,($G$2+10),m_active,1,m_start,"&lt;"&amp;600,m_end,"&gt;"&amp;0))))))</f>
        <v/>
      </c>
      <c r="W38" s="87" t="str">
        <f aca="false">IF(OR(W$4="",MONTH(($G$2+10))&lt;&gt;MONTH($C$2)),"",IF(COUNTIFS(m_teacher,W$4,m_date,($G$2+10),m_active,1,m_start,"&lt;"&amp;600,m_end,"&gt;"&amp;0)=0,"",IF(COUNTIFS(m_teacher,W$4,m_date,($G$2+10),m_active,1,m_start,"&lt;"&amp;600,m_end,"&gt;"&amp;0)&gt;1,"충돌",HYPERLINK("#'관리자_MASTER'!D"&amp;_xlfn.MAXIFS(m_row,m_teacher,W$4,m_date,($G$2+10),m_active,1,m_start,"&lt;"&amp;600,m_end,"&gt;"&amp;0),INDEX(m_label,_xlfn.MAXIFS(m_row,m_teacher,W$4,m_date,($G$2+10),m_active,1,m_start,"&lt;"&amp;600,m_end,"&gt;"&amp;0))))))</f>
        <v/>
      </c>
      <c r="X38" s="87" t="str">
        <f aca="false">IF(OR(X$4="",MONTH(($G$2+10))&lt;&gt;MONTH($C$2)),"",IF(COUNTIFS(m_teacher,X$4,m_date,($G$2+10),m_active,1,m_start,"&lt;"&amp;600,m_end,"&gt;"&amp;0)=0,"",IF(COUNTIFS(m_teacher,X$4,m_date,($G$2+10),m_active,1,m_start,"&lt;"&amp;600,m_end,"&gt;"&amp;0)&gt;1,"충돌",HYPERLINK("#'관리자_MASTER'!D"&amp;_xlfn.MAXIFS(m_row,m_teacher,X$4,m_date,($G$2+10),m_active,1,m_start,"&lt;"&amp;600,m_end,"&gt;"&amp;0),INDEX(m_label,_xlfn.MAXIFS(m_row,m_teacher,X$4,m_date,($G$2+10),m_active,1,m_start,"&lt;"&amp;600,m_end,"&gt;"&amp;0))))))</f>
        <v/>
      </c>
      <c r="Y38" s="87" t="str">
        <f aca="false">IF(OR(Y$4="",MONTH(($G$2+10))&lt;&gt;MONTH($C$2)),"",IF(COUNTIFS(m_teacher,Y$4,m_date,($G$2+10),m_active,1,m_start,"&lt;"&amp;600,m_end,"&gt;"&amp;0)=0,"",IF(COUNTIFS(m_teacher,Y$4,m_date,($G$2+10),m_active,1,m_start,"&lt;"&amp;600,m_end,"&gt;"&amp;0)&gt;1,"충돌",HYPERLINK("#'관리자_MASTER'!D"&amp;_xlfn.MAXIFS(m_row,m_teacher,Y$4,m_date,($G$2+10),m_active,1,m_start,"&lt;"&amp;600,m_end,"&gt;"&amp;0),INDEX(m_label,_xlfn.MAXIFS(m_row,m_teacher,Y$4,m_date,($G$2+10),m_active,1,m_start,"&lt;"&amp;600,m_end,"&gt;"&amp;0))))))</f>
        <v/>
      </c>
      <c r="Z38" s="87" t="str">
        <f aca="false">IF(OR(Z$4="",MONTH(($G$2+10))&lt;&gt;MONTH($C$2)),"",IF(COUNTIFS(m_teacher,Z$4,m_date,($G$2+10),m_active,1,m_start,"&lt;"&amp;600,m_end,"&gt;"&amp;0)=0,"",IF(COUNTIFS(m_teacher,Z$4,m_date,($G$2+10),m_active,1,m_start,"&lt;"&amp;600,m_end,"&gt;"&amp;0)&gt;1,"충돌",HYPERLINK("#'관리자_MASTER'!D"&amp;_xlfn.MAXIFS(m_row,m_teacher,Z$4,m_date,($G$2+10),m_active,1,m_start,"&lt;"&amp;600,m_end,"&gt;"&amp;0),INDEX(m_label,_xlfn.MAXIFS(m_row,m_teacher,Z$4,m_date,($G$2+10),m_active,1,m_start,"&lt;"&amp;600,m_end,"&gt;"&amp;0))))))</f>
        <v/>
      </c>
      <c r="AA38" s="87" t="str">
        <f aca="false">IF(OR(AA$4="",MONTH(($G$2+10))&lt;&gt;MONTH($C$2)),"",IF(COUNTIFS(m_teacher,AA$4,m_date,($G$2+10),m_active,1,m_start,"&lt;"&amp;600,m_end,"&gt;"&amp;0)=0,"",IF(COUNTIFS(m_teacher,AA$4,m_date,($G$2+10),m_active,1,m_start,"&lt;"&amp;600,m_end,"&gt;"&amp;0)&gt;1,"충돌",HYPERLINK("#'관리자_MASTER'!D"&amp;_xlfn.MAXIFS(m_row,m_teacher,AA$4,m_date,($G$2+10),m_active,1,m_start,"&lt;"&amp;600,m_end,"&gt;"&amp;0),INDEX(m_label,_xlfn.MAXIFS(m_row,m_teacher,AA$4,m_date,($G$2+10),m_active,1,m_start,"&lt;"&amp;600,m_end,"&gt;"&amp;0))))))</f>
        <v/>
      </c>
      <c r="AB38" s="87" t="str">
        <f aca="false">IF(OR(AB$4="",MONTH(($G$2+10))&lt;&gt;MONTH($C$2)),"",IF(COUNTIFS(m_teacher,AB$4,m_date,($G$2+10),m_active,1,m_start,"&lt;"&amp;600,m_end,"&gt;"&amp;0)=0,"",IF(COUNTIFS(m_teacher,AB$4,m_date,($G$2+10),m_active,1,m_start,"&lt;"&amp;600,m_end,"&gt;"&amp;0)&gt;1,"충돌",HYPERLINK("#'관리자_MASTER'!D"&amp;_xlfn.MAXIFS(m_row,m_teacher,AB$4,m_date,($G$2+10),m_active,1,m_start,"&lt;"&amp;600,m_end,"&gt;"&amp;0),INDEX(m_label,_xlfn.MAXIFS(m_row,m_teacher,AB$4,m_date,($G$2+10),m_active,1,m_start,"&lt;"&amp;600,m_end,"&gt;"&amp;0))))))</f>
        <v/>
      </c>
      <c r="AC38" s="78" t="str">
        <f aca="false">IF(MONTH(($G$2+17))&lt;&gt;MONTH($C$2),"",CHOOSE(WEEKDAY(($G$2+17),2),"월","화","수","목","금","토","일")&amp;CHAR(10)&amp;TEXT(($G$2+17),"m/d"))</f>
        <v>목
1/14</v>
      </c>
      <c r="AD38" s="79" t="s">
        <v>91</v>
      </c>
      <c r="AE38" s="87" t="str">
        <f aca="false">IF(OR(AE$4="",MONTH(($G$2+17))&lt;&gt;MONTH($C$2)),"",IF(COUNTIFS(m_teacher,AE$4,m_date,($G$2+17),m_active,1,m_start,"&lt;"&amp;600,m_end,"&gt;"&amp;0)=0,"",IF(COUNTIFS(m_teacher,AE$4,m_date,($G$2+17),m_active,1,m_start,"&lt;"&amp;600,m_end,"&gt;"&amp;0)&gt;1,"충돌",HYPERLINK("#'관리자_MASTER'!D"&amp;_xlfn.MAXIFS(m_row,m_teacher,AE$4,m_date,($G$2+17),m_active,1,m_start,"&lt;"&amp;600,m_end,"&gt;"&amp;0),INDEX(m_label,_xlfn.MAXIFS(m_row,m_teacher,AE$4,m_date,($G$2+17),m_active,1,m_start,"&lt;"&amp;600,m_end,"&gt;"&amp;0))))))</f>
        <v/>
      </c>
      <c r="AF38" s="87" t="str">
        <f aca="false">IF(OR(AF$4="",MONTH(($G$2+17))&lt;&gt;MONTH($C$2)),"",IF(COUNTIFS(m_teacher,AF$4,m_date,($G$2+17),m_active,1,m_start,"&lt;"&amp;600,m_end,"&gt;"&amp;0)=0,"",IF(COUNTIFS(m_teacher,AF$4,m_date,($G$2+17),m_active,1,m_start,"&lt;"&amp;600,m_end,"&gt;"&amp;0)&gt;1,"충돌",HYPERLINK("#'관리자_MASTER'!D"&amp;_xlfn.MAXIFS(m_row,m_teacher,AF$4,m_date,($G$2+17),m_active,1,m_start,"&lt;"&amp;600,m_end,"&gt;"&amp;0),INDEX(m_label,_xlfn.MAXIFS(m_row,m_teacher,AF$4,m_date,($G$2+17),m_active,1,m_start,"&lt;"&amp;600,m_end,"&gt;"&amp;0))))))</f>
        <v/>
      </c>
      <c r="AG38" s="87" t="str">
        <f aca="false">IF(OR(AG$4="",MONTH(($G$2+17))&lt;&gt;MONTH($C$2)),"",IF(COUNTIFS(m_teacher,AG$4,m_date,($G$2+17),m_active,1,m_start,"&lt;"&amp;600,m_end,"&gt;"&amp;0)=0,"",IF(COUNTIFS(m_teacher,AG$4,m_date,($G$2+17),m_active,1,m_start,"&lt;"&amp;600,m_end,"&gt;"&amp;0)&gt;1,"충돌",HYPERLINK("#'관리자_MASTER'!D"&amp;_xlfn.MAXIFS(m_row,m_teacher,AG$4,m_date,($G$2+17),m_active,1,m_start,"&lt;"&amp;600,m_end,"&gt;"&amp;0),INDEX(m_label,_xlfn.MAXIFS(m_row,m_teacher,AG$4,m_date,($G$2+17),m_active,1,m_start,"&lt;"&amp;600,m_end,"&gt;"&amp;0))))))</f>
        <v/>
      </c>
      <c r="AH38" s="87" t="str">
        <f aca="false">IF(OR(AH$4="",MONTH(($G$2+17))&lt;&gt;MONTH($C$2)),"",IF(COUNTIFS(m_teacher,AH$4,m_date,($G$2+17),m_active,1,m_start,"&lt;"&amp;600,m_end,"&gt;"&amp;0)=0,"",IF(COUNTIFS(m_teacher,AH$4,m_date,($G$2+17),m_active,1,m_start,"&lt;"&amp;600,m_end,"&gt;"&amp;0)&gt;1,"충돌",HYPERLINK("#'관리자_MASTER'!D"&amp;_xlfn.MAXIFS(m_row,m_teacher,AH$4,m_date,($G$2+17),m_active,1,m_start,"&lt;"&amp;600,m_end,"&gt;"&amp;0),INDEX(m_label,_xlfn.MAXIFS(m_row,m_teacher,AH$4,m_date,($G$2+17),m_active,1,m_start,"&lt;"&amp;600,m_end,"&gt;"&amp;0))))))</f>
        <v/>
      </c>
      <c r="AI38" s="87" t="str">
        <f aca="false">IF(OR(AI$4="",MONTH(($G$2+17))&lt;&gt;MONTH($C$2)),"",IF(COUNTIFS(m_teacher,AI$4,m_date,($G$2+17),m_active,1,m_start,"&lt;"&amp;600,m_end,"&gt;"&amp;0)=0,"",IF(COUNTIFS(m_teacher,AI$4,m_date,($G$2+17),m_active,1,m_start,"&lt;"&amp;600,m_end,"&gt;"&amp;0)&gt;1,"충돌",HYPERLINK("#'관리자_MASTER'!D"&amp;_xlfn.MAXIFS(m_row,m_teacher,AI$4,m_date,($G$2+17),m_active,1,m_start,"&lt;"&amp;600,m_end,"&gt;"&amp;0),INDEX(m_label,_xlfn.MAXIFS(m_row,m_teacher,AI$4,m_date,($G$2+17),m_active,1,m_start,"&lt;"&amp;600,m_end,"&gt;"&amp;0))))))</f>
        <v/>
      </c>
      <c r="AJ38" s="87" t="str">
        <f aca="false">IF(OR(AJ$4="",MONTH(($G$2+17))&lt;&gt;MONTH($C$2)),"",IF(COUNTIFS(m_teacher,AJ$4,m_date,($G$2+17),m_active,1,m_start,"&lt;"&amp;600,m_end,"&gt;"&amp;0)=0,"",IF(COUNTIFS(m_teacher,AJ$4,m_date,($G$2+17),m_active,1,m_start,"&lt;"&amp;600,m_end,"&gt;"&amp;0)&gt;1,"충돌",HYPERLINK("#'관리자_MASTER'!D"&amp;_xlfn.MAXIFS(m_row,m_teacher,AJ$4,m_date,($G$2+17),m_active,1,m_start,"&lt;"&amp;600,m_end,"&gt;"&amp;0),INDEX(m_label,_xlfn.MAXIFS(m_row,m_teacher,AJ$4,m_date,($G$2+17),m_active,1,m_start,"&lt;"&amp;600,m_end,"&gt;"&amp;0))))))</f>
        <v/>
      </c>
      <c r="AK38" s="87" t="str">
        <f aca="false">IF(OR(AK$4="",MONTH(($G$2+17))&lt;&gt;MONTH($C$2)),"",IF(COUNTIFS(m_teacher,AK$4,m_date,($G$2+17),m_active,1,m_start,"&lt;"&amp;600,m_end,"&gt;"&amp;0)=0,"",IF(COUNTIFS(m_teacher,AK$4,m_date,($G$2+17),m_active,1,m_start,"&lt;"&amp;600,m_end,"&gt;"&amp;0)&gt;1,"충돌",HYPERLINK("#'관리자_MASTER'!D"&amp;_xlfn.MAXIFS(m_row,m_teacher,AK$4,m_date,($G$2+17),m_active,1,m_start,"&lt;"&amp;600,m_end,"&gt;"&amp;0),INDEX(m_label,_xlfn.MAXIFS(m_row,m_teacher,AK$4,m_date,($G$2+17),m_active,1,m_start,"&lt;"&amp;600,m_end,"&gt;"&amp;0))))))</f>
        <v/>
      </c>
      <c r="AL38" s="87" t="str">
        <f aca="false">IF(OR(AL$4="",MONTH(($G$2+17))&lt;&gt;MONTH($C$2)),"",IF(COUNTIFS(m_teacher,AL$4,m_date,($G$2+17),m_active,1,m_start,"&lt;"&amp;600,m_end,"&gt;"&amp;0)=0,"",IF(COUNTIFS(m_teacher,AL$4,m_date,($G$2+17),m_active,1,m_start,"&lt;"&amp;600,m_end,"&gt;"&amp;0)&gt;1,"충돌",HYPERLINK("#'관리자_MASTER'!D"&amp;_xlfn.MAXIFS(m_row,m_teacher,AL$4,m_date,($G$2+17),m_active,1,m_start,"&lt;"&amp;600,m_end,"&gt;"&amp;0),INDEX(m_label,_xlfn.MAXIFS(m_row,m_teacher,AL$4,m_date,($G$2+17),m_active,1,m_start,"&lt;"&amp;600,m_end,"&gt;"&amp;0))))))</f>
        <v/>
      </c>
      <c r="AM38" s="87" t="str">
        <f aca="false">IF(OR(AM$4="",MONTH(($G$2+17))&lt;&gt;MONTH($C$2)),"",IF(COUNTIFS(m_teacher,AM$4,m_date,($G$2+17),m_active,1,m_start,"&lt;"&amp;600,m_end,"&gt;"&amp;0)=0,"",IF(COUNTIFS(m_teacher,AM$4,m_date,($G$2+17),m_active,1,m_start,"&lt;"&amp;600,m_end,"&gt;"&amp;0)&gt;1,"충돌",HYPERLINK("#'관리자_MASTER'!D"&amp;_xlfn.MAXIFS(m_row,m_teacher,AM$4,m_date,($G$2+17),m_active,1,m_start,"&lt;"&amp;600,m_end,"&gt;"&amp;0),INDEX(m_label,_xlfn.MAXIFS(m_row,m_teacher,AM$4,m_date,($G$2+17),m_active,1,m_start,"&lt;"&amp;600,m_end,"&gt;"&amp;0))))))</f>
        <v/>
      </c>
      <c r="AN38" s="87" t="str">
        <f aca="false">IF(OR(AN$4="",MONTH(($G$2+17))&lt;&gt;MONTH($C$2)),"",IF(COUNTIFS(m_teacher,AN$4,m_date,($G$2+17),m_active,1,m_start,"&lt;"&amp;600,m_end,"&gt;"&amp;0)=0,"",IF(COUNTIFS(m_teacher,AN$4,m_date,($G$2+17),m_active,1,m_start,"&lt;"&amp;600,m_end,"&gt;"&amp;0)&gt;1,"충돌",HYPERLINK("#'관리자_MASTER'!D"&amp;_xlfn.MAXIFS(m_row,m_teacher,AN$4,m_date,($G$2+17),m_active,1,m_start,"&lt;"&amp;600,m_end,"&gt;"&amp;0),INDEX(m_label,_xlfn.MAXIFS(m_row,m_teacher,AN$4,m_date,($G$2+17),m_active,1,m_start,"&lt;"&amp;600,m_end,"&gt;"&amp;0))))))</f>
        <v/>
      </c>
      <c r="AO38" s="87" t="str">
        <f aca="false">IF(OR(AO$4="",MONTH(($G$2+17))&lt;&gt;MONTH($C$2)),"",IF(COUNTIFS(m_teacher,AO$4,m_date,($G$2+17),m_active,1,m_start,"&lt;"&amp;600,m_end,"&gt;"&amp;0)=0,"",IF(COUNTIFS(m_teacher,AO$4,m_date,($G$2+17),m_active,1,m_start,"&lt;"&amp;600,m_end,"&gt;"&amp;0)&gt;1,"충돌",HYPERLINK("#'관리자_MASTER'!D"&amp;_xlfn.MAXIFS(m_row,m_teacher,AO$4,m_date,($G$2+17),m_active,1,m_start,"&lt;"&amp;600,m_end,"&gt;"&amp;0),INDEX(m_label,_xlfn.MAXIFS(m_row,m_teacher,AO$4,m_date,($G$2+17),m_active,1,m_start,"&lt;"&amp;600,m_end,"&gt;"&amp;0))))))</f>
        <v/>
      </c>
      <c r="AP38" s="87" t="str">
        <f aca="false">IF(OR(AP$4="",MONTH(($G$2+17))&lt;&gt;MONTH($C$2)),"",IF(COUNTIFS(m_teacher,AP$4,m_date,($G$2+17),m_active,1,m_start,"&lt;"&amp;600,m_end,"&gt;"&amp;0)=0,"",IF(COUNTIFS(m_teacher,AP$4,m_date,($G$2+17),m_active,1,m_start,"&lt;"&amp;600,m_end,"&gt;"&amp;0)&gt;1,"충돌",HYPERLINK("#'관리자_MASTER'!D"&amp;_xlfn.MAXIFS(m_row,m_teacher,AP$4,m_date,($G$2+17),m_active,1,m_start,"&lt;"&amp;600,m_end,"&gt;"&amp;0),INDEX(m_label,_xlfn.MAXIFS(m_row,m_teacher,AP$4,m_date,($G$2+17),m_active,1,m_start,"&lt;"&amp;600,m_end,"&gt;"&amp;0))))))</f>
        <v/>
      </c>
      <c r="AQ38" s="78" t="str">
        <f aca="false">IF(MONTH(($G$2+24))&lt;&gt;MONTH($C$2),"",CHOOSE(WEEKDAY(($G$2+24),2),"월","화","수","목","금","토","일")&amp;CHAR(10)&amp;TEXT(($G$2+24),"m/d"))</f>
        <v>목
1/21</v>
      </c>
      <c r="AR38" s="79" t="s">
        <v>91</v>
      </c>
      <c r="AS38" s="87" t="str">
        <f aca="false">IF(OR(AS$4="",MONTH(($G$2+24))&lt;&gt;MONTH($C$2)),"",IF(COUNTIFS(m_teacher,AS$4,m_date,($G$2+24),m_active,1,m_start,"&lt;"&amp;600,m_end,"&gt;"&amp;0)=0,"",IF(COUNTIFS(m_teacher,AS$4,m_date,($G$2+24),m_active,1,m_start,"&lt;"&amp;600,m_end,"&gt;"&amp;0)&gt;1,"충돌",HYPERLINK("#'관리자_MASTER'!D"&amp;_xlfn.MAXIFS(m_row,m_teacher,AS$4,m_date,($G$2+24),m_active,1,m_start,"&lt;"&amp;600,m_end,"&gt;"&amp;0),INDEX(m_label,_xlfn.MAXIFS(m_row,m_teacher,AS$4,m_date,($G$2+24),m_active,1,m_start,"&lt;"&amp;600,m_end,"&gt;"&amp;0))))))</f>
        <v/>
      </c>
      <c r="AT38" s="87" t="str">
        <f aca="false">IF(OR(AT$4="",MONTH(($G$2+24))&lt;&gt;MONTH($C$2)),"",IF(COUNTIFS(m_teacher,AT$4,m_date,($G$2+24),m_active,1,m_start,"&lt;"&amp;600,m_end,"&gt;"&amp;0)=0,"",IF(COUNTIFS(m_teacher,AT$4,m_date,($G$2+24),m_active,1,m_start,"&lt;"&amp;600,m_end,"&gt;"&amp;0)&gt;1,"충돌",HYPERLINK("#'관리자_MASTER'!D"&amp;_xlfn.MAXIFS(m_row,m_teacher,AT$4,m_date,($G$2+24),m_active,1,m_start,"&lt;"&amp;600,m_end,"&gt;"&amp;0),INDEX(m_label,_xlfn.MAXIFS(m_row,m_teacher,AT$4,m_date,($G$2+24),m_active,1,m_start,"&lt;"&amp;600,m_end,"&gt;"&amp;0))))))</f>
        <v/>
      </c>
      <c r="AU38" s="87" t="str">
        <f aca="false">IF(OR(AU$4="",MONTH(($G$2+24))&lt;&gt;MONTH($C$2)),"",IF(COUNTIFS(m_teacher,AU$4,m_date,($G$2+24),m_active,1,m_start,"&lt;"&amp;600,m_end,"&gt;"&amp;0)=0,"",IF(COUNTIFS(m_teacher,AU$4,m_date,($G$2+24),m_active,1,m_start,"&lt;"&amp;600,m_end,"&gt;"&amp;0)&gt;1,"충돌",HYPERLINK("#'관리자_MASTER'!D"&amp;_xlfn.MAXIFS(m_row,m_teacher,AU$4,m_date,($G$2+24),m_active,1,m_start,"&lt;"&amp;600,m_end,"&gt;"&amp;0),INDEX(m_label,_xlfn.MAXIFS(m_row,m_teacher,AU$4,m_date,($G$2+24),m_active,1,m_start,"&lt;"&amp;600,m_end,"&gt;"&amp;0))))))</f>
        <v/>
      </c>
      <c r="AV38" s="87" t="str">
        <f aca="false">IF(OR(AV$4="",MONTH(($G$2+24))&lt;&gt;MONTH($C$2)),"",IF(COUNTIFS(m_teacher,AV$4,m_date,($G$2+24),m_active,1,m_start,"&lt;"&amp;600,m_end,"&gt;"&amp;0)=0,"",IF(COUNTIFS(m_teacher,AV$4,m_date,($G$2+24),m_active,1,m_start,"&lt;"&amp;600,m_end,"&gt;"&amp;0)&gt;1,"충돌",HYPERLINK("#'관리자_MASTER'!D"&amp;_xlfn.MAXIFS(m_row,m_teacher,AV$4,m_date,($G$2+24),m_active,1,m_start,"&lt;"&amp;600,m_end,"&gt;"&amp;0),INDEX(m_label,_xlfn.MAXIFS(m_row,m_teacher,AV$4,m_date,($G$2+24),m_active,1,m_start,"&lt;"&amp;600,m_end,"&gt;"&amp;0))))))</f>
        <v/>
      </c>
      <c r="AW38" s="87" t="str">
        <f aca="false">IF(OR(AW$4="",MONTH(($G$2+24))&lt;&gt;MONTH($C$2)),"",IF(COUNTIFS(m_teacher,AW$4,m_date,($G$2+24),m_active,1,m_start,"&lt;"&amp;600,m_end,"&gt;"&amp;0)=0,"",IF(COUNTIFS(m_teacher,AW$4,m_date,($G$2+24),m_active,1,m_start,"&lt;"&amp;600,m_end,"&gt;"&amp;0)&gt;1,"충돌",HYPERLINK("#'관리자_MASTER'!D"&amp;_xlfn.MAXIFS(m_row,m_teacher,AW$4,m_date,($G$2+24),m_active,1,m_start,"&lt;"&amp;600,m_end,"&gt;"&amp;0),INDEX(m_label,_xlfn.MAXIFS(m_row,m_teacher,AW$4,m_date,($G$2+24),m_active,1,m_start,"&lt;"&amp;600,m_end,"&gt;"&amp;0))))))</f>
        <v/>
      </c>
      <c r="AX38" s="87" t="str">
        <f aca="false">IF(OR(AX$4="",MONTH(($G$2+24))&lt;&gt;MONTH($C$2)),"",IF(COUNTIFS(m_teacher,AX$4,m_date,($G$2+24),m_active,1,m_start,"&lt;"&amp;600,m_end,"&gt;"&amp;0)=0,"",IF(COUNTIFS(m_teacher,AX$4,m_date,($G$2+24),m_active,1,m_start,"&lt;"&amp;600,m_end,"&gt;"&amp;0)&gt;1,"충돌",HYPERLINK("#'관리자_MASTER'!D"&amp;_xlfn.MAXIFS(m_row,m_teacher,AX$4,m_date,($G$2+24),m_active,1,m_start,"&lt;"&amp;600,m_end,"&gt;"&amp;0),INDEX(m_label,_xlfn.MAXIFS(m_row,m_teacher,AX$4,m_date,($G$2+24),m_active,1,m_start,"&lt;"&amp;600,m_end,"&gt;"&amp;0))))))</f>
        <v/>
      </c>
      <c r="AY38" s="87" t="str">
        <f aca="false">IF(OR(AY$4="",MONTH(($G$2+24))&lt;&gt;MONTH($C$2)),"",IF(COUNTIFS(m_teacher,AY$4,m_date,($G$2+24),m_active,1,m_start,"&lt;"&amp;600,m_end,"&gt;"&amp;0)=0,"",IF(COUNTIFS(m_teacher,AY$4,m_date,($G$2+24),m_active,1,m_start,"&lt;"&amp;600,m_end,"&gt;"&amp;0)&gt;1,"충돌",HYPERLINK("#'관리자_MASTER'!D"&amp;_xlfn.MAXIFS(m_row,m_teacher,AY$4,m_date,($G$2+24),m_active,1,m_start,"&lt;"&amp;600,m_end,"&gt;"&amp;0),INDEX(m_label,_xlfn.MAXIFS(m_row,m_teacher,AY$4,m_date,($G$2+24),m_active,1,m_start,"&lt;"&amp;600,m_end,"&gt;"&amp;0))))))</f>
        <v/>
      </c>
      <c r="AZ38" s="87" t="str">
        <f aca="false">IF(OR(AZ$4="",MONTH(($G$2+24))&lt;&gt;MONTH($C$2)),"",IF(COUNTIFS(m_teacher,AZ$4,m_date,($G$2+24),m_active,1,m_start,"&lt;"&amp;600,m_end,"&gt;"&amp;0)=0,"",IF(COUNTIFS(m_teacher,AZ$4,m_date,($G$2+24),m_active,1,m_start,"&lt;"&amp;600,m_end,"&gt;"&amp;0)&gt;1,"충돌",HYPERLINK("#'관리자_MASTER'!D"&amp;_xlfn.MAXIFS(m_row,m_teacher,AZ$4,m_date,($G$2+24),m_active,1,m_start,"&lt;"&amp;600,m_end,"&gt;"&amp;0),INDEX(m_label,_xlfn.MAXIFS(m_row,m_teacher,AZ$4,m_date,($G$2+24),m_active,1,m_start,"&lt;"&amp;600,m_end,"&gt;"&amp;0))))))</f>
        <v/>
      </c>
      <c r="BA38" s="87" t="str">
        <f aca="false">IF(OR(BA$4="",MONTH(($G$2+24))&lt;&gt;MONTH($C$2)),"",IF(COUNTIFS(m_teacher,BA$4,m_date,($G$2+24),m_active,1,m_start,"&lt;"&amp;600,m_end,"&gt;"&amp;0)=0,"",IF(COUNTIFS(m_teacher,BA$4,m_date,($G$2+24),m_active,1,m_start,"&lt;"&amp;600,m_end,"&gt;"&amp;0)&gt;1,"충돌",HYPERLINK("#'관리자_MASTER'!D"&amp;_xlfn.MAXIFS(m_row,m_teacher,BA$4,m_date,($G$2+24),m_active,1,m_start,"&lt;"&amp;600,m_end,"&gt;"&amp;0),INDEX(m_label,_xlfn.MAXIFS(m_row,m_teacher,BA$4,m_date,($G$2+24),m_active,1,m_start,"&lt;"&amp;600,m_end,"&gt;"&amp;0))))))</f>
        <v/>
      </c>
      <c r="BB38" s="87" t="str">
        <f aca="false">IF(OR(BB$4="",MONTH(($G$2+24))&lt;&gt;MONTH($C$2)),"",IF(COUNTIFS(m_teacher,BB$4,m_date,($G$2+24),m_active,1,m_start,"&lt;"&amp;600,m_end,"&gt;"&amp;0)=0,"",IF(COUNTIFS(m_teacher,BB$4,m_date,($G$2+24),m_active,1,m_start,"&lt;"&amp;600,m_end,"&gt;"&amp;0)&gt;1,"충돌",HYPERLINK("#'관리자_MASTER'!D"&amp;_xlfn.MAXIFS(m_row,m_teacher,BB$4,m_date,($G$2+24),m_active,1,m_start,"&lt;"&amp;600,m_end,"&gt;"&amp;0),INDEX(m_label,_xlfn.MAXIFS(m_row,m_teacher,BB$4,m_date,($G$2+24),m_active,1,m_start,"&lt;"&amp;600,m_end,"&gt;"&amp;0))))))</f>
        <v/>
      </c>
      <c r="BC38" s="87" t="str">
        <f aca="false">IF(OR(BC$4="",MONTH(($G$2+24))&lt;&gt;MONTH($C$2)),"",IF(COUNTIFS(m_teacher,BC$4,m_date,($G$2+24),m_active,1,m_start,"&lt;"&amp;600,m_end,"&gt;"&amp;0)=0,"",IF(COUNTIFS(m_teacher,BC$4,m_date,($G$2+24),m_active,1,m_start,"&lt;"&amp;600,m_end,"&gt;"&amp;0)&gt;1,"충돌",HYPERLINK("#'관리자_MASTER'!D"&amp;_xlfn.MAXIFS(m_row,m_teacher,BC$4,m_date,($G$2+24),m_active,1,m_start,"&lt;"&amp;600,m_end,"&gt;"&amp;0),INDEX(m_label,_xlfn.MAXIFS(m_row,m_teacher,BC$4,m_date,($G$2+24),m_active,1,m_start,"&lt;"&amp;600,m_end,"&gt;"&amp;0))))))</f>
        <v/>
      </c>
      <c r="BD38" s="87" t="str">
        <f aca="false">IF(OR(BD$4="",MONTH(($G$2+24))&lt;&gt;MONTH($C$2)),"",IF(COUNTIFS(m_teacher,BD$4,m_date,($G$2+24),m_active,1,m_start,"&lt;"&amp;600,m_end,"&gt;"&amp;0)=0,"",IF(COUNTIFS(m_teacher,BD$4,m_date,($G$2+24),m_active,1,m_start,"&lt;"&amp;600,m_end,"&gt;"&amp;0)&gt;1,"충돌",HYPERLINK("#'관리자_MASTER'!D"&amp;_xlfn.MAXIFS(m_row,m_teacher,BD$4,m_date,($G$2+24),m_active,1,m_start,"&lt;"&amp;600,m_end,"&gt;"&amp;0),INDEX(m_label,_xlfn.MAXIFS(m_row,m_teacher,BD$4,m_date,($G$2+24),m_active,1,m_start,"&lt;"&amp;600,m_end,"&gt;"&amp;0))))))</f>
        <v/>
      </c>
      <c r="BE38" s="78" t="str">
        <f aca="false">IF(MONTH(($G$2+31))&lt;&gt;MONTH($C$2),"",CHOOSE(WEEKDAY(($G$2+31),2),"월","화","수","목","금","토","일")&amp;CHAR(10)&amp;TEXT(($G$2+31),"m/d"))</f>
        <v>목
1/28</v>
      </c>
      <c r="BF38" s="79" t="s">
        <v>91</v>
      </c>
      <c r="BG38" s="87" t="str">
        <f aca="false">IF(OR(BG$4="",MONTH(($G$2+31))&lt;&gt;MONTH($C$2)),"",IF(COUNTIFS(m_teacher,BG$4,m_date,($G$2+31),m_active,1,m_start,"&lt;"&amp;600,m_end,"&gt;"&amp;0)=0,"",IF(COUNTIFS(m_teacher,BG$4,m_date,($G$2+31),m_active,1,m_start,"&lt;"&amp;600,m_end,"&gt;"&amp;0)&gt;1,"충돌",HYPERLINK("#'관리자_MASTER'!D"&amp;_xlfn.MAXIFS(m_row,m_teacher,BG$4,m_date,($G$2+31),m_active,1,m_start,"&lt;"&amp;600,m_end,"&gt;"&amp;0),INDEX(m_label,_xlfn.MAXIFS(m_row,m_teacher,BG$4,m_date,($G$2+31),m_active,1,m_start,"&lt;"&amp;600,m_end,"&gt;"&amp;0))))))</f>
        <v/>
      </c>
      <c r="BH38" s="87" t="str">
        <f aca="false">IF(OR(BH$4="",MONTH(($G$2+31))&lt;&gt;MONTH($C$2)),"",IF(COUNTIFS(m_teacher,BH$4,m_date,($G$2+31),m_active,1,m_start,"&lt;"&amp;600,m_end,"&gt;"&amp;0)=0,"",IF(COUNTIFS(m_teacher,BH$4,m_date,($G$2+31),m_active,1,m_start,"&lt;"&amp;600,m_end,"&gt;"&amp;0)&gt;1,"충돌",HYPERLINK("#'관리자_MASTER'!D"&amp;_xlfn.MAXIFS(m_row,m_teacher,BH$4,m_date,($G$2+31),m_active,1,m_start,"&lt;"&amp;600,m_end,"&gt;"&amp;0),INDEX(m_label,_xlfn.MAXIFS(m_row,m_teacher,BH$4,m_date,($G$2+31),m_active,1,m_start,"&lt;"&amp;600,m_end,"&gt;"&amp;0))))))</f>
        <v/>
      </c>
      <c r="BI38" s="87" t="str">
        <f aca="false">IF(OR(BI$4="",MONTH(($G$2+31))&lt;&gt;MONTH($C$2)),"",IF(COUNTIFS(m_teacher,BI$4,m_date,($G$2+31),m_active,1,m_start,"&lt;"&amp;600,m_end,"&gt;"&amp;0)=0,"",IF(COUNTIFS(m_teacher,BI$4,m_date,($G$2+31),m_active,1,m_start,"&lt;"&amp;600,m_end,"&gt;"&amp;0)&gt;1,"충돌",HYPERLINK("#'관리자_MASTER'!D"&amp;_xlfn.MAXIFS(m_row,m_teacher,BI$4,m_date,($G$2+31),m_active,1,m_start,"&lt;"&amp;600,m_end,"&gt;"&amp;0),INDEX(m_label,_xlfn.MAXIFS(m_row,m_teacher,BI$4,m_date,($G$2+31),m_active,1,m_start,"&lt;"&amp;600,m_end,"&gt;"&amp;0))))))</f>
        <v/>
      </c>
      <c r="BJ38" s="87" t="str">
        <f aca="false">IF(OR(BJ$4="",MONTH(($G$2+31))&lt;&gt;MONTH($C$2)),"",IF(COUNTIFS(m_teacher,BJ$4,m_date,($G$2+31),m_active,1,m_start,"&lt;"&amp;600,m_end,"&gt;"&amp;0)=0,"",IF(COUNTIFS(m_teacher,BJ$4,m_date,($G$2+31),m_active,1,m_start,"&lt;"&amp;600,m_end,"&gt;"&amp;0)&gt;1,"충돌",HYPERLINK("#'관리자_MASTER'!D"&amp;_xlfn.MAXIFS(m_row,m_teacher,BJ$4,m_date,($G$2+31),m_active,1,m_start,"&lt;"&amp;600,m_end,"&gt;"&amp;0),INDEX(m_label,_xlfn.MAXIFS(m_row,m_teacher,BJ$4,m_date,($G$2+31),m_active,1,m_start,"&lt;"&amp;600,m_end,"&gt;"&amp;0))))))</f>
        <v/>
      </c>
      <c r="BK38" s="87" t="str">
        <f aca="false">IF(OR(BK$4="",MONTH(($G$2+31))&lt;&gt;MONTH($C$2)),"",IF(COUNTIFS(m_teacher,BK$4,m_date,($G$2+31),m_active,1,m_start,"&lt;"&amp;600,m_end,"&gt;"&amp;0)=0,"",IF(COUNTIFS(m_teacher,BK$4,m_date,($G$2+31),m_active,1,m_start,"&lt;"&amp;600,m_end,"&gt;"&amp;0)&gt;1,"충돌",HYPERLINK("#'관리자_MASTER'!D"&amp;_xlfn.MAXIFS(m_row,m_teacher,BK$4,m_date,($G$2+31),m_active,1,m_start,"&lt;"&amp;600,m_end,"&gt;"&amp;0),INDEX(m_label,_xlfn.MAXIFS(m_row,m_teacher,BK$4,m_date,($G$2+31),m_active,1,m_start,"&lt;"&amp;600,m_end,"&gt;"&amp;0))))))</f>
        <v/>
      </c>
      <c r="BL38" s="87" t="str">
        <f aca="false">IF(OR(BL$4="",MONTH(($G$2+31))&lt;&gt;MONTH($C$2)),"",IF(COUNTIFS(m_teacher,BL$4,m_date,($G$2+31),m_active,1,m_start,"&lt;"&amp;600,m_end,"&gt;"&amp;0)=0,"",IF(COUNTIFS(m_teacher,BL$4,m_date,($G$2+31),m_active,1,m_start,"&lt;"&amp;600,m_end,"&gt;"&amp;0)&gt;1,"충돌",HYPERLINK("#'관리자_MASTER'!D"&amp;_xlfn.MAXIFS(m_row,m_teacher,BL$4,m_date,($G$2+31),m_active,1,m_start,"&lt;"&amp;600,m_end,"&gt;"&amp;0),INDEX(m_label,_xlfn.MAXIFS(m_row,m_teacher,BL$4,m_date,($G$2+31),m_active,1,m_start,"&lt;"&amp;600,m_end,"&gt;"&amp;0))))))</f>
        <v/>
      </c>
      <c r="BM38" s="87" t="str">
        <f aca="false">IF(OR(BM$4="",MONTH(($G$2+31))&lt;&gt;MONTH($C$2)),"",IF(COUNTIFS(m_teacher,BM$4,m_date,($G$2+31),m_active,1,m_start,"&lt;"&amp;600,m_end,"&gt;"&amp;0)=0,"",IF(COUNTIFS(m_teacher,BM$4,m_date,($G$2+31),m_active,1,m_start,"&lt;"&amp;600,m_end,"&gt;"&amp;0)&gt;1,"충돌",HYPERLINK("#'관리자_MASTER'!D"&amp;_xlfn.MAXIFS(m_row,m_teacher,BM$4,m_date,($G$2+31),m_active,1,m_start,"&lt;"&amp;600,m_end,"&gt;"&amp;0),INDEX(m_label,_xlfn.MAXIFS(m_row,m_teacher,BM$4,m_date,($G$2+31),m_active,1,m_start,"&lt;"&amp;600,m_end,"&gt;"&amp;0))))))</f>
        <v/>
      </c>
      <c r="BN38" s="87" t="str">
        <f aca="false">IF(OR(BN$4="",MONTH(($G$2+31))&lt;&gt;MONTH($C$2)),"",IF(COUNTIFS(m_teacher,BN$4,m_date,($G$2+31),m_active,1,m_start,"&lt;"&amp;600,m_end,"&gt;"&amp;0)=0,"",IF(COUNTIFS(m_teacher,BN$4,m_date,($G$2+31),m_active,1,m_start,"&lt;"&amp;600,m_end,"&gt;"&amp;0)&gt;1,"충돌",HYPERLINK("#'관리자_MASTER'!D"&amp;_xlfn.MAXIFS(m_row,m_teacher,BN$4,m_date,($G$2+31),m_active,1,m_start,"&lt;"&amp;600,m_end,"&gt;"&amp;0),INDEX(m_label,_xlfn.MAXIFS(m_row,m_teacher,BN$4,m_date,($G$2+31),m_active,1,m_start,"&lt;"&amp;600,m_end,"&gt;"&amp;0))))))</f>
        <v/>
      </c>
      <c r="BO38" s="87" t="str">
        <f aca="false">IF(OR(BO$4="",MONTH(($G$2+31))&lt;&gt;MONTH($C$2)),"",IF(COUNTIFS(m_teacher,BO$4,m_date,($G$2+31),m_active,1,m_start,"&lt;"&amp;600,m_end,"&gt;"&amp;0)=0,"",IF(COUNTIFS(m_teacher,BO$4,m_date,($G$2+31),m_active,1,m_start,"&lt;"&amp;600,m_end,"&gt;"&amp;0)&gt;1,"충돌",HYPERLINK("#'관리자_MASTER'!D"&amp;_xlfn.MAXIFS(m_row,m_teacher,BO$4,m_date,($G$2+31),m_active,1,m_start,"&lt;"&amp;600,m_end,"&gt;"&amp;0),INDEX(m_label,_xlfn.MAXIFS(m_row,m_teacher,BO$4,m_date,($G$2+31),m_active,1,m_start,"&lt;"&amp;600,m_end,"&gt;"&amp;0))))))</f>
        <v/>
      </c>
      <c r="BP38" s="87" t="str">
        <f aca="false">IF(OR(BP$4="",MONTH(($G$2+31))&lt;&gt;MONTH($C$2)),"",IF(COUNTIFS(m_teacher,BP$4,m_date,($G$2+31),m_active,1,m_start,"&lt;"&amp;600,m_end,"&gt;"&amp;0)=0,"",IF(COUNTIFS(m_teacher,BP$4,m_date,($G$2+31),m_active,1,m_start,"&lt;"&amp;600,m_end,"&gt;"&amp;0)&gt;1,"충돌",HYPERLINK("#'관리자_MASTER'!D"&amp;_xlfn.MAXIFS(m_row,m_teacher,BP$4,m_date,($G$2+31),m_active,1,m_start,"&lt;"&amp;600,m_end,"&gt;"&amp;0),INDEX(m_label,_xlfn.MAXIFS(m_row,m_teacher,BP$4,m_date,($G$2+31),m_active,1,m_start,"&lt;"&amp;600,m_end,"&gt;"&amp;0))))))</f>
        <v/>
      </c>
      <c r="BQ38" s="87" t="str">
        <f aca="false">IF(OR(BQ$4="",MONTH(($G$2+31))&lt;&gt;MONTH($C$2)),"",IF(COUNTIFS(m_teacher,BQ$4,m_date,($G$2+31),m_active,1,m_start,"&lt;"&amp;600,m_end,"&gt;"&amp;0)=0,"",IF(COUNTIFS(m_teacher,BQ$4,m_date,($G$2+31),m_active,1,m_start,"&lt;"&amp;600,m_end,"&gt;"&amp;0)&gt;1,"충돌",HYPERLINK("#'관리자_MASTER'!D"&amp;_xlfn.MAXIFS(m_row,m_teacher,BQ$4,m_date,($G$2+31),m_active,1,m_start,"&lt;"&amp;600,m_end,"&gt;"&amp;0),INDEX(m_label,_xlfn.MAXIFS(m_row,m_teacher,BQ$4,m_date,($G$2+31),m_active,1,m_start,"&lt;"&amp;600,m_end,"&gt;"&amp;0))))))</f>
        <v/>
      </c>
      <c r="BR38" s="87" t="str">
        <f aca="false">IF(OR(BR$4="",MONTH(($G$2+31))&lt;&gt;MONTH($C$2)),"",IF(COUNTIFS(m_teacher,BR$4,m_date,($G$2+31),m_active,1,m_start,"&lt;"&amp;600,m_end,"&gt;"&amp;0)=0,"",IF(COUNTIFS(m_teacher,BR$4,m_date,($G$2+31),m_active,1,m_start,"&lt;"&amp;600,m_end,"&gt;"&amp;0)&gt;1,"충돌",HYPERLINK("#'관리자_MASTER'!D"&amp;_xlfn.MAXIFS(m_row,m_teacher,BR$4,m_date,($G$2+31),m_active,1,m_start,"&lt;"&amp;600,m_end,"&gt;"&amp;0),INDEX(m_label,_xlfn.MAXIFS(m_row,m_teacher,BR$4,m_date,($G$2+31),m_active,1,m_start,"&lt;"&amp;600,m_end,"&gt;"&amp;0))))))</f>
        <v/>
      </c>
    </row>
    <row r="39" customFormat="false" ht="19.5" hidden="false" customHeight="true" outlineLevel="0" collapsed="false">
      <c r="A39" s="75"/>
      <c r="B39" s="76" t="s">
        <v>92</v>
      </c>
      <c r="C39" s="81" t="str">
        <f aca="false">IF(OR(C$4="",MONTH(($G$2+3))&lt;&gt;MONTH($C$2)),"",IF(COUNTIFS(m_teacher,C$4,m_date,($G$2+3),m_active,1,m_start,"&lt;"&amp;660,m_end,"&gt;"&amp;600)=0,"",IF(COUNTIFS(m_teacher,C$4,m_date,($G$2+3),m_active,1,m_start,"&lt;"&amp;660,m_end,"&gt;"&amp;600)&gt;1,"충돌",HYPERLINK("#'관리자_MASTER'!D"&amp;_xlfn.MAXIFS(m_row,m_teacher,C$4,m_date,($G$2+3),m_active,1,m_start,"&lt;"&amp;660,m_end,"&gt;"&amp;600),INDEX(m_label,_xlfn.MAXIFS(m_row,m_teacher,C$4,m_date,($G$2+3),m_active,1,m_start,"&lt;"&amp;660,m_end,"&gt;"&amp;600))))))</f>
        <v/>
      </c>
      <c r="D39" s="81" t="str">
        <f aca="false">IF(OR(D$4="",MONTH(($G$2+3))&lt;&gt;MONTH($C$2)),"",IF(COUNTIFS(m_teacher,D$4,m_date,($G$2+3),m_active,1,m_start,"&lt;"&amp;660,m_end,"&gt;"&amp;600)=0,"",IF(COUNTIFS(m_teacher,D$4,m_date,($G$2+3),m_active,1,m_start,"&lt;"&amp;660,m_end,"&gt;"&amp;600)&gt;1,"충돌",HYPERLINK("#'관리자_MASTER'!D"&amp;_xlfn.MAXIFS(m_row,m_teacher,D$4,m_date,($G$2+3),m_active,1,m_start,"&lt;"&amp;660,m_end,"&gt;"&amp;600),INDEX(m_label,_xlfn.MAXIFS(m_row,m_teacher,D$4,m_date,($G$2+3),m_active,1,m_start,"&lt;"&amp;660,m_end,"&gt;"&amp;600))))))</f>
        <v/>
      </c>
      <c r="E39" s="81" t="str">
        <f aca="false">IF(OR(E$4="",MONTH(($G$2+3))&lt;&gt;MONTH($C$2)),"",IF(COUNTIFS(m_teacher,E$4,m_date,($G$2+3),m_active,1,m_start,"&lt;"&amp;660,m_end,"&gt;"&amp;600)=0,"",IF(COUNTIFS(m_teacher,E$4,m_date,($G$2+3),m_active,1,m_start,"&lt;"&amp;660,m_end,"&gt;"&amp;600)&gt;1,"충돌",HYPERLINK("#'관리자_MASTER'!D"&amp;_xlfn.MAXIFS(m_row,m_teacher,E$4,m_date,($G$2+3),m_active,1,m_start,"&lt;"&amp;660,m_end,"&gt;"&amp;600),INDEX(m_label,_xlfn.MAXIFS(m_row,m_teacher,E$4,m_date,($G$2+3),m_active,1,m_start,"&lt;"&amp;660,m_end,"&gt;"&amp;600))))))</f>
        <v/>
      </c>
      <c r="F39" s="81" t="str">
        <f aca="false">IF(OR(F$4="",MONTH(($G$2+3))&lt;&gt;MONTH($C$2)),"",IF(COUNTIFS(m_teacher,F$4,m_date,($G$2+3),m_active,1,m_start,"&lt;"&amp;660,m_end,"&gt;"&amp;600)=0,"",IF(COUNTIFS(m_teacher,F$4,m_date,($G$2+3),m_active,1,m_start,"&lt;"&amp;660,m_end,"&gt;"&amp;600)&gt;1,"충돌",HYPERLINK("#'관리자_MASTER'!D"&amp;_xlfn.MAXIFS(m_row,m_teacher,F$4,m_date,($G$2+3),m_active,1,m_start,"&lt;"&amp;660,m_end,"&gt;"&amp;600),INDEX(m_label,_xlfn.MAXIFS(m_row,m_teacher,F$4,m_date,($G$2+3),m_active,1,m_start,"&lt;"&amp;660,m_end,"&gt;"&amp;600))))))</f>
        <v/>
      </c>
      <c r="G39" s="81" t="str">
        <f aca="false">IF(OR(G$4="",MONTH(($G$2+3))&lt;&gt;MONTH($C$2)),"",IF(COUNTIFS(m_teacher,G$4,m_date,($G$2+3),m_active,1,m_start,"&lt;"&amp;660,m_end,"&gt;"&amp;600)=0,"",IF(COUNTIFS(m_teacher,G$4,m_date,($G$2+3),m_active,1,m_start,"&lt;"&amp;660,m_end,"&gt;"&amp;600)&gt;1,"충돌",HYPERLINK("#'관리자_MASTER'!D"&amp;_xlfn.MAXIFS(m_row,m_teacher,G$4,m_date,($G$2+3),m_active,1,m_start,"&lt;"&amp;660,m_end,"&gt;"&amp;600),INDEX(m_label,_xlfn.MAXIFS(m_row,m_teacher,G$4,m_date,($G$2+3),m_active,1,m_start,"&lt;"&amp;660,m_end,"&gt;"&amp;600))))))</f>
        <v/>
      </c>
      <c r="H39" s="81" t="str">
        <f aca="false">IF(OR(H$4="",MONTH(($G$2+3))&lt;&gt;MONTH($C$2)),"",IF(COUNTIFS(m_teacher,H$4,m_date,($G$2+3),m_active,1,m_start,"&lt;"&amp;660,m_end,"&gt;"&amp;600)=0,"",IF(COUNTIFS(m_teacher,H$4,m_date,($G$2+3),m_active,1,m_start,"&lt;"&amp;660,m_end,"&gt;"&amp;600)&gt;1,"충돌",HYPERLINK("#'관리자_MASTER'!D"&amp;_xlfn.MAXIFS(m_row,m_teacher,H$4,m_date,($G$2+3),m_active,1,m_start,"&lt;"&amp;660,m_end,"&gt;"&amp;600),INDEX(m_label,_xlfn.MAXIFS(m_row,m_teacher,H$4,m_date,($G$2+3),m_active,1,m_start,"&lt;"&amp;660,m_end,"&gt;"&amp;600))))))</f>
        <v/>
      </c>
      <c r="I39" s="81" t="str">
        <f aca="false">IF(OR(I$4="",MONTH(($G$2+3))&lt;&gt;MONTH($C$2)),"",IF(COUNTIFS(m_teacher,I$4,m_date,($G$2+3),m_active,1,m_start,"&lt;"&amp;660,m_end,"&gt;"&amp;600)=0,"",IF(COUNTIFS(m_teacher,I$4,m_date,($G$2+3),m_active,1,m_start,"&lt;"&amp;660,m_end,"&gt;"&amp;600)&gt;1,"충돌",HYPERLINK("#'관리자_MASTER'!D"&amp;_xlfn.MAXIFS(m_row,m_teacher,I$4,m_date,($G$2+3),m_active,1,m_start,"&lt;"&amp;660,m_end,"&gt;"&amp;600),INDEX(m_label,_xlfn.MAXIFS(m_row,m_teacher,I$4,m_date,($G$2+3),m_active,1,m_start,"&lt;"&amp;660,m_end,"&gt;"&amp;600))))))</f>
        <v/>
      </c>
      <c r="J39" s="81" t="str">
        <f aca="false">IF(OR(J$4="",MONTH(($G$2+3))&lt;&gt;MONTH($C$2)),"",IF(COUNTIFS(m_teacher,J$4,m_date,($G$2+3),m_active,1,m_start,"&lt;"&amp;660,m_end,"&gt;"&amp;600)=0,"",IF(COUNTIFS(m_teacher,J$4,m_date,($G$2+3),m_active,1,m_start,"&lt;"&amp;660,m_end,"&gt;"&amp;600)&gt;1,"충돌",HYPERLINK("#'관리자_MASTER'!D"&amp;_xlfn.MAXIFS(m_row,m_teacher,J$4,m_date,($G$2+3),m_active,1,m_start,"&lt;"&amp;660,m_end,"&gt;"&amp;600),INDEX(m_label,_xlfn.MAXIFS(m_row,m_teacher,J$4,m_date,($G$2+3),m_active,1,m_start,"&lt;"&amp;660,m_end,"&gt;"&amp;600))))))</f>
        <v/>
      </c>
      <c r="K39" s="81" t="str">
        <f aca="false">IF(OR(K$4="",MONTH(($G$2+3))&lt;&gt;MONTH($C$2)),"",IF(COUNTIFS(m_teacher,K$4,m_date,($G$2+3),m_active,1,m_start,"&lt;"&amp;660,m_end,"&gt;"&amp;600)=0,"",IF(COUNTIFS(m_teacher,K$4,m_date,($G$2+3),m_active,1,m_start,"&lt;"&amp;660,m_end,"&gt;"&amp;600)&gt;1,"충돌",HYPERLINK("#'관리자_MASTER'!D"&amp;_xlfn.MAXIFS(m_row,m_teacher,K$4,m_date,($G$2+3),m_active,1,m_start,"&lt;"&amp;660,m_end,"&gt;"&amp;600),INDEX(m_label,_xlfn.MAXIFS(m_row,m_teacher,K$4,m_date,($G$2+3),m_active,1,m_start,"&lt;"&amp;660,m_end,"&gt;"&amp;600))))))</f>
        <v/>
      </c>
      <c r="L39" s="81" t="str">
        <f aca="false">IF(OR(L$4="",MONTH(($G$2+3))&lt;&gt;MONTH($C$2)),"",IF(COUNTIFS(m_teacher,L$4,m_date,($G$2+3),m_active,1,m_start,"&lt;"&amp;660,m_end,"&gt;"&amp;600)=0,"",IF(COUNTIFS(m_teacher,L$4,m_date,($G$2+3),m_active,1,m_start,"&lt;"&amp;660,m_end,"&gt;"&amp;600)&gt;1,"충돌",HYPERLINK("#'관리자_MASTER'!D"&amp;_xlfn.MAXIFS(m_row,m_teacher,L$4,m_date,($G$2+3),m_active,1,m_start,"&lt;"&amp;660,m_end,"&gt;"&amp;600),INDEX(m_label,_xlfn.MAXIFS(m_row,m_teacher,L$4,m_date,($G$2+3),m_active,1,m_start,"&lt;"&amp;660,m_end,"&gt;"&amp;600))))))</f>
        <v/>
      </c>
      <c r="M39" s="81" t="str">
        <f aca="false">IF(OR(M$4="",MONTH(($G$2+3))&lt;&gt;MONTH($C$2)),"",IF(COUNTIFS(m_teacher,M$4,m_date,($G$2+3),m_active,1,m_start,"&lt;"&amp;660,m_end,"&gt;"&amp;600)=0,"",IF(COUNTIFS(m_teacher,M$4,m_date,($G$2+3),m_active,1,m_start,"&lt;"&amp;660,m_end,"&gt;"&amp;600)&gt;1,"충돌",HYPERLINK("#'관리자_MASTER'!D"&amp;_xlfn.MAXIFS(m_row,m_teacher,M$4,m_date,($G$2+3),m_active,1,m_start,"&lt;"&amp;660,m_end,"&gt;"&amp;600),INDEX(m_label,_xlfn.MAXIFS(m_row,m_teacher,M$4,m_date,($G$2+3),m_active,1,m_start,"&lt;"&amp;660,m_end,"&gt;"&amp;600))))))</f>
        <v/>
      </c>
      <c r="N39" s="81" t="str">
        <f aca="false">IF(OR(N$4="",MONTH(($G$2+3))&lt;&gt;MONTH($C$2)),"",IF(COUNTIFS(m_teacher,N$4,m_date,($G$2+3),m_active,1,m_start,"&lt;"&amp;660,m_end,"&gt;"&amp;600)=0,"",IF(COUNTIFS(m_teacher,N$4,m_date,($G$2+3),m_active,1,m_start,"&lt;"&amp;660,m_end,"&gt;"&amp;600)&gt;1,"충돌",HYPERLINK("#'관리자_MASTER'!D"&amp;_xlfn.MAXIFS(m_row,m_teacher,N$4,m_date,($G$2+3),m_active,1,m_start,"&lt;"&amp;660,m_end,"&gt;"&amp;600),INDEX(m_label,_xlfn.MAXIFS(m_row,m_teacher,N$4,m_date,($G$2+3),m_active,1,m_start,"&lt;"&amp;660,m_end,"&gt;"&amp;600))))))</f>
        <v/>
      </c>
      <c r="O39" s="78"/>
      <c r="P39" s="79" t="s">
        <v>92</v>
      </c>
      <c r="Q39" s="88" t="str">
        <f aca="false">IF(OR(Q$4="",MONTH(($G$2+10))&lt;&gt;MONTH($C$2)),"",IF(COUNTIFS(m_teacher,Q$4,m_date,($G$2+10),m_active,1,m_start,"&lt;"&amp;660,m_end,"&gt;"&amp;600)=0,"",IF(COUNTIFS(m_teacher,Q$4,m_date,($G$2+10),m_active,1,m_start,"&lt;"&amp;660,m_end,"&gt;"&amp;600)&gt;1,"충돌",HYPERLINK("#'관리자_MASTER'!D"&amp;_xlfn.MAXIFS(m_row,m_teacher,Q$4,m_date,($G$2+10),m_active,1,m_start,"&lt;"&amp;660,m_end,"&gt;"&amp;600),INDEX(m_label,_xlfn.MAXIFS(m_row,m_teacher,Q$4,m_date,($G$2+10),m_active,1,m_start,"&lt;"&amp;660,m_end,"&gt;"&amp;600))))))</f>
        <v/>
      </c>
      <c r="R39" s="88" t="str">
        <f aca="false">IF(OR(R$4="",MONTH(($G$2+10))&lt;&gt;MONTH($C$2)),"",IF(COUNTIFS(m_teacher,R$4,m_date,($G$2+10),m_active,1,m_start,"&lt;"&amp;660,m_end,"&gt;"&amp;600)=0,"",IF(COUNTIFS(m_teacher,R$4,m_date,($G$2+10),m_active,1,m_start,"&lt;"&amp;660,m_end,"&gt;"&amp;600)&gt;1,"충돌",HYPERLINK("#'관리자_MASTER'!D"&amp;_xlfn.MAXIFS(m_row,m_teacher,R$4,m_date,($G$2+10),m_active,1,m_start,"&lt;"&amp;660,m_end,"&gt;"&amp;600),INDEX(m_label,_xlfn.MAXIFS(m_row,m_teacher,R$4,m_date,($G$2+10),m_active,1,m_start,"&lt;"&amp;660,m_end,"&gt;"&amp;600))))))</f>
        <v/>
      </c>
      <c r="S39" s="88" t="str">
        <f aca="false">IF(OR(S$4="",MONTH(($G$2+10))&lt;&gt;MONTH($C$2)),"",IF(COUNTIFS(m_teacher,S$4,m_date,($G$2+10),m_active,1,m_start,"&lt;"&amp;660,m_end,"&gt;"&amp;600)=0,"",IF(COUNTIFS(m_teacher,S$4,m_date,($G$2+10),m_active,1,m_start,"&lt;"&amp;660,m_end,"&gt;"&amp;600)&gt;1,"충돌",HYPERLINK("#'관리자_MASTER'!D"&amp;_xlfn.MAXIFS(m_row,m_teacher,S$4,m_date,($G$2+10),m_active,1,m_start,"&lt;"&amp;660,m_end,"&gt;"&amp;600),INDEX(m_label,_xlfn.MAXIFS(m_row,m_teacher,S$4,m_date,($G$2+10),m_active,1,m_start,"&lt;"&amp;660,m_end,"&gt;"&amp;600))))))</f>
        <v/>
      </c>
      <c r="T39" s="88" t="str">
        <f aca="false">IF(OR(T$4="",MONTH(($G$2+10))&lt;&gt;MONTH($C$2)),"",IF(COUNTIFS(m_teacher,T$4,m_date,($G$2+10),m_active,1,m_start,"&lt;"&amp;660,m_end,"&gt;"&amp;600)=0,"",IF(COUNTIFS(m_teacher,T$4,m_date,($G$2+10),m_active,1,m_start,"&lt;"&amp;660,m_end,"&gt;"&amp;600)&gt;1,"충돌",HYPERLINK("#'관리자_MASTER'!D"&amp;_xlfn.MAXIFS(m_row,m_teacher,T$4,m_date,($G$2+10),m_active,1,m_start,"&lt;"&amp;660,m_end,"&gt;"&amp;600),INDEX(m_label,_xlfn.MAXIFS(m_row,m_teacher,T$4,m_date,($G$2+10),m_active,1,m_start,"&lt;"&amp;660,m_end,"&gt;"&amp;600))))))</f>
        <v/>
      </c>
      <c r="U39" s="88" t="str">
        <f aca="false">IF(OR(U$4="",MONTH(($G$2+10))&lt;&gt;MONTH($C$2)),"",IF(COUNTIFS(m_teacher,U$4,m_date,($G$2+10),m_active,1,m_start,"&lt;"&amp;660,m_end,"&gt;"&amp;600)=0,"",IF(COUNTIFS(m_teacher,U$4,m_date,($G$2+10),m_active,1,m_start,"&lt;"&amp;660,m_end,"&gt;"&amp;600)&gt;1,"충돌",HYPERLINK("#'관리자_MASTER'!D"&amp;_xlfn.MAXIFS(m_row,m_teacher,U$4,m_date,($G$2+10),m_active,1,m_start,"&lt;"&amp;660,m_end,"&gt;"&amp;600),INDEX(m_label,_xlfn.MAXIFS(m_row,m_teacher,U$4,m_date,($G$2+10),m_active,1,m_start,"&lt;"&amp;660,m_end,"&gt;"&amp;600))))))</f>
        <v/>
      </c>
      <c r="V39" s="88" t="str">
        <f aca="false">IF(OR(V$4="",MONTH(($G$2+10))&lt;&gt;MONTH($C$2)),"",IF(COUNTIFS(m_teacher,V$4,m_date,($G$2+10),m_active,1,m_start,"&lt;"&amp;660,m_end,"&gt;"&amp;600)=0,"",IF(COUNTIFS(m_teacher,V$4,m_date,($G$2+10),m_active,1,m_start,"&lt;"&amp;660,m_end,"&gt;"&amp;600)&gt;1,"충돌",HYPERLINK("#'관리자_MASTER'!D"&amp;_xlfn.MAXIFS(m_row,m_teacher,V$4,m_date,($G$2+10),m_active,1,m_start,"&lt;"&amp;660,m_end,"&gt;"&amp;600),INDEX(m_label,_xlfn.MAXIFS(m_row,m_teacher,V$4,m_date,($G$2+10),m_active,1,m_start,"&lt;"&amp;660,m_end,"&gt;"&amp;600))))))</f>
        <v/>
      </c>
      <c r="W39" s="88" t="str">
        <f aca="false">IF(OR(W$4="",MONTH(($G$2+10))&lt;&gt;MONTH($C$2)),"",IF(COUNTIFS(m_teacher,W$4,m_date,($G$2+10),m_active,1,m_start,"&lt;"&amp;660,m_end,"&gt;"&amp;600)=0,"",IF(COUNTIFS(m_teacher,W$4,m_date,($G$2+10),m_active,1,m_start,"&lt;"&amp;660,m_end,"&gt;"&amp;600)&gt;1,"충돌",HYPERLINK("#'관리자_MASTER'!D"&amp;_xlfn.MAXIFS(m_row,m_teacher,W$4,m_date,($G$2+10),m_active,1,m_start,"&lt;"&amp;660,m_end,"&gt;"&amp;600),INDEX(m_label,_xlfn.MAXIFS(m_row,m_teacher,W$4,m_date,($G$2+10),m_active,1,m_start,"&lt;"&amp;660,m_end,"&gt;"&amp;600))))))</f>
        <v/>
      </c>
      <c r="X39" s="88" t="str">
        <f aca="false">IF(OR(X$4="",MONTH(($G$2+10))&lt;&gt;MONTH($C$2)),"",IF(COUNTIFS(m_teacher,X$4,m_date,($G$2+10),m_active,1,m_start,"&lt;"&amp;660,m_end,"&gt;"&amp;600)=0,"",IF(COUNTIFS(m_teacher,X$4,m_date,($G$2+10),m_active,1,m_start,"&lt;"&amp;660,m_end,"&gt;"&amp;600)&gt;1,"충돌",HYPERLINK("#'관리자_MASTER'!D"&amp;_xlfn.MAXIFS(m_row,m_teacher,X$4,m_date,($G$2+10),m_active,1,m_start,"&lt;"&amp;660,m_end,"&gt;"&amp;600),INDEX(m_label,_xlfn.MAXIFS(m_row,m_teacher,X$4,m_date,($G$2+10),m_active,1,m_start,"&lt;"&amp;660,m_end,"&gt;"&amp;600))))))</f>
        <v/>
      </c>
      <c r="Y39" s="88" t="str">
        <f aca="false">IF(OR(Y$4="",MONTH(($G$2+10))&lt;&gt;MONTH($C$2)),"",IF(COUNTIFS(m_teacher,Y$4,m_date,($G$2+10),m_active,1,m_start,"&lt;"&amp;660,m_end,"&gt;"&amp;600)=0,"",IF(COUNTIFS(m_teacher,Y$4,m_date,($G$2+10),m_active,1,m_start,"&lt;"&amp;660,m_end,"&gt;"&amp;600)&gt;1,"충돌",HYPERLINK("#'관리자_MASTER'!D"&amp;_xlfn.MAXIFS(m_row,m_teacher,Y$4,m_date,($G$2+10),m_active,1,m_start,"&lt;"&amp;660,m_end,"&gt;"&amp;600),INDEX(m_label,_xlfn.MAXIFS(m_row,m_teacher,Y$4,m_date,($G$2+10),m_active,1,m_start,"&lt;"&amp;660,m_end,"&gt;"&amp;600))))))</f>
        <v/>
      </c>
      <c r="Z39" s="88" t="str">
        <f aca="false">IF(OR(Z$4="",MONTH(($G$2+10))&lt;&gt;MONTH($C$2)),"",IF(COUNTIFS(m_teacher,Z$4,m_date,($G$2+10),m_active,1,m_start,"&lt;"&amp;660,m_end,"&gt;"&amp;600)=0,"",IF(COUNTIFS(m_teacher,Z$4,m_date,($G$2+10),m_active,1,m_start,"&lt;"&amp;660,m_end,"&gt;"&amp;600)&gt;1,"충돌",HYPERLINK("#'관리자_MASTER'!D"&amp;_xlfn.MAXIFS(m_row,m_teacher,Z$4,m_date,($G$2+10),m_active,1,m_start,"&lt;"&amp;660,m_end,"&gt;"&amp;600),INDEX(m_label,_xlfn.MAXIFS(m_row,m_teacher,Z$4,m_date,($G$2+10),m_active,1,m_start,"&lt;"&amp;660,m_end,"&gt;"&amp;600))))))</f>
        <v/>
      </c>
      <c r="AA39" s="88" t="str">
        <f aca="false">IF(OR(AA$4="",MONTH(($G$2+10))&lt;&gt;MONTH($C$2)),"",IF(COUNTIFS(m_teacher,AA$4,m_date,($G$2+10),m_active,1,m_start,"&lt;"&amp;660,m_end,"&gt;"&amp;600)=0,"",IF(COUNTIFS(m_teacher,AA$4,m_date,($G$2+10),m_active,1,m_start,"&lt;"&amp;660,m_end,"&gt;"&amp;600)&gt;1,"충돌",HYPERLINK("#'관리자_MASTER'!D"&amp;_xlfn.MAXIFS(m_row,m_teacher,AA$4,m_date,($G$2+10),m_active,1,m_start,"&lt;"&amp;660,m_end,"&gt;"&amp;600),INDEX(m_label,_xlfn.MAXIFS(m_row,m_teacher,AA$4,m_date,($G$2+10),m_active,1,m_start,"&lt;"&amp;660,m_end,"&gt;"&amp;600))))))</f>
        <v/>
      </c>
      <c r="AB39" s="88" t="str">
        <f aca="false">IF(OR(AB$4="",MONTH(($G$2+10))&lt;&gt;MONTH($C$2)),"",IF(COUNTIFS(m_teacher,AB$4,m_date,($G$2+10),m_active,1,m_start,"&lt;"&amp;660,m_end,"&gt;"&amp;600)=0,"",IF(COUNTIFS(m_teacher,AB$4,m_date,($G$2+10),m_active,1,m_start,"&lt;"&amp;660,m_end,"&gt;"&amp;600)&gt;1,"충돌",HYPERLINK("#'관리자_MASTER'!D"&amp;_xlfn.MAXIFS(m_row,m_teacher,AB$4,m_date,($G$2+10),m_active,1,m_start,"&lt;"&amp;660,m_end,"&gt;"&amp;600),INDEX(m_label,_xlfn.MAXIFS(m_row,m_teacher,AB$4,m_date,($G$2+10),m_active,1,m_start,"&lt;"&amp;660,m_end,"&gt;"&amp;600))))))</f>
        <v/>
      </c>
      <c r="AC39" s="78"/>
      <c r="AD39" s="79" t="s">
        <v>92</v>
      </c>
      <c r="AE39" s="88" t="str">
        <f aca="false">IF(OR(AE$4="",MONTH(($G$2+17))&lt;&gt;MONTH($C$2)),"",IF(COUNTIFS(m_teacher,AE$4,m_date,($G$2+17),m_active,1,m_start,"&lt;"&amp;660,m_end,"&gt;"&amp;600)=0,"",IF(COUNTIFS(m_teacher,AE$4,m_date,($G$2+17),m_active,1,m_start,"&lt;"&amp;660,m_end,"&gt;"&amp;600)&gt;1,"충돌",HYPERLINK("#'관리자_MASTER'!D"&amp;_xlfn.MAXIFS(m_row,m_teacher,AE$4,m_date,($G$2+17),m_active,1,m_start,"&lt;"&amp;660,m_end,"&gt;"&amp;600),INDEX(m_label,_xlfn.MAXIFS(m_row,m_teacher,AE$4,m_date,($G$2+17),m_active,1,m_start,"&lt;"&amp;660,m_end,"&gt;"&amp;600))))))</f>
        <v/>
      </c>
      <c r="AF39" s="88" t="str">
        <f aca="false">IF(OR(AF$4="",MONTH(($G$2+17))&lt;&gt;MONTH($C$2)),"",IF(COUNTIFS(m_teacher,AF$4,m_date,($G$2+17),m_active,1,m_start,"&lt;"&amp;660,m_end,"&gt;"&amp;600)=0,"",IF(COUNTIFS(m_teacher,AF$4,m_date,($G$2+17),m_active,1,m_start,"&lt;"&amp;660,m_end,"&gt;"&amp;600)&gt;1,"충돌",HYPERLINK("#'관리자_MASTER'!D"&amp;_xlfn.MAXIFS(m_row,m_teacher,AF$4,m_date,($G$2+17),m_active,1,m_start,"&lt;"&amp;660,m_end,"&gt;"&amp;600),INDEX(m_label,_xlfn.MAXIFS(m_row,m_teacher,AF$4,m_date,($G$2+17),m_active,1,m_start,"&lt;"&amp;660,m_end,"&gt;"&amp;600))))))</f>
        <v/>
      </c>
      <c r="AG39" s="88" t="str">
        <f aca="false">IF(OR(AG$4="",MONTH(($G$2+17))&lt;&gt;MONTH($C$2)),"",IF(COUNTIFS(m_teacher,AG$4,m_date,($G$2+17),m_active,1,m_start,"&lt;"&amp;660,m_end,"&gt;"&amp;600)=0,"",IF(COUNTIFS(m_teacher,AG$4,m_date,($G$2+17),m_active,1,m_start,"&lt;"&amp;660,m_end,"&gt;"&amp;600)&gt;1,"충돌",HYPERLINK("#'관리자_MASTER'!D"&amp;_xlfn.MAXIFS(m_row,m_teacher,AG$4,m_date,($G$2+17),m_active,1,m_start,"&lt;"&amp;660,m_end,"&gt;"&amp;600),INDEX(m_label,_xlfn.MAXIFS(m_row,m_teacher,AG$4,m_date,($G$2+17),m_active,1,m_start,"&lt;"&amp;660,m_end,"&gt;"&amp;600))))))</f>
        <v/>
      </c>
      <c r="AH39" s="88" t="str">
        <f aca="false">IF(OR(AH$4="",MONTH(($G$2+17))&lt;&gt;MONTH($C$2)),"",IF(COUNTIFS(m_teacher,AH$4,m_date,($G$2+17),m_active,1,m_start,"&lt;"&amp;660,m_end,"&gt;"&amp;600)=0,"",IF(COUNTIFS(m_teacher,AH$4,m_date,($G$2+17),m_active,1,m_start,"&lt;"&amp;660,m_end,"&gt;"&amp;600)&gt;1,"충돌",HYPERLINK("#'관리자_MASTER'!D"&amp;_xlfn.MAXIFS(m_row,m_teacher,AH$4,m_date,($G$2+17),m_active,1,m_start,"&lt;"&amp;660,m_end,"&gt;"&amp;600),INDEX(m_label,_xlfn.MAXIFS(m_row,m_teacher,AH$4,m_date,($G$2+17),m_active,1,m_start,"&lt;"&amp;660,m_end,"&gt;"&amp;600))))))</f>
        <v/>
      </c>
      <c r="AI39" s="88" t="str">
        <f aca="false">IF(OR(AI$4="",MONTH(($G$2+17))&lt;&gt;MONTH($C$2)),"",IF(COUNTIFS(m_teacher,AI$4,m_date,($G$2+17),m_active,1,m_start,"&lt;"&amp;660,m_end,"&gt;"&amp;600)=0,"",IF(COUNTIFS(m_teacher,AI$4,m_date,($G$2+17),m_active,1,m_start,"&lt;"&amp;660,m_end,"&gt;"&amp;600)&gt;1,"충돌",HYPERLINK("#'관리자_MASTER'!D"&amp;_xlfn.MAXIFS(m_row,m_teacher,AI$4,m_date,($G$2+17),m_active,1,m_start,"&lt;"&amp;660,m_end,"&gt;"&amp;600),INDEX(m_label,_xlfn.MAXIFS(m_row,m_teacher,AI$4,m_date,($G$2+17),m_active,1,m_start,"&lt;"&amp;660,m_end,"&gt;"&amp;600))))))</f>
        <v/>
      </c>
      <c r="AJ39" s="88" t="str">
        <f aca="false">IF(OR(AJ$4="",MONTH(($G$2+17))&lt;&gt;MONTH($C$2)),"",IF(COUNTIFS(m_teacher,AJ$4,m_date,($G$2+17),m_active,1,m_start,"&lt;"&amp;660,m_end,"&gt;"&amp;600)=0,"",IF(COUNTIFS(m_teacher,AJ$4,m_date,($G$2+17),m_active,1,m_start,"&lt;"&amp;660,m_end,"&gt;"&amp;600)&gt;1,"충돌",HYPERLINK("#'관리자_MASTER'!D"&amp;_xlfn.MAXIFS(m_row,m_teacher,AJ$4,m_date,($G$2+17),m_active,1,m_start,"&lt;"&amp;660,m_end,"&gt;"&amp;600),INDEX(m_label,_xlfn.MAXIFS(m_row,m_teacher,AJ$4,m_date,($G$2+17),m_active,1,m_start,"&lt;"&amp;660,m_end,"&gt;"&amp;600))))))</f>
        <v/>
      </c>
      <c r="AK39" s="88" t="str">
        <f aca="false">IF(OR(AK$4="",MONTH(($G$2+17))&lt;&gt;MONTH($C$2)),"",IF(COUNTIFS(m_teacher,AK$4,m_date,($G$2+17),m_active,1,m_start,"&lt;"&amp;660,m_end,"&gt;"&amp;600)=0,"",IF(COUNTIFS(m_teacher,AK$4,m_date,($G$2+17),m_active,1,m_start,"&lt;"&amp;660,m_end,"&gt;"&amp;600)&gt;1,"충돌",HYPERLINK("#'관리자_MASTER'!D"&amp;_xlfn.MAXIFS(m_row,m_teacher,AK$4,m_date,($G$2+17),m_active,1,m_start,"&lt;"&amp;660,m_end,"&gt;"&amp;600),INDEX(m_label,_xlfn.MAXIFS(m_row,m_teacher,AK$4,m_date,($G$2+17),m_active,1,m_start,"&lt;"&amp;660,m_end,"&gt;"&amp;600))))))</f>
        <v/>
      </c>
      <c r="AL39" s="88" t="str">
        <f aca="false">IF(OR(AL$4="",MONTH(($G$2+17))&lt;&gt;MONTH($C$2)),"",IF(COUNTIFS(m_teacher,AL$4,m_date,($G$2+17),m_active,1,m_start,"&lt;"&amp;660,m_end,"&gt;"&amp;600)=0,"",IF(COUNTIFS(m_teacher,AL$4,m_date,($G$2+17),m_active,1,m_start,"&lt;"&amp;660,m_end,"&gt;"&amp;600)&gt;1,"충돌",HYPERLINK("#'관리자_MASTER'!D"&amp;_xlfn.MAXIFS(m_row,m_teacher,AL$4,m_date,($G$2+17),m_active,1,m_start,"&lt;"&amp;660,m_end,"&gt;"&amp;600),INDEX(m_label,_xlfn.MAXIFS(m_row,m_teacher,AL$4,m_date,($G$2+17),m_active,1,m_start,"&lt;"&amp;660,m_end,"&gt;"&amp;600))))))</f>
        <v/>
      </c>
      <c r="AM39" s="88" t="str">
        <f aca="false">IF(OR(AM$4="",MONTH(($G$2+17))&lt;&gt;MONTH($C$2)),"",IF(COUNTIFS(m_teacher,AM$4,m_date,($G$2+17),m_active,1,m_start,"&lt;"&amp;660,m_end,"&gt;"&amp;600)=0,"",IF(COUNTIFS(m_teacher,AM$4,m_date,($G$2+17),m_active,1,m_start,"&lt;"&amp;660,m_end,"&gt;"&amp;600)&gt;1,"충돌",HYPERLINK("#'관리자_MASTER'!D"&amp;_xlfn.MAXIFS(m_row,m_teacher,AM$4,m_date,($G$2+17),m_active,1,m_start,"&lt;"&amp;660,m_end,"&gt;"&amp;600),INDEX(m_label,_xlfn.MAXIFS(m_row,m_teacher,AM$4,m_date,($G$2+17),m_active,1,m_start,"&lt;"&amp;660,m_end,"&gt;"&amp;600))))))</f>
        <v/>
      </c>
      <c r="AN39" s="88" t="str">
        <f aca="false">IF(OR(AN$4="",MONTH(($G$2+17))&lt;&gt;MONTH($C$2)),"",IF(COUNTIFS(m_teacher,AN$4,m_date,($G$2+17),m_active,1,m_start,"&lt;"&amp;660,m_end,"&gt;"&amp;600)=0,"",IF(COUNTIFS(m_teacher,AN$4,m_date,($G$2+17),m_active,1,m_start,"&lt;"&amp;660,m_end,"&gt;"&amp;600)&gt;1,"충돌",HYPERLINK("#'관리자_MASTER'!D"&amp;_xlfn.MAXIFS(m_row,m_teacher,AN$4,m_date,($G$2+17),m_active,1,m_start,"&lt;"&amp;660,m_end,"&gt;"&amp;600),INDEX(m_label,_xlfn.MAXIFS(m_row,m_teacher,AN$4,m_date,($G$2+17),m_active,1,m_start,"&lt;"&amp;660,m_end,"&gt;"&amp;600))))))</f>
        <v/>
      </c>
      <c r="AO39" s="88" t="str">
        <f aca="false">IF(OR(AO$4="",MONTH(($G$2+17))&lt;&gt;MONTH($C$2)),"",IF(COUNTIFS(m_teacher,AO$4,m_date,($G$2+17),m_active,1,m_start,"&lt;"&amp;660,m_end,"&gt;"&amp;600)=0,"",IF(COUNTIFS(m_teacher,AO$4,m_date,($G$2+17),m_active,1,m_start,"&lt;"&amp;660,m_end,"&gt;"&amp;600)&gt;1,"충돌",HYPERLINK("#'관리자_MASTER'!D"&amp;_xlfn.MAXIFS(m_row,m_teacher,AO$4,m_date,($G$2+17),m_active,1,m_start,"&lt;"&amp;660,m_end,"&gt;"&amp;600),INDEX(m_label,_xlfn.MAXIFS(m_row,m_teacher,AO$4,m_date,($G$2+17),m_active,1,m_start,"&lt;"&amp;660,m_end,"&gt;"&amp;600))))))</f>
        <v/>
      </c>
      <c r="AP39" s="88" t="str">
        <f aca="false">IF(OR(AP$4="",MONTH(($G$2+17))&lt;&gt;MONTH($C$2)),"",IF(COUNTIFS(m_teacher,AP$4,m_date,($G$2+17),m_active,1,m_start,"&lt;"&amp;660,m_end,"&gt;"&amp;600)=0,"",IF(COUNTIFS(m_teacher,AP$4,m_date,($G$2+17),m_active,1,m_start,"&lt;"&amp;660,m_end,"&gt;"&amp;600)&gt;1,"충돌",HYPERLINK("#'관리자_MASTER'!D"&amp;_xlfn.MAXIFS(m_row,m_teacher,AP$4,m_date,($G$2+17),m_active,1,m_start,"&lt;"&amp;660,m_end,"&gt;"&amp;600),INDEX(m_label,_xlfn.MAXIFS(m_row,m_teacher,AP$4,m_date,($G$2+17),m_active,1,m_start,"&lt;"&amp;660,m_end,"&gt;"&amp;600))))))</f>
        <v/>
      </c>
      <c r="AQ39" s="78"/>
      <c r="AR39" s="79" t="s">
        <v>92</v>
      </c>
      <c r="AS39" s="88" t="str">
        <f aca="false">IF(OR(AS$4="",MONTH(($G$2+24))&lt;&gt;MONTH($C$2)),"",IF(COUNTIFS(m_teacher,AS$4,m_date,($G$2+24),m_active,1,m_start,"&lt;"&amp;660,m_end,"&gt;"&amp;600)=0,"",IF(COUNTIFS(m_teacher,AS$4,m_date,($G$2+24),m_active,1,m_start,"&lt;"&amp;660,m_end,"&gt;"&amp;600)&gt;1,"충돌",HYPERLINK("#'관리자_MASTER'!D"&amp;_xlfn.MAXIFS(m_row,m_teacher,AS$4,m_date,($G$2+24),m_active,1,m_start,"&lt;"&amp;660,m_end,"&gt;"&amp;600),INDEX(m_label,_xlfn.MAXIFS(m_row,m_teacher,AS$4,m_date,($G$2+24),m_active,1,m_start,"&lt;"&amp;660,m_end,"&gt;"&amp;600))))))</f>
        <v/>
      </c>
      <c r="AT39" s="88" t="str">
        <f aca="false">IF(OR(AT$4="",MONTH(($G$2+24))&lt;&gt;MONTH($C$2)),"",IF(COUNTIFS(m_teacher,AT$4,m_date,($G$2+24),m_active,1,m_start,"&lt;"&amp;660,m_end,"&gt;"&amp;600)=0,"",IF(COUNTIFS(m_teacher,AT$4,m_date,($G$2+24),m_active,1,m_start,"&lt;"&amp;660,m_end,"&gt;"&amp;600)&gt;1,"충돌",HYPERLINK("#'관리자_MASTER'!D"&amp;_xlfn.MAXIFS(m_row,m_teacher,AT$4,m_date,($G$2+24),m_active,1,m_start,"&lt;"&amp;660,m_end,"&gt;"&amp;600),INDEX(m_label,_xlfn.MAXIFS(m_row,m_teacher,AT$4,m_date,($G$2+24),m_active,1,m_start,"&lt;"&amp;660,m_end,"&gt;"&amp;600))))))</f>
        <v/>
      </c>
      <c r="AU39" s="88" t="str">
        <f aca="false">IF(OR(AU$4="",MONTH(($G$2+24))&lt;&gt;MONTH($C$2)),"",IF(COUNTIFS(m_teacher,AU$4,m_date,($G$2+24),m_active,1,m_start,"&lt;"&amp;660,m_end,"&gt;"&amp;600)=0,"",IF(COUNTIFS(m_teacher,AU$4,m_date,($G$2+24),m_active,1,m_start,"&lt;"&amp;660,m_end,"&gt;"&amp;600)&gt;1,"충돌",HYPERLINK("#'관리자_MASTER'!D"&amp;_xlfn.MAXIFS(m_row,m_teacher,AU$4,m_date,($G$2+24),m_active,1,m_start,"&lt;"&amp;660,m_end,"&gt;"&amp;600),INDEX(m_label,_xlfn.MAXIFS(m_row,m_teacher,AU$4,m_date,($G$2+24),m_active,1,m_start,"&lt;"&amp;660,m_end,"&gt;"&amp;600))))))</f>
        <v/>
      </c>
      <c r="AV39" s="88" t="str">
        <f aca="false">IF(OR(AV$4="",MONTH(($G$2+24))&lt;&gt;MONTH($C$2)),"",IF(COUNTIFS(m_teacher,AV$4,m_date,($G$2+24),m_active,1,m_start,"&lt;"&amp;660,m_end,"&gt;"&amp;600)=0,"",IF(COUNTIFS(m_teacher,AV$4,m_date,($G$2+24),m_active,1,m_start,"&lt;"&amp;660,m_end,"&gt;"&amp;600)&gt;1,"충돌",HYPERLINK("#'관리자_MASTER'!D"&amp;_xlfn.MAXIFS(m_row,m_teacher,AV$4,m_date,($G$2+24),m_active,1,m_start,"&lt;"&amp;660,m_end,"&gt;"&amp;600),INDEX(m_label,_xlfn.MAXIFS(m_row,m_teacher,AV$4,m_date,($G$2+24),m_active,1,m_start,"&lt;"&amp;660,m_end,"&gt;"&amp;600))))))</f>
        <v/>
      </c>
      <c r="AW39" s="88" t="str">
        <f aca="false">IF(OR(AW$4="",MONTH(($G$2+24))&lt;&gt;MONTH($C$2)),"",IF(COUNTIFS(m_teacher,AW$4,m_date,($G$2+24),m_active,1,m_start,"&lt;"&amp;660,m_end,"&gt;"&amp;600)=0,"",IF(COUNTIFS(m_teacher,AW$4,m_date,($G$2+24),m_active,1,m_start,"&lt;"&amp;660,m_end,"&gt;"&amp;600)&gt;1,"충돌",HYPERLINK("#'관리자_MASTER'!D"&amp;_xlfn.MAXIFS(m_row,m_teacher,AW$4,m_date,($G$2+24),m_active,1,m_start,"&lt;"&amp;660,m_end,"&gt;"&amp;600),INDEX(m_label,_xlfn.MAXIFS(m_row,m_teacher,AW$4,m_date,($G$2+24),m_active,1,m_start,"&lt;"&amp;660,m_end,"&gt;"&amp;600))))))</f>
        <v/>
      </c>
      <c r="AX39" s="88" t="str">
        <f aca="false">IF(OR(AX$4="",MONTH(($G$2+24))&lt;&gt;MONTH($C$2)),"",IF(COUNTIFS(m_teacher,AX$4,m_date,($G$2+24),m_active,1,m_start,"&lt;"&amp;660,m_end,"&gt;"&amp;600)=0,"",IF(COUNTIFS(m_teacher,AX$4,m_date,($G$2+24),m_active,1,m_start,"&lt;"&amp;660,m_end,"&gt;"&amp;600)&gt;1,"충돌",HYPERLINK("#'관리자_MASTER'!D"&amp;_xlfn.MAXIFS(m_row,m_teacher,AX$4,m_date,($G$2+24),m_active,1,m_start,"&lt;"&amp;660,m_end,"&gt;"&amp;600),INDEX(m_label,_xlfn.MAXIFS(m_row,m_teacher,AX$4,m_date,($G$2+24),m_active,1,m_start,"&lt;"&amp;660,m_end,"&gt;"&amp;600))))))</f>
        <v/>
      </c>
      <c r="AY39" s="88" t="str">
        <f aca="false">IF(OR(AY$4="",MONTH(($G$2+24))&lt;&gt;MONTH($C$2)),"",IF(COUNTIFS(m_teacher,AY$4,m_date,($G$2+24),m_active,1,m_start,"&lt;"&amp;660,m_end,"&gt;"&amp;600)=0,"",IF(COUNTIFS(m_teacher,AY$4,m_date,($G$2+24),m_active,1,m_start,"&lt;"&amp;660,m_end,"&gt;"&amp;600)&gt;1,"충돌",HYPERLINK("#'관리자_MASTER'!D"&amp;_xlfn.MAXIFS(m_row,m_teacher,AY$4,m_date,($G$2+24),m_active,1,m_start,"&lt;"&amp;660,m_end,"&gt;"&amp;600),INDEX(m_label,_xlfn.MAXIFS(m_row,m_teacher,AY$4,m_date,($G$2+24),m_active,1,m_start,"&lt;"&amp;660,m_end,"&gt;"&amp;600))))))</f>
        <v/>
      </c>
      <c r="AZ39" s="88" t="str">
        <f aca="false">IF(OR(AZ$4="",MONTH(($G$2+24))&lt;&gt;MONTH($C$2)),"",IF(COUNTIFS(m_teacher,AZ$4,m_date,($G$2+24),m_active,1,m_start,"&lt;"&amp;660,m_end,"&gt;"&amp;600)=0,"",IF(COUNTIFS(m_teacher,AZ$4,m_date,($G$2+24),m_active,1,m_start,"&lt;"&amp;660,m_end,"&gt;"&amp;600)&gt;1,"충돌",HYPERLINK("#'관리자_MASTER'!D"&amp;_xlfn.MAXIFS(m_row,m_teacher,AZ$4,m_date,($G$2+24),m_active,1,m_start,"&lt;"&amp;660,m_end,"&gt;"&amp;600),INDEX(m_label,_xlfn.MAXIFS(m_row,m_teacher,AZ$4,m_date,($G$2+24),m_active,1,m_start,"&lt;"&amp;660,m_end,"&gt;"&amp;600))))))</f>
        <v/>
      </c>
      <c r="BA39" s="88" t="str">
        <f aca="false">IF(OR(BA$4="",MONTH(($G$2+24))&lt;&gt;MONTH($C$2)),"",IF(COUNTIFS(m_teacher,BA$4,m_date,($G$2+24),m_active,1,m_start,"&lt;"&amp;660,m_end,"&gt;"&amp;600)=0,"",IF(COUNTIFS(m_teacher,BA$4,m_date,($G$2+24),m_active,1,m_start,"&lt;"&amp;660,m_end,"&gt;"&amp;600)&gt;1,"충돌",HYPERLINK("#'관리자_MASTER'!D"&amp;_xlfn.MAXIFS(m_row,m_teacher,BA$4,m_date,($G$2+24),m_active,1,m_start,"&lt;"&amp;660,m_end,"&gt;"&amp;600),INDEX(m_label,_xlfn.MAXIFS(m_row,m_teacher,BA$4,m_date,($G$2+24),m_active,1,m_start,"&lt;"&amp;660,m_end,"&gt;"&amp;600))))))</f>
        <v/>
      </c>
      <c r="BB39" s="88" t="str">
        <f aca="false">IF(OR(BB$4="",MONTH(($G$2+24))&lt;&gt;MONTH($C$2)),"",IF(COUNTIFS(m_teacher,BB$4,m_date,($G$2+24),m_active,1,m_start,"&lt;"&amp;660,m_end,"&gt;"&amp;600)=0,"",IF(COUNTIFS(m_teacher,BB$4,m_date,($G$2+24),m_active,1,m_start,"&lt;"&amp;660,m_end,"&gt;"&amp;600)&gt;1,"충돌",HYPERLINK("#'관리자_MASTER'!D"&amp;_xlfn.MAXIFS(m_row,m_teacher,BB$4,m_date,($G$2+24),m_active,1,m_start,"&lt;"&amp;660,m_end,"&gt;"&amp;600),INDEX(m_label,_xlfn.MAXIFS(m_row,m_teacher,BB$4,m_date,($G$2+24),m_active,1,m_start,"&lt;"&amp;660,m_end,"&gt;"&amp;600))))))</f>
        <v/>
      </c>
      <c r="BC39" s="88" t="str">
        <f aca="false">IF(OR(BC$4="",MONTH(($G$2+24))&lt;&gt;MONTH($C$2)),"",IF(COUNTIFS(m_teacher,BC$4,m_date,($G$2+24),m_active,1,m_start,"&lt;"&amp;660,m_end,"&gt;"&amp;600)=0,"",IF(COUNTIFS(m_teacher,BC$4,m_date,($G$2+24),m_active,1,m_start,"&lt;"&amp;660,m_end,"&gt;"&amp;600)&gt;1,"충돌",HYPERLINK("#'관리자_MASTER'!D"&amp;_xlfn.MAXIFS(m_row,m_teacher,BC$4,m_date,($G$2+24),m_active,1,m_start,"&lt;"&amp;660,m_end,"&gt;"&amp;600),INDEX(m_label,_xlfn.MAXIFS(m_row,m_teacher,BC$4,m_date,($G$2+24),m_active,1,m_start,"&lt;"&amp;660,m_end,"&gt;"&amp;600))))))</f>
        <v/>
      </c>
      <c r="BD39" s="88" t="str">
        <f aca="false">IF(OR(BD$4="",MONTH(($G$2+24))&lt;&gt;MONTH($C$2)),"",IF(COUNTIFS(m_teacher,BD$4,m_date,($G$2+24),m_active,1,m_start,"&lt;"&amp;660,m_end,"&gt;"&amp;600)=0,"",IF(COUNTIFS(m_teacher,BD$4,m_date,($G$2+24),m_active,1,m_start,"&lt;"&amp;660,m_end,"&gt;"&amp;600)&gt;1,"충돌",HYPERLINK("#'관리자_MASTER'!D"&amp;_xlfn.MAXIFS(m_row,m_teacher,BD$4,m_date,($G$2+24),m_active,1,m_start,"&lt;"&amp;660,m_end,"&gt;"&amp;600),INDEX(m_label,_xlfn.MAXIFS(m_row,m_teacher,BD$4,m_date,($G$2+24),m_active,1,m_start,"&lt;"&amp;660,m_end,"&gt;"&amp;600))))))</f>
        <v/>
      </c>
      <c r="BE39" s="78"/>
      <c r="BF39" s="79" t="s">
        <v>92</v>
      </c>
      <c r="BG39" s="88" t="str">
        <f aca="false">IF(OR(BG$4="",MONTH(($G$2+31))&lt;&gt;MONTH($C$2)),"",IF(COUNTIFS(m_teacher,BG$4,m_date,($G$2+31),m_active,1,m_start,"&lt;"&amp;660,m_end,"&gt;"&amp;600)=0,"",IF(COUNTIFS(m_teacher,BG$4,m_date,($G$2+31),m_active,1,m_start,"&lt;"&amp;660,m_end,"&gt;"&amp;600)&gt;1,"충돌",HYPERLINK("#'관리자_MASTER'!D"&amp;_xlfn.MAXIFS(m_row,m_teacher,BG$4,m_date,($G$2+31),m_active,1,m_start,"&lt;"&amp;660,m_end,"&gt;"&amp;600),INDEX(m_label,_xlfn.MAXIFS(m_row,m_teacher,BG$4,m_date,($G$2+31),m_active,1,m_start,"&lt;"&amp;660,m_end,"&gt;"&amp;600))))))</f>
        <v/>
      </c>
      <c r="BH39" s="88" t="str">
        <f aca="false">IF(OR(BH$4="",MONTH(($G$2+31))&lt;&gt;MONTH($C$2)),"",IF(COUNTIFS(m_teacher,BH$4,m_date,($G$2+31),m_active,1,m_start,"&lt;"&amp;660,m_end,"&gt;"&amp;600)=0,"",IF(COUNTIFS(m_teacher,BH$4,m_date,($G$2+31),m_active,1,m_start,"&lt;"&amp;660,m_end,"&gt;"&amp;600)&gt;1,"충돌",HYPERLINK("#'관리자_MASTER'!D"&amp;_xlfn.MAXIFS(m_row,m_teacher,BH$4,m_date,($G$2+31),m_active,1,m_start,"&lt;"&amp;660,m_end,"&gt;"&amp;600),INDEX(m_label,_xlfn.MAXIFS(m_row,m_teacher,BH$4,m_date,($G$2+31),m_active,1,m_start,"&lt;"&amp;660,m_end,"&gt;"&amp;600))))))</f>
        <v/>
      </c>
      <c r="BI39" s="88" t="str">
        <f aca="false">IF(OR(BI$4="",MONTH(($G$2+31))&lt;&gt;MONTH($C$2)),"",IF(COUNTIFS(m_teacher,BI$4,m_date,($G$2+31),m_active,1,m_start,"&lt;"&amp;660,m_end,"&gt;"&amp;600)=0,"",IF(COUNTIFS(m_teacher,BI$4,m_date,($G$2+31),m_active,1,m_start,"&lt;"&amp;660,m_end,"&gt;"&amp;600)&gt;1,"충돌",HYPERLINK("#'관리자_MASTER'!D"&amp;_xlfn.MAXIFS(m_row,m_teacher,BI$4,m_date,($G$2+31),m_active,1,m_start,"&lt;"&amp;660,m_end,"&gt;"&amp;600),INDEX(m_label,_xlfn.MAXIFS(m_row,m_teacher,BI$4,m_date,($G$2+31),m_active,1,m_start,"&lt;"&amp;660,m_end,"&gt;"&amp;600))))))</f>
        <v/>
      </c>
      <c r="BJ39" s="88" t="str">
        <f aca="false">IF(OR(BJ$4="",MONTH(($G$2+31))&lt;&gt;MONTH($C$2)),"",IF(COUNTIFS(m_teacher,BJ$4,m_date,($G$2+31),m_active,1,m_start,"&lt;"&amp;660,m_end,"&gt;"&amp;600)=0,"",IF(COUNTIFS(m_teacher,BJ$4,m_date,($G$2+31),m_active,1,m_start,"&lt;"&amp;660,m_end,"&gt;"&amp;600)&gt;1,"충돌",HYPERLINK("#'관리자_MASTER'!D"&amp;_xlfn.MAXIFS(m_row,m_teacher,BJ$4,m_date,($G$2+31),m_active,1,m_start,"&lt;"&amp;660,m_end,"&gt;"&amp;600),INDEX(m_label,_xlfn.MAXIFS(m_row,m_teacher,BJ$4,m_date,($G$2+31),m_active,1,m_start,"&lt;"&amp;660,m_end,"&gt;"&amp;600))))))</f>
        <v/>
      </c>
      <c r="BK39" s="88" t="str">
        <f aca="false">IF(OR(BK$4="",MONTH(($G$2+31))&lt;&gt;MONTH($C$2)),"",IF(COUNTIFS(m_teacher,BK$4,m_date,($G$2+31),m_active,1,m_start,"&lt;"&amp;660,m_end,"&gt;"&amp;600)=0,"",IF(COUNTIFS(m_teacher,BK$4,m_date,($G$2+31),m_active,1,m_start,"&lt;"&amp;660,m_end,"&gt;"&amp;600)&gt;1,"충돌",HYPERLINK("#'관리자_MASTER'!D"&amp;_xlfn.MAXIFS(m_row,m_teacher,BK$4,m_date,($G$2+31),m_active,1,m_start,"&lt;"&amp;660,m_end,"&gt;"&amp;600),INDEX(m_label,_xlfn.MAXIFS(m_row,m_teacher,BK$4,m_date,($G$2+31),m_active,1,m_start,"&lt;"&amp;660,m_end,"&gt;"&amp;600))))))</f>
        <v/>
      </c>
      <c r="BL39" s="88" t="str">
        <f aca="false">IF(OR(BL$4="",MONTH(($G$2+31))&lt;&gt;MONTH($C$2)),"",IF(COUNTIFS(m_teacher,BL$4,m_date,($G$2+31),m_active,1,m_start,"&lt;"&amp;660,m_end,"&gt;"&amp;600)=0,"",IF(COUNTIFS(m_teacher,BL$4,m_date,($G$2+31),m_active,1,m_start,"&lt;"&amp;660,m_end,"&gt;"&amp;600)&gt;1,"충돌",HYPERLINK("#'관리자_MASTER'!D"&amp;_xlfn.MAXIFS(m_row,m_teacher,BL$4,m_date,($G$2+31),m_active,1,m_start,"&lt;"&amp;660,m_end,"&gt;"&amp;600),INDEX(m_label,_xlfn.MAXIFS(m_row,m_teacher,BL$4,m_date,($G$2+31),m_active,1,m_start,"&lt;"&amp;660,m_end,"&gt;"&amp;600))))))</f>
        <v/>
      </c>
      <c r="BM39" s="88" t="str">
        <f aca="false">IF(OR(BM$4="",MONTH(($G$2+31))&lt;&gt;MONTH($C$2)),"",IF(COUNTIFS(m_teacher,BM$4,m_date,($G$2+31),m_active,1,m_start,"&lt;"&amp;660,m_end,"&gt;"&amp;600)=0,"",IF(COUNTIFS(m_teacher,BM$4,m_date,($G$2+31),m_active,1,m_start,"&lt;"&amp;660,m_end,"&gt;"&amp;600)&gt;1,"충돌",HYPERLINK("#'관리자_MASTER'!D"&amp;_xlfn.MAXIFS(m_row,m_teacher,BM$4,m_date,($G$2+31),m_active,1,m_start,"&lt;"&amp;660,m_end,"&gt;"&amp;600),INDEX(m_label,_xlfn.MAXIFS(m_row,m_teacher,BM$4,m_date,($G$2+31),m_active,1,m_start,"&lt;"&amp;660,m_end,"&gt;"&amp;600))))))</f>
        <v/>
      </c>
      <c r="BN39" s="88" t="str">
        <f aca="false">IF(OR(BN$4="",MONTH(($G$2+31))&lt;&gt;MONTH($C$2)),"",IF(COUNTIFS(m_teacher,BN$4,m_date,($G$2+31),m_active,1,m_start,"&lt;"&amp;660,m_end,"&gt;"&amp;600)=0,"",IF(COUNTIFS(m_teacher,BN$4,m_date,($G$2+31),m_active,1,m_start,"&lt;"&amp;660,m_end,"&gt;"&amp;600)&gt;1,"충돌",HYPERLINK("#'관리자_MASTER'!D"&amp;_xlfn.MAXIFS(m_row,m_teacher,BN$4,m_date,($G$2+31),m_active,1,m_start,"&lt;"&amp;660,m_end,"&gt;"&amp;600),INDEX(m_label,_xlfn.MAXIFS(m_row,m_teacher,BN$4,m_date,($G$2+31),m_active,1,m_start,"&lt;"&amp;660,m_end,"&gt;"&amp;600))))))</f>
        <v/>
      </c>
      <c r="BO39" s="88" t="str">
        <f aca="false">IF(OR(BO$4="",MONTH(($G$2+31))&lt;&gt;MONTH($C$2)),"",IF(COUNTIFS(m_teacher,BO$4,m_date,($G$2+31),m_active,1,m_start,"&lt;"&amp;660,m_end,"&gt;"&amp;600)=0,"",IF(COUNTIFS(m_teacher,BO$4,m_date,($G$2+31),m_active,1,m_start,"&lt;"&amp;660,m_end,"&gt;"&amp;600)&gt;1,"충돌",HYPERLINK("#'관리자_MASTER'!D"&amp;_xlfn.MAXIFS(m_row,m_teacher,BO$4,m_date,($G$2+31),m_active,1,m_start,"&lt;"&amp;660,m_end,"&gt;"&amp;600),INDEX(m_label,_xlfn.MAXIFS(m_row,m_teacher,BO$4,m_date,($G$2+31),m_active,1,m_start,"&lt;"&amp;660,m_end,"&gt;"&amp;600))))))</f>
        <v/>
      </c>
      <c r="BP39" s="88" t="str">
        <f aca="false">IF(OR(BP$4="",MONTH(($G$2+31))&lt;&gt;MONTH($C$2)),"",IF(COUNTIFS(m_teacher,BP$4,m_date,($G$2+31),m_active,1,m_start,"&lt;"&amp;660,m_end,"&gt;"&amp;600)=0,"",IF(COUNTIFS(m_teacher,BP$4,m_date,($G$2+31),m_active,1,m_start,"&lt;"&amp;660,m_end,"&gt;"&amp;600)&gt;1,"충돌",HYPERLINK("#'관리자_MASTER'!D"&amp;_xlfn.MAXIFS(m_row,m_teacher,BP$4,m_date,($G$2+31),m_active,1,m_start,"&lt;"&amp;660,m_end,"&gt;"&amp;600),INDEX(m_label,_xlfn.MAXIFS(m_row,m_teacher,BP$4,m_date,($G$2+31),m_active,1,m_start,"&lt;"&amp;660,m_end,"&gt;"&amp;600))))))</f>
        <v/>
      </c>
      <c r="BQ39" s="88" t="str">
        <f aca="false">IF(OR(BQ$4="",MONTH(($G$2+31))&lt;&gt;MONTH($C$2)),"",IF(COUNTIFS(m_teacher,BQ$4,m_date,($G$2+31),m_active,1,m_start,"&lt;"&amp;660,m_end,"&gt;"&amp;600)=0,"",IF(COUNTIFS(m_teacher,BQ$4,m_date,($G$2+31),m_active,1,m_start,"&lt;"&amp;660,m_end,"&gt;"&amp;600)&gt;1,"충돌",HYPERLINK("#'관리자_MASTER'!D"&amp;_xlfn.MAXIFS(m_row,m_teacher,BQ$4,m_date,($G$2+31),m_active,1,m_start,"&lt;"&amp;660,m_end,"&gt;"&amp;600),INDEX(m_label,_xlfn.MAXIFS(m_row,m_teacher,BQ$4,m_date,($G$2+31),m_active,1,m_start,"&lt;"&amp;660,m_end,"&gt;"&amp;600))))))</f>
        <v/>
      </c>
      <c r="BR39" s="88" t="str">
        <f aca="false">IF(OR(BR$4="",MONTH(($G$2+31))&lt;&gt;MONTH($C$2)),"",IF(COUNTIFS(m_teacher,BR$4,m_date,($G$2+31),m_active,1,m_start,"&lt;"&amp;660,m_end,"&gt;"&amp;600)=0,"",IF(COUNTIFS(m_teacher,BR$4,m_date,($G$2+31),m_active,1,m_start,"&lt;"&amp;660,m_end,"&gt;"&amp;600)&gt;1,"충돌",HYPERLINK("#'관리자_MASTER'!D"&amp;_xlfn.MAXIFS(m_row,m_teacher,BR$4,m_date,($G$2+31),m_active,1,m_start,"&lt;"&amp;660,m_end,"&gt;"&amp;600),INDEX(m_label,_xlfn.MAXIFS(m_row,m_teacher,BR$4,m_date,($G$2+31),m_active,1,m_start,"&lt;"&amp;660,m_end,"&gt;"&amp;600))))))</f>
        <v/>
      </c>
    </row>
    <row r="40" customFormat="false" ht="19.5" hidden="false" customHeight="true" outlineLevel="0" collapsed="false">
      <c r="A40" s="75"/>
      <c r="B40" s="76" t="s">
        <v>93</v>
      </c>
      <c r="C40" s="81" t="str">
        <f aca="false">IF(OR(C$4="",MONTH(($G$2+3))&lt;&gt;MONTH($C$2)),"",IF(COUNTIFS(m_teacher,C$4,m_date,($G$2+3),m_active,1,m_start,"&lt;"&amp;720,m_end,"&gt;"&amp;660)=0,"",IF(COUNTIFS(m_teacher,C$4,m_date,($G$2+3),m_active,1,m_start,"&lt;"&amp;720,m_end,"&gt;"&amp;660)&gt;1,"충돌",HYPERLINK("#'관리자_MASTER'!D"&amp;_xlfn.MAXIFS(m_row,m_teacher,C$4,m_date,($G$2+3),m_active,1,m_start,"&lt;"&amp;720,m_end,"&gt;"&amp;660),INDEX(m_label,_xlfn.MAXIFS(m_row,m_teacher,C$4,m_date,($G$2+3),m_active,1,m_start,"&lt;"&amp;720,m_end,"&gt;"&amp;660))))))</f>
        <v/>
      </c>
      <c r="D40" s="81" t="str">
        <f aca="false">IF(OR(D$4="",MONTH(($G$2+3))&lt;&gt;MONTH($C$2)),"",IF(COUNTIFS(m_teacher,D$4,m_date,($G$2+3),m_active,1,m_start,"&lt;"&amp;720,m_end,"&gt;"&amp;660)=0,"",IF(COUNTIFS(m_teacher,D$4,m_date,($G$2+3),m_active,1,m_start,"&lt;"&amp;720,m_end,"&gt;"&amp;660)&gt;1,"충돌",HYPERLINK("#'관리자_MASTER'!D"&amp;_xlfn.MAXIFS(m_row,m_teacher,D$4,m_date,($G$2+3),m_active,1,m_start,"&lt;"&amp;720,m_end,"&gt;"&amp;660),INDEX(m_label,_xlfn.MAXIFS(m_row,m_teacher,D$4,m_date,($G$2+3),m_active,1,m_start,"&lt;"&amp;720,m_end,"&gt;"&amp;660))))))</f>
        <v/>
      </c>
      <c r="E40" s="81" t="str">
        <f aca="false">IF(OR(E$4="",MONTH(($G$2+3))&lt;&gt;MONTH($C$2)),"",IF(COUNTIFS(m_teacher,E$4,m_date,($G$2+3),m_active,1,m_start,"&lt;"&amp;720,m_end,"&gt;"&amp;660)=0,"",IF(COUNTIFS(m_teacher,E$4,m_date,($G$2+3),m_active,1,m_start,"&lt;"&amp;720,m_end,"&gt;"&amp;660)&gt;1,"충돌",HYPERLINK("#'관리자_MASTER'!D"&amp;_xlfn.MAXIFS(m_row,m_teacher,E$4,m_date,($G$2+3),m_active,1,m_start,"&lt;"&amp;720,m_end,"&gt;"&amp;660),INDEX(m_label,_xlfn.MAXIFS(m_row,m_teacher,E$4,m_date,($G$2+3),m_active,1,m_start,"&lt;"&amp;720,m_end,"&gt;"&amp;660))))))</f>
        <v/>
      </c>
      <c r="F40" s="81" t="str">
        <f aca="false">IF(OR(F$4="",MONTH(($G$2+3))&lt;&gt;MONTH($C$2)),"",IF(COUNTIFS(m_teacher,F$4,m_date,($G$2+3),m_active,1,m_start,"&lt;"&amp;720,m_end,"&gt;"&amp;660)=0,"",IF(COUNTIFS(m_teacher,F$4,m_date,($G$2+3),m_active,1,m_start,"&lt;"&amp;720,m_end,"&gt;"&amp;660)&gt;1,"충돌",HYPERLINK("#'관리자_MASTER'!D"&amp;_xlfn.MAXIFS(m_row,m_teacher,F$4,m_date,($G$2+3),m_active,1,m_start,"&lt;"&amp;720,m_end,"&gt;"&amp;660),INDEX(m_label,_xlfn.MAXIFS(m_row,m_teacher,F$4,m_date,($G$2+3),m_active,1,m_start,"&lt;"&amp;720,m_end,"&gt;"&amp;660))))))</f>
        <v/>
      </c>
      <c r="G40" s="81" t="str">
        <f aca="false">IF(OR(G$4="",MONTH(($G$2+3))&lt;&gt;MONTH($C$2)),"",IF(COUNTIFS(m_teacher,G$4,m_date,($G$2+3),m_active,1,m_start,"&lt;"&amp;720,m_end,"&gt;"&amp;660)=0,"",IF(COUNTIFS(m_teacher,G$4,m_date,($G$2+3),m_active,1,m_start,"&lt;"&amp;720,m_end,"&gt;"&amp;660)&gt;1,"충돌",HYPERLINK("#'관리자_MASTER'!D"&amp;_xlfn.MAXIFS(m_row,m_teacher,G$4,m_date,($G$2+3),m_active,1,m_start,"&lt;"&amp;720,m_end,"&gt;"&amp;660),INDEX(m_label,_xlfn.MAXIFS(m_row,m_teacher,G$4,m_date,($G$2+3),m_active,1,m_start,"&lt;"&amp;720,m_end,"&gt;"&amp;660))))))</f>
        <v/>
      </c>
      <c r="H40" s="81" t="str">
        <f aca="false">IF(OR(H$4="",MONTH(($G$2+3))&lt;&gt;MONTH($C$2)),"",IF(COUNTIFS(m_teacher,H$4,m_date,($G$2+3),m_active,1,m_start,"&lt;"&amp;720,m_end,"&gt;"&amp;660)=0,"",IF(COUNTIFS(m_teacher,H$4,m_date,($G$2+3),m_active,1,m_start,"&lt;"&amp;720,m_end,"&gt;"&amp;660)&gt;1,"충돌",HYPERLINK("#'관리자_MASTER'!D"&amp;_xlfn.MAXIFS(m_row,m_teacher,H$4,m_date,($G$2+3),m_active,1,m_start,"&lt;"&amp;720,m_end,"&gt;"&amp;660),INDEX(m_label,_xlfn.MAXIFS(m_row,m_teacher,H$4,m_date,($G$2+3),m_active,1,m_start,"&lt;"&amp;720,m_end,"&gt;"&amp;660))))))</f>
        <v/>
      </c>
      <c r="I40" s="81" t="str">
        <f aca="false">IF(OR(I$4="",MONTH(($G$2+3))&lt;&gt;MONTH($C$2)),"",IF(COUNTIFS(m_teacher,I$4,m_date,($G$2+3),m_active,1,m_start,"&lt;"&amp;720,m_end,"&gt;"&amp;660)=0,"",IF(COUNTIFS(m_teacher,I$4,m_date,($G$2+3),m_active,1,m_start,"&lt;"&amp;720,m_end,"&gt;"&amp;660)&gt;1,"충돌",HYPERLINK("#'관리자_MASTER'!D"&amp;_xlfn.MAXIFS(m_row,m_teacher,I$4,m_date,($G$2+3),m_active,1,m_start,"&lt;"&amp;720,m_end,"&gt;"&amp;660),INDEX(m_label,_xlfn.MAXIFS(m_row,m_teacher,I$4,m_date,($G$2+3),m_active,1,m_start,"&lt;"&amp;720,m_end,"&gt;"&amp;660))))))</f>
        <v/>
      </c>
      <c r="J40" s="81" t="str">
        <f aca="false">IF(OR(J$4="",MONTH(($G$2+3))&lt;&gt;MONTH($C$2)),"",IF(COUNTIFS(m_teacher,J$4,m_date,($G$2+3),m_active,1,m_start,"&lt;"&amp;720,m_end,"&gt;"&amp;660)=0,"",IF(COUNTIFS(m_teacher,J$4,m_date,($G$2+3),m_active,1,m_start,"&lt;"&amp;720,m_end,"&gt;"&amp;660)&gt;1,"충돌",HYPERLINK("#'관리자_MASTER'!D"&amp;_xlfn.MAXIFS(m_row,m_teacher,J$4,m_date,($G$2+3),m_active,1,m_start,"&lt;"&amp;720,m_end,"&gt;"&amp;660),INDEX(m_label,_xlfn.MAXIFS(m_row,m_teacher,J$4,m_date,($G$2+3),m_active,1,m_start,"&lt;"&amp;720,m_end,"&gt;"&amp;660))))))</f>
        <v/>
      </c>
      <c r="K40" s="81" t="str">
        <f aca="false">IF(OR(K$4="",MONTH(($G$2+3))&lt;&gt;MONTH($C$2)),"",IF(COUNTIFS(m_teacher,K$4,m_date,($G$2+3),m_active,1,m_start,"&lt;"&amp;720,m_end,"&gt;"&amp;660)=0,"",IF(COUNTIFS(m_teacher,K$4,m_date,($G$2+3),m_active,1,m_start,"&lt;"&amp;720,m_end,"&gt;"&amp;660)&gt;1,"충돌",HYPERLINK("#'관리자_MASTER'!D"&amp;_xlfn.MAXIFS(m_row,m_teacher,K$4,m_date,($G$2+3),m_active,1,m_start,"&lt;"&amp;720,m_end,"&gt;"&amp;660),INDEX(m_label,_xlfn.MAXIFS(m_row,m_teacher,K$4,m_date,($G$2+3),m_active,1,m_start,"&lt;"&amp;720,m_end,"&gt;"&amp;660))))))</f>
        <v/>
      </c>
      <c r="L40" s="81" t="str">
        <f aca="false">IF(OR(L$4="",MONTH(($G$2+3))&lt;&gt;MONTH($C$2)),"",IF(COUNTIFS(m_teacher,L$4,m_date,($G$2+3),m_active,1,m_start,"&lt;"&amp;720,m_end,"&gt;"&amp;660)=0,"",IF(COUNTIFS(m_teacher,L$4,m_date,($G$2+3),m_active,1,m_start,"&lt;"&amp;720,m_end,"&gt;"&amp;660)&gt;1,"충돌",HYPERLINK("#'관리자_MASTER'!D"&amp;_xlfn.MAXIFS(m_row,m_teacher,L$4,m_date,($G$2+3),m_active,1,m_start,"&lt;"&amp;720,m_end,"&gt;"&amp;660),INDEX(m_label,_xlfn.MAXIFS(m_row,m_teacher,L$4,m_date,($G$2+3),m_active,1,m_start,"&lt;"&amp;720,m_end,"&gt;"&amp;660))))))</f>
        <v/>
      </c>
      <c r="M40" s="81" t="str">
        <f aca="false">IF(OR(M$4="",MONTH(($G$2+3))&lt;&gt;MONTH($C$2)),"",IF(COUNTIFS(m_teacher,M$4,m_date,($G$2+3),m_active,1,m_start,"&lt;"&amp;720,m_end,"&gt;"&amp;660)=0,"",IF(COUNTIFS(m_teacher,M$4,m_date,($G$2+3),m_active,1,m_start,"&lt;"&amp;720,m_end,"&gt;"&amp;660)&gt;1,"충돌",HYPERLINK("#'관리자_MASTER'!D"&amp;_xlfn.MAXIFS(m_row,m_teacher,M$4,m_date,($G$2+3),m_active,1,m_start,"&lt;"&amp;720,m_end,"&gt;"&amp;660),INDEX(m_label,_xlfn.MAXIFS(m_row,m_teacher,M$4,m_date,($G$2+3),m_active,1,m_start,"&lt;"&amp;720,m_end,"&gt;"&amp;660))))))</f>
        <v/>
      </c>
      <c r="N40" s="81" t="str">
        <f aca="false">IF(OR(N$4="",MONTH(($G$2+3))&lt;&gt;MONTH($C$2)),"",IF(COUNTIFS(m_teacher,N$4,m_date,($G$2+3),m_active,1,m_start,"&lt;"&amp;720,m_end,"&gt;"&amp;660)=0,"",IF(COUNTIFS(m_teacher,N$4,m_date,($G$2+3),m_active,1,m_start,"&lt;"&amp;720,m_end,"&gt;"&amp;660)&gt;1,"충돌",HYPERLINK("#'관리자_MASTER'!D"&amp;_xlfn.MAXIFS(m_row,m_teacher,N$4,m_date,($G$2+3),m_active,1,m_start,"&lt;"&amp;720,m_end,"&gt;"&amp;660),INDEX(m_label,_xlfn.MAXIFS(m_row,m_teacher,N$4,m_date,($G$2+3),m_active,1,m_start,"&lt;"&amp;720,m_end,"&gt;"&amp;660))))))</f>
        <v/>
      </c>
      <c r="O40" s="78"/>
      <c r="P40" s="79" t="s">
        <v>93</v>
      </c>
      <c r="Q40" s="88" t="str">
        <f aca="false">IF(OR(Q$4="",MONTH(($G$2+10))&lt;&gt;MONTH($C$2)),"",IF(COUNTIFS(m_teacher,Q$4,m_date,($G$2+10),m_active,1,m_start,"&lt;"&amp;720,m_end,"&gt;"&amp;660)=0,"",IF(COUNTIFS(m_teacher,Q$4,m_date,($G$2+10),m_active,1,m_start,"&lt;"&amp;720,m_end,"&gt;"&amp;660)&gt;1,"충돌",HYPERLINK("#'관리자_MASTER'!D"&amp;_xlfn.MAXIFS(m_row,m_teacher,Q$4,m_date,($G$2+10),m_active,1,m_start,"&lt;"&amp;720,m_end,"&gt;"&amp;660),INDEX(m_label,_xlfn.MAXIFS(m_row,m_teacher,Q$4,m_date,($G$2+10),m_active,1,m_start,"&lt;"&amp;720,m_end,"&gt;"&amp;660))))))</f>
        <v/>
      </c>
      <c r="R40" s="88" t="str">
        <f aca="false">IF(OR(R$4="",MONTH(($G$2+10))&lt;&gt;MONTH($C$2)),"",IF(COUNTIFS(m_teacher,R$4,m_date,($G$2+10),m_active,1,m_start,"&lt;"&amp;720,m_end,"&gt;"&amp;660)=0,"",IF(COUNTIFS(m_teacher,R$4,m_date,($G$2+10),m_active,1,m_start,"&lt;"&amp;720,m_end,"&gt;"&amp;660)&gt;1,"충돌",HYPERLINK("#'관리자_MASTER'!D"&amp;_xlfn.MAXIFS(m_row,m_teacher,R$4,m_date,($G$2+10),m_active,1,m_start,"&lt;"&amp;720,m_end,"&gt;"&amp;660),INDEX(m_label,_xlfn.MAXIFS(m_row,m_teacher,R$4,m_date,($G$2+10),m_active,1,m_start,"&lt;"&amp;720,m_end,"&gt;"&amp;660))))))</f>
        <v/>
      </c>
      <c r="S40" s="88" t="str">
        <f aca="false">IF(OR(S$4="",MONTH(($G$2+10))&lt;&gt;MONTH($C$2)),"",IF(COUNTIFS(m_teacher,S$4,m_date,($G$2+10),m_active,1,m_start,"&lt;"&amp;720,m_end,"&gt;"&amp;660)=0,"",IF(COUNTIFS(m_teacher,S$4,m_date,($G$2+10),m_active,1,m_start,"&lt;"&amp;720,m_end,"&gt;"&amp;660)&gt;1,"충돌",HYPERLINK("#'관리자_MASTER'!D"&amp;_xlfn.MAXIFS(m_row,m_teacher,S$4,m_date,($G$2+10),m_active,1,m_start,"&lt;"&amp;720,m_end,"&gt;"&amp;660),INDEX(m_label,_xlfn.MAXIFS(m_row,m_teacher,S$4,m_date,($G$2+10),m_active,1,m_start,"&lt;"&amp;720,m_end,"&gt;"&amp;660))))))</f>
        <v/>
      </c>
      <c r="T40" s="88" t="str">
        <f aca="false">IF(OR(T$4="",MONTH(($G$2+10))&lt;&gt;MONTH($C$2)),"",IF(COUNTIFS(m_teacher,T$4,m_date,($G$2+10),m_active,1,m_start,"&lt;"&amp;720,m_end,"&gt;"&amp;660)=0,"",IF(COUNTIFS(m_teacher,T$4,m_date,($G$2+10),m_active,1,m_start,"&lt;"&amp;720,m_end,"&gt;"&amp;660)&gt;1,"충돌",HYPERLINK("#'관리자_MASTER'!D"&amp;_xlfn.MAXIFS(m_row,m_teacher,T$4,m_date,($G$2+10),m_active,1,m_start,"&lt;"&amp;720,m_end,"&gt;"&amp;660),INDEX(m_label,_xlfn.MAXIFS(m_row,m_teacher,T$4,m_date,($G$2+10),m_active,1,m_start,"&lt;"&amp;720,m_end,"&gt;"&amp;660))))))</f>
        <v/>
      </c>
      <c r="U40" s="88" t="str">
        <f aca="false">IF(OR(U$4="",MONTH(($G$2+10))&lt;&gt;MONTH($C$2)),"",IF(COUNTIFS(m_teacher,U$4,m_date,($G$2+10),m_active,1,m_start,"&lt;"&amp;720,m_end,"&gt;"&amp;660)=0,"",IF(COUNTIFS(m_teacher,U$4,m_date,($G$2+10),m_active,1,m_start,"&lt;"&amp;720,m_end,"&gt;"&amp;660)&gt;1,"충돌",HYPERLINK("#'관리자_MASTER'!D"&amp;_xlfn.MAXIFS(m_row,m_teacher,U$4,m_date,($G$2+10),m_active,1,m_start,"&lt;"&amp;720,m_end,"&gt;"&amp;660),INDEX(m_label,_xlfn.MAXIFS(m_row,m_teacher,U$4,m_date,($G$2+10),m_active,1,m_start,"&lt;"&amp;720,m_end,"&gt;"&amp;660))))))</f>
        <v/>
      </c>
      <c r="V40" s="88" t="str">
        <f aca="false">IF(OR(V$4="",MONTH(($G$2+10))&lt;&gt;MONTH($C$2)),"",IF(COUNTIFS(m_teacher,V$4,m_date,($G$2+10),m_active,1,m_start,"&lt;"&amp;720,m_end,"&gt;"&amp;660)=0,"",IF(COUNTIFS(m_teacher,V$4,m_date,($G$2+10),m_active,1,m_start,"&lt;"&amp;720,m_end,"&gt;"&amp;660)&gt;1,"충돌",HYPERLINK("#'관리자_MASTER'!D"&amp;_xlfn.MAXIFS(m_row,m_teacher,V$4,m_date,($G$2+10),m_active,1,m_start,"&lt;"&amp;720,m_end,"&gt;"&amp;660),INDEX(m_label,_xlfn.MAXIFS(m_row,m_teacher,V$4,m_date,($G$2+10),m_active,1,m_start,"&lt;"&amp;720,m_end,"&gt;"&amp;660))))))</f>
        <v/>
      </c>
      <c r="W40" s="88" t="str">
        <f aca="false">IF(OR(W$4="",MONTH(($G$2+10))&lt;&gt;MONTH($C$2)),"",IF(COUNTIFS(m_teacher,W$4,m_date,($G$2+10),m_active,1,m_start,"&lt;"&amp;720,m_end,"&gt;"&amp;660)=0,"",IF(COUNTIFS(m_teacher,W$4,m_date,($G$2+10),m_active,1,m_start,"&lt;"&amp;720,m_end,"&gt;"&amp;660)&gt;1,"충돌",HYPERLINK("#'관리자_MASTER'!D"&amp;_xlfn.MAXIFS(m_row,m_teacher,W$4,m_date,($G$2+10),m_active,1,m_start,"&lt;"&amp;720,m_end,"&gt;"&amp;660),INDEX(m_label,_xlfn.MAXIFS(m_row,m_teacher,W$4,m_date,($G$2+10),m_active,1,m_start,"&lt;"&amp;720,m_end,"&gt;"&amp;660))))))</f>
        <v/>
      </c>
      <c r="X40" s="88" t="str">
        <f aca="false">IF(OR(X$4="",MONTH(($G$2+10))&lt;&gt;MONTH($C$2)),"",IF(COUNTIFS(m_teacher,X$4,m_date,($G$2+10),m_active,1,m_start,"&lt;"&amp;720,m_end,"&gt;"&amp;660)=0,"",IF(COUNTIFS(m_teacher,X$4,m_date,($G$2+10),m_active,1,m_start,"&lt;"&amp;720,m_end,"&gt;"&amp;660)&gt;1,"충돌",HYPERLINK("#'관리자_MASTER'!D"&amp;_xlfn.MAXIFS(m_row,m_teacher,X$4,m_date,($G$2+10),m_active,1,m_start,"&lt;"&amp;720,m_end,"&gt;"&amp;660),INDEX(m_label,_xlfn.MAXIFS(m_row,m_teacher,X$4,m_date,($G$2+10),m_active,1,m_start,"&lt;"&amp;720,m_end,"&gt;"&amp;660))))))</f>
        <v/>
      </c>
      <c r="Y40" s="88" t="str">
        <f aca="false">IF(OR(Y$4="",MONTH(($G$2+10))&lt;&gt;MONTH($C$2)),"",IF(COUNTIFS(m_teacher,Y$4,m_date,($G$2+10),m_active,1,m_start,"&lt;"&amp;720,m_end,"&gt;"&amp;660)=0,"",IF(COUNTIFS(m_teacher,Y$4,m_date,($G$2+10),m_active,1,m_start,"&lt;"&amp;720,m_end,"&gt;"&amp;660)&gt;1,"충돌",HYPERLINK("#'관리자_MASTER'!D"&amp;_xlfn.MAXIFS(m_row,m_teacher,Y$4,m_date,($G$2+10),m_active,1,m_start,"&lt;"&amp;720,m_end,"&gt;"&amp;660),INDEX(m_label,_xlfn.MAXIFS(m_row,m_teacher,Y$4,m_date,($G$2+10),m_active,1,m_start,"&lt;"&amp;720,m_end,"&gt;"&amp;660))))))</f>
        <v/>
      </c>
      <c r="Z40" s="88" t="str">
        <f aca="false">IF(OR(Z$4="",MONTH(($G$2+10))&lt;&gt;MONTH($C$2)),"",IF(COUNTIFS(m_teacher,Z$4,m_date,($G$2+10),m_active,1,m_start,"&lt;"&amp;720,m_end,"&gt;"&amp;660)=0,"",IF(COUNTIFS(m_teacher,Z$4,m_date,($G$2+10),m_active,1,m_start,"&lt;"&amp;720,m_end,"&gt;"&amp;660)&gt;1,"충돌",HYPERLINK("#'관리자_MASTER'!D"&amp;_xlfn.MAXIFS(m_row,m_teacher,Z$4,m_date,($G$2+10),m_active,1,m_start,"&lt;"&amp;720,m_end,"&gt;"&amp;660),INDEX(m_label,_xlfn.MAXIFS(m_row,m_teacher,Z$4,m_date,($G$2+10),m_active,1,m_start,"&lt;"&amp;720,m_end,"&gt;"&amp;660))))))</f>
        <v/>
      </c>
      <c r="AA40" s="88" t="str">
        <f aca="false">IF(OR(AA$4="",MONTH(($G$2+10))&lt;&gt;MONTH($C$2)),"",IF(COUNTIFS(m_teacher,AA$4,m_date,($G$2+10),m_active,1,m_start,"&lt;"&amp;720,m_end,"&gt;"&amp;660)=0,"",IF(COUNTIFS(m_teacher,AA$4,m_date,($G$2+10),m_active,1,m_start,"&lt;"&amp;720,m_end,"&gt;"&amp;660)&gt;1,"충돌",HYPERLINK("#'관리자_MASTER'!D"&amp;_xlfn.MAXIFS(m_row,m_teacher,AA$4,m_date,($G$2+10),m_active,1,m_start,"&lt;"&amp;720,m_end,"&gt;"&amp;660),INDEX(m_label,_xlfn.MAXIFS(m_row,m_teacher,AA$4,m_date,($G$2+10),m_active,1,m_start,"&lt;"&amp;720,m_end,"&gt;"&amp;660))))))</f>
        <v/>
      </c>
      <c r="AB40" s="88" t="str">
        <f aca="false">IF(OR(AB$4="",MONTH(($G$2+10))&lt;&gt;MONTH($C$2)),"",IF(COUNTIFS(m_teacher,AB$4,m_date,($G$2+10),m_active,1,m_start,"&lt;"&amp;720,m_end,"&gt;"&amp;660)=0,"",IF(COUNTIFS(m_teacher,AB$4,m_date,($G$2+10),m_active,1,m_start,"&lt;"&amp;720,m_end,"&gt;"&amp;660)&gt;1,"충돌",HYPERLINK("#'관리자_MASTER'!D"&amp;_xlfn.MAXIFS(m_row,m_teacher,AB$4,m_date,($G$2+10),m_active,1,m_start,"&lt;"&amp;720,m_end,"&gt;"&amp;660),INDEX(m_label,_xlfn.MAXIFS(m_row,m_teacher,AB$4,m_date,($G$2+10),m_active,1,m_start,"&lt;"&amp;720,m_end,"&gt;"&amp;660))))))</f>
        <v/>
      </c>
      <c r="AC40" s="78"/>
      <c r="AD40" s="79" t="s">
        <v>93</v>
      </c>
      <c r="AE40" s="88" t="str">
        <f aca="false">IF(OR(AE$4="",MONTH(($G$2+17))&lt;&gt;MONTH($C$2)),"",IF(COUNTIFS(m_teacher,AE$4,m_date,($G$2+17),m_active,1,m_start,"&lt;"&amp;720,m_end,"&gt;"&amp;660)=0,"",IF(COUNTIFS(m_teacher,AE$4,m_date,($G$2+17),m_active,1,m_start,"&lt;"&amp;720,m_end,"&gt;"&amp;660)&gt;1,"충돌",HYPERLINK("#'관리자_MASTER'!D"&amp;_xlfn.MAXIFS(m_row,m_teacher,AE$4,m_date,($G$2+17),m_active,1,m_start,"&lt;"&amp;720,m_end,"&gt;"&amp;660),INDEX(m_label,_xlfn.MAXIFS(m_row,m_teacher,AE$4,m_date,($G$2+17),m_active,1,m_start,"&lt;"&amp;720,m_end,"&gt;"&amp;660))))))</f>
        <v/>
      </c>
      <c r="AF40" s="88" t="str">
        <f aca="false">IF(OR(AF$4="",MONTH(($G$2+17))&lt;&gt;MONTH($C$2)),"",IF(COUNTIFS(m_teacher,AF$4,m_date,($G$2+17),m_active,1,m_start,"&lt;"&amp;720,m_end,"&gt;"&amp;660)=0,"",IF(COUNTIFS(m_teacher,AF$4,m_date,($G$2+17),m_active,1,m_start,"&lt;"&amp;720,m_end,"&gt;"&amp;660)&gt;1,"충돌",HYPERLINK("#'관리자_MASTER'!D"&amp;_xlfn.MAXIFS(m_row,m_teacher,AF$4,m_date,($G$2+17),m_active,1,m_start,"&lt;"&amp;720,m_end,"&gt;"&amp;660),INDEX(m_label,_xlfn.MAXIFS(m_row,m_teacher,AF$4,m_date,($G$2+17),m_active,1,m_start,"&lt;"&amp;720,m_end,"&gt;"&amp;660))))))</f>
        <v/>
      </c>
      <c r="AG40" s="88" t="str">
        <f aca="false">IF(OR(AG$4="",MONTH(($G$2+17))&lt;&gt;MONTH($C$2)),"",IF(COUNTIFS(m_teacher,AG$4,m_date,($G$2+17),m_active,1,m_start,"&lt;"&amp;720,m_end,"&gt;"&amp;660)=0,"",IF(COUNTIFS(m_teacher,AG$4,m_date,($G$2+17),m_active,1,m_start,"&lt;"&amp;720,m_end,"&gt;"&amp;660)&gt;1,"충돌",HYPERLINK("#'관리자_MASTER'!D"&amp;_xlfn.MAXIFS(m_row,m_teacher,AG$4,m_date,($G$2+17),m_active,1,m_start,"&lt;"&amp;720,m_end,"&gt;"&amp;660),INDEX(m_label,_xlfn.MAXIFS(m_row,m_teacher,AG$4,m_date,($G$2+17),m_active,1,m_start,"&lt;"&amp;720,m_end,"&gt;"&amp;660))))))</f>
        <v/>
      </c>
      <c r="AH40" s="88" t="str">
        <f aca="false">IF(OR(AH$4="",MONTH(($G$2+17))&lt;&gt;MONTH($C$2)),"",IF(COUNTIFS(m_teacher,AH$4,m_date,($G$2+17),m_active,1,m_start,"&lt;"&amp;720,m_end,"&gt;"&amp;660)=0,"",IF(COUNTIFS(m_teacher,AH$4,m_date,($G$2+17),m_active,1,m_start,"&lt;"&amp;720,m_end,"&gt;"&amp;660)&gt;1,"충돌",HYPERLINK("#'관리자_MASTER'!D"&amp;_xlfn.MAXIFS(m_row,m_teacher,AH$4,m_date,($G$2+17),m_active,1,m_start,"&lt;"&amp;720,m_end,"&gt;"&amp;660),INDEX(m_label,_xlfn.MAXIFS(m_row,m_teacher,AH$4,m_date,($G$2+17),m_active,1,m_start,"&lt;"&amp;720,m_end,"&gt;"&amp;660))))))</f>
        <v/>
      </c>
      <c r="AI40" s="88" t="str">
        <f aca="false">IF(OR(AI$4="",MONTH(($G$2+17))&lt;&gt;MONTH($C$2)),"",IF(COUNTIFS(m_teacher,AI$4,m_date,($G$2+17),m_active,1,m_start,"&lt;"&amp;720,m_end,"&gt;"&amp;660)=0,"",IF(COUNTIFS(m_teacher,AI$4,m_date,($G$2+17),m_active,1,m_start,"&lt;"&amp;720,m_end,"&gt;"&amp;660)&gt;1,"충돌",HYPERLINK("#'관리자_MASTER'!D"&amp;_xlfn.MAXIFS(m_row,m_teacher,AI$4,m_date,($G$2+17),m_active,1,m_start,"&lt;"&amp;720,m_end,"&gt;"&amp;660),INDEX(m_label,_xlfn.MAXIFS(m_row,m_teacher,AI$4,m_date,($G$2+17),m_active,1,m_start,"&lt;"&amp;720,m_end,"&gt;"&amp;660))))))</f>
        <v/>
      </c>
      <c r="AJ40" s="88" t="str">
        <f aca="false">IF(OR(AJ$4="",MONTH(($G$2+17))&lt;&gt;MONTH($C$2)),"",IF(COUNTIFS(m_teacher,AJ$4,m_date,($G$2+17),m_active,1,m_start,"&lt;"&amp;720,m_end,"&gt;"&amp;660)=0,"",IF(COUNTIFS(m_teacher,AJ$4,m_date,($G$2+17),m_active,1,m_start,"&lt;"&amp;720,m_end,"&gt;"&amp;660)&gt;1,"충돌",HYPERLINK("#'관리자_MASTER'!D"&amp;_xlfn.MAXIFS(m_row,m_teacher,AJ$4,m_date,($G$2+17),m_active,1,m_start,"&lt;"&amp;720,m_end,"&gt;"&amp;660),INDEX(m_label,_xlfn.MAXIFS(m_row,m_teacher,AJ$4,m_date,($G$2+17),m_active,1,m_start,"&lt;"&amp;720,m_end,"&gt;"&amp;660))))))</f>
        <v/>
      </c>
      <c r="AK40" s="88" t="str">
        <f aca="false">IF(OR(AK$4="",MONTH(($G$2+17))&lt;&gt;MONTH($C$2)),"",IF(COUNTIFS(m_teacher,AK$4,m_date,($G$2+17),m_active,1,m_start,"&lt;"&amp;720,m_end,"&gt;"&amp;660)=0,"",IF(COUNTIFS(m_teacher,AK$4,m_date,($G$2+17),m_active,1,m_start,"&lt;"&amp;720,m_end,"&gt;"&amp;660)&gt;1,"충돌",HYPERLINK("#'관리자_MASTER'!D"&amp;_xlfn.MAXIFS(m_row,m_teacher,AK$4,m_date,($G$2+17),m_active,1,m_start,"&lt;"&amp;720,m_end,"&gt;"&amp;660),INDEX(m_label,_xlfn.MAXIFS(m_row,m_teacher,AK$4,m_date,($G$2+17),m_active,1,m_start,"&lt;"&amp;720,m_end,"&gt;"&amp;660))))))</f>
        <v/>
      </c>
      <c r="AL40" s="88" t="str">
        <f aca="false">IF(OR(AL$4="",MONTH(($G$2+17))&lt;&gt;MONTH($C$2)),"",IF(COUNTIFS(m_teacher,AL$4,m_date,($G$2+17),m_active,1,m_start,"&lt;"&amp;720,m_end,"&gt;"&amp;660)=0,"",IF(COUNTIFS(m_teacher,AL$4,m_date,($G$2+17),m_active,1,m_start,"&lt;"&amp;720,m_end,"&gt;"&amp;660)&gt;1,"충돌",HYPERLINK("#'관리자_MASTER'!D"&amp;_xlfn.MAXIFS(m_row,m_teacher,AL$4,m_date,($G$2+17),m_active,1,m_start,"&lt;"&amp;720,m_end,"&gt;"&amp;660),INDEX(m_label,_xlfn.MAXIFS(m_row,m_teacher,AL$4,m_date,($G$2+17),m_active,1,m_start,"&lt;"&amp;720,m_end,"&gt;"&amp;660))))))</f>
        <v/>
      </c>
      <c r="AM40" s="88" t="str">
        <f aca="false">IF(OR(AM$4="",MONTH(($G$2+17))&lt;&gt;MONTH($C$2)),"",IF(COUNTIFS(m_teacher,AM$4,m_date,($G$2+17),m_active,1,m_start,"&lt;"&amp;720,m_end,"&gt;"&amp;660)=0,"",IF(COUNTIFS(m_teacher,AM$4,m_date,($G$2+17),m_active,1,m_start,"&lt;"&amp;720,m_end,"&gt;"&amp;660)&gt;1,"충돌",HYPERLINK("#'관리자_MASTER'!D"&amp;_xlfn.MAXIFS(m_row,m_teacher,AM$4,m_date,($G$2+17),m_active,1,m_start,"&lt;"&amp;720,m_end,"&gt;"&amp;660),INDEX(m_label,_xlfn.MAXIFS(m_row,m_teacher,AM$4,m_date,($G$2+17),m_active,1,m_start,"&lt;"&amp;720,m_end,"&gt;"&amp;660))))))</f>
        <v/>
      </c>
      <c r="AN40" s="88" t="str">
        <f aca="false">IF(OR(AN$4="",MONTH(($G$2+17))&lt;&gt;MONTH($C$2)),"",IF(COUNTIFS(m_teacher,AN$4,m_date,($G$2+17),m_active,1,m_start,"&lt;"&amp;720,m_end,"&gt;"&amp;660)=0,"",IF(COUNTIFS(m_teacher,AN$4,m_date,($G$2+17),m_active,1,m_start,"&lt;"&amp;720,m_end,"&gt;"&amp;660)&gt;1,"충돌",HYPERLINK("#'관리자_MASTER'!D"&amp;_xlfn.MAXIFS(m_row,m_teacher,AN$4,m_date,($G$2+17),m_active,1,m_start,"&lt;"&amp;720,m_end,"&gt;"&amp;660),INDEX(m_label,_xlfn.MAXIFS(m_row,m_teacher,AN$4,m_date,($G$2+17),m_active,1,m_start,"&lt;"&amp;720,m_end,"&gt;"&amp;660))))))</f>
        <v/>
      </c>
      <c r="AO40" s="88" t="str">
        <f aca="false">IF(OR(AO$4="",MONTH(($G$2+17))&lt;&gt;MONTH($C$2)),"",IF(COUNTIFS(m_teacher,AO$4,m_date,($G$2+17),m_active,1,m_start,"&lt;"&amp;720,m_end,"&gt;"&amp;660)=0,"",IF(COUNTIFS(m_teacher,AO$4,m_date,($G$2+17),m_active,1,m_start,"&lt;"&amp;720,m_end,"&gt;"&amp;660)&gt;1,"충돌",HYPERLINK("#'관리자_MASTER'!D"&amp;_xlfn.MAXIFS(m_row,m_teacher,AO$4,m_date,($G$2+17),m_active,1,m_start,"&lt;"&amp;720,m_end,"&gt;"&amp;660),INDEX(m_label,_xlfn.MAXIFS(m_row,m_teacher,AO$4,m_date,($G$2+17),m_active,1,m_start,"&lt;"&amp;720,m_end,"&gt;"&amp;660))))))</f>
        <v/>
      </c>
      <c r="AP40" s="88" t="str">
        <f aca="false">IF(OR(AP$4="",MONTH(($G$2+17))&lt;&gt;MONTH($C$2)),"",IF(COUNTIFS(m_teacher,AP$4,m_date,($G$2+17),m_active,1,m_start,"&lt;"&amp;720,m_end,"&gt;"&amp;660)=0,"",IF(COUNTIFS(m_teacher,AP$4,m_date,($G$2+17),m_active,1,m_start,"&lt;"&amp;720,m_end,"&gt;"&amp;660)&gt;1,"충돌",HYPERLINK("#'관리자_MASTER'!D"&amp;_xlfn.MAXIFS(m_row,m_teacher,AP$4,m_date,($G$2+17),m_active,1,m_start,"&lt;"&amp;720,m_end,"&gt;"&amp;660),INDEX(m_label,_xlfn.MAXIFS(m_row,m_teacher,AP$4,m_date,($G$2+17),m_active,1,m_start,"&lt;"&amp;720,m_end,"&gt;"&amp;660))))))</f>
        <v/>
      </c>
      <c r="AQ40" s="78"/>
      <c r="AR40" s="79" t="s">
        <v>93</v>
      </c>
      <c r="AS40" s="88" t="str">
        <f aca="false">IF(OR(AS$4="",MONTH(($G$2+24))&lt;&gt;MONTH($C$2)),"",IF(COUNTIFS(m_teacher,AS$4,m_date,($G$2+24),m_active,1,m_start,"&lt;"&amp;720,m_end,"&gt;"&amp;660)=0,"",IF(COUNTIFS(m_teacher,AS$4,m_date,($G$2+24),m_active,1,m_start,"&lt;"&amp;720,m_end,"&gt;"&amp;660)&gt;1,"충돌",HYPERLINK("#'관리자_MASTER'!D"&amp;_xlfn.MAXIFS(m_row,m_teacher,AS$4,m_date,($G$2+24),m_active,1,m_start,"&lt;"&amp;720,m_end,"&gt;"&amp;660),INDEX(m_label,_xlfn.MAXIFS(m_row,m_teacher,AS$4,m_date,($G$2+24),m_active,1,m_start,"&lt;"&amp;720,m_end,"&gt;"&amp;660))))))</f>
        <v/>
      </c>
      <c r="AT40" s="88" t="str">
        <f aca="false">IF(OR(AT$4="",MONTH(($G$2+24))&lt;&gt;MONTH($C$2)),"",IF(COUNTIFS(m_teacher,AT$4,m_date,($G$2+24),m_active,1,m_start,"&lt;"&amp;720,m_end,"&gt;"&amp;660)=0,"",IF(COUNTIFS(m_teacher,AT$4,m_date,($G$2+24),m_active,1,m_start,"&lt;"&amp;720,m_end,"&gt;"&amp;660)&gt;1,"충돌",HYPERLINK("#'관리자_MASTER'!D"&amp;_xlfn.MAXIFS(m_row,m_teacher,AT$4,m_date,($G$2+24),m_active,1,m_start,"&lt;"&amp;720,m_end,"&gt;"&amp;660),INDEX(m_label,_xlfn.MAXIFS(m_row,m_teacher,AT$4,m_date,($G$2+24),m_active,1,m_start,"&lt;"&amp;720,m_end,"&gt;"&amp;660))))))</f>
        <v/>
      </c>
      <c r="AU40" s="88" t="str">
        <f aca="false">IF(OR(AU$4="",MONTH(($G$2+24))&lt;&gt;MONTH($C$2)),"",IF(COUNTIFS(m_teacher,AU$4,m_date,($G$2+24),m_active,1,m_start,"&lt;"&amp;720,m_end,"&gt;"&amp;660)=0,"",IF(COUNTIFS(m_teacher,AU$4,m_date,($G$2+24),m_active,1,m_start,"&lt;"&amp;720,m_end,"&gt;"&amp;660)&gt;1,"충돌",HYPERLINK("#'관리자_MASTER'!D"&amp;_xlfn.MAXIFS(m_row,m_teacher,AU$4,m_date,($G$2+24),m_active,1,m_start,"&lt;"&amp;720,m_end,"&gt;"&amp;660),INDEX(m_label,_xlfn.MAXIFS(m_row,m_teacher,AU$4,m_date,($G$2+24),m_active,1,m_start,"&lt;"&amp;720,m_end,"&gt;"&amp;660))))))</f>
        <v/>
      </c>
      <c r="AV40" s="88" t="str">
        <f aca="false">IF(OR(AV$4="",MONTH(($G$2+24))&lt;&gt;MONTH($C$2)),"",IF(COUNTIFS(m_teacher,AV$4,m_date,($G$2+24),m_active,1,m_start,"&lt;"&amp;720,m_end,"&gt;"&amp;660)=0,"",IF(COUNTIFS(m_teacher,AV$4,m_date,($G$2+24),m_active,1,m_start,"&lt;"&amp;720,m_end,"&gt;"&amp;660)&gt;1,"충돌",HYPERLINK("#'관리자_MASTER'!D"&amp;_xlfn.MAXIFS(m_row,m_teacher,AV$4,m_date,($G$2+24),m_active,1,m_start,"&lt;"&amp;720,m_end,"&gt;"&amp;660),INDEX(m_label,_xlfn.MAXIFS(m_row,m_teacher,AV$4,m_date,($G$2+24),m_active,1,m_start,"&lt;"&amp;720,m_end,"&gt;"&amp;660))))))</f>
        <v/>
      </c>
      <c r="AW40" s="88" t="str">
        <f aca="false">IF(OR(AW$4="",MONTH(($G$2+24))&lt;&gt;MONTH($C$2)),"",IF(COUNTIFS(m_teacher,AW$4,m_date,($G$2+24),m_active,1,m_start,"&lt;"&amp;720,m_end,"&gt;"&amp;660)=0,"",IF(COUNTIFS(m_teacher,AW$4,m_date,($G$2+24),m_active,1,m_start,"&lt;"&amp;720,m_end,"&gt;"&amp;660)&gt;1,"충돌",HYPERLINK("#'관리자_MASTER'!D"&amp;_xlfn.MAXIFS(m_row,m_teacher,AW$4,m_date,($G$2+24),m_active,1,m_start,"&lt;"&amp;720,m_end,"&gt;"&amp;660),INDEX(m_label,_xlfn.MAXIFS(m_row,m_teacher,AW$4,m_date,($G$2+24),m_active,1,m_start,"&lt;"&amp;720,m_end,"&gt;"&amp;660))))))</f>
        <v/>
      </c>
      <c r="AX40" s="88" t="str">
        <f aca="false">IF(OR(AX$4="",MONTH(($G$2+24))&lt;&gt;MONTH($C$2)),"",IF(COUNTIFS(m_teacher,AX$4,m_date,($G$2+24),m_active,1,m_start,"&lt;"&amp;720,m_end,"&gt;"&amp;660)=0,"",IF(COUNTIFS(m_teacher,AX$4,m_date,($G$2+24),m_active,1,m_start,"&lt;"&amp;720,m_end,"&gt;"&amp;660)&gt;1,"충돌",HYPERLINK("#'관리자_MASTER'!D"&amp;_xlfn.MAXIFS(m_row,m_teacher,AX$4,m_date,($G$2+24),m_active,1,m_start,"&lt;"&amp;720,m_end,"&gt;"&amp;660),INDEX(m_label,_xlfn.MAXIFS(m_row,m_teacher,AX$4,m_date,($G$2+24),m_active,1,m_start,"&lt;"&amp;720,m_end,"&gt;"&amp;660))))))</f>
        <v/>
      </c>
      <c r="AY40" s="88" t="str">
        <f aca="false">IF(OR(AY$4="",MONTH(($G$2+24))&lt;&gt;MONTH($C$2)),"",IF(COUNTIFS(m_teacher,AY$4,m_date,($G$2+24),m_active,1,m_start,"&lt;"&amp;720,m_end,"&gt;"&amp;660)=0,"",IF(COUNTIFS(m_teacher,AY$4,m_date,($G$2+24),m_active,1,m_start,"&lt;"&amp;720,m_end,"&gt;"&amp;660)&gt;1,"충돌",HYPERLINK("#'관리자_MASTER'!D"&amp;_xlfn.MAXIFS(m_row,m_teacher,AY$4,m_date,($G$2+24),m_active,1,m_start,"&lt;"&amp;720,m_end,"&gt;"&amp;660),INDEX(m_label,_xlfn.MAXIFS(m_row,m_teacher,AY$4,m_date,($G$2+24),m_active,1,m_start,"&lt;"&amp;720,m_end,"&gt;"&amp;660))))))</f>
        <v/>
      </c>
      <c r="AZ40" s="88" t="str">
        <f aca="false">IF(OR(AZ$4="",MONTH(($G$2+24))&lt;&gt;MONTH($C$2)),"",IF(COUNTIFS(m_teacher,AZ$4,m_date,($G$2+24),m_active,1,m_start,"&lt;"&amp;720,m_end,"&gt;"&amp;660)=0,"",IF(COUNTIFS(m_teacher,AZ$4,m_date,($G$2+24),m_active,1,m_start,"&lt;"&amp;720,m_end,"&gt;"&amp;660)&gt;1,"충돌",HYPERLINK("#'관리자_MASTER'!D"&amp;_xlfn.MAXIFS(m_row,m_teacher,AZ$4,m_date,($G$2+24),m_active,1,m_start,"&lt;"&amp;720,m_end,"&gt;"&amp;660),INDEX(m_label,_xlfn.MAXIFS(m_row,m_teacher,AZ$4,m_date,($G$2+24),m_active,1,m_start,"&lt;"&amp;720,m_end,"&gt;"&amp;660))))))</f>
        <v/>
      </c>
      <c r="BA40" s="88" t="str">
        <f aca="false">IF(OR(BA$4="",MONTH(($G$2+24))&lt;&gt;MONTH($C$2)),"",IF(COUNTIFS(m_teacher,BA$4,m_date,($G$2+24),m_active,1,m_start,"&lt;"&amp;720,m_end,"&gt;"&amp;660)=0,"",IF(COUNTIFS(m_teacher,BA$4,m_date,($G$2+24),m_active,1,m_start,"&lt;"&amp;720,m_end,"&gt;"&amp;660)&gt;1,"충돌",HYPERLINK("#'관리자_MASTER'!D"&amp;_xlfn.MAXIFS(m_row,m_teacher,BA$4,m_date,($G$2+24),m_active,1,m_start,"&lt;"&amp;720,m_end,"&gt;"&amp;660),INDEX(m_label,_xlfn.MAXIFS(m_row,m_teacher,BA$4,m_date,($G$2+24),m_active,1,m_start,"&lt;"&amp;720,m_end,"&gt;"&amp;660))))))</f>
        <v/>
      </c>
      <c r="BB40" s="88" t="str">
        <f aca="false">IF(OR(BB$4="",MONTH(($G$2+24))&lt;&gt;MONTH($C$2)),"",IF(COUNTIFS(m_teacher,BB$4,m_date,($G$2+24),m_active,1,m_start,"&lt;"&amp;720,m_end,"&gt;"&amp;660)=0,"",IF(COUNTIFS(m_teacher,BB$4,m_date,($G$2+24),m_active,1,m_start,"&lt;"&amp;720,m_end,"&gt;"&amp;660)&gt;1,"충돌",HYPERLINK("#'관리자_MASTER'!D"&amp;_xlfn.MAXIFS(m_row,m_teacher,BB$4,m_date,($G$2+24),m_active,1,m_start,"&lt;"&amp;720,m_end,"&gt;"&amp;660),INDEX(m_label,_xlfn.MAXIFS(m_row,m_teacher,BB$4,m_date,($G$2+24),m_active,1,m_start,"&lt;"&amp;720,m_end,"&gt;"&amp;660))))))</f>
        <v/>
      </c>
      <c r="BC40" s="88" t="str">
        <f aca="false">IF(OR(BC$4="",MONTH(($G$2+24))&lt;&gt;MONTH($C$2)),"",IF(COUNTIFS(m_teacher,BC$4,m_date,($G$2+24),m_active,1,m_start,"&lt;"&amp;720,m_end,"&gt;"&amp;660)=0,"",IF(COUNTIFS(m_teacher,BC$4,m_date,($G$2+24),m_active,1,m_start,"&lt;"&amp;720,m_end,"&gt;"&amp;660)&gt;1,"충돌",HYPERLINK("#'관리자_MASTER'!D"&amp;_xlfn.MAXIFS(m_row,m_teacher,BC$4,m_date,($G$2+24),m_active,1,m_start,"&lt;"&amp;720,m_end,"&gt;"&amp;660),INDEX(m_label,_xlfn.MAXIFS(m_row,m_teacher,BC$4,m_date,($G$2+24),m_active,1,m_start,"&lt;"&amp;720,m_end,"&gt;"&amp;660))))))</f>
        <v/>
      </c>
      <c r="BD40" s="88" t="str">
        <f aca="false">IF(OR(BD$4="",MONTH(($G$2+24))&lt;&gt;MONTH($C$2)),"",IF(COUNTIFS(m_teacher,BD$4,m_date,($G$2+24),m_active,1,m_start,"&lt;"&amp;720,m_end,"&gt;"&amp;660)=0,"",IF(COUNTIFS(m_teacher,BD$4,m_date,($G$2+24),m_active,1,m_start,"&lt;"&amp;720,m_end,"&gt;"&amp;660)&gt;1,"충돌",HYPERLINK("#'관리자_MASTER'!D"&amp;_xlfn.MAXIFS(m_row,m_teacher,BD$4,m_date,($G$2+24),m_active,1,m_start,"&lt;"&amp;720,m_end,"&gt;"&amp;660),INDEX(m_label,_xlfn.MAXIFS(m_row,m_teacher,BD$4,m_date,($G$2+24),m_active,1,m_start,"&lt;"&amp;720,m_end,"&gt;"&amp;660))))))</f>
        <v/>
      </c>
      <c r="BE40" s="78"/>
      <c r="BF40" s="79" t="s">
        <v>93</v>
      </c>
      <c r="BG40" s="88" t="str">
        <f aca="false">IF(OR(BG$4="",MONTH(($G$2+31))&lt;&gt;MONTH($C$2)),"",IF(COUNTIFS(m_teacher,BG$4,m_date,($G$2+31),m_active,1,m_start,"&lt;"&amp;720,m_end,"&gt;"&amp;660)=0,"",IF(COUNTIFS(m_teacher,BG$4,m_date,($G$2+31),m_active,1,m_start,"&lt;"&amp;720,m_end,"&gt;"&amp;660)&gt;1,"충돌",HYPERLINK("#'관리자_MASTER'!D"&amp;_xlfn.MAXIFS(m_row,m_teacher,BG$4,m_date,($G$2+31),m_active,1,m_start,"&lt;"&amp;720,m_end,"&gt;"&amp;660),INDEX(m_label,_xlfn.MAXIFS(m_row,m_teacher,BG$4,m_date,($G$2+31),m_active,1,m_start,"&lt;"&amp;720,m_end,"&gt;"&amp;660))))))</f>
        <v/>
      </c>
      <c r="BH40" s="88" t="str">
        <f aca="false">IF(OR(BH$4="",MONTH(($G$2+31))&lt;&gt;MONTH($C$2)),"",IF(COUNTIFS(m_teacher,BH$4,m_date,($G$2+31),m_active,1,m_start,"&lt;"&amp;720,m_end,"&gt;"&amp;660)=0,"",IF(COUNTIFS(m_teacher,BH$4,m_date,($G$2+31),m_active,1,m_start,"&lt;"&amp;720,m_end,"&gt;"&amp;660)&gt;1,"충돌",HYPERLINK("#'관리자_MASTER'!D"&amp;_xlfn.MAXIFS(m_row,m_teacher,BH$4,m_date,($G$2+31),m_active,1,m_start,"&lt;"&amp;720,m_end,"&gt;"&amp;660),INDEX(m_label,_xlfn.MAXIFS(m_row,m_teacher,BH$4,m_date,($G$2+31),m_active,1,m_start,"&lt;"&amp;720,m_end,"&gt;"&amp;660))))))</f>
        <v/>
      </c>
      <c r="BI40" s="88" t="str">
        <f aca="false">IF(OR(BI$4="",MONTH(($G$2+31))&lt;&gt;MONTH($C$2)),"",IF(COUNTIFS(m_teacher,BI$4,m_date,($G$2+31),m_active,1,m_start,"&lt;"&amp;720,m_end,"&gt;"&amp;660)=0,"",IF(COUNTIFS(m_teacher,BI$4,m_date,($G$2+31),m_active,1,m_start,"&lt;"&amp;720,m_end,"&gt;"&amp;660)&gt;1,"충돌",HYPERLINK("#'관리자_MASTER'!D"&amp;_xlfn.MAXIFS(m_row,m_teacher,BI$4,m_date,($G$2+31),m_active,1,m_start,"&lt;"&amp;720,m_end,"&gt;"&amp;660),INDEX(m_label,_xlfn.MAXIFS(m_row,m_teacher,BI$4,m_date,($G$2+31),m_active,1,m_start,"&lt;"&amp;720,m_end,"&gt;"&amp;660))))))</f>
        <v/>
      </c>
      <c r="BJ40" s="88" t="str">
        <f aca="false">IF(OR(BJ$4="",MONTH(($G$2+31))&lt;&gt;MONTH($C$2)),"",IF(COUNTIFS(m_teacher,BJ$4,m_date,($G$2+31),m_active,1,m_start,"&lt;"&amp;720,m_end,"&gt;"&amp;660)=0,"",IF(COUNTIFS(m_teacher,BJ$4,m_date,($G$2+31),m_active,1,m_start,"&lt;"&amp;720,m_end,"&gt;"&amp;660)&gt;1,"충돌",HYPERLINK("#'관리자_MASTER'!D"&amp;_xlfn.MAXIFS(m_row,m_teacher,BJ$4,m_date,($G$2+31),m_active,1,m_start,"&lt;"&amp;720,m_end,"&gt;"&amp;660),INDEX(m_label,_xlfn.MAXIFS(m_row,m_teacher,BJ$4,m_date,($G$2+31),m_active,1,m_start,"&lt;"&amp;720,m_end,"&gt;"&amp;660))))))</f>
        <v/>
      </c>
      <c r="BK40" s="88" t="str">
        <f aca="false">IF(OR(BK$4="",MONTH(($G$2+31))&lt;&gt;MONTH($C$2)),"",IF(COUNTIFS(m_teacher,BK$4,m_date,($G$2+31),m_active,1,m_start,"&lt;"&amp;720,m_end,"&gt;"&amp;660)=0,"",IF(COUNTIFS(m_teacher,BK$4,m_date,($G$2+31),m_active,1,m_start,"&lt;"&amp;720,m_end,"&gt;"&amp;660)&gt;1,"충돌",HYPERLINK("#'관리자_MASTER'!D"&amp;_xlfn.MAXIFS(m_row,m_teacher,BK$4,m_date,($G$2+31),m_active,1,m_start,"&lt;"&amp;720,m_end,"&gt;"&amp;660),INDEX(m_label,_xlfn.MAXIFS(m_row,m_teacher,BK$4,m_date,($G$2+31),m_active,1,m_start,"&lt;"&amp;720,m_end,"&gt;"&amp;660))))))</f>
        <v/>
      </c>
      <c r="BL40" s="88" t="str">
        <f aca="false">IF(OR(BL$4="",MONTH(($G$2+31))&lt;&gt;MONTH($C$2)),"",IF(COUNTIFS(m_teacher,BL$4,m_date,($G$2+31),m_active,1,m_start,"&lt;"&amp;720,m_end,"&gt;"&amp;660)=0,"",IF(COUNTIFS(m_teacher,BL$4,m_date,($G$2+31),m_active,1,m_start,"&lt;"&amp;720,m_end,"&gt;"&amp;660)&gt;1,"충돌",HYPERLINK("#'관리자_MASTER'!D"&amp;_xlfn.MAXIFS(m_row,m_teacher,BL$4,m_date,($G$2+31),m_active,1,m_start,"&lt;"&amp;720,m_end,"&gt;"&amp;660),INDEX(m_label,_xlfn.MAXIFS(m_row,m_teacher,BL$4,m_date,($G$2+31),m_active,1,m_start,"&lt;"&amp;720,m_end,"&gt;"&amp;660))))))</f>
        <v/>
      </c>
      <c r="BM40" s="88" t="str">
        <f aca="false">IF(OR(BM$4="",MONTH(($G$2+31))&lt;&gt;MONTH($C$2)),"",IF(COUNTIFS(m_teacher,BM$4,m_date,($G$2+31),m_active,1,m_start,"&lt;"&amp;720,m_end,"&gt;"&amp;660)=0,"",IF(COUNTIFS(m_teacher,BM$4,m_date,($G$2+31),m_active,1,m_start,"&lt;"&amp;720,m_end,"&gt;"&amp;660)&gt;1,"충돌",HYPERLINK("#'관리자_MASTER'!D"&amp;_xlfn.MAXIFS(m_row,m_teacher,BM$4,m_date,($G$2+31),m_active,1,m_start,"&lt;"&amp;720,m_end,"&gt;"&amp;660),INDEX(m_label,_xlfn.MAXIFS(m_row,m_teacher,BM$4,m_date,($G$2+31),m_active,1,m_start,"&lt;"&amp;720,m_end,"&gt;"&amp;660))))))</f>
        <v/>
      </c>
      <c r="BN40" s="88" t="str">
        <f aca="false">IF(OR(BN$4="",MONTH(($G$2+31))&lt;&gt;MONTH($C$2)),"",IF(COUNTIFS(m_teacher,BN$4,m_date,($G$2+31),m_active,1,m_start,"&lt;"&amp;720,m_end,"&gt;"&amp;660)=0,"",IF(COUNTIFS(m_teacher,BN$4,m_date,($G$2+31),m_active,1,m_start,"&lt;"&amp;720,m_end,"&gt;"&amp;660)&gt;1,"충돌",HYPERLINK("#'관리자_MASTER'!D"&amp;_xlfn.MAXIFS(m_row,m_teacher,BN$4,m_date,($G$2+31),m_active,1,m_start,"&lt;"&amp;720,m_end,"&gt;"&amp;660),INDEX(m_label,_xlfn.MAXIFS(m_row,m_teacher,BN$4,m_date,($G$2+31),m_active,1,m_start,"&lt;"&amp;720,m_end,"&gt;"&amp;660))))))</f>
        <v/>
      </c>
      <c r="BO40" s="88" t="str">
        <f aca="false">IF(OR(BO$4="",MONTH(($G$2+31))&lt;&gt;MONTH($C$2)),"",IF(COUNTIFS(m_teacher,BO$4,m_date,($G$2+31),m_active,1,m_start,"&lt;"&amp;720,m_end,"&gt;"&amp;660)=0,"",IF(COUNTIFS(m_teacher,BO$4,m_date,($G$2+31),m_active,1,m_start,"&lt;"&amp;720,m_end,"&gt;"&amp;660)&gt;1,"충돌",HYPERLINK("#'관리자_MASTER'!D"&amp;_xlfn.MAXIFS(m_row,m_teacher,BO$4,m_date,($G$2+31),m_active,1,m_start,"&lt;"&amp;720,m_end,"&gt;"&amp;660),INDEX(m_label,_xlfn.MAXIFS(m_row,m_teacher,BO$4,m_date,($G$2+31),m_active,1,m_start,"&lt;"&amp;720,m_end,"&gt;"&amp;660))))))</f>
        <v/>
      </c>
      <c r="BP40" s="88" t="str">
        <f aca="false">IF(OR(BP$4="",MONTH(($G$2+31))&lt;&gt;MONTH($C$2)),"",IF(COUNTIFS(m_teacher,BP$4,m_date,($G$2+31),m_active,1,m_start,"&lt;"&amp;720,m_end,"&gt;"&amp;660)=0,"",IF(COUNTIFS(m_teacher,BP$4,m_date,($G$2+31),m_active,1,m_start,"&lt;"&amp;720,m_end,"&gt;"&amp;660)&gt;1,"충돌",HYPERLINK("#'관리자_MASTER'!D"&amp;_xlfn.MAXIFS(m_row,m_teacher,BP$4,m_date,($G$2+31),m_active,1,m_start,"&lt;"&amp;720,m_end,"&gt;"&amp;660),INDEX(m_label,_xlfn.MAXIFS(m_row,m_teacher,BP$4,m_date,($G$2+31),m_active,1,m_start,"&lt;"&amp;720,m_end,"&gt;"&amp;660))))))</f>
        <v/>
      </c>
      <c r="BQ40" s="88" t="str">
        <f aca="false">IF(OR(BQ$4="",MONTH(($G$2+31))&lt;&gt;MONTH($C$2)),"",IF(COUNTIFS(m_teacher,BQ$4,m_date,($G$2+31),m_active,1,m_start,"&lt;"&amp;720,m_end,"&gt;"&amp;660)=0,"",IF(COUNTIFS(m_teacher,BQ$4,m_date,($G$2+31),m_active,1,m_start,"&lt;"&amp;720,m_end,"&gt;"&amp;660)&gt;1,"충돌",HYPERLINK("#'관리자_MASTER'!D"&amp;_xlfn.MAXIFS(m_row,m_teacher,BQ$4,m_date,($G$2+31),m_active,1,m_start,"&lt;"&amp;720,m_end,"&gt;"&amp;660),INDEX(m_label,_xlfn.MAXIFS(m_row,m_teacher,BQ$4,m_date,($G$2+31),m_active,1,m_start,"&lt;"&amp;720,m_end,"&gt;"&amp;660))))))</f>
        <v/>
      </c>
      <c r="BR40" s="88" t="str">
        <f aca="false">IF(OR(BR$4="",MONTH(($G$2+31))&lt;&gt;MONTH($C$2)),"",IF(COUNTIFS(m_teacher,BR$4,m_date,($G$2+31),m_active,1,m_start,"&lt;"&amp;720,m_end,"&gt;"&amp;660)=0,"",IF(COUNTIFS(m_teacher,BR$4,m_date,($G$2+31),m_active,1,m_start,"&lt;"&amp;720,m_end,"&gt;"&amp;660)&gt;1,"충돌",HYPERLINK("#'관리자_MASTER'!D"&amp;_xlfn.MAXIFS(m_row,m_teacher,BR$4,m_date,($G$2+31),m_active,1,m_start,"&lt;"&amp;720,m_end,"&gt;"&amp;660),INDEX(m_label,_xlfn.MAXIFS(m_row,m_teacher,BR$4,m_date,($G$2+31),m_active,1,m_start,"&lt;"&amp;720,m_end,"&gt;"&amp;660))))))</f>
        <v/>
      </c>
    </row>
    <row r="41" customFormat="false" ht="19.5" hidden="false" customHeight="true" outlineLevel="0" collapsed="false">
      <c r="A41" s="75"/>
      <c r="B41" s="76" t="s">
        <v>94</v>
      </c>
      <c r="C41" s="81" t="str">
        <f aca="false">IF(OR(C$4="",MONTH(($G$2+3))&lt;&gt;MONTH($C$2)),"",IF(COUNTIFS(m_teacher,C$4,m_date,($G$2+3),m_active,1,m_start,"&lt;"&amp;780,m_end,"&gt;"&amp;720)=0,"",IF(COUNTIFS(m_teacher,C$4,m_date,($G$2+3),m_active,1,m_start,"&lt;"&amp;780,m_end,"&gt;"&amp;720)&gt;1,"충돌",HYPERLINK("#'관리자_MASTER'!D"&amp;_xlfn.MAXIFS(m_row,m_teacher,C$4,m_date,($G$2+3),m_active,1,m_start,"&lt;"&amp;780,m_end,"&gt;"&amp;720),INDEX(m_label,_xlfn.MAXIFS(m_row,m_teacher,C$4,m_date,($G$2+3),m_active,1,m_start,"&lt;"&amp;780,m_end,"&gt;"&amp;720))))))</f>
        <v/>
      </c>
      <c r="D41" s="81" t="str">
        <f aca="false">IF(OR(D$4="",MONTH(($G$2+3))&lt;&gt;MONTH($C$2)),"",IF(COUNTIFS(m_teacher,D$4,m_date,($G$2+3),m_active,1,m_start,"&lt;"&amp;780,m_end,"&gt;"&amp;720)=0,"",IF(COUNTIFS(m_teacher,D$4,m_date,($G$2+3),m_active,1,m_start,"&lt;"&amp;780,m_end,"&gt;"&amp;720)&gt;1,"충돌",HYPERLINK("#'관리자_MASTER'!D"&amp;_xlfn.MAXIFS(m_row,m_teacher,D$4,m_date,($G$2+3),m_active,1,m_start,"&lt;"&amp;780,m_end,"&gt;"&amp;720),INDEX(m_label,_xlfn.MAXIFS(m_row,m_teacher,D$4,m_date,($G$2+3),m_active,1,m_start,"&lt;"&amp;780,m_end,"&gt;"&amp;720))))))</f>
        <v/>
      </c>
      <c r="E41" s="81" t="str">
        <f aca="false">IF(OR(E$4="",MONTH(($G$2+3))&lt;&gt;MONTH($C$2)),"",IF(COUNTIFS(m_teacher,E$4,m_date,($G$2+3),m_active,1,m_start,"&lt;"&amp;780,m_end,"&gt;"&amp;720)=0,"",IF(COUNTIFS(m_teacher,E$4,m_date,($G$2+3),m_active,1,m_start,"&lt;"&amp;780,m_end,"&gt;"&amp;720)&gt;1,"충돌",HYPERLINK("#'관리자_MASTER'!D"&amp;_xlfn.MAXIFS(m_row,m_teacher,E$4,m_date,($G$2+3),m_active,1,m_start,"&lt;"&amp;780,m_end,"&gt;"&amp;720),INDEX(m_label,_xlfn.MAXIFS(m_row,m_teacher,E$4,m_date,($G$2+3),m_active,1,m_start,"&lt;"&amp;780,m_end,"&gt;"&amp;720))))))</f>
        <v/>
      </c>
      <c r="F41" s="81" t="str">
        <f aca="false">IF(OR(F$4="",MONTH(($G$2+3))&lt;&gt;MONTH($C$2)),"",IF(COUNTIFS(m_teacher,F$4,m_date,($G$2+3),m_active,1,m_start,"&lt;"&amp;780,m_end,"&gt;"&amp;720)=0,"",IF(COUNTIFS(m_teacher,F$4,m_date,($G$2+3),m_active,1,m_start,"&lt;"&amp;780,m_end,"&gt;"&amp;720)&gt;1,"충돌",HYPERLINK("#'관리자_MASTER'!D"&amp;_xlfn.MAXIFS(m_row,m_teacher,F$4,m_date,($G$2+3),m_active,1,m_start,"&lt;"&amp;780,m_end,"&gt;"&amp;720),INDEX(m_label,_xlfn.MAXIFS(m_row,m_teacher,F$4,m_date,($G$2+3),m_active,1,m_start,"&lt;"&amp;780,m_end,"&gt;"&amp;720))))))</f>
        <v/>
      </c>
      <c r="G41" s="81" t="str">
        <f aca="false">IF(OR(G$4="",MONTH(($G$2+3))&lt;&gt;MONTH($C$2)),"",IF(COUNTIFS(m_teacher,G$4,m_date,($G$2+3),m_active,1,m_start,"&lt;"&amp;780,m_end,"&gt;"&amp;720)=0,"",IF(COUNTIFS(m_teacher,G$4,m_date,($G$2+3),m_active,1,m_start,"&lt;"&amp;780,m_end,"&gt;"&amp;720)&gt;1,"충돌",HYPERLINK("#'관리자_MASTER'!D"&amp;_xlfn.MAXIFS(m_row,m_teacher,G$4,m_date,($G$2+3),m_active,1,m_start,"&lt;"&amp;780,m_end,"&gt;"&amp;720),INDEX(m_label,_xlfn.MAXIFS(m_row,m_teacher,G$4,m_date,($G$2+3),m_active,1,m_start,"&lt;"&amp;780,m_end,"&gt;"&amp;720))))))</f>
        <v/>
      </c>
      <c r="H41" s="81" t="str">
        <f aca="false">IF(OR(H$4="",MONTH(($G$2+3))&lt;&gt;MONTH($C$2)),"",IF(COUNTIFS(m_teacher,H$4,m_date,($G$2+3),m_active,1,m_start,"&lt;"&amp;780,m_end,"&gt;"&amp;720)=0,"",IF(COUNTIFS(m_teacher,H$4,m_date,($G$2+3),m_active,1,m_start,"&lt;"&amp;780,m_end,"&gt;"&amp;720)&gt;1,"충돌",HYPERLINK("#'관리자_MASTER'!D"&amp;_xlfn.MAXIFS(m_row,m_teacher,H$4,m_date,($G$2+3),m_active,1,m_start,"&lt;"&amp;780,m_end,"&gt;"&amp;720),INDEX(m_label,_xlfn.MAXIFS(m_row,m_teacher,H$4,m_date,($G$2+3),m_active,1,m_start,"&lt;"&amp;780,m_end,"&gt;"&amp;720))))))</f>
        <v/>
      </c>
      <c r="I41" s="81" t="str">
        <f aca="false">IF(OR(I$4="",MONTH(($G$2+3))&lt;&gt;MONTH($C$2)),"",IF(COUNTIFS(m_teacher,I$4,m_date,($G$2+3),m_active,1,m_start,"&lt;"&amp;780,m_end,"&gt;"&amp;720)=0,"",IF(COUNTIFS(m_teacher,I$4,m_date,($G$2+3),m_active,1,m_start,"&lt;"&amp;780,m_end,"&gt;"&amp;720)&gt;1,"충돌",HYPERLINK("#'관리자_MASTER'!D"&amp;_xlfn.MAXIFS(m_row,m_teacher,I$4,m_date,($G$2+3),m_active,1,m_start,"&lt;"&amp;780,m_end,"&gt;"&amp;720),INDEX(m_label,_xlfn.MAXIFS(m_row,m_teacher,I$4,m_date,($G$2+3),m_active,1,m_start,"&lt;"&amp;780,m_end,"&gt;"&amp;720))))))</f>
        <v/>
      </c>
      <c r="J41" s="81" t="str">
        <f aca="false">IF(OR(J$4="",MONTH(($G$2+3))&lt;&gt;MONTH($C$2)),"",IF(COUNTIFS(m_teacher,J$4,m_date,($G$2+3),m_active,1,m_start,"&lt;"&amp;780,m_end,"&gt;"&amp;720)=0,"",IF(COUNTIFS(m_teacher,J$4,m_date,($G$2+3),m_active,1,m_start,"&lt;"&amp;780,m_end,"&gt;"&amp;720)&gt;1,"충돌",HYPERLINK("#'관리자_MASTER'!D"&amp;_xlfn.MAXIFS(m_row,m_teacher,J$4,m_date,($G$2+3),m_active,1,m_start,"&lt;"&amp;780,m_end,"&gt;"&amp;720),INDEX(m_label,_xlfn.MAXIFS(m_row,m_teacher,J$4,m_date,($G$2+3),m_active,1,m_start,"&lt;"&amp;780,m_end,"&gt;"&amp;720))))))</f>
        <v/>
      </c>
      <c r="K41" s="81" t="str">
        <f aca="false">IF(OR(K$4="",MONTH(($G$2+3))&lt;&gt;MONTH($C$2)),"",IF(COUNTIFS(m_teacher,K$4,m_date,($G$2+3),m_active,1,m_start,"&lt;"&amp;780,m_end,"&gt;"&amp;720)=0,"",IF(COUNTIFS(m_teacher,K$4,m_date,($G$2+3),m_active,1,m_start,"&lt;"&amp;780,m_end,"&gt;"&amp;720)&gt;1,"충돌",HYPERLINK("#'관리자_MASTER'!D"&amp;_xlfn.MAXIFS(m_row,m_teacher,K$4,m_date,($G$2+3),m_active,1,m_start,"&lt;"&amp;780,m_end,"&gt;"&amp;720),INDEX(m_label,_xlfn.MAXIFS(m_row,m_teacher,K$4,m_date,($G$2+3),m_active,1,m_start,"&lt;"&amp;780,m_end,"&gt;"&amp;720))))))</f>
        <v/>
      </c>
      <c r="L41" s="81" t="str">
        <f aca="false">IF(OR(L$4="",MONTH(($G$2+3))&lt;&gt;MONTH($C$2)),"",IF(COUNTIFS(m_teacher,L$4,m_date,($G$2+3),m_active,1,m_start,"&lt;"&amp;780,m_end,"&gt;"&amp;720)=0,"",IF(COUNTIFS(m_teacher,L$4,m_date,($G$2+3),m_active,1,m_start,"&lt;"&amp;780,m_end,"&gt;"&amp;720)&gt;1,"충돌",HYPERLINK("#'관리자_MASTER'!D"&amp;_xlfn.MAXIFS(m_row,m_teacher,L$4,m_date,($G$2+3),m_active,1,m_start,"&lt;"&amp;780,m_end,"&gt;"&amp;720),INDEX(m_label,_xlfn.MAXIFS(m_row,m_teacher,L$4,m_date,($G$2+3),m_active,1,m_start,"&lt;"&amp;780,m_end,"&gt;"&amp;720))))))</f>
        <v/>
      </c>
      <c r="M41" s="81" t="str">
        <f aca="false">IF(OR(M$4="",MONTH(($G$2+3))&lt;&gt;MONTH($C$2)),"",IF(COUNTIFS(m_teacher,M$4,m_date,($G$2+3),m_active,1,m_start,"&lt;"&amp;780,m_end,"&gt;"&amp;720)=0,"",IF(COUNTIFS(m_teacher,M$4,m_date,($G$2+3),m_active,1,m_start,"&lt;"&amp;780,m_end,"&gt;"&amp;720)&gt;1,"충돌",HYPERLINK("#'관리자_MASTER'!D"&amp;_xlfn.MAXIFS(m_row,m_teacher,M$4,m_date,($G$2+3),m_active,1,m_start,"&lt;"&amp;780,m_end,"&gt;"&amp;720),INDEX(m_label,_xlfn.MAXIFS(m_row,m_teacher,M$4,m_date,($G$2+3),m_active,1,m_start,"&lt;"&amp;780,m_end,"&gt;"&amp;720))))))</f>
        <v/>
      </c>
      <c r="N41" s="81" t="str">
        <f aca="false">IF(OR(N$4="",MONTH(($G$2+3))&lt;&gt;MONTH($C$2)),"",IF(COUNTIFS(m_teacher,N$4,m_date,($G$2+3),m_active,1,m_start,"&lt;"&amp;780,m_end,"&gt;"&amp;720)=0,"",IF(COUNTIFS(m_teacher,N$4,m_date,($G$2+3),m_active,1,m_start,"&lt;"&amp;780,m_end,"&gt;"&amp;720)&gt;1,"충돌",HYPERLINK("#'관리자_MASTER'!D"&amp;_xlfn.MAXIFS(m_row,m_teacher,N$4,m_date,($G$2+3),m_active,1,m_start,"&lt;"&amp;780,m_end,"&gt;"&amp;720),INDEX(m_label,_xlfn.MAXIFS(m_row,m_teacher,N$4,m_date,($G$2+3),m_active,1,m_start,"&lt;"&amp;780,m_end,"&gt;"&amp;720))))))</f>
        <v/>
      </c>
      <c r="O41" s="78"/>
      <c r="P41" s="79" t="s">
        <v>94</v>
      </c>
      <c r="Q41" s="88" t="str">
        <f aca="false">IF(OR(Q$4="",MONTH(($G$2+10))&lt;&gt;MONTH($C$2)),"",IF(COUNTIFS(m_teacher,Q$4,m_date,($G$2+10),m_active,1,m_start,"&lt;"&amp;780,m_end,"&gt;"&amp;720)=0,"",IF(COUNTIFS(m_teacher,Q$4,m_date,($G$2+10),m_active,1,m_start,"&lt;"&amp;780,m_end,"&gt;"&amp;720)&gt;1,"충돌",HYPERLINK("#'관리자_MASTER'!D"&amp;_xlfn.MAXIFS(m_row,m_teacher,Q$4,m_date,($G$2+10),m_active,1,m_start,"&lt;"&amp;780,m_end,"&gt;"&amp;720),INDEX(m_label,_xlfn.MAXIFS(m_row,m_teacher,Q$4,m_date,($G$2+10),m_active,1,m_start,"&lt;"&amp;780,m_end,"&gt;"&amp;720))))))</f>
        <v/>
      </c>
      <c r="R41" s="88" t="str">
        <f aca="false">IF(OR(R$4="",MONTH(($G$2+10))&lt;&gt;MONTH($C$2)),"",IF(COUNTIFS(m_teacher,R$4,m_date,($G$2+10),m_active,1,m_start,"&lt;"&amp;780,m_end,"&gt;"&amp;720)=0,"",IF(COUNTIFS(m_teacher,R$4,m_date,($G$2+10),m_active,1,m_start,"&lt;"&amp;780,m_end,"&gt;"&amp;720)&gt;1,"충돌",HYPERLINK("#'관리자_MASTER'!D"&amp;_xlfn.MAXIFS(m_row,m_teacher,R$4,m_date,($G$2+10),m_active,1,m_start,"&lt;"&amp;780,m_end,"&gt;"&amp;720),INDEX(m_label,_xlfn.MAXIFS(m_row,m_teacher,R$4,m_date,($G$2+10),m_active,1,m_start,"&lt;"&amp;780,m_end,"&gt;"&amp;720))))))</f>
        <v/>
      </c>
      <c r="S41" s="88" t="str">
        <f aca="false">IF(OR(S$4="",MONTH(($G$2+10))&lt;&gt;MONTH($C$2)),"",IF(COUNTIFS(m_teacher,S$4,m_date,($G$2+10),m_active,1,m_start,"&lt;"&amp;780,m_end,"&gt;"&amp;720)=0,"",IF(COUNTIFS(m_teacher,S$4,m_date,($G$2+10),m_active,1,m_start,"&lt;"&amp;780,m_end,"&gt;"&amp;720)&gt;1,"충돌",HYPERLINK("#'관리자_MASTER'!D"&amp;_xlfn.MAXIFS(m_row,m_teacher,S$4,m_date,($G$2+10),m_active,1,m_start,"&lt;"&amp;780,m_end,"&gt;"&amp;720),INDEX(m_label,_xlfn.MAXIFS(m_row,m_teacher,S$4,m_date,($G$2+10),m_active,1,m_start,"&lt;"&amp;780,m_end,"&gt;"&amp;720))))))</f>
        <v/>
      </c>
      <c r="T41" s="88" t="str">
        <f aca="false">IF(OR(T$4="",MONTH(($G$2+10))&lt;&gt;MONTH($C$2)),"",IF(COUNTIFS(m_teacher,T$4,m_date,($G$2+10),m_active,1,m_start,"&lt;"&amp;780,m_end,"&gt;"&amp;720)=0,"",IF(COUNTIFS(m_teacher,T$4,m_date,($G$2+10),m_active,1,m_start,"&lt;"&amp;780,m_end,"&gt;"&amp;720)&gt;1,"충돌",HYPERLINK("#'관리자_MASTER'!D"&amp;_xlfn.MAXIFS(m_row,m_teacher,T$4,m_date,($G$2+10),m_active,1,m_start,"&lt;"&amp;780,m_end,"&gt;"&amp;720),INDEX(m_label,_xlfn.MAXIFS(m_row,m_teacher,T$4,m_date,($G$2+10),m_active,1,m_start,"&lt;"&amp;780,m_end,"&gt;"&amp;720))))))</f>
        <v/>
      </c>
      <c r="U41" s="88" t="str">
        <f aca="false">IF(OR(U$4="",MONTH(($G$2+10))&lt;&gt;MONTH($C$2)),"",IF(COUNTIFS(m_teacher,U$4,m_date,($G$2+10),m_active,1,m_start,"&lt;"&amp;780,m_end,"&gt;"&amp;720)=0,"",IF(COUNTIFS(m_teacher,U$4,m_date,($G$2+10),m_active,1,m_start,"&lt;"&amp;780,m_end,"&gt;"&amp;720)&gt;1,"충돌",HYPERLINK("#'관리자_MASTER'!D"&amp;_xlfn.MAXIFS(m_row,m_teacher,U$4,m_date,($G$2+10),m_active,1,m_start,"&lt;"&amp;780,m_end,"&gt;"&amp;720),INDEX(m_label,_xlfn.MAXIFS(m_row,m_teacher,U$4,m_date,($G$2+10),m_active,1,m_start,"&lt;"&amp;780,m_end,"&gt;"&amp;720))))))</f>
        <v/>
      </c>
      <c r="V41" s="88" t="str">
        <f aca="false">IF(OR(V$4="",MONTH(($G$2+10))&lt;&gt;MONTH($C$2)),"",IF(COUNTIFS(m_teacher,V$4,m_date,($G$2+10),m_active,1,m_start,"&lt;"&amp;780,m_end,"&gt;"&amp;720)=0,"",IF(COUNTIFS(m_teacher,V$4,m_date,($G$2+10),m_active,1,m_start,"&lt;"&amp;780,m_end,"&gt;"&amp;720)&gt;1,"충돌",HYPERLINK("#'관리자_MASTER'!D"&amp;_xlfn.MAXIFS(m_row,m_teacher,V$4,m_date,($G$2+10),m_active,1,m_start,"&lt;"&amp;780,m_end,"&gt;"&amp;720),INDEX(m_label,_xlfn.MAXIFS(m_row,m_teacher,V$4,m_date,($G$2+10),m_active,1,m_start,"&lt;"&amp;780,m_end,"&gt;"&amp;720))))))</f>
        <v/>
      </c>
      <c r="W41" s="88" t="str">
        <f aca="false">IF(OR(W$4="",MONTH(($G$2+10))&lt;&gt;MONTH($C$2)),"",IF(COUNTIFS(m_teacher,W$4,m_date,($G$2+10),m_active,1,m_start,"&lt;"&amp;780,m_end,"&gt;"&amp;720)=0,"",IF(COUNTIFS(m_teacher,W$4,m_date,($G$2+10),m_active,1,m_start,"&lt;"&amp;780,m_end,"&gt;"&amp;720)&gt;1,"충돌",HYPERLINK("#'관리자_MASTER'!D"&amp;_xlfn.MAXIFS(m_row,m_teacher,W$4,m_date,($G$2+10),m_active,1,m_start,"&lt;"&amp;780,m_end,"&gt;"&amp;720),INDEX(m_label,_xlfn.MAXIFS(m_row,m_teacher,W$4,m_date,($G$2+10),m_active,1,m_start,"&lt;"&amp;780,m_end,"&gt;"&amp;720))))))</f>
        <v/>
      </c>
      <c r="X41" s="88" t="str">
        <f aca="false">IF(OR(X$4="",MONTH(($G$2+10))&lt;&gt;MONTH($C$2)),"",IF(COUNTIFS(m_teacher,X$4,m_date,($G$2+10),m_active,1,m_start,"&lt;"&amp;780,m_end,"&gt;"&amp;720)=0,"",IF(COUNTIFS(m_teacher,X$4,m_date,($G$2+10),m_active,1,m_start,"&lt;"&amp;780,m_end,"&gt;"&amp;720)&gt;1,"충돌",HYPERLINK("#'관리자_MASTER'!D"&amp;_xlfn.MAXIFS(m_row,m_teacher,X$4,m_date,($G$2+10),m_active,1,m_start,"&lt;"&amp;780,m_end,"&gt;"&amp;720),INDEX(m_label,_xlfn.MAXIFS(m_row,m_teacher,X$4,m_date,($G$2+10),m_active,1,m_start,"&lt;"&amp;780,m_end,"&gt;"&amp;720))))))</f>
        <v/>
      </c>
      <c r="Y41" s="88" t="str">
        <f aca="false">IF(OR(Y$4="",MONTH(($G$2+10))&lt;&gt;MONTH($C$2)),"",IF(COUNTIFS(m_teacher,Y$4,m_date,($G$2+10),m_active,1,m_start,"&lt;"&amp;780,m_end,"&gt;"&amp;720)=0,"",IF(COUNTIFS(m_teacher,Y$4,m_date,($G$2+10),m_active,1,m_start,"&lt;"&amp;780,m_end,"&gt;"&amp;720)&gt;1,"충돌",HYPERLINK("#'관리자_MASTER'!D"&amp;_xlfn.MAXIFS(m_row,m_teacher,Y$4,m_date,($G$2+10),m_active,1,m_start,"&lt;"&amp;780,m_end,"&gt;"&amp;720),INDEX(m_label,_xlfn.MAXIFS(m_row,m_teacher,Y$4,m_date,($G$2+10),m_active,1,m_start,"&lt;"&amp;780,m_end,"&gt;"&amp;720))))))</f>
        <v/>
      </c>
      <c r="Z41" s="88" t="str">
        <f aca="false">IF(OR(Z$4="",MONTH(($G$2+10))&lt;&gt;MONTH($C$2)),"",IF(COUNTIFS(m_teacher,Z$4,m_date,($G$2+10),m_active,1,m_start,"&lt;"&amp;780,m_end,"&gt;"&amp;720)=0,"",IF(COUNTIFS(m_teacher,Z$4,m_date,($G$2+10),m_active,1,m_start,"&lt;"&amp;780,m_end,"&gt;"&amp;720)&gt;1,"충돌",HYPERLINK("#'관리자_MASTER'!D"&amp;_xlfn.MAXIFS(m_row,m_teacher,Z$4,m_date,($G$2+10),m_active,1,m_start,"&lt;"&amp;780,m_end,"&gt;"&amp;720),INDEX(m_label,_xlfn.MAXIFS(m_row,m_teacher,Z$4,m_date,($G$2+10),m_active,1,m_start,"&lt;"&amp;780,m_end,"&gt;"&amp;720))))))</f>
        <v/>
      </c>
      <c r="AA41" s="88" t="str">
        <f aca="false">IF(OR(AA$4="",MONTH(($G$2+10))&lt;&gt;MONTH($C$2)),"",IF(COUNTIFS(m_teacher,AA$4,m_date,($G$2+10),m_active,1,m_start,"&lt;"&amp;780,m_end,"&gt;"&amp;720)=0,"",IF(COUNTIFS(m_teacher,AA$4,m_date,($G$2+10),m_active,1,m_start,"&lt;"&amp;780,m_end,"&gt;"&amp;720)&gt;1,"충돌",HYPERLINK("#'관리자_MASTER'!D"&amp;_xlfn.MAXIFS(m_row,m_teacher,AA$4,m_date,($G$2+10),m_active,1,m_start,"&lt;"&amp;780,m_end,"&gt;"&amp;720),INDEX(m_label,_xlfn.MAXIFS(m_row,m_teacher,AA$4,m_date,($G$2+10),m_active,1,m_start,"&lt;"&amp;780,m_end,"&gt;"&amp;720))))))</f>
        <v/>
      </c>
      <c r="AB41" s="88" t="str">
        <f aca="false">IF(OR(AB$4="",MONTH(($G$2+10))&lt;&gt;MONTH($C$2)),"",IF(COUNTIFS(m_teacher,AB$4,m_date,($G$2+10),m_active,1,m_start,"&lt;"&amp;780,m_end,"&gt;"&amp;720)=0,"",IF(COUNTIFS(m_teacher,AB$4,m_date,($G$2+10),m_active,1,m_start,"&lt;"&amp;780,m_end,"&gt;"&amp;720)&gt;1,"충돌",HYPERLINK("#'관리자_MASTER'!D"&amp;_xlfn.MAXIFS(m_row,m_teacher,AB$4,m_date,($G$2+10),m_active,1,m_start,"&lt;"&amp;780,m_end,"&gt;"&amp;720),INDEX(m_label,_xlfn.MAXIFS(m_row,m_teacher,AB$4,m_date,($G$2+10),m_active,1,m_start,"&lt;"&amp;780,m_end,"&gt;"&amp;720))))))</f>
        <v/>
      </c>
      <c r="AC41" s="78"/>
      <c r="AD41" s="79" t="s">
        <v>94</v>
      </c>
      <c r="AE41" s="88" t="str">
        <f aca="false">IF(OR(AE$4="",MONTH(($G$2+17))&lt;&gt;MONTH($C$2)),"",IF(COUNTIFS(m_teacher,AE$4,m_date,($G$2+17),m_active,1,m_start,"&lt;"&amp;780,m_end,"&gt;"&amp;720)=0,"",IF(COUNTIFS(m_teacher,AE$4,m_date,($G$2+17),m_active,1,m_start,"&lt;"&amp;780,m_end,"&gt;"&amp;720)&gt;1,"충돌",HYPERLINK("#'관리자_MASTER'!D"&amp;_xlfn.MAXIFS(m_row,m_teacher,AE$4,m_date,($G$2+17),m_active,1,m_start,"&lt;"&amp;780,m_end,"&gt;"&amp;720),INDEX(m_label,_xlfn.MAXIFS(m_row,m_teacher,AE$4,m_date,($G$2+17),m_active,1,m_start,"&lt;"&amp;780,m_end,"&gt;"&amp;720))))))</f>
        <v/>
      </c>
      <c r="AF41" s="88" t="str">
        <f aca="false">IF(OR(AF$4="",MONTH(($G$2+17))&lt;&gt;MONTH($C$2)),"",IF(COUNTIFS(m_teacher,AF$4,m_date,($G$2+17),m_active,1,m_start,"&lt;"&amp;780,m_end,"&gt;"&amp;720)=0,"",IF(COUNTIFS(m_teacher,AF$4,m_date,($G$2+17),m_active,1,m_start,"&lt;"&amp;780,m_end,"&gt;"&amp;720)&gt;1,"충돌",HYPERLINK("#'관리자_MASTER'!D"&amp;_xlfn.MAXIFS(m_row,m_teacher,AF$4,m_date,($G$2+17),m_active,1,m_start,"&lt;"&amp;780,m_end,"&gt;"&amp;720),INDEX(m_label,_xlfn.MAXIFS(m_row,m_teacher,AF$4,m_date,($G$2+17),m_active,1,m_start,"&lt;"&amp;780,m_end,"&gt;"&amp;720))))))</f>
        <v/>
      </c>
      <c r="AG41" s="88" t="str">
        <f aca="false">IF(OR(AG$4="",MONTH(($G$2+17))&lt;&gt;MONTH($C$2)),"",IF(COUNTIFS(m_teacher,AG$4,m_date,($G$2+17),m_active,1,m_start,"&lt;"&amp;780,m_end,"&gt;"&amp;720)=0,"",IF(COUNTIFS(m_teacher,AG$4,m_date,($G$2+17),m_active,1,m_start,"&lt;"&amp;780,m_end,"&gt;"&amp;720)&gt;1,"충돌",HYPERLINK("#'관리자_MASTER'!D"&amp;_xlfn.MAXIFS(m_row,m_teacher,AG$4,m_date,($G$2+17),m_active,1,m_start,"&lt;"&amp;780,m_end,"&gt;"&amp;720),INDEX(m_label,_xlfn.MAXIFS(m_row,m_teacher,AG$4,m_date,($G$2+17),m_active,1,m_start,"&lt;"&amp;780,m_end,"&gt;"&amp;720))))))</f>
        <v/>
      </c>
      <c r="AH41" s="88" t="str">
        <f aca="false">IF(OR(AH$4="",MONTH(($G$2+17))&lt;&gt;MONTH($C$2)),"",IF(COUNTIFS(m_teacher,AH$4,m_date,($G$2+17),m_active,1,m_start,"&lt;"&amp;780,m_end,"&gt;"&amp;720)=0,"",IF(COUNTIFS(m_teacher,AH$4,m_date,($G$2+17),m_active,1,m_start,"&lt;"&amp;780,m_end,"&gt;"&amp;720)&gt;1,"충돌",HYPERLINK("#'관리자_MASTER'!D"&amp;_xlfn.MAXIFS(m_row,m_teacher,AH$4,m_date,($G$2+17),m_active,1,m_start,"&lt;"&amp;780,m_end,"&gt;"&amp;720),INDEX(m_label,_xlfn.MAXIFS(m_row,m_teacher,AH$4,m_date,($G$2+17),m_active,1,m_start,"&lt;"&amp;780,m_end,"&gt;"&amp;720))))))</f>
        <v/>
      </c>
      <c r="AI41" s="88" t="str">
        <f aca="false">IF(OR(AI$4="",MONTH(($G$2+17))&lt;&gt;MONTH($C$2)),"",IF(COUNTIFS(m_teacher,AI$4,m_date,($G$2+17),m_active,1,m_start,"&lt;"&amp;780,m_end,"&gt;"&amp;720)=0,"",IF(COUNTIFS(m_teacher,AI$4,m_date,($G$2+17),m_active,1,m_start,"&lt;"&amp;780,m_end,"&gt;"&amp;720)&gt;1,"충돌",HYPERLINK("#'관리자_MASTER'!D"&amp;_xlfn.MAXIFS(m_row,m_teacher,AI$4,m_date,($G$2+17),m_active,1,m_start,"&lt;"&amp;780,m_end,"&gt;"&amp;720),INDEX(m_label,_xlfn.MAXIFS(m_row,m_teacher,AI$4,m_date,($G$2+17),m_active,1,m_start,"&lt;"&amp;780,m_end,"&gt;"&amp;720))))))</f>
        <v/>
      </c>
      <c r="AJ41" s="88" t="str">
        <f aca="false">IF(OR(AJ$4="",MONTH(($G$2+17))&lt;&gt;MONTH($C$2)),"",IF(COUNTIFS(m_teacher,AJ$4,m_date,($G$2+17),m_active,1,m_start,"&lt;"&amp;780,m_end,"&gt;"&amp;720)=0,"",IF(COUNTIFS(m_teacher,AJ$4,m_date,($G$2+17),m_active,1,m_start,"&lt;"&amp;780,m_end,"&gt;"&amp;720)&gt;1,"충돌",HYPERLINK("#'관리자_MASTER'!D"&amp;_xlfn.MAXIFS(m_row,m_teacher,AJ$4,m_date,($G$2+17),m_active,1,m_start,"&lt;"&amp;780,m_end,"&gt;"&amp;720),INDEX(m_label,_xlfn.MAXIFS(m_row,m_teacher,AJ$4,m_date,($G$2+17),m_active,1,m_start,"&lt;"&amp;780,m_end,"&gt;"&amp;720))))))</f>
        <v/>
      </c>
      <c r="AK41" s="88" t="str">
        <f aca="false">IF(OR(AK$4="",MONTH(($G$2+17))&lt;&gt;MONTH($C$2)),"",IF(COUNTIFS(m_teacher,AK$4,m_date,($G$2+17),m_active,1,m_start,"&lt;"&amp;780,m_end,"&gt;"&amp;720)=0,"",IF(COUNTIFS(m_teacher,AK$4,m_date,($G$2+17),m_active,1,m_start,"&lt;"&amp;780,m_end,"&gt;"&amp;720)&gt;1,"충돌",HYPERLINK("#'관리자_MASTER'!D"&amp;_xlfn.MAXIFS(m_row,m_teacher,AK$4,m_date,($G$2+17),m_active,1,m_start,"&lt;"&amp;780,m_end,"&gt;"&amp;720),INDEX(m_label,_xlfn.MAXIFS(m_row,m_teacher,AK$4,m_date,($G$2+17),m_active,1,m_start,"&lt;"&amp;780,m_end,"&gt;"&amp;720))))))</f>
        <v/>
      </c>
      <c r="AL41" s="88" t="str">
        <f aca="false">IF(OR(AL$4="",MONTH(($G$2+17))&lt;&gt;MONTH($C$2)),"",IF(COUNTIFS(m_teacher,AL$4,m_date,($G$2+17),m_active,1,m_start,"&lt;"&amp;780,m_end,"&gt;"&amp;720)=0,"",IF(COUNTIFS(m_teacher,AL$4,m_date,($G$2+17),m_active,1,m_start,"&lt;"&amp;780,m_end,"&gt;"&amp;720)&gt;1,"충돌",HYPERLINK("#'관리자_MASTER'!D"&amp;_xlfn.MAXIFS(m_row,m_teacher,AL$4,m_date,($G$2+17),m_active,1,m_start,"&lt;"&amp;780,m_end,"&gt;"&amp;720),INDEX(m_label,_xlfn.MAXIFS(m_row,m_teacher,AL$4,m_date,($G$2+17),m_active,1,m_start,"&lt;"&amp;780,m_end,"&gt;"&amp;720))))))</f>
        <v/>
      </c>
      <c r="AM41" s="88" t="str">
        <f aca="false">IF(OR(AM$4="",MONTH(($G$2+17))&lt;&gt;MONTH($C$2)),"",IF(COUNTIFS(m_teacher,AM$4,m_date,($G$2+17),m_active,1,m_start,"&lt;"&amp;780,m_end,"&gt;"&amp;720)=0,"",IF(COUNTIFS(m_teacher,AM$4,m_date,($G$2+17),m_active,1,m_start,"&lt;"&amp;780,m_end,"&gt;"&amp;720)&gt;1,"충돌",HYPERLINK("#'관리자_MASTER'!D"&amp;_xlfn.MAXIFS(m_row,m_teacher,AM$4,m_date,($G$2+17),m_active,1,m_start,"&lt;"&amp;780,m_end,"&gt;"&amp;720),INDEX(m_label,_xlfn.MAXIFS(m_row,m_teacher,AM$4,m_date,($G$2+17),m_active,1,m_start,"&lt;"&amp;780,m_end,"&gt;"&amp;720))))))</f>
        <v/>
      </c>
      <c r="AN41" s="88" t="str">
        <f aca="false">IF(OR(AN$4="",MONTH(($G$2+17))&lt;&gt;MONTH($C$2)),"",IF(COUNTIFS(m_teacher,AN$4,m_date,($G$2+17),m_active,1,m_start,"&lt;"&amp;780,m_end,"&gt;"&amp;720)=0,"",IF(COUNTIFS(m_teacher,AN$4,m_date,($G$2+17),m_active,1,m_start,"&lt;"&amp;780,m_end,"&gt;"&amp;720)&gt;1,"충돌",HYPERLINK("#'관리자_MASTER'!D"&amp;_xlfn.MAXIFS(m_row,m_teacher,AN$4,m_date,($G$2+17),m_active,1,m_start,"&lt;"&amp;780,m_end,"&gt;"&amp;720),INDEX(m_label,_xlfn.MAXIFS(m_row,m_teacher,AN$4,m_date,($G$2+17),m_active,1,m_start,"&lt;"&amp;780,m_end,"&gt;"&amp;720))))))</f>
        <v/>
      </c>
      <c r="AO41" s="88" t="str">
        <f aca="false">IF(OR(AO$4="",MONTH(($G$2+17))&lt;&gt;MONTH($C$2)),"",IF(COUNTIFS(m_teacher,AO$4,m_date,($G$2+17),m_active,1,m_start,"&lt;"&amp;780,m_end,"&gt;"&amp;720)=0,"",IF(COUNTIFS(m_teacher,AO$4,m_date,($G$2+17),m_active,1,m_start,"&lt;"&amp;780,m_end,"&gt;"&amp;720)&gt;1,"충돌",HYPERLINK("#'관리자_MASTER'!D"&amp;_xlfn.MAXIFS(m_row,m_teacher,AO$4,m_date,($G$2+17),m_active,1,m_start,"&lt;"&amp;780,m_end,"&gt;"&amp;720),INDEX(m_label,_xlfn.MAXIFS(m_row,m_teacher,AO$4,m_date,($G$2+17),m_active,1,m_start,"&lt;"&amp;780,m_end,"&gt;"&amp;720))))))</f>
        <v/>
      </c>
      <c r="AP41" s="88" t="str">
        <f aca="false">IF(OR(AP$4="",MONTH(($G$2+17))&lt;&gt;MONTH($C$2)),"",IF(COUNTIFS(m_teacher,AP$4,m_date,($G$2+17),m_active,1,m_start,"&lt;"&amp;780,m_end,"&gt;"&amp;720)=0,"",IF(COUNTIFS(m_teacher,AP$4,m_date,($G$2+17),m_active,1,m_start,"&lt;"&amp;780,m_end,"&gt;"&amp;720)&gt;1,"충돌",HYPERLINK("#'관리자_MASTER'!D"&amp;_xlfn.MAXIFS(m_row,m_teacher,AP$4,m_date,($G$2+17),m_active,1,m_start,"&lt;"&amp;780,m_end,"&gt;"&amp;720),INDEX(m_label,_xlfn.MAXIFS(m_row,m_teacher,AP$4,m_date,($G$2+17),m_active,1,m_start,"&lt;"&amp;780,m_end,"&gt;"&amp;720))))))</f>
        <v/>
      </c>
      <c r="AQ41" s="78"/>
      <c r="AR41" s="79" t="s">
        <v>94</v>
      </c>
      <c r="AS41" s="88" t="str">
        <f aca="false">IF(OR(AS$4="",MONTH(($G$2+24))&lt;&gt;MONTH($C$2)),"",IF(COUNTIFS(m_teacher,AS$4,m_date,($G$2+24),m_active,1,m_start,"&lt;"&amp;780,m_end,"&gt;"&amp;720)=0,"",IF(COUNTIFS(m_teacher,AS$4,m_date,($G$2+24),m_active,1,m_start,"&lt;"&amp;780,m_end,"&gt;"&amp;720)&gt;1,"충돌",HYPERLINK("#'관리자_MASTER'!D"&amp;_xlfn.MAXIFS(m_row,m_teacher,AS$4,m_date,($G$2+24),m_active,1,m_start,"&lt;"&amp;780,m_end,"&gt;"&amp;720),INDEX(m_label,_xlfn.MAXIFS(m_row,m_teacher,AS$4,m_date,($G$2+24),m_active,1,m_start,"&lt;"&amp;780,m_end,"&gt;"&amp;720))))))</f>
        <v/>
      </c>
      <c r="AT41" s="88" t="str">
        <f aca="false">IF(OR(AT$4="",MONTH(($G$2+24))&lt;&gt;MONTH($C$2)),"",IF(COUNTIFS(m_teacher,AT$4,m_date,($G$2+24),m_active,1,m_start,"&lt;"&amp;780,m_end,"&gt;"&amp;720)=0,"",IF(COUNTIFS(m_teacher,AT$4,m_date,($G$2+24),m_active,1,m_start,"&lt;"&amp;780,m_end,"&gt;"&amp;720)&gt;1,"충돌",HYPERLINK("#'관리자_MASTER'!D"&amp;_xlfn.MAXIFS(m_row,m_teacher,AT$4,m_date,($G$2+24),m_active,1,m_start,"&lt;"&amp;780,m_end,"&gt;"&amp;720),INDEX(m_label,_xlfn.MAXIFS(m_row,m_teacher,AT$4,m_date,($G$2+24),m_active,1,m_start,"&lt;"&amp;780,m_end,"&gt;"&amp;720))))))</f>
        <v/>
      </c>
      <c r="AU41" s="88" t="str">
        <f aca="false">IF(OR(AU$4="",MONTH(($G$2+24))&lt;&gt;MONTH($C$2)),"",IF(COUNTIFS(m_teacher,AU$4,m_date,($G$2+24),m_active,1,m_start,"&lt;"&amp;780,m_end,"&gt;"&amp;720)=0,"",IF(COUNTIFS(m_teacher,AU$4,m_date,($G$2+24),m_active,1,m_start,"&lt;"&amp;780,m_end,"&gt;"&amp;720)&gt;1,"충돌",HYPERLINK("#'관리자_MASTER'!D"&amp;_xlfn.MAXIFS(m_row,m_teacher,AU$4,m_date,($G$2+24),m_active,1,m_start,"&lt;"&amp;780,m_end,"&gt;"&amp;720),INDEX(m_label,_xlfn.MAXIFS(m_row,m_teacher,AU$4,m_date,($G$2+24),m_active,1,m_start,"&lt;"&amp;780,m_end,"&gt;"&amp;720))))))</f>
        <v/>
      </c>
      <c r="AV41" s="88" t="str">
        <f aca="false">IF(OR(AV$4="",MONTH(($G$2+24))&lt;&gt;MONTH($C$2)),"",IF(COUNTIFS(m_teacher,AV$4,m_date,($G$2+24),m_active,1,m_start,"&lt;"&amp;780,m_end,"&gt;"&amp;720)=0,"",IF(COUNTIFS(m_teacher,AV$4,m_date,($G$2+24),m_active,1,m_start,"&lt;"&amp;780,m_end,"&gt;"&amp;720)&gt;1,"충돌",HYPERLINK("#'관리자_MASTER'!D"&amp;_xlfn.MAXIFS(m_row,m_teacher,AV$4,m_date,($G$2+24),m_active,1,m_start,"&lt;"&amp;780,m_end,"&gt;"&amp;720),INDEX(m_label,_xlfn.MAXIFS(m_row,m_teacher,AV$4,m_date,($G$2+24),m_active,1,m_start,"&lt;"&amp;780,m_end,"&gt;"&amp;720))))))</f>
        <v/>
      </c>
      <c r="AW41" s="88" t="str">
        <f aca="false">IF(OR(AW$4="",MONTH(($G$2+24))&lt;&gt;MONTH($C$2)),"",IF(COUNTIFS(m_teacher,AW$4,m_date,($G$2+24),m_active,1,m_start,"&lt;"&amp;780,m_end,"&gt;"&amp;720)=0,"",IF(COUNTIFS(m_teacher,AW$4,m_date,($G$2+24),m_active,1,m_start,"&lt;"&amp;780,m_end,"&gt;"&amp;720)&gt;1,"충돌",HYPERLINK("#'관리자_MASTER'!D"&amp;_xlfn.MAXIFS(m_row,m_teacher,AW$4,m_date,($G$2+24),m_active,1,m_start,"&lt;"&amp;780,m_end,"&gt;"&amp;720),INDEX(m_label,_xlfn.MAXIFS(m_row,m_teacher,AW$4,m_date,($G$2+24),m_active,1,m_start,"&lt;"&amp;780,m_end,"&gt;"&amp;720))))))</f>
        <v/>
      </c>
      <c r="AX41" s="88" t="str">
        <f aca="false">IF(OR(AX$4="",MONTH(($G$2+24))&lt;&gt;MONTH($C$2)),"",IF(COUNTIFS(m_teacher,AX$4,m_date,($G$2+24),m_active,1,m_start,"&lt;"&amp;780,m_end,"&gt;"&amp;720)=0,"",IF(COUNTIFS(m_teacher,AX$4,m_date,($G$2+24),m_active,1,m_start,"&lt;"&amp;780,m_end,"&gt;"&amp;720)&gt;1,"충돌",HYPERLINK("#'관리자_MASTER'!D"&amp;_xlfn.MAXIFS(m_row,m_teacher,AX$4,m_date,($G$2+24),m_active,1,m_start,"&lt;"&amp;780,m_end,"&gt;"&amp;720),INDEX(m_label,_xlfn.MAXIFS(m_row,m_teacher,AX$4,m_date,($G$2+24),m_active,1,m_start,"&lt;"&amp;780,m_end,"&gt;"&amp;720))))))</f>
        <v/>
      </c>
      <c r="AY41" s="88" t="str">
        <f aca="false">IF(OR(AY$4="",MONTH(($G$2+24))&lt;&gt;MONTH($C$2)),"",IF(COUNTIFS(m_teacher,AY$4,m_date,($G$2+24),m_active,1,m_start,"&lt;"&amp;780,m_end,"&gt;"&amp;720)=0,"",IF(COUNTIFS(m_teacher,AY$4,m_date,($G$2+24),m_active,1,m_start,"&lt;"&amp;780,m_end,"&gt;"&amp;720)&gt;1,"충돌",HYPERLINK("#'관리자_MASTER'!D"&amp;_xlfn.MAXIFS(m_row,m_teacher,AY$4,m_date,($G$2+24),m_active,1,m_start,"&lt;"&amp;780,m_end,"&gt;"&amp;720),INDEX(m_label,_xlfn.MAXIFS(m_row,m_teacher,AY$4,m_date,($G$2+24),m_active,1,m_start,"&lt;"&amp;780,m_end,"&gt;"&amp;720))))))</f>
        <v/>
      </c>
      <c r="AZ41" s="88" t="str">
        <f aca="false">IF(OR(AZ$4="",MONTH(($G$2+24))&lt;&gt;MONTH($C$2)),"",IF(COUNTIFS(m_teacher,AZ$4,m_date,($G$2+24),m_active,1,m_start,"&lt;"&amp;780,m_end,"&gt;"&amp;720)=0,"",IF(COUNTIFS(m_teacher,AZ$4,m_date,($G$2+24),m_active,1,m_start,"&lt;"&amp;780,m_end,"&gt;"&amp;720)&gt;1,"충돌",HYPERLINK("#'관리자_MASTER'!D"&amp;_xlfn.MAXIFS(m_row,m_teacher,AZ$4,m_date,($G$2+24),m_active,1,m_start,"&lt;"&amp;780,m_end,"&gt;"&amp;720),INDEX(m_label,_xlfn.MAXIFS(m_row,m_teacher,AZ$4,m_date,($G$2+24),m_active,1,m_start,"&lt;"&amp;780,m_end,"&gt;"&amp;720))))))</f>
        <v/>
      </c>
      <c r="BA41" s="88" t="str">
        <f aca="false">IF(OR(BA$4="",MONTH(($G$2+24))&lt;&gt;MONTH($C$2)),"",IF(COUNTIFS(m_teacher,BA$4,m_date,($G$2+24),m_active,1,m_start,"&lt;"&amp;780,m_end,"&gt;"&amp;720)=0,"",IF(COUNTIFS(m_teacher,BA$4,m_date,($G$2+24),m_active,1,m_start,"&lt;"&amp;780,m_end,"&gt;"&amp;720)&gt;1,"충돌",HYPERLINK("#'관리자_MASTER'!D"&amp;_xlfn.MAXIFS(m_row,m_teacher,BA$4,m_date,($G$2+24),m_active,1,m_start,"&lt;"&amp;780,m_end,"&gt;"&amp;720),INDEX(m_label,_xlfn.MAXIFS(m_row,m_teacher,BA$4,m_date,($G$2+24),m_active,1,m_start,"&lt;"&amp;780,m_end,"&gt;"&amp;720))))))</f>
        <v/>
      </c>
      <c r="BB41" s="88" t="str">
        <f aca="false">IF(OR(BB$4="",MONTH(($G$2+24))&lt;&gt;MONTH($C$2)),"",IF(COUNTIFS(m_teacher,BB$4,m_date,($G$2+24),m_active,1,m_start,"&lt;"&amp;780,m_end,"&gt;"&amp;720)=0,"",IF(COUNTIFS(m_teacher,BB$4,m_date,($G$2+24),m_active,1,m_start,"&lt;"&amp;780,m_end,"&gt;"&amp;720)&gt;1,"충돌",HYPERLINK("#'관리자_MASTER'!D"&amp;_xlfn.MAXIFS(m_row,m_teacher,BB$4,m_date,($G$2+24),m_active,1,m_start,"&lt;"&amp;780,m_end,"&gt;"&amp;720),INDEX(m_label,_xlfn.MAXIFS(m_row,m_teacher,BB$4,m_date,($G$2+24),m_active,1,m_start,"&lt;"&amp;780,m_end,"&gt;"&amp;720))))))</f>
        <v/>
      </c>
      <c r="BC41" s="88" t="str">
        <f aca="false">IF(OR(BC$4="",MONTH(($G$2+24))&lt;&gt;MONTH($C$2)),"",IF(COUNTIFS(m_teacher,BC$4,m_date,($G$2+24),m_active,1,m_start,"&lt;"&amp;780,m_end,"&gt;"&amp;720)=0,"",IF(COUNTIFS(m_teacher,BC$4,m_date,($G$2+24),m_active,1,m_start,"&lt;"&amp;780,m_end,"&gt;"&amp;720)&gt;1,"충돌",HYPERLINK("#'관리자_MASTER'!D"&amp;_xlfn.MAXIFS(m_row,m_teacher,BC$4,m_date,($G$2+24),m_active,1,m_start,"&lt;"&amp;780,m_end,"&gt;"&amp;720),INDEX(m_label,_xlfn.MAXIFS(m_row,m_teacher,BC$4,m_date,($G$2+24),m_active,1,m_start,"&lt;"&amp;780,m_end,"&gt;"&amp;720))))))</f>
        <v/>
      </c>
      <c r="BD41" s="88" t="str">
        <f aca="false">IF(OR(BD$4="",MONTH(($G$2+24))&lt;&gt;MONTH($C$2)),"",IF(COUNTIFS(m_teacher,BD$4,m_date,($G$2+24),m_active,1,m_start,"&lt;"&amp;780,m_end,"&gt;"&amp;720)=0,"",IF(COUNTIFS(m_teacher,BD$4,m_date,($G$2+24),m_active,1,m_start,"&lt;"&amp;780,m_end,"&gt;"&amp;720)&gt;1,"충돌",HYPERLINK("#'관리자_MASTER'!D"&amp;_xlfn.MAXIFS(m_row,m_teacher,BD$4,m_date,($G$2+24),m_active,1,m_start,"&lt;"&amp;780,m_end,"&gt;"&amp;720),INDEX(m_label,_xlfn.MAXIFS(m_row,m_teacher,BD$4,m_date,($G$2+24),m_active,1,m_start,"&lt;"&amp;780,m_end,"&gt;"&amp;720))))))</f>
        <v/>
      </c>
      <c r="BE41" s="78"/>
      <c r="BF41" s="79" t="s">
        <v>94</v>
      </c>
      <c r="BG41" s="88" t="str">
        <f aca="false">IF(OR(BG$4="",MONTH(($G$2+31))&lt;&gt;MONTH($C$2)),"",IF(COUNTIFS(m_teacher,BG$4,m_date,($G$2+31),m_active,1,m_start,"&lt;"&amp;780,m_end,"&gt;"&amp;720)=0,"",IF(COUNTIFS(m_teacher,BG$4,m_date,($G$2+31),m_active,1,m_start,"&lt;"&amp;780,m_end,"&gt;"&amp;720)&gt;1,"충돌",HYPERLINK("#'관리자_MASTER'!D"&amp;_xlfn.MAXIFS(m_row,m_teacher,BG$4,m_date,($G$2+31),m_active,1,m_start,"&lt;"&amp;780,m_end,"&gt;"&amp;720),INDEX(m_label,_xlfn.MAXIFS(m_row,m_teacher,BG$4,m_date,($G$2+31),m_active,1,m_start,"&lt;"&amp;780,m_end,"&gt;"&amp;720))))))</f>
        <v/>
      </c>
      <c r="BH41" s="88" t="str">
        <f aca="false">IF(OR(BH$4="",MONTH(($G$2+31))&lt;&gt;MONTH($C$2)),"",IF(COUNTIFS(m_teacher,BH$4,m_date,($G$2+31),m_active,1,m_start,"&lt;"&amp;780,m_end,"&gt;"&amp;720)=0,"",IF(COUNTIFS(m_teacher,BH$4,m_date,($G$2+31),m_active,1,m_start,"&lt;"&amp;780,m_end,"&gt;"&amp;720)&gt;1,"충돌",HYPERLINK("#'관리자_MASTER'!D"&amp;_xlfn.MAXIFS(m_row,m_teacher,BH$4,m_date,($G$2+31),m_active,1,m_start,"&lt;"&amp;780,m_end,"&gt;"&amp;720),INDEX(m_label,_xlfn.MAXIFS(m_row,m_teacher,BH$4,m_date,($G$2+31),m_active,1,m_start,"&lt;"&amp;780,m_end,"&gt;"&amp;720))))))</f>
        <v/>
      </c>
      <c r="BI41" s="88" t="str">
        <f aca="false">IF(OR(BI$4="",MONTH(($G$2+31))&lt;&gt;MONTH($C$2)),"",IF(COUNTIFS(m_teacher,BI$4,m_date,($G$2+31),m_active,1,m_start,"&lt;"&amp;780,m_end,"&gt;"&amp;720)=0,"",IF(COUNTIFS(m_teacher,BI$4,m_date,($G$2+31),m_active,1,m_start,"&lt;"&amp;780,m_end,"&gt;"&amp;720)&gt;1,"충돌",HYPERLINK("#'관리자_MASTER'!D"&amp;_xlfn.MAXIFS(m_row,m_teacher,BI$4,m_date,($G$2+31),m_active,1,m_start,"&lt;"&amp;780,m_end,"&gt;"&amp;720),INDEX(m_label,_xlfn.MAXIFS(m_row,m_teacher,BI$4,m_date,($G$2+31),m_active,1,m_start,"&lt;"&amp;780,m_end,"&gt;"&amp;720))))))</f>
        <v/>
      </c>
      <c r="BJ41" s="88" t="str">
        <f aca="false">IF(OR(BJ$4="",MONTH(($G$2+31))&lt;&gt;MONTH($C$2)),"",IF(COUNTIFS(m_teacher,BJ$4,m_date,($G$2+31),m_active,1,m_start,"&lt;"&amp;780,m_end,"&gt;"&amp;720)=0,"",IF(COUNTIFS(m_teacher,BJ$4,m_date,($G$2+31),m_active,1,m_start,"&lt;"&amp;780,m_end,"&gt;"&amp;720)&gt;1,"충돌",HYPERLINK("#'관리자_MASTER'!D"&amp;_xlfn.MAXIFS(m_row,m_teacher,BJ$4,m_date,($G$2+31),m_active,1,m_start,"&lt;"&amp;780,m_end,"&gt;"&amp;720),INDEX(m_label,_xlfn.MAXIFS(m_row,m_teacher,BJ$4,m_date,($G$2+31),m_active,1,m_start,"&lt;"&amp;780,m_end,"&gt;"&amp;720))))))</f>
        <v/>
      </c>
      <c r="BK41" s="88" t="str">
        <f aca="false">IF(OR(BK$4="",MONTH(($G$2+31))&lt;&gt;MONTH($C$2)),"",IF(COUNTIFS(m_teacher,BK$4,m_date,($G$2+31),m_active,1,m_start,"&lt;"&amp;780,m_end,"&gt;"&amp;720)=0,"",IF(COUNTIFS(m_teacher,BK$4,m_date,($G$2+31),m_active,1,m_start,"&lt;"&amp;780,m_end,"&gt;"&amp;720)&gt;1,"충돌",HYPERLINK("#'관리자_MASTER'!D"&amp;_xlfn.MAXIFS(m_row,m_teacher,BK$4,m_date,($G$2+31),m_active,1,m_start,"&lt;"&amp;780,m_end,"&gt;"&amp;720),INDEX(m_label,_xlfn.MAXIFS(m_row,m_teacher,BK$4,m_date,($G$2+31),m_active,1,m_start,"&lt;"&amp;780,m_end,"&gt;"&amp;720))))))</f>
        <v/>
      </c>
      <c r="BL41" s="88" t="str">
        <f aca="false">IF(OR(BL$4="",MONTH(($G$2+31))&lt;&gt;MONTH($C$2)),"",IF(COUNTIFS(m_teacher,BL$4,m_date,($G$2+31),m_active,1,m_start,"&lt;"&amp;780,m_end,"&gt;"&amp;720)=0,"",IF(COUNTIFS(m_teacher,BL$4,m_date,($G$2+31),m_active,1,m_start,"&lt;"&amp;780,m_end,"&gt;"&amp;720)&gt;1,"충돌",HYPERLINK("#'관리자_MASTER'!D"&amp;_xlfn.MAXIFS(m_row,m_teacher,BL$4,m_date,($G$2+31),m_active,1,m_start,"&lt;"&amp;780,m_end,"&gt;"&amp;720),INDEX(m_label,_xlfn.MAXIFS(m_row,m_teacher,BL$4,m_date,($G$2+31),m_active,1,m_start,"&lt;"&amp;780,m_end,"&gt;"&amp;720))))))</f>
        <v/>
      </c>
      <c r="BM41" s="88" t="str">
        <f aca="false">IF(OR(BM$4="",MONTH(($G$2+31))&lt;&gt;MONTH($C$2)),"",IF(COUNTIFS(m_teacher,BM$4,m_date,($G$2+31),m_active,1,m_start,"&lt;"&amp;780,m_end,"&gt;"&amp;720)=0,"",IF(COUNTIFS(m_teacher,BM$4,m_date,($G$2+31),m_active,1,m_start,"&lt;"&amp;780,m_end,"&gt;"&amp;720)&gt;1,"충돌",HYPERLINK("#'관리자_MASTER'!D"&amp;_xlfn.MAXIFS(m_row,m_teacher,BM$4,m_date,($G$2+31),m_active,1,m_start,"&lt;"&amp;780,m_end,"&gt;"&amp;720),INDEX(m_label,_xlfn.MAXIFS(m_row,m_teacher,BM$4,m_date,($G$2+31),m_active,1,m_start,"&lt;"&amp;780,m_end,"&gt;"&amp;720))))))</f>
        <v/>
      </c>
      <c r="BN41" s="88" t="str">
        <f aca="false">IF(OR(BN$4="",MONTH(($G$2+31))&lt;&gt;MONTH($C$2)),"",IF(COUNTIFS(m_teacher,BN$4,m_date,($G$2+31),m_active,1,m_start,"&lt;"&amp;780,m_end,"&gt;"&amp;720)=0,"",IF(COUNTIFS(m_teacher,BN$4,m_date,($G$2+31),m_active,1,m_start,"&lt;"&amp;780,m_end,"&gt;"&amp;720)&gt;1,"충돌",HYPERLINK("#'관리자_MASTER'!D"&amp;_xlfn.MAXIFS(m_row,m_teacher,BN$4,m_date,($G$2+31),m_active,1,m_start,"&lt;"&amp;780,m_end,"&gt;"&amp;720),INDEX(m_label,_xlfn.MAXIFS(m_row,m_teacher,BN$4,m_date,($G$2+31),m_active,1,m_start,"&lt;"&amp;780,m_end,"&gt;"&amp;720))))))</f>
        <v/>
      </c>
      <c r="BO41" s="88" t="str">
        <f aca="false">IF(OR(BO$4="",MONTH(($G$2+31))&lt;&gt;MONTH($C$2)),"",IF(COUNTIFS(m_teacher,BO$4,m_date,($G$2+31),m_active,1,m_start,"&lt;"&amp;780,m_end,"&gt;"&amp;720)=0,"",IF(COUNTIFS(m_teacher,BO$4,m_date,($G$2+31),m_active,1,m_start,"&lt;"&amp;780,m_end,"&gt;"&amp;720)&gt;1,"충돌",HYPERLINK("#'관리자_MASTER'!D"&amp;_xlfn.MAXIFS(m_row,m_teacher,BO$4,m_date,($G$2+31),m_active,1,m_start,"&lt;"&amp;780,m_end,"&gt;"&amp;720),INDEX(m_label,_xlfn.MAXIFS(m_row,m_teacher,BO$4,m_date,($G$2+31),m_active,1,m_start,"&lt;"&amp;780,m_end,"&gt;"&amp;720))))))</f>
        <v/>
      </c>
      <c r="BP41" s="88" t="str">
        <f aca="false">IF(OR(BP$4="",MONTH(($G$2+31))&lt;&gt;MONTH($C$2)),"",IF(COUNTIFS(m_teacher,BP$4,m_date,($G$2+31),m_active,1,m_start,"&lt;"&amp;780,m_end,"&gt;"&amp;720)=0,"",IF(COUNTIFS(m_teacher,BP$4,m_date,($G$2+31),m_active,1,m_start,"&lt;"&amp;780,m_end,"&gt;"&amp;720)&gt;1,"충돌",HYPERLINK("#'관리자_MASTER'!D"&amp;_xlfn.MAXIFS(m_row,m_teacher,BP$4,m_date,($G$2+31),m_active,1,m_start,"&lt;"&amp;780,m_end,"&gt;"&amp;720),INDEX(m_label,_xlfn.MAXIFS(m_row,m_teacher,BP$4,m_date,($G$2+31),m_active,1,m_start,"&lt;"&amp;780,m_end,"&gt;"&amp;720))))))</f>
        <v/>
      </c>
      <c r="BQ41" s="88" t="str">
        <f aca="false">IF(OR(BQ$4="",MONTH(($G$2+31))&lt;&gt;MONTH($C$2)),"",IF(COUNTIFS(m_teacher,BQ$4,m_date,($G$2+31),m_active,1,m_start,"&lt;"&amp;780,m_end,"&gt;"&amp;720)=0,"",IF(COUNTIFS(m_teacher,BQ$4,m_date,($G$2+31),m_active,1,m_start,"&lt;"&amp;780,m_end,"&gt;"&amp;720)&gt;1,"충돌",HYPERLINK("#'관리자_MASTER'!D"&amp;_xlfn.MAXIFS(m_row,m_teacher,BQ$4,m_date,($G$2+31),m_active,1,m_start,"&lt;"&amp;780,m_end,"&gt;"&amp;720),INDEX(m_label,_xlfn.MAXIFS(m_row,m_teacher,BQ$4,m_date,($G$2+31),m_active,1,m_start,"&lt;"&amp;780,m_end,"&gt;"&amp;720))))))</f>
        <v/>
      </c>
      <c r="BR41" s="88" t="str">
        <f aca="false">IF(OR(BR$4="",MONTH(($G$2+31))&lt;&gt;MONTH($C$2)),"",IF(COUNTIFS(m_teacher,BR$4,m_date,($G$2+31),m_active,1,m_start,"&lt;"&amp;780,m_end,"&gt;"&amp;720)=0,"",IF(COUNTIFS(m_teacher,BR$4,m_date,($G$2+31),m_active,1,m_start,"&lt;"&amp;780,m_end,"&gt;"&amp;720)&gt;1,"충돌",HYPERLINK("#'관리자_MASTER'!D"&amp;_xlfn.MAXIFS(m_row,m_teacher,BR$4,m_date,($G$2+31),m_active,1,m_start,"&lt;"&amp;780,m_end,"&gt;"&amp;720),INDEX(m_label,_xlfn.MAXIFS(m_row,m_teacher,BR$4,m_date,($G$2+31),m_active,1,m_start,"&lt;"&amp;780,m_end,"&gt;"&amp;720))))))</f>
        <v/>
      </c>
    </row>
    <row r="42" customFormat="false" ht="19.5" hidden="false" customHeight="true" outlineLevel="0" collapsed="false">
      <c r="A42" s="75"/>
      <c r="B42" s="76" t="s">
        <v>95</v>
      </c>
      <c r="C42" s="81" t="str">
        <f aca="false">IF(OR(C$4="",MONTH(($G$2+3))&lt;&gt;MONTH($C$2)),"",IF(COUNTIFS(m_teacher,C$4,m_date,($G$2+3),m_active,1,m_start,"&lt;"&amp;840,m_end,"&gt;"&amp;780)=0,"",IF(COUNTIFS(m_teacher,C$4,m_date,($G$2+3),m_active,1,m_start,"&lt;"&amp;840,m_end,"&gt;"&amp;780)&gt;1,"충돌",HYPERLINK("#'관리자_MASTER'!D"&amp;_xlfn.MAXIFS(m_row,m_teacher,C$4,m_date,($G$2+3),m_active,1,m_start,"&lt;"&amp;840,m_end,"&gt;"&amp;780),INDEX(m_label,_xlfn.MAXIFS(m_row,m_teacher,C$4,m_date,($G$2+3),m_active,1,m_start,"&lt;"&amp;840,m_end,"&gt;"&amp;780))))))</f>
        <v/>
      </c>
      <c r="D42" s="81" t="str">
        <f aca="false">IF(OR(D$4="",MONTH(($G$2+3))&lt;&gt;MONTH($C$2)),"",IF(COUNTIFS(m_teacher,D$4,m_date,($G$2+3),m_active,1,m_start,"&lt;"&amp;840,m_end,"&gt;"&amp;780)=0,"",IF(COUNTIFS(m_teacher,D$4,m_date,($G$2+3),m_active,1,m_start,"&lt;"&amp;840,m_end,"&gt;"&amp;780)&gt;1,"충돌",HYPERLINK("#'관리자_MASTER'!D"&amp;_xlfn.MAXIFS(m_row,m_teacher,D$4,m_date,($G$2+3),m_active,1,m_start,"&lt;"&amp;840,m_end,"&gt;"&amp;780),INDEX(m_label,_xlfn.MAXIFS(m_row,m_teacher,D$4,m_date,($G$2+3),m_active,1,m_start,"&lt;"&amp;840,m_end,"&gt;"&amp;780))))))</f>
        <v/>
      </c>
      <c r="E42" s="81" t="str">
        <f aca="false">IF(OR(E$4="",MONTH(($G$2+3))&lt;&gt;MONTH($C$2)),"",IF(COUNTIFS(m_teacher,E$4,m_date,($G$2+3),m_active,1,m_start,"&lt;"&amp;840,m_end,"&gt;"&amp;780)=0,"",IF(COUNTIFS(m_teacher,E$4,m_date,($G$2+3),m_active,1,m_start,"&lt;"&amp;840,m_end,"&gt;"&amp;780)&gt;1,"충돌",HYPERLINK("#'관리자_MASTER'!D"&amp;_xlfn.MAXIFS(m_row,m_teacher,E$4,m_date,($G$2+3),m_active,1,m_start,"&lt;"&amp;840,m_end,"&gt;"&amp;780),INDEX(m_label,_xlfn.MAXIFS(m_row,m_teacher,E$4,m_date,($G$2+3),m_active,1,m_start,"&lt;"&amp;840,m_end,"&gt;"&amp;780))))))</f>
        <v/>
      </c>
      <c r="F42" s="81" t="str">
        <f aca="false">IF(OR(F$4="",MONTH(($G$2+3))&lt;&gt;MONTH($C$2)),"",IF(COUNTIFS(m_teacher,F$4,m_date,($G$2+3),m_active,1,m_start,"&lt;"&amp;840,m_end,"&gt;"&amp;780)=0,"",IF(COUNTIFS(m_teacher,F$4,m_date,($G$2+3),m_active,1,m_start,"&lt;"&amp;840,m_end,"&gt;"&amp;780)&gt;1,"충돌",HYPERLINK("#'관리자_MASTER'!D"&amp;_xlfn.MAXIFS(m_row,m_teacher,F$4,m_date,($G$2+3),m_active,1,m_start,"&lt;"&amp;840,m_end,"&gt;"&amp;780),INDEX(m_label,_xlfn.MAXIFS(m_row,m_teacher,F$4,m_date,($G$2+3),m_active,1,m_start,"&lt;"&amp;840,m_end,"&gt;"&amp;780))))))</f>
        <v/>
      </c>
      <c r="G42" s="81" t="str">
        <f aca="false">IF(OR(G$4="",MONTH(($G$2+3))&lt;&gt;MONTH($C$2)),"",IF(COUNTIFS(m_teacher,G$4,m_date,($G$2+3),m_active,1,m_start,"&lt;"&amp;840,m_end,"&gt;"&amp;780)=0,"",IF(COUNTIFS(m_teacher,G$4,m_date,($G$2+3),m_active,1,m_start,"&lt;"&amp;840,m_end,"&gt;"&amp;780)&gt;1,"충돌",HYPERLINK("#'관리자_MASTER'!D"&amp;_xlfn.MAXIFS(m_row,m_teacher,G$4,m_date,($G$2+3),m_active,1,m_start,"&lt;"&amp;840,m_end,"&gt;"&amp;780),INDEX(m_label,_xlfn.MAXIFS(m_row,m_teacher,G$4,m_date,($G$2+3),m_active,1,m_start,"&lt;"&amp;840,m_end,"&gt;"&amp;780))))))</f>
        <v/>
      </c>
      <c r="H42" s="81" t="str">
        <f aca="false">IF(OR(H$4="",MONTH(($G$2+3))&lt;&gt;MONTH($C$2)),"",IF(COUNTIFS(m_teacher,H$4,m_date,($G$2+3),m_active,1,m_start,"&lt;"&amp;840,m_end,"&gt;"&amp;780)=0,"",IF(COUNTIFS(m_teacher,H$4,m_date,($G$2+3),m_active,1,m_start,"&lt;"&amp;840,m_end,"&gt;"&amp;780)&gt;1,"충돌",HYPERLINK("#'관리자_MASTER'!D"&amp;_xlfn.MAXIFS(m_row,m_teacher,H$4,m_date,($G$2+3),m_active,1,m_start,"&lt;"&amp;840,m_end,"&gt;"&amp;780),INDEX(m_label,_xlfn.MAXIFS(m_row,m_teacher,H$4,m_date,($G$2+3),m_active,1,m_start,"&lt;"&amp;840,m_end,"&gt;"&amp;780))))))</f>
        <v/>
      </c>
      <c r="I42" s="81" t="str">
        <f aca="false">IF(OR(I$4="",MONTH(($G$2+3))&lt;&gt;MONTH($C$2)),"",IF(COUNTIFS(m_teacher,I$4,m_date,($G$2+3),m_active,1,m_start,"&lt;"&amp;840,m_end,"&gt;"&amp;780)=0,"",IF(COUNTIFS(m_teacher,I$4,m_date,($G$2+3),m_active,1,m_start,"&lt;"&amp;840,m_end,"&gt;"&amp;780)&gt;1,"충돌",HYPERLINK("#'관리자_MASTER'!D"&amp;_xlfn.MAXIFS(m_row,m_teacher,I$4,m_date,($G$2+3),m_active,1,m_start,"&lt;"&amp;840,m_end,"&gt;"&amp;780),INDEX(m_label,_xlfn.MAXIFS(m_row,m_teacher,I$4,m_date,($G$2+3),m_active,1,m_start,"&lt;"&amp;840,m_end,"&gt;"&amp;780))))))</f>
        <v/>
      </c>
      <c r="J42" s="81" t="str">
        <f aca="false">IF(OR(J$4="",MONTH(($G$2+3))&lt;&gt;MONTH($C$2)),"",IF(COUNTIFS(m_teacher,J$4,m_date,($G$2+3),m_active,1,m_start,"&lt;"&amp;840,m_end,"&gt;"&amp;780)=0,"",IF(COUNTIFS(m_teacher,J$4,m_date,($G$2+3),m_active,1,m_start,"&lt;"&amp;840,m_end,"&gt;"&amp;780)&gt;1,"충돌",HYPERLINK("#'관리자_MASTER'!D"&amp;_xlfn.MAXIFS(m_row,m_teacher,J$4,m_date,($G$2+3),m_active,1,m_start,"&lt;"&amp;840,m_end,"&gt;"&amp;780),INDEX(m_label,_xlfn.MAXIFS(m_row,m_teacher,J$4,m_date,($G$2+3),m_active,1,m_start,"&lt;"&amp;840,m_end,"&gt;"&amp;780))))))</f>
        <v/>
      </c>
      <c r="K42" s="81" t="str">
        <f aca="false">IF(OR(K$4="",MONTH(($G$2+3))&lt;&gt;MONTH($C$2)),"",IF(COUNTIFS(m_teacher,K$4,m_date,($G$2+3),m_active,1,m_start,"&lt;"&amp;840,m_end,"&gt;"&amp;780)=0,"",IF(COUNTIFS(m_teacher,K$4,m_date,($G$2+3),m_active,1,m_start,"&lt;"&amp;840,m_end,"&gt;"&amp;780)&gt;1,"충돌",HYPERLINK("#'관리자_MASTER'!D"&amp;_xlfn.MAXIFS(m_row,m_teacher,K$4,m_date,($G$2+3),m_active,1,m_start,"&lt;"&amp;840,m_end,"&gt;"&amp;780),INDEX(m_label,_xlfn.MAXIFS(m_row,m_teacher,K$4,m_date,($G$2+3),m_active,1,m_start,"&lt;"&amp;840,m_end,"&gt;"&amp;780))))))</f>
        <v/>
      </c>
      <c r="L42" s="81" t="str">
        <f aca="false">IF(OR(L$4="",MONTH(($G$2+3))&lt;&gt;MONTH($C$2)),"",IF(COUNTIFS(m_teacher,L$4,m_date,($G$2+3),m_active,1,m_start,"&lt;"&amp;840,m_end,"&gt;"&amp;780)=0,"",IF(COUNTIFS(m_teacher,L$4,m_date,($G$2+3),m_active,1,m_start,"&lt;"&amp;840,m_end,"&gt;"&amp;780)&gt;1,"충돌",HYPERLINK("#'관리자_MASTER'!D"&amp;_xlfn.MAXIFS(m_row,m_teacher,L$4,m_date,($G$2+3),m_active,1,m_start,"&lt;"&amp;840,m_end,"&gt;"&amp;780),INDEX(m_label,_xlfn.MAXIFS(m_row,m_teacher,L$4,m_date,($G$2+3),m_active,1,m_start,"&lt;"&amp;840,m_end,"&gt;"&amp;780))))))</f>
        <v/>
      </c>
      <c r="M42" s="81" t="str">
        <f aca="false">IF(OR(M$4="",MONTH(($G$2+3))&lt;&gt;MONTH($C$2)),"",IF(COUNTIFS(m_teacher,M$4,m_date,($G$2+3),m_active,1,m_start,"&lt;"&amp;840,m_end,"&gt;"&amp;780)=0,"",IF(COUNTIFS(m_teacher,M$4,m_date,($G$2+3),m_active,1,m_start,"&lt;"&amp;840,m_end,"&gt;"&amp;780)&gt;1,"충돌",HYPERLINK("#'관리자_MASTER'!D"&amp;_xlfn.MAXIFS(m_row,m_teacher,M$4,m_date,($G$2+3),m_active,1,m_start,"&lt;"&amp;840,m_end,"&gt;"&amp;780),INDEX(m_label,_xlfn.MAXIFS(m_row,m_teacher,M$4,m_date,($G$2+3),m_active,1,m_start,"&lt;"&amp;840,m_end,"&gt;"&amp;780))))))</f>
        <v/>
      </c>
      <c r="N42" s="81" t="str">
        <f aca="false">IF(OR(N$4="",MONTH(($G$2+3))&lt;&gt;MONTH($C$2)),"",IF(COUNTIFS(m_teacher,N$4,m_date,($G$2+3),m_active,1,m_start,"&lt;"&amp;840,m_end,"&gt;"&amp;780)=0,"",IF(COUNTIFS(m_teacher,N$4,m_date,($G$2+3),m_active,1,m_start,"&lt;"&amp;840,m_end,"&gt;"&amp;780)&gt;1,"충돌",HYPERLINK("#'관리자_MASTER'!D"&amp;_xlfn.MAXIFS(m_row,m_teacher,N$4,m_date,($G$2+3),m_active,1,m_start,"&lt;"&amp;840,m_end,"&gt;"&amp;780),INDEX(m_label,_xlfn.MAXIFS(m_row,m_teacher,N$4,m_date,($G$2+3),m_active,1,m_start,"&lt;"&amp;840,m_end,"&gt;"&amp;780))))))</f>
        <v/>
      </c>
      <c r="O42" s="78"/>
      <c r="P42" s="79" t="s">
        <v>95</v>
      </c>
      <c r="Q42" s="88" t="str">
        <f aca="false">IF(OR(Q$4="",MONTH(($G$2+10))&lt;&gt;MONTH($C$2)),"",IF(COUNTIFS(m_teacher,Q$4,m_date,($G$2+10),m_active,1,m_start,"&lt;"&amp;840,m_end,"&gt;"&amp;780)=0,"",IF(COUNTIFS(m_teacher,Q$4,m_date,($G$2+10),m_active,1,m_start,"&lt;"&amp;840,m_end,"&gt;"&amp;780)&gt;1,"충돌",HYPERLINK("#'관리자_MASTER'!D"&amp;_xlfn.MAXIFS(m_row,m_teacher,Q$4,m_date,($G$2+10),m_active,1,m_start,"&lt;"&amp;840,m_end,"&gt;"&amp;780),INDEX(m_label,_xlfn.MAXIFS(m_row,m_teacher,Q$4,m_date,($G$2+10),m_active,1,m_start,"&lt;"&amp;840,m_end,"&gt;"&amp;780))))))</f>
        <v/>
      </c>
      <c r="R42" s="88" t="str">
        <f aca="false">IF(OR(R$4="",MONTH(($G$2+10))&lt;&gt;MONTH($C$2)),"",IF(COUNTIFS(m_teacher,R$4,m_date,($G$2+10),m_active,1,m_start,"&lt;"&amp;840,m_end,"&gt;"&amp;780)=0,"",IF(COUNTIFS(m_teacher,R$4,m_date,($G$2+10),m_active,1,m_start,"&lt;"&amp;840,m_end,"&gt;"&amp;780)&gt;1,"충돌",HYPERLINK("#'관리자_MASTER'!D"&amp;_xlfn.MAXIFS(m_row,m_teacher,R$4,m_date,($G$2+10),m_active,1,m_start,"&lt;"&amp;840,m_end,"&gt;"&amp;780),INDEX(m_label,_xlfn.MAXIFS(m_row,m_teacher,R$4,m_date,($G$2+10),m_active,1,m_start,"&lt;"&amp;840,m_end,"&gt;"&amp;780))))))</f>
        <v/>
      </c>
      <c r="S42" s="88" t="str">
        <f aca="false">IF(OR(S$4="",MONTH(($G$2+10))&lt;&gt;MONTH($C$2)),"",IF(COUNTIFS(m_teacher,S$4,m_date,($G$2+10),m_active,1,m_start,"&lt;"&amp;840,m_end,"&gt;"&amp;780)=0,"",IF(COUNTIFS(m_teacher,S$4,m_date,($G$2+10),m_active,1,m_start,"&lt;"&amp;840,m_end,"&gt;"&amp;780)&gt;1,"충돌",HYPERLINK("#'관리자_MASTER'!D"&amp;_xlfn.MAXIFS(m_row,m_teacher,S$4,m_date,($G$2+10),m_active,1,m_start,"&lt;"&amp;840,m_end,"&gt;"&amp;780),INDEX(m_label,_xlfn.MAXIFS(m_row,m_teacher,S$4,m_date,($G$2+10),m_active,1,m_start,"&lt;"&amp;840,m_end,"&gt;"&amp;780))))))</f>
        <v/>
      </c>
      <c r="T42" s="88" t="str">
        <f aca="false">IF(OR(T$4="",MONTH(($G$2+10))&lt;&gt;MONTH($C$2)),"",IF(COUNTIFS(m_teacher,T$4,m_date,($G$2+10),m_active,1,m_start,"&lt;"&amp;840,m_end,"&gt;"&amp;780)=0,"",IF(COUNTIFS(m_teacher,T$4,m_date,($G$2+10),m_active,1,m_start,"&lt;"&amp;840,m_end,"&gt;"&amp;780)&gt;1,"충돌",HYPERLINK("#'관리자_MASTER'!D"&amp;_xlfn.MAXIFS(m_row,m_teacher,T$4,m_date,($G$2+10),m_active,1,m_start,"&lt;"&amp;840,m_end,"&gt;"&amp;780),INDEX(m_label,_xlfn.MAXIFS(m_row,m_teacher,T$4,m_date,($G$2+10),m_active,1,m_start,"&lt;"&amp;840,m_end,"&gt;"&amp;780))))))</f>
        <v/>
      </c>
      <c r="U42" s="88" t="str">
        <f aca="false">IF(OR(U$4="",MONTH(($G$2+10))&lt;&gt;MONTH($C$2)),"",IF(COUNTIFS(m_teacher,U$4,m_date,($G$2+10),m_active,1,m_start,"&lt;"&amp;840,m_end,"&gt;"&amp;780)=0,"",IF(COUNTIFS(m_teacher,U$4,m_date,($G$2+10),m_active,1,m_start,"&lt;"&amp;840,m_end,"&gt;"&amp;780)&gt;1,"충돌",HYPERLINK("#'관리자_MASTER'!D"&amp;_xlfn.MAXIFS(m_row,m_teacher,U$4,m_date,($G$2+10),m_active,1,m_start,"&lt;"&amp;840,m_end,"&gt;"&amp;780),INDEX(m_label,_xlfn.MAXIFS(m_row,m_teacher,U$4,m_date,($G$2+10),m_active,1,m_start,"&lt;"&amp;840,m_end,"&gt;"&amp;780))))))</f>
        <v/>
      </c>
      <c r="V42" s="88" t="str">
        <f aca="false">IF(OR(V$4="",MONTH(($G$2+10))&lt;&gt;MONTH($C$2)),"",IF(COUNTIFS(m_teacher,V$4,m_date,($G$2+10),m_active,1,m_start,"&lt;"&amp;840,m_end,"&gt;"&amp;780)=0,"",IF(COUNTIFS(m_teacher,V$4,m_date,($G$2+10),m_active,1,m_start,"&lt;"&amp;840,m_end,"&gt;"&amp;780)&gt;1,"충돌",HYPERLINK("#'관리자_MASTER'!D"&amp;_xlfn.MAXIFS(m_row,m_teacher,V$4,m_date,($G$2+10),m_active,1,m_start,"&lt;"&amp;840,m_end,"&gt;"&amp;780),INDEX(m_label,_xlfn.MAXIFS(m_row,m_teacher,V$4,m_date,($G$2+10),m_active,1,m_start,"&lt;"&amp;840,m_end,"&gt;"&amp;780))))))</f>
        <v/>
      </c>
      <c r="W42" s="88" t="str">
        <f aca="false">IF(OR(W$4="",MONTH(($G$2+10))&lt;&gt;MONTH($C$2)),"",IF(COUNTIFS(m_teacher,W$4,m_date,($G$2+10),m_active,1,m_start,"&lt;"&amp;840,m_end,"&gt;"&amp;780)=0,"",IF(COUNTIFS(m_teacher,W$4,m_date,($G$2+10),m_active,1,m_start,"&lt;"&amp;840,m_end,"&gt;"&amp;780)&gt;1,"충돌",HYPERLINK("#'관리자_MASTER'!D"&amp;_xlfn.MAXIFS(m_row,m_teacher,W$4,m_date,($G$2+10),m_active,1,m_start,"&lt;"&amp;840,m_end,"&gt;"&amp;780),INDEX(m_label,_xlfn.MAXIFS(m_row,m_teacher,W$4,m_date,($G$2+10),m_active,1,m_start,"&lt;"&amp;840,m_end,"&gt;"&amp;780))))))</f>
        <v/>
      </c>
      <c r="X42" s="88" t="str">
        <f aca="false">IF(OR(X$4="",MONTH(($G$2+10))&lt;&gt;MONTH($C$2)),"",IF(COUNTIFS(m_teacher,X$4,m_date,($G$2+10),m_active,1,m_start,"&lt;"&amp;840,m_end,"&gt;"&amp;780)=0,"",IF(COUNTIFS(m_teacher,X$4,m_date,($G$2+10),m_active,1,m_start,"&lt;"&amp;840,m_end,"&gt;"&amp;780)&gt;1,"충돌",HYPERLINK("#'관리자_MASTER'!D"&amp;_xlfn.MAXIFS(m_row,m_teacher,X$4,m_date,($G$2+10),m_active,1,m_start,"&lt;"&amp;840,m_end,"&gt;"&amp;780),INDEX(m_label,_xlfn.MAXIFS(m_row,m_teacher,X$4,m_date,($G$2+10),m_active,1,m_start,"&lt;"&amp;840,m_end,"&gt;"&amp;780))))))</f>
        <v/>
      </c>
      <c r="Y42" s="88" t="str">
        <f aca="false">IF(OR(Y$4="",MONTH(($G$2+10))&lt;&gt;MONTH($C$2)),"",IF(COUNTIFS(m_teacher,Y$4,m_date,($G$2+10),m_active,1,m_start,"&lt;"&amp;840,m_end,"&gt;"&amp;780)=0,"",IF(COUNTIFS(m_teacher,Y$4,m_date,($G$2+10),m_active,1,m_start,"&lt;"&amp;840,m_end,"&gt;"&amp;780)&gt;1,"충돌",HYPERLINK("#'관리자_MASTER'!D"&amp;_xlfn.MAXIFS(m_row,m_teacher,Y$4,m_date,($G$2+10),m_active,1,m_start,"&lt;"&amp;840,m_end,"&gt;"&amp;780),INDEX(m_label,_xlfn.MAXIFS(m_row,m_teacher,Y$4,m_date,($G$2+10),m_active,1,m_start,"&lt;"&amp;840,m_end,"&gt;"&amp;780))))))</f>
        <v/>
      </c>
      <c r="Z42" s="88" t="str">
        <f aca="false">IF(OR(Z$4="",MONTH(($G$2+10))&lt;&gt;MONTH($C$2)),"",IF(COUNTIFS(m_teacher,Z$4,m_date,($G$2+10),m_active,1,m_start,"&lt;"&amp;840,m_end,"&gt;"&amp;780)=0,"",IF(COUNTIFS(m_teacher,Z$4,m_date,($G$2+10),m_active,1,m_start,"&lt;"&amp;840,m_end,"&gt;"&amp;780)&gt;1,"충돌",HYPERLINK("#'관리자_MASTER'!D"&amp;_xlfn.MAXIFS(m_row,m_teacher,Z$4,m_date,($G$2+10),m_active,1,m_start,"&lt;"&amp;840,m_end,"&gt;"&amp;780),INDEX(m_label,_xlfn.MAXIFS(m_row,m_teacher,Z$4,m_date,($G$2+10),m_active,1,m_start,"&lt;"&amp;840,m_end,"&gt;"&amp;780))))))</f>
        <v/>
      </c>
      <c r="AA42" s="88" t="str">
        <f aca="false">IF(OR(AA$4="",MONTH(($G$2+10))&lt;&gt;MONTH($C$2)),"",IF(COUNTIFS(m_teacher,AA$4,m_date,($G$2+10),m_active,1,m_start,"&lt;"&amp;840,m_end,"&gt;"&amp;780)=0,"",IF(COUNTIFS(m_teacher,AA$4,m_date,($G$2+10),m_active,1,m_start,"&lt;"&amp;840,m_end,"&gt;"&amp;780)&gt;1,"충돌",HYPERLINK("#'관리자_MASTER'!D"&amp;_xlfn.MAXIFS(m_row,m_teacher,AA$4,m_date,($G$2+10),m_active,1,m_start,"&lt;"&amp;840,m_end,"&gt;"&amp;780),INDEX(m_label,_xlfn.MAXIFS(m_row,m_teacher,AA$4,m_date,($G$2+10),m_active,1,m_start,"&lt;"&amp;840,m_end,"&gt;"&amp;780))))))</f>
        <v/>
      </c>
      <c r="AB42" s="88" t="str">
        <f aca="false">IF(OR(AB$4="",MONTH(($G$2+10))&lt;&gt;MONTH($C$2)),"",IF(COUNTIFS(m_teacher,AB$4,m_date,($G$2+10),m_active,1,m_start,"&lt;"&amp;840,m_end,"&gt;"&amp;780)=0,"",IF(COUNTIFS(m_teacher,AB$4,m_date,($G$2+10),m_active,1,m_start,"&lt;"&amp;840,m_end,"&gt;"&amp;780)&gt;1,"충돌",HYPERLINK("#'관리자_MASTER'!D"&amp;_xlfn.MAXIFS(m_row,m_teacher,AB$4,m_date,($G$2+10),m_active,1,m_start,"&lt;"&amp;840,m_end,"&gt;"&amp;780),INDEX(m_label,_xlfn.MAXIFS(m_row,m_teacher,AB$4,m_date,($G$2+10),m_active,1,m_start,"&lt;"&amp;840,m_end,"&gt;"&amp;780))))))</f>
        <v/>
      </c>
      <c r="AC42" s="78"/>
      <c r="AD42" s="79" t="s">
        <v>95</v>
      </c>
      <c r="AE42" s="88" t="str">
        <f aca="false">IF(OR(AE$4="",MONTH(($G$2+17))&lt;&gt;MONTH($C$2)),"",IF(COUNTIFS(m_teacher,AE$4,m_date,($G$2+17),m_active,1,m_start,"&lt;"&amp;840,m_end,"&gt;"&amp;780)=0,"",IF(COUNTIFS(m_teacher,AE$4,m_date,($G$2+17),m_active,1,m_start,"&lt;"&amp;840,m_end,"&gt;"&amp;780)&gt;1,"충돌",HYPERLINK("#'관리자_MASTER'!D"&amp;_xlfn.MAXIFS(m_row,m_teacher,AE$4,m_date,($G$2+17),m_active,1,m_start,"&lt;"&amp;840,m_end,"&gt;"&amp;780),INDEX(m_label,_xlfn.MAXIFS(m_row,m_teacher,AE$4,m_date,($G$2+17),m_active,1,m_start,"&lt;"&amp;840,m_end,"&gt;"&amp;780))))))</f>
        <v/>
      </c>
      <c r="AF42" s="88" t="str">
        <f aca="false">IF(OR(AF$4="",MONTH(($G$2+17))&lt;&gt;MONTH($C$2)),"",IF(COUNTIFS(m_teacher,AF$4,m_date,($G$2+17),m_active,1,m_start,"&lt;"&amp;840,m_end,"&gt;"&amp;780)=0,"",IF(COUNTIFS(m_teacher,AF$4,m_date,($G$2+17),m_active,1,m_start,"&lt;"&amp;840,m_end,"&gt;"&amp;780)&gt;1,"충돌",HYPERLINK("#'관리자_MASTER'!D"&amp;_xlfn.MAXIFS(m_row,m_teacher,AF$4,m_date,($G$2+17),m_active,1,m_start,"&lt;"&amp;840,m_end,"&gt;"&amp;780),INDEX(m_label,_xlfn.MAXIFS(m_row,m_teacher,AF$4,m_date,($G$2+17),m_active,1,m_start,"&lt;"&amp;840,m_end,"&gt;"&amp;780))))))</f>
        <v/>
      </c>
      <c r="AG42" s="88" t="str">
        <f aca="false">IF(OR(AG$4="",MONTH(($G$2+17))&lt;&gt;MONTH($C$2)),"",IF(COUNTIFS(m_teacher,AG$4,m_date,($G$2+17),m_active,1,m_start,"&lt;"&amp;840,m_end,"&gt;"&amp;780)=0,"",IF(COUNTIFS(m_teacher,AG$4,m_date,($G$2+17),m_active,1,m_start,"&lt;"&amp;840,m_end,"&gt;"&amp;780)&gt;1,"충돌",HYPERLINK("#'관리자_MASTER'!D"&amp;_xlfn.MAXIFS(m_row,m_teacher,AG$4,m_date,($G$2+17),m_active,1,m_start,"&lt;"&amp;840,m_end,"&gt;"&amp;780),INDEX(m_label,_xlfn.MAXIFS(m_row,m_teacher,AG$4,m_date,($G$2+17),m_active,1,m_start,"&lt;"&amp;840,m_end,"&gt;"&amp;780))))))</f>
        <v/>
      </c>
      <c r="AH42" s="88" t="str">
        <f aca="false">IF(OR(AH$4="",MONTH(($G$2+17))&lt;&gt;MONTH($C$2)),"",IF(COUNTIFS(m_teacher,AH$4,m_date,($G$2+17),m_active,1,m_start,"&lt;"&amp;840,m_end,"&gt;"&amp;780)=0,"",IF(COUNTIFS(m_teacher,AH$4,m_date,($G$2+17),m_active,1,m_start,"&lt;"&amp;840,m_end,"&gt;"&amp;780)&gt;1,"충돌",HYPERLINK("#'관리자_MASTER'!D"&amp;_xlfn.MAXIFS(m_row,m_teacher,AH$4,m_date,($G$2+17),m_active,1,m_start,"&lt;"&amp;840,m_end,"&gt;"&amp;780),INDEX(m_label,_xlfn.MAXIFS(m_row,m_teacher,AH$4,m_date,($G$2+17),m_active,1,m_start,"&lt;"&amp;840,m_end,"&gt;"&amp;780))))))</f>
        <v/>
      </c>
      <c r="AI42" s="88" t="str">
        <f aca="false">IF(OR(AI$4="",MONTH(($G$2+17))&lt;&gt;MONTH($C$2)),"",IF(COUNTIFS(m_teacher,AI$4,m_date,($G$2+17),m_active,1,m_start,"&lt;"&amp;840,m_end,"&gt;"&amp;780)=0,"",IF(COUNTIFS(m_teacher,AI$4,m_date,($G$2+17),m_active,1,m_start,"&lt;"&amp;840,m_end,"&gt;"&amp;780)&gt;1,"충돌",HYPERLINK("#'관리자_MASTER'!D"&amp;_xlfn.MAXIFS(m_row,m_teacher,AI$4,m_date,($G$2+17),m_active,1,m_start,"&lt;"&amp;840,m_end,"&gt;"&amp;780),INDEX(m_label,_xlfn.MAXIFS(m_row,m_teacher,AI$4,m_date,($G$2+17),m_active,1,m_start,"&lt;"&amp;840,m_end,"&gt;"&amp;780))))))</f>
        <v/>
      </c>
      <c r="AJ42" s="88" t="str">
        <f aca="false">IF(OR(AJ$4="",MONTH(($G$2+17))&lt;&gt;MONTH($C$2)),"",IF(COUNTIFS(m_teacher,AJ$4,m_date,($G$2+17),m_active,1,m_start,"&lt;"&amp;840,m_end,"&gt;"&amp;780)=0,"",IF(COUNTIFS(m_teacher,AJ$4,m_date,($G$2+17),m_active,1,m_start,"&lt;"&amp;840,m_end,"&gt;"&amp;780)&gt;1,"충돌",HYPERLINK("#'관리자_MASTER'!D"&amp;_xlfn.MAXIFS(m_row,m_teacher,AJ$4,m_date,($G$2+17),m_active,1,m_start,"&lt;"&amp;840,m_end,"&gt;"&amp;780),INDEX(m_label,_xlfn.MAXIFS(m_row,m_teacher,AJ$4,m_date,($G$2+17),m_active,1,m_start,"&lt;"&amp;840,m_end,"&gt;"&amp;780))))))</f>
        <v/>
      </c>
      <c r="AK42" s="88" t="str">
        <f aca="false">IF(OR(AK$4="",MONTH(($G$2+17))&lt;&gt;MONTH($C$2)),"",IF(COUNTIFS(m_teacher,AK$4,m_date,($G$2+17),m_active,1,m_start,"&lt;"&amp;840,m_end,"&gt;"&amp;780)=0,"",IF(COUNTIFS(m_teacher,AK$4,m_date,($G$2+17),m_active,1,m_start,"&lt;"&amp;840,m_end,"&gt;"&amp;780)&gt;1,"충돌",HYPERLINK("#'관리자_MASTER'!D"&amp;_xlfn.MAXIFS(m_row,m_teacher,AK$4,m_date,($G$2+17),m_active,1,m_start,"&lt;"&amp;840,m_end,"&gt;"&amp;780),INDEX(m_label,_xlfn.MAXIFS(m_row,m_teacher,AK$4,m_date,($G$2+17),m_active,1,m_start,"&lt;"&amp;840,m_end,"&gt;"&amp;780))))))</f>
        <v/>
      </c>
      <c r="AL42" s="88" t="str">
        <f aca="false">IF(OR(AL$4="",MONTH(($G$2+17))&lt;&gt;MONTH($C$2)),"",IF(COUNTIFS(m_teacher,AL$4,m_date,($G$2+17),m_active,1,m_start,"&lt;"&amp;840,m_end,"&gt;"&amp;780)=0,"",IF(COUNTIFS(m_teacher,AL$4,m_date,($G$2+17),m_active,1,m_start,"&lt;"&amp;840,m_end,"&gt;"&amp;780)&gt;1,"충돌",HYPERLINK("#'관리자_MASTER'!D"&amp;_xlfn.MAXIFS(m_row,m_teacher,AL$4,m_date,($G$2+17),m_active,1,m_start,"&lt;"&amp;840,m_end,"&gt;"&amp;780),INDEX(m_label,_xlfn.MAXIFS(m_row,m_teacher,AL$4,m_date,($G$2+17),m_active,1,m_start,"&lt;"&amp;840,m_end,"&gt;"&amp;780))))))</f>
        <v/>
      </c>
      <c r="AM42" s="88" t="str">
        <f aca="false">IF(OR(AM$4="",MONTH(($G$2+17))&lt;&gt;MONTH($C$2)),"",IF(COUNTIFS(m_teacher,AM$4,m_date,($G$2+17),m_active,1,m_start,"&lt;"&amp;840,m_end,"&gt;"&amp;780)=0,"",IF(COUNTIFS(m_teacher,AM$4,m_date,($G$2+17),m_active,1,m_start,"&lt;"&amp;840,m_end,"&gt;"&amp;780)&gt;1,"충돌",HYPERLINK("#'관리자_MASTER'!D"&amp;_xlfn.MAXIFS(m_row,m_teacher,AM$4,m_date,($G$2+17),m_active,1,m_start,"&lt;"&amp;840,m_end,"&gt;"&amp;780),INDEX(m_label,_xlfn.MAXIFS(m_row,m_teacher,AM$4,m_date,($G$2+17),m_active,1,m_start,"&lt;"&amp;840,m_end,"&gt;"&amp;780))))))</f>
        <v/>
      </c>
      <c r="AN42" s="88" t="str">
        <f aca="false">IF(OR(AN$4="",MONTH(($G$2+17))&lt;&gt;MONTH($C$2)),"",IF(COUNTIFS(m_teacher,AN$4,m_date,($G$2+17),m_active,1,m_start,"&lt;"&amp;840,m_end,"&gt;"&amp;780)=0,"",IF(COUNTIFS(m_teacher,AN$4,m_date,($G$2+17),m_active,1,m_start,"&lt;"&amp;840,m_end,"&gt;"&amp;780)&gt;1,"충돌",HYPERLINK("#'관리자_MASTER'!D"&amp;_xlfn.MAXIFS(m_row,m_teacher,AN$4,m_date,($G$2+17),m_active,1,m_start,"&lt;"&amp;840,m_end,"&gt;"&amp;780),INDEX(m_label,_xlfn.MAXIFS(m_row,m_teacher,AN$4,m_date,($G$2+17),m_active,1,m_start,"&lt;"&amp;840,m_end,"&gt;"&amp;780))))))</f>
        <v/>
      </c>
      <c r="AO42" s="88" t="str">
        <f aca="false">IF(OR(AO$4="",MONTH(($G$2+17))&lt;&gt;MONTH($C$2)),"",IF(COUNTIFS(m_teacher,AO$4,m_date,($G$2+17),m_active,1,m_start,"&lt;"&amp;840,m_end,"&gt;"&amp;780)=0,"",IF(COUNTIFS(m_teacher,AO$4,m_date,($G$2+17),m_active,1,m_start,"&lt;"&amp;840,m_end,"&gt;"&amp;780)&gt;1,"충돌",HYPERLINK("#'관리자_MASTER'!D"&amp;_xlfn.MAXIFS(m_row,m_teacher,AO$4,m_date,($G$2+17),m_active,1,m_start,"&lt;"&amp;840,m_end,"&gt;"&amp;780),INDEX(m_label,_xlfn.MAXIFS(m_row,m_teacher,AO$4,m_date,($G$2+17),m_active,1,m_start,"&lt;"&amp;840,m_end,"&gt;"&amp;780))))))</f>
        <v/>
      </c>
      <c r="AP42" s="88" t="str">
        <f aca="false">IF(OR(AP$4="",MONTH(($G$2+17))&lt;&gt;MONTH($C$2)),"",IF(COUNTIFS(m_teacher,AP$4,m_date,($G$2+17),m_active,1,m_start,"&lt;"&amp;840,m_end,"&gt;"&amp;780)=0,"",IF(COUNTIFS(m_teacher,AP$4,m_date,($G$2+17),m_active,1,m_start,"&lt;"&amp;840,m_end,"&gt;"&amp;780)&gt;1,"충돌",HYPERLINK("#'관리자_MASTER'!D"&amp;_xlfn.MAXIFS(m_row,m_teacher,AP$4,m_date,($G$2+17),m_active,1,m_start,"&lt;"&amp;840,m_end,"&gt;"&amp;780),INDEX(m_label,_xlfn.MAXIFS(m_row,m_teacher,AP$4,m_date,($G$2+17),m_active,1,m_start,"&lt;"&amp;840,m_end,"&gt;"&amp;780))))))</f>
        <v/>
      </c>
      <c r="AQ42" s="78"/>
      <c r="AR42" s="79" t="s">
        <v>95</v>
      </c>
      <c r="AS42" s="88" t="str">
        <f aca="false">IF(OR(AS$4="",MONTH(($G$2+24))&lt;&gt;MONTH($C$2)),"",IF(COUNTIFS(m_teacher,AS$4,m_date,($G$2+24),m_active,1,m_start,"&lt;"&amp;840,m_end,"&gt;"&amp;780)=0,"",IF(COUNTIFS(m_teacher,AS$4,m_date,($G$2+24),m_active,1,m_start,"&lt;"&amp;840,m_end,"&gt;"&amp;780)&gt;1,"충돌",HYPERLINK("#'관리자_MASTER'!D"&amp;_xlfn.MAXIFS(m_row,m_teacher,AS$4,m_date,($G$2+24),m_active,1,m_start,"&lt;"&amp;840,m_end,"&gt;"&amp;780),INDEX(m_label,_xlfn.MAXIFS(m_row,m_teacher,AS$4,m_date,($G$2+24),m_active,1,m_start,"&lt;"&amp;840,m_end,"&gt;"&amp;780))))))</f>
        <v/>
      </c>
      <c r="AT42" s="88" t="str">
        <f aca="false">IF(OR(AT$4="",MONTH(($G$2+24))&lt;&gt;MONTH($C$2)),"",IF(COUNTIFS(m_teacher,AT$4,m_date,($G$2+24),m_active,1,m_start,"&lt;"&amp;840,m_end,"&gt;"&amp;780)=0,"",IF(COUNTIFS(m_teacher,AT$4,m_date,($G$2+24),m_active,1,m_start,"&lt;"&amp;840,m_end,"&gt;"&amp;780)&gt;1,"충돌",HYPERLINK("#'관리자_MASTER'!D"&amp;_xlfn.MAXIFS(m_row,m_teacher,AT$4,m_date,($G$2+24),m_active,1,m_start,"&lt;"&amp;840,m_end,"&gt;"&amp;780),INDEX(m_label,_xlfn.MAXIFS(m_row,m_teacher,AT$4,m_date,($G$2+24),m_active,1,m_start,"&lt;"&amp;840,m_end,"&gt;"&amp;780))))))</f>
        <v/>
      </c>
      <c r="AU42" s="88" t="str">
        <f aca="false">IF(OR(AU$4="",MONTH(($G$2+24))&lt;&gt;MONTH($C$2)),"",IF(COUNTIFS(m_teacher,AU$4,m_date,($G$2+24),m_active,1,m_start,"&lt;"&amp;840,m_end,"&gt;"&amp;780)=0,"",IF(COUNTIFS(m_teacher,AU$4,m_date,($G$2+24),m_active,1,m_start,"&lt;"&amp;840,m_end,"&gt;"&amp;780)&gt;1,"충돌",HYPERLINK("#'관리자_MASTER'!D"&amp;_xlfn.MAXIFS(m_row,m_teacher,AU$4,m_date,($G$2+24),m_active,1,m_start,"&lt;"&amp;840,m_end,"&gt;"&amp;780),INDEX(m_label,_xlfn.MAXIFS(m_row,m_teacher,AU$4,m_date,($G$2+24),m_active,1,m_start,"&lt;"&amp;840,m_end,"&gt;"&amp;780))))))</f>
        <v/>
      </c>
      <c r="AV42" s="88" t="str">
        <f aca="false">IF(OR(AV$4="",MONTH(($G$2+24))&lt;&gt;MONTH($C$2)),"",IF(COUNTIFS(m_teacher,AV$4,m_date,($G$2+24),m_active,1,m_start,"&lt;"&amp;840,m_end,"&gt;"&amp;780)=0,"",IF(COUNTIFS(m_teacher,AV$4,m_date,($G$2+24),m_active,1,m_start,"&lt;"&amp;840,m_end,"&gt;"&amp;780)&gt;1,"충돌",HYPERLINK("#'관리자_MASTER'!D"&amp;_xlfn.MAXIFS(m_row,m_teacher,AV$4,m_date,($G$2+24),m_active,1,m_start,"&lt;"&amp;840,m_end,"&gt;"&amp;780),INDEX(m_label,_xlfn.MAXIFS(m_row,m_teacher,AV$4,m_date,($G$2+24),m_active,1,m_start,"&lt;"&amp;840,m_end,"&gt;"&amp;780))))))</f>
        <v/>
      </c>
      <c r="AW42" s="88" t="str">
        <f aca="false">IF(OR(AW$4="",MONTH(($G$2+24))&lt;&gt;MONTH($C$2)),"",IF(COUNTIFS(m_teacher,AW$4,m_date,($G$2+24),m_active,1,m_start,"&lt;"&amp;840,m_end,"&gt;"&amp;780)=0,"",IF(COUNTIFS(m_teacher,AW$4,m_date,($G$2+24),m_active,1,m_start,"&lt;"&amp;840,m_end,"&gt;"&amp;780)&gt;1,"충돌",HYPERLINK("#'관리자_MASTER'!D"&amp;_xlfn.MAXIFS(m_row,m_teacher,AW$4,m_date,($G$2+24),m_active,1,m_start,"&lt;"&amp;840,m_end,"&gt;"&amp;780),INDEX(m_label,_xlfn.MAXIFS(m_row,m_teacher,AW$4,m_date,($G$2+24),m_active,1,m_start,"&lt;"&amp;840,m_end,"&gt;"&amp;780))))))</f>
        <v/>
      </c>
      <c r="AX42" s="88" t="str">
        <f aca="false">IF(OR(AX$4="",MONTH(($G$2+24))&lt;&gt;MONTH($C$2)),"",IF(COUNTIFS(m_teacher,AX$4,m_date,($G$2+24),m_active,1,m_start,"&lt;"&amp;840,m_end,"&gt;"&amp;780)=0,"",IF(COUNTIFS(m_teacher,AX$4,m_date,($G$2+24),m_active,1,m_start,"&lt;"&amp;840,m_end,"&gt;"&amp;780)&gt;1,"충돌",HYPERLINK("#'관리자_MASTER'!D"&amp;_xlfn.MAXIFS(m_row,m_teacher,AX$4,m_date,($G$2+24),m_active,1,m_start,"&lt;"&amp;840,m_end,"&gt;"&amp;780),INDEX(m_label,_xlfn.MAXIFS(m_row,m_teacher,AX$4,m_date,($G$2+24),m_active,1,m_start,"&lt;"&amp;840,m_end,"&gt;"&amp;780))))))</f>
        <v/>
      </c>
      <c r="AY42" s="88" t="str">
        <f aca="false">IF(OR(AY$4="",MONTH(($G$2+24))&lt;&gt;MONTH($C$2)),"",IF(COUNTIFS(m_teacher,AY$4,m_date,($G$2+24),m_active,1,m_start,"&lt;"&amp;840,m_end,"&gt;"&amp;780)=0,"",IF(COUNTIFS(m_teacher,AY$4,m_date,($G$2+24),m_active,1,m_start,"&lt;"&amp;840,m_end,"&gt;"&amp;780)&gt;1,"충돌",HYPERLINK("#'관리자_MASTER'!D"&amp;_xlfn.MAXIFS(m_row,m_teacher,AY$4,m_date,($G$2+24),m_active,1,m_start,"&lt;"&amp;840,m_end,"&gt;"&amp;780),INDEX(m_label,_xlfn.MAXIFS(m_row,m_teacher,AY$4,m_date,($G$2+24),m_active,1,m_start,"&lt;"&amp;840,m_end,"&gt;"&amp;780))))))</f>
        <v/>
      </c>
      <c r="AZ42" s="88" t="str">
        <f aca="false">IF(OR(AZ$4="",MONTH(($G$2+24))&lt;&gt;MONTH($C$2)),"",IF(COUNTIFS(m_teacher,AZ$4,m_date,($G$2+24),m_active,1,m_start,"&lt;"&amp;840,m_end,"&gt;"&amp;780)=0,"",IF(COUNTIFS(m_teacher,AZ$4,m_date,($G$2+24),m_active,1,m_start,"&lt;"&amp;840,m_end,"&gt;"&amp;780)&gt;1,"충돌",HYPERLINK("#'관리자_MASTER'!D"&amp;_xlfn.MAXIFS(m_row,m_teacher,AZ$4,m_date,($G$2+24),m_active,1,m_start,"&lt;"&amp;840,m_end,"&gt;"&amp;780),INDEX(m_label,_xlfn.MAXIFS(m_row,m_teacher,AZ$4,m_date,($G$2+24),m_active,1,m_start,"&lt;"&amp;840,m_end,"&gt;"&amp;780))))))</f>
        <v/>
      </c>
      <c r="BA42" s="88" t="str">
        <f aca="false">IF(OR(BA$4="",MONTH(($G$2+24))&lt;&gt;MONTH($C$2)),"",IF(COUNTIFS(m_teacher,BA$4,m_date,($G$2+24),m_active,1,m_start,"&lt;"&amp;840,m_end,"&gt;"&amp;780)=0,"",IF(COUNTIFS(m_teacher,BA$4,m_date,($G$2+24),m_active,1,m_start,"&lt;"&amp;840,m_end,"&gt;"&amp;780)&gt;1,"충돌",HYPERLINK("#'관리자_MASTER'!D"&amp;_xlfn.MAXIFS(m_row,m_teacher,BA$4,m_date,($G$2+24),m_active,1,m_start,"&lt;"&amp;840,m_end,"&gt;"&amp;780),INDEX(m_label,_xlfn.MAXIFS(m_row,m_teacher,BA$4,m_date,($G$2+24),m_active,1,m_start,"&lt;"&amp;840,m_end,"&gt;"&amp;780))))))</f>
        <v/>
      </c>
      <c r="BB42" s="88" t="str">
        <f aca="false">IF(OR(BB$4="",MONTH(($G$2+24))&lt;&gt;MONTH($C$2)),"",IF(COUNTIFS(m_teacher,BB$4,m_date,($G$2+24),m_active,1,m_start,"&lt;"&amp;840,m_end,"&gt;"&amp;780)=0,"",IF(COUNTIFS(m_teacher,BB$4,m_date,($G$2+24),m_active,1,m_start,"&lt;"&amp;840,m_end,"&gt;"&amp;780)&gt;1,"충돌",HYPERLINK("#'관리자_MASTER'!D"&amp;_xlfn.MAXIFS(m_row,m_teacher,BB$4,m_date,($G$2+24),m_active,1,m_start,"&lt;"&amp;840,m_end,"&gt;"&amp;780),INDEX(m_label,_xlfn.MAXIFS(m_row,m_teacher,BB$4,m_date,($G$2+24),m_active,1,m_start,"&lt;"&amp;840,m_end,"&gt;"&amp;780))))))</f>
        <v/>
      </c>
      <c r="BC42" s="88" t="str">
        <f aca="false">IF(OR(BC$4="",MONTH(($G$2+24))&lt;&gt;MONTH($C$2)),"",IF(COUNTIFS(m_teacher,BC$4,m_date,($G$2+24),m_active,1,m_start,"&lt;"&amp;840,m_end,"&gt;"&amp;780)=0,"",IF(COUNTIFS(m_teacher,BC$4,m_date,($G$2+24),m_active,1,m_start,"&lt;"&amp;840,m_end,"&gt;"&amp;780)&gt;1,"충돌",HYPERLINK("#'관리자_MASTER'!D"&amp;_xlfn.MAXIFS(m_row,m_teacher,BC$4,m_date,($G$2+24),m_active,1,m_start,"&lt;"&amp;840,m_end,"&gt;"&amp;780),INDEX(m_label,_xlfn.MAXIFS(m_row,m_teacher,BC$4,m_date,($G$2+24),m_active,1,m_start,"&lt;"&amp;840,m_end,"&gt;"&amp;780))))))</f>
        <v/>
      </c>
      <c r="BD42" s="88" t="str">
        <f aca="false">IF(OR(BD$4="",MONTH(($G$2+24))&lt;&gt;MONTH($C$2)),"",IF(COUNTIFS(m_teacher,BD$4,m_date,($G$2+24),m_active,1,m_start,"&lt;"&amp;840,m_end,"&gt;"&amp;780)=0,"",IF(COUNTIFS(m_teacher,BD$4,m_date,($G$2+24),m_active,1,m_start,"&lt;"&amp;840,m_end,"&gt;"&amp;780)&gt;1,"충돌",HYPERLINK("#'관리자_MASTER'!D"&amp;_xlfn.MAXIFS(m_row,m_teacher,BD$4,m_date,($G$2+24),m_active,1,m_start,"&lt;"&amp;840,m_end,"&gt;"&amp;780),INDEX(m_label,_xlfn.MAXIFS(m_row,m_teacher,BD$4,m_date,($G$2+24),m_active,1,m_start,"&lt;"&amp;840,m_end,"&gt;"&amp;780))))))</f>
        <v/>
      </c>
      <c r="BE42" s="78"/>
      <c r="BF42" s="79" t="s">
        <v>95</v>
      </c>
      <c r="BG42" s="88" t="str">
        <f aca="false">IF(OR(BG$4="",MONTH(($G$2+31))&lt;&gt;MONTH($C$2)),"",IF(COUNTIFS(m_teacher,BG$4,m_date,($G$2+31),m_active,1,m_start,"&lt;"&amp;840,m_end,"&gt;"&amp;780)=0,"",IF(COUNTIFS(m_teacher,BG$4,m_date,($G$2+31),m_active,1,m_start,"&lt;"&amp;840,m_end,"&gt;"&amp;780)&gt;1,"충돌",HYPERLINK("#'관리자_MASTER'!D"&amp;_xlfn.MAXIFS(m_row,m_teacher,BG$4,m_date,($G$2+31),m_active,1,m_start,"&lt;"&amp;840,m_end,"&gt;"&amp;780),INDEX(m_label,_xlfn.MAXIFS(m_row,m_teacher,BG$4,m_date,($G$2+31),m_active,1,m_start,"&lt;"&amp;840,m_end,"&gt;"&amp;780))))))</f>
        <v/>
      </c>
      <c r="BH42" s="88" t="str">
        <f aca="false">IF(OR(BH$4="",MONTH(($G$2+31))&lt;&gt;MONTH($C$2)),"",IF(COUNTIFS(m_teacher,BH$4,m_date,($G$2+31),m_active,1,m_start,"&lt;"&amp;840,m_end,"&gt;"&amp;780)=0,"",IF(COUNTIFS(m_teacher,BH$4,m_date,($G$2+31),m_active,1,m_start,"&lt;"&amp;840,m_end,"&gt;"&amp;780)&gt;1,"충돌",HYPERLINK("#'관리자_MASTER'!D"&amp;_xlfn.MAXIFS(m_row,m_teacher,BH$4,m_date,($G$2+31),m_active,1,m_start,"&lt;"&amp;840,m_end,"&gt;"&amp;780),INDEX(m_label,_xlfn.MAXIFS(m_row,m_teacher,BH$4,m_date,($G$2+31),m_active,1,m_start,"&lt;"&amp;840,m_end,"&gt;"&amp;780))))))</f>
        <v/>
      </c>
      <c r="BI42" s="88" t="str">
        <f aca="false">IF(OR(BI$4="",MONTH(($G$2+31))&lt;&gt;MONTH($C$2)),"",IF(COUNTIFS(m_teacher,BI$4,m_date,($G$2+31),m_active,1,m_start,"&lt;"&amp;840,m_end,"&gt;"&amp;780)=0,"",IF(COUNTIFS(m_teacher,BI$4,m_date,($G$2+31),m_active,1,m_start,"&lt;"&amp;840,m_end,"&gt;"&amp;780)&gt;1,"충돌",HYPERLINK("#'관리자_MASTER'!D"&amp;_xlfn.MAXIFS(m_row,m_teacher,BI$4,m_date,($G$2+31),m_active,1,m_start,"&lt;"&amp;840,m_end,"&gt;"&amp;780),INDEX(m_label,_xlfn.MAXIFS(m_row,m_teacher,BI$4,m_date,($G$2+31),m_active,1,m_start,"&lt;"&amp;840,m_end,"&gt;"&amp;780))))))</f>
        <v/>
      </c>
      <c r="BJ42" s="88" t="str">
        <f aca="false">IF(OR(BJ$4="",MONTH(($G$2+31))&lt;&gt;MONTH($C$2)),"",IF(COUNTIFS(m_teacher,BJ$4,m_date,($G$2+31),m_active,1,m_start,"&lt;"&amp;840,m_end,"&gt;"&amp;780)=0,"",IF(COUNTIFS(m_teacher,BJ$4,m_date,($G$2+31),m_active,1,m_start,"&lt;"&amp;840,m_end,"&gt;"&amp;780)&gt;1,"충돌",HYPERLINK("#'관리자_MASTER'!D"&amp;_xlfn.MAXIFS(m_row,m_teacher,BJ$4,m_date,($G$2+31),m_active,1,m_start,"&lt;"&amp;840,m_end,"&gt;"&amp;780),INDEX(m_label,_xlfn.MAXIFS(m_row,m_teacher,BJ$4,m_date,($G$2+31),m_active,1,m_start,"&lt;"&amp;840,m_end,"&gt;"&amp;780))))))</f>
        <v/>
      </c>
      <c r="BK42" s="88" t="str">
        <f aca="false">IF(OR(BK$4="",MONTH(($G$2+31))&lt;&gt;MONTH($C$2)),"",IF(COUNTIFS(m_teacher,BK$4,m_date,($G$2+31),m_active,1,m_start,"&lt;"&amp;840,m_end,"&gt;"&amp;780)=0,"",IF(COUNTIFS(m_teacher,BK$4,m_date,($G$2+31),m_active,1,m_start,"&lt;"&amp;840,m_end,"&gt;"&amp;780)&gt;1,"충돌",HYPERLINK("#'관리자_MASTER'!D"&amp;_xlfn.MAXIFS(m_row,m_teacher,BK$4,m_date,($G$2+31),m_active,1,m_start,"&lt;"&amp;840,m_end,"&gt;"&amp;780),INDEX(m_label,_xlfn.MAXIFS(m_row,m_teacher,BK$4,m_date,($G$2+31),m_active,1,m_start,"&lt;"&amp;840,m_end,"&gt;"&amp;780))))))</f>
        <v/>
      </c>
      <c r="BL42" s="88" t="str">
        <f aca="false">IF(OR(BL$4="",MONTH(($G$2+31))&lt;&gt;MONTH($C$2)),"",IF(COUNTIFS(m_teacher,BL$4,m_date,($G$2+31),m_active,1,m_start,"&lt;"&amp;840,m_end,"&gt;"&amp;780)=0,"",IF(COUNTIFS(m_teacher,BL$4,m_date,($G$2+31),m_active,1,m_start,"&lt;"&amp;840,m_end,"&gt;"&amp;780)&gt;1,"충돌",HYPERLINK("#'관리자_MASTER'!D"&amp;_xlfn.MAXIFS(m_row,m_teacher,BL$4,m_date,($G$2+31),m_active,1,m_start,"&lt;"&amp;840,m_end,"&gt;"&amp;780),INDEX(m_label,_xlfn.MAXIFS(m_row,m_teacher,BL$4,m_date,($G$2+31),m_active,1,m_start,"&lt;"&amp;840,m_end,"&gt;"&amp;780))))))</f>
        <v/>
      </c>
      <c r="BM42" s="88" t="str">
        <f aca="false">IF(OR(BM$4="",MONTH(($G$2+31))&lt;&gt;MONTH($C$2)),"",IF(COUNTIFS(m_teacher,BM$4,m_date,($G$2+31),m_active,1,m_start,"&lt;"&amp;840,m_end,"&gt;"&amp;780)=0,"",IF(COUNTIFS(m_teacher,BM$4,m_date,($G$2+31),m_active,1,m_start,"&lt;"&amp;840,m_end,"&gt;"&amp;780)&gt;1,"충돌",HYPERLINK("#'관리자_MASTER'!D"&amp;_xlfn.MAXIFS(m_row,m_teacher,BM$4,m_date,($G$2+31),m_active,1,m_start,"&lt;"&amp;840,m_end,"&gt;"&amp;780),INDEX(m_label,_xlfn.MAXIFS(m_row,m_teacher,BM$4,m_date,($G$2+31),m_active,1,m_start,"&lt;"&amp;840,m_end,"&gt;"&amp;780))))))</f>
        <v/>
      </c>
      <c r="BN42" s="88" t="str">
        <f aca="false">IF(OR(BN$4="",MONTH(($G$2+31))&lt;&gt;MONTH($C$2)),"",IF(COUNTIFS(m_teacher,BN$4,m_date,($G$2+31),m_active,1,m_start,"&lt;"&amp;840,m_end,"&gt;"&amp;780)=0,"",IF(COUNTIFS(m_teacher,BN$4,m_date,($G$2+31),m_active,1,m_start,"&lt;"&amp;840,m_end,"&gt;"&amp;780)&gt;1,"충돌",HYPERLINK("#'관리자_MASTER'!D"&amp;_xlfn.MAXIFS(m_row,m_teacher,BN$4,m_date,($G$2+31),m_active,1,m_start,"&lt;"&amp;840,m_end,"&gt;"&amp;780),INDEX(m_label,_xlfn.MAXIFS(m_row,m_teacher,BN$4,m_date,($G$2+31),m_active,1,m_start,"&lt;"&amp;840,m_end,"&gt;"&amp;780))))))</f>
        <v/>
      </c>
      <c r="BO42" s="88" t="str">
        <f aca="false">IF(OR(BO$4="",MONTH(($G$2+31))&lt;&gt;MONTH($C$2)),"",IF(COUNTIFS(m_teacher,BO$4,m_date,($G$2+31),m_active,1,m_start,"&lt;"&amp;840,m_end,"&gt;"&amp;780)=0,"",IF(COUNTIFS(m_teacher,BO$4,m_date,($G$2+31),m_active,1,m_start,"&lt;"&amp;840,m_end,"&gt;"&amp;780)&gt;1,"충돌",HYPERLINK("#'관리자_MASTER'!D"&amp;_xlfn.MAXIFS(m_row,m_teacher,BO$4,m_date,($G$2+31),m_active,1,m_start,"&lt;"&amp;840,m_end,"&gt;"&amp;780),INDEX(m_label,_xlfn.MAXIFS(m_row,m_teacher,BO$4,m_date,($G$2+31),m_active,1,m_start,"&lt;"&amp;840,m_end,"&gt;"&amp;780))))))</f>
        <v/>
      </c>
      <c r="BP42" s="88" t="str">
        <f aca="false">IF(OR(BP$4="",MONTH(($G$2+31))&lt;&gt;MONTH($C$2)),"",IF(COUNTIFS(m_teacher,BP$4,m_date,($G$2+31),m_active,1,m_start,"&lt;"&amp;840,m_end,"&gt;"&amp;780)=0,"",IF(COUNTIFS(m_teacher,BP$4,m_date,($G$2+31),m_active,1,m_start,"&lt;"&amp;840,m_end,"&gt;"&amp;780)&gt;1,"충돌",HYPERLINK("#'관리자_MASTER'!D"&amp;_xlfn.MAXIFS(m_row,m_teacher,BP$4,m_date,($G$2+31),m_active,1,m_start,"&lt;"&amp;840,m_end,"&gt;"&amp;780),INDEX(m_label,_xlfn.MAXIFS(m_row,m_teacher,BP$4,m_date,($G$2+31),m_active,1,m_start,"&lt;"&amp;840,m_end,"&gt;"&amp;780))))))</f>
        <v/>
      </c>
      <c r="BQ42" s="88" t="str">
        <f aca="false">IF(OR(BQ$4="",MONTH(($G$2+31))&lt;&gt;MONTH($C$2)),"",IF(COUNTIFS(m_teacher,BQ$4,m_date,($G$2+31),m_active,1,m_start,"&lt;"&amp;840,m_end,"&gt;"&amp;780)=0,"",IF(COUNTIFS(m_teacher,BQ$4,m_date,($G$2+31),m_active,1,m_start,"&lt;"&amp;840,m_end,"&gt;"&amp;780)&gt;1,"충돌",HYPERLINK("#'관리자_MASTER'!D"&amp;_xlfn.MAXIFS(m_row,m_teacher,BQ$4,m_date,($G$2+31),m_active,1,m_start,"&lt;"&amp;840,m_end,"&gt;"&amp;780),INDEX(m_label,_xlfn.MAXIFS(m_row,m_teacher,BQ$4,m_date,($G$2+31),m_active,1,m_start,"&lt;"&amp;840,m_end,"&gt;"&amp;780))))))</f>
        <v/>
      </c>
      <c r="BR42" s="88" t="str">
        <f aca="false">IF(OR(BR$4="",MONTH(($G$2+31))&lt;&gt;MONTH($C$2)),"",IF(COUNTIFS(m_teacher,BR$4,m_date,($G$2+31),m_active,1,m_start,"&lt;"&amp;840,m_end,"&gt;"&amp;780)=0,"",IF(COUNTIFS(m_teacher,BR$4,m_date,($G$2+31),m_active,1,m_start,"&lt;"&amp;840,m_end,"&gt;"&amp;780)&gt;1,"충돌",HYPERLINK("#'관리자_MASTER'!D"&amp;_xlfn.MAXIFS(m_row,m_teacher,BR$4,m_date,($G$2+31),m_active,1,m_start,"&lt;"&amp;840,m_end,"&gt;"&amp;780),INDEX(m_label,_xlfn.MAXIFS(m_row,m_teacher,BR$4,m_date,($G$2+31),m_active,1,m_start,"&lt;"&amp;840,m_end,"&gt;"&amp;780))))))</f>
        <v/>
      </c>
    </row>
    <row r="43" customFormat="false" ht="19.5" hidden="false" customHeight="true" outlineLevel="0" collapsed="false">
      <c r="A43" s="75"/>
      <c r="B43" s="76" t="s">
        <v>96</v>
      </c>
      <c r="C43" s="81" t="str">
        <f aca="false">IF(OR(C$4="",MONTH(($G$2+3))&lt;&gt;MONTH($C$2)),"",IF(COUNTIFS(m_teacher,C$4,m_date,($G$2+3),m_active,1,m_start,"&lt;"&amp;900,m_end,"&gt;"&amp;840)=0,"",IF(COUNTIFS(m_teacher,C$4,m_date,($G$2+3),m_active,1,m_start,"&lt;"&amp;900,m_end,"&gt;"&amp;840)&gt;1,"충돌",HYPERLINK("#'관리자_MASTER'!D"&amp;_xlfn.MAXIFS(m_row,m_teacher,C$4,m_date,($G$2+3),m_active,1,m_start,"&lt;"&amp;900,m_end,"&gt;"&amp;840),INDEX(m_label,_xlfn.MAXIFS(m_row,m_teacher,C$4,m_date,($G$2+3),m_active,1,m_start,"&lt;"&amp;900,m_end,"&gt;"&amp;840))))))</f>
        <v/>
      </c>
      <c r="D43" s="81" t="str">
        <f aca="false">IF(OR(D$4="",MONTH(($G$2+3))&lt;&gt;MONTH($C$2)),"",IF(COUNTIFS(m_teacher,D$4,m_date,($G$2+3),m_active,1,m_start,"&lt;"&amp;900,m_end,"&gt;"&amp;840)=0,"",IF(COUNTIFS(m_teacher,D$4,m_date,($G$2+3),m_active,1,m_start,"&lt;"&amp;900,m_end,"&gt;"&amp;840)&gt;1,"충돌",HYPERLINK("#'관리자_MASTER'!D"&amp;_xlfn.MAXIFS(m_row,m_teacher,D$4,m_date,($G$2+3),m_active,1,m_start,"&lt;"&amp;900,m_end,"&gt;"&amp;840),INDEX(m_label,_xlfn.MAXIFS(m_row,m_teacher,D$4,m_date,($G$2+3),m_active,1,m_start,"&lt;"&amp;900,m_end,"&gt;"&amp;840))))))</f>
        <v/>
      </c>
      <c r="E43" s="81" t="str">
        <f aca="false">IF(OR(E$4="",MONTH(($G$2+3))&lt;&gt;MONTH($C$2)),"",IF(COUNTIFS(m_teacher,E$4,m_date,($G$2+3),m_active,1,m_start,"&lt;"&amp;900,m_end,"&gt;"&amp;840)=0,"",IF(COUNTIFS(m_teacher,E$4,m_date,($G$2+3),m_active,1,m_start,"&lt;"&amp;900,m_end,"&gt;"&amp;840)&gt;1,"충돌",HYPERLINK("#'관리자_MASTER'!D"&amp;_xlfn.MAXIFS(m_row,m_teacher,E$4,m_date,($G$2+3),m_active,1,m_start,"&lt;"&amp;900,m_end,"&gt;"&amp;840),INDEX(m_label,_xlfn.MAXIFS(m_row,m_teacher,E$4,m_date,($G$2+3),m_active,1,m_start,"&lt;"&amp;900,m_end,"&gt;"&amp;840))))))</f>
        <v/>
      </c>
      <c r="F43" s="81" t="str">
        <f aca="false">IF(OR(F$4="",MONTH(($G$2+3))&lt;&gt;MONTH($C$2)),"",IF(COUNTIFS(m_teacher,F$4,m_date,($G$2+3),m_active,1,m_start,"&lt;"&amp;900,m_end,"&gt;"&amp;840)=0,"",IF(COUNTIFS(m_teacher,F$4,m_date,($G$2+3),m_active,1,m_start,"&lt;"&amp;900,m_end,"&gt;"&amp;840)&gt;1,"충돌",HYPERLINK("#'관리자_MASTER'!D"&amp;_xlfn.MAXIFS(m_row,m_teacher,F$4,m_date,($G$2+3),m_active,1,m_start,"&lt;"&amp;900,m_end,"&gt;"&amp;840),INDEX(m_label,_xlfn.MAXIFS(m_row,m_teacher,F$4,m_date,($G$2+3),m_active,1,m_start,"&lt;"&amp;900,m_end,"&gt;"&amp;840))))))</f>
        <v/>
      </c>
      <c r="G43" s="81" t="str">
        <f aca="false">IF(OR(G$4="",MONTH(($G$2+3))&lt;&gt;MONTH($C$2)),"",IF(COUNTIFS(m_teacher,G$4,m_date,($G$2+3),m_active,1,m_start,"&lt;"&amp;900,m_end,"&gt;"&amp;840)=0,"",IF(COUNTIFS(m_teacher,G$4,m_date,($G$2+3),m_active,1,m_start,"&lt;"&amp;900,m_end,"&gt;"&amp;840)&gt;1,"충돌",HYPERLINK("#'관리자_MASTER'!D"&amp;_xlfn.MAXIFS(m_row,m_teacher,G$4,m_date,($G$2+3),m_active,1,m_start,"&lt;"&amp;900,m_end,"&gt;"&amp;840),INDEX(m_label,_xlfn.MAXIFS(m_row,m_teacher,G$4,m_date,($G$2+3),m_active,1,m_start,"&lt;"&amp;900,m_end,"&gt;"&amp;840))))))</f>
        <v/>
      </c>
      <c r="H43" s="81" t="str">
        <f aca="false">IF(OR(H$4="",MONTH(($G$2+3))&lt;&gt;MONTH($C$2)),"",IF(COUNTIFS(m_teacher,H$4,m_date,($G$2+3),m_active,1,m_start,"&lt;"&amp;900,m_end,"&gt;"&amp;840)=0,"",IF(COUNTIFS(m_teacher,H$4,m_date,($G$2+3),m_active,1,m_start,"&lt;"&amp;900,m_end,"&gt;"&amp;840)&gt;1,"충돌",HYPERLINK("#'관리자_MASTER'!D"&amp;_xlfn.MAXIFS(m_row,m_teacher,H$4,m_date,($G$2+3),m_active,1,m_start,"&lt;"&amp;900,m_end,"&gt;"&amp;840),INDEX(m_label,_xlfn.MAXIFS(m_row,m_teacher,H$4,m_date,($G$2+3),m_active,1,m_start,"&lt;"&amp;900,m_end,"&gt;"&amp;840))))))</f>
        <v/>
      </c>
      <c r="I43" s="81" t="str">
        <f aca="false">IF(OR(I$4="",MONTH(($G$2+3))&lt;&gt;MONTH($C$2)),"",IF(COUNTIFS(m_teacher,I$4,m_date,($G$2+3),m_active,1,m_start,"&lt;"&amp;900,m_end,"&gt;"&amp;840)=0,"",IF(COUNTIFS(m_teacher,I$4,m_date,($G$2+3),m_active,1,m_start,"&lt;"&amp;900,m_end,"&gt;"&amp;840)&gt;1,"충돌",HYPERLINK("#'관리자_MASTER'!D"&amp;_xlfn.MAXIFS(m_row,m_teacher,I$4,m_date,($G$2+3),m_active,1,m_start,"&lt;"&amp;900,m_end,"&gt;"&amp;840),INDEX(m_label,_xlfn.MAXIFS(m_row,m_teacher,I$4,m_date,($G$2+3),m_active,1,m_start,"&lt;"&amp;900,m_end,"&gt;"&amp;840))))))</f>
        <v/>
      </c>
      <c r="J43" s="81" t="str">
        <f aca="false">IF(OR(J$4="",MONTH(($G$2+3))&lt;&gt;MONTH($C$2)),"",IF(COUNTIFS(m_teacher,J$4,m_date,($G$2+3),m_active,1,m_start,"&lt;"&amp;900,m_end,"&gt;"&amp;840)=0,"",IF(COUNTIFS(m_teacher,J$4,m_date,($G$2+3),m_active,1,m_start,"&lt;"&amp;900,m_end,"&gt;"&amp;840)&gt;1,"충돌",HYPERLINK("#'관리자_MASTER'!D"&amp;_xlfn.MAXIFS(m_row,m_teacher,J$4,m_date,($G$2+3),m_active,1,m_start,"&lt;"&amp;900,m_end,"&gt;"&amp;840),INDEX(m_label,_xlfn.MAXIFS(m_row,m_teacher,J$4,m_date,($G$2+3),m_active,1,m_start,"&lt;"&amp;900,m_end,"&gt;"&amp;840))))))</f>
        <v/>
      </c>
      <c r="K43" s="81" t="str">
        <f aca="false">IF(OR(K$4="",MONTH(($G$2+3))&lt;&gt;MONTH($C$2)),"",IF(COUNTIFS(m_teacher,K$4,m_date,($G$2+3),m_active,1,m_start,"&lt;"&amp;900,m_end,"&gt;"&amp;840)=0,"",IF(COUNTIFS(m_teacher,K$4,m_date,($G$2+3),m_active,1,m_start,"&lt;"&amp;900,m_end,"&gt;"&amp;840)&gt;1,"충돌",HYPERLINK("#'관리자_MASTER'!D"&amp;_xlfn.MAXIFS(m_row,m_teacher,K$4,m_date,($G$2+3),m_active,1,m_start,"&lt;"&amp;900,m_end,"&gt;"&amp;840),INDEX(m_label,_xlfn.MAXIFS(m_row,m_teacher,K$4,m_date,($G$2+3),m_active,1,m_start,"&lt;"&amp;900,m_end,"&gt;"&amp;840))))))</f>
        <v/>
      </c>
      <c r="L43" s="81" t="str">
        <f aca="false">IF(OR(L$4="",MONTH(($G$2+3))&lt;&gt;MONTH($C$2)),"",IF(COUNTIFS(m_teacher,L$4,m_date,($G$2+3),m_active,1,m_start,"&lt;"&amp;900,m_end,"&gt;"&amp;840)=0,"",IF(COUNTIFS(m_teacher,L$4,m_date,($G$2+3),m_active,1,m_start,"&lt;"&amp;900,m_end,"&gt;"&amp;840)&gt;1,"충돌",HYPERLINK("#'관리자_MASTER'!D"&amp;_xlfn.MAXIFS(m_row,m_teacher,L$4,m_date,($G$2+3),m_active,1,m_start,"&lt;"&amp;900,m_end,"&gt;"&amp;840),INDEX(m_label,_xlfn.MAXIFS(m_row,m_teacher,L$4,m_date,($G$2+3),m_active,1,m_start,"&lt;"&amp;900,m_end,"&gt;"&amp;840))))))</f>
        <v/>
      </c>
      <c r="M43" s="81" t="str">
        <f aca="false">IF(OR(M$4="",MONTH(($G$2+3))&lt;&gt;MONTH($C$2)),"",IF(COUNTIFS(m_teacher,M$4,m_date,($G$2+3),m_active,1,m_start,"&lt;"&amp;900,m_end,"&gt;"&amp;840)=0,"",IF(COUNTIFS(m_teacher,M$4,m_date,($G$2+3),m_active,1,m_start,"&lt;"&amp;900,m_end,"&gt;"&amp;840)&gt;1,"충돌",HYPERLINK("#'관리자_MASTER'!D"&amp;_xlfn.MAXIFS(m_row,m_teacher,M$4,m_date,($G$2+3),m_active,1,m_start,"&lt;"&amp;900,m_end,"&gt;"&amp;840),INDEX(m_label,_xlfn.MAXIFS(m_row,m_teacher,M$4,m_date,($G$2+3),m_active,1,m_start,"&lt;"&amp;900,m_end,"&gt;"&amp;840))))))</f>
        <v/>
      </c>
      <c r="N43" s="81" t="str">
        <f aca="false">IF(OR(N$4="",MONTH(($G$2+3))&lt;&gt;MONTH($C$2)),"",IF(COUNTIFS(m_teacher,N$4,m_date,($G$2+3),m_active,1,m_start,"&lt;"&amp;900,m_end,"&gt;"&amp;840)=0,"",IF(COUNTIFS(m_teacher,N$4,m_date,($G$2+3),m_active,1,m_start,"&lt;"&amp;900,m_end,"&gt;"&amp;840)&gt;1,"충돌",HYPERLINK("#'관리자_MASTER'!D"&amp;_xlfn.MAXIFS(m_row,m_teacher,N$4,m_date,($G$2+3),m_active,1,m_start,"&lt;"&amp;900,m_end,"&gt;"&amp;840),INDEX(m_label,_xlfn.MAXIFS(m_row,m_teacher,N$4,m_date,($G$2+3),m_active,1,m_start,"&lt;"&amp;900,m_end,"&gt;"&amp;840))))))</f>
        <v/>
      </c>
      <c r="O43" s="78"/>
      <c r="P43" s="79" t="s">
        <v>96</v>
      </c>
      <c r="Q43" s="88" t="str">
        <f aca="false">IF(OR(Q$4="",MONTH(($G$2+10))&lt;&gt;MONTH($C$2)),"",IF(COUNTIFS(m_teacher,Q$4,m_date,($G$2+10),m_active,1,m_start,"&lt;"&amp;900,m_end,"&gt;"&amp;840)=0,"",IF(COUNTIFS(m_teacher,Q$4,m_date,($G$2+10),m_active,1,m_start,"&lt;"&amp;900,m_end,"&gt;"&amp;840)&gt;1,"충돌",HYPERLINK("#'관리자_MASTER'!D"&amp;_xlfn.MAXIFS(m_row,m_teacher,Q$4,m_date,($G$2+10),m_active,1,m_start,"&lt;"&amp;900,m_end,"&gt;"&amp;840),INDEX(m_label,_xlfn.MAXIFS(m_row,m_teacher,Q$4,m_date,($G$2+10),m_active,1,m_start,"&lt;"&amp;900,m_end,"&gt;"&amp;840))))))</f>
        <v/>
      </c>
      <c r="R43" s="88" t="str">
        <f aca="false">IF(OR(R$4="",MONTH(($G$2+10))&lt;&gt;MONTH($C$2)),"",IF(COUNTIFS(m_teacher,R$4,m_date,($G$2+10),m_active,1,m_start,"&lt;"&amp;900,m_end,"&gt;"&amp;840)=0,"",IF(COUNTIFS(m_teacher,R$4,m_date,($G$2+10),m_active,1,m_start,"&lt;"&amp;900,m_end,"&gt;"&amp;840)&gt;1,"충돌",HYPERLINK("#'관리자_MASTER'!D"&amp;_xlfn.MAXIFS(m_row,m_teacher,R$4,m_date,($G$2+10),m_active,1,m_start,"&lt;"&amp;900,m_end,"&gt;"&amp;840),INDEX(m_label,_xlfn.MAXIFS(m_row,m_teacher,R$4,m_date,($G$2+10),m_active,1,m_start,"&lt;"&amp;900,m_end,"&gt;"&amp;840))))))</f>
        <v/>
      </c>
      <c r="S43" s="88" t="str">
        <f aca="false">IF(OR(S$4="",MONTH(($G$2+10))&lt;&gt;MONTH($C$2)),"",IF(COUNTIFS(m_teacher,S$4,m_date,($G$2+10),m_active,1,m_start,"&lt;"&amp;900,m_end,"&gt;"&amp;840)=0,"",IF(COUNTIFS(m_teacher,S$4,m_date,($G$2+10),m_active,1,m_start,"&lt;"&amp;900,m_end,"&gt;"&amp;840)&gt;1,"충돌",HYPERLINK("#'관리자_MASTER'!D"&amp;_xlfn.MAXIFS(m_row,m_teacher,S$4,m_date,($G$2+10),m_active,1,m_start,"&lt;"&amp;900,m_end,"&gt;"&amp;840),INDEX(m_label,_xlfn.MAXIFS(m_row,m_teacher,S$4,m_date,($G$2+10),m_active,1,m_start,"&lt;"&amp;900,m_end,"&gt;"&amp;840))))))</f>
        <v/>
      </c>
      <c r="T43" s="88" t="str">
        <f aca="false">IF(OR(T$4="",MONTH(($G$2+10))&lt;&gt;MONTH($C$2)),"",IF(COUNTIFS(m_teacher,T$4,m_date,($G$2+10),m_active,1,m_start,"&lt;"&amp;900,m_end,"&gt;"&amp;840)=0,"",IF(COUNTIFS(m_teacher,T$4,m_date,($G$2+10),m_active,1,m_start,"&lt;"&amp;900,m_end,"&gt;"&amp;840)&gt;1,"충돌",HYPERLINK("#'관리자_MASTER'!D"&amp;_xlfn.MAXIFS(m_row,m_teacher,T$4,m_date,($G$2+10),m_active,1,m_start,"&lt;"&amp;900,m_end,"&gt;"&amp;840),INDEX(m_label,_xlfn.MAXIFS(m_row,m_teacher,T$4,m_date,($G$2+10),m_active,1,m_start,"&lt;"&amp;900,m_end,"&gt;"&amp;840))))))</f>
        <v/>
      </c>
      <c r="U43" s="88" t="str">
        <f aca="false">IF(OR(U$4="",MONTH(($G$2+10))&lt;&gt;MONTH($C$2)),"",IF(COUNTIFS(m_teacher,U$4,m_date,($G$2+10),m_active,1,m_start,"&lt;"&amp;900,m_end,"&gt;"&amp;840)=0,"",IF(COUNTIFS(m_teacher,U$4,m_date,($G$2+10),m_active,1,m_start,"&lt;"&amp;900,m_end,"&gt;"&amp;840)&gt;1,"충돌",HYPERLINK("#'관리자_MASTER'!D"&amp;_xlfn.MAXIFS(m_row,m_teacher,U$4,m_date,($G$2+10),m_active,1,m_start,"&lt;"&amp;900,m_end,"&gt;"&amp;840),INDEX(m_label,_xlfn.MAXIFS(m_row,m_teacher,U$4,m_date,($G$2+10),m_active,1,m_start,"&lt;"&amp;900,m_end,"&gt;"&amp;840))))))</f>
        <v/>
      </c>
      <c r="V43" s="88" t="str">
        <f aca="false">IF(OR(V$4="",MONTH(($G$2+10))&lt;&gt;MONTH($C$2)),"",IF(COUNTIFS(m_teacher,V$4,m_date,($G$2+10),m_active,1,m_start,"&lt;"&amp;900,m_end,"&gt;"&amp;840)=0,"",IF(COUNTIFS(m_teacher,V$4,m_date,($G$2+10),m_active,1,m_start,"&lt;"&amp;900,m_end,"&gt;"&amp;840)&gt;1,"충돌",HYPERLINK("#'관리자_MASTER'!D"&amp;_xlfn.MAXIFS(m_row,m_teacher,V$4,m_date,($G$2+10),m_active,1,m_start,"&lt;"&amp;900,m_end,"&gt;"&amp;840),INDEX(m_label,_xlfn.MAXIFS(m_row,m_teacher,V$4,m_date,($G$2+10),m_active,1,m_start,"&lt;"&amp;900,m_end,"&gt;"&amp;840))))))</f>
        <v/>
      </c>
      <c r="W43" s="88" t="str">
        <f aca="false">IF(OR(W$4="",MONTH(($G$2+10))&lt;&gt;MONTH($C$2)),"",IF(COUNTIFS(m_teacher,W$4,m_date,($G$2+10),m_active,1,m_start,"&lt;"&amp;900,m_end,"&gt;"&amp;840)=0,"",IF(COUNTIFS(m_teacher,W$4,m_date,($G$2+10),m_active,1,m_start,"&lt;"&amp;900,m_end,"&gt;"&amp;840)&gt;1,"충돌",HYPERLINK("#'관리자_MASTER'!D"&amp;_xlfn.MAXIFS(m_row,m_teacher,W$4,m_date,($G$2+10),m_active,1,m_start,"&lt;"&amp;900,m_end,"&gt;"&amp;840),INDEX(m_label,_xlfn.MAXIFS(m_row,m_teacher,W$4,m_date,($G$2+10),m_active,1,m_start,"&lt;"&amp;900,m_end,"&gt;"&amp;840))))))</f>
        <v/>
      </c>
      <c r="X43" s="88" t="str">
        <f aca="false">IF(OR(X$4="",MONTH(($G$2+10))&lt;&gt;MONTH($C$2)),"",IF(COUNTIFS(m_teacher,X$4,m_date,($G$2+10),m_active,1,m_start,"&lt;"&amp;900,m_end,"&gt;"&amp;840)=0,"",IF(COUNTIFS(m_teacher,X$4,m_date,($G$2+10),m_active,1,m_start,"&lt;"&amp;900,m_end,"&gt;"&amp;840)&gt;1,"충돌",HYPERLINK("#'관리자_MASTER'!D"&amp;_xlfn.MAXIFS(m_row,m_teacher,X$4,m_date,($G$2+10),m_active,1,m_start,"&lt;"&amp;900,m_end,"&gt;"&amp;840),INDEX(m_label,_xlfn.MAXIFS(m_row,m_teacher,X$4,m_date,($G$2+10),m_active,1,m_start,"&lt;"&amp;900,m_end,"&gt;"&amp;840))))))</f>
        <v/>
      </c>
      <c r="Y43" s="88" t="str">
        <f aca="false">IF(OR(Y$4="",MONTH(($G$2+10))&lt;&gt;MONTH($C$2)),"",IF(COUNTIFS(m_teacher,Y$4,m_date,($G$2+10),m_active,1,m_start,"&lt;"&amp;900,m_end,"&gt;"&amp;840)=0,"",IF(COUNTIFS(m_teacher,Y$4,m_date,($G$2+10),m_active,1,m_start,"&lt;"&amp;900,m_end,"&gt;"&amp;840)&gt;1,"충돌",HYPERLINK("#'관리자_MASTER'!D"&amp;_xlfn.MAXIFS(m_row,m_teacher,Y$4,m_date,($G$2+10),m_active,1,m_start,"&lt;"&amp;900,m_end,"&gt;"&amp;840),INDEX(m_label,_xlfn.MAXIFS(m_row,m_teacher,Y$4,m_date,($G$2+10),m_active,1,m_start,"&lt;"&amp;900,m_end,"&gt;"&amp;840))))))</f>
        <v/>
      </c>
      <c r="Z43" s="88" t="str">
        <f aca="false">IF(OR(Z$4="",MONTH(($G$2+10))&lt;&gt;MONTH($C$2)),"",IF(COUNTIFS(m_teacher,Z$4,m_date,($G$2+10),m_active,1,m_start,"&lt;"&amp;900,m_end,"&gt;"&amp;840)=0,"",IF(COUNTIFS(m_teacher,Z$4,m_date,($G$2+10),m_active,1,m_start,"&lt;"&amp;900,m_end,"&gt;"&amp;840)&gt;1,"충돌",HYPERLINK("#'관리자_MASTER'!D"&amp;_xlfn.MAXIFS(m_row,m_teacher,Z$4,m_date,($G$2+10),m_active,1,m_start,"&lt;"&amp;900,m_end,"&gt;"&amp;840),INDEX(m_label,_xlfn.MAXIFS(m_row,m_teacher,Z$4,m_date,($G$2+10),m_active,1,m_start,"&lt;"&amp;900,m_end,"&gt;"&amp;840))))))</f>
        <v/>
      </c>
      <c r="AA43" s="88" t="str">
        <f aca="false">IF(OR(AA$4="",MONTH(($G$2+10))&lt;&gt;MONTH($C$2)),"",IF(COUNTIFS(m_teacher,AA$4,m_date,($G$2+10),m_active,1,m_start,"&lt;"&amp;900,m_end,"&gt;"&amp;840)=0,"",IF(COUNTIFS(m_teacher,AA$4,m_date,($G$2+10),m_active,1,m_start,"&lt;"&amp;900,m_end,"&gt;"&amp;840)&gt;1,"충돌",HYPERLINK("#'관리자_MASTER'!D"&amp;_xlfn.MAXIFS(m_row,m_teacher,AA$4,m_date,($G$2+10),m_active,1,m_start,"&lt;"&amp;900,m_end,"&gt;"&amp;840),INDEX(m_label,_xlfn.MAXIFS(m_row,m_teacher,AA$4,m_date,($G$2+10),m_active,1,m_start,"&lt;"&amp;900,m_end,"&gt;"&amp;840))))))</f>
        <v/>
      </c>
      <c r="AB43" s="88" t="str">
        <f aca="false">IF(OR(AB$4="",MONTH(($G$2+10))&lt;&gt;MONTH($C$2)),"",IF(COUNTIFS(m_teacher,AB$4,m_date,($G$2+10),m_active,1,m_start,"&lt;"&amp;900,m_end,"&gt;"&amp;840)=0,"",IF(COUNTIFS(m_teacher,AB$4,m_date,($G$2+10),m_active,1,m_start,"&lt;"&amp;900,m_end,"&gt;"&amp;840)&gt;1,"충돌",HYPERLINK("#'관리자_MASTER'!D"&amp;_xlfn.MAXIFS(m_row,m_teacher,AB$4,m_date,($G$2+10),m_active,1,m_start,"&lt;"&amp;900,m_end,"&gt;"&amp;840),INDEX(m_label,_xlfn.MAXIFS(m_row,m_teacher,AB$4,m_date,($G$2+10),m_active,1,m_start,"&lt;"&amp;900,m_end,"&gt;"&amp;840))))))</f>
        <v/>
      </c>
      <c r="AC43" s="78"/>
      <c r="AD43" s="79" t="s">
        <v>96</v>
      </c>
      <c r="AE43" s="88" t="str">
        <f aca="false">IF(OR(AE$4="",MONTH(($G$2+17))&lt;&gt;MONTH($C$2)),"",IF(COUNTIFS(m_teacher,AE$4,m_date,($G$2+17),m_active,1,m_start,"&lt;"&amp;900,m_end,"&gt;"&amp;840)=0,"",IF(COUNTIFS(m_teacher,AE$4,m_date,($G$2+17),m_active,1,m_start,"&lt;"&amp;900,m_end,"&gt;"&amp;840)&gt;1,"충돌",HYPERLINK("#'관리자_MASTER'!D"&amp;_xlfn.MAXIFS(m_row,m_teacher,AE$4,m_date,($G$2+17),m_active,1,m_start,"&lt;"&amp;900,m_end,"&gt;"&amp;840),INDEX(m_label,_xlfn.MAXIFS(m_row,m_teacher,AE$4,m_date,($G$2+17),m_active,1,m_start,"&lt;"&amp;900,m_end,"&gt;"&amp;840))))))</f>
        <v/>
      </c>
      <c r="AF43" s="88" t="str">
        <f aca="false">IF(OR(AF$4="",MONTH(($G$2+17))&lt;&gt;MONTH($C$2)),"",IF(COUNTIFS(m_teacher,AF$4,m_date,($G$2+17),m_active,1,m_start,"&lt;"&amp;900,m_end,"&gt;"&amp;840)=0,"",IF(COUNTIFS(m_teacher,AF$4,m_date,($G$2+17),m_active,1,m_start,"&lt;"&amp;900,m_end,"&gt;"&amp;840)&gt;1,"충돌",HYPERLINK("#'관리자_MASTER'!D"&amp;_xlfn.MAXIFS(m_row,m_teacher,AF$4,m_date,($G$2+17),m_active,1,m_start,"&lt;"&amp;900,m_end,"&gt;"&amp;840),INDEX(m_label,_xlfn.MAXIFS(m_row,m_teacher,AF$4,m_date,($G$2+17),m_active,1,m_start,"&lt;"&amp;900,m_end,"&gt;"&amp;840))))))</f>
        <v/>
      </c>
      <c r="AG43" s="88" t="str">
        <f aca="false">IF(OR(AG$4="",MONTH(($G$2+17))&lt;&gt;MONTH($C$2)),"",IF(COUNTIFS(m_teacher,AG$4,m_date,($G$2+17),m_active,1,m_start,"&lt;"&amp;900,m_end,"&gt;"&amp;840)=0,"",IF(COUNTIFS(m_teacher,AG$4,m_date,($G$2+17),m_active,1,m_start,"&lt;"&amp;900,m_end,"&gt;"&amp;840)&gt;1,"충돌",HYPERLINK("#'관리자_MASTER'!D"&amp;_xlfn.MAXIFS(m_row,m_teacher,AG$4,m_date,($G$2+17),m_active,1,m_start,"&lt;"&amp;900,m_end,"&gt;"&amp;840),INDEX(m_label,_xlfn.MAXIFS(m_row,m_teacher,AG$4,m_date,($G$2+17),m_active,1,m_start,"&lt;"&amp;900,m_end,"&gt;"&amp;840))))))</f>
        <v/>
      </c>
      <c r="AH43" s="88" t="str">
        <f aca="false">IF(OR(AH$4="",MONTH(($G$2+17))&lt;&gt;MONTH($C$2)),"",IF(COUNTIFS(m_teacher,AH$4,m_date,($G$2+17),m_active,1,m_start,"&lt;"&amp;900,m_end,"&gt;"&amp;840)=0,"",IF(COUNTIFS(m_teacher,AH$4,m_date,($G$2+17),m_active,1,m_start,"&lt;"&amp;900,m_end,"&gt;"&amp;840)&gt;1,"충돌",HYPERLINK("#'관리자_MASTER'!D"&amp;_xlfn.MAXIFS(m_row,m_teacher,AH$4,m_date,($G$2+17),m_active,1,m_start,"&lt;"&amp;900,m_end,"&gt;"&amp;840),INDEX(m_label,_xlfn.MAXIFS(m_row,m_teacher,AH$4,m_date,($G$2+17),m_active,1,m_start,"&lt;"&amp;900,m_end,"&gt;"&amp;840))))))</f>
        <v/>
      </c>
      <c r="AI43" s="88" t="str">
        <f aca="false">IF(OR(AI$4="",MONTH(($G$2+17))&lt;&gt;MONTH($C$2)),"",IF(COUNTIFS(m_teacher,AI$4,m_date,($G$2+17),m_active,1,m_start,"&lt;"&amp;900,m_end,"&gt;"&amp;840)=0,"",IF(COUNTIFS(m_teacher,AI$4,m_date,($G$2+17),m_active,1,m_start,"&lt;"&amp;900,m_end,"&gt;"&amp;840)&gt;1,"충돌",HYPERLINK("#'관리자_MASTER'!D"&amp;_xlfn.MAXIFS(m_row,m_teacher,AI$4,m_date,($G$2+17),m_active,1,m_start,"&lt;"&amp;900,m_end,"&gt;"&amp;840),INDEX(m_label,_xlfn.MAXIFS(m_row,m_teacher,AI$4,m_date,($G$2+17),m_active,1,m_start,"&lt;"&amp;900,m_end,"&gt;"&amp;840))))))</f>
        <v/>
      </c>
      <c r="AJ43" s="88" t="str">
        <f aca="false">IF(OR(AJ$4="",MONTH(($G$2+17))&lt;&gt;MONTH($C$2)),"",IF(COUNTIFS(m_teacher,AJ$4,m_date,($G$2+17),m_active,1,m_start,"&lt;"&amp;900,m_end,"&gt;"&amp;840)=0,"",IF(COUNTIFS(m_teacher,AJ$4,m_date,($G$2+17),m_active,1,m_start,"&lt;"&amp;900,m_end,"&gt;"&amp;840)&gt;1,"충돌",HYPERLINK("#'관리자_MASTER'!D"&amp;_xlfn.MAXIFS(m_row,m_teacher,AJ$4,m_date,($G$2+17),m_active,1,m_start,"&lt;"&amp;900,m_end,"&gt;"&amp;840),INDEX(m_label,_xlfn.MAXIFS(m_row,m_teacher,AJ$4,m_date,($G$2+17),m_active,1,m_start,"&lt;"&amp;900,m_end,"&gt;"&amp;840))))))</f>
        <v/>
      </c>
      <c r="AK43" s="88" t="str">
        <f aca="false">IF(OR(AK$4="",MONTH(($G$2+17))&lt;&gt;MONTH($C$2)),"",IF(COUNTIFS(m_teacher,AK$4,m_date,($G$2+17),m_active,1,m_start,"&lt;"&amp;900,m_end,"&gt;"&amp;840)=0,"",IF(COUNTIFS(m_teacher,AK$4,m_date,($G$2+17),m_active,1,m_start,"&lt;"&amp;900,m_end,"&gt;"&amp;840)&gt;1,"충돌",HYPERLINK("#'관리자_MASTER'!D"&amp;_xlfn.MAXIFS(m_row,m_teacher,AK$4,m_date,($G$2+17),m_active,1,m_start,"&lt;"&amp;900,m_end,"&gt;"&amp;840),INDEX(m_label,_xlfn.MAXIFS(m_row,m_teacher,AK$4,m_date,($G$2+17),m_active,1,m_start,"&lt;"&amp;900,m_end,"&gt;"&amp;840))))))</f>
        <v/>
      </c>
      <c r="AL43" s="88" t="str">
        <f aca="false">IF(OR(AL$4="",MONTH(($G$2+17))&lt;&gt;MONTH($C$2)),"",IF(COUNTIFS(m_teacher,AL$4,m_date,($G$2+17),m_active,1,m_start,"&lt;"&amp;900,m_end,"&gt;"&amp;840)=0,"",IF(COUNTIFS(m_teacher,AL$4,m_date,($G$2+17),m_active,1,m_start,"&lt;"&amp;900,m_end,"&gt;"&amp;840)&gt;1,"충돌",HYPERLINK("#'관리자_MASTER'!D"&amp;_xlfn.MAXIFS(m_row,m_teacher,AL$4,m_date,($G$2+17),m_active,1,m_start,"&lt;"&amp;900,m_end,"&gt;"&amp;840),INDEX(m_label,_xlfn.MAXIFS(m_row,m_teacher,AL$4,m_date,($G$2+17),m_active,1,m_start,"&lt;"&amp;900,m_end,"&gt;"&amp;840))))))</f>
        <v/>
      </c>
      <c r="AM43" s="88" t="str">
        <f aca="false">IF(OR(AM$4="",MONTH(($G$2+17))&lt;&gt;MONTH($C$2)),"",IF(COUNTIFS(m_teacher,AM$4,m_date,($G$2+17),m_active,1,m_start,"&lt;"&amp;900,m_end,"&gt;"&amp;840)=0,"",IF(COUNTIFS(m_teacher,AM$4,m_date,($G$2+17),m_active,1,m_start,"&lt;"&amp;900,m_end,"&gt;"&amp;840)&gt;1,"충돌",HYPERLINK("#'관리자_MASTER'!D"&amp;_xlfn.MAXIFS(m_row,m_teacher,AM$4,m_date,($G$2+17),m_active,1,m_start,"&lt;"&amp;900,m_end,"&gt;"&amp;840),INDEX(m_label,_xlfn.MAXIFS(m_row,m_teacher,AM$4,m_date,($G$2+17),m_active,1,m_start,"&lt;"&amp;900,m_end,"&gt;"&amp;840))))))</f>
        <v/>
      </c>
      <c r="AN43" s="88" t="str">
        <f aca="false">IF(OR(AN$4="",MONTH(($G$2+17))&lt;&gt;MONTH($C$2)),"",IF(COUNTIFS(m_teacher,AN$4,m_date,($G$2+17),m_active,1,m_start,"&lt;"&amp;900,m_end,"&gt;"&amp;840)=0,"",IF(COUNTIFS(m_teacher,AN$4,m_date,($G$2+17),m_active,1,m_start,"&lt;"&amp;900,m_end,"&gt;"&amp;840)&gt;1,"충돌",HYPERLINK("#'관리자_MASTER'!D"&amp;_xlfn.MAXIFS(m_row,m_teacher,AN$4,m_date,($G$2+17),m_active,1,m_start,"&lt;"&amp;900,m_end,"&gt;"&amp;840),INDEX(m_label,_xlfn.MAXIFS(m_row,m_teacher,AN$4,m_date,($G$2+17),m_active,1,m_start,"&lt;"&amp;900,m_end,"&gt;"&amp;840))))))</f>
        <v/>
      </c>
      <c r="AO43" s="88" t="str">
        <f aca="false">IF(OR(AO$4="",MONTH(($G$2+17))&lt;&gt;MONTH($C$2)),"",IF(COUNTIFS(m_teacher,AO$4,m_date,($G$2+17),m_active,1,m_start,"&lt;"&amp;900,m_end,"&gt;"&amp;840)=0,"",IF(COUNTIFS(m_teacher,AO$4,m_date,($G$2+17),m_active,1,m_start,"&lt;"&amp;900,m_end,"&gt;"&amp;840)&gt;1,"충돌",HYPERLINK("#'관리자_MASTER'!D"&amp;_xlfn.MAXIFS(m_row,m_teacher,AO$4,m_date,($G$2+17),m_active,1,m_start,"&lt;"&amp;900,m_end,"&gt;"&amp;840),INDEX(m_label,_xlfn.MAXIFS(m_row,m_teacher,AO$4,m_date,($G$2+17),m_active,1,m_start,"&lt;"&amp;900,m_end,"&gt;"&amp;840))))))</f>
        <v/>
      </c>
      <c r="AP43" s="88" t="str">
        <f aca="false">IF(OR(AP$4="",MONTH(($G$2+17))&lt;&gt;MONTH($C$2)),"",IF(COUNTIFS(m_teacher,AP$4,m_date,($G$2+17),m_active,1,m_start,"&lt;"&amp;900,m_end,"&gt;"&amp;840)=0,"",IF(COUNTIFS(m_teacher,AP$4,m_date,($G$2+17),m_active,1,m_start,"&lt;"&amp;900,m_end,"&gt;"&amp;840)&gt;1,"충돌",HYPERLINK("#'관리자_MASTER'!D"&amp;_xlfn.MAXIFS(m_row,m_teacher,AP$4,m_date,($G$2+17),m_active,1,m_start,"&lt;"&amp;900,m_end,"&gt;"&amp;840),INDEX(m_label,_xlfn.MAXIFS(m_row,m_teacher,AP$4,m_date,($G$2+17),m_active,1,m_start,"&lt;"&amp;900,m_end,"&gt;"&amp;840))))))</f>
        <v/>
      </c>
      <c r="AQ43" s="78"/>
      <c r="AR43" s="79" t="s">
        <v>96</v>
      </c>
      <c r="AS43" s="88" t="str">
        <f aca="false">IF(OR(AS$4="",MONTH(($G$2+24))&lt;&gt;MONTH($C$2)),"",IF(COUNTIFS(m_teacher,AS$4,m_date,($G$2+24),m_active,1,m_start,"&lt;"&amp;900,m_end,"&gt;"&amp;840)=0,"",IF(COUNTIFS(m_teacher,AS$4,m_date,($G$2+24),m_active,1,m_start,"&lt;"&amp;900,m_end,"&gt;"&amp;840)&gt;1,"충돌",HYPERLINK("#'관리자_MASTER'!D"&amp;_xlfn.MAXIFS(m_row,m_teacher,AS$4,m_date,($G$2+24),m_active,1,m_start,"&lt;"&amp;900,m_end,"&gt;"&amp;840),INDEX(m_label,_xlfn.MAXIFS(m_row,m_teacher,AS$4,m_date,($G$2+24),m_active,1,m_start,"&lt;"&amp;900,m_end,"&gt;"&amp;840))))))</f>
        <v/>
      </c>
      <c r="AT43" s="88" t="str">
        <f aca="false">IF(OR(AT$4="",MONTH(($G$2+24))&lt;&gt;MONTH($C$2)),"",IF(COUNTIFS(m_teacher,AT$4,m_date,($G$2+24),m_active,1,m_start,"&lt;"&amp;900,m_end,"&gt;"&amp;840)=0,"",IF(COUNTIFS(m_teacher,AT$4,m_date,($G$2+24),m_active,1,m_start,"&lt;"&amp;900,m_end,"&gt;"&amp;840)&gt;1,"충돌",HYPERLINK("#'관리자_MASTER'!D"&amp;_xlfn.MAXIFS(m_row,m_teacher,AT$4,m_date,($G$2+24),m_active,1,m_start,"&lt;"&amp;900,m_end,"&gt;"&amp;840),INDEX(m_label,_xlfn.MAXIFS(m_row,m_teacher,AT$4,m_date,($G$2+24),m_active,1,m_start,"&lt;"&amp;900,m_end,"&gt;"&amp;840))))))</f>
        <v/>
      </c>
      <c r="AU43" s="88" t="str">
        <f aca="false">IF(OR(AU$4="",MONTH(($G$2+24))&lt;&gt;MONTH($C$2)),"",IF(COUNTIFS(m_teacher,AU$4,m_date,($G$2+24),m_active,1,m_start,"&lt;"&amp;900,m_end,"&gt;"&amp;840)=0,"",IF(COUNTIFS(m_teacher,AU$4,m_date,($G$2+24),m_active,1,m_start,"&lt;"&amp;900,m_end,"&gt;"&amp;840)&gt;1,"충돌",HYPERLINK("#'관리자_MASTER'!D"&amp;_xlfn.MAXIFS(m_row,m_teacher,AU$4,m_date,($G$2+24),m_active,1,m_start,"&lt;"&amp;900,m_end,"&gt;"&amp;840),INDEX(m_label,_xlfn.MAXIFS(m_row,m_teacher,AU$4,m_date,($G$2+24),m_active,1,m_start,"&lt;"&amp;900,m_end,"&gt;"&amp;840))))))</f>
        <v/>
      </c>
      <c r="AV43" s="88" t="str">
        <f aca="false">IF(OR(AV$4="",MONTH(($G$2+24))&lt;&gt;MONTH($C$2)),"",IF(COUNTIFS(m_teacher,AV$4,m_date,($G$2+24),m_active,1,m_start,"&lt;"&amp;900,m_end,"&gt;"&amp;840)=0,"",IF(COUNTIFS(m_teacher,AV$4,m_date,($G$2+24),m_active,1,m_start,"&lt;"&amp;900,m_end,"&gt;"&amp;840)&gt;1,"충돌",HYPERLINK("#'관리자_MASTER'!D"&amp;_xlfn.MAXIFS(m_row,m_teacher,AV$4,m_date,($G$2+24),m_active,1,m_start,"&lt;"&amp;900,m_end,"&gt;"&amp;840),INDEX(m_label,_xlfn.MAXIFS(m_row,m_teacher,AV$4,m_date,($G$2+24),m_active,1,m_start,"&lt;"&amp;900,m_end,"&gt;"&amp;840))))))</f>
        <v/>
      </c>
      <c r="AW43" s="88" t="str">
        <f aca="false">IF(OR(AW$4="",MONTH(($G$2+24))&lt;&gt;MONTH($C$2)),"",IF(COUNTIFS(m_teacher,AW$4,m_date,($G$2+24),m_active,1,m_start,"&lt;"&amp;900,m_end,"&gt;"&amp;840)=0,"",IF(COUNTIFS(m_teacher,AW$4,m_date,($G$2+24),m_active,1,m_start,"&lt;"&amp;900,m_end,"&gt;"&amp;840)&gt;1,"충돌",HYPERLINK("#'관리자_MASTER'!D"&amp;_xlfn.MAXIFS(m_row,m_teacher,AW$4,m_date,($G$2+24),m_active,1,m_start,"&lt;"&amp;900,m_end,"&gt;"&amp;840),INDEX(m_label,_xlfn.MAXIFS(m_row,m_teacher,AW$4,m_date,($G$2+24),m_active,1,m_start,"&lt;"&amp;900,m_end,"&gt;"&amp;840))))))</f>
        <v/>
      </c>
      <c r="AX43" s="88" t="str">
        <f aca="false">IF(OR(AX$4="",MONTH(($G$2+24))&lt;&gt;MONTH($C$2)),"",IF(COUNTIFS(m_teacher,AX$4,m_date,($G$2+24),m_active,1,m_start,"&lt;"&amp;900,m_end,"&gt;"&amp;840)=0,"",IF(COUNTIFS(m_teacher,AX$4,m_date,($G$2+24),m_active,1,m_start,"&lt;"&amp;900,m_end,"&gt;"&amp;840)&gt;1,"충돌",HYPERLINK("#'관리자_MASTER'!D"&amp;_xlfn.MAXIFS(m_row,m_teacher,AX$4,m_date,($G$2+24),m_active,1,m_start,"&lt;"&amp;900,m_end,"&gt;"&amp;840),INDEX(m_label,_xlfn.MAXIFS(m_row,m_teacher,AX$4,m_date,($G$2+24),m_active,1,m_start,"&lt;"&amp;900,m_end,"&gt;"&amp;840))))))</f>
        <v/>
      </c>
      <c r="AY43" s="88" t="str">
        <f aca="false">IF(OR(AY$4="",MONTH(($G$2+24))&lt;&gt;MONTH($C$2)),"",IF(COUNTIFS(m_teacher,AY$4,m_date,($G$2+24),m_active,1,m_start,"&lt;"&amp;900,m_end,"&gt;"&amp;840)=0,"",IF(COUNTIFS(m_teacher,AY$4,m_date,($G$2+24),m_active,1,m_start,"&lt;"&amp;900,m_end,"&gt;"&amp;840)&gt;1,"충돌",HYPERLINK("#'관리자_MASTER'!D"&amp;_xlfn.MAXIFS(m_row,m_teacher,AY$4,m_date,($G$2+24),m_active,1,m_start,"&lt;"&amp;900,m_end,"&gt;"&amp;840),INDEX(m_label,_xlfn.MAXIFS(m_row,m_teacher,AY$4,m_date,($G$2+24),m_active,1,m_start,"&lt;"&amp;900,m_end,"&gt;"&amp;840))))))</f>
        <v/>
      </c>
      <c r="AZ43" s="88" t="str">
        <f aca="false">IF(OR(AZ$4="",MONTH(($G$2+24))&lt;&gt;MONTH($C$2)),"",IF(COUNTIFS(m_teacher,AZ$4,m_date,($G$2+24),m_active,1,m_start,"&lt;"&amp;900,m_end,"&gt;"&amp;840)=0,"",IF(COUNTIFS(m_teacher,AZ$4,m_date,($G$2+24),m_active,1,m_start,"&lt;"&amp;900,m_end,"&gt;"&amp;840)&gt;1,"충돌",HYPERLINK("#'관리자_MASTER'!D"&amp;_xlfn.MAXIFS(m_row,m_teacher,AZ$4,m_date,($G$2+24),m_active,1,m_start,"&lt;"&amp;900,m_end,"&gt;"&amp;840),INDEX(m_label,_xlfn.MAXIFS(m_row,m_teacher,AZ$4,m_date,($G$2+24),m_active,1,m_start,"&lt;"&amp;900,m_end,"&gt;"&amp;840))))))</f>
        <v/>
      </c>
      <c r="BA43" s="88" t="str">
        <f aca="false">IF(OR(BA$4="",MONTH(($G$2+24))&lt;&gt;MONTH($C$2)),"",IF(COUNTIFS(m_teacher,BA$4,m_date,($G$2+24),m_active,1,m_start,"&lt;"&amp;900,m_end,"&gt;"&amp;840)=0,"",IF(COUNTIFS(m_teacher,BA$4,m_date,($G$2+24),m_active,1,m_start,"&lt;"&amp;900,m_end,"&gt;"&amp;840)&gt;1,"충돌",HYPERLINK("#'관리자_MASTER'!D"&amp;_xlfn.MAXIFS(m_row,m_teacher,BA$4,m_date,($G$2+24),m_active,1,m_start,"&lt;"&amp;900,m_end,"&gt;"&amp;840),INDEX(m_label,_xlfn.MAXIFS(m_row,m_teacher,BA$4,m_date,($G$2+24),m_active,1,m_start,"&lt;"&amp;900,m_end,"&gt;"&amp;840))))))</f>
        <v/>
      </c>
      <c r="BB43" s="88" t="str">
        <f aca="false">IF(OR(BB$4="",MONTH(($G$2+24))&lt;&gt;MONTH($C$2)),"",IF(COUNTIFS(m_teacher,BB$4,m_date,($G$2+24),m_active,1,m_start,"&lt;"&amp;900,m_end,"&gt;"&amp;840)=0,"",IF(COUNTIFS(m_teacher,BB$4,m_date,($G$2+24),m_active,1,m_start,"&lt;"&amp;900,m_end,"&gt;"&amp;840)&gt;1,"충돌",HYPERLINK("#'관리자_MASTER'!D"&amp;_xlfn.MAXIFS(m_row,m_teacher,BB$4,m_date,($G$2+24),m_active,1,m_start,"&lt;"&amp;900,m_end,"&gt;"&amp;840),INDEX(m_label,_xlfn.MAXIFS(m_row,m_teacher,BB$4,m_date,($G$2+24),m_active,1,m_start,"&lt;"&amp;900,m_end,"&gt;"&amp;840))))))</f>
        <v/>
      </c>
      <c r="BC43" s="88" t="str">
        <f aca="false">IF(OR(BC$4="",MONTH(($G$2+24))&lt;&gt;MONTH($C$2)),"",IF(COUNTIFS(m_teacher,BC$4,m_date,($G$2+24),m_active,1,m_start,"&lt;"&amp;900,m_end,"&gt;"&amp;840)=0,"",IF(COUNTIFS(m_teacher,BC$4,m_date,($G$2+24),m_active,1,m_start,"&lt;"&amp;900,m_end,"&gt;"&amp;840)&gt;1,"충돌",HYPERLINK("#'관리자_MASTER'!D"&amp;_xlfn.MAXIFS(m_row,m_teacher,BC$4,m_date,($G$2+24),m_active,1,m_start,"&lt;"&amp;900,m_end,"&gt;"&amp;840),INDEX(m_label,_xlfn.MAXIFS(m_row,m_teacher,BC$4,m_date,($G$2+24),m_active,1,m_start,"&lt;"&amp;900,m_end,"&gt;"&amp;840))))))</f>
        <v/>
      </c>
      <c r="BD43" s="88" t="str">
        <f aca="false">IF(OR(BD$4="",MONTH(($G$2+24))&lt;&gt;MONTH($C$2)),"",IF(COUNTIFS(m_teacher,BD$4,m_date,($G$2+24),m_active,1,m_start,"&lt;"&amp;900,m_end,"&gt;"&amp;840)=0,"",IF(COUNTIFS(m_teacher,BD$4,m_date,($G$2+24),m_active,1,m_start,"&lt;"&amp;900,m_end,"&gt;"&amp;840)&gt;1,"충돌",HYPERLINK("#'관리자_MASTER'!D"&amp;_xlfn.MAXIFS(m_row,m_teacher,BD$4,m_date,($G$2+24),m_active,1,m_start,"&lt;"&amp;900,m_end,"&gt;"&amp;840),INDEX(m_label,_xlfn.MAXIFS(m_row,m_teacher,BD$4,m_date,($G$2+24),m_active,1,m_start,"&lt;"&amp;900,m_end,"&gt;"&amp;840))))))</f>
        <v/>
      </c>
      <c r="BE43" s="78"/>
      <c r="BF43" s="79" t="s">
        <v>96</v>
      </c>
      <c r="BG43" s="88" t="str">
        <f aca="false">IF(OR(BG$4="",MONTH(($G$2+31))&lt;&gt;MONTH($C$2)),"",IF(COUNTIFS(m_teacher,BG$4,m_date,($G$2+31),m_active,1,m_start,"&lt;"&amp;900,m_end,"&gt;"&amp;840)=0,"",IF(COUNTIFS(m_teacher,BG$4,m_date,($G$2+31),m_active,1,m_start,"&lt;"&amp;900,m_end,"&gt;"&amp;840)&gt;1,"충돌",HYPERLINK("#'관리자_MASTER'!D"&amp;_xlfn.MAXIFS(m_row,m_teacher,BG$4,m_date,($G$2+31),m_active,1,m_start,"&lt;"&amp;900,m_end,"&gt;"&amp;840),INDEX(m_label,_xlfn.MAXIFS(m_row,m_teacher,BG$4,m_date,($G$2+31),m_active,1,m_start,"&lt;"&amp;900,m_end,"&gt;"&amp;840))))))</f>
        <v/>
      </c>
      <c r="BH43" s="88" t="str">
        <f aca="false">IF(OR(BH$4="",MONTH(($G$2+31))&lt;&gt;MONTH($C$2)),"",IF(COUNTIFS(m_teacher,BH$4,m_date,($G$2+31),m_active,1,m_start,"&lt;"&amp;900,m_end,"&gt;"&amp;840)=0,"",IF(COUNTIFS(m_teacher,BH$4,m_date,($G$2+31),m_active,1,m_start,"&lt;"&amp;900,m_end,"&gt;"&amp;840)&gt;1,"충돌",HYPERLINK("#'관리자_MASTER'!D"&amp;_xlfn.MAXIFS(m_row,m_teacher,BH$4,m_date,($G$2+31),m_active,1,m_start,"&lt;"&amp;900,m_end,"&gt;"&amp;840),INDEX(m_label,_xlfn.MAXIFS(m_row,m_teacher,BH$4,m_date,($G$2+31),m_active,1,m_start,"&lt;"&amp;900,m_end,"&gt;"&amp;840))))))</f>
        <v/>
      </c>
      <c r="BI43" s="88" t="str">
        <f aca="false">IF(OR(BI$4="",MONTH(($G$2+31))&lt;&gt;MONTH($C$2)),"",IF(COUNTIFS(m_teacher,BI$4,m_date,($G$2+31),m_active,1,m_start,"&lt;"&amp;900,m_end,"&gt;"&amp;840)=0,"",IF(COUNTIFS(m_teacher,BI$4,m_date,($G$2+31),m_active,1,m_start,"&lt;"&amp;900,m_end,"&gt;"&amp;840)&gt;1,"충돌",HYPERLINK("#'관리자_MASTER'!D"&amp;_xlfn.MAXIFS(m_row,m_teacher,BI$4,m_date,($G$2+31),m_active,1,m_start,"&lt;"&amp;900,m_end,"&gt;"&amp;840),INDEX(m_label,_xlfn.MAXIFS(m_row,m_teacher,BI$4,m_date,($G$2+31),m_active,1,m_start,"&lt;"&amp;900,m_end,"&gt;"&amp;840))))))</f>
        <v/>
      </c>
      <c r="BJ43" s="88" t="str">
        <f aca="false">IF(OR(BJ$4="",MONTH(($G$2+31))&lt;&gt;MONTH($C$2)),"",IF(COUNTIFS(m_teacher,BJ$4,m_date,($G$2+31),m_active,1,m_start,"&lt;"&amp;900,m_end,"&gt;"&amp;840)=0,"",IF(COUNTIFS(m_teacher,BJ$4,m_date,($G$2+31),m_active,1,m_start,"&lt;"&amp;900,m_end,"&gt;"&amp;840)&gt;1,"충돌",HYPERLINK("#'관리자_MASTER'!D"&amp;_xlfn.MAXIFS(m_row,m_teacher,BJ$4,m_date,($G$2+31),m_active,1,m_start,"&lt;"&amp;900,m_end,"&gt;"&amp;840),INDEX(m_label,_xlfn.MAXIFS(m_row,m_teacher,BJ$4,m_date,($G$2+31),m_active,1,m_start,"&lt;"&amp;900,m_end,"&gt;"&amp;840))))))</f>
        <v/>
      </c>
      <c r="BK43" s="88" t="str">
        <f aca="false">IF(OR(BK$4="",MONTH(($G$2+31))&lt;&gt;MONTH($C$2)),"",IF(COUNTIFS(m_teacher,BK$4,m_date,($G$2+31),m_active,1,m_start,"&lt;"&amp;900,m_end,"&gt;"&amp;840)=0,"",IF(COUNTIFS(m_teacher,BK$4,m_date,($G$2+31),m_active,1,m_start,"&lt;"&amp;900,m_end,"&gt;"&amp;840)&gt;1,"충돌",HYPERLINK("#'관리자_MASTER'!D"&amp;_xlfn.MAXIFS(m_row,m_teacher,BK$4,m_date,($G$2+31),m_active,1,m_start,"&lt;"&amp;900,m_end,"&gt;"&amp;840),INDEX(m_label,_xlfn.MAXIFS(m_row,m_teacher,BK$4,m_date,($G$2+31),m_active,1,m_start,"&lt;"&amp;900,m_end,"&gt;"&amp;840))))))</f>
        <v/>
      </c>
      <c r="BL43" s="88" t="str">
        <f aca="false">IF(OR(BL$4="",MONTH(($G$2+31))&lt;&gt;MONTH($C$2)),"",IF(COUNTIFS(m_teacher,BL$4,m_date,($G$2+31),m_active,1,m_start,"&lt;"&amp;900,m_end,"&gt;"&amp;840)=0,"",IF(COUNTIFS(m_teacher,BL$4,m_date,($G$2+31),m_active,1,m_start,"&lt;"&amp;900,m_end,"&gt;"&amp;840)&gt;1,"충돌",HYPERLINK("#'관리자_MASTER'!D"&amp;_xlfn.MAXIFS(m_row,m_teacher,BL$4,m_date,($G$2+31),m_active,1,m_start,"&lt;"&amp;900,m_end,"&gt;"&amp;840),INDEX(m_label,_xlfn.MAXIFS(m_row,m_teacher,BL$4,m_date,($G$2+31),m_active,1,m_start,"&lt;"&amp;900,m_end,"&gt;"&amp;840))))))</f>
        <v/>
      </c>
      <c r="BM43" s="88" t="str">
        <f aca="false">IF(OR(BM$4="",MONTH(($G$2+31))&lt;&gt;MONTH($C$2)),"",IF(COUNTIFS(m_teacher,BM$4,m_date,($G$2+31),m_active,1,m_start,"&lt;"&amp;900,m_end,"&gt;"&amp;840)=0,"",IF(COUNTIFS(m_teacher,BM$4,m_date,($G$2+31),m_active,1,m_start,"&lt;"&amp;900,m_end,"&gt;"&amp;840)&gt;1,"충돌",HYPERLINK("#'관리자_MASTER'!D"&amp;_xlfn.MAXIFS(m_row,m_teacher,BM$4,m_date,($G$2+31),m_active,1,m_start,"&lt;"&amp;900,m_end,"&gt;"&amp;840),INDEX(m_label,_xlfn.MAXIFS(m_row,m_teacher,BM$4,m_date,($G$2+31),m_active,1,m_start,"&lt;"&amp;900,m_end,"&gt;"&amp;840))))))</f>
        <v/>
      </c>
      <c r="BN43" s="88" t="str">
        <f aca="false">IF(OR(BN$4="",MONTH(($G$2+31))&lt;&gt;MONTH($C$2)),"",IF(COUNTIFS(m_teacher,BN$4,m_date,($G$2+31),m_active,1,m_start,"&lt;"&amp;900,m_end,"&gt;"&amp;840)=0,"",IF(COUNTIFS(m_teacher,BN$4,m_date,($G$2+31),m_active,1,m_start,"&lt;"&amp;900,m_end,"&gt;"&amp;840)&gt;1,"충돌",HYPERLINK("#'관리자_MASTER'!D"&amp;_xlfn.MAXIFS(m_row,m_teacher,BN$4,m_date,($G$2+31),m_active,1,m_start,"&lt;"&amp;900,m_end,"&gt;"&amp;840),INDEX(m_label,_xlfn.MAXIFS(m_row,m_teacher,BN$4,m_date,($G$2+31),m_active,1,m_start,"&lt;"&amp;900,m_end,"&gt;"&amp;840))))))</f>
        <v/>
      </c>
      <c r="BO43" s="88" t="str">
        <f aca="false">IF(OR(BO$4="",MONTH(($G$2+31))&lt;&gt;MONTH($C$2)),"",IF(COUNTIFS(m_teacher,BO$4,m_date,($G$2+31),m_active,1,m_start,"&lt;"&amp;900,m_end,"&gt;"&amp;840)=0,"",IF(COUNTIFS(m_teacher,BO$4,m_date,($G$2+31),m_active,1,m_start,"&lt;"&amp;900,m_end,"&gt;"&amp;840)&gt;1,"충돌",HYPERLINK("#'관리자_MASTER'!D"&amp;_xlfn.MAXIFS(m_row,m_teacher,BO$4,m_date,($G$2+31),m_active,1,m_start,"&lt;"&amp;900,m_end,"&gt;"&amp;840),INDEX(m_label,_xlfn.MAXIFS(m_row,m_teacher,BO$4,m_date,($G$2+31),m_active,1,m_start,"&lt;"&amp;900,m_end,"&gt;"&amp;840))))))</f>
        <v/>
      </c>
      <c r="BP43" s="88" t="str">
        <f aca="false">IF(OR(BP$4="",MONTH(($G$2+31))&lt;&gt;MONTH($C$2)),"",IF(COUNTIFS(m_teacher,BP$4,m_date,($G$2+31),m_active,1,m_start,"&lt;"&amp;900,m_end,"&gt;"&amp;840)=0,"",IF(COUNTIFS(m_teacher,BP$4,m_date,($G$2+31),m_active,1,m_start,"&lt;"&amp;900,m_end,"&gt;"&amp;840)&gt;1,"충돌",HYPERLINK("#'관리자_MASTER'!D"&amp;_xlfn.MAXIFS(m_row,m_teacher,BP$4,m_date,($G$2+31),m_active,1,m_start,"&lt;"&amp;900,m_end,"&gt;"&amp;840),INDEX(m_label,_xlfn.MAXIFS(m_row,m_teacher,BP$4,m_date,($G$2+31),m_active,1,m_start,"&lt;"&amp;900,m_end,"&gt;"&amp;840))))))</f>
        <v/>
      </c>
      <c r="BQ43" s="88" t="str">
        <f aca="false">IF(OR(BQ$4="",MONTH(($G$2+31))&lt;&gt;MONTH($C$2)),"",IF(COUNTIFS(m_teacher,BQ$4,m_date,($G$2+31),m_active,1,m_start,"&lt;"&amp;900,m_end,"&gt;"&amp;840)=0,"",IF(COUNTIFS(m_teacher,BQ$4,m_date,($G$2+31),m_active,1,m_start,"&lt;"&amp;900,m_end,"&gt;"&amp;840)&gt;1,"충돌",HYPERLINK("#'관리자_MASTER'!D"&amp;_xlfn.MAXIFS(m_row,m_teacher,BQ$4,m_date,($G$2+31),m_active,1,m_start,"&lt;"&amp;900,m_end,"&gt;"&amp;840),INDEX(m_label,_xlfn.MAXIFS(m_row,m_teacher,BQ$4,m_date,($G$2+31),m_active,1,m_start,"&lt;"&amp;900,m_end,"&gt;"&amp;840))))))</f>
        <v/>
      </c>
      <c r="BR43" s="88" t="str">
        <f aca="false">IF(OR(BR$4="",MONTH(($G$2+31))&lt;&gt;MONTH($C$2)),"",IF(COUNTIFS(m_teacher,BR$4,m_date,($G$2+31),m_active,1,m_start,"&lt;"&amp;900,m_end,"&gt;"&amp;840)=0,"",IF(COUNTIFS(m_teacher,BR$4,m_date,($G$2+31),m_active,1,m_start,"&lt;"&amp;900,m_end,"&gt;"&amp;840)&gt;1,"충돌",HYPERLINK("#'관리자_MASTER'!D"&amp;_xlfn.MAXIFS(m_row,m_teacher,BR$4,m_date,($G$2+31),m_active,1,m_start,"&lt;"&amp;900,m_end,"&gt;"&amp;840),INDEX(m_label,_xlfn.MAXIFS(m_row,m_teacher,BR$4,m_date,($G$2+31),m_active,1,m_start,"&lt;"&amp;900,m_end,"&gt;"&amp;840))))))</f>
        <v/>
      </c>
    </row>
    <row r="44" customFormat="false" ht="19.5" hidden="false" customHeight="true" outlineLevel="0" collapsed="false">
      <c r="A44" s="75"/>
      <c r="B44" s="76" t="s">
        <v>97</v>
      </c>
      <c r="C44" s="81" t="str">
        <f aca="false">IF(OR(C$4="",MONTH(($G$2+3))&lt;&gt;MONTH($C$2)),"",IF(COUNTIFS(m_teacher,C$4,m_date,($G$2+3),m_active,1,m_start,"&lt;"&amp;960,m_end,"&gt;"&amp;900)=0,"",IF(COUNTIFS(m_teacher,C$4,m_date,($G$2+3),m_active,1,m_start,"&lt;"&amp;960,m_end,"&gt;"&amp;900)&gt;1,"충돌",HYPERLINK("#'관리자_MASTER'!D"&amp;_xlfn.MAXIFS(m_row,m_teacher,C$4,m_date,($G$2+3),m_active,1,m_start,"&lt;"&amp;960,m_end,"&gt;"&amp;900),INDEX(m_label,_xlfn.MAXIFS(m_row,m_teacher,C$4,m_date,($G$2+3),m_active,1,m_start,"&lt;"&amp;960,m_end,"&gt;"&amp;900))))))</f>
        <v/>
      </c>
      <c r="D44" s="81" t="str">
        <f aca="false">IF(OR(D$4="",MONTH(($G$2+3))&lt;&gt;MONTH($C$2)),"",IF(COUNTIFS(m_teacher,D$4,m_date,($G$2+3),m_active,1,m_start,"&lt;"&amp;960,m_end,"&gt;"&amp;900)=0,"",IF(COUNTIFS(m_teacher,D$4,m_date,($G$2+3),m_active,1,m_start,"&lt;"&amp;960,m_end,"&gt;"&amp;900)&gt;1,"충돌",HYPERLINK("#'관리자_MASTER'!D"&amp;_xlfn.MAXIFS(m_row,m_teacher,D$4,m_date,($G$2+3),m_active,1,m_start,"&lt;"&amp;960,m_end,"&gt;"&amp;900),INDEX(m_label,_xlfn.MAXIFS(m_row,m_teacher,D$4,m_date,($G$2+3),m_active,1,m_start,"&lt;"&amp;960,m_end,"&gt;"&amp;900))))))</f>
        <v/>
      </c>
      <c r="E44" s="81" t="str">
        <f aca="false">IF(OR(E$4="",MONTH(($G$2+3))&lt;&gt;MONTH($C$2)),"",IF(COUNTIFS(m_teacher,E$4,m_date,($G$2+3),m_active,1,m_start,"&lt;"&amp;960,m_end,"&gt;"&amp;900)=0,"",IF(COUNTIFS(m_teacher,E$4,m_date,($G$2+3),m_active,1,m_start,"&lt;"&amp;960,m_end,"&gt;"&amp;900)&gt;1,"충돌",HYPERLINK("#'관리자_MASTER'!D"&amp;_xlfn.MAXIFS(m_row,m_teacher,E$4,m_date,($G$2+3),m_active,1,m_start,"&lt;"&amp;960,m_end,"&gt;"&amp;900),INDEX(m_label,_xlfn.MAXIFS(m_row,m_teacher,E$4,m_date,($G$2+3),m_active,1,m_start,"&lt;"&amp;960,m_end,"&gt;"&amp;900))))))</f>
        <v/>
      </c>
      <c r="F44" s="81" t="str">
        <f aca="false">IF(OR(F$4="",MONTH(($G$2+3))&lt;&gt;MONTH($C$2)),"",IF(COUNTIFS(m_teacher,F$4,m_date,($G$2+3),m_active,1,m_start,"&lt;"&amp;960,m_end,"&gt;"&amp;900)=0,"",IF(COUNTIFS(m_teacher,F$4,m_date,($G$2+3),m_active,1,m_start,"&lt;"&amp;960,m_end,"&gt;"&amp;900)&gt;1,"충돌",HYPERLINK("#'관리자_MASTER'!D"&amp;_xlfn.MAXIFS(m_row,m_teacher,F$4,m_date,($G$2+3),m_active,1,m_start,"&lt;"&amp;960,m_end,"&gt;"&amp;900),INDEX(m_label,_xlfn.MAXIFS(m_row,m_teacher,F$4,m_date,($G$2+3),m_active,1,m_start,"&lt;"&amp;960,m_end,"&gt;"&amp;900))))))</f>
        <v/>
      </c>
      <c r="G44" s="81" t="str">
        <f aca="false">IF(OR(G$4="",MONTH(($G$2+3))&lt;&gt;MONTH($C$2)),"",IF(COUNTIFS(m_teacher,G$4,m_date,($G$2+3),m_active,1,m_start,"&lt;"&amp;960,m_end,"&gt;"&amp;900)=0,"",IF(COUNTIFS(m_teacher,G$4,m_date,($G$2+3),m_active,1,m_start,"&lt;"&amp;960,m_end,"&gt;"&amp;900)&gt;1,"충돌",HYPERLINK("#'관리자_MASTER'!D"&amp;_xlfn.MAXIFS(m_row,m_teacher,G$4,m_date,($G$2+3),m_active,1,m_start,"&lt;"&amp;960,m_end,"&gt;"&amp;900),INDEX(m_label,_xlfn.MAXIFS(m_row,m_teacher,G$4,m_date,($G$2+3),m_active,1,m_start,"&lt;"&amp;960,m_end,"&gt;"&amp;900))))))</f>
        <v/>
      </c>
      <c r="H44" s="81" t="str">
        <f aca="false">IF(OR(H$4="",MONTH(($G$2+3))&lt;&gt;MONTH($C$2)),"",IF(COUNTIFS(m_teacher,H$4,m_date,($G$2+3),m_active,1,m_start,"&lt;"&amp;960,m_end,"&gt;"&amp;900)=0,"",IF(COUNTIFS(m_teacher,H$4,m_date,($G$2+3),m_active,1,m_start,"&lt;"&amp;960,m_end,"&gt;"&amp;900)&gt;1,"충돌",HYPERLINK("#'관리자_MASTER'!D"&amp;_xlfn.MAXIFS(m_row,m_teacher,H$4,m_date,($G$2+3),m_active,1,m_start,"&lt;"&amp;960,m_end,"&gt;"&amp;900),INDEX(m_label,_xlfn.MAXIFS(m_row,m_teacher,H$4,m_date,($G$2+3),m_active,1,m_start,"&lt;"&amp;960,m_end,"&gt;"&amp;900))))))</f>
        <v/>
      </c>
      <c r="I44" s="81" t="str">
        <f aca="false">IF(OR(I$4="",MONTH(($G$2+3))&lt;&gt;MONTH($C$2)),"",IF(COUNTIFS(m_teacher,I$4,m_date,($G$2+3),m_active,1,m_start,"&lt;"&amp;960,m_end,"&gt;"&amp;900)=0,"",IF(COUNTIFS(m_teacher,I$4,m_date,($G$2+3),m_active,1,m_start,"&lt;"&amp;960,m_end,"&gt;"&amp;900)&gt;1,"충돌",HYPERLINK("#'관리자_MASTER'!D"&amp;_xlfn.MAXIFS(m_row,m_teacher,I$4,m_date,($G$2+3),m_active,1,m_start,"&lt;"&amp;960,m_end,"&gt;"&amp;900),INDEX(m_label,_xlfn.MAXIFS(m_row,m_teacher,I$4,m_date,($G$2+3),m_active,1,m_start,"&lt;"&amp;960,m_end,"&gt;"&amp;900))))))</f>
        <v/>
      </c>
      <c r="J44" s="81" t="str">
        <f aca="false">IF(OR(J$4="",MONTH(($G$2+3))&lt;&gt;MONTH($C$2)),"",IF(COUNTIFS(m_teacher,J$4,m_date,($G$2+3),m_active,1,m_start,"&lt;"&amp;960,m_end,"&gt;"&amp;900)=0,"",IF(COUNTIFS(m_teacher,J$4,m_date,($G$2+3),m_active,1,m_start,"&lt;"&amp;960,m_end,"&gt;"&amp;900)&gt;1,"충돌",HYPERLINK("#'관리자_MASTER'!D"&amp;_xlfn.MAXIFS(m_row,m_teacher,J$4,m_date,($G$2+3),m_active,1,m_start,"&lt;"&amp;960,m_end,"&gt;"&amp;900),INDEX(m_label,_xlfn.MAXIFS(m_row,m_teacher,J$4,m_date,($G$2+3),m_active,1,m_start,"&lt;"&amp;960,m_end,"&gt;"&amp;900))))))</f>
        <v/>
      </c>
      <c r="K44" s="81" t="str">
        <f aca="false">IF(OR(K$4="",MONTH(($G$2+3))&lt;&gt;MONTH($C$2)),"",IF(COUNTIFS(m_teacher,K$4,m_date,($G$2+3),m_active,1,m_start,"&lt;"&amp;960,m_end,"&gt;"&amp;900)=0,"",IF(COUNTIFS(m_teacher,K$4,m_date,($G$2+3),m_active,1,m_start,"&lt;"&amp;960,m_end,"&gt;"&amp;900)&gt;1,"충돌",HYPERLINK("#'관리자_MASTER'!D"&amp;_xlfn.MAXIFS(m_row,m_teacher,K$4,m_date,($G$2+3),m_active,1,m_start,"&lt;"&amp;960,m_end,"&gt;"&amp;900),INDEX(m_label,_xlfn.MAXIFS(m_row,m_teacher,K$4,m_date,($G$2+3),m_active,1,m_start,"&lt;"&amp;960,m_end,"&gt;"&amp;900))))))</f>
        <v/>
      </c>
      <c r="L44" s="81" t="str">
        <f aca="false">IF(OR(L$4="",MONTH(($G$2+3))&lt;&gt;MONTH($C$2)),"",IF(COUNTIFS(m_teacher,L$4,m_date,($G$2+3),m_active,1,m_start,"&lt;"&amp;960,m_end,"&gt;"&amp;900)=0,"",IF(COUNTIFS(m_teacher,L$4,m_date,($G$2+3),m_active,1,m_start,"&lt;"&amp;960,m_end,"&gt;"&amp;900)&gt;1,"충돌",HYPERLINK("#'관리자_MASTER'!D"&amp;_xlfn.MAXIFS(m_row,m_teacher,L$4,m_date,($G$2+3),m_active,1,m_start,"&lt;"&amp;960,m_end,"&gt;"&amp;900),INDEX(m_label,_xlfn.MAXIFS(m_row,m_teacher,L$4,m_date,($G$2+3),m_active,1,m_start,"&lt;"&amp;960,m_end,"&gt;"&amp;900))))))</f>
        <v/>
      </c>
      <c r="M44" s="81" t="str">
        <f aca="false">IF(OR(M$4="",MONTH(($G$2+3))&lt;&gt;MONTH($C$2)),"",IF(COUNTIFS(m_teacher,M$4,m_date,($G$2+3),m_active,1,m_start,"&lt;"&amp;960,m_end,"&gt;"&amp;900)=0,"",IF(COUNTIFS(m_teacher,M$4,m_date,($G$2+3),m_active,1,m_start,"&lt;"&amp;960,m_end,"&gt;"&amp;900)&gt;1,"충돌",HYPERLINK("#'관리자_MASTER'!D"&amp;_xlfn.MAXIFS(m_row,m_teacher,M$4,m_date,($G$2+3),m_active,1,m_start,"&lt;"&amp;960,m_end,"&gt;"&amp;900),INDEX(m_label,_xlfn.MAXIFS(m_row,m_teacher,M$4,m_date,($G$2+3),m_active,1,m_start,"&lt;"&amp;960,m_end,"&gt;"&amp;900))))))</f>
        <v/>
      </c>
      <c r="N44" s="81" t="str">
        <f aca="false">IF(OR(N$4="",MONTH(($G$2+3))&lt;&gt;MONTH($C$2)),"",IF(COUNTIFS(m_teacher,N$4,m_date,($G$2+3),m_active,1,m_start,"&lt;"&amp;960,m_end,"&gt;"&amp;900)=0,"",IF(COUNTIFS(m_teacher,N$4,m_date,($G$2+3),m_active,1,m_start,"&lt;"&amp;960,m_end,"&gt;"&amp;900)&gt;1,"충돌",HYPERLINK("#'관리자_MASTER'!D"&amp;_xlfn.MAXIFS(m_row,m_teacher,N$4,m_date,($G$2+3),m_active,1,m_start,"&lt;"&amp;960,m_end,"&gt;"&amp;900),INDEX(m_label,_xlfn.MAXIFS(m_row,m_teacher,N$4,m_date,($G$2+3),m_active,1,m_start,"&lt;"&amp;960,m_end,"&gt;"&amp;900))))))</f>
        <v/>
      </c>
      <c r="O44" s="78"/>
      <c r="P44" s="79" t="s">
        <v>97</v>
      </c>
      <c r="Q44" s="88" t="str">
        <f aca="false">IF(OR(Q$4="",MONTH(($G$2+10))&lt;&gt;MONTH($C$2)),"",IF(COUNTIFS(m_teacher,Q$4,m_date,($G$2+10),m_active,1,m_start,"&lt;"&amp;960,m_end,"&gt;"&amp;900)=0,"",IF(COUNTIFS(m_teacher,Q$4,m_date,($G$2+10),m_active,1,m_start,"&lt;"&amp;960,m_end,"&gt;"&amp;900)&gt;1,"충돌",HYPERLINK("#'관리자_MASTER'!D"&amp;_xlfn.MAXIFS(m_row,m_teacher,Q$4,m_date,($G$2+10),m_active,1,m_start,"&lt;"&amp;960,m_end,"&gt;"&amp;900),INDEX(m_label,_xlfn.MAXIFS(m_row,m_teacher,Q$4,m_date,($G$2+10),m_active,1,m_start,"&lt;"&amp;960,m_end,"&gt;"&amp;900))))))</f>
        <v/>
      </c>
      <c r="R44" s="88" t="str">
        <f aca="false">IF(OR(R$4="",MONTH(($G$2+10))&lt;&gt;MONTH($C$2)),"",IF(COUNTIFS(m_teacher,R$4,m_date,($G$2+10),m_active,1,m_start,"&lt;"&amp;960,m_end,"&gt;"&amp;900)=0,"",IF(COUNTIFS(m_teacher,R$4,m_date,($G$2+10),m_active,1,m_start,"&lt;"&amp;960,m_end,"&gt;"&amp;900)&gt;1,"충돌",HYPERLINK("#'관리자_MASTER'!D"&amp;_xlfn.MAXIFS(m_row,m_teacher,R$4,m_date,($G$2+10),m_active,1,m_start,"&lt;"&amp;960,m_end,"&gt;"&amp;900),INDEX(m_label,_xlfn.MAXIFS(m_row,m_teacher,R$4,m_date,($G$2+10),m_active,1,m_start,"&lt;"&amp;960,m_end,"&gt;"&amp;900))))))</f>
        <v/>
      </c>
      <c r="S44" s="88" t="str">
        <f aca="false">IF(OR(S$4="",MONTH(($G$2+10))&lt;&gt;MONTH($C$2)),"",IF(COUNTIFS(m_teacher,S$4,m_date,($G$2+10),m_active,1,m_start,"&lt;"&amp;960,m_end,"&gt;"&amp;900)=0,"",IF(COUNTIFS(m_teacher,S$4,m_date,($G$2+10),m_active,1,m_start,"&lt;"&amp;960,m_end,"&gt;"&amp;900)&gt;1,"충돌",HYPERLINK("#'관리자_MASTER'!D"&amp;_xlfn.MAXIFS(m_row,m_teacher,S$4,m_date,($G$2+10),m_active,1,m_start,"&lt;"&amp;960,m_end,"&gt;"&amp;900),INDEX(m_label,_xlfn.MAXIFS(m_row,m_teacher,S$4,m_date,($G$2+10),m_active,1,m_start,"&lt;"&amp;960,m_end,"&gt;"&amp;900))))))</f>
        <v/>
      </c>
      <c r="T44" s="88" t="str">
        <f aca="false">IF(OR(T$4="",MONTH(($G$2+10))&lt;&gt;MONTH($C$2)),"",IF(COUNTIFS(m_teacher,T$4,m_date,($G$2+10),m_active,1,m_start,"&lt;"&amp;960,m_end,"&gt;"&amp;900)=0,"",IF(COUNTIFS(m_teacher,T$4,m_date,($G$2+10),m_active,1,m_start,"&lt;"&amp;960,m_end,"&gt;"&amp;900)&gt;1,"충돌",HYPERLINK("#'관리자_MASTER'!D"&amp;_xlfn.MAXIFS(m_row,m_teacher,T$4,m_date,($G$2+10),m_active,1,m_start,"&lt;"&amp;960,m_end,"&gt;"&amp;900),INDEX(m_label,_xlfn.MAXIFS(m_row,m_teacher,T$4,m_date,($G$2+10),m_active,1,m_start,"&lt;"&amp;960,m_end,"&gt;"&amp;900))))))</f>
        <v/>
      </c>
      <c r="U44" s="88" t="str">
        <f aca="false">IF(OR(U$4="",MONTH(($G$2+10))&lt;&gt;MONTH($C$2)),"",IF(COUNTIFS(m_teacher,U$4,m_date,($G$2+10),m_active,1,m_start,"&lt;"&amp;960,m_end,"&gt;"&amp;900)=0,"",IF(COUNTIFS(m_teacher,U$4,m_date,($G$2+10),m_active,1,m_start,"&lt;"&amp;960,m_end,"&gt;"&amp;900)&gt;1,"충돌",HYPERLINK("#'관리자_MASTER'!D"&amp;_xlfn.MAXIFS(m_row,m_teacher,U$4,m_date,($G$2+10),m_active,1,m_start,"&lt;"&amp;960,m_end,"&gt;"&amp;900),INDEX(m_label,_xlfn.MAXIFS(m_row,m_teacher,U$4,m_date,($G$2+10),m_active,1,m_start,"&lt;"&amp;960,m_end,"&gt;"&amp;900))))))</f>
        <v/>
      </c>
      <c r="V44" s="88" t="str">
        <f aca="false">IF(OR(V$4="",MONTH(($G$2+10))&lt;&gt;MONTH($C$2)),"",IF(COUNTIFS(m_teacher,V$4,m_date,($G$2+10),m_active,1,m_start,"&lt;"&amp;960,m_end,"&gt;"&amp;900)=0,"",IF(COUNTIFS(m_teacher,V$4,m_date,($G$2+10),m_active,1,m_start,"&lt;"&amp;960,m_end,"&gt;"&amp;900)&gt;1,"충돌",HYPERLINK("#'관리자_MASTER'!D"&amp;_xlfn.MAXIFS(m_row,m_teacher,V$4,m_date,($G$2+10),m_active,1,m_start,"&lt;"&amp;960,m_end,"&gt;"&amp;900),INDEX(m_label,_xlfn.MAXIFS(m_row,m_teacher,V$4,m_date,($G$2+10),m_active,1,m_start,"&lt;"&amp;960,m_end,"&gt;"&amp;900))))))</f>
        <v/>
      </c>
      <c r="W44" s="88" t="str">
        <f aca="false">IF(OR(W$4="",MONTH(($G$2+10))&lt;&gt;MONTH($C$2)),"",IF(COUNTIFS(m_teacher,W$4,m_date,($G$2+10),m_active,1,m_start,"&lt;"&amp;960,m_end,"&gt;"&amp;900)=0,"",IF(COUNTIFS(m_teacher,W$4,m_date,($G$2+10),m_active,1,m_start,"&lt;"&amp;960,m_end,"&gt;"&amp;900)&gt;1,"충돌",HYPERLINK("#'관리자_MASTER'!D"&amp;_xlfn.MAXIFS(m_row,m_teacher,W$4,m_date,($G$2+10),m_active,1,m_start,"&lt;"&amp;960,m_end,"&gt;"&amp;900),INDEX(m_label,_xlfn.MAXIFS(m_row,m_teacher,W$4,m_date,($G$2+10),m_active,1,m_start,"&lt;"&amp;960,m_end,"&gt;"&amp;900))))))</f>
        <v/>
      </c>
      <c r="X44" s="88" t="str">
        <f aca="false">IF(OR(X$4="",MONTH(($G$2+10))&lt;&gt;MONTH($C$2)),"",IF(COUNTIFS(m_teacher,X$4,m_date,($G$2+10),m_active,1,m_start,"&lt;"&amp;960,m_end,"&gt;"&amp;900)=0,"",IF(COUNTIFS(m_teacher,X$4,m_date,($G$2+10),m_active,1,m_start,"&lt;"&amp;960,m_end,"&gt;"&amp;900)&gt;1,"충돌",HYPERLINK("#'관리자_MASTER'!D"&amp;_xlfn.MAXIFS(m_row,m_teacher,X$4,m_date,($G$2+10),m_active,1,m_start,"&lt;"&amp;960,m_end,"&gt;"&amp;900),INDEX(m_label,_xlfn.MAXIFS(m_row,m_teacher,X$4,m_date,($G$2+10),m_active,1,m_start,"&lt;"&amp;960,m_end,"&gt;"&amp;900))))))</f>
        <v/>
      </c>
      <c r="Y44" s="88" t="str">
        <f aca="false">IF(OR(Y$4="",MONTH(($G$2+10))&lt;&gt;MONTH($C$2)),"",IF(COUNTIFS(m_teacher,Y$4,m_date,($G$2+10),m_active,1,m_start,"&lt;"&amp;960,m_end,"&gt;"&amp;900)=0,"",IF(COUNTIFS(m_teacher,Y$4,m_date,($G$2+10),m_active,1,m_start,"&lt;"&amp;960,m_end,"&gt;"&amp;900)&gt;1,"충돌",HYPERLINK("#'관리자_MASTER'!D"&amp;_xlfn.MAXIFS(m_row,m_teacher,Y$4,m_date,($G$2+10),m_active,1,m_start,"&lt;"&amp;960,m_end,"&gt;"&amp;900),INDEX(m_label,_xlfn.MAXIFS(m_row,m_teacher,Y$4,m_date,($G$2+10),m_active,1,m_start,"&lt;"&amp;960,m_end,"&gt;"&amp;900))))))</f>
        <v/>
      </c>
      <c r="Z44" s="88" t="str">
        <f aca="false">IF(OR(Z$4="",MONTH(($G$2+10))&lt;&gt;MONTH($C$2)),"",IF(COUNTIFS(m_teacher,Z$4,m_date,($G$2+10),m_active,1,m_start,"&lt;"&amp;960,m_end,"&gt;"&amp;900)=0,"",IF(COUNTIFS(m_teacher,Z$4,m_date,($G$2+10),m_active,1,m_start,"&lt;"&amp;960,m_end,"&gt;"&amp;900)&gt;1,"충돌",HYPERLINK("#'관리자_MASTER'!D"&amp;_xlfn.MAXIFS(m_row,m_teacher,Z$4,m_date,($G$2+10),m_active,1,m_start,"&lt;"&amp;960,m_end,"&gt;"&amp;900),INDEX(m_label,_xlfn.MAXIFS(m_row,m_teacher,Z$4,m_date,($G$2+10),m_active,1,m_start,"&lt;"&amp;960,m_end,"&gt;"&amp;900))))))</f>
        <v/>
      </c>
      <c r="AA44" s="88" t="str">
        <f aca="false">IF(OR(AA$4="",MONTH(($G$2+10))&lt;&gt;MONTH($C$2)),"",IF(COUNTIFS(m_teacher,AA$4,m_date,($G$2+10),m_active,1,m_start,"&lt;"&amp;960,m_end,"&gt;"&amp;900)=0,"",IF(COUNTIFS(m_teacher,AA$4,m_date,($G$2+10),m_active,1,m_start,"&lt;"&amp;960,m_end,"&gt;"&amp;900)&gt;1,"충돌",HYPERLINK("#'관리자_MASTER'!D"&amp;_xlfn.MAXIFS(m_row,m_teacher,AA$4,m_date,($G$2+10),m_active,1,m_start,"&lt;"&amp;960,m_end,"&gt;"&amp;900),INDEX(m_label,_xlfn.MAXIFS(m_row,m_teacher,AA$4,m_date,($G$2+10),m_active,1,m_start,"&lt;"&amp;960,m_end,"&gt;"&amp;900))))))</f>
        <v/>
      </c>
      <c r="AB44" s="88" t="str">
        <f aca="false">IF(OR(AB$4="",MONTH(($G$2+10))&lt;&gt;MONTH($C$2)),"",IF(COUNTIFS(m_teacher,AB$4,m_date,($G$2+10),m_active,1,m_start,"&lt;"&amp;960,m_end,"&gt;"&amp;900)=0,"",IF(COUNTIFS(m_teacher,AB$4,m_date,($G$2+10),m_active,1,m_start,"&lt;"&amp;960,m_end,"&gt;"&amp;900)&gt;1,"충돌",HYPERLINK("#'관리자_MASTER'!D"&amp;_xlfn.MAXIFS(m_row,m_teacher,AB$4,m_date,($G$2+10),m_active,1,m_start,"&lt;"&amp;960,m_end,"&gt;"&amp;900),INDEX(m_label,_xlfn.MAXIFS(m_row,m_teacher,AB$4,m_date,($G$2+10),m_active,1,m_start,"&lt;"&amp;960,m_end,"&gt;"&amp;900))))))</f>
        <v/>
      </c>
      <c r="AC44" s="78"/>
      <c r="AD44" s="79" t="s">
        <v>97</v>
      </c>
      <c r="AE44" s="88" t="str">
        <f aca="false">IF(OR(AE$4="",MONTH(($G$2+17))&lt;&gt;MONTH($C$2)),"",IF(COUNTIFS(m_teacher,AE$4,m_date,($G$2+17),m_active,1,m_start,"&lt;"&amp;960,m_end,"&gt;"&amp;900)=0,"",IF(COUNTIFS(m_teacher,AE$4,m_date,($G$2+17),m_active,1,m_start,"&lt;"&amp;960,m_end,"&gt;"&amp;900)&gt;1,"충돌",HYPERLINK("#'관리자_MASTER'!D"&amp;_xlfn.MAXIFS(m_row,m_teacher,AE$4,m_date,($G$2+17),m_active,1,m_start,"&lt;"&amp;960,m_end,"&gt;"&amp;900),INDEX(m_label,_xlfn.MAXIFS(m_row,m_teacher,AE$4,m_date,($G$2+17),m_active,1,m_start,"&lt;"&amp;960,m_end,"&gt;"&amp;900))))))</f>
        <v/>
      </c>
      <c r="AF44" s="88" t="str">
        <f aca="false">IF(OR(AF$4="",MONTH(($G$2+17))&lt;&gt;MONTH($C$2)),"",IF(COUNTIFS(m_teacher,AF$4,m_date,($G$2+17),m_active,1,m_start,"&lt;"&amp;960,m_end,"&gt;"&amp;900)=0,"",IF(COUNTIFS(m_teacher,AF$4,m_date,($G$2+17),m_active,1,m_start,"&lt;"&amp;960,m_end,"&gt;"&amp;900)&gt;1,"충돌",HYPERLINK("#'관리자_MASTER'!D"&amp;_xlfn.MAXIFS(m_row,m_teacher,AF$4,m_date,($G$2+17),m_active,1,m_start,"&lt;"&amp;960,m_end,"&gt;"&amp;900),INDEX(m_label,_xlfn.MAXIFS(m_row,m_teacher,AF$4,m_date,($G$2+17),m_active,1,m_start,"&lt;"&amp;960,m_end,"&gt;"&amp;900))))))</f>
        <v/>
      </c>
      <c r="AG44" s="88" t="str">
        <f aca="false">IF(OR(AG$4="",MONTH(($G$2+17))&lt;&gt;MONTH($C$2)),"",IF(COUNTIFS(m_teacher,AG$4,m_date,($G$2+17),m_active,1,m_start,"&lt;"&amp;960,m_end,"&gt;"&amp;900)=0,"",IF(COUNTIFS(m_teacher,AG$4,m_date,($G$2+17),m_active,1,m_start,"&lt;"&amp;960,m_end,"&gt;"&amp;900)&gt;1,"충돌",HYPERLINK("#'관리자_MASTER'!D"&amp;_xlfn.MAXIFS(m_row,m_teacher,AG$4,m_date,($G$2+17),m_active,1,m_start,"&lt;"&amp;960,m_end,"&gt;"&amp;900),INDEX(m_label,_xlfn.MAXIFS(m_row,m_teacher,AG$4,m_date,($G$2+17),m_active,1,m_start,"&lt;"&amp;960,m_end,"&gt;"&amp;900))))))</f>
        <v/>
      </c>
      <c r="AH44" s="88" t="str">
        <f aca="false">IF(OR(AH$4="",MONTH(($G$2+17))&lt;&gt;MONTH($C$2)),"",IF(COUNTIFS(m_teacher,AH$4,m_date,($G$2+17),m_active,1,m_start,"&lt;"&amp;960,m_end,"&gt;"&amp;900)=0,"",IF(COUNTIFS(m_teacher,AH$4,m_date,($G$2+17),m_active,1,m_start,"&lt;"&amp;960,m_end,"&gt;"&amp;900)&gt;1,"충돌",HYPERLINK("#'관리자_MASTER'!D"&amp;_xlfn.MAXIFS(m_row,m_teacher,AH$4,m_date,($G$2+17),m_active,1,m_start,"&lt;"&amp;960,m_end,"&gt;"&amp;900),INDEX(m_label,_xlfn.MAXIFS(m_row,m_teacher,AH$4,m_date,($G$2+17),m_active,1,m_start,"&lt;"&amp;960,m_end,"&gt;"&amp;900))))))</f>
        <v/>
      </c>
      <c r="AI44" s="88" t="str">
        <f aca="false">IF(OR(AI$4="",MONTH(($G$2+17))&lt;&gt;MONTH($C$2)),"",IF(COUNTIFS(m_teacher,AI$4,m_date,($G$2+17),m_active,1,m_start,"&lt;"&amp;960,m_end,"&gt;"&amp;900)=0,"",IF(COUNTIFS(m_teacher,AI$4,m_date,($G$2+17),m_active,1,m_start,"&lt;"&amp;960,m_end,"&gt;"&amp;900)&gt;1,"충돌",HYPERLINK("#'관리자_MASTER'!D"&amp;_xlfn.MAXIFS(m_row,m_teacher,AI$4,m_date,($G$2+17),m_active,1,m_start,"&lt;"&amp;960,m_end,"&gt;"&amp;900),INDEX(m_label,_xlfn.MAXIFS(m_row,m_teacher,AI$4,m_date,($G$2+17),m_active,1,m_start,"&lt;"&amp;960,m_end,"&gt;"&amp;900))))))</f>
        <v/>
      </c>
      <c r="AJ44" s="88" t="str">
        <f aca="false">IF(OR(AJ$4="",MONTH(($G$2+17))&lt;&gt;MONTH($C$2)),"",IF(COUNTIFS(m_teacher,AJ$4,m_date,($G$2+17),m_active,1,m_start,"&lt;"&amp;960,m_end,"&gt;"&amp;900)=0,"",IF(COUNTIFS(m_teacher,AJ$4,m_date,($G$2+17),m_active,1,m_start,"&lt;"&amp;960,m_end,"&gt;"&amp;900)&gt;1,"충돌",HYPERLINK("#'관리자_MASTER'!D"&amp;_xlfn.MAXIFS(m_row,m_teacher,AJ$4,m_date,($G$2+17),m_active,1,m_start,"&lt;"&amp;960,m_end,"&gt;"&amp;900),INDEX(m_label,_xlfn.MAXIFS(m_row,m_teacher,AJ$4,m_date,($G$2+17),m_active,1,m_start,"&lt;"&amp;960,m_end,"&gt;"&amp;900))))))</f>
        <v/>
      </c>
      <c r="AK44" s="88" t="str">
        <f aca="false">IF(OR(AK$4="",MONTH(($G$2+17))&lt;&gt;MONTH($C$2)),"",IF(COUNTIFS(m_teacher,AK$4,m_date,($G$2+17),m_active,1,m_start,"&lt;"&amp;960,m_end,"&gt;"&amp;900)=0,"",IF(COUNTIFS(m_teacher,AK$4,m_date,($G$2+17),m_active,1,m_start,"&lt;"&amp;960,m_end,"&gt;"&amp;900)&gt;1,"충돌",HYPERLINK("#'관리자_MASTER'!D"&amp;_xlfn.MAXIFS(m_row,m_teacher,AK$4,m_date,($G$2+17),m_active,1,m_start,"&lt;"&amp;960,m_end,"&gt;"&amp;900),INDEX(m_label,_xlfn.MAXIFS(m_row,m_teacher,AK$4,m_date,($G$2+17),m_active,1,m_start,"&lt;"&amp;960,m_end,"&gt;"&amp;900))))))</f>
        <v/>
      </c>
      <c r="AL44" s="88" t="str">
        <f aca="false">IF(OR(AL$4="",MONTH(($G$2+17))&lt;&gt;MONTH($C$2)),"",IF(COUNTIFS(m_teacher,AL$4,m_date,($G$2+17),m_active,1,m_start,"&lt;"&amp;960,m_end,"&gt;"&amp;900)=0,"",IF(COUNTIFS(m_teacher,AL$4,m_date,($G$2+17),m_active,1,m_start,"&lt;"&amp;960,m_end,"&gt;"&amp;900)&gt;1,"충돌",HYPERLINK("#'관리자_MASTER'!D"&amp;_xlfn.MAXIFS(m_row,m_teacher,AL$4,m_date,($G$2+17),m_active,1,m_start,"&lt;"&amp;960,m_end,"&gt;"&amp;900),INDEX(m_label,_xlfn.MAXIFS(m_row,m_teacher,AL$4,m_date,($G$2+17),m_active,1,m_start,"&lt;"&amp;960,m_end,"&gt;"&amp;900))))))</f>
        <v/>
      </c>
      <c r="AM44" s="88" t="str">
        <f aca="false">IF(OR(AM$4="",MONTH(($G$2+17))&lt;&gt;MONTH($C$2)),"",IF(COUNTIFS(m_teacher,AM$4,m_date,($G$2+17),m_active,1,m_start,"&lt;"&amp;960,m_end,"&gt;"&amp;900)=0,"",IF(COUNTIFS(m_teacher,AM$4,m_date,($G$2+17),m_active,1,m_start,"&lt;"&amp;960,m_end,"&gt;"&amp;900)&gt;1,"충돌",HYPERLINK("#'관리자_MASTER'!D"&amp;_xlfn.MAXIFS(m_row,m_teacher,AM$4,m_date,($G$2+17),m_active,1,m_start,"&lt;"&amp;960,m_end,"&gt;"&amp;900),INDEX(m_label,_xlfn.MAXIFS(m_row,m_teacher,AM$4,m_date,($G$2+17),m_active,1,m_start,"&lt;"&amp;960,m_end,"&gt;"&amp;900))))))</f>
        <v/>
      </c>
      <c r="AN44" s="88" t="str">
        <f aca="false">IF(OR(AN$4="",MONTH(($G$2+17))&lt;&gt;MONTH($C$2)),"",IF(COUNTIFS(m_teacher,AN$4,m_date,($G$2+17),m_active,1,m_start,"&lt;"&amp;960,m_end,"&gt;"&amp;900)=0,"",IF(COUNTIFS(m_teacher,AN$4,m_date,($G$2+17),m_active,1,m_start,"&lt;"&amp;960,m_end,"&gt;"&amp;900)&gt;1,"충돌",HYPERLINK("#'관리자_MASTER'!D"&amp;_xlfn.MAXIFS(m_row,m_teacher,AN$4,m_date,($G$2+17),m_active,1,m_start,"&lt;"&amp;960,m_end,"&gt;"&amp;900),INDEX(m_label,_xlfn.MAXIFS(m_row,m_teacher,AN$4,m_date,($G$2+17),m_active,1,m_start,"&lt;"&amp;960,m_end,"&gt;"&amp;900))))))</f>
        <v/>
      </c>
      <c r="AO44" s="88" t="str">
        <f aca="false">IF(OR(AO$4="",MONTH(($G$2+17))&lt;&gt;MONTH($C$2)),"",IF(COUNTIFS(m_teacher,AO$4,m_date,($G$2+17),m_active,1,m_start,"&lt;"&amp;960,m_end,"&gt;"&amp;900)=0,"",IF(COUNTIFS(m_teacher,AO$4,m_date,($G$2+17),m_active,1,m_start,"&lt;"&amp;960,m_end,"&gt;"&amp;900)&gt;1,"충돌",HYPERLINK("#'관리자_MASTER'!D"&amp;_xlfn.MAXIFS(m_row,m_teacher,AO$4,m_date,($G$2+17),m_active,1,m_start,"&lt;"&amp;960,m_end,"&gt;"&amp;900),INDEX(m_label,_xlfn.MAXIFS(m_row,m_teacher,AO$4,m_date,($G$2+17),m_active,1,m_start,"&lt;"&amp;960,m_end,"&gt;"&amp;900))))))</f>
        <v/>
      </c>
      <c r="AP44" s="88" t="str">
        <f aca="false">IF(OR(AP$4="",MONTH(($G$2+17))&lt;&gt;MONTH($C$2)),"",IF(COUNTIFS(m_teacher,AP$4,m_date,($G$2+17),m_active,1,m_start,"&lt;"&amp;960,m_end,"&gt;"&amp;900)=0,"",IF(COUNTIFS(m_teacher,AP$4,m_date,($G$2+17),m_active,1,m_start,"&lt;"&amp;960,m_end,"&gt;"&amp;900)&gt;1,"충돌",HYPERLINK("#'관리자_MASTER'!D"&amp;_xlfn.MAXIFS(m_row,m_teacher,AP$4,m_date,($G$2+17),m_active,1,m_start,"&lt;"&amp;960,m_end,"&gt;"&amp;900),INDEX(m_label,_xlfn.MAXIFS(m_row,m_teacher,AP$4,m_date,($G$2+17),m_active,1,m_start,"&lt;"&amp;960,m_end,"&gt;"&amp;900))))))</f>
        <v/>
      </c>
      <c r="AQ44" s="78"/>
      <c r="AR44" s="79" t="s">
        <v>97</v>
      </c>
      <c r="AS44" s="88" t="str">
        <f aca="false">IF(OR(AS$4="",MONTH(($G$2+24))&lt;&gt;MONTH($C$2)),"",IF(COUNTIFS(m_teacher,AS$4,m_date,($G$2+24),m_active,1,m_start,"&lt;"&amp;960,m_end,"&gt;"&amp;900)=0,"",IF(COUNTIFS(m_teacher,AS$4,m_date,($G$2+24),m_active,1,m_start,"&lt;"&amp;960,m_end,"&gt;"&amp;900)&gt;1,"충돌",HYPERLINK("#'관리자_MASTER'!D"&amp;_xlfn.MAXIFS(m_row,m_teacher,AS$4,m_date,($G$2+24),m_active,1,m_start,"&lt;"&amp;960,m_end,"&gt;"&amp;900),INDEX(m_label,_xlfn.MAXIFS(m_row,m_teacher,AS$4,m_date,($G$2+24),m_active,1,m_start,"&lt;"&amp;960,m_end,"&gt;"&amp;900))))))</f>
        <v/>
      </c>
      <c r="AT44" s="88" t="str">
        <f aca="false">IF(OR(AT$4="",MONTH(($G$2+24))&lt;&gt;MONTH($C$2)),"",IF(COUNTIFS(m_teacher,AT$4,m_date,($G$2+24),m_active,1,m_start,"&lt;"&amp;960,m_end,"&gt;"&amp;900)=0,"",IF(COUNTIFS(m_teacher,AT$4,m_date,($G$2+24),m_active,1,m_start,"&lt;"&amp;960,m_end,"&gt;"&amp;900)&gt;1,"충돌",HYPERLINK("#'관리자_MASTER'!D"&amp;_xlfn.MAXIFS(m_row,m_teacher,AT$4,m_date,($G$2+24),m_active,1,m_start,"&lt;"&amp;960,m_end,"&gt;"&amp;900),INDEX(m_label,_xlfn.MAXIFS(m_row,m_teacher,AT$4,m_date,($G$2+24),m_active,1,m_start,"&lt;"&amp;960,m_end,"&gt;"&amp;900))))))</f>
        <v/>
      </c>
      <c r="AU44" s="88" t="str">
        <f aca="false">IF(OR(AU$4="",MONTH(($G$2+24))&lt;&gt;MONTH($C$2)),"",IF(COUNTIFS(m_teacher,AU$4,m_date,($G$2+24),m_active,1,m_start,"&lt;"&amp;960,m_end,"&gt;"&amp;900)=0,"",IF(COUNTIFS(m_teacher,AU$4,m_date,($G$2+24),m_active,1,m_start,"&lt;"&amp;960,m_end,"&gt;"&amp;900)&gt;1,"충돌",HYPERLINK("#'관리자_MASTER'!D"&amp;_xlfn.MAXIFS(m_row,m_teacher,AU$4,m_date,($G$2+24),m_active,1,m_start,"&lt;"&amp;960,m_end,"&gt;"&amp;900),INDEX(m_label,_xlfn.MAXIFS(m_row,m_teacher,AU$4,m_date,($G$2+24),m_active,1,m_start,"&lt;"&amp;960,m_end,"&gt;"&amp;900))))))</f>
        <v/>
      </c>
      <c r="AV44" s="88" t="str">
        <f aca="false">IF(OR(AV$4="",MONTH(($G$2+24))&lt;&gt;MONTH($C$2)),"",IF(COUNTIFS(m_teacher,AV$4,m_date,($G$2+24),m_active,1,m_start,"&lt;"&amp;960,m_end,"&gt;"&amp;900)=0,"",IF(COUNTIFS(m_teacher,AV$4,m_date,($G$2+24),m_active,1,m_start,"&lt;"&amp;960,m_end,"&gt;"&amp;900)&gt;1,"충돌",HYPERLINK("#'관리자_MASTER'!D"&amp;_xlfn.MAXIFS(m_row,m_teacher,AV$4,m_date,($G$2+24),m_active,1,m_start,"&lt;"&amp;960,m_end,"&gt;"&amp;900),INDEX(m_label,_xlfn.MAXIFS(m_row,m_teacher,AV$4,m_date,($G$2+24),m_active,1,m_start,"&lt;"&amp;960,m_end,"&gt;"&amp;900))))))</f>
        <v/>
      </c>
      <c r="AW44" s="88" t="str">
        <f aca="false">IF(OR(AW$4="",MONTH(($G$2+24))&lt;&gt;MONTH($C$2)),"",IF(COUNTIFS(m_teacher,AW$4,m_date,($G$2+24),m_active,1,m_start,"&lt;"&amp;960,m_end,"&gt;"&amp;900)=0,"",IF(COUNTIFS(m_teacher,AW$4,m_date,($G$2+24),m_active,1,m_start,"&lt;"&amp;960,m_end,"&gt;"&amp;900)&gt;1,"충돌",HYPERLINK("#'관리자_MASTER'!D"&amp;_xlfn.MAXIFS(m_row,m_teacher,AW$4,m_date,($G$2+24),m_active,1,m_start,"&lt;"&amp;960,m_end,"&gt;"&amp;900),INDEX(m_label,_xlfn.MAXIFS(m_row,m_teacher,AW$4,m_date,($G$2+24),m_active,1,m_start,"&lt;"&amp;960,m_end,"&gt;"&amp;900))))))</f>
        <v/>
      </c>
      <c r="AX44" s="88" t="str">
        <f aca="false">IF(OR(AX$4="",MONTH(($G$2+24))&lt;&gt;MONTH($C$2)),"",IF(COUNTIFS(m_teacher,AX$4,m_date,($G$2+24),m_active,1,m_start,"&lt;"&amp;960,m_end,"&gt;"&amp;900)=0,"",IF(COUNTIFS(m_teacher,AX$4,m_date,($G$2+24),m_active,1,m_start,"&lt;"&amp;960,m_end,"&gt;"&amp;900)&gt;1,"충돌",HYPERLINK("#'관리자_MASTER'!D"&amp;_xlfn.MAXIFS(m_row,m_teacher,AX$4,m_date,($G$2+24),m_active,1,m_start,"&lt;"&amp;960,m_end,"&gt;"&amp;900),INDEX(m_label,_xlfn.MAXIFS(m_row,m_teacher,AX$4,m_date,($G$2+24),m_active,1,m_start,"&lt;"&amp;960,m_end,"&gt;"&amp;900))))))</f>
        <v/>
      </c>
      <c r="AY44" s="88" t="str">
        <f aca="false">IF(OR(AY$4="",MONTH(($G$2+24))&lt;&gt;MONTH($C$2)),"",IF(COUNTIFS(m_teacher,AY$4,m_date,($G$2+24),m_active,1,m_start,"&lt;"&amp;960,m_end,"&gt;"&amp;900)=0,"",IF(COUNTIFS(m_teacher,AY$4,m_date,($G$2+24),m_active,1,m_start,"&lt;"&amp;960,m_end,"&gt;"&amp;900)&gt;1,"충돌",HYPERLINK("#'관리자_MASTER'!D"&amp;_xlfn.MAXIFS(m_row,m_teacher,AY$4,m_date,($G$2+24),m_active,1,m_start,"&lt;"&amp;960,m_end,"&gt;"&amp;900),INDEX(m_label,_xlfn.MAXIFS(m_row,m_teacher,AY$4,m_date,($G$2+24),m_active,1,m_start,"&lt;"&amp;960,m_end,"&gt;"&amp;900))))))</f>
        <v/>
      </c>
      <c r="AZ44" s="88" t="str">
        <f aca="false">IF(OR(AZ$4="",MONTH(($G$2+24))&lt;&gt;MONTH($C$2)),"",IF(COUNTIFS(m_teacher,AZ$4,m_date,($G$2+24),m_active,1,m_start,"&lt;"&amp;960,m_end,"&gt;"&amp;900)=0,"",IF(COUNTIFS(m_teacher,AZ$4,m_date,($G$2+24),m_active,1,m_start,"&lt;"&amp;960,m_end,"&gt;"&amp;900)&gt;1,"충돌",HYPERLINK("#'관리자_MASTER'!D"&amp;_xlfn.MAXIFS(m_row,m_teacher,AZ$4,m_date,($G$2+24),m_active,1,m_start,"&lt;"&amp;960,m_end,"&gt;"&amp;900),INDEX(m_label,_xlfn.MAXIFS(m_row,m_teacher,AZ$4,m_date,($G$2+24),m_active,1,m_start,"&lt;"&amp;960,m_end,"&gt;"&amp;900))))))</f>
        <v/>
      </c>
      <c r="BA44" s="88" t="str">
        <f aca="false">IF(OR(BA$4="",MONTH(($G$2+24))&lt;&gt;MONTH($C$2)),"",IF(COUNTIFS(m_teacher,BA$4,m_date,($G$2+24),m_active,1,m_start,"&lt;"&amp;960,m_end,"&gt;"&amp;900)=0,"",IF(COUNTIFS(m_teacher,BA$4,m_date,($G$2+24),m_active,1,m_start,"&lt;"&amp;960,m_end,"&gt;"&amp;900)&gt;1,"충돌",HYPERLINK("#'관리자_MASTER'!D"&amp;_xlfn.MAXIFS(m_row,m_teacher,BA$4,m_date,($G$2+24),m_active,1,m_start,"&lt;"&amp;960,m_end,"&gt;"&amp;900),INDEX(m_label,_xlfn.MAXIFS(m_row,m_teacher,BA$4,m_date,($G$2+24),m_active,1,m_start,"&lt;"&amp;960,m_end,"&gt;"&amp;900))))))</f>
        <v/>
      </c>
      <c r="BB44" s="88" t="str">
        <f aca="false">IF(OR(BB$4="",MONTH(($G$2+24))&lt;&gt;MONTH($C$2)),"",IF(COUNTIFS(m_teacher,BB$4,m_date,($G$2+24),m_active,1,m_start,"&lt;"&amp;960,m_end,"&gt;"&amp;900)=0,"",IF(COUNTIFS(m_teacher,BB$4,m_date,($G$2+24),m_active,1,m_start,"&lt;"&amp;960,m_end,"&gt;"&amp;900)&gt;1,"충돌",HYPERLINK("#'관리자_MASTER'!D"&amp;_xlfn.MAXIFS(m_row,m_teacher,BB$4,m_date,($G$2+24),m_active,1,m_start,"&lt;"&amp;960,m_end,"&gt;"&amp;900),INDEX(m_label,_xlfn.MAXIFS(m_row,m_teacher,BB$4,m_date,($G$2+24),m_active,1,m_start,"&lt;"&amp;960,m_end,"&gt;"&amp;900))))))</f>
        <v/>
      </c>
      <c r="BC44" s="88" t="str">
        <f aca="false">IF(OR(BC$4="",MONTH(($G$2+24))&lt;&gt;MONTH($C$2)),"",IF(COUNTIFS(m_teacher,BC$4,m_date,($G$2+24),m_active,1,m_start,"&lt;"&amp;960,m_end,"&gt;"&amp;900)=0,"",IF(COUNTIFS(m_teacher,BC$4,m_date,($G$2+24),m_active,1,m_start,"&lt;"&amp;960,m_end,"&gt;"&amp;900)&gt;1,"충돌",HYPERLINK("#'관리자_MASTER'!D"&amp;_xlfn.MAXIFS(m_row,m_teacher,BC$4,m_date,($G$2+24),m_active,1,m_start,"&lt;"&amp;960,m_end,"&gt;"&amp;900),INDEX(m_label,_xlfn.MAXIFS(m_row,m_teacher,BC$4,m_date,($G$2+24),m_active,1,m_start,"&lt;"&amp;960,m_end,"&gt;"&amp;900))))))</f>
        <v/>
      </c>
      <c r="BD44" s="88" t="str">
        <f aca="false">IF(OR(BD$4="",MONTH(($G$2+24))&lt;&gt;MONTH($C$2)),"",IF(COUNTIFS(m_teacher,BD$4,m_date,($G$2+24),m_active,1,m_start,"&lt;"&amp;960,m_end,"&gt;"&amp;900)=0,"",IF(COUNTIFS(m_teacher,BD$4,m_date,($G$2+24),m_active,1,m_start,"&lt;"&amp;960,m_end,"&gt;"&amp;900)&gt;1,"충돌",HYPERLINK("#'관리자_MASTER'!D"&amp;_xlfn.MAXIFS(m_row,m_teacher,BD$4,m_date,($G$2+24),m_active,1,m_start,"&lt;"&amp;960,m_end,"&gt;"&amp;900),INDEX(m_label,_xlfn.MAXIFS(m_row,m_teacher,BD$4,m_date,($G$2+24),m_active,1,m_start,"&lt;"&amp;960,m_end,"&gt;"&amp;900))))))</f>
        <v/>
      </c>
      <c r="BE44" s="78"/>
      <c r="BF44" s="79" t="s">
        <v>97</v>
      </c>
      <c r="BG44" s="88" t="str">
        <f aca="false">IF(OR(BG$4="",MONTH(($G$2+31))&lt;&gt;MONTH($C$2)),"",IF(COUNTIFS(m_teacher,BG$4,m_date,($G$2+31),m_active,1,m_start,"&lt;"&amp;960,m_end,"&gt;"&amp;900)=0,"",IF(COUNTIFS(m_teacher,BG$4,m_date,($G$2+31),m_active,1,m_start,"&lt;"&amp;960,m_end,"&gt;"&amp;900)&gt;1,"충돌",HYPERLINK("#'관리자_MASTER'!D"&amp;_xlfn.MAXIFS(m_row,m_teacher,BG$4,m_date,($G$2+31),m_active,1,m_start,"&lt;"&amp;960,m_end,"&gt;"&amp;900),INDEX(m_label,_xlfn.MAXIFS(m_row,m_teacher,BG$4,m_date,($G$2+31),m_active,1,m_start,"&lt;"&amp;960,m_end,"&gt;"&amp;900))))))</f>
        <v/>
      </c>
      <c r="BH44" s="88" t="str">
        <f aca="false">IF(OR(BH$4="",MONTH(($G$2+31))&lt;&gt;MONTH($C$2)),"",IF(COUNTIFS(m_teacher,BH$4,m_date,($G$2+31),m_active,1,m_start,"&lt;"&amp;960,m_end,"&gt;"&amp;900)=0,"",IF(COUNTIFS(m_teacher,BH$4,m_date,($G$2+31),m_active,1,m_start,"&lt;"&amp;960,m_end,"&gt;"&amp;900)&gt;1,"충돌",HYPERLINK("#'관리자_MASTER'!D"&amp;_xlfn.MAXIFS(m_row,m_teacher,BH$4,m_date,($G$2+31),m_active,1,m_start,"&lt;"&amp;960,m_end,"&gt;"&amp;900),INDEX(m_label,_xlfn.MAXIFS(m_row,m_teacher,BH$4,m_date,($G$2+31),m_active,1,m_start,"&lt;"&amp;960,m_end,"&gt;"&amp;900))))))</f>
        <v/>
      </c>
      <c r="BI44" s="88" t="str">
        <f aca="false">IF(OR(BI$4="",MONTH(($G$2+31))&lt;&gt;MONTH($C$2)),"",IF(COUNTIFS(m_teacher,BI$4,m_date,($G$2+31),m_active,1,m_start,"&lt;"&amp;960,m_end,"&gt;"&amp;900)=0,"",IF(COUNTIFS(m_teacher,BI$4,m_date,($G$2+31),m_active,1,m_start,"&lt;"&amp;960,m_end,"&gt;"&amp;900)&gt;1,"충돌",HYPERLINK("#'관리자_MASTER'!D"&amp;_xlfn.MAXIFS(m_row,m_teacher,BI$4,m_date,($G$2+31),m_active,1,m_start,"&lt;"&amp;960,m_end,"&gt;"&amp;900),INDEX(m_label,_xlfn.MAXIFS(m_row,m_teacher,BI$4,m_date,($G$2+31),m_active,1,m_start,"&lt;"&amp;960,m_end,"&gt;"&amp;900))))))</f>
        <v/>
      </c>
      <c r="BJ44" s="88" t="str">
        <f aca="false">IF(OR(BJ$4="",MONTH(($G$2+31))&lt;&gt;MONTH($C$2)),"",IF(COUNTIFS(m_teacher,BJ$4,m_date,($G$2+31),m_active,1,m_start,"&lt;"&amp;960,m_end,"&gt;"&amp;900)=0,"",IF(COUNTIFS(m_teacher,BJ$4,m_date,($G$2+31),m_active,1,m_start,"&lt;"&amp;960,m_end,"&gt;"&amp;900)&gt;1,"충돌",HYPERLINK("#'관리자_MASTER'!D"&amp;_xlfn.MAXIFS(m_row,m_teacher,BJ$4,m_date,($G$2+31),m_active,1,m_start,"&lt;"&amp;960,m_end,"&gt;"&amp;900),INDEX(m_label,_xlfn.MAXIFS(m_row,m_teacher,BJ$4,m_date,($G$2+31),m_active,1,m_start,"&lt;"&amp;960,m_end,"&gt;"&amp;900))))))</f>
        <v/>
      </c>
      <c r="BK44" s="88" t="str">
        <f aca="false">IF(OR(BK$4="",MONTH(($G$2+31))&lt;&gt;MONTH($C$2)),"",IF(COUNTIFS(m_teacher,BK$4,m_date,($G$2+31),m_active,1,m_start,"&lt;"&amp;960,m_end,"&gt;"&amp;900)=0,"",IF(COUNTIFS(m_teacher,BK$4,m_date,($G$2+31),m_active,1,m_start,"&lt;"&amp;960,m_end,"&gt;"&amp;900)&gt;1,"충돌",HYPERLINK("#'관리자_MASTER'!D"&amp;_xlfn.MAXIFS(m_row,m_teacher,BK$4,m_date,($G$2+31),m_active,1,m_start,"&lt;"&amp;960,m_end,"&gt;"&amp;900),INDEX(m_label,_xlfn.MAXIFS(m_row,m_teacher,BK$4,m_date,($G$2+31),m_active,1,m_start,"&lt;"&amp;960,m_end,"&gt;"&amp;900))))))</f>
        <v/>
      </c>
      <c r="BL44" s="88" t="str">
        <f aca="false">IF(OR(BL$4="",MONTH(($G$2+31))&lt;&gt;MONTH($C$2)),"",IF(COUNTIFS(m_teacher,BL$4,m_date,($G$2+31),m_active,1,m_start,"&lt;"&amp;960,m_end,"&gt;"&amp;900)=0,"",IF(COUNTIFS(m_teacher,BL$4,m_date,($G$2+31),m_active,1,m_start,"&lt;"&amp;960,m_end,"&gt;"&amp;900)&gt;1,"충돌",HYPERLINK("#'관리자_MASTER'!D"&amp;_xlfn.MAXIFS(m_row,m_teacher,BL$4,m_date,($G$2+31),m_active,1,m_start,"&lt;"&amp;960,m_end,"&gt;"&amp;900),INDEX(m_label,_xlfn.MAXIFS(m_row,m_teacher,BL$4,m_date,($G$2+31),m_active,1,m_start,"&lt;"&amp;960,m_end,"&gt;"&amp;900))))))</f>
        <v/>
      </c>
      <c r="BM44" s="88" t="str">
        <f aca="false">IF(OR(BM$4="",MONTH(($G$2+31))&lt;&gt;MONTH($C$2)),"",IF(COUNTIFS(m_teacher,BM$4,m_date,($G$2+31),m_active,1,m_start,"&lt;"&amp;960,m_end,"&gt;"&amp;900)=0,"",IF(COUNTIFS(m_teacher,BM$4,m_date,($G$2+31),m_active,1,m_start,"&lt;"&amp;960,m_end,"&gt;"&amp;900)&gt;1,"충돌",HYPERLINK("#'관리자_MASTER'!D"&amp;_xlfn.MAXIFS(m_row,m_teacher,BM$4,m_date,($G$2+31),m_active,1,m_start,"&lt;"&amp;960,m_end,"&gt;"&amp;900),INDEX(m_label,_xlfn.MAXIFS(m_row,m_teacher,BM$4,m_date,($G$2+31),m_active,1,m_start,"&lt;"&amp;960,m_end,"&gt;"&amp;900))))))</f>
        <v/>
      </c>
      <c r="BN44" s="88" t="str">
        <f aca="false">IF(OR(BN$4="",MONTH(($G$2+31))&lt;&gt;MONTH($C$2)),"",IF(COUNTIFS(m_teacher,BN$4,m_date,($G$2+31),m_active,1,m_start,"&lt;"&amp;960,m_end,"&gt;"&amp;900)=0,"",IF(COUNTIFS(m_teacher,BN$4,m_date,($G$2+31),m_active,1,m_start,"&lt;"&amp;960,m_end,"&gt;"&amp;900)&gt;1,"충돌",HYPERLINK("#'관리자_MASTER'!D"&amp;_xlfn.MAXIFS(m_row,m_teacher,BN$4,m_date,($G$2+31),m_active,1,m_start,"&lt;"&amp;960,m_end,"&gt;"&amp;900),INDEX(m_label,_xlfn.MAXIFS(m_row,m_teacher,BN$4,m_date,($G$2+31),m_active,1,m_start,"&lt;"&amp;960,m_end,"&gt;"&amp;900))))))</f>
        <v/>
      </c>
      <c r="BO44" s="88" t="str">
        <f aca="false">IF(OR(BO$4="",MONTH(($G$2+31))&lt;&gt;MONTH($C$2)),"",IF(COUNTIFS(m_teacher,BO$4,m_date,($G$2+31),m_active,1,m_start,"&lt;"&amp;960,m_end,"&gt;"&amp;900)=0,"",IF(COUNTIFS(m_teacher,BO$4,m_date,($G$2+31),m_active,1,m_start,"&lt;"&amp;960,m_end,"&gt;"&amp;900)&gt;1,"충돌",HYPERLINK("#'관리자_MASTER'!D"&amp;_xlfn.MAXIFS(m_row,m_teacher,BO$4,m_date,($G$2+31),m_active,1,m_start,"&lt;"&amp;960,m_end,"&gt;"&amp;900),INDEX(m_label,_xlfn.MAXIFS(m_row,m_teacher,BO$4,m_date,($G$2+31),m_active,1,m_start,"&lt;"&amp;960,m_end,"&gt;"&amp;900))))))</f>
        <v/>
      </c>
      <c r="BP44" s="88" t="str">
        <f aca="false">IF(OR(BP$4="",MONTH(($G$2+31))&lt;&gt;MONTH($C$2)),"",IF(COUNTIFS(m_teacher,BP$4,m_date,($G$2+31),m_active,1,m_start,"&lt;"&amp;960,m_end,"&gt;"&amp;900)=0,"",IF(COUNTIFS(m_teacher,BP$4,m_date,($G$2+31),m_active,1,m_start,"&lt;"&amp;960,m_end,"&gt;"&amp;900)&gt;1,"충돌",HYPERLINK("#'관리자_MASTER'!D"&amp;_xlfn.MAXIFS(m_row,m_teacher,BP$4,m_date,($G$2+31),m_active,1,m_start,"&lt;"&amp;960,m_end,"&gt;"&amp;900),INDEX(m_label,_xlfn.MAXIFS(m_row,m_teacher,BP$4,m_date,($G$2+31),m_active,1,m_start,"&lt;"&amp;960,m_end,"&gt;"&amp;900))))))</f>
        <v/>
      </c>
      <c r="BQ44" s="88" t="str">
        <f aca="false">IF(OR(BQ$4="",MONTH(($G$2+31))&lt;&gt;MONTH($C$2)),"",IF(COUNTIFS(m_teacher,BQ$4,m_date,($G$2+31),m_active,1,m_start,"&lt;"&amp;960,m_end,"&gt;"&amp;900)=0,"",IF(COUNTIFS(m_teacher,BQ$4,m_date,($G$2+31),m_active,1,m_start,"&lt;"&amp;960,m_end,"&gt;"&amp;900)&gt;1,"충돌",HYPERLINK("#'관리자_MASTER'!D"&amp;_xlfn.MAXIFS(m_row,m_teacher,BQ$4,m_date,($G$2+31),m_active,1,m_start,"&lt;"&amp;960,m_end,"&gt;"&amp;900),INDEX(m_label,_xlfn.MAXIFS(m_row,m_teacher,BQ$4,m_date,($G$2+31),m_active,1,m_start,"&lt;"&amp;960,m_end,"&gt;"&amp;900))))))</f>
        <v/>
      </c>
      <c r="BR44" s="88" t="str">
        <f aca="false">IF(OR(BR$4="",MONTH(($G$2+31))&lt;&gt;MONTH($C$2)),"",IF(COUNTIFS(m_teacher,BR$4,m_date,($G$2+31),m_active,1,m_start,"&lt;"&amp;960,m_end,"&gt;"&amp;900)=0,"",IF(COUNTIFS(m_teacher,BR$4,m_date,($G$2+31),m_active,1,m_start,"&lt;"&amp;960,m_end,"&gt;"&amp;900)&gt;1,"충돌",HYPERLINK("#'관리자_MASTER'!D"&amp;_xlfn.MAXIFS(m_row,m_teacher,BR$4,m_date,($G$2+31),m_active,1,m_start,"&lt;"&amp;960,m_end,"&gt;"&amp;900),INDEX(m_label,_xlfn.MAXIFS(m_row,m_teacher,BR$4,m_date,($G$2+31),m_active,1,m_start,"&lt;"&amp;960,m_end,"&gt;"&amp;900))))))</f>
        <v/>
      </c>
    </row>
    <row r="45" customFormat="false" ht="19.5" hidden="false" customHeight="true" outlineLevel="0" collapsed="false">
      <c r="A45" s="75"/>
      <c r="B45" s="76" t="s">
        <v>98</v>
      </c>
      <c r="C45" s="81" t="str">
        <f aca="false">IF(OR(C$4="",MONTH(($G$2+3))&lt;&gt;MONTH($C$2)),"",IF(COUNTIFS(m_teacher,C$4,m_date,($G$2+3),m_active,1,m_start,"&lt;"&amp;1020,m_end,"&gt;"&amp;960)=0,"",IF(COUNTIFS(m_teacher,C$4,m_date,($G$2+3),m_active,1,m_start,"&lt;"&amp;1020,m_end,"&gt;"&amp;960)&gt;1,"충돌",HYPERLINK("#'관리자_MASTER'!D"&amp;_xlfn.MAXIFS(m_row,m_teacher,C$4,m_date,($G$2+3),m_active,1,m_start,"&lt;"&amp;1020,m_end,"&gt;"&amp;960),INDEX(m_label,_xlfn.MAXIFS(m_row,m_teacher,C$4,m_date,($G$2+3),m_active,1,m_start,"&lt;"&amp;1020,m_end,"&gt;"&amp;960))))))</f>
        <v/>
      </c>
      <c r="D45" s="81" t="str">
        <f aca="false">IF(OR(D$4="",MONTH(($G$2+3))&lt;&gt;MONTH($C$2)),"",IF(COUNTIFS(m_teacher,D$4,m_date,($G$2+3),m_active,1,m_start,"&lt;"&amp;1020,m_end,"&gt;"&amp;960)=0,"",IF(COUNTIFS(m_teacher,D$4,m_date,($G$2+3),m_active,1,m_start,"&lt;"&amp;1020,m_end,"&gt;"&amp;960)&gt;1,"충돌",HYPERLINK("#'관리자_MASTER'!D"&amp;_xlfn.MAXIFS(m_row,m_teacher,D$4,m_date,($G$2+3),m_active,1,m_start,"&lt;"&amp;1020,m_end,"&gt;"&amp;960),INDEX(m_label,_xlfn.MAXIFS(m_row,m_teacher,D$4,m_date,($G$2+3),m_active,1,m_start,"&lt;"&amp;1020,m_end,"&gt;"&amp;960))))))</f>
        <v/>
      </c>
      <c r="E45" s="81" t="str">
        <f aca="false">IF(OR(E$4="",MONTH(($G$2+3))&lt;&gt;MONTH($C$2)),"",IF(COUNTIFS(m_teacher,E$4,m_date,($G$2+3),m_active,1,m_start,"&lt;"&amp;1020,m_end,"&gt;"&amp;960)=0,"",IF(COUNTIFS(m_teacher,E$4,m_date,($G$2+3),m_active,1,m_start,"&lt;"&amp;1020,m_end,"&gt;"&amp;960)&gt;1,"충돌",HYPERLINK("#'관리자_MASTER'!D"&amp;_xlfn.MAXIFS(m_row,m_teacher,E$4,m_date,($G$2+3),m_active,1,m_start,"&lt;"&amp;1020,m_end,"&gt;"&amp;960),INDEX(m_label,_xlfn.MAXIFS(m_row,m_teacher,E$4,m_date,($G$2+3),m_active,1,m_start,"&lt;"&amp;1020,m_end,"&gt;"&amp;960))))))</f>
        <v/>
      </c>
      <c r="F45" s="81" t="str">
        <f aca="false">IF(OR(F$4="",MONTH(($G$2+3))&lt;&gt;MONTH($C$2)),"",IF(COUNTIFS(m_teacher,F$4,m_date,($G$2+3),m_active,1,m_start,"&lt;"&amp;1020,m_end,"&gt;"&amp;960)=0,"",IF(COUNTIFS(m_teacher,F$4,m_date,($G$2+3),m_active,1,m_start,"&lt;"&amp;1020,m_end,"&gt;"&amp;960)&gt;1,"충돌",HYPERLINK("#'관리자_MASTER'!D"&amp;_xlfn.MAXIFS(m_row,m_teacher,F$4,m_date,($G$2+3),m_active,1,m_start,"&lt;"&amp;1020,m_end,"&gt;"&amp;960),INDEX(m_label,_xlfn.MAXIFS(m_row,m_teacher,F$4,m_date,($G$2+3),m_active,1,m_start,"&lt;"&amp;1020,m_end,"&gt;"&amp;960))))))</f>
        <v/>
      </c>
      <c r="G45" s="81" t="str">
        <f aca="false">IF(OR(G$4="",MONTH(($G$2+3))&lt;&gt;MONTH($C$2)),"",IF(COUNTIFS(m_teacher,G$4,m_date,($G$2+3),m_active,1,m_start,"&lt;"&amp;1020,m_end,"&gt;"&amp;960)=0,"",IF(COUNTIFS(m_teacher,G$4,m_date,($G$2+3),m_active,1,m_start,"&lt;"&amp;1020,m_end,"&gt;"&amp;960)&gt;1,"충돌",HYPERLINK("#'관리자_MASTER'!D"&amp;_xlfn.MAXIFS(m_row,m_teacher,G$4,m_date,($G$2+3),m_active,1,m_start,"&lt;"&amp;1020,m_end,"&gt;"&amp;960),INDEX(m_label,_xlfn.MAXIFS(m_row,m_teacher,G$4,m_date,($G$2+3),m_active,1,m_start,"&lt;"&amp;1020,m_end,"&gt;"&amp;960))))))</f>
        <v/>
      </c>
      <c r="H45" s="81" t="str">
        <f aca="false">IF(OR(H$4="",MONTH(($G$2+3))&lt;&gt;MONTH($C$2)),"",IF(COUNTIFS(m_teacher,H$4,m_date,($G$2+3),m_active,1,m_start,"&lt;"&amp;1020,m_end,"&gt;"&amp;960)=0,"",IF(COUNTIFS(m_teacher,H$4,m_date,($G$2+3),m_active,1,m_start,"&lt;"&amp;1020,m_end,"&gt;"&amp;960)&gt;1,"충돌",HYPERLINK("#'관리자_MASTER'!D"&amp;_xlfn.MAXIFS(m_row,m_teacher,H$4,m_date,($G$2+3),m_active,1,m_start,"&lt;"&amp;1020,m_end,"&gt;"&amp;960),INDEX(m_label,_xlfn.MAXIFS(m_row,m_teacher,H$4,m_date,($G$2+3),m_active,1,m_start,"&lt;"&amp;1020,m_end,"&gt;"&amp;960))))))</f>
        <v/>
      </c>
      <c r="I45" s="81" t="str">
        <f aca="false">IF(OR(I$4="",MONTH(($G$2+3))&lt;&gt;MONTH($C$2)),"",IF(COUNTIFS(m_teacher,I$4,m_date,($G$2+3),m_active,1,m_start,"&lt;"&amp;1020,m_end,"&gt;"&amp;960)=0,"",IF(COUNTIFS(m_teacher,I$4,m_date,($G$2+3),m_active,1,m_start,"&lt;"&amp;1020,m_end,"&gt;"&amp;960)&gt;1,"충돌",HYPERLINK("#'관리자_MASTER'!D"&amp;_xlfn.MAXIFS(m_row,m_teacher,I$4,m_date,($G$2+3),m_active,1,m_start,"&lt;"&amp;1020,m_end,"&gt;"&amp;960),INDEX(m_label,_xlfn.MAXIFS(m_row,m_teacher,I$4,m_date,($G$2+3),m_active,1,m_start,"&lt;"&amp;1020,m_end,"&gt;"&amp;960))))))</f>
        <v/>
      </c>
      <c r="J45" s="81" t="str">
        <f aca="false">IF(OR(J$4="",MONTH(($G$2+3))&lt;&gt;MONTH($C$2)),"",IF(COUNTIFS(m_teacher,J$4,m_date,($G$2+3),m_active,1,m_start,"&lt;"&amp;1020,m_end,"&gt;"&amp;960)=0,"",IF(COUNTIFS(m_teacher,J$4,m_date,($G$2+3),m_active,1,m_start,"&lt;"&amp;1020,m_end,"&gt;"&amp;960)&gt;1,"충돌",HYPERLINK("#'관리자_MASTER'!D"&amp;_xlfn.MAXIFS(m_row,m_teacher,J$4,m_date,($G$2+3),m_active,1,m_start,"&lt;"&amp;1020,m_end,"&gt;"&amp;960),INDEX(m_label,_xlfn.MAXIFS(m_row,m_teacher,J$4,m_date,($G$2+3),m_active,1,m_start,"&lt;"&amp;1020,m_end,"&gt;"&amp;960))))))</f>
        <v/>
      </c>
      <c r="K45" s="81" t="str">
        <f aca="false">IF(OR(K$4="",MONTH(($G$2+3))&lt;&gt;MONTH($C$2)),"",IF(COUNTIFS(m_teacher,K$4,m_date,($G$2+3),m_active,1,m_start,"&lt;"&amp;1020,m_end,"&gt;"&amp;960)=0,"",IF(COUNTIFS(m_teacher,K$4,m_date,($G$2+3),m_active,1,m_start,"&lt;"&amp;1020,m_end,"&gt;"&amp;960)&gt;1,"충돌",HYPERLINK("#'관리자_MASTER'!D"&amp;_xlfn.MAXIFS(m_row,m_teacher,K$4,m_date,($G$2+3),m_active,1,m_start,"&lt;"&amp;1020,m_end,"&gt;"&amp;960),INDEX(m_label,_xlfn.MAXIFS(m_row,m_teacher,K$4,m_date,($G$2+3),m_active,1,m_start,"&lt;"&amp;1020,m_end,"&gt;"&amp;960))))))</f>
        <v/>
      </c>
      <c r="L45" s="81" t="str">
        <f aca="false">IF(OR(L$4="",MONTH(($G$2+3))&lt;&gt;MONTH($C$2)),"",IF(COUNTIFS(m_teacher,L$4,m_date,($G$2+3),m_active,1,m_start,"&lt;"&amp;1020,m_end,"&gt;"&amp;960)=0,"",IF(COUNTIFS(m_teacher,L$4,m_date,($G$2+3),m_active,1,m_start,"&lt;"&amp;1020,m_end,"&gt;"&amp;960)&gt;1,"충돌",HYPERLINK("#'관리자_MASTER'!D"&amp;_xlfn.MAXIFS(m_row,m_teacher,L$4,m_date,($G$2+3),m_active,1,m_start,"&lt;"&amp;1020,m_end,"&gt;"&amp;960),INDEX(m_label,_xlfn.MAXIFS(m_row,m_teacher,L$4,m_date,($G$2+3),m_active,1,m_start,"&lt;"&amp;1020,m_end,"&gt;"&amp;960))))))</f>
        <v/>
      </c>
      <c r="M45" s="81" t="str">
        <f aca="false">IF(OR(M$4="",MONTH(($G$2+3))&lt;&gt;MONTH($C$2)),"",IF(COUNTIFS(m_teacher,M$4,m_date,($G$2+3),m_active,1,m_start,"&lt;"&amp;1020,m_end,"&gt;"&amp;960)=0,"",IF(COUNTIFS(m_teacher,M$4,m_date,($G$2+3),m_active,1,m_start,"&lt;"&amp;1020,m_end,"&gt;"&amp;960)&gt;1,"충돌",HYPERLINK("#'관리자_MASTER'!D"&amp;_xlfn.MAXIFS(m_row,m_teacher,M$4,m_date,($G$2+3),m_active,1,m_start,"&lt;"&amp;1020,m_end,"&gt;"&amp;960),INDEX(m_label,_xlfn.MAXIFS(m_row,m_teacher,M$4,m_date,($G$2+3),m_active,1,m_start,"&lt;"&amp;1020,m_end,"&gt;"&amp;960))))))</f>
        <v/>
      </c>
      <c r="N45" s="81" t="str">
        <f aca="false">IF(OR(N$4="",MONTH(($G$2+3))&lt;&gt;MONTH($C$2)),"",IF(COUNTIFS(m_teacher,N$4,m_date,($G$2+3),m_active,1,m_start,"&lt;"&amp;1020,m_end,"&gt;"&amp;960)=0,"",IF(COUNTIFS(m_teacher,N$4,m_date,($G$2+3),m_active,1,m_start,"&lt;"&amp;1020,m_end,"&gt;"&amp;960)&gt;1,"충돌",HYPERLINK("#'관리자_MASTER'!D"&amp;_xlfn.MAXIFS(m_row,m_teacher,N$4,m_date,($G$2+3),m_active,1,m_start,"&lt;"&amp;1020,m_end,"&gt;"&amp;960),INDEX(m_label,_xlfn.MAXIFS(m_row,m_teacher,N$4,m_date,($G$2+3),m_active,1,m_start,"&lt;"&amp;1020,m_end,"&gt;"&amp;960))))))</f>
        <v/>
      </c>
      <c r="O45" s="78"/>
      <c r="P45" s="79" t="s">
        <v>98</v>
      </c>
      <c r="Q45" s="88" t="str">
        <f aca="false">IF(OR(Q$4="",MONTH(($G$2+10))&lt;&gt;MONTH($C$2)),"",IF(COUNTIFS(m_teacher,Q$4,m_date,($G$2+10),m_active,1,m_start,"&lt;"&amp;1020,m_end,"&gt;"&amp;960)=0,"",IF(COUNTIFS(m_teacher,Q$4,m_date,($G$2+10),m_active,1,m_start,"&lt;"&amp;1020,m_end,"&gt;"&amp;960)&gt;1,"충돌",HYPERLINK("#'관리자_MASTER'!D"&amp;_xlfn.MAXIFS(m_row,m_teacher,Q$4,m_date,($G$2+10),m_active,1,m_start,"&lt;"&amp;1020,m_end,"&gt;"&amp;960),INDEX(m_label,_xlfn.MAXIFS(m_row,m_teacher,Q$4,m_date,($G$2+10),m_active,1,m_start,"&lt;"&amp;1020,m_end,"&gt;"&amp;960))))))</f>
        <v/>
      </c>
      <c r="R45" s="88" t="str">
        <f aca="false">IF(OR(R$4="",MONTH(($G$2+10))&lt;&gt;MONTH($C$2)),"",IF(COUNTIFS(m_teacher,R$4,m_date,($G$2+10),m_active,1,m_start,"&lt;"&amp;1020,m_end,"&gt;"&amp;960)=0,"",IF(COUNTIFS(m_teacher,R$4,m_date,($G$2+10),m_active,1,m_start,"&lt;"&amp;1020,m_end,"&gt;"&amp;960)&gt;1,"충돌",HYPERLINK("#'관리자_MASTER'!D"&amp;_xlfn.MAXIFS(m_row,m_teacher,R$4,m_date,($G$2+10),m_active,1,m_start,"&lt;"&amp;1020,m_end,"&gt;"&amp;960),INDEX(m_label,_xlfn.MAXIFS(m_row,m_teacher,R$4,m_date,($G$2+10),m_active,1,m_start,"&lt;"&amp;1020,m_end,"&gt;"&amp;960))))))</f>
        <v/>
      </c>
      <c r="S45" s="88" t="str">
        <f aca="false">IF(OR(S$4="",MONTH(($G$2+10))&lt;&gt;MONTH($C$2)),"",IF(COUNTIFS(m_teacher,S$4,m_date,($G$2+10),m_active,1,m_start,"&lt;"&amp;1020,m_end,"&gt;"&amp;960)=0,"",IF(COUNTIFS(m_teacher,S$4,m_date,($G$2+10),m_active,1,m_start,"&lt;"&amp;1020,m_end,"&gt;"&amp;960)&gt;1,"충돌",HYPERLINK("#'관리자_MASTER'!D"&amp;_xlfn.MAXIFS(m_row,m_teacher,S$4,m_date,($G$2+10),m_active,1,m_start,"&lt;"&amp;1020,m_end,"&gt;"&amp;960),INDEX(m_label,_xlfn.MAXIFS(m_row,m_teacher,S$4,m_date,($G$2+10),m_active,1,m_start,"&lt;"&amp;1020,m_end,"&gt;"&amp;960))))))</f>
        <v/>
      </c>
      <c r="T45" s="88" t="str">
        <f aca="false">IF(OR(T$4="",MONTH(($G$2+10))&lt;&gt;MONTH($C$2)),"",IF(COUNTIFS(m_teacher,T$4,m_date,($G$2+10),m_active,1,m_start,"&lt;"&amp;1020,m_end,"&gt;"&amp;960)=0,"",IF(COUNTIFS(m_teacher,T$4,m_date,($G$2+10),m_active,1,m_start,"&lt;"&amp;1020,m_end,"&gt;"&amp;960)&gt;1,"충돌",HYPERLINK("#'관리자_MASTER'!D"&amp;_xlfn.MAXIFS(m_row,m_teacher,T$4,m_date,($G$2+10),m_active,1,m_start,"&lt;"&amp;1020,m_end,"&gt;"&amp;960),INDEX(m_label,_xlfn.MAXIFS(m_row,m_teacher,T$4,m_date,($G$2+10),m_active,1,m_start,"&lt;"&amp;1020,m_end,"&gt;"&amp;960))))))</f>
        <v/>
      </c>
      <c r="U45" s="88" t="str">
        <f aca="false">IF(OR(U$4="",MONTH(($G$2+10))&lt;&gt;MONTH($C$2)),"",IF(COUNTIFS(m_teacher,U$4,m_date,($G$2+10),m_active,1,m_start,"&lt;"&amp;1020,m_end,"&gt;"&amp;960)=0,"",IF(COUNTIFS(m_teacher,U$4,m_date,($G$2+10),m_active,1,m_start,"&lt;"&amp;1020,m_end,"&gt;"&amp;960)&gt;1,"충돌",HYPERLINK("#'관리자_MASTER'!D"&amp;_xlfn.MAXIFS(m_row,m_teacher,U$4,m_date,($G$2+10),m_active,1,m_start,"&lt;"&amp;1020,m_end,"&gt;"&amp;960),INDEX(m_label,_xlfn.MAXIFS(m_row,m_teacher,U$4,m_date,($G$2+10),m_active,1,m_start,"&lt;"&amp;1020,m_end,"&gt;"&amp;960))))))</f>
        <v/>
      </c>
      <c r="V45" s="88" t="str">
        <f aca="false">IF(OR(V$4="",MONTH(($G$2+10))&lt;&gt;MONTH($C$2)),"",IF(COUNTIFS(m_teacher,V$4,m_date,($G$2+10),m_active,1,m_start,"&lt;"&amp;1020,m_end,"&gt;"&amp;960)=0,"",IF(COUNTIFS(m_teacher,V$4,m_date,($G$2+10),m_active,1,m_start,"&lt;"&amp;1020,m_end,"&gt;"&amp;960)&gt;1,"충돌",HYPERLINK("#'관리자_MASTER'!D"&amp;_xlfn.MAXIFS(m_row,m_teacher,V$4,m_date,($G$2+10),m_active,1,m_start,"&lt;"&amp;1020,m_end,"&gt;"&amp;960),INDEX(m_label,_xlfn.MAXIFS(m_row,m_teacher,V$4,m_date,($G$2+10),m_active,1,m_start,"&lt;"&amp;1020,m_end,"&gt;"&amp;960))))))</f>
        <v/>
      </c>
      <c r="W45" s="88" t="str">
        <f aca="false">IF(OR(W$4="",MONTH(($G$2+10))&lt;&gt;MONTH($C$2)),"",IF(COUNTIFS(m_teacher,W$4,m_date,($G$2+10),m_active,1,m_start,"&lt;"&amp;1020,m_end,"&gt;"&amp;960)=0,"",IF(COUNTIFS(m_teacher,W$4,m_date,($G$2+10),m_active,1,m_start,"&lt;"&amp;1020,m_end,"&gt;"&amp;960)&gt;1,"충돌",HYPERLINK("#'관리자_MASTER'!D"&amp;_xlfn.MAXIFS(m_row,m_teacher,W$4,m_date,($G$2+10),m_active,1,m_start,"&lt;"&amp;1020,m_end,"&gt;"&amp;960),INDEX(m_label,_xlfn.MAXIFS(m_row,m_teacher,W$4,m_date,($G$2+10),m_active,1,m_start,"&lt;"&amp;1020,m_end,"&gt;"&amp;960))))))</f>
        <v/>
      </c>
      <c r="X45" s="88" t="str">
        <f aca="false">IF(OR(X$4="",MONTH(($G$2+10))&lt;&gt;MONTH($C$2)),"",IF(COUNTIFS(m_teacher,X$4,m_date,($G$2+10),m_active,1,m_start,"&lt;"&amp;1020,m_end,"&gt;"&amp;960)=0,"",IF(COUNTIFS(m_teacher,X$4,m_date,($G$2+10),m_active,1,m_start,"&lt;"&amp;1020,m_end,"&gt;"&amp;960)&gt;1,"충돌",HYPERLINK("#'관리자_MASTER'!D"&amp;_xlfn.MAXIFS(m_row,m_teacher,X$4,m_date,($G$2+10),m_active,1,m_start,"&lt;"&amp;1020,m_end,"&gt;"&amp;960),INDEX(m_label,_xlfn.MAXIFS(m_row,m_teacher,X$4,m_date,($G$2+10),m_active,1,m_start,"&lt;"&amp;1020,m_end,"&gt;"&amp;960))))))</f>
        <v/>
      </c>
      <c r="Y45" s="88" t="str">
        <f aca="false">IF(OR(Y$4="",MONTH(($G$2+10))&lt;&gt;MONTH($C$2)),"",IF(COUNTIFS(m_teacher,Y$4,m_date,($G$2+10),m_active,1,m_start,"&lt;"&amp;1020,m_end,"&gt;"&amp;960)=0,"",IF(COUNTIFS(m_teacher,Y$4,m_date,($G$2+10),m_active,1,m_start,"&lt;"&amp;1020,m_end,"&gt;"&amp;960)&gt;1,"충돌",HYPERLINK("#'관리자_MASTER'!D"&amp;_xlfn.MAXIFS(m_row,m_teacher,Y$4,m_date,($G$2+10),m_active,1,m_start,"&lt;"&amp;1020,m_end,"&gt;"&amp;960),INDEX(m_label,_xlfn.MAXIFS(m_row,m_teacher,Y$4,m_date,($G$2+10),m_active,1,m_start,"&lt;"&amp;1020,m_end,"&gt;"&amp;960))))))</f>
        <v/>
      </c>
      <c r="Z45" s="88" t="str">
        <f aca="false">IF(OR(Z$4="",MONTH(($G$2+10))&lt;&gt;MONTH($C$2)),"",IF(COUNTIFS(m_teacher,Z$4,m_date,($G$2+10),m_active,1,m_start,"&lt;"&amp;1020,m_end,"&gt;"&amp;960)=0,"",IF(COUNTIFS(m_teacher,Z$4,m_date,($G$2+10),m_active,1,m_start,"&lt;"&amp;1020,m_end,"&gt;"&amp;960)&gt;1,"충돌",HYPERLINK("#'관리자_MASTER'!D"&amp;_xlfn.MAXIFS(m_row,m_teacher,Z$4,m_date,($G$2+10),m_active,1,m_start,"&lt;"&amp;1020,m_end,"&gt;"&amp;960),INDEX(m_label,_xlfn.MAXIFS(m_row,m_teacher,Z$4,m_date,($G$2+10),m_active,1,m_start,"&lt;"&amp;1020,m_end,"&gt;"&amp;960))))))</f>
        <v/>
      </c>
      <c r="AA45" s="88" t="str">
        <f aca="false">IF(OR(AA$4="",MONTH(($G$2+10))&lt;&gt;MONTH($C$2)),"",IF(COUNTIFS(m_teacher,AA$4,m_date,($G$2+10),m_active,1,m_start,"&lt;"&amp;1020,m_end,"&gt;"&amp;960)=0,"",IF(COUNTIFS(m_teacher,AA$4,m_date,($G$2+10),m_active,1,m_start,"&lt;"&amp;1020,m_end,"&gt;"&amp;960)&gt;1,"충돌",HYPERLINK("#'관리자_MASTER'!D"&amp;_xlfn.MAXIFS(m_row,m_teacher,AA$4,m_date,($G$2+10),m_active,1,m_start,"&lt;"&amp;1020,m_end,"&gt;"&amp;960),INDEX(m_label,_xlfn.MAXIFS(m_row,m_teacher,AA$4,m_date,($G$2+10),m_active,1,m_start,"&lt;"&amp;1020,m_end,"&gt;"&amp;960))))))</f>
        <v/>
      </c>
      <c r="AB45" s="88" t="str">
        <f aca="false">IF(OR(AB$4="",MONTH(($G$2+10))&lt;&gt;MONTH($C$2)),"",IF(COUNTIFS(m_teacher,AB$4,m_date,($G$2+10),m_active,1,m_start,"&lt;"&amp;1020,m_end,"&gt;"&amp;960)=0,"",IF(COUNTIFS(m_teacher,AB$4,m_date,($G$2+10),m_active,1,m_start,"&lt;"&amp;1020,m_end,"&gt;"&amp;960)&gt;1,"충돌",HYPERLINK("#'관리자_MASTER'!D"&amp;_xlfn.MAXIFS(m_row,m_teacher,AB$4,m_date,($G$2+10),m_active,1,m_start,"&lt;"&amp;1020,m_end,"&gt;"&amp;960),INDEX(m_label,_xlfn.MAXIFS(m_row,m_teacher,AB$4,m_date,($G$2+10),m_active,1,m_start,"&lt;"&amp;1020,m_end,"&gt;"&amp;960))))))</f>
        <v/>
      </c>
      <c r="AC45" s="78"/>
      <c r="AD45" s="79" t="s">
        <v>98</v>
      </c>
      <c r="AE45" s="88" t="str">
        <f aca="false">IF(OR(AE$4="",MONTH(($G$2+17))&lt;&gt;MONTH($C$2)),"",IF(COUNTIFS(m_teacher,AE$4,m_date,($G$2+17),m_active,1,m_start,"&lt;"&amp;1020,m_end,"&gt;"&amp;960)=0,"",IF(COUNTIFS(m_teacher,AE$4,m_date,($G$2+17),m_active,1,m_start,"&lt;"&amp;1020,m_end,"&gt;"&amp;960)&gt;1,"충돌",HYPERLINK("#'관리자_MASTER'!D"&amp;_xlfn.MAXIFS(m_row,m_teacher,AE$4,m_date,($G$2+17),m_active,1,m_start,"&lt;"&amp;1020,m_end,"&gt;"&amp;960),INDEX(m_label,_xlfn.MAXIFS(m_row,m_teacher,AE$4,m_date,($G$2+17),m_active,1,m_start,"&lt;"&amp;1020,m_end,"&gt;"&amp;960))))))</f>
        <v/>
      </c>
      <c r="AF45" s="88" t="str">
        <f aca="false">IF(OR(AF$4="",MONTH(($G$2+17))&lt;&gt;MONTH($C$2)),"",IF(COUNTIFS(m_teacher,AF$4,m_date,($G$2+17),m_active,1,m_start,"&lt;"&amp;1020,m_end,"&gt;"&amp;960)=0,"",IF(COUNTIFS(m_teacher,AF$4,m_date,($G$2+17),m_active,1,m_start,"&lt;"&amp;1020,m_end,"&gt;"&amp;960)&gt;1,"충돌",HYPERLINK("#'관리자_MASTER'!D"&amp;_xlfn.MAXIFS(m_row,m_teacher,AF$4,m_date,($G$2+17),m_active,1,m_start,"&lt;"&amp;1020,m_end,"&gt;"&amp;960),INDEX(m_label,_xlfn.MAXIFS(m_row,m_teacher,AF$4,m_date,($G$2+17),m_active,1,m_start,"&lt;"&amp;1020,m_end,"&gt;"&amp;960))))))</f>
        <v/>
      </c>
      <c r="AG45" s="88" t="str">
        <f aca="false">IF(OR(AG$4="",MONTH(($G$2+17))&lt;&gt;MONTH($C$2)),"",IF(COUNTIFS(m_teacher,AG$4,m_date,($G$2+17),m_active,1,m_start,"&lt;"&amp;1020,m_end,"&gt;"&amp;960)=0,"",IF(COUNTIFS(m_teacher,AG$4,m_date,($G$2+17),m_active,1,m_start,"&lt;"&amp;1020,m_end,"&gt;"&amp;960)&gt;1,"충돌",HYPERLINK("#'관리자_MASTER'!D"&amp;_xlfn.MAXIFS(m_row,m_teacher,AG$4,m_date,($G$2+17),m_active,1,m_start,"&lt;"&amp;1020,m_end,"&gt;"&amp;960),INDEX(m_label,_xlfn.MAXIFS(m_row,m_teacher,AG$4,m_date,($G$2+17),m_active,1,m_start,"&lt;"&amp;1020,m_end,"&gt;"&amp;960))))))</f>
        <v/>
      </c>
      <c r="AH45" s="88" t="str">
        <f aca="false">IF(OR(AH$4="",MONTH(($G$2+17))&lt;&gt;MONTH($C$2)),"",IF(COUNTIFS(m_teacher,AH$4,m_date,($G$2+17),m_active,1,m_start,"&lt;"&amp;1020,m_end,"&gt;"&amp;960)=0,"",IF(COUNTIFS(m_teacher,AH$4,m_date,($G$2+17),m_active,1,m_start,"&lt;"&amp;1020,m_end,"&gt;"&amp;960)&gt;1,"충돌",HYPERLINK("#'관리자_MASTER'!D"&amp;_xlfn.MAXIFS(m_row,m_teacher,AH$4,m_date,($G$2+17),m_active,1,m_start,"&lt;"&amp;1020,m_end,"&gt;"&amp;960),INDEX(m_label,_xlfn.MAXIFS(m_row,m_teacher,AH$4,m_date,($G$2+17),m_active,1,m_start,"&lt;"&amp;1020,m_end,"&gt;"&amp;960))))))</f>
        <v/>
      </c>
      <c r="AI45" s="88" t="str">
        <f aca="false">IF(OR(AI$4="",MONTH(($G$2+17))&lt;&gt;MONTH($C$2)),"",IF(COUNTIFS(m_teacher,AI$4,m_date,($G$2+17),m_active,1,m_start,"&lt;"&amp;1020,m_end,"&gt;"&amp;960)=0,"",IF(COUNTIFS(m_teacher,AI$4,m_date,($G$2+17),m_active,1,m_start,"&lt;"&amp;1020,m_end,"&gt;"&amp;960)&gt;1,"충돌",HYPERLINK("#'관리자_MASTER'!D"&amp;_xlfn.MAXIFS(m_row,m_teacher,AI$4,m_date,($G$2+17),m_active,1,m_start,"&lt;"&amp;1020,m_end,"&gt;"&amp;960),INDEX(m_label,_xlfn.MAXIFS(m_row,m_teacher,AI$4,m_date,($G$2+17),m_active,1,m_start,"&lt;"&amp;1020,m_end,"&gt;"&amp;960))))))</f>
        <v/>
      </c>
      <c r="AJ45" s="88" t="str">
        <f aca="false">IF(OR(AJ$4="",MONTH(($G$2+17))&lt;&gt;MONTH($C$2)),"",IF(COUNTIFS(m_teacher,AJ$4,m_date,($G$2+17),m_active,1,m_start,"&lt;"&amp;1020,m_end,"&gt;"&amp;960)=0,"",IF(COUNTIFS(m_teacher,AJ$4,m_date,($G$2+17),m_active,1,m_start,"&lt;"&amp;1020,m_end,"&gt;"&amp;960)&gt;1,"충돌",HYPERLINK("#'관리자_MASTER'!D"&amp;_xlfn.MAXIFS(m_row,m_teacher,AJ$4,m_date,($G$2+17),m_active,1,m_start,"&lt;"&amp;1020,m_end,"&gt;"&amp;960),INDEX(m_label,_xlfn.MAXIFS(m_row,m_teacher,AJ$4,m_date,($G$2+17),m_active,1,m_start,"&lt;"&amp;1020,m_end,"&gt;"&amp;960))))))</f>
        <v/>
      </c>
      <c r="AK45" s="88" t="str">
        <f aca="false">IF(OR(AK$4="",MONTH(($G$2+17))&lt;&gt;MONTH($C$2)),"",IF(COUNTIFS(m_teacher,AK$4,m_date,($G$2+17),m_active,1,m_start,"&lt;"&amp;1020,m_end,"&gt;"&amp;960)=0,"",IF(COUNTIFS(m_teacher,AK$4,m_date,($G$2+17),m_active,1,m_start,"&lt;"&amp;1020,m_end,"&gt;"&amp;960)&gt;1,"충돌",HYPERLINK("#'관리자_MASTER'!D"&amp;_xlfn.MAXIFS(m_row,m_teacher,AK$4,m_date,($G$2+17),m_active,1,m_start,"&lt;"&amp;1020,m_end,"&gt;"&amp;960),INDEX(m_label,_xlfn.MAXIFS(m_row,m_teacher,AK$4,m_date,($G$2+17),m_active,1,m_start,"&lt;"&amp;1020,m_end,"&gt;"&amp;960))))))</f>
        <v/>
      </c>
      <c r="AL45" s="88" t="str">
        <f aca="false">IF(OR(AL$4="",MONTH(($G$2+17))&lt;&gt;MONTH($C$2)),"",IF(COUNTIFS(m_teacher,AL$4,m_date,($G$2+17),m_active,1,m_start,"&lt;"&amp;1020,m_end,"&gt;"&amp;960)=0,"",IF(COUNTIFS(m_teacher,AL$4,m_date,($G$2+17),m_active,1,m_start,"&lt;"&amp;1020,m_end,"&gt;"&amp;960)&gt;1,"충돌",HYPERLINK("#'관리자_MASTER'!D"&amp;_xlfn.MAXIFS(m_row,m_teacher,AL$4,m_date,($G$2+17),m_active,1,m_start,"&lt;"&amp;1020,m_end,"&gt;"&amp;960),INDEX(m_label,_xlfn.MAXIFS(m_row,m_teacher,AL$4,m_date,($G$2+17),m_active,1,m_start,"&lt;"&amp;1020,m_end,"&gt;"&amp;960))))))</f>
        <v/>
      </c>
      <c r="AM45" s="88" t="str">
        <f aca="false">IF(OR(AM$4="",MONTH(($G$2+17))&lt;&gt;MONTH($C$2)),"",IF(COUNTIFS(m_teacher,AM$4,m_date,($G$2+17),m_active,1,m_start,"&lt;"&amp;1020,m_end,"&gt;"&amp;960)=0,"",IF(COUNTIFS(m_teacher,AM$4,m_date,($G$2+17),m_active,1,m_start,"&lt;"&amp;1020,m_end,"&gt;"&amp;960)&gt;1,"충돌",HYPERLINK("#'관리자_MASTER'!D"&amp;_xlfn.MAXIFS(m_row,m_teacher,AM$4,m_date,($G$2+17),m_active,1,m_start,"&lt;"&amp;1020,m_end,"&gt;"&amp;960),INDEX(m_label,_xlfn.MAXIFS(m_row,m_teacher,AM$4,m_date,($G$2+17),m_active,1,m_start,"&lt;"&amp;1020,m_end,"&gt;"&amp;960))))))</f>
        <v/>
      </c>
      <c r="AN45" s="88" t="str">
        <f aca="false">IF(OR(AN$4="",MONTH(($G$2+17))&lt;&gt;MONTH($C$2)),"",IF(COUNTIFS(m_teacher,AN$4,m_date,($G$2+17),m_active,1,m_start,"&lt;"&amp;1020,m_end,"&gt;"&amp;960)=0,"",IF(COUNTIFS(m_teacher,AN$4,m_date,($G$2+17),m_active,1,m_start,"&lt;"&amp;1020,m_end,"&gt;"&amp;960)&gt;1,"충돌",HYPERLINK("#'관리자_MASTER'!D"&amp;_xlfn.MAXIFS(m_row,m_teacher,AN$4,m_date,($G$2+17),m_active,1,m_start,"&lt;"&amp;1020,m_end,"&gt;"&amp;960),INDEX(m_label,_xlfn.MAXIFS(m_row,m_teacher,AN$4,m_date,($G$2+17),m_active,1,m_start,"&lt;"&amp;1020,m_end,"&gt;"&amp;960))))))</f>
        <v/>
      </c>
      <c r="AO45" s="88" t="str">
        <f aca="false">IF(OR(AO$4="",MONTH(($G$2+17))&lt;&gt;MONTH($C$2)),"",IF(COUNTIFS(m_teacher,AO$4,m_date,($G$2+17),m_active,1,m_start,"&lt;"&amp;1020,m_end,"&gt;"&amp;960)=0,"",IF(COUNTIFS(m_teacher,AO$4,m_date,($G$2+17),m_active,1,m_start,"&lt;"&amp;1020,m_end,"&gt;"&amp;960)&gt;1,"충돌",HYPERLINK("#'관리자_MASTER'!D"&amp;_xlfn.MAXIFS(m_row,m_teacher,AO$4,m_date,($G$2+17),m_active,1,m_start,"&lt;"&amp;1020,m_end,"&gt;"&amp;960),INDEX(m_label,_xlfn.MAXIFS(m_row,m_teacher,AO$4,m_date,($G$2+17),m_active,1,m_start,"&lt;"&amp;1020,m_end,"&gt;"&amp;960))))))</f>
        <v/>
      </c>
      <c r="AP45" s="88" t="str">
        <f aca="false">IF(OR(AP$4="",MONTH(($G$2+17))&lt;&gt;MONTH($C$2)),"",IF(COUNTIFS(m_teacher,AP$4,m_date,($G$2+17),m_active,1,m_start,"&lt;"&amp;1020,m_end,"&gt;"&amp;960)=0,"",IF(COUNTIFS(m_teacher,AP$4,m_date,($G$2+17),m_active,1,m_start,"&lt;"&amp;1020,m_end,"&gt;"&amp;960)&gt;1,"충돌",HYPERLINK("#'관리자_MASTER'!D"&amp;_xlfn.MAXIFS(m_row,m_teacher,AP$4,m_date,($G$2+17),m_active,1,m_start,"&lt;"&amp;1020,m_end,"&gt;"&amp;960),INDEX(m_label,_xlfn.MAXIFS(m_row,m_teacher,AP$4,m_date,($G$2+17),m_active,1,m_start,"&lt;"&amp;1020,m_end,"&gt;"&amp;960))))))</f>
        <v/>
      </c>
      <c r="AQ45" s="78"/>
      <c r="AR45" s="79" t="s">
        <v>98</v>
      </c>
      <c r="AS45" s="88" t="str">
        <f aca="false">IF(OR(AS$4="",MONTH(($G$2+24))&lt;&gt;MONTH($C$2)),"",IF(COUNTIFS(m_teacher,AS$4,m_date,($G$2+24),m_active,1,m_start,"&lt;"&amp;1020,m_end,"&gt;"&amp;960)=0,"",IF(COUNTIFS(m_teacher,AS$4,m_date,($G$2+24),m_active,1,m_start,"&lt;"&amp;1020,m_end,"&gt;"&amp;960)&gt;1,"충돌",HYPERLINK("#'관리자_MASTER'!D"&amp;_xlfn.MAXIFS(m_row,m_teacher,AS$4,m_date,($G$2+24),m_active,1,m_start,"&lt;"&amp;1020,m_end,"&gt;"&amp;960),INDEX(m_label,_xlfn.MAXIFS(m_row,m_teacher,AS$4,m_date,($G$2+24),m_active,1,m_start,"&lt;"&amp;1020,m_end,"&gt;"&amp;960))))))</f>
        <v/>
      </c>
      <c r="AT45" s="88" t="str">
        <f aca="false">IF(OR(AT$4="",MONTH(($G$2+24))&lt;&gt;MONTH($C$2)),"",IF(COUNTIFS(m_teacher,AT$4,m_date,($G$2+24),m_active,1,m_start,"&lt;"&amp;1020,m_end,"&gt;"&amp;960)=0,"",IF(COUNTIFS(m_teacher,AT$4,m_date,($G$2+24),m_active,1,m_start,"&lt;"&amp;1020,m_end,"&gt;"&amp;960)&gt;1,"충돌",HYPERLINK("#'관리자_MASTER'!D"&amp;_xlfn.MAXIFS(m_row,m_teacher,AT$4,m_date,($G$2+24),m_active,1,m_start,"&lt;"&amp;1020,m_end,"&gt;"&amp;960),INDEX(m_label,_xlfn.MAXIFS(m_row,m_teacher,AT$4,m_date,($G$2+24),m_active,1,m_start,"&lt;"&amp;1020,m_end,"&gt;"&amp;960))))))</f>
        <v/>
      </c>
      <c r="AU45" s="88" t="str">
        <f aca="false">IF(OR(AU$4="",MONTH(($G$2+24))&lt;&gt;MONTH($C$2)),"",IF(COUNTIFS(m_teacher,AU$4,m_date,($G$2+24),m_active,1,m_start,"&lt;"&amp;1020,m_end,"&gt;"&amp;960)=0,"",IF(COUNTIFS(m_teacher,AU$4,m_date,($G$2+24),m_active,1,m_start,"&lt;"&amp;1020,m_end,"&gt;"&amp;960)&gt;1,"충돌",HYPERLINK("#'관리자_MASTER'!D"&amp;_xlfn.MAXIFS(m_row,m_teacher,AU$4,m_date,($G$2+24),m_active,1,m_start,"&lt;"&amp;1020,m_end,"&gt;"&amp;960),INDEX(m_label,_xlfn.MAXIFS(m_row,m_teacher,AU$4,m_date,($G$2+24),m_active,1,m_start,"&lt;"&amp;1020,m_end,"&gt;"&amp;960))))))</f>
        <v/>
      </c>
      <c r="AV45" s="88" t="str">
        <f aca="false">IF(OR(AV$4="",MONTH(($G$2+24))&lt;&gt;MONTH($C$2)),"",IF(COUNTIFS(m_teacher,AV$4,m_date,($G$2+24),m_active,1,m_start,"&lt;"&amp;1020,m_end,"&gt;"&amp;960)=0,"",IF(COUNTIFS(m_teacher,AV$4,m_date,($G$2+24),m_active,1,m_start,"&lt;"&amp;1020,m_end,"&gt;"&amp;960)&gt;1,"충돌",HYPERLINK("#'관리자_MASTER'!D"&amp;_xlfn.MAXIFS(m_row,m_teacher,AV$4,m_date,($G$2+24),m_active,1,m_start,"&lt;"&amp;1020,m_end,"&gt;"&amp;960),INDEX(m_label,_xlfn.MAXIFS(m_row,m_teacher,AV$4,m_date,($G$2+24),m_active,1,m_start,"&lt;"&amp;1020,m_end,"&gt;"&amp;960))))))</f>
        <v/>
      </c>
      <c r="AW45" s="88" t="str">
        <f aca="false">IF(OR(AW$4="",MONTH(($G$2+24))&lt;&gt;MONTH($C$2)),"",IF(COUNTIFS(m_teacher,AW$4,m_date,($G$2+24),m_active,1,m_start,"&lt;"&amp;1020,m_end,"&gt;"&amp;960)=0,"",IF(COUNTIFS(m_teacher,AW$4,m_date,($G$2+24),m_active,1,m_start,"&lt;"&amp;1020,m_end,"&gt;"&amp;960)&gt;1,"충돌",HYPERLINK("#'관리자_MASTER'!D"&amp;_xlfn.MAXIFS(m_row,m_teacher,AW$4,m_date,($G$2+24),m_active,1,m_start,"&lt;"&amp;1020,m_end,"&gt;"&amp;960),INDEX(m_label,_xlfn.MAXIFS(m_row,m_teacher,AW$4,m_date,($G$2+24),m_active,1,m_start,"&lt;"&amp;1020,m_end,"&gt;"&amp;960))))))</f>
        <v/>
      </c>
      <c r="AX45" s="88" t="str">
        <f aca="false">IF(OR(AX$4="",MONTH(($G$2+24))&lt;&gt;MONTH($C$2)),"",IF(COUNTIFS(m_teacher,AX$4,m_date,($G$2+24),m_active,1,m_start,"&lt;"&amp;1020,m_end,"&gt;"&amp;960)=0,"",IF(COUNTIFS(m_teacher,AX$4,m_date,($G$2+24),m_active,1,m_start,"&lt;"&amp;1020,m_end,"&gt;"&amp;960)&gt;1,"충돌",HYPERLINK("#'관리자_MASTER'!D"&amp;_xlfn.MAXIFS(m_row,m_teacher,AX$4,m_date,($G$2+24),m_active,1,m_start,"&lt;"&amp;1020,m_end,"&gt;"&amp;960),INDEX(m_label,_xlfn.MAXIFS(m_row,m_teacher,AX$4,m_date,($G$2+24),m_active,1,m_start,"&lt;"&amp;1020,m_end,"&gt;"&amp;960))))))</f>
        <v/>
      </c>
      <c r="AY45" s="88" t="str">
        <f aca="false">IF(OR(AY$4="",MONTH(($G$2+24))&lt;&gt;MONTH($C$2)),"",IF(COUNTIFS(m_teacher,AY$4,m_date,($G$2+24),m_active,1,m_start,"&lt;"&amp;1020,m_end,"&gt;"&amp;960)=0,"",IF(COUNTIFS(m_teacher,AY$4,m_date,($G$2+24),m_active,1,m_start,"&lt;"&amp;1020,m_end,"&gt;"&amp;960)&gt;1,"충돌",HYPERLINK("#'관리자_MASTER'!D"&amp;_xlfn.MAXIFS(m_row,m_teacher,AY$4,m_date,($G$2+24),m_active,1,m_start,"&lt;"&amp;1020,m_end,"&gt;"&amp;960),INDEX(m_label,_xlfn.MAXIFS(m_row,m_teacher,AY$4,m_date,($G$2+24),m_active,1,m_start,"&lt;"&amp;1020,m_end,"&gt;"&amp;960))))))</f>
        <v/>
      </c>
      <c r="AZ45" s="88" t="str">
        <f aca="false">IF(OR(AZ$4="",MONTH(($G$2+24))&lt;&gt;MONTH($C$2)),"",IF(COUNTIFS(m_teacher,AZ$4,m_date,($G$2+24),m_active,1,m_start,"&lt;"&amp;1020,m_end,"&gt;"&amp;960)=0,"",IF(COUNTIFS(m_teacher,AZ$4,m_date,($G$2+24),m_active,1,m_start,"&lt;"&amp;1020,m_end,"&gt;"&amp;960)&gt;1,"충돌",HYPERLINK("#'관리자_MASTER'!D"&amp;_xlfn.MAXIFS(m_row,m_teacher,AZ$4,m_date,($G$2+24),m_active,1,m_start,"&lt;"&amp;1020,m_end,"&gt;"&amp;960),INDEX(m_label,_xlfn.MAXIFS(m_row,m_teacher,AZ$4,m_date,($G$2+24),m_active,1,m_start,"&lt;"&amp;1020,m_end,"&gt;"&amp;960))))))</f>
        <v/>
      </c>
      <c r="BA45" s="88" t="str">
        <f aca="false">IF(OR(BA$4="",MONTH(($G$2+24))&lt;&gt;MONTH($C$2)),"",IF(COUNTIFS(m_teacher,BA$4,m_date,($G$2+24),m_active,1,m_start,"&lt;"&amp;1020,m_end,"&gt;"&amp;960)=0,"",IF(COUNTIFS(m_teacher,BA$4,m_date,($G$2+24),m_active,1,m_start,"&lt;"&amp;1020,m_end,"&gt;"&amp;960)&gt;1,"충돌",HYPERLINK("#'관리자_MASTER'!D"&amp;_xlfn.MAXIFS(m_row,m_teacher,BA$4,m_date,($G$2+24),m_active,1,m_start,"&lt;"&amp;1020,m_end,"&gt;"&amp;960),INDEX(m_label,_xlfn.MAXIFS(m_row,m_teacher,BA$4,m_date,($G$2+24),m_active,1,m_start,"&lt;"&amp;1020,m_end,"&gt;"&amp;960))))))</f>
        <v/>
      </c>
      <c r="BB45" s="88" t="str">
        <f aca="false">IF(OR(BB$4="",MONTH(($G$2+24))&lt;&gt;MONTH($C$2)),"",IF(COUNTIFS(m_teacher,BB$4,m_date,($G$2+24),m_active,1,m_start,"&lt;"&amp;1020,m_end,"&gt;"&amp;960)=0,"",IF(COUNTIFS(m_teacher,BB$4,m_date,($G$2+24),m_active,1,m_start,"&lt;"&amp;1020,m_end,"&gt;"&amp;960)&gt;1,"충돌",HYPERLINK("#'관리자_MASTER'!D"&amp;_xlfn.MAXIFS(m_row,m_teacher,BB$4,m_date,($G$2+24),m_active,1,m_start,"&lt;"&amp;1020,m_end,"&gt;"&amp;960),INDEX(m_label,_xlfn.MAXIFS(m_row,m_teacher,BB$4,m_date,($G$2+24),m_active,1,m_start,"&lt;"&amp;1020,m_end,"&gt;"&amp;960))))))</f>
        <v/>
      </c>
      <c r="BC45" s="88" t="str">
        <f aca="false">IF(OR(BC$4="",MONTH(($G$2+24))&lt;&gt;MONTH($C$2)),"",IF(COUNTIFS(m_teacher,BC$4,m_date,($G$2+24),m_active,1,m_start,"&lt;"&amp;1020,m_end,"&gt;"&amp;960)=0,"",IF(COUNTIFS(m_teacher,BC$4,m_date,($G$2+24),m_active,1,m_start,"&lt;"&amp;1020,m_end,"&gt;"&amp;960)&gt;1,"충돌",HYPERLINK("#'관리자_MASTER'!D"&amp;_xlfn.MAXIFS(m_row,m_teacher,BC$4,m_date,($G$2+24),m_active,1,m_start,"&lt;"&amp;1020,m_end,"&gt;"&amp;960),INDEX(m_label,_xlfn.MAXIFS(m_row,m_teacher,BC$4,m_date,($G$2+24),m_active,1,m_start,"&lt;"&amp;1020,m_end,"&gt;"&amp;960))))))</f>
        <v/>
      </c>
      <c r="BD45" s="88" t="str">
        <f aca="false">IF(OR(BD$4="",MONTH(($G$2+24))&lt;&gt;MONTH($C$2)),"",IF(COUNTIFS(m_teacher,BD$4,m_date,($G$2+24),m_active,1,m_start,"&lt;"&amp;1020,m_end,"&gt;"&amp;960)=0,"",IF(COUNTIFS(m_teacher,BD$4,m_date,($G$2+24),m_active,1,m_start,"&lt;"&amp;1020,m_end,"&gt;"&amp;960)&gt;1,"충돌",HYPERLINK("#'관리자_MASTER'!D"&amp;_xlfn.MAXIFS(m_row,m_teacher,BD$4,m_date,($G$2+24),m_active,1,m_start,"&lt;"&amp;1020,m_end,"&gt;"&amp;960),INDEX(m_label,_xlfn.MAXIFS(m_row,m_teacher,BD$4,m_date,($G$2+24),m_active,1,m_start,"&lt;"&amp;1020,m_end,"&gt;"&amp;960))))))</f>
        <v/>
      </c>
      <c r="BE45" s="78"/>
      <c r="BF45" s="79" t="s">
        <v>98</v>
      </c>
      <c r="BG45" s="88" t="str">
        <f aca="false">IF(OR(BG$4="",MONTH(($G$2+31))&lt;&gt;MONTH($C$2)),"",IF(COUNTIFS(m_teacher,BG$4,m_date,($G$2+31),m_active,1,m_start,"&lt;"&amp;1020,m_end,"&gt;"&amp;960)=0,"",IF(COUNTIFS(m_teacher,BG$4,m_date,($G$2+31),m_active,1,m_start,"&lt;"&amp;1020,m_end,"&gt;"&amp;960)&gt;1,"충돌",HYPERLINK("#'관리자_MASTER'!D"&amp;_xlfn.MAXIFS(m_row,m_teacher,BG$4,m_date,($G$2+31),m_active,1,m_start,"&lt;"&amp;1020,m_end,"&gt;"&amp;960),INDEX(m_label,_xlfn.MAXIFS(m_row,m_teacher,BG$4,m_date,($G$2+31),m_active,1,m_start,"&lt;"&amp;1020,m_end,"&gt;"&amp;960))))))</f>
        <v/>
      </c>
      <c r="BH45" s="88" t="str">
        <f aca="false">IF(OR(BH$4="",MONTH(($G$2+31))&lt;&gt;MONTH($C$2)),"",IF(COUNTIFS(m_teacher,BH$4,m_date,($G$2+31),m_active,1,m_start,"&lt;"&amp;1020,m_end,"&gt;"&amp;960)=0,"",IF(COUNTIFS(m_teacher,BH$4,m_date,($G$2+31),m_active,1,m_start,"&lt;"&amp;1020,m_end,"&gt;"&amp;960)&gt;1,"충돌",HYPERLINK("#'관리자_MASTER'!D"&amp;_xlfn.MAXIFS(m_row,m_teacher,BH$4,m_date,($G$2+31),m_active,1,m_start,"&lt;"&amp;1020,m_end,"&gt;"&amp;960),INDEX(m_label,_xlfn.MAXIFS(m_row,m_teacher,BH$4,m_date,($G$2+31),m_active,1,m_start,"&lt;"&amp;1020,m_end,"&gt;"&amp;960))))))</f>
        <v/>
      </c>
      <c r="BI45" s="88" t="str">
        <f aca="false">IF(OR(BI$4="",MONTH(($G$2+31))&lt;&gt;MONTH($C$2)),"",IF(COUNTIFS(m_teacher,BI$4,m_date,($G$2+31),m_active,1,m_start,"&lt;"&amp;1020,m_end,"&gt;"&amp;960)=0,"",IF(COUNTIFS(m_teacher,BI$4,m_date,($G$2+31),m_active,1,m_start,"&lt;"&amp;1020,m_end,"&gt;"&amp;960)&gt;1,"충돌",HYPERLINK("#'관리자_MASTER'!D"&amp;_xlfn.MAXIFS(m_row,m_teacher,BI$4,m_date,($G$2+31),m_active,1,m_start,"&lt;"&amp;1020,m_end,"&gt;"&amp;960),INDEX(m_label,_xlfn.MAXIFS(m_row,m_teacher,BI$4,m_date,($G$2+31),m_active,1,m_start,"&lt;"&amp;1020,m_end,"&gt;"&amp;960))))))</f>
        <v/>
      </c>
      <c r="BJ45" s="88" t="str">
        <f aca="false">IF(OR(BJ$4="",MONTH(($G$2+31))&lt;&gt;MONTH($C$2)),"",IF(COUNTIFS(m_teacher,BJ$4,m_date,($G$2+31),m_active,1,m_start,"&lt;"&amp;1020,m_end,"&gt;"&amp;960)=0,"",IF(COUNTIFS(m_teacher,BJ$4,m_date,($G$2+31),m_active,1,m_start,"&lt;"&amp;1020,m_end,"&gt;"&amp;960)&gt;1,"충돌",HYPERLINK("#'관리자_MASTER'!D"&amp;_xlfn.MAXIFS(m_row,m_teacher,BJ$4,m_date,($G$2+31),m_active,1,m_start,"&lt;"&amp;1020,m_end,"&gt;"&amp;960),INDEX(m_label,_xlfn.MAXIFS(m_row,m_teacher,BJ$4,m_date,($G$2+31),m_active,1,m_start,"&lt;"&amp;1020,m_end,"&gt;"&amp;960))))))</f>
        <v/>
      </c>
      <c r="BK45" s="88" t="str">
        <f aca="false">IF(OR(BK$4="",MONTH(($G$2+31))&lt;&gt;MONTH($C$2)),"",IF(COUNTIFS(m_teacher,BK$4,m_date,($G$2+31),m_active,1,m_start,"&lt;"&amp;1020,m_end,"&gt;"&amp;960)=0,"",IF(COUNTIFS(m_teacher,BK$4,m_date,($G$2+31),m_active,1,m_start,"&lt;"&amp;1020,m_end,"&gt;"&amp;960)&gt;1,"충돌",HYPERLINK("#'관리자_MASTER'!D"&amp;_xlfn.MAXIFS(m_row,m_teacher,BK$4,m_date,($G$2+31),m_active,1,m_start,"&lt;"&amp;1020,m_end,"&gt;"&amp;960),INDEX(m_label,_xlfn.MAXIFS(m_row,m_teacher,BK$4,m_date,($G$2+31),m_active,1,m_start,"&lt;"&amp;1020,m_end,"&gt;"&amp;960))))))</f>
        <v/>
      </c>
      <c r="BL45" s="88" t="str">
        <f aca="false">IF(OR(BL$4="",MONTH(($G$2+31))&lt;&gt;MONTH($C$2)),"",IF(COUNTIFS(m_teacher,BL$4,m_date,($G$2+31),m_active,1,m_start,"&lt;"&amp;1020,m_end,"&gt;"&amp;960)=0,"",IF(COUNTIFS(m_teacher,BL$4,m_date,($G$2+31),m_active,1,m_start,"&lt;"&amp;1020,m_end,"&gt;"&amp;960)&gt;1,"충돌",HYPERLINK("#'관리자_MASTER'!D"&amp;_xlfn.MAXIFS(m_row,m_teacher,BL$4,m_date,($G$2+31),m_active,1,m_start,"&lt;"&amp;1020,m_end,"&gt;"&amp;960),INDEX(m_label,_xlfn.MAXIFS(m_row,m_teacher,BL$4,m_date,($G$2+31),m_active,1,m_start,"&lt;"&amp;1020,m_end,"&gt;"&amp;960))))))</f>
        <v/>
      </c>
      <c r="BM45" s="88" t="str">
        <f aca="false">IF(OR(BM$4="",MONTH(($G$2+31))&lt;&gt;MONTH($C$2)),"",IF(COUNTIFS(m_teacher,BM$4,m_date,($G$2+31),m_active,1,m_start,"&lt;"&amp;1020,m_end,"&gt;"&amp;960)=0,"",IF(COUNTIFS(m_teacher,BM$4,m_date,($G$2+31),m_active,1,m_start,"&lt;"&amp;1020,m_end,"&gt;"&amp;960)&gt;1,"충돌",HYPERLINK("#'관리자_MASTER'!D"&amp;_xlfn.MAXIFS(m_row,m_teacher,BM$4,m_date,($G$2+31),m_active,1,m_start,"&lt;"&amp;1020,m_end,"&gt;"&amp;960),INDEX(m_label,_xlfn.MAXIFS(m_row,m_teacher,BM$4,m_date,($G$2+31),m_active,1,m_start,"&lt;"&amp;1020,m_end,"&gt;"&amp;960))))))</f>
        <v/>
      </c>
      <c r="BN45" s="88" t="str">
        <f aca="false">IF(OR(BN$4="",MONTH(($G$2+31))&lt;&gt;MONTH($C$2)),"",IF(COUNTIFS(m_teacher,BN$4,m_date,($G$2+31),m_active,1,m_start,"&lt;"&amp;1020,m_end,"&gt;"&amp;960)=0,"",IF(COUNTIFS(m_teacher,BN$4,m_date,($G$2+31),m_active,1,m_start,"&lt;"&amp;1020,m_end,"&gt;"&amp;960)&gt;1,"충돌",HYPERLINK("#'관리자_MASTER'!D"&amp;_xlfn.MAXIFS(m_row,m_teacher,BN$4,m_date,($G$2+31),m_active,1,m_start,"&lt;"&amp;1020,m_end,"&gt;"&amp;960),INDEX(m_label,_xlfn.MAXIFS(m_row,m_teacher,BN$4,m_date,($G$2+31),m_active,1,m_start,"&lt;"&amp;1020,m_end,"&gt;"&amp;960))))))</f>
        <v/>
      </c>
      <c r="BO45" s="88" t="str">
        <f aca="false">IF(OR(BO$4="",MONTH(($G$2+31))&lt;&gt;MONTH($C$2)),"",IF(COUNTIFS(m_teacher,BO$4,m_date,($G$2+31),m_active,1,m_start,"&lt;"&amp;1020,m_end,"&gt;"&amp;960)=0,"",IF(COUNTIFS(m_teacher,BO$4,m_date,($G$2+31),m_active,1,m_start,"&lt;"&amp;1020,m_end,"&gt;"&amp;960)&gt;1,"충돌",HYPERLINK("#'관리자_MASTER'!D"&amp;_xlfn.MAXIFS(m_row,m_teacher,BO$4,m_date,($G$2+31),m_active,1,m_start,"&lt;"&amp;1020,m_end,"&gt;"&amp;960),INDEX(m_label,_xlfn.MAXIFS(m_row,m_teacher,BO$4,m_date,($G$2+31),m_active,1,m_start,"&lt;"&amp;1020,m_end,"&gt;"&amp;960))))))</f>
        <v/>
      </c>
      <c r="BP45" s="88" t="str">
        <f aca="false">IF(OR(BP$4="",MONTH(($G$2+31))&lt;&gt;MONTH($C$2)),"",IF(COUNTIFS(m_teacher,BP$4,m_date,($G$2+31),m_active,1,m_start,"&lt;"&amp;1020,m_end,"&gt;"&amp;960)=0,"",IF(COUNTIFS(m_teacher,BP$4,m_date,($G$2+31),m_active,1,m_start,"&lt;"&amp;1020,m_end,"&gt;"&amp;960)&gt;1,"충돌",HYPERLINK("#'관리자_MASTER'!D"&amp;_xlfn.MAXIFS(m_row,m_teacher,BP$4,m_date,($G$2+31),m_active,1,m_start,"&lt;"&amp;1020,m_end,"&gt;"&amp;960),INDEX(m_label,_xlfn.MAXIFS(m_row,m_teacher,BP$4,m_date,($G$2+31),m_active,1,m_start,"&lt;"&amp;1020,m_end,"&gt;"&amp;960))))))</f>
        <v/>
      </c>
      <c r="BQ45" s="88" t="str">
        <f aca="false">IF(OR(BQ$4="",MONTH(($G$2+31))&lt;&gt;MONTH($C$2)),"",IF(COUNTIFS(m_teacher,BQ$4,m_date,($G$2+31),m_active,1,m_start,"&lt;"&amp;1020,m_end,"&gt;"&amp;960)=0,"",IF(COUNTIFS(m_teacher,BQ$4,m_date,($G$2+31),m_active,1,m_start,"&lt;"&amp;1020,m_end,"&gt;"&amp;960)&gt;1,"충돌",HYPERLINK("#'관리자_MASTER'!D"&amp;_xlfn.MAXIFS(m_row,m_teacher,BQ$4,m_date,($G$2+31),m_active,1,m_start,"&lt;"&amp;1020,m_end,"&gt;"&amp;960),INDEX(m_label,_xlfn.MAXIFS(m_row,m_teacher,BQ$4,m_date,($G$2+31),m_active,1,m_start,"&lt;"&amp;1020,m_end,"&gt;"&amp;960))))))</f>
        <v/>
      </c>
      <c r="BR45" s="88" t="str">
        <f aca="false">IF(OR(BR$4="",MONTH(($G$2+31))&lt;&gt;MONTH($C$2)),"",IF(COUNTIFS(m_teacher,BR$4,m_date,($G$2+31),m_active,1,m_start,"&lt;"&amp;1020,m_end,"&gt;"&amp;960)=0,"",IF(COUNTIFS(m_teacher,BR$4,m_date,($G$2+31),m_active,1,m_start,"&lt;"&amp;1020,m_end,"&gt;"&amp;960)&gt;1,"충돌",HYPERLINK("#'관리자_MASTER'!D"&amp;_xlfn.MAXIFS(m_row,m_teacher,BR$4,m_date,($G$2+31),m_active,1,m_start,"&lt;"&amp;1020,m_end,"&gt;"&amp;960),INDEX(m_label,_xlfn.MAXIFS(m_row,m_teacher,BR$4,m_date,($G$2+31),m_active,1,m_start,"&lt;"&amp;1020,m_end,"&gt;"&amp;960))))))</f>
        <v/>
      </c>
    </row>
    <row r="46" customFormat="false" ht="19.5" hidden="false" customHeight="true" outlineLevel="0" collapsed="false">
      <c r="A46" s="75"/>
      <c r="B46" s="76" t="s">
        <v>99</v>
      </c>
      <c r="C46" s="81" t="str">
        <f aca="false">IF(OR(C$4="",MONTH(($G$2+3))&lt;&gt;MONTH($C$2)),"",IF(COUNTIFS(m_teacher,C$4,m_date,($G$2+3),m_active,1,m_start,"&lt;"&amp;1080,m_end,"&gt;"&amp;1020)=0,"",IF(COUNTIFS(m_teacher,C$4,m_date,($G$2+3),m_active,1,m_start,"&lt;"&amp;1080,m_end,"&gt;"&amp;1020)&gt;1,"충돌",HYPERLINK("#'관리자_MASTER'!D"&amp;_xlfn.MAXIFS(m_row,m_teacher,C$4,m_date,($G$2+3),m_active,1,m_start,"&lt;"&amp;1080,m_end,"&gt;"&amp;1020),INDEX(m_label,_xlfn.MAXIFS(m_row,m_teacher,C$4,m_date,($G$2+3),m_active,1,m_start,"&lt;"&amp;1080,m_end,"&gt;"&amp;1020))))))</f>
        <v/>
      </c>
      <c r="D46" s="81" t="str">
        <f aca="false">IF(OR(D$4="",MONTH(($G$2+3))&lt;&gt;MONTH($C$2)),"",IF(COUNTIFS(m_teacher,D$4,m_date,($G$2+3),m_active,1,m_start,"&lt;"&amp;1080,m_end,"&gt;"&amp;1020)=0,"",IF(COUNTIFS(m_teacher,D$4,m_date,($G$2+3),m_active,1,m_start,"&lt;"&amp;1080,m_end,"&gt;"&amp;1020)&gt;1,"충돌",HYPERLINK("#'관리자_MASTER'!D"&amp;_xlfn.MAXIFS(m_row,m_teacher,D$4,m_date,($G$2+3),m_active,1,m_start,"&lt;"&amp;1080,m_end,"&gt;"&amp;1020),INDEX(m_label,_xlfn.MAXIFS(m_row,m_teacher,D$4,m_date,($G$2+3),m_active,1,m_start,"&lt;"&amp;1080,m_end,"&gt;"&amp;1020))))))</f>
        <v/>
      </c>
      <c r="E46" s="81" t="str">
        <f aca="false">IF(OR(E$4="",MONTH(($G$2+3))&lt;&gt;MONTH($C$2)),"",IF(COUNTIFS(m_teacher,E$4,m_date,($G$2+3),m_active,1,m_start,"&lt;"&amp;1080,m_end,"&gt;"&amp;1020)=0,"",IF(COUNTIFS(m_teacher,E$4,m_date,($G$2+3),m_active,1,m_start,"&lt;"&amp;1080,m_end,"&gt;"&amp;1020)&gt;1,"충돌",HYPERLINK("#'관리자_MASTER'!D"&amp;_xlfn.MAXIFS(m_row,m_teacher,E$4,m_date,($G$2+3),m_active,1,m_start,"&lt;"&amp;1080,m_end,"&gt;"&amp;1020),INDEX(m_label,_xlfn.MAXIFS(m_row,m_teacher,E$4,m_date,($G$2+3),m_active,1,m_start,"&lt;"&amp;1080,m_end,"&gt;"&amp;1020))))))</f>
        <v/>
      </c>
      <c r="F46" s="81" t="str">
        <f aca="false">IF(OR(F$4="",MONTH(($G$2+3))&lt;&gt;MONTH($C$2)),"",IF(COUNTIFS(m_teacher,F$4,m_date,($G$2+3),m_active,1,m_start,"&lt;"&amp;1080,m_end,"&gt;"&amp;1020)=0,"",IF(COUNTIFS(m_teacher,F$4,m_date,($G$2+3),m_active,1,m_start,"&lt;"&amp;1080,m_end,"&gt;"&amp;1020)&gt;1,"충돌",HYPERLINK("#'관리자_MASTER'!D"&amp;_xlfn.MAXIFS(m_row,m_teacher,F$4,m_date,($G$2+3),m_active,1,m_start,"&lt;"&amp;1080,m_end,"&gt;"&amp;1020),INDEX(m_label,_xlfn.MAXIFS(m_row,m_teacher,F$4,m_date,($G$2+3),m_active,1,m_start,"&lt;"&amp;1080,m_end,"&gt;"&amp;1020))))))</f>
        <v/>
      </c>
      <c r="G46" s="81" t="str">
        <f aca="false">IF(OR(G$4="",MONTH(($G$2+3))&lt;&gt;MONTH($C$2)),"",IF(COUNTIFS(m_teacher,G$4,m_date,($G$2+3),m_active,1,m_start,"&lt;"&amp;1080,m_end,"&gt;"&amp;1020)=0,"",IF(COUNTIFS(m_teacher,G$4,m_date,($G$2+3),m_active,1,m_start,"&lt;"&amp;1080,m_end,"&gt;"&amp;1020)&gt;1,"충돌",HYPERLINK("#'관리자_MASTER'!D"&amp;_xlfn.MAXIFS(m_row,m_teacher,G$4,m_date,($G$2+3),m_active,1,m_start,"&lt;"&amp;1080,m_end,"&gt;"&amp;1020),INDEX(m_label,_xlfn.MAXIFS(m_row,m_teacher,G$4,m_date,($G$2+3),m_active,1,m_start,"&lt;"&amp;1080,m_end,"&gt;"&amp;1020))))))</f>
        <v/>
      </c>
      <c r="H46" s="81" t="str">
        <f aca="false">IF(OR(H$4="",MONTH(($G$2+3))&lt;&gt;MONTH($C$2)),"",IF(COUNTIFS(m_teacher,H$4,m_date,($G$2+3),m_active,1,m_start,"&lt;"&amp;1080,m_end,"&gt;"&amp;1020)=0,"",IF(COUNTIFS(m_teacher,H$4,m_date,($G$2+3),m_active,1,m_start,"&lt;"&amp;1080,m_end,"&gt;"&amp;1020)&gt;1,"충돌",HYPERLINK("#'관리자_MASTER'!D"&amp;_xlfn.MAXIFS(m_row,m_teacher,H$4,m_date,($G$2+3),m_active,1,m_start,"&lt;"&amp;1080,m_end,"&gt;"&amp;1020),INDEX(m_label,_xlfn.MAXIFS(m_row,m_teacher,H$4,m_date,($G$2+3),m_active,1,m_start,"&lt;"&amp;1080,m_end,"&gt;"&amp;1020))))))</f>
        <v/>
      </c>
      <c r="I46" s="81" t="str">
        <f aca="false">IF(OR(I$4="",MONTH(($G$2+3))&lt;&gt;MONTH($C$2)),"",IF(COUNTIFS(m_teacher,I$4,m_date,($G$2+3),m_active,1,m_start,"&lt;"&amp;1080,m_end,"&gt;"&amp;1020)=0,"",IF(COUNTIFS(m_teacher,I$4,m_date,($G$2+3),m_active,1,m_start,"&lt;"&amp;1080,m_end,"&gt;"&amp;1020)&gt;1,"충돌",HYPERLINK("#'관리자_MASTER'!D"&amp;_xlfn.MAXIFS(m_row,m_teacher,I$4,m_date,($G$2+3),m_active,1,m_start,"&lt;"&amp;1080,m_end,"&gt;"&amp;1020),INDEX(m_label,_xlfn.MAXIFS(m_row,m_teacher,I$4,m_date,($G$2+3),m_active,1,m_start,"&lt;"&amp;1080,m_end,"&gt;"&amp;1020))))))</f>
        <v/>
      </c>
      <c r="J46" s="81" t="str">
        <f aca="false">IF(OR(J$4="",MONTH(($G$2+3))&lt;&gt;MONTH($C$2)),"",IF(COUNTIFS(m_teacher,J$4,m_date,($G$2+3),m_active,1,m_start,"&lt;"&amp;1080,m_end,"&gt;"&amp;1020)=0,"",IF(COUNTIFS(m_teacher,J$4,m_date,($G$2+3),m_active,1,m_start,"&lt;"&amp;1080,m_end,"&gt;"&amp;1020)&gt;1,"충돌",HYPERLINK("#'관리자_MASTER'!D"&amp;_xlfn.MAXIFS(m_row,m_teacher,J$4,m_date,($G$2+3),m_active,1,m_start,"&lt;"&amp;1080,m_end,"&gt;"&amp;1020),INDEX(m_label,_xlfn.MAXIFS(m_row,m_teacher,J$4,m_date,($G$2+3),m_active,1,m_start,"&lt;"&amp;1080,m_end,"&gt;"&amp;1020))))))</f>
        <v/>
      </c>
      <c r="K46" s="81" t="str">
        <f aca="false">IF(OR(K$4="",MONTH(($G$2+3))&lt;&gt;MONTH($C$2)),"",IF(COUNTIFS(m_teacher,K$4,m_date,($G$2+3),m_active,1,m_start,"&lt;"&amp;1080,m_end,"&gt;"&amp;1020)=0,"",IF(COUNTIFS(m_teacher,K$4,m_date,($G$2+3),m_active,1,m_start,"&lt;"&amp;1080,m_end,"&gt;"&amp;1020)&gt;1,"충돌",HYPERLINK("#'관리자_MASTER'!D"&amp;_xlfn.MAXIFS(m_row,m_teacher,K$4,m_date,($G$2+3),m_active,1,m_start,"&lt;"&amp;1080,m_end,"&gt;"&amp;1020),INDEX(m_label,_xlfn.MAXIFS(m_row,m_teacher,K$4,m_date,($G$2+3),m_active,1,m_start,"&lt;"&amp;1080,m_end,"&gt;"&amp;1020))))))</f>
        <v/>
      </c>
      <c r="L46" s="81" t="str">
        <f aca="false">IF(OR(L$4="",MONTH(($G$2+3))&lt;&gt;MONTH($C$2)),"",IF(COUNTIFS(m_teacher,L$4,m_date,($G$2+3),m_active,1,m_start,"&lt;"&amp;1080,m_end,"&gt;"&amp;1020)=0,"",IF(COUNTIFS(m_teacher,L$4,m_date,($G$2+3),m_active,1,m_start,"&lt;"&amp;1080,m_end,"&gt;"&amp;1020)&gt;1,"충돌",HYPERLINK("#'관리자_MASTER'!D"&amp;_xlfn.MAXIFS(m_row,m_teacher,L$4,m_date,($G$2+3),m_active,1,m_start,"&lt;"&amp;1080,m_end,"&gt;"&amp;1020),INDEX(m_label,_xlfn.MAXIFS(m_row,m_teacher,L$4,m_date,($G$2+3),m_active,1,m_start,"&lt;"&amp;1080,m_end,"&gt;"&amp;1020))))))</f>
        <v/>
      </c>
      <c r="M46" s="81" t="str">
        <f aca="false">IF(OR(M$4="",MONTH(($G$2+3))&lt;&gt;MONTH($C$2)),"",IF(COUNTIFS(m_teacher,M$4,m_date,($G$2+3),m_active,1,m_start,"&lt;"&amp;1080,m_end,"&gt;"&amp;1020)=0,"",IF(COUNTIFS(m_teacher,M$4,m_date,($G$2+3),m_active,1,m_start,"&lt;"&amp;1080,m_end,"&gt;"&amp;1020)&gt;1,"충돌",HYPERLINK("#'관리자_MASTER'!D"&amp;_xlfn.MAXIFS(m_row,m_teacher,M$4,m_date,($G$2+3),m_active,1,m_start,"&lt;"&amp;1080,m_end,"&gt;"&amp;1020),INDEX(m_label,_xlfn.MAXIFS(m_row,m_teacher,M$4,m_date,($G$2+3),m_active,1,m_start,"&lt;"&amp;1080,m_end,"&gt;"&amp;1020))))))</f>
        <v/>
      </c>
      <c r="N46" s="81" t="str">
        <f aca="false">IF(OR(N$4="",MONTH(($G$2+3))&lt;&gt;MONTH($C$2)),"",IF(COUNTIFS(m_teacher,N$4,m_date,($G$2+3),m_active,1,m_start,"&lt;"&amp;1080,m_end,"&gt;"&amp;1020)=0,"",IF(COUNTIFS(m_teacher,N$4,m_date,($G$2+3),m_active,1,m_start,"&lt;"&amp;1080,m_end,"&gt;"&amp;1020)&gt;1,"충돌",HYPERLINK("#'관리자_MASTER'!D"&amp;_xlfn.MAXIFS(m_row,m_teacher,N$4,m_date,($G$2+3),m_active,1,m_start,"&lt;"&amp;1080,m_end,"&gt;"&amp;1020),INDEX(m_label,_xlfn.MAXIFS(m_row,m_teacher,N$4,m_date,($G$2+3),m_active,1,m_start,"&lt;"&amp;1080,m_end,"&gt;"&amp;1020))))))</f>
        <v/>
      </c>
      <c r="O46" s="78"/>
      <c r="P46" s="79" t="s">
        <v>99</v>
      </c>
      <c r="Q46" s="88" t="str">
        <f aca="false">IF(OR(Q$4="",MONTH(($G$2+10))&lt;&gt;MONTH($C$2)),"",IF(COUNTIFS(m_teacher,Q$4,m_date,($G$2+10),m_active,1,m_start,"&lt;"&amp;1080,m_end,"&gt;"&amp;1020)=0,"",IF(COUNTIFS(m_teacher,Q$4,m_date,($G$2+10),m_active,1,m_start,"&lt;"&amp;1080,m_end,"&gt;"&amp;1020)&gt;1,"충돌",HYPERLINK("#'관리자_MASTER'!D"&amp;_xlfn.MAXIFS(m_row,m_teacher,Q$4,m_date,($G$2+10),m_active,1,m_start,"&lt;"&amp;1080,m_end,"&gt;"&amp;1020),INDEX(m_label,_xlfn.MAXIFS(m_row,m_teacher,Q$4,m_date,($G$2+10),m_active,1,m_start,"&lt;"&amp;1080,m_end,"&gt;"&amp;1020))))))</f>
        <v/>
      </c>
      <c r="R46" s="88" t="str">
        <f aca="false">IF(OR(R$4="",MONTH(($G$2+10))&lt;&gt;MONTH($C$2)),"",IF(COUNTIFS(m_teacher,R$4,m_date,($G$2+10),m_active,1,m_start,"&lt;"&amp;1080,m_end,"&gt;"&amp;1020)=0,"",IF(COUNTIFS(m_teacher,R$4,m_date,($G$2+10),m_active,1,m_start,"&lt;"&amp;1080,m_end,"&gt;"&amp;1020)&gt;1,"충돌",HYPERLINK("#'관리자_MASTER'!D"&amp;_xlfn.MAXIFS(m_row,m_teacher,R$4,m_date,($G$2+10),m_active,1,m_start,"&lt;"&amp;1080,m_end,"&gt;"&amp;1020),INDEX(m_label,_xlfn.MAXIFS(m_row,m_teacher,R$4,m_date,($G$2+10),m_active,1,m_start,"&lt;"&amp;1080,m_end,"&gt;"&amp;1020))))))</f>
        <v/>
      </c>
      <c r="S46" s="88" t="str">
        <f aca="false">IF(OR(S$4="",MONTH(($G$2+10))&lt;&gt;MONTH($C$2)),"",IF(COUNTIFS(m_teacher,S$4,m_date,($G$2+10),m_active,1,m_start,"&lt;"&amp;1080,m_end,"&gt;"&amp;1020)=0,"",IF(COUNTIFS(m_teacher,S$4,m_date,($G$2+10),m_active,1,m_start,"&lt;"&amp;1080,m_end,"&gt;"&amp;1020)&gt;1,"충돌",HYPERLINK("#'관리자_MASTER'!D"&amp;_xlfn.MAXIFS(m_row,m_teacher,S$4,m_date,($G$2+10),m_active,1,m_start,"&lt;"&amp;1080,m_end,"&gt;"&amp;1020),INDEX(m_label,_xlfn.MAXIFS(m_row,m_teacher,S$4,m_date,($G$2+10),m_active,1,m_start,"&lt;"&amp;1080,m_end,"&gt;"&amp;1020))))))</f>
        <v/>
      </c>
      <c r="T46" s="88" t="str">
        <f aca="false">IF(OR(T$4="",MONTH(($G$2+10))&lt;&gt;MONTH($C$2)),"",IF(COUNTIFS(m_teacher,T$4,m_date,($G$2+10),m_active,1,m_start,"&lt;"&amp;1080,m_end,"&gt;"&amp;1020)=0,"",IF(COUNTIFS(m_teacher,T$4,m_date,($G$2+10),m_active,1,m_start,"&lt;"&amp;1080,m_end,"&gt;"&amp;1020)&gt;1,"충돌",HYPERLINK("#'관리자_MASTER'!D"&amp;_xlfn.MAXIFS(m_row,m_teacher,T$4,m_date,($G$2+10),m_active,1,m_start,"&lt;"&amp;1080,m_end,"&gt;"&amp;1020),INDEX(m_label,_xlfn.MAXIFS(m_row,m_teacher,T$4,m_date,($G$2+10),m_active,1,m_start,"&lt;"&amp;1080,m_end,"&gt;"&amp;1020))))))</f>
        <v/>
      </c>
      <c r="U46" s="88" t="str">
        <f aca="false">IF(OR(U$4="",MONTH(($G$2+10))&lt;&gt;MONTH($C$2)),"",IF(COUNTIFS(m_teacher,U$4,m_date,($G$2+10),m_active,1,m_start,"&lt;"&amp;1080,m_end,"&gt;"&amp;1020)=0,"",IF(COUNTIFS(m_teacher,U$4,m_date,($G$2+10),m_active,1,m_start,"&lt;"&amp;1080,m_end,"&gt;"&amp;1020)&gt;1,"충돌",HYPERLINK("#'관리자_MASTER'!D"&amp;_xlfn.MAXIFS(m_row,m_teacher,U$4,m_date,($G$2+10),m_active,1,m_start,"&lt;"&amp;1080,m_end,"&gt;"&amp;1020),INDEX(m_label,_xlfn.MAXIFS(m_row,m_teacher,U$4,m_date,($G$2+10),m_active,1,m_start,"&lt;"&amp;1080,m_end,"&gt;"&amp;1020))))))</f>
        <v/>
      </c>
      <c r="V46" s="88" t="str">
        <f aca="false">IF(OR(V$4="",MONTH(($G$2+10))&lt;&gt;MONTH($C$2)),"",IF(COUNTIFS(m_teacher,V$4,m_date,($G$2+10),m_active,1,m_start,"&lt;"&amp;1080,m_end,"&gt;"&amp;1020)=0,"",IF(COUNTIFS(m_teacher,V$4,m_date,($G$2+10),m_active,1,m_start,"&lt;"&amp;1080,m_end,"&gt;"&amp;1020)&gt;1,"충돌",HYPERLINK("#'관리자_MASTER'!D"&amp;_xlfn.MAXIFS(m_row,m_teacher,V$4,m_date,($G$2+10),m_active,1,m_start,"&lt;"&amp;1080,m_end,"&gt;"&amp;1020),INDEX(m_label,_xlfn.MAXIFS(m_row,m_teacher,V$4,m_date,($G$2+10),m_active,1,m_start,"&lt;"&amp;1080,m_end,"&gt;"&amp;1020))))))</f>
        <v/>
      </c>
      <c r="W46" s="88" t="str">
        <f aca="false">IF(OR(W$4="",MONTH(($G$2+10))&lt;&gt;MONTH($C$2)),"",IF(COUNTIFS(m_teacher,W$4,m_date,($G$2+10),m_active,1,m_start,"&lt;"&amp;1080,m_end,"&gt;"&amp;1020)=0,"",IF(COUNTIFS(m_teacher,W$4,m_date,($G$2+10),m_active,1,m_start,"&lt;"&amp;1080,m_end,"&gt;"&amp;1020)&gt;1,"충돌",HYPERLINK("#'관리자_MASTER'!D"&amp;_xlfn.MAXIFS(m_row,m_teacher,W$4,m_date,($G$2+10),m_active,1,m_start,"&lt;"&amp;1080,m_end,"&gt;"&amp;1020),INDEX(m_label,_xlfn.MAXIFS(m_row,m_teacher,W$4,m_date,($G$2+10),m_active,1,m_start,"&lt;"&amp;1080,m_end,"&gt;"&amp;1020))))))</f>
        <v/>
      </c>
      <c r="X46" s="88" t="str">
        <f aca="false">IF(OR(X$4="",MONTH(($G$2+10))&lt;&gt;MONTH($C$2)),"",IF(COUNTIFS(m_teacher,X$4,m_date,($G$2+10),m_active,1,m_start,"&lt;"&amp;1080,m_end,"&gt;"&amp;1020)=0,"",IF(COUNTIFS(m_teacher,X$4,m_date,($G$2+10),m_active,1,m_start,"&lt;"&amp;1080,m_end,"&gt;"&amp;1020)&gt;1,"충돌",HYPERLINK("#'관리자_MASTER'!D"&amp;_xlfn.MAXIFS(m_row,m_teacher,X$4,m_date,($G$2+10),m_active,1,m_start,"&lt;"&amp;1080,m_end,"&gt;"&amp;1020),INDEX(m_label,_xlfn.MAXIFS(m_row,m_teacher,X$4,m_date,($G$2+10),m_active,1,m_start,"&lt;"&amp;1080,m_end,"&gt;"&amp;1020))))))</f>
        <v/>
      </c>
      <c r="Y46" s="88" t="str">
        <f aca="false">IF(OR(Y$4="",MONTH(($G$2+10))&lt;&gt;MONTH($C$2)),"",IF(COUNTIFS(m_teacher,Y$4,m_date,($G$2+10),m_active,1,m_start,"&lt;"&amp;1080,m_end,"&gt;"&amp;1020)=0,"",IF(COUNTIFS(m_teacher,Y$4,m_date,($G$2+10),m_active,1,m_start,"&lt;"&amp;1080,m_end,"&gt;"&amp;1020)&gt;1,"충돌",HYPERLINK("#'관리자_MASTER'!D"&amp;_xlfn.MAXIFS(m_row,m_teacher,Y$4,m_date,($G$2+10),m_active,1,m_start,"&lt;"&amp;1080,m_end,"&gt;"&amp;1020),INDEX(m_label,_xlfn.MAXIFS(m_row,m_teacher,Y$4,m_date,($G$2+10),m_active,1,m_start,"&lt;"&amp;1080,m_end,"&gt;"&amp;1020))))))</f>
        <v/>
      </c>
      <c r="Z46" s="88" t="str">
        <f aca="false">IF(OR(Z$4="",MONTH(($G$2+10))&lt;&gt;MONTH($C$2)),"",IF(COUNTIFS(m_teacher,Z$4,m_date,($G$2+10),m_active,1,m_start,"&lt;"&amp;1080,m_end,"&gt;"&amp;1020)=0,"",IF(COUNTIFS(m_teacher,Z$4,m_date,($G$2+10),m_active,1,m_start,"&lt;"&amp;1080,m_end,"&gt;"&amp;1020)&gt;1,"충돌",HYPERLINK("#'관리자_MASTER'!D"&amp;_xlfn.MAXIFS(m_row,m_teacher,Z$4,m_date,($G$2+10),m_active,1,m_start,"&lt;"&amp;1080,m_end,"&gt;"&amp;1020),INDEX(m_label,_xlfn.MAXIFS(m_row,m_teacher,Z$4,m_date,($G$2+10),m_active,1,m_start,"&lt;"&amp;1080,m_end,"&gt;"&amp;1020))))))</f>
        <v/>
      </c>
      <c r="AA46" s="88" t="str">
        <f aca="false">IF(OR(AA$4="",MONTH(($G$2+10))&lt;&gt;MONTH($C$2)),"",IF(COUNTIFS(m_teacher,AA$4,m_date,($G$2+10),m_active,1,m_start,"&lt;"&amp;1080,m_end,"&gt;"&amp;1020)=0,"",IF(COUNTIFS(m_teacher,AA$4,m_date,($G$2+10),m_active,1,m_start,"&lt;"&amp;1080,m_end,"&gt;"&amp;1020)&gt;1,"충돌",HYPERLINK("#'관리자_MASTER'!D"&amp;_xlfn.MAXIFS(m_row,m_teacher,AA$4,m_date,($G$2+10),m_active,1,m_start,"&lt;"&amp;1080,m_end,"&gt;"&amp;1020),INDEX(m_label,_xlfn.MAXIFS(m_row,m_teacher,AA$4,m_date,($G$2+10),m_active,1,m_start,"&lt;"&amp;1080,m_end,"&gt;"&amp;1020))))))</f>
        <v/>
      </c>
      <c r="AB46" s="88" t="str">
        <f aca="false">IF(OR(AB$4="",MONTH(($G$2+10))&lt;&gt;MONTH($C$2)),"",IF(COUNTIFS(m_teacher,AB$4,m_date,($G$2+10),m_active,1,m_start,"&lt;"&amp;1080,m_end,"&gt;"&amp;1020)=0,"",IF(COUNTIFS(m_teacher,AB$4,m_date,($G$2+10),m_active,1,m_start,"&lt;"&amp;1080,m_end,"&gt;"&amp;1020)&gt;1,"충돌",HYPERLINK("#'관리자_MASTER'!D"&amp;_xlfn.MAXIFS(m_row,m_teacher,AB$4,m_date,($G$2+10),m_active,1,m_start,"&lt;"&amp;1080,m_end,"&gt;"&amp;1020),INDEX(m_label,_xlfn.MAXIFS(m_row,m_teacher,AB$4,m_date,($G$2+10),m_active,1,m_start,"&lt;"&amp;1080,m_end,"&gt;"&amp;1020))))))</f>
        <v/>
      </c>
      <c r="AC46" s="78"/>
      <c r="AD46" s="79" t="s">
        <v>99</v>
      </c>
      <c r="AE46" s="88" t="str">
        <f aca="false">IF(OR(AE$4="",MONTH(($G$2+17))&lt;&gt;MONTH($C$2)),"",IF(COUNTIFS(m_teacher,AE$4,m_date,($G$2+17),m_active,1,m_start,"&lt;"&amp;1080,m_end,"&gt;"&amp;1020)=0,"",IF(COUNTIFS(m_teacher,AE$4,m_date,($G$2+17),m_active,1,m_start,"&lt;"&amp;1080,m_end,"&gt;"&amp;1020)&gt;1,"충돌",HYPERLINK("#'관리자_MASTER'!D"&amp;_xlfn.MAXIFS(m_row,m_teacher,AE$4,m_date,($G$2+17),m_active,1,m_start,"&lt;"&amp;1080,m_end,"&gt;"&amp;1020),INDEX(m_label,_xlfn.MAXIFS(m_row,m_teacher,AE$4,m_date,($G$2+17),m_active,1,m_start,"&lt;"&amp;1080,m_end,"&gt;"&amp;1020))))))</f>
        <v/>
      </c>
      <c r="AF46" s="88" t="str">
        <f aca="false">IF(OR(AF$4="",MONTH(($G$2+17))&lt;&gt;MONTH($C$2)),"",IF(COUNTIFS(m_teacher,AF$4,m_date,($G$2+17),m_active,1,m_start,"&lt;"&amp;1080,m_end,"&gt;"&amp;1020)=0,"",IF(COUNTIFS(m_teacher,AF$4,m_date,($G$2+17),m_active,1,m_start,"&lt;"&amp;1080,m_end,"&gt;"&amp;1020)&gt;1,"충돌",HYPERLINK("#'관리자_MASTER'!D"&amp;_xlfn.MAXIFS(m_row,m_teacher,AF$4,m_date,($G$2+17),m_active,1,m_start,"&lt;"&amp;1080,m_end,"&gt;"&amp;1020),INDEX(m_label,_xlfn.MAXIFS(m_row,m_teacher,AF$4,m_date,($G$2+17),m_active,1,m_start,"&lt;"&amp;1080,m_end,"&gt;"&amp;1020))))))</f>
        <v/>
      </c>
      <c r="AG46" s="88" t="str">
        <f aca="false">IF(OR(AG$4="",MONTH(($G$2+17))&lt;&gt;MONTH($C$2)),"",IF(COUNTIFS(m_teacher,AG$4,m_date,($G$2+17),m_active,1,m_start,"&lt;"&amp;1080,m_end,"&gt;"&amp;1020)=0,"",IF(COUNTIFS(m_teacher,AG$4,m_date,($G$2+17),m_active,1,m_start,"&lt;"&amp;1080,m_end,"&gt;"&amp;1020)&gt;1,"충돌",HYPERLINK("#'관리자_MASTER'!D"&amp;_xlfn.MAXIFS(m_row,m_teacher,AG$4,m_date,($G$2+17),m_active,1,m_start,"&lt;"&amp;1080,m_end,"&gt;"&amp;1020),INDEX(m_label,_xlfn.MAXIFS(m_row,m_teacher,AG$4,m_date,($G$2+17),m_active,1,m_start,"&lt;"&amp;1080,m_end,"&gt;"&amp;1020))))))</f>
        <v/>
      </c>
      <c r="AH46" s="88" t="str">
        <f aca="false">IF(OR(AH$4="",MONTH(($G$2+17))&lt;&gt;MONTH($C$2)),"",IF(COUNTIFS(m_teacher,AH$4,m_date,($G$2+17),m_active,1,m_start,"&lt;"&amp;1080,m_end,"&gt;"&amp;1020)=0,"",IF(COUNTIFS(m_teacher,AH$4,m_date,($G$2+17),m_active,1,m_start,"&lt;"&amp;1080,m_end,"&gt;"&amp;1020)&gt;1,"충돌",HYPERLINK("#'관리자_MASTER'!D"&amp;_xlfn.MAXIFS(m_row,m_teacher,AH$4,m_date,($G$2+17),m_active,1,m_start,"&lt;"&amp;1080,m_end,"&gt;"&amp;1020),INDEX(m_label,_xlfn.MAXIFS(m_row,m_teacher,AH$4,m_date,($G$2+17),m_active,1,m_start,"&lt;"&amp;1080,m_end,"&gt;"&amp;1020))))))</f>
        <v/>
      </c>
      <c r="AI46" s="88" t="str">
        <f aca="false">IF(OR(AI$4="",MONTH(($G$2+17))&lt;&gt;MONTH($C$2)),"",IF(COUNTIFS(m_teacher,AI$4,m_date,($G$2+17),m_active,1,m_start,"&lt;"&amp;1080,m_end,"&gt;"&amp;1020)=0,"",IF(COUNTIFS(m_teacher,AI$4,m_date,($G$2+17),m_active,1,m_start,"&lt;"&amp;1080,m_end,"&gt;"&amp;1020)&gt;1,"충돌",HYPERLINK("#'관리자_MASTER'!D"&amp;_xlfn.MAXIFS(m_row,m_teacher,AI$4,m_date,($G$2+17),m_active,1,m_start,"&lt;"&amp;1080,m_end,"&gt;"&amp;1020),INDEX(m_label,_xlfn.MAXIFS(m_row,m_teacher,AI$4,m_date,($G$2+17),m_active,1,m_start,"&lt;"&amp;1080,m_end,"&gt;"&amp;1020))))))</f>
        <v/>
      </c>
      <c r="AJ46" s="88" t="str">
        <f aca="false">IF(OR(AJ$4="",MONTH(($G$2+17))&lt;&gt;MONTH($C$2)),"",IF(COUNTIFS(m_teacher,AJ$4,m_date,($G$2+17),m_active,1,m_start,"&lt;"&amp;1080,m_end,"&gt;"&amp;1020)=0,"",IF(COUNTIFS(m_teacher,AJ$4,m_date,($G$2+17),m_active,1,m_start,"&lt;"&amp;1080,m_end,"&gt;"&amp;1020)&gt;1,"충돌",HYPERLINK("#'관리자_MASTER'!D"&amp;_xlfn.MAXIFS(m_row,m_teacher,AJ$4,m_date,($G$2+17),m_active,1,m_start,"&lt;"&amp;1080,m_end,"&gt;"&amp;1020),INDEX(m_label,_xlfn.MAXIFS(m_row,m_teacher,AJ$4,m_date,($G$2+17),m_active,1,m_start,"&lt;"&amp;1080,m_end,"&gt;"&amp;1020))))))</f>
        <v/>
      </c>
      <c r="AK46" s="88" t="str">
        <f aca="false">IF(OR(AK$4="",MONTH(($G$2+17))&lt;&gt;MONTH($C$2)),"",IF(COUNTIFS(m_teacher,AK$4,m_date,($G$2+17),m_active,1,m_start,"&lt;"&amp;1080,m_end,"&gt;"&amp;1020)=0,"",IF(COUNTIFS(m_teacher,AK$4,m_date,($G$2+17),m_active,1,m_start,"&lt;"&amp;1080,m_end,"&gt;"&amp;1020)&gt;1,"충돌",HYPERLINK("#'관리자_MASTER'!D"&amp;_xlfn.MAXIFS(m_row,m_teacher,AK$4,m_date,($G$2+17),m_active,1,m_start,"&lt;"&amp;1080,m_end,"&gt;"&amp;1020),INDEX(m_label,_xlfn.MAXIFS(m_row,m_teacher,AK$4,m_date,($G$2+17),m_active,1,m_start,"&lt;"&amp;1080,m_end,"&gt;"&amp;1020))))))</f>
        <v/>
      </c>
      <c r="AL46" s="88" t="str">
        <f aca="false">IF(OR(AL$4="",MONTH(($G$2+17))&lt;&gt;MONTH($C$2)),"",IF(COUNTIFS(m_teacher,AL$4,m_date,($G$2+17),m_active,1,m_start,"&lt;"&amp;1080,m_end,"&gt;"&amp;1020)=0,"",IF(COUNTIFS(m_teacher,AL$4,m_date,($G$2+17),m_active,1,m_start,"&lt;"&amp;1080,m_end,"&gt;"&amp;1020)&gt;1,"충돌",HYPERLINK("#'관리자_MASTER'!D"&amp;_xlfn.MAXIFS(m_row,m_teacher,AL$4,m_date,($G$2+17),m_active,1,m_start,"&lt;"&amp;1080,m_end,"&gt;"&amp;1020),INDEX(m_label,_xlfn.MAXIFS(m_row,m_teacher,AL$4,m_date,($G$2+17),m_active,1,m_start,"&lt;"&amp;1080,m_end,"&gt;"&amp;1020))))))</f>
        <v/>
      </c>
      <c r="AM46" s="88" t="str">
        <f aca="false">IF(OR(AM$4="",MONTH(($G$2+17))&lt;&gt;MONTH($C$2)),"",IF(COUNTIFS(m_teacher,AM$4,m_date,($G$2+17),m_active,1,m_start,"&lt;"&amp;1080,m_end,"&gt;"&amp;1020)=0,"",IF(COUNTIFS(m_teacher,AM$4,m_date,($G$2+17),m_active,1,m_start,"&lt;"&amp;1080,m_end,"&gt;"&amp;1020)&gt;1,"충돌",HYPERLINK("#'관리자_MASTER'!D"&amp;_xlfn.MAXIFS(m_row,m_teacher,AM$4,m_date,($G$2+17),m_active,1,m_start,"&lt;"&amp;1080,m_end,"&gt;"&amp;1020),INDEX(m_label,_xlfn.MAXIFS(m_row,m_teacher,AM$4,m_date,($G$2+17),m_active,1,m_start,"&lt;"&amp;1080,m_end,"&gt;"&amp;1020))))))</f>
        <v/>
      </c>
      <c r="AN46" s="88" t="str">
        <f aca="false">IF(OR(AN$4="",MONTH(($G$2+17))&lt;&gt;MONTH($C$2)),"",IF(COUNTIFS(m_teacher,AN$4,m_date,($G$2+17),m_active,1,m_start,"&lt;"&amp;1080,m_end,"&gt;"&amp;1020)=0,"",IF(COUNTIFS(m_teacher,AN$4,m_date,($G$2+17),m_active,1,m_start,"&lt;"&amp;1080,m_end,"&gt;"&amp;1020)&gt;1,"충돌",HYPERLINK("#'관리자_MASTER'!D"&amp;_xlfn.MAXIFS(m_row,m_teacher,AN$4,m_date,($G$2+17),m_active,1,m_start,"&lt;"&amp;1080,m_end,"&gt;"&amp;1020),INDEX(m_label,_xlfn.MAXIFS(m_row,m_teacher,AN$4,m_date,($G$2+17),m_active,1,m_start,"&lt;"&amp;1080,m_end,"&gt;"&amp;1020))))))</f>
        <v/>
      </c>
      <c r="AO46" s="88" t="str">
        <f aca="false">IF(OR(AO$4="",MONTH(($G$2+17))&lt;&gt;MONTH($C$2)),"",IF(COUNTIFS(m_teacher,AO$4,m_date,($G$2+17),m_active,1,m_start,"&lt;"&amp;1080,m_end,"&gt;"&amp;1020)=0,"",IF(COUNTIFS(m_teacher,AO$4,m_date,($G$2+17),m_active,1,m_start,"&lt;"&amp;1080,m_end,"&gt;"&amp;1020)&gt;1,"충돌",HYPERLINK("#'관리자_MASTER'!D"&amp;_xlfn.MAXIFS(m_row,m_teacher,AO$4,m_date,($G$2+17),m_active,1,m_start,"&lt;"&amp;1080,m_end,"&gt;"&amp;1020),INDEX(m_label,_xlfn.MAXIFS(m_row,m_teacher,AO$4,m_date,($G$2+17),m_active,1,m_start,"&lt;"&amp;1080,m_end,"&gt;"&amp;1020))))))</f>
        <v/>
      </c>
      <c r="AP46" s="88" t="str">
        <f aca="false">IF(OR(AP$4="",MONTH(($G$2+17))&lt;&gt;MONTH($C$2)),"",IF(COUNTIFS(m_teacher,AP$4,m_date,($G$2+17),m_active,1,m_start,"&lt;"&amp;1080,m_end,"&gt;"&amp;1020)=0,"",IF(COUNTIFS(m_teacher,AP$4,m_date,($G$2+17),m_active,1,m_start,"&lt;"&amp;1080,m_end,"&gt;"&amp;1020)&gt;1,"충돌",HYPERLINK("#'관리자_MASTER'!D"&amp;_xlfn.MAXIFS(m_row,m_teacher,AP$4,m_date,($G$2+17),m_active,1,m_start,"&lt;"&amp;1080,m_end,"&gt;"&amp;1020),INDEX(m_label,_xlfn.MAXIFS(m_row,m_teacher,AP$4,m_date,($G$2+17),m_active,1,m_start,"&lt;"&amp;1080,m_end,"&gt;"&amp;1020))))))</f>
        <v/>
      </c>
      <c r="AQ46" s="78"/>
      <c r="AR46" s="79" t="s">
        <v>99</v>
      </c>
      <c r="AS46" s="88" t="str">
        <f aca="false">IF(OR(AS$4="",MONTH(($G$2+24))&lt;&gt;MONTH($C$2)),"",IF(COUNTIFS(m_teacher,AS$4,m_date,($G$2+24),m_active,1,m_start,"&lt;"&amp;1080,m_end,"&gt;"&amp;1020)=0,"",IF(COUNTIFS(m_teacher,AS$4,m_date,($G$2+24),m_active,1,m_start,"&lt;"&amp;1080,m_end,"&gt;"&amp;1020)&gt;1,"충돌",HYPERLINK("#'관리자_MASTER'!D"&amp;_xlfn.MAXIFS(m_row,m_teacher,AS$4,m_date,($G$2+24),m_active,1,m_start,"&lt;"&amp;1080,m_end,"&gt;"&amp;1020),INDEX(m_label,_xlfn.MAXIFS(m_row,m_teacher,AS$4,m_date,($G$2+24),m_active,1,m_start,"&lt;"&amp;1080,m_end,"&gt;"&amp;1020))))))</f>
        <v/>
      </c>
      <c r="AT46" s="88" t="str">
        <f aca="false">IF(OR(AT$4="",MONTH(($G$2+24))&lt;&gt;MONTH($C$2)),"",IF(COUNTIFS(m_teacher,AT$4,m_date,($G$2+24),m_active,1,m_start,"&lt;"&amp;1080,m_end,"&gt;"&amp;1020)=0,"",IF(COUNTIFS(m_teacher,AT$4,m_date,($G$2+24),m_active,1,m_start,"&lt;"&amp;1080,m_end,"&gt;"&amp;1020)&gt;1,"충돌",HYPERLINK("#'관리자_MASTER'!D"&amp;_xlfn.MAXIFS(m_row,m_teacher,AT$4,m_date,($G$2+24),m_active,1,m_start,"&lt;"&amp;1080,m_end,"&gt;"&amp;1020),INDEX(m_label,_xlfn.MAXIFS(m_row,m_teacher,AT$4,m_date,($G$2+24),m_active,1,m_start,"&lt;"&amp;1080,m_end,"&gt;"&amp;1020))))))</f>
        <v/>
      </c>
      <c r="AU46" s="88" t="str">
        <f aca="false">IF(OR(AU$4="",MONTH(($G$2+24))&lt;&gt;MONTH($C$2)),"",IF(COUNTIFS(m_teacher,AU$4,m_date,($G$2+24),m_active,1,m_start,"&lt;"&amp;1080,m_end,"&gt;"&amp;1020)=0,"",IF(COUNTIFS(m_teacher,AU$4,m_date,($G$2+24),m_active,1,m_start,"&lt;"&amp;1080,m_end,"&gt;"&amp;1020)&gt;1,"충돌",HYPERLINK("#'관리자_MASTER'!D"&amp;_xlfn.MAXIFS(m_row,m_teacher,AU$4,m_date,($G$2+24),m_active,1,m_start,"&lt;"&amp;1080,m_end,"&gt;"&amp;1020),INDEX(m_label,_xlfn.MAXIFS(m_row,m_teacher,AU$4,m_date,($G$2+24),m_active,1,m_start,"&lt;"&amp;1080,m_end,"&gt;"&amp;1020))))))</f>
        <v/>
      </c>
      <c r="AV46" s="88" t="str">
        <f aca="false">IF(OR(AV$4="",MONTH(($G$2+24))&lt;&gt;MONTH($C$2)),"",IF(COUNTIFS(m_teacher,AV$4,m_date,($G$2+24),m_active,1,m_start,"&lt;"&amp;1080,m_end,"&gt;"&amp;1020)=0,"",IF(COUNTIFS(m_teacher,AV$4,m_date,($G$2+24),m_active,1,m_start,"&lt;"&amp;1080,m_end,"&gt;"&amp;1020)&gt;1,"충돌",HYPERLINK("#'관리자_MASTER'!D"&amp;_xlfn.MAXIFS(m_row,m_teacher,AV$4,m_date,($G$2+24),m_active,1,m_start,"&lt;"&amp;1080,m_end,"&gt;"&amp;1020),INDEX(m_label,_xlfn.MAXIFS(m_row,m_teacher,AV$4,m_date,($G$2+24),m_active,1,m_start,"&lt;"&amp;1080,m_end,"&gt;"&amp;1020))))))</f>
        <v/>
      </c>
      <c r="AW46" s="88" t="str">
        <f aca="false">IF(OR(AW$4="",MONTH(($G$2+24))&lt;&gt;MONTH($C$2)),"",IF(COUNTIFS(m_teacher,AW$4,m_date,($G$2+24),m_active,1,m_start,"&lt;"&amp;1080,m_end,"&gt;"&amp;1020)=0,"",IF(COUNTIFS(m_teacher,AW$4,m_date,($G$2+24),m_active,1,m_start,"&lt;"&amp;1080,m_end,"&gt;"&amp;1020)&gt;1,"충돌",HYPERLINK("#'관리자_MASTER'!D"&amp;_xlfn.MAXIFS(m_row,m_teacher,AW$4,m_date,($G$2+24),m_active,1,m_start,"&lt;"&amp;1080,m_end,"&gt;"&amp;1020),INDEX(m_label,_xlfn.MAXIFS(m_row,m_teacher,AW$4,m_date,($G$2+24),m_active,1,m_start,"&lt;"&amp;1080,m_end,"&gt;"&amp;1020))))))</f>
        <v/>
      </c>
      <c r="AX46" s="88" t="str">
        <f aca="false">IF(OR(AX$4="",MONTH(($G$2+24))&lt;&gt;MONTH($C$2)),"",IF(COUNTIFS(m_teacher,AX$4,m_date,($G$2+24),m_active,1,m_start,"&lt;"&amp;1080,m_end,"&gt;"&amp;1020)=0,"",IF(COUNTIFS(m_teacher,AX$4,m_date,($G$2+24),m_active,1,m_start,"&lt;"&amp;1080,m_end,"&gt;"&amp;1020)&gt;1,"충돌",HYPERLINK("#'관리자_MASTER'!D"&amp;_xlfn.MAXIFS(m_row,m_teacher,AX$4,m_date,($G$2+24),m_active,1,m_start,"&lt;"&amp;1080,m_end,"&gt;"&amp;1020),INDEX(m_label,_xlfn.MAXIFS(m_row,m_teacher,AX$4,m_date,($G$2+24),m_active,1,m_start,"&lt;"&amp;1080,m_end,"&gt;"&amp;1020))))))</f>
        <v/>
      </c>
      <c r="AY46" s="88" t="str">
        <f aca="false">IF(OR(AY$4="",MONTH(($G$2+24))&lt;&gt;MONTH($C$2)),"",IF(COUNTIFS(m_teacher,AY$4,m_date,($G$2+24),m_active,1,m_start,"&lt;"&amp;1080,m_end,"&gt;"&amp;1020)=0,"",IF(COUNTIFS(m_teacher,AY$4,m_date,($G$2+24),m_active,1,m_start,"&lt;"&amp;1080,m_end,"&gt;"&amp;1020)&gt;1,"충돌",HYPERLINK("#'관리자_MASTER'!D"&amp;_xlfn.MAXIFS(m_row,m_teacher,AY$4,m_date,($G$2+24),m_active,1,m_start,"&lt;"&amp;1080,m_end,"&gt;"&amp;1020),INDEX(m_label,_xlfn.MAXIFS(m_row,m_teacher,AY$4,m_date,($G$2+24),m_active,1,m_start,"&lt;"&amp;1080,m_end,"&gt;"&amp;1020))))))</f>
        <v/>
      </c>
      <c r="AZ46" s="88" t="str">
        <f aca="false">IF(OR(AZ$4="",MONTH(($G$2+24))&lt;&gt;MONTH($C$2)),"",IF(COUNTIFS(m_teacher,AZ$4,m_date,($G$2+24),m_active,1,m_start,"&lt;"&amp;1080,m_end,"&gt;"&amp;1020)=0,"",IF(COUNTIFS(m_teacher,AZ$4,m_date,($G$2+24),m_active,1,m_start,"&lt;"&amp;1080,m_end,"&gt;"&amp;1020)&gt;1,"충돌",HYPERLINK("#'관리자_MASTER'!D"&amp;_xlfn.MAXIFS(m_row,m_teacher,AZ$4,m_date,($G$2+24),m_active,1,m_start,"&lt;"&amp;1080,m_end,"&gt;"&amp;1020),INDEX(m_label,_xlfn.MAXIFS(m_row,m_teacher,AZ$4,m_date,($G$2+24),m_active,1,m_start,"&lt;"&amp;1080,m_end,"&gt;"&amp;1020))))))</f>
        <v/>
      </c>
      <c r="BA46" s="88" t="str">
        <f aca="false">IF(OR(BA$4="",MONTH(($G$2+24))&lt;&gt;MONTH($C$2)),"",IF(COUNTIFS(m_teacher,BA$4,m_date,($G$2+24),m_active,1,m_start,"&lt;"&amp;1080,m_end,"&gt;"&amp;1020)=0,"",IF(COUNTIFS(m_teacher,BA$4,m_date,($G$2+24),m_active,1,m_start,"&lt;"&amp;1080,m_end,"&gt;"&amp;1020)&gt;1,"충돌",HYPERLINK("#'관리자_MASTER'!D"&amp;_xlfn.MAXIFS(m_row,m_teacher,BA$4,m_date,($G$2+24),m_active,1,m_start,"&lt;"&amp;1080,m_end,"&gt;"&amp;1020),INDEX(m_label,_xlfn.MAXIFS(m_row,m_teacher,BA$4,m_date,($G$2+24),m_active,1,m_start,"&lt;"&amp;1080,m_end,"&gt;"&amp;1020))))))</f>
        <v/>
      </c>
      <c r="BB46" s="88" t="str">
        <f aca="false">IF(OR(BB$4="",MONTH(($G$2+24))&lt;&gt;MONTH($C$2)),"",IF(COUNTIFS(m_teacher,BB$4,m_date,($G$2+24),m_active,1,m_start,"&lt;"&amp;1080,m_end,"&gt;"&amp;1020)=0,"",IF(COUNTIFS(m_teacher,BB$4,m_date,($G$2+24),m_active,1,m_start,"&lt;"&amp;1080,m_end,"&gt;"&amp;1020)&gt;1,"충돌",HYPERLINK("#'관리자_MASTER'!D"&amp;_xlfn.MAXIFS(m_row,m_teacher,BB$4,m_date,($G$2+24),m_active,1,m_start,"&lt;"&amp;1080,m_end,"&gt;"&amp;1020),INDEX(m_label,_xlfn.MAXIFS(m_row,m_teacher,BB$4,m_date,($G$2+24),m_active,1,m_start,"&lt;"&amp;1080,m_end,"&gt;"&amp;1020))))))</f>
        <v/>
      </c>
      <c r="BC46" s="88" t="str">
        <f aca="false">IF(OR(BC$4="",MONTH(($G$2+24))&lt;&gt;MONTH($C$2)),"",IF(COUNTIFS(m_teacher,BC$4,m_date,($G$2+24),m_active,1,m_start,"&lt;"&amp;1080,m_end,"&gt;"&amp;1020)=0,"",IF(COUNTIFS(m_teacher,BC$4,m_date,($G$2+24),m_active,1,m_start,"&lt;"&amp;1080,m_end,"&gt;"&amp;1020)&gt;1,"충돌",HYPERLINK("#'관리자_MASTER'!D"&amp;_xlfn.MAXIFS(m_row,m_teacher,BC$4,m_date,($G$2+24),m_active,1,m_start,"&lt;"&amp;1080,m_end,"&gt;"&amp;1020),INDEX(m_label,_xlfn.MAXIFS(m_row,m_teacher,BC$4,m_date,($G$2+24),m_active,1,m_start,"&lt;"&amp;1080,m_end,"&gt;"&amp;1020))))))</f>
        <v/>
      </c>
      <c r="BD46" s="88" t="str">
        <f aca="false">IF(OR(BD$4="",MONTH(($G$2+24))&lt;&gt;MONTH($C$2)),"",IF(COUNTIFS(m_teacher,BD$4,m_date,($G$2+24),m_active,1,m_start,"&lt;"&amp;1080,m_end,"&gt;"&amp;1020)=0,"",IF(COUNTIFS(m_teacher,BD$4,m_date,($G$2+24),m_active,1,m_start,"&lt;"&amp;1080,m_end,"&gt;"&amp;1020)&gt;1,"충돌",HYPERLINK("#'관리자_MASTER'!D"&amp;_xlfn.MAXIFS(m_row,m_teacher,BD$4,m_date,($G$2+24),m_active,1,m_start,"&lt;"&amp;1080,m_end,"&gt;"&amp;1020),INDEX(m_label,_xlfn.MAXIFS(m_row,m_teacher,BD$4,m_date,($G$2+24),m_active,1,m_start,"&lt;"&amp;1080,m_end,"&gt;"&amp;1020))))))</f>
        <v/>
      </c>
      <c r="BE46" s="78"/>
      <c r="BF46" s="79" t="s">
        <v>99</v>
      </c>
      <c r="BG46" s="88" t="str">
        <f aca="false">IF(OR(BG$4="",MONTH(($G$2+31))&lt;&gt;MONTH($C$2)),"",IF(COUNTIFS(m_teacher,BG$4,m_date,($G$2+31),m_active,1,m_start,"&lt;"&amp;1080,m_end,"&gt;"&amp;1020)=0,"",IF(COUNTIFS(m_teacher,BG$4,m_date,($G$2+31),m_active,1,m_start,"&lt;"&amp;1080,m_end,"&gt;"&amp;1020)&gt;1,"충돌",HYPERLINK("#'관리자_MASTER'!D"&amp;_xlfn.MAXIFS(m_row,m_teacher,BG$4,m_date,($G$2+31),m_active,1,m_start,"&lt;"&amp;1080,m_end,"&gt;"&amp;1020),INDEX(m_label,_xlfn.MAXIFS(m_row,m_teacher,BG$4,m_date,($G$2+31),m_active,1,m_start,"&lt;"&amp;1080,m_end,"&gt;"&amp;1020))))))</f>
        <v/>
      </c>
      <c r="BH46" s="88" t="str">
        <f aca="false">IF(OR(BH$4="",MONTH(($G$2+31))&lt;&gt;MONTH($C$2)),"",IF(COUNTIFS(m_teacher,BH$4,m_date,($G$2+31),m_active,1,m_start,"&lt;"&amp;1080,m_end,"&gt;"&amp;1020)=0,"",IF(COUNTIFS(m_teacher,BH$4,m_date,($G$2+31),m_active,1,m_start,"&lt;"&amp;1080,m_end,"&gt;"&amp;1020)&gt;1,"충돌",HYPERLINK("#'관리자_MASTER'!D"&amp;_xlfn.MAXIFS(m_row,m_teacher,BH$4,m_date,($G$2+31),m_active,1,m_start,"&lt;"&amp;1080,m_end,"&gt;"&amp;1020),INDEX(m_label,_xlfn.MAXIFS(m_row,m_teacher,BH$4,m_date,($G$2+31),m_active,1,m_start,"&lt;"&amp;1080,m_end,"&gt;"&amp;1020))))))</f>
        <v/>
      </c>
      <c r="BI46" s="88" t="str">
        <f aca="false">IF(OR(BI$4="",MONTH(($G$2+31))&lt;&gt;MONTH($C$2)),"",IF(COUNTIFS(m_teacher,BI$4,m_date,($G$2+31),m_active,1,m_start,"&lt;"&amp;1080,m_end,"&gt;"&amp;1020)=0,"",IF(COUNTIFS(m_teacher,BI$4,m_date,($G$2+31),m_active,1,m_start,"&lt;"&amp;1080,m_end,"&gt;"&amp;1020)&gt;1,"충돌",HYPERLINK("#'관리자_MASTER'!D"&amp;_xlfn.MAXIFS(m_row,m_teacher,BI$4,m_date,($G$2+31),m_active,1,m_start,"&lt;"&amp;1080,m_end,"&gt;"&amp;1020),INDEX(m_label,_xlfn.MAXIFS(m_row,m_teacher,BI$4,m_date,($G$2+31),m_active,1,m_start,"&lt;"&amp;1080,m_end,"&gt;"&amp;1020))))))</f>
        <v/>
      </c>
      <c r="BJ46" s="88" t="str">
        <f aca="false">IF(OR(BJ$4="",MONTH(($G$2+31))&lt;&gt;MONTH($C$2)),"",IF(COUNTIFS(m_teacher,BJ$4,m_date,($G$2+31),m_active,1,m_start,"&lt;"&amp;1080,m_end,"&gt;"&amp;1020)=0,"",IF(COUNTIFS(m_teacher,BJ$4,m_date,($G$2+31),m_active,1,m_start,"&lt;"&amp;1080,m_end,"&gt;"&amp;1020)&gt;1,"충돌",HYPERLINK("#'관리자_MASTER'!D"&amp;_xlfn.MAXIFS(m_row,m_teacher,BJ$4,m_date,($G$2+31),m_active,1,m_start,"&lt;"&amp;1080,m_end,"&gt;"&amp;1020),INDEX(m_label,_xlfn.MAXIFS(m_row,m_teacher,BJ$4,m_date,($G$2+31),m_active,1,m_start,"&lt;"&amp;1080,m_end,"&gt;"&amp;1020))))))</f>
        <v/>
      </c>
      <c r="BK46" s="88" t="str">
        <f aca="false">IF(OR(BK$4="",MONTH(($G$2+31))&lt;&gt;MONTH($C$2)),"",IF(COUNTIFS(m_teacher,BK$4,m_date,($G$2+31),m_active,1,m_start,"&lt;"&amp;1080,m_end,"&gt;"&amp;1020)=0,"",IF(COUNTIFS(m_teacher,BK$4,m_date,($G$2+31),m_active,1,m_start,"&lt;"&amp;1080,m_end,"&gt;"&amp;1020)&gt;1,"충돌",HYPERLINK("#'관리자_MASTER'!D"&amp;_xlfn.MAXIFS(m_row,m_teacher,BK$4,m_date,($G$2+31),m_active,1,m_start,"&lt;"&amp;1080,m_end,"&gt;"&amp;1020),INDEX(m_label,_xlfn.MAXIFS(m_row,m_teacher,BK$4,m_date,($G$2+31),m_active,1,m_start,"&lt;"&amp;1080,m_end,"&gt;"&amp;1020))))))</f>
        <v/>
      </c>
      <c r="BL46" s="88" t="str">
        <f aca="false">IF(OR(BL$4="",MONTH(($G$2+31))&lt;&gt;MONTH($C$2)),"",IF(COUNTIFS(m_teacher,BL$4,m_date,($G$2+31),m_active,1,m_start,"&lt;"&amp;1080,m_end,"&gt;"&amp;1020)=0,"",IF(COUNTIFS(m_teacher,BL$4,m_date,($G$2+31),m_active,1,m_start,"&lt;"&amp;1080,m_end,"&gt;"&amp;1020)&gt;1,"충돌",HYPERLINK("#'관리자_MASTER'!D"&amp;_xlfn.MAXIFS(m_row,m_teacher,BL$4,m_date,($G$2+31),m_active,1,m_start,"&lt;"&amp;1080,m_end,"&gt;"&amp;1020),INDEX(m_label,_xlfn.MAXIFS(m_row,m_teacher,BL$4,m_date,($G$2+31),m_active,1,m_start,"&lt;"&amp;1080,m_end,"&gt;"&amp;1020))))))</f>
        <v/>
      </c>
      <c r="BM46" s="88" t="str">
        <f aca="false">IF(OR(BM$4="",MONTH(($G$2+31))&lt;&gt;MONTH($C$2)),"",IF(COUNTIFS(m_teacher,BM$4,m_date,($G$2+31),m_active,1,m_start,"&lt;"&amp;1080,m_end,"&gt;"&amp;1020)=0,"",IF(COUNTIFS(m_teacher,BM$4,m_date,($G$2+31),m_active,1,m_start,"&lt;"&amp;1080,m_end,"&gt;"&amp;1020)&gt;1,"충돌",HYPERLINK("#'관리자_MASTER'!D"&amp;_xlfn.MAXIFS(m_row,m_teacher,BM$4,m_date,($G$2+31),m_active,1,m_start,"&lt;"&amp;1080,m_end,"&gt;"&amp;1020),INDEX(m_label,_xlfn.MAXIFS(m_row,m_teacher,BM$4,m_date,($G$2+31),m_active,1,m_start,"&lt;"&amp;1080,m_end,"&gt;"&amp;1020))))))</f>
        <v/>
      </c>
      <c r="BN46" s="88" t="str">
        <f aca="false">IF(OR(BN$4="",MONTH(($G$2+31))&lt;&gt;MONTH($C$2)),"",IF(COUNTIFS(m_teacher,BN$4,m_date,($G$2+31),m_active,1,m_start,"&lt;"&amp;1080,m_end,"&gt;"&amp;1020)=0,"",IF(COUNTIFS(m_teacher,BN$4,m_date,($G$2+31),m_active,1,m_start,"&lt;"&amp;1080,m_end,"&gt;"&amp;1020)&gt;1,"충돌",HYPERLINK("#'관리자_MASTER'!D"&amp;_xlfn.MAXIFS(m_row,m_teacher,BN$4,m_date,($G$2+31),m_active,1,m_start,"&lt;"&amp;1080,m_end,"&gt;"&amp;1020),INDEX(m_label,_xlfn.MAXIFS(m_row,m_teacher,BN$4,m_date,($G$2+31),m_active,1,m_start,"&lt;"&amp;1080,m_end,"&gt;"&amp;1020))))))</f>
        <v/>
      </c>
      <c r="BO46" s="88" t="str">
        <f aca="false">IF(OR(BO$4="",MONTH(($G$2+31))&lt;&gt;MONTH($C$2)),"",IF(COUNTIFS(m_teacher,BO$4,m_date,($G$2+31),m_active,1,m_start,"&lt;"&amp;1080,m_end,"&gt;"&amp;1020)=0,"",IF(COUNTIFS(m_teacher,BO$4,m_date,($G$2+31),m_active,1,m_start,"&lt;"&amp;1080,m_end,"&gt;"&amp;1020)&gt;1,"충돌",HYPERLINK("#'관리자_MASTER'!D"&amp;_xlfn.MAXIFS(m_row,m_teacher,BO$4,m_date,($G$2+31),m_active,1,m_start,"&lt;"&amp;1080,m_end,"&gt;"&amp;1020),INDEX(m_label,_xlfn.MAXIFS(m_row,m_teacher,BO$4,m_date,($G$2+31),m_active,1,m_start,"&lt;"&amp;1080,m_end,"&gt;"&amp;1020))))))</f>
        <v/>
      </c>
      <c r="BP46" s="88" t="str">
        <f aca="false">IF(OR(BP$4="",MONTH(($G$2+31))&lt;&gt;MONTH($C$2)),"",IF(COUNTIFS(m_teacher,BP$4,m_date,($G$2+31),m_active,1,m_start,"&lt;"&amp;1080,m_end,"&gt;"&amp;1020)=0,"",IF(COUNTIFS(m_teacher,BP$4,m_date,($G$2+31),m_active,1,m_start,"&lt;"&amp;1080,m_end,"&gt;"&amp;1020)&gt;1,"충돌",HYPERLINK("#'관리자_MASTER'!D"&amp;_xlfn.MAXIFS(m_row,m_teacher,BP$4,m_date,($G$2+31),m_active,1,m_start,"&lt;"&amp;1080,m_end,"&gt;"&amp;1020),INDEX(m_label,_xlfn.MAXIFS(m_row,m_teacher,BP$4,m_date,($G$2+31),m_active,1,m_start,"&lt;"&amp;1080,m_end,"&gt;"&amp;1020))))))</f>
        <v/>
      </c>
      <c r="BQ46" s="88" t="str">
        <f aca="false">IF(OR(BQ$4="",MONTH(($G$2+31))&lt;&gt;MONTH($C$2)),"",IF(COUNTIFS(m_teacher,BQ$4,m_date,($G$2+31),m_active,1,m_start,"&lt;"&amp;1080,m_end,"&gt;"&amp;1020)=0,"",IF(COUNTIFS(m_teacher,BQ$4,m_date,($G$2+31),m_active,1,m_start,"&lt;"&amp;1080,m_end,"&gt;"&amp;1020)&gt;1,"충돌",HYPERLINK("#'관리자_MASTER'!D"&amp;_xlfn.MAXIFS(m_row,m_teacher,BQ$4,m_date,($G$2+31),m_active,1,m_start,"&lt;"&amp;1080,m_end,"&gt;"&amp;1020),INDEX(m_label,_xlfn.MAXIFS(m_row,m_teacher,BQ$4,m_date,($G$2+31),m_active,1,m_start,"&lt;"&amp;1080,m_end,"&gt;"&amp;1020))))))</f>
        <v/>
      </c>
      <c r="BR46" s="88" t="str">
        <f aca="false">IF(OR(BR$4="",MONTH(($G$2+31))&lt;&gt;MONTH($C$2)),"",IF(COUNTIFS(m_teacher,BR$4,m_date,($G$2+31),m_active,1,m_start,"&lt;"&amp;1080,m_end,"&gt;"&amp;1020)=0,"",IF(COUNTIFS(m_teacher,BR$4,m_date,($G$2+31),m_active,1,m_start,"&lt;"&amp;1080,m_end,"&gt;"&amp;1020)&gt;1,"충돌",HYPERLINK("#'관리자_MASTER'!D"&amp;_xlfn.MAXIFS(m_row,m_teacher,BR$4,m_date,($G$2+31),m_active,1,m_start,"&lt;"&amp;1080,m_end,"&gt;"&amp;1020),INDEX(m_label,_xlfn.MAXIFS(m_row,m_teacher,BR$4,m_date,($G$2+31),m_active,1,m_start,"&lt;"&amp;1080,m_end,"&gt;"&amp;1020))))))</f>
        <v/>
      </c>
    </row>
    <row r="47" customFormat="false" ht="19.5" hidden="false" customHeight="true" outlineLevel="0" collapsed="false">
      <c r="A47" s="75"/>
      <c r="B47" s="76" t="s">
        <v>100</v>
      </c>
      <c r="C47" s="81" t="str">
        <f aca="false">IF(OR(C$4="",MONTH(($G$2+3))&lt;&gt;MONTH($C$2)),"",IF(COUNTIFS(m_teacher,C$4,m_date,($G$2+3),m_active,1,m_start,"&lt;"&amp;1140,m_end,"&gt;"&amp;1080)=0,"",IF(COUNTIFS(m_teacher,C$4,m_date,($G$2+3),m_active,1,m_start,"&lt;"&amp;1140,m_end,"&gt;"&amp;1080)&gt;1,"충돌",HYPERLINK("#'관리자_MASTER'!D"&amp;_xlfn.MAXIFS(m_row,m_teacher,C$4,m_date,($G$2+3),m_active,1,m_start,"&lt;"&amp;1140,m_end,"&gt;"&amp;1080),INDEX(m_label,_xlfn.MAXIFS(m_row,m_teacher,C$4,m_date,($G$2+3),m_active,1,m_start,"&lt;"&amp;1140,m_end,"&gt;"&amp;1080))))))</f>
        <v/>
      </c>
      <c r="D47" s="81" t="str">
        <f aca="false">IF(OR(D$4="",MONTH(($G$2+3))&lt;&gt;MONTH($C$2)),"",IF(COUNTIFS(m_teacher,D$4,m_date,($G$2+3),m_active,1,m_start,"&lt;"&amp;1140,m_end,"&gt;"&amp;1080)=0,"",IF(COUNTIFS(m_teacher,D$4,m_date,($G$2+3),m_active,1,m_start,"&lt;"&amp;1140,m_end,"&gt;"&amp;1080)&gt;1,"충돌",HYPERLINK("#'관리자_MASTER'!D"&amp;_xlfn.MAXIFS(m_row,m_teacher,D$4,m_date,($G$2+3),m_active,1,m_start,"&lt;"&amp;1140,m_end,"&gt;"&amp;1080),INDEX(m_label,_xlfn.MAXIFS(m_row,m_teacher,D$4,m_date,($G$2+3),m_active,1,m_start,"&lt;"&amp;1140,m_end,"&gt;"&amp;1080))))))</f>
        <v/>
      </c>
      <c r="E47" s="81" t="str">
        <f aca="false">IF(OR(E$4="",MONTH(($G$2+3))&lt;&gt;MONTH($C$2)),"",IF(COUNTIFS(m_teacher,E$4,m_date,($G$2+3),m_active,1,m_start,"&lt;"&amp;1140,m_end,"&gt;"&amp;1080)=0,"",IF(COUNTIFS(m_teacher,E$4,m_date,($G$2+3),m_active,1,m_start,"&lt;"&amp;1140,m_end,"&gt;"&amp;1080)&gt;1,"충돌",HYPERLINK("#'관리자_MASTER'!D"&amp;_xlfn.MAXIFS(m_row,m_teacher,E$4,m_date,($G$2+3),m_active,1,m_start,"&lt;"&amp;1140,m_end,"&gt;"&amp;1080),INDEX(m_label,_xlfn.MAXIFS(m_row,m_teacher,E$4,m_date,($G$2+3),m_active,1,m_start,"&lt;"&amp;1140,m_end,"&gt;"&amp;1080))))))</f>
        <v/>
      </c>
      <c r="F47" s="81" t="str">
        <f aca="false">IF(OR(F$4="",MONTH(($G$2+3))&lt;&gt;MONTH($C$2)),"",IF(COUNTIFS(m_teacher,F$4,m_date,($G$2+3),m_active,1,m_start,"&lt;"&amp;1140,m_end,"&gt;"&amp;1080)=0,"",IF(COUNTIFS(m_teacher,F$4,m_date,($G$2+3),m_active,1,m_start,"&lt;"&amp;1140,m_end,"&gt;"&amp;1080)&gt;1,"충돌",HYPERLINK("#'관리자_MASTER'!D"&amp;_xlfn.MAXIFS(m_row,m_teacher,F$4,m_date,($G$2+3),m_active,1,m_start,"&lt;"&amp;1140,m_end,"&gt;"&amp;1080),INDEX(m_label,_xlfn.MAXIFS(m_row,m_teacher,F$4,m_date,($G$2+3),m_active,1,m_start,"&lt;"&amp;1140,m_end,"&gt;"&amp;1080))))))</f>
        <v/>
      </c>
      <c r="G47" s="81" t="str">
        <f aca="false">IF(OR(G$4="",MONTH(($G$2+3))&lt;&gt;MONTH($C$2)),"",IF(COUNTIFS(m_teacher,G$4,m_date,($G$2+3),m_active,1,m_start,"&lt;"&amp;1140,m_end,"&gt;"&amp;1080)=0,"",IF(COUNTIFS(m_teacher,G$4,m_date,($G$2+3),m_active,1,m_start,"&lt;"&amp;1140,m_end,"&gt;"&amp;1080)&gt;1,"충돌",HYPERLINK("#'관리자_MASTER'!D"&amp;_xlfn.MAXIFS(m_row,m_teacher,G$4,m_date,($G$2+3),m_active,1,m_start,"&lt;"&amp;1140,m_end,"&gt;"&amp;1080),INDEX(m_label,_xlfn.MAXIFS(m_row,m_teacher,G$4,m_date,($G$2+3),m_active,1,m_start,"&lt;"&amp;1140,m_end,"&gt;"&amp;1080))))))</f>
        <v/>
      </c>
      <c r="H47" s="81" t="str">
        <f aca="false">IF(OR(H$4="",MONTH(($G$2+3))&lt;&gt;MONTH($C$2)),"",IF(COUNTIFS(m_teacher,H$4,m_date,($G$2+3),m_active,1,m_start,"&lt;"&amp;1140,m_end,"&gt;"&amp;1080)=0,"",IF(COUNTIFS(m_teacher,H$4,m_date,($G$2+3),m_active,1,m_start,"&lt;"&amp;1140,m_end,"&gt;"&amp;1080)&gt;1,"충돌",HYPERLINK("#'관리자_MASTER'!D"&amp;_xlfn.MAXIFS(m_row,m_teacher,H$4,m_date,($G$2+3),m_active,1,m_start,"&lt;"&amp;1140,m_end,"&gt;"&amp;1080),INDEX(m_label,_xlfn.MAXIFS(m_row,m_teacher,H$4,m_date,($G$2+3),m_active,1,m_start,"&lt;"&amp;1140,m_end,"&gt;"&amp;1080))))))</f>
        <v/>
      </c>
      <c r="I47" s="81" t="str">
        <f aca="false">IF(OR(I$4="",MONTH(($G$2+3))&lt;&gt;MONTH($C$2)),"",IF(COUNTIFS(m_teacher,I$4,m_date,($G$2+3),m_active,1,m_start,"&lt;"&amp;1140,m_end,"&gt;"&amp;1080)=0,"",IF(COUNTIFS(m_teacher,I$4,m_date,($G$2+3),m_active,1,m_start,"&lt;"&amp;1140,m_end,"&gt;"&amp;1080)&gt;1,"충돌",HYPERLINK("#'관리자_MASTER'!D"&amp;_xlfn.MAXIFS(m_row,m_teacher,I$4,m_date,($G$2+3),m_active,1,m_start,"&lt;"&amp;1140,m_end,"&gt;"&amp;1080),INDEX(m_label,_xlfn.MAXIFS(m_row,m_teacher,I$4,m_date,($G$2+3),m_active,1,m_start,"&lt;"&amp;1140,m_end,"&gt;"&amp;1080))))))</f>
        <v/>
      </c>
      <c r="J47" s="81" t="str">
        <f aca="false">IF(OR(J$4="",MONTH(($G$2+3))&lt;&gt;MONTH($C$2)),"",IF(COUNTIFS(m_teacher,J$4,m_date,($G$2+3),m_active,1,m_start,"&lt;"&amp;1140,m_end,"&gt;"&amp;1080)=0,"",IF(COUNTIFS(m_teacher,J$4,m_date,($G$2+3),m_active,1,m_start,"&lt;"&amp;1140,m_end,"&gt;"&amp;1080)&gt;1,"충돌",HYPERLINK("#'관리자_MASTER'!D"&amp;_xlfn.MAXIFS(m_row,m_teacher,J$4,m_date,($G$2+3),m_active,1,m_start,"&lt;"&amp;1140,m_end,"&gt;"&amp;1080),INDEX(m_label,_xlfn.MAXIFS(m_row,m_teacher,J$4,m_date,($G$2+3),m_active,1,m_start,"&lt;"&amp;1140,m_end,"&gt;"&amp;1080))))))</f>
        <v/>
      </c>
      <c r="K47" s="81" t="str">
        <f aca="false">IF(OR(K$4="",MONTH(($G$2+3))&lt;&gt;MONTH($C$2)),"",IF(COUNTIFS(m_teacher,K$4,m_date,($G$2+3),m_active,1,m_start,"&lt;"&amp;1140,m_end,"&gt;"&amp;1080)=0,"",IF(COUNTIFS(m_teacher,K$4,m_date,($G$2+3),m_active,1,m_start,"&lt;"&amp;1140,m_end,"&gt;"&amp;1080)&gt;1,"충돌",HYPERLINK("#'관리자_MASTER'!D"&amp;_xlfn.MAXIFS(m_row,m_teacher,K$4,m_date,($G$2+3),m_active,1,m_start,"&lt;"&amp;1140,m_end,"&gt;"&amp;1080),INDEX(m_label,_xlfn.MAXIFS(m_row,m_teacher,K$4,m_date,($G$2+3),m_active,1,m_start,"&lt;"&amp;1140,m_end,"&gt;"&amp;1080))))))</f>
        <v/>
      </c>
      <c r="L47" s="81" t="str">
        <f aca="false">IF(OR(L$4="",MONTH(($G$2+3))&lt;&gt;MONTH($C$2)),"",IF(COUNTIFS(m_teacher,L$4,m_date,($G$2+3),m_active,1,m_start,"&lt;"&amp;1140,m_end,"&gt;"&amp;1080)=0,"",IF(COUNTIFS(m_teacher,L$4,m_date,($G$2+3),m_active,1,m_start,"&lt;"&amp;1140,m_end,"&gt;"&amp;1080)&gt;1,"충돌",HYPERLINK("#'관리자_MASTER'!D"&amp;_xlfn.MAXIFS(m_row,m_teacher,L$4,m_date,($G$2+3),m_active,1,m_start,"&lt;"&amp;1140,m_end,"&gt;"&amp;1080),INDEX(m_label,_xlfn.MAXIFS(m_row,m_teacher,L$4,m_date,($G$2+3),m_active,1,m_start,"&lt;"&amp;1140,m_end,"&gt;"&amp;1080))))))</f>
        <v/>
      </c>
      <c r="M47" s="81" t="str">
        <f aca="false">IF(OR(M$4="",MONTH(($G$2+3))&lt;&gt;MONTH($C$2)),"",IF(COUNTIFS(m_teacher,M$4,m_date,($G$2+3),m_active,1,m_start,"&lt;"&amp;1140,m_end,"&gt;"&amp;1080)=0,"",IF(COUNTIFS(m_teacher,M$4,m_date,($G$2+3),m_active,1,m_start,"&lt;"&amp;1140,m_end,"&gt;"&amp;1080)&gt;1,"충돌",HYPERLINK("#'관리자_MASTER'!D"&amp;_xlfn.MAXIFS(m_row,m_teacher,M$4,m_date,($G$2+3),m_active,1,m_start,"&lt;"&amp;1140,m_end,"&gt;"&amp;1080),INDEX(m_label,_xlfn.MAXIFS(m_row,m_teacher,M$4,m_date,($G$2+3),m_active,1,m_start,"&lt;"&amp;1140,m_end,"&gt;"&amp;1080))))))</f>
        <v/>
      </c>
      <c r="N47" s="81" t="str">
        <f aca="false">IF(OR(N$4="",MONTH(($G$2+3))&lt;&gt;MONTH($C$2)),"",IF(COUNTIFS(m_teacher,N$4,m_date,($G$2+3),m_active,1,m_start,"&lt;"&amp;1140,m_end,"&gt;"&amp;1080)=0,"",IF(COUNTIFS(m_teacher,N$4,m_date,($G$2+3),m_active,1,m_start,"&lt;"&amp;1140,m_end,"&gt;"&amp;1080)&gt;1,"충돌",HYPERLINK("#'관리자_MASTER'!D"&amp;_xlfn.MAXIFS(m_row,m_teacher,N$4,m_date,($G$2+3),m_active,1,m_start,"&lt;"&amp;1140,m_end,"&gt;"&amp;1080),INDEX(m_label,_xlfn.MAXIFS(m_row,m_teacher,N$4,m_date,($G$2+3),m_active,1,m_start,"&lt;"&amp;1140,m_end,"&gt;"&amp;1080))))))</f>
        <v/>
      </c>
      <c r="O47" s="78"/>
      <c r="P47" s="79" t="s">
        <v>100</v>
      </c>
      <c r="Q47" s="88" t="str">
        <f aca="false">IF(OR(Q$4="",MONTH(($G$2+10))&lt;&gt;MONTH($C$2)),"",IF(COUNTIFS(m_teacher,Q$4,m_date,($G$2+10),m_active,1,m_start,"&lt;"&amp;1140,m_end,"&gt;"&amp;1080)=0,"",IF(COUNTIFS(m_teacher,Q$4,m_date,($G$2+10),m_active,1,m_start,"&lt;"&amp;1140,m_end,"&gt;"&amp;1080)&gt;1,"충돌",HYPERLINK("#'관리자_MASTER'!D"&amp;_xlfn.MAXIFS(m_row,m_teacher,Q$4,m_date,($G$2+10),m_active,1,m_start,"&lt;"&amp;1140,m_end,"&gt;"&amp;1080),INDEX(m_label,_xlfn.MAXIFS(m_row,m_teacher,Q$4,m_date,($G$2+10),m_active,1,m_start,"&lt;"&amp;1140,m_end,"&gt;"&amp;1080))))))</f>
        <v/>
      </c>
      <c r="R47" s="88" t="str">
        <f aca="false">IF(OR(R$4="",MONTH(($G$2+10))&lt;&gt;MONTH($C$2)),"",IF(COUNTIFS(m_teacher,R$4,m_date,($G$2+10),m_active,1,m_start,"&lt;"&amp;1140,m_end,"&gt;"&amp;1080)=0,"",IF(COUNTIFS(m_teacher,R$4,m_date,($G$2+10),m_active,1,m_start,"&lt;"&amp;1140,m_end,"&gt;"&amp;1080)&gt;1,"충돌",HYPERLINK("#'관리자_MASTER'!D"&amp;_xlfn.MAXIFS(m_row,m_teacher,R$4,m_date,($G$2+10),m_active,1,m_start,"&lt;"&amp;1140,m_end,"&gt;"&amp;1080),INDEX(m_label,_xlfn.MAXIFS(m_row,m_teacher,R$4,m_date,($G$2+10),m_active,1,m_start,"&lt;"&amp;1140,m_end,"&gt;"&amp;1080))))))</f>
        <v/>
      </c>
      <c r="S47" s="88" t="str">
        <f aca="false">IF(OR(S$4="",MONTH(($G$2+10))&lt;&gt;MONTH($C$2)),"",IF(COUNTIFS(m_teacher,S$4,m_date,($G$2+10),m_active,1,m_start,"&lt;"&amp;1140,m_end,"&gt;"&amp;1080)=0,"",IF(COUNTIFS(m_teacher,S$4,m_date,($G$2+10),m_active,1,m_start,"&lt;"&amp;1140,m_end,"&gt;"&amp;1080)&gt;1,"충돌",HYPERLINK("#'관리자_MASTER'!D"&amp;_xlfn.MAXIFS(m_row,m_teacher,S$4,m_date,($G$2+10),m_active,1,m_start,"&lt;"&amp;1140,m_end,"&gt;"&amp;1080),INDEX(m_label,_xlfn.MAXIFS(m_row,m_teacher,S$4,m_date,($G$2+10),m_active,1,m_start,"&lt;"&amp;1140,m_end,"&gt;"&amp;1080))))))</f>
        <v/>
      </c>
      <c r="T47" s="88" t="str">
        <f aca="false">IF(OR(T$4="",MONTH(($G$2+10))&lt;&gt;MONTH($C$2)),"",IF(COUNTIFS(m_teacher,T$4,m_date,($G$2+10),m_active,1,m_start,"&lt;"&amp;1140,m_end,"&gt;"&amp;1080)=0,"",IF(COUNTIFS(m_teacher,T$4,m_date,($G$2+10),m_active,1,m_start,"&lt;"&amp;1140,m_end,"&gt;"&amp;1080)&gt;1,"충돌",HYPERLINK("#'관리자_MASTER'!D"&amp;_xlfn.MAXIFS(m_row,m_teacher,T$4,m_date,($G$2+10),m_active,1,m_start,"&lt;"&amp;1140,m_end,"&gt;"&amp;1080),INDEX(m_label,_xlfn.MAXIFS(m_row,m_teacher,T$4,m_date,($G$2+10),m_active,1,m_start,"&lt;"&amp;1140,m_end,"&gt;"&amp;1080))))))</f>
        <v/>
      </c>
      <c r="U47" s="88" t="str">
        <f aca="false">IF(OR(U$4="",MONTH(($G$2+10))&lt;&gt;MONTH($C$2)),"",IF(COUNTIFS(m_teacher,U$4,m_date,($G$2+10),m_active,1,m_start,"&lt;"&amp;1140,m_end,"&gt;"&amp;1080)=0,"",IF(COUNTIFS(m_teacher,U$4,m_date,($G$2+10),m_active,1,m_start,"&lt;"&amp;1140,m_end,"&gt;"&amp;1080)&gt;1,"충돌",HYPERLINK("#'관리자_MASTER'!D"&amp;_xlfn.MAXIFS(m_row,m_teacher,U$4,m_date,($G$2+10),m_active,1,m_start,"&lt;"&amp;1140,m_end,"&gt;"&amp;1080),INDEX(m_label,_xlfn.MAXIFS(m_row,m_teacher,U$4,m_date,($G$2+10),m_active,1,m_start,"&lt;"&amp;1140,m_end,"&gt;"&amp;1080))))))</f>
        <v/>
      </c>
      <c r="V47" s="88" t="str">
        <f aca="false">IF(OR(V$4="",MONTH(($G$2+10))&lt;&gt;MONTH($C$2)),"",IF(COUNTIFS(m_teacher,V$4,m_date,($G$2+10),m_active,1,m_start,"&lt;"&amp;1140,m_end,"&gt;"&amp;1080)=0,"",IF(COUNTIFS(m_teacher,V$4,m_date,($G$2+10),m_active,1,m_start,"&lt;"&amp;1140,m_end,"&gt;"&amp;1080)&gt;1,"충돌",HYPERLINK("#'관리자_MASTER'!D"&amp;_xlfn.MAXIFS(m_row,m_teacher,V$4,m_date,($G$2+10),m_active,1,m_start,"&lt;"&amp;1140,m_end,"&gt;"&amp;1080),INDEX(m_label,_xlfn.MAXIFS(m_row,m_teacher,V$4,m_date,($G$2+10),m_active,1,m_start,"&lt;"&amp;1140,m_end,"&gt;"&amp;1080))))))</f>
        <v/>
      </c>
      <c r="W47" s="88" t="str">
        <f aca="false">IF(OR(W$4="",MONTH(($G$2+10))&lt;&gt;MONTH($C$2)),"",IF(COUNTIFS(m_teacher,W$4,m_date,($G$2+10),m_active,1,m_start,"&lt;"&amp;1140,m_end,"&gt;"&amp;1080)=0,"",IF(COUNTIFS(m_teacher,W$4,m_date,($G$2+10),m_active,1,m_start,"&lt;"&amp;1140,m_end,"&gt;"&amp;1080)&gt;1,"충돌",HYPERLINK("#'관리자_MASTER'!D"&amp;_xlfn.MAXIFS(m_row,m_teacher,W$4,m_date,($G$2+10),m_active,1,m_start,"&lt;"&amp;1140,m_end,"&gt;"&amp;1080),INDEX(m_label,_xlfn.MAXIFS(m_row,m_teacher,W$4,m_date,($G$2+10),m_active,1,m_start,"&lt;"&amp;1140,m_end,"&gt;"&amp;1080))))))</f>
        <v/>
      </c>
      <c r="X47" s="88" t="str">
        <f aca="false">IF(OR(X$4="",MONTH(($G$2+10))&lt;&gt;MONTH($C$2)),"",IF(COUNTIFS(m_teacher,X$4,m_date,($G$2+10),m_active,1,m_start,"&lt;"&amp;1140,m_end,"&gt;"&amp;1080)=0,"",IF(COUNTIFS(m_teacher,X$4,m_date,($G$2+10),m_active,1,m_start,"&lt;"&amp;1140,m_end,"&gt;"&amp;1080)&gt;1,"충돌",HYPERLINK("#'관리자_MASTER'!D"&amp;_xlfn.MAXIFS(m_row,m_teacher,X$4,m_date,($G$2+10),m_active,1,m_start,"&lt;"&amp;1140,m_end,"&gt;"&amp;1080),INDEX(m_label,_xlfn.MAXIFS(m_row,m_teacher,X$4,m_date,($G$2+10),m_active,1,m_start,"&lt;"&amp;1140,m_end,"&gt;"&amp;1080))))))</f>
        <v/>
      </c>
      <c r="Y47" s="88" t="str">
        <f aca="false">IF(OR(Y$4="",MONTH(($G$2+10))&lt;&gt;MONTH($C$2)),"",IF(COUNTIFS(m_teacher,Y$4,m_date,($G$2+10),m_active,1,m_start,"&lt;"&amp;1140,m_end,"&gt;"&amp;1080)=0,"",IF(COUNTIFS(m_teacher,Y$4,m_date,($G$2+10),m_active,1,m_start,"&lt;"&amp;1140,m_end,"&gt;"&amp;1080)&gt;1,"충돌",HYPERLINK("#'관리자_MASTER'!D"&amp;_xlfn.MAXIFS(m_row,m_teacher,Y$4,m_date,($G$2+10),m_active,1,m_start,"&lt;"&amp;1140,m_end,"&gt;"&amp;1080),INDEX(m_label,_xlfn.MAXIFS(m_row,m_teacher,Y$4,m_date,($G$2+10),m_active,1,m_start,"&lt;"&amp;1140,m_end,"&gt;"&amp;1080))))))</f>
        <v/>
      </c>
      <c r="Z47" s="88" t="str">
        <f aca="false">IF(OR(Z$4="",MONTH(($G$2+10))&lt;&gt;MONTH($C$2)),"",IF(COUNTIFS(m_teacher,Z$4,m_date,($G$2+10),m_active,1,m_start,"&lt;"&amp;1140,m_end,"&gt;"&amp;1080)=0,"",IF(COUNTIFS(m_teacher,Z$4,m_date,($G$2+10),m_active,1,m_start,"&lt;"&amp;1140,m_end,"&gt;"&amp;1080)&gt;1,"충돌",HYPERLINK("#'관리자_MASTER'!D"&amp;_xlfn.MAXIFS(m_row,m_teacher,Z$4,m_date,($G$2+10),m_active,1,m_start,"&lt;"&amp;1140,m_end,"&gt;"&amp;1080),INDEX(m_label,_xlfn.MAXIFS(m_row,m_teacher,Z$4,m_date,($G$2+10),m_active,1,m_start,"&lt;"&amp;1140,m_end,"&gt;"&amp;1080))))))</f>
        <v/>
      </c>
      <c r="AA47" s="88" t="str">
        <f aca="false">IF(OR(AA$4="",MONTH(($G$2+10))&lt;&gt;MONTH($C$2)),"",IF(COUNTIFS(m_teacher,AA$4,m_date,($G$2+10),m_active,1,m_start,"&lt;"&amp;1140,m_end,"&gt;"&amp;1080)=0,"",IF(COUNTIFS(m_teacher,AA$4,m_date,($G$2+10),m_active,1,m_start,"&lt;"&amp;1140,m_end,"&gt;"&amp;1080)&gt;1,"충돌",HYPERLINK("#'관리자_MASTER'!D"&amp;_xlfn.MAXIFS(m_row,m_teacher,AA$4,m_date,($G$2+10),m_active,1,m_start,"&lt;"&amp;1140,m_end,"&gt;"&amp;1080),INDEX(m_label,_xlfn.MAXIFS(m_row,m_teacher,AA$4,m_date,($G$2+10),m_active,1,m_start,"&lt;"&amp;1140,m_end,"&gt;"&amp;1080))))))</f>
        <v/>
      </c>
      <c r="AB47" s="88" t="str">
        <f aca="false">IF(OR(AB$4="",MONTH(($G$2+10))&lt;&gt;MONTH($C$2)),"",IF(COUNTIFS(m_teacher,AB$4,m_date,($G$2+10),m_active,1,m_start,"&lt;"&amp;1140,m_end,"&gt;"&amp;1080)=0,"",IF(COUNTIFS(m_teacher,AB$4,m_date,($G$2+10),m_active,1,m_start,"&lt;"&amp;1140,m_end,"&gt;"&amp;1080)&gt;1,"충돌",HYPERLINK("#'관리자_MASTER'!D"&amp;_xlfn.MAXIFS(m_row,m_teacher,AB$4,m_date,($G$2+10),m_active,1,m_start,"&lt;"&amp;1140,m_end,"&gt;"&amp;1080),INDEX(m_label,_xlfn.MAXIFS(m_row,m_teacher,AB$4,m_date,($G$2+10),m_active,1,m_start,"&lt;"&amp;1140,m_end,"&gt;"&amp;1080))))))</f>
        <v/>
      </c>
      <c r="AC47" s="78"/>
      <c r="AD47" s="79" t="s">
        <v>100</v>
      </c>
      <c r="AE47" s="88" t="str">
        <f aca="false">IF(OR(AE$4="",MONTH(($G$2+17))&lt;&gt;MONTH($C$2)),"",IF(COUNTIFS(m_teacher,AE$4,m_date,($G$2+17),m_active,1,m_start,"&lt;"&amp;1140,m_end,"&gt;"&amp;1080)=0,"",IF(COUNTIFS(m_teacher,AE$4,m_date,($G$2+17),m_active,1,m_start,"&lt;"&amp;1140,m_end,"&gt;"&amp;1080)&gt;1,"충돌",HYPERLINK("#'관리자_MASTER'!D"&amp;_xlfn.MAXIFS(m_row,m_teacher,AE$4,m_date,($G$2+17),m_active,1,m_start,"&lt;"&amp;1140,m_end,"&gt;"&amp;1080),INDEX(m_label,_xlfn.MAXIFS(m_row,m_teacher,AE$4,m_date,($G$2+17),m_active,1,m_start,"&lt;"&amp;1140,m_end,"&gt;"&amp;1080))))))</f>
        <v/>
      </c>
      <c r="AF47" s="88" t="str">
        <f aca="false">IF(OR(AF$4="",MONTH(($G$2+17))&lt;&gt;MONTH($C$2)),"",IF(COUNTIFS(m_teacher,AF$4,m_date,($G$2+17),m_active,1,m_start,"&lt;"&amp;1140,m_end,"&gt;"&amp;1080)=0,"",IF(COUNTIFS(m_teacher,AF$4,m_date,($G$2+17),m_active,1,m_start,"&lt;"&amp;1140,m_end,"&gt;"&amp;1080)&gt;1,"충돌",HYPERLINK("#'관리자_MASTER'!D"&amp;_xlfn.MAXIFS(m_row,m_teacher,AF$4,m_date,($G$2+17),m_active,1,m_start,"&lt;"&amp;1140,m_end,"&gt;"&amp;1080),INDEX(m_label,_xlfn.MAXIFS(m_row,m_teacher,AF$4,m_date,($G$2+17),m_active,1,m_start,"&lt;"&amp;1140,m_end,"&gt;"&amp;1080))))))</f>
        <v/>
      </c>
      <c r="AG47" s="88" t="str">
        <f aca="false">IF(OR(AG$4="",MONTH(($G$2+17))&lt;&gt;MONTH($C$2)),"",IF(COUNTIFS(m_teacher,AG$4,m_date,($G$2+17),m_active,1,m_start,"&lt;"&amp;1140,m_end,"&gt;"&amp;1080)=0,"",IF(COUNTIFS(m_teacher,AG$4,m_date,($G$2+17),m_active,1,m_start,"&lt;"&amp;1140,m_end,"&gt;"&amp;1080)&gt;1,"충돌",HYPERLINK("#'관리자_MASTER'!D"&amp;_xlfn.MAXIFS(m_row,m_teacher,AG$4,m_date,($G$2+17),m_active,1,m_start,"&lt;"&amp;1140,m_end,"&gt;"&amp;1080),INDEX(m_label,_xlfn.MAXIFS(m_row,m_teacher,AG$4,m_date,($G$2+17),m_active,1,m_start,"&lt;"&amp;1140,m_end,"&gt;"&amp;1080))))))</f>
        <v/>
      </c>
      <c r="AH47" s="88" t="str">
        <f aca="false">IF(OR(AH$4="",MONTH(($G$2+17))&lt;&gt;MONTH($C$2)),"",IF(COUNTIFS(m_teacher,AH$4,m_date,($G$2+17),m_active,1,m_start,"&lt;"&amp;1140,m_end,"&gt;"&amp;1080)=0,"",IF(COUNTIFS(m_teacher,AH$4,m_date,($G$2+17),m_active,1,m_start,"&lt;"&amp;1140,m_end,"&gt;"&amp;1080)&gt;1,"충돌",HYPERLINK("#'관리자_MASTER'!D"&amp;_xlfn.MAXIFS(m_row,m_teacher,AH$4,m_date,($G$2+17),m_active,1,m_start,"&lt;"&amp;1140,m_end,"&gt;"&amp;1080),INDEX(m_label,_xlfn.MAXIFS(m_row,m_teacher,AH$4,m_date,($G$2+17),m_active,1,m_start,"&lt;"&amp;1140,m_end,"&gt;"&amp;1080))))))</f>
        <v/>
      </c>
      <c r="AI47" s="88" t="str">
        <f aca="false">IF(OR(AI$4="",MONTH(($G$2+17))&lt;&gt;MONTH($C$2)),"",IF(COUNTIFS(m_teacher,AI$4,m_date,($G$2+17),m_active,1,m_start,"&lt;"&amp;1140,m_end,"&gt;"&amp;1080)=0,"",IF(COUNTIFS(m_teacher,AI$4,m_date,($G$2+17),m_active,1,m_start,"&lt;"&amp;1140,m_end,"&gt;"&amp;1080)&gt;1,"충돌",HYPERLINK("#'관리자_MASTER'!D"&amp;_xlfn.MAXIFS(m_row,m_teacher,AI$4,m_date,($G$2+17),m_active,1,m_start,"&lt;"&amp;1140,m_end,"&gt;"&amp;1080),INDEX(m_label,_xlfn.MAXIFS(m_row,m_teacher,AI$4,m_date,($G$2+17),m_active,1,m_start,"&lt;"&amp;1140,m_end,"&gt;"&amp;1080))))))</f>
        <v/>
      </c>
      <c r="AJ47" s="88" t="str">
        <f aca="false">IF(OR(AJ$4="",MONTH(($G$2+17))&lt;&gt;MONTH($C$2)),"",IF(COUNTIFS(m_teacher,AJ$4,m_date,($G$2+17),m_active,1,m_start,"&lt;"&amp;1140,m_end,"&gt;"&amp;1080)=0,"",IF(COUNTIFS(m_teacher,AJ$4,m_date,($G$2+17),m_active,1,m_start,"&lt;"&amp;1140,m_end,"&gt;"&amp;1080)&gt;1,"충돌",HYPERLINK("#'관리자_MASTER'!D"&amp;_xlfn.MAXIFS(m_row,m_teacher,AJ$4,m_date,($G$2+17),m_active,1,m_start,"&lt;"&amp;1140,m_end,"&gt;"&amp;1080),INDEX(m_label,_xlfn.MAXIFS(m_row,m_teacher,AJ$4,m_date,($G$2+17),m_active,1,m_start,"&lt;"&amp;1140,m_end,"&gt;"&amp;1080))))))</f>
        <v/>
      </c>
      <c r="AK47" s="88" t="str">
        <f aca="false">IF(OR(AK$4="",MONTH(($G$2+17))&lt;&gt;MONTH($C$2)),"",IF(COUNTIFS(m_teacher,AK$4,m_date,($G$2+17),m_active,1,m_start,"&lt;"&amp;1140,m_end,"&gt;"&amp;1080)=0,"",IF(COUNTIFS(m_teacher,AK$4,m_date,($G$2+17),m_active,1,m_start,"&lt;"&amp;1140,m_end,"&gt;"&amp;1080)&gt;1,"충돌",HYPERLINK("#'관리자_MASTER'!D"&amp;_xlfn.MAXIFS(m_row,m_teacher,AK$4,m_date,($G$2+17),m_active,1,m_start,"&lt;"&amp;1140,m_end,"&gt;"&amp;1080),INDEX(m_label,_xlfn.MAXIFS(m_row,m_teacher,AK$4,m_date,($G$2+17),m_active,1,m_start,"&lt;"&amp;1140,m_end,"&gt;"&amp;1080))))))</f>
        <v/>
      </c>
      <c r="AL47" s="88" t="str">
        <f aca="false">IF(OR(AL$4="",MONTH(($G$2+17))&lt;&gt;MONTH($C$2)),"",IF(COUNTIFS(m_teacher,AL$4,m_date,($G$2+17),m_active,1,m_start,"&lt;"&amp;1140,m_end,"&gt;"&amp;1080)=0,"",IF(COUNTIFS(m_teacher,AL$4,m_date,($G$2+17),m_active,1,m_start,"&lt;"&amp;1140,m_end,"&gt;"&amp;1080)&gt;1,"충돌",HYPERLINK("#'관리자_MASTER'!D"&amp;_xlfn.MAXIFS(m_row,m_teacher,AL$4,m_date,($G$2+17),m_active,1,m_start,"&lt;"&amp;1140,m_end,"&gt;"&amp;1080),INDEX(m_label,_xlfn.MAXIFS(m_row,m_teacher,AL$4,m_date,($G$2+17),m_active,1,m_start,"&lt;"&amp;1140,m_end,"&gt;"&amp;1080))))))</f>
        <v/>
      </c>
      <c r="AM47" s="88" t="str">
        <f aca="false">IF(OR(AM$4="",MONTH(($G$2+17))&lt;&gt;MONTH($C$2)),"",IF(COUNTIFS(m_teacher,AM$4,m_date,($G$2+17),m_active,1,m_start,"&lt;"&amp;1140,m_end,"&gt;"&amp;1080)=0,"",IF(COUNTIFS(m_teacher,AM$4,m_date,($G$2+17),m_active,1,m_start,"&lt;"&amp;1140,m_end,"&gt;"&amp;1080)&gt;1,"충돌",HYPERLINK("#'관리자_MASTER'!D"&amp;_xlfn.MAXIFS(m_row,m_teacher,AM$4,m_date,($G$2+17),m_active,1,m_start,"&lt;"&amp;1140,m_end,"&gt;"&amp;1080),INDEX(m_label,_xlfn.MAXIFS(m_row,m_teacher,AM$4,m_date,($G$2+17),m_active,1,m_start,"&lt;"&amp;1140,m_end,"&gt;"&amp;1080))))))</f>
        <v/>
      </c>
      <c r="AN47" s="88" t="str">
        <f aca="false">IF(OR(AN$4="",MONTH(($G$2+17))&lt;&gt;MONTH($C$2)),"",IF(COUNTIFS(m_teacher,AN$4,m_date,($G$2+17),m_active,1,m_start,"&lt;"&amp;1140,m_end,"&gt;"&amp;1080)=0,"",IF(COUNTIFS(m_teacher,AN$4,m_date,($G$2+17),m_active,1,m_start,"&lt;"&amp;1140,m_end,"&gt;"&amp;1080)&gt;1,"충돌",HYPERLINK("#'관리자_MASTER'!D"&amp;_xlfn.MAXIFS(m_row,m_teacher,AN$4,m_date,($G$2+17),m_active,1,m_start,"&lt;"&amp;1140,m_end,"&gt;"&amp;1080),INDEX(m_label,_xlfn.MAXIFS(m_row,m_teacher,AN$4,m_date,($G$2+17),m_active,1,m_start,"&lt;"&amp;1140,m_end,"&gt;"&amp;1080))))))</f>
        <v/>
      </c>
      <c r="AO47" s="88" t="str">
        <f aca="false">IF(OR(AO$4="",MONTH(($G$2+17))&lt;&gt;MONTH($C$2)),"",IF(COUNTIFS(m_teacher,AO$4,m_date,($G$2+17),m_active,1,m_start,"&lt;"&amp;1140,m_end,"&gt;"&amp;1080)=0,"",IF(COUNTIFS(m_teacher,AO$4,m_date,($G$2+17),m_active,1,m_start,"&lt;"&amp;1140,m_end,"&gt;"&amp;1080)&gt;1,"충돌",HYPERLINK("#'관리자_MASTER'!D"&amp;_xlfn.MAXIFS(m_row,m_teacher,AO$4,m_date,($G$2+17),m_active,1,m_start,"&lt;"&amp;1140,m_end,"&gt;"&amp;1080),INDEX(m_label,_xlfn.MAXIFS(m_row,m_teacher,AO$4,m_date,($G$2+17),m_active,1,m_start,"&lt;"&amp;1140,m_end,"&gt;"&amp;1080))))))</f>
        <v/>
      </c>
      <c r="AP47" s="88" t="str">
        <f aca="false">IF(OR(AP$4="",MONTH(($G$2+17))&lt;&gt;MONTH($C$2)),"",IF(COUNTIFS(m_teacher,AP$4,m_date,($G$2+17),m_active,1,m_start,"&lt;"&amp;1140,m_end,"&gt;"&amp;1080)=0,"",IF(COUNTIFS(m_teacher,AP$4,m_date,($G$2+17),m_active,1,m_start,"&lt;"&amp;1140,m_end,"&gt;"&amp;1080)&gt;1,"충돌",HYPERLINK("#'관리자_MASTER'!D"&amp;_xlfn.MAXIFS(m_row,m_teacher,AP$4,m_date,($G$2+17),m_active,1,m_start,"&lt;"&amp;1140,m_end,"&gt;"&amp;1080),INDEX(m_label,_xlfn.MAXIFS(m_row,m_teacher,AP$4,m_date,($G$2+17),m_active,1,m_start,"&lt;"&amp;1140,m_end,"&gt;"&amp;1080))))))</f>
        <v/>
      </c>
      <c r="AQ47" s="78"/>
      <c r="AR47" s="79" t="s">
        <v>100</v>
      </c>
      <c r="AS47" s="88" t="str">
        <f aca="false">IF(OR(AS$4="",MONTH(($G$2+24))&lt;&gt;MONTH($C$2)),"",IF(COUNTIFS(m_teacher,AS$4,m_date,($G$2+24),m_active,1,m_start,"&lt;"&amp;1140,m_end,"&gt;"&amp;1080)=0,"",IF(COUNTIFS(m_teacher,AS$4,m_date,($G$2+24),m_active,1,m_start,"&lt;"&amp;1140,m_end,"&gt;"&amp;1080)&gt;1,"충돌",HYPERLINK("#'관리자_MASTER'!D"&amp;_xlfn.MAXIFS(m_row,m_teacher,AS$4,m_date,($G$2+24),m_active,1,m_start,"&lt;"&amp;1140,m_end,"&gt;"&amp;1080),INDEX(m_label,_xlfn.MAXIFS(m_row,m_teacher,AS$4,m_date,($G$2+24),m_active,1,m_start,"&lt;"&amp;1140,m_end,"&gt;"&amp;1080))))))</f>
        <v/>
      </c>
      <c r="AT47" s="88" t="str">
        <f aca="false">IF(OR(AT$4="",MONTH(($G$2+24))&lt;&gt;MONTH($C$2)),"",IF(COUNTIFS(m_teacher,AT$4,m_date,($G$2+24),m_active,1,m_start,"&lt;"&amp;1140,m_end,"&gt;"&amp;1080)=0,"",IF(COUNTIFS(m_teacher,AT$4,m_date,($G$2+24),m_active,1,m_start,"&lt;"&amp;1140,m_end,"&gt;"&amp;1080)&gt;1,"충돌",HYPERLINK("#'관리자_MASTER'!D"&amp;_xlfn.MAXIFS(m_row,m_teacher,AT$4,m_date,($G$2+24),m_active,1,m_start,"&lt;"&amp;1140,m_end,"&gt;"&amp;1080),INDEX(m_label,_xlfn.MAXIFS(m_row,m_teacher,AT$4,m_date,($G$2+24),m_active,1,m_start,"&lt;"&amp;1140,m_end,"&gt;"&amp;1080))))))</f>
        <v/>
      </c>
      <c r="AU47" s="88" t="str">
        <f aca="false">IF(OR(AU$4="",MONTH(($G$2+24))&lt;&gt;MONTH($C$2)),"",IF(COUNTIFS(m_teacher,AU$4,m_date,($G$2+24),m_active,1,m_start,"&lt;"&amp;1140,m_end,"&gt;"&amp;1080)=0,"",IF(COUNTIFS(m_teacher,AU$4,m_date,($G$2+24),m_active,1,m_start,"&lt;"&amp;1140,m_end,"&gt;"&amp;1080)&gt;1,"충돌",HYPERLINK("#'관리자_MASTER'!D"&amp;_xlfn.MAXIFS(m_row,m_teacher,AU$4,m_date,($G$2+24),m_active,1,m_start,"&lt;"&amp;1140,m_end,"&gt;"&amp;1080),INDEX(m_label,_xlfn.MAXIFS(m_row,m_teacher,AU$4,m_date,($G$2+24),m_active,1,m_start,"&lt;"&amp;1140,m_end,"&gt;"&amp;1080))))))</f>
        <v/>
      </c>
      <c r="AV47" s="88" t="str">
        <f aca="false">IF(OR(AV$4="",MONTH(($G$2+24))&lt;&gt;MONTH($C$2)),"",IF(COUNTIFS(m_teacher,AV$4,m_date,($G$2+24),m_active,1,m_start,"&lt;"&amp;1140,m_end,"&gt;"&amp;1080)=0,"",IF(COUNTIFS(m_teacher,AV$4,m_date,($G$2+24),m_active,1,m_start,"&lt;"&amp;1140,m_end,"&gt;"&amp;1080)&gt;1,"충돌",HYPERLINK("#'관리자_MASTER'!D"&amp;_xlfn.MAXIFS(m_row,m_teacher,AV$4,m_date,($G$2+24),m_active,1,m_start,"&lt;"&amp;1140,m_end,"&gt;"&amp;1080),INDEX(m_label,_xlfn.MAXIFS(m_row,m_teacher,AV$4,m_date,($G$2+24),m_active,1,m_start,"&lt;"&amp;1140,m_end,"&gt;"&amp;1080))))))</f>
        <v/>
      </c>
      <c r="AW47" s="88" t="str">
        <f aca="false">IF(OR(AW$4="",MONTH(($G$2+24))&lt;&gt;MONTH($C$2)),"",IF(COUNTIFS(m_teacher,AW$4,m_date,($G$2+24),m_active,1,m_start,"&lt;"&amp;1140,m_end,"&gt;"&amp;1080)=0,"",IF(COUNTIFS(m_teacher,AW$4,m_date,($G$2+24),m_active,1,m_start,"&lt;"&amp;1140,m_end,"&gt;"&amp;1080)&gt;1,"충돌",HYPERLINK("#'관리자_MASTER'!D"&amp;_xlfn.MAXIFS(m_row,m_teacher,AW$4,m_date,($G$2+24),m_active,1,m_start,"&lt;"&amp;1140,m_end,"&gt;"&amp;1080),INDEX(m_label,_xlfn.MAXIFS(m_row,m_teacher,AW$4,m_date,($G$2+24),m_active,1,m_start,"&lt;"&amp;1140,m_end,"&gt;"&amp;1080))))))</f>
        <v/>
      </c>
      <c r="AX47" s="88" t="str">
        <f aca="false">IF(OR(AX$4="",MONTH(($G$2+24))&lt;&gt;MONTH($C$2)),"",IF(COUNTIFS(m_teacher,AX$4,m_date,($G$2+24),m_active,1,m_start,"&lt;"&amp;1140,m_end,"&gt;"&amp;1080)=0,"",IF(COUNTIFS(m_teacher,AX$4,m_date,($G$2+24),m_active,1,m_start,"&lt;"&amp;1140,m_end,"&gt;"&amp;1080)&gt;1,"충돌",HYPERLINK("#'관리자_MASTER'!D"&amp;_xlfn.MAXIFS(m_row,m_teacher,AX$4,m_date,($G$2+24),m_active,1,m_start,"&lt;"&amp;1140,m_end,"&gt;"&amp;1080),INDEX(m_label,_xlfn.MAXIFS(m_row,m_teacher,AX$4,m_date,($G$2+24),m_active,1,m_start,"&lt;"&amp;1140,m_end,"&gt;"&amp;1080))))))</f>
        <v/>
      </c>
      <c r="AY47" s="88" t="str">
        <f aca="false">IF(OR(AY$4="",MONTH(($G$2+24))&lt;&gt;MONTH($C$2)),"",IF(COUNTIFS(m_teacher,AY$4,m_date,($G$2+24),m_active,1,m_start,"&lt;"&amp;1140,m_end,"&gt;"&amp;1080)=0,"",IF(COUNTIFS(m_teacher,AY$4,m_date,($G$2+24),m_active,1,m_start,"&lt;"&amp;1140,m_end,"&gt;"&amp;1080)&gt;1,"충돌",HYPERLINK("#'관리자_MASTER'!D"&amp;_xlfn.MAXIFS(m_row,m_teacher,AY$4,m_date,($G$2+24),m_active,1,m_start,"&lt;"&amp;1140,m_end,"&gt;"&amp;1080),INDEX(m_label,_xlfn.MAXIFS(m_row,m_teacher,AY$4,m_date,($G$2+24),m_active,1,m_start,"&lt;"&amp;1140,m_end,"&gt;"&amp;1080))))))</f>
        <v/>
      </c>
      <c r="AZ47" s="88" t="str">
        <f aca="false">IF(OR(AZ$4="",MONTH(($G$2+24))&lt;&gt;MONTH($C$2)),"",IF(COUNTIFS(m_teacher,AZ$4,m_date,($G$2+24),m_active,1,m_start,"&lt;"&amp;1140,m_end,"&gt;"&amp;1080)=0,"",IF(COUNTIFS(m_teacher,AZ$4,m_date,($G$2+24),m_active,1,m_start,"&lt;"&amp;1140,m_end,"&gt;"&amp;1080)&gt;1,"충돌",HYPERLINK("#'관리자_MASTER'!D"&amp;_xlfn.MAXIFS(m_row,m_teacher,AZ$4,m_date,($G$2+24),m_active,1,m_start,"&lt;"&amp;1140,m_end,"&gt;"&amp;1080),INDEX(m_label,_xlfn.MAXIFS(m_row,m_teacher,AZ$4,m_date,($G$2+24),m_active,1,m_start,"&lt;"&amp;1140,m_end,"&gt;"&amp;1080))))))</f>
        <v/>
      </c>
      <c r="BA47" s="88" t="str">
        <f aca="false">IF(OR(BA$4="",MONTH(($G$2+24))&lt;&gt;MONTH($C$2)),"",IF(COUNTIFS(m_teacher,BA$4,m_date,($G$2+24),m_active,1,m_start,"&lt;"&amp;1140,m_end,"&gt;"&amp;1080)=0,"",IF(COUNTIFS(m_teacher,BA$4,m_date,($G$2+24),m_active,1,m_start,"&lt;"&amp;1140,m_end,"&gt;"&amp;1080)&gt;1,"충돌",HYPERLINK("#'관리자_MASTER'!D"&amp;_xlfn.MAXIFS(m_row,m_teacher,BA$4,m_date,($G$2+24),m_active,1,m_start,"&lt;"&amp;1140,m_end,"&gt;"&amp;1080),INDEX(m_label,_xlfn.MAXIFS(m_row,m_teacher,BA$4,m_date,($G$2+24),m_active,1,m_start,"&lt;"&amp;1140,m_end,"&gt;"&amp;1080))))))</f>
        <v/>
      </c>
      <c r="BB47" s="88" t="str">
        <f aca="false">IF(OR(BB$4="",MONTH(($G$2+24))&lt;&gt;MONTH($C$2)),"",IF(COUNTIFS(m_teacher,BB$4,m_date,($G$2+24),m_active,1,m_start,"&lt;"&amp;1140,m_end,"&gt;"&amp;1080)=0,"",IF(COUNTIFS(m_teacher,BB$4,m_date,($G$2+24),m_active,1,m_start,"&lt;"&amp;1140,m_end,"&gt;"&amp;1080)&gt;1,"충돌",HYPERLINK("#'관리자_MASTER'!D"&amp;_xlfn.MAXIFS(m_row,m_teacher,BB$4,m_date,($G$2+24),m_active,1,m_start,"&lt;"&amp;1140,m_end,"&gt;"&amp;1080),INDEX(m_label,_xlfn.MAXIFS(m_row,m_teacher,BB$4,m_date,($G$2+24),m_active,1,m_start,"&lt;"&amp;1140,m_end,"&gt;"&amp;1080))))))</f>
        <v/>
      </c>
      <c r="BC47" s="88" t="str">
        <f aca="false">IF(OR(BC$4="",MONTH(($G$2+24))&lt;&gt;MONTH($C$2)),"",IF(COUNTIFS(m_teacher,BC$4,m_date,($G$2+24),m_active,1,m_start,"&lt;"&amp;1140,m_end,"&gt;"&amp;1080)=0,"",IF(COUNTIFS(m_teacher,BC$4,m_date,($G$2+24),m_active,1,m_start,"&lt;"&amp;1140,m_end,"&gt;"&amp;1080)&gt;1,"충돌",HYPERLINK("#'관리자_MASTER'!D"&amp;_xlfn.MAXIFS(m_row,m_teacher,BC$4,m_date,($G$2+24),m_active,1,m_start,"&lt;"&amp;1140,m_end,"&gt;"&amp;1080),INDEX(m_label,_xlfn.MAXIFS(m_row,m_teacher,BC$4,m_date,($G$2+24),m_active,1,m_start,"&lt;"&amp;1140,m_end,"&gt;"&amp;1080))))))</f>
        <v/>
      </c>
      <c r="BD47" s="88" t="str">
        <f aca="false">IF(OR(BD$4="",MONTH(($G$2+24))&lt;&gt;MONTH($C$2)),"",IF(COUNTIFS(m_teacher,BD$4,m_date,($G$2+24),m_active,1,m_start,"&lt;"&amp;1140,m_end,"&gt;"&amp;1080)=0,"",IF(COUNTIFS(m_teacher,BD$4,m_date,($G$2+24),m_active,1,m_start,"&lt;"&amp;1140,m_end,"&gt;"&amp;1080)&gt;1,"충돌",HYPERLINK("#'관리자_MASTER'!D"&amp;_xlfn.MAXIFS(m_row,m_teacher,BD$4,m_date,($G$2+24),m_active,1,m_start,"&lt;"&amp;1140,m_end,"&gt;"&amp;1080),INDEX(m_label,_xlfn.MAXIFS(m_row,m_teacher,BD$4,m_date,($G$2+24),m_active,1,m_start,"&lt;"&amp;1140,m_end,"&gt;"&amp;1080))))))</f>
        <v/>
      </c>
      <c r="BE47" s="78"/>
      <c r="BF47" s="79" t="s">
        <v>100</v>
      </c>
      <c r="BG47" s="88" t="str">
        <f aca="false">IF(OR(BG$4="",MONTH(($G$2+31))&lt;&gt;MONTH($C$2)),"",IF(COUNTIFS(m_teacher,BG$4,m_date,($G$2+31),m_active,1,m_start,"&lt;"&amp;1140,m_end,"&gt;"&amp;1080)=0,"",IF(COUNTIFS(m_teacher,BG$4,m_date,($G$2+31),m_active,1,m_start,"&lt;"&amp;1140,m_end,"&gt;"&amp;1080)&gt;1,"충돌",HYPERLINK("#'관리자_MASTER'!D"&amp;_xlfn.MAXIFS(m_row,m_teacher,BG$4,m_date,($G$2+31),m_active,1,m_start,"&lt;"&amp;1140,m_end,"&gt;"&amp;1080),INDEX(m_label,_xlfn.MAXIFS(m_row,m_teacher,BG$4,m_date,($G$2+31),m_active,1,m_start,"&lt;"&amp;1140,m_end,"&gt;"&amp;1080))))))</f>
        <v/>
      </c>
      <c r="BH47" s="88" t="str">
        <f aca="false">IF(OR(BH$4="",MONTH(($G$2+31))&lt;&gt;MONTH($C$2)),"",IF(COUNTIFS(m_teacher,BH$4,m_date,($G$2+31),m_active,1,m_start,"&lt;"&amp;1140,m_end,"&gt;"&amp;1080)=0,"",IF(COUNTIFS(m_teacher,BH$4,m_date,($G$2+31),m_active,1,m_start,"&lt;"&amp;1140,m_end,"&gt;"&amp;1080)&gt;1,"충돌",HYPERLINK("#'관리자_MASTER'!D"&amp;_xlfn.MAXIFS(m_row,m_teacher,BH$4,m_date,($G$2+31),m_active,1,m_start,"&lt;"&amp;1140,m_end,"&gt;"&amp;1080),INDEX(m_label,_xlfn.MAXIFS(m_row,m_teacher,BH$4,m_date,($G$2+31),m_active,1,m_start,"&lt;"&amp;1140,m_end,"&gt;"&amp;1080))))))</f>
        <v/>
      </c>
      <c r="BI47" s="88" t="str">
        <f aca="false">IF(OR(BI$4="",MONTH(($G$2+31))&lt;&gt;MONTH($C$2)),"",IF(COUNTIFS(m_teacher,BI$4,m_date,($G$2+31),m_active,1,m_start,"&lt;"&amp;1140,m_end,"&gt;"&amp;1080)=0,"",IF(COUNTIFS(m_teacher,BI$4,m_date,($G$2+31),m_active,1,m_start,"&lt;"&amp;1140,m_end,"&gt;"&amp;1080)&gt;1,"충돌",HYPERLINK("#'관리자_MASTER'!D"&amp;_xlfn.MAXIFS(m_row,m_teacher,BI$4,m_date,($G$2+31),m_active,1,m_start,"&lt;"&amp;1140,m_end,"&gt;"&amp;1080),INDEX(m_label,_xlfn.MAXIFS(m_row,m_teacher,BI$4,m_date,($G$2+31),m_active,1,m_start,"&lt;"&amp;1140,m_end,"&gt;"&amp;1080))))))</f>
        <v/>
      </c>
      <c r="BJ47" s="88" t="str">
        <f aca="false">IF(OR(BJ$4="",MONTH(($G$2+31))&lt;&gt;MONTH($C$2)),"",IF(COUNTIFS(m_teacher,BJ$4,m_date,($G$2+31),m_active,1,m_start,"&lt;"&amp;1140,m_end,"&gt;"&amp;1080)=0,"",IF(COUNTIFS(m_teacher,BJ$4,m_date,($G$2+31),m_active,1,m_start,"&lt;"&amp;1140,m_end,"&gt;"&amp;1080)&gt;1,"충돌",HYPERLINK("#'관리자_MASTER'!D"&amp;_xlfn.MAXIFS(m_row,m_teacher,BJ$4,m_date,($G$2+31),m_active,1,m_start,"&lt;"&amp;1140,m_end,"&gt;"&amp;1080),INDEX(m_label,_xlfn.MAXIFS(m_row,m_teacher,BJ$4,m_date,($G$2+31),m_active,1,m_start,"&lt;"&amp;1140,m_end,"&gt;"&amp;1080))))))</f>
        <v/>
      </c>
      <c r="BK47" s="88" t="str">
        <f aca="false">IF(OR(BK$4="",MONTH(($G$2+31))&lt;&gt;MONTH($C$2)),"",IF(COUNTIFS(m_teacher,BK$4,m_date,($G$2+31),m_active,1,m_start,"&lt;"&amp;1140,m_end,"&gt;"&amp;1080)=0,"",IF(COUNTIFS(m_teacher,BK$4,m_date,($G$2+31),m_active,1,m_start,"&lt;"&amp;1140,m_end,"&gt;"&amp;1080)&gt;1,"충돌",HYPERLINK("#'관리자_MASTER'!D"&amp;_xlfn.MAXIFS(m_row,m_teacher,BK$4,m_date,($G$2+31),m_active,1,m_start,"&lt;"&amp;1140,m_end,"&gt;"&amp;1080),INDEX(m_label,_xlfn.MAXIFS(m_row,m_teacher,BK$4,m_date,($G$2+31),m_active,1,m_start,"&lt;"&amp;1140,m_end,"&gt;"&amp;1080))))))</f>
        <v/>
      </c>
      <c r="BL47" s="88" t="str">
        <f aca="false">IF(OR(BL$4="",MONTH(($G$2+31))&lt;&gt;MONTH($C$2)),"",IF(COUNTIFS(m_teacher,BL$4,m_date,($G$2+31),m_active,1,m_start,"&lt;"&amp;1140,m_end,"&gt;"&amp;1080)=0,"",IF(COUNTIFS(m_teacher,BL$4,m_date,($G$2+31),m_active,1,m_start,"&lt;"&amp;1140,m_end,"&gt;"&amp;1080)&gt;1,"충돌",HYPERLINK("#'관리자_MASTER'!D"&amp;_xlfn.MAXIFS(m_row,m_teacher,BL$4,m_date,($G$2+31),m_active,1,m_start,"&lt;"&amp;1140,m_end,"&gt;"&amp;1080),INDEX(m_label,_xlfn.MAXIFS(m_row,m_teacher,BL$4,m_date,($G$2+31),m_active,1,m_start,"&lt;"&amp;1140,m_end,"&gt;"&amp;1080))))))</f>
        <v/>
      </c>
      <c r="BM47" s="88" t="str">
        <f aca="false">IF(OR(BM$4="",MONTH(($G$2+31))&lt;&gt;MONTH($C$2)),"",IF(COUNTIFS(m_teacher,BM$4,m_date,($G$2+31),m_active,1,m_start,"&lt;"&amp;1140,m_end,"&gt;"&amp;1080)=0,"",IF(COUNTIFS(m_teacher,BM$4,m_date,($G$2+31),m_active,1,m_start,"&lt;"&amp;1140,m_end,"&gt;"&amp;1080)&gt;1,"충돌",HYPERLINK("#'관리자_MASTER'!D"&amp;_xlfn.MAXIFS(m_row,m_teacher,BM$4,m_date,($G$2+31),m_active,1,m_start,"&lt;"&amp;1140,m_end,"&gt;"&amp;1080),INDEX(m_label,_xlfn.MAXIFS(m_row,m_teacher,BM$4,m_date,($G$2+31),m_active,1,m_start,"&lt;"&amp;1140,m_end,"&gt;"&amp;1080))))))</f>
        <v/>
      </c>
      <c r="BN47" s="88" t="str">
        <f aca="false">IF(OR(BN$4="",MONTH(($G$2+31))&lt;&gt;MONTH($C$2)),"",IF(COUNTIFS(m_teacher,BN$4,m_date,($G$2+31),m_active,1,m_start,"&lt;"&amp;1140,m_end,"&gt;"&amp;1080)=0,"",IF(COUNTIFS(m_teacher,BN$4,m_date,($G$2+31),m_active,1,m_start,"&lt;"&amp;1140,m_end,"&gt;"&amp;1080)&gt;1,"충돌",HYPERLINK("#'관리자_MASTER'!D"&amp;_xlfn.MAXIFS(m_row,m_teacher,BN$4,m_date,($G$2+31),m_active,1,m_start,"&lt;"&amp;1140,m_end,"&gt;"&amp;1080),INDEX(m_label,_xlfn.MAXIFS(m_row,m_teacher,BN$4,m_date,($G$2+31),m_active,1,m_start,"&lt;"&amp;1140,m_end,"&gt;"&amp;1080))))))</f>
        <v/>
      </c>
      <c r="BO47" s="88" t="str">
        <f aca="false">IF(OR(BO$4="",MONTH(($G$2+31))&lt;&gt;MONTH($C$2)),"",IF(COUNTIFS(m_teacher,BO$4,m_date,($G$2+31),m_active,1,m_start,"&lt;"&amp;1140,m_end,"&gt;"&amp;1080)=0,"",IF(COUNTIFS(m_teacher,BO$4,m_date,($G$2+31),m_active,1,m_start,"&lt;"&amp;1140,m_end,"&gt;"&amp;1080)&gt;1,"충돌",HYPERLINK("#'관리자_MASTER'!D"&amp;_xlfn.MAXIFS(m_row,m_teacher,BO$4,m_date,($G$2+31),m_active,1,m_start,"&lt;"&amp;1140,m_end,"&gt;"&amp;1080),INDEX(m_label,_xlfn.MAXIFS(m_row,m_teacher,BO$4,m_date,($G$2+31),m_active,1,m_start,"&lt;"&amp;1140,m_end,"&gt;"&amp;1080))))))</f>
        <v/>
      </c>
      <c r="BP47" s="88" t="str">
        <f aca="false">IF(OR(BP$4="",MONTH(($G$2+31))&lt;&gt;MONTH($C$2)),"",IF(COUNTIFS(m_teacher,BP$4,m_date,($G$2+31),m_active,1,m_start,"&lt;"&amp;1140,m_end,"&gt;"&amp;1080)=0,"",IF(COUNTIFS(m_teacher,BP$4,m_date,($G$2+31),m_active,1,m_start,"&lt;"&amp;1140,m_end,"&gt;"&amp;1080)&gt;1,"충돌",HYPERLINK("#'관리자_MASTER'!D"&amp;_xlfn.MAXIFS(m_row,m_teacher,BP$4,m_date,($G$2+31),m_active,1,m_start,"&lt;"&amp;1140,m_end,"&gt;"&amp;1080),INDEX(m_label,_xlfn.MAXIFS(m_row,m_teacher,BP$4,m_date,($G$2+31),m_active,1,m_start,"&lt;"&amp;1140,m_end,"&gt;"&amp;1080))))))</f>
        <v/>
      </c>
      <c r="BQ47" s="88" t="str">
        <f aca="false">IF(OR(BQ$4="",MONTH(($G$2+31))&lt;&gt;MONTH($C$2)),"",IF(COUNTIFS(m_teacher,BQ$4,m_date,($G$2+31),m_active,1,m_start,"&lt;"&amp;1140,m_end,"&gt;"&amp;1080)=0,"",IF(COUNTIFS(m_teacher,BQ$4,m_date,($G$2+31),m_active,1,m_start,"&lt;"&amp;1140,m_end,"&gt;"&amp;1080)&gt;1,"충돌",HYPERLINK("#'관리자_MASTER'!D"&amp;_xlfn.MAXIFS(m_row,m_teacher,BQ$4,m_date,($G$2+31),m_active,1,m_start,"&lt;"&amp;1140,m_end,"&gt;"&amp;1080),INDEX(m_label,_xlfn.MAXIFS(m_row,m_teacher,BQ$4,m_date,($G$2+31),m_active,1,m_start,"&lt;"&amp;1140,m_end,"&gt;"&amp;1080))))))</f>
        <v/>
      </c>
      <c r="BR47" s="88" t="str">
        <f aca="false">IF(OR(BR$4="",MONTH(($G$2+31))&lt;&gt;MONTH($C$2)),"",IF(COUNTIFS(m_teacher,BR$4,m_date,($G$2+31),m_active,1,m_start,"&lt;"&amp;1140,m_end,"&gt;"&amp;1080)=0,"",IF(COUNTIFS(m_teacher,BR$4,m_date,($G$2+31),m_active,1,m_start,"&lt;"&amp;1140,m_end,"&gt;"&amp;1080)&gt;1,"충돌",HYPERLINK("#'관리자_MASTER'!D"&amp;_xlfn.MAXIFS(m_row,m_teacher,BR$4,m_date,($G$2+31),m_active,1,m_start,"&lt;"&amp;1140,m_end,"&gt;"&amp;1080),INDEX(m_label,_xlfn.MAXIFS(m_row,m_teacher,BR$4,m_date,($G$2+31),m_active,1,m_start,"&lt;"&amp;1140,m_end,"&gt;"&amp;1080))))))</f>
        <v/>
      </c>
    </row>
    <row r="48" customFormat="false" ht="19.5" hidden="false" customHeight="true" outlineLevel="0" collapsed="false">
      <c r="A48" s="75"/>
      <c r="B48" s="83" t="s">
        <v>101</v>
      </c>
      <c r="C48" s="84" t="str">
        <f aca="false">IF(OR(C$4="",MONTH(($G$2+3))&lt;&gt;MONTH($C$2)),"",IF(COUNTIFS(m_teacher,C$4,m_date,($G$2+3),m_active,1,m_start,"&lt;"&amp;1440,m_end,"&gt;"&amp;1140)=0,"",IF(COUNTIFS(m_teacher,C$4,m_date,($G$2+3),m_active,1,m_start,"&lt;"&amp;1440,m_end,"&gt;"&amp;1140)&gt;1,"충돌",HYPERLINK("#'관리자_MASTER'!D"&amp;_xlfn.MAXIFS(m_row,m_teacher,C$4,m_date,($G$2+3),m_active,1,m_start,"&lt;"&amp;1440,m_end,"&gt;"&amp;1140),INDEX(m_label,_xlfn.MAXIFS(m_row,m_teacher,C$4,m_date,($G$2+3),m_active,1,m_start,"&lt;"&amp;1440,m_end,"&gt;"&amp;1140))))))</f>
        <v/>
      </c>
      <c r="D48" s="84" t="str">
        <f aca="false">IF(OR(D$4="",MONTH(($G$2+3))&lt;&gt;MONTH($C$2)),"",IF(COUNTIFS(m_teacher,D$4,m_date,($G$2+3),m_active,1,m_start,"&lt;"&amp;1440,m_end,"&gt;"&amp;1140)=0,"",IF(COUNTIFS(m_teacher,D$4,m_date,($G$2+3),m_active,1,m_start,"&lt;"&amp;1440,m_end,"&gt;"&amp;1140)&gt;1,"충돌",HYPERLINK("#'관리자_MASTER'!D"&amp;_xlfn.MAXIFS(m_row,m_teacher,D$4,m_date,($G$2+3),m_active,1,m_start,"&lt;"&amp;1440,m_end,"&gt;"&amp;1140),INDEX(m_label,_xlfn.MAXIFS(m_row,m_teacher,D$4,m_date,($G$2+3),m_active,1,m_start,"&lt;"&amp;1440,m_end,"&gt;"&amp;1140))))))</f>
        <v/>
      </c>
      <c r="E48" s="84" t="str">
        <f aca="false">IF(OR(E$4="",MONTH(($G$2+3))&lt;&gt;MONTH($C$2)),"",IF(COUNTIFS(m_teacher,E$4,m_date,($G$2+3),m_active,1,m_start,"&lt;"&amp;1440,m_end,"&gt;"&amp;1140)=0,"",IF(COUNTIFS(m_teacher,E$4,m_date,($G$2+3),m_active,1,m_start,"&lt;"&amp;1440,m_end,"&gt;"&amp;1140)&gt;1,"충돌",HYPERLINK("#'관리자_MASTER'!D"&amp;_xlfn.MAXIFS(m_row,m_teacher,E$4,m_date,($G$2+3),m_active,1,m_start,"&lt;"&amp;1440,m_end,"&gt;"&amp;1140),INDEX(m_label,_xlfn.MAXIFS(m_row,m_teacher,E$4,m_date,($G$2+3),m_active,1,m_start,"&lt;"&amp;1440,m_end,"&gt;"&amp;1140))))))</f>
        <v/>
      </c>
      <c r="F48" s="84" t="str">
        <f aca="false">IF(OR(F$4="",MONTH(($G$2+3))&lt;&gt;MONTH($C$2)),"",IF(COUNTIFS(m_teacher,F$4,m_date,($G$2+3),m_active,1,m_start,"&lt;"&amp;1440,m_end,"&gt;"&amp;1140)=0,"",IF(COUNTIFS(m_teacher,F$4,m_date,($G$2+3),m_active,1,m_start,"&lt;"&amp;1440,m_end,"&gt;"&amp;1140)&gt;1,"충돌",HYPERLINK("#'관리자_MASTER'!D"&amp;_xlfn.MAXIFS(m_row,m_teacher,F$4,m_date,($G$2+3),m_active,1,m_start,"&lt;"&amp;1440,m_end,"&gt;"&amp;1140),INDEX(m_label,_xlfn.MAXIFS(m_row,m_teacher,F$4,m_date,($G$2+3),m_active,1,m_start,"&lt;"&amp;1440,m_end,"&gt;"&amp;1140))))))</f>
        <v/>
      </c>
      <c r="G48" s="84" t="str">
        <f aca="false">IF(OR(G$4="",MONTH(($G$2+3))&lt;&gt;MONTH($C$2)),"",IF(COUNTIFS(m_teacher,G$4,m_date,($G$2+3),m_active,1,m_start,"&lt;"&amp;1440,m_end,"&gt;"&amp;1140)=0,"",IF(COUNTIFS(m_teacher,G$4,m_date,($G$2+3),m_active,1,m_start,"&lt;"&amp;1440,m_end,"&gt;"&amp;1140)&gt;1,"충돌",HYPERLINK("#'관리자_MASTER'!D"&amp;_xlfn.MAXIFS(m_row,m_teacher,G$4,m_date,($G$2+3),m_active,1,m_start,"&lt;"&amp;1440,m_end,"&gt;"&amp;1140),INDEX(m_label,_xlfn.MAXIFS(m_row,m_teacher,G$4,m_date,($G$2+3),m_active,1,m_start,"&lt;"&amp;1440,m_end,"&gt;"&amp;1140))))))</f>
        <v/>
      </c>
      <c r="H48" s="84" t="str">
        <f aca="false">IF(OR(H$4="",MONTH(($G$2+3))&lt;&gt;MONTH($C$2)),"",IF(COUNTIFS(m_teacher,H$4,m_date,($G$2+3),m_active,1,m_start,"&lt;"&amp;1440,m_end,"&gt;"&amp;1140)=0,"",IF(COUNTIFS(m_teacher,H$4,m_date,($G$2+3),m_active,1,m_start,"&lt;"&amp;1440,m_end,"&gt;"&amp;1140)&gt;1,"충돌",HYPERLINK("#'관리자_MASTER'!D"&amp;_xlfn.MAXIFS(m_row,m_teacher,H$4,m_date,($G$2+3),m_active,1,m_start,"&lt;"&amp;1440,m_end,"&gt;"&amp;1140),INDEX(m_label,_xlfn.MAXIFS(m_row,m_teacher,H$4,m_date,($G$2+3),m_active,1,m_start,"&lt;"&amp;1440,m_end,"&gt;"&amp;1140))))))</f>
        <v/>
      </c>
      <c r="I48" s="84" t="str">
        <f aca="false">IF(OR(I$4="",MONTH(($G$2+3))&lt;&gt;MONTH($C$2)),"",IF(COUNTIFS(m_teacher,I$4,m_date,($G$2+3),m_active,1,m_start,"&lt;"&amp;1440,m_end,"&gt;"&amp;1140)=0,"",IF(COUNTIFS(m_teacher,I$4,m_date,($G$2+3),m_active,1,m_start,"&lt;"&amp;1440,m_end,"&gt;"&amp;1140)&gt;1,"충돌",HYPERLINK("#'관리자_MASTER'!D"&amp;_xlfn.MAXIFS(m_row,m_teacher,I$4,m_date,($G$2+3),m_active,1,m_start,"&lt;"&amp;1440,m_end,"&gt;"&amp;1140),INDEX(m_label,_xlfn.MAXIFS(m_row,m_teacher,I$4,m_date,($G$2+3),m_active,1,m_start,"&lt;"&amp;1440,m_end,"&gt;"&amp;1140))))))</f>
        <v/>
      </c>
      <c r="J48" s="84" t="str">
        <f aca="false">IF(OR(J$4="",MONTH(($G$2+3))&lt;&gt;MONTH($C$2)),"",IF(COUNTIFS(m_teacher,J$4,m_date,($G$2+3),m_active,1,m_start,"&lt;"&amp;1440,m_end,"&gt;"&amp;1140)=0,"",IF(COUNTIFS(m_teacher,J$4,m_date,($G$2+3),m_active,1,m_start,"&lt;"&amp;1440,m_end,"&gt;"&amp;1140)&gt;1,"충돌",HYPERLINK("#'관리자_MASTER'!D"&amp;_xlfn.MAXIFS(m_row,m_teacher,J$4,m_date,($G$2+3),m_active,1,m_start,"&lt;"&amp;1440,m_end,"&gt;"&amp;1140),INDEX(m_label,_xlfn.MAXIFS(m_row,m_teacher,J$4,m_date,($G$2+3),m_active,1,m_start,"&lt;"&amp;1440,m_end,"&gt;"&amp;1140))))))</f>
        <v/>
      </c>
      <c r="K48" s="84" t="str">
        <f aca="false">IF(OR(K$4="",MONTH(($G$2+3))&lt;&gt;MONTH($C$2)),"",IF(COUNTIFS(m_teacher,K$4,m_date,($G$2+3),m_active,1,m_start,"&lt;"&amp;1440,m_end,"&gt;"&amp;1140)=0,"",IF(COUNTIFS(m_teacher,K$4,m_date,($G$2+3),m_active,1,m_start,"&lt;"&amp;1440,m_end,"&gt;"&amp;1140)&gt;1,"충돌",HYPERLINK("#'관리자_MASTER'!D"&amp;_xlfn.MAXIFS(m_row,m_teacher,K$4,m_date,($G$2+3),m_active,1,m_start,"&lt;"&amp;1440,m_end,"&gt;"&amp;1140),INDEX(m_label,_xlfn.MAXIFS(m_row,m_teacher,K$4,m_date,($G$2+3),m_active,1,m_start,"&lt;"&amp;1440,m_end,"&gt;"&amp;1140))))))</f>
        <v/>
      </c>
      <c r="L48" s="84" t="str">
        <f aca="false">IF(OR(L$4="",MONTH(($G$2+3))&lt;&gt;MONTH($C$2)),"",IF(COUNTIFS(m_teacher,L$4,m_date,($G$2+3),m_active,1,m_start,"&lt;"&amp;1440,m_end,"&gt;"&amp;1140)=0,"",IF(COUNTIFS(m_teacher,L$4,m_date,($G$2+3),m_active,1,m_start,"&lt;"&amp;1440,m_end,"&gt;"&amp;1140)&gt;1,"충돌",HYPERLINK("#'관리자_MASTER'!D"&amp;_xlfn.MAXIFS(m_row,m_teacher,L$4,m_date,($G$2+3),m_active,1,m_start,"&lt;"&amp;1440,m_end,"&gt;"&amp;1140),INDEX(m_label,_xlfn.MAXIFS(m_row,m_teacher,L$4,m_date,($G$2+3),m_active,1,m_start,"&lt;"&amp;1440,m_end,"&gt;"&amp;1140))))))</f>
        <v/>
      </c>
      <c r="M48" s="84" t="str">
        <f aca="false">IF(OR(M$4="",MONTH(($G$2+3))&lt;&gt;MONTH($C$2)),"",IF(COUNTIFS(m_teacher,M$4,m_date,($G$2+3),m_active,1,m_start,"&lt;"&amp;1440,m_end,"&gt;"&amp;1140)=0,"",IF(COUNTIFS(m_teacher,M$4,m_date,($G$2+3),m_active,1,m_start,"&lt;"&amp;1440,m_end,"&gt;"&amp;1140)&gt;1,"충돌",HYPERLINK("#'관리자_MASTER'!D"&amp;_xlfn.MAXIFS(m_row,m_teacher,M$4,m_date,($G$2+3),m_active,1,m_start,"&lt;"&amp;1440,m_end,"&gt;"&amp;1140),INDEX(m_label,_xlfn.MAXIFS(m_row,m_teacher,M$4,m_date,($G$2+3),m_active,1,m_start,"&lt;"&amp;1440,m_end,"&gt;"&amp;1140))))))</f>
        <v/>
      </c>
      <c r="N48" s="84" t="str">
        <f aca="false">IF(OR(N$4="",MONTH(($G$2+3))&lt;&gt;MONTH($C$2)),"",IF(COUNTIFS(m_teacher,N$4,m_date,($G$2+3),m_active,1,m_start,"&lt;"&amp;1440,m_end,"&gt;"&amp;1140)=0,"",IF(COUNTIFS(m_teacher,N$4,m_date,($G$2+3),m_active,1,m_start,"&lt;"&amp;1440,m_end,"&gt;"&amp;1140)&gt;1,"충돌",HYPERLINK("#'관리자_MASTER'!D"&amp;_xlfn.MAXIFS(m_row,m_teacher,N$4,m_date,($G$2+3),m_active,1,m_start,"&lt;"&amp;1440,m_end,"&gt;"&amp;1140),INDEX(m_label,_xlfn.MAXIFS(m_row,m_teacher,N$4,m_date,($G$2+3),m_active,1,m_start,"&lt;"&amp;1440,m_end,"&gt;"&amp;1140))))))</f>
        <v/>
      </c>
      <c r="O48" s="78"/>
      <c r="P48" s="85" t="s">
        <v>101</v>
      </c>
      <c r="Q48" s="89" t="str">
        <f aca="false">IF(OR(Q$4="",MONTH(($G$2+10))&lt;&gt;MONTH($C$2)),"",IF(COUNTIFS(m_teacher,Q$4,m_date,($G$2+10),m_active,1,m_start,"&lt;"&amp;1440,m_end,"&gt;"&amp;1140)=0,"",IF(COUNTIFS(m_teacher,Q$4,m_date,($G$2+10),m_active,1,m_start,"&lt;"&amp;1440,m_end,"&gt;"&amp;1140)&gt;1,"충돌",HYPERLINK("#'관리자_MASTER'!D"&amp;_xlfn.MAXIFS(m_row,m_teacher,Q$4,m_date,($G$2+10),m_active,1,m_start,"&lt;"&amp;1440,m_end,"&gt;"&amp;1140),INDEX(m_label,_xlfn.MAXIFS(m_row,m_teacher,Q$4,m_date,($G$2+10),m_active,1,m_start,"&lt;"&amp;1440,m_end,"&gt;"&amp;1140))))))</f>
        <v/>
      </c>
      <c r="R48" s="89" t="str">
        <f aca="false">IF(OR(R$4="",MONTH(($G$2+10))&lt;&gt;MONTH($C$2)),"",IF(COUNTIFS(m_teacher,R$4,m_date,($G$2+10),m_active,1,m_start,"&lt;"&amp;1440,m_end,"&gt;"&amp;1140)=0,"",IF(COUNTIFS(m_teacher,R$4,m_date,($G$2+10),m_active,1,m_start,"&lt;"&amp;1440,m_end,"&gt;"&amp;1140)&gt;1,"충돌",HYPERLINK("#'관리자_MASTER'!D"&amp;_xlfn.MAXIFS(m_row,m_teacher,R$4,m_date,($G$2+10),m_active,1,m_start,"&lt;"&amp;1440,m_end,"&gt;"&amp;1140),INDEX(m_label,_xlfn.MAXIFS(m_row,m_teacher,R$4,m_date,($G$2+10),m_active,1,m_start,"&lt;"&amp;1440,m_end,"&gt;"&amp;1140))))))</f>
        <v/>
      </c>
      <c r="S48" s="89" t="str">
        <f aca="false">IF(OR(S$4="",MONTH(($G$2+10))&lt;&gt;MONTH($C$2)),"",IF(COUNTIFS(m_teacher,S$4,m_date,($G$2+10),m_active,1,m_start,"&lt;"&amp;1440,m_end,"&gt;"&amp;1140)=0,"",IF(COUNTIFS(m_teacher,S$4,m_date,($G$2+10),m_active,1,m_start,"&lt;"&amp;1440,m_end,"&gt;"&amp;1140)&gt;1,"충돌",HYPERLINK("#'관리자_MASTER'!D"&amp;_xlfn.MAXIFS(m_row,m_teacher,S$4,m_date,($G$2+10),m_active,1,m_start,"&lt;"&amp;1440,m_end,"&gt;"&amp;1140),INDEX(m_label,_xlfn.MAXIFS(m_row,m_teacher,S$4,m_date,($G$2+10),m_active,1,m_start,"&lt;"&amp;1440,m_end,"&gt;"&amp;1140))))))</f>
        <v/>
      </c>
      <c r="T48" s="89" t="str">
        <f aca="false">IF(OR(T$4="",MONTH(($G$2+10))&lt;&gt;MONTH($C$2)),"",IF(COUNTIFS(m_teacher,T$4,m_date,($G$2+10),m_active,1,m_start,"&lt;"&amp;1440,m_end,"&gt;"&amp;1140)=0,"",IF(COUNTIFS(m_teacher,T$4,m_date,($G$2+10),m_active,1,m_start,"&lt;"&amp;1440,m_end,"&gt;"&amp;1140)&gt;1,"충돌",HYPERLINK("#'관리자_MASTER'!D"&amp;_xlfn.MAXIFS(m_row,m_teacher,T$4,m_date,($G$2+10),m_active,1,m_start,"&lt;"&amp;1440,m_end,"&gt;"&amp;1140),INDEX(m_label,_xlfn.MAXIFS(m_row,m_teacher,T$4,m_date,($G$2+10),m_active,1,m_start,"&lt;"&amp;1440,m_end,"&gt;"&amp;1140))))))</f>
        <v/>
      </c>
      <c r="U48" s="89" t="str">
        <f aca="false">IF(OR(U$4="",MONTH(($G$2+10))&lt;&gt;MONTH($C$2)),"",IF(COUNTIFS(m_teacher,U$4,m_date,($G$2+10),m_active,1,m_start,"&lt;"&amp;1440,m_end,"&gt;"&amp;1140)=0,"",IF(COUNTIFS(m_teacher,U$4,m_date,($G$2+10),m_active,1,m_start,"&lt;"&amp;1440,m_end,"&gt;"&amp;1140)&gt;1,"충돌",HYPERLINK("#'관리자_MASTER'!D"&amp;_xlfn.MAXIFS(m_row,m_teacher,U$4,m_date,($G$2+10),m_active,1,m_start,"&lt;"&amp;1440,m_end,"&gt;"&amp;1140),INDEX(m_label,_xlfn.MAXIFS(m_row,m_teacher,U$4,m_date,($G$2+10),m_active,1,m_start,"&lt;"&amp;1440,m_end,"&gt;"&amp;1140))))))</f>
        <v/>
      </c>
      <c r="V48" s="89" t="str">
        <f aca="false">IF(OR(V$4="",MONTH(($G$2+10))&lt;&gt;MONTH($C$2)),"",IF(COUNTIFS(m_teacher,V$4,m_date,($G$2+10),m_active,1,m_start,"&lt;"&amp;1440,m_end,"&gt;"&amp;1140)=0,"",IF(COUNTIFS(m_teacher,V$4,m_date,($G$2+10),m_active,1,m_start,"&lt;"&amp;1440,m_end,"&gt;"&amp;1140)&gt;1,"충돌",HYPERLINK("#'관리자_MASTER'!D"&amp;_xlfn.MAXIFS(m_row,m_teacher,V$4,m_date,($G$2+10),m_active,1,m_start,"&lt;"&amp;1440,m_end,"&gt;"&amp;1140),INDEX(m_label,_xlfn.MAXIFS(m_row,m_teacher,V$4,m_date,($G$2+10),m_active,1,m_start,"&lt;"&amp;1440,m_end,"&gt;"&amp;1140))))))</f>
        <v/>
      </c>
      <c r="W48" s="89" t="str">
        <f aca="false">IF(OR(W$4="",MONTH(($G$2+10))&lt;&gt;MONTH($C$2)),"",IF(COUNTIFS(m_teacher,W$4,m_date,($G$2+10),m_active,1,m_start,"&lt;"&amp;1440,m_end,"&gt;"&amp;1140)=0,"",IF(COUNTIFS(m_teacher,W$4,m_date,($G$2+10),m_active,1,m_start,"&lt;"&amp;1440,m_end,"&gt;"&amp;1140)&gt;1,"충돌",HYPERLINK("#'관리자_MASTER'!D"&amp;_xlfn.MAXIFS(m_row,m_teacher,W$4,m_date,($G$2+10),m_active,1,m_start,"&lt;"&amp;1440,m_end,"&gt;"&amp;1140),INDEX(m_label,_xlfn.MAXIFS(m_row,m_teacher,W$4,m_date,($G$2+10),m_active,1,m_start,"&lt;"&amp;1440,m_end,"&gt;"&amp;1140))))))</f>
        <v/>
      </c>
      <c r="X48" s="89" t="str">
        <f aca="false">IF(OR(X$4="",MONTH(($G$2+10))&lt;&gt;MONTH($C$2)),"",IF(COUNTIFS(m_teacher,X$4,m_date,($G$2+10),m_active,1,m_start,"&lt;"&amp;1440,m_end,"&gt;"&amp;1140)=0,"",IF(COUNTIFS(m_teacher,X$4,m_date,($G$2+10),m_active,1,m_start,"&lt;"&amp;1440,m_end,"&gt;"&amp;1140)&gt;1,"충돌",HYPERLINK("#'관리자_MASTER'!D"&amp;_xlfn.MAXIFS(m_row,m_teacher,X$4,m_date,($G$2+10),m_active,1,m_start,"&lt;"&amp;1440,m_end,"&gt;"&amp;1140),INDEX(m_label,_xlfn.MAXIFS(m_row,m_teacher,X$4,m_date,($G$2+10),m_active,1,m_start,"&lt;"&amp;1440,m_end,"&gt;"&amp;1140))))))</f>
        <v/>
      </c>
      <c r="Y48" s="89" t="str">
        <f aca="false">IF(OR(Y$4="",MONTH(($G$2+10))&lt;&gt;MONTH($C$2)),"",IF(COUNTIFS(m_teacher,Y$4,m_date,($G$2+10),m_active,1,m_start,"&lt;"&amp;1440,m_end,"&gt;"&amp;1140)=0,"",IF(COUNTIFS(m_teacher,Y$4,m_date,($G$2+10),m_active,1,m_start,"&lt;"&amp;1440,m_end,"&gt;"&amp;1140)&gt;1,"충돌",HYPERLINK("#'관리자_MASTER'!D"&amp;_xlfn.MAXIFS(m_row,m_teacher,Y$4,m_date,($G$2+10),m_active,1,m_start,"&lt;"&amp;1440,m_end,"&gt;"&amp;1140),INDEX(m_label,_xlfn.MAXIFS(m_row,m_teacher,Y$4,m_date,($G$2+10),m_active,1,m_start,"&lt;"&amp;1440,m_end,"&gt;"&amp;1140))))))</f>
        <v/>
      </c>
      <c r="Z48" s="89" t="str">
        <f aca="false">IF(OR(Z$4="",MONTH(($G$2+10))&lt;&gt;MONTH($C$2)),"",IF(COUNTIFS(m_teacher,Z$4,m_date,($G$2+10),m_active,1,m_start,"&lt;"&amp;1440,m_end,"&gt;"&amp;1140)=0,"",IF(COUNTIFS(m_teacher,Z$4,m_date,($G$2+10),m_active,1,m_start,"&lt;"&amp;1440,m_end,"&gt;"&amp;1140)&gt;1,"충돌",HYPERLINK("#'관리자_MASTER'!D"&amp;_xlfn.MAXIFS(m_row,m_teacher,Z$4,m_date,($G$2+10),m_active,1,m_start,"&lt;"&amp;1440,m_end,"&gt;"&amp;1140),INDEX(m_label,_xlfn.MAXIFS(m_row,m_teacher,Z$4,m_date,($G$2+10),m_active,1,m_start,"&lt;"&amp;1440,m_end,"&gt;"&amp;1140))))))</f>
        <v/>
      </c>
      <c r="AA48" s="89" t="str">
        <f aca="false">IF(OR(AA$4="",MONTH(($G$2+10))&lt;&gt;MONTH($C$2)),"",IF(COUNTIFS(m_teacher,AA$4,m_date,($G$2+10),m_active,1,m_start,"&lt;"&amp;1440,m_end,"&gt;"&amp;1140)=0,"",IF(COUNTIFS(m_teacher,AA$4,m_date,($G$2+10),m_active,1,m_start,"&lt;"&amp;1440,m_end,"&gt;"&amp;1140)&gt;1,"충돌",HYPERLINK("#'관리자_MASTER'!D"&amp;_xlfn.MAXIFS(m_row,m_teacher,AA$4,m_date,($G$2+10),m_active,1,m_start,"&lt;"&amp;1440,m_end,"&gt;"&amp;1140),INDEX(m_label,_xlfn.MAXIFS(m_row,m_teacher,AA$4,m_date,($G$2+10),m_active,1,m_start,"&lt;"&amp;1440,m_end,"&gt;"&amp;1140))))))</f>
        <v/>
      </c>
      <c r="AB48" s="89" t="str">
        <f aca="false">IF(OR(AB$4="",MONTH(($G$2+10))&lt;&gt;MONTH($C$2)),"",IF(COUNTIFS(m_teacher,AB$4,m_date,($G$2+10),m_active,1,m_start,"&lt;"&amp;1440,m_end,"&gt;"&amp;1140)=0,"",IF(COUNTIFS(m_teacher,AB$4,m_date,($G$2+10),m_active,1,m_start,"&lt;"&amp;1440,m_end,"&gt;"&amp;1140)&gt;1,"충돌",HYPERLINK("#'관리자_MASTER'!D"&amp;_xlfn.MAXIFS(m_row,m_teacher,AB$4,m_date,($G$2+10),m_active,1,m_start,"&lt;"&amp;1440,m_end,"&gt;"&amp;1140),INDEX(m_label,_xlfn.MAXIFS(m_row,m_teacher,AB$4,m_date,($G$2+10),m_active,1,m_start,"&lt;"&amp;1440,m_end,"&gt;"&amp;1140))))))</f>
        <v/>
      </c>
      <c r="AC48" s="78"/>
      <c r="AD48" s="85" t="s">
        <v>101</v>
      </c>
      <c r="AE48" s="89" t="str">
        <f aca="false">IF(OR(AE$4="",MONTH(($G$2+17))&lt;&gt;MONTH($C$2)),"",IF(COUNTIFS(m_teacher,AE$4,m_date,($G$2+17),m_active,1,m_start,"&lt;"&amp;1440,m_end,"&gt;"&amp;1140)=0,"",IF(COUNTIFS(m_teacher,AE$4,m_date,($G$2+17),m_active,1,m_start,"&lt;"&amp;1440,m_end,"&gt;"&amp;1140)&gt;1,"충돌",HYPERLINK("#'관리자_MASTER'!D"&amp;_xlfn.MAXIFS(m_row,m_teacher,AE$4,m_date,($G$2+17),m_active,1,m_start,"&lt;"&amp;1440,m_end,"&gt;"&amp;1140),INDEX(m_label,_xlfn.MAXIFS(m_row,m_teacher,AE$4,m_date,($G$2+17),m_active,1,m_start,"&lt;"&amp;1440,m_end,"&gt;"&amp;1140))))))</f>
        <v/>
      </c>
      <c r="AF48" s="89" t="str">
        <f aca="false">IF(OR(AF$4="",MONTH(($G$2+17))&lt;&gt;MONTH($C$2)),"",IF(COUNTIFS(m_teacher,AF$4,m_date,($G$2+17),m_active,1,m_start,"&lt;"&amp;1440,m_end,"&gt;"&amp;1140)=0,"",IF(COUNTIFS(m_teacher,AF$4,m_date,($G$2+17),m_active,1,m_start,"&lt;"&amp;1440,m_end,"&gt;"&amp;1140)&gt;1,"충돌",HYPERLINK("#'관리자_MASTER'!D"&amp;_xlfn.MAXIFS(m_row,m_teacher,AF$4,m_date,($G$2+17),m_active,1,m_start,"&lt;"&amp;1440,m_end,"&gt;"&amp;1140),INDEX(m_label,_xlfn.MAXIFS(m_row,m_teacher,AF$4,m_date,($G$2+17),m_active,1,m_start,"&lt;"&amp;1440,m_end,"&gt;"&amp;1140))))))</f>
        <v/>
      </c>
      <c r="AG48" s="89" t="str">
        <f aca="false">IF(OR(AG$4="",MONTH(($G$2+17))&lt;&gt;MONTH($C$2)),"",IF(COUNTIFS(m_teacher,AG$4,m_date,($G$2+17),m_active,1,m_start,"&lt;"&amp;1440,m_end,"&gt;"&amp;1140)=0,"",IF(COUNTIFS(m_teacher,AG$4,m_date,($G$2+17),m_active,1,m_start,"&lt;"&amp;1440,m_end,"&gt;"&amp;1140)&gt;1,"충돌",HYPERLINK("#'관리자_MASTER'!D"&amp;_xlfn.MAXIFS(m_row,m_teacher,AG$4,m_date,($G$2+17),m_active,1,m_start,"&lt;"&amp;1440,m_end,"&gt;"&amp;1140),INDEX(m_label,_xlfn.MAXIFS(m_row,m_teacher,AG$4,m_date,($G$2+17),m_active,1,m_start,"&lt;"&amp;1440,m_end,"&gt;"&amp;1140))))))</f>
        <v/>
      </c>
      <c r="AH48" s="89" t="str">
        <f aca="false">IF(OR(AH$4="",MONTH(($G$2+17))&lt;&gt;MONTH($C$2)),"",IF(COUNTIFS(m_teacher,AH$4,m_date,($G$2+17),m_active,1,m_start,"&lt;"&amp;1440,m_end,"&gt;"&amp;1140)=0,"",IF(COUNTIFS(m_teacher,AH$4,m_date,($G$2+17),m_active,1,m_start,"&lt;"&amp;1440,m_end,"&gt;"&amp;1140)&gt;1,"충돌",HYPERLINK("#'관리자_MASTER'!D"&amp;_xlfn.MAXIFS(m_row,m_teacher,AH$4,m_date,($G$2+17),m_active,1,m_start,"&lt;"&amp;1440,m_end,"&gt;"&amp;1140),INDEX(m_label,_xlfn.MAXIFS(m_row,m_teacher,AH$4,m_date,($G$2+17),m_active,1,m_start,"&lt;"&amp;1440,m_end,"&gt;"&amp;1140))))))</f>
        <v/>
      </c>
      <c r="AI48" s="89" t="str">
        <f aca="false">IF(OR(AI$4="",MONTH(($G$2+17))&lt;&gt;MONTH($C$2)),"",IF(COUNTIFS(m_teacher,AI$4,m_date,($G$2+17),m_active,1,m_start,"&lt;"&amp;1440,m_end,"&gt;"&amp;1140)=0,"",IF(COUNTIFS(m_teacher,AI$4,m_date,($G$2+17),m_active,1,m_start,"&lt;"&amp;1440,m_end,"&gt;"&amp;1140)&gt;1,"충돌",HYPERLINK("#'관리자_MASTER'!D"&amp;_xlfn.MAXIFS(m_row,m_teacher,AI$4,m_date,($G$2+17),m_active,1,m_start,"&lt;"&amp;1440,m_end,"&gt;"&amp;1140),INDEX(m_label,_xlfn.MAXIFS(m_row,m_teacher,AI$4,m_date,($G$2+17),m_active,1,m_start,"&lt;"&amp;1440,m_end,"&gt;"&amp;1140))))))</f>
        <v/>
      </c>
      <c r="AJ48" s="89" t="str">
        <f aca="false">IF(OR(AJ$4="",MONTH(($G$2+17))&lt;&gt;MONTH($C$2)),"",IF(COUNTIFS(m_teacher,AJ$4,m_date,($G$2+17),m_active,1,m_start,"&lt;"&amp;1440,m_end,"&gt;"&amp;1140)=0,"",IF(COUNTIFS(m_teacher,AJ$4,m_date,($G$2+17),m_active,1,m_start,"&lt;"&amp;1440,m_end,"&gt;"&amp;1140)&gt;1,"충돌",HYPERLINK("#'관리자_MASTER'!D"&amp;_xlfn.MAXIFS(m_row,m_teacher,AJ$4,m_date,($G$2+17),m_active,1,m_start,"&lt;"&amp;1440,m_end,"&gt;"&amp;1140),INDEX(m_label,_xlfn.MAXIFS(m_row,m_teacher,AJ$4,m_date,($G$2+17),m_active,1,m_start,"&lt;"&amp;1440,m_end,"&gt;"&amp;1140))))))</f>
        <v/>
      </c>
      <c r="AK48" s="89" t="str">
        <f aca="false">IF(OR(AK$4="",MONTH(($G$2+17))&lt;&gt;MONTH($C$2)),"",IF(COUNTIFS(m_teacher,AK$4,m_date,($G$2+17),m_active,1,m_start,"&lt;"&amp;1440,m_end,"&gt;"&amp;1140)=0,"",IF(COUNTIFS(m_teacher,AK$4,m_date,($G$2+17),m_active,1,m_start,"&lt;"&amp;1440,m_end,"&gt;"&amp;1140)&gt;1,"충돌",HYPERLINK("#'관리자_MASTER'!D"&amp;_xlfn.MAXIFS(m_row,m_teacher,AK$4,m_date,($G$2+17),m_active,1,m_start,"&lt;"&amp;1440,m_end,"&gt;"&amp;1140),INDEX(m_label,_xlfn.MAXIFS(m_row,m_teacher,AK$4,m_date,($G$2+17),m_active,1,m_start,"&lt;"&amp;1440,m_end,"&gt;"&amp;1140))))))</f>
        <v/>
      </c>
      <c r="AL48" s="89" t="str">
        <f aca="false">IF(OR(AL$4="",MONTH(($G$2+17))&lt;&gt;MONTH($C$2)),"",IF(COUNTIFS(m_teacher,AL$4,m_date,($G$2+17),m_active,1,m_start,"&lt;"&amp;1440,m_end,"&gt;"&amp;1140)=0,"",IF(COUNTIFS(m_teacher,AL$4,m_date,($G$2+17),m_active,1,m_start,"&lt;"&amp;1440,m_end,"&gt;"&amp;1140)&gt;1,"충돌",HYPERLINK("#'관리자_MASTER'!D"&amp;_xlfn.MAXIFS(m_row,m_teacher,AL$4,m_date,($G$2+17),m_active,1,m_start,"&lt;"&amp;1440,m_end,"&gt;"&amp;1140),INDEX(m_label,_xlfn.MAXIFS(m_row,m_teacher,AL$4,m_date,($G$2+17),m_active,1,m_start,"&lt;"&amp;1440,m_end,"&gt;"&amp;1140))))))</f>
        <v/>
      </c>
      <c r="AM48" s="89" t="str">
        <f aca="false">IF(OR(AM$4="",MONTH(($G$2+17))&lt;&gt;MONTH($C$2)),"",IF(COUNTIFS(m_teacher,AM$4,m_date,($G$2+17),m_active,1,m_start,"&lt;"&amp;1440,m_end,"&gt;"&amp;1140)=0,"",IF(COUNTIFS(m_teacher,AM$4,m_date,($G$2+17),m_active,1,m_start,"&lt;"&amp;1440,m_end,"&gt;"&amp;1140)&gt;1,"충돌",HYPERLINK("#'관리자_MASTER'!D"&amp;_xlfn.MAXIFS(m_row,m_teacher,AM$4,m_date,($G$2+17),m_active,1,m_start,"&lt;"&amp;1440,m_end,"&gt;"&amp;1140),INDEX(m_label,_xlfn.MAXIFS(m_row,m_teacher,AM$4,m_date,($G$2+17),m_active,1,m_start,"&lt;"&amp;1440,m_end,"&gt;"&amp;1140))))))</f>
        <v/>
      </c>
      <c r="AN48" s="89" t="str">
        <f aca="false">IF(OR(AN$4="",MONTH(($G$2+17))&lt;&gt;MONTH($C$2)),"",IF(COUNTIFS(m_teacher,AN$4,m_date,($G$2+17),m_active,1,m_start,"&lt;"&amp;1440,m_end,"&gt;"&amp;1140)=0,"",IF(COUNTIFS(m_teacher,AN$4,m_date,($G$2+17),m_active,1,m_start,"&lt;"&amp;1440,m_end,"&gt;"&amp;1140)&gt;1,"충돌",HYPERLINK("#'관리자_MASTER'!D"&amp;_xlfn.MAXIFS(m_row,m_teacher,AN$4,m_date,($G$2+17),m_active,1,m_start,"&lt;"&amp;1440,m_end,"&gt;"&amp;1140),INDEX(m_label,_xlfn.MAXIFS(m_row,m_teacher,AN$4,m_date,($G$2+17),m_active,1,m_start,"&lt;"&amp;1440,m_end,"&gt;"&amp;1140))))))</f>
        <v/>
      </c>
      <c r="AO48" s="89" t="str">
        <f aca="false">IF(OR(AO$4="",MONTH(($G$2+17))&lt;&gt;MONTH($C$2)),"",IF(COUNTIFS(m_teacher,AO$4,m_date,($G$2+17),m_active,1,m_start,"&lt;"&amp;1440,m_end,"&gt;"&amp;1140)=0,"",IF(COUNTIFS(m_teacher,AO$4,m_date,($G$2+17),m_active,1,m_start,"&lt;"&amp;1440,m_end,"&gt;"&amp;1140)&gt;1,"충돌",HYPERLINK("#'관리자_MASTER'!D"&amp;_xlfn.MAXIFS(m_row,m_teacher,AO$4,m_date,($G$2+17),m_active,1,m_start,"&lt;"&amp;1440,m_end,"&gt;"&amp;1140),INDEX(m_label,_xlfn.MAXIFS(m_row,m_teacher,AO$4,m_date,($G$2+17),m_active,1,m_start,"&lt;"&amp;1440,m_end,"&gt;"&amp;1140))))))</f>
        <v/>
      </c>
      <c r="AP48" s="89" t="str">
        <f aca="false">IF(OR(AP$4="",MONTH(($G$2+17))&lt;&gt;MONTH($C$2)),"",IF(COUNTIFS(m_teacher,AP$4,m_date,($G$2+17),m_active,1,m_start,"&lt;"&amp;1440,m_end,"&gt;"&amp;1140)=0,"",IF(COUNTIFS(m_teacher,AP$4,m_date,($G$2+17),m_active,1,m_start,"&lt;"&amp;1440,m_end,"&gt;"&amp;1140)&gt;1,"충돌",HYPERLINK("#'관리자_MASTER'!D"&amp;_xlfn.MAXIFS(m_row,m_teacher,AP$4,m_date,($G$2+17),m_active,1,m_start,"&lt;"&amp;1440,m_end,"&gt;"&amp;1140),INDEX(m_label,_xlfn.MAXIFS(m_row,m_teacher,AP$4,m_date,($G$2+17),m_active,1,m_start,"&lt;"&amp;1440,m_end,"&gt;"&amp;1140))))))</f>
        <v/>
      </c>
      <c r="AQ48" s="78"/>
      <c r="AR48" s="85" t="s">
        <v>101</v>
      </c>
      <c r="AS48" s="89" t="str">
        <f aca="false">IF(OR(AS$4="",MONTH(($G$2+24))&lt;&gt;MONTH($C$2)),"",IF(COUNTIFS(m_teacher,AS$4,m_date,($G$2+24),m_active,1,m_start,"&lt;"&amp;1440,m_end,"&gt;"&amp;1140)=0,"",IF(COUNTIFS(m_teacher,AS$4,m_date,($G$2+24),m_active,1,m_start,"&lt;"&amp;1440,m_end,"&gt;"&amp;1140)&gt;1,"충돌",HYPERLINK("#'관리자_MASTER'!D"&amp;_xlfn.MAXIFS(m_row,m_teacher,AS$4,m_date,($G$2+24),m_active,1,m_start,"&lt;"&amp;1440,m_end,"&gt;"&amp;1140),INDEX(m_label,_xlfn.MAXIFS(m_row,m_teacher,AS$4,m_date,($G$2+24),m_active,1,m_start,"&lt;"&amp;1440,m_end,"&gt;"&amp;1140))))))</f>
        <v/>
      </c>
      <c r="AT48" s="89" t="str">
        <f aca="false">IF(OR(AT$4="",MONTH(($G$2+24))&lt;&gt;MONTH($C$2)),"",IF(COUNTIFS(m_teacher,AT$4,m_date,($G$2+24),m_active,1,m_start,"&lt;"&amp;1440,m_end,"&gt;"&amp;1140)=0,"",IF(COUNTIFS(m_teacher,AT$4,m_date,($G$2+24),m_active,1,m_start,"&lt;"&amp;1440,m_end,"&gt;"&amp;1140)&gt;1,"충돌",HYPERLINK("#'관리자_MASTER'!D"&amp;_xlfn.MAXIFS(m_row,m_teacher,AT$4,m_date,($G$2+24),m_active,1,m_start,"&lt;"&amp;1440,m_end,"&gt;"&amp;1140),INDEX(m_label,_xlfn.MAXIFS(m_row,m_teacher,AT$4,m_date,($G$2+24),m_active,1,m_start,"&lt;"&amp;1440,m_end,"&gt;"&amp;1140))))))</f>
        <v/>
      </c>
      <c r="AU48" s="89" t="str">
        <f aca="false">IF(OR(AU$4="",MONTH(($G$2+24))&lt;&gt;MONTH($C$2)),"",IF(COUNTIFS(m_teacher,AU$4,m_date,($G$2+24),m_active,1,m_start,"&lt;"&amp;1440,m_end,"&gt;"&amp;1140)=0,"",IF(COUNTIFS(m_teacher,AU$4,m_date,($G$2+24),m_active,1,m_start,"&lt;"&amp;1440,m_end,"&gt;"&amp;1140)&gt;1,"충돌",HYPERLINK("#'관리자_MASTER'!D"&amp;_xlfn.MAXIFS(m_row,m_teacher,AU$4,m_date,($G$2+24),m_active,1,m_start,"&lt;"&amp;1440,m_end,"&gt;"&amp;1140),INDEX(m_label,_xlfn.MAXIFS(m_row,m_teacher,AU$4,m_date,($G$2+24),m_active,1,m_start,"&lt;"&amp;1440,m_end,"&gt;"&amp;1140))))))</f>
        <v/>
      </c>
      <c r="AV48" s="89" t="str">
        <f aca="false">IF(OR(AV$4="",MONTH(($G$2+24))&lt;&gt;MONTH($C$2)),"",IF(COUNTIFS(m_teacher,AV$4,m_date,($G$2+24),m_active,1,m_start,"&lt;"&amp;1440,m_end,"&gt;"&amp;1140)=0,"",IF(COUNTIFS(m_teacher,AV$4,m_date,($G$2+24),m_active,1,m_start,"&lt;"&amp;1440,m_end,"&gt;"&amp;1140)&gt;1,"충돌",HYPERLINK("#'관리자_MASTER'!D"&amp;_xlfn.MAXIFS(m_row,m_teacher,AV$4,m_date,($G$2+24),m_active,1,m_start,"&lt;"&amp;1440,m_end,"&gt;"&amp;1140),INDEX(m_label,_xlfn.MAXIFS(m_row,m_teacher,AV$4,m_date,($G$2+24),m_active,1,m_start,"&lt;"&amp;1440,m_end,"&gt;"&amp;1140))))))</f>
        <v/>
      </c>
      <c r="AW48" s="89" t="str">
        <f aca="false">IF(OR(AW$4="",MONTH(($G$2+24))&lt;&gt;MONTH($C$2)),"",IF(COUNTIFS(m_teacher,AW$4,m_date,($G$2+24),m_active,1,m_start,"&lt;"&amp;1440,m_end,"&gt;"&amp;1140)=0,"",IF(COUNTIFS(m_teacher,AW$4,m_date,($G$2+24),m_active,1,m_start,"&lt;"&amp;1440,m_end,"&gt;"&amp;1140)&gt;1,"충돌",HYPERLINK("#'관리자_MASTER'!D"&amp;_xlfn.MAXIFS(m_row,m_teacher,AW$4,m_date,($G$2+24),m_active,1,m_start,"&lt;"&amp;1440,m_end,"&gt;"&amp;1140),INDEX(m_label,_xlfn.MAXIFS(m_row,m_teacher,AW$4,m_date,($G$2+24),m_active,1,m_start,"&lt;"&amp;1440,m_end,"&gt;"&amp;1140))))))</f>
        <v/>
      </c>
      <c r="AX48" s="89" t="str">
        <f aca="false">IF(OR(AX$4="",MONTH(($G$2+24))&lt;&gt;MONTH($C$2)),"",IF(COUNTIFS(m_teacher,AX$4,m_date,($G$2+24),m_active,1,m_start,"&lt;"&amp;1440,m_end,"&gt;"&amp;1140)=0,"",IF(COUNTIFS(m_teacher,AX$4,m_date,($G$2+24),m_active,1,m_start,"&lt;"&amp;1440,m_end,"&gt;"&amp;1140)&gt;1,"충돌",HYPERLINK("#'관리자_MASTER'!D"&amp;_xlfn.MAXIFS(m_row,m_teacher,AX$4,m_date,($G$2+24),m_active,1,m_start,"&lt;"&amp;1440,m_end,"&gt;"&amp;1140),INDEX(m_label,_xlfn.MAXIFS(m_row,m_teacher,AX$4,m_date,($G$2+24),m_active,1,m_start,"&lt;"&amp;1440,m_end,"&gt;"&amp;1140))))))</f>
        <v/>
      </c>
      <c r="AY48" s="89" t="str">
        <f aca="false">IF(OR(AY$4="",MONTH(($G$2+24))&lt;&gt;MONTH($C$2)),"",IF(COUNTIFS(m_teacher,AY$4,m_date,($G$2+24),m_active,1,m_start,"&lt;"&amp;1440,m_end,"&gt;"&amp;1140)=0,"",IF(COUNTIFS(m_teacher,AY$4,m_date,($G$2+24),m_active,1,m_start,"&lt;"&amp;1440,m_end,"&gt;"&amp;1140)&gt;1,"충돌",HYPERLINK("#'관리자_MASTER'!D"&amp;_xlfn.MAXIFS(m_row,m_teacher,AY$4,m_date,($G$2+24),m_active,1,m_start,"&lt;"&amp;1440,m_end,"&gt;"&amp;1140),INDEX(m_label,_xlfn.MAXIFS(m_row,m_teacher,AY$4,m_date,($G$2+24),m_active,1,m_start,"&lt;"&amp;1440,m_end,"&gt;"&amp;1140))))))</f>
        <v/>
      </c>
      <c r="AZ48" s="89" t="str">
        <f aca="false">IF(OR(AZ$4="",MONTH(($G$2+24))&lt;&gt;MONTH($C$2)),"",IF(COUNTIFS(m_teacher,AZ$4,m_date,($G$2+24),m_active,1,m_start,"&lt;"&amp;1440,m_end,"&gt;"&amp;1140)=0,"",IF(COUNTIFS(m_teacher,AZ$4,m_date,($G$2+24),m_active,1,m_start,"&lt;"&amp;1440,m_end,"&gt;"&amp;1140)&gt;1,"충돌",HYPERLINK("#'관리자_MASTER'!D"&amp;_xlfn.MAXIFS(m_row,m_teacher,AZ$4,m_date,($G$2+24),m_active,1,m_start,"&lt;"&amp;1440,m_end,"&gt;"&amp;1140),INDEX(m_label,_xlfn.MAXIFS(m_row,m_teacher,AZ$4,m_date,($G$2+24),m_active,1,m_start,"&lt;"&amp;1440,m_end,"&gt;"&amp;1140))))))</f>
        <v/>
      </c>
      <c r="BA48" s="89" t="str">
        <f aca="false">IF(OR(BA$4="",MONTH(($G$2+24))&lt;&gt;MONTH($C$2)),"",IF(COUNTIFS(m_teacher,BA$4,m_date,($G$2+24),m_active,1,m_start,"&lt;"&amp;1440,m_end,"&gt;"&amp;1140)=0,"",IF(COUNTIFS(m_teacher,BA$4,m_date,($G$2+24),m_active,1,m_start,"&lt;"&amp;1440,m_end,"&gt;"&amp;1140)&gt;1,"충돌",HYPERLINK("#'관리자_MASTER'!D"&amp;_xlfn.MAXIFS(m_row,m_teacher,BA$4,m_date,($G$2+24),m_active,1,m_start,"&lt;"&amp;1440,m_end,"&gt;"&amp;1140),INDEX(m_label,_xlfn.MAXIFS(m_row,m_teacher,BA$4,m_date,($G$2+24),m_active,1,m_start,"&lt;"&amp;1440,m_end,"&gt;"&amp;1140))))))</f>
        <v/>
      </c>
      <c r="BB48" s="89" t="str">
        <f aca="false">IF(OR(BB$4="",MONTH(($G$2+24))&lt;&gt;MONTH($C$2)),"",IF(COUNTIFS(m_teacher,BB$4,m_date,($G$2+24),m_active,1,m_start,"&lt;"&amp;1440,m_end,"&gt;"&amp;1140)=0,"",IF(COUNTIFS(m_teacher,BB$4,m_date,($G$2+24),m_active,1,m_start,"&lt;"&amp;1440,m_end,"&gt;"&amp;1140)&gt;1,"충돌",HYPERLINK("#'관리자_MASTER'!D"&amp;_xlfn.MAXIFS(m_row,m_teacher,BB$4,m_date,($G$2+24),m_active,1,m_start,"&lt;"&amp;1440,m_end,"&gt;"&amp;1140),INDEX(m_label,_xlfn.MAXIFS(m_row,m_teacher,BB$4,m_date,($G$2+24),m_active,1,m_start,"&lt;"&amp;1440,m_end,"&gt;"&amp;1140))))))</f>
        <v/>
      </c>
      <c r="BC48" s="89" t="str">
        <f aca="false">IF(OR(BC$4="",MONTH(($G$2+24))&lt;&gt;MONTH($C$2)),"",IF(COUNTIFS(m_teacher,BC$4,m_date,($G$2+24),m_active,1,m_start,"&lt;"&amp;1440,m_end,"&gt;"&amp;1140)=0,"",IF(COUNTIFS(m_teacher,BC$4,m_date,($G$2+24),m_active,1,m_start,"&lt;"&amp;1440,m_end,"&gt;"&amp;1140)&gt;1,"충돌",HYPERLINK("#'관리자_MASTER'!D"&amp;_xlfn.MAXIFS(m_row,m_teacher,BC$4,m_date,($G$2+24),m_active,1,m_start,"&lt;"&amp;1440,m_end,"&gt;"&amp;1140),INDEX(m_label,_xlfn.MAXIFS(m_row,m_teacher,BC$4,m_date,($G$2+24),m_active,1,m_start,"&lt;"&amp;1440,m_end,"&gt;"&amp;1140))))))</f>
        <v/>
      </c>
      <c r="BD48" s="89" t="str">
        <f aca="false">IF(OR(BD$4="",MONTH(($G$2+24))&lt;&gt;MONTH($C$2)),"",IF(COUNTIFS(m_teacher,BD$4,m_date,($G$2+24),m_active,1,m_start,"&lt;"&amp;1440,m_end,"&gt;"&amp;1140)=0,"",IF(COUNTIFS(m_teacher,BD$4,m_date,($G$2+24),m_active,1,m_start,"&lt;"&amp;1440,m_end,"&gt;"&amp;1140)&gt;1,"충돌",HYPERLINK("#'관리자_MASTER'!D"&amp;_xlfn.MAXIFS(m_row,m_teacher,BD$4,m_date,($G$2+24),m_active,1,m_start,"&lt;"&amp;1440,m_end,"&gt;"&amp;1140),INDEX(m_label,_xlfn.MAXIFS(m_row,m_teacher,BD$4,m_date,($G$2+24),m_active,1,m_start,"&lt;"&amp;1440,m_end,"&gt;"&amp;1140))))))</f>
        <v/>
      </c>
      <c r="BE48" s="78"/>
      <c r="BF48" s="85" t="s">
        <v>101</v>
      </c>
      <c r="BG48" s="89" t="str">
        <f aca="false">IF(OR(BG$4="",MONTH(($G$2+31))&lt;&gt;MONTH($C$2)),"",IF(COUNTIFS(m_teacher,BG$4,m_date,($G$2+31),m_active,1,m_start,"&lt;"&amp;1440,m_end,"&gt;"&amp;1140)=0,"",IF(COUNTIFS(m_teacher,BG$4,m_date,($G$2+31),m_active,1,m_start,"&lt;"&amp;1440,m_end,"&gt;"&amp;1140)&gt;1,"충돌",HYPERLINK("#'관리자_MASTER'!D"&amp;_xlfn.MAXIFS(m_row,m_teacher,BG$4,m_date,($G$2+31),m_active,1,m_start,"&lt;"&amp;1440,m_end,"&gt;"&amp;1140),INDEX(m_label,_xlfn.MAXIFS(m_row,m_teacher,BG$4,m_date,($G$2+31),m_active,1,m_start,"&lt;"&amp;1440,m_end,"&gt;"&amp;1140))))))</f>
        <v/>
      </c>
      <c r="BH48" s="89" t="str">
        <f aca="false">IF(OR(BH$4="",MONTH(($G$2+31))&lt;&gt;MONTH($C$2)),"",IF(COUNTIFS(m_teacher,BH$4,m_date,($G$2+31),m_active,1,m_start,"&lt;"&amp;1440,m_end,"&gt;"&amp;1140)=0,"",IF(COUNTIFS(m_teacher,BH$4,m_date,($G$2+31),m_active,1,m_start,"&lt;"&amp;1440,m_end,"&gt;"&amp;1140)&gt;1,"충돌",HYPERLINK("#'관리자_MASTER'!D"&amp;_xlfn.MAXIFS(m_row,m_teacher,BH$4,m_date,($G$2+31),m_active,1,m_start,"&lt;"&amp;1440,m_end,"&gt;"&amp;1140),INDEX(m_label,_xlfn.MAXIFS(m_row,m_teacher,BH$4,m_date,($G$2+31),m_active,1,m_start,"&lt;"&amp;1440,m_end,"&gt;"&amp;1140))))))</f>
        <v/>
      </c>
      <c r="BI48" s="89" t="str">
        <f aca="false">IF(OR(BI$4="",MONTH(($G$2+31))&lt;&gt;MONTH($C$2)),"",IF(COUNTIFS(m_teacher,BI$4,m_date,($G$2+31),m_active,1,m_start,"&lt;"&amp;1440,m_end,"&gt;"&amp;1140)=0,"",IF(COUNTIFS(m_teacher,BI$4,m_date,($G$2+31),m_active,1,m_start,"&lt;"&amp;1440,m_end,"&gt;"&amp;1140)&gt;1,"충돌",HYPERLINK("#'관리자_MASTER'!D"&amp;_xlfn.MAXIFS(m_row,m_teacher,BI$4,m_date,($G$2+31),m_active,1,m_start,"&lt;"&amp;1440,m_end,"&gt;"&amp;1140),INDEX(m_label,_xlfn.MAXIFS(m_row,m_teacher,BI$4,m_date,($G$2+31),m_active,1,m_start,"&lt;"&amp;1440,m_end,"&gt;"&amp;1140))))))</f>
        <v/>
      </c>
      <c r="BJ48" s="89" t="str">
        <f aca="false">IF(OR(BJ$4="",MONTH(($G$2+31))&lt;&gt;MONTH($C$2)),"",IF(COUNTIFS(m_teacher,BJ$4,m_date,($G$2+31),m_active,1,m_start,"&lt;"&amp;1440,m_end,"&gt;"&amp;1140)=0,"",IF(COUNTIFS(m_teacher,BJ$4,m_date,($G$2+31),m_active,1,m_start,"&lt;"&amp;1440,m_end,"&gt;"&amp;1140)&gt;1,"충돌",HYPERLINK("#'관리자_MASTER'!D"&amp;_xlfn.MAXIFS(m_row,m_teacher,BJ$4,m_date,($G$2+31),m_active,1,m_start,"&lt;"&amp;1440,m_end,"&gt;"&amp;1140),INDEX(m_label,_xlfn.MAXIFS(m_row,m_teacher,BJ$4,m_date,($G$2+31),m_active,1,m_start,"&lt;"&amp;1440,m_end,"&gt;"&amp;1140))))))</f>
        <v/>
      </c>
      <c r="BK48" s="89" t="str">
        <f aca="false">IF(OR(BK$4="",MONTH(($G$2+31))&lt;&gt;MONTH($C$2)),"",IF(COUNTIFS(m_teacher,BK$4,m_date,($G$2+31),m_active,1,m_start,"&lt;"&amp;1440,m_end,"&gt;"&amp;1140)=0,"",IF(COUNTIFS(m_teacher,BK$4,m_date,($G$2+31),m_active,1,m_start,"&lt;"&amp;1440,m_end,"&gt;"&amp;1140)&gt;1,"충돌",HYPERLINK("#'관리자_MASTER'!D"&amp;_xlfn.MAXIFS(m_row,m_teacher,BK$4,m_date,($G$2+31),m_active,1,m_start,"&lt;"&amp;1440,m_end,"&gt;"&amp;1140),INDEX(m_label,_xlfn.MAXIFS(m_row,m_teacher,BK$4,m_date,($G$2+31),m_active,1,m_start,"&lt;"&amp;1440,m_end,"&gt;"&amp;1140))))))</f>
        <v/>
      </c>
      <c r="BL48" s="89" t="str">
        <f aca="false">IF(OR(BL$4="",MONTH(($G$2+31))&lt;&gt;MONTH($C$2)),"",IF(COUNTIFS(m_teacher,BL$4,m_date,($G$2+31),m_active,1,m_start,"&lt;"&amp;1440,m_end,"&gt;"&amp;1140)=0,"",IF(COUNTIFS(m_teacher,BL$4,m_date,($G$2+31),m_active,1,m_start,"&lt;"&amp;1440,m_end,"&gt;"&amp;1140)&gt;1,"충돌",HYPERLINK("#'관리자_MASTER'!D"&amp;_xlfn.MAXIFS(m_row,m_teacher,BL$4,m_date,($G$2+31),m_active,1,m_start,"&lt;"&amp;1440,m_end,"&gt;"&amp;1140),INDEX(m_label,_xlfn.MAXIFS(m_row,m_teacher,BL$4,m_date,($G$2+31),m_active,1,m_start,"&lt;"&amp;1440,m_end,"&gt;"&amp;1140))))))</f>
        <v/>
      </c>
      <c r="BM48" s="89" t="str">
        <f aca="false">IF(OR(BM$4="",MONTH(($G$2+31))&lt;&gt;MONTH($C$2)),"",IF(COUNTIFS(m_teacher,BM$4,m_date,($G$2+31),m_active,1,m_start,"&lt;"&amp;1440,m_end,"&gt;"&amp;1140)=0,"",IF(COUNTIFS(m_teacher,BM$4,m_date,($G$2+31),m_active,1,m_start,"&lt;"&amp;1440,m_end,"&gt;"&amp;1140)&gt;1,"충돌",HYPERLINK("#'관리자_MASTER'!D"&amp;_xlfn.MAXIFS(m_row,m_teacher,BM$4,m_date,($G$2+31),m_active,1,m_start,"&lt;"&amp;1440,m_end,"&gt;"&amp;1140),INDEX(m_label,_xlfn.MAXIFS(m_row,m_teacher,BM$4,m_date,($G$2+31),m_active,1,m_start,"&lt;"&amp;1440,m_end,"&gt;"&amp;1140))))))</f>
        <v/>
      </c>
      <c r="BN48" s="89" t="str">
        <f aca="false">IF(OR(BN$4="",MONTH(($G$2+31))&lt;&gt;MONTH($C$2)),"",IF(COUNTIFS(m_teacher,BN$4,m_date,($G$2+31),m_active,1,m_start,"&lt;"&amp;1440,m_end,"&gt;"&amp;1140)=0,"",IF(COUNTIFS(m_teacher,BN$4,m_date,($G$2+31),m_active,1,m_start,"&lt;"&amp;1440,m_end,"&gt;"&amp;1140)&gt;1,"충돌",HYPERLINK("#'관리자_MASTER'!D"&amp;_xlfn.MAXIFS(m_row,m_teacher,BN$4,m_date,($G$2+31),m_active,1,m_start,"&lt;"&amp;1440,m_end,"&gt;"&amp;1140),INDEX(m_label,_xlfn.MAXIFS(m_row,m_teacher,BN$4,m_date,($G$2+31),m_active,1,m_start,"&lt;"&amp;1440,m_end,"&gt;"&amp;1140))))))</f>
        <v/>
      </c>
      <c r="BO48" s="89" t="str">
        <f aca="false">IF(OR(BO$4="",MONTH(($G$2+31))&lt;&gt;MONTH($C$2)),"",IF(COUNTIFS(m_teacher,BO$4,m_date,($G$2+31),m_active,1,m_start,"&lt;"&amp;1440,m_end,"&gt;"&amp;1140)=0,"",IF(COUNTIFS(m_teacher,BO$4,m_date,($G$2+31),m_active,1,m_start,"&lt;"&amp;1440,m_end,"&gt;"&amp;1140)&gt;1,"충돌",HYPERLINK("#'관리자_MASTER'!D"&amp;_xlfn.MAXIFS(m_row,m_teacher,BO$4,m_date,($G$2+31),m_active,1,m_start,"&lt;"&amp;1440,m_end,"&gt;"&amp;1140),INDEX(m_label,_xlfn.MAXIFS(m_row,m_teacher,BO$4,m_date,($G$2+31),m_active,1,m_start,"&lt;"&amp;1440,m_end,"&gt;"&amp;1140))))))</f>
        <v/>
      </c>
      <c r="BP48" s="89" t="str">
        <f aca="false">IF(OR(BP$4="",MONTH(($G$2+31))&lt;&gt;MONTH($C$2)),"",IF(COUNTIFS(m_teacher,BP$4,m_date,($G$2+31),m_active,1,m_start,"&lt;"&amp;1440,m_end,"&gt;"&amp;1140)=0,"",IF(COUNTIFS(m_teacher,BP$4,m_date,($G$2+31),m_active,1,m_start,"&lt;"&amp;1440,m_end,"&gt;"&amp;1140)&gt;1,"충돌",HYPERLINK("#'관리자_MASTER'!D"&amp;_xlfn.MAXIFS(m_row,m_teacher,BP$4,m_date,($G$2+31),m_active,1,m_start,"&lt;"&amp;1440,m_end,"&gt;"&amp;1140),INDEX(m_label,_xlfn.MAXIFS(m_row,m_teacher,BP$4,m_date,($G$2+31),m_active,1,m_start,"&lt;"&amp;1440,m_end,"&gt;"&amp;1140))))))</f>
        <v/>
      </c>
      <c r="BQ48" s="89" t="str">
        <f aca="false">IF(OR(BQ$4="",MONTH(($G$2+31))&lt;&gt;MONTH($C$2)),"",IF(COUNTIFS(m_teacher,BQ$4,m_date,($G$2+31),m_active,1,m_start,"&lt;"&amp;1440,m_end,"&gt;"&amp;1140)=0,"",IF(COUNTIFS(m_teacher,BQ$4,m_date,($G$2+31),m_active,1,m_start,"&lt;"&amp;1440,m_end,"&gt;"&amp;1140)&gt;1,"충돌",HYPERLINK("#'관리자_MASTER'!D"&amp;_xlfn.MAXIFS(m_row,m_teacher,BQ$4,m_date,($G$2+31),m_active,1,m_start,"&lt;"&amp;1440,m_end,"&gt;"&amp;1140),INDEX(m_label,_xlfn.MAXIFS(m_row,m_teacher,BQ$4,m_date,($G$2+31),m_active,1,m_start,"&lt;"&amp;1440,m_end,"&gt;"&amp;1140))))))</f>
        <v/>
      </c>
      <c r="BR48" s="89" t="str">
        <f aca="false">IF(OR(BR$4="",MONTH(($G$2+31))&lt;&gt;MONTH($C$2)),"",IF(COUNTIFS(m_teacher,BR$4,m_date,($G$2+31),m_active,1,m_start,"&lt;"&amp;1440,m_end,"&gt;"&amp;1140)=0,"",IF(COUNTIFS(m_teacher,BR$4,m_date,($G$2+31),m_active,1,m_start,"&lt;"&amp;1440,m_end,"&gt;"&amp;1140)&gt;1,"충돌",HYPERLINK("#'관리자_MASTER'!D"&amp;_xlfn.MAXIFS(m_row,m_teacher,BR$4,m_date,($G$2+31),m_active,1,m_start,"&lt;"&amp;1440,m_end,"&gt;"&amp;1140),INDEX(m_label,_xlfn.MAXIFS(m_row,m_teacher,BR$4,m_date,($G$2+31),m_active,1,m_start,"&lt;"&amp;1440,m_end,"&gt;"&amp;1140))))))</f>
        <v/>
      </c>
    </row>
    <row r="49" customFormat="false" ht="19.5" hidden="false" customHeight="true" outlineLevel="0" collapsed="false">
      <c r="A49" s="78" t="str">
        <f aca="false">IF(MONTH(($G$2+4))&lt;&gt;MONTH($C$2),"",CHOOSE(WEEKDAY(($G$2+4),2),"월","화","수","목","금","토","일")&amp;CHAR(10)&amp;TEXT(($G$2+4),"m/d"))</f>
        <v>금
1/1</v>
      </c>
      <c r="B49" s="79" t="s">
        <v>91</v>
      </c>
      <c r="C49" s="80" t="str">
        <f aca="false">IF(OR(C$4="",MONTH(($G$2+4))&lt;&gt;MONTH($C$2)),"",IF(COUNTIFS(m_teacher,C$4,m_date,($G$2+4),m_active,1,m_start,"&lt;"&amp;600,m_end,"&gt;"&amp;0)=0,"",IF(COUNTIFS(m_teacher,C$4,m_date,($G$2+4),m_active,1,m_start,"&lt;"&amp;600,m_end,"&gt;"&amp;0)&gt;1,"충돌",HYPERLINK("#'관리자_MASTER'!D"&amp;_xlfn.MAXIFS(m_row,m_teacher,C$4,m_date,($G$2+4),m_active,1,m_start,"&lt;"&amp;600,m_end,"&gt;"&amp;0),INDEX(m_label,_xlfn.MAXIFS(m_row,m_teacher,C$4,m_date,($G$2+4),m_active,1,m_start,"&lt;"&amp;600,m_end,"&gt;"&amp;0))))))</f>
        <v/>
      </c>
      <c r="D49" s="80" t="str">
        <f aca="false">IF(OR(D$4="",MONTH(($G$2+4))&lt;&gt;MONTH($C$2)),"",IF(COUNTIFS(m_teacher,D$4,m_date,($G$2+4),m_active,1,m_start,"&lt;"&amp;600,m_end,"&gt;"&amp;0)=0,"",IF(COUNTIFS(m_teacher,D$4,m_date,($G$2+4),m_active,1,m_start,"&lt;"&amp;600,m_end,"&gt;"&amp;0)&gt;1,"충돌",HYPERLINK("#'관리자_MASTER'!D"&amp;_xlfn.MAXIFS(m_row,m_teacher,D$4,m_date,($G$2+4),m_active,1,m_start,"&lt;"&amp;600,m_end,"&gt;"&amp;0),INDEX(m_label,_xlfn.MAXIFS(m_row,m_teacher,D$4,m_date,($G$2+4),m_active,1,m_start,"&lt;"&amp;600,m_end,"&gt;"&amp;0))))))</f>
        <v/>
      </c>
      <c r="E49" s="80" t="str">
        <f aca="false">IF(OR(E$4="",MONTH(($G$2+4))&lt;&gt;MONTH($C$2)),"",IF(COUNTIFS(m_teacher,E$4,m_date,($G$2+4),m_active,1,m_start,"&lt;"&amp;600,m_end,"&gt;"&amp;0)=0,"",IF(COUNTIFS(m_teacher,E$4,m_date,($G$2+4),m_active,1,m_start,"&lt;"&amp;600,m_end,"&gt;"&amp;0)&gt;1,"충돌",HYPERLINK("#'관리자_MASTER'!D"&amp;_xlfn.MAXIFS(m_row,m_teacher,E$4,m_date,($G$2+4),m_active,1,m_start,"&lt;"&amp;600,m_end,"&gt;"&amp;0),INDEX(m_label,_xlfn.MAXIFS(m_row,m_teacher,E$4,m_date,($G$2+4),m_active,1,m_start,"&lt;"&amp;600,m_end,"&gt;"&amp;0))))))</f>
        <v/>
      </c>
      <c r="F49" s="80" t="str">
        <f aca="false">IF(OR(F$4="",MONTH(($G$2+4))&lt;&gt;MONTH($C$2)),"",IF(COUNTIFS(m_teacher,F$4,m_date,($G$2+4),m_active,1,m_start,"&lt;"&amp;600,m_end,"&gt;"&amp;0)=0,"",IF(COUNTIFS(m_teacher,F$4,m_date,($G$2+4),m_active,1,m_start,"&lt;"&amp;600,m_end,"&gt;"&amp;0)&gt;1,"충돌",HYPERLINK("#'관리자_MASTER'!D"&amp;_xlfn.MAXIFS(m_row,m_teacher,F$4,m_date,($G$2+4),m_active,1,m_start,"&lt;"&amp;600,m_end,"&gt;"&amp;0),INDEX(m_label,_xlfn.MAXIFS(m_row,m_teacher,F$4,m_date,($G$2+4),m_active,1,m_start,"&lt;"&amp;600,m_end,"&gt;"&amp;0))))))</f>
        <v/>
      </c>
      <c r="G49" s="80" t="str">
        <f aca="false">IF(OR(G$4="",MONTH(($G$2+4))&lt;&gt;MONTH($C$2)),"",IF(COUNTIFS(m_teacher,G$4,m_date,($G$2+4),m_active,1,m_start,"&lt;"&amp;600,m_end,"&gt;"&amp;0)=0,"",IF(COUNTIFS(m_teacher,G$4,m_date,($G$2+4),m_active,1,m_start,"&lt;"&amp;600,m_end,"&gt;"&amp;0)&gt;1,"충돌",HYPERLINK("#'관리자_MASTER'!D"&amp;_xlfn.MAXIFS(m_row,m_teacher,G$4,m_date,($G$2+4),m_active,1,m_start,"&lt;"&amp;600,m_end,"&gt;"&amp;0),INDEX(m_label,_xlfn.MAXIFS(m_row,m_teacher,G$4,m_date,($G$2+4),m_active,1,m_start,"&lt;"&amp;600,m_end,"&gt;"&amp;0))))))</f>
        <v/>
      </c>
      <c r="H49" s="80" t="str">
        <f aca="false">IF(OR(H$4="",MONTH(($G$2+4))&lt;&gt;MONTH($C$2)),"",IF(COUNTIFS(m_teacher,H$4,m_date,($G$2+4),m_active,1,m_start,"&lt;"&amp;600,m_end,"&gt;"&amp;0)=0,"",IF(COUNTIFS(m_teacher,H$4,m_date,($G$2+4),m_active,1,m_start,"&lt;"&amp;600,m_end,"&gt;"&amp;0)&gt;1,"충돌",HYPERLINK("#'관리자_MASTER'!D"&amp;_xlfn.MAXIFS(m_row,m_teacher,H$4,m_date,($G$2+4),m_active,1,m_start,"&lt;"&amp;600,m_end,"&gt;"&amp;0),INDEX(m_label,_xlfn.MAXIFS(m_row,m_teacher,H$4,m_date,($G$2+4),m_active,1,m_start,"&lt;"&amp;600,m_end,"&gt;"&amp;0))))))</f>
        <v/>
      </c>
      <c r="I49" s="80" t="str">
        <f aca="false">IF(OR(I$4="",MONTH(($G$2+4))&lt;&gt;MONTH($C$2)),"",IF(COUNTIFS(m_teacher,I$4,m_date,($G$2+4),m_active,1,m_start,"&lt;"&amp;600,m_end,"&gt;"&amp;0)=0,"",IF(COUNTIFS(m_teacher,I$4,m_date,($G$2+4),m_active,1,m_start,"&lt;"&amp;600,m_end,"&gt;"&amp;0)&gt;1,"충돌",HYPERLINK("#'관리자_MASTER'!D"&amp;_xlfn.MAXIFS(m_row,m_teacher,I$4,m_date,($G$2+4),m_active,1,m_start,"&lt;"&amp;600,m_end,"&gt;"&amp;0),INDEX(m_label,_xlfn.MAXIFS(m_row,m_teacher,I$4,m_date,($G$2+4),m_active,1,m_start,"&lt;"&amp;600,m_end,"&gt;"&amp;0))))))</f>
        <v/>
      </c>
      <c r="J49" s="80" t="str">
        <f aca="false">IF(OR(J$4="",MONTH(($G$2+4))&lt;&gt;MONTH($C$2)),"",IF(COUNTIFS(m_teacher,J$4,m_date,($G$2+4),m_active,1,m_start,"&lt;"&amp;600,m_end,"&gt;"&amp;0)=0,"",IF(COUNTIFS(m_teacher,J$4,m_date,($G$2+4),m_active,1,m_start,"&lt;"&amp;600,m_end,"&gt;"&amp;0)&gt;1,"충돌",HYPERLINK("#'관리자_MASTER'!D"&amp;_xlfn.MAXIFS(m_row,m_teacher,J$4,m_date,($G$2+4),m_active,1,m_start,"&lt;"&amp;600,m_end,"&gt;"&amp;0),INDEX(m_label,_xlfn.MAXIFS(m_row,m_teacher,J$4,m_date,($G$2+4),m_active,1,m_start,"&lt;"&amp;600,m_end,"&gt;"&amp;0))))))</f>
        <v/>
      </c>
      <c r="K49" s="80" t="str">
        <f aca="false">IF(OR(K$4="",MONTH(($G$2+4))&lt;&gt;MONTH($C$2)),"",IF(COUNTIFS(m_teacher,K$4,m_date,($G$2+4),m_active,1,m_start,"&lt;"&amp;600,m_end,"&gt;"&amp;0)=0,"",IF(COUNTIFS(m_teacher,K$4,m_date,($G$2+4),m_active,1,m_start,"&lt;"&amp;600,m_end,"&gt;"&amp;0)&gt;1,"충돌",HYPERLINK("#'관리자_MASTER'!D"&amp;_xlfn.MAXIFS(m_row,m_teacher,K$4,m_date,($G$2+4),m_active,1,m_start,"&lt;"&amp;600,m_end,"&gt;"&amp;0),INDEX(m_label,_xlfn.MAXIFS(m_row,m_teacher,K$4,m_date,($G$2+4),m_active,1,m_start,"&lt;"&amp;600,m_end,"&gt;"&amp;0))))))</f>
        <v/>
      </c>
      <c r="L49" s="80" t="str">
        <f aca="false">IF(OR(L$4="",MONTH(($G$2+4))&lt;&gt;MONTH($C$2)),"",IF(COUNTIFS(m_teacher,L$4,m_date,($G$2+4),m_active,1,m_start,"&lt;"&amp;600,m_end,"&gt;"&amp;0)=0,"",IF(COUNTIFS(m_teacher,L$4,m_date,($G$2+4),m_active,1,m_start,"&lt;"&amp;600,m_end,"&gt;"&amp;0)&gt;1,"충돌",HYPERLINK("#'관리자_MASTER'!D"&amp;_xlfn.MAXIFS(m_row,m_teacher,L$4,m_date,($G$2+4),m_active,1,m_start,"&lt;"&amp;600,m_end,"&gt;"&amp;0),INDEX(m_label,_xlfn.MAXIFS(m_row,m_teacher,L$4,m_date,($G$2+4),m_active,1,m_start,"&lt;"&amp;600,m_end,"&gt;"&amp;0))))))</f>
        <v/>
      </c>
      <c r="M49" s="80" t="str">
        <f aca="false">IF(OR(M$4="",MONTH(($G$2+4))&lt;&gt;MONTH($C$2)),"",IF(COUNTIFS(m_teacher,M$4,m_date,($G$2+4),m_active,1,m_start,"&lt;"&amp;600,m_end,"&gt;"&amp;0)=0,"",IF(COUNTIFS(m_teacher,M$4,m_date,($G$2+4),m_active,1,m_start,"&lt;"&amp;600,m_end,"&gt;"&amp;0)&gt;1,"충돌",HYPERLINK("#'관리자_MASTER'!D"&amp;_xlfn.MAXIFS(m_row,m_teacher,M$4,m_date,($G$2+4),m_active,1,m_start,"&lt;"&amp;600,m_end,"&gt;"&amp;0),INDEX(m_label,_xlfn.MAXIFS(m_row,m_teacher,M$4,m_date,($G$2+4),m_active,1,m_start,"&lt;"&amp;600,m_end,"&gt;"&amp;0))))))</f>
        <v/>
      </c>
      <c r="N49" s="80" t="str">
        <f aca="false">IF(OR(N$4="",MONTH(($G$2+4))&lt;&gt;MONTH($C$2)),"",IF(COUNTIFS(m_teacher,N$4,m_date,($G$2+4),m_active,1,m_start,"&lt;"&amp;600,m_end,"&gt;"&amp;0)=0,"",IF(COUNTIFS(m_teacher,N$4,m_date,($G$2+4),m_active,1,m_start,"&lt;"&amp;600,m_end,"&gt;"&amp;0)&gt;1,"충돌",HYPERLINK("#'관리자_MASTER'!D"&amp;_xlfn.MAXIFS(m_row,m_teacher,N$4,m_date,($G$2+4),m_active,1,m_start,"&lt;"&amp;600,m_end,"&gt;"&amp;0),INDEX(m_label,_xlfn.MAXIFS(m_row,m_teacher,N$4,m_date,($G$2+4),m_active,1,m_start,"&lt;"&amp;600,m_end,"&gt;"&amp;0))))))</f>
        <v/>
      </c>
      <c r="O49" s="78" t="str">
        <f aca="false">IF(MONTH(($G$2+11))&lt;&gt;MONTH($C$2),"",CHOOSE(WEEKDAY(($G$2+11),2),"월","화","수","목","금","토","일")&amp;CHAR(10)&amp;TEXT(($G$2+11),"m/d"))</f>
        <v>금
1/8</v>
      </c>
      <c r="P49" s="79" t="s">
        <v>91</v>
      </c>
      <c r="Q49" s="80" t="str">
        <f aca="false">IF(OR(Q$4="",MONTH(($G$2+11))&lt;&gt;MONTH($C$2)),"",IF(COUNTIFS(m_teacher,Q$4,m_date,($G$2+11),m_active,1,m_start,"&lt;"&amp;600,m_end,"&gt;"&amp;0)=0,"",IF(COUNTIFS(m_teacher,Q$4,m_date,($G$2+11),m_active,1,m_start,"&lt;"&amp;600,m_end,"&gt;"&amp;0)&gt;1,"충돌",HYPERLINK("#'관리자_MASTER'!D"&amp;_xlfn.MAXIFS(m_row,m_teacher,Q$4,m_date,($G$2+11),m_active,1,m_start,"&lt;"&amp;600,m_end,"&gt;"&amp;0),INDEX(m_label,_xlfn.MAXIFS(m_row,m_teacher,Q$4,m_date,($G$2+11),m_active,1,m_start,"&lt;"&amp;600,m_end,"&gt;"&amp;0))))))</f>
        <v/>
      </c>
      <c r="R49" s="80" t="str">
        <f aca="false">IF(OR(R$4="",MONTH(($G$2+11))&lt;&gt;MONTH($C$2)),"",IF(COUNTIFS(m_teacher,R$4,m_date,($G$2+11),m_active,1,m_start,"&lt;"&amp;600,m_end,"&gt;"&amp;0)=0,"",IF(COUNTIFS(m_teacher,R$4,m_date,($G$2+11),m_active,1,m_start,"&lt;"&amp;600,m_end,"&gt;"&amp;0)&gt;1,"충돌",HYPERLINK("#'관리자_MASTER'!D"&amp;_xlfn.MAXIFS(m_row,m_teacher,R$4,m_date,($G$2+11),m_active,1,m_start,"&lt;"&amp;600,m_end,"&gt;"&amp;0),INDEX(m_label,_xlfn.MAXIFS(m_row,m_teacher,R$4,m_date,($G$2+11),m_active,1,m_start,"&lt;"&amp;600,m_end,"&gt;"&amp;0))))))</f>
        <v/>
      </c>
      <c r="S49" s="80" t="str">
        <f aca="false">IF(OR(S$4="",MONTH(($G$2+11))&lt;&gt;MONTH($C$2)),"",IF(COUNTIFS(m_teacher,S$4,m_date,($G$2+11),m_active,1,m_start,"&lt;"&amp;600,m_end,"&gt;"&amp;0)=0,"",IF(COUNTIFS(m_teacher,S$4,m_date,($G$2+11),m_active,1,m_start,"&lt;"&amp;600,m_end,"&gt;"&amp;0)&gt;1,"충돌",HYPERLINK("#'관리자_MASTER'!D"&amp;_xlfn.MAXIFS(m_row,m_teacher,S$4,m_date,($G$2+11),m_active,1,m_start,"&lt;"&amp;600,m_end,"&gt;"&amp;0),INDEX(m_label,_xlfn.MAXIFS(m_row,m_teacher,S$4,m_date,($G$2+11),m_active,1,m_start,"&lt;"&amp;600,m_end,"&gt;"&amp;0))))))</f>
        <v/>
      </c>
      <c r="T49" s="80" t="str">
        <f aca="false">IF(OR(T$4="",MONTH(($G$2+11))&lt;&gt;MONTH($C$2)),"",IF(COUNTIFS(m_teacher,T$4,m_date,($G$2+11),m_active,1,m_start,"&lt;"&amp;600,m_end,"&gt;"&amp;0)=0,"",IF(COUNTIFS(m_teacher,T$4,m_date,($G$2+11),m_active,1,m_start,"&lt;"&amp;600,m_end,"&gt;"&amp;0)&gt;1,"충돌",HYPERLINK("#'관리자_MASTER'!D"&amp;_xlfn.MAXIFS(m_row,m_teacher,T$4,m_date,($G$2+11),m_active,1,m_start,"&lt;"&amp;600,m_end,"&gt;"&amp;0),INDEX(m_label,_xlfn.MAXIFS(m_row,m_teacher,T$4,m_date,($G$2+11),m_active,1,m_start,"&lt;"&amp;600,m_end,"&gt;"&amp;0))))))</f>
        <v/>
      </c>
      <c r="U49" s="80" t="str">
        <f aca="false">IF(OR(U$4="",MONTH(($G$2+11))&lt;&gt;MONTH($C$2)),"",IF(COUNTIFS(m_teacher,U$4,m_date,($G$2+11),m_active,1,m_start,"&lt;"&amp;600,m_end,"&gt;"&amp;0)=0,"",IF(COUNTIFS(m_teacher,U$4,m_date,($G$2+11),m_active,1,m_start,"&lt;"&amp;600,m_end,"&gt;"&amp;0)&gt;1,"충돌",HYPERLINK("#'관리자_MASTER'!D"&amp;_xlfn.MAXIFS(m_row,m_teacher,U$4,m_date,($G$2+11),m_active,1,m_start,"&lt;"&amp;600,m_end,"&gt;"&amp;0),INDEX(m_label,_xlfn.MAXIFS(m_row,m_teacher,U$4,m_date,($G$2+11),m_active,1,m_start,"&lt;"&amp;600,m_end,"&gt;"&amp;0))))))</f>
        <v/>
      </c>
      <c r="V49" s="80" t="str">
        <f aca="false">IF(OR(V$4="",MONTH(($G$2+11))&lt;&gt;MONTH($C$2)),"",IF(COUNTIFS(m_teacher,V$4,m_date,($G$2+11),m_active,1,m_start,"&lt;"&amp;600,m_end,"&gt;"&amp;0)=0,"",IF(COUNTIFS(m_teacher,V$4,m_date,($G$2+11),m_active,1,m_start,"&lt;"&amp;600,m_end,"&gt;"&amp;0)&gt;1,"충돌",HYPERLINK("#'관리자_MASTER'!D"&amp;_xlfn.MAXIFS(m_row,m_teacher,V$4,m_date,($G$2+11),m_active,1,m_start,"&lt;"&amp;600,m_end,"&gt;"&amp;0),INDEX(m_label,_xlfn.MAXIFS(m_row,m_teacher,V$4,m_date,($G$2+11),m_active,1,m_start,"&lt;"&amp;600,m_end,"&gt;"&amp;0))))))</f>
        <v/>
      </c>
      <c r="W49" s="80" t="str">
        <f aca="false">IF(OR(W$4="",MONTH(($G$2+11))&lt;&gt;MONTH($C$2)),"",IF(COUNTIFS(m_teacher,W$4,m_date,($G$2+11),m_active,1,m_start,"&lt;"&amp;600,m_end,"&gt;"&amp;0)=0,"",IF(COUNTIFS(m_teacher,W$4,m_date,($G$2+11),m_active,1,m_start,"&lt;"&amp;600,m_end,"&gt;"&amp;0)&gt;1,"충돌",HYPERLINK("#'관리자_MASTER'!D"&amp;_xlfn.MAXIFS(m_row,m_teacher,W$4,m_date,($G$2+11),m_active,1,m_start,"&lt;"&amp;600,m_end,"&gt;"&amp;0),INDEX(m_label,_xlfn.MAXIFS(m_row,m_teacher,W$4,m_date,($G$2+11),m_active,1,m_start,"&lt;"&amp;600,m_end,"&gt;"&amp;0))))))</f>
        <v/>
      </c>
      <c r="X49" s="80" t="str">
        <f aca="false">IF(OR(X$4="",MONTH(($G$2+11))&lt;&gt;MONTH($C$2)),"",IF(COUNTIFS(m_teacher,X$4,m_date,($G$2+11),m_active,1,m_start,"&lt;"&amp;600,m_end,"&gt;"&amp;0)=0,"",IF(COUNTIFS(m_teacher,X$4,m_date,($G$2+11),m_active,1,m_start,"&lt;"&amp;600,m_end,"&gt;"&amp;0)&gt;1,"충돌",HYPERLINK("#'관리자_MASTER'!D"&amp;_xlfn.MAXIFS(m_row,m_teacher,X$4,m_date,($G$2+11),m_active,1,m_start,"&lt;"&amp;600,m_end,"&gt;"&amp;0),INDEX(m_label,_xlfn.MAXIFS(m_row,m_teacher,X$4,m_date,($G$2+11),m_active,1,m_start,"&lt;"&amp;600,m_end,"&gt;"&amp;0))))))</f>
        <v/>
      </c>
      <c r="Y49" s="80" t="str">
        <f aca="false">IF(OR(Y$4="",MONTH(($G$2+11))&lt;&gt;MONTH($C$2)),"",IF(COUNTIFS(m_teacher,Y$4,m_date,($G$2+11),m_active,1,m_start,"&lt;"&amp;600,m_end,"&gt;"&amp;0)=0,"",IF(COUNTIFS(m_teacher,Y$4,m_date,($G$2+11),m_active,1,m_start,"&lt;"&amp;600,m_end,"&gt;"&amp;0)&gt;1,"충돌",HYPERLINK("#'관리자_MASTER'!D"&amp;_xlfn.MAXIFS(m_row,m_teacher,Y$4,m_date,($G$2+11),m_active,1,m_start,"&lt;"&amp;600,m_end,"&gt;"&amp;0),INDEX(m_label,_xlfn.MAXIFS(m_row,m_teacher,Y$4,m_date,($G$2+11),m_active,1,m_start,"&lt;"&amp;600,m_end,"&gt;"&amp;0))))))</f>
        <v/>
      </c>
      <c r="Z49" s="80" t="str">
        <f aca="false">IF(OR(Z$4="",MONTH(($G$2+11))&lt;&gt;MONTH($C$2)),"",IF(COUNTIFS(m_teacher,Z$4,m_date,($G$2+11),m_active,1,m_start,"&lt;"&amp;600,m_end,"&gt;"&amp;0)=0,"",IF(COUNTIFS(m_teacher,Z$4,m_date,($G$2+11),m_active,1,m_start,"&lt;"&amp;600,m_end,"&gt;"&amp;0)&gt;1,"충돌",HYPERLINK("#'관리자_MASTER'!D"&amp;_xlfn.MAXIFS(m_row,m_teacher,Z$4,m_date,($G$2+11),m_active,1,m_start,"&lt;"&amp;600,m_end,"&gt;"&amp;0),INDEX(m_label,_xlfn.MAXIFS(m_row,m_teacher,Z$4,m_date,($G$2+11),m_active,1,m_start,"&lt;"&amp;600,m_end,"&gt;"&amp;0))))))</f>
        <v/>
      </c>
      <c r="AA49" s="80" t="str">
        <f aca="false">IF(OR(AA$4="",MONTH(($G$2+11))&lt;&gt;MONTH($C$2)),"",IF(COUNTIFS(m_teacher,AA$4,m_date,($G$2+11),m_active,1,m_start,"&lt;"&amp;600,m_end,"&gt;"&amp;0)=0,"",IF(COUNTIFS(m_teacher,AA$4,m_date,($G$2+11),m_active,1,m_start,"&lt;"&amp;600,m_end,"&gt;"&amp;0)&gt;1,"충돌",HYPERLINK("#'관리자_MASTER'!D"&amp;_xlfn.MAXIFS(m_row,m_teacher,AA$4,m_date,($G$2+11),m_active,1,m_start,"&lt;"&amp;600,m_end,"&gt;"&amp;0),INDEX(m_label,_xlfn.MAXIFS(m_row,m_teacher,AA$4,m_date,($G$2+11),m_active,1,m_start,"&lt;"&amp;600,m_end,"&gt;"&amp;0))))))</f>
        <v/>
      </c>
      <c r="AB49" s="80" t="str">
        <f aca="false">IF(OR(AB$4="",MONTH(($G$2+11))&lt;&gt;MONTH($C$2)),"",IF(COUNTIFS(m_teacher,AB$4,m_date,($G$2+11),m_active,1,m_start,"&lt;"&amp;600,m_end,"&gt;"&amp;0)=0,"",IF(COUNTIFS(m_teacher,AB$4,m_date,($G$2+11),m_active,1,m_start,"&lt;"&amp;600,m_end,"&gt;"&amp;0)&gt;1,"충돌",HYPERLINK("#'관리자_MASTER'!D"&amp;_xlfn.MAXIFS(m_row,m_teacher,AB$4,m_date,($G$2+11),m_active,1,m_start,"&lt;"&amp;600,m_end,"&gt;"&amp;0),INDEX(m_label,_xlfn.MAXIFS(m_row,m_teacher,AB$4,m_date,($G$2+11),m_active,1,m_start,"&lt;"&amp;600,m_end,"&gt;"&amp;0))))))</f>
        <v/>
      </c>
      <c r="AC49" s="78" t="str">
        <f aca="false">IF(MONTH(($G$2+18))&lt;&gt;MONTH($C$2),"",CHOOSE(WEEKDAY(($G$2+18),2),"월","화","수","목","금","토","일")&amp;CHAR(10)&amp;TEXT(($G$2+18),"m/d"))</f>
        <v>금
1/15</v>
      </c>
      <c r="AD49" s="79" t="s">
        <v>91</v>
      </c>
      <c r="AE49" s="80" t="str">
        <f aca="false">IF(OR(AE$4="",MONTH(($G$2+18))&lt;&gt;MONTH($C$2)),"",IF(COUNTIFS(m_teacher,AE$4,m_date,($G$2+18),m_active,1,m_start,"&lt;"&amp;600,m_end,"&gt;"&amp;0)=0,"",IF(COUNTIFS(m_teacher,AE$4,m_date,($G$2+18),m_active,1,m_start,"&lt;"&amp;600,m_end,"&gt;"&amp;0)&gt;1,"충돌",HYPERLINK("#'관리자_MASTER'!D"&amp;_xlfn.MAXIFS(m_row,m_teacher,AE$4,m_date,($G$2+18),m_active,1,m_start,"&lt;"&amp;600,m_end,"&gt;"&amp;0),INDEX(m_label,_xlfn.MAXIFS(m_row,m_teacher,AE$4,m_date,($G$2+18),m_active,1,m_start,"&lt;"&amp;600,m_end,"&gt;"&amp;0))))))</f>
        <v/>
      </c>
      <c r="AF49" s="80" t="str">
        <f aca="false">IF(OR(AF$4="",MONTH(($G$2+18))&lt;&gt;MONTH($C$2)),"",IF(COUNTIFS(m_teacher,AF$4,m_date,($G$2+18),m_active,1,m_start,"&lt;"&amp;600,m_end,"&gt;"&amp;0)=0,"",IF(COUNTIFS(m_teacher,AF$4,m_date,($G$2+18),m_active,1,m_start,"&lt;"&amp;600,m_end,"&gt;"&amp;0)&gt;1,"충돌",HYPERLINK("#'관리자_MASTER'!D"&amp;_xlfn.MAXIFS(m_row,m_teacher,AF$4,m_date,($G$2+18),m_active,1,m_start,"&lt;"&amp;600,m_end,"&gt;"&amp;0),INDEX(m_label,_xlfn.MAXIFS(m_row,m_teacher,AF$4,m_date,($G$2+18),m_active,1,m_start,"&lt;"&amp;600,m_end,"&gt;"&amp;0))))))</f>
        <v/>
      </c>
      <c r="AG49" s="80" t="str">
        <f aca="false">IF(OR(AG$4="",MONTH(($G$2+18))&lt;&gt;MONTH($C$2)),"",IF(COUNTIFS(m_teacher,AG$4,m_date,($G$2+18),m_active,1,m_start,"&lt;"&amp;600,m_end,"&gt;"&amp;0)=0,"",IF(COUNTIFS(m_teacher,AG$4,m_date,($G$2+18),m_active,1,m_start,"&lt;"&amp;600,m_end,"&gt;"&amp;0)&gt;1,"충돌",HYPERLINK("#'관리자_MASTER'!D"&amp;_xlfn.MAXIFS(m_row,m_teacher,AG$4,m_date,($G$2+18),m_active,1,m_start,"&lt;"&amp;600,m_end,"&gt;"&amp;0),INDEX(m_label,_xlfn.MAXIFS(m_row,m_teacher,AG$4,m_date,($G$2+18),m_active,1,m_start,"&lt;"&amp;600,m_end,"&gt;"&amp;0))))))</f>
        <v/>
      </c>
      <c r="AH49" s="80" t="str">
        <f aca="false">IF(OR(AH$4="",MONTH(($G$2+18))&lt;&gt;MONTH($C$2)),"",IF(COUNTIFS(m_teacher,AH$4,m_date,($G$2+18),m_active,1,m_start,"&lt;"&amp;600,m_end,"&gt;"&amp;0)=0,"",IF(COUNTIFS(m_teacher,AH$4,m_date,($G$2+18),m_active,1,m_start,"&lt;"&amp;600,m_end,"&gt;"&amp;0)&gt;1,"충돌",HYPERLINK("#'관리자_MASTER'!D"&amp;_xlfn.MAXIFS(m_row,m_teacher,AH$4,m_date,($G$2+18),m_active,1,m_start,"&lt;"&amp;600,m_end,"&gt;"&amp;0),INDEX(m_label,_xlfn.MAXIFS(m_row,m_teacher,AH$4,m_date,($G$2+18),m_active,1,m_start,"&lt;"&amp;600,m_end,"&gt;"&amp;0))))))</f>
        <v/>
      </c>
      <c r="AI49" s="80" t="str">
        <f aca="false">IF(OR(AI$4="",MONTH(($G$2+18))&lt;&gt;MONTH($C$2)),"",IF(COUNTIFS(m_teacher,AI$4,m_date,($G$2+18),m_active,1,m_start,"&lt;"&amp;600,m_end,"&gt;"&amp;0)=0,"",IF(COUNTIFS(m_teacher,AI$4,m_date,($G$2+18),m_active,1,m_start,"&lt;"&amp;600,m_end,"&gt;"&amp;0)&gt;1,"충돌",HYPERLINK("#'관리자_MASTER'!D"&amp;_xlfn.MAXIFS(m_row,m_teacher,AI$4,m_date,($G$2+18),m_active,1,m_start,"&lt;"&amp;600,m_end,"&gt;"&amp;0),INDEX(m_label,_xlfn.MAXIFS(m_row,m_teacher,AI$4,m_date,($G$2+18),m_active,1,m_start,"&lt;"&amp;600,m_end,"&gt;"&amp;0))))))</f>
        <v/>
      </c>
      <c r="AJ49" s="80" t="str">
        <f aca="false">IF(OR(AJ$4="",MONTH(($G$2+18))&lt;&gt;MONTH($C$2)),"",IF(COUNTIFS(m_teacher,AJ$4,m_date,($G$2+18),m_active,1,m_start,"&lt;"&amp;600,m_end,"&gt;"&amp;0)=0,"",IF(COUNTIFS(m_teacher,AJ$4,m_date,($G$2+18),m_active,1,m_start,"&lt;"&amp;600,m_end,"&gt;"&amp;0)&gt;1,"충돌",HYPERLINK("#'관리자_MASTER'!D"&amp;_xlfn.MAXIFS(m_row,m_teacher,AJ$4,m_date,($G$2+18),m_active,1,m_start,"&lt;"&amp;600,m_end,"&gt;"&amp;0),INDEX(m_label,_xlfn.MAXIFS(m_row,m_teacher,AJ$4,m_date,($G$2+18),m_active,1,m_start,"&lt;"&amp;600,m_end,"&gt;"&amp;0))))))</f>
        <v/>
      </c>
      <c r="AK49" s="80" t="str">
        <f aca="false">IF(OR(AK$4="",MONTH(($G$2+18))&lt;&gt;MONTH($C$2)),"",IF(COUNTIFS(m_teacher,AK$4,m_date,($G$2+18),m_active,1,m_start,"&lt;"&amp;600,m_end,"&gt;"&amp;0)=0,"",IF(COUNTIFS(m_teacher,AK$4,m_date,($G$2+18),m_active,1,m_start,"&lt;"&amp;600,m_end,"&gt;"&amp;0)&gt;1,"충돌",HYPERLINK("#'관리자_MASTER'!D"&amp;_xlfn.MAXIFS(m_row,m_teacher,AK$4,m_date,($G$2+18),m_active,1,m_start,"&lt;"&amp;600,m_end,"&gt;"&amp;0),INDEX(m_label,_xlfn.MAXIFS(m_row,m_teacher,AK$4,m_date,($G$2+18),m_active,1,m_start,"&lt;"&amp;600,m_end,"&gt;"&amp;0))))))</f>
        <v/>
      </c>
      <c r="AL49" s="80" t="str">
        <f aca="false">IF(OR(AL$4="",MONTH(($G$2+18))&lt;&gt;MONTH($C$2)),"",IF(COUNTIFS(m_teacher,AL$4,m_date,($G$2+18),m_active,1,m_start,"&lt;"&amp;600,m_end,"&gt;"&amp;0)=0,"",IF(COUNTIFS(m_teacher,AL$4,m_date,($G$2+18),m_active,1,m_start,"&lt;"&amp;600,m_end,"&gt;"&amp;0)&gt;1,"충돌",HYPERLINK("#'관리자_MASTER'!D"&amp;_xlfn.MAXIFS(m_row,m_teacher,AL$4,m_date,($G$2+18),m_active,1,m_start,"&lt;"&amp;600,m_end,"&gt;"&amp;0),INDEX(m_label,_xlfn.MAXIFS(m_row,m_teacher,AL$4,m_date,($G$2+18),m_active,1,m_start,"&lt;"&amp;600,m_end,"&gt;"&amp;0))))))</f>
        <v/>
      </c>
      <c r="AM49" s="80" t="str">
        <f aca="false">IF(OR(AM$4="",MONTH(($G$2+18))&lt;&gt;MONTH($C$2)),"",IF(COUNTIFS(m_teacher,AM$4,m_date,($G$2+18),m_active,1,m_start,"&lt;"&amp;600,m_end,"&gt;"&amp;0)=0,"",IF(COUNTIFS(m_teacher,AM$4,m_date,($G$2+18),m_active,1,m_start,"&lt;"&amp;600,m_end,"&gt;"&amp;0)&gt;1,"충돌",HYPERLINK("#'관리자_MASTER'!D"&amp;_xlfn.MAXIFS(m_row,m_teacher,AM$4,m_date,($G$2+18),m_active,1,m_start,"&lt;"&amp;600,m_end,"&gt;"&amp;0),INDEX(m_label,_xlfn.MAXIFS(m_row,m_teacher,AM$4,m_date,($G$2+18),m_active,1,m_start,"&lt;"&amp;600,m_end,"&gt;"&amp;0))))))</f>
        <v/>
      </c>
      <c r="AN49" s="80" t="str">
        <f aca="false">IF(OR(AN$4="",MONTH(($G$2+18))&lt;&gt;MONTH($C$2)),"",IF(COUNTIFS(m_teacher,AN$4,m_date,($G$2+18),m_active,1,m_start,"&lt;"&amp;600,m_end,"&gt;"&amp;0)=0,"",IF(COUNTIFS(m_teacher,AN$4,m_date,($G$2+18),m_active,1,m_start,"&lt;"&amp;600,m_end,"&gt;"&amp;0)&gt;1,"충돌",HYPERLINK("#'관리자_MASTER'!D"&amp;_xlfn.MAXIFS(m_row,m_teacher,AN$4,m_date,($G$2+18),m_active,1,m_start,"&lt;"&amp;600,m_end,"&gt;"&amp;0),INDEX(m_label,_xlfn.MAXIFS(m_row,m_teacher,AN$4,m_date,($G$2+18),m_active,1,m_start,"&lt;"&amp;600,m_end,"&gt;"&amp;0))))))</f>
        <v/>
      </c>
      <c r="AO49" s="80" t="str">
        <f aca="false">IF(OR(AO$4="",MONTH(($G$2+18))&lt;&gt;MONTH($C$2)),"",IF(COUNTIFS(m_teacher,AO$4,m_date,($G$2+18),m_active,1,m_start,"&lt;"&amp;600,m_end,"&gt;"&amp;0)=0,"",IF(COUNTIFS(m_teacher,AO$4,m_date,($G$2+18),m_active,1,m_start,"&lt;"&amp;600,m_end,"&gt;"&amp;0)&gt;1,"충돌",HYPERLINK("#'관리자_MASTER'!D"&amp;_xlfn.MAXIFS(m_row,m_teacher,AO$4,m_date,($G$2+18),m_active,1,m_start,"&lt;"&amp;600,m_end,"&gt;"&amp;0),INDEX(m_label,_xlfn.MAXIFS(m_row,m_teacher,AO$4,m_date,($G$2+18),m_active,1,m_start,"&lt;"&amp;600,m_end,"&gt;"&amp;0))))))</f>
        <v/>
      </c>
      <c r="AP49" s="80" t="str">
        <f aca="false">IF(OR(AP$4="",MONTH(($G$2+18))&lt;&gt;MONTH($C$2)),"",IF(COUNTIFS(m_teacher,AP$4,m_date,($G$2+18),m_active,1,m_start,"&lt;"&amp;600,m_end,"&gt;"&amp;0)=0,"",IF(COUNTIFS(m_teacher,AP$4,m_date,($G$2+18),m_active,1,m_start,"&lt;"&amp;600,m_end,"&gt;"&amp;0)&gt;1,"충돌",HYPERLINK("#'관리자_MASTER'!D"&amp;_xlfn.MAXIFS(m_row,m_teacher,AP$4,m_date,($G$2+18),m_active,1,m_start,"&lt;"&amp;600,m_end,"&gt;"&amp;0),INDEX(m_label,_xlfn.MAXIFS(m_row,m_teacher,AP$4,m_date,($G$2+18),m_active,1,m_start,"&lt;"&amp;600,m_end,"&gt;"&amp;0))))))</f>
        <v/>
      </c>
      <c r="AQ49" s="78" t="str">
        <f aca="false">IF(MONTH(($G$2+25))&lt;&gt;MONTH($C$2),"",CHOOSE(WEEKDAY(($G$2+25),2),"월","화","수","목","금","토","일")&amp;CHAR(10)&amp;TEXT(($G$2+25),"m/d"))</f>
        <v>금
1/22</v>
      </c>
      <c r="AR49" s="79" t="s">
        <v>91</v>
      </c>
      <c r="AS49" s="80" t="str">
        <f aca="false">IF(OR(AS$4="",MONTH(($G$2+25))&lt;&gt;MONTH($C$2)),"",IF(COUNTIFS(m_teacher,AS$4,m_date,($G$2+25),m_active,1,m_start,"&lt;"&amp;600,m_end,"&gt;"&amp;0)=0,"",IF(COUNTIFS(m_teacher,AS$4,m_date,($G$2+25),m_active,1,m_start,"&lt;"&amp;600,m_end,"&gt;"&amp;0)&gt;1,"충돌",HYPERLINK("#'관리자_MASTER'!D"&amp;_xlfn.MAXIFS(m_row,m_teacher,AS$4,m_date,($G$2+25),m_active,1,m_start,"&lt;"&amp;600,m_end,"&gt;"&amp;0),INDEX(m_label,_xlfn.MAXIFS(m_row,m_teacher,AS$4,m_date,($G$2+25),m_active,1,m_start,"&lt;"&amp;600,m_end,"&gt;"&amp;0))))))</f>
        <v/>
      </c>
      <c r="AT49" s="80" t="str">
        <f aca="false">IF(OR(AT$4="",MONTH(($G$2+25))&lt;&gt;MONTH($C$2)),"",IF(COUNTIFS(m_teacher,AT$4,m_date,($G$2+25),m_active,1,m_start,"&lt;"&amp;600,m_end,"&gt;"&amp;0)=0,"",IF(COUNTIFS(m_teacher,AT$4,m_date,($G$2+25),m_active,1,m_start,"&lt;"&amp;600,m_end,"&gt;"&amp;0)&gt;1,"충돌",HYPERLINK("#'관리자_MASTER'!D"&amp;_xlfn.MAXIFS(m_row,m_teacher,AT$4,m_date,($G$2+25),m_active,1,m_start,"&lt;"&amp;600,m_end,"&gt;"&amp;0),INDEX(m_label,_xlfn.MAXIFS(m_row,m_teacher,AT$4,m_date,($G$2+25),m_active,1,m_start,"&lt;"&amp;600,m_end,"&gt;"&amp;0))))))</f>
        <v/>
      </c>
      <c r="AU49" s="80" t="str">
        <f aca="false">IF(OR(AU$4="",MONTH(($G$2+25))&lt;&gt;MONTH($C$2)),"",IF(COUNTIFS(m_teacher,AU$4,m_date,($G$2+25),m_active,1,m_start,"&lt;"&amp;600,m_end,"&gt;"&amp;0)=0,"",IF(COUNTIFS(m_teacher,AU$4,m_date,($G$2+25),m_active,1,m_start,"&lt;"&amp;600,m_end,"&gt;"&amp;0)&gt;1,"충돌",HYPERLINK("#'관리자_MASTER'!D"&amp;_xlfn.MAXIFS(m_row,m_teacher,AU$4,m_date,($G$2+25),m_active,1,m_start,"&lt;"&amp;600,m_end,"&gt;"&amp;0),INDEX(m_label,_xlfn.MAXIFS(m_row,m_teacher,AU$4,m_date,($G$2+25),m_active,1,m_start,"&lt;"&amp;600,m_end,"&gt;"&amp;0))))))</f>
        <v/>
      </c>
      <c r="AV49" s="80" t="str">
        <f aca="false">IF(OR(AV$4="",MONTH(($G$2+25))&lt;&gt;MONTH($C$2)),"",IF(COUNTIFS(m_teacher,AV$4,m_date,($G$2+25),m_active,1,m_start,"&lt;"&amp;600,m_end,"&gt;"&amp;0)=0,"",IF(COUNTIFS(m_teacher,AV$4,m_date,($G$2+25),m_active,1,m_start,"&lt;"&amp;600,m_end,"&gt;"&amp;0)&gt;1,"충돌",HYPERLINK("#'관리자_MASTER'!D"&amp;_xlfn.MAXIFS(m_row,m_teacher,AV$4,m_date,($G$2+25),m_active,1,m_start,"&lt;"&amp;600,m_end,"&gt;"&amp;0),INDEX(m_label,_xlfn.MAXIFS(m_row,m_teacher,AV$4,m_date,($G$2+25),m_active,1,m_start,"&lt;"&amp;600,m_end,"&gt;"&amp;0))))))</f>
        <v/>
      </c>
      <c r="AW49" s="80" t="str">
        <f aca="false">IF(OR(AW$4="",MONTH(($G$2+25))&lt;&gt;MONTH($C$2)),"",IF(COUNTIFS(m_teacher,AW$4,m_date,($G$2+25),m_active,1,m_start,"&lt;"&amp;600,m_end,"&gt;"&amp;0)=0,"",IF(COUNTIFS(m_teacher,AW$4,m_date,($G$2+25),m_active,1,m_start,"&lt;"&amp;600,m_end,"&gt;"&amp;0)&gt;1,"충돌",HYPERLINK("#'관리자_MASTER'!D"&amp;_xlfn.MAXIFS(m_row,m_teacher,AW$4,m_date,($G$2+25),m_active,1,m_start,"&lt;"&amp;600,m_end,"&gt;"&amp;0),INDEX(m_label,_xlfn.MAXIFS(m_row,m_teacher,AW$4,m_date,($G$2+25),m_active,1,m_start,"&lt;"&amp;600,m_end,"&gt;"&amp;0))))))</f>
        <v/>
      </c>
      <c r="AX49" s="80" t="str">
        <f aca="false">IF(OR(AX$4="",MONTH(($G$2+25))&lt;&gt;MONTH($C$2)),"",IF(COUNTIFS(m_teacher,AX$4,m_date,($G$2+25),m_active,1,m_start,"&lt;"&amp;600,m_end,"&gt;"&amp;0)=0,"",IF(COUNTIFS(m_teacher,AX$4,m_date,($G$2+25),m_active,1,m_start,"&lt;"&amp;600,m_end,"&gt;"&amp;0)&gt;1,"충돌",HYPERLINK("#'관리자_MASTER'!D"&amp;_xlfn.MAXIFS(m_row,m_teacher,AX$4,m_date,($G$2+25),m_active,1,m_start,"&lt;"&amp;600,m_end,"&gt;"&amp;0),INDEX(m_label,_xlfn.MAXIFS(m_row,m_teacher,AX$4,m_date,($G$2+25),m_active,1,m_start,"&lt;"&amp;600,m_end,"&gt;"&amp;0))))))</f>
        <v/>
      </c>
      <c r="AY49" s="80" t="str">
        <f aca="false">IF(OR(AY$4="",MONTH(($G$2+25))&lt;&gt;MONTH($C$2)),"",IF(COUNTIFS(m_teacher,AY$4,m_date,($G$2+25),m_active,1,m_start,"&lt;"&amp;600,m_end,"&gt;"&amp;0)=0,"",IF(COUNTIFS(m_teacher,AY$4,m_date,($G$2+25),m_active,1,m_start,"&lt;"&amp;600,m_end,"&gt;"&amp;0)&gt;1,"충돌",HYPERLINK("#'관리자_MASTER'!D"&amp;_xlfn.MAXIFS(m_row,m_teacher,AY$4,m_date,($G$2+25),m_active,1,m_start,"&lt;"&amp;600,m_end,"&gt;"&amp;0),INDEX(m_label,_xlfn.MAXIFS(m_row,m_teacher,AY$4,m_date,($G$2+25),m_active,1,m_start,"&lt;"&amp;600,m_end,"&gt;"&amp;0))))))</f>
        <v/>
      </c>
      <c r="AZ49" s="80" t="str">
        <f aca="false">IF(OR(AZ$4="",MONTH(($G$2+25))&lt;&gt;MONTH($C$2)),"",IF(COUNTIFS(m_teacher,AZ$4,m_date,($G$2+25),m_active,1,m_start,"&lt;"&amp;600,m_end,"&gt;"&amp;0)=0,"",IF(COUNTIFS(m_teacher,AZ$4,m_date,($G$2+25),m_active,1,m_start,"&lt;"&amp;600,m_end,"&gt;"&amp;0)&gt;1,"충돌",HYPERLINK("#'관리자_MASTER'!D"&amp;_xlfn.MAXIFS(m_row,m_teacher,AZ$4,m_date,($G$2+25),m_active,1,m_start,"&lt;"&amp;600,m_end,"&gt;"&amp;0),INDEX(m_label,_xlfn.MAXIFS(m_row,m_teacher,AZ$4,m_date,($G$2+25),m_active,1,m_start,"&lt;"&amp;600,m_end,"&gt;"&amp;0))))))</f>
        <v/>
      </c>
      <c r="BA49" s="80" t="str">
        <f aca="false">IF(OR(BA$4="",MONTH(($G$2+25))&lt;&gt;MONTH($C$2)),"",IF(COUNTIFS(m_teacher,BA$4,m_date,($G$2+25),m_active,1,m_start,"&lt;"&amp;600,m_end,"&gt;"&amp;0)=0,"",IF(COUNTIFS(m_teacher,BA$4,m_date,($G$2+25),m_active,1,m_start,"&lt;"&amp;600,m_end,"&gt;"&amp;0)&gt;1,"충돌",HYPERLINK("#'관리자_MASTER'!D"&amp;_xlfn.MAXIFS(m_row,m_teacher,BA$4,m_date,($G$2+25),m_active,1,m_start,"&lt;"&amp;600,m_end,"&gt;"&amp;0),INDEX(m_label,_xlfn.MAXIFS(m_row,m_teacher,BA$4,m_date,($G$2+25),m_active,1,m_start,"&lt;"&amp;600,m_end,"&gt;"&amp;0))))))</f>
        <v/>
      </c>
      <c r="BB49" s="80" t="str">
        <f aca="false">IF(OR(BB$4="",MONTH(($G$2+25))&lt;&gt;MONTH($C$2)),"",IF(COUNTIFS(m_teacher,BB$4,m_date,($G$2+25),m_active,1,m_start,"&lt;"&amp;600,m_end,"&gt;"&amp;0)=0,"",IF(COUNTIFS(m_teacher,BB$4,m_date,($G$2+25),m_active,1,m_start,"&lt;"&amp;600,m_end,"&gt;"&amp;0)&gt;1,"충돌",HYPERLINK("#'관리자_MASTER'!D"&amp;_xlfn.MAXIFS(m_row,m_teacher,BB$4,m_date,($G$2+25),m_active,1,m_start,"&lt;"&amp;600,m_end,"&gt;"&amp;0),INDEX(m_label,_xlfn.MAXIFS(m_row,m_teacher,BB$4,m_date,($G$2+25),m_active,1,m_start,"&lt;"&amp;600,m_end,"&gt;"&amp;0))))))</f>
        <v/>
      </c>
      <c r="BC49" s="80" t="str">
        <f aca="false">IF(OR(BC$4="",MONTH(($G$2+25))&lt;&gt;MONTH($C$2)),"",IF(COUNTIFS(m_teacher,BC$4,m_date,($G$2+25),m_active,1,m_start,"&lt;"&amp;600,m_end,"&gt;"&amp;0)=0,"",IF(COUNTIFS(m_teacher,BC$4,m_date,($G$2+25),m_active,1,m_start,"&lt;"&amp;600,m_end,"&gt;"&amp;0)&gt;1,"충돌",HYPERLINK("#'관리자_MASTER'!D"&amp;_xlfn.MAXIFS(m_row,m_teacher,BC$4,m_date,($G$2+25),m_active,1,m_start,"&lt;"&amp;600,m_end,"&gt;"&amp;0),INDEX(m_label,_xlfn.MAXIFS(m_row,m_teacher,BC$4,m_date,($G$2+25),m_active,1,m_start,"&lt;"&amp;600,m_end,"&gt;"&amp;0))))))</f>
        <v/>
      </c>
      <c r="BD49" s="80" t="str">
        <f aca="false">IF(OR(BD$4="",MONTH(($G$2+25))&lt;&gt;MONTH($C$2)),"",IF(COUNTIFS(m_teacher,BD$4,m_date,($G$2+25),m_active,1,m_start,"&lt;"&amp;600,m_end,"&gt;"&amp;0)=0,"",IF(COUNTIFS(m_teacher,BD$4,m_date,($G$2+25),m_active,1,m_start,"&lt;"&amp;600,m_end,"&gt;"&amp;0)&gt;1,"충돌",HYPERLINK("#'관리자_MASTER'!D"&amp;_xlfn.MAXIFS(m_row,m_teacher,BD$4,m_date,($G$2+25),m_active,1,m_start,"&lt;"&amp;600,m_end,"&gt;"&amp;0),INDEX(m_label,_xlfn.MAXIFS(m_row,m_teacher,BD$4,m_date,($G$2+25),m_active,1,m_start,"&lt;"&amp;600,m_end,"&gt;"&amp;0))))))</f>
        <v/>
      </c>
      <c r="BE49" s="78" t="str">
        <f aca="false">IF(MONTH(($G$2+32))&lt;&gt;MONTH($C$2),"",CHOOSE(WEEKDAY(($G$2+32),2),"월","화","수","목","금","토","일")&amp;CHAR(10)&amp;TEXT(($G$2+32),"m/d"))</f>
        <v>금
1/29</v>
      </c>
      <c r="BF49" s="79" t="s">
        <v>91</v>
      </c>
      <c r="BG49" s="80" t="str">
        <f aca="false">IF(OR(BG$4="",MONTH(($G$2+32))&lt;&gt;MONTH($C$2)),"",IF(COUNTIFS(m_teacher,BG$4,m_date,($G$2+32),m_active,1,m_start,"&lt;"&amp;600,m_end,"&gt;"&amp;0)=0,"",IF(COUNTIFS(m_teacher,BG$4,m_date,($G$2+32),m_active,1,m_start,"&lt;"&amp;600,m_end,"&gt;"&amp;0)&gt;1,"충돌",HYPERLINK("#'관리자_MASTER'!D"&amp;_xlfn.MAXIFS(m_row,m_teacher,BG$4,m_date,($G$2+32),m_active,1,m_start,"&lt;"&amp;600,m_end,"&gt;"&amp;0),INDEX(m_label,_xlfn.MAXIFS(m_row,m_teacher,BG$4,m_date,($G$2+32),m_active,1,m_start,"&lt;"&amp;600,m_end,"&gt;"&amp;0))))))</f>
        <v/>
      </c>
      <c r="BH49" s="80" t="str">
        <f aca="false">IF(OR(BH$4="",MONTH(($G$2+32))&lt;&gt;MONTH($C$2)),"",IF(COUNTIFS(m_teacher,BH$4,m_date,($G$2+32),m_active,1,m_start,"&lt;"&amp;600,m_end,"&gt;"&amp;0)=0,"",IF(COUNTIFS(m_teacher,BH$4,m_date,($G$2+32),m_active,1,m_start,"&lt;"&amp;600,m_end,"&gt;"&amp;0)&gt;1,"충돌",HYPERLINK("#'관리자_MASTER'!D"&amp;_xlfn.MAXIFS(m_row,m_teacher,BH$4,m_date,($G$2+32),m_active,1,m_start,"&lt;"&amp;600,m_end,"&gt;"&amp;0),INDEX(m_label,_xlfn.MAXIFS(m_row,m_teacher,BH$4,m_date,($G$2+32),m_active,1,m_start,"&lt;"&amp;600,m_end,"&gt;"&amp;0))))))</f>
        <v/>
      </c>
      <c r="BI49" s="80" t="str">
        <f aca="false">IF(OR(BI$4="",MONTH(($G$2+32))&lt;&gt;MONTH($C$2)),"",IF(COUNTIFS(m_teacher,BI$4,m_date,($G$2+32),m_active,1,m_start,"&lt;"&amp;600,m_end,"&gt;"&amp;0)=0,"",IF(COUNTIFS(m_teacher,BI$4,m_date,($G$2+32),m_active,1,m_start,"&lt;"&amp;600,m_end,"&gt;"&amp;0)&gt;1,"충돌",HYPERLINK("#'관리자_MASTER'!D"&amp;_xlfn.MAXIFS(m_row,m_teacher,BI$4,m_date,($G$2+32),m_active,1,m_start,"&lt;"&amp;600,m_end,"&gt;"&amp;0),INDEX(m_label,_xlfn.MAXIFS(m_row,m_teacher,BI$4,m_date,($G$2+32),m_active,1,m_start,"&lt;"&amp;600,m_end,"&gt;"&amp;0))))))</f>
        <v/>
      </c>
      <c r="BJ49" s="80" t="str">
        <f aca="false">IF(OR(BJ$4="",MONTH(($G$2+32))&lt;&gt;MONTH($C$2)),"",IF(COUNTIFS(m_teacher,BJ$4,m_date,($G$2+32),m_active,1,m_start,"&lt;"&amp;600,m_end,"&gt;"&amp;0)=0,"",IF(COUNTIFS(m_teacher,BJ$4,m_date,($G$2+32),m_active,1,m_start,"&lt;"&amp;600,m_end,"&gt;"&amp;0)&gt;1,"충돌",HYPERLINK("#'관리자_MASTER'!D"&amp;_xlfn.MAXIFS(m_row,m_teacher,BJ$4,m_date,($G$2+32),m_active,1,m_start,"&lt;"&amp;600,m_end,"&gt;"&amp;0),INDEX(m_label,_xlfn.MAXIFS(m_row,m_teacher,BJ$4,m_date,($G$2+32),m_active,1,m_start,"&lt;"&amp;600,m_end,"&gt;"&amp;0))))))</f>
        <v/>
      </c>
      <c r="BK49" s="80" t="str">
        <f aca="false">IF(OR(BK$4="",MONTH(($G$2+32))&lt;&gt;MONTH($C$2)),"",IF(COUNTIFS(m_teacher,BK$4,m_date,($G$2+32),m_active,1,m_start,"&lt;"&amp;600,m_end,"&gt;"&amp;0)=0,"",IF(COUNTIFS(m_teacher,BK$4,m_date,($G$2+32),m_active,1,m_start,"&lt;"&amp;600,m_end,"&gt;"&amp;0)&gt;1,"충돌",HYPERLINK("#'관리자_MASTER'!D"&amp;_xlfn.MAXIFS(m_row,m_teacher,BK$4,m_date,($G$2+32),m_active,1,m_start,"&lt;"&amp;600,m_end,"&gt;"&amp;0),INDEX(m_label,_xlfn.MAXIFS(m_row,m_teacher,BK$4,m_date,($G$2+32),m_active,1,m_start,"&lt;"&amp;600,m_end,"&gt;"&amp;0))))))</f>
        <v/>
      </c>
      <c r="BL49" s="80" t="str">
        <f aca="false">IF(OR(BL$4="",MONTH(($G$2+32))&lt;&gt;MONTH($C$2)),"",IF(COUNTIFS(m_teacher,BL$4,m_date,($G$2+32),m_active,1,m_start,"&lt;"&amp;600,m_end,"&gt;"&amp;0)=0,"",IF(COUNTIFS(m_teacher,BL$4,m_date,($G$2+32),m_active,1,m_start,"&lt;"&amp;600,m_end,"&gt;"&amp;0)&gt;1,"충돌",HYPERLINK("#'관리자_MASTER'!D"&amp;_xlfn.MAXIFS(m_row,m_teacher,BL$4,m_date,($G$2+32),m_active,1,m_start,"&lt;"&amp;600,m_end,"&gt;"&amp;0),INDEX(m_label,_xlfn.MAXIFS(m_row,m_teacher,BL$4,m_date,($G$2+32),m_active,1,m_start,"&lt;"&amp;600,m_end,"&gt;"&amp;0))))))</f>
        <v/>
      </c>
      <c r="BM49" s="80" t="str">
        <f aca="false">IF(OR(BM$4="",MONTH(($G$2+32))&lt;&gt;MONTH($C$2)),"",IF(COUNTIFS(m_teacher,BM$4,m_date,($G$2+32),m_active,1,m_start,"&lt;"&amp;600,m_end,"&gt;"&amp;0)=0,"",IF(COUNTIFS(m_teacher,BM$4,m_date,($G$2+32),m_active,1,m_start,"&lt;"&amp;600,m_end,"&gt;"&amp;0)&gt;1,"충돌",HYPERLINK("#'관리자_MASTER'!D"&amp;_xlfn.MAXIFS(m_row,m_teacher,BM$4,m_date,($G$2+32),m_active,1,m_start,"&lt;"&amp;600,m_end,"&gt;"&amp;0),INDEX(m_label,_xlfn.MAXIFS(m_row,m_teacher,BM$4,m_date,($G$2+32),m_active,1,m_start,"&lt;"&amp;600,m_end,"&gt;"&amp;0))))))</f>
        <v/>
      </c>
      <c r="BN49" s="80" t="str">
        <f aca="false">IF(OR(BN$4="",MONTH(($G$2+32))&lt;&gt;MONTH($C$2)),"",IF(COUNTIFS(m_teacher,BN$4,m_date,($G$2+32),m_active,1,m_start,"&lt;"&amp;600,m_end,"&gt;"&amp;0)=0,"",IF(COUNTIFS(m_teacher,BN$4,m_date,($G$2+32),m_active,1,m_start,"&lt;"&amp;600,m_end,"&gt;"&amp;0)&gt;1,"충돌",HYPERLINK("#'관리자_MASTER'!D"&amp;_xlfn.MAXIFS(m_row,m_teacher,BN$4,m_date,($G$2+32),m_active,1,m_start,"&lt;"&amp;600,m_end,"&gt;"&amp;0),INDEX(m_label,_xlfn.MAXIFS(m_row,m_teacher,BN$4,m_date,($G$2+32),m_active,1,m_start,"&lt;"&amp;600,m_end,"&gt;"&amp;0))))))</f>
        <v/>
      </c>
      <c r="BO49" s="80" t="str">
        <f aca="false">IF(OR(BO$4="",MONTH(($G$2+32))&lt;&gt;MONTH($C$2)),"",IF(COUNTIFS(m_teacher,BO$4,m_date,($G$2+32),m_active,1,m_start,"&lt;"&amp;600,m_end,"&gt;"&amp;0)=0,"",IF(COUNTIFS(m_teacher,BO$4,m_date,($G$2+32),m_active,1,m_start,"&lt;"&amp;600,m_end,"&gt;"&amp;0)&gt;1,"충돌",HYPERLINK("#'관리자_MASTER'!D"&amp;_xlfn.MAXIFS(m_row,m_teacher,BO$4,m_date,($G$2+32),m_active,1,m_start,"&lt;"&amp;600,m_end,"&gt;"&amp;0),INDEX(m_label,_xlfn.MAXIFS(m_row,m_teacher,BO$4,m_date,($G$2+32),m_active,1,m_start,"&lt;"&amp;600,m_end,"&gt;"&amp;0))))))</f>
        <v/>
      </c>
      <c r="BP49" s="80" t="str">
        <f aca="false">IF(OR(BP$4="",MONTH(($G$2+32))&lt;&gt;MONTH($C$2)),"",IF(COUNTIFS(m_teacher,BP$4,m_date,($G$2+32),m_active,1,m_start,"&lt;"&amp;600,m_end,"&gt;"&amp;0)=0,"",IF(COUNTIFS(m_teacher,BP$4,m_date,($G$2+32),m_active,1,m_start,"&lt;"&amp;600,m_end,"&gt;"&amp;0)&gt;1,"충돌",HYPERLINK("#'관리자_MASTER'!D"&amp;_xlfn.MAXIFS(m_row,m_teacher,BP$4,m_date,($G$2+32),m_active,1,m_start,"&lt;"&amp;600,m_end,"&gt;"&amp;0),INDEX(m_label,_xlfn.MAXIFS(m_row,m_teacher,BP$4,m_date,($G$2+32),m_active,1,m_start,"&lt;"&amp;600,m_end,"&gt;"&amp;0))))))</f>
        <v/>
      </c>
      <c r="BQ49" s="80" t="str">
        <f aca="false">IF(OR(BQ$4="",MONTH(($G$2+32))&lt;&gt;MONTH($C$2)),"",IF(COUNTIFS(m_teacher,BQ$4,m_date,($G$2+32),m_active,1,m_start,"&lt;"&amp;600,m_end,"&gt;"&amp;0)=0,"",IF(COUNTIFS(m_teacher,BQ$4,m_date,($G$2+32),m_active,1,m_start,"&lt;"&amp;600,m_end,"&gt;"&amp;0)&gt;1,"충돌",HYPERLINK("#'관리자_MASTER'!D"&amp;_xlfn.MAXIFS(m_row,m_teacher,BQ$4,m_date,($G$2+32),m_active,1,m_start,"&lt;"&amp;600,m_end,"&gt;"&amp;0),INDEX(m_label,_xlfn.MAXIFS(m_row,m_teacher,BQ$4,m_date,($G$2+32),m_active,1,m_start,"&lt;"&amp;600,m_end,"&gt;"&amp;0))))))</f>
        <v/>
      </c>
      <c r="BR49" s="80" t="str">
        <f aca="false">IF(OR(BR$4="",MONTH(($G$2+32))&lt;&gt;MONTH($C$2)),"",IF(COUNTIFS(m_teacher,BR$4,m_date,($G$2+32),m_active,1,m_start,"&lt;"&amp;600,m_end,"&gt;"&amp;0)=0,"",IF(COUNTIFS(m_teacher,BR$4,m_date,($G$2+32),m_active,1,m_start,"&lt;"&amp;600,m_end,"&gt;"&amp;0)&gt;1,"충돌",HYPERLINK("#'관리자_MASTER'!D"&amp;_xlfn.MAXIFS(m_row,m_teacher,BR$4,m_date,($G$2+32),m_active,1,m_start,"&lt;"&amp;600,m_end,"&gt;"&amp;0),INDEX(m_label,_xlfn.MAXIFS(m_row,m_teacher,BR$4,m_date,($G$2+32),m_active,1,m_start,"&lt;"&amp;600,m_end,"&gt;"&amp;0))))))</f>
        <v/>
      </c>
    </row>
    <row r="50" customFormat="false" ht="19.5" hidden="false" customHeight="true" outlineLevel="0" collapsed="false">
      <c r="A50" s="78"/>
      <c r="B50" s="79" t="s">
        <v>92</v>
      </c>
      <c r="C50" s="82" t="str">
        <f aca="false">IF(OR(C$4="",MONTH(($G$2+4))&lt;&gt;MONTH($C$2)),"",IF(COUNTIFS(m_teacher,C$4,m_date,($G$2+4),m_active,1,m_start,"&lt;"&amp;660,m_end,"&gt;"&amp;600)=0,"",IF(COUNTIFS(m_teacher,C$4,m_date,($G$2+4),m_active,1,m_start,"&lt;"&amp;660,m_end,"&gt;"&amp;600)&gt;1,"충돌",HYPERLINK("#'관리자_MASTER'!D"&amp;_xlfn.MAXIFS(m_row,m_teacher,C$4,m_date,($G$2+4),m_active,1,m_start,"&lt;"&amp;660,m_end,"&gt;"&amp;600),INDEX(m_label,_xlfn.MAXIFS(m_row,m_teacher,C$4,m_date,($G$2+4),m_active,1,m_start,"&lt;"&amp;660,m_end,"&gt;"&amp;600))))))</f>
        <v/>
      </c>
      <c r="D50" s="82" t="str">
        <f aca="false">IF(OR(D$4="",MONTH(($G$2+4))&lt;&gt;MONTH($C$2)),"",IF(COUNTIFS(m_teacher,D$4,m_date,($G$2+4),m_active,1,m_start,"&lt;"&amp;660,m_end,"&gt;"&amp;600)=0,"",IF(COUNTIFS(m_teacher,D$4,m_date,($G$2+4),m_active,1,m_start,"&lt;"&amp;660,m_end,"&gt;"&amp;600)&gt;1,"충돌",HYPERLINK("#'관리자_MASTER'!D"&amp;_xlfn.MAXIFS(m_row,m_teacher,D$4,m_date,($G$2+4),m_active,1,m_start,"&lt;"&amp;660,m_end,"&gt;"&amp;600),INDEX(m_label,_xlfn.MAXIFS(m_row,m_teacher,D$4,m_date,($G$2+4),m_active,1,m_start,"&lt;"&amp;660,m_end,"&gt;"&amp;600))))))</f>
        <v/>
      </c>
      <c r="E50" s="82" t="str">
        <f aca="false">IF(OR(E$4="",MONTH(($G$2+4))&lt;&gt;MONTH($C$2)),"",IF(COUNTIFS(m_teacher,E$4,m_date,($G$2+4),m_active,1,m_start,"&lt;"&amp;660,m_end,"&gt;"&amp;600)=0,"",IF(COUNTIFS(m_teacher,E$4,m_date,($G$2+4),m_active,1,m_start,"&lt;"&amp;660,m_end,"&gt;"&amp;600)&gt;1,"충돌",HYPERLINK("#'관리자_MASTER'!D"&amp;_xlfn.MAXIFS(m_row,m_teacher,E$4,m_date,($G$2+4),m_active,1,m_start,"&lt;"&amp;660,m_end,"&gt;"&amp;600),INDEX(m_label,_xlfn.MAXIFS(m_row,m_teacher,E$4,m_date,($G$2+4),m_active,1,m_start,"&lt;"&amp;660,m_end,"&gt;"&amp;600))))))</f>
        <v/>
      </c>
      <c r="F50" s="82" t="str">
        <f aca="false">IF(OR(F$4="",MONTH(($G$2+4))&lt;&gt;MONTH($C$2)),"",IF(COUNTIFS(m_teacher,F$4,m_date,($G$2+4),m_active,1,m_start,"&lt;"&amp;660,m_end,"&gt;"&amp;600)=0,"",IF(COUNTIFS(m_teacher,F$4,m_date,($G$2+4),m_active,1,m_start,"&lt;"&amp;660,m_end,"&gt;"&amp;600)&gt;1,"충돌",HYPERLINK("#'관리자_MASTER'!D"&amp;_xlfn.MAXIFS(m_row,m_teacher,F$4,m_date,($G$2+4),m_active,1,m_start,"&lt;"&amp;660,m_end,"&gt;"&amp;600),INDEX(m_label,_xlfn.MAXIFS(m_row,m_teacher,F$4,m_date,($G$2+4),m_active,1,m_start,"&lt;"&amp;660,m_end,"&gt;"&amp;600))))))</f>
        <v/>
      </c>
      <c r="G50" s="82" t="str">
        <f aca="false">IF(OR(G$4="",MONTH(($G$2+4))&lt;&gt;MONTH($C$2)),"",IF(COUNTIFS(m_teacher,G$4,m_date,($G$2+4),m_active,1,m_start,"&lt;"&amp;660,m_end,"&gt;"&amp;600)=0,"",IF(COUNTIFS(m_teacher,G$4,m_date,($G$2+4),m_active,1,m_start,"&lt;"&amp;660,m_end,"&gt;"&amp;600)&gt;1,"충돌",HYPERLINK("#'관리자_MASTER'!D"&amp;_xlfn.MAXIFS(m_row,m_teacher,G$4,m_date,($G$2+4),m_active,1,m_start,"&lt;"&amp;660,m_end,"&gt;"&amp;600),INDEX(m_label,_xlfn.MAXIFS(m_row,m_teacher,G$4,m_date,($G$2+4),m_active,1,m_start,"&lt;"&amp;660,m_end,"&gt;"&amp;600))))))</f>
        <v/>
      </c>
      <c r="H50" s="82" t="str">
        <f aca="false">IF(OR(H$4="",MONTH(($G$2+4))&lt;&gt;MONTH($C$2)),"",IF(COUNTIFS(m_teacher,H$4,m_date,($G$2+4),m_active,1,m_start,"&lt;"&amp;660,m_end,"&gt;"&amp;600)=0,"",IF(COUNTIFS(m_teacher,H$4,m_date,($G$2+4),m_active,1,m_start,"&lt;"&amp;660,m_end,"&gt;"&amp;600)&gt;1,"충돌",HYPERLINK("#'관리자_MASTER'!D"&amp;_xlfn.MAXIFS(m_row,m_teacher,H$4,m_date,($G$2+4),m_active,1,m_start,"&lt;"&amp;660,m_end,"&gt;"&amp;600),INDEX(m_label,_xlfn.MAXIFS(m_row,m_teacher,H$4,m_date,($G$2+4),m_active,1,m_start,"&lt;"&amp;660,m_end,"&gt;"&amp;600))))))</f>
        <v/>
      </c>
      <c r="I50" s="82" t="str">
        <f aca="false">IF(OR(I$4="",MONTH(($G$2+4))&lt;&gt;MONTH($C$2)),"",IF(COUNTIFS(m_teacher,I$4,m_date,($G$2+4),m_active,1,m_start,"&lt;"&amp;660,m_end,"&gt;"&amp;600)=0,"",IF(COUNTIFS(m_teacher,I$4,m_date,($G$2+4),m_active,1,m_start,"&lt;"&amp;660,m_end,"&gt;"&amp;600)&gt;1,"충돌",HYPERLINK("#'관리자_MASTER'!D"&amp;_xlfn.MAXIFS(m_row,m_teacher,I$4,m_date,($G$2+4),m_active,1,m_start,"&lt;"&amp;660,m_end,"&gt;"&amp;600),INDEX(m_label,_xlfn.MAXIFS(m_row,m_teacher,I$4,m_date,($G$2+4),m_active,1,m_start,"&lt;"&amp;660,m_end,"&gt;"&amp;600))))))</f>
        <v/>
      </c>
      <c r="J50" s="82" t="str">
        <f aca="false">IF(OR(J$4="",MONTH(($G$2+4))&lt;&gt;MONTH($C$2)),"",IF(COUNTIFS(m_teacher,J$4,m_date,($G$2+4),m_active,1,m_start,"&lt;"&amp;660,m_end,"&gt;"&amp;600)=0,"",IF(COUNTIFS(m_teacher,J$4,m_date,($G$2+4),m_active,1,m_start,"&lt;"&amp;660,m_end,"&gt;"&amp;600)&gt;1,"충돌",HYPERLINK("#'관리자_MASTER'!D"&amp;_xlfn.MAXIFS(m_row,m_teacher,J$4,m_date,($G$2+4),m_active,1,m_start,"&lt;"&amp;660,m_end,"&gt;"&amp;600),INDEX(m_label,_xlfn.MAXIFS(m_row,m_teacher,J$4,m_date,($G$2+4),m_active,1,m_start,"&lt;"&amp;660,m_end,"&gt;"&amp;600))))))</f>
        <v/>
      </c>
      <c r="K50" s="82" t="str">
        <f aca="false">IF(OR(K$4="",MONTH(($G$2+4))&lt;&gt;MONTH($C$2)),"",IF(COUNTIFS(m_teacher,K$4,m_date,($G$2+4),m_active,1,m_start,"&lt;"&amp;660,m_end,"&gt;"&amp;600)=0,"",IF(COUNTIFS(m_teacher,K$4,m_date,($G$2+4),m_active,1,m_start,"&lt;"&amp;660,m_end,"&gt;"&amp;600)&gt;1,"충돌",HYPERLINK("#'관리자_MASTER'!D"&amp;_xlfn.MAXIFS(m_row,m_teacher,K$4,m_date,($G$2+4),m_active,1,m_start,"&lt;"&amp;660,m_end,"&gt;"&amp;600),INDEX(m_label,_xlfn.MAXIFS(m_row,m_teacher,K$4,m_date,($G$2+4),m_active,1,m_start,"&lt;"&amp;660,m_end,"&gt;"&amp;600))))))</f>
        <v/>
      </c>
      <c r="L50" s="82" t="str">
        <f aca="false">IF(OR(L$4="",MONTH(($G$2+4))&lt;&gt;MONTH($C$2)),"",IF(COUNTIFS(m_teacher,L$4,m_date,($G$2+4),m_active,1,m_start,"&lt;"&amp;660,m_end,"&gt;"&amp;600)=0,"",IF(COUNTIFS(m_teacher,L$4,m_date,($G$2+4),m_active,1,m_start,"&lt;"&amp;660,m_end,"&gt;"&amp;600)&gt;1,"충돌",HYPERLINK("#'관리자_MASTER'!D"&amp;_xlfn.MAXIFS(m_row,m_teacher,L$4,m_date,($G$2+4),m_active,1,m_start,"&lt;"&amp;660,m_end,"&gt;"&amp;600),INDEX(m_label,_xlfn.MAXIFS(m_row,m_teacher,L$4,m_date,($G$2+4),m_active,1,m_start,"&lt;"&amp;660,m_end,"&gt;"&amp;600))))))</f>
        <v/>
      </c>
      <c r="M50" s="82" t="str">
        <f aca="false">IF(OR(M$4="",MONTH(($G$2+4))&lt;&gt;MONTH($C$2)),"",IF(COUNTIFS(m_teacher,M$4,m_date,($G$2+4),m_active,1,m_start,"&lt;"&amp;660,m_end,"&gt;"&amp;600)=0,"",IF(COUNTIFS(m_teacher,M$4,m_date,($G$2+4),m_active,1,m_start,"&lt;"&amp;660,m_end,"&gt;"&amp;600)&gt;1,"충돌",HYPERLINK("#'관리자_MASTER'!D"&amp;_xlfn.MAXIFS(m_row,m_teacher,M$4,m_date,($G$2+4),m_active,1,m_start,"&lt;"&amp;660,m_end,"&gt;"&amp;600),INDEX(m_label,_xlfn.MAXIFS(m_row,m_teacher,M$4,m_date,($G$2+4),m_active,1,m_start,"&lt;"&amp;660,m_end,"&gt;"&amp;600))))))</f>
        <v/>
      </c>
      <c r="N50" s="82" t="str">
        <f aca="false">IF(OR(N$4="",MONTH(($G$2+4))&lt;&gt;MONTH($C$2)),"",IF(COUNTIFS(m_teacher,N$4,m_date,($G$2+4),m_active,1,m_start,"&lt;"&amp;660,m_end,"&gt;"&amp;600)=0,"",IF(COUNTIFS(m_teacher,N$4,m_date,($G$2+4),m_active,1,m_start,"&lt;"&amp;660,m_end,"&gt;"&amp;600)&gt;1,"충돌",HYPERLINK("#'관리자_MASTER'!D"&amp;_xlfn.MAXIFS(m_row,m_teacher,N$4,m_date,($G$2+4),m_active,1,m_start,"&lt;"&amp;660,m_end,"&gt;"&amp;600),INDEX(m_label,_xlfn.MAXIFS(m_row,m_teacher,N$4,m_date,($G$2+4),m_active,1,m_start,"&lt;"&amp;660,m_end,"&gt;"&amp;600))))))</f>
        <v/>
      </c>
      <c r="O50" s="78"/>
      <c r="P50" s="79" t="s">
        <v>92</v>
      </c>
      <c r="Q50" s="82" t="str">
        <f aca="false">IF(OR(Q$4="",MONTH(($G$2+11))&lt;&gt;MONTH($C$2)),"",IF(COUNTIFS(m_teacher,Q$4,m_date,($G$2+11),m_active,1,m_start,"&lt;"&amp;660,m_end,"&gt;"&amp;600)=0,"",IF(COUNTIFS(m_teacher,Q$4,m_date,($G$2+11),m_active,1,m_start,"&lt;"&amp;660,m_end,"&gt;"&amp;600)&gt;1,"충돌",HYPERLINK("#'관리자_MASTER'!D"&amp;_xlfn.MAXIFS(m_row,m_teacher,Q$4,m_date,($G$2+11),m_active,1,m_start,"&lt;"&amp;660,m_end,"&gt;"&amp;600),INDEX(m_label,_xlfn.MAXIFS(m_row,m_teacher,Q$4,m_date,($G$2+11),m_active,1,m_start,"&lt;"&amp;660,m_end,"&gt;"&amp;600))))))</f>
        <v/>
      </c>
      <c r="R50" s="82" t="str">
        <f aca="false">IF(OR(R$4="",MONTH(($G$2+11))&lt;&gt;MONTH($C$2)),"",IF(COUNTIFS(m_teacher,R$4,m_date,($G$2+11),m_active,1,m_start,"&lt;"&amp;660,m_end,"&gt;"&amp;600)=0,"",IF(COUNTIFS(m_teacher,R$4,m_date,($G$2+11),m_active,1,m_start,"&lt;"&amp;660,m_end,"&gt;"&amp;600)&gt;1,"충돌",HYPERLINK("#'관리자_MASTER'!D"&amp;_xlfn.MAXIFS(m_row,m_teacher,R$4,m_date,($G$2+11),m_active,1,m_start,"&lt;"&amp;660,m_end,"&gt;"&amp;600),INDEX(m_label,_xlfn.MAXIFS(m_row,m_teacher,R$4,m_date,($G$2+11),m_active,1,m_start,"&lt;"&amp;660,m_end,"&gt;"&amp;600))))))</f>
        <v/>
      </c>
      <c r="S50" s="82" t="str">
        <f aca="false">IF(OR(S$4="",MONTH(($G$2+11))&lt;&gt;MONTH($C$2)),"",IF(COUNTIFS(m_teacher,S$4,m_date,($G$2+11),m_active,1,m_start,"&lt;"&amp;660,m_end,"&gt;"&amp;600)=0,"",IF(COUNTIFS(m_teacher,S$4,m_date,($G$2+11),m_active,1,m_start,"&lt;"&amp;660,m_end,"&gt;"&amp;600)&gt;1,"충돌",HYPERLINK("#'관리자_MASTER'!D"&amp;_xlfn.MAXIFS(m_row,m_teacher,S$4,m_date,($G$2+11),m_active,1,m_start,"&lt;"&amp;660,m_end,"&gt;"&amp;600),INDEX(m_label,_xlfn.MAXIFS(m_row,m_teacher,S$4,m_date,($G$2+11),m_active,1,m_start,"&lt;"&amp;660,m_end,"&gt;"&amp;600))))))</f>
        <v/>
      </c>
      <c r="T50" s="82" t="str">
        <f aca="false">IF(OR(T$4="",MONTH(($G$2+11))&lt;&gt;MONTH($C$2)),"",IF(COUNTIFS(m_teacher,T$4,m_date,($G$2+11),m_active,1,m_start,"&lt;"&amp;660,m_end,"&gt;"&amp;600)=0,"",IF(COUNTIFS(m_teacher,T$4,m_date,($G$2+11),m_active,1,m_start,"&lt;"&amp;660,m_end,"&gt;"&amp;600)&gt;1,"충돌",HYPERLINK("#'관리자_MASTER'!D"&amp;_xlfn.MAXIFS(m_row,m_teacher,T$4,m_date,($G$2+11),m_active,1,m_start,"&lt;"&amp;660,m_end,"&gt;"&amp;600),INDEX(m_label,_xlfn.MAXIFS(m_row,m_teacher,T$4,m_date,($G$2+11),m_active,1,m_start,"&lt;"&amp;660,m_end,"&gt;"&amp;600))))))</f>
        <v/>
      </c>
      <c r="U50" s="82" t="str">
        <f aca="false">IF(OR(U$4="",MONTH(($G$2+11))&lt;&gt;MONTH($C$2)),"",IF(COUNTIFS(m_teacher,U$4,m_date,($G$2+11),m_active,1,m_start,"&lt;"&amp;660,m_end,"&gt;"&amp;600)=0,"",IF(COUNTIFS(m_teacher,U$4,m_date,($G$2+11),m_active,1,m_start,"&lt;"&amp;660,m_end,"&gt;"&amp;600)&gt;1,"충돌",HYPERLINK("#'관리자_MASTER'!D"&amp;_xlfn.MAXIFS(m_row,m_teacher,U$4,m_date,($G$2+11),m_active,1,m_start,"&lt;"&amp;660,m_end,"&gt;"&amp;600),INDEX(m_label,_xlfn.MAXIFS(m_row,m_teacher,U$4,m_date,($G$2+11),m_active,1,m_start,"&lt;"&amp;660,m_end,"&gt;"&amp;600))))))</f>
        <v/>
      </c>
      <c r="V50" s="82" t="str">
        <f aca="false">IF(OR(V$4="",MONTH(($G$2+11))&lt;&gt;MONTH($C$2)),"",IF(COUNTIFS(m_teacher,V$4,m_date,($G$2+11),m_active,1,m_start,"&lt;"&amp;660,m_end,"&gt;"&amp;600)=0,"",IF(COUNTIFS(m_teacher,V$4,m_date,($G$2+11),m_active,1,m_start,"&lt;"&amp;660,m_end,"&gt;"&amp;600)&gt;1,"충돌",HYPERLINK("#'관리자_MASTER'!D"&amp;_xlfn.MAXIFS(m_row,m_teacher,V$4,m_date,($G$2+11),m_active,1,m_start,"&lt;"&amp;660,m_end,"&gt;"&amp;600),INDEX(m_label,_xlfn.MAXIFS(m_row,m_teacher,V$4,m_date,($G$2+11),m_active,1,m_start,"&lt;"&amp;660,m_end,"&gt;"&amp;600))))))</f>
        <v/>
      </c>
      <c r="W50" s="82" t="str">
        <f aca="false">IF(OR(W$4="",MONTH(($G$2+11))&lt;&gt;MONTH($C$2)),"",IF(COUNTIFS(m_teacher,W$4,m_date,($G$2+11),m_active,1,m_start,"&lt;"&amp;660,m_end,"&gt;"&amp;600)=0,"",IF(COUNTIFS(m_teacher,W$4,m_date,($G$2+11),m_active,1,m_start,"&lt;"&amp;660,m_end,"&gt;"&amp;600)&gt;1,"충돌",HYPERLINK("#'관리자_MASTER'!D"&amp;_xlfn.MAXIFS(m_row,m_teacher,W$4,m_date,($G$2+11),m_active,1,m_start,"&lt;"&amp;660,m_end,"&gt;"&amp;600),INDEX(m_label,_xlfn.MAXIFS(m_row,m_teacher,W$4,m_date,($G$2+11),m_active,1,m_start,"&lt;"&amp;660,m_end,"&gt;"&amp;600))))))</f>
        <v/>
      </c>
      <c r="X50" s="82" t="str">
        <f aca="false">IF(OR(X$4="",MONTH(($G$2+11))&lt;&gt;MONTH($C$2)),"",IF(COUNTIFS(m_teacher,X$4,m_date,($G$2+11),m_active,1,m_start,"&lt;"&amp;660,m_end,"&gt;"&amp;600)=0,"",IF(COUNTIFS(m_teacher,X$4,m_date,($G$2+11),m_active,1,m_start,"&lt;"&amp;660,m_end,"&gt;"&amp;600)&gt;1,"충돌",HYPERLINK("#'관리자_MASTER'!D"&amp;_xlfn.MAXIFS(m_row,m_teacher,X$4,m_date,($G$2+11),m_active,1,m_start,"&lt;"&amp;660,m_end,"&gt;"&amp;600),INDEX(m_label,_xlfn.MAXIFS(m_row,m_teacher,X$4,m_date,($G$2+11),m_active,1,m_start,"&lt;"&amp;660,m_end,"&gt;"&amp;600))))))</f>
        <v/>
      </c>
      <c r="Y50" s="82" t="str">
        <f aca="false">IF(OR(Y$4="",MONTH(($G$2+11))&lt;&gt;MONTH($C$2)),"",IF(COUNTIFS(m_teacher,Y$4,m_date,($G$2+11),m_active,1,m_start,"&lt;"&amp;660,m_end,"&gt;"&amp;600)=0,"",IF(COUNTIFS(m_teacher,Y$4,m_date,($G$2+11),m_active,1,m_start,"&lt;"&amp;660,m_end,"&gt;"&amp;600)&gt;1,"충돌",HYPERLINK("#'관리자_MASTER'!D"&amp;_xlfn.MAXIFS(m_row,m_teacher,Y$4,m_date,($G$2+11),m_active,1,m_start,"&lt;"&amp;660,m_end,"&gt;"&amp;600),INDEX(m_label,_xlfn.MAXIFS(m_row,m_teacher,Y$4,m_date,($G$2+11),m_active,1,m_start,"&lt;"&amp;660,m_end,"&gt;"&amp;600))))))</f>
        <v/>
      </c>
      <c r="Z50" s="82" t="str">
        <f aca="false">IF(OR(Z$4="",MONTH(($G$2+11))&lt;&gt;MONTH($C$2)),"",IF(COUNTIFS(m_teacher,Z$4,m_date,($G$2+11),m_active,1,m_start,"&lt;"&amp;660,m_end,"&gt;"&amp;600)=0,"",IF(COUNTIFS(m_teacher,Z$4,m_date,($G$2+11),m_active,1,m_start,"&lt;"&amp;660,m_end,"&gt;"&amp;600)&gt;1,"충돌",HYPERLINK("#'관리자_MASTER'!D"&amp;_xlfn.MAXIFS(m_row,m_teacher,Z$4,m_date,($G$2+11),m_active,1,m_start,"&lt;"&amp;660,m_end,"&gt;"&amp;600),INDEX(m_label,_xlfn.MAXIFS(m_row,m_teacher,Z$4,m_date,($G$2+11),m_active,1,m_start,"&lt;"&amp;660,m_end,"&gt;"&amp;600))))))</f>
        <v/>
      </c>
      <c r="AA50" s="82" t="str">
        <f aca="false">IF(OR(AA$4="",MONTH(($G$2+11))&lt;&gt;MONTH($C$2)),"",IF(COUNTIFS(m_teacher,AA$4,m_date,($G$2+11),m_active,1,m_start,"&lt;"&amp;660,m_end,"&gt;"&amp;600)=0,"",IF(COUNTIFS(m_teacher,AA$4,m_date,($G$2+11),m_active,1,m_start,"&lt;"&amp;660,m_end,"&gt;"&amp;600)&gt;1,"충돌",HYPERLINK("#'관리자_MASTER'!D"&amp;_xlfn.MAXIFS(m_row,m_teacher,AA$4,m_date,($G$2+11),m_active,1,m_start,"&lt;"&amp;660,m_end,"&gt;"&amp;600),INDEX(m_label,_xlfn.MAXIFS(m_row,m_teacher,AA$4,m_date,($G$2+11),m_active,1,m_start,"&lt;"&amp;660,m_end,"&gt;"&amp;600))))))</f>
        <v/>
      </c>
      <c r="AB50" s="82" t="str">
        <f aca="false">IF(OR(AB$4="",MONTH(($G$2+11))&lt;&gt;MONTH($C$2)),"",IF(COUNTIFS(m_teacher,AB$4,m_date,($G$2+11),m_active,1,m_start,"&lt;"&amp;660,m_end,"&gt;"&amp;600)=0,"",IF(COUNTIFS(m_teacher,AB$4,m_date,($G$2+11),m_active,1,m_start,"&lt;"&amp;660,m_end,"&gt;"&amp;600)&gt;1,"충돌",HYPERLINK("#'관리자_MASTER'!D"&amp;_xlfn.MAXIFS(m_row,m_teacher,AB$4,m_date,($G$2+11),m_active,1,m_start,"&lt;"&amp;660,m_end,"&gt;"&amp;600),INDEX(m_label,_xlfn.MAXIFS(m_row,m_teacher,AB$4,m_date,($G$2+11),m_active,1,m_start,"&lt;"&amp;660,m_end,"&gt;"&amp;600))))))</f>
        <v/>
      </c>
      <c r="AC50" s="78"/>
      <c r="AD50" s="79" t="s">
        <v>92</v>
      </c>
      <c r="AE50" s="82" t="str">
        <f aca="false">IF(OR(AE$4="",MONTH(($G$2+18))&lt;&gt;MONTH($C$2)),"",IF(COUNTIFS(m_teacher,AE$4,m_date,($G$2+18),m_active,1,m_start,"&lt;"&amp;660,m_end,"&gt;"&amp;600)=0,"",IF(COUNTIFS(m_teacher,AE$4,m_date,($G$2+18),m_active,1,m_start,"&lt;"&amp;660,m_end,"&gt;"&amp;600)&gt;1,"충돌",HYPERLINK("#'관리자_MASTER'!D"&amp;_xlfn.MAXIFS(m_row,m_teacher,AE$4,m_date,($G$2+18),m_active,1,m_start,"&lt;"&amp;660,m_end,"&gt;"&amp;600),INDEX(m_label,_xlfn.MAXIFS(m_row,m_teacher,AE$4,m_date,($G$2+18),m_active,1,m_start,"&lt;"&amp;660,m_end,"&gt;"&amp;600))))))</f>
        <v/>
      </c>
      <c r="AF50" s="82" t="str">
        <f aca="false">IF(OR(AF$4="",MONTH(($G$2+18))&lt;&gt;MONTH($C$2)),"",IF(COUNTIFS(m_teacher,AF$4,m_date,($G$2+18),m_active,1,m_start,"&lt;"&amp;660,m_end,"&gt;"&amp;600)=0,"",IF(COUNTIFS(m_teacher,AF$4,m_date,($G$2+18),m_active,1,m_start,"&lt;"&amp;660,m_end,"&gt;"&amp;600)&gt;1,"충돌",HYPERLINK("#'관리자_MASTER'!D"&amp;_xlfn.MAXIFS(m_row,m_teacher,AF$4,m_date,($G$2+18),m_active,1,m_start,"&lt;"&amp;660,m_end,"&gt;"&amp;600),INDEX(m_label,_xlfn.MAXIFS(m_row,m_teacher,AF$4,m_date,($G$2+18),m_active,1,m_start,"&lt;"&amp;660,m_end,"&gt;"&amp;600))))))</f>
        <v/>
      </c>
      <c r="AG50" s="82" t="str">
        <f aca="false">IF(OR(AG$4="",MONTH(($G$2+18))&lt;&gt;MONTH($C$2)),"",IF(COUNTIFS(m_teacher,AG$4,m_date,($G$2+18),m_active,1,m_start,"&lt;"&amp;660,m_end,"&gt;"&amp;600)=0,"",IF(COUNTIFS(m_teacher,AG$4,m_date,($G$2+18),m_active,1,m_start,"&lt;"&amp;660,m_end,"&gt;"&amp;600)&gt;1,"충돌",HYPERLINK("#'관리자_MASTER'!D"&amp;_xlfn.MAXIFS(m_row,m_teacher,AG$4,m_date,($G$2+18),m_active,1,m_start,"&lt;"&amp;660,m_end,"&gt;"&amp;600),INDEX(m_label,_xlfn.MAXIFS(m_row,m_teacher,AG$4,m_date,($G$2+18),m_active,1,m_start,"&lt;"&amp;660,m_end,"&gt;"&amp;600))))))</f>
        <v/>
      </c>
      <c r="AH50" s="82" t="str">
        <f aca="false">IF(OR(AH$4="",MONTH(($G$2+18))&lt;&gt;MONTH($C$2)),"",IF(COUNTIFS(m_teacher,AH$4,m_date,($G$2+18),m_active,1,m_start,"&lt;"&amp;660,m_end,"&gt;"&amp;600)=0,"",IF(COUNTIFS(m_teacher,AH$4,m_date,($G$2+18),m_active,1,m_start,"&lt;"&amp;660,m_end,"&gt;"&amp;600)&gt;1,"충돌",HYPERLINK("#'관리자_MASTER'!D"&amp;_xlfn.MAXIFS(m_row,m_teacher,AH$4,m_date,($G$2+18),m_active,1,m_start,"&lt;"&amp;660,m_end,"&gt;"&amp;600),INDEX(m_label,_xlfn.MAXIFS(m_row,m_teacher,AH$4,m_date,($G$2+18),m_active,1,m_start,"&lt;"&amp;660,m_end,"&gt;"&amp;600))))))</f>
        <v/>
      </c>
      <c r="AI50" s="82" t="str">
        <f aca="false">IF(OR(AI$4="",MONTH(($G$2+18))&lt;&gt;MONTH($C$2)),"",IF(COUNTIFS(m_teacher,AI$4,m_date,($G$2+18),m_active,1,m_start,"&lt;"&amp;660,m_end,"&gt;"&amp;600)=0,"",IF(COUNTIFS(m_teacher,AI$4,m_date,($G$2+18),m_active,1,m_start,"&lt;"&amp;660,m_end,"&gt;"&amp;600)&gt;1,"충돌",HYPERLINK("#'관리자_MASTER'!D"&amp;_xlfn.MAXIFS(m_row,m_teacher,AI$4,m_date,($G$2+18),m_active,1,m_start,"&lt;"&amp;660,m_end,"&gt;"&amp;600),INDEX(m_label,_xlfn.MAXIFS(m_row,m_teacher,AI$4,m_date,($G$2+18),m_active,1,m_start,"&lt;"&amp;660,m_end,"&gt;"&amp;600))))))</f>
        <v/>
      </c>
      <c r="AJ50" s="82" t="str">
        <f aca="false">IF(OR(AJ$4="",MONTH(($G$2+18))&lt;&gt;MONTH($C$2)),"",IF(COUNTIFS(m_teacher,AJ$4,m_date,($G$2+18),m_active,1,m_start,"&lt;"&amp;660,m_end,"&gt;"&amp;600)=0,"",IF(COUNTIFS(m_teacher,AJ$4,m_date,($G$2+18),m_active,1,m_start,"&lt;"&amp;660,m_end,"&gt;"&amp;600)&gt;1,"충돌",HYPERLINK("#'관리자_MASTER'!D"&amp;_xlfn.MAXIFS(m_row,m_teacher,AJ$4,m_date,($G$2+18),m_active,1,m_start,"&lt;"&amp;660,m_end,"&gt;"&amp;600),INDEX(m_label,_xlfn.MAXIFS(m_row,m_teacher,AJ$4,m_date,($G$2+18),m_active,1,m_start,"&lt;"&amp;660,m_end,"&gt;"&amp;600))))))</f>
        <v/>
      </c>
      <c r="AK50" s="82" t="str">
        <f aca="false">IF(OR(AK$4="",MONTH(($G$2+18))&lt;&gt;MONTH($C$2)),"",IF(COUNTIFS(m_teacher,AK$4,m_date,($G$2+18),m_active,1,m_start,"&lt;"&amp;660,m_end,"&gt;"&amp;600)=0,"",IF(COUNTIFS(m_teacher,AK$4,m_date,($G$2+18),m_active,1,m_start,"&lt;"&amp;660,m_end,"&gt;"&amp;600)&gt;1,"충돌",HYPERLINK("#'관리자_MASTER'!D"&amp;_xlfn.MAXIFS(m_row,m_teacher,AK$4,m_date,($G$2+18),m_active,1,m_start,"&lt;"&amp;660,m_end,"&gt;"&amp;600),INDEX(m_label,_xlfn.MAXIFS(m_row,m_teacher,AK$4,m_date,($G$2+18),m_active,1,m_start,"&lt;"&amp;660,m_end,"&gt;"&amp;600))))))</f>
        <v/>
      </c>
      <c r="AL50" s="82" t="str">
        <f aca="false">IF(OR(AL$4="",MONTH(($G$2+18))&lt;&gt;MONTH($C$2)),"",IF(COUNTIFS(m_teacher,AL$4,m_date,($G$2+18),m_active,1,m_start,"&lt;"&amp;660,m_end,"&gt;"&amp;600)=0,"",IF(COUNTIFS(m_teacher,AL$4,m_date,($G$2+18),m_active,1,m_start,"&lt;"&amp;660,m_end,"&gt;"&amp;600)&gt;1,"충돌",HYPERLINK("#'관리자_MASTER'!D"&amp;_xlfn.MAXIFS(m_row,m_teacher,AL$4,m_date,($G$2+18),m_active,1,m_start,"&lt;"&amp;660,m_end,"&gt;"&amp;600),INDEX(m_label,_xlfn.MAXIFS(m_row,m_teacher,AL$4,m_date,($G$2+18),m_active,1,m_start,"&lt;"&amp;660,m_end,"&gt;"&amp;600))))))</f>
        <v/>
      </c>
      <c r="AM50" s="82" t="str">
        <f aca="false">IF(OR(AM$4="",MONTH(($G$2+18))&lt;&gt;MONTH($C$2)),"",IF(COUNTIFS(m_teacher,AM$4,m_date,($G$2+18),m_active,1,m_start,"&lt;"&amp;660,m_end,"&gt;"&amp;600)=0,"",IF(COUNTIFS(m_teacher,AM$4,m_date,($G$2+18),m_active,1,m_start,"&lt;"&amp;660,m_end,"&gt;"&amp;600)&gt;1,"충돌",HYPERLINK("#'관리자_MASTER'!D"&amp;_xlfn.MAXIFS(m_row,m_teacher,AM$4,m_date,($G$2+18),m_active,1,m_start,"&lt;"&amp;660,m_end,"&gt;"&amp;600),INDEX(m_label,_xlfn.MAXIFS(m_row,m_teacher,AM$4,m_date,($G$2+18),m_active,1,m_start,"&lt;"&amp;660,m_end,"&gt;"&amp;600))))))</f>
        <v/>
      </c>
      <c r="AN50" s="82" t="str">
        <f aca="false">IF(OR(AN$4="",MONTH(($G$2+18))&lt;&gt;MONTH($C$2)),"",IF(COUNTIFS(m_teacher,AN$4,m_date,($G$2+18),m_active,1,m_start,"&lt;"&amp;660,m_end,"&gt;"&amp;600)=0,"",IF(COUNTIFS(m_teacher,AN$4,m_date,($G$2+18),m_active,1,m_start,"&lt;"&amp;660,m_end,"&gt;"&amp;600)&gt;1,"충돌",HYPERLINK("#'관리자_MASTER'!D"&amp;_xlfn.MAXIFS(m_row,m_teacher,AN$4,m_date,($G$2+18),m_active,1,m_start,"&lt;"&amp;660,m_end,"&gt;"&amp;600),INDEX(m_label,_xlfn.MAXIFS(m_row,m_teacher,AN$4,m_date,($G$2+18),m_active,1,m_start,"&lt;"&amp;660,m_end,"&gt;"&amp;600))))))</f>
        <v/>
      </c>
      <c r="AO50" s="82" t="str">
        <f aca="false">IF(OR(AO$4="",MONTH(($G$2+18))&lt;&gt;MONTH($C$2)),"",IF(COUNTIFS(m_teacher,AO$4,m_date,($G$2+18),m_active,1,m_start,"&lt;"&amp;660,m_end,"&gt;"&amp;600)=0,"",IF(COUNTIFS(m_teacher,AO$4,m_date,($G$2+18),m_active,1,m_start,"&lt;"&amp;660,m_end,"&gt;"&amp;600)&gt;1,"충돌",HYPERLINK("#'관리자_MASTER'!D"&amp;_xlfn.MAXIFS(m_row,m_teacher,AO$4,m_date,($G$2+18),m_active,1,m_start,"&lt;"&amp;660,m_end,"&gt;"&amp;600),INDEX(m_label,_xlfn.MAXIFS(m_row,m_teacher,AO$4,m_date,($G$2+18),m_active,1,m_start,"&lt;"&amp;660,m_end,"&gt;"&amp;600))))))</f>
        <v/>
      </c>
      <c r="AP50" s="82" t="str">
        <f aca="false">IF(OR(AP$4="",MONTH(($G$2+18))&lt;&gt;MONTH($C$2)),"",IF(COUNTIFS(m_teacher,AP$4,m_date,($G$2+18),m_active,1,m_start,"&lt;"&amp;660,m_end,"&gt;"&amp;600)=0,"",IF(COUNTIFS(m_teacher,AP$4,m_date,($G$2+18),m_active,1,m_start,"&lt;"&amp;660,m_end,"&gt;"&amp;600)&gt;1,"충돌",HYPERLINK("#'관리자_MASTER'!D"&amp;_xlfn.MAXIFS(m_row,m_teacher,AP$4,m_date,($G$2+18),m_active,1,m_start,"&lt;"&amp;660,m_end,"&gt;"&amp;600),INDEX(m_label,_xlfn.MAXIFS(m_row,m_teacher,AP$4,m_date,($G$2+18),m_active,1,m_start,"&lt;"&amp;660,m_end,"&gt;"&amp;600))))))</f>
        <v/>
      </c>
      <c r="AQ50" s="78"/>
      <c r="AR50" s="79" t="s">
        <v>92</v>
      </c>
      <c r="AS50" s="82" t="str">
        <f aca="false">IF(OR(AS$4="",MONTH(($G$2+25))&lt;&gt;MONTH($C$2)),"",IF(COUNTIFS(m_teacher,AS$4,m_date,($G$2+25),m_active,1,m_start,"&lt;"&amp;660,m_end,"&gt;"&amp;600)=0,"",IF(COUNTIFS(m_teacher,AS$4,m_date,($G$2+25),m_active,1,m_start,"&lt;"&amp;660,m_end,"&gt;"&amp;600)&gt;1,"충돌",HYPERLINK("#'관리자_MASTER'!D"&amp;_xlfn.MAXIFS(m_row,m_teacher,AS$4,m_date,($G$2+25),m_active,1,m_start,"&lt;"&amp;660,m_end,"&gt;"&amp;600),INDEX(m_label,_xlfn.MAXIFS(m_row,m_teacher,AS$4,m_date,($G$2+25),m_active,1,m_start,"&lt;"&amp;660,m_end,"&gt;"&amp;600))))))</f>
        <v/>
      </c>
      <c r="AT50" s="82" t="str">
        <f aca="false">IF(OR(AT$4="",MONTH(($G$2+25))&lt;&gt;MONTH($C$2)),"",IF(COUNTIFS(m_teacher,AT$4,m_date,($G$2+25),m_active,1,m_start,"&lt;"&amp;660,m_end,"&gt;"&amp;600)=0,"",IF(COUNTIFS(m_teacher,AT$4,m_date,($G$2+25),m_active,1,m_start,"&lt;"&amp;660,m_end,"&gt;"&amp;600)&gt;1,"충돌",HYPERLINK("#'관리자_MASTER'!D"&amp;_xlfn.MAXIFS(m_row,m_teacher,AT$4,m_date,($G$2+25),m_active,1,m_start,"&lt;"&amp;660,m_end,"&gt;"&amp;600),INDEX(m_label,_xlfn.MAXIFS(m_row,m_teacher,AT$4,m_date,($G$2+25),m_active,1,m_start,"&lt;"&amp;660,m_end,"&gt;"&amp;600))))))</f>
        <v/>
      </c>
      <c r="AU50" s="82" t="str">
        <f aca="false">IF(OR(AU$4="",MONTH(($G$2+25))&lt;&gt;MONTH($C$2)),"",IF(COUNTIFS(m_teacher,AU$4,m_date,($G$2+25),m_active,1,m_start,"&lt;"&amp;660,m_end,"&gt;"&amp;600)=0,"",IF(COUNTIFS(m_teacher,AU$4,m_date,($G$2+25),m_active,1,m_start,"&lt;"&amp;660,m_end,"&gt;"&amp;600)&gt;1,"충돌",HYPERLINK("#'관리자_MASTER'!D"&amp;_xlfn.MAXIFS(m_row,m_teacher,AU$4,m_date,($G$2+25),m_active,1,m_start,"&lt;"&amp;660,m_end,"&gt;"&amp;600),INDEX(m_label,_xlfn.MAXIFS(m_row,m_teacher,AU$4,m_date,($G$2+25),m_active,1,m_start,"&lt;"&amp;660,m_end,"&gt;"&amp;600))))))</f>
        <v/>
      </c>
      <c r="AV50" s="82" t="str">
        <f aca="false">IF(OR(AV$4="",MONTH(($G$2+25))&lt;&gt;MONTH($C$2)),"",IF(COUNTIFS(m_teacher,AV$4,m_date,($G$2+25),m_active,1,m_start,"&lt;"&amp;660,m_end,"&gt;"&amp;600)=0,"",IF(COUNTIFS(m_teacher,AV$4,m_date,($G$2+25),m_active,1,m_start,"&lt;"&amp;660,m_end,"&gt;"&amp;600)&gt;1,"충돌",HYPERLINK("#'관리자_MASTER'!D"&amp;_xlfn.MAXIFS(m_row,m_teacher,AV$4,m_date,($G$2+25),m_active,1,m_start,"&lt;"&amp;660,m_end,"&gt;"&amp;600),INDEX(m_label,_xlfn.MAXIFS(m_row,m_teacher,AV$4,m_date,($G$2+25),m_active,1,m_start,"&lt;"&amp;660,m_end,"&gt;"&amp;600))))))</f>
        <v/>
      </c>
      <c r="AW50" s="82" t="str">
        <f aca="false">IF(OR(AW$4="",MONTH(($G$2+25))&lt;&gt;MONTH($C$2)),"",IF(COUNTIFS(m_teacher,AW$4,m_date,($G$2+25),m_active,1,m_start,"&lt;"&amp;660,m_end,"&gt;"&amp;600)=0,"",IF(COUNTIFS(m_teacher,AW$4,m_date,($G$2+25),m_active,1,m_start,"&lt;"&amp;660,m_end,"&gt;"&amp;600)&gt;1,"충돌",HYPERLINK("#'관리자_MASTER'!D"&amp;_xlfn.MAXIFS(m_row,m_teacher,AW$4,m_date,($G$2+25),m_active,1,m_start,"&lt;"&amp;660,m_end,"&gt;"&amp;600),INDEX(m_label,_xlfn.MAXIFS(m_row,m_teacher,AW$4,m_date,($G$2+25),m_active,1,m_start,"&lt;"&amp;660,m_end,"&gt;"&amp;600))))))</f>
        <v/>
      </c>
      <c r="AX50" s="82" t="str">
        <f aca="false">IF(OR(AX$4="",MONTH(($G$2+25))&lt;&gt;MONTH($C$2)),"",IF(COUNTIFS(m_teacher,AX$4,m_date,($G$2+25),m_active,1,m_start,"&lt;"&amp;660,m_end,"&gt;"&amp;600)=0,"",IF(COUNTIFS(m_teacher,AX$4,m_date,($G$2+25),m_active,1,m_start,"&lt;"&amp;660,m_end,"&gt;"&amp;600)&gt;1,"충돌",HYPERLINK("#'관리자_MASTER'!D"&amp;_xlfn.MAXIFS(m_row,m_teacher,AX$4,m_date,($G$2+25),m_active,1,m_start,"&lt;"&amp;660,m_end,"&gt;"&amp;600),INDEX(m_label,_xlfn.MAXIFS(m_row,m_teacher,AX$4,m_date,($G$2+25),m_active,1,m_start,"&lt;"&amp;660,m_end,"&gt;"&amp;600))))))</f>
        <v/>
      </c>
      <c r="AY50" s="82" t="str">
        <f aca="false">IF(OR(AY$4="",MONTH(($G$2+25))&lt;&gt;MONTH($C$2)),"",IF(COUNTIFS(m_teacher,AY$4,m_date,($G$2+25),m_active,1,m_start,"&lt;"&amp;660,m_end,"&gt;"&amp;600)=0,"",IF(COUNTIFS(m_teacher,AY$4,m_date,($G$2+25),m_active,1,m_start,"&lt;"&amp;660,m_end,"&gt;"&amp;600)&gt;1,"충돌",HYPERLINK("#'관리자_MASTER'!D"&amp;_xlfn.MAXIFS(m_row,m_teacher,AY$4,m_date,($G$2+25),m_active,1,m_start,"&lt;"&amp;660,m_end,"&gt;"&amp;600),INDEX(m_label,_xlfn.MAXIFS(m_row,m_teacher,AY$4,m_date,($G$2+25),m_active,1,m_start,"&lt;"&amp;660,m_end,"&gt;"&amp;600))))))</f>
        <v/>
      </c>
      <c r="AZ50" s="82" t="str">
        <f aca="false">IF(OR(AZ$4="",MONTH(($G$2+25))&lt;&gt;MONTH($C$2)),"",IF(COUNTIFS(m_teacher,AZ$4,m_date,($G$2+25),m_active,1,m_start,"&lt;"&amp;660,m_end,"&gt;"&amp;600)=0,"",IF(COUNTIFS(m_teacher,AZ$4,m_date,($G$2+25),m_active,1,m_start,"&lt;"&amp;660,m_end,"&gt;"&amp;600)&gt;1,"충돌",HYPERLINK("#'관리자_MASTER'!D"&amp;_xlfn.MAXIFS(m_row,m_teacher,AZ$4,m_date,($G$2+25),m_active,1,m_start,"&lt;"&amp;660,m_end,"&gt;"&amp;600),INDEX(m_label,_xlfn.MAXIFS(m_row,m_teacher,AZ$4,m_date,($G$2+25),m_active,1,m_start,"&lt;"&amp;660,m_end,"&gt;"&amp;600))))))</f>
        <v/>
      </c>
      <c r="BA50" s="82" t="str">
        <f aca="false">IF(OR(BA$4="",MONTH(($G$2+25))&lt;&gt;MONTH($C$2)),"",IF(COUNTIFS(m_teacher,BA$4,m_date,($G$2+25),m_active,1,m_start,"&lt;"&amp;660,m_end,"&gt;"&amp;600)=0,"",IF(COUNTIFS(m_teacher,BA$4,m_date,($G$2+25),m_active,1,m_start,"&lt;"&amp;660,m_end,"&gt;"&amp;600)&gt;1,"충돌",HYPERLINK("#'관리자_MASTER'!D"&amp;_xlfn.MAXIFS(m_row,m_teacher,BA$4,m_date,($G$2+25),m_active,1,m_start,"&lt;"&amp;660,m_end,"&gt;"&amp;600),INDEX(m_label,_xlfn.MAXIFS(m_row,m_teacher,BA$4,m_date,($G$2+25),m_active,1,m_start,"&lt;"&amp;660,m_end,"&gt;"&amp;600))))))</f>
        <v/>
      </c>
      <c r="BB50" s="82" t="str">
        <f aca="false">IF(OR(BB$4="",MONTH(($G$2+25))&lt;&gt;MONTH($C$2)),"",IF(COUNTIFS(m_teacher,BB$4,m_date,($G$2+25),m_active,1,m_start,"&lt;"&amp;660,m_end,"&gt;"&amp;600)=0,"",IF(COUNTIFS(m_teacher,BB$4,m_date,($G$2+25),m_active,1,m_start,"&lt;"&amp;660,m_end,"&gt;"&amp;600)&gt;1,"충돌",HYPERLINK("#'관리자_MASTER'!D"&amp;_xlfn.MAXIFS(m_row,m_teacher,BB$4,m_date,($G$2+25),m_active,1,m_start,"&lt;"&amp;660,m_end,"&gt;"&amp;600),INDEX(m_label,_xlfn.MAXIFS(m_row,m_teacher,BB$4,m_date,($G$2+25),m_active,1,m_start,"&lt;"&amp;660,m_end,"&gt;"&amp;600))))))</f>
        <v/>
      </c>
      <c r="BC50" s="82" t="str">
        <f aca="false">IF(OR(BC$4="",MONTH(($G$2+25))&lt;&gt;MONTH($C$2)),"",IF(COUNTIFS(m_teacher,BC$4,m_date,($G$2+25),m_active,1,m_start,"&lt;"&amp;660,m_end,"&gt;"&amp;600)=0,"",IF(COUNTIFS(m_teacher,BC$4,m_date,($G$2+25),m_active,1,m_start,"&lt;"&amp;660,m_end,"&gt;"&amp;600)&gt;1,"충돌",HYPERLINK("#'관리자_MASTER'!D"&amp;_xlfn.MAXIFS(m_row,m_teacher,BC$4,m_date,($G$2+25),m_active,1,m_start,"&lt;"&amp;660,m_end,"&gt;"&amp;600),INDEX(m_label,_xlfn.MAXIFS(m_row,m_teacher,BC$4,m_date,($G$2+25),m_active,1,m_start,"&lt;"&amp;660,m_end,"&gt;"&amp;600))))))</f>
        <v/>
      </c>
      <c r="BD50" s="82" t="str">
        <f aca="false">IF(OR(BD$4="",MONTH(($G$2+25))&lt;&gt;MONTH($C$2)),"",IF(COUNTIFS(m_teacher,BD$4,m_date,($G$2+25),m_active,1,m_start,"&lt;"&amp;660,m_end,"&gt;"&amp;600)=0,"",IF(COUNTIFS(m_teacher,BD$4,m_date,($G$2+25),m_active,1,m_start,"&lt;"&amp;660,m_end,"&gt;"&amp;600)&gt;1,"충돌",HYPERLINK("#'관리자_MASTER'!D"&amp;_xlfn.MAXIFS(m_row,m_teacher,BD$4,m_date,($G$2+25),m_active,1,m_start,"&lt;"&amp;660,m_end,"&gt;"&amp;600),INDEX(m_label,_xlfn.MAXIFS(m_row,m_teacher,BD$4,m_date,($G$2+25),m_active,1,m_start,"&lt;"&amp;660,m_end,"&gt;"&amp;600))))))</f>
        <v/>
      </c>
      <c r="BE50" s="78"/>
      <c r="BF50" s="79" t="s">
        <v>92</v>
      </c>
      <c r="BG50" s="82" t="str">
        <f aca="false">IF(OR(BG$4="",MONTH(($G$2+32))&lt;&gt;MONTH($C$2)),"",IF(COUNTIFS(m_teacher,BG$4,m_date,($G$2+32),m_active,1,m_start,"&lt;"&amp;660,m_end,"&gt;"&amp;600)=0,"",IF(COUNTIFS(m_teacher,BG$4,m_date,($G$2+32),m_active,1,m_start,"&lt;"&amp;660,m_end,"&gt;"&amp;600)&gt;1,"충돌",HYPERLINK("#'관리자_MASTER'!D"&amp;_xlfn.MAXIFS(m_row,m_teacher,BG$4,m_date,($G$2+32),m_active,1,m_start,"&lt;"&amp;660,m_end,"&gt;"&amp;600),INDEX(m_label,_xlfn.MAXIFS(m_row,m_teacher,BG$4,m_date,($G$2+32),m_active,1,m_start,"&lt;"&amp;660,m_end,"&gt;"&amp;600))))))</f>
        <v/>
      </c>
      <c r="BH50" s="82" t="str">
        <f aca="false">IF(OR(BH$4="",MONTH(($G$2+32))&lt;&gt;MONTH($C$2)),"",IF(COUNTIFS(m_teacher,BH$4,m_date,($G$2+32),m_active,1,m_start,"&lt;"&amp;660,m_end,"&gt;"&amp;600)=0,"",IF(COUNTIFS(m_teacher,BH$4,m_date,($G$2+32),m_active,1,m_start,"&lt;"&amp;660,m_end,"&gt;"&amp;600)&gt;1,"충돌",HYPERLINK("#'관리자_MASTER'!D"&amp;_xlfn.MAXIFS(m_row,m_teacher,BH$4,m_date,($G$2+32),m_active,1,m_start,"&lt;"&amp;660,m_end,"&gt;"&amp;600),INDEX(m_label,_xlfn.MAXIFS(m_row,m_teacher,BH$4,m_date,($G$2+32),m_active,1,m_start,"&lt;"&amp;660,m_end,"&gt;"&amp;600))))))</f>
        <v/>
      </c>
      <c r="BI50" s="82" t="str">
        <f aca="false">IF(OR(BI$4="",MONTH(($G$2+32))&lt;&gt;MONTH($C$2)),"",IF(COUNTIFS(m_teacher,BI$4,m_date,($G$2+32),m_active,1,m_start,"&lt;"&amp;660,m_end,"&gt;"&amp;600)=0,"",IF(COUNTIFS(m_teacher,BI$4,m_date,($G$2+32),m_active,1,m_start,"&lt;"&amp;660,m_end,"&gt;"&amp;600)&gt;1,"충돌",HYPERLINK("#'관리자_MASTER'!D"&amp;_xlfn.MAXIFS(m_row,m_teacher,BI$4,m_date,($G$2+32),m_active,1,m_start,"&lt;"&amp;660,m_end,"&gt;"&amp;600),INDEX(m_label,_xlfn.MAXIFS(m_row,m_teacher,BI$4,m_date,($G$2+32),m_active,1,m_start,"&lt;"&amp;660,m_end,"&gt;"&amp;600))))))</f>
        <v/>
      </c>
      <c r="BJ50" s="82" t="str">
        <f aca="false">IF(OR(BJ$4="",MONTH(($G$2+32))&lt;&gt;MONTH($C$2)),"",IF(COUNTIFS(m_teacher,BJ$4,m_date,($G$2+32),m_active,1,m_start,"&lt;"&amp;660,m_end,"&gt;"&amp;600)=0,"",IF(COUNTIFS(m_teacher,BJ$4,m_date,($G$2+32),m_active,1,m_start,"&lt;"&amp;660,m_end,"&gt;"&amp;600)&gt;1,"충돌",HYPERLINK("#'관리자_MASTER'!D"&amp;_xlfn.MAXIFS(m_row,m_teacher,BJ$4,m_date,($G$2+32),m_active,1,m_start,"&lt;"&amp;660,m_end,"&gt;"&amp;600),INDEX(m_label,_xlfn.MAXIFS(m_row,m_teacher,BJ$4,m_date,($G$2+32),m_active,1,m_start,"&lt;"&amp;660,m_end,"&gt;"&amp;600))))))</f>
        <v/>
      </c>
      <c r="BK50" s="82" t="str">
        <f aca="false">IF(OR(BK$4="",MONTH(($G$2+32))&lt;&gt;MONTH($C$2)),"",IF(COUNTIFS(m_teacher,BK$4,m_date,($G$2+32),m_active,1,m_start,"&lt;"&amp;660,m_end,"&gt;"&amp;600)=0,"",IF(COUNTIFS(m_teacher,BK$4,m_date,($G$2+32),m_active,1,m_start,"&lt;"&amp;660,m_end,"&gt;"&amp;600)&gt;1,"충돌",HYPERLINK("#'관리자_MASTER'!D"&amp;_xlfn.MAXIFS(m_row,m_teacher,BK$4,m_date,($G$2+32),m_active,1,m_start,"&lt;"&amp;660,m_end,"&gt;"&amp;600),INDEX(m_label,_xlfn.MAXIFS(m_row,m_teacher,BK$4,m_date,($G$2+32),m_active,1,m_start,"&lt;"&amp;660,m_end,"&gt;"&amp;600))))))</f>
        <v/>
      </c>
      <c r="BL50" s="82" t="str">
        <f aca="false">IF(OR(BL$4="",MONTH(($G$2+32))&lt;&gt;MONTH($C$2)),"",IF(COUNTIFS(m_teacher,BL$4,m_date,($G$2+32),m_active,1,m_start,"&lt;"&amp;660,m_end,"&gt;"&amp;600)=0,"",IF(COUNTIFS(m_teacher,BL$4,m_date,($G$2+32),m_active,1,m_start,"&lt;"&amp;660,m_end,"&gt;"&amp;600)&gt;1,"충돌",HYPERLINK("#'관리자_MASTER'!D"&amp;_xlfn.MAXIFS(m_row,m_teacher,BL$4,m_date,($G$2+32),m_active,1,m_start,"&lt;"&amp;660,m_end,"&gt;"&amp;600),INDEX(m_label,_xlfn.MAXIFS(m_row,m_teacher,BL$4,m_date,($G$2+32),m_active,1,m_start,"&lt;"&amp;660,m_end,"&gt;"&amp;600))))))</f>
        <v/>
      </c>
      <c r="BM50" s="82" t="str">
        <f aca="false">IF(OR(BM$4="",MONTH(($G$2+32))&lt;&gt;MONTH($C$2)),"",IF(COUNTIFS(m_teacher,BM$4,m_date,($G$2+32),m_active,1,m_start,"&lt;"&amp;660,m_end,"&gt;"&amp;600)=0,"",IF(COUNTIFS(m_teacher,BM$4,m_date,($G$2+32),m_active,1,m_start,"&lt;"&amp;660,m_end,"&gt;"&amp;600)&gt;1,"충돌",HYPERLINK("#'관리자_MASTER'!D"&amp;_xlfn.MAXIFS(m_row,m_teacher,BM$4,m_date,($G$2+32),m_active,1,m_start,"&lt;"&amp;660,m_end,"&gt;"&amp;600),INDEX(m_label,_xlfn.MAXIFS(m_row,m_teacher,BM$4,m_date,($G$2+32),m_active,1,m_start,"&lt;"&amp;660,m_end,"&gt;"&amp;600))))))</f>
        <v/>
      </c>
      <c r="BN50" s="82" t="str">
        <f aca="false">IF(OR(BN$4="",MONTH(($G$2+32))&lt;&gt;MONTH($C$2)),"",IF(COUNTIFS(m_teacher,BN$4,m_date,($G$2+32),m_active,1,m_start,"&lt;"&amp;660,m_end,"&gt;"&amp;600)=0,"",IF(COUNTIFS(m_teacher,BN$4,m_date,($G$2+32),m_active,1,m_start,"&lt;"&amp;660,m_end,"&gt;"&amp;600)&gt;1,"충돌",HYPERLINK("#'관리자_MASTER'!D"&amp;_xlfn.MAXIFS(m_row,m_teacher,BN$4,m_date,($G$2+32),m_active,1,m_start,"&lt;"&amp;660,m_end,"&gt;"&amp;600),INDEX(m_label,_xlfn.MAXIFS(m_row,m_teacher,BN$4,m_date,($G$2+32),m_active,1,m_start,"&lt;"&amp;660,m_end,"&gt;"&amp;600))))))</f>
        <v/>
      </c>
      <c r="BO50" s="82" t="str">
        <f aca="false">IF(OR(BO$4="",MONTH(($G$2+32))&lt;&gt;MONTH($C$2)),"",IF(COUNTIFS(m_teacher,BO$4,m_date,($G$2+32),m_active,1,m_start,"&lt;"&amp;660,m_end,"&gt;"&amp;600)=0,"",IF(COUNTIFS(m_teacher,BO$4,m_date,($G$2+32),m_active,1,m_start,"&lt;"&amp;660,m_end,"&gt;"&amp;600)&gt;1,"충돌",HYPERLINK("#'관리자_MASTER'!D"&amp;_xlfn.MAXIFS(m_row,m_teacher,BO$4,m_date,($G$2+32),m_active,1,m_start,"&lt;"&amp;660,m_end,"&gt;"&amp;600),INDEX(m_label,_xlfn.MAXIFS(m_row,m_teacher,BO$4,m_date,($G$2+32),m_active,1,m_start,"&lt;"&amp;660,m_end,"&gt;"&amp;600))))))</f>
        <v/>
      </c>
      <c r="BP50" s="82" t="str">
        <f aca="false">IF(OR(BP$4="",MONTH(($G$2+32))&lt;&gt;MONTH($C$2)),"",IF(COUNTIFS(m_teacher,BP$4,m_date,($G$2+32),m_active,1,m_start,"&lt;"&amp;660,m_end,"&gt;"&amp;600)=0,"",IF(COUNTIFS(m_teacher,BP$4,m_date,($G$2+32),m_active,1,m_start,"&lt;"&amp;660,m_end,"&gt;"&amp;600)&gt;1,"충돌",HYPERLINK("#'관리자_MASTER'!D"&amp;_xlfn.MAXIFS(m_row,m_teacher,BP$4,m_date,($G$2+32),m_active,1,m_start,"&lt;"&amp;660,m_end,"&gt;"&amp;600),INDEX(m_label,_xlfn.MAXIFS(m_row,m_teacher,BP$4,m_date,($G$2+32),m_active,1,m_start,"&lt;"&amp;660,m_end,"&gt;"&amp;600))))))</f>
        <v/>
      </c>
      <c r="BQ50" s="82" t="str">
        <f aca="false">IF(OR(BQ$4="",MONTH(($G$2+32))&lt;&gt;MONTH($C$2)),"",IF(COUNTIFS(m_teacher,BQ$4,m_date,($G$2+32),m_active,1,m_start,"&lt;"&amp;660,m_end,"&gt;"&amp;600)=0,"",IF(COUNTIFS(m_teacher,BQ$4,m_date,($G$2+32),m_active,1,m_start,"&lt;"&amp;660,m_end,"&gt;"&amp;600)&gt;1,"충돌",HYPERLINK("#'관리자_MASTER'!D"&amp;_xlfn.MAXIFS(m_row,m_teacher,BQ$4,m_date,($G$2+32),m_active,1,m_start,"&lt;"&amp;660,m_end,"&gt;"&amp;600),INDEX(m_label,_xlfn.MAXIFS(m_row,m_teacher,BQ$4,m_date,($G$2+32),m_active,1,m_start,"&lt;"&amp;660,m_end,"&gt;"&amp;600))))))</f>
        <v/>
      </c>
      <c r="BR50" s="82" t="str">
        <f aca="false">IF(OR(BR$4="",MONTH(($G$2+32))&lt;&gt;MONTH($C$2)),"",IF(COUNTIFS(m_teacher,BR$4,m_date,($G$2+32),m_active,1,m_start,"&lt;"&amp;660,m_end,"&gt;"&amp;600)=0,"",IF(COUNTIFS(m_teacher,BR$4,m_date,($G$2+32),m_active,1,m_start,"&lt;"&amp;660,m_end,"&gt;"&amp;600)&gt;1,"충돌",HYPERLINK("#'관리자_MASTER'!D"&amp;_xlfn.MAXIFS(m_row,m_teacher,BR$4,m_date,($G$2+32),m_active,1,m_start,"&lt;"&amp;660,m_end,"&gt;"&amp;600),INDEX(m_label,_xlfn.MAXIFS(m_row,m_teacher,BR$4,m_date,($G$2+32),m_active,1,m_start,"&lt;"&amp;660,m_end,"&gt;"&amp;600))))))</f>
        <v/>
      </c>
    </row>
    <row r="51" customFormat="false" ht="19.5" hidden="false" customHeight="true" outlineLevel="0" collapsed="false">
      <c r="A51" s="78"/>
      <c r="B51" s="79" t="s">
        <v>93</v>
      </c>
      <c r="C51" s="82" t="str">
        <f aca="false">IF(OR(C$4="",MONTH(($G$2+4))&lt;&gt;MONTH($C$2)),"",IF(COUNTIFS(m_teacher,C$4,m_date,($G$2+4),m_active,1,m_start,"&lt;"&amp;720,m_end,"&gt;"&amp;660)=0,"",IF(COUNTIFS(m_teacher,C$4,m_date,($G$2+4),m_active,1,m_start,"&lt;"&amp;720,m_end,"&gt;"&amp;660)&gt;1,"충돌",HYPERLINK("#'관리자_MASTER'!D"&amp;_xlfn.MAXIFS(m_row,m_teacher,C$4,m_date,($G$2+4),m_active,1,m_start,"&lt;"&amp;720,m_end,"&gt;"&amp;660),INDEX(m_label,_xlfn.MAXIFS(m_row,m_teacher,C$4,m_date,($G$2+4),m_active,1,m_start,"&lt;"&amp;720,m_end,"&gt;"&amp;660))))))</f>
        <v/>
      </c>
      <c r="D51" s="82" t="str">
        <f aca="false">IF(OR(D$4="",MONTH(($G$2+4))&lt;&gt;MONTH($C$2)),"",IF(COUNTIFS(m_teacher,D$4,m_date,($G$2+4),m_active,1,m_start,"&lt;"&amp;720,m_end,"&gt;"&amp;660)=0,"",IF(COUNTIFS(m_teacher,D$4,m_date,($G$2+4),m_active,1,m_start,"&lt;"&amp;720,m_end,"&gt;"&amp;660)&gt;1,"충돌",HYPERLINK("#'관리자_MASTER'!D"&amp;_xlfn.MAXIFS(m_row,m_teacher,D$4,m_date,($G$2+4),m_active,1,m_start,"&lt;"&amp;720,m_end,"&gt;"&amp;660),INDEX(m_label,_xlfn.MAXIFS(m_row,m_teacher,D$4,m_date,($G$2+4),m_active,1,m_start,"&lt;"&amp;720,m_end,"&gt;"&amp;660))))))</f>
        <v/>
      </c>
      <c r="E51" s="82" t="str">
        <f aca="false">IF(OR(E$4="",MONTH(($G$2+4))&lt;&gt;MONTH($C$2)),"",IF(COUNTIFS(m_teacher,E$4,m_date,($G$2+4),m_active,1,m_start,"&lt;"&amp;720,m_end,"&gt;"&amp;660)=0,"",IF(COUNTIFS(m_teacher,E$4,m_date,($G$2+4),m_active,1,m_start,"&lt;"&amp;720,m_end,"&gt;"&amp;660)&gt;1,"충돌",HYPERLINK("#'관리자_MASTER'!D"&amp;_xlfn.MAXIFS(m_row,m_teacher,E$4,m_date,($G$2+4),m_active,1,m_start,"&lt;"&amp;720,m_end,"&gt;"&amp;660),INDEX(m_label,_xlfn.MAXIFS(m_row,m_teacher,E$4,m_date,($G$2+4),m_active,1,m_start,"&lt;"&amp;720,m_end,"&gt;"&amp;660))))))</f>
        <v/>
      </c>
      <c r="F51" s="82" t="str">
        <f aca="false">IF(OR(F$4="",MONTH(($G$2+4))&lt;&gt;MONTH($C$2)),"",IF(COUNTIFS(m_teacher,F$4,m_date,($G$2+4),m_active,1,m_start,"&lt;"&amp;720,m_end,"&gt;"&amp;660)=0,"",IF(COUNTIFS(m_teacher,F$4,m_date,($G$2+4),m_active,1,m_start,"&lt;"&amp;720,m_end,"&gt;"&amp;660)&gt;1,"충돌",HYPERLINK("#'관리자_MASTER'!D"&amp;_xlfn.MAXIFS(m_row,m_teacher,F$4,m_date,($G$2+4),m_active,1,m_start,"&lt;"&amp;720,m_end,"&gt;"&amp;660),INDEX(m_label,_xlfn.MAXIFS(m_row,m_teacher,F$4,m_date,($G$2+4),m_active,1,m_start,"&lt;"&amp;720,m_end,"&gt;"&amp;660))))))</f>
        <v/>
      </c>
      <c r="G51" s="82" t="str">
        <f aca="false">IF(OR(G$4="",MONTH(($G$2+4))&lt;&gt;MONTH($C$2)),"",IF(COUNTIFS(m_teacher,G$4,m_date,($G$2+4),m_active,1,m_start,"&lt;"&amp;720,m_end,"&gt;"&amp;660)=0,"",IF(COUNTIFS(m_teacher,G$4,m_date,($G$2+4),m_active,1,m_start,"&lt;"&amp;720,m_end,"&gt;"&amp;660)&gt;1,"충돌",HYPERLINK("#'관리자_MASTER'!D"&amp;_xlfn.MAXIFS(m_row,m_teacher,G$4,m_date,($G$2+4),m_active,1,m_start,"&lt;"&amp;720,m_end,"&gt;"&amp;660),INDEX(m_label,_xlfn.MAXIFS(m_row,m_teacher,G$4,m_date,($G$2+4),m_active,1,m_start,"&lt;"&amp;720,m_end,"&gt;"&amp;660))))))</f>
        <v/>
      </c>
      <c r="H51" s="82" t="str">
        <f aca="false">IF(OR(H$4="",MONTH(($G$2+4))&lt;&gt;MONTH($C$2)),"",IF(COUNTIFS(m_teacher,H$4,m_date,($G$2+4),m_active,1,m_start,"&lt;"&amp;720,m_end,"&gt;"&amp;660)=0,"",IF(COUNTIFS(m_teacher,H$4,m_date,($G$2+4),m_active,1,m_start,"&lt;"&amp;720,m_end,"&gt;"&amp;660)&gt;1,"충돌",HYPERLINK("#'관리자_MASTER'!D"&amp;_xlfn.MAXIFS(m_row,m_teacher,H$4,m_date,($G$2+4),m_active,1,m_start,"&lt;"&amp;720,m_end,"&gt;"&amp;660),INDEX(m_label,_xlfn.MAXIFS(m_row,m_teacher,H$4,m_date,($G$2+4),m_active,1,m_start,"&lt;"&amp;720,m_end,"&gt;"&amp;660))))))</f>
        <v/>
      </c>
      <c r="I51" s="82" t="str">
        <f aca="false">IF(OR(I$4="",MONTH(($G$2+4))&lt;&gt;MONTH($C$2)),"",IF(COUNTIFS(m_teacher,I$4,m_date,($G$2+4),m_active,1,m_start,"&lt;"&amp;720,m_end,"&gt;"&amp;660)=0,"",IF(COUNTIFS(m_teacher,I$4,m_date,($G$2+4),m_active,1,m_start,"&lt;"&amp;720,m_end,"&gt;"&amp;660)&gt;1,"충돌",HYPERLINK("#'관리자_MASTER'!D"&amp;_xlfn.MAXIFS(m_row,m_teacher,I$4,m_date,($G$2+4),m_active,1,m_start,"&lt;"&amp;720,m_end,"&gt;"&amp;660),INDEX(m_label,_xlfn.MAXIFS(m_row,m_teacher,I$4,m_date,($G$2+4),m_active,1,m_start,"&lt;"&amp;720,m_end,"&gt;"&amp;660))))))</f>
        <v/>
      </c>
      <c r="J51" s="82" t="str">
        <f aca="false">IF(OR(J$4="",MONTH(($G$2+4))&lt;&gt;MONTH($C$2)),"",IF(COUNTIFS(m_teacher,J$4,m_date,($G$2+4),m_active,1,m_start,"&lt;"&amp;720,m_end,"&gt;"&amp;660)=0,"",IF(COUNTIFS(m_teacher,J$4,m_date,($G$2+4),m_active,1,m_start,"&lt;"&amp;720,m_end,"&gt;"&amp;660)&gt;1,"충돌",HYPERLINK("#'관리자_MASTER'!D"&amp;_xlfn.MAXIFS(m_row,m_teacher,J$4,m_date,($G$2+4),m_active,1,m_start,"&lt;"&amp;720,m_end,"&gt;"&amp;660),INDEX(m_label,_xlfn.MAXIFS(m_row,m_teacher,J$4,m_date,($G$2+4),m_active,1,m_start,"&lt;"&amp;720,m_end,"&gt;"&amp;660))))))</f>
        <v/>
      </c>
      <c r="K51" s="82" t="str">
        <f aca="false">IF(OR(K$4="",MONTH(($G$2+4))&lt;&gt;MONTH($C$2)),"",IF(COUNTIFS(m_teacher,K$4,m_date,($G$2+4),m_active,1,m_start,"&lt;"&amp;720,m_end,"&gt;"&amp;660)=0,"",IF(COUNTIFS(m_teacher,K$4,m_date,($G$2+4),m_active,1,m_start,"&lt;"&amp;720,m_end,"&gt;"&amp;660)&gt;1,"충돌",HYPERLINK("#'관리자_MASTER'!D"&amp;_xlfn.MAXIFS(m_row,m_teacher,K$4,m_date,($G$2+4),m_active,1,m_start,"&lt;"&amp;720,m_end,"&gt;"&amp;660),INDEX(m_label,_xlfn.MAXIFS(m_row,m_teacher,K$4,m_date,($G$2+4),m_active,1,m_start,"&lt;"&amp;720,m_end,"&gt;"&amp;660))))))</f>
        <v/>
      </c>
      <c r="L51" s="82" t="str">
        <f aca="false">IF(OR(L$4="",MONTH(($G$2+4))&lt;&gt;MONTH($C$2)),"",IF(COUNTIFS(m_teacher,L$4,m_date,($G$2+4),m_active,1,m_start,"&lt;"&amp;720,m_end,"&gt;"&amp;660)=0,"",IF(COUNTIFS(m_teacher,L$4,m_date,($G$2+4),m_active,1,m_start,"&lt;"&amp;720,m_end,"&gt;"&amp;660)&gt;1,"충돌",HYPERLINK("#'관리자_MASTER'!D"&amp;_xlfn.MAXIFS(m_row,m_teacher,L$4,m_date,($G$2+4),m_active,1,m_start,"&lt;"&amp;720,m_end,"&gt;"&amp;660),INDEX(m_label,_xlfn.MAXIFS(m_row,m_teacher,L$4,m_date,($G$2+4),m_active,1,m_start,"&lt;"&amp;720,m_end,"&gt;"&amp;660))))))</f>
        <v/>
      </c>
      <c r="M51" s="82" t="str">
        <f aca="false">IF(OR(M$4="",MONTH(($G$2+4))&lt;&gt;MONTH($C$2)),"",IF(COUNTIFS(m_teacher,M$4,m_date,($G$2+4),m_active,1,m_start,"&lt;"&amp;720,m_end,"&gt;"&amp;660)=0,"",IF(COUNTIFS(m_teacher,M$4,m_date,($G$2+4),m_active,1,m_start,"&lt;"&amp;720,m_end,"&gt;"&amp;660)&gt;1,"충돌",HYPERLINK("#'관리자_MASTER'!D"&amp;_xlfn.MAXIFS(m_row,m_teacher,M$4,m_date,($G$2+4),m_active,1,m_start,"&lt;"&amp;720,m_end,"&gt;"&amp;660),INDEX(m_label,_xlfn.MAXIFS(m_row,m_teacher,M$4,m_date,($G$2+4),m_active,1,m_start,"&lt;"&amp;720,m_end,"&gt;"&amp;660))))))</f>
        <v/>
      </c>
      <c r="N51" s="82" t="str">
        <f aca="false">IF(OR(N$4="",MONTH(($G$2+4))&lt;&gt;MONTH($C$2)),"",IF(COUNTIFS(m_teacher,N$4,m_date,($G$2+4),m_active,1,m_start,"&lt;"&amp;720,m_end,"&gt;"&amp;660)=0,"",IF(COUNTIFS(m_teacher,N$4,m_date,($G$2+4),m_active,1,m_start,"&lt;"&amp;720,m_end,"&gt;"&amp;660)&gt;1,"충돌",HYPERLINK("#'관리자_MASTER'!D"&amp;_xlfn.MAXIFS(m_row,m_teacher,N$4,m_date,($G$2+4),m_active,1,m_start,"&lt;"&amp;720,m_end,"&gt;"&amp;660),INDEX(m_label,_xlfn.MAXIFS(m_row,m_teacher,N$4,m_date,($G$2+4),m_active,1,m_start,"&lt;"&amp;720,m_end,"&gt;"&amp;660))))))</f>
        <v/>
      </c>
      <c r="O51" s="78"/>
      <c r="P51" s="79" t="s">
        <v>93</v>
      </c>
      <c r="Q51" s="82" t="str">
        <f aca="false">IF(OR(Q$4="",MONTH(($G$2+11))&lt;&gt;MONTH($C$2)),"",IF(COUNTIFS(m_teacher,Q$4,m_date,($G$2+11),m_active,1,m_start,"&lt;"&amp;720,m_end,"&gt;"&amp;660)=0,"",IF(COUNTIFS(m_teacher,Q$4,m_date,($G$2+11),m_active,1,m_start,"&lt;"&amp;720,m_end,"&gt;"&amp;660)&gt;1,"충돌",HYPERLINK("#'관리자_MASTER'!D"&amp;_xlfn.MAXIFS(m_row,m_teacher,Q$4,m_date,($G$2+11),m_active,1,m_start,"&lt;"&amp;720,m_end,"&gt;"&amp;660),INDEX(m_label,_xlfn.MAXIFS(m_row,m_teacher,Q$4,m_date,($G$2+11),m_active,1,m_start,"&lt;"&amp;720,m_end,"&gt;"&amp;660))))))</f>
        <v/>
      </c>
      <c r="R51" s="82" t="str">
        <f aca="false">IF(OR(R$4="",MONTH(($G$2+11))&lt;&gt;MONTH($C$2)),"",IF(COUNTIFS(m_teacher,R$4,m_date,($G$2+11),m_active,1,m_start,"&lt;"&amp;720,m_end,"&gt;"&amp;660)=0,"",IF(COUNTIFS(m_teacher,R$4,m_date,($G$2+11),m_active,1,m_start,"&lt;"&amp;720,m_end,"&gt;"&amp;660)&gt;1,"충돌",HYPERLINK("#'관리자_MASTER'!D"&amp;_xlfn.MAXIFS(m_row,m_teacher,R$4,m_date,($G$2+11),m_active,1,m_start,"&lt;"&amp;720,m_end,"&gt;"&amp;660),INDEX(m_label,_xlfn.MAXIFS(m_row,m_teacher,R$4,m_date,($G$2+11),m_active,1,m_start,"&lt;"&amp;720,m_end,"&gt;"&amp;660))))))</f>
        <v/>
      </c>
      <c r="S51" s="82" t="str">
        <f aca="false">IF(OR(S$4="",MONTH(($G$2+11))&lt;&gt;MONTH($C$2)),"",IF(COUNTIFS(m_teacher,S$4,m_date,($G$2+11),m_active,1,m_start,"&lt;"&amp;720,m_end,"&gt;"&amp;660)=0,"",IF(COUNTIFS(m_teacher,S$4,m_date,($G$2+11),m_active,1,m_start,"&lt;"&amp;720,m_end,"&gt;"&amp;660)&gt;1,"충돌",HYPERLINK("#'관리자_MASTER'!D"&amp;_xlfn.MAXIFS(m_row,m_teacher,S$4,m_date,($G$2+11),m_active,1,m_start,"&lt;"&amp;720,m_end,"&gt;"&amp;660),INDEX(m_label,_xlfn.MAXIFS(m_row,m_teacher,S$4,m_date,($G$2+11),m_active,1,m_start,"&lt;"&amp;720,m_end,"&gt;"&amp;660))))))</f>
        <v/>
      </c>
      <c r="T51" s="82" t="str">
        <f aca="false">IF(OR(T$4="",MONTH(($G$2+11))&lt;&gt;MONTH($C$2)),"",IF(COUNTIFS(m_teacher,T$4,m_date,($G$2+11),m_active,1,m_start,"&lt;"&amp;720,m_end,"&gt;"&amp;660)=0,"",IF(COUNTIFS(m_teacher,T$4,m_date,($G$2+11),m_active,1,m_start,"&lt;"&amp;720,m_end,"&gt;"&amp;660)&gt;1,"충돌",HYPERLINK("#'관리자_MASTER'!D"&amp;_xlfn.MAXIFS(m_row,m_teacher,T$4,m_date,($G$2+11),m_active,1,m_start,"&lt;"&amp;720,m_end,"&gt;"&amp;660),INDEX(m_label,_xlfn.MAXIFS(m_row,m_teacher,T$4,m_date,($G$2+11),m_active,1,m_start,"&lt;"&amp;720,m_end,"&gt;"&amp;660))))))</f>
        <v/>
      </c>
      <c r="U51" s="82" t="str">
        <f aca="false">IF(OR(U$4="",MONTH(($G$2+11))&lt;&gt;MONTH($C$2)),"",IF(COUNTIFS(m_teacher,U$4,m_date,($G$2+11),m_active,1,m_start,"&lt;"&amp;720,m_end,"&gt;"&amp;660)=0,"",IF(COUNTIFS(m_teacher,U$4,m_date,($G$2+11),m_active,1,m_start,"&lt;"&amp;720,m_end,"&gt;"&amp;660)&gt;1,"충돌",HYPERLINK("#'관리자_MASTER'!D"&amp;_xlfn.MAXIFS(m_row,m_teacher,U$4,m_date,($G$2+11),m_active,1,m_start,"&lt;"&amp;720,m_end,"&gt;"&amp;660),INDEX(m_label,_xlfn.MAXIFS(m_row,m_teacher,U$4,m_date,($G$2+11),m_active,1,m_start,"&lt;"&amp;720,m_end,"&gt;"&amp;660))))))</f>
        <v/>
      </c>
      <c r="V51" s="82" t="str">
        <f aca="false">IF(OR(V$4="",MONTH(($G$2+11))&lt;&gt;MONTH($C$2)),"",IF(COUNTIFS(m_teacher,V$4,m_date,($G$2+11),m_active,1,m_start,"&lt;"&amp;720,m_end,"&gt;"&amp;660)=0,"",IF(COUNTIFS(m_teacher,V$4,m_date,($G$2+11),m_active,1,m_start,"&lt;"&amp;720,m_end,"&gt;"&amp;660)&gt;1,"충돌",HYPERLINK("#'관리자_MASTER'!D"&amp;_xlfn.MAXIFS(m_row,m_teacher,V$4,m_date,($G$2+11),m_active,1,m_start,"&lt;"&amp;720,m_end,"&gt;"&amp;660),INDEX(m_label,_xlfn.MAXIFS(m_row,m_teacher,V$4,m_date,($G$2+11),m_active,1,m_start,"&lt;"&amp;720,m_end,"&gt;"&amp;660))))))</f>
        <v/>
      </c>
      <c r="W51" s="82" t="str">
        <f aca="false">IF(OR(W$4="",MONTH(($G$2+11))&lt;&gt;MONTH($C$2)),"",IF(COUNTIFS(m_teacher,W$4,m_date,($G$2+11),m_active,1,m_start,"&lt;"&amp;720,m_end,"&gt;"&amp;660)=0,"",IF(COUNTIFS(m_teacher,W$4,m_date,($G$2+11),m_active,1,m_start,"&lt;"&amp;720,m_end,"&gt;"&amp;660)&gt;1,"충돌",HYPERLINK("#'관리자_MASTER'!D"&amp;_xlfn.MAXIFS(m_row,m_teacher,W$4,m_date,($G$2+11),m_active,1,m_start,"&lt;"&amp;720,m_end,"&gt;"&amp;660),INDEX(m_label,_xlfn.MAXIFS(m_row,m_teacher,W$4,m_date,($G$2+11),m_active,1,m_start,"&lt;"&amp;720,m_end,"&gt;"&amp;660))))))</f>
        <v/>
      </c>
      <c r="X51" s="82" t="str">
        <f aca="false">IF(OR(X$4="",MONTH(($G$2+11))&lt;&gt;MONTH($C$2)),"",IF(COUNTIFS(m_teacher,X$4,m_date,($G$2+11),m_active,1,m_start,"&lt;"&amp;720,m_end,"&gt;"&amp;660)=0,"",IF(COUNTIFS(m_teacher,X$4,m_date,($G$2+11),m_active,1,m_start,"&lt;"&amp;720,m_end,"&gt;"&amp;660)&gt;1,"충돌",HYPERLINK("#'관리자_MASTER'!D"&amp;_xlfn.MAXIFS(m_row,m_teacher,X$4,m_date,($G$2+11),m_active,1,m_start,"&lt;"&amp;720,m_end,"&gt;"&amp;660),INDEX(m_label,_xlfn.MAXIFS(m_row,m_teacher,X$4,m_date,($G$2+11),m_active,1,m_start,"&lt;"&amp;720,m_end,"&gt;"&amp;660))))))</f>
        <v/>
      </c>
      <c r="Y51" s="82" t="str">
        <f aca="false">IF(OR(Y$4="",MONTH(($G$2+11))&lt;&gt;MONTH($C$2)),"",IF(COUNTIFS(m_teacher,Y$4,m_date,($G$2+11),m_active,1,m_start,"&lt;"&amp;720,m_end,"&gt;"&amp;660)=0,"",IF(COUNTIFS(m_teacher,Y$4,m_date,($G$2+11),m_active,1,m_start,"&lt;"&amp;720,m_end,"&gt;"&amp;660)&gt;1,"충돌",HYPERLINK("#'관리자_MASTER'!D"&amp;_xlfn.MAXIFS(m_row,m_teacher,Y$4,m_date,($G$2+11),m_active,1,m_start,"&lt;"&amp;720,m_end,"&gt;"&amp;660),INDEX(m_label,_xlfn.MAXIFS(m_row,m_teacher,Y$4,m_date,($G$2+11),m_active,1,m_start,"&lt;"&amp;720,m_end,"&gt;"&amp;660))))))</f>
        <v/>
      </c>
      <c r="Z51" s="82" t="str">
        <f aca="false">IF(OR(Z$4="",MONTH(($G$2+11))&lt;&gt;MONTH($C$2)),"",IF(COUNTIFS(m_teacher,Z$4,m_date,($G$2+11),m_active,1,m_start,"&lt;"&amp;720,m_end,"&gt;"&amp;660)=0,"",IF(COUNTIFS(m_teacher,Z$4,m_date,($G$2+11),m_active,1,m_start,"&lt;"&amp;720,m_end,"&gt;"&amp;660)&gt;1,"충돌",HYPERLINK("#'관리자_MASTER'!D"&amp;_xlfn.MAXIFS(m_row,m_teacher,Z$4,m_date,($G$2+11),m_active,1,m_start,"&lt;"&amp;720,m_end,"&gt;"&amp;660),INDEX(m_label,_xlfn.MAXIFS(m_row,m_teacher,Z$4,m_date,($G$2+11),m_active,1,m_start,"&lt;"&amp;720,m_end,"&gt;"&amp;660))))))</f>
        <v/>
      </c>
      <c r="AA51" s="82" t="str">
        <f aca="false">IF(OR(AA$4="",MONTH(($G$2+11))&lt;&gt;MONTH($C$2)),"",IF(COUNTIFS(m_teacher,AA$4,m_date,($G$2+11),m_active,1,m_start,"&lt;"&amp;720,m_end,"&gt;"&amp;660)=0,"",IF(COUNTIFS(m_teacher,AA$4,m_date,($G$2+11),m_active,1,m_start,"&lt;"&amp;720,m_end,"&gt;"&amp;660)&gt;1,"충돌",HYPERLINK("#'관리자_MASTER'!D"&amp;_xlfn.MAXIFS(m_row,m_teacher,AA$4,m_date,($G$2+11),m_active,1,m_start,"&lt;"&amp;720,m_end,"&gt;"&amp;660),INDEX(m_label,_xlfn.MAXIFS(m_row,m_teacher,AA$4,m_date,($G$2+11),m_active,1,m_start,"&lt;"&amp;720,m_end,"&gt;"&amp;660))))))</f>
        <v/>
      </c>
      <c r="AB51" s="82" t="str">
        <f aca="false">IF(OR(AB$4="",MONTH(($G$2+11))&lt;&gt;MONTH($C$2)),"",IF(COUNTIFS(m_teacher,AB$4,m_date,($G$2+11),m_active,1,m_start,"&lt;"&amp;720,m_end,"&gt;"&amp;660)=0,"",IF(COUNTIFS(m_teacher,AB$4,m_date,($G$2+11),m_active,1,m_start,"&lt;"&amp;720,m_end,"&gt;"&amp;660)&gt;1,"충돌",HYPERLINK("#'관리자_MASTER'!D"&amp;_xlfn.MAXIFS(m_row,m_teacher,AB$4,m_date,($G$2+11),m_active,1,m_start,"&lt;"&amp;720,m_end,"&gt;"&amp;660),INDEX(m_label,_xlfn.MAXIFS(m_row,m_teacher,AB$4,m_date,($G$2+11),m_active,1,m_start,"&lt;"&amp;720,m_end,"&gt;"&amp;660))))))</f>
        <v/>
      </c>
      <c r="AC51" s="78"/>
      <c r="AD51" s="79" t="s">
        <v>93</v>
      </c>
      <c r="AE51" s="82" t="str">
        <f aca="false">IF(OR(AE$4="",MONTH(($G$2+18))&lt;&gt;MONTH($C$2)),"",IF(COUNTIFS(m_teacher,AE$4,m_date,($G$2+18),m_active,1,m_start,"&lt;"&amp;720,m_end,"&gt;"&amp;660)=0,"",IF(COUNTIFS(m_teacher,AE$4,m_date,($G$2+18),m_active,1,m_start,"&lt;"&amp;720,m_end,"&gt;"&amp;660)&gt;1,"충돌",HYPERLINK("#'관리자_MASTER'!D"&amp;_xlfn.MAXIFS(m_row,m_teacher,AE$4,m_date,($G$2+18),m_active,1,m_start,"&lt;"&amp;720,m_end,"&gt;"&amp;660),INDEX(m_label,_xlfn.MAXIFS(m_row,m_teacher,AE$4,m_date,($G$2+18),m_active,1,m_start,"&lt;"&amp;720,m_end,"&gt;"&amp;660))))))</f>
        <v/>
      </c>
      <c r="AF51" s="82" t="str">
        <f aca="false">IF(OR(AF$4="",MONTH(($G$2+18))&lt;&gt;MONTH($C$2)),"",IF(COUNTIFS(m_teacher,AF$4,m_date,($G$2+18),m_active,1,m_start,"&lt;"&amp;720,m_end,"&gt;"&amp;660)=0,"",IF(COUNTIFS(m_teacher,AF$4,m_date,($G$2+18),m_active,1,m_start,"&lt;"&amp;720,m_end,"&gt;"&amp;660)&gt;1,"충돌",HYPERLINK("#'관리자_MASTER'!D"&amp;_xlfn.MAXIFS(m_row,m_teacher,AF$4,m_date,($G$2+18),m_active,1,m_start,"&lt;"&amp;720,m_end,"&gt;"&amp;660),INDEX(m_label,_xlfn.MAXIFS(m_row,m_teacher,AF$4,m_date,($G$2+18),m_active,1,m_start,"&lt;"&amp;720,m_end,"&gt;"&amp;660))))))</f>
        <v/>
      </c>
      <c r="AG51" s="82" t="str">
        <f aca="false">IF(OR(AG$4="",MONTH(($G$2+18))&lt;&gt;MONTH($C$2)),"",IF(COUNTIFS(m_teacher,AG$4,m_date,($G$2+18),m_active,1,m_start,"&lt;"&amp;720,m_end,"&gt;"&amp;660)=0,"",IF(COUNTIFS(m_teacher,AG$4,m_date,($G$2+18),m_active,1,m_start,"&lt;"&amp;720,m_end,"&gt;"&amp;660)&gt;1,"충돌",HYPERLINK("#'관리자_MASTER'!D"&amp;_xlfn.MAXIFS(m_row,m_teacher,AG$4,m_date,($G$2+18),m_active,1,m_start,"&lt;"&amp;720,m_end,"&gt;"&amp;660),INDEX(m_label,_xlfn.MAXIFS(m_row,m_teacher,AG$4,m_date,($G$2+18),m_active,1,m_start,"&lt;"&amp;720,m_end,"&gt;"&amp;660))))))</f>
        <v/>
      </c>
      <c r="AH51" s="82" t="str">
        <f aca="false">IF(OR(AH$4="",MONTH(($G$2+18))&lt;&gt;MONTH($C$2)),"",IF(COUNTIFS(m_teacher,AH$4,m_date,($G$2+18),m_active,1,m_start,"&lt;"&amp;720,m_end,"&gt;"&amp;660)=0,"",IF(COUNTIFS(m_teacher,AH$4,m_date,($G$2+18),m_active,1,m_start,"&lt;"&amp;720,m_end,"&gt;"&amp;660)&gt;1,"충돌",HYPERLINK("#'관리자_MASTER'!D"&amp;_xlfn.MAXIFS(m_row,m_teacher,AH$4,m_date,($G$2+18),m_active,1,m_start,"&lt;"&amp;720,m_end,"&gt;"&amp;660),INDEX(m_label,_xlfn.MAXIFS(m_row,m_teacher,AH$4,m_date,($G$2+18),m_active,1,m_start,"&lt;"&amp;720,m_end,"&gt;"&amp;660))))))</f>
        <v/>
      </c>
      <c r="AI51" s="82" t="str">
        <f aca="false">IF(OR(AI$4="",MONTH(($G$2+18))&lt;&gt;MONTH($C$2)),"",IF(COUNTIFS(m_teacher,AI$4,m_date,($G$2+18),m_active,1,m_start,"&lt;"&amp;720,m_end,"&gt;"&amp;660)=0,"",IF(COUNTIFS(m_teacher,AI$4,m_date,($G$2+18),m_active,1,m_start,"&lt;"&amp;720,m_end,"&gt;"&amp;660)&gt;1,"충돌",HYPERLINK("#'관리자_MASTER'!D"&amp;_xlfn.MAXIFS(m_row,m_teacher,AI$4,m_date,($G$2+18),m_active,1,m_start,"&lt;"&amp;720,m_end,"&gt;"&amp;660),INDEX(m_label,_xlfn.MAXIFS(m_row,m_teacher,AI$4,m_date,($G$2+18),m_active,1,m_start,"&lt;"&amp;720,m_end,"&gt;"&amp;660))))))</f>
        <v/>
      </c>
      <c r="AJ51" s="82" t="str">
        <f aca="false">IF(OR(AJ$4="",MONTH(($G$2+18))&lt;&gt;MONTH($C$2)),"",IF(COUNTIFS(m_teacher,AJ$4,m_date,($G$2+18),m_active,1,m_start,"&lt;"&amp;720,m_end,"&gt;"&amp;660)=0,"",IF(COUNTIFS(m_teacher,AJ$4,m_date,($G$2+18),m_active,1,m_start,"&lt;"&amp;720,m_end,"&gt;"&amp;660)&gt;1,"충돌",HYPERLINK("#'관리자_MASTER'!D"&amp;_xlfn.MAXIFS(m_row,m_teacher,AJ$4,m_date,($G$2+18),m_active,1,m_start,"&lt;"&amp;720,m_end,"&gt;"&amp;660),INDEX(m_label,_xlfn.MAXIFS(m_row,m_teacher,AJ$4,m_date,($G$2+18),m_active,1,m_start,"&lt;"&amp;720,m_end,"&gt;"&amp;660))))))</f>
        <v/>
      </c>
      <c r="AK51" s="82" t="str">
        <f aca="false">IF(OR(AK$4="",MONTH(($G$2+18))&lt;&gt;MONTH($C$2)),"",IF(COUNTIFS(m_teacher,AK$4,m_date,($G$2+18),m_active,1,m_start,"&lt;"&amp;720,m_end,"&gt;"&amp;660)=0,"",IF(COUNTIFS(m_teacher,AK$4,m_date,($G$2+18),m_active,1,m_start,"&lt;"&amp;720,m_end,"&gt;"&amp;660)&gt;1,"충돌",HYPERLINK("#'관리자_MASTER'!D"&amp;_xlfn.MAXIFS(m_row,m_teacher,AK$4,m_date,($G$2+18),m_active,1,m_start,"&lt;"&amp;720,m_end,"&gt;"&amp;660),INDEX(m_label,_xlfn.MAXIFS(m_row,m_teacher,AK$4,m_date,($G$2+18),m_active,1,m_start,"&lt;"&amp;720,m_end,"&gt;"&amp;660))))))</f>
        <v/>
      </c>
      <c r="AL51" s="82" t="str">
        <f aca="false">IF(OR(AL$4="",MONTH(($G$2+18))&lt;&gt;MONTH($C$2)),"",IF(COUNTIFS(m_teacher,AL$4,m_date,($G$2+18),m_active,1,m_start,"&lt;"&amp;720,m_end,"&gt;"&amp;660)=0,"",IF(COUNTIFS(m_teacher,AL$4,m_date,($G$2+18),m_active,1,m_start,"&lt;"&amp;720,m_end,"&gt;"&amp;660)&gt;1,"충돌",HYPERLINK("#'관리자_MASTER'!D"&amp;_xlfn.MAXIFS(m_row,m_teacher,AL$4,m_date,($G$2+18),m_active,1,m_start,"&lt;"&amp;720,m_end,"&gt;"&amp;660),INDEX(m_label,_xlfn.MAXIFS(m_row,m_teacher,AL$4,m_date,($G$2+18),m_active,1,m_start,"&lt;"&amp;720,m_end,"&gt;"&amp;660))))))</f>
        <v/>
      </c>
      <c r="AM51" s="82" t="str">
        <f aca="false">IF(OR(AM$4="",MONTH(($G$2+18))&lt;&gt;MONTH($C$2)),"",IF(COUNTIFS(m_teacher,AM$4,m_date,($G$2+18),m_active,1,m_start,"&lt;"&amp;720,m_end,"&gt;"&amp;660)=0,"",IF(COUNTIFS(m_teacher,AM$4,m_date,($G$2+18),m_active,1,m_start,"&lt;"&amp;720,m_end,"&gt;"&amp;660)&gt;1,"충돌",HYPERLINK("#'관리자_MASTER'!D"&amp;_xlfn.MAXIFS(m_row,m_teacher,AM$4,m_date,($G$2+18),m_active,1,m_start,"&lt;"&amp;720,m_end,"&gt;"&amp;660),INDEX(m_label,_xlfn.MAXIFS(m_row,m_teacher,AM$4,m_date,($G$2+18),m_active,1,m_start,"&lt;"&amp;720,m_end,"&gt;"&amp;660))))))</f>
        <v/>
      </c>
      <c r="AN51" s="82" t="str">
        <f aca="false">IF(OR(AN$4="",MONTH(($G$2+18))&lt;&gt;MONTH($C$2)),"",IF(COUNTIFS(m_teacher,AN$4,m_date,($G$2+18),m_active,1,m_start,"&lt;"&amp;720,m_end,"&gt;"&amp;660)=0,"",IF(COUNTIFS(m_teacher,AN$4,m_date,($G$2+18),m_active,1,m_start,"&lt;"&amp;720,m_end,"&gt;"&amp;660)&gt;1,"충돌",HYPERLINK("#'관리자_MASTER'!D"&amp;_xlfn.MAXIFS(m_row,m_teacher,AN$4,m_date,($G$2+18),m_active,1,m_start,"&lt;"&amp;720,m_end,"&gt;"&amp;660),INDEX(m_label,_xlfn.MAXIFS(m_row,m_teacher,AN$4,m_date,($G$2+18),m_active,1,m_start,"&lt;"&amp;720,m_end,"&gt;"&amp;660))))))</f>
        <v/>
      </c>
      <c r="AO51" s="82" t="str">
        <f aca="false">IF(OR(AO$4="",MONTH(($G$2+18))&lt;&gt;MONTH($C$2)),"",IF(COUNTIFS(m_teacher,AO$4,m_date,($G$2+18),m_active,1,m_start,"&lt;"&amp;720,m_end,"&gt;"&amp;660)=0,"",IF(COUNTIFS(m_teacher,AO$4,m_date,($G$2+18),m_active,1,m_start,"&lt;"&amp;720,m_end,"&gt;"&amp;660)&gt;1,"충돌",HYPERLINK("#'관리자_MASTER'!D"&amp;_xlfn.MAXIFS(m_row,m_teacher,AO$4,m_date,($G$2+18),m_active,1,m_start,"&lt;"&amp;720,m_end,"&gt;"&amp;660),INDEX(m_label,_xlfn.MAXIFS(m_row,m_teacher,AO$4,m_date,($G$2+18),m_active,1,m_start,"&lt;"&amp;720,m_end,"&gt;"&amp;660))))))</f>
        <v/>
      </c>
      <c r="AP51" s="82" t="str">
        <f aca="false">IF(OR(AP$4="",MONTH(($G$2+18))&lt;&gt;MONTH($C$2)),"",IF(COUNTIFS(m_teacher,AP$4,m_date,($G$2+18),m_active,1,m_start,"&lt;"&amp;720,m_end,"&gt;"&amp;660)=0,"",IF(COUNTIFS(m_teacher,AP$4,m_date,($G$2+18),m_active,1,m_start,"&lt;"&amp;720,m_end,"&gt;"&amp;660)&gt;1,"충돌",HYPERLINK("#'관리자_MASTER'!D"&amp;_xlfn.MAXIFS(m_row,m_teacher,AP$4,m_date,($G$2+18),m_active,1,m_start,"&lt;"&amp;720,m_end,"&gt;"&amp;660),INDEX(m_label,_xlfn.MAXIFS(m_row,m_teacher,AP$4,m_date,($G$2+18),m_active,1,m_start,"&lt;"&amp;720,m_end,"&gt;"&amp;660))))))</f>
        <v/>
      </c>
      <c r="AQ51" s="78"/>
      <c r="AR51" s="79" t="s">
        <v>93</v>
      </c>
      <c r="AS51" s="82" t="str">
        <f aca="false">IF(OR(AS$4="",MONTH(($G$2+25))&lt;&gt;MONTH($C$2)),"",IF(COUNTIFS(m_teacher,AS$4,m_date,($G$2+25),m_active,1,m_start,"&lt;"&amp;720,m_end,"&gt;"&amp;660)=0,"",IF(COUNTIFS(m_teacher,AS$4,m_date,($G$2+25),m_active,1,m_start,"&lt;"&amp;720,m_end,"&gt;"&amp;660)&gt;1,"충돌",HYPERLINK("#'관리자_MASTER'!D"&amp;_xlfn.MAXIFS(m_row,m_teacher,AS$4,m_date,($G$2+25),m_active,1,m_start,"&lt;"&amp;720,m_end,"&gt;"&amp;660),INDEX(m_label,_xlfn.MAXIFS(m_row,m_teacher,AS$4,m_date,($G$2+25),m_active,1,m_start,"&lt;"&amp;720,m_end,"&gt;"&amp;660))))))</f>
        <v/>
      </c>
      <c r="AT51" s="82" t="str">
        <f aca="false">IF(OR(AT$4="",MONTH(($G$2+25))&lt;&gt;MONTH($C$2)),"",IF(COUNTIFS(m_teacher,AT$4,m_date,($G$2+25),m_active,1,m_start,"&lt;"&amp;720,m_end,"&gt;"&amp;660)=0,"",IF(COUNTIFS(m_teacher,AT$4,m_date,($G$2+25),m_active,1,m_start,"&lt;"&amp;720,m_end,"&gt;"&amp;660)&gt;1,"충돌",HYPERLINK("#'관리자_MASTER'!D"&amp;_xlfn.MAXIFS(m_row,m_teacher,AT$4,m_date,($G$2+25),m_active,1,m_start,"&lt;"&amp;720,m_end,"&gt;"&amp;660),INDEX(m_label,_xlfn.MAXIFS(m_row,m_teacher,AT$4,m_date,($G$2+25),m_active,1,m_start,"&lt;"&amp;720,m_end,"&gt;"&amp;660))))))</f>
        <v/>
      </c>
      <c r="AU51" s="82" t="str">
        <f aca="false">IF(OR(AU$4="",MONTH(($G$2+25))&lt;&gt;MONTH($C$2)),"",IF(COUNTIFS(m_teacher,AU$4,m_date,($G$2+25),m_active,1,m_start,"&lt;"&amp;720,m_end,"&gt;"&amp;660)=0,"",IF(COUNTIFS(m_teacher,AU$4,m_date,($G$2+25),m_active,1,m_start,"&lt;"&amp;720,m_end,"&gt;"&amp;660)&gt;1,"충돌",HYPERLINK("#'관리자_MASTER'!D"&amp;_xlfn.MAXIFS(m_row,m_teacher,AU$4,m_date,($G$2+25),m_active,1,m_start,"&lt;"&amp;720,m_end,"&gt;"&amp;660),INDEX(m_label,_xlfn.MAXIFS(m_row,m_teacher,AU$4,m_date,($G$2+25),m_active,1,m_start,"&lt;"&amp;720,m_end,"&gt;"&amp;660))))))</f>
        <v/>
      </c>
      <c r="AV51" s="82" t="str">
        <f aca="false">IF(OR(AV$4="",MONTH(($G$2+25))&lt;&gt;MONTH($C$2)),"",IF(COUNTIFS(m_teacher,AV$4,m_date,($G$2+25),m_active,1,m_start,"&lt;"&amp;720,m_end,"&gt;"&amp;660)=0,"",IF(COUNTIFS(m_teacher,AV$4,m_date,($G$2+25),m_active,1,m_start,"&lt;"&amp;720,m_end,"&gt;"&amp;660)&gt;1,"충돌",HYPERLINK("#'관리자_MASTER'!D"&amp;_xlfn.MAXIFS(m_row,m_teacher,AV$4,m_date,($G$2+25),m_active,1,m_start,"&lt;"&amp;720,m_end,"&gt;"&amp;660),INDEX(m_label,_xlfn.MAXIFS(m_row,m_teacher,AV$4,m_date,($G$2+25),m_active,1,m_start,"&lt;"&amp;720,m_end,"&gt;"&amp;660))))))</f>
        <v/>
      </c>
      <c r="AW51" s="82" t="str">
        <f aca="false">IF(OR(AW$4="",MONTH(($G$2+25))&lt;&gt;MONTH($C$2)),"",IF(COUNTIFS(m_teacher,AW$4,m_date,($G$2+25),m_active,1,m_start,"&lt;"&amp;720,m_end,"&gt;"&amp;660)=0,"",IF(COUNTIFS(m_teacher,AW$4,m_date,($G$2+25),m_active,1,m_start,"&lt;"&amp;720,m_end,"&gt;"&amp;660)&gt;1,"충돌",HYPERLINK("#'관리자_MASTER'!D"&amp;_xlfn.MAXIFS(m_row,m_teacher,AW$4,m_date,($G$2+25),m_active,1,m_start,"&lt;"&amp;720,m_end,"&gt;"&amp;660),INDEX(m_label,_xlfn.MAXIFS(m_row,m_teacher,AW$4,m_date,($G$2+25),m_active,1,m_start,"&lt;"&amp;720,m_end,"&gt;"&amp;660))))))</f>
        <v/>
      </c>
      <c r="AX51" s="82" t="str">
        <f aca="false">IF(OR(AX$4="",MONTH(($G$2+25))&lt;&gt;MONTH($C$2)),"",IF(COUNTIFS(m_teacher,AX$4,m_date,($G$2+25),m_active,1,m_start,"&lt;"&amp;720,m_end,"&gt;"&amp;660)=0,"",IF(COUNTIFS(m_teacher,AX$4,m_date,($G$2+25),m_active,1,m_start,"&lt;"&amp;720,m_end,"&gt;"&amp;660)&gt;1,"충돌",HYPERLINK("#'관리자_MASTER'!D"&amp;_xlfn.MAXIFS(m_row,m_teacher,AX$4,m_date,($G$2+25),m_active,1,m_start,"&lt;"&amp;720,m_end,"&gt;"&amp;660),INDEX(m_label,_xlfn.MAXIFS(m_row,m_teacher,AX$4,m_date,($G$2+25),m_active,1,m_start,"&lt;"&amp;720,m_end,"&gt;"&amp;660))))))</f>
        <v/>
      </c>
      <c r="AY51" s="82" t="str">
        <f aca="false">IF(OR(AY$4="",MONTH(($G$2+25))&lt;&gt;MONTH($C$2)),"",IF(COUNTIFS(m_teacher,AY$4,m_date,($G$2+25),m_active,1,m_start,"&lt;"&amp;720,m_end,"&gt;"&amp;660)=0,"",IF(COUNTIFS(m_teacher,AY$4,m_date,($G$2+25),m_active,1,m_start,"&lt;"&amp;720,m_end,"&gt;"&amp;660)&gt;1,"충돌",HYPERLINK("#'관리자_MASTER'!D"&amp;_xlfn.MAXIFS(m_row,m_teacher,AY$4,m_date,($G$2+25),m_active,1,m_start,"&lt;"&amp;720,m_end,"&gt;"&amp;660),INDEX(m_label,_xlfn.MAXIFS(m_row,m_teacher,AY$4,m_date,($G$2+25),m_active,1,m_start,"&lt;"&amp;720,m_end,"&gt;"&amp;660))))))</f>
        <v/>
      </c>
      <c r="AZ51" s="82" t="str">
        <f aca="false">IF(OR(AZ$4="",MONTH(($G$2+25))&lt;&gt;MONTH($C$2)),"",IF(COUNTIFS(m_teacher,AZ$4,m_date,($G$2+25),m_active,1,m_start,"&lt;"&amp;720,m_end,"&gt;"&amp;660)=0,"",IF(COUNTIFS(m_teacher,AZ$4,m_date,($G$2+25),m_active,1,m_start,"&lt;"&amp;720,m_end,"&gt;"&amp;660)&gt;1,"충돌",HYPERLINK("#'관리자_MASTER'!D"&amp;_xlfn.MAXIFS(m_row,m_teacher,AZ$4,m_date,($G$2+25),m_active,1,m_start,"&lt;"&amp;720,m_end,"&gt;"&amp;660),INDEX(m_label,_xlfn.MAXIFS(m_row,m_teacher,AZ$4,m_date,($G$2+25),m_active,1,m_start,"&lt;"&amp;720,m_end,"&gt;"&amp;660))))))</f>
        <v/>
      </c>
      <c r="BA51" s="82" t="str">
        <f aca="false">IF(OR(BA$4="",MONTH(($G$2+25))&lt;&gt;MONTH($C$2)),"",IF(COUNTIFS(m_teacher,BA$4,m_date,($G$2+25),m_active,1,m_start,"&lt;"&amp;720,m_end,"&gt;"&amp;660)=0,"",IF(COUNTIFS(m_teacher,BA$4,m_date,($G$2+25),m_active,1,m_start,"&lt;"&amp;720,m_end,"&gt;"&amp;660)&gt;1,"충돌",HYPERLINK("#'관리자_MASTER'!D"&amp;_xlfn.MAXIFS(m_row,m_teacher,BA$4,m_date,($G$2+25),m_active,1,m_start,"&lt;"&amp;720,m_end,"&gt;"&amp;660),INDEX(m_label,_xlfn.MAXIFS(m_row,m_teacher,BA$4,m_date,($G$2+25),m_active,1,m_start,"&lt;"&amp;720,m_end,"&gt;"&amp;660))))))</f>
        <v/>
      </c>
      <c r="BB51" s="82" t="str">
        <f aca="false">IF(OR(BB$4="",MONTH(($G$2+25))&lt;&gt;MONTH($C$2)),"",IF(COUNTIFS(m_teacher,BB$4,m_date,($G$2+25),m_active,1,m_start,"&lt;"&amp;720,m_end,"&gt;"&amp;660)=0,"",IF(COUNTIFS(m_teacher,BB$4,m_date,($G$2+25),m_active,1,m_start,"&lt;"&amp;720,m_end,"&gt;"&amp;660)&gt;1,"충돌",HYPERLINK("#'관리자_MASTER'!D"&amp;_xlfn.MAXIFS(m_row,m_teacher,BB$4,m_date,($G$2+25),m_active,1,m_start,"&lt;"&amp;720,m_end,"&gt;"&amp;660),INDEX(m_label,_xlfn.MAXIFS(m_row,m_teacher,BB$4,m_date,($G$2+25),m_active,1,m_start,"&lt;"&amp;720,m_end,"&gt;"&amp;660))))))</f>
        <v/>
      </c>
      <c r="BC51" s="82" t="str">
        <f aca="false">IF(OR(BC$4="",MONTH(($G$2+25))&lt;&gt;MONTH($C$2)),"",IF(COUNTIFS(m_teacher,BC$4,m_date,($G$2+25),m_active,1,m_start,"&lt;"&amp;720,m_end,"&gt;"&amp;660)=0,"",IF(COUNTIFS(m_teacher,BC$4,m_date,($G$2+25),m_active,1,m_start,"&lt;"&amp;720,m_end,"&gt;"&amp;660)&gt;1,"충돌",HYPERLINK("#'관리자_MASTER'!D"&amp;_xlfn.MAXIFS(m_row,m_teacher,BC$4,m_date,($G$2+25),m_active,1,m_start,"&lt;"&amp;720,m_end,"&gt;"&amp;660),INDEX(m_label,_xlfn.MAXIFS(m_row,m_teacher,BC$4,m_date,($G$2+25),m_active,1,m_start,"&lt;"&amp;720,m_end,"&gt;"&amp;660))))))</f>
        <v/>
      </c>
      <c r="BD51" s="82" t="str">
        <f aca="false">IF(OR(BD$4="",MONTH(($G$2+25))&lt;&gt;MONTH($C$2)),"",IF(COUNTIFS(m_teacher,BD$4,m_date,($G$2+25),m_active,1,m_start,"&lt;"&amp;720,m_end,"&gt;"&amp;660)=0,"",IF(COUNTIFS(m_teacher,BD$4,m_date,($G$2+25),m_active,1,m_start,"&lt;"&amp;720,m_end,"&gt;"&amp;660)&gt;1,"충돌",HYPERLINK("#'관리자_MASTER'!D"&amp;_xlfn.MAXIFS(m_row,m_teacher,BD$4,m_date,($G$2+25),m_active,1,m_start,"&lt;"&amp;720,m_end,"&gt;"&amp;660),INDEX(m_label,_xlfn.MAXIFS(m_row,m_teacher,BD$4,m_date,($G$2+25),m_active,1,m_start,"&lt;"&amp;720,m_end,"&gt;"&amp;660))))))</f>
        <v/>
      </c>
      <c r="BE51" s="78"/>
      <c r="BF51" s="79" t="s">
        <v>93</v>
      </c>
      <c r="BG51" s="82" t="str">
        <f aca="false">IF(OR(BG$4="",MONTH(($G$2+32))&lt;&gt;MONTH($C$2)),"",IF(COUNTIFS(m_teacher,BG$4,m_date,($G$2+32),m_active,1,m_start,"&lt;"&amp;720,m_end,"&gt;"&amp;660)=0,"",IF(COUNTIFS(m_teacher,BG$4,m_date,($G$2+32),m_active,1,m_start,"&lt;"&amp;720,m_end,"&gt;"&amp;660)&gt;1,"충돌",HYPERLINK("#'관리자_MASTER'!D"&amp;_xlfn.MAXIFS(m_row,m_teacher,BG$4,m_date,($G$2+32),m_active,1,m_start,"&lt;"&amp;720,m_end,"&gt;"&amp;660),INDEX(m_label,_xlfn.MAXIFS(m_row,m_teacher,BG$4,m_date,($G$2+32),m_active,1,m_start,"&lt;"&amp;720,m_end,"&gt;"&amp;660))))))</f>
        <v/>
      </c>
      <c r="BH51" s="82" t="str">
        <f aca="false">IF(OR(BH$4="",MONTH(($G$2+32))&lt;&gt;MONTH($C$2)),"",IF(COUNTIFS(m_teacher,BH$4,m_date,($G$2+32),m_active,1,m_start,"&lt;"&amp;720,m_end,"&gt;"&amp;660)=0,"",IF(COUNTIFS(m_teacher,BH$4,m_date,($G$2+32),m_active,1,m_start,"&lt;"&amp;720,m_end,"&gt;"&amp;660)&gt;1,"충돌",HYPERLINK("#'관리자_MASTER'!D"&amp;_xlfn.MAXIFS(m_row,m_teacher,BH$4,m_date,($G$2+32),m_active,1,m_start,"&lt;"&amp;720,m_end,"&gt;"&amp;660),INDEX(m_label,_xlfn.MAXIFS(m_row,m_teacher,BH$4,m_date,($G$2+32),m_active,1,m_start,"&lt;"&amp;720,m_end,"&gt;"&amp;660))))))</f>
        <v/>
      </c>
      <c r="BI51" s="82" t="str">
        <f aca="false">IF(OR(BI$4="",MONTH(($G$2+32))&lt;&gt;MONTH($C$2)),"",IF(COUNTIFS(m_teacher,BI$4,m_date,($G$2+32),m_active,1,m_start,"&lt;"&amp;720,m_end,"&gt;"&amp;660)=0,"",IF(COUNTIFS(m_teacher,BI$4,m_date,($G$2+32),m_active,1,m_start,"&lt;"&amp;720,m_end,"&gt;"&amp;660)&gt;1,"충돌",HYPERLINK("#'관리자_MASTER'!D"&amp;_xlfn.MAXIFS(m_row,m_teacher,BI$4,m_date,($G$2+32),m_active,1,m_start,"&lt;"&amp;720,m_end,"&gt;"&amp;660),INDEX(m_label,_xlfn.MAXIFS(m_row,m_teacher,BI$4,m_date,($G$2+32),m_active,1,m_start,"&lt;"&amp;720,m_end,"&gt;"&amp;660))))))</f>
        <v/>
      </c>
      <c r="BJ51" s="82" t="str">
        <f aca="false">IF(OR(BJ$4="",MONTH(($G$2+32))&lt;&gt;MONTH($C$2)),"",IF(COUNTIFS(m_teacher,BJ$4,m_date,($G$2+32),m_active,1,m_start,"&lt;"&amp;720,m_end,"&gt;"&amp;660)=0,"",IF(COUNTIFS(m_teacher,BJ$4,m_date,($G$2+32),m_active,1,m_start,"&lt;"&amp;720,m_end,"&gt;"&amp;660)&gt;1,"충돌",HYPERLINK("#'관리자_MASTER'!D"&amp;_xlfn.MAXIFS(m_row,m_teacher,BJ$4,m_date,($G$2+32),m_active,1,m_start,"&lt;"&amp;720,m_end,"&gt;"&amp;660),INDEX(m_label,_xlfn.MAXIFS(m_row,m_teacher,BJ$4,m_date,($G$2+32),m_active,1,m_start,"&lt;"&amp;720,m_end,"&gt;"&amp;660))))))</f>
        <v/>
      </c>
      <c r="BK51" s="82" t="str">
        <f aca="false">IF(OR(BK$4="",MONTH(($G$2+32))&lt;&gt;MONTH($C$2)),"",IF(COUNTIFS(m_teacher,BK$4,m_date,($G$2+32),m_active,1,m_start,"&lt;"&amp;720,m_end,"&gt;"&amp;660)=0,"",IF(COUNTIFS(m_teacher,BK$4,m_date,($G$2+32),m_active,1,m_start,"&lt;"&amp;720,m_end,"&gt;"&amp;660)&gt;1,"충돌",HYPERLINK("#'관리자_MASTER'!D"&amp;_xlfn.MAXIFS(m_row,m_teacher,BK$4,m_date,($G$2+32),m_active,1,m_start,"&lt;"&amp;720,m_end,"&gt;"&amp;660),INDEX(m_label,_xlfn.MAXIFS(m_row,m_teacher,BK$4,m_date,($G$2+32),m_active,1,m_start,"&lt;"&amp;720,m_end,"&gt;"&amp;660))))))</f>
        <v/>
      </c>
      <c r="BL51" s="82" t="str">
        <f aca="false">IF(OR(BL$4="",MONTH(($G$2+32))&lt;&gt;MONTH($C$2)),"",IF(COUNTIFS(m_teacher,BL$4,m_date,($G$2+32),m_active,1,m_start,"&lt;"&amp;720,m_end,"&gt;"&amp;660)=0,"",IF(COUNTIFS(m_teacher,BL$4,m_date,($G$2+32),m_active,1,m_start,"&lt;"&amp;720,m_end,"&gt;"&amp;660)&gt;1,"충돌",HYPERLINK("#'관리자_MASTER'!D"&amp;_xlfn.MAXIFS(m_row,m_teacher,BL$4,m_date,($G$2+32),m_active,1,m_start,"&lt;"&amp;720,m_end,"&gt;"&amp;660),INDEX(m_label,_xlfn.MAXIFS(m_row,m_teacher,BL$4,m_date,($G$2+32),m_active,1,m_start,"&lt;"&amp;720,m_end,"&gt;"&amp;660))))))</f>
        <v/>
      </c>
      <c r="BM51" s="82" t="str">
        <f aca="false">IF(OR(BM$4="",MONTH(($G$2+32))&lt;&gt;MONTH($C$2)),"",IF(COUNTIFS(m_teacher,BM$4,m_date,($G$2+32),m_active,1,m_start,"&lt;"&amp;720,m_end,"&gt;"&amp;660)=0,"",IF(COUNTIFS(m_teacher,BM$4,m_date,($G$2+32),m_active,1,m_start,"&lt;"&amp;720,m_end,"&gt;"&amp;660)&gt;1,"충돌",HYPERLINK("#'관리자_MASTER'!D"&amp;_xlfn.MAXIFS(m_row,m_teacher,BM$4,m_date,($G$2+32),m_active,1,m_start,"&lt;"&amp;720,m_end,"&gt;"&amp;660),INDEX(m_label,_xlfn.MAXIFS(m_row,m_teacher,BM$4,m_date,($G$2+32),m_active,1,m_start,"&lt;"&amp;720,m_end,"&gt;"&amp;660))))))</f>
        <v/>
      </c>
      <c r="BN51" s="82" t="str">
        <f aca="false">IF(OR(BN$4="",MONTH(($G$2+32))&lt;&gt;MONTH($C$2)),"",IF(COUNTIFS(m_teacher,BN$4,m_date,($G$2+32),m_active,1,m_start,"&lt;"&amp;720,m_end,"&gt;"&amp;660)=0,"",IF(COUNTIFS(m_teacher,BN$4,m_date,($G$2+32),m_active,1,m_start,"&lt;"&amp;720,m_end,"&gt;"&amp;660)&gt;1,"충돌",HYPERLINK("#'관리자_MASTER'!D"&amp;_xlfn.MAXIFS(m_row,m_teacher,BN$4,m_date,($G$2+32),m_active,1,m_start,"&lt;"&amp;720,m_end,"&gt;"&amp;660),INDEX(m_label,_xlfn.MAXIFS(m_row,m_teacher,BN$4,m_date,($G$2+32),m_active,1,m_start,"&lt;"&amp;720,m_end,"&gt;"&amp;660))))))</f>
        <v/>
      </c>
      <c r="BO51" s="82" t="str">
        <f aca="false">IF(OR(BO$4="",MONTH(($G$2+32))&lt;&gt;MONTH($C$2)),"",IF(COUNTIFS(m_teacher,BO$4,m_date,($G$2+32),m_active,1,m_start,"&lt;"&amp;720,m_end,"&gt;"&amp;660)=0,"",IF(COUNTIFS(m_teacher,BO$4,m_date,($G$2+32),m_active,1,m_start,"&lt;"&amp;720,m_end,"&gt;"&amp;660)&gt;1,"충돌",HYPERLINK("#'관리자_MASTER'!D"&amp;_xlfn.MAXIFS(m_row,m_teacher,BO$4,m_date,($G$2+32),m_active,1,m_start,"&lt;"&amp;720,m_end,"&gt;"&amp;660),INDEX(m_label,_xlfn.MAXIFS(m_row,m_teacher,BO$4,m_date,($G$2+32),m_active,1,m_start,"&lt;"&amp;720,m_end,"&gt;"&amp;660))))))</f>
        <v/>
      </c>
      <c r="BP51" s="82" t="str">
        <f aca="false">IF(OR(BP$4="",MONTH(($G$2+32))&lt;&gt;MONTH($C$2)),"",IF(COUNTIFS(m_teacher,BP$4,m_date,($G$2+32),m_active,1,m_start,"&lt;"&amp;720,m_end,"&gt;"&amp;660)=0,"",IF(COUNTIFS(m_teacher,BP$4,m_date,($G$2+32),m_active,1,m_start,"&lt;"&amp;720,m_end,"&gt;"&amp;660)&gt;1,"충돌",HYPERLINK("#'관리자_MASTER'!D"&amp;_xlfn.MAXIFS(m_row,m_teacher,BP$4,m_date,($G$2+32),m_active,1,m_start,"&lt;"&amp;720,m_end,"&gt;"&amp;660),INDEX(m_label,_xlfn.MAXIFS(m_row,m_teacher,BP$4,m_date,($G$2+32),m_active,1,m_start,"&lt;"&amp;720,m_end,"&gt;"&amp;660))))))</f>
        <v/>
      </c>
      <c r="BQ51" s="82" t="str">
        <f aca="false">IF(OR(BQ$4="",MONTH(($G$2+32))&lt;&gt;MONTH($C$2)),"",IF(COUNTIFS(m_teacher,BQ$4,m_date,($G$2+32),m_active,1,m_start,"&lt;"&amp;720,m_end,"&gt;"&amp;660)=0,"",IF(COUNTIFS(m_teacher,BQ$4,m_date,($G$2+32),m_active,1,m_start,"&lt;"&amp;720,m_end,"&gt;"&amp;660)&gt;1,"충돌",HYPERLINK("#'관리자_MASTER'!D"&amp;_xlfn.MAXIFS(m_row,m_teacher,BQ$4,m_date,($G$2+32),m_active,1,m_start,"&lt;"&amp;720,m_end,"&gt;"&amp;660),INDEX(m_label,_xlfn.MAXIFS(m_row,m_teacher,BQ$4,m_date,($G$2+32),m_active,1,m_start,"&lt;"&amp;720,m_end,"&gt;"&amp;660))))))</f>
        <v/>
      </c>
      <c r="BR51" s="82" t="str">
        <f aca="false">IF(OR(BR$4="",MONTH(($G$2+32))&lt;&gt;MONTH($C$2)),"",IF(COUNTIFS(m_teacher,BR$4,m_date,($G$2+32),m_active,1,m_start,"&lt;"&amp;720,m_end,"&gt;"&amp;660)=0,"",IF(COUNTIFS(m_teacher,BR$4,m_date,($G$2+32),m_active,1,m_start,"&lt;"&amp;720,m_end,"&gt;"&amp;660)&gt;1,"충돌",HYPERLINK("#'관리자_MASTER'!D"&amp;_xlfn.MAXIFS(m_row,m_teacher,BR$4,m_date,($G$2+32),m_active,1,m_start,"&lt;"&amp;720,m_end,"&gt;"&amp;660),INDEX(m_label,_xlfn.MAXIFS(m_row,m_teacher,BR$4,m_date,($G$2+32),m_active,1,m_start,"&lt;"&amp;720,m_end,"&gt;"&amp;660))))))</f>
        <v/>
      </c>
    </row>
    <row r="52" customFormat="false" ht="19.5" hidden="false" customHeight="true" outlineLevel="0" collapsed="false">
      <c r="A52" s="78"/>
      <c r="B52" s="79" t="s">
        <v>94</v>
      </c>
      <c r="C52" s="82" t="str">
        <f aca="false">IF(OR(C$4="",MONTH(($G$2+4))&lt;&gt;MONTH($C$2)),"",IF(COUNTIFS(m_teacher,C$4,m_date,($G$2+4),m_active,1,m_start,"&lt;"&amp;780,m_end,"&gt;"&amp;720)=0,"",IF(COUNTIFS(m_teacher,C$4,m_date,($G$2+4),m_active,1,m_start,"&lt;"&amp;780,m_end,"&gt;"&amp;720)&gt;1,"충돌",HYPERLINK("#'관리자_MASTER'!D"&amp;_xlfn.MAXIFS(m_row,m_teacher,C$4,m_date,($G$2+4),m_active,1,m_start,"&lt;"&amp;780,m_end,"&gt;"&amp;720),INDEX(m_label,_xlfn.MAXIFS(m_row,m_teacher,C$4,m_date,($G$2+4),m_active,1,m_start,"&lt;"&amp;780,m_end,"&gt;"&amp;720))))))</f>
        <v/>
      </c>
      <c r="D52" s="82" t="str">
        <f aca="false">IF(OR(D$4="",MONTH(($G$2+4))&lt;&gt;MONTH($C$2)),"",IF(COUNTIFS(m_teacher,D$4,m_date,($G$2+4),m_active,1,m_start,"&lt;"&amp;780,m_end,"&gt;"&amp;720)=0,"",IF(COUNTIFS(m_teacher,D$4,m_date,($G$2+4),m_active,1,m_start,"&lt;"&amp;780,m_end,"&gt;"&amp;720)&gt;1,"충돌",HYPERLINK("#'관리자_MASTER'!D"&amp;_xlfn.MAXIFS(m_row,m_teacher,D$4,m_date,($G$2+4),m_active,1,m_start,"&lt;"&amp;780,m_end,"&gt;"&amp;720),INDEX(m_label,_xlfn.MAXIFS(m_row,m_teacher,D$4,m_date,($G$2+4),m_active,1,m_start,"&lt;"&amp;780,m_end,"&gt;"&amp;720))))))</f>
        <v/>
      </c>
      <c r="E52" s="82" t="str">
        <f aca="false">IF(OR(E$4="",MONTH(($G$2+4))&lt;&gt;MONTH($C$2)),"",IF(COUNTIFS(m_teacher,E$4,m_date,($G$2+4),m_active,1,m_start,"&lt;"&amp;780,m_end,"&gt;"&amp;720)=0,"",IF(COUNTIFS(m_teacher,E$4,m_date,($G$2+4),m_active,1,m_start,"&lt;"&amp;780,m_end,"&gt;"&amp;720)&gt;1,"충돌",HYPERLINK("#'관리자_MASTER'!D"&amp;_xlfn.MAXIFS(m_row,m_teacher,E$4,m_date,($G$2+4),m_active,1,m_start,"&lt;"&amp;780,m_end,"&gt;"&amp;720),INDEX(m_label,_xlfn.MAXIFS(m_row,m_teacher,E$4,m_date,($G$2+4),m_active,1,m_start,"&lt;"&amp;780,m_end,"&gt;"&amp;720))))))</f>
        <v/>
      </c>
      <c r="F52" s="82" t="str">
        <f aca="false">IF(OR(F$4="",MONTH(($G$2+4))&lt;&gt;MONTH($C$2)),"",IF(COUNTIFS(m_teacher,F$4,m_date,($G$2+4),m_active,1,m_start,"&lt;"&amp;780,m_end,"&gt;"&amp;720)=0,"",IF(COUNTIFS(m_teacher,F$4,m_date,($G$2+4),m_active,1,m_start,"&lt;"&amp;780,m_end,"&gt;"&amp;720)&gt;1,"충돌",HYPERLINK("#'관리자_MASTER'!D"&amp;_xlfn.MAXIFS(m_row,m_teacher,F$4,m_date,($G$2+4),m_active,1,m_start,"&lt;"&amp;780,m_end,"&gt;"&amp;720),INDEX(m_label,_xlfn.MAXIFS(m_row,m_teacher,F$4,m_date,($G$2+4),m_active,1,m_start,"&lt;"&amp;780,m_end,"&gt;"&amp;720))))))</f>
        <v/>
      </c>
      <c r="G52" s="82" t="str">
        <f aca="false">IF(OR(G$4="",MONTH(($G$2+4))&lt;&gt;MONTH($C$2)),"",IF(COUNTIFS(m_teacher,G$4,m_date,($G$2+4),m_active,1,m_start,"&lt;"&amp;780,m_end,"&gt;"&amp;720)=0,"",IF(COUNTIFS(m_teacher,G$4,m_date,($G$2+4),m_active,1,m_start,"&lt;"&amp;780,m_end,"&gt;"&amp;720)&gt;1,"충돌",HYPERLINK("#'관리자_MASTER'!D"&amp;_xlfn.MAXIFS(m_row,m_teacher,G$4,m_date,($G$2+4),m_active,1,m_start,"&lt;"&amp;780,m_end,"&gt;"&amp;720),INDEX(m_label,_xlfn.MAXIFS(m_row,m_teacher,G$4,m_date,($G$2+4),m_active,1,m_start,"&lt;"&amp;780,m_end,"&gt;"&amp;720))))))</f>
        <v/>
      </c>
      <c r="H52" s="82" t="str">
        <f aca="false">IF(OR(H$4="",MONTH(($G$2+4))&lt;&gt;MONTH($C$2)),"",IF(COUNTIFS(m_teacher,H$4,m_date,($G$2+4),m_active,1,m_start,"&lt;"&amp;780,m_end,"&gt;"&amp;720)=0,"",IF(COUNTIFS(m_teacher,H$4,m_date,($G$2+4),m_active,1,m_start,"&lt;"&amp;780,m_end,"&gt;"&amp;720)&gt;1,"충돌",HYPERLINK("#'관리자_MASTER'!D"&amp;_xlfn.MAXIFS(m_row,m_teacher,H$4,m_date,($G$2+4),m_active,1,m_start,"&lt;"&amp;780,m_end,"&gt;"&amp;720),INDEX(m_label,_xlfn.MAXIFS(m_row,m_teacher,H$4,m_date,($G$2+4),m_active,1,m_start,"&lt;"&amp;780,m_end,"&gt;"&amp;720))))))</f>
        <v/>
      </c>
      <c r="I52" s="82" t="str">
        <f aca="false">IF(OR(I$4="",MONTH(($G$2+4))&lt;&gt;MONTH($C$2)),"",IF(COUNTIFS(m_teacher,I$4,m_date,($G$2+4),m_active,1,m_start,"&lt;"&amp;780,m_end,"&gt;"&amp;720)=0,"",IF(COUNTIFS(m_teacher,I$4,m_date,($G$2+4),m_active,1,m_start,"&lt;"&amp;780,m_end,"&gt;"&amp;720)&gt;1,"충돌",HYPERLINK("#'관리자_MASTER'!D"&amp;_xlfn.MAXIFS(m_row,m_teacher,I$4,m_date,($G$2+4),m_active,1,m_start,"&lt;"&amp;780,m_end,"&gt;"&amp;720),INDEX(m_label,_xlfn.MAXIFS(m_row,m_teacher,I$4,m_date,($G$2+4),m_active,1,m_start,"&lt;"&amp;780,m_end,"&gt;"&amp;720))))))</f>
        <v/>
      </c>
      <c r="J52" s="82" t="str">
        <f aca="false">IF(OR(J$4="",MONTH(($G$2+4))&lt;&gt;MONTH($C$2)),"",IF(COUNTIFS(m_teacher,J$4,m_date,($G$2+4),m_active,1,m_start,"&lt;"&amp;780,m_end,"&gt;"&amp;720)=0,"",IF(COUNTIFS(m_teacher,J$4,m_date,($G$2+4),m_active,1,m_start,"&lt;"&amp;780,m_end,"&gt;"&amp;720)&gt;1,"충돌",HYPERLINK("#'관리자_MASTER'!D"&amp;_xlfn.MAXIFS(m_row,m_teacher,J$4,m_date,($G$2+4),m_active,1,m_start,"&lt;"&amp;780,m_end,"&gt;"&amp;720),INDEX(m_label,_xlfn.MAXIFS(m_row,m_teacher,J$4,m_date,($G$2+4),m_active,1,m_start,"&lt;"&amp;780,m_end,"&gt;"&amp;720))))))</f>
        <v/>
      </c>
      <c r="K52" s="82" t="str">
        <f aca="false">IF(OR(K$4="",MONTH(($G$2+4))&lt;&gt;MONTH($C$2)),"",IF(COUNTIFS(m_teacher,K$4,m_date,($G$2+4),m_active,1,m_start,"&lt;"&amp;780,m_end,"&gt;"&amp;720)=0,"",IF(COUNTIFS(m_teacher,K$4,m_date,($G$2+4),m_active,1,m_start,"&lt;"&amp;780,m_end,"&gt;"&amp;720)&gt;1,"충돌",HYPERLINK("#'관리자_MASTER'!D"&amp;_xlfn.MAXIFS(m_row,m_teacher,K$4,m_date,($G$2+4),m_active,1,m_start,"&lt;"&amp;780,m_end,"&gt;"&amp;720),INDEX(m_label,_xlfn.MAXIFS(m_row,m_teacher,K$4,m_date,($G$2+4),m_active,1,m_start,"&lt;"&amp;780,m_end,"&gt;"&amp;720))))))</f>
        <v/>
      </c>
      <c r="L52" s="82" t="str">
        <f aca="false">IF(OR(L$4="",MONTH(($G$2+4))&lt;&gt;MONTH($C$2)),"",IF(COUNTIFS(m_teacher,L$4,m_date,($G$2+4),m_active,1,m_start,"&lt;"&amp;780,m_end,"&gt;"&amp;720)=0,"",IF(COUNTIFS(m_teacher,L$4,m_date,($G$2+4),m_active,1,m_start,"&lt;"&amp;780,m_end,"&gt;"&amp;720)&gt;1,"충돌",HYPERLINK("#'관리자_MASTER'!D"&amp;_xlfn.MAXIFS(m_row,m_teacher,L$4,m_date,($G$2+4),m_active,1,m_start,"&lt;"&amp;780,m_end,"&gt;"&amp;720),INDEX(m_label,_xlfn.MAXIFS(m_row,m_teacher,L$4,m_date,($G$2+4),m_active,1,m_start,"&lt;"&amp;780,m_end,"&gt;"&amp;720))))))</f>
        <v/>
      </c>
      <c r="M52" s="82" t="str">
        <f aca="false">IF(OR(M$4="",MONTH(($G$2+4))&lt;&gt;MONTH($C$2)),"",IF(COUNTIFS(m_teacher,M$4,m_date,($G$2+4),m_active,1,m_start,"&lt;"&amp;780,m_end,"&gt;"&amp;720)=0,"",IF(COUNTIFS(m_teacher,M$4,m_date,($G$2+4),m_active,1,m_start,"&lt;"&amp;780,m_end,"&gt;"&amp;720)&gt;1,"충돌",HYPERLINK("#'관리자_MASTER'!D"&amp;_xlfn.MAXIFS(m_row,m_teacher,M$4,m_date,($G$2+4),m_active,1,m_start,"&lt;"&amp;780,m_end,"&gt;"&amp;720),INDEX(m_label,_xlfn.MAXIFS(m_row,m_teacher,M$4,m_date,($G$2+4),m_active,1,m_start,"&lt;"&amp;780,m_end,"&gt;"&amp;720))))))</f>
        <v/>
      </c>
      <c r="N52" s="82" t="str">
        <f aca="false">IF(OR(N$4="",MONTH(($G$2+4))&lt;&gt;MONTH($C$2)),"",IF(COUNTIFS(m_teacher,N$4,m_date,($G$2+4),m_active,1,m_start,"&lt;"&amp;780,m_end,"&gt;"&amp;720)=0,"",IF(COUNTIFS(m_teacher,N$4,m_date,($G$2+4),m_active,1,m_start,"&lt;"&amp;780,m_end,"&gt;"&amp;720)&gt;1,"충돌",HYPERLINK("#'관리자_MASTER'!D"&amp;_xlfn.MAXIFS(m_row,m_teacher,N$4,m_date,($G$2+4),m_active,1,m_start,"&lt;"&amp;780,m_end,"&gt;"&amp;720),INDEX(m_label,_xlfn.MAXIFS(m_row,m_teacher,N$4,m_date,($G$2+4),m_active,1,m_start,"&lt;"&amp;780,m_end,"&gt;"&amp;720))))))</f>
        <v/>
      </c>
      <c r="O52" s="78"/>
      <c r="P52" s="79" t="s">
        <v>94</v>
      </c>
      <c r="Q52" s="82" t="str">
        <f aca="false">IF(OR(Q$4="",MONTH(($G$2+11))&lt;&gt;MONTH($C$2)),"",IF(COUNTIFS(m_teacher,Q$4,m_date,($G$2+11),m_active,1,m_start,"&lt;"&amp;780,m_end,"&gt;"&amp;720)=0,"",IF(COUNTIFS(m_teacher,Q$4,m_date,($G$2+11),m_active,1,m_start,"&lt;"&amp;780,m_end,"&gt;"&amp;720)&gt;1,"충돌",HYPERLINK("#'관리자_MASTER'!D"&amp;_xlfn.MAXIFS(m_row,m_teacher,Q$4,m_date,($G$2+11),m_active,1,m_start,"&lt;"&amp;780,m_end,"&gt;"&amp;720),INDEX(m_label,_xlfn.MAXIFS(m_row,m_teacher,Q$4,m_date,($G$2+11),m_active,1,m_start,"&lt;"&amp;780,m_end,"&gt;"&amp;720))))))</f>
        <v/>
      </c>
      <c r="R52" s="82" t="str">
        <f aca="false">IF(OR(R$4="",MONTH(($G$2+11))&lt;&gt;MONTH($C$2)),"",IF(COUNTIFS(m_teacher,R$4,m_date,($G$2+11),m_active,1,m_start,"&lt;"&amp;780,m_end,"&gt;"&amp;720)=0,"",IF(COUNTIFS(m_teacher,R$4,m_date,($G$2+11),m_active,1,m_start,"&lt;"&amp;780,m_end,"&gt;"&amp;720)&gt;1,"충돌",HYPERLINK("#'관리자_MASTER'!D"&amp;_xlfn.MAXIFS(m_row,m_teacher,R$4,m_date,($G$2+11),m_active,1,m_start,"&lt;"&amp;780,m_end,"&gt;"&amp;720),INDEX(m_label,_xlfn.MAXIFS(m_row,m_teacher,R$4,m_date,($G$2+11),m_active,1,m_start,"&lt;"&amp;780,m_end,"&gt;"&amp;720))))))</f>
        <v/>
      </c>
      <c r="S52" s="82" t="str">
        <f aca="false">IF(OR(S$4="",MONTH(($G$2+11))&lt;&gt;MONTH($C$2)),"",IF(COUNTIFS(m_teacher,S$4,m_date,($G$2+11),m_active,1,m_start,"&lt;"&amp;780,m_end,"&gt;"&amp;720)=0,"",IF(COUNTIFS(m_teacher,S$4,m_date,($G$2+11),m_active,1,m_start,"&lt;"&amp;780,m_end,"&gt;"&amp;720)&gt;1,"충돌",HYPERLINK("#'관리자_MASTER'!D"&amp;_xlfn.MAXIFS(m_row,m_teacher,S$4,m_date,($G$2+11),m_active,1,m_start,"&lt;"&amp;780,m_end,"&gt;"&amp;720),INDEX(m_label,_xlfn.MAXIFS(m_row,m_teacher,S$4,m_date,($G$2+11),m_active,1,m_start,"&lt;"&amp;780,m_end,"&gt;"&amp;720))))))</f>
        <v/>
      </c>
      <c r="T52" s="82" t="str">
        <f aca="false">IF(OR(T$4="",MONTH(($G$2+11))&lt;&gt;MONTH($C$2)),"",IF(COUNTIFS(m_teacher,T$4,m_date,($G$2+11),m_active,1,m_start,"&lt;"&amp;780,m_end,"&gt;"&amp;720)=0,"",IF(COUNTIFS(m_teacher,T$4,m_date,($G$2+11),m_active,1,m_start,"&lt;"&amp;780,m_end,"&gt;"&amp;720)&gt;1,"충돌",HYPERLINK("#'관리자_MASTER'!D"&amp;_xlfn.MAXIFS(m_row,m_teacher,T$4,m_date,($G$2+11),m_active,1,m_start,"&lt;"&amp;780,m_end,"&gt;"&amp;720),INDEX(m_label,_xlfn.MAXIFS(m_row,m_teacher,T$4,m_date,($G$2+11),m_active,1,m_start,"&lt;"&amp;780,m_end,"&gt;"&amp;720))))))</f>
        <v/>
      </c>
      <c r="U52" s="82" t="str">
        <f aca="false">IF(OR(U$4="",MONTH(($G$2+11))&lt;&gt;MONTH($C$2)),"",IF(COUNTIFS(m_teacher,U$4,m_date,($G$2+11),m_active,1,m_start,"&lt;"&amp;780,m_end,"&gt;"&amp;720)=0,"",IF(COUNTIFS(m_teacher,U$4,m_date,($G$2+11),m_active,1,m_start,"&lt;"&amp;780,m_end,"&gt;"&amp;720)&gt;1,"충돌",HYPERLINK("#'관리자_MASTER'!D"&amp;_xlfn.MAXIFS(m_row,m_teacher,U$4,m_date,($G$2+11),m_active,1,m_start,"&lt;"&amp;780,m_end,"&gt;"&amp;720),INDEX(m_label,_xlfn.MAXIFS(m_row,m_teacher,U$4,m_date,($G$2+11),m_active,1,m_start,"&lt;"&amp;780,m_end,"&gt;"&amp;720))))))</f>
        <v/>
      </c>
      <c r="V52" s="82" t="str">
        <f aca="false">IF(OR(V$4="",MONTH(($G$2+11))&lt;&gt;MONTH($C$2)),"",IF(COUNTIFS(m_teacher,V$4,m_date,($G$2+11),m_active,1,m_start,"&lt;"&amp;780,m_end,"&gt;"&amp;720)=0,"",IF(COUNTIFS(m_teacher,V$4,m_date,($G$2+11),m_active,1,m_start,"&lt;"&amp;780,m_end,"&gt;"&amp;720)&gt;1,"충돌",HYPERLINK("#'관리자_MASTER'!D"&amp;_xlfn.MAXIFS(m_row,m_teacher,V$4,m_date,($G$2+11),m_active,1,m_start,"&lt;"&amp;780,m_end,"&gt;"&amp;720),INDEX(m_label,_xlfn.MAXIFS(m_row,m_teacher,V$4,m_date,($G$2+11),m_active,1,m_start,"&lt;"&amp;780,m_end,"&gt;"&amp;720))))))</f>
        <v/>
      </c>
      <c r="W52" s="82" t="str">
        <f aca="false">IF(OR(W$4="",MONTH(($G$2+11))&lt;&gt;MONTH($C$2)),"",IF(COUNTIFS(m_teacher,W$4,m_date,($G$2+11),m_active,1,m_start,"&lt;"&amp;780,m_end,"&gt;"&amp;720)=0,"",IF(COUNTIFS(m_teacher,W$4,m_date,($G$2+11),m_active,1,m_start,"&lt;"&amp;780,m_end,"&gt;"&amp;720)&gt;1,"충돌",HYPERLINK("#'관리자_MASTER'!D"&amp;_xlfn.MAXIFS(m_row,m_teacher,W$4,m_date,($G$2+11),m_active,1,m_start,"&lt;"&amp;780,m_end,"&gt;"&amp;720),INDEX(m_label,_xlfn.MAXIFS(m_row,m_teacher,W$4,m_date,($G$2+11),m_active,1,m_start,"&lt;"&amp;780,m_end,"&gt;"&amp;720))))))</f>
        <v/>
      </c>
      <c r="X52" s="82" t="str">
        <f aca="false">IF(OR(X$4="",MONTH(($G$2+11))&lt;&gt;MONTH($C$2)),"",IF(COUNTIFS(m_teacher,X$4,m_date,($G$2+11),m_active,1,m_start,"&lt;"&amp;780,m_end,"&gt;"&amp;720)=0,"",IF(COUNTIFS(m_teacher,X$4,m_date,($G$2+11),m_active,1,m_start,"&lt;"&amp;780,m_end,"&gt;"&amp;720)&gt;1,"충돌",HYPERLINK("#'관리자_MASTER'!D"&amp;_xlfn.MAXIFS(m_row,m_teacher,X$4,m_date,($G$2+11),m_active,1,m_start,"&lt;"&amp;780,m_end,"&gt;"&amp;720),INDEX(m_label,_xlfn.MAXIFS(m_row,m_teacher,X$4,m_date,($G$2+11),m_active,1,m_start,"&lt;"&amp;780,m_end,"&gt;"&amp;720))))))</f>
        <v/>
      </c>
      <c r="Y52" s="82" t="str">
        <f aca="false">IF(OR(Y$4="",MONTH(($G$2+11))&lt;&gt;MONTH($C$2)),"",IF(COUNTIFS(m_teacher,Y$4,m_date,($G$2+11),m_active,1,m_start,"&lt;"&amp;780,m_end,"&gt;"&amp;720)=0,"",IF(COUNTIFS(m_teacher,Y$4,m_date,($G$2+11),m_active,1,m_start,"&lt;"&amp;780,m_end,"&gt;"&amp;720)&gt;1,"충돌",HYPERLINK("#'관리자_MASTER'!D"&amp;_xlfn.MAXIFS(m_row,m_teacher,Y$4,m_date,($G$2+11),m_active,1,m_start,"&lt;"&amp;780,m_end,"&gt;"&amp;720),INDEX(m_label,_xlfn.MAXIFS(m_row,m_teacher,Y$4,m_date,($G$2+11),m_active,1,m_start,"&lt;"&amp;780,m_end,"&gt;"&amp;720))))))</f>
        <v/>
      </c>
      <c r="Z52" s="82" t="str">
        <f aca="false">IF(OR(Z$4="",MONTH(($G$2+11))&lt;&gt;MONTH($C$2)),"",IF(COUNTIFS(m_teacher,Z$4,m_date,($G$2+11),m_active,1,m_start,"&lt;"&amp;780,m_end,"&gt;"&amp;720)=0,"",IF(COUNTIFS(m_teacher,Z$4,m_date,($G$2+11),m_active,1,m_start,"&lt;"&amp;780,m_end,"&gt;"&amp;720)&gt;1,"충돌",HYPERLINK("#'관리자_MASTER'!D"&amp;_xlfn.MAXIFS(m_row,m_teacher,Z$4,m_date,($G$2+11),m_active,1,m_start,"&lt;"&amp;780,m_end,"&gt;"&amp;720),INDEX(m_label,_xlfn.MAXIFS(m_row,m_teacher,Z$4,m_date,($G$2+11),m_active,1,m_start,"&lt;"&amp;780,m_end,"&gt;"&amp;720))))))</f>
        <v/>
      </c>
      <c r="AA52" s="82" t="str">
        <f aca="false">IF(OR(AA$4="",MONTH(($G$2+11))&lt;&gt;MONTH($C$2)),"",IF(COUNTIFS(m_teacher,AA$4,m_date,($G$2+11),m_active,1,m_start,"&lt;"&amp;780,m_end,"&gt;"&amp;720)=0,"",IF(COUNTIFS(m_teacher,AA$4,m_date,($G$2+11),m_active,1,m_start,"&lt;"&amp;780,m_end,"&gt;"&amp;720)&gt;1,"충돌",HYPERLINK("#'관리자_MASTER'!D"&amp;_xlfn.MAXIFS(m_row,m_teacher,AA$4,m_date,($G$2+11),m_active,1,m_start,"&lt;"&amp;780,m_end,"&gt;"&amp;720),INDEX(m_label,_xlfn.MAXIFS(m_row,m_teacher,AA$4,m_date,($G$2+11),m_active,1,m_start,"&lt;"&amp;780,m_end,"&gt;"&amp;720))))))</f>
        <v/>
      </c>
      <c r="AB52" s="82" t="str">
        <f aca="false">IF(OR(AB$4="",MONTH(($G$2+11))&lt;&gt;MONTH($C$2)),"",IF(COUNTIFS(m_teacher,AB$4,m_date,($G$2+11),m_active,1,m_start,"&lt;"&amp;780,m_end,"&gt;"&amp;720)=0,"",IF(COUNTIFS(m_teacher,AB$4,m_date,($G$2+11),m_active,1,m_start,"&lt;"&amp;780,m_end,"&gt;"&amp;720)&gt;1,"충돌",HYPERLINK("#'관리자_MASTER'!D"&amp;_xlfn.MAXIFS(m_row,m_teacher,AB$4,m_date,($G$2+11),m_active,1,m_start,"&lt;"&amp;780,m_end,"&gt;"&amp;720),INDEX(m_label,_xlfn.MAXIFS(m_row,m_teacher,AB$4,m_date,($G$2+11),m_active,1,m_start,"&lt;"&amp;780,m_end,"&gt;"&amp;720))))))</f>
        <v/>
      </c>
      <c r="AC52" s="78"/>
      <c r="AD52" s="79" t="s">
        <v>94</v>
      </c>
      <c r="AE52" s="82" t="str">
        <f aca="false">IF(OR(AE$4="",MONTH(($G$2+18))&lt;&gt;MONTH($C$2)),"",IF(COUNTIFS(m_teacher,AE$4,m_date,($G$2+18),m_active,1,m_start,"&lt;"&amp;780,m_end,"&gt;"&amp;720)=0,"",IF(COUNTIFS(m_teacher,AE$4,m_date,($G$2+18),m_active,1,m_start,"&lt;"&amp;780,m_end,"&gt;"&amp;720)&gt;1,"충돌",HYPERLINK("#'관리자_MASTER'!D"&amp;_xlfn.MAXIFS(m_row,m_teacher,AE$4,m_date,($G$2+18),m_active,1,m_start,"&lt;"&amp;780,m_end,"&gt;"&amp;720),INDEX(m_label,_xlfn.MAXIFS(m_row,m_teacher,AE$4,m_date,($G$2+18),m_active,1,m_start,"&lt;"&amp;780,m_end,"&gt;"&amp;720))))))</f>
        <v/>
      </c>
      <c r="AF52" s="82" t="str">
        <f aca="false">IF(OR(AF$4="",MONTH(($G$2+18))&lt;&gt;MONTH($C$2)),"",IF(COUNTIFS(m_teacher,AF$4,m_date,($G$2+18),m_active,1,m_start,"&lt;"&amp;780,m_end,"&gt;"&amp;720)=0,"",IF(COUNTIFS(m_teacher,AF$4,m_date,($G$2+18),m_active,1,m_start,"&lt;"&amp;780,m_end,"&gt;"&amp;720)&gt;1,"충돌",HYPERLINK("#'관리자_MASTER'!D"&amp;_xlfn.MAXIFS(m_row,m_teacher,AF$4,m_date,($G$2+18),m_active,1,m_start,"&lt;"&amp;780,m_end,"&gt;"&amp;720),INDEX(m_label,_xlfn.MAXIFS(m_row,m_teacher,AF$4,m_date,($G$2+18),m_active,1,m_start,"&lt;"&amp;780,m_end,"&gt;"&amp;720))))))</f>
        <v/>
      </c>
      <c r="AG52" s="82" t="str">
        <f aca="false">IF(OR(AG$4="",MONTH(($G$2+18))&lt;&gt;MONTH($C$2)),"",IF(COUNTIFS(m_teacher,AG$4,m_date,($G$2+18),m_active,1,m_start,"&lt;"&amp;780,m_end,"&gt;"&amp;720)=0,"",IF(COUNTIFS(m_teacher,AG$4,m_date,($G$2+18),m_active,1,m_start,"&lt;"&amp;780,m_end,"&gt;"&amp;720)&gt;1,"충돌",HYPERLINK("#'관리자_MASTER'!D"&amp;_xlfn.MAXIFS(m_row,m_teacher,AG$4,m_date,($G$2+18),m_active,1,m_start,"&lt;"&amp;780,m_end,"&gt;"&amp;720),INDEX(m_label,_xlfn.MAXIFS(m_row,m_teacher,AG$4,m_date,($G$2+18),m_active,1,m_start,"&lt;"&amp;780,m_end,"&gt;"&amp;720))))))</f>
        <v/>
      </c>
      <c r="AH52" s="82" t="str">
        <f aca="false">IF(OR(AH$4="",MONTH(($G$2+18))&lt;&gt;MONTH($C$2)),"",IF(COUNTIFS(m_teacher,AH$4,m_date,($G$2+18),m_active,1,m_start,"&lt;"&amp;780,m_end,"&gt;"&amp;720)=0,"",IF(COUNTIFS(m_teacher,AH$4,m_date,($G$2+18),m_active,1,m_start,"&lt;"&amp;780,m_end,"&gt;"&amp;720)&gt;1,"충돌",HYPERLINK("#'관리자_MASTER'!D"&amp;_xlfn.MAXIFS(m_row,m_teacher,AH$4,m_date,($G$2+18),m_active,1,m_start,"&lt;"&amp;780,m_end,"&gt;"&amp;720),INDEX(m_label,_xlfn.MAXIFS(m_row,m_teacher,AH$4,m_date,($G$2+18),m_active,1,m_start,"&lt;"&amp;780,m_end,"&gt;"&amp;720))))))</f>
        <v/>
      </c>
      <c r="AI52" s="82" t="str">
        <f aca="false">IF(OR(AI$4="",MONTH(($G$2+18))&lt;&gt;MONTH($C$2)),"",IF(COUNTIFS(m_teacher,AI$4,m_date,($G$2+18),m_active,1,m_start,"&lt;"&amp;780,m_end,"&gt;"&amp;720)=0,"",IF(COUNTIFS(m_teacher,AI$4,m_date,($G$2+18),m_active,1,m_start,"&lt;"&amp;780,m_end,"&gt;"&amp;720)&gt;1,"충돌",HYPERLINK("#'관리자_MASTER'!D"&amp;_xlfn.MAXIFS(m_row,m_teacher,AI$4,m_date,($G$2+18),m_active,1,m_start,"&lt;"&amp;780,m_end,"&gt;"&amp;720),INDEX(m_label,_xlfn.MAXIFS(m_row,m_teacher,AI$4,m_date,($G$2+18),m_active,1,m_start,"&lt;"&amp;780,m_end,"&gt;"&amp;720))))))</f>
        <v/>
      </c>
      <c r="AJ52" s="82" t="str">
        <f aca="false">IF(OR(AJ$4="",MONTH(($G$2+18))&lt;&gt;MONTH($C$2)),"",IF(COUNTIFS(m_teacher,AJ$4,m_date,($G$2+18),m_active,1,m_start,"&lt;"&amp;780,m_end,"&gt;"&amp;720)=0,"",IF(COUNTIFS(m_teacher,AJ$4,m_date,($G$2+18),m_active,1,m_start,"&lt;"&amp;780,m_end,"&gt;"&amp;720)&gt;1,"충돌",HYPERLINK("#'관리자_MASTER'!D"&amp;_xlfn.MAXIFS(m_row,m_teacher,AJ$4,m_date,($G$2+18),m_active,1,m_start,"&lt;"&amp;780,m_end,"&gt;"&amp;720),INDEX(m_label,_xlfn.MAXIFS(m_row,m_teacher,AJ$4,m_date,($G$2+18),m_active,1,m_start,"&lt;"&amp;780,m_end,"&gt;"&amp;720))))))</f>
        <v/>
      </c>
      <c r="AK52" s="82" t="str">
        <f aca="false">IF(OR(AK$4="",MONTH(($G$2+18))&lt;&gt;MONTH($C$2)),"",IF(COUNTIFS(m_teacher,AK$4,m_date,($G$2+18),m_active,1,m_start,"&lt;"&amp;780,m_end,"&gt;"&amp;720)=0,"",IF(COUNTIFS(m_teacher,AK$4,m_date,($G$2+18),m_active,1,m_start,"&lt;"&amp;780,m_end,"&gt;"&amp;720)&gt;1,"충돌",HYPERLINK("#'관리자_MASTER'!D"&amp;_xlfn.MAXIFS(m_row,m_teacher,AK$4,m_date,($G$2+18),m_active,1,m_start,"&lt;"&amp;780,m_end,"&gt;"&amp;720),INDEX(m_label,_xlfn.MAXIFS(m_row,m_teacher,AK$4,m_date,($G$2+18),m_active,1,m_start,"&lt;"&amp;780,m_end,"&gt;"&amp;720))))))</f>
        <v/>
      </c>
      <c r="AL52" s="82" t="str">
        <f aca="false">IF(OR(AL$4="",MONTH(($G$2+18))&lt;&gt;MONTH($C$2)),"",IF(COUNTIFS(m_teacher,AL$4,m_date,($G$2+18),m_active,1,m_start,"&lt;"&amp;780,m_end,"&gt;"&amp;720)=0,"",IF(COUNTIFS(m_teacher,AL$4,m_date,($G$2+18),m_active,1,m_start,"&lt;"&amp;780,m_end,"&gt;"&amp;720)&gt;1,"충돌",HYPERLINK("#'관리자_MASTER'!D"&amp;_xlfn.MAXIFS(m_row,m_teacher,AL$4,m_date,($G$2+18),m_active,1,m_start,"&lt;"&amp;780,m_end,"&gt;"&amp;720),INDEX(m_label,_xlfn.MAXIFS(m_row,m_teacher,AL$4,m_date,($G$2+18),m_active,1,m_start,"&lt;"&amp;780,m_end,"&gt;"&amp;720))))))</f>
        <v/>
      </c>
      <c r="AM52" s="82" t="str">
        <f aca="false">IF(OR(AM$4="",MONTH(($G$2+18))&lt;&gt;MONTH($C$2)),"",IF(COUNTIFS(m_teacher,AM$4,m_date,($G$2+18),m_active,1,m_start,"&lt;"&amp;780,m_end,"&gt;"&amp;720)=0,"",IF(COUNTIFS(m_teacher,AM$4,m_date,($G$2+18),m_active,1,m_start,"&lt;"&amp;780,m_end,"&gt;"&amp;720)&gt;1,"충돌",HYPERLINK("#'관리자_MASTER'!D"&amp;_xlfn.MAXIFS(m_row,m_teacher,AM$4,m_date,($G$2+18),m_active,1,m_start,"&lt;"&amp;780,m_end,"&gt;"&amp;720),INDEX(m_label,_xlfn.MAXIFS(m_row,m_teacher,AM$4,m_date,($G$2+18),m_active,1,m_start,"&lt;"&amp;780,m_end,"&gt;"&amp;720))))))</f>
        <v/>
      </c>
      <c r="AN52" s="82" t="str">
        <f aca="false">IF(OR(AN$4="",MONTH(($G$2+18))&lt;&gt;MONTH($C$2)),"",IF(COUNTIFS(m_teacher,AN$4,m_date,($G$2+18),m_active,1,m_start,"&lt;"&amp;780,m_end,"&gt;"&amp;720)=0,"",IF(COUNTIFS(m_teacher,AN$4,m_date,($G$2+18),m_active,1,m_start,"&lt;"&amp;780,m_end,"&gt;"&amp;720)&gt;1,"충돌",HYPERLINK("#'관리자_MASTER'!D"&amp;_xlfn.MAXIFS(m_row,m_teacher,AN$4,m_date,($G$2+18),m_active,1,m_start,"&lt;"&amp;780,m_end,"&gt;"&amp;720),INDEX(m_label,_xlfn.MAXIFS(m_row,m_teacher,AN$4,m_date,($G$2+18),m_active,1,m_start,"&lt;"&amp;780,m_end,"&gt;"&amp;720))))))</f>
        <v/>
      </c>
      <c r="AO52" s="82" t="str">
        <f aca="false">IF(OR(AO$4="",MONTH(($G$2+18))&lt;&gt;MONTH($C$2)),"",IF(COUNTIFS(m_teacher,AO$4,m_date,($G$2+18),m_active,1,m_start,"&lt;"&amp;780,m_end,"&gt;"&amp;720)=0,"",IF(COUNTIFS(m_teacher,AO$4,m_date,($G$2+18),m_active,1,m_start,"&lt;"&amp;780,m_end,"&gt;"&amp;720)&gt;1,"충돌",HYPERLINK("#'관리자_MASTER'!D"&amp;_xlfn.MAXIFS(m_row,m_teacher,AO$4,m_date,($G$2+18),m_active,1,m_start,"&lt;"&amp;780,m_end,"&gt;"&amp;720),INDEX(m_label,_xlfn.MAXIFS(m_row,m_teacher,AO$4,m_date,($G$2+18),m_active,1,m_start,"&lt;"&amp;780,m_end,"&gt;"&amp;720))))))</f>
        <v/>
      </c>
      <c r="AP52" s="82" t="str">
        <f aca="false">IF(OR(AP$4="",MONTH(($G$2+18))&lt;&gt;MONTH($C$2)),"",IF(COUNTIFS(m_teacher,AP$4,m_date,($G$2+18),m_active,1,m_start,"&lt;"&amp;780,m_end,"&gt;"&amp;720)=0,"",IF(COUNTIFS(m_teacher,AP$4,m_date,($G$2+18),m_active,1,m_start,"&lt;"&amp;780,m_end,"&gt;"&amp;720)&gt;1,"충돌",HYPERLINK("#'관리자_MASTER'!D"&amp;_xlfn.MAXIFS(m_row,m_teacher,AP$4,m_date,($G$2+18),m_active,1,m_start,"&lt;"&amp;780,m_end,"&gt;"&amp;720),INDEX(m_label,_xlfn.MAXIFS(m_row,m_teacher,AP$4,m_date,($G$2+18),m_active,1,m_start,"&lt;"&amp;780,m_end,"&gt;"&amp;720))))))</f>
        <v/>
      </c>
      <c r="AQ52" s="78"/>
      <c r="AR52" s="79" t="s">
        <v>94</v>
      </c>
      <c r="AS52" s="82" t="str">
        <f aca="false">IF(OR(AS$4="",MONTH(($G$2+25))&lt;&gt;MONTH($C$2)),"",IF(COUNTIFS(m_teacher,AS$4,m_date,($G$2+25),m_active,1,m_start,"&lt;"&amp;780,m_end,"&gt;"&amp;720)=0,"",IF(COUNTIFS(m_teacher,AS$4,m_date,($G$2+25),m_active,1,m_start,"&lt;"&amp;780,m_end,"&gt;"&amp;720)&gt;1,"충돌",HYPERLINK("#'관리자_MASTER'!D"&amp;_xlfn.MAXIFS(m_row,m_teacher,AS$4,m_date,($G$2+25),m_active,1,m_start,"&lt;"&amp;780,m_end,"&gt;"&amp;720),INDEX(m_label,_xlfn.MAXIFS(m_row,m_teacher,AS$4,m_date,($G$2+25),m_active,1,m_start,"&lt;"&amp;780,m_end,"&gt;"&amp;720))))))</f>
        <v/>
      </c>
      <c r="AT52" s="82" t="str">
        <f aca="false">IF(OR(AT$4="",MONTH(($G$2+25))&lt;&gt;MONTH($C$2)),"",IF(COUNTIFS(m_teacher,AT$4,m_date,($G$2+25),m_active,1,m_start,"&lt;"&amp;780,m_end,"&gt;"&amp;720)=0,"",IF(COUNTIFS(m_teacher,AT$4,m_date,($G$2+25),m_active,1,m_start,"&lt;"&amp;780,m_end,"&gt;"&amp;720)&gt;1,"충돌",HYPERLINK("#'관리자_MASTER'!D"&amp;_xlfn.MAXIFS(m_row,m_teacher,AT$4,m_date,($G$2+25),m_active,1,m_start,"&lt;"&amp;780,m_end,"&gt;"&amp;720),INDEX(m_label,_xlfn.MAXIFS(m_row,m_teacher,AT$4,m_date,($G$2+25),m_active,1,m_start,"&lt;"&amp;780,m_end,"&gt;"&amp;720))))))</f>
        <v/>
      </c>
      <c r="AU52" s="82" t="str">
        <f aca="false">IF(OR(AU$4="",MONTH(($G$2+25))&lt;&gt;MONTH($C$2)),"",IF(COUNTIFS(m_teacher,AU$4,m_date,($G$2+25),m_active,1,m_start,"&lt;"&amp;780,m_end,"&gt;"&amp;720)=0,"",IF(COUNTIFS(m_teacher,AU$4,m_date,($G$2+25),m_active,1,m_start,"&lt;"&amp;780,m_end,"&gt;"&amp;720)&gt;1,"충돌",HYPERLINK("#'관리자_MASTER'!D"&amp;_xlfn.MAXIFS(m_row,m_teacher,AU$4,m_date,($G$2+25),m_active,1,m_start,"&lt;"&amp;780,m_end,"&gt;"&amp;720),INDEX(m_label,_xlfn.MAXIFS(m_row,m_teacher,AU$4,m_date,($G$2+25),m_active,1,m_start,"&lt;"&amp;780,m_end,"&gt;"&amp;720))))))</f>
        <v/>
      </c>
      <c r="AV52" s="82" t="str">
        <f aca="false">IF(OR(AV$4="",MONTH(($G$2+25))&lt;&gt;MONTH($C$2)),"",IF(COUNTIFS(m_teacher,AV$4,m_date,($G$2+25),m_active,1,m_start,"&lt;"&amp;780,m_end,"&gt;"&amp;720)=0,"",IF(COUNTIFS(m_teacher,AV$4,m_date,($G$2+25),m_active,1,m_start,"&lt;"&amp;780,m_end,"&gt;"&amp;720)&gt;1,"충돌",HYPERLINK("#'관리자_MASTER'!D"&amp;_xlfn.MAXIFS(m_row,m_teacher,AV$4,m_date,($G$2+25),m_active,1,m_start,"&lt;"&amp;780,m_end,"&gt;"&amp;720),INDEX(m_label,_xlfn.MAXIFS(m_row,m_teacher,AV$4,m_date,($G$2+25),m_active,1,m_start,"&lt;"&amp;780,m_end,"&gt;"&amp;720))))))</f>
        <v/>
      </c>
      <c r="AW52" s="82" t="str">
        <f aca="false">IF(OR(AW$4="",MONTH(($G$2+25))&lt;&gt;MONTH($C$2)),"",IF(COUNTIFS(m_teacher,AW$4,m_date,($G$2+25),m_active,1,m_start,"&lt;"&amp;780,m_end,"&gt;"&amp;720)=0,"",IF(COUNTIFS(m_teacher,AW$4,m_date,($G$2+25),m_active,1,m_start,"&lt;"&amp;780,m_end,"&gt;"&amp;720)&gt;1,"충돌",HYPERLINK("#'관리자_MASTER'!D"&amp;_xlfn.MAXIFS(m_row,m_teacher,AW$4,m_date,($G$2+25),m_active,1,m_start,"&lt;"&amp;780,m_end,"&gt;"&amp;720),INDEX(m_label,_xlfn.MAXIFS(m_row,m_teacher,AW$4,m_date,($G$2+25),m_active,1,m_start,"&lt;"&amp;780,m_end,"&gt;"&amp;720))))))</f>
        <v/>
      </c>
      <c r="AX52" s="82" t="str">
        <f aca="false">IF(OR(AX$4="",MONTH(($G$2+25))&lt;&gt;MONTH($C$2)),"",IF(COUNTIFS(m_teacher,AX$4,m_date,($G$2+25),m_active,1,m_start,"&lt;"&amp;780,m_end,"&gt;"&amp;720)=0,"",IF(COUNTIFS(m_teacher,AX$4,m_date,($G$2+25),m_active,1,m_start,"&lt;"&amp;780,m_end,"&gt;"&amp;720)&gt;1,"충돌",HYPERLINK("#'관리자_MASTER'!D"&amp;_xlfn.MAXIFS(m_row,m_teacher,AX$4,m_date,($G$2+25),m_active,1,m_start,"&lt;"&amp;780,m_end,"&gt;"&amp;720),INDEX(m_label,_xlfn.MAXIFS(m_row,m_teacher,AX$4,m_date,($G$2+25),m_active,1,m_start,"&lt;"&amp;780,m_end,"&gt;"&amp;720))))))</f>
        <v/>
      </c>
      <c r="AY52" s="82" t="str">
        <f aca="false">IF(OR(AY$4="",MONTH(($G$2+25))&lt;&gt;MONTH($C$2)),"",IF(COUNTIFS(m_teacher,AY$4,m_date,($G$2+25),m_active,1,m_start,"&lt;"&amp;780,m_end,"&gt;"&amp;720)=0,"",IF(COUNTIFS(m_teacher,AY$4,m_date,($G$2+25),m_active,1,m_start,"&lt;"&amp;780,m_end,"&gt;"&amp;720)&gt;1,"충돌",HYPERLINK("#'관리자_MASTER'!D"&amp;_xlfn.MAXIFS(m_row,m_teacher,AY$4,m_date,($G$2+25),m_active,1,m_start,"&lt;"&amp;780,m_end,"&gt;"&amp;720),INDEX(m_label,_xlfn.MAXIFS(m_row,m_teacher,AY$4,m_date,($G$2+25),m_active,1,m_start,"&lt;"&amp;780,m_end,"&gt;"&amp;720))))))</f>
        <v/>
      </c>
      <c r="AZ52" s="82" t="str">
        <f aca="false">IF(OR(AZ$4="",MONTH(($G$2+25))&lt;&gt;MONTH($C$2)),"",IF(COUNTIFS(m_teacher,AZ$4,m_date,($G$2+25),m_active,1,m_start,"&lt;"&amp;780,m_end,"&gt;"&amp;720)=0,"",IF(COUNTIFS(m_teacher,AZ$4,m_date,($G$2+25),m_active,1,m_start,"&lt;"&amp;780,m_end,"&gt;"&amp;720)&gt;1,"충돌",HYPERLINK("#'관리자_MASTER'!D"&amp;_xlfn.MAXIFS(m_row,m_teacher,AZ$4,m_date,($G$2+25),m_active,1,m_start,"&lt;"&amp;780,m_end,"&gt;"&amp;720),INDEX(m_label,_xlfn.MAXIFS(m_row,m_teacher,AZ$4,m_date,($G$2+25),m_active,1,m_start,"&lt;"&amp;780,m_end,"&gt;"&amp;720))))))</f>
        <v/>
      </c>
      <c r="BA52" s="82" t="str">
        <f aca="false">IF(OR(BA$4="",MONTH(($G$2+25))&lt;&gt;MONTH($C$2)),"",IF(COUNTIFS(m_teacher,BA$4,m_date,($G$2+25),m_active,1,m_start,"&lt;"&amp;780,m_end,"&gt;"&amp;720)=0,"",IF(COUNTIFS(m_teacher,BA$4,m_date,($G$2+25),m_active,1,m_start,"&lt;"&amp;780,m_end,"&gt;"&amp;720)&gt;1,"충돌",HYPERLINK("#'관리자_MASTER'!D"&amp;_xlfn.MAXIFS(m_row,m_teacher,BA$4,m_date,($G$2+25),m_active,1,m_start,"&lt;"&amp;780,m_end,"&gt;"&amp;720),INDEX(m_label,_xlfn.MAXIFS(m_row,m_teacher,BA$4,m_date,($G$2+25),m_active,1,m_start,"&lt;"&amp;780,m_end,"&gt;"&amp;720))))))</f>
        <v/>
      </c>
      <c r="BB52" s="82" t="str">
        <f aca="false">IF(OR(BB$4="",MONTH(($G$2+25))&lt;&gt;MONTH($C$2)),"",IF(COUNTIFS(m_teacher,BB$4,m_date,($G$2+25),m_active,1,m_start,"&lt;"&amp;780,m_end,"&gt;"&amp;720)=0,"",IF(COUNTIFS(m_teacher,BB$4,m_date,($G$2+25),m_active,1,m_start,"&lt;"&amp;780,m_end,"&gt;"&amp;720)&gt;1,"충돌",HYPERLINK("#'관리자_MASTER'!D"&amp;_xlfn.MAXIFS(m_row,m_teacher,BB$4,m_date,($G$2+25),m_active,1,m_start,"&lt;"&amp;780,m_end,"&gt;"&amp;720),INDEX(m_label,_xlfn.MAXIFS(m_row,m_teacher,BB$4,m_date,($G$2+25),m_active,1,m_start,"&lt;"&amp;780,m_end,"&gt;"&amp;720))))))</f>
        <v/>
      </c>
      <c r="BC52" s="82" t="str">
        <f aca="false">IF(OR(BC$4="",MONTH(($G$2+25))&lt;&gt;MONTH($C$2)),"",IF(COUNTIFS(m_teacher,BC$4,m_date,($G$2+25),m_active,1,m_start,"&lt;"&amp;780,m_end,"&gt;"&amp;720)=0,"",IF(COUNTIFS(m_teacher,BC$4,m_date,($G$2+25),m_active,1,m_start,"&lt;"&amp;780,m_end,"&gt;"&amp;720)&gt;1,"충돌",HYPERLINK("#'관리자_MASTER'!D"&amp;_xlfn.MAXIFS(m_row,m_teacher,BC$4,m_date,($G$2+25),m_active,1,m_start,"&lt;"&amp;780,m_end,"&gt;"&amp;720),INDEX(m_label,_xlfn.MAXIFS(m_row,m_teacher,BC$4,m_date,($G$2+25),m_active,1,m_start,"&lt;"&amp;780,m_end,"&gt;"&amp;720))))))</f>
        <v/>
      </c>
      <c r="BD52" s="82" t="str">
        <f aca="false">IF(OR(BD$4="",MONTH(($G$2+25))&lt;&gt;MONTH($C$2)),"",IF(COUNTIFS(m_teacher,BD$4,m_date,($G$2+25),m_active,1,m_start,"&lt;"&amp;780,m_end,"&gt;"&amp;720)=0,"",IF(COUNTIFS(m_teacher,BD$4,m_date,($G$2+25),m_active,1,m_start,"&lt;"&amp;780,m_end,"&gt;"&amp;720)&gt;1,"충돌",HYPERLINK("#'관리자_MASTER'!D"&amp;_xlfn.MAXIFS(m_row,m_teacher,BD$4,m_date,($G$2+25),m_active,1,m_start,"&lt;"&amp;780,m_end,"&gt;"&amp;720),INDEX(m_label,_xlfn.MAXIFS(m_row,m_teacher,BD$4,m_date,($G$2+25),m_active,1,m_start,"&lt;"&amp;780,m_end,"&gt;"&amp;720))))))</f>
        <v/>
      </c>
      <c r="BE52" s="78"/>
      <c r="BF52" s="79" t="s">
        <v>94</v>
      </c>
      <c r="BG52" s="82" t="str">
        <f aca="false">IF(OR(BG$4="",MONTH(($G$2+32))&lt;&gt;MONTH($C$2)),"",IF(COUNTIFS(m_teacher,BG$4,m_date,($G$2+32),m_active,1,m_start,"&lt;"&amp;780,m_end,"&gt;"&amp;720)=0,"",IF(COUNTIFS(m_teacher,BG$4,m_date,($G$2+32),m_active,1,m_start,"&lt;"&amp;780,m_end,"&gt;"&amp;720)&gt;1,"충돌",HYPERLINK("#'관리자_MASTER'!D"&amp;_xlfn.MAXIFS(m_row,m_teacher,BG$4,m_date,($G$2+32),m_active,1,m_start,"&lt;"&amp;780,m_end,"&gt;"&amp;720),INDEX(m_label,_xlfn.MAXIFS(m_row,m_teacher,BG$4,m_date,($G$2+32),m_active,1,m_start,"&lt;"&amp;780,m_end,"&gt;"&amp;720))))))</f>
        <v/>
      </c>
      <c r="BH52" s="82" t="str">
        <f aca="false">IF(OR(BH$4="",MONTH(($G$2+32))&lt;&gt;MONTH($C$2)),"",IF(COUNTIFS(m_teacher,BH$4,m_date,($G$2+32),m_active,1,m_start,"&lt;"&amp;780,m_end,"&gt;"&amp;720)=0,"",IF(COUNTIFS(m_teacher,BH$4,m_date,($G$2+32),m_active,1,m_start,"&lt;"&amp;780,m_end,"&gt;"&amp;720)&gt;1,"충돌",HYPERLINK("#'관리자_MASTER'!D"&amp;_xlfn.MAXIFS(m_row,m_teacher,BH$4,m_date,($G$2+32),m_active,1,m_start,"&lt;"&amp;780,m_end,"&gt;"&amp;720),INDEX(m_label,_xlfn.MAXIFS(m_row,m_teacher,BH$4,m_date,($G$2+32),m_active,1,m_start,"&lt;"&amp;780,m_end,"&gt;"&amp;720))))))</f>
        <v/>
      </c>
      <c r="BI52" s="82" t="str">
        <f aca="false">IF(OR(BI$4="",MONTH(($G$2+32))&lt;&gt;MONTH($C$2)),"",IF(COUNTIFS(m_teacher,BI$4,m_date,($G$2+32),m_active,1,m_start,"&lt;"&amp;780,m_end,"&gt;"&amp;720)=0,"",IF(COUNTIFS(m_teacher,BI$4,m_date,($G$2+32),m_active,1,m_start,"&lt;"&amp;780,m_end,"&gt;"&amp;720)&gt;1,"충돌",HYPERLINK("#'관리자_MASTER'!D"&amp;_xlfn.MAXIFS(m_row,m_teacher,BI$4,m_date,($G$2+32),m_active,1,m_start,"&lt;"&amp;780,m_end,"&gt;"&amp;720),INDEX(m_label,_xlfn.MAXIFS(m_row,m_teacher,BI$4,m_date,($G$2+32),m_active,1,m_start,"&lt;"&amp;780,m_end,"&gt;"&amp;720))))))</f>
        <v/>
      </c>
      <c r="BJ52" s="82" t="str">
        <f aca="false">IF(OR(BJ$4="",MONTH(($G$2+32))&lt;&gt;MONTH($C$2)),"",IF(COUNTIFS(m_teacher,BJ$4,m_date,($G$2+32),m_active,1,m_start,"&lt;"&amp;780,m_end,"&gt;"&amp;720)=0,"",IF(COUNTIFS(m_teacher,BJ$4,m_date,($G$2+32),m_active,1,m_start,"&lt;"&amp;780,m_end,"&gt;"&amp;720)&gt;1,"충돌",HYPERLINK("#'관리자_MASTER'!D"&amp;_xlfn.MAXIFS(m_row,m_teacher,BJ$4,m_date,($G$2+32),m_active,1,m_start,"&lt;"&amp;780,m_end,"&gt;"&amp;720),INDEX(m_label,_xlfn.MAXIFS(m_row,m_teacher,BJ$4,m_date,($G$2+32),m_active,1,m_start,"&lt;"&amp;780,m_end,"&gt;"&amp;720))))))</f>
        <v/>
      </c>
      <c r="BK52" s="82" t="str">
        <f aca="false">IF(OR(BK$4="",MONTH(($G$2+32))&lt;&gt;MONTH($C$2)),"",IF(COUNTIFS(m_teacher,BK$4,m_date,($G$2+32),m_active,1,m_start,"&lt;"&amp;780,m_end,"&gt;"&amp;720)=0,"",IF(COUNTIFS(m_teacher,BK$4,m_date,($G$2+32),m_active,1,m_start,"&lt;"&amp;780,m_end,"&gt;"&amp;720)&gt;1,"충돌",HYPERLINK("#'관리자_MASTER'!D"&amp;_xlfn.MAXIFS(m_row,m_teacher,BK$4,m_date,($G$2+32),m_active,1,m_start,"&lt;"&amp;780,m_end,"&gt;"&amp;720),INDEX(m_label,_xlfn.MAXIFS(m_row,m_teacher,BK$4,m_date,($G$2+32),m_active,1,m_start,"&lt;"&amp;780,m_end,"&gt;"&amp;720))))))</f>
        <v/>
      </c>
      <c r="BL52" s="82" t="str">
        <f aca="false">IF(OR(BL$4="",MONTH(($G$2+32))&lt;&gt;MONTH($C$2)),"",IF(COUNTIFS(m_teacher,BL$4,m_date,($G$2+32),m_active,1,m_start,"&lt;"&amp;780,m_end,"&gt;"&amp;720)=0,"",IF(COUNTIFS(m_teacher,BL$4,m_date,($G$2+32),m_active,1,m_start,"&lt;"&amp;780,m_end,"&gt;"&amp;720)&gt;1,"충돌",HYPERLINK("#'관리자_MASTER'!D"&amp;_xlfn.MAXIFS(m_row,m_teacher,BL$4,m_date,($G$2+32),m_active,1,m_start,"&lt;"&amp;780,m_end,"&gt;"&amp;720),INDEX(m_label,_xlfn.MAXIFS(m_row,m_teacher,BL$4,m_date,($G$2+32),m_active,1,m_start,"&lt;"&amp;780,m_end,"&gt;"&amp;720))))))</f>
        <v/>
      </c>
      <c r="BM52" s="82" t="str">
        <f aca="false">IF(OR(BM$4="",MONTH(($G$2+32))&lt;&gt;MONTH($C$2)),"",IF(COUNTIFS(m_teacher,BM$4,m_date,($G$2+32),m_active,1,m_start,"&lt;"&amp;780,m_end,"&gt;"&amp;720)=0,"",IF(COUNTIFS(m_teacher,BM$4,m_date,($G$2+32),m_active,1,m_start,"&lt;"&amp;780,m_end,"&gt;"&amp;720)&gt;1,"충돌",HYPERLINK("#'관리자_MASTER'!D"&amp;_xlfn.MAXIFS(m_row,m_teacher,BM$4,m_date,($G$2+32),m_active,1,m_start,"&lt;"&amp;780,m_end,"&gt;"&amp;720),INDEX(m_label,_xlfn.MAXIFS(m_row,m_teacher,BM$4,m_date,($G$2+32),m_active,1,m_start,"&lt;"&amp;780,m_end,"&gt;"&amp;720))))))</f>
        <v/>
      </c>
      <c r="BN52" s="82" t="str">
        <f aca="false">IF(OR(BN$4="",MONTH(($G$2+32))&lt;&gt;MONTH($C$2)),"",IF(COUNTIFS(m_teacher,BN$4,m_date,($G$2+32),m_active,1,m_start,"&lt;"&amp;780,m_end,"&gt;"&amp;720)=0,"",IF(COUNTIFS(m_teacher,BN$4,m_date,($G$2+32),m_active,1,m_start,"&lt;"&amp;780,m_end,"&gt;"&amp;720)&gt;1,"충돌",HYPERLINK("#'관리자_MASTER'!D"&amp;_xlfn.MAXIFS(m_row,m_teacher,BN$4,m_date,($G$2+32),m_active,1,m_start,"&lt;"&amp;780,m_end,"&gt;"&amp;720),INDEX(m_label,_xlfn.MAXIFS(m_row,m_teacher,BN$4,m_date,($G$2+32),m_active,1,m_start,"&lt;"&amp;780,m_end,"&gt;"&amp;720))))))</f>
        <v/>
      </c>
      <c r="BO52" s="82" t="str">
        <f aca="false">IF(OR(BO$4="",MONTH(($G$2+32))&lt;&gt;MONTH($C$2)),"",IF(COUNTIFS(m_teacher,BO$4,m_date,($G$2+32),m_active,1,m_start,"&lt;"&amp;780,m_end,"&gt;"&amp;720)=0,"",IF(COUNTIFS(m_teacher,BO$4,m_date,($G$2+32),m_active,1,m_start,"&lt;"&amp;780,m_end,"&gt;"&amp;720)&gt;1,"충돌",HYPERLINK("#'관리자_MASTER'!D"&amp;_xlfn.MAXIFS(m_row,m_teacher,BO$4,m_date,($G$2+32),m_active,1,m_start,"&lt;"&amp;780,m_end,"&gt;"&amp;720),INDEX(m_label,_xlfn.MAXIFS(m_row,m_teacher,BO$4,m_date,($G$2+32),m_active,1,m_start,"&lt;"&amp;780,m_end,"&gt;"&amp;720))))))</f>
        <v/>
      </c>
      <c r="BP52" s="82" t="str">
        <f aca="false">IF(OR(BP$4="",MONTH(($G$2+32))&lt;&gt;MONTH($C$2)),"",IF(COUNTIFS(m_teacher,BP$4,m_date,($G$2+32),m_active,1,m_start,"&lt;"&amp;780,m_end,"&gt;"&amp;720)=0,"",IF(COUNTIFS(m_teacher,BP$4,m_date,($G$2+32),m_active,1,m_start,"&lt;"&amp;780,m_end,"&gt;"&amp;720)&gt;1,"충돌",HYPERLINK("#'관리자_MASTER'!D"&amp;_xlfn.MAXIFS(m_row,m_teacher,BP$4,m_date,($G$2+32),m_active,1,m_start,"&lt;"&amp;780,m_end,"&gt;"&amp;720),INDEX(m_label,_xlfn.MAXIFS(m_row,m_teacher,BP$4,m_date,($G$2+32),m_active,1,m_start,"&lt;"&amp;780,m_end,"&gt;"&amp;720))))))</f>
        <v/>
      </c>
      <c r="BQ52" s="82" t="str">
        <f aca="false">IF(OR(BQ$4="",MONTH(($G$2+32))&lt;&gt;MONTH($C$2)),"",IF(COUNTIFS(m_teacher,BQ$4,m_date,($G$2+32),m_active,1,m_start,"&lt;"&amp;780,m_end,"&gt;"&amp;720)=0,"",IF(COUNTIFS(m_teacher,BQ$4,m_date,($G$2+32),m_active,1,m_start,"&lt;"&amp;780,m_end,"&gt;"&amp;720)&gt;1,"충돌",HYPERLINK("#'관리자_MASTER'!D"&amp;_xlfn.MAXIFS(m_row,m_teacher,BQ$4,m_date,($G$2+32),m_active,1,m_start,"&lt;"&amp;780,m_end,"&gt;"&amp;720),INDEX(m_label,_xlfn.MAXIFS(m_row,m_teacher,BQ$4,m_date,($G$2+32),m_active,1,m_start,"&lt;"&amp;780,m_end,"&gt;"&amp;720))))))</f>
        <v/>
      </c>
      <c r="BR52" s="82" t="str">
        <f aca="false">IF(OR(BR$4="",MONTH(($G$2+32))&lt;&gt;MONTH($C$2)),"",IF(COUNTIFS(m_teacher,BR$4,m_date,($G$2+32),m_active,1,m_start,"&lt;"&amp;780,m_end,"&gt;"&amp;720)=0,"",IF(COUNTIFS(m_teacher,BR$4,m_date,($G$2+32),m_active,1,m_start,"&lt;"&amp;780,m_end,"&gt;"&amp;720)&gt;1,"충돌",HYPERLINK("#'관리자_MASTER'!D"&amp;_xlfn.MAXIFS(m_row,m_teacher,BR$4,m_date,($G$2+32),m_active,1,m_start,"&lt;"&amp;780,m_end,"&gt;"&amp;720),INDEX(m_label,_xlfn.MAXIFS(m_row,m_teacher,BR$4,m_date,($G$2+32),m_active,1,m_start,"&lt;"&amp;780,m_end,"&gt;"&amp;720))))))</f>
        <v/>
      </c>
    </row>
    <row r="53" customFormat="false" ht="19.5" hidden="false" customHeight="true" outlineLevel="0" collapsed="false">
      <c r="A53" s="78"/>
      <c r="B53" s="79" t="s">
        <v>95</v>
      </c>
      <c r="C53" s="82" t="str">
        <f aca="false">IF(OR(C$4="",MONTH(($G$2+4))&lt;&gt;MONTH($C$2)),"",IF(COUNTIFS(m_teacher,C$4,m_date,($G$2+4),m_active,1,m_start,"&lt;"&amp;840,m_end,"&gt;"&amp;780)=0,"",IF(COUNTIFS(m_teacher,C$4,m_date,($G$2+4),m_active,1,m_start,"&lt;"&amp;840,m_end,"&gt;"&amp;780)&gt;1,"충돌",HYPERLINK("#'관리자_MASTER'!D"&amp;_xlfn.MAXIFS(m_row,m_teacher,C$4,m_date,($G$2+4),m_active,1,m_start,"&lt;"&amp;840,m_end,"&gt;"&amp;780),INDEX(m_label,_xlfn.MAXIFS(m_row,m_teacher,C$4,m_date,($G$2+4),m_active,1,m_start,"&lt;"&amp;840,m_end,"&gt;"&amp;780))))))</f>
        <v/>
      </c>
      <c r="D53" s="82" t="str">
        <f aca="false">IF(OR(D$4="",MONTH(($G$2+4))&lt;&gt;MONTH($C$2)),"",IF(COUNTIFS(m_teacher,D$4,m_date,($G$2+4),m_active,1,m_start,"&lt;"&amp;840,m_end,"&gt;"&amp;780)=0,"",IF(COUNTIFS(m_teacher,D$4,m_date,($G$2+4),m_active,1,m_start,"&lt;"&amp;840,m_end,"&gt;"&amp;780)&gt;1,"충돌",HYPERLINK("#'관리자_MASTER'!D"&amp;_xlfn.MAXIFS(m_row,m_teacher,D$4,m_date,($G$2+4),m_active,1,m_start,"&lt;"&amp;840,m_end,"&gt;"&amp;780),INDEX(m_label,_xlfn.MAXIFS(m_row,m_teacher,D$4,m_date,($G$2+4),m_active,1,m_start,"&lt;"&amp;840,m_end,"&gt;"&amp;780))))))</f>
        <v/>
      </c>
      <c r="E53" s="82" t="str">
        <f aca="false">IF(OR(E$4="",MONTH(($G$2+4))&lt;&gt;MONTH($C$2)),"",IF(COUNTIFS(m_teacher,E$4,m_date,($G$2+4),m_active,1,m_start,"&lt;"&amp;840,m_end,"&gt;"&amp;780)=0,"",IF(COUNTIFS(m_teacher,E$4,m_date,($G$2+4),m_active,1,m_start,"&lt;"&amp;840,m_end,"&gt;"&amp;780)&gt;1,"충돌",HYPERLINK("#'관리자_MASTER'!D"&amp;_xlfn.MAXIFS(m_row,m_teacher,E$4,m_date,($G$2+4),m_active,1,m_start,"&lt;"&amp;840,m_end,"&gt;"&amp;780),INDEX(m_label,_xlfn.MAXIFS(m_row,m_teacher,E$4,m_date,($G$2+4),m_active,1,m_start,"&lt;"&amp;840,m_end,"&gt;"&amp;780))))))</f>
        <v/>
      </c>
      <c r="F53" s="82" t="str">
        <f aca="false">IF(OR(F$4="",MONTH(($G$2+4))&lt;&gt;MONTH($C$2)),"",IF(COUNTIFS(m_teacher,F$4,m_date,($G$2+4),m_active,1,m_start,"&lt;"&amp;840,m_end,"&gt;"&amp;780)=0,"",IF(COUNTIFS(m_teacher,F$4,m_date,($G$2+4),m_active,1,m_start,"&lt;"&amp;840,m_end,"&gt;"&amp;780)&gt;1,"충돌",HYPERLINK("#'관리자_MASTER'!D"&amp;_xlfn.MAXIFS(m_row,m_teacher,F$4,m_date,($G$2+4),m_active,1,m_start,"&lt;"&amp;840,m_end,"&gt;"&amp;780),INDEX(m_label,_xlfn.MAXIFS(m_row,m_teacher,F$4,m_date,($G$2+4),m_active,1,m_start,"&lt;"&amp;840,m_end,"&gt;"&amp;780))))))</f>
        <v/>
      </c>
      <c r="G53" s="82" t="str">
        <f aca="false">IF(OR(G$4="",MONTH(($G$2+4))&lt;&gt;MONTH($C$2)),"",IF(COUNTIFS(m_teacher,G$4,m_date,($G$2+4),m_active,1,m_start,"&lt;"&amp;840,m_end,"&gt;"&amp;780)=0,"",IF(COUNTIFS(m_teacher,G$4,m_date,($G$2+4),m_active,1,m_start,"&lt;"&amp;840,m_end,"&gt;"&amp;780)&gt;1,"충돌",HYPERLINK("#'관리자_MASTER'!D"&amp;_xlfn.MAXIFS(m_row,m_teacher,G$4,m_date,($G$2+4),m_active,1,m_start,"&lt;"&amp;840,m_end,"&gt;"&amp;780),INDEX(m_label,_xlfn.MAXIFS(m_row,m_teacher,G$4,m_date,($G$2+4),m_active,1,m_start,"&lt;"&amp;840,m_end,"&gt;"&amp;780))))))</f>
        <v/>
      </c>
      <c r="H53" s="82" t="str">
        <f aca="false">IF(OR(H$4="",MONTH(($G$2+4))&lt;&gt;MONTH($C$2)),"",IF(COUNTIFS(m_teacher,H$4,m_date,($G$2+4),m_active,1,m_start,"&lt;"&amp;840,m_end,"&gt;"&amp;780)=0,"",IF(COUNTIFS(m_teacher,H$4,m_date,($G$2+4),m_active,1,m_start,"&lt;"&amp;840,m_end,"&gt;"&amp;780)&gt;1,"충돌",HYPERLINK("#'관리자_MASTER'!D"&amp;_xlfn.MAXIFS(m_row,m_teacher,H$4,m_date,($G$2+4),m_active,1,m_start,"&lt;"&amp;840,m_end,"&gt;"&amp;780),INDEX(m_label,_xlfn.MAXIFS(m_row,m_teacher,H$4,m_date,($G$2+4),m_active,1,m_start,"&lt;"&amp;840,m_end,"&gt;"&amp;780))))))</f>
        <v/>
      </c>
      <c r="I53" s="82" t="str">
        <f aca="false">IF(OR(I$4="",MONTH(($G$2+4))&lt;&gt;MONTH($C$2)),"",IF(COUNTIFS(m_teacher,I$4,m_date,($G$2+4),m_active,1,m_start,"&lt;"&amp;840,m_end,"&gt;"&amp;780)=0,"",IF(COUNTIFS(m_teacher,I$4,m_date,($G$2+4),m_active,1,m_start,"&lt;"&amp;840,m_end,"&gt;"&amp;780)&gt;1,"충돌",HYPERLINK("#'관리자_MASTER'!D"&amp;_xlfn.MAXIFS(m_row,m_teacher,I$4,m_date,($G$2+4),m_active,1,m_start,"&lt;"&amp;840,m_end,"&gt;"&amp;780),INDEX(m_label,_xlfn.MAXIFS(m_row,m_teacher,I$4,m_date,($G$2+4),m_active,1,m_start,"&lt;"&amp;840,m_end,"&gt;"&amp;780))))))</f>
        <v/>
      </c>
      <c r="J53" s="82" t="str">
        <f aca="false">IF(OR(J$4="",MONTH(($G$2+4))&lt;&gt;MONTH($C$2)),"",IF(COUNTIFS(m_teacher,J$4,m_date,($G$2+4),m_active,1,m_start,"&lt;"&amp;840,m_end,"&gt;"&amp;780)=0,"",IF(COUNTIFS(m_teacher,J$4,m_date,($G$2+4),m_active,1,m_start,"&lt;"&amp;840,m_end,"&gt;"&amp;780)&gt;1,"충돌",HYPERLINK("#'관리자_MASTER'!D"&amp;_xlfn.MAXIFS(m_row,m_teacher,J$4,m_date,($G$2+4),m_active,1,m_start,"&lt;"&amp;840,m_end,"&gt;"&amp;780),INDEX(m_label,_xlfn.MAXIFS(m_row,m_teacher,J$4,m_date,($G$2+4),m_active,1,m_start,"&lt;"&amp;840,m_end,"&gt;"&amp;780))))))</f>
        <v/>
      </c>
      <c r="K53" s="82" t="str">
        <f aca="false">IF(OR(K$4="",MONTH(($G$2+4))&lt;&gt;MONTH($C$2)),"",IF(COUNTIFS(m_teacher,K$4,m_date,($G$2+4),m_active,1,m_start,"&lt;"&amp;840,m_end,"&gt;"&amp;780)=0,"",IF(COUNTIFS(m_teacher,K$4,m_date,($G$2+4),m_active,1,m_start,"&lt;"&amp;840,m_end,"&gt;"&amp;780)&gt;1,"충돌",HYPERLINK("#'관리자_MASTER'!D"&amp;_xlfn.MAXIFS(m_row,m_teacher,K$4,m_date,($G$2+4),m_active,1,m_start,"&lt;"&amp;840,m_end,"&gt;"&amp;780),INDEX(m_label,_xlfn.MAXIFS(m_row,m_teacher,K$4,m_date,($G$2+4),m_active,1,m_start,"&lt;"&amp;840,m_end,"&gt;"&amp;780))))))</f>
        <v/>
      </c>
      <c r="L53" s="82" t="str">
        <f aca="false">IF(OR(L$4="",MONTH(($G$2+4))&lt;&gt;MONTH($C$2)),"",IF(COUNTIFS(m_teacher,L$4,m_date,($G$2+4),m_active,1,m_start,"&lt;"&amp;840,m_end,"&gt;"&amp;780)=0,"",IF(COUNTIFS(m_teacher,L$4,m_date,($G$2+4),m_active,1,m_start,"&lt;"&amp;840,m_end,"&gt;"&amp;780)&gt;1,"충돌",HYPERLINK("#'관리자_MASTER'!D"&amp;_xlfn.MAXIFS(m_row,m_teacher,L$4,m_date,($G$2+4),m_active,1,m_start,"&lt;"&amp;840,m_end,"&gt;"&amp;780),INDEX(m_label,_xlfn.MAXIFS(m_row,m_teacher,L$4,m_date,($G$2+4),m_active,1,m_start,"&lt;"&amp;840,m_end,"&gt;"&amp;780))))))</f>
        <v/>
      </c>
      <c r="M53" s="82" t="str">
        <f aca="false">IF(OR(M$4="",MONTH(($G$2+4))&lt;&gt;MONTH($C$2)),"",IF(COUNTIFS(m_teacher,M$4,m_date,($G$2+4),m_active,1,m_start,"&lt;"&amp;840,m_end,"&gt;"&amp;780)=0,"",IF(COUNTIFS(m_teacher,M$4,m_date,($G$2+4),m_active,1,m_start,"&lt;"&amp;840,m_end,"&gt;"&amp;780)&gt;1,"충돌",HYPERLINK("#'관리자_MASTER'!D"&amp;_xlfn.MAXIFS(m_row,m_teacher,M$4,m_date,($G$2+4),m_active,1,m_start,"&lt;"&amp;840,m_end,"&gt;"&amp;780),INDEX(m_label,_xlfn.MAXIFS(m_row,m_teacher,M$4,m_date,($G$2+4),m_active,1,m_start,"&lt;"&amp;840,m_end,"&gt;"&amp;780))))))</f>
        <v/>
      </c>
      <c r="N53" s="82" t="str">
        <f aca="false">IF(OR(N$4="",MONTH(($G$2+4))&lt;&gt;MONTH($C$2)),"",IF(COUNTIFS(m_teacher,N$4,m_date,($G$2+4),m_active,1,m_start,"&lt;"&amp;840,m_end,"&gt;"&amp;780)=0,"",IF(COUNTIFS(m_teacher,N$4,m_date,($G$2+4),m_active,1,m_start,"&lt;"&amp;840,m_end,"&gt;"&amp;780)&gt;1,"충돌",HYPERLINK("#'관리자_MASTER'!D"&amp;_xlfn.MAXIFS(m_row,m_teacher,N$4,m_date,($G$2+4),m_active,1,m_start,"&lt;"&amp;840,m_end,"&gt;"&amp;780),INDEX(m_label,_xlfn.MAXIFS(m_row,m_teacher,N$4,m_date,($G$2+4),m_active,1,m_start,"&lt;"&amp;840,m_end,"&gt;"&amp;780))))))</f>
        <v/>
      </c>
      <c r="O53" s="78"/>
      <c r="P53" s="79" t="s">
        <v>95</v>
      </c>
      <c r="Q53" s="82" t="str">
        <f aca="false">IF(OR(Q$4="",MONTH(($G$2+11))&lt;&gt;MONTH($C$2)),"",IF(COUNTIFS(m_teacher,Q$4,m_date,($G$2+11),m_active,1,m_start,"&lt;"&amp;840,m_end,"&gt;"&amp;780)=0,"",IF(COUNTIFS(m_teacher,Q$4,m_date,($G$2+11),m_active,1,m_start,"&lt;"&amp;840,m_end,"&gt;"&amp;780)&gt;1,"충돌",HYPERLINK("#'관리자_MASTER'!D"&amp;_xlfn.MAXIFS(m_row,m_teacher,Q$4,m_date,($G$2+11),m_active,1,m_start,"&lt;"&amp;840,m_end,"&gt;"&amp;780),INDEX(m_label,_xlfn.MAXIFS(m_row,m_teacher,Q$4,m_date,($G$2+11),m_active,1,m_start,"&lt;"&amp;840,m_end,"&gt;"&amp;780))))))</f>
        <v/>
      </c>
      <c r="R53" s="82" t="str">
        <f aca="false">IF(OR(R$4="",MONTH(($G$2+11))&lt;&gt;MONTH($C$2)),"",IF(COUNTIFS(m_teacher,R$4,m_date,($G$2+11),m_active,1,m_start,"&lt;"&amp;840,m_end,"&gt;"&amp;780)=0,"",IF(COUNTIFS(m_teacher,R$4,m_date,($G$2+11),m_active,1,m_start,"&lt;"&amp;840,m_end,"&gt;"&amp;780)&gt;1,"충돌",HYPERLINK("#'관리자_MASTER'!D"&amp;_xlfn.MAXIFS(m_row,m_teacher,R$4,m_date,($G$2+11),m_active,1,m_start,"&lt;"&amp;840,m_end,"&gt;"&amp;780),INDEX(m_label,_xlfn.MAXIFS(m_row,m_teacher,R$4,m_date,($G$2+11),m_active,1,m_start,"&lt;"&amp;840,m_end,"&gt;"&amp;780))))))</f>
        <v/>
      </c>
      <c r="S53" s="82" t="str">
        <f aca="false">IF(OR(S$4="",MONTH(($G$2+11))&lt;&gt;MONTH($C$2)),"",IF(COUNTIFS(m_teacher,S$4,m_date,($G$2+11),m_active,1,m_start,"&lt;"&amp;840,m_end,"&gt;"&amp;780)=0,"",IF(COUNTIFS(m_teacher,S$4,m_date,($G$2+11),m_active,1,m_start,"&lt;"&amp;840,m_end,"&gt;"&amp;780)&gt;1,"충돌",HYPERLINK("#'관리자_MASTER'!D"&amp;_xlfn.MAXIFS(m_row,m_teacher,S$4,m_date,($G$2+11),m_active,1,m_start,"&lt;"&amp;840,m_end,"&gt;"&amp;780),INDEX(m_label,_xlfn.MAXIFS(m_row,m_teacher,S$4,m_date,($G$2+11),m_active,1,m_start,"&lt;"&amp;840,m_end,"&gt;"&amp;780))))))</f>
        <v/>
      </c>
      <c r="T53" s="82" t="str">
        <f aca="false">IF(OR(T$4="",MONTH(($G$2+11))&lt;&gt;MONTH($C$2)),"",IF(COUNTIFS(m_teacher,T$4,m_date,($G$2+11),m_active,1,m_start,"&lt;"&amp;840,m_end,"&gt;"&amp;780)=0,"",IF(COUNTIFS(m_teacher,T$4,m_date,($G$2+11),m_active,1,m_start,"&lt;"&amp;840,m_end,"&gt;"&amp;780)&gt;1,"충돌",HYPERLINK("#'관리자_MASTER'!D"&amp;_xlfn.MAXIFS(m_row,m_teacher,T$4,m_date,($G$2+11),m_active,1,m_start,"&lt;"&amp;840,m_end,"&gt;"&amp;780),INDEX(m_label,_xlfn.MAXIFS(m_row,m_teacher,T$4,m_date,($G$2+11),m_active,1,m_start,"&lt;"&amp;840,m_end,"&gt;"&amp;780))))))</f>
        <v/>
      </c>
      <c r="U53" s="82" t="str">
        <f aca="false">IF(OR(U$4="",MONTH(($G$2+11))&lt;&gt;MONTH($C$2)),"",IF(COUNTIFS(m_teacher,U$4,m_date,($G$2+11),m_active,1,m_start,"&lt;"&amp;840,m_end,"&gt;"&amp;780)=0,"",IF(COUNTIFS(m_teacher,U$4,m_date,($G$2+11),m_active,1,m_start,"&lt;"&amp;840,m_end,"&gt;"&amp;780)&gt;1,"충돌",HYPERLINK("#'관리자_MASTER'!D"&amp;_xlfn.MAXIFS(m_row,m_teacher,U$4,m_date,($G$2+11),m_active,1,m_start,"&lt;"&amp;840,m_end,"&gt;"&amp;780),INDEX(m_label,_xlfn.MAXIFS(m_row,m_teacher,U$4,m_date,($G$2+11),m_active,1,m_start,"&lt;"&amp;840,m_end,"&gt;"&amp;780))))))</f>
        <v/>
      </c>
      <c r="V53" s="82" t="str">
        <f aca="false">IF(OR(V$4="",MONTH(($G$2+11))&lt;&gt;MONTH($C$2)),"",IF(COUNTIFS(m_teacher,V$4,m_date,($G$2+11),m_active,1,m_start,"&lt;"&amp;840,m_end,"&gt;"&amp;780)=0,"",IF(COUNTIFS(m_teacher,V$4,m_date,($G$2+11),m_active,1,m_start,"&lt;"&amp;840,m_end,"&gt;"&amp;780)&gt;1,"충돌",HYPERLINK("#'관리자_MASTER'!D"&amp;_xlfn.MAXIFS(m_row,m_teacher,V$4,m_date,($G$2+11),m_active,1,m_start,"&lt;"&amp;840,m_end,"&gt;"&amp;780),INDEX(m_label,_xlfn.MAXIFS(m_row,m_teacher,V$4,m_date,($G$2+11),m_active,1,m_start,"&lt;"&amp;840,m_end,"&gt;"&amp;780))))))</f>
        <v/>
      </c>
      <c r="W53" s="82" t="str">
        <f aca="false">IF(OR(W$4="",MONTH(($G$2+11))&lt;&gt;MONTH($C$2)),"",IF(COUNTIFS(m_teacher,W$4,m_date,($G$2+11),m_active,1,m_start,"&lt;"&amp;840,m_end,"&gt;"&amp;780)=0,"",IF(COUNTIFS(m_teacher,W$4,m_date,($G$2+11),m_active,1,m_start,"&lt;"&amp;840,m_end,"&gt;"&amp;780)&gt;1,"충돌",HYPERLINK("#'관리자_MASTER'!D"&amp;_xlfn.MAXIFS(m_row,m_teacher,W$4,m_date,($G$2+11),m_active,1,m_start,"&lt;"&amp;840,m_end,"&gt;"&amp;780),INDEX(m_label,_xlfn.MAXIFS(m_row,m_teacher,W$4,m_date,($G$2+11),m_active,1,m_start,"&lt;"&amp;840,m_end,"&gt;"&amp;780))))))</f>
        <v/>
      </c>
      <c r="X53" s="82" t="str">
        <f aca="false">IF(OR(X$4="",MONTH(($G$2+11))&lt;&gt;MONTH($C$2)),"",IF(COUNTIFS(m_teacher,X$4,m_date,($G$2+11),m_active,1,m_start,"&lt;"&amp;840,m_end,"&gt;"&amp;780)=0,"",IF(COUNTIFS(m_teacher,X$4,m_date,($G$2+11),m_active,1,m_start,"&lt;"&amp;840,m_end,"&gt;"&amp;780)&gt;1,"충돌",HYPERLINK("#'관리자_MASTER'!D"&amp;_xlfn.MAXIFS(m_row,m_teacher,X$4,m_date,($G$2+11),m_active,1,m_start,"&lt;"&amp;840,m_end,"&gt;"&amp;780),INDEX(m_label,_xlfn.MAXIFS(m_row,m_teacher,X$4,m_date,($G$2+11),m_active,1,m_start,"&lt;"&amp;840,m_end,"&gt;"&amp;780))))))</f>
        <v/>
      </c>
      <c r="Y53" s="82" t="str">
        <f aca="false">IF(OR(Y$4="",MONTH(($G$2+11))&lt;&gt;MONTH($C$2)),"",IF(COUNTIFS(m_teacher,Y$4,m_date,($G$2+11),m_active,1,m_start,"&lt;"&amp;840,m_end,"&gt;"&amp;780)=0,"",IF(COUNTIFS(m_teacher,Y$4,m_date,($G$2+11),m_active,1,m_start,"&lt;"&amp;840,m_end,"&gt;"&amp;780)&gt;1,"충돌",HYPERLINK("#'관리자_MASTER'!D"&amp;_xlfn.MAXIFS(m_row,m_teacher,Y$4,m_date,($G$2+11),m_active,1,m_start,"&lt;"&amp;840,m_end,"&gt;"&amp;780),INDEX(m_label,_xlfn.MAXIFS(m_row,m_teacher,Y$4,m_date,($G$2+11),m_active,1,m_start,"&lt;"&amp;840,m_end,"&gt;"&amp;780))))))</f>
        <v/>
      </c>
      <c r="Z53" s="82" t="str">
        <f aca="false">IF(OR(Z$4="",MONTH(($G$2+11))&lt;&gt;MONTH($C$2)),"",IF(COUNTIFS(m_teacher,Z$4,m_date,($G$2+11),m_active,1,m_start,"&lt;"&amp;840,m_end,"&gt;"&amp;780)=0,"",IF(COUNTIFS(m_teacher,Z$4,m_date,($G$2+11),m_active,1,m_start,"&lt;"&amp;840,m_end,"&gt;"&amp;780)&gt;1,"충돌",HYPERLINK("#'관리자_MASTER'!D"&amp;_xlfn.MAXIFS(m_row,m_teacher,Z$4,m_date,($G$2+11),m_active,1,m_start,"&lt;"&amp;840,m_end,"&gt;"&amp;780),INDEX(m_label,_xlfn.MAXIFS(m_row,m_teacher,Z$4,m_date,($G$2+11),m_active,1,m_start,"&lt;"&amp;840,m_end,"&gt;"&amp;780))))))</f>
        <v/>
      </c>
      <c r="AA53" s="82" t="str">
        <f aca="false">IF(OR(AA$4="",MONTH(($G$2+11))&lt;&gt;MONTH($C$2)),"",IF(COUNTIFS(m_teacher,AA$4,m_date,($G$2+11),m_active,1,m_start,"&lt;"&amp;840,m_end,"&gt;"&amp;780)=0,"",IF(COUNTIFS(m_teacher,AA$4,m_date,($G$2+11),m_active,1,m_start,"&lt;"&amp;840,m_end,"&gt;"&amp;780)&gt;1,"충돌",HYPERLINK("#'관리자_MASTER'!D"&amp;_xlfn.MAXIFS(m_row,m_teacher,AA$4,m_date,($G$2+11),m_active,1,m_start,"&lt;"&amp;840,m_end,"&gt;"&amp;780),INDEX(m_label,_xlfn.MAXIFS(m_row,m_teacher,AA$4,m_date,($G$2+11),m_active,1,m_start,"&lt;"&amp;840,m_end,"&gt;"&amp;780))))))</f>
        <v/>
      </c>
      <c r="AB53" s="82" t="str">
        <f aca="false">IF(OR(AB$4="",MONTH(($G$2+11))&lt;&gt;MONTH($C$2)),"",IF(COUNTIFS(m_teacher,AB$4,m_date,($G$2+11),m_active,1,m_start,"&lt;"&amp;840,m_end,"&gt;"&amp;780)=0,"",IF(COUNTIFS(m_teacher,AB$4,m_date,($G$2+11),m_active,1,m_start,"&lt;"&amp;840,m_end,"&gt;"&amp;780)&gt;1,"충돌",HYPERLINK("#'관리자_MASTER'!D"&amp;_xlfn.MAXIFS(m_row,m_teacher,AB$4,m_date,($G$2+11),m_active,1,m_start,"&lt;"&amp;840,m_end,"&gt;"&amp;780),INDEX(m_label,_xlfn.MAXIFS(m_row,m_teacher,AB$4,m_date,($G$2+11),m_active,1,m_start,"&lt;"&amp;840,m_end,"&gt;"&amp;780))))))</f>
        <v/>
      </c>
      <c r="AC53" s="78"/>
      <c r="AD53" s="79" t="s">
        <v>95</v>
      </c>
      <c r="AE53" s="82" t="str">
        <f aca="false">IF(OR(AE$4="",MONTH(($G$2+18))&lt;&gt;MONTH($C$2)),"",IF(COUNTIFS(m_teacher,AE$4,m_date,($G$2+18),m_active,1,m_start,"&lt;"&amp;840,m_end,"&gt;"&amp;780)=0,"",IF(COUNTIFS(m_teacher,AE$4,m_date,($G$2+18),m_active,1,m_start,"&lt;"&amp;840,m_end,"&gt;"&amp;780)&gt;1,"충돌",HYPERLINK("#'관리자_MASTER'!D"&amp;_xlfn.MAXIFS(m_row,m_teacher,AE$4,m_date,($G$2+18),m_active,1,m_start,"&lt;"&amp;840,m_end,"&gt;"&amp;780),INDEX(m_label,_xlfn.MAXIFS(m_row,m_teacher,AE$4,m_date,($G$2+18),m_active,1,m_start,"&lt;"&amp;840,m_end,"&gt;"&amp;780))))))</f>
        <v/>
      </c>
      <c r="AF53" s="82" t="str">
        <f aca="false">IF(OR(AF$4="",MONTH(($G$2+18))&lt;&gt;MONTH($C$2)),"",IF(COUNTIFS(m_teacher,AF$4,m_date,($G$2+18),m_active,1,m_start,"&lt;"&amp;840,m_end,"&gt;"&amp;780)=0,"",IF(COUNTIFS(m_teacher,AF$4,m_date,($G$2+18),m_active,1,m_start,"&lt;"&amp;840,m_end,"&gt;"&amp;780)&gt;1,"충돌",HYPERLINK("#'관리자_MASTER'!D"&amp;_xlfn.MAXIFS(m_row,m_teacher,AF$4,m_date,($G$2+18),m_active,1,m_start,"&lt;"&amp;840,m_end,"&gt;"&amp;780),INDEX(m_label,_xlfn.MAXIFS(m_row,m_teacher,AF$4,m_date,($G$2+18),m_active,1,m_start,"&lt;"&amp;840,m_end,"&gt;"&amp;780))))))</f>
        <v/>
      </c>
      <c r="AG53" s="82" t="str">
        <f aca="false">IF(OR(AG$4="",MONTH(($G$2+18))&lt;&gt;MONTH($C$2)),"",IF(COUNTIFS(m_teacher,AG$4,m_date,($G$2+18),m_active,1,m_start,"&lt;"&amp;840,m_end,"&gt;"&amp;780)=0,"",IF(COUNTIFS(m_teacher,AG$4,m_date,($G$2+18),m_active,1,m_start,"&lt;"&amp;840,m_end,"&gt;"&amp;780)&gt;1,"충돌",HYPERLINK("#'관리자_MASTER'!D"&amp;_xlfn.MAXIFS(m_row,m_teacher,AG$4,m_date,($G$2+18),m_active,1,m_start,"&lt;"&amp;840,m_end,"&gt;"&amp;780),INDEX(m_label,_xlfn.MAXIFS(m_row,m_teacher,AG$4,m_date,($G$2+18),m_active,1,m_start,"&lt;"&amp;840,m_end,"&gt;"&amp;780))))))</f>
        <v/>
      </c>
      <c r="AH53" s="82" t="str">
        <f aca="false">IF(OR(AH$4="",MONTH(($G$2+18))&lt;&gt;MONTH($C$2)),"",IF(COUNTIFS(m_teacher,AH$4,m_date,($G$2+18),m_active,1,m_start,"&lt;"&amp;840,m_end,"&gt;"&amp;780)=0,"",IF(COUNTIFS(m_teacher,AH$4,m_date,($G$2+18),m_active,1,m_start,"&lt;"&amp;840,m_end,"&gt;"&amp;780)&gt;1,"충돌",HYPERLINK("#'관리자_MASTER'!D"&amp;_xlfn.MAXIFS(m_row,m_teacher,AH$4,m_date,($G$2+18),m_active,1,m_start,"&lt;"&amp;840,m_end,"&gt;"&amp;780),INDEX(m_label,_xlfn.MAXIFS(m_row,m_teacher,AH$4,m_date,($G$2+18),m_active,1,m_start,"&lt;"&amp;840,m_end,"&gt;"&amp;780))))))</f>
        <v/>
      </c>
      <c r="AI53" s="82" t="str">
        <f aca="false">IF(OR(AI$4="",MONTH(($G$2+18))&lt;&gt;MONTH($C$2)),"",IF(COUNTIFS(m_teacher,AI$4,m_date,($G$2+18),m_active,1,m_start,"&lt;"&amp;840,m_end,"&gt;"&amp;780)=0,"",IF(COUNTIFS(m_teacher,AI$4,m_date,($G$2+18),m_active,1,m_start,"&lt;"&amp;840,m_end,"&gt;"&amp;780)&gt;1,"충돌",HYPERLINK("#'관리자_MASTER'!D"&amp;_xlfn.MAXIFS(m_row,m_teacher,AI$4,m_date,($G$2+18),m_active,1,m_start,"&lt;"&amp;840,m_end,"&gt;"&amp;780),INDEX(m_label,_xlfn.MAXIFS(m_row,m_teacher,AI$4,m_date,($G$2+18),m_active,1,m_start,"&lt;"&amp;840,m_end,"&gt;"&amp;780))))))</f>
        <v/>
      </c>
      <c r="AJ53" s="82" t="str">
        <f aca="false">IF(OR(AJ$4="",MONTH(($G$2+18))&lt;&gt;MONTH($C$2)),"",IF(COUNTIFS(m_teacher,AJ$4,m_date,($G$2+18),m_active,1,m_start,"&lt;"&amp;840,m_end,"&gt;"&amp;780)=0,"",IF(COUNTIFS(m_teacher,AJ$4,m_date,($G$2+18),m_active,1,m_start,"&lt;"&amp;840,m_end,"&gt;"&amp;780)&gt;1,"충돌",HYPERLINK("#'관리자_MASTER'!D"&amp;_xlfn.MAXIFS(m_row,m_teacher,AJ$4,m_date,($G$2+18),m_active,1,m_start,"&lt;"&amp;840,m_end,"&gt;"&amp;780),INDEX(m_label,_xlfn.MAXIFS(m_row,m_teacher,AJ$4,m_date,($G$2+18),m_active,1,m_start,"&lt;"&amp;840,m_end,"&gt;"&amp;780))))))</f>
        <v/>
      </c>
      <c r="AK53" s="82" t="str">
        <f aca="false">IF(OR(AK$4="",MONTH(($G$2+18))&lt;&gt;MONTH($C$2)),"",IF(COUNTIFS(m_teacher,AK$4,m_date,($G$2+18),m_active,1,m_start,"&lt;"&amp;840,m_end,"&gt;"&amp;780)=0,"",IF(COUNTIFS(m_teacher,AK$4,m_date,($G$2+18),m_active,1,m_start,"&lt;"&amp;840,m_end,"&gt;"&amp;780)&gt;1,"충돌",HYPERLINK("#'관리자_MASTER'!D"&amp;_xlfn.MAXIFS(m_row,m_teacher,AK$4,m_date,($G$2+18),m_active,1,m_start,"&lt;"&amp;840,m_end,"&gt;"&amp;780),INDEX(m_label,_xlfn.MAXIFS(m_row,m_teacher,AK$4,m_date,($G$2+18),m_active,1,m_start,"&lt;"&amp;840,m_end,"&gt;"&amp;780))))))</f>
        <v/>
      </c>
      <c r="AL53" s="82" t="str">
        <f aca="false">IF(OR(AL$4="",MONTH(($G$2+18))&lt;&gt;MONTH($C$2)),"",IF(COUNTIFS(m_teacher,AL$4,m_date,($G$2+18),m_active,1,m_start,"&lt;"&amp;840,m_end,"&gt;"&amp;780)=0,"",IF(COUNTIFS(m_teacher,AL$4,m_date,($G$2+18),m_active,1,m_start,"&lt;"&amp;840,m_end,"&gt;"&amp;780)&gt;1,"충돌",HYPERLINK("#'관리자_MASTER'!D"&amp;_xlfn.MAXIFS(m_row,m_teacher,AL$4,m_date,($G$2+18),m_active,1,m_start,"&lt;"&amp;840,m_end,"&gt;"&amp;780),INDEX(m_label,_xlfn.MAXIFS(m_row,m_teacher,AL$4,m_date,($G$2+18),m_active,1,m_start,"&lt;"&amp;840,m_end,"&gt;"&amp;780))))))</f>
        <v/>
      </c>
      <c r="AM53" s="82" t="str">
        <f aca="false">IF(OR(AM$4="",MONTH(($G$2+18))&lt;&gt;MONTH($C$2)),"",IF(COUNTIFS(m_teacher,AM$4,m_date,($G$2+18),m_active,1,m_start,"&lt;"&amp;840,m_end,"&gt;"&amp;780)=0,"",IF(COUNTIFS(m_teacher,AM$4,m_date,($G$2+18),m_active,1,m_start,"&lt;"&amp;840,m_end,"&gt;"&amp;780)&gt;1,"충돌",HYPERLINK("#'관리자_MASTER'!D"&amp;_xlfn.MAXIFS(m_row,m_teacher,AM$4,m_date,($G$2+18),m_active,1,m_start,"&lt;"&amp;840,m_end,"&gt;"&amp;780),INDEX(m_label,_xlfn.MAXIFS(m_row,m_teacher,AM$4,m_date,($G$2+18),m_active,1,m_start,"&lt;"&amp;840,m_end,"&gt;"&amp;780))))))</f>
        <v/>
      </c>
      <c r="AN53" s="82" t="str">
        <f aca="false">IF(OR(AN$4="",MONTH(($G$2+18))&lt;&gt;MONTH($C$2)),"",IF(COUNTIFS(m_teacher,AN$4,m_date,($G$2+18),m_active,1,m_start,"&lt;"&amp;840,m_end,"&gt;"&amp;780)=0,"",IF(COUNTIFS(m_teacher,AN$4,m_date,($G$2+18),m_active,1,m_start,"&lt;"&amp;840,m_end,"&gt;"&amp;780)&gt;1,"충돌",HYPERLINK("#'관리자_MASTER'!D"&amp;_xlfn.MAXIFS(m_row,m_teacher,AN$4,m_date,($G$2+18),m_active,1,m_start,"&lt;"&amp;840,m_end,"&gt;"&amp;780),INDEX(m_label,_xlfn.MAXIFS(m_row,m_teacher,AN$4,m_date,($G$2+18),m_active,1,m_start,"&lt;"&amp;840,m_end,"&gt;"&amp;780))))))</f>
        <v/>
      </c>
      <c r="AO53" s="82" t="str">
        <f aca="false">IF(OR(AO$4="",MONTH(($G$2+18))&lt;&gt;MONTH($C$2)),"",IF(COUNTIFS(m_teacher,AO$4,m_date,($G$2+18),m_active,1,m_start,"&lt;"&amp;840,m_end,"&gt;"&amp;780)=0,"",IF(COUNTIFS(m_teacher,AO$4,m_date,($G$2+18),m_active,1,m_start,"&lt;"&amp;840,m_end,"&gt;"&amp;780)&gt;1,"충돌",HYPERLINK("#'관리자_MASTER'!D"&amp;_xlfn.MAXIFS(m_row,m_teacher,AO$4,m_date,($G$2+18),m_active,1,m_start,"&lt;"&amp;840,m_end,"&gt;"&amp;780),INDEX(m_label,_xlfn.MAXIFS(m_row,m_teacher,AO$4,m_date,($G$2+18),m_active,1,m_start,"&lt;"&amp;840,m_end,"&gt;"&amp;780))))))</f>
        <v/>
      </c>
      <c r="AP53" s="82" t="str">
        <f aca="false">IF(OR(AP$4="",MONTH(($G$2+18))&lt;&gt;MONTH($C$2)),"",IF(COUNTIFS(m_teacher,AP$4,m_date,($G$2+18),m_active,1,m_start,"&lt;"&amp;840,m_end,"&gt;"&amp;780)=0,"",IF(COUNTIFS(m_teacher,AP$4,m_date,($G$2+18),m_active,1,m_start,"&lt;"&amp;840,m_end,"&gt;"&amp;780)&gt;1,"충돌",HYPERLINK("#'관리자_MASTER'!D"&amp;_xlfn.MAXIFS(m_row,m_teacher,AP$4,m_date,($G$2+18),m_active,1,m_start,"&lt;"&amp;840,m_end,"&gt;"&amp;780),INDEX(m_label,_xlfn.MAXIFS(m_row,m_teacher,AP$4,m_date,($G$2+18),m_active,1,m_start,"&lt;"&amp;840,m_end,"&gt;"&amp;780))))))</f>
        <v/>
      </c>
      <c r="AQ53" s="78"/>
      <c r="AR53" s="79" t="s">
        <v>95</v>
      </c>
      <c r="AS53" s="82" t="str">
        <f aca="false">IF(OR(AS$4="",MONTH(($G$2+25))&lt;&gt;MONTH($C$2)),"",IF(COUNTIFS(m_teacher,AS$4,m_date,($G$2+25),m_active,1,m_start,"&lt;"&amp;840,m_end,"&gt;"&amp;780)=0,"",IF(COUNTIFS(m_teacher,AS$4,m_date,($G$2+25),m_active,1,m_start,"&lt;"&amp;840,m_end,"&gt;"&amp;780)&gt;1,"충돌",HYPERLINK("#'관리자_MASTER'!D"&amp;_xlfn.MAXIFS(m_row,m_teacher,AS$4,m_date,($G$2+25),m_active,1,m_start,"&lt;"&amp;840,m_end,"&gt;"&amp;780),INDEX(m_label,_xlfn.MAXIFS(m_row,m_teacher,AS$4,m_date,($G$2+25),m_active,1,m_start,"&lt;"&amp;840,m_end,"&gt;"&amp;780))))))</f>
        <v/>
      </c>
      <c r="AT53" s="82" t="str">
        <f aca="false">IF(OR(AT$4="",MONTH(($G$2+25))&lt;&gt;MONTH($C$2)),"",IF(COUNTIFS(m_teacher,AT$4,m_date,($G$2+25),m_active,1,m_start,"&lt;"&amp;840,m_end,"&gt;"&amp;780)=0,"",IF(COUNTIFS(m_teacher,AT$4,m_date,($G$2+25),m_active,1,m_start,"&lt;"&amp;840,m_end,"&gt;"&amp;780)&gt;1,"충돌",HYPERLINK("#'관리자_MASTER'!D"&amp;_xlfn.MAXIFS(m_row,m_teacher,AT$4,m_date,($G$2+25),m_active,1,m_start,"&lt;"&amp;840,m_end,"&gt;"&amp;780),INDEX(m_label,_xlfn.MAXIFS(m_row,m_teacher,AT$4,m_date,($G$2+25),m_active,1,m_start,"&lt;"&amp;840,m_end,"&gt;"&amp;780))))))</f>
        <v/>
      </c>
      <c r="AU53" s="82" t="str">
        <f aca="false">IF(OR(AU$4="",MONTH(($G$2+25))&lt;&gt;MONTH($C$2)),"",IF(COUNTIFS(m_teacher,AU$4,m_date,($G$2+25),m_active,1,m_start,"&lt;"&amp;840,m_end,"&gt;"&amp;780)=0,"",IF(COUNTIFS(m_teacher,AU$4,m_date,($G$2+25),m_active,1,m_start,"&lt;"&amp;840,m_end,"&gt;"&amp;780)&gt;1,"충돌",HYPERLINK("#'관리자_MASTER'!D"&amp;_xlfn.MAXIFS(m_row,m_teacher,AU$4,m_date,($G$2+25),m_active,1,m_start,"&lt;"&amp;840,m_end,"&gt;"&amp;780),INDEX(m_label,_xlfn.MAXIFS(m_row,m_teacher,AU$4,m_date,($G$2+25),m_active,1,m_start,"&lt;"&amp;840,m_end,"&gt;"&amp;780))))))</f>
        <v/>
      </c>
      <c r="AV53" s="82" t="str">
        <f aca="false">IF(OR(AV$4="",MONTH(($G$2+25))&lt;&gt;MONTH($C$2)),"",IF(COUNTIFS(m_teacher,AV$4,m_date,($G$2+25),m_active,1,m_start,"&lt;"&amp;840,m_end,"&gt;"&amp;780)=0,"",IF(COUNTIFS(m_teacher,AV$4,m_date,($G$2+25),m_active,1,m_start,"&lt;"&amp;840,m_end,"&gt;"&amp;780)&gt;1,"충돌",HYPERLINK("#'관리자_MASTER'!D"&amp;_xlfn.MAXIFS(m_row,m_teacher,AV$4,m_date,($G$2+25),m_active,1,m_start,"&lt;"&amp;840,m_end,"&gt;"&amp;780),INDEX(m_label,_xlfn.MAXIFS(m_row,m_teacher,AV$4,m_date,($G$2+25),m_active,1,m_start,"&lt;"&amp;840,m_end,"&gt;"&amp;780))))))</f>
        <v/>
      </c>
      <c r="AW53" s="82" t="str">
        <f aca="false">IF(OR(AW$4="",MONTH(($G$2+25))&lt;&gt;MONTH($C$2)),"",IF(COUNTIFS(m_teacher,AW$4,m_date,($G$2+25),m_active,1,m_start,"&lt;"&amp;840,m_end,"&gt;"&amp;780)=0,"",IF(COUNTIFS(m_teacher,AW$4,m_date,($G$2+25),m_active,1,m_start,"&lt;"&amp;840,m_end,"&gt;"&amp;780)&gt;1,"충돌",HYPERLINK("#'관리자_MASTER'!D"&amp;_xlfn.MAXIFS(m_row,m_teacher,AW$4,m_date,($G$2+25),m_active,1,m_start,"&lt;"&amp;840,m_end,"&gt;"&amp;780),INDEX(m_label,_xlfn.MAXIFS(m_row,m_teacher,AW$4,m_date,($G$2+25),m_active,1,m_start,"&lt;"&amp;840,m_end,"&gt;"&amp;780))))))</f>
        <v/>
      </c>
      <c r="AX53" s="82" t="str">
        <f aca="false">IF(OR(AX$4="",MONTH(($G$2+25))&lt;&gt;MONTH($C$2)),"",IF(COUNTIFS(m_teacher,AX$4,m_date,($G$2+25),m_active,1,m_start,"&lt;"&amp;840,m_end,"&gt;"&amp;780)=0,"",IF(COUNTIFS(m_teacher,AX$4,m_date,($G$2+25),m_active,1,m_start,"&lt;"&amp;840,m_end,"&gt;"&amp;780)&gt;1,"충돌",HYPERLINK("#'관리자_MASTER'!D"&amp;_xlfn.MAXIFS(m_row,m_teacher,AX$4,m_date,($G$2+25),m_active,1,m_start,"&lt;"&amp;840,m_end,"&gt;"&amp;780),INDEX(m_label,_xlfn.MAXIFS(m_row,m_teacher,AX$4,m_date,($G$2+25),m_active,1,m_start,"&lt;"&amp;840,m_end,"&gt;"&amp;780))))))</f>
        <v/>
      </c>
      <c r="AY53" s="82" t="str">
        <f aca="false">IF(OR(AY$4="",MONTH(($G$2+25))&lt;&gt;MONTH($C$2)),"",IF(COUNTIFS(m_teacher,AY$4,m_date,($G$2+25),m_active,1,m_start,"&lt;"&amp;840,m_end,"&gt;"&amp;780)=0,"",IF(COUNTIFS(m_teacher,AY$4,m_date,($G$2+25),m_active,1,m_start,"&lt;"&amp;840,m_end,"&gt;"&amp;780)&gt;1,"충돌",HYPERLINK("#'관리자_MASTER'!D"&amp;_xlfn.MAXIFS(m_row,m_teacher,AY$4,m_date,($G$2+25),m_active,1,m_start,"&lt;"&amp;840,m_end,"&gt;"&amp;780),INDEX(m_label,_xlfn.MAXIFS(m_row,m_teacher,AY$4,m_date,($G$2+25),m_active,1,m_start,"&lt;"&amp;840,m_end,"&gt;"&amp;780))))))</f>
        <v/>
      </c>
      <c r="AZ53" s="82" t="str">
        <f aca="false">IF(OR(AZ$4="",MONTH(($G$2+25))&lt;&gt;MONTH($C$2)),"",IF(COUNTIFS(m_teacher,AZ$4,m_date,($G$2+25),m_active,1,m_start,"&lt;"&amp;840,m_end,"&gt;"&amp;780)=0,"",IF(COUNTIFS(m_teacher,AZ$4,m_date,($G$2+25),m_active,1,m_start,"&lt;"&amp;840,m_end,"&gt;"&amp;780)&gt;1,"충돌",HYPERLINK("#'관리자_MASTER'!D"&amp;_xlfn.MAXIFS(m_row,m_teacher,AZ$4,m_date,($G$2+25),m_active,1,m_start,"&lt;"&amp;840,m_end,"&gt;"&amp;780),INDEX(m_label,_xlfn.MAXIFS(m_row,m_teacher,AZ$4,m_date,($G$2+25),m_active,1,m_start,"&lt;"&amp;840,m_end,"&gt;"&amp;780))))))</f>
        <v/>
      </c>
      <c r="BA53" s="82" t="str">
        <f aca="false">IF(OR(BA$4="",MONTH(($G$2+25))&lt;&gt;MONTH($C$2)),"",IF(COUNTIFS(m_teacher,BA$4,m_date,($G$2+25),m_active,1,m_start,"&lt;"&amp;840,m_end,"&gt;"&amp;780)=0,"",IF(COUNTIFS(m_teacher,BA$4,m_date,($G$2+25),m_active,1,m_start,"&lt;"&amp;840,m_end,"&gt;"&amp;780)&gt;1,"충돌",HYPERLINK("#'관리자_MASTER'!D"&amp;_xlfn.MAXIFS(m_row,m_teacher,BA$4,m_date,($G$2+25),m_active,1,m_start,"&lt;"&amp;840,m_end,"&gt;"&amp;780),INDEX(m_label,_xlfn.MAXIFS(m_row,m_teacher,BA$4,m_date,($G$2+25),m_active,1,m_start,"&lt;"&amp;840,m_end,"&gt;"&amp;780))))))</f>
        <v/>
      </c>
      <c r="BB53" s="82" t="str">
        <f aca="false">IF(OR(BB$4="",MONTH(($G$2+25))&lt;&gt;MONTH($C$2)),"",IF(COUNTIFS(m_teacher,BB$4,m_date,($G$2+25),m_active,1,m_start,"&lt;"&amp;840,m_end,"&gt;"&amp;780)=0,"",IF(COUNTIFS(m_teacher,BB$4,m_date,($G$2+25),m_active,1,m_start,"&lt;"&amp;840,m_end,"&gt;"&amp;780)&gt;1,"충돌",HYPERLINK("#'관리자_MASTER'!D"&amp;_xlfn.MAXIFS(m_row,m_teacher,BB$4,m_date,($G$2+25),m_active,1,m_start,"&lt;"&amp;840,m_end,"&gt;"&amp;780),INDEX(m_label,_xlfn.MAXIFS(m_row,m_teacher,BB$4,m_date,($G$2+25),m_active,1,m_start,"&lt;"&amp;840,m_end,"&gt;"&amp;780))))))</f>
        <v/>
      </c>
      <c r="BC53" s="82" t="str">
        <f aca="false">IF(OR(BC$4="",MONTH(($G$2+25))&lt;&gt;MONTH($C$2)),"",IF(COUNTIFS(m_teacher,BC$4,m_date,($G$2+25),m_active,1,m_start,"&lt;"&amp;840,m_end,"&gt;"&amp;780)=0,"",IF(COUNTIFS(m_teacher,BC$4,m_date,($G$2+25),m_active,1,m_start,"&lt;"&amp;840,m_end,"&gt;"&amp;780)&gt;1,"충돌",HYPERLINK("#'관리자_MASTER'!D"&amp;_xlfn.MAXIFS(m_row,m_teacher,BC$4,m_date,($G$2+25),m_active,1,m_start,"&lt;"&amp;840,m_end,"&gt;"&amp;780),INDEX(m_label,_xlfn.MAXIFS(m_row,m_teacher,BC$4,m_date,($G$2+25),m_active,1,m_start,"&lt;"&amp;840,m_end,"&gt;"&amp;780))))))</f>
        <v/>
      </c>
      <c r="BD53" s="82" t="str">
        <f aca="false">IF(OR(BD$4="",MONTH(($G$2+25))&lt;&gt;MONTH($C$2)),"",IF(COUNTIFS(m_teacher,BD$4,m_date,($G$2+25),m_active,1,m_start,"&lt;"&amp;840,m_end,"&gt;"&amp;780)=0,"",IF(COUNTIFS(m_teacher,BD$4,m_date,($G$2+25),m_active,1,m_start,"&lt;"&amp;840,m_end,"&gt;"&amp;780)&gt;1,"충돌",HYPERLINK("#'관리자_MASTER'!D"&amp;_xlfn.MAXIFS(m_row,m_teacher,BD$4,m_date,($G$2+25),m_active,1,m_start,"&lt;"&amp;840,m_end,"&gt;"&amp;780),INDEX(m_label,_xlfn.MAXIFS(m_row,m_teacher,BD$4,m_date,($G$2+25),m_active,1,m_start,"&lt;"&amp;840,m_end,"&gt;"&amp;780))))))</f>
        <v/>
      </c>
      <c r="BE53" s="78"/>
      <c r="BF53" s="79" t="s">
        <v>95</v>
      </c>
      <c r="BG53" s="82" t="str">
        <f aca="false">IF(OR(BG$4="",MONTH(($G$2+32))&lt;&gt;MONTH($C$2)),"",IF(COUNTIFS(m_teacher,BG$4,m_date,($G$2+32),m_active,1,m_start,"&lt;"&amp;840,m_end,"&gt;"&amp;780)=0,"",IF(COUNTIFS(m_teacher,BG$4,m_date,($G$2+32),m_active,1,m_start,"&lt;"&amp;840,m_end,"&gt;"&amp;780)&gt;1,"충돌",HYPERLINK("#'관리자_MASTER'!D"&amp;_xlfn.MAXIFS(m_row,m_teacher,BG$4,m_date,($G$2+32),m_active,1,m_start,"&lt;"&amp;840,m_end,"&gt;"&amp;780),INDEX(m_label,_xlfn.MAXIFS(m_row,m_teacher,BG$4,m_date,($G$2+32),m_active,1,m_start,"&lt;"&amp;840,m_end,"&gt;"&amp;780))))))</f>
        <v/>
      </c>
      <c r="BH53" s="82" t="str">
        <f aca="false">IF(OR(BH$4="",MONTH(($G$2+32))&lt;&gt;MONTH($C$2)),"",IF(COUNTIFS(m_teacher,BH$4,m_date,($G$2+32),m_active,1,m_start,"&lt;"&amp;840,m_end,"&gt;"&amp;780)=0,"",IF(COUNTIFS(m_teacher,BH$4,m_date,($G$2+32),m_active,1,m_start,"&lt;"&amp;840,m_end,"&gt;"&amp;780)&gt;1,"충돌",HYPERLINK("#'관리자_MASTER'!D"&amp;_xlfn.MAXIFS(m_row,m_teacher,BH$4,m_date,($G$2+32),m_active,1,m_start,"&lt;"&amp;840,m_end,"&gt;"&amp;780),INDEX(m_label,_xlfn.MAXIFS(m_row,m_teacher,BH$4,m_date,($G$2+32),m_active,1,m_start,"&lt;"&amp;840,m_end,"&gt;"&amp;780))))))</f>
        <v/>
      </c>
      <c r="BI53" s="82" t="str">
        <f aca="false">IF(OR(BI$4="",MONTH(($G$2+32))&lt;&gt;MONTH($C$2)),"",IF(COUNTIFS(m_teacher,BI$4,m_date,($G$2+32),m_active,1,m_start,"&lt;"&amp;840,m_end,"&gt;"&amp;780)=0,"",IF(COUNTIFS(m_teacher,BI$4,m_date,($G$2+32),m_active,1,m_start,"&lt;"&amp;840,m_end,"&gt;"&amp;780)&gt;1,"충돌",HYPERLINK("#'관리자_MASTER'!D"&amp;_xlfn.MAXIFS(m_row,m_teacher,BI$4,m_date,($G$2+32),m_active,1,m_start,"&lt;"&amp;840,m_end,"&gt;"&amp;780),INDEX(m_label,_xlfn.MAXIFS(m_row,m_teacher,BI$4,m_date,($G$2+32),m_active,1,m_start,"&lt;"&amp;840,m_end,"&gt;"&amp;780))))))</f>
        <v/>
      </c>
      <c r="BJ53" s="82" t="str">
        <f aca="false">IF(OR(BJ$4="",MONTH(($G$2+32))&lt;&gt;MONTH($C$2)),"",IF(COUNTIFS(m_teacher,BJ$4,m_date,($G$2+32),m_active,1,m_start,"&lt;"&amp;840,m_end,"&gt;"&amp;780)=0,"",IF(COUNTIFS(m_teacher,BJ$4,m_date,($G$2+32),m_active,1,m_start,"&lt;"&amp;840,m_end,"&gt;"&amp;780)&gt;1,"충돌",HYPERLINK("#'관리자_MASTER'!D"&amp;_xlfn.MAXIFS(m_row,m_teacher,BJ$4,m_date,($G$2+32),m_active,1,m_start,"&lt;"&amp;840,m_end,"&gt;"&amp;780),INDEX(m_label,_xlfn.MAXIFS(m_row,m_teacher,BJ$4,m_date,($G$2+32),m_active,1,m_start,"&lt;"&amp;840,m_end,"&gt;"&amp;780))))))</f>
        <v/>
      </c>
      <c r="BK53" s="82" t="str">
        <f aca="false">IF(OR(BK$4="",MONTH(($G$2+32))&lt;&gt;MONTH($C$2)),"",IF(COUNTIFS(m_teacher,BK$4,m_date,($G$2+32),m_active,1,m_start,"&lt;"&amp;840,m_end,"&gt;"&amp;780)=0,"",IF(COUNTIFS(m_teacher,BK$4,m_date,($G$2+32),m_active,1,m_start,"&lt;"&amp;840,m_end,"&gt;"&amp;780)&gt;1,"충돌",HYPERLINK("#'관리자_MASTER'!D"&amp;_xlfn.MAXIFS(m_row,m_teacher,BK$4,m_date,($G$2+32),m_active,1,m_start,"&lt;"&amp;840,m_end,"&gt;"&amp;780),INDEX(m_label,_xlfn.MAXIFS(m_row,m_teacher,BK$4,m_date,($G$2+32),m_active,1,m_start,"&lt;"&amp;840,m_end,"&gt;"&amp;780))))))</f>
        <v/>
      </c>
      <c r="BL53" s="82" t="str">
        <f aca="false">IF(OR(BL$4="",MONTH(($G$2+32))&lt;&gt;MONTH($C$2)),"",IF(COUNTIFS(m_teacher,BL$4,m_date,($G$2+32),m_active,1,m_start,"&lt;"&amp;840,m_end,"&gt;"&amp;780)=0,"",IF(COUNTIFS(m_teacher,BL$4,m_date,($G$2+32),m_active,1,m_start,"&lt;"&amp;840,m_end,"&gt;"&amp;780)&gt;1,"충돌",HYPERLINK("#'관리자_MASTER'!D"&amp;_xlfn.MAXIFS(m_row,m_teacher,BL$4,m_date,($G$2+32),m_active,1,m_start,"&lt;"&amp;840,m_end,"&gt;"&amp;780),INDEX(m_label,_xlfn.MAXIFS(m_row,m_teacher,BL$4,m_date,($G$2+32),m_active,1,m_start,"&lt;"&amp;840,m_end,"&gt;"&amp;780))))))</f>
        <v/>
      </c>
      <c r="BM53" s="82" t="str">
        <f aca="false">IF(OR(BM$4="",MONTH(($G$2+32))&lt;&gt;MONTH($C$2)),"",IF(COUNTIFS(m_teacher,BM$4,m_date,($G$2+32),m_active,1,m_start,"&lt;"&amp;840,m_end,"&gt;"&amp;780)=0,"",IF(COUNTIFS(m_teacher,BM$4,m_date,($G$2+32),m_active,1,m_start,"&lt;"&amp;840,m_end,"&gt;"&amp;780)&gt;1,"충돌",HYPERLINK("#'관리자_MASTER'!D"&amp;_xlfn.MAXIFS(m_row,m_teacher,BM$4,m_date,($G$2+32),m_active,1,m_start,"&lt;"&amp;840,m_end,"&gt;"&amp;780),INDEX(m_label,_xlfn.MAXIFS(m_row,m_teacher,BM$4,m_date,($G$2+32),m_active,1,m_start,"&lt;"&amp;840,m_end,"&gt;"&amp;780))))))</f>
        <v/>
      </c>
      <c r="BN53" s="82" t="str">
        <f aca="false">IF(OR(BN$4="",MONTH(($G$2+32))&lt;&gt;MONTH($C$2)),"",IF(COUNTIFS(m_teacher,BN$4,m_date,($G$2+32),m_active,1,m_start,"&lt;"&amp;840,m_end,"&gt;"&amp;780)=0,"",IF(COUNTIFS(m_teacher,BN$4,m_date,($G$2+32),m_active,1,m_start,"&lt;"&amp;840,m_end,"&gt;"&amp;780)&gt;1,"충돌",HYPERLINK("#'관리자_MASTER'!D"&amp;_xlfn.MAXIFS(m_row,m_teacher,BN$4,m_date,($G$2+32),m_active,1,m_start,"&lt;"&amp;840,m_end,"&gt;"&amp;780),INDEX(m_label,_xlfn.MAXIFS(m_row,m_teacher,BN$4,m_date,($G$2+32),m_active,1,m_start,"&lt;"&amp;840,m_end,"&gt;"&amp;780))))))</f>
        <v/>
      </c>
      <c r="BO53" s="82" t="str">
        <f aca="false">IF(OR(BO$4="",MONTH(($G$2+32))&lt;&gt;MONTH($C$2)),"",IF(COUNTIFS(m_teacher,BO$4,m_date,($G$2+32),m_active,1,m_start,"&lt;"&amp;840,m_end,"&gt;"&amp;780)=0,"",IF(COUNTIFS(m_teacher,BO$4,m_date,($G$2+32),m_active,1,m_start,"&lt;"&amp;840,m_end,"&gt;"&amp;780)&gt;1,"충돌",HYPERLINK("#'관리자_MASTER'!D"&amp;_xlfn.MAXIFS(m_row,m_teacher,BO$4,m_date,($G$2+32),m_active,1,m_start,"&lt;"&amp;840,m_end,"&gt;"&amp;780),INDEX(m_label,_xlfn.MAXIFS(m_row,m_teacher,BO$4,m_date,($G$2+32),m_active,1,m_start,"&lt;"&amp;840,m_end,"&gt;"&amp;780))))))</f>
        <v/>
      </c>
      <c r="BP53" s="82" t="str">
        <f aca="false">IF(OR(BP$4="",MONTH(($G$2+32))&lt;&gt;MONTH($C$2)),"",IF(COUNTIFS(m_teacher,BP$4,m_date,($G$2+32),m_active,1,m_start,"&lt;"&amp;840,m_end,"&gt;"&amp;780)=0,"",IF(COUNTIFS(m_teacher,BP$4,m_date,($G$2+32),m_active,1,m_start,"&lt;"&amp;840,m_end,"&gt;"&amp;780)&gt;1,"충돌",HYPERLINK("#'관리자_MASTER'!D"&amp;_xlfn.MAXIFS(m_row,m_teacher,BP$4,m_date,($G$2+32),m_active,1,m_start,"&lt;"&amp;840,m_end,"&gt;"&amp;780),INDEX(m_label,_xlfn.MAXIFS(m_row,m_teacher,BP$4,m_date,($G$2+32),m_active,1,m_start,"&lt;"&amp;840,m_end,"&gt;"&amp;780))))))</f>
        <v/>
      </c>
      <c r="BQ53" s="82" t="str">
        <f aca="false">IF(OR(BQ$4="",MONTH(($G$2+32))&lt;&gt;MONTH($C$2)),"",IF(COUNTIFS(m_teacher,BQ$4,m_date,($G$2+32),m_active,1,m_start,"&lt;"&amp;840,m_end,"&gt;"&amp;780)=0,"",IF(COUNTIFS(m_teacher,BQ$4,m_date,($G$2+32),m_active,1,m_start,"&lt;"&amp;840,m_end,"&gt;"&amp;780)&gt;1,"충돌",HYPERLINK("#'관리자_MASTER'!D"&amp;_xlfn.MAXIFS(m_row,m_teacher,BQ$4,m_date,($G$2+32),m_active,1,m_start,"&lt;"&amp;840,m_end,"&gt;"&amp;780),INDEX(m_label,_xlfn.MAXIFS(m_row,m_teacher,BQ$4,m_date,($G$2+32),m_active,1,m_start,"&lt;"&amp;840,m_end,"&gt;"&amp;780))))))</f>
        <v/>
      </c>
      <c r="BR53" s="82" t="str">
        <f aca="false">IF(OR(BR$4="",MONTH(($G$2+32))&lt;&gt;MONTH($C$2)),"",IF(COUNTIFS(m_teacher,BR$4,m_date,($G$2+32),m_active,1,m_start,"&lt;"&amp;840,m_end,"&gt;"&amp;780)=0,"",IF(COUNTIFS(m_teacher,BR$4,m_date,($G$2+32),m_active,1,m_start,"&lt;"&amp;840,m_end,"&gt;"&amp;780)&gt;1,"충돌",HYPERLINK("#'관리자_MASTER'!D"&amp;_xlfn.MAXIFS(m_row,m_teacher,BR$4,m_date,($G$2+32),m_active,1,m_start,"&lt;"&amp;840,m_end,"&gt;"&amp;780),INDEX(m_label,_xlfn.MAXIFS(m_row,m_teacher,BR$4,m_date,($G$2+32),m_active,1,m_start,"&lt;"&amp;840,m_end,"&gt;"&amp;780))))))</f>
        <v/>
      </c>
    </row>
    <row r="54" customFormat="false" ht="19.5" hidden="false" customHeight="true" outlineLevel="0" collapsed="false">
      <c r="A54" s="78"/>
      <c r="B54" s="79" t="s">
        <v>96</v>
      </c>
      <c r="C54" s="82" t="str">
        <f aca="false">IF(OR(C$4="",MONTH(($G$2+4))&lt;&gt;MONTH($C$2)),"",IF(COUNTIFS(m_teacher,C$4,m_date,($G$2+4),m_active,1,m_start,"&lt;"&amp;900,m_end,"&gt;"&amp;840)=0,"",IF(COUNTIFS(m_teacher,C$4,m_date,($G$2+4),m_active,1,m_start,"&lt;"&amp;900,m_end,"&gt;"&amp;840)&gt;1,"충돌",HYPERLINK("#'관리자_MASTER'!D"&amp;_xlfn.MAXIFS(m_row,m_teacher,C$4,m_date,($G$2+4),m_active,1,m_start,"&lt;"&amp;900,m_end,"&gt;"&amp;840),INDEX(m_label,_xlfn.MAXIFS(m_row,m_teacher,C$4,m_date,($G$2+4),m_active,1,m_start,"&lt;"&amp;900,m_end,"&gt;"&amp;840))))))</f>
        <v/>
      </c>
      <c r="D54" s="82" t="str">
        <f aca="false">IF(OR(D$4="",MONTH(($G$2+4))&lt;&gt;MONTH($C$2)),"",IF(COUNTIFS(m_teacher,D$4,m_date,($G$2+4),m_active,1,m_start,"&lt;"&amp;900,m_end,"&gt;"&amp;840)=0,"",IF(COUNTIFS(m_teacher,D$4,m_date,($G$2+4),m_active,1,m_start,"&lt;"&amp;900,m_end,"&gt;"&amp;840)&gt;1,"충돌",HYPERLINK("#'관리자_MASTER'!D"&amp;_xlfn.MAXIFS(m_row,m_teacher,D$4,m_date,($G$2+4),m_active,1,m_start,"&lt;"&amp;900,m_end,"&gt;"&amp;840),INDEX(m_label,_xlfn.MAXIFS(m_row,m_teacher,D$4,m_date,($G$2+4),m_active,1,m_start,"&lt;"&amp;900,m_end,"&gt;"&amp;840))))))</f>
        <v/>
      </c>
      <c r="E54" s="82" t="str">
        <f aca="false">IF(OR(E$4="",MONTH(($G$2+4))&lt;&gt;MONTH($C$2)),"",IF(COUNTIFS(m_teacher,E$4,m_date,($G$2+4),m_active,1,m_start,"&lt;"&amp;900,m_end,"&gt;"&amp;840)=0,"",IF(COUNTIFS(m_teacher,E$4,m_date,($G$2+4),m_active,1,m_start,"&lt;"&amp;900,m_end,"&gt;"&amp;840)&gt;1,"충돌",HYPERLINK("#'관리자_MASTER'!D"&amp;_xlfn.MAXIFS(m_row,m_teacher,E$4,m_date,($G$2+4),m_active,1,m_start,"&lt;"&amp;900,m_end,"&gt;"&amp;840),INDEX(m_label,_xlfn.MAXIFS(m_row,m_teacher,E$4,m_date,($G$2+4),m_active,1,m_start,"&lt;"&amp;900,m_end,"&gt;"&amp;840))))))</f>
        <v/>
      </c>
      <c r="F54" s="82" t="str">
        <f aca="false">IF(OR(F$4="",MONTH(($G$2+4))&lt;&gt;MONTH($C$2)),"",IF(COUNTIFS(m_teacher,F$4,m_date,($G$2+4),m_active,1,m_start,"&lt;"&amp;900,m_end,"&gt;"&amp;840)=0,"",IF(COUNTIFS(m_teacher,F$4,m_date,($G$2+4),m_active,1,m_start,"&lt;"&amp;900,m_end,"&gt;"&amp;840)&gt;1,"충돌",HYPERLINK("#'관리자_MASTER'!D"&amp;_xlfn.MAXIFS(m_row,m_teacher,F$4,m_date,($G$2+4),m_active,1,m_start,"&lt;"&amp;900,m_end,"&gt;"&amp;840),INDEX(m_label,_xlfn.MAXIFS(m_row,m_teacher,F$4,m_date,($G$2+4),m_active,1,m_start,"&lt;"&amp;900,m_end,"&gt;"&amp;840))))))</f>
        <v/>
      </c>
      <c r="G54" s="82" t="str">
        <f aca="false">IF(OR(G$4="",MONTH(($G$2+4))&lt;&gt;MONTH($C$2)),"",IF(COUNTIFS(m_teacher,G$4,m_date,($G$2+4),m_active,1,m_start,"&lt;"&amp;900,m_end,"&gt;"&amp;840)=0,"",IF(COUNTIFS(m_teacher,G$4,m_date,($G$2+4),m_active,1,m_start,"&lt;"&amp;900,m_end,"&gt;"&amp;840)&gt;1,"충돌",HYPERLINK("#'관리자_MASTER'!D"&amp;_xlfn.MAXIFS(m_row,m_teacher,G$4,m_date,($G$2+4),m_active,1,m_start,"&lt;"&amp;900,m_end,"&gt;"&amp;840),INDEX(m_label,_xlfn.MAXIFS(m_row,m_teacher,G$4,m_date,($G$2+4),m_active,1,m_start,"&lt;"&amp;900,m_end,"&gt;"&amp;840))))))</f>
        <v/>
      </c>
      <c r="H54" s="82" t="str">
        <f aca="false">IF(OR(H$4="",MONTH(($G$2+4))&lt;&gt;MONTH($C$2)),"",IF(COUNTIFS(m_teacher,H$4,m_date,($G$2+4),m_active,1,m_start,"&lt;"&amp;900,m_end,"&gt;"&amp;840)=0,"",IF(COUNTIFS(m_teacher,H$4,m_date,($G$2+4),m_active,1,m_start,"&lt;"&amp;900,m_end,"&gt;"&amp;840)&gt;1,"충돌",HYPERLINK("#'관리자_MASTER'!D"&amp;_xlfn.MAXIFS(m_row,m_teacher,H$4,m_date,($G$2+4),m_active,1,m_start,"&lt;"&amp;900,m_end,"&gt;"&amp;840),INDEX(m_label,_xlfn.MAXIFS(m_row,m_teacher,H$4,m_date,($G$2+4),m_active,1,m_start,"&lt;"&amp;900,m_end,"&gt;"&amp;840))))))</f>
        <v/>
      </c>
      <c r="I54" s="82" t="str">
        <f aca="false">IF(OR(I$4="",MONTH(($G$2+4))&lt;&gt;MONTH($C$2)),"",IF(COUNTIFS(m_teacher,I$4,m_date,($G$2+4),m_active,1,m_start,"&lt;"&amp;900,m_end,"&gt;"&amp;840)=0,"",IF(COUNTIFS(m_teacher,I$4,m_date,($G$2+4),m_active,1,m_start,"&lt;"&amp;900,m_end,"&gt;"&amp;840)&gt;1,"충돌",HYPERLINK("#'관리자_MASTER'!D"&amp;_xlfn.MAXIFS(m_row,m_teacher,I$4,m_date,($G$2+4),m_active,1,m_start,"&lt;"&amp;900,m_end,"&gt;"&amp;840),INDEX(m_label,_xlfn.MAXIFS(m_row,m_teacher,I$4,m_date,($G$2+4),m_active,1,m_start,"&lt;"&amp;900,m_end,"&gt;"&amp;840))))))</f>
        <v/>
      </c>
      <c r="J54" s="82" t="str">
        <f aca="false">IF(OR(J$4="",MONTH(($G$2+4))&lt;&gt;MONTH($C$2)),"",IF(COUNTIFS(m_teacher,J$4,m_date,($G$2+4),m_active,1,m_start,"&lt;"&amp;900,m_end,"&gt;"&amp;840)=0,"",IF(COUNTIFS(m_teacher,J$4,m_date,($G$2+4),m_active,1,m_start,"&lt;"&amp;900,m_end,"&gt;"&amp;840)&gt;1,"충돌",HYPERLINK("#'관리자_MASTER'!D"&amp;_xlfn.MAXIFS(m_row,m_teacher,J$4,m_date,($G$2+4),m_active,1,m_start,"&lt;"&amp;900,m_end,"&gt;"&amp;840),INDEX(m_label,_xlfn.MAXIFS(m_row,m_teacher,J$4,m_date,($G$2+4),m_active,1,m_start,"&lt;"&amp;900,m_end,"&gt;"&amp;840))))))</f>
        <v/>
      </c>
      <c r="K54" s="82" t="str">
        <f aca="false">IF(OR(K$4="",MONTH(($G$2+4))&lt;&gt;MONTH($C$2)),"",IF(COUNTIFS(m_teacher,K$4,m_date,($G$2+4),m_active,1,m_start,"&lt;"&amp;900,m_end,"&gt;"&amp;840)=0,"",IF(COUNTIFS(m_teacher,K$4,m_date,($G$2+4),m_active,1,m_start,"&lt;"&amp;900,m_end,"&gt;"&amp;840)&gt;1,"충돌",HYPERLINK("#'관리자_MASTER'!D"&amp;_xlfn.MAXIFS(m_row,m_teacher,K$4,m_date,($G$2+4),m_active,1,m_start,"&lt;"&amp;900,m_end,"&gt;"&amp;840),INDEX(m_label,_xlfn.MAXIFS(m_row,m_teacher,K$4,m_date,($G$2+4),m_active,1,m_start,"&lt;"&amp;900,m_end,"&gt;"&amp;840))))))</f>
        <v/>
      </c>
      <c r="L54" s="82" t="str">
        <f aca="false">IF(OR(L$4="",MONTH(($G$2+4))&lt;&gt;MONTH($C$2)),"",IF(COUNTIFS(m_teacher,L$4,m_date,($G$2+4),m_active,1,m_start,"&lt;"&amp;900,m_end,"&gt;"&amp;840)=0,"",IF(COUNTIFS(m_teacher,L$4,m_date,($G$2+4),m_active,1,m_start,"&lt;"&amp;900,m_end,"&gt;"&amp;840)&gt;1,"충돌",HYPERLINK("#'관리자_MASTER'!D"&amp;_xlfn.MAXIFS(m_row,m_teacher,L$4,m_date,($G$2+4),m_active,1,m_start,"&lt;"&amp;900,m_end,"&gt;"&amp;840),INDEX(m_label,_xlfn.MAXIFS(m_row,m_teacher,L$4,m_date,($G$2+4),m_active,1,m_start,"&lt;"&amp;900,m_end,"&gt;"&amp;840))))))</f>
        <v/>
      </c>
      <c r="M54" s="82" t="str">
        <f aca="false">IF(OR(M$4="",MONTH(($G$2+4))&lt;&gt;MONTH($C$2)),"",IF(COUNTIFS(m_teacher,M$4,m_date,($G$2+4),m_active,1,m_start,"&lt;"&amp;900,m_end,"&gt;"&amp;840)=0,"",IF(COUNTIFS(m_teacher,M$4,m_date,($G$2+4),m_active,1,m_start,"&lt;"&amp;900,m_end,"&gt;"&amp;840)&gt;1,"충돌",HYPERLINK("#'관리자_MASTER'!D"&amp;_xlfn.MAXIFS(m_row,m_teacher,M$4,m_date,($G$2+4),m_active,1,m_start,"&lt;"&amp;900,m_end,"&gt;"&amp;840),INDEX(m_label,_xlfn.MAXIFS(m_row,m_teacher,M$4,m_date,($G$2+4),m_active,1,m_start,"&lt;"&amp;900,m_end,"&gt;"&amp;840))))))</f>
        <v/>
      </c>
      <c r="N54" s="82" t="str">
        <f aca="false">IF(OR(N$4="",MONTH(($G$2+4))&lt;&gt;MONTH($C$2)),"",IF(COUNTIFS(m_teacher,N$4,m_date,($G$2+4),m_active,1,m_start,"&lt;"&amp;900,m_end,"&gt;"&amp;840)=0,"",IF(COUNTIFS(m_teacher,N$4,m_date,($G$2+4),m_active,1,m_start,"&lt;"&amp;900,m_end,"&gt;"&amp;840)&gt;1,"충돌",HYPERLINK("#'관리자_MASTER'!D"&amp;_xlfn.MAXIFS(m_row,m_teacher,N$4,m_date,($G$2+4),m_active,1,m_start,"&lt;"&amp;900,m_end,"&gt;"&amp;840),INDEX(m_label,_xlfn.MAXIFS(m_row,m_teacher,N$4,m_date,($G$2+4),m_active,1,m_start,"&lt;"&amp;900,m_end,"&gt;"&amp;840))))))</f>
        <v/>
      </c>
      <c r="O54" s="78"/>
      <c r="P54" s="79" t="s">
        <v>96</v>
      </c>
      <c r="Q54" s="82" t="str">
        <f aca="false">IF(OR(Q$4="",MONTH(($G$2+11))&lt;&gt;MONTH($C$2)),"",IF(COUNTIFS(m_teacher,Q$4,m_date,($G$2+11),m_active,1,m_start,"&lt;"&amp;900,m_end,"&gt;"&amp;840)=0,"",IF(COUNTIFS(m_teacher,Q$4,m_date,($G$2+11),m_active,1,m_start,"&lt;"&amp;900,m_end,"&gt;"&amp;840)&gt;1,"충돌",HYPERLINK("#'관리자_MASTER'!D"&amp;_xlfn.MAXIFS(m_row,m_teacher,Q$4,m_date,($G$2+11),m_active,1,m_start,"&lt;"&amp;900,m_end,"&gt;"&amp;840),INDEX(m_label,_xlfn.MAXIFS(m_row,m_teacher,Q$4,m_date,($G$2+11),m_active,1,m_start,"&lt;"&amp;900,m_end,"&gt;"&amp;840))))))</f>
        <v/>
      </c>
      <c r="R54" s="82" t="str">
        <f aca="false">IF(OR(R$4="",MONTH(($G$2+11))&lt;&gt;MONTH($C$2)),"",IF(COUNTIFS(m_teacher,R$4,m_date,($G$2+11),m_active,1,m_start,"&lt;"&amp;900,m_end,"&gt;"&amp;840)=0,"",IF(COUNTIFS(m_teacher,R$4,m_date,($G$2+11),m_active,1,m_start,"&lt;"&amp;900,m_end,"&gt;"&amp;840)&gt;1,"충돌",HYPERLINK("#'관리자_MASTER'!D"&amp;_xlfn.MAXIFS(m_row,m_teacher,R$4,m_date,($G$2+11),m_active,1,m_start,"&lt;"&amp;900,m_end,"&gt;"&amp;840),INDEX(m_label,_xlfn.MAXIFS(m_row,m_teacher,R$4,m_date,($G$2+11),m_active,1,m_start,"&lt;"&amp;900,m_end,"&gt;"&amp;840))))))</f>
        <v/>
      </c>
      <c r="S54" s="82" t="str">
        <f aca="false">IF(OR(S$4="",MONTH(($G$2+11))&lt;&gt;MONTH($C$2)),"",IF(COUNTIFS(m_teacher,S$4,m_date,($G$2+11),m_active,1,m_start,"&lt;"&amp;900,m_end,"&gt;"&amp;840)=0,"",IF(COUNTIFS(m_teacher,S$4,m_date,($G$2+11),m_active,1,m_start,"&lt;"&amp;900,m_end,"&gt;"&amp;840)&gt;1,"충돌",HYPERLINK("#'관리자_MASTER'!D"&amp;_xlfn.MAXIFS(m_row,m_teacher,S$4,m_date,($G$2+11),m_active,1,m_start,"&lt;"&amp;900,m_end,"&gt;"&amp;840),INDEX(m_label,_xlfn.MAXIFS(m_row,m_teacher,S$4,m_date,($G$2+11),m_active,1,m_start,"&lt;"&amp;900,m_end,"&gt;"&amp;840))))))</f>
        <v/>
      </c>
      <c r="T54" s="82" t="str">
        <f aca="false">IF(OR(T$4="",MONTH(($G$2+11))&lt;&gt;MONTH($C$2)),"",IF(COUNTIFS(m_teacher,T$4,m_date,($G$2+11),m_active,1,m_start,"&lt;"&amp;900,m_end,"&gt;"&amp;840)=0,"",IF(COUNTIFS(m_teacher,T$4,m_date,($G$2+11),m_active,1,m_start,"&lt;"&amp;900,m_end,"&gt;"&amp;840)&gt;1,"충돌",HYPERLINK("#'관리자_MASTER'!D"&amp;_xlfn.MAXIFS(m_row,m_teacher,T$4,m_date,($G$2+11),m_active,1,m_start,"&lt;"&amp;900,m_end,"&gt;"&amp;840),INDEX(m_label,_xlfn.MAXIFS(m_row,m_teacher,T$4,m_date,($G$2+11),m_active,1,m_start,"&lt;"&amp;900,m_end,"&gt;"&amp;840))))))</f>
        <v/>
      </c>
      <c r="U54" s="82" t="str">
        <f aca="false">IF(OR(U$4="",MONTH(($G$2+11))&lt;&gt;MONTH($C$2)),"",IF(COUNTIFS(m_teacher,U$4,m_date,($G$2+11),m_active,1,m_start,"&lt;"&amp;900,m_end,"&gt;"&amp;840)=0,"",IF(COUNTIFS(m_teacher,U$4,m_date,($G$2+11),m_active,1,m_start,"&lt;"&amp;900,m_end,"&gt;"&amp;840)&gt;1,"충돌",HYPERLINK("#'관리자_MASTER'!D"&amp;_xlfn.MAXIFS(m_row,m_teacher,U$4,m_date,($G$2+11),m_active,1,m_start,"&lt;"&amp;900,m_end,"&gt;"&amp;840),INDEX(m_label,_xlfn.MAXIFS(m_row,m_teacher,U$4,m_date,($G$2+11),m_active,1,m_start,"&lt;"&amp;900,m_end,"&gt;"&amp;840))))))</f>
        <v/>
      </c>
      <c r="V54" s="82" t="str">
        <f aca="false">IF(OR(V$4="",MONTH(($G$2+11))&lt;&gt;MONTH($C$2)),"",IF(COUNTIFS(m_teacher,V$4,m_date,($G$2+11),m_active,1,m_start,"&lt;"&amp;900,m_end,"&gt;"&amp;840)=0,"",IF(COUNTIFS(m_teacher,V$4,m_date,($G$2+11),m_active,1,m_start,"&lt;"&amp;900,m_end,"&gt;"&amp;840)&gt;1,"충돌",HYPERLINK("#'관리자_MASTER'!D"&amp;_xlfn.MAXIFS(m_row,m_teacher,V$4,m_date,($G$2+11),m_active,1,m_start,"&lt;"&amp;900,m_end,"&gt;"&amp;840),INDEX(m_label,_xlfn.MAXIFS(m_row,m_teacher,V$4,m_date,($G$2+11),m_active,1,m_start,"&lt;"&amp;900,m_end,"&gt;"&amp;840))))))</f>
        <v/>
      </c>
      <c r="W54" s="82" t="str">
        <f aca="false">IF(OR(W$4="",MONTH(($G$2+11))&lt;&gt;MONTH($C$2)),"",IF(COUNTIFS(m_teacher,W$4,m_date,($G$2+11),m_active,1,m_start,"&lt;"&amp;900,m_end,"&gt;"&amp;840)=0,"",IF(COUNTIFS(m_teacher,W$4,m_date,($G$2+11),m_active,1,m_start,"&lt;"&amp;900,m_end,"&gt;"&amp;840)&gt;1,"충돌",HYPERLINK("#'관리자_MASTER'!D"&amp;_xlfn.MAXIFS(m_row,m_teacher,W$4,m_date,($G$2+11),m_active,1,m_start,"&lt;"&amp;900,m_end,"&gt;"&amp;840),INDEX(m_label,_xlfn.MAXIFS(m_row,m_teacher,W$4,m_date,($G$2+11),m_active,1,m_start,"&lt;"&amp;900,m_end,"&gt;"&amp;840))))))</f>
        <v/>
      </c>
      <c r="X54" s="82" t="str">
        <f aca="false">IF(OR(X$4="",MONTH(($G$2+11))&lt;&gt;MONTH($C$2)),"",IF(COUNTIFS(m_teacher,X$4,m_date,($G$2+11),m_active,1,m_start,"&lt;"&amp;900,m_end,"&gt;"&amp;840)=0,"",IF(COUNTIFS(m_teacher,X$4,m_date,($G$2+11),m_active,1,m_start,"&lt;"&amp;900,m_end,"&gt;"&amp;840)&gt;1,"충돌",HYPERLINK("#'관리자_MASTER'!D"&amp;_xlfn.MAXIFS(m_row,m_teacher,X$4,m_date,($G$2+11),m_active,1,m_start,"&lt;"&amp;900,m_end,"&gt;"&amp;840),INDEX(m_label,_xlfn.MAXIFS(m_row,m_teacher,X$4,m_date,($G$2+11),m_active,1,m_start,"&lt;"&amp;900,m_end,"&gt;"&amp;840))))))</f>
        <v/>
      </c>
      <c r="Y54" s="82" t="str">
        <f aca="false">IF(OR(Y$4="",MONTH(($G$2+11))&lt;&gt;MONTH($C$2)),"",IF(COUNTIFS(m_teacher,Y$4,m_date,($G$2+11),m_active,1,m_start,"&lt;"&amp;900,m_end,"&gt;"&amp;840)=0,"",IF(COUNTIFS(m_teacher,Y$4,m_date,($G$2+11),m_active,1,m_start,"&lt;"&amp;900,m_end,"&gt;"&amp;840)&gt;1,"충돌",HYPERLINK("#'관리자_MASTER'!D"&amp;_xlfn.MAXIFS(m_row,m_teacher,Y$4,m_date,($G$2+11),m_active,1,m_start,"&lt;"&amp;900,m_end,"&gt;"&amp;840),INDEX(m_label,_xlfn.MAXIFS(m_row,m_teacher,Y$4,m_date,($G$2+11),m_active,1,m_start,"&lt;"&amp;900,m_end,"&gt;"&amp;840))))))</f>
        <v/>
      </c>
      <c r="Z54" s="82" t="str">
        <f aca="false">IF(OR(Z$4="",MONTH(($G$2+11))&lt;&gt;MONTH($C$2)),"",IF(COUNTIFS(m_teacher,Z$4,m_date,($G$2+11),m_active,1,m_start,"&lt;"&amp;900,m_end,"&gt;"&amp;840)=0,"",IF(COUNTIFS(m_teacher,Z$4,m_date,($G$2+11),m_active,1,m_start,"&lt;"&amp;900,m_end,"&gt;"&amp;840)&gt;1,"충돌",HYPERLINK("#'관리자_MASTER'!D"&amp;_xlfn.MAXIFS(m_row,m_teacher,Z$4,m_date,($G$2+11),m_active,1,m_start,"&lt;"&amp;900,m_end,"&gt;"&amp;840),INDEX(m_label,_xlfn.MAXIFS(m_row,m_teacher,Z$4,m_date,($G$2+11),m_active,1,m_start,"&lt;"&amp;900,m_end,"&gt;"&amp;840))))))</f>
        <v/>
      </c>
      <c r="AA54" s="82" t="str">
        <f aca="false">IF(OR(AA$4="",MONTH(($G$2+11))&lt;&gt;MONTH($C$2)),"",IF(COUNTIFS(m_teacher,AA$4,m_date,($G$2+11),m_active,1,m_start,"&lt;"&amp;900,m_end,"&gt;"&amp;840)=0,"",IF(COUNTIFS(m_teacher,AA$4,m_date,($G$2+11),m_active,1,m_start,"&lt;"&amp;900,m_end,"&gt;"&amp;840)&gt;1,"충돌",HYPERLINK("#'관리자_MASTER'!D"&amp;_xlfn.MAXIFS(m_row,m_teacher,AA$4,m_date,($G$2+11),m_active,1,m_start,"&lt;"&amp;900,m_end,"&gt;"&amp;840),INDEX(m_label,_xlfn.MAXIFS(m_row,m_teacher,AA$4,m_date,($G$2+11),m_active,1,m_start,"&lt;"&amp;900,m_end,"&gt;"&amp;840))))))</f>
        <v/>
      </c>
      <c r="AB54" s="82" t="str">
        <f aca="false">IF(OR(AB$4="",MONTH(($G$2+11))&lt;&gt;MONTH($C$2)),"",IF(COUNTIFS(m_teacher,AB$4,m_date,($G$2+11),m_active,1,m_start,"&lt;"&amp;900,m_end,"&gt;"&amp;840)=0,"",IF(COUNTIFS(m_teacher,AB$4,m_date,($G$2+11),m_active,1,m_start,"&lt;"&amp;900,m_end,"&gt;"&amp;840)&gt;1,"충돌",HYPERLINK("#'관리자_MASTER'!D"&amp;_xlfn.MAXIFS(m_row,m_teacher,AB$4,m_date,($G$2+11),m_active,1,m_start,"&lt;"&amp;900,m_end,"&gt;"&amp;840),INDEX(m_label,_xlfn.MAXIFS(m_row,m_teacher,AB$4,m_date,($G$2+11),m_active,1,m_start,"&lt;"&amp;900,m_end,"&gt;"&amp;840))))))</f>
        <v/>
      </c>
      <c r="AC54" s="78"/>
      <c r="AD54" s="79" t="s">
        <v>96</v>
      </c>
      <c r="AE54" s="82" t="str">
        <f aca="false">IF(OR(AE$4="",MONTH(($G$2+18))&lt;&gt;MONTH($C$2)),"",IF(COUNTIFS(m_teacher,AE$4,m_date,($G$2+18),m_active,1,m_start,"&lt;"&amp;900,m_end,"&gt;"&amp;840)=0,"",IF(COUNTIFS(m_teacher,AE$4,m_date,($G$2+18),m_active,1,m_start,"&lt;"&amp;900,m_end,"&gt;"&amp;840)&gt;1,"충돌",HYPERLINK("#'관리자_MASTER'!D"&amp;_xlfn.MAXIFS(m_row,m_teacher,AE$4,m_date,($G$2+18),m_active,1,m_start,"&lt;"&amp;900,m_end,"&gt;"&amp;840),INDEX(m_label,_xlfn.MAXIFS(m_row,m_teacher,AE$4,m_date,($G$2+18),m_active,1,m_start,"&lt;"&amp;900,m_end,"&gt;"&amp;840))))))</f>
        <v/>
      </c>
      <c r="AF54" s="82" t="str">
        <f aca="false">IF(OR(AF$4="",MONTH(($G$2+18))&lt;&gt;MONTH($C$2)),"",IF(COUNTIFS(m_teacher,AF$4,m_date,($G$2+18),m_active,1,m_start,"&lt;"&amp;900,m_end,"&gt;"&amp;840)=0,"",IF(COUNTIFS(m_teacher,AF$4,m_date,($G$2+18),m_active,1,m_start,"&lt;"&amp;900,m_end,"&gt;"&amp;840)&gt;1,"충돌",HYPERLINK("#'관리자_MASTER'!D"&amp;_xlfn.MAXIFS(m_row,m_teacher,AF$4,m_date,($G$2+18),m_active,1,m_start,"&lt;"&amp;900,m_end,"&gt;"&amp;840),INDEX(m_label,_xlfn.MAXIFS(m_row,m_teacher,AF$4,m_date,($G$2+18),m_active,1,m_start,"&lt;"&amp;900,m_end,"&gt;"&amp;840))))))</f>
        <v/>
      </c>
      <c r="AG54" s="82" t="str">
        <f aca="false">IF(OR(AG$4="",MONTH(($G$2+18))&lt;&gt;MONTH($C$2)),"",IF(COUNTIFS(m_teacher,AG$4,m_date,($G$2+18),m_active,1,m_start,"&lt;"&amp;900,m_end,"&gt;"&amp;840)=0,"",IF(COUNTIFS(m_teacher,AG$4,m_date,($G$2+18),m_active,1,m_start,"&lt;"&amp;900,m_end,"&gt;"&amp;840)&gt;1,"충돌",HYPERLINK("#'관리자_MASTER'!D"&amp;_xlfn.MAXIFS(m_row,m_teacher,AG$4,m_date,($G$2+18),m_active,1,m_start,"&lt;"&amp;900,m_end,"&gt;"&amp;840),INDEX(m_label,_xlfn.MAXIFS(m_row,m_teacher,AG$4,m_date,($G$2+18),m_active,1,m_start,"&lt;"&amp;900,m_end,"&gt;"&amp;840))))))</f>
        <v/>
      </c>
      <c r="AH54" s="82" t="str">
        <f aca="false">IF(OR(AH$4="",MONTH(($G$2+18))&lt;&gt;MONTH($C$2)),"",IF(COUNTIFS(m_teacher,AH$4,m_date,($G$2+18),m_active,1,m_start,"&lt;"&amp;900,m_end,"&gt;"&amp;840)=0,"",IF(COUNTIFS(m_teacher,AH$4,m_date,($G$2+18),m_active,1,m_start,"&lt;"&amp;900,m_end,"&gt;"&amp;840)&gt;1,"충돌",HYPERLINK("#'관리자_MASTER'!D"&amp;_xlfn.MAXIFS(m_row,m_teacher,AH$4,m_date,($G$2+18),m_active,1,m_start,"&lt;"&amp;900,m_end,"&gt;"&amp;840),INDEX(m_label,_xlfn.MAXIFS(m_row,m_teacher,AH$4,m_date,($G$2+18),m_active,1,m_start,"&lt;"&amp;900,m_end,"&gt;"&amp;840))))))</f>
        <v/>
      </c>
      <c r="AI54" s="82" t="str">
        <f aca="false">IF(OR(AI$4="",MONTH(($G$2+18))&lt;&gt;MONTH($C$2)),"",IF(COUNTIFS(m_teacher,AI$4,m_date,($G$2+18),m_active,1,m_start,"&lt;"&amp;900,m_end,"&gt;"&amp;840)=0,"",IF(COUNTIFS(m_teacher,AI$4,m_date,($G$2+18),m_active,1,m_start,"&lt;"&amp;900,m_end,"&gt;"&amp;840)&gt;1,"충돌",HYPERLINK("#'관리자_MASTER'!D"&amp;_xlfn.MAXIFS(m_row,m_teacher,AI$4,m_date,($G$2+18),m_active,1,m_start,"&lt;"&amp;900,m_end,"&gt;"&amp;840),INDEX(m_label,_xlfn.MAXIFS(m_row,m_teacher,AI$4,m_date,($G$2+18),m_active,1,m_start,"&lt;"&amp;900,m_end,"&gt;"&amp;840))))))</f>
        <v/>
      </c>
      <c r="AJ54" s="82" t="str">
        <f aca="false">IF(OR(AJ$4="",MONTH(($G$2+18))&lt;&gt;MONTH($C$2)),"",IF(COUNTIFS(m_teacher,AJ$4,m_date,($G$2+18),m_active,1,m_start,"&lt;"&amp;900,m_end,"&gt;"&amp;840)=0,"",IF(COUNTIFS(m_teacher,AJ$4,m_date,($G$2+18),m_active,1,m_start,"&lt;"&amp;900,m_end,"&gt;"&amp;840)&gt;1,"충돌",HYPERLINK("#'관리자_MASTER'!D"&amp;_xlfn.MAXIFS(m_row,m_teacher,AJ$4,m_date,($G$2+18),m_active,1,m_start,"&lt;"&amp;900,m_end,"&gt;"&amp;840),INDEX(m_label,_xlfn.MAXIFS(m_row,m_teacher,AJ$4,m_date,($G$2+18),m_active,1,m_start,"&lt;"&amp;900,m_end,"&gt;"&amp;840))))))</f>
        <v/>
      </c>
      <c r="AK54" s="82" t="str">
        <f aca="false">IF(OR(AK$4="",MONTH(($G$2+18))&lt;&gt;MONTH($C$2)),"",IF(COUNTIFS(m_teacher,AK$4,m_date,($G$2+18),m_active,1,m_start,"&lt;"&amp;900,m_end,"&gt;"&amp;840)=0,"",IF(COUNTIFS(m_teacher,AK$4,m_date,($G$2+18),m_active,1,m_start,"&lt;"&amp;900,m_end,"&gt;"&amp;840)&gt;1,"충돌",HYPERLINK("#'관리자_MASTER'!D"&amp;_xlfn.MAXIFS(m_row,m_teacher,AK$4,m_date,($G$2+18),m_active,1,m_start,"&lt;"&amp;900,m_end,"&gt;"&amp;840),INDEX(m_label,_xlfn.MAXIFS(m_row,m_teacher,AK$4,m_date,($G$2+18),m_active,1,m_start,"&lt;"&amp;900,m_end,"&gt;"&amp;840))))))</f>
        <v/>
      </c>
      <c r="AL54" s="82" t="str">
        <f aca="false">IF(OR(AL$4="",MONTH(($G$2+18))&lt;&gt;MONTH($C$2)),"",IF(COUNTIFS(m_teacher,AL$4,m_date,($G$2+18),m_active,1,m_start,"&lt;"&amp;900,m_end,"&gt;"&amp;840)=0,"",IF(COUNTIFS(m_teacher,AL$4,m_date,($G$2+18),m_active,1,m_start,"&lt;"&amp;900,m_end,"&gt;"&amp;840)&gt;1,"충돌",HYPERLINK("#'관리자_MASTER'!D"&amp;_xlfn.MAXIFS(m_row,m_teacher,AL$4,m_date,($G$2+18),m_active,1,m_start,"&lt;"&amp;900,m_end,"&gt;"&amp;840),INDEX(m_label,_xlfn.MAXIFS(m_row,m_teacher,AL$4,m_date,($G$2+18),m_active,1,m_start,"&lt;"&amp;900,m_end,"&gt;"&amp;840))))))</f>
        <v/>
      </c>
      <c r="AM54" s="82" t="str">
        <f aca="false">IF(OR(AM$4="",MONTH(($G$2+18))&lt;&gt;MONTH($C$2)),"",IF(COUNTIFS(m_teacher,AM$4,m_date,($G$2+18),m_active,1,m_start,"&lt;"&amp;900,m_end,"&gt;"&amp;840)=0,"",IF(COUNTIFS(m_teacher,AM$4,m_date,($G$2+18),m_active,1,m_start,"&lt;"&amp;900,m_end,"&gt;"&amp;840)&gt;1,"충돌",HYPERLINK("#'관리자_MASTER'!D"&amp;_xlfn.MAXIFS(m_row,m_teacher,AM$4,m_date,($G$2+18),m_active,1,m_start,"&lt;"&amp;900,m_end,"&gt;"&amp;840),INDEX(m_label,_xlfn.MAXIFS(m_row,m_teacher,AM$4,m_date,($G$2+18),m_active,1,m_start,"&lt;"&amp;900,m_end,"&gt;"&amp;840))))))</f>
        <v/>
      </c>
      <c r="AN54" s="82" t="str">
        <f aca="false">IF(OR(AN$4="",MONTH(($G$2+18))&lt;&gt;MONTH($C$2)),"",IF(COUNTIFS(m_teacher,AN$4,m_date,($G$2+18),m_active,1,m_start,"&lt;"&amp;900,m_end,"&gt;"&amp;840)=0,"",IF(COUNTIFS(m_teacher,AN$4,m_date,($G$2+18),m_active,1,m_start,"&lt;"&amp;900,m_end,"&gt;"&amp;840)&gt;1,"충돌",HYPERLINK("#'관리자_MASTER'!D"&amp;_xlfn.MAXIFS(m_row,m_teacher,AN$4,m_date,($G$2+18),m_active,1,m_start,"&lt;"&amp;900,m_end,"&gt;"&amp;840),INDEX(m_label,_xlfn.MAXIFS(m_row,m_teacher,AN$4,m_date,($G$2+18),m_active,1,m_start,"&lt;"&amp;900,m_end,"&gt;"&amp;840))))))</f>
        <v/>
      </c>
      <c r="AO54" s="82" t="str">
        <f aca="false">IF(OR(AO$4="",MONTH(($G$2+18))&lt;&gt;MONTH($C$2)),"",IF(COUNTIFS(m_teacher,AO$4,m_date,($G$2+18),m_active,1,m_start,"&lt;"&amp;900,m_end,"&gt;"&amp;840)=0,"",IF(COUNTIFS(m_teacher,AO$4,m_date,($G$2+18),m_active,1,m_start,"&lt;"&amp;900,m_end,"&gt;"&amp;840)&gt;1,"충돌",HYPERLINK("#'관리자_MASTER'!D"&amp;_xlfn.MAXIFS(m_row,m_teacher,AO$4,m_date,($G$2+18),m_active,1,m_start,"&lt;"&amp;900,m_end,"&gt;"&amp;840),INDEX(m_label,_xlfn.MAXIFS(m_row,m_teacher,AO$4,m_date,($G$2+18),m_active,1,m_start,"&lt;"&amp;900,m_end,"&gt;"&amp;840))))))</f>
        <v/>
      </c>
      <c r="AP54" s="82" t="str">
        <f aca="false">IF(OR(AP$4="",MONTH(($G$2+18))&lt;&gt;MONTH($C$2)),"",IF(COUNTIFS(m_teacher,AP$4,m_date,($G$2+18),m_active,1,m_start,"&lt;"&amp;900,m_end,"&gt;"&amp;840)=0,"",IF(COUNTIFS(m_teacher,AP$4,m_date,($G$2+18),m_active,1,m_start,"&lt;"&amp;900,m_end,"&gt;"&amp;840)&gt;1,"충돌",HYPERLINK("#'관리자_MASTER'!D"&amp;_xlfn.MAXIFS(m_row,m_teacher,AP$4,m_date,($G$2+18),m_active,1,m_start,"&lt;"&amp;900,m_end,"&gt;"&amp;840),INDEX(m_label,_xlfn.MAXIFS(m_row,m_teacher,AP$4,m_date,($G$2+18),m_active,1,m_start,"&lt;"&amp;900,m_end,"&gt;"&amp;840))))))</f>
        <v/>
      </c>
      <c r="AQ54" s="78"/>
      <c r="AR54" s="79" t="s">
        <v>96</v>
      </c>
      <c r="AS54" s="82" t="str">
        <f aca="false">IF(OR(AS$4="",MONTH(($G$2+25))&lt;&gt;MONTH($C$2)),"",IF(COUNTIFS(m_teacher,AS$4,m_date,($G$2+25),m_active,1,m_start,"&lt;"&amp;900,m_end,"&gt;"&amp;840)=0,"",IF(COUNTIFS(m_teacher,AS$4,m_date,($G$2+25),m_active,1,m_start,"&lt;"&amp;900,m_end,"&gt;"&amp;840)&gt;1,"충돌",HYPERLINK("#'관리자_MASTER'!D"&amp;_xlfn.MAXIFS(m_row,m_teacher,AS$4,m_date,($G$2+25),m_active,1,m_start,"&lt;"&amp;900,m_end,"&gt;"&amp;840),INDEX(m_label,_xlfn.MAXIFS(m_row,m_teacher,AS$4,m_date,($G$2+25),m_active,1,m_start,"&lt;"&amp;900,m_end,"&gt;"&amp;840))))))</f>
        <v/>
      </c>
      <c r="AT54" s="82" t="str">
        <f aca="false">IF(OR(AT$4="",MONTH(($G$2+25))&lt;&gt;MONTH($C$2)),"",IF(COUNTIFS(m_teacher,AT$4,m_date,($G$2+25),m_active,1,m_start,"&lt;"&amp;900,m_end,"&gt;"&amp;840)=0,"",IF(COUNTIFS(m_teacher,AT$4,m_date,($G$2+25),m_active,1,m_start,"&lt;"&amp;900,m_end,"&gt;"&amp;840)&gt;1,"충돌",HYPERLINK("#'관리자_MASTER'!D"&amp;_xlfn.MAXIFS(m_row,m_teacher,AT$4,m_date,($G$2+25),m_active,1,m_start,"&lt;"&amp;900,m_end,"&gt;"&amp;840),INDEX(m_label,_xlfn.MAXIFS(m_row,m_teacher,AT$4,m_date,($G$2+25),m_active,1,m_start,"&lt;"&amp;900,m_end,"&gt;"&amp;840))))))</f>
        <v/>
      </c>
      <c r="AU54" s="82" t="str">
        <f aca="false">IF(OR(AU$4="",MONTH(($G$2+25))&lt;&gt;MONTH($C$2)),"",IF(COUNTIFS(m_teacher,AU$4,m_date,($G$2+25),m_active,1,m_start,"&lt;"&amp;900,m_end,"&gt;"&amp;840)=0,"",IF(COUNTIFS(m_teacher,AU$4,m_date,($G$2+25),m_active,1,m_start,"&lt;"&amp;900,m_end,"&gt;"&amp;840)&gt;1,"충돌",HYPERLINK("#'관리자_MASTER'!D"&amp;_xlfn.MAXIFS(m_row,m_teacher,AU$4,m_date,($G$2+25),m_active,1,m_start,"&lt;"&amp;900,m_end,"&gt;"&amp;840),INDEX(m_label,_xlfn.MAXIFS(m_row,m_teacher,AU$4,m_date,($G$2+25),m_active,1,m_start,"&lt;"&amp;900,m_end,"&gt;"&amp;840))))))</f>
        <v/>
      </c>
      <c r="AV54" s="82" t="str">
        <f aca="false">IF(OR(AV$4="",MONTH(($G$2+25))&lt;&gt;MONTH($C$2)),"",IF(COUNTIFS(m_teacher,AV$4,m_date,($G$2+25),m_active,1,m_start,"&lt;"&amp;900,m_end,"&gt;"&amp;840)=0,"",IF(COUNTIFS(m_teacher,AV$4,m_date,($G$2+25),m_active,1,m_start,"&lt;"&amp;900,m_end,"&gt;"&amp;840)&gt;1,"충돌",HYPERLINK("#'관리자_MASTER'!D"&amp;_xlfn.MAXIFS(m_row,m_teacher,AV$4,m_date,($G$2+25),m_active,1,m_start,"&lt;"&amp;900,m_end,"&gt;"&amp;840),INDEX(m_label,_xlfn.MAXIFS(m_row,m_teacher,AV$4,m_date,($G$2+25),m_active,1,m_start,"&lt;"&amp;900,m_end,"&gt;"&amp;840))))))</f>
        <v/>
      </c>
      <c r="AW54" s="82" t="str">
        <f aca="false">IF(OR(AW$4="",MONTH(($G$2+25))&lt;&gt;MONTH($C$2)),"",IF(COUNTIFS(m_teacher,AW$4,m_date,($G$2+25),m_active,1,m_start,"&lt;"&amp;900,m_end,"&gt;"&amp;840)=0,"",IF(COUNTIFS(m_teacher,AW$4,m_date,($G$2+25),m_active,1,m_start,"&lt;"&amp;900,m_end,"&gt;"&amp;840)&gt;1,"충돌",HYPERLINK("#'관리자_MASTER'!D"&amp;_xlfn.MAXIFS(m_row,m_teacher,AW$4,m_date,($G$2+25),m_active,1,m_start,"&lt;"&amp;900,m_end,"&gt;"&amp;840),INDEX(m_label,_xlfn.MAXIFS(m_row,m_teacher,AW$4,m_date,($G$2+25),m_active,1,m_start,"&lt;"&amp;900,m_end,"&gt;"&amp;840))))))</f>
        <v/>
      </c>
      <c r="AX54" s="82" t="str">
        <f aca="false">IF(OR(AX$4="",MONTH(($G$2+25))&lt;&gt;MONTH($C$2)),"",IF(COUNTIFS(m_teacher,AX$4,m_date,($G$2+25),m_active,1,m_start,"&lt;"&amp;900,m_end,"&gt;"&amp;840)=0,"",IF(COUNTIFS(m_teacher,AX$4,m_date,($G$2+25),m_active,1,m_start,"&lt;"&amp;900,m_end,"&gt;"&amp;840)&gt;1,"충돌",HYPERLINK("#'관리자_MASTER'!D"&amp;_xlfn.MAXIFS(m_row,m_teacher,AX$4,m_date,($G$2+25),m_active,1,m_start,"&lt;"&amp;900,m_end,"&gt;"&amp;840),INDEX(m_label,_xlfn.MAXIFS(m_row,m_teacher,AX$4,m_date,($G$2+25),m_active,1,m_start,"&lt;"&amp;900,m_end,"&gt;"&amp;840))))))</f>
        <v/>
      </c>
      <c r="AY54" s="82" t="str">
        <f aca="false">IF(OR(AY$4="",MONTH(($G$2+25))&lt;&gt;MONTH($C$2)),"",IF(COUNTIFS(m_teacher,AY$4,m_date,($G$2+25),m_active,1,m_start,"&lt;"&amp;900,m_end,"&gt;"&amp;840)=0,"",IF(COUNTIFS(m_teacher,AY$4,m_date,($G$2+25),m_active,1,m_start,"&lt;"&amp;900,m_end,"&gt;"&amp;840)&gt;1,"충돌",HYPERLINK("#'관리자_MASTER'!D"&amp;_xlfn.MAXIFS(m_row,m_teacher,AY$4,m_date,($G$2+25),m_active,1,m_start,"&lt;"&amp;900,m_end,"&gt;"&amp;840),INDEX(m_label,_xlfn.MAXIFS(m_row,m_teacher,AY$4,m_date,($G$2+25),m_active,1,m_start,"&lt;"&amp;900,m_end,"&gt;"&amp;840))))))</f>
        <v/>
      </c>
      <c r="AZ54" s="82" t="str">
        <f aca="false">IF(OR(AZ$4="",MONTH(($G$2+25))&lt;&gt;MONTH($C$2)),"",IF(COUNTIFS(m_teacher,AZ$4,m_date,($G$2+25),m_active,1,m_start,"&lt;"&amp;900,m_end,"&gt;"&amp;840)=0,"",IF(COUNTIFS(m_teacher,AZ$4,m_date,($G$2+25),m_active,1,m_start,"&lt;"&amp;900,m_end,"&gt;"&amp;840)&gt;1,"충돌",HYPERLINK("#'관리자_MASTER'!D"&amp;_xlfn.MAXIFS(m_row,m_teacher,AZ$4,m_date,($G$2+25),m_active,1,m_start,"&lt;"&amp;900,m_end,"&gt;"&amp;840),INDEX(m_label,_xlfn.MAXIFS(m_row,m_teacher,AZ$4,m_date,($G$2+25),m_active,1,m_start,"&lt;"&amp;900,m_end,"&gt;"&amp;840))))))</f>
        <v/>
      </c>
      <c r="BA54" s="82" t="str">
        <f aca="false">IF(OR(BA$4="",MONTH(($G$2+25))&lt;&gt;MONTH($C$2)),"",IF(COUNTIFS(m_teacher,BA$4,m_date,($G$2+25),m_active,1,m_start,"&lt;"&amp;900,m_end,"&gt;"&amp;840)=0,"",IF(COUNTIFS(m_teacher,BA$4,m_date,($G$2+25),m_active,1,m_start,"&lt;"&amp;900,m_end,"&gt;"&amp;840)&gt;1,"충돌",HYPERLINK("#'관리자_MASTER'!D"&amp;_xlfn.MAXIFS(m_row,m_teacher,BA$4,m_date,($G$2+25),m_active,1,m_start,"&lt;"&amp;900,m_end,"&gt;"&amp;840),INDEX(m_label,_xlfn.MAXIFS(m_row,m_teacher,BA$4,m_date,($G$2+25),m_active,1,m_start,"&lt;"&amp;900,m_end,"&gt;"&amp;840))))))</f>
        <v/>
      </c>
      <c r="BB54" s="82" t="str">
        <f aca="false">IF(OR(BB$4="",MONTH(($G$2+25))&lt;&gt;MONTH($C$2)),"",IF(COUNTIFS(m_teacher,BB$4,m_date,($G$2+25),m_active,1,m_start,"&lt;"&amp;900,m_end,"&gt;"&amp;840)=0,"",IF(COUNTIFS(m_teacher,BB$4,m_date,($G$2+25),m_active,1,m_start,"&lt;"&amp;900,m_end,"&gt;"&amp;840)&gt;1,"충돌",HYPERLINK("#'관리자_MASTER'!D"&amp;_xlfn.MAXIFS(m_row,m_teacher,BB$4,m_date,($G$2+25),m_active,1,m_start,"&lt;"&amp;900,m_end,"&gt;"&amp;840),INDEX(m_label,_xlfn.MAXIFS(m_row,m_teacher,BB$4,m_date,($G$2+25),m_active,1,m_start,"&lt;"&amp;900,m_end,"&gt;"&amp;840))))))</f>
        <v/>
      </c>
      <c r="BC54" s="82" t="str">
        <f aca="false">IF(OR(BC$4="",MONTH(($G$2+25))&lt;&gt;MONTH($C$2)),"",IF(COUNTIFS(m_teacher,BC$4,m_date,($G$2+25),m_active,1,m_start,"&lt;"&amp;900,m_end,"&gt;"&amp;840)=0,"",IF(COUNTIFS(m_teacher,BC$4,m_date,($G$2+25),m_active,1,m_start,"&lt;"&amp;900,m_end,"&gt;"&amp;840)&gt;1,"충돌",HYPERLINK("#'관리자_MASTER'!D"&amp;_xlfn.MAXIFS(m_row,m_teacher,BC$4,m_date,($G$2+25),m_active,1,m_start,"&lt;"&amp;900,m_end,"&gt;"&amp;840),INDEX(m_label,_xlfn.MAXIFS(m_row,m_teacher,BC$4,m_date,($G$2+25),m_active,1,m_start,"&lt;"&amp;900,m_end,"&gt;"&amp;840))))))</f>
        <v/>
      </c>
      <c r="BD54" s="82" t="str">
        <f aca="false">IF(OR(BD$4="",MONTH(($G$2+25))&lt;&gt;MONTH($C$2)),"",IF(COUNTIFS(m_teacher,BD$4,m_date,($G$2+25),m_active,1,m_start,"&lt;"&amp;900,m_end,"&gt;"&amp;840)=0,"",IF(COUNTIFS(m_teacher,BD$4,m_date,($G$2+25),m_active,1,m_start,"&lt;"&amp;900,m_end,"&gt;"&amp;840)&gt;1,"충돌",HYPERLINK("#'관리자_MASTER'!D"&amp;_xlfn.MAXIFS(m_row,m_teacher,BD$4,m_date,($G$2+25),m_active,1,m_start,"&lt;"&amp;900,m_end,"&gt;"&amp;840),INDEX(m_label,_xlfn.MAXIFS(m_row,m_teacher,BD$4,m_date,($G$2+25),m_active,1,m_start,"&lt;"&amp;900,m_end,"&gt;"&amp;840))))))</f>
        <v/>
      </c>
      <c r="BE54" s="78"/>
      <c r="BF54" s="79" t="s">
        <v>96</v>
      </c>
      <c r="BG54" s="82" t="str">
        <f aca="false">IF(OR(BG$4="",MONTH(($G$2+32))&lt;&gt;MONTH($C$2)),"",IF(COUNTIFS(m_teacher,BG$4,m_date,($G$2+32),m_active,1,m_start,"&lt;"&amp;900,m_end,"&gt;"&amp;840)=0,"",IF(COUNTIFS(m_teacher,BG$4,m_date,($G$2+32),m_active,1,m_start,"&lt;"&amp;900,m_end,"&gt;"&amp;840)&gt;1,"충돌",HYPERLINK("#'관리자_MASTER'!D"&amp;_xlfn.MAXIFS(m_row,m_teacher,BG$4,m_date,($G$2+32),m_active,1,m_start,"&lt;"&amp;900,m_end,"&gt;"&amp;840),INDEX(m_label,_xlfn.MAXIFS(m_row,m_teacher,BG$4,m_date,($G$2+32),m_active,1,m_start,"&lt;"&amp;900,m_end,"&gt;"&amp;840))))))</f>
        <v/>
      </c>
      <c r="BH54" s="82" t="str">
        <f aca="false">IF(OR(BH$4="",MONTH(($G$2+32))&lt;&gt;MONTH($C$2)),"",IF(COUNTIFS(m_teacher,BH$4,m_date,($G$2+32),m_active,1,m_start,"&lt;"&amp;900,m_end,"&gt;"&amp;840)=0,"",IF(COUNTIFS(m_teacher,BH$4,m_date,($G$2+32),m_active,1,m_start,"&lt;"&amp;900,m_end,"&gt;"&amp;840)&gt;1,"충돌",HYPERLINK("#'관리자_MASTER'!D"&amp;_xlfn.MAXIFS(m_row,m_teacher,BH$4,m_date,($G$2+32),m_active,1,m_start,"&lt;"&amp;900,m_end,"&gt;"&amp;840),INDEX(m_label,_xlfn.MAXIFS(m_row,m_teacher,BH$4,m_date,($G$2+32),m_active,1,m_start,"&lt;"&amp;900,m_end,"&gt;"&amp;840))))))</f>
        <v/>
      </c>
      <c r="BI54" s="82" t="str">
        <f aca="false">IF(OR(BI$4="",MONTH(($G$2+32))&lt;&gt;MONTH($C$2)),"",IF(COUNTIFS(m_teacher,BI$4,m_date,($G$2+32),m_active,1,m_start,"&lt;"&amp;900,m_end,"&gt;"&amp;840)=0,"",IF(COUNTIFS(m_teacher,BI$4,m_date,($G$2+32),m_active,1,m_start,"&lt;"&amp;900,m_end,"&gt;"&amp;840)&gt;1,"충돌",HYPERLINK("#'관리자_MASTER'!D"&amp;_xlfn.MAXIFS(m_row,m_teacher,BI$4,m_date,($G$2+32),m_active,1,m_start,"&lt;"&amp;900,m_end,"&gt;"&amp;840),INDEX(m_label,_xlfn.MAXIFS(m_row,m_teacher,BI$4,m_date,($G$2+32),m_active,1,m_start,"&lt;"&amp;900,m_end,"&gt;"&amp;840))))))</f>
        <v/>
      </c>
      <c r="BJ54" s="82" t="str">
        <f aca="false">IF(OR(BJ$4="",MONTH(($G$2+32))&lt;&gt;MONTH($C$2)),"",IF(COUNTIFS(m_teacher,BJ$4,m_date,($G$2+32),m_active,1,m_start,"&lt;"&amp;900,m_end,"&gt;"&amp;840)=0,"",IF(COUNTIFS(m_teacher,BJ$4,m_date,($G$2+32),m_active,1,m_start,"&lt;"&amp;900,m_end,"&gt;"&amp;840)&gt;1,"충돌",HYPERLINK("#'관리자_MASTER'!D"&amp;_xlfn.MAXIFS(m_row,m_teacher,BJ$4,m_date,($G$2+32),m_active,1,m_start,"&lt;"&amp;900,m_end,"&gt;"&amp;840),INDEX(m_label,_xlfn.MAXIFS(m_row,m_teacher,BJ$4,m_date,($G$2+32),m_active,1,m_start,"&lt;"&amp;900,m_end,"&gt;"&amp;840))))))</f>
        <v/>
      </c>
      <c r="BK54" s="82" t="str">
        <f aca="false">IF(OR(BK$4="",MONTH(($G$2+32))&lt;&gt;MONTH($C$2)),"",IF(COUNTIFS(m_teacher,BK$4,m_date,($G$2+32),m_active,1,m_start,"&lt;"&amp;900,m_end,"&gt;"&amp;840)=0,"",IF(COUNTIFS(m_teacher,BK$4,m_date,($G$2+32),m_active,1,m_start,"&lt;"&amp;900,m_end,"&gt;"&amp;840)&gt;1,"충돌",HYPERLINK("#'관리자_MASTER'!D"&amp;_xlfn.MAXIFS(m_row,m_teacher,BK$4,m_date,($G$2+32),m_active,1,m_start,"&lt;"&amp;900,m_end,"&gt;"&amp;840),INDEX(m_label,_xlfn.MAXIFS(m_row,m_teacher,BK$4,m_date,($G$2+32),m_active,1,m_start,"&lt;"&amp;900,m_end,"&gt;"&amp;840))))))</f>
        <v/>
      </c>
      <c r="BL54" s="82" t="str">
        <f aca="false">IF(OR(BL$4="",MONTH(($G$2+32))&lt;&gt;MONTH($C$2)),"",IF(COUNTIFS(m_teacher,BL$4,m_date,($G$2+32),m_active,1,m_start,"&lt;"&amp;900,m_end,"&gt;"&amp;840)=0,"",IF(COUNTIFS(m_teacher,BL$4,m_date,($G$2+32),m_active,1,m_start,"&lt;"&amp;900,m_end,"&gt;"&amp;840)&gt;1,"충돌",HYPERLINK("#'관리자_MASTER'!D"&amp;_xlfn.MAXIFS(m_row,m_teacher,BL$4,m_date,($G$2+32),m_active,1,m_start,"&lt;"&amp;900,m_end,"&gt;"&amp;840),INDEX(m_label,_xlfn.MAXIFS(m_row,m_teacher,BL$4,m_date,($G$2+32),m_active,1,m_start,"&lt;"&amp;900,m_end,"&gt;"&amp;840))))))</f>
        <v/>
      </c>
      <c r="BM54" s="82" t="str">
        <f aca="false">IF(OR(BM$4="",MONTH(($G$2+32))&lt;&gt;MONTH($C$2)),"",IF(COUNTIFS(m_teacher,BM$4,m_date,($G$2+32),m_active,1,m_start,"&lt;"&amp;900,m_end,"&gt;"&amp;840)=0,"",IF(COUNTIFS(m_teacher,BM$4,m_date,($G$2+32),m_active,1,m_start,"&lt;"&amp;900,m_end,"&gt;"&amp;840)&gt;1,"충돌",HYPERLINK("#'관리자_MASTER'!D"&amp;_xlfn.MAXIFS(m_row,m_teacher,BM$4,m_date,($G$2+32),m_active,1,m_start,"&lt;"&amp;900,m_end,"&gt;"&amp;840),INDEX(m_label,_xlfn.MAXIFS(m_row,m_teacher,BM$4,m_date,($G$2+32),m_active,1,m_start,"&lt;"&amp;900,m_end,"&gt;"&amp;840))))))</f>
        <v/>
      </c>
      <c r="BN54" s="82" t="str">
        <f aca="false">IF(OR(BN$4="",MONTH(($G$2+32))&lt;&gt;MONTH($C$2)),"",IF(COUNTIFS(m_teacher,BN$4,m_date,($G$2+32),m_active,1,m_start,"&lt;"&amp;900,m_end,"&gt;"&amp;840)=0,"",IF(COUNTIFS(m_teacher,BN$4,m_date,($G$2+32),m_active,1,m_start,"&lt;"&amp;900,m_end,"&gt;"&amp;840)&gt;1,"충돌",HYPERLINK("#'관리자_MASTER'!D"&amp;_xlfn.MAXIFS(m_row,m_teacher,BN$4,m_date,($G$2+32),m_active,1,m_start,"&lt;"&amp;900,m_end,"&gt;"&amp;840),INDEX(m_label,_xlfn.MAXIFS(m_row,m_teacher,BN$4,m_date,($G$2+32),m_active,1,m_start,"&lt;"&amp;900,m_end,"&gt;"&amp;840))))))</f>
        <v/>
      </c>
      <c r="BO54" s="82" t="str">
        <f aca="false">IF(OR(BO$4="",MONTH(($G$2+32))&lt;&gt;MONTH($C$2)),"",IF(COUNTIFS(m_teacher,BO$4,m_date,($G$2+32),m_active,1,m_start,"&lt;"&amp;900,m_end,"&gt;"&amp;840)=0,"",IF(COUNTIFS(m_teacher,BO$4,m_date,($G$2+32),m_active,1,m_start,"&lt;"&amp;900,m_end,"&gt;"&amp;840)&gt;1,"충돌",HYPERLINK("#'관리자_MASTER'!D"&amp;_xlfn.MAXIFS(m_row,m_teacher,BO$4,m_date,($G$2+32),m_active,1,m_start,"&lt;"&amp;900,m_end,"&gt;"&amp;840),INDEX(m_label,_xlfn.MAXIFS(m_row,m_teacher,BO$4,m_date,($G$2+32),m_active,1,m_start,"&lt;"&amp;900,m_end,"&gt;"&amp;840))))))</f>
        <v/>
      </c>
      <c r="BP54" s="82" t="str">
        <f aca="false">IF(OR(BP$4="",MONTH(($G$2+32))&lt;&gt;MONTH($C$2)),"",IF(COUNTIFS(m_teacher,BP$4,m_date,($G$2+32),m_active,1,m_start,"&lt;"&amp;900,m_end,"&gt;"&amp;840)=0,"",IF(COUNTIFS(m_teacher,BP$4,m_date,($G$2+32),m_active,1,m_start,"&lt;"&amp;900,m_end,"&gt;"&amp;840)&gt;1,"충돌",HYPERLINK("#'관리자_MASTER'!D"&amp;_xlfn.MAXIFS(m_row,m_teacher,BP$4,m_date,($G$2+32),m_active,1,m_start,"&lt;"&amp;900,m_end,"&gt;"&amp;840),INDEX(m_label,_xlfn.MAXIFS(m_row,m_teacher,BP$4,m_date,($G$2+32),m_active,1,m_start,"&lt;"&amp;900,m_end,"&gt;"&amp;840))))))</f>
        <v/>
      </c>
      <c r="BQ54" s="82" t="str">
        <f aca="false">IF(OR(BQ$4="",MONTH(($G$2+32))&lt;&gt;MONTH($C$2)),"",IF(COUNTIFS(m_teacher,BQ$4,m_date,($G$2+32),m_active,1,m_start,"&lt;"&amp;900,m_end,"&gt;"&amp;840)=0,"",IF(COUNTIFS(m_teacher,BQ$4,m_date,($G$2+32),m_active,1,m_start,"&lt;"&amp;900,m_end,"&gt;"&amp;840)&gt;1,"충돌",HYPERLINK("#'관리자_MASTER'!D"&amp;_xlfn.MAXIFS(m_row,m_teacher,BQ$4,m_date,($G$2+32),m_active,1,m_start,"&lt;"&amp;900,m_end,"&gt;"&amp;840),INDEX(m_label,_xlfn.MAXIFS(m_row,m_teacher,BQ$4,m_date,($G$2+32),m_active,1,m_start,"&lt;"&amp;900,m_end,"&gt;"&amp;840))))))</f>
        <v/>
      </c>
      <c r="BR54" s="82" t="str">
        <f aca="false">IF(OR(BR$4="",MONTH(($G$2+32))&lt;&gt;MONTH($C$2)),"",IF(COUNTIFS(m_teacher,BR$4,m_date,($G$2+32),m_active,1,m_start,"&lt;"&amp;900,m_end,"&gt;"&amp;840)=0,"",IF(COUNTIFS(m_teacher,BR$4,m_date,($G$2+32),m_active,1,m_start,"&lt;"&amp;900,m_end,"&gt;"&amp;840)&gt;1,"충돌",HYPERLINK("#'관리자_MASTER'!D"&amp;_xlfn.MAXIFS(m_row,m_teacher,BR$4,m_date,($G$2+32),m_active,1,m_start,"&lt;"&amp;900,m_end,"&gt;"&amp;840),INDEX(m_label,_xlfn.MAXIFS(m_row,m_teacher,BR$4,m_date,($G$2+32),m_active,1,m_start,"&lt;"&amp;900,m_end,"&gt;"&amp;840))))))</f>
        <v/>
      </c>
    </row>
    <row r="55" customFormat="false" ht="19.5" hidden="false" customHeight="true" outlineLevel="0" collapsed="false">
      <c r="A55" s="78"/>
      <c r="B55" s="79" t="s">
        <v>97</v>
      </c>
      <c r="C55" s="82" t="str">
        <f aca="false">IF(OR(C$4="",MONTH(($G$2+4))&lt;&gt;MONTH($C$2)),"",IF(COUNTIFS(m_teacher,C$4,m_date,($G$2+4),m_active,1,m_start,"&lt;"&amp;960,m_end,"&gt;"&amp;900)=0,"",IF(COUNTIFS(m_teacher,C$4,m_date,($G$2+4),m_active,1,m_start,"&lt;"&amp;960,m_end,"&gt;"&amp;900)&gt;1,"충돌",HYPERLINK("#'관리자_MASTER'!D"&amp;_xlfn.MAXIFS(m_row,m_teacher,C$4,m_date,($G$2+4),m_active,1,m_start,"&lt;"&amp;960,m_end,"&gt;"&amp;900),INDEX(m_label,_xlfn.MAXIFS(m_row,m_teacher,C$4,m_date,($G$2+4),m_active,1,m_start,"&lt;"&amp;960,m_end,"&gt;"&amp;900))))))</f>
        <v/>
      </c>
      <c r="D55" s="82" t="str">
        <f aca="false">IF(OR(D$4="",MONTH(($G$2+4))&lt;&gt;MONTH($C$2)),"",IF(COUNTIFS(m_teacher,D$4,m_date,($G$2+4),m_active,1,m_start,"&lt;"&amp;960,m_end,"&gt;"&amp;900)=0,"",IF(COUNTIFS(m_teacher,D$4,m_date,($G$2+4),m_active,1,m_start,"&lt;"&amp;960,m_end,"&gt;"&amp;900)&gt;1,"충돌",HYPERLINK("#'관리자_MASTER'!D"&amp;_xlfn.MAXIFS(m_row,m_teacher,D$4,m_date,($G$2+4),m_active,1,m_start,"&lt;"&amp;960,m_end,"&gt;"&amp;900),INDEX(m_label,_xlfn.MAXIFS(m_row,m_teacher,D$4,m_date,($G$2+4),m_active,1,m_start,"&lt;"&amp;960,m_end,"&gt;"&amp;900))))))</f>
        <v/>
      </c>
      <c r="E55" s="82" t="str">
        <f aca="false">IF(OR(E$4="",MONTH(($G$2+4))&lt;&gt;MONTH($C$2)),"",IF(COUNTIFS(m_teacher,E$4,m_date,($G$2+4),m_active,1,m_start,"&lt;"&amp;960,m_end,"&gt;"&amp;900)=0,"",IF(COUNTIFS(m_teacher,E$4,m_date,($G$2+4),m_active,1,m_start,"&lt;"&amp;960,m_end,"&gt;"&amp;900)&gt;1,"충돌",HYPERLINK("#'관리자_MASTER'!D"&amp;_xlfn.MAXIFS(m_row,m_teacher,E$4,m_date,($G$2+4),m_active,1,m_start,"&lt;"&amp;960,m_end,"&gt;"&amp;900),INDEX(m_label,_xlfn.MAXIFS(m_row,m_teacher,E$4,m_date,($G$2+4),m_active,1,m_start,"&lt;"&amp;960,m_end,"&gt;"&amp;900))))))</f>
        <v/>
      </c>
      <c r="F55" s="82" t="str">
        <f aca="false">IF(OR(F$4="",MONTH(($G$2+4))&lt;&gt;MONTH($C$2)),"",IF(COUNTIFS(m_teacher,F$4,m_date,($G$2+4),m_active,1,m_start,"&lt;"&amp;960,m_end,"&gt;"&amp;900)=0,"",IF(COUNTIFS(m_teacher,F$4,m_date,($G$2+4),m_active,1,m_start,"&lt;"&amp;960,m_end,"&gt;"&amp;900)&gt;1,"충돌",HYPERLINK("#'관리자_MASTER'!D"&amp;_xlfn.MAXIFS(m_row,m_teacher,F$4,m_date,($G$2+4),m_active,1,m_start,"&lt;"&amp;960,m_end,"&gt;"&amp;900),INDEX(m_label,_xlfn.MAXIFS(m_row,m_teacher,F$4,m_date,($G$2+4),m_active,1,m_start,"&lt;"&amp;960,m_end,"&gt;"&amp;900))))))</f>
        <v/>
      </c>
      <c r="G55" s="82" t="str">
        <f aca="false">IF(OR(G$4="",MONTH(($G$2+4))&lt;&gt;MONTH($C$2)),"",IF(COUNTIFS(m_teacher,G$4,m_date,($G$2+4),m_active,1,m_start,"&lt;"&amp;960,m_end,"&gt;"&amp;900)=0,"",IF(COUNTIFS(m_teacher,G$4,m_date,($G$2+4),m_active,1,m_start,"&lt;"&amp;960,m_end,"&gt;"&amp;900)&gt;1,"충돌",HYPERLINK("#'관리자_MASTER'!D"&amp;_xlfn.MAXIFS(m_row,m_teacher,G$4,m_date,($G$2+4),m_active,1,m_start,"&lt;"&amp;960,m_end,"&gt;"&amp;900),INDEX(m_label,_xlfn.MAXIFS(m_row,m_teacher,G$4,m_date,($G$2+4),m_active,1,m_start,"&lt;"&amp;960,m_end,"&gt;"&amp;900))))))</f>
        <v/>
      </c>
      <c r="H55" s="82" t="str">
        <f aca="false">IF(OR(H$4="",MONTH(($G$2+4))&lt;&gt;MONTH($C$2)),"",IF(COUNTIFS(m_teacher,H$4,m_date,($G$2+4),m_active,1,m_start,"&lt;"&amp;960,m_end,"&gt;"&amp;900)=0,"",IF(COUNTIFS(m_teacher,H$4,m_date,($G$2+4),m_active,1,m_start,"&lt;"&amp;960,m_end,"&gt;"&amp;900)&gt;1,"충돌",HYPERLINK("#'관리자_MASTER'!D"&amp;_xlfn.MAXIFS(m_row,m_teacher,H$4,m_date,($G$2+4),m_active,1,m_start,"&lt;"&amp;960,m_end,"&gt;"&amp;900),INDEX(m_label,_xlfn.MAXIFS(m_row,m_teacher,H$4,m_date,($G$2+4),m_active,1,m_start,"&lt;"&amp;960,m_end,"&gt;"&amp;900))))))</f>
        <v/>
      </c>
      <c r="I55" s="82" t="str">
        <f aca="false">IF(OR(I$4="",MONTH(($G$2+4))&lt;&gt;MONTH($C$2)),"",IF(COUNTIFS(m_teacher,I$4,m_date,($G$2+4),m_active,1,m_start,"&lt;"&amp;960,m_end,"&gt;"&amp;900)=0,"",IF(COUNTIFS(m_teacher,I$4,m_date,($G$2+4),m_active,1,m_start,"&lt;"&amp;960,m_end,"&gt;"&amp;900)&gt;1,"충돌",HYPERLINK("#'관리자_MASTER'!D"&amp;_xlfn.MAXIFS(m_row,m_teacher,I$4,m_date,($G$2+4),m_active,1,m_start,"&lt;"&amp;960,m_end,"&gt;"&amp;900),INDEX(m_label,_xlfn.MAXIFS(m_row,m_teacher,I$4,m_date,($G$2+4),m_active,1,m_start,"&lt;"&amp;960,m_end,"&gt;"&amp;900))))))</f>
        <v/>
      </c>
      <c r="J55" s="82" t="str">
        <f aca="false">IF(OR(J$4="",MONTH(($G$2+4))&lt;&gt;MONTH($C$2)),"",IF(COUNTIFS(m_teacher,J$4,m_date,($G$2+4),m_active,1,m_start,"&lt;"&amp;960,m_end,"&gt;"&amp;900)=0,"",IF(COUNTIFS(m_teacher,J$4,m_date,($G$2+4),m_active,1,m_start,"&lt;"&amp;960,m_end,"&gt;"&amp;900)&gt;1,"충돌",HYPERLINK("#'관리자_MASTER'!D"&amp;_xlfn.MAXIFS(m_row,m_teacher,J$4,m_date,($G$2+4),m_active,1,m_start,"&lt;"&amp;960,m_end,"&gt;"&amp;900),INDEX(m_label,_xlfn.MAXIFS(m_row,m_teacher,J$4,m_date,($G$2+4),m_active,1,m_start,"&lt;"&amp;960,m_end,"&gt;"&amp;900))))))</f>
        <v/>
      </c>
      <c r="K55" s="82" t="str">
        <f aca="false">IF(OR(K$4="",MONTH(($G$2+4))&lt;&gt;MONTH($C$2)),"",IF(COUNTIFS(m_teacher,K$4,m_date,($G$2+4),m_active,1,m_start,"&lt;"&amp;960,m_end,"&gt;"&amp;900)=0,"",IF(COUNTIFS(m_teacher,K$4,m_date,($G$2+4),m_active,1,m_start,"&lt;"&amp;960,m_end,"&gt;"&amp;900)&gt;1,"충돌",HYPERLINK("#'관리자_MASTER'!D"&amp;_xlfn.MAXIFS(m_row,m_teacher,K$4,m_date,($G$2+4),m_active,1,m_start,"&lt;"&amp;960,m_end,"&gt;"&amp;900),INDEX(m_label,_xlfn.MAXIFS(m_row,m_teacher,K$4,m_date,($G$2+4),m_active,1,m_start,"&lt;"&amp;960,m_end,"&gt;"&amp;900))))))</f>
        <v/>
      </c>
      <c r="L55" s="82" t="str">
        <f aca="false">IF(OR(L$4="",MONTH(($G$2+4))&lt;&gt;MONTH($C$2)),"",IF(COUNTIFS(m_teacher,L$4,m_date,($G$2+4),m_active,1,m_start,"&lt;"&amp;960,m_end,"&gt;"&amp;900)=0,"",IF(COUNTIFS(m_teacher,L$4,m_date,($G$2+4),m_active,1,m_start,"&lt;"&amp;960,m_end,"&gt;"&amp;900)&gt;1,"충돌",HYPERLINK("#'관리자_MASTER'!D"&amp;_xlfn.MAXIFS(m_row,m_teacher,L$4,m_date,($G$2+4),m_active,1,m_start,"&lt;"&amp;960,m_end,"&gt;"&amp;900),INDEX(m_label,_xlfn.MAXIFS(m_row,m_teacher,L$4,m_date,($G$2+4),m_active,1,m_start,"&lt;"&amp;960,m_end,"&gt;"&amp;900))))))</f>
        <v/>
      </c>
      <c r="M55" s="82" t="str">
        <f aca="false">IF(OR(M$4="",MONTH(($G$2+4))&lt;&gt;MONTH($C$2)),"",IF(COUNTIFS(m_teacher,M$4,m_date,($G$2+4),m_active,1,m_start,"&lt;"&amp;960,m_end,"&gt;"&amp;900)=0,"",IF(COUNTIFS(m_teacher,M$4,m_date,($G$2+4),m_active,1,m_start,"&lt;"&amp;960,m_end,"&gt;"&amp;900)&gt;1,"충돌",HYPERLINK("#'관리자_MASTER'!D"&amp;_xlfn.MAXIFS(m_row,m_teacher,M$4,m_date,($G$2+4),m_active,1,m_start,"&lt;"&amp;960,m_end,"&gt;"&amp;900),INDEX(m_label,_xlfn.MAXIFS(m_row,m_teacher,M$4,m_date,($G$2+4),m_active,1,m_start,"&lt;"&amp;960,m_end,"&gt;"&amp;900))))))</f>
        <v/>
      </c>
      <c r="N55" s="82" t="str">
        <f aca="false">IF(OR(N$4="",MONTH(($G$2+4))&lt;&gt;MONTH($C$2)),"",IF(COUNTIFS(m_teacher,N$4,m_date,($G$2+4),m_active,1,m_start,"&lt;"&amp;960,m_end,"&gt;"&amp;900)=0,"",IF(COUNTIFS(m_teacher,N$4,m_date,($G$2+4),m_active,1,m_start,"&lt;"&amp;960,m_end,"&gt;"&amp;900)&gt;1,"충돌",HYPERLINK("#'관리자_MASTER'!D"&amp;_xlfn.MAXIFS(m_row,m_teacher,N$4,m_date,($G$2+4),m_active,1,m_start,"&lt;"&amp;960,m_end,"&gt;"&amp;900),INDEX(m_label,_xlfn.MAXIFS(m_row,m_teacher,N$4,m_date,($G$2+4),m_active,1,m_start,"&lt;"&amp;960,m_end,"&gt;"&amp;900))))))</f>
        <v/>
      </c>
      <c r="O55" s="78"/>
      <c r="P55" s="79" t="s">
        <v>97</v>
      </c>
      <c r="Q55" s="82" t="str">
        <f aca="false">IF(OR(Q$4="",MONTH(($G$2+11))&lt;&gt;MONTH($C$2)),"",IF(COUNTIFS(m_teacher,Q$4,m_date,($G$2+11),m_active,1,m_start,"&lt;"&amp;960,m_end,"&gt;"&amp;900)=0,"",IF(COUNTIFS(m_teacher,Q$4,m_date,($G$2+11),m_active,1,m_start,"&lt;"&amp;960,m_end,"&gt;"&amp;900)&gt;1,"충돌",HYPERLINK("#'관리자_MASTER'!D"&amp;_xlfn.MAXIFS(m_row,m_teacher,Q$4,m_date,($G$2+11),m_active,1,m_start,"&lt;"&amp;960,m_end,"&gt;"&amp;900),INDEX(m_label,_xlfn.MAXIFS(m_row,m_teacher,Q$4,m_date,($G$2+11),m_active,1,m_start,"&lt;"&amp;960,m_end,"&gt;"&amp;900))))))</f>
        <v/>
      </c>
      <c r="R55" s="82" t="str">
        <f aca="false">IF(OR(R$4="",MONTH(($G$2+11))&lt;&gt;MONTH($C$2)),"",IF(COUNTIFS(m_teacher,R$4,m_date,($G$2+11),m_active,1,m_start,"&lt;"&amp;960,m_end,"&gt;"&amp;900)=0,"",IF(COUNTIFS(m_teacher,R$4,m_date,($G$2+11),m_active,1,m_start,"&lt;"&amp;960,m_end,"&gt;"&amp;900)&gt;1,"충돌",HYPERLINK("#'관리자_MASTER'!D"&amp;_xlfn.MAXIFS(m_row,m_teacher,R$4,m_date,($G$2+11),m_active,1,m_start,"&lt;"&amp;960,m_end,"&gt;"&amp;900),INDEX(m_label,_xlfn.MAXIFS(m_row,m_teacher,R$4,m_date,($G$2+11),m_active,1,m_start,"&lt;"&amp;960,m_end,"&gt;"&amp;900))))))</f>
        <v/>
      </c>
      <c r="S55" s="82" t="str">
        <f aca="false">IF(OR(S$4="",MONTH(($G$2+11))&lt;&gt;MONTH($C$2)),"",IF(COUNTIFS(m_teacher,S$4,m_date,($G$2+11),m_active,1,m_start,"&lt;"&amp;960,m_end,"&gt;"&amp;900)=0,"",IF(COUNTIFS(m_teacher,S$4,m_date,($G$2+11),m_active,1,m_start,"&lt;"&amp;960,m_end,"&gt;"&amp;900)&gt;1,"충돌",HYPERLINK("#'관리자_MASTER'!D"&amp;_xlfn.MAXIFS(m_row,m_teacher,S$4,m_date,($G$2+11),m_active,1,m_start,"&lt;"&amp;960,m_end,"&gt;"&amp;900),INDEX(m_label,_xlfn.MAXIFS(m_row,m_teacher,S$4,m_date,($G$2+11),m_active,1,m_start,"&lt;"&amp;960,m_end,"&gt;"&amp;900))))))</f>
        <v/>
      </c>
      <c r="T55" s="82" t="str">
        <f aca="false">IF(OR(T$4="",MONTH(($G$2+11))&lt;&gt;MONTH($C$2)),"",IF(COUNTIFS(m_teacher,T$4,m_date,($G$2+11),m_active,1,m_start,"&lt;"&amp;960,m_end,"&gt;"&amp;900)=0,"",IF(COUNTIFS(m_teacher,T$4,m_date,($G$2+11),m_active,1,m_start,"&lt;"&amp;960,m_end,"&gt;"&amp;900)&gt;1,"충돌",HYPERLINK("#'관리자_MASTER'!D"&amp;_xlfn.MAXIFS(m_row,m_teacher,T$4,m_date,($G$2+11),m_active,1,m_start,"&lt;"&amp;960,m_end,"&gt;"&amp;900),INDEX(m_label,_xlfn.MAXIFS(m_row,m_teacher,T$4,m_date,($G$2+11),m_active,1,m_start,"&lt;"&amp;960,m_end,"&gt;"&amp;900))))))</f>
        <v/>
      </c>
      <c r="U55" s="82" t="str">
        <f aca="false">IF(OR(U$4="",MONTH(($G$2+11))&lt;&gt;MONTH($C$2)),"",IF(COUNTIFS(m_teacher,U$4,m_date,($G$2+11),m_active,1,m_start,"&lt;"&amp;960,m_end,"&gt;"&amp;900)=0,"",IF(COUNTIFS(m_teacher,U$4,m_date,($G$2+11),m_active,1,m_start,"&lt;"&amp;960,m_end,"&gt;"&amp;900)&gt;1,"충돌",HYPERLINK("#'관리자_MASTER'!D"&amp;_xlfn.MAXIFS(m_row,m_teacher,U$4,m_date,($G$2+11),m_active,1,m_start,"&lt;"&amp;960,m_end,"&gt;"&amp;900),INDEX(m_label,_xlfn.MAXIFS(m_row,m_teacher,U$4,m_date,($G$2+11),m_active,1,m_start,"&lt;"&amp;960,m_end,"&gt;"&amp;900))))))</f>
        <v/>
      </c>
      <c r="V55" s="82" t="str">
        <f aca="false">IF(OR(V$4="",MONTH(($G$2+11))&lt;&gt;MONTH($C$2)),"",IF(COUNTIFS(m_teacher,V$4,m_date,($G$2+11),m_active,1,m_start,"&lt;"&amp;960,m_end,"&gt;"&amp;900)=0,"",IF(COUNTIFS(m_teacher,V$4,m_date,($G$2+11),m_active,1,m_start,"&lt;"&amp;960,m_end,"&gt;"&amp;900)&gt;1,"충돌",HYPERLINK("#'관리자_MASTER'!D"&amp;_xlfn.MAXIFS(m_row,m_teacher,V$4,m_date,($G$2+11),m_active,1,m_start,"&lt;"&amp;960,m_end,"&gt;"&amp;900),INDEX(m_label,_xlfn.MAXIFS(m_row,m_teacher,V$4,m_date,($G$2+11),m_active,1,m_start,"&lt;"&amp;960,m_end,"&gt;"&amp;900))))))</f>
        <v/>
      </c>
      <c r="W55" s="82" t="str">
        <f aca="false">IF(OR(W$4="",MONTH(($G$2+11))&lt;&gt;MONTH($C$2)),"",IF(COUNTIFS(m_teacher,W$4,m_date,($G$2+11),m_active,1,m_start,"&lt;"&amp;960,m_end,"&gt;"&amp;900)=0,"",IF(COUNTIFS(m_teacher,W$4,m_date,($G$2+11),m_active,1,m_start,"&lt;"&amp;960,m_end,"&gt;"&amp;900)&gt;1,"충돌",HYPERLINK("#'관리자_MASTER'!D"&amp;_xlfn.MAXIFS(m_row,m_teacher,W$4,m_date,($G$2+11),m_active,1,m_start,"&lt;"&amp;960,m_end,"&gt;"&amp;900),INDEX(m_label,_xlfn.MAXIFS(m_row,m_teacher,W$4,m_date,($G$2+11),m_active,1,m_start,"&lt;"&amp;960,m_end,"&gt;"&amp;900))))))</f>
        <v/>
      </c>
      <c r="X55" s="82" t="str">
        <f aca="false">IF(OR(X$4="",MONTH(($G$2+11))&lt;&gt;MONTH($C$2)),"",IF(COUNTIFS(m_teacher,X$4,m_date,($G$2+11),m_active,1,m_start,"&lt;"&amp;960,m_end,"&gt;"&amp;900)=0,"",IF(COUNTIFS(m_teacher,X$4,m_date,($G$2+11),m_active,1,m_start,"&lt;"&amp;960,m_end,"&gt;"&amp;900)&gt;1,"충돌",HYPERLINK("#'관리자_MASTER'!D"&amp;_xlfn.MAXIFS(m_row,m_teacher,X$4,m_date,($G$2+11),m_active,1,m_start,"&lt;"&amp;960,m_end,"&gt;"&amp;900),INDEX(m_label,_xlfn.MAXIFS(m_row,m_teacher,X$4,m_date,($G$2+11),m_active,1,m_start,"&lt;"&amp;960,m_end,"&gt;"&amp;900))))))</f>
        <v/>
      </c>
      <c r="Y55" s="82" t="str">
        <f aca="false">IF(OR(Y$4="",MONTH(($G$2+11))&lt;&gt;MONTH($C$2)),"",IF(COUNTIFS(m_teacher,Y$4,m_date,($G$2+11),m_active,1,m_start,"&lt;"&amp;960,m_end,"&gt;"&amp;900)=0,"",IF(COUNTIFS(m_teacher,Y$4,m_date,($G$2+11),m_active,1,m_start,"&lt;"&amp;960,m_end,"&gt;"&amp;900)&gt;1,"충돌",HYPERLINK("#'관리자_MASTER'!D"&amp;_xlfn.MAXIFS(m_row,m_teacher,Y$4,m_date,($G$2+11),m_active,1,m_start,"&lt;"&amp;960,m_end,"&gt;"&amp;900),INDEX(m_label,_xlfn.MAXIFS(m_row,m_teacher,Y$4,m_date,($G$2+11),m_active,1,m_start,"&lt;"&amp;960,m_end,"&gt;"&amp;900))))))</f>
        <v/>
      </c>
      <c r="Z55" s="82" t="str">
        <f aca="false">IF(OR(Z$4="",MONTH(($G$2+11))&lt;&gt;MONTH($C$2)),"",IF(COUNTIFS(m_teacher,Z$4,m_date,($G$2+11),m_active,1,m_start,"&lt;"&amp;960,m_end,"&gt;"&amp;900)=0,"",IF(COUNTIFS(m_teacher,Z$4,m_date,($G$2+11),m_active,1,m_start,"&lt;"&amp;960,m_end,"&gt;"&amp;900)&gt;1,"충돌",HYPERLINK("#'관리자_MASTER'!D"&amp;_xlfn.MAXIFS(m_row,m_teacher,Z$4,m_date,($G$2+11),m_active,1,m_start,"&lt;"&amp;960,m_end,"&gt;"&amp;900),INDEX(m_label,_xlfn.MAXIFS(m_row,m_teacher,Z$4,m_date,($G$2+11),m_active,1,m_start,"&lt;"&amp;960,m_end,"&gt;"&amp;900))))))</f>
        <v/>
      </c>
      <c r="AA55" s="82" t="str">
        <f aca="false">IF(OR(AA$4="",MONTH(($G$2+11))&lt;&gt;MONTH($C$2)),"",IF(COUNTIFS(m_teacher,AA$4,m_date,($G$2+11),m_active,1,m_start,"&lt;"&amp;960,m_end,"&gt;"&amp;900)=0,"",IF(COUNTIFS(m_teacher,AA$4,m_date,($G$2+11),m_active,1,m_start,"&lt;"&amp;960,m_end,"&gt;"&amp;900)&gt;1,"충돌",HYPERLINK("#'관리자_MASTER'!D"&amp;_xlfn.MAXIFS(m_row,m_teacher,AA$4,m_date,($G$2+11),m_active,1,m_start,"&lt;"&amp;960,m_end,"&gt;"&amp;900),INDEX(m_label,_xlfn.MAXIFS(m_row,m_teacher,AA$4,m_date,($G$2+11),m_active,1,m_start,"&lt;"&amp;960,m_end,"&gt;"&amp;900))))))</f>
        <v/>
      </c>
      <c r="AB55" s="82" t="str">
        <f aca="false">IF(OR(AB$4="",MONTH(($G$2+11))&lt;&gt;MONTH($C$2)),"",IF(COUNTIFS(m_teacher,AB$4,m_date,($G$2+11),m_active,1,m_start,"&lt;"&amp;960,m_end,"&gt;"&amp;900)=0,"",IF(COUNTIFS(m_teacher,AB$4,m_date,($G$2+11),m_active,1,m_start,"&lt;"&amp;960,m_end,"&gt;"&amp;900)&gt;1,"충돌",HYPERLINK("#'관리자_MASTER'!D"&amp;_xlfn.MAXIFS(m_row,m_teacher,AB$4,m_date,($G$2+11),m_active,1,m_start,"&lt;"&amp;960,m_end,"&gt;"&amp;900),INDEX(m_label,_xlfn.MAXIFS(m_row,m_teacher,AB$4,m_date,($G$2+11),m_active,1,m_start,"&lt;"&amp;960,m_end,"&gt;"&amp;900))))))</f>
        <v/>
      </c>
      <c r="AC55" s="78"/>
      <c r="AD55" s="79" t="s">
        <v>97</v>
      </c>
      <c r="AE55" s="82" t="str">
        <f aca="false">IF(OR(AE$4="",MONTH(($G$2+18))&lt;&gt;MONTH($C$2)),"",IF(COUNTIFS(m_teacher,AE$4,m_date,($G$2+18),m_active,1,m_start,"&lt;"&amp;960,m_end,"&gt;"&amp;900)=0,"",IF(COUNTIFS(m_teacher,AE$4,m_date,($G$2+18),m_active,1,m_start,"&lt;"&amp;960,m_end,"&gt;"&amp;900)&gt;1,"충돌",HYPERLINK("#'관리자_MASTER'!D"&amp;_xlfn.MAXIFS(m_row,m_teacher,AE$4,m_date,($G$2+18),m_active,1,m_start,"&lt;"&amp;960,m_end,"&gt;"&amp;900),INDEX(m_label,_xlfn.MAXIFS(m_row,m_teacher,AE$4,m_date,($G$2+18),m_active,1,m_start,"&lt;"&amp;960,m_end,"&gt;"&amp;900))))))</f>
        <v/>
      </c>
      <c r="AF55" s="82" t="str">
        <f aca="false">IF(OR(AF$4="",MONTH(($G$2+18))&lt;&gt;MONTH($C$2)),"",IF(COUNTIFS(m_teacher,AF$4,m_date,($G$2+18),m_active,1,m_start,"&lt;"&amp;960,m_end,"&gt;"&amp;900)=0,"",IF(COUNTIFS(m_teacher,AF$4,m_date,($G$2+18),m_active,1,m_start,"&lt;"&amp;960,m_end,"&gt;"&amp;900)&gt;1,"충돌",HYPERLINK("#'관리자_MASTER'!D"&amp;_xlfn.MAXIFS(m_row,m_teacher,AF$4,m_date,($G$2+18),m_active,1,m_start,"&lt;"&amp;960,m_end,"&gt;"&amp;900),INDEX(m_label,_xlfn.MAXIFS(m_row,m_teacher,AF$4,m_date,($G$2+18),m_active,1,m_start,"&lt;"&amp;960,m_end,"&gt;"&amp;900))))))</f>
        <v/>
      </c>
      <c r="AG55" s="82" t="str">
        <f aca="false">IF(OR(AG$4="",MONTH(($G$2+18))&lt;&gt;MONTH($C$2)),"",IF(COUNTIFS(m_teacher,AG$4,m_date,($G$2+18),m_active,1,m_start,"&lt;"&amp;960,m_end,"&gt;"&amp;900)=0,"",IF(COUNTIFS(m_teacher,AG$4,m_date,($G$2+18),m_active,1,m_start,"&lt;"&amp;960,m_end,"&gt;"&amp;900)&gt;1,"충돌",HYPERLINK("#'관리자_MASTER'!D"&amp;_xlfn.MAXIFS(m_row,m_teacher,AG$4,m_date,($G$2+18),m_active,1,m_start,"&lt;"&amp;960,m_end,"&gt;"&amp;900),INDEX(m_label,_xlfn.MAXIFS(m_row,m_teacher,AG$4,m_date,($G$2+18),m_active,1,m_start,"&lt;"&amp;960,m_end,"&gt;"&amp;900))))))</f>
        <v/>
      </c>
      <c r="AH55" s="82" t="str">
        <f aca="false">IF(OR(AH$4="",MONTH(($G$2+18))&lt;&gt;MONTH($C$2)),"",IF(COUNTIFS(m_teacher,AH$4,m_date,($G$2+18),m_active,1,m_start,"&lt;"&amp;960,m_end,"&gt;"&amp;900)=0,"",IF(COUNTIFS(m_teacher,AH$4,m_date,($G$2+18),m_active,1,m_start,"&lt;"&amp;960,m_end,"&gt;"&amp;900)&gt;1,"충돌",HYPERLINK("#'관리자_MASTER'!D"&amp;_xlfn.MAXIFS(m_row,m_teacher,AH$4,m_date,($G$2+18),m_active,1,m_start,"&lt;"&amp;960,m_end,"&gt;"&amp;900),INDEX(m_label,_xlfn.MAXIFS(m_row,m_teacher,AH$4,m_date,($G$2+18),m_active,1,m_start,"&lt;"&amp;960,m_end,"&gt;"&amp;900))))))</f>
        <v/>
      </c>
      <c r="AI55" s="82" t="str">
        <f aca="false">IF(OR(AI$4="",MONTH(($G$2+18))&lt;&gt;MONTH($C$2)),"",IF(COUNTIFS(m_teacher,AI$4,m_date,($G$2+18),m_active,1,m_start,"&lt;"&amp;960,m_end,"&gt;"&amp;900)=0,"",IF(COUNTIFS(m_teacher,AI$4,m_date,($G$2+18),m_active,1,m_start,"&lt;"&amp;960,m_end,"&gt;"&amp;900)&gt;1,"충돌",HYPERLINK("#'관리자_MASTER'!D"&amp;_xlfn.MAXIFS(m_row,m_teacher,AI$4,m_date,($G$2+18),m_active,1,m_start,"&lt;"&amp;960,m_end,"&gt;"&amp;900),INDEX(m_label,_xlfn.MAXIFS(m_row,m_teacher,AI$4,m_date,($G$2+18),m_active,1,m_start,"&lt;"&amp;960,m_end,"&gt;"&amp;900))))))</f>
        <v/>
      </c>
      <c r="AJ55" s="82" t="str">
        <f aca="false">IF(OR(AJ$4="",MONTH(($G$2+18))&lt;&gt;MONTH($C$2)),"",IF(COUNTIFS(m_teacher,AJ$4,m_date,($G$2+18),m_active,1,m_start,"&lt;"&amp;960,m_end,"&gt;"&amp;900)=0,"",IF(COUNTIFS(m_teacher,AJ$4,m_date,($G$2+18),m_active,1,m_start,"&lt;"&amp;960,m_end,"&gt;"&amp;900)&gt;1,"충돌",HYPERLINK("#'관리자_MASTER'!D"&amp;_xlfn.MAXIFS(m_row,m_teacher,AJ$4,m_date,($G$2+18),m_active,1,m_start,"&lt;"&amp;960,m_end,"&gt;"&amp;900),INDEX(m_label,_xlfn.MAXIFS(m_row,m_teacher,AJ$4,m_date,($G$2+18),m_active,1,m_start,"&lt;"&amp;960,m_end,"&gt;"&amp;900))))))</f>
        <v/>
      </c>
      <c r="AK55" s="82" t="str">
        <f aca="false">IF(OR(AK$4="",MONTH(($G$2+18))&lt;&gt;MONTH($C$2)),"",IF(COUNTIFS(m_teacher,AK$4,m_date,($G$2+18),m_active,1,m_start,"&lt;"&amp;960,m_end,"&gt;"&amp;900)=0,"",IF(COUNTIFS(m_teacher,AK$4,m_date,($G$2+18),m_active,1,m_start,"&lt;"&amp;960,m_end,"&gt;"&amp;900)&gt;1,"충돌",HYPERLINK("#'관리자_MASTER'!D"&amp;_xlfn.MAXIFS(m_row,m_teacher,AK$4,m_date,($G$2+18),m_active,1,m_start,"&lt;"&amp;960,m_end,"&gt;"&amp;900),INDEX(m_label,_xlfn.MAXIFS(m_row,m_teacher,AK$4,m_date,($G$2+18),m_active,1,m_start,"&lt;"&amp;960,m_end,"&gt;"&amp;900))))))</f>
        <v/>
      </c>
      <c r="AL55" s="82" t="str">
        <f aca="false">IF(OR(AL$4="",MONTH(($G$2+18))&lt;&gt;MONTH($C$2)),"",IF(COUNTIFS(m_teacher,AL$4,m_date,($G$2+18),m_active,1,m_start,"&lt;"&amp;960,m_end,"&gt;"&amp;900)=0,"",IF(COUNTIFS(m_teacher,AL$4,m_date,($G$2+18),m_active,1,m_start,"&lt;"&amp;960,m_end,"&gt;"&amp;900)&gt;1,"충돌",HYPERLINK("#'관리자_MASTER'!D"&amp;_xlfn.MAXIFS(m_row,m_teacher,AL$4,m_date,($G$2+18),m_active,1,m_start,"&lt;"&amp;960,m_end,"&gt;"&amp;900),INDEX(m_label,_xlfn.MAXIFS(m_row,m_teacher,AL$4,m_date,($G$2+18),m_active,1,m_start,"&lt;"&amp;960,m_end,"&gt;"&amp;900))))))</f>
        <v/>
      </c>
      <c r="AM55" s="82" t="str">
        <f aca="false">IF(OR(AM$4="",MONTH(($G$2+18))&lt;&gt;MONTH($C$2)),"",IF(COUNTIFS(m_teacher,AM$4,m_date,($G$2+18),m_active,1,m_start,"&lt;"&amp;960,m_end,"&gt;"&amp;900)=0,"",IF(COUNTIFS(m_teacher,AM$4,m_date,($G$2+18),m_active,1,m_start,"&lt;"&amp;960,m_end,"&gt;"&amp;900)&gt;1,"충돌",HYPERLINK("#'관리자_MASTER'!D"&amp;_xlfn.MAXIFS(m_row,m_teacher,AM$4,m_date,($G$2+18),m_active,1,m_start,"&lt;"&amp;960,m_end,"&gt;"&amp;900),INDEX(m_label,_xlfn.MAXIFS(m_row,m_teacher,AM$4,m_date,($G$2+18),m_active,1,m_start,"&lt;"&amp;960,m_end,"&gt;"&amp;900))))))</f>
        <v/>
      </c>
      <c r="AN55" s="82" t="str">
        <f aca="false">IF(OR(AN$4="",MONTH(($G$2+18))&lt;&gt;MONTH($C$2)),"",IF(COUNTIFS(m_teacher,AN$4,m_date,($G$2+18),m_active,1,m_start,"&lt;"&amp;960,m_end,"&gt;"&amp;900)=0,"",IF(COUNTIFS(m_teacher,AN$4,m_date,($G$2+18),m_active,1,m_start,"&lt;"&amp;960,m_end,"&gt;"&amp;900)&gt;1,"충돌",HYPERLINK("#'관리자_MASTER'!D"&amp;_xlfn.MAXIFS(m_row,m_teacher,AN$4,m_date,($G$2+18),m_active,1,m_start,"&lt;"&amp;960,m_end,"&gt;"&amp;900),INDEX(m_label,_xlfn.MAXIFS(m_row,m_teacher,AN$4,m_date,($G$2+18),m_active,1,m_start,"&lt;"&amp;960,m_end,"&gt;"&amp;900))))))</f>
        <v/>
      </c>
      <c r="AO55" s="82" t="str">
        <f aca="false">IF(OR(AO$4="",MONTH(($G$2+18))&lt;&gt;MONTH($C$2)),"",IF(COUNTIFS(m_teacher,AO$4,m_date,($G$2+18),m_active,1,m_start,"&lt;"&amp;960,m_end,"&gt;"&amp;900)=0,"",IF(COUNTIFS(m_teacher,AO$4,m_date,($G$2+18),m_active,1,m_start,"&lt;"&amp;960,m_end,"&gt;"&amp;900)&gt;1,"충돌",HYPERLINK("#'관리자_MASTER'!D"&amp;_xlfn.MAXIFS(m_row,m_teacher,AO$4,m_date,($G$2+18),m_active,1,m_start,"&lt;"&amp;960,m_end,"&gt;"&amp;900),INDEX(m_label,_xlfn.MAXIFS(m_row,m_teacher,AO$4,m_date,($G$2+18),m_active,1,m_start,"&lt;"&amp;960,m_end,"&gt;"&amp;900))))))</f>
        <v/>
      </c>
      <c r="AP55" s="82" t="str">
        <f aca="false">IF(OR(AP$4="",MONTH(($G$2+18))&lt;&gt;MONTH($C$2)),"",IF(COUNTIFS(m_teacher,AP$4,m_date,($G$2+18),m_active,1,m_start,"&lt;"&amp;960,m_end,"&gt;"&amp;900)=0,"",IF(COUNTIFS(m_teacher,AP$4,m_date,($G$2+18),m_active,1,m_start,"&lt;"&amp;960,m_end,"&gt;"&amp;900)&gt;1,"충돌",HYPERLINK("#'관리자_MASTER'!D"&amp;_xlfn.MAXIFS(m_row,m_teacher,AP$4,m_date,($G$2+18),m_active,1,m_start,"&lt;"&amp;960,m_end,"&gt;"&amp;900),INDEX(m_label,_xlfn.MAXIFS(m_row,m_teacher,AP$4,m_date,($G$2+18),m_active,1,m_start,"&lt;"&amp;960,m_end,"&gt;"&amp;900))))))</f>
        <v/>
      </c>
      <c r="AQ55" s="78"/>
      <c r="AR55" s="79" t="s">
        <v>97</v>
      </c>
      <c r="AS55" s="82" t="str">
        <f aca="false">IF(OR(AS$4="",MONTH(($G$2+25))&lt;&gt;MONTH($C$2)),"",IF(COUNTIFS(m_teacher,AS$4,m_date,($G$2+25),m_active,1,m_start,"&lt;"&amp;960,m_end,"&gt;"&amp;900)=0,"",IF(COUNTIFS(m_teacher,AS$4,m_date,($G$2+25),m_active,1,m_start,"&lt;"&amp;960,m_end,"&gt;"&amp;900)&gt;1,"충돌",HYPERLINK("#'관리자_MASTER'!D"&amp;_xlfn.MAXIFS(m_row,m_teacher,AS$4,m_date,($G$2+25),m_active,1,m_start,"&lt;"&amp;960,m_end,"&gt;"&amp;900),INDEX(m_label,_xlfn.MAXIFS(m_row,m_teacher,AS$4,m_date,($G$2+25),m_active,1,m_start,"&lt;"&amp;960,m_end,"&gt;"&amp;900))))))</f>
        <v/>
      </c>
      <c r="AT55" s="82" t="str">
        <f aca="false">IF(OR(AT$4="",MONTH(($G$2+25))&lt;&gt;MONTH($C$2)),"",IF(COUNTIFS(m_teacher,AT$4,m_date,($G$2+25),m_active,1,m_start,"&lt;"&amp;960,m_end,"&gt;"&amp;900)=0,"",IF(COUNTIFS(m_teacher,AT$4,m_date,($G$2+25),m_active,1,m_start,"&lt;"&amp;960,m_end,"&gt;"&amp;900)&gt;1,"충돌",HYPERLINK("#'관리자_MASTER'!D"&amp;_xlfn.MAXIFS(m_row,m_teacher,AT$4,m_date,($G$2+25),m_active,1,m_start,"&lt;"&amp;960,m_end,"&gt;"&amp;900),INDEX(m_label,_xlfn.MAXIFS(m_row,m_teacher,AT$4,m_date,($G$2+25),m_active,1,m_start,"&lt;"&amp;960,m_end,"&gt;"&amp;900))))))</f>
        <v/>
      </c>
      <c r="AU55" s="82" t="str">
        <f aca="false">IF(OR(AU$4="",MONTH(($G$2+25))&lt;&gt;MONTH($C$2)),"",IF(COUNTIFS(m_teacher,AU$4,m_date,($G$2+25),m_active,1,m_start,"&lt;"&amp;960,m_end,"&gt;"&amp;900)=0,"",IF(COUNTIFS(m_teacher,AU$4,m_date,($G$2+25),m_active,1,m_start,"&lt;"&amp;960,m_end,"&gt;"&amp;900)&gt;1,"충돌",HYPERLINK("#'관리자_MASTER'!D"&amp;_xlfn.MAXIFS(m_row,m_teacher,AU$4,m_date,($G$2+25),m_active,1,m_start,"&lt;"&amp;960,m_end,"&gt;"&amp;900),INDEX(m_label,_xlfn.MAXIFS(m_row,m_teacher,AU$4,m_date,($G$2+25),m_active,1,m_start,"&lt;"&amp;960,m_end,"&gt;"&amp;900))))))</f>
        <v/>
      </c>
      <c r="AV55" s="82" t="str">
        <f aca="false">IF(OR(AV$4="",MONTH(($G$2+25))&lt;&gt;MONTH($C$2)),"",IF(COUNTIFS(m_teacher,AV$4,m_date,($G$2+25),m_active,1,m_start,"&lt;"&amp;960,m_end,"&gt;"&amp;900)=0,"",IF(COUNTIFS(m_teacher,AV$4,m_date,($G$2+25),m_active,1,m_start,"&lt;"&amp;960,m_end,"&gt;"&amp;900)&gt;1,"충돌",HYPERLINK("#'관리자_MASTER'!D"&amp;_xlfn.MAXIFS(m_row,m_teacher,AV$4,m_date,($G$2+25),m_active,1,m_start,"&lt;"&amp;960,m_end,"&gt;"&amp;900),INDEX(m_label,_xlfn.MAXIFS(m_row,m_teacher,AV$4,m_date,($G$2+25),m_active,1,m_start,"&lt;"&amp;960,m_end,"&gt;"&amp;900))))))</f>
        <v/>
      </c>
      <c r="AW55" s="82" t="str">
        <f aca="false">IF(OR(AW$4="",MONTH(($G$2+25))&lt;&gt;MONTH($C$2)),"",IF(COUNTIFS(m_teacher,AW$4,m_date,($G$2+25),m_active,1,m_start,"&lt;"&amp;960,m_end,"&gt;"&amp;900)=0,"",IF(COUNTIFS(m_teacher,AW$4,m_date,($G$2+25),m_active,1,m_start,"&lt;"&amp;960,m_end,"&gt;"&amp;900)&gt;1,"충돌",HYPERLINK("#'관리자_MASTER'!D"&amp;_xlfn.MAXIFS(m_row,m_teacher,AW$4,m_date,($G$2+25),m_active,1,m_start,"&lt;"&amp;960,m_end,"&gt;"&amp;900),INDEX(m_label,_xlfn.MAXIFS(m_row,m_teacher,AW$4,m_date,($G$2+25),m_active,1,m_start,"&lt;"&amp;960,m_end,"&gt;"&amp;900))))))</f>
        <v/>
      </c>
      <c r="AX55" s="82" t="str">
        <f aca="false">IF(OR(AX$4="",MONTH(($G$2+25))&lt;&gt;MONTH($C$2)),"",IF(COUNTIFS(m_teacher,AX$4,m_date,($G$2+25),m_active,1,m_start,"&lt;"&amp;960,m_end,"&gt;"&amp;900)=0,"",IF(COUNTIFS(m_teacher,AX$4,m_date,($G$2+25),m_active,1,m_start,"&lt;"&amp;960,m_end,"&gt;"&amp;900)&gt;1,"충돌",HYPERLINK("#'관리자_MASTER'!D"&amp;_xlfn.MAXIFS(m_row,m_teacher,AX$4,m_date,($G$2+25),m_active,1,m_start,"&lt;"&amp;960,m_end,"&gt;"&amp;900),INDEX(m_label,_xlfn.MAXIFS(m_row,m_teacher,AX$4,m_date,($G$2+25),m_active,1,m_start,"&lt;"&amp;960,m_end,"&gt;"&amp;900))))))</f>
        <v/>
      </c>
      <c r="AY55" s="82" t="str">
        <f aca="false">IF(OR(AY$4="",MONTH(($G$2+25))&lt;&gt;MONTH($C$2)),"",IF(COUNTIFS(m_teacher,AY$4,m_date,($G$2+25),m_active,1,m_start,"&lt;"&amp;960,m_end,"&gt;"&amp;900)=0,"",IF(COUNTIFS(m_teacher,AY$4,m_date,($G$2+25),m_active,1,m_start,"&lt;"&amp;960,m_end,"&gt;"&amp;900)&gt;1,"충돌",HYPERLINK("#'관리자_MASTER'!D"&amp;_xlfn.MAXIFS(m_row,m_teacher,AY$4,m_date,($G$2+25),m_active,1,m_start,"&lt;"&amp;960,m_end,"&gt;"&amp;900),INDEX(m_label,_xlfn.MAXIFS(m_row,m_teacher,AY$4,m_date,($G$2+25),m_active,1,m_start,"&lt;"&amp;960,m_end,"&gt;"&amp;900))))))</f>
        <v/>
      </c>
      <c r="AZ55" s="82" t="str">
        <f aca="false">IF(OR(AZ$4="",MONTH(($G$2+25))&lt;&gt;MONTH($C$2)),"",IF(COUNTIFS(m_teacher,AZ$4,m_date,($G$2+25),m_active,1,m_start,"&lt;"&amp;960,m_end,"&gt;"&amp;900)=0,"",IF(COUNTIFS(m_teacher,AZ$4,m_date,($G$2+25),m_active,1,m_start,"&lt;"&amp;960,m_end,"&gt;"&amp;900)&gt;1,"충돌",HYPERLINK("#'관리자_MASTER'!D"&amp;_xlfn.MAXIFS(m_row,m_teacher,AZ$4,m_date,($G$2+25),m_active,1,m_start,"&lt;"&amp;960,m_end,"&gt;"&amp;900),INDEX(m_label,_xlfn.MAXIFS(m_row,m_teacher,AZ$4,m_date,($G$2+25),m_active,1,m_start,"&lt;"&amp;960,m_end,"&gt;"&amp;900))))))</f>
        <v/>
      </c>
      <c r="BA55" s="82" t="str">
        <f aca="false">IF(OR(BA$4="",MONTH(($G$2+25))&lt;&gt;MONTH($C$2)),"",IF(COUNTIFS(m_teacher,BA$4,m_date,($G$2+25),m_active,1,m_start,"&lt;"&amp;960,m_end,"&gt;"&amp;900)=0,"",IF(COUNTIFS(m_teacher,BA$4,m_date,($G$2+25),m_active,1,m_start,"&lt;"&amp;960,m_end,"&gt;"&amp;900)&gt;1,"충돌",HYPERLINK("#'관리자_MASTER'!D"&amp;_xlfn.MAXIFS(m_row,m_teacher,BA$4,m_date,($G$2+25),m_active,1,m_start,"&lt;"&amp;960,m_end,"&gt;"&amp;900),INDEX(m_label,_xlfn.MAXIFS(m_row,m_teacher,BA$4,m_date,($G$2+25),m_active,1,m_start,"&lt;"&amp;960,m_end,"&gt;"&amp;900))))))</f>
        <v/>
      </c>
      <c r="BB55" s="82" t="str">
        <f aca="false">IF(OR(BB$4="",MONTH(($G$2+25))&lt;&gt;MONTH($C$2)),"",IF(COUNTIFS(m_teacher,BB$4,m_date,($G$2+25),m_active,1,m_start,"&lt;"&amp;960,m_end,"&gt;"&amp;900)=0,"",IF(COUNTIFS(m_teacher,BB$4,m_date,($G$2+25),m_active,1,m_start,"&lt;"&amp;960,m_end,"&gt;"&amp;900)&gt;1,"충돌",HYPERLINK("#'관리자_MASTER'!D"&amp;_xlfn.MAXIFS(m_row,m_teacher,BB$4,m_date,($G$2+25),m_active,1,m_start,"&lt;"&amp;960,m_end,"&gt;"&amp;900),INDEX(m_label,_xlfn.MAXIFS(m_row,m_teacher,BB$4,m_date,($G$2+25),m_active,1,m_start,"&lt;"&amp;960,m_end,"&gt;"&amp;900))))))</f>
        <v/>
      </c>
      <c r="BC55" s="82" t="str">
        <f aca="false">IF(OR(BC$4="",MONTH(($G$2+25))&lt;&gt;MONTH($C$2)),"",IF(COUNTIFS(m_teacher,BC$4,m_date,($G$2+25),m_active,1,m_start,"&lt;"&amp;960,m_end,"&gt;"&amp;900)=0,"",IF(COUNTIFS(m_teacher,BC$4,m_date,($G$2+25),m_active,1,m_start,"&lt;"&amp;960,m_end,"&gt;"&amp;900)&gt;1,"충돌",HYPERLINK("#'관리자_MASTER'!D"&amp;_xlfn.MAXIFS(m_row,m_teacher,BC$4,m_date,($G$2+25),m_active,1,m_start,"&lt;"&amp;960,m_end,"&gt;"&amp;900),INDEX(m_label,_xlfn.MAXIFS(m_row,m_teacher,BC$4,m_date,($G$2+25),m_active,1,m_start,"&lt;"&amp;960,m_end,"&gt;"&amp;900))))))</f>
        <v/>
      </c>
      <c r="BD55" s="82" t="str">
        <f aca="false">IF(OR(BD$4="",MONTH(($G$2+25))&lt;&gt;MONTH($C$2)),"",IF(COUNTIFS(m_teacher,BD$4,m_date,($G$2+25),m_active,1,m_start,"&lt;"&amp;960,m_end,"&gt;"&amp;900)=0,"",IF(COUNTIFS(m_teacher,BD$4,m_date,($G$2+25),m_active,1,m_start,"&lt;"&amp;960,m_end,"&gt;"&amp;900)&gt;1,"충돌",HYPERLINK("#'관리자_MASTER'!D"&amp;_xlfn.MAXIFS(m_row,m_teacher,BD$4,m_date,($G$2+25),m_active,1,m_start,"&lt;"&amp;960,m_end,"&gt;"&amp;900),INDEX(m_label,_xlfn.MAXIFS(m_row,m_teacher,BD$4,m_date,($G$2+25),m_active,1,m_start,"&lt;"&amp;960,m_end,"&gt;"&amp;900))))))</f>
        <v/>
      </c>
      <c r="BE55" s="78"/>
      <c r="BF55" s="79" t="s">
        <v>97</v>
      </c>
      <c r="BG55" s="82" t="str">
        <f aca="false">IF(OR(BG$4="",MONTH(($G$2+32))&lt;&gt;MONTH($C$2)),"",IF(COUNTIFS(m_teacher,BG$4,m_date,($G$2+32),m_active,1,m_start,"&lt;"&amp;960,m_end,"&gt;"&amp;900)=0,"",IF(COUNTIFS(m_teacher,BG$4,m_date,($G$2+32),m_active,1,m_start,"&lt;"&amp;960,m_end,"&gt;"&amp;900)&gt;1,"충돌",HYPERLINK("#'관리자_MASTER'!D"&amp;_xlfn.MAXIFS(m_row,m_teacher,BG$4,m_date,($G$2+32),m_active,1,m_start,"&lt;"&amp;960,m_end,"&gt;"&amp;900),INDEX(m_label,_xlfn.MAXIFS(m_row,m_teacher,BG$4,m_date,($G$2+32),m_active,1,m_start,"&lt;"&amp;960,m_end,"&gt;"&amp;900))))))</f>
        <v/>
      </c>
      <c r="BH55" s="82" t="str">
        <f aca="false">IF(OR(BH$4="",MONTH(($G$2+32))&lt;&gt;MONTH($C$2)),"",IF(COUNTIFS(m_teacher,BH$4,m_date,($G$2+32),m_active,1,m_start,"&lt;"&amp;960,m_end,"&gt;"&amp;900)=0,"",IF(COUNTIFS(m_teacher,BH$4,m_date,($G$2+32),m_active,1,m_start,"&lt;"&amp;960,m_end,"&gt;"&amp;900)&gt;1,"충돌",HYPERLINK("#'관리자_MASTER'!D"&amp;_xlfn.MAXIFS(m_row,m_teacher,BH$4,m_date,($G$2+32),m_active,1,m_start,"&lt;"&amp;960,m_end,"&gt;"&amp;900),INDEX(m_label,_xlfn.MAXIFS(m_row,m_teacher,BH$4,m_date,($G$2+32),m_active,1,m_start,"&lt;"&amp;960,m_end,"&gt;"&amp;900))))))</f>
        <v/>
      </c>
      <c r="BI55" s="82" t="str">
        <f aca="false">IF(OR(BI$4="",MONTH(($G$2+32))&lt;&gt;MONTH($C$2)),"",IF(COUNTIFS(m_teacher,BI$4,m_date,($G$2+32),m_active,1,m_start,"&lt;"&amp;960,m_end,"&gt;"&amp;900)=0,"",IF(COUNTIFS(m_teacher,BI$4,m_date,($G$2+32),m_active,1,m_start,"&lt;"&amp;960,m_end,"&gt;"&amp;900)&gt;1,"충돌",HYPERLINK("#'관리자_MASTER'!D"&amp;_xlfn.MAXIFS(m_row,m_teacher,BI$4,m_date,($G$2+32),m_active,1,m_start,"&lt;"&amp;960,m_end,"&gt;"&amp;900),INDEX(m_label,_xlfn.MAXIFS(m_row,m_teacher,BI$4,m_date,($G$2+32),m_active,1,m_start,"&lt;"&amp;960,m_end,"&gt;"&amp;900))))))</f>
        <v/>
      </c>
      <c r="BJ55" s="82" t="str">
        <f aca="false">IF(OR(BJ$4="",MONTH(($G$2+32))&lt;&gt;MONTH($C$2)),"",IF(COUNTIFS(m_teacher,BJ$4,m_date,($G$2+32),m_active,1,m_start,"&lt;"&amp;960,m_end,"&gt;"&amp;900)=0,"",IF(COUNTIFS(m_teacher,BJ$4,m_date,($G$2+32),m_active,1,m_start,"&lt;"&amp;960,m_end,"&gt;"&amp;900)&gt;1,"충돌",HYPERLINK("#'관리자_MASTER'!D"&amp;_xlfn.MAXIFS(m_row,m_teacher,BJ$4,m_date,($G$2+32),m_active,1,m_start,"&lt;"&amp;960,m_end,"&gt;"&amp;900),INDEX(m_label,_xlfn.MAXIFS(m_row,m_teacher,BJ$4,m_date,($G$2+32),m_active,1,m_start,"&lt;"&amp;960,m_end,"&gt;"&amp;900))))))</f>
        <v/>
      </c>
      <c r="BK55" s="82" t="str">
        <f aca="false">IF(OR(BK$4="",MONTH(($G$2+32))&lt;&gt;MONTH($C$2)),"",IF(COUNTIFS(m_teacher,BK$4,m_date,($G$2+32),m_active,1,m_start,"&lt;"&amp;960,m_end,"&gt;"&amp;900)=0,"",IF(COUNTIFS(m_teacher,BK$4,m_date,($G$2+32),m_active,1,m_start,"&lt;"&amp;960,m_end,"&gt;"&amp;900)&gt;1,"충돌",HYPERLINK("#'관리자_MASTER'!D"&amp;_xlfn.MAXIFS(m_row,m_teacher,BK$4,m_date,($G$2+32),m_active,1,m_start,"&lt;"&amp;960,m_end,"&gt;"&amp;900),INDEX(m_label,_xlfn.MAXIFS(m_row,m_teacher,BK$4,m_date,($G$2+32),m_active,1,m_start,"&lt;"&amp;960,m_end,"&gt;"&amp;900))))))</f>
        <v/>
      </c>
      <c r="BL55" s="82" t="str">
        <f aca="false">IF(OR(BL$4="",MONTH(($G$2+32))&lt;&gt;MONTH($C$2)),"",IF(COUNTIFS(m_teacher,BL$4,m_date,($G$2+32),m_active,1,m_start,"&lt;"&amp;960,m_end,"&gt;"&amp;900)=0,"",IF(COUNTIFS(m_teacher,BL$4,m_date,($G$2+32),m_active,1,m_start,"&lt;"&amp;960,m_end,"&gt;"&amp;900)&gt;1,"충돌",HYPERLINK("#'관리자_MASTER'!D"&amp;_xlfn.MAXIFS(m_row,m_teacher,BL$4,m_date,($G$2+32),m_active,1,m_start,"&lt;"&amp;960,m_end,"&gt;"&amp;900),INDEX(m_label,_xlfn.MAXIFS(m_row,m_teacher,BL$4,m_date,($G$2+32),m_active,1,m_start,"&lt;"&amp;960,m_end,"&gt;"&amp;900))))))</f>
        <v/>
      </c>
      <c r="BM55" s="82" t="str">
        <f aca="false">IF(OR(BM$4="",MONTH(($G$2+32))&lt;&gt;MONTH($C$2)),"",IF(COUNTIFS(m_teacher,BM$4,m_date,($G$2+32),m_active,1,m_start,"&lt;"&amp;960,m_end,"&gt;"&amp;900)=0,"",IF(COUNTIFS(m_teacher,BM$4,m_date,($G$2+32),m_active,1,m_start,"&lt;"&amp;960,m_end,"&gt;"&amp;900)&gt;1,"충돌",HYPERLINK("#'관리자_MASTER'!D"&amp;_xlfn.MAXIFS(m_row,m_teacher,BM$4,m_date,($G$2+32),m_active,1,m_start,"&lt;"&amp;960,m_end,"&gt;"&amp;900),INDEX(m_label,_xlfn.MAXIFS(m_row,m_teacher,BM$4,m_date,($G$2+32),m_active,1,m_start,"&lt;"&amp;960,m_end,"&gt;"&amp;900))))))</f>
        <v/>
      </c>
      <c r="BN55" s="82" t="str">
        <f aca="false">IF(OR(BN$4="",MONTH(($G$2+32))&lt;&gt;MONTH($C$2)),"",IF(COUNTIFS(m_teacher,BN$4,m_date,($G$2+32),m_active,1,m_start,"&lt;"&amp;960,m_end,"&gt;"&amp;900)=0,"",IF(COUNTIFS(m_teacher,BN$4,m_date,($G$2+32),m_active,1,m_start,"&lt;"&amp;960,m_end,"&gt;"&amp;900)&gt;1,"충돌",HYPERLINK("#'관리자_MASTER'!D"&amp;_xlfn.MAXIFS(m_row,m_teacher,BN$4,m_date,($G$2+32),m_active,1,m_start,"&lt;"&amp;960,m_end,"&gt;"&amp;900),INDEX(m_label,_xlfn.MAXIFS(m_row,m_teacher,BN$4,m_date,($G$2+32),m_active,1,m_start,"&lt;"&amp;960,m_end,"&gt;"&amp;900))))))</f>
        <v/>
      </c>
      <c r="BO55" s="82" t="str">
        <f aca="false">IF(OR(BO$4="",MONTH(($G$2+32))&lt;&gt;MONTH($C$2)),"",IF(COUNTIFS(m_teacher,BO$4,m_date,($G$2+32),m_active,1,m_start,"&lt;"&amp;960,m_end,"&gt;"&amp;900)=0,"",IF(COUNTIFS(m_teacher,BO$4,m_date,($G$2+32),m_active,1,m_start,"&lt;"&amp;960,m_end,"&gt;"&amp;900)&gt;1,"충돌",HYPERLINK("#'관리자_MASTER'!D"&amp;_xlfn.MAXIFS(m_row,m_teacher,BO$4,m_date,($G$2+32),m_active,1,m_start,"&lt;"&amp;960,m_end,"&gt;"&amp;900),INDEX(m_label,_xlfn.MAXIFS(m_row,m_teacher,BO$4,m_date,($G$2+32),m_active,1,m_start,"&lt;"&amp;960,m_end,"&gt;"&amp;900))))))</f>
        <v/>
      </c>
      <c r="BP55" s="82" t="str">
        <f aca="false">IF(OR(BP$4="",MONTH(($G$2+32))&lt;&gt;MONTH($C$2)),"",IF(COUNTIFS(m_teacher,BP$4,m_date,($G$2+32),m_active,1,m_start,"&lt;"&amp;960,m_end,"&gt;"&amp;900)=0,"",IF(COUNTIFS(m_teacher,BP$4,m_date,($G$2+32),m_active,1,m_start,"&lt;"&amp;960,m_end,"&gt;"&amp;900)&gt;1,"충돌",HYPERLINK("#'관리자_MASTER'!D"&amp;_xlfn.MAXIFS(m_row,m_teacher,BP$4,m_date,($G$2+32),m_active,1,m_start,"&lt;"&amp;960,m_end,"&gt;"&amp;900),INDEX(m_label,_xlfn.MAXIFS(m_row,m_teacher,BP$4,m_date,($G$2+32),m_active,1,m_start,"&lt;"&amp;960,m_end,"&gt;"&amp;900))))))</f>
        <v/>
      </c>
      <c r="BQ55" s="82" t="str">
        <f aca="false">IF(OR(BQ$4="",MONTH(($G$2+32))&lt;&gt;MONTH($C$2)),"",IF(COUNTIFS(m_teacher,BQ$4,m_date,($G$2+32),m_active,1,m_start,"&lt;"&amp;960,m_end,"&gt;"&amp;900)=0,"",IF(COUNTIFS(m_teacher,BQ$4,m_date,($G$2+32),m_active,1,m_start,"&lt;"&amp;960,m_end,"&gt;"&amp;900)&gt;1,"충돌",HYPERLINK("#'관리자_MASTER'!D"&amp;_xlfn.MAXIFS(m_row,m_teacher,BQ$4,m_date,($G$2+32),m_active,1,m_start,"&lt;"&amp;960,m_end,"&gt;"&amp;900),INDEX(m_label,_xlfn.MAXIFS(m_row,m_teacher,BQ$4,m_date,($G$2+32),m_active,1,m_start,"&lt;"&amp;960,m_end,"&gt;"&amp;900))))))</f>
        <v/>
      </c>
      <c r="BR55" s="82" t="str">
        <f aca="false">IF(OR(BR$4="",MONTH(($G$2+32))&lt;&gt;MONTH($C$2)),"",IF(COUNTIFS(m_teacher,BR$4,m_date,($G$2+32),m_active,1,m_start,"&lt;"&amp;960,m_end,"&gt;"&amp;900)=0,"",IF(COUNTIFS(m_teacher,BR$4,m_date,($G$2+32),m_active,1,m_start,"&lt;"&amp;960,m_end,"&gt;"&amp;900)&gt;1,"충돌",HYPERLINK("#'관리자_MASTER'!D"&amp;_xlfn.MAXIFS(m_row,m_teacher,BR$4,m_date,($G$2+32),m_active,1,m_start,"&lt;"&amp;960,m_end,"&gt;"&amp;900),INDEX(m_label,_xlfn.MAXIFS(m_row,m_teacher,BR$4,m_date,($G$2+32),m_active,1,m_start,"&lt;"&amp;960,m_end,"&gt;"&amp;900))))))</f>
        <v/>
      </c>
    </row>
    <row r="56" customFormat="false" ht="19.5" hidden="false" customHeight="true" outlineLevel="0" collapsed="false">
      <c r="A56" s="78"/>
      <c r="B56" s="79" t="s">
        <v>98</v>
      </c>
      <c r="C56" s="82" t="str">
        <f aca="false">IF(OR(C$4="",MONTH(($G$2+4))&lt;&gt;MONTH($C$2)),"",IF(COUNTIFS(m_teacher,C$4,m_date,($G$2+4),m_active,1,m_start,"&lt;"&amp;1020,m_end,"&gt;"&amp;960)=0,"",IF(COUNTIFS(m_teacher,C$4,m_date,($G$2+4),m_active,1,m_start,"&lt;"&amp;1020,m_end,"&gt;"&amp;960)&gt;1,"충돌",HYPERLINK("#'관리자_MASTER'!D"&amp;_xlfn.MAXIFS(m_row,m_teacher,C$4,m_date,($G$2+4),m_active,1,m_start,"&lt;"&amp;1020,m_end,"&gt;"&amp;960),INDEX(m_label,_xlfn.MAXIFS(m_row,m_teacher,C$4,m_date,($G$2+4),m_active,1,m_start,"&lt;"&amp;1020,m_end,"&gt;"&amp;960))))))</f>
        <v/>
      </c>
      <c r="D56" s="82" t="str">
        <f aca="false">IF(OR(D$4="",MONTH(($G$2+4))&lt;&gt;MONTH($C$2)),"",IF(COUNTIFS(m_teacher,D$4,m_date,($G$2+4),m_active,1,m_start,"&lt;"&amp;1020,m_end,"&gt;"&amp;960)=0,"",IF(COUNTIFS(m_teacher,D$4,m_date,($G$2+4),m_active,1,m_start,"&lt;"&amp;1020,m_end,"&gt;"&amp;960)&gt;1,"충돌",HYPERLINK("#'관리자_MASTER'!D"&amp;_xlfn.MAXIFS(m_row,m_teacher,D$4,m_date,($G$2+4),m_active,1,m_start,"&lt;"&amp;1020,m_end,"&gt;"&amp;960),INDEX(m_label,_xlfn.MAXIFS(m_row,m_teacher,D$4,m_date,($G$2+4),m_active,1,m_start,"&lt;"&amp;1020,m_end,"&gt;"&amp;960))))))</f>
        <v/>
      </c>
      <c r="E56" s="82" t="str">
        <f aca="false">IF(OR(E$4="",MONTH(($G$2+4))&lt;&gt;MONTH($C$2)),"",IF(COUNTIFS(m_teacher,E$4,m_date,($G$2+4),m_active,1,m_start,"&lt;"&amp;1020,m_end,"&gt;"&amp;960)=0,"",IF(COUNTIFS(m_teacher,E$4,m_date,($G$2+4),m_active,1,m_start,"&lt;"&amp;1020,m_end,"&gt;"&amp;960)&gt;1,"충돌",HYPERLINK("#'관리자_MASTER'!D"&amp;_xlfn.MAXIFS(m_row,m_teacher,E$4,m_date,($G$2+4),m_active,1,m_start,"&lt;"&amp;1020,m_end,"&gt;"&amp;960),INDEX(m_label,_xlfn.MAXIFS(m_row,m_teacher,E$4,m_date,($G$2+4),m_active,1,m_start,"&lt;"&amp;1020,m_end,"&gt;"&amp;960))))))</f>
        <v/>
      </c>
      <c r="F56" s="82" t="str">
        <f aca="false">IF(OR(F$4="",MONTH(($G$2+4))&lt;&gt;MONTH($C$2)),"",IF(COUNTIFS(m_teacher,F$4,m_date,($G$2+4),m_active,1,m_start,"&lt;"&amp;1020,m_end,"&gt;"&amp;960)=0,"",IF(COUNTIFS(m_teacher,F$4,m_date,($G$2+4),m_active,1,m_start,"&lt;"&amp;1020,m_end,"&gt;"&amp;960)&gt;1,"충돌",HYPERLINK("#'관리자_MASTER'!D"&amp;_xlfn.MAXIFS(m_row,m_teacher,F$4,m_date,($G$2+4),m_active,1,m_start,"&lt;"&amp;1020,m_end,"&gt;"&amp;960),INDEX(m_label,_xlfn.MAXIFS(m_row,m_teacher,F$4,m_date,($G$2+4),m_active,1,m_start,"&lt;"&amp;1020,m_end,"&gt;"&amp;960))))))</f>
        <v/>
      </c>
      <c r="G56" s="82" t="str">
        <f aca="false">IF(OR(G$4="",MONTH(($G$2+4))&lt;&gt;MONTH($C$2)),"",IF(COUNTIFS(m_teacher,G$4,m_date,($G$2+4),m_active,1,m_start,"&lt;"&amp;1020,m_end,"&gt;"&amp;960)=0,"",IF(COUNTIFS(m_teacher,G$4,m_date,($G$2+4),m_active,1,m_start,"&lt;"&amp;1020,m_end,"&gt;"&amp;960)&gt;1,"충돌",HYPERLINK("#'관리자_MASTER'!D"&amp;_xlfn.MAXIFS(m_row,m_teacher,G$4,m_date,($G$2+4),m_active,1,m_start,"&lt;"&amp;1020,m_end,"&gt;"&amp;960),INDEX(m_label,_xlfn.MAXIFS(m_row,m_teacher,G$4,m_date,($G$2+4),m_active,1,m_start,"&lt;"&amp;1020,m_end,"&gt;"&amp;960))))))</f>
        <v/>
      </c>
      <c r="H56" s="82" t="str">
        <f aca="false">IF(OR(H$4="",MONTH(($G$2+4))&lt;&gt;MONTH($C$2)),"",IF(COUNTIFS(m_teacher,H$4,m_date,($G$2+4),m_active,1,m_start,"&lt;"&amp;1020,m_end,"&gt;"&amp;960)=0,"",IF(COUNTIFS(m_teacher,H$4,m_date,($G$2+4),m_active,1,m_start,"&lt;"&amp;1020,m_end,"&gt;"&amp;960)&gt;1,"충돌",HYPERLINK("#'관리자_MASTER'!D"&amp;_xlfn.MAXIFS(m_row,m_teacher,H$4,m_date,($G$2+4),m_active,1,m_start,"&lt;"&amp;1020,m_end,"&gt;"&amp;960),INDEX(m_label,_xlfn.MAXIFS(m_row,m_teacher,H$4,m_date,($G$2+4),m_active,1,m_start,"&lt;"&amp;1020,m_end,"&gt;"&amp;960))))))</f>
        <v/>
      </c>
      <c r="I56" s="82" t="str">
        <f aca="false">IF(OR(I$4="",MONTH(($G$2+4))&lt;&gt;MONTH($C$2)),"",IF(COUNTIFS(m_teacher,I$4,m_date,($G$2+4),m_active,1,m_start,"&lt;"&amp;1020,m_end,"&gt;"&amp;960)=0,"",IF(COUNTIFS(m_teacher,I$4,m_date,($G$2+4),m_active,1,m_start,"&lt;"&amp;1020,m_end,"&gt;"&amp;960)&gt;1,"충돌",HYPERLINK("#'관리자_MASTER'!D"&amp;_xlfn.MAXIFS(m_row,m_teacher,I$4,m_date,($G$2+4),m_active,1,m_start,"&lt;"&amp;1020,m_end,"&gt;"&amp;960),INDEX(m_label,_xlfn.MAXIFS(m_row,m_teacher,I$4,m_date,($G$2+4),m_active,1,m_start,"&lt;"&amp;1020,m_end,"&gt;"&amp;960))))))</f>
        <v/>
      </c>
      <c r="J56" s="82" t="str">
        <f aca="false">IF(OR(J$4="",MONTH(($G$2+4))&lt;&gt;MONTH($C$2)),"",IF(COUNTIFS(m_teacher,J$4,m_date,($G$2+4),m_active,1,m_start,"&lt;"&amp;1020,m_end,"&gt;"&amp;960)=0,"",IF(COUNTIFS(m_teacher,J$4,m_date,($G$2+4),m_active,1,m_start,"&lt;"&amp;1020,m_end,"&gt;"&amp;960)&gt;1,"충돌",HYPERLINK("#'관리자_MASTER'!D"&amp;_xlfn.MAXIFS(m_row,m_teacher,J$4,m_date,($G$2+4),m_active,1,m_start,"&lt;"&amp;1020,m_end,"&gt;"&amp;960),INDEX(m_label,_xlfn.MAXIFS(m_row,m_teacher,J$4,m_date,($G$2+4),m_active,1,m_start,"&lt;"&amp;1020,m_end,"&gt;"&amp;960))))))</f>
        <v/>
      </c>
      <c r="K56" s="82" t="str">
        <f aca="false">IF(OR(K$4="",MONTH(($G$2+4))&lt;&gt;MONTH($C$2)),"",IF(COUNTIFS(m_teacher,K$4,m_date,($G$2+4),m_active,1,m_start,"&lt;"&amp;1020,m_end,"&gt;"&amp;960)=0,"",IF(COUNTIFS(m_teacher,K$4,m_date,($G$2+4),m_active,1,m_start,"&lt;"&amp;1020,m_end,"&gt;"&amp;960)&gt;1,"충돌",HYPERLINK("#'관리자_MASTER'!D"&amp;_xlfn.MAXIFS(m_row,m_teacher,K$4,m_date,($G$2+4),m_active,1,m_start,"&lt;"&amp;1020,m_end,"&gt;"&amp;960),INDEX(m_label,_xlfn.MAXIFS(m_row,m_teacher,K$4,m_date,($G$2+4),m_active,1,m_start,"&lt;"&amp;1020,m_end,"&gt;"&amp;960))))))</f>
        <v/>
      </c>
      <c r="L56" s="82" t="str">
        <f aca="false">IF(OR(L$4="",MONTH(($G$2+4))&lt;&gt;MONTH($C$2)),"",IF(COUNTIFS(m_teacher,L$4,m_date,($G$2+4),m_active,1,m_start,"&lt;"&amp;1020,m_end,"&gt;"&amp;960)=0,"",IF(COUNTIFS(m_teacher,L$4,m_date,($G$2+4),m_active,1,m_start,"&lt;"&amp;1020,m_end,"&gt;"&amp;960)&gt;1,"충돌",HYPERLINK("#'관리자_MASTER'!D"&amp;_xlfn.MAXIFS(m_row,m_teacher,L$4,m_date,($G$2+4),m_active,1,m_start,"&lt;"&amp;1020,m_end,"&gt;"&amp;960),INDEX(m_label,_xlfn.MAXIFS(m_row,m_teacher,L$4,m_date,($G$2+4),m_active,1,m_start,"&lt;"&amp;1020,m_end,"&gt;"&amp;960))))))</f>
        <v/>
      </c>
      <c r="M56" s="82" t="str">
        <f aca="false">IF(OR(M$4="",MONTH(($G$2+4))&lt;&gt;MONTH($C$2)),"",IF(COUNTIFS(m_teacher,M$4,m_date,($G$2+4),m_active,1,m_start,"&lt;"&amp;1020,m_end,"&gt;"&amp;960)=0,"",IF(COUNTIFS(m_teacher,M$4,m_date,($G$2+4),m_active,1,m_start,"&lt;"&amp;1020,m_end,"&gt;"&amp;960)&gt;1,"충돌",HYPERLINK("#'관리자_MASTER'!D"&amp;_xlfn.MAXIFS(m_row,m_teacher,M$4,m_date,($G$2+4),m_active,1,m_start,"&lt;"&amp;1020,m_end,"&gt;"&amp;960),INDEX(m_label,_xlfn.MAXIFS(m_row,m_teacher,M$4,m_date,($G$2+4),m_active,1,m_start,"&lt;"&amp;1020,m_end,"&gt;"&amp;960))))))</f>
        <v/>
      </c>
      <c r="N56" s="82" t="str">
        <f aca="false">IF(OR(N$4="",MONTH(($G$2+4))&lt;&gt;MONTH($C$2)),"",IF(COUNTIFS(m_teacher,N$4,m_date,($G$2+4),m_active,1,m_start,"&lt;"&amp;1020,m_end,"&gt;"&amp;960)=0,"",IF(COUNTIFS(m_teacher,N$4,m_date,($G$2+4),m_active,1,m_start,"&lt;"&amp;1020,m_end,"&gt;"&amp;960)&gt;1,"충돌",HYPERLINK("#'관리자_MASTER'!D"&amp;_xlfn.MAXIFS(m_row,m_teacher,N$4,m_date,($G$2+4),m_active,1,m_start,"&lt;"&amp;1020,m_end,"&gt;"&amp;960),INDEX(m_label,_xlfn.MAXIFS(m_row,m_teacher,N$4,m_date,($G$2+4),m_active,1,m_start,"&lt;"&amp;1020,m_end,"&gt;"&amp;960))))))</f>
        <v/>
      </c>
      <c r="O56" s="78"/>
      <c r="P56" s="79" t="s">
        <v>98</v>
      </c>
      <c r="Q56" s="82" t="str">
        <f aca="false">IF(OR(Q$4="",MONTH(($G$2+11))&lt;&gt;MONTH($C$2)),"",IF(COUNTIFS(m_teacher,Q$4,m_date,($G$2+11),m_active,1,m_start,"&lt;"&amp;1020,m_end,"&gt;"&amp;960)=0,"",IF(COUNTIFS(m_teacher,Q$4,m_date,($G$2+11),m_active,1,m_start,"&lt;"&amp;1020,m_end,"&gt;"&amp;960)&gt;1,"충돌",HYPERLINK("#'관리자_MASTER'!D"&amp;_xlfn.MAXIFS(m_row,m_teacher,Q$4,m_date,($G$2+11),m_active,1,m_start,"&lt;"&amp;1020,m_end,"&gt;"&amp;960),INDEX(m_label,_xlfn.MAXIFS(m_row,m_teacher,Q$4,m_date,($G$2+11),m_active,1,m_start,"&lt;"&amp;1020,m_end,"&gt;"&amp;960))))))</f>
        <v/>
      </c>
      <c r="R56" s="82" t="str">
        <f aca="false">IF(OR(R$4="",MONTH(($G$2+11))&lt;&gt;MONTH($C$2)),"",IF(COUNTIFS(m_teacher,R$4,m_date,($G$2+11),m_active,1,m_start,"&lt;"&amp;1020,m_end,"&gt;"&amp;960)=0,"",IF(COUNTIFS(m_teacher,R$4,m_date,($G$2+11),m_active,1,m_start,"&lt;"&amp;1020,m_end,"&gt;"&amp;960)&gt;1,"충돌",HYPERLINK("#'관리자_MASTER'!D"&amp;_xlfn.MAXIFS(m_row,m_teacher,R$4,m_date,($G$2+11),m_active,1,m_start,"&lt;"&amp;1020,m_end,"&gt;"&amp;960),INDEX(m_label,_xlfn.MAXIFS(m_row,m_teacher,R$4,m_date,($G$2+11),m_active,1,m_start,"&lt;"&amp;1020,m_end,"&gt;"&amp;960))))))</f>
        <v/>
      </c>
      <c r="S56" s="82" t="str">
        <f aca="false">IF(OR(S$4="",MONTH(($G$2+11))&lt;&gt;MONTH($C$2)),"",IF(COUNTIFS(m_teacher,S$4,m_date,($G$2+11),m_active,1,m_start,"&lt;"&amp;1020,m_end,"&gt;"&amp;960)=0,"",IF(COUNTIFS(m_teacher,S$4,m_date,($G$2+11),m_active,1,m_start,"&lt;"&amp;1020,m_end,"&gt;"&amp;960)&gt;1,"충돌",HYPERLINK("#'관리자_MASTER'!D"&amp;_xlfn.MAXIFS(m_row,m_teacher,S$4,m_date,($G$2+11),m_active,1,m_start,"&lt;"&amp;1020,m_end,"&gt;"&amp;960),INDEX(m_label,_xlfn.MAXIFS(m_row,m_teacher,S$4,m_date,($G$2+11),m_active,1,m_start,"&lt;"&amp;1020,m_end,"&gt;"&amp;960))))))</f>
        <v/>
      </c>
      <c r="T56" s="82" t="str">
        <f aca="false">IF(OR(T$4="",MONTH(($G$2+11))&lt;&gt;MONTH($C$2)),"",IF(COUNTIFS(m_teacher,T$4,m_date,($G$2+11),m_active,1,m_start,"&lt;"&amp;1020,m_end,"&gt;"&amp;960)=0,"",IF(COUNTIFS(m_teacher,T$4,m_date,($G$2+11),m_active,1,m_start,"&lt;"&amp;1020,m_end,"&gt;"&amp;960)&gt;1,"충돌",HYPERLINK("#'관리자_MASTER'!D"&amp;_xlfn.MAXIFS(m_row,m_teacher,T$4,m_date,($G$2+11),m_active,1,m_start,"&lt;"&amp;1020,m_end,"&gt;"&amp;960),INDEX(m_label,_xlfn.MAXIFS(m_row,m_teacher,T$4,m_date,($G$2+11),m_active,1,m_start,"&lt;"&amp;1020,m_end,"&gt;"&amp;960))))))</f>
        <v/>
      </c>
      <c r="U56" s="82" t="str">
        <f aca="false">IF(OR(U$4="",MONTH(($G$2+11))&lt;&gt;MONTH($C$2)),"",IF(COUNTIFS(m_teacher,U$4,m_date,($G$2+11),m_active,1,m_start,"&lt;"&amp;1020,m_end,"&gt;"&amp;960)=0,"",IF(COUNTIFS(m_teacher,U$4,m_date,($G$2+11),m_active,1,m_start,"&lt;"&amp;1020,m_end,"&gt;"&amp;960)&gt;1,"충돌",HYPERLINK("#'관리자_MASTER'!D"&amp;_xlfn.MAXIFS(m_row,m_teacher,U$4,m_date,($G$2+11),m_active,1,m_start,"&lt;"&amp;1020,m_end,"&gt;"&amp;960),INDEX(m_label,_xlfn.MAXIFS(m_row,m_teacher,U$4,m_date,($G$2+11),m_active,1,m_start,"&lt;"&amp;1020,m_end,"&gt;"&amp;960))))))</f>
        <v/>
      </c>
      <c r="V56" s="82" t="str">
        <f aca="false">IF(OR(V$4="",MONTH(($G$2+11))&lt;&gt;MONTH($C$2)),"",IF(COUNTIFS(m_teacher,V$4,m_date,($G$2+11),m_active,1,m_start,"&lt;"&amp;1020,m_end,"&gt;"&amp;960)=0,"",IF(COUNTIFS(m_teacher,V$4,m_date,($G$2+11),m_active,1,m_start,"&lt;"&amp;1020,m_end,"&gt;"&amp;960)&gt;1,"충돌",HYPERLINK("#'관리자_MASTER'!D"&amp;_xlfn.MAXIFS(m_row,m_teacher,V$4,m_date,($G$2+11),m_active,1,m_start,"&lt;"&amp;1020,m_end,"&gt;"&amp;960),INDEX(m_label,_xlfn.MAXIFS(m_row,m_teacher,V$4,m_date,($G$2+11),m_active,1,m_start,"&lt;"&amp;1020,m_end,"&gt;"&amp;960))))))</f>
        <v/>
      </c>
      <c r="W56" s="82" t="str">
        <f aca="false">IF(OR(W$4="",MONTH(($G$2+11))&lt;&gt;MONTH($C$2)),"",IF(COUNTIFS(m_teacher,W$4,m_date,($G$2+11),m_active,1,m_start,"&lt;"&amp;1020,m_end,"&gt;"&amp;960)=0,"",IF(COUNTIFS(m_teacher,W$4,m_date,($G$2+11),m_active,1,m_start,"&lt;"&amp;1020,m_end,"&gt;"&amp;960)&gt;1,"충돌",HYPERLINK("#'관리자_MASTER'!D"&amp;_xlfn.MAXIFS(m_row,m_teacher,W$4,m_date,($G$2+11),m_active,1,m_start,"&lt;"&amp;1020,m_end,"&gt;"&amp;960),INDEX(m_label,_xlfn.MAXIFS(m_row,m_teacher,W$4,m_date,($G$2+11),m_active,1,m_start,"&lt;"&amp;1020,m_end,"&gt;"&amp;960))))))</f>
        <v/>
      </c>
      <c r="X56" s="82" t="str">
        <f aca="false">IF(OR(X$4="",MONTH(($G$2+11))&lt;&gt;MONTH($C$2)),"",IF(COUNTIFS(m_teacher,X$4,m_date,($G$2+11),m_active,1,m_start,"&lt;"&amp;1020,m_end,"&gt;"&amp;960)=0,"",IF(COUNTIFS(m_teacher,X$4,m_date,($G$2+11),m_active,1,m_start,"&lt;"&amp;1020,m_end,"&gt;"&amp;960)&gt;1,"충돌",HYPERLINK("#'관리자_MASTER'!D"&amp;_xlfn.MAXIFS(m_row,m_teacher,X$4,m_date,($G$2+11),m_active,1,m_start,"&lt;"&amp;1020,m_end,"&gt;"&amp;960),INDEX(m_label,_xlfn.MAXIFS(m_row,m_teacher,X$4,m_date,($G$2+11),m_active,1,m_start,"&lt;"&amp;1020,m_end,"&gt;"&amp;960))))))</f>
        <v/>
      </c>
      <c r="Y56" s="82" t="str">
        <f aca="false">IF(OR(Y$4="",MONTH(($G$2+11))&lt;&gt;MONTH($C$2)),"",IF(COUNTIFS(m_teacher,Y$4,m_date,($G$2+11),m_active,1,m_start,"&lt;"&amp;1020,m_end,"&gt;"&amp;960)=0,"",IF(COUNTIFS(m_teacher,Y$4,m_date,($G$2+11),m_active,1,m_start,"&lt;"&amp;1020,m_end,"&gt;"&amp;960)&gt;1,"충돌",HYPERLINK("#'관리자_MASTER'!D"&amp;_xlfn.MAXIFS(m_row,m_teacher,Y$4,m_date,($G$2+11),m_active,1,m_start,"&lt;"&amp;1020,m_end,"&gt;"&amp;960),INDEX(m_label,_xlfn.MAXIFS(m_row,m_teacher,Y$4,m_date,($G$2+11),m_active,1,m_start,"&lt;"&amp;1020,m_end,"&gt;"&amp;960))))))</f>
        <v/>
      </c>
      <c r="Z56" s="82" t="str">
        <f aca="false">IF(OR(Z$4="",MONTH(($G$2+11))&lt;&gt;MONTH($C$2)),"",IF(COUNTIFS(m_teacher,Z$4,m_date,($G$2+11),m_active,1,m_start,"&lt;"&amp;1020,m_end,"&gt;"&amp;960)=0,"",IF(COUNTIFS(m_teacher,Z$4,m_date,($G$2+11),m_active,1,m_start,"&lt;"&amp;1020,m_end,"&gt;"&amp;960)&gt;1,"충돌",HYPERLINK("#'관리자_MASTER'!D"&amp;_xlfn.MAXIFS(m_row,m_teacher,Z$4,m_date,($G$2+11),m_active,1,m_start,"&lt;"&amp;1020,m_end,"&gt;"&amp;960),INDEX(m_label,_xlfn.MAXIFS(m_row,m_teacher,Z$4,m_date,($G$2+11),m_active,1,m_start,"&lt;"&amp;1020,m_end,"&gt;"&amp;960))))))</f>
        <v/>
      </c>
      <c r="AA56" s="82" t="str">
        <f aca="false">IF(OR(AA$4="",MONTH(($G$2+11))&lt;&gt;MONTH($C$2)),"",IF(COUNTIFS(m_teacher,AA$4,m_date,($G$2+11),m_active,1,m_start,"&lt;"&amp;1020,m_end,"&gt;"&amp;960)=0,"",IF(COUNTIFS(m_teacher,AA$4,m_date,($G$2+11),m_active,1,m_start,"&lt;"&amp;1020,m_end,"&gt;"&amp;960)&gt;1,"충돌",HYPERLINK("#'관리자_MASTER'!D"&amp;_xlfn.MAXIFS(m_row,m_teacher,AA$4,m_date,($G$2+11),m_active,1,m_start,"&lt;"&amp;1020,m_end,"&gt;"&amp;960),INDEX(m_label,_xlfn.MAXIFS(m_row,m_teacher,AA$4,m_date,($G$2+11),m_active,1,m_start,"&lt;"&amp;1020,m_end,"&gt;"&amp;960))))))</f>
        <v/>
      </c>
      <c r="AB56" s="82" t="str">
        <f aca="false">IF(OR(AB$4="",MONTH(($G$2+11))&lt;&gt;MONTH($C$2)),"",IF(COUNTIFS(m_teacher,AB$4,m_date,($G$2+11),m_active,1,m_start,"&lt;"&amp;1020,m_end,"&gt;"&amp;960)=0,"",IF(COUNTIFS(m_teacher,AB$4,m_date,($G$2+11),m_active,1,m_start,"&lt;"&amp;1020,m_end,"&gt;"&amp;960)&gt;1,"충돌",HYPERLINK("#'관리자_MASTER'!D"&amp;_xlfn.MAXIFS(m_row,m_teacher,AB$4,m_date,($G$2+11),m_active,1,m_start,"&lt;"&amp;1020,m_end,"&gt;"&amp;960),INDEX(m_label,_xlfn.MAXIFS(m_row,m_teacher,AB$4,m_date,($G$2+11),m_active,1,m_start,"&lt;"&amp;1020,m_end,"&gt;"&amp;960))))))</f>
        <v/>
      </c>
      <c r="AC56" s="78"/>
      <c r="AD56" s="79" t="s">
        <v>98</v>
      </c>
      <c r="AE56" s="82" t="str">
        <f aca="false">IF(OR(AE$4="",MONTH(($G$2+18))&lt;&gt;MONTH($C$2)),"",IF(COUNTIFS(m_teacher,AE$4,m_date,($G$2+18),m_active,1,m_start,"&lt;"&amp;1020,m_end,"&gt;"&amp;960)=0,"",IF(COUNTIFS(m_teacher,AE$4,m_date,($G$2+18),m_active,1,m_start,"&lt;"&amp;1020,m_end,"&gt;"&amp;960)&gt;1,"충돌",HYPERLINK("#'관리자_MASTER'!D"&amp;_xlfn.MAXIFS(m_row,m_teacher,AE$4,m_date,($G$2+18),m_active,1,m_start,"&lt;"&amp;1020,m_end,"&gt;"&amp;960),INDEX(m_label,_xlfn.MAXIFS(m_row,m_teacher,AE$4,m_date,($G$2+18),m_active,1,m_start,"&lt;"&amp;1020,m_end,"&gt;"&amp;960))))))</f>
        <v/>
      </c>
      <c r="AF56" s="82" t="str">
        <f aca="false">IF(OR(AF$4="",MONTH(($G$2+18))&lt;&gt;MONTH($C$2)),"",IF(COUNTIFS(m_teacher,AF$4,m_date,($G$2+18),m_active,1,m_start,"&lt;"&amp;1020,m_end,"&gt;"&amp;960)=0,"",IF(COUNTIFS(m_teacher,AF$4,m_date,($G$2+18),m_active,1,m_start,"&lt;"&amp;1020,m_end,"&gt;"&amp;960)&gt;1,"충돌",HYPERLINK("#'관리자_MASTER'!D"&amp;_xlfn.MAXIFS(m_row,m_teacher,AF$4,m_date,($G$2+18),m_active,1,m_start,"&lt;"&amp;1020,m_end,"&gt;"&amp;960),INDEX(m_label,_xlfn.MAXIFS(m_row,m_teacher,AF$4,m_date,($G$2+18),m_active,1,m_start,"&lt;"&amp;1020,m_end,"&gt;"&amp;960))))))</f>
        <v/>
      </c>
      <c r="AG56" s="82" t="str">
        <f aca="false">IF(OR(AG$4="",MONTH(($G$2+18))&lt;&gt;MONTH($C$2)),"",IF(COUNTIFS(m_teacher,AG$4,m_date,($G$2+18),m_active,1,m_start,"&lt;"&amp;1020,m_end,"&gt;"&amp;960)=0,"",IF(COUNTIFS(m_teacher,AG$4,m_date,($G$2+18),m_active,1,m_start,"&lt;"&amp;1020,m_end,"&gt;"&amp;960)&gt;1,"충돌",HYPERLINK("#'관리자_MASTER'!D"&amp;_xlfn.MAXIFS(m_row,m_teacher,AG$4,m_date,($G$2+18),m_active,1,m_start,"&lt;"&amp;1020,m_end,"&gt;"&amp;960),INDEX(m_label,_xlfn.MAXIFS(m_row,m_teacher,AG$4,m_date,($G$2+18),m_active,1,m_start,"&lt;"&amp;1020,m_end,"&gt;"&amp;960))))))</f>
        <v/>
      </c>
      <c r="AH56" s="82" t="str">
        <f aca="false">IF(OR(AH$4="",MONTH(($G$2+18))&lt;&gt;MONTH($C$2)),"",IF(COUNTIFS(m_teacher,AH$4,m_date,($G$2+18),m_active,1,m_start,"&lt;"&amp;1020,m_end,"&gt;"&amp;960)=0,"",IF(COUNTIFS(m_teacher,AH$4,m_date,($G$2+18),m_active,1,m_start,"&lt;"&amp;1020,m_end,"&gt;"&amp;960)&gt;1,"충돌",HYPERLINK("#'관리자_MASTER'!D"&amp;_xlfn.MAXIFS(m_row,m_teacher,AH$4,m_date,($G$2+18),m_active,1,m_start,"&lt;"&amp;1020,m_end,"&gt;"&amp;960),INDEX(m_label,_xlfn.MAXIFS(m_row,m_teacher,AH$4,m_date,($G$2+18),m_active,1,m_start,"&lt;"&amp;1020,m_end,"&gt;"&amp;960))))))</f>
        <v/>
      </c>
      <c r="AI56" s="82" t="str">
        <f aca="false">IF(OR(AI$4="",MONTH(($G$2+18))&lt;&gt;MONTH($C$2)),"",IF(COUNTIFS(m_teacher,AI$4,m_date,($G$2+18),m_active,1,m_start,"&lt;"&amp;1020,m_end,"&gt;"&amp;960)=0,"",IF(COUNTIFS(m_teacher,AI$4,m_date,($G$2+18),m_active,1,m_start,"&lt;"&amp;1020,m_end,"&gt;"&amp;960)&gt;1,"충돌",HYPERLINK("#'관리자_MASTER'!D"&amp;_xlfn.MAXIFS(m_row,m_teacher,AI$4,m_date,($G$2+18),m_active,1,m_start,"&lt;"&amp;1020,m_end,"&gt;"&amp;960),INDEX(m_label,_xlfn.MAXIFS(m_row,m_teacher,AI$4,m_date,($G$2+18),m_active,1,m_start,"&lt;"&amp;1020,m_end,"&gt;"&amp;960))))))</f>
        <v/>
      </c>
      <c r="AJ56" s="82" t="str">
        <f aca="false">IF(OR(AJ$4="",MONTH(($G$2+18))&lt;&gt;MONTH($C$2)),"",IF(COUNTIFS(m_teacher,AJ$4,m_date,($G$2+18),m_active,1,m_start,"&lt;"&amp;1020,m_end,"&gt;"&amp;960)=0,"",IF(COUNTIFS(m_teacher,AJ$4,m_date,($G$2+18),m_active,1,m_start,"&lt;"&amp;1020,m_end,"&gt;"&amp;960)&gt;1,"충돌",HYPERLINK("#'관리자_MASTER'!D"&amp;_xlfn.MAXIFS(m_row,m_teacher,AJ$4,m_date,($G$2+18),m_active,1,m_start,"&lt;"&amp;1020,m_end,"&gt;"&amp;960),INDEX(m_label,_xlfn.MAXIFS(m_row,m_teacher,AJ$4,m_date,($G$2+18),m_active,1,m_start,"&lt;"&amp;1020,m_end,"&gt;"&amp;960))))))</f>
        <v/>
      </c>
      <c r="AK56" s="82" t="str">
        <f aca="false">IF(OR(AK$4="",MONTH(($G$2+18))&lt;&gt;MONTH($C$2)),"",IF(COUNTIFS(m_teacher,AK$4,m_date,($G$2+18),m_active,1,m_start,"&lt;"&amp;1020,m_end,"&gt;"&amp;960)=0,"",IF(COUNTIFS(m_teacher,AK$4,m_date,($G$2+18),m_active,1,m_start,"&lt;"&amp;1020,m_end,"&gt;"&amp;960)&gt;1,"충돌",HYPERLINK("#'관리자_MASTER'!D"&amp;_xlfn.MAXIFS(m_row,m_teacher,AK$4,m_date,($G$2+18),m_active,1,m_start,"&lt;"&amp;1020,m_end,"&gt;"&amp;960),INDEX(m_label,_xlfn.MAXIFS(m_row,m_teacher,AK$4,m_date,($G$2+18),m_active,1,m_start,"&lt;"&amp;1020,m_end,"&gt;"&amp;960))))))</f>
        <v/>
      </c>
      <c r="AL56" s="82" t="str">
        <f aca="false">IF(OR(AL$4="",MONTH(($G$2+18))&lt;&gt;MONTH($C$2)),"",IF(COUNTIFS(m_teacher,AL$4,m_date,($G$2+18),m_active,1,m_start,"&lt;"&amp;1020,m_end,"&gt;"&amp;960)=0,"",IF(COUNTIFS(m_teacher,AL$4,m_date,($G$2+18),m_active,1,m_start,"&lt;"&amp;1020,m_end,"&gt;"&amp;960)&gt;1,"충돌",HYPERLINK("#'관리자_MASTER'!D"&amp;_xlfn.MAXIFS(m_row,m_teacher,AL$4,m_date,($G$2+18),m_active,1,m_start,"&lt;"&amp;1020,m_end,"&gt;"&amp;960),INDEX(m_label,_xlfn.MAXIFS(m_row,m_teacher,AL$4,m_date,($G$2+18),m_active,1,m_start,"&lt;"&amp;1020,m_end,"&gt;"&amp;960))))))</f>
        <v/>
      </c>
      <c r="AM56" s="82" t="str">
        <f aca="false">IF(OR(AM$4="",MONTH(($G$2+18))&lt;&gt;MONTH($C$2)),"",IF(COUNTIFS(m_teacher,AM$4,m_date,($G$2+18),m_active,1,m_start,"&lt;"&amp;1020,m_end,"&gt;"&amp;960)=0,"",IF(COUNTIFS(m_teacher,AM$4,m_date,($G$2+18),m_active,1,m_start,"&lt;"&amp;1020,m_end,"&gt;"&amp;960)&gt;1,"충돌",HYPERLINK("#'관리자_MASTER'!D"&amp;_xlfn.MAXIFS(m_row,m_teacher,AM$4,m_date,($G$2+18),m_active,1,m_start,"&lt;"&amp;1020,m_end,"&gt;"&amp;960),INDEX(m_label,_xlfn.MAXIFS(m_row,m_teacher,AM$4,m_date,($G$2+18),m_active,1,m_start,"&lt;"&amp;1020,m_end,"&gt;"&amp;960))))))</f>
        <v/>
      </c>
      <c r="AN56" s="82" t="str">
        <f aca="false">IF(OR(AN$4="",MONTH(($G$2+18))&lt;&gt;MONTH($C$2)),"",IF(COUNTIFS(m_teacher,AN$4,m_date,($G$2+18),m_active,1,m_start,"&lt;"&amp;1020,m_end,"&gt;"&amp;960)=0,"",IF(COUNTIFS(m_teacher,AN$4,m_date,($G$2+18),m_active,1,m_start,"&lt;"&amp;1020,m_end,"&gt;"&amp;960)&gt;1,"충돌",HYPERLINK("#'관리자_MASTER'!D"&amp;_xlfn.MAXIFS(m_row,m_teacher,AN$4,m_date,($G$2+18),m_active,1,m_start,"&lt;"&amp;1020,m_end,"&gt;"&amp;960),INDEX(m_label,_xlfn.MAXIFS(m_row,m_teacher,AN$4,m_date,($G$2+18),m_active,1,m_start,"&lt;"&amp;1020,m_end,"&gt;"&amp;960))))))</f>
        <v/>
      </c>
      <c r="AO56" s="82" t="str">
        <f aca="false">IF(OR(AO$4="",MONTH(($G$2+18))&lt;&gt;MONTH($C$2)),"",IF(COUNTIFS(m_teacher,AO$4,m_date,($G$2+18),m_active,1,m_start,"&lt;"&amp;1020,m_end,"&gt;"&amp;960)=0,"",IF(COUNTIFS(m_teacher,AO$4,m_date,($G$2+18),m_active,1,m_start,"&lt;"&amp;1020,m_end,"&gt;"&amp;960)&gt;1,"충돌",HYPERLINK("#'관리자_MASTER'!D"&amp;_xlfn.MAXIFS(m_row,m_teacher,AO$4,m_date,($G$2+18),m_active,1,m_start,"&lt;"&amp;1020,m_end,"&gt;"&amp;960),INDEX(m_label,_xlfn.MAXIFS(m_row,m_teacher,AO$4,m_date,($G$2+18),m_active,1,m_start,"&lt;"&amp;1020,m_end,"&gt;"&amp;960))))))</f>
        <v/>
      </c>
      <c r="AP56" s="82" t="str">
        <f aca="false">IF(OR(AP$4="",MONTH(($G$2+18))&lt;&gt;MONTH($C$2)),"",IF(COUNTIFS(m_teacher,AP$4,m_date,($G$2+18),m_active,1,m_start,"&lt;"&amp;1020,m_end,"&gt;"&amp;960)=0,"",IF(COUNTIFS(m_teacher,AP$4,m_date,($G$2+18),m_active,1,m_start,"&lt;"&amp;1020,m_end,"&gt;"&amp;960)&gt;1,"충돌",HYPERLINK("#'관리자_MASTER'!D"&amp;_xlfn.MAXIFS(m_row,m_teacher,AP$4,m_date,($G$2+18),m_active,1,m_start,"&lt;"&amp;1020,m_end,"&gt;"&amp;960),INDEX(m_label,_xlfn.MAXIFS(m_row,m_teacher,AP$4,m_date,($G$2+18),m_active,1,m_start,"&lt;"&amp;1020,m_end,"&gt;"&amp;960))))))</f>
        <v/>
      </c>
      <c r="AQ56" s="78"/>
      <c r="AR56" s="79" t="s">
        <v>98</v>
      </c>
      <c r="AS56" s="82" t="str">
        <f aca="false">IF(OR(AS$4="",MONTH(($G$2+25))&lt;&gt;MONTH($C$2)),"",IF(COUNTIFS(m_teacher,AS$4,m_date,($G$2+25),m_active,1,m_start,"&lt;"&amp;1020,m_end,"&gt;"&amp;960)=0,"",IF(COUNTIFS(m_teacher,AS$4,m_date,($G$2+25),m_active,1,m_start,"&lt;"&amp;1020,m_end,"&gt;"&amp;960)&gt;1,"충돌",HYPERLINK("#'관리자_MASTER'!D"&amp;_xlfn.MAXIFS(m_row,m_teacher,AS$4,m_date,($G$2+25),m_active,1,m_start,"&lt;"&amp;1020,m_end,"&gt;"&amp;960),INDEX(m_label,_xlfn.MAXIFS(m_row,m_teacher,AS$4,m_date,($G$2+25),m_active,1,m_start,"&lt;"&amp;1020,m_end,"&gt;"&amp;960))))))</f>
        <v/>
      </c>
      <c r="AT56" s="82" t="str">
        <f aca="false">IF(OR(AT$4="",MONTH(($G$2+25))&lt;&gt;MONTH($C$2)),"",IF(COUNTIFS(m_teacher,AT$4,m_date,($G$2+25),m_active,1,m_start,"&lt;"&amp;1020,m_end,"&gt;"&amp;960)=0,"",IF(COUNTIFS(m_teacher,AT$4,m_date,($G$2+25),m_active,1,m_start,"&lt;"&amp;1020,m_end,"&gt;"&amp;960)&gt;1,"충돌",HYPERLINK("#'관리자_MASTER'!D"&amp;_xlfn.MAXIFS(m_row,m_teacher,AT$4,m_date,($G$2+25),m_active,1,m_start,"&lt;"&amp;1020,m_end,"&gt;"&amp;960),INDEX(m_label,_xlfn.MAXIFS(m_row,m_teacher,AT$4,m_date,($G$2+25),m_active,1,m_start,"&lt;"&amp;1020,m_end,"&gt;"&amp;960))))))</f>
        <v/>
      </c>
      <c r="AU56" s="82" t="str">
        <f aca="false">IF(OR(AU$4="",MONTH(($G$2+25))&lt;&gt;MONTH($C$2)),"",IF(COUNTIFS(m_teacher,AU$4,m_date,($G$2+25),m_active,1,m_start,"&lt;"&amp;1020,m_end,"&gt;"&amp;960)=0,"",IF(COUNTIFS(m_teacher,AU$4,m_date,($G$2+25),m_active,1,m_start,"&lt;"&amp;1020,m_end,"&gt;"&amp;960)&gt;1,"충돌",HYPERLINK("#'관리자_MASTER'!D"&amp;_xlfn.MAXIFS(m_row,m_teacher,AU$4,m_date,($G$2+25),m_active,1,m_start,"&lt;"&amp;1020,m_end,"&gt;"&amp;960),INDEX(m_label,_xlfn.MAXIFS(m_row,m_teacher,AU$4,m_date,($G$2+25),m_active,1,m_start,"&lt;"&amp;1020,m_end,"&gt;"&amp;960))))))</f>
        <v/>
      </c>
      <c r="AV56" s="82" t="str">
        <f aca="false">IF(OR(AV$4="",MONTH(($G$2+25))&lt;&gt;MONTH($C$2)),"",IF(COUNTIFS(m_teacher,AV$4,m_date,($G$2+25),m_active,1,m_start,"&lt;"&amp;1020,m_end,"&gt;"&amp;960)=0,"",IF(COUNTIFS(m_teacher,AV$4,m_date,($G$2+25),m_active,1,m_start,"&lt;"&amp;1020,m_end,"&gt;"&amp;960)&gt;1,"충돌",HYPERLINK("#'관리자_MASTER'!D"&amp;_xlfn.MAXIFS(m_row,m_teacher,AV$4,m_date,($G$2+25),m_active,1,m_start,"&lt;"&amp;1020,m_end,"&gt;"&amp;960),INDEX(m_label,_xlfn.MAXIFS(m_row,m_teacher,AV$4,m_date,($G$2+25),m_active,1,m_start,"&lt;"&amp;1020,m_end,"&gt;"&amp;960))))))</f>
        <v/>
      </c>
      <c r="AW56" s="82" t="str">
        <f aca="false">IF(OR(AW$4="",MONTH(($G$2+25))&lt;&gt;MONTH($C$2)),"",IF(COUNTIFS(m_teacher,AW$4,m_date,($G$2+25),m_active,1,m_start,"&lt;"&amp;1020,m_end,"&gt;"&amp;960)=0,"",IF(COUNTIFS(m_teacher,AW$4,m_date,($G$2+25),m_active,1,m_start,"&lt;"&amp;1020,m_end,"&gt;"&amp;960)&gt;1,"충돌",HYPERLINK("#'관리자_MASTER'!D"&amp;_xlfn.MAXIFS(m_row,m_teacher,AW$4,m_date,($G$2+25),m_active,1,m_start,"&lt;"&amp;1020,m_end,"&gt;"&amp;960),INDEX(m_label,_xlfn.MAXIFS(m_row,m_teacher,AW$4,m_date,($G$2+25),m_active,1,m_start,"&lt;"&amp;1020,m_end,"&gt;"&amp;960))))))</f>
        <v/>
      </c>
      <c r="AX56" s="82" t="str">
        <f aca="false">IF(OR(AX$4="",MONTH(($G$2+25))&lt;&gt;MONTH($C$2)),"",IF(COUNTIFS(m_teacher,AX$4,m_date,($G$2+25),m_active,1,m_start,"&lt;"&amp;1020,m_end,"&gt;"&amp;960)=0,"",IF(COUNTIFS(m_teacher,AX$4,m_date,($G$2+25),m_active,1,m_start,"&lt;"&amp;1020,m_end,"&gt;"&amp;960)&gt;1,"충돌",HYPERLINK("#'관리자_MASTER'!D"&amp;_xlfn.MAXIFS(m_row,m_teacher,AX$4,m_date,($G$2+25),m_active,1,m_start,"&lt;"&amp;1020,m_end,"&gt;"&amp;960),INDEX(m_label,_xlfn.MAXIFS(m_row,m_teacher,AX$4,m_date,($G$2+25),m_active,1,m_start,"&lt;"&amp;1020,m_end,"&gt;"&amp;960))))))</f>
        <v/>
      </c>
      <c r="AY56" s="82" t="str">
        <f aca="false">IF(OR(AY$4="",MONTH(($G$2+25))&lt;&gt;MONTH($C$2)),"",IF(COUNTIFS(m_teacher,AY$4,m_date,($G$2+25),m_active,1,m_start,"&lt;"&amp;1020,m_end,"&gt;"&amp;960)=0,"",IF(COUNTIFS(m_teacher,AY$4,m_date,($G$2+25),m_active,1,m_start,"&lt;"&amp;1020,m_end,"&gt;"&amp;960)&gt;1,"충돌",HYPERLINK("#'관리자_MASTER'!D"&amp;_xlfn.MAXIFS(m_row,m_teacher,AY$4,m_date,($G$2+25),m_active,1,m_start,"&lt;"&amp;1020,m_end,"&gt;"&amp;960),INDEX(m_label,_xlfn.MAXIFS(m_row,m_teacher,AY$4,m_date,($G$2+25),m_active,1,m_start,"&lt;"&amp;1020,m_end,"&gt;"&amp;960))))))</f>
        <v/>
      </c>
      <c r="AZ56" s="82" t="str">
        <f aca="false">IF(OR(AZ$4="",MONTH(($G$2+25))&lt;&gt;MONTH($C$2)),"",IF(COUNTIFS(m_teacher,AZ$4,m_date,($G$2+25),m_active,1,m_start,"&lt;"&amp;1020,m_end,"&gt;"&amp;960)=0,"",IF(COUNTIFS(m_teacher,AZ$4,m_date,($G$2+25),m_active,1,m_start,"&lt;"&amp;1020,m_end,"&gt;"&amp;960)&gt;1,"충돌",HYPERLINK("#'관리자_MASTER'!D"&amp;_xlfn.MAXIFS(m_row,m_teacher,AZ$4,m_date,($G$2+25),m_active,1,m_start,"&lt;"&amp;1020,m_end,"&gt;"&amp;960),INDEX(m_label,_xlfn.MAXIFS(m_row,m_teacher,AZ$4,m_date,($G$2+25),m_active,1,m_start,"&lt;"&amp;1020,m_end,"&gt;"&amp;960))))))</f>
        <v/>
      </c>
      <c r="BA56" s="82" t="str">
        <f aca="false">IF(OR(BA$4="",MONTH(($G$2+25))&lt;&gt;MONTH($C$2)),"",IF(COUNTIFS(m_teacher,BA$4,m_date,($G$2+25),m_active,1,m_start,"&lt;"&amp;1020,m_end,"&gt;"&amp;960)=0,"",IF(COUNTIFS(m_teacher,BA$4,m_date,($G$2+25),m_active,1,m_start,"&lt;"&amp;1020,m_end,"&gt;"&amp;960)&gt;1,"충돌",HYPERLINK("#'관리자_MASTER'!D"&amp;_xlfn.MAXIFS(m_row,m_teacher,BA$4,m_date,($G$2+25),m_active,1,m_start,"&lt;"&amp;1020,m_end,"&gt;"&amp;960),INDEX(m_label,_xlfn.MAXIFS(m_row,m_teacher,BA$4,m_date,($G$2+25),m_active,1,m_start,"&lt;"&amp;1020,m_end,"&gt;"&amp;960))))))</f>
        <v/>
      </c>
      <c r="BB56" s="82" t="str">
        <f aca="false">IF(OR(BB$4="",MONTH(($G$2+25))&lt;&gt;MONTH($C$2)),"",IF(COUNTIFS(m_teacher,BB$4,m_date,($G$2+25),m_active,1,m_start,"&lt;"&amp;1020,m_end,"&gt;"&amp;960)=0,"",IF(COUNTIFS(m_teacher,BB$4,m_date,($G$2+25),m_active,1,m_start,"&lt;"&amp;1020,m_end,"&gt;"&amp;960)&gt;1,"충돌",HYPERLINK("#'관리자_MASTER'!D"&amp;_xlfn.MAXIFS(m_row,m_teacher,BB$4,m_date,($G$2+25),m_active,1,m_start,"&lt;"&amp;1020,m_end,"&gt;"&amp;960),INDEX(m_label,_xlfn.MAXIFS(m_row,m_teacher,BB$4,m_date,($G$2+25),m_active,1,m_start,"&lt;"&amp;1020,m_end,"&gt;"&amp;960))))))</f>
        <v/>
      </c>
      <c r="BC56" s="82" t="str">
        <f aca="false">IF(OR(BC$4="",MONTH(($G$2+25))&lt;&gt;MONTH($C$2)),"",IF(COUNTIFS(m_teacher,BC$4,m_date,($G$2+25),m_active,1,m_start,"&lt;"&amp;1020,m_end,"&gt;"&amp;960)=0,"",IF(COUNTIFS(m_teacher,BC$4,m_date,($G$2+25),m_active,1,m_start,"&lt;"&amp;1020,m_end,"&gt;"&amp;960)&gt;1,"충돌",HYPERLINK("#'관리자_MASTER'!D"&amp;_xlfn.MAXIFS(m_row,m_teacher,BC$4,m_date,($G$2+25),m_active,1,m_start,"&lt;"&amp;1020,m_end,"&gt;"&amp;960),INDEX(m_label,_xlfn.MAXIFS(m_row,m_teacher,BC$4,m_date,($G$2+25),m_active,1,m_start,"&lt;"&amp;1020,m_end,"&gt;"&amp;960))))))</f>
        <v/>
      </c>
      <c r="BD56" s="82" t="str">
        <f aca="false">IF(OR(BD$4="",MONTH(($G$2+25))&lt;&gt;MONTH($C$2)),"",IF(COUNTIFS(m_teacher,BD$4,m_date,($G$2+25),m_active,1,m_start,"&lt;"&amp;1020,m_end,"&gt;"&amp;960)=0,"",IF(COUNTIFS(m_teacher,BD$4,m_date,($G$2+25),m_active,1,m_start,"&lt;"&amp;1020,m_end,"&gt;"&amp;960)&gt;1,"충돌",HYPERLINK("#'관리자_MASTER'!D"&amp;_xlfn.MAXIFS(m_row,m_teacher,BD$4,m_date,($G$2+25),m_active,1,m_start,"&lt;"&amp;1020,m_end,"&gt;"&amp;960),INDEX(m_label,_xlfn.MAXIFS(m_row,m_teacher,BD$4,m_date,($G$2+25),m_active,1,m_start,"&lt;"&amp;1020,m_end,"&gt;"&amp;960))))))</f>
        <v/>
      </c>
      <c r="BE56" s="78"/>
      <c r="BF56" s="79" t="s">
        <v>98</v>
      </c>
      <c r="BG56" s="82" t="str">
        <f aca="false">IF(OR(BG$4="",MONTH(($G$2+32))&lt;&gt;MONTH($C$2)),"",IF(COUNTIFS(m_teacher,BG$4,m_date,($G$2+32),m_active,1,m_start,"&lt;"&amp;1020,m_end,"&gt;"&amp;960)=0,"",IF(COUNTIFS(m_teacher,BG$4,m_date,($G$2+32),m_active,1,m_start,"&lt;"&amp;1020,m_end,"&gt;"&amp;960)&gt;1,"충돌",HYPERLINK("#'관리자_MASTER'!D"&amp;_xlfn.MAXIFS(m_row,m_teacher,BG$4,m_date,($G$2+32),m_active,1,m_start,"&lt;"&amp;1020,m_end,"&gt;"&amp;960),INDEX(m_label,_xlfn.MAXIFS(m_row,m_teacher,BG$4,m_date,($G$2+32),m_active,1,m_start,"&lt;"&amp;1020,m_end,"&gt;"&amp;960))))))</f>
        <v/>
      </c>
      <c r="BH56" s="82" t="str">
        <f aca="false">IF(OR(BH$4="",MONTH(($G$2+32))&lt;&gt;MONTH($C$2)),"",IF(COUNTIFS(m_teacher,BH$4,m_date,($G$2+32),m_active,1,m_start,"&lt;"&amp;1020,m_end,"&gt;"&amp;960)=0,"",IF(COUNTIFS(m_teacher,BH$4,m_date,($G$2+32),m_active,1,m_start,"&lt;"&amp;1020,m_end,"&gt;"&amp;960)&gt;1,"충돌",HYPERLINK("#'관리자_MASTER'!D"&amp;_xlfn.MAXIFS(m_row,m_teacher,BH$4,m_date,($G$2+32),m_active,1,m_start,"&lt;"&amp;1020,m_end,"&gt;"&amp;960),INDEX(m_label,_xlfn.MAXIFS(m_row,m_teacher,BH$4,m_date,($G$2+32),m_active,1,m_start,"&lt;"&amp;1020,m_end,"&gt;"&amp;960))))))</f>
        <v/>
      </c>
      <c r="BI56" s="82" t="str">
        <f aca="false">IF(OR(BI$4="",MONTH(($G$2+32))&lt;&gt;MONTH($C$2)),"",IF(COUNTIFS(m_teacher,BI$4,m_date,($G$2+32),m_active,1,m_start,"&lt;"&amp;1020,m_end,"&gt;"&amp;960)=0,"",IF(COUNTIFS(m_teacher,BI$4,m_date,($G$2+32),m_active,1,m_start,"&lt;"&amp;1020,m_end,"&gt;"&amp;960)&gt;1,"충돌",HYPERLINK("#'관리자_MASTER'!D"&amp;_xlfn.MAXIFS(m_row,m_teacher,BI$4,m_date,($G$2+32),m_active,1,m_start,"&lt;"&amp;1020,m_end,"&gt;"&amp;960),INDEX(m_label,_xlfn.MAXIFS(m_row,m_teacher,BI$4,m_date,($G$2+32),m_active,1,m_start,"&lt;"&amp;1020,m_end,"&gt;"&amp;960))))))</f>
        <v/>
      </c>
      <c r="BJ56" s="82" t="str">
        <f aca="false">IF(OR(BJ$4="",MONTH(($G$2+32))&lt;&gt;MONTH($C$2)),"",IF(COUNTIFS(m_teacher,BJ$4,m_date,($G$2+32),m_active,1,m_start,"&lt;"&amp;1020,m_end,"&gt;"&amp;960)=0,"",IF(COUNTIFS(m_teacher,BJ$4,m_date,($G$2+32),m_active,1,m_start,"&lt;"&amp;1020,m_end,"&gt;"&amp;960)&gt;1,"충돌",HYPERLINK("#'관리자_MASTER'!D"&amp;_xlfn.MAXIFS(m_row,m_teacher,BJ$4,m_date,($G$2+32),m_active,1,m_start,"&lt;"&amp;1020,m_end,"&gt;"&amp;960),INDEX(m_label,_xlfn.MAXIFS(m_row,m_teacher,BJ$4,m_date,($G$2+32),m_active,1,m_start,"&lt;"&amp;1020,m_end,"&gt;"&amp;960))))))</f>
        <v/>
      </c>
      <c r="BK56" s="82" t="str">
        <f aca="false">IF(OR(BK$4="",MONTH(($G$2+32))&lt;&gt;MONTH($C$2)),"",IF(COUNTIFS(m_teacher,BK$4,m_date,($G$2+32),m_active,1,m_start,"&lt;"&amp;1020,m_end,"&gt;"&amp;960)=0,"",IF(COUNTIFS(m_teacher,BK$4,m_date,($G$2+32),m_active,1,m_start,"&lt;"&amp;1020,m_end,"&gt;"&amp;960)&gt;1,"충돌",HYPERLINK("#'관리자_MASTER'!D"&amp;_xlfn.MAXIFS(m_row,m_teacher,BK$4,m_date,($G$2+32),m_active,1,m_start,"&lt;"&amp;1020,m_end,"&gt;"&amp;960),INDEX(m_label,_xlfn.MAXIFS(m_row,m_teacher,BK$4,m_date,($G$2+32),m_active,1,m_start,"&lt;"&amp;1020,m_end,"&gt;"&amp;960))))))</f>
        <v/>
      </c>
      <c r="BL56" s="82" t="str">
        <f aca="false">IF(OR(BL$4="",MONTH(($G$2+32))&lt;&gt;MONTH($C$2)),"",IF(COUNTIFS(m_teacher,BL$4,m_date,($G$2+32),m_active,1,m_start,"&lt;"&amp;1020,m_end,"&gt;"&amp;960)=0,"",IF(COUNTIFS(m_teacher,BL$4,m_date,($G$2+32),m_active,1,m_start,"&lt;"&amp;1020,m_end,"&gt;"&amp;960)&gt;1,"충돌",HYPERLINK("#'관리자_MASTER'!D"&amp;_xlfn.MAXIFS(m_row,m_teacher,BL$4,m_date,($G$2+32),m_active,1,m_start,"&lt;"&amp;1020,m_end,"&gt;"&amp;960),INDEX(m_label,_xlfn.MAXIFS(m_row,m_teacher,BL$4,m_date,($G$2+32),m_active,1,m_start,"&lt;"&amp;1020,m_end,"&gt;"&amp;960))))))</f>
        <v/>
      </c>
      <c r="BM56" s="82" t="str">
        <f aca="false">IF(OR(BM$4="",MONTH(($G$2+32))&lt;&gt;MONTH($C$2)),"",IF(COUNTIFS(m_teacher,BM$4,m_date,($G$2+32),m_active,1,m_start,"&lt;"&amp;1020,m_end,"&gt;"&amp;960)=0,"",IF(COUNTIFS(m_teacher,BM$4,m_date,($G$2+32),m_active,1,m_start,"&lt;"&amp;1020,m_end,"&gt;"&amp;960)&gt;1,"충돌",HYPERLINK("#'관리자_MASTER'!D"&amp;_xlfn.MAXIFS(m_row,m_teacher,BM$4,m_date,($G$2+32),m_active,1,m_start,"&lt;"&amp;1020,m_end,"&gt;"&amp;960),INDEX(m_label,_xlfn.MAXIFS(m_row,m_teacher,BM$4,m_date,($G$2+32),m_active,1,m_start,"&lt;"&amp;1020,m_end,"&gt;"&amp;960))))))</f>
        <v/>
      </c>
      <c r="BN56" s="82" t="str">
        <f aca="false">IF(OR(BN$4="",MONTH(($G$2+32))&lt;&gt;MONTH($C$2)),"",IF(COUNTIFS(m_teacher,BN$4,m_date,($G$2+32),m_active,1,m_start,"&lt;"&amp;1020,m_end,"&gt;"&amp;960)=0,"",IF(COUNTIFS(m_teacher,BN$4,m_date,($G$2+32),m_active,1,m_start,"&lt;"&amp;1020,m_end,"&gt;"&amp;960)&gt;1,"충돌",HYPERLINK("#'관리자_MASTER'!D"&amp;_xlfn.MAXIFS(m_row,m_teacher,BN$4,m_date,($G$2+32),m_active,1,m_start,"&lt;"&amp;1020,m_end,"&gt;"&amp;960),INDEX(m_label,_xlfn.MAXIFS(m_row,m_teacher,BN$4,m_date,($G$2+32),m_active,1,m_start,"&lt;"&amp;1020,m_end,"&gt;"&amp;960))))))</f>
        <v/>
      </c>
      <c r="BO56" s="82" t="str">
        <f aca="false">IF(OR(BO$4="",MONTH(($G$2+32))&lt;&gt;MONTH($C$2)),"",IF(COUNTIFS(m_teacher,BO$4,m_date,($G$2+32),m_active,1,m_start,"&lt;"&amp;1020,m_end,"&gt;"&amp;960)=0,"",IF(COUNTIFS(m_teacher,BO$4,m_date,($G$2+32),m_active,1,m_start,"&lt;"&amp;1020,m_end,"&gt;"&amp;960)&gt;1,"충돌",HYPERLINK("#'관리자_MASTER'!D"&amp;_xlfn.MAXIFS(m_row,m_teacher,BO$4,m_date,($G$2+32),m_active,1,m_start,"&lt;"&amp;1020,m_end,"&gt;"&amp;960),INDEX(m_label,_xlfn.MAXIFS(m_row,m_teacher,BO$4,m_date,($G$2+32),m_active,1,m_start,"&lt;"&amp;1020,m_end,"&gt;"&amp;960))))))</f>
        <v/>
      </c>
      <c r="BP56" s="82" t="str">
        <f aca="false">IF(OR(BP$4="",MONTH(($G$2+32))&lt;&gt;MONTH($C$2)),"",IF(COUNTIFS(m_teacher,BP$4,m_date,($G$2+32),m_active,1,m_start,"&lt;"&amp;1020,m_end,"&gt;"&amp;960)=0,"",IF(COUNTIFS(m_teacher,BP$4,m_date,($G$2+32),m_active,1,m_start,"&lt;"&amp;1020,m_end,"&gt;"&amp;960)&gt;1,"충돌",HYPERLINK("#'관리자_MASTER'!D"&amp;_xlfn.MAXIFS(m_row,m_teacher,BP$4,m_date,($G$2+32),m_active,1,m_start,"&lt;"&amp;1020,m_end,"&gt;"&amp;960),INDEX(m_label,_xlfn.MAXIFS(m_row,m_teacher,BP$4,m_date,($G$2+32),m_active,1,m_start,"&lt;"&amp;1020,m_end,"&gt;"&amp;960))))))</f>
        <v/>
      </c>
      <c r="BQ56" s="82" t="str">
        <f aca="false">IF(OR(BQ$4="",MONTH(($G$2+32))&lt;&gt;MONTH($C$2)),"",IF(COUNTIFS(m_teacher,BQ$4,m_date,($G$2+32),m_active,1,m_start,"&lt;"&amp;1020,m_end,"&gt;"&amp;960)=0,"",IF(COUNTIFS(m_teacher,BQ$4,m_date,($G$2+32),m_active,1,m_start,"&lt;"&amp;1020,m_end,"&gt;"&amp;960)&gt;1,"충돌",HYPERLINK("#'관리자_MASTER'!D"&amp;_xlfn.MAXIFS(m_row,m_teacher,BQ$4,m_date,($G$2+32),m_active,1,m_start,"&lt;"&amp;1020,m_end,"&gt;"&amp;960),INDEX(m_label,_xlfn.MAXIFS(m_row,m_teacher,BQ$4,m_date,($G$2+32),m_active,1,m_start,"&lt;"&amp;1020,m_end,"&gt;"&amp;960))))))</f>
        <v/>
      </c>
      <c r="BR56" s="82" t="str">
        <f aca="false">IF(OR(BR$4="",MONTH(($G$2+32))&lt;&gt;MONTH($C$2)),"",IF(COUNTIFS(m_teacher,BR$4,m_date,($G$2+32),m_active,1,m_start,"&lt;"&amp;1020,m_end,"&gt;"&amp;960)=0,"",IF(COUNTIFS(m_teacher,BR$4,m_date,($G$2+32),m_active,1,m_start,"&lt;"&amp;1020,m_end,"&gt;"&amp;960)&gt;1,"충돌",HYPERLINK("#'관리자_MASTER'!D"&amp;_xlfn.MAXIFS(m_row,m_teacher,BR$4,m_date,($G$2+32),m_active,1,m_start,"&lt;"&amp;1020,m_end,"&gt;"&amp;960),INDEX(m_label,_xlfn.MAXIFS(m_row,m_teacher,BR$4,m_date,($G$2+32),m_active,1,m_start,"&lt;"&amp;1020,m_end,"&gt;"&amp;960))))))</f>
        <v/>
      </c>
    </row>
    <row r="57" customFormat="false" ht="19.5" hidden="false" customHeight="true" outlineLevel="0" collapsed="false">
      <c r="A57" s="78"/>
      <c r="B57" s="79" t="s">
        <v>99</v>
      </c>
      <c r="C57" s="82" t="str">
        <f aca="false">IF(OR(C$4="",MONTH(($G$2+4))&lt;&gt;MONTH($C$2)),"",IF(COUNTIFS(m_teacher,C$4,m_date,($G$2+4),m_active,1,m_start,"&lt;"&amp;1080,m_end,"&gt;"&amp;1020)=0,"",IF(COUNTIFS(m_teacher,C$4,m_date,($G$2+4),m_active,1,m_start,"&lt;"&amp;1080,m_end,"&gt;"&amp;1020)&gt;1,"충돌",HYPERLINK("#'관리자_MASTER'!D"&amp;_xlfn.MAXIFS(m_row,m_teacher,C$4,m_date,($G$2+4),m_active,1,m_start,"&lt;"&amp;1080,m_end,"&gt;"&amp;1020),INDEX(m_label,_xlfn.MAXIFS(m_row,m_teacher,C$4,m_date,($G$2+4),m_active,1,m_start,"&lt;"&amp;1080,m_end,"&gt;"&amp;1020))))))</f>
        <v/>
      </c>
      <c r="D57" s="82" t="str">
        <f aca="false">IF(OR(D$4="",MONTH(($G$2+4))&lt;&gt;MONTH($C$2)),"",IF(COUNTIFS(m_teacher,D$4,m_date,($G$2+4),m_active,1,m_start,"&lt;"&amp;1080,m_end,"&gt;"&amp;1020)=0,"",IF(COUNTIFS(m_teacher,D$4,m_date,($G$2+4),m_active,1,m_start,"&lt;"&amp;1080,m_end,"&gt;"&amp;1020)&gt;1,"충돌",HYPERLINK("#'관리자_MASTER'!D"&amp;_xlfn.MAXIFS(m_row,m_teacher,D$4,m_date,($G$2+4),m_active,1,m_start,"&lt;"&amp;1080,m_end,"&gt;"&amp;1020),INDEX(m_label,_xlfn.MAXIFS(m_row,m_teacher,D$4,m_date,($G$2+4),m_active,1,m_start,"&lt;"&amp;1080,m_end,"&gt;"&amp;1020))))))</f>
        <v/>
      </c>
      <c r="E57" s="82" t="str">
        <f aca="false">IF(OR(E$4="",MONTH(($G$2+4))&lt;&gt;MONTH($C$2)),"",IF(COUNTIFS(m_teacher,E$4,m_date,($G$2+4),m_active,1,m_start,"&lt;"&amp;1080,m_end,"&gt;"&amp;1020)=0,"",IF(COUNTIFS(m_teacher,E$4,m_date,($G$2+4),m_active,1,m_start,"&lt;"&amp;1080,m_end,"&gt;"&amp;1020)&gt;1,"충돌",HYPERLINK("#'관리자_MASTER'!D"&amp;_xlfn.MAXIFS(m_row,m_teacher,E$4,m_date,($G$2+4),m_active,1,m_start,"&lt;"&amp;1080,m_end,"&gt;"&amp;1020),INDEX(m_label,_xlfn.MAXIFS(m_row,m_teacher,E$4,m_date,($G$2+4),m_active,1,m_start,"&lt;"&amp;1080,m_end,"&gt;"&amp;1020))))))</f>
        <v/>
      </c>
      <c r="F57" s="82" t="str">
        <f aca="false">IF(OR(F$4="",MONTH(($G$2+4))&lt;&gt;MONTH($C$2)),"",IF(COUNTIFS(m_teacher,F$4,m_date,($G$2+4),m_active,1,m_start,"&lt;"&amp;1080,m_end,"&gt;"&amp;1020)=0,"",IF(COUNTIFS(m_teacher,F$4,m_date,($G$2+4),m_active,1,m_start,"&lt;"&amp;1080,m_end,"&gt;"&amp;1020)&gt;1,"충돌",HYPERLINK("#'관리자_MASTER'!D"&amp;_xlfn.MAXIFS(m_row,m_teacher,F$4,m_date,($G$2+4),m_active,1,m_start,"&lt;"&amp;1080,m_end,"&gt;"&amp;1020),INDEX(m_label,_xlfn.MAXIFS(m_row,m_teacher,F$4,m_date,($G$2+4),m_active,1,m_start,"&lt;"&amp;1080,m_end,"&gt;"&amp;1020))))))</f>
        <v/>
      </c>
      <c r="G57" s="82" t="str">
        <f aca="false">IF(OR(G$4="",MONTH(($G$2+4))&lt;&gt;MONTH($C$2)),"",IF(COUNTIFS(m_teacher,G$4,m_date,($G$2+4),m_active,1,m_start,"&lt;"&amp;1080,m_end,"&gt;"&amp;1020)=0,"",IF(COUNTIFS(m_teacher,G$4,m_date,($G$2+4),m_active,1,m_start,"&lt;"&amp;1080,m_end,"&gt;"&amp;1020)&gt;1,"충돌",HYPERLINK("#'관리자_MASTER'!D"&amp;_xlfn.MAXIFS(m_row,m_teacher,G$4,m_date,($G$2+4),m_active,1,m_start,"&lt;"&amp;1080,m_end,"&gt;"&amp;1020),INDEX(m_label,_xlfn.MAXIFS(m_row,m_teacher,G$4,m_date,($G$2+4),m_active,1,m_start,"&lt;"&amp;1080,m_end,"&gt;"&amp;1020))))))</f>
        <v/>
      </c>
      <c r="H57" s="82" t="str">
        <f aca="false">IF(OR(H$4="",MONTH(($G$2+4))&lt;&gt;MONTH($C$2)),"",IF(COUNTIFS(m_teacher,H$4,m_date,($G$2+4),m_active,1,m_start,"&lt;"&amp;1080,m_end,"&gt;"&amp;1020)=0,"",IF(COUNTIFS(m_teacher,H$4,m_date,($G$2+4),m_active,1,m_start,"&lt;"&amp;1080,m_end,"&gt;"&amp;1020)&gt;1,"충돌",HYPERLINK("#'관리자_MASTER'!D"&amp;_xlfn.MAXIFS(m_row,m_teacher,H$4,m_date,($G$2+4),m_active,1,m_start,"&lt;"&amp;1080,m_end,"&gt;"&amp;1020),INDEX(m_label,_xlfn.MAXIFS(m_row,m_teacher,H$4,m_date,($G$2+4),m_active,1,m_start,"&lt;"&amp;1080,m_end,"&gt;"&amp;1020))))))</f>
        <v/>
      </c>
      <c r="I57" s="82" t="str">
        <f aca="false">IF(OR(I$4="",MONTH(($G$2+4))&lt;&gt;MONTH($C$2)),"",IF(COUNTIFS(m_teacher,I$4,m_date,($G$2+4),m_active,1,m_start,"&lt;"&amp;1080,m_end,"&gt;"&amp;1020)=0,"",IF(COUNTIFS(m_teacher,I$4,m_date,($G$2+4),m_active,1,m_start,"&lt;"&amp;1080,m_end,"&gt;"&amp;1020)&gt;1,"충돌",HYPERLINK("#'관리자_MASTER'!D"&amp;_xlfn.MAXIFS(m_row,m_teacher,I$4,m_date,($G$2+4),m_active,1,m_start,"&lt;"&amp;1080,m_end,"&gt;"&amp;1020),INDEX(m_label,_xlfn.MAXIFS(m_row,m_teacher,I$4,m_date,($G$2+4),m_active,1,m_start,"&lt;"&amp;1080,m_end,"&gt;"&amp;1020))))))</f>
        <v/>
      </c>
      <c r="J57" s="82" t="str">
        <f aca="false">IF(OR(J$4="",MONTH(($G$2+4))&lt;&gt;MONTH($C$2)),"",IF(COUNTIFS(m_teacher,J$4,m_date,($G$2+4),m_active,1,m_start,"&lt;"&amp;1080,m_end,"&gt;"&amp;1020)=0,"",IF(COUNTIFS(m_teacher,J$4,m_date,($G$2+4),m_active,1,m_start,"&lt;"&amp;1080,m_end,"&gt;"&amp;1020)&gt;1,"충돌",HYPERLINK("#'관리자_MASTER'!D"&amp;_xlfn.MAXIFS(m_row,m_teacher,J$4,m_date,($G$2+4),m_active,1,m_start,"&lt;"&amp;1080,m_end,"&gt;"&amp;1020),INDEX(m_label,_xlfn.MAXIFS(m_row,m_teacher,J$4,m_date,($G$2+4),m_active,1,m_start,"&lt;"&amp;1080,m_end,"&gt;"&amp;1020))))))</f>
        <v/>
      </c>
      <c r="K57" s="82" t="str">
        <f aca="false">IF(OR(K$4="",MONTH(($G$2+4))&lt;&gt;MONTH($C$2)),"",IF(COUNTIFS(m_teacher,K$4,m_date,($G$2+4),m_active,1,m_start,"&lt;"&amp;1080,m_end,"&gt;"&amp;1020)=0,"",IF(COUNTIFS(m_teacher,K$4,m_date,($G$2+4),m_active,1,m_start,"&lt;"&amp;1080,m_end,"&gt;"&amp;1020)&gt;1,"충돌",HYPERLINK("#'관리자_MASTER'!D"&amp;_xlfn.MAXIFS(m_row,m_teacher,K$4,m_date,($G$2+4),m_active,1,m_start,"&lt;"&amp;1080,m_end,"&gt;"&amp;1020),INDEX(m_label,_xlfn.MAXIFS(m_row,m_teacher,K$4,m_date,($G$2+4),m_active,1,m_start,"&lt;"&amp;1080,m_end,"&gt;"&amp;1020))))))</f>
        <v/>
      </c>
      <c r="L57" s="82" t="str">
        <f aca="false">IF(OR(L$4="",MONTH(($G$2+4))&lt;&gt;MONTH($C$2)),"",IF(COUNTIFS(m_teacher,L$4,m_date,($G$2+4),m_active,1,m_start,"&lt;"&amp;1080,m_end,"&gt;"&amp;1020)=0,"",IF(COUNTIFS(m_teacher,L$4,m_date,($G$2+4),m_active,1,m_start,"&lt;"&amp;1080,m_end,"&gt;"&amp;1020)&gt;1,"충돌",HYPERLINK("#'관리자_MASTER'!D"&amp;_xlfn.MAXIFS(m_row,m_teacher,L$4,m_date,($G$2+4),m_active,1,m_start,"&lt;"&amp;1080,m_end,"&gt;"&amp;1020),INDEX(m_label,_xlfn.MAXIFS(m_row,m_teacher,L$4,m_date,($G$2+4),m_active,1,m_start,"&lt;"&amp;1080,m_end,"&gt;"&amp;1020))))))</f>
        <v/>
      </c>
      <c r="M57" s="82" t="str">
        <f aca="false">IF(OR(M$4="",MONTH(($G$2+4))&lt;&gt;MONTH($C$2)),"",IF(COUNTIFS(m_teacher,M$4,m_date,($G$2+4),m_active,1,m_start,"&lt;"&amp;1080,m_end,"&gt;"&amp;1020)=0,"",IF(COUNTIFS(m_teacher,M$4,m_date,($G$2+4),m_active,1,m_start,"&lt;"&amp;1080,m_end,"&gt;"&amp;1020)&gt;1,"충돌",HYPERLINK("#'관리자_MASTER'!D"&amp;_xlfn.MAXIFS(m_row,m_teacher,M$4,m_date,($G$2+4),m_active,1,m_start,"&lt;"&amp;1080,m_end,"&gt;"&amp;1020),INDEX(m_label,_xlfn.MAXIFS(m_row,m_teacher,M$4,m_date,($G$2+4),m_active,1,m_start,"&lt;"&amp;1080,m_end,"&gt;"&amp;1020))))))</f>
        <v/>
      </c>
      <c r="N57" s="82" t="str">
        <f aca="false">IF(OR(N$4="",MONTH(($G$2+4))&lt;&gt;MONTH($C$2)),"",IF(COUNTIFS(m_teacher,N$4,m_date,($G$2+4),m_active,1,m_start,"&lt;"&amp;1080,m_end,"&gt;"&amp;1020)=0,"",IF(COUNTIFS(m_teacher,N$4,m_date,($G$2+4),m_active,1,m_start,"&lt;"&amp;1080,m_end,"&gt;"&amp;1020)&gt;1,"충돌",HYPERLINK("#'관리자_MASTER'!D"&amp;_xlfn.MAXIFS(m_row,m_teacher,N$4,m_date,($G$2+4),m_active,1,m_start,"&lt;"&amp;1080,m_end,"&gt;"&amp;1020),INDEX(m_label,_xlfn.MAXIFS(m_row,m_teacher,N$4,m_date,($G$2+4),m_active,1,m_start,"&lt;"&amp;1080,m_end,"&gt;"&amp;1020))))))</f>
        <v/>
      </c>
      <c r="O57" s="78"/>
      <c r="P57" s="79" t="s">
        <v>99</v>
      </c>
      <c r="Q57" s="82" t="str">
        <f aca="false">IF(OR(Q$4="",MONTH(($G$2+11))&lt;&gt;MONTH($C$2)),"",IF(COUNTIFS(m_teacher,Q$4,m_date,($G$2+11),m_active,1,m_start,"&lt;"&amp;1080,m_end,"&gt;"&amp;1020)=0,"",IF(COUNTIFS(m_teacher,Q$4,m_date,($G$2+11),m_active,1,m_start,"&lt;"&amp;1080,m_end,"&gt;"&amp;1020)&gt;1,"충돌",HYPERLINK("#'관리자_MASTER'!D"&amp;_xlfn.MAXIFS(m_row,m_teacher,Q$4,m_date,($G$2+11),m_active,1,m_start,"&lt;"&amp;1080,m_end,"&gt;"&amp;1020),INDEX(m_label,_xlfn.MAXIFS(m_row,m_teacher,Q$4,m_date,($G$2+11),m_active,1,m_start,"&lt;"&amp;1080,m_end,"&gt;"&amp;1020))))))</f>
        <v/>
      </c>
      <c r="R57" s="82" t="str">
        <f aca="false">IF(OR(R$4="",MONTH(($G$2+11))&lt;&gt;MONTH($C$2)),"",IF(COUNTIFS(m_teacher,R$4,m_date,($G$2+11),m_active,1,m_start,"&lt;"&amp;1080,m_end,"&gt;"&amp;1020)=0,"",IF(COUNTIFS(m_teacher,R$4,m_date,($G$2+11),m_active,1,m_start,"&lt;"&amp;1080,m_end,"&gt;"&amp;1020)&gt;1,"충돌",HYPERLINK("#'관리자_MASTER'!D"&amp;_xlfn.MAXIFS(m_row,m_teacher,R$4,m_date,($G$2+11),m_active,1,m_start,"&lt;"&amp;1080,m_end,"&gt;"&amp;1020),INDEX(m_label,_xlfn.MAXIFS(m_row,m_teacher,R$4,m_date,($G$2+11),m_active,1,m_start,"&lt;"&amp;1080,m_end,"&gt;"&amp;1020))))))</f>
        <v/>
      </c>
      <c r="S57" s="82" t="str">
        <f aca="false">IF(OR(S$4="",MONTH(($G$2+11))&lt;&gt;MONTH($C$2)),"",IF(COUNTIFS(m_teacher,S$4,m_date,($G$2+11),m_active,1,m_start,"&lt;"&amp;1080,m_end,"&gt;"&amp;1020)=0,"",IF(COUNTIFS(m_teacher,S$4,m_date,($G$2+11),m_active,1,m_start,"&lt;"&amp;1080,m_end,"&gt;"&amp;1020)&gt;1,"충돌",HYPERLINK("#'관리자_MASTER'!D"&amp;_xlfn.MAXIFS(m_row,m_teacher,S$4,m_date,($G$2+11),m_active,1,m_start,"&lt;"&amp;1080,m_end,"&gt;"&amp;1020),INDEX(m_label,_xlfn.MAXIFS(m_row,m_teacher,S$4,m_date,($G$2+11),m_active,1,m_start,"&lt;"&amp;1080,m_end,"&gt;"&amp;1020))))))</f>
        <v/>
      </c>
      <c r="T57" s="82" t="str">
        <f aca="false">IF(OR(T$4="",MONTH(($G$2+11))&lt;&gt;MONTH($C$2)),"",IF(COUNTIFS(m_teacher,T$4,m_date,($G$2+11),m_active,1,m_start,"&lt;"&amp;1080,m_end,"&gt;"&amp;1020)=0,"",IF(COUNTIFS(m_teacher,T$4,m_date,($G$2+11),m_active,1,m_start,"&lt;"&amp;1080,m_end,"&gt;"&amp;1020)&gt;1,"충돌",HYPERLINK("#'관리자_MASTER'!D"&amp;_xlfn.MAXIFS(m_row,m_teacher,T$4,m_date,($G$2+11),m_active,1,m_start,"&lt;"&amp;1080,m_end,"&gt;"&amp;1020),INDEX(m_label,_xlfn.MAXIFS(m_row,m_teacher,T$4,m_date,($G$2+11),m_active,1,m_start,"&lt;"&amp;1080,m_end,"&gt;"&amp;1020))))))</f>
        <v/>
      </c>
      <c r="U57" s="82" t="str">
        <f aca="false">IF(OR(U$4="",MONTH(($G$2+11))&lt;&gt;MONTH($C$2)),"",IF(COUNTIFS(m_teacher,U$4,m_date,($G$2+11),m_active,1,m_start,"&lt;"&amp;1080,m_end,"&gt;"&amp;1020)=0,"",IF(COUNTIFS(m_teacher,U$4,m_date,($G$2+11),m_active,1,m_start,"&lt;"&amp;1080,m_end,"&gt;"&amp;1020)&gt;1,"충돌",HYPERLINK("#'관리자_MASTER'!D"&amp;_xlfn.MAXIFS(m_row,m_teacher,U$4,m_date,($G$2+11),m_active,1,m_start,"&lt;"&amp;1080,m_end,"&gt;"&amp;1020),INDEX(m_label,_xlfn.MAXIFS(m_row,m_teacher,U$4,m_date,($G$2+11),m_active,1,m_start,"&lt;"&amp;1080,m_end,"&gt;"&amp;1020))))))</f>
        <v/>
      </c>
      <c r="V57" s="82" t="str">
        <f aca="false">IF(OR(V$4="",MONTH(($G$2+11))&lt;&gt;MONTH($C$2)),"",IF(COUNTIFS(m_teacher,V$4,m_date,($G$2+11),m_active,1,m_start,"&lt;"&amp;1080,m_end,"&gt;"&amp;1020)=0,"",IF(COUNTIFS(m_teacher,V$4,m_date,($G$2+11),m_active,1,m_start,"&lt;"&amp;1080,m_end,"&gt;"&amp;1020)&gt;1,"충돌",HYPERLINK("#'관리자_MASTER'!D"&amp;_xlfn.MAXIFS(m_row,m_teacher,V$4,m_date,($G$2+11),m_active,1,m_start,"&lt;"&amp;1080,m_end,"&gt;"&amp;1020),INDEX(m_label,_xlfn.MAXIFS(m_row,m_teacher,V$4,m_date,($G$2+11),m_active,1,m_start,"&lt;"&amp;1080,m_end,"&gt;"&amp;1020))))))</f>
        <v/>
      </c>
      <c r="W57" s="82" t="str">
        <f aca="false">IF(OR(W$4="",MONTH(($G$2+11))&lt;&gt;MONTH($C$2)),"",IF(COUNTIFS(m_teacher,W$4,m_date,($G$2+11),m_active,1,m_start,"&lt;"&amp;1080,m_end,"&gt;"&amp;1020)=0,"",IF(COUNTIFS(m_teacher,W$4,m_date,($G$2+11),m_active,1,m_start,"&lt;"&amp;1080,m_end,"&gt;"&amp;1020)&gt;1,"충돌",HYPERLINK("#'관리자_MASTER'!D"&amp;_xlfn.MAXIFS(m_row,m_teacher,W$4,m_date,($G$2+11),m_active,1,m_start,"&lt;"&amp;1080,m_end,"&gt;"&amp;1020),INDEX(m_label,_xlfn.MAXIFS(m_row,m_teacher,W$4,m_date,($G$2+11),m_active,1,m_start,"&lt;"&amp;1080,m_end,"&gt;"&amp;1020))))))</f>
        <v/>
      </c>
      <c r="X57" s="82" t="str">
        <f aca="false">IF(OR(X$4="",MONTH(($G$2+11))&lt;&gt;MONTH($C$2)),"",IF(COUNTIFS(m_teacher,X$4,m_date,($G$2+11),m_active,1,m_start,"&lt;"&amp;1080,m_end,"&gt;"&amp;1020)=0,"",IF(COUNTIFS(m_teacher,X$4,m_date,($G$2+11),m_active,1,m_start,"&lt;"&amp;1080,m_end,"&gt;"&amp;1020)&gt;1,"충돌",HYPERLINK("#'관리자_MASTER'!D"&amp;_xlfn.MAXIFS(m_row,m_teacher,X$4,m_date,($G$2+11),m_active,1,m_start,"&lt;"&amp;1080,m_end,"&gt;"&amp;1020),INDEX(m_label,_xlfn.MAXIFS(m_row,m_teacher,X$4,m_date,($G$2+11),m_active,1,m_start,"&lt;"&amp;1080,m_end,"&gt;"&amp;1020))))))</f>
        <v/>
      </c>
      <c r="Y57" s="82" t="str">
        <f aca="false">IF(OR(Y$4="",MONTH(($G$2+11))&lt;&gt;MONTH($C$2)),"",IF(COUNTIFS(m_teacher,Y$4,m_date,($G$2+11),m_active,1,m_start,"&lt;"&amp;1080,m_end,"&gt;"&amp;1020)=0,"",IF(COUNTIFS(m_teacher,Y$4,m_date,($G$2+11),m_active,1,m_start,"&lt;"&amp;1080,m_end,"&gt;"&amp;1020)&gt;1,"충돌",HYPERLINK("#'관리자_MASTER'!D"&amp;_xlfn.MAXIFS(m_row,m_teacher,Y$4,m_date,($G$2+11),m_active,1,m_start,"&lt;"&amp;1080,m_end,"&gt;"&amp;1020),INDEX(m_label,_xlfn.MAXIFS(m_row,m_teacher,Y$4,m_date,($G$2+11),m_active,1,m_start,"&lt;"&amp;1080,m_end,"&gt;"&amp;1020))))))</f>
        <v/>
      </c>
      <c r="Z57" s="82" t="str">
        <f aca="false">IF(OR(Z$4="",MONTH(($G$2+11))&lt;&gt;MONTH($C$2)),"",IF(COUNTIFS(m_teacher,Z$4,m_date,($G$2+11),m_active,1,m_start,"&lt;"&amp;1080,m_end,"&gt;"&amp;1020)=0,"",IF(COUNTIFS(m_teacher,Z$4,m_date,($G$2+11),m_active,1,m_start,"&lt;"&amp;1080,m_end,"&gt;"&amp;1020)&gt;1,"충돌",HYPERLINK("#'관리자_MASTER'!D"&amp;_xlfn.MAXIFS(m_row,m_teacher,Z$4,m_date,($G$2+11),m_active,1,m_start,"&lt;"&amp;1080,m_end,"&gt;"&amp;1020),INDEX(m_label,_xlfn.MAXIFS(m_row,m_teacher,Z$4,m_date,($G$2+11),m_active,1,m_start,"&lt;"&amp;1080,m_end,"&gt;"&amp;1020))))))</f>
        <v/>
      </c>
      <c r="AA57" s="82" t="str">
        <f aca="false">IF(OR(AA$4="",MONTH(($G$2+11))&lt;&gt;MONTH($C$2)),"",IF(COUNTIFS(m_teacher,AA$4,m_date,($G$2+11),m_active,1,m_start,"&lt;"&amp;1080,m_end,"&gt;"&amp;1020)=0,"",IF(COUNTIFS(m_teacher,AA$4,m_date,($G$2+11),m_active,1,m_start,"&lt;"&amp;1080,m_end,"&gt;"&amp;1020)&gt;1,"충돌",HYPERLINK("#'관리자_MASTER'!D"&amp;_xlfn.MAXIFS(m_row,m_teacher,AA$4,m_date,($G$2+11),m_active,1,m_start,"&lt;"&amp;1080,m_end,"&gt;"&amp;1020),INDEX(m_label,_xlfn.MAXIFS(m_row,m_teacher,AA$4,m_date,($G$2+11),m_active,1,m_start,"&lt;"&amp;1080,m_end,"&gt;"&amp;1020))))))</f>
        <v/>
      </c>
      <c r="AB57" s="82" t="str">
        <f aca="false">IF(OR(AB$4="",MONTH(($G$2+11))&lt;&gt;MONTH($C$2)),"",IF(COUNTIFS(m_teacher,AB$4,m_date,($G$2+11),m_active,1,m_start,"&lt;"&amp;1080,m_end,"&gt;"&amp;1020)=0,"",IF(COUNTIFS(m_teacher,AB$4,m_date,($G$2+11),m_active,1,m_start,"&lt;"&amp;1080,m_end,"&gt;"&amp;1020)&gt;1,"충돌",HYPERLINK("#'관리자_MASTER'!D"&amp;_xlfn.MAXIFS(m_row,m_teacher,AB$4,m_date,($G$2+11),m_active,1,m_start,"&lt;"&amp;1080,m_end,"&gt;"&amp;1020),INDEX(m_label,_xlfn.MAXIFS(m_row,m_teacher,AB$4,m_date,($G$2+11),m_active,1,m_start,"&lt;"&amp;1080,m_end,"&gt;"&amp;1020))))))</f>
        <v/>
      </c>
      <c r="AC57" s="78"/>
      <c r="AD57" s="79" t="s">
        <v>99</v>
      </c>
      <c r="AE57" s="82" t="str">
        <f aca="false">IF(OR(AE$4="",MONTH(($G$2+18))&lt;&gt;MONTH($C$2)),"",IF(COUNTIFS(m_teacher,AE$4,m_date,($G$2+18),m_active,1,m_start,"&lt;"&amp;1080,m_end,"&gt;"&amp;1020)=0,"",IF(COUNTIFS(m_teacher,AE$4,m_date,($G$2+18),m_active,1,m_start,"&lt;"&amp;1080,m_end,"&gt;"&amp;1020)&gt;1,"충돌",HYPERLINK("#'관리자_MASTER'!D"&amp;_xlfn.MAXIFS(m_row,m_teacher,AE$4,m_date,($G$2+18),m_active,1,m_start,"&lt;"&amp;1080,m_end,"&gt;"&amp;1020),INDEX(m_label,_xlfn.MAXIFS(m_row,m_teacher,AE$4,m_date,($G$2+18),m_active,1,m_start,"&lt;"&amp;1080,m_end,"&gt;"&amp;1020))))))</f>
        <v/>
      </c>
      <c r="AF57" s="82" t="str">
        <f aca="false">IF(OR(AF$4="",MONTH(($G$2+18))&lt;&gt;MONTH($C$2)),"",IF(COUNTIFS(m_teacher,AF$4,m_date,($G$2+18),m_active,1,m_start,"&lt;"&amp;1080,m_end,"&gt;"&amp;1020)=0,"",IF(COUNTIFS(m_teacher,AF$4,m_date,($G$2+18),m_active,1,m_start,"&lt;"&amp;1080,m_end,"&gt;"&amp;1020)&gt;1,"충돌",HYPERLINK("#'관리자_MASTER'!D"&amp;_xlfn.MAXIFS(m_row,m_teacher,AF$4,m_date,($G$2+18),m_active,1,m_start,"&lt;"&amp;1080,m_end,"&gt;"&amp;1020),INDEX(m_label,_xlfn.MAXIFS(m_row,m_teacher,AF$4,m_date,($G$2+18),m_active,1,m_start,"&lt;"&amp;1080,m_end,"&gt;"&amp;1020))))))</f>
        <v/>
      </c>
      <c r="AG57" s="82" t="str">
        <f aca="false">IF(OR(AG$4="",MONTH(($G$2+18))&lt;&gt;MONTH($C$2)),"",IF(COUNTIFS(m_teacher,AG$4,m_date,($G$2+18),m_active,1,m_start,"&lt;"&amp;1080,m_end,"&gt;"&amp;1020)=0,"",IF(COUNTIFS(m_teacher,AG$4,m_date,($G$2+18),m_active,1,m_start,"&lt;"&amp;1080,m_end,"&gt;"&amp;1020)&gt;1,"충돌",HYPERLINK("#'관리자_MASTER'!D"&amp;_xlfn.MAXIFS(m_row,m_teacher,AG$4,m_date,($G$2+18),m_active,1,m_start,"&lt;"&amp;1080,m_end,"&gt;"&amp;1020),INDEX(m_label,_xlfn.MAXIFS(m_row,m_teacher,AG$4,m_date,($G$2+18),m_active,1,m_start,"&lt;"&amp;1080,m_end,"&gt;"&amp;1020))))))</f>
        <v/>
      </c>
      <c r="AH57" s="82" t="str">
        <f aca="false">IF(OR(AH$4="",MONTH(($G$2+18))&lt;&gt;MONTH($C$2)),"",IF(COUNTIFS(m_teacher,AH$4,m_date,($G$2+18),m_active,1,m_start,"&lt;"&amp;1080,m_end,"&gt;"&amp;1020)=0,"",IF(COUNTIFS(m_teacher,AH$4,m_date,($G$2+18),m_active,1,m_start,"&lt;"&amp;1080,m_end,"&gt;"&amp;1020)&gt;1,"충돌",HYPERLINK("#'관리자_MASTER'!D"&amp;_xlfn.MAXIFS(m_row,m_teacher,AH$4,m_date,($G$2+18),m_active,1,m_start,"&lt;"&amp;1080,m_end,"&gt;"&amp;1020),INDEX(m_label,_xlfn.MAXIFS(m_row,m_teacher,AH$4,m_date,($G$2+18),m_active,1,m_start,"&lt;"&amp;1080,m_end,"&gt;"&amp;1020))))))</f>
        <v/>
      </c>
      <c r="AI57" s="82" t="str">
        <f aca="false">IF(OR(AI$4="",MONTH(($G$2+18))&lt;&gt;MONTH($C$2)),"",IF(COUNTIFS(m_teacher,AI$4,m_date,($G$2+18),m_active,1,m_start,"&lt;"&amp;1080,m_end,"&gt;"&amp;1020)=0,"",IF(COUNTIFS(m_teacher,AI$4,m_date,($G$2+18),m_active,1,m_start,"&lt;"&amp;1080,m_end,"&gt;"&amp;1020)&gt;1,"충돌",HYPERLINK("#'관리자_MASTER'!D"&amp;_xlfn.MAXIFS(m_row,m_teacher,AI$4,m_date,($G$2+18),m_active,1,m_start,"&lt;"&amp;1080,m_end,"&gt;"&amp;1020),INDEX(m_label,_xlfn.MAXIFS(m_row,m_teacher,AI$4,m_date,($G$2+18),m_active,1,m_start,"&lt;"&amp;1080,m_end,"&gt;"&amp;1020))))))</f>
        <v/>
      </c>
      <c r="AJ57" s="82" t="str">
        <f aca="false">IF(OR(AJ$4="",MONTH(($G$2+18))&lt;&gt;MONTH($C$2)),"",IF(COUNTIFS(m_teacher,AJ$4,m_date,($G$2+18),m_active,1,m_start,"&lt;"&amp;1080,m_end,"&gt;"&amp;1020)=0,"",IF(COUNTIFS(m_teacher,AJ$4,m_date,($G$2+18),m_active,1,m_start,"&lt;"&amp;1080,m_end,"&gt;"&amp;1020)&gt;1,"충돌",HYPERLINK("#'관리자_MASTER'!D"&amp;_xlfn.MAXIFS(m_row,m_teacher,AJ$4,m_date,($G$2+18),m_active,1,m_start,"&lt;"&amp;1080,m_end,"&gt;"&amp;1020),INDEX(m_label,_xlfn.MAXIFS(m_row,m_teacher,AJ$4,m_date,($G$2+18),m_active,1,m_start,"&lt;"&amp;1080,m_end,"&gt;"&amp;1020))))))</f>
        <v/>
      </c>
      <c r="AK57" s="82" t="str">
        <f aca="false">IF(OR(AK$4="",MONTH(($G$2+18))&lt;&gt;MONTH($C$2)),"",IF(COUNTIFS(m_teacher,AK$4,m_date,($G$2+18),m_active,1,m_start,"&lt;"&amp;1080,m_end,"&gt;"&amp;1020)=0,"",IF(COUNTIFS(m_teacher,AK$4,m_date,($G$2+18),m_active,1,m_start,"&lt;"&amp;1080,m_end,"&gt;"&amp;1020)&gt;1,"충돌",HYPERLINK("#'관리자_MASTER'!D"&amp;_xlfn.MAXIFS(m_row,m_teacher,AK$4,m_date,($G$2+18),m_active,1,m_start,"&lt;"&amp;1080,m_end,"&gt;"&amp;1020),INDEX(m_label,_xlfn.MAXIFS(m_row,m_teacher,AK$4,m_date,($G$2+18),m_active,1,m_start,"&lt;"&amp;1080,m_end,"&gt;"&amp;1020))))))</f>
        <v/>
      </c>
      <c r="AL57" s="82" t="str">
        <f aca="false">IF(OR(AL$4="",MONTH(($G$2+18))&lt;&gt;MONTH($C$2)),"",IF(COUNTIFS(m_teacher,AL$4,m_date,($G$2+18),m_active,1,m_start,"&lt;"&amp;1080,m_end,"&gt;"&amp;1020)=0,"",IF(COUNTIFS(m_teacher,AL$4,m_date,($G$2+18),m_active,1,m_start,"&lt;"&amp;1080,m_end,"&gt;"&amp;1020)&gt;1,"충돌",HYPERLINK("#'관리자_MASTER'!D"&amp;_xlfn.MAXIFS(m_row,m_teacher,AL$4,m_date,($G$2+18),m_active,1,m_start,"&lt;"&amp;1080,m_end,"&gt;"&amp;1020),INDEX(m_label,_xlfn.MAXIFS(m_row,m_teacher,AL$4,m_date,($G$2+18),m_active,1,m_start,"&lt;"&amp;1080,m_end,"&gt;"&amp;1020))))))</f>
        <v/>
      </c>
      <c r="AM57" s="82" t="str">
        <f aca="false">IF(OR(AM$4="",MONTH(($G$2+18))&lt;&gt;MONTH($C$2)),"",IF(COUNTIFS(m_teacher,AM$4,m_date,($G$2+18),m_active,1,m_start,"&lt;"&amp;1080,m_end,"&gt;"&amp;1020)=0,"",IF(COUNTIFS(m_teacher,AM$4,m_date,($G$2+18),m_active,1,m_start,"&lt;"&amp;1080,m_end,"&gt;"&amp;1020)&gt;1,"충돌",HYPERLINK("#'관리자_MASTER'!D"&amp;_xlfn.MAXIFS(m_row,m_teacher,AM$4,m_date,($G$2+18),m_active,1,m_start,"&lt;"&amp;1080,m_end,"&gt;"&amp;1020),INDEX(m_label,_xlfn.MAXIFS(m_row,m_teacher,AM$4,m_date,($G$2+18),m_active,1,m_start,"&lt;"&amp;1080,m_end,"&gt;"&amp;1020))))))</f>
        <v/>
      </c>
      <c r="AN57" s="82" t="str">
        <f aca="false">IF(OR(AN$4="",MONTH(($G$2+18))&lt;&gt;MONTH($C$2)),"",IF(COUNTIFS(m_teacher,AN$4,m_date,($G$2+18),m_active,1,m_start,"&lt;"&amp;1080,m_end,"&gt;"&amp;1020)=0,"",IF(COUNTIFS(m_teacher,AN$4,m_date,($G$2+18),m_active,1,m_start,"&lt;"&amp;1080,m_end,"&gt;"&amp;1020)&gt;1,"충돌",HYPERLINK("#'관리자_MASTER'!D"&amp;_xlfn.MAXIFS(m_row,m_teacher,AN$4,m_date,($G$2+18),m_active,1,m_start,"&lt;"&amp;1080,m_end,"&gt;"&amp;1020),INDEX(m_label,_xlfn.MAXIFS(m_row,m_teacher,AN$4,m_date,($G$2+18),m_active,1,m_start,"&lt;"&amp;1080,m_end,"&gt;"&amp;1020))))))</f>
        <v/>
      </c>
      <c r="AO57" s="82" t="str">
        <f aca="false">IF(OR(AO$4="",MONTH(($G$2+18))&lt;&gt;MONTH($C$2)),"",IF(COUNTIFS(m_teacher,AO$4,m_date,($G$2+18),m_active,1,m_start,"&lt;"&amp;1080,m_end,"&gt;"&amp;1020)=0,"",IF(COUNTIFS(m_teacher,AO$4,m_date,($G$2+18),m_active,1,m_start,"&lt;"&amp;1080,m_end,"&gt;"&amp;1020)&gt;1,"충돌",HYPERLINK("#'관리자_MASTER'!D"&amp;_xlfn.MAXIFS(m_row,m_teacher,AO$4,m_date,($G$2+18),m_active,1,m_start,"&lt;"&amp;1080,m_end,"&gt;"&amp;1020),INDEX(m_label,_xlfn.MAXIFS(m_row,m_teacher,AO$4,m_date,($G$2+18),m_active,1,m_start,"&lt;"&amp;1080,m_end,"&gt;"&amp;1020))))))</f>
        <v/>
      </c>
      <c r="AP57" s="82" t="str">
        <f aca="false">IF(OR(AP$4="",MONTH(($G$2+18))&lt;&gt;MONTH($C$2)),"",IF(COUNTIFS(m_teacher,AP$4,m_date,($G$2+18),m_active,1,m_start,"&lt;"&amp;1080,m_end,"&gt;"&amp;1020)=0,"",IF(COUNTIFS(m_teacher,AP$4,m_date,($G$2+18),m_active,1,m_start,"&lt;"&amp;1080,m_end,"&gt;"&amp;1020)&gt;1,"충돌",HYPERLINK("#'관리자_MASTER'!D"&amp;_xlfn.MAXIFS(m_row,m_teacher,AP$4,m_date,($G$2+18),m_active,1,m_start,"&lt;"&amp;1080,m_end,"&gt;"&amp;1020),INDEX(m_label,_xlfn.MAXIFS(m_row,m_teacher,AP$4,m_date,($G$2+18),m_active,1,m_start,"&lt;"&amp;1080,m_end,"&gt;"&amp;1020))))))</f>
        <v/>
      </c>
      <c r="AQ57" s="78"/>
      <c r="AR57" s="79" t="s">
        <v>99</v>
      </c>
      <c r="AS57" s="82" t="str">
        <f aca="false">IF(OR(AS$4="",MONTH(($G$2+25))&lt;&gt;MONTH($C$2)),"",IF(COUNTIFS(m_teacher,AS$4,m_date,($G$2+25),m_active,1,m_start,"&lt;"&amp;1080,m_end,"&gt;"&amp;1020)=0,"",IF(COUNTIFS(m_teacher,AS$4,m_date,($G$2+25),m_active,1,m_start,"&lt;"&amp;1080,m_end,"&gt;"&amp;1020)&gt;1,"충돌",HYPERLINK("#'관리자_MASTER'!D"&amp;_xlfn.MAXIFS(m_row,m_teacher,AS$4,m_date,($G$2+25),m_active,1,m_start,"&lt;"&amp;1080,m_end,"&gt;"&amp;1020),INDEX(m_label,_xlfn.MAXIFS(m_row,m_teacher,AS$4,m_date,($G$2+25),m_active,1,m_start,"&lt;"&amp;1080,m_end,"&gt;"&amp;1020))))))</f>
        <v/>
      </c>
      <c r="AT57" s="82" t="str">
        <f aca="false">IF(OR(AT$4="",MONTH(($G$2+25))&lt;&gt;MONTH($C$2)),"",IF(COUNTIFS(m_teacher,AT$4,m_date,($G$2+25),m_active,1,m_start,"&lt;"&amp;1080,m_end,"&gt;"&amp;1020)=0,"",IF(COUNTIFS(m_teacher,AT$4,m_date,($G$2+25),m_active,1,m_start,"&lt;"&amp;1080,m_end,"&gt;"&amp;1020)&gt;1,"충돌",HYPERLINK("#'관리자_MASTER'!D"&amp;_xlfn.MAXIFS(m_row,m_teacher,AT$4,m_date,($G$2+25),m_active,1,m_start,"&lt;"&amp;1080,m_end,"&gt;"&amp;1020),INDEX(m_label,_xlfn.MAXIFS(m_row,m_teacher,AT$4,m_date,($G$2+25),m_active,1,m_start,"&lt;"&amp;1080,m_end,"&gt;"&amp;1020))))))</f>
        <v/>
      </c>
      <c r="AU57" s="82" t="str">
        <f aca="false">IF(OR(AU$4="",MONTH(($G$2+25))&lt;&gt;MONTH($C$2)),"",IF(COUNTIFS(m_teacher,AU$4,m_date,($G$2+25),m_active,1,m_start,"&lt;"&amp;1080,m_end,"&gt;"&amp;1020)=0,"",IF(COUNTIFS(m_teacher,AU$4,m_date,($G$2+25),m_active,1,m_start,"&lt;"&amp;1080,m_end,"&gt;"&amp;1020)&gt;1,"충돌",HYPERLINK("#'관리자_MASTER'!D"&amp;_xlfn.MAXIFS(m_row,m_teacher,AU$4,m_date,($G$2+25),m_active,1,m_start,"&lt;"&amp;1080,m_end,"&gt;"&amp;1020),INDEX(m_label,_xlfn.MAXIFS(m_row,m_teacher,AU$4,m_date,($G$2+25),m_active,1,m_start,"&lt;"&amp;1080,m_end,"&gt;"&amp;1020))))))</f>
        <v/>
      </c>
      <c r="AV57" s="82" t="str">
        <f aca="false">IF(OR(AV$4="",MONTH(($G$2+25))&lt;&gt;MONTH($C$2)),"",IF(COUNTIFS(m_teacher,AV$4,m_date,($G$2+25),m_active,1,m_start,"&lt;"&amp;1080,m_end,"&gt;"&amp;1020)=0,"",IF(COUNTIFS(m_teacher,AV$4,m_date,($G$2+25),m_active,1,m_start,"&lt;"&amp;1080,m_end,"&gt;"&amp;1020)&gt;1,"충돌",HYPERLINK("#'관리자_MASTER'!D"&amp;_xlfn.MAXIFS(m_row,m_teacher,AV$4,m_date,($G$2+25),m_active,1,m_start,"&lt;"&amp;1080,m_end,"&gt;"&amp;1020),INDEX(m_label,_xlfn.MAXIFS(m_row,m_teacher,AV$4,m_date,($G$2+25),m_active,1,m_start,"&lt;"&amp;1080,m_end,"&gt;"&amp;1020))))))</f>
        <v/>
      </c>
      <c r="AW57" s="82" t="str">
        <f aca="false">IF(OR(AW$4="",MONTH(($G$2+25))&lt;&gt;MONTH($C$2)),"",IF(COUNTIFS(m_teacher,AW$4,m_date,($G$2+25),m_active,1,m_start,"&lt;"&amp;1080,m_end,"&gt;"&amp;1020)=0,"",IF(COUNTIFS(m_teacher,AW$4,m_date,($G$2+25),m_active,1,m_start,"&lt;"&amp;1080,m_end,"&gt;"&amp;1020)&gt;1,"충돌",HYPERLINK("#'관리자_MASTER'!D"&amp;_xlfn.MAXIFS(m_row,m_teacher,AW$4,m_date,($G$2+25),m_active,1,m_start,"&lt;"&amp;1080,m_end,"&gt;"&amp;1020),INDEX(m_label,_xlfn.MAXIFS(m_row,m_teacher,AW$4,m_date,($G$2+25),m_active,1,m_start,"&lt;"&amp;1080,m_end,"&gt;"&amp;1020))))))</f>
        <v/>
      </c>
      <c r="AX57" s="82" t="str">
        <f aca="false">IF(OR(AX$4="",MONTH(($G$2+25))&lt;&gt;MONTH($C$2)),"",IF(COUNTIFS(m_teacher,AX$4,m_date,($G$2+25),m_active,1,m_start,"&lt;"&amp;1080,m_end,"&gt;"&amp;1020)=0,"",IF(COUNTIFS(m_teacher,AX$4,m_date,($G$2+25),m_active,1,m_start,"&lt;"&amp;1080,m_end,"&gt;"&amp;1020)&gt;1,"충돌",HYPERLINK("#'관리자_MASTER'!D"&amp;_xlfn.MAXIFS(m_row,m_teacher,AX$4,m_date,($G$2+25),m_active,1,m_start,"&lt;"&amp;1080,m_end,"&gt;"&amp;1020),INDEX(m_label,_xlfn.MAXIFS(m_row,m_teacher,AX$4,m_date,($G$2+25),m_active,1,m_start,"&lt;"&amp;1080,m_end,"&gt;"&amp;1020))))))</f>
        <v/>
      </c>
      <c r="AY57" s="82" t="str">
        <f aca="false">IF(OR(AY$4="",MONTH(($G$2+25))&lt;&gt;MONTH($C$2)),"",IF(COUNTIFS(m_teacher,AY$4,m_date,($G$2+25),m_active,1,m_start,"&lt;"&amp;1080,m_end,"&gt;"&amp;1020)=0,"",IF(COUNTIFS(m_teacher,AY$4,m_date,($G$2+25),m_active,1,m_start,"&lt;"&amp;1080,m_end,"&gt;"&amp;1020)&gt;1,"충돌",HYPERLINK("#'관리자_MASTER'!D"&amp;_xlfn.MAXIFS(m_row,m_teacher,AY$4,m_date,($G$2+25),m_active,1,m_start,"&lt;"&amp;1080,m_end,"&gt;"&amp;1020),INDEX(m_label,_xlfn.MAXIFS(m_row,m_teacher,AY$4,m_date,($G$2+25),m_active,1,m_start,"&lt;"&amp;1080,m_end,"&gt;"&amp;1020))))))</f>
        <v/>
      </c>
      <c r="AZ57" s="82" t="str">
        <f aca="false">IF(OR(AZ$4="",MONTH(($G$2+25))&lt;&gt;MONTH($C$2)),"",IF(COUNTIFS(m_teacher,AZ$4,m_date,($G$2+25),m_active,1,m_start,"&lt;"&amp;1080,m_end,"&gt;"&amp;1020)=0,"",IF(COUNTIFS(m_teacher,AZ$4,m_date,($G$2+25),m_active,1,m_start,"&lt;"&amp;1080,m_end,"&gt;"&amp;1020)&gt;1,"충돌",HYPERLINK("#'관리자_MASTER'!D"&amp;_xlfn.MAXIFS(m_row,m_teacher,AZ$4,m_date,($G$2+25),m_active,1,m_start,"&lt;"&amp;1080,m_end,"&gt;"&amp;1020),INDEX(m_label,_xlfn.MAXIFS(m_row,m_teacher,AZ$4,m_date,($G$2+25),m_active,1,m_start,"&lt;"&amp;1080,m_end,"&gt;"&amp;1020))))))</f>
        <v/>
      </c>
      <c r="BA57" s="82" t="str">
        <f aca="false">IF(OR(BA$4="",MONTH(($G$2+25))&lt;&gt;MONTH($C$2)),"",IF(COUNTIFS(m_teacher,BA$4,m_date,($G$2+25),m_active,1,m_start,"&lt;"&amp;1080,m_end,"&gt;"&amp;1020)=0,"",IF(COUNTIFS(m_teacher,BA$4,m_date,($G$2+25),m_active,1,m_start,"&lt;"&amp;1080,m_end,"&gt;"&amp;1020)&gt;1,"충돌",HYPERLINK("#'관리자_MASTER'!D"&amp;_xlfn.MAXIFS(m_row,m_teacher,BA$4,m_date,($G$2+25),m_active,1,m_start,"&lt;"&amp;1080,m_end,"&gt;"&amp;1020),INDEX(m_label,_xlfn.MAXIFS(m_row,m_teacher,BA$4,m_date,($G$2+25),m_active,1,m_start,"&lt;"&amp;1080,m_end,"&gt;"&amp;1020))))))</f>
        <v/>
      </c>
      <c r="BB57" s="82" t="str">
        <f aca="false">IF(OR(BB$4="",MONTH(($G$2+25))&lt;&gt;MONTH($C$2)),"",IF(COUNTIFS(m_teacher,BB$4,m_date,($G$2+25),m_active,1,m_start,"&lt;"&amp;1080,m_end,"&gt;"&amp;1020)=0,"",IF(COUNTIFS(m_teacher,BB$4,m_date,($G$2+25),m_active,1,m_start,"&lt;"&amp;1080,m_end,"&gt;"&amp;1020)&gt;1,"충돌",HYPERLINK("#'관리자_MASTER'!D"&amp;_xlfn.MAXIFS(m_row,m_teacher,BB$4,m_date,($G$2+25),m_active,1,m_start,"&lt;"&amp;1080,m_end,"&gt;"&amp;1020),INDEX(m_label,_xlfn.MAXIFS(m_row,m_teacher,BB$4,m_date,($G$2+25),m_active,1,m_start,"&lt;"&amp;1080,m_end,"&gt;"&amp;1020))))))</f>
        <v/>
      </c>
      <c r="BC57" s="82" t="str">
        <f aca="false">IF(OR(BC$4="",MONTH(($G$2+25))&lt;&gt;MONTH($C$2)),"",IF(COUNTIFS(m_teacher,BC$4,m_date,($G$2+25),m_active,1,m_start,"&lt;"&amp;1080,m_end,"&gt;"&amp;1020)=0,"",IF(COUNTIFS(m_teacher,BC$4,m_date,($G$2+25),m_active,1,m_start,"&lt;"&amp;1080,m_end,"&gt;"&amp;1020)&gt;1,"충돌",HYPERLINK("#'관리자_MASTER'!D"&amp;_xlfn.MAXIFS(m_row,m_teacher,BC$4,m_date,($G$2+25),m_active,1,m_start,"&lt;"&amp;1080,m_end,"&gt;"&amp;1020),INDEX(m_label,_xlfn.MAXIFS(m_row,m_teacher,BC$4,m_date,($G$2+25),m_active,1,m_start,"&lt;"&amp;1080,m_end,"&gt;"&amp;1020))))))</f>
        <v/>
      </c>
      <c r="BD57" s="82" t="str">
        <f aca="false">IF(OR(BD$4="",MONTH(($G$2+25))&lt;&gt;MONTH($C$2)),"",IF(COUNTIFS(m_teacher,BD$4,m_date,($G$2+25),m_active,1,m_start,"&lt;"&amp;1080,m_end,"&gt;"&amp;1020)=0,"",IF(COUNTIFS(m_teacher,BD$4,m_date,($G$2+25),m_active,1,m_start,"&lt;"&amp;1080,m_end,"&gt;"&amp;1020)&gt;1,"충돌",HYPERLINK("#'관리자_MASTER'!D"&amp;_xlfn.MAXIFS(m_row,m_teacher,BD$4,m_date,($G$2+25),m_active,1,m_start,"&lt;"&amp;1080,m_end,"&gt;"&amp;1020),INDEX(m_label,_xlfn.MAXIFS(m_row,m_teacher,BD$4,m_date,($G$2+25),m_active,1,m_start,"&lt;"&amp;1080,m_end,"&gt;"&amp;1020))))))</f>
        <v/>
      </c>
      <c r="BE57" s="78"/>
      <c r="BF57" s="79" t="s">
        <v>99</v>
      </c>
      <c r="BG57" s="82" t="str">
        <f aca="false">IF(OR(BG$4="",MONTH(($G$2+32))&lt;&gt;MONTH($C$2)),"",IF(COUNTIFS(m_teacher,BG$4,m_date,($G$2+32),m_active,1,m_start,"&lt;"&amp;1080,m_end,"&gt;"&amp;1020)=0,"",IF(COUNTIFS(m_teacher,BG$4,m_date,($G$2+32),m_active,1,m_start,"&lt;"&amp;1080,m_end,"&gt;"&amp;1020)&gt;1,"충돌",HYPERLINK("#'관리자_MASTER'!D"&amp;_xlfn.MAXIFS(m_row,m_teacher,BG$4,m_date,($G$2+32),m_active,1,m_start,"&lt;"&amp;1080,m_end,"&gt;"&amp;1020),INDEX(m_label,_xlfn.MAXIFS(m_row,m_teacher,BG$4,m_date,($G$2+32),m_active,1,m_start,"&lt;"&amp;1080,m_end,"&gt;"&amp;1020))))))</f>
        <v/>
      </c>
      <c r="BH57" s="82" t="str">
        <f aca="false">IF(OR(BH$4="",MONTH(($G$2+32))&lt;&gt;MONTH($C$2)),"",IF(COUNTIFS(m_teacher,BH$4,m_date,($G$2+32),m_active,1,m_start,"&lt;"&amp;1080,m_end,"&gt;"&amp;1020)=0,"",IF(COUNTIFS(m_teacher,BH$4,m_date,($G$2+32),m_active,1,m_start,"&lt;"&amp;1080,m_end,"&gt;"&amp;1020)&gt;1,"충돌",HYPERLINK("#'관리자_MASTER'!D"&amp;_xlfn.MAXIFS(m_row,m_teacher,BH$4,m_date,($G$2+32),m_active,1,m_start,"&lt;"&amp;1080,m_end,"&gt;"&amp;1020),INDEX(m_label,_xlfn.MAXIFS(m_row,m_teacher,BH$4,m_date,($G$2+32),m_active,1,m_start,"&lt;"&amp;1080,m_end,"&gt;"&amp;1020))))))</f>
        <v/>
      </c>
      <c r="BI57" s="82" t="str">
        <f aca="false">IF(OR(BI$4="",MONTH(($G$2+32))&lt;&gt;MONTH($C$2)),"",IF(COUNTIFS(m_teacher,BI$4,m_date,($G$2+32),m_active,1,m_start,"&lt;"&amp;1080,m_end,"&gt;"&amp;1020)=0,"",IF(COUNTIFS(m_teacher,BI$4,m_date,($G$2+32),m_active,1,m_start,"&lt;"&amp;1080,m_end,"&gt;"&amp;1020)&gt;1,"충돌",HYPERLINK("#'관리자_MASTER'!D"&amp;_xlfn.MAXIFS(m_row,m_teacher,BI$4,m_date,($G$2+32),m_active,1,m_start,"&lt;"&amp;1080,m_end,"&gt;"&amp;1020),INDEX(m_label,_xlfn.MAXIFS(m_row,m_teacher,BI$4,m_date,($G$2+32),m_active,1,m_start,"&lt;"&amp;1080,m_end,"&gt;"&amp;1020))))))</f>
        <v/>
      </c>
      <c r="BJ57" s="82" t="str">
        <f aca="false">IF(OR(BJ$4="",MONTH(($G$2+32))&lt;&gt;MONTH($C$2)),"",IF(COUNTIFS(m_teacher,BJ$4,m_date,($G$2+32),m_active,1,m_start,"&lt;"&amp;1080,m_end,"&gt;"&amp;1020)=0,"",IF(COUNTIFS(m_teacher,BJ$4,m_date,($G$2+32),m_active,1,m_start,"&lt;"&amp;1080,m_end,"&gt;"&amp;1020)&gt;1,"충돌",HYPERLINK("#'관리자_MASTER'!D"&amp;_xlfn.MAXIFS(m_row,m_teacher,BJ$4,m_date,($G$2+32),m_active,1,m_start,"&lt;"&amp;1080,m_end,"&gt;"&amp;1020),INDEX(m_label,_xlfn.MAXIFS(m_row,m_teacher,BJ$4,m_date,($G$2+32),m_active,1,m_start,"&lt;"&amp;1080,m_end,"&gt;"&amp;1020))))))</f>
        <v/>
      </c>
      <c r="BK57" s="82" t="str">
        <f aca="false">IF(OR(BK$4="",MONTH(($G$2+32))&lt;&gt;MONTH($C$2)),"",IF(COUNTIFS(m_teacher,BK$4,m_date,($G$2+32),m_active,1,m_start,"&lt;"&amp;1080,m_end,"&gt;"&amp;1020)=0,"",IF(COUNTIFS(m_teacher,BK$4,m_date,($G$2+32),m_active,1,m_start,"&lt;"&amp;1080,m_end,"&gt;"&amp;1020)&gt;1,"충돌",HYPERLINK("#'관리자_MASTER'!D"&amp;_xlfn.MAXIFS(m_row,m_teacher,BK$4,m_date,($G$2+32),m_active,1,m_start,"&lt;"&amp;1080,m_end,"&gt;"&amp;1020),INDEX(m_label,_xlfn.MAXIFS(m_row,m_teacher,BK$4,m_date,($G$2+32),m_active,1,m_start,"&lt;"&amp;1080,m_end,"&gt;"&amp;1020))))))</f>
        <v/>
      </c>
      <c r="BL57" s="82" t="str">
        <f aca="false">IF(OR(BL$4="",MONTH(($G$2+32))&lt;&gt;MONTH($C$2)),"",IF(COUNTIFS(m_teacher,BL$4,m_date,($G$2+32),m_active,1,m_start,"&lt;"&amp;1080,m_end,"&gt;"&amp;1020)=0,"",IF(COUNTIFS(m_teacher,BL$4,m_date,($G$2+32),m_active,1,m_start,"&lt;"&amp;1080,m_end,"&gt;"&amp;1020)&gt;1,"충돌",HYPERLINK("#'관리자_MASTER'!D"&amp;_xlfn.MAXIFS(m_row,m_teacher,BL$4,m_date,($G$2+32),m_active,1,m_start,"&lt;"&amp;1080,m_end,"&gt;"&amp;1020),INDEX(m_label,_xlfn.MAXIFS(m_row,m_teacher,BL$4,m_date,($G$2+32),m_active,1,m_start,"&lt;"&amp;1080,m_end,"&gt;"&amp;1020))))))</f>
        <v/>
      </c>
      <c r="BM57" s="82" t="str">
        <f aca="false">IF(OR(BM$4="",MONTH(($G$2+32))&lt;&gt;MONTH($C$2)),"",IF(COUNTIFS(m_teacher,BM$4,m_date,($G$2+32),m_active,1,m_start,"&lt;"&amp;1080,m_end,"&gt;"&amp;1020)=0,"",IF(COUNTIFS(m_teacher,BM$4,m_date,($G$2+32),m_active,1,m_start,"&lt;"&amp;1080,m_end,"&gt;"&amp;1020)&gt;1,"충돌",HYPERLINK("#'관리자_MASTER'!D"&amp;_xlfn.MAXIFS(m_row,m_teacher,BM$4,m_date,($G$2+32),m_active,1,m_start,"&lt;"&amp;1080,m_end,"&gt;"&amp;1020),INDEX(m_label,_xlfn.MAXIFS(m_row,m_teacher,BM$4,m_date,($G$2+32),m_active,1,m_start,"&lt;"&amp;1080,m_end,"&gt;"&amp;1020))))))</f>
        <v/>
      </c>
      <c r="BN57" s="82" t="str">
        <f aca="false">IF(OR(BN$4="",MONTH(($G$2+32))&lt;&gt;MONTH($C$2)),"",IF(COUNTIFS(m_teacher,BN$4,m_date,($G$2+32),m_active,1,m_start,"&lt;"&amp;1080,m_end,"&gt;"&amp;1020)=0,"",IF(COUNTIFS(m_teacher,BN$4,m_date,($G$2+32),m_active,1,m_start,"&lt;"&amp;1080,m_end,"&gt;"&amp;1020)&gt;1,"충돌",HYPERLINK("#'관리자_MASTER'!D"&amp;_xlfn.MAXIFS(m_row,m_teacher,BN$4,m_date,($G$2+32),m_active,1,m_start,"&lt;"&amp;1080,m_end,"&gt;"&amp;1020),INDEX(m_label,_xlfn.MAXIFS(m_row,m_teacher,BN$4,m_date,($G$2+32),m_active,1,m_start,"&lt;"&amp;1080,m_end,"&gt;"&amp;1020))))))</f>
        <v/>
      </c>
      <c r="BO57" s="82" t="str">
        <f aca="false">IF(OR(BO$4="",MONTH(($G$2+32))&lt;&gt;MONTH($C$2)),"",IF(COUNTIFS(m_teacher,BO$4,m_date,($G$2+32),m_active,1,m_start,"&lt;"&amp;1080,m_end,"&gt;"&amp;1020)=0,"",IF(COUNTIFS(m_teacher,BO$4,m_date,($G$2+32),m_active,1,m_start,"&lt;"&amp;1080,m_end,"&gt;"&amp;1020)&gt;1,"충돌",HYPERLINK("#'관리자_MASTER'!D"&amp;_xlfn.MAXIFS(m_row,m_teacher,BO$4,m_date,($G$2+32),m_active,1,m_start,"&lt;"&amp;1080,m_end,"&gt;"&amp;1020),INDEX(m_label,_xlfn.MAXIFS(m_row,m_teacher,BO$4,m_date,($G$2+32),m_active,1,m_start,"&lt;"&amp;1080,m_end,"&gt;"&amp;1020))))))</f>
        <v/>
      </c>
      <c r="BP57" s="82" t="str">
        <f aca="false">IF(OR(BP$4="",MONTH(($G$2+32))&lt;&gt;MONTH($C$2)),"",IF(COUNTIFS(m_teacher,BP$4,m_date,($G$2+32),m_active,1,m_start,"&lt;"&amp;1080,m_end,"&gt;"&amp;1020)=0,"",IF(COUNTIFS(m_teacher,BP$4,m_date,($G$2+32),m_active,1,m_start,"&lt;"&amp;1080,m_end,"&gt;"&amp;1020)&gt;1,"충돌",HYPERLINK("#'관리자_MASTER'!D"&amp;_xlfn.MAXIFS(m_row,m_teacher,BP$4,m_date,($G$2+32),m_active,1,m_start,"&lt;"&amp;1080,m_end,"&gt;"&amp;1020),INDEX(m_label,_xlfn.MAXIFS(m_row,m_teacher,BP$4,m_date,($G$2+32),m_active,1,m_start,"&lt;"&amp;1080,m_end,"&gt;"&amp;1020))))))</f>
        <v/>
      </c>
      <c r="BQ57" s="82" t="str">
        <f aca="false">IF(OR(BQ$4="",MONTH(($G$2+32))&lt;&gt;MONTH($C$2)),"",IF(COUNTIFS(m_teacher,BQ$4,m_date,($G$2+32),m_active,1,m_start,"&lt;"&amp;1080,m_end,"&gt;"&amp;1020)=0,"",IF(COUNTIFS(m_teacher,BQ$4,m_date,($G$2+32),m_active,1,m_start,"&lt;"&amp;1080,m_end,"&gt;"&amp;1020)&gt;1,"충돌",HYPERLINK("#'관리자_MASTER'!D"&amp;_xlfn.MAXIFS(m_row,m_teacher,BQ$4,m_date,($G$2+32),m_active,1,m_start,"&lt;"&amp;1080,m_end,"&gt;"&amp;1020),INDEX(m_label,_xlfn.MAXIFS(m_row,m_teacher,BQ$4,m_date,($G$2+32),m_active,1,m_start,"&lt;"&amp;1080,m_end,"&gt;"&amp;1020))))))</f>
        <v/>
      </c>
      <c r="BR57" s="82" t="str">
        <f aca="false">IF(OR(BR$4="",MONTH(($G$2+32))&lt;&gt;MONTH($C$2)),"",IF(COUNTIFS(m_teacher,BR$4,m_date,($G$2+32),m_active,1,m_start,"&lt;"&amp;1080,m_end,"&gt;"&amp;1020)=0,"",IF(COUNTIFS(m_teacher,BR$4,m_date,($G$2+32),m_active,1,m_start,"&lt;"&amp;1080,m_end,"&gt;"&amp;1020)&gt;1,"충돌",HYPERLINK("#'관리자_MASTER'!D"&amp;_xlfn.MAXIFS(m_row,m_teacher,BR$4,m_date,($G$2+32),m_active,1,m_start,"&lt;"&amp;1080,m_end,"&gt;"&amp;1020),INDEX(m_label,_xlfn.MAXIFS(m_row,m_teacher,BR$4,m_date,($G$2+32),m_active,1,m_start,"&lt;"&amp;1080,m_end,"&gt;"&amp;1020))))))</f>
        <v/>
      </c>
    </row>
    <row r="58" customFormat="false" ht="19.5" hidden="false" customHeight="true" outlineLevel="0" collapsed="false">
      <c r="A58" s="78"/>
      <c r="B58" s="79" t="s">
        <v>100</v>
      </c>
      <c r="C58" s="82" t="str">
        <f aca="false">IF(OR(C$4="",MONTH(($G$2+4))&lt;&gt;MONTH($C$2)),"",IF(COUNTIFS(m_teacher,C$4,m_date,($G$2+4),m_active,1,m_start,"&lt;"&amp;1140,m_end,"&gt;"&amp;1080)=0,"",IF(COUNTIFS(m_teacher,C$4,m_date,($G$2+4),m_active,1,m_start,"&lt;"&amp;1140,m_end,"&gt;"&amp;1080)&gt;1,"충돌",HYPERLINK("#'관리자_MASTER'!D"&amp;_xlfn.MAXIFS(m_row,m_teacher,C$4,m_date,($G$2+4),m_active,1,m_start,"&lt;"&amp;1140,m_end,"&gt;"&amp;1080),INDEX(m_label,_xlfn.MAXIFS(m_row,m_teacher,C$4,m_date,($G$2+4),m_active,1,m_start,"&lt;"&amp;1140,m_end,"&gt;"&amp;1080))))))</f>
        <v/>
      </c>
      <c r="D58" s="82" t="str">
        <f aca="false">IF(OR(D$4="",MONTH(($G$2+4))&lt;&gt;MONTH($C$2)),"",IF(COUNTIFS(m_teacher,D$4,m_date,($G$2+4),m_active,1,m_start,"&lt;"&amp;1140,m_end,"&gt;"&amp;1080)=0,"",IF(COUNTIFS(m_teacher,D$4,m_date,($G$2+4),m_active,1,m_start,"&lt;"&amp;1140,m_end,"&gt;"&amp;1080)&gt;1,"충돌",HYPERLINK("#'관리자_MASTER'!D"&amp;_xlfn.MAXIFS(m_row,m_teacher,D$4,m_date,($G$2+4),m_active,1,m_start,"&lt;"&amp;1140,m_end,"&gt;"&amp;1080),INDEX(m_label,_xlfn.MAXIFS(m_row,m_teacher,D$4,m_date,($G$2+4),m_active,1,m_start,"&lt;"&amp;1140,m_end,"&gt;"&amp;1080))))))</f>
        <v/>
      </c>
      <c r="E58" s="82" t="str">
        <f aca="false">IF(OR(E$4="",MONTH(($G$2+4))&lt;&gt;MONTH($C$2)),"",IF(COUNTIFS(m_teacher,E$4,m_date,($G$2+4),m_active,1,m_start,"&lt;"&amp;1140,m_end,"&gt;"&amp;1080)=0,"",IF(COUNTIFS(m_teacher,E$4,m_date,($G$2+4),m_active,1,m_start,"&lt;"&amp;1140,m_end,"&gt;"&amp;1080)&gt;1,"충돌",HYPERLINK("#'관리자_MASTER'!D"&amp;_xlfn.MAXIFS(m_row,m_teacher,E$4,m_date,($G$2+4),m_active,1,m_start,"&lt;"&amp;1140,m_end,"&gt;"&amp;1080),INDEX(m_label,_xlfn.MAXIFS(m_row,m_teacher,E$4,m_date,($G$2+4),m_active,1,m_start,"&lt;"&amp;1140,m_end,"&gt;"&amp;1080))))))</f>
        <v/>
      </c>
      <c r="F58" s="82" t="str">
        <f aca="false">IF(OR(F$4="",MONTH(($G$2+4))&lt;&gt;MONTH($C$2)),"",IF(COUNTIFS(m_teacher,F$4,m_date,($G$2+4),m_active,1,m_start,"&lt;"&amp;1140,m_end,"&gt;"&amp;1080)=0,"",IF(COUNTIFS(m_teacher,F$4,m_date,($G$2+4),m_active,1,m_start,"&lt;"&amp;1140,m_end,"&gt;"&amp;1080)&gt;1,"충돌",HYPERLINK("#'관리자_MASTER'!D"&amp;_xlfn.MAXIFS(m_row,m_teacher,F$4,m_date,($G$2+4),m_active,1,m_start,"&lt;"&amp;1140,m_end,"&gt;"&amp;1080),INDEX(m_label,_xlfn.MAXIFS(m_row,m_teacher,F$4,m_date,($G$2+4),m_active,1,m_start,"&lt;"&amp;1140,m_end,"&gt;"&amp;1080))))))</f>
        <v/>
      </c>
      <c r="G58" s="82" t="str">
        <f aca="false">IF(OR(G$4="",MONTH(($G$2+4))&lt;&gt;MONTH($C$2)),"",IF(COUNTIFS(m_teacher,G$4,m_date,($G$2+4),m_active,1,m_start,"&lt;"&amp;1140,m_end,"&gt;"&amp;1080)=0,"",IF(COUNTIFS(m_teacher,G$4,m_date,($G$2+4),m_active,1,m_start,"&lt;"&amp;1140,m_end,"&gt;"&amp;1080)&gt;1,"충돌",HYPERLINK("#'관리자_MASTER'!D"&amp;_xlfn.MAXIFS(m_row,m_teacher,G$4,m_date,($G$2+4),m_active,1,m_start,"&lt;"&amp;1140,m_end,"&gt;"&amp;1080),INDEX(m_label,_xlfn.MAXIFS(m_row,m_teacher,G$4,m_date,($G$2+4),m_active,1,m_start,"&lt;"&amp;1140,m_end,"&gt;"&amp;1080))))))</f>
        <v/>
      </c>
      <c r="H58" s="82" t="str">
        <f aca="false">IF(OR(H$4="",MONTH(($G$2+4))&lt;&gt;MONTH($C$2)),"",IF(COUNTIFS(m_teacher,H$4,m_date,($G$2+4),m_active,1,m_start,"&lt;"&amp;1140,m_end,"&gt;"&amp;1080)=0,"",IF(COUNTIFS(m_teacher,H$4,m_date,($G$2+4),m_active,1,m_start,"&lt;"&amp;1140,m_end,"&gt;"&amp;1080)&gt;1,"충돌",HYPERLINK("#'관리자_MASTER'!D"&amp;_xlfn.MAXIFS(m_row,m_teacher,H$4,m_date,($G$2+4),m_active,1,m_start,"&lt;"&amp;1140,m_end,"&gt;"&amp;1080),INDEX(m_label,_xlfn.MAXIFS(m_row,m_teacher,H$4,m_date,($G$2+4),m_active,1,m_start,"&lt;"&amp;1140,m_end,"&gt;"&amp;1080))))))</f>
        <v/>
      </c>
      <c r="I58" s="82" t="str">
        <f aca="false">IF(OR(I$4="",MONTH(($G$2+4))&lt;&gt;MONTH($C$2)),"",IF(COUNTIFS(m_teacher,I$4,m_date,($G$2+4),m_active,1,m_start,"&lt;"&amp;1140,m_end,"&gt;"&amp;1080)=0,"",IF(COUNTIFS(m_teacher,I$4,m_date,($G$2+4),m_active,1,m_start,"&lt;"&amp;1140,m_end,"&gt;"&amp;1080)&gt;1,"충돌",HYPERLINK("#'관리자_MASTER'!D"&amp;_xlfn.MAXIFS(m_row,m_teacher,I$4,m_date,($G$2+4),m_active,1,m_start,"&lt;"&amp;1140,m_end,"&gt;"&amp;1080),INDEX(m_label,_xlfn.MAXIFS(m_row,m_teacher,I$4,m_date,($G$2+4),m_active,1,m_start,"&lt;"&amp;1140,m_end,"&gt;"&amp;1080))))))</f>
        <v/>
      </c>
      <c r="J58" s="82" t="str">
        <f aca="false">IF(OR(J$4="",MONTH(($G$2+4))&lt;&gt;MONTH($C$2)),"",IF(COUNTIFS(m_teacher,J$4,m_date,($G$2+4),m_active,1,m_start,"&lt;"&amp;1140,m_end,"&gt;"&amp;1080)=0,"",IF(COUNTIFS(m_teacher,J$4,m_date,($G$2+4),m_active,1,m_start,"&lt;"&amp;1140,m_end,"&gt;"&amp;1080)&gt;1,"충돌",HYPERLINK("#'관리자_MASTER'!D"&amp;_xlfn.MAXIFS(m_row,m_teacher,J$4,m_date,($G$2+4),m_active,1,m_start,"&lt;"&amp;1140,m_end,"&gt;"&amp;1080),INDEX(m_label,_xlfn.MAXIFS(m_row,m_teacher,J$4,m_date,($G$2+4),m_active,1,m_start,"&lt;"&amp;1140,m_end,"&gt;"&amp;1080))))))</f>
        <v/>
      </c>
      <c r="K58" s="82" t="str">
        <f aca="false">IF(OR(K$4="",MONTH(($G$2+4))&lt;&gt;MONTH($C$2)),"",IF(COUNTIFS(m_teacher,K$4,m_date,($G$2+4),m_active,1,m_start,"&lt;"&amp;1140,m_end,"&gt;"&amp;1080)=0,"",IF(COUNTIFS(m_teacher,K$4,m_date,($G$2+4),m_active,1,m_start,"&lt;"&amp;1140,m_end,"&gt;"&amp;1080)&gt;1,"충돌",HYPERLINK("#'관리자_MASTER'!D"&amp;_xlfn.MAXIFS(m_row,m_teacher,K$4,m_date,($G$2+4),m_active,1,m_start,"&lt;"&amp;1140,m_end,"&gt;"&amp;1080),INDEX(m_label,_xlfn.MAXIFS(m_row,m_teacher,K$4,m_date,($G$2+4),m_active,1,m_start,"&lt;"&amp;1140,m_end,"&gt;"&amp;1080))))))</f>
        <v/>
      </c>
      <c r="L58" s="82" t="str">
        <f aca="false">IF(OR(L$4="",MONTH(($G$2+4))&lt;&gt;MONTH($C$2)),"",IF(COUNTIFS(m_teacher,L$4,m_date,($G$2+4),m_active,1,m_start,"&lt;"&amp;1140,m_end,"&gt;"&amp;1080)=0,"",IF(COUNTIFS(m_teacher,L$4,m_date,($G$2+4),m_active,1,m_start,"&lt;"&amp;1140,m_end,"&gt;"&amp;1080)&gt;1,"충돌",HYPERLINK("#'관리자_MASTER'!D"&amp;_xlfn.MAXIFS(m_row,m_teacher,L$4,m_date,($G$2+4),m_active,1,m_start,"&lt;"&amp;1140,m_end,"&gt;"&amp;1080),INDEX(m_label,_xlfn.MAXIFS(m_row,m_teacher,L$4,m_date,($G$2+4),m_active,1,m_start,"&lt;"&amp;1140,m_end,"&gt;"&amp;1080))))))</f>
        <v/>
      </c>
      <c r="M58" s="82" t="str">
        <f aca="false">IF(OR(M$4="",MONTH(($G$2+4))&lt;&gt;MONTH($C$2)),"",IF(COUNTIFS(m_teacher,M$4,m_date,($G$2+4),m_active,1,m_start,"&lt;"&amp;1140,m_end,"&gt;"&amp;1080)=0,"",IF(COUNTIFS(m_teacher,M$4,m_date,($G$2+4),m_active,1,m_start,"&lt;"&amp;1140,m_end,"&gt;"&amp;1080)&gt;1,"충돌",HYPERLINK("#'관리자_MASTER'!D"&amp;_xlfn.MAXIFS(m_row,m_teacher,M$4,m_date,($G$2+4),m_active,1,m_start,"&lt;"&amp;1140,m_end,"&gt;"&amp;1080),INDEX(m_label,_xlfn.MAXIFS(m_row,m_teacher,M$4,m_date,($G$2+4),m_active,1,m_start,"&lt;"&amp;1140,m_end,"&gt;"&amp;1080))))))</f>
        <v/>
      </c>
      <c r="N58" s="82" t="str">
        <f aca="false">IF(OR(N$4="",MONTH(($G$2+4))&lt;&gt;MONTH($C$2)),"",IF(COUNTIFS(m_teacher,N$4,m_date,($G$2+4),m_active,1,m_start,"&lt;"&amp;1140,m_end,"&gt;"&amp;1080)=0,"",IF(COUNTIFS(m_teacher,N$4,m_date,($G$2+4),m_active,1,m_start,"&lt;"&amp;1140,m_end,"&gt;"&amp;1080)&gt;1,"충돌",HYPERLINK("#'관리자_MASTER'!D"&amp;_xlfn.MAXIFS(m_row,m_teacher,N$4,m_date,($G$2+4),m_active,1,m_start,"&lt;"&amp;1140,m_end,"&gt;"&amp;1080),INDEX(m_label,_xlfn.MAXIFS(m_row,m_teacher,N$4,m_date,($G$2+4),m_active,1,m_start,"&lt;"&amp;1140,m_end,"&gt;"&amp;1080))))))</f>
        <v/>
      </c>
      <c r="O58" s="78"/>
      <c r="P58" s="79" t="s">
        <v>100</v>
      </c>
      <c r="Q58" s="82" t="str">
        <f aca="false">IF(OR(Q$4="",MONTH(($G$2+11))&lt;&gt;MONTH($C$2)),"",IF(COUNTIFS(m_teacher,Q$4,m_date,($G$2+11),m_active,1,m_start,"&lt;"&amp;1140,m_end,"&gt;"&amp;1080)=0,"",IF(COUNTIFS(m_teacher,Q$4,m_date,($G$2+11),m_active,1,m_start,"&lt;"&amp;1140,m_end,"&gt;"&amp;1080)&gt;1,"충돌",HYPERLINK("#'관리자_MASTER'!D"&amp;_xlfn.MAXIFS(m_row,m_teacher,Q$4,m_date,($G$2+11),m_active,1,m_start,"&lt;"&amp;1140,m_end,"&gt;"&amp;1080),INDEX(m_label,_xlfn.MAXIFS(m_row,m_teacher,Q$4,m_date,($G$2+11),m_active,1,m_start,"&lt;"&amp;1140,m_end,"&gt;"&amp;1080))))))</f>
        <v/>
      </c>
      <c r="R58" s="82" t="str">
        <f aca="false">IF(OR(R$4="",MONTH(($G$2+11))&lt;&gt;MONTH($C$2)),"",IF(COUNTIFS(m_teacher,R$4,m_date,($G$2+11),m_active,1,m_start,"&lt;"&amp;1140,m_end,"&gt;"&amp;1080)=0,"",IF(COUNTIFS(m_teacher,R$4,m_date,($G$2+11),m_active,1,m_start,"&lt;"&amp;1140,m_end,"&gt;"&amp;1080)&gt;1,"충돌",HYPERLINK("#'관리자_MASTER'!D"&amp;_xlfn.MAXIFS(m_row,m_teacher,R$4,m_date,($G$2+11),m_active,1,m_start,"&lt;"&amp;1140,m_end,"&gt;"&amp;1080),INDEX(m_label,_xlfn.MAXIFS(m_row,m_teacher,R$4,m_date,($G$2+11),m_active,1,m_start,"&lt;"&amp;1140,m_end,"&gt;"&amp;1080))))))</f>
        <v/>
      </c>
      <c r="S58" s="82" t="str">
        <f aca="false">IF(OR(S$4="",MONTH(($G$2+11))&lt;&gt;MONTH($C$2)),"",IF(COUNTIFS(m_teacher,S$4,m_date,($G$2+11),m_active,1,m_start,"&lt;"&amp;1140,m_end,"&gt;"&amp;1080)=0,"",IF(COUNTIFS(m_teacher,S$4,m_date,($G$2+11),m_active,1,m_start,"&lt;"&amp;1140,m_end,"&gt;"&amp;1080)&gt;1,"충돌",HYPERLINK("#'관리자_MASTER'!D"&amp;_xlfn.MAXIFS(m_row,m_teacher,S$4,m_date,($G$2+11),m_active,1,m_start,"&lt;"&amp;1140,m_end,"&gt;"&amp;1080),INDEX(m_label,_xlfn.MAXIFS(m_row,m_teacher,S$4,m_date,($G$2+11),m_active,1,m_start,"&lt;"&amp;1140,m_end,"&gt;"&amp;1080))))))</f>
        <v/>
      </c>
      <c r="T58" s="82" t="str">
        <f aca="false">IF(OR(T$4="",MONTH(($G$2+11))&lt;&gt;MONTH($C$2)),"",IF(COUNTIFS(m_teacher,T$4,m_date,($G$2+11),m_active,1,m_start,"&lt;"&amp;1140,m_end,"&gt;"&amp;1080)=0,"",IF(COUNTIFS(m_teacher,T$4,m_date,($G$2+11),m_active,1,m_start,"&lt;"&amp;1140,m_end,"&gt;"&amp;1080)&gt;1,"충돌",HYPERLINK("#'관리자_MASTER'!D"&amp;_xlfn.MAXIFS(m_row,m_teacher,T$4,m_date,($G$2+11),m_active,1,m_start,"&lt;"&amp;1140,m_end,"&gt;"&amp;1080),INDEX(m_label,_xlfn.MAXIFS(m_row,m_teacher,T$4,m_date,($G$2+11),m_active,1,m_start,"&lt;"&amp;1140,m_end,"&gt;"&amp;1080))))))</f>
        <v/>
      </c>
      <c r="U58" s="82" t="str">
        <f aca="false">IF(OR(U$4="",MONTH(($G$2+11))&lt;&gt;MONTH($C$2)),"",IF(COUNTIFS(m_teacher,U$4,m_date,($G$2+11),m_active,1,m_start,"&lt;"&amp;1140,m_end,"&gt;"&amp;1080)=0,"",IF(COUNTIFS(m_teacher,U$4,m_date,($G$2+11),m_active,1,m_start,"&lt;"&amp;1140,m_end,"&gt;"&amp;1080)&gt;1,"충돌",HYPERLINK("#'관리자_MASTER'!D"&amp;_xlfn.MAXIFS(m_row,m_teacher,U$4,m_date,($G$2+11),m_active,1,m_start,"&lt;"&amp;1140,m_end,"&gt;"&amp;1080),INDEX(m_label,_xlfn.MAXIFS(m_row,m_teacher,U$4,m_date,($G$2+11),m_active,1,m_start,"&lt;"&amp;1140,m_end,"&gt;"&amp;1080))))))</f>
        <v/>
      </c>
      <c r="V58" s="82" t="str">
        <f aca="false">IF(OR(V$4="",MONTH(($G$2+11))&lt;&gt;MONTH($C$2)),"",IF(COUNTIFS(m_teacher,V$4,m_date,($G$2+11),m_active,1,m_start,"&lt;"&amp;1140,m_end,"&gt;"&amp;1080)=0,"",IF(COUNTIFS(m_teacher,V$4,m_date,($G$2+11),m_active,1,m_start,"&lt;"&amp;1140,m_end,"&gt;"&amp;1080)&gt;1,"충돌",HYPERLINK("#'관리자_MASTER'!D"&amp;_xlfn.MAXIFS(m_row,m_teacher,V$4,m_date,($G$2+11),m_active,1,m_start,"&lt;"&amp;1140,m_end,"&gt;"&amp;1080),INDEX(m_label,_xlfn.MAXIFS(m_row,m_teacher,V$4,m_date,($G$2+11),m_active,1,m_start,"&lt;"&amp;1140,m_end,"&gt;"&amp;1080))))))</f>
        <v/>
      </c>
      <c r="W58" s="82" t="str">
        <f aca="false">IF(OR(W$4="",MONTH(($G$2+11))&lt;&gt;MONTH($C$2)),"",IF(COUNTIFS(m_teacher,W$4,m_date,($G$2+11),m_active,1,m_start,"&lt;"&amp;1140,m_end,"&gt;"&amp;1080)=0,"",IF(COUNTIFS(m_teacher,W$4,m_date,($G$2+11),m_active,1,m_start,"&lt;"&amp;1140,m_end,"&gt;"&amp;1080)&gt;1,"충돌",HYPERLINK("#'관리자_MASTER'!D"&amp;_xlfn.MAXIFS(m_row,m_teacher,W$4,m_date,($G$2+11),m_active,1,m_start,"&lt;"&amp;1140,m_end,"&gt;"&amp;1080),INDEX(m_label,_xlfn.MAXIFS(m_row,m_teacher,W$4,m_date,($G$2+11),m_active,1,m_start,"&lt;"&amp;1140,m_end,"&gt;"&amp;1080))))))</f>
        <v/>
      </c>
      <c r="X58" s="82" t="str">
        <f aca="false">IF(OR(X$4="",MONTH(($G$2+11))&lt;&gt;MONTH($C$2)),"",IF(COUNTIFS(m_teacher,X$4,m_date,($G$2+11),m_active,1,m_start,"&lt;"&amp;1140,m_end,"&gt;"&amp;1080)=0,"",IF(COUNTIFS(m_teacher,X$4,m_date,($G$2+11),m_active,1,m_start,"&lt;"&amp;1140,m_end,"&gt;"&amp;1080)&gt;1,"충돌",HYPERLINK("#'관리자_MASTER'!D"&amp;_xlfn.MAXIFS(m_row,m_teacher,X$4,m_date,($G$2+11),m_active,1,m_start,"&lt;"&amp;1140,m_end,"&gt;"&amp;1080),INDEX(m_label,_xlfn.MAXIFS(m_row,m_teacher,X$4,m_date,($G$2+11),m_active,1,m_start,"&lt;"&amp;1140,m_end,"&gt;"&amp;1080))))))</f>
        <v/>
      </c>
      <c r="Y58" s="82" t="str">
        <f aca="false">IF(OR(Y$4="",MONTH(($G$2+11))&lt;&gt;MONTH($C$2)),"",IF(COUNTIFS(m_teacher,Y$4,m_date,($G$2+11),m_active,1,m_start,"&lt;"&amp;1140,m_end,"&gt;"&amp;1080)=0,"",IF(COUNTIFS(m_teacher,Y$4,m_date,($G$2+11),m_active,1,m_start,"&lt;"&amp;1140,m_end,"&gt;"&amp;1080)&gt;1,"충돌",HYPERLINK("#'관리자_MASTER'!D"&amp;_xlfn.MAXIFS(m_row,m_teacher,Y$4,m_date,($G$2+11),m_active,1,m_start,"&lt;"&amp;1140,m_end,"&gt;"&amp;1080),INDEX(m_label,_xlfn.MAXIFS(m_row,m_teacher,Y$4,m_date,($G$2+11),m_active,1,m_start,"&lt;"&amp;1140,m_end,"&gt;"&amp;1080))))))</f>
        <v/>
      </c>
      <c r="Z58" s="82" t="str">
        <f aca="false">IF(OR(Z$4="",MONTH(($G$2+11))&lt;&gt;MONTH($C$2)),"",IF(COUNTIFS(m_teacher,Z$4,m_date,($G$2+11),m_active,1,m_start,"&lt;"&amp;1140,m_end,"&gt;"&amp;1080)=0,"",IF(COUNTIFS(m_teacher,Z$4,m_date,($G$2+11),m_active,1,m_start,"&lt;"&amp;1140,m_end,"&gt;"&amp;1080)&gt;1,"충돌",HYPERLINK("#'관리자_MASTER'!D"&amp;_xlfn.MAXIFS(m_row,m_teacher,Z$4,m_date,($G$2+11),m_active,1,m_start,"&lt;"&amp;1140,m_end,"&gt;"&amp;1080),INDEX(m_label,_xlfn.MAXIFS(m_row,m_teacher,Z$4,m_date,($G$2+11),m_active,1,m_start,"&lt;"&amp;1140,m_end,"&gt;"&amp;1080))))))</f>
        <v/>
      </c>
      <c r="AA58" s="82" t="str">
        <f aca="false">IF(OR(AA$4="",MONTH(($G$2+11))&lt;&gt;MONTH($C$2)),"",IF(COUNTIFS(m_teacher,AA$4,m_date,($G$2+11),m_active,1,m_start,"&lt;"&amp;1140,m_end,"&gt;"&amp;1080)=0,"",IF(COUNTIFS(m_teacher,AA$4,m_date,($G$2+11),m_active,1,m_start,"&lt;"&amp;1140,m_end,"&gt;"&amp;1080)&gt;1,"충돌",HYPERLINK("#'관리자_MASTER'!D"&amp;_xlfn.MAXIFS(m_row,m_teacher,AA$4,m_date,($G$2+11),m_active,1,m_start,"&lt;"&amp;1140,m_end,"&gt;"&amp;1080),INDEX(m_label,_xlfn.MAXIFS(m_row,m_teacher,AA$4,m_date,($G$2+11),m_active,1,m_start,"&lt;"&amp;1140,m_end,"&gt;"&amp;1080))))))</f>
        <v/>
      </c>
      <c r="AB58" s="82" t="str">
        <f aca="false">IF(OR(AB$4="",MONTH(($G$2+11))&lt;&gt;MONTH($C$2)),"",IF(COUNTIFS(m_teacher,AB$4,m_date,($G$2+11),m_active,1,m_start,"&lt;"&amp;1140,m_end,"&gt;"&amp;1080)=0,"",IF(COUNTIFS(m_teacher,AB$4,m_date,($G$2+11),m_active,1,m_start,"&lt;"&amp;1140,m_end,"&gt;"&amp;1080)&gt;1,"충돌",HYPERLINK("#'관리자_MASTER'!D"&amp;_xlfn.MAXIFS(m_row,m_teacher,AB$4,m_date,($G$2+11),m_active,1,m_start,"&lt;"&amp;1140,m_end,"&gt;"&amp;1080),INDEX(m_label,_xlfn.MAXIFS(m_row,m_teacher,AB$4,m_date,($G$2+11),m_active,1,m_start,"&lt;"&amp;1140,m_end,"&gt;"&amp;1080))))))</f>
        <v/>
      </c>
      <c r="AC58" s="78"/>
      <c r="AD58" s="79" t="s">
        <v>100</v>
      </c>
      <c r="AE58" s="82" t="str">
        <f aca="false">IF(OR(AE$4="",MONTH(($G$2+18))&lt;&gt;MONTH($C$2)),"",IF(COUNTIFS(m_teacher,AE$4,m_date,($G$2+18),m_active,1,m_start,"&lt;"&amp;1140,m_end,"&gt;"&amp;1080)=0,"",IF(COUNTIFS(m_teacher,AE$4,m_date,($G$2+18),m_active,1,m_start,"&lt;"&amp;1140,m_end,"&gt;"&amp;1080)&gt;1,"충돌",HYPERLINK("#'관리자_MASTER'!D"&amp;_xlfn.MAXIFS(m_row,m_teacher,AE$4,m_date,($G$2+18),m_active,1,m_start,"&lt;"&amp;1140,m_end,"&gt;"&amp;1080),INDEX(m_label,_xlfn.MAXIFS(m_row,m_teacher,AE$4,m_date,($G$2+18),m_active,1,m_start,"&lt;"&amp;1140,m_end,"&gt;"&amp;1080))))))</f>
        <v/>
      </c>
      <c r="AF58" s="82" t="str">
        <f aca="false">IF(OR(AF$4="",MONTH(($G$2+18))&lt;&gt;MONTH($C$2)),"",IF(COUNTIFS(m_teacher,AF$4,m_date,($G$2+18),m_active,1,m_start,"&lt;"&amp;1140,m_end,"&gt;"&amp;1080)=0,"",IF(COUNTIFS(m_teacher,AF$4,m_date,($G$2+18),m_active,1,m_start,"&lt;"&amp;1140,m_end,"&gt;"&amp;1080)&gt;1,"충돌",HYPERLINK("#'관리자_MASTER'!D"&amp;_xlfn.MAXIFS(m_row,m_teacher,AF$4,m_date,($G$2+18),m_active,1,m_start,"&lt;"&amp;1140,m_end,"&gt;"&amp;1080),INDEX(m_label,_xlfn.MAXIFS(m_row,m_teacher,AF$4,m_date,($G$2+18),m_active,1,m_start,"&lt;"&amp;1140,m_end,"&gt;"&amp;1080))))))</f>
        <v/>
      </c>
      <c r="AG58" s="82" t="str">
        <f aca="false">IF(OR(AG$4="",MONTH(($G$2+18))&lt;&gt;MONTH($C$2)),"",IF(COUNTIFS(m_teacher,AG$4,m_date,($G$2+18),m_active,1,m_start,"&lt;"&amp;1140,m_end,"&gt;"&amp;1080)=0,"",IF(COUNTIFS(m_teacher,AG$4,m_date,($G$2+18),m_active,1,m_start,"&lt;"&amp;1140,m_end,"&gt;"&amp;1080)&gt;1,"충돌",HYPERLINK("#'관리자_MASTER'!D"&amp;_xlfn.MAXIFS(m_row,m_teacher,AG$4,m_date,($G$2+18),m_active,1,m_start,"&lt;"&amp;1140,m_end,"&gt;"&amp;1080),INDEX(m_label,_xlfn.MAXIFS(m_row,m_teacher,AG$4,m_date,($G$2+18),m_active,1,m_start,"&lt;"&amp;1140,m_end,"&gt;"&amp;1080))))))</f>
        <v/>
      </c>
      <c r="AH58" s="82" t="str">
        <f aca="false">IF(OR(AH$4="",MONTH(($G$2+18))&lt;&gt;MONTH($C$2)),"",IF(COUNTIFS(m_teacher,AH$4,m_date,($G$2+18),m_active,1,m_start,"&lt;"&amp;1140,m_end,"&gt;"&amp;1080)=0,"",IF(COUNTIFS(m_teacher,AH$4,m_date,($G$2+18),m_active,1,m_start,"&lt;"&amp;1140,m_end,"&gt;"&amp;1080)&gt;1,"충돌",HYPERLINK("#'관리자_MASTER'!D"&amp;_xlfn.MAXIFS(m_row,m_teacher,AH$4,m_date,($G$2+18),m_active,1,m_start,"&lt;"&amp;1140,m_end,"&gt;"&amp;1080),INDEX(m_label,_xlfn.MAXIFS(m_row,m_teacher,AH$4,m_date,($G$2+18),m_active,1,m_start,"&lt;"&amp;1140,m_end,"&gt;"&amp;1080))))))</f>
        <v/>
      </c>
      <c r="AI58" s="82" t="str">
        <f aca="false">IF(OR(AI$4="",MONTH(($G$2+18))&lt;&gt;MONTH($C$2)),"",IF(COUNTIFS(m_teacher,AI$4,m_date,($G$2+18),m_active,1,m_start,"&lt;"&amp;1140,m_end,"&gt;"&amp;1080)=0,"",IF(COUNTIFS(m_teacher,AI$4,m_date,($G$2+18),m_active,1,m_start,"&lt;"&amp;1140,m_end,"&gt;"&amp;1080)&gt;1,"충돌",HYPERLINK("#'관리자_MASTER'!D"&amp;_xlfn.MAXIFS(m_row,m_teacher,AI$4,m_date,($G$2+18),m_active,1,m_start,"&lt;"&amp;1140,m_end,"&gt;"&amp;1080),INDEX(m_label,_xlfn.MAXIFS(m_row,m_teacher,AI$4,m_date,($G$2+18),m_active,1,m_start,"&lt;"&amp;1140,m_end,"&gt;"&amp;1080))))))</f>
        <v/>
      </c>
      <c r="AJ58" s="82" t="str">
        <f aca="false">IF(OR(AJ$4="",MONTH(($G$2+18))&lt;&gt;MONTH($C$2)),"",IF(COUNTIFS(m_teacher,AJ$4,m_date,($G$2+18),m_active,1,m_start,"&lt;"&amp;1140,m_end,"&gt;"&amp;1080)=0,"",IF(COUNTIFS(m_teacher,AJ$4,m_date,($G$2+18),m_active,1,m_start,"&lt;"&amp;1140,m_end,"&gt;"&amp;1080)&gt;1,"충돌",HYPERLINK("#'관리자_MASTER'!D"&amp;_xlfn.MAXIFS(m_row,m_teacher,AJ$4,m_date,($G$2+18),m_active,1,m_start,"&lt;"&amp;1140,m_end,"&gt;"&amp;1080),INDEX(m_label,_xlfn.MAXIFS(m_row,m_teacher,AJ$4,m_date,($G$2+18),m_active,1,m_start,"&lt;"&amp;1140,m_end,"&gt;"&amp;1080))))))</f>
        <v/>
      </c>
      <c r="AK58" s="82" t="str">
        <f aca="false">IF(OR(AK$4="",MONTH(($G$2+18))&lt;&gt;MONTH($C$2)),"",IF(COUNTIFS(m_teacher,AK$4,m_date,($G$2+18),m_active,1,m_start,"&lt;"&amp;1140,m_end,"&gt;"&amp;1080)=0,"",IF(COUNTIFS(m_teacher,AK$4,m_date,($G$2+18),m_active,1,m_start,"&lt;"&amp;1140,m_end,"&gt;"&amp;1080)&gt;1,"충돌",HYPERLINK("#'관리자_MASTER'!D"&amp;_xlfn.MAXIFS(m_row,m_teacher,AK$4,m_date,($G$2+18),m_active,1,m_start,"&lt;"&amp;1140,m_end,"&gt;"&amp;1080),INDEX(m_label,_xlfn.MAXIFS(m_row,m_teacher,AK$4,m_date,($G$2+18),m_active,1,m_start,"&lt;"&amp;1140,m_end,"&gt;"&amp;1080))))))</f>
        <v/>
      </c>
      <c r="AL58" s="82" t="str">
        <f aca="false">IF(OR(AL$4="",MONTH(($G$2+18))&lt;&gt;MONTH($C$2)),"",IF(COUNTIFS(m_teacher,AL$4,m_date,($G$2+18),m_active,1,m_start,"&lt;"&amp;1140,m_end,"&gt;"&amp;1080)=0,"",IF(COUNTIFS(m_teacher,AL$4,m_date,($G$2+18),m_active,1,m_start,"&lt;"&amp;1140,m_end,"&gt;"&amp;1080)&gt;1,"충돌",HYPERLINK("#'관리자_MASTER'!D"&amp;_xlfn.MAXIFS(m_row,m_teacher,AL$4,m_date,($G$2+18),m_active,1,m_start,"&lt;"&amp;1140,m_end,"&gt;"&amp;1080),INDEX(m_label,_xlfn.MAXIFS(m_row,m_teacher,AL$4,m_date,($G$2+18),m_active,1,m_start,"&lt;"&amp;1140,m_end,"&gt;"&amp;1080))))))</f>
        <v/>
      </c>
      <c r="AM58" s="82" t="str">
        <f aca="false">IF(OR(AM$4="",MONTH(($G$2+18))&lt;&gt;MONTH($C$2)),"",IF(COUNTIFS(m_teacher,AM$4,m_date,($G$2+18),m_active,1,m_start,"&lt;"&amp;1140,m_end,"&gt;"&amp;1080)=0,"",IF(COUNTIFS(m_teacher,AM$4,m_date,($G$2+18),m_active,1,m_start,"&lt;"&amp;1140,m_end,"&gt;"&amp;1080)&gt;1,"충돌",HYPERLINK("#'관리자_MASTER'!D"&amp;_xlfn.MAXIFS(m_row,m_teacher,AM$4,m_date,($G$2+18),m_active,1,m_start,"&lt;"&amp;1140,m_end,"&gt;"&amp;1080),INDEX(m_label,_xlfn.MAXIFS(m_row,m_teacher,AM$4,m_date,($G$2+18),m_active,1,m_start,"&lt;"&amp;1140,m_end,"&gt;"&amp;1080))))))</f>
        <v/>
      </c>
      <c r="AN58" s="82" t="str">
        <f aca="false">IF(OR(AN$4="",MONTH(($G$2+18))&lt;&gt;MONTH($C$2)),"",IF(COUNTIFS(m_teacher,AN$4,m_date,($G$2+18),m_active,1,m_start,"&lt;"&amp;1140,m_end,"&gt;"&amp;1080)=0,"",IF(COUNTIFS(m_teacher,AN$4,m_date,($G$2+18),m_active,1,m_start,"&lt;"&amp;1140,m_end,"&gt;"&amp;1080)&gt;1,"충돌",HYPERLINK("#'관리자_MASTER'!D"&amp;_xlfn.MAXIFS(m_row,m_teacher,AN$4,m_date,($G$2+18),m_active,1,m_start,"&lt;"&amp;1140,m_end,"&gt;"&amp;1080),INDEX(m_label,_xlfn.MAXIFS(m_row,m_teacher,AN$4,m_date,($G$2+18),m_active,1,m_start,"&lt;"&amp;1140,m_end,"&gt;"&amp;1080))))))</f>
        <v/>
      </c>
      <c r="AO58" s="82" t="str">
        <f aca="false">IF(OR(AO$4="",MONTH(($G$2+18))&lt;&gt;MONTH($C$2)),"",IF(COUNTIFS(m_teacher,AO$4,m_date,($G$2+18),m_active,1,m_start,"&lt;"&amp;1140,m_end,"&gt;"&amp;1080)=0,"",IF(COUNTIFS(m_teacher,AO$4,m_date,($G$2+18),m_active,1,m_start,"&lt;"&amp;1140,m_end,"&gt;"&amp;1080)&gt;1,"충돌",HYPERLINK("#'관리자_MASTER'!D"&amp;_xlfn.MAXIFS(m_row,m_teacher,AO$4,m_date,($G$2+18),m_active,1,m_start,"&lt;"&amp;1140,m_end,"&gt;"&amp;1080),INDEX(m_label,_xlfn.MAXIFS(m_row,m_teacher,AO$4,m_date,($G$2+18),m_active,1,m_start,"&lt;"&amp;1140,m_end,"&gt;"&amp;1080))))))</f>
        <v/>
      </c>
      <c r="AP58" s="82" t="str">
        <f aca="false">IF(OR(AP$4="",MONTH(($G$2+18))&lt;&gt;MONTH($C$2)),"",IF(COUNTIFS(m_teacher,AP$4,m_date,($G$2+18),m_active,1,m_start,"&lt;"&amp;1140,m_end,"&gt;"&amp;1080)=0,"",IF(COUNTIFS(m_teacher,AP$4,m_date,($G$2+18),m_active,1,m_start,"&lt;"&amp;1140,m_end,"&gt;"&amp;1080)&gt;1,"충돌",HYPERLINK("#'관리자_MASTER'!D"&amp;_xlfn.MAXIFS(m_row,m_teacher,AP$4,m_date,($G$2+18),m_active,1,m_start,"&lt;"&amp;1140,m_end,"&gt;"&amp;1080),INDEX(m_label,_xlfn.MAXIFS(m_row,m_teacher,AP$4,m_date,($G$2+18),m_active,1,m_start,"&lt;"&amp;1140,m_end,"&gt;"&amp;1080))))))</f>
        <v/>
      </c>
      <c r="AQ58" s="78"/>
      <c r="AR58" s="79" t="s">
        <v>100</v>
      </c>
      <c r="AS58" s="82" t="str">
        <f aca="false">IF(OR(AS$4="",MONTH(($G$2+25))&lt;&gt;MONTH($C$2)),"",IF(COUNTIFS(m_teacher,AS$4,m_date,($G$2+25),m_active,1,m_start,"&lt;"&amp;1140,m_end,"&gt;"&amp;1080)=0,"",IF(COUNTIFS(m_teacher,AS$4,m_date,($G$2+25),m_active,1,m_start,"&lt;"&amp;1140,m_end,"&gt;"&amp;1080)&gt;1,"충돌",HYPERLINK("#'관리자_MASTER'!D"&amp;_xlfn.MAXIFS(m_row,m_teacher,AS$4,m_date,($G$2+25),m_active,1,m_start,"&lt;"&amp;1140,m_end,"&gt;"&amp;1080),INDEX(m_label,_xlfn.MAXIFS(m_row,m_teacher,AS$4,m_date,($G$2+25),m_active,1,m_start,"&lt;"&amp;1140,m_end,"&gt;"&amp;1080))))))</f>
        <v/>
      </c>
      <c r="AT58" s="82" t="str">
        <f aca="false">IF(OR(AT$4="",MONTH(($G$2+25))&lt;&gt;MONTH($C$2)),"",IF(COUNTIFS(m_teacher,AT$4,m_date,($G$2+25),m_active,1,m_start,"&lt;"&amp;1140,m_end,"&gt;"&amp;1080)=0,"",IF(COUNTIFS(m_teacher,AT$4,m_date,($G$2+25),m_active,1,m_start,"&lt;"&amp;1140,m_end,"&gt;"&amp;1080)&gt;1,"충돌",HYPERLINK("#'관리자_MASTER'!D"&amp;_xlfn.MAXIFS(m_row,m_teacher,AT$4,m_date,($G$2+25),m_active,1,m_start,"&lt;"&amp;1140,m_end,"&gt;"&amp;1080),INDEX(m_label,_xlfn.MAXIFS(m_row,m_teacher,AT$4,m_date,($G$2+25),m_active,1,m_start,"&lt;"&amp;1140,m_end,"&gt;"&amp;1080))))))</f>
        <v/>
      </c>
      <c r="AU58" s="82" t="str">
        <f aca="false">IF(OR(AU$4="",MONTH(($G$2+25))&lt;&gt;MONTH($C$2)),"",IF(COUNTIFS(m_teacher,AU$4,m_date,($G$2+25),m_active,1,m_start,"&lt;"&amp;1140,m_end,"&gt;"&amp;1080)=0,"",IF(COUNTIFS(m_teacher,AU$4,m_date,($G$2+25),m_active,1,m_start,"&lt;"&amp;1140,m_end,"&gt;"&amp;1080)&gt;1,"충돌",HYPERLINK("#'관리자_MASTER'!D"&amp;_xlfn.MAXIFS(m_row,m_teacher,AU$4,m_date,($G$2+25),m_active,1,m_start,"&lt;"&amp;1140,m_end,"&gt;"&amp;1080),INDEX(m_label,_xlfn.MAXIFS(m_row,m_teacher,AU$4,m_date,($G$2+25),m_active,1,m_start,"&lt;"&amp;1140,m_end,"&gt;"&amp;1080))))))</f>
        <v/>
      </c>
      <c r="AV58" s="82" t="str">
        <f aca="false">IF(OR(AV$4="",MONTH(($G$2+25))&lt;&gt;MONTH($C$2)),"",IF(COUNTIFS(m_teacher,AV$4,m_date,($G$2+25),m_active,1,m_start,"&lt;"&amp;1140,m_end,"&gt;"&amp;1080)=0,"",IF(COUNTIFS(m_teacher,AV$4,m_date,($G$2+25),m_active,1,m_start,"&lt;"&amp;1140,m_end,"&gt;"&amp;1080)&gt;1,"충돌",HYPERLINK("#'관리자_MASTER'!D"&amp;_xlfn.MAXIFS(m_row,m_teacher,AV$4,m_date,($G$2+25),m_active,1,m_start,"&lt;"&amp;1140,m_end,"&gt;"&amp;1080),INDEX(m_label,_xlfn.MAXIFS(m_row,m_teacher,AV$4,m_date,($G$2+25),m_active,1,m_start,"&lt;"&amp;1140,m_end,"&gt;"&amp;1080))))))</f>
        <v/>
      </c>
      <c r="AW58" s="82" t="str">
        <f aca="false">IF(OR(AW$4="",MONTH(($G$2+25))&lt;&gt;MONTH($C$2)),"",IF(COUNTIFS(m_teacher,AW$4,m_date,($G$2+25),m_active,1,m_start,"&lt;"&amp;1140,m_end,"&gt;"&amp;1080)=0,"",IF(COUNTIFS(m_teacher,AW$4,m_date,($G$2+25),m_active,1,m_start,"&lt;"&amp;1140,m_end,"&gt;"&amp;1080)&gt;1,"충돌",HYPERLINK("#'관리자_MASTER'!D"&amp;_xlfn.MAXIFS(m_row,m_teacher,AW$4,m_date,($G$2+25),m_active,1,m_start,"&lt;"&amp;1140,m_end,"&gt;"&amp;1080),INDEX(m_label,_xlfn.MAXIFS(m_row,m_teacher,AW$4,m_date,($G$2+25),m_active,1,m_start,"&lt;"&amp;1140,m_end,"&gt;"&amp;1080))))))</f>
        <v/>
      </c>
      <c r="AX58" s="82" t="str">
        <f aca="false">IF(OR(AX$4="",MONTH(($G$2+25))&lt;&gt;MONTH($C$2)),"",IF(COUNTIFS(m_teacher,AX$4,m_date,($G$2+25),m_active,1,m_start,"&lt;"&amp;1140,m_end,"&gt;"&amp;1080)=0,"",IF(COUNTIFS(m_teacher,AX$4,m_date,($G$2+25),m_active,1,m_start,"&lt;"&amp;1140,m_end,"&gt;"&amp;1080)&gt;1,"충돌",HYPERLINK("#'관리자_MASTER'!D"&amp;_xlfn.MAXIFS(m_row,m_teacher,AX$4,m_date,($G$2+25),m_active,1,m_start,"&lt;"&amp;1140,m_end,"&gt;"&amp;1080),INDEX(m_label,_xlfn.MAXIFS(m_row,m_teacher,AX$4,m_date,($G$2+25),m_active,1,m_start,"&lt;"&amp;1140,m_end,"&gt;"&amp;1080))))))</f>
        <v/>
      </c>
      <c r="AY58" s="82" t="str">
        <f aca="false">IF(OR(AY$4="",MONTH(($G$2+25))&lt;&gt;MONTH($C$2)),"",IF(COUNTIFS(m_teacher,AY$4,m_date,($G$2+25),m_active,1,m_start,"&lt;"&amp;1140,m_end,"&gt;"&amp;1080)=0,"",IF(COUNTIFS(m_teacher,AY$4,m_date,($G$2+25),m_active,1,m_start,"&lt;"&amp;1140,m_end,"&gt;"&amp;1080)&gt;1,"충돌",HYPERLINK("#'관리자_MASTER'!D"&amp;_xlfn.MAXIFS(m_row,m_teacher,AY$4,m_date,($G$2+25),m_active,1,m_start,"&lt;"&amp;1140,m_end,"&gt;"&amp;1080),INDEX(m_label,_xlfn.MAXIFS(m_row,m_teacher,AY$4,m_date,($G$2+25),m_active,1,m_start,"&lt;"&amp;1140,m_end,"&gt;"&amp;1080))))))</f>
        <v/>
      </c>
      <c r="AZ58" s="82" t="str">
        <f aca="false">IF(OR(AZ$4="",MONTH(($G$2+25))&lt;&gt;MONTH($C$2)),"",IF(COUNTIFS(m_teacher,AZ$4,m_date,($G$2+25),m_active,1,m_start,"&lt;"&amp;1140,m_end,"&gt;"&amp;1080)=0,"",IF(COUNTIFS(m_teacher,AZ$4,m_date,($G$2+25),m_active,1,m_start,"&lt;"&amp;1140,m_end,"&gt;"&amp;1080)&gt;1,"충돌",HYPERLINK("#'관리자_MASTER'!D"&amp;_xlfn.MAXIFS(m_row,m_teacher,AZ$4,m_date,($G$2+25),m_active,1,m_start,"&lt;"&amp;1140,m_end,"&gt;"&amp;1080),INDEX(m_label,_xlfn.MAXIFS(m_row,m_teacher,AZ$4,m_date,($G$2+25),m_active,1,m_start,"&lt;"&amp;1140,m_end,"&gt;"&amp;1080))))))</f>
        <v/>
      </c>
      <c r="BA58" s="82" t="str">
        <f aca="false">IF(OR(BA$4="",MONTH(($G$2+25))&lt;&gt;MONTH($C$2)),"",IF(COUNTIFS(m_teacher,BA$4,m_date,($G$2+25),m_active,1,m_start,"&lt;"&amp;1140,m_end,"&gt;"&amp;1080)=0,"",IF(COUNTIFS(m_teacher,BA$4,m_date,($G$2+25),m_active,1,m_start,"&lt;"&amp;1140,m_end,"&gt;"&amp;1080)&gt;1,"충돌",HYPERLINK("#'관리자_MASTER'!D"&amp;_xlfn.MAXIFS(m_row,m_teacher,BA$4,m_date,($G$2+25),m_active,1,m_start,"&lt;"&amp;1140,m_end,"&gt;"&amp;1080),INDEX(m_label,_xlfn.MAXIFS(m_row,m_teacher,BA$4,m_date,($G$2+25),m_active,1,m_start,"&lt;"&amp;1140,m_end,"&gt;"&amp;1080))))))</f>
        <v/>
      </c>
      <c r="BB58" s="82" t="str">
        <f aca="false">IF(OR(BB$4="",MONTH(($G$2+25))&lt;&gt;MONTH($C$2)),"",IF(COUNTIFS(m_teacher,BB$4,m_date,($G$2+25),m_active,1,m_start,"&lt;"&amp;1140,m_end,"&gt;"&amp;1080)=0,"",IF(COUNTIFS(m_teacher,BB$4,m_date,($G$2+25),m_active,1,m_start,"&lt;"&amp;1140,m_end,"&gt;"&amp;1080)&gt;1,"충돌",HYPERLINK("#'관리자_MASTER'!D"&amp;_xlfn.MAXIFS(m_row,m_teacher,BB$4,m_date,($G$2+25),m_active,1,m_start,"&lt;"&amp;1140,m_end,"&gt;"&amp;1080),INDEX(m_label,_xlfn.MAXIFS(m_row,m_teacher,BB$4,m_date,($G$2+25),m_active,1,m_start,"&lt;"&amp;1140,m_end,"&gt;"&amp;1080))))))</f>
        <v/>
      </c>
      <c r="BC58" s="82" t="str">
        <f aca="false">IF(OR(BC$4="",MONTH(($G$2+25))&lt;&gt;MONTH($C$2)),"",IF(COUNTIFS(m_teacher,BC$4,m_date,($G$2+25),m_active,1,m_start,"&lt;"&amp;1140,m_end,"&gt;"&amp;1080)=0,"",IF(COUNTIFS(m_teacher,BC$4,m_date,($G$2+25),m_active,1,m_start,"&lt;"&amp;1140,m_end,"&gt;"&amp;1080)&gt;1,"충돌",HYPERLINK("#'관리자_MASTER'!D"&amp;_xlfn.MAXIFS(m_row,m_teacher,BC$4,m_date,($G$2+25),m_active,1,m_start,"&lt;"&amp;1140,m_end,"&gt;"&amp;1080),INDEX(m_label,_xlfn.MAXIFS(m_row,m_teacher,BC$4,m_date,($G$2+25),m_active,1,m_start,"&lt;"&amp;1140,m_end,"&gt;"&amp;1080))))))</f>
        <v/>
      </c>
      <c r="BD58" s="82" t="str">
        <f aca="false">IF(OR(BD$4="",MONTH(($G$2+25))&lt;&gt;MONTH($C$2)),"",IF(COUNTIFS(m_teacher,BD$4,m_date,($G$2+25),m_active,1,m_start,"&lt;"&amp;1140,m_end,"&gt;"&amp;1080)=0,"",IF(COUNTIFS(m_teacher,BD$4,m_date,($G$2+25),m_active,1,m_start,"&lt;"&amp;1140,m_end,"&gt;"&amp;1080)&gt;1,"충돌",HYPERLINK("#'관리자_MASTER'!D"&amp;_xlfn.MAXIFS(m_row,m_teacher,BD$4,m_date,($G$2+25),m_active,1,m_start,"&lt;"&amp;1140,m_end,"&gt;"&amp;1080),INDEX(m_label,_xlfn.MAXIFS(m_row,m_teacher,BD$4,m_date,($G$2+25),m_active,1,m_start,"&lt;"&amp;1140,m_end,"&gt;"&amp;1080))))))</f>
        <v/>
      </c>
      <c r="BE58" s="78"/>
      <c r="BF58" s="79" t="s">
        <v>100</v>
      </c>
      <c r="BG58" s="82" t="str">
        <f aca="false">IF(OR(BG$4="",MONTH(($G$2+32))&lt;&gt;MONTH($C$2)),"",IF(COUNTIFS(m_teacher,BG$4,m_date,($G$2+32),m_active,1,m_start,"&lt;"&amp;1140,m_end,"&gt;"&amp;1080)=0,"",IF(COUNTIFS(m_teacher,BG$4,m_date,($G$2+32),m_active,1,m_start,"&lt;"&amp;1140,m_end,"&gt;"&amp;1080)&gt;1,"충돌",HYPERLINK("#'관리자_MASTER'!D"&amp;_xlfn.MAXIFS(m_row,m_teacher,BG$4,m_date,($G$2+32),m_active,1,m_start,"&lt;"&amp;1140,m_end,"&gt;"&amp;1080),INDEX(m_label,_xlfn.MAXIFS(m_row,m_teacher,BG$4,m_date,($G$2+32),m_active,1,m_start,"&lt;"&amp;1140,m_end,"&gt;"&amp;1080))))))</f>
        <v/>
      </c>
      <c r="BH58" s="82" t="str">
        <f aca="false">IF(OR(BH$4="",MONTH(($G$2+32))&lt;&gt;MONTH($C$2)),"",IF(COUNTIFS(m_teacher,BH$4,m_date,($G$2+32),m_active,1,m_start,"&lt;"&amp;1140,m_end,"&gt;"&amp;1080)=0,"",IF(COUNTIFS(m_teacher,BH$4,m_date,($G$2+32),m_active,1,m_start,"&lt;"&amp;1140,m_end,"&gt;"&amp;1080)&gt;1,"충돌",HYPERLINK("#'관리자_MASTER'!D"&amp;_xlfn.MAXIFS(m_row,m_teacher,BH$4,m_date,($G$2+32),m_active,1,m_start,"&lt;"&amp;1140,m_end,"&gt;"&amp;1080),INDEX(m_label,_xlfn.MAXIFS(m_row,m_teacher,BH$4,m_date,($G$2+32),m_active,1,m_start,"&lt;"&amp;1140,m_end,"&gt;"&amp;1080))))))</f>
        <v/>
      </c>
      <c r="BI58" s="82" t="str">
        <f aca="false">IF(OR(BI$4="",MONTH(($G$2+32))&lt;&gt;MONTH($C$2)),"",IF(COUNTIFS(m_teacher,BI$4,m_date,($G$2+32),m_active,1,m_start,"&lt;"&amp;1140,m_end,"&gt;"&amp;1080)=0,"",IF(COUNTIFS(m_teacher,BI$4,m_date,($G$2+32),m_active,1,m_start,"&lt;"&amp;1140,m_end,"&gt;"&amp;1080)&gt;1,"충돌",HYPERLINK("#'관리자_MASTER'!D"&amp;_xlfn.MAXIFS(m_row,m_teacher,BI$4,m_date,($G$2+32),m_active,1,m_start,"&lt;"&amp;1140,m_end,"&gt;"&amp;1080),INDEX(m_label,_xlfn.MAXIFS(m_row,m_teacher,BI$4,m_date,($G$2+32),m_active,1,m_start,"&lt;"&amp;1140,m_end,"&gt;"&amp;1080))))))</f>
        <v/>
      </c>
      <c r="BJ58" s="82" t="str">
        <f aca="false">IF(OR(BJ$4="",MONTH(($G$2+32))&lt;&gt;MONTH($C$2)),"",IF(COUNTIFS(m_teacher,BJ$4,m_date,($G$2+32),m_active,1,m_start,"&lt;"&amp;1140,m_end,"&gt;"&amp;1080)=0,"",IF(COUNTIFS(m_teacher,BJ$4,m_date,($G$2+32),m_active,1,m_start,"&lt;"&amp;1140,m_end,"&gt;"&amp;1080)&gt;1,"충돌",HYPERLINK("#'관리자_MASTER'!D"&amp;_xlfn.MAXIFS(m_row,m_teacher,BJ$4,m_date,($G$2+32),m_active,1,m_start,"&lt;"&amp;1140,m_end,"&gt;"&amp;1080),INDEX(m_label,_xlfn.MAXIFS(m_row,m_teacher,BJ$4,m_date,($G$2+32),m_active,1,m_start,"&lt;"&amp;1140,m_end,"&gt;"&amp;1080))))))</f>
        <v/>
      </c>
      <c r="BK58" s="82" t="str">
        <f aca="false">IF(OR(BK$4="",MONTH(($G$2+32))&lt;&gt;MONTH($C$2)),"",IF(COUNTIFS(m_teacher,BK$4,m_date,($G$2+32),m_active,1,m_start,"&lt;"&amp;1140,m_end,"&gt;"&amp;1080)=0,"",IF(COUNTIFS(m_teacher,BK$4,m_date,($G$2+32),m_active,1,m_start,"&lt;"&amp;1140,m_end,"&gt;"&amp;1080)&gt;1,"충돌",HYPERLINK("#'관리자_MASTER'!D"&amp;_xlfn.MAXIFS(m_row,m_teacher,BK$4,m_date,($G$2+32),m_active,1,m_start,"&lt;"&amp;1140,m_end,"&gt;"&amp;1080),INDEX(m_label,_xlfn.MAXIFS(m_row,m_teacher,BK$4,m_date,($G$2+32),m_active,1,m_start,"&lt;"&amp;1140,m_end,"&gt;"&amp;1080))))))</f>
        <v/>
      </c>
      <c r="BL58" s="82" t="str">
        <f aca="false">IF(OR(BL$4="",MONTH(($G$2+32))&lt;&gt;MONTH($C$2)),"",IF(COUNTIFS(m_teacher,BL$4,m_date,($G$2+32),m_active,1,m_start,"&lt;"&amp;1140,m_end,"&gt;"&amp;1080)=0,"",IF(COUNTIFS(m_teacher,BL$4,m_date,($G$2+32),m_active,1,m_start,"&lt;"&amp;1140,m_end,"&gt;"&amp;1080)&gt;1,"충돌",HYPERLINK("#'관리자_MASTER'!D"&amp;_xlfn.MAXIFS(m_row,m_teacher,BL$4,m_date,($G$2+32),m_active,1,m_start,"&lt;"&amp;1140,m_end,"&gt;"&amp;1080),INDEX(m_label,_xlfn.MAXIFS(m_row,m_teacher,BL$4,m_date,($G$2+32),m_active,1,m_start,"&lt;"&amp;1140,m_end,"&gt;"&amp;1080))))))</f>
        <v/>
      </c>
      <c r="BM58" s="82" t="str">
        <f aca="false">IF(OR(BM$4="",MONTH(($G$2+32))&lt;&gt;MONTH($C$2)),"",IF(COUNTIFS(m_teacher,BM$4,m_date,($G$2+32),m_active,1,m_start,"&lt;"&amp;1140,m_end,"&gt;"&amp;1080)=0,"",IF(COUNTIFS(m_teacher,BM$4,m_date,($G$2+32),m_active,1,m_start,"&lt;"&amp;1140,m_end,"&gt;"&amp;1080)&gt;1,"충돌",HYPERLINK("#'관리자_MASTER'!D"&amp;_xlfn.MAXIFS(m_row,m_teacher,BM$4,m_date,($G$2+32),m_active,1,m_start,"&lt;"&amp;1140,m_end,"&gt;"&amp;1080),INDEX(m_label,_xlfn.MAXIFS(m_row,m_teacher,BM$4,m_date,($G$2+32),m_active,1,m_start,"&lt;"&amp;1140,m_end,"&gt;"&amp;1080))))))</f>
        <v/>
      </c>
      <c r="BN58" s="82" t="str">
        <f aca="false">IF(OR(BN$4="",MONTH(($G$2+32))&lt;&gt;MONTH($C$2)),"",IF(COUNTIFS(m_teacher,BN$4,m_date,($G$2+32),m_active,1,m_start,"&lt;"&amp;1140,m_end,"&gt;"&amp;1080)=0,"",IF(COUNTIFS(m_teacher,BN$4,m_date,($G$2+32),m_active,1,m_start,"&lt;"&amp;1140,m_end,"&gt;"&amp;1080)&gt;1,"충돌",HYPERLINK("#'관리자_MASTER'!D"&amp;_xlfn.MAXIFS(m_row,m_teacher,BN$4,m_date,($G$2+32),m_active,1,m_start,"&lt;"&amp;1140,m_end,"&gt;"&amp;1080),INDEX(m_label,_xlfn.MAXIFS(m_row,m_teacher,BN$4,m_date,($G$2+32),m_active,1,m_start,"&lt;"&amp;1140,m_end,"&gt;"&amp;1080))))))</f>
        <v/>
      </c>
      <c r="BO58" s="82" t="str">
        <f aca="false">IF(OR(BO$4="",MONTH(($G$2+32))&lt;&gt;MONTH($C$2)),"",IF(COUNTIFS(m_teacher,BO$4,m_date,($G$2+32),m_active,1,m_start,"&lt;"&amp;1140,m_end,"&gt;"&amp;1080)=0,"",IF(COUNTIFS(m_teacher,BO$4,m_date,($G$2+32),m_active,1,m_start,"&lt;"&amp;1140,m_end,"&gt;"&amp;1080)&gt;1,"충돌",HYPERLINK("#'관리자_MASTER'!D"&amp;_xlfn.MAXIFS(m_row,m_teacher,BO$4,m_date,($G$2+32),m_active,1,m_start,"&lt;"&amp;1140,m_end,"&gt;"&amp;1080),INDEX(m_label,_xlfn.MAXIFS(m_row,m_teacher,BO$4,m_date,($G$2+32),m_active,1,m_start,"&lt;"&amp;1140,m_end,"&gt;"&amp;1080))))))</f>
        <v/>
      </c>
      <c r="BP58" s="82" t="str">
        <f aca="false">IF(OR(BP$4="",MONTH(($G$2+32))&lt;&gt;MONTH($C$2)),"",IF(COUNTIFS(m_teacher,BP$4,m_date,($G$2+32),m_active,1,m_start,"&lt;"&amp;1140,m_end,"&gt;"&amp;1080)=0,"",IF(COUNTIFS(m_teacher,BP$4,m_date,($G$2+32),m_active,1,m_start,"&lt;"&amp;1140,m_end,"&gt;"&amp;1080)&gt;1,"충돌",HYPERLINK("#'관리자_MASTER'!D"&amp;_xlfn.MAXIFS(m_row,m_teacher,BP$4,m_date,($G$2+32),m_active,1,m_start,"&lt;"&amp;1140,m_end,"&gt;"&amp;1080),INDEX(m_label,_xlfn.MAXIFS(m_row,m_teacher,BP$4,m_date,($G$2+32),m_active,1,m_start,"&lt;"&amp;1140,m_end,"&gt;"&amp;1080))))))</f>
        <v/>
      </c>
      <c r="BQ58" s="82" t="str">
        <f aca="false">IF(OR(BQ$4="",MONTH(($G$2+32))&lt;&gt;MONTH($C$2)),"",IF(COUNTIFS(m_teacher,BQ$4,m_date,($G$2+32),m_active,1,m_start,"&lt;"&amp;1140,m_end,"&gt;"&amp;1080)=0,"",IF(COUNTIFS(m_teacher,BQ$4,m_date,($G$2+32),m_active,1,m_start,"&lt;"&amp;1140,m_end,"&gt;"&amp;1080)&gt;1,"충돌",HYPERLINK("#'관리자_MASTER'!D"&amp;_xlfn.MAXIFS(m_row,m_teacher,BQ$4,m_date,($G$2+32),m_active,1,m_start,"&lt;"&amp;1140,m_end,"&gt;"&amp;1080),INDEX(m_label,_xlfn.MAXIFS(m_row,m_teacher,BQ$4,m_date,($G$2+32),m_active,1,m_start,"&lt;"&amp;1140,m_end,"&gt;"&amp;1080))))))</f>
        <v/>
      </c>
      <c r="BR58" s="82" t="str">
        <f aca="false">IF(OR(BR$4="",MONTH(($G$2+32))&lt;&gt;MONTH($C$2)),"",IF(COUNTIFS(m_teacher,BR$4,m_date,($G$2+32),m_active,1,m_start,"&lt;"&amp;1140,m_end,"&gt;"&amp;1080)=0,"",IF(COUNTIFS(m_teacher,BR$4,m_date,($G$2+32),m_active,1,m_start,"&lt;"&amp;1140,m_end,"&gt;"&amp;1080)&gt;1,"충돌",HYPERLINK("#'관리자_MASTER'!D"&amp;_xlfn.MAXIFS(m_row,m_teacher,BR$4,m_date,($G$2+32),m_active,1,m_start,"&lt;"&amp;1140,m_end,"&gt;"&amp;1080),INDEX(m_label,_xlfn.MAXIFS(m_row,m_teacher,BR$4,m_date,($G$2+32),m_active,1,m_start,"&lt;"&amp;1140,m_end,"&gt;"&amp;1080))))))</f>
        <v/>
      </c>
    </row>
    <row r="59" customFormat="false" ht="19.5" hidden="false" customHeight="true" outlineLevel="0" collapsed="false">
      <c r="A59" s="78"/>
      <c r="B59" s="85" t="s">
        <v>101</v>
      </c>
      <c r="C59" s="86" t="str">
        <f aca="false">IF(OR(C$4="",MONTH(($G$2+4))&lt;&gt;MONTH($C$2)),"",IF(COUNTIFS(m_teacher,C$4,m_date,($G$2+4),m_active,1,m_start,"&lt;"&amp;1440,m_end,"&gt;"&amp;1140)=0,"",IF(COUNTIFS(m_teacher,C$4,m_date,($G$2+4),m_active,1,m_start,"&lt;"&amp;1440,m_end,"&gt;"&amp;1140)&gt;1,"충돌",HYPERLINK("#'관리자_MASTER'!D"&amp;_xlfn.MAXIFS(m_row,m_teacher,C$4,m_date,($G$2+4),m_active,1,m_start,"&lt;"&amp;1440,m_end,"&gt;"&amp;1140),INDEX(m_label,_xlfn.MAXIFS(m_row,m_teacher,C$4,m_date,($G$2+4),m_active,1,m_start,"&lt;"&amp;1440,m_end,"&gt;"&amp;1140))))))</f>
        <v/>
      </c>
      <c r="D59" s="86" t="str">
        <f aca="false">IF(OR(D$4="",MONTH(($G$2+4))&lt;&gt;MONTH($C$2)),"",IF(COUNTIFS(m_teacher,D$4,m_date,($G$2+4),m_active,1,m_start,"&lt;"&amp;1440,m_end,"&gt;"&amp;1140)=0,"",IF(COUNTIFS(m_teacher,D$4,m_date,($G$2+4),m_active,1,m_start,"&lt;"&amp;1440,m_end,"&gt;"&amp;1140)&gt;1,"충돌",HYPERLINK("#'관리자_MASTER'!D"&amp;_xlfn.MAXIFS(m_row,m_teacher,D$4,m_date,($G$2+4),m_active,1,m_start,"&lt;"&amp;1440,m_end,"&gt;"&amp;1140),INDEX(m_label,_xlfn.MAXIFS(m_row,m_teacher,D$4,m_date,($G$2+4),m_active,1,m_start,"&lt;"&amp;1440,m_end,"&gt;"&amp;1140))))))</f>
        <v/>
      </c>
      <c r="E59" s="86" t="str">
        <f aca="false">IF(OR(E$4="",MONTH(($G$2+4))&lt;&gt;MONTH($C$2)),"",IF(COUNTIFS(m_teacher,E$4,m_date,($G$2+4),m_active,1,m_start,"&lt;"&amp;1440,m_end,"&gt;"&amp;1140)=0,"",IF(COUNTIFS(m_teacher,E$4,m_date,($G$2+4),m_active,1,m_start,"&lt;"&amp;1440,m_end,"&gt;"&amp;1140)&gt;1,"충돌",HYPERLINK("#'관리자_MASTER'!D"&amp;_xlfn.MAXIFS(m_row,m_teacher,E$4,m_date,($G$2+4),m_active,1,m_start,"&lt;"&amp;1440,m_end,"&gt;"&amp;1140),INDEX(m_label,_xlfn.MAXIFS(m_row,m_teacher,E$4,m_date,($G$2+4),m_active,1,m_start,"&lt;"&amp;1440,m_end,"&gt;"&amp;1140))))))</f>
        <v/>
      </c>
      <c r="F59" s="86" t="str">
        <f aca="false">IF(OR(F$4="",MONTH(($G$2+4))&lt;&gt;MONTH($C$2)),"",IF(COUNTIFS(m_teacher,F$4,m_date,($G$2+4),m_active,1,m_start,"&lt;"&amp;1440,m_end,"&gt;"&amp;1140)=0,"",IF(COUNTIFS(m_teacher,F$4,m_date,($G$2+4),m_active,1,m_start,"&lt;"&amp;1440,m_end,"&gt;"&amp;1140)&gt;1,"충돌",HYPERLINK("#'관리자_MASTER'!D"&amp;_xlfn.MAXIFS(m_row,m_teacher,F$4,m_date,($G$2+4),m_active,1,m_start,"&lt;"&amp;1440,m_end,"&gt;"&amp;1140),INDEX(m_label,_xlfn.MAXIFS(m_row,m_teacher,F$4,m_date,($G$2+4),m_active,1,m_start,"&lt;"&amp;1440,m_end,"&gt;"&amp;1140))))))</f>
        <v/>
      </c>
      <c r="G59" s="86" t="str">
        <f aca="false">IF(OR(G$4="",MONTH(($G$2+4))&lt;&gt;MONTH($C$2)),"",IF(COUNTIFS(m_teacher,G$4,m_date,($G$2+4),m_active,1,m_start,"&lt;"&amp;1440,m_end,"&gt;"&amp;1140)=0,"",IF(COUNTIFS(m_teacher,G$4,m_date,($G$2+4),m_active,1,m_start,"&lt;"&amp;1440,m_end,"&gt;"&amp;1140)&gt;1,"충돌",HYPERLINK("#'관리자_MASTER'!D"&amp;_xlfn.MAXIFS(m_row,m_teacher,G$4,m_date,($G$2+4),m_active,1,m_start,"&lt;"&amp;1440,m_end,"&gt;"&amp;1140),INDEX(m_label,_xlfn.MAXIFS(m_row,m_teacher,G$4,m_date,($G$2+4),m_active,1,m_start,"&lt;"&amp;1440,m_end,"&gt;"&amp;1140))))))</f>
        <v/>
      </c>
      <c r="H59" s="86" t="str">
        <f aca="false">IF(OR(H$4="",MONTH(($G$2+4))&lt;&gt;MONTH($C$2)),"",IF(COUNTIFS(m_teacher,H$4,m_date,($G$2+4),m_active,1,m_start,"&lt;"&amp;1440,m_end,"&gt;"&amp;1140)=0,"",IF(COUNTIFS(m_teacher,H$4,m_date,($G$2+4),m_active,1,m_start,"&lt;"&amp;1440,m_end,"&gt;"&amp;1140)&gt;1,"충돌",HYPERLINK("#'관리자_MASTER'!D"&amp;_xlfn.MAXIFS(m_row,m_teacher,H$4,m_date,($G$2+4),m_active,1,m_start,"&lt;"&amp;1440,m_end,"&gt;"&amp;1140),INDEX(m_label,_xlfn.MAXIFS(m_row,m_teacher,H$4,m_date,($G$2+4),m_active,1,m_start,"&lt;"&amp;1440,m_end,"&gt;"&amp;1140))))))</f>
        <v/>
      </c>
      <c r="I59" s="86" t="str">
        <f aca="false">IF(OR(I$4="",MONTH(($G$2+4))&lt;&gt;MONTH($C$2)),"",IF(COUNTIFS(m_teacher,I$4,m_date,($G$2+4),m_active,1,m_start,"&lt;"&amp;1440,m_end,"&gt;"&amp;1140)=0,"",IF(COUNTIFS(m_teacher,I$4,m_date,($G$2+4),m_active,1,m_start,"&lt;"&amp;1440,m_end,"&gt;"&amp;1140)&gt;1,"충돌",HYPERLINK("#'관리자_MASTER'!D"&amp;_xlfn.MAXIFS(m_row,m_teacher,I$4,m_date,($G$2+4),m_active,1,m_start,"&lt;"&amp;1440,m_end,"&gt;"&amp;1140),INDEX(m_label,_xlfn.MAXIFS(m_row,m_teacher,I$4,m_date,($G$2+4),m_active,1,m_start,"&lt;"&amp;1440,m_end,"&gt;"&amp;1140))))))</f>
        <v/>
      </c>
      <c r="J59" s="86" t="str">
        <f aca="false">IF(OR(J$4="",MONTH(($G$2+4))&lt;&gt;MONTH($C$2)),"",IF(COUNTIFS(m_teacher,J$4,m_date,($G$2+4),m_active,1,m_start,"&lt;"&amp;1440,m_end,"&gt;"&amp;1140)=0,"",IF(COUNTIFS(m_teacher,J$4,m_date,($G$2+4),m_active,1,m_start,"&lt;"&amp;1440,m_end,"&gt;"&amp;1140)&gt;1,"충돌",HYPERLINK("#'관리자_MASTER'!D"&amp;_xlfn.MAXIFS(m_row,m_teacher,J$4,m_date,($G$2+4),m_active,1,m_start,"&lt;"&amp;1440,m_end,"&gt;"&amp;1140),INDEX(m_label,_xlfn.MAXIFS(m_row,m_teacher,J$4,m_date,($G$2+4),m_active,1,m_start,"&lt;"&amp;1440,m_end,"&gt;"&amp;1140))))))</f>
        <v/>
      </c>
      <c r="K59" s="86" t="str">
        <f aca="false">IF(OR(K$4="",MONTH(($G$2+4))&lt;&gt;MONTH($C$2)),"",IF(COUNTIFS(m_teacher,K$4,m_date,($G$2+4),m_active,1,m_start,"&lt;"&amp;1440,m_end,"&gt;"&amp;1140)=0,"",IF(COUNTIFS(m_teacher,K$4,m_date,($G$2+4),m_active,1,m_start,"&lt;"&amp;1440,m_end,"&gt;"&amp;1140)&gt;1,"충돌",HYPERLINK("#'관리자_MASTER'!D"&amp;_xlfn.MAXIFS(m_row,m_teacher,K$4,m_date,($G$2+4),m_active,1,m_start,"&lt;"&amp;1440,m_end,"&gt;"&amp;1140),INDEX(m_label,_xlfn.MAXIFS(m_row,m_teacher,K$4,m_date,($G$2+4),m_active,1,m_start,"&lt;"&amp;1440,m_end,"&gt;"&amp;1140))))))</f>
        <v/>
      </c>
      <c r="L59" s="86" t="str">
        <f aca="false">IF(OR(L$4="",MONTH(($G$2+4))&lt;&gt;MONTH($C$2)),"",IF(COUNTIFS(m_teacher,L$4,m_date,($G$2+4),m_active,1,m_start,"&lt;"&amp;1440,m_end,"&gt;"&amp;1140)=0,"",IF(COUNTIFS(m_teacher,L$4,m_date,($G$2+4),m_active,1,m_start,"&lt;"&amp;1440,m_end,"&gt;"&amp;1140)&gt;1,"충돌",HYPERLINK("#'관리자_MASTER'!D"&amp;_xlfn.MAXIFS(m_row,m_teacher,L$4,m_date,($G$2+4),m_active,1,m_start,"&lt;"&amp;1440,m_end,"&gt;"&amp;1140),INDEX(m_label,_xlfn.MAXIFS(m_row,m_teacher,L$4,m_date,($G$2+4),m_active,1,m_start,"&lt;"&amp;1440,m_end,"&gt;"&amp;1140))))))</f>
        <v/>
      </c>
      <c r="M59" s="86" t="str">
        <f aca="false">IF(OR(M$4="",MONTH(($G$2+4))&lt;&gt;MONTH($C$2)),"",IF(COUNTIFS(m_teacher,M$4,m_date,($G$2+4),m_active,1,m_start,"&lt;"&amp;1440,m_end,"&gt;"&amp;1140)=0,"",IF(COUNTIFS(m_teacher,M$4,m_date,($G$2+4),m_active,1,m_start,"&lt;"&amp;1440,m_end,"&gt;"&amp;1140)&gt;1,"충돌",HYPERLINK("#'관리자_MASTER'!D"&amp;_xlfn.MAXIFS(m_row,m_teacher,M$4,m_date,($G$2+4),m_active,1,m_start,"&lt;"&amp;1440,m_end,"&gt;"&amp;1140),INDEX(m_label,_xlfn.MAXIFS(m_row,m_teacher,M$4,m_date,($G$2+4),m_active,1,m_start,"&lt;"&amp;1440,m_end,"&gt;"&amp;1140))))))</f>
        <v/>
      </c>
      <c r="N59" s="86" t="str">
        <f aca="false">IF(OR(N$4="",MONTH(($G$2+4))&lt;&gt;MONTH($C$2)),"",IF(COUNTIFS(m_teacher,N$4,m_date,($G$2+4),m_active,1,m_start,"&lt;"&amp;1440,m_end,"&gt;"&amp;1140)=0,"",IF(COUNTIFS(m_teacher,N$4,m_date,($G$2+4),m_active,1,m_start,"&lt;"&amp;1440,m_end,"&gt;"&amp;1140)&gt;1,"충돌",HYPERLINK("#'관리자_MASTER'!D"&amp;_xlfn.MAXIFS(m_row,m_teacher,N$4,m_date,($G$2+4),m_active,1,m_start,"&lt;"&amp;1440,m_end,"&gt;"&amp;1140),INDEX(m_label,_xlfn.MAXIFS(m_row,m_teacher,N$4,m_date,($G$2+4),m_active,1,m_start,"&lt;"&amp;1440,m_end,"&gt;"&amp;1140))))))</f>
        <v/>
      </c>
      <c r="O59" s="78"/>
      <c r="P59" s="85" t="s">
        <v>101</v>
      </c>
      <c r="Q59" s="86" t="str">
        <f aca="false">IF(OR(Q$4="",MONTH(($G$2+11))&lt;&gt;MONTH($C$2)),"",IF(COUNTIFS(m_teacher,Q$4,m_date,($G$2+11),m_active,1,m_start,"&lt;"&amp;1440,m_end,"&gt;"&amp;1140)=0,"",IF(COUNTIFS(m_teacher,Q$4,m_date,($G$2+11),m_active,1,m_start,"&lt;"&amp;1440,m_end,"&gt;"&amp;1140)&gt;1,"충돌",HYPERLINK("#'관리자_MASTER'!D"&amp;_xlfn.MAXIFS(m_row,m_teacher,Q$4,m_date,($G$2+11),m_active,1,m_start,"&lt;"&amp;1440,m_end,"&gt;"&amp;1140),INDEX(m_label,_xlfn.MAXIFS(m_row,m_teacher,Q$4,m_date,($G$2+11),m_active,1,m_start,"&lt;"&amp;1440,m_end,"&gt;"&amp;1140))))))</f>
        <v/>
      </c>
      <c r="R59" s="86" t="str">
        <f aca="false">IF(OR(R$4="",MONTH(($G$2+11))&lt;&gt;MONTH($C$2)),"",IF(COUNTIFS(m_teacher,R$4,m_date,($G$2+11),m_active,1,m_start,"&lt;"&amp;1440,m_end,"&gt;"&amp;1140)=0,"",IF(COUNTIFS(m_teacher,R$4,m_date,($G$2+11),m_active,1,m_start,"&lt;"&amp;1440,m_end,"&gt;"&amp;1140)&gt;1,"충돌",HYPERLINK("#'관리자_MASTER'!D"&amp;_xlfn.MAXIFS(m_row,m_teacher,R$4,m_date,($G$2+11),m_active,1,m_start,"&lt;"&amp;1440,m_end,"&gt;"&amp;1140),INDEX(m_label,_xlfn.MAXIFS(m_row,m_teacher,R$4,m_date,($G$2+11),m_active,1,m_start,"&lt;"&amp;1440,m_end,"&gt;"&amp;1140))))))</f>
        <v/>
      </c>
      <c r="S59" s="86" t="str">
        <f aca="false">IF(OR(S$4="",MONTH(($G$2+11))&lt;&gt;MONTH($C$2)),"",IF(COUNTIFS(m_teacher,S$4,m_date,($G$2+11),m_active,1,m_start,"&lt;"&amp;1440,m_end,"&gt;"&amp;1140)=0,"",IF(COUNTIFS(m_teacher,S$4,m_date,($G$2+11),m_active,1,m_start,"&lt;"&amp;1440,m_end,"&gt;"&amp;1140)&gt;1,"충돌",HYPERLINK("#'관리자_MASTER'!D"&amp;_xlfn.MAXIFS(m_row,m_teacher,S$4,m_date,($G$2+11),m_active,1,m_start,"&lt;"&amp;1440,m_end,"&gt;"&amp;1140),INDEX(m_label,_xlfn.MAXIFS(m_row,m_teacher,S$4,m_date,($G$2+11),m_active,1,m_start,"&lt;"&amp;1440,m_end,"&gt;"&amp;1140))))))</f>
        <v/>
      </c>
      <c r="T59" s="86" t="str">
        <f aca="false">IF(OR(T$4="",MONTH(($G$2+11))&lt;&gt;MONTH($C$2)),"",IF(COUNTIFS(m_teacher,T$4,m_date,($G$2+11),m_active,1,m_start,"&lt;"&amp;1440,m_end,"&gt;"&amp;1140)=0,"",IF(COUNTIFS(m_teacher,T$4,m_date,($G$2+11),m_active,1,m_start,"&lt;"&amp;1440,m_end,"&gt;"&amp;1140)&gt;1,"충돌",HYPERLINK("#'관리자_MASTER'!D"&amp;_xlfn.MAXIFS(m_row,m_teacher,T$4,m_date,($G$2+11),m_active,1,m_start,"&lt;"&amp;1440,m_end,"&gt;"&amp;1140),INDEX(m_label,_xlfn.MAXIFS(m_row,m_teacher,T$4,m_date,($G$2+11),m_active,1,m_start,"&lt;"&amp;1440,m_end,"&gt;"&amp;1140))))))</f>
        <v/>
      </c>
      <c r="U59" s="86" t="str">
        <f aca="false">IF(OR(U$4="",MONTH(($G$2+11))&lt;&gt;MONTH($C$2)),"",IF(COUNTIFS(m_teacher,U$4,m_date,($G$2+11),m_active,1,m_start,"&lt;"&amp;1440,m_end,"&gt;"&amp;1140)=0,"",IF(COUNTIFS(m_teacher,U$4,m_date,($G$2+11),m_active,1,m_start,"&lt;"&amp;1440,m_end,"&gt;"&amp;1140)&gt;1,"충돌",HYPERLINK("#'관리자_MASTER'!D"&amp;_xlfn.MAXIFS(m_row,m_teacher,U$4,m_date,($G$2+11),m_active,1,m_start,"&lt;"&amp;1440,m_end,"&gt;"&amp;1140),INDEX(m_label,_xlfn.MAXIFS(m_row,m_teacher,U$4,m_date,($G$2+11),m_active,1,m_start,"&lt;"&amp;1440,m_end,"&gt;"&amp;1140))))))</f>
        <v/>
      </c>
      <c r="V59" s="86" t="str">
        <f aca="false">IF(OR(V$4="",MONTH(($G$2+11))&lt;&gt;MONTH($C$2)),"",IF(COUNTIFS(m_teacher,V$4,m_date,($G$2+11),m_active,1,m_start,"&lt;"&amp;1440,m_end,"&gt;"&amp;1140)=0,"",IF(COUNTIFS(m_teacher,V$4,m_date,($G$2+11),m_active,1,m_start,"&lt;"&amp;1440,m_end,"&gt;"&amp;1140)&gt;1,"충돌",HYPERLINK("#'관리자_MASTER'!D"&amp;_xlfn.MAXIFS(m_row,m_teacher,V$4,m_date,($G$2+11),m_active,1,m_start,"&lt;"&amp;1440,m_end,"&gt;"&amp;1140),INDEX(m_label,_xlfn.MAXIFS(m_row,m_teacher,V$4,m_date,($G$2+11),m_active,1,m_start,"&lt;"&amp;1440,m_end,"&gt;"&amp;1140))))))</f>
        <v/>
      </c>
      <c r="W59" s="86" t="str">
        <f aca="false">IF(OR(W$4="",MONTH(($G$2+11))&lt;&gt;MONTH($C$2)),"",IF(COUNTIFS(m_teacher,W$4,m_date,($G$2+11),m_active,1,m_start,"&lt;"&amp;1440,m_end,"&gt;"&amp;1140)=0,"",IF(COUNTIFS(m_teacher,W$4,m_date,($G$2+11),m_active,1,m_start,"&lt;"&amp;1440,m_end,"&gt;"&amp;1140)&gt;1,"충돌",HYPERLINK("#'관리자_MASTER'!D"&amp;_xlfn.MAXIFS(m_row,m_teacher,W$4,m_date,($G$2+11),m_active,1,m_start,"&lt;"&amp;1440,m_end,"&gt;"&amp;1140),INDEX(m_label,_xlfn.MAXIFS(m_row,m_teacher,W$4,m_date,($G$2+11),m_active,1,m_start,"&lt;"&amp;1440,m_end,"&gt;"&amp;1140))))))</f>
        <v/>
      </c>
      <c r="X59" s="86" t="str">
        <f aca="false">IF(OR(X$4="",MONTH(($G$2+11))&lt;&gt;MONTH($C$2)),"",IF(COUNTIFS(m_teacher,X$4,m_date,($G$2+11),m_active,1,m_start,"&lt;"&amp;1440,m_end,"&gt;"&amp;1140)=0,"",IF(COUNTIFS(m_teacher,X$4,m_date,($G$2+11),m_active,1,m_start,"&lt;"&amp;1440,m_end,"&gt;"&amp;1140)&gt;1,"충돌",HYPERLINK("#'관리자_MASTER'!D"&amp;_xlfn.MAXIFS(m_row,m_teacher,X$4,m_date,($G$2+11),m_active,1,m_start,"&lt;"&amp;1440,m_end,"&gt;"&amp;1140),INDEX(m_label,_xlfn.MAXIFS(m_row,m_teacher,X$4,m_date,($G$2+11),m_active,1,m_start,"&lt;"&amp;1440,m_end,"&gt;"&amp;1140))))))</f>
        <v/>
      </c>
      <c r="Y59" s="86" t="str">
        <f aca="false">IF(OR(Y$4="",MONTH(($G$2+11))&lt;&gt;MONTH($C$2)),"",IF(COUNTIFS(m_teacher,Y$4,m_date,($G$2+11),m_active,1,m_start,"&lt;"&amp;1440,m_end,"&gt;"&amp;1140)=0,"",IF(COUNTIFS(m_teacher,Y$4,m_date,($G$2+11),m_active,1,m_start,"&lt;"&amp;1440,m_end,"&gt;"&amp;1140)&gt;1,"충돌",HYPERLINK("#'관리자_MASTER'!D"&amp;_xlfn.MAXIFS(m_row,m_teacher,Y$4,m_date,($G$2+11),m_active,1,m_start,"&lt;"&amp;1440,m_end,"&gt;"&amp;1140),INDEX(m_label,_xlfn.MAXIFS(m_row,m_teacher,Y$4,m_date,($G$2+11),m_active,1,m_start,"&lt;"&amp;1440,m_end,"&gt;"&amp;1140))))))</f>
        <v/>
      </c>
      <c r="Z59" s="86" t="str">
        <f aca="false">IF(OR(Z$4="",MONTH(($G$2+11))&lt;&gt;MONTH($C$2)),"",IF(COUNTIFS(m_teacher,Z$4,m_date,($G$2+11),m_active,1,m_start,"&lt;"&amp;1440,m_end,"&gt;"&amp;1140)=0,"",IF(COUNTIFS(m_teacher,Z$4,m_date,($G$2+11),m_active,1,m_start,"&lt;"&amp;1440,m_end,"&gt;"&amp;1140)&gt;1,"충돌",HYPERLINK("#'관리자_MASTER'!D"&amp;_xlfn.MAXIFS(m_row,m_teacher,Z$4,m_date,($G$2+11),m_active,1,m_start,"&lt;"&amp;1440,m_end,"&gt;"&amp;1140),INDEX(m_label,_xlfn.MAXIFS(m_row,m_teacher,Z$4,m_date,($G$2+11),m_active,1,m_start,"&lt;"&amp;1440,m_end,"&gt;"&amp;1140))))))</f>
        <v/>
      </c>
      <c r="AA59" s="86" t="str">
        <f aca="false">IF(OR(AA$4="",MONTH(($G$2+11))&lt;&gt;MONTH($C$2)),"",IF(COUNTIFS(m_teacher,AA$4,m_date,($G$2+11),m_active,1,m_start,"&lt;"&amp;1440,m_end,"&gt;"&amp;1140)=0,"",IF(COUNTIFS(m_teacher,AA$4,m_date,($G$2+11),m_active,1,m_start,"&lt;"&amp;1440,m_end,"&gt;"&amp;1140)&gt;1,"충돌",HYPERLINK("#'관리자_MASTER'!D"&amp;_xlfn.MAXIFS(m_row,m_teacher,AA$4,m_date,($G$2+11),m_active,1,m_start,"&lt;"&amp;1440,m_end,"&gt;"&amp;1140),INDEX(m_label,_xlfn.MAXIFS(m_row,m_teacher,AA$4,m_date,($G$2+11),m_active,1,m_start,"&lt;"&amp;1440,m_end,"&gt;"&amp;1140))))))</f>
        <v/>
      </c>
      <c r="AB59" s="86" t="str">
        <f aca="false">IF(OR(AB$4="",MONTH(($G$2+11))&lt;&gt;MONTH($C$2)),"",IF(COUNTIFS(m_teacher,AB$4,m_date,($G$2+11),m_active,1,m_start,"&lt;"&amp;1440,m_end,"&gt;"&amp;1140)=0,"",IF(COUNTIFS(m_teacher,AB$4,m_date,($G$2+11),m_active,1,m_start,"&lt;"&amp;1440,m_end,"&gt;"&amp;1140)&gt;1,"충돌",HYPERLINK("#'관리자_MASTER'!D"&amp;_xlfn.MAXIFS(m_row,m_teacher,AB$4,m_date,($G$2+11),m_active,1,m_start,"&lt;"&amp;1440,m_end,"&gt;"&amp;1140),INDEX(m_label,_xlfn.MAXIFS(m_row,m_teacher,AB$4,m_date,($G$2+11),m_active,1,m_start,"&lt;"&amp;1440,m_end,"&gt;"&amp;1140))))))</f>
        <v/>
      </c>
      <c r="AC59" s="78"/>
      <c r="AD59" s="85" t="s">
        <v>101</v>
      </c>
      <c r="AE59" s="86" t="str">
        <f aca="false">IF(OR(AE$4="",MONTH(($G$2+18))&lt;&gt;MONTH($C$2)),"",IF(COUNTIFS(m_teacher,AE$4,m_date,($G$2+18),m_active,1,m_start,"&lt;"&amp;1440,m_end,"&gt;"&amp;1140)=0,"",IF(COUNTIFS(m_teacher,AE$4,m_date,($G$2+18),m_active,1,m_start,"&lt;"&amp;1440,m_end,"&gt;"&amp;1140)&gt;1,"충돌",HYPERLINK("#'관리자_MASTER'!D"&amp;_xlfn.MAXIFS(m_row,m_teacher,AE$4,m_date,($G$2+18),m_active,1,m_start,"&lt;"&amp;1440,m_end,"&gt;"&amp;1140),INDEX(m_label,_xlfn.MAXIFS(m_row,m_teacher,AE$4,m_date,($G$2+18),m_active,1,m_start,"&lt;"&amp;1440,m_end,"&gt;"&amp;1140))))))</f>
        <v/>
      </c>
      <c r="AF59" s="86" t="str">
        <f aca="false">IF(OR(AF$4="",MONTH(($G$2+18))&lt;&gt;MONTH($C$2)),"",IF(COUNTIFS(m_teacher,AF$4,m_date,($G$2+18),m_active,1,m_start,"&lt;"&amp;1440,m_end,"&gt;"&amp;1140)=0,"",IF(COUNTIFS(m_teacher,AF$4,m_date,($G$2+18),m_active,1,m_start,"&lt;"&amp;1440,m_end,"&gt;"&amp;1140)&gt;1,"충돌",HYPERLINK("#'관리자_MASTER'!D"&amp;_xlfn.MAXIFS(m_row,m_teacher,AF$4,m_date,($G$2+18),m_active,1,m_start,"&lt;"&amp;1440,m_end,"&gt;"&amp;1140),INDEX(m_label,_xlfn.MAXIFS(m_row,m_teacher,AF$4,m_date,($G$2+18),m_active,1,m_start,"&lt;"&amp;1440,m_end,"&gt;"&amp;1140))))))</f>
        <v/>
      </c>
      <c r="AG59" s="86" t="str">
        <f aca="false">IF(OR(AG$4="",MONTH(($G$2+18))&lt;&gt;MONTH($C$2)),"",IF(COUNTIFS(m_teacher,AG$4,m_date,($G$2+18),m_active,1,m_start,"&lt;"&amp;1440,m_end,"&gt;"&amp;1140)=0,"",IF(COUNTIFS(m_teacher,AG$4,m_date,($G$2+18),m_active,1,m_start,"&lt;"&amp;1440,m_end,"&gt;"&amp;1140)&gt;1,"충돌",HYPERLINK("#'관리자_MASTER'!D"&amp;_xlfn.MAXIFS(m_row,m_teacher,AG$4,m_date,($G$2+18),m_active,1,m_start,"&lt;"&amp;1440,m_end,"&gt;"&amp;1140),INDEX(m_label,_xlfn.MAXIFS(m_row,m_teacher,AG$4,m_date,($G$2+18),m_active,1,m_start,"&lt;"&amp;1440,m_end,"&gt;"&amp;1140))))))</f>
        <v/>
      </c>
      <c r="AH59" s="86" t="str">
        <f aca="false">IF(OR(AH$4="",MONTH(($G$2+18))&lt;&gt;MONTH($C$2)),"",IF(COUNTIFS(m_teacher,AH$4,m_date,($G$2+18),m_active,1,m_start,"&lt;"&amp;1440,m_end,"&gt;"&amp;1140)=0,"",IF(COUNTIFS(m_teacher,AH$4,m_date,($G$2+18),m_active,1,m_start,"&lt;"&amp;1440,m_end,"&gt;"&amp;1140)&gt;1,"충돌",HYPERLINK("#'관리자_MASTER'!D"&amp;_xlfn.MAXIFS(m_row,m_teacher,AH$4,m_date,($G$2+18),m_active,1,m_start,"&lt;"&amp;1440,m_end,"&gt;"&amp;1140),INDEX(m_label,_xlfn.MAXIFS(m_row,m_teacher,AH$4,m_date,($G$2+18),m_active,1,m_start,"&lt;"&amp;1440,m_end,"&gt;"&amp;1140))))))</f>
        <v/>
      </c>
      <c r="AI59" s="86" t="str">
        <f aca="false">IF(OR(AI$4="",MONTH(($G$2+18))&lt;&gt;MONTH($C$2)),"",IF(COUNTIFS(m_teacher,AI$4,m_date,($G$2+18),m_active,1,m_start,"&lt;"&amp;1440,m_end,"&gt;"&amp;1140)=0,"",IF(COUNTIFS(m_teacher,AI$4,m_date,($G$2+18),m_active,1,m_start,"&lt;"&amp;1440,m_end,"&gt;"&amp;1140)&gt;1,"충돌",HYPERLINK("#'관리자_MASTER'!D"&amp;_xlfn.MAXIFS(m_row,m_teacher,AI$4,m_date,($G$2+18),m_active,1,m_start,"&lt;"&amp;1440,m_end,"&gt;"&amp;1140),INDEX(m_label,_xlfn.MAXIFS(m_row,m_teacher,AI$4,m_date,($G$2+18),m_active,1,m_start,"&lt;"&amp;1440,m_end,"&gt;"&amp;1140))))))</f>
        <v/>
      </c>
      <c r="AJ59" s="86" t="str">
        <f aca="false">IF(OR(AJ$4="",MONTH(($G$2+18))&lt;&gt;MONTH($C$2)),"",IF(COUNTIFS(m_teacher,AJ$4,m_date,($G$2+18),m_active,1,m_start,"&lt;"&amp;1440,m_end,"&gt;"&amp;1140)=0,"",IF(COUNTIFS(m_teacher,AJ$4,m_date,($G$2+18),m_active,1,m_start,"&lt;"&amp;1440,m_end,"&gt;"&amp;1140)&gt;1,"충돌",HYPERLINK("#'관리자_MASTER'!D"&amp;_xlfn.MAXIFS(m_row,m_teacher,AJ$4,m_date,($G$2+18),m_active,1,m_start,"&lt;"&amp;1440,m_end,"&gt;"&amp;1140),INDEX(m_label,_xlfn.MAXIFS(m_row,m_teacher,AJ$4,m_date,($G$2+18),m_active,1,m_start,"&lt;"&amp;1440,m_end,"&gt;"&amp;1140))))))</f>
        <v/>
      </c>
      <c r="AK59" s="86" t="str">
        <f aca="false">IF(OR(AK$4="",MONTH(($G$2+18))&lt;&gt;MONTH($C$2)),"",IF(COUNTIFS(m_teacher,AK$4,m_date,($G$2+18),m_active,1,m_start,"&lt;"&amp;1440,m_end,"&gt;"&amp;1140)=0,"",IF(COUNTIFS(m_teacher,AK$4,m_date,($G$2+18),m_active,1,m_start,"&lt;"&amp;1440,m_end,"&gt;"&amp;1140)&gt;1,"충돌",HYPERLINK("#'관리자_MASTER'!D"&amp;_xlfn.MAXIFS(m_row,m_teacher,AK$4,m_date,($G$2+18),m_active,1,m_start,"&lt;"&amp;1440,m_end,"&gt;"&amp;1140),INDEX(m_label,_xlfn.MAXIFS(m_row,m_teacher,AK$4,m_date,($G$2+18),m_active,1,m_start,"&lt;"&amp;1440,m_end,"&gt;"&amp;1140))))))</f>
        <v/>
      </c>
      <c r="AL59" s="86" t="str">
        <f aca="false">IF(OR(AL$4="",MONTH(($G$2+18))&lt;&gt;MONTH($C$2)),"",IF(COUNTIFS(m_teacher,AL$4,m_date,($G$2+18),m_active,1,m_start,"&lt;"&amp;1440,m_end,"&gt;"&amp;1140)=0,"",IF(COUNTIFS(m_teacher,AL$4,m_date,($G$2+18),m_active,1,m_start,"&lt;"&amp;1440,m_end,"&gt;"&amp;1140)&gt;1,"충돌",HYPERLINK("#'관리자_MASTER'!D"&amp;_xlfn.MAXIFS(m_row,m_teacher,AL$4,m_date,($G$2+18),m_active,1,m_start,"&lt;"&amp;1440,m_end,"&gt;"&amp;1140),INDEX(m_label,_xlfn.MAXIFS(m_row,m_teacher,AL$4,m_date,($G$2+18),m_active,1,m_start,"&lt;"&amp;1440,m_end,"&gt;"&amp;1140))))))</f>
        <v/>
      </c>
      <c r="AM59" s="86" t="str">
        <f aca="false">IF(OR(AM$4="",MONTH(($G$2+18))&lt;&gt;MONTH($C$2)),"",IF(COUNTIFS(m_teacher,AM$4,m_date,($G$2+18),m_active,1,m_start,"&lt;"&amp;1440,m_end,"&gt;"&amp;1140)=0,"",IF(COUNTIFS(m_teacher,AM$4,m_date,($G$2+18),m_active,1,m_start,"&lt;"&amp;1440,m_end,"&gt;"&amp;1140)&gt;1,"충돌",HYPERLINK("#'관리자_MASTER'!D"&amp;_xlfn.MAXIFS(m_row,m_teacher,AM$4,m_date,($G$2+18),m_active,1,m_start,"&lt;"&amp;1440,m_end,"&gt;"&amp;1140),INDEX(m_label,_xlfn.MAXIFS(m_row,m_teacher,AM$4,m_date,($G$2+18),m_active,1,m_start,"&lt;"&amp;1440,m_end,"&gt;"&amp;1140))))))</f>
        <v/>
      </c>
      <c r="AN59" s="86" t="str">
        <f aca="false">IF(OR(AN$4="",MONTH(($G$2+18))&lt;&gt;MONTH($C$2)),"",IF(COUNTIFS(m_teacher,AN$4,m_date,($G$2+18),m_active,1,m_start,"&lt;"&amp;1440,m_end,"&gt;"&amp;1140)=0,"",IF(COUNTIFS(m_teacher,AN$4,m_date,($G$2+18),m_active,1,m_start,"&lt;"&amp;1440,m_end,"&gt;"&amp;1140)&gt;1,"충돌",HYPERLINK("#'관리자_MASTER'!D"&amp;_xlfn.MAXIFS(m_row,m_teacher,AN$4,m_date,($G$2+18),m_active,1,m_start,"&lt;"&amp;1440,m_end,"&gt;"&amp;1140),INDEX(m_label,_xlfn.MAXIFS(m_row,m_teacher,AN$4,m_date,($G$2+18),m_active,1,m_start,"&lt;"&amp;1440,m_end,"&gt;"&amp;1140))))))</f>
        <v/>
      </c>
      <c r="AO59" s="86" t="str">
        <f aca="false">IF(OR(AO$4="",MONTH(($G$2+18))&lt;&gt;MONTH($C$2)),"",IF(COUNTIFS(m_teacher,AO$4,m_date,($G$2+18),m_active,1,m_start,"&lt;"&amp;1440,m_end,"&gt;"&amp;1140)=0,"",IF(COUNTIFS(m_teacher,AO$4,m_date,($G$2+18),m_active,1,m_start,"&lt;"&amp;1440,m_end,"&gt;"&amp;1140)&gt;1,"충돌",HYPERLINK("#'관리자_MASTER'!D"&amp;_xlfn.MAXIFS(m_row,m_teacher,AO$4,m_date,($G$2+18),m_active,1,m_start,"&lt;"&amp;1440,m_end,"&gt;"&amp;1140),INDEX(m_label,_xlfn.MAXIFS(m_row,m_teacher,AO$4,m_date,($G$2+18),m_active,1,m_start,"&lt;"&amp;1440,m_end,"&gt;"&amp;1140))))))</f>
        <v/>
      </c>
      <c r="AP59" s="86" t="str">
        <f aca="false">IF(OR(AP$4="",MONTH(($G$2+18))&lt;&gt;MONTH($C$2)),"",IF(COUNTIFS(m_teacher,AP$4,m_date,($G$2+18),m_active,1,m_start,"&lt;"&amp;1440,m_end,"&gt;"&amp;1140)=0,"",IF(COUNTIFS(m_teacher,AP$4,m_date,($G$2+18),m_active,1,m_start,"&lt;"&amp;1440,m_end,"&gt;"&amp;1140)&gt;1,"충돌",HYPERLINK("#'관리자_MASTER'!D"&amp;_xlfn.MAXIFS(m_row,m_teacher,AP$4,m_date,($G$2+18),m_active,1,m_start,"&lt;"&amp;1440,m_end,"&gt;"&amp;1140),INDEX(m_label,_xlfn.MAXIFS(m_row,m_teacher,AP$4,m_date,($G$2+18),m_active,1,m_start,"&lt;"&amp;1440,m_end,"&gt;"&amp;1140))))))</f>
        <v/>
      </c>
      <c r="AQ59" s="78"/>
      <c r="AR59" s="85" t="s">
        <v>101</v>
      </c>
      <c r="AS59" s="86" t="str">
        <f aca="false">IF(OR(AS$4="",MONTH(($G$2+25))&lt;&gt;MONTH($C$2)),"",IF(COUNTIFS(m_teacher,AS$4,m_date,($G$2+25),m_active,1,m_start,"&lt;"&amp;1440,m_end,"&gt;"&amp;1140)=0,"",IF(COUNTIFS(m_teacher,AS$4,m_date,($G$2+25),m_active,1,m_start,"&lt;"&amp;1440,m_end,"&gt;"&amp;1140)&gt;1,"충돌",HYPERLINK("#'관리자_MASTER'!D"&amp;_xlfn.MAXIFS(m_row,m_teacher,AS$4,m_date,($G$2+25),m_active,1,m_start,"&lt;"&amp;1440,m_end,"&gt;"&amp;1140),INDEX(m_label,_xlfn.MAXIFS(m_row,m_teacher,AS$4,m_date,($G$2+25),m_active,1,m_start,"&lt;"&amp;1440,m_end,"&gt;"&amp;1140))))))</f>
        <v/>
      </c>
      <c r="AT59" s="86" t="str">
        <f aca="false">IF(OR(AT$4="",MONTH(($G$2+25))&lt;&gt;MONTH($C$2)),"",IF(COUNTIFS(m_teacher,AT$4,m_date,($G$2+25),m_active,1,m_start,"&lt;"&amp;1440,m_end,"&gt;"&amp;1140)=0,"",IF(COUNTIFS(m_teacher,AT$4,m_date,($G$2+25),m_active,1,m_start,"&lt;"&amp;1440,m_end,"&gt;"&amp;1140)&gt;1,"충돌",HYPERLINK("#'관리자_MASTER'!D"&amp;_xlfn.MAXIFS(m_row,m_teacher,AT$4,m_date,($G$2+25),m_active,1,m_start,"&lt;"&amp;1440,m_end,"&gt;"&amp;1140),INDEX(m_label,_xlfn.MAXIFS(m_row,m_teacher,AT$4,m_date,($G$2+25),m_active,1,m_start,"&lt;"&amp;1440,m_end,"&gt;"&amp;1140))))))</f>
        <v/>
      </c>
      <c r="AU59" s="86" t="str">
        <f aca="false">IF(OR(AU$4="",MONTH(($G$2+25))&lt;&gt;MONTH($C$2)),"",IF(COUNTIFS(m_teacher,AU$4,m_date,($G$2+25),m_active,1,m_start,"&lt;"&amp;1440,m_end,"&gt;"&amp;1140)=0,"",IF(COUNTIFS(m_teacher,AU$4,m_date,($G$2+25),m_active,1,m_start,"&lt;"&amp;1440,m_end,"&gt;"&amp;1140)&gt;1,"충돌",HYPERLINK("#'관리자_MASTER'!D"&amp;_xlfn.MAXIFS(m_row,m_teacher,AU$4,m_date,($G$2+25),m_active,1,m_start,"&lt;"&amp;1440,m_end,"&gt;"&amp;1140),INDEX(m_label,_xlfn.MAXIFS(m_row,m_teacher,AU$4,m_date,($G$2+25),m_active,1,m_start,"&lt;"&amp;1440,m_end,"&gt;"&amp;1140))))))</f>
        <v/>
      </c>
      <c r="AV59" s="86" t="str">
        <f aca="false">IF(OR(AV$4="",MONTH(($G$2+25))&lt;&gt;MONTH($C$2)),"",IF(COUNTIFS(m_teacher,AV$4,m_date,($G$2+25),m_active,1,m_start,"&lt;"&amp;1440,m_end,"&gt;"&amp;1140)=0,"",IF(COUNTIFS(m_teacher,AV$4,m_date,($G$2+25),m_active,1,m_start,"&lt;"&amp;1440,m_end,"&gt;"&amp;1140)&gt;1,"충돌",HYPERLINK("#'관리자_MASTER'!D"&amp;_xlfn.MAXIFS(m_row,m_teacher,AV$4,m_date,($G$2+25),m_active,1,m_start,"&lt;"&amp;1440,m_end,"&gt;"&amp;1140),INDEX(m_label,_xlfn.MAXIFS(m_row,m_teacher,AV$4,m_date,($G$2+25),m_active,1,m_start,"&lt;"&amp;1440,m_end,"&gt;"&amp;1140))))))</f>
        <v/>
      </c>
      <c r="AW59" s="86" t="str">
        <f aca="false">IF(OR(AW$4="",MONTH(($G$2+25))&lt;&gt;MONTH($C$2)),"",IF(COUNTIFS(m_teacher,AW$4,m_date,($G$2+25),m_active,1,m_start,"&lt;"&amp;1440,m_end,"&gt;"&amp;1140)=0,"",IF(COUNTIFS(m_teacher,AW$4,m_date,($G$2+25),m_active,1,m_start,"&lt;"&amp;1440,m_end,"&gt;"&amp;1140)&gt;1,"충돌",HYPERLINK("#'관리자_MASTER'!D"&amp;_xlfn.MAXIFS(m_row,m_teacher,AW$4,m_date,($G$2+25),m_active,1,m_start,"&lt;"&amp;1440,m_end,"&gt;"&amp;1140),INDEX(m_label,_xlfn.MAXIFS(m_row,m_teacher,AW$4,m_date,($G$2+25),m_active,1,m_start,"&lt;"&amp;1440,m_end,"&gt;"&amp;1140))))))</f>
        <v/>
      </c>
      <c r="AX59" s="86" t="str">
        <f aca="false">IF(OR(AX$4="",MONTH(($G$2+25))&lt;&gt;MONTH($C$2)),"",IF(COUNTIFS(m_teacher,AX$4,m_date,($G$2+25),m_active,1,m_start,"&lt;"&amp;1440,m_end,"&gt;"&amp;1140)=0,"",IF(COUNTIFS(m_teacher,AX$4,m_date,($G$2+25),m_active,1,m_start,"&lt;"&amp;1440,m_end,"&gt;"&amp;1140)&gt;1,"충돌",HYPERLINK("#'관리자_MASTER'!D"&amp;_xlfn.MAXIFS(m_row,m_teacher,AX$4,m_date,($G$2+25),m_active,1,m_start,"&lt;"&amp;1440,m_end,"&gt;"&amp;1140),INDEX(m_label,_xlfn.MAXIFS(m_row,m_teacher,AX$4,m_date,($G$2+25),m_active,1,m_start,"&lt;"&amp;1440,m_end,"&gt;"&amp;1140))))))</f>
        <v/>
      </c>
      <c r="AY59" s="86" t="str">
        <f aca="false">IF(OR(AY$4="",MONTH(($G$2+25))&lt;&gt;MONTH($C$2)),"",IF(COUNTIFS(m_teacher,AY$4,m_date,($G$2+25),m_active,1,m_start,"&lt;"&amp;1440,m_end,"&gt;"&amp;1140)=0,"",IF(COUNTIFS(m_teacher,AY$4,m_date,($G$2+25),m_active,1,m_start,"&lt;"&amp;1440,m_end,"&gt;"&amp;1140)&gt;1,"충돌",HYPERLINK("#'관리자_MASTER'!D"&amp;_xlfn.MAXIFS(m_row,m_teacher,AY$4,m_date,($G$2+25),m_active,1,m_start,"&lt;"&amp;1440,m_end,"&gt;"&amp;1140),INDEX(m_label,_xlfn.MAXIFS(m_row,m_teacher,AY$4,m_date,($G$2+25),m_active,1,m_start,"&lt;"&amp;1440,m_end,"&gt;"&amp;1140))))))</f>
        <v/>
      </c>
      <c r="AZ59" s="86" t="str">
        <f aca="false">IF(OR(AZ$4="",MONTH(($G$2+25))&lt;&gt;MONTH($C$2)),"",IF(COUNTIFS(m_teacher,AZ$4,m_date,($G$2+25),m_active,1,m_start,"&lt;"&amp;1440,m_end,"&gt;"&amp;1140)=0,"",IF(COUNTIFS(m_teacher,AZ$4,m_date,($G$2+25),m_active,1,m_start,"&lt;"&amp;1440,m_end,"&gt;"&amp;1140)&gt;1,"충돌",HYPERLINK("#'관리자_MASTER'!D"&amp;_xlfn.MAXIFS(m_row,m_teacher,AZ$4,m_date,($G$2+25),m_active,1,m_start,"&lt;"&amp;1440,m_end,"&gt;"&amp;1140),INDEX(m_label,_xlfn.MAXIFS(m_row,m_teacher,AZ$4,m_date,($G$2+25),m_active,1,m_start,"&lt;"&amp;1440,m_end,"&gt;"&amp;1140))))))</f>
        <v/>
      </c>
      <c r="BA59" s="86" t="str">
        <f aca="false">IF(OR(BA$4="",MONTH(($G$2+25))&lt;&gt;MONTH($C$2)),"",IF(COUNTIFS(m_teacher,BA$4,m_date,($G$2+25),m_active,1,m_start,"&lt;"&amp;1440,m_end,"&gt;"&amp;1140)=0,"",IF(COUNTIFS(m_teacher,BA$4,m_date,($G$2+25),m_active,1,m_start,"&lt;"&amp;1440,m_end,"&gt;"&amp;1140)&gt;1,"충돌",HYPERLINK("#'관리자_MASTER'!D"&amp;_xlfn.MAXIFS(m_row,m_teacher,BA$4,m_date,($G$2+25),m_active,1,m_start,"&lt;"&amp;1440,m_end,"&gt;"&amp;1140),INDEX(m_label,_xlfn.MAXIFS(m_row,m_teacher,BA$4,m_date,($G$2+25),m_active,1,m_start,"&lt;"&amp;1440,m_end,"&gt;"&amp;1140))))))</f>
        <v/>
      </c>
      <c r="BB59" s="86" t="str">
        <f aca="false">IF(OR(BB$4="",MONTH(($G$2+25))&lt;&gt;MONTH($C$2)),"",IF(COUNTIFS(m_teacher,BB$4,m_date,($G$2+25),m_active,1,m_start,"&lt;"&amp;1440,m_end,"&gt;"&amp;1140)=0,"",IF(COUNTIFS(m_teacher,BB$4,m_date,($G$2+25),m_active,1,m_start,"&lt;"&amp;1440,m_end,"&gt;"&amp;1140)&gt;1,"충돌",HYPERLINK("#'관리자_MASTER'!D"&amp;_xlfn.MAXIFS(m_row,m_teacher,BB$4,m_date,($G$2+25),m_active,1,m_start,"&lt;"&amp;1440,m_end,"&gt;"&amp;1140),INDEX(m_label,_xlfn.MAXIFS(m_row,m_teacher,BB$4,m_date,($G$2+25),m_active,1,m_start,"&lt;"&amp;1440,m_end,"&gt;"&amp;1140))))))</f>
        <v/>
      </c>
      <c r="BC59" s="86" t="str">
        <f aca="false">IF(OR(BC$4="",MONTH(($G$2+25))&lt;&gt;MONTH($C$2)),"",IF(COUNTIFS(m_teacher,BC$4,m_date,($G$2+25),m_active,1,m_start,"&lt;"&amp;1440,m_end,"&gt;"&amp;1140)=0,"",IF(COUNTIFS(m_teacher,BC$4,m_date,($G$2+25),m_active,1,m_start,"&lt;"&amp;1440,m_end,"&gt;"&amp;1140)&gt;1,"충돌",HYPERLINK("#'관리자_MASTER'!D"&amp;_xlfn.MAXIFS(m_row,m_teacher,BC$4,m_date,($G$2+25),m_active,1,m_start,"&lt;"&amp;1440,m_end,"&gt;"&amp;1140),INDEX(m_label,_xlfn.MAXIFS(m_row,m_teacher,BC$4,m_date,($G$2+25),m_active,1,m_start,"&lt;"&amp;1440,m_end,"&gt;"&amp;1140))))))</f>
        <v/>
      </c>
      <c r="BD59" s="86" t="str">
        <f aca="false">IF(OR(BD$4="",MONTH(($G$2+25))&lt;&gt;MONTH($C$2)),"",IF(COUNTIFS(m_teacher,BD$4,m_date,($G$2+25),m_active,1,m_start,"&lt;"&amp;1440,m_end,"&gt;"&amp;1140)=0,"",IF(COUNTIFS(m_teacher,BD$4,m_date,($G$2+25),m_active,1,m_start,"&lt;"&amp;1440,m_end,"&gt;"&amp;1140)&gt;1,"충돌",HYPERLINK("#'관리자_MASTER'!D"&amp;_xlfn.MAXIFS(m_row,m_teacher,BD$4,m_date,($G$2+25),m_active,1,m_start,"&lt;"&amp;1440,m_end,"&gt;"&amp;1140),INDEX(m_label,_xlfn.MAXIFS(m_row,m_teacher,BD$4,m_date,($G$2+25),m_active,1,m_start,"&lt;"&amp;1440,m_end,"&gt;"&amp;1140))))))</f>
        <v/>
      </c>
      <c r="BE59" s="78"/>
      <c r="BF59" s="85" t="s">
        <v>101</v>
      </c>
      <c r="BG59" s="86" t="str">
        <f aca="false">IF(OR(BG$4="",MONTH(($G$2+32))&lt;&gt;MONTH($C$2)),"",IF(COUNTIFS(m_teacher,BG$4,m_date,($G$2+32),m_active,1,m_start,"&lt;"&amp;1440,m_end,"&gt;"&amp;1140)=0,"",IF(COUNTIFS(m_teacher,BG$4,m_date,($G$2+32),m_active,1,m_start,"&lt;"&amp;1440,m_end,"&gt;"&amp;1140)&gt;1,"충돌",HYPERLINK("#'관리자_MASTER'!D"&amp;_xlfn.MAXIFS(m_row,m_teacher,BG$4,m_date,($G$2+32),m_active,1,m_start,"&lt;"&amp;1440,m_end,"&gt;"&amp;1140),INDEX(m_label,_xlfn.MAXIFS(m_row,m_teacher,BG$4,m_date,($G$2+32),m_active,1,m_start,"&lt;"&amp;1440,m_end,"&gt;"&amp;1140))))))</f>
        <v/>
      </c>
      <c r="BH59" s="86" t="str">
        <f aca="false">IF(OR(BH$4="",MONTH(($G$2+32))&lt;&gt;MONTH($C$2)),"",IF(COUNTIFS(m_teacher,BH$4,m_date,($G$2+32),m_active,1,m_start,"&lt;"&amp;1440,m_end,"&gt;"&amp;1140)=0,"",IF(COUNTIFS(m_teacher,BH$4,m_date,($G$2+32),m_active,1,m_start,"&lt;"&amp;1440,m_end,"&gt;"&amp;1140)&gt;1,"충돌",HYPERLINK("#'관리자_MASTER'!D"&amp;_xlfn.MAXIFS(m_row,m_teacher,BH$4,m_date,($G$2+32),m_active,1,m_start,"&lt;"&amp;1440,m_end,"&gt;"&amp;1140),INDEX(m_label,_xlfn.MAXIFS(m_row,m_teacher,BH$4,m_date,($G$2+32),m_active,1,m_start,"&lt;"&amp;1440,m_end,"&gt;"&amp;1140))))))</f>
        <v/>
      </c>
      <c r="BI59" s="86" t="str">
        <f aca="false">IF(OR(BI$4="",MONTH(($G$2+32))&lt;&gt;MONTH($C$2)),"",IF(COUNTIFS(m_teacher,BI$4,m_date,($G$2+32),m_active,1,m_start,"&lt;"&amp;1440,m_end,"&gt;"&amp;1140)=0,"",IF(COUNTIFS(m_teacher,BI$4,m_date,($G$2+32),m_active,1,m_start,"&lt;"&amp;1440,m_end,"&gt;"&amp;1140)&gt;1,"충돌",HYPERLINK("#'관리자_MASTER'!D"&amp;_xlfn.MAXIFS(m_row,m_teacher,BI$4,m_date,($G$2+32),m_active,1,m_start,"&lt;"&amp;1440,m_end,"&gt;"&amp;1140),INDEX(m_label,_xlfn.MAXIFS(m_row,m_teacher,BI$4,m_date,($G$2+32),m_active,1,m_start,"&lt;"&amp;1440,m_end,"&gt;"&amp;1140))))))</f>
        <v/>
      </c>
      <c r="BJ59" s="86" t="str">
        <f aca="false">IF(OR(BJ$4="",MONTH(($G$2+32))&lt;&gt;MONTH($C$2)),"",IF(COUNTIFS(m_teacher,BJ$4,m_date,($G$2+32),m_active,1,m_start,"&lt;"&amp;1440,m_end,"&gt;"&amp;1140)=0,"",IF(COUNTIFS(m_teacher,BJ$4,m_date,($G$2+32),m_active,1,m_start,"&lt;"&amp;1440,m_end,"&gt;"&amp;1140)&gt;1,"충돌",HYPERLINK("#'관리자_MASTER'!D"&amp;_xlfn.MAXIFS(m_row,m_teacher,BJ$4,m_date,($G$2+32),m_active,1,m_start,"&lt;"&amp;1440,m_end,"&gt;"&amp;1140),INDEX(m_label,_xlfn.MAXIFS(m_row,m_teacher,BJ$4,m_date,($G$2+32),m_active,1,m_start,"&lt;"&amp;1440,m_end,"&gt;"&amp;1140))))))</f>
        <v/>
      </c>
      <c r="BK59" s="86" t="str">
        <f aca="false">IF(OR(BK$4="",MONTH(($G$2+32))&lt;&gt;MONTH($C$2)),"",IF(COUNTIFS(m_teacher,BK$4,m_date,($G$2+32),m_active,1,m_start,"&lt;"&amp;1440,m_end,"&gt;"&amp;1140)=0,"",IF(COUNTIFS(m_teacher,BK$4,m_date,($G$2+32),m_active,1,m_start,"&lt;"&amp;1440,m_end,"&gt;"&amp;1140)&gt;1,"충돌",HYPERLINK("#'관리자_MASTER'!D"&amp;_xlfn.MAXIFS(m_row,m_teacher,BK$4,m_date,($G$2+32),m_active,1,m_start,"&lt;"&amp;1440,m_end,"&gt;"&amp;1140),INDEX(m_label,_xlfn.MAXIFS(m_row,m_teacher,BK$4,m_date,($G$2+32),m_active,1,m_start,"&lt;"&amp;1440,m_end,"&gt;"&amp;1140))))))</f>
        <v/>
      </c>
      <c r="BL59" s="86" t="str">
        <f aca="false">IF(OR(BL$4="",MONTH(($G$2+32))&lt;&gt;MONTH($C$2)),"",IF(COUNTIFS(m_teacher,BL$4,m_date,($G$2+32),m_active,1,m_start,"&lt;"&amp;1440,m_end,"&gt;"&amp;1140)=0,"",IF(COUNTIFS(m_teacher,BL$4,m_date,($G$2+32),m_active,1,m_start,"&lt;"&amp;1440,m_end,"&gt;"&amp;1140)&gt;1,"충돌",HYPERLINK("#'관리자_MASTER'!D"&amp;_xlfn.MAXIFS(m_row,m_teacher,BL$4,m_date,($G$2+32),m_active,1,m_start,"&lt;"&amp;1440,m_end,"&gt;"&amp;1140),INDEX(m_label,_xlfn.MAXIFS(m_row,m_teacher,BL$4,m_date,($G$2+32),m_active,1,m_start,"&lt;"&amp;1440,m_end,"&gt;"&amp;1140))))))</f>
        <v/>
      </c>
      <c r="BM59" s="86" t="str">
        <f aca="false">IF(OR(BM$4="",MONTH(($G$2+32))&lt;&gt;MONTH($C$2)),"",IF(COUNTIFS(m_teacher,BM$4,m_date,($G$2+32),m_active,1,m_start,"&lt;"&amp;1440,m_end,"&gt;"&amp;1140)=0,"",IF(COUNTIFS(m_teacher,BM$4,m_date,($G$2+32),m_active,1,m_start,"&lt;"&amp;1440,m_end,"&gt;"&amp;1140)&gt;1,"충돌",HYPERLINK("#'관리자_MASTER'!D"&amp;_xlfn.MAXIFS(m_row,m_teacher,BM$4,m_date,($G$2+32),m_active,1,m_start,"&lt;"&amp;1440,m_end,"&gt;"&amp;1140),INDEX(m_label,_xlfn.MAXIFS(m_row,m_teacher,BM$4,m_date,($G$2+32),m_active,1,m_start,"&lt;"&amp;1440,m_end,"&gt;"&amp;1140))))))</f>
        <v/>
      </c>
      <c r="BN59" s="86" t="str">
        <f aca="false">IF(OR(BN$4="",MONTH(($G$2+32))&lt;&gt;MONTH($C$2)),"",IF(COUNTIFS(m_teacher,BN$4,m_date,($G$2+32),m_active,1,m_start,"&lt;"&amp;1440,m_end,"&gt;"&amp;1140)=0,"",IF(COUNTIFS(m_teacher,BN$4,m_date,($G$2+32),m_active,1,m_start,"&lt;"&amp;1440,m_end,"&gt;"&amp;1140)&gt;1,"충돌",HYPERLINK("#'관리자_MASTER'!D"&amp;_xlfn.MAXIFS(m_row,m_teacher,BN$4,m_date,($G$2+32),m_active,1,m_start,"&lt;"&amp;1440,m_end,"&gt;"&amp;1140),INDEX(m_label,_xlfn.MAXIFS(m_row,m_teacher,BN$4,m_date,($G$2+32),m_active,1,m_start,"&lt;"&amp;1440,m_end,"&gt;"&amp;1140))))))</f>
        <v/>
      </c>
      <c r="BO59" s="86" t="str">
        <f aca="false">IF(OR(BO$4="",MONTH(($G$2+32))&lt;&gt;MONTH($C$2)),"",IF(COUNTIFS(m_teacher,BO$4,m_date,($G$2+32),m_active,1,m_start,"&lt;"&amp;1440,m_end,"&gt;"&amp;1140)=0,"",IF(COUNTIFS(m_teacher,BO$4,m_date,($G$2+32),m_active,1,m_start,"&lt;"&amp;1440,m_end,"&gt;"&amp;1140)&gt;1,"충돌",HYPERLINK("#'관리자_MASTER'!D"&amp;_xlfn.MAXIFS(m_row,m_teacher,BO$4,m_date,($G$2+32),m_active,1,m_start,"&lt;"&amp;1440,m_end,"&gt;"&amp;1140),INDEX(m_label,_xlfn.MAXIFS(m_row,m_teacher,BO$4,m_date,($G$2+32),m_active,1,m_start,"&lt;"&amp;1440,m_end,"&gt;"&amp;1140))))))</f>
        <v/>
      </c>
      <c r="BP59" s="86" t="str">
        <f aca="false">IF(OR(BP$4="",MONTH(($G$2+32))&lt;&gt;MONTH($C$2)),"",IF(COUNTIFS(m_teacher,BP$4,m_date,($G$2+32),m_active,1,m_start,"&lt;"&amp;1440,m_end,"&gt;"&amp;1140)=0,"",IF(COUNTIFS(m_teacher,BP$4,m_date,($G$2+32),m_active,1,m_start,"&lt;"&amp;1440,m_end,"&gt;"&amp;1140)&gt;1,"충돌",HYPERLINK("#'관리자_MASTER'!D"&amp;_xlfn.MAXIFS(m_row,m_teacher,BP$4,m_date,($G$2+32),m_active,1,m_start,"&lt;"&amp;1440,m_end,"&gt;"&amp;1140),INDEX(m_label,_xlfn.MAXIFS(m_row,m_teacher,BP$4,m_date,($G$2+32),m_active,1,m_start,"&lt;"&amp;1440,m_end,"&gt;"&amp;1140))))))</f>
        <v/>
      </c>
      <c r="BQ59" s="86" t="str">
        <f aca="false">IF(OR(BQ$4="",MONTH(($G$2+32))&lt;&gt;MONTH($C$2)),"",IF(COUNTIFS(m_teacher,BQ$4,m_date,($G$2+32),m_active,1,m_start,"&lt;"&amp;1440,m_end,"&gt;"&amp;1140)=0,"",IF(COUNTIFS(m_teacher,BQ$4,m_date,($G$2+32),m_active,1,m_start,"&lt;"&amp;1440,m_end,"&gt;"&amp;1140)&gt;1,"충돌",HYPERLINK("#'관리자_MASTER'!D"&amp;_xlfn.MAXIFS(m_row,m_teacher,BQ$4,m_date,($G$2+32),m_active,1,m_start,"&lt;"&amp;1440,m_end,"&gt;"&amp;1140),INDEX(m_label,_xlfn.MAXIFS(m_row,m_teacher,BQ$4,m_date,($G$2+32),m_active,1,m_start,"&lt;"&amp;1440,m_end,"&gt;"&amp;1140))))))</f>
        <v/>
      </c>
      <c r="BR59" s="86" t="str">
        <f aca="false">IF(OR(BR$4="",MONTH(($G$2+32))&lt;&gt;MONTH($C$2)),"",IF(COUNTIFS(m_teacher,BR$4,m_date,($G$2+32),m_active,1,m_start,"&lt;"&amp;1440,m_end,"&gt;"&amp;1140)=0,"",IF(COUNTIFS(m_teacher,BR$4,m_date,($G$2+32),m_active,1,m_start,"&lt;"&amp;1440,m_end,"&gt;"&amp;1140)&gt;1,"충돌",HYPERLINK("#'관리자_MASTER'!D"&amp;_xlfn.MAXIFS(m_row,m_teacher,BR$4,m_date,($G$2+32),m_active,1,m_start,"&lt;"&amp;1440,m_end,"&gt;"&amp;1140),INDEX(m_label,_xlfn.MAXIFS(m_row,m_teacher,BR$4,m_date,($G$2+32),m_active,1,m_start,"&lt;"&amp;1440,m_end,"&gt;"&amp;1140))))))</f>
        <v/>
      </c>
    </row>
    <row r="60" customFormat="false" ht="19.5" hidden="false" customHeight="true" outlineLevel="0" collapsed="false">
      <c r="A60" s="90" t="str">
        <f aca="false">IF(MONTH(($G$2+5))&lt;&gt;MONTH($C$2),"",CHOOSE(WEEKDAY(($G$2+5),2),"월","화","수","목","금","토","일")&amp;CHAR(10)&amp;TEXT(($G$2+5),"m/d"))</f>
        <v>토
1/2</v>
      </c>
      <c r="B60" s="79" t="s">
        <v>91</v>
      </c>
      <c r="C60" s="87" t="str">
        <f aca="false">IF(OR(C$4="",MONTH(($G$2+5))&lt;&gt;MONTH($C$2)),"",IF(COUNTIFS(m_teacher,C$4,m_date,($G$2+5),m_active,1,m_start,"&lt;"&amp;600,m_end,"&gt;"&amp;0)=0,"",IF(COUNTIFS(m_teacher,C$4,m_date,($G$2+5),m_active,1,m_start,"&lt;"&amp;600,m_end,"&gt;"&amp;0)&gt;1,"충돌",HYPERLINK("#'관리자_MASTER'!D"&amp;_xlfn.MAXIFS(m_row,m_teacher,C$4,m_date,($G$2+5),m_active,1,m_start,"&lt;"&amp;600,m_end,"&gt;"&amp;0),INDEX(m_label,_xlfn.MAXIFS(m_row,m_teacher,C$4,m_date,($G$2+5),m_active,1,m_start,"&lt;"&amp;600,m_end,"&gt;"&amp;0))))))</f>
        <v/>
      </c>
      <c r="D60" s="87" t="str">
        <f aca="false">IF(OR(D$4="",MONTH(($G$2+5))&lt;&gt;MONTH($C$2)),"",IF(COUNTIFS(m_teacher,D$4,m_date,($G$2+5),m_active,1,m_start,"&lt;"&amp;600,m_end,"&gt;"&amp;0)=0,"",IF(COUNTIFS(m_teacher,D$4,m_date,($G$2+5),m_active,1,m_start,"&lt;"&amp;600,m_end,"&gt;"&amp;0)&gt;1,"충돌",HYPERLINK("#'관리자_MASTER'!D"&amp;_xlfn.MAXIFS(m_row,m_teacher,D$4,m_date,($G$2+5),m_active,1,m_start,"&lt;"&amp;600,m_end,"&gt;"&amp;0),INDEX(m_label,_xlfn.MAXIFS(m_row,m_teacher,D$4,m_date,($G$2+5),m_active,1,m_start,"&lt;"&amp;600,m_end,"&gt;"&amp;0))))))</f>
        <v/>
      </c>
      <c r="E60" s="87" t="str">
        <f aca="false">IF(OR(E$4="",MONTH(($G$2+5))&lt;&gt;MONTH($C$2)),"",IF(COUNTIFS(m_teacher,E$4,m_date,($G$2+5),m_active,1,m_start,"&lt;"&amp;600,m_end,"&gt;"&amp;0)=0,"",IF(COUNTIFS(m_teacher,E$4,m_date,($G$2+5),m_active,1,m_start,"&lt;"&amp;600,m_end,"&gt;"&amp;0)&gt;1,"충돌",HYPERLINK("#'관리자_MASTER'!D"&amp;_xlfn.MAXIFS(m_row,m_teacher,E$4,m_date,($G$2+5),m_active,1,m_start,"&lt;"&amp;600,m_end,"&gt;"&amp;0),INDEX(m_label,_xlfn.MAXIFS(m_row,m_teacher,E$4,m_date,($G$2+5),m_active,1,m_start,"&lt;"&amp;600,m_end,"&gt;"&amp;0))))))</f>
        <v/>
      </c>
      <c r="F60" s="87" t="str">
        <f aca="false">IF(OR(F$4="",MONTH(($G$2+5))&lt;&gt;MONTH($C$2)),"",IF(COUNTIFS(m_teacher,F$4,m_date,($G$2+5),m_active,1,m_start,"&lt;"&amp;600,m_end,"&gt;"&amp;0)=0,"",IF(COUNTIFS(m_teacher,F$4,m_date,($G$2+5),m_active,1,m_start,"&lt;"&amp;600,m_end,"&gt;"&amp;0)&gt;1,"충돌",HYPERLINK("#'관리자_MASTER'!D"&amp;_xlfn.MAXIFS(m_row,m_teacher,F$4,m_date,($G$2+5),m_active,1,m_start,"&lt;"&amp;600,m_end,"&gt;"&amp;0),INDEX(m_label,_xlfn.MAXIFS(m_row,m_teacher,F$4,m_date,($G$2+5),m_active,1,m_start,"&lt;"&amp;600,m_end,"&gt;"&amp;0))))))</f>
        <v/>
      </c>
      <c r="G60" s="87" t="str">
        <f aca="false">IF(OR(G$4="",MONTH(($G$2+5))&lt;&gt;MONTH($C$2)),"",IF(COUNTIFS(m_teacher,G$4,m_date,($G$2+5),m_active,1,m_start,"&lt;"&amp;600,m_end,"&gt;"&amp;0)=0,"",IF(COUNTIFS(m_teacher,G$4,m_date,($G$2+5),m_active,1,m_start,"&lt;"&amp;600,m_end,"&gt;"&amp;0)&gt;1,"충돌",HYPERLINK("#'관리자_MASTER'!D"&amp;_xlfn.MAXIFS(m_row,m_teacher,G$4,m_date,($G$2+5),m_active,1,m_start,"&lt;"&amp;600,m_end,"&gt;"&amp;0),INDEX(m_label,_xlfn.MAXIFS(m_row,m_teacher,G$4,m_date,($G$2+5),m_active,1,m_start,"&lt;"&amp;600,m_end,"&gt;"&amp;0))))))</f>
        <v/>
      </c>
      <c r="H60" s="87" t="str">
        <f aca="false">IF(OR(H$4="",MONTH(($G$2+5))&lt;&gt;MONTH($C$2)),"",IF(COUNTIFS(m_teacher,H$4,m_date,($G$2+5),m_active,1,m_start,"&lt;"&amp;600,m_end,"&gt;"&amp;0)=0,"",IF(COUNTIFS(m_teacher,H$4,m_date,($G$2+5),m_active,1,m_start,"&lt;"&amp;600,m_end,"&gt;"&amp;0)&gt;1,"충돌",HYPERLINK("#'관리자_MASTER'!D"&amp;_xlfn.MAXIFS(m_row,m_teacher,H$4,m_date,($G$2+5),m_active,1,m_start,"&lt;"&amp;600,m_end,"&gt;"&amp;0),INDEX(m_label,_xlfn.MAXIFS(m_row,m_teacher,H$4,m_date,($G$2+5),m_active,1,m_start,"&lt;"&amp;600,m_end,"&gt;"&amp;0))))))</f>
        <v/>
      </c>
      <c r="I60" s="87" t="str">
        <f aca="false">IF(OR(I$4="",MONTH(($G$2+5))&lt;&gt;MONTH($C$2)),"",IF(COUNTIFS(m_teacher,I$4,m_date,($G$2+5),m_active,1,m_start,"&lt;"&amp;600,m_end,"&gt;"&amp;0)=0,"",IF(COUNTIFS(m_teacher,I$4,m_date,($G$2+5),m_active,1,m_start,"&lt;"&amp;600,m_end,"&gt;"&amp;0)&gt;1,"충돌",HYPERLINK("#'관리자_MASTER'!D"&amp;_xlfn.MAXIFS(m_row,m_teacher,I$4,m_date,($G$2+5),m_active,1,m_start,"&lt;"&amp;600,m_end,"&gt;"&amp;0),INDEX(m_label,_xlfn.MAXIFS(m_row,m_teacher,I$4,m_date,($G$2+5),m_active,1,m_start,"&lt;"&amp;600,m_end,"&gt;"&amp;0))))))</f>
        <v/>
      </c>
      <c r="J60" s="87" t="str">
        <f aca="false">IF(OR(J$4="",MONTH(($G$2+5))&lt;&gt;MONTH($C$2)),"",IF(COUNTIFS(m_teacher,J$4,m_date,($G$2+5),m_active,1,m_start,"&lt;"&amp;600,m_end,"&gt;"&amp;0)=0,"",IF(COUNTIFS(m_teacher,J$4,m_date,($G$2+5),m_active,1,m_start,"&lt;"&amp;600,m_end,"&gt;"&amp;0)&gt;1,"충돌",HYPERLINK("#'관리자_MASTER'!D"&amp;_xlfn.MAXIFS(m_row,m_teacher,J$4,m_date,($G$2+5),m_active,1,m_start,"&lt;"&amp;600,m_end,"&gt;"&amp;0),INDEX(m_label,_xlfn.MAXIFS(m_row,m_teacher,J$4,m_date,($G$2+5),m_active,1,m_start,"&lt;"&amp;600,m_end,"&gt;"&amp;0))))))</f>
        <v/>
      </c>
      <c r="K60" s="87" t="str">
        <f aca="false">IF(OR(K$4="",MONTH(($G$2+5))&lt;&gt;MONTH($C$2)),"",IF(COUNTIFS(m_teacher,K$4,m_date,($G$2+5),m_active,1,m_start,"&lt;"&amp;600,m_end,"&gt;"&amp;0)=0,"",IF(COUNTIFS(m_teacher,K$4,m_date,($G$2+5),m_active,1,m_start,"&lt;"&amp;600,m_end,"&gt;"&amp;0)&gt;1,"충돌",HYPERLINK("#'관리자_MASTER'!D"&amp;_xlfn.MAXIFS(m_row,m_teacher,K$4,m_date,($G$2+5),m_active,1,m_start,"&lt;"&amp;600,m_end,"&gt;"&amp;0),INDEX(m_label,_xlfn.MAXIFS(m_row,m_teacher,K$4,m_date,($G$2+5),m_active,1,m_start,"&lt;"&amp;600,m_end,"&gt;"&amp;0))))))</f>
        <v/>
      </c>
      <c r="L60" s="87" t="str">
        <f aca="false">IF(OR(L$4="",MONTH(($G$2+5))&lt;&gt;MONTH($C$2)),"",IF(COUNTIFS(m_teacher,L$4,m_date,($G$2+5),m_active,1,m_start,"&lt;"&amp;600,m_end,"&gt;"&amp;0)=0,"",IF(COUNTIFS(m_teacher,L$4,m_date,($G$2+5),m_active,1,m_start,"&lt;"&amp;600,m_end,"&gt;"&amp;0)&gt;1,"충돌",HYPERLINK("#'관리자_MASTER'!D"&amp;_xlfn.MAXIFS(m_row,m_teacher,L$4,m_date,($G$2+5),m_active,1,m_start,"&lt;"&amp;600,m_end,"&gt;"&amp;0),INDEX(m_label,_xlfn.MAXIFS(m_row,m_teacher,L$4,m_date,($G$2+5),m_active,1,m_start,"&lt;"&amp;600,m_end,"&gt;"&amp;0))))))</f>
        <v/>
      </c>
      <c r="M60" s="87" t="str">
        <f aca="false">IF(OR(M$4="",MONTH(($G$2+5))&lt;&gt;MONTH($C$2)),"",IF(COUNTIFS(m_teacher,M$4,m_date,($G$2+5),m_active,1,m_start,"&lt;"&amp;600,m_end,"&gt;"&amp;0)=0,"",IF(COUNTIFS(m_teacher,M$4,m_date,($G$2+5),m_active,1,m_start,"&lt;"&amp;600,m_end,"&gt;"&amp;0)&gt;1,"충돌",HYPERLINK("#'관리자_MASTER'!D"&amp;_xlfn.MAXIFS(m_row,m_teacher,M$4,m_date,($G$2+5),m_active,1,m_start,"&lt;"&amp;600,m_end,"&gt;"&amp;0),INDEX(m_label,_xlfn.MAXIFS(m_row,m_teacher,M$4,m_date,($G$2+5),m_active,1,m_start,"&lt;"&amp;600,m_end,"&gt;"&amp;0))))))</f>
        <v/>
      </c>
      <c r="N60" s="87" t="str">
        <f aca="false">IF(OR(N$4="",MONTH(($G$2+5))&lt;&gt;MONTH($C$2)),"",IF(COUNTIFS(m_teacher,N$4,m_date,($G$2+5),m_active,1,m_start,"&lt;"&amp;600,m_end,"&gt;"&amp;0)=0,"",IF(COUNTIFS(m_teacher,N$4,m_date,($G$2+5),m_active,1,m_start,"&lt;"&amp;600,m_end,"&gt;"&amp;0)&gt;1,"충돌",HYPERLINK("#'관리자_MASTER'!D"&amp;_xlfn.MAXIFS(m_row,m_teacher,N$4,m_date,($G$2+5),m_active,1,m_start,"&lt;"&amp;600,m_end,"&gt;"&amp;0),INDEX(m_label,_xlfn.MAXIFS(m_row,m_teacher,N$4,m_date,($G$2+5),m_active,1,m_start,"&lt;"&amp;600,m_end,"&gt;"&amp;0))))))</f>
        <v/>
      </c>
      <c r="O60" s="90" t="str">
        <f aca="false">IF(MONTH(($G$2+12))&lt;&gt;MONTH($C$2),"",CHOOSE(WEEKDAY(($G$2+12),2),"월","화","수","목","금","토","일")&amp;CHAR(10)&amp;TEXT(($G$2+12),"m/d"))</f>
        <v>토
1/9</v>
      </c>
      <c r="P60" s="79" t="s">
        <v>91</v>
      </c>
      <c r="Q60" s="87" t="str">
        <f aca="false">IF(OR(Q$4="",MONTH(($G$2+12))&lt;&gt;MONTH($C$2)),"",IF(COUNTIFS(m_teacher,Q$4,m_date,($G$2+12),m_active,1,m_start,"&lt;"&amp;600,m_end,"&gt;"&amp;0)=0,"",IF(COUNTIFS(m_teacher,Q$4,m_date,($G$2+12),m_active,1,m_start,"&lt;"&amp;600,m_end,"&gt;"&amp;0)&gt;1,"충돌",HYPERLINK("#'관리자_MASTER'!D"&amp;_xlfn.MAXIFS(m_row,m_teacher,Q$4,m_date,($G$2+12),m_active,1,m_start,"&lt;"&amp;600,m_end,"&gt;"&amp;0),INDEX(m_label,_xlfn.MAXIFS(m_row,m_teacher,Q$4,m_date,($G$2+12),m_active,1,m_start,"&lt;"&amp;600,m_end,"&gt;"&amp;0))))))</f>
        <v/>
      </c>
      <c r="R60" s="87" t="str">
        <f aca="false">IF(OR(R$4="",MONTH(($G$2+12))&lt;&gt;MONTH($C$2)),"",IF(COUNTIFS(m_teacher,R$4,m_date,($G$2+12),m_active,1,m_start,"&lt;"&amp;600,m_end,"&gt;"&amp;0)=0,"",IF(COUNTIFS(m_teacher,R$4,m_date,($G$2+12),m_active,1,m_start,"&lt;"&amp;600,m_end,"&gt;"&amp;0)&gt;1,"충돌",HYPERLINK("#'관리자_MASTER'!D"&amp;_xlfn.MAXIFS(m_row,m_teacher,R$4,m_date,($G$2+12),m_active,1,m_start,"&lt;"&amp;600,m_end,"&gt;"&amp;0),INDEX(m_label,_xlfn.MAXIFS(m_row,m_teacher,R$4,m_date,($G$2+12),m_active,1,m_start,"&lt;"&amp;600,m_end,"&gt;"&amp;0))))))</f>
        <v/>
      </c>
      <c r="S60" s="87" t="str">
        <f aca="false">IF(OR(S$4="",MONTH(($G$2+12))&lt;&gt;MONTH($C$2)),"",IF(COUNTIFS(m_teacher,S$4,m_date,($G$2+12),m_active,1,m_start,"&lt;"&amp;600,m_end,"&gt;"&amp;0)=0,"",IF(COUNTIFS(m_teacher,S$4,m_date,($G$2+12),m_active,1,m_start,"&lt;"&amp;600,m_end,"&gt;"&amp;0)&gt;1,"충돌",HYPERLINK("#'관리자_MASTER'!D"&amp;_xlfn.MAXIFS(m_row,m_teacher,S$4,m_date,($G$2+12),m_active,1,m_start,"&lt;"&amp;600,m_end,"&gt;"&amp;0),INDEX(m_label,_xlfn.MAXIFS(m_row,m_teacher,S$4,m_date,($G$2+12),m_active,1,m_start,"&lt;"&amp;600,m_end,"&gt;"&amp;0))))))</f>
        <v/>
      </c>
      <c r="T60" s="87" t="str">
        <f aca="false">IF(OR(T$4="",MONTH(($G$2+12))&lt;&gt;MONTH($C$2)),"",IF(COUNTIFS(m_teacher,T$4,m_date,($G$2+12),m_active,1,m_start,"&lt;"&amp;600,m_end,"&gt;"&amp;0)=0,"",IF(COUNTIFS(m_teacher,T$4,m_date,($G$2+12),m_active,1,m_start,"&lt;"&amp;600,m_end,"&gt;"&amp;0)&gt;1,"충돌",HYPERLINK("#'관리자_MASTER'!D"&amp;_xlfn.MAXIFS(m_row,m_teacher,T$4,m_date,($G$2+12),m_active,1,m_start,"&lt;"&amp;600,m_end,"&gt;"&amp;0),INDEX(m_label,_xlfn.MAXIFS(m_row,m_teacher,T$4,m_date,($G$2+12),m_active,1,m_start,"&lt;"&amp;600,m_end,"&gt;"&amp;0))))))</f>
        <v/>
      </c>
      <c r="U60" s="87" t="str">
        <f aca="false">IF(OR(U$4="",MONTH(($G$2+12))&lt;&gt;MONTH($C$2)),"",IF(COUNTIFS(m_teacher,U$4,m_date,($G$2+12),m_active,1,m_start,"&lt;"&amp;600,m_end,"&gt;"&amp;0)=0,"",IF(COUNTIFS(m_teacher,U$4,m_date,($G$2+12),m_active,1,m_start,"&lt;"&amp;600,m_end,"&gt;"&amp;0)&gt;1,"충돌",HYPERLINK("#'관리자_MASTER'!D"&amp;_xlfn.MAXIFS(m_row,m_teacher,U$4,m_date,($G$2+12),m_active,1,m_start,"&lt;"&amp;600,m_end,"&gt;"&amp;0),INDEX(m_label,_xlfn.MAXIFS(m_row,m_teacher,U$4,m_date,($G$2+12),m_active,1,m_start,"&lt;"&amp;600,m_end,"&gt;"&amp;0))))))</f>
        <v/>
      </c>
      <c r="V60" s="87" t="str">
        <f aca="false">IF(OR(V$4="",MONTH(($G$2+12))&lt;&gt;MONTH($C$2)),"",IF(COUNTIFS(m_teacher,V$4,m_date,($G$2+12),m_active,1,m_start,"&lt;"&amp;600,m_end,"&gt;"&amp;0)=0,"",IF(COUNTIFS(m_teacher,V$4,m_date,($G$2+12),m_active,1,m_start,"&lt;"&amp;600,m_end,"&gt;"&amp;0)&gt;1,"충돌",HYPERLINK("#'관리자_MASTER'!D"&amp;_xlfn.MAXIFS(m_row,m_teacher,V$4,m_date,($G$2+12),m_active,1,m_start,"&lt;"&amp;600,m_end,"&gt;"&amp;0),INDEX(m_label,_xlfn.MAXIFS(m_row,m_teacher,V$4,m_date,($G$2+12),m_active,1,m_start,"&lt;"&amp;600,m_end,"&gt;"&amp;0))))))</f>
        <v/>
      </c>
      <c r="W60" s="87" t="str">
        <f aca="false">IF(OR(W$4="",MONTH(($G$2+12))&lt;&gt;MONTH($C$2)),"",IF(COUNTIFS(m_teacher,W$4,m_date,($G$2+12),m_active,1,m_start,"&lt;"&amp;600,m_end,"&gt;"&amp;0)=0,"",IF(COUNTIFS(m_teacher,W$4,m_date,($G$2+12),m_active,1,m_start,"&lt;"&amp;600,m_end,"&gt;"&amp;0)&gt;1,"충돌",HYPERLINK("#'관리자_MASTER'!D"&amp;_xlfn.MAXIFS(m_row,m_teacher,W$4,m_date,($G$2+12),m_active,1,m_start,"&lt;"&amp;600,m_end,"&gt;"&amp;0),INDEX(m_label,_xlfn.MAXIFS(m_row,m_teacher,W$4,m_date,($G$2+12),m_active,1,m_start,"&lt;"&amp;600,m_end,"&gt;"&amp;0))))))</f>
        <v/>
      </c>
      <c r="X60" s="87" t="str">
        <f aca="false">IF(OR(X$4="",MONTH(($G$2+12))&lt;&gt;MONTH($C$2)),"",IF(COUNTIFS(m_teacher,X$4,m_date,($G$2+12),m_active,1,m_start,"&lt;"&amp;600,m_end,"&gt;"&amp;0)=0,"",IF(COUNTIFS(m_teacher,X$4,m_date,($G$2+12),m_active,1,m_start,"&lt;"&amp;600,m_end,"&gt;"&amp;0)&gt;1,"충돌",HYPERLINK("#'관리자_MASTER'!D"&amp;_xlfn.MAXIFS(m_row,m_teacher,X$4,m_date,($G$2+12),m_active,1,m_start,"&lt;"&amp;600,m_end,"&gt;"&amp;0),INDEX(m_label,_xlfn.MAXIFS(m_row,m_teacher,X$4,m_date,($G$2+12),m_active,1,m_start,"&lt;"&amp;600,m_end,"&gt;"&amp;0))))))</f>
        <v/>
      </c>
      <c r="Y60" s="87" t="str">
        <f aca="false">IF(OR(Y$4="",MONTH(($G$2+12))&lt;&gt;MONTH($C$2)),"",IF(COUNTIFS(m_teacher,Y$4,m_date,($G$2+12),m_active,1,m_start,"&lt;"&amp;600,m_end,"&gt;"&amp;0)=0,"",IF(COUNTIFS(m_teacher,Y$4,m_date,($G$2+12),m_active,1,m_start,"&lt;"&amp;600,m_end,"&gt;"&amp;0)&gt;1,"충돌",HYPERLINK("#'관리자_MASTER'!D"&amp;_xlfn.MAXIFS(m_row,m_teacher,Y$4,m_date,($G$2+12),m_active,1,m_start,"&lt;"&amp;600,m_end,"&gt;"&amp;0),INDEX(m_label,_xlfn.MAXIFS(m_row,m_teacher,Y$4,m_date,($G$2+12),m_active,1,m_start,"&lt;"&amp;600,m_end,"&gt;"&amp;0))))))</f>
        <v/>
      </c>
      <c r="Z60" s="87" t="str">
        <f aca="false">IF(OR(Z$4="",MONTH(($G$2+12))&lt;&gt;MONTH($C$2)),"",IF(COUNTIFS(m_teacher,Z$4,m_date,($G$2+12),m_active,1,m_start,"&lt;"&amp;600,m_end,"&gt;"&amp;0)=0,"",IF(COUNTIFS(m_teacher,Z$4,m_date,($G$2+12),m_active,1,m_start,"&lt;"&amp;600,m_end,"&gt;"&amp;0)&gt;1,"충돌",HYPERLINK("#'관리자_MASTER'!D"&amp;_xlfn.MAXIFS(m_row,m_teacher,Z$4,m_date,($G$2+12),m_active,1,m_start,"&lt;"&amp;600,m_end,"&gt;"&amp;0),INDEX(m_label,_xlfn.MAXIFS(m_row,m_teacher,Z$4,m_date,($G$2+12),m_active,1,m_start,"&lt;"&amp;600,m_end,"&gt;"&amp;0))))))</f>
        <v/>
      </c>
      <c r="AA60" s="87" t="str">
        <f aca="false">IF(OR(AA$4="",MONTH(($G$2+12))&lt;&gt;MONTH($C$2)),"",IF(COUNTIFS(m_teacher,AA$4,m_date,($G$2+12),m_active,1,m_start,"&lt;"&amp;600,m_end,"&gt;"&amp;0)=0,"",IF(COUNTIFS(m_teacher,AA$4,m_date,($G$2+12),m_active,1,m_start,"&lt;"&amp;600,m_end,"&gt;"&amp;0)&gt;1,"충돌",HYPERLINK("#'관리자_MASTER'!D"&amp;_xlfn.MAXIFS(m_row,m_teacher,AA$4,m_date,($G$2+12),m_active,1,m_start,"&lt;"&amp;600,m_end,"&gt;"&amp;0),INDEX(m_label,_xlfn.MAXIFS(m_row,m_teacher,AA$4,m_date,($G$2+12),m_active,1,m_start,"&lt;"&amp;600,m_end,"&gt;"&amp;0))))))</f>
        <v/>
      </c>
      <c r="AB60" s="87" t="str">
        <f aca="false">IF(OR(AB$4="",MONTH(($G$2+12))&lt;&gt;MONTH($C$2)),"",IF(COUNTIFS(m_teacher,AB$4,m_date,($G$2+12),m_active,1,m_start,"&lt;"&amp;600,m_end,"&gt;"&amp;0)=0,"",IF(COUNTIFS(m_teacher,AB$4,m_date,($G$2+12),m_active,1,m_start,"&lt;"&amp;600,m_end,"&gt;"&amp;0)&gt;1,"충돌",HYPERLINK("#'관리자_MASTER'!D"&amp;_xlfn.MAXIFS(m_row,m_teacher,AB$4,m_date,($G$2+12),m_active,1,m_start,"&lt;"&amp;600,m_end,"&gt;"&amp;0),INDEX(m_label,_xlfn.MAXIFS(m_row,m_teacher,AB$4,m_date,($G$2+12),m_active,1,m_start,"&lt;"&amp;600,m_end,"&gt;"&amp;0))))))</f>
        <v/>
      </c>
      <c r="AC60" s="90" t="str">
        <f aca="false">IF(MONTH(($G$2+19))&lt;&gt;MONTH($C$2),"",CHOOSE(WEEKDAY(($G$2+19),2),"월","화","수","목","금","토","일")&amp;CHAR(10)&amp;TEXT(($G$2+19),"m/d"))</f>
        <v>토
1/16</v>
      </c>
      <c r="AD60" s="79" t="s">
        <v>91</v>
      </c>
      <c r="AE60" s="87" t="str">
        <f aca="false">IF(OR(AE$4="",MONTH(($G$2+19))&lt;&gt;MONTH($C$2)),"",IF(COUNTIFS(m_teacher,AE$4,m_date,($G$2+19),m_active,1,m_start,"&lt;"&amp;600,m_end,"&gt;"&amp;0)=0,"",IF(COUNTIFS(m_teacher,AE$4,m_date,($G$2+19),m_active,1,m_start,"&lt;"&amp;600,m_end,"&gt;"&amp;0)&gt;1,"충돌",HYPERLINK("#'관리자_MASTER'!D"&amp;_xlfn.MAXIFS(m_row,m_teacher,AE$4,m_date,($G$2+19),m_active,1,m_start,"&lt;"&amp;600,m_end,"&gt;"&amp;0),INDEX(m_label,_xlfn.MAXIFS(m_row,m_teacher,AE$4,m_date,($G$2+19),m_active,1,m_start,"&lt;"&amp;600,m_end,"&gt;"&amp;0))))))</f>
        <v/>
      </c>
      <c r="AF60" s="87" t="str">
        <f aca="false">IF(OR(AF$4="",MONTH(($G$2+19))&lt;&gt;MONTH($C$2)),"",IF(COUNTIFS(m_teacher,AF$4,m_date,($G$2+19),m_active,1,m_start,"&lt;"&amp;600,m_end,"&gt;"&amp;0)=0,"",IF(COUNTIFS(m_teacher,AF$4,m_date,($G$2+19),m_active,1,m_start,"&lt;"&amp;600,m_end,"&gt;"&amp;0)&gt;1,"충돌",HYPERLINK("#'관리자_MASTER'!D"&amp;_xlfn.MAXIFS(m_row,m_teacher,AF$4,m_date,($G$2+19),m_active,1,m_start,"&lt;"&amp;600,m_end,"&gt;"&amp;0),INDEX(m_label,_xlfn.MAXIFS(m_row,m_teacher,AF$4,m_date,($G$2+19),m_active,1,m_start,"&lt;"&amp;600,m_end,"&gt;"&amp;0))))))</f>
        <v/>
      </c>
      <c r="AG60" s="87" t="str">
        <f aca="false">IF(OR(AG$4="",MONTH(($G$2+19))&lt;&gt;MONTH($C$2)),"",IF(COUNTIFS(m_teacher,AG$4,m_date,($G$2+19),m_active,1,m_start,"&lt;"&amp;600,m_end,"&gt;"&amp;0)=0,"",IF(COUNTIFS(m_teacher,AG$4,m_date,($G$2+19),m_active,1,m_start,"&lt;"&amp;600,m_end,"&gt;"&amp;0)&gt;1,"충돌",HYPERLINK("#'관리자_MASTER'!D"&amp;_xlfn.MAXIFS(m_row,m_teacher,AG$4,m_date,($G$2+19),m_active,1,m_start,"&lt;"&amp;600,m_end,"&gt;"&amp;0),INDEX(m_label,_xlfn.MAXIFS(m_row,m_teacher,AG$4,m_date,($G$2+19),m_active,1,m_start,"&lt;"&amp;600,m_end,"&gt;"&amp;0))))))</f>
        <v/>
      </c>
      <c r="AH60" s="87" t="str">
        <f aca="false">IF(OR(AH$4="",MONTH(($G$2+19))&lt;&gt;MONTH($C$2)),"",IF(COUNTIFS(m_teacher,AH$4,m_date,($G$2+19),m_active,1,m_start,"&lt;"&amp;600,m_end,"&gt;"&amp;0)=0,"",IF(COUNTIFS(m_teacher,AH$4,m_date,($G$2+19),m_active,1,m_start,"&lt;"&amp;600,m_end,"&gt;"&amp;0)&gt;1,"충돌",HYPERLINK("#'관리자_MASTER'!D"&amp;_xlfn.MAXIFS(m_row,m_teacher,AH$4,m_date,($G$2+19),m_active,1,m_start,"&lt;"&amp;600,m_end,"&gt;"&amp;0),INDEX(m_label,_xlfn.MAXIFS(m_row,m_teacher,AH$4,m_date,($G$2+19),m_active,1,m_start,"&lt;"&amp;600,m_end,"&gt;"&amp;0))))))</f>
        <v/>
      </c>
      <c r="AI60" s="87" t="str">
        <f aca="false">IF(OR(AI$4="",MONTH(($G$2+19))&lt;&gt;MONTH($C$2)),"",IF(COUNTIFS(m_teacher,AI$4,m_date,($G$2+19),m_active,1,m_start,"&lt;"&amp;600,m_end,"&gt;"&amp;0)=0,"",IF(COUNTIFS(m_teacher,AI$4,m_date,($G$2+19),m_active,1,m_start,"&lt;"&amp;600,m_end,"&gt;"&amp;0)&gt;1,"충돌",HYPERLINK("#'관리자_MASTER'!D"&amp;_xlfn.MAXIFS(m_row,m_teacher,AI$4,m_date,($G$2+19),m_active,1,m_start,"&lt;"&amp;600,m_end,"&gt;"&amp;0),INDEX(m_label,_xlfn.MAXIFS(m_row,m_teacher,AI$4,m_date,($G$2+19),m_active,1,m_start,"&lt;"&amp;600,m_end,"&gt;"&amp;0))))))</f>
        <v/>
      </c>
      <c r="AJ60" s="87" t="str">
        <f aca="false">IF(OR(AJ$4="",MONTH(($G$2+19))&lt;&gt;MONTH($C$2)),"",IF(COUNTIFS(m_teacher,AJ$4,m_date,($G$2+19),m_active,1,m_start,"&lt;"&amp;600,m_end,"&gt;"&amp;0)=0,"",IF(COUNTIFS(m_teacher,AJ$4,m_date,($G$2+19),m_active,1,m_start,"&lt;"&amp;600,m_end,"&gt;"&amp;0)&gt;1,"충돌",HYPERLINK("#'관리자_MASTER'!D"&amp;_xlfn.MAXIFS(m_row,m_teacher,AJ$4,m_date,($G$2+19),m_active,1,m_start,"&lt;"&amp;600,m_end,"&gt;"&amp;0),INDEX(m_label,_xlfn.MAXIFS(m_row,m_teacher,AJ$4,m_date,($G$2+19),m_active,1,m_start,"&lt;"&amp;600,m_end,"&gt;"&amp;0))))))</f>
        <v/>
      </c>
      <c r="AK60" s="87" t="str">
        <f aca="false">IF(OR(AK$4="",MONTH(($G$2+19))&lt;&gt;MONTH($C$2)),"",IF(COUNTIFS(m_teacher,AK$4,m_date,($G$2+19),m_active,1,m_start,"&lt;"&amp;600,m_end,"&gt;"&amp;0)=0,"",IF(COUNTIFS(m_teacher,AK$4,m_date,($G$2+19),m_active,1,m_start,"&lt;"&amp;600,m_end,"&gt;"&amp;0)&gt;1,"충돌",HYPERLINK("#'관리자_MASTER'!D"&amp;_xlfn.MAXIFS(m_row,m_teacher,AK$4,m_date,($G$2+19),m_active,1,m_start,"&lt;"&amp;600,m_end,"&gt;"&amp;0),INDEX(m_label,_xlfn.MAXIFS(m_row,m_teacher,AK$4,m_date,($G$2+19),m_active,1,m_start,"&lt;"&amp;600,m_end,"&gt;"&amp;0))))))</f>
        <v/>
      </c>
      <c r="AL60" s="87" t="str">
        <f aca="false">IF(OR(AL$4="",MONTH(($G$2+19))&lt;&gt;MONTH($C$2)),"",IF(COUNTIFS(m_teacher,AL$4,m_date,($G$2+19),m_active,1,m_start,"&lt;"&amp;600,m_end,"&gt;"&amp;0)=0,"",IF(COUNTIFS(m_teacher,AL$4,m_date,($G$2+19),m_active,1,m_start,"&lt;"&amp;600,m_end,"&gt;"&amp;0)&gt;1,"충돌",HYPERLINK("#'관리자_MASTER'!D"&amp;_xlfn.MAXIFS(m_row,m_teacher,AL$4,m_date,($G$2+19),m_active,1,m_start,"&lt;"&amp;600,m_end,"&gt;"&amp;0),INDEX(m_label,_xlfn.MAXIFS(m_row,m_teacher,AL$4,m_date,($G$2+19),m_active,1,m_start,"&lt;"&amp;600,m_end,"&gt;"&amp;0))))))</f>
        <v/>
      </c>
      <c r="AM60" s="87" t="str">
        <f aca="false">IF(OR(AM$4="",MONTH(($G$2+19))&lt;&gt;MONTH($C$2)),"",IF(COUNTIFS(m_teacher,AM$4,m_date,($G$2+19),m_active,1,m_start,"&lt;"&amp;600,m_end,"&gt;"&amp;0)=0,"",IF(COUNTIFS(m_teacher,AM$4,m_date,($G$2+19),m_active,1,m_start,"&lt;"&amp;600,m_end,"&gt;"&amp;0)&gt;1,"충돌",HYPERLINK("#'관리자_MASTER'!D"&amp;_xlfn.MAXIFS(m_row,m_teacher,AM$4,m_date,($G$2+19),m_active,1,m_start,"&lt;"&amp;600,m_end,"&gt;"&amp;0),INDEX(m_label,_xlfn.MAXIFS(m_row,m_teacher,AM$4,m_date,($G$2+19),m_active,1,m_start,"&lt;"&amp;600,m_end,"&gt;"&amp;0))))))</f>
        <v/>
      </c>
      <c r="AN60" s="87" t="str">
        <f aca="false">IF(OR(AN$4="",MONTH(($G$2+19))&lt;&gt;MONTH($C$2)),"",IF(COUNTIFS(m_teacher,AN$4,m_date,($G$2+19),m_active,1,m_start,"&lt;"&amp;600,m_end,"&gt;"&amp;0)=0,"",IF(COUNTIFS(m_teacher,AN$4,m_date,($G$2+19),m_active,1,m_start,"&lt;"&amp;600,m_end,"&gt;"&amp;0)&gt;1,"충돌",HYPERLINK("#'관리자_MASTER'!D"&amp;_xlfn.MAXIFS(m_row,m_teacher,AN$4,m_date,($G$2+19),m_active,1,m_start,"&lt;"&amp;600,m_end,"&gt;"&amp;0),INDEX(m_label,_xlfn.MAXIFS(m_row,m_teacher,AN$4,m_date,($G$2+19),m_active,1,m_start,"&lt;"&amp;600,m_end,"&gt;"&amp;0))))))</f>
        <v/>
      </c>
      <c r="AO60" s="87" t="str">
        <f aca="false">IF(OR(AO$4="",MONTH(($G$2+19))&lt;&gt;MONTH($C$2)),"",IF(COUNTIFS(m_teacher,AO$4,m_date,($G$2+19),m_active,1,m_start,"&lt;"&amp;600,m_end,"&gt;"&amp;0)=0,"",IF(COUNTIFS(m_teacher,AO$4,m_date,($G$2+19),m_active,1,m_start,"&lt;"&amp;600,m_end,"&gt;"&amp;0)&gt;1,"충돌",HYPERLINK("#'관리자_MASTER'!D"&amp;_xlfn.MAXIFS(m_row,m_teacher,AO$4,m_date,($G$2+19),m_active,1,m_start,"&lt;"&amp;600,m_end,"&gt;"&amp;0),INDEX(m_label,_xlfn.MAXIFS(m_row,m_teacher,AO$4,m_date,($G$2+19),m_active,1,m_start,"&lt;"&amp;600,m_end,"&gt;"&amp;0))))))</f>
        <v/>
      </c>
      <c r="AP60" s="87" t="str">
        <f aca="false">IF(OR(AP$4="",MONTH(($G$2+19))&lt;&gt;MONTH($C$2)),"",IF(COUNTIFS(m_teacher,AP$4,m_date,($G$2+19),m_active,1,m_start,"&lt;"&amp;600,m_end,"&gt;"&amp;0)=0,"",IF(COUNTIFS(m_teacher,AP$4,m_date,($G$2+19),m_active,1,m_start,"&lt;"&amp;600,m_end,"&gt;"&amp;0)&gt;1,"충돌",HYPERLINK("#'관리자_MASTER'!D"&amp;_xlfn.MAXIFS(m_row,m_teacher,AP$4,m_date,($G$2+19),m_active,1,m_start,"&lt;"&amp;600,m_end,"&gt;"&amp;0),INDEX(m_label,_xlfn.MAXIFS(m_row,m_teacher,AP$4,m_date,($G$2+19),m_active,1,m_start,"&lt;"&amp;600,m_end,"&gt;"&amp;0))))))</f>
        <v/>
      </c>
      <c r="AQ60" s="90" t="str">
        <f aca="false">IF(MONTH(($G$2+26))&lt;&gt;MONTH($C$2),"",CHOOSE(WEEKDAY(($G$2+26),2),"월","화","수","목","금","토","일")&amp;CHAR(10)&amp;TEXT(($G$2+26),"m/d"))</f>
        <v>토
1/23</v>
      </c>
      <c r="AR60" s="79" t="s">
        <v>91</v>
      </c>
      <c r="AS60" s="87" t="str">
        <f aca="false">IF(OR(AS$4="",MONTH(($G$2+26))&lt;&gt;MONTH($C$2)),"",IF(COUNTIFS(m_teacher,AS$4,m_date,($G$2+26),m_active,1,m_start,"&lt;"&amp;600,m_end,"&gt;"&amp;0)=0,"",IF(COUNTIFS(m_teacher,AS$4,m_date,($G$2+26),m_active,1,m_start,"&lt;"&amp;600,m_end,"&gt;"&amp;0)&gt;1,"충돌",HYPERLINK("#'관리자_MASTER'!D"&amp;_xlfn.MAXIFS(m_row,m_teacher,AS$4,m_date,($G$2+26),m_active,1,m_start,"&lt;"&amp;600,m_end,"&gt;"&amp;0),INDEX(m_label,_xlfn.MAXIFS(m_row,m_teacher,AS$4,m_date,($G$2+26),m_active,1,m_start,"&lt;"&amp;600,m_end,"&gt;"&amp;0))))))</f>
        <v/>
      </c>
      <c r="AT60" s="87" t="str">
        <f aca="false">IF(OR(AT$4="",MONTH(($G$2+26))&lt;&gt;MONTH($C$2)),"",IF(COUNTIFS(m_teacher,AT$4,m_date,($G$2+26),m_active,1,m_start,"&lt;"&amp;600,m_end,"&gt;"&amp;0)=0,"",IF(COUNTIFS(m_teacher,AT$4,m_date,($G$2+26),m_active,1,m_start,"&lt;"&amp;600,m_end,"&gt;"&amp;0)&gt;1,"충돌",HYPERLINK("#'관리자_MASTER'!D"&amp;_xlfn.MAXIFS(m_row,m_teacher,AT$4,m_date,($G$2+26),m_active,1,m_start,"&lt;"&amp;600,m_end,"&gt;"&amp;0),INDEX(m_label,_xlfn.MAXIFS(m_row,m_teacher,AT$4,m_date,($G$2+26),m_active,1,m_start,"&lt;"&amp;600,m_end,"&gt;"&amp;0))))))</f>
        <v/>
      </c>
      <c r="AU60" s="87" t="str">
        <f aca="false">IF(OR(AU$4="",MONTH(($G$2+26))&lt;&gt;MONTH($C$2)),"",IF(COUNTIFS(m_teacher,AU$4,m_date,($G$2+26),m_active,1,m_start,"&lt;"&amp;600,m_end,"&gt;"&amp;0)=0,"",IF(COUNTIFS(m_teacher,AU$4,m_date,($G$2+26),m_active,1,m_start,"&lt;"&amp;600,m_end,"&gt;"&amp;0)&gt;1,"충돌",HYPERLINK("#'관리자_MASTER'!D"&amp;_xlfn.MAXIFS(m_row,m_teacher,AU$4,m_date,($G$2+26),m_active,1,m_start,"&lt;"&amp;600,m_end,"&gt;"&amp;0),INDEX(m_label,_xlfn.MAXIFS(m_row,m_teacher,AU$4,m_date,($G$2+26),m_active,1,m_start,"&lt;"&amp;600,m_end,"&gt;"&amp;0))))))</f>
        <v/>
      </c>
      <c r="AV60" s="87" t="str">
        <f aca="false">IF(OR(AV$4="",MONTH(($G$2+26))&lt;&gt;MONTH($C$2)),"",IF(COUNTIFS(m_teacher,AV$4,m_date,($G$2+26),m_active,1,m_start,"&lt;"&amp;600,m_end,"&gt;"&amp;0)=0,"",IF(COUNTIFS(m_teacher,AV$4,m_date,($G$2+26),m_active,1,m_start,"&lt;"&amp;600,m_end,"&gt;"&amp;0)&gt;1,"충돌",HYPERLINK("#'관리자_MASTER'!D"&amp;_xlfn.MAXIFS(m_row,m_teacher,AV$4,m_date,($G$2+26),m_active,1,m_start,"&lt;"&amp;600,m_end,"&gt;"&amp;0),INDEX(m_label,_xlfn.MAXIFS(m_row,m_teacher,AV$4,m_date,($G$2+26),m_active,1,m_start,"&lt;"&amp;600,m_end,"&gt;"&amp;0))))))</f>
        <v/>
      </c>
      <c r="AW60" s="87" t="str">
        <f aca="false">IF(OR(AW$4="",MONTH(($G$2+26))&lt;&gt;MONTH($C$2)),"",IF(COUNTIFS(m_teacher,AW$4,m_date,($G$2+26),m_active,1,m_start,"&lt;"&amp;600,m_end,"&gt;"&amp;0)=0,"",IF(COUNTIFS(m_teacher,AW$4,m_date,($G$2+26),m_active,1,m_start,"&lt;"&amp;600,m_end,"&gt;"&amp;0)&gt;1,"충돌",HYPERLINK("#'관리자_MASTER'!D"&amp;_xlfn.MAXIFS(m_row,m_teacher,AW$4,m_date,($G$2+26),m_active,1,m_start,"&lt;"&amp;600,m_end,"&gt;"&amp;0),INDEX(m_label,_xlfn.MAXIFS(m_row,m_teacher,AW$4,m_date,($G$2+26),m_active,1,m_start,"&lt;"&amp;600,m_end,"&gt;"&amp;0))))))</f>
        <v/>
      </c>
      <c r="AX60" s="87" t="str">
        <f aca="false">IF(OR(AX$4="",MONTH(($G$2+26))&lt;&gt;MONTH($C$2)),"",IF(COUNTIFS(m_teacher,AX$4,m_date,($G$2+26),m_active,1,m_start,"&lt;"&amp;600,m_end,"&gt;"&amp;0)=0,"",IF(COUNTIFS(m_teacher,AX$4,m_date,($G$2+26),m_active,1,m_start,"&lt;"&amp;600,m_end,"&gt;"&amp;0)&gt;1,"충돌",HYPERLINK("#'관리자_MASTER'!D"&amp;_xlfn.MAXIFS(m_row,m_teacher,AX$4,m_date,($G$2+26),m_active,1,m_start,"&lt;"&amp;600,m_end,"&gt;"&amp;0),INDEX(m_label,_xlfn.MAXIFS(m_row,m_teacher,AX$4,m_date,($G$2+26),m_active,1,m_start,"&lt;"&amp;600,m_end,"&gt;"&amp;0))))))</f>
        <v/>
      </c>
      <c r="AY60" s="87" t="str">
        <f aca="false">IF(OR(AY$4="",MONTH(($G$2+26))&lt;&gt;MONTH($C$2)),"",IF(COUNTIFS(m_teacher,AY$4,m_date,($G$2+26),m_active,1,m_start,"&lt;"&amp;600,m_end,"&gt;"&amp;0)=0,"",IF(COUNTIFS(m_teacher,AY$4,m_date,($G$2+26),m_active,1,m_start,"&lt;"&amp;600,m_end,"&gt;"&amp;0)&gt;1,"충돌",HYPERLINK("#'관리자_MASTER'!D"&amp;_xlfn.MAXIFS(m_row,m_teacher,AY$4,m_date,($G$2+26),m_active,1,m_start,"&lt;"&amp;600,m_end,"&gt;"&amp;0),INDEX(m_label,_xlfn.MAXIFS(m_row,m_teacher,AY$4,m_date,($G$2+26),m_active,1,m_start,"&lt;"&amp;600,m_end,"&gt;"&amp;0))))))</f>
        <v/>
      </c>
      <c r="AZ60" s="87" t="str">
        <f aca="false">IF(OR(AZ$4="",MONTH(($G$2+26))&lt;&gt;MONTH($C$2)),"",IF(COUNTIFS(m_teacher,AZ$4,m_date,($G$2+26),m_active,1,m_start,"&lt;"&amp;600,m_end,"&gt;"&amp;0)=0,"",IF(COUNTIFS(m_teacher,AZ$4,m_date,($G$2+26),m_active,1,m_start,"&lt;"&amp;600,m_end,"&gt;"&amp;0)&gt;1,"충돌",HYPERLINK("#'관리자_MASTER'!D"&amp;_xlfn.MAXIFS(m_row,m_teacher,AZ$4,m_date,($G$2+26),m_active,1,m_start,"&lt;"&amp;600,m_end,"&gt;"&amp;0),INDEX(m_label,_xlfn.MAXIFS(m_row,m_teacher,AZ$4,m_date,($G$2+26),m_active,1,m_start,"&lt;"&amp;600,m_end,"&gt;"&amp;0))))))</f>
        <v/>
      </c>
      <c r="BA60" s="87" t="str">
        <f aca="false">IF(OR(BA$4="",MONTH(($G$2+26))&lt;&gt;MONTH($C$2)),"",IF(COUNTIFS(m_teacher,BA$4,m_date,($G$2+26),m_active,1,m_start,"&lt;"&amp;600,m_end,"&gt;"&amp;0)=0,"",IF(COUNTIFS(m_teacher,BA$4,m_date,($G$2+26),m_active,1,m_start,"&lt;"&amp;600,m_end,"&gt;"&amp;0)&gt;1,"충돌",HYPERLINK("#'관리자_MASTER'!D"&amp;_xlfn.MAXIFS(m_row,m_teacher,BA$4,m_date,($G$2+26),m_active,1,m_start,"&lt;"&amp;600,m_end,"&gt;"&amp;0),INDEX(m_label,_xlfn.MAXIFS(m_row,m_teacher,BA$4,m_date,($G$2+26),m_active,1,m_start,"&lt;"&amp;600,m_end,"&gt;"&amp;0))))))</f>
        <v/>
      </c>
      <c r="BB60" s="87" t="str">
        <f aca="false">IF(OR(BB$4="",MONTH(($G$2+26))&lt;&gt;MONTH($C$2)),"",IF(COUNTIFS(m_teacher,BB$4,m_date,($G$2+26),m_active,1,m_start,"&lt;"&amp;600,m_end,"&gt;"&amp;0)=0,"",IF(COUNTIFS(m_teacher,BB$4,m_date,($G$2+26),m_active,1,m_start,"&lt;"&amp;600,m_end,"&gt;"&amp;0)&gt;1,"충돌",HYPERLINK("#'관리자_MASTER'!D"&amp;_xlfn.MAXIFS(m_row,m_teacher,BB$4,m_date,($G$2+26),m_active,1,m_start,"&lt;"&amp;600,m_end,"&gt;"&amp;0),INDEX(m_label,_xlfn.MAXIFS(m_row,m_teacher,BB$4,m_date,($G$2+26),m_active,1,m_start,"&lt;"&amp;600,m_end,"&gt;"&amp;0))))))</f>
        <v/>
      </c>
      <c r="BC60" s="87" t="str">
        <f aca="false">IF(OR(BC$4="",MONTH(($G$2+26))&lt;&gt;MONTH($C$2)),"",IF(COUNTIFS(m_teacher,BC$4,m_date,($G$2+26),m_active,1,m_start,"&lt;"&amp;600,m_end,"&gt;"&amp;0)=0,"",IF(COUNTIFS(m_teacher,BC$4,m_date,($G$2+26),m_active,1,m_start,"&lt;"&amp;600,m_end,"&gt;"&amp;0)&gt;1,"충돌",HYPERLINK("#'관리자_MASTER'!D"&amp;_xlfn.MAXIFS(m_row,m_teacher,BC$4,m_date,($G$2+26),m_active,1,m_start,"&lt;"&amp;600,m_end,"&gt;"&amp;0),INDEX(m_label,_xlfn.MAXIFS(m_row,m_teacher,BC$4,m_date,($G$2+26),m_active,1,m_start,"&lt;"&amp;600,m_end,"&gt;"&amp;0))))))</f>
        <v/>
      </c>
      <c r="BD60" s="87" t="str">
        <f aca="false">IF(OR(BD$4="",MONTH(($G$2+26))&lt;&gt;MONTH($C$2)),"",IF(COUNTIFS(m_teacher,BD$4,m_date,($G$2+26),m_active,1,m_start,"&lt;"&amp;600,m_end,"&gt;"&amp;0)=0,"",IF(COUNTIFS(m_teacher,BD$4,m_date,($G$2+26),m_active,1,m_start,"&lt;"&amp;600,m_end,"&gt;"&amp;0)&gt;1,"충돌",HYPERLINK("#'관리자_MASTER'!D"&amp;_xlfn.MAXIFS(m_row,m_teacher,BD$4,m_date,($G$2+26),m_active,1,m_start,"&lt;"&amp;600,m_end,"&gt;"&amp;0),INDEX(m_label,_xlfn.MAXIFS(m_row,m_teacher,BD$4,m_date,($G$2+26),m_active,1,m_start,"&lt;"&amp;600,m_end,"&gt;"&amp;0))))))</f>
        <v/>
      </c>
      <c r="BE60" s="90" t="str">
        <f aca="false">IF(MONTH(($G$2+33))&lt;&gt;MONTH($C$2),"",CHOOSE(WEEKDAY(($G$2+33),2),"월","화","수","목","금","토","일")&amp;CHAR(10)&amp;TEXT(($G$2+33),"m/d"))</f>
        <v>토
1/30</v>
      </c>
      <c r="BF60" s="79" t="s">
        <v>91</v>
      </c>
      <c r="BG60" s="87" t="str">
        <f aca="false">IF(OR(BG$4="",MONTH(($G$2+33))&lt;&gt;MONTH($C$2)),"",IF(COUNTIFS(m_teacher,BG$4,m_date,($G$2+33),m_active,1,m_start,"&lt;"&amp;600,m_end,"&gt;"&amp;0)=0,"",IF(COUNTIFS(m_teacher,BG$4,m_date,($G$2+33),m_active,1,m_start,"&lt;"&amp;600,m_end,"&gt;"&amp;0)&gt;1,"충돌",HYPERLINK("#'관리자_MASTER'!D"&amp;_xlfn.MAXIFS(m_row,m_teacher,BG$4,m_date,($G$2+33),m_active,1,m_start,"&lt;"&amp;600,m_end,"&gt;"&amp;0),INDEX(m_label,_xlfn.MAXIFS(m_row,m_teacher,BG$4,m_date,($G$2+33),m_active,1,m_start,"&lt;"&amp;600,m_end,"&gt;"&amp;0))))))</f>
        <v/>
      </c>
      <c r="BH60" s="87" t="str">
        <f aca="false">IF(OR(BH$4="",MONTH(($G$2+33))&lt;&gt;MONTH($C$2)),"",IF(COUNTIFS(m_teacher,BH$4,m_date,($G$2+33),m_active,1,m_start,"&lt;"&amp;600,m_end,"&gt;"&amp;0)=0,"",IF(COUNTIFS(m_teacher,BH$4,m_date,($G$2+33),m_active,1,m_start,"&lt;"&amp;600,m_end,"&gt;"&amp;0)&gt;1,"충돌",HYPERLINK("#'관리자_MASTER'!D"&amp;_xlfn.MAXIFS(m_row,m_teacher,BH$4,m_date,($G$2+33),m_active,1,m_start,"&lt;"&amp;600,m_end,"&gt;"&amp;0),INDEX(m_label,_xlfn.MAXIFS(m_row,m_teacher,BH$4,m_date,($G$2+33),m_active,1,m_start,"&lt;"&amp;600,m_end,"&gt;"&amp;0))))))</f>
        <v/>
      </c>
      <c r="BI60" s="87" t="str">
        <f aca="false">IF(OR(BI$4="",MONTH(($G$2+33))&lt;&gt;MONTH($C$2)),"",IF(COUNTIFS(m_teacher,BI$4,m_date,($G$2+33),m_active,1,m_start,"&lt;"&amp;600,m_end,"&gt;"&amp;0)=0,"",IF(COUNTIFS(m_teacher,BI$4,m_date,($G$2+33),m_active,1,m_start,"&lt;"&amp;600,m_end,"&gt;"&amp;0)&gt;1,"충돌",HYPERLINK("#'관리자_MASTER'!D"&amp;_xlfn.MAXIFS(m_row,m_teacher,BI$4,m_date,($G$2+33),m_active,1,m_start,"&lt;"&amp;600,m_end,"&gt;"&amp;0),INDEX(m_label,_xlfn.MAXIFS(m_row,m_teacher,BI$4,m_date,($G$2+33),m_active,1,m_start,"&lt;"&amp;600,m_end,"&gt;"&amp;0))))))</f>
        <v/>
      </c>
      <c r="BJ60" s="87" t="str">
        <f aca="false">IF(OR(BJ$4="",MONTH(($G$2+33))&lt;&gt;MONTH($C$2)),"",IF(COUNTIFS(m_teacher,BJ$4,m_date,($G$2+33),m_active,1,m_start,"&lt;"&amp;600,m_end,"&gt;"&amp;0)=0,"",IF(COUNTIFS(m_teacher,BJ$4,m_date,($G$2+33),m_active,1,m_start,"&lt;"&amp;600,m_end,"&gt;"&amp;0)&gt;1,"충돌",HYPERLINK("#'관리자_MASTER'!D"&amp;_xlfn.MAXIFS(m_row,m_teacher,BJ$4,m_date,($G$2+33),m_active,1,m_start,"&lt;"&amp;600,m_end,"&gt;"&amp;0),INDEX(m_label,_xlfn.MAXIFS(m_row,m_teacher,BJ$4,m_date,($G$2+33),m_active,1,m_start,"&lt;"&amp;600,m_end,"&gt;"&amp;0))))))</f>
        <v/>
      </c>
      <c r="BK60" s="87" t="str">
        <f aca="false">IF(OR(BK$4="",MONTH(($G$2+33))&lt;&gt;MONTH($C$2)),"",IF(COUNTIFS(m_teacher,BK$4,m_date,($G$2+33),m_active,1,m_start,"&lt;"&amp;600,m_end,"&gt;"&amp;0)=0,"",IF(COUNTIFS(m_teacher,BK$4,m_date,($G$2+33),m_active,1,m_start,"&lt;"&amp;600,m_end,"&gt;"&amp;0)&gt;1,"충돌",HYPERLINK("#'관리자_MASTER'!D"&amp;_xlfn.MAXIFS(m_row,m_teacher,BK$4,m_date,($G$2+33),m_active,1,m_start,"&lt;"&amp;600,m_end,"&gt;"&amp;0),INDEX(m_label,_xlfn.MAXIFS(m_row,m_teacher,BK$4,m_date,($G$2+33),m_active,1,m_start,"&lt;"&amp;600,m_end,"&gt;"&amp;0))))))</f>
        <v/>
      </c>
      <c r="BL60" s="87" t="str">
        <f aca="false">IF(OR(BL$4="",MONTH(($G$2+33))&lt;&gt;MONTH($C$2)),"",IF(COUNTIFS(m_teacher,BL$4,m_date,($G$2+33),m_active,1,m_start,"&lt;"&amp;600,m_end,"&gt;"&amp;0)=0,"",IF(COUNTIFS(m_teacher,BL$4,m_date,($G$2+33),m_active,1,m_start,"&lt;"&amp;600,m_end,"&gt;"&amp;0)&gt;1,"충돌",HYPERLINK("#'관리자_MASTER'!D"&amp;_xlfn.MAXIFS(m_row,m_teacher,BL$4,m_date,($G$2+33),m_active,1,m_start,"&lt;"&amp;600,m_end,"&gt;"&amp;0),INDEX(m_label,_xlfn.MAXIFS(m_row,m_teacher,BL$4,m_date,($G$2+33),m_active,1,m_start,"&lt;"&amp;600,m_end,"&gt;"&amp;0))))))</f>
        <v/>
      </c>
      <c r="BM60" s="87" t="str">
        <f aca="false">IF(OR(BM$4="",MONTH(($G$2+33))&lt;&gt;MONTH($C$2)),"",IF(COUNTIFS(m_teacher,BM$4,m_date,($G$2+33),m_active,1,m_start,"&lt;"&amp;600,m_end,"&gt;"&amp;0)=0,"",IF(COUNTIFS(m_teacher,BM$4,m_date,($G$2+33),m_active,1,m_start,"&lt;"&amp;600,m_end,"&gt;"&amp;0)&gt;1,"충돌",HYPERLINK("#'관리자_MASTER'!D"&amp;_xlfn.MAXIFS(m_row,m_teacher,BM$4,m_date,($G$2+33),m_active,1,m_start,"&lt;"&amp;600,m_end,"&gt;"&amp;0),INDEX(m_label,_xlfn.MAXIFS(m_row,m_teacher,BM$4,m_date,($G$2+33),m_active,1,m_start,"&lt;"&amp;600,m_end,"&gt;"&amp;0))))))</f>
        <v/>
      </c>
      <c r="BN60" s="87" t="str">
        <f aca="false">IF(OR(BN$4="",MONTH(($G$2+33))&lt;&gt;MONTH($C$2)),"",IF(COUNTIFS(m_teacher,BN$4,m_date,($G$2+33),m_active,1,m_start,"&lt;"&amp;600,m_end,"&gt;"&amp;0)=0,"",IF(COUNTIFS(m_teacher,BN$4,m_date,($G$2+33),m_active,1,m_start,"&lt;"&amp;600,m_end,"&gt;"&amp;0)&gt;1,"충돌",HYPERLINK("#'관리자_MASTER'!D"&amp;_xlfn.MAXIFS(m_row,m_teacher,BN$4,m_date,($G$2+33),m_active,1,m_start,"&lt;"&amp;600,m_end,"&gt;"&amp;0),INDEX(m_label,_xlfn.MAXIFS(m_row,m_teacher,BN$4,m_date,($G$2+33),m_active,1,m_start,"&lt;"&amp;600,m_end,"&gt;"&amp;0))))))</f>
        <v/>
      </c>
      <c r="BO60" s="87" t="str">
        <f aca="false">IF(OR(BO$4="",MONTH(($G$2+33))&lt;&gt;MONTH($C$2)),"",IF(COUNTIFS(m_teacher,BO$4,m_date,($G$2+33),m_active,1,m_start,"&lt;"&amp;600,m_end,"&gt;"&amp;0)=0,"",IF(COUNTIFS(m_teacher,BO$4,m_date,($G$2+33),m_active,1,m_start,"&lt;"&amp;600,m_end,"&gt;"&amp;0)&gt;1,"충돌",HYPERLINK("#'관리자_MASTER'!D"&amp;_xlfn.MAXIFS(m_row,m_teacher,BO$4,m_date,($G$2+33),m_active,1,m_start,"&lt;"&amp;600,m_end,"&gt;"&amp;0),INDEX(m_label,_xlfn.MAXIFS(m_row,m_teacher,BO$4,m_date,($G$2+33),m_active,1,m_start,"&lt;"&amp;600,m_end,"&gt;"&amp;0))))))</f>
        <v/>
      </c>
      <c r="BP60" s="87" t="str">
        <f aca="false">IF(OR(BP$4="",MONTH(($G$2+33))&lt;&gt;MONTH($C$2)),"",IF(COUNTIFS(m_teacher,BP$4,m_date,($G$2+33),m_active,1,m_start,"&lt;"&amp;600,m_end,"&gt;"&amp;0)=0,"",IF(COUNTIFS(m_teacher,BP$4,m_date,($G$2+33),m_active,1,m_start,"&lt;"&amp;600,m_end,"&gt;"&amp;0)&gt;1,"충돌",HYPERLINK("#'관리자_MASTER'!D"&amp;_xlfn.MAXIFS(m_row,m_teacher,BP$4,m_date,($G$2+33),m_active,1,m_start,"&lt;"&amp;600,m_end,"&gt;"&amp;0),INDEX(m_label,_xlfn.MAXIFS(m_row,m_teacher,BP$4,m_date,($G$2+33),m_active,1,m_start,"&lt;"&amp;600,m_end,"&gt;"&amp;0))))))</f>
        <v/>
      </c>
      <c r="BQ60" s="87" t="str">
        <f aca="false">IF(OR(BQ$4="",MONTH(($G$2+33))&lt;&gt;MONTH($C$2)),"",IF(COUNTIFS(m_teacher,BQ$4,m_date,($G$2+33),m_active,1,m_start,"&lt;"&amp;600,m_end,"&gt;"&amp;0)=0,"",IF(COUNTIFS(m_teacher,BQ$4,m_date,($G$2+33),m_active,1,m_start,"&lt;"&amp;600,m_end,"&gt;"&amp;0)&gt;1,"충돌",HYPERLINK("#'관리자_MASTER'!D"&amp;_xlfn.MAXIFS(m_row,m_teacher,BQ$4,m_date,($G$2+33),m_active,1,m_start,"&lt;"&amp;600,m_end,"&gt;"&amp;0),INDEX(m_label,_xlfn.MAXIFS(m_row,m_teacher,BQ$4,m_date,($G$2+33),m_active,1,m_start,"&lt;"&amp;600,m_end,"&gt;"&amp;0))))))</f>
        <v/>
      </c>
      <c r="BR60" s="87" t="str">
        <f aca="false">IF(OR(BR$4="",MONTH(($G$2+33))&lt;&gt;MONTH($C$2)),"",IF(COUNTIFS(m_teacher,BR$4,m_date,($G$2+33),m_active,1,m_start,"&lt;"&amp;600,m_end,"&gt;"&amp;0)=0,"",IF(COUNTIFS(m_teacher,BR$4,m_date,($G$2+33),m_active,1,m_start,"&lt;"&amp;600,m_end,"&gt;"&amp;0)&gt;1,"충돌",HYPERLINK("#'관리자_MASTER'!D"&amp;_xlfn.MAXIFS(m_row,m_teacher,BR$4,m_date,($G$2+33),m_active,1,m_start,"&lt;"&amp;600,m_end,"&gt;"&amp;0),INDEX(m_label,_xlfn.MAXIFS(m_row,m_teacher,BR$4,m_date,($G$2+33),m_active,1,m_start,"&lt;"&amp;600,m_end,"&gt;"&amp;0))))))</f>
        <v/>
      </c>
    </row>
    <row r="61" customFormat="false" ht="19.5" hidden="false" customHeight="true" outlineLevel="0" collapsed="false">
      <c r="A61" s="90"/>
      <c r="B61" s="79" t="s">
        <v>92</v>
      </c>
      <c r="C61" s="88" t="str">
        <f aca="false">IF(OR(C$4="",MONTH(($G$2+5))&lt;&gt;MONTH($C$2)),"",IF(COUNTIFS(m_teacher,C$4,m_date,($G$2+5),m_active,1,m_start,"&lt;"&amp;660,m_end,"&gt;"&amp;600)=0,"",IF(COUNTIFS(m_teacher,C$4,m_date,($G$2+5),m_active,1,m_start,"&lt;"&amp;660,m_end,"&gt;"&amp;600)&gt;1,"충돌",HYPERLINK("#'관리자_MASTER'!D"&amp;_xlfn.MAXIFS(m_row,m_teacher,C$4,m_date,($G$2+5),m_active,1,m_start,"&lt;"&amp;660,m_end,"&gt;"&amp;600),INDEX(m_label,_xlfn.MAXIFS(m_row,m_teacher,C$4,m_date,($G$2+5),m_active,1,m_start,"&lt;"&amp;660,m_end,"&gt;"&amp;600))))))</f>
        <v/>
      </c>
      <c r="D61" s="88" t="str">
        <f aca="false">IF(OR(D$4="",MONTH(($G$2+5))&lt;&gt;MONTH($C$2)),"",IF(COUNTIFS(m_teacher,D$4,m_date,($G$2+5),m_active,1,m_start,"&lt;"&amp;660,m_end,"&gt;"&amp;600)=0,"",IF(COUNTIFS(m_teacher,D$4,m_date,($G$2+5),m_active,1,m_start,"&lt;"&amp;660,m_end,"&gt;"&amp;600)&gt;1,"충돌",HYPERLINK("#'관리자_MASTER'!D"&amp;_xlfn.MAXIFS(m_row,m_teacher,D$4,m_date,($G$2+5),m_active,1,m_start,"&lt;"&amp;660,m_end,"&gt;"&amp;600),INDEX(m_label,_xlfn.MAXIFS(m_row,m_teacher,D$4,m_date,($G$2+5),m_active,1,m_start,"&lt;"&amp;660,m_end,"&gt;"&amp;600))))))</f>
        <v/>
      </c>
      <c r="E61" s="88" t="str">
        <f aca="false">IF(OR(E$4="",MONTH(($G$2+5))&lt;&gt;MONTH($C$2)),"",IF(COUNTIFS(m_teacher,E$4,m_date,($G$2+5),m_active,1,m_start,"&lt;"&amp;660,m_end,"&gt;"&amp;600)=0,"",IF(COUNTIFS(m_teacher,E$4,m_date,($G$2+5),m_active,1,m_start,"&lt;"&amp;660,m_end,"&gt;"&amp;600)&gt;1,"충돌",HYPERLINK("#'관리자_MASTER'!D"&amp;_xlfn.MAXIFS(m_row,m_teacher,E$4,m_date,($G$2+5),m_active,1,m_start,"&lt;"&amp;660,m_end,"&gt;"&amp;600),INDEX(m_label,_xlfn.MAXIFS(m_row,m_teacher,E$4,m_date,($G$2+5),m_active,1,m_start,"&lt;"&amp;660,m_end,"&gt;"&amp;600))))))</f>
        <v/>
      </c>
      <c r="F61" s="88" t="str">
        <f aca="false">IF(OR(F$4="",MONTH(($G$2+5))&lt;&gt;MONTH($C$2)),"",IF(COUNTIFS(m_teacher,F$4,m_date,($G$2+5),m_active,1,m_start,"&lt;"&amp;660,m_end,"&gt;"&amp;600)=0,"",IF(COUNTIFS(m_teacher,F$4,m_date,($G$2+5),m_active,1,m_start,"&lt;"&amp;660,m_end,"&gt;"&amp;600)&gt;1,"충돌",HYPERLINK("#'관리자_MASTER'!D"&amp;_xlfn.MAXIFS(m_row,m_teacher,F$4,m_date,($G$2+5),m_active,1,m_start,"&lt;"&amp;660,m_end,"&gt;"&amp;600),INDEX(m_label,_xlfn.MAXIFS(m_row,m_teacher,F$4,m_date,($G$2+5),m_active,1,m_start,"&lt;"&amp;660,m_end,"&gt;"&amp;600))))))</f>
        <v/>
      </c>
      <c r="G61" s="88" t="str">
        <f aca="false">IF(OR(G$4="",MONTH(($G$2+5))&lt;&gt;MONTH($C$2)),"",IF(COUNTIFS(m_teacher,G$4,m_date,($G$2+5),m_active,1,m_start,"&lt;"&amp;660,m_end,"&gt;"&amp;600)=0,"",IF(COUNTIFS(m_teacher,G$4,m_date,($G$2+5),m_active,1,m_start,"&lt;"&amp;660,m_end,"&gt;"&amp;600)&gt;1,"충돌",HYPERLINK("#'관리자_MASTER'!D"&amp;_xlfn.MAXIFS(m_row,m_teacher,G$4,m_date,($G$2+5),m_active,1,m_start,"&lt;"&amp;660,m_end,"&gt;"&amp;600),INDEX(m_label,_xlfn.MAXIFS(m_row,m_teacher,G$4,m_date,($G$2+5),m_active,1,m_start,"&lt;"&amp;660,m_end,"&gt;"&amp;600))))))</f>
        <v/>
      </c>
      <c r="H61" s="88" t="str">
        <f aca="false">IF(OR(H$4="",MONTH(($G$2+5))&lt;&gt;MONTH($C$2)),"",IF(COUNTIFS(m_teacher,H$4,m_date,($G$2+5),m_active,1,m_start,"&lt;"&amp;660,m_end,"&gt;"&amp;600)=0,"",IF(COUNTIFS(m_teacher,H$4,m_date,($G$2+5),m_active,1,m_start,"&lt;"&amp;660,m_end,"&gt;"&amp;600)&gt;1,"충돌",HYPERLINK("#'관리자_MASTER'!D"&amp;_xlfn.MAXIFS(m_row,m_teacher,H$4,m_date,($G$2+5),m_active,1,m_start,"&lt;"&amp;660,m_end,"&gt;"&amp;600),INDEX(m_label,_xlfn.MAXIFS(m_row,m_teacher,H$4,m_date,($G$2+5),m_active,1,m_start,"&lt;"&amp;660,m_end,"&gt;"&amp;600))))))</f>
        <v/>
      </c>
      <c r="I61" s="88" t="str">
        <f aca="false">IF(OR(I$4="",MONTH(($G$2+5))&lt;&gt;MONTH($C$2)),"",IF(COUNTIFS(m_teacher,I$4,m_date,($G$2+5),m_active,1,m_start,"&lt;"&amp;660,m_end,"&gt;"&amp;600)=0,"",IF(COUNTIFS(m_teacher,I$4,m_date,($G$2+5),m_active,1,m_start,"&lt;"&amp;660,m_end,"&gt;"&amp;600)&gt;1,"충돌",HYPERLINK("#'관리자_MASTER'!D"&amp;_xlfn.MAXIFS(m_row,m_teacher,I$4,m_date,($G$2+5),m_active,1,m_start,"&lt;"&amp;660,m_end,"&gt;"&amp;600),INDEX(m_label,_xlfn.MAXIFS(m_row,m_teacher,I$4,m_date,($G$2+5),m_active,1,m_start,"&lt;"&amp;660,m_end,"&gt;"&amp;600))))))</f>
        <v/>
      </c>
      <c r="J61" s="88" t="str">
        <f aca="false">IF(OR(J$4="",MONTH(($G$2+5))&lt;&gt;MONTH($C$2)),"",IF(COUNTIFS(m_teacher,J$4,m_date,($G$2+5),m_active,1,m_start,"&lt;"&amp;660,m_end,"&gt;"&amp;600)=0,"",IF(COUNTIFS(m_teacher,J$4,m_date,($G$2+5),m_active,1,m_start,"&lt;"&amp;660,m_end,"&gt;"&amp;600)&gt;1,"충돌",HYPERLINK("#'관리자_MASTER'!D"&amp;_xlfn.MAXIFS(m_row,m_teacher,J$4,m_date,($G$2+5),m_active,1,m_start,"&lt;"&amp;660,m_end,"&gt;"&amp;600),INDEX(m_label,_xlfn.MAXIFS(m_row,m_teacher,J$4,m_date,($G$2+5),m_active,1,m_start,"&lt;"&amp;660,m_end,"&gt;"&amp;600))))))</f>
        <v/>
      </c>
      <c r="K61" s="88" t="str">
        <f aca="false">IF(OR(K$4="",MONTH(($G$2+5))&lt;&gt;MONTH($C$2)),"",IF(COUNTIFS(m_teacher,K$4,m_date,($G$2+5),m_active,1,m_start,"&lt;"&amp;660,m_end,"&gt;"&amp;600)=0,"",IF(COUNTIFS(m_teacher,K$4,m_date,($G$2+5),m_active,1,m_start,"&lt;"&amp;660,m_end,"&gt;"&amp;600)&gt;1,"충돌",HYPERLINK("#'관리자_MASTER'!D"&amp;_xlfn.MAXIFS(m_row,m_teacher,K$4,m_date,($G$2+5),m_active,1,m_start,"&lt;"&amp;660,m_end,"&gt;"&amp;600),INDEX(m_label,_xlfn.MAXIFS(m_row,m_teacher,K$4,m_date,($G$2+5),m_active,1,m_start,"&lt;"&amp;660,m_end,"&gt;"&amp;600))))))</f>
        <v/>
      </c>
      <c r="L61" s="88" t="str">
        <f aca="false">IF(OR(L$4="",MONTH(($G$2+5))&lt;&gt;MONTH($C$2)),"",IF(COUNTIFS(m_teacher,L$4,m_date,($G$2+5),m_active,1,m_start,"&lt;"&amp;660,m_end,"&gt;"&amp;600)=0,"",IF(COUNTIFS(m_teacher,L$4,m_date,($G$2+5),m_active,1,m_start,"&lt;"&amp;660,m_end,"&gt;"&amp;600)&gt;1,"충돌",HYPERLINK("#'관리자_MASTER'!D"&amp;_xlfn.MAXIFS(m_row,m_teacher,L$4,m_date,($G$2+5),m_active,1,m_start,"&lt;"&amp;660,m_end,"&gt;"&amp;600),INDEX(m_label,_xlfn.MAXIFS(m_row,m_teacher,L$4,m_date,($G$2+5),m_active,1,m_start,"&lt;"&amp;660,m_end,"&gt;"&amp;600))))))</f>
        <v/>
      </c>
      <c r="M61" s="88" t="str">
        <f aca="false">IF(OR(M$4="",MONTH(($G$2+5))&lt;&gt;MONTH($C$2)),"",IF(COUNTIFS(m_teacher,M$4,m_date,($G$2+5),m_active,1,m_start,"&lt;"&amp;660,m_end,"&gt;"&amp;600)=0,"",IF(COUNTIFS(m_teacher,M$4,m_date,($G$2+5),m_active,1,m_start,"&lt;"&amp;660,m_end,"&gt;"&amp;600)&gt;1,"충돌",HYPERLINK("#'관리자_MASTER'!D"&amp;_xlfn.MAXIFS(m_row,m_teacher,M$4,m_date,($G$2+5),m_active,1,m_start,"&lt;"&amp;660,m_end,"&gt;"&amp;600),INDEX(m_label,_xlfn.MAXIFS(m_row,m_teacher,M$4,m_date,($G$2+5),m_active,1,m_start,"&lt;"&amp;660,m_end,"&gt;"&amp;600))))))</f>
        <v/>
      </c>
      <c r="N61" s="88" t="str">
        <f aca="false">IF(OR(N$4="",MONTH(($G$2+5))&lt;&gt;MONTH($C$2)),"",IF(COUNTIFS(m_teacher,N$4,m_date,($G$2+5),m_active,1,m_start,"&lt;"&amp;660,m_end,"&gt;"&amp;600)=0,"",IF(COUNTIFS(m_teacher,N$4,m_date,($G$2+5),m_active,1,m_start,"&lt;"&amp;660,m_end,"&gt;"&amp;600)&gt;1,"충돌",HYPERLINK("#'관리자_MASTER'!D"&amp;_xlfn.MAXIFS(m_row,m_teacher,N$4,m_date,($G$2+5),m_active,1,m_start,"&lt;"&amp;660,m_end,"&gt;"&amp;600),INDEX(m_label,_xlfn.MAXIFS(m_row,m_teacher,N$4,m_date,($G$2+5),m_active,1,m_start,"&lt;"&amp;660,m_end,"&gt;"&amp;600))))))</f>
        <v/>
      </c>
      <c r="O61" s="90"/>
      <c r="P61" s="79" t="s">
        <v>92</v>
      </c>
      <c r="Q61" s="88" t="str">
        <f aca="false">IF(OR(Q$4="",MONTH(($G$2+12))&lt;&gt;MONTH($C$2)),"",IF(COUNTIFS(m_teacher,Q$4,m_date,($G$2+12),m_active,1,m_start,"&lt;"&amp;660,m_end,"&gt;"&amp;600)=0,"",IF(COUNTIFS(m_teacher,Q$4,m_date,($G$2+12),m_active,1,m_start,"&lt;"&amp;660,m_end,"&gt;"&amp;600)&gt;1,"충돌",HYPERLINK("#'관리자_MASTER'!D"&amp;_xlfn.MAXIFS(m_row,m_teacher,Q$4,m_date,($G$2+12),m_active,1,m_start,"&lt;"&amp;660,m_end,"&gt;"&amp;600),INDEX(m_label,_xlfn.MAXIFS(m_row,m_teacher,Q$4,m_date,($G$2+12),m_active,1,m_start,"&lt;"&amp;660,m_end,"&gt;"&amp;600))))))</f>
        <v/>
      </c>
      <c r="R61" s="88" t="str">
        <f aca="false">IF(OR(R$4="",MONTH(($G$2+12))&lt;&gt;MONTH($C$2)),"",IF(COUNTIFS(m_teacher,R$4,m_date,($G$2+12),m_active,1,m_start,"&lt;"&amp;660,m_end,"&gt;"&amp;600)=0,"",IF(COUNTIFS(m_teacher,R$4,m_date,($G$2+12),m_active,1,m_start,"&lt;"&amp;660,m_end,"&gt;"&amp;600)&gt;1,"충돌",HYPERLINK("#'관리자_MASTER'!D"&amp;_xlfn.MAXIFS(m_row,m_teacher,R$4,m_date,($G$2+12),m_active,1,m_start,"&lt;"&amp;660,m_end,"&gt;"&amp;600),INDEX(m_label,_xlfn.MAXIFS(m_row,m_teacher,R$4,m_date,($G$2+12),m_active,1,m_start,"&lt;"&amp;660,m_end,"&gt;"&amp;600))))))</f>
        <v/>
      </c>
      <c r="S61" s="88" t="str">
        <f aca="false">IF(OR(S$4="",MONTH(($G$2+12))&lt;&gt;MONTH($C$2)),"",IF(COUNTIFS(m_teacher,S$4,m_date,($G$2+12),m_active,1,m_start,"&lt;"&amp;660,m_end,"&gt;"&amp;600)=0,"",IF(COUNTIFS(m_teacher,S$4,m_date,($G$2+12),m_active,1,m_start,"&lt;"&amp;660,m_end,"&gt;"&amp;600)&gt;1,"충돌",HYPERLINK("#'관리자_MASTER'!D"&amp;_xlfn.MAXIFS(m_row,m_teacher,S$4,m_date,($G$2+12),m_active,1,m_start,"&lt;"&amp;660,m_end,"&gt;"&amp;600),INDEX(m_label,_xlfn.MAXIFS(m_row,m_teacher,S$4,m_date,($G$2+12),m_active,1,m_start,"&lt;"&amp;660,m_end,"&gt;"&amp;600))))))</f>
        <v/>
      </c>
      <c r="T61" s="88" t="str">
        <f aca="false">IF(OR(T$4="",MONTH(($G$2+12))&lt;&gt;MONTH($C$2)),"",IF(COUNTIFS(m_teacher,T$4,m_date,($G$2+12),m_active,1,m_start,"&lt;"&amp;660,m_end,"&gt;"&amp;600)=0,"",IF(COUNTIFS(m_teacher,T$4,m_date,($G$2+12),m_active,1,m_start,"&lt;"&amp;660,m_end,"&gt;"&amp;600)&gt;1,"충돌",HYPERLINK("#'관리자_MASTER'!D"&amp;_xlfn.MAXIFS(m_row,m_teacher,T$4,m_date,($G$2+12),m_active,1,m_start,"&lt;"&amp;660,m_end,"&gt;"&amp;600),INDEX(m_label,_xlfn.MAXIFS(m_row,m_teacher,T$4,m_date,($G$2+12),m_active,1,m_start,"&lt;"&amp;660,m_end,"&gt;"&amp;600))))))</f>
        <v/>
      </c>
      <c r="U61" s="88" t="str">
        <f aca="false">IF(OR(U$4="",MONTH(($G$2+12))&lt;&gt;MONTH($C$2)),"",IF(COUNTIFS(m_teacher,U$4,m_date,($G$2+12),m_active,1,m_start,"&lt;"&amp;660,m_end,"&gt;"&amp;600)=0,"",IF(COUNTIFS(m_teacher,U$4,m_date,($G$2+12),m_active,1,m_start,"&lt;"&amp;660,m_end,"&gt;"&amp;600)&gt;1,"충돌",HYPERLINK("#'관리자_MASTER'!D"&amp;_xlfn.MAXIFS(m_row,m_teacher,U$4,m_date,($G$2+12),m_active,1,m_start,"&lt;"&amp;660,m_end,"&gt;"&amp;600),INDEX(m_label,_xlfn.MAXIFS(m_row,m_teacher,U$4,m_date,($G$2+12),m_active,1,m_start,"&lt;"&amp;660,m_end,"&gt;"&amp;600))))))</f>
        <v/>
      </c>
      <c r="V61" s="88" t="str">
        <f aca="false">IF(OR(V$4="",MONTH(($G$2+12))&lt;&gt;MONTH($C$2)),"",IF(COUNTIFS(m_teacher,V$4,m_date,($G$2+12),m_active,1,m_start,"&lt;"&amp;660,m_end,"&gt;"&amp;600)=0,"",IF(COUNTIFS(m_teacher,V$4,m_date,($G$2+12),m_active,1,m_start,"&lt;"&amp;660,m_end,"&gt;"&amp;600)&gt;1,"충돌",HYPERLINK("#'관리자_MASTER'!D"&amp;_xlfn.MAXIFS(m_row,m_teacher,V$4,m_date,($G$2+12),m_active,1,m_start,"&lt;"&amp;660,m_end,"&gt;"&amp;600),INDEX(m_label,_xlfn.MAXIFS(m_row,m_teacher,V$4,m_date,($G$2+12),m_active,1,m_start,"&lt;"&amp;660,m_end,"&gt;"&amp;600))))))</f>
        <v/>
      </c>
      <c r="W61" s="88" t="str">
        <f aca="false">IF(OR(W$4="",MONTH(($G$2+12))&lt;&gt;MONTH($C$2)),"",IF(COUNTIFS(m_teacher,W$4,m_date,($G$2+12),m_active,1,m_start,"&lt;"&amp;660,m_end,"&gt;"&amp;600)=0,"",IF(COUNTIFS(m_teacher,W$4,m_date,($G$2+12),m_active,1,m_start,"&lt;"&amp;660,m_end,"&gt;"&amp;600)&gt;1,"충돌",HYPERLINK("#'관리자_MASTER'!D"&amp;_xlfn.MAXIFS(m_row,m_teacher,W$4,m_date,($G$2+12),m_active,1,m_start,"&lt;"&amp;660,m_end,"&gt;"&amp;600),INDEX(m_label,_xlfn.MAXIFS(m_row,m_teacher,W$4,m_date,($G$2+12),m_active,1,m_start,"&lt;"&amp;660,m_end,"&gt;"&amp;600))))))</f>
        <v/>
      </c>
      <c r="X61" s="88" t="str">
        <f aca="false">IF(OR(X$4="",MONTH(($G$2+12))&lt;&gt;MONTH($C$2)),"",IF(COUNTIFS(m_teacher,X$4,m_date,($G$2+12),m_active,1,m_start,"&lt;"&amp;660,m_end,"&gt;"&amp;600)=0,"",IF(COUNTIFS(m_teacher,X$4,m_date,($G$2+12),m_active,1,m_start,"&lt;"&amp;660,m_end,"&gt;"&amp;600)&gt;1,"충돌",HYPERLINK("#'관리자_MASTER'!D"&amp;_xlfn.MAXIFS(m_row,m_teacher,X$4,m_date,($G$2+12),m_active,1,m_start,"&lt;"&amp;660,m_end,"&gt;"&amp;600),INDEX(m_label,_xlfn.MAXIFS(m_row,m_teacher,X$4,m_date,($G$2+12),m_active,1,m_start,"&lt;"&amp;660,m_end,"&gt;"&amp;600))))))</f>
        <v/>
      </c>
      <c r="Y61" s="88" t="str">
        <f aca="false">IF(OR(Y$4="",MONTH(($G$2+12))&lt;&gt;MONTH($C$2)),"",IF(COUNTIFS(m_teacher,Y$4,m_date,($G$2+12),m_active,1,m_start,"&lt;"&amp;660,m_end,"&gt;"&amp;600)=0,"",IF(COUNTIFS(m_teacher,Y$4,m_date,($G$2+12),m_active,1,m_start,"&lt;"&amp;660,m_end,"&gt;"&amp;600)&gt;1,"충돌",HYPERLINK("#'관리자_MASTER'!D"&amp;_xlfn.MAXIFS(m_row,m_teacher,Y$4,m_date,($G$2+12),m_active,1,m_start,"&lt;"&amp;660,m_end,"&gt;"&amp;600),INDEX(m_label,_xlfn.MAXIFS(m_row,m_teacher,Y$4,m_date,($G$2+12),m_active,1,m_start,"&lt;"&amp;660,m_end,"&gt;"&amp;600))))))</f>
        <v/>
      </c>
      <c r="Z61" s="88" t="str">
        <f aca="false">IF(OR(Z$4="",MONTH(($G$2+12))&lt;&gt;MONTH($C$2)),"",IF(COUNTIFS(m_teacher,Z$4,m_date,($G$2+12),m_active,1,m_start,"&lt;"&amp;660,m_end,"&gt;"&amp;600)=0,"",IF(COUNTIFS(m_teacher,Z$4,m_date,($G$2+12),m_active,1,m_start,"&lt;"&amp;660,m_end,"&gt;"&amp;600)&gt;1,"충돌",HYPERLINK("#'관리자_MASTER'!D"&amp;_xlfn.MAXIFS(m_row,m_teacher,Z$4,m_date,($G$2+12),m_active,1,m_start,"&lt;"&amp;660,m_end,"&gt;"&amp;600),INDEX(m_label,_xlfn.MAXIFS(m_row,m_teacher,Z$4,m_date,($G$2+12),m_active,1,m_start,"&lt;"&amp;660,m_end,"&gt;"&amp;600))))))</f>
        <v/>
      </c>
      <c r="AA61" s="88" t="str">
        <f aca="false">IF(OR(AA$4="",MONTH(($G$2+12))&lt;&gt;MONTH($C$2)),"",IF(COUNTIFS(m_teacher,AA$4,m_date,($G$2+12),m_active,1,m_start,"&lt;"&amp;660,m_end,"&gt;"&amp;600)=0,"",IF(COUNTIFS(m_teacher,AA$4,m_date,($G$2+12),m_active,1,m_start,"&lt;"&amp;660,m_end,"&gt;"&amp;600)&gt;1,"충돌",HYPERLINK("#'관리자_MASTER'!D"&amp;_xlfn.MAXIFS(m_row,m_teacher,AA$4,m_date,($G$2+12),m_active,1,m_start,"&lt;"&amp;660,m_end,"&gt;"&amp;600),INDEX(m_label,_xlfn.MAXIFS(m_row,m_teacher,AA$4,m_date,($G$2+12),m_active,1,m_start,"&lt;"&amp;660,m_end,"&gt;"&amp;600))))))</f>
        <v/>
      </c>
      <c r="AB61" s="88" t="str">
        <f aca="false">IF(OR(AB$4="",MONTH(($G$2+12))&lt;&gt;MONTH($C$2)),"",IF(COUNTIFS(m_teacher,AB$4,m_date,($G$2+12),m_active,1,m_start,"&lt;"&amp;660,m_end,"&gt;"&amp;600)=0,"",IF(COUNTIFS(m_teacher,AB$4,m_date,($G$2+12),m_active,1,m_start,"&lt;"&amp;660,m_end,"&gt;"&amp;600)&gt;1,"충돌",HYPERLINK("#'관리자_MASTER'!D"&amp;_xlfn.MAXIFS(m_row,m_teacher,AB$4,m_date,($G$2+12),m_active,1,m_start,"&lt;"&amp;660,m_end,"&gt;"&amp;600),INDEX(m_label,_xlfn.MAXIFS(m_row,m_teacher,AB$4,m_date,($G$2+12),m_active,1,m_start,"&lt;"&amp;660,m_end,"&gt;"&amp;600))))))</f>
        <v/>
      </c>
      <c r="AC61" s="90"/>
      <c r="AD61" s="79" t="s">
        <v>92</v>
      </c>
      <c r="AE61" s="88" t="str">
        <f aca="false">IF(OR(AE$4="",MONTH(($G$2+19))&lt;&gt;MONTH($C$2)),"",IF(COUNTIFS(m_teacher,AE$4,m_date,($G$2+19),m_active,1,m_start,"&lt;"&amp;660,m_end,"&gt;"&amp;600)=0,"",IF(COUNTIFS(m_teacher,AE$4,m_date,($G$2+19),m_active,1,m_start,"&lt;"&amp;660,m_end,"&gt;"&amp;600)&gt;1,"충돌",HYPERLINK("#'관리자_MASTER'!D"&amp;_xlfn.MAXIFS(m_row,m_teacher,AE$4,m_date,($G$2+19),m_active,1,m_start,"&lt;"&amp;660,m_end,"&gt;"&amp;600),INDEX(m_label,_xlfn.MAXIFS(m_row,m_teacher,AE$4,m_date,($G$2+19),m_active,1,m_start,"&lt;"&amp;660,m_end,"&gt;"&amp;600))))))</f>
        <v/>
      </c>
      <c r="AF61" s="88" t="str">
        <f aca="false">IF(OR(AF$4="",MONTH(($G$2+19))&lt;&gt;MONTH($C$2)),"",IF(COUNTIFS(m_teacher,AF$4,m_date,($G$2+19),m_active,1,m_start,"&lt;"&amp;660,m_end,"&gt;"&amp;600)=0,"",IF(COUNTIFS(m_teacher,AF$4,m_date,($G$2+19),m_active,1,m_start,"&lt;"&amp;660,m_end,"&gt;"&amp;600)&gt;1,"충돌",HYPERLINK("#'관리자_MASTER'!D"&amp;_xlfn.MAXIFS(m_row,m_teacher,AF$4,m_date,($G$2+19),m_active,1,m_start,"&lt;"&amp;660,m_end,"&gt;"&amp;600),INDEX(m_label,_xlfn.MAXIFS(m_row,m_teacher,AF$4,m_date,($G$2+19),m_active,1,m_start,"&lt;"&amp;660,m_end,"&gt;"&amp;600))))))</f>
        <v/>
      </c>
      <c r="AG61" s="88" t="str">
        <f aca="false">IF(OR(AG$4="",MONTH(($G$2+19))&lt;&gt;MONTH($C$2)),"",IF(COUNTIFS(m_teacher,AG$4,m_date,($G$2+19),m_active,1,m_start,"&lt;"&amp;660,m_end,"&gt;"&amp;600)=0,"",IF(COUNTIFS(m_teacher,AG$4,m_date,($G$2+19),m_active,1,m_start,"&lt;"&amp;660,m_end,"&gt;"&amp;600)&gt;1,"충돌",HYPERLINK("#'관리자_MASTER'!D"&amp;_xlfn.MAXIFS(m_row,m_teacher,AG$4,m_date,($G$2+19),m_active,1,m_start,"&lt;"&amp;660,m_end,"&gt;"&amp;600),INDEX(m_label,_xlfn.MAXIFS(m_row,m_teacher,AG$4,m_date,($G$2+19),m_active,1,m_start,"&lt;"&amp;660,m_end,"&gt;"&amp;600))))))</f>
        <v/>
      </c>
      <c r="AH61" s="88" t="str">
        <f aca="false">IF(OR(AH$4="",MONTH(($G$2+19))&lt;&gt;MONTH($C$2)),"",IF(COUNTIFS(m_teacher,AH$4,m_date,($G$2+19),m_active,1,m_start,"&lt;"&amp;660,m_end,"&gt;"&amp;600)=0,"",IF(COUNTIFS(m_teacher,AH$4,m_date,($G$2+19),m_active,1,m_start,"&lt;"&amp;660,m_end,"&gt;"&amp;600)&gt;1,"충돌",HYPERLINK("#'관리자_MASTER'!D"&amp;_xlfn.MAXIFS(m_row,m_teacher,AH$4,m_date,($G$2+19),m_active,1,m_start,"&lt;"&amp;660,m_end,"&gt;"&amp;600),INDEX(m_label,_xlfn.MAXIFS(m_row,m_teacher,AH$4,m_date,($G$2+19),m_active,1,m_start,"&lt;"&amp;660,m_end,"&gt;"&amp;600))))))</f>
        <v/>
      </c>
      <c r="AI61" s="88" t="str">
        <f aca="false">IF(OR(AI$4="",MONTH(($G$2+19))&lt;&gt;MONTH($C$2)),"",IF(COUNTIFS(m_teacher,AI$4,m_date,($G$2+19),m_active,1,m_start,"&lt;"&amp;660,m_end,"&gt;"&amp;600)=0,"",IF(COUNTIFS(m_teacher,AI$4,m_date,($G$2+19),m_active,1,m_start,"&lt;"&amp;660,m_end,"&gt;"&amp;600)&gt;1,"충돌",HYPERLINK("#'관리자_MASTER'!D"&amp;_xlfn.MAXIFS(m_row,m_teacher,AI$4,m_date,($G$2+19),m_active,1,m_start,"&lt;"&amp;660,m_end,"&gt;"&amp;600),INDEX(m_label,_xlfn.MAXIFS(m_row,m_teacher,AI$4,m_date,($G$2+19),m_active,1,m_start,"&lt;"&amp;660,m_end,"&gt;"&amp;600))))))</f>
        <v/>
      </c>
      <c r="AJ61" s="88" t="str">
        <f aca="false">IF(OR(AJ$4="",MONTH(($G$2+19))&lt;&gt;MONTH($C$2)),"",IF(COUNTIFS(m_teacher,AJ$4,m_date,($G$2+19),m_active,1,m_start,"&lt;"&amp;660,m_end,"&gt;"&amp;600)=0,"",IF(COUNTIFS(m_teacher,AJ$4,m_date,($G$2+19),m_active,1,m_start,"&lt;"&amp;660,m_end,"&gt;"&amp;600)&gt;1,"충돌",HYPERLINK("#'관리자_MASTER'!D"&amp;_xlfn.MAXIFS(m_row,m_teacher,AJ$4,m_date,($G$2+19),m_active,1,m_start,"&lt;"&amp;660,m_end,"&gt;"&amp;600),INDEX(m_label,_xlfn.MAXIFS(m_row,m_teacher,AJ$4,m_date,($G$2+19),m_active,1,m_start,"&lt;"&amp;660,m_end,"&gt;"&amp;600))))))</f>
        <v/>
      </c>
      <c r="AK61" s="88" t="str">
        <f aca="false">IF(OR(AK$4="",MONTH(($G$2+19))&lt;&gt;MONTH($C$2)),"",IF(COUNTIFS(m_teacher,AK$4,m_date,($G$2+19),m_active,1,m_start,"&lt;"&amp;660,m_end,"&gt;"&amp;600)=0,"",IF(COUNTIFS(m_teacher,AK$4,m_date,($G$2+19),m_active,1,m_start,"&lt;"&amp;660,m_end,"&gt;"&amp;600)&gt;1,"충돌",HYPERLINK("#'관리자_MASTER'!D"&amp;_xlfn.MAXIFS(m_row,m_teacher,AK$4,m_date,($G$2+19),m_active,1,m_start,"&lt;"&amp;660,m_end,"&gt;"&amp;600),INDEX(m_label,_xlfn.MAXIFS(m_row,m_teacher,AK$4,m_date,($G$2+19),m_active,1,m_start,"&lt;"&amp;660,m_end,"&gt;"&amp;600))))))</f>
        <v/>
      </c>
      <c r="AL61" s="88" t="str">
        <f aca="false">IF(OR(AL$4="",MONTH(($G$2+19))&lt;&gt;MONTH($C$2)),"",IF(COUNTIFS(m_teacher,AL$4,m_date,($G$2+19),m_active,1,m_start,"&lt;"&amp;660,m_end,"&gt;"&amp;600)=0,"",IF(COUNTIFS(m_teacher,AL$4,m_date,($G$2+19),m_active,1,m_start,"&lt;"&amp;660,m_end,"&gt;"&amp;600)&gt;1,"충돌",HYPERLINK("#'관리자_MASTER'!D"&amp;_xlfn.MAXIFS(m_row,m_teacher,AL$4,m_date,($G$2+19),m_active,1,m_start,"&lt;"&amp;660,m_end,"&gt;"&amp;600),INDEX(m_label,_xlfn.MAXIFS(m_row,m_teacher,AL$4,m_date,($G$2+19),m_active,1,m_start,"&lt;"&amp;660,m_end,"&gt;"&amp;600))))))</f>
        <v/>
      </c>
      <c r="AM61" s="88" t="str">
        <f aca="false">IF(OR(AM$4="",MONTH(($G$2+19))&lt;&gt;MONTH($C$2)),"",IF(COUNTIFS(m_teacher,AM$4,m_date,($G$2+19),m_active,1,m_start,"&lt;"&amp;660,m_end,"&gt;"&amp;600)=0,"",IF(COUNTIFS(m_teacher,AM$4,m_date,($G$2+19),m_active,1,m_start,"&lt;"&amp;660,m_end,"&gt;"&amp;600)&gt;1,"충돌",HYPERLINK("#'관리자_MASTER'!D"&amp;_xlfn.MAXIFS(m_row,m_teacher,AM$4,m_date,($G$2+19),m_active,1,m_start,"&lt;"&amp;660,m_end,"&gt;"&amp;600),INDEX(m_label,_xlfn.MAXIFS(m_row,m_teacher,AM$4,m_date,($G$2+19),m_active,1,m_start,"&lt;"&amp;660,m_end,"&gt;"&amp;600))))))</f>
        <v/>
      </c>
      <c r="AN61" s="88" t="str">
        <f aca="false">IF(OR(AN$4="",MONTH(($G$2+19))&lt;&gt;MONTH($C$2)),"",IF(COUNTIFS(m_teacher,AN$4,m_date,($G$2+19),m_active,1,m_start,"&lt;"&amp;660,m_end,"&gt;"&amp;600)=0,"",IF(COUNTIFS(m_teacher,AN$4,m_date,($G$2+19),m_active,1,m_start,"&lt;"&amp;660,m_end,"&gt;"&amp;600)&gt;1,"충돌",HYPERLINK("#'관리자_MASTER'!D"&amp;_xlfn.MAXIFS(m_row,m_teacher,AN$4,m_date,($G$2+19),m_active,1,m_start,"&lt;"&amp;660,m_end,"&gt;"&amp;600),INDEX(m_label,_xlfn.MAXIFS(m_row,m_teacher,AN$4,m_date,($G$2+19),m_active,1,m_start,"&lt;"&amp;660,m_end,"&gt;"&amp;600))))))</f>
        <v/>
      </c>
      <c r="AO61" s="88" t="str">
        <f aca="false">IF(OR(AO$4="",MONTH(($G$2+19))&lt;&gt;MONTH($C$2)),"",IF(COUNTIFS(m_teacher,AO$4,m_date,($G$2+19),m_active,1,m_start,"&lt;"&amp;660,m_end,"&gt;"&amp;600)=0,"",IF(COUNTIFS(m_teacher,AO$4,m_date,($G$2+19),m_active,1,m_start,"&lt;"&amp;660,m_end,"&gt;"&amp;600)&gt;1,"충돌",HYPERLINK("#'관리자_MASTER'!D"&amp;_xlfn.MAXIFS(m_row,m_teacher,AO$4,m_date,($G$2+19),m_active,1,m_start,"&lt;"&amp;660,m_end,"&gt;"&amp;600),INDEX(m_label,_xlfn.MAXIFS(m_row,m_teacher,AO$4,m_date,($G$2+19),m_active,1,m_start,"&lt;"&amp;660,m_end,"&gt;"&amp;600))))))</f>
        <v/>
      </c>
      <c r="AP61" s="88" t="str">
        <f aca="false">IF(OR(AP$4="",MONTH(($G$2+19))&lt;&gt;MONTH($C$2)),"",IF(COUNTIFS(m_teacher,AP$4,m_date,($G$2+19),m_active,1,m_start,"&lt;"&amp;660,m_end,"&gt;"&amp;600)=0,"",IF(COUNTIFS(m_teacher,AP$4,m_date,($G$2+19),m_active,1,m_start,"&lt;"&amp;660,m_end,"&gt;"&amp;600)&gt;1,"충돌",HYPERLINK("#'관리자_MASTER'!D"&amp;_xlfn.MAXIFS(m_row,m_teacher,AP$4,m_date,($G$2+19),m_active,1,m_start,"&lt;"&amp;660,m_end,"&gt;"&amp;600),INDEX(m_label,_xlfn.MAXIFS(m_row,m_teacher,AP$4,m_date,($G$2+19),m_active,1,m_start,"&lt;"&amp;660,m_end,"&gt;"&amp;600))))))</f>
        <v/>
      </c>
      <c r="AQ61" s="90"/>
      <c r="AR61" s="79" t="s">
        <v>92</v>
      </c>
      <c r="AS61" s="88" t="str">
        <f aca="false">IF(OR(AS$4="",MONTH(($G$2+26))&lt;&gt;MONTH($C$2)),"",IF(COUNTIFS(m_teacher,AS$4,m_date,($G$2+26),m_active,1,m_start,"&lt;"&amp;660,m_end,"&gt;"&amp;600)=0,"",IF(COUNTIFS(m_teacher,AS$4,m_date,($G$2+26),m_active,1,m_start,"&lt;"&amp;660,m_end,"&gt;"&amp;600)&gt;1,"충돌",HYPERLINK("#'관리자_MASTER'!D"&amp;_xlfn.MAXIFS(m_row,m_teacher,AS$4,m_date,($G$2+26),m_active,1,m_start,"&lt;"&amp;660,m_end,"&gt;"&amp;600),INDEX(m_label,_xlfn.MAXIFS(m_row,m_teacher,AS$4,m_date,($G$2+26),m_active,1,m_start,"&lt;"&amp;660,m_end,"&gt;"&amp;600))))))</f>
        <v/>
      </c>
      <c r="AT61" s="88" t="str">
        <f aca="false">IF(OR(AT$4="",MONTH(($G$2+26))&lt;&gt;MONTH($C$2)),"",IF(COUNTIFS(m_teacher,AT$4,m_date,($G$2+26),m_active,1,m_start,"&lt;"&amp;660,m_end,"&gt;"&amp;600)=0,"",IF(COUNTIFS(m_teacher,AT$4,m_date,($G$2+26),m_active,1,m_start,"&lt;"&amp;660,m_end,"&gt;"&amp;600)&gt;1,"충돌",HYPERLINK("#'관리자_MASTER'!D"&amp;_xlfn.MAXIFS(m_row,m_teacher,AT$4,m_date,($G$2+26),m_active,1,m_start,"&lt;"&amp;660,m_end,"&gt;"&amp;600),INDEX(m_label,_xlfn.MAXIFS(m_row,m_teacher,AT$4,m_date,($G$2+26),m_active,1,m_start,"&lt;"&amp;660,m_end,"&gt;"&amp;600))))))</f>
        <v/>
      </c>
      <c r="AU61" s="88" t="str">
        <f aca="false">IF(OR(AU$4="",MONTH(($G$2+26))&lt;&gt;MONTH($C$2)),"",IF(COUNTIFS(m_teacher,AU$4,m_date,($G$2+26),m_active,1,m_start,"&lt;"&amp;660,m_end,"&gt;"&amp;600)=0,"",IF(COUNTIFS(m_teacher,AU$4,m_date,($G$2+26),m_active,1,m_start,"&lt;"&amp;660,m_end,"&gt;"&amp;600)&gt;1,"충돌",HYPERLINK("#'관리자_MASTER'!D"&amp;_xlfn.MAXIFS(m_row,m_teacher,AU$4,m_date,($G$2+26),m_active,1,m_start,"&lt;"&amp;660,m_end,"&gt;"&amp;600),INDEX(m_label,_xlfn.MAXIFS(m_row,m_teacher,AU$4,m_date,($G$2+26),m_active,1,m_start,"&lt;"&amp;660,m_end,"&gt;"&amp;600))))))</f>
        <v/>
      </c>
      <c r="AV61" s="88" t="str">
        <f aca="false">IF(OR(AV$4="",MONTH(($G$2+26))&lt;&gt;MONTH($C$2)),"",IF(COUNTIFS(m_teacher,AV$4,m_date,($G$2+26),m_active,1,m_start,"&lt;"&amp;660,m_end,"&gt;"&amp;600)=0,"",IF(COUNTIFS(m_teacher,AV$4,m_date,($G$2+26),m_active,1,m_start,"&lt;"&amp;660,m_end,"&gt;"&amp;600)&gt;1,"충돌",HYPERLINK("#'관리자_MASTER'!D"&amp;_xlfn.MAXIFS(m_row,m_teacher,AV$4,m_date,($G$2+26),m_active,1,m_start,"&lt;"&amp;660,m_end,"&gt;"&amp;600),INDEX(m_label,_xlfn.MAXIFS(m_row,m_teacher,AV$4,m_date,($G$2+26),m_active,1,m_start,"&lt;"&amp;660,m_end,"&gt;"&amp;600))))))</f>
        <v/>
      </c>
      <c r="AW61" s="88" t="str">
        <f aca="false">IF(OR(AW$4="",MONTH(($G$2+26))&lt;&gt;MONTH($C$2)),"",IF(COUNTIFS(m_teacher,AW$4,m_date,($G$2+26),m_active,1,m_start,"&lt;"&amp;660,m_end,"&gt;"&amp;600)=0,"",IF(COUNTIFS(m_teacher,AW$4,m_date,($G$2+26),m_active,1,m_start,"&lt;"&amp;660,m_end,"&gt;"&amp;600)&gt;1,"충돌",HYPERLINK("#'관리자_MASTER'!D"&amp;_xlfn.MAXIFS(m_row,m_teacher,AW$4,m_date,($G$2+26),m_active,1,m_start,"&lt;"&amp;660,m_end,"&gt;"&amp;600),INDEX(m_label,_xlfn.MAXIFS(m_row,m_teacher,AW$4,m_date,($G$2+26),m_active,1,m_start,"&lt;"&amp;660,m_end,"&gt;"&amp;600))))))</f>
        <v/>
      </c>
      <c r="AX61" s="88" t="str">
        <f aca="false">IF(OR(AX$4="",MONTH(($G$2+26))&lt;&gt;MONTH($C$2)),"",IF(COUNTIFS(m_teacher,AX$4,m_date,($G$2+26),m_active,1,m_start,"&lt;"&amp;660,m_end,"&gt;"&amp;600)=0,"",IF(COUNTIFS(m_teacher,AX$4,m_date,($G$2+26),m_active,1,m_start,"&lt;"&amp;660,m_end,"&gt;"&amp;600)&gt;1,"충돌",HYPERLINK("#'관리자_MASTER'!D"&amp;_xlfn.MAXIFS(m_row,m_teacher,AX$4,m_date,($G$2+26),m_active,1,m_start,"&lt;"&amp;660,m_end,"&gt;"&amp;600),INDEX(m_label,_xlfn.MAXIFS(m_row,m_teacher,AX$4,m_date,($G$2+26),m_active,1,m_start,"&lt;"&amp;660,m_end,"&gt;"&amp;600))))))</f>
        <v/>
      </c>
      <c r="AY61" s="88" t="str">
        <f aca="false">IF(OR(AY$4="",MONTH(($G$2+26))&lt;&gt;MONTH($C$2)),"",IF(COUNTIFS(m_teacher,AY$4,m_date,($G$2+26),m_active,1,m_start,"&lt;"&amp;660,m_end,"&gt;"&amp;600)=0,"",IF(COUNTIFS(m_teacher,AY$4,m_date,($G$2+26),m_active,1,m_start,"&lt;"&amp;660,m_end,"&gt;"&amp;600)&gt;1,"충돌",HYPERLINK("#'관리자_MASTER'!D"&amp;_xlfn.MAXIFS(m_row,m_teacher,AY$4,m_date,($G$2+26),m_active,1,m_start,"&lt;"&amp;660,m_end,"&gt;"&amp;600),INDEX(m_label,_xlfn.MAXIFS(m_row,m_teacher,AY$4,m_date,($G$2+26),m_active,1,m_start,"&lt;"&amp;660,m_end,"&gt;"&amp;600))))))</f>
        <v/>
      </c>
      <c r="AZ61" s="88" t="str">
        <f aca="false">IF(OR(AZ$4="",MONTH(($G$2+26))&lt;&gt;MONTH($C$2)),"",IF(COUNTIFS(m_teacher,AZ$4,m_date,($G$2+26),m_active,1,m_start,"&lt;"&amp;660,m_end,"&gt;"&amp;600)=0,"",IF(COUNTIFS(m_teacher,AZ$4,m_date,($G$2+26),m_active,1,m_start,"&lt;"&amp;660,m_end,"&gt;"&amp;600)&gt;1,"충돌",HYPERLINK("#'관리자_MASTER'!D"&amp;_xlfn.MAXIFS(m_row,m_teacher,AZ$4,m_date,($G$2+26),m_active,1,m_start,"&lt;"&amp;660,m_end,"&gt;"&amp;600),INDEX(m_label,_xlfn.MAXIFS(m_row,m_teacher,AZ$4,m_date,($G$2+26),m_active,1,m_start,"&lt;"&amp;660,m_end,"&gt;"&amp;600))))))</f>
        <v/>
      </c>
      <c r="BA61" s="88" t="str">
        <f aca="false">IF(OR(BA$4="",MONTH(($G$2+26))&lt;&gt;MONTH($C$2)),"",IF(COUNTIFS(m_teacher,BA$4,m_date,($G$2+26),m_active,1,m_start,"&lt;"&amp;660,m_end,"&gt;"&amp;600)=0,"",IF(COUNTIFS(m_teacher,BA$4,m_date,($G$2+26),m_active,1,m_start,"&lt;"&amp;660,m_end,"&gt;"&amp;600)&gt;1,"충돌",HYPERLINK("#'관리자_MASTER'!D"&amp;_xlfn.MAXIFS(m_row,m_teacher,BA$4,m_date,($G$2+26),m_active,1,m_start,"&lt;"&amp;660,m_end,"&gt;"&amp;600),INDEX(m_label,_xlfn.MAXIFS(m_row,m_teacher,BA$4,m_date,($G$2+26),m_active,1,m_start,"&lt;"&amp;660,m_end,"&gt;"&amp;600))))))</f>
        <v/>
      </c>
      <c r="BB61" s="88" t="str">
        <f aca="false">IF(OR(BB$4="",MONTH(($G$2+26))&lt;&gt;MONTH($C$2)),"",IF(COUNTIFS(m_teacher,BB$4,m_date,($G$2+26),m_active,1,m_start,"&lt;"&amp;660,m_end,"&gt;"&amp;600)=0,"",IF(COUNTIFS(m_teacher,BB$4,m_date,($G$2+26),m_active,1,m_start,"&lt;"&amp;660,m_end,"&gt;"&amp;600)&gt;1,"충돌",HYPERLINK("#'관리자_MASTER'!D"&amp;_xlfn.MAXIFS(m_row,m_teacher,BB$4,m_date,($G$2+26),m_active,1,m_start,"&lt;"&amp;660,m_end,"&gt;"&amp;600),INDEX(m_label,_xlfn.MAXIFS(m_row,m_teacher,BB$4,m_date,($G$2+26),m_active,1,m_start,"&lt;"&amp;660,m_end,"&gt;"&amp;600))))))</f>
        <v/>
      </c>
      <c r="BC61" s="88" t="str">
        <f aca="false">IF(OR(BC$4="",MONTH(($G$2+26))&lt;&gt;MONTH($C$2)),"",IF(COUNTIFS(m_teacher,BC$4,m_date,($G$2+26),m_active,1,m_start,"&lt;"&amp;660,m_end,"&gt;"&amp;600)=0,"",IF(COUNTIFS(m_teacher,BC$4,m_date,($G$2+26),m_active,1,m_start,"&lt;"&amp;660,m_end,"&gt;"&amp;600)&gt;1,"충돌",HYPERLINK("#'관리자_MASTER'!D"&amp;_xlfn.MAXIFS(m_row,m_teacher,BC$4,m_date,($G$2+26),m_active,1,m_start,"&lt;"&amp;660,m_end,"&gt;"&amp;600),INDEX(m_label,_xlfn.MAXIFS(m_row,m_teacher,BC$4,m_date,($G$2+26),m_active,1,m_start,"&lt;"&amp;660,m_end,"&gt;"&amp;600))))))</f>
        <v/>
      </c>
      <c r="BD61" s="88" t="str">
        <f aca="false">IF(OR(BD$4="",MONTH(($G$2+26))&lt;&gt;MONTH($C$2)),"",IF(COUNTIFS(m_teacher,BD$4,m_date,($G$2+26),m_active,1,m_start,"&lt;"&amp;660,m_end,"&gt;"&amp;600)=0,"",IF(COUNTIFS(m_teacher,BD$4,m_date,($G$2+26),m_active,1,m_start,"&lt;"&amp;660,m_end,"&gt;"&amp;600)&gt;1,"충돌",HYPERLINK("#'관리자_MASTER'!D"&amp;_xlfn.MAXIFS(m_row,m_teacher,BD$4,m_date,($G$2+26),m_active,1,m_start,"&lt;"&amp;660,m_end,"&gt;"&amp;600),INDEX(m_label,_xlfn.MAXIFS(m_row,m_teacher,BD$4,m_date,($G$2+26),m_active,1,m_start,"&lt;"&amp;660,m_end,"&gt;"&amp;600))))))</f>
        <v/>
      </c>
      <c r="BE61" s="90"/>
      <c r="BF61" s="79" t="s">
        <v>92</v>
      </c>
      <c r="BG61" s="88" t="str">
        <f aca="false">IF(OR(BG$4="",MONTH(($G$2+33))&lt;&gt;MONTH($C$2)),"",IF(COUNTIFS(m_teacher,BG$4,m_date,($G$2+33),m_active,1,m_start,"&lt;"&amp;660,m_end,"&gt;"&amp;600)=0,"",IF(COUNTIFS(m_teacher,BG$4,m_date,($G$2+33),m_active,1,m_start,"&lt;"&amp;660,m_end,"&gt;"&amp;600)&gt;1,"충돌",HYPERLINK("#'관리자_MASTER'!D"&amp;_xlfn.MAXIFS(m_row,m_teacher,BG$4,m_date,($G$2+33),m_active,1,m_start,"&lt;"&amp;660,m_end,"&gt;"&amp;600),INDEX(m_label,_xlfn.MAXIFS(m_row,m_teacher,BG$4,m_date,($G$2+33),m_active,1,m_start,"&lt;"&amp;660,m_end,"&gt;"&amp;600))))))</f>
        <v/>
      </c>
      <c r="BH61" s="88" t="str">
        <f aca="false">IF(OR(BH$4="",MONTH(($G$2+33))&lt;&gt;MONTH($C$2)),"",IF(COUNTIFS(m_teacher,BH$4,m_date,($G$2+33),m_active,1,m_start,"&lt;"&amp;660,m_end,"&gt;"&amp;600)=0,"",IF(COUNTIFS(m_teacher,BH$4,m_date,($G$2+33),m_active,1,m_start,"&lt;"&amp;660,m_end,"&gt;"&amp;600)&gt;1,"충돌",HYPERLINK("#'관리자_MASTER'!D"&amp;_xlfn.MAXIFS(m_row,m_teacher,BH$4,m_date,($G$2+33),m_active,1,m_start,"&lt;"&amp;660,m_end,"&gt;"&amp;600),INDEX(m_label,_xlfn.MAXIFS(m_row,m_teacher,BH$4,m_date,($G$2+33),m_active,1,m_start,"&lt;"&amp;660,m_end,"&gt;"&amp;600))))))</f>
        <v/>
      </c>
      <c r="BI61" s="88" t="str">
        <f aca="false">IF(OR(BI$4="",MONTH(($G$2+33))&lt;&gt;MONTH($C$2)),"",IF(COUNTIFS(m_teacher,BI$4,m_date,($G$2+33),m_active,1,m_start,"&lt;"&amp;660,m_end,"&gt;"&amp;600)=0,"",IF(COUNTIFS(m_teacher,BI$4,m_date,($G$2+33),m_active,1,m_start,"&lt;"&amp;660,m_end,"&gt;"&amp;600)&gt;1,"충돌",HYPERLINK("#'관리자_MASTER'!D"&amp;_xlfn.MAXIFS(m_row,m_teacher,BI$4,m_date,($G$2+33),m_active,1,m_start,"&lt;"&amp;660,m_end,"&gt;"&amp;600),INDEX(m_label,_xlfn.MAXIFS(m_row,m_teacher,BI$4,m_date,($G$2+33),m_active,1,m_start,"&lt;"&amp;660,m_end,"&gt;"&amp;600))))))</f>
        <v/>
      </c>
      <c r="BJ61" s="88" t="str">
        <f aca="false">IF(OR(BJ$4="",MONTH(($G$2+33))&lt;&gt;MONTH($C$2)),"",IF(COUNTIFS(m_teacher,BJ$4,m_date,($G$2+33),m_active,1,m_start,"&lt;"&amp;660,m_end,"&gt;"&amp;600)=0,"",IF(COUNTIFS(m_teacher,BJ$4,m_date,($G$2+33),m_active,1,m_start,"&lt;"&amp;660,m_end,"&gt;"&amp;600)&gt;1,"충돌",HYPERLINK("#'관리자_MASTER'!D"&amp;_xlfn.MAXIFS(m_row,m_teacher,BJ$4,m_date,($G$2+33),m_active,1,m_start,"&lt;"&amp;660,m_end,"&gt;"&amp;600),INDEX(m_label,_xlfn.MAXIFS(m_row,m_teacher,BJ$4,m_date,($G$2+33),m_active,1,m_start,"&lt;"&amp;660,m_end,"&gt;"&amp;600))))))</f>
        <v/>
      </c>
      <c r="BK61" s="88" t="str">
        <f aca="false">IF(OR(BK$4="",MONTH(($G$2+33))&lt;&gt;MONTH($C$2)),"",IF(COUNTIFS(m_teacher,BK$4,m_date,($G$2+33),m_active,1,m_start,"&lt;"&amp;660,m_end,"&gt;"&amp;600)=0,"",IF(COUNTIFS(m_teacher,BK$4,m_date,($G$2+33),m_active,1,m_start,"&lt;"&amp;660,m_end,"&gt;"&amp;600)&gt;1,"충돌",HYPERLINK("#'관리자_MASTER'!D"&amp;_xlfn.MAXIFS(m_row,m_teacher,BK$4,m_date,($G$2+33),m_active,1,m_start,"&lt;"&amp;660,m_end,"&gt;"&amp;600),INDEX(m_label,_xlfn.MAXIFS(m_row,m_teacher,BK$4,m_date,($G$2+33),m_active,1,m_start,"&lt;"&amp;660,m_end,"&gt;"&amp;600))))))</f>
        <v/>
      </c>
      <c r="BL61" s="88" t="str">
        <f aca="false">IF(OR(BL$4="",MONTH(($G$2+33))&lt;&gt;MONTH($C$2)),"",IF(COUNTIFS(m_teacher,BL$4,m_date,($G$2+33),m_active,1,m_start,"&lt;"&amp;660,m_end,"&gt;"&amp;600)=0,"",IF(COUNTIFS(m_teacher,BL$4,m_date,($G$2+33),m_active,1,m_start,"&lt;"&amp;660,m_end,"&gt;"&amp;600)&gt;1,"충돌",HYPERLINK("#'관리자_MASTER'!D"&amp;_xlfn.MAXIFS(m_row,m_teacher,BL$4,m_date,($G$2+33),m_active,1,m_start,"&lt;"&amp;660,m_end,"&gt;"&amp;600),INDEX(m_label,_xlfn.MAXIFS(m_row,m_teacher,BL$4,m_date,($G$2+33),m_active,1,m_start,"&lt;"&amp;660,m_end,"&gt;"&amp;600))))))</f>
        <v/>
      </c>
      <c r="BM61" s="88" t="str">
        <f aca="false">IF(OR(BM$4="",MONTH(($G$2+33))&lt;&gt;MONTH($C$2)),"",IF(COUNTIFS(m_teacher,BM$4,m_date,($G$2+33),m_active,1,m_start,"&lt;"&amp;660,m_end,"&gt;"&amp;600)=0,"",IF(COUNTIFS(m_teacher,BM$4,m_date,($G$2+33),m_active,1,m_start,"&lt;"&amp;660,m_end,"&gt;"&amp;600)&gt;1,"충돌",HYPERLINK("#'관리자_MASTER'!D"&amp;_xlfn.MAXIFS(m_row,m_teacher,BM$4,m_date,($G$2+33),m_active,1,m_start,"&lt;"&amp;660,m_end,"&gt;"&amp;600),INDEX(m_label,_xlfn.MAXIFS(m_row,m_teacher,BM$4,m_date,($G$2+33),m_active,1,m_start,"&lt;"&amp;660,m_end,"&gt;"&amp;600))))))</f>
        <v/>
      </c>
      <c r="BN61" s="88" t="str">
        <f aca="false">IF(OR(BN$4="",MONTH(($G$2+33))&lt;&gt;MONTH($C$2)),"",IF(COUNTIFS(m_teacher,BN$4,m_date,($G$2+33),m_active,1,m_start,"&lt;"&amp;660,m_end,"&gt;"&amp;600)=0,"",IF(COUNTIFS(m_teacher,BN$4,m_date,($G$2+33),m_active,1,m_start,"&lt;"&amp;660,m_end,"&gt;"&amp;600)&gt;1,"충돌",HYPERLINK("#'관리자_MASTER'!D"&amp;_xlfn.MAXIFS(m_row,m_teacher,BN$4,m_date,($G$2+33),m_active,1,m_start,"&lt;"&amp;660,m_end,"&gt;"&amp;600),INDEX(m_label,_xlfn.MAXIFS(m_row,m_teacher,BN$4,m_date,($G$2+33),m_active,1,m_start,"&lt;"&amp;660,m_end,"&gt;"&amp;600))))))</f>
        <v/>
      </c>
      <c r="BO61" s="88" t="str">
        <f aca="false">IF(OR(BO$4="",MONTH(($G$2+33))&lt;&gt;MONTH($C$2)),"",IF(COUNTIFS(m_teacher,BO$4,m_date,($G$2+33),m_active,1,m_start,"&lt;"&amp;660,m_end,"&gt;"&amp;600)=0,"",IF(COUNTIFS(m_teacher,BO$4,m_date,($G$2+33),m_active,1,m_start,"&lt;"&amp;660,m_end,"&gt;"&amp;600)&gt;1,"충돌",HYPERLINK("#'관리자_MASTER'!D"&amp;_xlfn.MAXIFS(m_row,m_teacher,BO$4,m_date,($G$2+33),m_active,1,m_start,"&lt;"&amp;660,m_end,"&gt;"&amp;600),INDEX(m_label,_xlfn.MAXIFS(m_row,m_teacher,BO$4,m_date,($G$2+33),m_active,1,m_start,"&lt;"&amp;660,m_end,"&gt;"&amp;600))))))</f>
        <v/>
      </c>
      <c r="BP61" s="88" t="str">
        <f aca="false">IF(OR(BP$4="",MONTH(($G$2+33))&lt;&gt;MONTH($C$2)),"",IF(COUNTIFS(m_teacher,BP$4,m_date,($G$2+33),m_active,1,m_start,"&lt;"&amp;660,m_end,"&gt;"&amp;600)=0,"",IF(COUNTIFS(m_teacher,BP$4,m_date,($G$2+33),m_active,1,m_start,"&lt;"&amp;660,m_end,"&gt;"&amp;600)&gt;1,"충돌",HYPERLINK("#'관리자_MASTER'!D"&amp;_xlfn.MAXIFS(m_row,m_teacher,BP$4,m_date,($G$2+33),m_active,1,m_start,"&lt;"&amp;660,m_end,"&gt;"&amp;600),INDEX(m_label,_xlfn.MAXIFS(m_row,m_teacher,BP$4,m_date,($G$2+33),m_active,1,m_start,"&lt;"&amp;660,m_end,"&gt;"&amp;600))))))</f>
        <v/>
      </c>
      <c r="BQ61" s="88" t="str">
        <f aca="false">IF(OR(BQ$4="",MONTH(($G$2+33))&lt;&gt;MONTH($C$2)),"",IF(COUNTIFS(m_teacher,BQ$4,m_date,($G$2+33),m_active,1,m_start,"&lt;"&amp;660,m_end,"&gt;"&amp;600)=0,"",IF(COUNTIFS(m_teacher,BQ$4,m_date,($G$2+33),m_active,1,m_start,"&lt;"&amp;660,m_end,"&gt;"&amp;600)&gt;1,"충돌",HYPERLINK("#'관리자_MASTER'!D"&amp;_xlfn.MAXIFS(m_row,m_teacher,BQ$4,m_date,($G$2+33),m_active,1,m_start,"&lt;"&amp;660,m_end,"&gt;"&amp;600),INDEX(m_label,_xlfn.MAXIFS(m_row,m_teacher,BQ$4,m_date,($G$2+33),m_active,1,m_start,"&lt;"&amp;660,m_end,"&gt;"&amp;600))))))</f>
        <v/>
      </c>
      <c r="BR61" s="88" t="str">
        <f aca="false">IF(OR(BR$4="",MONTH(($G$2+33))&lt;&gt;MONTH($C$2)),"",IF(COUNTIFS(m_teacher,BR$4,m_date,($G$2+33),m_active,1,m_start,"&lt;"&amp;660,m_end,"&gt;"&amp;600)=0,"",IF(COUNTIFS(m_teacher,BR$4,m_date,($G$2+33),m_active,1,m_start,"&lt;"&amp;660,m_end,"&gt;"&amp;600)&gt;1,"충돌",HYPERLINK("#'관리자_MASTER'!D"&amp;_xlfn.MAXIFS(m_row,m_teacher,BR$4,m_date,($G$2+33),m_active,1,m_start,"&lt;"&amp;660,m_end,"&gt;"&amp;600),INDEX(m_label,_xlfn.MAXIFS(m_row,m_teacher,BR$4,m_date,($G$2+33),m_active,1,m_start,"&lt;"&amp;660,m_end,"&gt;"&amp;600))))))</f>
        <v/>
      </c>
    </row>
    <row r="62" customFormat="false" ht="19.5" hidden="false" customHeight="true" outlineLevel="0" collapsed="false">
      <c r="A62" s="90"/>
      <c r="B62" s="79" t="s">
        <v>93</v>
      </c>
      <c r="C62" s="88" t="str">
        <f aca="false">IF(OR(C$4="",MONTH(($G$2+5))&lt;&gt;MONTH($C$2)),"",IF(COUNTIFS(m_teacher,C$4,m_date,($G$2+5),m_active,1,m_start,"&lt;"&amp;720,m_end,"&gt;"&amp;660)=0,"",IF(COUNTIFS(m_teacher,C$4,m_date,($G$2+5),m_active,1,m_start,"&lt;"&amp;720,m_end,"&gt;"&amp;660)&gt;1,"충돌",HYPERLINK("#'관리자_MASTER'!D"&amp;_xlfn.MAXIFS(m_row,m_teacher,C$4,m_date,($G$2+5),m_active,1,m_start,"&lt;"&amp;720,m_end,"&gt;"&amp;660),INDEX(m_label,_xlfn.MAXIFS(m_row,m_teacher,C$4,m_date,($G$2+5),m_active,1,m_start,"&lt;"&amp;720,m_end,"&gt;"&amp;660))))))</f>
        <v/>
      </c>
      <c r="D62" s="88" t="str">
        <f aca="false">IF(OR(D$4="",MONTH(($G$2+5))&lt;&gt;MONTH($C$2)),"",IF(COUNTIFS(m_teacher,D$4,m_date,($G$2+5),m_active,1,m_start,"&lt;"&amp;720,m_end,"&gt;"&amp;660)=0,"",IF(COUNTIFS(m_teacher,D$4,m_date,($G$2+5),m_active,1,m_start,"&lt;"&amp;720,m_end,"&gt;"&amp;660)&gt;1,"충돌",HYPERLINK("#'관리자_MASTER'!D"&amp;_xlfn.MAXIFS(m_row,m_teacher,D$4,m_date,($G$2+5),m_active,1,m_start,"&lt;"&amp;720,m_end,"&gt;"&amp;660),INDEX(m_label,_xlfn.MAXIFS(m_row,m_teacher,D$4,m_date,($G$2+5),m_active,1,m_start,"&lt;"&amp;720,m_end,"&gt;"&amp;660))))))</f>
        <v/>
      </c>
      <c r="E62" s="88" t="str">
        <f aca="false">IF(OR(E$4="",MONTH(($G$2+5))&lt;&gt;MONTH($C$2)),"",IF(COUNTIFS(m_teacher,E$4,m_date,($G$2+5),m_active,1,m_start,"&lt;"&amp;720,m_end,"&gt;"&amp;660)=0,"",IF(COUNTIFS(m_teacher,E$4,m_date,($G$2+5),m_active,1,m_start,"&lt;"&amp;720,m_end,"&gt;"&amp;660)&gt;1,"충돌",HYPERLINK("#'관리자_MASTER'!D"&amp;_xlfn.MAXIFS(m_row,m_teacher,E$4,m_date,($G$2+5),m_active,1,m_start,"&lt;"&amp;720,m_end,"&gt;"&amp;660),INDEX(m_label,_xlfn.MAXIFS(m_row,m_teacher,E$4,m_date,($G$2+5),m_active,1,m_start,"&lt;"&amp;720,m_end,"&gt;"&amp;660))))))</f>
        <v/>
      </c>
      <c r="F62" s="88" t="str">
        <f aca="false">IF(OR(F$4="",MONTH(($G$2+5))&lt;&gt;MONTH($C$2)),"",IF(COUNTIFS(m_teacher,F$4,m_date,($G$2+5),m_active,1,m_start,"&lt;"&amp;720,m_end,"&gt;"&amp;660)=0,"",IF(COUNTIFS(m_teacher,F$4,m_date,($G$2+5),m_active,1,m_start,"&lt;"&amp;720,m_end,"&gt;"&amp;660)&gt;1,"충돌",HYPERLINK("#'관리자_MASTER'!D"&amp;_xlfn.MAXIFS(m_row,m_teacher,F$4,m_date,($G$2+5),m_active,1,m_start,"&lt;"&amp;720,m_end,"&gt;"&amp;660),INDEX(m_label,_xlfn.MAXIFS(m_row,m_teacher,F$4,m_date,($G$2+5),m_active,1,m_start,"&lt;"&amp;720,m_end,"&gt;"&amp;660))))))</f>
        <v/>
      </c>
      <c r="G62" s="88" t="str">
        <f aca="false">IF(OR(G$4="",MONTH(($G$2+5))&lt;&gt;MONTH($C$2)),"",IF(COUNTIFS(m_teacher,G$4,m_date,($G$2+5),m_active,1,m_start,"&lt;"&amp;720,m_end,"&gt;"&amp;660)=0,"",IF(COUNTIFS(m_teacher,G$4,m_date,($G$2+5),m_active,1,m_start,"&lt;"&amp;720,m_end,"&gt;"&amp;660)&gt;1,"충돌",HYPERLINK("#'관리자_MASTER'!D"&amp;_xlfn.MAXIFS(m_row,m_teacher,G$4,m_date,($G$2+5),m_active,1,m_start,"&lt;"&amp;720,m_end,"&gt;"&amp;660),INDEX(m_label,_xlfn.MAXIFS(m_row,m_teacher,G$4,m_date,($G$2+5),m_active,1,m_start,"&lt;"&amp;720,m_end,"&gt;"&amp;660))))))</f>
        <v/>
      </c>
      <c r="H62" s="88" t="str">
        <f aca="false">IF(OR(H$4="",MONTH(($G$2+5))&lt;&gt;MONTH($C$2)),"",IF(COUNTIFS(m_teacher,H$4,m_date,($G$2+5),m_active,1,m_start,"&lt;"&amp;720,m_end,"&gt;"&amp;660)=0,"",IF(COUNTIFS(m_teacher,H$4,m_date,($G$2+5),m_active,1,m_start,"&lt;"&amp;720,m_end,"&gt;"&amp;660)&gt;1,"충돌",HYPERLINK("#'관리자_MASTER'!D"&amp;_xlfn.MAXIFS(m_row,m_teacher,H$4,m_date,($G$2+5),m_active,1,m_start,"&lt;"&amp;720,m_end,"&gt;"&amp;660),INDEX(m_label,_xlfn.MAXIFS(m_row,m_teacher,H$4,m_date,($G$2+5),m_active,1,m_start,"&lt;"&amp;720,m_end,"&gt;"&amp;660))))))</f>
        <v/>
      </c>
      <c r="I62" s="88" t="str">
        <f aca="false">IF(OR(I$4="",MONTH(($G$2+5))&lt;&gt;MONTH($C$2)),"",IF(COUNTIFS(m_teacher,I$4,m_date,($G$2+5),m_active,1,m_start,"&lt;"&amp;720,m_end,"&gt;"&amp;660)=0,"",IF(COUNTIFS(m_teacher,I$4,m_date,($G$2+5),m_active,1,m_start,"&lt;"&amp;720,m_end,"&gt;"&amp;660)&gt;1,"충돌",HYPERLINK("#'관리자_MASTER'!D"&amp;_xlfn.MAXIFS(m_row,m_teacher,I$4,m_date,($G$2+5),m_active,1,m_start,"&lt;"&amp;720,m_end,"&gt;"&amp;660),INDEX(m_label,_xlfn.MAXIFS(m_row,m_teacher,I$4,m_date,($G$2+5),m_active,1,m_start,"&lt;"&amp;720,m_end,"&gt;"&amp;660))))))</f>
        <v/>
      </c>
      <c r="J62" s="88" t="str">
        <f aca="false">IF(OR(J$4="",MONTH(($G$2+5))&lt;&gt;MONTH($C$2)),"",IF(COUNTIFS(m_teacher,J$4,m_date,($G$2+5),m_active,1,m_start,"&lt;"&amp;720,m_end,"&gt;"&amp;660)=0,"",IF(COUNTIFS(m_teacher,J$4,m_date,($G$2+5),m_active,1,m_start,"&lt;"&amp;720,m_end,"&gt;"&amp;660)&gt;1,"충돌",HYPERLINK("#'관리자_MASTER'!D"&amp;_xlfn.MAXIFS(m_row,m_teacher,J$4,m_date,($G$2+5),m_active,1,m_start,"&lt;"&amp;720,m_end,"&gt;"&amp;660),INDEX(m_label,_xlfn.MAXIFS(m_row,m_teacher,J$4,m_date,($G$2+5),m_active,1,m_start,"&lt;"&amp;720,m_end,"&gt;"&amp;660))))))</f>
        <v/>
      </c>
      <c r="K62" s="88" t="str">
        <f aca="false">IF(OR(K$4="",MONTH(($G$2+5))&lt;&gt;MONTH($C$2)),"",IF(COUNTIFS(m_teacher,K$4,m_date,($G$2+5),m_active,1,m_start,"&lt;"&amp;720,m_end,"&gt;"&amp;660)=0,"",IF(COUNTIFS(m_teacher,K$4,m_date,($G$2+5),m_active,1,m_start,"&lt;"&amp;720,m_end,"&gt;"&amp;660)&gt;1,"충돌",HYPERLINK("#'관리자_MASTER'!D"&amp;_xlfn.MAXIFS(m_row,m_teacher,K$4,m_date,($G$2+5),m_active,1,m_start,"&lt;"&amp;720,m_end,"&gt;"&amp;660),INDEX(m_label,_xlfn.MAXIFS(m_row,m_teacher,K$4,m_date,($G$2+5),m_active,1,m_start,"&lt;"&amp;720,m_end,"&gt;"&amp;660))))))</f>
        <v/>
      </c>
      <c r="L62" s="88" t="str">
        <f aca="false">IF(OR(L$4="",MONTH(($G$2+5))&lt;&gt;MONTH($C$2)),"",IF(COUNTIFS(m_teacher,L$4,m_date,($G$2+5),m_active,1,m_start,"&lt;"&amp;720,m_end,"&gt;"&amp;660)=0,"",IF(COUNTIFS(m_teacher,L$4,m_date,($G$2+5),m_active,1,m_start,"&lt;"&amp;720,m_end,"&gt;"&amp;660)&gt;1,"충돌",HYPERLINK("#'관리자_MASTER'!D"&amp;_xlfn.MAXIFS(m_row,m_teacher,L$4,m_date,($G$2+5),m_active,1,m_start,"&lt;"&amp;720,m_end,"&gt;"&amp;660),INDEX(m_label,_xlfn.MAXIFS(m_row,m_teacher,L$4,m_date,($G$2+5),m_active,1,m_start,"&lt;"&amp;720,m_end,"&gt;"&amp;660))))))</f>
        <v/>
      </c>
      <c r="M62" s="88" t="str">
        <f aca="false">IF(OR(M$4="",MONTH(($G$2+5))&lt;&gt;MONTH($C$2)),"",IF(COUNTIFS(m_teacher,M$4,m_date,($G$2+5),m_active,1,m_start,"&lt;"&amp;720,m_end,"&gt;"&amp;660)=0,"",IF(COUNTIFS(m_teacher,M$4,m_date,($G$2+5),m_active,1,m_start,"&lt;"&amp;720,m_end,"&gt;"&amp;660)&gt;1,"충돌",HYPERLINK("#'관리자_MASTER'!D"&amp;_xlfn.MAXIFS(m_row,m_teacher,M$4,m_date,($G$2+5),m_active,1,m_start,"&lt;"&amp;720,m_end,"&gt;"&amp;660),INDEX(m_label,_xlfn.MAXIFS(m_row,m_teacher,M$4,m_date,($G$2+5),m_active,1,m_start,"&lt;"&amp;720,m_end,"&gt;"&amp;660))))))</f>
        <v/>
      </c>
      <c r="N62" s="88" t="str">
        <f aca="false">IF(OR(N$4="",MONTH(($G$2+5))&lt;&gt;MONTH($C$2)),"",IF(COUNTIFS(m_teacher,N$4,m_date,($G$2+5),m_active,1,m_start,"&lt;"&amp;720,m_end,"&gt;"&amp;660)=0,"",IF(COUNTIFS(m_teacher,N$4,m_date,($G$2+5),m_active,1,m_start,"&lt;"&amp;720,m_end,"&gt;"&amp;660)&gt;1,"충돌",HYPERLINK("#'관리자_MASTER'!D"&amp;_xlfn.MAXIFS(m_row,m_teacher,N$4,m_date,($G$2+5),m_active,1,m_start,"&lt;"&amp;720,m_end,"&gt;"&amp;660),INDEX(m_label,_xlfn.MAXIFS(m_row,m_teacher,N$4,m_date,($G$2+5),m_active,1,m_start,"&lt;"&amp;720,m_end,"&gt;"&amp;660))))))</f>
        <v/>
      </c>
      <c r="O62" s="90"/>
      <c r="P62" s="79" t="s">
        <v>93</v>
      </c>
      <c r="Q62" s="88" t="str">
        <f aca="false">IF(OR(Q$4="",MONTH(($G$2+12))&lt;&gt;MONTH($C$2)),"",IF(COUNTIFS(m_teacher,Q$4,m_date,($G$2+12),m_active,1,m_start,"&lt;"&amp;720,m_end,"&gt;"&amp;660)=0,"",IF(COUNTIFS(m_teacher,Q$4,m_date,($G$2+12),m_active,1,m_start,"&lt;"&amp;720,m_end,"&gt;"&amp;660)&gt;1,"충돌",HYPERLINK("#'관리자_MASTER'!D"&amp;_xlfn.MAXIFS(m_row,m_teacher,Q$4,m_date,($G$2+12),m_active,1,m_start,"&lt;"&amp;720,m_end,"&gt;"&amp;660),INDEX(m_label,_xlfn.MAXIFS(m_row,m_teacher,Q$4,m_date,($G$2+12),m_active,1,m_start,"&lt;"&amp;720,m_end,"&gt;"&amp;660))))))</f>
        <v/>
      </c>
      <c r="R62" s="88" t="str">
        <f aca="false">IF(OR(R$4="",MONTH(($G$2+12))&lt;&gt;MONTH($C$2)),"",IF(COUNTIFS(m_teacher,R$4,m_date,($G$2+12),m_active,1,m_start,"&lt;"&amp;720,m_end,"&gt;"&amp;660)=0,"",IF(COUNTIFS(m_teacher,R$4,m_date,($G$2+12),m_active,1,m_start,"&lt;"&amp;720,m_end,"&gt;"&amp;660)&gt;1,"충돌",HYPERLINK("#'관리자_MASTER'!D"&amp;_xlfn.MAXIFS(m_row,m_teacher,R$4,m_date,($G$2+12),m_active,1,m_start,"&lt;"&amp;720,m_end,"&gt;"&amp;660),INDEX(m_label,_xlfn.MAXIFS(m_row,m_teacher,R$4,m_date,($G$2+12),m_active,1,m_start,"&lt;"&amp;720,m_end,"&gt;"&amp;660))))))</f>
        <v/>
      </c>
      <c r="S62" s="88" t="str">
        <f aca="false">IF(OR(S$4="",MONTH(($G$2+12))&lt;&gt;MONTH($C$2)),"",IF(COUNTIFS(m_teacher,S$4,m_date,($G$2+12),m_active,1,m_start,"&lt;"&amp;720,m_end,"&gt;"&amp;660)=0,"",IF(COUNTIFS(m_teacher,S$4,m_date,($G$2+12),m_active,1,m_start,"&lt;"&amp;720,m_end,"&gt;"&amp;660)&gt;1,"충돌",HYPERLINK("#'관리자_MASTER'!D"&amp;_xlfn.MAXIFS(m_row,m_teacher,S$4,m_date,($G$2+12),m_active,1,m_start,"&lt;"&amp;720,m_end,"&gt;"&amp;660),INDEX(m_label,_xlfn.MAXIFS(m_row,m_teacher,S$4,m_date,($G$2+12),m_active,1,m_start,"&lt;"&amp;720,m_end,"&gt;"&amp;660))))))</f>
        <v/>
      </c>
      <c r="T62" s="88" t="str">
        <f aca="false">IF(OR(T$4="",MONTH(($G$2+12))&lt;&gt;MONTH($C$2)),"",IF(COUNTIFS(m_teacher,T$4,m_date,($G$2+12),m_active,1,m_start,"&lt;"&amp;720,m_end,"&gt;"&amp;660)=0,"",IF(COUNTIFS(m_teacher,T$4,m_date,($G$2+12),m_active,1,m_start,"&lt;"&amp;720,m_end,"&gt;"&amp;660)&gt;1,"충돌",HYPERLINK("#'관리자_MASTER'!D"&amp;_xlfn.MAXIFS(m_row,m_teacher,T$4,m_date,($G$2+12),m_active,1,m_start,"&lt;"&amp;720,m_end,"&gt;"&amp;660),INDEX(m_label,_xlfn.MAXIFS(m_row,m_teacher,T$4,m_date,($G$2+12),m_active,1,m_start,"&lt;"&amp;720,m_end,"&gt;"&amp;660))))))</f>
        <v/>
      </c>
      <c r="U62" s="88" t="str">
        <f aca="false">IF(OR(U$4="",MONTH(($G$2+12))&lt;&gt;MONTH($C$2)),"",IF(COUNTIFS(m_teacher,U$4,m_date,($G$2+12),m_active,1,m_start,"&lt;"&amp;720,m_end,"&gt;"&amp;660)=0,"",IF(COUNTIFS(m_teacher,U$4,m_date,($G$2+12),m_active,1,m_start,"&lt;"&amp;720,m_end,"&gt;"&amp;660)&gt;1,"충돌",HYPERLINK("#'관리자_MASTER'!D"&amp;_xlfn.MAXIFS(m_row,m_teacher,U$4,m_date,($G$2+12),m_active,1,m_start,"&lt;"&amp;720,m_end,"&gt;"&amp;660),INDEX(m_label,_xlfn.MAXIFS(m_row,m_teacher,U$4,m_date,($G$2+12),m_active,1,m_start,"&lt;"&amp;720,m_end,"&gt;"&amp;660))))))</f>
        <v/>
      </c>
      <c r="V62" s="88" t="str">
        <f aca="false">IF(OR(V$4="",MONTH(($G$2+12))&lt;&gt;MONTH($C$2)),"",IF(COUNTIFS(m_teacher,V$4,m_date,($G$2+12),m_active,1,m_start,"&lt;"&amp;720,m_end,"&gt;"&amp;660)=0,"",IF(COUNTIFS(m_teacher,V$4,m_date,($G$2+12),m_active,1,m_start,"&lt;"&amp;720,m_end,"&gt;"&amp;660)&gt;1,"충돌",HYPERLINK("#'관리자_MASTER'!D"&amp;_xlfn.MAXIFS(m_row,m_teacher,V$4,m_date,($G$2+12),m_active,1,m_start,"&lt;"&amp;720,m_end,"&gt;"&amp;660),INDEX(m_label,_xlfn.MAXIFS(m_row,m_teacher,V$4,m_date,($G$2+12),m_active,1,m_start,"&lt;"&amp;720,m_end,"&gt;"&amp;660))))))</f>
        <v/>
      </c>
      <c r="W62" s="88" t="str">
        <f aca="false">IF(OR(W$4="",MONTH(($G$2+12))&lt;&gt;MONTH($C$2)),"",IF(COUNTIFS(m_teacher,W$4,m_date,($G$2+12),m_active,1,m_start,"&lt;"&amp;720,m_end,"&gt;"&amp;660)=0,"",IF(COUNTIFS(m_teacher,W$4,m_date,($G$2+12),m_active,1,m_start,"&lt;"&amp;720,m_end,"&gt;"&amp;660)&gt;1,"충돌",HYPERLINK("#'관리자_MASTER'!D"&amp;_xlfn.MAXIFS(m_row,m_teacher,W$4,m_date,($G$2+12),m_active,1,m_start,"&lt;"&amp;720,m_end,"&gt;"&amp;660),INDEX(m_label,_xlfn.MAXIFS(m_row,m_teacher,W$4,m_date,($G$2+12),m_active,1,m_start,"&lt;"&amp;720,m_end,"&gt;"&amp;660))))))</f>
        <v/>
      </c>
      <c r="X62" s="88" t="str">
        <f aca="false">IF(OR(X$4="",MONTH(($G$2+12))&lt;&gt;MONTH($C$2)),"",IF(COUNTIFS(m_teacher,X$4,m_date,($G$2+12),m_active,1,m_start,"&lt;"&amp;720,m_end,"&gt;"&amp;660)=0,"",IF(COUNTIFS(m_teacher,X$4,m_date,($G$2+12),m_active,1,m_start,"&lt;"&amp;720,m_end,"&gt;"&amp;660)&gt;1,"충돌",HYPERLINK("#'관리자_MASTER'!D"&amp;_xlfn.MAXIFS(m_row,m_teacher,X$4,m_date,($G$2+12),m_active,1,m_start,"&lt;"&amp;720,m_end,"&gt;"&amp;660),INDEX(m_label,_xlfn.MAXIFS(m_row,m_teacher,X$4,m_date,($G$2+12),m_active,1,m_start,"&lt;"&amp;720,m_end,"&gt;"&amp;660))))))</f>
        <v/>
      </c>
      <c r="Y62" s="88" t="str">
        <f aca="false">IF(OR(Y$4="",MONTH(($G$2+12))&lt;&gt;MONTH($C$2)),"",IF(COUNTIFS(m_teacher,Y$4,m_date,($G$2+12),m_active,1,m_start,"&lt;"&amp;720,m_end,"&gt;"&amp;660)=0,"",IF(COUNTIFS(m_teacher,Y$4,m_date,($G$2+12),m_active,1,m_start,"&lt;"&amp;720,m_end,"&gt;"&amp;660)&gt;1,"충돌",HYPERLINK("#'관리자_MASTER'!D"&amp;_xlfn.MAXIFS(m_row,m_teacher,Y$4,m_date,($G$2+12),m_active,1,m_start,"&lt;"&amp;720,m_end,"&gt;"&amp;660),INDEX(m_label,_xlfn.MAXIFS(m_row,m_teacher,Y$4,m_date,($G$2+12),m_active,1,m_start,"&lt;"&amp;720,m_end,"&gt;"&amp;660))))))</f>
        <v/>
      </c>
      <c r="Z62" s="88" t="str">
        <f aca="false">IF(OR(Z$4="",MONTH(($G$2+12))&lt;&gt;MONTH($C$2)),"",IF(COUNTIFS(m_teacher,Z$4,m_date,($G$2+12),m_active,1,m_start,"&lt;"&amp;720,m_end,"&gt;"&amp;660)=0,"",IF(COUNTIFS(m_teacher,Z$4,m_date,($G$2+12),m_active,1,m_start,"&lt;"&amp;720,m_end,"&gt;"&amp;660)&gt;1,"충돌",HYPERLINK("#'관리자_MASTER'!D"&amp;_xlfn.MAXIFS(m_row,m_teacher,Z$4,m_date,($G$2+12),m_active,1,m_start,"&lt;"&amp;720,m_end,"&gt;"&amp;660),INDEX(m_label,_xlfn.MAXIFS(m_row,m_teacher,Z$4,m_date,($G$2+12),m_active,1,m_start,"&lt;"&amp;720,m_end,"&gt;"&amp;660))))))</f>
        <v/>
      </c>
      <c r="AA62" s="88" t="str">
        <f aca="false">IF(OR(AA$4="",MONTH(($G$2+12))&lt;&gt;MONTH($C$2)),"",IF(COUNTIFS(m_teacher,AA$4,m_date,($G$2+12),m_active,1,m_start,"&lt;"&amp;720,m_end,"&gt;"&amp;660)=0,"",IF(COUNTIFS(m_teacher,AA$4,m_date,($G$2+12),m_active,1,m_start,"&lt;"&amp;720,m_end,"&gt;"&amp;660)&gt;1,"충돌",HYPERLINK("#'관리자_MASTER'!D"&amp;_xlfn.MAXIFS(m_row,m_teacher,AA$4,m_date,($G$2+12),m_active,1,m_start,"&lt;"&amp;720,m_end,"&gt;"&amp;660),INDEX(m_label,_xlfn.MAXIFS(m_row,m_teacher,AA$4,m_date,($G$2+12),m_active,1,m_start,"&lt;"&amp;720,m_end,"&gt;"&amp;660))))))</f>
        <v/>
      </c>
      <c r="AB62" s="88" t="str">
        <f aca="false">IF(OR(AB$4="",MONTH(($G$2+12))&lt;&gt;MONTH($C$2)),"",IF(COUNTIFS(m_teacher,AB$4,m_date,($G$2+12),m_active,1,m_start,"&lt;"&amp;720,m_end,"&gt;"&amp;660)=0,"",IF(COUNTIFS(m_teacher,AB$4,m_date,($G$2+12),m_active,1,m_start,"&lt;"&amp;720,m_end,"&gt;"&amp;660)&gt;1,"충돌",HYPERLINK("#'관리자_MASTER'!D"&amp;_xlfn.MAXIFS(m_row,m_teacher,AB$4,m_date,($G$2+12),m_active,1,m_start,"&lt;"&amp;720,m_end,"&gt;"&amp;660),INDEX(m_label,_xlfn.MAXIFS(m_row,m_teacher,AB$4,m_date,($G$2+12),m_active,1,m_start,"&lt;"&amp;720,m_end,"&gt;"&amp;660))))))</f>
        <v/>
      </c>
      <c r="AC62" s="90"/>
      <c r="AD62" s="79" t="s">
        <v>93</v>
      </c>
      <c r="AE62" s="88" t="str">
        <f aca="false">IF(OR(AE$4="",MONTH(($G$2+19))&lt;&gt;MONTH($C$2)),"",IF(COUNTIFS(m_teacher,AE$4,m_date,($G$2+19),m_active,1,m_start,"&lt;"&amp;720,m_end,"&gt;"&amp;660)=0,"",IF(COUNTIFS(m_teacher,AE$4,m_date,($G$2+19),m_active,1,m_start,"&lt;"&amp;720,m_end,"&gt;"&amp;660)&gt;1,"충돌",HYPERLINK("#'관리자_MASTER'!D"&amp;_xlfn.MAXIFS(m_row,m_teacher,AE$4,m_date,($G$2+19),m_active,1,m_start,"&lt;"&amp;720,m_end,"&gt;"&amp;660),INDEX(m_label,_xlfn.MAXIFS(m_row,m_teacher,AE$4,m_date,($G$2+19),m_active,1,m_start,"&lt;"&amp;720,m_end,"&gt;"&amp;660))))))</f>
        <v/>
      </c>
      <c r="AF62" s="88" t="str">
        <f aca="false">IF(OR(AF$4="",MONTH(($G$2+19))&lt;&gt;MONTH($C$2)),"",IF(COUNTIFS(m_teacher,AF$4,m_date,($G$2+19),m_active,1,m_start,"&lt;"&amp;720,m_end,"&gt;"&amp;660)=0,"",IF(COUNTIFS(m_teacher,AF$4,m_date,($G$2+19),m_active,1,m_start,"&lt;"&amp;720,m_end,"&gt;"&amp;660)&gt;1,"충돌",HYPERLINK("#'관리자_MASTER'!D"&amp;_xlfn.MAXIFS(m_row,m_teacher,AF$4,m_date,($G$2+19),m_active,1,m_start,"&lt;"&amp;720,m_end,"&gt;"&amp;660),INDEX(m_label,_xlfn.MAXIFS(m_row,m_teacher,AF$4,m_date,($G$2+19),m_active,1,m_start,"&lt;"&amp;720,m_end,"&gt;"&amp;660))))))</f>
        <v/>
      </c>
      <c r="AG62" s="88" t="str">
        <f aca="false">IF(OR(AG$4="",MONTH(($G$2+19))&lt;&gt;MONTH($C$2)),"",IF(COUNTIFS(m_teacher,AG$4,m_date,($G$2+19),m_active,1,m_start,"&lt;"&amp;720,m_end,"&gt;"&amp;660)=0,"",IF(COUNTIFS(m_teacher,AG$4,m_date,($G$2+19),m_active,1,m_start,"&lt;"&amp;720,m_end,"&gt;"&amp;660)&gt;1,"충돌",HYPERLINK("#'관리자_MASTER'!D"&amp;_xlfn.MAXIFS(m_row,m_teacher,AG$4,m_date,($G$2+19),m_active,1,m_start,"&lt;"&amp;720,m_end,"&gt;"&amp;660),INDEX(m_label,_xlfn.MAXIFS(m_row,m_teacher,AG$4,m_date,($G$2+19),m_active,1,m_start,"&lt;"&amp;720,m_end,"&gt;"&amp;660))))))</f>
        <v/>
      </c>
      <c r="AH62" s="88" t="str">
        <f aca="false">IF(OR(AH$4="",MONTH(($G$2+19))&lt;&gt;MONTH($C$2)),"",IF(COUNTIFS(m_teacher,AH$4,m_date,($G$2+19),m_active,1,m_start,"&lt;"&amp;720,m_end,"&gt;"&amp;660)=0,"",IF(COUNTIFS(m_teacher,AH$4,m_date,($G$2+19),m_active,1,m_start,"&lt;"&amp;720,m_end,"&gt;"&amp;660)&gt;1,"충돌",HYPERLINK("#'관리자_MASTER'!D"&amp;_xlfn.MAXIFS(m_row,m_teacher,AH$4,m_date,($G$2+19),m_active,1,m_start,"&lt;"&amp;720,m_end,"&gt;"&amp;660),INDEX(m_label,_xlfn.MAXIFS(m_row,m_teacher,AH$4,m_date,($G$2+19),m_active,1,m_start,"&lt;"&amp;720,m_end,"&gt;"&amp;660))))))</f>
        <v/>
      </c>
      <c r="AI62" s="88" t="str">
        <f aca="false">IF(OR(AI$4="",MONTH(($G$2+19))&lt;&gt;MONTH($C$2)),"",IF(COUNTIFS(m_teacher,AI$4,m_date,($G$2+19),m_active,1,m_start,"&lt;"&amp;720,m_end,"&gt;"&amp;660)=0,"",IF(COUNTIFS(m_teacher,AI$4,m_date,($G$2+19),m_active,1,m_start,"&lt;"&amp;720,m_end,"&gt;"&amp;660)&gt;1,"충돌",HYPERLINK("#'관리자_MASTER'!D"&amp;_xlfn.MAXIFS(m_row,m_teacher,AI$4,m_date,($G$2+19),m_active,1,m_start,"&lt;"&amp;720,m_end,"&gt;"&amp;660),INDEX(m_label,_xlfn.MAXIFS(m_row,m_teacher,AI$4,m_date,($G$2+19),m_active,1,m_start,"&lt;"&amp;720,m_end,"&gt;"&amp;660))))))</f>
        <v/>
      </c>
      <c r="AJ62" s="88" t="str">
        <f aca="false">IF(OR(AJ$4="",MONTH(($G$2+19))&lt;&gt;MONTH($C$2)),"",IF(COUNTIFS(m_teacher,AJ$4,m_date,($G$2+19),m_active,1,m_start,"&lt;"&amp;720,m_end,"&gt;"&amp;660)=0,"",IF(COUNTIFS(m_teacher,AJ$4,m_date,($G$2+19),m_active,1,m_start,"&lt;"&amp;720,m_end,"&gt;"&amp;660)&gt;1,"충돌",HYPERLINK("#'관리자_MASTER'!D"&amp;_xlfn.MAXIFS(m_row,m_teacher,AJ$4,m_date,($G$2+19),m_active,1,m_start,"&lt;"&amp;720,m_end,"&gt;"&amp;660),INDEX(m_label,_xlfn.MAXIFS(m_row,m_teacher,AJ$4,m_date,($G$2+19),m_active,1,m_start,"&lt;"&amp;720,m_end,"&gt;"&amp;660))))))</f>
        <v/>
      </c>
      <c r="AK62" s="88" t="str">
        <f aca="false">IF(OR(AK$4="",MONTH(($G$2+19))&lt;&gt;MONTH($C$2)),"",IF(COUNTIFS(m_teacher,AK$4,m_date,($G$2+19),m_active,1,m_start,"&lt;"&amp;720,m_end,"&gt;"&amp;660)=0,"",IF(COUNTIFS(m_teacher,AK$4,m_date,($G$2+19),m_active,1,m_start,"&lt;"&amp;720,m_end,"&gt;"&amp;660)&gt;1,"충돌",HYPERLINK("#'관리자_MASTER'!D"&amp;_xlfn.MAXIFS(m_row,m_teacher,AK$4,m_date,($G$2+19),m_active,1,m_start,"&lt;"&amp;720,m_end,"&gt;"&amp;660),INDEX(m_label,_xlfn.MAXIFS(m_row,m_teacher,AK$4,m_date,($G$2+19),m_active,1,m_start,"&lt;"&amp;720,m_end,"&gt;"&amp;660))))))</f>
        <v/>
      </c>
      <c r="AL62" s="88" t="str">
        <f aca="false">IF(OR(AL$4="",MONTH(($G$2+19))&lt;&gt;MONTH($C$2)),"",IF(COUNTIFS(m_teacher,AL$4,m_date,($G$2+19),m_active,1,m_start,"&lt;"&amp;720,m_end,"&gt;"&amp;660)=0,"",IF(COUNTIFS(m_teacher,AL$4,m_date,($G$2+19),m_active,1,m_start,"&lt;"&amp;720,m_end,"&gt;"&amp;660)&gt;1,"충돌",HYPERLINK("#'관리자_MASTER'!D"&amp;_xlfn.MAXIFS(m_row,m_teacher,AL$4,m_date,($G$2+19),m_active,1,m_start,"&lt;"&amp;720,m_end,"&gt;"&amp;660),INDEX(m_label,_xlfn.MAXIFS(m_row,m_teacher,AL$4,m_date,($G$2+19),m_active,1,m_start,"&lt;"&amp;720,m_end,"&gt;"&amp;660))))))</f>
        <v/>
      </c>
      <c r="AM62" s="88" t="str">
        <f aca="false">IF(OR(AM$4="",MONTH(($G$2+19))&lt;&gt;MONTH($C$2)),"",IF(COUNTIFS(m_teacher,AM$4,m_date,($G$2+19),m_active,1,m_start,"&lt;"&amp;720,m_end,"&gt;"&amp;660)=0,"",IF(COUNTIFS(m_teacher,AM$4,m_date,($G$2+19),m_active,1,m_start,"&lt;"&amp;720,m_end,"&gt;"&amp;660)&gt;1,"충돌",HYPERLINK("#'관리자_MASTER'!D"&amp;_xlfn.MAXIFS(m_row,m_teacher,AM$4,m_date,($G$2+19),m_active,1,m_start,"&lt;"&amp;720,m_end,"&gt;"&amp;660),INDEX(m_label,_xlfn.MAXIFS(m_row,m_teacher,AM$4,m_date,($G$2+19),m_active,1,m_start,"&lt;"&amp;720,m_end,"&gt;"&amp;660))))))</f>
        <v/>
      </c>
      <c r="AN62" s="88" t="str">
        <f aca="false">IF(OR(AN$4="",MONTH(($G$2+19))&lt;&gt;MONTH($C$2)),"",IF(COUNTIFS(m_teacher,AN$4,m_date,($G$2+19),m_active,1,m_start,"&lt;"&amp;720,m_end,"&gt;"&amp;660)=0,"",IF(COUNTIFS(m_teacher,AN$4,m_date,($G$2+19),m_active,1,m_start,"&lt;"&amp;720,m_end,"&gt;"&amp;660)&gt;1,"충돌",HYPERLINK("#'관리자_MASTER'!D"&amp;_xlfn.MAXIFS(m_row,m_teacher,AN$4,m_date,($G$2+19),m_active,1,m_start,"&lt;"&amp;720,m_end,"&gt;"&amp;660),INDEX(m_label,_xlfn.MAXIFS(m_row,m_teacher,AN$4,m_date,($G$2+19),m_active,1,m_start,"&lt;"&amp;720,m_end,"&gt;"&amp;660))))))</f>
        <v/>
      </c>
      <c r="AO62" s="88" t="str">
        <f aca="false">IF(OR(AO$4="",MONTH(($G$2+19))&lt;&gt;MONTH($C$2)),"",IF(COUNTIFS(m_teacher,AO$4,m_date,($G$2+19),m_active,1,m_start,"&lt;"&amp;720,m_end,"&gt;"&amp;660)=0,"",IF(COUNTIFS(m_teacher,AO$4,m_date,($G$2+19),m_active,1,m_start,"&lt;"&amp;720,m_end,"&gt;"&amp;660)&gt;1,"충돌",HYPERLINK("#'관리자_MASTER'!D"&amp;_xlfn.MAXIFS(m_row,m_teacher,AO$4,m_date,($G$2+19),m_active,1,m_start,"&lt;"&amp;720,m_end,"&gt;"&amp;660),INDEX(m_label,_xlfn.MAXIFS(m_row,m_teacher,AO$4,m_date,($G$2+19),m_active,1,m_start,"&lt;"&amp;720,m_end,"&gt;"&amp;660))))))</f>
        <v/>
      </c>
      <c r="AP62" s="88" t="str">
        <f aca="false">IF(OR(AP$4="",MONTH(($G$2+19))&lt;&gt;MONTH($C$2)),"",IF(COUNTIFS(m_teacher,AP$4,m_date,($G$2+19),m_active,1,m_start,"&lt;"&amp;720,m_end,"&gt;"&amp;660)=0,"",IF(COUNTIFS(m_teacher,AP$4,m_date,($G$2+19),m_active,1,m_start,"&lt;"&amp;720,m_end,"&gt;"&amp;660)&gt;1,"충돌",HYPERLINK("#'관리자_MASTER'!D"&amp;_xlfn.MAXIFS(m_row,m_teacher,AP$4,m_date,($G$2+19),m_active,1,m_start,"&lt;"&amp;720,m_end,"&gt;"&amp;660),INDEX(m_label,_xlfn.MAXIFS(m_row,m_teacher,AP$4,m_date,($G$2+19),m_active,1,m_start,"&lt;"&amp;720,m_end,"&gt;"&amp;660))))))</f>
        <v/>
      </c>
      <c r="AQ62" s="90"/>
      <c r="AR62" s="79" t="s">
        <v>93</v>
      </c>
      <c r="AS62" s="88" t="str">
        <f aca="false">IF(OR(AS$4="",MONTH(($G$2+26))&lt;&gt;MONTH($C$2)),"",IF(COUNTIFS(m_teacher,AS$4,m_date,($G$2+26),m_active,1,m_start,"&lt;"&amp;720,m_end,"&gt;"&amp;660)=0,"",IF(COUNTIFS(m_teacher,AS$4,m_date,($G$2+26),m_active,1,m_start,"&lt;"&amp;720,m_end,"&gt;"&amp;660)&gt;1,"충돌",HYPERLINK("#'관리자_MASTER'!D"&amp;_xlfn.MAXIFS(m_row,m_teacher,AS$4,m_date,($G$2+26),m_active,1,m_start,"&lt;"&amp;720,m_end,"&gt;"&amp;660),INDEX(m_label,_xlfn.MAXIFS(m_row,m_teacher,AS$4,m_date,($G$2+26),m_active,1,m_start,"&lt;"&amp;720,m_end,"&gt;"&amp;660))))))</f>
        <v/>
      </c>
      <c r="AT62" s="88" t="str">
        <f aca="false">IF(OR(AT$4="",MONTH(($G$2+26))&lt;&gt;MONTH($C$2)),"",IF(COUNTIFS(m_teacher,AT$4,m_date,($G$2+26),m_active,1,m_start,"&lt;"&amp;720,m_end,"&gt;"&amp;660)=0,"",IF(COUNTIFS(m_teacher,AT$4,m_date,($G$2+26),m_active,1,m_start,"&lt;"&amp;720,m_end,"&gt;"&amp;660)&gt;1,"충돌",HYPERLINK("#'관리자_MASTER'!D"&amp;_xlfn.MAXIFS(m_row,m_teacher,AT$4,m_date,($G$2+26),m_active,1,m_start,"&lt;"&amp;720,m_end,"&gt;"&amp;660),INDEX(m_label,_xlfn.MAXIFS(m_row,m_teacher,AT$4,m_date,($G$2+26),m_active,1,m_start,"&lt;"&amp;720,m_end,"&gt;"&amp;660))))))</f>
        <v/>
      </c>
      <c r="AU62" s="88" t="str">
        <f aca="false">IF(OR(AU$4="",MONTH(($G$2+26))&lt;&gt;MONTH($C$2)),"",IF(COUNTIFS(m_teacher,AU$4,m_date,($G$2+26),m_active,1,m_start,"&lt;"&amp;720,m_end,"&gt;"&amp;660)=0,"",IF(COUNTIFS(m_teacher,AU$4,m_date,($G$2+26),m_active,1,m_start,"&lt;"&amp;720,m_end,"&gt;"&amp;660)&gt;1,"충돌",HYPERLINK("#'관리자_MASTER'!D"&amp;_xlfn.MAXIFS(m_row,m_teacher,AU$4,m_date,($G$2+26),m_active,1,m_start,"&lt;"&amp;720,m_end,"&gt;"&amp;660),INDEX(m_label,_xlfn.MAXIFS(m_row,m_teacher,AU$4,m_date,($G$2+26),m_active,1,m_start,"&lt;"&amp;720,m_end,"&gt;"&amp;660))))))</f>
        <v/>
      </c>
      <c r="AV62" s="88" t="str">
        <f aca="false">IF(OR(AV$4="",MONTH(($G$2+26))&lt;&gt;MONTH($C$2)),"",IF(COUNTIFS(m_teacher,AV$4,m_date,($G$2+26),m_active,1,m_start,"&lt;"&amp;720,m_end,"&gt;"&amp;660)=0,"",IF(COUNTIFS(m_teacher,AV$4,m_date,($G$2+26),m_active,1,m_start,"&lt;"&amp;720,m_end,"&gt;"&amp;660)&gt;1,"충돌",HYPERLINK("#'관리자_MASTER'!D"&amp;_xlfn.MAXIFS(m_row,m_teacher,AV$4,m_date,($G$2+26),m_active,1,m_start,"&lt;"&amp;720,m_end,"&gt;"&amp;660),INDEX(m_label,_xlfn.MAXIFS(m_row,m_teacher,AV$4,m_date,($G$2+26),m_active,1,m_start,"&lt;"&amp;720,m_end,"&gt;"&amp;660))))))</f>
        <v/>
      </c>
      <c r="AW62" s="88" t="str">
        <f aca="false">IF(OR(AW$4="",MONTH(($G$2+26))&lt;&gt;MONTH($C$2)),"",IF(COUNTIFS(m_teacher,AW$4,m_date,($G$2+26),m_active,1,m_start,"&lt;"&amp;720,m_end,"&gt;"&amp;660)=0,"",IF(COUNTIFS(m_teacher,AW$4,m_date,($G$2+26),m_active,1,m_start,"&lt;"&amp;720,m_end,"&gt;"&amp;660)&gt;1,"충돌",HYPERLINK("#'관리자_MASTER'!D"&amp;_xlfn.MAXIFS(m_row,m_teacher,AW$4,m_date,($G$2+26),m_active,1,m_start,"&lt;"&amp;720,m_end,"&gt;"&amp;660),INDEX(m_label,_xlfn.MAXIFS(m_row,m_teacher,AW$4,m_date,($G$2+26),m_active,1,m_start,"&lt;"&amp;720,m_end,"&gt;"&amp;660))))))</f>
        <v/>
      </c>
      <c r="AX62" s="88" t="str">
        <f aca="false">IF(OR(AX$4="",MONTH(($G$2+26))&lt;&gt;MONTH($C$2)),"",IF(COUNTIFS(m_teacher,AX$4,m_date,($G$2+26),m_active,1,m_start,"&lt;"&amp;720,m_end,"&gt;"&amp;660)=0,"",IF(COUNTIFS(m_teacher,AX$4,m_date,($G$2+26),m_active,1,m_start,"&lt;"&amp;720,m_end,"&gt;"&amp;660)&gt;1,"충돌",HYPERLINK("#'관리자_MASTER'!D"&amp;_xlfn.MAXIFS(m_row,m_teacher,AX$4,m_date,($G$2+26),m_active,1,m_start,"&lt;"&amp;720,m_end,"&gt;"&amp;660),INDEX(m_label,_xlfn.MAXIFS(m_row,m_teacher,AX$4,m_date,($G$2+26),m_active,1,m_start,"&lt;"&amp;720,m_end,"&gt;"&amp;660))))))</f>
        <v/>
      </c>
      <c r="AY62" s="88" t="str">
        <f aca="false">IF(OR(AY$4="",MONTH(($G$2+26))&lt;&gt;MONTH($C$2)),"",IF(COUNTIFS(m_teacher,AY$4,m_date,($G$2+26),m_active,1,m_start,"&lt;"&amp;720,m_end,"&gt;"&amp;660)=0,"",IF(COUNTIFS(m_teacher,AY$4,m_date,($G$2+26),m_active,1,m_start,"&lt;"&amp;720,m_end,"&gt;"&amp;660)&gt;1,"충돌",HYPERLINK("#'관리자_MASTER'!D"&amp;_xlfn.MAXIFS(m_row,m_teacher,AY$4,m_date,($G$2+26),m_active,1,m_start,"&lt;"&amp;720,m_end,"&gt;"&amp;660),INDEX(m_label,_xlfn.MAXIFS(m_row,m_teacher,AY$4,m_date,($G$2+26),m_active,1,m_start,"&lt;"&amp;720,m_end,"&gt;"&amp;660))))))</f>
        <v/>
      </c>
      <c r="AZ62" s="88" t="str">
        <f aca="false">IF(OR(AZ$4="",MONTH(($G$2+26))&lt;&gt;MONTH($C$2)),"",IF(COUNTIFS(m_teacher,AZ$4,m_date,($G$2+26),m_active,1,m_start,"&lt;"&amp;720,m_end,"&gt;"&amp;660)=0,"",IF(COUNTIFS(m_teacher,AZ$4,m_date,($G$2+26),m_active,1,m_start,"&lt;"&amp;720,m_end,"&gt;"&amp;660)&gt;1,"충돌",HYPERLINK("#'관리자_MASTER'!D"&amp;_xlfn.MAXIFS(m_row,m_teacher,AZ$4,m_date,($G$2+26),m_active,1,m_start,"&lt;"&amp;720,m_end,"&gt;"&amp;660),INDEX(m_label,_xlfn.MAXIFS(m_row,m_teacher,AZ$4,m_date,($G$2+26),m_active,1,m_start,"&lt;"&amp;720,m_end,"&gt;"&amp;660))))))</f>
        <v/>
      </c>
      <c r="BA62" s="88" t="str">
        <f aca="false">IF(OR(BA$4="",MONTH(($G$2+26))&lt;&gt;MONTH($C$2)),"",IF(COUNTIFS(m_teacher,BA$4,m_date,($G$2+26),m_active,1,m_start,"&lt;"&amp;720,m_end,"&gt;"&amp;660)=0,"",IF(COUNTIFS(m_teacher,BA$4,m_date,($G$2+26),m_active,1,m_start,"&lt;"&amp;720,m_end,"&gt;"&amp;660)&gt;1,"충돌",HYPERLINK("#'관리자_MASTER'!D"&amp;_xlfn.MAXIFS(m_row,m_teacher,BA$4,m_date,($G$2+26),m_active,1,m_start,"&lt;"&amp;720,m_end,"&gt;"&amp;660),INDEX(m_label,_xlfn.MAXIFS(m_row,m_teacher,BA$4,m_date,($G$2+26),m_active,1,m_start,"&lt;"&amp;720,m_end,"&gt;"&amp;660))))))</f>
        <v/>
      </c>
      <c r="BB62" s="88" t="str">
        <f aca="false">IF(OR(BB$4="",MONTH(($G$2+26))&lt;&gt;MONTH($C$2)),"",IF(COUNTIFS(m_teacher,BB$4,m_date,($G$2+26),m_active,1,m_start,"&lt;"&amp;720,m_end,"&gt;"&amp;660)=0,"",IF(COUNTIFS(m_teacher,BB$4,m_date,($G$2+26),m_active,1,m_start,"&lt;"&amp;720,m_end,"&gt;"&amp;660)&gt;1,"충돌",HYPERLINK("#'관리자_MASTER'!D"&amp;_xlfn.MAXIFS(m_row,m_teacher,BB$4,m_date,($G$2+26),m_active,1,m_start,"&lt;"&amp;720,m_end,"&gt;"&amp;660),INDEX(m_label,_xlfn.MAXIFS(m_row,m_teacher,BB$4,m_date,($G$2+26),m_active,1,m_start,"&lt;"&amp;720,m_end,"&gt;"&amp;660))))))</f>
        <v/>
      </c>
      <c r="BC62" s="88" t="str">
        <f aca="false">IF(OR(BC$4="",MONTH(($G$2+26))&lt;&gt;MONTH($C$2)),"",IF(COUNTIFS(m_teacher,BC$4,m_date,($G$2+26),m_active,1,m_start,"&lt;"&amp;720,m_end,"&gt;"&amp;660)=0,"",IF(COUNTIFS(m_teacher,BC$4,m_date,($G$2+26),m_active,1,m_start,"&lt;"&amp;720,m_end,"&gt;"&amp;660)&gt;1,"충돌",HYPERLINK("#'관리자_MASTER'!D"&amp;_xlfn.MAXIFS(m_row,m_teacher,BC$4,m_date,($G$2+26),m_active,1,m_start,"&lt;"&amp;720,m_end,"&gt;"&amp;660),INDEX(m_label,_xlfn.MAXIFS(m_row,m_teacher,BC$4,m_date,($G$2+26),m_active,1,m_start,"&lt;"&amp;720,m_end,"&gt;"&amp;660))))))</f>
        <v/>
      </c>
      <c r="BD62" s="88" t="str">
        <f aca="false">IF(OR(BD$4="",MONTH(($G$2+26))&lt;&gt;MONTH($C$2)),"",IF(COUNTIFS(m_teacher,BD$4,m_date,($G$2+26),m_active,1,m_start,"&lt;"&amp;720,m_end,"&gt;"&amp;660)=0,"",IF(COUNTIFS(m_teacher,BD$4,m_date,($G$2+26),m_active,1,m_start,"&lt;"&amp;720,m_end,"&gt;"&amp;660)&gt;1,"충돌",HYPERLINK("#'관리자_MASTER'!D"&amp;_xlfn.MAXIFS(m_row,m_teacher,BD$4,m_date,($G$2+26),m_active,1,m_start,"&lt;"&amp;720,m_end,"&gt;"&amp;660),INDEX(m_label,_xlfn.MAXIFS(m_row,m_teacher,BD$4,m_date,($G$2+26),m_active,1,m_start,"&lt;"&amp;720,m_end,"&gt;"&amp;660))))))</f>
        <v/>
      </c>
      <c r="BE62" s="90"/>
      <c r="BF62" s="79" t="s">
        <v>93</v>
      </c>
      <c r="BG62" s="88" t="str">
        <f aca="false">IF(OR(BG$4="",MONTH(($G$2+33))&lt;&gt;MONTH($C$2)),"",IF(COUNTIFS(m_teacher,BG$4,m_date,($G$2+33),m_active,1,m_start,"&lt;"&amp;720,m_end,"&gt;"&amp;660)=0,"",IF(COUNTIFS(m_teacher,BG$4,m_date,($G$2+33),m_active,1,m_start,"&lt;"&amp;720,m_end,"&gt;"&amp;660)&gt;1,"충돌",HYPERLINK("#'관리자_MASTER'!D"&amp;_xlfn.MAXIFS(m_row,m_teacher,BG$4,m_date,($G$2+33),m_active,1,m_start,"&lt;"&amp;720,m_end,"&gt;"&amp;660),INDEX(m_label,_xlfn.MAXIFS(m_row,m_teacher,BG$4,m_date,($G$2+33),m_active,1,m_start,"&lt;"&amp;720,m_end,"&gt;"&amp;660))))))</f>
        <v/>
      </c>
      <c r="BH62" s="88" t="str">
        <f aca="false">IF(OR(BH$4="",MONTH(($G$2+33))&lt;&gt;MONTH($C$2)),"",IF(COUNTIFS(m_teacher,BH$4,m_date,($G$2+33),m_active,1,m_start,"&lt;"&amp;720,m_end,"&gt;"&amp;660)=0,"",IF(COUNTIFS(m_teacher,BH$4,m_date,($G$2+33),m_active,1,m_start,"&lt;"&amp;720,m_end,"&gt;"&amp;660)&gt;1,"충돌",HYPERLINK("#'관리자_MASTER'!D"&amp;_xlfn.MAXIFS(m_row,m_teacher,BH$4,m_date,($G$2+33),m_active,1,m_start,"&lt;"&amp;720,m_end,"&gt;"&amp;660),INDEX(m_label,_xlfn.MAXIFS(m_row,m_teacher,BH$4,m_date,($G$2+33),m_active,1,m_start,"&lt;"&amp;720,m_end,"&gt;"&amp;660))))))</f>
        <v/>
      </c>
      <c r="BI62" s="88" t="str">
        <f aca="false">IF(OR(BI$4="",MONTH(($G$2+33))&lt;&gt;MONTH($C$2)),"",IF(COUNTIFS(m_teacher,BI$4,m_date,($G$2+33),m_active,1,m_start,"&lt;"&amp;720,m_end,"&gt;"&amp;660)=0,"",IF(COUNTIFS(m_teacher,BI$4,m_date,($G$2+33),m_active,1,m_start,"&lt;"&amp;720,m_end,"&gt;"&amp;660)&gt;1,"충돌",HYPERLINK("#'관리자_MASTER'!D"&amp;_xlfn.MAXIFS(m_row,m_teacher,BI$4,m_date,($G$2+33),m_active,1,m_start,"&lt;"&amp;720,m_end,"&gt;"&amp;660),INDEX(m_label,_xlfn.MAXIFS(m_row,m_teacher,BI$4,m_date,($G$2+33),m_active,1,m_start,"&lt;"&amp;720,m_end,"&gt;"&amp;660))))))</f>
        <v/>
      </c>
      <c r="BJ62" s="88" t="str">
        <f aca="false">IF(OR(BJ$4="",MONTH(($G$2+33))&lt;&gt;MONTH($C$2)),"",IF(COUNTIFS(m_teacher,BJ$4,m_date,($G$2+33),m_active,1,m_start,"&lt;"&amp;720,m_end,"&gt;"&amp;660)=0,"",IF(COUNTIFS(m_teacher,BJ$4,m_date,($G$2+33),m_active,1,m_start,"&lt;"&amp;720,m_end,"&gt;"&amp;660)&gt;1,"충돌",HYPERLINK("#'관리자_MASTER'!D"&amp;_xlfn.MAXIFS(m_row,m_teacher,BJ$4,m_date,($G$2+33),m_active,1,m_start,"&lt;"&amp;720,m_end,"&gt;"&amp;660),INDEX(m_label,_xlfn.MAXIFS(m_row,m_teacher,BJ$4,m_date,($G$2+33),m_active,1,m_start,"&lt;"&amp;720,m_end,"&gt;"&amp;660))))))</f>
        <v/>
      </c>
      <c r="BK62" s="88" t="str">
        <f aca="false">IF(OR(BK$4="",MONTH(($G$2+33))&lt;&gt;MONTH($C$2)),"",IF(COUNTIFS(m_teacher,BK$4,m_date,($G$2+33),m_active,1,m_start,"&lt;"&amp;720,m_end,"&gt;"&amp;660)=0,"",IF(COUNTIFS(m_teacher,BK$4,m_date,($G$2+33),m_active,1,m_start,"&lt;"&amp;720,m_end,"&gt;"&amp;660)&gt;1,"충돌",HYPERLINK("#'관리자_MASTER'!D"&amp;_xlfn.MAXIFS(m_row,m_teacher,BK$4,m_date,($G$2+33),m_active,1,m_start,"&lt;"&amp;720,m_end,"&gt;"&amp;660),INDEX(m_label,_xlfn.MAXIFS(m_row,m_teacher,BK$4,m_date,($G$2+33),m_active,1,m_start,"&lt;"&amp;720,m_end,"&gt;"&amp;660))))))</f>
        <v/>
      </c>
      <c r="BL62" s="88" t="str">
        <f aca="false">IF(OR(BL$4="",MONTH(($G$2+33))&lt;&gt;MONTH($C$2)),"",IF(COUNTIFS(m_teacher,BL$4,m_date,($G$2+33),m_active,1,m_start,"&lt;"&amp;720,m_end,"&gt;"&amp;660)=0,"",IF(COUNTIFS(m_teacher,BL$4,m_date,($G$2+33),m_active,1,m_start,"&lt;"&amp;720,m_end,"&gt;"&amp;660)&gt;1,"충돌",HYPERLINK("#'관리자_MASTER'!D"&amp;_xlfn.MAXIFS(m_row,m_teacher,BL$4,m_date,($G$2+33),m_active,1,m_start,"&lt;"&amp;720,m_end,"&gt;"&amp;660),INDEX(m_label,_xlfn.MAXIFS(m_row,m_teacher,BL$4,m_date,($G$2+33),m_active,1,m_start,"&lt;"&amp;720,m_end,"&gt;"&amp;660))))))</f>
        <v/>
      </c>
      <c r="BM62" s="88" t="str">
        <f aca="false">IF(OR(BM$4="",MONTH(($G$2+33))&lt;&gt;MONTH($C$2)),"",IF(COUNTIFS(m_teacher,BM$4,m_date,($G$2+33),m_active,1,m_start,"&lt;"&amp;720,m_end,"&gt;"&amp;660)=0,"",IF(COUNTIFS(m_teacher,BM$4,m_date,($G$2+33),m_active,1,m_start,"&lt;"&amp;720,m_end,"&gt;"&amp;660)&gt;1,"충돌",HYPERLINK("#'관리자_MASTER'!D"&amp;_xlfn.MAXIFS(m_row,m_teacher,BM$4,m_date,($G$2+33),m_active,1,m_start,"&lt;"&amp;720,m_end,"&gt;"&amp;660),INDEX(m_label,_xlfn.MAXIFS(m_row,m_teacher,BM$4,m_date,($G$2+33),m_active,1,m_start,"&lt;"&amp;720,m_end,"&gt;"&amp;660))))))</f>
        <v/>
      </c>
      <c r="BN62" s="88" t="str">
        <f aca="false">IF(OR(BN$4="",MONTH(($G$2+33))&lt;&gt;MONTH($C$2)),"",IF(COUNTIFS(m_teacher,BN$4,m_date,($G$2+33),m_active,1,m_start,"&lt;"&amp;720,m_end,"&gt;"&amp;660)=0,"",IF(COUNTIFS(m_teacher,BN$4,m_date,($G$2+33),m_active,1,m_start,"&lt;"&amp;720,m_end,"&gt;"&amp;660)&gt;1,"충돌",HYPERLINK("#'관리자_MASTER'!D"&amp;_xlfn.MAXIFS(m_row,m_teacher,BN$4,m_date,($G$2+33),m_active,1,m_start,"&lt;"&amp;720,m_end,"&gt;"&amp;660),INDEX(m_label,_xlfn.MAXIFS(m_row,m_teacher,BN$4,m_date,($G$2+33),m_active,1,m_start,"&lt;"&amp;720,m_end,"&gt;"&amp;660))))))</f>
        <v/>
      </c>
      <c r="BO62" s="88" t="str">
        <f aca="false">IF(OR(BO$4="",MONTH(($G$2+33))&lt;&gt;MONTH($C$2)),"",IF(COUNTIFS(m_teacher,BO$4,m_date,($G$2+33),m_active,1,m_start,"&lt;"&amp;720,m_end,"&gt;"&amp;660)=0,"",IF(COUNTIFS(m_teacher,BO$4,m_date,($G$2+33),m_active,1,m_start,"&lt;"&amp;720,m_end,"&gt;"&amp;660)&gt;1,"충돌",HYPERLINK("#'관리자_MASTER'!D"&amp;_xlfn.MAXIFS(m_row,m_teacher,BO$4,m_date,($G$2+33),m_active,1,m_start,"&lt;"&amp;720,m_end,"&gt;"&amp;660),INDEX(m_label,_xlfn.MAXIFS(m_row,m_teacher,BO$4,m_date,($G$2+33),m_active,1,m_start,"&lt;"&amp;720,m_end,"&gt;"&amp;660))))))</f>
        <v/>
      </c>
      <c r="BP62" s="88" t="str">
        <f aca="false">IF(OR(BP$4="",MONTH(($G$2+33))&lt;&gt;MONTH($C$2)),"",IF(COUNTIFS(m_teacher,BP$4,m_date,($G$2+33),m_active,1,m_start,"&lt;"&amp;720,m_end,"&gt;"&amp;660)=0,"",IF(COUNTIFS(m_teacher,BP$4,m_date,($G$2+33),m_active,1,m_start,"&lt;"&amp;720,m_end,"&gt;"&amp;660)&gt;1,"충돌",HYPERLINK("#'관리자_MASTER'!D"&amp;_xlfn.MAXIFS(m_row,m_teacher,BP$4,m_date,($G$2+33),m_active,1,m_start,"&lt;"&amp;720,m_end,"&gt;"&amp;660),INDEX(m_label,_xlfn.MAXIFS(m_row,m_teacher,BP$4,m_date,($G$2+33),m_active,1,m_start,"&lt;"&amp;720,m_end,"&gt;"&amp;660))))))</f>
        <v/>
      </c>
      <c r="BQ62" s="88" t="str">
        <f aca="false">IF(OR(BQ$4="",MONTH(($G$2+33))&lt;&gt;MONTH($C$2)),"",IF(COUNTIFS(m_teacher,BQ$4,m_date,($G$2+33),m_active,1,m_start,"&lt;"&amp;720,m_end,"&gt;"&amp;660)=0,"",IF(COUNTIFS(m_teacher,BQ$4,m_date,($G$2+33),m_active,1,m_start,"&lt;"&amp;720,m_end,"&gt;"&amp;660)&gt;1,"충돌",HYPERLINK("#'관리자_MASTER'!D"&amp;_xlfn.MAXIFS(m_row,m_teacher,BQ$4,m_date,($G$2+33),m_active,1,m_start,"&lt;"&amp;720,m_end,"&gt;"&amp;660),INDEX(m_label,_xlfn.MAXIFS(m_row,m_teacher,BQ$4,m_date,($G$2+33),m_active,1,m_start,"&lt;"&amp;720,m_end,"&gt;"&amp;660))))))</f>
        <v/>
      </c>
      <c r="BR62" s="88" t="str">
        <f aca="false">IF(OR(BR$4="",MONTH(($G$2+33))&lt;&gt;MONTH($C$2)),"",IF(COUNTIFS(m_teacher,BR$4,m_date,($G$2+33),m_active,1,m_start,"&lt;"&amp;720,m_end,"&gt;"&amp;660)=0,"",IF(COUNTIFS(m_teacher,BR$4,m_date,($G$2+33),m_active,1,m_start,"&lt;"&amp;720,m_end,"&gt;"&amp;660)&gt;1,"충돌",HYPERLINK("#'관리자_MASTER'!D"&amp;_xlfn.MAXIFS(m_row,m_teacher,BR$4,m_date,($G$2+33),m_active,1,m_start,"&lt;"&amp;720,m_end,"&gt;"&amp;660),INDEX(m_label,_xlfn.MAXIFS(m_row,m_teacher,BR$4,m_date,($G$2+33),m_active,1,m_start,"&lt;"&amp;720,m_end,"&gt;"&amp;660))))))</f>
        <v/>
      </c>
    </row>
    <row r="63" customFormat="false" ht="19.5" hidden="false" customHeight="true" outlineLevel="0" collapsed="false">
      <c r="A63" s="90"/>
      <c r="B63" s="79" t="s">
        <v>94</v>
      </c>
      <c r="C63" s="88" t="str">
        <f aca="false">IF(OR(C$4="",MONTH(($G$2+5))&lt;&gt;MONTH($C$2)),"",IF(COUNTIFS(m_teacher,C$4,m_date,($G$2+5),m_active,1,m_start,"&lt;"&amp;780,m_end,"&gt;"&amp;720)=0,"",IF(COUNTIFS(m_teacher,C$4,m_date,($G$2+5),m_active,1,m_start,"&lt;"&amp;780,m_end,"&gt;"&amp;720)&gt;1,"충돌",HYPERLINK("#'관리자_MASTER'!D"&amp;_xlfn.MAXIFS(m_row,m_teacher,C$4,m_date,($G$2+5),m_active,1,m_start,"&lt;"&amp;780,m_end,"&gt;"&amp;720),INDEX(m_label,_xlfn.MAXIFS(m_row,m_teacher,C$4,m_date,($G$2+5),m_active,1,m_start,"&lt;"&amp;780,m_end,"&gt;"&amp;720))))))</f>
        <v/>
      </c>
      <c r="D63" s="88" t="str">
        <f aca="false">IF(OR(D$4="",MONTH(($G$2+5))&lt;&gt;MONTH($C$2)),"",IF(COUNTIFS(m_teacher,D$4,m_date,($G$2+5),m_active,1,m_start,"&lt;"&amp;780,m_end,"&gt;"&amp;720)=0,"",IF(COUNTIFS(m_teacher,D$4,m_date,($G$2+5),m_active,1,m_start,"&lt;"&amp;780,m_end,"&gt;"&amp;720)&gt;1,"충돌",HYPERLINK("#'관리자_MASTER'!D"&amp;_xlfn.MAXIFS(m_row,m_teacher,D$4,m_date,($G$2+5),m_active,1,m_start,"&lt;"&amp;780,m_end,"&gt;"&amp;720),INDEX(m_label,_xlfn.MAXIFS(m_row,m_teacher,D$4,m_date,($G$2+5),m_active,1,m_start,"&lt;"&amp;780,m_end,"&gt;"&amp;720))))))</f>
        <v/>
      </c>
      <c r="E63" s="88" t="str">
        <f aca="false">IF(OR(E$4="",MONTH(($G$2+5))&lt;&gt;MONTH($C$2)),"",IF(COUNTIFS(m_teacher,E$4,m_date,($G$2+5),m_active,1,m_start,"&lt;"&amp;780,m_end,"&gt;"&amp;720)=0,"",IF(COUNTIFS(m_teacher,E$4,m_date,($G$2+5),m_active,1,m_start,"&lt;"&amp;780,m_end,"&gt;"&amp;720)&gt;1,"충돌",HYPERLINK("#'관리자_MASTER'!D"&amp;_xlfn.MAXIFS(m_row,m_teacher,E$4,m_date,($G$2+5),m_active,1,m_start,"&lt;"&amp;780,m_end,"&gt;"&amp;720),INDEX(m_label,_xlfn.MAXIFS(m_row,m_teacher,E$4,m_date,($G$2+5),m_active,1,m_start,"&lt;"&amp;780,m_end,"&gt;"&amp;720))))))</f>
        <v/>
      </c>
      <c r="F63" s="88" t="str">
        <f aca="false">IF(OR(F$4="",MONTH(($G$2+5))&lt;&gt;MONTH($C$2)),"",IF(COUNTIFS(m_teacher,F$4,m_date,($G$2+5),m_active,1,m_start,"&lt;"&amp;780,m_end,"&gt;"&amp;720)=0,"",IF(COUNTIFS(m_teacher,F$4,m_date,($G$2+5),m_active,1,m_start,"&lt;"&amp;780,m_end,"&gt;"&amp;720)&gt;1,"충돌",HYPERLINK("#'관리자_MASTER'!D"&amp;_xlfn.MAXIFS(m_row,m_teacher,F$4,m_date,($G$2+5),m_active,1,m_start,"&lt;"&amp;780,m_end,"&gt;"&amp;720),INDEX(m_label,_xlfn.MAXIFS(m_row,m_teacher,F$4,m_date,($G$2+5),m_active,1,m_start,"&lt;"&amp;780,m_end,"&gt;"&amp;720))))))</f>
        <v/>
      </c>
      <c r="G63" s="88" t="str">
        <f aca="false">IF(OR(G$4="",MONTH(($G$2+5))&lt;&gt;MONTH($C$2)),"",IF(COUNTIFS(m_teacher,G$4,m_date,($G$2+5),m_active,1,m_start,"&lt;"&amp;780,m_end,"&gt;"&amp;720)=0,"",IF(COUNTIFS(m_teacher,G$4,m_date,($G$2+5),m_active,1,m_start,"&lt;"&amp;780,m_end,"&gt;"&amp;720)&gt;1,"충돌",HYPERLINK("#'관리자_MASTER'!D"&amp;_xlfn.MAXIFS(m_row,m_teacher,G$4,m_date,($G$2+5),m_active,1,m_start,"&lt;"&amp;780,m_end,"&gt;"&amp;720),INDEX(m_label,_xlfn.MAXIFS(m_row,m_teacher,G$4,m_date,($G$2+5),m_active,1,m_start,"&lt;"&amp;780,m_end,"&gt;"&amp;720))))))</f>
        <v/>
      </c>
      <c r="H63" s="88" t="str">
        <f aca="false">IF(OR(H$4="",MONTH(($G$2+5))&lt;&gt;MONTH($C$2)),"",IF(COUNTIFS(m_teacher,H$4,m_date,($G$2+5),m_active,1,m_start,"&lt;"&amp;780,m_end,"&gt;"&amp;720)=0,"",IF(COUNTIFS(m_teacher,H$4,m_date,($G$2+5),m_active,1,m_start,"&lt;"&amp;780,m_end,"&gt;"&amp;720)&gt;1,"충돌",HYPERLINK("#'관리자_MASTER'!D"&amp;_xlfn.MAXIFS(m_row,m_teacher,H$4,m_date,($G$2+5),m_active,1,m_start,"&lt;"&amp;780,m_end,"&gt;"&amp;720),INDEX(m_label,_xlfn.MAXIFS(m_row,m_teacher,H$4,m_date,($G$2+5),m_active,1,m_start,"&lt;"&amp;780,m_end,"&gt;"&amp;720))))))</f>
        <v/>
      </c>
      <c r="I63" s="88" t="str">
        <f aca="false">IF(OR(I$4="",MONTH(($G$2+5))&lt;&gt;MONTH($C$2)),"",IF(COUNTIFS(m_teacher,I$4,m_date,($G$2+5),m_active,1,m_start,"&lt;"&amp;780,m_end,"&gt;"&amp;720)=0,"",IF(COUNTIFS(m_teacher,I$4,m_date,($G$2+5),m_active,1,m_start,"&lt;"&amp;780,m_end,"&gt;"&amp;720)&gt;1,"충돌",HYPERLINK("#'관리자_MASTER'!D"&amp;_xlfn.MAXIFS(m_row,m_teacher,I$4,m_date,($G$2+5),m_active,1,m_start,"&lt;"&amp;780,m_end,"&gt;"&amp;720),INDEX(m_label,_xlfn.MAXIFS(m_row,m_teacher,I$4,m_date,($G$2+5),m_active,1,m_start,"&lt;"&amp;780,m_end,"&gt;"&amp;720))))))</f>
        <v/>
      </c>
      <c r="J63" s="88" t="str">
        <f aca="false">IF(OR(J$4="",MONTH(($G$2+5))&lt;&gt;MONTH($C$2)),"",IF(COUNTIFS(m_teacher,J$4,m_date,($G$2+5),m_active,1,m_start,"&lt;"&amp;780,m_end,"&gt;"&amp;720)=0,"",IF(COUNTIFS(m_teacher,J$4,m_date,($G$2+5),m_active,1,m_start,"&lt;"&amp;780,m_end,"&gt;"&amp;720)&gt;1,"충돌",HYPERLINK("#'관리자_MASTER'!D"&amp;_xlfn.MAXIFS(m_row,m_teacher,J$4,m_date,($G$2+5),m_active,1,m_start,"&lt;"&amp;780,m_end,"&gt;"&amp;720),INDEX(m_label,_xlfn.MAXIFS(m_row,m_teacher,J$4,m_date,($G$2+5),m_active,1,m_start,"&lt;"&amp;780,m_end,"&gt;"&amp;720))))))</f>
        <v/>
      </c>
      <c r="K63" s="88" t="str">
        <f aca="false">IF(OR(K$4="",MONTH(($G$2+5))&lt;&gt;MONTH($C$2)),"",IF(COUNTIFS(m_teacher,K$4,m_date,($G$2+5),m_active,1,m_start,"&lt;"&amp;780,m_end,"&gt;"&amp;720)=0,"",IF(COUNTIFS(m_teacher,K$4,m_date,($G$2+5),m_active,1,m_start,"&lt;"&amp;780,m_end,"&gt;"&amp;720)&gt;1,"충돌",HYPERLINK("#'관리자_MASTER'!D"&amp;_xlfn.MAXIFS(m_row,m_teacher,K$4,m_date,($G$2+5),m_active,1,m_start,"&lt;"&amp;780,m_end,"&gt;"&amp;720),INDEX(m_label,_xlfn.MAXIFS(m_row,m_teacher,K$4,m_date,($G$2+5),m_active,1,m_start,"&lt;"&amp;780,m_end,"&gt;"&amp;720))))))</f>
        <v/>
      </c>
      <c r="L63" s="88" t="str">
        <f aca="false">IF(OR(L$4="",MONTH(($G$2+5))&lt;&gt;MONTH($C$2)),"",IF(COUNTIFS(m_teacher,L$4,m_date,($G$2+5),m_active,1,m_start,"&lt;"&amp;780,m_end,"&gt;"&amp;720)=0,"",IF(COUNTIFS(m_teacher,L$4,m_date,($G$2+5),m_active,1,m_start,"&lt;"&amp;780,m_end,"&gt;"&amp;720)&gt;1,"충돌",HYPERLINK("#'관리자_MASTER'!D"&amp;_xlfn.MAXIFS(m_row,m_teacher,L$4,m_date,($G$2+5),m_active,1,m_start,"&lt;"&amp;780,m_end,"&gt;"&amp;720),INDEX(m_label,_xlfn.MAXIFS(m_row,m_teacher,L$4,m_date,($G$2+5),m_active,1,m_start,"&lt;"&amp;780,m_end,"&gt;"&amp;720))))))</f>
        <v/>
      </c>
      <c r="M63" s="88" t="str">
        <f aca="false">IF(OR(M$4="",MONTH(($G$2+5))&lt;&gt;MONTH($C$2)),"",IF(COUNTIFS(m_teacher,M$4,m_date,($G$2+5),m_active,1,m_start,"&lt;"&amp;780,m_end,"&gt;"&amp;720)=0,"",IF(COUNTIFS(m_teacher,M$4,m_date,($G$2+5),m_active,1,m_start,"&lt;"&amp;780,m_end,"&gt;"&amp;720)&gt;1,"충돌",HYPERLINK("#'관리자_MASTER'!D"&amp;_xlfn.MAXIFS(m_row,m_teacher,M$4,m_date,($G$2+5),m_active,1,m_start,"&lt;"&amp;780,m_end,"&gt;"&amp;720),INDEX(m_label,_xlfn.MAXIFS(m_row,m_teacher,M$4,m_date,($G$2+5),m_active,1,m_start,"&lt;"&amp;780,m_end,"&gt;"&amp;720))))))</f>
        <v/>
      </c>
      <c r="N63" s="88" t="str">
        <f aca="false">IF(OR(N$4="",MONTH(($G$2+5))&lt;&gt;MONTH($C$2)),"",IF(COUNTIFS(m_teacher,N$4,m_date,($G$2+5),m_active,1,m_start,"&lt;"&amp;780,m_end,"&gt;"&amp;720)=0,"",IF(COUNTIFS(m_teacher,N$4,m_date,($G$2+5),m_active,1,m_start,"&lt;"&amp;780,m_end,"&gt;"&amp;720)&gt;1,"충돌",HYPERLINK("#'관리자_MASTER'!D"&amp;_xlfn.MAXIFS(m_row,m_teacher,N$4,m_date,($G$2+5),m_active,1,m_start,"&lt;"&amp;780,m_end,"&gt;"&amp;720),INDEX(m_label,_xlfn.MAXIFS(m_row,m_teacher,N$4,m_date,($G$2+5),m_active,1,m_start,"&lt;"&amp;780,m_end,"&gt;"&amp;720))))))</f>
        <v/>
      </c>
      <c r="O63" s="90"/>
      <c r="P63" s="79" t="s">
        <v>94</v>
      </c>
      <c r="Q63" s="88" t="str">
        <f aca="false">IF(OR(Q$4="",MONTH(($G$2+12))&lt;&gt;MONTH($C$2)),"",IF(COUNTIFS(m_teacher,Q$4,m_date,($G$2+12),m_active,1,m_start,"&lt;"&amp;780,m_end,"&gt;"&amp;720)=0,"",IF(COUNTIFS(m_teacher,Q$4,m_date,($G$2+12),m_active,1,m_start,"&lt;"&amp;780,m_end,"&gt;"&amp;720)&gt;1,"충돌",HYPERLINK("#'관리자_MASTER'!D"&amp;_xlfn.MAXIFS(m_row,m_teacher,Q$4,m_date,($G$2+12),m_active,1,m_start,"&lt;"&amp;780,m_end,"&gt;"&amp;720),INDEX(m_label,_xlfn.MAXIFS(m_row,m_teacher,Q$4,m_date,($G$2+12),m_active,1,m_start,"&lt;"&amp;780,m_end,"&gt;"&amp;720))))))</f>
        <v/>
      </c>
      <c r="R63" s="88" t="str">
        <f aca="false">IF(OR(R$4="",MONTH(($G$2+12))&lt;&gt;MONTH($C$2)),"",IF(COUNTIFS(m_teacher,R$4,m_date,($G$2+12),m_active,1,m_start,"&lt;"&amp;780,m_end,"&gt;"&amp;720)=0,"",IF(COUNTIFS(m_teacher,R$4,m_date,($G$2+12),m_active,1,m_start,"&lt;"&amp;780,m_end,"&gt;"&amp;720)&gt;1,"충돌",HYPERLINK("#'관리자_MASTER'!D"&amp;_xlfn.MAXIFS(m_row,m_teacher,R$4,m_date,($G$2+12),m_active,1,m_start,"&lt;"&amp;780,m_end,"&gt;"&amp;720),INDEX(m_label,_xlfn.MAXIFS(m_row,m_teacher,R$4,m_date,($G$2+12),m_active,1,m_start,"&lt;"&amp;780,m_end,"&gt;"&amp;720))))))</f>
        <v/>
      </c>
      <c r="S63" s="88" t="str">
        <f aca="false">IF(OR(S$4="",MONTH(($G$2+12))&lt;&gt;MONTH($C$2)),"",IF(COUNTIFS(m_teacher,S$4,m_date,($G$2+12),m_active,1,m_start,"&lt;"&amp;780,m_end,"&gt;"&amp;720)=0,"",IF(COUNTIFS(m_teacher,S$4,m_date,($G$2+12),m_active,1,m_start,"&lt;"&amp;780,m_end,"&gt;"&amp;720)&gt;1,"충돌",HYPERLINK("#'관리자_MASTER'!D"&amp;_xlfn.MAXIFS(m_row,m_teacher,S$4,m_date,($G$2+12),m_active,1,m_start,"&lt;"&amp;780,m_end,"&gt;"&amp;720),INDEX(m_label,_xlfn.MAXIFS(m_row,m_teacher,S$4,m_date,($G$2+12),m_active,1,m_start,"&lt;"&amp;780,m_end,"&gt;"&amp;720))))))</f>
        <v/>
      </c>
      <c r="T63" s="88" t="str">
        <f aca="false">IF(OR(T$4="",MONTH(($G$2+12))&lt;&gt;MONTH($C$2)),"",IF(COUNTIFS(m_teacher,T$4,m_date,($G$2+12),m_active,1,m_start,"&lt;"&amp;780,m_end,"&gt;"&amp;720)=0,"",IF(COUNTIFS(m_teacher,T$4,m_date,($G$2+12),m_active,1,m_start,"&lt;"&amp;780,m_end,"&gt;"&amp;720)&gt;1,"충돌",HYPERLINK("#'관리자_MASTER'!D"&amp;_xlfn.MAXIFS(m_row,m_teacher,T$4,m_date,($G$2+12),m_active,1,m_start,"&lt;"&amp;780,m_end,"&gt;"&amp;720),INDEX(m_label,_xlfn.MAXIFS(m_row,m_teacher,T$4,m_date,($G$2+12),m_active,1,m_start,"&lt;"&amp;780,m_end,"&gt;"&amp;720))))))</f>
        <v/>
      </c>
      <c r="U63" s="88" t="str">
        <f aca="false">IF(OR(U$4="",MONTH(($G$2+12))&lt;&gt;MONTH($C$2)),"",IF(COUNTIFS(m_teacher,U$4,m_date,($G$2+12),m_active,1,m_start,"&lt;"&amp;780,m_end,"&gt;"&amp;720)=0,"",IF(COUNTIFS(m_teacher,U$4,m_date,($G$2+12),m_active,1,m_start,"&lt;"&amp;780,m_end,"&gt;"&amp;720)&gt;1,"충돌",HYPERLINK("#'관리자_MASTER'!D"&amp;_xlfn.MAXIFS(m_row,m_teacher,U$4,m_date,($G$2+12),m_active,1,m_start,"&lt;"&amp;780,m_end,"&gt;"&amp;720),INDEX(m_label,_xlfn.MAXIFS(m_row,m_teacher,U$4,m_date,($G$2+12),m_active,1,m_start,"&lt;"&amp;780,m_end,"&gt;"&amp;720))))))</f>
        <v/>
      </c>
      <c r="V63" s="88" t="str">
        <f aca="false">IF(OR(V$4="",MONTH(($G$2+12))&lt;&gt;MONTH($C$2)),"",IF(COUNTIFS(m_teacher,V$4,m_date,($G$2+12),m_active,1,m_start,"&lt;"&amp;780,m_end,"&gt;"&amp;720)=0,"",IF(COUNTIFS(m_teacher,V$4,m_date,($G$2+12),m_active,1,m_start,"&lt;"&amp;780,m_end,"&gt;"&amp;720)&gt;1,"충돌",HYPERLINK("#'관리자_MASTER'!D"&amp;_xlfn.MAXIFS(m_row,m_teacher,V$4,m_date,($G$2+12),m_active,1,m_start,"&lt;"&amp;780,m_end,"&gt;"&amp;720),INDEX(m_label,_xlfn.MAXIFS(m_row,m_teacher,V$4,m_date,($G$2+12),m_active,1,m_start,"&lt;"&amp;780,m_end,"&gt;"&amp;720))))))</f>
        <v/>
      </c>
      <c r="W63" s="88" t="str">
        <f aca="false">IF(OR(W$4="",MONTH(($G$2+12))&lt;&gt;MONTH($C$2)),"",IF(COUNTIFS(m_teacher,W$4,m_date,($G$2+12),m_active,1,m_start,"&lt;"&amp;780,m_end,"&gt;"&amp;720)=0,"",IF(COUNTIFS(m_teacher,W$4,m_date,($G$2+12),m_active,1,m_start,"&lt;"&amp;780,m_end,"&gt;"&amp;720)&gt;1,"충돌",HYPERLINK("#'관리자_MASTER'!D"&amp;_xlfn.MAXIFS(m_row,m_teacher,W$4,m_date,($G$2+12),m_active,1,m_start,"&lt;"&amp;780,m_end,"&gt;"&amp;720),INDEX(m_label,_xlfn.MAXIFS(m_row,m_teacher,W$4,m_date,($G$2+12),m_active,1,m_start,"&lt;"&amp;780,m_end,"&gt;"&amp;720))))))</f>
        <v/>
      </c>
      <c r="X63" s="88" t="str">
        <f aca="false">IF(OR(X$4="",MONTH(($G$2+12))&lt;&gt;MONTH($C$2)),"",IF(COUNTIFS(m_teacher,X$4,m_date,($G$2+12),m_active,1,m_start,"&lt;"&amp;780,m_end,"&gt;"&amp;720)=0,"",IF(COUNTIFS(m_teacher,X$4,m_date,($G$2+12),m_active,1,m_start,"&lt;"&amp;780,m_end,"&gt;"&amp;720)&gt;1,"충돌",HYPERLINK("#'관리자_MASTER'!D"&amp;_xlfn.MAXIFS(m_row,m_teacher,X$4,m_date,($G$2+12),m_active,1,m_start,"&lt;"&amp;780,m_end,"&gt;"&amp;720),INDEX(m_label,_xlfn.MAXIFS(m_row,m_teacher,X$4,m_date,($G$2+12),m_active,1,m_start,"&lt;"&amp;780,m_end,"&gt;"&amp;720))))))</f>
        <v/>
      </c>
      <c r="Y63" s="88" t="str">
        <f aca="false">IF(OR(Y$4="",MONTH(($G$2+12))&lt;&gt;MONTH($C$2)),"",IF(COUNTIFS(m_teacher,Y$4,m_date,($G$2+12),m_active,1,m_start,"&lt;"&amp;780,m_end,"&gt;"&amp;720)=0,"",IF(COUNTIFS(m_teacher,Y$4,m_date,($G$2+12),m_active,1,m_start,"&lt;"&amp;780,m_end,"&gt;"&amp;720)&gt;1,"충돌",HYPERLINK("#'관리자_MASTER'!D"&amp;_xlfn.MAXIFS(m_row,m_teacher,Y$4,m_date,($G$2+12),m_active,1,m_start,"&lt;"&amp;780,m_end,"&gt;"&amp;720),INDEX(m_label,_xlfn.MAXIFS(m_row,m_teacher,Y$4,m_date,($G$2+12),m_active,1,m_start,"&lt;"&amp;780,m_end,"&gt;"&amp;720))))))</f>
        <v/>
      </c>
      <c r="Z63" s="88" t="str">
        <f aca="false">IF(OR(Z$4="",MONTH(($G$2+12))&lt;&gt;MONTH($C$2)),"",IF(COUNTIFS(m_teacher,Z$4,m_date,($G$2+12),m_active,1,m_start,"&lt;"&amp;780,m_end,"&gt;"&amp;720)=0,"",IF(COUNTIFS(m_teacher,Z$4,m_date,($G$2+12),m_active,1,m_start,"&lt;"&amp;780,m_end,"&gt;"&amp;720)&gt;1,"충돌",HYPERLINK("#'관리자_MASTER'!D"&amp;_xlfn.MAXIFS(m_row,m_teacher,Z$4,m_date,($G$2+12),m_active,1,m_start,"&lt;"&amp;780,m_end,"&gt;"&amp;720),INDEX(m_label,_xlfn.MAXIFS(m_row,m_teacher,Z$4,m_date,($G$2+12),m_active,1,m_start,"&lt;"&amp;780,m_end,"&gt;"&amp;720))))))</f>
        <v/>
      </c>
      <c r="AA63" s="88" t="str">
        <f aca="false">IF(OR(AA$4="",MONTH(($G$2+12))&lt;&gt;MONTH($C$2)),"",IF(COUNTIFS(m_teacher,AA$4,m_date,($G$2+12),m_active,1,m_start,"&lt;"&amp;780,m_end,"&gt;"&amp;720)=0,"",IF(COUNTIFS(m_teacher,AA$4,m_date,($G$2+12),m_active,1,m_start,"&lt;"&amp;780,m_end,"&gt;"&amp;720)&gt;1,"충돌",HYPERLINK("#'관리자_MASTER'!D"&amp;_xlfn.MAXIFS(m_row,m_teacher,AA$4,m_date,($G$2+12),m_active,1,m_start,"&lt;"&amp;780,m_end,"&gt;"&amp;720),INDEX(m_label,_xlfn.MAXIFS(m_row,m_teacher,AA$4,m_date,($G$2+12),m_active,1,m_start,"&lt;"&amp;780,m_end,"&gt;"&amp;720))))))</f>
        <v/>
      </c>
      <c r="AB63" s="88" t="str">
        <f aca="false">IF(OR(AB$4="",MONTH(($G$2+12))&lt;&gt;MONTH($C$2)),"",IF(COUNTIFS(m_teacher,AB$4,m_date,($G$2+12),m_active,1,m_start,"&lt;"&amp;780,m_end,"&gt;"&amp;720)=0,"",IF(COUNTIFS(m_teacher,AB$4,m_date,($G$2+12),m_active,1,m_start,"&lt;"&amp;780,m_end,"&gt;"&amp;720)&gt;1,"충돌",HYPERLINK("#'관리자_MASTER'!D"&amp;_xlfn.MAXIFS(m_row,m_teacher,AB$4,m_date,($G$2+12),m_active,1,m_start,"&lt;"&amp;780,m_end,"&gt;"&amp;720),INDEX(m_label,_xlfn.MAXIFS(m_row,m_teacher,AB$4,m_date,($G$2+12),m_active,1,m_start,"&lt;"&amp;780,m_end,"&gt;"&amp;720))))))</f>
        <v/>
      </c>
      <c r="AC63" s="90"/>
      <c r="AD63" s="79" t="s">
        <v>94</v>
      </c>
      <c r="AE63" s="88" t="str">
        <f aca="false">IF(OR(AE$4="",MONTH(($G$2+19))&lt;&gt;MONTH($C$2)),"",IF(COUNTIFS(m_teacher,AE$4,m_date,($G$2+19),m_active,1,m_start,"&lt;"&amp;780,m_end,"&gt;"&amp;720)=0,"",IF(COUNTIFS(m_teacher,AE$4,m_date,($G$2+19),m_active,1,m_start,"&lt;"&amp;780,m_end,"&gt;"&amp;720)&gt;1,"충돌",HYPERLINK("#'관리자_MASTER'!D"&amp;_xlfn.MAXIFS(m_row,m_teacher,AE$4,m_date,($G$2+19),m_active,1,m_start,"&lt;"&amp;780,m_end,"&gt;"&amp;720),INDEX(m_label,_xlfn.MAXIFS(m_row,m_teacher,AE$4,m_date,($G$2+19),m_active,1,m_start,"&lt;"&amp;780,m_end,"&gt;"&amp;720))))))</f>
        <v/>
      </c>
      <c r="AF63" s="88" t="str">
        <f aca="false">IF(OR(AF$4="",MONTH(($G$2+19))&lt;&gt;MONTH($C$2)),"",IF(COUNTIFS(m_teacher,AF$4,m_date,($G$2+19),m_active,1,m_start,"&lt;"&amp;780,m_end,"&gt;"&amp;720)=0,"",IF(COUNTIFS(m_teacher,AF$4,m_date,($G$2+19),m_active,1,m_start,"&lt;"&amp;780,m_end,"&gt;"&amp;720)&gt;1,"충돌",HYPERLINK("#'관리자_MASTER'!D"&amp;_xlfn.MAXIFS(m_row,m_teacher,AF$4,m_date,($G$2+19),m_active,1,m_start,"&lt;"&amp;780,m_end,"&gt;"&amp;720),INDEX(m_label,_xlfn.MAXIFS(m_row,m_teacher,AF$4,m_date,($G$2+19),m_active,1,m_start,"&lt;"&amp;780,m_end,"&gt;"&amp;720))))))</f>
        <v/>
      </c>
      <c r="AG63" s="88" t="str">
        <f aca="false">IF(OR(AG$4="",MONTH(($G$2+19))&lt;&gt;MONTH($C$2)),"",IF(COUNTIFS(m_teacher,AG$4,m_date,($G$2+19),m_active,1,m_start,"&lt;"&amp;780,m_end,"&gt;"&amp;720)=0,"",IF(COUNTIFS(m_teacher,AG$4,m_date,($G$2+19),m_active,1,m_start,"&lt;"&amp;780,m_end,"&gt;"&amp;720)&gt;1,"충돌",HYPERLINK("#'관리자_MASTER'!D"&amp;_xlfn.MAXIFS(m_row,m_teacher,AG$4,m_date,($G$2+19),m_active,1,m_start,"&lt;"&amp;780,m_end,"&gt;"&amp;720),INDEX(m_label,_xlfn.MAXIFS(m_row,m_teacher,AG$4,m_date,($G$2+19),m_active,1,m_start,"&lt;"&amp;780,m_end,"&gt;"&amp;720))))))</f>
        <v/>
      </c>
      <c r="AH63" s="88" t="str">
        <f aca="false">IF(OR(AH$4="",MONTH(($G$2+19))&lt;&gt;MONTH($C$2)),"",IF(COUNTIFS(m_teacher,AH$4,m_date,($G$2+19),m_active,1,m_start,"&lt;"&amp;780,m_end,"&gt;"&amp;720)=0,"",IF(COUNTIFS(m_teacher,AH$4,m_date,($G$2+19),m_active,1,m_start,"&lt;"&amp;780,m_end,"&gt;"&amp;720)&gt;1,"충돌",HYPERLINK("#'관리자_MASTER'!D"&amp;_xlfn.MAXIFS(m_row,m_teacher,AH$4,m_date,($G$2+19),m_active,1,m_start,"&lt;"&amp;780,m_end,"&gt;"&amp;720),INDEX(m_label,_xlfn.MAXIFS(m_row,m_teacher,AH$4,m_date,($G$2+19),m_active,1,m_start,"&lt;"&amp;780,m_end,"&gt;"&amp;720))))))</f>
        <v/>
      </c>
      <c r="AI63" s="88" t="str">
        <f aca="false">IF(OR(AI$4="",MONTH(($G$2+19))&lt;&gt;MONTH($C$2)),"",IF(COUNTIFS(m_teacher,AI$4,m_date,($G$2+19),m_active,1,m_start,"&lt;"&amp;780,m_end,"&gt;"&amp;720)=0,"",IF(COUNTIFS(m_teacher,AI$4,m_date,($G$2+19),m_active,1,m_start,"&lt;"&amp;780,m_end,"&gt;"&amp;720)&gt;1,"충돌",HYPERLINK("#'관리자_MASTER'!D"&amp;_xlfn.MAXIFS(m_row,m_teacher,AI$4,m_date,($G$2+19),m_active,1,m_start,"&lt;"&amp;780,m_end,"&gt;"&amp;720),INDEX(m_label,_xlfn.MAXIFS(m_row,m_teacher,AI$4,m_date,($G$2+19),m_active,1,m_start,"&lt;"&amp;780,m_end,"&gt;"&amp;720))))))</f>
        <v/>
      </c>
      <c r="AJ63" s="88" t="str">
        <f aca="false">IF(OR(AJ$4="",MONTH(($G$2+19))&lt;&gt;MONTH($C$2)),"",IF(COUNTIFS(m_teacher,AJ$4,m_date,($G$2+19),m_active,1,m_start,"&lt;"&amp;780,m_end,"&gt;"&amp;720)=0,"",IF(COUNTIFS(m_teacher,AJ$4,m_date,($G$2+19),m_active,1,m_start,"&lt;"&amp;780,m_end,"&gt;"&amp;720)&gt;1,"충돌",HYPERLINK("#'관리자_MASTER'!D"&amp;_xlfn.MAXIFS(m_row,m_teacher,AJ$4,m_date,($G$2+19),m_active,1,m_start,"&lt;"&amp;780,m_end,"&gt;"&amp;720),INDEX(m_label,_xlfn.MAXIFS(m_row,m_teacher,AJ$4,m_date,($G$2+19),m_active,1,m_start,"&lt;"&amp;780,m_end,"&gt;"&amp;720))))))</f>
        <v/>
      </c>
      <c r="AK63" s="88" t="str">
        <f aca="false">IF(OR(AK$4="",MONTH(($G$2+19))&lt;&gt;MONTH($C$2)),"",IF(COUNTIFS(m_teacher,AK$4,m_date,($G$2+19),m_active,1,m_start,"&lt;"&amp;780,m_end,"&gt;"&amp;720)=0,"",IF(COUNTIFS(m_teacher,AK$4,m_date,($G$2+19),m_active,1,m_start,"&lt;"&amp;780,m_end,"&gt;"&amp;720)&gt;1,"충돌",HYPERLINK("#'관리자_MASTER'!D"&amp;_xlfn.MAXIFS(m_row,m_teacher,AK$4,m_date,($G$2+19),m_active,1,m_start,"&lt;"&amp;780,m_end,"&gt;"&amp;720),INDEX(m_label,_xlfn.MAXIFS(m_row,m_teacher,AK$4,m_date,($G$2+19),m_active,1,m_start,"&lt;"&amp;780,m_end,"&gt;"&amp;720))))))</f>
        <v/>
      </c>
      <c r="AL63" s="88" t="str">
        <f aca="false">IF(OR(AL$4="",MONTH(($G$2+19))&lt;&gt;MONTH($C$2)),"",IF(COUNTIFS(m_teacher,AL$4,m_date,($G$2+19),m_active,1,m_start,"&lt;"&amp;780,m_end,"&gt;"&amp;720)=0,"",IF(COUNTIFS(m_teacher,AL$4,m_date,($G$2+19),m_active,1,m_start,"&lt;"&amp;780,m_end,"&gt;"&amp;720)&gt;1,"충돌",HYPERLINK("#'관리자_MASTER'!D"&amp;_xlfn.MAXIFS(m_row,m_teacher,AL$4,m_date,($G$2+19),m_active,1,m_start,"&lt;"&amp;780,m_end,"&gt;"&amp;720),INDEX(m_label,_xlfn.MAXIFS(m_row,m_teacher,AL$4,m_date,($G$2+19),m_active,1,m_start,"&lt;"&amp;780,m_end,"&gt;"&amp;720))))))</f>
        <v/>
      </c>
      <c r="AM63" s="88" t="str">
        <f aca="false">IF(OR(AM$4="",MONTH(($G$2+19))&lt;&gt;MONTH($C$2)),"",IF(COUNTIFS(m_teacher,AM$4,m_date,($G$2+19),m_active,1,m_start,"&lt;"&amp;780,m_end,"&gt;"&amp;720)=0,"",IF(COUNTIFS(m_teacher,AM$4,m_date,($G$2+19),m_active,1,m_start,"&lt;"&amp;780,m_end,"&gt;"&amp;720)&gt;1,"충돌",HYPERLINK("#'관리자_MASTER'!D"&amp;_xlfn.MAXIFS(m_row,m_teacher,AM$4,m_date,($G$2+19),m_active,1,m_start,"&lt;"&amp;780,m_end,"&gt;"&amp;720),INDEX(m_label,_xlfn.MAXIFS(m_row,m_teacher,AM$4,m_date,($G$2+19),m_active,1,m_start,"&lt;"&amp;780,m_end,"&gt;"&amp;720))))))</f>
        <v/>
      </c>
      <c r="AN63" s="88" t="str">
        <f aca="false">IF(OR(AN$4="",MONTH(($G$2+19))&lt;&gt;MONTH($C$2)),"",IF(COUNTIFS(m_teacher,AN$4,m_date,($G$2+19),m_active,1,m_start,"&lt;"&amp;780,m_end,"&gt;"&amp;720)=0,"",IF(COUNTIFS(m_teacher,AN$4,m_date,($G$2+19),m_active,1,m_start,"&lt;"&amp;780,m_end,"&gt;"&amp;720)&gt;1,"충돌",HYPERLINK("#'관리자_MASTER'!D"&amp;_xlfn.MAXIFS(m_row,m_teacher,AN$4,m_date,($G$2+19),m_active,1,m_start,"&lt;"&amp;780,m_end,"&gt;"&amp;720),INDEX(m_label,_xlfn.MAXIFS(m_row,m_teacher,AN$4,m_date,($G$2+19),m_active,1,m_start,"&lt;"&amp;780,m_end,"&gt;"&amp;720))))))</f>
        <v/>
      </c>
      <c r="AO63" s="88" t="str">
        <f aca="false">IF(OR(AO$4="",MONTH(($G$2+19))&lt;&gt;MONTH($C$2)),"",IF(COUNTIFS(m_teacher,AO$4,m_date,($G$2+19),m_active,1,m_start,"&lt;"&amp;780,m_end,"&gt;"&amp;720)=0,"",IF(COUNTIFS(m_teacher,AO$4,m_date,($G$2+19),m_active,1,m_start,"&lt;"&amp;780,m_end,"&gt;"&amp;720)&gt;1,"충돌",HYPERLINK("#'관리자_MASTER'!D"&amp;_xlfn.MAXIFS(m_row,m_teacher,AO$4,m_date,($G$2+19),m_active,1,m_start,"&lt;"&amp;780,m_end,"&gt;"&amp;720),INDEX(m_label,_xlfn.MAXIFS(m_row,m_teacher,AO$4,m_date,($G$2+19),m_active,1,m_start,"&lt;"&amp;780,m_end,"&gt;"&amp;720))))))</f>
        <v/>
      </c>
      <c r="AP63" s="88" t="str">
        <f aca="false">IF(OR(AP$4="",MONTH(($G$2+19))&lt;&gt;MONTH($C$2)),"",IF(COUNTIFS(m_teacher,AP$4,m_date,($G$2+19),m_active,1,m_start,"&lt;"&amp;780,m_end,"&gt;"&amp;720)=0,"",IF(COUNTIFS(m_teacher,AP$4,m_date,($G$2+19),m_active,1,m_start,"&lt;"&amp;780,m_end,"&gt;"&amp;720)&gt;1,"충돌",HYPERLINK("#'관리자_MASTER'!D"&amp;_xlfn.MAXIFS(m_row,m_teacher,AP$4,m_date,($G$2+19),m_active,1,m_start,"&lt;"&amp;780,m_end,"&gt;"&amp;720),INDEX(m_label,_xlfn.MAXIFS(m_row,m_teacher,AP$4,m_date,($G$2+19),m_active,1,m_start,"&lt;"&amp;780,m_end,"&gt;"&amp;720))))))</f>
        <v/>
      </c>
      <c r="AQ63" s="90"/>
      <c r="AR63" s="79" t="s">
        <v>94</v>
      </c>
      <c r="AS63" s="88" t="str">
        <f aca="false">IF(OR(AS$4="",MONTH(($G$2+26))&lt;&gt;MONTH($C$2)),"",IF(COUNTIFS(m_teacher,AS$4,m_date,($G$2+26),m_active,1,m_start,"&lt;"&amp;780,m_end,"&gt;"&amp;720)=0,"",IF(COUNTIFS(m_teacher,AS$4,m_date,($G$2+26),m_active,1,m_start,"&lt;"&amp;780,m_end,"&gt;"&amp;720)&gt;1,"충돌",HYPERLINK("#'관리자_MASTER'!D"&amp;_xlfn.MAXIFS(m_row,m_teacher,AS$4,m_date,($G$2+26),m_active,1,m_start,"&lt;"&amp;780,m_end,"&gt;"&amp;720),INDEX(m_label,_xlfn.MAXIFS(m_row,m_teacher,AS$4,m_date,($G$2+26),m_active,1,m_start,"&lt;"&amp;780,m_end,"&gt;"&amp;720))))))</f>
        <v/>
      </c>
      <c r="AT63" s="88" t="str">
        <f aca="false">IF(OR(AT$4="",MONTH(($G$2+26))&lt;&gt;MONTH($C$2)),"",IF(COUNTIFS(m_teacher,AT$4,m_date,($G$2+26),m_active,1,m_start,"&lt;"&amp;780,m_end,"&gt;"&amp;720)=0,"",IF(COUNTIFS(m_teacher,AT$4,m_date,($G$2+26),m_active,1,m_start,"&lt;"&amp;780,m_end,"&gt;"&amp;720)&gt;1,"충돌",HYPERLINK("#'관리자_MASTER'!D"&amp;_xlfn.MAXIFS(m_row,m_teacher,AT$4,m_date,($G$2+26),m_active,1,m_start,"&lt;"&amp;780,m_end,"&gt;"&amp;720),INDEX(m_label,_xlfn.MAXIFS(m_row,m_teacher,AT$4,m_date,($G$2+26),m_active,1,m_start,"&lt;"&amp;780,m_end,"&gt;"&amp;720))))))</f>
        <v/>
      </c>
      <c r="AU63" s="88" t="str">
        <f aca="false">IF(OR(AU$4="",MONTH(($G$2+26))&lt;&gt;MONTH($C$2)),"",IF(COUNTIFS(m_teacher,AU$4,m_date,($G$2+26),m_active,1,m_start,"&lt;"&amp;780,m_end,"&gt;"&amp;720)=0,"",IF(COUNTIFS(m_teacher,AU$4,m_date,($G$2+26),m_active,1,m_start,"&lt;"&amp;780,m_end,"&gt;"&amp;720)&gt;1,"충돌",HYPERLINK("#'관리자_MASTER'!D"&amp;_xlfn.MAXIFS(m_row,m_teacher,AU$4,m_date,($G$2+26),m_active,1,m_start,"&lt;"&amp;780,m_end,"&gt;"&amp;720),INDEX(m_label,_xlfn.MAXIFS(m_row,m_teacher,AU$4,m_date,($G$2+26),m_active,1,m_start,"&lt;"&amp;780,m_end,"&gt;"&amp;720))))))</f>
        <v/>
      </c>
      <c r="AV63" s="88" t="str">
        <f aca="false">IF(OR(AV$4="",MONTH(($G$2+26))&lt;&gt;MONTH($C$2)),"",IF(COUNTIFS(m_teacher,AV$4,m_date,($G$2+26),m_active,1,m_start,"&lt;"&amp;780,m_end,"&gt;"&amp;720)=0,"",IF(COUNTIFS(m_teacher,AV$4,m_date,($G$2+26),m_active,1,m_start,"&lt;"&amp;780,m_end,"&gt;"&amp;720)&gt;1,"충돌",HYPERLINK("#'관리자_MASTER'!D"&amp;_xlfn.MAXIFS(m_row,m_teacher,AV$4,m_date,($G$2+26),m_active,1,m_start,"&lt;"&amp;780,m_end,"&gt;"&amp;720),INDEX(m_label,_xlfn.MAXIFS(m_row,m_teacher,AV$4,m_date,($G$2+26),m_active,1,m_start,"&lt;"&amp;780,m_end,"&gt;"&amp;720))))))</f>
        <v/>
      </c>
      <c r="AW63" s="88" t="str">
        <f aca="false">IF(OR(AW$4="",MONTH(($G$2+26))&lt;&gt;MONTH($C$2)),"",IF(COUNTIFS(m_teacher,AW$4,m_date,($G$2+26),m_active,1,m_start,"&lt;"&amp;780,m_end,"&gt;"&amp;720)=0,"",IF(COUNTIFS(m_teacher,AW$4,m_date,($G$2+26),m_active,1,m_start,"&lt;"&amp;780,m_end,"&gt;"&amp;720)&gt;1,"충돌",HYPERLINK("#'관리자_MASTER'!D"&amp;_xlfn.MAXIFS(m_row,m_teacher,AW$4,m_date,($G$2+26),m_active,1,m_start,"&lt;"&amp;780,m_end,"&gt;"&amp;720),INDEX(m_label,_xlfn.MAXIFS(m_row,m_teacher,AW$4,m_date,($G$2+26),m_active,1,m_start,"&lt;"&amp;780,m_end,"&gt;"&amp;720))))))</f>
        <v/>
      </c>
      <c r="AX63" s="88" t="str">
        <f aca="false">IF(OR(AX$4="",MONTH(($G$2+26))&lt;&gt;MONTH($C$2)),"",IF(COUNTIFS(m_teacher,AX$4,m_date,($G$2+26),m_active,1,m_start,"&lt;"&amp;780,m_end,"&gt;"&amp;720)=0,"",IF(COUNTIFS(m_teacher,AX$4,m_date,($G$2+26),m_active,1,m_start,"&lt;"&amp;780,m_end,"&gt;"&amp;720)&gt;1,"충돌",HYPERLINK("#'관리자_MASTER'!D"&amp;_xlfn.MAXIFS(m_row,m_teacher,AX$4,m_date,($G$2+26),m_active,1,m_start,"&lt;"&amp;780,m_end,"&gt;"&amp;720),INDEX(m_label,_xlfn.MAXIFS(m_row,m_teacher,AX$4,m_date,($G$2+26),m_active,1,m_start,"&lt;"&amp;780,m_end,"&gt;"&amp;720))))))</f>
        <v/>
      </c>
      <c r="AY63" s="88" t="str">
        <f aca="false">IF(OR(AY$4="",MONTH(($G$2+26))&lt;&gt;MONTH($C$2)),"",IF(COUNTIFS(m_teacher,AY$4,m_date,($G$2+26),m_active,1,m_start,"&lt;"&amp;780,m_end,"&gt;"&amp;720)=0,"",IF(COUNTIFS(m_teacher,AY$4,m_date,($G$2+26),m_active,1,m_start,"&lt;"&amp;780,m_end,"&gt;"&amp;720)&gt;1,"충돌",HYPERLINK("#'관리자_MASTER'!D"&amp;_xlfn.MAXIFS(m_row,m_teacher,AY$4,m_date,($G$2+26),m_active,1,m_start,"&lt;"&amp;780,m_end,"&gt;"&amp;720),INDEX(m_label,_xlfn.MAXIFS(m_row,m_teacher,AY$4,m_date,($G$2+26),m_active,1,m_start,"&lt;"&amp;780,m_end,"&gt;"&amp;720))))))</f>
        <v/>
      </c>
      <c r="AZ63" s="88" t="str">
        <f aca="false">IF(OR(AZ$4="",MONTH(($G$2+26))&lt;&gt;MONTH($C$2)),"",IF(COUNTIFS(m_teacher,AZ$4,m_date,($G$2+26),m_active,1,m_start,"&lt;"&amp;780,m_end,"&gt;"&amp;720)=0,"",IF(COUNTIFS(m_teacher,AZ$4,m_date,($G$2+26),m_active,1,m_start,"&lt;"&amp;780,m_end,"&gt;"&amp;720)&gt;1,"충돌",HYPERLINK("#'관리자_MASTER'!D"&amp;_xlfn.MAXIFS(m_row,m_teacher,AZ$4,m_date,($G$2+26),m_active,1,m_start,"&lt;"&amp;780,m_end,"&gt;"&amp;720),INDEX(m_label,_xlfn.MAXIFS(m_row,m_teacher,AZ$4,m_date,($G$2+26),m_active,1,m_start,"&lt;"&amp;780,m_end,"&gt;"&amp;720))))))</f>
        <v/>
      </c>
      <c r="BA63" s="88" t="str">
        <f aca="false">IF(OR(BA$4="",MONTH(($G$2+26))&lt;&gt;MONTH($C$2)),"",IF(COUNTIFS(m_teacher,BA$4,m_date,($G$2+26),m_active,1,m_start,"&lt;"&amp;780,m_end,"&gt;"&amp;720)=0,"",IF(COUNTIFS(m_teacher,BA$4,m_date,($G$2+26),m_active,1,m_start,"&lt;"&amp;780,m_end,"&gt;"&amp;720)&gt;1,"충돌",HYPERLINK("#'관리자_MASTER'!D"&amp;_xlfn.MAXIFS(m_row,m_teacher,BA$4,m_date,($G$2+26),m_active,1,m_start,"&lt;"&amp;780,m_end,"&gt;"&amp;720),INDEX(m_label,_xlfn.MAXIFS(m_row,m_teacher,BA$4,m_date,($G$2+26),m_active,1,m_start,"&lt;"&amp;780,m_end,"&gt;"&amp;720))))))</f>
        <v/>
      </c>
      <c r="BB63" s="88" t="str">
        <f aca="false">IF(OR(BB$4="",MONTH(($G$2+26))&lt;&gt;MONTH($C$2)),"",IF(COUNTIFS(m_teacher,BB$4,m_date,($G$2+26),m_active,1,m_start,"&lt;"&amp;780,m_end,"&gt;"&amp;720)=0,"",IF(COUNTIFS(m_teacher,BB$4,m_date,($G$2+26),m_active,1,m_start,"&lt;"&amp;780,m_end,"&gt;"&amp;720)&gt;1,"충돌",HYPERLINK("#'관리자_MASTER'!D"&amp;_xlfn.MAXIFS(m_row,m_teacher,BB$4,m_date,($G$2+26),m_active,1,m_start,"&lt;"&amp;780,m_end,"&gt;"&amp;720),INDEX(m_label,_xlfn.MAXIFS(m_row,m_teacher,BB$4,m_date,($G$2+26),m_active,1,m_start,"&lt;"&amp;780,m_end,"&gt;"&amp;720))))))</f>
        <v/>
      </c>
      <c r="BC63" s="88" t="str">
        <f aca="false">IF(OR(BC$4="",MONTH(($G$2+26))&lt;&gt;MONTH($C$2)),"",IF(COUNTIFS(m_teacher,BC$4,m_date,($G$2+26),m_active,1,m_start,"&lt;"&amp;780,m_end,"&gt;"&amp;720)=0,"",IF(COUNTIFS(m_teacher,BC$4,m_date,($G$2+26),m_active,1,m_start,"&lt;"&amp;780,m_end,"&gt;"&amp;720)&gt;1,"충돌",HYPERLINK("#'관리자_MASTER'!D"&amp;_xlfn.MAXIFS(m_row,m_teacher,BC$4,m_date,($G$2+26),m_active,1,m_start,"&lt;"&amp;780,m_end,"&gt;"&amp;720),INDEX(m_label,_xlfn.MAXIFS(m_row,m_teacher,BC$4,m_date,($G$2+26),m_active,1,m_start,"&lt;"&amp;780,m_end,"&gt;"&amp;720))))))</f>
        <v/>
      </c>
      <c r="BD63" s="88" t="str">
        <f aca="false">IF(OR(BD$4="",MONTH(($G$2+26))&lt;&gt;MONTH($C$2)),"",IF(COUNTIFS(m_teacher,BD$4,m_date,($G$2+26),m_active,1,m_start,"&lt;"&amp;780,m_end,"&gt;"&amp;720)=0,"",IF(COUNTIFS(m_teacher,BD$4,m_date,($G$2+26),m_active,1,m_start,"&lt;"&amp;780,m_end,"&gt;"&amp;720)&gt;1,"충돌",HYPERLINK("#'관리자_MASTER'!D"&amp;_xlfn.MAXIFS(m_row,m_teacher,BD$4,m_date,($G$2+26),m_active,1,m_start,"&lt;"&amp;780,m_end,"&gt;"&amp;720),INDEX(m_label,_xlfn.MAXIFS(m_row,m_teacher,BD$4,m_date,($G$2+26),m_active,1,m_start,"&lt;"&amp;780,m_end,"&gt;"&amp;720))))))</f>
        <v/>
      </c>
      <c r="BE63" s="90"/>
      <c r="BF63" s="79" t="s">
        <v>94</v>
      </c>
      <c r="BG63" s="88" t="str">
        <f aca="false">IF(OR(BG$4="",MONTH(($G$2+33))&lt;&gt;MONTH($C$2)),"",IF(COUNTIFS(m_teacher,BG$4,m_date,($G$2+33),m_active,1,m_start,"&lt;"&amp;780,m_end,"&gt;"&amp;720)=0,"",IF(COUNTIFS(m_teacher,BG$4,m_date,($G$2+33),m_active,1,m_start,"&lt;"&amp;780,m_end,"&gt;"&amp;720)&gt;1,"충돌",HYPERLINK("#'관리자_MASTER'!D"&amp;_xlfn.MAXIFS(m_row,m_teacher,BG$4,m_date,($G$2+33),m_active,1,m_start,"&lt;"&amp;780,m_end,"&gt;"&amp;720),INDEX(m_label,_xlfn.MAXIFS(m_row,m_teacher,BG$4,m_date,($G$2+33),m_active,1,m_start,"&lt;"&amp;780,m_end,"&gt;"&amp;720))))))</f>
        <v/>
      </c>
      <c r="BH63" s="88" t="str">
        <f aca="false">IF(OR(BH$4="",MONTH(($G$2+33))&lt;&gt;MONTH($C$2)),"",IF(COUNTIFS(m_teacher,BH$4,m_date,($G$2+33),m_active,1,m_start,"&lt;"&amp;780,m_end,"&gt;"&amp;720)=0,"",IF(COUNTIFS(m_teacher,BH$4,m_date,($G$2+33),m_active,1,m_start,"&lt;"&amp;780,m_end,"&gt;"&amp;720)&gt;1,"충돌",HYPERLINK("#'관리자_MASTER'!D"&amp;_xlfn.MAXIFS(m_row,m_teacher,BH$4,m_date,($G$2+33),m_active,1,m_start,"&lt;"&amp;780,m_end,"&gt;"&amp;720),INDEX(m_label,_xlfn.MAXIFS(m_row,m_teacher,BH$4,m_date,($G$2+33),m_active,1,m_start,"&lt;"&amp;780,m_end,"&gt;"&amp;720))))))</f>
        <v/>
      </c>
      <c r="BI63" s="88" t="str">
        <f aca="false">IF(OR(BI$4="",MONTH(($G$2+33))&lt;&gt;MONTH($C$2)),"",IF(COUNTIFS(m_teacher,BI$4,m_date,($G$2+33),m_active,1,m_start,"&lt;"&amp;780,m_end,"&gt;"&amp;720)=0,"",IF(COUNTIFS(m_teacher,BI$4,m_date,($G$2+33),m_active,1,m_start,"&lt;"&amp;780,m_end,"&gt;"&amp;720)&gt;1,"충돌",HYPERLINK("#'관리자_MASTER'!D"&amp;_xlfn.MAXIFS(m_row,m_teacher,BI$4,m_date,($G$2+33),m_active,1,m_start,"&lt;"&amp;780,m_end,"&gt;"&amp;720),INDEX(m_label,_xlfn.MAXIFS(m_row,m_teacher,BI$4,m_date,($G$2+33),m_active,1,m_start,"&lt;"&amp;780,m_end,"&gt;"&amp;720))))))</f>
        <v/>
      </c>
      <c r="BJ63" s="88" t="str">
        <f aca="false">IF(OR(BJ$4="",MONTH(($G$2+33))&lt;&gt;MONTH($C$2)),"",IF(COUNTIFS(m_teacher,BJ$4,m_date,($G$2+33),m_active,1,m_start,"&lt;"&amp;780,m_end,"&gt;"&amp;720)=0,"",IF(COUNTIFS(m_teacher,BJ$4,m_date,($G$2+33),m_active,1,m_start,"&lt;"&amp;780,m_end,"&gt;"&amp;720)&gt;1,"충돌",HYPERLINK("#'관리자_MASTER'!D"&amp;_xlfn.MAXIFS(m_row,m_teacher,BJ$4,m_date,($G$2+33),m_active,1,m_start,"&lt;"&amp;780,m_end,"&gt;"&amp;720),INDEX(m_label,_xlfn.MAXIFS(m_row,m_teacher,BJ$4,m_date,($G$2+33),m_active,1,m_start,"&lt;"&amp;780,m_end,"&gt;"&amp;720))))))</f>
        <v/>
      </c>
      <c r="BK63" s="88" t="str">
        <f aca="false">IF(OR(BK$4="",MONTH(($G$2+33))&lt;&gt;MONTH($C$2)),"",IF(COUNTIFS(m_teacher,BK$4,m_date,($G$2+33),m_active,1,m_start,"&lt;"&amp;780,m_end,"&gt;"&amp;720)=0,"",IF(COUNTIFS(m_teacher,BK$4,m_date,($G$2+33),m_active,1,m_start,"&lt;"&amp;780,m_end,"&gt;"&amp;720)&gt;1,"충돌",HYPERLINK("#'관리자_MASTER'!D"&amp;_xlfn.MAXIFS(m_row,m_teacher,BK$4,m_date,($G$2+33),m_active,1,m_start,"&lt;"&amp;780,m_end,"&gt;"&amp;720),INDEX(m_label,_xlfn.MAXIFS(m_row,m_teacher,BK$4,m_date,($G$2+33),m_active,1,m_start,"&lt;"&amp;780,m_end,"&gt;"&amp;720))))))</f>
        <v/>
      </c>
      <c r="BL63" s="88" t="str">
        <f aca="false">IF(OR(BL$4="",MONTH(($G$2+33))&lt;&gt;MONTH($C$2)),"",IF(COUNTIFS(m_teacher,BL$4,m_date,($G$2+33),m_active,1,m_start,"&lt;"&amp;780,m_end,"&gt;"&amp;720)=0,"",IF(COUNTIFS(m_teacher,BL$4,m_date,($G$2+33),m_active,1,m_start,"&lt;"&amp;780,m_end,"&gt;"&amp;720)&gt;1,"충돌",HYPERLINK("#'관리자_MASTER'!D"&amp;_xlfn.MAXIFS(m_row,m_teacher,BL$4,m_date,($G$2+33),m_active,1,m_start,"&lt;"&amp;780,m_end,"&gt;"&amp;720),INDEX(m_label,_xlfn.MAXIFS(m_row,m_teacher,BL$4,m_date,($G$2+33),m_active,1,m_start,"&lt;"&amp;780,m_end,"&gt;"&amp;720))))))</f>
        <v/>
      </c>
      <c r="BM63" s="88" t="str">
        <f aca="false">IF(OR(BM$4="",MONTH(($G$2+33))&lt;&gt;MONTH($C$2)),"",IF(COUNTIFS(m_teacher,BM$4,m_date,($G$2+33),m_active,1,m_start,"&lt;"&amp;780,m_end,"&gt;"&amp;720)=0,"",IF(COUNTIFS(m_teacher,BM$4,m_date,($G$2+33),m_active,1,m_start,"&lt;"&amp;780,m_end,"&gt;"&amp;720)&gt;1,"충돌",HYPERLINK("#'관리자_MASTER'!D"&amp;_xlfn.MAXIFS(m_row,m_teacher,BM$4,m_date,($G$2+33),m_active,1,m_start,"&lt;"&amp;780,m_end,"&gt;"&amp;720),INDEX(m_label,_xlfn.MAXIFS(m_row,m_teacher,BM$4,m_date,($G$2+33),m_active,1,m_start,"&lt;"&amp;780,m_end,"&gt;"&amp;720))))))</f>
        <v/>
      </c>
      <c r="BN63" s="88" t="str">
        <f aca="false">IF(OR(BN$4="",MONTH(($G$2+33))&lt;&gt;MONTH($C$2)),"",IF(COUNTIFS(m_teacher,BN$4,m_date,($G$2+33),m_active,1,m_start,"&lt;"&amp;780,m_end,"&gt;"&amp;720)=0,"",IF(COUNTIFS(m_teacher,BN$4,m_date,($G$2+33),m_active,1,m_start,"&lt;"&amp;780,m_end,"&gt;"&amp;720)&gt;1,"충돌",HYPERLINK("#'관리자_MASTER'!D"&amp;_xlfn.MAXIFS(m_row,m_teacher,BN$4,m_date,($G$2+33),m_active,1,m_start,"&lt;"&amp;780,m_end,"&gt;"&amp;720),INDEX(m_label,_xlfn.MAXIFS(m_row,m_teacher,BN$4,m_date,($G$2+33),m_active,1,m_start,"&lt;"&amp;780,m_end,"&gt;"&amp;720))))))</f>
        <v/>
      </c>
      <c r="BO63" s="88" t="str">
        <f aca="false">IF(OR(BO$4="",MONTH(($G$2+33))&lt;&gt;MONTH($C$2)),"",IF(COUNTIFS(m_teacher,BO$4,m_date,($G$2+33),m_active,1,m_start,"&lt;"&amp;780,m_end,"&gt;"&amp;720)=0,"",IF(COUNTIFS(m_teacher,BO$4,m_date,($G$2+33),m_active,1,m_start,"&lt;"&amp;780,m_end,"&gt;"&amp;720)&gt;1,"충돌",HYPERLINK("#'관리자_MASTER'!D"&amp;_xlfn.MAXIFS(m_row,m_teacher,BO$4,m_date,($G$2+33),m_active,1,m_start,"&lt;"&amp;780,m_end,"&gt;"&amp;720),INDEX(m_label,_xlfn.MAXIFS(m_row,m_teacher,BO$4,m_date,($G$2+33),m_active,1,m_start,"&lt;"&amp;780,m_end,"&gt;"&amp;720))))))</f>
        <v/>
      </c>
      <c r="BP63" s="88" t="str">
        <f aca="false">IF(OR(BP$4="",MONTH(($G$2+33))&lt;&gt;MONTH($C$2)),"",IF(COUNTIFS(m_teacher,BP$4,m_date,($G$2+33),m_active,1,m_start,"&lt;"&amp;780,m_end,"&gt;"&amp;720)=0,"",IF(COUNTIFS(m_teacher,BP$4,m_date,($G$2+33),m_active,1,m_start,"&lt;"&amp;780,m_end,"&gt;"&amp;720)&gt;1,"충돌",HYPERLINK("#'관리자_MASTER'!D"&amp;_xlfn.MAXIFS(m_row,m_teacher,BP$4,m_date,($G$2+33),m_active,1,m_start,"&lt;"&amp;780,m_end,"&gt;"&amp;720),INDEX(m_label,_xlfn.MAXIFS(m_row,m_teacher,BP$4,m_date,($G$2+33),m_active,1,m_start,"&lt;"&amp;780,m_end,"&gt;"&amp;720))))))</f>
        <v/>
      </c>
      <c r="BQ63" s="88" t="str">
        <f aca="false">IF(OR(BQ$4="",MONTH(($G$2+33))&lt;&gt;MONTH($C$2)),"",IF(COUNTIFS(m_teacher,BQ$4,m_date,($G$2+33),m_active,1,m_start,"&lt;"&amp;780,m_end,"&gt;"&amp;720)=0,"",IF(COUNTIFS(m_teacher,BQ$4,m_date,($G$2+33),m_active,1,m_start,"&lt;"&amp;780,m_end,"&gt;"&amp;720)&gt;1,"충돌",HYPERLINK("#'관리자_MASTER'!D"&amp;_xlfn.MAXIFS(m_row,m_teacher,BQ$4,m_date,($G$2+33),m_active,1,m_start,"&lt;"&amp;780,m_end,"&gt;"&amp;720),INDEX(m_label,_xlfn.MAXIFS(m_row,m_teacher,BQ$4,m_date,($G$2+33),m_active,1,m_start,"&lt;"&amp;780,m_end,"&gt;"&amp;720))))))</f>
        <v/>
      </c>
      <c r="BR63" s="88" t="str">
        <f aca="false">IF(OR(BR$4="",MONTH(($G$2+33))&lt;&gt;MONTH($C$2)),"",IF(COUNTIFS(m_teacher,BR$4,m_date,($G$2+33),m_active,1,m_start,"&lt;"&amp;780,m_end,"&gt;"&amp;720)=0,"",IF(COUNTIFS(m_teacher,BR$4,m_date,($G$2+33),m_active,1,m_start,"&lt;"&amp;780,m_end,"&gt;"&amp;720)&gt;1,"충돌",HYPERLINK("#'관리자_MASTER'!D"&amp;_xlfn.MAXIFS(m_row,m_teacher,BR$4,m_date,($G$2+33),m_active,1,m_start,"&lt;"&amp;780,m_end,"&gt;"&amp;720),INDEX(m_label,_xlfn.MAXIFS(m_row,m_teacher,BR$4,m_date,($G$2+33),m_active,1,m_start,"&lt;"&amp;780,m_end,"&gt;"&amp;720))))))</f>
        <v/>
      </c>
    </row>
    <row r="64" customFormat="false" ht="19.5" hidden="false" customHeight="true" outlineLevel="0" collapsed="false">
      <c r="A64" s="90"/>
      <c r="B64" s="79" t="s">
        <v>95</v>
      </c>
      <c r="C64" s="88" t="str">
        <f aca="false">IF(OR(C$4="",MONTH(($G$2+5))&lt;&gt;MONTH($C$2)),"",IF(COUNTIFS(m_teacher,C$4,m_date,($G$2+5),m_active,1,m_start,"&lt;"&amp;840,m_end,"&gt;"&amp;780)=0,"",IF(COUNTIFS(m_teacher,C$4,m_date,($G$2+5),m_active,1,m_start,"&lt;"&amp;840,m_end,"&gt;"&amp;780)&gt;1,"충돌",HYPERLINK("#'관리자_MASTER'!D"&amp;_xlfn.MAXIFS(m_row,m_teacher,C$4,m_date,($G$2+5),m_active,1,m_start,"&lt;"&amp;840,m_end,"&gt;"&amp;780),INDEX(m_label,_xlfn.MAXIFS(m_row,m_teacher,C$4,m_date,($G$2+5),m_active,1,m_start,"&lt;"&amp;840,m_end,"&gt;"&amp;780))))))</f>
        <v/>
      </c>
      <c r="D64" s="88" t="str">
        <f aca="false">IF(OR(D$4="",MONTH(($G$2+5))&lt;&gt;MONTH($C$2)),"",IF(COUNTIFS(m_teacher,D$4,m_date,($G$2+5),m_active,1,m_start,"&lt;"&amp;840,m_end,"&gt;"&amp;780)=0,"",IF(COUNTIFS(m_teacher,D$4,m_date,($G$2+5),m_active,1,m_start,"&lt;"&amp;840,m_end,"&gt;"&amp;780)&gt;1,"충돌",HYPERLINK("#'관리자_MASTER'!D"&amp;_xlfn.MAXIFS(m_row,m_teacher,D$4,m_date,($G$2+5),m_active,1,m_start,"&lt;"&amp;840,m_end,"&gt;"&amp;780),INDEX(m_label,_xlfn.MAXIFS(m_row,m_teacher,D$4,m_date,($G$2+5),m_active,1,m_start,"&lt;"&amp;840,m_end,"&gt;"&amp;780))))))</f>
        <v/>
      </c>
      <c r="E64" s="88" t="str">
        <f aca="false">IF(OR(E$4="",MONTH(($G$2+5))&lt;&gt;MONTH($C$2)),"",IF(COUNTIFS(m_teacher,E$4,m_date,($G$2+5),m_active,1,m_start,"&lt;"&amp;840,m_end,"&gt;"&amp;780)=0,"",IF(COUNTIFS(m_teacher,E$4,m_date,($G$2+5),m_active,1,m_start,"&lt;"&amp;840,m_end,"&gt;"&amp;780)&gt;1,"충돌",HYPERLINK("#'관리자_MASTER'!D"&amp;_xlfn.MAXIFS(m_row,m_teacher,E$4,m_date,($G$2+5),m_active,1,m_start,"&lt;"&amp;840,m_end,"&gt;"&amp;780),INDEX(m_label,_xlfn.MAXIFS(m_row,m_teacher,E$4,m_date,($G$2+5),m_active,1,m_start,"&lt;"&amp;840,m_end,"&gt;"&amp;780))))))</f>
        <v/>
      </c>
      <c r="F64" s="88" t="str">
        <f aca="false">IF(OR(F$4="",MONTH(($G$2+5))&lt;&gt;MONTH($C$2)),"",IF(COUNTIFS(m_teacher,F$4,m_date,($G$2+5),m_active,1,m_start,"&lt;"&amp;840,m_end,"&gt;"&amp;780)=0,"",IF(COUNTIFS(m_teacher,F$4,m_date,($G$2+5),m_active,1,m_start,"&lt;"&amp;840,m_end,"&gt;"&amp;780)&gt;1,"충돌",HYPERLINK("#'관리자_MASTER'!D"&amp;_xlfn.MAXIFS(m_row,m_teacher,F$4,m_date,($G$2+5),m_active,1,m_start,"&lt;"&amp;840,m_end,"&gt;"&amp;780),INDEX(m_label,_xlfn.MAXIFS(m_row,m_teacher,F$4,m_date,($G$2+5),m_active,1,m_start,"&lt;"&amp;840,m_end,"&gt;"&amp;780))))))</f>
        <v/>
      </c>
      <c r="G64" s="88" t="str">
        <f aca="false">IF(OR(G$4="",MONTH(($G$2+5))&lt;&gt;MONTH($C$2)),"",IF(COUNTIFS(m_teacher,G$4,m_date,($G$2+5),m_active,1,m_start,"&lt;"&amp;840,m_end,"&gt;"&amp;780)=0,"",IF(COUNTIFS(m_teacher,G$4,m_date,($G$2+5),m_active,1,m_start,"&lt;"&amp;840,m_end,"&gt;"&amp;780)&gt;1,"충돌",HYPERLINK("#'관리자_MASTER'!D"&amp;_xlfn.MAXIFS(m_row,m_teacher,G$4,m_date,($G$2+5),m_active,1,m_start,"&lt;"&amp;840,m_end,"&gt;"&amp;780),INDEX(m_label,_xlfn.MAXIFS(m_row,m_teacher,G$4,m_date,($G$2+5),m_active,1,m_start,"&lt;"&amp;840,m_end,"&gt;"&amp;780))))))</f>
        <v/>
      </c>
      <c r="H64" s="88" t="str">
        <f aca="false">IF(OR(H$4="",MONTH(($G$2+5))&lt;&gt;MONTH($C$2)),"",IF(COUNTIFS(m_teacher,H$4,m_date,($G$2+5),m_active,1,m_start,"&lt;"&amp;840,m_end,"&gt;"&amp;780)=0,"",IF(COUNTIFS(m_teacher,H$4,m_date,($G$2+5),m_active,1,m_start,"&lt;"&amp;840,m_end,"&gt;"&amp;780)&gt;1,"충돌",HYPERLINK("#'관리자_MASTER'!D"&amp;_xlfn.MAXIFS(m_row,m_teacher,H$4,m_date,($G$2+5),m_active,1,m_start,"&lt;"&amp;840,m_end,"&gt;"&amp;780),INDEX(m_label,_xlfn.MAXIFS(m_row,m_teacher,H$4,m_date,($G$2+5),m_active,1,m_start,"&lt;"&amp;840,m_end,"&gt;"&amp;780))))))</f>
        <v/>
      </c>
      <c r="I64" s="88" t="str">
        <f aca="false">IF(OR(I$4="",MONTH(($G$2+5))&lt;&gt;MONTH($C$2)),"",IF(COUNTIFS(m_teacher,I$4,m_date,($G$2+5),m_active,1,m_start,"&lt;"&amp;840,m_end,"&gt;"&amp;780)=0,"",IF(COUNTIFS(m_teacher,I$4,m_date,($G$2+5),m_active,1,m_start,"&lt;"&amp;840,m_end,"&gt;"&amp;780)&gt;1,"충돌",HYPERLINK("#'관리자_MASTER'!D"&amp;_xlfn.MAXIFS(m_row,m_teacher,I$4,m_date,($G$2+5),m_active,1,m_start,"&lt;"&amp;840,m_end,"&gt;"&amp;780),INDEX(m_label,_xlfn.MAXIFS(m_row,m_teacher,I$4,m_date,($G$2+5),m_active,1,m_start,"&lt;"&amp;840,m_end,"&gt;"&amp;780))))))</f>
        <v/>
      </c>
      <c r="J64" s="88" t="str">
        <f aca="false">IF(OR(J$4="",MONTH(($G$2+5))&lt;&gt;MONTH($C$2)),"",IF(COUNTIFS(m_teacher,J$4,m_date,($G$2+5),m_active,1,m_start,"&lt;"&amp;840,m_end,"&gt;"&amp;780)=0,"",IF(COUNTIFS(m_teacher,J$4,m_date,($G$2+5),m_active,1,m_start,"&lt;"&amp;840,m_end,"&gt;"&amp;780)&gt;1,"충돌",HYPERLINK("#'관리자_MASTER'!D"&amp;_xlfn.MAXIFS(m_row,m_teacher,J$4,m_date,($G$2+5),m_active,1,m_start,"&lt;"&amp;840,m_end,"&gt;"&amp;780),INDEX(m_label,_xlfn.MAXIFS(m_row,m_teacher,J$4,m_date,($G$2+5),m_active,1,m_start,"&lt;"&amp;840,m_end,"&gt;"&amp;780))))))</f>
        <v/>
      </c>
      <c r="K64" s="88" t="str">
        <f aca="false">IF(OR(K$4="",MONTH(($G$2+5))&lt;&gt;MONTH($C$2)),"",IF(COUNTIFS(m_teacher,K$4,m_date,($G$2+5),m_active,1,m_start,"&lt;"&amp;840,m_end,"&gt;"&amp;780)=0,"",IF(COUNTIFS(m_teacher,K$4,m_date,($G$2+5),m_active,1,m_start,"&lt;"&amp;840,m_end,"&gt;"&amp;780)&gt;1,"충돌",HYPERLINK("#'관리자_MASTER'!D"&amp;_xlfn.MAXIFS(m_row,m_teacher,K$4,m_date,($G$2+5),m_active,1,m_start,"&lt;"&amp;840,m_end,"&gt;"&amp;780),INDEX(m_label,_xlfn.MAXIFS(m_row,m_teacher,K$4,m_date,($G$2+5),m_active,1,m_start,"&lt;"&amp;840,m_end,"&gt;"&amp;780))))))</f>
        <v/>
      </c>
      <c r="L64" s="88" t="str">
        <f aca="false">IF(OR(L$4="",MONTH(($G$2+5))&lt;&gt;MONTH($C$2)),"",IF(COUNTIFS(m_teacher,L$4,m_date,($G$2+5),m_active,1,m_start,"&lt;"&amp;840,m_end,"&gt;"&amp;780)=0,"",IF(COUNTIFS(m_teacher,L$4,m_date,($G$2+5),m_active,1,m_start,"&lt;"&amp;840,m_end,"&gt;"&amp;780)&gt;1,"충돌",HYPERLINK("#'관리자_MASTER'!D"&amp;_xlfn.MAXIFS(m_row,m_teacher,L$4,m_date,($G$2+5),m_active,1,m_start,"&lt;"&amp;840,m_end,"&gt;"&amp;780),INDEX(m_label,_xlfn.MAXIFS(m_row,m_teacher,L$4,m_date,($G$2+5),m_active,1,m_start,"&lt;"&amp;840,m_end,"&gt;"&amp;780))))))</f>
        <v/>
      </c>
      <c r="M64" s="88" t="str">
        <f aca="false">IF(OR(M$4="",MONTH(($G$2+5))&lt;&gt;MONTH($C$2)),"",IF(COUNTIFS(m_teacher,M$4,m_date,($G$2+5),m_active,1,m_start,"&lt;"&amp;840,m_end,"&gt;"&amp;780)=0,"",IF(COUNTIFS(m_teacher,M$4,m_date,($G$2+5),m_active,1,m_start,"&lt;"&amp;840,m_end,"&gt;"&amp;780)&gt;1,"충돌",HYPERLINK("#'관리자_MASTER'!D"&amp;_xlfn.MAXIFS(m_row,m_teacher,M$4,m_date,($G$2+5),m_active,1,m_start,"&lt;"&amp;840,m_end,"&gt;"&amp;780),INDEX(m_label,_xlfn.MAXIFS(m_row,m_teacher,M$4,m_date,($G$2+5),m_active,1,m_start,"&lt;"&amp;840,m_end,"&gt;"&amp;780))))))</f>
        <v/>
      </c>
      <c r="N64" s="88" t="str">
        <f aca="false">IF(OR(N$4="",MONTH(($G$2+5))&lt;&gt;MONTH($C$2)),"",IF(COUNTIFS(m_teacher,N$4,m_date,($G$2+5),m_active,1,m_start,"&lt;"&amp;840,m_end,"&gt;"&amp;780)=0,"",IF(COUNTIFS(m_teacher,N$4,m_date,($G$2+5),m_active,1,m_start,"&lt;"&amp;840,m_end,"&gt;"&amp;780)&gt;1,"충돌",HYPERLINK("#'관리자_MASTER'!D"&amp;_xlfn.MAXIFS(m_row,m_teacher,N$4,m_date,($G$2+5),m_active,1,m_start,"&lt;"&amp;840,m_end,"&gt;"&amp;780),INDEX(m_label,_xlfn.MAXIFS(m_row,m_teacher,N$4,m_date,($G$2+5),m_active,1,m_start,"&lt;"&amp;840,m_end,"&gt;"&amp;780))))))</f>
        <v/>
      </c>
      <c r="O64" s="90"/>
      <c r="P64" s="79" t="s">
        <v>95</v>
      </c>
      <c r="Q64" s="88" t="str">
        <f aca="false">IF(OR(Q$4="",MONTH(($G$2+12))&lt;&gt;MONTH($C$2)),"",IF(COUNTIFS(m_teacher,Q$4,m_date,($G$2+12),m_active,1,m_start,"&lt;"&amp;840,m_end,"&gt;"&amp;780)=0,"",IF(COUNTIFS(m_teacher,Q$4,m_date,($G$2+12),m_active,1,m_start,"&lt;"&amp;840,m_end,"&gt;"&amp;780)&gt;1,"충돌",HYPERLINK("#'관리자_MASTER'!D"&amp;_xlfn.MAXIFS(m_row,m_teacher,Q$4,m_date,($G$2+12),m_active,1,m_start,"&lt;"&amp;840,m_end,"&gt;"&amp;780),INDEX(m_label,_xlfn.MAXIFS(m_row,m_teacher,Q$4,m_date,($G$2+12),m_active,1,m_start,"&lt;"&amp;840,m_end,"&gt;"&amp;780))))))</f>
        <v/>
      </c>
      <c r="R64" s="88" t="str">
        <f aca="false">IF(OR(R$4="",MONTH(($G$2+12))&lt;&gt;MONTH($C$2)),"",IF(COUNTIFS(m_teacher,R$4,m_date,($G$2+12),m_active,1,m_start,"&lt;"&amp;840,m_end,"&gt;"&amp;780)=0,"",IF(COUNTIFS(m_teacher,R$4,m_date,($G$2+12),m_active,1,m_start,"&lt;"&amp;840,m_end,"&gt;"&amp;780)&gt;1,"충돌",HYPERLINK("#'관리자_MASTER'!D"&amp;_xlfn.MAXIFS(m_row,m_teacher,R$4,m_date,($G$2+12),m_active,1,m_start,"&lt;"&amp;840,m_end,"&gt;"&amp;780),INDEX(m_label,_xlfn.MAXIFS(m_row,m_teacher,R$4,m_date,($G$2+12),m_active,1,m_start,"&lt;"&amp;840,m_end,"&gt;"&amp;780))))))</f>
        <v/>
      </c>
      <c r="S64" s="88" t="str">
        <f aca="false">IF(OR(S$4="",MONTH(($G$2+12))&lt;&gt;MONTH($C$2)),"",IF(COUNTIFS(m_teacher,S$4,m_date,($G$2+12),m_active,1,m_start,"&lt;"&amp;840,m_end,"&gt;"&amp;780)=0,"",IF(COUNTIFS(m_teacher,S$4,m_date,($G$2+12),m_active,1,m_start,"&lt;"&amp;840,m_end,"&gt;"&amp;780)&gt;1,"충돌",HYPERLINK("#'관리자_MASTER'!D"&amp;_xlfn.MAXIFS(m_row,m_teacher,S$4,m_date,($G$2+12),m_active,1,m_start,"&lt;"&amp;840,m_end,"&gt;"&amp;780),INDEX(m_label,_xlfn.MAXIFS(m_row,m_teacher,S$4,m_date,($G$2+12),m_active,1,m_start,"&lt;"&amp;840,m_end,"&gt;"&amp;780))))))</f>
        <v/>
      </c>
      <c r="T64" s="88" t="str">
        <f aca="false">IF(OR(T$4="",MONTH(($G$2+12))&lt;&gt;MONTH($C$2)),"",IF(COUNTIFS(m_teacher,T$4,m_date,($G$2+12),m_active,1,m_start,"&lt;"&amp;840,m_end,"&gt;"&amp;780)=0,"",IF(COUNTIFS(m_teacher,T$4,m_date,($G$2+12),m_active,1,m_start,"&lt;"&amp;840,m_end,"&gt;"&amp;780)&gt;1,"충돌",HYPERLINK("#'관리자_MASTER'!D"&amp;_xlfn.MAXIFS(m_row,m_teacher,T$4,m_date,($G$2+12),m_active,1,m_start,"&lt;"&amp;840,m_end,"&gt;"&amp;780),INDEX(m_label,_xlfn.MAXIFS(m_row,m_teacher,T$4,m_date,($G$2+12),m_active,1,m_start,"&lt;"&amp;840,m_end,"&gt;"&amp;780))))))</f>
        <v/>
      </c>
      <c r="U64" s="88" t="str">
        <f aca="false">IF(OR(U$4="",MONTH(($G$2+12))&lt;&gt;MONTH($C$2)),"",IF(COUNTIFS(m_teacher,U$4,m_date,($G$2+12),m_active,1,m_start,"&lt;"&amp;840,m_end,"&gt;"&amp;780)=0,"",IF(COUNTIFS(m_teacher,U$4,m_date,($G$2+12),m_active,1,m_start,"&lt;"&amp;840,m_end,"&gt;"&amp;780)&gt;1,"충돌",HYPERLINK("#'관리자_MASTER'!D"&amp;_xlfn.MAXIFS(m_row,m_teacher,U$4,m_date,($G$2+12),m_active,1,m_start,"&lt;"&amp;840,m_end,"&gt;"&amp;780),INDEX(m_label,_xlfn.MAXIFS(m_row,m_teacher,U$4,m_date,($G$2+12),m_active,1,m_start,"&lt;"&amp;840,m_end,"&gt;"&amp;780))))))</f>
        <v/>
      </c>
      <c r="V64" s="88" t="str">
        <f aca="false">IF(OR(V$4="",MONTH(($G$2+12))&lt;&gt;MONTH($C$2)),"",IF(COUNTIFS(m_teacher,V$4,m_date,($G$2+12),m_active,1,m_start,"&lt;"&amp;840,m_end,"&gt;"&amp;780)=0,"",IF(COUNTIFS(m_teacher,V$4,m_date,($G$2+12),m_active,1,m_start,"&lt;"&amp;840,m_end,"&gt;"&amp;780)&gt;1,"충돌",HYPERLINK("#'관리자_MASTER'!D"&amp;_xlfn.MAXIFS(m_row,m_teacher,V$4,m_date,($G$2+12),m_active,1,m_start,"&lt;"&amp;840,m_end,"&gt;"&amp;780),INDEX(m_label,_xlfn.MAXIFS(m_row,m_teacher,V$4,m_date,($G$2+12),m_active,1,m_start,"&lt;"&amp;840,m_end,"&gt;"&amp;780))))))</f>
        <v/>
      </c>
      <c r="W64" s="88" t="str">
        <f aca="false">IF(OR(W$4="",MONTH(($G$2+12))&lt;&gt;MONTH($C$2)),"",IF(COUNTIFS(m_teacher,W$4,m_date,($G$2+12),m_active,1,m_start,"&lt;"&amp;840,m_end,"&gt;"&amp;780)=0,"",IF(COUNTIFS(m_teacher,W$4,m_date,($G$2+12),m_active,1,m_start,"&lt;"&amp;840,m_end,"&gt;"&amp;780)&gt;1,"충돌",HYPERLINK("#'관리자_MASTER'!D"&amp;_xlfn.MAXIFS(m_row,m_teacher,W$4,m_date,($G$2+12),m_active,1,m_start,"&lt;"&amp;840,m_end,"&gt;"&amp;780),INDEX(m_label,_xlfn.MAXIFS(m_row,m_teacher,W$4,m_date,($G$2+12),m_active,1,m_start,"&lt;"&amp;840,m_end,"&gt;"&amp;780))))))</f>
        <v/>
      </c>
      <c r="X64" s="88" t="str">
        <f aca="false">IF(OR(X$4="",MONTH(($G$2+12))&lt;&gt;MONTH($C$2)),"",IF(COUNTIFS(m_teacher,X$4,m_date,($G$2+12),m_active,1,m_start,"&lt;"&amp;840,m_end,"&gt;"&amp;780)=0,"",IF(COUNTIFS(m_teacher,X$4,m_date,($G$2+12),m_active,1,m_start,"&lt;"&amp;840,m_end,"&gt;"&amp;780)&gt;1,"충돌",HYPERLINK("#'관리자_MASTER'!D"&amp;_xlfn.MAXIFS(m_row,m_teacher,X$4,m_date,($G$2+12),m_active,1,m_start,"&lt;"&amp;840,m_end,"&gt;"&amp;780),INDEX(m_label,_xlfn.MAXIFS(m_row,m_teacher,X$4,m_date,($G$2+12),m_active,1,m_start,"&lt;"&amp;840,m_end,"&gt;"&amp;780))))))</f>
        <v/>
      </c>
      <c r="Y64" s="88" t="str">
        <f aca="false">IF(OR(Y$4="",MONTH(($G$2+12))&lt;&gt;MONTH($C$2)),"",IF(COUNTIFS(m_teacher,Y$4,m_date,($G$2+12),m_active,1,m_start,"&lt;"&amp;840,m_end,"&gt;"&amp;780)=0,"",IF(COUNTIFS(m_teacher,Y$4,m_date,($G$2+12),m_active,1,m_start,"&lt;"&amp;840,m_end,"&gt;"&amp;780)&gt;1,"충돌",HYPERLINK("#'관리자_MASTER'!D"&amp;_xlfn.MAXIFS(m_row,m_teacher,Y$4,m_date,($G$2+12),m_active,1,m_start,"&lt;"&amp;840,m_end,"&gt;"&amp;780),INDEX(m_label,_xlfn.MAXIFS(m_row,m_teacher,Y$4,m_date,($G$2+12),m_active,1,m_start,"&lt;"&amp;840,m_end,"&gt;"&amp;780))))))</f>
        <v/>
      </c>
      <c r="Z64" s="88" t="str">
        <f aca="false">IF(OR(Z$4="",MONTH(($G$2+12))&lt;&gt;MONTH($C$2)),"",IF(COUNTIFS(m_teacher,Z$4,m_date,($G$2+12),m_active,1,m_start,"&lt;"&amp;840,m_end,"&gt;"&amp;780)=0,"",IF(COUNTIFS(m_teacher,Z$4,m_date,($G$2+12),m_active,1,m_start,"&lt;"&amp;840,m_end,"&gt;"&amp;780)&gt;1,"충돌",HYPERLINK("#'관리자_MASTER'!D"&amp;_xlfn.MAXIFS(m_row,m_teacher,Z$4,m_date,($G$2+12),m_active,1,m_start,"&lt;"&amp;840,m_end,"&gt;"&amp;780),INDEX(m_label,_xlfn.MAXIFS(m_row,m_teacher,Z$4,m_date,($G$2+12),m_active,1,m_start,"&lt;"&amp;840,m_end,"&gt;"&amp;780))))))</f>
        <v/>
      </c>
      <c r="AA64" s="88" t="str">
        <f aca="false">IF(OR(AA$4="",MONTH(($G$2+12))&lt;&gt;MONTH($C$2)),"",IF(COUNTIFS(m_teacher,AA$4,m_date,($G$2+12),m_active,1,m_start,"&lt;"&amp;840,m_end,"&gt;"&amp;780)=0,"",IF(COUNTIFS(m_teacher,AA$4,m_date,($G$2+12),m_active,1,m_start,"&lt;"&amp;840,m_end,"&gt;"&amp;780)&gt;1,"충돌",HYPERLINK("#'관리자_MASTER'!D"&amp;_xlfn.MAXIFS(m_row,m_teacher,AA$4,m_date,($G$2+12),m_active,1,m_start,"&lt;"&amp;840,m_end,"&gt;"&amp;780),INDEX(m_label,_xlfn.MAXIFS(m_row,m_teacher,AA$4,m_date,($G$2+12),m_active,1,m_start,"&lt;"&amp;840,m_end,"&gt;"&amp;780))))))</f>
        <v/>
      </c>
      <c r="AB64" s="88" t="str">
        <f aca="false">IF(OR(AB$4="",MONTH(($G$2+12))&lt;&gt;MONTH($C$2)),"",IF(COUNTIFS(m_teacher,AB$4,m_date,($G$2+12),m_active,1,m_start,"&lt;"&amp;840,m_end,"&gt;"&amp;780)=0,"",IF(COUNTIFS(m_teacher,AB$4,m_date,($G$2+12),m_active,1,m_start,"&lt;"&amp;840,m_end,"&gt;"&amp;780)&gt;1,"충돌",HYPERLINK("#'관리자_MASTER'!D"&amp;_xlfn.MAXIFS(m_row,m_teacher,AB$4,m_date,($G$2+12),m_active,1,m_start,"&lt;"&amp;840,m_end,"&gt;"&amp;780),INDEX(m_label,_xlfn.MAXIFS(m_row,m_teacher,AB$4,m_date,($G$2+12),m_active,1,m_start,"&lt;"&amp;840,m_end,"&gt;"&amp;780))))))</f>
        <v/>
      </c>
      <c r="AC64" s="90"/>
      <c r="AD64" s="79" t="s">
        <v>95</v>
      </c>
      <c r="AE64" s="88" t="str">
        <f aca="false">IF(OR(AE$4="",MONTH(($G$2+19))&lt;&gt;MONTH($C$2)),"",IF(COUNTIFS(m_teacher,AE$4,m_date,($G$2+19),m_active,1,m_start,"&lt;"&amp;840,m_end,"&gt;"&amp;780)=0,"",IF(COUNTIFS(m_teacher,AE$4,m_date,($G$2+19),m_active,1,m_start,"&lt;"&amp;840,m_end,"&gt;"&amp;780)&gt;1,"충돌",HYPERLINK("#'관리자_MASTER'!D"&amp;_xlfn.MAXIFS(m_row,m_teacher,AE$4,m_date,($G$2+19),m_active,1,m_start,"&lt;"&amp;840,m_end,"&gt;"&amp;780),INDEX(m_label,_xlfn.MAXIFS(m_row,m_teacher,AE$4,m_date,($G$2+19),m_active,1,m_start,"&lt;"&amp;840,m_end,"&gt;"&amp;780))))))</f>
        <v/>
      </c>
      <c r="AF64" s="88" t="str">
        <f aca="false">IF(OR(AF$4="",MONTH(($G$2+19))&lt;&gt;MONTH($C$2)),"",IF(COUNTIFS(m_teacher,AF$4,m_date,($G$2+19),m_active,1,m_start,"&lt;"&amp;840,m_end,"&gt;"&amp;780)=0,"",IF(COUNTIFS(m_teacher,AF$4,m_date,($G$2+19),m_active,1,m_start,"&lt;"&amp;840,m_end,"&gt;"&amp;780)&gt;1,"충돌",HYPERLINK("#'관리자_MASTER'!D"&amp;_xlfn.MAXIFS(m_row,m_teacher,AF$4,m_date,($G$2+19),m_active,1,m_start,"&lt;"&amp;840,m_end,"&gt;"&amp;780),INDEX(m_label,_xlfn.MAXIFS(m_row,m_teacher,AF$4,m_date,($G$2+19),m_active,1,m_start,"&lt;"&amp;840,m_end,"&gt;"&amp;780))))))</f>
        <v/>
      </c>
      <c r="AG64" s="88" t="str">
        <f aca="false">IF(OR(AG$4="",MONTH(($G$2+19))&lt;&gt;MONTH($C$2)),"",IF(COUNTIFS(m_teacher,AG$4,m_date,($G$2+19),m_active,1,m_start,"&lt;"&amp;840,m_end,"&gt;"&amp;780)=0,"",IF(COUNTIFS(m_teacher,AG$4,m_date,($G$2+19),m_active,1,m_start,"&lt;"&amp;840,m_end,"&gt;"&amp;780)&gt;1,"충돌",HYPERLINK("#'관리자_MASTER'!D"&amp;_xlfn.MAXIFS(m_row,m_teacher,AG$4,m_date,($G$2+19),m_active,1,m_start,"&lt;"&amp;840,m_end,"&gt;"&amp;780),INDEX(m_label,_xlfn.MAXIFS(m_row,m_teacher,AG$4,m_date,($G$2+19),m_active,1,m_start,"&lt;"&amp;840,m_end,"&gt;"&amp;780))))))</f>
        <v/>
      </c>
      <c r="AH64" s="88" t="str">
        <f aca="false">IF(OR(AH$4="",MONTH(($G$2+19))&lt;&gt;MONTH($C$2)),"",IF(COUNTIFS(m_teacher,AH$4,m_date,($G$2+19),m_active,1,m_start,"&lt;"&amp;840,m_end,"&gt;"&amp;780)=0,"",IF(COUNTIFS(m_teacher,AH$4,m_date,($G$2+19),m_active,1,m_start,"&lt;"&amp;840,m_end,"&gt;"&amp;780)&gt;1,"충돌",HYPERLINK("#'관리자_MASTER'!D"&amp;_xlfn.MAXIFS(m_row,m_teacher,AH$4,m_date,($G$2+19),m_active,1,m_start,"&lt;"&amp;840,m_end,"&gt;"&amp;780),INDEX(m_label,_xlfn.MAXIFS(m_row,m_teacher,AH$4,m_date,($G$2+19),m_active,1,m_start,"&lt;"&amp;840,m_end,"&gt;"&amp;780))))))</f>
        <v/>
      </c>
      <c r="AI64" s="88" t="str">
        <f aca="false">IF(OR(AI$4="",MONTH(($G$2+19))&lt;&gt;MONTH($C$2)),"",IF(COUNTIFS(m_teacher,AI$4,m_date,($G$2+19),m_active,1,m_start,"&lt;"&amp;840,m_end,"&gt;"&amp;780)=0,"",IF(COUNTIFS(m_teacher,AI$4,m_date,($G$2+19),m_active,1,m_start,"&lt;"&amp;840,m_end,"&gt;"&amp;780)&gt;1,"충돌",HYPERLINK("#'관리자_MASTER'!D"&amp;_xlfn.MAXIFS(m_row,m_teacher,AI$4,m_date,($G$2+19),m_active,1,m_start,"&lt;"&amp;840,m_end,"&gt;"&amp;780),INDEX(m_label,_xlfn.MAXIFS(m_row,m_teacher,AI$4,m_date,($G$2+19),m_active,1,m_start,"&lt;"&amp;840,m_end,"&gt;"&amp;780))))))</f>
        <v/>
      </c>
      <c r="AJ64" s="88" t="str">
        <f aca="false">IF(OR(AJ$4="",MONTH(($G$2+19))&lt;&gt;MONTH($C$2)),"",IF(COUNTIFS(m_teacher,AJ$4,m_date,($G$2+19),m_active,1,m_start,"&lt;"&amp;840,m_end,"&gt;"&amp;780)=0,"",IF(COUNTIFS(m_teacher,AJ$4,m_date,($G$2+19),m_active,1,m_start,"&lt;"&amp;840,m_end,"&gt;"&amp;780)&gt;1,"충돌",HYPERLINK("#'관리자_MASTER'!D"&amp;_xlfn.MAXIFS(m_row,m_teacher,AJ$4,m_date,($G$2+19),m_active,1,m_start,"&lt;"&amp;840,m_end,"&gt;"&amp;780),INDEX(m_label,_xlfn.MAXIFS(m_row,m_teacher,AJ$4,m_date,($G$2+19),m_active,1,m_start,"&lt;"&amp;840,m_end,"&gt;"&amp;780))))))</f>
        <v/>
      </c>
      <c r="AK64" s="88" t="str">
        <f aca="false">IF(OR(AK$4="",MONTH(($G$2+19))&lt;&gt;MONTH($C$2)),"",IF(COUNTIFS(m_teacher,AK$4,m_date,($G$2+19),m_active,1,m_start,"&lt;"&amp;840,m_end,"&gt;"&amp;780)=0,"",IF(COUNTIFS(m_teacher,AK$4,m_date,($G$2+19),m_active,1,m_start,"&lt;"&amp;840,m_end,"&gt;"&amp;780)&gt;1,"충돌",HYPERLINK("#'관리자_MASTER'!D"&amp;_xlfn.MAXIFS(m_row,m_teacher,AK$4,m_date,($G$2+19),m_active,1,m_start,"&lt;"&amp;840,m_end,"&gt;"&amp;780),INDEX(m_label,_xlfn.MAXIFS(m_row,m_teacher,AK$4,m_date,($G$2+19),m_active,1,m_start,"&lt;"&amp;840,m_end,"&gt;"&amp;780))))))</f>
        <v/>
      </c>
      <c r="AL64" s="88" t="str">
        <f aca="false">IF(OR(AL$4="",MONTH(($G$2+19))&lt;&gt;MONTH($C$2)),"",IF(COUNTIFS(m_teacher,AL$4,m_date,($G$2+19),m_active,1,m_start,"&lt;"&amp;840,m_end,"&gt;"&amp;780)=0,"",IF(COUNTIFS(m_teacher,AL$4,m_date,($G$2+19),m_active,1,m_start,"&lt;"&amp;840,m_end,"&gt;"&amp;780)&gt;1,"충돌",HYPERLINK("#'관리자_MASTER'!D"&amp;_xlfn.MAXIFS(m_row,m_teacher,AL$4,m_date,($G$2+19),m_active,1,m_start,"&lt;"&amp;840,m_end,"&gt;"&amp;780),INDEX(m_label,_xlfn.MAXIFS(m_row,m_teacher,AL$4,m_date,($G$2+19),m_active,1,m_start,"&lt;"&amp;840,m_end,"&gt;"&amp;780))))))</f>
        <v/>
      </c>
      <c r="AM64" s="88" t="str">
        <f aca="false">IF(OR(AM$4="",MONTH(($G$2+19))&lt;&gt;MONTH($C$2)),"",IF(COUNTIFS(m_teacher,AM$4,m_date,($G$2+19),m_active,1,m_start,"&lt;"&amp;840,m_end,"&gt;"&amp;780)=0,"",IF(COUNTIFS(m_teacher,AM$4,m_date,($G$2+19),m_active,1,m_start,"&lt;"&amp;840,m_end,"&gt;"&amp;780)&gt;1,"충돌",HYPERLINK("#'관리자_MASTER'!D"&amp;_xlfn.MAXIFS(m_row,m_teacher,AM$4,m_date,($G$2+19),m_active,1,m_start,"&lt;"&amp;840,m_end,"&gt;"&amp;780),INDEX(m_label,_xlfn.MAXIFS(m_row,m_teacher,AM$4,m_date,($G$2+19),m_active,1,m_start,"&lt;"&amp;840,m_end,"&gt;"&amp;780))))))</f>
        <v/>
      </c>
      <c r="AN64" s="88" t="str">
        <f aca="false">IF(OR(AN$4="",MONTH(($G$2+19))&lt;&gt;MONTH($C$2)),"",IF(COUNTIFS(m_teacher,AN$4,m_date,($G$2+19),m_active,1,m_start,"&lt;"&amp;840,m_end,"&gt;"&amp;780)=0,"",IF(COUNTIFS(m_teacher,AN$4,m_date,($G$2+19),m_active,1,m_start,"&lt;"&amp;840,m_end,"&gt;"&amp;780)&gt;1,"충돌",HYPERLINK("#'관리자_MASTER'!D"&amp;_xlfn.MAXIFS(m_row,m_teacher,AN$4,m_date,($G$2+19),m_active,1,m_start,"&lt;"&amp;840,m_end,"&gt;"&amp;780),INDEX(m_label,_xlfn.MAXIFS(m_row,m_teacher,AN$4,m_date,($G$2+19),m_active,1,m_start,"&lt;"&amp;840,m_end,"&gt;"&amp;780))))))</f>
        <v/>
      </c>
      <c r="AO64" s="88" t="str">
        <f aca="false">IF(OR(AO$4="",MONTH(($G$2+19))&lt;&gt;MONTH($C$2)),"",IF(COUNTIFS(m_teacher,AO$4,m_date,($G$2+19),m_active,1,m_start,"&lt;"&amp;840,m_end,"&gt;"&amp;780)=0,"",IF(COUNTIFS(m_teacher,AO$4,m_date,($G$2+19),m_active,1,m_start,"&lt;"&amp;840,m_end,"&gt;"&amp;780)&gt;1,"충돌",HYPERLINK("#'관리자_MASTER'!D"&amp;_xlfn.MAXIFS(m_row,m_teacher,AO$4,m_date,($G$2+19),m_active,1,m_start,"&lt;"&amp;840,m_end,"&gt;"&amp;780),INDEX(m_label,_xlfn.MAXIFS(m_row,m_teacher,AO$4,m_date,($G$2+19),m_active,1,m_start,"&lt;"&amp;840,m_end,"&gt;"&amp;780))))))</f>
        <v/>
      </c>
      <c r="AP64" s="88" t="str">
        <f aca="false">IF(OR(AP$4="",MONTH(($G$2+19))&lt;&gt;MONTH($C$2)),"",IF(COUNTIFS(m_teacher,AP$4,m_date,($G$2+19),m_active,1,m_start,"&lt;"&amp;840,m_end,"&gt;"&amp;780)=0,"",IF(COUNTIFS(m_teacher,AP$4,m_date,($G$2+19),m_active,1,m_start,"&lt;"&amp;840,m_end,"&gt;"&amp;780)&gt;1,"충돌",HYPERLINK("#'관리자_MASTER'!D"&amp;_xlfn.MAXIFS(m_row,m_teacher,AP$4,m_date,($G$2+19),m_active,1,m_start,"&lt;"&amp;840,m_end,"&gt;"&amp;780),INDEX(m_label,_xlfn.MAXIFS(m_row,m_teacher,AP$4,m_date,($G$2+19),m_active,1,m_start,"&lt;"&amp;840,m_end,"&gt;"&amp;780))))))</f>
        <v/>
      </c>
      <c r="AQ64" s="90"/>
      <c r="AR64" s="79" t="s">
        <v>95</v>
      </c>
      <c r="AS64" s="88" t="str">
        <f aca="false">IF(OR(AS$4="",MONTH(($G$2+26))&lt;&gt;MONTH($C$2)),"",IF(COUNTIFS(m_teacher,AS$4,m_date,($G$2+26),m_active,1,m_start,"&lt;"&amp;840,m_end,"&gt;"&amp;780)=0,"",IF(COUNTIFS(m_teacher,AS$4,m_date,($G$2+26),m_active,1,m_start,"&lt;"&amp;840,m_end,"&gt;"&amp;780)&gt;1,"충돌",HYPERLINK("#'관리자_MASTER'!D"&amp;_xlfn.MAXIFS(m_row,m_teacher,AS$4,m_date,($G$2+26),m_active,1,m_start,"&lt;"&amp;840,m_end,"&gt;"&amp;780),INDEX(m_label,_xlfn.MAXIFS(m_row,m_teacher,AS$4,m_date,($G$2+26),m_active,1,m_start,"&lt;"&amp;840,m_end,"&gt;"&amp;780))))))</f>
        <v/>
      </c>
      <c r="AT64" s="88" t="str">
        <f aca="false">IF(OR(AT$4="",MONTH(($G$2+26))&lt;&gt;MONTH($C$2)),"",IF(COUNTIFS(m_teacher,AT$4,m_date,($G$2+26),m_active,1,m_start,"&lt;"&amp;840,m_end,"&gt;"&amp;780)=0,"",IF(COUNTIFS(m_teacher,AT$4,m_date,($G$2+26),m_active,1,m_start,"&lt;"&amp;840,m_end,"&gt;"&amp;780)&gt;1,"충돌",HYPERLINK("#'관리자_MASTER'!D"&amp;_xlfn.MAXIFS(m_row,m_teacher,AT$4,m_date,($G$2+26),m_active,1,m_start,"&lt;"&amp;840,m_end,"&gt;"&amp;780),INDEX(m_label,_xlfn.MAXIFS(m_row,m_teacher,AT$4,m_date,($G$2+26),m_active,1,m_start,"&lt;"&amp;840,m_end,"&gt;"&amp;780))))))</f>
        <v/>
      </c>
      <c r="AU64" s="88" t="str">
        <f aca="false">IF(OR(AU$4="",MONTH(($G$2+26))&lt;&gt;MONTH($C$2)),"",IF(COUNTIFS(m_teacher,AU$4,m_date,($G$2+26),m_active,1,m_start,"&lt;"&amp;840,m_end,"&gt;"&amp;780)=0,"",IF(COUNTIFS(m_teacher,AU$4,m_date,($G$2+26),m_active,1,m_start,"&lt;"&amp;840,m_end,"&gt;"&amp;780)&gt;1,"충돌",HYPERLINK("#'관리자_MASTER'!D"&amp;_xlfn.MAXIFS(m_row,m_teacher,AU$4,m_date,($G$2+26),m_active,1,m_start,"&lt;"&amp;840,m_end,"&gt;"&amp;780),INDEX(m_label,_xlfn.MAXIFS(m_row,m_teacher,AU$4,m_date,($G$2+26),m_active,1,m_start,"&lt;"&amp;840,m_end,"&gt;"&amp;780))))))</f>
        <v/>
      </c>
      <c r="AV64" s="88" t="str">
        <f aca="false">IF(OR(AV$4="",MONTH(($G$2+26))&lt;&gt;MONTH($C$2)),"",IF(COUNTIFS(m_teacher,AV$4,m_date,($G$2+26),m_active,1,m_start,"&lt;"&amp;840,m_end,"&gt;"&amp;780)=0,"",IF(COUNTIFS(m_teacher,AV$4,m_date,($G$2+26),m_active,1,m_start,"&lt;"&amp;840,m_end,"&gt;"&amp;780)&gt;1,"충돌",HYPERLINK("#'관리자_MASTER'!D"&amp;_xlfn.MAXIFS(m_row,m_teacher,AV$4,m_date,($G$2+26),m_active,1,m_start,"&lt;"&amp;840,m_end,"&gt;"&amp;780),INDEX(m_label,_xlfn.MAXIFS(m_row,m_teacher,AV$4,m_date,($G$2+26),m_active,1,m_start,"&lt;"&amp;840,m_end,"&gt;"&amp;780))))))</f>
        <v/>
      </c>
      <c r="AW64" s="88" t="str">
        <f aca="false">IF(OR(AW$4="",MONTH(($G$2+26))&lt;&gt;MONTH($C$2)),"",IF(COUNTIFS(m_teacher,AW$4,m_date,($G$2+26),m_active,1,m_start,"&lt;"&amp;840,m_end,"&gt;"&amp;780)=0,"",IF(COUNTIFS(m_teacher,AW$4,m_date,($G$2+26),m_active,1,m_start,"&lt;"&amp;840,m_end,"&gt;"&amp;780)&gt;1,"충돌",HYPERLINK("#'관리자_MASTER'!D"&amp;_xlfn.MAXIFS(m_row,m_teacher,AW$4,m_date,($G$2+26),m_active,1,m_start,"&lt;"&amp;840,m_end,"&gt;"&amp;780),INDEX(m_label,_xlfn.MAXIFS(m_row,m_teacher,AW$4,m_date,($G$2+26),m_active,1,m_start,"&lt;"&amp;840,m_end,"&gt;"&amp;780))))))</f>
        <v/>
      </c>
      <c r="AX64" s="88" t="str">
        <f aca="false">IF(OR(AX$4="",MONTH(($G$2+26))&lt;&gt;MONTH($C$2)),"",IF(COUNTIFS(m_teacher,AX$4,m_date,($G$2+26),m_active,1,m_start,"&lt;"&amp;840,m_end,"&gt;"&amp;780)=0,"",IF(COUNTIFS(m_teacher,AX$4,m_date,($G$2+26),m_active,1,m_start,"&lt;"&amp;840,m_end,"&gt;"&amp;780)&gt;1,"충돌",HYPERLINK("#'관리자_MASTER'!D"&amp;_xlfn.MAXIFS(m_row,m_teacher,AX$4,m_date,($G$2+26),m_active,1,m_start,"&lt;"&amp;840,m_end,"&gt;"&amp;780),INDEX(m_label,_xlfn.MAXIFS(m_row,m_teacher,AX$4,m_date,($G$2+26),m_active,1,m_start,"&lt;"&amp;840,m_end,"&gt;"&amp;780))))))</f>
        <v/>
      </c>
      <c r="AY64" s="88" t="str">
        <f aca="false">IF(OR(AY$4="",MONTH(($G$2+26))&lt;&gt;MONTH($C$2)),"",IF(COUNTIFS(m_teacher,AY$4,m_date,($G$2+26),m_active,1,m_start,"&lt;"&amp;840,m_end,"&gt;"&amp;780)=0,"",IF(COUNTIFS(m_teacher,AY$4,m_date,($G$2+26),m_active,1,m_start,"&lt;"&amp;840,m_end,"&gt;"&amp;780)&gt;1,"충돌",HYPERLINK("#'관리자_MASTER'!D"&amp;_xlfn.MAXIFS(m_row,m_teacher,AY$4,m_date,($G$2+26),m_active,1,m_start,"&lt;"&amp;840,m_end,"&gt;"&amp;780),INDEX(m_label,_xlfn.MAXIFS(m_row,m_teacher,AY$4,m_date,($G$2+26),m_active,1,m_start,"&lt;"&amp;840,m_end,"&gt;"&amp;780))))))</f>
        <v/>
      </c>
      <c r="AZ64" s="88" t="str">
        <f aca="false">IF(OR(AZ$4="",MONTH(($G$2+26))&lt;&gt;MONTH($C$2)),"",IF(COUNTIFS(m_teacher,AZ$4,m_date,($G$2+26),m_active,1,m_start,"&lt;"&amp;840,m_end,"&gt;"&amp;780)=0,"",IF(COUNTIFS(m_teacher,AZ$4,m_date,($G$2+26),m_active,1,m_start,"&lt;"&amp;840,m_end,"&gt;"&amp;780)&gt;1,"충돌",HYPERLINK("#'관리자_MASTER'!D"&amp;_xlfn.MAXIFS(m_row,m_teacher,AZ$4,m_date,($G$2+26),m_active,1,m_start,"&lt;"&amp;840,m_end,"&gt;"&amp;780),INDEX(m_label,_xlfn.MAXIFS(m_row,m_teacher,AZ$4,m_date,($G$2+26),m_active,1,m_start,"&lt;"&amp;840,m_end,"&gt;"&amp;780))))))</f>
        <v/>
      </c>
      <c r="BA64" s="88" t="str">
        <f aca="false">IF(OR(BA$4="",MONTH(($G$2+26))&lt;&gt;MONTH($C$2)),"",IF(COUNTIFS(m_teacher,BA$4,m_date,($G$2+26),m_active,1,m_start,"&lt;"&amp;840,m_end,"&gt;"&amp;780)=0,"",IF(COUNTIFS(m_teacher,BA$4,m_date,($G$2+26),m_active,1,m_start,"&lt;"&amp;840,m_end,"&gt;"&amp;780)&gt;1,"충돌",HYPERLINK("#'관리자_MASTER'!D"&amp;_xlfn.MAXIFS(m_row,m_teacher,BA$4,m_date,($G$2+26),m_active,1,m_start,"&lt;"&amp;840,m_end,"&gt;"&amp;780),INDEX(m_label,_xlfn.MAXIFS(m_row,m_teacher,BA$4,m_date,($G$2+26),m_active,1,m_start,"&lt;"&amp;840,m_end,"&gt;"&amp;780))))))</f>
        <v/>
      </c>
      <c r="BB64" s="88" t="str">
        <f aca="false">IF(OR(BB$4="",MONTH(($G$2+26))&lt;&gt;MONTH($C$2)),"",IF(COUNTIFS(m_teacher,BB$4,m_date,($G$2+26),m_active,1,m_start,"&lt;"&amp;840,m_end,"&gt;"&amp;780)=0,"",IF(COUNTIFS(m_teacher,BB$4,m_date,($G$2+26),m_active,1,m_start,"&lt;"&amp;840,m_end,"&gt;"&amp;780)&gt;1,"충돌",HYPERLINK("#'관리자_MASTER'!D"&amp;_xlfn.MAXIFS(m_row,m_teacher,BB$4,m_date,($G$2+26),m_active,1,m_start,"&lt;"&amp;840,m_end,"&gt;"&amp;780),INDEX(m_label,_xlfn.MAXIFS(m_row,m_teacher,BB$4,m_date,($G$2+26),m_active,1,m_start,"&lt;"&amp;840,m_end,"&gt;"&amp;780))))))</f>
        <v/>
      </c>
      <c r="BC64" s="88" t="str">
        <f aca="false">IF(OR(BC$4="",MONTH(($G$2+26))&lt;&gt;MONTH($C$2)),"",IF(COUNTIFS(m_teacher,BC$4,m_date,($G$2+26),m_active,1,m_start,"&lt;"&amp;840,m_end,"&gt;"&amp;780)=0,"",IF(COUNTIFS(m_teacher,BC$4,m_date,($G$2+26),m_active,1,m_start,"&lt;"&amp;840,m_end,"&gt;"&amp;780)&gt;1,"충돌",HYPERLINK("#'관리자_MASTER'!D"&amp;_xlfn.MAXIFS(m_row,m_teacher,BC$4,m_date,($G$2+26),m_active,1,m_start,"&lt;"&amp;840,m_end,"&gt;"&amp;780),INDEX(m_label,_xlfn.MAXIFS(m_row,m_teacher,BC$4,m_date,($G$2+26),m_active,1,m_start,"&lt;"&amp;840,m_end,"&gt;"&amp;780))))))</f>
        <v/>
      </c>
      <c r="BD64" s="88" t="str">
        <f aca="false">IF(OR(BD$4="",MONTH(($G$2+26))&lt;&gt;MONTH($C$2)),"",IF(COUNTIFS(m_teacher,BD$4,m_date,($G$2+26),m_active,1,m_start,"&lt;"&amp;840,m_end,"&gt;"&amp;780)=0,"",IF(COUNTIFS(m_teacher,BD$4,m_date,($G$2+26),m_active,1,m_start,"&lt;"&amp;840,m_end,"&gt;"&amp;780)&gt;1,"충돌",HYPERLINK("#'관리자_MASTER'!D"&amp;_xlfn.MAXIFS(m_row,m_teacher,BD$4,m_date,($G$2+26),m_active,1,m_start,"&lt;"&amp;840,m_end,"&gt;"&amp;780),INDEX(m_label,_xlfn.MAXIFS(m_row,m_teacher,BD$4,m_date,($G$2+26),m_active,1,m_start,"&lt;"&amp;840,m_end,"&gt;"&amp;780))))))</f>
        <v/>
      </c>
      <c r="BE64" s="90"/>
      <c r="BF64" s="79" t="s">
        <v>95</v>
      </c>
      <c r="BG64" s="88" t="str">
        <f aca="false">IF(OR(BG$4="",MONTH(($G$2+33))&lt;&gt;MONTH($C$2)),"",IF(COUNTIFS(m_teacher,BG$4,m_date,($G$2+33),m_active,1,m_start,"&lt;"&amp;840,m_end,"&gt;"&amp;780)=0,"",IF(COUNTIFS(m_teacher,BG$4,m_date,($G$2+33),m_active,1,m_start,"&lt;"&amp;840,m_end,"&gt;"&amp;780)&gt;1,"충돌",HYPERLINK("#'관리자_MASTER'!D"&amp;_xlfn.MAXIFS(m_row,m_teacher,BG$4,m_date,($G$2+33),m_active,1,m_start,"&lt;"&amp;840,m_end,"&gt;"&amp;780),INDEX(m_label,_xlfn.MAXIFS(m_row,m_teacher,BG$4,m_date,($G$2+33),m_active,1,m_start,"&lt;"&amp;840,m_end,"&gt;"&amp;780))))))</f>
        <v/>
      </c>
      <c r="BH64" s="88" t="str">
        <f aca="false">IF(OR(BH$4="",MONTH(($G$2+33))&lt;&gt;MONTH($C$2)),"",IF(COUNTIFS(m_teacher,BH$4,m_date,($G$2+33),m_active,1,m_start,"&lt;"&amp;840,m_end,"&gt;"&amp;780)=0,"",IF(COUNTIFS(m_teacher,BH$4,m_date,($G$2+33),m_active,1,m_start,"&lt;"&amp;840,m_end,"&gt;"&amp;780)&gt;1,"충돌",HYPERLINK("#'관리자_MASTER'!D"&amp;_xlfn.MAXIFS(m_row,m_teacher,BH$4,m_date,($G$2+33),m_active,1,m_start,"&lt;"&amp;840,m_end,"&gt;"&amp;780),INDEX(m_label,_xlfn.MAXIFS(m_row,m_teacher,BH$4,m_date,($G$2+33),m_active,1,m_start,"&lt;"&amp;840,m_end,"&gt;"&amp;780))))))</f>
        <v/>
      </c>
      <c r="BI64" s="88" t="str">
        <f aca="false">IF(OR(BI$4="",MONTH(($G$2+33))&lt;&gt;MONTH($C$2)),"",IF(COUNTIFS(m_teacher,BI$4,m_date,($G$2+33),m_active,1,m_start,"&lt;"&amp;840,m_end,"&gt;"&amp;780)=0,"",IF(COUNTIFS(m_teacher,BI$4,m_date,($G$2+33),m_active,1,m_start,"&lt;"&amp;840,m_end,"&gt;"&amp;780)&gt;1,"충돌",HYPERLINK("#'관리자_MASTER'!D"&amp;_xlfn.MAXIFS(m_row,m_teacher,BI$4,m_date,($G$2+33),m_active,1,m_start,"&lt;"&amp;840,m_end,"&gt;"&amp;780),INDEX(m_label,_xlfn.MAXIFS(m_row,m_teacher,BI$4,m_date,($G$2+33),m_active,1,m_start,"&lt;"&amp;840,m_end,"&gt;"&amp;780))))))</f>
        <v/>
      </c>
      <c r="BJ64" s="88" t="str">
        <f aca="false">IF(OR(BJ$4="",MONTH(($G$2+33))&lt;&gt;MONTH($C$2)),"",IF(COUNTIFS(m_teacher,BJ$4,m_date,($G$2+33),m_active,1,m_start,"&lt;"&amp;840,m_end,"&gt;"&amp;780)=0,"",IF(COUNTIFS(m_teacher,BJ$4,m_date,($G$2+33),m_active,1,m_start,"&lt;"&amp;840,m_end,"&gt;"&amp;780)&gt;1,"충돌",HYPERLINK("#'관리자_MASTER'!D"&amp;_xlfn.MAXIFS(m_row,m_teacher,BJ$4,m_date,($G$2+33),m_active,1,m_start,"&lt;"&amp;840,m_end,"&gt;"&amp;780),INDEX(m_label,_xlfn.MAXIFS(m_row,m_teacher,BJ$4,m_date,($G$2+33),m_active,1,m_start,"&lt;"&amp;840,m_end,"&gt;"&amp;780))))))</f>
        <v/>
      </c>
      <c r="BK64" s="88" t="str">
        <f aca="false">IF(OR(BK$4="",MONTH(($G$2+33))&lt;&gt;MONTH($C$2)),"",IF(COUNTIFS(m_teacher,BK$4,m_date,($G$2+33),m_active,1,m_start,"&lt;"&amp;840,m_end,"&gt;"&amp;780)=0,"",IF(COUNTIFS(m_teacher,BK$4,m_date,($G$2+33),m_active,1,m_start,"&lt;"&amp;840,m_end,"&gt;"&amp;780)&gt;1,"충돌",HYPERLINK("#'관리자_MASTER'!D"&amp;_xlfn.MAXIFS(m_row,m_teacher,BK$4,m_date,($G$2+33),m_active,1,m_start,"&lt;"&amp;840,m_end,"&gt;"&amp;780),INDEX(m_label,_xlfn.MAXIFS(m_row,m_teacher,BK$4,m_date,($G$2+33),m_active,1,m_start,"&lt;"&amp;840,m_end,"&gt;"&amp;780))))))</f>
        <v/>
      </c>
      <c r="BL64" s="88" t="str">
        <f aca="false">IF(OR(BL$4="",MONTH(($G$2+33))&lt;&gt;MONTH($C$2)),"",IF(COUNTIFS(m_teacher,BL$4,m_date,($G$2+33),m_active,1,m_start,"&lt;"&amp;840,m_end,"&gt;"&amp;780)=0,"",IF(COUNTIFS(m_teacher,BL$4,m_date,($G$2+33),m_active,1,m_start,"&lt;"&amp;840,m_end,"&gt;"&amp;780)&gt;1,"충돌",HYPERLINK("#'관리자_MASTER'!D"&amp;_xlfn.MAXIFS(m_row,m_teacher,BL$4,m_date,($G$2+33),m_active,1,m_start,"&lt;"&amp;840,m_end,"&gt;"&amp;780),INDEX(m_label,_xlfn.MAXIFS(m_row,m_teacher,BL$4,m_date,($G$2+33),m_active,1,m_start,"&lt;"&amp;840,m_end,"&gt;"&amp;780))))))</f>
        <v/>
      </c>
      <c r="BM64" s="88" t="str">
        <f aca="false">IF(OR(BM$4="",MONTH(($G$2+33))&lt;&gt;MONTH($C$2)),"",IF(COUNTIFS(m_teacher,BM$4,m_date,($G$2+33),m_active,1,m_start,"&lt;"&amp;840,m_end,"&gt;"&amp;780)=0,"",IF(COUNTIFS(m_teacher,BM$4,m_date,($G$2+33),m_active,1,m_start,"&lt;"&amp;840,m_end,"&gt;"&amp;780)&gt;1,"충돌",HYPERLINK("#'관리자_MASTER'!D"&amp;_xlfn.MAXIFS(m_row,m_teacher,BM$4,m_date,($G$2+33),m_active,1,m_start,"&lt;"&amp;840,m_end,"&gt;"&amp;780),INDEX(m_label,_xlfn.MAXIFS(m_row,m_teacher,BM$4,m_date,($G$2+33),m_active,1,m_start,"&lt;"&amp;840,m_end,"&gt;"&amp;780))))))</f>
        <v/>
      </c>
      <c r="BN64" s="88" t="str">
        <f aca="false">IF(OR(BN$4="",MONTH(($G$2+33))&lt;&gt;MONTH($C$2)),"",IF(COUNTIFS(m_teacher,BN$4,m_date,($G$2+33),m_active,1,m_start,"&lt;"&amp;840,m_end,"&gt;"&amp;780)=0,"",IF(COUNTIFS(m_teacher,BN$4,m_date,($G$2+33),m_active,1,m_start,"&lt;"&amp;840,m_end,"&gt;"&amp;780)&gt;1,"충돌",HYPERLINK("#'관리자_MASTER'!D"&amp;_xlfn.MAXIFS(m_row,m_teacher,BN$4,m_date,($G$2+33),m_active,1,m_start,"&lt;"&amp;840,m_end,"&gt;"&amp;780),INDEX(m_label,_xlfn.MAXIFS(m_row,m_teacher,BN$4,m_date,($G$2+33),m_active,1,m_start,"&lt;"&amp;840,m_end,"&gt;"&amp;780))))))</f>
        <v/>
      </c>
      <c r="BO64" s="88" t="str">
        <f aca="false">IF(OR(BO$4="",MONTH(($G$2+33))&lt;&gt;MONTH($C$2)),"",IF(COUNTIFS(m_teacher,BO$4,m_date,($G$2+33),m_active,1,m_start,"&lt;"&amp;840,m_end,"&gt;"&amp;780)=0,"",IF(COUNTIFS(m_teacher,BO$4,m_date,($G$2+33),m_active,1,m_start,"&lt;"&amp;840,m_end,"&gt;"&amp;780)&gt;1,"충돌",HYPERLINK("#'관리자_MASTER'!D"&amp;_xlfn.MAXIFS(m_row,m_teacher,BO$4,m_date,($G$2+33),m_active,1,m_start,"&lt;"&amp;840,m_end,"&gt;"&amp;780),INDEX(m_label,_xlfn.MAXIFS(m_row,m_teacher,BO$4,m_date,($G$2+33),m_active,1,m_start,"&lt;"&amp;840,m_end,"&gt;"&amp;780))))))</f>
        <v/>
      </c>
      <c r="BP64" s="88" t="str">
        <f aca="false">IF(OR(BP$4="",MONTH(($G$2+33))&lt;&gt;MONTH($C$2)),"",IF(COUNTIFS(m_teacher,BP$4,m_date,($G$2+33),m_active,1,m_start,"&lt;"&amp;840,m_end,"&gt;"&amp;780)=0,"",IF(COUNTIFS(m_teacher,BP$4,m_date,($G$2+33),m_active,1,m_start,"&lt;"&amp;840,m_end,"&gt;"&amp;780)&gt;1,"충돌",HYPERLINK("#'관리자_MASTER'!D"&amp;_xlfn.MAXIFS(m_row,m_teacher,BP$4,m_date,($G$2+33),m_active,1,m_start,"&lt;"&amp;840,m_end,"&gt;"&amp;780),INDEX(m_label,_xlfn.MAXIFS(m_row,m_teacher,BP$4,m_date,($G$2+33),m_active,1,m_start,"&lt;"&amp;840,m_end,"&gt;"&amp;780))))))</f>
        <v/>
      </c>
      <c r="BQ64" s="88" t="str">
        <f aca="false">IF(OR(BQ$4="",MONTH(($G$2+33))&lt;&gt;MONTH($C$2)),"",IF(COUNTIFS(m_teacher,BQ$4,m_date,($G$2+33),m_active,1,m_start,"&lt;"&amp;840,m_end,"&gt;"&amp;780)=0,"",IF(COUNTIFS(m_teacher,BQ$4,m_date,($G$2+33),m_active,1,m_start,"&lt;"&amp;840,m_end,"&gt;"&amp;780)&gt;1,"충돌",HYPERLINK("#'관리자_MASTER'!D"&amp;_xlfn.MAXIFS(m_row,m_teacher,BQ$4,m_date,($G$2+33),m_active,1,m_start,"&lt;"&amp;840,m_end,"&gt;"&amp;780),INDEX(m_label,_xlfn.MAXIFS(m_row,m_teacher,BQ$4,m_date,($G$2+33),m_active,1,m_start,"&lt;"&amp;840,m_end,"&gt;"&amp;780))))))</f>
        <v/>
      </c>
      <c r="BR64" s="88" t="str">
        <f aca="false">IF(OR(BR$4="",MONTH(($G$2+33))&lt;&gt;MONTH($C$2)),"",IF(COUNTIFS(m_teacher,BR$4,m_date,($G$2+33),m_active,1,m_start,"&lt;"&amp;840,m_end,"&gt;"&amp;780)=0,"",IF(COUNTIFS(m_teacher,BR$4,m_date,($G$2+33),m_active,1,m_start,"&lt;"&amp;840,m_end,"&gt;"&amp;780)&gt;1,"충돌",HYPERLINK("#'관리자_MASTER'!D"&amp;_xlfn.MAXIFS(m_row,m_teacher,BR$4,m_date,($G$2+33),m_active,1,m_start,"&lt;"&amp;840,m_end,"&gt;"&amp;780),INDEX(m_label,_xlfn.MAXIFS(m_row,m_teacher,BR$4,m_date,($G$2+33),m_active,1,m_start,"&lt;"&amp;840,m_end,"&gt;"&amp;780))))))</f>
        <v/>
      </c>
    </row>
    <row r="65" customFormat="false" ht="19.5" hidden="false" customHeight="true" outlineLevel="0" collapsed="false">
      <c r="A65" s="90"/>
      <c r="B65" s="79" t="s">
        <v>96</v>
      </c>
      <c r="C65" s="88" t="str">
        <f aca="false">IF(OR(C$4="",MONTH(($G$2+5))&lt;&gt;MONTH($C$2)),"",IF(COUNTIFS(m_teacher,C$4,m_date,($G$2+5),m_active,1,m_start,"&lt;"&amp;900,m_end,"&gt;"&amp;840)=0,"",IF(COUNTIFS(m_teacher,C$4,m_date,($G$2+5),m_active,1,m_start,"&lt;"&amp;900,m_end,"&gt;"&amp;840)&gt;1,"충돌",HYPERLINK("#'관리자_MASTER'!D"&amp;_xlfn.MAXIFS(m_row,m_teacher,C$4,m_date,($G$2+5),m_active,1,m_start,"&lt;"&amp;900,m_end,"&gt;"&amp;840),INDEX(m_label,_xlfn.MAXIFS(m_row,m_teacher,C$4,m_date,($G$2+5),m_active,1,m_start,"&lt;"&amp;900,m_end,"&gt;"&amp;840))))))</f>
        <v/>
      </c>
      <c r="D65" s="88" t="str">
        <f aca="false">IF(OR(D$4="",MONTH(($G$2+5))&lt;&gt;MONTH($C$2)),"",IF(COUNTIFS(m_teacher,D$4,m_date,($G$2+5),m_active,1,m_start,"&lt;"&amp;900,m_end,"&gt;"&amp;840)=0,"",IF(COUNTIFS(m_teacher,D$4,m_date,($G$2+5),m_active,1,m_start,"&lt;"&amp;900,m_end,"&gt;"&amp;840)&gt;1,"충돌",HYPERLINK("#'관리자_MASTER'!D"&amp;_xlfn.MAXIFS(m_row,m_teacher,D$4,m_date,($G$2+5),m_active,1,m_start,"&lt;"&amp;900,m_end,"&gt;"&amp;840),INDEX(m_label,_xlfn.MAXIFS(m_row,m_teacher,D$4,m_date,($G$2+5),m_active,1,m_start,"&lt;"&amp;900,m_end,"&gt;"&amp;840))))))</f>
        <v/>
      </c>
      <c r="E65" s="88" t="str">
        <f aca="false">IF(OR(E$4="",MONTH(($G$2+5))&lt;&gt;MONTH($C$2)),"",IF(COUNTIFS(m_teacher,E$4,m_date,($G$2+5),m_active,1,m_start,"&lt;"&amp;900,m_end,"&gt;"&amp;840)=0,"",IF(COUNTIFS(m_teacher,E$4,m_date,($G$2+5),m_active,1,m_start,"&lt;"&amp;900,m_end,"&gt;"&amp;840)&gt;1,"충돌",HYPERLINK("#'관리자_MASTER'!D"&amp;_xlfn.MAXIFS(m_row,m_teacher,E$4,m_date,($G$2+5),m_active,1,m_start,"&lt;"&amp;900,m_end,"&gt;"&amp;840),INDEX(m_label,_xlfn.MAXIFS(m_row,m_teacher,E$4,m_date,($G$2+5),m_active,1,m_start,"&lt;"&amp;900,m_end,"&gt;"&amp;840))))))</f>
        <v/>
      </c>
      <c r="F65" s="88" t="str">
        <f aca="false">IF(OR(F$4="",MONTH(($G$2+5))&lt;&gt;MONTH($C$2)),"",IF(COUNTIFS(m_teacher,F$4,m_date,($G$2+5),m_active,1,m_start,"&lt;"&amp;900,m_end,"&gt;"&amp;840)=0,"",IF(COUNTIFS(m_teacher,F$4,m_date,($G$2+5),m_active,1,m_start,"&lt;"&amp;900,m_end,"&gt;"&amp;840)&gt;1,"충돌",HYPERLINK("#'관리자_MASTER'!D"&amp;_xlfn.MAXIFS(m_row,m_teacher,F$4,m_date,($G$2+5),m_active,1,m_start,"&lt;"&amp;900,m_end,"&gt;"&amp;840),INDEX(m_label,_xlfn.MAXIFS(m_row,m_teacher,F$4,m_date,($G$2+5),m_active,1,m_start,"&lt;"&amp;900,m_end,"&gt;"&amp;840))))))</f>
        <v/>
      </c>
      <c r="G65" s="88" t="str">
        <f aca="false">IF(OR(G$4="",MONTH(($G$2+5))&lt;&gt;MONTH($C$2)),"",IF(COUNTIFS(m_teacher,G$4,m_date,($G$2+5),m_active,1,m_start,"&lt;"&amp;900,m_end,"&gt;"&amp;840)=0,"",IF(COUNTIFS(m_teacher,G$4,m_date,($G$2+5),m_active,1,m_start,"&lt;"&amp;900,m_end,"&gt;"&amp;840)&gt;1,"충돌",HYPERLINK("#'관리자_MASTER'!D"&amp;_xlfn.MAXIFS(m_row,m_teacher,G$4,m_date,($G$2+5),m_active,1,m_start,"&lt;"&amp;900,m_end,"&gt;"&amp;840),INDEX(m_label,_xlfn.MAXIFS(m_row,m_teacher,G$4,m_date,($G$2+5),m_active,1,m_start,"&lt;"&amp;900,m_end,"&gt;"&amp;840))))))</f>
        <v/>
      </c>
      <c r="H65" s="88" t="str">
        <f aca="false">IF(OR(H$4="",MONTH(($G$2+5))&lt;&gt;MONTH($C$2)),"",IF(COUNTIFS(m_teacher,H$4,m_date,($G$2+5),m_active,1,m_start,"&lt;"&amp;900,m_end,"&gt;"&amp;840)=0,"",IF(COUNTIFS(m_teacher,H$4,m_date,($G$2+5),m_active,1,m_start,"&lt;"&amp;900,m_end,"&gt;"&amp;840)&gt;1,"충돌",HYPERLINK("#'관리자_MASTER'!D"&amp;_xlfn.MAXIFS(m_row,m_teacher,H$4,m_date,($G$2+5),m_active,1,m_start,"&lt;"&amp;900,m_end,"&gt;"&amp;840),INDEX(m_label,_xlfn.MAXIFS(m_row,m_teacher,H$4,m_date,($G$2+5),m_active,1,m_start,"&lt;"&amp;900,m_end,"&gt;"&amp;840))))))</f>
        <v/>
      </c>
      <c r="I65" s="88" t="str">
        <f aca="false">IF(OR(I$4="",MONTH(($G$2+5))&lt;&gt;MONTH($C$2)),"",IF(COUNTIFS(m_teacher,I$4,m_date,($G$2+5),m_active,1,m_start,"&lt;"&amp;900,m_end,"&gt;"&amp;840)=0,"",IF(COUNTIFS(m_teacher,I$4,m_date,($G$2+5),m_active,1,m_start,"&lt;"&amp;900,m_end,"&gt;"&amp;840)&gt;1,"충돌",HYPERLINK("#'관리자_MASTER'!D"&amp;_xlfn.MAXIFS(m_row,m_teacher,I$4,m_date,($G$2+5),m_active,1,m_start,"&lt;"&amp;900,m_end,"&gt;"&amp;840),INDEX(m_label,_xlfn.MAXIFS(m_row,m_teacher,I$4,m_date,($G$2+5),m_active,1,m_start,"&lt;"&amp;900,m_end,"&gt;"&amp;840))))))</f>
        <v/>
      </c>
      <c r="J65" s="88" t="str">
        <f aca="false">IF(OR(J$4="",MONTH(($G$2+5))&lt;&gt;MONTH($C$2)),"",IF(COUNTIFS(m_teacher,J$4,m_date,($G$2+5),m_active,1,m_start,"&lt;"&amp;900,m_end,"&gt;"&amp;840)=0,"",IF(COUNTIFS(m_teacher,J$4,m_date,($G$2+5),m_active,1,m_start,"&lt;"&amp;900,m_end,"&gt;"&amp;840)&gt;1,"충돌",HYPERLINK("#'관리자_MASTER'!D"&amp;_xlfn.MAXIFS(m_row,m_teacher,J$4,m_date,($G$2+5),m_active,1,m_start,"&lt;"&amp;900,m_end,"&gt;"&amp;840),INDEX(m_label,_xlfn.MAXIFS(m_row,m_teacher,J$4,m_date,($G$2+5),m_active,1,m_start,"&lt;"&amp;900,m_end,"&gt;"&amp;840))))))</f>
        <v/>
      </c>
      <c r="K65" s="88" t="str">
        <f aca="false">IF(OR(K$4="",MONTH(($G$2+5))&lt;&gt;MONTH($C$2)),"",IF(COUNTIFS(m_teacher,K$4,m_date,($G$2+5),m_active,1,m_start,"&lt;"&amp;900,m_end,"&gt;"&amp;840)=0,"",IF(COUNTIFS(m_teacher,K$4,m_date,($G$2+5),m_active,1,m_start,"&lt;"&amp;900,m_end,"&gt;"&amp;840)&gt;1,"충돌",HYPERLINK("#'관리자_MASTER'!D"&amp;_xlfn.MAXIFS(m_row,m_teacher,K$4,m_date,($G$2+5),m_active,1,m_start,"&lt;"&amp;900,m_end,"&gt;"&amp;840),INDEX(m_label,_xlfn.MAXIFS(m_row,m_teacher,K$4,m_date,($G$2+5),m_active,1,m_start,"&lt;"&amp;900,m_end,"&gt;"&amp;840))))))</f>
        <v/>
      </c>
      <c r="L65" s="88" t="str">
        <f aca="false">IF(OR(L$4="",MONTH(($G$2+5))&lt;&gt;MONTH($C$2)),"",IF(COUNTIFS(m_teacher,L$4,m_date,($G$2+5),m_active,1,m_start,"&lt;"&amp;900,m_end,"&gt;"&amp;840)=0,"",IF(COUNTIFS(m_teacher,L$4,m_date,($G$2+5),m_active,1,m_start,"&lt;"&amp;900,m_end,"&gt;"&amp;840)&gt;1,"충돌",HYPERLINK("#'관리자_MASTER'!D"&amp;_xlfn.MAXIFS(m_row,m_teacher,L$4,m_date,($G$2+5),m_active,1,m_start,"&lt;"&amp;900,m_end,"&gt;"&amp;840),INDEX(m_label,_xlfn.MAXIFS(m_row,m_teacher,L$4,m_date,($G$2+5),m_active,1,m_start,"&lt;"&amp;900,m_end,"&gt;"&amp;840))))))</f>
        <v/>
      </c>
      <c r="M65" s="88" t="str">
        <f aca="false">IF(OR(M$4="",MONTH(($G$2+5))&lt;&gt;MONTH($C$2)),"",IF(COUNTIFS(m_teacher,M$4,m_date,($G$2+5),m_active,1,m_start,"&lt;"&amp;900,m_end,"&gt;"&amp;840)=0,"",IF(COUNTIFS(m_teacher,M$4,m_date,($G$2+5),m_active,1,m_start,"&lt;"&amp;900,m_end,"&gt;"&amp;840)&gt;1,"충돌",HYPERLINK("#'관리자_MASTER'!D"&amp;_xlfn.MAXIFS(m_row,m_teacher,M$4,m_date,($G$2+5),m_active,1,m_start,"&lt;"&amp;900,m_end,"&gt;"&amp;840),INDEX(m_label,_xlfn.MAXIFS(m_row,m_teacher,M$4,m_date,($G$2+5),m_active,1,m_start,"&lt;"&amp;900,m_end,"&gt;"&amp;840))))))</f>
        <v/>
      </c>
      <c r="N65" s="88" t="str">
        <f aca="false">IF(OR(N$4="",MONTH(($G$2+5))&lt;&gt;MONTH($C$2)),"",IF(COUNTIFS(m_teacher,N$4,m_date,($G$2+5),m_active,1,m_start,"&lt;"&amp;900,m_end,"&gt;"&amp;840)=0,"",IF(COUNTIFS(m_teacher,N$4,m_date,($G$2+5),m_active,1,m_start,"&lt;"&amp;900,m_end,"&gt;"&amp;840)&gt;1,"충돌",HYPERLINK("#'관리자_MASTER'!D"&amp;_xlfn.MAXIFS(m_row,m_teacher,N$4,m_date,($G$2+5),m_active,1,m_start,"&lt;"&amp;900,m_end,"&gt;"&amp;840),INDEX(m_label,_xlfn.MAXIFS(m_row,m_teacher,N$4,m_date,($G$2+5),m_active,1,m_start,"&lt;"&amp;900,m_end,"&gt;"&amp;840))))))</f>
        <v/>
      </c>
      <c r="O65" s="90"/>
      <c r="P65" s="79" t="s">
        <v>96</v>
      </c>
      <c r="Q65" s="88" t="str">
        <f aca="false">IF(OR(Q$4="",MONTH(($G$2+12))&lt;&gt;MONTH($C$2)),"",IF(COUNTIFS(m_teacher,Q$4,m_date,($G$2+12),m_active,1,m_start,"&lt;"&amp;900,m_end,"&gt;"&amp;840)=0,"",IF(COUNTIFS(m_teacher,Q$4,m_date,($G$2+12),m_active,1,m_start,"&lt;"&amp;900,m_end,"&gt;"&amp;840)&gt;1,"충돌",HYPERLINK("#'관리자_MASTER'!D"&amp;_xlfn.MAXIFS(m_row,m_teacher,Q$4,m_date,($G$2+12),m_active,1,m_start,"&lt;"&amp;900,m_end,"&gt;"&amp;840),INDEX(m_label,_xlfn.MAXIFS(m_row,m_teacher,Q$4,m_date,($G$2+12),m_active,1,m_start,"&lt;"&amp;900,m_end,"&gt;"&amp;840))))))</f>
        <v/>
      </c>
      <c r="R65" s="88" t="str">
        <f aca="false">IF(OR(R$4="",MONTH(($G$2+12))&lt;&gt;MONTH($C$2)),"",IF(COUNTIFS(m_teacher,R$4,m_date,($G$2+12),m_active,1,m_start,"&lt;"&amp;900,m_end,"&gt;"&amp;840)=0,"",IF(COUNTIFS(m_teacher,R$4,m_date,($G$2+12),m_active,1,m_start,"&lt;"&amp;900,m_end,"&gt;"&amp;840)&gt;1,"충돌",HYPERLINK("#'관리자_MASTER'!D"&amp;_xlfn.MAXIFS(m_row,m_teacher,R$4,m_date,($G$2+12),m_active,1,m_start,"&lt;"&amp;900,m_end,"&gt;"&amp;840),INDEX(m_label,_xlfn.MAXIFS(m_row,m_teacher,R$4,m_date,($G$2+12),m_active,1,m_start,"&lt;"&amp;900,m_end,"&gt;"&amp;840))))))</f>
        <v/>
      </c>
      <c r="S65" s="88" t="str">
        <f aca="false">IF(OR(S$4="",MONTH(($G$2+12))&lt;&gt;MONTH($C$2)),"",IF(COUNTIFS(m_teacher,S$4,m_date,($G$2+12),m_active,1,m_start,"&lt;"&amp;900,m_end,"&gt;"&amp;840)=0,"",IF(COUNTIFS(m_teacher,S$4,m_date,($G$2+12),m_active,1,m_start,"&lt;"&amp;900,m_end,"&gt;"&amp;840)&gt;1,"충돌",HYPERLINK("#'관리자_MASTER'!D"&amp;_xlfn.MAXIFS(m_row,m_teacher,S$4,m_date,($G$2+12),m_active,1,m_start,"&lt;"&amp;900,m_end,"&gt;"&amp;840),INDEX(m_label,_xlfn.MAXIFS(m_row,m_teacher,S$4,m_date,($G$2+12),m_active,1,m_start,"&lt;"&amp;900,m_end,"&gt;"&amp;840))))))</f>
        <v/>
      </c>
      <c r="T65" s="88" t="str">
        <f aca="false">IF(OR(T$4="",MONTH(($G$2+12))&lt;&gt;MONTH($C$2)),"",IF(COUNTIFS(m_teacher,T$4,m_date,($G$2+12),m_active,1,m_start,"&lt;"&amp;900,m_end,"&gt;"&amp;840)=0,"",IF(COUNTIFS(m_teacher,T$4,m_date,($G$2+12),m_active,1,m_start,"&lt;"&amp;900,m_end,"&gt;"&amp;840)&gt;1,"충돌",HYPERLINK("#'관리자_MASTER'!D"&amp;_xlfn.MAXIFS(m_row,m_teacher,T$4,m_date,($G$2+12),m_active,1,m_start,"&lt;"&amp;900,m_end,"&gt;"&amp;840),INDEX(m_label,_xlfn.MAXIFS(m_row,m_teacher,T$4,m_date,($G$2+12),m_active,1,m_start,"&lt;"&amp;900,m_end,"&gt;"&amp;840))))))</f>
        <v/>
      </c>
      <c r="U65" s="88" t="str">
        <f aca="false">IF(OR(U$4="",MONTH(($G$2+12))&lt;&gt;MONTH($C$2)),"",IF(COUNTIFS(m_teacher,U$4,m_date,($G$2+12),m_active,1,m_start,"&lt;"&amp;900,m_end,"&gt;"&amp;840)=0,"",IF(COUNTIFS(m_teacher,U$4,m_date,($G$2+12),m_active,1,m_start,"&lt;"&amp;900,m_end,"&gt;"&amp;840)&gt;1,"충돌",HYPERLINK("#'관리자_MASTER'!D"&amp;_xlfn.MAXIFS(m_row,m_teacher,U$4,m_date,($G$2+12),m_active,1,m_start,"&lt;"&amp;900,m_end,"&gt;"&amp;840),INDEX(m_label,_xlfn.MAXIFS(m_row,m_teacher,U$4,m_date,($G$2+12),m_active,1,m_start,"&lt;"&amp;900,m_end,"&gt;"&amp;840))))))</f>
        <v/>
      </c>
      <c r="V65" s="88" t="str">
        <f aca="false">IF(OR(V$4="",MONTH(($G$2+12))&lt;&gt;MONTH($C$2)),"",IF(COUNTIFS(m_teacher,V$4,m_date,($G$2+12),m_active,1,m_start,"&lt;"&amp;900,m_end,"&gt;"&amp;840)=0,"",IF(COUNTIFS(m_teacher,V$4,m_date,($G$2+12),m_active,1,m_start,"&lt;"&amp;900,m_end,"&gt;"&amp;840)&gt;1,"충돌",HYPERLINK("#'관리자_MASTER'!D"&amp;_xlfn.MAXIFS(m_row,m_teacher,V$4,m_date,($G$2+12),m_active,1,m_start,"&lt;"&amp;900,m_end,"&gt;"&amp;840),INDEX(m_label,_xlfn.MAXIFS(m_row,m_teacher,V$4,m_date,($G$2+12),m_active,1,m_start,"&lt;"&amp;900,m_end,"&gt;"&amp;840))))))</f>
        <v/>
      </c>
      <c r="W65" s="88" t="str">
        <f aca="false">IF(OR(W$4="",MONTH(($G$2+12))&lt;&gt;MONTH($C$2)),"",IF(COUNTIFS(m_teacher,W$4,m_date,($G$2+12),m_active,1,m_start,"&lt;"&amp;900,m_end,"&gt;"&amp;840)=0,"",IF(COUNTIFS(m_teacher,W$4,m_date,($G$2+12),m_active,1,m_start,"&lt;"&amp;900,m_end,"&gt;"&amp;840)&gt;1,"충돌",HYPERLINK("#'관리자_MASTER'!D"&amp;_xlfn.MAXIFS(m_row,m_teacher,W$4,m_date,($G$2+12),m_active,1,m_start,"&lt;"&amp;900,m_end,"&gt;"&amp;840),INDEX(m_label,_xlfn.MAXIFS(m_row,m_teacher,W$4,m_date,($G$2+12),m_active,1,m_start,"&lt;"&amp;900,m_end,"&gt;"&amp;840))))))</f>
        <v/>
      </c>
      <c r="X65" s="88" t="str">
        <f aca="false">IF(OR(X$4="",MONTH(($G$2+12))&lt;&gt;MONTH($C$2)),"",IF(COUNTIFS(m_teacher,X$4,m_date,($G$2+12),m_active,1,m_start,"&lt;"&amp;900,m_end,"&gt;"&amp;840)=0,"",IF(COUNTIFS(m_teacher,X$4,m_date,($G$2+12),m_active,1,m_start,"&lt;"&amp;900,m_end,"&gt;"&amp;840)&gt;1,"충돌",HYPERLINK("#'관리자_MASTER'!D"&amp;_xlfn.MAXIFS(m_row,m_teacher,X$4,m_date,($G$2+12),m_active,1,m_start,"&lt;"&amp;900,m_end,"&gt;"&amp;840),INDEX(m_label,_xlfn.MAXIFS(m_row,m_teacher,X$4,m_date,($G$2+12),m_active,1,m_start,"&lt;"&amp;900,m_end,"&gt;"&amp;840))))))</f>
        <v/>
      </c>
      <c r="Y65" s="88" t="str">
        <f aca="false">IF(OR(Y$4="",MONTH(($G$2+12))&lt;&gt;MONTH($C$2)),"",IF(COUNTIFS(m_teacher,Y$4,m_date,($G$2+12),m_active,1,m_start,"&lt;"&amp;900,m_end,"&gt;"&amp;840)=0,"",IF(COUNTIFS(m_teacher,Y$4,m_date,($G$2+12),m_active,1,m_start,"&lt;"&amp;900,m_end,"&gt;"&amp;840)&gt;1,"충돌",HYPERLINK("#'관리자_MASTER'!D"&amp;_xlfn.MAXIFS(m_row,m_teacher,Y$4,m_date,($G$2+12),m_active,1,m_start,"&lt;"&amp;900,m_end,"&gt;"&amp;840),INDEX(m_label,_xlfn.MAXIFS(m_row,m_teacher,Y$4,m_date,($G$2+12),m_active,1,m_start,"&lt;"&amp;900,m_end,"&gt;"&amp;840))))))</f>
        <v/>
      </c>
      <c r="Z65" s="88" t="str">
        <f aca="false">IF(OR(Z$4="",MONTH(($G$2+12))&lt;&gt;MONTH($C$2)),"",IF(COUNTIFS(m_teacher,Z$4,m_date,($G$2+12),m_active,1,m_start,"&lt;"&amp;900,m_end,"&gt;"&amp;840)=0,"",IF(COUNTIFS(m_teacher,Z$4,m_date,($G$2+12),m_active,1,m_start,"&lt;"&amp;900,m_end,"&gt;"&amp;840)&gt;1,"충돌",HYPERLINK("#'관리자_MASTER'!D"&amp;_xlfn.MAXIFS(m_row,m_teacher,Z$4,m_date,($G$2+12),m_active,1,m_start,"&lt;"&amp;900,m_end,"&gt;"&amp;840),INDEX(m_label,_xlfn.MAXIFS(m_row,m_teacher,Z$4,m_date,($G$2+12),m_active,1,m_start,"&lt;"&amp;900,m_end,"&gt;"&amp;840))))))</f>
        <v/>
      </c>
      <c r="AA65" s="88" t="str">
        <f aca="false">IF(OR(AA$4="",MONTH(($G$2+12))&lt;&gt;MONTH($C$2)),"",IF(COUNTIFS(m_teacher,AA$4,m_date,($G$2+12),m_active,1,m_start,"&lt;"&amp;900,m_end,"&gt;"&amp;840)=0,"",IF(COUNTIFS(m_teacher,AA$4,m_date,($G$2+12),m_active,1,m_start,"&lt;"&amp;900,m_end,"&gt;"&amp;840)&gt;1,"충돌",HYPERLINK("#'관리자_MASTER'!D"&amp;_xlfn.MAXIFS(m_row,m_teacher,AA$4,m_date,($G$2+12),m_active,1,m_start,"&lt;"&amp;900,m_end,"&gt;"&amp;840),INDEX(m_label,_xlfn.MAXIFS(m_row,m_teacher,AA$4,m_date,($G$2+12),m_active,1,m_start,"&lt;"&amp;900,m_end,"&gt;"&amp;840))))))</f>
        <v/>
      </c>
      <c r="AB65" s="88" t="str">
        <f aca="false">IF(OR(AB$4="",MONTH(($G$2+12))&lt;&gt;MONTH($C$2)),"",IF(COUNTIFS(m_teacher,AB$4,m_date,($G$2+12),m_active,1,m_start,"&lt;"&amp;900,m_end,"&gt;"&amp;840)=0,"",IF(COUNTIFS(m_teacher,AB$4,m_date,($G$2+12),m_active,1,m_start,"&lt;"&amp;900,m_end,"&gt;"&amp;840)&gt;1,"충돌",HYPERLINK("#'관리자_MASTER'!D"&amp;_xlfn.MAXIFS(m_row,m_teacher,AB$4,m_date,($G$2+12),m_active,1,m_start,"&lt;"&amp;900,m_end,"&gt;"&amp;840),INDEX(m_label,_xlfn.MAXIFS(m_row,m_teacher,AB$4,m_date,($G$2+12),m_active,1,m_start,"&lt;"&amp;900,m_end,"&gt;"&amp;840))))))</f>
        <v/>
      </c>
      <c r="AC65" s="90"/>
      <c r="AD65" s="79" t="s">
        <v>96</v>
      </c>
      <c r="AE65" s="88" t="str">
        <f aca="false">IF(OR(AE$4="",MONTH(($G$2+19))&lt;&gt;MONTH($C$2)),"",IF(COUNTIFS(m_teacher,AE$4,m_date,($G$2+19),m_active,1,m_start,"&lt;"&amp;900,m_end,"&gt;"&amp;840)=0,"",IF(COUNTIFS(m_teacher,AE$4,m_date,($G$2+19),m_active,1,m_start,"&lt;"&amp;900,m_end,"&gt;"&amp;840)&gt;1,"충돌",HYPERLINK("#'관리자_MASTER'!D"&amp;_xlfn.MAXIFS(m_row,m_teacher,AE$4,m_date,($G$2+19),m_active,1,m_start,"&lt;"&amp;900,m_end,"&gt;"&amp;840),INDEX(m_label,_xlfn.MAXIFS(m_row,m_teacher,AE$4,m_date,($G$2+19),m_active,1,m_start,"&lt;"&amp;900,m_end,"&gt;"&amp;840))))))</f>
        <v/>
      </c>
      <c r="AF65" s="88" t="str">
        <f aca="false">IF(OR(AF$4="",MONTH(($G$2+19))&lt;&gt;MONTH($C$2)),"",IF(COUNTIFS(m_teacher,AF$4,m_date,($G$2+19),m_active,1,m_start,"&lt;"&amp;900,m_end,"&gt;"&amp;840)=0,"",IF(COUNTIFS(m_teacher,AF$4,m_date,($G$2+19),m_active,1,m_start,"&lt;"&amp;900,m_end,"&gt;"&amp;840)&gt;1,"충돌",HYPERLINK("#'관리자_MASTER'!D"&amp;_xlfn.MAXIFS(m_row,m_teacher,AF$4,m_date,($G$2+19),m_active,1,m_start,"&lt;"&amp;900,m_end,"&gt;"&amp;840),INDEX(m_label,_xlfn.MAXIFS(m_row,m_teacher,AF$4,m_date,($G$2+19),m_active,1,m_start,"&lt;"&amp;900,m_end,"&gt;"&amp;840))))))</f>
        <v/>
      </c>
      <c r="AG65" s="88" t="str">
        <f aca="false">IF(OR(AG$4="",MONTH(($G$2+19))&lt;&gt;MONTH($C$2)),"",IF(COUNTIFS(m_teacher,AG$4,m_date,($G$2+19),m_active,1,m_start,"&lt;"&amp;900,m_end,"&gt;"&amp;840)=0,"",IF(COUNTIFS(m_teacher,AG$4,m_date,($G$2+19),m_active,1,m_start,"&lt;"&amp;900,m_end,"&gt;"&amp;840)&gt;1,"충돌",HYPERLINK("#'관리자_MASTER'!D"&amp;_xlfn.MAXIFS(m_row,m_teacher,AG$4,m_date,($G$2+19),m_active,1,m_start,"&lt;"&amp;900,m_end,"&gt;"&amp;840),INDEX(m_label,_xlfn.MAXIFS(m_row,m_teacher,AG$4,m_date,($G$2+19),m_active,1,m_start,"&lt;"&amp;900,m_end,"&gt;"&amp;840))))))</f>
        <v/>
      </c>
      <c r="AH65" s="88" t="str">
        <f aca="false">IF(OR(AH$4="",MONTH(($G$2+19))&lt;&gt;MONTH($C$2)),"",IF(COUNTIFS(m_teacher,AH$4,m_date,($G$2+19),m_active,1,m_start,"&lt;"&amp;900,m_end,"&gt;"&amp;840)=0,"",IF(COUNTIFS(m_teacher,AH$4,m_date,($G$2+19),m_active,1,m_start,"&lt;"&amp;900,m_end,"&gt;"&amp;840)&gt;1,"충돌",HYPERLINK("#'관리자_MASTER'!D"&amp;_xlfn.MAXIFS(m_row,m_teacher,AH$4,m_date,($G$2+19),m_active,1,m_start,"&lt;"&amp;900,m_end,"&gt;"&amp;840),INDEX(m_label,_xlfn.MAXIFS(m_row,m_teacher,AH$4,m_date,($G$2+19),m_active,1,m_start,"&lt;"&amp;900,m_end,"&gt;"&amp;840))))))</f>
        <v/>
      </c>
      <c r="AI65" s="88" t="str">
        <f aca="false">IF(OR(AI$4="",MONTH(($G$2+19))&lt;&gt;MONTH($C$2)),"",IF(COUNTIFS(m_teacher,AI$4,m_date,($G$2+19),m_active,1,m_start,"&lt;"&amp;900,m_end,"&gt;"&amp;840)=0,"",IF(COUNTIFS(m_teacher,AI$4,m_date,($G$2+19),m_active,1,m_start,"&lt;"&amp;900,m_end,"&gt;"&amp;840)&gt;1,"충돌",HYPERLINK("#'관리자_MASTER'!D"&amp;_xlfn.MAXIFS(m_row,m_teacher,AI$4,m_date,($G$2+19),m_active,1,m_start,"&lt;"&amp;900,m_end,"&gt;"&amp;840),INDEX(m_label,_xlfn.MAXIFS(m_row,m_teacher,AI$4,m_date,($G$2+19),m_active,1,m_start,"&lt;"&amp;900,m_end,"&gt;"&amp;840))))))</f>
        <v/>
      </c>
      <c r="AJ65" s="88" t="str">
        <f aca="false">IF(OR(AJ$4="",MONTH(($G$2+19))&lt;&gt;MONTH($C$2)),"",IF(COUNTIFS(m_teacher,AJ$4,m_date,($G$2+19),m_active,1,m_start,"&lt;"&amp;900,m_end,"&gt;"&amp;840)=0,"",IF(COUNTIFS(m_teacher,AJ$4,m_date,($G$2+19),m_active,1,m_start,"&lt;"&amp;900,m_end,"&gt;"&amp;840)&gt;1,"충돌",HYPERLINK("#'관리자_MASTER'!D"&amp;_xlfn.MAXIFS(m_row,m_teacher,AJ$4,m_date,($G$2+19),m_active,1,m_start,"&lt;"&amp;900,m_end,"&gt;"&amp;840),INDEX(m_label,_xlfn.MAXIFS(m_row,m_teacher,AJ$4,m_date,($G$2+19),m_active,1,m_start,"&lt;"&amp;900,m_end,"&gt;"&amp;840))))))</f>
        <v/>
      </c>
      <c r="AK65" s="88" t="str">
        <f aca="false">IF(OR(AK$4="",MONTH(($G$2+19))&lt;&gt;MONTH($C$2)),"",IF(COUNTIFS(m_teacher,AK$4,m_date,($G$2+19),m_active,1,m_start,"&lt;"&amp;900,m_end,"&gt;"&amp;840)=0,"",IF(COUNTIFS(m_teacher,AK$4,m_date,($G$2+19),m_active,1,m_start,"&lt;"&amp;900,m_end,"&gt;"&amp;840)&gt;1,"충돌",HYPERLINK("#'관리자_MASTER'!D"&amp;_xlfn.MAXIFS(m_row,m_teacher,AK$4,m_date,($G$2+19),m_active,1,m_start,"&lt;"&amp;900,m_end,"&gt;"&amp;840),INDEX(m_label,_xlfn.MAXIFS(m_row,m_teacher,AK$4,m_date,($G$2+19),m_active,1,m_start,"&lt;"&amp;900,m_end,"&gt;"&amp;840))))))</f>
        <v/>
      </c>
      <c r="AL65" s="88" t="str">
        <f aca="false">IF(OR(AL$4="",MONTH(($G$2+19))&lt;&gt;MONTH($C$2)),"",IF(COUNTIFS(m_teacher,AL$4,m_date,($G$2+19),m_active,1,m_start,"&lt;"&amp;900,m_end,"&gt;"&amp;840)=0,"",IF(COUNTIFS(m_teacher,AL$4,m_date,($G$2+19),m_active,1,m_start,"&lt;"&amp;900,m_end,"&gt;"&amp;840)&gt;1,"충돌",HYPERLINK("#'관리자_MASTER'!D"&amp;_xlfn.MAXIFS(m_row,m_teacher,AL$4,m_date,($G$2+19),m_active,1,m_start,"&lt;"&amp;900,m_end,"&gt;"&amp;840),INDEX(m_label,_xlfn.MAXIFS(m_row,m_teacher,AL$4,m_date,($G$2+19),m_active,1,m_start,"&lt;"&amp;900,m_end,"&gt;"&amp;840))))))</f>
        <v/>
      </c>
      <c r="AM65" s="88" t="str">
        <f aca="false">IF(OR(AM$4="",MONTH(($G$2+19))&lt;&gt;MONTH($C$2)),"",IF(COUNTIFS(m_teacher,AM$4,m_date,($G$2+19),m_active,1,m_start,"&lt;"&amp;900,m_end,"&gt;"&amp;840)=0,"",IF(COUNTIFS(m_teacher,AM$4,m_date,($G$2+19),m_active,1,m_start,"&lt;"&amp;900,m_end,"&gt;"&amp;840)&gt;1,"충돌",HYPERLINK("#'관리자_MASTER'!D"&amp;_xlfn.MAXIFS(m_row,m_teacher,AM$4,m_date,($G$2+19),m_active,1,m_start,"&lt;"&amp;900,m_end,"&gt;"&amp;840),INDEX(m_label,_xlfn.MAXIFS(m_row,m_teacher,AM$4,m_date,($G$2+19),m_active,1,m_start,"&lt;"&amp;900,m_end,"&gt;"&amp;840))))))</f>
        <v/>
      </c>
      <c r="AN65" s="88" t="str">
        <f aca="false">IF(OR(AN$4="",MONTH(($G$2+19))&lt;&gt;MONTH($C$2)),"",IF(COUNTIFS(m_teacher,AN$4,m_date,($G$2+19),m_active,1,m_start,"&lt;"&amp;900,m_end,"&gt;"&amp;840)=0,"",IF(COUNTIFS(m_teacher,AN$4,m_date,($G$2+19),m_active,1,m_start,"&lt;"&amp;900,m_end,"&gt;"&amp;840)&gt;1,"충돌",HYPERLINK("#'관리자_MASTER'!D"&amp;_xlfn.MAXIFS(m_row,m_teacher,AN$4,m_date,($G$2+19),m_active,1,m_start,"&lt;"&amp;900,m_end,"&gt;"&amp;840),INDEX(m_label,_xlfn.MAXIFS(m_row,m_teacher,AN$4,m_date,($G$2+19),m_active,1,m_start,"&lt;"&amp;900,m_end,"&gt;"&amp;840))))))</f>
        <v/>
      </c>
      <c r="AO65" s="88" t="str">
        <f aca="false">IF(OR(AO$4="",MONTH(($G$2+19))&lt;&gt;MONTH($C$2)),"",IF(COUNTIFS(m_teacher,AO$4,m_date,($G$2+19),m_active,1,m_start,"&lt;"&amp;900,m_end,"&gt;"&amp;840)=0,"",IF(COUNTIFS(m_teacher,AO$4,m_date,($G$2+19),m_active,1,m_start,"&lt;"&amp;900,m_end,"&gt;"&amp;840)&gt;1,"충돌",HYPERLINK("#'관리자_MASTER'!D"&amp;_xlfn.MAXIFS(m_row,m_teacher,AO$4,m_date,($G$2+19),m_active,1,m_start,"&lt;"&amp;900,m_end,"&gt;"&amp;840),INDEX(m_label,_xlfn.MAXIFS(m_row,m_teacher,AO$4,m_date,($G$2+19),m_active,1,m_start,"&lt;"&amp;900,m_end,"&gt;"&amp;840))))))</f>
        <v/>
      </c>
      <c r="AP65" s="88" t="str">
        <f aca="false">IF(OR(AP$4="",MONTH(($G$2+19))&lt;&gt;MONTH($C$2)),"",IF(COUNTIFS(m_teacher,AP$4,m_date,($G$2+19),m_active,1,m_start,"&lt;"&amp;900,m_end,"&gt;"&amp;840)=0,"",IF(COUNTIFS(m_teacher,AP$4,m_date,($G$2+19),m_active,1,m_start,"&lt;"&amp;900,m_end,"&gt;"&amp;840)&gt;1,"충돌",HYPERLINK("#'관리자_MASTER'!D"&amp;_xlfn.MAXIFS(m_row,m_teacher,AP$4,m_date,($G$2+19),m_active,1,m_start,"&lt;"&amp;900,m_end,"&gt;"&amp;840),INDEX(m_label,_xlfn.MAXIFS(m_row,m_teacher,AP$4,m_date,($G$2+19),m_active,1,m_start,"&lt;"&amp;900,m_end,"&gt;"&amp;840))))))</f>
        <v/>
      </c>
      <c r="AQ65" s="90"/>
      <c r="AR65" s="79" t="s">
        <v>96</v>
      </c>
      <c r="AS65" s="88" t="str">
        <f aca="false">IF(OR(AS$4="",MONTH(($G$2+26))&lt;&gt;MONTH($C$2)),"",IF(COUNTIFS(m_teacher,AS$4,m_date,($G$2+26),m_active,1,m_start,"&lt;"&amp;900,m_end,"&gt;"&amp;840)=0,"",IF(COUNTIFS(m_teacher,AS$4,m_date,($G$2+26),m_active,1,m_start,"&lt;"&amp;900,m_end,"&gt;"&amp;840)&gt;1,"충돌",HYPERLINK("#'관리자_MASTER'!D"&amp;_xlfn.MAXIFS(m_row,m_teacher,AS$4,m_date,($G$2+26),m_active,1,m_start,"&lt;"&amp;900,m_end,"&gt;"&amp;840),INDEX(m_label,_xlfn.MAXIFS(m_row,m_teacher,AS$4,m_date,($G$2+26),m_active,1,m_start,"&lt;"&amp;900,m_end,"&gt;"&amp;840))))))</f>
        <v/>
      </c>
      <c r="AT65" s="88" t="str">
        <f aca="false">IF(OR(AT$4="",MONTH(($G$2+26))&lt;&gt;MONTH($C$2)),"",IF(COUNTIFS(m_teacher,AT$4,m_date,($G$2+26),m_active,1,m_start,"&lt;"&amp;900,m_end,"&gt;"&amp;840)=0,"",IF(COUNTIFS(m_teacher,AT$4,m_date,($G$2+26),m_active,1,m_start,"&lt;"&amp;900,m_end,"&gt;"&amp;840)&gt;1,"충돌",HYPERLINK("#'관리자_MASTER'!D"&amp;_xlfn.MAXIFS(m_row,m_teacher,AT$4,m_date,($G$2+26),m_active,1,m_start,"&lt;"&amp;900,m_end,"&gt;"&amp;840),INDEX(m_label,_xlfn.MAXIFS(m_row,m_teacher,AT$4,m_date,($G$2+26),m_active,1,m_start,"&lt;"&amp;900,m_end,"&gt;"&amp;840))))))</f>
        <v/>
      </c>
      <c r="AU65" s="88" t="str">
        <f aca="false">IF(OR(AU$4="",MONTH(($G$2+26))&lt;&gt;MONTH($C$2)),"",IF(COUNTIFS(m_teacher,AU$4,m_date,($G$2+26),m_active,1,m_start,"&lt;"&amp;900,m_end,"&gt;"&amp;840)=0,"",IF(COUNTIFS(m_teacher,AU$4,m_date,($G$2+26),m_active,1,m_start,"&lt;"&amp;900,m_end,"&gt;"&amp;840)&gt;1,"충돌",HYPERLINK("#'관리자_MASTER'!D"&amp;_xlfn.MAXIFS(m_row,m_teacher,AU$4,m_date,($G$2+26),m_active,1,m_start,"&lt;"&amp;900,m_end,"&gt;"&amp;840),INDEX(m_label,_xlfn.MAXIFS(m_row,m_teacher,AU$4,m_date,($G$2+26),m_active,1,m_start,"&lt;"&amp;900,m_end,"&gt;"&amp;840))))))</f>
        <v/>
      </c>
      <c r="AV65" s="88" t="str">
        <f aca="false">IF(OR(AV$4="",MONTH(($G$2+26))&lt;&gt;MONTH($C$2)),"",IF(COUNTIFS(m_teacher,AV$4,m_date,($G$2+26),m_active,1,m_start,"&lt;"&amp;900,m_end,"&gt;"&amp;840)=0,"",IF(COUNTIFS(m_teacher,AV$4,m_date,($G$2+26),m_active,1,m_start,"&lt;"&amp;900,m_end,"&gt;"&amp;840)&gt;1,"충돌",HYPERLINK("#'관리자_MASTER'!D"&amp;_xlfn.MAXIFS(m_row,m_teacher,AV$4,m_date,($G$2+26),m_active,1,m_start,"&lt;"&amp;900,m_end,"&gt;"&amp;840),INDEX(m_label,_xlfn.MAXIFS(m_row,m_teacher,AV$4,m_date,($G$2+26),m_active,1,m_start,"&lt;"&amp;900,m_end,"&gt;"&amp;840))))))</f>
        <v/>
      </c>
      <c r="AW65" s="88" t="str">
        <f aca="false">IF(OR(AW$4="",MONTH(($G$2+26))&lt;&gt;MONTH($C$2)),"",IF(COUNTIFS(m_teacher,AW$4,m_date,($G$2+26),m_active,1,m_start,"&lt;"&amp;900,m_end,"&gt;"&amp;840)=0,"",IF(COUNTIFS(m_teacher,AW$4,m_date,($G$2+26),m_active,1,m_start,"&lt;"&amp;900,m_end,"&gt;"&amp;840)&gt;1,"충돌",HYPERLINK("#'관리자_MASTER'!D"&amp;_xlfn.MAXIFS(m_row,m_teacher,AW$4,m_date,($G$2+26),m_active,1,m_start,"&lt;"&amp;900,m_end,"&gt;"&amp;840),INDEX(m_label,_xlfn.MAXIFS(m_row,m_teacher,AW$4,m_date,($G$2+26),m_active,1,m_start,"&lt;"&amp;900,m_end,"&gt;"&amp;840))))))</f>
        <v/>
      </c>
      <c r="AX65" s="88" t="str">
        <f aca="false">IF(OR(AX$4="",MONTH(($G$2+26))&lt;&gt;MONTH($C$2)),"",IF(COUNTIFS(m_teacher,AX$4,m_date,($G$2+26),m_active,1,m_start,"&lt;"&amp;900,m_end,"&gt;"&amp;840)=0,"",IF(COUNTIFS(m_teacher,AX$4,m_date,($G$2+26),m_active,1,m_start,"&lt;"&amp;900,m_end,"&gt;"&amp;840)&gt;1,"충돌",HYPERLINK("#'관리자_MASTER'!D"&amp;_xlfn.MAXIFS(m_row,m_teacher,AX$4,m_date,($G$2+26),m_active,1,m_start,"&lt;"&amp;900,m_end,"&gt;"&amp;840),INDEX(m_label,_xlfn.MAXIFS(m_row,m_teacher,AX$4,m_date,($G$2+26),m_active,1,m_start,"&lt;"&amp;900,m_end,"&gt;"&amp;840))))))</f>
        <v/>
      </c>
      <c r="AY65" s="88" t="str">
        <f aca="false">IF(OR(AY$4="",MONTH(($G$2+26))&lt;&gt;MONTH($C$2)),"",IF(COUNTIFS(m_teacher,AY$4,m_date,($G$2+26),m_active,1,m_start,"&lt;"&amp;900,m_end,"&gt;"&amp;840)=0,"",IF(COUNTIFS(m_teacher,AY$4,m_date,($G$2+26),m_active,1,m_start,"&lt;"&amp;900,m_end,"&gt;"&amp;840)&gt;1,"충돌",HYPERLINK("#'관리자_MASTER'!D"&amp;_xlfn.MAXIFS(m_row,m_teacher,AY$4,m_date,($G$2+26),m_active,1,m_start,"&lt;"&amp;900,m_end,"&gt;"&amp;840),INDEX(m_label,_xlfn.MAXIFS(m_row,m_teacher,AY$4,m_date,($G$2+26),m_active,1,m_start,"&lt;"&amp;900,m_end,"&gt;"&amp;840))))))</f>
        <v/>
      </c>
      <c r="AZ65" s="88" t="str">
        <f aca="false">IF(OR(AZ$4="",MONTH(($G$2+26))&lt;&gt;MONTH($C$2)),"",IF(COUNTIFS(m_teacher,AZ$4,m_date,($G$2+26),m_active,1,m_start,"&lt;"&amp;900,m_end,"&gt;"&amp;840)=0,"",IF(COUNTIFS(m_teacher,AZ$4,m_date,($G$2+26),m_active,1,m_start,"&lt;"&amp;900,m_end,"&gt;"&amp;840)&gt;1,"충돌",HYPERLINK("#'관리자_MASTER'!D"&amp;_xlfn.MAXIFS(m_row,m_teacher,AZ$4,m_date,($G$2+26),m_active,1,m_start,"&lt;"&amp;900,m_end,"&gt;"&amp;840),INDEX(m_label,_xlfn.MAXIFS(m_row,m_teacher,AZ$4,m_date,($G$2+26),m_active,1,m_start,"&lt;"&amp;900,m_end,"&gt;"&amp;840))))))</f>
        <v/>
      </c>
      <c r="BA65" s="88" t="str">
        <f aca="false">IF(OR(BA$4="",MONTH(($G$2+26))&lt;&gt;MONTH($C$2)),"",IF(COUNTIFS(m_teacher,BA$4,m_date,($G$2+26),m_active,1,m_start,"&lt;"&amp;900,m_end,"&gt;"&amp;840)=0,"",IF(COUNTIFS(m_teacher,BA$4,m_date,($G$2+26),m_active,1,m_start,"&lt;"&amp;900,m_end,"&gt;"&amp;840)&gt;1,"충돌",HYPERLINK("#'관리자_MASTER'!D"&amp;_xlfn.MAXIFS(m_row,m_teacher,BA$4,m_date,($G$2+26),m_active,1,m_start,"&lt;"&amp;900,m_end,"&gt;"&amp;840),INDEX(m_label,_xlfn.MAXIFS(m_row,m_teacher,BA$4,m_date,($G$2+26),m_active,1,m_start,"&lt;"&amp;900,m_end,"&gt;"&amp;840))))))</f>
        <v/>
      </c>
      <c r="BB65" s="88" t="str">
        <f aca="false">IF(OR(BB$4="",MONTH(($G$2+26))&lt;&gt;MONTH($C$2)),"",IF(COUNTIFS(m_teacher,BB$4,m_date,($G$2+26),m_active,1,m_start,"&lt;"&amp;900,m_end,"&gt;"&amp;840)=0,"",IF(COUNTIFS(m_teacher,BB$4,m_date,($G$2+26),m_active,1,m_start,"&lt;"&amp;900,m_end,"&gt;"&amp;840)&gt;1,"충돌",HYPERLINK("#'관리자_MASTER'!D"&amp;_xlfn.MAXIFS(m_row,m_teacher,BB$4,m_date,($G$2+26),m_active,1,m_start,"&lt;"&amp;900,m_end,"&gt;"&amp;840),INDEX(m_label,_xlfn.MAXIFS(m_row,m_teacher,BB$4,m_date,($G$2+26),m_active,1,m_start,"&lt;"&amp;900,m_end,"&gt;"&amp;840))))))</f>
        <v/>
      </c>
      <c r="BC65" s="88" t="str">
        <f aca="false">IF(OR(BC$4="",MONTH(($G$2+26))&lt;&gt;MONTH($C$2)),"",IF(COUNTIFS(m_teacher,BC$4,m_date,($G$2+26),m_active,1,m_start,"&lt;"&amp;900,m_end,"&gt;"&amp;840)=0,"",IF(COUNTIFS(m_teacher,BC$4,m_date,($G$2+26),m_active,1,m_start,"&lt;"&amp;900,m_end,"&gt;"&amp;840)&gt;1,"충돌",HYPERLINK("#'관리자_MASTER'!D"&amp;_xlfn.MAXIFS(m_row,m_teacher,BC$4,m_date,($G$2+26),m_active,1,m_start,"&lt;"&amp;900,m_end,"&gt;"&amp;840),INDEX(m_label,_xlfn.MAXIFS(m_row,m_teacher,BC$4,m_date,($G$2+26),m_active,1,m_start,"&lt;"&amp;900,m_end,"&gt;"&amp;840))))))</f>
        <v/>
      </c>
      <c r="BD65" s="88" t="str">
        <f aca="false">IF(OR(BD$4="",MONTH(($G$2+26))&lt;&gt;MONTH($C$2)),"",IF(COUNTIFS(m_teacher,BD$4,m_date,($G$2+26),m_active,1,m_start,"&lt;"&amp;900,m_end,"&gt;"&amp;840)=0,"",IF(COUNTIFS(m_teacher,BD$4,m_date,($G$2+26),m_active,1,m_start,"&lt;"&amp;900,m_end,"&gt;"&amp;840)&gt;1,"충돌",HYPERLINK("#'관리자_MASTER'!D"&amp;_xlfn.MAXIFS(m_row,m_teacher,BD$4,m_date,($G$2+26),m_active,1,m_start,"&lt;"&amp;900,m_end,"&gt;"&amp;840),INDEX(m_label,_xlfn.MAXIFS(m_row,m_teacher,BD$4,m_date,($G$2+26),m_active,1,m_start,"&lt;"&amp;900,m_end,"&gt;"&amp;840))))))</f>
        <v/>
      </c>
      <c r="BE65" s="90"/>
      <c r="BF65" s="79" t="s">
        <v>96</v>
      </c>
      <c r="BG65" s="88" t="str">
        <f aca="false">IF(OR(BG$4="",MONTH(($G$2+33))&lt;&gt;MONTH($C$2)),"",IF(COUNTIFS(m_teacher,BG$4,m_date,($G$2+33),m_active,1,m_start,"&lt;"&amp;900,m_end,"&gt;"&amp;840)=0,"",IF(COUNTIFS(m_teacher,BG$4,m_date,($G$2+33),m_active,1,m_start,"&lt;"&amp;900,m_end,"&gt;"&amp;840)&gt;1,"충돌",HYPERLINK("#'관리자_MASTER'!D"&amp;_xlfn.MAXIFS(m_row,m_teacher,BG$4,m_date,($G$2+33),m_active,1,m_start,"&lt;"&amp;900,m_end,"&gt;"&amp;840),INDEX(m_label,_xlfn.MAXIFS(m_row,m_teacher,BG$4,m_date,($G$2+33),m_active,1,m_start,"&lt;"&amp;900,m_end,"&gt;"&amp;840))))))</f>
        <v/>
      </c>
      <c r="BH65" s="88" t="str">
        <f aca="false">IF(OR(BH$4="",MONTH(($G$2+33))&lt;&gt;MONTH($C$2)),"",IF(COUNTIFS(m_teacher,BH$4,m_date,($G$2+33),m_active,1,m_start,"&lt;"&amp;900,m_end,"&gt;"&amp;840)=0,"",IF(COUNTIFS(m_teacher,BH$4,m_date,($G$2+33),m_active,1,m_start,"&lt;"&amp;900,m_end,"&gt;"&amp;840)&gt;1,"충돌",HYPERLINK("#'관리자_MASTER'!D"&amp;_xlfn.MAXIFS(m_row,m_teacher,BH$4,m_date,($G$2+33),m_active,1,m_start,"&lt;"&amp;900,m_end,"&gt;"&amp;840),INDEX(m_label,_xlfn.MAXIFS(m_row,m_teacher,BH$4,m_date,($G$2+33),m_active,1,m_start,"&lt;"&amp;900,m_end,"&gt;"&amp;840))))))</f>
        <v/>
      </c>
      <c r="BI65" s="88" t="str">
        <f aca="false">IF(OR(BI$4="",MONTH(($G$2+33))&lt;&gt;MONTH($C$2)),"",IF(COUNTIFS(m_teacher,BI$4,m_date,($G$2+33),m_active,1,m_start,"&lt;"&amp;900,m_end,"&gt;"&amp;840)=0,"",IF(COUNTIFS(m_teacher,BI$4,m_date,($G$2+33),m_active,1,m_start,"&lt;"&amp;900,m_end,"&gt;"&amp;840)&gt;1,"충돌",HYPERLINK("#'관리자_MASTER'!D"&amp;_xlfn.MAXIFS(m_row,m_teacher,BI$4,m_date,($G$2+33),m_active,1,m_start,"&lt;"&amp;900,m_end,"&gt;"&amp;840),INDEX(m_label,_xlfn.MAXIFS(m_row,m_teacher,BI$4,m_date,($G$2+33),m_active,1,m_start,"&lt;"&amp;900,m_end,"&gt;"&amp;840))))))</f>
        <v/>
      </c>
      <c r="BJ65" s="88" t="str">
        <f aca="false">IF(OR(BJ$4="",MONTH(($G$2+33))&lt;&gt;MONTH($C$2)),"",IF(COUNTIFS(m_teacher,BJ$4,m_date,($G$2+33),m_active,1,m_start,"&lt;"&amp;900,m_end,"&gt;"&amp;840)=0,"",IF(COUNTIFS(m_teacher,BJ$4,m_date,($G$2+33),m_active,1,m_start,"&lt;"&amp;900,m_end,"&gt;"&amp;840)&gt;1,"충돌",HYPERLINK("#'관리자_MASTER'!D"&amp;_xlfn.MAXIFS(m_row,m_teacher,BJ$4,m_date,($G$2+33),m_active,1,m_start,"&lt;"&amp;900,m_end,"&gt;"&amp;840),INDEX(m_label,_xlfn.MAXIFS(m_row,m_teacher,BJ$4,m_date,($G$2+33),m_active,1,m_start,"&lt;"&amp;900,m_end,"&gt;"&amp;840))))))</f>
        <v/>
      </c>
      <c r="BK65" s="88" t="str">
        <f aca="false">IF(OR(BK$4="",MONTH(($G$2+33))&lt;&gt;MONTH($C$2)),"",IF(COUNTIFS(m_teacher,BK$4,m_date,($G$2+33),m_active,1,m_start,"&lt;"&amp;900,m_end,"&gt;"&amp;840)=0,"",IF(COUNTIFS(m_teacher,BK$4,m_date,($G$2+33),m_active,1,m_start,"&lt;"&amp;900,m_end,"&gt;"&amp;840)&gt;1,"충돌",HYPERLINK("#'관리자_MASTER'!D"&amp;_xlfn.MAXIFS(m_row,m_teacher,BK$4,m_date,($G$2+33),m_active,1,m_start,"&lt;"&amp;900,m_end,"&gt;"&amp;840),INDEX(m_label,_xlfn.MAXIFS(m_row,m_teacher,BK$4,m_date,($G$2+33),m_active,1,m_start,"&lt;"&amp;900,m_end,"&gt;"&amp;840))))))</f>
        <v/>
      </c>
      <c r="BL65" s="88" t="str">
        <f aca="false">IF(OR(BL$4="",MONTH(($G$2+33))&lt;&gt;MONTH($C$2)),"",IF(COUNTIFS(m_teacher,BL$4,m_date,($G$2+33),m_active,1,m_start,"&lt;"&amp;900,m_end,"&gt;"&amp;840)=0,"",IF(COUNTIFS(m_teacher,BL$4,m_date,($G$2+33),m_active,1,m_start,"&lt;"&amp;900,m_end,"&gt;"&amp;840)&gt;1,"충돌",HYPERLINK("#'관리자_MASTER'!D"&amp;_xlfn.MAXIFS(m_row,m_teacher,BL$4,m_date,($G$2+33),m_active,1,m_start,"&lt;"&amp;900,m_end,"&gt;"&amp;840),INDEX(m_label,_xlfn.MAXIFS(m_row,m_teacher,BL$4,m_date,($G$2+33),m_active,1,m_start,"&lt;"&amp;900,m_end,"&gt;"&amp;840))))))</f>
        <v/>
      </c>
      <c r="BM65" s="88" t="str">
        <f aca="false">IF(OR(BM$4="",MONTH(($G$2+33))&lt;&gt;MONTH($C$2)),"",IF(COUNTIFS(m_teacher,BM$4,m_date,($G$2+33),m_active,1,m_start,"&lt;"&amp;900,m_end,"&gt;"&amp;840)=0,"",IF(COUNTIFS(m_teacher,BM$4,m_date,($G$2+33),m_active,1,m_start,"&lt;"&amp;900,m_end,"&gt;"&amp;840)&gt;1,"충돌",HYPERLINK("#'관리자_MASTER'!D"&amp;_xlfn.MAXIFS(m_row,m_teacher,BM$4,m_date,($G$2+33),m_active,1,m_start,"&lt;"&amp;900,m_end,"&gt;"&amp;840),INDEX(m_label,_xlfn.MAXIFS(m_row,m_teacher,BM$4,m_date,($G$2+33),m_active,1,m_start,"&lt;"&amp;900,m_end,"&gt;"&amp;840))))))</f>
        <v/>
      </c>
      <c r="BN65" s="88" t="str">
        <f aca="false">IF(OR(BN$4="",MONTH(($G$2+33))&lt;&gt;MONTH($C$2)),"",IF(COUNTIFS(m_teacher,BN$4,m_date,($G$2+33),m_active,1,m_start,"&lt;"&amp;900,m_end,"&gt;"&amp;840)=0,"",IF(COUNTIFS(m_teacher,BN$4,m_date,($G$2+33),m_active,1,m_start,"&lt;"&amp;900,m_end,"&gt;"&amp;840)&gt;1,"충돌",HYPERLINK("#'관리자_MASTER'!D"&amp;_xlfn.MAXIFS(m_row,m_teacher,BN$4,m_date,($G$2+33),m_active,1,m_start,"&lt;"&amp;900,m_end,"&gt;"&amp;840),INDEX(m_label,_xlfn.MAXIFS(m_row,m_teacher,BN$4,m_date,($G$2+33),m_active,1,m_start,"&lt;"&amp;900,m_end,"&gt;"&amp;840))))))</f>
        <v/>
      </c>
      <c r="BO65" s="88" t="str">
        <f aca="false">IF(OR(BO$4="",MONTH(($G$2+33))&lt;&gt;MONTH($C$2)),"",IF(COUNTIFS(m_teacher,BO$4,m_date,($G$2+33),m_active,1,m_start,"&lt;"&amp;900,m_end,"&gt;"&amp;840)=0,"",IF(COUNTIFS(m_teacher,BO$4,m_date,($G$2+33),m_active,1,m_start,"&lt;"&amp;900,m_end,"&gt;"&amp;840)&gt;1,"충돌",HYPERLINK("#'관리자_MASTER'!D"&amp;_xlfn.MAXIFS(m_row,m_teacher,BO$4,m_date,($G$2+33),m_active,1,m_start,"&lt;"&amp;900,m_end,"&gt;"&amp;840),INDEX(m_label,_xlfn.MAXIFS(m_row,m_teacher,BO$4,m_date,($G$2+33),m_active,1,m_start,"&lt;"&amp;900,m_end,"&gt;"&amp;840))))))</f>
        <v/>
      </c>
      <c r="BP65" s="88" t="str">
        <f aca="false">IF(OR(BP$4="",MONTH(($G$2+33))&lt;&gt;MONTH($C$2)),"",IF(COUNTIFS(m_teacher,BP$4,m_date,($G$2+33),m_active,1,m_start,"&lt;"&amp;900,m_end,"&gt;"&amp;840)=0,"",IF(COUNTIFS(m_teacher,BP$4,m_date,($G$2+33),m_active,1,m_start,"&lt;"&amp;900,m_end,"&gt;"&amp;840)&gt;1,"충돌",HYPERLINK("#'관리자_MASTER'!D"&amp;_xlfn.MAXIFS(m_row,m_teacher,BP$4,m_date,($G$2+33),m_active,1,m_start,"&lt;"&amp;900,m_end,"&gt;"&amp;840),INDEX(m_label,_xlfn.MAXIFS(m_row,m_teacher,BP$4,m_date,($G$2+33),m_active,1,m_start,"&lt;"&amp;900,m_end,"&gt;"&amp;840))))))</f>
        <v/>
      </c>
      <c r="BQ65" s="88" t="str">
        <f aca="false">IF(OR(BQ$4="",MONTH(($G$2+33))&lt;&gt;MONTH($C$2)),"",IF(COUNTIFS(m_teacher,BQ$4,m_date,($G$2+33),m_active,1,m_start,"&lt;"&amp;900,m_end,"&gt;"&amp;840)=0,"",IF(COUNTIFS(m_teacher,BQ$4,m_date,($G$2+33),m_active,1,m_start,"&lt;"&amp;900,m_end,"&gt;"&amp;840)&gt;1,"충돌",HYPERLINK("#'관리자_MASTER'!D"&amp;_xlfn.MAXIFS(m_row,m_teacher,BQ$4,m_date,($G$2+33),m_active,1,m_start,"&lt;"&amp;900,m_end,"&gt;"&amp;840),INDEX(m_label,_xlfn.MAXIFS(m_row,m_teacher,BQ$4,m_date,($G$2+33),m_active,1,m_start,"&lt;"&amp;900,m_end,"&gt;"&amp;840))))))</f>
        <v/>
      </c>
      <c r="BR65" s="88" t="str">
        <f aca="false">IF(OR(BR$4="",MONTH(($G$2+33))&lt;&gt;MONTH($C$2)),"",IF(COUNTIFS(m_teacher,BR$4,m_date,($G$2+33),m_active,1,m_start,"&lt;"&amp;900,m_end,"&gt;"&amp;840)=0,"",IF(COUNTIFS(m_teacher,BR$4,m_date,($G$2+33),m_active,1,m_start,"&lt;"&amp;900,m_end,"&gt;"&amp;840)&gt;1,"충돌",HYPERLINK("#'관리자_MASTER'!D"&amp;_xlfn.MAXIFS(m_row,m_teacher,BR$4,m_date,($G$2+33),m_active,1,m_start,"&lt;"&amp;900,m_end,"&gt;"&amp;840),INDEX(m_label,_xlfn.MAXIFS(m_row,m_teacher,BR$4,m_date,($G$2+33),m_active,1,m_start,"&lt;"&amp;900,m_end,"&gt;"&amp;840))))))</f>
        <v/>
      </c>
    </row>
    <row r="66" customFormat="false" ht="19.5" hidden="false" customHeight="true" outlineLevel="0" collapsed="false">
      <c r="A66" s="90"/>
      <c r="B66" s="79" t="s">
        <v>97</v>
      </c>
      <c r="C66" s="88" t="str">
        <f aca="false">IF(OR(C$4="",MONTH(($G$2+5))&lt;&gt;MONTH($C$2)),"",IF(COUNTIFS(m_teacher,C$4,m_date,($G$2+5),m_active,1,m_start,"&lt;"&amp;960,m_end,"&gt;"&amp;900)=0,"",IF(COUNTIFS(m_teacher,C$4,m_date,($G$2+5),m_active,1,m_start,"&lt;"&amp;960,m_end,"&gt;"&amp;900)&gt;1,"충돌",HYPERLINK("#'관리자_MASTER'!D"&amp;_xlfn.MAXIFS(m_row,m_teacher,C$4,m_date,($G$2+5),m_active,1,m_start,"&lt;"&amp;960,m_end,"&gt;"&amp;900),INDEX(m_label,_xlfn.MAXIFS(m_row,m_teacher,C$4,m_date,($G$2+5),m_active,1,m_start,"&lt;"&amp;960,m_end,"&gt;"&amp;900))))))</f>
        <v/>
      </c>
      <c r="D66" s="88" t="str">
        <f aca="false">IF(OR(D$4="",MONTH(($G$2+5))&lt;&gt;MONTH($C$2)),"",IF(COUNTIFS(m_teacher,D$4,m_date,($G$2+5),m_active,1,m_start,"&lt;"&amp;960,m_end,"&gt;"&amp;900)=0,"",IF(COUNTIFS(m_teacher,D$4,m_date,($G$2+5),m_active,1,m_start,"&lt;"&amp;960,m_end,"&gt;"&amp;900)&gt;1,"충돌",HYPERLINK("#'관리자_MASTER'!D"&amp;_xlfn.MAXIFS(m_row,m_teacher,D$4,m_date,($G$2+5),m_active,1,m_start,"&lt;"&amp;960,m_end,"&gt;"&amp;900),INDEX(m_label,_xlfn.MAXIFS(m_row,m_teacher,D$4,m_date,($G$2+5),m_active,1,m_start,"&lt;"&amp;960,m_end,"&gt;"&amp;900))))))</f>
        <v/>
      </c>
      <c r="E66" s="88" t="str">
        <f aca="false">IF(OR(E$4="",MONTH(($G$2+5))&lt;&gt;MONTH($C$2)),"",IF(COUNTIFS(m_teacher,E$4,m_date,($G$2+5),m_active,1,m_start,"&lt;"&amp;960,m_end,"&gt;"&amp;900)=0,"",IF(COUNTIFS(m_teacher,E$4,m_date,($G$2+5),m_active,1,m_start,"&lt;"&amp;960,m_end,"&gt;"&amp;900)&gt;1,"충돌",HYPERLINK("#'관리자_MASTER'!D"&amp;_xlfn.MAXIFS(m_row,m_teacher,E$4,m_date,($G$2+5),m_active,1,m_start,"&lt;"&amp;960,m_end,"&gt;"&amp;900),INDEX(m_label,_xlfn.MAXIFS(m_row,m_teacher,E$4,m_date,($G$2+5),m_active,1,m_start,"&lt;"&amp;960,m_end,"&gt;"&amp;900))))))</f>
        <v/>
      </c>
      <c r="F66" s="88" t="str">
        <f aca="false">IF(OR(F$4="",MONTH(($G$2+5))&lt;&gt;MONTH($C$2)),"",IF(COUNTIFS(m_teacher,F$4,m_date,($G$2+5),m_active,1,m_start,"&lt;"&amp;960,m_end,"&gt;"&amp;900)=0,"",IF(COUNTIFS(m_teacher,F$4,m_date,($G$2+5),m_active,1,m_start,"&lt;"&amp;960,m_end,"&gt;"&amp;900)&gt;1,"충돌",HYPERLINK("#'관리자_MASTER'!D"&amp;_xlfn.MAXIFS(m_row,m_teacher,F$4,m_date,($G$2+5),m_active,1,m_start,"&lt;"&amp;960,m_end,"&gt;"&amp;900),INDEX(m_label,_xlfn.MAXIFS(m_row,m_teacher,F$4,m_date,($G$2+5),m_active,1,m_start,"&lt;"&amp;960,m_end,"&gt;"&amp;900))))))</f>
        <v/>
      </c>
      <c r="G66" s="88" t="str">
        <f aca="false">IF(OR(G$4="",MONTH(($G$2+5))&lt;&gt;MONTH($C$2)),"",IF(COUNTIFS(m_teacher,G$4,m_date,($G$2+5),m_active,1,m_start,"&lt;"&amp;960,m_end,"&gt;"&amp;900)=0,"",IF(COUNTIFS(m_teacher,G$4,m_date,($G$2+5),m_active,1,m_start,"&lt;"&amp;960,m_end,"&gt;"&amp;900)&gt;1,"충돌",HYPERLINK("#'관리자_MASTER'!D"&amp;_xlfn.MAXIFS(m_row,m_teacher,G$4,m_date,($G$2+5),m_active,1,m_start,"&lt;"&amp;960,m_end,"&gt;"&amp;900),INDEX(m_label,_xlfn.MAXIFS(m_row,m_teacher,G$4,m_date,($G$2+5),m_active,1,m_start,"&lt;"&amp;960,m_end,"&gt;"&amp;900))))))</f>
        <v/>
      </c>
      <c r="H66" s="88" t="str">
        <f aca="false">IF(OR(H$4="",MONTH(($G$2+5))&lt;&gt;MONTH($C$2)),"",IF(COUNTIFS(m_teacher,H$4,m_date,($G$2+5),m_active,1,m_start,"&lt;"&amp;960,m_end,"&gt;"&amp;900)=0,"",IF(COUNTIFS(m_teacher,H$4,m_date,($G$2+5),m_active,1,m_start,"&lt;"&amp;960,m_end,"&gt;"&amp;900)&gt;1,"충돌",HYPERLINK("#'관리자_MASTER'!D"&amp;_xlfn.MAXIFS(m_row,m_teacher,H$4,m_date,($G$2+5),m_active,1,m_start,"&lt;"&amp;960,m_end,"&gt;"&amp;900),INDEX(m_label,_xlfn.MAXIFS(m_row,m_teacher,H$4,m_date,($G$2+5),m_active,1,m_start,"&lt;"&amp;960,m_end,"&gt;"&amp;900))))))</f>
        <v/>
      </c>
      <c r="I66" s="88" t="str">
        <f aca="false">IF(OR(I$4="",MONTH(($G$2+5))&lt;&gt;MONTH($C$2)),"",IF(COUNTIFS(m_teacher,I$4,m_date,($G$2+5),m_active,1,m_start,"&lt;"&amp;960,m_end,"&gt;"&amp;900)=0,"",IF(COUNTIFS(m_teacher,I$4,m_date,($G$2+5),m_active,1,m_start,"&lt;"&amp;960,m_end,"&gt;"&amp;900)&gt;1,"충돌",HYPERLINK("#'관리자_MASTER'!D"&amp;_xlfn.MAXIFS(m_row,m_teacher,I$4,m_date,($G$2+5),m_active,1,m_start,"&lt;"&amp;960,m_end,"&gt;"&amp;900),INDEX(m_label,_xlfn.MAXIFS(m_row,m_teacher,I$4,m_date,($G$2+5),m_active,1,m_start,"&lt;"&amp;960,m_end,"&gt;"&amp;900))))))</f>
        <v/>
      </c>
      <c r="J66" s="88" t="str">
        <f aca="false">IF(OR(J$4="",MONTH(($G$2+5))&lt;&gt;MONTH($C$2)),"",IF(COUNTIFS(m_teacher,J$4,m_date,($G$2+5),m_active,1,m_start,"&lt;"&amp;960,m_end,"&gt;"&amp;900)=0,"",IF(COUNTIFS(m_teacher,J$4,m_date,($G$2+5),m_active,1,m_start,"&lt;"&amp;960,m_end,"&gt;"&amp;900)&gt;1,"충돌",HYPERLINK("#'관리자_MASTER'!D"&amp;_xlfn.MAXIFS(m_row,m_teacher,J$4,m_date,($G$2+5),m_active,1,m_start,"&lt;"&amp;960,m_end,"&gt;"&amp;900),INDEX(m_label,_xlfn.MAXIFS(m_row,m_teacher,J$4,m_date,($G$2+5),m_active,1,m_start,"&lt;"&amp;960,m_end,"&gt;"&amp;900))))))</f>
        <v/>
      </c>
      <c r="K66" s="88" t="str">
        <f aca="false">IF(OR(K$4="",MONTH(($G$2+5))&lt;&gt;MONTH($C$2)),"",IF(COUNTIFS(m_teacher,K$4,m_date,($G$2+5),m_active,1,m_start,"&lt;"&amp;960,m_end,"&gt;"&amp;900)=0,"",IF(COUNTIFS(m_teacher,K$4,m_date,($G$2+5),m_active,1,m_start,"&lt;"&amp;960,m_end,"&gt;"&amp;900)&gt;1,"충돌",HYPERLINK("#'관리자_MASTER'!D"&amp;_xlfn.MAXIFS(m_row,m_teacher,K$4,m_date,($G$2+5),m_active,1,m_start,"&lt;"&amp;960,m_end,"&gt;"&amp;900),INDEX(m_label,_xlfn.MAXIFS(m_row,m_teacher,K$4,m_date,($G$2+5),m_active,1,m_start,"&lt;"&amp;960,m_end,"&gt;"&amp;900))))))</f>
        <v/>
      </c>
      <c r="L66" s="88" t="str">
        <f aca="false">IF(OR(L$4="",MONTH(($G$2+5))&lt;&gt;MONTH($C$2)),"",IF(COUNTIFS(m_teacher,L$4,m_date,($G$2+5),m_active,1,m_start,"&lt;"&amp;960,m_end,"&gt;"&amp;900)=0,"",IF(COUNTIFS(m_teacher,L$4,m_date,($G$2+5),m_active,1,m_start,"&lt;"&amp;960,m_end,"&gt;"&amp;900)&gt;1,"충돌",HYPERLINK("#'관리자_MASTER'!D"&amp;_xlfn.MAXIFS(m_row,m_teacher,L$4,m_date,($G$2+5),m_active,1,m_start,"&lt;"&amp;960,m_end,"&gt;"&amp;900),INDEX(m_label,_xlfn.MAXIFS(m_row,m_teacher,L$4,m_date,($G$2+5),m_active,1,m_start,"&lt;"&amp;960,m_end,"&gt;"&amp;900))))))</f>
        <v/>
      </c>
      <c r="M66" s="88" t="str">
        <f aca="false">IF(OR(M$4="",MONTH(($G$2+5))&lt;&gt;MONTH($C$2)),"",IF(COUNTIFS(m_teacher,M$4,m_date,($G$2+5),m_active,1,m_start,"&lt;"&amp;960,m_end,"&gt;"&amp;900)=0,"",IF(COUNTIFS(m_teacher,M$4,m_date,($G$2+5),m_active,1,m_start,"&lt;"&amp;960,m_end,"&gt;"&amp;900)&gt;1,"충돌",HYPERLINK("#'관리자_MASTER'!D"&amp;_xlfn.MAXIFS(m_row,m_teacher,M$4,m_date,($G$2+5),m_active,1,m_start,"&lt;"&amp;960,m_end,"&gt;"&amp;900),INDEX(m_label,_xlfn.MAXIFS(m_row,m_teacher,M$4,m_date,($G$2+5),m_active,1,m_start,"&lt;"&amp;960,m_end,"&gt;"&amp;900))))))</f>
        <v/>
      </c>
      <c r="N66" s="88" t="str">
        <f aca="false">IF(OR(N$4="",MONTH(($G$2+5))&lt;&gt;MONTH($C$2)),"",IF(COUNTIFS(m_teacher,N$4,m_date,($G$2+5),m_active,1,m_start,"&lt;"&amp;960,m_end,"&gt;"&amp;900)=0,"",IF(COUNTIFS(m_teacher,N$4,m_date,($G$2+5),m_active,1,m_start,"&lt;"&amp;960,m_end,"&gt;"&amp;900)&gt;1,"충돌",HYPERLINK("#'관리자_MASTER'!D"&amp;_xlfn.MAXIFS(m_row,m_teacher,N$4,m_date,($G$2+5),m_active,1,m_start,"&lt;"&amp;960,m_end,"&gt;"&amp;900),INDEX(m_label,_xlfn.MAXIFS(m_row,m_teacher,N$4,m_date,($G$2+5),m_active,1,m_start,"&lt;"&amp;960,m_end,"&gt;"&amp;900))))))</f>
        <v/>
      </c>
      <c r="O66" s="90"/>
      <c r="P66" s="79" t="s">
        <v>97</v>
      </c>
      <c r="Q66" s="88" t="str">
        <f aca="false">IF(OR(Q$4="",MONTH(($G$2+12))&lt;&gt;MONTH($C$2)),"",IF(COUNTIFS(m_teacher,Q$4,m_date,($G$2+12),m_active,1,m_start,"&lt;"&amp;960,m_end,"&gt;"&amp;900)=0,"",IF(COUNTIFS(m_teacher,Q$4,m_date,($G$2+12),m_active,1,m_start,"&lt;"&amp;960,m_end,"&gt;"&amp;900)&gt;1,"충돌",HYPERLINK("#'관리자_MASTER'!D"&amp;_xlfn.MAXIFS(m_row,m_teacher,Q$4,m_date,($G$2+12),m_active,1,m_start,"&lt;"&amp;960,m_end,"&gt;"&amp;900),INDEX(m_label,_xlfn.MAXIFS(m_row,m_teacher,Q$4,m_date,($G$2+12),m_active,1,m_start,"&lt;"&amp;960,m_end,"&gt;"&amp;900))))))</f>
        <v/>
      </c>
      <c r="R66" s="88" t="str">
        <f aca="false">IF(OR(R$4="",MONTH(($G$2+12))&lt;&gt;MONTH($C$2)),"",IF(COUNTIFS(m_teacher,R$4,m_date,($G$2+12),m_active,1,m_start,"&lt;"&amp;960,m_end,"&gt;"&amp;900)=0,"",IF(COUNTIFS(m_teacher,R$4,m_date,($G$2+12),m_active,1,m_start,"&lt;"&amp;960,m_end,"&gt;"&amp;900)&gt;1,"충돌",HYPERLINK("#'관리자_MASTER'!D"&amp;_xlfn.MAXIFS(m_row,m_teacher,R$4,m_date,($G$2+12),m_active,1,m_start,"&lt;"&amp;960,m_end,"&gt;"&amp;900),INDEX(m_label,_xlfn.MAXIFS(m_row,m_teacher,R$4,m_date,($G$2+12),m_active,1,m_start,"&lt;"&amp;960,m_end,"&gt;"&amp;900))))))</f>
        <v/>
      </c>
      <c r="S66" s="88" t="str">
        <f aca="false">IF(OR(S$4="",MONTH(($G$2+12))&lt;&gt;MONTH($C$2)),"",IF(COUNTIFS(m_teacher,S$4,m_date,($G$2+12),m_active,1,m_start,"&lt;"&amp;960,m_end,"&gt;"&amp;900)=0,"",IF(COUNTIFS(m_teacher,S$4,m_date,($G$2+12),m_active,1,m_start,"&lt;"&amp;960,m_end,"&gt;"&amp;900)&gt;1,"충돌",HYPERLINK("#'관리자_MASTER'!D"&amp;_xlfn.MAXIFS(m_row,m_teacher,S$4,m_date,($G$2+12),m_active,1,m_start,"&lt;"&amp;960,m_end,"&gt;"&amp;900),INDEX(m_label,_xlfn.MAXIFS(m_row,m_teacher,S$4,m_date,($G$2+12),m_active,1,m_start,"&lt;"&amp;960,m_end,"&gt;"&amp;900))))))</f>
        <v/>
      </c>
      <c r="T66" s="88" t="str">
        <f aca="false">IF(OR(T$4="",MONTH(($G$2+12))&lt;&gt;MONTH($C$2)),"",IF(COUNTIFS(m_teacher,T$4,m_date,($G$2+12),m_active,1,m_start,"&lt;"&amp;960,m_end,"&gt;"&amp;900)=0,"",IF(COUNTIFS(m_teacher,T$4,m_date,($G$2+12),m_active,1,m_start,"&lt;"&amp;960,m_end,"&gt;"&amp;900)&gt;1,"충돌",HYPERLINK("#'관리자_MASTER'!D"&amp;_xlfn.MAXIFS(m_row,m_teacher,T$4,m_date,($G$2+12),m_active,1,m_start,"&lt;"&amp;960,m_end,"&gt;"&amp;900),INDEX(m_label,_xlfn.MAXIFS(m_row,m_teacher,T$4,m_date,($G$2+12),m_active,1,m_start,"&lt;"&amp;960,m_end,"&gt;"&amp;900))))))</f>
        <v/>
      </c>
      <c r="U66" s="88" t="str">
        <f aca="false">IF(OR(U$4="",MONTH(($G$2+12))&lt;&gt;MONTH($C$2)),"",IF(COUNTIFS(m_teacher,U$4,m_date,($G$2+12),m_active,1,m_start,"&lt;"&amp;960,m_end,"&gt;"&amp;900)=0,"",IF(COUNTIFS(m_teacher,U$4,m_date,($G$2+12),m_active,1,m_start,"&lt;"&amp;960,m_end,"&gt;"&amp;900)&gt;1,"충돌",HYPERLINK("#'관리자_MASTER'!D"&amp;_xlfn.MAXIFS(m_row,m_teacher,U$4,m_date,($G$2+12),m_active,1,m_start,"&lt;"&amp;960,m_end,"&gt;"&amp;900),INDEX(m_label,_xlfn.MAXIFS(m_row,m_teacher,U$4,m_date,($G$2+12),m_active,1,m_start,"&lt;"&amp;960,m_end,"&gt;"&amp;900))))))</f>
        <v/>
      </c>
      <c r="V66" s="88" t="str">
        <f aca="false">IF(OR(V$4="",MONTH(($G$2+12))&lt;&gt;MONTH($C$2)),"",IF(COUNTIFS(m_teacher,V$4,m_date,($G$2+12),m_active,1,m_start,"&lt;"&amp;960,m_end,"&gt;"&amp;900)=0,"",IF(COUNTIFS(m_teacher,V$4,m_date,($G$2+12),m_active,1,m_start,"&lt;"&amp;960,m_end,"&gt;"&amp;900)&gt;1,"충돌",HYPERLINK("#'관리자_MASTER'!D"&amp;_xlfn.MAXIFS(m_row,m_teacher,V$4,m_date,($G$2+12),m_active,1,m_start,"&lt;"&amp;960,m_end,"&gt;"&amp;900),INDEX(m_label,_xlfn.MAXIFS(m_row,m_teacher,V$4,m_date,($G$2+12),m_active,1,m_start,"&lt;"&amp;960,m_end,"&gt;"&amp;900))))))</f>
        <v/>
      </c>
      <c r="W66" s="88" t="str">
        <f aca="false">IF(OR(W$4="",MONTH(($G$2+12))&lt;&gt;MONTH($C$2)),"",IF(COUNTIFS(m_teacher,W$4,m_date,($G$2+12),m_active,1,m_start,"&lt;"&amp;960,m_end,"&gt;"&amp;900)=0,"",IF(COUNTIFS(m_teacher,W$4,m_date,($G$2+12),m_active,1,m_start,"&lt;"&amp;960,m_end,"&gt;"&amp;900)&gt;1,"충돌",HYPERLINK("#'관리자_MASTER'!D"&amp;_xlfn.MAXIFS(m_row,m_teacher,W$4,m_date,($G$2+12),m_active,1,m_start,"&lt;"&amp;960,m_end,"&gt;"&amp;900),INDEX(m_label,_xlfn.MAXIFS(m_row,m_teacher,W$4,m_date,($G$2+12),m_active,1,m_start,"&lt;"&amp;960,m_end,"&gt;"&amp;900))))))</f>
        <v/>
      </c>
      <c r="X66" s="88" t="str">
        <f aca="false">IF(OR(X$4="",MONTH(($G$2+12))&lt;&gt;MONTH($C$2)),"",IF(COUNTIFS(m_teacher,X$4,m_date,($G$2+12),m_active,1,m_start,"&lt;"&amp;960,m_end,"&gt;"&amp;900)=0,"",IF(COUNTIFS(m_teacher,X$4,m_date,($G$2+12),m_active,1,m_start,"&lt;"&amp;960,m_end,"&gt;"&amp;900)&gt;1,"충돌",HYPERLINK("#'관리자_MASTER'!D"&amp;_xlfn.MAXIFS(m_row,m_teacher,X$4,m_date,($G$2+12),m_active,1,m_start,"&lt;"&amp;960,m_end,"&gt;"&amp;900),INDEX(m_label,_xlfn.MAXIFS(m_row,m_teacher,X$4,m_date,($G$2+12),m_active,1,m_start,"&lt;"&amp;960,m_end,"&gt;"&amp;900))))))</f>
        <v/>
      </c>
      <c r="Y66" s="88" t="str">
        <f aca="false">IF(OR(Y$4="",MONTH(($G$2+12))&lt;&gt;MONTH($C$2)),"",IF(COUNTIFS(m_teacher,Y$4,m_date,($G$2+12),m_active,1,m_start,"&lt;"&amp;960,m_end,"&gt;"&amp;900)=0,"",IF(COUNTIFS(m_teacher,Y$4,m_date,($G$2+12),m_active,1,m_start,"&lt;"&amp;960,m_end,"&gt;"&amp;900)&gt;1,"충돌",HYPERLINK("#'관리자_MASTER'!D"&amp;_xlfn.MAXIFS(m_row,m_teacher,Y$4,m_date,($G$2+12),m_active,1,m_start,"&lt;"&amp;960,m_end,"&gt;"&amp;900),INDEX(m_label,_xlfn.MAXIFS(m_row,m_teacher,Y$4,m_date,($G$2+12),m_active,1,m_start,"&lt;"&amp;960,m_end,"&gt;"&amp;900))))))</f>
        <v/>
      </c>
      <c r="Z66" s="88" t="str">
        <f aca="false">IF(OR(Z$4="",MONTH(($G$2+12))&lt;&gt;MONTH($C$2)),"",IF(COUNTIFS(m_teacher,Z$4,m_date,($G$2+12),m_active,1,m_start,"&lt;"&amp;960,m_end,"&gt;"&amp;900)=0,"",IF(COUNTIFS(m_teacher,Z$4,m_date,($G$2+12),m_active,1,m_start,"&lt;"&amp;960,m_end,"&gt;"&amp;900)&gt;1,"충돌",HYPERLINK("#'관리자_MASTER'!D"&amp;_xlfn.MAXIFS(m_row,m_teacher,Z$4,m_date,($G$2+12),m_active,1,m_start,"&lt;"&amp;960,m_end,"&gt;"&amp;900),INDEX(m_label,_xlfn.MAXIFS(m_row,m_teacher,Z$4,m_date,($G$2+12),m_active,1,m_start,"&lt;"&amp;960,m_end,"&gt;"&amp;900))))))</f>
        <v/>
      </c>
      <c r="AA66" s="88" t="str">
        <f aca="false">IF(OR(AA$4="",MONTH(($G$2+12))&lt;&gt;MONTH($C$2)),"",IF(COUNTIFS(m_teacher,AA$4,m_date,($G$2+12),m_active,1,m_start,"&lt;"&amp;960,m_end,"&gt;"&amp;900)=0,"",IF(COUNTIFS(m_teacher,AA$4,m_date,($G$2+12),m_active,1,m_start,"&lt;"&amp;960,m_end,"&gt;"&amp;900)&gt;1,"충돌",HYPERLINK("#'관리자_MASTER'!D"&amp;_xlfn.MAXIFS(m_row,m_teacher,AA$4,m_date,($G$2+12),m_active,1,m_start,"&lt;"&amp;960,m_end,"&gt;"&amp;900),INDEX(m_label,_xlfn.MAXIFS(m_row,m_teacher,AA$4,m_date,($G$2+12),m_active,1,m_start,"&lt;"&amp;960,m_end,"&gt;"&amp;900))))))</f>
        <v/>
      </c>
      <c r="AB66" s="88" t="str">
        <f aca="false">IF(OR(AB$4="",MONTH(($G$2+12))&lt;&gt;MONTH($C$2)),"",IF(COUNTIFS(m_teacher,AB$4,m_date,($G$2+12),m_active,1,m_start,"&lt;"&amp;960,m_end,"&gt;"&amp;900)=0,"",IF(COUNTIFS(m_teacher,AB$4,m_date,($G$2+12),m_active,1,m_start,"&lt;"&amp;960,m_end,"&gt;"&amp;900)&gt;1,"충돌",HYPERLINK("#'관리자_MASTER'!D"&amp;_xlfn.MAXIFS(m_row,m_teacher,AB$4,m_date,($G$2+12),m_active,1,m_start,"&lt;"&amp;960,m_end,"&gt;"&amp;900),INDEX(m_label,_xlfn.MAXIFS(m_row,m_teacher,AB$4,m_date,($G$2+12),m_active,1,m_start,"&lt;"&amp;960,m_end,"&gt;"&amp;900))))))</f>
        <v/>
      </c>
      <c r="AC66" s="90"/>
      <c r="AD66" s="79" t="s">
        <v>97</v>
      </c>
      <c r="AE66" s="88" t="str">
        <f aca="false">IF(OR(AE$4="",MONTH(($G$2+19))&lt;&gt;MONTH($C$2)),"",IF(COUNTIFS(m_teacher,AE$4,m_date,($G$2+19),m_active,1,m_start,"&lt;"&amp;960,m_end,"&gt;"&amp;900)=0,"",IF(COUNTIFS(m_teacher,AE$4,m_date,($G$2+19),m_active,1,m_start,"&lt;"&amp;960,m_end,"&gt;"&amp;900)&gt;1,"충돌",HYPERLINK("#'관리자_MASTER'!D"&amp;_xlfn.MAXIFS(m_row,m_teacher,AE$4,m_date,($G$2+19),m_active,1,m_start,"&lt;"&amp;960,m_end,"&gt;"&amp;900),INDEX(m_label,_xlfn.MAXIFS(m_row,m_teacher,AE$4,m_date,($G$2+19),m_active,1,m_start,"&lt;"&amp;960,m_end,"&gt;"&amp;900))))))</f>
        <v/>
      </c>
      <c r="AF66" s="88" t="str">
        <f aca="false">IF(OR(AF$4="",MONTH(($G$2+19))&lt;&gt;MONTH($C$2)),"",IF(COUNTIFS(m_teacher,AF$4,m_date,($G$2+19),m_active,1,m_start,"&lt;"&amp;960,m_end,"&gt;"&amp;900)=0,"",IF(COUNTIFS(m_teacher,AF$4,m_date,($G$2+19),m_active,1,m_start,"&lt;"&amp;960,m_end,"&gt;"&amp;900)&gt;1,"충돌",HYPERLINK("#'관리자_MASTER'!D"&amp;_xlfn.MAXIFS(m_row,m_teacher,AF$4,m_date,($G$2+19),m_active,1,m_start,"&lt;"&amp;960,m_end,"&gt;"&amp;900),INDEX(m_label,_xlfn.MAXIFS(m_row,m_teacher,AF$4,m_date,($G$2+19),m_active,1,m_start,"&lt;"&amp;960,m_end,"&gt;"&amp;900))))))</f>
        <v/>
      </c>
      <c r="AG66" s="88" t="str">
        <f aca="false">IF(OR(AG$4="",MONTH(($G$2+19))&lt;&gt;MONTH($C$2)),"",IF(COUNTIFS(m_teacher,AG$4,m_date,($G$2+19),m_active,1,m_start,"&lt;"&amp;960,m_end,"&gt;"&amp;900)=0,"",IF(COUNTIFS(m_teacher,AG$4,m_date,($G$2+19),m_active,1,m_start,"&lt;"&amp;960,m_end,"&gt;"&amp;900)&gt;1,"충돌",HYPERLINK("#'관리자_MASTER'!D"&amp;_xlfn.MAXIFS(m_row,m_teacher,AG$4,m_date,($G$2+19),m_active,1,m_start,"&lt;"&amp;960,m_end,"&gt;"&amp;900),INDEX(m_label,_xlfn.MAXIFS(m_row,m_teacher,AG$4,m_date,($G$2+19),m_active,1,m_start,"&lt;"&amp;960,m_end,"&gt;"&amp;900))))))</f>
        <v/>
      </c>
      <c r="AH66" s="88" t="str">
        <f aca="false">IF(OR(AH$4="",MONTH(($G$2+19))&lt;&gt;MONTH($C$2)),"",IF(COUNTIFS(m_teacher,AH$4,m_date,($G$2+19),m_active,1,m_start,"&lt;"&amp;960,m_end,"&gt;"&amp;900)=0,"",IF(COUNTIFS(m_teacher,AH$4,m_date,($G$2+19),m_active,1,m_start,"&lt;"&amp;960,m_end,"&gt;"&amp;900)&gt;1,"충돌",HYPERLINK("#'관리자_MASTER'!D"&amp;_xlfn.MAXIFS(m_row,m_teacher,AH$4,m_date,($G$2+19),m_active,1,m_start,"&lt;"&amp;960,m_end,"&gt;"&amp;900),INDEX(m_label,_xlfn.MAXIFS(m_row,m_teacher,AH$4,m_date,($G$2+19),m_active,1,m_start,"&lt;"&amp;960,m_end,"&gt;"&amp;900))))))</f>
        <v/>
      </c>
      <c r="AI66" s="88" t="str">
        <f aca="false">IF(OR(AI$4="",MONTH(($G$2+19))&lt;&gt;MONTH($C$2)),"",IF(COUNTIFS(m_teacher,AI$4,m_date,($G$2+19),m_active,1,m_start,"&lt;"&amp;960,m_end,"&gt;"&amp;900)=0,"",IF(COUNTIFS(m_teacher,AI$4,m_date,($G$2+19),m_active,1,m_start,"&lt;"&amp;960,m_end,"&gt;"&amp;900)&gt;1,"충돌",HYPERLINK("#'관리자_MASTER'!D"&amp;_xlfn.MAXIFS(m_row,m_teacher,AI$4,m_date,($G$2+19),m_active,1,m_start,"&lt;"&amp;960,m_end,"&gt;"&amp;900),INDEX(m_label,_xlfn.MAXIFS(m_row,m_teacher,AI$4,m_date,($G$2+19),m_active,1,m_start,"&lt;"&amp;960,m_end,"&gt;"&amp;900))))))</f>
        <v/>
      </c>
      <c r="AJ66" s="88" t="str">
        <f aca="false">IF(OR(AJ$4="",MONTH(($G$2+19))&lt;&gt;MONTH($C$2)),"",IF(COUNTIFS(m_teacher,AJ$4,m_date,($G$2+19),m_active,1,m_start,"&lt;"&amp;960,m_end,"&gt;"&amp;900)=0,"",IF(COUNTIFS(m_teacher,AJ$4,m_date,($G$2+19),m_active,1,m_start,"&lt;"&amp;960,m_end,"&gt;"&amp;900)&gt;1,"충돌",HYPERLINK("#'관리자_MASTER'!D"&amp;_xlfn.MAXIFS(m_row,m_teacher,AJ$4,m_date,($G$2+19),m_active,1,m_start,"&lt;"&amp;960,m_end,"&gt;"&amp;900),INDEX(m_label,_xlfn.MAXIFS(m_row,m_teacher,AJ$4,m_date,($G$2+19),m_active,1,m_start,"&lt;"&amp;960,m_end,"&gt;"&amp;900))))))</f>
        <v/>
      </c>
      <c r="AK66" s="88" t="str">
        <f aca="false">IF(OR(AK$4="",MONTH(($G$2+19))&lt;&gt;MONTH($C$2)),"",IF(COUNTIFS(m_teacher,AK$4,m_date,($G$2+19),m_active,1,m_start,"&lt;"&amp;960,m_end,"&gt;"&amp;900)=0,"",IF(COUNTIFS(m_teacher,AK$4,m_date,($G$2+19),m_active,1,m_start,"&lt;"&amp;960,m_end,"&gt;"&amp;900)&gt;1,"충돌",HYPERLINK("#'관리자_MASTER'!D"&amp;_xlfn.MAXIFS(m_row,m_teacher,AK$4,m_date,($G$2+19),m_active,1,m_start,"&lt;"&amp;960,m_end,"&gt;"&amp;900),INDEX(m_label,_xlfn.MAXIFS(m_row,m_teacher,AK$4,m_date,($G$2+19),m_active,1,m_start,"&lt;"&amp;960,m_end,"&gt;"&amp;900))))))</f>
        <v/>
      </c>
      <c r="AL66" s="88" t="str">
        <f aca="false">IF(OR(AL$4="",MONTH(($G$2+19))&lt;&gt;MONTH($C$2)),"",IF(COUNTIFS(m_teacher,AL$4,m_date,($G$2+19),m_active,1,m_start,"&lt;"&amp;960,m_end,"&gt;"&amp;900)=0,"",IF(COUNTIFS(m_teacher,AL$4,m_date,($G$2+19),m_active,1,m_start,"&lt;"&amp;960,m_end,"&gt;"&amp;900)&gt;1,"충돌",HYPERLINK("#'관리자_MASTER'!D"&amp;_xlfn.MAXIFS(m_row,m_teacher,AL$4,m_date,($G$2+19),m_active,1,m_start,"&lt;"&amp;960,m_end,"&gt;"&amp;900),INDEX(m_label,_xlfn.MAXIFS(m_row,m_teacher,AL$4,m_date,($G$2+19),m_active,1,m_start,"&lt;"&amp;960,m_end,"&gt;"&amp;900))))))</f>
        <v/>
      </c>
      <c r="AM66" s="88" t="str">
        <f aca="false">IF(OR(AM$4="",MONTH(($G$2+19))&lt;&gt;MONTH($C$2)),"",IF(COUNTIFS(m_teacher,AM$4,m_date,($G$2+19),m_active,1,m_start,"&lt;"&amp;960,m_end,"&gt;"&amp;900)=0,"",IF(COUNTIFS(m_teacher,AM$4,m_date,($G$2+19),m_active,1,m_start,"&lt;"&amp;960,m_end,"&gt;"&amp;900)&gt;1,"충돌",HYPERLINK("#'관리자_MASTER'!D"&amp;_xlfn.MAXIFS(m_row,m_teacher,AM$4,m_date,($G$2+19),m_active,1,m_start,"&lt;"&amp;960,m_end,"&gt;"&amp;900),INDEX(m_label,_xlfn.MAXIFS(m_row,m_teacher,AM$4,m_date,($G$2+19),m_active,1,m_start,"&lt;"&amp;960,m_end,"&gt;"&amp;900))))))</f>
        <v/>
      </c>
      <c r="AN66" s="88" t="str">
        <f aca="false">IF(OR(AN$4="",MONTH(($G$2+19))&lt;&gt;MONTH($C$2)),"",IF(COUNTIFS(m_teacher,AN$4,m_date,($G$2+19),m_active,1,m_start,"&lt;"&amp;960,m_end,"&gt;"&amp;900)=0,"",IF(COUNTIFS(m_teacher,AN$4,m_date,($G$2+19),m_active,1,m_start,"&lt;"&amp;960,m_end,"&gt;"&amp;900)&gt;1,"충돌",HYPERLINK("#'관리자_MASTER'!D"&amp;_xlfn.MAXIFS(m_row,m_teacher,AN$4,m_date,($G$2+19),m_active,1,m_start,"&lt;"&amp;960,m_end,"&gt;"&amp;900),INDEX(m_label,_xlfn.MAXIFS(m_row,m_teacher,AN$4,m_date,($G$2+19),m_active,1,m_start,"&lt;"&amp;960,m_end,"&gt;"&amp;900))))))</f>
        <v/>
      </c>
      <c r="AO66" s="88" t="str">
        <f aca="false">IF(OR(AO$4="",MONTH(($G$2+19))&lt;&gt;MONTH($C$2)),"",IF(COUNTIFS(m_teacher,AO$4,m_date,($G$2+19),m_active,1,m_start,"&lt;"&amp;960,m_end,"&gt;"&amp;900)=0,"",IF(COUNTIFS(m_teacher,AO$4,m_date,($G$2+19),m_active,1,m_start,"&lt;"&amp;960,m_end,"&gt;"&amp;900)&gt;1,"충돌",HYPERLINK("#'관리자_MASTER'!D"&amp;_xlfn.MAXIFS(m_row,m_teacher,AO$4,m_date,($G$2+19),m_active,1,m_start,"&lt;"&amp;960,m_end,"&gt;"&amp;900),INDEX(m_label,_xlfn.MAXIFS(m_row,m_teacher,AO$4,m_date,($G$2+19),m_active,1,m_start,"&lt;"&amp;960,m_end,"&gt;"&amp;900))))))</f>
        <v/>
      </c>
      <c r="AP66" s="88" t="str">
        <f aca="false">IF(OR(AP$4="",MONTH(($G$2+19))&lt;&gt;MONTH($C$2)),"",IF(COUNTIFS(m_teacher,AP$4,m_date,($G$2+19),m_active,1,m_start,"&lt;"&amp;960,m_end,"&gt;"&amp;900)=0,"",IF(COUNTIFS(m_teacher,AP$4,m_date,($G$2+19),m_active,1,m_start,"&lt;"&amp;960,m_end,"&gt;"&amp;900)&gt;1,"충돌",HYPERLINK("#'관리자_MASTER'!D"&amp;_xlfn.MAXIFS(m_row,m_teacher,AP$4,m_date,($G$2+19),m_active,1,m_start,"&lt;"&amp;960,m_end,"&gt;"&amp;900),INDEX(m_label,_xlfn.MAXIFS(m_row,m_teacher,AP$4,m_date,($G$2+19),m_active,1,m_start,"&lt;"&amp;960,m_end,"&gt;"&amp;900))))))</f>
        <v/>
      </c>
      <c r="AQ66" s="90"/>
      <c r="AR66" s="79" t="s">
        <v>97</v>
      </c>
      <c r="AS66" s="88" t="str">
        <f aca="false">IF(OR(AS$4="",MONTH(($G$2+26))&lt;&gt;MONTH($C$2)),"",IF(COUNTIFS(m_teacher,AS$4,m_date,($G$2+26),m_active,1,m_start,"&lt;"&amp;960,m_end,"&gt;"&amp;900)=0,"",IF(COUNTIFS(m_teacher,AS$4,m_date,($G$2+26),m_active,1,m_start,"&lt;"&amp;960,m_end,"&gt;"&amp;900)&gt;1,"충돌",HYPERLINK("#'관리자_MASTER'!D"&amp;_xlfn.MAXIFS(m_row,m_teacher,AS$4,m_date,($G$2+26),m_active,1,m_start,"&lt;"&amp;960,m_end,"&gt;"&amp;900),INDEX(m_label,_xlfn.MAXIFS(m_row,m_teacher,AS$4,m_date,($G$2+26),m_active,1,m_start,"&lt;"&amp;960,m_end,"&gt;"&amp;900))))))</f>
        <v/>
      </c>
      <c r="AT66" s="88" t="str">
        <f aca="false">IF(OR(AT$4="",MONTH(($G$2+26))&lt;&gt;MONTH($C$2)),"",IF(COUNTIFS(m_teacher,AT$4,m_date,($G$2+26),m_active,1,m_start,"&lt;"&amp;960,m_end,"&gt;"&amp;900)=0,"",IF(COUNTIFS(m_teacher,AT$4,m_date,($G$2+26),m_active,1,m_start,"&lt;"&amp;960,m_end,"&gt;"&amp;900)&gt;1,"충돌",HYPERLINK("#'관리자_MASTER'!D"&amp;_xlfn.MAXIFS(m_row,m_teacher,AT$4,m_date,($G$2+26),m_active,1,m_start,"&lt;"&amp;960,m_end,"&gt;"&amp;900),INDEX(m_label,_xlfn.MAXIFS(m_row,m_teacher,AT$4,m_date,($G$2+26),m_active,1,m_start,"&lt;"&amp;960,m_end,"&gt;"&amp;900))))))</f>
        <v/>
      </c>
      <c r="AU66" s="88" t="str">
        <f aca="false">IF(OR(AU$4="",MONTH(($G$2+26))&lt;&gt;MONTH($C$2)),"",IF(COUNTIFS(m_teacher,AU$4,m_date,($G$2+26),m_active,1,m_start,"&lt;"&amp;960,m_end,"&gt;"&amp;900)=0,"",IF(COUNTIFS(m_teacher,AU$4,m_date,($G$2+26),m_active,1,m_start,"&lt;"&amp;960,m_end,"&gt;"&amp;900)&gt;1,"충돌",HYPERLINK("#'관리자_MASTER'!D"&amp;_xlfn.MAXIFS(m_row,m_teacher,AU$4,m_date,($G$2+26),m_active,1,m_start,"&lt;"&amp;960,m_end,"&gt;"&amp;900),INDEX(m_label,_xlfn.MAXIFS(m_row,m_teacher,AU$4,m_date,($G$2+26),m_active,1,m_start,"&lt;"&amp;960,m_end,"&gt;"&amp;900))))))</f>
        <v/>
      </c>
      <c r="AV66" s="88" t="str">
        <f aca="false">IF(OR(AV$4="",MONTH(($G$2+26))&lt;&gt;MONTH($C$2)),"",IF(COUNTIFS(m_teacher,AV$4,m_date,($G$2+26),m_active,1,m_start,"&lt;"&amp;960,m_end,"&gt;"&amp;900)=0,"",IF(COUNTIFS(m_teacher,AV$4,m_date,($G$2+26),m_active,1,m_start,"&lt;"&amp;960,m_end,"&gt;"&amp;900)&gt;1,"충돌",HYPERLINK("#'관리자_MASTER'!D"&amp;_xlfn.MAXIFS(m_row,m_teacher,AV$4,m_date,($G$2+26),m_active,1,m_start,"&lt;"&amp;960,m_end,"&gt;"&amp;900),INDEX(m_label,_xlfn.MAXIFS(m_row,m_teacher,AV$4,m_date,($G$2+26),m_active,1,m_start,"&lt;"&amp;960,m_end,"&gt;"&amp;900))))))</f>
        <v/>
      </c>
      <c r="AW66" s="88" t="str">
        <f aca="false">IF(OR(AW$4="",MONTH(($G$2+26))&lt;&gt;MONTH($C$2)),"",IF(COUNTIFS(m_teacher,AW$4,m_date,($G$2+26),m_active,1,m_start,"&lt;"&amp;960,m_end,"&gt;"&amp;900)=0,"",IF(COUNTIFS(m_teacher,AW$4,m_date,($G$2+26),m_active,1,m_start,"&lt;"&amp;960,m_end,"&gt;"&amp;900)&gt;1,"충돌",HYPERLINK("#'관리자_MASTER'!D"&amp;_xlfn.MAXIFS(m_row,m_teacher,AW$4,m_date,($G$2+26),m_active,1,m_start,"&lt;"&amp;960,m_end,"&gt;"&amp;900),INDEX(m_label,_xlfn.MAXIFS(m_row,m_teacher,AW$4,m_date,($G$2+26),m_active,1,m_start,"&lt;"&amp;960,m_end,"&gt;"&amp;900))))))</f>
        <v/>
      </c>
      <c r="AX66" s="88" t="str">
        <f aca="false">IF(OR(AX$4="",MONTH(($G$2+26))&lt;&gt;MONTH($C$2)),"",IF(COUNTIFS(m_teacher,AX$4,m_date,($G$2+26),m_active,1,m_start,"&lt;"&amp;960,m_end,"&gt;"&amp;900)=0,"",IF(COUNTIFS(m_teacher,AX$4,m_date,($G$2+26),m_active,1,m_start,"&lt;"&amp;960,m_end,"&gt;"&amp;900)&gt;1,"충돌",HYPERLINK("#'관리자_MASTER'!D"&amp;_xlfn.MAXIFS(m_row,m_teacher,AX$4,m_date,($G$2+26),m_active,1,m_start,"&lt;"&amp;960,m_end,"&gt;"&amp;900),INDEX(m_label,_xlfn.MAXIFS(m_row,m_teacher,AX$4,m_date,($G$2+26),m_active,1,m_start,"&lt;"&amp;960,m_end,"&gt;"&amp;900))))))</f>
        <v/>
      </c>
      <c r="AY66" s="88" t="str">
        <f aca="false">IF(OR(AY$4="",MONTH(($G$2+26))&lt;&gt;MONTH($C$2)),"",IF(COUNTIFS(m_teacher,AY$4,m_date,($G$2+26),m_active,1,m_start,"&lt;"&amp;960,m_end,"&gt;"&amp;900)=0,"",IF(COUNTIFS(m_teacher,AY$4,m_date,($G$2+26),m_active,1,m_start,"&lt;"&amp;960,m_end,"&gt;"&amp;900)&gt;1,"충돌",HYPERLINK("#'관리자_MASTER'!D"&amp;_xlfn.MAXIFS(m_row,m_teacher,AY$4,m_date,($G$2+26),m_active,1,m_start,"&lt;"&amp;960,m_end,"&gt;"&amp;900),INDEX(m_label,_xlfn.MAXIFS(m_row,m_teacher,AY$4,m_date,($G$2+26),m_active,1,m_start,"&lt;"&amp;960,m_end,"&gt;"&amp;900))))))</f>
        <v/>
      </c>
      <c r="AZ66" s="88" t="str">
        <f aca="false">IF(OR(AZ$4="",MONTH(($G$2+26))&lt;&gt;MONTH($C$2)),"",IF(COUNTIFS(m_teacher,AZ$4,m_date,($G$2+26),m_active,1,m_start,"&lt;"&amp;960,m_end,"&gt;"&amp;900)=0,"",IF(COUNTIFS(m_teacher,AZ$4,m_date,($G$2+26),m_active,1,m_start,"&lt;"&amp;960,m_end,"&gt;"&amp;900)&gt;1,"충돌",HYPERLINK("#'관리자_MASTER'!D"&amp;_xlfn.MAXIFS(m_row,m_teacher,AZ$4,m_date,($G$2+26),m_active,1,m_start,"&lt;"&amp;960,m_end,"&gt;"&amp;900),INDEX(m_label,_xlfn.MAXIFS(m_row,m_teacher,AZ$4,m_date,($G$2+26),m_active,1,m_start,"&lt;"&amp;960,m_end,"&gt;"&amp;900))))))</f>
        <v/>
      </c>
      <c r="BA66" s="88" t="str">
        <f aca="false">IF(OR(BA$4="",MONTH(($G$2+26))&lt;&gt;MONTH($C$2)),"",IF(COUNTIFS(m_teacher,BA$4,m_date,($G$2+26),m_active,1,m_start,"&lt;"&amp;960,m_end,"&gt;"&amp;900)=0,"",IF(COUNTIFS(m_teacher,BA$4,m_date,($G$2+26),m_active,1,m_start,"&lt;"&amp;960,m_end,"&gt;"&amp;900)&gt;1,"충돌",HYPERLINK("#'관리자_MASTER'!D"&amp;_xlfn.MAXIFS(m_row,m_teacher,BA$4,m_date,($G$2+26),m_active,1,m_start,"&lt;"&amp;960,m_end,"&gt;"&amp;900),INDEX(m_label,_xlfn.MAXIFS(m_row,m_teacher,BA$4,m_date,($G$2+26),m_active,1,m_start,"&lt;"&amp;960,m_end,"&gt;"&amp;900))))))</f>
        <v/>
      </c>
      <c r="BB66" s="88" t="str">
        <f aca="false">IF(OR(BB$4="",MONTH(($G$2+26))&lt;&gt;MONTH($C$2)),"",IF(COUNTIFS(m_teacher,BB$4,m_date,($G$2+26),m_active,1,m_start,"&lt;"&amp;960,m_end,"&gt;"&amp;900)=0,"",IF(COUNTIFS(m_teacher,BB$4,m_date,($G$2+26),m_active,1,m_start,"&lt;"&amp;960,m_end,"&gt;"&amp;900)&gt;1,"충돌",HYPERLINK("#'관리자_MASTER'!D"&amp;_xlfn.MAXIFS(m_row,m_teacher,BB$4,m_date,($G$2+26),m_active,1,m_start,"&lt;"&amp;960,m_end,"&gt;"&amp;900),INDEX(m_label,_xlfn.MAXIFS(m_row,m_teacher,BB$4,m_date,($G$2+26),m_active,1,m_start,"&lt;"&amp;960,m_end,"&gt;"&amp;900))))))</f>
        <v/>
      </c>
      <c r="BC66" s="88" t="str">
        <f aca="false">IF(OR(BC$4="",MONTH(($G$2+26))&lt;&gt;MONTH($C$2)),"",IF(COUNTIFS(m_teacher,BC$4,m_date,($G$2+26),m_active,1,m_start,"&lt;"&amp;960,m_end,"&gt;"&amp;900)=0,"",IF(COUNTIFS(m_teacher,BC$4,m_date,($G$2+26),m_active,1,m_start,"&lt;"&amp;960,m_end,"&gt;"&amp;900)&gt;1,"충돌",HYPERLINK("#'관리자_MASTER'!D"&amp;_xlfn.MAXIFS(m_row,m_teacher,BC$4,m_date,($G$2+26),m_active,1,m_start,"&lt;"&amp;960,m_end,"&gt;"&amp;900),INDEX(m_label,_xlfn.MAXIFS(m_row,m_teacher,BC$4,m_date,($G$2+26),m_active,1,m_start,"&lt;"&amp;960,m_end,"&gt;"&amp;900))))))</f>
        <v/>
      </c>
      <c r="BD66" s="88" t="str">
        <f aca="false">IF(OR(BD$4="",MONTH(($G$2+26))&lt;&gt;MONTH($C$2)),"",IF(COUNTIFS(m_teacher,BD$4,m_date,($G$2+26),m_active,1,m_start,"&lt;"&amp;960,m_end,"&gt;"&amp;900)=0,"",IF(COUNTIFS(m_teacher,BD$4,m_date,($G$2+26),m_active,1,m_start,"&lt;"&amp;960,m_end,"&gt;"&amp;900)&gt;1,"충돌",HYPERLINK("#'관리자_MASTER'!D"&amp;_xlfn.MAXIFS(m_row,m_teacher,BD$4,m_date,($G$2+26),m_active,1,m_start,"&lt;"&amp;960,m_end,"&gt;"&amp;900),INDEX(m_label,_xlfn.MAXIFS(m_row,m_teacher,BD$4,m_date,($G$2+26),m_active,1,m_start,"&lt;"&amp;960,m_end,"&gt;"&amp;900))))))</f>
        <v/>
      </c>
      <c r="BE66" s="90"/>
      <c r="BF66" s="79" t="s">
        <v>97</v>
      </c>
      <c r="BG66" s="88" t="str">
        <f aca="false">IF(OR(BG$4="",MONTH(($G$2+33))&lt;&gt;MONTH($C$2)),"",IF(COUNTIFS(m_teacher,BG$4,m_date,($G$2+33),m_active,1,m_start,"&lt;"&amp;960,m_end,"&gt;"&amp;900)=0,"",IF(COUNTIFS(m_teacher,BG$4,m_date,($G$2+33),m_active,1,m_start,"&lt;"&amp;960,m_end,"&gt;"&amp;900)&gt;1,"충돌",HYPERLINK("#'관리자_MASTER'!D"&amp;_xlfn.MAXIFS(m_row,m_teacher,BG$4,m_date,($G$2+33),m_active,1,m_start,"&lt;"&amp;960,m_end,"&gt;"&amp;900),INDEX(m_label,_xlfn.MAXIFS(m_row,m_teacher,BG$4,m_date,($G$2+33),m_active,1,m_start,"&lt;"&amp;960,m_end,"&gt;"&amp;900))))))</f>
        <v/>
      </c>
      <c r="BH66" s="88" t="str">
        <f aca="false">IF(OR(BH$4="",MONTH(($G$2+33))&lt;&gt;MONTH($C$2)),"",IF(COUNTIFS(m_teacher,BH$4,m_date,($G$2+33),m_active,1,m_start,"&lt;"&amp;960,m_end,"&gt;"&amp;900)=0,"",IF(COUNTIFS(m_teacher,BH$4,m_date,($G$2+33),m_active,1,m_start,"&lt;"&amp;960,m_end,"&gt;"&amp;900)&gt;1,"충돌",HYPERLINK("#'관리자_MASTER'!D"&amp;_xlfn.MAXIFS(m_row,m_teacher,BH$4,m_date,($G$2+33),m_active,1,m_start,"&lt;"&amp;960,m_end,"&gt;"&amp;900),INDEX(m_label,_xlfn.MAXIFS(m_row,m_teacher,BH$4,m_date,($G$2+33),m_active,1,m_start,"&lt;"&amp;960,m_end,"&gt;"&amp;900))))))</f>
        <v/>
      </c>
      <c r="BI66" s="88" t="str">
        <f aca="false">IF(OR(BI$4="",MONTH(($G$2+33))&lt;&gt;MONTH($C$2)),"",IF(COUNTIFS(m_teacher,BI$4,m_date,($G$2+33),m_active,1,m_start,"&lt;"&amp;960,m_end,"&gt;"&amp;900)=0,"",IF(COUNTIFS(m_teacher,BI$4,m_date,($G$2+33),m_active,1,m_start,"&lt;"&amp;960,m_end,"&gt;"&amp;900)&gt;1,"충돌",HYPERLINK("#'관리자_MASTER'!D"&amp;_xlfn.MAXIFS(m_row,m_teacher,BI$4,m_date,($G$2+33),m_active,1,m_start,"&lt;"&amp;960,m_end,"&gt;"&amp;900),INDEX(m_label,_xlfn.MAXIFS(m_row,m_teacher,BI$4,m_date,($G$2+33),m_active,1,m_start,"&lt;"&amp;960,m_end,"&gt;"&amp;900))))))</f>
        <v/>
      </c>
      <c r="BJ66" s="88" t="str">
        <f aca="false">IF(OR(BJ$4="",MONTH(($G$2+33))&lt;&gt;MONTH($C$2)),"",IF(COUNTIFS(m_teacher,BJ$4,m_date,($G$2+33),m_active,1,m_start,"&lt;"&amp;960,m_end,"&gt;"&amp;900)=0,"",IF(COUNTIFS(m_teacher,BJ$4,m_date,($G$2+33),m_active,1,m_start,"&lt;"&amp;960,m_end,"&gt;"&amp;900)&gt;1,"충돌",HYPERLINK("#'관리자_MASTER'!D"&amp;_xlfn.MAXIFS(m_row,m_teacher,BJ$4,m_date,($G$2+33),m_active,1,m_start,"&lt;"&amp;960,m_end,"&gt;"&amp;900),INDEX(m_label,_xlfn.MAXIFS(m_row,m_teacher,BJ$4,m_date,($G$2+33),m_active,1,m_start,"&lt;"&amp;960,m_end,"&gt;"&amp;900))))))</f>
        <v/>
      </c>
      <c r="BK66" s="88" t="str">
        <f aca="false">IF(OR(BK$4="",MONTH(($G$2+33))&lt;&gt;MONTH($C$2)),"",IF(COUNTIFS(m_teacher,BK$4,m_date,($G$2+33),m_active,1,m_start,"&lt;"&amp;960,m_end,"&gt;"&amp;900)=0,"",IF(COUNTIFS(m_teacher,BK$4,m_date,($G$2+33),m_active,1,m_start,"&lt;"&amp;960,m_end,"&gt;"&amp;900)&gt;1,"충돌",HYPERLINK("#'관리자_MASTER'!D"&amp;_xlfn.MAXIFS(m_row,m_teacher,BK$4,m_date,($G$2+33),m_active,1,m_start,"&lt;"&amp;960,m_end,"&gt;"&amp;900),INDEX(m_label,_xlfn.MAXIFS(m_row,m_teacher,BK$4,m_date,($G$2+33),m_active,1,m_start,"&lt;"&amp;960,m_end,"&gt;"&amp;900))))))</f>
        <v/>
      </c>
      <c r="BL66" s="88" t="str">
        <f aca="false">IF(OR(BL$4="",MONTH(($G$2+33))&lt;&gt;MONTH($C$2)),"",IF(COUNTIFS(m_teacher,BL$4,m_date,($G$2+33),m_active,1,m_start,"&lt;"&amp;960,m_end,"&gt;"&amp;900)=0,"",IF(COUNTIFS(m_teacher,BL$4,m_date,($G$2+33),m_active,1,m_start,"&lt;"&amp;960,m_end,"&gt;"&amp;900)&gt;1,"충돌",HYPERLINK("#'관리자_MASTER'!D"&amp;_xlfn.MAXIFS(m_row,m_teacher,BL$4,m_date,($G$2+33),m_active,1,m_start,"&lt;"&amp;960,m_end,"&gt;"&amp;900),INDEX(m_label,_xlfn.MAXIFS(m_row,m_teacher,BL$4,m_date,($G$2+33),m_active,1,m_start,"&lt;"&amp;960,m_end,"&gt;"&amp;900))))))</f>
        <v/>
      </c>
      <c r="BM66" s="88" t="str">
        <f aca="false">IF(OR(BM$4="",MONTH(($G$2+33))&lt;&gt;MONTH($C$2)),"",IF(COUNTIFS(m_teacher,BM$4,m_date,($G$2+33),m_active,1,m_start,"&lt;"&amp;960,m_end,"&gt;"&amp;900)=0,"",IF(COUNTIFS(m_teacher,BM$4,m_date,($G$2+33),m_active,1,m_start,"&lt;"&amp;960,m_end,"&gt;"&amp;900)&gt;1,"충돌",HYPERLINK("#'관리자_MASTER'!D"&amp;_xlfn.MAXIFS(m_row,m_teacher,BM$4,m_date,($G$2+33),m_active,1,m_start,"&lt;"&amp;960,m_end,"&gt;"&amp;900),INDEX(m_label,_xlfn.MAXIFS(m_row,m_teacher,BM$4,m_date,($G$2+33),m_active,1,m_start,"&lt;"&amp;960,m_end,"&gt;"&amp;900))))))</f>
        <v/>
      </c>
      <c r="BN66" s="88" t="str">
        <f aca="false">IF(OR(BN$4="",MONTH(($G$2+33))&lt;&gt;MONTH($C$2)),"",IF(COUNTIFS(m_teacher,BN$4,m_date,($G$2+33),m_active,1,m_start,"&lt;"&amp;960,m_end,"&gt;"&amp;900)=0,"",IF(COUNTIFS(m_teacher,BN$4,m_date,($G$2+33),m_active,1,m_start,"&lt;"&amp;960,m_end,"&gt;"&amp;900)&gt;1,"충돌",HYPERLINK("#'관리자_MASTER'!D"&amp;_xlfn.MAXIFS(m_row,m_teacher,BN$4,m_date,($G$2+33),m_active,1,m_start,"&lt;"&amp;960,m_end,"&gt;"&amp;900),INDEX(m_label,_xlfn.MAXIFS(m_row,m_teacher,BN$4,m_date,($G$2+33),m_active,1,m_start,"&lt;"&amp;960,m_end,"&gt;"&amp;900))))))</f>
        <v/>
      </c>
      <c r="BO66" s="88" t="str">
        <f aca="false">IF(OR(BO$4="",MONTH(($G$2+33))&lt;&gt;MONTH($C$2)),"",IF(COUNTIFS(m_teacher,BO$4,m_date,($G$2+33),m_active,1,m_start,"&lt;"&amp;960,m_end,"&gt;"&amp;900)=0,"",IF(COUNTIFS(m_teacher,BO$4,m_date,($G$2+33),m_active,1,m_start,"&lt;"&amp;960,m_end,"&gt;"&amp;900)&gt;1,"충돌",HYPERLINK("#'관리자_MASTER'!D"&amp;_xlfn.MAXIFS(m_row,m_teacher,BO$4,m_date,($G$2+33),m_active,1,m_start,"&lt;"&amp;960,m_end,"&gt;"&amp;900),INDEX(m_label,_xlfn.MAXIFS(m_row,m_teacher,BO$4,m_date,($G$2+33),m_active,1,m_start,"&lt;"&amp;960,m_end,"&gt;"&amp;900))))))</f>
        <v/>
      </c>
      <c r="BP66" s="88" t="str">
        <f aca="false">IF(OR(BP$4="",MONTH(($G$2+33))&lt;&gt;MONTH($C$2)),"",IF(COUNTIFS(m_teacher,BP$4,m_date,($G$2+33),m_active,1,m_start,"&lt;"&amp;960,m_end,"&gt;"&amp;900)=0,"",IF(COUNTIFS(m_teacher,BP$4,m_date,($G$2+33),m_active,1,m_start,"&lt;"&amp;960,m_end,"&gt;"&amp;900)&gt;1,"충돌",HYPERLINK("#'관리자_MASTER'!D"&amp;_xlfn.MAXIFS(m_row,m_teacher,BP$4,m_date,($G$2+33),m_active,1,m_start,"&lt;"&amp;960,m_end,"&gt;"&amp;900),INDEX(m_label,_xlfn.MAXIFS(m_row,m_teacher,BP$4,m_date,($G$2+33),m_active,1,m_start,"&lt;"&amp;960,m_end,"&gt;"&amp;900))))))</f>
        <v/>
      </c>
      <c r="BQ66" s="88" t="str">
        <f aca="false">IF(OR(BQ$4="",MONTH(($G$2+33))&lt;&gt;MONTH($C$2)),"",IF(COUNTIFS(m_teacher,BQ$4,m_date,($G$2+33),m_active,1,m_start,"&lt;"&amp;960,m_end,"&gt;"&amp;900)=0,"",IF(COUNTIFS(m_teacher,BQ$4,m_date,($G$2+33),m_active,1,m_start,"&lt;"&amp;960,m_end,"&gt;"&amp;900)&gt;1,"충돌",HYPERLINK("#'관리자_MASTER'!D"&amp;_xlfn.MAXIFS(m_row,m_teacher,BQ$4,m_date,($G$2+33),m_active,1,m_start,"&lt;"&amp;960,m_end,"&gt;"&amp;900),INDEX(m_label,_xlfn.MAXIFS(m_row,m_teacher,BQ$4,m_date,($G$2+33),m_active,1,m_start,"&lt;"&amp;960,m_end,"&gt;"&amp;900))))))</f>
        <v/>
      </c>
      <c r="BR66" s="88" t="str">
        <f aca="false">IF(OR(BR$4="",MONTH(($G$2+33))&lt;&gt;MONTH($C$2)),"",IF(COUNTIFS(m_teacher,BR$4,m_date,($G$2+33),m_active,1,m_start,"&lt;"&amp;960,m_end,"&gt;"&amp;900)=0,"",IF(COUNTIFS(m_teacher,BR$4,m_date,($G$2+33),m_active,1,m_start,"&lt;"&amp;960,m_end,"&gt;"&amp;900)&gt;1,"충돌",HYPERLINK("#'관리자_MASTER'!D"&amp;_xlfn.MAXIFS(m_row,m_teacher,BR$4,m_date,($G$2+33),m_active,1,m_start,"&lt;"&amp;960,m_end,"&gt;"&amp;900),INDEX(m_label,_xlfn.MAXIFS(m_row,m_teacher,BR$4,m_date,($G$2+33),m_active,1,m_start,"&lt;"&amp;960,m_end,"&gt;"&amp;900))))))</f>
        <v/>
      </c>
    </row>
    <row r="67" customFormat="false" ht="19.5" hidden="false" customHeight="true" outlineLevel="0" collapsed="false">
      <c r="A67" s="90"/>
      <c r="B67" s="79" t="s">
        <v>98</v>
      </c>
      <c r="C67" s="88" t="str">
        <f aca="false">IF(OR(C$4="",MONTH(($G$2+5))&lt;&gt;MONTH($C$2)),"",IF(COUNTIFS(m_teacher,C$4,m_date,($G$2+5),m_active,1,m_start,"&lt;"&amp;1020,m_end,"&gt;"&amp;960)=0,"",IF(COUNTIFS(m_teacher,C$4,m_date,($G$2+5),m_active,1,m_start,"&lt;"&amp;1020,m_end,"&gt;"&amp;960)&gt;1,"충돌",HYPERLINK("#'관리자_MASTER'!D"&amp;_xlfn.MAXIFS(m_row,m_teacher,C$4,m_date,($G$2+5),m_active,1,m_start,"&lt;"&amp;1020,m_end,"&gt;"&amp;960),INDEX(m_label,_xlfn.MAXIFS(m_row,m_teacher,C$4,m_date,($G$2+5),m_active,1,m_start,"&lt;"&amp;1020,m_end,"&gt;"&amp;960))))))</f>
        <v/>
      </c>
      <c r="D67" s="88" t="str">
        <f aca="false">IF(OR(D$4="",MONTH(($G$2+5))&lt;&gt;MONTH($C$2)),"",IF(COUNTIFS(m_teacher,D$4,m_date,($G$2+5),m_active,1,m_start,"&lt;"&amp;1020,m_end,"&gt;"&amp;960)=0,"",IF(COUNTIFS(m_teacher,D$4,m_date,($G$2+5),m_active,1,m_start,"&lt;"&amp;1020,m_end,"&gt;"&amp;960)&gt;1,"충돌",HYPERLINK("#'관리자_MASTER'!D"&amp;_xlfn.MAXIFS(m_row,m_teacher,D$4,m_date,($G$2+5),m_active,1,m_start,"&lt;"&amp;1020,m_end,"&gt;"&amp;960),INDEX(m_label,_xlfn.MAXIFS(m_row,m_teacher,D$4,m_date,($G$2+5),m_active,1,m_start,"&lt;"&amp;1020,m_end,"&gt;"&amp;960))))))</f>
        <v/>
      </c>
      <c r="E67" s="88" t="str">
        <f aca="false">IF(OR(E$4="",MONTH(($G$2+5))&lt;&gt;MONTH($C$2)),"",IF(COUNTIFS(m_teacher,E$4,m_date,($G$2+5),m_active,1,m_start,"&lt;"&amp;1020,m_end,"&gt;"&amp;960)=0,"",IF(COUNTIFS(m_teacher,E$4,m_date,($G$2+5),m_active,1,m_start,"&lt;"&amp;1020,m_end,"&gt;"&amp;960)&gt;1,"충돌",HYPERLINK("#'관리자_MASTER'!D"&amp;_xlfn.MAXIFS(m_row,m_teacher,E$4,m_date,($G$2+5),m_active,1,m_start,"&lt;"&amp;1020,m_end,"&gt;"&amp;960),INDEX(m_label,_xlfn.MAXIFS(m_row,m_teacher,E$4,m_date,($G$2+5),m_active,1,m_start,"&lt;"&amp;1020,m_end,"&gt;"&amp;960))))))</f>
        <v/>
      </c>
      <c r="F67" s="88" t="str">
        <f aca="false">IF(OR(F$4="",MONTH(($G$2+5))&lt;&gt;MONTH($C$2)),"",IF(COUNTIFS(m_teacher,F$4,m_date,($G$2+5),m_active,1,m_start,"&lt;"&amp;1020,m_end,"&gt;"&amp;960)=0,"",IF(COUNTIFS(m_teacher,F$4,m_date,($G$2+5),m_active,1,m_start,"&lt;"&amp;1020,m_end,"&gt;"&amp;960)&gt;1,"충돌",HYPERLINK("#'관리자_MASTER'!D"&amp;_xlfn.MAXIFS(m_row,m_teacher,F$4,m_date,($G$2+5),m_active,1,m_start,"&lt;"&amp;1020,m_end,"&gt;"&amp;960),INDEX(m_label,_xlfn.MAXIFS(m_row,m_teacher,F$4,m_date,($G$2+5),m_active,1,m_start,"&lt;"&amp;1020,m_end,"&gt;"&amp;960))))))</f>
        <v/>
      </c>
      <c r="G67" s="88" t="str">
        <f aca="false">IF(OR(G$4="",MONTH(($G$2+5))&lt;&gt;MONTH($C$2)),"",IF(COUNTIFS(m_teacher,G$4,m_date,($G$2+5),m_active,1,m_start,"&lt;"&amp;1020,m_end,"&gt;"&amp;960)=0,"",IF(COUNTIFS(m_teacher,G$4,m_date,($G$2+5),m_active,1,m_start,"&lt;"&amp;1020,m_end,"&gt;"&amp;960)&gt;1,"충돌",HYPERLINK("#'관리자_MASTER'!D"&amp;_xlfn.MAXIFS(m_row,m_teacher,G$4,m_date,($G$2+5),m_active,1,m_start,"&lt;"&amp;1020,m_end,"&gt;"&amp;960),INDEX(m_label,_xlfn.MAXIFS(m_row,m_teacher,G$4,m_date,($G$2+5),m_active,1,m_start,"&lt;"&amp;1020,m_end,"&gt;"&amp;960))))))</f>
        <v/>
      </c>
      <c r="H67" s="88" t="str">
        <f aca="false">IF(OR(H$4="",MONTH(($G$2+5))&lt;&gt;MONTH($C$2)),"",IF(COUNTIFS(m_teacher,H$4,m_date,($G$2+5),m_active,1,m_start,"&lt;"&amp;1020,m_end,"&gt;"&amp;960)=0,"",IF(COUNTIFS(m_teacher,H$4,m_date,($G$2+5),m_active,1,m_start,"&lt;"&amp;1020,m_end,"&gt;"&amp;960)&gt;1,"충돌",HYPERLINK("#'관리자_MASTER'!D"&amp;_xlfn.MAXIFS(m_row,m_teacher,H$4,m_date,($G$2+5),m_active,1,m_start,"&lt;"&amp;1020,m_end,"&gt;"&amp;960),INDEX(m_label,_xlfn.MAXIFS(m_row,m_teacher,H$4,m_date,($G$2+5),m_active,1,m_start,"&lt;"&amp;1020,m_end,"&gt;"&amp;960))))))</f>
        <v/>
      </c>
      <c r="I67" s="88" t="str">
        <f aca="false">IF(OR(I$4="",MONTH(($G$2+5))&lt;&gt;MONTH($C$2)),"",IF(COUNTIFS(m_teacher,I$4,m_date,($G$2+5),m_active,1,m_start,"&lt;"&amp;1020,m_end,"&gt;"&amp;960)=0,"",IF(COUNTIFS(m_teacher,I$4,m_date,($G$2+5),m_active,1,m_start,"&lt;"&amp;1020,m_end,"&gt;"&amp;960)&gt;1,"충돌",HYPERLINK("#'관리자_MASTER'!D"&amp;_xlfn.MAXIFS(m_row,m_teacher,I$4,m_date,($G$2+5),m_active,1,m_start,"&lt;"&amp;1020,m_end,"&gt;"&amp;960),INDEX(m_label,_xlfn.MAXIFS(m_row,m_teacher,I$4,m_date,($G$2+5),m_active,1,m_start,"&lt;"&amp;1020,m_end,"&gt;"&amp;960))))))</f>
        <v/>
      </c>
      <c r="J67" s="88" t="str">
        <f aca="false">IF(OR(J$4="",MONTH(($G$2+5))&lt;&gt;MONTH($C$2)),"",IF(COUNTIFS(m_teacher,J$4,m_date,($G$2+5),m_active,1,m_start,"&lt;"&amp;1020,m_end,"&gt;"&amp;960)=0,"",IF(COUNTIFS(m_teacher,J$4,m_date,($G$2+5),m_active,1,m_start,"&lt;"&amp;1020,m_end,"&gt;"&amp;960)&gt;1,"충돌",HYPERLINK("#'관리자_MASTER'!D"&amp;_xlfn.MAXIFS(m_row,m_teacher,J$4,m_date,($G$2+5),m_active,1,m_start,"&lt;"&amp;1020,m_end,"&gt;"&amp;960),INDEX(m_label,_xlfn.MAXIFS(m_row,m_teacher,J$4,m_date,($G$2+5),m_active,1,m_start,"&lt;"&amp;1020,m_end,"&gt;"&amp;960))))))</f>
        <v/>
      </c>
      <c r="K67" s="88" t="str">
        <f aca="false">IF(OR(K$4="",MONTH(($G$2+5))&lt;&gt;MONTH($C$2)),"",IF(COUNTIFS(m_teacher,K$4,m_date,($G$2+5),m_active,1,m_start,"&lt;"&amp;1020,m_end,"&gt;"&amp;960)=0,"",IF(COUNTIFS(m_teacher,K$4,m_date,($G$2+5),m_active,1,m_start,"&lt;"&amp;1020,m_end,"&gt;"&amp;960)&gt;1,"충돌",HYPERLINK("#'관리자_MASTER'!D"&amp;_xlfn.MAXIFS(m_row,m_teacher,K$4,m_date,($G$2+5),m_active,1,m_start,"&lt;"&amp;1020,m_end,"&gt;"&amp;960),INDEX(m_label,_xlfn.MAXIFS(m_row,m_teacher,K$4,m_date,($G$2+5),m_active,1,m_start,"&lt;"&amp;1020,m_end,"&gt;"&amp;960))))))</f>
        <v/>
      </c>
      <c r="L67" s="88" t="str">
        <f aca="false">IF(OR(L$4="",MONTH(($G$2+5))&lt;&gt;MONTH($C$2)),"",IF(COUNTIFS(m_teacher,L$4,m_date,($G$2+5),m_active,1,m_start,"&lt;"&amp;1020,m_end,"&gt;"&amp;960)=0,"",IF(COUNTIFS(m_teacher,L$4,m_date,($G$2+5),m_active,1,m_start,"&lt;"&amp;1020,m_end,"&gt;"&amp;960)&gt;1,"충돌",HYPERLINK("#'관리자_MASTER'!D"&amp;_xlfn.MAXIFS(m_row,m_teacher,L$4,m_date,($G$2+5),m_active,1,m_start,"&lt;"&amp;1020,m_end,"&gt;"&amp;960),INDEX(m_label,_xlfn.MAXIFS(m_row,m_teacher,L$4,m_date,($G$2+5),m_active,1,m_start,"&lt;"&amp;1020,m_end,"&gt;"&amp;960))))))</f>
        <v/>
      </c>
      <c r="M67" s="88" t="str">
        <f aca="false">IF(OR(M$4="",MONTH(($G$2+5))&lt;&gt;MONTH($C$2)),"",IF(COUNTIFS(m_teacher,M$4,m_date,($G$2+5),m_active,1,m_start,"&lt;"&amp;1020,m_end,"&gt;"&amp;960)=0,"",IF(COUNTIFS(m_teacher,M$4,m_date,($G$2+5),m_active,1,m_start,"&lt;"&amp;1020,m_end,"&gt;"&amp;960)&gt;1,"충돌",HYPERLINK("#'관리자_MASTER'!D"&amp;_xlfn.MAXIFS(m_row,m_teacher,M$4,m_date,($G$2+5),m_active,1,m_start,"&lt;"&amp;1020,m_end,"&gt;"&amp;960),INDEX(m_label,_xlfn.MAXIFS(m_row,m_teacher,M$4,m_date,($G$2+5),m_active,1,m_start,"&lt;"&amp;1020,m_end,"&gt;"&amp;960))))))</f>
        <v/>
      </c>
      <c r="N67" s="88" t="str">
        <f aca="false">IF(OR(N$4="",MONTH(($G$2+5))&lt;&gt;MONTH($C$2)),"",IF(COUNTIFS(m_teacher,N$4,m_date,($G$2+5),m_active,1,m_start,"&lt;"&amp;1020,m_end,"&gt;"&amp;960)=0,"",IF(COUNTIFS(m_teacher,N$4,m_date,($G$2+5),m_active,1,m_start,"&lt;"&amp;1020,m_end,"&gt;"&amp;960)&gt;1,"충돌",HYPERLINK("#'관리자_MASTER'!D"&amp;_xlfn.MAXIFS(m_row,m_teacher,N$4,m_date,($G$2+5),m_active,1,m_start,"&lt;"&amp;1020,m_end,"&gt;"&amp;960),INDEX(m_label,_xlfn.MAXIFS(m_row,m_teacher,N$4,m_date,($G$2+5),m_active,1,m_start,"&lt;"&amp;1020,m_end,"&gt;"&amp;960))))))</f>
        <v/>
      </c>
      <c r="O67" s="90"/>
      <c r="P67" s="79" t="s">
        <v>98</v>
      </c>
      <c r="Q67" s="88" t="str">
        <f aca="false">IF(OR(Q$4="",MONTH(($G$2+12))&lt;&gt;MONTH($C$2)),"",IF(COUNTIFS(m_teacher,Q$4,m_date,($G$2+12),m_active,1,m_start,"&lt;"&amp;1020,m_end,"&gt;"&amp;960)=0,"",IF(COUNTIFS(m_teacher,Q$4,m_date,($G$2+12),m_active,1,m_start,"&lt;"&amp;1020,m_end,"&gt;"&amp;960)&gt;1,"충돌",HYPERLINK("#'관리자_MASTER'!D"&amp;_xlfn.MAXIFS(m_row,m_teacher,Q$4,m_date,($G$2+12),m_active,1,m_start,"&lt;"&amp;1020,m_end,"&gt;"&amp;960),INDEX(m_label,_xlfn.MAXIFS(m_row,m_teacher,Q$4,m_date,($G$2+12),m_active,1,m_start,"&lt;"&amp;1020,m_end,"&gt;"&amp;960))))))</f>
        <v/>
      </c>
      <c r="R67" s="88" t="str">
        <f aca="false">IF(OR(R$4="",MONTH(($G$2+12))&lt;&gt;MONTH($C$2)),"",IF(COUNTIFS(m_teacher,R$4,m_date,($G$2+12),m_active,1,m_start,"&lt;"&amp;1020,m_end,"&gt;"&amp;960)=0,"",IF(COUNTIFS(m_teacher,R$4,m_date,($G$2+12),m_active,1,m_start,"&lt;"&amp;1020,m_end,"&gt;"&amp;960)&gt;1,"충돌",HYPERLINK("#'관리자_MASTER'!D"&amp;_xlfn.MAXIFS(m_row,m_teacher,R$4,m_date,($G$2+12),m_active,1,m_start,"&lt;"&amp;1020,m_end,"&gt;"&amp;960),INDEX(m_label,_xlfn.MAXIFS(m_row,m_teacher,R$4,m_date,($G$2+12),m_active,1,m_start,"&lt;"&amp;1020,m_end,"&gt;"&amp;960))))))</f>
        <v/>
      </c>
      <c r="S67" s="88" t="str">
        <f aca="false">IF(OR(S$4="",MONTH(($G$2+12))&lt;&gt;MONTH($C$2)),"",IF(COUNTIFS(m_teacher,S$4,m_date,($G$2+12),m_active,1,m_start,"&lt;"&amp;1020,m_end,"&gt;"&amp;960)=0,"",IF(COUNTIFS(m_teacher,S$4,m_date,($G$2+12),m_active,1,m_start,"&lt;"&amp;1020,m_end,"&gt;"&amp;960)&gt;1,"충돌",HYPERLINK("#'관리자_MASTER'!D"&amp;_xlfn.MAXIFS(m_row,m_teacher,S$4,m_date,($G$2+12),m_active,1,m_start,"&lt;"&amp;1020,m_end,"&gt;"&amp;960),INDEX(m_label,_xlfn.MAXIFS(m_row,m_teacher,S$4,m_date,($G$2+12),m_active,1,m_start,"&lt;"&amp;1020,m_end,"&gt;"&amp;960))))))</f>
        <v/>
      </c>
      <c r="T67" s="88" t="str">
        <f aca="false">IF(OR(T$4="",MONTH(($G$2+12))&lt;&gt;MONTH($C$2)),"",IF(COUNTIFS(m_teacher,T$4,m_date,($G$2+12),m_active,1,m_start,"&lt;"&amp;1020,m_end,"&gt;"&amp;960)=0,"",IF(COUNTIFS(m_teacher,T$4,m_date,($G$2+12),m_active,1,m_start,"&lt;"&amp;1020,m_end,"&gt;"&amp;960)&gt;1,"충돌",HYPERLINK("#'관리자_MASTER'!D"&amp;_xlfn.MAXIFS(m_row,m_teacher,T$4,m_date,($G$2+12),m_active,1,m_start,"&lt;"&amp;1020,m_end,"&gt;"&amp;960),INDEX(m_label,_xlfn.MAXIFS(m_row,m_teacher,T$4,m_date,($G$2+12),m_active,1,m_start,"&lt;"&amp;1020,m_end,"&gt;"&amp;960))))))</f>
        <v/>
      </c>
      <c r="U67" s="88" t="str">
        <f aca="false">IF(OR(U$4="",MONTH(($G$2+12))&lt;&gt;MONTH($C$2)),"",IF(COUNTIFS(m_teacher,U$4,m_date,($G$2+12),m_active,1,m_start,"&lt;"&amp;1020,m_end,"&gt;"&amp;960)=0,"",IF(COUNTIFS(m_teacher,U$4,m_date,($G$2+12),m_active,1,m_start,"&lt;"&amp;1020,m_end,"&gt;"&amp;960)&gt;1,"충돌",HYPERLINK("#'관리자_MASTER'!D"&amp;_xlfn.MAXIFS(m_row,m_teacher,U$4,m_date,($G$2+12),m_active,1,m_start,"&lt;"&amp;1020,m_end,"&gt;"&amp;960),INDEX(m_label,_xlfn.MAXIFS(m_row,m_teacher,U$4,m_date,($G$2+12),m_active,1,m_start,"&lt;"&amp;1020,m_end,"&gt;"&amp;960))))))</f>
        <v/>
      </c>
      <c r="V67" s="88" t="str">
        <f aca="false">IF(OR(V$4="",MONTH(($G$2+12))&lt;&gt;MONTH($C$2)),"",IF(COUNTIFS(m_teacher,V$4,m_date,($G$2+12),m_active,1,m_start,"&lt;"&amp;1020,m_end,"&gt;"&amp;960)=0,"",IF(COUNTIFS(m_teacher,V$4,m_date,($G$2+12),m_active,1,m_start,"&lt;"&amp;1020,m_end,"&gt;"&amp;960)&gt;1,"충돌",HYPERLINK("#'관리자_MASTER'!D"&amp;_xlfn.MAXIFS(m_row,m_teacher,V$4,m_date,($G$2+12),m_active,1,m_start,"&lt;"&amp;1020,m_end,"&gt;"&amp;960),INDEX(m_label,_xlfn.MAXIFS(m_row,m_teacher,V$4,m_date,($G$2+12),m_active,1,m_start,"&lt;"&amp;1020,m_end,"&gt;"&amp;960))))))</f>
        <v/>
      </c>
      <c r="W67" s="88" t="str">
        <f aca="false">IF(OR(W$4="",MONTH(($G$2+12))&lt;&gt;MONTH($C$2)),"",IF(COUNTIFS(m_teacher,W$4,m_date,($G$2+12),m_active,1,m_start,"&lt;"&amp;1020,m_end,"&gt;"&amp;960)=0,"",IF(COUNTIFS(m_teacher,W$4,m_date,($G$2+12),m_active,1,m_start,"&lt;"&amp;1020,m_end,"&gt;"&amp;960)&gt;1,"충돌",HYPERLINK("#'관리자_MASTER'!D"&amp;_xlfn.MAXIFS(m_row,m_teacher,W$4,m_date,($G$2+12),m_active,1,m_start,"&lt;"&amp;1020,m_end,"&gt;"&amp;960),INDEX(m_label,_xlfn.MAXIFS(m_row,m_teacher,W$4,m_date,($G$2+12),m_active,1,m_start,"&lt;"&amp;1020,m_end,"&gt;"&amp;960))))))</f>
        <v/>
      </c>
      <c r="X67" s="88" t="str">
        <f aca="false">IF(OR(X$4="",MONTH(($G$2+12))&lt;&gt;MONTH($C$2)),"",IF(COUNTIFS(m_teacher,X$4,m_date,($G$2+12),m_active,1,m_start,"&lt;"&amp;1020,m_end,"&gt;"&amp;960)=0,"",IF(COUNTIFS(m_teacher,X$4,m_date,($G$2+12),m_active,1,m_start,"&lt;"&amp;1020,m_end,"&gt;"&amp;960)&gt;1,"충돌",HYPERLINK("#'관리자_MASTER'!D"&amp;_xlfn.MAXIFS(m_row,m_teacher,X$4,m_date,($G$2+12),m_active,1,m_start,"&lt;"&amp;1020,m_end,"&gt;"&amp;960),INDEX(m_label,_xlfn.MAXIFS(m_row,m_teacher,X$4,m_date,($G$2+12),m_active,1,m_start,"&lt;"&amp;1020,m_end,"&gt;"&amp;960))))))</f>
        <v/>
      </c>
      <c r="Y67" s="88" t="str">
        <f aca="false">IF(OR(Y$4="",MONTH(($G$2+12))&lt;&gt;MONTH($C$2)),"",IF(COUNTIFS(m_teacher,Y$4,m_date,($G$2+12),m_active,1,m_start,"&lt;"&amp;1020,m_end,"&gt;"&amp;960)=0,"",IF(COUNTIFS(m_teacher,Y$4,m_date,($G$2+12),m_active,1,m_start,"&lt;"&amp;1020,m_end,"&gt;"&amp;960)&gt;1,"충돌",HYPERLINK("#'관리자_MASTER'!D"&amp;_xlfn.MAXIFS(m_row,m_teacher,Y$4,m_date,($G$2+12),m_active,1,m_start,"&lt;"&amp;1020,m_end,"&gt;"&amp;960),INDEX(m_label,_xlfn.MAXIFS(m_row,m_teacher,Y$4,m_date,($G$2+12),m_active,1,m_start,"&lt;"&amp;1020,m_end,"&gt;"&amp;960))))))</f>
        <v/>
      </c>
      <c r="Z67" s="88" t="str">
        <f aca="false">IF(OR(Z$4="",MONTH(($G$2+12))&lt;&gt;MONTH($C$2)),"",IF(COUNTIFS(m_teacher,Z$4,m_date,($G$2+12),m_active,1,m_start,"&lt;"&amp;1020,m_end,"&gt;"&amp;960)=0,"",IF(COUNTIFS(m_teacher,Z$4,m_date,($G$2+12),m_active,1,m_start,"&lt;"&amp;1020,m_end,"&gt;"&amp;960)&gt;1,"충돌",HYPERLINK("#'관리자_MASTER'!D"&amp;_xlfn.MAXIFS(m_row,m_teacher,Z$4,m_date,($G$2+12),m_active,1,m_start,"&lt;"&amp;1020,m_end,"&gt;"&amp;960),INDEX(m_label,_xlfn.MAXIFS(m_row,m_teacher,Z$4,m_date,($G$2+12),m_active,1,m_start,"&lt;"&amp;1020,m_end,"&gt;"&amp;960))))))</f>
        <v/>
      </c>
      <c r="AA67" s="88" t="str">
        <f aca="false">IF(OR(AA$4="",MONTH(($G$2+12))&lt;&gt;MONTH($C$2)),"",IF(COUNTIFS(m_teacher,AA$4,m_date,($G$2+12),m_active,1,m_start,"&lt;"&amp;1020,m_end,"&gt;"&amp;960)=0,"",IF(COUNTIFS(m_teacher,AA$4,m_date,($G$2+12),m_active,1,m_start,"&lt;"&amp;1020,m_end,"&gt;"&amp;960)&gt;1,"충돌",HYPERLINK("#'관리자_MASTER'!D"&amp;_xlfn.MAXIFS(m_row,m_teacher,AA$4,m_date,($G$2+12),m_active,1,m_start,"&lt;"&amp;1020,m_end,"&gt;"&amp;960),INDEX(m_label,_xlfn.MAXIFS(m_row,m_teacher,AA$4,m_date,($G$2+12),m_active,1,m_start,"&lt;"&amp;1020,m_end,"&gt;"&amp;960))))))</f>
        <v/>
      </c>
      <c r="AB67" s="88" t="str">
        <f aca="false">IF(OR(AB$4="",MONTH(($G$2+12))&lt;&gt;MONTH($C$2)),"",IF(COUNTIFS(m_teacher,AB$4,m_date,($G$2+12),m_active,1,m_start,"&lt;"&amp;1020,m_end,"&gt;"&amp;960)=0,"",IF(COUNTIFS(m_teacher,AB$4,m_date,($G$2+12),m_active,1,m_start,"&lt;"&amp;1020,m_end,"&gt;"&amp;960)&gt;1,"충돌",HYPERLINK("#'관리자_MASTER'!D"&amp;_xlfn.MAXIFS(m_row,m_teacher,AB$4,m_date,($G$2+12),m_active,1,m_start,"&lt;"&amp;1020,m_end,"&gt;"&amp;960),INDEX(m_label,_xlfn.MAXIFS(m_row,m_teacher,AB$4,m_date,($G$2+12),m_active,1,m_start,"&lt;"&amp;1020,m_end,"&gt;"&amp;960))))))</f>
        <v/>
      </c>
      <c r="AC67" s="90"/>
      <c r="AD67" s="79" t="s">
        <v>98</v>
      </c>
      <c r="AE67" s="88" t="str">
        <f aca="false">IF(OR(AE$4="",MONTH(($G$2+19))&lt;&gt;MONTH($C$2)),"",IF(COUNTIFS(m_teacher,AE$4,m_date,($G$2+19),m_active,1,m_start,"&lt;"&amp;1020,m_end,"&gt;"&amp;960)=0,"",IF(COUNTIFS(m_teacher,AE$4,m_date,($G$2+19),m_active,1,m_start,"&lt;"&amp;1020,m_end,"&gt;"&amp;960)&gt;1,"충돌",HYPERLINK("#'관리자_MASTER'!D"&amp;_xlfn.MAXIFS(m_row,m_teacher,AE$4,m_date,($G$2+19),m_active,1,m_start,"&lt;"&amp;1020,m_end,"&gt;"&amp;960),INDEX(m_label,_xlfn.MAXIFS(m_row,m_teacher,AE$4,m_date,($G$2+19),m_active,1,m_start,"&lt;"&amp;1020,m_end,"&gt;"&amp;960))))))</f>
        <v/>
      </c>
      <c r="AF67" s="88" t="str">
        <f aca="false">IF(OR(AF$4="",MONTH(($G$2+19))&lt;&gt;MONTH($C$2)),"",IF(COUNTIFS(m_teacher,AF$4,m_date,($G$2+19),m_active,1,m_start,"&lt;"&amp;1020,m_end,"&gt;"&amp;960)=0,"",IF(COUNTIFS(m_teacher,AF$4,m_date,($G$2+19),m_active,1,m_start,"&lt;"&amp;1020,m_end,"&gt;"&amp;960)&gt;1,"충돌",HYPERLINK("#'관리자_MASTER'!D"&amp;_xlfn.MAXIFS(m_row,m_teacher,AF$4,m_date,($G$2+19),m_active,1,m_start,"&lt;"&amp;1020,m_end,"&gt;"&amp;960),INDEX(m_label,_xlfn.MAXIFS(m_row,m_teacher,AF$4,m_date,($G$2+19),m_active,1,m_start,"&lt;"&amp;1020,m_end,"&gt;"&amp;960))))))</f>
        <v/>
      </c>
      <c r="AG67" s="88" t="str">
        <f aca="false">IF(OR(AG$4="",MONTH(($G$2+19))&lt;&gt;MONTH($C$2)),"",IF(COUNTIFS(m_teacher,AG$4,m_date,($G$2+19),m_active,1,m_start,"&lt;"&amp;1020,m_end,"&gt;"&amp;960)=0,"",IF(COUNTIFS(m_teacher,AG$4,m_date,($G$2+19),m_active,1,m_start,"&lt;"&amp;1020,m_end,"&gt;"&amp;960)&gt;1,"충돌",HYPERLINK("#'관리자_MASTER'!D"&amp;_xlfn.MAXIFS(m_row,m_teacher,AG$4,m_date,($G$2+19),m_active,1,m_start,"&lt;"&amp;1020,m_end,"&gt;"&amp;960),INDEX(m_label,_xlfn.MAXIFS(m_row,m_teacher,AG$4,m_date,($G$2+19),m_active,1,m_start,"&lt;"&amp;1020,m_end,"&gt;"&amp;960))))))</f>
        <v/>
      </c>
      <c r="AH67" s="88" t="str">
        <f aca="false">IF(OR(AH$4="",MONTH(($G$2+19))&lt;&gt;MONTH($C$2)),"",IF(COUNTIFS(m_teacher,AH$4,m_date,($G$2+19),m_active,1,m_start,"&lt;"&amp;1020,m_end,"&gt;"&amp;960)=0,"",IF(COUNTIFS(m_teacher,AH$4,m_date,($G$2+19),m_active,1,m_start,"&lt;"&amp;1020,m_end,"&gt;"&amp;960)&gt;1,"충돌",HYPERLINK("#'관리자_MASTER'!D"&amp;_xlfn.MAXIFS(m_row,m_teacher,AH$4,m_date,($G$2+19),m_active,1,m_start,"&lt;"&amp;1020,m_end,"&gt;"&amp;960),INDEX(m_label,_xlfn.MAXIFS(m_row,m_teacher,AH$4,m_date,($G$2+19),m_active,1,m_start,"&lt;"&amp;1020,m_end,"&gt;"&amp;960))))))</f>
        <v/>
      </c>
      <c r="AI67" s="88" t="str">
        <f aca="false">IF(OR(AI$4="",MONTH(($G$2+19))&lt;&gt;MONTH($C$2)),"",IF(COUNTIFS(m_teacher,AI$4,m_date,($G$2+19),m_active,1,m_start,"&lt;"&amp;1020,m_end,"&gt;"&amp;960)=0,"",IF(COUNTIFS(m_teacher,AI$4,m_date,($G$2+19),m_active,1,m_start,"&lt;"&amp;1020,m_end,"&gt;"&amp;960)&gt;1,"충돌",HYPERLINK("#'관리자_MASTER'!D"&amp;_xlfn.MAXIFS(m_row,m_teacher,AI$4,m_date,($G$2+19),m_active,1,m_start,"&lt;"&amp;1020,m_end,"&gt;"&amp;960),INDEX(m_label,_xlfn.MAXIFS(m_row,m_teacher,AI$4,m_date,($G$2+19),m_active,1,m_start,"&lt;"&amp;1020,m_end,"&gt;"&amp;960))))))</f>
        <v/>
      </c>
      <c r="AJ67" s="88" t="str">
        <f aca="false">IF(OR(AJ$4="",MONTH(($G$2+19))&lt;&gt;MONTH($C$2)),"",IF(COUNTIFS(m_teacher,AJ$4,m_date,($G$2+19),m_active,1,m_start,"&lt;"&amp;1020,m_end,"&gt;"&amp;960)=0,"",IF(COUNTIFS(m_teacher,AJ$4,m_date,($G$2+19),m_active,1,m_start,"&lt;"&amp;1020,m_end,"&gt;"&amp;960)&gt;1,"충돌",HYPERLINK("#'관리자_MASTER'!D"&amp;_xlfn.MAXIFS(m_row,m_teacher,AJ$4,m_date,($G$2+19),m_active,1,m_start,"&lt;"&amp;1020,m_end,"&gt;"&amp;960),INDEX(m_label,_xlfn.MAXIFS(m_row,m_teacher,AJ$4,m_date,($G$2+19),m_active,1,m_start,"&lt;"&amp;1020,m_end,"&gt;"&amp;960))))))</f>
        <v/>
      </c>
      <c r="AK67" s="88" t="str">
        <f aca="false">IF(OR(AK$4="",MONTH(($G$2+19))&lt;&gt;MONTH($C$2)),"",IF(COUNTIFS(m_teacher,AK$4,m_date,($G$2+19),m_active,1,m_start,"&lt;"&amp;1020,m_end,"&gt;"&amp;960)=0,"",IF(COUNTIFS(m_teacher,AK$4,m_date,($G$2+19),m_active,1,m_start,"&lt;"&amp;1020,m_end,"&gt;"&amp;960)&gt;1,"충돌",HYPERLINK("#'관리자_MASTER'!D"&amp;_xlfn.MAXIFS(m_row,m_teacher,AK$4,m_date,($G$2+19),m_active,1,m_start,"&lt;"&amp;1020,m_end,"&gt;"&amp;960),INDEX(m_label,_xlfn.MAXIFS(m_row,m_teacher,AK$4,m_date,($G$2+19),m_active,1,m_start,"&lt;"&amp;1020,m_end,"&gt;"&amp;960))))))</f>
        <v/>
      </c>
      <c r="AL67" s="88" t="str">
        <f aca="false">IF(OR(AL$4="",MONTH(($G$2+19))&lt;&gt;MONTH($C$2)),"",IF(COUNTIFS(m_teacher,AL$4,m_date,($G$2+19),m_active,1,m_start,"&lt;"&amp;1020,m_end,"&gt;"&amp;960)=0,"",IF(COUNTIFS(m_teacher,AL$4,m_date,($G$2+19),m_active,1,m_start,"&lt;"&amp;1020,m_end,"&gt;"&amp;960)&gt;1,"충돌",HYPERLINK("#'관리자_MASTER'!D"&amp;_xlfn.MAXIFS(m_row,m_teacher,AL$4,m_date,($G$2+19),m_active,1,m_start,"&lt;"&amp;1020,m_end,"&gt;"&amp;960),INDEX(m_label,_xlfn.MAXIFS(m_row,m_teacher,AL$4,m_date,($G$2+19),m_active,1,m_start,"&lt;"&amp;1020,m_end,"&gt;"&amp;960))))))</f>
        <v/>
      </c>
      <c r="AM67" s="88" t="str">
        <f aca="false">IF(OR(AM$4="",MONTH(($G$2+19))&lt;&gt;MONTH($C$2)),"",IF(COUNTIFS(m_teacher,AM$4,m_date,($G$2+19),m_active,1,m_start,"&lt;"&amp;1020,m_end,"&gt;"&amp;960)=0,"",IF(COUNTIFS(m_teacher,AM$4,m_date,($G$2+19),m_active,1,m_start,"&lt;"&amp;1020,m_end,"&gt;"&amp;960)&gt;1,"충돌",HYPERLINK("#'관리자_MASTER'!D"&amp;_xlfn.MAXIFS(m_row,m_teacher,AM$4,m_date,($G$2+19),m_active,1,m_start,"&lt;"&amp;1020,m_end,"&gt;"&amp;960),INDEX(m_label,_xlfn.MAXIFS(m_row,m_teacher,AM$4,m_date,($G$2+19),m_active,1,m_start,"&lt;"&amp;1020,m_end,"&gt;"&amp;960))))))</f>
        <v/>
      </c>
      <c r="AN67" s="88" t="str">
        <f aca="false">IF(OR(AN$4="",MONTH(($G$2+19))&lt;&gt;MONTH($C$2)),"",IF(COUNTIFS(m_teacher,AN$4,m_date,($G$2+19),m_active,1,m_start,"&lt;"&amp;1020,m_end,"&gt;"&amp;960)=0,"",IF(COUNTIFS(m_teacher,AN$4,m_date,($G$2+19),m_active,1,m_start,"&lt;"&amp;1020,m_end,"&gt;"&amp;960)&gt;1,"충돌",HYPERLINK("#'관리자_MASTER'!D"&amp;_xlfn.MAXIFS(m_row,m_teacher,AN$4,m_date,($G$2+19),m_active,1,m_start,"&lt;"&amp;1020,m_end,"&gt;"&amp;960),INDEX(m_label,_xlfn.MAXIFS(m_row,m_teacher,AN$4,m_date,($G$2+19),m_active,1,m_start,"&lt;"&amp;1020,m_end,"&gt;"&amp;960))))))</f>
        <v/>
      </c>
      <c r="AO67" s="88" t="str">
        <f aca="false">IF(OR(AO$4="",MONTH(($G$2+19))&lt;&gt;MONTH($C$2)),"",IF(COUNTIFS(m_teacher,AO$4,m_date,($G$2+19),m_active,1,m_start,"&lt;"&amp;1020,m_end,"&gt;"&amp;960)=0,"",IF(COUNTIFS(m_teacher,AO$4,m_date,($G$2+19),m_active,1,m_start,"&lt;"&amp;1020,m_end,"&gt;"&amp;960)&gt;1,"충돌",HYPERLINK("#'관리자_MASTER'!D"&amp;_xlfn.MAXIFS(m_row,m_teacher,AO$4,m_date,($G$2+19),m_active,1,m_start,"&lt;"&amp;1020,m_end,"&gt;"&amp;960),INDEX(m_label,_xlfn.MAXIFS(m_row,m_teacher,AO$4,m_date,($G$2+19),m_active,1,m_start,"&lt;"&amp;1020,m_end,"&gt;"&amp;960))))))</f>
        <v/>
      </c>
      <c r="AP67" s="88" t="str">
        <f aca="false">IF(OR(AP$4="",MONTH(($G$2+19))&lt;&gt;MONTH($C$2)),"",IF(COUNTIFS(m_teacher,AP$4,m_date,($G$2+19),m_active,1,m_start,"&lt;"&amp;1020,m_end,"&gt;"&amp;960)=0,"",IF(COUNTIFS(m_teacher,AP$4,m_date,($G$2+19),m_active,1,m_start,"&lt;"&amp;1020,m_end,"&gt;"&amp;960)&gt;1,"충돌",HYPERLINK("#'관리자_MASTER'!D"&amp;_xlfn.MAXIFS(m_row,m_teacher,AP$4,m_date,($G$2+19),m_active,1,m_start,"&lt;"&amp;1020,m_end,"&gt;"&amp;960),INDEX(m_label,_xlfn.MAXIFS(m_row,m_teacher,AP$4,m_date,($G$2+19),m_active,1,m_start,"&lt;"&amp;1020,m_end,"&gt;"&amp;960))))))</f>
        <v/>
      </c>
      <c r="AQ67" s="90"/>
      <c r="AR67" s="79" t="s">
        <v>98</v>
      </c>
      <c r="AS67" s="88" t="str">
        <f aca="false">IF(OR(AS$4="",MONTH(($G$2+26))&lt;&gt;MONTH($C$2)),"",IF(COUNTIFS(m_teacher,AS$4,m_date,($G$2+26),m_active,1,m_start,"&lt;"&amp;1020,m_end,"&gt;"&amp;960)=0,"",IF(COUNTIFS(m_teacher,AS$4,m_date,($G$2+26),m_active,1,m_start,"&lt;"&amp;1020,m_end,"&gt;"&amp;960)&gt;1,"충돌",HYPERLINK("#'관리자_MASTER'!D"&amp;_xlfn.MAXIFS(m_row,m_teacher,AS$4,m_date,($G$2+26),m_active,1,m_start,"&lt;"&amp;1020,m_end,"&gt;"&amp;960),INDEX(m_label,_xlfn.MAXIFS(m_row,m_teacher,AS$4,m_date,($G$2+26),m_active,1,m_start,"&lt;"&amp;1020,m_end,"&gt;"&amp;960))))))</f>
        <v/>
      </c>
      <c r="AT67" s="88" t="str">
        <f aca="false">IF(OR(AT$4="",MONTH(($G$2+26))&lt;&gt;MONTH($C$2)),"",IF(COUNTIFS(m_teacher,AT$4,m_date,($G$2+26),m_active,1,m_start,"&lt;"&amp;1020,m_end,"&gt;"&amp;960)=0,"",IF(COUNTIFS(m_teacher,AT$4,m_date,($G$2+26),m_active,1,m_start,"&lt;"&amp;1020,m_end,"&gt;"&amp;960)&gt;1,"충돌",HYPERLINK("#'관리자_MASTER'!D"&amp;_xlfn.MAXIFS(m_row,m_teacher,AT$4,m_date,($G$2+26),m_active,1,m_start,"&lt;"&amp;1020,m_end,"&gt;"&amp;960),INDEX(m_label,_xlfn.MAXIFS(m_row,m_teacher,AT$4,m_date,($G$2+26),m_active,1,m_start,"&lt;"&amp;1020,m_end,"&gt;"&amp;960))))))</f>
        <v/>
      </c>
      <c r="AU67" s="88" t="str">
        <f aca="false">IF(OR(AU$4="",MONTH(($G$2+26))&lt;&gt;MONTH($C$2)),"",IF(COUNTIFS(m_teacher,AU$4,m_date,($G$2+26),m_active,1,m_start,"&lt;"&amp;1020,m_end,"&gt;"&amp;960)=0,"",IF(COUNTIFS(m_teacher,AU$4,m_date,($G$2+26),m_active,1,m_start,"&lt;"&amp;1020,m_end,"&gt;"&amp;960)&gt;1,"충돌",HYPERLINK("#'관리자_MASTER'!D"&amp;_xlfn.MAXIFS(m_row,m_teacher,AU$4,m_date,($G$2+26),m_active,1,m_start,"&lt;"&amp;1020,m_end,"&gt;"&amp;960),INDEX(m_label,_xlfn.MAXIFS(m_row,m_teacher,AU$4,m_date,($G$2+26),m_active,1,m_start,"&lt;"&amp;1020,m_end,"&gt;"&amp;960))))))</f>
        <v/>
      </c>
      <c r="AV67" s="88" t="str">
        <f aca="false">IF(OR(AV$4="",MONTH(($G$2+26))&lt;&gt;MONTH($C$2)),"",IF(COUNTIFS(m_teacher,AV$4,m_date,($G$2+26),m_active,1,m_start,"&lt;"&amp;1020,m_end,"&gt;"&amp;960)=0,"",IF(COUNTIFS(m_teacher,AV$4,m_date,($G$2+26),m_active,1,m_start,"&lt;"&amp;1020,m_end,"&gt;"&amp;960)&gt;1,"충돌",HYPERLINK("#'관리자_MASTER'!D"&amp;_xlfn.MAXIFS(m_row,m_teacher,AV$4,m_date,($G$2+26),m_active,1,m_start,"&lt;"&amp;1020,m_end,"&gt;"&amp;960),INDEX(m_label,_xlfn.MAXIFS(m_row,m_teacher,AV$4,m_date,($G$2+26),m_active,1,m_start,"&lt;"&amp;1020,m_end,"&gt;"&amp;960))))))</f>
        <v/>
      </c>
      <c r="AW67" s="88" t="str">
        <f aca="false">IF(OR(AW$4="",MONTH(($G$2+26))&lt;&gt;MONTH($C$2)),"",IF(COUNTIFS(m_teacher,AW$4,m_date,($G$2+26),m_active,1,m_start,"&lt;"&amp;1020,m_end,"&gt;"&amp;960)=0,"",IF(COUNTIFS(m_teacher,AW$4,m_date,($G$2+26),m_active,1,m_start,"&lt;"&amp;1020,m_end,"&gt;"&amp;960)&gt;1,"충돌",HYPERLINK("#'관리자_MASTER'!D"&amp;_xlfn.MAXIFS(m_row,m_teacher,AW$4,m_date,($G$2+26),m_active,1,m_start,"&lt;"&amp;1020,m_end,"&gt;"&amp;960),INDEX(m_label,_xlfn.MAXIFS(m_row,m_teacher,AW$4,m_date,($G$2+26),m_active,1,m_start,"&lt;"&amp;1020,m_end,"&gt;"&amp;960))))))</f>
        <v/>
      </c>
      <c r="AX67" s="88" t="str">
        <f aca="false">IF(OR(AX$4="",MONTH(($G$2+26))&lt;&gt;MONTH($C$2)),"",IF(COUNTIFS(m_teacher,AX$4,m_date,($G$2+26),m_active,1,m_start,"&lt;"&amp;1020,m_end,"&gt;"&amp;960)=0,"",IF(COUNTIFS(m_teacher,AX$4,m_date,($G$2+26),m_active,1,m_start,"&lt;"&amp;1020,m_end,"&gt;"&amp;960)&gt;1,"충돌",HYPERLINK("#'관리자_MASTER'!D"&amp;_xlfn.MAXIFS(m_row,m_teacher,AX$4,m_date,($G$2+26),m_active,1,m_start,"&lt;"&amp;1020,m_end,"&gt;"&amp;960),INDEX(m_label,_xlfn.MAXIFS(m_row,m_teacher,AX$4,m_date,($G$2+26),m_active,1,m_start,"&lt;"&amp;1020,m_end,"&gt;"&amp;960))))))</f>
        <v/>
      </c>
      <c r="AY67" s="88" t="str">
        <f aca="false">IF(OR(AY$4="",MONTH(($G$2+26))&lt;&gt;MONTH($C$2)),"",IF(COUNTIFS(m_teacher,AY$4,m_date,($G$2+26),m_active,1,m_start,"&lt;"&amp;1020,m_end,"&gt;"&amp;960)=0,"",IF(COUNTIFS(m_teacher,AY$4,m_date,($G$2+26),m_active,1,m_start,"&lt;"&amp;1020,m_end,"&gt;"&amp;960)&gt;1,"충돌",HYPERLINK("#'관리자_MASTER'!D"&amp;_xlfn.MAXIFS(m_row,m_teacher,AY$4,m_date,($G$2+26),m_active,1,m_start,"&lt;"&amp;1020,m_end,"&gt;"&amp;960),INDEX(m_label,_xlfn.MAXIFS(m_row,m_teacher,AY$4,m_date,($G$2+26),m_active,1,m_start,"&lt;"&amp;1020,m_end,"&gt;"&amp;960))))))</f>
        <v/>
      </c>
      <c r="AZ67" s="88" t="str">
        <f aca="false">IF(OR(AZ$4="",MONTH(($G$2+26))&lt;&gt;MONTH($C$2)),"",IF(COUNTIFS(m_teacher,AZ$4,m_date,($G$2+26),m_active,1,m_start,"&lt;"&amp;1020,m_end,"&gt;"&amp;960)=0,"",IF(COUNTIFS(m_teacher,AZ$4,m_date,($G$2+26),m_active,1,m_start,"&lt;"&amp;1020,m_end,"&gt;"&amp;960)&gt;1,"충돌",HYPERLINK("#'관리자_MASTER'!D"&amp;_xlfn.MAXIFS(m_row,m_teacher,AZ$4,m_date,($G$2+26),m_active,1,m_start,"&lt;"&amp;1020,m_end,"&gt;"&amp;960),INDEX(m_label,_xlfn.MAXIFS(m_row,m_teacher,AZ$4,m_date,($G$2+26),m_active,1,m_start,"&lt;"&amp;1020,m_end,"&gt;"&amp;960))))))</f>
        <v/>
      </c>
      <c r="BA67" s="88" t="str">
        <f aca="false">IF(OR(BA$4="",MONTH(($G$2+26))&lt;&gt;MONTH($C$2)),"",IF(COUNTIFS(m_teacher,BA$4,m_date,($G$2+26),m_active,1,m_start,"&lt;"&amp;1020,m_end,"&gt;"&amp;960)=0,"",IF(COUNTIFS(m_teacher,BA$4,m_date,($G$2+26),m_active,1,m_start,"&lt;"&amp;1020,m_end,"&gt;"&amp;960)&gt;1,"충돌",HYPERLINK("#'관리자_MASTER'!D"&amp;_xlfn.MAXIFS(m_row,m_teacher,BA$4,m_date,($G$2+26),m_active,1,m_start,"&lt;"&amp;1020,m_end,"&gt;"&amp;960),INDEX(m_label,_xlfn.MAXIFS(m_row,m_teacher,BA$4,m_date,($G$2+26),m_active,1,m_start,"&lt;"&amp;1020,m_end,"&gt;"&amp;960))))))</f>
        <v/>
      </c>
      <c r="BB67" s="88" t="str">
        <f aca="false">IF(OR(BB$4="",MONTH(($G$2+26))&lt;&gt;MONTH($C$2)),"",IF(COUNTIFS(m_teacher,BB$4,m_date,($G$2+26),m_active,1,m_start,"&lt;"&amp;1020,m_end,"&gt;"&amp;960)=0,"",IF(COUNTIFS(m_teacher,BB$4,m_date,($G$2+26),m_active,1,m_start,"&lt;"&amp;1020,m_end,"&gt;"&amp;960)&gt;1,"충돌",HYPERLINK("#'관리자_MASTER'!D"&amp;_xlfn.MAXIFS(m_row,m_teacher,BB$4,m_date,($G$2+26),m_active,1,m_start,"&lt;"&amp;1020,m_end,"&gt;"&amp;960),INDEX(m_label,_xlfn.MAXIFS(m_row,m_teacher,BB$4,m_date,($G$2+26),m_active,1,m_start,"&lt;"&amp;1020,m_end,"&gt;"&amp;960))))))</f>
        <v/>
      </c>
      <c r="BC67" s="88" t="str">
        <f aca="false">IF(OR(BC$4="",MONTH(($G$2+26))&lt;&gt;MONTH($C$2)),"",IF(COUNTIFS(m_teacher,BC$4,m_date,($G$2+26),m_active,1,m_start,"&lt;"&amp;1020,m_end,"&gt;"&amp;960)=0,"",IF(COUNTIFS(m_teacher,BC$4,m_date,($G$2+26),m_active,1,m_start,"&lt;"&amp;1020,m_end,"&gt;"&amp;960)&gt;1,"충돌",HYPERLINK("#'관리자_MASTER'!D"&amp;_xlfn.MAXIFS(m_row,m_teacher,BC$4,m_date,($G$2+26),m_active,1,m_start,"&lt;"&amp;1020,m_end,"&gt;"&amp;960),INDEX(m_label,_xlfn.MAXIFS(m_row,m_teacher,BC$4,m_date,($G$2+26),m_active,1,m_start,"&lt;"&amp;1020,m_end,"&gt;"&amp;960))))))</f>
        <v/>
      </c>
      <c r="BD67" s="88" t="str">
        <f aca="false">IF(OR(BD$4="",MONTH(($G$2+26))&lt;&gt;MONTH($C$2)),"",IF(COUNTIFS(m_teacher,BD$4,m_date,($G$2+26),m_active,1,m_start,"&lt;"&amp;1020,m_end,"&gt;"&amp;960)=0,"",IF(COUNTIFS(m_teacher,BD$4,m_date,($G$2+26),m_active,1,m_start,"&lt;"&amp;1020,m_end,"&gt;"&amp;960)&gt;1,"충돌",HYPERLINK("#'관리자_MASTER'!D"&amp;_xlfn.MAXIFS(m_row,m_teacher,BD$4,m_date,($G$2+26),m_active,1,m_start,"&lt;"&amp;1020,m_end,"&gt;"&amp;960),INDEX(m_label,_xlfn.MAXIFS(m_row,m_teacher,BD$4,m_date,($G$2+26),m_active,1,m_start,"&lt;"&amp;1020,m_end,"&gt;"&amp;960))))))</f>
        <v/>
      </c>
      <c r="BE67" s="90"/>
      <c r="BF67" s="79" t="s">
        <v>98</v>
      </c>
      <c r="BG67" s="88" t="str">
        <f aca="false">IF(OR(BG$4="",MONTH(($G$2+33))&lt;&gt;MONTH($C$2)),"",IF(COUNTIFS(m_teacher,BG$4,m_date,($G$2+33),m_active,1,m_start,"&lt;"&amp;1020,m_end,"&gt;"&amp;960)=0,"",IF(COUNTIFS(m_teacher,BG$4,m_date,($G$2+33),m_active,1,m_start,"&lt;"&amp;1020,m_end,"&gt;"&amp;960)&gt;1,"충돌",HYPERLINK("#'관리자_MASTER'!D"&amp;_xlfn.MAXIFS(m_row,m_teacher,BG$4,m_date,($G$2+33),m_active,1,m_start,"&lt;"&amp;1020,m_end,"&gt;"&amp;960),INDEX(m_label,_xlfn.MAXIFS(m_row,m_teacher,BG$4,m_date,($G$2+33),m_active,1,m_start,"&lt;"&amp;1020,m_end,"&gt;"&amp;960))))))</f>
        <v/>
      </c>
      <c r="BH67" s="88" t="str">
        <f aca="false">IF(OR(BH$4="",MONTH(($G$2+33))&lt;&gt;MONTH($C$2)),"",IF(COUNTIFS(m_teacher,BH$4,m_date,($G$2+33),m_active,1,m_start,"&lt;"&amp;1020,m_end,"&gt;"&amp;960)=0,"",IF(COUNTIFS(m_teacher,BH$4,m_date,($G$2+33),m_active,1,m_start,"&lt;"&amp;1020,m_end,"&gt;"&amp;960)&gt;1,"충돌",HYPERLINK("#'관리자_MASTER'!D"&amp;_xlfn.MAXIFS(m_row,m_teacher,BH$4,m_date,($G$2+33),m_active,1,m_start,"&lt;"&amp;1020,m_end,"&gt;"&amp;960),INDEX(m_label,_xlfn.MAXIFS(m_row,m_teacher,BH$4,m_date,($G$2+33),m_active,1,m_start,"&lt;"&amp;1020,m_end,"&gt;"&amp;960))))))</f>
        <v/>
      </c>
      <c r="BI67" s="88" t="str">
        <f aca="false">IF(OR(BI$4="",MONTH(($G$2+33))&lt;&gt;MONTH($C$2)),"",IF(COUNTIFS(m_teacher,BI$4,m_date,($G$2+33),m_active,1,m_start,"&lt;"&amp;1020,m_end,"&gt;"&amp;960)=0,"",IF(COUNTIFS(m_teacher,BI$4,m_date,($G$2+33),m_active,1,m_start,"&lt;"&amp;1020,m_end,"&gt;"&amp;960)&gt;1,"충돌",HYPERLINK("#'관리자_MASTER'!D"&amp;_xlfn.MAXIFS(m_row,m_teacher,BI$4,m_date,($G$2+33),m_active,1,m_start,"&lt;"&amp;1020,m_end,"&gt;"&amp;960),INDEX(m_label,_xlfn.MAXIFS(m_row,m_teacher,BI$4,m_date,($G$2+33),m_active,1,m_start,"&lt;"&amp;1020,m_end,"&gt;"&amp;960))))))</f>
        <v/>
      </c>
      <c r="BJ67" s="88" t="str">
        <f aca="false">IF(OR(BJ$4="",MONTH(($G$2+33))&lt;&gt;MONTH($C$2)),"",IF(COUNTIFS(m_teacher,BJ$4,m_date,($G$2+33),m_active,1,m_start,"&lt;"&amp;1020,m_end,"&gt;"&amp;960)=0,"",IF(COUNTIFS(m_teacher,BJ$4,m_date,($G$2+33),m_active,1,m_start,"&lt;"&amp;1020,m_end,"&gt;"&amp;960)&gt;1,"충돌",HYPERLINK("#'관리자_MASTER'!D"&amp;_xlfn.MAXIFS(m_row,m_teacher,BJ$4,m_date,($G$2+33),m_active,1,m_start,"&lt;"&amp;1020,m_end,"&gt;"&amp;960),INDEX(m_label,_xlfn.MAXIFS(m_row,m_teacher,BJ$4,m_date,($G$2+33),m_active,1,m_start,"&lt;"&amp;1020,m_end,"&gt;"&amp;960))))))</f>
        <v/>
      </c>
      <c r="BK67" s="88" t="str">
        <f aca="false">IF(OR(BK$4="",MONTH(($G$2+33))&lt;&gt;MONTH($C$2)),"",IF(COUNTIFS(m_teacher,BK$4,m_date,($G$2+33),m_active,1,m_start,"&lt;"&amp;1020,m_end,"&gt;"&amp;960)=0,"",IF(COUNTIFS(m_teacher,BK$4,m_date,($G$2+33),m_active,1,m_start,"&lt;"&amp;1020,m_end,"&gt;"&amp;960)&gt;1,"충돌",HYPERLINK("#'관리자_MASTER'!D"&amp;_xlfn.MAXIFS(m_row,m_teacher,BK$4,m_date,($G$2+33),m_active,1,m_start,"&lt;"&amp;1020,m_end,"&gt;"&amp;960),INDEX(m_label,_xlfn.MAXIFS(m_row,m_teacher,BK$4,m_date,($G$2+33),m_active,1,m_start,"&lt;"&amp;1020,m_end,"&gt;"&amp;960))))))</f>
        <v/>
      </c>
      <c r="BL67" s="88" t="str">
        <f aca="false">IF(OR(BL$4="",MONTH(($G$2+33))&lt;&gt;MONTH($C$2)),"",IF(COUNTIFS(m_teacher,BL$4,m_date,($G$2+33),m_active,1,m_start,"&lt;"&amp;1020,m_end,"&gt;"&amp;960)=0,"",IF(COUNTIFS(m_teacher,BL$4,m_date,($G$2+33),m_active,1,m_start,"&lt;"&amp;1020,m_end,"&gt;"&amp;960)&gt;1,"충돌",HYPERLINK("#'관리자_MASTER'!D"&amp;_xlfn.MAXIFS(m_row,m_teacher,BL$4,m_date,($G$2+33),m_active,1,m_start,"&lt;"&amp;1020,m_end,"&gt;"&amp;960),INDEX(m_label,_xlfn.MAXIFS(m_row,m_teacher,BL$4,m_date,($G$2+33),m_active,1,m_start,"&lt;"&amp;1020,m_end,"&gt;"&amp;960))))))</f>
        <v/>
      </c>
      <c r="BM67" s="88" t="str">
        <f aca="false">IF(OR(BM$4="",MONTH(($G$2+33))&lt;&gt;MONTH($C$2)),"",IF(COUNTIFS(m_teacher,BM$4,m_date,($G$2+33),m_active,1,m_start,"&lt;"&amp;1020,m_end,"&gt;"&amp;960)=0,"",IF(COUNTIFS(m_teacher,BM$4,m_date,($G$2+33),m_active,1,m_start,"&lt;"&amp;1020,m_end,"&gt;"&amp;960)&gt;1,"충돌",HYPERLINK("#'관리자_MASTER'!D"&amp;_xlfn.MAXIFS(m_row,m_teacher,BM$4,m_date,($G$2+33),m_active,1,m_start,"&lt;"&amp;1020,m_end,"&gt;"&amp;960),INDEX(m_label,_xlfn.MAXIFS(m_row,m_teacher,BM$4,m_date,($G$2+33),m_active,1,m_start,"&lt;"&amp;1020,m_end,"&gt;"&amp;960))))))</f>
        <v/>
      </c>
      <c r="BN67" s="88" t="str">
        <f aca="false">IF(OR(BN$4="",MONTH(($G$2+33))&lt;&gt;MONTH($C$2)),"",IF(COUNTIFS(m_teacher,BN$4,m_date,($G$2+33),m_active,1,m_start,"&lt;"&amp;1020,m_end,"&gt;"&amp;960)=0,"",IF(COUNTIFS(m_teacher,BN$4,m_date,($G$2+33),m_active,1,m_start,"&lt;"&amp;1020,m_end,"&gt;"&amp;960)&gt;1,"충돌",HYPERLINK("#'관리자_MASTER'!D"&amp;_xlfn.MAXIFS(m_row,m_teacher,BN$4,m_date,($G$2+33),m_active,1,m_start,"&lt;"&amp;1020,m_end,"&gt;"&amp;960),INDEX(m_label,_xlfn.MAXIFS(m_row,m_teacher,BN$4,m_date,($G$2+33),m_active,1,m_start,"&lt;"&amp;1020,m_end,"&gt;"&amp;960))))))</f>
        <v/>
      </c>
      <c r="BO67" s="88" t="str">
        <f aca="false">IF(OR(BO$4="",MONTH(($G$2+33))&lt;&gt;MONTH($C$2)),"",IF(COUNTIFS(m_teacher,BO$4,m_date,($G$2+33),m_active,1,m_start,"&lt;"&amp;1020,m_end,"&gt;"&amp;960)=0,"",IF(COUNTIFS(m_teacher,BO$4,m_date,($G$2+33),m_active,1,m_start,"&lt;"&amp;1020,m_end,"&gt;"&amp;960)&gt;1,"충돌",HYPERLINK("#'관리자_MASTER'!D"&amp;_xlfn.MAXIFS(m_row,m_teacher,BO$4,m_date,($G$2+33),m_active,1,m_start,"&lt;"&amp;1020,m_end,"&gt;"&amp;960),INDEX(m_label,_xlfn.MAXIFS(m_row,m_teacher,BO$4,m_date,($G$2+33),m_active,1,m_start,"&lt;"&amp;1020,m_end,"&gt;"&amp;960))))))</f>
        <v/>
      </c>
      <c r="BP67" s="88" t="str">
        <f aca="false">IF(OR(BP$4="",MONTH(($G$2+33))&lt;&gt;MONTH($C$2)),"",IF(COUNTIFS(m_teacher,BP$4,m_date,($G$2+33),m_active,1,m_start,"&lt;"&amp;1020,m_end,"&gt;"&amp;960)=0,"",IF(COUNTIFS(m_teacher,BP$4,m_date,($G$2+33),m_active,1,m_start,"&lt;"&amp;1020,m_end,"&gt;"&amp;960)&gt;1,"충돌",HYPERLINK("#'관리자_MASTER'!D"&amp;_xlfn.MAXIFS(m_row,m_teacher,BP$4,m_date,($G$2+33),m_active,1,m_start,"&lt;"&amp;1020,m_end,"&gt;"&amp;960),INDEX(m_label,_xlfn.MAXIFS(m_row,m_teacher,BP$4,m_date,($G$2+33),m_active,1,m_start,"&lt;"&amp;1020,m_end,"&gt;"&amp;960))))))</f>
        <v/>
      </c>
      <c r="BQ67" s="88" t="str">
        <f aca="false">IF(OR(BQ$4="",MONTH(($G$2+33))&lt;&gt;MONTH($C$2)),"",IF(COUNTIFS(m_teacher,BQ$4,m_date,($G$2+33),m_active,1,m_start,"&lt;"&amp;1020,m_end,"&gt;"&amp;960)=0,"",IF(COUNTIFS(m_teacher,BQ$4,m_date,($G$2+33),m_active,1,m_start,"&lt;"&amp;1020,m_end,"&gt;"&amp;960)&gt;1,"충돌",HYPERLINK("#'관리자_MASTER'!D"&amp;_xlfn.MAXIFS(m_row,m_teacher,BQ$4,m_date,($G$2+33),m_active,1,m_start,"&lt;"&amp;1020,m_end,"&gt;"&amp;960),INDEX(m_label,_xlfn.MAXIFS(m_row,m_teacher,BQ$4,m_date,($G$2+33),m_active,1,m_start,"&lt;"&amp;1020,m_end,"&gt;"&amp;960))))))</f>
        <v/>
      </c>
      <c r="BR67" s="88" t="str">
        <f aca="false">IF(OR(BR$4="",MONTH(($G$2+33))&lt;&gt;MONTH($C$2)),"",IF(COUNTIFS(m_teacher,BR$4,m_date,($G$2+33),m_active,1,m_start,"&lt;"&amp;1020,m_end,"&gt;"&amp;960)=0,"",IF(COUNTIFS(m_teacher,BR$4,m_date,($G$2+33),m_active,1,m_start,"&lt;"&amp;1020,m_end,"&gt;"&amp;960)&gt;1,"충돌",HYPERLINK("#'관리자_MASTER'!D"&amp;_xlfn.MAXIFS(m_row,m_teacher,BR$4,m_date,($G$2+33),m_active,1,m_start,"&lt;"&amp;1020,m_end,"&gt;"&amp;960),INDEX(m_label,_xlfn.MAXIFS(m_row,m_teacher,BR$4,m_date,($G$2+33),m_active,1,m_start,"&lt;"&amp;1020,m_end,"&gt;"&amp;960))))))</f>
        <v/>
      </c>
    </row>
    <row r="68" customFormat="false" ht="19.5" hidden="false" customHeight="true" outlineLevel="0" collapsed="false">
      <c r="A68" s="90"/>
      <c r="B68" s="79" t="s">
        <v>99</v>
      </c>
      <c r="C68" s="88" t="str">
        <f aca="false">IF(OR(C$4="",MONTH(($G$2+5))&lt;&gt;MONTH($C$2)),"",IF(COUNTIFS(m_teacher,C$4,m_date,($G$2+5),m_active,1,m_start,"&lt;"&amp;1080,m_end,"&gt;"&amp;1020)=0,"",IF(COUNTIFS(m_teacher,C$4,m_date,($G$2+5),m_active,1,m_start,"&lt;"&amp;1080,m_end,"&gt;"&amp;1020)&gt;1,"충돌",HYPERLINK("#'관리자_MASTER'!D"&amp;_xlfn.MAXIFS(m_row,m_teacher,C$4,m_date,($G$2+5),m_active,1,m_start,"&lt;"&amp;1080,m_end,"&gt;"&amp;1020),INDEX(m_label,_xlfn.MAXIFS(m_row,m_teacher,C$4,m_date,($G$2+5),m_active,1,m_start,"&lt;"&amp;1080,m_end,"&gt;"&amp;1020))))))</f>
        <v/>
      </c>
      <c r="D68" s="88" t="str">
        <f aca="false">IF(OR(D$4="",MONTH(($G$2+5))&lt;&gt;MONTH($C$2)),"",IF(COUNTIFS(m_teacher,D$4,m_date,($G$2+5),m_active,1,m_start,"&lt;"&amp;1080,m_end,"&gt;"&amp;1020)=0,"",IF(COUNTIFS(m_teacher,D$4,m_date,($G$2+5),m_active,1,m_start,"&lt;"&amp;1080,m_end,"&gt;"&amp;1020)&gt;1,"충돌",HYPERLINK("#'관리자_MASTER'!D"&amp;_xlfn.MAXIFS(m_row,m_teacher,D$4,m_date,($G$2+5),m_active,1,m_start,"&lt;"&amp;1080,m_end,"&gt;"&amp;1020),INDEX(m_label,_xlfn.MAXIFS(m_row,m_teacher,D$4,m_date,($G$2+5),m_active,1,m_start,"&lt;"&amp;1080,m_end,"&gt;"&amp;1020))))))</f>
        <v/>
      </c>
      <c r="E68" s="88" t="str">
        <f aca="false">IF(OR(E$4="",MONTH(($G$2+5))&lt;&gt;MONTH($C$2)),"",IF(COUNTIFS(m_teacher,E$4,m_date,($G$2+5),m_active,1,m_start,"&lt;"&amp;1080,m_end,"&gt;"&amp;1020)=0,"",IF(COUNTIFS(m_teacher,E$4,m_date,($G$2+5),m_active,1,m_start,"&lt;"&amp;1080,m_end,"&gt;"&amp;1020)&gt;1,"충돌",HYPERLINK("#'관리자_MASTER'!D"&amp;_xlfn.MAXIFS(m_row,m_teacher,E$4,m_date,($G$2+5),m_active,1,m_start,"&lt;"&amp;1080,m_end,"&gt;"&amp;1020),INDEX(m_label,_xlfn.MAXIFS(m_row,m_teacher,E$4,m_date,($G$2+5),m_active,1,m_start,"&lt;"&amp;1080,m_end,"&gt;"&amp;1020))))))</f>
        <v/>
      </c>
      <c r="F68" s="88" t="str">
        <f aca="false">IF(OR(F$4="",MONTH(($G$2+5))&lt;&gt;MONTH($C$2)),"",IF(COUNTIFS(m_teacher,F$4,m_date,($G$2+5),m_active,1,m_start,"&lt;"&amp;1080,m_end,"&gt;"&amp;1020)=0,"",IF(COUNTIFS(m_teacher,F$4,m_date,($G$2+5),m_active,1,m_start,"&lt;"&amp;1080,m_end,"&gt;"&amp;1020)&gt;1,"충돌",HYPERLINK("#'관리자_MASTER'!D"&amp;_xlfn.MAXIFS(m_row,m_teacher,F$4,m_date,($G$2+5),m_active,1,m_start,"&lt;"&amp;1080,m_end,"&gt;"&amp;1020),INDEX(m_label,_xlfn.MAXIFS(m_row,m_teacher,F$4,m_date,($G$2+5),m_active,1,m_start,"&lt;"&amp;1080,m_end,"&gt;"&amp;1020))))))</f>
        <v/>
      </c>
      <c r="G68" s="88" t="str">
        <f aca="false">IF(OR(G$4="",MONTH(($G$2+5))&lt;&gt;MONTH($C$2)),"",IF(COUNTIFS(m_teacher,G$4,m_date,($G$2+5),m_active,1,m_start,"&lt;"&amp;1080,m_end,"&gt;"&amp;1020)=0,"",IF(COUNTIFS(m_teacher,G$4,m_date,($G$2+5),m_active,1,m_start,"&lt;"&amp;1080,m_end,"&gt;"&amp;1020)&gt;1,"충돌",HYPERLINK("#'관리자_MASTER'!D"&amp;_xlfn.MAXIFS(m_row,m_teacher,G$4,m_date,($G$2+5),m_active,1,m_start,"&lt;"&amp;1080,m_end,"&gt;"&amp;1020),INDEX(m_label,_xlfn.MAXIFS(m_row,m_teacher,G$4,m_date,($G$2+5),m_active,1,m_start,"&lt;"&amp;1080,m_end,"&gt;"&amp;1020))))))</f>
        <v/>
      </c>
      <c r="H68" s="88" t="str">
        <f aca="false">IF(OR(H$4="",MONTH(($G$2+5))&lt;&gt;MONTH($C$2)),"",IF(COUNTIFS(m_teacher,H$4,m_date,($G$2+5),m_active,1,m_start,"&lt;"&amp;1080,m_end,"&gt;"&amp;1020)=0,"",IF(COUNTIFS(m_teacher,H$4,m_date,($G$2+5),m_active,1,m_start,"&lt;"&amp;1080,m_end,"&gt;"&amp;1020)&gt;1,"충돌",HYPERLINK("#'관리자_MASTER'!D"&amp;_xlfn.MAXIFS(m_row,m_teacher,H$4,m_date,($G$2+5),m_active,1,m_start,"&lt;"&amp;1080,m_end,"&gt;"&amp;1020),INDEX(m_label,_xlfn.MAXIFS(m_row,m_teacher,H$4,m_date,($G$2+5),m_active,1,m_start,"&lt;"&amp;1080,m_end,"&gt;"&amp;1020))))))</f>
        <v/>
      </c>
      <c r="I68" s="88" t="str">
        <f aca="false">IF(OR(I$4="",MONTH(($G$2+5))&lt;&gt;MONTH($C$2)),"",IF(COUNTIFS(m_teacher,I$4,m_date,($G$2+5),m_active,1,m_start,"&lt;"&amp;1080,m_end,"&gt;"&amp;1020)=0,"",IF(COUNTIFS(m_teacher,I$4,m_date,($G$2+5),m_active,1,m_start,"&lt;"&amp;1080,m_end,"&gt;"&amp;1020)&gt;1,"충돌",HYPERLINK("#'관리자_MASTER'!D"&amp;_xlfn.MAXIFS(m_row,m_teacher,I$4,m_date,($G$2+5),m_active,1,m_start,"&lt;"&amp;1080,m_end,"&gt;"&amp;1020),INDEX(m_label,_xlfn.MAXIFS(m_row,m_teacher,I$4,m_date,($G$2+5),m_active,1,m_start,"&lt;"&amp;1080,m_end,"&gt;"&amp;1020))))))</f>
        <v/>
      </c>
      <c r="J68" s="88" t="str">
        <f aca="false">IF(OR(J$4="",MONTH(($G$2+5))&lt;&gt;MONTH($C$2)),"",IF(COUNTIFS(m_teacher,J$4,m_date,($G$2+5),m_active,1,m_start,"&lt;"&amp;1080,m_end,"&gt;"&amp;1020)=0,"",IF(COUNTIFS(m_teacher,J$4,m_date,($G$2+5),m_active,1,m_start,"&lt;"&amp;1080,m_end,"&gt;"&amp;1020)&gt;1,"충돌",HYPERLINK("#'관리자_MASTER'!D"&amp;_xlfn.MAXIFS(m_row,m_teacher,J$4,m_date,($G$2+5),m_active,1,m_start,"&lt;"&amp;1080,m_end,"&gt;"&amp;1020),INDEX(m_label,_xlfn.MAXIFS(m_row,m_teacher,J$4,m_date,($G$2+5),m_active,1,m_start,"&lt;"&amp;1080,m_end,"&gt;"&amp;1020))))))</f>
        <v/>
      </c>
      <c r="K68" s="88" t="str">
        <f aca="false">IF(OR(K$4="",MONTH(($G$2+5))&lt;&gt;MONTH($C$2)),"",IF(COUNTIFS(m_teacher,K$4,m_date,($G$2+5),m_active,1,m_start,"&lt;"&amp;1080,m_end,"&gt;"&amp;1020)=0,"",IF(COUNTIFS(m_teacher,K$4,m_date,($G$2+5),m_active,1,m_start,"&lt;"&amp;1080,m_end,"&gt;"&amp;1020)&gt;1,"충돌",HYPERLINK("#'관리자_MASTER'!D"&amp;_xlfn.MAXIFS(m_row,m_teacher,K$4,m_date,($G$2+5),m_active,1,m_start,"&lt;"&amp;1080,m_end,"&gt;"&amp;1020),INDEX(m_label,_xlfn.MAXIFS(m_row,m_teacher,K$4,m_date,($G$2+5),m_active,1,m_start,"&lt;"&amp;1080,m_end,"&gt;"&amp;1020))))))</f>
        <v/>
      </c>
      <c r="L68" s="88" t="str">
        <f aca="false">IF(OR(L$4="",MONTH(($G$2+5))&lt;&gt;MONTH($C$2)),"",IF(COUNTIFS(m_teacher,L$4,m_date,($G$2+5),m_active,1,m_start,"&lt;"&amp;1080,m_end,"&gt;"&amp;1020)=0,"",IF(COUNTIFS(m_teacher,L$4,m_date,($G$2+5),m_active,1,m_start,"&lt;"&amp;1080,m_end,"&gt;"&amp;1020)&gt;1,"충돌",HYPERLINK("#'관리자_MASTER'!D"&amp;_xlfn.MAXIFS(m_row,m_teacher,L$4,m_date,($G$2+5),m_active,1,m_start,"&lt;"&amp;1080,m_end,"&gt;"&amp;1020),INDEX(m_label,_xlfn.MAXIFS(m_row,m_teacher,L$4,m_date,($G$2+5),m_active,1,m_start,"&lt;"&amp;1080,m_end,"&gt;"&amp;1020))))))</f>
        <v/>
      </c>
      <c r="M68" s="88" t="str">
        <f aca="false">IF(OR(M$4="",MONTH(($G$2+5))&lt;&gt;MONTH($C$2)),"",IF(COUNTIFS(m_teacher,M$4,m_date,($G$2+5),m_active,1,m_start,"&lt;"&amp;1080,m_end,"&gt;"&amp;1020)=0,"",IF(COUNTIFS(m_teacher,M$4,m_date,($G$2+5),m_active,1,m_start,"&lt;"&amp;1080,m_end,"&gt;"&amp;1020)&gt;1,"충돌",HYPERLINK("#'관리자_MASTER'!D"&amp;_xlfn.MAXIFS(m_row,m_teacher,M$4,m_date,($G$2+5),m_active,1,m_start,"&lt;"&amp;1080,m_end,"&gt;"&amp;1020),INDEX(m_label,_xlfn.MAXIFS(m_row,m_teacher,M$4,m_date,($G$2+5),m_active,1,m_start,"&lt;"&amp;1080,m_end,"&gt;"&amp;1020))))))</f>
        <v/>
      </c>
      <c r="N68" s="88" t="str">
        <f aca="false">IF(OR(N$4="",MONTH(($G$2+5))&lt;&gt;MONTH($C$2)),"",IF(COUNTIFS(m_teacher,N$4,m_date,($G$2+5),m_active,1,m_start,"&lt;"&amp;1080,m_end,"&gt;"&amp;1020)=0,"",IF(COUNTIFS(m_teacher,N$4,m_date,($G$2+5),m_active,1,m_start,"&lt;"&amp;1080,m_end,"&gt;"&amp;1020)&gt;1,"충돌",HYPERLINK("#'관리자_MASTER'!D"&amp;_xlfn.MAXIFS(m_row,m_teacher,N$4,m_date,($G$2+5),m_active,1,m_start,"&lt;"&amp;1080,m_end,"&gt;"&amp;1020),INDEX(m_label,_xlfn.MAXIFS(m_row,m_teacher,N$4,m_date,($G$2+5),m_active,1,m_start,"&lt;"&amp;1080,m_end,"&gt;"&amp;1020))))))</f>
        <v/>
      </c>
      <c r="O68" s="90"/>
      <c r="P68" s="79" t="s">
        <v>99</v>
      </c>
      <c r="Q68" s="88" t="str">
        <f aca="false">IF(OR(Q$4="",MONTH(($G$2+12))&lt;&gt;MONTH($C$2)),"",IF(COUNTIFS(m_teacher,Q$4,m_date,($G$2+12),m_active,1,m_start,"&lt;"&amp;1080,m_end,"&gt;"&amp;1020)=0,"",IF(COUNTIFS(m_teacher,Q$4,m_date,($G$2+12),m_active,1,m_start,"&lt;"&amp;1080,m_end,"&gt;"&amp;1020)&gt;1,"충돌",HYPERLINK("#'관리자_MASTER'!D"&amp;_xlfn.MAXIFS(m_row,m_teacher,Q$4,m_date,($G$2+12),m_active,1,m_start,"&lt;"&amp;1080,m_end,"&gt;"&amp;1020),INDEX(m_label,_xlfn.MAXIFS(m_row,m_teacher,Q$4,m_date,($G$2+12),m_active,1,m_start,"&lt;"&amp;1080,m_end,"&gt;"&amp;1020))))))</f>
        <v/>
      </c>
      <c r="R68" s="88" t="str">
        <f aca="false">IF(OR(R$4="",MONTH(($G$2+12))&lt;&gt;MONTH($C$2)),"",IF(COUNTIFS(m_teacher,R$4,m_date,($G$2+12),m_active,1,m_start,"&lt;"&amp;1080,m_end,"&gt;"&amp;1020)=0,"",IF(COUNTIFS(m_teacher,R$4,m_date,($G$2+12),m_active,1,m_start,"&lt;"&amp;1080,m_end,"&gt;"&amp;1020)&gt;1,"충돌",HYPERLINK("#'관리자_MASTER'!D"&amp;_xlfn.MAXIFS(m_row,m_teacher,R$4,m_date,($G$2+12),m_active,1,m_start,"&lt;"&amp;1080,m_end,"&gt;"&amp;1020),INDEX(m_label,_xlfn.MAXIFS(m_row,m_teacher,R$4,m_date,($G$2+12),m_active,1,m_start,"&lt;"&amp;1080,m_end,"&gt;"&amp;1020))))))</f>
        <v/>
      </c>
      <c r="S68" s="88" t="str">
        <f aca="false">IF(OR(S$4="",MONTH(($G$2+12))&lt;&gt;MONTH($C$2)),"",IF(COUNTIFS(m_teacher,S$4,m_date,($G$2+12),m_active,1,m_start,"&lt;"&amp;1080,m_end,"&gt;"&amp;1020)=0,"",IF(COUNTIFS(m_teacher,S$4,m_date,($G$2+12),m_active,1,m_start,"&lt;"&amp;1080,m_end,"&gt;"&amp;1020)&gt;1,"충돌",HYPERLINK("#'관리자_MASTER'!D"&amp;_xlfn.MAXIFS(m_row,m_teacher,S$4,m_date,($G$2+12),m_active,1,m_start,"&lt;"&amp;1080,m_end,"&gt;"&amp;1020),INDEX(m_label,_xlfn.MAXIFS(m_row,m_teacher,S$4,m_date,($G$2+12),m_active,1,m_start,"&lt;"&amp;1080,m_end,"&gt;"&amp;1020))))))</f>
        <v/>
      </c>
      <c r="T68" s="88" t="str">
        <f aca="false">IF(OR(T$4="",MONTH(($G$2+12))&lt;&gt;MONTH($C$2)),"",IF(COUNTIFS(m_teacher,T$4,m_date,($G$2+12),m_active,1,m_start,"&lt;"&amp;1080,m_end,"&gt;"&amp;1020)=0,"",IF(COUNTIFS(m_teacher,T$4,m_date,($G$2+12),m_active,1,m_start,"&lt;"&amp;1080,m_end,"&gt;"&amp;1020)&gt;1,"충돌",HYPERLINK("#'관리자_MASTER'!D"&amp;_xlfn.MAXIFS(m_row,m_teacher,T$4,m_date,($G$2+12),m_active,1,m_start,"&lt;"&amp;1080,m_end,"&gt;"&amp;1020),INDEX(m_label,_xlfn.MAXIFS(m_row,m_teacher,T$4,m_date,($G$2+12),m_active,1,m_start,"&lt;"&amp;1080,m_end,"&gt;"&amp;1020))))))</f>
        <v/>
      </c>
      <c r="U68" s="88" t="str">
        <f aca="false">IF(OR(U$4="",MONTH(($G$2+12))&lt;&gt;MONTH($C$2)),"",IF(COUNTIFS(m_teacher,U$4,m_date,($G$2+12),m_active,1,m_start,"&lt;"&amp;1080,m_end,"&gt;"&amp;1020)=0,"",IF(COUNTIFS(m_teacher,U$4,m_date,($G$2+12),m_active,1,m_start,"&lt;"&amp;1080,m_end,"&gt;"&amp;1020)&gt;1,"충돌",HYPERLINK("#'관리자_MASTER'!D"&amp;_xlfn.MAXIFS(m_row,m_teacher,U$4,m_date,($G$2+12),m_active,1,m_start,"&lt;"&amp;1080,m_end,"&gt;"&amp;1020),INDEX(m_label,_xlfn.MAXIFS(m_row,m_teacher,U$4,m_date,($G$2+12),m_active,1,m_start,"&lt;"&amp;1080,m_end,"&gt;"&amp;1020))))))</f>
        <v/>
      </c>
      <c r="V68" s="88" t="str">
        <f aca="false">IF(OR(V$4="",MONTH(($G$2+12))&lt;&gt;MONTH($C$2)),"",IF(COUNTIFS(m_teacher,V$4,m_date,($G$2+12),m_active,1,m_start,"&lt;"&amp;1080,m_end,"&gt;"&amp;1020)=0,"",IF(COUNTIFS(m_teacher,V$4,m_date,($G$2+12),m_active,1,m_start,"&lt;"&amp;1080,m_end,"&gt;"&amp;1020)&gt;1,"충돌",HYPERLINK("#'관리자_MASTER'!D"&amp;_xlfn.MAXIFS(m_row,m_teacher,V$4,m_date,($G$2+12),m_active,1,m_start,"&lt;"&amp;1080,m_end,"&gt;"&amp;1020),INDEX(m_label,_xlfn.MAXIFS(m_row,m_teacher,V$4,m_date,($G$2+12),m_active,1,m_start,"&lt;"&amp;1080,m_end,"&gt;"&amp;1020))))))</f>
        <v/>
      </c>
      <c r="W68" s="88" t="str">
        <f aca="false">IF(OR(W$4="",MONTH(($G$2+12))&lt;&gt;MONTH($C$2)),"",IF(COUNTIFS(m_teacher,W$4,m_date,($G$2+12),m_active,1,m_start,"&lt;"&amp;1080,m_end,"&gt;"&amp;1020)=0,"",IF(COUNTIFS(m_teacher,W$4,m_date,($G$2+12),m_active,1,m_start,"&lt;"&amp;1080,m_end,"&gt;"&amp;1020)&gt;1,"충돌",HYPERLINK("#'관리자_MASTER'!D"&amp;_xlfn.MAXIFS(m_row,m_teacher,W$4,m_date,($G$2+12),m_active,1,m_start,"&lt;"&amp;1080,m_end,"&gt;"&amp;1020),INDEX(m_label,_xlfn.MAXIFS(m_row,m_teacher,W$4,m_date,($G$2+12),m_active,1,m_start,"&lt;"&amp;1080,m_end,"&gt;"&amp;1020))))))</f>
        <v/>
      </c>
      <c r="X68" s="88" t="str">
        <f aca="false">IF(OR(X$4="",MONTH(($G$2+12))&lt;&gt;MONTH($C$2)),"",IF(COUNTIFS(m_teacher,X$4,m_date,($G$2+12),m_active,1,m_start,"&lt;"&amp;1080,m_end,"&gt;"&amp;1020)=0,"",IF(COUNTIFS(m_teacher,X$4,m_date,($G$2+12),m_active,1,m_start,"&lt;"&amp;1080,m_end,"&gt;"&amp;1020)&gt;1,"충돌",HYPERLINK("#'관리자_MASTER'!D"&amp;_xlfn.MAXIFS(m_row,m_teacher,X$4,m_date,($G$2+12),m_active,1,m_start,"&lt;"&amp;1080,m_end,"&gt;"&amp;1020),INDEX(m_label,_xlfn.MAXIFS(m_row,m_teacher,X$4,m_date,($G$2+12),m_active,1,m_start,"&lt;"&amp;1080,m_end,"&gt;"&amp;1020))))))</f>
        <v/>
      </c>
      <c r="Y68" s="88" t="str">
        <f aca="false">IF(OR(Y$4="",MONTH(($G$2+12))&lt;&gt;MONTH($C$2)),"",IF(COUNTIFS(m_teacher,Y$4,m_date,($G$2+12),m_active,1,m_start,"&lt;"&amp;1080,m_end,"&gt;"&amp;1020)=0,"",IF(COUNTIFS(m_teacher,Y$4,m_date,($G$2+12),m_active,1,m_start,"&lt;"&amp;1080,m_end,"&gt;"&amp;1020)&gt;1,"충돌",HYPERLINK("#'관리자_MASTER'!D"&amp;_xlfn.MAXIFS(m_row,m_teacher,Y$4,m_date,($G$2+12),m_active,1,m_start,"&lt;"&amp;1080,m_end,"&gt;"&amp;1020),INDEX(m_label,_xlfn.MAXIFS(m_row,m_teacher,Y$4,m_date,($G$2+12),m_active,1,m_start,"&lt;"&amp;1080,m_end,"&gt;"&amp;1020))))))</f>
        <v/>
      </c>
      <c r="Z68" s="88" t="str">
        <f aca="false">IF(OR(Z$4="",MONTH(($G$2+12))&lt;&gt;MONTH($C$2)),"",IF(COUNTIFS(m_teacher,Z$4,m_date,($G$2+12),m_active,1,m_start,"&lt;"&amp;1080,m_end,"&gt;"&amp;1020)=0,"",IF(COUNTIFS(m_teacher,Z$4,m_date,($G$2+12),m_active,1,m_start,"&lt;"&amp;1080,m_end,"&gt;"&amp;1020)&gt;1,"충돌",HYPERLINK("#'관리자_MASTER'!D"&amp;_xlfn.MAXIFS(m_row,m_teacher,Z$4,m_date,($G$2+12),m_active,1,m_start,"&lt;"&amp;1080,m_end,"&gt;"&amp;1020),INDEX(m_label,_xlfn.MAXIFS(m_row,m_teacher,Z$4,m_date,($G$2+12),m_active,1,m_start,"&lt;"&amp;1080,m_end,"&gt;"&amp;1020))))))</f>
        <v/>
      </c>
      <c r="AA68" s="88" t="str">
        <f aca="false">IF(OR(AA$4="",MONTH(($G$2+12))&lt;&gt;MONTH($C$2)),"",IF(COUNTIFS(m_teacher,AA$4,m_date,($G$2+12),m_active,1,m_start,"&lt;"&amp;1080,m_end,"&gt;"&amp;1020)=0,"",IF(COUNTIFS(m_teacher,AA$4,m_date,($G$2+12),m_active,1,m_start,"&lt;"&amp;1080,m_end,"&gt;"&amp;1020)&gt;1,"충돌",HYPERLINK("#'관리자_MASTER'!D"&amp;_xlfn.MAXIFS(m_row,m_teacher,AA$4,m_date,($G$2+12),m_active,1,m_start,"&lt;"&amp;1080,m_end,"&gt;"&amp;1020),INDEX(m_label,_xlfn.MAXIFS(m_row,m_teacher,AA$4,m_date,($G$2+12),m_active,1,m_start,"&lt;"&amp;1080,m_end,"&gt;"&amp;1020))))))</f>
        <v/>
      </c>
      <c r="AB68" s="88" t="str">
        <f aca="false">IF(OR(AB$4="",MONTH(($G$2+12))&lt;&gt;MONTH($C$2)),"",IF(COUNTIFS(m_teacher,AB$4,m_date,($G$2+12),m_active,1,m_start,"&lt;"&amp;1080,m_end,"&gt;"&amp;1020)=0,"",IF(COUNTIFS(m_teacher,AB$4,m_date,($G$2+12),m_active,1,m_start,"&lt;"&amp;1080,m_end,"&gt;"&amp;1020)&gt;1,"충돌",HYPERLINK("#'관리자_MASTER'!D"&amp;_xlfn.MAXIFS(m_row,m_teacher,AB$4,m_date,($G$2+12),m_active,1,m_start,"&lt;"&amp;1080,m_end,"&gt;"&amp;1020),INDEX(m_label,_xlfn.MAXIFS(m_row,m_teacher,AB$4,m_date,($G$2+12),m_active,1,m_start,"&lt;"&amp;1080,m_end,"&gt;"&amp;1020))))))</f>
        <v/>
      </c>
      <c r="AC68" s="90"/>
      <c r="AD68" s="79" t="s">
        <v>99</v>
      </c>
      <c r="AE68" s="88" t="str">
        <f aca="false">IF(OR(AE$4="",MONTH(($G$2+19))&lt;&gt;MONTH($C$2)),"",IF(COUNTIFS(m_teacher,AE$4,m_date,($G$2+19),m_active,1,m_start,"&lt;"&amp;1080,m_end,"&gt;"&amp;1020)=0,"",IF(COUNTIFS(m_teacher,AE$4,m_date,($G$2+19),m_active,1,m_start,"&lt;"&amp;1080,m_end,"&gt;"&amp;1020)&gt;1,"충돌",HYPERLINK("#'관리자_MASTER'!D"&amp;_xlfn.MAXIFS(m_row,m_teacher,AE$4,m_date,($G$2+19),m_active,1,m_start,"&lt;"&amp;1080,m_end,"&gt;"&amp;1020),INDEX(m_label,_xlfn.MAXIFS(m_row,m_teacher,AE$4,m_date,($G$2+19),m_active,1,m_start,"&lt;"&amp;1080,m_end,"&gt;"&amp;1020))))))</f>
        <v/>
      </c>
      <c r="AF68" s="88" t="str">
        <f aca="false">IF(OR(AF$4="",MONTH(($G$2+19))&lt;&gt;MONTH($C$2)),"",IF(COUNTIFS(m_teacher,AF$4,m_date,($G$2+19),m_active,1,m_start,"&lt;"&amp;1080,m_end,"&gt;"&amp;1020)=0,"",IF(COUNTIFS(m_teacher,AF$4,m_date,($G$2+19),m_active,1,m_start,"&lt;"&amp;1080,m_end,"&gt;"&amp;1020)&gt;1,"충돌",HYPERLINK("#'관리자_MASTER'!D"&amp;_xlfn.MAXIFS(m_row,m_teacher,AF$4,m_date,($G$2+19),m_active,1,m_start,"&lt;"&amp;1080,m_end,"&gt;"&amp;1020),INDEX(m_label,_xlfn.MAXIFS(m_row,m_teacher,AF$4,m_date,($G$2+19),m_active,1,m_start,"&lt;"&amp;1080,m_end,"&gt;"&amp;1020))))))</f>
        <v/>
      </c>
      <c r="AG68" s="88" t="str">
        <f aca="false">IF(OR(AG$4="",MONTH(($G$2+19))&lt;&gt;MONTH($C$2)),"",IF(COUNTIFS(m_teacher,AG$4,m_date,($G$2+19),m_active,1,m_start,"&lt;"&amp;1080,m_end,"&gt;"&amp;1020)=0,"",IF(COUNTIFS(m_teacher,AG$4,m_date,($G$2+19),m_active,1,m_start,"&lt;"&amp;1080,m_end,"&gt;"&amp;1020)&gt;1,"충돌",HYPERLINK("#'관리자_MASTER'!D"&amp;_xlfn.MAXIFS(m_row,m_teacher,AG$4,m_date,($G$2+19),m_active,1,m_start,"&lt;"&amp;1080,m_end,"&gt;"&amp;1020),INDEX(m_label,_xlfn.MAXIFS(m_row,m_teacher,AG$4,m_date,($G$2+19),m_active,1,m_start,"&lt;"&amp;1080,m_end,"&gt;"&amp;1020))))))</f>
        <v/>
      </c>
      <c r="AH68" s="88" t="str">
        <f aca="false">IF(OR(AH$4="",MONTH(($G$2+19))&lt;&gt;MONTH($C$2)),"",IF(COUNTIFS(m_teacher,AH$4,m_date,($G$2+19),m_active,1,m_start,"&lt;"&amp;1080,m_end,"&gt;"&amp;1020)=0,"",IF(COUNTIFS(m_teacher,AH$4,m_date,($G$2+19),m_active,1,m_start,"&lt;"&amp;1080,m_end,"&gt;"&amp;1020)&gt;1,"충돌",HYPERLINK("#'관리자_MASTER'!D"&amp;_xlfn.MAXIFS(m_row,m_teacher,AH$4,m_date,($G$2+19),m_active,1,m_start,"&lt;"&amp;1080,m_end,"&gt;"&amp;1020),INDEX(m_label,_xlfn.MAXIFS(m_row,m_teacher,AH$4,m_date,($G$2+19),m_active,1,m_start,"&lt;"&amp;1080,m_end,"&gt;"&amp;1020))))))</f>
        <v/>
      </c>
      <c r="AI68" s="88" t="str">
        <f aca="false">IF(OR(AI$4="",MONTH(($G$2+19))&lt;&gt;MONTH($C$2)),"",IF(COUNTIFS(m_teacher,AI$4,m_date,($G$2+19),m_active,1,m_start,"&lt;"&amp;1080,m_end,"&gt;"&amp;1020)=0,"",IF(COUNTIFS(m_teacher,AI$4,m_date,($G$2+19),m_active,1,m_start,"&lt;"&amp;1080,m_end,"&gt;"&amp;1020)&gt;1,"충돌",HYPERLINK("#'관리자_MASTER'!D"&amp;_xlfn.MAXIFS(m_row,m_teacher,AI$4,m_date,($G$2+19),m_active,1,m_start,"&lt;"&amp;1080,m_end,"&gt;"&amp;1020),INDEX(m_label,_xlfn.MAXIFS(m_row,m_teacher,AI$4,m_date,($G$2+19),m_active,1,m_start,"&lt;"&amp;1080,m_end,"&gt;"&amp;1020))))))</f>
        <v/>
      </c>
      <c r="AJ68" s="88" t="str">
        <f aca="false">IF(OR(AJ$4="",MONTH(($G$2+19))&lt;&gt;MONTH($C$2)),"",IF(COUNTIFS(m_teacher,AJ$4,m_date,($G$2+19),m_active,1,m_start,"&lt;"&amp;1080,m_end,"&gt;"&amp;1020)=0,"",IF(COUNTIFS(m_teacher,AJ$4,m_date,($G$2+19),m_active,1,m_start,"&lt;"&amp;1080,m_end,"&gt;"&amp;1020)&gt;1,"충돌",HYPERLINK("#'관리자_MASTER'!D"&amp;_xlfn.MAXIFS(m_row,m_teacher,AJ$4,m_date,($G$2+19),m_active,1,m_start,"&lt;"&amp;1080,m_end,"&gt;"&amp;1020),INDEX(m_label,_xlfn.MAXIFS(m_row,m_teacher,AJ$4,m_date,($G$2+19),m_active,1,m_start,"&lt;"&amp;1080,m_end,"&gt;"&amp;1020))))))</f>
        <v/>
      </c>
      <c r="AK68" s="88" t="str">
        <f aca="false">IF(OR(AK$4="",MONTH(($G$2+19))&lt;&gt;MONTH($C$2)),"",IF(COUNTIFS(m_teacher,AK$4,m_date,($G$2+19),m_active,1,m_start,"&lt;"&amp;1080,m_end,"&gt;"&amp;1020)=0,"",IF(COUNTIFS(m_teacher,AK$4,m_date,($G$2+19),m_active,1,m_start,"&lt;"&amp;1080,m_end,"&gt;"&amp;1020)&gt;1,"충돌",HYPERLINK("#'관리자_MASTER'!D"&amp;_xlfn.MAXIFS(m_row,m_teacher,AK$4,m_date,($G$2+19),m_active,1,m_start,"&lt;"&amp;1080,m_end,"&gt;"&amp;1020),INDEX(m_label,_xlfn.MAXIFS(m_row,m_teacher,AK$4,m_date,($G$2+19),m_active,1,m_start,"&lt;"&amp;1080,m_end,"&gt;"&amp;1020))))))</f>
        <v/>
      </c>
      <c r="AL68" s="88" t="str">
        <f aca="false">IF(OR(AL$4="",MONTH(($G$2+19))&lt;&gt;MONTH($C$2)),"",IF(COUNTIFS(m_teacher,AL$4,m_date,($G$2+19),m_active,1,m_start,"&lt;"&amp;1080,m_end,"&gt;"&amp;1020)=0,"",IF(COUNTIFS(m_teacher,AL$4,m_date,($G$2+19),m_active,1,m_start,"&lt;"&amp;1080,m_end,"&gt;"&amp;1020)&gt;1,"충돌",HYPERLINK("#'관리자_MASTER'!D"&amp;_xlfn.MAXIFS(m_row,m_teacher,AL$4,m_date,($G$2+19),m_active,1,m_start,"&lt;"&amp;1080,m_end,"&gt;"&amp;1020),INDEX(m_label,_xlfn.MAXIFS(m_row,m_teacher,AL$4,m_date,($G$2+19),m_active,1,m_start,"&lt;"&amp;1080,m_end,"&gt;"&amp;1020))))))</f>
        <v/>
      </c>
      <c r="AM68" s="88" t="str">
        <f aca="false">IF(OR(AM$4="",MONTH(($G$2+19))&lt;&gt;MONTH($C$2)),"",IF(COUNTIFS(m_teacher,AM$4,m_date,($G$2+19),m_active,1,m_start,"&lt;"&amp;1080,m_end,"&gt;"&amp;1020)=0,"",IF(COUNTIFS(m_teacher,AM$4,m_date,($G$2+19),m_active,1,m_start,"&lt;"&amp;1080,m_end,"&gt;"&amp;1020)&gt;1,"충돌",HYPERLINK("#'관리자_MASTER'!D"&amp;_xlfn.MAXIFS(m_row,m_teacher,AM$4,m_date,($G$2+19),m_active,1,m_start,"&lt;"&amp;1080,m_end,"&gt;"&amp;1020),INDEX(m_label,_xlfn.MAXIFS(m_row,m_teacher,AM$4,m_date,($G$2+19),m_active,1,m_start,"&lt;"&amp;1080,m_end,"&gt;"&amp;1020))))))</f>
        <v/>
      </c>
      <c r="AN68" s="88" t="str">
        <f aca="false">IF(OR(AN$4="",MONTH(($G$2+19))&lt;&gt;MONTH($C$2)),"",IF(COUNTIFS(m_teacher,AN$4,m_date,($G$2+19),m_active,1,m_start,"&lt;"&amp;1080,m_end,"&gt;"&amp;1020)=0,"",IF(COUNTIFS(m_teacher,AN$4,m_date,($G$2+19),m_active,1,m_start,"&lt;"&amp;1080,m_end,"&gt;"&amp;1020)&gt;1,"충돌",HYPERLINK("#'관리자_MASTER'!D"&amp;_xlfn.MAXIFS(m_row,m_teacher,AN$4,m_date,($G$2+19),m_active,1,m_start,"&lt;"&amp;1080,m_end,"&gt;"&amp;1020),INDEX(m_label,_xlfn.MAXIFS(m_row,m_teacher,AN$4,m_date,($G$2+19),m_active,1,m_start,"&lt;"&amp;1080,m_end,"&gt;"&amp;1020))))))</f>
        <v/>
      </c>
      <c r="AO68" s="88" t="str">
        <f aca="false">IF(OR(AO$4="",MONTH(($G$2+19))&lt;&gt;MONTH($C$2)),"",IF(COUNTIFS(m_teacher,AO$4,m_date,($G$2+19),m_active,1,m_start,"&lt;"&amp;1080,m_end,"&gt;"&amp;1020)=0,"",IF(COUNTIFS(m_teacher,AO$4,m_date,($G$2+19),m_active,1,m_start,"&lt;"&amp;1080,m_end,"&gt;"&amp;1020)&gt;1,"충돌",HYPERLINK("#'관리자_MASTER'!D"&amp;_xlfn.MAXIFS(m_row,m_teacher,AO$4,m_date,($G$2+19),m_active,1,m_start,"&lt;"&amp;1080,m_end,"&gt;"&amp;1020),INDEX(m_label,_xlfn.MAXIFS(m_row,m_teacher,AO$4,m_date,($G$2+19),m_active,1,m_start,"&lt;"&amp;1080,m_end,"&gt;"&amp;1020))))))</f>
        <v/>
      </c>
      <c r="AP68" s="88" t="str">
        <f aca="false">IF(OR(AP$4="",MONTH(($G$2+19))&lt;&gt;MONTH($C$2)),"",IF(COUNTIFS(m_teacher,AP$4,m_date,($G$2+19),m_active,1,m_start,"&lt;"&amp;1080,m_end,"&gt;"&amp;1020)=0,"",IF(COUNTIFS(m_teacher,AP$4,m_date,($G$2+19),m_active,1,m_start,"&lt;"&amp;1080,m_end,"&gt;"&amp;1020)&gt;1,"충돌",HYPERLINK("#'관리자_MASTER'!D"&amp;_xlfn.MAXIFS(m_row,m_teacher,AP$4,m_date,($G$2+19),m_active,1,m_start,"&lt;"&amp;1080,m_end,"&gt;"&amp;1020),INDEX(m_label,_xlfn.MAXIFS(m_row,m_teacher,AP$4,m_date,($G$2+19),m_active,1,m_start,"&lt;"&amp;1080,m_end,"&gt;"&amp;1020))))))</f>
        <v/>
      </c>
      <c r="AQ68" s="90"/>
      <c r="AR68" s="79" t="s">
        <v>99</v>
      </c>
      <c r="AS68" s="88" t="str">
        <f aca="false">IF(OR(AS$4="",MONTH(($G$2+26))&lt;&gt;MONTH($C$2)),"",IF(COUNTIFS(m_teacher,AS$4,m_date,($G$2+26),m_active,1,m_start,"&lt;"&amp;1080,m_end,"&gt;"&amp;1020)=0,"",IF(COUNTIFS(m_teacher,AS$4,m_date,($G$2+26),m_active,1,m_start,"&lt;"&amp;1080,m_end,"&gt;"&amp;1020)&gt;1,"충돌",HYPERLINK("#'관리자_MASTER'!D"&amp;_xlfn.MAXIFS(m_row,m_teacher,AS$4,m_date,($G$2+26),m_active,1,m_start,"&lt;"&amp;1080,m_end,"&gt;"&amp;1020),INDEX(m_label,_xlfn.MAXIFS(m_row,m_teacher,AS$4,m_date,($G$2+26),m_active,1,m_start,"&lt;"&amp;1080,m_end,"&gt;"&amp;1020))))))</f>
        <v/>
      </c>
      <c r="AT68" s="88" t="str">
        <f aca="false">IF(OR(AT$4="",MONTH(($G$2+26))&lt;&gt;MONTH($C$2)),"",IF(COUNTIFS(m_teacher,AT$4,m_date,($G$2+26),m_active,1,m_start,"&lt;"&amp;1080,m_end,"&gt;"&amp;1020)=0,"",IF(COUNTIFS(m_teacher,AT$4,m_date,($G$2+26),m_active,1,m_start,"&lt;"&amp;1080,m_end,"&gt;"&amp;1020)&gt;1,"충돌",HYPERLINK("#'관리자_MASTER'!D"&amp;_xlfn.MAXIFS(m_row,m_teacher,AT$4,m_date,($G$2+26),m_active,1,m_start,"&lt;"&amp;1080,m_end,"&gt;"&amp;1020),INDEX(m_label,_xlfn.MAXIFS(m_row,m_teacher,AT$4,m_date,($G$2+26),m_active,1,m_start,"&lt;"&amp;1080,m_end,"&gt;"&amp;1020))))))</f>
        <v/>
      </c>
      <c r="AU68" s="88" t="str">
        <f aca="false">IF(OR(AU$4="",MONTH(($G$2+26))&lt;&gt;MONTH($C$2)),"",IF(COUNTIFS(m_teacher,AU$4,m_date,($G$2+26),m_active,1,m_start,"&lt;"&amp;1080,m_end,"&gt;"&amp;1020)=0,"",IF(COUNTIFS(m_teacher,AU$4,m_date,($G$2+26),m_active,1,m_start,"&lt;"&amp;1080,m_end,"&gt;"&amp;1020)&gt;1,"충돌",HYPERLINK("#'관리자_MASTER'!D"&amp;_xlfn.MAXIFS(m_row,m_teacher,AU$4,m_date,($G$2+26),m_active,1,m_start,"&lt;"&amp;1080,m_end,"&gt;"&amp;1020),INDEX(m_label,_xlfn.MAXIFS(m_row,m_teacher,AU$4,m_date,($G$2+26),m_active,1,m_start,"&lt;"&amp;1080,m_end,"&gt;"&amp;1020))))))</f>
        <v/>
      </c>
      <c r="AV68" s="88" t="str">
        <f aca="false">IF(OR(AV$4="",MONTH(($G$2+26))&lt;&gt;MONTH($C$2)),"",IF(COUNTIFS(m_teacher,AV$4,m_date,($G$2+26),m_active,1,m_start,"&lt;"&amp;1080,m_end,"&gt;"&amp;1020)=0,"",IF(COUNTIFS(m_teacher,AV$4,m_date,($G$2+26),m_active,1,m_start,"&lt;"&amp;1080,m_end,"&gt;"&amp;1020)&gt;1,"충돌",HYPERLINK("#'관리자_MASTER'!D"&amp;_xlfn.MAXIFS(m_row,m_teacher,AV$4,m_date,($G$2+26),m_active,1,m_start,"&lt;"&amp;1080,m_end,"&gt;"&amp;1020),INDEX(m_label,_xlfn.MAXIFS(m_row,m_teacher,AV$4,m_date,($G$2+26),m_active,1,m_start,"&lt;"&amp;1080,m_end,"&gt;"&amp;1020))))))</f>
        <v/>
      </c>
      <c r="AW68" s="88" t="str">
        <f aca="false">IF(OR(AW$4="",MONTH(($G$2+26))&lt;&gt;MONTH($C$2)),"",IF(COUNTIFS(m_teacher,AW$4,m_date,($G$2+26),m_active,1,m_start,"&lt;"&amp;1080,m_end,"&gt;"&amp;1020)=0,"",IF(COUNTIFS(m_teacher,AW$4,m_date,($G$2+26),m_active,1,m_start,"&lt;"&amp;1080,m_end,"&gt;"&amp;1020)&gt;1,"충돌",HYPERLINK("#'관리자_MASTER'!D"&amp;_xlfn.MAXIFS(m_row,m_teacher,AW$4,m_date,($G$2+26),m_active,1,m_start,"&lt;"&amp;1080,m_end,"&gt;"&amp;1020),INDEX(m_label,_xlfn.MAXIFS(m_row,m_teacher,AW$4,m_date,($G$2+26),m_active,1,m_start,"&lt;"&amp;1080,m_end,"&gt;"&amp;1020))))))</f>
        <v/>
      </c>
      <c r="AX68" s="88" t="str">
        <f aca="false">IF(OR(AX$4="",MONTH(($G$2+26))&lt;&gt;MONTH($C$2)),"",IF(COUNTIFS(m_teacher,AX$4,m_date,($G$2+26),m_active,1,m_start,"&lt;"&amp;1080,m_end,"&gt;"&amp;1020)=0,"",IF(COUNTIFS(m_teacher,AX$4,m_date,($G$2+26),m_active,1,m_start,"&lt;"&amp;1080,m_end,"&gt;"&amp;1020)&gt;1,"충돌",HYPERLINK("#'관리자_MASTER'!D"&amp;_xlfn.MAXIFS(m_row,m_teacher,AX$4,m_date,($G$2+26),m_active,1,m_start,"&lt;"&amp;1080,m_end,"&gt;"&amp;1020),INDEX(m_label,_xlfn.MAXIFS(m_row,m_teacher,AX$4,m_date,($G$2+26),m_active,1,m_start,"&lt;"&amp;1080,m_end,"&gt;"&amp;1020))))))</f>
        <v/>
      </c>
      <c r="AY68" s="88" t="str">
        <f aca="false">IF(OR(AY$4="",MONTH(($G$2+26))&lt;&gt;MONTH($C$2)),"",IF(COUNTIFS(m_teacher,AY$4,m_date,($G$2+26),m_active,1,m_start,"&lt;"&amp;1080,m_end,"&gt;"&amp;1020)=0,"",IF(COUNTIFS(m_teacher,AY$4,m_date,($G$2+26),m_active,1,m_start,"&lt;"&amp;1080,m_end,"&gt;"&amp;1020)&gt;1,"충돌",HYPERLINK("#'관리자_MASTER'!D"&amp;_xlfn.MAXIFS(m_row,m_teacher,AY$4,m_date,($G$2+26),m_active,1,m_start,"&lt;"&amp;1080,m_end,"&gt;"&amp;1020),INDEX(m_label,_xlfn.MAXIFS(m_row,m_teacher,AY$4,m_date,($G$2+26),m_active,1,m_start,"&lt;"&amp;1080,m_end,"&gt;"&amp;1020))))))</f>
        <v/>
      </c>
      <c r="AZ68" s="88" t="str">
        <f aca="false">IF(OR(AZ$4="",MONTH(($G$2+26))&lt;&gt;MONTH($C$2)),"",IF(COUNTIFS(m_teacher,AZ$4,m_date,($G$2+26),m_active,1,m_start,"&lt;"&amp;1080,m_end,"&gt;"&amp;1020)=0,"",IF(COUNTIFS(m_teacher,AZ$4,m_date,($G$2+26),m_active,1,m_start,"&lt;"&amp;1080,m_end,"&gt;"&amp;1020)&gt;1,"충돌",HYPERLINK("#'관리자_MASTER'!D"&amp;_xlfn.MAXIFS(m_row,m_teacher,AZ$4,m_date,($G$2+26),m_active,1,m_start,"&lt;"&amp;1080,m_end,"&gt;"&amp;1020),INDEX(m_label,_xlfn.MAXIFS(m_row,m_teacher,AZ$4,m_date,($G$2+26),m_active,1,m_start,"&lt;"&amp;1080,m_end,"&gt;"&amp;1020))))))</f>
        <v/>
      </c>
      <c r="BA68" s="88" t="str">
        <f aca="false">IF(OR(BA$4="",MONTH(($G$2+26))&lt;&gt;MONTH($C$2)),"",IF(COUNTIFS(m_teacher,BA$4,m_date,($G$2+26),m_active,1,m_start,"&lt;"&amp;1080,m_end,"&gt;"&amp;1020)=0,"",IF(COUNTIFS(m_teacher,BA$4,m_date,($G$2+26),m_active,1,m_start,"&lt;"&amp;1080,m_end,"&gt;"&amp;1020)&gt;1,"충돌",HYPERLINK("#'관리자_MASTER'!D"&amp;_xlfn.MAXIFS(m_row,m_teacher,BA$4,m_date,($G$2+26),m_active,1,m_start,"&lt;"&amp;1080,m_end,"&gt;"&amp;1020),INDEX(m_label,_xlfn.MAXIFS(m_row,m_teacher,BA$4,m_date,($G$2+26),m_active,1,m_start,"&lt;"&amp;1080,m_end,"&gt;"&amp;1020))))))</f>
        <v/>
      </c>
      <c r="BB68" s="88" t="str">
        <f aca="false">IF(OR(BB$4="",MONTH(($G$2+26))&lt;&gt;MONTH($C$2)),"",IF(COUNTIFS(m_teacher,BB$4,m_date,($G$2+26),m_active,1,m_start,"&lt;"&amp;1080,m_end,"&gt;"&amp;1020)=0,"",IF(COUNTIFS(m_teacher,BB$4,m_date,($G$2+26),m_active,1,m_start,"&lt;"&amp;1080,m_end,"&gt;"&amp;1020)&gt;1,"충돌",HYPERLINK("#'관리자_MASTER'!D"&amp;_xlfn.MAXIFS(m_row,m_teacher,BB$4,m_date,($G$2+26),m_active,1,m_start,"&lt;"&amp;1080,m_end,"&gt;"&amp;1020),INDEX(m_label,_xlfn.MAXIFS(m_row,m_teacher,BB$4,m_date,($G$2+26),m_active,1,m_start,"&lt;"&amp;1080,m_end,"&gt;"&amp;1020))))))</f>
        <v/>
      </c>
      <c r="BC68" s="88" t="str">
        <f aca="false">IF(OR(BC$4="",MONTH(($G$2+26))&lt;&gt;MONTH($C$2)),"",IF(COUNTIFS(m_teacher,BC$4,m_date,($G$2+26),m_active,1,m_start,"&lt;"&amp;1080,m_end,"&gt;"&amp;1020)=0,"",IF(COUNTIFS(m_teacher,BC$4,m_date,($G$2+26),m_active,1,m_start,"&lt;"&amp;1080,m_end,"&gt;"&amp;1020)&gt;1,"충돌",HYPERLINK("#'관리자_MASTER'!D"&amp;_xlfn.MAXIFS(m_row,m_teacher,BC$4,m_date,($G$2+26),m_active,1,m_start,"&lt;"&amp;1080,m_end,"&gt;"&amp;1020),INDEX(m_label,_xlfn.MAXIFS(m_row,m_teacher,BC$4,m_date,($G$2+26),m_active,1,m_start,"&lt;"&amp;1080,m_end,"&gt;"&amp;1020))))))</f>
        <v/>
      </c>
      <c r="BD68" s="88" t="str">
        <f aca="false">IF(OR(BD$4="",MONTH(($G$2+26))&lt;&gt;MONTH($C$2)),"",IF(COUNTIFS(m_teacher,BD$4,m_date,($G$2+26),m_active,1,m_start,"&lt;"&amp;1080,m_end,"&gt;"&amp;1020)=0,"",IF(COUNTIFS(m_teacher,BD$4,m_date,($G$2+26),m_active,1,m_start,"&lt;"&amp;1080,m_end,"&gt;"&amp;1020)&gt;1,"충돌",HYPERLINK("#'관리자_MASTER'!D"&amp;_xlfn.MAXIFS(m_row,m_teacher,BD$4,m_date,($G$2+26),m_active,1,m_start,"&lt;"&amp;1080,m_end,"&gt;"&amp;1020),INDEX(m_label,_xlfn.MAXIFS(m_row,m_teacher,BD$4,m_date,($G$2+26),m_active,1,m_start,"&lt;"&amp;1080,m_end,"&gt;"&amp;1020))))))</f>
        <v/>
      </c>
      <c r="BE68" s="90"/>
      <c r="BF68" s="79" t="s">
        <v>99</v>
      </c>
      <c r="BG68" s="88" t="str">
        <f aca="false">IF(OR(BG$4="",MONTH(($G$2+33))&lt;&gt;MONTH($C$2)),"",IF(COUNTIFS(m_teacher,BG$4,m_date,($G$2+33),m_active,1,m_start,"&lt;"&amp;1080,m_end,"&gt;"&amp;1020)=0,"",IF(COUNTIFS(m_teacher,BG$4,m_date,($G$2+33),m_active,1,m_start,"&lt;"&amp;1080,m_end,"&gt;"&amp;1020)&gt;1,"충돌",HYPERLINK("#'관리자_MASTER'!D"&amp;_xlfn.MAXIFS(m_row,m_teacher,BG$4,m_date,($G$2+33),m_active,1,m_start,"&lt;"&amp;1080,m_end,"&gt;"&amp;1020),INDEX(m_label,_xlfn.MAXIFS(m_row,m_teacher,BG$4,m_date,($G$2+33),m_active,1,m_start,"&lt;"&amp;1080,m_end,"&gt;"&amp;1020))))))</f>
        <v/>
      </c>
      <c r="BH68" s="88" t="str">
        <f aca="false">IF(OR(BH$4="",MONTH(($G$2+33))&lt;&gt;MONTH($C$2)),"",IF(COUNTIFS(m_teacher,BH$4,m_date,($G$2+33),m_active,1,m_start,"&lt;"&amp;1080,m_end,"&gt;"&amp;1020)=0,"",IF(COUNTIFS(m_teacher,BH$4,m_date,($G$2+33),m_active,1,m_start,"&lt;"&amp;1080,m_end,"&gt;"&amp;1020)&gt;1,"충돌",HYPERLINK("#'관리자_MASTER'!D"&amp;_xlfn.MAXIFS(m_row,m_teacher,BH$4,m_date,($G$2+33),m_active,1,m_start,"&lt;"&amp;1080,m_end,"&gt;"&amp;1020),INDEX(m_label,_xlfn.MAXIFS(m_row,m_teacher,BH$4,m_date,($G$2+33),m_active,1,m_start,"&lt;"&amp;1080,m_end,"&gt;"&amp;1020))))))</f>
        <v/>
      </c>
      <c r="BI68" s="88" t="str">
        <f aca="false">IF(OR(BI$4="",MONTH(($G$2+33))&lt;&gt;MONTH($C$2)),"",IF(COUNTIFS(m_teacher,BI$4,m_date,($G$2+33),m_active,1,m_start,"&lt;"&amp;1080,m_end,"&gt;"&amp;1020)=0,"",IF(COUNTIFS(m_teacher,BI$4,m_date,($G$2+33),m_active,1,m_start,"&lt;"&amp;1080,m_end,"&gt;"&amp;1020)&gt;1,"충돌",HYPERLINK("#'관리자_MASTER'!D"&amp;_xlfn.MAXIFS(m_row,m_teacher,BI$4,m_date,($G$2+33),m_active,1,m_start,"&lt;"&amp;1080,m_end,"&gt;"&amp;1020),INDEX(m_label,_xlfn.MAXIFS(m_row,m_teacher,BI$4,m_date,($G$2+33),m_active,1,m_start,"&lt;"&amp;1080,m_end,"&gt;"&amp;1020))))))</f>
        <v/>
      </c>
      <c r="BJ68" s="88" t="str">
        <f aca="false">IF(OR(BJ$4="",MONTH(($G$2+33))&lt;&gt;MONTH($C$2)),"",IF(COUNTIFS(m_teacher,BJ$4,m_date,($G$2+33),m_active,1,m_start,"&lt;"&amp;1080,m_end,"&gt;"&amp;1020)=0,"",IF(COUNTIFS(m_teacher,BJ$4,m_date,($G$2+33),m_active,1,m_start,"&lt;"&amp;1080,m_end,"&gt;"&amp;1020)&gt;1,"충돌",HYPERLINK("#'관리자_MASTER'!D"&amp;_xlfn.MAXIFS(m_row,m_teacher,BJ$4,m_date,($G$2+33),m_active,1,m_start,"&lt;"&amp;1080,m_end,"&gt;"&amp;1020),INDEX(m_label,_xlfn.MAXIFS(m_row,m_teacher,BJ$4,m_date,($G$2+33),m_active,1,m_start,"&lt;"&amp;1080,m_end,"&gt;"&amp;1020))))))</f>
        <v/>
      </c>
      <c r="BK68" s="88" t="str">
        <f aca="false">IF(OR(BK$4="",MONTH(($G$2+33))&lt;&gt;MONTH($C$2)),"",IF(COUNTIFS(m_teacher,BK$4,m_date,($G$2+33),m_active,1,m_start,"&lt;"&amp;1080,m_end,"&gt;"&amp;1020)=0,"",IF(COUNTIFS(m_teacher,BK$4,m_date,($G$2+33),m_active,1,m_start,"&lt;"&amp;1080,m_end,"&gt;"&amp;1020)&gt;1,"충돌",HYPERLINK("#'관리자_MASTER'!D"&amp;_xlfn.MAXIFS(m_row,m_teacher,BK$4,m_date,($G$2+33),m_active,1,m_start,"&lt;"&amp;1080,m_end,"&gt;"&amp;1020),INDEX(m_label,_xlfn.MAXIFS(m_row,m_teacher,BK$4,m_date,($G$2+33),m_active,1,m_start,"&lt;"&amp;1080,m_end,"&gt;"&amp;1020))))))</f>
        <v/>
      </c>
      <c r="BL68" s="88" t="str">
        <f aca="false">IF(OR(BL$4="",MONTH(($G$2+33))&lt;&gt;MONTH($C$2)),"",IF(COUNTIFS(m_teacher,BL$4,m_date,($G$2+33),m_active,1,m_start,"&lt;"&amp;1080,m_end,"&gt;"&amp;1020)=0,"",IF(COUNTIFS(m_teacher,BL$4,m_date,($G$2+33),m_active,1,m_start,"&lt;"&amp;1080,m_end,"&gt;"&amp;1020)&gt;1,"충돌",HYPERLINK("#'관리자_MASTER'!D"&amp;_xlfn.MAXIFS(m_row,m_teacher,BL$4,m_date,($G$2+33),m_active,1,m_start,"&lt;"&amp;1080,m_end,"&gt;"&amp;1020),INDEX(m_label,_xlfn.MAXIFS(m_row,m_teacher,BL$4,m_date,($G$2+33),m_active,1,m_start,"&lt;"&amp;1080,m_end,"&gt;"&amp;1020))))))</f>
        <v/>
      </c>
      <c r="BM68" s="88" t="str">
        <f aca="false">IF(OR(BM$4="",MONTH(($G$2+33))&lt;&gt;MONTH($C$2)),"",IF(COUNTIFS(m_teacher,BM$4,m_date,($G$2+33),m_active,1,m_start,"&lt;"&amp;1080,m_end,"&gt;"&amp;1020)=0,"",IF(COUNTIFS(m_teacher,BM$4,m_date,($G$2+33),m_active,1,m_start,"&lt;"&amp;1080,m_end,"&gt;"&amp;1020)&gt;1,"충돌",HYPERLINK("#'관리자_MASTER'!D"&amp;_xlfn.MAXIFS(m_row,m_teacher,BM$4,m_date,($G$2+33),m_active,1,m_start,"&lt;"&amp;1080,m_end,"&gt;"&amp;1020),INDEX(m_label,_xlfn.MAXIFS(m_row,m_teacher,BM$4,m_date,($G$2+33),m_active,1,m_start,"&lt;"&amp;1080,m_end,"&gt;"&amp;1020))))))</f>
        <v/>
      </c>
      <c r="BN68" s="88" t="str">
        <f aca="false">IF(OR(BN$4="",MONTH(($G$2+33))&lt;&gt;MONTH($C$2)),"",IF(COUNTIFS(m_teacher,BN$4,m_date,($G$2+33),m_active,1,m_start,"&lt;"&amp;1080,m_end,"&gt;"&amp;1020)=0,"",IF(COUNTIFS(m_teacher,BN$4,m_date,($G$2+33),m_active,1,m_start,"&lt;"&amp;1080,m_end,"&gt;"&amp;1020)&gt;1,"충돌",HYPERLINK("#'관리자_MASTER'!D"&amp;_xlfn.MAXIFS(m_row,m_teacher,BN$4,m_date,($G$2+33),m_active,1,m_start,"&lt;"&amp;1080,m_end,"&gt;"&amp;1020),INDEX(m_label,_xlfn.MAXIFS(m_row,m_teacher,BN$4,m_date,($G$2+33),m_active,1,m_start,"&lt;"&amp;1080,m_end,"&gt;"&amp;1020))))))</f>
        <v/>
      </c>
      <c r="BO68" s="88" t="str">
        <f aca="false">IF(OR(BO$4="",MONTH(($G$2+33))&lt;&gt;MONTH($C$2)),"",IF(COUNTIFS(m_teacher,BO$4,m_date,($G$2+33),m_active,1,m_start,"&lt;"&amp;1080,m_end,"&gt;"&amp;1020)=0,"",IF(COUNTIFS(m_teacher,BO$4,m_date,($G$2+33),m_active,1,m_start,"&lt;"&amp;1080,m_end,"&gt;"&amp;1020)&gt;1,"충돌",HYPERLINK("#'관리자_MASTER'!D"&amp;_xlfn.MAXIFS(m_row,m_teacher,BO$4,m_date,($G$2+33),m_active,1,m_start,"&lt;"&amp;1080,m_end,"&gt;"&amp;1020),INDEX(m_label,_xlfn.MAXIFS(m_row,m_teacher,BO$4,m_date,($G$2+33),m_active,1,m_start,"&lt;"&amp;1080,m_end,"&gt;"&amp;1020))))))</f>
        <v/>
      </c>
      <c r="BP68" s="88" t="str">
        <f aca="false">IF(OR(BP$4="",MONTH(($G$2+33))&lt;&gt;MONTH($C$2)),"",IF(COUNTIFS(m_teacher,BP$4,m_date,($G$2+33),m_active,1,m_start,"&lt;"&amp;1080,m_end,"&gt;"&amp;1020)=0,"",IF(COUNTIFS(m_teacher,BP$4,m_date,($G$2+33),m_active,1,m_start,"&lt;"&amp;1080,m_end,"&gt;"&amp;1020)&gt;1,"충돌",HYPERLINK("#'관리자_MASTER'!D"&amp;_xlfn.MAXIFS(m_row,m_teacher,BP$4,m_date,($G$2+33),m_active,1,m_start,"&lt;"&amp;1080,m_end,"&gt;"&amp;1020),INDEX(m_label,_xlfn.MAXIFS(m_row,m_teacher,BP$4,m_date,($G$2+33),m_active,1,m_start,"&lt;"&amp;1080,m_end,"&gt;"&amp;1020))))))</f>
        <v/>
      </c>
      <c r="BQ68" s="88" t="str">
        <f aca="false">IF(OR(BQ$4="",MONTH(($G$2+33))&lt;&gt;MONTH($C$2)),"",IF(COUNTIFS(m_teacher,BQ$4,m_date,($G$2+33),m_active,1,m_start,"&lt;"&amp;1080,m_end,"&gt;"&amp;1020)=0,"",IF(COUNTIFS(m_teacher,BQ$4,m_date,($G$2+33),m_active,1,m_start,"&lt;"&amp;1080,m_end,"&gt;"&amp;1020)&gt;1,"충돌",HYPERLINK("#'관리자_MASTER'!D"&amp;_xlfn.MAXIFS(m_row,m_teacher,BQ$4,m_date,($G$2+33),m_active,1,m_start,"&lt;"&amp;1080,m_end,"&gt;"&amp;1020),INDEX(m_label,_xlfn.MAXIFS(m_row,m_teacher,BQ$4,m_date,($G$2+33),m_active,1,m_start,"&lt;"&amp;1080,m_end,"&gt;"&amp;1020))))))</f>
        <v/>
      </c>
      <c r="BR68" s="88" t="str">
        <f aca="false">IF(OR(BR$4="",MONTH(($G$2+33))&lt;&gt;MONTH($C$2)),"",IF(COUNTIFS(m_teacher,BR$4,m_date,($G$2+33),m_active,1,m_start,"&lt;"&amp;1080,m_end,"&gt;"&amp;1020)=0,"",IF(COUNTIFS(m_teacher,BR$4,m_date,($G$2+33),m_active,1,m_start,"&lt;"&amp;1080,m_end,"&gt;"&amp;1020)&gt;1,"충돌",HYPERLINK("#'관리자_MASTER'!D"&amp;_xlfn.MAXIFS(m_row,m_teacher,BR$4,m_date,($G$2+33),m_active,1,m_start,"&lt;"&amp;1080,m_end,"&gt;"&amp;1020),INDEX(m_label,_xlfn.MAXIFS(m_row,m_teacher,BR$4,m_date,($G$2+33),m_active,1,m_start,"&lt;"&amp;1080,m_end,"&gt;"&amp;1020))))))</f>
        <v/>
      </c>
    </row>
    <row r="69" customFormat="false" ht="19.5" hidden="false" customHeight="true" outlineLevel="0" collapsed="false">
      <c r="A69" s="90"/>
      <c r="B69" s="79" t="s">
        <v>100</v>
      </c>
      <c r="C69" s="88" t="str">
        <f aca="false">IF(OR(C$4="",MONTH(($G$2+5))&lt;&gt;MONTH($C$2)),"",IF(COUNTIFS(m_teacher,C$4,m_date,($G$2+5),m_active,1,m_start,"&lt;"&amp;1140,m_end,"&gt;"&amp;1080)=0,"",IF(COUNTIFS(m_teacher,C$4,m_date,($G$2+5),m_active,1,m_start,"&lt;"&amp;1140,m_end,"&gt;"&amp;1080)&gt;1,"충돌",HYPERLINK("#'관리자_MASTER'!D"&amp;_xlfn.MAXIFS(m_row,m_teacher,C$4,m_date,($G$2+5),m_active,1,m_start,"&lt;"&amp;1140,m_end,"&gt;"&amp;1080),INDEX(m_label,_xlfn.MAXIFS(m_row,m_teacher,C$4,m_date,($G$2+5),m_active,1,m_start,"&lt;"&amp;1140,m_end,"&gt;"&amp;1080))))))</f>
        <v/>
      </c>
      <c r="D69" s="88" t="str">
        <f aca="false">IF(OR(D$4="",MONTH(($G$2+5))&lt;&gt;MONTH($C$2)),"",IF(COUNTIFS(m_teacher,D$4,m_date,($G$2+5),m_active,1,m_start,"&lt;"&amp;1140,m_end,"&gt;"&amp;1080)=0,"",IF(COUNTIFS(m_teacher,D$4,m_date,($G$2+5),m_active,1,m_start,"&lt;"&amp;1140,m_end,"&gt;"&amp;1080)&gt;1,"충돌",HYPERLINK("#'관리자_MASTER'!D"&amp;_xlfn.MAXIFS(m_row,m_teacher,D$4,m_date,($G$2+5),m_active,1,m_start,"&lt;"&amp;1140,m_end,"&gt;"&amp;1080),INDEX(m_label,_xlfn.MAXIFS(m_row,m_teacher,D$4,m_date,($G$2+5),m_active,1,m_start,"&lt;"&amp;1140,m_end,"&gt;"&amp;1080))))))</f>
        <v/>
      </c>
      <c r="E69" s="88" t="str">
        <f aca="false">IF(OR(E$4="",MONTH(($G$2+5))&lt;&gt;MONTH($C$2)),"",IF(COUNTIFS(m_teacher,E$4,m_date,($G$2+5),m_active,1,m_start,"&lt;"&amp;1140,m_end,"&gt;"&amp;1080)=0,"",IF(COUNTIFS(m_teacher,E$4,m_date,($G$2+5),m_active,1,m_start,"&lt;"&amp;1140,m_end,"&gt;"&amp;1080)&gt;1,"충돌",HYPERLINK("#'관리자_MASTER'!D"&amp;_xlfn.MAXIFS(m_row,m_teacher,E$4,m_date,($G$2+5),m_active,1,m_start,"&lt;"&amp;1140,m_end,"&gt;"&amp;1080),INDEX(m_label,_xlfn.MAXIFS(m_row,m_teacher,E$4,m_date,($G$2+5),m_active,1,m_start,"&lt;"&amp;1140,m_end,"&gt;"&amp;1080))))))</f>
        <v/>
      </c>
      <c r="F69" s="88" t="str">
        <f aca="false">IF(OR(F$4="",MONTH(($G$2+5))&lt;&gt;MONTH($C$2)),"",IF(COUNTIFS(m_teacher,F$4,m_date,($G$2+5),m_active,1,m_start,"&lt;"&amp;1140,m_end,"&gt;"&amp;1080)=0,"",IF(COUNTIFS(m_teacher,F$4,m_date,($G$2+5),m_active,1,m_start,"&lt;"&amp;1140,m_end,"&gt;"&amp;1080)&gt;1,"충돌",HYPERLINK("#'관리자_MASTER'!D"&amp;_xlfn.MAXIFS(m_row,m_teacher,F$4,m_date,($G$2+5),m_active,1,m_start,"&lt;"&amp;1140,m_end,"&gt;"&amp;1080),INDEX(m_label,_xlfn.MAXIFS(m_row,m_teacher,F$4,m_date,($G$2+5),m_active,1,m_start,"&lt;"&amp;1140,m_end,"&gt;"&amp;1080))))))</f>
        <v/>
      </c>
      <c r="G69" s="88" t="str">
        <f aca="false">IF(OR(G$4="",MONTH(($G$2+5))&lt;&gt;MONTH($C$2)),"",IF(COUNTIFS(m_teacher,G$4,m_date,($G$2+5),m_active,1,m_start,"&lt;"&amp;1140,m_end,"&gt;"&amp;1080)=0,"",IF(COUNTIFS(m_teacher,G$4,m_date,($G$2+5),m_active,1,m_start,"&lt;"&amp;1140,m_end,"&gt;"&amp;1080)&gt;1,"충돌",HYPERLINK("#'관리자_MASTER'!D"&amp;_xlfn.MAXIFS(m_row,m_teacher,G$4,m_date,($G$2+5),m_active,1,m_start,"&lt;"&amp;1140,m_end,"&gt;"&amp;1080),INDEX(m_label,_xlfn.MAXIFS(m_row,m_teacher,G$4,m_date,($G$2+5),m_active,1,m_start,"&lt;"&amp;1140,m_end,"&gt;"&amp;1080))))))</f>
        <v/>
      </c>
      <c r="H69" s="88" t="str">
        <f aca="false">IF(OR(H$4="",MONTH(($G$2+5))&lt;&gt;MONTH($C$2)),"",IF(COUNTIFS(m_teacher,H$4,m_date,($G$2+5),m_active,1,m_start,"&lt;"&amp;1140,m_end,"&gt;"&amp;1080)=0,"",IF(COUNTIFS(m_teacher,H$4,m_date,($G$2+5),m_active,1,m_start,"&lt;"&amp;1140,m_end,"&gt;"&amp;1080)&gt;1,"충돌",HYPERLINK("#'관리자_MASTER'!D"&amp;_xlfn.MAXIFS(m_row,m_teacher,H$4,m_date,($G$2+5),m_active,1,m_start,"&lt;"&amp;1140,m_end,"&gt;"&amp;1080),INDEX(m_label,_xlfn.MAXIFS(m_row,m_teacher,H$4,m_date,($G$2+5),m_active,1,m_start,"&lt;"&amp;1140,m_end,"&gt;"&amp;1080))))))</f>
        <v/>
      </c>
      <c r="I69" s="88" t="str">
        <f aca="false">IF(OR(I$4="",MONTH(($G$2+5))&lt;&gt;MONTH($C$2)),"",IF(COUNTIFS(m_teacher,I$4,m_date,($G$2+5),m_active,1,m_start,"&lt;"&amp;1140,m_end,"&gt;"&amp;1080)=0,"",IF(COUNTIFS(m_teacher,I$4,m_date,($G$2+5),m_active,1,m_start,"&lt;"&amp;1140,m_end,"&gt;"&amp;1080)&gt;1,"충돌",HYPERLINK("#'관리자_MASTER'!D"&amp;_xlfn.MAXIFS(m_row,m_teacher,I$4,m_date,($G$2+5),m_active,1,m_start,"&lt;"&amp;1140,m_end,"&gt;"&amp;1080),INDEX(m_label,_xlfn.MAXIFS(m_row,m_teacher,I$4,m_date,($G$2+5),m_active,1,m_start,"&lt;"&amp;1140,m_end,"&gt;"&amp;1080))))))</f>
        <v/>
      </c>
      <c r="J69" s="88" t="str">
        <f aca="false">IF(OR(J$4="",MONTH(($G$2+5))&lt;&gt;MONTH($C$2)),"",IF(COUNTIFS(m_teacher,J$4,m_date,($G$2+5),m_active,1,m_start,"&lt;"&amp;1140,m_end,"&gt;"&amp;1080)=0,"",IF(COUNTIFS(m_teacher,J$4,m_date,($G$2+5),m_active,1,m_start,"&lt;"&amp;1140,m_end,"&gt;"&amp;1080)&gt;1,"충돌",HYPERLINK("#'관리자_MASTER'!D"&amp;_xlfn.MAXIFS(m_row,m_teacher,J$4,m_date,($G$2+5),m_active,1,m_start,"&lt;"&amp;1140,m_end,"&gt;"&amp;1080),INDEX(m_label,_xlfn.MAXIFS(m_row,m_teacher,J$4,m_date,($G$2+5),m_active,1,m_start,"&lt;"&amp;1140,m_end,"&gt;"&amp;1080))))))</f>
        <v/>
      </c>
      <c r="K69" s="88" t="str">
        <f aca="false">IF(OR(K$4="",MONTH(($G$2+5))&lt;&gt;MONTH($C$2)),"",IF(COUNTIFS(m_teacher,K$4,m_date,($G$2+5),m_active,1,m_start,"&lt;"&amp;1140,m_end,"&gt;"&amp;1080)=0,"",IF(COUNTIFS(m_teacher,K$4,m_date,($G$2+5),m_active,1,m_start,"&lt;"&amp;1140,m_end,"&gt;"&amp;1080)&gt;1,"충돌",HYPERLINK("#'관리자_MASTER'!D"&amp;_xlfn.MAXIFS(m_row,m_teacher,K$4,m_date,($G$2+5),m_active,1,m_start,"&lt;"&amp;1140,m_end,"&gt;"&amp;1080),INDEX(m_label,_xlfn.MAXIFS(m_row,m_teacher,K$4,m_date,($G$2+5),m_active,1,m_start,"&lt;"&amp;1140,m_end,"&gt;"&amp;1080))))))</f>
        <v/>
      </c>
      <c r="L69" s="88" t="str">
        <f aca="false">IF(OR(L$4="",MONTH(($G$2+5))&lt;&gt;MONTH($C$2)),"",IF(COUNTIFS(m_teacher,L$4,m_date,($G$2+5),m_active,1,m_start,"&lt;"&amp;1140,m_end,"&gt;"&amp;1080)=0,"",IF(COUNTIFS(m_teacher,L$4,m_date,($G$2+5),m_active,1,m_start,"&lt;"&amp;1140,m_end,"&gt;"&amp;1080)&gt;1,"충돌",HYPERLINK("#'관리자_MASTER'!D"&amp;_xlfn.MAXIFS(m_row,m_teacher,L$4,m_date,($G$2+5),m_active,1,m_start,"&lt;"&amp;1140,m_end,"&gt;"&amp;1080),INDEX(m_label,_xlfn.MAXIFS(m_row,m_teacher,L$4,m_date,($G$2+5),m_active,1,m_start,"&lt;"&amp;1140,m_end,"&gt;"&amp;1080))))))</f>
        <v/>
      </c>
      <c r="M69" s="88" t="str">
        <f aca="false">IF(OR(M$4="",MONTH(($G$2+5))&lt;&gt;MONTH($C$2)),"",IF(COUNTIFS(m_teacher,M$4,m_date,($G$2+5),m_active,1,m_start,"&lt;"&amp;1140,m_end,"&gt;"&amp;1080)=0,"",IF(COUNTIFS(m_teacher,M$4,m_date,($G$2+5),m_active,1,m_start,"&lt;"&amp;1140,m_end,"&gt;"&amp;1080)&gt;1,"충돌",HYPERLINK("#'관리자_MASTER'!D"&amp;_xlfn.MAXIFS(m_row,m_teacher,M$4,m_date,($G$2+5),m_active,1,m_start,"&lt;"&amp;1140,m_end,"&gt;"&amp;1080),INDEX(m_label,_xlfn.MAXIFS(m_row,m_teacher,M$4,m_date,($G$2+5),m_active,1,m_start,"&lt;"&amp;1140,m_end,"&gt;"&amp;1080))))))</f>
        <v/>
      </c>
      <c r="N69" s="88" t="str">
        <f aca="false">IF(OR(N$4="",MONTH(($G$2+5))&lt;&gt;MONTH($C$2)),"",IF(COUNTIFS(m_teacher,N$4,m_date,($G$2+5),m_active,1,m_start,"&lt;"&amp;1140,m_end,"&gt;"&amp;1080)=0,"",IF(COUNTIFS(m_teacher,N$4,m_date,($G$2+5),m_active,1,m_start,"&lt;"&amp;1140,m_end,"&gt;"&amp;1080)&gt;1,"충돌",HYPERLINK("#'관리자_MASTER'!D"&amp;_xlfn.MAXIFS(m_row,m_teacher,N$4,m_date,($G$2+5),m_active,1,m_start,"&lt;"&amp;1140,m_end,"&gt;"&amp;1080),INDEX(m_label,_xlfn.MAXIFS(m_row,m_teacher,N$4,m_date,($G$2+5),m_active,1,m_start,"&lt;"&amp;1140,m_end,"&gt;"&amp;1080))))))</f>
        <v/>
      </c>
      <c r="O69" s="90"/>
      <c r="P69" s="79" t="s">
        <v>100</v>
      </c>
      <c r="Q69" s="88" t="str">
        <f aca="false">IF(OR(Q$4="",MONTH(($G$2+12))&lt;&gt;MONTH($C$2)),"",IF(COUNTIFS(m_teacher,Q$4,m_date,($G$2+12),m_active,1,m_start,"&lt;"&amp;1140,m_end,"&gt;"&amp;1080)=0,"",IF(COUNTIFS(m_teacher,Q$4,m_date,($G$2+12),m_active,1,m_start,"&lt;"&amp;1140,m_end,"&gt;"&amp;1080)&gt;1,"충돌",HYPERLINK("#'관리자_MASTER'!D"&amp;_xlfn.MAXIFS(m_row,m_teacher,Q$4,m_date,($G$2+12),m_active,1,m_start,"&lt;"&amp;1140,m_end,"&gt;"&amp;1080),INDEX(m_label,_xlfn.MAXIFS(m_row,m_teacher,Q$4,m_date,($G$2+12),m_active,1,m_start,"&lt;"&amp;1140,m_end,"&gt;"&amp;1080))))))</f>
        <v/>
      </c>
      <c r="R69" s="88" t="str">
        <f aca="false">IF(OR(R$4="",MONTH(($G$2+12))&lt;&gt;MONTH($C$2)),"",IF(COUNTIFS(m_teacher,R$4,m_date,($G$2+12),m_active,1,m_start,"&lt;"&amp;1140,m_end,"&gt;"&amp;1080)=0,"",IF(COUNTIFS(m_teacher,R$4,m_date,($G$2+12),m_active,1,m_start,"&lt;"&amp;1140,m_end,"&gt;"&amp;1080)&gt;1,"충돌",HYPERLINK("#'관리자_MASTER'!D"&amp;_xlfn.MAXIFS(m_row,m_teacher,R$4,m_date,($G$2+12),m_active,1,m_start,"&lt;"&amp;1140,m_end,"&gt;"&amp;1080),INDEX(m_label,_xlfn.MAXIFS(m_row,m_teacher,R$4,m_date,($G$2+12),m_active,1,m_start,"&lt;"&amp;1140,m_end,"&gt;"&amp;1080))))))</f>
        <v/>
      </c>
      <c r="S69" s="88" t="str">
        <f aca="false">IF(OR(S$4="",MONTH(($G$2+12))&lt;&gt;MONTH($C$2)),"",IF(COUNTIFS(m_teacher,S$4,m_date,($G$2+12),m_active,1,m_start,"&lt;"&amp;1140,m_end,"&gt;"&amp;1080)=0,"",IF(COUNTIFS(m_teacher,S$4,m_date,($G$2+12),m_active,1,m_start,"&lt;"&amp;1140,m_end,"&gt;"&amp;1080)&gt;1,"충돌",HYPERLINK("#'관리자_MASTER'!D"&amp;_xlfn.MAXIFS(m_row,m_teacher,S$4,m_date,($G$2+12),m_active,1,m_start,"&lt;"&amp;1140,m_end,"&gt;"&amp;1080),INDEX(m_label,_xlfn.MAXIFS(m_row,m_teacher,S$4,m_date,($G$2+12),m_active,1,m_start,"&lt;"&amp;1140,m_end,"&gt;"&amp;1080))))))</f>
        <v/>
      </c>
      <c r="T69" s="88" t="str">
        <f aca="false">IF(OR(T$4="",MONTH(($G$2+12))&lt;&gt;MONTH($C$2)),"",IF(COUNTIFS(m_teacher,T$4,m_date,($G$2+12),m_active,1,m_start,"&lt;"&amp;1140,m_end,"&gt;"&amp;1080)=0,"",IF(COUNTIFS(m_teacher,T$4,m_date,($G$2+12),m_active,1,m_start,"&lt;"&amp;1140,m_end,"&gt;"&amp;1080)&gt;1,"충돌",HYPERLINK("#'관리자_MASTER'!D"&amp;_xlfn.MAXIFS(m_row,m_teacher,T$4,m_date,($G$2+12),m_active,1,m_start,"&lt;"&amp;1140,m_end,"&gt;"&amp;1080),INDEX(m_label,_xlfn.MAXIFS(m_row,m_teacher,T$4,m_date,($G$2+12),m_active,1,m_start,"&lt;"&amp;1140,m_end,"&gt;"&amp;1080))))))</f>
        <v/>
      </c>
      <c r="U69" s="88" t="str">
        <f aca="false">IF(OR(U$4="",MONTH(($G$2+12))&lt;&gt;MONTH($C$2)),"",IF(COUNTIFS(m_teacher,U$4,m_date,($G$2+12),m_active,1,m_start,"&lt;"&amp;1140,m_end,"&gt;"&amp;1080)=0,"",IF(COUNTIFS(m_teacher,U$4,m_date,($G$2+12),m_active,1,m_start,"&lt;"&amp;1140,m_end,"&gt;"&amp;1080)&gt;1,"충돌",HYPERLINK("#'관리자_MASTER'!D"&amp;_xlfn.MAXIFS(m_row,m_teacher,U$4,m_date,($G$2+12),m_active,1,m_start,"&lt;"&amp;1140,m_end,"&gt;"&amp;1080),INDEX(m_label,_xlfn.MAXIFS(m_row,m_teacher,U$4,m_date,($G$2+12),m_active,1,m_start,"&lt;"&amp;1140,m_end,"&gt;"&amp;1080))))))</f>
        <v/>
      </c>
      <c r="V69" s="88" t="str">
        <f aca="false">IF(OR(V$4="",MONTH(($G$2+12))&lt;&gt;MONTH($C$2)),"",IF(COUNTIFS(m_teacher,V$4,m_date,($G$2+12),m_active,1,m_start,"&lt;"&amp;1140,m_end,"&gt;"&amp;1080)=0,"",IF(COUNTIFS(m_teacher,V$4,m_date,($G$2+12),m_active,1,m_start,"&lt;"&amp;1140,m_end,"&gt;"&amp;1080)&gt;1,"충돌",HYPERLINK("#'관리자_MASTER'!D"&amp;_xlfn.MAXIFS(m_row,m_teacher,V$4,m_date,($G$2+12),m_active,1,m_start,"&lt;"&amp;1140,m_end,"&gt;"&amp;1080),INDEX(m_label,_xlfn.MAXIFS(m_row,m_teacher,V$4,m_date,($G$2+12),m_active,1,m_start,"&lt;"&amp;1140,m_end,"&gt;"&amp;1080))))))</f>
        <v/>
      </c>
      <c r="W69" s="88" t="str">
        <f aca="false">IF(OR(W$4="",MONTH(($G$2+12))&lt;&gt;MONTH($C$2)),"",IF(COUNTIFS(m_teacher,W$4,m_date,($G$2+12),m_active,1,m_start,"&lt;"&amp;1140,m_end,"&gt;"&amp;1080)=0,"",IF(COUNTIFS(m_teacher,W$4,m_date,($G$2+12),m_active,1,m_start,"&lt;"&amp;1140,m_end,"&gt;"&amp;1080)&gt;1,"충돌",HYPERLINK("#'관리자_MASTER'!D"&amp;_xlfn.MAXIFS(m_row,m_teacher,W$4,m_date,($G$2+12),m_active,1,m_start,"&lt;"&amp;1140,m_end,"&gt;"&amp;1080),INDEX(m_label,_xlfn.MAXIFS(m_row,m_teacher,W$4,m_date,($G$2+12),m_active,1,m_start,"&lt;"&amp;1140,m_end,"&gt;"&amp;1080))))))</f>
        <v/>
      </c>
      <c r="X69" s="88" t="str">
        <f aca="false">IF(OR(X$4="",MONTH(($G$2+12))&lt;&gt;MONTH($C$2)),"",IF(COUNTIFS(m_teacher,X$4,m_date,($G$2+12),m_active,1,m_start,"&lt;"&amp;1140,m_end,"&gt;"&amp;1080)=0,"",IF(COUNTIFS(m_teacher,X$4,m_date,($G$2+12),m_active,1,m_start,"&lt;"&amp;1140,m_end,"&gt;"&amp;1080)&gt;1,"충돌",HYPERLINK("#'관리자_MASTER'!D"&amp;_xlfn.MAXIFS(m_row,m_teacher,X$4,m_date,($G$2+12),m_active,1,m_start,"&lt;"&amp;1140,m_end,"&gt;"&amp;1080),INDEX(m_label,_xlfn.MAXIFS(m_row,m_teacher,X$4,m_date,($G$2+12),m_active,1,m_start,"&lt;"&amp;1140,m_end,"&gt;"&amp;1080))))))</f>
        <v/>
      </c>
      <c r="Y69" s="88" t="str">
        <f aca="false">IF(OR(Y$4="",MONTH(($G$2+12))&lt;&gt;MONTH($C$2)),"",IF(COUNTIFS(m_teacher,Y$4,m_date,($G$2+12),m_active,1,m_start,"&lt;"&amp;1140,m_end,"&gt;"&amp;1080)=0,"",IF(COUNTIFS(m_teacher,Y$4,m_date,($G$2+12),m_active,1,m_start,"&lt;"&amp;1140,m_end,"&gt;"&amp;1080)&gt;1,"충돌",HYPERLINK("#'관리자_MASTER'!D"&amp;_xlfn.MAXIFS(m_row,m_teacher,Y$4,m_date,($G$2+12),m_active,1,m_start,"&lt;"&amp;1140,m_end,"&gt;"&amp;1080),INDEX(m_label,_xlfn.MAXIFS(m_row,m_teacher,Y$4,m_date,($G$2+12),m_active,1,m_start,"&lt;"&amp;1140,m_end,"&gt;"&amp;1080))))))</f>
        <v/>
      </c>
      <c r="Z69" s="88" t="str">
        <f aca="false">IF(OR(Z$4="",MONTH(($G$2+12))&lt;&gt;MONTH($C$2)),"",IF(COUNTIFS(m_teacher,Z$4,m_date,($G$2+12),m_active,1,m_start,"&lt;"&amp;1140,m_end,"&gt;"&amp;1080)=0,"",IF(COUNTIFS(m_teacher,Z$4,m_date,($G$2+12),m_active,1,m_start,"&lt;"&amp;1140,m_end,"&gt;"&amp;1080)&gt;1,"충돌",HYPERLINK("#'관리자_MASTER'!D"&amp;_xlfn.MAXIFS(m_row,m_teacher,Z$4,m_date,($G$2+12),m_active,1,m_start,"&lt;"&amp;1140,m_end,"&gt;"&amp;1080),INDEX(m_label,_xlfn.MAXIFS(m_row,m_teacher,Z$4,m_date,($G$2+12),m_active,1,m_start,"&lt;"&amp;1140,m_end,"&gt;"&amp;1080))))))</f>
        <v/>
      </c>
      <c r="AA69" s="88" t="str">
        <f aca="false">IF(OR(AA$4="",MONTH(($G$2+12))&lt;&gt;MONTH($C$2)),"",IF(COUNTIFS(m_teacher,AA$4,m_date,($G$2+12),m_active,1,m_start,"&lt;"&amp;1140,m_end,"&gt;"&amp;1080)=0,"",IF(COUNTIFS(m_teacher,AA$4,m_date,($G$2+12),m_active,1,m_start,"&lt;"&amp;1140,m_end,"&gt;"&amp;1080)&gt;1,"충돌",HYPERLINK("#'관리자_MASTER'!D"&amp;_xlfn.MAXIFS(m_row,m_teacher,AA$4,m_date,($G$2+12),m_active,1,m_start,"&lt;"&amp;1140,m_end,"&gt;"&amp;1080),INDEX(m_label,_xlfn.MAXIFS(m_row,m_teacher,AA$4,m_date,($G$2+12),m_active,1,m_start,"&lt;"&amp;1140,m_end,"&gt;"&amp;1080))))))</f>
        <v/>
      </c>
      <c r="AB69" s="88" t="str">
        <f aca="false">IF(OR(AB$4="",MONTH(($G$2+12))&lt;&gt;MONTH($C$2)),"",IF(COUNTIFS(m_teacher,AB$4,m_date,($G$2+12),m_active,1,m_start,"&lt;"&amp;1140,m_end,"&gt;"&amp;1080)=0,"",IF(COUNTIFS(m_teacher,AB$4,m_date,($G$2+12),m_active,1,m_start,"&lt;"&amp;1140,m_end,"&gt;"&amp;1080)&gt;1,"충돌",HYPERLINK("#'관리자_MASTER'!D"&amp;_xlfn.MAXIFS(m_row,m_teacher,AB$4,m_date,($G$2+12),m_active,1,m_start,"&lt;"&amp;1140,m_end,"&gt;"&amp;1080),INDEX(m_label,_xlfn.MAXIFS(m_row,m_teacher,AB$4,m_date,($G$2+12),m_active,1,m_start,"&lt;"&amp;1140,m_end,"&gt;"&amp;1080))))))</f>
        <v/>
      </c>
      <c r="AC69" s="90"/>
      <c r="AD69" s="79" t="s">
        <v>100</v>
      </c>
      <c r="AE69" s="88" t="str">
        <f aca="false">IF(OR(AE$4="",MONTH(($G$2+19))&lt;&gt;MONTH($C$2)),"",IF(COUNTIFS(m_teacher,AE$4,m_date,($G$2+19),m_active,1,m_start,"&lt;"&amp;1140,m_end,"&gt;"&amp;1080)=0,"",IF(COUNTIFS(m_teacher,AE$4,m_date,($G$2+19),m_active,1,m_start,"&lt;"&amp;1140,m_end,"&gt;"&amp;1080)&gt;1,"충돌",HYPERLINK("#'관리자_MASTER'!D"&amp;_xlfn.MAXIFS(m_row,m_teacher,AE$4,m_date,($G$2+19),m_active,1,m_start,"&lt;"&amp;1140,m_end,"&gt;"&amp;1080),INDEX(m_label,_xlfn.MAXIFS(m_row,m_teacher,AE$4,m_date,($G$2+19),m_active,1,m_start,"&lt;"&amp;1140,m_end,"&gt;"&amp;1080))))))</f>
        <v/>
      </c>
      <c r="AF69" s="88" t="str">
        <f aca="false">IF(OR(AF$4="",MONTH(($G$2+19))&lt;&gt;MONTH($C$2)),"",IF(COUNTIFS(m_teacher,AF$4,m_date,($G$2+19),m_active,1,m_start,"&lt;"&amp;1140,m_end,"&gt;"&amp;1080)=0,"",IF(COUNTIFS(m_teacher,AF$4,m_date,($G$2+19),m_active,1,m_start,"&lt;"&amp;1140,m_end,"&gt;"&amp;1080)&gt;1,"충돌",HYPERLINK("#'관리자_MASTER'!D"&amp;_xlfn.MAXIFS(m_row,m_teacher,AF$4,m_date,($G$2+19),m_active,1,m_start,"&lt;"&amp;1140,m_end,"&gt;"&amp;1080),INDEX(m_label,_xlfn.MAXIFS(m_row,m_teacher,AF$4,m_date,($G$2+19),m_active,1,m_start,"&lt;"&amp;1140,m_end,"&gt;"&amp;1080))))))</f>
        <v/>
      </c>
      <c r="AG69" s="88" t="str">
        <f aca="false">IF(OR(AG$4="",MONTH(($G$2+19))&lt;&gt;MONTH($C$2)),"",IF(COUNTIFS(m_teacher,AG$4,m_date,($G$2+19),m_active,1,m_start,"&lt;"&amp;1140,m_end,"&gt;"&amp;1080)=0,"",IF(COUNTIFS(m_teacher,AG$4,m_date,($G$2+19),m_active,1,m_start,"&lt;"&amp;1140,m_end,"&gt;"&amp;1080)&gt;1,"충돌",HYPERLINK("#'관리자_MASTER'!D"&amp;_xlfn.MAXIFS(m_row,m_teacher,AG$4,m_date,($G$2+19),m_active,1,m_start,"&lt;"&amp;1140,m_end,"&gt;"&amp;1080),INDEX(m_label,_xlfn.MAXIFS(m_row,m_teacher,AG$4,m_date,($G$2+19),m_active,1,m_start,"&lt;"&amp;1140,m_end,"&gt;"&amp;1080))))))</f>
        <v/>
      </c>
      <c r="AH69" s="88" t="str">
        <f aca="false">IF(OR(AH$4="",MONTH(($G$2+19))&lt;&gt;MONTH($C$2)),"",IF(COUNTIFS(m_teacher,AH$4,m_date,($G$2+19),m_active,1,m_start,"&lt;"&amp;1140,m_end,"&gt;"&amp;1080)=0,"",IF(COUNTIFS(m_teacher,AH$4,m_date,($G$2+19),m_active,1,m_start,"&lt;"&amp;1140,m_end,"&gt;"&amp;1080)&gt;1,"충돌",HYPERLINK("#'관리자_MASTER'!D"&amp;_xlfn.MAXIFS(m_row,m_teacher,AH$4,m_date,($G$2+19),m_active,1,m_start,"&lt;"&amp;1140,m_end,"&gt;"&amp;1080),INDEX(m_label,_xlfn.MAXIFS(m_row,m_teacher,AH$4,m_date,($G$2+19),m_active,1,m_start,"&lt;"&amp;1140,m_end,"&gt;"&amp;1080))))))</f>
        <v/>
      </c>
      <c r="AI69" s="88" t="str">
        <f aca="false">IF(OR(AI$4="",MONTH(($G$2+19))&lt;&gt;MONTH($C$2)),"",IF(COUNTIFS(m_teacher,AI$4,m_date,($G$2+19),m_active,1,m_start,"&lt;"&amp;1140,m_end,"&gt;"&amp;1080)=0,"",IF(COUNTIFS(m_teacher,AI$4,m_date,($G$2+19),m_active,1,m_start,"&lt;"&amp;1140,m_end,"&gt;"&amp;1080)&gt;1,"충돌",HYPERLINK("#'관리자_MASTER'!D"&amp;_xlfn.MAXIFS(m_row,m_teacher,AI$4,m_date,($G$2+19),m_active,1,m_start,"&lt;"&amp;1140,m_end,"&gt;"&amp;1080),INDEX(m_label,_xlfn.MAXIFS(m_row,m_teacher,AI$4,m_date,($G$2+19),m_active,1,m_start,"&lt;"&amp;1140,m_end,"&gt;"&amp;1080))))))</f>
        <v/>
      </c>
      <c r="AJ69" s="88" t="str">
        <f aca="false">IF(OR(AJ$4="",MONTH(($G$2+19))&lt;&gt;MONTH($C$2)),"",IF(COUNTIFS(m_teacher,AJ$4,m_date,($G$2+19),m_active,1,m_start,"&lt;"&amp;1140,m_end,"&gt;"&amp;1080)=0,"",IF(COUNTIFS(m_teacher,AJ$4,m_date,($G$2+19),m_active,1,m_start,"&lt;"&amp;1140,m_end,"&gt;"&amp;1080)&gt;1,"충돌",HYPERLINK("#'관리자_MASTER'!D"&amp;_xlfn.MAXIFS(m_row,m_teacher,AJ$4,m_date,($G$2+19),m_active,1,m_start,"&lt;"&amp;1140,m_end,"&gt;"&amp;1080),INDEX(m_label,_xlfn.MAXIFS(m_row,m_teacher,AJ$4,m_date,($G$2+19),m_active,1,m_start,"&lt;"&amp;1140,m_end,"&gt;"&amp;1080))))))</f>
        <v/>
      </c>
      <c r="AK69" s="88" t="str">
        <f aca="false">IF(OR(AK$4="",MONTH(($G$2+19))&lt;&gt;MONTH($C$2)),"",IF(COUNTIFS(m_teacher,AK$4,m_date,($G$2+19),m_active,1,m_start,"&lt;"&amp;1140,m_end,"&gt;"&amp;1080)=0,"",IF(COUNTIFS(m_teacher,AK$4,m_date,($G$2+19),m_active,1,m_start,"&lt;"&amp;1140,m_end,"&gt;"&amp;1080)&gt;1,"충돌",HYPERLINK("#'관리자_MASTER'!D"&amp;_xlfn.MAXIFS(m_row,m_teacher,AK$4,m_date,($G$2+19),m_active,1,m_start,"&lt;"&amp;1140,m_end,"&gt;"&amp;1080),INDEX(m_label,_xlfn.MAXIFS(m_row,m_teacher,AK$4,m_date,($G$2+19),m_active,1,m_start,"&lt;"&amp;1140,m_end,"&gt;"&amp;1080))))))</f>
        <v/>
      </c>
      <c r="AL69" s="88" t="str">
        <f aca="false">IF(OR(AL$4="",MONTH(($G$2+19))&lt;&gt;MONTH($C$2)),"",IF(COUNTIFS(m_teacher,AL$4,m_date,($G$2+19),m_active,1,m_start,"&lt;"&amp;1140,m_end,"&gt;"&amp;1080)=0,"",IF(COUNTIFS(m_teacher,AL$4,m_date,($G$2+19),m_active,1,m_start,"&lt;"&amp;1140,m_end,"&gt;"&amp;1080)&gt;1,"충돌",HYPERLINK("#'관리자_MASTER'!D"&amp;_xlfn.MAXIFS(m_row,m_teacher,AL$4,m_date,($G$2+19),m_active,1,m_start,"&lt;"&amp;1140,m_end,"&gt;"&amp;1080),INDEX(m_label,_xlfn.MAXIFS(m_row,m_teacher,AL$4,m_date,($G$2+19),m_active,1,m_start,"&lt;"&amp;1140,m_end,"&gt;"&amp;1080))))))</f>
        <v/>
      </c>
      <c r="AM69" s="88" t="str">
        <f aca="false">IF(OR(AM$4="",MONTH(($G$2+19))&lt;&gt;MONTH($C$2)),"",IF(COUNTIFS(m_teacher,AM$4,m_date,($G$2+19),m_active,1,m_start,"&lt;"&amp;1140,m_end,"&gt;"&amp;1080)=0,"",IF(COUNTIFS(m_teacher,AM$4,m_date,($G$2+19),m_active,1,m_start,"&lt;"&amp;1140,m_end,"&gt;"&amp;1080)&gt;1,"충돌",HYPERLINK("#'관리자_MASTER'!D"&amp;_xlfn.MAXIFS(m_row,m_teacher,AM$4,m_date,($G$2+19),m_active,1,m_start,"&lt;"&amp;1140,m_end,"&gt;"&amp;1080),INDEX(m_label,_xlfn.MAXIFS(m_row,m_teacher,AM$4,m_date,($G$2+19),m_active,1,m_start,"&lt;"&amp;1140,m_end,"&gt;"&amp;1080))))))</f>
        <v/>
      </c>
      <c r="AN69" s="88" t="str">
        <f aca="false">IF(OR(AN$4="",MONTH(($G$2+19))&lt;&gt;MONTH($C$2)),"",IF(COUNTIFS(m_teacher,AN$4,m_date,($G$2+19),m_active,1,m_start,"&lt;"&amp;1140,m_end,"&gt;"&amp;1080)=0,"",IF(COUNTIFS(m_teacher,AN$4,m_date,($G$2+19),m_active,1,m_start,"&lt;"&amp;1140,m_end,"&gt;"&amp;1080)&gt;1,"충돌",HYPERLINK("#'관리자_MASTER'!D"&amp;_xlfn.MAXIFS(m_row,m_teacher,AN$4,m_date,($G$2+19),m_active,1,m_start,"&lt;"&amp;1140,m_end,"&gt;"&amp;1080),INDEX(m_label,_xlfn.MAXIFS(m_row,m_teacher,AN$4,m_date,($G$2+19),m_active,1,m_start,"&lt;"&amp;1140,m_end,"&gt;"&amp;1080))))))</f>
        <v/>
      </c>
      <c r="AO69" s="88" t="str">
        <f aca="false">IF(OR(AO$4="",MONTH(($G$2+19))&lt;&gt;MONTH($C$2)),"",IF(COUNTIFS(m_teacher,AO$4,m_date,($G$2+19),m_active,1,m_start,"&lt;"&amp;1140,m_end,"&gt;"&amp;1080)=0,"",IF(COUNTIFS(m_teacher,AO$4,m_date,($G$2+19),m_active,1,m_start,"&lt;"&amp;1140,m_end,"&gt;"&amp;1080)&gt;1,"충돌",HYPERLINK("#'관리자_MASTER'!D"&amp;_xlfn.MAXIFS(m_row,m_teacher,AO$4,m_date,($G$2+19),m_active,1,m_start,"&lt;"&amp;1140,m_end,"&gt;"&amp;1080),INDEX(m_label,_xlfn.MAXIFS(m_row,m_teacher,AO$4,m_date,($G$2+19),m_active,1,m_start,"&lt;"&amp;1140,m_end,"&gt;"&amp;1080))))))</f>
        <v/>
      </c>
      <c r="AP69" s="88" t="str">
        <f aca="false">IF(OR(AP$4="",MONTH(($G$2+19))&lt;&gt;MONTH($C$2)),"",IF(COUNTIFS(m_teacher,AP$4,m_date,($G$2+19),m_active,1,m_start,"&lt;"&amp;1140,m_end,"&gt;"&amp;1080)=0,"",IF(COUNTIFS(m_teacher,AP$4,m_date,($G$2+19),m_active,1,m_start,"&lt;"&amp;1140,m_end,"&gt;"&amp;1080)&gt;1,"충돌",HYPERLINK("#'관리자_MASTER'!D"&amp;_xlfn.MAXIFS(m_row,m_teacher,AP$4,m_date,($G$2+19),m_active,1,m_start,"&lt;"&amp;1140,m_end,"&gt;"&amp;1080),INDEX(m_label,_xlfn.MAXIFS(m_row,m_teacher,AP$4,m_date,($G$2+19),m_active,1,m_start,"&lt;"&amp;1140,m_end,"&gt;"&amp;1080))))))</f>
        <v/>
      </c>
      <c r="AQ69" s="90"/>
      <c r="AR69" s="79" t="s">
        <v>100</v>
      </c>
      <c r="AS69" s="88" t="str">
        <f aca="false">IF(OR(AS$4="",MONTH(($G$2+26))&lt;&gt;MONTH($C$2)),"",IF(COUNTIFS(m_teacher,AS$4,m_date,($G$2+26),m_active,1,m_start,"&lt;"&amp;1140,m_end,"&gt;"&amp;1080)=0,"",IF(COUNTIFS(m_teacher,AS$4,m_date,($G$2+26),m_active,1,m_start,"&lt;"&amp;1140,m_end,"&gt;"&amp;1080)&gt;1,"충돌",HYPERLINK("#'관리자_MASTER'!D"&amp;_xlfn.MAXIFS(m_row,m_teacher,AS$4,m_date,($G$2+26),m_active,1,m_start,"&lt;"&amp;1140,m_end,"&gt;"&amp;1080),INDEX(m_label,_xlfn.MAXIFS(m_row,m_teacher,AS$4,m_date,($G$2+26),m_active,1,m_start,"&lt;"&amp;1140,m_end,"&gt;"&amp;1080))))))</f>
        <v/>
      </c>
      <c r="AT69" s="88" t="str">
        <f aca="false">IF(OR(AT$4="",MONTH(($G$2+26))&lt;&gt;MONTH($C$2)),"",IF(COUNTIFS(m_teacher,AT$4,m_date,($G$2+26),m_active,1,m_start,"&lt;"&amp;1140,m_end,"&gt;"&amp;1080)=0,"",IF(COUNTIFS(m_teacher,AT$4,m_date,($G$2+26),m_active,1,m_start,"&lt;"&amp;1140,m_end,"&gt;"&amp;1080)&gt;1,"충돌",HYPERLINK("#'관리자_MASTER'!D"&amp;_xlfn.MAXIFS(m_row,m_teacher,AT$4,m_date,($G$2+26),m_active,1,m_start,"&lt;"&amp;1140,m_end,"&gt;"&amp;1080),INDEX(m_label,_xlfn.MAXIFS(m_row,m_teacher,AT$4,m_date,($G$2+26),m_active,1,m_start,"&lt;"&amp;1140,m_end,"&gt;"&amp;1080))))))</f>
        <v/>
      </c>
      <c r="AU69" s="88" t="str">
        <f aca="false">IF(OR(AU$4="",MONTH(($G$2+26))&lt;&gt;MONTH($C$2)),"",IF(COUNTIFS(m_teacher,AU$4,m_date,($G$2+26),m_active,1,m_start,"&lt;"&amp;1140,m_end,"&gt;"&amp;1080)=0,"",IF(COUNTIFS(m_teacher,AU$4,m_date,($G$2+26),m_active,1,m_start,"&lt;"&amp;1140,m_end,"&gt;"&amp;1080)&gt;1,"충돌",HYPERLINK("#'관리자_MASTER'!D"&amp;_xlfn.MAXIFS(m_row,m_teacher,AU$4,m_date,($G$2+26),m_active,1,m_start,"&lt;"&amp;1140,m_end,"&gt;"&amp;1080),INDEX(m_label,_xlfn.MAXIFS(m_row,m_teacher,AU$4,m_date,($G$2+26),m_active,1,m_start,"&lt;"&amp;1140,m_end,"&gt;"&amp;1080))))))</f>
        <v/>
      </c>
      <c r="AV69" s="88" t="str">
        <f aca="false">IF(OR(AV$4="",MONTH(($G$2+26))&lt;&gt;MONTH($C$2)),"",IF(COUNTIFS(m_teacher,AV$4,m_date,($G$2+26),m_active,1,m_start,"&lt;"&amp;1140,m_end,"&gt;"&amp;1080)=0,"",IF(COUNTIFS(m_teacher,AV$4,m_date,($G$2+26),m_active,1,m_start,"&lt;"&amp;1140,m_end,"&gt;"&amp;1080)&gt;1,"충돌",HYPERLINK("#'관리자_MASTER'!D"&amp;_xlfn.MAXIFS(m_row,m_teacher,AV$4,m_date,($G$2+26),m_active,1,m_start,"&lt;"&amp;1140,m_end,"&gt;"&amp;1080),INDEX(m_label,_xlfn.MAXIFS(m_row,m_teacher,AV$4,m_date,($G$2+26),m_active,1,m_start,"&lt;"&amp;1140,m_end,"&gt;"&amp;1080))))))</f>
        <v/>
      </c>
      <c r="AW69" s="88" t="str">
        <f aca="false">IF(OR(AW$4="",MONTH(($G$2+26))&lt;&gt;MONTH($C$2)),"",IF(COUNTIFS(m_teacher,AW$4,m_date,($G$2+26),m_active,1,m_start,"&lt;"&amp;1140,m_end,"&gt;"&amp;1080)=0,"",IF(COUNTIFS(m_teacher,AW$4,m_date,($G$2+26),m_active,1,m_start,"&lt;"&amp;1140,m_end,"&gt;"&amp;1080)&gt;1,"충돌",HYPERLINK("#'관리자_MASTER'!D"&amp;_xlfn.MAXIFS(m_row,m_teacher,AW$4,m_date,($G$2+26),m_active,1,m_start,"&lt;"&amp;1140,m_end,"&gt;"&amp;1080),INDEX(m_label,_xlfn.MAXIFS(m_row,m_teacher,AW$4,m_date,($G$2+26),m_active,1,m_start,"&lt;"&amp;1140,m_end,"&gt;"&amp;1080))))))</f>
        <v/>
      </c>
      <c r="AX69" s="88" t="str">
        <f aca="false">IF(OR(AX$4="",MONTH(($G$2+26))&lt;&gt;MONTH($C$2)),"",IF(COUNTIFS(m_teacher,AX$4,m_date,($G$2+26),m_active,1,m_start,"&lt;"&amp;1140,m_end,"&gt;"&amp;1080)=0,"",IF(COUNTIFS(m_teacher,AX$4,m_date,($G$2+26),m_active,1,m_start,"&lt;"&amp;1140,m_end,"&gt;"&amp;1080)&gt;1,"충돌",HYPERLINK("#'관리자_MASTER'!D"&amp;_xlfn.MAXIFS(m_row,m_teacher,AX$4,m_date,($G$2+26),m_active,1,m_start,"&lt;"&amp;1140,m_end,"&gt;"&amp;1080),INDEX(m_label,_xlfn.MAXIFS(m_row,m_teacher,AX$4,m_date,($G$2+26),m_active,1,m_start,"&lt;"&amp;1140,m_end,"&gt;"&amp;1080))))))</f>
        <v/>
      </c>
      <c r="AY69" s="88" t="str">
        <f aca="false">IF(OR(AY$4="",MONTH(($G$2+26))&lt;&gt;MONTH($C$2)),"",IF(COUNTIFS(m_teacher,AY$4,m_date,($G$2+26),m_active,1,m_start,"&lt;"&amp;1140,m_end,"&gt;"&amp;1080)=0,"",IF(COUNTIFS(m_teacher,AY$4,m_date,($G$2+26),m_active,1,m_start,"&lt;"&amp;1140,m_end,"&gt;"&amp;1080)&gt;1,"충돌",HYPERLINK("#'관리자_MASTER'!D"&amp;_xlfn.MAXIFS(m_row,m_teacher,AY$4,m_date,($G$2+26),m_active,1,m_start,"&lt;"&amp;1140,m_end,"&gt;"&amp;1080),INDEX(m_label,_xlfn.MAXIFS(m_row,m_teacher,AY$4,m_date,($G$2+26),m_active,1,m_start,"&lt;"&amp;1140,m_end,"&gt;"&amp;1080))))))</f>
        <v/>
      </c>
      <c r="AZ69" s="88" t="str">
        <f aca="false">IF(OR(AZ$4="",MONTH(($G$2+26))&lt;&gt;MONTH($C$2)),"",IF(COUNTIFS(m_teacher,AZ$4,m_date,($G$2+26),m_active,1,m_start,"&lt;"&amp;1140,m_end,"&gt;"&amp;1080)=0,"",IF(COUNTIFS(m_teacher,AZ$4,m_date,($G$2+26),m_active,1,m_start,"&lt;"&amp;1140,m_end,"&gt;"&amp;1080)&gt;1,"충돌",HYPERLINK("#'관리자_MASTER'!D"&amp;_xlfn.MAXIFS(m_row,m_teacher,AZ$4,m_date,($G$2+26),m_active,1,m_start,"&lt;"&amp;1140,m_end,"&gt;"&amp;1080),INDEX(m_label,_xlfn.MAXIFS(m_row,m_teacher,AZ$4,m_date,($G$2+26),m_active,1,m_start,"&lt;"&amp;1140,m_end,"&gt;"&amp;1080))))))</f>
        <v/>
      </c>
      <c r="BA69" s="88" t="str">
        <f aca="false">IF(OR(BA$4="",MONTH(($G$2+26))&lt;&gt;MONTH($C$2)),"",IF(COUNTIFS(m_teacher,BA$4,m_date,($G$2+26),m_active,1,m_start,"&lt;"&amp;1140,m_end,"&gt;"&amp;1080)=0,"",IF(COUNTIFS(m_teacher,BA$4,m_date,($G$2+26),m_active,1,m_start,"&lt;"&amp;1140,m_end,"&gt;"&amp;1080)&gt;1,"충돌",HYPERLINK("#'관리자_MASTER'!D"&amp;_xlfn.MAXIFS(m_row,m_teacher,BA$4,m_date,($G$2+26),m_active,1,m_start,"&lt;"&amp;1140,m_end,"&gt;"&amp;1080),INDEX(m_label,_xlfn.MAXIFS(m_row,m_teacher,BA$4,m_date,($G$2+26),m_active,1,m_start,"&lt;"&amp;1140,m_end,"&gt;"&amp;1080))))))</f>
        <v/>
      </c>
      <c r="BB69" s="88" t="str">
        <f aca="false">IF(OR(BB$4="",MONTH(($G$2+26))&lt;&gt;MONTH($C$2)),"",IF(COUNTIFS(m_teacher,BB$4,m_date,($G$2+26),m_active,1,m_start,"&lt;"&amp;1140,m_end,"&gt;"&amp;1080)=0,"",IF(COUNTIFS(m_teacher,BB$4,m_date,($G$2+26),m_active,1,m_start,"&lt;"&amp;1140,m_end,"&gt;"&amp;1080)&gt;1,"충돌",HYPERLINK("#'관리자_MASTER'!D"&amp;_xlfn.MAXIFS(m_row,m_teacher,BB$4,m_date,($G$2+26),m_active,1,m_start,"&lt;"&amp;1140,m_end,"&gt;"&amp;1080),INDEX(m_label,_xlfn.MAXIFS(m_row,m_teacher,BB$4,m_date,($G$2+26),m_active,1,m_start,"&lt;"&amp;1140,m_end,"&gt;"&amp;1080))))))</f>
        <v/>
      </c>
      <c r="BC69" s="88" t="str">
        <f aca="false">IF(OR(BC$4="",MONTH(($G$2+26))&lt;&gt;MONTH($C$2)),"",IF(COUNTIFS(m_teacher,BC$4,m_date,($G$2+26),m_active,1,m_start,"&lt;"&amp;1140,m_end,"&gt;"&amp;1080)=0,"",IF(COUNTIFS(m_teacher,BC$4,m_date,($G$2+26),m_active,1,m_start,"&lt;"&amp;1140,m_end,"&gt;"&amp;1080)&gt;1,"충돌",HYPERLINK("#'관리자_MASTER'!D"&amp;_xlfn.MAXIFS(m_row,m_teacher,BC$4,m_date,($G$2+26),m_active,1,m_start,"&lt;"&amp;1140,m_end,"&gt;"&amp;1080),INDEX(m_label,_xlfn.MAXIFS(m_row,m_teacher,BC$4,m_date,($G$2+26),m_active,1,m_start,"&lt;"&amp;1140,m_end,"&gt;"&amp;1080))))))</f>
        <v/>
      </c>
      <c r="BD69" s="88" t="str">
        <f aca="false">IF(OR(BD$4="",MONTH(($G$2+26))&lt;&gt;MONTH($C$2)),"",IF(COUNTIFS(m_teacher,BD$4,m_date,($G$2+26),m_active,1,m_start,"&lt;"&amp;1140,m_end,"&gt;"&amp;1080)=0,"",IF(COUNTIFS(m_teacher,BD$4,m_date,($G$2+26),m_active,1,m_start,"&lt;"&amp;1140,m_end,"&gt;"&amp;1080)&gt;1,"충돌",HYPERLINK("#'관리자_MASTER'!D"&amp;_xlfn.MAXIFS(m_row,m_teacher,BD$4,m_date,($G$2+26),m_active,1,m_start,"&lt;"&amp;1140,m_end,"&gt;"&amp;1080),INDEX(m_label,_xlfn.MAXIFS(m_row,m_teacher,BD$4,m_date,($G$2+26),m_active,1,m_start,"&lt;"&amp;1140,m_end,"&gt;"&amp;1080))))))</f>
        <v/>
      </c>
      <c r="BE69" s="90"/>
      <c r="BF69" s="79" t="s">
        <v>100</v>
      </c>
      <c r="BG69" s="88" t="str">
        <f aca="false">IF(OR(BG$4="",MONTH(($G$2+33))&lt;&gt;MONTH($C$2)),"",IF(COUNTIFS(m_teacher,BG$4,m_date,($G$2+33),m_active,1,m_start,"&lt;"&amp;1140,m_end,"&gt;"&amp;1080)=0,"",IF(COUNTIFS(m_teacher,BG$4,m_date,($G$2+33),m_active,1,m_start,"&lt;"&amp;1140,m_end,"&gt;"&amp;1080)&gt;1,"충돌",HYPERLINK("#'관리자_MASTER'!D"&amp;_xlfn.MAXIFS(m_row,m_teacher,BG$4,m_date,($G$2+33),m_active,1,m_start,"&lt;"&amp;1140,m_end,"&gt;"&amp;1080),INDEX(m_label,_xlfn.MAXIFS(m_row,m_teacher,BG$4,m_date,($G$2+33),m_active,1,m_start,"&lt;"&amp;1140,m_end,"&gt;"&amp;1080))))))</f>
        <v/>
      </c>
      <c r="BH69" s="88" t="str">
        <f aca="false">IF(OR(BH$4="",MONTH(($G$2+33))&lt;&gt;MONTH($C$2)),"",IF(COUNTIFS(m_teacher,BH$4,m_date,($G$2+33),m_active,1,m_start,"&lt;"&amp;1140,m_end,"&gt;"&amp;1080)=0,"",IF(COUNTIFS(m_teacher,BH$4,m_date,($G$2+33),m_active,1,m_start,"&lt;"&amp;1140,m_end,"&gt;"&amp;1080)&gt;1,"충돌",HYPERLINK("#'관리자_MASTER'!D"&amp;_xlfn.MAXIFS(m_row,m_teacher,BH$4,m_date,($G$2+33),m_active,1,m_start,"&lt;"&amp;1140,m_end,"&gt;"&amp;1080),INDEX(m_label,_xlfn.MAXIFS(m_row,m_teacher,BH$4,m_date,($G$2+33),m_active,1,m_start,"&lt;"&amp;1140,m_end,"&gt;"&amp;1080))))))</f>
        <v/>
      </c>
      <c r="BI69" s="88" t="str">
        <f aca="false">IF(OR(BI$4="",MONTH(($G$2+33))&lt;&gt;MONTH($C$2)),"",IF(COUNTIFS(m_teacher,BI$4,m_date,($G$2+33),m_active,1,m_start,"&lt;"&amp;1140,m_end,"&gt;"&amp;1080)=0,"",IF(COUNTIFS(m_teacher,BI$4,m_date,($G$2+33),m_active,1,m_start,"&lt;"&amp;1140,m_end,"&gt;"&amp;1080)&gt;1,"충돌",HYPERLINK("#'관리자_MASTER'!D"&amp;_xlfn.MAXIFS(m_row,m_teacher,BI$4,m_date,($G$2+33),m_active,1,m_start,"&lt;"&amp;1140,m_end,"&gt;"&amp;1080),INDEX(m_label,_xlfn.MAXIFS(m_row,m_teacher,BI$4,m_date,($G$2+33),m_active,1,m_start,"&lt;"&amp;1140,m_end,"&gt;"&amp;1080))))))</f>
        <v/>
      </c>
      <c r="BJ69" s="88" t="str">
        <f aca="false">IF(OR(BJ$4="",MONTH(($G$2+33))&lt;&gt;MONTH($C$2)),"",IF(COUNTIFS(m_teacher,BJ$4,m_date,($G$2+33),m_active,1,m_start,"&lt;"&amp;1140,m_end,"&gt;"&amp;1080)=0,"",IF(COUNTIFS(m_teacher,BJ$4,m_date,($G$2+33),m_active,1,m_start,"&lt;"&amp;1140,m_end,"&gt;"&amp;1080)&gt;1,"충돌",HYPERLINK("#'관리자_MASTER'!D"&amp;_xlfn.MAXIFS(m_row,m_teacher,BJ$4,m_date,($G$2+33),m_active,1,m_start,"&lt;"&amp;1140,m_end,"&gt;"&amp;1080),INDEX(m_label,_xlfn.MAXIFS(m_row,m_teacher,BJ$4,m_date,($G$2+33),m_active,1,m_start,"&lt;"&amp;1140,m_end,"&gt;"&amp;1080))))))</f>
        <v/>
      </c>
      <c r="BK69" s="88" t="str">
        <f aca="false">IF(OR(BK$4="",MONTH(($G$2+33))&lt;&gt;MONTH($C$2)),"",IF(COUNTIFS(m_teacher,BK$4,m_date,($G$2+33),m_active,1,m_start,"&lt;"&amp;1140,m_end,"&gt;"&amp;1080)=0,"",IF(COUNTIFS(m_teacher,BK$4,m_date,($G$2+33),m_active,1,m_start,"&lt;"&amp;1140,m_end,"&gt;"&amp;1080)&gt;1,"충돌",HYPERLINK("#'관리자_MASTER'!D"&amp;_xlfn.MAXIFS(m_row,m_teacher,BK$4,m_date,($G$2+33),m_active,1,m_start,"&lt;"&amp;1140,m_end,"&gt;"&amp;1080),INDEX(m_label,_xlfn.MAXIFS(m_row,m_teacher,BK$4,m_date,($G$2+33),m_active,1,m_start,"&lt;"&amp;1140,m_end,"&gt;"&amp;1080))))))</f>
        <v/>
      </c>
      <c r="BL69" s="88" t="str">
        <f aca="false">IF(OR(BL$4="",MONTH(($G$2+33))&lt;&gt;MONTH($C$2)),"",IF(COUNTIFS(m_teacher,BL$4,m_date,($G$2+33),m_active,1,m_start,"&lt;"&amp;1140,m_end,"&gt;"&amp;1080)=0,"",IF(COUNTIFS(m_teacher,BL$4,m_date,($G$2+33),m_active,1,m_start,"&lt;"&amp;1140,m_end,"&gt;"&amp;1080)&gt;1,"충돌",HYPERLINK("#'관리자_MASTER'!D"&amp;_xlfn.MAXIFS(m_row,m_teacher,BL$4,m_date,($G$2+33),m_active,1,m_start,"&lt;"&amp;1140,m_end,"&gt;"&amp;1080),INDEX(m_label,_xlfn.MAXIFS(m_row,m_teacher,BL$4,m_date,($G$2+33),m_active,1,m_start,"&lt;"&amp;1140,m_end,"&gt;"&amp;1080))))))</f>
        <v/>
      </c>
      <c r="BM69" s="88" t="str">
        <f aca="false">IF(OR(BM$4="",MONTH(($G$2+33))&lt;&gt;MONTH($C$2)),"",IF(COUNTIFS(m_teacher,BM$4,m_date,($G$2+33),m_active,1,m_start,"&lt;"&amp;1140,m_end,"&gt;"&amp;1080)=0,"",IF(COUNTIFS(m_teacher,BM$4,m_date,($G$2+33),m_active,1,m_start,"&lt;"&amp;1140,m_end,"&gt;"&amp;1080)&gt;1,"충돌",HYPERLINK("#'관리자_MASTER'!D"&amp;_xlfn.MAXIFS(m_row,m_teacher,BM$4,m_date,($G$2+33),m_active,1,m_start,"&lt;"&amp;1140,m_end,"&gt;"&amp;1080),INDEX(m_label,_xlfn.MAXIFS(m_row,m_teacher,BM$4,m_date,($G$2+33),m_active,1,m_start,"&lt;"&amp;1140,m_end,"&gt;"&amp;1080))))))</f>
        <v/>
      </c>
      <c r="BN69" s="88" t="str">
        <f aca="false">IF(OR(BN$4="",MONTH(($G$2+33))&lt;&gt;MONTH($C$2)),"",IF(COUNTIFS(m_teacher,BN$4,m_date,($G$2+33),m_active,1,m_start,"&lt;"&amp;1140,m_end,"&gt;"&amp;1080)=0,"",IF(COUNTIFS(m_teacher,BN$4,m_date,($G$2+33),m_active,1,m_start,"&lt;"&amp;1140,m_end,"&gt;"&amp;1080)&gt;1,"충돌",HYPERLINK("#'관리자_MASTER'!D"&amp;_xlfn.MAXIFS(m_row,m_teacher,BN$4,m_date,($G$2+33),m_active,1,m_start,"&lt;"&amp;1140,m_end,"&gt;"&amp;1080),INDEX(m_label,_xlfn.MAXIFS(m_row,m_teacher,BN$4,m_date,($G$2+33),m_active,1,m_start,"&lt;"&amp;1140,m_end,"&gt;"&amp;1080))))))</f>
        <v/>
      </c>
      <c r="BO69" s="88" t="str">
        <f aca="false">IF(OR(BO$4="",MONTH(($G$2+33))&lt;&gt;MONTH($C$2)),"",IF(COUNTIFS(m_teacher,BO$4,m_date,($G$2+33),m_active,1,m_start,"&lt;"&amp;1140,m_end,"&gt;"&amp;1080)=0,"",IF(COUNTIFS(m_teacher,BO$4,m_date,($G$2+33),m_active,1,m_start,"&lt;"&amp;1140,m_end,"&gt;"&amp;1080)&gt;1,"충돌",HYPERLINK("#'관리자_MASTER'!D"&amp;_xlfn.MAXIFS(m_row,m_teacher,BO$4,m_date,($G$2+33),m_active,1,m_start,"&lt;"&amp;1140,m_end,"&gt;"&amp;1080),INDEX(m_label,_xlfn.MAXIFS(m_row,m_teacher,BO$4,m_date,($G$2+33),m_active,1,m_start,"&lt;"&amp;1140,m_end,"&gt;"&amp;1080))))))</f>
        <v/>
      </c>
      <c r="BP69" s="88" t="str">
        <f aca="false">IF(OR(BP$4="",MONTH(($G$2+33))&lt;&gt;MONTH($C$2)),"",IF(COUNTIFS(m_teacher,BP$4,m_date,($G$2+33),m_active,1,m_start,"&lt;"&amp;1140,m_end,"&gt;"&amp;1080)=0,"",IF(COUNTIFS(m_teacher,BP$4,m_date,($G$2+33),m_active,1,m_start,"&lt;"&amp;1140,m_end,"&gt;"&amp;1080)&gt;1,"충돌",HYPERLINK("#'관리자_MASTER'!D"&amp;_xlfn.MAXIFS(m_row,m_teacher,BP$4,m_date,($G$2+33),m_active,1,m_start,"&lt;"&amp;1140,m_end,"&gt;"&amp;1080),INDEX(m_label,_xlfn.MAXIFS(m_row,m_teacher,BP$4,m_date,($G$2+33),m_active,1,m_start,"&lt;"&amp;1140,m_end,"&gt;"&amp;1080))))))</f>
        <v/>
      </c>
      <c r="BQ69" s="88" t="str">
        <f aca="false">IF(OR(BQ$4="",MONTH(($G$2+33))&lt;&gt;MONTH($C$2)),"",IF(COUNTIFS(m_teacher,BQ$4,m_date,($G$2+33),m_active,1,m_start,"&lt;"&amp;1140,m_end,"&gt;"&amp;1080)=0,"",IF(COUNTIFS(m_teacher,BQ$4,m_date,($G$2+33),m_active,1,m_start,"&lt;"&amp;1140,m_end,"&gt;"&amp;1080)&gt;1,"충돌",HYPERLINK("#'관리자_MASTER'!D"&amp;_xlfn.MAXIFS(m_row,m_teacher,BQ$4,m_date,($G$2+33),m_active,1,m_start,"&lt;"&amp;1140,m_end,"&gt;"&amp;1080),INDEX(m_label,_xlfn.MAXIFS(m_row,m_teacher,BQ$4,m_date,($G$2+33),m_active,1,m_start,"&lt;"&amp;1140,m_end,"&gt;"&amp;1080))))))</f>
        <v/>
      </c>
      <c r="BR69" s="88" t="str">
        <f aca="false">IF(OR(BR$4="",MONTH(($G$2+33))&lt;&gt;MONTH($C$2)),"",IF(COUNTIFS(m_teacher,BR$4,m_date,($G$2+33),m_active,1,m_start,"&lt;"&amp;1140,m_end,"&gt;"&amp;1080)=0,"",IF(COUNTIFS(m_teacher,BR$4,m_date,($G$2+33),m_active,1,m_start,"&lt;"&amp;1140,m_end,"&gt;"&amp;1080)&gt;1,"충돌",HYPERLINK("#'관리자_MASTER'!D"&amp;_xlfn.MAXIFS(m_row,m_teacher,BR$4,m_date,($G$2+33),m_active,1,m_start,"&lt;"&amp;1140,m_end,"&gt;"&amp;1080),INDEX(m_label,_xlfn.MAXIFS(m_row,m_teacher,BR$4,m_date,($G$2+33),m_active,1,m_start,"&lt;"&amp;1140,m_end,"&gt;"&amp;1080))))))</f>
        <v/>
      </c>
    </row>
    <row r="70" customFormat="false" ht="19.5" hidden="false" customHeight="true" outlineLevel="0" collapsed="false">
      <c r="A70" s="90"/>
      <c r="B70" s="85" t="s">
        <v>101</v>
      </c>
      <c r="C70" s="89" t="str">
        <f aca="false">IF(OR(C$4="",MONTH(($G$2+5))&lt;&gt;MONTH($C$2)),"",IF(COUNTIFS(m_teacher,C$4,m_date,($G$2+5),m_active,1,m_start,"&lt;"&amp;1440,m_end,"&gt;"&amp;1140)=0,"",IF(COUNTIFS(m_teacher,C$4,m_date,($G$2+5),m_active,1,m_start,"&lt;"&amp;1440,m_end,"&gt;"&amp;1140)&gt;1,"충돌",HYPERLINK("#'관리자_MASTER'!D"&amp;_xlfn.MAXIFS(m_row,m_teacher,C$4,m_date,($G$2+5),m_active,1,m_start,"&lt;"&amp;1440,m_end,"&gt;"&amp;1140),INDEX(m_label,_xlfn.MAXIFS(m_row,m_teacher,C$4,m_date,($G$2+5),m_active,1,m_start,"&lt;"&amp;1440,m_end,"&gt;"&amp;1140))))))</f>
        <v/>
      </c>
      <c r="D70" s="89" t="str">
        <f aca="false">IF(OR(D$4="",MONTH(($G$2+5))&lt;&gt;MONTH($C$2)),"",IF(COUNTIFS(m_teacher,D$4,m_date,($G$2+5),m_active,1,m_start,"&lt;"&amp;1440,m_end,"&gt;"&amp;1140)=0,"",IF(COUNTIFS(m_teacher,D$4,m_date,($G$2+5),m_active,1,m_start,"&lt;"&amp;1440,m_end,"&gt;"&amp;1140)&gt;1,"충돌",HYPERLINK("#'관리자_MASTER'!D"&amp;_xlfn.MAXIFS(m_row,m_teacher,D$4,m_date,($G$2+5),m_active,1,m_start,"&lt;"&amp;1440,m_end,"&gt;"&amp;1140),INDEX(m_label,_xlfn.MAXIFS(m_row,m_teacher,D$4,m_date,($G$2+5),m_active,1,m_start,"&lt;"&amp;1440,m_end,"&gt;"&amp;1140))))))</f>
        <v/>
      </c>
      <c r="E70" s="89" t="str">
        <f aca="false">IF(OR(E$4="",MONTH(($G$2+5))&lt;&gt;MONTH($C$2)),"",IF(COUNTIFS(m_teacher,E$4,m_date,($G$2+5),m_active,1,m_start,"&lt;"&amp;1440,m_end,"&gt;"&amp;1140)=0,"",IF(COUNTIFS(m_teacher,E$4,m_date,($G$2+5),m_active,1,m_start,"&lt;"&amp;1440,m_end,"&gt;"&amp;1140)&gt;1,"충돌",HYPERLINK("#'관리자_MASTER'!D"&amp;_xlfn.MAXIFS(m_row,m_teacher,E$4,m_date,($G$2+5),m_active,1,m_start,"&lt;"&amp;1440,m_end,"&gt;"&amp;1140),INDEX(m_label,_xlfn.MAXIFS(m_row,m_teacher,E$4,m_date,($G$2+5),m_active,1,m_start,"&lt;"&amp;1440,m_end,"&gt;"&amp;1140))))))</f>
        <v/>
      </c>
      <c r="F70" s="89" t="str">
        <f aca="false">IF(OR(F$4="",MONTH(($G$2+5))&lt;&gt;MONTH($C$2)),"",IF(COUNTIFS(m_teacher,F$4,m_date,($G$2+5),m_active,1,m_start,"&lt;"&amp;1440,m_end,"&gt;"&amp;1140)=0,"",IF(COUNTIFS(m_teacher,F$4,m_date,($G$2+5),m_active,1,m_start,"&lt;"&amp;1440,m_end,"&gt;"&amp;1140)&gt;1,"충돌",HYPERLINK("#'관리자_MASTER'!D"&amp;_xlfn.MAXIFS(m_row,m_teacher,F$4,m_date,($G$2+5),m_active,1,m_start,"&lt;"&amp;1440,m_end,"&gt;"&amp;1140),INDEX(m_label,_xlfn.MAXIFS(m_row,m_teacher,F$4,m_date,($G$2+5),m_active,1,m_start,"&lt;"&amp;1440,m_end,"&gt;"&amp;1140))))))</f>
        <v/>
      </c>
      <c r="G70" s="89" t="str">
        <f aca="false">IF(OR(G$4="",MONTH(($G$2+5))&lt;&gt;MONTH($C$2)),"",IF(COUNTIFS(m_teacher,G$4,m_date,($G$2+5),m_active,1,m_start,"&lt;"&amp;1440,m_end,"&gt;"&amp;1140)=0,"",IF(COUNTIFS(m_teacher,G$4,m_date,($G$2+5),m_active,1,m_start,"&lt;"&amp;1440,m_end,"&gt;"&amp;1140)&gt;1,"충돌",HYPERLINK("#'관리자_MASTER'!D"&amp;_xlfn.MAXIFS(m_row,m_teacher,G$4,m_date,($G$2+5),m_active,1,m_start,"&lt;"&amp;1440,m_end,"&gt;"&amp;1140),INDEX(m_label,_xlfn.MAXIFS(m_row,m_teacher,G$4,m_date,($G$2+5),m_active,1,m_start,"&lt;"&amp;1440,m_end,"&gt;"&amp;1140))))))</f>
        <v/>
      </c>
      <c r="H70" s="89" t="str">
        <f aca="false">IF(OR(H$4="",MONTH(($G$2+5))&lt;&gt;MONTH($C$2)),"",IF(COUNTIFS(m_teacher,H$4,m_date,($G$2+5),m_active,1,m_start,"&lt;"&amp;1440,m_end,"&gt;"&amp;1140)=0,"",IF(COUNTIFS(m_teacher,H$4,m_date,($G$2+5),m_active,1,m_start,"&lt;"&amp;1440,m_end,"&gt;"&amp;1140)&gt;1,"충돌",HYPERLINK("#'관리자_MASTER'!D"&amp;_xlfn.MAXIFS(m_row,m_teacher,H$4,m_date,($G$2+5),m_active,1,m_start,"&lt;"&amp;1440,m_end,"&gt;"&amp;1140),INDEX(m_label,_xlfn.MAXIFS(m_row,m_teacher,H$4,m_date,($G$2+5),m_active,1,m_start,"&lt;"&amp;1440,m_end,"&gt;"&amp;1140))))))</f>
        <v/>
      </c>
      <c r="I70" s="89" t="str">
        <f aca="false">IF(OR(I$4="",MONTH(($G$2+5))&lt;&gt;MONTH($C$2)),"",IF(COUNTIFS(m_teacher,I$4,m_date,($G$2+5),m_active,1,m_start,"&lt;"&amp;1440,m_end,"&gt;"&amp;1140)=0,"",IF(COUNTIFS(m_teacher,I$4,m_date,($G$2+5),m_active,1,m_start,"&lt;"&amp;1440,m_end,"&gt;"&amp;1140)&gt;1,"충돌",HYPERLINK("#'관리자_MASTER'!D"&amp;_xlfn.MAXIFS(m_row,m_teacher,I$4,m_date,($G$2+5),m_active,1,m_start,"&lt;"&amp;1440,m_end,"&gt;"&amp;1140),INDEX(m_label,_xlfn.MAXIFS(m_row,m_teacher,I$4,m_date,($G$2+5),m_active,1,m_start,"&lt;"&amp;1440,m_end,"&gt;"&amp;1140))))))</f>
        <v/>
      </c>
      <c r="J70" s="89" t="str">
        <f aca="false">IF(OR(J$4="",MONTH(($G$2+5))&lt;&gt;MONTH($C$2)),"",IF(COUNTIFS(m_teacher,J$4,m_date,($G$2+5),m_active,1,m_start,"&lt;"&amp;1440,m_end,"&gt;"&amp;1140)=0,"",IF(COUNTIFS(m_teacher,J$4,m_date,($G$2+5),m_active,1,m_start,"&lt;"&amp;1440,m_end,"&gt;"&amp;1140)&gt;1,"충돌",HYPERLINK("#'관리자_MASTER'!D"&amp;_xlfn.MAXIFS(m_row,m_teacher,J$4,m_date,($G$2+5),m_active,1,m_start,"&lt;"&amp;1440,m_end,"&gt;"&amp;1140),INDEX(m_label,_xlfn.MAXIFS(m_row,m_teacher,J$4,m_date,($G$2+5),m_active,1,m_start,"&lt;"&amp;1440,m_end,"&gt;"&amp;1140))))))</f>
        <v/>
      </c>
      <c r="K70" s="89" t="str">
        <f aca="false">IF(OR(K$4="",MONTH(($G$2+5))&lt;&gt;MONTH($C$2)),"",IF(COUNTIFS(m_teacher,K$4,m_date,($G$2+5),m_active,1,m_start,"&lt;"&amp;1440,m_end,"&gt;"&amp;1140)=0,"",IF(COUNTIFS(m_teacher,K$4,m_date,($G$2+5),m_active,1,m_start,"&lt;"&amp;1440,m_end,"&gt;"&amp;1140)&gt;1,"충돌",HYPERLINK("#'관리자_MASTER'!D"&amp;_xlfn.MAXIFS(m_row,m_teacher,K$4,m_date,($G$2+5),m_active,1,m_start,"&lt;"&amp;1440,m_end,"&gt;"&amp;1140),INDEX(m_label,_xlfn.MAXIFS(m_row,m_teacher,K$4,m_date,($G$2+5),m_active,1,m_start,"&lt;"&amp;1440,m_end,"&gt;"&amp;1140))))))</f>
        <v/>
      </c>
      <c r="L70" s="89" t="str">
        <f aca="false">IF(OR(L$4="",MONTH(($G$2+5))&lt;&gt;MONTH($C$2)),"",IF(COUNTIFS(m_teacher,L$4,m_date,($G$2+5),m_active,1,m_start,"&lt;"&amp;1440,m_end,"&gt;"&amp;1140)=0,"",IF(COUNTIFS(m_teacher,L$4,m_date,($G$2+5),m_active,1,m_start,"&lt;"&amp;1440,m_end,"&gt;"&amp;1140)&gt;1,"충돌",HYPERLINK("#'관리자_MASTER'!D"&amp;_xlfn.MAXIFS(m_row,m_teacher,L$4,m_date,($G$2+5),m_active,1,m_start,"&lt;"&amp;1440,m_end,"&gt;"&amp;1140),INDEX(m_label,_xlfn.MAXIFS(m_row,m_teacher,L$4,m_date,($G$2+5),m_active,1,m_start,"&lt;"&amp;1440,m_end,"&gt;"&amp;1140))))))</f>
        <v/>
      </c>
      <c r="M70" s="89" t="str">
        <f aca="false">IF(OR(M$4="",MONTH(($G$2+5))&lt;&gt;MONTH($C$2)),"",IF(COUNTIFS(m_teacher,M$4,m_date,($G$2+5),m_active,1,m_start,"&lt;"&amp;1440,m_end,"&gt;"&amp;1140)=0,"",IF(COUNTIFS(m_teacher,M$4,m_date,($G$2+5),m_active,1,m_start,"&lt;"&amp;1440,m_end,"&gt;"&amp;1140)&gt;1,"충돌",HYPERLINK("#'관리자_MASTER'!D"&amp;_xlfn.MAXIFS(m_row,m_teacher,M$4,m_date,($G$2+5),m_active,1,m_start,"&lt;"&amp;1440,m_end,"&gt;"&amp;1140),INDEX(m_label,_xlfn.MAXIFS(m_row,m_teacher,M$4,m_date,($G$2+5),m_active,1,m_start,"&lt;"&amp;1440,m_end,"&gt;"&amp;1140))))))</f>
        <v/>
      </c>
      <c r="N70" s="89" t="str">
        <f aca="false">IF(OR(N$4="",MONTH(($G$2+5))&lt;&gt;MONTH($C$2)),"",IF(COUNTIFS(m_teacher,N$4,m_date,($G$2+5),m_active,1,m_start,"&lt;"&amp;1440,m_end,"&gt;"&amp;1140)=0,"",IF(COUNTIFS(m_teacher,N$4,m_date,($G$2+5),m_active,1,m_start,"&lt;"&amp;1440,m_end,"&gt;"&amp;1140)&gt;1,"충돌",HYPERLINK("#'관리자_MASTER'!D"&amp;_xlfn.MAXIFS(m_row,m_teacher,N$4,m_date,($G$2+5),m_active,1,m_start,"&lt;"&amp;1440,m_end,"&gt;"&amp;1140),INDEX(m_label,_xlfn.MAXIFS(m_row,m_teacher,N$4,m_date,($G$2+5),m_active,1,m_start,"&lt;"&amp;1440,m_end,"&gt;"&amp;1140))))))</f>
        <v/>
      </c>
      <c r="O70" s="90"/>
      <c r="P70" s="85" t="s">
        <v>101</v>
      </c>
      <c r="Q70" s="89" t="str">
        <f aca="false">IF(OR(Q$4="",MONTH(($G$2+12))&lt;&gt;MONTH($C$2)),"",IF(COUNTIFS(m_teacher,Q$4,m_date,($G$2+12),m_active,1,m_start,"&lt;"&amp;1440,m_end,"&gt;"&amp;1140)=0,"",IF(COUNTIFS(m_teacher,Q$4,m_date,($G$2+12),m_active,1,m_start,"&lt;"&amp;1440,m_end,"&gt;"&amp;1140)&gt;1,"충돌",HYPERLINK("#'관리자_MASTER'!D"&amp;_xlfn.MAXIFS(m_row,m_teacher,Q$4,m_date,($G$2+12),m_active,1,m_start,"&lt;"&amp;1440,m_end,"&gt;"&amp;1140),INDEX(m_label,_xlfn.MAXIFS(m_row,m_teacher,Q$4,m_date,($G$2+12),m_active,1,m_start,"&lt;"&amp;1440,m_end,"&gt;"&amp;1140))))))</f>
        <v/>
      </c>
      <c r="R70" s="89" t="str">
        <f aca="false">IF(OR(R$4="",MONTH(($G$2+12))&lt;&gt;MONTH($C$2)),"",IF(COUNTIFS(m_teacher,R$4,m_date,($G$2+12),m_active,1,m_start,"&lt;"&amp;1440,m_end,"&gt;"&amp;1140)=0,"",IF(COUNTIFS(m_teacher,R$4,m_date,($G$2+12),m_active,1,m_start,"&lt;"&amp;1440,m_end,"&gt;"&amp;1140)&gt;1,"충돌",HYPERLINK("#'관리자_MASTER'!D"&amp;_xlfn.MAXIFS(m_row,m_teacher,R$4,m_date,($G$2+12),m_active,1,m_start,"&lt;"&amp;1440,m_end,"&gt;"&amp;1140),INDEX(m_label,_xlfn.MAXIFS(m_row,m_teacher,R$4,m_date,($G$2+12),m_active,1,m_start,"&lt;"&amp;1440,m_end,"&gt;"&amp;1140))))))</f>
        <v/>
      </c>
      <c r="S70" s="89" t="str">
        <f aca="false">IF(OR(S$4="",MONTH(($G$2+12))&lt;&gt;MONTH($C$2)),"",IF(COUNTIFS(m_teacher,S$4,m_date,($G$2+12),m_active,1,m_start,"&lt;"&amp;1440,m_end,"&gt;"&amp;1140)=0,"",IF(COUNTIFS(m_teacher,S$4,m_date,($G$2+12),m_active,1,m_start,"&lt;"&amp;1440,m_end,"&gt;"&amp;1140)&gt;1,"충돌",HYPERLINK("#'관리자_MASTER'!D"&amp;_xlfn.MAXIFS(m_row,m_teacher,S$4,m_date,($G$2+12),m_active,1,m_start,"&lt;"&amp;1440,m_end,"&gt;"&amp;1140),INDEX(m_label,_xlfn.MAXIFS(m_row,m_teacher,S$4,m_date,($G$2+12),m_active,1,m_start,"&lt;"&amp;1440,m_end,"&gt;"&amp;1140))))))</f>
        <v/>
      </c>
      <c r="T70" s="89" t="str">
        <f aca="false">IF(OR(T$4="",MONTH(($G$2+12))&lt;&gt;MONTH($C$2)),"",IF(COUNTIFS(m_teacher,T$4,m_date,($G$2+12),m_active,1,m_start,"&lt;"&amp;1440,m_end,"&gt;"&amp;1140)=0,"",IF(COUNTIFS(m_teacher,T$4,m_date,($G$2+12),m_active,1,m_start,"&lt;"&amp;1440,m_end,"&gt;"&amp;1140)&gt;1,"충돌",HYPERLINK("#'관리자_MASTER'!D"&amp;_xlfn.MAXIFS(m_row,m_teacher,T$4,m_date,($G$2+12),m_active,1,m_start,"&lt;"&amp;1440,m_end,"&gt;"&amp;1140),INDEX(m_label,_xlfn.MAXIFS(m_row,m_teacher,T$4,m_date,($G$2+12),m_active,1,m_start,"&lt;"&amp;1440,m_end,"&gt;"&amp;1140))))))</f>
        <v/>
      </c>
      <c r="U70" s="89" t="str">
        <f aca="false">IF(OR(U$4="",MONTH(($G$2+12))&lt;&gt;MONTH($C$2)),"",IF(COUNTIFS(m_teacher,U$4,m_date,($G$2+12),m_active,1,m_start,"&lt;"&amp;1440,m_end,"&gt;"&amp;1140)=0,"",IF(COUNTIFS(m_teacher,U$4,m_date,($G$2+12),m_active,1,m_start,"&lt;"&amp;1440,m_end,"&gt;"&amp;1140)&gt;1,"충돌",HYPERLINK("#'관리자_MASTER'!D"&amp;_xlfn.MAXIFS(m_row,m_teacher,U$4,m_date,($G$2+12),m_active,1,m_start,"&lt;"&amp;1440,m_end,"&gt;"&amp;1140),INDEX(m_label,_xlfn.MAXIFS(m_row,m_teacher,U$4,m_date,($G$2+12),m_active,1,m_start,"&lt;"&amp;1440,m_end,"&gt;"&amp;1140))))))</f>
        <v/>
      </c>
      <c r="V70" s="89" t="str">
        <f aca="false">IF(OR(V$4="",MONTH(($G$2+12))&lt;&gt;MONTH($C$2)),"",IF(COUNTIFS(m_teacher,V$4,m_date,($G$2+12),m_active,1,m_start,"&lt;"&amp;1440,m_end,"&gt;"&amp;1140)=0,"",IF(COUNTIFS(m_teacher,V$4,m_date,($G$2+12),m_active,1,m_start,"&lt;"&amp;1440,m_end,"&gt;"&amp;1140)&gt;1,"충돌",HYPERLINK("#'관리자_MASTER'!D"&amp;_xlfn.MAXIFS(m_row,m_teacher,V$4,m_date,($G$2+12),m_active,1,m_start,"&lt;"&amp;1440,m_end,"&gt;"&amp;1140),INDEX(m_label,_xlfn.MAXIFS(m_row,m_teacher,V$4,m_date,($G$2+12),m_active,1,m_start,"&lt;"&amp;1440,m_end,"&gt;"&amp;1140))))))</f>
        <v/>
      </c>
      <c r="W70" s="89" t="str">
        <f aca="false">IF(OR(W$4="",MONTH(($G$2+12))&lt;&gt;MONTH($C$2)),"",IF(COUNTIFS(m_teacher,W$4,m_date,($G$2+12),m_active,1,m_start,"&lt;"&amp;1440,m_end,"&gt;"&amp;1140)=0,"",IF(COUNTIFS(m_teacher,W$4,m_date,($G$2+12),m_active,1,m_start,"&lt;"&amp;1440,m_end,"&gt;"&amp;1140)&gt;1,"충돌",HYPERLINK("#'관리자_MASTER'!D"&amp;_xlfn.MAXIFS(m_row,m_teacher,W$4,m_date,($G$2+12),m_active,1,m_start,"&lt;"&amp;1440,m_end,"&gt;"&amp;1140),INDEX(m_label,_xlfn.MAXIFS(m_row,m_teacher,W$4,m_date,($G$2+12),m_active,1,m_start,"&lt;"&amp;1440,m_end,"&gt;"&amp;1140))))))</f>
        <v/>
      </c>
      <c r="X70" s="89" t="str">
        <f aca="false">IF(OR(X$4="",MONTH(($G$2+12))&lt;&gt;MONTH($C$2)),"",IF(COUNTIFS(m_teacher,X$4,m_date,($G$2+12),m_active,1,m_start,"&lt;"&amp;1440,m_end,"&gt;"&amp;1140)=0,"",IF(COUNTIFS(m_teacher,X$4,m_date,($G$2+12),m_active,1,m_start,"&lt;"&amp;1440,m_end,"&gt;"&amp;1140)&gt;1,"충돌",HYPERLINK("#'관리자_MASTER'!D"&amp;_xlfn.MAXIFS(m_row,m_teacher,X$4,m_date,($G$2+12),m_active,1,m_start,"&lt;"&amp;1440,m_end,"&gt;"&amp;1140),INDEX(m_label,_xlfn.MAXIFS(m_row,m_teacher,X$4,m_date,($G$2+12),m_active,1,m_start,"&lt;"&amp;1440,m_end,"&gt;"&amp;1140))))))</f>
        <v/>
      </c>
      <c r="Y70" s="89" t="str">
        <f aca="false">IF(OR(Y$4="",MONTH(($G$2+12))&lt;&gt;MONTH($C$2)),"",IF(COUNTIFS(m_teacher,Y$4,m_date,($G$2+12),m_active,1,m_start,"&lt;"&amp;1440,m_end,"&gt;"&amp;1140)=0,"",IF(COUNTIFS(m_teacher,Y$4,m_date,($G$2+12),m_active,1,m_start,"&lt;"&amp;1440,m_end,"&gt;"&amp;1140)&gt;1,"충돌",HYPERLINK("#'관리자_MASTER'!D"&amp;_xlfn.MAXIFS(m_row,m_teacher,Y$4,m_date,($G$2+12),m_active,1,m_start,"&lt;"&amp;1440,m_end,"&gt;"&amp;1140),INDEX(m_label,_xlfn.MAXIFS(m_row,m_teacher,Y$4,m_date,($G$2+12),m_active,1,m_start,"&lt;"&amp;1440,m_end,"&gt;"&amp;1140))))))</f>
        <v/>
      </c>
      <c r="Z70" s="89" t="str">
        <f aca="false">IF(OR(Z$4="",MONTH(($G$2+12))&lt;&gt;MONTH($C$2)),"",IF(COUNTIFS(m_teacher,Z$4,m_date,($G$2+12),m_active,1,m_start,"&lt;"&amp;1440,m_end,"&gt;"&amp;1140)=0,"",IF(COUNTIFS(m_teacher,Z$4,m_date,($G$2+12),m_active,1,m_start,"&lt;"&amp;1440,m_end,"&gt;"&amp;1140)&gt;1,"충돌",HYPERLINK("#'관리자_MASTER'!D"&amp;_xlfn.MAXIFS(m_row,m_teacher,Z$4,m_date,($G$2+12),m_active,1,m_start,"&lt;"&amp;1440,m_end,"&gt;"&amp;1140),INDEX(m_label,_xlfn.MAXIFS(m_row,m_teacher,Z$4,m_date,($G$2+12),m_active,1,m_start,"&lt;"&amp;1440,m_end,"&gt;"&amp;1140))))))</f>
        <v/>
      </c>
      <c r="AA70" s="89" t="str">
        <f aca="false">IF(OR(AA$4="",MONTH(($G$2+12))&lt;&gt;MONTH($C$2)),"",IF(COUNTIFS(m_teacher,AA$4,m_date,($G$2+12),m_active,1,m_start,"&lt;"&amp;1440,m_end,"&gt;"&amp;1140)=0,"",IF(COUNTIFS(m_teacher,AA$4,m_date,($G$2+12),m_active,1,m_start,"&lt;"&amp;1440,m_end,"&gt;"&amp;1140)&gt;1,"충돌",HYPERLINK("#'관리자_MASTER'!D"&amp;_xlfn.MAXIFS(m_row,m_teacher,AA$4,m_date,($G$2+12),m_active,1,m_start,"&lt;"&amp;1440,m_end,"&gt;"&amp;1140),INDEX(m_label,_xlfn.MAXIFS(m_row,m_teacher,AA$4,m_date,($G$2+12),m_active,1,m_start,"&lt;"&amp;1440,m_end,"&gt;"&amp;1140))))))</f>
        <v/>
      </c>
      <c r="AB70" s="89" t="str">
        <f aca="false">IF(OR(AB$4="",MONTH(($G$2+12))&lt;&gt;MONTH($C$2)),"",IF(COUNTIFS(m_teacher,AB$4,m_date,($G$2+12),m_active,1,m_start,"&lt;"&amp;1440,m_end,"&gt;"&amp;1140)=0,"",IF(COUNTIFS(m_teacher,AB$4,m_date,($G$2+12),m_active,1,m_start,"&lt;"&amp;1440,m_end,"&gt;"&amp;1140)&gt;1,"충돌",HYPERLINK("#'관리자_MASTER'!D"&amp;_xlfn.MAXIFS(m_row,m_teacher,AB$4,m_date,($G$2+12),m_active,1,m_start,"&lt;"&amp;1440,m_end,"&gt;"&amp;1140),INDEX(m_label,_xlfn.MAXIFS(m_row,m_teacher,AB$4,m_date,($G$2+12),m_active,1,m_start,"&lt;"&amp;1440,m_end,"&gt;"&amp;1140))))))</f>
        <v/>
      </c>
      <c r="AC70" s="90"/>
      <c r="AD70" s="85" t="s">
        <v>101</v>
      </c>
      <c r="AE70" s="89" t="str">
        <f aca="false">IF(OR(AE$4="",MONTH(($G$2+19))&lt;&gt;MONTH($C$2)),"",IF(COUNTIFS(m_teacher,AE$4,m_date,($G$2+19),m_active,1,m_start,"&lt;"&amp;1440,m_end,"&gt;"&amp;1140)=0,"",IF(COUNTIFS(m_teacher,AE$4,m_date,($G$2+19),m_active,1,m_start,"&lt;"&amp;1440,m_end,"&gt;"&amp;1140)&gt;1,"충돌",HYPERLINK("#'관리자_MASTER'!D"&amp;_xlfn.MAXIFS(m_row,m_teacher,AE$4,m_date,($G$2+19),m_active,1,m_start,"&lt;"&amp;1440,m_end,"&gt;"&amp;1140),INDEX(m_label,_xlfn.MAXIFS(m_row,m_teacher,AE$4,m_date,($G$2+19),m_active,1,m_start,"&lt;"&amp;1440,m_end,"&gt;"&amp;1140))))))</f>
        <v/>
      </c>
      <c r="AF70" s="89" t="str">
        <f aca="false">IF(OR(AF$4="",MONTH(($G$2+19))&lt;&gt;MONTH($C$2)),"",IF(COUNTIFS(m_teacher,AF$4,m_date,($G$2+19),m_active,1,m_start,"&lt;"&amp;1440,m_end,"&gt;"&amp;1140)=0,"",IF(COUNTIFS(m_teacher,AF$4,m_date,($G$2+19),m_active,1,m_start,"&lt;"&amp;1440,m_end,"&gt;"&amp;1140)&gt;1,"충돌",HYPERLINK("#'관리자_MASTER'!D"&amp;_xlfn.MAXIFS(m_row,m_teacher,AF$4,m_date,($G$2+19),m_active,1,m_start,"&lt;"&amp;1440,m_end,"&gt;"&amp;1140),INDEX(m_label,_xlfn.MAXIFS(m_row,m_teacher,AF$4,m_date,($G$2+19),m_active,1,m_start,"&lt;"&amp;1440,m_end,"&gt;"&amp;1140))))))</f>
        <v/>
      </c>
      <c r="AG70" s="89" t="str">
        <f aca="false">IF(OR(AG$4="",MONTH(($G$2+19))&lt;&gt;MONTH($C$2)),"",IF(COUNTIFS(m_teacher,AG$4,m_date,($G$2+19),m_active,1,m_start,"&lt;"&amp;1440,m_end,"&gt;"&amp;1140)=0,"",IF(COUNTIFS(m_teacher,AG$4,m_date,($G$2+19),m_active,1,m_start,"&lt;"&amp;1440,m_end,"&gt;"&amp;1140)&gt;1,"충돌",HYPERLINK("#'관리자_MASTER'!D"&amp;_xlfn.MAXIFS(m_row,m_teacher,AG$4,m_date,($G$2+19),m_active,1,m_start,"&lt;"&amp;1440,m_end,"&gt;"&amp;1140),INDEX(m_label,_xlfn.MAXIFS(m_row,m_teacher,AG$4,m_date,($G$2+19),m_active,1,m_start,"&lt;"&amp;1440,m_end,"&gt;"&amp;1140))))))</f>
        <v/>
      </c>
      <c r="AH70" s="89" t="str">
        <f aca="false">IF(OR(AH$4="",MONTH(($G$2+19))&lt;&gt;MONTH($C$2)),"",IF(COUNTIFS(m_teacher,AH$4,m_date,($G$2+19),m_active,1,m_start,"&lt;"&amp;1440,m_end,"&gt;"&amp;1140)=0,"",IF(COUNTIFS(m_teacher,AH$4,m_date,($G$2+19),m_active,1,m_start,"&lt;"&amp;1440,m_end,"&gt;"&amp;1140)&gt;1,"충돌",HYPERLINK("#'관리자_MASTER'!D"&amp;_xlfn.MAXIFS(m_row,m_teacher,AH$4,m_date,($G$2+19),m_active,1,m_start,"&lt;"&amp;1440,m_end,"&gt;"&amp;1140),INDEX(m_label,_xlfn.MAXIFS(m_row,m_teacher,AH$4,m_date,($G$2+19),m_active,1,m_start,"&lt;"&amp;1440,m_end,"&gt;"&amp;1140))))))</f>
        <v/>
      </c>
      <c r="AI70" s="89" t="str">
        <f aca="false">IF(OR(AI$4="",MONTH(($G$2+19))&lt;&gt;MONTH($C$2)),"",IF(COUNTIFS(m_teacher,AI$4,m_date,($G$2+19),m_active,1,m_start,"&lt;"&amp;1440,m_end,"&gt;"&amp;1140)=0,"",IF(COUNTIFS(m_teacher,AI$4,m_date,($G$2+19),m_active,1,m_start,"&lt;"&amp;1440,m_end,"&gt;"&amp;1140)&gt;1,"충돌",HYPERLINK("#'관리자_MASTER'!D"&amp;_xlfn.MAXIFS(m_row,m_teacher,AI$4,m_date,($G$2+19),m_active,1,m_start,"&lt;"&amp;1440,m_end,"&gt;"&amp;1140),INDEX(m_label,_xlfn.MAXIFS(m_row,m_teacher,AI$4,m_date,($G$2+19),m_active,1,m_start,"&lt;"&amp;1440,m_end,"&gt;"&amp;1140))))))</f>
        <v/>
      </c>
      <c r="AJ70" s="89" t="str">
        <f aca="false">IF(OR(AJ$4="",MONTH(($G$2+19))&lt;&gt;MONTH($C$2)),"",IF(COUNTIFS(m_teacher,AJ$4,m_date,($G$2+19),m_active,1,m_start,"&lt;"&amp;1440,m_end,"&gt;"&amp;1140)=0,"",IF(COUNTIFS(m_teacher,AJ$4,m_date,($G$2+19),m_active,1,m_start,"&lt;"&amp;1440,m_end,"&gt;"&amp;1140)&gt;1,"충돌",HYPERLINK("#'관리자_MASTER'!D"&amp;_xlfn.MAXIFS(m_row,m_teacher,AJ$4,m_date,($G$2+19),m_active,1,m_start,"&lt;"&amp;1440,m_end,"&gt;"&amp;1140),INDEX(m_label,_xlfn.MAXIFS(m_row,m_teacher,AJ$4,m_date,($G$2+19),m_active,1,m_start,"&lt;"&amp;1440,m_end,"&gt;"&amp;1140))))))</f>
        <v/>
      </c>
      <c r="AK70" s="89" t="str">
        <f aca="false">IF(OR(AK$4="",MONTH(($G$2+19))&lt;&gt;MONTH($C$2)),"",IF(COUNTIFS(m_teacher,AK$4,m_date,($G$2+19),m_active,1,m_start,"&lt;"&amp;1440,m_end,"&gt;"&amp;1140)=0,"",IF(COUNTIFS(m_teacher,AK$4,m_date,($G$2+19),m_active,1,m_start,"&lt;"&amp;1440,m_end,"&gt;"&amp;1140)&gt;1,"충돌",HYPERLINK("#'관리자_MASTER'!D"&amp;_xlfn.MAXIFS(m_row,m_teacher,AK$4,m_date,($G$2+19),m_active,1,m_start,"&lt;"&amp;1440,m_end,"&gt;"&amp;1140),INDEX(m_label,_xlfn.MAXIFS(m_row,m_teacher,AK$4,m_date,($G$2+19),m_active,1,m_start,"&lt;"&amp;1440,m_end,"&gt;"&amp;1140))))))</f>
        <v/>
      </c>
      <c r="AL70" s="89" t="str">
        <f aca="false">IF(OR(AL$4="",MONTH(($G$2+19))&lt;&gt;MONTH($C$2)),"",IF(COUNTIFS(m_teacher,AL$4,m_date,($G$2+19),m_active,1,m_start,"&lt;"&amp;1440,m_end,"&gt;"&amp;1140)=0,"",IF(COUNTIFS(m_teacher,AL$4,m_date,($G$2+19),m_active,1,m_start,"&lt;"&amp;1440,m_end,"&gt;"&amp;1140)&gt;1,"충돌",HYPERLINK("#'관리자_MASTER'!D"&amp;_xlfn.MAXIFS(m_row,m_teacher,AL$4,m_date,($G$2+19),m_active,1,m_start,"&lt;"&amp;1440,m_end,"&gt;"&amp;1140),INDEX(m_label,_xlfn.MAXIFS(m_row,m_teacher,AL$4,m_date,($G$2+19),m_active,1,m_start,"&lt;"&amp;1440,m_end,"&gt;"&amp;1140))))))</f>
        <v/>
      </c>
      <c r="AM70" s="89" t="str">
        <f aca="false">IF(OR(AM$4="",MONTH(($G$2+19))&lt;&gt;MONTH($C$2)),"",IF(COUNTIFS(m_teacher,AM$4,m_date,($G$2+19),m_active,1,m_start,"&lt;"&amp;1440,m_end,"&gt;"&amp;1140)=0,"",IF(COUNTIFS(m_teacher,AM$4,m_date,($G$2+19),m_active,1,m_start,"&lt;"&amp;1440,m_end,"&gt;"&amp;1140)&gt;1,"충돌",HYPERLINK("#'관리자_MASTER'!D"&amp;_xlfn.MAXIFS(m_row,m_teacher,AM$4,m_date,($G$2+19),m_active,1,m_start,"&lt;"&amp;1440,m_end,"&gt;"&amp;1140),INDEX(m_label,_xlfn.MAXIFS(m_row,m_teacher,AM$4,m_date,($G$2+19),m_active,1,m_start,"&lt;"&amp;1440,m_end,"&gt;"&amp;1140))))))</f>
        <v/>
      </c>
      <c r="AN70" s="89" t="str">
        <f aca="false">IF(OR(AN$4="",MONTH(($G$2+19))&lt;&gt;MONTH($C$2)),"",IF(COUNTIFS(m_teacher,AN$4,m_date,($G$2+19),m_active,1,m_start,"&lt;"&amp;1440,m_end,"&gt;"&amp;1140)=0,"",IF(COUNTIFS(m_teacher,AN$4,m_date,($G$2+19),m_active,1,m_start,"&lt;"&amp;1440,m_end,"&gt;"&amp;1140)&gt;1,"충돌",HYPERLINK("#'관리자_MASTER'!D"&amp;_xlfn.MAXIFS(m_row,m_teacher,AN$4,m_date,($G$2+19),m_active,1,m_start,"&lt;"&amp;1440,m_end,"&gt;"&amp;1140),INDEX(m_label,_xlfn.MAXIFS(m_row,m_teacher,AN$4,m_date,($G$2+19),m_active,1,m_start,"&lt;"&amp;1440,m_end,"&gt;"&amp;1140))))))</f>
        <v/>
      </c>
      <c r="AO70" s="89" t="str">
        <f aca="false">IF(OR(AO$4="",MONTH(($G$2+19))&lt;&gt;MONTH($C$2)),"",IF(COUNTIFS(m_teacher,AO$4,m_date,($G$2+19),m_active,1,m_start,"&lt;"&amp;1440,m_end,"&gt;"&amp;1140)=0,"",IF(COUNTIFS(m_teacher,AO$4,m_date,($G$2+19),m_active,1,m_start,"&lt;"&amp;1440,m_end,"&gt;"&amp;1140)&gt;1,"충돌",HYPERLINK("#'관리자_MASTER'!D"&amp;_xlfn.MAXIFS(m_row,m_teacher,AO$4,m_date,($G$2+19),m_active,1,m_start,"&lt;"&amp;1440,m_end,"&gt;"&amp;1140),INDEX(m_label,_xlfn.MAXIFS(m_row,m_teacher,AO$4,m_date,($G$2+19),m_active,1,m_start,"&lt;"&amp;1440,m_end,"&gt;"&amp;1140))))))</f>
        <v/>
      </c>
      <c r="AP70" s="89" t="str">
        <f aca="false">IF(OR(AP$4="",MONTH(($G$2+19))&lt;&gt;MONTH($C$2)),"",IF(COUNTIFS(m_teacher,AP$4,m_date,($G$2+19),m_active,1,m_start,"&lt;"&amp;1440,m_end,"&gt;"&amp;1140)=0,"",IF(COUNTIFS(m_teacher,AP$4,m_date,($G$2+19),m_active,1,m_start,"&lt;"&amp;1440,m_end,"&gt;"&amp;1140)&gt;1,"충돌",HYPERLINK("#'관리자_MASTER'!D"&amp;_xlfn.MAXIFS(m_row,m_teacher,AP$4,m_date,($G$2+19),m_active,1,m_start,"&lt;"&amp;1440,m_end,"&gt;"&amp;1140),INDEX(m_label,_xlfn.MAXIFS(m_row,m_teacher,AP$4,m_date,($G$2+19),m_active,1,m_start,"&lt;"&amp;1440,m_end,"&gt;"&amp;1140))))))</f>
        <v/>
      </c>
      <c r="AQ70" s="90"/>
      <c r="AR70" s="85" t="s">
        <v>101</v>
      </c>
      <c r="AS70" s="89" t="str">
        <f aca="false">IF(OR(AS$4="",MONTH(($G$2+26))&lt;&gt;MONTH($C$2)),"",IF(COUNTIFS(m_teacher,AS$4,m_date,($G$2+26),m_active,1,m_start,"&lt;"&amp;1440,m_end,"&gt;"&amp;1140)=0,"",IF(COUNTIFS(m_teacher,AS$4,m_date,($G$2+26),m_active,1,m_start,"&lt;"&amp;1440,m_end,"&gt;"&amp;1140)&gt;1,"충돌",HYPERLINK("#'관리자_MASTER'!D"&amp;_xlfn.MAXIFS(m_row,m_teacher,AS$4,m_date,($G$2+26),m_active,1,m_start,"&lt;"&amp;1440,m_end,"&gt;"&amp;1140),INDEX(m_label,_xlfn.MAXIFS(m_row,m_teacher,AS$4,m_date,($G$2+26),m_active,1,m_start,"&lt;"&amp;1440,m_end,"&gt;"&amp;1140))))))</f>
        <v/>
      </c>
      <c r="AT70" s="89" t="str">
        <f aca="false">IF(OR(AT$4="",MONTH(($G$2+26))&lt;&gt;MONTH($C$2)),"",IF(COUNTIFS(m_teacher,AT$4,m_date,($G$2+26),m_active,1,m_start,"&lt;"&amp;1440,m_end,"&gt;"&amp;1140)=0,"",IF(COUNTIFS(m_teacher,AT$4,m_date,($G$2+26),m_active,1,m_start,"&lt;"&amp;1440,m_end,"&gt;"&amp;1140)&gt;1,"충돌",HYPERLINK("#'관리자_MASTER'!D"&amp;_xlfn.MAXIFS(m_row,m_teacher,AT$4,m_date,($G$2+26),m_active,1,m_start,"&lt;"&amp;1440,m_end,"&gt;"&amp;1140),INDEX(m_label,_xlfn.MAXIFS(m_row,m_teacher,AT$4,m_date,($G$2+26),m_active,1,m_start,"&lt;"&amp;1440,m_end,"&gt;"&amp;1140))))))</f>
        <v/>
      </c>
      <c r="AU70" s="89" t="str">
        <f aca="false">IF(OR(AU$4="",MONTH(($G$2+26))&lt;&gt;MONTH($C$2)),"",IF(COUNTIFS(m_teacher,AU$4,m_date,($G$2+26),m_active,1,m_start,"&lt;"&amp;1440,m_end,"&gt;"&amp;1140)=0,"",IF(COUNTIFS(m_teacher,AU$4,m_date,($G$2+26),m_active,1,m_start,"&lt;"&amp;1440,m_end,"&gt;"&amp;1140)&gt;1,"충돌",HYPERLINK("#'관리자_MASTER'!D"&amp;_xlfn.MAXIFS(m_row,m_teacher,AU$4,m_date,($G$2+26),m_active,1,m_start,"&lt;"&amp;1440,m_end,"&gt;"&amp;1140),INDEX(m_label,_xlfn.MAXIFS(m_row,m_teacher,AU$4,m_date,($G$2+26),m_active,1,m_start,"&lt;"&amp;1440,m_end,"&gt;"&amp;1140))))))</f>
        <v/>
      </c>
      <c r="AV70" s="89" t="str">
        <f aca="false">IF(OR(AV$4="",MONTH(($G$2+26))&lt;&gt;MONTH($C$2)),"",IF(COUNTIFS(m_teacher,AV$4,m_date,($G$2+26),m_active,1,m_start,"&lt;"&amp;1440,m_end,"&gt;"&amp;1140)=0,"",IF(COUNTIFS(m_teacher,AV$4,m_date,($G$2+26),m_active,1,m_start,"&lt;"&amp;1440,m_end,"&gt;"&amp;1140)&gt;1,"충돌",HYPERLINK("#'관리자_MASTER'!D"&amp;_xlfn.MAXIFS(m_row,m_teacher,AV$4,m_date,($G$2+26),m_active,1,m_start,"&lt;"&amp;1440,m_end,"&gt;"&amp;1140),INDEX(m_label,_xlfn.MAXIFS(m_row,m_teacher,AV$4,m_date,($G$2+26),m_active,1,m_start,"&lt;"&amp;1440,m_end,"&gt;"&amp;1140))))))</f>
        <v/>
      </c>
      <c r="AW70" s="89" t="str">
        <f aca="false">IF(OR(AW$4="",MONTH(($G$2+26))&lt;&gt;MONTH($C$2)),"",IF(COUNTIFS(m_teacher,AW$4,m_date,($G$2+26),m_active,1,m_start,"&lt;"&amp;1440,m_end,"&gt;"&amp;1140)=0,"",IF(COUNTIFS(m_teacher,AW$4,m_date,($G$2+26),m_active,1,m_start,"&lt;"&amp;1440,m_end,"&gt;"&amp;1140)&gt;1,"충돌",HYPERLINK("#'관리자_MASTER'!D"&amp;_xlfn.MAXIFS(m_row,m_teacher,AW$4,m_date,($G$2+26),m_active,1,m_start,"&lt;"&amp;1440,m_end,"&gt;"&amp;1140),INDEX(m_label,_xlfn.MAXIFS(m_row,m_teacher,AW$4,m_date,($G$2+26),m_active,1,m_start,"&lt;"&amp;1440,m_end,"&gt;"&amp;1140))))))</f>
        <v/>
      </c>
      <c r="AX70" s="89" t="str">
        <f aca="false">IF(OR(AX$4="",MONTH(($G$2+26))&lt;&gt;MONTH($C$2)),"",IF(COUNTIFS(m_teacher,AX$4,m_date,($G$2+26),m_active,1,m_start,"&lt;"&amp;1440,m_end,"&gt;"&amp;1140)=0,"",IF(COUNTIFS(m_teacher,AX$4,m_date,($G$2+26),m_active,1,m_start,"&lt;"&amp;1440,m_end,"&gt;"&amp;1140)&gt;1,"충돌",HYPERLINK("#'관리자_MASTER'!D"&amp;_xlfn.MAXIFS(m_row,m_teacher,AX$4,m_date,($G$2+26),m_active,1,m_start,"&lt;"&amp;1440,m_end,"&gt;"&amp;1140),INDEX(m_label,_xlfn.MAXIFS(m_row,m_teacher,AX$4,m_date,($G$2+26),m_active,1,m_start,"&lt;"&amp;1440,m_end,"&gt;"&amp;1140))))))</f>
        <v/>
      </c>
      <c r="AY70" s="89" t="str">
        <f aca="false">IF(OR(AY$4="",MONTH(($G$2+26))&lt;&gt;MONTH($C$2)),"",IF(COUNTIFS(m_teacher,AY$4,m_date,($G$2+26),m_active,1,m_start,"&lt;"&amp;1440,m_end,"&gt;"&amp;1140)=0,"",IF(COUNTIFS(m_teacher,AY$4,m_date,($G$2+26),m_active,1,m_start,"&lt;"&amp;1440,m_end,"&gt;"&amp;1140)&gt;1,"충돌",HYPERLINK("#'관리자_MASTER'!D"&amp;_xlfn.MAXIFS(m_row,m_teacher,AY$4,m_date,($G$2+26),m_active,1,m_start,"&lt;"&amp;1440,m_end,"&gt;"&amp;1140),INDEX(m_label,_xlfn.MAXIFS(m_row,m_teacher,AY$4,m_date,($G$2+26),m_active,1,m_start,"&lt;"&amp;1440,m_end,"&gt;"&amp;1140))))))</f>
        <v/>
      </c>
      <c r="AZ70" s="89" t="str">
        <f aca="false">IF(OR(AZ$4="",MONTH(($G$2+26))&lt;&gt;MONTH($C$2)),"",IF(COUNTIFS(m_teacher,AZ$4,m_date,($G$2+26),m_active,1,m_start,"&lt;"&amp;1440,m_end,"&gt;"&amp;1140)=0,"",IF(COUNTIFS(m_teacher,AZ$4,m_date,($G$2+26),m_active,1,m_start,"&lt;"&amp;1440,m_end,"&gt;"&amp;1140)&gt;1,"충돌",HYPERLINK("#'관리자_MASTER'!D"&amp;_xlfn.MAXIFS(m_row,m_teacher,AZ$4,m_date,($G$2+26),m_active,1,m_start,"&lt;"&amp;1440,m_end,"&gt;"&amp;1140),INDEX(m_label,_xlfn.MAXIFS(m_row,m_teacher,AZ$4,m_date,($G$2+26),m_active,1,m_start,"&lt;"&amp;1440,m_end,"&gt;"&amp;1140))))))</f>
        <v/>
      </c>
      <c r="BA70" s="89" t="str">
        <f aca="false">IF(OR(BA$4="",MONTH(($G$2+26))&lt;&gt;MONTH($C$2)),"",IF(COUNTIFS(m_teacher,BA$4,m_date,($G$2+26),m_active,1,m_start,"&lt;"&amp;1440,m_end,"&gt;"&amp;1140)=0,"",IF(COUNTIFS(m_teacher,BA$4,m_date,($G$2+26),m_active,1,m_start,"&lt;"&amp;1440,m_end,"&gt;"&amp;1140)&gt;1,"충돌",HYPERLINK("#'관리자_MASTER'!D"&amp;_xlfn.MAXIFS(m_row,m_teacher,BA$4,m_date,($G$2+26),m_active,1,m_start,"&lt;"&amp;1440,m_end,"&gt;"&amp;1140),INDEX(m_label,_xlfn.MAXIFS(m_row,m_teacher,BA$4,m_date,($G$2+26),m_active,1,m_start,"&lt;"&amp;1440,m_end,"&gt;"&amp;1140))))))</f>
        <v/>
      </c>
      <c r="BB70" s="89" t="str">
        <f aca="false">IF(OR(BB$4="",MONTH(($G$2+26))&lt;&gt;MONTH($C$2)),"",IF(COUNTIFS(m_teacher,BB$4,m_date,($G$2+26),m_active,1,m_start,"&lt;"&amp;1440,m_end,"&gt;"&amp;1140)=0,"",IF(COUNTIFS(m_teacher,BB$4,m_date,($G$2+26),m_active,1,m_start,"&lt;"&amp;1440,m_end,"&gt;"&amp;1140)&gt;1,"충돌",HYPERLINK("#'관리자_MASTER'!D"&amp;_xlfn.MAXIFS(m_row,m_teacher,BB$4,m_date,($G$2+26),m_active,1,m_start,"&lt;"&amp;1440,m_end,"&gt;"&amp;1140),INDEX(m_label,_xlfn.MAXIFS(m_row,m_teacher,BB$4,m_date,($G$2+26),m_active,1,m_start,"&lt;"&amp;1440,m_end,"&gt;"&amp;1140))))))</f>
        <v/>
      </c>
      <c r="BC70" s="89" t="str">
        <f aca="false">IF(OR(BC$4="",MONTH(($G$2+26))&lt;&gt;MONTH($C$2)),"",IF(COUNTIFS(m_teacher,BC$4,m_date,($G$2+26),m_active,1,m_start,"&lt;"&amp;1440,m_end,"&gt;"&amp;1140)=0,"",IF(COUNTIFS(m_teacher,BC$4,m_date,($G$2+26),m_active,1,m_start,"&lt;"&amp;1440,m_end,"&gt;"&amp;1140)&gt;1,"충돌",HYPERLINK("#'관리자_MASTER'!D"&amp;_xlfn.MAXIFS(m_row,m_teacher,BC$4,m_date,($G$2+26),m_active,1,m_start,"&lt;"&amp;1440,m_end,"&gt;"&amp;1140),INDEX(m_label,_xlfn.MAXIFS(m_row,m_teacher,BC$4,m_date,($G$2+26),m_active,1,m_start,"&lt;"&amp;1440,m_end,"&gt;"&amp;1140))))))</f>
        <v/>
      </c>
      <c r="BD70" s="89" t="str">
        <f aca="false">IF(OR(BD$4="",MONTH(($G$2+26))&lt;&gt;MONTH($C$2)),"",IF(COUNTIFS(m_teacher,BD$4,m_date,($G$2+26),m_active,1,m_start,"&lt;"&amp;1440,m_end,"&gt;"&amp;1140)=0,"",IF(COUNTIFS(m_teacher,BD$4,m_date,($G$2+26),m_active,1,m_start,"&lt;"&amp;1440,m_end,"&gt;"&amp;1140)&gt;1,"충돌",HYPERLINK("#'관리자_MASTER'!D"&amp;_xlfn.MAXIFS(m_row,m_teacher,BD$4,m_date,($G$2+26),m_active,1,m_start,"&lt;"&amp;1440,m_end,"&gt;"&amp;1140),INDEX(m_label,_xlfn.MAXIFS(m_row,m_teacher,BD$4,m_date,($G$2+26),m_active,1,m_start,"&lt;"&amp;1440,m_end,"&gt;"&amp;1140))))))</f>
        <v/>
      </c>
      <c r="BE70" s="90"/>
      <c r="BF70" s="85" t="s">
        <v>101</v>
      </c>
      <c r="BG70" s="89" t="str">
        <f aca="false">IF(OR(BG$4="",MONTH(($G$2+33))&lt;&gt;MONTH($C$2)),"",IF(COUNTIFS(m_teacher,BG$4,m_date,($G$2+33),m_active,1,m_start,"&lt;"&amp;1440,m_end,"&gt;"&amp;1140)=0,"",IF(COUNTIFS(m_teacher,BG$4,m_date,($G$2+33),m_active,1,m_start,"&lt;"&amp;1440,m_end,"&gt;"&amp;1140)&gt;1,"충돌",HYPERLINK("#'관리자_MASTER'!D"&amp;_xlfn.MAXIFS(m_row,m_teacher,BG$4,m_date,($G$2+33),m_active,1,m_start,"&lt;"&amp;1440,m_end,"&gt;"&amp;1140),INDEX(m_label,_xlfn.MAXIFS(m_row,m_teacher,BG$4,m_date,($G$2+33),m_active,1,m_start,"&lt;"&amp;1440,m_end,"&gt;"&amp;1140))))))</f>
        <v/>
      </c>
      <c r="BH70" s="89" t="str">
        <f aca="false">IF(OR(BH$4="",MONTH(($G$2+33))&lt;&gt;MONTH($C$2)),"",IF(COUNTIFS(m_teacher,BH$4,m_date,($G$2+33),m_active,1,m_start,"&lt;"&amp;1440,m_end,"&gt;"&amp;1140)=0,"",IF(COUNTIFS(m_teacher,BH$4,m_date,($G$2+33),m_active,1,m_start,"&lt;"&amp;1440,m_end,"&gt;"&amp;1140)&gt;1,"충돌",HYPERLINK("#'관리자_MASTER'!D"&amp;_xlfn.MAXIFS(m_row,m_teacher,BH$4,m_date,($G$2+33),m_active,1,m_start,"&lt;"&amp;1440,m_end,"&gt;"&amp;1140),INDEX(m_label,_xlfn.MAXIFS(m_row,m_teacher,BH$4,m_date,($G$2+33),m_active,1,m_start,"&lt;"&amp;1440,m_end,"&gt;"&amp;1140))))))</f>
        <v/>
      </c>
      <c r="BI70" s="89" t="str">
        <f aca="false">IF(OR(BI$4="",MONTH(($G$2+33))&lt;&gt;MONTH($C$2)),"",IF(COUNTIFS(m_teacher,BI$4,m_date,($G$2+33),m_active,1,m_start,"&lt;"&amp;1440,m_end,"&gt;"&amp;1140)=0,"",IF(COUNTIFS(m_teacher,BI$4,m_date,($G$2+33),m_active,1,m_start,"&lt;"&amp;1440,m_end,"&gt;"&amp;1140)&gt;1,"충돌",HYPERLINK("#'관리자_MASTER'!D"&amp;_xlfn.MAXIFS(m_row,m_teacher,BI$4,m_date,($G$2+33),m_active,1,m_start,"&lt;"&amp;1440,m_end,"&gt;"&amp;1140),INDEX(m_label,_xlfn.MAXIFS(m_row,m_teacher,BI$4,m_date,($G$2+33),m_active,1,m_start,"&lt;"&amp;1440,m_end,"&gt;"&amp;1140))))))</f>
        <v/>
      </c>
      <c r="BJ70" s="89" t="str">
        <f aca="false">IF(OR(BJ$4="",MONTH(($G$2+33))&lt;&gt;MONTH($C$2)),"",IF(COUNTIFS(m_teacher,BJ$4,m_date,($G$2+33),m_active,1,m_start,"&lt;"&amp;1440,m_end,"&gt;"&amp;1140)=0,"",IF(COUNTIFS(m_teacher,BJ$4,m_date,($G$2+33),m_active,1,m_start,"&lt;"&amp;1440,m_end,"&gt;"&amp;1140)&gt;1,"충돌",HYPERLINK("#'관리자_MASTER'!D"&amp;_xlfn.MAXIFS(m_row,m_teacher,BJ$4,m_date,($G$2+33),m_active,1,m_start,"&lt;"&amp;1440,m_end,"&gt;"&amp;1140),INDEX(m_label,_xlfn.MAXIFS(m_row,m_teacher,BJ$4,m_date,($G$2+33),m_active,1,m_start,"&lt;"&amp;1440,m_end,"&gt;"&amp;1140))))))</f>
        <v/>
      </c>
      <c r="BK70" s="89" t="str">
        <f aca="false">IF(OR(BK$4="",MONTH(($G$2+33))&lt;&gt;MONTH($C$2)),"",IF(COUNTIFS(m_teacher,BK$4,m_date,($G$2+33),m_active,1,m_start,"&lt;"&amp;1440,m_end,"&gt;"&amp;1140)=0,"",IF(COUNTIFS(m_teacher,BK$4,m_date,($G$2+33),m_active,1,m_start,"&lt;"&amp;1440,m_end,"&gt;"&amp;1140)&gt;1,"충돌",HYPERLINK("#'관리자_MASTER'!D"&amp;_xlfn.MAXIFS(m_row,m_teacher,BK$4,m_date,($G$2+33),m_active,1,m_start,"&lt;"&amp;1440,m_end,"&gt;"&amp;1140),INDEX(m_label,_xlfn.MAXIFS(m_row,m_teacher,BK$4,m_date,($G$2+33),m_active,1,m_start,"&lt;"&amp;1440,m_end,"&gt;"&amp;1140))))))</f>
        <v/>
      </c>
      <c r="BL70" s="89" t="str">
        <f aca="false">IF(OR(BL$4="",MONTH(($G$2+33))&lt;&gt;MONTH($C$2)),"",IF(COUNTIFS(m_teacher,BL$4,m_date,($G$2+33),m_active,1,m_start,"&lt;"&amp;1440,m_end,"&gt;"&amp;1140)=0,"",IF(COUNTIFS(m_teacher,BL$4,m_date,($G$2+33),m_active,1,m_start,"&lt;"&amp;1440,m_end,"&gt;"&amp;1140)&gt;1,"충돌",HYPERLINK("#'관리자_MASTER'!D"&amp;_xlfn.MAXIFS(m_row,m_teacher,BL$4,m_date,($G$2+33),m_active,1,m_start,"&lt;"&amp;1440,m_end,"&gt;"&amp;1140),INDEX(m_label,_xlfn.MAXIFS(m_row,m_teacher,BL$4,m_date,($G$2+33),m_active,1,m_start,"&lt;"&amp;1440,m_end,"&gt;"&amp;1140))))))</f>
        <v/>
      </c>
      <c r="BM70" s="89" t="str">
        <f aca="false">IF(OR(BM$4="",MONTH(($G$2+33))&lt;&gt;MONTH($C$2)),"",IF(COUNTIFS(m_teacher,BM$4,m_date,($G$2+33),m_active,1,m_start,"&lt;"&amp;1440,m_end,"&gt;"&amp;1140)=0,"",IF(COUNTIFS(m_teacher,BM$4,m_date,($G$2+33),m_active,1,m_start,"&lt;"&amp;1440,m_end,"&gt;"&amp;1140)&gt;1,"충돌",HYPERLINK("#'관리자_MASTER'!D"&amp;_xlfn.MAXIFS(m_row,m_teacher,BM$4,m_date,($G$2+33),m_active,1,m_start,"&lt;"&amp;1440,m_end,"&gt;"&amp;1140),INDEX(m_label,_xlfn.MAXIFS(m_row,m_teacher,BM$4,m_date,($G$2+33),m_active,1,m_start,"&lt;"&amp;1440,m_end,"&gt;"&amp;1140))))))</f>
        <v/>
      </c>
      <c r="BN70" s="89" t="str">
        <f aca="false">IF(OR(BN$4="",MONTH(($G$2+33))&lt;&gt;MONTH($C$2)),"",IF(COUNTIFS(m_teacher,BN$4,m_date,($G$2+33),m_active,1,m_start,"&lt;"&amp;1440,m_end,"&gt;"&amp;1140)=0,"",IF(COUNTIFS(m_teacher,BN$4,m_date,($G$2+33),m_active,1,m_start,"&lt;"&amp;1440,m_end,"&gt;"&amp;1140)&gt;1,"충돌",HYPERLINK("#'관리자_MASTER'!D"&amp;_xlfn.MAXIFS(m_row,m_teacher,BN$4,m_date,($G$2+33),m_active,1,m_start,"&lt;"&amp;1440,m_end,"&gt;"&amp;1140),INDEX(m_label,_xlfn.MAXIFS(m_row,m_teacher,BN$4,m_date,($G$2+33),m_active,1,m_start,"&lt;"&amp;1440,m_end,"&gt;"&amp;1140))))))</f>
        <v/>
      </c>
      <c r="BO70" s="89" t="str">
        <f aca="false">IF(OR(BO$4="",MONTH(($G$2+33))&lt;&gt;MONTH($C$2)),"",IF(COUNTIFS(m_teacher,BO$4,m_date,($G$2+33),m_active,1,m_start,"&lt;"&amp;1440,m_end,"&gt;"&amp;1140)=0,"",IF(COUNTIFS(m_teacher,BO$4,m_date,($G$2+33),m_active,1,m_start,"&lt;"&amp;1440,m_end,"&gt;"&amp;1140)&gt;1,"충돌",HYPERLINK("#'관리자_MASTER'!D"&amp;_xlfn.MAXIFS(m_row,m_teacher,BO$4,m_date,($G$2+33),m_active,1,m_start,"&lt;"&amp;1440,m_end,"&gt;"&amp;1140),INDEX(m_label,_xlfn.MAXIFS(m_row,m_teacher,BO$4,m_date,($G$2+33),m_active,1,m_start,"&lt;"&amp;1440,m_end,"&gt;"&amp;1140))))))</f>
        <v/>
      </c>
      <c r="BP70" s="89" t="str">
        <f aca="false">IF(OR(BP$4="",MONTH(($G$2+33))&lt;&gt;MONTH($C$2)),"",IF(COUNTIFS(m_teacher,BP$4,m_date,($G$2+33),m_active,1,m_start,"&lt;"&amp;1440,m_end,"&gt;"&amp;1140)=0,"",IF(COUNTIFS(m_teacher,BP$4,m_date,($G$2+33),m_active,1,m_start,"&lt;"&amp;1440,m_end,"&gt;"&amp;1140)&gt;1,"충돌",HYPERLINK("#'관리자_MASTER'!D"&amp;_xlfn.MAXIFS(m_row,m_teacher,BP$4,m_date,($G$2+33),m_active,1,m_start,"&lt;"&amp;1440,m_end,"&gt;"&amp;1140),INDEX(m_label,_xlfn.MAXIFS(m_row,m_teacher,BP$4,m_date,($G$2+33),m_active,1,m_start,"&lt;"&amp;1440,m_end,"&gt;"&amp;1140))))))</f>
        <v/>
      </c>
      <c r="BQ70" s="89" t="str">
        <f aca="false">IF(OR(BQ$4="",MONTH(($G$2+33))&lt;&gt;MONTH($C$2)),"",IF(COUNTIFS(m_teacher,BQ$4,m_date,($G$2+33),m_active,1,m_start,"&lt;"&amp;1440,m_end,"&gt;"&amp;1140)=0,"",IF(COUNTIFS(m_teacher,BQ$4,m_date,($G$2+33),m_active,1,m_start,"&lt;"&amp;1440,m_end,"&gt;"&amp;1140)&gt;1,"충돌",HYPERLINK("#'관리자_MASTER'!D"&amp;_xlfn.MAXIFS(m_row,m_teacher,BQ$4,m_date,($G$2+33),m_active,1,m_start,"&lt;"&amp;1440,m_end,"&gt;"&amp;1140),INDEX(m_label,_xlfn.MAXIFS(m_row,m_teacher,BQ$4,m_date,($G$2+33),m_active,1,m_start,"&lt;"&amp;1440,m_end,"&gt;"&amp;1140))))))</f>
        <v/>
      </c>
      <c r="BR70" s="89" t="str">
        <f aca="false">IF(OR(BR$4="",MONTH(($G$2+33))&lt;&gt;MONTH($C$2)),"",IF(COUNTIFS(m_teacher,BR$4,m_date,($G$2+33),m_active,1,m_start,"&lt;"&amp;1440,m_end,"&gt;"&amp;1140)=0,"",IF(COUNTIFS(m_teacher,BR$4,m_date,($G$2+33),m_active,1,m_start,"&lt;"&amp;1440,m_end,"&gt;"&amp;1140)&gt;1,"충돌",HYPERLINK("#'관리자_MASTER'!D"&amp;_xlfn.MAXIFS(m_row,m_teacher,BR$4,m_date,($G$2+33),m_active,1,m_start,"&lt;"&amp;1440,m_end,"&gt;"&amp;1140),INDEX(m_label,_xlfn.MAXIFS(m_row,m_teacher,BR$4,m_date,($G$2+33),m_active,1,m_start,"&lt;"&amp;1440,m_end,"&gt;"&amp;1140))))))</f>
        <v/>
      </c>
    </row>
    <row r="71" customFormat="false" ht="19.5" hidden="false" customHeight="true" outlineLevel="0" collapsed="false">
      <c r="A71" s="92" t="str">
        <f aca="false">IF(MONTH(($G$2+6))&lt;&gt;MONTH($C$2),"",CHOOSE(WEEKDAY(($G$2+6),2),"월","화","수","목","금","토","일")&amp;CHAR(10)&amp;TEXT(($G$2+6),"m/d"))</f>
        <v>일
1/3</v>
      </c>
      <c r="B71" s="79" t="s">
        <v>91</v>
      </c>
      <c r="C71" s="80" t="str">
        <f aca="false">IF(OR(C$4="",MONTH(($G$2+6))&lt;&gt;MONTH($C$2)),"",IF(COUNTIFS(m_teacher,C$4,m_date,($G$2+6),m_active,1,m_start,"&lt;"&amp;600,m_end,"&gt;"&amp;0)=0,"",IF(COUNTIFS(m_teacher,C$4,m_date,($G$2+6),m_active,1,m_start,"&lt;"&amp;600,m_end,"&gt;"&amp;0)&gt;1,"충돌",HYPERLINK("#'관리자_MASTER'!D"&amp;_xlfn.MAXIFS(m_row,m_teacher,C$4,m_date,($G$2+6),m_active,1,m_start,"&lt;"&amp;600,m_end,"&gt;"&amp;0),INDEX(m_label,_xlfn.MAXIFS(m_row,m_teacher,C$4,m_date,($G$2+6),m_active,1,m_start,"&lt;"&amp;600,m_end,"&gt;"&amp;0))))))</f>
        <v/>
      </c>
      <c r="D71" s="80" t="str">
        <f aca="false">IF(OR(D$4="",MONTH(($G$2+6))&lt;&gt;MONTH($C$2)),"",IF(COUNTIFS(m_teacher,D$4,m_date,($G$2+6),m_active,1,m_start,"&lt;"&amp;600,m_end,"&gt;"&amp;0)=0,"",IF(COUNTIFS(m_teacher,D$4,m_date,($G$2+6),m_active,1,m_start,"&lt;"&amp;600,m_end,"&gt;"&amp;0)&gt;1,"충돌",HYPERLINK("#'관리자_MASTER'!D"&amp;_xlfn.MAXIFS(m_row,m_teacher,D$4,m_date,($G$2+6),m_active,1,m_start,"&lt;"&amp;600,m_end,"&gt;"&amp;0),INDEX(m_label,_xlfn.MAXIFS(m_row,m_teacher,D$4,m_date,($G$2+6),m_active,1,m_start,"&lt;"&amp;600,m_end,"&gt;"&amp;0))))))</f>
        <v/>
      </c>
      <c r="E71" s="80" t="str">
        <f aca="false">IF(OR(E$4="",MONTH(($G$2+6))&lt;&gt;MONTH($C$2)),"",IF(COUNTIFS(m_teacher,E$4,m_date,($G$2+6),m_active,1,m_start,"&lt;"&amp;600,m_end,"&gt;"&amp;0)=0,"",IF(COUNTIFS(m_teacher,E$4,m_date,($G$2+6),m_active,1,m_start,"&lt;"&amp;600,m_end,"&gt;"&amp;0)&gt;1,"충돌",HYPERLINK("#'관리자_MASTER'!D"&amp;_xlfn.MAXIFS(m_row,m_teacher,E$4,m_date,($G$2+6),m_active,1,m_start,"&lt;"&amp;600,m_end,"&gt;"&amp;0),INDEX(m_label,_xlfn.MAXIFS(m_row,m_teacher,E$4,m_date,($G$2+6),m_active,1,m_start,"&lt;"&amp;600,m_end,"&gt;"&amp;0))))))</f>
        <v/>
      </c>
      <c r="F71" s="80" t="str">
        <f aca="false">IF(OR(F$4="",MONTH(($G$2+6))&lt;&gt;MONTH($C$2)),"",IF(COUNTIFS(m_teacher,F$4,m_date,($G$2+6),m_active,1,m_start,"&lt;"&amp;600,m_end,"&gt;"&amp;0)=0,"",IF(COUNTIFS(m_teacher,F$4,m_date,($G$2+6),m_active,1,m_start,"&lt;"&amp;600,m_end,"&gt;"&amp;0)&gt;1,"충돌",HYPERLINK("#'관리자_MASTER'!D"&amp;_xlfn.MAXIFS(m_row,m_teacher,F$4,m_date,($G$2+6),m_active,1,m_start,"&lt;"&amp;600,m_end,"&gt;"&amp;0),INDEX(m_label,_xlfn.MAXIFS(m_row,m_teacher,F$4,m_date,($G$2+6),m_active,1,m_start,"&lt;"&amp;600,m_end,"&gt;"&amp;0))))))</f>
        <v/>
      </c>
      <c r="G71" s="80" t="str">
        <f aca="false">IF(OR(G$4="",MONTH(($G$2+6))&lt;&gt;MONTH($C$2)),"",IF(COUNTIFS(m_teacher,G$4,m_date,($G$2+6),m_active,1,m_start,"&lt;"&amp;600,m_end,"&gt;"&amp;0)=0,"",IF(COUNTIFS(m_teacher,G$4,m_date,($G$2+6),m_active,1,m_start,"&lt;"&amp;600,m_end,"&gt;"&amp;0)&gt;1,"충돌",HYPERLINK("#'관리자_MASTER'!D"&amp;_xlfn.MAXIFS(m_row,m_teacher,G$4,m_date,($G$2+6),m_active,1,m_start,"&lt;"&amp;600,m_end,"&gt;"&amp;0),INDEX(m_label,_xlfn.MAXIFS(m_row,m_teacher,G$4,m_date,($G$2+6),m_active,1,m_start,"&lt;"&amp;600,m_end,"&gt;"&amp;0))))))</f>
        <v/>
      </c>
      <c r="H71" s="80" t="str">
        <f aca="false">IF(OR(H$4="",MONTH(($G$2+6))&lt;&gt;MONTH($C$2)),"",IF(COUNTIFS(m_teacher,H$4,m_date,($G$2+6),m_active,1,m_start,"&lt;"&amp;600,m_end,"&gt;"&amp;0)=0,"",IF(COUNTIFS(m_teacher,H$4,m_date,($G$2+6),m_active,1,m_start,"&lt;"&amp;600,m_end,"&gt;"&amp;0)&gt;1,"충돌",HYPERLINK("#'관리자_MASTER'!D"&amp;_xlfn.MAXIFS(m_row,m_teacher,H$4,m_date,($G$2+6),m_active,1,m_start,"&lt;"&amp;600,m_end,"&gt;"&amp;0),INDEX(m_label,_xlfn.MAXIFS(m_row,m_teacher,H$4,m_date,($G$2+6),m_active,1,m_start,"&lt;"&amp;600,m_end,"&gt;"&amp;0))))))</f>
        <v/>
      </c>
      <c r="I71" s="80" t="str">
        <f aca="false">IF(OR(I$4="",MONTH(($G$2+6))&lt;&gt;MONTH($C$2)),"",IF(COUNTIFS(m_teacher,I$4,m_date,($G$2+6),m_active,1,m_start,"&lt;"&amp;600,m_end,"&gt;"&amp;0)=0,"",IF(COUNTIFS(m_teacher,I$4,m_date,($G$2+6),m_active,1,m_start,"&lt;"&amp;600,m_end,"&gt;"&amp;0)&gt;1,"충돌",HYPERLINK("#'관리자_MASTER'!D"&amp;_xlfn.MAXIFS(m_row,m_teacher,I$4,m_date,($G$2+6),m_active,1,m_start,"&lt;"&amp;600,m_end,"&gt;"&amp;0),INDEX(m_label,_xlfn.MAXIFS(m_row,m_teacher,I$4,m_date,($G$2+6),m_active,1,m_start,"&lt;"&amp;600,m_end,"&gt;"&amp;0))))))</f>
        <v/>
      </c>
      <c r="J71" s="80" t="str">
        <f aca="false">IF(OR(J$4="",MONTH(($G$2+6))&lt;&gt;MONTH($C$2)),"",IF(COUNTIFS(m_teacher,J$4,m_date,($G$2+6),m_active,1,m_start,"&lt;"&amp;600,m_end,"&gt;"&amp;0)=0,"",IF(COUNTIFS(m_teacher,J$4,m_date,($G$2+6),m_active,1,m_start,"&lt;"&amp;600,m_end,"&gt;"&amp;0)&gt;1,"충돌",HYPERLINK("#'관리자_MASTER'!D"&amp;_xlfn.MAXIFS(m_row,m_teacher,J$4,m_date,($G$2+6),m_active,1,m_start,"&lt;"&amp;600,m_end,"&gt;"&amp;0),INDEX(m_label,_xlfn.MAXIFS(m_row,m_teacher,J$4,m_date,($G$2+6),m_active,1,m_start,"&lt;"&amp;600,m_end,"&gt;"&amp;0))))))</f>
        <v/>
      </c>
      <c r="K71" s="80" t="str">
        <f aca="false">IF(OR(K$4="",MONTH(($G$2+6))&lt;&gt;MONTH($C$2)),"",IF(COUNTIFS(m_teacher,K$4,m_date,($G$2+6),m_active,1,m_start,"&lt;"&amp;600,m_end,"&gt;"&amp;0)=0,"",IF(COUNTIFS(m_teacher,K$4,m_date,($G$2+6),m_active,1,m_start,"&lt;"&amp;600,m_end,"&gt;"&amp;0)&gt;1,"충돌",HYPERLINK("#'관리자_MASTER'!D"&amp;_xlfn.MAXIFS(m_row,m_teacher,K$4,m_date,($G$2+6),m_active,1,m_start,"&lt;"&amp;600,m_end,"&gt;"&amp;0),INDEX(m_label,_xlfn.MAXIFS(m_row,m_teacher,K$4,m_date,($G$2+6),m_active,1,m_start,"&lt;"&amp;600,m_end,"&gt;"&amp;0))))))</f>
        <v/>
      </c>
      <c r="L71" s="80" t="str">
        <f aca="false">IF(OR(L$4="",MONTH(($G$2+6))&lt;&gt;MONTH($C$2)),"",IF(COUNTIFS(m_teacher,L$4,m_date,($G$2+6),m_active,1,m_start,"&lt;"&amp;600,m_end,"&gt;"&amp;0)=0,"",IF(COUNTIFS(m_teacher,L$4,m_date,($G$2+6),m_active,1,m_start,"&lt;"&amp;600,m_end,"&gt;"&amp;0)&gt;1,"충돌",HYPERLINK("#'관리자_MASTER'!D"&amp;_xlfn.MAXIFS(m_row,m_teacher,L$4,m_date,($G$2+6),m_active,1,m_start,"&lt;"&amp;600,m_end,"&gt;"&amp;0),INDEX(m_label,_xlfn.MAXIFS(m_row,m_teacher,L$4,m_date,($G$2+6),m_active,1,m_start,"&lt;"&amp;600,m_end,"&gt;"&amp;0))))))</f>
        <v/>
      </c>
      <c r="M71" s="80" t="str">
        <f aca="false">IF(OR(M$4="",MONTH(($G$2+6))&lt;&gt;MONTH($C$2)),"",IF(COUNTIFS(m_teacher,M$4,m_date,($G$2+6),m_active,1,m_start,"&lt;"&amp;600,m_end,"&gt;"&amp;0)=0,"",IF(COUNTIFS(m_teacher,M$4,m_date,($G$2+6),m_active,1,m_start,"&lt;"&amp;600,m_end,"&gt;"&amp;0)&gt;1,"충돌",HYPERLINK("#'관리자_MASTER'!D"&amp;_xlfn.MAXIFS(m_row,m_teacher,M$4,m_date,($G$2+6),m_active,1,m_start,"&lt;"&amp;600,m_end,"&gt;"&amp;0),INDEX(m_label,_xlfn.MAXIFS(m_row,m_teacher,M$4,m_date,($G$2+6),m_active,1,m_start,"&lt;"&amp;600,m_end,"&gt;"&amp;0))))))</f>
        <v/>
      </c>
      <c r="N71" s="80" t="str">
        <f aca="false">IF(OR(N$4="",MONTH(($G$2+6))&lt;&gt;MONTH($C$2)),"",IF(COUNTIFS(m_teacher,N$4,m_date,($G$2+6),m_active,1,m_start,"&lt;"&amp;600,m_end,"&gt;"&amp;0)=0,"",IF(COUNTIFS(m_teacher,N$4,m_date,($G$2+6),m_active,1,m_start,"&lt;"&amp;600,m_end,"&gt;"&amp;0)&gt;1,"충돌",HYPERLINK("#'관리자_MASTER'!D"&amp;_xlfn.MAXIFS(m_row,m_teacher,N$4,m_date,($G$2+6),m_active,1,m_start,"&lt;"&amp;600,m_end,"&gt;"&amp;0),INDEX(m_label,_xlfn.MAXIFS(m_row,m_teacher,N$4,m_date,($G$2+6),m_active,1,m_start,"&lt;"&amp;600,m_end,"&gt;"&amp;0))))))</f>
        <v/>
      </c>
      <c r="O71" s="92" t="str">
        <f aca="false">IF(MONTH(($G$2+13))&lt;&gt;MONTH($C$2),"",CHOOSE(WEEKDAY(($G$2+13),2),"월","화","수","목","금","토","일")&amp;CHAR(10)&amp;TEXT(($G$2+13),"m/d"))</f>
        <v>일
1/10</v>
      </c>
      <c r="P71" s="79" t="s">
        <v>91</v>
      </c>
      <c r="Q71" s="80" t="str">
        <f aca="false">IF(OR(Q$4="",MONTH(($G$2+13))&lt;&gt;MONTH($C$2)),"",IF(COUNTIFS(m_teacher,Q$4,m_date,($G$2+13),m_active,1,m_start,"&lt;"&amp;600,m_end,"&gt;"&amp;0)=0,"",IF(COUNTIFS(m_teacher,Q$4,m_date,($G$2+13),m_active,1,m_start,"&lt;"&amp;600,m_end,"&gt;"&amp;0)&gt;1,"충돌",HYPERLINK("#'관리자_MASTER'!D"&amp;_xlfn.MAXIFS(m_row,m_teacher,Q$4,m_date,($G$2+13),m_active,1,m_start,"&lt;"&amp;600,m_end,"&gt;"&amp;0),INDEX(m_label,_xlfn.MAXIFS(m_row,m_teacher,Q$4,m_date,($G$2+13),m_active,1,m_start,"&lt;"&amp;600,m_end,"&gt;"&amp;0))))))</f>
        <v/>
      </c>
      <c r="R71" s="80" t="str">
        <f aca="false">IF(OR(R$4="",MONTH(($G$2+13))&lt;&gt;MONTH($C$2)),"",IF(COUNTIFS(m_teacher,R$4,m_date,($G$2+13),m_active,1,m_start,"&lt;"&amp;600,m_end,"&gt;"&amp;0)=0,"",IF(COUNTIFS(m_teacher,R$4,m_date,($G$2+13),m_active,1,m_start,"&lt;"&amp;600,m_end,"&gt;"&amp;0)&gt;1,"충돌",HYPERLINK("#'관리자_MASTER'!D"&amp;_xlfn.MAXIFS(m_row,m_teacher,R$4,m_date,($G$2+13),m_active,1,m_start,"&lt;"&amp;600,m_end,"&gt;"&amp;0),INDEX(m_label,_xlfn.MAXIFS(m_row,m_teacher,R$4,m_date,($G$2+13),m_active,1,m_start,"&lt;"&amp;600,m_end,"&gt;"&amp;0))))))</f>
        <v/>
      </c>
      <c r="S71" s="80" t="str">
        <f aca="false">IF(OR(S$4="",MONTH(($G$2+13))&lt;&gt;MONTH($C$2)),"",IF(COUNTIFS(m_teacher,S$4,m_date,($G$2+13),m_active,1,m_start,"&lt;"&amp;600,m_end,"&gt;"&amp;0)=0,"",IF(COUNTIFS(m_teacher,S$4,m_date,($G$2+13),m_active,1,m_start,"&lt;"&amp;600,m_end,"&gt;"&amp;0)&gt;1,"충돌",HYPERLINK("#'관리자_MASTER'!D"&amp;_xlfn.MAXIFS(m_row,m_teacher,S$4,m_date,($G$2+13),m_active,1,m_start,"&lt;"&amp;600,m_end,"&gt;"&amp;0),INDEX(m_label,_xlfn.MAXIFS(m_row,m_teacher,S$4,m_date,($G$2+13),m_active,1,m_start,"&lt;"&amp;600,m_end,"&gt;"&amp;0))))))</f>
        <v/>
      </c>
      <c r="T71" s="80" t="str">
        <f aca="false">IF(OR(T$4="",MONTH(($G$2+13))&lt;&gt;MONTH($C$2)),"",IF(COUNTIFS(m_teacher,T$4,m_date,($G$2+13),m_active,1,m_start,"&lt;"&amp;600,m_end,"&gt;"&amp;0)=0,"",IF(COUNTIFS(m_teacher,T$4,m_date,($G$2+13),m_active,1,m_start,"&lt;"&amp;600,m_end,"&gt;"&amp;0)&gt;1,"충돌",HYPERLINK("#'관리자_MASTER'!D"&amp;_xlfn.MAXIFS(m_row,m_teacher,T$4,m_date,($G$2+13),m_active,1,m_start,"&lt;"&amp;600,m_end,"&gt;"&amp;0),INDEX(m_label,_xlfn.MAXIFS(m_row,m_teacher,T$4,m_date,($G$2+13),m_active,1,m_start,"&lt;"&amp;600,m_end,"&gt;"&amp;0))))))</f>
        <v/>
      </c>
      <c r="U71" s="80" t="str">
        <f aca="false">IF(OR(U$4="",MONTH(($G$2+13))&lt;&gt;MONTH($C$2)),"",IF(COUNTIFS(m_teacher,U$4,m_date,($G$2+13),m_active,1,m_start,"&lt;"&amp;600,m_end,"&gt;"&amp;0)=0,"",IF(COUNTIFS(m_teacher,U$4,m_date,($G$2+13),m_active,1,m_start,"&lt;"&amp;600,m_end,"&gt;"&amp;0)&gt;1,"충돌",HYPERLINK("#'관리자_MASTER'!D"&amp;_xlfn.MAXIFS(m_row,m_teacher,U$4,m_date,($G$2+13),m_active,1,m_start,"&lt;"&amp;600,m_end,"&gt;"&amp;0),INDEX(m_label,_xlfn.MAXIFS(m_row,m_teacher,U$4,m_date,($G$2+13),m_active,1,m_start,"&lt;"&amp;600,m_end,"&gt;"&amp;0))))))</f>
        <v/>
      </c>
      <c r="V71" s="80" t="str">
        <f aca="false">IF(OR(V$4="",MONTH(($G$2+13))&lt;&gt;MONTH($C$2)),"",IF(COUNTIFS(m_teacher,V$4,m_date,($G$2+13),m_active,1,m_start,"&lt;"&amp;600,m_end,"&gt;"&amp;0)=0,"",IF(COUNTIFS(m_teacher,V$4,m_date,($G$2+13),m_active,1,m_start,"&lt;"&amp;600,m_end,"&gt;"&amp;0)&gt;1,"충돌",HYPERLINK("#'관리자_MASTER'!D"&amp;_xlfn.MAXIFS(m_row,m_teacher,V$4,m_date,($G$2+13),m_active,1,m_start,"&lt;"&amp;600,m_end,"&gt;"&amp;0),INDEX(m_label,_xlfn.MAXIFS(m_row,m_teacher,V$4,m_date,($G$2+13),m_active,1,m_start,"&lt;"&amp;600,m_end,"&gt;"&amp;0))))))</f>
        <v/>
      </c>
      <c r="W71" s="80" t="str">
        <f aca="false">IF(OR(W$4="",MONTH(($G$2+13))&lt;&gt;MONTH($C$2)),"",IF(COUNTIFS(m_teacher,W$4,m_date,($G$2+13),m_active,1,m_start,"&lt;"&amp;600,m_end,"&gt;"&amp;0)=0,"",IF(COUNTIFS(m_teacher,W$4,m_date,($G$2+13),m_active,1,m_start,"&lt;"&amp;600,m_end,"&gt;"&amp;0)&gt;1,"충돌",HYPERLINK("#'관리자_MASTER'!D"&amp;_xlfn.MAXIFS(m_row,m_teacher,W$4,m_date,($G$2+13),m_active,1,m_start,"&lt;"&amp;600,m_end,"&gt;"&amp;0),INDEX(m_label,_xlfn.MAXIFS(m_row,m_teacher,W$4,m_date,($G$2+13),m_active,1,m_start,"&lt;"&amp;600,m_end,"&gt;"&amp;0))))))</f>
        <v/>
      </c>
      <c r="X71" s="80" t="str">
        <f aca="false">IF(OR(X$4="",MONTH(($G$2+13))&lt;&gt;MONTH($C$2)),"",IF(COUNTIFS(m_teacher,X$4,m_date,($G$2+13),m_active,1,m_start,"&lt;"&amp;600,m_end,"&gt;"&amp;0)=0,"",IF(COUNTIFS(m_teacher,X$4,m_date,($G$2+13),m_active,1,m_start,"&lt;"&amp;600,m_end,"&gt;"&amp;0)&gt;1,"충돌",HYPERLINK("#'관리자_MASTER'!D"&amp;_xlfn.MAXIFS(m_row,m_teacher,X$4,m_date,($G$2+13),m_active,1,m_start,"&lt;"&amp;600,m_end,"&gt;"&amp;0),INDEX(m_label,_xlfn.MAXIFS(m_row,m_teacher,X$4,m_date,($G$2+13),m_active,1,m_start,"&lt;"&amp;600,m_end,"&gt;"&amp;0))))))</f>
        <v/>
      </c>
      <c r="Y71" s="80" t="str">
        <f aca="false">IF(OR(Y$4="",MONTH(($G$2+13))&lt;&gt;MONTH($C$2)),"",IF(COUNTIFS(m_teacher,Y$4,m_date,($G$2+13),m_active,1,m_start,"&lt;"&amp;600,m_end,"&gt;"&amp;0)=0,"",IF(COUNTIFS(m_teacher,Y$4,m_date,($G$2+13),m_active,1,m_start,"&lt;"&amp;600,m_end,"&gt;"&amp;0)&gt;1,"충돌",HYPERLINK("#'관리자_MASTER'!D"&amp;_xlfn.MAXIFS(m_row,m_teacher,Y$4,m_date,($G$2+13),m_active,1,m_start,"&lt;"&amp;600,m_end,"&gt;"&amp;0),INDEX(m_label,_xlfn.MAXIFS(m_row,m_teacher,Y$4,m_date,($G$2+13),m_active,1,m_start,"&lt;"&amp;600,m_end,"&gt;"&amp;0))))))</f>
        <v/>
      </c>
      <c r="Z71" s="80" t="str">
        <f aca="false">IF(OR(Z$4="",MONTH(($G$2+13))&lt;&gt;MONTH($C$2)),"",IF(COUNTIFS(m_teacher,Z$4,m_date,($G$2+13),m_active,1,m_start,"&lt;"&amp;600,m_end,"&gt;"&amp;0)=0,"",IF(COUNTIFS(m_teacher,Z$4,m_date,($G$2+13),m_active,1,m_start,"&lt;"&amp;600,m_end,"&gt;"&amp;0)&gt;1,"충돌",HYPERLINK("#'관리자_MASTER'!D"&amp;_xlfn.MAXIFS(m_row,m_teacher,Z$4,m_date,($G$2+13),m_active,1,m_start,"&lt;"&amp;600,m_end,"&gt;"&amp;0),INDEX(m_label,_xlfn.MAXIFS(m_row,m_teacher,Z$4,m_date,($G$2+13),m_active,1,m_start,"&lt;"&amp;600,m_end,"&gt;"&amp;0))))))</f>
        <v/>
      </c>
      <c r="AA71" s="80" t="str">
        <f aca="false">IF(OR(AA$4="",MONTH(($G$2+13))&lt;&gt;MONTH($C$2)),"",IF(COUNTIFS(m_teacher,AA$4,m_date,($G$2+13),m_active,1,m_start,"&lt;"&amp;600,m_end,"&gt;"&amp;0)=0,"",IF(COUNTIFS(m_teacher,AA$4,m_date,($G$2+13),m_active,1,m_start,"&lt;"&amp;600,m_end,"&gt;"&amp;0)&gt;1,"충돌",HYPERLINK("#'관리자_MASTER'!D"&amp;_xlfn.MAXIFS(m_row,m_teacher,AA$4,m_date,($G$2+13),m_active,1,m_start,"&lt;"&amp;600,m_end,"&gt;"&amp;0),INDEX(m_label,_xlfn.MAXIFS(m_row,m_teacher,AA$4,m_date,($G$2+13),m_active,1,m_start,"&lt;"&amp;600,m_end,"&gt;"&amp;0))))))</f>
        <v/>
      </c>
      <c r="AB71" s="80" t="str">
        <f aca="false">IF(OR(AB$4="",MONTH(($G$2+13))&lt;&gt;MONTH($C$2)),"",IF(COUNTIFS(m_teacher,AB$4,m_date,($G$2+13),m_active,1,m_start,"&lt;"&amp;600,m_end,"&gt;"&amp;0)=0,"",IF(COUNTIFS(m_teacher,AB$4,m_date,($G$2+13),m_active,1,m_start,"&lt;"&amp;600,m_end,"&gt;"&amp;0)&gt;1,"충돌",HYPERLINK("#'관리자_MASTER'!D"&amp;_xlfn.MAXIFS(m_row,m_teacher,AB$4,m_date,($G$2+13),m_active,1,m_start,"&lt;"&amp;600,m_end,"&gt;"&amp;0),INDEX(m_label,_xlfn.MAXIFS(m_row,m_teacher,AB$4,m_date,($G$2+13),m_active,1,m_start,"&lt;"&amp;600,m_end,"&gt;"&amp;0))))))</f>
        <v/>
      </c>
      <c r="AC71" s="92" t="str">
        <f aca="false">IF(MONTH(($G$2+20))&lt;&gt;MONTH($C$2),"",CHOOSE(WEEKDAY(($G$2+20),2),"월","화","수","목","금","토","일")&amp;CHAR(10)&amp;TEXT(($G$2+20),"m/d"))</f>
        <v>일
1/17</v>
      </c>
      <c r="AD71" s="79" t="s">
        <v>91</v>
      </c>
      <c r="AE71" s="80" t="str">
        <f aca="false">IF(OR(AE$4="",MONTH(($G$2+20))&lt;&gt;MONTH($C$2)),"",IF(COUNTIFS(m_teacher,AE$4,m_date,($G$2+20),m_active,1,m_start,"&lt;"&amp;600,m_end,"&gt;"&amp;0)=0,"",IF(COUNTIFS(m_teacher,AE$4,m_date,($G$2+20),m_active,1,m_start,"&lt;"&amp;600,m_end,"&gt;"&amp;0)&gt;1,"충돌",HYPERLINK("#'관리자_MASTER'!D"&amp;_xlfn.MAXIFS(m_row,m_teacher,AE$4,m_date,($G$2+20),m_active,1,m_start,"&lt;"&amp;600,m_end,"&gt;"&amp;0),INDEX(m_label,_xlfn.MAXIFS(m_row,m_teacher,AE$4,m_date,($G$2+20),m_active,1,m_start,"&lt;"&amp;600,m_end,"&gt;"&amp;0))))))</f>
        <v/>
      </c>
      <c r="AF71" s="80" t="str">
        <f aca="false">IF(OR(AF$4="",MONTH(($G$2+20))&lt;&gt;MONTH($C$2)),"",IF(COUNTIFS(m_teacher,AF$4,m_date,($G$2+20),m_active,1,m_start,"&lt;"&amp;600,m_end,"&gt;"&amp;0)=0,"",IF(COUNTIFS(m_teacher,AF$4,m_date,($G$2+20),m_active,1,m_start,"&lt;"&amp;600,m_end,"&gt;"&amp;0)&gt;1,"충돌",HYPERLINK("#'관리자_MASTER'!D"&amp;_xlfn.MAXIFS(m_row,m_teacher,AF$4,m_date,($G$2+20),m_active,1,m_start,"&lt;"&amp;600,m_end,"&gt;"&amp;0),INDEX(m_label,_xlfn.MAXIFS(m_row,m_teacher,AF$4,m_date,($G$2+20),m_active,1,m_start,"&lt;"&amp;600,m_end,"&gt;"&amp;0))))))</f>
        <v/>
      </c>
      <c r="AG71" s="80" t="str">
        <f aca="false">IF(OR(AG$4="",MONTH(($G$2+20))&lt;&gt;MONTH($C$2)),"",IF(COUNTIFS(m_teacher,AG$4,m_date,($G$2+20),m_active,1,m_start,"&lt;"&amp;600,m_end,"&gt;"&amp;0)=0,"",IF(COUNTIFS(m_teacher,AG$4,m_date,($G$2+20),m_active,1,m_start,"&lt;"&amp;600,m_end,"&gt;"&amp;0)&gt;1,"충돌",HYPERLINK("#'관리자_MASTER'!D"&amp;_xlfn.MAXIFS(m_row,m_teacher,AG$4,m_date,($G$2+20),m_active,1,m_start,"&lt;"&amp;600,m_end,"&gt;"&amp;0),INDEX(m_label,_xlfn.MAXIFS(m_row,m_teacher,AG$4,m_date,($G$2+20),m_active,1,m_start,"&lt;"&amp;600,m_end,"&gt;"&amp;0))))))</f>
        <v/>
      </c>
      <c r="AH71" s="80" t="str">
        <f aca="false">IF(OR(AH$4="",MONTH(($G$2+20))&lt;&gt;MONTH($C$2)),"",IF(COUNTIFS(m_teacher,AH$4,m_date,($G$2+20),m_active,1,m_start,"&lt;"&amp;600,m_end,"&gt;"&amp;0)=0,"",IF(COUNTIFS(m_teacher,AH$4,m_date,($G$2+20),m_active,1,m_start,"&lt;"&amp;600,m_end,"&gt;"&amp;0)&gt;1,"충돌",HYPERLINK("#'관리자_MASTER'!D"&amp;_xlfn.MAXIFS(m_row,m_teacher,AH$4,m_date,($G$2+20),m_active,1,m_start,"&lt;"&amp;600,m_end,"&gt;"&amp;0),INDEX(m_label,_xlfn.MAXIFS(m_row,m_teacher,AH$4,m_date,($G$2+20),m_active,1,m_start,"&lt;"&amp;600,m_end,"&gt;"&amp;0))))))</f>
        <v/>
      </c>
      <c r="AI71" s="80" t="str">
        <f aca="false">IF(OR(AI$4="",MONTH(($G$2+20))&lt;&gt;MONTH($C$2)),"",IF(COUNTIFS(m_teacher,AI$4,m_date,($G$2+20),m_active,1,m_start,"&lt;"&amp;600,m_end,"&gt;"&amp;0)=0,"",IF(COUNTIFS(m_teacher,AI$4,m_date,($G$2+20),m_active,1,m_start,"&lt;"&amp;600,m_end,"&gt;"&amp;0)&gt;1,"충돌",HYPERLINK("#'관리자_MASTER'!D"&amp;_xlfn.MAXIFS(m_row,m_teacher,AI$4,m_date,($G$2+20),m_active,1,m_start,"&lt;"&amp;600,m_end,"&gt;"&amp;0),INDEX(m_label,_xlfn.MAXIFS(m_row,m_teacher,AI$4,m_date,($G$2+20),m_active,1,m_start,"&lt;"&amp;600,m_end,"&gt;"&amp;0))))))</f>
        <v/>
      </c>
      <c r="AJ71" s="80" t="str">
        <f aca="false">IF(OR(AJ$4="",MONTH(($G$2+20))&lt;&gt;MONTH($C$2)),"",IF(COUNTIFS(m_teacher,AJ$4,m_date,($G$2+20),m_active,1,m_start,"&lt;"&amp;600,m_end,"&gt;"&amp;0)=0,"",IF(COUNTIFS(m_teacher,AJ$4,m_date,($G$2+20),m_active,1,m_start,"&lt;"&amp;600,m_end,"&gt;"&amp;0)&gt;1,"충돌",HYPERLINK("#'관리자_MASTER'!D"&amp;_xlfn.MAXIFS(m_row,m_teacher,AJ$4,m_date,($G$2+20),m_active,1,m_start,"&lt;"&amp;600,m_end,"&gt;"&amp;0),INDEX(m_label,_xlfn.MAXIFS(m_row,m_teacher,AJ$4,m_date,($G$2+20),m_active,1,m_start,"&lt;"&amp;600,m_end,"&gt;"&amp;0))))))</f>
        <v/>
      </c>
      <c r="AK71" s="80" t="str">
        <f aca="false">IF(OR(AK$4="",MONTH(($G$2+20))&lt;&gt;MONTH($C$2)),"",IF(COUNTIFS(m_teacher,AK$4,m_date,($G$2+20),m_active,1,m_start,"&lt;"&amp;600,m_end,"&gt;"&amp;0)=0,"",IF(COUNTIFS(m_teacher,AK$4,m_date,($G$2+20),m_active,1,m_start,"&lt;"&amp;600,m_end,"&gt;"&amp;0)&gt;1,"충돌",HYPERLINK("#'관리자_MASTER'!D"&amp;_xlfn.MAXIFS(m_row,m_teacher,AK$4,m_date,($G$2+20),m_active,1,m_start,"&lt;"&amp;600,m_end,"&gt;"&amp;0),INDEX(m_label,_xlfn.MAXIFS(m_row,m_teacher,AK$4,m_date,($G$2+20),m_active,1,m_start,"&lt;"&amp;600,m_end,"&gt;"&amp;0))))))</f>
        <v/>
      </c>
      <c r="AL71" s="80" t="str">
        <f aca="false">IF(OR(AL$4="",MONTH(($G$2+20))&lt;&gt;MONTH($C$2)),"",IF(COUNTIFS(m_teacher,AL$4,m_date,($G$2+20),m_active,1,m_start,"&lt;"&amp;600,m_end,"&gt;"&amp;0)=0,"",IF(COUNTIFS(m_teacher,AL$4,m_date,($G$2+20),m_active,1,m_start,"&lt;"&amp;600,m_end,"&gt;"&amp;0)&gt;1,"충돌",HYPERLINK("#'관리자_MASTER'!D"&amp;_xlfn.MAXIFS(m_row,m_teacher,AL$4,m_date,($G$2+20),m_active,1,m_start,"&lt;"&amp;600,m_end,"&gt;"&amp;0),INDEX(m_label,_xlfn.MAXIFS(m_row,m_teacher,AL$4,m_date,($G$2+20),m_active,1,m_start,"&lt;"&amp;600,m_end,"&gt;"&amp;0))))))</f>
        <v/>
      </c>
      <c r="AM71" s="80" t="str">
        <f aca="false">IF(OR(AM$4="",MONTH(($G$2+20))&lt;&gt;MONTH($C$2)),"",IF(COUNTIFS(m_teacher,AM$4,m_date,($G$2+20),m_active,1,m_start,"&lt;"&amp;600,m_end,"&gt;"&amp;0)=0,"",IF(COUNTIFS(m_teacher,AM$4,m_date,($G$2+20),m_active,1,m_start,"&lt;"&amp;600,m_end,"&gt;"&amp;0)&gt;1,"충돌",HYPERLINK("#'관리자_MASTER'!D"&amp;_xlfn.MAXIFS(m_row,m_teacher,AM$4,m_date,($G$2+20),m_active,1,m_start,"&lt;"&amp;600,m_end,"&gt;"&amp;0),INDEX(m_label,_xlfn.MAXIFS(m_row,m_teacher,AM$4,m_date,($G$2+20),m_active,1,m_start,"&lt;"&amp;600,m_end,"&gt;"&amp;0))))))</f>
        <v/>
      </c>
      <c r="AN71" s="80" t="str">
        <f aca="false">IF(OR(AN$4="",MONTH(($G$2+20))&lt;&gt;MONTH($C$2)),"",IF(COUNTIFS(m_teacher,AN$4,m_date,($G$2+20),m_active,1,m_start,"&lt;"&amp;600,m_end,"&gt;"&amp;0)=0,"",IF(COUNTIFS(m_teacher,AN$4,m_date,($G$2+20),m_active,1,m_start,"&lt;"&amp;600,m_end,"&gt;"&amp;0)&gt;1,"충돌",HYPERLINK("#'관리자_MASTER'!D"&amp;_xlfn.MAXIFS(m_row,m_teacher,AN$4,m_date,($G$2+20),m_active,1,m_start,"&lt;"&amp;600,m_end,"&gt;"&amp;0),INDEX(m_label,_xlfn.MAXIFS(m_row,m_teacher,AN$4,m_date,($G$2+20),m_active,1,m_start,"&lt;"&amp;600,m_end,"&gt;"&amp;0))))))</f>
        <v/>
      </c>
      <c r="AO71" s="80" t="str">
        <f aca="false">IF(OR(AO$4="",MONTH(($G$2+20))&lt;&gt;MONTH($C$2)),"",IF(COUNTIFS(m_teacher,AO$4,m_date,($G$2+20),m_active,1,m_start,"&lt;"&amp;600,m_end,"&gt;"&amp;0)=0,"",IF(COUNTIFS(m_teacher,AO$4,m_date,($G$2+20),m_active,1,m_start,"&lt;"&amp;600,m_end,"&gt;"&amp;0)&gt;1,"충돌",HYPERLINK("#'관리자_MASTER'!D"&amp;_xlfn.MAXIFS(m_row,m_teacher,AO$4,m_date,($G$2+20),m_active,1,m_start,"&lt;"&amp;600,m_end,"&gt;"&amp;0),INDEX(m_label,_xlfn.MAXIFS(m_row,m_teacher,AO$4,m_date,($G$2+20),m_active,1,m_start,"&lt;"&amp;600,m_end,"&gt;"&amp;0))))))</f>
        <v/>
      </c>
      <c r="AP71" s="80" t="str">
        <f aca="false">IF(OR(AP$4="",MONTH(($G$2+20))&lt;&gt;MONTH($C$2)),"",IF(COUNTIFS(m_teacher,AP$4,m_date,($G$2+20),m_active,1,m_start,"&lt;"&amp;600,m_end,"&gt;"&amp;0)=0,"",IF(COUNTIFS(m_teacher,AP$4,m_date,($G$2+20),m_active,1,m_start,"&lt;"&amp;600,m_end,"&gt;"&amp;0)&gt;1,"충돌",HYPERLINK("#'관리자_MASTER'!D"&amp;_xlfn.MAXIFS(m_row,m_teacher,AP$4,m_date,($G$2+20),m_active,1,m_start,"&lt;"&amp;600,m_end,"&gt;"&amp;0),INDEX(m_label,_xlfn.MAXIFS(m_row,m_teacher,AP$4,m_date,($G$2+20),m_active,1,m_start,"&lt;"&amp;600,m_end,"&gt;"&amp;0))))))</f>
        <v/>
      </c>
      <c r="AQ71" s="92" t="str">
        <f aca="false">IF(MONTH(($G$2+27))&lt;&gt;MONTH($C$2),"",CHOOSE(WEEKDAY(($G$2+27),2),"월","화","수","목","금","토","일")&amp;CHAR(10)&amp;TEXT(($G$2+27),"m/d"))</f>
        <v>일
1/24</v>
      </c>
      <c r="AR71" s="79" t="s">
        <v>91</v>
      </c>
      <c r="AS71" s="80" t="str">
        <f aca="false">IF(OR(AS$4="",MONTH(($G$2+27))&lt;&gt;MONTH($C$2)),"",IF(COUNTIFS(m_teacher,AS$4,m_date,($G$2+27),m_active,1,m_start,"&lt;"&amp;600,m_end,"&gt;"&amp;0)=0,"",IF(COUNTIFS(m_teacher,AS$4,m_date,($G$2+27),m_active,1,m_start,"&lt;"&amp;600,m_end,"&gt;"&amp;0)&gt;1,"충돌",HYPERLINK("#'관리자_MASTER'!D"&amp;_xlfn.MAXIFS(m_row,m_teacher,AS$4,m_date,($G$2+27),m_active,1,m_start,"&lt;"&amp;600,m_end,"&gt;"&amp;0),INDEX(m_label,_xlfn.MAXIFS(m_row,m_teacher,AS$4,m_date,($G$2+27),m_active,1,m_start,"&lt;"&amp;600,m_end,"&gt;"&amp;0))))))</f>
        <v/>
      </c>
      <c r="AT71" s="80" t="str">
        <f aca="false">IF(OR(AT$4="",MONTH(($G$2+27))&lt;&gt;MONTH($C$2)),"",IF(COUNTIFS(m_teacher,AT$4,m_date,($G$2+27),m_active,1,m_start,"&lt;"&amp;600,m_end,"&gt;"&amp;0)=0,"",IF(COUNTIFS(m_teacher,AT$4,m_date,($G$2+27),m_active,1,m_start,"&lt;"&amp;600,m_end,"&gt;"&amp;0)&gt;1,"충돌",HYPERLINK("#'관리자_MASTER'!D"&amp;_xlfn.MAXIFS(m_row,m_teacher,AT$4,m_date,($G$2+27),m_active,1,m_start,"&lt;"&amp;600,m_end,"&gt;"&amp;0),INDEX(m_label,_xlfn.MAXIFS(m_row,m_teacher,AT$4,m_date,($G$2+27),m_active,1,m_start,"&lt;"&amp;600,m_end,"&gt;"&amp;0))))))</f>
        <v/>
      </c>
      <c r="AU71" s="80" t="str">
        <f aca="false">IF(OR(AU$4="",MONTH(($G$2+27))&lt;&gt;MONTH($C$2)),"",IF(COUNTIFS(m_teacher,AU$4,m_date,($G$2+27),m_active,1,m_start,"&lt;"&amp;600,m_end,"&gt;"&amp;0)=0,"",IF(COUNTIFS(m_teacher,AU$4,m_date,($G$2+27),m_active,1,m_start,"&lt;"&amp;600,m_end,"&gt;"&amp;0)&gt;1,"충돌",HYPERLINK("#'관리자_MASTER'!D"&amp;_xlfn.MAXIFS(m_row,m_teacher,AU$4,m_date,($G$2+27),m_active,1,m_start,"&lt;"&amp;600,m_end,"&gt;"&amp;0),INDEX(m_label,_xlfn.MAXIFS(m_row,m_teacher,AU$4,m_date,($G$2+27),m_active,1,m_start,"&lt;"&amp;600,m_end,"&gt;"&amp;0))))))</f>
        <v/>
      </c>
      <c r="AV71" s="80" t="str">
        <f aca="false">IF(OR(AV$4="",MONTH(($G$2+27))&lt;&gt;MONTH($C$2)),"",IF(COUNTIFS(m_teacher,AV$4,m_date,($G$2+27),m_active,1,m_start,"&lt;"&amp;600,m_end,"&gt;"&amp;0)=0,"",IF(COUNTIFS(m_teacher,AV$4,m_date,($G$2+27),m_active,1,m_start,"&lt;"&amp;600,m_end,"&gt;"&amp;0)&gt;1,"충돌",HYPERLINK("#'관리자_MASTER'!D"&amp;_xlfn.MAXIFS(m_row,m_teacher,AV$4,m_date,($G$2+27),m_active,1,m_start,"&lt;"&amp;600,m_end,"&gt;"&amp;0),INDEX(m_label,_xlfn.MAXIFS(m_row,m_teacher,AV$4,m_date,($G$2+27),m_active,1,m_start,"&lt;"&amp;600,m_end,"&gt;"&amp;0))))))</f>
        <v/>
      </c>
      <c r="AW71" s="80" t="str">
        <f aca="false">IF(OR(AW$4="",MONTH(($G$2+27))&lt;&gt;MONTH($C$2)),"",IF(COUNTIFS(m_teacher,AW$4,m_date,($G$2+27),m_active,1,m_start,"&lt;"&amp;600,m_end,"&gt;"&amp;0)=0,"",IF(COUNTIFS(m_teacher,AW$4,m_date,($G$2+27),m_active,1,m_start,"&lt;"&amp;600,m_end,"&gt;"&amp;0)&gt;1,"충돌",HYPERLINK("#'관리자_MASTER'!D"&amp;_xlfn.MAXIFS(m_row,m_teacher,AW$4,m_date,($G$2+27),m_active,1,m_start,"&lt;"&amp;600,m_end,"&gt;"&amp;0),INDEX(m_label,_xlfn.MAXIFS(m_row,m_teacher,AW$4,m_date,($G$2+27),m_active,1,m_start,"&lt;"&amp;600,m_end,"&gt;"&amp;0))))))</f>
        <v/>
      </c>
      <c r="AX71" s="80" t="str">
        <f aca="false">IF(OR(AX$4="",MONTH(($G$2+27))&lt;&gt;MONTH($C$2)),"",IF(COUNTIFS(m_teacher,AX$4,m_date,($G$2+27),m_active,1,m_start,"&lt;"&amp;600,m_end,"&gt;"&amp;0)=0,"",IF(COUNTIFS(m_teacher,AX$4,m_date,($G$2+27),m_active,1,m_start,"&lt;"&amp;600,m_end,"&gt;"&amp;0)&gt;1,"충돌",HYPERLINK("#'관리자_MASTER'!D"&amp;_xlfn.MAXIFS(m_row,m_teacher,AX$4,m_date,($G$2+27),m_active,1,m_start,"&lt;"&amp;600,m_end,"&gt;"&amp;0),INDEX(m_label,_xlfn.MAXIFS(m_row,m_teacher,AX$4,m_date,($G$2+27),m_active,1,m_start,"&lt;"&amp;600,m_end,"&gt;"&amp;0))))))</f>
        <v/>
      </c>
      <c r="AY71" s="80" t="str">
        <f aca="false">IF(OR(AY$4="",MONTH(($G$2+27))&lt;&gt;MONTH($C$2)),"",IF(COUNTIFS(m_teacher,AY$4,m_date,($G$2+27),m_active,1,m_start,"&lt;"&amp;600,m_end,"&gt;"&amp;0)=0,"",IF(COUNTIFS(m_teacher,AY$4,m_date,($G$2+27),m_active,1,m_start,"&lt;"&amp;600,m_end,"&gt;"&amp;0)&gt;1,"충돌",HYPERLINK("#'관리자_MASTER'!D"&amp;_xlfn.MAXIFS(m_row,m_teacher,AY$4,m_date,($G$2+27),m_active,1,m_start,"&lt;"&amp;600,m_end,"&gt;"&amp;0),INDEX(m_label,_xlfn.MAXIFS(m_row,m_teacher,AY$4,m_date,($G$2+27),m_active,1,m_start,"&lt;"&amp;600,m_end,"&gt;"&amp;0))))))</f>
        <v/>
      </c>
      <c r="AZ71" s="80" t="str">
        <f aca="false">IF(OR(AZ$4="",MONTH(($G$2+27))&lt;&gt;MONTH($C$2)),"",IF(COUNTIFS(m_teacher,AZ$4,m_date,($G$2+27),m_active,1,m_start,"&lt;"&amp;600,m_end,"&gt;"&amp;0)=0,"",IF(COUNTIFS(m_teacher,AZ$4,m_date,($G$2+27),m_active,1,m_start,"&lt;"&amp;600,m_end,"&gt;"&amp;0)&gt;1,"충돌",HYPERLINK("#'관리자_MASTER'!D"&amp;_xlfn.MAXIFS(m_row,m_teacher,AZ$4,m_date,($G$2+27),m_active,1,m_start,"&lt;"&amp;600,m_end,"&gt;"&amp;0),INDEX(m_label,_xlfn.MAXIFS(m_row,m_teacher,AZ$4,m_date,($G$2+27),m_active,1,m_start,"&lt;"&amp;600,m_end,"&gt;"&amp;0))))))</f>
        <v/>
      </c>
      <c r="BA71" s="80" t="str">
        <f aca="false">IF(OR(BA$4="",MONTH(($G$2+27))&lt;&gt;MONTH($C$2)),"",IF(COUNTIFS(m_teacher,BA$4,m_date,($G$2+27),m_active,1,m_start,"&lt;"&amp;600,m_end,"&gt;"&amp;0)=0,"",IF(COUNTIFS(m_teacher,BA$4,m_date,($G$2+27),m_active,1,m_start,"&lt;"&amp;600,m_end,"&gt;"&amp;0)&gt;1,"충돌",HYPERLINK("#'관리자_MASTER'!D"&amp;_xlfn.MAXIFS(m_row,m_teacher,BA$4,m_date,($G$2+27),m_active,1,m_start,"&lt;"&amp;600,m_end,"&gt;"&amp;0),INDEX(m_label,_xlfn.MAXIFS(m_row,m_teacher,BA$4,m_date,($G$2+27),m_active,1,m_start,"&lt;"&amp;600,m_end,"&gt;"&amp;0))))))</f>
        <v/>
      </c>
      <c r="BB71" s="80" t="str">
        <f aca="false">IF(OR(BB$4="",MONTH(($G$2+27))&lt;&gt;MONTH($C$2)),"",IF(COUNTIFS(m_teacher,BB$4,m_date,($G$2+27),m_active,1,m_start,"&lt;"&amp;600,m_end,"&gt;"&amp;0)=0,"",IF(COUNTIFS(m_teacher,BB$4,m_date,($G$2+27),m_active,1,m_start,"&lt;"&amp;600,m_end,"&gt;"&amp;0)&gt;1,"충돌",HYPERLINK("#'관리자_MASTER'!D"&amp;_xlfn.MAXIFS(m_row,m_teacher,BB$4,m_date,($G$2+27),m_active,1,m_start,"&lt;"&amp;600,m_end,"&gt;"&amp;0),INDEX(m_label,_xlfn.MAXIFS(m_row,m_teacher,BB$4,m_date,($G$2+27),m_active,1,m_start,"&lt;"&amp;600,m_end,"&gt;"&amp;0))))))</f>
        <v/>
      </c>
      <c r="BC71" s="80" t="str">
        <f aca="false">IF(OR(BC$4="",MONTH(($G$2+27))&lt;&gt;MONTH($C$2)),"",IF(COUNTIFS(m_teacher,BC$4,m_date,($G$2+27),m_active,1,m_start,"&lt;"&amp;600,m_end,"&gt;"&amp;0)=0,"",IF(COUNTIFS(m_teacher,BC$4,m_date,($G$2+27),m_active,1,m_start,"&lt;"&amp;600,m_end,"&gt;"&amp;0)&gt;1,"충돌",HYPERLINK("#'관리자_MASTER'!D"&amp;_xlfn.MAXIFS(m_row,m_teacher,BC$4,m_date,($G$2+27),m_active,1,m_start,"&lt;"&amp;600,m_end,"&gt;"&amp;0),INDEX(m_label,_xlfn.MAXIFS(m_row,m_teacher,BC$4,m_date,($G$2+27),m_active,1,m_start,"&lt;"&amp;600,m_end,"&gt;"&amp;0))))))</f>
        <v/>
      </c>
      <c r="BD71" s="80" t="str">
        <f aca="false">IF(OR(BD$4="",MONTH(($G$2+27))&lt;&gt;MONTH($C$2)),"",IF(COUNTIFS(m_teacher,BD$4,m_date,($G$2+27),m_active,1,m_start,"&lt;"&amp;600,m_end,"&gt;"&amp;0)=0,"",IF(COUNTIFS(m_teacher,BD$4,m_date,($G$2+27),m_active,1,m_start,"&lt;"&amp;600,m_end,"&gt;"&amp;0)&gt;1,"충돌",HYPERLINK("#'관리자_MASTER'!D"&amp;_xlfn.MAXIFS(m_row,m_teacher,BD$4,m_date,($G$2+27),m_active,1,m_start,"&lt;"&amp;600,m_end,"&gt;"&amp;0),INDEX(m_label,_xlfn.MAXIFS(m_row,m_teacher,BD$4,m_date,($G$2+27),m_active,1,m_start,"&lt;"&amp;600,m_end,"&gt;"&amp;0))))))</f>
        <v/>
      </c>
      <c r="BE71" s="92" t="str">
        <f aca="false">IF(MONTH(($G$2+34))&lt;&gt;MONTH($C$2),"",CHOOSE(WEEKDAY(($G$2+34),2),"월","화","수","목","금","토","일")&amp;CHAR(10)&amp;TEXT(($G$2+34),"m/d"))</f>
        <v>일
1/31</v>
      </c>
      <c r="BF71" s="79" t="s">
        <v>91</v>
      </c>
      <c r="BG71" s="80" t="str">
        <f aca="false">IF(OR(BG$4="",MONTH(($G$2+34))&lt;&gt;MONTH($C$2)),"",IF(COUNTIFS(m_teacher,BG$4,m_date,($G$2+34),m_active,1,m_start,"&lt;"&amp;600,m_end,"&gt;"&amp;0)=0,"",IF(COUNTIFS(m_teacher,BG$4,m_date,($G$2+34),m_active,1,m_start,"&lt;"&amp;600,m_end,"&gt;"&amp;0)&gt;1,"충돌",HYPERLINK("#'관리자_MASTER'!D"&amp;_xlfn.MAXIFS(m_row,m_teacher,BG$4,m_date,($G$2+34),m_active,1,m_start,"&lt;"&amp;600,m_end,"&gt;"&amp;0),INDEX(m_label,_xlfn.MAXIFS(m_row,m_teacher,BG$4,m_date,($G$2+34),m_active,1,m_start,"&lt;"&amp;600,m_end,"&gt;"&amp;0))))))</f>
        <v/>
      </c>
      <c r="BH71" s="80" t="str">
        <f aca="false">IF(OR(BH$4="",MONTH(($G$2+34))&lt;&gt;MONTH($C$2)),"",IF(COUNTIFS(m_teacher,BH$4,m_date,($G$2+34),m_active,1,m_start,"&lt;"&amp;600,m_end,"&gt;"&amp;0)=0,"",IF(COUNTIFS(m_teacher,BH$4,m_date,($G$2+34),m_active,1,m_start,"&lt;"&amp;600,m_end,"&gt;"&amp;0)&gt;1,"충돌",HYPERLINK("#'관리자_MASTER'!D"&amp;_xlfn.MAXIFS(m_row,m_teacher,BH$4,m_date,($G$2+34),m_active,1,m_start,"&lt;"&amp;600,m_end,"&gt;"&amp;0),INDEX(m_label,_xlfn.MAXIFS(m_row,m_teacher,BH$4,m_date,($G$2+34),m_active,1,m_start,"&lt;"&amp;600,m_end,"&gt;"&amp;0))))))</f>
        <v/>
      </c>
      <c r="BI71" s="80" t="str">
        <f aca="false">IF(OR(BI$4="",MONTH(($G$2+34))&lt;&gt;MONTH($C$2)),"",IF(COUNTIFS(m_teacher,BI$4,m_date,($G$2+34),m_active,1,m_start,"&lt;"&amp;600,m_end,"&gt;"&amp;0)=0,"",IF(COUNTIFS(m_teacher,BI$4,m_date,($G$2+34),m_active,1,m_start,"&lt;"&amp;600,m_end,"&gt;"&amp;0)&gt;1,"충돌",HYPERLINK("#'관리자_MASTER'!D"&amp;_xlfn.MAXIFS(m_row,m_teacher,BI$4,m_date,($G$2+34),m_active,1,m_start,"&lt;"&amp;600,m_end,"&gt;"&amp;0),INDEX(m_label,_xlfn.MAXIFS(m_row,m_teacher,BI$4,m_date,($G$2+34),m_active,1,m_start,"&lt;"&amp;600,m_end,"&gt;"&amp;0))))))</f>
        <v/>
      </c>
      <c r="BJ71" s="80" t="str">
        <f aca="false">IF(OR(BJ$4="",MONTH(($G$2+34))&lt;&gt;MONTH($C$2)),"",IF(COUNTIFS(m_teacher,BJ$4,m_date,($G$2+34),m_active,1,m_start,"&lt;"&amp;600,m_end,"&gt;"&amp;0)=0,"",IF(COUNTIFS(m_teacher,BJ$4,m_date,($G$2+34),m_active,1,m_start,"&lt;"&amp;600,m_end,"&gt;"&amp;0)&gt;1,"충돌",HYPERLINK("#'관리자_MASTER'!D"&amp;_xlfn.MAXIFS(m_row,m_teacher,BJ$4,m_date,($G$2+34),m_active,1,m_start,"&lt;"&amp;600,m_end,"&gt;"&amp;0),INDEX(m_label,_xlfn.MAXIFS(m_row,m_teacher,BJ$4,m_date,($G$2+34),m_active,1,m_start,"&lt;"&amp;600,m_end,"&gt;"&amp;0))))))</f>
        <v/>
      </c>
      <c r="BK71" s="80" t="str">
        <f aca="false">IF(OR(BK$4="",MONTH(($G$2+34))&lt;&gt;MONTH($C$2)),"",IF(COUNTIFS(m_teacher,BK$4,m_date,($G$2+34),m_active,1,m_start,"&lt;"&amp;600,m_end,"&gt;"&amp;0)=0,"",IF(COUNTIFS(m_teacher,BK$4,m_date,($G$2+34),m_active,1,m_start,"&lt;"&amp;600,m_end,"&gt;"&amp;0)&gt;1,"충돌",HYPERLINK("#'관리자_MASTER'!D"&amp;_xlfn.MAXIFS(m_row,m_teacher,BK$4,m_date,($G$2+34),m_active,1,m_start,"&lt;"&amp;600,m_end,"&gt;"&amp;0),INDEX(m_label,_xlfn.MAXIFS(m_row,m_teacher,BK$4,m_date,($G$2+34),m_active,1,m_start,"&lt;"&amp;600,m_end,"&gt;"&amp;0))))))</f>
        <v/>
      </c>
      <c r="BL71" s="80" t="str">
        <f aca="false">IF(OR(BL$4="",MONTH(($G$2+34))&lt;&gt;MONTH($C$2)),"",IF(COUNTIFS(m_teacher,BL$4,m_date,($G$2+34),m_active,1,m_start,"&lt;"&amp;600,m_end,"&gt;"&amp;0)=0,"",IF(COUNTIFS(m_teacher,BL$4,m_date,($G$2+34),m_active,1,m_start,"&lt;"&amp;600,m_end,"&gt;"&amp;0)&gt;1,"충돌",HYPERLINK("#'관리자_MASTER'!D"&amp;_xlfn.MAXIFS(m_row,m_teacher,BL$4,m_date,($G$2+34),m_active,1,m_start,"&lt;"&amp;600,m_end,"&gt;"&amp;0),INDEX(m_label,_xlfn.MAXIFS(m_row,m_teacher,BL$4,m_date,($G$2+34),m_active,1,m_start,"&lt;"&amp;600,m_end,"&gt;"&amp;0))))))</f>
        <v/>
      </c>
      <c r="BM71" s="80" t="str">
        <f aca="false">IF(OR(BM$4="",MONTH(($G$2+34))&lt;&gt;MONTH($C$2)),"",IF(COUNTIFS(m_teacher,BM$4,m_date,($G$2+34),m_active,1,m_start,"&lt;"&amp;600,m_end,"&gt;"&amp;0)=0,"",IF(COUNTIFS(m_teacher,BM$4,m_date,($G$2+34),m_active,1,m_start,"&lt;"&amp;600,m_end,"&gt;"&amp;0)&gt;1,"충돌",HYPERLINK("#'관리자_MASTER'!D"&amp;_xlfn.MAXIFS(m_row,m_teacher,BM$4,m_date,($G$2+34),m_active,1,m_start,"&lt;"&amp;600,m_end,"&gt;"&amp;0),INDEX(m_label,_xlfn.MAXIFS(m_row,m_teacher,BM$4,m_date,($G$2+34),m_active,1,m_start,"&lt;"&amp;600,m_end,"&gt;"&amp;0))))))</f>
        <v/>
      </c>
      <c r="BN71" s="80" t="str">
        <f aca="false">IF(OR(BN$4="",MONTH(($G$2+34))&lt;&gt;MONTH($C$2)),"",IF(COUNTIFS(m_teacher,BN$4,m_date,($G$2+34),m_active,1,m_start,"&lt;"&amp;600,m_end,"&gt;"&amp;0)=0,"",IF(COUNTIFS(m_teacher,BN$4,m_date,($G$2+34),m_active,1,m_start,"&lt;"&amp;600,m_end,"&gt;"&amp;0)&gt;1,"충돌",HYPERLINK("#'관리자_MASTER'!D"&amp;_xlfn.MAXIFS(m_row,m_teacher,BN$4,m_date,($G$2+34),m_active,1,m_start,"&lt;"&amp;600,m_end,"&gt;"&amp;0),INDEX(m_label,_xlfn.MAXIFS(m_row,m_teacher,BN$4,m_date,($G$2+34),m_active,1,m_start,"&lt;"&amp;600,m_end,"&gt;"&amp;0))))))</f>
        <v/>
      </c>
      <c r="BO71" s="80" t="str">
        <f aca="false">IF(OR(BO$4="",MONTH(($G$2+34))&lt;&gt;MONTH($C$2)),"",IF(COUNTIFS(m_teacher,BO$4,m_date,($G$2+34),m_active,1,m_start,"&lt;"&amp;600,m_end,"&gt;"&amp;0)=0,"",IF(COUNTIFS(m_teacher,BO$4,m_date,($G$2+34),m_active,1,m_start,"&lt;"&amp;600,m_end,"&gt;"&amp;0)&gt;1,"충돌",HYPERLINK("#'관리자_MASTER'!D"&amp;_xlfn.MAXIFS(m_row,m_teacher,BO$4,m_date,($G$2+34),m_active,1,m_start,"&lt;"&amp;600,m_end,"&gt;"&amp;0),INDEX(m_label,_xlfn.MAXIFS(m_row,m_teacher,BO$4,m_date,($G$2+34),m_active,1,m_start,"&lt;"&amp;600,m_end,"&gt;"&amp;0))))))</f>
        <v/>
      </c>
      <c r="BP71" s="80" t="str">
        <f aca="false">IF(OR(BP$4="",MONTH(($G$2+34))&lt;&gt;MONTH($C$2)),"",IF(COUNTIFS(m_teacher,BP$4,m_date,($G$2+34),m_active,1,m_start,"&lt;"&amp;600,m_end,"&gt;"&amp;0)=0,"",IF(COUNTIFS(m_teacher,BP$4,m_date,($G$2+34),m_active,1,m_start,"&lt;"&amp;600,m_end,"&gt;"&amp;0)&gt;1,"충돌",HYPERLINK("#'관리자_MASTER'!D"&amp;_xlfn.MAXIFS(m_row,m_teacher,BP$4,m_date,($G$2+34),m_active,1,m_start,"&lt;"&amp;600,m_end,"&gt;"&amp;0),INDEX(m_label,_xlfn.MAXIFS(m_row,m_teacher,BP$4,m_date,($G$2+34),m_active,1,m_start,"&lt;"&amp;600,m_end,"&gt;"&amp;0))))))</f>
        <v/>
      </c>
      <c r="BQ71" s="80" t="str">
        <f aca="false">IF(OR(BQ$4="",MONTH(($G$2+34))&lt;&gt;MONTH($C$2)),"",IF(COUNTIFS(m_teacher,BQ$4,m_date,($G$2+34),m_active,1,m_start,"&lt;"&amp;600,m_end,"&gt;"&amp;0)=0,"",IF(COUNTIFS(m_teacher,BQ$4,m_date,($G$2+34),m_active,1,m_start,"&lt;"&amp;600,m_end,"&gt;"&amp;0)&gt;1,"충돌",HYPERLINK("#'관리자_MASTER'!D"&amp;_xlfn.MAXIFS(m_row,m_teacher,BQ$4,m_date,($G$2+34),m_active,1,m_start,"&lt;"&amp;600,m_end,"&gt;"&amp;0),INDEX(m_label,_xlfn.MAXIFS(m_row,m_teacher,BQ$4,m_date,($G$2+34),m_active,1,m_start,"&lt;"&amp;600,m_end,"&gt;"&amp;0))))))</f>
        <v/>
      </c>
      <c r="BR71" s="80" t="str">
        <f aca="false">IF(OR(BR$4="",MONTH(($G$2+34))&lt;&gt;MONTH($C$2)),"",IF(COUNTIFS(m_teacher,BR$4,m_date,($G$2+34),m_active,1,m_start,"&lt;"&amp;600,m_end,"&gt;"&amp;0)=0,"",IF(COUNTIFS(m_teacher,BR$4,m_date,($G$2+34),m_active,1,m_start,"&lt;"&amp;600,m_end,"&gt;"&amp;0)&gt;1,"충돌",HYPERLINK("#'관리자_MASTER'!D"&amp;_xlfn.MAXIFS(m_row,m_teacher,BR$4,m_date,($G$2+34),m_active,1,m_start,"&lt;"&amp;600,m_end,"&gt;"&amp;0),INDEX(m_label,_xlfn.MAXIFS(m_row,m_teacher,BR$4,m_date,($G$2+34),m_active,1,m_start,"&lt;"&amp;600,m_end,"&gt;"&amp;0))))))</f>
        <v/>
      </c>
    </row>
    <row r="72" customFormat="false" ht="19.5" hidden="false" customHeight="true" outlineLevel="0" collapsed="false">
      <c r="A72" s="92"/>
      <c r="B72" s="79" t="s">
        <v>92</v>
      </c>
      <c r="C72" s="82" t="str">
        <f aca="false">IF(OR(C$4="",MONTH(($G$2+6))&lt;&gt;MONTH($C$2)),"",IF(COUNTIFS(m_teacher,C$4,m_date,($G$2+6),m_active,1,m_start,"&lt;"&amp;660,m_end,"&gt;"&amp;600)=0,"",IF(COUNTIFS(m_teacher,C$4,m_date,($G$2+6),m_active,1,m_start,"&lt;"&amp;660,m_end,"&gt;"&amp;600)&gt;1,"충돌",HYPERLINK("#'관리자_MASTER'!D"&amp;_xlfn.MAXIFS(m_row,m_teacher,C$4,m_date,($G$2+6),m_active,1,m_start,"&lt;"&amp;660,m_end,"&gt;"&amp;600),INDEX(m_label,_xlfn.MAXIFS(m_row,m_teacher,C$4,m_date,($G$2+6),m_active,1,m_start,"&lt;"&amp;660,m_end,"&gt;"&amp;600))))))</f>
        <v/>
      </c>
      <c r="D72" s="82" t="str">
        <f aca="false">IF(OR(D$4="",MONTH(($G$2+6))&lt;&gt;MONTH($C$2)),"",IF(COUNTIFS(m_teacher,D$4,m_date,($G$2+6),m_active,1,m_start,"&lt;"&amp;660,m_end,"&gt;"&amp;600)=0,"",IF(COUNTIFS(m_teacher,D$4,m_date,($G$2+6),m_active,1,m_start,"&lt;"&amp;660,m_end,"&gt;"&amp;600)&gt;1,"충돌",HYPERLINK("#'관리자_MASTER'!D"&amp;_xlfn.MAXIFS(m_row,m_teacher,D$4,m_date,($G$2+6),m_active,1,m_start,"&lt;"&amp;660,m_end,"&gt;"&amp;600),INDEX(m_label,_xlfn.MAXIFS(m_row,m_teacher,D$4,m_date,($G$2+6),m_active,1,m_start,"&lt;"&amp;660,m_end,"&gt;"&amp;600))))))</f>
        <v/>
      </c>
      <c r="E72" s="82" t="str">
        <f aca="false">IF(OR(E$4="",MONTH(($G$2+6))&lt;&gt;MONTH($C$2)),"",IF(COUNTIFS(m_teacher,E$4,m_date,($G$2+6),m_active,1,m_start,"&lt;"&amp;660,m_end,"&gt;"&amp;600)=0,"",IF(COUNTIFS(m_teacher,E$4,m_date,($G$2+6),m_active,1,m_start,"&lt;"&amp;660,m_end,"&gt;"&amp;600)&gt;1,"충돌",HYPERLINK("#'관리자_MASTER'!D"&amp;_xlfn.MAXIFS(m_row,m_teacher,E$4,m_date,($G$2+6),m_active,1,m_start,"&lt;"&amp;660,m_end,"&gt;"&amp;600),INDEX(m_label,_xlfn.MAXIFS(m_row,m_teacher,E$4,m_date,($G$2+6),m_active,1,m_start,"&lt;"&amp;660,m_end,"&gt;"&amp;600))))))</f>
        <v/>
      </c>
      <c r="F72" s="82" t="str">
        <f aca="false">IF(OR(F$4="",MONTH(($G$2+6))&lt;&gt;MONTH($C$2)),"",IF(COUNTIFS(m_teacher,F$4,m_date,($G$2+6),m_active,1,m_start,"&lt;"&amp;660,m_end,"&gt;"&amp;600)=0,"",IF(COUNTIFS(m_teacher,F$4,m_date,($G$2+6),m_active,1,m_start,"&lt;"&amp;660,m_end,"&gt;"&amp;600)&gt;1,"충돌",HYPERLINK("#'관리자_MASTER'!D"&amp;_xlfn.MAXIFS(m_row,m_teacher,F$4,m_date,($G$2+6),m_active,1,m_start,"&lt;"&amp;660,m_end,"&gt;"&amp;600),INDEX(m_label,_xlfn.MAXIFS(m_row,m_teacher,F$4,m_date,($G$2+6),m_active,1,m_start,"&lt;"&amp;660,m_end,"&gt;"&amp;600))))))</f>
        <v/>
      </c>
      <c r="G72" s="82" t="str">
        <f aca="false">IF(OR(G$4="",MONTH(($G$2+6))&lt;&gt;MONTH($C$2)),"",IF(COUNTIFS(m_teacher,G$4,m_date,($G$2+6),m_active,1,m_start,"&lt;"&amp;660,m_end,"&gt;"&amp;600)=0,"",IF(COUNTIFS(m_teacher,G$4,m_date,($G$2+6),m_active,1,m_start,"&lt;"&amp;660,m_end,"&gt;"&amp;600)&gt;1,"충돌",HYPERLINK("#'관리자_MASTER'!D"&amp;_xlfn.MAXIFS(m_row,m_teacher,G$4,m_date,($G$2+6),m_active,1,m_start,"&lt;"&amp;660,m_end,"&gt;"&amp;600),INDEX(m_label,_xlfn.MAXIFS(m_row,m_teacher,G$4,m_date,($G$2+6),m_active,1,m_start,"&lt;"&amp;660,m_end,"&gt;"&amp;600))))))</f>
        <v/>
      </c>
      <c r="H72" s="82" t="str">
        <f aca="false">IF(OR(H$4="",MONTH(($G$2+6))&lt;&gt;MONTH($C$2)),"",IF(COUNTIFS(m_teacher,H$4,m_date,($G$2+6),m_active,1,m_start,"&lt;"&amp;660,m_end,"&gt;"&amp;600)=0,"",IF(COUNTIFS(m_teacher,H$4,m_date,($G$2+6),m_active,1,m_start,"&lt;"&amp;660,m_end,"&gt;"&amp;600)&gt;1,"충돌",HYPERLINK("#'관리자_MASTER'!D"&amp;_xlfn.MAXIFS(m_row,m_teacher,H$4,m_date,($G$2+6),m_active,1,m_start,"&lt;"&amp;660,m_end,"&gt;"&amp;600),INDEX(m_label,_xlfn.MAXIFS(m_row,m_teacher,H$4,m_date,($G$2+6),m_active,1,m_start,"&lt;"&amp;660,m_end,"&gt;"&amp;600))))))</f>
        <v/>
      </c>
      <c r="I72" s="82" t="str">
        <f aca="false">IF(OR(I$4="",MONTH(($G$2+6))&lt;&gt;MONTH($C$2)),"",IF(COUNTIFS(m_teacher,I$4,m_date,($G$2+6),m_active,1,m_start,"&lt;"&amp;660,m_end,"&gt;"&amp;600)=0,"",IF(COUNTIFS(m_teacher,I$4,m_date,($G$2+6),m_active,1,m_start,"&lt;"&amp;660,m_end,"&gt;"&amp;600)&gt;1,"충돌",HYPERLINK("#'관리자_MASTER'!D"&amp;_xlfn.MAXIFS(m_row,m_teacher,I$4,m_date,($G$2+6),m_active,1,m_start,"&lt;"&amp;660,m_end,"&gt;"&amp;600),INDEX(m_label,_xlfn.MAXIFS(m_row,m_teacher,I$4,m_date,($G$2+6),m_active,1,m_start,"&lt;"&amp;660,m_end,"&gt;"&amp;600))))))</f>
        <v/>
      </c>
      <c r="J72" s="82" t="str">
        <f aca="false">IF(OR(J$4="",MONTH(($G$2+6))&lt;&gt;MONTH($C$2)),"",IF(COUNTIFS(m_teacher,J$4,m_date,($G$2+6),m_active,1,m_start,"&lt;"&amp;660,m_end,"&gt;"&amp;600)=0,"",IF(COUNTIFS(m_teacher,J$4,m_date,($G$2+6),m_active,1,m_start,"&lt;"&amp;660,m_end,"&gt;"&amp;600)&gt;1,"충돌",HYPERLINK("#'관리자_MASTER'!D"&amp;_xlfn.MAXIFS(m_row,m_teacher,J$4,m_date,($G$2+6),m_active,1,m_start,"&lt;"&amp;660,m_end,"&gt;"&amp;600),INDEX(m_label,_xlfn.MAXIFS(m_row,m_teacher,J$4,m_date,($G$2+6),m_active,1,m_start,"&lt;"&amp;660,m_end,"&gt;"&amp;600))))))</f>
        <v/>
      </c>
      <c r="K72" s="82" t="str">
        <f aca="false">IF(OR(K$4="",MONTH(($G$2+6))&lt;&gt;MONTH($C$2)),"",IF(COUNTIFS(m_teacher,K$4,m_date,($G$2+6),m_active,1,m_start,"&lt;"&amp;660,m_end,"&gt;"&amp;600)=0,"",IF(COUNTIFS(m_teacher,K$4,m_date,($G$2+6),m_active,1,m_start,"&lt;"&amp;660,m_end,"&gt;"&amp;600)&gt;1,"충돌",HYPERLINK("#'관리자_MASTER'!D"&amp;_xlfn.MAXIFS(m_row,m_teacher,K$4,m_date,($G$2+6),m_active,1,m_start,"&lt;"&amp;660,m_end,"&gt;"&amp;600),INDEX(m_label,_xlfn.MAXIFS(m_row,m_teacher,K$4,m_date,($G$2+6),m_active,1,m_start,"&lt;"&amp;660,m_end,"&gt;"&amp;600))))))</f>
        <v/>
      </c>
      <c r="L72" s="82" t="str">
        <f aca="false">IF(OR(L$4="",MONTH(($G$2+6))&lt;&gt;MONTH($C$2)),"",IF(COUNTIFS(m_teacher,L$4,m_date,($G$2+6),m_active,1,m_start,"&lt;"&amp;660,m_end,"&gt;"&amp;600)=0,"",IF(COUNTIFS(m_teacher,L$4,m_date,($G$2+6),m_active,1,m_start,"&lt;"&amp;660,m_end,"&gt;"&amp;600)&gt;1,"충돌",HYPERLINK("#'관리자_MASTER'!D"&amp;_xlfn.MAXIFS(m_row,m_teacher,L$4,m_date,($G$2+6),m_active,1,m_start,"&lt;"&amp;660,m_end,"&gt;"&amp;600),INDEX(m_label,_xlfn.MAXIFS(m_row,m_teacher,L$4,m_date,($G$2+6),m_active,1,m_start,"&lt;"&amp;660,m_end,"&gt;"&amp;600))))))</f>
        <v/>
      </c>
      <c r="M72" s="82" t="str">
        <f aca="false">IF(OR(M$4="",MONTH(($G$2+6))&lt;&gt;MONTH($C$2)),"",IF(COUNTIFS(m_teacher,M$4,m_date,($G$2+6),m_active,1,m_start,"&lt;"&amp;660,m_end,"&gt;"&amp;600)=0,"",IF(COUNTIFS(m_teacher,M$4,m_date,($G$2+6),m_active,1,m_start,"&lt;"&amp;660,m_end,"&gt;"&amp;600)&gt;1,"충돌",HYPERLINK("#'관리자_MASTER'!D"&amp;_xlfn.MAXIFS(m_row,m_teacher,M$4,m_date,($G$2+6),m_active,1,m_start,"&lt;"&amp;660,m_end,"&gt;"&amp;600),INDEX(m_label,_xlfn.MAXIFS(m_row,m_teacher,M$4,m_date,($G$2+6),m_active,1,m_start,"&lt;"&amp;660,m_end,"&gt;"&amp;600))))))</f>
        <v/>
      </c>
      <c r="N72" s="82" t="str">
        <f aca="false">IF(OR(N$4="",MONTH(($G$2+6))&lt;&gt;MONTH($C$2)),"",IF(COUNTIFS(m_teacher,N$4,m_date,($G$2+6),m_active,1,m_start,"&lt;"&amp;660,m_end,"&gt;"&amp;600)=0,"",IF(COUNTIFS(m_teacher,N$4,m_date,($G$2+6),m_active,1,m_start,"&lt;"&amp;660,m_end,"&gt;"&amp;600)&gt;1,"충돌",HYPERLINK("#'관리자_MASTER'!D"&amp;_xlfn.MAXIFS(m_row,m_teacher,N$4,m_date,($G$2+6),m_active,1,m_start,"&lt;"&amp;660,m_end,"&gt;"&amp;600),INDEX(m_label,_xlfn.MAXIFS(m_row,m_teacher,N$4,m_date,($G$2+6),m_active,1,m_start,"&lt;"&amp;660,m_end,"&gt;"&amp;600))))))</f>
        <v/>
      </c>
      <c r="O72" s="92"/>
      <c r="P72" s="79" t="s">
        <v>92</v>
      </c>
      <c r="Q72" s="82" t="str">
        <f aca="false">IF(OR(Q$4="",MONTH(($G$2+13))&lt;&gt;MONTH($C$2)),"",IF(COUNTIFS(m_teacher,Q$4,m_date,($G$2+13),m_active,1,m_start,"&lt;"&amp;660,m_end,"&gt;"&amp;600)=0,"",IF(COUNTIFS(m_teacher,Q$4,m_date,($G$2+13),m_active,1,m_start,"&lt;"&amp;660,m_end,"&gt;"&amp;600)&gt;1,"충돌",HYPERLINK("#'관리자_MASTER'!D"&amp;_xlfn.MAXIFS(m_row,m_teacher,Q$4,m_date,($G$2+13),m_active,1,m_start,"&lt;"&amp;660,m_end,"&gt;"&amp;600),INDEX(m_label,_xlfn.MAXIFS(m_row,m_teacher,Q$4,m_date,($G$2+13),m_active,1,m_start,"&lt;"&amp;660,m_end,"&gt;"&amp;600))))))</f>
        <v/>
      </c>
      <c r="R72" s="82" t="str">
        <f aca="false">IF(OR(R$4="",MONTH(($G$2+13))&lt;&gt;MONTH($C$2)),"",IF(COUNTIFS(m_teacher,R$4,m_date,($G$2+13),m_active,1,m_start,"&lt;"&amp;660,m_end,"&gt;"&amp;600)=0,"",IF(COUNTIFS(m_teacher,R$4,m_date,($G$2+13),m_active,1,m_start,"&lt;"&amp;660,m_end,"&gt;"&amp;600)&gt;1,"충돌",HYPERLINK("#'관리자_MASTER'!D"&amp;_xlfn.MAXIFS(m_row,m_teacher,R$4,m_date,($G$2+13),m_active,1,m_start,"&lt;"&amp;660,m_end,"&gt;"&amp;600),INDEX(m_label,_xlfn.MAXIFS(m_row,m_teacher,R$4,m_date,($G$2+13),m_active,1,m_start,"&lt;"&amp;660,m_end,"&gt;"&amp;600))))))</f>
        <v/>
      </c>
      <c r="S72" s="82" t="str">
        <f aca="false">IF(OR(S$4="",MONTH(($G$2+13))&lt;&gt;MONTH($C$2)),"",IF(COUNTIFS(m_teacher,S$4,m_date,($G$2+13),m_active,1,m_start,"&lt;"&amp;660,m_end,"&gt;"&amp;600)=0,"",IF(COUNTIFS(m_teacher,S$4,m_date,($G$2+13),m_active,1,m_start,"&lt;"&amp;660,m_end,"&gt;"&amp;600)&gt;1,"충돌",HYPERLINK("#'관리자_MASTER'!D"&amp;_xlfn.MAXIFS(m_row,m_teacher,S$4,m_date,($G$2+13),m_active,1,m_start,"&lt;"&amp;660,m_end,"&gt;"&amp;600),INDEX(m_label,_xlfn.MAXIFS(m_row,m_teacher,S$4,m_date,($G$2+13),m_active,1,m_start,"&lt;"&amp;660,m_end,"&gt;"&amp;600))))))</f>
        <v/>
      </c>
      <c r="T72" s="82" t="str">
        <f aca="false">IF(OR(T$4="",MONTH(($G$2+13))&lt;&gt;MONTH($C$2)),"",IF(COUNTIFS(m_teacher,T$4,m_date,($G$2+13),m_active,1,m_start,"&lt;"&amp;660,m_end,"&gt;"&amp;600)=0,"",IF(COUNTIFS(m_teacher,T$4,m_date,($G$2+13),m_active,1,m_start,"&lt;"&amp;660,m_end,"&gt;"&amp;600)&gt;1,"충돌",HYPERLINK("#'관리자_MASTER'!D"&amp;_xlfn.MAXIFS(m_row,m_teacher,T$4,m_date,($G$2+13),m_active,1,m_start,"&lt;"&amp;660,m_end,"&gt;"&amp;600),INDEX(m_label,_xlfn.MAXIFS(m_row,m_teacher,T$4,m_date,($G$2+13),m_active,1,m_start,"&lt;"&amp;660,m_end,"&gt;"&amp;600))))))</f>
        <v/>
      </c>
      <c r="U72" s="82" t="str">
        <f aca="false">IF(OR(U$4="",MONTH(($G$2+13))&lt;&gt;MONTH($C$2)),"",IF(COUNTIFS(m_teacher,U$4,m_date,($G$2+13),m_active,1,m_start,"&lt;"&amp;660,m_end,"&gt;"&amp;600)=0,"",IF(COUNTIFS(m_teacher,U$4,m_date,($G$2+13),m_active,1,m_start,"&lt;"&amp;660,m_end,"&gt;"&amp;600)&gt;1,"충돌",HYPERLINK("#'관리자_MASTER'!D"&amp;_xlfn.MAXIFS(m_row,m_teacher,U$4,m_date,($G$2+13),m_active,1,m_start,"&lt;"&amp;660,m_end,"&gt;"&amp;600),INDEX(m_label,_xlfn.MAXIFS(m_row,m_teacher,U$4,m_date,($G$2+13),m_active,1,m_start,"&lt;"&amp;660,m_end,"&gt;"&amp;600))))))</f>
        <v/>
      </c>
      <c r="V72" s="82" t="str">
        <f aca="false">IF(OR(V$4="",MONTH(($G$2+13))&lt;&gt;MONTH($C$2)),"",IF(COUNTIFS(m_teacher,V$4,m_date,($G$2+13),m_active,1,m_start,"&lt;"&amp;660,m_end,"&gt;"&amp;600)=0,"",IF(COUNTIFS(m_teacher,V$4,m_date,($G$2+13),m_active,1,m_start,"&lt;"&amp;660,m_end,"&gt;"&amp;600)&gt;1,"충돌",HYPERLINK("#'관리자_MASTER'!D"&amp;_xlfn.MAXIFS(m_row,m_teacher,V$4,m_date,($G$2+13),m_active,1,m_start,"&lt;"&amp;660,m_end,"&gt;"&amp;600),INDEX(m_label,_xlfn.MAXIFS(m_row,m_teacher,V$4,m_date,($G$2+13),m_active,1,m_start,"&lt;"&amp;660,m_end,"&gt;"&amp;600))))))</f>
        <v/>
      </c>
      <c r="W72" s="82" t="str">
        <f aca="false">IF(OR(W$4="",MONTH(($G$2+13))&lt;&gt;MONTH($C$2)),"",IF(COUNTIFS(m_teacher,W$4,m_date,($G$2+13),m_active,1,m_start,"&lt;"&amp;660,m_end,"&gt;"&amp;600)=0,"",IF(COUNTIFS(m_teacher,W$4,m_date,($G$2+13),m_active,1,m_start,"&lt;"&amp;660,m_end,"&gt;"&amp;600)&gt;1,"충돌",HYPERLINK("#'관리자_MASTER'!D"&amp;_xlfn.MAXIFS(m_row,m_teacher,W$4,m_date,($G$2+13),m_active,1,m_start,"&lt;"&amp;660,m_end,"&gt;"&amp;600),INDEX(m_label,_xlfn.MAXIFS(m_row,m_teacher,W$4,m_date,($G$2+13),m_active,1,m_start,"&lt;"&amp;660,m_end,"&gt;"&amp;600))))))</f>
        <v/>
      </c>
      <c r="X72" s="82" t="str">
        <f aca="false">IF(OR(X$4="",MONTH(($G$2+13))&lt;&gt;MONTH($C$2)),"",IF(COUNTIFS(m_teacher,X$4,m_date,($G$2+13),m_active,1,m_start,"&lt;"&amp;660,m_end,"&gt;"&amp;600)=0,"",IF(COUNTIFS(m_teacher,X$4,m_date,($G$2+13),m_active,1,m_start,"&lt;"&amp;660,m_end,"&gt;"&amp;600)&gt;1,"충돌",HYPERLINK("#'관리자_MASTER'!D"&amp;_xlfn.MAXIFS(m_row,m_teacher,X$4,m_date,($G$2+13),m_active,1,m_start,"&lt;"&amp;660,m_end,"&gt;"&amp;600),INDEX(m_label,_xlfn.MAXIFS(m_row,m_teacher,X$4,m_date,($G$2+13),m_active,1,m_start,"&lt;"&amp;660,m_end,"&gt;"&amp;600))))))</f>
        <v/>
      </c>
      <c r="Y72" s="82" t="str">
        <f aca="false">IF(OR(Y$4="",MONTH(($G$2+13))&lt;&gt;MONTH($C$2)),"",IF(COUNTIFS(m_teacher,Y$4,m_date,($G$2+13),m_active,1,m_start,"&lt;"&amp;660,m_end,"&gt;"&amp;600)=0,"",IF(COUNTIFS(m_teacher,Y$4,m_date,($G$2+13),m_active,1,m_start,"&lt;"&amp;660,m_end,"&gt;"&amp;600)&gt;1,"충돌",HYPERLINK("#'관리자_MASTER'!D"&amp;_xlfn.MAXIFS(m_row,m_teacher,Y$4,m_date,($G$2+13),m_active,1,m_start,"&lt;"&amp;660,m_end,"&gt;"&amp;600),INDEX(m_label,_xlfn.MAXIFS(m_row,m_teacher,Y$4,m_date,($G$2+13),m_active,1,m_start,"&lt;"&amp;660,m_end,"&gt;"&amp;600))))))</f>
        <v/>
      </c>
      <c r="Z72" s="82" t="str">
        <f aca="false">IF(OR(Z$4="",MONTH(($G$2+13))&lt;&gt;MONTH($C$2)),"",IF(COUNTIFS(m_teacher,Z$4,m_date,($G$2+13),m_active,1,m_start,"&lt;"&amp;660,m_end,"&gt;"&amp;600)=0,"",IF(COUNTIFS(m_teacher,Z$4,m_date,($G$2+13),m_active,1,m_start,"&lt;"&amp;660,m_end,"&gt;"&amp;600)&gt;1,"충돌",HYPERLINK("#'관리자_MASTER'!D"&amp;_xlfn.MAXIFS(m_row,m_teacher,Z$4,m_date,($G$2+13),m_active,1,m_start,"&lt;"&amp;660,m_end,"&gt;"&amp;600),INDEX(m_label,_xlfn.MAXIFS(m_row,m_teacher,Z$4,m_date,($G$2+13),m_active,1,m_start,"&lt;"&amp;660,m_end,"&gt;"&amp;600))))))</f>
        <v/>
      </c>
      <c r="AA72" s="82" t="str">
        <f aca="false">IF(OR(AA$4="",MONTH(($G$2+13))&lt;&gt;MONTH($C$2)),"",IF(COUNTIFS(m_teacher,AA$4,m_date,($G$2+13),m_active,1,m_start,"&lt;"&amp;660,m_end,"&gt;"&amp;600)=0,"",IF(COUNTIFS(m_teacher,AA$4,m_date,($G$2+13),m_active,1,m_start,"&lt;"&amp;660,m_end,"&gt;"&amp;600)&gt;1,"충돌",HYPERLINK("#'관리자_MASTER'!D"&amp;_xlfn.MAXIFS(m_row,m_teacher,AA$4,m_date,($G$2+13),m_active,1,m_start,"&lt;"&amp;660,m_end,"&gt;"&amp;600),INDEX(m_label,_xlfn.MAXIFS(m_row,m_teacher,AA$4,m_date,($G$2+13),m_active,1,m_start,"&lt;"&amp;660,m_end,"&gt;"&amp;600))))))</f>
        <v/>
      </c>
      <c r="AB72" s="82" t="str">
        <f aca="false">IF(OR(AB$4="",MONTH(($G$2+13))&lt;&gt;MONTH($C$2)),"",IF(COUNTIFS(m_teacher,AB$4,m_date,($G$2+13),m_active,1,m_start,"&lt;"&amp;660,m_end,"&gt;"&amp;600)=0,"",IF(COUNTIFS(m_teacher,AB$4,m_date,($G$2+13),m_active,1,m_start,"&lt;"&amp;660,m_end,"&gt;"&amp;600)&gt;1,"충돌",HYPERLINK("#'관리자_MASTER'!D"&amp;_xlfn.MAXIFS(m_row,m_teacher,AB$4,m_date,($G$2+13),m_active,1,m_start,"&lt;"&amp;660,m_end,"&gt;"&amp;600),INDEX(m_label,_xlfn.MAXIFS(m_row,m_teacher,AB$4,m_date,($G$2+13),m_active,1,m_start,"&lt;"&amp;660,m_end,"&gt;"&amp;600))))))</f>
        <v/>
      </c>
      <c r="AC72" s="92"/>
      <c r="AD72" s="79" t="s">
        <v>92</v>
      </c>
      <c r="AE72" s="82" t="str">
        <f aca="false">IF(OR(AE$4="",MONTH(($G$2+20))&lt;&gt;MONTH($C$2)),"",IF(COUNTIFS(m_teacher,AE$4,m_date,($G$2+20),m_active,1,m_start,"&lt;"&amp;660,m_end,"&gt;"&amp;600)=0,"",IF(COUNTIFS(m_teacher,AE$4,m_date,($G$2+20),m_active,1,m_start,"&lt;"&amp;660,m_end,"&gt;"&amp;600)&gt;1,"충돌",HYPERLINK("#'관리자_MASTER'!D"&amp;_xlfn.MAXIFS(m_row,m_teacher,AE$4,m_date,($G$2+20),m_active,1,m_start,"&lt;"&amp;660,m_end,"&gt;"&amp;600),INDEX(m_label,_xlfn.MAXIFS(m_row,m_teacher,AE$4,m_date,($G$2+20),m_active,1,m_start,"&lt;"&amp;660,m_end,"&gt;"&amp;600))))))</f>
        <v/>
      </c>
      <c r="AF72" s="82" t="str">
        <f aca="false">IF(OR(AF$4="",MONTH(($G$2+20))&lt;&gt;MONTH($C$2)),"",IF(COUNTIFS(m_teacher,AF$4,m_date,($G$2+20),m_active,1,m_start,"&lt;"&amp;660,m_end,"&gt;"&amp;600)=0,"",IF(COUNTIFS(m_teacher,AF$4,m_date,($G$2+20),m_active,1,m_start,"&lt;"&amp;660,m_end,"&gt;"&amp;600)&gt;1,"충돌",HYPERLINK("#'관리자_MASTER'!D"&amp;_xlfn.MAXIFS(m_row,m_teacher,AF$4,m_date,($G$2+20),m_active,1,m_start,"&lt;"&amp;660,m_end,"&gt;"&amp;600),INDEX(m_label,_xlfn.MAXIFS(m_row,m_teacher,AF$4,m_date,($G$2+20),m_active,1,m_start,"&lt;"&amp;660,m_end,"&gt;"&amp;600))))))</f>
        <v/>
      </c>
      <c r="AG72" s="82" t="str">
        <f aca="false">IF(OR(AG$4="",MONTH(($G$2+20))&lt;&gt;MONTH($C$2)),"",IF(COUNTIFS(m_teacher,AG$4,m_date,($G$2+20),m_active,1,m_start,"&lt;"&amp;660,m_end,"&gt;"&amp;600)=0,"",IF(COUNTIFS(m_teacher,AG$4,m_date,($G$2+20),m_active,1,m_start,"&lt;"&amp;660,m_end,"&gt;"&amp;600)&gt;1,"충돌",HYPERLINK("#'관리자_MASTER'!D"&amp;_xlfn.MAXIFS(m_row,m_teacher,AG$4,m_date,($G$2+20),m_active,1,m_start,"&lt;"&amp;660,m_end,"&gt;"&amp;600),INDEX(m_label,_xlfn.MAXIFS(m_row,m_teacher,AG$4,m_date,($G$2+20),m_active,1,m_start,"&lt;"&amp;660,m_end,"&gt;"&amp;600))))))</f>
        <v/>
      </c>
      <c r="AH72" s="82" t="str">
        <f aca="false">IF(OR(AH$4="",MONTH(($G$2+20))&lt;&gt;MONTH($C$2)),"",IF(COUNTIFS(m_teacher,AH$4,m_date,($G$2+20),m_active,1,m_start,"&lt;"&amp;660,m_end,"&gt;"&amp;600)=0,"",IF(COUNTIFS(m_teacher,AH$4,m_date,($G$2+20),m_active,1,m_start,"&lt;"&amp;660,m_end,"&gt;"&amp;600)&gt;1,"충돌",HYPERLINK("#'관리자_MASTER'!D"&amp;_xlfn.MAXIFS(m_row,m_teacher,AH$4,m_date,($G$2+20),m_active,1,m_start,"&lt;"&amp;660,m_end,"&gt;"&amp;600),INDEX(m_label,_xlfn.MAXIFS(m_row,m_teacher,AH$4,m_date,($G$2+20),m_active,1,m_start,"&lt;"&amp;660,m_end,"&gt;"&amp;600))))))</f>
        <v/>
      </c>
      <c r="AI72" s="82" t="str">
        <f aca="false">IF(OR(AI$4="",MONTH(($G$2+20))&lt;&gt;MONTH($C$2)),"",IF(COUNTIFS(m_teacher,AI$4,m_date,($G$2+20),m_active,1,m_start,"&lt;"&amp;660,m_end,"&gt;"&amp;600)=0,"",IF(COUNTIFS(m_teacher,AI$4,m_date,($G$2+20),m_active,1,m_start,"&lt;"&amp;660,m_end,"&gt;"&amp;600)&gt;1,"충돌",HYPERLINK("#'관리자_MASTER'!D"&amp;_xlfn.MAXIFS(m_row,m_teacher,AI$4,m_date,($G$2+20),m_active,1,m_start,"&lt;"&amp;660,m_end,"&gt;"&amp;600),INDEX(m_label,_xlfn.MAXIFS(m_row,m_teacher,AI$4,m_date,($G$2+20),m_active,1,m_start,"&lt;"&amp;660,m_end,"&gt;"&amp;600))))))</f>
        <v/>
      </c>
      <c r="AJ72" s="82" t="str">
        <f aca="false">IF(OR(AJ$4="",MONTH(($G$2+20))&lt;&gt;MONTH($C$2)),"",IF(COUNTIFS(m_teacher,AJ$4,m_date,($G$2+20),m_active,1,m_start,"&lt;"&amp;660,m_end,"&gt;"&amp;600)=0,"",IF(COUNTIFS(m_teacher,AJ$4,m_date,($G$2+20),m_active,1,m_start,"&lt;"&amp;660,m_end,"&gt;"&amp;600)&gt;1,"충돌",HYPERLINK("#'관리자_MASTER'!D"&amp;_xlfn.MAXIFS(m_row,m_teacher,AJ$4,m_date,($G$2+20),m_active,1,m_start,"&lt;"&amp;660,m_end,"&gt;"&amp;600),INDEX(m_label,_xlfn.MAXIFS(m_row,m_teacher,AJ$4,m_date,($G$2+20),m_active,1,m_start,"&lt;"&amp;660,m_end,"&gt;"&amp;600))))))</f>
        <v/>
      </c>
      <c r="AK72" s="82" t="str">
        <f aca="false">IF(OR(AK$4="",MONTH(($G$2+20))&lt;&gt;MONTH($C$2)),"",IF(COUNTIFS(m_teacher,AK$4,m_date,($G$2+20),m_active,1,m_start,"&lt;"&amp;660,m_end,"&gt;"&amp;600)=0,"",IF(COUNTIFS(m_teacher,AK$4,m_date,($G$2+20),m_active,1,m_start,"&lt;"&amp;660,m_end,"&gt;"&amp;600)&gt;1,"충돌",HYPERLINK("#'관리자_MASTER'!D"&amp;_xlfn.MAXIFS(m_row,m_teacher,AK$4,m_date,($G$2+20),m_active,1,m_start,"&lt;"&amp;660,m_end,"&gt;"&amp;600),INDEX(m_label,_xlfn.MAXIFS(m_row,m_teacher,AK$4,m_date,($G$2+20),m_active,1,m_start,"&lt;"&amp;660,m_end,"&gt;"&amp;600))))))</f>
        <v/>
      </c>
      <c r="AL72" s="82" t="str">
        <f aca="false">IF(OR(AL$4="",MONTH(($G$2+20))&lt;&gt;MONTH($C$2)),"",IF(COUNTIFS(m_teacher,AL$4,m_date,($G$2+20),m_active,1,m_start,"&lt;"&amp;660,m_end,"&gt;"&amp;600)=0,"",IF(COUNTIFS(m_teacher,AL$4,m_date,($G$2+20),m_active,1,m_start,"&lt;"&amp;660,m_end,"&gt;"&amp;600)&gt;1,"충돌",HYPERLINK("#'관리자_MASTER'!D"&amp;_xlfn.MAXIFS(m_row,m_teacher,AL$4,m_date,($G$2+20),m_active,1,m_start,"&lt;"&amp;660,m_end,"&gt;"&amp;600),INDEX(m_label,_xlfn.MAXIFS(m_row,m_teacher,AL$4,m_date,($G$2+20),m_active,1,m_start,"&lt;"&amp;660,m_end,"&gt;"&amp;600))))))</f>
        <v/>
      </c>
      <c r="AM72" s="82" t="str">
        <f aca="false">IF(OR(AM$4="",MONTH(($G$2+20))&lt;&gt;MONTH($C$2)),"",IF(COUNTIFS(m_teacher,AM$4,m_date,($G$2+20),m_active,1,m_start,"&lt;"&amp;660,m_end,"&gt;"&amp;600)=0,"",IF(COUNTIFS(m_teacher,AM$4,m_date,($G$2+20),m_active,1,m_start,"&lt;"&amp;660,m_end,"&gt;"&amp;600)&gt;1,"충돌",HYPERLINK("#'관리자_MASTER'!D"&amp;_xlfn.MAXIFS(m_row,m_teacher,AM$4,m_date,($G$2+20),m_active,1,m_start,"&lt;"&amp;660,m_end,"&gt;"&amp;600),INDEX(m_label,_xlfn.MAXIFS(m_row,m_teacher,AM$4,m_date,($G$2+20),m_active,1,m_start,"&lt;"&amp;660,m_end,"&gt;"&amp;600))))))</f>
        <v/>
      </c>
      <c r="AN72" s="82" t="str">
        <f aca="false">IF(OR(AN$4="",MONTH(($G$2+20))&lt;&gt;MONTH($C$2)),"",IF(COUNTIFS(m_teacher,AN$4,m_date,($G$2+20),m_active,1,m_start,"&lt;"&amp;660,m_end,"&gt;"&amp;600)=0,"",IF(COUNTIFS(m_teacher,AN$4,m_date,($G$2+20),m_active,1,m_start,"&lt;"&amp;660,m_end,"&gt;"&amp;600)&gt;1,"충돌",HYPERLINK("#'관리자_MASTER'!D"&amp;_xlfn.MAXIFS(m_row,m_teacher,AN$4,m_date,($G$2+20),m_active,1,m_start,"&lt;"&amp;660,m_end,"&gt;"&amp;600),INDEX(m_label,_xlfn.MAXIFS(m_row,m_teacher,AN$4,m_date,($G$2+20),m_active,1,m_start,"&lt;"&amp;660,m_end,"&gt;"&amp;600))))))</f>
        <v/>
      </c>
      <c r="AO72" s="82" t="str">
        <f aca="false">IF(OR(AO$4="",MONTH(($G$2+20))&lt;&gt;MONTH($C$2)),"",IF(COUNTIFS(m_teacher,AO$4,m_date,($G$2+20),m_active,1,m_start,"&lt;"&amp;660,m_end,"&gt;"&amp;600)=0,"",IF(COUNTIFS(m_teacher,AO$4,m_date,($G$2+20),m_active,1,m_start,"&lt;"&amp;660,m_end,"&gt;"&amp;600)&gt;1,"충돌",HYPERLINK("#'관리자_MASTER'!D"&amp;_xlfn.MAXIFS(m_row,m_teacher,AO$4,m_date,($G$2+20),m_active,1,m_start,"&lt;"&amp;660,m_end,"&gt;"&amp;600),INDEX(m_label,_xlfn.MAXIFS(m_row,m_teacher,AO$4,m_date,($G$2+20),m_active,1,m_start,"&lt;"&amp;660,m_end,"&gt;"&amp;600))))))</f>
        <v/>
      </c>
      <c r="AP72" s="82" t="str">
        <f aca="false">IF(OR(AP$4="",MONTH(($G$2+20))&lt;&gt;MONTH($C$2)),"",IF(COUNTIFS(m_teacher,AP$4,m_date,($G$2+20),m_active,1,m_start,"&lt;"&amp;660,m_end,"&gt;"&amp;600)=0,"",IF(COUNTIFS(m_teacher,AP$4,m_date,($G$2+20),m_active,1,m_start,"&lt;"&amp;660,m_end,"&gt;"&amp;600)&gt;1,"충돌",HYPERLINK("#'관리자_MASTER'!D"&amp;_xlfn.MAXIFS(m_row,m_teacher,AP$4,m_date,($G$2+20),m_active,1,m_start,"&lt;"&amp;660,m_end,"&gt;"&amp;600),INDEX(m_label,_xlfn.MAXIFS(m_row,m_teacher,AP$4,m_date,($G$2+20),m_active,1,m_start,"&lt;"&amp;660,m_end,"&gt;"&amp;600))))))</f>
        <v/>
      </c>
      <c r="AQ72" s="92"/>
      <c r="AR72" s="79" t="s">
        <v>92</v>
      </c>
      <c r="AS72" s="82" t="str">
        <f aca="false">IF(OR(AS$4="",MONTH(($G$2+27))&lt;&gt;MONTH($C$2)),"",IF(COUNTIFS(m_teacher,AS$4,m_date,($G$2+27),m_active,1,m_start,"&lt;"&amp;660,m_end,"&gt;"&amp;600)=0,"",IF(COUNTIFS(m_teacher,AS$4,m_date,($G$2+27),m_active,1,m_start,"&lt;"&amp;660,m_end,"&gt;"&amp;600)&gt;1,"충돌",HYPERLINK("#'관리자_MASTER'!D"&amp;_xlfn.MAXIFS(m_row,m_teacher,AS$4,m_date,($G$2+27),m_active,1,m_start,"&lt;"&amp;660,m_end,"&gt;"&amp;600),INDEX(m_label,_xlfn.MAXIFS(m_row,m_teacher,AS$4,m_date,($G$2+27),m_active,1,m_start,"&lt;"&amp;660,m_end,"&gt;"&amp;600))))))</f>
        <v/>
      </c>
      <c r="AT72" s="82" t="str">
        <f aca="false">IF(OR(AT$4="",MONTH(($G$2+27))&lt;&gt;MONTH($C$2)),"",IF(COUNTIFS(m_teacher,AT$4,m_date,($G$2+27),m_active,1,m_start,"&lt;"&amp;660,m_end,"&gt;"&amp;600)=0,"",IF(COUNTIFS(m_teacher,AT$4,m_date,($G$2+27),m_active,1,m_start,"&lt;"&amp;660,m_end,"&gt;"&amp;600)&gt;1,"충돌",HYPERLINK("#'관리자_MASTER'!D"&amp;_xlfn.MAXIFS(m_row,m_teacher,AT$4,m_date,($G$2+27),m_active,1,m_start,"&lt;"&amp;660,m_end,"&gt;"&amp;600),INDEX(m_label,_xlfn.MAXIFS(m_row,m_teacher,AT$4,m_date,($G$2+27),m_active,1,m_start,"&lt;"&amp;660,m_end,"&gt;"&amp;600))))))</f>
        <v/>
      </c>
      <c r="AU72" s="82" t="str">
        <f aca="false">IF(OR(AU$4="",MONTH(($G$2+27))&lt;&gt;MONTH($C$2)),"",IF(COUNTIFS(m_teacher,AU$4,m_date,($G$2+27),m_active,1,m_start,"&lt;"&amp;660,m_end,"&gt;"&amp;600)=0,"",IF(COUNTIFS(m_teacher,AU$4,m_date,($G$2+27),m_active,1,m_start,"&lt;"&amp;660,m_end,"&gt;"&amp;600)&gt;1,"충돌",HYPERLINK("#'관리자_MASTER'!D"&amp;_xlfn.MAXIFS(m_row,m_teacher,AU$4,m_date,($G$2+27),m_active,1,m_start,"&lt;"&amp;660,m_end,"&gt;"&amp;600),INDEX(m_label,_xlfn.MAXIFS(m_row,m_teacher,AU$4,m_date,($G$2+27),m_active,1,m_start,"&lt;"&amp;660,m_end,"&gt;"&amp;600))))))</f>
        <v/>
      </c>
      <c r="AV72" s="82" t="str">
        <f aca="false">IF(OR(AV$4="",MONTH(($G$2+27))&lt;&gt;MONTH($C$2)),"",IF(COUNTIFS(m_teacher,AV$4,m_date,($G$2+27),m_active,1,m_start,"&lt;"&amp;660,m_end,"&gt;"&amp;600)=0,"",IF(COUNTIFS(m_teacher,AV$4,m_date,($G$2+27),m_active,1,m_start,"&lt;"&amp;660,m_end,"&gt;"&amp;600)&gt;1,"충돌",HYPERLINK("#'관리자_MASTER'!D"&amp;_xlfn.MAXIFS(m_row,m_teacher,AV$4,m_date,($G$2+27),m_active,1,m_start,"&lt;"&amp;660,m_end,"&gt;"&amp;600),INDEX(m_label,_xlfn.MAXIFS(m_row,m_teacher,AV$4,m_date,($G$2+27),m_active,1,m_start,"&lt;"&amp;660,m_end,"&gt;"&amp;600))))))</f>
        <v/>
      </c>
      <c r="AW72" s="82" t="str">
        <f aca="false">IF(OR(AW$4="",MONTH(($G$2+27))&lt;&gt;MONTH($C$2)),"",IF(COUNTIFS(m_teacher,AW$4,m_date,($G$2+27),m_active,1,m_start,"&lt;"&amp;660,m_end,"&gt;"&amp;600)=0,"",IF(COUNTIFS(m_teacher,AW$4,m_date,($G$2+27),m_active,1,m_start,"&lt;"&amp;660,m_end,"&gt;"&amp;600)&gt;1,"충돌",HYPERLINK("#'관리자_MASTER'!D"&amp;_xlfn.MAXIFS(m_row,m_teacher,AW$4,m_date,($G$2+27),m_active,1,m_start,"&lt;"&amp;660,m_end,"&gt;"&amp;600),INDEX(m_label,_xlfn.MAXIFS(m_row,m_teacher,AW$4,m_date,($G$2+27),m_active,1,m_start,"&lt;"&amp;660,m_end,"&gt;"&amp;600))))))</f>
        <v/>
      </c>
      <c r="AX72" s="82" t="str">
        <f aca="false">IF(OR(AX$4="",MONTH(($G$2+27))&lt;&gt;MONTH($C$2)),"",IF(COUNTIFS(m_teacher,AX$4,m_date,($G$2+27),m_active,1,m_start,"&lt;"&amp;660,m_end,"&gt;"&amp;600)=0,"",IF(COUNTIFS(m_teacher,AX$4,m_date,($G$2+27),m_active,1,m_start,"&lt;"&amp;660,m_end,"&gt;"&amp;600)&gt;1,"충돌",HYPERLINK("#'관리자_MASTER'!D"&amp;_xlfn.MAXIFS(m_row,m_teacher,AX$4,m_date,($G$2+27),m_active,1,m_start,"&lt;"&amp;660,m_end,"&gt;"&amp;600),INDEX(m_label,_xlfn.MAXIFS(m_row,m_teacher,AX$4,m_date,($G$2+27),m_active,1,m_start,"&lt;"&amp;660,m_end,"&gt;"&amp;600))))))</f>
        <v/>
      </c>
      <c r="AY72" s="82" t="str">
        <f aca="false">IF(OR(AY$4="",MONTH(($G$2+27))&lt;&gt;MONTH($C$2)),"",IF(COUNTIFS(m_teacher,AY$4,m_date,($G$2+27),m_active,1,m_start,"&lt;"&amp;660,m_end,"&gt;"&amp;600)=0,"",IF(COUNTIFS(m_teacher,AY$4,m_date,($G$2+27),m_active,1,m_start,"&lt;"&amp;660,m_end,"&gt;"&amp;600)&gt;1,"충돌",HYPERLINK("#'관리자_MASTER'!D"&amp;_xlfn.MAXIFS(m_row,m_teacher,AY$4,m_date,($G$2+27),m_active,1,m_start,"&lt;"&amp;660,m_end,"&gt;"&amp;600),INDEX(m_label,_xlfn.MAXIFS(m_row,m_teacher,AY$4,m_date,($G$2+27),m_active,1,m_start,"&lt;"&amp;660,m_end,"&gt;"&amp;600))))))</f>
        <v/>
      </c>
      <c r="AZ72" s="82" t="str">
        <f aca="false">IF(OR(AZ$4="",MONTH(($G$2+27))&lt;&gt;MONTH($C$2)),"",IF(COUNTIFS(m_teacher,AZ$4,m_date,($G$2+27),m_active,1,m_start,"&lt;"&amp;660,m_end,"&gt;"&amp;600)=0,"",IF(COUNTIFS(m_teacher,AZ$4,m_date,($G$2+27),m_active,1,m_start,"&lt;"&amp;660,m_end,"&gt;"&amp;600)&gt;1,"충돌",HYPERLINK("#'관리자_MASTER'!D"&amp;_xlfn.MAXIFS(m_row,m_teacher,AZ$4,m_date,($G$2+27),m_active,1,m_start,"&lt;"&amp;660,m_end,"&gt;"&amp;600),INDEX(m_label,_xlfn.MAXIFS(m_row,m_teacher,AZ$4,m_date,($G$2+27),m_active,1,m_start,"&lt;"&amp;660,m_end,"&gt;"&amp;600))))))</f>
        <v/>
      </c>
      <c r="BA72" s="82" t="str">
        <f aca="false">IF(OR(BA$4="",MONTH(($G$2+27))&lt;&gt;MONTH($C$2)),"",IF(COUNTIFS(m_teacher,BA$4,m_date,($G$2+27),m_active,1,m_start,"&lt;"&amp;660,m_end,"&gt;"&amp;600)=0,"",IF(COUNTIFS(m_teacher,BA$4,m_date,($G$2+27),m_active,1,m_start,"&lt;"&amp;660,m_end,"&gt;"&amp;600)&gt;1,"충돌",HYPERLINK("#'관리자_MASTER'!D"&amp;_xlfn.MAXIFS(m_row,m_teacher,BA$4,m_date,($G$2+27),m_active,1,m_start,"&lt;"&amp;660,m_end,"&gt;"&amp;600),INDEX(m_label,_xlfn.MAXIFS(m_row,m_teacher,BA$4,m_date,($G$2+27),m_active,1,m_start,"&lt;"&amp;660,m_end,"&gt;"&amp;600))))))</f>
        <v/>
      </c>
      <c r="BB72" s="82" t="str">
        <f aca="false">IF(OR(BB$4="",MONTH(($G$2+27))&lt;&gt;MONTH($C$2)),"",IF(COUNTIFS(m_teacher,BB$4,m_date,($G$2+27),m_active,1,m_start,"&lt;"&amp;660,m_end,"&gt;"&amp;600)=0,"",IF(COUNTIFS(m_teacher,BB$4,m_date,($G$2+27),m_active,1,m_start,"&lt;"&amp;660,m_end,"&gt;"&amp;600)&gt;1,"충돌",HYPERLINK("#'관리자_MASTER'!D"&amp;_xlfn.MAXIFS(m_row,m_teacher,BB$4,m_date,($G$2+27),m_active,1,m_start,"&lt;"&amp;660,m_end,"&gt;"&amp;600),INDEX(m_label,_xlfn.MAXIFS(m_row,m_teacher,BB$4,m_date,($G$2+27),m_active,1,m_start,"&lt;"&amp;660,m_end,"&gt;"&amp;600))))))</f>
        <v/>
      </c>
      <c r="BC72" s="82" t="str">
        <f aca="false">IF(OR(BC$4="",MONTH(($G$2+27))&lt;&gt;MONTH($C$2)),"",IF(COUNTIFS(m_teacher,BC$4,m_date,($G$2+27),m_active,1,m_start,"&lt;"&amp;660,m_end,"&gt;"&amp;600)=0,"",IF(COUNTIFS(m_teacher,BC$4,m_date,($G$2+27),m_active,1,m_start,"&lt;"&amp;660,m_end,"&gt;"&amp;600)&gt;1,"충돌",HYPERLINK("#'관리자_MASTER'!D"&amp;_xlfn.MAXIFS(m_row,m_teacher,BC$4,m_date,($G$2+27),m_active,1,m_start,"&lt;"&amp;660,m_end,"&gt;"&amp;600),INDEX(m_label,_xlfn.MAXIFS(m_row,m_teacher,BC$4,m_date,($G$2+27),m_active,1,m_start,"&lt;"&amp;660,m_end,"&gt;"&amp;600))))))</f>
        <v/>
      </c>
      <c r="BD72" s="82" t="str">
        <f aca="false">IF(OR(BD$4="",MONTH(($G$2+27))&lt;&gt;MONTH($C$2)),"",IF(COUNTIFS(m_teacher,BD$4,m_date,($G$2+27),m_active,1,m_start,"&lt;"&amp;660,m_end,"&gt;"&amp;600)=0,"",IF(COUNTIFS(m_teacher,BD$4,m_date,($G$2+27),m_active,1,m_start,"&lt;"&amp;660,m_end,"&gt;"&amp;600)&gt;1,"충돌",HYPERLINK("#'관리자_MASTER'!D"&amp;_xlfn.MAXIFS(m_row,m_teacher,BD$4,m_date,($G$2+27),m_active,1,m_start,"&lt;"&amp;660,m_end,"&gt;"&amp;600),INDEX(m_label,_xlfn.MAXIFS(m_row,m_teacher,BD$4,m_date,($G$2+27),m_active,1,m_start,"&lt;"&amp;660,m_end,"&gt;"&amp;600))))))</f>
        <v/>
      </c>
      <c r="BE72" s="92"/>
      <c r="BF72" s="79" t="s">
        <v>92</v>
      </c>
      <c r="BG72" s="82" t="str">
        <f aca="false">IF(OR(BG$4="",MONTH(($G$2+34))&lt;&gt;MONTH($C$2)),"",IF(COUNTIFS(m_teacher,BG$4,m_date,($G$2+34),m_active,1,m_start,"&lt;"&amp;660,m_end,"&gt;"&amp;600)=0,"",IF(COUNTIFS(m_teacher,BG$4,m_date,($G$2+34),m_active,1,m_start,"&lt;"&amp;660,m_end,"&gt;"&amp;600)&gt;1,"충돌",HYPERLINK("#'관리자_MASTER'!D"&amp;_xlfn.MAXIFS(m_row,m_teacher,BG$4,m_date,($G$2+34),m_active,1,m_start,"&lt;"&amp;660,m_end,"&gt;"&amp;600),INDEX(m_label,_xlfn.MAXIFS(m_row,m_teacher,BG$4,m_date,($G$2+34),m_active,1,m_start,"&lt;"&amp;660,m_end,"&gt;"&amp;600))))))</f>
        <v/>
      </c>
      <c r="BH72" s="82" t="str">
        <f aca="false">IF(OR(BH$4="",MONTH(($G$2+34))&lt;&gt;MONTH($C$2)),"",IF(COUNTIFS(m_teacher,BH$4,m_date,($G$2+34),m_active,1,m_start,"&lt;"&amp;660,m_end,"&gt;"&amp;600)=0,"",IF(COUNTIFS(m_teacher,BH$4,m_date,($G$2+34),m_active,1,m_start,"&lt;"&amp;660,m_end,"&gt;"&amp;600)&gt;1,"충돌",HYPERLINK("#'관리자_MASTER'!D"&amp;_xlfn.MAXIFS(m_row,m_teacher,BH$4,m_date,($G$2+34),m_active,1,m_start,"&lt;"&amp;660,m_end,"&gt;"&amp;600),INDEX(m_label,_xlfn.MAXIFS(m_row,m_teacher,BH$4,m_date,($G$2+34),m_active,1,m_start,"&lt;"&amp;660,m_end,"&gt;"&amp;600))))))</f>
        <v/>
      </c>
      <c r="BI72" s="82" t="str">
        <f aca="false">IF(OR(BI$4="",MONTH(($G$2+34))&lt;&gt;MONTH($C$2)),"",IF(COUNTIFS(m_teacher,BI$4,m_date,($G$2+34),m_active,1,m_start,"&lt;"&amp;660,m_end,"&gt;"&amp;600)=0,"",IF(COUNTIFS(m_teacher,BI$4,m_date,($G$2+34),m_active,1,m_start,"&lt;"&amp;660,m_end,"&gt;"&amp;600)&gt;1,"충돌",HYPERLINK("#'관리자_MASTER'!D"&amp;_xlfn.MAXIFS(m_row,m_teacher,BI$4,m_date,($G$2+34),m_active,1,m_start,"&lt;"&amp;660,m_end,"&gt;"&amp;600),INDEX(m_label,_xlfn.MAXIFS(m_row,m_teacher,BI$4,m_date,($G$2+34),m_active,1,m_start,"&lt;"&amp;660,m_end,"&gt;"&amp;600))))))</f>
        <v/>
      </c>
      <c r="BJ72" s="82" t="str">
        <f aca="false">IF(OR(BJ$4="",MONTH(($G$2+34))&lt;&gt;MONTH($C$2)),"",IF(COUNTIFS(m_teacher,BJ$4,m_date,($G$2+34),m_active,1,m_start,"&lt;"&amp;660,m_end,"&gt;"&amp;600)=0,"",IF(COUNTIFS(m_teacher,BJ$4,m_date,($G$2+34),m_active,1,m_start,"&lt;"&amp;660,m_end,"&gt;"&amp;600)&gt;1,"충돌",HYPERLINK("#'관리자_MASTER'!D"&amp;_xlfn.MAXIFS(m_row,m_teacher,BJ$4,m_date,($G$2+34),m_active,1,m_start,"&lt;"&amp;660,m_end,"&gt;"&amp;600),INDEX(m_label,_xlfn.MAXIFS(m_row,m_teacher,BJ$4,m_date,($G$2+34),m_active,1,m_start,"&lt;"&amp;660,m_end,"&gt;"&amp;600))))))</f>
        <v/>
      </c>
      <c r="BK72" s="82" t="str">
        <f aca="false">IF(OR(BK$4="",MONTH(($G$2+34))&lt;&gt;MONTH($C$2)),"",IF(COUNTIFS(m_teacher,BK$4,m_date,($G$2+34),m_active,1,m_start,"&lt;"&amp;660,m_end,"&gt;"&amp;600)=0,"",IF(COUNTIFS(m_teacher,BK$4,m_date,($G$2+34),m_active,1,m_start,"&lt;"&amp;660,m_end,"&gt;"&amp;600)&gt;1,"충돌",HYPERLINK("#'관리자_MASTER'!D"&amp;_xlfn.MAXIFS(m_row,m_teacher,BK$4,m_date,($G$2+34),m_active,1,m_start,"&lt;"&amp;660,m_end,"&gt;"&amp;600),INDEX(m_label,_xlfn.MAXIFS(m_row,m_teacher,BK$4,m_date,($G$2+34),m_active,1,m_start,"&lt;"&amp;660,m_end,"&gt;"&amp;600))))))</f>
        <v/>
      </c>
      <c r="BL72" s="82" t="str">
        <f aca="false">IF(OR(BL$4="",MONTH(($G$2+34))&lt;&gt;MONTH($C$2)),"",IF(COUNTIFS(m_teacher,BL$4,m_date,($G$2+34),m_active,1,m_start,"&lt;"&amp;660,m_end,"&gt;"&amp;600)=0,"",IF(COUNTIFS(m_teacher,BL$4,m_date,($G$2+34),m_active,1,m_start,"&lt;"&amp;660,m_end,"&gt;"&amp;600)&gt;1,"충돌",HYPERLINK("#'관리자_MASTER'!D"&amp;_xlfn.MAXIFS(m_row,m_teacher,BL$4,m_date,($G$2+34),m_active,1,m_start,"&lt;"&amp;660,m_end,"&gt;"&amp;600),INDEX(m_label,_xlfn.MAXIFS(m_row,m_teacher,BL$4,m_date,($G$2+34),m_active,1,m_start,"&lt;"&amp;660,m_end,"&gt;"&amp;600))))))</f>
        <v/>
      </c>
      <c r="BM72" s="82" t="str">
        <f aca="false">IF(OR(BM$4="",MONTH(($G$2+34))&lt;&gt;MONTH($C$2)),"",IF(COUNTIFS(m_teacher,BM$4,m_date,($G$2+34),m_active,1,m_start,"&lt;"&amp;660,m_end,"&gt;"&amp;600)=0,"",IF(COUNTIFS(m_teacher,BM$4,m_date,($G$2+34),m_active,1,m_start,"&lt;"&amp;660,m_end,"&gt;"&amp;600)&gt;1,"충돌",HYPERLINK("#'관리자_MASTER'!D"&amp;_xlfn.MAXIFS(m_row,m_teacher,BM$4,m_date,($G$2+34),m_active,1,m_start,"&lt;"&amp;660,m_end,"&gt;"&amp;600),INDEX(m_label,_xlfn.MAXIFS(m_row,m_teacher,BM$4,m_date,($G$2+34),m_active,1,m_start,"&lt;"&amp;660,m_end,"&gt;"&amp;600))))))</f>
        <v/>
      </c>
      <c r="BN72" s="82" t="str">
        <f aca="false">IF(OR(BN$4="",MONTH(($G$2+34))&lt;&gt;MONTH($C$2)),"",IF(COUNTIFS(m_teacher,BN$4,m_date,($G$2+34),m_active,1,m_start,"&lt;"&amp;660,m_end,"&gt;"&amp;600)=0,"",IF(COUNTIFS(m_teacher,BN$4,m_date,($G$2+34),m_active,1,m_start,"&lt;"&amp;660,m_end,"&gt;"&amp;600)&gt;1,"충돌",HYPERLINK("#'관리자_MASTER'!D"&amp;_xlfn.MAXIFS(m_row,m_teacher,BN$4,m_date,($G$2+34),m_active,1,m_start,"&lt;"&amp;660,m_end,"&gt;"&amp;600),INDEX(m_label,_xlfn.MAXIFS(m_row,m_teacher,BN$4,m_date,($G$2+34),m_active,1,m_start,"&lt;"&amp;660,m_end,"&gt;"&amp;600))))))</f>
        <v/>
      </c>
      <c r="BO72" s="82" t="str">
        <f aca="false">IF(OR(BO$4="",MONTH(($G$2+34))&lt;&gt;MONTH($C$2)),"",IF(COUNTIFS(m_teacher,BO$4,m_date,($G$2+34),m_active,1,m_start,"&lt;"&amp;660,m_end,"&gt;"&amp;600)=0,"",IF(COUNTIFS(m_teacher,BO$4,m_date,($G$2+34),m_active,1,m_start,"&lt;"&amp;660,m_end,"&gt;"&amp;600)&gt;1,"충돌",HYPERLINK("#'관리자_MASTER'!D"&amp;_xlfn.MAXIFS(m_row,m_teacher,BO$4,m_date,($G$2+34),m_active,1,m_start,"&lt;"&amp;660,m_end,"&gt;"&amp;600),INDEX(m_label,_xlfn.MAXIFS(m_row,m_teacher,BO$4,m_date,($G$2+34),m_active,1,m_start,"&lt;"&amp;660,m_end,"&gt;"&amp;600))))))</f>
        <v/>
      </c>
      <c r="BP72" s="82" t="str">
        <f aca="false">IF(OR(BP$4="",MONTH(($G$2+34))&lt;&gt;MONTH($C$2)),"",IF(COUNTIFS(m_teacher,BP$4,m_date,($G$2+34),m_active,1,m_start,"&lt;"&amp;660,m_end,"&gt;"&amp;600)=0,"",IF(COUNTIFS(m_teacher,BP$4,m_date,($G$2+34),m_active,1,m_start,"&lt;"&amp;660,m_end,"&gt;"&amp;600)&gt;1,"충돌",HYPERLINK("#'관리자_MASTER'!D"&amp;_xlfn.MAXIFS(m_row,m_teacher,BP$4,m_date,($G$2+34),m_active,1,m_start,"&lt;"&amp;660,m_end,"&gt;"&amp;600),INDEX(m_label,_xlfn.MAXIFS(m_row,m_teacher,BP$4,m_date,($G$2+34),m_active,1,m_start,"&lt;"&amp;660,m_end,"&gt;"&amp;600))))))</f>
        <v/>
      </c>
      <c r="BQ72" s="82" t="str">
        <f aca="false">IF(OR(BQ$4="",MONTH(($G$2+34))&lt;&gt;MONTH($C$2)),"",IF(COUNTIFS(m_teacher,BQ$4,m_date,($G$2+34),m_active,1,m_start,"&lt;"&amp;660,m_end,"&gt;"&amp;600)=0,"",IF(COUNTIFS(m_teacher,BQ$4,m_date,($G$2+34),m_active,1,m_start,"&lt;"&amp;660,m_end,"&gt;"&amp;600)&gt;1,"충돌",HYPERLINK("#'관리자_MASTER'!D"&amp;_xlfn.MAXIFS(m_row,m_teacher,BQ$4,m_date,($G$2+34),m_active,1,m_start,"&lt;"&amp;660,m_end,"&gt;"&amp;600),INDEX(m_label,_xlfn.MAXIFS(m_row,m_teacher,BQ$4,m_date,($G$2+34),m_active,1,m_start,"&lt;"&amp;660,m_end,"&gt;"&amp;600))))))</f>
        <v/>
      </c>
      <c r="BR72" s="82" t="str">
        <f aca="false">IF(OR(BR$4="",MONTH(($G$2+34))&lt;&gt;MONTH($C$2)),"",IF(COUNTIFS(m_teacher,BR$4,m_date,($G$2+34),m_active,1,m_start,"&lt;"&amp;660,m_end,"&gt;"&amp;600)=0,"",IF(COUNTIFS(m_teacher,BR$4,m_date,($G$2+34),m_active,1,m_start,"&lt;"&amp;660,m_end,"&gt;"&amp;600)&gt;1,"충돌",HYPERLINK("#'관리자_MASTER'!D"&amp;_xlfn.MAXIFS(m_row,m_teacher,BR$4,m_date,($G$2+34),m_active,1,m_start,"&lt;"&amp;660,m_end,"&gt;"&amp;600),INDEX(m_label,_xlfn.MAXIFS(m_row,m_teacher,BR$4,m_date,($G$2+34),m_active,1,m_start,"&lt;"&amp;660,m_end,"&gt;"&amp;600))))))</f>
        <v/>
      </c>
    </row>
    <row r="73" customFormat="false" ht="19.5" hidden="false" customHeight="true" outlineLevel="0" collapsed="false">
      <c r="A73" s="92"/>
      <c r="B73" s="79" t="s">
        <v>93</v>
      </c>
      <c r="C73" s="82" t="str">
        <f aca="false">IF(OR(C$4="",MONTH(($G$2+6))&lt;&gt;MONTH($C$2)),"",IF(COUNTIFS(m_teacher,C$4,m_date,($G$2+6),m_active,1,m_start,"&lt;"&amp;720,m_end,"&gt;"&amp;660)=0,"",IF(COUNTIFS(m_teacher,C$4,m_date,($G$2+6),m_active,1,m_start,"&lt;"&amp;720,m_end,"&gt;"&amp;660)&gt;1,"충돌",HYPERLINK("#'관리자_MASTER'!D"&amp;_xlfn.MAXIFS(m_row,m_teacher,C$4,m_date,($G$2+6),m_active,1,m_start,"&lt;"&amp;720,m_end,"&gt;"&amp;660),INDEX(m_label,_xlfn.MAXIFS(m_row,m_teacher,C$4,m_date,($G$2+6),m_active,1,m_start,"&lt;"&amp;720,m_end,"&gt;"&amp;660))))))</f>
        <v/>
      </c>
      <c r="D73" s="82" t="str">
        <f aca="false">IF(OR(D$4="",MONTH(($G$2+6))&lt;&gt;MONTH($C$2)),"",IF(COUNTIFS(m_teacher,D$4,m_date,($G$2+6),m_active,1,m_start,"&lt;"&amp;720,m_end,"&gt;"&amp;660)=0,"",IF(COUNTIFS(m_teacher,D$4,m_date,($G$2+6),m_active,1,m_start,"&lt;"&amp;720,m_end,"&gt;"&amp;660)&gt;1,"충돌",HYPERLINK("#'관리자_MASTER'!D"&amp;_xlfn.MAXIFS(m_row,m_teacher,D$4,m_date,($G$2+6),m_active,1,m_start,"&lt;"&amp;720,m_end,"&gt;"&amp;660),INDEX(m_label,_xlfn.MAXIFS(m_row,m_teacher,D$4,m_date,($G$2+6),m_active,1,m_start,"&lt;"&amp;720,m_end,"&gt;"&amp;660))))))</f>
        <v/>
      </c>
      <c r="E73" s="82" t="str">
        <f aca="false">IF(OR(E$4="",MONTH(($G$2+6))&lt;&gt;MONTH($C$2)),"",IF(COUNTIFS(m_teacher,E$4,m_date,($G$2+6),m_active,1,m_start,"&lt;"&amp;720,m_end,"&gt;"&amp;660)=0,"",IF(COUNTIFS(m_teacher,E$4,m_date,($G$2+6),m_active,1,m_start,"&lt;"&amp;720,m_end,"&gt;"&amp;660)&gt;1,"충돌",HYPERLINK("#'관리자_MASTER'!D"&amp;_xlfn.MAXIFS(m_row,m_teacher,E$4,m_date,($G$2+6),m_active,1,m_start,"&lt;"&amp;720,m_end,"&gt;"&amp;660),INDEX(m_label,_xlfn.MAXIFS(m_row,m_teacher,E$4,m_date,($G$2+6),m_active,1,m_start,"&lt;"&amp;720,m_end,"&gt;"&amp;660))))))</f>
        <v/>
      </c>
      <c r="F73" s="82" t="str">
        <f aca="false">IF(OR(F$4="",MONTH(($G$2+6))&lt;&gt;MONTH($C$2)),"",IF(COUNTIFS(m_teacher,F$4,m_date,($G$2+6),m_active,1,m_start,"&lt;"&amp;720,m_end,"&gt;"&amp;660)=0,"",IF(COUNTIFS(m_teacher,F$4,m_date,($G$2+6),m_active,1,m_start,"&lt;"&amp;720,m_end,"&gt;"&amp;660)&gt;1,"충돌",HYPERLINK("#'관리자_MASTER'!D"&amp;_xlfn.MAXIFS(m_row,m_teacher,F$4,m_date,($G$2+6),m_active,1,m_start,"&lt;"&amp;720,m_end,"&gt;"&amp;660),INDEX(m_label,_xlfn.MAXIFS(m_row,m_teacher,F$4,m_date,($G$2+6),m_active,1,m_start,"&lt;"&amp;720,m_end,"&gt;"&amp;660))))))</f>
        <v/>
      </c>
      <c r="G73" s="82" t="str">
        <f aca="false">IF(OR(G$4="",MONTH(($G$2+6))&lt;&gt;MONTH($C$2)),"",IF(COUNTIFS(m_teacher,G$4,m_date,($G$2+6),m_active,1,m_start,"&lt;"&amp;720,m_end,"&gt;"&amp;660)=0,"",IF(COUNTIFS(m_teacher,G$4,m_date,($G$2+6),m_active,1,m_start,"&lt;"&amp;720,m_end,"&gt;"&amp;660)&gt;1,"충돌",HYPERLINK("#'관리자_MASTER'!D"&amp;_xlfn.MAXIFS(m_row,m_teacher,G$4,m_date,($G$2+6),m_active,1,m_start,"&lt;"&amp;720,m_end,"&gt;"&amp;660),INDEX(m_label,_xlfn.MAXIFS(m_row,m_teacher,G$4,m_date,($G$2+6),m_active,1,m_start,"&lt;"&amp;720,m_end,"&gt;"&amp;660))))))</f>
        <v/>
      </c>
      <c r="H73" s="82" t="str">
        <f aca="false">IF(OR(H$4="",MONTH(($G$2+6))&lt;&gt;MONTH($C$2)),"",IF(COUNTIFS(m_teacher,H$4,m_date,($G$2+6),m_active,1,m_start,"&lt;"&amp;720,m_end,"&gt;"&amp;660)=0,"",IF(COUNTIFS(m_teacher,H$4,m_date,($G$2+6),m_active,1,m_start,"&lt;"&amp;720,m_end,"&gt;"&amp;660)&gt;1,"충돌",HYPERLINK("#'관리자_MASTER'!D"&amp;_xlfn.MAXIFS(m_row,m_teacher,H$4,m_date,($G$2+6),m_active,1,m_start,"&lt;"&amp;720,m_end,"&gt;"&amp;660),INDEX(m_label,_xlfn.MAXIFS(m_row,m_teacher,H$4,m_date,($G$2+6),m_active,1,m_start,"&lt;"&amp;720,m_end,"&gt;"&amp;660))))))</f>
        <v/>
      </c>
      <c r="I73" s="82" t="str">
        <f aca="false">IF(OR(I$4="",MONTH(($G$2+6))&lt;&gt;MONTH($C$2)),"",IF(COUNTIFS(m_teacher,I$4,m_date,($G$2+6),m_active,1,m_start,"&lt;"&amp;720,m_end,"&gt;"&amp;660)=0,"",IF(COUNTIFS(m_teacher,I$4,m_date,($G$2+6),m_active,1,m_start,"&lt;"&amp;720,m_end,"&gt;"&amp;660)&gt;1,"충돌",HYPERLINK("#'관리자_MASTER'!D"&amp;_xlfn.MAXIFS(m_row,m_teacher,I$4,m_date,($G$2+6),m_active,1,m_start,"&lt;"&amp;720,m_end,"&gt;"&amp;660),INDEX(m_label,_xlfn.MAXIFS(m_row,m_teacher,I$4,m_date,($G$2+6),m_active,1,m_start,"&lt;"&amp;720,m_end,"&gt;"&amp;660))))))</f>
        <v/>
      </c>
      <c r="J73" s="82" t="str">
        <f aca="false">IF(OR(J$4="",MONTH(($G$2+6))&lt;&gt;MONTH($C$2)),"",IF(COUNTIFS(m_teacher,J$4,m_date,($G$2+6),m_active,1,m_start,"&lt;"&amp;720,m_end,"&gt;"&amp;660)=0,"",IF(COUNTIFS(m_teacher,J$4,m_date,($G$2+6),m_active,1,m_start,"&lt;"&amp;720,m_end,"&gt;"&amp;660)&gt;1,"충돌",HYPERLINK("#'관리자_MASTER'!D"&amp;_xlfn.MAXIFS(m_row,m_teacher,J$4,m_date,($G$2+6),m_active,1,m_start,"&lt;"&amp;720,m_end,"&gt;"&amp;660),INDEX(m_label,_xlfn.MAXIFS(m_row,m_teacher,J$4,m_date,($G$2+6),m_active,1,m_start,"&lt;"&amp;720,m_end,"&gt;"&amp;660))))))</f>
        <v/>
      </c>
      <c r="K73" s="82" t="str">
        <f aca="false">IF(OR(K$4="",MONTH(($G$2+6))&lt;&gt;MONTH($C$2)),"",IF(COUNTIFS(m_teacher,K$4,m_date,($G$2+6),m_active,1,m_start,"&lt;"&amp;720,m_end,"&gt;"&amp;660)=0,"",IF(COUNTIFS(m_teacher,K$4,m_date,($G$2+6),m_active,1,m_start,"&lt;"&amp;720,m_end,"&gt;"&amp;660)&gt;1,"충돌",HYPERLINK("#'관리자_MASTER'!D"&amp;_xlfn.MAXIFS(m_row,m_teacher,K$4,m_date,($G$2+6),m_active,1,m_start,"&lt;"&amp;720,m_end,"&gt;"&amp;660),INDEX(m_label,_xlfn.MAXIFS(m_row,m_teacher,K$4,m_date,($G$2+6),m_active,1,m_start,"&lt;"&amp;720,m_end,"&gt;"&amp;660))))))</f>
        <v/>
      </c>
      <c r="L73" s="82" t="str">
        <f aca="false">IF(OR(L$4="",MONTH(($G$2+6))&lt;&gt;MONTH($C$2)),"",IF(COUNTIFS(m_teacher,L$4,m_date,($G$2+6),m_active,1,m_start,"&lt;"&amp;720,m_end,"&gt;"&amp;660)=0,"",IF(COUNTIFS(m_teacher,L$4,m_date,($G$2+6),m_active,1,m_start,"&lt;"&amp;720,m_end,"&gt;"&amp;660)&gt;1,"충돌",HYPERLINK("#'관리자_MASTER'!D"&amp;_xlfn.MAXIFS(m_row,m_teacher,L$4,m_date,($G$2+6),m_active,1,m_start,"&lt;"&amp;720,m_end,"&gt;"&amp;660),INDEX(m_label,_xlfn.MAXIFS(m_row,m_teacher,L$4,m_date,($G$2+6),m_active,1,m_start,"&lt;"&amp;720,m_end,"&gt;"&amp;660))))))</f>
        <v/>
      </c>
      <c r="M73" s="82" t="str">
        <f aca="false">IF(OR(M$4="",MONTH(($G$2+6))&lt;&gt;MONTH($C$2)),"",IF(COUNTIFS(m_teacher,M$4,m_date,($G$2+6),m_active,1,m_start,"&lt;"&amp;720,m_end,"&gt;"&amp;660)=0,"",IF(COUNTIFS(m_teacher,M$4,m_date,($G$2+6),m_active,1,m_start,"&lt;"&amp;720,m_end,"&gt;"&amp;660)&gt;1,"충돌",HYPERLINK("#'관리자_MASTER'!D"&amp;_xlfn.MAXIFS(m_row,m_teacher,M$4,m_date,($G$2+6),m_active,1,m_start,"&lt;"&amp;720,m_end,"&gt;"&amp;660),INDEX(m_label,_xlfn.MAXIFS(m_row,m_teacher,M$4,m_date,($G$2+6),m_active,1,m_start,"&lt;"&amp;720,m_end,"&gt;"&amp;660))))))</f>
        <v/>
      </c>
      <c r="N73" s="82" t="str">
        <f aca="false">IF(OR(N$4="",MONTH(($G$2+6))&lt;&gt;MONTH($C$2)),"",IF(COUNTIFS(m_teacher,N$4,m_date,($G$2+6),m_active,1,m_start,"&lt;"&amp;720,m_end,"&gt;"&amp;660)=0,"",IF(COUNTIFS(m_teacher,N$4,m_date,($G$2+6),m_active,1,m_start,"&lt;"&amp;720,m_end,"&gt;"&amp;660)&gt;1,"충돌",HYPERLINK("#'관리자_MASTER'!D"&amp;_xlfn.MAXIFS(m_row,m_teacher,N$4,m_date,($G$2+6),m_active,1,m_start,"&lt;"&amp;720,m_end,"&gt;"&amp;660),INDEX(m_label,_xlfn.MAXIFS(m_row,m_teacher,N$4,m_date,($G$2+6),m_active,1,m_start,"&lt;"&amp;720,m_end,"&gt;"&amp;660))))))</f>
        <v/>
      </c>
      <c r="O73" s="92"/>
      <c r="P73" s="79" t="s">
        <v>93</v>
      </c>
      <c r="Q73" s="82" t="str">
        <f aca="false">IF(OR(Q$4="",MONTH(($G$2+13))&lt;&gt;MONTH($C$2)),"",IF(COUNTIFS(m_teacher,Q$4,m_date,($G$2+13),m_active,1,m_start,"&lt;"&amp;720,m_end,"&gt;"&amp;660)=0,"",IF(COUNTIFS(m_teacher,Q$4,m_date,($G$2+13),m_active,1,m_start,"&lt;"&amp;720,m_end,"&gt;"&amp;660)&gt;1,"충돌",HYPERLINK("#'관리자_MASTER'!D"&amp;_xlfn.MAXIFS(m_row,m_teacher,Q$4,m_date,($G$2+13),m_active,1,m_start,"&lt;"&amp;720,m_end,"&gt;"&amp;660),INDEX(m_label,_xlfn.MAXIFS(m_row,m_teacher,Q$4,m_date,($G$2+13),m_active,1,m_start,"&lt;"&amp;720,m_end,"&gt;"&amp;660))))))</f>
        <v/>
      </c>
      <c r="R73" s="82" t="str">
        <f aca="false">IF(OR(R$4="",MONTH(($G$2+13))&lt;&gt;MONTH($C$2)),"",IF(COUNTIFS(m_teacher,R$4,m_date,($G$2+13),m_active,1,m_start,"&lt;"&amp;720,m_end,"&gt;"&amp;660)=0,"",IF(COUNTIFS(m_teacher,R$4,m_date,($G$2+13),m_active,1,m_start,"&lt;"&amp;720,m_end,"&gt;"&amp;660)&gt;1,"충돌",HYPERLINK("#'관리자_MASTER'!D"&amp;_xlfn.MAXIFS(m_row,m_teacher,R$4,m_date,($G$2+13),m_active,1,m_start,"&lt;"&amp;720,m_end,"&gt;"&amp;660),INDEX(m_label,_xlfn.MAXIFS(m_row,m_teacher,R$4,m_date,($G$2+13),m_active,1,m_start,"&lt;"&amp;720,m_end,"&gt;"&amp;660))))))</f>
        <v/>
      </c>
      <c r="S73" s="82" t="str">
        <f aca="false">IF(OR(S$4="",MONTH(($G$2+13))&lt;&gt;MONTH($C$2)),"",IF(COUNTIFS(m_teacher,S$4,m_date,($G$2+13),m_active,1,m_start,"&lt;"&amp;720,m_end,"&gt;"&amp;660)=0,"",IF(COUNTIFS(m_teacher,S$4,m_date,($G$2+13),m_active,1,m_start,"&lt;"&amp;720,m_end,"&gt;"&amp;660)&gt;1,"충돌",HYPERLINK("#'관리자_MASTER'!D"&amp;_xlfn.MAXIFS(m_row,m_teacher,S$4,m_date,($G$2+13),m_active,1,m_start,"&lt;"&amp;720,m_end,"&gt;"&amp;660),INDEX(m_label,_xlfn.MAXIFS(m_row,m_teacher,S$4,m_date,($G$2+13),m_active,1,m_start,"&lt;"&amp;720,m_end,"&gt;"&amp;660))))))</f>
        <v/>
      </c>
      <c r="T73" s="82" t="str">
        <f aca="false">IF(OR(T$4="",MONTH(($G$2+13))&lt;&gt;MONTH($C$2)),"",IF(COUNTIFS(m_teacher,T$4,m_date,($G$2+13),m_active,1,m_start,"&lt;"&amp;720,m_end,"&gt;"&amp;660)=0,"",IF(COUNTIFS(m_teacher,T$4,m_date,($G$2+13),m_active,1,m_start,"&lt;"&amp;720,m_end,"&gt;"&amp;660)&gt;1,"충돌",HYPERLINK("#'관리자_MASTER'!D"&amp;_xlfn.MAXIFS(m_row,m_teacher,T$4,m_date,($G$2+13),m_active,1,m_start,"&lt;"&amp;720,m_end,"&gt;"&amp;660),INDEX(m_label,_xlfn.MAXIFS(m_row,m_teacher,T$4,m_date,($G$2+13),m_active,1,m_start,"&lt;"&amp;720,m_end,"&gt;"&amp;660))))))</f>
        <v/>
      </c>
      <c r="U73" s="82" t="str">
        <f aca="false">IF(OR(U$4="",MONTH(($G$2+13))&lt;&gt;MONTH($C$2)),"",IF(COUNTIFS(m_teacher,U$4,m_date,($G$2+13),m_active,1,m_start,"&lt;"&amp;720,m_end,"&gt;"&amp;660)=0,"",IF(COUNTIFS(m_teacher,U$4,m_date,($G$2+13),m_active,1,m_start,"&lt;"&amp;720,m_end,"&gt;"&amp;660)&gt;1,"충돌",HYPERLINK("#'관리자_MASTER'!D"&amp;_xlfn.MAXIFS(m_row,m_teacher,U$4,m_date,($G$2+13),m_active,1,m_start,"&lt;"&amp;720,m_end,"&gt;"&amp;660),INDEX(m_label,_xlfn.MAXIFS(m_row,m_teacher,U$4,m_date,($G$2+13),m_active,1,m_start,"&lt;"&amp;720,m_end,"&gt;"&amp;660))))))</f>
        <v/>
      </c>
      <c r="V73" s="82" t="str">
        <f aca="false">IF(OR(V$4="",MONTH(($G$2+13))&lt;&gt;MONTH($C$2)),"",IF(COUNTIFS(m_teacher,V$4,m_date,($G$2+13),m_active,1,m_start,"&lt;"&amp;720,m_end,"&gt;"&amp;660)=0,"",IF(COUNTIFS(m_teacher,V$4,m_date,($G$2+13),m_active,1,m_start,"&lt;"&amp;720,m_end,"&gt;"&amp;660)&gt;1,"충돌",HYPERLINK("#'관리자_MASTER'!D"&amp;_xlfn.MAXIFS(m_row,m_teacher,V$4,m_date,($G$2+13),m_active,1,m_start,"&lt;"&amp;720,m_end,"&gt;"&amp;660),INDEX(m_label,_xlfn.MAXIFS(m_row,m_teacher,V$4,m_date,($G$2+13),m_active,1,m_start,"&lt;"&amp;720,m_end,"&gt;"&amp;660))))))</f>
        <v/>
      </c>
      <c r="W73" s="82" t="str">
        <f aca="false">IF(OR(W$4="",MONTH(($G$2+13))&lt;&gt;MONTH($C$2)),"",IF(COUNTIFS(m_teacher,W$4,m_date,($G$2+13),m_active,1,m_start,"&lt;"&amp;720,m_end,"&gt;"&amp;660)=0,"",IF(COUNTIFS(m_teacher,W$4,m_date,($G$2+13),m_active,1,m_start,"&lt;"&amp;720,m_end,"&gt;"&amp;660)&gt;1,"충돌",HYPERLINK("#'관리자_MASTER'!D"&amp;_xlfn.MAXIFS(m_row,m_teacher,W$4,m_date,($G$2+13),m_active,1,m_start,"&lt;"&amp;720,m_end,"&gt;"&amp;660),INDEX(m_label,_xlfn.MAXIFS(m_row,m_teacher,W$4,m_date,($G$2+13),m_active,1,m_start,"&lt;"&amp;720,m_end,"&gt;"&amp;660))))))</f>
        <v/>
      </c>
      <c r="X73" s="82" t="str">
        <f aca="false">IF(OR(X$4="",MONTH(($G$2+13))&lt;&gt;MONTH($C$2)),"",IF(COUNTIFS(m_teacher,X$4,m_date,($G$2+13),m_active,1,m_start,"&lt;"&amp;720,m_end,"&gt;"&amp;660)=0,"",IF(COUNTIFS(m_teacher,X$4,m_date,($G$2+13),m_active,1,m_start,"&lt;"&amp;720,m_end,"&gt;"&amp;660)&gt;1,"충돌",HYPERLINK("#'관리자_MASTER'!D"&amp;_xlfn.MAXIFS(m_row,m_teacher,X$4,m_date,($G$2+13),m_active,1,m_start,"&lt;"&amp;720,m_end,"&gt;"&amp;660),INDEX(m_label,_xlfn.MAXIFS(m_row,m_teacher,X$4,m_date,($G$2+13),m_active,1,m_start,"&lt;"&amp;720,m_end,"&gt;"&amp;660))))))</f>
        <v/>
      </c>
      <c r="Y73" s="82" t="str">
        <f aca="false">IF(OR(Y$4="",MONTH(($G$2+13))&lt;&gt;MONTH($C$2)),"",IF(COUNTIFS(m_teacher,Y$4,m_date,($G$2+13),m_active,1,m_start,"&lt;"&amp;720,m_end,"&gt;"&amp;660)=0,"",IF(COUNTIFS(m_teacher,Y$4,m_date,($G$2+13),m_active,1,m_start,"&lt;"&amp;720,m_end,"&gt;"&amp;660)&gt;1,"충돌",HYPERLINK("#'관리자_MASTER'!D"&amp;_xlfn.MAXIFS(m_row,m_teacher,Y$4,m_date,($G$2+13),m_active,1,m_start,"&lt;"&amp;720,m_end,"&gt;"&amp;660),INDEX(m_label,_xlfn.MAXIFS(m_row,m_teacher,Y$4,m_date,($G$2+13),m_active,1,m_start,"&lt;"&amp;720,m_end,"&gt;"&amp;660))))))</f>
        <v/>
      </c>
      <c r="Z73" s="82" t="str">
        <f aca="false">IF(OR(Z$4="",MONTH(($G$2+13))&lt;&gt;MONTH($C$2)),"",IF(COUNTIFS(m_teacher,Z$4,m_date,($G$2+13),m_active,1,m_start,"&lt;"&amp;720,m_end,"&gt;"&amp;660)=0,"",IF(COUNTIFS(m_teacher,Z$4,m_date,($G$2+13),m_active,1,m_start,"&lt;"&amp;720,m_end,"&gt;"&amp;660)&gt;1,"충돌",HYPERLINK("#'관리자_MASTER'!D"&amp;_xlfn.MAXIFS(m_row,m_teacher,Z$4,m_date,($G$2+13),m_active,1,m_start,"&lt;"&amp;720,m_end,"&gt;"&amp;660),INDEX(m_label,_xlfn.MAXIFS(m_row,m_teacher,Z$4,m_date,($G$2+13),m_active,1,m_start,"&lt;"&amp;720,m_end,"&gt;"&amp;660))))))</f>
        <v/>
      </c>
      <c r="AA73" s="82" t="str">
        <f aca="false">IF(OR(AA$4="",MONTH(($G$2+13))&lt;&gt;MONTH($C$2)),"",IF(COUNTIFS(m_teacher,AA$4,m_date,($G$2+13),m_active,1,m_start,"&lt;"&amp;720,m_end,"&gt;"&amp;660)=0,"",IF(COUNTIFS(m_teacher,AA$4,m_date,($G$2+13),m_active,1,m_start,"&lt;"&amp;720,m_end,"&gt;"&amp;660)&gt;1,"충돌",HYPERLINK("#'관리자_MASTER'!D"&amp;_xlfn.MAXIFS(m_row,m_teacher,AA$4,m_date,($G$2+13),m_active,1,m_start,"&lt;"&amp;720,m_end,"&gt;"&amp;660),INDEX(m_label,_xlfn.MAXIFS(m_row,m_teacher,AA$4,m_date,($G$2+13),m_active,1,m_start,"&lt;"&amp;720,m_end,"&gt;"&amp;660))))))</f>
        <v/>
      </c>
      <c r="AB73" s="82" t="str">
        <f aca="false">IF(OR(AB$4="",MONTH(($G$2+13))&lt;&gt;MONTH($C$2)),"",IF(COUNTIFS(m_teacher,AB$4,m_date,($G$2+13),m_active,1,m_start,"&lt;"&amp;720,m_end,"&gt;"&amp;660)=0,"",IF(COUNTIFS(m_teacher,AB$4,m_date,($G$2+13),m_active,1,m_start,"&lt;"&amp;720,m_end,"&gt;"&amp;660)&gt;1,"충돌",HYPERLINK("#'관리자_MASTER'!D"&amp;_xlfn.MAXIFS(m_row,m_teacher,AB$4,m_date,($G$2+13),m_active,1,m_start,"&lt;"&amp;720,m_end,"&gt;"&amp;660),INDEX(m_label,_xlfn.MAXIFS(m_row,m_teacher,AB$4,m_date,($G$2+13),m_active,1,m_start,"&lt;"&amp;720,m_end,"&gt;"&amp;660))))))</f>
        <v/>
      </c>
      <c r="AC73" s="92"/>
      <c r="AD73" s="79" t="s">
        <v>93</v>
      </c>
      <c r="AE73" s="82" t="str">
        <f aca="false">IF(OR(AE$4="",MONTH(($G$2+20))&lt;&gt;MONTH($C$2)),"",IF(COUNTIFS(m_teacher,AE$4,m_date,($G$2+20),m_active,1,m_start,"&lt;"&amp;720,m_end,"&gt;"&amp;660)=0,"",IF(COUNTIFS(m_teacher,AE$4,m_date,($G$2+20),m_active,1,m_start,"&lt;"&amp;720,m_end,"&gt;"&amp;660)&gt;1,"충돌",HYPERLINK("#'관리자_MASTER'!D"&amp;_xlfn.MAXIFS(m_row,m_teacher,AE$4,m_date,($G$2+20),m_active,1,m_start,"&lt;"&amp;720,m_end,"&gt;"&amp;660),INDEX(m_label,_xlfn.MAXIFS(m_row,m_teacher,AE$4,m_date,($G$2+20),m_active,1,m_start,"&lt;"&amp;720,m_end,"&gt;"&amp;660))))))</f>
        <v/>
      </c>
      <c r="AF73" s="82" t="str">
        <f aca="false">IF(OR(AF$4="",MONTH(($G$2+20))&lt;&gt;MONTH($C$2)),"",IF(COUNTIFS(m_teacher,AF$4,m_date,($G$2+20),m_active,1,m_start,"&lt;"&amp;720,m_end,"&gt;"&amp;660)=0,"",IF(COUNTIFS(m_teacher,AF$4,m_date,($G$2+20),m_active,1,m_start,"&lt;"&amp;720,m_end,"&gt;"&amp;660)&gt;1,"충돌",HYPERLINK("#'관리자_MASTER'!D"&amp;_xlfn.MAXIFS(m_row,m_teacher,AF$4,m_date,($G$2+20),m_active,1,m_start,"&lt;"&amp;720,m_end,"&gt;"&amp;660),INDEX(m_label,_xlfn.MAXIFS(m_row,m_teacher,AF$4,m_date,($G$2+20),m_active,1,m_start,"&lt;"&amp;720,m_end,"&gt;"&amp;660))))))</f>
        <v/>
      </c>
      <c r="AG73" s="82" t="str">
        <f aca="false">IF(OR(AG$4="",MONTH(($G$2+20))&lt;&gt;MONTH($C$2)),"",IF(COUNTIFS(m_teacher,AG$4,m_date,($G$2+20),m_active,1,m_start,"&lt;"&amp;720,m_end,"&gt;"&amp;660)=0,"",IF(COUNTIFS(m_teacher,AG$4,m_date,($G$2+20),m_active,1,m_start,"&lt;"&amp;720,m_end,"&gt;"&amp;660)&gt;1,"충돌",HYPERLINK("#'관리자_MASTER'!D"&amp;_xlfn.MAXIFS(m_row,m_teacher,AG$4,m_date,($G$2+20),m_active,1,m_start,"&lt;"&amp;720,m_end,"&gt;"&amp;660),INDEX(m_label,_xlfn.MAXIFS(m_row,m_teacher,AG$4,m_date,($G$2+20),m_active,1,m_start,"&lt;"&amp;720,m_end,"&gt;"&amp;660))))))</f>
        <v/>
      </c>
      <c r="AH73" s="82" t="str">
        <f aca="false">IF(OR(AH$4="",MONTH(($G$2+20))&lt;&gt;MONTH($C$2)),"",IF(COUNTIFS(m_teacher,AH$4,m_date,($G$2+20),m_active,1,m_start,"&lt;"&amp;720,m_end,"&gt;"&amp;660)=0,"",IF(COUNTIFS(m_teacher,AH$4,m_date,($G$2+20),m_active,1,m_start,"&lt;"&amp;720,m_end,"&gt;"&amp;660)&gt;1,"충돌",HYPERLINK("#'관리자_MASTER'!D"&amp;_xlfn.MAXIFS(m_row,m_teacher,AH$4,m_date,($G$2+20),m_active,1,m_start,"&lt;"&amp;720,m_end,"&gt;"&amp;660),INDEX(m_label,_xlfn.MAXIFS(m_row,m_teacher,AH$4,m_date,($G$2+20),m_active,1,m_start,"&lt;"&amp;720,m_end,"&gt;"&amp;660))))))</f>
        <v/>
      </c>
      <c r="AI73" s="82" t="str">
        <f aca="false">IF(OR(AI$4="",MONTH(($G$2+20))&lt;&gt;MONTH($C$2)),"",IF(COUNTIFS(m_teacher,AI$4,m_date,($G$2+20),m_active,1,m_start,"&lt;"&amp;720,m_end,"&gt;"&amp;660)=0,"",IF(COUNTIFS(m_teacher,AI$4,m_date,($G$2+20),m_active,1,m_start,"&lt;"&amp;720,m_end,"&gt;"&amp;660)&gt;1,"충돌",HYPERLINK("#'관리자_MASTER'!D"&amp;_xlfn.MAXIFS(m_row,m_teacher,AI$4,m_date,($G$2+20),m_active,1,m_start,"&lt;"&amp;720,m_end,"&gt;"&amp;660),INDEX(m_label,_xlfn.MAXIFS(m_row,m_teacher,AI$4,m_date,($G$2+20),m_active,1,m_start,"&lt;"&amp;720,m_end,"&gt;"&amp;660))))))</f>
        <v/>
      </c>
      <c r="AJ73" s="82" t="str">
        <f aca="false">IF(OR(AJ$4="",MONTH(($G$2+20))&lt;&gt;MONTH($C$2)),"",IF(COUNTIFS(m_teacher,AJ$4,m_date,($G$2+20),m_active,1,m_start,"&lt;"&amp;720,m_end,"&gt;"&amp;660)=0,"",IF(COUNTIFS(m_teacher,AJ$4,m_date,($G$2+20),m_active,1,m_start,"&lt;"&amp;720,m_end,"&gt;"&amp;660)&gt;1,"충돌",HYPERLINK("#'관리자_MASTER'!D"&amp;_xlfn.MAXIFS(m_row,m_teacher,AJ$4,m_date,($G$2+20),m_active,1,m_start,"&lt;"&amp;720,m_end,"&gt;"&amp;660),INDEX(m_label,_xlfn.MAXIFS(m_row,m_teacher,AJ$4,m_date,($G$2+20),m_active,1,m_start,"&lt;"&amp;720,m_end,"&gt;"&amp;660))))))</f>
        <v/>
      </c>
      <c r="AK73" s="82" t="str">
        <f aca="false">IF(OR(AK$4="",MONTH(($G$2+20))&lt;&gt;MONTH($C$2)),"",IF(COUNTIFS(m_teacher,AK$4,m_date,($G$2+20),m_active,1,m_start,"&lt;"&amp;720,m_end,"&gt;"&amp;660)=0,"",IF(COUNTIFS(m_teacher,AK$4,m_date,($G$2+20),m_active,1,m_start,"&lt;"&amp;720,m_end,"&gt;"&amp;660)&gt;1,"충돌",HYPERLINK("#'관리자_MASTER'!D"&amp;_xlfn.MAXIFS(m_row,m_teacher,AK$4,m_date,($G$2+20),m_active,1,m_start,"&lt;"&amp;720,m_end,"&gt;"&amp;660),INDEX(m_label,_xlfn.MAXIFS(m_row,m_teacher,AK$4,m_date,($G$2+20),m_active,1,m_start,"&lt;"&amp;720,m_end,"&gt;"&amp;660))))))</f>
        <v/>
      </c>
      <c r="AL73" s="82" t="str">
        <f aca="false">IF(OR(AL$4="",MONTH(($G$2+20))&lt;&gt;MONTH($C$2)),"",IF(COUNTIFS(m_teacher,AL$4,m_date,($G$2+20),m_active,1,m_start,"&lt;"&amp;720,m_end,"&gt;"&amp;660)=0,"",IF(COUNTIFS(m_teacher,AL$4,m_date,($G$2+20),m_active,1,m_start,"&lt;"&amp;720,m_end,"&gt;"&amp;660)&gt;1,"충돌",HYPERLINK("#'관리자_MASTER'!D"&amp;_xlfn.MAXIFS(m_row,m_teacher,AL$4,m_date,($G$2+20),m_active,1,m_start,"&lt;"&amp;720,m_end,"&gt;"&amp;660),INDEX(m_label,_xlfn.MAXIFS(m_row,m_teacher,AL$4,m_date,($G$2+20),m_active,1,m_start,"&lt;"&amp;720,m_end,"&gt;"&amp;660))))))</f>
        <v/>
      </c>
      <c r="AM73" s="82" t="str">
        <f aca="false">IF(OR(AM$4="",MONTH(($G$2+20))&lt;&gt;MONTH($C$2)),"",IF(COUNTIFS(m_teacher,AM$4,m_date,($G$2+20),m_active,1,m_start,"&lt;"&amp;720,m_end,"&gt;"&amp;660)=0,"",IF(COUNTIFS(m_teacher,AM$4,m_date,($G$2+20),m_active,1,m_start,"&lt;"&amp;720,m_end,"&gt;"&amp;660)&gt;1,"충돌",HYPERLINK("#'관리자_MASTER'!D"&amp;_xlfn.MAXIFS(m_row,m_teacher,AM$4,m_date,($G$2+20),m_active,1,m_start,"&lt;"&amp;720,m_end,"&gt;"&amp;660),INDEX(m_label,_xlfn.MAXIFS(m_row,m_teacher,AM$4,m_date,($G$2+20),m_active,1,m_start,"&lt;"&amp;720,m_end,"&gt;"&amp;660))))))</f>
        <v/>
      </c>
      <c r="AN73" s="82" t="str">
        <f aca="false">IF(OR(AN$4="",MONTH(($G$2+20))&lt;&gt;MONTH($C$2)),"",IF(COUNTIFS(m_teacher,AN$4,m_date,($G$2+20),m_active,1,m_start,"&lt;"&amp;720,m_end,"&gt;"&amp;660)=0,"",IF(COUNTIFS(m_teacher,AN$4,m_date,($G$2+20),m_active,1,m_start,"&lt;"&amp;720,m_end,"&gt;"&amp;660)&gt;1,"충돌",HYPERLINK("#'관리자_MASTER'!D"&amp;_xlfn.MAXIFS(m_row,m_teacher,AN$4,m_date,($G$2+20),m_active,1,m_start,"&lt;"&amp;720,m_end,"&gt;"&amp;660),INDEX(m_label,_xlfn.MAXIFS(m_row,m_teacher,AN$4,m_date,($G$2+20),m_active,1,m_start,"&lt;"&amp;720,m_end,"&gt;"&amp;660))))))</f>
        <v/>
      </c>
      <c r="AO73" s="82" t="str">
        <f aca="false">IF(OR(AO$4="",MONTH(($G$2+20))&lt;&gt;MONTH($C$2)),"",IF(COUNTIFS(m_teacher,AO$4,m_date,($G$2+20),m_active,1,m_start,"&lt;"&amp;720,m_end,"&gt;"&amp;660)=0,"",IF(COUNTIFS(m_teacher,AO$4,m_date,($G$2+20),m_active,1,m_start,"&lt;"&amp;720,m_end,"&gt;"&amp;660)&gt;1,"충돌",HYPERLINK("#'관리자_MASTER'!D"&amp;_xlfn.MAXIFS(m_row,m_teacher,AO$4,m_date,($G$2+20),m_active,1,m_start,"&lt;"&amp;720,m_end,"&gt;"&amp;660),INDEX(m_label,_xlfn.MAXIFS(m_row,m_teacher,AO$4,m_date,($G$2+20),m_active,1,m_start,"&lt;"&amp;720,m_end,"&gt;"&amp;660))))))</f>
        <v/>
      </c>
      <c r="AP73" s="82" t="str">
        <f aca="false">IF(OR(AP$4="",MONTH(($G$2+20))&lt;&gt;MONTH($C$2)),"",IF(COUNTIFS(m_teacher,AP$4,m_date,($G$2+20),m_active,1,m_start,"&lt;"&amp;720,m_end,"&gt;"&amp;660)=0,"",IF(COUNTIFS(m_teacher,AP$4,m_date,($G$2+20),m_active,1,m_start,"&lt;"&amp;720,m_end,"&gt;"&amp;660)&gt;1,"충돌",HYPERLINK("#'관리자_MASTER'!D"&amp;_xlfn.MAXIFS(m_row,m_teacher,AP$4,m_date,($G$2+20),m_active,1,m_start,"&lt;"&amp;720,m_end,"&gt;"&amp;660),INDEX(m_label,_xlfn.MAXIFS(m_row,m_teacher,AP$4,m_date,($G$2+20),m_active,1,m_start,"&lt;"&amp;720,m_end,"&gt;"&amp;660))))))</f>
        <v/>
      </c>
      <c r="AQ73" s="92"/>
      <c r="AR73" s="79" t="s">
        <v>93</v>
      </c>
      <c r="AS73" s="82" t="str">
        <f aca="false">IF(OR(AS$4="",MONTH(($G$2+27))&lt;&gt;MONTH($C$2)),"",IF(COUNTIFS(m_teacher,AS$4,m_date,($G$2+27),m_active,1,m_start,"&lt;"&amp;720,m_end,"&gt;"&amp;660)=0,"",IF(COUNTIFS(m_teacher,AS$4,m_date,($G$2+27),m_active,1,m_start,"&lt;"&amp;720,m_end,"&gt;"&amp;660)&gt;1,"충돌",HYPERLINK("#'관리자_MASTER'!D"&amp;_xlfn.MAXIFS(m_row,m_teacher,AS$4,m_date,($G$2+27),m_active,1,m_start,"&lt;"&amp;720,m_end,"&gt;"&amp;660),INDEX(m_label,_xlfn.MAXIFS(m_row,m_teacher,AS$4,m_date,($G$2+27),m_active,1,m_start,"&lt;"&amp;720,m_end,"&gt;"&amp;660))))))</f>
        <v/>
      </c>
      <c r="AT73" s="82" t="str">
        <f aca="false">IF(OR(AT$4="",MONTH(($G$2+27))&lt;&gt;MONTH($C$2)),"",IF(COUNTIFS(m_teacher,AT$4,m_date,($G$2+27),m_active,1,m_start,"&lt;"&amp;720,m_end,"&gt;"&amp;660)=0,"",IF(COUNTIFS(m_teacher,AT$4,m_date,($G$2+27),m_active,1,m_start,"&lt;"&amp;720,m_end,"&gt;"&amp;660)&gt;1,"충돌",HYPERLINK("#'관리자_MASTER'!D"&amp;_xlfn.MAXIFS(m_row,m_teacher,AT$4,m_date,($G$2+27),m_active,1,m_start,"&lt;"&amp;720,m_end,"&gt;"&amp;660),INDEX(m_label,_xlfn.MAXIFS(m_row,m_teacher,AT$4,m_date,($G$2+27),m_active,1,m_start,"&lt;"&amp;720,m_end,"&gt;"&amp;660))))))</f>
        <v/>
      </c>
      <c r="AU73" s="82" t="str">
        <f aca="false">IF(OR(AU$4="",MONTH(($G$2+27))&lt;&gt;MONTH($C$2)),"",IF(COUNTIFS(m_teacher,AU$4,m_date,($G$2+27),m_active,1,m_start,"&lt;"&amp;720,m_end,"&gt;"&amp;660)=0,"",IF(COUNTIFS(m_teacher,AU$4,m_date,($G$2+27),m_active,1,m_start,"&lt;"&amp;720,m_end,"&gt;"&amp;660)&gt;1,"충돌",HYPERLINK("#'관리자_MASTER'!D"&amp;_xlfn.MAXIFS(m_row,m_teacher,AU$4,m_date,($G$2+27),m_active,1,m_start,"&lt;"&amp;720,m_end,"&gt;"&amp;660),INDEX(m_label,_xlfn.MAXIFS(m_row,m_teacher,AU$4,m_date,($G$2+27),m_active,1,m_start,"&lt;"&amp;720,m_end,"&gt;"&amp;660))))))</f>
        <v/>
      </c>
      <c r="AV73" s="82" t="str">
        <f aca="false">IF(OR(AV$4="",MONTH(($G$2+27))&lt;&gt;MONTH($C$2)),"",IF(COUNTIFS(m_teacher,AV$4,m_date,($G$2+27),m_active,1,m_start,"&lt;"&amp;720,m_end,"&gt;"&amp;660)=0,"",IF(COUNTIFS(m_teacher,AV$4,m_date,($G$2+27),m_active,1,m_start,"&lt;"&amp;720,m_end,"&gt;"&amp;660)&gt;1,"충돌",HYPERLINK("#'관리자_MASTER'!D"&amp;_xlfn.MAXIFS(m_row,m_teacher,AV$4,m_date,($G$2+27),m_active,1,m_start,"&lt;"&amp;720,m_end,"&gt;"&amp;660),INDEX(m_label,_xlfn.MAXIFS(m_row,m_teacher,AV$4,m_date,($G$2+27),m_active,1,m_start,"&lt;"&amp;720,m_end,"&gt;"&amp;660))))))</f>
        <v/>
      </c>
      <c r="AW73" s="82" t="str">
        <f aca="false">IF(OR(AW$4="",MONTH(($G$2+27))&lt;&gt;MONTH($C$2)),"",IF(COUNTIFS(m_teacher,AW$4,m_date,($G$2+27),m_active,1,m_start,"&lt;"&amp;720,m_end,"&gt;"&amp;660)=0,"",IF(COUNTIFS(m_teacher,AW$4,m_date,($G$2+27),m_active,1,m_start,"&lt;"&amp;720,m_end,"&gt;"&amp;660)&gt;1,"충돌",HYPERLINK("#'관리자_MASTER'!D"&amp;_xlfn.MAXIFS(m_row,m_teacher,AW$4,m_date,($G$2+27),m_active,1,m_start,"&lt;"&amp;720,m_end,"&gt;"&amp;660),INDEX(m_label,_xlfn.MAXIFS(m_row,m_teacher,AW$4,m_date,($G$2+27),m_active,1,m_start,"&lt;"&amp;720,m_end,"&gt;"&amp;660))))))</f>
        <v/>
      </c>
      <c r="AX73" s="82" t="str">
        <f aca="false">IF(OR(AX$4="",MONTH(($G$2+27))&lt;&gt;MONTH($C$2)),"",IF(COUNTIFS(m_teacher,AX$4,m_date,($G$2+27),m_active,1,m_start,"&lt;"&amp;720,m_end,"&gt;"&amp;660)=0,"",IF(COUNTIFS(m_teacher,AX$4,m_date,($G$2+27),m_active,1,m_start,"&lt;"&amp;720,m_end,"&gt;"&amp;660)&gt;1,"충돌",HYPERLINK("#'관리자_MASTER'!D"&amp;_xlfn.MAXIFS(m_row,m_teacher,AX$4,m_date,($G$2+27),m_active,1,m_start,"&lt;"&amp;720,m_end,"&gt;"&amp;660),INDEX(m_label,_xlfn.MAXIFS(m_row,m_teacher,AX$4,m_date,($G$2+27),m_active,1,m_start,"&lt;"&amp;720,m_end,"&gt;"&amp;660))))))</f>
        <v/>
      </c>
      <c r="AY73" s="82" t="str">
        <f aca="false">IF(OR(AY$4="",MONTH(($G$2+27))&lt;&gt;MONTH($C$2)),"",IF(COUNTIFS(m_teacher,AY$4,m_date,($G$2+27),m_active,1,m_start,"&lt;"&amp;720,m_end,"&gt;"&amp;660)=0,"",IF(COUNTIFS(m_teacher,AY$4,m_date,($G$2+27),m_active,1,m_start,"&lt;"&amp;720,m_end,"&gt;"&amp;660)&gt;1,"충돌",HYPERLINK("#'관리자_MASTER'!D"&amp;_xlfn.MAXIFS(m_row,m_teacher,AY$4,m_date,($G$2+27),m_active,1,m_start,"&lt;"&amp;720,m_end,"&gt;"&amp;660),INDEX(m_label,_xlfn.MAXIFS(m_row,m_teacher,AY$4,m_date,($G$2+27),m_active,1,m_start,"&lt;"&amp;720,m_end,"&gt;"&amp;660))))))</f>
        <v/>
      </c>
      <c r="AZ73" s="82" t="str">
        <f aca="false">IF(OR(AZ$4="",MONTH(($G$2+27))&lt;&gt;MONTH($C$2)),"",IF(COUNTIFS(m_teacher,AZ$4,m_date,($G$2+27),m_active,1,m_start,"&lt;"&amp;720,m_end,"&gt;"&amp;660)=0,"",IF(COUNTIFS(m_teacher,AZ$4,m_date,($G$2+27),m_active,1,m_start,"&lt;"&amp;720,m_end,"&gt;"&amp;660)&gt;1,"충돌",HYPERLINK("#'관리자_MASTER'!D"&amp;_xlfn.MAXIFS(m_row,m_teacher,AZ$4,m_date,($G$2+27),m_active,1,m_start,"&lt;"&amp;720,m_end,"&gt;"&amp;660),INDEX(m_label,_xlfn.MAXIFS(m_row,m_teacher,AZ$4,m_date,($G$2+27),m_active,1,m_start,"&lt;"&amp;720,m_end,"&gt;"&amp;660))))))</f>
        <v/>
      </c>
      <c r="BA73" s="82" t="str">
        <f aca="false">IF(OR(BA$4="",MONTH(($G$2+27))&lt;&gt;MONTH($C$2)),"",IF(COUNTIFS(m_teacher,BA$4,m_date,($G$2+27),m_active,1,m_start,"&lt;"&amp;720,m_end,"&gt;"&amp;660)=0,"",IF(COUNTIFS(m_teacher,BA$4,m_date,($G$2+27),m_active,1,m_start,"&lt;"&amp;720,m_end,"&gt;"&amp;660)&gt;1,"충돌",HYPERLINK("#'관리자_MASTER'!D"&amp;_xlfn.MAXIFS(m_row,m_teacher,BA$4,m_date,($G$2+27),m_active,1,m_start,"&lt;"&amp;720,m_end,"&gt;"&amp;660),INDEX(m_label,_xlfn.MAXIFS(m_row,m_teacher,BA$4,m_date,($G$2+27),m_active,1,m_start,"&lt;"&amp;720,m_end,"&gt;"&amp;660))))))</f>
        <v/>
      </c>
      <c r="BB73" s="82" t="str">
        <f aca="false">IF(OR(BB$4="",MONTH(($G$2+27))&lt;&gt;MONTH($C$2)),"",IF(COUNTIFS(m_teacher,BB$4,m_date,($G$2+27),m_active,1,m_start,"&lt;"&amp;720,m_end,"&gt;"&amp;660)=0,"",IF(COUNTIFS(m_teacher,BB$4,m_date,($G$2+27),m_active,1,m_start,"&lt;"&amp;720,m_end,"&gt;"&amp;660)&gt;1,"충돌",HYPERLINK("#'관리자_MASTER'!D"&amp;_xlfn.MAXIFS(m_row,m_teacher,BB$4,m_date,($G$2+27),m_active,1,m_start,"&lt;"&amp;720,m_end,"&gt;"&amp;660),INDEX(m_label,_xlfn.MAXIFS(m_row,m_teacher,BB$4,m_date,($G$2+27),m_active,1,m_start,"&lt;"&amp;720,m_end,"&gt;"&amp;660))))))</f>
        <v/>
      </c>
      <c r="BC73" s="82" t="str">
        <f aca="false">IF(OR(BC$4="",MONTH(($G$2+27))&lt;&gt;MONTH($C$2)),"",IF(COUNTIFS(m_teacher,BC$4,m_date,($G$2+27),m_active,1,m_start,"&lt;"&amp;720,m_end,"&gt;"&amp;660)=0,"",IF(COUNTIFS(m_teacher,BC$4,m_date,($G$2+27),m_active,1,m_start,"&lt;"&amp;720,m_end,"&gt;"&amp;660)&gt;1,"충돌",HYPERLINK("#'관리자_MASTER'!D"&amp;_xlfn.MAXIFS(m_row,m_teacher,BC$4,m_date,($G$2+27),m_active,1,m_start,"&lt;"&amp;720,m_end,"&gt;"&amp;660),INDEX(m_label,_xlfn.MAXIFS(m_row,m_teacher,BC$4,m_date,($G$2+27),m_active,1,m_start,"&lt;"&amp;720,m_end,"&gt;"&amp;660))))))</f>
        <v/>
      </c>
      <c r="BD73" s="82" t="str">
        <f aca="false">IF(OR(BD$4="",MONTH(($G$2+27))&lt;&gt;MONTH($C$2)),"",IF(COUNTIFS(m_teacher,BD$4,m_date,($G$2+27),m_active,1,m_start,"&lt;"&amp;720,m_end,"&gt;"&amp;660)=0,"",IF(COUNTIFS(m_teacher,BD$4,m_date,($G$2+27),m_active,1,m_start,"&lt;"&amp;720,m_end,"&gt;"&amp;660)&gt;1,"충돌",HYPERLINK("#'관리자_MASTER'!D"&amp;_xlfn.MAXIFS(m_row,m_teacher,BD$4,m_date,($G$2+27),m_active,1,m_start,"&lt;"&amp;720,m_end,"&gt;"&amp;660),INDEX(m_label,_xlfn.MAXIFS(m_row,m_teacher,BD$4,m_date,($G$2+27),m_active,1,m_start,"&lt;"&amp;720,m_end,"&gt;"&amp;660))))))</f>
        <v/>
      </c>
      <c r="BE73" s="92"/>
      <c r="BF73" s="79" t="s">
        <v>93</v>
      </c>
      <c r="BG73" s="82" t="str">
        <f aca="false">IF(OR(BG$4="",MONTH(($G$2+34))&lt;&gt;MONTH($C$2)),"",IF(COUNTIFS(m_teacher,BG$4,m_date,($G$2+34),m_active,1,m_start,"&lt;"&amp;720,m_end,"&gt;"&amp;660)=0,"",IF(COUNTIFS(m_teacher,BG$4,m_date,($G$2+34),m_active,1,m_start,"&lt;"&amp;720,m_end,"&gt;"&amp;660)&gt;1,"충돌",HYPERLINK("#'관리자_MASTER'!D"&amp;_xlfn.MAXIFS(m_row,m_teacher,BG$4,m_date,($G$2+34),m_active,1,m_start,"&lt;"&amp;720,m_end,"&gt;"&amp;660),INDEX(m_label,_xlfn.MAXIFS(m_row,m_teacher,BG$4,m_date,($G$2+34),m_active,1,m_start,"&lt;"&amp;720,m_end,"&gt;"&amp;660))))))</f>
        <v/>
      </c>
      <c r="BH73" s="82" t="str">
        <f aca="false">IF(OR(BH$4="",MONTH(($G$2+34))&lt;&gt;MONTH($C$2)),"",IF(COUNTIFS(m_teacher,BH$4,m_date,($G$2+34),m_active,1,m_start,"&lt;"&amp;720,m_end,"&gt;"&amp;660)=0,"",IF(COUNTIFS(m_teacher,BH$4,m_date,($G$2+34),m_active,1,m_start,"&lt;"&amp;720,m_end,"&gt;"&amp;660)&gt;1,"충돌",HYPERLINK("#'관리자_MASTER'!D"&amp;_xlfn.MAXIFS(m_row,m_teacher,BH$4,m_date,($G$2+34),m_active,1,m_start,"&lt;"&amp;720,m_end,"&gt;"&amp;660),INDEX(m_label,_xlfn.MAXIFS(m_row,m_teacher,BH$4,m_date,($G$2+34),m_active,1,m_start,"&lt;"&amp;720,m_end,"&gt;"&amp;660))))))</f>
        <v/>
      </c>
      <c r="BI73" s="82" t="str">
        <f aca="false">IF(OR(BI$4="",MONTH(($G$2+34))&lt;&gt;MONTH($C$2)),"",IF(COUNTIFS(m_teacher,BI$4,m_date,($G$2+34),m_active,1,m_start,"&lt;"&amp;720,m_end,"&gt;"&amp;660)=0,"",IF(COUNTIFS(m_teacher,BI$4,m_date,($G$2+34),m_active,1,m_start,"&lt;"&amp;720,m_end,"&gt;"&amp;660)&gt;1,"충돌",HYPERLINK("#'관리자_MASTER'!D"&amp;_xlfn.MAXIFS(m_row,m_teacher,BI$4,m_date,($G$2+34),m_active,1,m_start,"&lt;"&amp;720,m_end,"&gt;"&amp;660),INDEX(m_label,_xlfn.MAXIFS(m_row,m_teacher,BI$4,m_date,($G$2+34),m_active,1,m_start,"&lt;"&amp;720,m_end,"&gt;"&amp;660))))))</f>
        <v/>
      </c>
      <c r="BJ73" s="82" t="str">
        <f aca="false">IF(OR(BJ$4="",MONTH(($G$2+34))&lt;&gt;MONTH($C$2)),"",IF(COUNTIFS(m_teacher,BJ$4,m_date,($G$2+34),m_active,1,m_start,"&lt;"&amp;720,m_end,"&gt;"&amp;660)=0,"",IF(COUNTIFS(m_teacher,BJ$4,m_date,($G$2+34),m_active,1,m_start,"&lt;"&amp;720,m_end,"&gt;"&amp;660)&gt;1,"충돌",HYPERLINK("#'관리자_MASTER'!D"&amp;_xlfn.MAXIFS(m_row,m_teacher,BJ$4,m_date,($G$2+34),m_active,1,m_start,"&lt;"&amp;720,m_end,"&gt;"&amp;660),INDEX(m_label,_xlfn.MAXIFS(m_row,m_teacher,BJ$4,m_date,($G$2+34),m_active,1,m_start,"&lt;"&amp;720,m_end,"&gt;"&amp;660))))))</f>
        <v/>
      </c>
      <c r="BK73" s="82" t="str">
        <f aca="false">IF(OR(BK$4="",MONTH(($G$2+34))&lt;&gt;MONTH($C$2)),"",IF(COUNTIFS(m_teacher,BK$4,m_date,($G$2+34),m_active,1,m_start,"&lt;"&amp;720,m_end,"&gt;"&amp;660)=0,"",IF(COUNTIFS(m_teacher,BK$4,m_date,($G$2+34),m_active,1,m_start,"&lt;"&amp;720,m_end,"&gt;"&amp;660)&gt;1,"충돌",HYPERLINK("#'관리자_MASTER'!D"&amp;_xlfn.MAXIFS(m_row,m_teacher,BK$4,m_date,($G$2+34),m_active,1,m_start,"&lt;"&amp;720,m_end,"&gt;"&amp;660),INDEX(m_label,_xlfn.MAXIFS(m_row,m_teacher,BK$4,m_date,($G$2+34),m_active,1,m_start,"&lt;"&amp;720,m_end,"&gt;"&amp;660))))))</f>
        <v/>
      </c>
      <c r="BL73" s="82" t="str">
        <f aca="false">IF(OR(BL$4="",MONTH(($G$2+34))&lt;&gt;MONTH($C$2)),"",IF(COUNTIFS(m_teacher,BL$4,m_date,($G$2+34),m_active,1,m_start,"&lt;"&amp;720,m_end,"&gt;"&amp;660)=0,"",IF(COUNTIFS(m_teacher,BL$4,m_date,($G$2+34),m_active,1,m_start,"&lt;"&amp;720,m_end,"&gt;"&amp;660)&gt;1,"충돌",HYPERLINK("#'관리자_MASTER'!D"&amp;_xlfn.MAXIFS(m_row,m_teacher,BL$4,m_date,($G$2+34),m_active,1,m_start,"&lt;"&amp;720,m_end,"&gt;"&amp;660),INDEX(m_label,_xlfn.MAXIFS(m_row,m_teacher,BL$4,m_date,($G$2+34),m_active,1,m_start,"&lt;"&amp;720,m_end,"&gt;"&amp;660))))))</f>
        <v/>
      </c>
      <c r="BM73" s="82" t="str">
        <f aca="false">IF(OR(BM$4="",MONTH(($G$2+34))&lt;&gt;MONTH($C$2)),"",IF(COUNTIFS(m_teacher,BM$4,m_date,($G$2+34),m_active,1,m_start,"&lt;"&amp;720,m_end,"&gt;"&amp;660)=0,"",IF(COUNTIFS(m_teacher,BM$4,m_date,($G$2+34),m_active,1,m_start,"&lt;"&amp;720,m_end,"&gt;"&amp;660)&gt;1,"충돌",HYPERLINK("#'관리자_MASTER'!D"&amp;_xlfn.MAXIFS(m_row,m_teacher,BM$4,m_date,($G$2+34),m_active,1,m_start,"&lt;"&amp;720,m_end,"&gt;"&amp;660),INDEX(m_label,_xlfn.MAXIFS(m_row,m_teacher,BM$4,m_date,($G$2+34),m_active,1,m_start,"&lt;"&amp;720,m_end,"&gt;"&amp;660))))))</f>
        <v/>
      </c>
      <c r="BN73" s="82" t="str">
        <f aca="false">IF(OR(BN$4="",MONTH(($G$2+34))&lt;&gt;MONTH($C$2)),"",IF(COUNTIFS(m_teacher,BN$4,m_date,($G$2+34),m_active,1,m_start,"&lt;"&amp;720,m_end,"&gt;"&amp;660)=0,"",IF(COUNTIFS(m_teacher,BN$4,m_date,($G$2+34),m_active,1,m_start,"&lt;"&amp;720,m_end,"&gt;"&amp;660)&gt;1,"충돌",HYPERLINK("#'관리자_MASTER'!D"&amp;_xlfn.MAXIFS(m_row,m_teacher,BN$4,m_date,($G$2+34),m_active,1,m_start,"&lt;"&amp;720,m_end,"&gt;"&amp;660),INDEX(m_label,_xlfn.MAXIFS(m_row,m_teacher,BN$4,m_date,($G$2+34),m_active,1,m_start,"&lt;"&amp;720,m_end,"&gt;"&amp;660))))))</f>
        <v/>
      </c>
      <c r="BO73" s="82" t="str">
        <f aca="false">IF(OR(BO$4="",MONTH(($G$2+34))&lt;&gt;MONTH($C$2)),"",IF(COUNTIFS(m_teacher,BO$4,m_date,($G$2+34),m_active,1,m_start,"&lt;"&amp;720,m_end,"&gt;"&amp;660)=0,"",IF(COUNTIFS(m_teacher,BO$4,m_date,($G$2+34),m_active,1,m_start,"&lt;"&amp;720,m_end,"&gt;"&amp;660)&gt;1,"충돌",HYPERLINK("#'관리자_MASTER'!D"&amp;_xlfn.MAXIFS(m_row,m_teacher,BO$4,m_date,($G$2+34),m_active,1,m_start,"&lt;"&amp;720,m_end,"&gt;"&amp;660),INDEX(m_label,_xlfn.MAXIFS(m_row,m_teacher,BO$4,m_date,($G$2+34),m_active,1,m_start,"&lt;"&amp;720,m_end,"&gt;"&amp;660))))))</f>
        <v/>
      </c>
      <c r="BP73" s="82" t="str">
        <f aca="false">IF(OR(BP$4="",MONTH(($G$2+34))&lt;&gt;MONTH($C$2)),"",IF(COUNTIFS(m_teacher,BP$4,m_date,($G$2+34),m_active,1,m_start,"&lt;"&amp;720,m_end,"&gt;"&amp;660)=0,"",IF(COUNTIFS(m_teacher,BP$4,m_date,($G$2+34),m_active,1,m_start,"&lt;"&amp;720,m_end,"&gt;"&amp;660)&gt;1,"충돌",HYPERLINK("#'관리자_MASTER'!D"&amp;_xlfn.MAXIFS(m_row,m_teacher,BP$4,m_date,($G$2+34),m_active,1,m_start,"&lt;"&amp;720,m_end,"&gt;"&amp;660),INDEX(m_label,_xlfn.MAXIFS(m_row,m_teacher,BP$4,m_date,($G$2+34),m_active,1,m_start,"&lt;"&amp;720,m_end,"&gt;"&amp;660))))))</f>
        <v/>
      </c>
      <c r="BQ73" s="82" t="str">
        <f aca="false">IF(OR(BQ$4="",MONTH(($G$2+34))&lt;&gt;MONTH($C$2)),"",IF(COUNTIFS(m_teacher,BQ$4,m_date,($G$2+34),m_active,1,m_start,"&lt;"&amp;720,m_end,"&gt;"&amp;660)=0,"",IF(COUNTIFS(m_teacher,BQ$4,m_date,($G$2+34),m_active,1,m_start,"&lt;"&amp;720,m_end,"&gt;"&amp;660)&gt;1,"충돌",HYPERLINK("#'관리자_MASTER'!D"&amp;_xlfn.MAXIFS(m_row,m_teacher,BQ$4,m_date,($G$2+34),m_active,1,m_start,"&lt;"&amp;720,m_end,"&gt;"&amp;660),INDEX(m_label,_xlfn.MAXIFS(m_row,m_teacher,BQ$4,m_date,($G$2+34),m_active,1,m_start,"&lt;"&amp;720,m_end,"&gt;"&amp;660))))))</f>
        <v/>
      </c>
      <c r="BR73" s="82" t="str">
        <f aca="false">IF(OR(BR$4="",MONTH(($G$2+34))&lt;&gt;MONTH($C$2)),"",IF(COUNTIFS(m_teacher,BR$4,m_date,($G$2+34),m_active,1,m_start,"&lt;"&amp;720,m_end,"&gt;"&amp;660)=0,"",IF(COUNTIFS(m_teacher,BR$4,m_date,($G$2+34),m_active,1,m_start,"&lt;"&amp;720,m_end,"&gt;"&amp;660)&gt;1,"충돌",HYPERLINK("#'관리자_MASTER'!D"&amp;_xlfn.MAXIFS(m_row,m_teacher,BR$4,m_date,($G$2+34),m_active,1,m_start,"&lt;"&amp;720,m_end,"&gt;"&amp;660),INDEX(m_label,_xlfn.MAXIFS(m_row,m_teacher,BR$4,m_date,($G$2+34),m_active,1,m_start,"&lt;"&amp;720,m_end,"&gt;"&amp;660))))))</f>
        <v/>
      </c>
    </row>
    <row r="74" customFormat="false" ht="19.5" hidden="false" customHeight="true" outlineLevel="0" collapsed="false">
      <c r="A74" s="92"/>
      <c r="B74" s="79" t="s">
        <v>94</v>
      </c>
      <c r="C74" s="82" t="str">
        <f aca="false">IF(OR(C$4="",MONTH(($G$2+6))&lt;&gt;MONTH($C$2)),"",IF(COUNTIFS(m_teacher,C$4,m_date,($G$2+6),m_active,1,m_start,"&lt;"&amp;780,m_end,"&gt;"&amp;720)=0,"",IF(COUNTIFS(m_teacher,C$4,m_date,($G$2+6),m_active,1,m_start,"&lt;"&amp;780,m_end,"&gt;"&amp;720)&gt;1,"충돌",HYPERLINK("#'관리자_MASTER'!D"&amp;_xlfn.MAXIFS(m_row,m_teacher,C$4,m_date,($G$2+6),m_active,1,m_start,"&lt;"&amp;780,m_end,"&gt;"&amp;720),INDEX(m_label,_xlfn.MAXIFS(m_row,m_teacher,C$4,m_date,($G$2+6),m_active,1,m_start,"&lt;"&amp;780,m_end,"&gt;"&amp;720))))))</f>
        <v/>
      </c>
      <c r="D74" s="82" t="str">
        <f aca="false">IF(OR(D$4="",MONTH(($G$2+6))&lt;&gt;MONTH($C$2)),"",IF(COUNTIFS(m_teacher,D$4,m_date,($G$2+6),m_active,1,m_start,"&lt;"&amp;780,m_end,"&gt;"&amp;720)=0,"",IF(COUNTIFS(m_teacher,D$4,m_date,($G$2+6),m_active,1,m_start,"&lt;"&amp;780,m_end,"&gt;"&amp;720)&gt;1,"충돌",HYPERLINK("#'관리자_MASTER'!D"&amp;_xlfn.MAXIFS(m_row,m_teacher,D$4,m_date,($G$2+6),m_active,1,m_start,"&lt;"&amp;780,m_end,"&gt;"&amp;720),INDEX(m_label,_xlfn.MAXIFS(m_row,m_teacher,D$4,m_date,($G$2+6),m_active,1,m_start,"&lt;"&amp;780,m_end,"&gt;"&amp;720))))))</f>
        <v/>
      </c>
      <c r="E74" s="82" t="str">
        <f aca="false">IF(OR(E$4="",MONTH(($G$2+6))&lt;&gt;MONTH($C$2)),"",IF(COUNTIFS(m_teacher,E$4,m_date,($G$2+6),m_active,1,m_start,"&lt;"&amp;780,m_end,"&gt;"&amp;720)=0,"",IF(COUNTIFS(m_teacher,E$4,m_date,($G$2+6),m_active,1,m_start,"&lt;"&amp;780,m_end,"&gt;"&amp;720)&gt;1,"충돌",HYPERLINK("#'관리자_MASTER'!D"&amp;_xlfn.MAXIFS(m_row,m_teacher,E$4,m_date,($G$2+6),m_active,1,m_start,"&lt;"&amp;780,m_end,"&gt;"&amp;720),INDEX(m_label,_xlfn.MAXIFS(m_row,m_teacher,E$4,m_date,($G$2+6),m_active,1,m_start,"&lt;"&amp;780,m_end,"&gt;"&amp;720))))))</f>
        <v/>
      </c>
      <c r="F74" s="82" t="str">
        <f aca="false">IF(OR(F$4="",MONTH(($G$2+6))&lt;&gt;MONTH($C$2)),"",IF(COUNTIFS(m_teacher,F$4,m_date,($G$2+6),m_active,1,m_start,"&lt;"&amp;780,m_end,"&gt;"&amp;720)=0,"",IF(COUNTIFS(m_teacher,F$4,m_date,($G$2+6),m_active,1,m_start,"&lt;"&amp;780,m_end,"&gt;"&amp;720)&gt;1,"충돌",HYPERLINK("#'관리자_MASTER'!D"&amp;_xlfn.MAXIFS(m_row,m_teacher,F$4,m_date,($G$2+6),m_active,1,m_start,"&lt;"&amp;780,m_end,"&gt;"&amp;720),INDEX(m_label,_xlfn.MAXIFS(m_row,m_teacher,F$4,m_date,($G$2+6),m_active,1,m_start,"&lt;"&amp;780,m_end,"&gt;"&amp;720))))))</f>
        <v/>
      </c>
      <c r="G74" s="82" t="str">
        <f aca="false">IF(OR(G$4="",MONTH(($G$2+6))&lt;&gt;MONTH($C$2)),"",IF(COUNTIFS(m_teacher,G$4,m_date,($G$2+6),m_active,1,m_start,"&lt;"&amp;780,m_end,"&gt;"&amp;720)=0,"",IF(COUNTIFS(m_teacher,G$4,m_date,($G$2+6),m_active,1,m_start,"&lt;"&amp;780,m_end,"&gt;"&amp;720)&gt;1,"충돌",HYPERLINK("#'관리자_MASTER'!D"&amp;_xlfn.MAXIFS(m_row,m_teacher,G$4,m_date,($G$2+6),m_active,1,m_start,"&lt;"&amp;780,m_end,"&gt;"&amp;720),INDEX(m_label,_xlfn.MAXIFS(m_row,m_teacher,G$4,m_date,($G$2+6),m_active,1,m_start,"&lt;"&amp;780,m_end,"&gt;"&amp;720))))))</f>
        <v/>
      </c>
      <c r="H74" s="82" t="str">
        <f aca="false">IF(OR(H$4="",MONTH(($G$2+6))&lt;&gt;MONTH($C$2)),"",IF(COUNTIFS(m_teacher,H$4,m_date,($G$2+6),m_active,1,m_start,"&lt;"&amp;780,m_end,"&gt;"&amp;720)=0,"",IF(COUNTIFS(m_teacher,H$4,m_date,($G$2+6),m_active,1,m_start,"&lt;"&amp;780,m_end,"&gt;"&amp;720)&gt;1,"충돌",HYPERLINK("#'관리자_MASTER'!D"&amp;_xlfn.MAXIFS(m_row,m_teacher,H$4,m_date,($G$2+6),m_active,1,m_start,"&lt;"&amp;780,m_end,"&gt;"&amp;720),INDEX(m_label,_xlfn.MAXIFS(m_row,m_teacher,H$4,m_date,($G$2+6),m_active,1,m_start,"&lt;"&amp;780,m_end,"&gt;"&amp;720))))))</f>
        <v/>
      </c>
      <c r="I74" s="82" t="str">
        <f aca="false">IF(OR(I$4="",MONTH(($G$2+6))&lt;&gt;MONTH($C$2)),"",IF(COUNTIFS(m_teacher,I$4,m_date,($G$2+6),m_active,1,m_start,"&lt;"&amp;780,m_end,"&gt;"&amp;720)=0,"",IF(COUNTIFS(m_teacher,I$4,m_date,($G$2+6),m_active,1,m_start,"&lt;"&amp;780,m_end,"&gt;"&amp;720)&gt;1,"충돌",HYPERLINK("#'관리자_MASTER'!D"&amp;_xlfn.MAXIFS(m_row,m_teacher,I$4,m_date,($G$2+6),m_active,1,m_start,"&lt;"&amp;780,m_end,"&gt;"&amp;720),INDEX(m_label,_xlfn.MAXIFS(m_row,m_teacher,I$4,m_date,($G$2+6),m_active,1,m_start,"&lt;"&amp;780,m_end,"&gt;"&amp;720))))))</f>
        <v/>
      </c>
      <c r="J74" s="82" t="str">
        <f aca="false">IF(OR(J$4="",MONTH(($G$2+6))&lt;&gt;MONTH($C$2)),"",IF(COUNTIFS(m_teacher,J$4,m_date,($G$2+6),m_active,1,m_start,"&lt;"&amp;780,m_end,"&gt;"&amp;720)=0,"",IF(COUNTIFS(m_teacher,J$4,m_date,($G$2+6),m_active,1,m_start,"&lt;"&amp;780,m_end,"&gt;"&amp;720)&gt;1,"충돌",HYPERLINK("#'관리자_MASTER'!D"&amp;_xlfn.MAXIFS(m_row,m_teacher,J$4,m_date,($G$2+6),m_active,1,m_start,"&lt;"&amp;780,m_end,"&gt;"&amp;720),INDEX(m_label,_xlfn.MAXIFS(m_row,m_teacher,J$4,m_date,($G$2+6),m_active,1,m_start,"&lt;"&amp;780,m_end,"&gt;"&amp;720))))))</f>
        <v/>
      </c>
      <c r="K74" s="82" t="str">
        <f aca="false">IF(OR(K$4="",MONTH(($G$2+6))&lt;&gt;MONTH($C$2)),"",IF(COUNTIFS(m_teacher,K$4,m_date,($G$2+6),m_active,1,m_start,"&lt;"&amp;780,m_end,"&gt;"&amp;720)=0,"",IF(COUNTIFS(m_teacher,K$4,m_date,($G$2+6),m_active,1,m_start,"&lt;"&amp;780,m_end,"&gt;"&amp;720)&gt;1,"충돌",HYPERLINK("#'관리자_MASTER'!D"&amp;_xlfn.MAXIFS(m_row,m_teacher,K$4,m_date,($G$2+6),m_active,1,m_start,"&lt;"&amp;780,m_end,"&gt;"&amp;720),INDEX(m_label,_xlfn.MAXIFS(m_row,m_teacher,K$4,m_date,($G$2+6),m_active,1,m_start,"&lt;"&amp;780,m_end,"&gt;"&amp;720))))))</f>
        <v/>
      </c>
      <c r="L74" s="82" t="str">
        <f aca="false">IF(OR(L$4="",MONTH(($G$2+6))&lt;&gt;MONTH($C$2)),"",IF(COUNTIFS(m_teacher,L$4,m_date,($G$2+6),m_active,1,m_start,"&lt;"&amp;780,m_end,"&gt;"&amp;720)=0,"",IF(COUNTIFS(m_teacher,L$4,m_date,($G$2+6),m_active,1,m_start,"&lt;"&amp;780,m_end,"&gt;"&amp;720)&gt;1,"충돌",HYPERLINK("#'관리자_MASTER'!D"&amp;_xlfn.MAXIFS(m_row,m_teacher,L$4,m_date,($G$2+6),m_active,1,m_start,"&lt;"&amp;780,m_end,"&gt;"&amp;720),INDEX(m_label,_xlfn.MAXIFS(m_row,m_teacher,L$4,m_date,($G$2+6),m_active,1,m_start,"&lt;"&amp;780,m_end,"&gt;"&amp;720))))))</f>
        <v/>
      </c>
      <c r="M74" s="82" t="str">
        <f aca="false">IF(OR(M$4="",MONTH(($G$2+6))&lt;&gt;MONTH($C$2)),"",IF(COUNTIFS(m_teacher,M$4,m_date,($G$2+6),m_active,1,m_start,"&lt;"&amp;780,m_end,"&gt;"&amp;720)=0,"",IF(COUNTIFS(m_teacher,M$4,m_date,($G$2+6),m_active,1,m_start,"&lt;"&amp;780,m_end,"&gt;"&amp;720)&gt;1,"충돌",HYPERLINK("#'관리자_MASTER'!D"&amp;_xlfn.MAXIFS(m_row,m_teacher,M$4,m_date,($G$2+6),m_active,1,m_start,"&lt;"&amp;780,m_end,"&gt;"&amp;720),INDEX(m_label,_xlfn.MAXIFS(m_row,m_teacher,M$4,m_date,($G$2+6),m_active,1,m_start,"&lt;"&amp;780,m_end,"&gt;"&amp;720))))))</f>
        <v/>
      </c>
      <c r="N74" s="82" t="str">
        <f aca="false">IF(OR(N$4="",MONTH(($G$2+6))&lt;&gt;MONTH($C$2)),"",IF(COUNTIFS(m_teacher,N$4,m_date,($G$2+6),m_active,1,m_start,"&lt;"&amp;780,m_end,"&gt;"&amp;720)=0,"",IF(COUNTIFS(m_teacher,N$4,m_date,($G$2+6),m_active,1,m_start,"&lt;"&amp;780,m_end,"&gt;"&amp;720)&gt;1,"충돌",HYPERLINK("#'관리자_MASTER'!D"&amp;_xlfn.MAXIFS(m_row,m_teacher,N$4,m_date,($G$2+6),m_active,1,m_start,"&lt;"&amp;780,m_end,"&gt;"&amp;720),INDEX(m_label,_xlfn.MAXIFS(m_row,m_teacher,N$4,m_date,($G$2+6),m_active,1,m_start,"&lt;"&amp;780,m_end,"&gt;"&amp;720))))))</f>
        <v/>
      </c>
      <c r="O74" s="92"/>
      <c r="P74" s="79" t="s">
        <v>94</v>
      </c>
      <c r="Q74" s="82" t="str">
        <f aca="false">IF(OR(Q$4="",MONTH(($G$2+13))&lt;&gt;MONTH($C$2)),"",IF(COUNTIFS(m_teacher,Q$4,m_date,($G$2+13),m_active,1,m_start,"&lt;"&amp;780,m_end,"&gt;"&amp;720)=0,"",IF(COUNTIFS(m_teacher,Q$4,m_date,($G$2+13),m_active,1,m_start,"&lt;"&amp;780,m_end,"&gt;"&amp;720)&gt;1,"충돌",HYPERLINK("#'관리자_MASTER'!D"&amp;_xlfn.MAXIFS(m_row,m_teacher,Q$4,m_date,($G$2+13),m_active,1,m_start,"&lt;"&amp;780,m_end,"&gt;"&amp;720),INDEX(m_label,_xlfn.MAXIFS(m_row,m_teacher,Q$4,m_date,($G$2+13),m_active,1,m_start,"&lt;"&amp;780,m_end,"&gt;"&amp;720))))))</f>
        <v/>
      </c>
      <c r="R74" s="82" t="str">
        <f aca="false">IF(OR(R$4="",MONTH(($G$2+13))&lt;&gt;MONTH($C$2)),"",IF(COUNTIFS(m_teacher,R$4,m_date,($G$2+13),m_active,1,m_start,"&lt;"&amp;780,m_end,"&gt;"&amp;720)=0,"",IF(COUNTIFS(m_teacher,R$4,m_date,($G$2+13),m_active,1,m_start,"&lt;"&amp;780,m_end,"&gt;"&amp;720)&gt;1,"충돌",HYPERLINK("#'관리자_MASTER'!D"&amp;_xlfn.MAXIFS(m_row,m_teacher,R$4,m_date,($G$2+13),m_active,1,m_start,"&lt;"&amp;780,m_end,"&gt;"&amp;720),INDEX(m_label,_xlfn.MAXIFS(m_row,m_teacher,R$4,m_date,($G$2+13),m_active,1,m_start,"&lt;"&amp;780,m_end,"&gt;"&amp;720))))))</f>
        <v/>
      </c>
      <c r="S74" s="82" t="str">
        <f aca="false">IF(OR(S$4="",MONTH(($G$2+13))&lt;&gt;MONTH($C$2)),"",IF(COUNTIFS(m_teacher,S$4,m_date,($G$2+13),m_active,1,m_start,"&lt;"&amp;780,m_end,"&gt;"&amp;720)=0,"",IF(COUNTIFS(m_teacher,S$4,m_date,($G$2+13),m_active,1,m_start,"&lt;"&amp;780,m_end,"&gt;"&amp;720)&gt;1,"충돌",HYPERLINK("#'관리자_MASTER'!D"&amp;_xlfn.MAXIFS(m_row,m_teacher,S$4,m_date,($G$2+13),m_active,1,m_start,"&lt;"&amp;780,m_end,"&gt;"&amp;720),INDEX(m_label,_xlfn.MAXIFS(m_row,m_teacher,S$4,m_date,($G$2+13),m_active,1,m_start,"&lt;"&amp;780,m_end,"&gt;"&amp;720))))))</f>
        <v/>
      </c>
      <c r="T74" s="82" t="str">
        <f aca="false">IF(OR(T$4="",MONTH(($G$2+13))&lt;&gt;MONTH($C$2)),"",IF(COUNTIFS(m_teacher,T$4,m_date,($G$2+13),m_active,1,m_start,"&lt;"&amp;780,m_end,"&gt;"&amp;720)=0,"",IF(COUNTIFS(m_teacher,T$4,m_date,($G$2+13),m_active,1,m_start,"&lt;"&amp;780,m_end,"&gt;"&amp;720)&gt;1,"충돌",HYPERLINK("#'관리자_MASTER'!D"&amp;_xlfn.MAXIFS(m_row,m_teacher,T$4,m_date,($G$2+13),m_active,1,m_start,"&lt;"&amp;780,m_end,"&gt;"&amp;720),INDEX(m_label,_xlfn.MAXIFS(m_row,m_teacher,T$4,m_date,($G$2+13),m_active,1,m_start,"&lt;"&amp;780,m_end,"&gt;"&amp;720))))))</f>
        <v/>
      </c>
      <c r="U74" s="82" t="str">
        <f aca="false">IF(OR(U$4="",MONTH(($G$2+13))&lt;&gt;MONTH($C$2)),"",IF(COUNTIFS(m_teacher,U$4,m_date,($G$2+13),m_active,1,m_start,"&lt;"&amp;780,m_end,"&gt;"&amp;720)=0,"",IF(COUNTIFS(m_teacher,U$4,m_date,($G$2+13),m_active,1,m_start,"&lt;"&amp;780,m_end,"&gt;"&amp;720)&gt;1,"충돌",HYPERLINK("#'관리자_MASTER'!D"&amp;_xlfn.MAXIFS(m_row,m_teacher,U$4,m_date,($G$2+13),m_active,1,m_start,"&lt;"&amp;780,m_end,"&gt;"&amp;720),INDEX(m_label,_xlfn.MAXIFS(m_row,m_teacher,U$4,m_date,($G$2+13),m_active,1,m_start,"&lt;"&amp;780,m_end,"&gt;"&amp;720))))))</f>
        <v/>
      </c>
      <c r="V74" s="82" t="str">
        <f aca="false">IF(OR(V$4="",MONTH(($G$2+13))&lt;&gt;MONTH($C$2)),"",IF(COUNTIFS(m_teacher,V$4,m_date,($G$2+13),m_active,1,m_start,"&lt;"&amp;780,m_end,"&gt;"&amp;720)=0,"",IF(COUNTIFS(m_teacher,V$4,m_date,($G$2+13),m_active,1,m_start,"&lt;"&amp;780,m_end,"&gt;"&amp;720)&gt;1,"충돌",HYPERLINK("#'관리자_MASTER'!D"&amp;_xlfn.MAXIFS(m_row,m_teacher,V$4,m_date,($G$2+13),m_active,1,m_start,"&lt;"&amp;780,m_end,"&gt;"&amp;720),INDEX(m_label,_xlfn.MAXIFS(m_row,m_teacher,V$4,m_date,($G$2+13),m_active,1,m_start,"&lt;"&amp;780,m_end,"&gt;"&amp;720))))))</f>
        <v/>
      </c>
      <c r="W74" s="82" t="str">
        <f aca="false">IF(OR(W$4="",MONTH(($G$2+13))&lt;&gt;MONTH($C$2)),"",IF(COUNTIFS(m_teacher,W$4,m_date,($G$2+13),m_active,1,m_start,"&lt;"&amp;780,m_end,"&gt;"&amp;720)=0,"",IF(COUNTIFS(m_teacher,W$4,m_date,($G$2+13),m_active,1,m_start,"&lt;"&amp;780,m_end,"&gt;"&amp;720)&gt;1,"충돌",HYPERLINK("#'관리자_MASTER'!D"&amp;_xlfn.MAXIFS(m_row,m_teacher,W$4,m_date,($G$2+13),m_active,1,m_start,"&lt;"&amp;780,m_end,"&gt;"&amp;720),INDEX(m_label,_xlfn.MAXIFS(m_row,m_teacher,W$4,m_date,($G$2+13),m_active,1,m_start,"&lt;"&amp;780,m_end,"&gt;"&amp;720))))))</f>
        <v/>
      </c>
      <c r="X74" s="82" t="str">
        <f aca="false">IF(OR(X$4="",MONTH(($G$2+13))&lt;&gt;MONTH($C$2)),"",IF(COUNTIFS(m_teacher,X$4,m_date,($G$2+13),m_active,1,m_start,"&lt;"&amp;780,m_end,"&gt;"&amp;720)=0,"",IF(COUNTIFS(m_teacher,X$4,m_date,($G$2+13),m_active,1,m_start,"&lt;"&amp;780,m_end,"&gt;"&amp;720)&gt;1,"충돌",HYPERLINK("#'관리자_MASTER'!D"&amp;_xlfn.MAXIFS(m_row,m_teacher,X$4,m_date,($G$2+13),m_active,1,m_start,"&lt;"&amp;780,m_end,"&gt;"&amp;720),INDEX(m_label,_xlfn.MAXIFS(m_row,m_teacher,X$4,m_date,($G$2+13),m_active,1,m_start,"&lt;"&amp;780,m_end,"&gt;"&amp;720))))))</f>
        <v/>
      </c>
      <c r="Y74" s="82" t="str">
        <f aca="false">IF(OR(Y$4="",MONTH(($G$2+13))&lt;&gt;MONTH($C$2)),"",IF(COUNTIFS(m_teacher,Y$4,m_date,($G$2+13),m_active,1,m_start,"&lt;"&amp;780,m_end,"&gt;"&amp;720)=0,"",IF(COUNTIFS(m_teacher,Y$4,m_date,($G$2+13),m_active,1,m_start,"&lt;"&amp;780,m_end,"&gt;"&amp;720)&gt;1,"충돌",HYPERLINK("#'관리자_MASTER'!D"&amp;_xlfn.MAXIFS(m_row,m_teacher,Y$4,m_date,($G$2+13),m_active,1,m_start,"&lt;"&amp;780,m_end,"&gt;"&amp;720),INDEX(m_label,_xlfn.MAXIFS(m_row,m_teacher,Y$4,m_date,($G$2+13),m_active,1,m_start,"&lt;"&amp;780,m_end,"&gt;"&amp;720))))))</f>
        <v/>
      </c>
      <c r="Z74" s="82" t="str">
        <f aca="false">IF(OR(Z$4="",MONTH(($G$2+13))&lt;&gt;MONTH($C$2)),"",IF(COUNTIFS(m_teacher,Z$4,m_date,($G$2+13),m_active,1,m_start,"&lt;"&amp;780,m_end,"&gt;"&amp;720)=0,"",IF(COUNTIFS(m_teacher,Z$4,m_date,($G$2+13),m_active,1,m_start,"&lt;"&amp;780,m_end,"&gt;"&amp;720)&gt;1,"충돌",HYPERLINK("#'관리자_MASTER'!D"&amp;_xlfn.MAXIFS(m_row,m_teacher,Z$4,m_date,($G$2+13),m_active,1,m_start,"&lt;"&amp;780,m_end,"&gt;"&amp;720),INDEX(m_label,_xlfn.MAXIFS(m_row,m_teacher,Z$4,m_date,($G$2+13),m_active,1,m_start,"&lt;"&amp;780,m_end,"&gt;"&amp;720))))))</f>
        <v/>
      </c>
      <c r="AA74" s="82" t="str">
        <f aca="false">IF(OR(AA$4="",MONTH(($G$2+13))&lt;&gt;MONTH($C$2)),"",IF(COUNTIFS(m_teacher,AA$4,m_date,($G$2+13),m_active,1,m_start,"&lt;"&amp;780,m_end,"&gt;"&amp;720)=0,"",IF(COUNTIFS(m_teacher,AA$4,m_date,($G$2+13),m_active,1,m_start,"&lt;"&amp;780,m_end,"&gt;"&amp;720)&gt;1,"충돌",HYPERLINK("#'관리자_MASTER'!D"&amp;_xlfn.MAXIFS(m_row,m_teacher,AA$4,m_date,($G$2+13),m_active,1,m_start,"&lt;"&amp;780,m_end,"&gt;"&amp;720),INDEX(m_label,_xlfn.MAXIFS(m_row,m_teacher,AA$4,m_date,($G$2+13),m_active,1,m_start,"&lt;"&amp;780,m_end,"&gt;"&amp;720))))))</f>
        <v/>
      </c>
      <c r="AB74" s="82" t="str">
        <f aca="false">IF(OR(AB$4="",MONTH(($G$2+13))&lt;&gt;MONTH($C$2)),"",IF(COUNTIFS(m_teacher,AB$4,m_date,($G$2+13),m_active,1,m_start,"&lt;"&amp;780,m_end,"&gt;"&amp;720)=0,"",IF(COUNTIFS(m_teacher,AB$4,m_date,($G$2+13),m_active,1,m_start,"&lt;"&amp;780,m_end,"&gt;"&amp;720)&gt;1,"충돌",HYPERLINK("#'관리자_MASTER'!D"&amp;_xlfn.MAXIFS(m_row,m_teacher,AB$4,m_date,($G$2+13),m_active,1,m_start,"&lt;"&amp;780,m_end,"&gt;"&amp;720),INDEX(m_label,_xlfn.MAXIFS(m_row,m_teacher,AB$4,m_date,($G$2+13),m_active,1,m_start,"&lt;"&amp;780,m_end,"&gt;"&amp;720))))))</f>
        <v/>
      </c>
      <c r="AC74" s="92"/>
      <c r="AD74" s="79" t="s">
        <v>94</v>
      </c>
      <c r="AE74" s="82" t="str">
        <f aca="false">IF(OR(AE$4="",MONTH(($G$2+20))&lt;&gt;MONTH($C$2)),"",IF(COUNTIFS(m_teacher,AE$4,m_date,($G$2+20),m_active,1,m_start,"&lt;"&amp;780,m_end,"&gt;"&amp;720)=0,"",IF(COUNTIFS(m_teacher,AE$4,m_date,($G$2+20),m_active,1,m_start,"&lt;"&amp;780,m_end,"&gt;"&amp;720)&gt;1,"충돌",HYPERLINK("#'관리자_MASTER'!D"&amp;_xlfn.MAXIFS(m_row,m_teacher,AE$4,m_date,($G$2+20),m_active,1,m_start,"&lt;"&amp;780,m_end,"&gt;"&amp;720),INDEX(m_label,_xlfn.MAXIFS(m_row,m_teacher,AE$4,m_date,($G$2+20),m_active,1,m_start,"&lt;"&amp;780,m_end,"&gt;"&amp;720))))))</f>
        <v/>
      </c>
      <c r="AF74" s="82" t="str">
        <f aca="false">IF(OR(AF$4="",MONTH(($G$2+20))&lt;&gt;MONTH($C$2)),"",IF(COUNTIFS(m_teacher,AF$4,m_date,($G$2+20),m_active,1,m_start,"&lt;"&amp;780,m_end,"&gt;"&amp;720)=0,"",IF(COUNTIFS(m_teacher,AF$4,m_date,($G$2+20),m_active,1,m_start,"&lt;"&amp;780,m_end,"&gt;"&amp;720)&gt;1,"충돌",HYPERLINK("#'관리자_MASTER'!D"&amp;_xlfn.MAXIFS(m_row,m_teacher,AF$4,m_date,($G$2+20),m_active,1,m_start,"&lt;"&amp;780,m_end,"&gt;"&amp;720),INDEX(m_label,_xlfn.MAXIFS(m_row,m_teacher,AF$4,m_date,($G$2+20),m_active,1,m_start,"&lt;"&amp;780,m_end,"&gt;"&amp;720))))))</f>
        <v/>
      </c>
      <c r="AG74" s="82" t="str">
        <f aca="false">IF(OR(AG$4="",MONTH(($G$2+20))&lt;&gt;MONTH($C$2)),"",IF(COUNTIFS(m_teacher,AG$4,m_date,($G$2+20),m_active,1,m_start,"&lt;"&amp;780,m_end,"&gt;"&amp;720)=0,"",IF(COUNTIFS(m_teacher,AG$4,m_date,($G$2+20),m_active,1,m_start,"&lt;"&amp;780,m_end,"&gt;"&amp;720)&gt;1,"충돌",HYPERLINK("#'관리자_MASTER'!D"&amp;_xlfn.MAXIFS(m_row,m_teacher,AG$4,m_date,($G$2+20),m_active,1,m_start,"&lt;"&amp;780,m_end,"&gt;"&amp;720),INDEX(m_label,_xlfn.MAXIFS(m_row,m_teacher,AG$4,m_date,($G$2+20),m_active,1,m_start,"&lt;"&amp;780,m_end,"&gt;"&amp;720))))))</f>
        <v/>
      </c>
      <c r="AH74" s="82" t="str">
        <f aca="false">IF(OR(AH$4="",MONTH(($G$2+20))&lt;&gt;MONTH($C$2)),"",IF(COUNTIFS(m_teacher,AH$4,m_date,($G$2+20),m_active,1,m_start,"&lt;"&amp;780,m_end,"&gt;"&amp;720)=0,"",IF(COUNTIFS(m_teacher,AH$4,m_date,($G$2+20),m_active,1,m_start,"&lt;"&amp;780,m_end,"&gt;"&amp;720)&gt;1,"충돌",HYPERLINK("#'관리자_MASTER'!D"&amp;_xlfn.MAXIFS(m_row,m_teacher,AH$4,m_date,($G$2+20),m_active,1,m_start,"&lt;"&amp;780,m_end,"&gt;"&amp;720),INDEX(m_label,_xlfn.MAXIFS(m_row,m_teacher,AH$4,m_date,($G$2+20),m_active,1,m_start,"&lt;"&amp;780,m_end,"&gt;"&amp;720))))))</f>
        <v/>
      </c>
      <c r="AI74" s="82" t="str">
        <f aca="false">IF(OR(AI$4="",MONTH(($G$2+20))&lt;&gt;MONTH($C$2)),"",IF(COUNTIFS(m_teacher,AI$4,m_date,($G$2+20),m_active,1,m_start,"&lt;"&amp;780,m_end,"&gt;"&amp;720)=0,"",IF(COUNTIFS(m_teacher,AI$4,m_date,($G$2+20),m_active,1,m_start,"&lt;"&amp;780,m_end,"&gt;"&amp;720)&gt;1,"충돌",HYPERLINK("#'관리자_MASTER'!D"&amp;_xlfn.MAXIFS(m_row,m_teacher,AI$4,m_date,($G$2+20),m_active,1,m_start,"&lt;"&amp;780,m_end,"&gt;"&amp;720),INDEX(m_label,_xlfn.MAXIFS(m_row,m_teacher,AI$4,m_date,($G$2+20),m_active,1,m_start,"&lt;"&amp;780,m_end,"&gt;"&amp;720))))))</f>
        <v/>
      </c>
      <c r="AJ74" s="82" t="str">
        <f aca="false">IF(OR(AJ$4="",MONTH(($G$2+20))&lt;&gt;MONTH($C$2)),"",IF(COUNTIFS(m_teacher,AJ$4,m_date,($G$2+20),m_active,1,m_start,"&lt;"&amp;780,m_end,"&gt;"&amp;720)=0,"",IF(COUNTIFS(m_teacher,AJ$4,m_date,($G$2+20),m_active,1,m_start,"&lt;"&amp;780,m_end,"&gt;"&amp;720)&gt;1,"충돌",HYPERLINK("#'관리자_MASTER'!D"&amp;_xlfn.MAXIFS(m_row,m_teacher,AJ$4,m_date,($G$2+20),m_active,1,m_start,"&lt;"&amp;780,m_end,"&gt;"&amp;720),INDEX(m_label,_xlfn.MAXIFS(m_row,m_teacher,AJ$4,m_date,($G$2+20),m_active,1,m_start,"&lt;"&amp;780,m_end,"&gt;"&amp;720))))))</f>
        <v/>
      </c>
      <c r="AK74" s="82" t="str">
        <f aca="false">IF(OR(AK$4="",MONTH(($G$2+20))&lt;&gt;MONTH($C$2)),"",IF(COUNTIFS(m_teacher,AK$4,m_date,($G$2+20),m_active,1,m_start,"&lt;"&amp;780,m_end,"&gt;"&amp;720)=0,"",IF(COUNTIFS(m_teacher,AK$4,m_date,($G$2+20),m_active,1,m_start,"&lt;"&amp;780,m_end,"&gt;"&amp;720)&gt;1,"충돌",HYPERLINK("#'관리자_MASTER'!D"&amp;_xlfn.MAXIFS(m_row,m_teacher,AK$4,m_date,($G$2+20),m_active,1,m_start,"&lt;"&amp;780,m_end,"&gt;"&amp;720),INDEX(m_label,_xlfn.MAXIFS(m_row,m_teacher,AK$4,m_date,($G$2+20),m_active,1,m_start,"&lt;"&amp;780,m_end,"&gt;"&amp;720))))))</f>
        <v/>
      </c>
      <c r="AL74" s="82" t="str">
        <f aca="false">IF(OR(AL$4="",MONTH(($G$2+20))&lt;&gt;MONTH($C$2)),"",IF(COUNTIFS(m_teacher,AL$4,m_date,($G$2+20),m_active,1,m_start,"&lt;"&amp;780,m_end,"&gt;"&amp;720)=0,"",IF(COUNTIFS(m_teacher,AL$4,m_date,($G$2+20),m_active,1,m_start,"&lt;"&amp;780,m_end,"&gt;"&amp;720)&gt;1,"충돌",HYPERLINK("#'관리자_MASTER'!D"&amp;_xlfn.MAXIFS(m_row,m_teacher,AL$4,m_date,($G$2+20),m_active,1,m_start,"&lt;"&amp;780,m_end,"&gt;"&amp;720),INDEX(m_label,_xlfn.MAXIFS(m_row,m_teacher,AL$4,m_date,($G$2+20),m_active,1,m_start,"&lt;"&amp;780,m_end,"&gt;"&amp;720))))))</f>
        <v/>
      </c>
      <c r="AM74" s="82" t="str">
        <f aca="false">IF(OR(AM$4="",MONTH(($G$2+20))&lt;&gt;MONTH($C$2)),"",IF(COUNTIFS(m_teacher,AM$4,m_date,($G$2+20),m_active,1,m_start,"&lt;"&amp;780,m_end,"&gt;"&amp;720)=0,"",IF(COUNTIFS(m_teacher,AM$4,m_date,($G$2+20),m_active,1,m_start,"&lt;"&amp;780,m_end,"&gt;"&amp;720)&gt;1,"충돌",HYPERLINK("#'관리자_MASTER'!D"&amp;_xlfn.MAXIFS(m_row,m_teacher,AM$4,m_date,($G$2+20),m_active,1,m_start,"&lt;"&amp;780,m_end,"&gt;"&amp;720),INDEX(m_label,_xlfn.MAXIFS(m_row,m_teacher,AM$4,m_date,($G$2+20),m_active,1,m_start,"&lt;"&amp;780,m_end,"&gt;"&amp;720))))))</f>
        <v/>
      </c>
      <c r="AN74" s="82" t="str">
        <f aca="false">IF(OR(AN$4="",MONTH(($G$2+20))&lt;&gt;MONTH($C$2)),"",IF(COUNTIFS(m_teacher,AN$4,m_date,($G$2+20),m_active,1,m_start,"&lt;"&amp;780,m_end,"&gt;"&amp;720)=0,"",IF(COUNTIFS(m_teacher,AN$4,m_date,($G$2+20),m_active,1,m_start,"&lt;"&amp;780,m_end,"&gt;"&amp;720)&gt;1,"충돌",HYPERLINK("#'관리자_MASTER'!D"&amp;_xlfn.MAXIFS(m_row,m_teacher,AN$4,m_date,($G$2+20),m_active,1,m_start,"&lt;"&amp;780,m_end,"&gt;"&amp;720),INDEX(m_label,_xlfn.MAXIFS(m_row,m_teacher,AN$4,m_date,($G$2+20),m_active,1,m_start,"&lt;"&amp;780,m_end,"&gt;"&amp;720))))))</f>
        <v/>
      </c>
      <c r="AO74" s="82" t="str">
        <f aca="false">IF(OR(AO$4="",MONTH(($G$2+20))&lt;&gt;MONTH($C$2)),"",IF(COUNTIFS(m_teacher,AO$4,m_date,($G$2+20),m_active,1,m_start,"&lt;"&amp;780,m_end,"&gt;"&amp;720)=0,"",IF(COUNTIFS(m_teacher,AO$4,m_date,($G$2+20),m_active,1,m_start,"&lt;"&amp;780,m_end,"&gt;"&amp;720)&gt;1,"충돌",HYPERLINK("#'관리자_MASTER'!D"&amp;_xlfn.MAXIFS(m_row,m_teacher,AO$4,m_date,($G$2+20),m_active,1,m_start,"&lt;"&amp;780,m_end,"&gt;"&amp;720),INDEX(m_label,_xlfn.MAXIFS(m_row,m_teacher,AO$4,m_date,($G$2+20),m_active,1,m_start,"&lt;"&amp;780,m_end,"&gt;"&amp;720))))))</f>
        <v/>
      </c>
      <c r="AP74" s="82" t="str">
        <f aca="false">IF(OR(AP$4="",MONTH(($G$2+20))&lt;&gt;MONTH($C$2)),"",IF(COUNTIFS(m_teacher,AP$4,m_date,($G$2+20),m_active,1,m_start,"&lt;"&amp;780,m_end,"&gt;"&amp;720)=0,"",IF(COUNTIFS(m_teacher,AP$4,m_date,($G$2+20),m_active,1,m_start,"&lt;"&amp;780,m_end,"&gt;"&amp;720)&gt;1,"충돌",HYPERLINK("#'관리자_MASTER'!D"&amp;_xlfn.MAXIFS(m_row,m_teacher,AP$4,m_date,($G$2+20),m_active,1,m_start,"&lt;"&amp;780,m_end,"&gt;"&amp;720),INDEX(m_label,_xlfn.MAXIFS(m_row,m_teacher,AP$4,m_date,($G$2+20),m_active,1,m_start,"&lt;"&amp;780,m_end,"&gt;"&amp;720))))))</f>
        <v/>
      </c>
      <c r="AQ74" s="92"/>
      <c r="AR74" s="79" t="s">
        <v>94</v>
      </c>
      <c r="AS74" s="82" t="str">
        <f aca="false">IF(OR(AS$4="",MONTH(($G$2+27))&lt;&gt;MONTH($C$2)),"",IF(COUNTIFS(m_teacher,AS$4,m_date,($G$2+27),m_active,1,m_start,"&lt;"&amp;780,m_end,"&gt;"&amp;720)=0,"",IF(COUNTIFS(m_teacher,AS$4,m_date,($G$2+27),m_active,1,m_start,"&lt;"&amp;780,m_end,"&gt;"&amp;720)&gt;1,"충돌",HYPERLINK("#'관리자_MASTER'!D"&amp;_xlfn.MAXIFS(m_row,m_teacher,AS$4,m_date,($G$2+27),m_active,1,m_start,"&lt;"&amp;780,m_end,"&gt;"&amp;720),INDEX(m_label,_xlfn.MAXIFS(m_row,m_teacher,AS$4,m_date,($G$2+27),m_active,1,m_start,"&lt;"&amp;780,m_end,"&gt;"&amp;720))))))</f>
        <v/>
      </c>
      <c r="AT74" s="82" t="str">
        <f aca="false">IF(OR(AT$4="",MONTH(($G$2+27))&lt;&gt;MONTH($C$2)),"",IF(COUNTIFS(m_teacher,AT$4,m_date,($G$2+27),m_active,1,m_start,"&lt;"&amp;780,m_end,"&gt;"&amp;720)=0,"",IF(COUNTIFS(m_teacher,AT$4,m_date,($G$2+27),m_active,1,m_start,"&lt;"&amp;780,m_end,"&gt;"&amp;720)&gt;1,"충돌",HYPERLINK("#'관리자_MASTER'!D"&amp;_xlfn.MAXIFS(m_row,m_teacher,AT$4,m_date,($G$2+27),m_active,1,m_start,"&lt;"&amp;780,m_end,"&gt;"&amp;720),INDEX(m_label,_xlfn.MAXIFS(m_row,m_teacher,AT$4,m_date,($G$2+27),m_active,1,m_start,"&lt;"&amp;780,m_end,"&gt;"&amp;720))))))</f>
        <v/>
      </c>
      <c r="AU74" s="82" t="str">
        <f aca="false">IF(OR(AU$4="",MONTH(($G$2+27))&lt;&gt;MONTH($C$2)),"",IF(COUNTIFS(m_teacher,AU$4,m_date,($G$2+27),m_active,1,m_start,"&lt;"&amp;780,m_end,"&gt;"&amp;720)=0,"",IF(COUNTIFS(m_teacher,AU$4,m_date,($G$2+27),m_active,1,m_start,"&lt;"&amp;780,m_end,"&gt;"&amp;720)&gt;1,"충돌",HYPERLINK("#'관리자_MASTER'!D"&amp;_xlfn.MAXIFS(m_row,m_teacher,AU$4,m_date,($G$2+27),m_active,1,m_start,"&lt;"&amp;780,m_end,"&gt;"&amp;720),INDEX(m_label,_xlfn.MAXIFS(m_row,m_teacher,AU$4,m_date,($G$2+27),m_active,1,m_start,"&lt;"&amp;780,m_end,"&gt;"&amp;720))))))</f>
        <v/>
      </c>
      <c r="AV74" s="82" t="str">
        <f aca="false">IF(OR(AV$4="",MONTH(($G$2+27))&lt;&gt;MONTH($C$2)),"",IF(COUNTIFS(m_teacher,AV$4,m_date,($G$2+27),m_active,1,m_start,"&lt;"&amp;780,m_end,"&gt;"&amp;720)=0,"",IF(COUNTIFS(m_teacher,AV$4,m_date,($G$2+27),m_active,1,m_start,"&lt;"&amp;780,m_end,"&gt;"&amp;720)&gt;1,"충돌",HYPERLINK("#'관리자_MASTER'!D"&amp;_xlfn.MAXIFS(m_row,m_teacher,AV$4,m_date,($G$2+27),m_active,1,m_start,"&lt;"&amp;780,m_end,"&gt;"&amp;720),INDEX(m_label,_xlfn.MAXIFS(m_row,m_teacher,AV$4,m_date,($G$2+27),m_active,1,m_start,"&lt;"&amp;780,m_end,"&gt;"&amp;720))))))</f>
        <v/>
      </c>
      <c r="AW74" s="82" t="str">
        <f aca="false">IF(OR(AW$4="",MONTH(($G$2+27))&lt;&gt;MONTH($C$2)),"",IF(COUNTIFS(m_teacher,AW$4,m_date,($G$2+27),m_active,1,m_start,"&lt;"&amp;780,m_end,"&gt;"&amp;720)=0,"",IF(COUNTIFS(m_teacher,AW$4,m_date,($G$2+27),m_active,1,m_start,"&lt;"&amp;780,m_end,"&gt;"&amp;720)&gt;1,"충돌",HYPERLINK("#'관리자_MASTER'!D"&amp;_xlfn.MAXIFS(m_row,m_teacher,AW$4,m_date,($G$2+27),m_active,1,m_start,"&lt;"&amp;780,m_end,"&gt;"&amp;720),INDEX(m_label,_xlfn.MAXIFS(m_row,m_teacher,AW$4,m_date,($G$2+27),m_active,1,m_start,"&lt;"&amp;780,m_end,"&gt;"&amp;720))))))</f>
        <v/>
      </c>
      <c r="AX74" s="82" t="str">
        <f aca="false">IF(OR(AX$4="",MONTH(($G$2+27))&lt;&gt;MONTH($C$2)),"",IF(COUNTIFS(m_teacher,AX$4,m_date,($G$2+27),m_active,1,m_start,"&lt;"&amp;780,m_end,"&gt;"&amp;720)=0,"",IF(COUNTIFS(m_teacher,AX$4,m_date,($G$2+27),m_active,1,m_start,"&lt;"&amp;780,m_end,"&gt;"&amp;720)&gt;1,"충돌",HYPERLINK("#'관리자_MASTER'!D"&amp;_xlfn.MAXIFS(m_row,m_teacher,AX$4,m_date,($G$2+27),m_active,1,m_start,"&lt;"&amp;780,m_end,"&gt;"&amp;720),INDEX(m_label,_xlfn.MAXIFS(m_row,m_teacher,AX$4,m_date,($G$2+27),m_active,1,m_start,"&lt;"&amp;780,m_end,"&gt;"&amp;720))))))</f>
        <v/>
      </c>
      <c r="AY74" s="82" t="str">
        <f aca="false">IF(OR(AY$4="",MONTH(($G$2+27))&lt;&gt;MONTH($C$2)),"",IF(COUNTIFS(m_teacher,AY$4,m_date,($G$2+27),m_active,1,m_start,"&lt;"&amp;780,m_end,"&gt;"&amp;720)=0,"",IF(COUNTIFS(m_teacher,AY$4,m_date,($G$2+27),m_active,1,m_start,"&lt;"&amp;780,m_end,"&gt;"&amp;720)&gt;1,"충돌",HYPERLINK("#'관리자_MASTER'!D"&amp;_xlfn.MAXIFS(m_row,m_teacher,AY$4,m_date,($G$2+27),m_active,1,m_start,"&lt;"&amp;780,m_end,"&gt;"&amp;720),INDEX(m_label,_xlfn.MAXIFS(m_row,m_teacher,AY$4,m_date,($G$2+27),m_active,1,m_start,"&lt;"&amp;780,m_end,"&gt;"&amp;720))))))</f>
        <v/>
      </c>
      <c r="AZ74" s="82" t="str">
        <f aca="false">IF(OR(AZ$4="",MONTH(($G$2+27))&lt;&gt;MONTH($C$2)),"",IF(COUNTIFS(m_teacher,AZ$4,m_date,($G$2+27),m_active,1,m_start,"&lt;"&amp;780,m_end,"&gt;"&amp;720)=0,"",IF(COUNTIFS(m_teacher,AZ$4,m_date,($G$2+27),m_active,1,m_start,"&lt;"&amp;780,m_end,"&gt;"&amp;720)&gt;1,"충돌",HYPERLINK("#'관리자_MASTER'!D"&amp;_xlfn.MAXIFS(m_row,m_teacher,AZ$4,m_date,($G$2+27),m_active,1,m_start,"&lt;"&amp;780,m_end,"&gt;"&amp;720),INDEX(m_label,_xlfn.MAXIFS(m_row,m_teacher,AZ$4,m_date,($G$2+27),m_active,1,m_start,"&lt;"&amp;780,m_end,"&gt;"&amp;720))))))</f>
        <v/>
      </c>
      <c r="BA74" s="82" t="str">
        <f aca="false">IF(OR(BA$4="",MONTH(($G$2+27))&lt;&gt;MONTH($C$2)),"",IF(COUNTIFS(m_teacher,BA$4,m_date,($G$2+27),m_active,1,m_start,"&lt;"&amp;780,m_end,"&gt;"&amp;720)=0,"",IF(COUNTIFS(m_teacher,BA$4,m_date,($G$2+27),m_active,1,m_start,"&lt;"&amp;780,m_end,"&gt;"&amp;720)&gt;1,"충돌",HYPERLINK("#'관리자_MASTER'!D"&amp;_xlfn.MAXIFS(m_row,m_teacher,BA$4,m_date,($G$2+27),m_active,1,m_start,"&lt;"&amp;780,m_end,"&gt;"&amp;720),INDEX(m_label,_xlfn.MAXIFS(m_row,m_teacher,BA$4,m_date,($G$2+27),m_active,1,m_start,"&lt;"&amp;780,m_end,"&gt;"&amp;720))))))</f>
        <v/>
      </c>
      <c r="BB74" s="82" t="str">
        <f aca="false">IF(OR(BB$4="",MONTH(($G$2+27))&lt;&gt;MONTH($C$2)),"",IF(COUNTIFS(m_teacher,BB$4,m_date,($G$2+27),m_active,1,m_start,"&lt;"&amp;780,m_end,"&gt;"&amp;720)=0,"",IF(COUNTIFS(m_teacher,BB$4,m_date,($G$2+27),m_active,1,m_start,"&lt;"&amp;780,m_end,"&gt;"&amp;720)&gt;1,"충돌",HYPERLINK("#'관리자_MASTER'!D"&amp;_xlfn.MAXIFS(m_row,m_teacher,BB$4,m_date,($G$2+27),m_active,1,m_start,"&lt;"&amp;780,m_end,"&gt;"&amp;720),INDEX(m_label,_xlfn.MAXIFS(m_row,m_teacher,BB$4,m_date,($G$2+27),m_active,1,m_start,"&lt;"&amp;780,m_end,"&gt;"&amp;720))))))</f>
        <v/>
      </c>
      <c r="BC74" s="82" t="str">
        <f aca="false">IF(OR(BC$4="",MONTH(($G$2+27))&lt;&gt;MONTH($C$2)),"",IF(COUNTIFS(m_teacher,BC$4,m_date,($G$2+27),m_active,1,m_start,"&lt;"&amp;780,m_end,"&gt;"&amp;720)=0,"",IF(COUNTIFS(m_teacher,BC$4,m_date,($G$2+27),m_active,1,m_start,"&lt;"&amp;780,m_end,"&gt;"&amp;720)&gt;1,"충돌",HYPERLINK("#'관리자_MASTER'!D"&amp;_xlfn.MAXIFS(m_row,m_teacher,BC$4,m_date,($G$2+27),m_active,1,m_start,"&lt;"&amp;780,m_end,"&gt;"&amp;720),INDEX(m_label,_xlfn.MAXIFS(m_row,m_teacher,BC$4,m_date,($G$2+27),m_active,1,m_start,"&lt;"&amp;780,m_end,"&gt;"&amp;720))))))</f>
        <v/>
      </c>
      <c r="BD74" s="82" t="str">
        <f aca="false">IF(OR(BD$4="",MONTH(($G$2+27))&lt;&gt;MONTH($C$2)),"",IF(COUNTIFS(m_teacher,BD$4,m_date,($G$2+27),m_active,1,m_start,"&lt;"&amp;780,m_end,"&gt;"&amp;720)=0,"",IF(COUNTIFS(m_teacher,BD$4,m_date,($G$2+27),m_active,1,m_start,"&lt;"&amp;780,m_end,"&gt;"&amp;720)&gt;1,"충돌",HYPERLINK("#'관리자_MASTER'!D"&amp;_xlfn.MAXIFS(m_row,m_teacher,BD$4,m_date,($G$2+27),m_active,1,m_start,"&lt;"&amp;780,m_end,"&gt;"&amp;720),INDEX(m_label,_xlfn.MAXIFS(m_row,m_teacher,BD$4,m_date,($G$2+27),m_active,1,m_start,"&lt;"&amp;780,m_end,"&gt;"&amp;720))))))</f>
        <v/>
      </c>
      <c r="BE74" s="92"/>
      <c r="BF74" s="79" t="s">
        <v>94</v>
      </c>
      <c r="BG74" s="82" t="str">
        <f aca="false">IF(OR(BG$4="",MONTH(($G$2+34))&lt;&gt;MONTH($C$2)),"",IF(COUNTIFS(m_teacher,BG$4,m_date,($G$2+34),m_active,1,m_start,"&lt;"&amp;780,m_end,"&gt;"&amp;720)=0,"",IF(COUNTIFS(m_teacher,BG$4,m_date,($G$2+34),m_active,1,m_start,"&lt;"&amp;780,m_end,"&gt;"&amp;720)&gt;1,"충돌",HYPERLINK("#'관리자_MASTER'!D"&amp;_xlfn.MAXIFS(m_row,m_teacher,BG$4,m_date,($G$2+34),m_active,1,m_start,"&lt;"&amp;780,m_end,"&gt;"&amp;720),INDEX(m_label,_xlfn.MAXIFS(m_row,m_teacher,BG$4,m_date,($G$2+34),m_active,1,m_start,"&lt;"&amp;780,m_end,"&gt;"&amp;720))))))</f>
        <v/>
      </c>
      <c r="BH74" s="82" t="str">
        <f aca="false">IF(OR(BH$4="",MONTH(($G$2+34))&lt;&gt;MONTH($C$2)),"",IF(COUNTIFS(m_teacher,BH$4,m_date,($G$2+34),m_active,1,m_start,"&lt;"&amp;780,m_end,"&gt;"&amp;720)=0,"",IF(COUNTIFS(m_teacher,BH$4,m_date,($G$2+34),m_active,1,m_start,"&lt;"&amp;780,m_end,"&gt;"&amp;720)&gt;1,"충돌",HYPERLINK("#'관리자_MASTER'!D"&amp;_xlfn.MAXIFS(m_row,m_teacher,BH$4,m_date,($G$2+34),m_active,1,m_start,"&lt;"&amp;780,m_end,"&gt;"&amp;720),INDEX(m_label,_xlfn.MAXIFS(m_row,m_teacher,BH$4,m_date,($G$2+34),m_active,1,m_start,"&lt;"&amp;780,m_end,"&gt;"&amp;720))))))</f>
        <v/>
      </c>
      <c r="BI74" s="82" t="str">
        <f aca="false">IF(OR(BI$4="",MONTH(($G$2+34))&lt;&gt;MONTH($C$2)),"",IF(COUNTIFS(m_teacher,BI$4,m_date,($G$2+34),m_active,1,m_start,"&lt;"&amp;780,m_end,"&gt;"&amp;720)=0,"",IF(COUNTIFS(m_teacher,BI$4,m_date,($G$2+34),m_active,1,m_start,"&lt;"&amp;780,m_end,"&gt;"&amp;720)&gt;1,"충돌",HYPERLINK("#'관리자_MASTER'!D"&amp;_xlfn.MAXIFS(m_row,m_teacher,BI$4,m_date,($G$2+34),m_active,1,m_start,"&lt;"&amp;780,m_end,"&gt;"&amp;720),INDEX(m_label,_xlfn.MAXIFS(m_row,m_teacher,BI$4,m_date,($G$2+34),m_active,1,m_start,"&lt;"&amp;780,m_end,"&gt;"&amp;720))))))</f>
        <v/>
      </c>
      <c r="BJ74" s="82" t="str">
        <f aca="false">IF(OR(BJ$4="",MONTH(($G$2+34))&lt;&gt;MONTH($C$2)),"",IF(COUNTIFS(m_teacher,BJ$4,m_date,($G$2+34),m_active,1,m_start,"&lt;"&amp;780,m_end,"&gt;"&amp;720)=0,"",IF(COUNTIFS(m_teacher,BJ$4,m_date,($G$2+34),m_active,1,m_start,"&lt;"&amp;780,m_end,"&gt;"&amp;720)&gt;1,"충돌",HYPERLINK("#'관리자_MASTER'!D"&amp;_xlfn.MAXIFS(m_row,m_teacher,BJ$4,m_date,($G$2+34),m_active,1,m_start,"&lt;"&amp;780,m_end,"&gt;"&amp;720),INDEX(m_label,_xlfn.MAXIFS(m_row,m_teacher,BJ$4,m_date,($G$2+34),m_active,1,m_start,"&lt;"&amp;780,m_end,"&gt;"&amp;720))))))</f>
        <v/>
      </c>
      <c r="BK74" s="82" t="str">
        <f aca="false">IF(OR(BK$4="",MONTH(($G$2+34))&lt;&gt;MONTH($C$2)),"",IF(COUNTIFS(m_teacher,BK$4,m_date,($G$2+34),m_active,1,m_start,"&lt;"&amp;780,m_end,"&gt;"&amp;720)=0,"",IF(COUNTIFS(m_teacher,BK$4,m_date,($G$2+34),m_active,1,m_start,"&lt;"&amp;780,m_end,"&gt;"&amp;720)&gt;1,"충돌",HYPERLINK("#'관리자_MASTER'!D"&amp;_xlfn.MAXIFS(m_row,m_teacher,BK$4,m_date,($G$2+34),m_active,1,m_start,"&lt;"&amp;780,m_end,"&gt;"&amp;720),INDEX(m_label,_xlfn.MAXIFS(m_row,m_teacher,BK$4,m_date,($G$2+34),m_active,1,m_start,"&lt;"&amp;780,m_end,"&gt;"&amp;720))))))</f>
        <v/>
      </c>
      <c r="BL74" s="82" t="str">
        <f aca="false">IF(OR(BL$4="",MONTH(($G$2+34))&lt;&gt;MONTH($C$2)),"",IF(COUNTIFS(m_teacher,BL$4,m_date,($G$2+34),m_active,1,m_start,"&lt;"&amp;780,m_end,"&gt;"&amp;720)=0,"",IF(COUNTIFS(m_teacher,BL$4,m_date,($G$2+34),m_active,1,m_start,"&lt;"&amp;780,m_end,"&gt;"&amp;720)&gt;1,"충돌",HYPERLINK("#'관리자_MASTER'!D"&amp;_xlfn.MAXIFS(m_row,m_teacher,BL$4,m_date,($G$2+34),m_active,1,m_start,"&lt;"&amp;780,m_end,"&gt;"&amp;720),INDEX(m_label,_xlfn.MAXIFS(m_row,m_teacher,BL$4,m_date,($G$2+34),m_active,1,m_start,"&lt;"&amp;780,m_end,"&gt;"&amp;720))))))</f>
        <v/>
      </c>
      <c r="BM74" s="82" t="str">
        <f aca="false">IF(OR(BM$4="",MONTH(($G$2+34))&lt;&gt;MONTH($C$2)),"",IF(COUNTIFS(m_teacher,BM$4,m_date,($G$2+34),m_active,1,m_start,"&lt;"&amp;780,m_end,"&gt;"&amp;720)=0,"",IF(COUNTIFS(m_teacher,BM$4,m_date,($G$2+34),m_active,1,m_start,"&lt;"&amp;780,m_end,"&gt;"&amp;720)&gt;1,"충돌",HYPERLINK("#'관리자_MASTER'!D"&amp;_xlfn.MAXIFS(m_row,m_teacher,BM$4,m_date,($G$2+34),m_active,1,m_start,"&lt;"&amp;780,m_end,"&gt;"&amp;720),INDEX(m_label,_xlfn.MAXIFS(m_row,m_teacher,BM$4,m_date,($G$2+34),m_active,1,m_start,"&lt;"&amp;780,m_end,"&gt;"&amp;720))))))</f>
        <v/>
      </c>
      <c r="BN74" s="82" t="str">
        <f aca="false">IF(OR(BN$4="",MONTH(($G$2+34))&lt;&gt;MONTH($C$2)),"",IF(COUNTIFS(m_teacher,BN$4,m_date,($G$2+34),m_active,1,m_start,"&lt;"&amp;780,m_end,"&gt;"&amp;720)=0,"",IF(COUNTIFS(m_teacher,BN$4,m_date,($G$2+34),m_active,1,m_start,"&lt;"&amp;780,m_end,"&gt;"&amp;720)&gt;1,"충돌",HYPERLINK("#'관리자_MASTER'!D"&amp;_xlfn.MAXIFS(m_row,m_teacher,BN$4,m_date,($G$2+34),m_active,1,m_start,"&lt;"&amp;780,m_end,"&gt;"&amp;720),INDEX(m_label,_xlfn.MAXIFS(m_row,m_teacher,BN$4,m_date,($G$2+34),m_active,1,m_start,"&lt;"&amp;780,m_end,"&gt;"&amp;720))))))</f>
        <v/>
      </c>
      <c r="BO74" s="82" t="str">
        <f aca="false">IF(OR(BO$4="",MONTH(($G$2+34))&lt;&gt;MONTH($C$2)),"",IF(COUNTIFS(m_teacher,BO$4,m_date,($G$2+34),m_active,1,m_start,"&lt;"&amp;780,m_end,"&gt;"&amp;720)=0,"",IF(COUNTIFS(m_teacher,BO$4,m_date,($G$2+34),m_active,1,m_start,"&lt;"&amp;780,m_end,"&gt;"&amp;720)&gt;1,"충돌",HYPERLINK("#'관리자_MASTER'!D"&amp;_xlfn.MAXIFS(m_row,m_teacher,BO$4,m_date,($G$2+34),m_active,1,m_start,"&lt;"&amp;780,m_end,"&gt;"&amp;720),INDEX(m_label,_xlfn.MAXIFS(m_row,m_teacher,BO$4,m_date,($G$2+34),m_active,1,m_start,"&lt;"&amp;780,m_end,"&gt;"&amp;720))))))</f>
        <v/>
      </c>
      <c r="BP74" s="82" t="str">
        <f aca="false">IF(OR(BP$4="",MONTH(($G$2+34))&lt;&gt;MONTH($C$2)),"",IF(COUNTIFS(m_teacher,BP$4,m_date,($G$2+34),m_active,1,m_start,"&lt;"&amp;780,m_end,"&gt;"&amp;720)=0,"",IF(COUNTIFS(m_teacher,BP$4,m_date,($G$2+34),m_active,1,m_start,"&lt;"&amp;780,m_end,"&gt;"&amp;720)&gt;1,"충돌",HYPERLINK("#'관리자_MASTER'!D"&amp;_xlfn.MAXIFS(m_row,m_teacher,BP$4,m_date,($G$2+34),m_active,1,m_start,"&lt;"&amp;780,m_end,"&gt;"&amp;720),INDEX(m_label,_xlfn.MAXIFS(m_row,m_teacher,BP$4,m_date,($G$2+34),m_active,1,m_start,"&lt;"&amp;780,m_end,"&gt;"&amp;720))))))</f>
        <v/>
      </c>
      <c r="BQ74" s="82" t="str">
        <f aca="false">IF(OR(BQ$4="",MONTH(($G$2+34))&lt;&gt;MONTH($C$2)),"",IF(COUNTIFS(m_teacher,BQ$4,m_date,($G$2+34),m_active,1,m_start,"&lt;"&amp;780,m_end,"&gt;"&amp;720)=0,"",IF(COUNTIFS(m_teacher,BQ$4,m_date,($G$2+34),m_active,1,m_start,"&lt;"&amp;780,m_end,"&gt;"&amp;720)&gt;1,"충돌",HYPERLINK("#'관리자_MASTER'!D"&amp;_xlfn.MAXIFS(m_row,m_teacher,BQ$4,m_date,($G$2+34),m_active,1,m_start,"&lt;"&amp;780,m_end,"&gt;"&amp;720),INDEX(m_label,_xlfn.MAXIFS(m_row,m_teacher,BQ$4,m_date,($G$2+34),m_active,1,m_start,"&lt;"&amp;780,m_end,"&gt;"&amp;720))))))</f>
        <v/>
      </c>
      <c r="BR74" s="82" t="str">
        <f aca="false">IF(OR(BR$4="",MONTH(($G$2+34))&lt;&gt;MONTH($C$2)),"",IF(COUNTIFS(m_teacher,BR$4,m_date,($G$2+34),m_active,1,m_start,"&lt;"&amp;780,m_end,"&gt;"&amp;720)=0,"",IF(COUNTIFS(m_teacher,BR$4,m_date,($G$2+34),m_active,1,m_start,"&lt;"&amp;780,m_end,"&gt;"&amp;720)&gt;1,"충돌",HYPERLINK("#'관리자_MASTER'!D"&amp;_xlfn.MAXIFS(m_row,m_teacher,BR$4,m_date,($G$2+34),m_active,1,m_start,"&lt;"&amp;780,m_end,"&gt;"&amp;720),INDEX(m_label,_xlfn.MAXIFS(m_row,m_teacher,BR$4,m_date,($G$2+34),m_active,1,m_start,"&lt;"&amp;780,m_end,"&gt;"&amp;720))))))</f>
        <v/>
      </c>
    </row>
    <row r="75" customFormat="false" ht="19.5" hidden="false" customHeight="true" outlineLevel="0" collapsed="false">
      <c r="A75" s="92"/>
      <c r="B75" s="79" t="s">
        <v>95</v>
      </c>
      <c r="C75" s="82" t="str">
        <f aca="false">IF(OR(C$4="",MONTH(($G$2+6))&lt;&gt;MONTH($C$2)),"",IF(COUNTIFS(m_teacher,C$4,m_date,($G$2+6),m_active,1,m_start,"&lt;"&amp;840,m_end,"&gt;"&amp;780)=0,"",IF(COUNTIFS(m_teacher,C$4,m_date,($G$2+6),m_active,1,m_start,"&lt;"&amp;840,m_end,"&gt;"&amp;780)&gt;1,"충돌",HYPERLINK("#'관리자_MASTER'!D"&amp;_xlfn.MAXIFS(m_row,m_teacher,C$4,m_date,($G$2+6),m_active,1,m_start,"&lt;"&amp;840,m_end,"&gt;"&amp;780),INDEX(m_label,_xlfn.MAXIFS(m_row,m_teacher,C$4,m_date,($G$2+6),m_active,1,m_start,"&lt;"&amp;840,m_end,"&gt;"&amp;780))))))</f>
        <v/>
      </c>
      <c r="D75" s="82" t="str">
        <f aca="false">IF(OR(D$4="",MONTH(($G$2+6))&lt;&gt;MONTH($C$2)),"",IF(COUNTIFS(m_teacher,D$4,m_date,($G$2+6),m_active,1,m_start,"&lt;"&amp;840,m_end,"&gt;"&amp;780)=0,"",IF(COUNTIFS(m_teacher,D$4,m_date,($G$2+6),m_active,1,m_start,"&lt;"&amp;840,m_end,"&gt;"&amp;780)&gt;1,"충돌",HYPERLINK("#'관리자_MASTER'!D"&amp;_xlfn.MAXIFS(m_row,m_teacher,D$4,m_date,($G$2+6),m_active,1,m_start,"&lt;"&amp;840,m_end,"&gt;"&amp;780),INDEX(m_label,_xlfn.MAXIFS(m_row,m_teacher,D$4,m_date,($G$2+6),m_active,1,m_start,"&lt;"&amp;840,m_end,"&gt;"&amp;780))))))</f>
        <v/>
      </c>
      <c r="E75" s="82" t="str">
        <f aca="false">IF(OR(E$4="",MONTH(($G$2+6))&lt;&gt;MONTH($C$2)),"",IF(COUNTIFS(m_teacher,E$4,m_date,($G$2+6),m_active,1,m_start,"&lt;"&amp;840,m_end,"&gt;"&amp;780)=0,"",IF(COUNTIFS(m_teacher,E$4,m_date,($G$2+6),m_active,1,m_start,"&lt;"&amp;840,m_end,"&gt;"&amp;780)&gt;1,"충돌",HYPERLINK("#'관리자_MASTER'!D"&amp;_xlfn.MAXIFS(m_row,m_teacher,E$4,m_date,($G$2+6),m_active,1,m_start,"&lt;"&amp;840,m_end,"&gt;"&amp;780),INDEX(m_label,_xlfn.MAXIFS(m_row,m_teacher,E$4,m_date,($G$2+6),m_active,1,m_start,"&lt;"&amp;840,m_end,"&gt;"&amp;780))))))</f>
        <v/>
      </c>
      <c r="F75" s="82" t="str">
        <f aca="false">IF(OR(F$4="",MONTH(($G$2+6))&lt;&gt;MONTH($C$2)),"",IF(COUNTIFS(m_teacher,F$4,m_date,($G$2+6),m_active,1,m_start,"&lt;"&amp;840,m_end,"&gt;"&amp;780)=0,"",IF(COUNTIFS(m_teacher,F$4,m_date,($G$2+6),m_active,1,m_start,"&lt;"&amp;840,m_end,"&gt;"&amp;780)&gt;1,"충돌",HYPERLINK("#'관리자_MASTER'!D"&amp;_xlfn.MAXIFS(m_row,m_teacher,F$4,m_date,($G$2+6),m_active,1,m_start,"&lt;"&amp;840,m_end,"&gt;"&amp;780),INDEX(m_label,_xlfn.MAXIFS(m_row,m_teacher,F$4,m_date,($G$2+6),m_active,1,m_start,"&lt;"&amp;840,m_end,"&gt;"&amp;780))))))</f>
        <v/>
      </c>
      <c r="G75" s="82" t="str">
        <f aca="false">IF(OR(G$4="",MONTH(($G$2+6))&lt;&gt;MONTH($C$2)),"",IF(COUNTIFS(m_teacher,G$4,m_date,($G$2+6),m_active,1,m_start,"&lt;"&amp;840,m_end,"&gt;"&amp;780)=0,"",IF(COUNTIFS(m_teacher,G$4,m_date,($G$2+6),m_active,1,m_start,"&lt;"&amp;840,m_end,"&gt;"&amp;780)&gt;1,"충돌",HYPERLINK("#'관리자_MASTER'!D"&amp;_xlfn.MAXIFS(m_row,m_teacher,G$4,m_date,($G$2+6),m_active,1,m_start,"&lt;"&amp;840,m_end,"&gt;"&amp;780),INDEX(m_label,_xlfn.MAXIFS(m_row,m_teacher,G$4,m_date,($G$2+6),m_active,1,m_start,"&lt;"&amp;840,m_end,"&gt;"&amp;780))))))</f>
        <v/>
      </c>
      <c r="H75" s="82" t="str">
        <f aca="false">IF(OR(H$4="",MONTH(($G$2+6))&lt;&gt;MONTH($C$2)),"",IF(COUNTIFS(m_teacher,H$4,m_date,($G$2+6),m_active,1,m_start,"&lt;"&amp;840,m_end,"&gt;"&amp;780)=0,"",IF(COUNTIFS(m_teacher,H$4,m_date,($G$2+6),m_active,1,m_start,"&lt;"&amp;840,m_end,"&gt;"&amp;780)&gt;1,"충돌",HYPERLINK("#'관리자_MASTER'!D"&amp;_xlfn.MAXIFS(m_row,m_teacher,H$4,m_date,($G$2+6),m_active,1,m_start,"&lt;"&amp;840,m_end,"&gt;"&amp;780),INDEX(m_label,_xlfn.MAXIFS(m_row,m_teacher,H$4,m_date,($G$2+6),m_active,1,m_start,"&lt;"&amp;840,m_end,"&gt;"&amp;780))))))</f>
        <v/>
      </c>
      <c r="I75" s="82" t="str">
        <f aca="false">IF(OR(I$4="",MONTH(($G$2+6))&lt;&gt;MONTH($C$2)),"",IF(COUNTIFS(m_teacher,I$4,m_date,($G$2+6),m_active,1,m_start,"&lt;"&amp;840,m_end,"&gt;"&amp;780)=0,"",IF(COUNTIFS(m_teacher,I$4,m_date,($G$2+6),m_active,1,m_start,"&lt;"&amp;840,m_end,"&gt;"&amp;780)&gt;1,"충돌",HYPERLINK("#'관리자_MASTER'!D"&amp;_xlfn.MAXIFS(m_row,m_teacher,I$4,m_date,($G$2+6),m_active,1,m_start,"&lt;"&amp;840,m_end,"&gt;"&amp;780),INDEX(m_label,_xlfn.MAXIFS(m_row,m_teacher,I$4,m_date,($G$2+6),m_active,1,m_start,"&lt;"&amp;840,m_end,"&gt;"&amp;780))))))</f>
        <v/>
      </c>
      <c r="J75" s="82" t="str">
        <f aca="false">IF(OR(J$4="",MONTH(($G$2+6))&lt;&gt;MONTH($C$2)),"",IF(COUNTIFS(m_teacher,J$4,m_date,($G$2+6),m_active,1,m_start,"&lt;"&amp;840,m_end,"&gt;"&amp;780)=0,"",IF(COUNTIFS(m_teacher,J$4,m_date,($G$2+6),m_active,1,m_start,"&lt;"&amp;840,m_end,"&gt;"&amp;780)&gt;1,"충돌",HYPERLINK("#'관리자_MASTER'!D"&amp;_xlfn.MAXIFS(m_row,m_teacher,J$4,m_date,($G$2+6),m_active,1,m_start,"&lt;"&amp;840,m_end,"&gt;"&amp;780),INDEX(m_label,_xlfn.MAXIFS(m_row,m_teacher,J$4,m_date,($G$2+6),m_active,1,m_start,"&lt;"&amp;840,m_end,"&gt;"&amp;780))))))</f>
        <v/>
      </c>
      <c r="K75" s="82" t="str">
        <f aca="false">IF(OR(K$4="",MONTH(($G$2+6))&lt;&gt;MONTH($C$2)),"",IF(COUNTIFS(m_teacher,K$4,m_date,($G$2+6),m_active,1,m_start,"&lt;"&amp;840,m_end,"&gt;"&amp;780)=0,"",IF(COUNTIFS(m_teacher,K$4,m_date,($G$2+6),m_active,1,m_start,"&lt;"&amp;840,m_end,"&gt;"&amp;780)&gt;1,"충돌",HYPERLINK("#'관리자_MASTER'!D"&amp;_xlfn.MAXIFS(m_row,m_teacher,K$4,m_date,($G$2+6),m_active,1,m_start,"&lt;"&amp;840,m_end,"&gt;"&amp;780),INDEX(m_label,_xlfn.MAXIFS(m_row,m_teacher,K$4,m_date,($G$2+6),m_active,1,m_start,"&lt;"&amp;840,m_end,"&gt;"&amp;780))))))</f>
        <v/>
      </c>
      <c r="L75" s="82" t="str">
        <f aca="false">IF(OR(L$4="",MONTH(($G$2+6))&lt;&gt;MONTH($C$2)),"",IF(COUNTIFS(m_teacher,L$4,m_date,($G$2+6),m_active,1,m_start,"&lt;"&amp;840,m_end,"&gt;"&amp;780)=0,"",IF(COUNTIFS(m_teacher,L$4,m_date,($G$2+6),m_active,1,m_start,"&lt;"&amp;840,m_end,"&gt;"&amp;780)&gt;1,"충돌",HYPERLINK("#'관리자_MASTER'!D"&amp;_xlfn.MAXIFS(m_row,m_teacher,L$4,m_date,($G$2+6),m_active,1,m_start,"&lt;"&amp;840,m_end,"&gt;"&amp;780),INDEX(m_label,_xlfn.MAXIFS(m_row,m_teacher,L$4,m_date,($G$2+6),m_active,1,m_start,"&lt;"&amp;840,m_end,"&gt;"&amp;780))))))</f>
        <v/>
      </c>
      <c r="M75" s="82" t="str">
        <f aca="false">IF(OR(M$4="",MONTH(($G$2+6))&lt;&gt;MONTH($C$2)),"",IF(COUNTIFS(m_teacher,M$4,m_date,($G$2+6),m_active,1,m_start,"&lt;"&amp;840,m_end,"&gt;"&amp;780)=0,"",IF(COUNTIFS(m_teacher,M$4,m_date,($G$2+6),m_active,1,m_start,"&lt;"&amp;840,m_end,"&gt;"&amp;780)&gt;1,"충돌",HYPERLINK("#'관리자_MASTER'!D"&amp;_xlfn.MAXIFS(m_row,m_teacher,M$4,m_date,($G$2+6),m_active,1,m_start,"&lt;"&amp;840,m_end,"&gt;"&amp;780),INDEX(m_label,_xlfn.MAXIFS(m_row,m_teacher,M$4,m_date,($G$2+6),m_active,1,m_start,"&lt;"&amp;840,m_end,"&gt;"&amp;780))))))</f>
        <v/>
      </c>
      <c r="N75" s="82" t="str">
        <f aca="false">IF(OR(N$4="",MONTH(($G$2+6))&lt;&gt;MONTH($C$2)),"",IF(COUNTIFS(m_teacher,N$4,m_date,($G$2+6),m_active,1,m_start,"&lt;"&amp;840,m_end,"&gt;"&amp;780)=0,"",IF(COUNTIFS(m_teacher,N$4,m_date,($G$2+6),m_active,1,m_start,"&lt;"&amp;840,m_end,"&gt;"&amp;780)&gt;1,"충돌",HYPERLINK("#'관리자_MASTER'!D"&amp;_xlfn.MAXIFS(m_row,m_teacher,N$4,m_date,($G$2+6),m_active,1,m_start,"&lt;"&amp;840,m_end,"&gt;"&amp;780),INDEX(m_label,_xlfn.MAXIFS(m_row,m_teacher,N$4,m_date,($G$2+6),m_active,1,m_start,"&lt;"&amp;840,m_end,"&gt;"&amp;780))))))</f>
        <v/>
      </c>
      <c r="O75" s="92"/>
      <c r="P75" s="79" t="s">
        <v>95</v>
      </c>
      <c r="Q75" s="82" t="str">
        <f aca="false">IF(OR(Q$4="",MONTH(($G$2+13))&lt;&gt;MONTH($C$2)),"",IF(COUNTIFS(m_teacher,Q$4,m_date,($G$2+13),m_active,1,m_start,"&lt;"&amp;840,m_end,"&gt;"&amp;780)=0,"",IF(COUNTIFS(m_teacher,Q$4,m_date,($G$2+13),m_active,1,m_start,"&lt;"&amp;840,m_end,"&gt;"&amp;780)&gt;1,"충돌",HYPERLINK("#'관리자_MASTER'!D"&amp;_xlfn.MAXIFS(m_row,m_teacher,Q$4,m_date,($G$2+13),m_active,1,m_start,"&lt;"&amp;840,m_end,"&gt;"&amp;780),INDEX(m_label,_xlfn.MAXIFS(m_row,m_teacher,Q$4,m_date,($G$2+13),m_active,1,m_start,"&lt;"&amp;840,m_end,"&gt;"&amp;780))))))</f>
        <v/>
      </c>
      <c r="R75" s="82" t="str">
        <f aca="false">IF(OR(R$4="",MONTH(($G$2+13))&lt;&gt;MONTH($C$2)),"",IF(COUNTIFS(m_teacher,R$4,m_date,($G$2+13),m_active,1,m_start,"&lt;"&amp;840,m_end,"&gt;"&amp;780)=0,"",IF(COUNTIFS(m_teacher,R$4,m_date,($G$2+13),m_active,1,m_start,"&lt;"&amp;840,m_end,"&gt;"&amp;780)&gt;1,"충돌",HYPERLINK("#'관리자_MASTER'!D"&amp;_xlfn.MAXIFS(m_row,m_teacher,R$4,m_date,($G$2+13),m_active,1,m_start,"&lt;"&amp;840,m_end,"&gt;"&amp;780),INDEX(m_label,_xlfn.MAXIFS(m_row,m_teacher,R$4,m_date,($G$2+13),m_active,1,m_start,"&lt;"&amp;840,m_end,"&gt;"&amp;780))))))</f>
        <v/>
      </c>
      <c r="S75" s="82" t="str">
        <f aca="false">IF(OR(S$4="",MONTH(($G$2+13))&lt;&gt;MONTH($C$2)),"",IF(COUNTIFS(m_teacher,S$4,m_date,($G$2+13),m_active,1,m_start,"&lt;"&amp;840,m_end,"&gt;"&amp;780)=0,"",IF(COUNTIFS(m_teacher,S$4,m_date,($G$2+13),m_active,1,m_start,"&lt;"&amp;840,m_end,"&gt;"&amp;780)&gt;1,"충돌",HYPERLINK("#'관리자_MASTER'!D"&amp;_xlfn.MAXIFS(m_row,m_teacher,S$4,m_date,($G$2+13),m_active,1,m_start,"&lt;"&amp;840,m_end,"&gt;"&amp;780),INDEX(m_label,_xlfn.MAXIFS(m_row,m_teacher,S$4,m_date,($G$2+13),m_active,1,m_start,"&lt;"&amp;840,m_end,"&gt;"&amp;780))))))</f>
        <v/>
      </c>
      <c r="T75" s="82" t="str">
        <f aca="false">IF(OR(T$4="",MONTH(($G$2+13))&lt;&gt;MONTH($C$2)),"",IF(COUNTIFS(m_teacher,T$4,m_date,($G$2+13),m_active,1,m_start,"&lt;"&amp;840,m_end,"&gt;"&amp;780)=0,"",IF(COUNTIFS(m_teacher,T$4,m_date,($G$2+13),m_active,1,m_start,"&lt;"&amp;840,m_end,"&gt;"&amp;780)&gt;1,"충돌",HYPERLINK("#'관리자_MASTER'!D"&amp;_xlfn.MAXIFS(m_row,m_teacher,T$4,m_date,($G$2+13),m_active,1,m_start,"&lt;"&amp;840,m_end,"&gt;"&amp;780),INDEX(m_label,_xlfn.MAXIFS(m_row,m_teacher,T$4,m_date,($G$2+13),m_active,1,m_start,"&lt;"&amp;840,m_end,"&gt;"&amp;780))))))</f>
        <v/>
      </c>
      <c r="U75" s="82" t="str">
        <f aca="false">IF(OR(U$4="",MONTH(($G$2+13))&lt;&gt;MONTH($C$2)),"",IF(COUNTIFS(m_teacher,U$4,m_date,($G$2+13),m_active,1,m_start,"&lt;"&amp;840,m_end,"&gt;"&amp;780)=0,"",IF(COUNTIFS(m_teacher,U$4,m_date,($G$2+13),m_active,1,m_start,"&lt;"&amp;840,m_end,"&gt;"&amp;780)&gt;1,"충돌",HYPERLINK("#'관리자_MASTER'!D"&amp;_xlfn.MAXIFS(m_row,m_teacher,U$4,m_date,($G$2+13),m_active,1,m_start,"&lt;"&amp;840,m_end,"&gt;"&amp;780),INDEX(m_label,_xlfn.MAXIFS(m_row,m_teacher,U$4,m_date,($G$2+13),m_active,1,m_start,"&lt;"&amp;840,m_end,"&gt;"&amp;780))))))</f>
        <v/>
      </c>
      <c r="V75" s="82" t="str">
        <f aca="false">IF(OR(V$4="",MONTH(($G$2+13))&lt;&gt;MONTH($C$2)),"",IF(COUNTIFS(m_teacher,V$4,m_date,($G$2+13),m_active,1,m_start,"&lt;"&amp;840,m_end,"&gt;"&amp;780)=0,"",IF(COUNTIFS(m_teacher,V$4,m_date,($G$2+13),m_active,1,m_start,"&lt;"&amp;840,m_end,"&gt;"&amp;780)&gt;1,"충돌",HYPERLINK("#'관리자_MASTER'!D"&amp;_xlfn.MAXIFS(m_row,m_teacher,V$4,m_date,($G$2+13),m_active,1,m_start,"&lt;"&amp;840,m_end,"&gt;"&amp;780),INDEX(m_label,_xlfn.MAXIFS(m_row,m_teacher,V$4,m_date,($G$2+13),m_active,1,m_start,"&lt;"&amp;840,m_end,"&gt;"&amp;780))))))</f>
        <v/>
      </c>
      <c r="W75" s="82" t="str">
        <f aca="false">IF(OR(W$4="",MONTH(($G$2+13))&lt;&gt;MONTH($C$2)),"",IF(COUNTIFS(m_teacher,W$4,m_date,($G$2+13),m_active,1,m_start,"&lt;"&amp;840,m_end,"&gt;"&amp;780)=0,"",IF(COUNTIFS(m_teacher,W$4,m_date,($G$2+13),m_active,1,m_start,"&lt;"&amp;840,m_end,"&gt;"&amp;780)&gt;1,"충돌",HYPERLINK("#'관리자_MASTER'!D"&amp;_xlfn.MAXIFS(m_row,m_teacher,W$4,m_date,($G$2+13),m_active,1,m_start,"&lt;"&amp;840,m_end,"&gt;"&amp;780),INDEX(m_label,_xlfn.MAXIFS(m_row,m_teacher,W$4,m_date,($G$2+13),m_active,1,m_start,"&lt;"&amp;840,m_end,"&gt;"&amp;780))))))</f>
        <v/>
      </c>
      <c r="X75" s="82" t="str">
        <f aca="false">IF(OR(X$4="",MONTH(($G$2+13))&lt;&gt;MONTH($C$2)),"",IF(COUNTIFS(m_teacher,X$4,m_date,($G$2+13),m_active,1,m_start,"&lt;"&amp;840,m_end,"&gt;"&amp;780)=0,"",IF(COUNTIFS(m_teacher,X$4,m_date,($G$2+13),m_active,1,m_start,"&lt;"&amp;840,m_end,"&gt;"&amp;780)&gt;1,"충돌",HYPERLINK("#'관리자_MASTER'!D"&amp;_xlfn.MAXIFS(m_row,m_teacher,X$4,m_date,($G$2+13),m_active,1,m_start,"&lt;"&amp;840,m_end,"&gt;"&amp;780),INDEX(m_label,_xlfn.MAXIFS(m_row,m_teacher,X$4,m_date,($G$2+13),m_active,1,m_start,"&lt;"&amp;840,m_end,"&gt;"&amp;780))))))</f>
        <v/>
      </c>
      <c r="Y75" s="82" t="str">
        <f aca="false">IF(OR(Y$4="",MONTH(($G$2+13))&lt;&gt;MONTH($C$2)),"",IF(COUNTIFS(m_teacher,Y$4,m_date,($G$2+13),m_active,1,m_start,"&lt;"&amp;840,m_end,"&gt;"&amp;780)=0,"",IF(COUNTIFS(m_teacher,Y$4,m_date,($G$2+13),m_active,1,m_start,"&lt;"&amp;840,m_end,"&gt;"&amp;780)&gt;1,"충돌",HYPERLINK("#'관리자_MASTER'!D"&amp;_xlfn.MAXIFS(m_row,m_teacher,Y$4,m_date,($G$2+13),m_active,1,m_start,"&lt;"&amp;840,m_end,"&gt;"&amp;780),INDEX(m_label,_xlfn.MAXIFS(m_row,m_teacher,Y$4,m_date,($G$2+13),m_active,1,m_start,"&lt;"&amp;840,m_end,"&gt;"&amp;780))))))</f>
        <v/>
      </c>
      <c r="Z75" s="82" t="str">
        <f aca="false">IF(OR(Z$4="",MONTH(($G$2+13))&lt;&gt;MONTH($C$2)),"",IF(COUNTIFS(m_teacher,Z$4,m_date,($G$2+13),m_active,1,m_start,"&lt;"&amp;840,m_end,"&gt;"&amp;780)=0,"",IF(COUNTIFS(m_teacher,Z$4,m_date,($G$2+13),m_active,1,m_start,"&lt;"&amp;840,m_end,"&gt;"&amp;780)&gt;1,"충돌",HYPERLINK("#'관리자_MASTER'!D"&amp;_xlfn.MAXIFS(m_row,m_teacher,Z$4,m_date,($G$2+13),m_active,1,m_start,"&lt;"&amp;840,m_end,"&gt;"&amp;780),INDEX(m_label,_xlfn.MAXIFS(m_row,m_teacher,Z$4,m_date,($G$2+13),m_active,1,m_start,"&lt;"&amp;840,m_end,"&gt;"&amp;780))))))</f>
        <v/>
      </c>
      <c r="AA75" s="82" t="str">
        <f aca="false">IF(OR(AA$4="",MONTH(($G$2+13))&lt;&gt;MONTH($C$2)),"",IF(COUNTIFS(m_teacher,AA$4,m_date,($G$2+13),m_active,1,m_start,"&lt;"&amp;840,m_end,"&gt;"&amp;780)=0,"",IF(COUNTIFS(m_teacher,AA$4,m_date,($G$2+13),m_active,1,m_start,"&lt;"&amp;840,m_end,"&gt;"&amp;780)&gt;1,"충돌",HYPERLINK("#'관리자_MASTER'!D"&amp;_xlfn.MAXIFS(m_row,m_teacher,AA$4,m_date,($G$2+13),m_active,1,m_start,"&lt;"&amp;840,m_end,"&gt;"&amp;780),INDEX(m_label,_xlfn.MAXIFS(m_row,m_teacher,AA$4,m_date,($G$2+13),m_active,1,m_start,"&lt;"&amp;840,m_end,"&gt;"&amp;780))))))</f>
        <v/>
      </c>
      <c r="AB75" s="82" t="str">
        <f aca="false">IF(OR(AB$4="",MONTH(($G$2+13))&lt;&gt;MONTH($C$2)),"",IF(COUNTIFS(m_teacher,AB$4,m_date,($G$2+13),m_active,1,m_start,"&lt;"&amp;840,m_end,"&gt;"&amp;780)=0,"",IF(COUNTIFS(m_teacher,AB$4,m_date,($G$2+13),m_active,1,m_start,"&lt;"&amp;840,m_end,"&gt;"&amp;780)&gt;1,"충돌",HYPERLINK("#'관리자_MASTER'!D"&amp;_xlfn.MAXIFS(m_row,m_teacher,AB$4,m_date,($G$2+13),m_active,1,m_start,"&lt;"&amp;840,m_end,"&gt;"&amp;780),INDEX(m_label,_xlfn.MAXIFS(m_row,m_teacher,AB$4,m_date,($G$2+13),m_active,1,m_start,"&lt;"&amp;840,m_end,"&gt;"&amp;780))))))</f>
        <v/>
      </c>
      <c r="AC75" s="92"/>
      <c r="AD75" s="79" t="s">
        <v>95</v>
      </c>
      <c r="AE75" s="82" t="str">
        <f aca="false">IF(OR(AE$4="",MONTH(($G$2+20))&lt;&gt;MONTH($C$2)),"",IF(COUNTIFS(m_teacher,AE$4,m_date,($G$2+20),m_active,1,m_start,"&lt;"&amp;840,m_end,"&gt;"&amp;780)=0,"",IF(COUNTIFS(m_teacher,AE$4,m_date,($G$2+20),m_active,1,m_start,"&lt;"&amp;840,m_end,"&gt;"&amp;780)&gt;1,"충돌",HYPERLINK("#'관리자_MASTER'!D"&amp;_xlfn.MAXIFS(m_row,m_teacher,AE$4,m_date,($G$2+20),m_active,1,m_start,"&lt;"&amp;840,m_end,"&gt;"&amp;780),INDEX(m_label,_xlfn.MAXIFS(m_row,m_teacher,AE$4,m_date,($G$2+20),m_active,1,m_start,"&lt;"&amp;840,m_end,"&gt;"&amp;780))))))</f>
        <v/>
      </c>
      <c r="AF75" s="82" t="str">
        <f aca="false">IF(OR(AF$4="",MONTH(($G$2+20))&lt;&gt;MONTH($C$2)),"",IF(COUNTIFS(m_teacher,AF$4,m_date,($G$2+20),m_active,1,m_start,"&lt;"&amp;840,m_end,"&gt;"&amp;780)=0,"",IF(COUNTIFS(m_teacher,AF$4,m_date,($G$2+20),m_active,1,m_start,"&lt;"&amp;840,m_end,"&gt;"&amp;780)&gt;1,"충돌",HYPERLINK("#'관리자_MASTER'!D"&amp;_xlfn.MAXIFS(m_row,m_teacher,AF$4,m_date,($G$2+20),m_active,1,m_start,"&lt;"&amp;840,m_end,"&gt;"&amp;780),INDEX(m_label,_xlfn.MAXIFS(m_row,m_teacher,AF$4,m_date,($G$2+20),m_active,1,m_start,"&lt;"&amp;840,m_end,"&gt;"&amp;780))))))</f>
        <v/>
      </c>
      <c r="AG75" s="82" t="str">
        <f aca="false">IF(OR(AG$4="",MONTH(($G$2+20))&lt;&gt;MONTH($C$2)),"",IF(COUNTIFS(m_teacher,AG$4,m_date,($G$2+20),m_active,1,m_start,"&lt;"&amp;840,m_end,"&gt;"&amp;780)=0,"",IF(COUNTIFS(m_teacher,AG$4,m_date,($G$2+20),m_active,1,m_start,"&lt;"&amp;840,m_end,"&gt;"&amp;780)&gt;1,"충돌",HYPERLINK("#'관리자_MASTER'!D"&amp;_xlfn.MAXIFS(m_row,m_teacher,AG$4,m_date,($G$2+20),m_active,1,m_start,"&lt;"&amp;840,m_end,"&gt;"&amp;780),INDEX(m_label,_xlfn.MAXIFS(m_row,m_teacher,AG$4,m_date,($G$2+20),m_active,1,m_start,"&lt;"&amp;840,m_end,"&gt;"&amp;780))))))</f>
        <v/>
      </c>
      <c r="AH75" s="82" t="str">
        <f aca="false">IF(OR(AH$4="",MONTH(($G$2+20))&lt;&gt;MONTH($C$2)),"",IF(COUNTIFS(m_teacher,AH$4,m_date,($G$2+20),m_active,1,m_start,"&lt;"&amp;840,m_end,"&gt;"&amp;780)=0,"",IF(COUNTIFS(m_teacher,AH$4,m_date,($G$2+20),m_active,1,m_start,"&lt;"&amp;840,m_end,"&gt;"&amp;780)&gt;1,"충돌",HYPERLINK("#'관리자_MASTER'!D"&amp;_xlfn.MAXIFS(m_row,m_teacher,AH$4,m_date,($G$2+20),m_active,1,m_start,"&lt;"&amp;840,m_end,"&gt;"&amp;780),INDEX(m_label,_xlfn.MAXIFS(m_row,m_teacher,AH$4,m_date,($G$2+20),m_active,1,m_start,"&lt;"&amp;840,m_end,"&gt;"&amp;780))))))</f>
        <v/>
      </c>
      <c r="AI75" s="82" t="str">
        <f aca="false">IF(OR(AI$4="",MONTH(($G$2+20))&lt;&gt;MONTH($C$2)),"",IF(COUNTIFS(m_teacher,AI$4,m_date,($G$2+20),m_active,1,m_start,"&lt;"&amp;840,m_end,"&gt;"&amp;780)=0,"",IF(COUNTIFS(m_teacher,AI$4,m_date,($G$2+20),m_active,1,m_start,"&lt;"&amp;840,m_end,"&gt;"&amp;780)&gt;1,"충돌",HYPERLINK("#'관리자_MASTER'!D"&amp;_xlfn.MAXIFS(m_row,m_teacher,AI$4,m_date,($G$2+20),m_active,1,m_start,"&lt;"&amp;840,m_end,"&gt;"&amp;780),INDEX(m_label,_xlfn.MAXIFS(m_row,m_teacher,AI$4,m_date,($G$2+20),m_active,1,m_start,"&lt;"&amp;840,m_end,"&gt;"&amp;780))))))</f>
        <v/>
      </c>
      <c r="AJ75" s="82" t="str">
        <f aca="false">IF(OR(AJ$4="",MONTH(($G$2+20))&lt;&gt;MONTH($C$2)),"",IF(COUNTIFS(m_teacher,AJ$4,m_date,($G$2+20),m_active,1,m_start,"&lt;"&amp;840,m_end,"&gt;"&amp;780)=0,"",IF(COUNTIFS(m_teacher,AJ$4,m_date,($G$2+20),m_active,1,m_start,"&lt;"&amp;840,m_end,"&gt;"&amp;780)&gt;1,"충돌",HYPERLINK("#'관리자_MASTER'!D"&amp;_xlfn.MAXIFS(m_row,m_teacher,AJ$4,m_date,($G$2+20),m_active,1,m_start,"&lt;"&amp;840,m_end,"&gt;"&amp;780),INDEX(m_label,_xlfn.MAXIFS(m_row,m_teacher,AJ$4,m_date,($G$2+20),m_active,1,m_start,"&lt;"&amp;840,m_end,"&gt;"&amp;780))))))</f>
        <v/>
      </c>
      <c r="AK75" s="82" t="str">
        <f aca="false">IF(OR(AK$4="",MONTH(($G$2+20))&lt;&gt;MONTH($C$2)),"",IF(COUNTIFS(m_teacher,AK$4,m_date,($G$2+20),m_active,1,m_start,"&lt;"&amp;840,m_end,"&gt;"&amp;780)=0,"",IF(COUNTIFS(m_teacher,AK$4,m_date,($G$2+20),m_active,1,m_start,"&lt;"&amp;840,m_end,"&gt;"&amp;780)&gt;1,"충돌",HYPERLINK("#'관리자_MASTER'!D"&amp;_xlfn.MAXIFS(m_row,m_teacher,AK$4,m_date,($G$2+20),m_active,1,m_start,"&lt;"&amp;840,m_end,"&gt;"&amp;780),INDEX(m_label,_xlfn.MAXIFS(m_row,m_teacher,AK$4,m_date,($G$2+20),m_active,1,m_start,"&lt;"&amp;840,m_end,"&gt;"&amp;780))))))</f>
        <v/>
      </c>
      <c r="AL75" s="82" t="str">
        <f aca="false">IF(OR(AL$4="",MONTH(($G$2+20))&lt;&gt;MONTH($C$2)),"",IF(COUNTIFS(m_teacher,AL$4,m_date,($G$2+20),m_active,1,m_start,"&lt;"&amp;840,m_end,"&gt;"&amp;780)=0,"",IF(COUNTIFS(m_teacher,AL$4,m_date,($G$2+20),m_active,1,m_start,"&lt;"&amp;840,m_end,"&gt;"&amp;780)&gt;1,"충돌",HYPERLINK("#'관리자_MASTER'!D"&amp;_xlfn.MAXIFS(m_row,m_teacher,AL$4,m_date,($G$2+20),m_active,1,m_start,"&lt;"&amp;840,m_end,"&gt;"&amp;780),INDEX(m_label,_xlfn.MAXIFS(m_row,m_teacher,AL$4,m_date,($G$2+20),m_active,1,m_start,"&lt;"&amp;840,m_end,"&gt;"&amp;780))))))</f>
        <v/>
      </c>
      <c r="AM75" s="82" t="str">
        <f aca="false">IF(OR(AM$4="",MONTH(($G$2+20))&lt;&gt;MONTH($C$2)),"",IF(COUNTIFS(m_teacher,AM$4,m_date,($G$2+20),m_active,1,m_start,"&lt;"&amp;840,m_end,"&gt;"&amp;780)=0,"",IF(COUNTIFS(m_teacher,AM$4,m_date,($G$2+20),m_active,1,m_start,"&lt;"&amp;840,m_end,"&gt;"&amp;780)&gt;1,"충돌",HYPERLINK("#'관리자_MASTER'!D"&amp;_xlfn.MAXIFS(m_row,m_teacher,AM$4,m_date,($G$2+20),m_active,1,m_start,"&lt;"&amp;840,m_end,"&gt;"&amp;780),INDEX(m_label,_xlfn.MAXIFS(m_row,m_teacher,AM$4,m_date,($G$2+20),m_active,1,m_start,"&lt;"&amp;840,m_end,"&gt;"&amp;780))))))</f>
        <v/>
      </c>
      <c r="AN75" s="82" t="str">
        <f aca="false">IF(OR(AN$4="",MONTH(($G$2+20))&lt;&gt;MONTH($C$2)),"",IF(COUNTIFS(m_teacher,AN$4,m_date,($G$2+20),m_active,1,m_start,"&lt;"&amp;840,m_end,"&gt;"&amp;780)=0,"",IF(COUNTIFS(m_teacher,AN$4,m_date,($G$2+20),m_active,1,m_start,"&lt;"&amp;840,m_end,"&gt;"&amp;780)&gt;1,"충돌",HYPERLINK("#'관리자_MASTER'!D"&amp;_xlfn.MAXIFS(m_row,m_teacher,AN$4,m_date,($G$2+20),m_active,1,m_start,"&lt;"&amp;840,m_end,"&gt;"&amp;780),INDEX(m_label,_xlfn.MAXIFS(m_row,m_teacher,AN$4,m_date,($G$2+20),m_active,1,m_start,"&lt;"&amp;840,m_end,"&gt;"&amp;780))))))</f>
        <v/>
      </c>
      <c r="AO75" s="82" t="str">
        <f aca="false">IF(OR(AO$4="",MONTH(($G$2+20))&lt;&gt;MONTH($C$2)),"",IF(COUNTIFS(m_teacher,AO$4,m_date,($G$2+20),m_active,1,m_start,"&lt;"&amp;840,m_end,"&gt;"&amp;780)=0,"",IF(COUNTIFS(m_teacher,AO$4,m_date,($G$2+20),m_active,1,m_start,"&lt;"&amp;840,m_end,"&gt;"&amp;780)&gt;1,"충돌",HYPERLINK("#'관리자_MASTER'!D"&amp;_xlfn.MAXIFS(m_row,m_teacher,AO$4,m_date,($G$2+20),m_active,1,m_start,"&lt;"&amp;840,m_end,"&gt;"&amp;780),INDEX(m_label,_xlfn.MAXIFS(m_row,m_teacher,AO$4,m_date,($G$2+20),m_active,1,m_start,"&lt;"&amp;840,m_end,"&gt;"&amp;780))))))</f>
        <v/>
      </c>
      <c r="AP75" s="82" t="str">
        <f aca="false">IF(OR(AP$4="",MONTH(($G$2+20))&lt;&gt;MONTH($C$2)),"",IF(COUNTIFS(m_teacher,AP$4,m_date,($G$2+20),m_active,1,m_start,"&lt;"&amp;840,m_end,"&gt;"&amp;780)=0,"",IF(COUNTIFS(m_teacher,AP$4,m_date,($G$2+20),m_active,1,m_start,"&lt;"&amp;840,m_end,"&gt;"&amp;780)&gt;1,"충돌",HYPERLINK("#'관리자_MASTER'!D"&amp;_xlfn.MAXIFS(m_row,m_teacher,AP$4,m_date,($G$2+20),m_active,1,m_start,"&lt;"&amp;840,m_end,"&gt;"&amp;780),INDEX(m_label,_xlfn.MAXIFS(m_row,m_teacher,AP$4,m_date,($G$2+20),m_active,1,m_start,"&lt;"&amp;840,m_end,"&gt;"&amp;780))))))</f>
        <v/>
      </c>
      <c r="AQ75" s="92"/>
      <c r="AR75" s="79" t="s">
        <v>95</v>
      </c>
      <c r="AS75" s="82" t="str">
        <f aca="false">IF(OR(AS$4="",MONTH(($G$2+27))&lt;&gt;MONTH($C$2)),"",IF(COUNTIFS(m_teacher,AS$4,m_date,($G$2+27),m_active,1,m_start,"&lt;"&amp;840,m_end,"&gt;"&amp;780)=0,"",IF(COUNTIFS(m_teacher,AS$4,m_date,($G$2+27),m_active,1,m_start,"&lt;"&amp;840,m_end,"&gt;"&amp;780)&gt;1,"충돌",HYPERLINK("#'관리자_MASTER'!D"&amp;_xlfn.MAXIFS(m_row,m_teacher,AS$4,m_date,($G$2+27),m_active,1,m_start,"&lt;"&amp;840,m_end,"&gt;"&amp;780),INDEX(m_label,_xlfn.MAXIFS(m_row,m_teacher,AS$4,m_date,($G$2+27),m_active,1,m_start,"&lt;"&amp;840,m_end,"&gt;"&amp;780))))))</f>
        <v/>
      </c>
      <c r="AT75" s="82" t="str">
        <f aca="false">IF(OR(AT$4="",MONTH(($G$2+27))&lt;&gt;MONTH($C$2)),"",IF(COUNTIFS(m_teacher,AT$4,m_date,($G$2+27),m_active,1,m_start,"&lt;"&amp;840,m_end,"&gt;"&amp;780)=0,"",IF(COUNTIFS(m_teacher,AT$4,m_date,($G$2+27),m_active,1,m_start,"&lt;"&amp;840,m_end,"&gt;"&amp;780)&gt;1,"충돌",HYPERLINK("#'관리자_MASTER'!D"&amp;_xlfn.MAXIFS(m_row,m_teacher,AT$4,m_date,($G$2+27),m_active,1,m_start,"&lt;"&amp;840,m_end,"&gt;"&amp;780),INDEX(m_label,_xlfn.MAXIFS(m_row,m_teacher,AT$4,m_date,($G$2+27),m_active,1,m_start,"&lt;"&amp;840,m_end,"&gt;"&amp;780))))))</f>
        <v/>
      </c>
      <c r="AU75" s="82" t="str">
        <f aca="false">IF(OR(AU$4="",MONTH(($G$2+27))&lt;&gt;MONTH($C$2)),"",IF(COUNTIFS(m_teacher,AU$4,m_date,($G$2+27),m_active,1,m_start,"&lt;"&amp;840,m_end,"&gt;"&amp;780)=0,"",IF(COUNTIFS(m_teacher,AU$4,m_date,($G$2+27),m_active,1,m_start,"&lt;"&amp;840,m_end,"&gt;"&amp;780)&gt;1,"충돌",HYPERLINK("#'관리자_MASTER'!D"&amp;_xlfn.MAXIFS(m_row,m_teacher,AU$4,m_date,($G$2+27),m_active,1,m_start,"&lt;"&amp;840,m_end,"&gt;"&amp;780),INDEX(m_label,_xlfn.MAXIFS(m_row,m_teacher,AU$4,m_date,($G$2+27),m_active,1,m_start,"&lt;"&amp;840,m_end,"&gt;"&amp;780))))))</f>
        <v/>
      </c>
      <c r="AV75" s="82" t="str">
        <f aca="false">IF(OR(AV$4="",MONTH(($G$2+27))&lt;&gt;MONTH($C$2)),"",IF(COUNTIFS(m_teacher,AV$4,m_date,($G$2+27),m_active,1,m_start,"&lt;"&amp;840,m_end,"&gt;"&amp;780)=0,"",IF(COUNTIFS(m_teacher,AV$4,m_date,($G$2+27),m_active,1,m_start,"&lt;"&amp;840,m_end,"&gt;"&amp;780)&gt;1,"충돌",HYPERLINK("#'관리자_MASTER'!D"&amp;_xlfn.MAXIFS(m_row,m_teacher,AV$4,m_date,($G$2+27),m_active,1,m_start,"&lt;"&amp;840,m_end,"&gt;"&amp;780),INDEX(m_label,_xlfn.MAXIFS(m_row,m_teacher,AV$4,m_date,($G$2+27),m_active,1,m_start,"&lt;"&amp;840,m_end,"&gt;"&amp;780))))))</f>
        <v/>
      </c>
      <c r="AW75" s="82" t="str">
        <f aca="false">IF(OR(AW$4="",MONTH(($G$2+27))&lt;&gt;MONTH($C$2)),"",IF(COUNTIFS(m_teacher,AW$4,m_date,($G$2+27),m_active,1,m_start,"&lt;"&amp;840,m_end,"&gt;"&amp;780)=0,"",IF(COUNTIFS(m_teacher,AW$4,m_date,($G$2+27),m_active,1,m_start,"&lt;"&amp;840,m_end,"&gt;"&amp;780)&gt;1,"충돌",HYPERLINK("#'관리자_MASTER'!D"&amp;_xlfn.MAXIFS(m_row,m_teacher,AW$4,m_date,($G$2+27),m_active,1,m_start,"&lt;"&amp;840,m_end,"&gt;"&amp;780),INDEX(m_label,_xlfn.MAXIFS(m_row,m_teacher,AW$4,m_date,($G$2+27),m_active,1,m_start,"&lt;"&amp;840,m_end,"&gt;"&amp;780))))))</f>
        <v/>
      </c>
      <c r="AX75" s="82" t="str">
        <f aca="false">IF(OR(AX$4="",MONTH(($G$2+27))&lt;&gt;MONTH($C$2)),"",IF(COUNTIFS(m_teacher,AX$4,m_date,($G$2+27),m_active,1,m_start,"&lt;"&amp;840,m_end,"&gt;"&amp;780)=0,"",IF(COUNTIFS(m_teacher,AX$4,m_date,($G$2+27),m_active,1,m_start,"&lt;"&amp;840,m_end,"&gt;"&amp;780)&gt;1,"충돌",HYPERLINK("#'관리자_MASTER'!D"&amp;_xlfn.MAXIFS(m_row,m_teacher,AX$4,m_date,($G$2+27),m_active,1,m_start,"&lt;"&amp;840,m_end,"&gt;"&amp;780),INDEX(m_label,_xlfn.MAXIFS(m_row,m_teacher,AX$4,m_date,($G$2+27),m_active,1,m_start,"&lt;"&amp;840,m_end,"&gt;"&amp;780))))))</f>
        <v/>
      </c>
      <c r="AY75" s="82" t="str">
        <f aca="false">IF(OR(AY$4="",MONTH(($G$2+27))&lt;&gt;MONTH($C$2)),"",IF(COUNTIFS(m_teacher,AY$4,m_date,($G$2+27),m_active,1,m_start,"&lt;"&amp;840,m_end,"&gt;"&amp;780)=0,"",IF(COUNTIFS(m_teacher,AY$4,m_date,($G$2+27),m_active,1,m_start,"&lt;"&amp;840,m_end,"&gt;"&amp;780)&gt;1,"충돌",HYPERLINK("#'관리자_MASTER'!D"&amp;_xlfn.MAXIFS(m_row,m_teacher,AY$4,m_date,($G$2+27),m_active,1,m_start,"&lt;"&amp;840,m_end,"&gt;"&amp;780),INDEX(m_label,_xlfn.MAXIFS(m_row,m_teacher,AY$4,m_date,($G$2+27),m_active,1,m_start,"&lt;"&amp;840,m_end,"&gt;"&amp;780))))))</f>
        <v/>
      </c>
      <c r="AZ75" s="82" t="str">
        <f aca="false">IF(OR(AZ$4="",MONTH(($G$2+27))&lt;&gt;MONTH($C$2)),"",IF(COUNTIFS(m_teacher,AZ$4,m_date,($G$2+27),m_active,1,m_start,"&lt;"&amp;840,m_end,"&gt;"&amp;780)=0,"",IF(COUNTIFS(m_teacher,AZ$4,m_date,($G$2+27),m_active,1,m_start,"&lt;"&amp;840,m_end,"&gt;"&amp;780)&gt;1,"충돌",HYPERLINK("#'관리자_MASTER'!D"&amp;_xlfn.MAXIFS(m_row,m_teacher,AZ$4,m_date,($G$2+27),m_active,1,m_start,"&lt;"&amp;840,m_end,"&gt;"&amp;780),INDEX(m_label,_xlfn.MAXIFS(m_row,m_teacher,AZ$4,m_date,($G$2+27),m_active,1,m_start,"&lt;"&amp;840,m_end,"&gt;"&amp;780))))))</f>
        <v/>
      </c>
      <c r="BA75" s="82" t="str">
        <f aca="false">IF(OR(BA$4="",MONTH(($G$2+27))&lt;&gt;MONTH($C$2)),"",IF(COUNTIFS(m_teacher,BA$4,m_date,($G$2+27),m_active,1,m_start,"&lt;"&amp;840,m_end,"&gt;"&amp;780)=0,"",IF(COUNTIFS(m_teacher,BA$4,m_date,($G$2+27),m_active,1,m_start,"&lt;"&amp;840,m_end,"&gt;"&amp;780)&gt;1,"충돌",HYPERLINK("#'관리자_MASTER'!D"&amp;_xlfn.MAXIFS(m_row,m_teacher,BA$4,m_date,($G$2+27),m_active,1,m_start,"&lt;"&amp;840,m_end,"&gt;"&amp;780),INDEX(m_label,_xlfn.MAXIFS(m_row,m_teacher,BA$4,m_date,($G$2+27),m_active,1,m_start,"&lt;"&amp;840,m_end,"&gt;"&amp;780))))))</f>
        <v/>
      </c>
      <c r="BB75" s="82" t="str">
        <f aca="false">IF(OR(BB$4="",MONTH(($G$2+27))&lt;&gt;MONTH($C$2)),"",IF(COUNTIFS(m_teacher,BB$4,m_date,($G$2+27),m_active,1,m_start,"&lt;"&amp;840,m_end,"&gt;"&amp;780)=0,"",IF(COUNTIFS(m_teacher,BB$4,m_date,($G$2+27),m_active,1,m_start,"&lt;"&amp;840,m_end,"&gt;"&amp;780)&gt;1,"충돌",HYPERLINK("#'관리자_MASTER'!D"&amp;_xlfn.MAXIFS(m_row,m_teacher,BB$4,m_date,($G$2+27),m_active,1,m_start,"&lt;"&amp;840,m_end,"&gt;"&amp;780),INDEX(m_label,_xlfn.MAXIFS(m_row,m_teacher,BB$4,m_date,($G$2+27),m_active,1,m_start,"&lt;"&amp;840,m_end,"&gt;"&amp;780))))))</f>
        <v/>
      </c>
      <c r="BC75" s="82" t="str">
        <f aca="false">IF(OR(BC$4="",MONTH(($G$2+27))&lt;&gt;MONTH($C$2)),"",IF(COUNTIFS(m_teacher,BC$4,m_date,($G$2+27),m_active,1,m_start,"&lt;"&amp;840,m_end,"&gt;"&amp;780)=0,"",IF(COUNTIFS(m_teacher,BC$4,m_date,($G$2+27),m_active,1,m_start,"&lt;"&amp;840,m_end,"&gt;"&amp;780)&gt;1,"충돌",HYPERLINK("#'관리자_MASTER'!D"&amp;_xlfn.MAXIFS(m_row,m_teacher,BC$4,m_date,($G$2+27),m_active,1,m_start,"&lt;"&amp;840,m_end,"&gt;"&amp;780),INDEX(m_label,_xlfn.MAXIFS(m_row,m_teacher,BC$4,m_date,($G$2+27),m_active,1,m_start,"&lt;"&amp;840,m_end,"&gt;"&amp;780))))))</f>
        <v/>
      </c>
      <c r="BD75" s="82" t="str">
        <f aca="false">IF(OR(BD$4="",MONTH(($G$2+27))&lt;&gt;MONTH($C$2)),"",IF(COUNTIFS(m_teacher,BD$4,m_date,($G$2+27),m_active,1,m_start,"&lt;"&amp;840,m_end,"&gt;"&amp;780)=0,"",IF(COUNTIFS(m_teacher,BD$4,m_date,($G$2+27),m_active,1,m_start,"&lt;"&amp;840,m_end,"&gt;"&amp;780)&gt;1,"충돌",HYPERLINK("#'관리자_MASTER'!D"&amp;_xlfn.MAXIFS(m_row,m_teacher,BD$4,m_date,($G$2+27),m_active,1,m_start,"&lt;"&amp;840,m_end,"&gt;"&amp;780),INDEX(m_label,_xlfn.MAXIFS(m_row,m_teacher,BD$4,m_date,($G$2+27),m_active,1,m_start,"&lt;"&amp;840,m_end,"&gt;"&amp;780))))))</f>
        <v/>
      </c>
      <c r="BE75" s="92"/>
      <c r="BF75" s="79" t="s">
        <v>95</v>
      </c>
      <c r="BG75" s="82" t="str">
        <f aca="false">IF(OR(BG$4="",MONTH(($G$2+34))&lt;&gt;MONTH($C$2)),"",IF(COUNTIFS(m_teacher,BG$4,m_date,($G$2+34),m_active,1,m_start,"&lt;"&amp;840,m_end,"&gt;"&amp;780)=0,"",IF(COUNTIFS(m_teacher,BG$4,m_date,($G$2+34),m_active,1,m_start,"&lt;"&amp;840,m_end,"&gt;"&amp;780)&gt;1,"충돌",HYPERLINK("#'관리자_MASTER'!D"&amp;_xlfn.MAXIFS(m_row,m_teacher,BG$4,m_date,($G$2+34),m_active,1,m_start,"&lt;"&amp;840,m_end,"&gt;"&amp;780),INDEX(m_label,_xlfn.MAXIFS(m_row,m_teacher,BG$4,m_date,($G$2+34),m_active,1,m_start,"&lt;"&amp;840,m_end,"&gt;"&amp;780))))))</f>
        <v/>
      </c>
      <c r="BH75" s="82" t="str">
        <f aca="false">IF(OR(BH$4="",MONTH(($G$2+34))&lt;&gt;MONTH($C$2)),"",IF(COUNTIFS(m_teacher,BH$4,m_date,($G$2+34),m_active,1,m_start,"&lt;"&amp;840,m_end,"&gt;"&amp;780)=0,"",IF(COUNTIFS(m_teacher,BH$4,m_date,($G$2+34),m_active,1,m_start,"&lt;"&amp;840,m_end,"&gt;"&amp;780)&gt;1,"충돌",HYPERLINK("#'관리자_MASTER'!D"&amp;_xlfn.MAXIFS(m_row,m_teacher,BH$4,m_date,($G$2+34),m_active,1,m_start,"&lt;"&amp;840,m_end,"&gt;"&amp;780),INDEX(m_label,_xlfn.MAXIFS(m_row,m_teacher,BH$4,m_date,($G$2+34),m_active,1,m_start,"&lt;"&amp;840,m_end,"&gt;"&amp;780))))))</f>
        <v/>
      </c>
      <c r="BI75" s="82" t="str">
        <f aca="false">IF(OR(BI$4="",MONTH(($G$2+34))&lt;&gt;MONTH($C$2)),"",IF(COUNTIFS(m_teacher,BI$4,m_date,($G$2+34),m_active,1,m_start,"&lt;"&amp;840,m_end,"&gt;"&amp;780)=0,"",IF(COUNTIFS(m_teacher,BI$4,m_date,($G$2+34),m_active,1,m_start,"&lt;"&amp;840,m_end,"&gt;"&amp;780)&gt;1,"충돌",HYPERLINK("#'관리자_MASTER'!D"&amp;_xlfn.MAXIFS(m_row,m_teacher,BI$4,m_date,($G$2+34),m_active,1,m_start,"&lt;"&amp;840,m_end,"&gt;"&amp;780),INDEX(m_label,_xlfn.MAXIFS(m_row,m_teacher,BI$4,m_date,($G$2+34),m_active,1,m_start,"&lt;"&amp;840,m_end,"&gt;"&amp;780))))))</f>
        <v/>
      </c>
      <c r="BJ75" s="82" t="str">
        <f aca="false">IF(OR(BJ$4="",MONTH(($G$2+34))&lt;&gt;MONTH($C$2)),"",IF(COUNTIFS(m_teacher,BJ$4,m_date,($G$2+34),m_active,1,m_start,"&lt;"&amp;840,m_end,"&gt;"&amp;780)=0,"",IF(COUNTIFS(m_teacher,BJ$4,m_date,($G$2+34),m_active,1,m_start,"&lt;"&amp;840,m_end,"&gt;"&amp;780)&gt;1,"충돌",HYPERLINK("#'관리자_MASTER'!D"&amp;_xlfn.MAXIFS(m_row,m_teacher,BJ$4,m_date,($G$2+34),m_active,1,m_start,"&lt;"&amp;840,m_end,"&gt;"&amp;780),INDEX(m_label,_xlfn.MAXIFS(m_row,m_teacher,BJ$4,m_date,($G$2+34),m_active,1,m_start,"&lt;"&amp;840,m_end,"&gt;"&amp;780))))))</f>
        <v/>
      </c>
      <c r="BK75" s="82" t="str">
        <f aca="false">IF(OR(BK$4="",MONTH(($G$2+34))&lt;&gt;MONTH($C$2)),"",IF(COUNTIFS(m_teacher,BK$4,m_date,($G$2+34),m_active,1,m_start,"&lt;"&amp;840,m_end,"&gt;"&amp;780)=0,"",IF(COUNTIFS(m_teacher,BK$4,m_date,($G$2+34),m_active,1,m_start,"&lt;"&amp;840,m_end,"&gt;"&amp;780)&gt;1,"충돌",HYPERLINK("#'관리자_MASTER'!D"&amp;_xlfn.MAXIFS(m_row,m_teacher,BK$4,m_date,($G$2+34),m_active,1,m_start,"&lt;"&amp;840,m_end,"&gt;"&amp;780),INDEX(m_label,_xlfn.MAXIFS(m_row,m_teacher,BK$4,m_date,($G$2+34),m_active,1,m_start,"&lt;"&amp;840,m_end,"&gt;"&amp;780))))))</f>
        <v/>
      </c>
      <c r="BL75" s="82" t="str">
        <f aca="false">IF(OR(BL$4="",MONTH(($G$2+34))&lt;&gt;MONTH($C$2)),"",IF(COUNTIFS(m_teacher,BL$4,m_date,($G$2+34),m_active,1,m_start,"&lt;"&amp;840,m_end,"&gt;"&amp;780)=0,"",IF(COUNTIFS(m_teacher,BL$4,m_date,($G$2+34),m_active,1,m_start,"&lt;"&amp;840,m_end,"&gt;"&amp;780)&gt;1,"충돌",HYPERLINK("#'관리자_MASTER'!D"&amp;_xlfn.MAXIFS(m_row,m_teacher,BL$4,m_date,($G$2+34),m_active,1,m_start,"&lt;"&amp;840,m_end,"&gt;"&amp;780),INDEX(m_label,_xlfn.MAXIFS(m_row,m_teacher,BL$4,m_date,($G$2+34),m_active,1,m_start,"&lt;"&amp;840,m_end,"&gt;"&amp;780))))))</f>
        <v/>
      </c>
      <c r="BM75" s="82" t="str">
        <f aca="false">IF(OR(BM$4="",MONTH(($G$2+34))&lt;&gt;MONTH($C$2)),"",IF(COUNTIFS(m_teacher,BM$4,m_date,($G$2+34),m_active,1,m_start,"&lt;"&amp;840,m_end,"&gt;"&amp;780)=0,"",IF(COUNTIFS(m_teacher,BM$4,m_date,($G$2+34),m_active,1,m_start,"&lt;"&amp;840,m_end,"&gt;"&amp;780)&gt;1,"충돌",HYPERLINK("#'관리자_MASTER'!D"&amp;_xlfn.MAXIFS(m_row,m_teacher,BM$4,m_date,($G$2+34),m_active,1,m_start,"&lt;"&amp;840,m_end,"&gt;"&amp;780),INDEX(m_label,_xlfn.MAXIFS(m_row,m_teacher,BM$4,m_date,($G$2+34),m_active,1,m_start,"&lt;"&amp;840,m_end,"&gt;"&amp;780))))))</f>
        <v/>
      </c>
      <c r="BN75" s="82" t="str">
        <f aca="false">IF(OR(BN$4="",MONTH(($G$2+34))&lt;&gt;MONTH($C$2)),"",IF(COUNTIFS(m_teacher,BN$4,m_date,($G$2+34),m_active,1,m_start,"&lt;"&amp;840,m_end,"&gt;"&amp;780)=0,"",IF(COUNTIFS(m_teacher,BN$4,m_date,($G$2+34),m_active,1,m_start,"&lt;"&amp;840,m_end,"&gt;"&amp;780)&gt;1,"충돌",HYPERLINK("#'관리자_MASTER'!D"&amp;_xlfn.MAXIFS(m_row,m_teacher,BN$4,m_date,($G$2+34),m_active,1,m_start,"&lt;"&amp;840,m_end,"&gt;"&amp;780),INDEX(m_label,_xlfn.MAXIFS(m_row,m_teacher,BN$4,m_date,($G$2+34),m_active,1,m_start,"&lt;"&amp;840,m_end,"&gt;"&amp;780))))))</f>
        <v/>
      </c>
      <c r="BO75" s="82" t="str">
        <f aca="false">IF(OR(BO$4="",MONTH(($G$2+34))&lt;&gt;MONTH($C$2)),"",IF(COUNTIFS(m_teacher,BO$4,m_date,($G$2+34),m_active,1,m_start,"&lt;"&amp;840,m_end,"&gt;"&amp;780)=0,"",IF(COUNTIFS(m_teacher,BO$4,m_date,($G$2+34),m_active,1,m_start,"&lt;"&amp;840,m_end,"&gt;"&amp;780)&gt;1,"충돌",HYPERLINK("#'관리자_MASTER'!D"&amp;_xlfn.MAXIFS(m_row,m_teacher,BO$4,m_date,($G$2+34),m_active,1,m_start,"&lt;"&amp;840,m_end,"&gt;"&amp;780),INDEX(m_label,_xlfn.MAXIFS(m_row,m_teacher,BO$4,m_date,($G$2+34),m_active,1,m_start,"&lt;"&amp;840,m_end,"&gt;"&amp;780))))))</f>
        <v/>
      </c>
      <c r="BP75" s="82" t="str">
        <f aca="false">IF(OR(BP$4="",MONTH(($G$2+34))&lt;&gt;MONTH($C$2)),"",IF(COUNTIFS(m_teacher,BP$4,m_date,($G$2+34),m_active,1,m_start,"&lt;"&amp;840,m_end,"&gt;"&amp;780)=0,"",IF(COUNTIFS(m_teacher,BP$4,m_date,($G$2+34),m_active,1,m_start,"&lt;"&amp;840,m_end,"&gt;"&amp;780)&gt;1,"충돌",HYPERLINK("#'관리자_MASTER'!D"&amp;_xlfn.MAXIFS(m_row,m_teacher,BP$4,m_date,($G$2+34),m_active,1,m_start,"&lt;"&amp;840,m_end,"&gt;"&amp;780),INDEX(m_label,_xlfn.MAXIFS(m_row,m_teacher,BP$4,m_date,($G$2+34),m_active,1,m_start,"&lt;"&amp;840,m_end,"&gt;"&amp;780))))))</f>
        <v/>
      </c>
      <c r="BQ75" s="82" t="str">
        <f aca="false">IF(OR(BQ$4="",MONTH(($G$2+34))&lt;&gt;MONTH($C$2)),"",IF(COUNTIFS(m_teacher,BQ$4,m_date,($G$2+34),m_active,1,m_start,"&lt;"&amp;840,m_end,"&gt;"&amp;780)=0,"",IF(COUNTIFS(m_teacher,BQ$4,m_date,($G$2+34),m_active,1,m_start,"&lt;"&amp;840,m_end,"&gt;"&amp;780)&gt;1,"충돌",HYPERLINK("#'관리자_MASTER'!D"&amp;_xlfn.MAXIFS(m_row,m_teacher,BQ$4,m_date,($G$2+34),m_active,1,m_start,"&lt;"&amp;840,m_end,"&gt;"&amp;780),INDEX(m_label,_xlfn.MAXIFS(m_row,m_teacher,BQ$4,m_date,($G$2+34),m_active,1,m_start,"&lt;"&amp;840,m_end,"&gt;"&amp;780))))))</f>
        <v/>
      </c>
      <c r="BR75" s="82" t="str">
        <f aca="false">IF(OR(BR$4="",MONTH(($G$2+34))&lt;&gt;MONTH($C$2)),"",IF(COUNTIFS(m_teacher,BR$4,m_date,($G$2+34),m_active,1,m_start,"&lt;"&amp;840,m_end,"&gt;"&amp;780)=0,"",IF(COUNTIFS(m_teacher,BR$4,m_date,($G$2+34),m_active,1,m_start,"&lt;"&amp;840,m_end,"&gt;"&amp;780)&gt;1,"충돌",HYPERLINK("#'관리자_MASTER'!D"&amp;_xlfn.MAXIFS(m_row,m_teacher,BR$4,m_date,($G$2+34),m_active,1,m_start,"&lt;"&amp;840,m_end,"&gt;"&amp;780),INDEX(m_label,_xlfn.MAXIFS(m_row,m_teacher,BR$4,m_date,($G$2+34),m_active,1,m_start,"&lt;"&amp;840,m_end,"&gt;"&amp;780))))))</f>
        <v/>
      </c>
    </row>
    <row r="76" customFormat="false" ht="19.5" hidden="false" customHeight="true" outlineLevel="0" collapsed="false">
      <c r="A76" s="92"/>
      <c r="B76" s="79" t="s">
        <v>96</v>
      </c>
      <c r="C76" s="82" t="str">
        <f aca="false">IF(OR(C$4="",MONTH(($G$2+6))&lt;&gt;MONTH($C$2)),"",IF(COUNTIFS(m_teacher,C$4,m_date,($G$2+6),m_active,1,m_start,"&lt;"&amp;900,m_end,"&gt;"&amp;840)=0,"",IF(COUNTIFS(m_teacher,C$4,m_date,($G$2+6),m_active,1,m_start,"&lt;"&amp;900,m_end,"&gt;"&amp;840)&gt;1,"충돌",HYPERLINK("#'관리자_MASTER'!D"&amp;_xlfn.MAXIFS(m_row,m_teacher,C$4,m_date,($G$2+6),m_active,1,m_start,"&lt;"&amp;900,m_end,"&gt;"&amp;840),INDEX(m_label,_xlfn.MAXIFS(m_row,m_teacher,C$4,m_date,($G$2+6),m_active,1,m_start,"&lt;"&amp;900,m_end,"&gt;"&amp;840))))))</f>
        <v/>
      </c>
      <c r="D76" s="82" t="str">
        <f aca="false">IF(OR(D$4="",MONTH(($G$2+6))&lt;&gt;MONTH($C$2)),"",IF(COUNTIFS(m_teacher,D$4,m_date,($G$2+6),m_active,1,m_start,"&lt;"&amp;900,m_end,"&gt;"&amp;840)=0,"",IF(COUNTIFS(m_teacher,D$4,m_date,($G$2+6),m_active,1,m_start,"&lt;"&amp;900,m_end,"&gt;"&amp;840)&gt;1,"충돌",HYPERLINK("#'관리자_MASTER'!D"&amp;_xlfn.MAXIFS(m_row,m_teacher,D$4,m_date,($G$2+6),m_active,1,m_start,"&lt;"&amp;900,m_end,"&gt;"&amp;840),INDEX(m_label,_xlfn.MAXIFS(m_row,m_teacher,D$4,m_date,($G$2+6),m_active,1,m_start,"&lt;"&amp;900,m_end,"&gt;"&amp;840))))))</f>
        <v/>
      </c>
      <c r="E76" s="82" t="str">
        <f aca="false">IF(OR(E$4="",MONTH(($G$2+6))&lt;&gt;MONTH($C$2)),"",IF(COUNTIFS(m_teacher,E$4,m_date,($G$2+6),m_active,1,m_start,"&lt;"&amp;900,m_end,"&gt;"&amp;840)=0,"",IF(COUNTIFS(m_teacher,E$4,m_date,($G$2+6),m_active,1,m_start,"&lt;"&amp;900,m_end,"&gt;"&amp;840)&gt;1,"충돌",HYPERLINK("#'관리자_MASTER'!D"&amp;_xlfn.MAXIFS(m_row,m_teacher,E$4,m_date,($G$2+6),m_active,1,m_start,"&lt;"&amp;900,m_end,"&gt;"&amp;840),INDEX(m_label,_xlfn.MAXIFS(m_row,m_teacher,E$4,m_date,($G$2+6),m_active,1,m_start,"&lt;"&amp;900,m_end,"&gt;"&amp;840))))))</f>
        <v/>
      </c>
      <c r="F76" s="82" t="str">
        <f aca="false">IF(OR(F$4="",MONTH(($G$2+6))&lt;&gt;MONTH($C$2)),"",IF(COUNTIFS(m_teacher,F$4,m_date,($G$2+6),m_active,1,m_start,"&lt;"&amp;900,m_end,"&gt;"&amp;840)=0,"",IF(COUNTIFS(m_teacher,F$4,m_date,($G$2+6),m_active,1,m_start,"&lt;"&amp;900,m_end,"&gt;"&amp;840)&gt;1,"충돌",HYPERLINK("#'관리자_MASTER'!D"&amp;_xlfn.MAXIFS(m_row,m_teacher,F$4,m_date,($G$2+6),m_active,1,m_start,"&lt;"&amp;900,m_end,"&gt;"&amp;840),INDEX(m_label,_xlfn.MAXIFS(m_row,m_teacher,F$4,m_date,($G$2+6),m_active,1,m_start,"&lt;"&amp;900,m_end,"&gt;"&amp;840))))))</f>
        <v/>
      </c>
      <c r="G76" s="82" t="str">
        <f aca="false">IF(OR(G$4="",MONTH(($G$2+6))&lt;&gt;MONTH($C$2)),"",IF(COUNTIFS(m_teacher,G$4,m_date,($G$2+6),m_active,1,m_start,"&lt;"&amp;900,m_end,"&gt;"&amp;840)=0,"",IF(COUNTIFS(m_teacher,G$4,m_date,($G$2+6),m_active,1,m_start,"&lt;"&amp;900,m_end,"&gt;"&amp;840)&gt;1,"충돌",HYPERLINK("#'관리자_MASTER'!D"&amp;_xlfn.MAXIFS(m_row,m_teacher,G$4,m_date,($G$2+6),m_active,1,m_start,"&lt;"&amp;900,m_end,"&gt;"&amp;840),INDEX(m_label,_xlfn.MAXIFS(m_row,m_teacher,G$4,m_date,($G$2+6),m_active,1,m_start,"&lt;"&amp;900,m_end,"&gt;"&amp;840))))))</f>
        <v/>
      </c>
      <c r="H76" s="82" t="str">
        <f aca="false">IF(OR(H$4="",MONTH(($G$2+6))&lt;&gt;MONTH($C$2)),"",IF(COUNTIFS(m_teacher,H$4,m_date,($G$2+6),m_active,1,m_start,"&lt;"&amp;900,m_end,"&gt;"&amp;840)=0,"",IF(COUNTIFS(m_teacher,H$4,m_date,($G$2+6),m_active,1,m_start,"&lt;"&amp;900,m_end,"&gt;"&amp;840)&gt;1,"충돌",HYPERLINK("#'관리자_MASTER'!D"&amp;_xlfn.MAXIFS(m_row,m_teacher,H$4,m_date,($G$2+6),m_active,1,m_start,"&lt;"&amp;900,m_end,"&gt;"&amp;840),INDEX(m_label,_xlfn.MAXIFS(m_row,m_teacher,H$4,m_date,($G$2+6),m_active,1,m_start,"&lt;"&amp;900,m_end,"&gt;"&amp;840))))))</f>
        <v/>
      </c>
      <c r="I76" s="82" t="str">
        <f aca="false">IF(OR(I$4="",MONTH(($G$2+6))&lt;&gt;MONTH($C$2)),"",IF(COUNTIFS(m_teacher,I$4,m_date,($G$2+6),m_active,1,m_start,"&lt;"&amp;900,m_end,"&gt;"&amp;840)=0,"",IF(COUNTIFS(m_teacher,I$4,m_date,($G$2+6),m_active,1,m_start,"&lt;"&amp;900,m_end,"&gt;"&amp;840)&gt;1,"충돌",HYPERLINK("#'관리자_MASTER'!D"&amp;_xlfn.MAXIFS(m_row,m_teacher,I$4,m_date,($G$2+6),m_active,1,m_start,"&lt;"&amp;900,m_end,"&gt;"&amp;840),INDEX(m_label,_xlfn.MAXIFS(m_row,m_teacher,I$4,m_date,($G$2+6),m_active,1,m_start,"&lt;"&amp;900,m_end,"&gt;"&amp;840))))))</f>
        <v/>
      </c>
      <c r="J76" s="82" t="str">
        <f aca="false">IF(OR(J$4="",MONTH(($G$2+6))&lt;&gt;MONTH($C$2)),"",IF(COUNTIFS(m_teacher,J$4,m_date,($G$2+6),m_active,1,m_start,"&lt;"&amp;900,m_end,"&gt;"&amp;840)=0,"",IF(COUNTIFS(m_teacher,J$4,m_date,($G$2+6),m_active,1,m_start,"&lt;"&amp;900,m_end,"&gt;"&amp;840)&gt;1,"충돌",HYPERLINK("#'관리자_MASTER'!D"&amp;_xlfn.MAXIFS(m_row,m_teacher,J$4,m_date,($G$2+6),m_active,1,m_start,"&lt;"&amp;900,m_end,"&gt;"&amp;840),INDEX(m_label,_xlfn.MAXIFS(m_row,m_teacher,J$4,m_date,($G$2+6),m_active,1,m_start,"&lt;"&amp;900,m_end,"&gt;"&amp;840))))))</f>
        <v/>
      </c>
      <c r="K76" s="82" t="str">
        <f aca="false">IF(OR(K$4="",MONTH(($G$2+6))&lt;&gt;MONTH($C$2)),"",IF(COUNTIFS(m_teacher,K$4,m_date,($G$2+6),m_active,1,m_start,"&lt;"&amp;900,m_end,"&gt;"&amp;840)=0,"",IF(COUNTIFS(m_teacher,K$4,m_date,($G$2+6),m_active,1,m_start,"&lt;"&amp;900,m_end,"&gt;"&amp;840)&gt;1,"충돌",HYPERLINK("#'관리자_MASTER'!D"&amp;_xlfn.MAXIFS(m_row,m_teacher,K$4,m_date,($G$2+6),m_active,1,m_start,"&lt;"&amp;900,m_end,"&gt;"&amp;840),INDEX(m_label,_xlfn.MAXIFS(m_row,m_teacher,K$4,m_date,($G$2+6),m_active,1,m_start,"&lt;"&amp;900,m_end,"&gt;"&amp;840))))))</f>
        <v/>
      </c>
      <c r="L76" s="82" t="str">
        <f aca="false">IF(OR(L$4="",MONTH(($G$2+6))&lt;&gt;MONTH($C$2)),"",IF(COUNTIFS(m_teacher,L$4,m_date,($G$2+6),m_active,1,m_start,"&lt;"&amp;900,m_end,"&gt;"&amp;840)=0,"",IF(COUNTIFS(m_teacher,L$4,m_date,($G$2+6),m_active,1,m_start,"&lt;"&amp;900,m_end,"&gt;"&amp;840)&gt;1,"충돌",HYPERLINK("#'관리자_MASTER'!D"&amp;_xlfn.MAXIFS(m_row,m_teacher,L$4,m_date,($G$2+6),m_active,1,m_start,"&lt;"&amp;900,m_end,"&gt;"&amp;840),INDEX(m_label,_xlfn.MAXIFS(m_row,m_teacher,L$4,m_date,($G$2+6),m_active,1,m_start,"&lt;"&amp;900,m_end,"&gt;"&amp;840))))))</f>
        <v/>
      </c>
      <c r="M76" s="82" t="str">
        <f aca="false">IF(OR(M$4="",MONTH(($G$2+6))&lt;&gt;MONTH($C$2)),"",IF(COUNTIFS(m_teacher,M$4,m_date,($G$2+6),m_active,1,m_start,"&lt;"&amp;900,m_end,"&gt;"&amp;840)=0,"",IF(COUNTIFS(m_teacher,M$4,m_date,($G$2+6),m_active,1,m_start,"&lt;"&amp;900,m_end,"&gt;"&amp;840)&gt;1,"충돌",HYPERLINK("#'관리자_MASTER'!D"&amp;_xlfn.MAXIFS(m_row,m_teacher,M$4,m_date,($G$2+6),m_active,1,m_start,"&lt;"&amp;900,m_end,"&gt;"&amp;840),INDEX(m_label,_xlfn.MAXIFS(m_row,m_teacher,M$4,m_date,($G$2+6),m_active,1,m_start,"&lt;"&amp;900,m_end,"&gt;"&amp;840))))))</f>
        <v/>
      </c>
      <c r="N76" s="82" t="str">
        <f aca="false">IF(OR(N$4="",MONTH(($G$2+6))&lt;&gt;MONTH($C$2)),"",IF(COUNTIFS(m_teacher,N$4,m_date,($G$2+6),m_active,1,m_start,"&lt;"&amp;900,m_end,"&gt;"&amp;840)=0,"",IF(COUNTIFS(m_teacher,N$4,m_date,($G$2+6),m_active,1,m_start,"&lt;"&amp;900,m_end,"&gt;"&amp;840)&gt;1,"충돌",HYPERLINK("#'관리자_MASTER'!D"&amp;_xlfn.MAXIFS(m_row,m_teacher,N$4,m_date,($G$2+6),m_active,1,m_start,"&lt;"&amp;900,m_end,"&gt;"&amp;840),INDEX(m_label,_xlfn.MAXIFS(m_row,m_teacher,N$4,m_date,($G$2+6),m_active,1,m_start,"&lt;"&amp;900,m_end,"&gt;"&amp;840))))))</f>
        <v/>
      </c>
      <c r="O76" s="92"/>
      <c r="P76" s="79" t="s">
        <v>96</v>
      </c>
      <c r="Q76" s="82" t="str">
        <f aca="false">IF(OR(Q$4="",MONTH(($G$2+13))&lt;&gt;MONTH($C$2)),"",IF(COUNTIFS(m_teacher,Q$4,m_date,($G$2+13),m_active,1,m_start,"&lt;"&amp;900,m_end,"&gt;"&amp;840)=0,"",IF(COUNTIFS(m_teacher,Q$4,m_date,($G$2+13),m_active,1,m_start,"&lt;"&amp;900,m_end,"&gt;"&amp;840)&gt;1,"충돌",HYPERLINK("#'관리자_MASTER'!D"&amp;_xlfn.MAXIFS(m_row,m_teacher,Q$4,m_date,($G$2+13),m_active,1,m_start,"&lt;"&amp;900,m_end,"&gt;"&amp;840),INDEX(m_label,_xlfn.MAXIFS(m_row,m_teacher,Q$4,m_date,($G$2+13),m_active,1,m_start,"&lt;"&amp;900,m_end,"&gt;"&amp;840))))))</f>
        <v/>
      </c>
      <c r="R76" s="82" t="str">
        <f aca="false">IF(OR(R$4="",MONTH(($G$2+13))&lt;&gt;MONTH($C$2)),"",IF(COUNTIFS(m_teacher,R$4,m_date,($G$2+13),m_active,1,m_start,"&lt;"&amp;900,m_end,"&gt;"&amp;840)=0,"",IF(COUNTIFS(m_teacher,R$4,m_date,($G$2+13),m_active,1,m_start,"&lt;"&amp;900,m_end,"&gt;"&amp;840)&gt;1,"충돌",HYPERLINK("#'관리자_MASTER'!D"&amp;_xlfn.MAXIFS(m_row,m_teacher,R$4,m_date,($G$2+13),m_active,1,m_start,"&lt;"&amp;900,m_end,"&gt;"&amp;840),INDEX(m_label,_xlfn.MAXIFS(m_row,m_teacher,R$4,m_date,($G$2+13),m_active,1,m_start,"&lt;"&amp;900,m_end,"&gt;"&amp;840))))))</f>
        <v/>
      </c>
      <c r="S76" s="82" t="str">
        <f aca="false">IF(OR(S$4="",MONTH(($G$2+13))&lt;&gt;MONTH($C$2)),"",IF(COUNTIFS(m_teacher,S$4,m_date,($G$2+13),m_active,1,m_start,"&lt;"&amp;900,m_end,"&gt;"&amp;840)=0,"",IF(COUNTIFS(m_teacher,S$4,m_date,($G$2+13),m_active,1,m_start,"&lt;"&amp;900,m_end,"&gt;"&amp;840)&gt;1,"충돌",HYPERLINK("#'관리자_MASTER'!D"&amp;_xlfn.MAXIFS(m_row,m_teacher,S$4,m_date,($G$2+13),m_active,1,m_start,"&lt;"&amp;900,m_end,"&gt;"&amp;840),INDEX(m_label,_xlfn.MAXIFS(m_row,m_teacher,S$4,m_date,($G$2+13),m_active,1,m_start,"&lt;"&amp;900,m_end,"&gt;"&amp;840))))))</f>
        <v/>
      </c>
      <c r="T76" s="82" t="str">
        <f aca="false">IF(OR(T$4="",MONTH(($G$2+13))&lt;&gt;MONTH($C$2)),"",IF(COUNTIFS(m_teacher,T$4,m_date,($G$2+13),m_active,1,m_start,"&lt;"&amp;900,m_end,"&gt;"&amp;840)=0,"",IF(COUNTIFS(m_teacher,T$4,m_date,($G$2+13),m_active,1,m_start,"&lt;"&amp;900,m_end,"&gt;"&amp;840)&gt;1,"충돌",HYPERLINK("#'관리자_MASTER'!D"&amp;_xlfn.MAXIFS(m_row,m_teacher,T$4,m_date,($G$2+13),m_active,1,m_start,"&lt;"&amp;900,m_end,"&gt;"&amp;840),INDEX(m_label,_xlfn.MAXIFS(m_row,m_teacher,T$4,m_date,($G$2+13),m_active,1,m_start,"&lt;"&amp;900,m_end,"&gt;"&amp;840))))))</f>
        <v/>
      </c>
      <c r="U76" s="82" t="str">
        <f aca="false">IF(OR(U$4="",MONTH(($G$2+13))&lt;&gt;MONTH($C$2)),"",IF(COUNTIFS(m_teacher,U$4,m_date,($G$2+13),m_active,1,m_start,"&lt;"&amp;900,m_end,"&gt;"&amp;840)=0,"",IF(COUNTIFS(m_teacher,U$4,m_date,($G$2+13),m_active,1,m_start,"&lt;"&amp;900,m_end,"&gt;"&amp;840)&gt;1,"충돌",HYPERLINK("#'관리자_MASTER'!D"&amp;_xlfn.MAXIFS(m_row,m_teacher,U$4,m_date,($G$2+13),m_active,1,m_start,"&lt;"&amp;900,m_end,"&gt;"&amp;840),INDEX(m_label,_xlfn.MAXIFS(m_row,m_teacher,U$4,m_date,($G$2+13),m_active,1,m_start,"&lt;"&amp;900,m_end,"&gt;"&amp;840))))))</f>
        <v/>
      </c>
      <c r="V76" s="82" t="str">
        <f aca="false">IF(OR(V$4="",MONTH(($G$2+13))&lt;&gt;MONTH($C$2)),"",IF(COUNTIFS(m_teacher,V$4,m_date,($G$2+13),m_active,1,m_start,"&lt;"&amp;900,m_end,"&gt;"&amp;840)=0,"",IF(COUNTIFS(m_teacher,V$4,m_date,($G$2+13),m_active,1,m_start,"&lt;"&amp;900,m_end,"&gt;"&amp;840)&gt;1,"충돌",HYPERLINK("#'관리자_MASTER'!D"&amp;_xlfn.MAXIFS(m_row,m_teacher,V$4,m_date,($G$2+13),m_active,1,m_start,"&lt;"&amp;900,m_end,"&gt;"&amp;840),INDEX(m_label,_xlfn.MAXIFS(m_row,m_teacher,V$4,m_date,($G$2+13),m_active,1,m_start,"&lt;"&amp;900,m_end,"&gt;"&amp;840))))))</f>
        <v/>
      </c>
      <c r="W76" s="82" t="str">
        <f aca="false">IF(OR(W$4="",MONTH(($G$2+13))&lt;&gt;MONTH($C$2)),"",IF(COUNTIFS(m_teacher,W$4,m_date,($G$2+13),m_active,1,m_start,"&lt;"&amp;900,m_end,"&gt;"&amp;840)=0,"",IF(COUNTIFS(m_teacher,W$4,m_date,($G$2+13),m_active,1,m_start,"&lt;"&amp;900,m_end,"&gt;"&amp;840)&gt;1,"충돌",HYPERLINK("#'관리자_MASTER'!D"&amp;_xlfn.MAXIFS(m_row,m_teacher,W$4,m_date,($G$2+13),m_active,1,m_start,"&lt;"&amp;900,m_end,"&gt;"&amp;840),INDEX(m_label,_xlfn.MAXIFS(m_row,m_teacher,W$4,m_date,($G$2+13),m_active,1,m_start,"&lt;"&amp;900,m_end,"&gt;"&amp;840))))))</f>
        <v/>
      </c>
      <c r="X76" s="82" t="str">
        <f aca="false">IF(OR(X$4="",MONTH(($G$2+13))&lt;&gt;MONTH($C$2)),"",IF(COUNTIFS(m_teacher,X$4,m_date,($G$2+13),m_active,1,m_start,"&lt;"&amp;900,m_end,"&gt;"&amp;840)=0,"",IF(COUNTIFS(m_teacher,X$4,m_date,($G$2+13),m_active,1,m_start,"&lt;"&amp;900,m_end,"&gt;"&amp;840)&gt;1,"충돌",HYPERLINK("#'관리자_MASTER'!D"&amp;_xlfn.MAXIFS(m_row,m_teacher,X$4,m_date,($G$2+13),m_active,1,m_start,"&lt;"&amp;900,m_end,"&gt;"&amp;840),INDEX(m_label,_xlfn.MAXIFS(m_row,m_teacher,X$4,m_date,($G$2+13),m_active,1,m_start,"&lt;"&amp;900,m_end,"&gt;"&amp;840))))))</f>
        <v/>
      </c>
      <c r="Y76" s="82" t="str">
        <f aca="false">IF(OR(Y$4="",MONTH(($G$2+13))&lt;&gt;MONTH($C$2)),"",IF(COUNTIFS(m_teacher,Y$4,m_date,($G$2+13),m_active,1,m_start,"&lt;"&amp;900,m_end,"&gt;"&amp;840)=0,"",IF(COUNTIFS(m_teacher,Y$4,m_date,($G$2+13),m_active,1,m_start,"&lt;"&amp;900,m_end,"&gt;"&amp;840)&gt;1,"충돌",HYPERLINK("#'관리자_MASTER'!D"&amp;_xlfn.MAXIFS(m_row,m_teacher,Y$4,m_date,($G$2+13),m_active,1,m_start,"&lt;"&amp;900,m_end,"&gt;"&amp;840),INDEX(m_label,_xlfn.MAXIFS(m_row,m_teacher,Y$4,m_date,($G$2+13),m_active,1,m_start,"&lt;"&amp;900,m_end,"&gt;"&amp;840))))))</f>
        <v/>
      </c>
      <c r="Z76" s="82" t="str">
        <f aca="false">IF(OR(Z$4="",MONTH(($G$2+13))&lt;&gt;MONTH($C$2)),"",IF(COUNTIFS(m_teacher,Z$4,m_date,($G$2+13),m_active,1,m_start,"&lt;"&amp;900,m_end,"&gt;"&amp;840)=0,"",IF(COUNTIFS(m_teacher,Z$4,m_date,($G$2+13),m_active,1,m_start,"&lt;"&amp;900,m_end,"&gt;"&amp;840)&gt;1,"충돌",HYPERLINK("#'관리자_MASTER'!D"&amp;_xlfn.MAXIFS(m_row,m_teacher,Z$4,m_date,($G$2+13),m_active,1,m_start,"&lt;"&amp;900,m_end,"&gt;"&amp;840),INDEX(m_label,_xlfn.MAXIFS(m_row,m_teacher,Z$4,m_date,($G$2+13),m_active,1,m_start,"&lt;"&amp;900,m_end,"&gt;"&amp;840))))))</f>
        <v/>
      </c>
      <c r="AA76" s="82" t="str">
        <f aca="false">IF(OR(AA$4="",MONTH(($G$2+13))&lt;&gt;MONTH($C$2)),"",IF(COUNTIFS(m_teacher,AA$4,m_date,($G$2+13),m_active,1,m_start,"&lt;"&amp;900,m_end,"&gt;"&amp;840)=0,"",IF(COUNTIFS(m_teacher,AA$4,m_date,($G$2+13),m_active,1,m_start,"&lt;"&amp;900,m_end,"&gt;"&amp;840)&gt;1,"충돌",HYPERLINK("#'관리자_MASTER'!D"&amp;_xlfn.MAXIFS(m_row,m_teacher,AA$4,m_date,($G$2+13),m_active,1,m_start,"&lt;"&amp;900,m_end,"&gt;"&amp;840),INDEX(m_label,_xlfn.MAXIFS(m_row,m_teacher,AA$4,m_date,($G$2+13),m_active,1,m_start,"&lt;"&amp;900,m_end,"&gt;"&amp;840))))))</f>
        <v/>
      </c>
      <c r="AB76" s="82" t="str">
        <f aca="false">IF(OR(AB$4="",MONTH(($G$2+13))&lt;&gt;MONTH($C$2)),"",IF(COUNTIFS(m_teacher,AB$4,m_date,($G$2+13),m_active,1,m_start,"&lt;"&amp;900,m_end,"&gt;"&amp;840)=0,"",IF(COUNTIFS(m_teacher,AB$4,m_date,($G$2+13),m_active,1,m_start,"&lt;"&amp;900,m_end,"&gt;"&amp;840)&gt;1,"충돌",HYPERLINK("#'관리자_MASTER'!D"&amp;_xlfn.MAXIFS(m_row,m_teacher,AB$4,m_date,($G$2+13),m_active,1,m_start,"&lt;"&amp;900,m_end,"&gt;"&amp;840),INDEX(m_label,_xlfn.MAXIFS(m_row,m_teacher,AB$4,m_date,($G$2+13),m_active,1,m_start,"&lt;"&amp;900,m_end,"&gt;"&amp;840))))))</f>
        <v/>
      </c>
      <c r="AC76" s="92"/>
      <c r="AD76" s="79" t="s">
        <v>96</v>
      </c>
      <c r="AE76" s="82" t="str">
        <f aca="false">IF(OR(AE$4="",MONTH(($G$2+20))&lt;&gt;MONTH($C$2)),"",IF(COUNTIFS(m_teacher,AE$4,m_date,($G$2+20),m_active,1,m_start,"&lt;"&amp;900,m_end,"&gt;"&amp;840)=0,"",IF(COUNTIFS(m_teacher,AE$4,m_date,($G$2+20),m_active,1,m_start,"&lt;"&amp;900,m_end,"&gt;"&amp;840)&gt;1,"충돌",HYPERLINK("#'관리자_MASTER'!D"&amp;_xlfn.MAXIFS(m_row,m_teacher,AE$4,m_date,($G$2+20),m_active,1,m_start,"&lt;"&amp;900,m_end,"&gt;"&amp;840),INDEX(m_label,_xlfn.MAXIFS(m_row,m_teacher,AE$4,m_date,($G$2+20),m_active,1,m_start,"&lt;"&amp;900,m_end,"&gt;"&amp;840))))))</f>
        <v/>
      </c>
      <c r="AF76" s="82" t="str">
        <f aca="false">IF(OR(AF$4="",MONTH(($G$2+20))&lt;&gt;MONTH($C$2)),"",IF(COUNTIFS(m_teacher,AF$4,m_date,($G$2+20),m_active,1,m_start,"&lt;"&amp;900,m_end,"&gt;"&amp;840)=0,"",IF(COUNTIFS(m_teacher,AF$4,m_date,($G$2+20),m_active,1,m_start,"&lt;"&amp;900,m_end,"&gt;"&amp;840)&gt;1,"충돌",HYPERLINK("#'관리자_MASTER'!D"&amp;_xlfn.MAXIFS(m_row,m_teacher,AF$4,m_date,($G$2+20),m_active,1,m_start,"&lt;"&amp;900,m_end,"&gt;"&amp;840),INDEX(m_label,_xlfn.MAXIFS(m_row,m_teacher,AF$4,m_date,($G$2+20),m_active,1,m_start,"&lt;"&amp;900,m_end,"&gt;"&amp;840))))))</f>
        <v/>
      </c>
      <c r="AG76" s="82" t="str">
        <f aca="false">IF(OR(AG$4="",MONTH(($G$2+20))&lt;&gt;MONTH($C$2)),"",IF(COUNTIFS(m_teacher,AG$4,m_date,($G$2+20),m_active,1,m_start,"&lt;"&amp;900,m_end,"&gt;"&amp;840)=0,"",IF(COUNTIFS(m_teacher,AG$4,m_date,($G$2+20),m_active,1,m_start,"&lt;"&amp;900,m_end,"&gt;"&amp;840)&gt;1,"충돌",HYPERLINK("#'관리자_MASTER'!D"&amp;_xlfn.MAXIFS(m_row,m_teacher,AG$4,m_date,($G$2+20),m_active,1,m_start,"&lt;"&amp;900,m_end,"&gt;"&amp;840),INDEX(m_label,_xlfn.MAXIFS(m_row,m_teacher,AG$4,m_date,($G$2+20),m_active,1,m_start,"&lt;"&amp;900,m_end,"&gt;"&amp;840))))))</f>
        <v/>
      </c>
      <c r="AH76" s="82" t="str">
        <f aca="false">IF(OR(AH$4="",MONTH(($G$2+20))&lt;&gt;MONTH($C$2)),"",IF(COUNTIFS(m_teacher,AH$4,m_date,($G$2+20),m_active,1,m_start,"&lt;"&amp;900,m_end,"&gt;"&amp;840)=0,"",IF(COUNTIFS(m_teacher,AH$4,m_date,($G$2+20),m_active,1,m_start,"&lt;"&amp;900,m_end,"&gt;"&amp;840)&gt;1,"충돌",HYPERLINK("#'관리자_MASTER'!D"&amp;_xlfn.MAXIFS(m_row,m_teacher,AH$4,m_date,($G$2+20),m_active,1,m_start,"&lt;"&amp;900,m_end,"&gt;"&amp;840),INDEX(m_label,_xlfn.MAXIFS(m_row,m_teacher,AH$4,m_date,($G$2+20),m_active,1,m_start,"&lt;"&amp;900,m_end,"&gt;"&amp;840))))))</f>
        <v/>
      </c>
      <c r="AI76" s="82" t="str">
        <f aca="false">IF(OR(AI$4="",MONTH(($G$2+20))&lt;&gt;MONTH($C$2)),"",IF(COUNTIFS(m_teacher,AI$4,m_date,($G$2+20),m_active,1,m_start,"&lt;"&amp;900,m_end,"&gt;"&amp;840)=0,"",IF(COUNTIFS(m_teacher,AI$4,m_date,($G$2+20),m_active,1,m_start,"&lt;"&amp;900,m_end,"&gt;"&amp;840)&gt;1,"충돌",HYPERLINK("#'관리자_MASTER'!D"&amp;_xlfn.MAXIFS(m_row,m_teacher,AI$4,m_date,($G$2+20),m_active,1,m_start,"&lt;"&amp;900,m_end,"&gt;"&amp;840),INDEX(m_label,_xlfn.MAXIFS(m_row,m_teacher,AI$4,m_date,($G$2+20),m_active,1,m_start,"&lt;"&amp;900,m_end,"&gt;"&amp;840))))))</f>
        <v/>
      </c>
      <c r="AJ76" s="82" t="str">
        <f aca="false">IF(OR(AJ$4="",MONTH(($G$2+20))&lt;&gt;MONTH($C$2)),"",IF(COUNTIFS(m_teacher,AJ$4,m_date,($G$2+20),m_active,1,m_start,"&lt;"&amp;900,m_end,"&gt;"&amp;840)=0,"",IF(COUNTIFS(m_teacher,AJ$4,m_date,($G$2+20),m_active,1,m_start,"&lt;"&amp;900,m_end,"&gt;"&amp;840)&gt;1,"충돌",HYPERLINK("#'관리자_MASTER'!D"&amp;_xlfn.MAXIFS(m_row,m_teacher,AJ$4,m_date,($G$2+20),m_active,1,m_start,"&lt;"&amp;900,m_end,"&gt;"&amp;840),INDEX(m_label,_xlfn.MAXIFS(m_row,m_teacher,AJ$4,m_date,($G$2+20),m_active,1,m_start,"&lt;"&amp;900,m_end,"&gt;"&amp;840))))))</f>
        <v/>
      </c>
      <c r="AK76" s="82" t="str">
        <f aca="false">IF(OR(AK$4="",MONTH(($G$2+20))&lt;&gt;MONTH($C$2)),"",IF(COUNTIFS(m_teacher,AK$4,m_date,($G$2+20),m_active,1,m_start,"&lt;"&amp;900,m_end,"&gt;"&amp;840)=0,"",IF(COUNTIFS(m_teacher,AK$4,m_date,($G$2+20),m_active,1,m_start,"&lt;"&amp;900,m_end,"&gt;"&amp;840)&gt;1,"충돌",HYPERLINK("#'관리자_MASTER'!D"&amp;_xlfn.MAXIFS(m_row,m_teacher,AK$4,m_date,($G$2+20),m_active,1,m_start,"&lt;"&amp;900,m_end,"&gt;"&amp;840),INDEX(m_label,_xlfn.MAXIFS(m_row,m_teacher,AK$4,m_date,($G$2+20),m_active,1,m_start,"&lt;"&amp;900,m_end,"&gt;"&amp;840))))))</f>
        <v/>
      </c>
      <c r="AL76" s="82" t="str">
        <f aca="false">IF(OR(AL$4="",MONTH(($G$2+20))&lt;&gt;MONTH($C$2)),"",IF(COUNTIFS(m_teacher,AL$4,m_date,($G$2+20),m_active,1,m_start,"&lt;"&amp;900,m_end,"&gt;"&amp;840)=0,"",IF(COUNTIFS(m_teacher,AL$4,m_date,($G$2+20),m_active,1,m_start,"&lt;"&amp;900,m_end,"&gt;"&amp;840)&gt;1,"충돌",HYPERLINK("#'관리자_MASTER'!D"&amp;_xlfn.MAXIFS(m_row,m_teacher,AL$4,m_date,($G$2+20),m_active,1,m_start,"&lt;"&amp;900,m_end,"&gt;"&amp;840),INDEX(m_label,_xlfn.MAXIFS(m_row,m_teacher,AL$4,m_date,($G$2+20),m_active,1,m_start,"&lt;"&amp;900,m_end,"&gt;"&amp;840))))))</f>
        <v/>
      </c>
      <c r="AM76" s="82" t="str">
        <f aca="false">IF(OR(AM$4="",MONTH(($G$2+20))&lt;&gt;MONTH($C$2)),"",IF(COUNTIFS(m_teacher,AM$4,m_date,($G$2+20),m_active,1,m_start,"&lt;"&amp;900,m_end,"&gt;"&amp;840)=0,"",IF(COUNTIFS(m_teacher,AM$4,m_date,($G$2+20),m_active,1,m_start,"&lt;"&amp;900,m_end,"&gt;"&amp;840)&gt;1,"충돌",HYPERLINK("#'관리자_MASTER'!D"&amp;_xlfn.MAXIFS(m_row,m_teacher,AM$4,m_date,($G$2+20),m_active,1,m_start,"&lt;"&amp;900,m_end,"&gt;"&amp;840),INDEX(m_label,_xlfn.MAXIFS(m_row,m_teacher,AM$4,m_date,($G$2+20),m_active,1,m_start,"&lt;"&amp;900,m_end,"&gt;"&amp;840))))))</f>
        <v/>
      </c>
      <c r="AN76" s="82" t="str">
        <f aca="false">IF(OR(AN$4="",MONTH(($G$2+20))&lt;&gt;MONTH($C$2)),"",IF(COUNTIFS(m_teacher,AN$4,m_date,($G$2+20),m_active,1,m_start,"&lt;"&amp;900,m_end,"&gt;"&amp;840)=0,"",IF(COUNTIFS(m_teacher,AN$4,m_date,($G$2+20),m_active,1,m_start,"&lt;"&amp;900,m_end,"&gt;"&amp;840)&gt;1,"충돌",HYPERLINK("#'관리자_MASTER'!D"&amp;_xlfn.MAXIFS(m_row,m_teacher,AN$4,m_date,($G$2+20),m_active,1,m_start,"&lt;"&amp;900,m_end,"&gt;"&amp;840),INDEX(m_label,_xlfn.MAXIFS(m_row,m_teacher,AN$4,m_date,($G$2+20),m_active,1,m_start,"&lt;"&amp;900,m_end,"&gt;"&amp;840))))))</f>
        <v/>
      </c>
      <c r="AO76" s="82" t="str">
        <f aca="false">IF(OR(AO$4="",MONTH(($G$2+20))&lt;&gt;MONTH($C$2)),"",IF(COUNTIFS(m_teacher,AO$4,m_date,($G$2+20),m_active,1,m_start,"&lt;"&amp;900,m_end,"&gt;"&amp;840)=0,"",IF(COUNTIFS(m_teacher,AO$4,m_date,($G$2+20),m_active,1,m_start,"&lt;"&amp;900,m_end,"&gt;"&amp;840)&gt;1,"충돌",HYPERLINK("#'관리자_MASTER'!D"&amp;_xlfn.MAXIFS(m_row,m_teacher,AO$4,m_date,($G$2+20),m_active,1,m_start,"&lt;"&amp;900,m_end,"&gt;"&amp;840),INDEX(m_label,_xlfn.MAXIFS(m_row,m_teacher,AO$4,m_date,($G$2+20),m_active,1,m_start,"&lt;"&amp;900,m_end,"&gt;"&amp;840))))))</f>
        <v/>
      </c>
      <c r="AP76" s="82" t="str">
        <f aca="false">IF(OR(AP$4="",MONTH(($G$2+20))&lt;&gt;MONTH($C$2)),"",IF(COUNTIFS(m_teacher,AP$4,m_date,($G$2+20),m_active,1,m_start,"&lt;"&amp;900,m_end,"&gt;"&amp;840)=0,"",IF(COUNTIFS(m_teacher,AP$4,m_date,($G$2+20),m_active,1,m_start,"&lt;"&amp;900,m_end,"&gt;"&amp;840)&gt;1,"충돌",HYPERLINK("#'관리자_MASTER'!D"&amp;_xlfn.MAXIFS(m_row,m_teacher,AP$4,m_date,($G$2+20),m_active,1,m_start,"&lt;"&amp;900,m_end,"&gt;"&amp;840),INDEX(m_label,_xlfn.MAXIFS(m_row,m_teacher,AP$4,m_date,($G$2+20),m_active,1,m_start,"&lt;"&amp;900,m_end,"&gt;"&amp;840))))))</f>
        <v/>
      </c>
      <c r="AQ76" s="92"/>
      <c r="AR76" s="79" t="s">
        <v>96</v>
      </c>
      <c r="AS76" s="82" t="str">
        <f aca="false">IF(OR(AS$4="",MONTH(($G$2+27))&lt;&gt;MONTH($C$2)),"",IF(COUNTIFS(m_teacher,AS$4,m_date,($G$2+27),m_active,1,m_start,"&lt;"&amp;900,m_end,"&gt;"&amp;840)=0,"",IF(COUNTIFS(m_teacher,AS$4,m_date,($G$2+27),m_active,1,m_start,"&lt;"&amp;900,m_end,"&gt;"&amp;840)&gt;1,"충돌",HYPERLINK("#'관리자_MASTER'!D"&amp;_xlfn.MAXIFS(m_row,m_teacher,AS$4,m_date,($G$2+27),m_active,1,m_start,"&lt;"&amp;900,m_end,"&gt;"&amp;840),INDEX(m_label,_xlfn.MAXIFS(m_row,m_teacher,AS$4,m_date,($G$2+27),m_active,1,m_start,"&lt;"&amp;900,m_end,"&gt;"&amp;840))))))</f>
        <v/>
      </c>
      <c r="AT76" s="82" t="str">
        <f aca="false">IF(OR(AT$4="",MONTH(($G$2+27))&lt;&gt;MONTH($C$2)),"",IF(COUNTIFS(m_teacher,AT$4,m_date,($G$2+27),m_active,1,m_start,"&lt;"&amp;900,m_end,"&gt;"&amp;840)=0,"",IF(COUNTIFS(m_teacher,AT$4,m_date,($G$2+27),m_active,1,m_start,"&lt;"&amp;900,m_end,"&gt;"&amp;840)&gt;1,"충돌",HYPERLINK("#'관리자_MASTER'!D"&amp;_xlfn.MAXIFS(m_row,m_teacher,AT$4,m_date,($G$2+27),m_active,1,m_start,"&lt;"&amp;900,m_end,"&gt;"&amp;840),INDEX(m_label,_xlfn.MAXIFS(m_row,m_teacher,AT$4,m_date,($G$2+27),m_active,1,m_start,"&lt;"&amp;900,m_end,"&gt;"&amp;840))))))</f>
        <v/>
      </c>
      <c r="AU76" s="82" t="str">
        <f aca="false">IF(OR(AU$4="",MONTH(($G$2+27))&lt;&gt;MONTH($C$2)),"",IF(COUNTIFS(m_teacher,AU$4,m_date,($G$2+27),m_active,1,m_start,"&lt;"&amp;900,m_end,"&gt;"&amp;840)=0,"",IF(COUNTIFS(m_teacher,AU$4,m_date,($G$2+27),m_active,1,m_start,"&lt;"&amp;900,m_end,"&gt;"&amp;840)&gt;1,"충돌",HYPERLINK("#'관리자_MASTER'!D"&amp;_xlfn.MAXIFS(m_row,m_teacher,AU$4,m_date,($G$2+27),m_active,1,m_start,"&lt;"&amp;900,m_end,"&gt;"&amp;840),INDEX(m_label,_xlfn.MAXIFS(m_row,m_teacher,AU$4,m_date,($G$2+27),m_active,1,m_start,"&lt;"&amp;900,m_end,"&gt;"&amp;840))))))</f>
        <v/>
      </c>
      <c r="AV76" s="82" t="str">
        <f aca="false">IF(OR(AV$4="",MONTH(($G$2+27))&lt;&gt;MONTH($C$2)),"",IF(COUNTIFS(m_teacher,AV$4,m_date,($G$2+27),m_active,1,m_start,"&lt;"&amp;900,m_end,"&gt;"&amp;840)=0,"",IF(COUNTIFS(m_teacher,AV$4,m_date,($G$2+27),m_active,1,m_start,"&lt;"&amp;900,m_end,"&gt;"&amp;840)&gt;1,"충돌",HYPERLINK("#'관리자_MASTER'!D"&amp;_xlfn.MAXIFS(m_row,m_teacher,AV$4,m_date,($G$2+27),m_active,1,m_start,"&lt;"&amp;900,m_end,"&gt;"&amp;840),INDEX(m_label,_xlfn.MAXIFS(m_row,m_teacher,AV$4,m_date,($G$2+27),m_active,1,m_start,"&lt;"&amp;900,m_end,"&gt;"&amp;840))))))</f>
        <v/>
      </c>
      <c r="AW76" s="82" t="str">
        <f aca="false">IF(OR(AW$4="",MONTH(($G$2+27))&lt;&gt;MONTH($C$2)),"",IF(COUNTIFS(m_teacher,AW$4,m_date,($G$2+27),m_active,1,m_start,"&lt;"&amp;900,m_end,"&gt;"&amp;840)=0,"",IF(COUNTIFS(m_teacher,AW$4,m_date,($G$2+27),m_active,1,m_start,"&lt;"&amp;900,m_end,"&gt;"&amp;840)&gt;1,"충돌",HYPERLINK("#'관리자_MASTER'!D"&amp;_xlfn.MAXIFS(m_row,m_teacher,AW$4,m_date,($G$2+27),m_active,1,m_start,"&lt;"&amp;900,m_end,"&gt;"&amp;840),INDEX(m_label,_xlfn.MAXIFS(m_row,m_teacher,AW$4,m_date,($G$2+27),m_active,1,m_start,"&lt;"&amp;900,m_end,"&gt;"&amp;840))))))</f>
        <v/>
      </c>
      <c r="AX76" s="82" t="str">
        <f aca="false">IF(OR(AX$4="",MONTH(($G$2+27))&lt;&gt;MONTH($C$2)),"",IF(COUNTIFS(m_teacher,AX$4,m_date,($G$2+27),m_active,1,m_start,"&lt;"&amp;900,m_end,"&gt;"&amp;840)=0,"",IF(COUNTIFS(m_teacher,AX$4,m_date,($G$2+27),m_active,1,m_start,"&lt;"&amp;900,m_end,"&gt;"&amp;840)&gt;1,"충돌",HYPERLINK("#'관리자_MASTER'!D"&amp;_xlfn.MAXIFS(m_row,m_teacher,AX$4,m_date,($G$2+27),m_active,1,m_start,"&lt;"&amp;900,m_end,"&gt;"&amp;840),INDEX(m_label,_xlfn.MAXIFS(m_row,m_teacher,AX$4,m_date,($G$2+27),m_active,1,m_start,"&lt;"&amp;900,m_end,"&gt;"&amp;840))))))</f>
        <v/>
      </c>
      <c r="AY76" s="82" t="str">
        <f aca="false">IF(OR(AY$4="",MONTH(($G$2+27))&lt;&gt;MONTH($C$2)),"",IF(COUNTIFS(m_teacher,AY$4,m_date,($G$2+27),m_active,1,m_start,"&lt;"&amp;900,m_end,"&gt;"&amp;840)=0,"",IF(COUNTIFS(m_teacher,AY$4,m_date,($G$2+27),m_active,1,m_start,"&lt;"&amp;900,m_end,"&gt;"&amp;840)&gt;1,"충돌",HYPERLINK("#'관리자_MASTER'!D"&amp;_xlfn.MAXIFS(m_row,m_teacher,AY$4,m_date,($G$2+27),m_active,1,m_start,"&lt;"&amp;900,m_end,"&gt;"&amp;840),INDEX(m_label,_xlfn.MAXIFS(m_row,m_teacher,AY$4,m_date,($G$2+27),m_active,1,m_start,"&lt;"&amp;900,m_end,"&gt;"&amp;840))))))</f>
        <v/>
      </c>
      <c r="AZ76" s="82" t="str">
        <f aca="false">IF(OR(AZ$4="",MONTH(($G$2+27))&lt;&gt;MONTH($C$2)),"",IF(COUNTIFS(m_teacher,AZ$4,m_date,($G$2+27),m_active,1,m_start,"&lt;"&amp;900,m_end,"&gt;"&amp;840)=0,"",IF(COUNTIFS(m_teacher,AZ$4,m_date,($G$2+27),m_active,1,m_start,"&lt;"&amp;900,m_end,"&gt;"&amp;840)&gt;1,"충돌",HYPERLINK("#'관리자_MASTER'!D"&amp;_xlfn.MAXIFS(m_row,m_teacher,AZ$4,m_date,($G$2+27),m_active,1,m_start,"&lt;"&amp;900,m_end,"&gt;"&amp;840),INDEX(m_label,_xlfn.MAXIFS(m_row,m_teacher,AZ$4,m_date,($G$2+27),m_active,1,m_start,"&lt;"&amp;900,m_end,"&gt;"&amp;840))))))</f>
        <v/>
      </c>
      <c r="BA76" s="82" t="str">
        <f aca="false">IF(OR(BA$4="",MONTH(($G$2+27))&lt;&gt;MONTH($C$2)),"",IF(COUNTIFS(m_teacher,BA$4,m_date,($G$2+27),m_active,1,m_start,"&lt;"&amp;900,m_end,"&gt;"&amp;840)=0,"",IF(COUNTIFS(m_teacher,BA$4,m_date,($G$2+27),m_active,1,m_start,"&lt;"&amp;900,m_end,"&gt;"&amp;840)&gt;1,"충돌",HYPERLINK("#'관리자_MASTER'!D"&amp;_xlfn.MAXIFS(m_row,m_teacher,BA$4,m_date,($G$2+27),m_active,1,m_start,"&lt;"&amp;900,m_end,"&gt;"&amp;840),INDEX(m_label,_xlfn.MAXIFS(m_row,m_teacher,BA$4,m_date,($G$2+27),m_active,1,m_start,"&lt;"&amp;900,m_end,"&gt;"&amp;840))))))</f>
        <v/>
      </c>
      <c r="BB76" s="82" t="str">
        <f aca="false">IF(OR(BB$4="",MONTH(($G$2+27))&lt;&gt;MONTH($C$2)),"",IF(COUNTIFS(m_teacher,BB$4,m_date,($G$2+27),m_active,1,m_start,"&lt;"&amp;900,m_end,"&gt;"&amp;840)=0,"",IF(COUNTIFS(m_teacher,BB$4,m_date,($G$2+27),m_active,1,m_start,"&lt;"&amp;900,m_end,"&gt;"&amp;840)&gt;1,"충돌",HYPERLINK("#'관리자_MASTER'!D"&amp;_xlfn.MAXIFS(m_row,m_teacher,BB$4,m_date,($G$2+27),m_active,1,m_start,"&lt;"&amp;900,m_end,"&gt;"&amp;840),INDEX(m_label,_xlfn.MAXIFS(m_row,m_teacher,BB$4,m_date,($G$2+27),m_active,1,m_start,"&lt;"&amp;900,m_end,"&gt;"&amp;840))))))</f>
        <v/>
      </c>
      <c r="BC76" s="82" t="str">
        <f aca="false">IF(OR(BC$4="",MONTH(($G$2+27))&lt;&gt;MONTH($C$2)),"",IF(COUNTIFS(m_teacher,BC$4,m_date,($G$2+27),m_active,1,m_start,"&lt;"&amp;900,m_end,"&gt;"&amp;840)=0,"",IF(COUNTIFS(m_teacher,BC$4,m_date,($G$2+27),m_active,1,m_start,"&lt;"&amp;900,m_end,"&gt;"&amp;840)&gt;1,"충돌",HYPERLINK("#'관리자_MASTER'!D"&amp;_xlfn.MAXIFS(m_row,m_teacher,BC$4,m_date,($G$2+27),m_active,1,m_start,"&lt;"&amp;900,m_end,"&gt;"&amp;840),INDEX(m_label,_xlfn.MAXIFS(m_row,m_teacher,BC$4,m_date,($G$2+27),m_active,1,m_start,"&lt;"&amp;900,m_end,"&gt;"&amp;840))))))</f>
        <v/>
      </c>
      <c r="BD76" s="82" t="str">
        <f aca="false">IF(OR(BD$4="",MONTH(($G$2+27))&lt;&gt;MONTH($C$2)),"",IF(COUNTIFS(m_teacher,BD$4,m_date,($G$2+27),m_active,1,m_start,"&lt;"&amp;900,m_end,"&gt;"&amp;840)=0,"",IF(COUNTIFS(m_teacher,BD$4,m_date,($G$2+27),m_active,1,m_start,"&lt;"&amp;900,m_end,"&gt;"&amp;840)&gt;1,"충돌",HYPERLINK("#'관리자_MASTER'!D"&amp;_xlfn.MAXIFS(m_row,m_teacher,BD$4,m_date,($G$2+27),m_active,1,m_start,"&lt;"&amp;900,m_end,"&gt;"&amp;840),INDEX(m_label,_xlfn.MAXIFS(m_row,m_teacher,BD$4,m_date,($G$2+27),m_active,1,m_start,"&lt;"&amp;900,m_end,"&gt;"&amp;840))))))</f>
        <v/>
      </c>
      <c r="BE76" s="92"/>
      <c r="BF76" s="79" t="s">
        <v>96</v>
      </c>
      <c r="BG76" s="82" t="str">
        <f aca="false">IF(OR(BG$4="",MONTH(($G$2+34))&lt;&gt;MONTH($C$2)),"",IF(COUNTIFS(m_teacher,BG$4,m_date,($G$2+34),m_active,1,m_start,"&lt;"&amp;900,m_end,"&gt;"&amp;840)=0,"",IF(COUNTIFS(m_teacher,BG$4,m_date,($G$2+34),m_active,1,m_start,"&lt;"&amp;900,m_end,"&gt;"&amp;840)&gt;1,"충돌",HYPERLINK("#'관리자_MASTER'!D"&amp;_xlfn.MAXIFS(m_row,m_teacher,BG$4,m_date,($G$2+34),m_active,1,m_start,"&lt;"&amp;900,m_end,"&gt;"&amp;840),INDEX(m_label,_xlfn.MAXIFS(m_row,m_teacher,BG$4,m_date,($G$2+34),m_active,1,m_start,"&lt;"&amp;900,m_end,"&gt;"&amp;840))))))</f>
        <v/>
      </c>
      <c r="BH76" s="82" t="str">
        <f aca="false">IF(OR(BH$4="",MONTH(($G$2+34))&lt;&gt;MONTH($C$2)),"",IF(COUNTIFS(m_teacher,BH$4,m_date,($G$2+34),m_active,1,m_start,"&lt;"&amp;900,m_end,"&gt;"&amp;840)=0,"",IF(COUNTIFS(m_teacher,BH$4,m_date,($G$2+34),m_active,1,m_start,"&lt;"&amp;900,m_end,"&gt;"&amp;840)&gt;1,"충돌",HYPERLINK("#'관리자_MASTER'!D"&amp;_xlfn.MAXIFS(m_row,m_teacher,BH$4,m_date,($G$2+34),m_active,1,m_start,"&lt;"&amp;900,m_end,"&gt;"&amp;840),INDEX(m_label,_xlfn.MAXIFS(m_row,m_teacher,BH$4,m_date,($G$2+34),m_active,1,m_start,"&lt;"&amp;900,m_end,"&gt;"&amp;840))))))</f>
        <v/>
      </c>
      <c r="BI76" s="82" t="str">
        <f aca="false">IF(OR(BI$4="",MONTH(($G$2+34))&lt;&gt;MONTH($C$2)),"",IF(COUNTIFS(m_teacher,BI$4,m_date,($G$2+34),m_active,1,m_start,"&lt;"&amp;900,m_end,"&gt;"&amp;840)=0,"",IF(COUNTIFS(m_teacher,BI$4,m_date,($G$2+34),m_active,1,m_start,"&lt;"&amp;900,m_end,"&gt;"&amp;840)&gt;1,"충돌",HYPERLINK("#'관리자_MASTER'!D"&amp;_xlfn.MAXIFS(m_row,m_teacher,BI$4,m_date,($G$2+34),m_active,1,m_start,"&lt;"&amp;900,m_end,"&gt;"&amp;840),INDEX(m_label,_xlfn.MAXIFS(m_row,m_teacher,BI$4,m_date,($G$2+34),m_active,1,m_start,"&lt;"&amp;900,m_end,"&gt;"&amp;840))))))</f>
        <v/>
      </c>
      <c r="BJ76" s="82" t="str">
        <f aca="false">IF(OR(BJ$4="",MONTH(($G$2+34))&lt;&gt;MONTH($C$2)),"",IF(COUNTIFS(m_teacher,BJ$4,m_date,($G$2+34),m_active,1,m_start,"&lt;"&amp;900,m_end,"&gt;"&amp;840)=0,"",IF(COUNTIFS(m_teacher,BJ$4,m_date,($G$2+34),m_active,1,m_start,"&lt;"&amp;900,m_end,"&gt;"&amp;840)&gt;1,"충돌",HYPERLINK("#'관리자_MASTER'!D"&amp;_xlfn.MAXIFS(m_row,m_teacher,BJ$4,m_date,($G$2+34),m_active,1,m_start,"&lt;"&amp;900,m_end,"&gt;"&amp;840),INDEX(m_label,_xlfn.MAXIFS(m_row,m_teacher,BJ$4,m_date,($G$2+34),m_active,1,m_start,"&lt;"&amp;900,m_end,"&gt;"&amp;840))))))</f>
        <v/>
      </c>
      <c r="BK76" s="82" t="str">
        <f aca="false">IF(OR(BK$4="",MONTH(($G$2+34))&lt;&gt;MONTH($C$2)),"",IF(COUNTIFS(m_teacher,BK$4,m_date,($G$2+34),m_active,1,m_start,"&lt;"&amp;900,m_end,"&gt;"&amp;840)=0,"",IF(COUNTIFS(m_teacher,BK$4,m_date,($G$2+34),m_active,1,m_start,"&lt;"&amp;900,m_end,"&gt;"&amp;840)&gt;1,"충돌",HYPERLINK("#'관리자_MASTER'!D"&amp;_xlfn.MAXIFS(m_row,m_teacher,BK$4,m_date,($G$2+34),m_active,1,m_start,"&lt;"&amp;900,m_end,"&gt;"&amp;840),INDEX(m_label,_xlfn.MAXIFS(m_row,m_teacher,BK$4,m_date,($G$2+34),m_active,1,m_start,"&lt;"&amp;900,m_end,"&gt;"&amp;840))))))</f>
        <v/>
      </c>
      <c r="BL76" s="82" t="str">
        <f aca="false">IF(OR(BL$4="",MONTH(($G$2+34))&lt;&gt;MONTH($C$2)),"",IF(COUNTIFS(m_teacher,BL$4,m_date,($G$2+34),m_active,1,m_start,"&lt;"&amp;900,m_end,"&gt;"&amp;840)=0,"",IF(COUNTIFS(m_teacher,BL$4,m_date,($G$2+34),m_active,1,m_start,"&lt;"&amp;900,m_end,"&gt;"&amp;840)&gt;1,"충돌",HYPERLINK("#'관리자_MASTER'!D"&amp;_xlfn.MAXIFS(m_row,m_teacher,BL$4,m_date,($G$2+34),m_active,1,m_start,"&lt;"&amp;900,m_end,"&gt;"&amp;840),INDEX(m_label,_xlfn.MAXIFS(m_row,m_teacher,BL$4,m_date,($G$2+34),m_active,1,m_start,"&lt;"&amp;900,m_end,"&gt;"&amp;840))))))</f>
        <v/>
      </c>
      <c r="BM76" s="82" t="str">
        <f aca="false">IF(OR(BM$4="",MONTH(($G$2+34))&lt;&gt;MONTH($C$2)),"",IF(COUNTIFS(m_teacher,BM$4,m_date,($G$2+34),m_active,1,m_start,"&lt;"&amp;900,m_end,"&gt;"&amp;840)=0,"",IF(COUNTIFS(m_teacher,BM$4,m_date,($G$2+34),m_active,1,m_start,"&lt;"&amp;900,m_end,"&gt;"&amp;840)&gt;1,"충돌",HYPERLINK("#'관리자_MASTER'!D"&amp;_xlfn.MAXIFS(m_row,m_teacher,BM$4,m_date,($G$2+34),m_active,1,m_start,"&lt;"&amp;900,m_end,"&gt;"&amp;840),INDEX(m_label,_xlfn.MAXIFS(m_row,m_teacher,BM$4,m_date,($G$2+34),m_active,1,m_start,"&lt;"&amp;900,m_end,"&gt;"&amp;840))))))</f>
        <v/>
      </c>
      <c r="BN76" s="82" t="str">
        <f aca="false">IF(OR(BN$4="",MONTH(($G$2+34))&lt;&gt;MONTH($C$2)),"",IF(COUNTIFS(m_teacher,BN$4,m_date,($G$2+34),m_active,1,m_start,"&lt;"&amp;900,m_end,"&gt;"&amp;840)=0,"",IF(COUNTIFS(m_teacher,BN$4,m_date,($G$2+34),m_active,1,m_start,"&lt;"&amp;900,m_end,"&gt;"&amp;840)&gt;1,"충돌",HYPERLINK("#'관리자_MASTER'!D"&amp;_xlfn.MAXIFS(m_row,m_teacher,BN$4,m_date,($G$2+34),m_active,1,m_start,"&lt;"&amp;900,m_end,"&gt;"&amp;840),INDEX(m_label,_xlfn.MAXIFS(m_row,m_teacher,BN$4,m_date,($G$2+34),m_active,1,m_start,"&lt;"&amp;900,m_end,"&gt;"&amp;840))))))</f>
        <v/>
      </c>
      <c r="BO76" s="82" t="str">
        <f aca="false">IF(OR(BO$4="",MONTH(($G$2+34))&lt;&gt;MONTH($C$2)),"",IF(COUNTIFS(m_teacher,BO$4,m_date,($G$2+34),m_active,1,m_start,"&lt;"&amp;900,m_end,"&gt;"&amp;840)=0,"",IF(COUNTIFS(m_teacher,BO$4,m_date,($G$2+34),m_active,1,m_start,"&lt;"&amp;900,m_end,"&gt;"&amp;840)&gt;1,"충돌",HYPERLINK("#'관리자_MASTER'!D"&amp;_xlfn.MAXIFS(m_row,m_teacher,BO$4,m_date,($G$2+34),m_active,1,m_start,"&lt;"&amp;900,m_end,"&gt;"&amp;840),INDEX(m_label,_xlfn.MAXIFS(m_row,m_teacher,BO$4,m_date,($G$2+34),m_active,1,m_start,"&lt;"&amp;900,m_end,"&gt;"&amp;840))))))</f>
        <v/>
      </c>
      <c r="BP76" s="82" t="str">
        <f aca="false">IF(OR(BP$4="",MONTH(($G$2+34))&lt;&gt;MONTH($C$2)),"",IF(COUNTIFS(m_teacher,BP$4,m_date,($G$2+34),m_active,1,m_start,"&lt;"&amp;900,m_end,"&gt;"&amp;840)=0,"",IF(COUNTIFS(m_teacher,BP$4,m_date,($G$2+34),m_active,1,m_start,"&lt;"&amp;900,m_end,"&gt;"&amp;840)&gt;1,"충돌",HYPERLINK("#'관리자_MASTER'!D"&amp;_xlfn.MAXIFS(m_row,m_teacher,BP$4,m_date,($G$2+34),m_active,1,m_start,"&lt;"&amp;900,m_end,"&gt;"&amp;840),INDEX(m_label,_xlfn.MAXIFS(m_row,m_teacher,BP$4,m_date,($G$2+34),m_active,1,m_start,"&lt;"&amp;900,m_end,"&gt;"&amp;840))))))</f>
        <v/>
      </c>
      <c r="BQ76" s="82" t="str">
        <f aca="false">IF(OR(BQ$4="",MONTH(($G$2+34))&lt;&gt;MONTH($C$2)),"",IF(COUNTIFS(m_teacher,BQ$4,m_date,($G$2+34),m_active,1,m_start,"&lt;"&amp;900,m_end,"&gt;"&amp;840)=0,"",IF(COUNTIFS(m_teacher,BQ$4,m_date,($G$2+34),m_active,1,m_start,"&lt;"&amp;900,m_end,"&gt;"&amp;840)&gt;1,"충돌",HYPERLINK("#'관리자_MASTER'!D"&amp;_xlfn.MAXIFS(m_row,m_teacher,BQ$4,m_date,($G$2+34),m_active,1,m_start,"&lt;"&amp;900,m_end,"&gt;"&amp;840),INDEX(m_label,_xlfn.MAXIFS(m_row,m_teacher,BQ$4,m_date,($G$2+34),m_active,1,m_start,"&lt;"&amp;900,m_end,"&gt;"&amp;840))))))</f>
        <v/>
      </c>
      <c r="BR76" s="82" t="str">
        <f aca="false">IF(OR(BR$4="",MONTH(($G$2+34))&lt;&gt;MONTH($C$2)),"",IF(COUNTIFS(m_teacher,BR$4,m_date,($G$2+34),m_active,1,m_start,"&lt;"&amp;900,m_end,"&gt;"&amp;840)=0,"",IF(COUNTIFS(m_teacher,BR$4,m_date,($G$2+34),m_active,1,m_start,"&lt;"&amp;900,m_end,"&gt;"&amp;840)&gt;1,"충돌",HYPERLINK("#'관리자_MASTER'!D"&amp;_xlfn.MAXIFS(m_row,m_teacher,BR$4,m_date,($G$2+34),m_active,1,m_start,"&lt;"&amp;900,m_end,"&gt;"&amp;840),INDEX(m_label,_xlfn.MAXIFS(m_row,m_teacher,BR$4,m_date,($G$2+34),m_active,1,m_start,"&lt;"&amp;900,m_end,"&gt;"&amp;840))))))</f>
        <v/>
      </c>
    </row>
    <row r="77" customFormat="false" ht="19.5" hidden="false" customHeight="true" outlineLevel="0" collapsed="false">
      <c r="A77" s="92"/>
      <c r="B77" s="79" t="s">
        <v>97</v>
      </c>
      <c r="C77" s="82" t="str">
        <f aca="false">IF(OR(C$4="",MONTH(($G$2+6))&lt;&gt;MONTH($C$2)),"",IF(COUNTIFS(m_teacher,C$4,m_date,($G$2+6),m_active,1,m_start,"&lt;"&amp;960,m_end,"&gt;"&amp;900)=0,"",IF(COUNTIFS(m_teacher,C$4,m_date,($G$2+6),m_active,1,m_start,"&lt;"&amp;960,m_end,"&gt;"&amp;900)&gt;1,"충돌",HYPERLINK("#'관리자_MASTER'!D"&amp;_xlfn.MAXIFS(m_row,m_teacher,C$4,m_date,($G$2+6),m_active,1,m_start,"&lt;"&amp;960,m_end,"&gt;"&amp;900),INDEX(m_label,_xlfn.MAXIFS(m_row,m_teacher,C$4,m_date,($G$2+6),m_active,1,m_start,"&lt;"&amp;960,m_end,"&gt;"&amp;900))))))</f>
        <v/>
      </c>
      <c r="D77" s="82" t="str">
        <f aca="false">IF(OR(D$4="",MONTH(($G$2+6))&lt;&gt;MONTH($C$2)),"",IF(COUNTIFS(m_teacher,D$4,m_date,($G$2+6),m_active,1,m_start,"&lt;"&amp;960,m_end,"&gt;"&amp;900)=0,"",IF(COUNTIFS(m_teacher,D$4,m_date,($G$2+6),m_active,1,m_start,"&lt;"&amp;960,m_end,"&gt;"&amp;900)&gt;1,"충돌",HYPERLINK("#'관리자_MASTER'!D"&amp;_xlfn.MAXIFS(m_row,m_teacher,D$4,m_date,($G$2+6),m_active,1,m_start,"&lt;"&amp;960,m_end,"&gt;"&amp;900),INDEX(m_label,_xlfn.MAXIFS(m_row,m_teacher,D$4,m_date,($G$2+6),m_active,1,m_start,"&lt;"&amp;960,m_end,"&gt;"&amp;900))))))</f>
        <v/>
      </c>
      <c r="E77" s="82" t="str">
        <f aca="false">IF(OR(E$4="",MONTH(($G$2+6))&lt;&gt;MONTH($C$2)),"",IF(COUNTIFS(m_teacher,E$4,m_date,($G$2+6),m_active,1,m_start,"&lt;"&amp;960,m_end,"&gt;"&amp;900)=0,"",IF(COUNTIFS(m_teacher,E$4,m_date,($G$2+6),m_active,1,m_start,"&lt;"&amp;960,m_end,"&gt;"&amp;900)&gt;1,"충돌",HYPERLINK("#'관리자_MASTER'!D"&amp;_xlfn.MAXIFS(m_row,m_teacher,E$4,m_date,($G$2+6),m_active,1,m_start,"&lt;"&amp;960,m_end,"&gt;"&amp;900),INDEX(m_label,_xlfn.MAXIFS(m_row,m_teacher,E$4,m_date,($G$2+6),m_active,1,m_start,"&lt;"&amp;960,m_end,"&gt;"&amp;900))))))</f>
        <v/>
      </c>
      <c r="F77" s="82" t="str">
        <f aca="false">IF(OR(F$4="",MONTH(($G$2+6))&lt;&gt;MONTH($C$2)),"",IF(COUNTIFS(m_teacher,F$4,m_date,($G$2+6),m_active,1,m_start,"&lt;"&amp;960,m_end,"&gt;"&amp;900)=0,"",IF(COUNTIFS(m_teacher,F$4,m_date,($G$2+6),m_active,1,m_start,"&lt;"&amp;960,m_end,"&gt;"&amp;900)&gt;1,"충돌",HYPERLINK("#'관리자_MASTER'!D"&amp;_xlfn.MAXIFS(m_row,m_teacher,F$4,m_date,($G$2+6),m_active,1,m_start,"&lt;"&amp;960,m_end,"&gt;"&amp;900),INDEX(m_label,_xlfn.MAXIFS(m_row,m_teacher,F$4,m_date,($G$2+6),m_active,1,m_start,"&lt;"&amp;960,m_end,"&gt;"&amp;900))))))</f>
        <v/>
      </c>
      <c r="G77" s="82" t="str">
        <f aca="false">IF(OR(G$4="",MONTH(($G$2+6))&lt;&gt;MONTH($C$2)),"",IF(COUNTIFS(m_teacher,G$4,m_date,($G$2+6),m_active,1,m_start,"&lt;"&amp;960,m_end,"&gt;"&amp;900)=0,"",IF(COUNTIFS(m_teacher,G$4,m_date,($G$2+6),m_active,1,m_start,"&lt;"&amp;960,m_end,"&gt;"&amp;900)&gt;1,"충돌",HYPERLINK("#'관리자_MASTER'!D"&amp;_xlfn.MAXIFS(m_row,m_teacher,G$4,m_date,($G$2+6),m_active,1,m_start,"&lt;"&amp;960,m_end,"&gt;"&amp;900),INDEX(m_label,_xlfn.MAXIFS(m_row,m_teacher,G$4,m_date,($G$2+6),m_active,1,m_start,"&lt;"&amp;960,m_end,"&gt;"&amp;900))))))</f>
        <v/>
      </c>
      <c r="H77" s="82" t="str">
        <f aca="false">IF(OR(H$4="",MONTH(($G$2+6))&lt;&gt;MONTH($C$2)),"",IF(COUNTIFS(m_teacher,H$4,m_date,($G$2+6),m_active,1,m_start,"&lt;"&amp;960,m_end,"&gt;"&amp;900)=0,"",IF(COUNTIFS(m_teacher,H$4,m_date,($G$2+6),m_active,1,m_start,"&lt;"&amp;960,m_end,"&gt;"&amp;900)&gt;1,"충돌",HYPERLINK("#'관리자_MASTER'!D"&amp;_xlfn.MAXIFS(m_row,m_teacher,H$4,m_date,($G$2+6),m_active,1,m_start,"&lt;"&amp;960,m_end,"&gt;"&amp;900),INDEX(m_label,_xlfn.MAXIFS(m_row,m_teacher,H$4,m_date,($G$2+6),m_active,1,m_start,"&lt;"&amp;960,m_end,"&gt;"&amp;900))))))</f>
        <v/>
      </c>
      <c r="I77" s="82" t="str">
        <f aca="false">IF(OR(I$4="",MONTH(($G$2+6))&lt;&gt;MONTH($C$2)),"",IF(COUNTIFS(m_teacher,I$4,m_date,($G$2+6),m_active,1,m_start,"&lt;"&amp;960,m_end,"&gt;"&amp;900)=0,"",IF(COUNTIFS(m_teacher,I$4,m_date,($G$2+6),m_active,1,m_start,"&lt;"&amp;960,m_end,"&gt;"&amp;900)&gt;1,"충돌",HYPERLINK("#'관리자_MASTER'!D"&amp;_xlfn.MAXIFS(m_row,m_teacher,I$4,m_date,($G$2+6),m_active,1,m_start,"&lt;"&amp;960,m_end,"&gt;"&amp;900),INDEX(m_label,_xlfn.MAXIFS(m_row,m_teacher,I$4,m_date,($G$2+6),m_active,1,m_start,"&lt;"&amp;960,m_end,"&gt;"&amp;900))))))</f>
        <v/>
      </c>
      <c r="J77" s="82" t="str">
        <f aca="false">IF(OR(J$4="",MONTH(($G$2+6))&lt;&gt;MONTH($C$2)),"",IF(COUNTIFS(m_teacher,J$4,m_date,($G$2+6),m_active,1,m_start,"&lt;"&amp;960,m_end,"&gt;"&amp;900)=0,"",IF(COUNTIFS(m_teacher,J$4,m_date,($G$2+6),m_active,1,m_start,"&lt;"&amp;960,m_end,"&gt;"&amp;900)&gt;1,"충돌",HYPERLINK("#'관리자_MASTER'!D"&amp;_xlfn.MAXIFS(m_row,m_teacher,J$4,m_date,($G$2+6),m_active,1,m_start,"&lt;"&amp;960,m_end,"&gt;"&amp;900),INDEX(m_label,_xlfn.MAXIFS(m_row,m_teacher,J$4,m_date,($G$2+6),m_active,1,m_start,"&lt;"&amp;960,m_end,"&gt;"&amp;900))))))</f>
        <v/>
      </c>
      <c r="K77" s="82" t="str">
        <f aca="false">IF(OR(K$4="",MONTH(($G$2+6))&lt;&gt;MONTH($C$2)),"",IF(COUNTIFS(m_teacher,K$4,m_date,($G$2+6),m_active,1,m_start,"&lt;"&amp;960,m_end,"&gt;"&amp;900)=0,"",IF(COUNTIFS(m_teacher,K$4,m_date,($G$2+6),m_active,1,m_start,"&lt;"&amp;960,m_end,"&gt;"&amp;900)&gt;1,"충돌",HYPERLINK("#'관리자_MASTER'!D"&amp;_xlfn.MAXIFS(m_row,m_teacher,K$4,m_date,($G$2+6),m_active,1,m_start,"&lt;"&amp;960,m_end,"&gt;"&amp;900),INDEX(m_label,_xlfn.MAXIFS(m_row,m_teacher,K$4,m_date,($G$2+6),m_active,1,m_start,"&lt;"&amp;960,m_end,"&gt;"&amp;900))))))</f>
        <v/>
      </c>
      <c r="L77" s="82" t="str">
        <f aca="false">IF(OR(L$4="",MONTH(($G$2+6))&lt;&gt;MONTH($C$2)),"",IF(COUNTIFS(m_teacher,L$4,m_date,($G$2+6),m_active,1,m_start,"&lt;"&amp;960,m_end,"&gt;"&amp;900)=0,"",IF(COUNTIFS(m_teacher,L$4,m_date,($G$2+6),m_active,1,m_start,"&lt;"&amp;960,m_end,"&gt;"&amp;900)&gt;1,"충돌",HYPERLINK("#'관리자_MASTER'!D"&amp;_xlfn.MAXIFS(m_row,m_teacher,L$4,m_date,($G$2+6),m_active,1,m_start,"&lt;"&amp;960,m_end,"&gt;"&amp;900),INDEX(m_label,_xlfn.MAXIFS(m_row,m_teacher,L$4,m_date,($G$2+6),m_active,1,m_start,"&lt;"&amp;960,m_end,"&gt;"&amp;900))))))</f>
        <v/>
      </c>
      <c r="M77" s="82" t="str">
        <f aca="false">IF(OR(M$4="",MONTH(($G$2+6))&lt;&gt;MONTH($C$2)),"",IF(COUNTIFS(m_teacher,M$4,m_date,($G$2+6),m_active,1,m_start,"&lt;"&amp;960,m_end,"&gt;"&amp;900)=0,"",IF(COUNTIFS(m_teacher,M$4,m_date,($G$2+6),m_active,1,m_start,"&lt;"&amp;960,m_end,"&gt;"&amp;900)&gt;1,"충돌",HYPERLINK("#'관리자_MASTER'!D"&amp;_xlfn.MAXIFS(m_row,m_teacher,M$4,m_date,($G$2+6),m_active,1,m_start,"&lt;"&amp;960,m_end,"&gt;"&amp;900),INDEX(m_label,_xlfn.MAXIFS(m_row,m_teacher,M$4,m_date,($G$2+6),m_active,1,m_start,"&lt;"&amp;960,m_end,"&gt;"&amp;900))))))</f>
        <v/>
      </c>
      <c r="N77" s="82" t="str">
        <f aca="false">IF(OR(N$4="",MONTH(($G$2+6))&lt;&gt;MONTH($C$2)),"",IF(COUNTIFS(m_teacher,N$4,m_date,($G$2+6),m_active,1,m_start,"&lt;"&amp;960,m_end,"&gt;"&amp;900)=0,"",IF(COUNTIFS(m_teacher,N$4,m_date,($G$2+6),m_active,1,m_start,"&lt;"&amp;960,m_end,"&gt;"&amp;900)&gt;1,"충돌",HYPERLINK("#'관리자_MASTER'!D"&amp;_xlfn.MAXIFS(m_row,m_teacher,N$4,m_date,($G$2+6),m_active,1,m_start,"&lt;"&amp;960,m_end,"&gt;"&amp;900),INDEX(m_label,_xlfn.MAXIFS(m_row,m_teacher,N$4,m_date,($G$2+6),m_active,1,m_start,"&lt;"&amp;960,m_end,"&gt;"&amp;900))))))</f>
        <v/>
      </c>
      <c r="O77" s="92"/>
      <c r="P77" s="79" t="s">
        <v>97</v>
      </c>
      <c r="Q77" s="82" t="str">
        <f aca="false">IF(OR(Q$4="",MONTH(($G$2+13))&lt;&gt;MONTH($C$2)),"",IF(COUNTIFS(m_teacher,Q$4,m_date,($G$2+13),m_active,1,m_start,"&lt;"&amp;960,m_end,"&gt;"&amp;900)=0,"",IF(COUNTIFS(m_teacher,Q$4,m_date,($G$2+13),m_active,1,m_start,"&lt;"&amp;960,m_end,"&gt;"&amp;900)&gt;1,"충돌",HYPERLINK("#'관리자_MASTER'!D"&amp;_xlfn.MAXIFS(m_row,m_teacher,Q$4,m_date,($G$2+13),m_active,1,m_start,"&lt;"&amp;960,m_end,"&gt;"&amp;900),INDEX(m_label,_xlfn.MAXIFS(m_row,m_teacher,Q$4,m_date,($G$2+13),m_active,1,m_start,"&lt;"&amp;960,m_end,"&gt;"&amp;900))))))</f>
        <v/>
      </c>
      <c r="R77" s="82" t="str">
        <f aca="false">IF(OR(R$4="",MONTH(($G$2+13))&lt;&gt;MONTH($C$2)),"",IF(COUNTIFS(m_teacher,R$4,m_date,($G$2+13),m_active,1,m_start,"&lt;"&amp;960,m_end,"&gt;"&amp;900)=0,"",IF(COUNTIFS(m_teacher,R$4,m_date,($G$2+13),m_active,1,m_start,"&lt;"&amp;960,m_end,"&gt;"&amp;900)&gt;1,"충돌",HYPERLINK("#'관리자_MASTER'!D"&amp;_xlfn.MAXIFS(m_row,m_teacher,R$4,m_date,($G$2+13),m_active,1,m_start,"&lt;"&amp;960,m_end,"&gt;"&amp;900),INDEX(m_label,_xlfn.MAXIFS(m_row,m_teacher,R$4,m_date,($G$2+13),m_active,1,m_start,"&lt;"&amp;960,m_end,"&gt;"&amp;900))))))</f>
        <v/>
      </c>
      <c r="S77" s="82" t="str">
        <f aca="false">IF(OR(S$4="",MONTH(($G$2+13))&lt;&gt;MONTH($C$2)),"",IF(COUNTIFS(m_teacher,S$4,m_date,($G$2+13),m_active,1,m_start,"&lt;"&amp;960,m_end,"&gt;"&amp;900)=0,"",IF(COUNTIFS(m_teacher,S$4,m_date,($G$2+13),m_active,1,m_start,"&lt;"&amp;960,m_end,"&gt;"&amp;900)&gt;1,"충돌",HYPERLINK("#'관리자_MASTER'!D"&amp;_xlfn.MAXIFS(m_row,m_teacher,S$4,m_date,($G$2+13),m_active,1,m_start,"&lt;"&amp;960,m_end,"&gt;"&amp;900),INDEX(m_label,_xlfn.MAXIFS(m_row,m_teacher,S$4,m_date,($G$2+13),m_active,1,m_start,"&lt;"&amp;960,m_end,"&gt;"&amp;900))))))</f>
        <v/>
      </c>
      <c r="T77" s="82" t="str">
        <f aca="false">IF(OR(T$4="",MONTH(($G$2+13))&lt;&gt;MONTH($C$2)),"",IF(COUNTIFS(m_teacher,T$4,m_date,($G$2+13),m_active,1,m_start,"&lt;"&amp;960,m_end,"&gt;"&amp;900)=0,"",IF(COUNTIFS(m_teacher,T$4,m_date,($G$2+13),m_active,1,m_start,"&lt;"&amp;960,m_end,"&gt;"&amp;900)&gt;1,"충돌",HYPERLINK("#'관리자_MASTER'!D"&amp;_xlfn.MAXIFS(m_row,m_teacher,T$4,m_date,($G$2+13),m_active,1,m_start,"&lt;"&amp;960,m_end,"&gt;"&amp;900),INDEX(m_label,_xlfn.MAXIFS(m_row,m_teacher,T$4,m_date,($G$2+13),m_active,1,m_start,"&lt;"&amp;960,m_end,"&gt;"&amp;900))))))</f>
        <v/>
      </c>
      <c r="U77" s="82" t="str">
        <f aca="false">IF(OR(U$4="",MONTH(($G$2+13))&lt;&gt;MONTH($C$2)),"",IF(COUNTIFS(m_teacher,U$4,m_date,($G$2+13),m_active,1,m_start,"&lt;"&amp;960,m_end,"&gt;"&amp;900)=0,"",IF(COUNTIFS(m_teacher,U$4,m_date,($G$2+13),m_active,1,m_start,"&lt;"&amp;960,m_end,"&gt;"&amp;900)&gt;1,"충돌",HYPERLINK("#'관리자_MASTER'!D"&amp;_xlfn.MAXIFS(m_row,m_teacher,U$4,m_date,($G$2+13),m_active,1,m_start,"&lt;"&amp;960,m_end,"&gt;"&amp;900),INDEX(m_label,_xlfn.MAXIFS(m_row,m_teacher,U$4,m_date,($G$2+13),m_active,1,m_start,"&lt;"&amp;960,m_end,"&gt;"&amp;900))))))</f>
        <v/>
      </c>
      <c r="V77" s="82" t="str">
        <f aca="false">IF(OR(V$4="",MONTH(($G$2+13))&lt;&gt;MONTH($C$2)),"",IF(COUNTIFS(m_teacher,V$4,m_date,($G$2+13),m_active,1,m_start,"&lt;"&amp;960,m_end,"&gt;"&amp;900)=0,"",IF(COUNTIFS(m_teacher,V$4,m_date,($G$2+13),m_active,1,m_start,"&lt;"&amp;960,m_end,"&gt;"&amp;900)&gt;1,"충돌",HYPERLINK("#'관리자_MASTER'!D"&amp;_xlfn.MAXIFS(m_row,m_teacher,V$4,m_date,($G$2+13),m_active,1,m_start,"&lt;"&amp;960,m_end,"&gt;"&amp;900),INDEX(m_label,_xlfn.MAXIFS(m_row,m_teacher,V$4,m_date,($G$2+13),m_active,1,m_start,"&lt;"&amp;960,m_end,"&gt;"&amp;900))))))</f>
        <v/>
      </c>
      <c r="W77" s="82" t="str">
        <f aca="false">IF(OR(W$4="",MONTH(($G$2+13))&lt;&gt;MONTH($C$2)),"",IF(COUNTIFS(m_teacher,W$4,m_date,($G$2+13),m_active,1,m_start,"&lt;"&amp;960,m_end,"&gt;"&amp;900)=0,"",IF(COUNTIFS(m_teacher,W$4,m_date,($G$2+13),m_active,1,m_start,"&lt;"&amp;960,m_end,"&gt;"&amp;900)&gt;1,"충돌",HYPERLINK("#'관리자_MASTER'!D"&amp;_xlfn.MAXIFS(m_row,m_teacher,W$4,m_date,($G$2+13),m_active,1,m_start,"&lt;"&amp;960,m_end,"&gt;"&amp;900),INDEX(m_label,_xlfn.MAXIFS(m_row,m_teacher,W$4,m_date,($G$2+13),m_active,1,m_start,"&lt;"&amp;960,m_end,"&gt;"&amp;900))))))</f>
        <v/>
      </c>
      <c r="X77" s="82" t="str">
        <f aca="false">IF(OR(X$4="",MONTH(($G$2+13))&lt;&gt;MONTH($C$2)),"",IF(COUNTIFS(m_teacher,X$4,m_date,($G$2+13),m_active,1,m_start,"&lt;"&amp;960,m_end,"&gt;"&amp;900)=0,"",IF(COUNTIFS(m_teacher,X$4,m_date,($G$2+13),m_active,1,m_start,"&lt;"&amp;960,m_end,"&gt;"&amp;900)&gt;1,"충돌",HYPERLINK("#'관리자_MASTER'!D"&amp;_xlfn.MAXIFS(m_row,m_teacher,X$4,m_date,($G$2+13),m_active,1,m_start,"&lt;"&amp;960,m_end,"&gt;"&amp;900),INDEX(m_label,_xlfn.MAXIFS(m_row,m_teacher,X$4,m_date,($G$2+13),m_active,1,m_start,"&lt;"&amp;960,m_end,"&gt;"&amp;900))))))</f>
        <v/>
      </c>
      <c r="Y77" s="82" t="str">
        <f aca="false">IF(OR(Y$4="",MONTH(($G$2+13))&lt;&gt;MONTH($C$2)),"",IF(COUNTIFS(m_teacher,Y$4,m_date,($G$2+13),m_active,1,m_start,"&lt;"&amp;960,m_end,"&gt;"&amp;900)=0,"",IF(COUNTIFS(m_teacher,Y$4,m_date,($G$2+13),m_active,1,m_start,"&lt;"&amp;960,m_end,"&gt;"&amp;900)&gt;1,"충돌",HYPERLINK("#'관리자_MASTER'!D"&amp;_xlfn.MAXIFS(m_row,m_teacher,Y$4,m_date,($G$2+13),m_active,1,m_start,"&lt;"&amp;960,m_end,"&gt;"&amp;900),INDEX(m_label,_xlfn.MAXIFS(m_row,m_teacher,Y$4,m_date,($G$2+13),m_active,1,m_start,"&lt;"&amp;960,m_end,"&gt;"&amp;900))))))</f>
        <v/>
      </c>
      <c r="Z77" s="82" t="str">
        <f aca="false">IF(OR(Z$4="",MONTH(($G$2+13))&lt;&gt;MONTH($C$2)),"",IF(COUNTIFS(m_teacher,Z$4,m_date,($G$2+13),m_active,1,m_start,"&lt;"&amp;960,m_end,"&gt;"&amp;900)=0,"",IF(COUNTIFS(m_teacher,Z$4,m_date,($G$2+13),m_active,1,m_start,"&lt;"&amp;960,m_end,"&gt;"&amp;900)&gt;1,"충돌",HYPERLINK("#'관리자_MASTER'!D"&amp;_xlfn.MAXIFS(m_row,m_teacher,Z$4,m_date,($G$2+13),m_active,1,m_start,"&lt;"&amp;960,m_end,"&gt;"&amp;900),INDEX(m_label,_xlfn.MAXIFS(m_row,m_teacher,Z$4,m_date,($G$2+13),m_active,1,m_start,"&lt;"&amp;960,m_end,"&gt;"&amp;900))))))</f>
        <v/>
      </c>
      <c r="AA77" s="82" t="str">
        <f aca="false">IF(OR(AA$4="",MONTH(($G$2+13))&lt;&gt;MONTH($C$2)),"",IF(COUNTIFS(m_teacher,AA$4,m_date,($G$2+13),m_active,1,m_start,"&lt;"&amp;960,m_end,"&gt;"&amp;900)=0,"",IF(COUNTIFS(m_teacher,AA$4,m_date,($G$2+13),m_active,1,m_start,"&lt;"&amp;960,m_end,"&gt;"&amp;900)&gt;1,"충돌",HYPERLINK("#'관리자_MASTER'!D"&amp;_xlfn.MAXIFS(m_row,m_teacher,AA$4,m_date,($G$2+13),m_active,1,m_start,"&lt;"&amp;960,m_end,"&gt;"&amp;900),INDEX(m_label,_xlfn.MAXIFS(m_row,m_teacher,AA$4,m_date,($G$2+13),m_active,1,m_start,"&lt;"&amp;960,m_end,"&gt;"&amp;900))))))</f>
        <v/>
      </c>
      <c r="AB77" s="82" t="str">
        <f aca="false">IF(OR(AB$4="",MONTH(($G$2+13))&lt;&gt;MONTH($C$2)),"",IF(COUNTIFS(m_teacher,AB$4,m_date,($G$2+13),m_active,1,m_start,"&lt;"&amp;960,m_end,"&gt;"&amp;900)=0,"",IF(COUNTIFS(m_teacher,AB$4,m_date,($G$2+13),m_active,1,m_start,"&lt;"&amp;960,m_end,"&gt;"&amp;900)&gt;1,"충돌",HYPERLINK("#'관리자_MASTER'!D"&amp;_xlfn.MAXIFS(m_row,m_teacher,AB$4,m_date,($G$2+13),m_active,1,m_start,"&lt;"&amp;960,m_end,"&gt;"&amp;900),INDEX(m_label,_xlfn.MAXIFS(m_row,m_teacher,AB$4,m_date,($G$2+13),m_active,1,m_start,"&lt;"&amp;960,m_end,"&gt;"&amp;900))))))</f>
        <v/>
      </c>
      <c r="AC77" s="92"/>
      <c r="AD77" s="79" t="s">
        <v>97</v>
      </c>
      <c r="AE77" s="82" t="str">
        <f aca="false">IF(OR(AE$4="",MONTH(($G$2+20))&lt;&gt;MONTH($C$2)),"",IF(COUNTIFS(m_teacher,AE$4,m_date,($G$2+20),m_active,1,m_start,"&lt;"&amp;960,m_end,"&gt;"&amp;900)=0,"",IF(COUNTIFS(m_teacher,AE$4,m_date,($G$2+20),m_active,1,m_start,"&lt;"&amp;960,m_end,"&gt;"&amp;900)&gt;1,"충돌",HYPERLINK("#'관리자_MASTER'!D"&amp;_xlfn.MAXIFS(m_row,m_teacher,AE$4,m_date,($G$2+20),m_active,1,m_start,"&lt;"&amp;960,m_end,"&gt;"&amp;900),INDEX(m_label,_xlfn.MAXIFS(m_row,m_teacher,AE$4,m_date,($G$2+20),m_active,1,m_start,"&lt;"&amp;960,m_end,"&gt;"&amp;900))))))</f>
        <v/>
      </c>
      <c r="AF77" s="82" t="str">
        <f aca="false">IF(OR(AF$4="",MONTH(($G$2+20))&lt;&gt;MONTH($C$2)),"",IF(COUNTIFS(m_teacher,AF$4,m_date,($G$2+20),m_active,1,m_start,"&lt;"&amp;960,m_end,"&gt;"&amp;900)=0,"",IF(COUNTIFS(m_teacher,AF$4,m_date,($G$2+20),m_active,1,m_start,"&lt;"&amp;960,m_end,"&gt;"&amp;900)&gt;1,"충돌",HYPERLINK("#'관리자_MASTER'!D"&amp;_xlfn.MAXIFS(m_row,m_teacher,AF$4,m_date,($G$2+20),m_active,1,m_start,"&lt;"&amp;960,m_end,"&gt;"&amp;900),INDEX(m_label,_xlfn.MAXIFS(m_row,m_teacher,AF$4,m_date,($G$2+20),m_active,1,m_start,"&lt;"&amp;960,m_end,"&gt;"&amp;900))))))</f>
        <v/>
      </c>
      <c r="AG77" s="82" t="str">
        <f aca="false">IF(OR(AG$4="",MONTH(($G$2+20))&lt;&gt;MONTH($C$2)),"",IF(COUNTIFS(m_teacher,AG$4,m_date,($G$2+20),m_active,1,m_start,"&lt;"&amp;960,m_end,"&gt;"&amp;900)=0,"",IF(COUNTIFS(m_teacher,AG$4,m_date,($G$2+20),m_active,1,m_start,"&lt;"&amp;960,m_end,"&gt;"&amp;900)&gt;1,"충돌",HYPERLINK("#'관리자_MASTER'!D"&amp;_xlfn.MAXIFS(m_row,m_teacher,AG$4,m_date,($G$2+20),m_active,1,m_start,"&lt;"&amp;960,m_end,"&gt;"&amp;900),INDEX(m_label,_xlfn.MAXIFS(m_row,m_teacher,AG$4,m_date,($G$2+20),m_active,1,m_start,"&lt;"&amp;960,m_end,"&gt;"&amp;900))))))</f>
        <v/>
      </c>
      <c r="AH77" s="82" t="str">
        <f aca="false">IF(OR(AH$4="",MONTH(($G$2+20))&lt;&gt;MONTH($C$2)),"",IF(COUNTIFS(m_teacher,AH$4,m_date,($G$2+20),m_active,1,m_start,"&lt;"&amp;960,m_end,"&gt;"&amp;900)=0,"",IF(COUNTIFS(m_teacher,AH$4,m_date,($G$2+20),m_active,1,m_start,"&lt;"&amp;960,m_end,"&gt;"&amp;900)&gt;1,"충돌",HYPERLINK("#'관리자_MASTER'!D"&amp;_xlfn.MAXIFS(m_row,m_teacher,AH$4,m_date,($G$2+20),m_active,1,m_start,"&lt;"&amp;960,m_end,"&gt;"&amp;900),INDEX(m_label,_xlfn.MAXIFS(m_row,m_teacher,AH$4,m_date,($G$2+20),m_active,1,m_start,"&lt;"&amp;960,m_end,"&gt;"&amp;900))))))</f>
        <v/>
      </c>
      <c r="AI77" s="82" t="str">
        <f aca="false">IF(OR(AI$4="",MONTH(($G$2+20))&lt;&gt;MONTH($C$2)),"",IF(COUNTIFS(m_teacher,AI$4,m_date,($G$2+20),m_active,1,m_start,"&lt;"&amp;960,m_end,"&gt;"&amp;900)=0,"",IF(COUNTIFS(m_teacher,AI$4,m_date,($G$2+20),m_active,1,m_start,"&lt;"&amp;960,m_end,"&gt;"&amp;900)&gt;1,"충돌",HYPERLINK("#'관리자_MASTER'!D"&amp;_xlfn.MAXIFS(m_row,m_teacher,AI$4,m_date,($G$2+20),m_active,1,m_start,"&lt;"&amp;960,m_end,"&gt;"&amp;900),INDEX(m_label,_xlfn.MAXIFS(m_row,m_teacher,AI$4,m_date,($G$2+20),m_active,1,m_start,"&lt;"&amp;960,m_end,"&gt;"&amp;900))))))</f>
        <v/>
      </c>
      <c r="AJ77" s="82" t="str">
        <f aca="false">IF(OR(AJ$4="",MONTH(($G$2+20))&lt;&gt;MONTH($C$2)),"",IF(COUNTIFS(m_teacher,AJ$4,m_date,($G$2+20),m_active,1,m_start,"&lt;"&amp;960,m_end,"&gt;"&amp;900)=0,"",IF(COUNTIFS(m_teacher,AJ$4,m_date,($G$2+20),m_active,1,m_start,"&lt;"&amp;960,m_end,"&gt;"&amp;900)&gt;1,"충돌",HYPERLINK("#'관리자_MASTER'!D"&amp;_xlfn.MAXIFS(m_row,m_teacher,AJ$4,m_date,($G$2+20),m_active,1,m_start,"&lt;"&amp;960,m_end,"&gt;"&amp;900),INDEX(m_label,_xlfn.MAXIFS(m_row,m_teacher,AJ$4,m_date,($G$2+20),m_active,1,m_start,"&lt;"&amp;960,m_end,"&gt;"&amp;900))))))</f>
        <v/>
      </c>
      <c r="AK77" s="82" t="str">
        <f aca="false">IF(OR(AK$4="",MONTH(($G$2+20))&lt;&gt;MONTH($C$2)),"",IF(COUNTIFS(m_teacher,AK$4,m_date,($G$2+20),m_active,1,m_start,"&lt;"&amp;960,m_end,"&gt;"&amp;900)=0,"",IF(COUNTIFS(m_teacher,AK$4,m_date,($G$2+20),m_active,1,m_start,"&lt;"&amp;960,m_end,"&gt;"&amp;900)&gt;1,"충돌",HYPERLINK("#'관리자_MASTER'!D"&amp;_xlfn.MAXIFS(m_row,m_teacher,AK$4,m_date,($G$2+20),m_active,1,m_start,"&lt;"&amp;960,m_end,"&gt;"&amp;900),INDEX(m_label,_xlfn.MAXIFS(m_row,m_teacher,AK$4,m_date,($G$2+20),m_active,1,m_start,"&lt;"&amp;960,m_end,"&gt;"&amp;900))))))</f>
        <v/>
      </c>
      <c r="AL77" s="82" t="str">
        <f aca="false">IF(OR(AL$4="",MONTH(($G$2+20))&lt;&gt;MONTH($C$2)),"",IF(COUNTIFS(m_teacher,AL$4,m_date,($G$2+20),m_active,1,m_start,"&lt;"&amp;960,m_end,"&gt;"&amp;900)=0,"",IF(COUNTIFS(m_teacher,AL$4,m_date,($G$2+20),m_active,1,m_start,"&lt;"&amp;960,m_end,"&gt;"&amp;900)&gt;1,"충돌",HYPERLINK("#'관리자_MASTER'!D"&amp;_xlfn.MAXIFS(m_row,m_teacher,AL$4,m_date,($G$2+20),m_active,1,m_start,"&lt;"&amp;960,m_end,"&gt;"&amp;900),INDEX(m_label,_xlfn.MAXIFS(m_row,m_teacher,AL$4,m_date,($G$2+20),m_active,1,m_start,"&lt;"&amp;960,m_end,"&gt;"&amp;900))))))</f>
        <v/>
      </c>
      <c r="AM77" s="82" t="str">
        <f aca="false">IF(OR(AM$4="",MONTH(($G$2+20))&lt;&gt;MONTH($C$2)),"",IF(COUNTIFS(m_teacher,AM$4,m_date,($G$2+20),m_active,1,m_start,"&lt;"&amp;960,m_end,"&gt;"&amp;900)=0,"",IF(COUNTIFS(m_teacher,AM$4,m_date,($G$2+20),m_active,1,m_start,"&lt;"&amp;960,m_end,"&gt;"&amp;900)&gt;1,"충돌",HYPERLINK("#'관리자_MASTER'!D"&amp;_xlfn.MAXIFS(m_row,m_teacher,AM$4,m_date,($G$2+20),m_active,1,m_start,"&lt;"&amp;960,m_end,"&gt;"&amp;900),INDEX(m_label,_xlfn.MAXIFS(m_row,m_teacher,AM$4,m_date,($G$2+20),m_active,1,m_start,"&lt;"&amp;960,m_end,"&gt;"&amp;900))))))</f>
        <v/>
      </c>
      <c r="AN77" s="82" t="str">
        <f aca="false">IF(OR(AN$4="",MONTH(($G$2+20))&lt;&gt;MONTH($C$2)),"",IF(COUNTIFS(m_teacher,AN$4,m_date,($G$2+20),m_active,1,m_start,"&lt;"&amp;960,m_end,"&gt;"&amp;900)=0,"",IF(COUNTIFS(m_teacher,AN$4,m_date,($G$2+20),m_active,1,m_start,"&lt;"&amp;960,m_end,"&gt;"&amp;900)&gt;1,"충돌",HYPERLINK("#'관리자_MASTER'!D"&amp;_xlfn.MAXIFS(m_row,m_teacher,AN$4,m_date,($G$2+20),m_active,1,m_start,"&lt;"&amp;960,m_end,"&gt;"&amp;900),INDEX(m_label,_xlfn.MAXIFS(m_row,m_teacher,AN$4,m_date,($G$2+20),m_active,1,m_start,"&lt;"&amp;960,m_end,"&gt;"&amp;900))))))</f>
        <v/>
      </c>
      <c r="AO77" s="82" t="str">
        <f aca="false">IF(OR(AO$4="",MONTH(($G$2+20))&lt;&gt;MONTH($C$2)),"",IF(COUNTIFS(m_teacher,AO$4,m_date,($G$2+20),m_active,1,m_start,"&lt;"&amp;960,m_end,"&gt;"&amp;900)=0,"",IF(COUNTIFS(m_teacher,AO$4,m_date,($G$2+20),m_active,1,m_start,"&lt;"&amp;960,m_end,"&gt;"&amp;900)&gt;1,"충돌",HYPERLINK("#'관리자_MASTER'!D"&amp;_xlfn.MAXIFS(m_row,m_teacher,AO$4,m_date,($G$2+20),m_active,1,m_start,"&lt;"&amp;960,m_end,"&gt;"&amp;900),INDEX(m_label,_xlfn.MAXIFS(m_row,m_teacher,AO$4,m_date,($G$2+20),m_active,1,m_start,"&lt;"&amp;960,m_end,"&gt;"&amp;900))))))</f>
        <v/>
      </c>
      <c r="AP77" s="82" t="str">
        <f aca="false">IF(OR(AP$4="",MONTH(($G$2+20))&lt;&gt;MONTH($C$2)),"",IF(COUNTIFS(m_teacher,AP$4,m_date,($G$2+20),m_active,1,m_start,"&lt;"&amp;960,m_end,"&gt;"&amp;900)=0,"",IF(COUNTIFS(m_teacher,AP$4,m_date,($G$2+20),m_active,1,m_start,"&lt;"&amp;960,m_end,"&gt;"&amp;900)&gt;1,"충돌",HYPERLINK("#'관리자_MASTER'!D"&amp;_xlfn.MAXIFS(m_row,m_teacher,AP$4,m_date,($G$2+20),m_active,1,m_start,"&lt;"&amp;960,m_end,"&gt;"&amp;900),INDEX(m_label,_xlfn.MAXIFS(m_row,m_teacher,AP$4,m_date,($G$2+20),m_active,1,m_start,"&lt;"&amp;960,m_end,"&gt;"&amp;900))))))</f>
        <v/>
      </c>
      <c r="AQ77" s="92"/>
      <c r="AR77" s="79" t="s">
        <v>97</v>
      </c>
      <c r="AS77" s="82" t="str">
        <f aca="false">IF(OR(AS$4="",MONTH(($G$2+27))&lt;&gt;MONTH($C$2)),"",IF(COUNTIFS(m_teacher,AS$4,m_date,($G$2+27),m_active,1,m_start,"&lt;"&amp;960,m_end,"&gt;"&amp;900)=0,"",IF(COUNTIFS(m_teacher,AS$4,m_date,($G$2+27),m_active,1,m_start,"&lt;"&amp;960,m_end,"&gt;"&amp;900)&gt;1,"충돌",HYPERLINK("#'관리자_MASTER'!D"&amp;_xlfn.MAXIFS(m_row,m_teacher,AS$4,m_date,($G$2+27),m_active,1,m_start,"&lt;"&amp;960,m_end,"&gt;"&amp;900),INDEX(m_label,_xlfn.MAXIFS(m_row,m_teacher,AS$4,m_date,($G$2+27),m_active,1,m_start,"&lt;"&amp;960,m_end,"&gt;"&amp;900))))))</f>
        <v/>
      </c>
      <c r="AT77" s="82" t="str">
        <f aca="false">IF(OR(AT$4="",MONTH(($G$2+27))&lt;&gt;MONTH($C$2)),"",IF(COUNTIFS(m_teacher,AT$4,m_date,($G$2+27),m_active,1,m_start,"&lt;"&amp;960,m_end,"&gt;"&amp;900)=0,"",IF(COUNTIFS(m_teacher,AT$4,m_date,($G$2+27),m_active,1,m_start,"&lt;"&amp;960,m_end,"&gt;"&amp;900)&gt;1,"충돌",HYPERLINK("#'관리자_MASTER'!D"&amp;_xlfn.MAXIFS(m_row,m_teacher,AT$4,m_date,($G$2+27),m_active,1,m_start,"&lt;"&amp;960,m_end,"&gt;"&amp;900),INDEX(m_label,_xlfn.MAXIFS(m_row,m_teacher,AT$4,m_date,($G$2+27),m_active,1,m_start,"&lt;"&amp;960,m_end,"&gt;"&amp;900))))))</f>
        <v/>
      </c>
      <c r="AU77" s="82" t="str">
        <f aca="false">IF(OR(AU$4="",MONTH(($G$2+27))&lt;&gt;MONTH($C$2)),"",IF(COUNTIFS(m_teacher,AU$4,m_date,($G$2+27),m_active,1,m_start,"&lt;"&amp;960,m_end,"&gt;"&amp;900)=0,"",IF(COUNTIFS(m_teacher,AU$4,m_date,($G$2+27),m_active,1,m_start,"&lt;"&amp;960,m_end,"&gt;"&amp;900)&gt;1,"충돌",HYPERLINK("#'관리자_MASTER'!D"&amp;_xlfn.MAXIFS(m_row,m_teacher,AU$4,m_date,($G$2+27),m_active,1,m_start,"&lt;"&amp;960,m_end,"&gt;"&amp;900),INDEX(m_label,_xlfn.MAXIFS(m_row,m_teacher,AU$4,m_date,($G$2+27),m_active,1,m_start,"&lt;"&amp;960,m_end,"&gt;"&amp;900))))))</f>
        <v/>
      </c>
      <c r="AV77" s="82" t="str">
        <f aca="false">IF(OR(AV$4="",MONTH(($G$2+27))&lt;&gt;MONTH($C$2)),"",IF(COUNTIFS(m_teacher,AV$4,m_date,($G$2+27),m_active,1,m_start,"&lt;"&amp;960,m_end,"&gt;"&amp;900)=0,"",IF(COUNTIFS(m_teacher,AV$4,m_date,($G$2+27),m_active,1,m_start,"&lt;"&amp;960,m_end,"&gt;"&amp;900)&gt;1,"충돌",HYPERLINK("#'관리자_MASTER'!D"&amp;_xlfn.MAXIFS(m_row,m_teacher,AV$4,m_date,($G$2+27),m_active,1,m_start,"&lt;"&amp;960,m_end,"&gt;"&amp;900),INDEX(m_label,_xlfn.MAXIFS(m_row,m_teacher,AV$4,m_date,($G$2+27),m_active,1,m_start,"&lt;"&amp;960,m_end,"&gt;"&amp;900))))))</f>
        <v/>
      </c>
      <c r="AW77" s="82" t="str">
        <f aca="false">IF(OR(AW$4="",MONTH(($G$2+27))&lt;&gt;MONTH($C$2)),"",IF(COUNTIFS(m_teacher,AW$4,m_date,($G$2+27),m_active,1,m_start,"&lt;"&amp;960,m_end,"&gt;"&amp;900)=0,"",IF(COUNTIFS(m_teacher,AW$4,m_date,($G$2+27),m_active,1,m_start,"&lt;"&amp;960,m_end,"&gt;"&amp;900)&gt;1,"충돌",HYPERLINK("#'관리자_MASTER'!D"&amp;_xlfn.MAXIFS(m_row,m_teacher,AW$4,m_date,($G$2+27),m_active,1,m_start,"&lt;"&amp;960,m_end,"&gt;"&amp;900),INDEX(m_label,_xlfn.MAXIFS(m_row,m_teacher,AW$4,m_date,($G$2+27),m_active,1,m_start,"&lt;"&amp;960,m_end,"&gt;"&amp;900))))))</f>
        <v/>
      </c>
      <c r="AX77" s="82" t="str">
        <f aca="false">IF(OR(AX$4="",MONTH(($G$2+27))&lt;&gt;MONTH($C$2)),"",IF(COUNTIFS(m_teacher,AX$4,m_date,($G$2+27),m_active,1,m_start,"&lt;"&amp;960,m_end,"&gt;"&amp;900)=0,"",IF(COUNTIFS(m_teacher,AX$4,m_date,($G$2+27),m_active,1,m_start,"&lt;"&amp;960,m_end,"&gt;"&amp;900)&gt;1,"충돌",HYPERLINK("#'관리자_MASTER'!D"&amp;_xlfn.MAXIFS(m_row,m_teacher,AX$4,m_date,($G$2+27),m_active,1,m_start,"&lt;"&amp;960,m_end,"&gt;"&amp;900),INDEX(m_label,_xlfn.MAXIFS(m_row,m_teacher,AX$4,m_date,($G$2+27),m_active,1,m_start,"&lt;"&amp;960,m_end,"&gt;"&amp;900))))))</f>
        <v/>
      </c>
      <c r="AY77" s="82" t="str">
        <f aca="false">IF(OR(AY$4="",MONTH(($G$2+27))&lt;&gt;MONTH($C$2)),"",IF(COUNTIFS(m_teacher,AY$4,m_date,($G$2+27),m_active,1,m_start,"&lt;"&amp;960,m_end,"&gt;"&amp;900)=0,"",IF(COUNTIFS(m_teacher,AY$4,m_date,($G$2+27),m_active,1,m_start,"&lt;"&amp;960,m_end,"&gt;"&amp;900)&gt;1,"충돌",HYPERLINK("#'관리자_MASTER'!D"&amp;_xlfn.MAXIFS(m_row,m_teacher,AY$4,m_date,($G$2+27),m_active,1,m_start,"&lt;"&amp;960,m_end,"&gt;"&amp;900),INDEX(m_label,_xlfn.MAXIFS(m_row,m_teacher,AY$4,m_date,($G$2+27),m_active,1,m_start,"&lt;"&amp;960,m_end,"&gt;"&amp;900))))))</f>
        <v/>
      </c>
      <c r="AZ77" s="82" t="str">
        <f aca="false">IF(OR(AZ$4="",MONTH(($G$2+27))&lt;&gt;MONTH($C$2)),"",IF(COUNTIFS(m_teacher,AZ$4,m_date,($G$2+27),m_active,1,m_start,"&lt;"&amp;960,m_end,"&gt;"&amp;900)=0,"",IF(COUNTIFS(m_teacher,AZ$4,m_date,($G$2+27),m_active,1,m_start,"&lt;"&amp;960,m_end,"&gt;"&amp;900)&gt;1,"충돌",HYPERLINK("#'관리자_MASTER'!D"&amp;_xlfn.MAXIFS(m_row,m_teacher,AZ$4,m_date,($G$2+27),m_active,1,m_start,"&lt;"&amp;960,m_end,"&gt;"&amp;900),INDEX(m_label,_xlfn.MAXIFS(m_row,m_teacher,AZ$4,m_date,($G$2+27),m_active,1,m_start,"&lt;"&amp;960,m_end,"&gt;"&amp;900))))))</f>
        <v/>
      </c>
      <c r="BA77" s="82" t="str">
        <f aca="false">IF(OR(BA$4="",MONTH(($G$2+27))&lt;&gt;MONTH($C$2)),"",IF(COUNTIFS(m_teacher,BA$4,m_date,($G$2+27),m_active,1,m_start,"&lt;"&amp;960,m_end,"&gt;"&amp;900)=0,"",IF(COUNTIFS(m_teacher,BA$4,m_date,($G$2+27),m_active,1,m_start,"&lt;"&amp;960,m_end,"&gt;"&amp;900)&gt;1,"충돌",HYPERLINK("#'관리자_MASTER'!D"&amp;_xlfn.MAXIFS(m_row,m_teacher,BA$4,m_date,($G$2+27),m_active,1,m_start,"&lt;"&amp;960,m_end,"&gt;"&amp;900),INDEX(m_label,_xlfn.MAXIFS(m_row,m_teacher,BA$4,m_date,($G$2+27),m_active,1,m_start,"&lt;"&amp;960,m_end,"&gt;"&amp;900))))))</f>
        <v/>
      </c>
      <c r="BB77" s="82" t="str">
        <f aca="false">IF(OR(BB$4="",MONTH(($G$2+27))&lt;&gt;MONTH($C$2)),"",IF(COUNTIFS(m_teacher,BB$4,m_date,($G$2+27),m_active,1,m_start,"&lt;"&amp;960,m_end,"&gt;"&amp;900)=0,"",IF(COUNTIFS(m_teacher,BB$4,m_date,($G$2+27),m_active,1,m_start,"&lt;"&amp;960,m_end,"&gt;"&amp;900)&gt;1,"충돌",HYPERLINK("#'관리자_MASTER'!D"&amp;_xlfn.MAXIFS(m_row,m_teacher,BB$4,m_date,($G$2+27),m_active,1,m_start,"&lt;"&amp;960,m_end,"&gt;"&amp;900),INDEX(m_label,_xlfn.MAXIFS(m_row,m_teacher,BB$4,m_date,($G$2+27),m_active,1,m_start,"&lt;"&amp;960,m_end,"&gt;"&amp;900))))))</f>
        <v/>
      </c>
      <c r="BC77" s="82" t="str">
        <f aca="false">IF(OR(BC$4="",MONTH(($G$2+27))&lt;&gt;MONTH($C$2)),"",IF(COUNTIFS(m_teacher,BC$4,m_date,($G$2+27),m_active,1,m_start,"&lt;"&amp;960,m_end,"&gt;"&amp;900)=0,"",IF(COUNTIFS(m_teacher,BC$4,m_date,($G$2+27),m_active,1,m_start,"&lt;"&amp;960,m_end,"&gt;"&amp;900)&gt;1,"충돌",HYPERLINK("#'관리자_MASTER'!D"&amp;_xlfn.MAXIFS(m_row,m_teacher,BC$4,m_date,($G$2+27),m_active,1,m_start,"&lt;"&amp;960,m_end,"&gt;"&amp;900),INDEX(m_label,_xlfn.MAXIFS(m_row,m_teacher,BC$4,m_date,($G$2+27),m_active,1,m_start,"&lt;"&amp;960,m_end,"&gt;"&amp;900))))))</f>
        <v/>
      </c>
      <c r="BD77" s="82" t="str">
        <f aca="false">IF(OR(BD$4="",MONTH(($G$2+27))&lt;&gt;MONTH($C$2)),"",IF(COUNTIFS(m_teacher,BD$4,m_date,($G$2+27),m_active,1,m_start,"&lt;"&amp;960,m_end,"&gt;"&amp;900)=0,"",IF(COUNTIFS(m_teacher,BD$4,m_date,($G$2+27),m_active,1,m_start,"&lt;"&amp;960,m_end,"&gt;"&amp;900)&gt;1,"충돌",HYPERLINK("#'관리자_MASTER'!D"&amp;_xlfn.MAXIFS(m_row,m_teacher,BD$4,m_date,($G$2+27),m_active,1,m_start,"&lt;"&amp;960,m_end,"&gt;"&amp;900),INDEX(m_label,_xlfn.MAXIFS(m_row,m_teacher,BD$4,m_date,($G$2+27),m_active,1,m_start,"&lt;"&amp;960,m_end,"&gt;"&amp;900))))))</f>
        <v/>
      </c>
      <c r="BE77" s="92"/>
      <c r="BF77" s="79" t="s">
        <v>97</v>
      </c>
      <c r="BG77" s="82" t="str">
        <f aca="false">IF(OR(BG$4="",MONTH(($G$2+34))&lt;&gt;MONTH($C$2)),"",IF(COUNTIFS(m_teacher,BG$4,m_date,($G$2+34),m_active,1,m_start,"&lt;"&amp;960,m_end,"&gt;"&amp;900)=0,"",IF(COUNTIFS(m_teacher,BG$4,m_date,($G$2+34),m_active,1,m_start,"&lt;"&amp;960,m_end,"&gt;"&amp;900)&gt;1,"충돌",HYPERLINK("#'관리자_MASTER'!D"&amp;_xlfn.MAXIFS(m_row,m_teacher,BG$4,m_date,($G$2+34),m_active,1,m_start,"&lt;"&amp;960,m_end,"&gt;"&amp;900),INDEX(m_label,_xlfn.MAXIFS(m_row,m_teacher,BG$4,m_date,($G$2+34),m_active,1,m_start,"&lt;"&amp;960,m_end,"&gt;"&amp;900))))))</f>
        <v/>
      </c>
      <c r="BH77" s="82" t="str">
        <f aca="false">IF(OR(BH$4="",MONTH(($G$2+34))&lt;&gt;MONTH($C$2)),"",IF(COUNTIFS(m_teacher,BH$4,m_date,($G$2+34),m_active,1,m_start,"&lt;"&amp;960,m_end,"&gt;"&amp;900)=0,"",IF(COUNTIFS(m_teacher,BH$4,m_date,($G$2+34),m_active,1,m_start,"&lt;"&amp;960,m_end,"&gt;"&amp;900)&gt;1,"충돌",HYPERLINK("#'관리자_MASTER'!D"&amp;_xlfn.MAXIFS(m_row,m_teacher,BH$4,m_date,($G$2+34),m_active,1,m_start,"&lt;"&amp;960,m_end,"&gt;"&amp;900),INDEX(m_label,_xlfn.MAXIFS(m_row,m_teacher,BH$4,m_date,($G$2+34),m_active,1,m_start,"&lt;"&amp;960,m_end,"&gt;"&amp;900))))))</f>
        <v/>
      </c>
      <c r="BI77" s="82" t="str">
        <f aca="false">IF(OR(BI$4="",MONTH(($G$2+34))&lt;&gt;MONTH($C$2)),"",IF(COUNTIFS(m_teacher,BI$4,m_date,($G$2+34),m_active,1,m_start,"&lt;"&amp;960,m_end,"&gt;"&amp;900)=0,"",IF(COUNTIFS(m_teacher,BI$4,m_date,($G$2+34),m_active,1,m_start,"&lt;"&amp;960,m_end,"&gt;"&amp;900)&gt;1,"충돌",HYPERLINK("#'관리자_MASTER'!D"&amp;_xlfn.MAXIFS(m_row,m_teacher,BI$4,m_date,($G$2+34),m_active,1,m_start,"&lt;"&amp;960,m_end,"&gt;"&amp;900),INDEX(m_label,_xlfn.MAXIFS(m_row,m_teacher,BI$4,m_date,($G$2+34),m_active,1,m_start,"&lt;"&amp;960,m_end,"&gt;"&amp;900))))))</f>
        <v/>
      </c>
      <c r="BJ77" s="82" t="str">
        <f aca="false">IF(OR(BJ$4="",MONTH(($G$2+34))&lt;&gt;MONTH($C$2)),"",IF(COUNTIFS(m_teacher,BJ$4,m_date,($G$2+34),m_active,1,m_start,"&lt;"&amp;960,m_end,"&gt;"&amp;900)=0,"",IF(COUNTIFS(m_teacher,BJ$4,m_date,($G$2+34),m_active,1,m_start,"&lt;"&amp;960,m_end,"&gt;"&amp;900)&gt;1,"충돌",HYPERLINK("#'관리자_MASTER'!D"&amp;_xlfn.MAXIFS(m_row,m_teacher,BJ$4,m_date,($G$2+34),m_active,1,m_start,"&lt;"&amp;960,m_end,"&gt;"&amp;900),INDEX(m_label,_xlfn.MAXIFS(m_row,m_teacher,BJ$4,m_date,($G$2+34),m_active,1,m_start,"&lt;"&amp;960,m_end,"&gt;"&amp;900))))))</f>
        <v/>
      </c>
      <c r="BK77" s="82" t="str">
        <f aca="false">IF(OR(BK$4="",MONTH(($G$2+34))&lt;&gt;MONTH($C$2)),"",IF(COUNTIFS(m_teacher,BK$4,m_date,($G$2+34),m_active,1,m_start,"&lt;"&amp;960,m_end,"&gt;"&amp;900)=0,"",IF(COUNTIFS(m_teacher,BK$4,m_date,($G$2+34),m_active,1,m_start,"&lt;"&amp;960,m_end,"&gt;"&amp;900)&gt;1,"충돌",HYPERLINK("#'관리자_MASTER'!D"&amp;_xlfn.MAXIFS(m_row,m_teacher,BK$4,m_date,($G$2+34),m_active,1,m_start,"&lt;"&amp;960,m_end,"&gt;"&amp;900),INDEX(m_label,_xlfn.MAXIFS(m_row,m_teacher,BK$4,m_date,($G$2+34),m_active,1,m_start,"&lt;"&amp;960,m_end,"&gt;"&amp;900))))))</f>
        <v/>
      </c>
      <c r="BL77" s="82" t="str">
        <f aca="false">IF(OR(BL$4="",MONTH(($G$2+34))&lt;&gt;MONTH($C$2)),"",IF(COUNTIFS(m_teacher,BL$4,m_date,($G$2+34),m_active,1,m_start,"&lt;"&amp;960,m_end,"&gt;"&amp;900)=0,"",IF(COUNTIFS(m_teacher,BL$4,m_date,($G$2+34),m_active,1,m_start,"&lt;"&amp;960,m_end,"&gt;"&amp;900)&gt;1,"충돌",HYPERLINK("#'관리자_MASTER'!D"&amp;_xlfn.MAXIFS(m_row,m_teacher,BL$4,m_date,($G$2+34),m_active,1,m_start,"&lt;"&amp;960,m_end,"&gt;"&amp;900),INDEX(m_label,_xlfn.MAXIFS(m_row,m_teacher,BL$4,m_date,($G$2+34),m_active,1,m_start,"&lt;"&amp;960,m_end,"&gt;"&amp;900))))))</f>
        <v/>
      </c>
      <c r="BM77" s="82" t="str">
        <f aca="false">IF(OR(BM$4="",MONTH(($G$2+34))&lt;&gt;MONTH($C$2)),"",IF(COUNTIFS(m_teacher,BM$4,m_date,($G$2+34),m_active,1,m_start,"&lt;"&amp;960,m_end,"&gt;"&amp;900)=0,"",IF(COUNTIFS(m_teacher,BM$4,m_date,($G$2+34),m_active,1,m_start,"&lt;"&amp;960,m_end,"&gt;"&amp;900)&gt;1,"충돌",HYPERLINK("#'관리자_MASTER'!D"&amp;_xlfn.MAXIFS(m_row,m_teacher,BM$4,m_date,($G$2+34),m_active,1,m_start,"&lt;"&amp;960,m_end,"&gt;"&amp;900),INDEX(m_label,_xlfn.MAXIFS(m_row,m_teacher,BM$4,m_date,($G$2+34),m_active,1,m_start,"&lt;"&amp;960,m_end,"&gt;"&amp;900))))))</f>
        <v/>
      </c>
      <c r="BN77" s="82" t="str">
        <f aca="false">IF(OR(BN$4="",MONTH(($G$2+34))&lt;&gt;MONTH($C$2)),"",IF(COUNTIFS(m_teacher,BN$4,m_date,($G$2+34),m_active,1,m_start,"&lt;"&amp;960,m_end,"&gt;"&amp;900)=0,"",IF(COUNTIFS(m_teacher,BN$4,m_date,($G$2+34),m_active,1,m_start,"&lt;"&amp;960,m_end,"&gt;"&amp;900)&gt;1,"충돌",HYPERLINK("#'관리자_MASTER'!D"&amp;_xlfn.MAXIFS(m_row,m_teacher,BN$4,m_date,($G$2+34),m_active,1,m_start,"&lt;"&amp;960,m_end,"&gt;"&amp;900),INDEX(m_label,_xlfn.MAXIFS(m_row,m_teacher,BN$4,m_date,($G$2+34),m_active,1,m_start,"&lt;"&amp;960,m_end,"&gt;"&amp;900))))))</f>
        <v/>
      </c>
      <c r="BO77" s="82" t="str">
        <f aca="false">IF(OR(BO$4="",MONTH(($G$2+34))&lt;&gt;MONTH($C$2)),"",IF(COUNTIFS(m_teacher,BO$4,m_date,($G$2+34),m_active,1,m_start,"&lt;"&amp;960,m_end,"&gt;"&amp;900)=0,"",IF(COUNTIFS(m_teacher,BO$4,m_date,($G$2+34),m_active,1,m_start,"&lt;"&amp;960,m_end,"&gt;"&amp;900)&gt;1,"충돌",HYPERLINK("#'관리자_MASTER'!D"&amp;_xlfn.MAXIFS(m_row,m_teacher,BO$4,m_date,($G$2+34),m_active,1,m_start,"&lt;"&amp;960,m_end,"&gt;"&amp;900),INDEX(m_label,_xlfn.MAXIFS(m_row,m_teacher,BO$4,m_date,($G$2+34),m_active,1,m_start,"&lt;"&amp;960,m_end,"&gt;"&amp;900))))))</f>
        <v/>
      </c>
      <c r="BP77" s="82" t="str">
        <f aca="false">IF(OR(BP$4="",MONTH(($G$2+34))&lt;&gt;MONTH($C$2)),"",IF(COUNTIFS(m_teacher,BP$4,m_date,($G$2+34),m_active,1,m_start,"&lt;"&amp;960,m_end,"&gt;"&amp;900)=0,"",IF(COUNTIFS(m_teacher,BP$4,m_date,($G$2+34),m_active,1,m_start,"&lt;"&amp;960,m_end,"&gt;"&amp;900)&gt;1,"충돌",HYPERLINK("#'관리자_MASTER'!D"&amp;_xlfn.MAXIFS(m_row,m_teacher,BP$4,m_date,($G$2+34),m_active,1,m_start,"&lt;"&amp;960,m_end,"&gt;"&amp;900),INDEX(m_label,_xlfn.MAXIFS(m_row,m_teacher,BP$4,m_date,($G$2+34),m_active,1,m_start,"&lt;"&amp;960,m_end,"&gt;"&amp;900))))))</f>
        <v/>
      </c>
      <c r="BQ77" s="82" t="str">
        <f aca="false">IF(OR(BQ$4="",MONTH(($G$2+34))&lt;&gt;MONTH($C$2)),"",IF(COUNTIFS(m_teacher,BQ$4,m_date,($G$2+34),m_active,1,m_start,"&lt;"&amp;960,m_end,"&gt;"&amp;900)=0,"",IF(COUNTIFS(m_teacher,BQ$4,m_date,($G$2+34),m_active,1,m_start,"&lt;"&amp;960,m_end,"&gt;"&amp;900)&gt;1,"충돌",HYPERLINK("#'관리자_MASTER'!D"&amp;_xlfn.MAXIFS(m_row,m_teacher,BQ$4,m_date,($G$2+34),m_active,1,m_start,"&lt;"&amp;960,m_end,"&gt;"&amp;900),INDEX(m_label,_xlfn.MAXIFS(m_row,m_teacher,BQ$4,m_date,($G$2+34),m_active,1,m_start,"&lt;"&amp;960,m_end,"&gt;"&amp;900))))))</f>
        <v/>
      </c>
      <c r="BR77" s="82" t="str">
        <f aca="false">IF(OR(BR$4="",MONTH(($G$2+34))&lt;&gt;MONTH($C$2)),"",IF(COUNTIFS(m_teacher,BR$4,m_date,($G$2+34),m_active,1,m_start,"&lt;"&amp;960,m_end,"&gt;"&amp;900)=0,"",IF(COUNTIFS(m_teacher,BR$4,m_date,($G$2+34),m_active,1,m_start,"&lt;"&amp;960,m_end,"&gt;"&amp;900)&gt;1,"충돌",HYPERLINK("#'관리자_MASTER'!D"&amp;_xlfn.MAXIFS(m_row,m_teacher,BR$4,m_date,($G$2+34),m_active,1,m_start,"&lt;"&amp;960,m_end,"&gt;"&amp;900),INDEX(m_label,_xlfn.MAXIFS(m_row,m_teacher,BR$4,m_date,($G$2+34),m_active,1,m_start,"&lt;"&amp;960,m_end,"&gt;"&amp;900))))))</f>
        <v/>
      </c>
    </row>
    <row r="78" customFormat="false" ht="19.5" hidden="false" customHeight="true" outlineLevel="0" collapsed="false">
      <c r="A78" s="92"/>
      <c r="B78" s="79" t="s">
        <v>98</v>
      </c>
      <c r="C78" s="82" t="str">
        <f aca="false">IF(OR(C$4="",MONTH(($G$2+6))&lt;&gt;MONTH($C$2)),"",IF(COUNTIFS(m_teacher,C$4,m_date,($G$2+6),m_active,1,m_start,"&lt;"&amp;1020,m_end,"&gt;"&amp;960)=0,"",IF(COUNTIFS(m_teacher,C$4,m_date,($G$2+6),m_active,1,m_start,"&lt;"&amp;1020,m_end,"&gt;"&amp;960)&gt;1,"충돌",HYPERLINK("#'관리자_MASTER'!D"&amp;_xlfn.MAXIFS(m_row,m_teacher,C$4,m_date,($G$2+6),m_active,1,m_start,"&lt;"&amp;1020,m_end,"&gt;"&amp;960),INDEX(m_label,_xlfn.MAXIFS(m_row,m_teacher,C$4,m_date,($G$2+6),m_active,1,m_start,"&lt;"&amp;1020,m_end,"&gt;"&amp;960))))))</f>
        <v/>
      </c>
      <c r="D78" s="82" t="str">
        <f aca="false">IF(OR(D$4="",MONTH(($G$2+6))&lt;&gt;MONTH($C$2)),"",IF(COUNTIFS(m_teacher,D$4,m_date,($G$2+6),m_active,1,m_start,"&lt;"&amp;1020,m_end,"&gt;"&amp;960)=0,"",IF(COUNTIFS(m_teacher,D$4,m_date,($G$2+6),m_active,1,m_start,"&lt;"&amp;1020,m_end,"&gt;"&amp;960)&gt;1,"충돌",HYPERLINK("#'관리자_MASTER'!D"&amp;_xlfn.MAXIFS(m_row,m_teacher,D$4,m_date,($G$2+6),m_active,1,m_start,"&lt;"&amp;1020,m_end,"&gt;"&amp;960),INDEX(m_label,_xlfn.MAXIFS(m_row,m_teacher,D$4,m_date,($G$2+6),m_active,1,m_start,"&lt;"&amp;1020,m_end,"&gt;"&amp;960))))))</f>
        <v/>
      </c>
      <c r="E78" s="82" t="str">
        <f aca="false">IF(OR(E$4="",MONTH(($G$2+6))&lt;&gt;MONTH($C$2)),"",IF(COUNTIFS(m_teacher,E$4,m_date,($G$2+6),m_active,1,m_start,"&lt;"&amp;1020,m_end,"&gt;"&amp;960)=0,"",IF(COUNTIFS(m_teacher,E$4,m_date,($G$2+6),m_active,1,m_start,"&lt;"&amp;1020,m_end,"&gt;"&amp;960)&gt;1,"충돌",HYPERLINK("#'관리자_MASTER'!D"&amp;_xlfn.MAXIFS(m_row,m_teacher,E$4,m_date,($G$2+6),m_active,1,m_start,"&lt;"&amp;1020,m_end,"&gt;"&amp;960),INDEX(m_label,_xlfn.MAXIFS(m_row,m_teacher,E$4,m_date,($G$2+6),m_active,1,m_start,"&lt;"&amp;1020,m_end,"&gt;"&amp;960))))))</f>
        <v/>
      </c>
      <c r="F78" s="82" t="str">
        <f aca="false">IF(OR(F$4="",MONTH(($G$2+6))&lt;&gt;MONTH($C$2)),"",IF(COUNTIFS(m_teacher,F$4,m_date,($G$2+6),m_active,1,m_start,"&lt;"&amp;1020,m_end,"&gt;"&amp;960)=0,"",IF(COUNTIFS(m_teacher,F$4,m_date,($G$2+6),m_active,1,m_start,"&lt;"&amp;1020,m_end,"&gt;"&amp;960)&gt;1,"충돌",HYPERLINK("#'관리자_MASTER'!D"&amp;_xlfn.MAXIFS(m_row,m_teacher,F$4,m_date,($G$2+6),m_active,1,m_start,"&lt;"&amp;1020,m_end,"&gt;"&amp;960),INDEX(m_label,_xlfn.MAXIFS(m_row,m_teacher,F$4,m_date,($G$2+6),m_active,1,m_start,"&lt;"&amp;1020,m_end,"&gt;"&amp;960))))))</f>
        <v/>
      </c>
      <c r="G78" s="82" t="str">
        <f aca="false">IF(OR(G$4="",MONTH(($G$2+6))&lt;&gt;MONTH($C$2)),"",IF(COUNTIFS(m_teacher,G$4,m_date,($G$2+6),m_active,1,m_start,"&lt;"&amp;1020,m_end,"&gt;"&amp;960)=0,"",IF(COUNTIFS(m_teacher,G$4,m_date,($G$2+6),m_active,1,m_start,"&lt;"&amp;1020,m_end,"&gt;"&amp;960)&gt;1,"충돌",HYPERLINK("#'관리자_MASTER'!D"&amp;_xlfn.MAXIFS(m_row,m_teacher,G$4,m_date,($G$2+6),m_active,1,m_start,"&lt;"&amp;1020,m_end,"&gt;"&amp;960),INDEX(m_label,_xlfn.MAXIFS(m_row,m_teacher,G$4,m_date,($G$2+6),m_active,1,m_start,"&lt;"&amp;1020,m_end,"&gt;"&amp;960))))))</f>
        <v/>
      </c>
      <c r="H78" s="82" t="str">
        <f aca="false">IF(OR(H$4="",MONTH(($G$2+6))&lt;&gt;MONTH($C$2)),"",IF(COUNTIFS(m_teacher,H$4,m_date,($G$2+6),m_active,1,m_start,"&lt;"&amp;1020,m_end,"&gt;"&amp;960)=0,"",IF(COUNTIFS(m_teacher,H$4,m_date,($G$2+6),m_active,1,m_start,"&lt;"&amp;1020,m_end,"&gt;"&amp;960)&gt;1,"충돌",HYPERLINK("#'관리자_MASTER'!D"&amp;_xlfn.MAXIFS(m_row,m_teacher,H$4,m_date,($G$2+6),m_active,1,m_start,"&lt;"&amp;1020,m_end,"&gt;"&amp;960),INDEX(m_label,_xlfn.MAXIFS(m_row,m_teacher,H$4,m_date,($G$2+6),m_active,1,m_start,"&lt;"&amp;1020,m_end,"&gt;"&amp;960))))))</f>
        <v/>
      </c>
      <c r="I78" s="82" t="str">
        <f aca="false">IF(OR(I$4="",MONTH(($G$2+6))&lt;&gt;MONTH($C$2)),"",IF(COUNTIFS(m_teacher,I$4,m_date,($G$2+6),m_active,1,m_start,"&lt;"&amp;1020,m_end,"&gt;"&amp;960)=0,"",IF(COUNTIFS(m_teacher,I$4,m_date,($G$2+6),m_active,1,m_start,"&lt;"&amp;1020,m_end,"&gt;"&amp;960)&gt;1,"충돌",HYPERLINK("#'관리자_MASTER'!D"&amp;_xlfn.MAXIFS(m_row,m_teacher,I$4,m_date,($G$2+6),m_active,1,m_start,"&lt;"&amp;1020,m_end,"&gt;"&amp;960),INDEX(m_label,_xlfn.MAXIFS(m_row,m_teacher,I$4,m_date,($G$2+6),m_active,1,m_start,"&lt;"&amp;1020,m_end,"&gt;"&amp;960))))))</f>
        <v/>
      </c>
      <c r="J78" s="82" t="str">
        <f aca="false">IF(OR(J$4="",MONTH(($G$2+6))&lt;&gt;MONTH($C$2)),"",IF(COUNTIFS(m_teacher,J$4,m_date,($G$2+6),m_active,1,m_start,"&lt;"&amp;1020,m_end,"&gt;"&amp;960)=0,"",IF(COUNTIFS(m_teacher,J$4,m_date,($G$2+6),m_active,1,m_start,"&lt;"&amp;1020,m_end,"&gt;"&amp;960)&gt;1,"충돌",HYPERLINK("#'관리자_MASTER'!D"&amp;_xlfn.MAXIFS(m_row,m_teacher,J$4,m_date,($G$2+6),m_active,1,m_start,"&lt;"&amp;1020,m_end,"&gt;"&amp;960),INDEX(m_label,_xlfn.MAXIFS(m_row,m_teacher,J$4,m_date,($G$2+6),m_active,1,m_start,"&lt;"&amp;1020,m_end,"&gt;"&amp;960))))))</f>
        <v/>
      </c>
      <c r="K78" s="82" t="str">
        <f aca="false">IF(OR(K$4="",MONTH(($G$2+6))&lt;&gt;MONTH($C$2)),"",IF(COUNTIFS(m_teacher,K$4,m_date,($G$2+6),m_active,1,m_start,"&lt;"&amp;1020,m_end,"&gt;"&amp;960)=0,"",IF(COUNTIFS(m_teacher,K$4,m_date,($G$2+6),m_active,1,m_start,"&lt;"&amp;1020,m_end,"&gt;"&amp;960)&gt;1,"충돌",HYPERLINK("#'관리자_MASTER'!D"&amp;_xlfn.MAXIFS(m_row,m_teacher,K$4,m_date,($G$2+6),m_active,1,m_start,"&lt;"&amp;1020,m_end,"&gt;"&amp;960),INDEX(m_label,_xlfn.MAXIFS(m_row,m_teacher,K$4,m_date,($G$2+6),m_active,1,m_start,"&lt;"&amp;1020,m_end,"&gt;"&amp;960))))))</f>
        <v/>
      </c>
      <c r="L78" s="82" t="str">
        <f aca="false">IF(OR(L$4="",MONTH(($G$2+6))&lt;&gt;MONTH($C$2)),"",IF(COUNTIFS(m_teacher,L$4,m_date,($G$2+6),m_active,1,m_start,"&lt;"&amp;1020,m_end,"&gt;"&amp;960)=0,"",IF(COUNTIFS(m_teacher,L$4,m_date,($G$2+6),m_active,1,m_start,"&lt;"&amp;1020,m_end,"&gt;"&amp;960)&gt;1,"충돌",HYPERLINK("#'관리자_MASTER'!D"&amp;_xlfn.MAXIFS(m_row,m_teacher,L$4,m_date,($G$2+6),m_active,1,m_start,"&lt;"&amp;1020,m_end,"&gt;"&amp;960),INDEX(m_label,_xlfn.MAXIFS(m_row,m_teacher,L$4,m_date,($G$2+6),m_active,1,m_start,"&lt;"&amp;1020,m_end,"&gt;"&amp;960))))))</f>
        <v/>
      </c>
      <c r="M78" s="82" t="str">
        <f aca="false">IF(OR(M$4="",MONTH(($G$2+6))&lt;&gt;MONTH($C$2)),"",IF(COUNTIFS(m_teacher,M$4,m_date,($G$2+6),m_active,1,m_start,"&lt;"&amp;1020,m_end,"&gt;"&amp;960)=0,"",IF(COUNTIFS(m_teacher,M$4,m_date,($G$2+6),m_active,1,m_start,"&lt;"&amp;1020,m_end,"&gt;"&amp;960)&gt;1,"충돌",HYPERLINK("#'관리자_MASTER'!D"&amp;_xlfn.MAXIFS(m_row,m_teacher,M$4,m_date,($G$2+6),m_active,1,m_start,"&lt;"&amp;1020,m_end,"&gt;"&amp;960),INDEX(m_label,_xlfn.MAXIFS(m_row,m_teacher,M$4,m_date,($G$2+6),m_active,1,m_start,"&lt;"&amp;1020,m_end,"&gt;"&amp;960))))))</f>
        <v/>
      </c>
      <c r="N78" s="82" t="str">
        <f aca="false">IF(OR(N$4="",MONTH(($G$2+6))&lt;&gt;MONTH($C$2)),"",IF(COUNTIFS(m_teacher,N$4,m_date,($G$2+6),m_active,1,m_start,"&lt;"&amp;1020,m_end,"&gt;"&amp;960)=0,"",IF(COUNTIFS(m_teacher,N$4,m_date,($G$2+6),m_active,1,m_start,"&lt;"&amp;1020,m_end,"&gt;"&amp;960)&gt;1,"충돌",HYPERLINK("#'관리자_MASTER'!D"&amp;_xlfn.MAXIFS(m_row,m_teacher,N$4,m_date,($G$2+6),m_active,1,m_start,"&lt;"&amp;1020,m_end,"&gt;"&amp;960),INDEX(m_label,_xlfn.MAXIFS(m_row,m_teacher,N$4,m_date,($G$2+6),m_active,1,m_start,"&lt;"&amp;1020,m_end,"&gt;"&amp;960))))))</f>
        <v/>
      </c>
      <c r="O78" s="92"/>
      <c r="P78" s="79" t="s">
        <v>98</v>
      </c>
      <c r="Q78" s="82" t="str">
        <f aca="false">IF(OR(Q$4="",MONTH(($G$2+13))&lt;&gt;MONTH($C$2)),"",IF(COUNTIFS(m_teacher,Q$4,m_date,($G$2+13),m_active,1,m_start,"&lt;"&amp;1020,m_end,"&gt;"&amp;960)=0,"",IF(COUNTIFS(m_teacher,Q$4,m_date,($G$2+13),m_active,1,m_start,"&lt;"&amp;1020,m_end,"&gt;"&amp;960)&gt;1,"충돌",HYPERLINK("#'관리자_MASTER'!D"&amp;_xlfn.MAXIFS(m_row,m_teacher,Q$4,m_date,($G$2+13),m_active,1,m_start,"&lt;"&amp;1020,m_end,"&gt;"&amp;960),INDEX(m_label,_xlfn.MAXIFS(m_row,m_teacher,Q$4,m_date,($G$2+13),m_active,1,m_start,"&lt;"&amp;1020,m_end,"&gt;"&amp;960))))))</f>
        <v/>
      </c>
      <c r="R78" s="82" t="str">
        <f aca="false">IF(OR(R$4="",MONTH(($G$2+13))&lt;&gt;MONTH($C$2)),"",IF(COUNTIFS(m_teacher,R$4,m_date,($G$2+13),m_active,1,m_start,"&lt;"&amp;1020,m_end,"&gt;"&amp;960)=0,"",IF(COUNTIFS(m_teacher,R$4,m_date,($G$2+13),m_active,1,m_start,"&lt;"&amp;1020,m_end,"&gt;"&amp;960)&gt;1,"충돌",HYPERLINK("#'관리자_MASTER'!D"&amp;_xlfn.MAXIFS(m_row,m_teacher,R$4,m_date,($G$2+13),m_active,1,m_start,"&lt;"&amp;1020,m_end,"&gt;"&amp;960),INDEX(m_label,_xlfn.MAXIFS(m_row,m_teacher,R$4,m_date,($G$2+13),m_active,1,m_start,"&lt;"&amp;1020,m_end,"&gt;"&amp;960))))))</f>
        <v/>
      </c>
      <c r="S78" s="82" t="str">
        <f aca="false">IF(OR(S$4="",MONTH(($G$2+13))&lt;&gt;MONTH($C$2)),"",IF(COUNTIFS(m_teacher,S$4,m_date,($G$2+13),m_active,1,m_start,"&lt;"&amp;1020,m_end,"&gt;"&amp;960)=0,"",IF(COUNTIFS(m_teacher,S$4,m_date,($G$2+13),m_active,1,m_start,"&lt;"&amp;1020,m_end,"&gt;"&amp;960)&gt;1,"충돌",HYPERLINK("#'관리자_MASTER'!D"&amp;_xlfn.MAXIFS(m_row,m_teacher,S$4,m_date,($G$2+13),m_active,1,m_start,"&lt;"&amp;1020,m_end,"&gt;"&amp;960),INDEX(m_label,_xlfn.MAXIFS(m_row,m_teacher,S$4,m_date,($G$2+13),m_active,1,m_start,"&lt;"&amp;1020,m_end,"&gt;"&amp;960))))))</f>
        <v/>
      </c>
      <c r="T78" s="82" t="str">
        <f aca="false">IF(OR(T$4="",MONTH(($G$2+13))&lt;&gt;MONTH($C$2)),"",IF(COUNTIFS(m_teacher,T$4,m_date,($G$2+13),m_active,1,m_start,"&lt;"&amp;1020,m_end,"&gt;"&amp;960)=0,"",IF(COUNTIFS(m_teacher,T$4,m_date,($G$2+13),m_active,1,m_start,"&lt;"&amp;1020,m_end,"&gt;"&amp;960)&gt;1,"충돌",HYPERLINK("#'관리자_MASTER'!D"&amp;_xlfn.MAXIFS(m_row,m_teacher,T$4,m_date,($G$2+13),m_active,1,m_start,"&lt;"&amp;1020,m_end,"&gt;"&amp;960),INDEX(m_label,_xlfn.MAXIFS(m_row,m_teacher,T$4,m_date,($G$2+13),m_active,1,m_start,"&lt;"&amp;1020,m_end,"&gt;"&amp;960))))))</f>
        <v/>
      </c>
      <c r="U78" s="82" t="str">
        <f aca="false">IF(OR(U$4="",MONTH(($G$2+13))&lt;&gt;MONTH($C$2)),"",IF(COUNTIFS(m_teacher,U$4,m_date,($G$2+13),m_active,1,m_start,"&lt;"&amp;1020,m_end,"&gt;"&amp;960)=0,"",IF(COUNTIFS(m_teacher,U$4,m_date,($G$2+13),m_active,1,m_start,"&lt;"&amp;1020,m_end,"&gt;"&amp;960)&gt;1,"충돌",HYPERLINK("#'관리자_MASTER'!D"&amp;_xlfn.MAXIFS(m_row,m_teacher,U$4,m_date,($G$2+13),m_active,1,m_start,"&lt;"&amp;1020,m_end,"&gt;"&amp;960),INDEX(m_label,_xlfn.MAXIFS(m_row,m_teacher,U$4,m_date,($G$2+13),m_active,1,m_start,"&lt;"&amp;1020,m_end,"&gt;"&amp;960))))))</f>
        <v/>
      </c>
      <c r="V78" s="82" t="str">
        <f aca="false">IF(OR(V$4="",MONTH(($G$2+13))&lt;&gt;MONTH($C$2)),"",IF(COUNTIFS(m_teacher,V$4,m_date,($G$2+13),m_active,1,m_start,"&lt;"&amp;1020,m_end,"&gt;"&amp;960)=0,"",IF(COUNTIFS(m_teacher,V$4,m_date,($G$2+13),m_active,1,m_start,"&lt;"&amp;1020,m_end,"&gt;"&amp;960)&gt;1,"충돌",HYPERLINK("#'관리자_MASTER'!D"&amp;_xlfn.MAXIFS(m_row,m_teacher,V$4,m_date,($G$2+13),m_active,1,m_start,"&lt;"&amp;1020,m_end,"&gt;"&amp;960),INDEX(m_label,_xlfn.MAXIFS(m_row,m_teacher,V$4,m_date,($G$2+13),m_active,1,m_start,"&lt;"&amp;1020,m_end,"&gt;"&amp;960))))))</f>
        <v/>
      </c>
      <c r="W78" s="82" t="str">
        <f aca="false">IF(OR(W$4="",MONTH(($G$2+13))&lt;&gt;MONTH($C$2)),"",IF(COUNTIFS(m_teacher,W$4,m_date,($G$2+13),m_active,1,m_start,"&lt;"&amp;1020,m_end,"&gt;"&amp;960)=0,"",IF(COUNTIFS(m_teacher,W$4,m_date,($G$2+13),m_active,1,m_start,"&lt;"&amp;1020,m_end,"&gt;"&amp;960)&gt;1,"충돌",HYPERLINK("#'관리자_MASTER'!D"&amp;_xlfn.MAXIFS(m_row,m_teacher,W$4,m_date,($G$2+13),m_active,1,m_start,"&lt;"&amp;1020,m_end,"&gt;"&amp;960),INDEX(m_label,_xlfn.MAXIFS(m_row,m_teacher,W$4,m_date,($G$2+13),m_active,1,m_start,"&lt;"&amp;1020,m_end,"&gt;"&amp;960))))))</f>
        <v/>
      </c>
      <c r="X78" s="82" t="str">
        <f aca="false">IF(OR(X$4="",MONTH(($G$2+13))&lt;&gt;MONTH($C$2)),"",IF(COUNTIFS(m_teacher,X$4,m_date,($G$2+13),m_active,1,m_start,"&lt;"&amp;1020,m_end,"&gt;"&amp;960)=0,"",IF(COUNTIFS(m_teacher,X$4,m_date,($G$2+13),m_active,1,m_start,"&lt;"&amp;1020,m_end,"&gt;"&amp;960)&gt;1,"충돌",HYPERLINK("#'관리자_MASTER'!D"&amp;_xlfn.MAXIFS(m_row,m_teacher,X$4,m_date,($G$2+13),m_active,1,m_start,"&lt;"&amp;1020,m_end,"&gt;"&amp;960),INDEX(m_label,_xlfn.MAXIFS(m_row,m_teacher,X$4,m_date,($G$2+13),m_active,1,m_start,"&lt;"&amp;1020,m_end,"&gt;"&amp;960))))))</f>
        <v/>
      </c>
      <c r="Y78" s="82" t="str">
        <f aca="false">IF(OR(Y$4="",MONTH(($G$2+13))&lt;&gt;MONTH($C$2)),"",IF(COUNTIFS(m_teacher,Y$4,m_date,($G$2+13),m_active,1,m_start,"&lt;"&amp;1020,m_end,"&gt;"&amp;960)=0,"",IF(COUNTIFS(m_teacher,Y$4,m_date,($G$2+13),m_active,1,m_start,"&lt;"&amp;1020,m_end,"&gt;"&amp;960)&gt;1,"충돌",HYPERLINK("#'관리자_MASTER'!D"&amp;_xlfn.MAXIFS(m_row,m_teacher,Y$4,m_date,($G$2+13),m_active,1,m_start,"&lt;"&amp;1020,m_end,"&gt;"&amp;960),INDEX(m_label,_xlfn.MAXIFS(m_row,m_teacher,Y$4,m_date,($G$2+13),m_active,1,m_start,"&lt;"&amp;1020,m_end,"&gt;"&amp;960))))))</f>
        <v/>
      </c>
      <c r="Z78" s="82" t="str">
        <f aca="false">IF(OR(Z$4="",MONTH(($G$2+13))&lt;&gt;MONTH($C$2)),"",IF(COUNTIFS(m_teacher,Z$4,m_date,($G$2+13),m_active,1,m_start,"&lt;"&amp;1020,m_end,"&gt;"&amp;960)=0,"",IF(COUNTIFS(m_teacher,Z$4,m_date,($G$2+13),m_active,1,m_start,"&lt;"&amp;1020,m_end,"&gt;"&amp;960)&gt;1,"충돌",HYPERLINK("#'관리자_MASTER'!D"&amp;_xlfn.MAXIFS(m_row,m_teacher,Z$4,m_date,($G$2+13),m_active,1,m_start,"&lt;"&amp;1020,m_end,"&gt;"&amp;960),INDEX(m_label,_xlfn.MAXIFS(m_row,m_teacher,Z$4,m_date,($G$2+13),m_active,1,m_start,"&lt;"&amp;1020,m_end,"&gt;"&amp;960))))))</f>
        <v/>
      </c>
      <c r="AA78" s="82" t="str">
        <f aca="false">IF(OR(AA$4="",MONTH(($G$2+13))&lt;&gt;MONTH($C$2)),"",IF(COUNTIFS(m_teacher,AA$4,m_date,($G$2+13),m_active,1,m_start,"&lt;"&amp;1020,m_end,"&gt;"&amp;960)=0,"",IF(COUNTIFS(m_teacher,AA$4,m_date,($G$2+13),m_active,1,m_start,"&lt;"&amp;1020,m_end,"&gt;"&amp;960)&gt;1,"충돌",HYPERLINK("#'관리자_MASTER'!D"&amp;_xlfn.MAXIFS(m_row,m_teacher,AA$4,m_date,($G$2+13),m_active,1,m_start,"&lt;"&amp;1020,m_end,"&gt;"&amp;960),INDEX(m_label,_xlfn.MAXIFS(m_row,m_teacher,AA$4,m_date,($G$2+13),m_active,1,m_start,"&lt;"&amp;1020,m_end,"&gt;"&amp;960))))))</f>
        <v/>
      </c>
      <c r="AB78" s="82" t="str">
        <f aca="false">IF(OR(AB$4="",MONTH(($G$2+13))&lt;&gt;MONTH($C$2)),"",IF(COUNTIFS(m_teacher,AB$4,m_date,($G$2+13),m_active,1,m_start,"&lt;"&amp;1020,m_end,"&gt;"&amp;960)=0,"",IF(COUNTIFS(m_teacher,AB$4,m_date,($G$2+13),m_active,1,m_start,"&lt;"&amp;1020,m_end,"&gt;"&amp;960)&gt;1,"충돌",HYPERLINK("#'관리자_MASTER'!D"&amp;_xlfn.MAXIFS(m_row,m_teacher,AB$4,m_date,($G$2+13),m_active,1,m_start,"&lt;"&amp;1020,m_end,"&gt;"&amp;960),INDEX(m_label,_xlfn.MAXIFS(m_row,m_teacher,AB$4,m_date,($G$2+13),m_active,1,m_start,"&lt;"&amp;1020,m_end,"&gt;"&amp;960))))))</f>
        <v/>
      </c>
      <c r="AC78" s="92"/>
      <c r="AD78" s="79" t="s">
        <v>98</v>
      </c>
      <c r="AE78" s="82" t="str">
        <f aca="false">IF(OR(AE$4="",MONTH(($G$2+20))&lt;&gt;MONTH($C$2)),"",IF(COUNTIFS(m_teacher,AE$4,m_date,($G$2+20),m_active,1,m_start,"&lt;"&amp;1020,m_end,"&gt;"&amp;960)=0,"",IF(COUNTIFS(m_teacher,AE$4,m_date,($G$2+20),m_active,1,m_start,"&lt;"&amp;1020,m_end,"&gt;"&amp;960)&gt;1,"충돌",HYPERLINK("#'관리자_MASTER'!D"&amp;_xlfn.MAXIFS(m_row,m_teacher,AE$4,m_date,($G$2+20),m_active,1,m_start,"&lt;"&amp;1020,m_end,"&gt;"&amp;960),INDEX(m_label,_xlfn.MAXIFS(m_row,m_teacher,AE$4,m_date,($G$2+20),m_active,1,m_start,"&lt;"&amp;1020,m_end,"&gt;"&amp;960))))))</f>
        <v/>
      </c>
      <c r="AF78" s="82" t="str">
        <f aca="false">IF(OR(AF$4="",MONTH(($G$2+20))&lt;&gt;MONTH($C$2)),"",IF(COUNTIFS(m_teacher,AF$4,m_date,($G$2+20),m_active,1,m_start,"&lt;"&amp;1020,m_end,"&gt;"&amp;960)=0,"",IF(COUNTIFS(m_teacher,AF$4,m_date,($G$2+20),m_active,1,m_start,"&lt;"&amp;1020,m_end,"&gt;"&amp;960)&gt;1,"충돌",HYPERLINK("#'관리자_MASTER'!D"&amp;_xlfn.MAXIFS(m_row,m_teacher,AF$4,m_date,($G$2+20),m_active,1,m_start,"&lt;"&amp;1020,m_end,"&gt;"&amp;960),INDEX(m_label,_xlfn.MAXIFS(m_row,m_teacher,AF$4,m_date,($G$2+20),m_active,1,m_start,"&lt;"&amp;1020,m_end,"&gt;"&amp;960))))))</f>
        <v/>
      </c>
      <c r="AG78" s="82" t="str">
        <f aca="false">IF(OR(AG$4="",MONTH(($G$2+20))&lt;&gt;MONTH($C$2)),"",IF(COUNTIFS(m_teacher,AG$4,m_date,($G$2+20),m_active,1,m_start,"&lt;"&amp;1020,m_end,"&gt;"&amp;960)=0,"",IF(COUNTIFS(m_teacher,AG$4,m_date,($G$2+20),m_active,1,m_start,"&lt;"&amp;1020,m_end,"&gt;"&amp;960)&gt;1,"충돌",HYPERLINK("#'관리자_MASTER'!D"&amp;_xlfn.MAXIFS(m_row,m_teacher,AG$4,m_date,($G$2+20),m_active,1,m_start,"&lt;"&amp;1020,m_end,"&gt;"&amp;960),INDEX(m_label,_xlfn.MAXIFS(m_row,m_teacher,AG$4,m_date,($G$2+20),m_active,1,m_start,"&lt;"&amp;1020,m_end,"&gt;"&amp;960))))))</f>
        <v/>
      </c>
      <c r="AH78" s="82" t="str">
        <f aca="false">IF(OR(AH$4="",MONTH(($G$2+20))&lt;&gt;MONTH($C$2)),"",IF(COUNTIFS(m_teacher,AH$4,m_date,($G$2+20),m_active,1,m_start,"&lt;"&amp;1020,m_end,"&gt;"&amp;960)=0,"",IF(COUNTIFS(m_teacher,AH$4,m_date,($G$2+20),m_active,1,m_start,"&lt;"&amp;1020,m_end,"&gt;"&amp;960)&gt;1,"충돌",HYPERLINK("#'관리자_MASTER'!D"&amp;_xlfn.MAXIFS(m_row,m_teacher,AH$4,m_date,($G$2+20),m_active,1,m_start,"&lt;"&amp;1020,m_end,"&gt;"&amp;960),INDEX(m_label,_xlfn.MAXIFS(m_row,m_teacher,AH$4,m_date,($G$2+20),m_active,1,m_start,"&lt;"&amp;1020,m_end,"&gt;"&amp;960))))))</f>
        <v/>
      </c>
      <c r="AI78" s="82" t="str">
        <f aca="false">IF(OR(AI$4="",MONTH(($G$2+20))&lt;&gt;MONTH($C$2)),"",IF(COUNTIFS(m_teacher,AI$4,m_date,($G$2+20),m_active,1,m_start,"&lt;"&amp;1020,m_end,"&gt;"&amp;960)=0,"",IF(COUNTIFS(m_teacher,AI$4,m_date,($G$2+20),m_active,1,m_start,"&lt;"&amp;1020,m_end,"&gt;"&amp;960)&gt;1,"충돌",HYPERLINK("#'관리자_MASTER'!D"&amp;_xlfn.MAXIFS(m_row,m_teacher,AI$4,m_date,($G$2+20),m_active,1,m_start,"&lt;"&amp;1020,m_end,"&gt;"&amp;960),INDEX(m_label,_xlfn.MAXIFS(m_row,m_teacher,AI$4,m_date,($G$2+20),m_active,1,m_start,"&lt;"&amp;1020,m_end,"&gt;"&amp;960))))))</f>
        <v/>
      </c>
      <c r="AJ78" s="82" t="str">
        <f aca="false">IF(OR(AJ$4="",MONTH(($G$2+20))&lt;&gt;MONTH($C$2)),"",IF(COUNTIFS(m_teacher,AJ$4,m_date,($G$2+20),m_active,1,m_start,"&lt;"&amp;1020,m_end,"&gt;"&amp;960)=0,"",IF(COUNTIFS(m_teacher,AJ$4,m_date,($G$2+20),m_active,1,m_start,"&lt;"&amp;1020,m_end,"&gt;"&amp;960)&gt;1,"충돌",HYPERLINK("#'관리자_MASTER'!D"&amp;_xlfn.MAXIFS(m_row,m_teacher,AJ$4,m_date,($G$2+20),m_active,1,m_start,"&lt;"&amp;1020,m_end,"&gt;"&amp;960),INDEX(m_label,_xlfn.MAXIFS(m_row,m_teacher,AJ$4,m_date,($G$2+20),m_active,1,m_start,"&lt;"&amp;1020,m_end,"&gt;"&amp;960))))))</f>
        <v/>
      </c>
      <c r="AK78" s="82" t="str">
        <f aca="false">IF(OR(AK$4="",MONTH(($G$2+20))&lt;&gt;MONTH($C$2)),"",IF(COUNTIFS(m_teacher,AK$4,m_date,($G$2+20),m_active,1,m_start,"&lt;"&amp;1020,m_end,"&gt;"&amp;960)=0,"",IF(COUNTIFS(m_teacher,AK$4,m_date,($G$2+20),m_active,1,m_start,"&lt;"&amp;1020,m_end,"&gt;"&amp;960)&gt;1,"충돌",HYPERLINK("#'관리자_MASTER'!D"&amp;_xlfn.MAXIFS(m_row,m_teacher,AK$4,m_date,($G$2+20),m_active,1,m_start,"&lt;"&amp;1020,m_end,"&gt;"&amp;960),INDEX(m_label,_xlfn.MAXIFS(m_row,m_teacher,AK$4,m_date,($G$2+20),m_active,1,m_start,"&lt;"&amp;1020,m_end,"&gt;"&amp;960))))))</f>
        <v/>
      </c>
      <c r="AL78" s="82" t="str">
        <f aca="false">IF(OR(AL$4="",MONTH(($G$2+20))&lt;&gt;MONTH($C$2)),"",IF(COUNTIFS(m_teacher,AL$4,m_date,($G$2+20),m_active,1,m_start,"&lt;"&amp;1020,m_end,"&gt;"&amp;960)=0,"",IF(COUNTIFS(m_teacher,AL$4,m_date,($G$2+20),m_active,1,m_start,"&lt;"&amp;1020,m_end,"&gt;"&amp;960)&gt;1,"충돌",HYPERLINK("#'관리자_MASTER'!D"&amp;_xlfn.MAXIFS(m_row,m_teacher,AL$4,m_date,($G$2+20),m_active,1,m_start,"&lt;"&amp;1020,m_end,"&gt;"&amp;960),INDEX(m_label,_xlfn.MAXIFS(m_row,m_teacher,AL$4,m_date,($G$2+20),m_active,1,m_start,"&lt;"&amp;1020,m_end,"&gt;"&amp;960))))))</f>
        <v/>
      </c>
      <c r="AM78" s="82" t="str">
        <f aca="false">IF(OR(AM$4="",MONTH(($G$2+20))&lt;&gt;MONTH($C$2)),"",IF(COUNTIFS(m_teacher,AM$4,m_date,($G$2+20),m_active,1,m_start,"&lt;"&amp;1020,m_end,"&gt;"&amp;960)=0,"",IF(COUNTIFS(m_teacher,AM$4,m_date,($G$2+20),m_active,1,m_start,"&lt;"&amp;1020,m_end,"&gt;"&amp;960)&gt;1,"충돌",HYPERLINK("#'관리자_MASTER'!D"&amp;_xlfn.MAXIFS(m_row,m_teacher,AM$4,m_date,($G$2+20),m_active,1,m_start,"&lt;"&amp;1020,m_end,"&gt;"&amp;960),INDEX(m_label,_xlfn.MAXIFS(m_row,m_teacher,AM$4,m_date,($G$2+20),m_active,1,m_start,"&lt;"&amp;1020,m_end,"&gt;"&amp;960))))))</f>
        <v/>
      </c>
      <c r="AN78" s="82" t="str">
        <f aca="false">IF(OR(AN$4="",MONTH(($G$2+20))&lt;&gt;MONTH($C$2)),"",IF(COUNTIFS(m_teacher,AN$4,m_date,($G$2+20),m_active,1,m_start,"&lt;"&amp;1020,m_end,"&gt;"&amp;960)=0,"",IF(COUNTIFS(m_teacher,AN$4,m_date,($G$2+20),m_active,1,m_start,"&lt;"&amp;1020,m_end,"&gt;"&amp;960)&gt;1,"충돌",HYPERLINK("#'관리자_MASTER'!D"&amp;_xlfn.MAXIFS(m_row,m_teacher,AN$4,m_date,($G$2+20),m_active,1,m_start,"&lt;"&amp;1020,m_end,"&gt;"&amp;960),INDEX(m_label,_xlfn.MAXIFS(m_row,m_teacher,AN$4,m_date,($G$2+20),m_active,1,m_start,"&lt;"&amp;1020,m_end,"&gt;"&amp;960))))))</f>
        <v/>
      </c>
      <c r="AO78" s="82" t="str">
        <f aca="false">IF(OR(AO$4="",MONTH(($G$2+20))&lt;&gt;MONTH($C$2)),"",IF(COUNTIFS(m_teacher,AO$4,m_date,($G$2+20),m_active,1,m_start,"&lt;"&amp;1020,m_end,"&gt;"&amp;960)=0,"",IF(COUNTIFS(m_teacher,AO$4,m_date,($G$2+20),m_active,1,m_start,"&lt;"&amp;1020,m_end,"&gt;"&amp;960)&gt;1,"충돌",HYPERLINK("#'관리자_MASTER'!D"&amp;_xlfn.MAXIFS(m_row,m_teacher,AO$4,m_date,($G$2+20),m_active,1,m_start,"&lt;"&amp;1020,m_end,"&gt;"&amp;960),INDEX(m_label,_xlfn.MAXIFS(m_row,m_teacher,AO$4,m_date,($G$2+20),m_active,1,m_start,"&lt;"&amp;1020,m_end,"&gt;"&amp;960))))))</f>
        <v/>
      </c>
      <c r="AP78" s="82" t="str">
        <f aca="false">IF(OR(AP$4="",MONTH(($G$2+20))&lt;&gt;MONTH($C$2)),"",IF(COUNTIFS(m_teacher,AP$4,m_date,($G$2+20),m_active,1,m_start,"&lt;"&amp;1020,m_end,"&gt;"&amp;960)=0,"",IF(COUNTIFS(m_teacher,AP$4,m_date,($G$2+20),m_active,1,m_start,"&lt;"&amp;1020,m_end,"&gt;"&amp;960)&gt;1,"충돌",HYPERLINK("#'관리자_MASTER'!D"&amp;_xlfn.MAXIFS(m_row,m_teacher,AP$4,m_date,($G$2+20),m_active,1,m_start,"&lt;"&amp;1020,m_end,"&gt;"&amp;960),INDEX(m_label,_xlfn.MAXIFS(m_row,m_teacher,AP$4,m_date,($G$2+20),m_active,1,m_start,"&lt;"&amp;1020,m_end,"&gt;"&amp;960))))))</f>
        <v/>
      </c>
      <c r="AQ78" s="92"/>
      <c r="AR78" s="79" t="s">
        <v>98</v>
      </c>
      <c r="AS78" s="82" t="str">
        <f aca="false">IF(OR(AS$4="",MONTH(($G$2+27))&lt;&gt;MONTH($C$2)),"",IF(COUNTIFS(m_teacher,AS$4,m_date,($G$2+27),m_active,1,m_start,"&lt;"&amp;1020,m_end,"&gt;"&amp;960)=0,"",IF(COUNTIFS(m_teacher,AS$4,m_date,($G$2+27),m_active,1,m_start,"&lt;"&amp;1020,m_end,"&gt;"&amp;960)&gt;1,"충돌",HYPERLINK("#'관리자_MASTER'!D"&amp;_xlfn.MAXIFS(m_row,m_teacher,AS$4,m_date,($G$2+27),m_active,1,m_start,"&lt;"&amp;1020,m_end,"&gt;"&amp;960),INDEX(m_label,_xlfn.MAXIFS(m_row,m_teacher,AS$4,m_date,($G$2+27),m_active,1,m_start,"&lt;"&amp;1020,m_end,"&gt;"&amp;960))))))</f>
        <v/>
      </c>
      <c r="AT78" s="82" t="str">
        <f aca="false">IF(OR(AT$4="",MONTH(($G$2+27))&lt;&gt;MONTH($C$2)),"",IF(COUNTIFS(m_teacher,AT$4,m_date,($G$2+27),m_active,1,m_start,"&lt;"&amp;1020,m_end,"&gt;"&amp;960)=0,"",IF(COUNTIFS(m_teacher,AT$4,m_date,($G$2+27),m_active,1,m_start,"&lt;"&amp;1020,m_end,"&gt;"&amp;960)&gt;1,"충돌",HYPERLINK("#'관리자_MASTER'!D"&amp;_xlfn.MAXIFS(m_row,m_teacher,AT$4,m_date,($G$2+27),m_active,1,m_start,"&lt;"&amp;1020,m_end,"&gt;"&amp;960),INDEX(m_label,_xlfn.MAXIFS(m_row,m_teacher,AT$4,m_date,($G$2+27),m_active,1,m_start,"&lt;"&amp;1020,m_end,"&gt;"&amp;960))))))</f>
        <v/>
      </c>
      <c r="AU78" s="82" t="str">
        <f aca="false">IF(OR(AU$4="",MONTH(($G$2+27))&lt;&gt;MONTH($C$2)),"",IF(COUNTIFS(m_teacher,AU$4,m_date,($G$2+27),m_active,1,m_start,"&lt;"&amp;1020,m_end,"&gt;"&amp;960)=0,"",IF(COUNTIFS(m_teacher,AU$4,m_date,($G$2+27),m_active,1,m_start,"&lt;"&amp;1020,m_end,"&gt;"&amp;960)&gt;1,"충돌",HYPERLINK("#'관리자_MASTER'!D"&amp;_xlfn.MAXIFS(m_row,m_teacher,AU$4,m_date,($G$2+27),m_active,1,m_start,"&lt;"&amp;1020,m_end,"&gt;"&amp;960),INDEX(m_label,_xlfn.MAXIFS(m_row,m_teacher,AU$4,m_date,($G$2+27),m_active,1,m_start,"&lt;"&amp;1020,m_end,"&gt;"&amp;960))))))</f>
        <v/>
      </c>
      <c r="AV78" s="82" t="str">
        <f aca="false">IF(OR(AV$4="",MONTH(($G$2+27))&lt;&gt;MONTH($C$2)),"",IF(COUNTIFS(m_teacher,AV$4,m_date,($G$2+27),m_active,1,m_start,"&lt;"&amp;1020,m_end,"&gt;"&amp;960)=0,"",IF(COUNTIFS(m_teacher,AV$4,m_date,($G$2+27),m_active,1,m_start,"&lt;"&amp;1020,m_end,"&gt;"&amp;960)&gt;1,"충돌",HYPERLINK("#'관리자_MASTER'!D"&amp;_xlfn.MAXIFS(m_row,m_teacher,AV$4,m_date,($G$2+27),m_active,1,m_start,"&lt;"&amp;1020,m_end,"&gt;"&amp;960),INDEX(m_label,_xlfn.MAXIFS(m_row,m_teacher,AV$4,m_date,($G$2+27),m_active,1,m_start,"&lt;"&amp;1020,m_end,"&gt;"&amp;960))))))</f>
        <v/>
      </c>
      <c r="AW78" s="82" t="str">
        <f aca="false">IF(OR(AW$4="",MONTH(($G$2+27))&lt;&gt;MONTH($C$2)),"",IF(COUNTIFS(m_teacher,AW$4,m_date,($G$2+27),m_active,1,m_start,"&lt;"&amp;1020,m_end,"&gt;"&amp;960)=0,"",IF(COUNTIFS(m_teacher,AW$4,m_date,($G$2+27),m_active,1,m_start,"&lt;"&amp;1020,m_end,"&gt;"&amp;960)&gt;1,"충돌",HYPERLINK("#'관리자_MASTER'!D"&amp;_xlfn.MAXIFS(m_row,m_teacher,AW$4,m_date,($G$2+27),m_active,1,m_start,"&lt;"&amp;1020,m_end,"&gt;"&amp;960),INDEX(m_label,_xlfn.MAXIFS(m_row,m_teacher,AW$4,m_date,($G$2+27),m_active,1,m_start,"&lt;"&amp;1020,m_end,"&gt;"&amp;960))))))</f>
        <v/>
      </c>
      <c r="AX78" s="82" t="str">
        <f aca="false">IF(OR(AX$4="",MONTH(($G$2+27))&lt;&gt;MONTH($C$2)),"",IF(COUNTIFS(m_teacher,AX$4,m_date,($G$2+27),m_active,1,m_start,"&lt;"&amp;1020,m_end,"&gt;"&amp;960)=0,"",IF(COUNTIFS(m_teacher,AX$4,m_date,($G$2+27),m_active,1,m_start,"&lt;"&amp;1020,m_end,"&gt;"&amp;960)&gt;1,"충돌",HYPERLINK("#'관리자_MASTER'!D"&amp;_xlfn.MAXIFS(m_row,m_teacher,AX$4,m_date,($G$2+27),m_active,1,m_start,"&lt;"&amp;1020,m_end,"&gt;"&amp;960),INDEX(m_label,_xlfn.MAXIFS(m_row,m_teacher,AX$4,m_date,($G$2+27),m_active,1,m_start,"&lt;"&amp;1020,m_end,"&gt;"&amp;960))))))</f>
        <v/>
      </c>
      <c r="AY78" s="82" t="str">
        <f aca="false">IF(OR(AY$4="",MONTH(($G$2+27))&lt;&gt;MONTH($C$2)),"",IF(COUNTIFS(m_teacher,AY$4,m_date,($G$2+27),m_active,1,m_start,"&lt;"&amp;1020,m_end,"&gt;"&amp;960)=0,"",IF(COUNTIFS(m_teacher,AY$4,m_date,($G$2+27),m_active,1,m_start,"&lt;"&amp;1020,m_end,"&gt;"&amp;960)&gt;1,"충돌",HYPERLINK("#'관리자_MASTER'!D"&amp;_xlfn.MAXIFS(m_row,m_teacher,AY$4,m_date,($G$2+27),m_active,1,m_start,"&lt;"&amp;1020,m_end,"&gt;"&amp;960),INDEX(m_label,_xlfn.MAXIFS(m_row,m_teacher,AY$4,m_date,($G$2+27),m_active,1,m_start,"&lt;"&amp;1020,m_end,"&gt;"&amp;960))))))</f>
        <v/>
      </c>
      <c r="AZ78" s="82" t="str">
        <f aca="false">IF(OR(AZ$4="",MONTH(($G$2+27))&lt;&gt;MONTH($C$2)),"",IF(COUNTIFS(m_teacher,AZ$4,m_date,($G$2+27),m_active,1,m_start,"&lt;"&amp;1020,m_end,"&gt;"&amp;960)=0,"",IF(COUNTIFS(m_teacher,AZ$4,m_date,($G$2+27),m_active,1,m_start,"&lt;"&amp;1020,m_end,"&gt;"&amp;960)&gt;1,"충돌",HYPERLINK("#'관리자_MASTER'!D"&amp;_xlfn.MAXIFS(m_row,m_teacher,AZ$4,m_date,($G$2+27),m_active,1,m_start,"&lt;"&amp;1020,m_end,"&gt;"&amp;960),INDEX(m_label,_xlfn.MAXIFS(m_row,m_teacher,AZ$4,m_date,($G$2+27),m_active,1,m_start,"&lt;"&amp;1020,m_end,"&gt;"&amp;960))))))</f>
        <v/>
      </c>
      <c r="BA78" s="82" t="str">
        <f aca="false">IF(OR(BA$4="",MONTH(($G$2+27))&lt;&gt;MONTH($C$2)),"",IF(COUNTIFS(m_teacher,BA$4,m_date,($G$2+27),m_active,1,m_start,"&lt;"&amp;1020,m_end,"&gt;"&amp;960)=0,"",IF(COUNTIFS(m_teacher,BA$4,m_date,($G$2+27),m_active,1,m_start,"&lt;"&amp;1020,m_end,"&gt;"&amp;960)&gt;1,"충돌",HYPERLINK("#'관리자_MASTER'!D"&amp;_xlfn.MAXIFS(m_row,m_teacher,BA$4,m_date,($G$2+27),m_active,1,m_start,"&lt;"&amp;1020,m_end,"&gt;"&amp;960),INDEX(m_label,_xlfn.MAXIFS(m_row,m_teacher,BA$4,m_date,($G$2+27),m_active,1,m_start,"&lt;"&amp;1020,m_end,"&gt;"&amp;960))))))</f>
        <v/>
      </c>
      <c r="BB78" s="82" t="str">
        <f aca="false">IF(OR(BB$4="",MONTH(($G$2+27))&lt;&gt;MONTH($C$2)),"",IF(COUNTIFS(m_teacher,BB$4,m_date,($G$2+27),m_active,1,m_start,"&lt;"&amp;1020,m_end,"&gt;"&amp;960)=0,"",IF(COUNTIFS(m_teacher,BB$4,m_date,($G$2+27),m_active,1,m_start,"&lt;"&amp;1020,m_end,"&gt;"&amp;960)&gt;1,"충돌",HYPERLINK("#'관리자_MASTER'!D"&amp;_xlfn.MAXIFS(m_row,m_teacher,BB$4,m_date,($G$2+27),m_active,1,m_start,"&lt;"&amp;1020,m_end,"&gt;"&amp;960),INDEX(m_label,_xlfn.MAXIFS(m_row,m_teacher,BB$4,m_date,($G$2+27),m_active,1,m_start,"&lt;"&amp;1020,m_end,"&gt;"&amp;960))))))</f>
        <v/>
      </c>
      <c r="BC78" s="82" t="str">
        <f aca="false">IF(OR(BC$4="",MONTH(($G$2+27))&lt;&gt;MONTH($C$2)),"",IF(COUNTIFS(m_teacher,BC$4,m_date,($G$2+27),m_active,1,m_start,"&lt;"&amp;1020,m_end,"&gt;"&amp;960)=0,"",IF(COUNTIFS(m_teacher,BC$4,m_date,($G$2+27),m_active,1,m_start,"&lt;"&amp;1020,m_end,"&gt;"&amp;960)&gt;1,"충돌",HYPERLINK("#'관리자_MASTER'!D"&amp;_xlfn.MAXIFS(m_row,m_teacher,BC$4,m_date,($G$2+27),m_active,1,m_start,"&lt;"&amp;1020,m_end,"&gt;"&amp;960),INDEX(m_label,_xlfn.MAXIFS(m_row,m_teacher,BC$4,m_date,($G$2+27),m_active,1,m_start,"&lt;"&amp;1020,m_end,"&gt;"&amp;960))))))</f>
        <v/>
      </c>
      <c r="BD78" s="82" t="str">
        <f aca="false">IF(OR(BD$4="",MONTH(($G$2+27))&lt;&gt;MONTH($C$2)),"",IF(COUNTIFS(m_teacher,BD$4,m_date,($G$2+27),m_active,1,m_start,"&lt;"&amp;1020,m_end,"&gt;"&amp;960)=0,"",IF(COUNTIFS(m_teacher,BD$4,m_date,($G$2+27),m_active,1,m_start,"&lt;"&amp;1020,m_end,"&gt;"&amp;960)&gt;1,"충돌",HYPERLINK("#'관리자_MASTER'!D"&amp;_xlfn.MAXIFS(m_row,m_teacher,BD$4,m_date,($G$2+27),m_active,1,m_start,"&lt;"&amp;1020,m_end,"&gt;"&amp;960),INDEX(m_label,_xlfn.MAXIFS(m_row,m_teacher,BD$4,m_date,($G$2+27),m_active,1,m_start,"&lt;"&amp;1020,m_end,"&gt;"&amp;960))))))</f>
        <v/>
      </c>
      <c r="BE78" s="92"/>
      <c r="BF78" s="79" t="s">
        <v>98</v>
      </c>
      <c r="BG78" s="82" t="str">
        <f aca="false">IF(OR(BG$4="",MONTH(($G$2+34))&lt;&gt;MONTH($C$2)),"",IF(COUNTIFS(m_teacher,BG$4,m_date,($G$2+34),m_active,1,m_start,"&lt;"&amp;1020,m_end,"&gt;"&amp;960)=0,"",IF(COUNTIFS(m_teacher,BG$4,m_date,($G$2+34),m_active,1,m_start,"&lt;"&amp;1020,m_end,"&gt;"&amp;960)&gt;1,"충돌",HYPERLINK("#'관리자_MASTER'!D"&amp;_xlfn.MAXIFS(m_row,m_teacher,BG$4,m_date,($G$2+34),m_active,1,m_start,"&lt;"&amp;1020,m_end,"&gt;"&amp;960),INDEX(m_label,_xlfn.MAXIFS(m_row,m_teacher,BG$4,m_date,($G$2+34),m_active,1,m_start,"&lt;"&amp;1020,m_end,"&gt;"&amp;960))))))</f>
        <v/>
      </c>
      <c r="BH78" s="82" t="str">
        <f aca="false">IF(OR(BH$4="",MONTH(($G$2+34))&lt;&gt;MONTH($C$2)),"",IF(COUNTIFS(m_teacher,BH$4,m_date,($G$2+34),m_active,1,m_start,"&lt;"&amp;1020,m_end,"&gt;"&amp;960)=0,"",IF(COUNTIFS(m_teacher,BH$4,m_date,($G$2+34),m_active,1,m_start,"&lt;"&amp;1020,m_end,"&gt;"&amp;960)&gt;1,"충돌",HYPERLINK("#'관리자_MASTER'!D"&amp;_xlfn.MAXIFS(m_row,m_teacher,BH$4,m_date,($G$2+34),m_active,1,m_start,"&lt;"&amp;1020,m_end,"&gt;"&amp;960),INDEX(m_label,_xlfn.MAXIFS(m_row,m_teacher,BH$4,m_date,($G$2+34),m_active,1,m_start,"&lt;"&amp;1020,m_end,"&gt;"&amp;960))))))</f>
        <v/>
      </c>
      <c r="BI78" s="82" t="str">
        <f aca="false">IF(OR(BI$4="",MONTH(($G$2+34))&lt;&gt;MONTH($C$2)),"",IF(COUNTIFS(m_teacher,BI$4,m_date,($G$2+34),m_active,1,m_start,"&lt;"&amp;1020,m_end,"&gt;"&amp;960)=0,"",IF(COUNTIFS(m_teacher,BI$4,m_date,($G$2+34),m_active,1,m_start,"&lt;"&amp;1020,m_end,"&gt;"&amp;960)&gt;1,"충돌",HYPERLINK("#'관리자_MASTER'!D"&amp;_xlfn.MAXIFS(m_row,m_teacher,BI$4,m_date,($G$2+34),m_active,1,m_start,"&lt;"&amp;1020,m_end,"&gt;"&amp;960),INDEX(m_label,_xlfn.MAXIFS(m_row,m_teacher,BI$4,m_date,($G$2+34),m_active,1,m_start,"&lt;"&amp;1020,m_end,"&gt;"&amp;960))))))</f>
        <v/>
      </c>
      <c r="BJ78" s="82" t="str">
        <f aca="false">IF(OR(BJ$4="",MONTH(($G$2+34))&lt;&gt;MONTH($C$2)),"",IF(COUNTIFS(m_teacher,BJ$4,m_date,($G$2+34),m_active,1,m_start,"&lt;"&amp;1020,m_end,"&gt;"&amp;960)=0,"",IF(COUNTIFS(m_teacher,BJ$4,m_date,($G$2+34),m_active,1,m_start,"&lt;"&amp;1020,m_end,"&gt;"&amp;960)&gt;1,"충돌",HYPERLINK("#'관리자_MASTER'!D"&amp;_xlfn.MAXIFS(m_row,m_teacher,BJ$4,m_date,($G$2+34),m_active,1,m_start,"&lt;"&amp;1020,m_end,"&gt;"&amp;960),INDEX(m_label,_xlfn.MAXIFS(m_row,m_teacher,BJ$4,m_date,($G$2+34),m_active,1,m_start,"&lt;"&amp;1020,m_end,"&gt;"&amp;960))))))</f>
        <v/>
      </c>
      <c r="BK78" s="82" t="str">
        <f aca="false">IF(OR(BK$4="",MONTH(($G$2+34))&lt;&gt;MONTH($C$2)),"",IF(COUNTIFS(m_teacher,BK$4,m_date,($G$2+34),m_active,1,m_start,"&lt;"&amp;1020,m_end,"&gt;"&amp;960)=0,"",IF(COUNTIFS(m_teacher,BK$4,m_date,($G$2+34),m_active,1,m_start,"&lt;"&amp;1020,m_end,"&gt;"&amp;960)&gt;1,"충돌",HYPERLINK("#'관리자_MASTER'!D"&amp;_xlfn.MAXIFS(m_row,m_teacher,BK$4,m_date,($G$2+34),m_active,1,m_start,"&lt;"&amp;1020,m_end,"&gt;"&amp;960),INDEX(m_label,_xlfn.MAXIFS(m_row,m_teacher,BK$4,m_date,($G$2+34),m_active,1,m_start,"&lt;"&amp;1020,m_end,"&gt;"&amp;960))))))</f>
        <v/>
      </c>
      <c r="BL78" s="82" t="str">
        <f aca="false">IF(OR(BL$4="",MONTH(($G$2+34))&lt;&gt;MONTH($C$2)),"",IF(COUNTIFS(m_teacher,BL$4,m_date,($G$2+34),m_active,1,m_start,"&lt;"&amp;1020,m_end,"&gt;"&amp;960)=0,"",IF(COUNTIFS(m_teacher,BL$4,m_date,($G$2+34),m_active,1,m_start,"&lt;"&amp;1020,m_end,"&gt;"&amp;960)&gt;1,"충돌",HYPERLINK("#'관리자_MASTER'!D"&amp;_xlfn.MAXIFS(m_row,m_teacher,BL$4,m_date,($G$2+34),m_active,1,m_start,"&lt;"&amp;1020,m_end,"&gt;"&amp;960),INDEX(m_label,_xlfn.MAXIFS(m_row,m_teacher,BL$4,m_date,($G$2+34),m_active,1,m_start,"&lt;"&amp;1020,m_end,"&gt;"&amp;960))))))</f>
        <v/>
      </c>
      <c r="BM78" s="82" t="str">
        <f aca="false">IF(OR(BM$4="",MONTH(($G$2+34))&lt;&gt;MONTH($C$2)),"",IF(COUNTIFS(m_teacher,BM$4,m_date,($G$2+34),m_active,1,m_start,"&lt;"&amp;1020,m_end,"&gt;"&amp;960)=0,"",IF(COUNTIFS(m_teacher,BM$4,m_date,($G$2+34),m_active,1,m_start,"&lt;"&amp;1020,m_end,"&gt;"&amp;960)&gt;1,"충돌",HYPERLINK("#'관리자_MASTER'!D"&amp;_xlfn.MAXIFS(m_row,m_teacher,BM$4,m_date,($G$2+34),m_active,1,m_start,"&lt;"&amp;1020,m_end,"&gt;"&amp;960),INDEX(m_label,_xlfn.MAXIFS(m_row,m_teacher,BM$4,m_date,($G$2+34),m_active,1,m_start,"&lt;"&amp;1020,m_end,"&gt;"&amp;960))))))</f>
        <v/>
      </c>
      <c r="BN78" s="82" t="str">
        <f aca="false">IF(OR(BN$4="",MONTH(($G$2+34))&lt;&gt;MONTH($C$2)),"",IF(COUNTIFS(m_teacher,BN$4,m_date,($G$2+34),m_active,1,m_start,"&lt;"&amp;1020,m_end,"&gt;"&amp;960)=0,"",IF(COUNTIFS(m_teacher,BN$4,m_date,($G$2+34),m_active,1,m_start,"&lt;"&amp;1020,m_end,"&gt;"&amp;960)&gt;1,"충돌",HYPERLINK("#'관리자_MASTER'!D"&amp;_xlfn.MAXIFS(m_row,m_teacher,BN$4,m_date,($G$2+34),m_active,1,m_start,"&lt;"&amp;1020,m_end,"&gt;"&amp;960),INDEX(m_label,_xlfn.MAXIFS(m_row,m_teacher,BN$4,m_date,($G$2+34),m_active,1,m_start,"&lt;"&amp;1020,m_end,"&gt;"&amp;960))))))</f>
        <v/>
      </c>
      <c r="BO78" s="82" t="str">
        <f aca="false">IF(OR(BO$4="",MONTH(($G$2+34))&lt;&gt;MONTH($C$2)),"",IF(COUNTIFS(m_teacher,BO$4,m_date,($G$2+34),m_active,1,m_start,"&lt;"&amp;1020,m_end,"&gt;"&amp;960)=0,"",IF(COUNTIFS(m_teacher,BO$4,m_date,($G$2+34),m_active,1,m_start,"&lt;"&amp;1020,m_end,"&gt;"&amp;960)&gt;1,"충돌",HYPERLINK("#'관리자_MASTER'!D"&amp;_xlfn.MAXIFS(m_row,m_teacher,BO$4,m_date,($G$2+34),m_active,1,m_start,"&lt;"&amp;1020,m_end,"&gt;"&amp;960),INDEX(m_label,_xlfn.MAXIFS(m_row,m_teacher,BO$4,m_date,($G$2+34),m_active,1,m_start,"&lt;"&amp;1020,m_end,"&gt;"&amp;960))))))</f>
        <v/>
      </c>
      <c r="BP78" s="82" t="str">
        <f aca="false">IF(OR(BP$4="",MONTH(($G$2+34))&lt;&gt;MONTH($C$2)),"",IF(COUNTIFS(m_teacher,BP$4,m_date,($G$2+34),m_active,1,m_start,"&lt;"&amp;1020,m_end,"&gt;"&amp;960)=0,"",IF(COUNTIFS(m_teacher,BP$4,m_date,($G$2+34),m_active,1,m_start,"&lt;"&amp;1020,m_end,"&gt;"&amp;960)&gt;1,"충돌",HYPERLINK("#'관리자_MASTER'!D"&amp;_xlfn.MAXIFS(m_row,m_teacher,BP$4,m_date,($G$2+34),m_active,1,m_start,"&lt;"&amp;1020,m_end,"&gt;"&amp;960),INDEX(m_label,_xlfn.MAXIFS(m_row,m_teacher,BP$4,m_date,($G$2+34),m_active,1,m_start,"&lt;"&amp;1020,m_end,"&gt;"&amp;960))))))</f>
        <v/>
      </c>
      <c r="BQ78" s="82" t="str">
        <f aca="false">IF(OR(BQ$4="",MONTH(($G$2+34))&lt;&gt;MONTH($C$2)),"",IF(COUNTIFS(m_teacher,BQ$4,m_date,($G$2+34),m_active,1,m_start,"&lt;"&amp;1020,m_end,"&gt;"&amp;960)=0,"",IF(COUNTIFS(m_teacher,BQ$4,m_date,($G$2+34),m_active,1,m_start,"&lt;"&amp;1020,m_end,"&gt;"&amp;960)&gt;1,"충돌",HYPERLINK("#'관리자_MASTER'!D"&amp;_xlfn.MAXIFS(m_row,m_teacher,BQ$4,m_date,($G$2+34),m_active,1,m_start,"&lt;"&amp;1020,m_end,"&gt;"&amp;960),INDEX(m_label,_xlfn.MAXIFS(m_row,m_teacher,BQ$4,m_date,($G$2+34),m_active,1,m_start,"&lt;"&amp;1020,m_end,"&gt;"&amp;960))))))</f>
        <v/>
      </c>
      <c r="BR78" s="82" t="str">
        <f aca="false">IF(OR(BR$4="",MONTH(($G$2+34))&lt;&gt;MONTH($C$2)),"",IF(COUNTIFS(m_teacher,BR$4,m_date,($G$2+34),m_active,1,m_start,"&lt;"&amp;1020,m_end,"&gt;"&amp;960)=0,"",IF(COUNTIFS(m_teacher,BR$4,m_date,($G$2+34),m_active,1,m_start,"&lt;"&amp;1020,m_end,"&gt;"&amp;960)&gt;1,"충돌",HYPERLINK("#'관리자_MASTER'!D"&amp;_xlfn.MAXIFS(m_row,m_teacher,BR$4,m_date,($G$2+34),m_active,1,m_start,"&lt;"&amp;1020,m_end,"&gt;"&amp;960),INDEX(m_label,_xlfn.MAXIFS(m_row,m_teacher,BR$4,m_date,($G$2+34),m_active,1,m_start,"&lt;"&amp;1020,m_end,"&gt;"&amp;960))))))</f>
        <v/>
      </c>
    </row>
    <row r="79" customFormat="false" ht="19.5" hidden="false" customHeight="true" outlineLevel="0" collapsed="false">
      <c r="A79" s="92"/>
      <c r="B79" s="79" t="s">
        <v>99</v>
      </c>
      <c r="C79" s="82" t="str">
        <f aca="false">IF(OR(C$4="",MONTH(($G$2+6))&lt;&gt;MONTH($C$2)),"",IF(COUNTIFS(m_teacher,C$4,m_date,($G$2+6),m_active,1,m_start,"&lt;"&amp;1080,m_end,"&gt;"&amp;1020)=0,"",IF(COUNTIFS(m_teacher,C$4,m_date,($G$2+6),m_active,1,m_start,"&lt;"&amp;1080,m_end,"&gt;"&amp;1020)&gt;1,"충돌",HYPERLINK("#'관리자_MASTER'!D"&amp;_xlfn.MAXIFS(m_row,m_teacher,C$4,m_date,($G$2+6),m_active,1,m_start,"&lt;"&amp;1080,m_end,"&gt;"&amp;1020),INDEX(m_label,_xlfn.MAXIFS(m_row,m_teacher,C$4,m_date,($G$2+6),m_active,1,m_start,"&lt;"&amp;1080,m_end,"&gt;"&amp;1020))))))</f>
        <v/>
      </c>
      <c r="D79" s="82" t="str">
        <f aca="false">IF(OR(D$4="",MONTH(($G$2+6))&lt;&gt;MONTH($C$2)),"",IF(COUNTIFS(m_teacher,D$4,m_date,($G$2+6),m_active,1,m_start,"&lt;"&amp;1080,m_end,"&gt;"&amp;1020)=0,"",IF(COUNTIFS(m_teacher,D$4,m_date,($G$2+6),m_active,1,m_start,"&lt;"&amp;1080,m_end,"&gt;"&amp;1020)&gt;1,"충돌",HYPERLINK("#'관리자_MASTER'!D"&amp;_xlfn.MAXIFS(m_row,m_teacher,D$4,m_date,($G$2+6),m_active,1,m_start,"&lt;"&amp;1080,m_end,"&gt;"&amp;1020),INDEX(m_label,_xlfn.MAXIFS(m_row,m_teacher,D$4,m_date,($G$2+6),m_active,1,m_start,"&lt;"&amp;1080,m_end,"&gt;"&amp;1020))))))</f>
        <v/>
      </c>
      <c r="E79" s="82" t="str">
        <f aca="false">IF(OR(E$4="",MONTH(($G$2+6))&lt;&gt;MONTH($C$2)),"",IF(COUNTIFS(m_teacher,E$4,m_date,($G$2+6),m_active,1,m_start,"&lt;"&amp;1080,m_end,"&gt;"&amp;1020)=0,"",IF(COUNTIFS(m_teacher,E$4,m_date,($G$2+6),m_active,1,m_start,"&lt;"&amp;1080,m_end,"&gt;"&amp;1020)&gt;1,"충돌",HYPERLINK("#'관리자_MASTER'!D"&amp;_xlfn.MAXIFS(m_row,m_teacher,E$4,m_date,($G$2+6),m_active,1,m_start,"&lt;"&amp;1080,m_end,"&gt;"&amp;1020),INDEX(m_label,_xlfn.MAXIFS(m_row,m_teacher,E$4,m_date,($G$2+6),m_active,1,m_start,"&lt;"&amp;1080,m_end,"&gt;"&amp;1020))))))</f>
        <v/>
      </c>
      <c r="F79" s="82" t="str">
        <f aca="false">IF(OR(F$4="",MONTH(($G$2+6))&lt;&gt;MONTH($C$2)),"",IF(COUNTIFS(m_teacher,F$4,m_date,($G$2+6),m_active,1,m_start,"&lt;"&amp;1080,m_end,"&gt;"&amp;1020)=0,"",IF(COUNTIFS(m_teacher,F$4,m_date,($G$2+6),m_active,1,m_start,"&lt;"&amp;1080,m_end,"&gt;"&amp;1020)&gt;1,"충돌",HYPERLINK("#'관리자_MASTER'!D"&amp;_xlfn.MAXIFS(m_row,m_teacher,F$4,m_date,($G$2+6),m_active,1,m_start,"&lt;"&amp;1080,m_end,"&gt;"&amp;1020),INDEX(m_label,_xlfn.MAXIFS(m_row,m_teacher,F$4,m_date,($G$2+6),m_active,1,m_start,"&lt;"&amp;1080,m_end,"&gt;"&amp;1020))))))</f>
        <v/>
      </c>
      <c r="G79" s="82" t="str">
        <f aca="false">IF(OR(G$4="",MONTH(($G$2+6))&lt;&gt;MONTH($C$2)),"",IF(COUNTIFS(m_teacher,G$4,m_date,($G$2+6),m_active,1,m_start,"&lt;"&amp;1080,m_end,"&gt;"&amp;1020)=0,"",IF(COUNTIFS(m_teacher,G$4,m_date,($G$2+6),m_active,1,m_start,"&lt;"&amp;1080,m_end,"&gt;"&amp;1020)&gt;1,"충돌",HYPERLINK("#'관리자_MASTER'!D"&amp;_xlfn.MAXIFS(m_row,m_teacher,G$4,m_date,($G$2+6),m_active,1,m_start,"&lt;"&amp;1080,m_end,"&gt;"&amp;1020),INDEX(m_label,_xlfn.MAXIFS(m_row,m_teacher,G$4,m_date,($G$2+6),m_active,1,m_start,"&lt;"&amp;1080,m_end,"&gt;"&amp;1020))))))</f>
        <v/>
      </c>
      <c r="H79" s="82" t="str">
        <f aca="false">IF(OR(H$4="",MONTH(($G$2+6))&lt;&gt;MONTH($C$2)),"",IF(COUNTIFS(m_teacher,H$4,m_date,($G$2+6),m_active,1,m_start,"&lt;"&amp;1080,m_end,"&gt;"&amp;1020)=0,"",IF(COUNTIFS(m_teacher,H$4,m_date,($G$2+6),m_active,1,m_start,"&lt;"&amp;1080,m_end,"&gt;"&amp;1020)&gt;1,"충돌",HYPERLINK("#'관리자_MASTER'!D"&amp;_xlfn.MAXIFS(m_row,m_teacher,H$4,m_date,($G$2+6),m_active,1,m_start,"&lt;"&amp;1080,m_end,"&gt;"&amp;1020),INDEX(m_label,_xlfn.MAXIFS(m_row,m_teacher,H$4,m_date,($G$2+6),m_active,1,m_start,"&lt;"&amp;1080,m_end,"&gt;"&amp;1020))))))</f>
        <v/>
      </c>
      <c r="I79" s="82" t="str">
        <f aca="false">IF(OR(I$4="",MONTH(($G$2+6))&lt;&gt;MONTH($C$2)),"",IF(COUNTIFS(m_teacher,I$4,m_date,($G$2+6),m_active,1,m_start,"&lt;"&amp;1080,m_end,"&gt;"&amp;1020)=0,"",IF(COUNTIFS(m_teacher,I$4,m_date,($G$2+6),m_active,1,m_start,"&lt;"&amp;1080,m_end,"&gt;"&amp;1020)&gt;1,"충돌",HYPERLINK("#'관리자_MASTER'!D"&amp;_xlfn.MAXIFS(m_row,m_teacher,I$4,m_date,($G$2+6),m_active,1,m_start,"&lt;"&amp;1080,m_end,"&gt;"&amp;1020),INDEX(m_label,_xlfn.MAXIFS(m_row,m_teacher,I$4,m_date,($G$2+6),m_active,1,m_start,"&lt;"&amp;1080,m_end,"&gt;"&amp;1020))))))</f>
        <v/>
      </c>
      <c r="J79" s="82" t="str">
        <f aca="false">IF(OR(J$4="",MONTH(($G$2+6))&lt;&gt;MONTH($C$2)),"",IF(COUNTIFS(m_teacher,J$4,m_date,($G$2+6),m_active,1,m_start,"&lt;"&amp;1080,m_end,"&gt;"&amp;1020)=0,"",IF(COUNTIFS(m_teacher,J$4,m_date,($G$2+6),m_active,1,m_start,"&lt;"&amp;1080,m_end,"&gt;"&amp;1020)&gt;1,"충돌",HYPERLINK("#'관리자_MASTER'!D"&amp;_xlfn.MAXIFS(m_row,m_teacher,J$4,m_date,($G$2+6),m_active,1,m_start,"&lt;"&amp;1080,m_end,"&gt;"&amp;1020),INDEX(m_label,_xlfn.MAXIFS(m_row,m_teacher,J$4,m_date,($G$2+6),m_active,1,m_start,"&lt;"&amp;1080,m_end,"&gt;"&amp;1020))))))</f>
        <v/>
      </c>
      <c r="K79" s="82" t="str">
        <f aca="false">IF(OR(K$4="",MONTH(($G$2+6))&lt;&gt;MONTH($C$2)),"",IF(COUNTIFS(m_teacher,K$4,m_date,($G$2+6),m_active,1,m_start,"&lt;"&amp;1080,m_end,"&gt;"&amp;1020)=0,"",IF(COUNTIFS(m_teacher,K$4,m_date,($G$2+6),m_active,1,m_start,"&lt;"&amp;1080,m_end,"&gt;"&amp;1020)&gt;1,"충돌",HYPERLINK("#'관리자_MASTER'!D"&amp;_xlfn.MAXIFS(m_row,m_teacher,K$4,m_date,($G$2+6),m_active,1,m_start,"&lt;"&amp;1080,m_end,"&gt;"&amp;1020),INDEX(m_label,_xlfn.MAXIFS(m_row,m_teacher,K$4,m_date,($G$2+6),m_active,1,m_start,"&lt;"&amp;1080,m_end,"&gt;"&amp;1020))))))</f>
        <v/>
      </c>
      <c r="L79" s="82" t="str">
        <f aca="false">IF(OR(L$4="",MONTH(($G$2+6))&lt;&gt;MONTH($C$2)),"",IF(COUNTIFS(m_teacher,L$4,m_date,($G$2+6),m_active,1,m_start,"&lt;"&amp;1080,m_end,"&gt;"&amp;1020)=0,"",IF(COUNTIFS(m_teacher,L$4,m_date,($G$2+6),m_active,1,m_start,"&lt;"&amp;1080,m_end,"&gt;"&amp;1020)&gt;1,"충돌",HYPERLINK("#'관리자_MASTER'!D"&amp;_xlfn.MAXIFS(m_row,m_teacher,L$4,m_date,($G$2+6),m_active,1,m_start,"&lt;"&amp;1080,m_end,"&gt;"&amp;1020),INDEX(m_label,_xlfn.MAXIFS(m_row,m_teacher,L$4,m_date,($G$2+6),m_active,1,m_start,"&lt;"&amp;1080,m_end,"&gt;"&amp;1020))))))</f>
        <v/>
      </c>
      <c r="M79" s="82" t="str">
        <f aca="false">IF(OR(M$4="",MONTH(($G$2+6))&lt;&gt;MONTH($C$2)),"",IF(COUNTIFS(m_teacher,M$4,m_date,($G$2+6),m_active,1,m_start,"&lt;"&amp;1080,m_end,"&gt;"&amp;1020)=0,"",IF(COUNTIFS(m_teacher,M$4,m_date,($G$2+6),m_active,1,m_start,"&lt;"&amp;1080,m_end,"&gt;"&amp;1020)&gt;1,"충돌",HYPERLINK("#'관리자_MASTER'!D"&amp;_xlfn.MAXIFS(m_row,m_teacher,M$4,m_date,($G$2+6),m_active,1,m_start,"&lt;"&amp;1080,m_end,"&gt;"&amp;1020),INDEX(m_label,_xlfn.MAXIFS(m_row,m_teacher,M$4,m_date,($G$2+6),m_active,1,m_start,"&lt;"&amp;1080,m_end,"&gt;"&amp;1020))))))</f>
        <v/>
      </c>
      <c r="N79" s="82" t="str">
        <f aca="false">IF(OR(N$4="",MONTH(($G$2+6))&lt;&gt;MONTH($C$2)),"",IF(COUNTIFS(m_teacher,N$4,m_date,($G$2+6),m_active,1,m_start,"&lt;"&amp;1080,m_end,"&gt;"&amp;1020)=0,"",IF(COUNTIFS(m_teacher,N$4,m_date,($G$2+6),m_active,1,m_start,"&lt;"&amp;1080,m_end,"&gt;"&amp;1020)&gt;1,"충돌",HYPERLINK("#'관리자_MASTER'!D"&amp;_xlfn.MAXIFS(m_row,m_teacher,N$4,m_date,($G$2+6),m_active,1,m_start,"&lt;"&amp;1080,m_end,"&gt;"&amp;1020),INDEX(m_label,_xlfn.MAXIFS(m_row,m_teacher,N$4,m_date,($G$2+6),m_active,1,m_start,"&lt;"&amp;1080,m_end,"&gt;"&amp;1020))))))</f>
        <v/>
      </c>
      <c r="O79" s="92"/>
      <c r="P79" s="79" t="s">
        <v>99</v>
      </c>
      <c r="Q79" s="82" t="str">
        <f aca="false">IF(OR(Q$4="",MONTH(($G$2+13))&lt;&gt;MONTH($C$2)),"",IF(COUNTIFS(m_teacher,Q$4,m_date,($G$2+13),m_active,1,m_start,"&lt;"&amp;1080,m_end,"&gt;"&amp;1020)=0,"",IF(COUNTIFS(m_teacher,Q$4,m_date,($G$2+13),m_active,1,m_start,"&lt;"&amp;1080,m_end,"&gt;"&amp;1020)&gt;1,"충돌",HYPERLINK("#'관리자_MASTER'!D"&amp;_xlfn.MAXIFS(m_row,m_teacher,Q$4,m_date,($G$2+13),m_active,1,m_start,"&lt;"&amp;1080,m_end,"&gt;"&amp;1020),INDEX(m_label,_xlfn.MAXIFS(m_row,m_teacher,Q$4,m_date,($G$2+13),m_active,1,m_start,"&lt;"&amp;1080,m_end,"&gt;"&amp;1020))))))</f>
        <v/>
      </c>
      <c r="R79" s="82" t="str">
        <f aca="false">IF(OR(R$4="",MONTH(($G$2+13))&lt;&gt;MONTH($C$2)),"",IF(COUNTIFS(m_teacher,R$4,m_date,($G$2+13),m_active,1,m_start,"&lt;"&amp;1080,m_end,"&gt;"&amp;1020)=0,"",IF(COUNTIFS(m_teacher,R$4,m_date,($G$2+13),m_active,1,m_start,"&lt;"&amp;1080,m_end,"&gt;"&amp;1020)&gt;1,"충돌",HYPERLINK("#'관리자_MASTER'!D"&amp;_xlfn.MAXIFS(m_row,m_teacher,R$4,m_date,($G$2+13),m_active,1,m_start,"&lt;"&amp;1080,m_end,"&gt;"&amp;1020),INDEX(m_label,_xlfn.MAXIFS(m_row,m_teacher,R$4,m_date,($G$2+13),m_active,1,m_start,"&lt;"&amp;1080,m_end,"&gt;"&amp;1020))))))</f>
        <v/>
      </c>
      <c r="S79" s="82" t="str">
        <f aca="false">IF(OR(S$4="",MONTH(($G$2+13))&lt;&gt;MONTH($C$2)),"",IF(COUNTIFS(m_teacher,S$4,m_date,($G$2+13),m_active,1,m_start,"&lt;"&amp;1080,m_end,"&gt;"&amp;1020)=0,"",IF(COUNTIFS(m_teacher,S$4,m_date,($G$2+13),m_active,1,m_start,"&lt;"&amp;1080,m_end,"&gt;"&amp;1020)&gt;1,"충돌",HYPERLINK("#'관리자_MASTER'!D"&amp;_xlfn.MAXIFS(m_row,m_teacher,S$4,m_date,($G$2+13),m_active,1,m_start,"&lt;"&amp;1080,m_end,"&gt;"&amp;1020),INDEX(m_label,_xlfn.MAXIFS(m_row,m_teacher,S$4,m_date,($G$2+13),m_active,1,m_start,"&lt;"&amp;1080,m_end,"&gt;"&amp;1020))))))</f>
        <v/>
      </c>
      <c r="T79" s="82" t="str">
        <f aca="false">IF(OR(T$4="",MONTH(($G$2+13))&lt;&gt;MONTH($C$2)),"",IF(COUNTIFS(m_teacher,T$4,m_date,($G$2+13),m_active,1,m_start,"&lt;"&amp;1080,m_end,"&gt;"&amp;1020)=0,"",IF(COUNTIFS(m_teacher,T$4,m_date,($G$2+13),m_active,1,m_start,"&lt;"&amp;1080,m_end,"&gt;"&amp;1020)&gt;1,"충돌",HYPERLINK("#'관리자_MASTER'!D"&amp;_xlfn.MAXIFS(m_row,m_teacher,T$4,m_date,($G$2+13),m_active,1,m_start,"&lt;"&amp;1080,m_end,"&gt;"&amp;1020),INDEX(m_label,_xlfn.MAXIFS(m_row,m_teacher,T$4,m_date,($G$2+13),m_active,1,m_start,"&lt;"&amp;1080,m_end,"&gt;"&amp;1020))))))</f>
        <v/>
      </c>
      <c r="U79" s="82" t="str">
        <f aca="false">IF(OR(U$4="",MONTH(($G$2+13))&lt;&gt;MONTH($C$2)),"",IF(COUNTIFS(m_teacher,U$4,m_date,($G$2+13),m_active,1,m_start,"&lt;"&amp;1080,m_end,"&gt;"&amp;1020)=0,"",IF(COUNTIFS(m_teacher,U$4,m_date,($G$2+13),m_active,1,m_start,"&lt;"&amp;1080,m_end,"&gt;"&amp;1020)&gt;1,"충돌",HYPERLINK("#'관리자_MASTER'!D"&amp;_xlfn.MAXIFS(m_row,m_teacher,U$4,m_date,($G$2+13),m_active,1,m_start,"&lt;"&amp;1080,m_end,"&gt;"&amp;1020),INDEX(m_label,_xlfn.MAXIFS(m_row,m_teacher,U$4,m_date,($G$2+13),m_active,1,m_start,"&lt;"&amp;1080,m_end,"&gt;"&amp;1020))))))</f>
        <v/>
      </c>
      <c r="V79" s="82" t="str">
        <f aca="false">IF(OR(V$4="",MONTH(($G$2+13))&lt;&gt;MONTH($C$2)),"",IF(COUNTIFS(m_teacher,V$4,m_date,($G$2+13),m_active,1,m_start,"&lt;"&amp;1080,m_end,"&gt;"&amp;1020)=0,"",IF(COUNTIFS(m_teacher,V$4,m_date,($G$2+13),m_active,1,m_start,"&lt;"&amp;1080,m_end,"&gt;"&amp;1020)&gt;1,"충돌",HYPERLINK("#'관리자_MASTER'!D"&amp;_xlfn.MAXIFS(m_row,m_teacher,V$4,m_date,($G$2+13),m_active,1,m_start,"&lt;"&amp;1080,m_end,"&gt;"&amp;1020),INDEX(m_label,_xlfn.MAXIFS(m_row,m_teacher,V$4,m_date,($G$2+13),m_active,1,m_start,"&lt;"&amp;1080,m_end,"&gt;"&amp;1020))))))</f>
        <v/>
      </c>
      <c r="W79" s="82" t="str">
        <f aca="false">IF(OR(W$4="",MONTH(($G$2+13))&lt;&gt;MONTH($C$2)),"",IF(COUNTIFS(m_teacher,W$4,m_date,($G$2+13),m_active,1,m_start,"&lt;"&amp;1080,m_end,"&gt;"&amp;1020)=0,"",IF(COUNTIFS(m_teacher,W$4,m_date,($G$2+13),m_active,1,m_start,"&lt;"&amp;1080,m_end,"&gt;"&amp;1020)&gt;1,"충돌",HYPERLINK("#'관리자_MASTER'!D"&amp;_xlfn.MAXIFS(m_row,m_teacher,W$4,m_date,($G$2+13),m_active,1,m_start,"&lt;"&amp;1080,m_end,"&gt;"&amp;1020),INDEX(m_label,_xlfn.MAXIFS(m_row,m_teacher,W$4,m_date,($G$2+13),m_active,1,m_start,"&lt;"&amp;1080,m_end,"&gt;"&amp;1020))))))</f>
        <v/>
      </c>
      <c r="X79" s="82" t="str">
        <f aca="false">IF(OR(X$4="",MONTH(($G$2+13))&lt;&gt;MONTH($C$2)),"",IF(COUNTIFS(m_teacher,X$4,m_date,($G$2+13),m_active,1,m_start,"&lt;"&amp;1080,m_end,"&gt;"&amp;1020)=0,"",IF(COUNTIFS(m_teacher,X$4,m_date,($G$2+13),m_active,1,m_start,"&lt;"&amp;1080,m_end,"&gt;"&amp;1020)&gt;1,"충돌",HYPERLINK("#'관리자_MASTER'!D"&amp;_xlfn.MAXIFS(m_row,m_teacher,X$4,m_date,($G$2+13),m_active,1,m_start,"&lt;"&amp;1080,m_end,"&gt;"&amp;1020),INDEX(m_label,_xlfn.MAXIFS(m_row,m_teacher,X$4,m_date,($G$2+13),m_active,1,m_start,"&lt;"&amp;1080,m_end,"&gt;"&amp;1020))))))</f>
        <v/>
      </c>
      <c r="Y79" s="82" t="str">
        <f aca="false">IF(OR(Y$4="",MONTH(($G$2+13))&lt;&gt;MONTH($C$2)),"",IF(COUNTIFS(m_teacher,Y$4,m_date,($G$2+13),m_active,1,m_start,"&lt;"&amp;1080,m_end,"&gt;"&amp;1020)=0,"",IF(COUNTIFS(m_teacher,Y$4,m_date,($G$2+13),m_active,1,m_start,"&lt;"&amp;1080,m_end,"&gt;"&amp;1020)&gt;1,"충돌",HYPERLINK("#'관리자_MASTER'!D"&amp;_xlfn.MAXIFS(m_row,m_teacher,Y$4,m_date,($G$2+13),m_active,1,m_start,"&lt;"&amp;1080,m_end,"&gt;"&amp;1020),INDEX(m_label,_xlfn.MAXIFS(m_row,m_teacher,Y$4,m_date,($G$2+13),m_active,1,m_start,"&lt;"&amp;1080,m_end,"&gt;"&amp;1020))))))</f>
        <v/>
      </c>
      <c r="Z79" s="82" t="str">
        <f aca="false">IF(OR(Z$4="",MONTH(($G$2+13))&lt;&gt;MONTH($C$2)),"",IF(COUNTIFS(m_teacher,Z$4,m_date,($G$2+13),m_active,1,m_start,"&lt;"&amp;1080,m_end,"&gt;"&amp;1020)=0,"",IF(COUNTIFS(m_teacher,Z$4,m_date,($G$2+13),m_active,1,m_start,"&lt;"&amp;1080,m_end,"&gt;"&amp;1020)&gt;1,"충돌",HYPERLINK("#'관리자_MASTER'!D"&amp;_xlfn.MAXIFS(m_row,m_teacher,Z$4,m_date,($G$2+13),m_active,1,m_start,"&lt;"&amp;1080,m_end,"&gt;"&amp;1020),INDEX(m_label,_xlfn.MAXIFS(m_row,m_teacher,Z$4,m_date,($G$2+13),m_active,1,m_start,"&lt;"&amp;1080,m_end,"&gt;"&amp;1020))))))</f>
        <v/>
      </c>
      <c r="AA79" s="82" t="str">
        <f aca="false">IF(OR(AA$4="",MONTH(($G$2+13))&lt;&gt;MONTH($C$2)),"",IF(COUNTIFS(m_teacher,AA$4,m_date,($G$2+13),m_active,1,m_start,"&lt;"&amp;1080,m_end,"&gt;"&amp;1020)=0,"",IF(COUNTIFS(m_teacher,AA$4,m_date,($G$2+13),m_active,1,m_start,"&lt;"&amp;1080,m_end,"&gt;"&amp;1020)&gt;1,"충돌",HYPERLINK("#'관리자_MASTER'!D"&amp;_xlfn.MAXIFS(m_row,m_teacher,AA$4,m_date,($G$2+13),m_active,1,m_start,"&lt;"&amp;1080,m_end,"&gt;"&amp;1020),INDEX(m_label,_xlfn.MAXIFS(m_row,m_teacher,AA$4,m_date,($G$2+13),m_active,1,m_start,"&lt;"&amp;1080,m_end,"&gt;"&amp;1020))))))</f>
        <v/>
      </c>
      <c r="AB79" s="82" t="str">
        <f aca="false">IF(OR(AB$4="",MONTH(($G$2+13))&lt;&gt;MONTH($C$2)),"",IF(COUNTIFS(m_teacher,AB$4,m_date,($G$2+13),m_active,1,m_start,"&lt;"&amp;1080,m_end,"&gt;"&amp;1020)=0,"",IF(COUNTIFS(m_teacher,AB$4,m_date,($G$2+13),m_active,1,m_start,"&lt;"&amp;1080,m_end,"&gt;"&amp;1020)&gt;1,"충돌",HYPERLINK("#'관리자_MASTER'!D"&amp;_xlfn.MAXIFS(m_row,m_teacher,AB$4,m_date,($G$2+13),m_active,1,m_start,"&lt;"&amp;1080,m_end,"&gt;"&amp;1020),INDEX(m_label,_xlfn.MAXIFS(m_row,m_teacher,AB$4,m_date,($G$2+13),m_active,1,m_start,"&lt;"&amp;1080,m_end,"&gt;"&amp;1020))))))</f>
        <v/>
      </c>
      <c r="AC79" s="92"/>
      <c r="AD79" s="79" t="s">
        <v>99</v>
      </c>
      <c r="AE79" s="82" t="str">
        <f aca="false">IF(OR(AE$4="",MONTH(($G$2+20))&lt;&gt;MONTH($C$2)),"",IF(COUNTIFS(m_teacher,AE$4,m_date,($G$2+20),m_active,1,m_start,"&lt;"&amp;1080,m_end,"&gt;"&amp;1020)=0,"",IF(COUNTIFS(m_teacher,AE$4,m_date,($G$2+20),m_active,1,m_start,"&lt;"&amp;1080,m_end,"&gt;"&amp;1020)&gt;1,"충돌",HYPERLINK("#'관리자_MASTER'!D"&amp;_xlfn.MAXIFS(m_row,m_teacher,AE$4,m_date,($G$2+20),m_active,1,m_start,"&lt;"&amp;1080,m_end,"&gt;"&amp;1020),INDEX(m_label,_xlfn.MAXIFS(m_row,m_teacher,AE$4,m_date,($G$2+20),m_active,1,m_start,"&lt;"&amp;1080,m_end,"&gt;"&amp;1020))))))</f>
        <v/>
      </c>
      <c r="AF79" s="82" t="str">
        <f aca="false">IF(OR(AF$4="",MONTH(($G$2+20))&lt;&gt;MONTH($C$2)),"",IF(COUNTIFS(m_teacher,AF$4,m_date,($G$2+20),m_active,1,m_start,"&lt;"&amp;1080,m_end,"&gt;"&amp;1020)=0,"",IF(COUNTIFS(m_teacher,AF$4,m_date,($G$2+20),m_active,1,m_start,"&lt;"&amp;1080,m_end,"&gt;"&amp;1020)&gt;1,"충돌",HYPERLINK("#'관리자_MASTER'!D"&amp;_xlfn.MAXIFS(m_row,m_teacher,AF$4,m_date,($G$2+20),m_active,1,m_start,"&lt;"&amp;1080,m_end,"&gt;"&amp;1020),INDEX(m_label,_xlfn.MAXIFS(m_row,m_teacher,AF$4,m_date,($G$2+20),m_active,1,m_start,"&lt;"&amp;1080,m_end,"&gt;"&amp;1020))))))</f>
        <v/>
      </c>
      <c r="AG79" s="82" t="str">
        <f aca="false">IF(OR(AG$4="",MONTH(($G$2+20))&lt;&gt;MONTH($C$2)),"",IF(COUNTIFS(m_teacher,AG$4,m_date,($G$2+20),m_active,1,m_start,"&lt;"&amp;1080,m_end,"&gt;"&amp;1020)=0,"",IF(COUNTIFS(m_teacher,AG$4,m_date,($G$2+20),m_active,1,m_start,"&lt;"&amp;1080,m_end,"&gt;"&amp;1020)&gt;1,"충돌",HYPERLINK("#'관리자_MASTER'!D"&amp;_xlfn.MAXIFS(m_row,m_teacher,AG$4,m_date,($G$2+20),m_active,1,m_start,"&lt;"&amp;1080,m_end,"&gt;"&amp;1020),INDEX(m_label,_xlfn.MAXIFS(m_row,m_teacher,AG$4,m_date,($G$2+20),m_active,1,m_start,"&lt;"&amp;1080,m_end,"&gt;"&amp;1020))))))</f>
        <v/>
      </c>
      <c r="AH79" s="82" t="str">
        <f aca="false">IF(OR(AH$4="",MONTH(($G$2+20))&lt;&gt;MONTH($C$2)),"",IF(COUNTIFS(m_teacher,AH$4,m_date,($G$2+20),m_active,1,m_start,"&lt;"&amp;1080,m_end,"&gt;"&amp;1020)=0,"",IF(COUNTIFS(m_teacher,AH$4,m_date,($G$2+20),m_active,1,m_start,"&lt;"&amp;1080,m_end,"&gt;"&amp;1020)&gt;1,"충돌",HYPERLINK("#'관리자_MASTER'!D"&amp;_xlfn.MAXIFS(m_row,m_teacher,AH$4,m_date,($G$2+20),m_active,1,m_start,"&lt;"&amp;1080,m_end,"&gt;"&amp;1020),INDEX(m_label,_xlfn.MAXIFS(m_row,m_teacher,AH$4,m_date,($G$2+20),m_active,1,m_start,"&lt;"&amp;1080,m_end,"&gt;"&amp;1020))))))</f>
        <v/>
      </c>
      <c r="AI79" s="82" t="str">
        <f aca="false">IF(OR(AI$4="",MONTH(($G$2+20))&lt;&gt;MONTH($C$2)),"",IF(COUNTIFS(m_teacher,AI$4,m_date,($G$2+20),m_active,1,m_start,"&lt;"&amp;1080,m_end,"&gt;"&amp;1020)=0,"",IF(COUNTIFS(m_teacher,AI$4,m_date,($G$2+20),m_active,1,m_start,"&lt;"&amp;1080,m_end,"&gt;"&amp;1020)&gt;1,"충돌",HYPERLINK("#'관리자_MASTER'!D"&amp;_xlfn.MAXIFS(m_row,m_teacher,AI$4,m_date,($G$2+20),m_active,1,m_start,"&lt;"&amp;1080,m_end,"&gt;"&amp;1020),INDEX(m_label,_xlfn.MAXIFS(m_row,m_teacher,AI$4,m_date,($G$2+20),m_active,1,m_start,"&lt;"&amp;1080,m_end,"&gt;"&amp;1020))))))</f>
        <v/>
      </c>
      <c r="AJ79" s="82" t="str">
        <f aca="false">IF(OR(AJ$4="",MONTH(($G$2+20))&lt;&gt;MONTH($C$2)),"",IF(COUNTIFS(m_teacher,AJ$4,m_date,($G$2+20),m_active,1,m_start,"&lt;"&amp;1080,m_end,"&gt;"&amp;1020)=0,"",IF(COUNTIFS(m_teacher,AJ$4,m_date,($G$2+20),m_active,1,m_start,"&lt;"&amp;1080,m_end,"&gt;"&amp;1020)&gt;1,"충돌",HYPERLINK("#'관리자_MASTER'!D"&amp;_xlfn.MAXIFS(m_row,m_teacher,AJ$4,m_date,($G$2+20),m_active,1,m_start,"&lt;"&amp;1080,m_end,"&gt;"&amp;1020),INDEX(m_label,_xlfn.MAXIFS(m_row,m_teacher,AJ$4,m_date,($G$2+20),m_active,1,m_start,"&lt;"&amp;1080,m_end,"&gt;"&amp;1020))))))</f>
        <v/>
      </c>
      <c r="AK79" s="82" t="str">
        <f aca="false">IF(OR(AK$4="",MONTH(($G$2+20))&lt;&gt;MONTH($C$2)),"",IF(COUNTIFS(m_teacher,AK$4,m_date,($G$2+20),m_active,1,m_start,"&lt;"&amp;1080,m_end,"&gt;"&amp;1020)=0,"",IF(COUNTIFS(m_teacher,AK$4,m_date,($G$2+20),m_active,1,m_start,"&lt;"&amp;1080,m_end,"&gt;"&amp;1020)&gt;1,"충돌",HYPERLINK("#'관리자_MASTER'!D"&amp;_xlfn.MAXIFS(m_row,m_teacher,AK$4,m_date,($G$2+20),m_active,1,m_start,"&lt;"&amp;1080,m_end,"&gt;"&amp;1020),INDEX(m_label,_xlfn.MAXIFS(m_row,m_teacher,AK$4,m_date,($G$2+20),m_active,1,m_start,"&lt;"&amp;1080,m_end,"&gt;"&amp;1020))))))</f>
        <v/>
      </c>
      <c r="AL79" s="82" t="str">
        <f aca="false">IF(OR(AL$4="",MONTH(($G$2+20))&lt;&gt;MONTH($C$2)),"",IF(COUNTIFS(m_teacher,AL$4,m_date,($G$2+20),m_active,1,m_start,"&lt;"&amp;1080,m_end,"&gt;"&amp;1020)=0,"",IF(COUNTIFS(m_teacher,AL$4,m_date,($G$2+20),m_active,1,m_start,"&lt;"&amp;1080,m_end,"&gt;"&amp;1020)&gt;1,"충돌",HYPERLINK("#'관리자_MASTER'!D"&amp;_xlfn.MAXIFS(m_row,m_teacher,AL$4,m_date,($G$2+20),m_active,1,m_start,"&lt;"&amp;1080,m_end,"&gt;"&amp;1020),INDEX(m_label,_xlfn.MAXIFS(m_row,m_teacher,AL$4,m_date,($G$2+20),m_active,1,m_start,"&lt;"&amp;1080,m_end,"&gt;"&amp;1020))))))</f>
        <v/>
      </c>
      <c r="AM79" s="82" t="str">
        <f aca="false">IF(OR(AM$4="",MONTH(($G$2+20))&lt;&gt;MONTH($C$2)),"",IF(COUNTIFS(m_teacher,AM$4,m_date,($G$2+20),m_active,1,m_start,"&lt;"&amp;1080,m_end,"&gt;"&amp;1020)=0,"",IF(COUNTIFS(m_teacher,AM$4,m_date,($G$2+20),m_active,1,m_start,"&lt;"&amp;1080,m_end,"&gt;"&amp;1020)&gt;1,"충돌",HYPERLINK("#'관리자_MASTER'!D"&amp;_xlfn.MAXIFS(m_row,m_teacher,AM$4,m_date,($G$2+20),m_active,1,m_start,"&lt;"&amp;1080,m_end,"&gt;"&amp;1020),INDEX(m_label,_xlfn.MAXIFS(m_row,m_teacher,AM$4,m_date,($G$2+20),m_active,1,m_start,"&lt;"&amp;1080,m_end,"&gt;"&amp;1020))))))</f>
        <v/>
      </c>
      <c r="AN79" s="82" t="str">
        <f aca="false">IF(OR(AN$4="",MONTH(($G$2+20))&lt;&gt;MONTH($C$2)),"",IF(COUNTIFS(m_teacher,AN$4,m_date,($G$2+20),m_active,1,m_start,"&lt;"&amp;1080,m_end,"&gt;"&amp;1020)=0,"",IF(COUNTIFS(m_teacher,AN$4,m_date,($G$2+20),m_active,1,m_start,"&lt;"&amp;1080,m_end,"&gt;"&amp;1020)&gt;1,"충돌",HYPERLINK("#'관리자_MASTER'!D"&amp;_xlfn.MAXIFS(m_row,m_teacher,AN$4,m_date,($G$2+20),m_active,1,m_start,"&lt;"&amp;1080,m_end,"&gt;"&amp;1020),INDEX(m_label,_xlfn.MAXIFS(m_row,m_teacher,AN$4,m_date,($G$2+20),m_active,1,m_start,"&lt;"&amp;1080,m_end,"&gt;"&amp;1020))))))</f>
        <v/>
      </c>
      <c r="AO79" s="82" t="str">
        <f aca="false">IF(OR(AO$4="",MONTH(($G$2+20))&lt;&gt;MONTH($C$2)),"",IF(COUNTIFS(m_teacher,AO$4,m_date,($G$2+20),m_active,1,m_start,"&lt;"&amp;1080,m_end,"&gt;"&amp;1020)=0,"",IF(COUNTIFS(m_teacher,AO$4,m_date,($G$2+20),m_active,1,m_start,"&lt;"&amp;1080,m_end,"&gt;"&amp;1020)&gt;1,"충돌",HYPERLINK("#'관리자_MASTER'!D"&amp;_xlfn.MAXIFS(m_row,m_teacher,AO$4,m_date,($G$2+20),m_active,1,m_start,"&lt;"&amp;1080,m_end,"&gt;"&amp;1020),INDEX(m_label,_xlfn.MAXIFS(m_row,m_teacher,AO$4,m_date,($G$2+20),m_active,1,m_start,"&lt;"&amp;1080,m_end,"&gt;"&amp;1020))))))</f>
        <v/>
      </c>
      <c r="AP79" s="82" t="str">
        <f aca="false">IF(OR(AP$4="",MONTH(($G$2+20))&lt;&gt;MONTH($C$2)),"",IF(COUNTIFS(m_teacher,AP$4,m_date,($G$2+20),m_active,1,m_start,"&lt;"&amp;1080,m_end,"&gt;"&amp;1020)=0,"",IF(COUNTIFS(m_teacher,AP$4,m_date,($G$2+20),m_active,1,m_start,"&lt;"&amp;1080,m_end,"&gt;"&amp;1020)&gt;1,"충돌",HYPERLINK("#'관리자_MASTER'!D"&amp;_xlfn.MAXIFS(m_row,m_teacher,AP$4,m_date,($G$2+20),m_active,1,m_start,"&lt;"&amp;1080,m_end,"&gt;"&amp;1020),INDEX(m_label,_xlfn.MAXIFS(m_row,m_teacher,AP$4,m_date,($G$2+20),m_active,1,m_start,"&lt;"&amp;1080,m_end,"&gt;"&amp;1020))))))</f>
        <v/>
      </c>
      <c r="AQ79" s="92"/>
      <c r="AR79" s="79" t="s">
        <v>99</v>
      </c>
      <c r="AS79" s="82" t="str">
        <f aca="false">IF(OR(AS$4="",MONTH(($G$2+27))&lt;&gt;MONTH($C$2)),"",IF(COUNTIFS(m_teacher,AS$4,m_date,($G$2+27),m_active,1,m_start,"&lt;"&amp;1080,m_end,"&gt;"&amp;1020)=0,"",IF(COUNTIFS(m_teacher,AS$4,m_date,($G$2+27),m_active,1,m_start,"&lt;"&amp;1080,m_end,"&gt;"&amp;1020)&gt;1,"충돌",HYPERLINK("#'관리자_MASTER'!D"&amp;_xlfn.MAXIFS(m_row,m_teacher,AS$4,m_date,($G$2+27),m_active,1,m_start,"&lt;"&amp;1080,m_end,"&gt;"&amp;1020),INDEX(m_label,_xlfn.MAXIFS(m_row,m_teacher,AS$4,m_date,($G$2+27),m_active,1,m_start,"&lt;"&amp;1080,m_end,"&gt;"&amp;1020))))))</f>
        <v/>
      </c>
      <c r="AT79" s="82" t="str">
        <f aca="false">IF(OR(AT$4="",MONTH(($G$2+27))&lt;&gt;MONTH($C$2)),"",IF(COUNTIFS(m_teacher,AT$4,m_date,($G$2+27),m_active,1,m_start,"&lt;"&amp;1080,m_end,"&gt;"&amp;1020)=0,"",IF(COUNTIFS(m_teacher,AT$4,m_date,($G$2+27),m_active,1,m_start,"&lt;"&amp;1080,m_end,"&gt;"&amp;1020)&gt;1,"충돌",HYPERLINK("#'관리자_MASTER'!D"&amp;_xlfn.MAXIFS(m_row,m_teacher,AT$4,m_date,($G$2+27),m_active,1,m_start,"&lt;"&amp;1080,m_end,"&gt;"&amp;1020),INDEX(m_label,_xlfn.MAXIFS(m_row,m_teacher,AT$4,m_date,($G$2+27),m_active,1,m_start,"&lt;"&amp;1080,m_end,"&gt;"&amp;1020))))))</f>
        <v/>
      </c>
      <c r="AU79" s="82" t="str">
        <f aca="false">IF(OR(AU$4="",MONTH(($G$2+27))&lt;&gt;MONTH($C$2)),"",IF(COUNTIFS(m_teacher,AU$4,m_date,($G$2+27),m_active,1,m_start,"&lt;"&amp;1080,m_end,"&gt;"&amp;1020)=0,"",IF(COUNTIFS(m_teacher,AU$4,m_date,($G$2+27),m_active,1,m_start,"&lt;"&amp;1080,m_end,"&gt;"&amp;1020)&gt;1,"충돌",HYPERLINK("#'관리자_MASTER'!D"&amp;_xlfn.MAXIFS(m_row,m_teacher,AU$4,m_date,($G$2+27),m_active,1,m_start,"&lt;"&amp;1080,m_end,"&gt;"&amp;1020),INDEX(m_label,_xlfn.MAXIFS(m_row,m_teacher,AU$4,m_date,($G$2+27),m_active,1,m_start,"&lt;"&amp;1080,m_end,"&gt;"&amp;1020))))))</f>
        <v/>
      </c>
      <c r="AV79" s="82" t="str">
        <f aca="false">IF(OR(AV$4="",MONTH(($G$2+27))&lt;&gt;MONTH($C$2)),"",IF(COUNTIFS(m_teacher,AV$4,m_date,($G$2+27),m_active,1,m_start,"&lt;"&amp;1080,m_end,"&gt;"&amp;1020)=0,"",IF(COUNTIFS(m_teacher,AV$4,m_date,($G$2+27),m_active,1,m_start,"&lt;"&amp;1080,m_end,"&gt;"&amp;1020)&gt;1,"충돌",HYPERLINK("#'관리자_MASTER'!D"&amp;_xlfn.MAXIFS(m_row,m_teacher,AV$4,m_date,($G$2+27),m_active,1,m_start,"&lt;"&amp;1080,m_end,"&gt;"&amp;1020),INDEX(m_label,_xlfn.MAXIFS(m_row,m_teacher,AV$4,m_date,($G$2+27),m_active,1,m_start,"&lt;"&amp;1080,m_end,"&gt;"&amp;1020))))))</f>
        <v/>
      </c>
      <c r="AW79" s="82" t="str">
        <f aca="false">IF(OR(AW$4="",MONTH(($G$2+27))&lt;&gt;MONTH($C$2)),"",IF(COUNTIFS(m_teacher,AW$4,m_date,($G$2+27),m_active,1,m_start,"&lt;"&amp;1080,m_end,"&gt;"&amp;1020)=0,"",IF(COUNTIFS(m_teacher,AW$4,m_date,($G$2+27),m_active,1,m_start,"&lt;"&amp;1080,m_end,"&gt;"&amp;1020)&gt;1,"충돌",HYPERLINK("#'관리자_MASTER'!D"&amp;_xlfn.MAXIFS(m_row,m_teacher,AW$4,m_date,($G$2+27),m_active,1,m_start,"&lt;"&amp;1080,m_end,"&gt;"&amp;1020),INDEX(m_label,_xlfn.MAXIFS(m_row,m_teacher,AW$4,m_date,($G$2+27),m_active,1,m_start,"&lt;"&amp;1080,m_end,"&gt;"&amp;1020))))))</f>
        <v/>
      </c>
      <c r="AX79" s="82" t="str">
        <f aca="false">IF(OR(AX$4="",MONTH(($G$2+27))&lt;&gt;MONTH($C$2)),"",IF(COUNTIFS(m_teacher,AX$4,m_date,($G$2+27),m_active,1,m_start,"&lt;"&amp;1080,m_end,"&gt;"&amp;1020)=0,"",IF(COUNTIFS(m_teacher,AX$4,m_date,($G$2+27),m_active,1,m_start,"&lt;"&amp;1080,m_end,"&gt;"&amp;1020)&gt;1,"충돌",HYPERLINK("#'관리자_MASTER'!D"&amp;_xlfn.MAXIFS(m_row,m_teacher,AX$4,m_date,($G$2+27),m_active,1,m_start,"&lt;"&amp;1080,m_end,"&gt;"&amp;1020),INDEX(m_label,_xlfn.MAXIFS(m_row,m_teacher,AX$4,m_date,($G$2+27),m_active,1,m_start,"&lt;"&amp;1080,m_end,"&gt;"&amp;1020))))))</f>
        <v/>
      </c>
      <c r="AY79" s="82" t="str">
        <f aca="false">IF(OR(AY$4="",MONTH(($G$2+27))&lt;&gt;MONTH($C$2)),"",IF(COUNTIFS(m_teacher,AY$4,m_date,($G$2+27),m_active,1,m_start,"&lt;"&amp;1080,m_end,"&gt;"&amp;1020)=0,"",IF(COUNTIFS(m_teacher,AY$4,m_date,($G$2+27),m_active,1,m_start,"&lt;"&amp;1080,m_end,"&gt;"&amp;1020)&gt;1,"충돌",HYPERLINK("#'관리자_MASTER'!D"&amp;_xlfn.MAXIFS(m_row,m_teacher,AY$4,m_date,($G$2+27),m_active,1,m_start,"&lt;"&amp;1080,m_end,"&gt;"&amp;1020),INDEX(m_label,_xlfn.MAXIFS(m_row,m_teacher,AY$4,m_date,($G$2+27),m_active,1,m_start,"&lt;"&amp;1080,m_end,"&gt;"&amp;1020))))))</f>
        <v/>
      </c>
      <c r="AZ79" s="82" t="str">
        <f aca="false">IF(OR(AZ$4="",MONTH(($G$2+27))&lt;&gt;MONTH($C$2)),"",IF(COUNTIFS(m_teacher,AZ$4,m_date,($G$2+27),m_active,1,m_start,"&lt;"&amp;1080,m_end,"&gt;"&amp;1020)=0,"",IF(COUNTIFS(m_teacher,AZ$4,m_date,($G$2+27),m_active,1,m_start,"&lt;"&amp;1080,m_end,"&gt;"&amp;1020)&gt;1,"충돌",HYPERLINK("#'관리자_MASTER'!D"&amp;_xlfn.MAXIFS(m_row,m_teacher,AZ$4,m_date,($G$2+27),m_active,1,m_start,"&lt;"&amp;1080,m_end,"&gt;"&amp;1020),INDEX(m_label,_xlfn.MAXIFS(m_row,m_teacher,AZ$4,m_date,($G$2+27),m_active,1,m_start,"&lt;"&amp;1080,m_end,"&gt;"&amp;1020))))))</f>
        <v/>
      </c>
      <c r="BA79" s="82" t="str">
        <f aca="false">IF(OR(BA$4="",MONTH(($G$2+27))&lt;&gt;MONTH($C$2)),"",IF(COUNTIFS(m_teacher,BA$4,m_date,($G$2+27),m_active,1,m_start,"&lt;"&amp;1080,m_end,"&gt;"&amp;1020)=0,"",IF(COUNTIFS(m_teacher,BA$4,m_date,($G$2+27),m_active,1,m_start,"&lt;"&amp;1080,m_end,"&gt;"&amp;1020)&gt;1,"충돌",HYPERLINK("#'관리자_MASTER'!D"&amp;_xlfn.MAXIFS(m_row,m_teacher,BA$4,m_date,($G$2+27),m_active,1,m_start,"&lt;"&amp;1080,m_end,"&gt;"&amp;1020),INDEX(m_label,_xlfn.MAXIFS(m_row,m_teacher,BA$4,m_date,($G$2+27),m_active,1,m_start,"&lt;"&amp;1080,m_end,"&gt;"&amp;1020))))))</f>
        <v/>
      </c>
      <c r="BB79" s="82" t="str">
        <f aca="false">IF(OR(BB$4="",MONTH(($G$2+27))&lt;&gt;MONTH($C$2)),"",IF(COUNTIFS(m_teacher,BB$4,m_date,($G$2+27),m_active,1,m_start,"&lt;"&amp;1080,m_end,"&gt;"&amp;1020)=0,"",IF(COUNTIFS(m_teacher,BB$4,m_date,($G$2+27),m_active,1,m_start,"&lt;"&amp;1080,m_end,"&gt;"&amp;1020)&gt;1,"충돌",HYPERLINK("#'관리자_MASTER'!D"&amp;_xlfn.MAXIFS(m_row,m_teacher,BB$4,m_date,($G$2+27),m_active,1,m_start,"&lt;"&amp;1080,m_end,"&gt;"&amp;1020),INDEX(m_label,_xlfn.MAXIFS(m_row,m_teacher,BB$4,m_date,($G$2+27),m_active,1,m_start,"&lt;"&amp;1080,m_end,"&gt;"&amp;1020))))))</f>
        <v/>
      </c>
      <c r="BC79" s="82" t="str">
        <f aca="false">IF(OR(BC$4="",MONTH(($G$2+27))&lt;&gt;MONTH($C$2)),"",IF(COUNTIFS(m_teacher,BC$4,m_date,($G$2+27),m_active,1,m_start,"&lt;"&amp;1080,m_end,"&gt;"&amp;1020)=0,"",IF(COUNTIFS(m_teacher,BC$4,m_date,($G$2+27),m_active,1,m_start,"&lt;"&amp;1080,m_end,"&gt;"&amp;1020)&gt;1,"충돌",HYPERLINK("#'관리자_MASTER'!D"&amp;_xlfn.MAXIFS(m_row,m_teacher,BC$4,m_date,($G$2+27),m_active,1,m_start,"&lt;"&amp;1080,m_end,"&gt;"&amp;1020),INDEX(m_label,_xlfn.MAXIFS(m_row,m_teacher,BC$4,m_date,($G$2+27),m_active,1,m_start,"&lt;"&amp;1080,m_end,"&gt;"&amp;1020))))))</f>
        <v/>
      </c>
      <c r="BD79" s="82" t="str">
        <f aca="false">IF(OR(BD$4="",MONTH(($G$2+27))&lt;&gt;MONTH($C$2)),"",IF(COUNTIFS(m_teacher,BD$4,m_date,($G$2+27),m_active,1,m_start,"&lt;"&amp;1080,m_end,"&gt;"&amp;1020)=0,"",IF(COUNTIFS(m_teacher,BD$4,m_date,($G$2+27),m_active,1,m_start,"&lt;"&amp;1080,m_end,"&gt;"&amp;1020)&gt;1,"충돌",HYPERLINK("#'관리자_MASTER'!D"&amp;_xlfn.MAXIFS(m_row,m_teacher,BD$4,m_date,($G$2+27),m_active,1,m_start,"&lt;"&amp;1080,m_end,"&gt;"&amp;1020),INDEX(m_label,_xlfn.MAXIFS(m_row,m_teacher,BD$4,m_date,($G$2+27),m_active,1,m_start,"&lt;"&amp;1080,m_end,"&gt;"&amp;1020))))))</f>
        <v/>
      </c>
      <c r="BE79" s="92"/>
      <c r="BF79" s="79" t="s">
        <v>99</v>
      </c>
      <c r="BG79" s="82" t="str">
        <f aca="false">IF(OR(BG$4="",MONTH(($G$2+34))&lt;&gt;MONTH($C$2)),"",IF(COUNTIFS(m_teacher,BG$4,m_date,($G$2+34),m_active,1,m_start,"&lt;"&amp;1080,m_end,"&gt;"&amp;1020)=0,"",IF(COUNTIFS(m_teacher,BG$4,m_date,($G$2+34),m_active,1,m_start,"&lt;"&amp;1080,m_end,"&gt;"&amp;1020)&gt;1,"충돌",HYPERLINK("#'관리자_MASTER'!D"&amp;_xlfn.MAXIFS(m_row,m_teacher,BG$4,m_date,($G$2+34),m_active,1,m_start,"&lt;"&amp;1080,m_end,"&gt;"&amp;1020),INDEX(m_label,_xlfn.MAXIFS(m_row,m_teacher,BG$4,m_date,($G$2+34),m_active,1,m_start,"&lt;"&amp;1080,m_end,"&gt;"&amp;1020))))))</f>
        <v/>
      </c>
      <c r="BH79" s="82" t="str">
        <f aca="false">IF(OR(BH$4="",MONTH(($G$2+34))&lt;&gt;MONTH($C$2)),"",IF(COUNTIFS(m_teacher,BH$4,m_date,($G$2+34),m_active,1,m_start,"&lt;"&amp;1080,m_end,"&gt;"&amp;1020)=0,"",IF(COUNTIFS(m_teacher,BH$4,m_date,($G$2+34),m_active,1,m_start,"&lt;"&amp;1080,m_end,"&gt;"&amp;1020)&gt;1,"충돌",HYPERLINK("#'관리자_MASTER'!D"&amp;_xlfn.MAXIFS(m_row,m_teacher,BH$4,m_date,($G$2+34),m_active,1,m_start,"&lt;"&amp;1080,m_end,"&gt;"&amp;1020),INDEX(m_label,_xlfn.MAXIFS(m_row,m_teacher,BH$4,m_date,($G$2+34),m_active,1,m_start,"&lt;"&amp;1080,m_end,"&gt;"&amp;1020))))))</f>
        <v/>
      </c>
      <c r="BI79" s="82" t="str">
        <f aca="false">IF(OR(BI$4="",MONTH(($G$2+34))&lt;&gt;MONTH($C$2)),"",IF(COUNTIFS(m_teacher,BI$4,m_date,($G$2+34),m_active,1,m_start,"&lt;"&amp;1080,m_end,"&gt;"&amp;1020)=0,"",IF(COUNTIFS(m_teacher,BI$4,m_date,($G$2+34),m_active,1,m_start,"&lt;"&amp;1080,m_end,"&gt;"&amp;1020)&gt;1,"충돌",HYPERLINK("#'관리자_MASTER'!D"&amp;_xlfn.MAXIFS(m_row,m_teacher,BI$4,m_date,($G$2+34),m_active,1,m_start,"&lt;"&amp;1080,m_end,"&gt;"&amp;1020),INDEX(m_label,_xlfn.MAXIFS(m_row,m_teacher,BI$4,m_date,($G$2+34),m_active,1,m_start,"&lt;"&amp;1080,m_end,"&gt;"&amp;1020))))))</f>
        <v/>
      </c>
      <c r="BJ79" s="82" t="str">
        <f aca="false">IF(OR(BJ$4="",MONTH(($G$2+34))&lt;&gt;MONTH($C$2)),"",IF(COUNTIFS(m_teacher,BJ$4,m_date,($G$2+34),m_active,1,m_start,"&lt;"&amp;1080,m_end,"&gt;"&amp;1020)=0,"",IF(COUNTIFS(m_teacher,BJ$4,m_date,($G$2+34),m_active,1,m_start,"&lt;"&amp;1080,m_end,"&gt;"&amp;1020)&gt;1,"충돌",HYPERLINK("#'관리자_MASTER'!D"&amp;_xlfn.MAXIFS(m_row,m_teacher,BJ$4,m_date,($G$2+34),m_active,1,m_start,"&lt;"&amp;1080,m_end,"&gt;"&amp;1020),INDEX(m_label,_xlfn.MAXIFS(m_row,m_teacher,BJ$4,m_date,($G$2+34),m_active,1,m_start,"&lt;"&amp;1080,m_end,"&gt;"&amp;1020))))))</f>
        <v/>
      </c>
      <c r="BK79" s="82" t="str">
        <f aca="false">IF(OR(BK$4="",MONTH(($G$2+34))&lt;&gt;MONTH($C$2)),"",IF(COUNTIFS(m_teacher,BK$4,m_date,($G$2+34),m_active,1,m_start,"&lt;"&amp;1080,m_end,"&gt;"&amp;1020)=0,"",IF(COUNTIFS(m_teacher,BK$4,m_date,($G$2+34),m_active,1,m_start,"&lt;"&amp;1080,m_end,"&gt;"&amp;1020)&gt;1,"충돌",HYPERLINK("#'관리자_MASTER'!D"&amp;_xlfn.MAXIFS(m_row,m_teacher,BK$4,m_date,($G$2+34),m_active,1,m_start,"&lt;"&amp;1080,m_end,"&gt;"&amp;1020),INDEX(m_label,_xlfn.MAXIFS(m_row,m_teacher,BK$4,m_date,($G$2+34),m_active,1,m_start,"&lt;"&amp;1080,m_end,"&gt;"&amp;1020))))))</f>
        <v/>
      </c>
      <c r="BL79" s="82" t="str">
        <f aca="false">IF(OR(BL$4="",MONTH(($G$2+34))&lt;&gt;MONTH($C$2)),"",IF(COUNTIFS(m_teacher,BL$4,m_date,($G$2+34),m_active,1,m_start,"&lt;"&amp;1080,m_end,"&gt;"&amp;1020)=0,"",IF(COUNTIFS(m_teacher,BL$4,m_date,($G$2+34),m_active,1,m_start,"&lt;"&amp;1080,m_end,"&gt;"&amp;1020)&gt;1,"충돌",HYPERLINK("#'관리자_MASTER'!D"&amp;_xlfn.MAXIFS(m_row,m_teacher,BL$4,m_date,($G$2+34),m_active,1,m_start,"&lt;"&amp;1080,m_end,"&gt;"&amp;1020),INDEX(m_label,_xlfn.MAXIFS(m_row,m_teacher,BL$4,m_date,($G$2+34),m_active,1,m_start,"&lt;"&amp;1080,m_end,"&gt;"&amp;1020))))))</f>
        <v/>
      </c>
      <c r="BM79" s="82" t="str">
        <f aca="false">IF(OR(BM$4="",MONTH(($G$2+34))&lt;&gt;MONTH($C$2)),"",IF(COUNTIFS(m_teacher,BM$4,m_date,($G$2+34),m_active,1,m_start,"&lt;"&amp;1080,m_end,"&gt;"&amp;1020)=0,"",IF(COUNTIFS(m_teacher,BM$4,m_date,($G$2+34),m_active,1,m_start,"&lt;"&amp;1080,m_end,"&gt;"&amp;1020)&gt;1,"충돌",HYPERLINK("#'관리자_MASTER'!D"&amp;_xlfn.MAXIFS(m_row,m_teacher,BM$4,m_date,($G$2+34),m_active,1,m_start,"&lt;"&amp;1080,m_end,"&gt;"&amp;1020),INDEX(m_label,_xlfn.MAXIFS(m_row,m_teacher,BM$4,m_date,($G$2+34),m_active,1,m_start,"&lt;"&amp;1080,m_end,"&gt;"&amp;1020))))))</f>
        <v/>
      </c>
      <c r="BN79" s="82" t="str">
        <f aca="false">IF(OR(BN$4="",MONTH(($G$2+34))&lt;&gt;MONTH($C$2)),"",IF(COUNTIFS(m_teacher,BN$4,m_date,($G$2+34),m_active,1,m_start,"&lt;"&amp;1080,m_end,"&gt;"&amp;1020)=0,"",IF(COUNTIFS(m_teacher,BN$4,m_date,($G$2+34),m_active,1,m_start,"&lt;"&amp;1080,m_end,"&gt;"&amp;1020)&gt;1,"충돌",HYPERLINK("#'관리자_MASTER'!D"&amp;_xlfn.MAXIFS(m_row,m_teacher,BN$4,m_date,($G$2+34),m_active,1,m_start,"&lt;"&amp;1080,m_end,"&gt;"&amp;1020),INDEX(m_label,_xlfn.MAXIFS(m_row,m_teacher,BN$4,m_date,($G$2+34),m_active,1,m_start,"&lt;"&amp;1080,m_end,"&gt;"&amp;1020))))))</f>
        <v/>
      </c>
      <c r="BO79" s="82" t="str">
        <f aca="false">IF(OR(BO$4="",MONTH(($G$2+34))&lt;&gt;MONTH($C$2)),"",IF(COUNTIFS(m_teacher,BO$4,m_date,($G$2+34),m_active,1,m_start,"&lt;"&amp;1080,m_end,"&gt;"&amp;1020)=0,"",IF(COUNTIFS(m_teacher,BO$4,m_date,($G$2+34),m_active,1,m_start,"&lt;"&amp;1080,m_end,"&gt;"&amp;1020)&gt;1,"충돌",HYPERLINK("#'관리자_MASTER'!D"&amp;_xlfn.MAXIFS(m_row,m_teacher,BO$4,m_date,($G$2+34),m_active,1,m_start,"&lt;"&amp;1080,m_end,"&gt;"&amp;1020),INDEX(m_label,_xlfn.MAXIFS(m_row,m_teacher,BO$4,m_date,($G$2+34),m_active,1,m_start,"&lt;"&amp;1080,m_end,"&gt;"&amp;1020))))))</f>
        <v/>
      </c>
      <c r="BP79" s="82" t="str">
        <f aca="false">IF(OR(BP$4="",MONTH(($G$2+34))&lt;&gt;MONTH($C$2)),"",IF(COUNTIFS(m_teacher,BP$4,m_date,($G$2+34),m_active,1,m_start,"&lt;"&amp;1080,m_end,"&gt;"&amp;1020)=0,"",IF(COUNTIFS(m_teacher,BP$4,m_date,($G$2+34),m_active,1,m_start,"&lt;"&amp;1080,m_end,"&gt;"&amp;1020)&gt;1,"충돌",HYPERLINK("#'관리자_MASTER'!D"&amp;_xlfn.MAXIFS(m_row,m_teacher,BP$4,m_date,($G$2+34),m_active,1,m_start,"&lt;"&amp;1080,m_end,"&gt;"&amp;1020),INDEX(m_label,_xlfn.MAXIFS(m_row,m_teacher,BP$4,m_date,($G$2+34),m_active,1,m_start,"&lt;"&amp;1080,m_end,"&gt;"&amp;1020))))))</f>
        <v/>
      </c>
      <c r="BQ79" s="82" t="str">
        <f aca="false">IF(OR(BQ$4="",MONTH(($G$2+34))&lt;&gt;MONTH($C$2)),"",IF(COUNTIFS(m_teacher,BQ$4,m_date,($G$2+34),m_active,1,m_start,"&lt;"&amp;1080,m_end,"&gt;"&amp;1020)=0,"",IF(COUNTIFS(m_teacher,BQ$4,m_date,($G$2+34),m_active,1,m_start,"&lt;"&amp;1080,m_end,"&gt;"&amp;1020)&gt;1,"충돌",HYPERLINK("#'관리자_MASTER'!D"&amp;_xlfn.MAXIFS(m_row,m_teacher,BQ$4,m_date,($G$2+34),m_active,1,m_start,"&lt;"&amp;1080,m_end,"&gt;"&amp;1020),INDEX(m_label,_xlfn.MAXIFS(m_row,m_teacher,BQ$4,m_date,($G$2+34),m_active,1,m_start,"&lt;"&amp;1080,m_end,"&gt;"&amp;1020))))))</f>
        <v/>
      </c>
      <c r="BR79" s="82" t="str">
        <f aca="false">IF(OR(BR$4="",MONTH(($G$2+34))&lt;&gt;MONTH($C$2)),"",IF(COUNTIFS(m_teacher,BR$4,m_date,($G$2+34),m_active,1,m_start,"&lt;"&amp;1080,m_end,"&gt;"&amp;1020)=0,"",IF(COUNTIFS(m_teacher,BR$4,m_date,($G$2+34),m_active,1,m_start,"&lt;"&amp;1080,m_end,"&gt;"&amp;1020)&gt;1,"충돌",HYPERLINK("#'관리자_MASTER'!D"&amp;_xlfn.MAXIFS(m_row,m_teacher,BR$4,m_date,($G$2+34),m_active,1,m_start,"&lt;"&amp;1080,m_end,"&gt;"&amp;1020),INDEX(m_label,_xlfn.MAXIFS(m_row,m_teacher,BR$4,m_date,($G$2+34),m_active,1,m_start,"&lt;"&amp;1080,m_end,"&gt;"&amp;1020))))))</f>
        <v/>
      </c>
    </row>
    <row r="80" customFormat="false" ht="19.5" hidden="false" customHeight="true" outlineLevel="0" collapsed="false">
      <c r="A80" s="92"/>
      <c r="B80" s="79" t="s">
        <v>100</v>
      </c>
      <c r="C80" s="82" t="str">
        <f aca="false">IF(OR(C$4="",MONTH(($G$2+6))&lt;&gt;MONTH($C$2)),"",IF(COUNTIFS(m_teacher,C$4,m_date,($G$2+6),m_active,1,m_start,"&lt;"&amp;1140,m_end,"&gt;"&amp;1080)=0,"",IF(COUNTIFS(m_teacher,C$4,m_date,($G$2+6),m_active,1,m_start,"&lt;"&amp;1140,m_end,"&gt;"&amp;1080)&gt;1,"충돌",HYPERLINK("#'관리자_MASTER'!D"&amp;_xlfn.MAXIFS(m_row,m_teacher,C$4,m_date,($G$2+6),m_active,1,m_start,"&lt;"&amp;1140,m_end,"&gt;"&amp;1080),INDEX(m_label,_xlfn.MAXIFS(m_row,m_teacher,C$4,m_date,($G$2+6),m_active,1,m_start,"&lt;"&amp;1140,m_end,"&gt;"&amp;1080))))))</f>
        <v/>
      </c>
      <c r="D80" s="82" t="str">
        <f aca="false">IF(OR(D$4="",MONTH(($G$2+6))&lt;&gt;MONTH($C$2)),"",IF(COUNTIFS(m_teacher,D$4,m_date,($G$2+6),m_active,1,m_start,"&lt;"&amp;1140,m_end,"&gt;"&amp;1080)=0,"",IF(COUNTIFS(m_teacher,D$4,m_date,($G$2+6),m_active,1,m_start,"&lt;"&amp;1140,m_end,"&gt;"&amp;1080)&gt;1,"충돌",HYPERLINK("#'관리자_MASTER'!D"&amp;_xlfn.MAXIFS(m_row,m_teacher,D$4,m_date,($G$2+6),m_active,1,m_start,"&lt;"&amp;1140,m_end,"&gt;"&amp;1080),INDEX(m_label,_xlfn.MAXIFS(m_row,m_teacher,D$4,m_date,($G$2+6),m_active,1,m_start,"&lt;"&amp;1140,m_end,"&gt;"&amp;1080))))))</f>
        <v/>
      </c>
      <c r="E80" s="82" t="str">
        <f aca="false">IF(OR(E$4="",MONTH(($G$2+6))&lt;&gt;MONTH($C$2)),"",IF(COUNTIFS(m_teacher,E$4,m_date,($G$2+6),m_active,1,m_start,"&lt;"&amp;1140,m_end,"&gt;"&amp;1080)=0,"",IF(COUNTIFS(m_teacher,E$4,m_date,($G$2+6),m_active,1,m_start,"&lt;"&amp;1140,m_end,"&gt;"&amp;1080)&gt;1,"충돌",HYPERLINK("#'관리자_MASTER'!D"&amp;_xlfn.MAXIFS(m_row,m_teacher,E$4,m_date,($G$2+6),m_active,1,m_start,"&lt;"&amp;1140,m_end,"&gt;"&amp;1080),INDEX(m_label,_xlfn.MAXIFS(m_row,m_teacher,E$4,m_date,($G$2+6),m_active,1,m_start,"&lt;"&amp;1140,m_end,"&gt;"&amp;1080))))))</f>
        <v/>
      </c>
      <c r="F80" s="82" t="str">
        <f aca="false">IF(OR(F$4="",MONTH(($G$2+6))&lt;&gt;MONTH($C$2)),"",IF(COUNTIFS(m_teacher,F$4,m_date,($G$2+6),m_active,1,m_start,"&lt;"&amp;1140,m_end,"&gt;"&amp;1080)=0,"",IF(COUNTIFS(m_teacher,F$4,m_date,($G$2+6),m_active,1,m_start,"&lt;"&amp;1140,m_end,"&gt;"&amp;1080)&gt;1,"충돌",HYPERLINK("#'관리자_MASTER'!D"&amp;_xlfn.MAXIFS(m_row,m_teacher,F$4,m_date,($G$2+6),m_active,1,m_start,"&lt;"&amp;1140,m_end,"&gt;"&amp;1080),INDEX(m_label,_xlfn.MAXIFS(m_row,m_teacher,F$4,m_date,($G$2+6),m_active,1,m_start,"&lt;"&amp;1140,m_end,"&gt;"&amp;1080))))))</f>
        <v/>
      </c>
      <c r="G80" s="82" t="str">
        <f aca="false">IF(OR(G$4="",MONTH(($G$2+6))&lt;&gt;MONTH($C$2)),"",IF(COUNTIFS(m_teacher,G$4,m_date,($G$2+6),m_active,1,m_start,"&lt;"&amp;1140,m_end,"&gt;"&amp;1080)=0,"",IF(COUNTIFS(m_teacher,G$4,m_date,($G$2+6),m_active,1,m_start,"&lt;"&amp;1140,m_end,"&gt;"&amp;1080)&gt;1,"충돌",HYPERLINK("#'관리자_MASTER'!D"&amp;_xlfn.MAXIFS(m_row,m_teacher,G$4,m_date,($G$2+6),m_active,1,m_start,"&lt;"&amp;1140,m_end,"&gt;"&amp;1080),INDEX(m_label,_xlfn.MAXIFS(m_row,m_teacher,G$4,m_date,($G$2+6),m_active,1,m_start,"&lt;"&amp;1140,m_end,"&gt;"&amp;1080))))))</f>
        <v/>
      </c>
      <c r="H80" s="82" t="str">
        <f aca="false">IF(OR(H$4="",MONTH(($G$2+6))&lt;&gt;MONTH($C$2)),"",IF(COUNTIFS(m_teacher,H$4,m_date,($G$2+6),m_active,1,m_start,"&lt;"&amp;1140,m_end,"&gt;"&amp;1080)=0,"",IF(COUNTIFS(m_teacher,H$4,m_date,($G$2+6),m_active,1,m_start,"&lt;"&amp;1140,m_end,"&gt;"&amp;1080)&gt;1,"충돌",HYPERLINK("#'관리자_MASTER'!D"&amp;_xlfn.MAXIFS(m_row,m_teacher,H$4,m_date,($G$2+6),m_active,1,m_start,"&lt;"&amp;1140,m_end,"&gt;"&amp;1080),INDEX(m_label,_xlfn.MAXIFS(m_row,m_teacher,H$4,m_date,($G$2+6),m_active,1,m_start,"&lt;"&amp;1140,m_end,"&gt;"&amp;1080))))))</f>
        <v/>
      </c>
      <c r="I80" s="82" t="str">
        <f aca="false">IF(OR(I$4="",MONTH(($G$2+6))&lt;&gt;MONTH($C$2)),"",IF(COUNTIFS(m_teacher,I$4,m_date,($G$2+6),m_active,1,m_start,"&lt;"&amp;1140,m_end,"&gt;"&amp;1080)=0,"",IF(COUNTIFS(m_teacher,I$4,m_date,($G$2+6),m_active,1,m_start,"&lt;"&amp;1140,m_end,"&gt;"&amp;1080)&gt;1,"충돌",HYPERLINK("#'관리자_MASTER'!D"&amp;_xlfn.MAXIFS(m_row,m_teacher,I$4,m_date,($G$2+6),m_active,1,m_start,"&lt;"&amp;1140,m_end,"&gt;"&amp;1080),INDEX(m_label,_xlfn.MAXIFS(m_row,m_teacher,I$4,m_date,($G$2+6),m_active,1,m_start,"&lt;"&amp;1140,m_end,"&gt;"&amp;1080))))))</f>
        <v/>
      </c>
      <c r="J80" s="82" t="str">
        <f aca="false">IF(OR(J$4="",MONTH(($G$2+6))&lt;&gt;MONTH($C$2)),"",IF(COUNTIFS(m_teacher,J$4,m_date,($G$2+6),m_active,1,m_start,"&lt;"&amp;1140,m_end,"&gt;"&amp;1080)=0,"",IF(COUNTIFS(m_teacher,J$4,m_date,($G$2+6),m_active,1,m_start,"&lt;"&amp;1140,m_end,"&gt;"&amp;1080)&gt;1,"충돌",HYPERLINK("#'관리자_MASTER'!D"&amp;_xlfn.MAXIFS(m_row,m_teacher,J$4,m_date,($G$2+6),m_active,1,m_start,"&lt;"&amp;1140,m_end,"&gt;"&amp;1080),INDEX(m_label,_xlfn.MAXIFS(m_row,m_teacher,J$4,m_date,($G$2+6),m_active,1,m_start,"&lt;"&amp;1140,m_end,"&gt;"&amp;1080))))))</f>
        <v/>
      </c>
      <c r="K80" s="82" t="str">
        <f aca="false">IF(OR(K$4="",MONTH(($G$2+6))&lt;&gt;MONTH($C$2)),"",IF(COUNTIFS(m_teacher,K$4,m_date,($G$2+6),m_active,1,m_start,"&lt;"&amp;1140,m_end,"&gt;"&amp;1080)=0,"",IF(COUNTIFS(m_teacher,K$4,m_date,($G$2+6),m_active,1,m_start,"&lt;"&amp;1140,m_end,"&gt;"&amp;1080)&gt;1,"충돌",HYPERLINK("#'관리자_MASTER'!D"&amp;_xlfn.MAXIFS(m_row,m_teacher,K$4,m_date,($G$2+6),m_active,1,m_start,"&lt;"&amp;1140,m_end,"&gt;"&amp;1080),INDEX(m_label,_xlfn.MAXIFS(m_row,m_teacher,K$4,m_date,($G$2+6),m_active,1,m_start,"&lt;"&amp;1140,m_end,"&gt;"&amp;1080))))))</f>
        <v/>
      </c>
      <c r="L80" s="82" t="str">
        <f aca="false">IF(OR(L$4="",MONTH(($G$2+6))&lt;&gt;MONTH($C$2)),"",IF(COUNTIFS(m_teacher,L$4,m_date,($G$2+6),m_active,1,m_start,"&lt;"&amp;1140,m_end,"&gt;"&amp;1080)=0,"",IF(COUNTIFS(m_teacher,L$4,m_date,($G$2+6),m_active,1,m_start,"&lt;"&amp;1140,m_end,"&gt;"&amp;1080)&gt;1,"충돌",HYPERLINK("#'관리자_MASTER'!D"&amp;_xlfn.MAXIFS(m_row,m_teacher,L$4,m_date,($G$2+6),m_active,1,m_start,"&lt;"&amp;1140,m_end,"&gt;"&amp;1080),INDEX(m_label,_xlfn.MAXIFS(m_row,m_teacher,L$4,m_date,($G$2+6),m_active,1,m_start,"&lt;"&amp;1140,m_end,"&gt;"&amp;1080))))))</f>
        <v/>
      </c>
      <c r="M80" s="82" t="str">
        <f aca="false">IF(OR(M$4="",MONTH(($G$2+6))&lt;&gt;MONTH($C$2)),"",IF(COUNTIFS(m_teacher,M$4,m_date,($G$2+6),m_active,1,m_start,"&lt;"&amp;1140,m_end,"&gt;"&amp;1080)=0,"",IF(COUNTIFS(m_teacher,M$4,m_date,($G$2+6),m_active,1,m_start,"&lt;"&amp;1140,m_end,"&gt;"&amp;1080)&gt;1,"충돌",HYPERLINK("#'관리자_MASTER'!D"&amp;_xlfn.MAXIFS(m_row,m_teacher,M$4,m_date,($G$2+6),m_active,1,m_start,"&lt;"&amp;1140,m_end,"&gt;"&amp;1080),INDEX(m_label,_xlfn.MAXIFS(m_row,m_teacher,M$4,m_date,($G$2+6),m_active,1,m_start,"&lt;"&amp;1140,m_end,"&gt;"&amp;1080))))))</f>
        <v/>
      </c>
      <c r="N80" s="82" t="str">
        <f aca="false">IF(OR(N$4="",MONTH(($G$2+6))&lt;&gt;MONTH($C$2)),"",IF(COUNTIFS(m_teacher,N$4,m_date,($G$2+6),m_active,1,m_start,"&lt;"&amp;1140,m_end,"&gt;"&amp;1080)=0,"",IF(COUNTIFS(m_teacher,N$4,m_date,($G$2+6),m_active,1,m_start,"&lt;"&amp;1140,m_end,"&gt;"&amp;1080)&gt;1,"충돌",HYPERLINK("#'관리자_MASTER'!D"&amp;_xlfn.MAXIFS(m_row,m_teacher,N$4,m_date,($G$2+6),m_active,1,m_start,"&lt;"&amp;1140,m_end,"&gt;"&amp;1080),INDEX(m_label,_xlfn.MAXIFS(m_row,m_teacher,N$4,m_date,($G$2+6),m_active,1,m_start,"&lt;"&amp;1140,m_end,"&gt;"&amp;1080))))))</f>
        <v/>
      </c>
      <c r="O80" s="92"/>
      <c r="P80" s="79" t="s">
        <v>100</v>
      </c>
      <c r="Q80" s="82" t="str">
        <f aca="false">IF(OR(Q$4="",MONTH(($G$2+13))&lt;&gt;MONTH($C$2)),"",IF(COUNTIFS(m_teacher,Q$4,m_date,($G$2+13),m_active,1,m_start,"&lt;"&amp;1140,m_end,"&gt;"&amp;1080)=0,"",IF(COUNTIFS(m_teacher,Q$4,m_date,($G$2+13),m_active,1,m_start,"&lt;"&amp;1140,m_end,"&gt;"&amp;1080)&gt;1,"충돌",HYPERLINK("#'관리자_MASTER'!D"&amp;_xlfn.MAXIFS(m_row,m_teacher,Q$4,m_date,($G$2+13),m_active,1,m_start,"&lt;"&amp;1140,m_end,"&gt;"&amp;1080),INDEX(m_label,_xlfn.MAXIFS(m_row,m_teacher,Q$4,m_date,($G$2+13),m_active,1,m_start,"&lt;"&amp;1140,m_end,"&gt;"&amp;1080))))))</f>
        <v/>
      </c>
      <c r="R80" s="82" t="str">
        <f aca="false">IF(OR(R$4="",MONTH(($G$2+13))&lt;&gt;MONTH($C$2)),"",IF(COUNTIFS(m_teacher,R$4,m_date,($G$2+13),m_active,1,m_start,"&lt;"&amp;1140,m_end,"&gt;"&amp;1080)=0,"",IF(COUNTIFS(m_teacher,R$4,m_date,($G$2+13),m_active,1,m_start,"&lt;"&amp;1140,m_end,"&gt;"&amp;1080)&gt;1,"충돌",HYPERLINK("#'관리자_MASTER'!D"&amp;_xlfn.MAXIFS(m_row,m_teacher,R$4,m_date,($G$2+13),m_active,1,m_start,"&lt;"&amp;1140,m_end,"&gt;"&amp;1080),INDEX(m_label,_xlfn.MAXIFS(m_row,m_teacher,R$4,m_date,($G$2+13),m_active,1,m_start,"&lt;"&amp;1140,m_end,"&gt;"&amp;1080))))))</f>
        <v/>
      </c>
      <c r="S80" s="82" t="str">
        <f aca="false">IF(OR(S$4="",MONTH(($G$2+13))&lt;&gt;MONTH($C$2)),"",IF(COUNTIFS(m_teacher,S$4,m_date,($G$2+13),m_active,1,m_start,"&lt;"&amp;1140,m_end,"&gt;"&amp;1080)=0,"",IF(COUNTIFS(m_teacher,S$4,m_date,($G$2+13),m_active,1,m_start,"&lt;"&amp;1140,m_end,"&gt;"&amp;1080)&gt;1,"충돌",HYPERLINK("#'관리자_MASTER'!D"&amp;_xlfn.MAXIFS(m_row,m_teacher,S$4,m_date,($G$2+13),m_active,1,m_start,"&lt;"&amp;1140,m_end,"&gt;"&amp;1080),INDEX(m_label,_xlfn.MAXIFS(m_row,m_teacher,S$4,m_date,($G$2+13),m_active,1,m_start,"&lt;"&amp;1140,m_end,"&gt;"&amp;1080))))))</f>
        <v/>
      </c>
      <c r="T80" s="82" t="str">
        <f aca="false">IF(OR(T$4="",MONTH(($G$2+13))&lt;&gt;MONTH($C$2)),"",IF(COUNTIFS(m_teacher,T$4,m_date,($G$2+13),m_active,1,m_start,"&lt;"&amp;1140,m_end,"&gt;"&amp;1080)=0,"",IF(COUNTIFS(m_teacher,T$4,m_date,($G$2+13),m_active,1,m_start,"&lt;"&amp;1140,m_end,"&gt;"&amp;1080)&gt;1,"충돌",HYPERLINK("#'관리자_MASTER'!D"&amp;_xlfn.MAXIFS(m_row,m_teacher,T$4,m_date,($G$2+13),m_active,1,m_start,"&lt;"&amp;1140,m_end,"&gt;"&amp;1080),INDEX(m_label,_xlfn.MAXIFS(m_row,m_teacher,T$4,m_date,($G$2+13),m_active,1,m_start,"&lt;"&amp;1140,m_end,"&gt;"&amp;1080))))))</f>
        <v/>
      </c>
      <c r="U80" s="82" t="str">
        <f aca="false">IF(OR(U$4="",MONTH(($G$2+13))&lt;&gt;MONTH($C$2)),"",IF(COUNTIFS(m_teacher,U$4,m_date,($G$2+13),m_active,1,m_start,"&lt;"&amp;1140,m_end,"&gt;"&amp;1080)=0,"",IF(COUNTIFS(m_teacher,U$4,m_date,($G$2+13),m_active,1,m_start,"&lt;"&amp;1140,m_end,"&gt;"&amp;1080)&gt;1,"충돌",HYPERLINK("#'관리자_MASTER'!D"&amp;_xlfn.MAXIFS(m_row,m_teacher,U$4,m_date,($G$2+13),m_active,1,m_start,"&lt;"&amp;1140,m_end,"&gt;"&amp;1080),INDEX(m_label,_xlfn.MAXIFS(m_row,m_teacher,U$4,m_date,($G$2+13),m_active,1,m_start,"&lt;"&amp;1140,m_end,"&gt;"&amp;1080))))))</f>
        <v/>
      </c>
      <c r="V80" s="82" t="str">
        <f aca="false">IF(OR(V$4="",MONTH(($G$2+13))&lt;&gt;MONTH($C$2)),"",IF(COUNTIFS(m_teacher,V$4,m_date,($G$2+13),m_active,1,m_start,"&lt;"&amp;1140,m_end,"&gt;"&amp;1080)=0,"",IF(COUNTIFS(m_teacher,V$4,m_date,($G$2+13),m_active,1,m_start,"&lt;"&amp;1140,m_end,"&gt;"&amp;1080)&gt;1,"충돌",HYPERLINK("#'관리자_MASTER'!D"&amp;_xlfn.MAXIFS(m_row,m_teacher,V$4,m_date,($G$2+13),m_active,1,m_start,"&lt;"&amp;1140,m_end,"&gt;"&amp;1080),INDEX(m_label,_xlfn.MAXIFS(m_row,m_teacher,V$4,m_date,($G$2+13),m_active,1,m_start,"&lt;"&amp;1140,m_end,"&gt;"&amp;1080))))))</f>
        <v/>
      </c>
      <c r="W80" s="82" t="str">
        <f aca="false">IF(OR(W$4="",MONTH(($G$2+13))&lt;&gt;MONTH($C$2)),"",IF(COUNTIFS(m_teacher,W$4,m_date,($G$2+13),m_active,1,m_start,"&lt;"&amp;1140,m_end,"&gt;"&amp;1080)=0,"",IF(COUNTIFS(m_teacher,W$4,m_date,($G$2+13),m_active,1,m_start,"&lt;"&amp;1140,m_end,"&gt;"&amp;1080)&gt;1,"충돌",HYPERLINK("#'관리자_MASTER'!D"&amp;_xlfn.MAXIFS(m_row,m_teacher,W$4,m_date,($G$2+13),m_active,1,m_start,"&lt;"&amp;1140,m_end,"&gt;"&amp;1080),INDEX(m_label,_xlfn.MAXIFS(m_row,m_teacher,W$4,m_date,($G$2+13),m_active,1,m_start,"&lt;"&amp;1140,m_end,"&gt;"&amp;1080))))))</f>
        <v/>
      </c>
      <c r="X80" s="82" t="str">
        <f aca="false">IF(OR(X$4="",MONTH(($G$2+13))&lt;&gt;MONTH($C$2)),"",IF(COUNTIFS(m_teacher,X$4,m_date,($G$2+13),m_active,1,m_start,"&lt;"&amp;1140,m_end,"&gt;"&amp;1080)=0,"",IF(COUNTIFS(m_teacher,X$4,m_date,($G$2+13),m_active,1,m_start,"&lt;"&amp;1140,m_end,"&gt;"&amp;1080)&gt;1,"충돌",HYPERLINK("#'관리자_MASTER'!D"&amp;_xlfn.MAXIFS(m_row,m_teacher,X$4,m_date,($G$2+13),m_active,1,m_start,"&lt;"&amp;1140,m_end,"&gt;"&amp;1080),INDEX(m_label,_xlfn.MAXIFS(m_row,m_teacher,X$4,m_date,($G$2+13),m_active,1,m_start,"&lt;"&amp;1140,m_end,"&gt;"&amp;1080))))))</f>
        <v/>
      </c>
      <c r="Y80" s="82" t="str">
        <f aca="false">IF(OR(Y$4="",MONTH(($G$2+13))&lt;&gt;MONTH($C$2)),"",IF(COUNTIFS(m_teacher,Y$4,m_date,($G$2+13),m_active,1,m_start,"&lt;"&amp;1140,m_end,"&gt;"&amp;1080)=0,"",IF(COUNTIFS(m_teacher,Y$4,m_date,($G$2+13),m_active,1,m_start,"&lt;"&amp;1140,m_end,"&gt;"&amp;1080)&gt;1,"충돌",HYPERLINK("#'관리자_MASTER'!D"&amp;_xlfn.MAXIFS(m_row,m_teacher,Y$4,m_date,($G$2+13),m_active,1,m_start,"&lt;"&amp;1140,m_end,"&gt;"&amp;1080),INDEX(m_label,_xlfn.MAXIFS(m_row,m_teacher,Y$4,m_date,($G$2+13),m_active,1,m_start,"&lt;"&amp;1140,m_end,"&gt;"&amp;1080))))))</f>
        <v/>
      </c>
      <c r="Z80" s="82" t="str">
        <f aca="false">IF(OR(Z$4="",MONTH(($G$2+13))&lt;&gt;MONTH($C$2)),"",IF(COUNTIFS(m_teacher,Z$4,m_date,($G$2+13),m_active,1,m_start,"&lt;"&amp;1140,m_end,"&gt;"&amp;1080)=0,"",IF(COUNTIFS(m_teacher,Z$4,m_date,($G$2+13),m_active,1,m_start,"&lt;"&amp;1140,m_end,"&gt;"&amp;1080)&gt;1,"충돌",HYPERLINK("#'관리자_MASTER'!D"&amp;_xlfn.MAXIFS(m_row,m_teacher,Z$4,m_date,($G$2+13),m_active,1,m_start,"&lt;"&amp;1140,m_end,"&gt;"&amp;1080),INDEX(m_label,_xlfn.MAXIFS(m_row,m_teacher,Z$4,m_date,($G$2+13),m_active,1,m_start,"&lt;"&amp;1140,m_end,"&gt;"&amp;1080))))))</f>
        <v/>
      </c>
      <c r="AA80" s="82" t="str">
        <f aca="false">IF(OR(AA$4="",MONTH(($G$2+13))&lt;&gt;MONTH($C$2)),"",IF(COUNTIFS(m_teacher,AA$4,m_date,($G$2+13),m_active,1,m_start,"&lt;"&amp;1140,m_end,"&gt;"&amp;1080)=0,"",IF(COUNTIFS(m_teacher,AA$4,m_date,($G$2+13),m_active,1,m_start,"&lt;"&amp;1140,m_end,"&gt;"&amp;1080)&gt;1,"충돌",HYPERLINK("#'관리자_MASTER'!D"&amp;_xlfn.MAXIFS(m_row,m_teacher,AA$4,m_date,($G$2+13),m_active,1,m_start,"&lt;"&amp;1140,m_end,"&gt;"&amp;1080),INDEX(m_label,_xlfn.MAXIFS(m_row,m_teacher,AA$4,m_date,($G$2+13),m_active,1,m_start,"&lt;"&amp;1140,m_end,"&gt;"&amp;1080))))))</f>
        <v/>
      </c>
      <c r="AB80" s="82" t="str">
        <f aca="false">IF(OR(AB$4="",MONTH(($G$2+13))&lt;&gt;MONTH($C$2)),"",IF(COUNTIFS(m_teacher,AB$4,m_date,($G$2+13),m_active,1,m_start,"&lt;"&amp;1140,m_end,"&gt;"&amp;1080)=0,"",IF(COUNTIFS(m_teacher,AB$4,m_date,($G$2+13),m_active,1,m_start,"&lt;"&amp;1140,m_end,"&gt;"&amp;1080)&gt;1,"충돌",HYPERLINK("#'관리자_MASTER'!D"&amp;_xlfn.MAXIFS(m_row,m_teacher,AB$4,m_date,($G$2+13),m_active,1,m_start,"&lt;"&amp;1140,m_end,"&gt;"&amp;1080),INDEX(m_label,_xlfn.MAXIFS(m_row,m_teacher,AB$4,m_date,($G$2+13),m_active,1,m_start,"&lt;"&amp;1140,m_end,"&gt;"&amp;1080))))))</f>
        <v/>
      </c>
      <c r="AC80" s="92"/>
      <c r="AD80" s="79" t="s">
        <v>100</v>
      </c>
      <c r="AE80" s="82" t="str">
        <f aca="false">IF(OR(AE$4="",MONTH(($G$2+20))&lt;&gt;MONTH($C$2)),"",IF(COUNTIFS(m_teacher,AE$4,m_date,($G$2+20),m_active,1,m_start,"&lt;"&amp;1140,m_end,"&gt;"&amp;1080)=0,"",IF(COUNTIFS(m_teacher,AE$4,m_date,($G$2+20),m_active,1,m_start,"&lt;"&amp;1140,m_end,"&gt;"&amp;1080)&gt;1,"충돌",HYPERLINK("#'관리자_MASTER'!D"&amp;_xlfn.MAXIFS(m_row,m_teacher,AE$4,m_date,($G$2+20),m_active,1,m_start,"&lt;"&amp;1140,m_end,"&gt;"&amp;1080),INDEX(m_label,_xlfn.MAXIFS(m_row,m_teacher,AE$4,m_date,($G$2+20),m_active,1,m_start,"&lt;"&amp;1140,m_end,"&gt;"&amp;1080))))))</f>
        <v/>
      </c>
      <c r="AF80" s="82" t="str">
        <f aca="false">IF(OR(AF$4="",MONTH(($G$2+20))&lt;&gt;MONTH($C$2)),"",IF(COUNTIFS(m_teacher,AF$4,m_date,($G$2+20),m_active,1,m_start,"&lt;"&amp;1140,m_end,"&gt;"&amp;1080)=0,"",IF(COUNTIFS(m_teacher,AF$4,m_date,($G$2+20),m_active,1,m_start,"&lt;"&amp;1140,m_end,"&gt;"&amp;1080)&gt;1,"충돌",HYPERLINK("#'관리자_MASTER'!D"&amp;_xlfn.MAXIFS(m_row,m_teacher,AF$4,m_date,($G$2+20),m_active,1,m_start,"&lt;"&amp;1140,m_end,"&gt;"&amp;1080),INDEX(m_label,_xlfn.MAXIFS(m_row,m_teacher,AF$4,m_date,($G$2+20),m_active,1,m_start,"&lt;"&amp;1140,m_end,"&gt;"&amp;1080))))))</f>
        <v/>
      </c>
      <c r="AG80" s="82" t="str">
        <f aca="false">IF(OR(AG$4="",MONTH(($G$2+20))&lt;&gt;MONTH($C$2)),"",IF(COUNTIFS(m_teacher,AG$4,m_date,($G$2+20),m_active,1,m_start,"&lt;"&amp;1140,m_end,"&gt;"&amp;1080)=0,"",IF(COUNTIFS(m_teacher,AG$4,m_date,($G$2+20),m_active,1,m_start,"&lt;"&amp;1140,m_end,"&gt;"&amp;1080)&gt;1,"충돌",HYPERLINK("#'관리자_MASTER'!D"&amp;_xlfn.MAXIFS(m_row,m_teacher,AG$4,m_date,($G$2+20),m_active,1,m_start,"&lt;"&amp;1140,m_end,"&gt;"&amp;1080),INDEX(m_label,_xlfn.MAXIFS(m_row,m_teacher,AG$4,m_date,($G$2+20),m_active,1,m_start,"&lt;"&amp;1140,m_end,"&gt;"&amp;1080))))))</f>
        <v/>
      </c>
      <c r="AH80" s="82" t="str">
        <f aca="false">IF(OR(AH$4="",MONTH(($G$2+20))&lt;&gt;MONTH($C$2)),"",IF(COUNTIFS(m_teacher,AH$4,m_date,($G$2+20),m_active,1,m_start,"&lt;"&amp;1140,m_end,"&gt;"&amp;1080)=0,"",IF(COUNTIFS(m_teacher,AH$4,m_date,($G$2+20),m_active,1,m_start,"&lt;"&amp;1140,m_end,"&gt;"&amp;1080)&gt;1,"충돌",HYPERLINK("#'관리자_MASTER'!D"&amp;_xlfn.MAXIFS(m_row,m_teacher,AH$4,m_date,($G$2+20),m_active,1,m_start,"&lt;"&amp;1140,m_end,"&gt;"&amp;1080),INDEX(m_label,_xlfn.MAXIFS(m_row,m_teacher,AH$4,m_date,($G$2+20),m_active,1,m_start,"&lt;"&amp;1140,m_end,"&gt;"&amp;1080))))))</f>
        <v/>
      </c>
      <c r="AI80" s="82" t="str">
        <f aca="false">IF(OR(AI$4="",MONTH(($G$2+20))&lt;&gt;MONTH($C$2)),"",IF(COUNTIFS(m_teacher,AI$4,m_date,($G$2+20),m_active,1,m_start,"&lt;"&amp;1140,m_end,"&gt;"&amp;1080)=0,"",IF(COUNTIFS(m_teacher,AI$4,m_date,($G$2+20),m_active,1,m_start,"&lt;"&amp;1140,m_end,"&gt;"&amp;1080)&gt;1,"충돌",HYPERLINK("#'관리자_MASTER'!D"&amp;_xlfn.MAXIFS(m_row,m_teacher,AI$4,m_date,($G$2+20),m_active,1,m_start,"&lt;"&amp;1140,m_end,"&gt;"&amp;1080),INDEX(m_label,_xlfn.MAXIFS(m_row,m_teacher,AI$4,m_date,($G$2+20),m_active,1,m_start,"&lt;"&amp;1140,m_end,"&gt;"&amp;1080))))))</f>
        <v/>
      </c>
      <c r="AJ80" s="82" t="str">
        <f aca="false">IF(OR(AJ$4="",MONTH(($G$2+20))&lt;&gt;MONTH($C$2)),"",IF(COUNTIFS(m_teacher,AJ$4,m_date,($G$2+20),m_active,1,m_start,"&lt;"&amp;1140,m_end,"&gt;"&amp;1080)=0,"",IF(COUNTIFS(m_teacher,AJ$4,m_date,($G$2+20),m_active,1,m_start,"&lt;"&amp;1140,m_end,"&gt;"&amp;1080)&gt;1,"충돌",HYPERLINK("#'관리자_MASTER'!D"&amp;_xlfn.MAXIFS(m_row,m_teacher,AJ$4,m_date,($G$2+20),m_active,1,m_start,"&lt;"&amp;1140,m_end,"&gt;"&amp;1080),INDEX(m_label,_xlfn.MAXIFS(m_row,m_teacher,AJ$4,m_date,($G$2+20),m_active,1,m_start,"&lt;"&amp;1140,m_end,"&gt;"&amp;1080))))))</f>
        <v/>
      </c>
      <c r="AK80" s="82" t="str">
        <f aca="false">IF(OR(AK$4="",MONTH(($G$2+20))&lt;&gt;MONTH($C$2)),"",IF(COUNTIFS(m_teacher,AK$4,m_date,($G$2+20),m_active,1,m_start,"&lt;"&amp;1140,m_end,"&gt;"&amp;1080)=0,"",IF(COUNTIFS(m_teacher,AK$4,m_date,($G$2+20),m_active,1,m_start,"&lt;"&amp;1140,m_end,"&gt;"&amp;1080)&gt;1,"충돌",HYPERLINK("#'관리자_MASTER'!D"&amp;_xlfn.MAXIFS(m_row,m_teacher,AK$4,m_date,($G$2+20),m_active,1,m_start,"&lt;"&amp;1140,m_end,"&gt;"&amp;1080),INDEX(m_label,_xlfn.MAXIFS(m_row,m_teacher,AK$4,m_date,($G$2+20),m_active,1,m_start,"&lt;"&amp;1140,m_end,"&gt;"&amp;1080))))))</f>
        <v/>
      </c>
      <c r="AL80" s="82" t="str">
        <f aca="false">IF(OR(AL$4="",MONTH(($G$2+20))&lt;&gt;MONTH($C$2)),"",IF(COUNTIFS(m_teacher,AL$4,m_date,($G$2+20),m_active,1,m_start,"&lt;"&amp;1140,m_end,"&gt;"&amp;1080)=0,"",IF(COUNTIFS(m_teacher,AL$4,m_date,($G$2+20),m_active,1,m_start,"&lt;"&amp;1140,m_end,"&gt;"&amp;1080)&gt;1,"충돌",HYPERLINK("#'관리자_MASTER'!D"&amp;_xlfn.MAXIFS(m_row,m_teacher,AL$4,m_date,($G$2+20),m_active,1,m_start,"&lt;"&amp;1140,m_end,"&gt;"&amp;1080),INDEX(m_label,_xlfn.MAXIFS(m_row,m_teacher,AL$4,m_date,($G$2+20),m_active,1,m_start,"&lt;"&amp;1140,m_end,"&gt;"&amp;1080))))))</f>
        <v/>
      </c>
      <c r="AM80" s="82" t="str">
        <f aca="false">IF(OR(AM$4="",MONTH(($G$2+20))&lt;&gt;MONTH($C$2)),"",IF(COUNTIFS(m_teacher,AM$4,m_date,($G$2+20),m_active,1,m_start,"&lt;"&amp;1140,m_end,"&gt;"&amp;1080)=0,"",IF(COUNTIFS(m_teacher,AM$4,m_date,($G$2+20),m_active,1,m_start,"&lt;"&amp;1140,m_end,"&gt;"&amp;1080)&gt;1,"충돌",HYPERLINK("#'관리자_MASTER'!D"&amp;_xlfn.MAXIFS(m_row,m_teacher,AM$4,m_date,($G$2+20),m_active,1,m_start,"&lt;"&amp;1140,m_end,"&gt;"&amp;1080),INDEX(m_label,_xlfn.MAXIFS(m_row,m_teacher,AM$4,m_date,($G$2+20),m_active,1,m_start,"&lt;"&amp;1140,m_end,"&gt;"&amp;1080))))))</f>
        <v/>
      </c>
      <c r="AN80" s="82" t="str">
        <f aca="false">IF(OR(AN$4="",MONTH(($G$2+20))&lt;&gt;MONTH($C$2)),"",IF(COUNTIFS(m_teacher,AN$4,m_date,($G$2+20),m_active,1,m_start,"&lt;"&amp;1140,m_end,"&gt;"&amp;1080)=0,"",IF(COUNTIFS(m_teacher,AN$4,m_date,($G$2+20),m_active,1,m_start,"&lt;"&amp;1140,m_end,"&gt;"&amp;1080)&gt;1,"충돌",HYPERLINK("#'관리자_MASTER'!D"&amp;_xlfn.MAXIFS(m_row,m_teacher,AN$4,m_date,($G$2+20),m_active,1,m_start,"&lt;"&amp;1140,m_end,"&gt;"&amp;1080),INDEX(m_label,_xlfn.MAXIFS(m_row,m_teacher,AN$4,m_date,($G$2+20),m_active,1,m_start,"&lt;"&amp;1140,m_end,"&gt;"&amp;1080))))))</f>
        <v/>
      </c>
      <c r="AO80" s="82" t="str">
        <f aca="false">IF(OR(AO$4="",MONTH(($G$2+20))&lt;&gt;MONTH($C$2)),"",IF(COUNTIFS(m_teacher,AO$4,m_date,($G$2+20),m_active,1,m_start,"&lt;"&amp;1140,m_end,"&gt;"&amp;1080)=0,"",IF(COUNTIFS(m_teacher,AO$4,m_date,($G$2+20),m_active,1,m_start,"&lt;"&amp;1140,m_end,"&gt;"&amp;1080)&gt;1,"충돌",HYPERLINK("#'관리자_MASTER'!D"&amp;_xlfn.MAXIFS(m_row,m_teacher,AO$4,m_date,($G$2+20),m_active,1,m_start,"&lt;"&amp;1140,m_end,"&gt;"&amp;1080),INDEX(m_label,_xlfn.MAXIFS(m_row,m_teacher,AO$4,m_date,($G$2+20),m_active,1,m_start,"&lt;"&amp;1140,m_end,"&gt;"&amp;1080))))))</f>
        <v/>
      </c>
      <c r="AP80" s="82" t="str">
        <f aca="false">IF(OR(AP$4="",MONTH(($G$2+20))&lt;&gt;MONTH($C$2)),"",IF(COUNTIFS(m_teacher,AP$4,m_date,($G$2+20),m_active,1,m_start,"&lt;"&amp;1140,m_end,"&gt;"&amp;1080)=0,"",IF(COUNTIFS(m_teacher,AP$4,m_date,($G$2+20),m_active,1,m_start,"&lt;"&amp;1140,m_end,"&gt;"&amp;1080)&gt;1,"충돌",HYPERLINK("#'관리자_MASTER'!D"&amp;_xlfn.MAXIFS(m_row,m_teacher,AP$4,m_date,($G$2+20),m_active,1,m_start,"&lt;"&amp;1140,m_end,"&gt;"&amp;1080),INDEX(m_label,_xlfn.MAXIFS(m_row,m_teacher,AP$4,m_date,($G$2+20),m_active,1,m_start,"&lt;"&amp;1140,m_end,"&gt;"&amp;1080))))))</f>
        <v/>
      </c>
      <c r="AQ80" s="92"/>
      <c r="AR80" s="79" t="s">
        <v>100</v>
      </c>
      <c r="AS80" s="82" t="str">
        <f aca="false">IF(OR(AS$4="",MONTH(($G$2+27))&lt;&gt;MONTH($C$2)),"",IF(COUNTIFS(m_teacher,AS$4,m_date,($G$2+27),m_active,1,m_start,"&lt;"&amp;1140,m_end,"&gt;"&amp;1080)=0,"",IF(COUNTIFS(m_teacher,AS$4,m_date,($G$2+27),m_active,1,m_start,"&lt;"&amp;1140,m_end,"&gt;"&amp;1080)&gt;1,"충돌",HYPERLINK("#'관리자_MASTER'!D"&amp;_xlfn.MAXIFS(m_row,m_teacher,AS$4,m_date,($G$2+27),m_active,1,m_start,"&lt;"&amp;1140,m_end,"&gt;"&amp;1080),INDEX(m_label,_xlfn.MAXIFS(m_row,m_teacher,AS$4,m_date,($G$2+27),m_active,1,m_start,"&lt;"&amp;1140,m_end,"&gt;"&amp;1080))))))</f>
        <v/>
      </c>
      <c r="AT80" s="82" t="str">
        <f aca="false">IF(OR(AT$4="",MONTH(($G$2+27))&lt;&gt;MONTH($C$2)),"",IF(COUNTIFS(m_teacher,AT$4,m_date,($G$2+27),m_active,1,m_start,"&lt;"&amp;1140,m_end,"&gt;"&amp;1080)=0,"",IF(COUNTIFS(m_teacher,AT$4,m_date,($G$2+27),m_active,1,m_start,"&lt;"&amp;1140,m_end,"&gt;"&amp;1080)&gt;1,"충돌",HYPERLINK("#'관리자_MASTER'!D"&amp;_xlfn.MAXIFS(m_row,m_teacher,AT$4,m_date,($G$2+27),m_active,1,m_start,"&lt;"&amp;1140,m_end,"&gt;"&amp;1080),INDEX(m_label,_xlfn.MAXIFS(m_row,m_teacher,AT$4,m_date,($G$2+27),m_active,1,m_start,"&lt;"&amp;1140,m_end,"&gt;"&amp;1080))))))</f>
        <v/>
      </c>
      <c r="AU80" s="82" t="str">
        <f aca="false">IF(OR(AU$4="",MONTH(($G$2+27))&lt;&gt;MONTH($C$2)),"",IF(COUNTIFS(m_teacher,AU$4,m_date,($G$2+27),m_active,1,m_start,"&lt;"&amp;1140,m_end,"&gt;"&amp;1080)=0,"",IF(COUNTIFS(m_teacher,AU$4,m_date,($G$2+27),m_active,1,m_start,"&lt;"&amp;1140,m_end,"&gt;"&amp;1080)&gt;1,"충돌",HYPERLINK("#'관리자_MASTER'!D"&amp;_xlfn.MAXIFS(m_row,m_teacher,AU$4,m_date,($G$2+27),m_active,1,m_start,"&lt;"&amp;1140,m_end,"&gt;"&amp;1080),INDEX(m_label,_xlfn.MAXIFS(m_row,m_teacher,AU$4,m_date,($G$2+27),m_active,1,m_start,"&lt;"&amp;1140,m_end,"&gt;"&amp;1080))))))</f>
        <v/>
      </c>
      <c r="AV80" s="82" t="str">
        <f aca="false">IF(OR(AV$4="",MONTH(($G$2+27))&lt;&gt;MONTH($C$2)),"",IF(COUNTIFS(m_teacher,AV$4,m_date,($G$2+27),m_active,1,m_start,"&lt;"&amp;1140,m_end,"&gt;"&amp;1080)=0,"",IF(COUNTIFS(m_teacher,AV$4,m_date,($G$2+27),m_active,1,m_start,"&lt;"&amp;1140,m_end,"&gt;"&amp;1080)&gt;1,"충돌",HYPERLINK("#'관리자_MASTER'!D"&amp;_xlfn.MAXIFS(m_row,m_teacher,AV$4,m_date,($G$2+27),m_active,1,m_start,"&lt;"&amp;1140,m_end,"&gt;"&amp;1080),INDEX(m_label,_xlfn.MAXIFS(m_row,m_teacher,AV$4,m_date,($G$2+27),m_active,1,m_start,"&lt;"&amp;1140,m_end,"&gt;"&amp;1080))))))</f>
        <v/>
      </c>
      <c r="AW80" s="82" t="str">
        <f aca="false">IF(OR(AW$4="",MONTH(($G$2+27))&lt;&gt;MONTH($C$2)),"",IF(COUNTIFS(m_teacher,AW$4,m_date,($G$2+27),m_active,1,m_start,"&lt;"&amp;1140,m_end,"&gt;"&amp;1080)=0,"",IF(COUNTIFS(m_teacher,AW$4,m_date,($G$2+27),m_active,1,m_start,"&lt;"&amp;1140,m_end,"&gt;"&amp;1080)&gt;1,"충돌",HYPERLINK("#'관리자_MASTER'!D"&amp;_xlfn.MAXIFS(m_row,m_teacher,AW$4,m_date,($G$2+27),m_active,1,m_start,"&lt;"&amp;1140,m_end,"&gt;"&amp;1080),INDEX(m_label,_xlfn.MAXIFS(m_row,m_teacher,AW$4,m_date,($G$2+27),m_active,1,m_start,"&lt;"&amp;1140,m_end,"&gt;"&amp;1080))))))</f>
        <v/>
      </c>
      <c r="AX80" s="82" t="str">
        <f aca="false">IF(OR(AX$4="",MONTH(($G$2+27))&lt;&gt;MONTH($C$2)),"",IF(COUNTIFS(m_teacher,AX$4,m_date,($G$2+27),m_active,1,m_start,"&lt;"&amp;1140,m_end,"&gt;"&amp;1080)=0,"",IF(COUNTIFS(m_teacher,AX$4,m_date,($G$2+27),m_active,1,m_start,"&lt;"&amp;1140,m_end,"&gt;"&amp;1080)&gt;1,"충돌",HYPERLINK("#'관리자_MASTER'!D"&amp;_xlfn.MAXIFS(m_row,m_teacher,AX$4,m_date,($G$2+27),m_active,1,m_start,"&lt;"&amp;1140,m_end,"&gt;"&amp;1080),INDEX(m_label,_xlfn.MAXIFS(m_row,m_teacher,AX$4,m_date,($G$2+27),m_active,1,m_start,"&lt;"&amp;1140,m_end,"&gt;"&amp;1080))))))</f>
        <v/>
      </c>
      <c r="AY80" s="82" t="str">
        <f aca="false">IF(OR(AY$4="",MONTH(($G$2+27))&lt;&gt;MONTH($C$2)),"",IF(COUNTIFS(m_teacher,AY$4,m_date,($G$2+27),m_active,1,m_start,"&lt;"&amp;1140,m_end,"&gt;"&amp;1080)=0,"",IF(COUNTIFS(m_teacher,AY$4,m_date,($G$2+27),m_active,1,m_start,"&lt;"&amp;1140,m_end,"&gt;"&amp;1080)&gt;1,"충돌",HYPERLINK("#'관리자_MASTER'!D"&amp;_xlfn.MAXIFS(m_row,m_teacher,AY$4,m_date,($G$2+27),m_active,1,m_start,"&lt;"&amp;1140,m_end,"&gt;"&amp;1080),INDEX(m_label,_xlfn.MAXIFS(m_row,m_teacher,AY$4,m_date,($G$2+27),m_active,1,m_start,"&lt;"&amp;1140,m_end,"&gt;"&amp;1080))))))</f>
        <v/>
      </c>
      <c r="AZ80" s="82" t="str">
        <f aca="false">IF(OR(AZ$4="",MONTH(($G$2+27))&lt;&gt;MONTH($C$2)),"",IF(COUNTIFS(m_teacher,AZ$4,m_date,($G$2+27),m_active,1,m_start,"&lt;"&amp;1140,m_end,"&gt;"&amp;1080)=0,"",IF(COUNTIFS(m_teacher,AZ$4,m_date,($G$2+27),m_active,1,m_start,"&lt;"&amp;1140,m_end,"&gt;"&amp;1080)&gt;1,"충돌",HYPERLINK("#'관리자_MASTER'!D"&amp;_xlfn.MAXIFS(m_row,m_teacher,AZ$4,m_date,($G$2+27),m_active,1,m_start,"&lt;"&amp;1140,m_end,"&gt;"&amp;1080),INDEX(m_label,_xlfn.MAXIFS(m_row,m_teacher,AZ$4,m_date,($G$2+27),m_active,1,m_start,"&lt;"&amp;1140,m_end,"&gt;"&amp;1080))))))</f>
        <v/>
      </c>
      <c r="BA80" s="82" t="str">
        <f aca="false">IF(OR(BA$4="",MONTH(($G$2+27))&lt;&gt;MONTH($C$2)),"",IF(COUNTIFS(m_teacher,BA$4,m_date,($G$2+27),m_active,1,m_start,"&lt;"&amp;1140,m_end,"&gt;"&amp;1080)=0,"",IF(COUNTIFS(m_teacher,BA$4,m_date,($G$2+27),m_active,1,m_start,"&lt;"&amp;1140,m_end,"&gt;"&amp;1080)&gt;1,"충돌",HYPERLINK("#'관리자_MASTER'!D"&amp;_xlfn.MAXIFS(m_row,m_teacher,BA$4,m_date,($G$2+27),m_active,1,m_start,"&lt;"&amp;1140,m_end,"&gt;"&amp;1080),INDEX(m_label,_xlfn.MAXIFS(m_row,m_teacher,BA$4,m_date,($G$2+27),m_active,1,m_start,"&lt;"&amp;1140,m_end,"&gt;"&amp;1080))))))</f>
        <v/>
      </c>
      <c r="BB80" s="82" t="str">
        <f aca="false">IF(OR(BB$4="",MONTH(($G$2+27))&lt;&gt;MONTH($C$2)),"",IF(COUNTIFS(m_teacher,BB$4,m_date,($G$2+27),m_active,1,m_start,"&lt;"&amp;1140,m_end,"&gt;"&amp;1080)=0,"",IF(COUNTIFS(m_teacher,BB$4,m_date,($G$2+27),m_active,1,m_start,"&lt;"&amp;1140,m_end,"&gt;"&amp;1080)&gt;1,"충돌",HYPERLINK("#'관리자_MASTER'!D"&amp;_xlfn.MAXIFS(m_row,m_teacher,BB$4,m_date,($G$2+27),m_active,1,m_start,"&lt;"&amp;1140,m_end,"&gt;"&amp;1080),INDEX(m_label,_xlfn.MAXIFS(m_row,m_teacher,BB$4,m_date,($G$2+27),m_active,1,m_start,"&lt;"&amp;1140,m_end,"&gt;"&amp;1080))))))</f>
        <v/>
      </c>
      <c r="BC80" s="82" t="str">
        <f aca="false">IF(OR(BC$4="",MONTH(($G$2+27))&lt;&gt;MONTH($C$2)),"",IF(COUNTIFS(m_teacher,BC$4,m_date,($G$2+27),m_active,1,m_start,"&lt;"&amp;1140,m_end,"&gt;"&amp;1080)=0,"",IF(COUNTIFS(m_teacher,BC$4,m_date,($G$2+27),m_active,1,m_start,"&lt;"&amp;1140,m_end,"&gt;"&amp;1080)&gt;1,"충돌",HYPERLINK("#'관리자_MASTER'!D"&amp;_xlfn.MAXIFS(m_row,m_teacher,BC$4,m_date,($G$2+27),m_active,1,m_start,"&lt;"&amp;1140,m_end,"&gt;"&amp;1080),INDEX(m_label,_xlfn.MAXIFS(m_row,m_teacher,BC$4,m_date,($G$2+27),m_active,1,m_start,"&lt;"&amp;1140,m_end,"&gt;"&amp;1080))))))</f>
        <v/>
      </c>
      <c r="BD80" s="82" t="str">
        <f aca="false">IF(OR(BD$4="",MONTH(($G$2+27))&lt;&gt;MONTH($C$2)),"",IF(COUNTIFS(m_teacher,BD$4,m_date,($G$2+27),m_active,1,m_start,"&lt;"&amp;1140,m_end,"&gt;"&amp;1080)=0,"",IF(COUNTIFS(m_teacher,BD$4,m_date,($G$2+27),m_active,1,m_start,"&lt;"&amp;1140,m_end,"&gt;"&amp;1080)&gt;1,"충돌",HYPERLINK("#'관리자_MASTER'!D"&amp;_xlfn.MAXIFS(m_row,m_teacher,BD$4,m_date,($G$2+27),m_active,1,m_start,"&lt;"&amp;1140,m_end,"&gt;"&amp;1080),INDEX(m_label,_xlfn.MAXIFS(m_row,m_teacher,BD$4,m_date,($G$2+27),m_active,1,m_start,"&lt;"&amp;1140,m_end,"&gt;"&amp;1080))))))</f>
        <v/>
      </c>
      <c r="BE80" s="92"/>
      <c r="BF80" s="79" t="s">
        <v>100</v>
      </c>
      <c r="BG80" s="82" t="str">
        <f aca="false">IF(OR(BG$4="",MONTH(($G$2+34))&lt;&gt;MONTH($C$2)),"",IF(COUNTIFS(m_teacher,BG$4,m_date,($G$2+34),m_active,1,m_start,"&lt;"&amp;1140,m_end,"&gt;"&amp;1080)=0,"",IF(COUNTIFS(m_teacher,BG$4,m_date,($G$2+34),m_active,1,m_start,"&lt;"&amp;1140,m_end,"&gt;"&amp;1080)&gt;1,"충돌",HYPERLINK("#'관리자_MASTER'!D"&amp;_xlfn.MAXIFS(m_row,m_teacher,BG$4,m_date,($G$2+34),m_active,1,m_start,"&lt;"&amp;1140,m_end,"&gt;"&amp;1080),INDEX(m_label,_xlfn.MAXIFS(m_row,m_teacher,BG$4,m_date,($G$2+34),m_active,1,m_start,"&lt;"&amp;1140,m_end,"&gt;"&amp;1080))))))</f>
        <v/>
      </c>
      <c r="BH80" s="82" t="str">
        <f aca="false">IF(OR(BH$4="",MONTH(($G$2+34))&lt;&gt;MONTH($C$2)),"",IF(COUNTIFS(m_teacher,BH$4,m_date,($G$2+34),m_active,1,m_start,"&lt;"&amp;1140,m_end,"&gt;"&amp;1080)=0,"",IF(COUNTIFS(m_teacher,BH$4,m_date,($G$2+34),m_active,1,m_start,"&lt;"&amp;1140,m_end,"&gt;"&amp;1080)&gt;1,"충돌",HYPERLINK("#'관리자_MASTER'!D"&amp;_xlfn.MAXIFS(m_row,m_teacher,BH$4,m_date,($G$2+34),m_active,1,m_start,"&lt;"&amp;1140,m_end,"&gt;"&amp;1080),INDEX(m_label,_xlfn.MAXIFS(m_row,m_teacher,BH$4,m_date,($G$2+34),m_active,1,m_start,"&lt;"&amp;1140,m_end,"&gt;"&amp;1080))))))</f>
        <v/>
      </c>
      <c r="BI80" s="82" t="str">
        <f aca="false">IF(OR(BI$4="",MONTH(($G$2+34))&lt;&gt;MONTH($C$2)),"",IF(COUNTIFS(m_teacher,BI$4,m_date,($G$2+34),m_active,1,m_start,"&lt;"&amp;1140,m_end,"&gt;"&amp;1080)=0,"",IF(COUNTIFS(m_teacher,BI$4,m_date,($G$2+34),m_active,1,m_start,"&lt;"&amp;1140,m_end,"&gt;"&amp;1080)&gt;1,"충돌",HYPERLINK("#'관리자_MASTER'!D"&amp;_xlfn.MAXIFS(m_row,m_teacher,BI$4,m_date,($G$2+34),m_active,1,m_start,"&lt;"&amp;1140,m_end,"&gt;"&amp;1080),INDEX(m_label,_xlfn.MAXIFS(m_row,m_teacher,BI$4,m_date,($G$2+34),m_active,1,m_start,"&lt;"&amp;1140,m_end,"&gt;"&amp;1080))))))</f>
        <v/>
      </c>
      <c r="BJ80" s="82" t="str">
        <f aca="false">IF(OR(BJ$4="",MONTH(($G$2+34))&lt;&gt;MONTH($C$2)),"",IF(COUNTIFS(m_teacher,BJ$4,m_date,($G$2+34),m_active,1,m_start,"&lt;"&amp;1140,m_end,"&gt;"&amp;1080)=0,"",IF(COUNTIFS(m_teacher,BJ$4,m_date,($G$2+34),m_active,1,m_start,"&lt;"&amp;1140,m_end,"&gt;"&amp;1080)&gt;1,"충돌",HYPERLINK("#'관리자_MASTER'!D"&amp;_xlfn.MAXIFS(m_row,m_teacher,BJ$4,m_date,($G$2+34),m_active,1,m_start,"&lt;"&amp;1140,m_end,"&gt;"&amp;1080),INDEX(m_label,_xlfn.MAXIFS(m_row,m_teacher,BJ$4,m_date,($G$2+34),m_active,1,m_start,"&lt;"&amp;1140,m_end,"&gt;"&amp;1080))))))</f>
        <v/>
      </c>
      <c r="BK80" s="82" t="str">
        <f aca="false">IF(OR(BK$4="",MONTH(($G$2+34))&lt;&gt;MONTH($C$2)),"",IF(COUNTIFS(m_teacher,BK$4,m_date,($G$2+34),m_active,1,m_start,"&lt;"&amp;1140,m_end,"&gt;"&amp;1080)=0,"",IF(COUNTIFS(m_teacher,BK$4,m_date,($G$2+34),m_active,1,m_start,"&lt;"&amp;1140,m_end,"&gt;"&amp;1080)&gt;1,"충돌",HYPERLINK("#'관리자_MASTER'!D"&amp;_xlfn.MAXIFS(m_row,m_teacher,BK$4,m_date,($G$2+34),m_active,1,m_start,"&lt;"&amp;1140,m_end,"&gt;"&amp;1080),INDEX(m_label,_xlfn.MAXIFS(m_row,m_teacher,BK$4,m_date,($G$2+34),m_active,1,m_start,"&lt;"&amp;1140,m_end,"&gt;"&amp;1080))))))</f>
        <v/>
      </c>
      <c r="BL80" s="82" t="str">
        <f aca="false">IF(OR(BL$4="",MONTH(($G$2+34))&lt;&gt;MONTH($C$2)),"",IF(COUNTIFS(m_teacher,BL$4,m_date,($G$2+34),m_active,1,m_start,"&lt;"&amp;1140,m_end,"&gt;"&amp;1080)=0,"",IF(COUNTIFS(m_teacher,BL$4,m_date,($G$2+34),m_active,1,m_start,"&lt;"&amp;1140,m_end,"&gt;"&amp;1080)&gt;1,"충돌",HYPERLINK("#'관리자_MASTER'!D"&amp;_xlfn.MAXIFS(m_row,m_teacher,BL$4,m_date,($G$2+34),m_active,1,m_start,"&lt;"&amp;1140,m_end,"&gt;"&amp;1080),INDEX(m_label,_xlfn.MAXIFS(m_row,m_teacher,BL$4,m_date,($G$2+34),m_active,1,m_start,"&lt;"&amp;1140,m_end,"&gt;"&amp;1080))))))</f>
        <v/>
      </c>
      <c r="BM80" s="82" t="str">
        <f aca="false">IF(OR(BM$4="",MONTH(($G$2+34))&lt;&gt;MONTH($C$2)),"",IF(COUNTIFS(m_teacher,BM$4,m_date,($G$2+34),m_active,1,m_start,"&lt;"&amp;1140,m_end,"&gt;"&amp;1080)=0,"",IF(COUNTIFS(m_teacher,BM$4,m_date,($G$2+34),m_active,1,m_start,"&lt;"&amp;1140,m_end,"&gt;"&amp;1080)&gt;1,"충돌",HYPERLINK("#'관리자_MASTER'!D"&amp;_xlfn.MAXIFS(m_row,m_teacher,BM$4,m_date,($G$2+34),m_active,1,m_start,"&lt;"&amp;1140,m_end,"&gt;"&amp;1080),INDEX(m_label,_xlfn.MAXIFS(m_row,m_teacher,BM$4,m_date,($G$2+34),m_active,1,m_start,"&lt;"&amp;1140,m_end,"&gt;"&amp;1080))))))</f>
        <v/>
      </c>
      <c r="BN80" s="82" t="str">
        <f aca="false">IF(OR(BN$4="",MONTH(($G$2+34))&lt;&gt;MONTH($C$2)),"",IF(COUNTIFS(m_teacher,BN$4,m_date,($G$2+34),m_active,1,m_start,"&lt;"&amp;1140,m_end,"&gt;"&amp;1080)=0,"",IF(COUNTIFS(m_teacher,BN$4,m_date,($G$2+34),m_active,1,m_start,"&lt;"&amp;1140,m_end,"&gt;"&amp;1080)&gt;1,"충돌",HYPERLINK("#'관리자_MASTER'!D"&amp;_xlfn.MAXIFS(m_row,m_teacher,BN$4,m_date,($G$2+34),m_active,1,m_start,"&lt;"&amp;1140,m_end,"&gt;"&amp;1080),INDEX(m_label,_xlfn.MAXIFS(m_row,m_teacher,BN$4,m_date,($G$2+34),m_active,1,m_start,"&lt;"&amp;1140,m_end,"&gt;"&amp;1080))))))</f>
        <v/>
      </c>
      <c r="BO80" s="82" t="str">
        <f aca="false">IF(OR(BO$4="",MONTH(($G$2+34))&lt;&gt;MONTH($C$2)),"",IF(COUNTIFS(m_teacher,BO$4,m_date,($G$2+34),m_active,1,m_start,"&lt;"&amp;1140,m_end,"&gt;"&amp;1080)=0,"",IF(COUNTIFS(m_teacher,BO$4,m_date,($G$2+34),m_active,1,m_start,"&lt;"&amp;1140,m_end,"&gt;"&amp;1080)&gt;1,"충돌",HYPERLINK("#'관리자_MASTER'!D"&amp;_xlfn.MAXIFS(m_row,m_teacher,BO$4,m_date,($G$2+34),m_active,1,m_start,"&lt;"&amp;1140,m_end,"&gt;"&amp;1080),INDEX(m_label,_xlfn.MAXIFS(m_row,m_teacher,BO$4,m_date,($G$2+34),m_active,1,m_start,"&lt;"&amp;1140,m_end,"&gt;"&amp;1080))))))</f>
        <v/>
      </c>
      <c r="BP80" s="82" t="str">
        <f aca="false">IF(OR(BP$4="",MONTH(($G$2+34))&lt;&gt;MONTH($C$2)),"",IF(COUNTIFS(m_teacher,BP$4,m_date,($G$2+34),m_active,1,m_start,"&lt;"&amp;1140,m_end,"&gt;"&amp;1080)=0,"",IF(COUNTIFS(m_teacher,BP$4,m_date,($G$2+34),m_active,1,m_start,"&lt;"&amp;1140,m_end,"&gt;"&amp;1080)&gt;1,"충돌",HYPERLINK("#'관리자_MASTER'!D"&amp;_xlfn.MAXIFS(m_row,m_teacher,BP$4,m_date,($G$2+34),m_active,1,m_start,"&lt;"&amp;1140,m_end,"&gt;"&amp;1080),INDEX(m_label,_xlfn.MAXIFS(m_row,m_teacher,BP$4,m_date,($G$2+34),m_active,1,m_start,"&lt;"&amp;1140,m_end,"&gt;"&amp;1080))))))</f>
        <v/>
      </c>
      <c r="BQ80" s="82" t="str">
        <f aca="false">IF(OR(BQ$4="",MONTH(($G$2+34))&lt;&gt;MONTH($C$2)),"",IF(COUNTIFS(m_teacher,BQ$4,m_date,($G$2+34),m_active,1,m_start,"&lt;"&amp;1140,m_end,"&gt;"&amp;1080)=0,"",IF(COUNTIFS(m_teacher,BQ$4,m_date,($G$2+34),m_active,1,m_start,"&lt;"&amp;1140,m_end,"&gt;"&amp;1080)&gt;1,"충돌",HYPERLINK("#'관리자_MASTER'!D"&amp;_xlfn.MAXIFS(m_row,m_teacher,BQ$4,m_date,($G$2+34),m_active,1,m_start,"&lt;"&amp;1140,m_end,"&gt;"&amp;1080),INDEX(m_label,_xlfn.MAXIFS(m_row,m_teacher,BQ$4,m_date,($G$2+34),m_active,1,m_start,"&lt;"&amp;1140,m_end,"&gt;"&amp;1080))))))</f>
        <v/>
      </c>
      <c r="BR80" s="82" t="str">
        <f aca="false">IF(OR(BR$4="",MONTH(($G$2+34))&lt;&gt;MONTH($C$2)),"",IF(COUNTIFS(m_teacher,BR$4,m_date,($G$2+34),m_active,1,m_start,"&lt;"&amp;1140,m_end,"&gt;"&amp;1080)=0,"",IF(COUNTIFS(m_teacher,BR$4,m_date,($G$2+34),m_active,1,m_start,"&lt;"&amp;1140,m_end,"&gt;"&amp;1080)&gt;1,"충돌",HYPERLINK("#'관리자_MASTER'!D"&amp;_xlfn.MAXIFS(m_row,m_teacher,BR$4,m_date,($G$2+34),m_active,1,m_start,"&lt;"&amp;1140,m_end,"&gt;"&amp;1080),INDEX(m_label,_xlfn.MAXIFS(m_row,m_teacher,BR$4,m_date,($G$2+34),m_active,1,m_start,"&lt;"&amp;1140,m_end,"&gt;"&amp;1080))))))</f>
        <v/>
      </c>
    </row>
    <row r="81" customFormat="false" ht="19.5" hidden="false" customHeight="true" outlineLevel="0" collapsed="false">
      <c r="A81" s="92"/>
      <c r="B81" s="85" t="s">
        <v>101</v>
      </c>
      <c r="C81" s="86" t="str">
        <f aca="false">IF(OR(C$4="",MONTH(($G$2+6))&lt;&gt;MONTH($C$2)),"",IF(COUNTIFS(m_teacher,C$4,m_date,($G$2+6),m_active,1,m_start,"&lt;"&amp;1440,m_end,"&gt;"&amp;1140)=0,"",IF(COUNTIFS(m_teacher,C$4,m_date,($G$2+6),m_active,1,m_start,"&lt;"&amp;1440,m_end,"&gt;"&amp;1140)&gt;1,"충돌",HYPERLINK("#'관리자_MASTER'!D"&amp;_xlfn.MAXIFS(m_row,m_teacher,C$4,m_date,($G$2+6),m_active,1,m_start,"&lt;"&amp;1440,m_end,"&gt;"&amp;1140),INDEX(m_label,_xlfn.MAXIFS(m_row,m_teacher,C$4,m_date,($G$2+6),m_active,1,m_start,"&lt;"&amp;1440,m_end,"&gt;"&amp;1140))))))</f>
        <v/>
      </c>
      <c r="D81" s="86" t="str">
        <f aca="false">IF(OR(D$4="",MONTH(($G$2+6))&lt;&gt;MONTH($C$2)),"",IF(COUNTIFS(m_teacher,D$4,m_date,($G$2+6),m_active,1,m_start,"&lt;"&amp;1440,m_end,"&gt;"&amp;1140)=0,"",IF(COUNTIFS(m_teacher,D$4,m_date,($G$2+6),m_active,1,m_start,"&lt;"&amp;1440,m_end,"&gt;"&amp;1140)&gt;1,"충돌",HYPERLINK("#'관리자_MASTER'!D"&amp;_xlfn.MAXIFS(m_row,m_teacher,D$4,m_date,($G$2+6),m_active,1,m_start,"&lt;"&amp;1440,m_end,"&gt;"&amp;1140),INDEX(m_label,_xlfn.MAXIFS(m_row,m_teacher,D$4,m_date,($G$2+6),m_active,1,m_start,"&lt;"&amp;1440,m_end,"&gt;"&amp;1140))))))</f>
        <v/>
      </c>
      <c r="E81" s="86" t="str">
        <f aca="false">IF(OR(E$4="",MONTH(($G$2+6))&lt;&gt;MONTH($C$2)),"",IF(COUNTIFS(m_teacher,E$4,m_date,($G$2+6),m_active,1,m_start,"&lt;"&amp;1440,m_end,"&gt;"&amp;1140)=0,"",IF(COUNTIFS(m_teacher,E$4,m_date,($G$2+6),m_active,1,m_start,"&lt;"&amp;1440,m_end,"&gt;"&amp;1140)&gt;1,"충돌",HYPERLINK("#'관리자_MASTER'!D"&amp;_xlfn.MAXIFS(m_row,m_teacher,E$4,m_date,($G$2+6),m_active,1,m_start,"&lt;"&amp;1440,m_end,"&gt;"&amp;1140),INDEX(m_label,_xlfn.MAXIFS(m_row,m_teacher,E$4,m_date,($G$2+6),m_active,1,m_start,"&lt;"&amp;1440,m_end,"&gt;"&amp;1140))))))</f>
        <v/>
      </c>
      <c r="F81" s="86" t="str">
        <f aca="false">IF(OR(F$4="",MONTH(($G$2+6))&lt;&gt;MONTH($C$2)),"",IF(COUNTIFS(m_teacher,F$4,m_date,($G$2+6),m_active,1,m_start,"&lt;"&amp;1440,m_end,"&gt;"&amp;1140)=0,"",IF(COUNTIFS(m_teacher,F$4,m_date,($G$2+6),m_active,1,m_start,"&lt;"&amp;1440,m_end,"&gt;"&amp;1140)&gt;1,"충돌",HYPERLINK("#'관리자_MASTER'!D"&amp;_xlfn.MAXIFS(m_row,m_teacher,F$4,m_date,($G$2+6),m_active,1,m_start,"&lt;"&amp;1440,m_end,"&gt;"&amp;1140),INDEX(m_label,_xlfn.MAXIFS(m_row,m_teacher,F$4,m_date,($G$2+6),m_active,1,m_start,"&lt;"&amp;1440,m_end,"&gt;"&amp;1140))))))</f>
        <v/>
      </c>
      <c r="G81" s="86" t="str">
        <f aca="false">IF(OR(G$4="",MONTH(($G$2+6))&lt;&gt;MONTH($C$2)),"",IF(COUNTIFS(m_teacher,G$4,m_date,($G$2+6),m_active,1,m_start,"&lt;"&amp;1440,m_end,"&gt;"&amp;1140)=0,"",IF(COUNTIFS(m_teacher,G$4,m_date,($G$2+6),m_active,1,m_start,"&lt;"&amp;1440,m_end,"&gt;"&amp;1140)&gt;1,"충돌",HYPERLINK("#'관리자_MASTER'!D"&amp;_xlfn.MAXIFS(m_row,m_teacher,G$4,m_date,($G$2+6),m_active,1,m_start,"&lt;"&amp;1440,m_end,"&gt;"&amp;1140),INDEX(m_label,_xlfn.MAXIFS(m_row,m_teacher,G$4,m_date,($G$2+6),m_active,1,m_start,"&lt;"&amp;1440,m_end,"&gt;"&amp;1140))))))</f>
        <v/>
      </c>
      <c r="H81" s="86" t="str">
        <f aca="false">IF(OR(H$4="",MONTH(($G$2+6))&lt;&gt;MONTH($C$2)),"",IF(COUNTIFS(m_teacher,H$4,m_date,($G$2+6),m_active,1,m_start,"&lt;"&amp;1440,m_end,"&gt;"&amp;1140)=0,"",IF(COUNTIFS(m_teacher,H$4,m_date,($G$2+6),m_active,1,m_start,"&lt;"&amp;1440,m_end,"&gt;"&amp;1140)&gt;1,"충돌",HYPERLINK("#'관리자_MASTER'!D"&amp;_xlfn.MAXIFS(m_row,m_teacher,H$4,m_date,($G$2+6),m_active,1,m_start,"&lt;"&amp;1440,m_end,"&gt;"&amp;1140),INDEX(m_label,_xlfn.MAXIFS(m_row,m_teacher,H$4,m_date,($G$2+6),m_active,1,m_start,"&lt;"&amp;1440,m_end,"&gt;"&amp;1140))))))</f>
        <v/>
      </c>
      <c r="I81" s="86" t="str">
        <f aca="false">IF(OR(I$4="",MONTH(($G$2+6))&lt;&gt;MONTH($C$2)),"",IF(COUNTIFS(m_teacher,I$4,m_date,($G$2+6),m_active,1,m_start,"&lt;"&amp;1440,m_end,"&gt;"&amp;1140)=0,"",IF(COUNTIFS(m_teacher,I$4,m_date,($G$2+6),m_active,1,m_start,"&lt;"&amp;1440,m_end,"&gt;"&amp;1140)&gt;1,"충돌",HYPERLINK("#'관리자_MASTER'!D"&amp;_xlfn.MAXIFS(m_row,m_teacher,I$4,m_date,($G$2+6),m_active,1,m_start,"&lt;"&amp;1440,m_end,"&gt;"&amp;1140),INDEX(m_label,_xlfn.MAXIFS(m_row,m_teacher,I$4,m_date,($G$2+6),m_active,1,m_start,"&lt;"&amp;1440,m_end,"&gt;"&amp;1140))))))</f>
        <v/>
      </c>
      <c r="J81" s="86" t="str">
        <f aca="false">IF(OR(J$4="",MONTH(($G$2+6))&lt;&gt;MONTH($C$2)),"",IF(COUNTIFS(m_teacher,J$4,m_date,($G$2+6),m_active,1,m_start,"&lt;"&amp;1440,m_end,"&gt;"&amp;1140)=0,"",IF(COUNTIFS(m_teacher,J$4,m_date,($G$2+6),m_active,1,m_start,"&lt;"&amp;1440,m_end,"&gt;"&amp;1140)&gt;1,"충돌",HYPERLINK("#'관리자_MASTER'!D"&amp;_xlfn.MAXIFS(m_row,m_teacher,J$4,m_date,($G$2+6),m_active,1,m_start,"&lt;"&amp;1440,m_end,"&gt;"&amp;1140),INDEX(m_label,_xlfn.MAXIFS(m_row,m_teacher,J$4,m_date,($G$2+6),m_active,1,m_start,"&lt;"&amp;1440,m_end,"&gt;"&amp;1140))))))</f>
        <v/>
      </c>
      <c r="K81" s="86" t="str">
        <f aca="false">IF(OR(K$4="",MONTH(($G$2+6))&lt;&gt;MONTH($C$2)),"",IF(COUNTIFS(m_teacher,K$4,m_date,($G$2+6),m_active,1,m_start,"&lt;"&amp;1440,m_end,"&gt;"&amp;1140)=0,"",IF(COUNTIFS(m_teacher,K$4,m_date,($G$2+6),m_active,1,m_start,"&lt;"&amp;1440,m_end,"&gt;"&amp;1140)&gt;1,"충돌",HYPERLINK("#'관리자_MASTER'!D"&amp;_xlfn.MAXIFS(m_row,m_teacher,K$4,m_date,($G$2+6),m_active,1,m_start,"&lt;"&amp;1440,m_end,"&gt;"&amp;1140),INDEX(m_label,_xlfn.MAXIFS(m_row,m_teacher,K$4,m_date,($G$2+6),m_active,1,m_start,"&lt;"&amp;1440,m_end,"&gt;"&amp;1140))))))</f>
        <v/>
      </c>
      <c r="L81" s="86" t="str">
        <f aca="false">IF(OR(L$4="",MONTH(($G$2+6))&lt;&gt;MONTH($C$2)),"",IF(COUNTIFS(m_teacher,L$4,m_date,($G$2+6),m_active,1,m_start,"&lt;"&amp;1440,m_end,"&gt;"&amp;1140)=0,"",IF(COUNTIFS(m_teacher,L$4,m_date,($G$2+6),m_active,1,m_start,"&lt;"&amp;1440,m_end,"&gt;"&amp;1140)&gt;1,"충돌",HYPERLINK("#'관리자_MASTER'!D"&amp;_xlfn.MAXIFS(m_row,m_teacher,L$4,m_date,($G$2+6),m_active,1,m_start,"&lt;"&amp;1440,m_end,"&gt;"&amp;1140),INDEX(m_label,_xlfn.MAXIFS(m_row,m_teacher,L$4,m_date,($G$2+6),m_active,1,m_start,"&lt;"&amp;1440,m_end,"&gt;"&amp;1140))))))</f>
        <v/>
      </c>
      <c r="M81" s="86" t="str">
        <f aca="false">IF(OR(M$4="",MONTH(($G$2+6))&lt;&gt;MONTH($C$2)),"",IF(COUNTIFS(m_teacher,M$4,m_date,($G$2+6),m_active,1,m_start,"&lt;"&amp;1440,m_end,"&gt;"&amp;1140)=0,"",IF(COUNTIFS(m_teacher,M$4,m_date,($G$2+6),m_active,1,m_start,"&lt;"&amp;1440,m_end,"&gt;"&amp;1140)&gt;1,"충돌",HYPERLINK("#'관리자_MASTER'!D"&amp;_xlfn.MAXIFS(m_row,m_teacher,M$4,m_date,($G$2+6),m_active,1,m_start,"&lt;"&amp;1440,m_end,"&gt;"&amp;1140),INDEX(m_label,_xlfn.MAXIFS(m_row,m_teacher,M$4,m_date,($G$2+6),m_active,1,m_start,"&lt;"&amp;1440,m_end,"&gt;"&amp;1140))))))</f>
        <v/>
      </c>
      <c r="N81" s="86" t="str">
        <f aca="false">IF(OR(N$4="",MONTH(($G$2+6))&lt;&gt;MONTH($C$2)),"",IF(COUNTIFS(m_teacher,N$4,m_date,($G$2+6),m_active,1,m_start,"&lt;"&amp;1440,m_end,"&gt;"&amp;1140)=0,"",IF(COUNTIFS(m_teacher,N$4,m_date,($G$2+6),m_active,1,m_start,"&lt;"&amp;1440,m_end,"&gt;"&amp;1140)&gt;1,"충돌",HYPERLINK("#'관리자_MASTER'!D"&amp;_xlfn.MAXIFS(m_row,m_teacher,N$4,m_date,($G$2+6),m_active,1,m_start,"&lt;"&amp;1440,m_end,"&gt;"&amp;1140),INDEX(m_label,_xlfn.MAXIFS(m_row,m_teacher,N$4,m_date,($G$2+6),m_active,1,m_start,"&lt;"&amp;1440,m_end,"&gt;"&amp;1140))))))</f>
        <v/>
      </c>
      <c r="O81" s="92"/>
      <c r="P81" s="85" t="s">
        <v>101</v>
      </c>
      <c r="Q81" s="86" t="str">
        <f aca="false">IF(OR(Q$4="",MONTH(($G$2+13))&lt;&gt;MONTH($C$2)),"",IF(COUNTIFS(m_teacher,Q$4,m_date,($G$2+13),m_active,1,m_start,"&lt;"&amp;1440,m_end,"&gt;"&amp;1140)=0,"",IF(COUNTIFS(m_teacher,Q$4,m_date,($G$2+13),m_active,1,m_start,"&lt;"&amp;1440,m_end,"&gt;"&amp;1140)&gt;1,"충돌",HYPERLINK("#'관리자_MASTER'!D"&amp;_xlfn.MAXIFS(m_row,m_teacher,Q$4,m_date,($G$2+13),m_active,1,m_start,"&lt;"&amp;1440,m_end,"&gt;"&amp;1140),INDEX(m_label,_xlfn.MAXIFS(m_row,m_teacher,Q$4,m_date,($G$2+13),m_active,1,m_start,"&lt;"&amp;1440,m_end,"&gt;"&amp;1140))))))</f>
        <v/>
      </c>
      <c r="R81" s="86" t="str">
        <f aca="false">IF(OR(R$4="",MONTH(($G$2+13))&lt;&gt;MONTH($C$2)),"",IF(COUNTIFS(m_teacher,R$4,m_date,($G$2+13),m_active,1,m_start,"&lt;"&amp;1440,m_end,"&gt;"&amp;1140)=0,"",IF(COUNTIFS(m_teacher,R$4,m_date,($G$2+13),m_active,1,m_start,"&lt;"&amp;1440,m_end,"&gt;"&amp;1140)&gt;1,"충돌",HYPERLINK("#'관리자_MASTER'!D"&amp;_xlfn.MAXIFS(m_row,m_teacher,R$4,m_date,($G$2+13),m_active,1,m_start,"&lt;"&amp;1440,m_end,"&gt;"&amp;1140),INDEX(m_label,_xlfn.MAXIFS(m_row,m_teacher,R$4,m_date,($G$2+13),m_active,1,m_start,"&lt;"&amp;1440,m_end,"&gt;"&amp;1140))))))</f>
        <v/>
      </c>
      <c r="S81" s="86" t="str">
        <f aca="false">IF(OR(S$4="",MONTH(($G$2+13))&lt;&gt;MONTH($C$2)),"",IF(COUNTIFS(m_teacher,S$4,m_date,($G$2+13),m_active,1,m_start,"&lt;"&amp;1440,m_end,"&gt;"&amp;1140)=0,"",IF(COUNTIFS(m_teacher,S$4,m_date,($G$2+13),m_active,1,m_start,"&lt;"&amp;1440,m_end,"&gt;"&amp;1140)&gt;1,"충돌",HYPERLINK("#'관리자_MASTER'!D"&amp;_xlfn.MAXIFS(m_row,m_teacher,S$4,m_date,($G$2+13),m_active,1,m_start,"&lt;"&amp;1440,m_end,"&gt;"&amp;1140),INDEX(m_label,_xlfn.MAXIFS(m_row,m_teacher,S$4,m_date,($G$2+13),m_active,1,m_start,"&lt;"&amp;1440,m_end,"&gt;"&amp;1140))))))</f>
        <v/>
      </c>
      <c r="T81" s="86" t="str">
        <f aca="false">IF(OR(T$4="",MONTH(($G$2+13))&lt;&gt;MONTH($C$2)),"",IF(COUNTIFS(m_teacher,T$4,m_date,($G$2+13),m_active,1,m_start,"&lt;"&amp;1440,m_end,"&gt;"&amp;1140)=0,"",IF(COUNTIFS(m_teacher,T$4,m_date,($G$2+13),m_active,1,m_start,"&lt;"&amp;1440,m_end,"&gt;"&amp;1140)&gt;1,"충돌",HYPERLINK("#'관리자_MASTER'!D"&amp;_xlfn.MAXIFS(m_row,m_teacher,T$4,m_date,($G$2+13),m_active,1,m_start,"&lt;"&amp;1440,m_end,"&gt;"&amp;1140),INDEX(m_label,_xlfn.MAXIFS(m_row,m_teacher,T$4,m_date,($G$2+13),m_active,1,m_start,"&lt;"&amp;1440,m_end,"&gt;"&amp;1140))))))</f>
        <v/>
      </c>
      <c r="U81" s="86" t="str">
        <f aca="false">IF(OR(U$4="",MONTH(($G$2+13))&lt;&gt;MONTH($C$2)),"",IF(COUNTIFS(m_teacher,U$4,m_date,($G$2+13),m_active,1,m_start,"&lt;"&amp;1440,m_end,"&gt;"&amp;1140)=0,"",IF(COUNTIFS(m_teacher,U$4,m_date,($G$2+13),m_active,1,m_start,"&lt;"&amp;1440,m_end,"&gt;"&amp;1140)&gt;1,"충돌",HYPERLINK("#'관리자_MASTER'!D"&amp;_xlfn.MAXIFS(m_row,m_teacher,U$4,m_date,($G$2+13),m_active,1,m_start,"&lt;"&amp;1440,m_end,"&gt;"&amp;1140),INDEX(m_label,_xlfn.MAXIFS(m_row,m_teacher,U$4,m_date,($G$2+13),m_active,1,m_start,"&lt;"&amp;1440,m_end,"&gt;"&amp;1140))))))</f>
        <v/>
      </c>
      <c r="V81" s="86" t="str">
        <f aca="false">IF(OR(V$4="",MONTH(($G$2+13))&lt;&gt;MONTH($C$2)),"",IF(COUNTIFS(m_teacher,V$4,m_date,($G$2+13),m_active,1,m_start,"&lt;"&amp;1440,m_end,"&gt;"&amp;1140)=0,"",IF(COUNTIFS(m_teacher,V$4,m_date,($G$2+13),m_active,1,m_start,"&lt;"&amp;1440,m_end,"&gt;"&amp;1140)&gt;1,"충돌",HYPERLINK("#'관리자_MASTER'!D"&amp;_xlfn.MAXIFS(m_row,m_teacher,V$4,m_date,($G$2+13),m_active,1,m_start,"&lt;"&amp;1440,m_end,"&gt;"&amp;1140),INDEX(m_label,_xlfn.MAXIFS(m_row,m_teacher,V$4,m_date,($G$2+13),m_active,1,m_start,"&lt;"&amp;1440,m_end,"&gt;"&amp;1140))))))</f>
        <v/>
      </c>
      <c r="W81" s="86" t="str">
        <f aca="false">IF(OR(W$4="",MONTH(($G$2+13))&lt;&gt;MONTH($C$2)),"",IF(COUNTIFS(m_teacher,W$4,m_date,($G$2+13),m_active,1,m_start,"&lt;"&amp;1440,m_end,"&gt;"&amp;1140)=0,"",IF(COUNTIFS(m_teacher,W$4,m_date,($G$2+13),m_active,1,m_start,"&lt;"&amp;1440,m_end,"&gt;"&amp;1140)&gt;1,"충돌",HYPERLINK("#'관리자_MASTER'!D"&amp;_xlfn.MAXIFS(m_row,m_teacher,W$4,m_date,($G$2+13),m_active,1,m_start,"&lt;"&amp;1440,m_end,"&gt;"&amp;1140),INDEX(m_label,_xlfn.MAXIFS(m_row,m_teacher,W$4,m_date,($G$2+13),m_active,1,m_start,"&lt;"&amp;1440,m_end,"&gt;"&amp;1140))))))</f>
        <v/>
      </c>
      <c r="X81" s="86" t="str">
        <f aca="false">IF(OR(X$4="",MONTH(($G$2+13))&lt;&gt;MONTH($C$2)),"",IF(COUNTIFS(m_teacher,X$4,m_date,($G$2+13),m_active,1,m_start,"&lt;"&amp;1440,m_end,"&gt;"&amp;1140)=0,"",IF(COUNTIFS(m_teacher,X$4,m_date,($G$2+13),m_active,1,m_start,"&lt;"&amp;1440,m_end,"&gt;"&amp;1140)&gt;1,"충돌",HYPERLINK("#'관리자_MASTER'!D"&amp;_xlfn.MAXIFS(m_row,m_teacher,X$4,m_date,($G$2+13),m_active,1,m_start,"&lt;"&amp;1440,m_end,"&gt;"&amp;1140),INDEX(m_label,_xlfn.MAXIFS(m_row,m_teacher,X$4,m_date,($G$2+13),m_active,1,m_start,"&lt;"&amp;1440,m_end,"&gt;"&amp;1140))))))</f>
        <v/>
      </c>
      <c r="Y81" s="86" t="str">
        <f aca="false">IF(OR(Y$4="",MONTH(($G$2+13))&lt;&gt;MONTH($C$2)),"",IF(COUNTIFS(m_teacher,Y$4,m_date,($G$2+13),m_active,1,m_start,"&lt;"&amp;1440,m_end,"&gt;"&amp;1140)=0,"",IF(COUNTIFS(m_teacher,Y$4,m_date,($G$2+13),m_active,1,m_start,"&lt;"&amp;1440,m_end,"&gt;"&amp;1140)&gt;1,"충돌",HYPERLINK("#'관리자_MASTER'!D"&amp;_xlfn.MAXIFS(m_row,m_teacher,Y$4,m_date,($G$2+13),m_active,1,m_start,"&lt;"&amp;1440,m_end,"&gt;"&amp;1140),INDEX(m_label,_xlfn.MAXIFS(m_row,m_teacher,Y$4,m_date,($G$2+13),m_active,1,m_start,"&lt;"&amp;1440,m_end,"&gt;"&amp;1140))))))</f>
        <v/>
      </c>
      <c r="Z81" s="86" t="str">
        <f aca="false">IF(OR(Z$4="",MONTH(($G$2+13))&lt;&gt;MONTH($C$2)),"",IF(COUNTIFS(m_teacher,Z$4,m_date,($G$2+13),m_active,1,m_start,"&lt;"&amp;1440,m_end,"&gt;"&amp;1140)=0,"",IF(COUNTIFS(m_teacher,Z$4,m_date,($G$2+13),m_active,1,m_start,"&lt;"&amp;1440,m_end,"&gt;"&amp;1140)&gt;1,"충돌",HYPERLINK("#'관리자_MASTER'!D"&amp;_xlfn.MAXIFS(m_row,m_teacher,Z$4,m_date,($G$2+13),m_active,1,m_start,"&lt;"&amp;1440,m_end,"&gt;"&amp;1140),INDEX(m_label,_xlfn.MAXIFS(m_row,m_teacher,Z$4,m_date,($G$2+13),m_active,1,m_start,"&lt;"&amp;1440,m_end,"&gt;"&amp;1140))))))</f>
        <v/>
      </c>
      <c r="AA81" s="86" t="str">
        <f aca="false">IF(OR(AA$4="",MONTH(($G$2+13))&lt;&gt;MONTH($C$2)),"",IF(COUNTIFS(m_teacher,AA$4,m_date,($G$2+13),m_active,1,m_start,"&lt;"&amp;1440,m_end,"&gt;"&amp;1140)=0,"",IF(COUNTIFS(m_teacher,AA$4,m_date,($G$2+13),m_active,1,m_start,"&lt;"&amp;1440,m_end,"&gt;"&amp;1140)&gt;1,"충돌",HYPERLINK("#'관리자_MASTER'!D"&amp;_xlfn.MAXIFS(m_row,m_teacher,AA$4,m_date,($G$2+13),m_active,1,m_start,"&lt;"&amp;1440,m_end,"&gt;"&amp;1140),INDEX(m_label,_xlfn.MAXIFS(m_row,m_teacher,AA$4,m_date,($G$2+13),m_active,1,m_start,"&lt;"&amp;1440,m_end,"&gt;"&amp;1140))))))</f>
        <v/>
      </c>
      <c r="AB81" s="86" t="str">
        <f aca="false">IF(OR(AB$4="",MONTH(($G$2+13))&lt;&gt;MONTH($C$2)),"",IF(COUNTIFS(m_teacher,AB$4,m_date,($G$2+13),m_active,1,m_start,"&lt;"&amp;1440,m_end,"&gt;"&amp;1140)=0,"",IF(COUNTIFS(m_teacher,AB$4,m_date,($G$2+13),m_active,1,m_start,"&lt;"&amp;1440,m_end,"&gt;"&amp;1140)&gt;1,"충돌",HYPERLINK("#'관리자_MASTER'!D"&amp;_xlfn.MAXIFS(m_row,m_teacher,AB$4,m_date,($G$2+13),m_active,1,m_start,"&lt;"&amp;1440,m_end,"&gt;"&amp;1140),INDEX(m_label,_xlfn.MAXIFS(m_row,m_teacher,AB$4,m_date,($G$2+13),m_active,1,m_start,"&lt;"&amp;1440,m_end,"&gt;"&amp;1140))))))</f>
        <v/>
      </c>
      <c r="AC81" s="92"/>
      <c r="AD81" s="85" t="s">
        <v>101</v>
      </c>
      <c r="AE81" s="86" t="str">
        <f aca="false">IF(OR(AE$4="",MONTH(($G$2+20))&lt;&gt;MONTH($C$2)),"",IF(COUNTIFS(m_teacher,AE$4,m_date,($G$2+20),m_active,1,m_start,"&lt;"&amp;1440,m_end,"&gt;"&amp;1140)=0,"",IF(COUNTIFS(m_teacher,AE$4,m_date,($G$2+20),m_active,1,m_start,"&lt;"&amp;1440,m_end,"&gt;"&amp;1140)&gt;1,"충돌",HYPERLINK("#'관리자_MASTER'!D"&amp;_xlfn.MAXIFS(m_row,m_teacher,AE$4,m_date,($G$2+20),m_active,1,m_start,"&lt;"&amp;1440,m_end,"&gt;"&amp;1140),INDEX(m_label,_xlfn.MAXIFS(m_row,m_teacher,AE$4,m_date,($G$2+20),m_active,1,m_start,"&lt;"&amp;1440,m_end,"&gt;"&amp;1140))))))</f>
        <v/>
      </c>
      <c r="AF81" s="86" t="str">
        <f aca="false">IF(OR(AF$4="",MONTH(($G$2+20))&lt;&gt;MONTH($C$2)),"",IF(COUNTIFS(m_teacher,AF$4,m_date,($G$2+20),m_active,1,m_start,"&lt;"&amp;1440,m_end,"&gt;"&amp;1140)=0,"",IF(COUNTIFS(m_teacher,AF$4,m_date,($G$2+20),m_active,1,m_start,"&lt;"&amp;1440,m_end,"&gt;"&amp;1140)&gt;1,"충돌",HYPERLINK("#'관리자_MASTER'!D"&amp;_xlfn.MAXIFS(m_row,m_teacher,AF$4,m_date,($G$2+20),m_active,1,m_start,"&lt;"&amp;1440,m_end,"&gt;"&amp;1140),INDEX(m_label,_xlfn.MAXIFS(m_row,m_teacher,AF$4,m_date,($G$2+20),m_active,1,m_start,"&lt;"&amp;1440,m_end,"&gt;"&amp;1140))))))</f>
        <v/>
      </c>
      <c r="AG81" s="86" t="str">
        <f aca="false">IF(OR(AG$4="",MONTH(($G$2+20))&lt;&gt;MONTH($C$2)),"",IF(COUNTIFS(m_teacher,AG$4,m_date,($G$2+20),m_active,1,m_start,"&lt;"&amp;1440,m_end,"&gt;"&amp;1140)=0,"",IF(COUNTIFS(m_teacher,AG$4,m_date,($G$2+20),m_active,1,m_start,"&lt;"&amp;1440,m_end,"&gt;"&amp;1140)&gt;1,"충돌",HYPERLINK("#'관리자_MASTER'!D"&amp;_xlfn.MAXIFS(m_row,m_teacher,AG$4,m_date,($G$2+20),m_active,1,m_start,"&lt;"&amp;1440,m_end,"&gt;"&amp;1140),INDEX(m_label,_xlfn.MAXIFS(m_row,m_teacher,AG$4,m_date,($G$2+20),m_active,1,m_start,"&lt;"&amp;1440,m_end,"&gt;"&amp;1140))))))</f>
        <v/>
      </c>
      <c r="AH81" s="86" t="str">
        <f aca="false">IF(OR(AH$4="",MONTH(($G$2+20))&lt;&gt;MONTH($C$2)),"",IF(COUNTIFS(m_teacher,AH$4,m_date,($G$2+20),m_active,1,m_start,"&lt;"&amp;1440,m_end,"&gt;"&amp;1140)=0,"",IF(COUNTIFS(m_teacher,AH$4,m_date,($G$2+20),m_active,1,m_start,"&lt;"&amp;1440,m_end,"&gt;"&amp;1140)&gt;1,"충돌",HYPERLINK("#'관리자_MASTER'!D"&amp;_xlfn.MAXIFS(m_row,m_teacher,AH$4,m_date,($G$2+20),m_active,1,m_start,"&lt;"&amp;1440,m_end,"&gt;"&amp;1140),INDEX(m_label,_xlfn.MAXIFS(m_row,m_teacher,AH$4,m_date,($G$2+20),m_active,1,m_start,"&lt;"&amp;1440,m_end,"&gt;"&amp;1140))))))</f>
        <v/>
      </c>
      <c r="AI81" s="86" t="str">
        <f aca="false">IF(OR(AI$4="",MONTH(($G$2+20))&lt;&gt;MONTH($C$2)),"",IF(COUNTIFS(m_teacher,AI$4,m_date,($G$2+20),m_active,1,m_start,"&lt;"&amp;1440,m_end,"&gt;"&amp;1140)=0,"",IF(COUNTIFS(m_teacher,AI$4,m_date,($G$2+20),m_active,1,m_start,"&lt;"&amp;1440,m_end,"&gt;"&amp;1140)&gt;1,"충돌",HYPERLINK("#'관리자_MASTER'!D"&amp;_xlfn.MAXIFS(m_row,m_teacher,AI$4,m_date,($G$2+20),m_active,1,m_start,"&lt;"&amp;1440,m_end,"&gt;"&amp;1140),INDEX(m_label,_xlfn.MAXIFS(m_row,m_teacher,AI$4,m_date,($G$2+20),m_active,1,m_start,"&lt;"&amp;1440,m_end,"&gt;"&amp;1140))))))</f>
        <v/>
      </c>
      <c r="AJ81" s="86" t="str">
        <f aca="false">IF(OR(AJ$4="",MONTH(($G$2+20))&lt;&gt;MONTH($C$2)),"",IF(COUNTIFS(m_teacher,AJ$4,m_date,($G$2+20),m_active,1,m_start,"&lt;"&amp;1440,m_end,"&gt;"&amp;1140)=0,"",IF(COUNTIFS(m_teacher,AJ$4,m_date,($G$2+20),m_active,1,m_start,"&lt;"&amp;1440,m_end,"&gt;"&amp;1140)&gt;1,"충돌",HYPERLINK("#'관리자_MASTER'!D"&amp;_xlfn.MAXIFS(m_row,m_teacher,AJ$4,m_date,($G$2+20),m_active,1,m_start,"&lt;"&amp;1440,m_end,"&gt;"&amp;1140),INDEX(m_label,_xlfn.MAXIFS(m_row,m_teacher,AJ$4,m_date,($G$2+20),m_active,1,m_start,"&lt;"&amp;1440,m_end,"&gt;"&amp;1140))))))</f>
        <v/>
      </c>
      <c r="AK81" s="86" t="str">
        <f aca="false">IF(OR(AK$4="",MONTH(($G$2+20))&lt;&gt;MONTH($C$2)),"",IF(COUNTIFS(m_teacher,AK$4,m_date,($G$2+20),m_active,1,m_start,"&lt;"&amp;1440,m_end,"&gt;"&amp;1140)=0,"",IF(COUNTIFS(m_teacher,AK$4,m_date,($G$2+20),m_active,1,m_start,"&lt;"&amp;1440,m_end,"&gt;"&amp;1140)&gt;1,"충돌",HYPERLINK("#'관리자_MASTER'!D"&amp;_xlfn.MAXIFS(m_row,m_teacher,AK$4,m_date,($G$2+20),m_active,1,m_start,"&lt;"&amp;1440,m_end,"&gt;"&amp;1140),INDEX(m_label,_xlfn.MAXIFS(m_row,m_teacher,AK$4,m_date,($G$2+20),m_active,1,m_start,"&lt;"&amp;1440,m_end,"&gt;"&amp;1140))))))</f>
        <v/>
      </c>
      <c r="AL81" s="86" t="str">
        <f aca="false">IF(OR(AL$4="",MONTH(($G$2+20))&lt;&gt;MONTH($C$2)),"",IF(COUNTIFS(m_teacher,AL$4,m_date,($G$2+20),m_active,1,m_start,"&lt;"&amp;1440,m_end,"&gt;"&amp;1140)=0,"",IF(COUNTIFS(m_teacher,AL$4,m_date,($G$2+20),m_active,1,m_start,"&lt;"&amp;1440,m_end,"&gt;"&amp;1140)&gt;1,"충돌",HYPERLINK("#'관리자_MASTER'!D"&amp;_xlfn.MAXIFS(m_row,m_teacher,AL$4,m_date,($G$2+20),m_active,1,m_start,"&lt;"&amp;1440,m_end,"&gt;"&amp;1140),INDEX(m_label,_xlfn.MAXIFS(m_row,m_teacher,AL$4,m_date,($G$2+20),m_active,1,m_start,"&lt;"&amp;1440,m_end,"&gt;"&amp;1140))))))</f>
        <v/>
      </c>
      <c r="AM81" s="86" t="str">
        <f aca="false">IF(OR(AM$4="",MONTH(($G$2+20))&lt;&gt;MONTH($C$2)),"",IF(COUNTIFS(m_teacher,AM$4,m_date,($G$2+20),m_active,1,m_start,"&lt;"&amp;1440,m_end,"&gt;"&amp;1140)=0,"",IF(COUNTIFS(m_teacher,AM$4,m_date,($G$2+20),m_active,1,m_start,"&lt;"&amp;1440,m_end,"&gt;"&amp;1140)&gt;1,"충돌",HYPERLINK("#'관리자_MASTER'!D"&amp;_xlfn.MAXIFS(m_row,m_teacher,AM$4,m_date,($G$2+20),m_active,1,m_start,"&lt;"&amp;1440,m_end,"&gt;"&amp;1140),INDEX(m_label,_xlfn.MAXIFS(m_row,m_teacher,AM$4,m_date,($G$2+20),m_active,1,m_start,"&lt;"&amp;1440,m_end,"&gt;"&amp;1140))))))</f>
        <v/>
      </c>
      <c r="AN81" s="86" t="str">
        <f aca="false">IF(OR(AN$4="",MONTH(($G$2+20))&lt;&gt;MONTH($C$2)),"",IF(COUNTIFS(m_teacher,AN$4,m_date,($G$2+20),m_active,1,m_start,"&lt;"&amp;1440,m_end,"&gt;"&amp;1140)=0,"",IF(COUNTIFS(m_teacher,AN$4,m_date,($G$2+20),m_active,1,m_start,"&lt;"&amp;1440,m_end,"&gt;"&amp;1140)&gt;1,"충돌",HYPERLINK("#'관리자_MASTER'!D"&amp;_xlfn.MAXIFS(m_row,m_teacher,AN$4,m_date,($G$2+20),m_active,1,m_start,"&lt;"&amp;1440,m_end,"&gt;"&amp;1140),INDEX(m_label,_xlfn.MAXIFS(m_row,m_teacher,AN$4,m_date,($G$2+20),m_active,1,m_start,"&lt;"&amp;1440,m_end,"&gt;"&amp;1140))))))</f>
        <v/>
      </c>
      <c r="AO81" s="86" t="str">
        <f aca="false">IF(OR(AO$4="",MONTH(($G$2+20))&lt;&gt;MONTH($C$2)),"",IF(COUNTIFS(m_teacher,AO$4,m_date,($G$2+20),m_active,1,m_start,"&lt;"&amp;1440,m_end,"&gt;"&amp;1140)=0,"",IF(COUNTIFS(m_teacher,AO$4,m_date,($G$2+20),m_active,1,m_start,"&lt;"&amp;1440,m_end,"&gt;"&amp;1140)&gt;1,"충돌",HYPERLINK("#'관리자_MASTER'!D"&amp;_xlfn.MAXIFS(m_row,m_teacher,AO$4,m_date,($G$2+20),m_active,1,m_start,"&lt;"&amp;1440,m_end,"&gt;"&amp;1140),INDEX(m_label,_xlfn.MAXIFS(m_row,m_teacher,AO$4,m_date,($G$2+20),m_active,1,m_start,"&lt;"&amp;1440,m_end,"&gt;"&amp;1140))))))</f>
        <v/>
      </c>
      <c r="AP81" s="86" t="str">
        <f aca="false">IF(OR(AP$4="",MONTH(($G$2+20))&lt;&gt;MONTH($C$2)),"",IF(COUNTIFS(m_teacher,AP$4,m_date,($G$2+20),m_active,1,m_start,"&lt;"&amp;1440,m_end,"&gt;"&amp;1140)=0,"",IF(COUNTIFS(m_teacher,AP$4,m_date,($G$2+20),m_active,1,m_start,"&lt;"&amp;1440,m_end,"&gt;"&amp;1140)&gt;1,"충돌",HYPERLINK("#'관리자_MASTER'!D"&amp;_xlfn.MAXIFS(m_row,m_teacher,AP$4,m_date,($G$2+20),m_active,1,m_start,"&lt;"&amp;1440,m_end,"&gt;"&amp;1140),INDEX(m_label,_xlfn.MAXIFS(m_row,m_teacher,AP$4,m_date,($G$2+20),m_active,1,m_start,"&lt;"&amp;1440,m_end,"&gt;"&amp;1140))))))</f>
        <v/>
      </c>
      <c r="AQ81" s="92"/>
      <c r="AR81" s="85" t="s">
        <v>101</v>
      </c>
      <c r="AS81" s="86" t="str">
        <f aca="false">IF(OR(AS$4="",MONTH(($G$2+27))&lt;&gt;MONTH($C$2)),"",IF(COUNTIFS(m_teacher,AS$4,m_date,($G$2+27),m_active,1,m_start,"&lt;"&amp;1440,m_end,"&gt;"&amp;1140)=0,"",IF(COUNTIFS(m_teacher,AS$4,m_date,($G$2+27),m_active,1,m_start,"&lt;"&amp;1440,m_end,"&gt;"&amp;1140)&gt;1,"충돌",HYPERLINK("#'관리자_MASTER'!D"&amp;_xlfn.MAXIFS(m_row,m_teacher,AS$4,m_date,($G$2+27),m_active,1,m_start,"&lt;"&amp;1440,m_end,"&gt;"&amp;1140),INDEX(m_label,_xlfn.MAXIFS(m_row,m_teacher,AS$4,m_date,($G$2+27),m_active,1,m_start,"&lt;"&amp;1440,m_end,"&gt;"&amp;1140))))))</f>
        <v/>
      </c>
      <c r="AT81" s="86" t="str">
        <f aca="false">IF(OR(AT$4="",MONTH(($G$2+27))&lt;&gt;MONTH($C$2)),"",IF(COUNTIFS(m_teacher,AT$4,m_date,($G$2+27),m_active,1,m_start,"&lt;"&amp;1440,m_end,"&gt;"&amp;1140)=0,"",IF(COUNTIFS(m_teacher,AT$4,m_date,($G$2+27),m_active,1,m_start,"&lt;"&amp;1440,m_end,"&gt;"&amp;1140)&gt;1,"충돌",HYPERLINK("#'관리자_MASTER'!D"&amp;_xlfn.MAXIFS(m_row,m_teacher,AT$4,m_date,($G$2+27),m_active,1,m_start,"&lt;"&amp;1440,m_end,"&gt;"&amp;1140),INDEX(m_label,_xlfn.MAXIFS(m_row,m_teacher,AT$4,m_date,($G$2+27),m_active,1,m_start,"&lt;"&amp;1440,m_end,"&gt;"&amp;1140))))))</f>
        <v/>
      </c>
      <c r="AU81" s="86" t="str">
        <f aca="false">IF(OR(AU$4="",MONTH(($G$2+27))&lt;&gt;MONTH($C$2)),"",IF(COUNTIFS(m_teacher,AU$4,m_date,($G$2+27),m_active,1,m_start,"&lt;"&amp;1440,m_end,"&gt;"&amp;1140)=0,"",IF(COUNTIFS(m_teacher,AU$4,m_date,($G$2+27),m_active,1,m_start,"&lt;"&amp;1440,m_end,"&gt;"&amp;1140)&gt;1,"충돌",HYPERLINK("#'관리자_MASTER'!D"&amp;_xlfn.MAXIFS(m_row,m_teacher,AU$4,m_date,($G$2+27),m_active,1,m_start,"&lt;"&amp;1440,m_end,"&gt;"&amp;1140),INDEX(m_label,_xlfn.MAXIFS(m_row,m_teacher,AU$4,m_date,($G$2+27),m_active,1,m_start,"&lt;"&amp;1440,m_end,"&gt;"&amp;1140))))))</f>
        <v/>
      </c>
      <c r="AV81" s="86" t="str">
        <f aca="false">IF(OR(AV$4="",MONTH(($G$2+27))&lt;&gt;MONTH($C$2)),"",IF(COUNTIFS(m_teacher,AV$4,m_date,($G$2+27),m_active,1,m_start,"&lt;"&amp;1440,m_end,"&gt;"&amp;1140)=0,"",IF(COUNTIFS(m_teacher,AV$4,m_date,($G$2+27),m_active,1,m_start,"&lt;"&amp;1440,m_end,"&gt;"&amp;1140)&gt;1,"충돌",HYPERLINK("#'관리자_MASTER'!D"&amp;_xlfn.MAXIFS(m_row,m_teacher,AV$4,m_date,($G$2+27),m_active,1,m_start,"&lt;"&amp;1440,m_end,"&gt;"&amp;1140),INDEX(m_label,_xlfn.MAXIFS(m_row,m_teacher,AV$4,m_date,($G$2+27),m_active,1,m_start,"&lt;"&amp;1440,m_end,"&gt;"&amp;1140))))))</f>
        <v/>
      </c>
      <c r="AW81" s="86" t="str">
        <f aca="false">IF(OR(AW$4="",MONTH(($G$2+27))&lt;&gt;MONTH($C$2)),"",IF(COUNTIFS(m_teacher,AW$4,m_date,($G$2+27),m_active,1,m_start,"&lt;"&amp;1440,m_end,"&gt;"&amp;1140)=0,"",IF(COUNTIFS(m_teacher,AW$4,m_date,($G$2+27),m_active,1,m_start,"&lt;"&amp;1440,m_end,"&gt;"&amp;1140)&gt;1,"충돌",HYPERLINK("#'관리자_MASTER'!D"&amp;_xlfn.MAXIFS(m_row,m_teacher,AW$4,m_date,($G$2+27),m_active,1,m_start,"&lt;"&amp;1440,m_end,"&gt;"&amp;1140),INDEX(m_label,_xlfn.MAXIFS(m_row,m_teacher,AW$4,m_date,($G$2+27),m_active,1,m_start,"&lt;"&amp;1440,m_end,"&gt;"&amp;1140))))))</f>
        <v/>
      </c>
      <c r="AX81" s="86" t="str">
        <f aca="false">IF(OR(AX$4="",MONTH(($G$2+27))&lt;&gt;MONTH($C$2)),"",IF(COUNTIFS(m_teacher,AX$4,m_date,($G$2+27),m_active,1,m_start,"&lt;"&amp;1440,m_end,"&gt;"&amp;1140)=0,"",IF(COUNTIFS(m_teacher,AX$4,m_date,($G$2+27),m_active,1,m_start,"&lt;"&amp;1440,m_end,"&gt;"&amp;1140)&gt;1,"충돌",HYPERLINK("#'관리자_MASTER'!D"&amp;_xlfn.MAXIFS(m_row,m_teacher,AX$4,m_date,($G$2+27),m_active,1,m_start,"&lt;"&amp;1440,m_end,"&gt;"&amp;1140),INDEX(m_label,_xlfn.MAXIFS(m_row,m_teacher,AX$4,m_date,($G$2+27),m_active,1,m_start,"&lt;"&amp;1440,m_end,"&gt;"&amp;1140))))))</f>
        <v/>
      </c>
      <c r="AY81" s="86" t="str">
        <f aca="false">IF(OR(AY$4="",MONTH(($G$2+27))&lt;&gt;MONTH($C$2)),"",IF(COUNTIFS(m_teacher,AY$4,m_date,($G$2+27),m_active,1,m_start,"&lt;"&amp;1440,m_end,"&gt;"&amp;1140)=0,"",IF(COUNTIFS(m_teacher,AY$4,m_date,($G$2+27),m_active,1,m_start,"&lt;"&amp;1440,m_end,"&gt;"&amp;1140)&gt;1,"충돌",HYPERLINK("#'관리자_MASTER'!D"&amp;_xlfn.MAXIFS(m_row,m_teacher,AY$4,m_date,($G$2+27),m_active,1,m_start,"&lt;"&amp;1440,m_end,"&gt;"&amp;1140),INDEX(m_label,_xlfn.MAXIFS(m_row,m_teacher,AY$4,m_date,($G$2+27),m_active,1,m_start,"&lt;"&amp;1440,m_end,"&gt;"&amp;1140))))))</f>
        <v/>
      </c>
      <c r="AZ81" s="86" t="str">
        <f aca="false">IF(OR(AZ$4="",MONTH(($G$2+27))&lt;&gt;MONTH($C$2)),"",IF(COUNTIFS(m_teacher,AZ$4,m_date,($G$2+27),m_active,1,m_start,"&lt;"&amp;1440,m_end,"&gt;"&amp;1140)=0,"",IF(COUNTIFS(m_teacher,AZ$4,m_date,($G$2+27),m_active,1,m_start,"&lt;"&amp;1440,m_end,"&gt;"&amp;1140)&gt;1,"충돌",HYPERLINK("#'관리자_MASTER'!D"&amp;_xlfn.MAXIFS(m_row,m_teacher,AZ$4,m_date,($G$2+27),m_active,1,m_start,"&lt;"&amp;1440,m_end,"&gt;"&amp;1140),INDEX(m_label,_xlfn.MAXIFS(m_row,m_teacher,AZ$4,m_date,($G$2+27),m_active,1,m_start,"&lt;"&amp;1440,m_end,"&gt;"&amp;1140))))))</f>
        <v/>
      </c>
      <c r="BA81" s="86" t="str">
        <f aca="false">IF(OR(BA$4="",MONTH(($G$2+27))&lt;&gt;MONTH($C$2)),"",IF(COUNTIFS(m_teacher,BA$4,m_date,($G$2+27),m_active,1,m_start,"&lt;"&amp;1440,m_end,"&gt;"&amp;1140)=0,"",IF(COUNTIFS(m_teacher,BA$4,m_date,($G$2+27),m_active,1,m_start,"&lt;"&amp;1440,m_end,"&gt;"&amp;1140)&gt;1,"충돌",HYPERLINK("#'관리자_MASTER'!D"&amp;_xlfn.MAXIFS(m_row,m_teacher,BA$4,m_date,($G$2+27),m_active,1,m_start,"&lt;"&amp;1440,m_end,"&gt;"&amp;1140),INDEX(m_label,_xlfn.MAXIFS(m_row,m_teacher,BA$4,m_date,($G$2+27),m_active,1,m_start,"&lt;"&amp;1440,m_end,"&gt;"&amp;1140))))))</f>
        <v/>
      </c>
      <c r="BB81" s="86" t="str">
        <f aca="false">IF(OR(BB$4="",MONTH(($G$2+27))&lt;&gt;MONTH($C$2)),"",IF(COUNTIFS(m_teacher,BB$4,m_date,($G$2+27),m_active,1,m_start,"&lt;"&amp;1440,m_end,"&gt;"&amp;1140)=0,"",IF(COUNTIFS(m_teacher,BB$4,m_date,($G$2+27),m_active,1,m_start,"&lt;"&amp;1440,m_end,"&gt;"&amp;1140)&gt;1,"충돌",HYPERLINK("#'관리자_MASTER'!D"&amp;_xlfn.MAXIFS(m_row,m_teacher,BB$4,m_date,($G$2+27),m_active,1,m_start,"&lt;"&amp;1440,m_end,"&gt;"&amp;1140),INDEX(m_label,_xlfn.MAXIFS(m_row,m_teacher,BB$4,m_date,($G$2+27),m_active,1,m_start,"&lt;"&amp;1440,m_end,"&gt;"&amp;1140))))))</f>
        <v/>
      </c>
      <c r="BC81" s="86" t="str">
        <f aca="false">IF(OR(BC$4="",MONTH(($G$2+27))&lt;&gt;MONTH($C$2)),"",IF(COUNTIFS(m_teacher,BC$4,m_date,($G$2+27),m_active,1,m_start,"&lt;"&amp;1440,m_end,"&gt;"&amp;1140)=0,"",IF(COUNTIFS(m_teacher,BC$4,m_date,($G$2+27),m_active,1,m_start,"&lt;"&amp;1440,m_end,"&gt;"&amp;1140)&gt;1,"충돌",HYPERLINK("#'관리자_MASTER'!D"&amp;_xlfn.MAXIFS(m_row,m_teacher,BC$4,m_date,($G$2+27),m_active,1,m_start,"&lt;"&amp;1440,m_end,"&gt;"&amp;1140),INDEX(m_label,_xlfn.MAXIFS(m_row,m_teacher,BC$4,m_date,($G$2+27),m_active,1,m_start,"&lt;"&amp;1440,m_end,"&gt;"&amp;1140))))))</f>
        <v/>
      </c>
      <c r="BD81" s="86" t="str">
        <f aca="false">IF(OR(BD$4="",MONTH(($G$2+27))&lt;&gt;MONTH($C$2)),"",IF(COUNTIFS(m_teacher,BD$4,m_date,($G$2+27),m_active,1,m_start,"&lt;"&amp;1440,m_end,"&gt;"&amp;1140)=0,"",IF(COUNTIFS(m_teacher,BD$4,m_date,($G$2+27),m_active,1,m_start,"&lt;"&amp;1440,m_end,"&gt;"&amp;1140)&gt;1,"충돌",HYPERLINK("#'관리자_MASTER'!D"&amp;_xlfn.MAXIFS(m_row,m_teacher,BD$4,m_date,($G$2+27),m_active,1,m_start,"&lt;"&amp;1440,m_end,"&gt;"&amp;1140),INDEX(m_label,_xlfn.MAXIFS(m_row,m_teacher,BD$4,m_date,($G$2+27),m_active,1,m_start,"&lt;"&amp;1440,m_end,"&gt;"&amp;1140))))))</f>
        <v/>
      </c>
      <c r="BE81" s="92"/>
      <c r="BF81" s="85" t="s">
        <v>101</v>
      </c>
      <c r="BG81" s="86" t="str">
        <f aca="false">IF(OR(BG$4="",MONTH(($G$2+34))&lt;&gt;MONTH($C$2)),"",IF(COUNTIFS(m_teacher,BG$4,m_date,($G$2+34),m_active,1,m_start,"&lt;"&amp;1440,m_end,"&gt;"&amp;1140)=0,"",IF(COUNTIFS(m_teacher,BG$4,m_date,($G$2+34),m_active,1,m_start,"&lt;"&amp;1440,m_end,"&gt;"&amp;1140)&gt;1,"충돌",HYPERLINK("#'관리자_MASTER'!D"&amp;_xlfn.MAXIFS(m_row,m_teacher,BG$4,m_date,($G$2+34),m_active,1,m_start,"&lt;"&amp;1440,m_end,"&gt;"&amp;1140),INDEX(m_label,_xlfn.MAXIFS(m_row,m_teacher,BG$4,m_date,($G$2+34),m_active,1,m_start,"&lt;"&amp;1440,m_end,"&gt;"&amp;1140))))))</f>
        <v/>
      </c>
      <c r="BH81" s="86" t="str">
        <f aca="false">IF(OR(BH$4="",MONTH(($G$2+34))&lt;&gt;MONTH($C$2)),"",IF(COUNTIFS(m_teacher,BH$4,m_date,($G$2+34),m_active,1,m_start,"&lt;"&amp;1440,m_end,"&gt;"&amp;1140)=0,"",IF(COUNTIFS(m_teacher,BH$4,m_date,($G$2+34),m_active,1,m_start,"&lt;"&amp;1440,m_end,"&gt;"&amp;1140)&gt;1,"충돌",HYPERLINK("#'관리자_MASTER'!D"&amp;_xlfn.MAXIFS(m_row,m_teacher,BH$4,m_date,($G$2+34),m_active,1,m_start,"&lt;"&amp;1440,m_end,"&gt;"&amp;1140),INDEX(m_label,_xlfn.MAXIFS(m_row,m_teacher,BH$4,m_date,($G$2+34),m_active,1,m_start,"&lt;"&amp;1440,m_end,"&gt;"&amp;1140))))))</f>
        <v/>
      </c>
      <c r="BI81" s="86" t="str">
        <f aca="false">IF(OR(BI$4="",MONTH(($G$2+34))&lt;&gt;MONTH($C$2)),"",IF(COUNTIFS(m_teacher,BI$4,m_date,($G$2+34),m_active,1,m_start,"&lt;"&amp;1440,m_end,"&gt;"&amp;1140)=0,"",IF(COUNTIFS(m_teacher,BI$4,m_date,($G$2+34),m_active,1,m_start,"&lt;"&amp;1440,m_end,"&gt;"&amp;1140)&gt;1,"충돌",HYPERLINK("#'관리자_MASTER'!D"&amp;_xlfn.MAXIFS(m_row,m_teacher,BI$4,m_date,($G$2+34),m_active,1,m_start,"&lt;"&amp;1440,m_end,"&gt;"&amp;1140),INDEX(m_label,_xlfn.MAXIFS(m_row,m_teacher,BI$4,m_date,($G$2+34),m_active,1,m_start,"&lt;"&amp;1440,m_end,"&gt;"&amp;1140))))))</f>
        <v/>
      </c>
      <c r="BJ81" s="86" t="str">
        <f aca="false">IF(OR(BJ$4="",MONTH(($G$2+34))&lt;&gt;MONTH($C$2)),"",IF(COUNTIFS(m_teacher,BJ$4,m_date,($G$2+34),m_active,1,m_start,"&lt;"&amp;1440,m_end,"&gt;"&amp;1140)=0,"",IF(COUNTIFS(m_teacher,BJ$4,m_date,($G$2+34),m_active,1,m_start,"&lt;"&amp;1440,m_end,"&gt;"&amp;1140)&gt;1,"충돌",HYPERLINK("#'관리자_MASTER'!D"&amp;_xlfn.MAXIFS(m_row,m_teacher,BJ$4,m_date,($G$2+34),m_active,1,m_start,"&lt;"&amp;1440,m_end,"&gt;"&amp;1140),INDEX(m_label,_xlfn.MAXIFS(m_row,m_teacher,BJ$4,m_date,($G$2+34),m_active,1,m_start,"&lt;"&amp;1440,m_end,"&gt;"&amp;1140))))))</f>
        <v/>
      </c>
      <c r="BK81" s="86" t="str">
        <f aca="false">IF(OR(BK$4="",MONTH(($G$2+34))&lt;&gt;MONTH($C$2)),"",IF(COUNTIFS(m_teacher,BK$4,m_date,($G$2+34),m_active,1,m_start,"&lt;"&amp;1440,m_end,"&gt;"&amp;1140)=0,"",IF(COUNTIFS(m_teacher,BK$4,m_date,($G$2+34),m_active,1,m_start,"&lt;"&amp;1440,m_end,"&gt;"&amp;1140)&gt;1,"충돌",HYPERLINK("#'관리자_MASTER'!D"&amp;_xlfn.MAXIFS(m_row,m_teacher,BK$4,m_date,($G$2+34),m_active,1,m_start,"&lt;"&amp;1440,m_end,"&gt;"&amp;1140),INDEX(m_label,_xlfn.MAXIFS(m_row,m_teacher,BK$4,m_date,($G$2+34),m_active,1,m_start,"&lt;"&amp;1440,m_end,"&gt;"&amp;1140))))))</f>
        <v/>
      </c>
      <c r="BL81" s="86" t="str">
        <f aca="false">IF(OR(BL$4="",MONTH(($G$2+34))&lt;&gt;MONTH($C$2)),"",IF(COUNTIFS(m_teacher,BL$4,m_date,($G$2+34),m_active,1,m_start,"&lt;"&amp;1440,m_end,"&gt;"&amp;1140)=0,"",IF(COUNTIFS(m_teacher,BL$4,m_date,($G$2+34),m_active,1,m_start,"&lt;"&amp;1440,m_end,"&gt;"&amp;1140)&gt;1,"충돌",HYPERLINK("#'관리자_MASTER'!D"&amp;_xlfn.MAXIFS(m_row,m_teacher,BL$4,m_date,($G$2+34),m_active,1,m_start,"&lt;"&amp;1440,m_end,"&gt;"&amp;1140),INDEX(m_label,_xlfn.MAXIFS(m_row,m_teacher,BL$4,m_date,($G$2+34),m_active,1,m_start,"&lt;"&amp;1440,m_end,"&gt;"&amp;1140))))))</f>
        <v/>
      </c>
      <c r="BM81" s="86" t="str">
        <f aca="false">IF(OR(BM$4="",MONTH(($G$2+34))&lt;&gt;MONTH($C$2)),"",IF(COUNTIFS(m_teacher,BM$4,m_date,($G$2+34),m_active,1,m_start,"&lt;"&amp;1440,m_end,"&gt;"&amp;1140)=0,"",IF(COUNTIFS(m_teacher,BM$4,m_date,($G$2+34),m_active,1,m_start,"&lt;"&amp;1440,m_end,"&gt;"&amp;1140)&gt;1,"충돌",HYPERLINK("#'관리자_MASTER'!D"&amp;_xlfn.MAXIFS(m_row,m_teacher,BM$4,m_date,($G$2+34),m_active,1,m_start,"&lt;"&amp;1440,m_end,"&gt;"&amp;1140),INDEX(m_label,_xlfn.MAXIFS(m_row,m_teacher,BM$4,m_date,($G$2+34),m_active,1,m_start,"&lt;"&amp;1440,m_end,"&gt;"&amp;1140))))))</f>
        <v/>
      </c>
      <c r="BN81" s="86" t="str">
        <f aca="false">IF(OR(BN$4="",MONTH(($G$2+34))&lt;&gt;MONTH($C$2)),"",IF(COUNTIFS(m_teacher,BN$4,m_date,($G$2+34),m_active,1,m_start,"&lt;"&amp;1440,m_end,"&gt;"&amp;1140)=0,"",IF(COUNTIFS(m_teacher,BN$4,m_date,($G$2+34),m_active,1,m_start,"&lt;"&amp;1440,m_end,"&gt;"&amp;1140)&gt;1,"충돌",HYPERLINK("#'관리자_MASTER'!D"&amp;_xlfn.MAXIFS(m_row,m_teacher,BN$4,m_date,($G$2+34),m_active,1,m_start,"&lt;"&amp;1440,m_end,"&gt;"&amp;1140),INDEX(m_label,_xlfn.MAXIFS(m_row,m_teacher,BN$4,m_date,($G$2+34),m_active,1,m_start,"&lt;"&amp;1440,m_end,"&gt;"&amp;1140))))))</f>
        <v/>
      </c>
      <c r="BO81" s="86" t="str">
        <f aca="false">IF(OR(BO$4="",MONTH(($G$2+34))&lt;&gt;MONTH($C$2)),"",IF(COUNTIFS(m_teacher,BO$4,m_date,($G$2+34),m_active,1,m_start,"&lt;"&amp;1440,m_end,"&gt;"&amp;1140)=0,"",IF(COUNTIFS(m_teacher,BO$4,m_date,($G$2+34),m_active,1,m_start,"&lt;"&amp;1440,m_end,"&gt;"&amp;1140)&gt;1,"충돌",HYPERLINK("#'관리자_MASTER'!D"&amp;_xlfn.MAXIFS(m_row,m_teacher,BO$4,m_date,($G$2+34),m_active,1,m_start,"&lt;"&amp;1440,m_end,"&gt;"&amp;1140),INDEX(m_label,_xlfn.MAXIFS(m_row,m_teacher,BO$4,m_date,($G$2+34),m_active,1,m_start,"&lt;"&amp;1440,m_end,"&gt;"&amp;1140))))))</f>
        <v/>
      </c>
      <c r="BP81" s="86" t="str">
        <f aca="false">IF(OR(BP$4="",MONTH(($G$2+34))&lt;&gt;MONTH($C$2)),"",IF(COUNTIFS(m_teacher,BP$4,m_date,($G$2+34),m_active,1,m_start,"&lt;"&amp;1440,m_end,"&gt;"&amp;1140)=0,"",IF(COUNTIFS(m_teacher,BP$4,m_date,($G$2+34),m_active,1,m_start,"&lt;"&amp;1440,m_end,"&gt;"&amp;1140)&gt;1,"충돌",HYPERLINK("#'관리자_MASTER'!D"&amp;_xlfn.MAXIFS(m_row,m_teacher,BP$4,m_date,($G$2+34),m_active,1,m_start,"&lt;"&amp;1440,m_end,"&gt;"&amp;1140),INDEX(m_label,_xlfn.MAXIFS(m_row,m_teacher,BP$4,m_date,($G$2+34),m_active,1,m_start,"&lt;"&amp;1440,m_end,"&gt;"&amp;1140))))))</f>
        <v/>
      </c>
      <c r="BQ81" s="86" t="str">
        <f aca="false">IF(OR(BQ$4="",MONTH(($G$2+34))&lt;&gt;MONTH($C$2)),"",IF(COUNTIFS(m_teacher,BQ$4,m_date,($G$2+34),m_active,1,m_start,"&lt;"&amp;1440,m_end,"&gt;"&amp;1140)=0,"",IF(COUNTIFS(m_teacher,BQ$4,m_date,($G$2+34),m_active,1,m_start,"&lt;"&amp;1440,m_end,"&gt;"&amp;1140)&gt;1,"충돌",HYPERLINK("#'관리자_MASTER'!D"&amp;_xlfn.MAXIFS(m_row,m_teacher,BQ$4,m_date,($G$2+34),m_active,1,m_start,"&lt;"&amp;1440,m_end,"&gt;"&amp;1140),INDEX(m_label,_xlfn.MAXIFS(m_row,m_teacher,BQ$4,m_date,($G$2+34),m_active,1,m_start,"&lt;"&amp;1440,m_end,"&gt;"&amp;1140))))))</f>
        <v/>
      </c>
      <c r="BR81" s="86" t="str">
        <f aca="false">IF(OR(BR$4="",MONTH(($G$2+34))&lt;&gt;MONTH($C$2)),"",IF(COUNTIFS(m_teacher,BR$4,m_date,($G$2+34),m_active,1,m_start,"&lt;"&amp;1440,m_end,"&gt;"&amp;1140)=0,"",IF(COUNTIFS(m_teacher,BR$4,m_date,($G$2+34),m_active,1,m_start,"&lt;"&amp;1440,m_end,"&gt;"&amp;1140)&gt;1,"충돌",HYPERLINK("#'관리자_MASTER'!D"&amp;_xlfn.MAXIFS(m_row,m_teacher,BR$4,m_date,($G$2+34),m_active,1,m_start,"&lt;"&amp;1440,m_end,"&gt;"&amp;1140),INDEX(m_label,_xlfn.MAXIFS(m_row,m_teacher,BR$4,m_date,($G$2+34),m_active,1,m_start,"&lt;"&amp;1440,m_end,"&gt;"&amp;1140))))))</f>
        <v/>
      </c>
    </row>
  </sheetData>
  <mergeCells count="46">
    <mergeCell ref="A1:BR1"/>
    <mergeCell ref="A2:B2"/>
    <mergeCell ref="C2:D2"/>
    <mergeCell ref="E2:F2"/>
    <mergeCell ref="G2:H2"/>
    <mergeCell ref="I2:BR2"/>
    <mergeCell ref="A3:N3"/>
    <mergeCell ref="O3:AB3"/>
    <mergeCell ref="AC3:AP3"/>
    <mergeCell ref="AQ3:BD3"/>
    <mergeCell ref="BE3:BR3"/>
    <mergeCell ref="A5:A15"/>
    <mergeCell ref="O5:O15"/>
    <mergeCell ref="AC5:AC15"/>
    <mergeCell ref="AQ5:AQ15"/>
    <mergeCell ref="BE5:BE15"/>
    <mergeCell ref="A16:A26"/>
    <mergeCell ref="O16:O26"/>
    <mergeCell ref="AC16:AC26"/>
    <mergeCell ref="AQ16:AQ26"/>
    <mergeCell ref="BE16:BE26"/>
    <mergeCell ref="A27:A37"/>
    <mergeCell ref="O27:O37"/>
    <mergeCell ref="AC27:AC37"/>
    <mergeCell ref="AQ27:AQ37"/>
    <mergeCell ref="BE27:BE37"/>
    <mergeCell ref="A38:A48"/>
    <mergeCell ref="O38:O48"/>
    <mergeCell ref="AC38:AC48"/>
    <mergeCell ref="AQ38:AQ48"/>
    <mergeCell ref="BE38:BE48"/>
    <mergeCell ref="A49:A59"/>
    <mergeCell ref="O49:O59"/>
    <mergeCell ref="AC49:AC59"/>
    <mergeCell ref="AQ49:AQ59"/>
    <mergeCell ref="BE49:BE59"/>
    <mergeCell ref="A60:A70"/>
    <mergeCell ref="O60:O70"/>
    <mergeCell ref="AC60:AC70"/>
    <mergeCell ref="AQ60:AQ70"/>
    <mergeCell ref="BE60:BE70"/>
    <mergeCell ref="A71:A81"/>
    <mergeCell ref="O71:O81"/>
    <mergeCell ref="AC71:AC81"/>
    <mergeCell ref="AQ71:AQ81"/>
    <mergeCell ref="BE71:BE81"/>
  </mergeCells>
  <conditionalFormatting sqref="C5:N15 C16:N26 C27:N37 C38:N48 C49:N59 C60:N70 C71:N81 Q5:AB15 Q16:AB26 Q27:AB37 Q38:AB48 Q49:AB59 Q60:AB70 Q71:AB81 AE5:AP15 AE16:AP26 AE27:AP37 AE38:AP48 AE49:AP59 AE60:AP70 AE71:AP81 AS5:BD15 AS16:BD26 AS27:BD37 AS38:BD48 AS49:BD59 AS60:BD70 AS71:BD81 BG5:BR15 BG16:BR26 BG27:BR37 BG38:BR48 BG49:BR59 BG60:BR70 BG71:BR81">
    <cfRule type="expression" priority="2" aboveAverage="0" equalAverage="0" bottom="0" percent="0" rank="0" text="" dxfId="8">
      <formula>C5="충돌"</formula>
    </cfRule>
    <cfRule type="expression" priority="3" aboveAverage="0" equalAverage="0" bottom="0" percent="0" rank="0" text="" dxfId="11">
      <formula>ISNUMBER(SEARCH("(상담)",C5))</formula>
    </cfRule>
    <cfRule type="expression" priority="4" aboveAverage="0" equalAverage="0" bottom="0" percent="0" rank="0" text="" dxfId="12">
      <formula>C5&lt;&gt;""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E9A6B"/>
    <pageSetUpPr fitToPage="false"/>
  </sheetPr>
  <dimension ref="A1:BD8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7"/>
    <col collapsed="false" customWidth="true" hidden="false" outlineLevel="0" max="14" min="3" style="0" width="15"/>
    <col collapsed="false" customWidth="true" hidden="false" outlineLevel="0" max="15" min="15" style="0" width="9"/>
    <col collapsed="false" customWidth="true" hidden="false" outlineLevel="0" max="16" min="16" style="0" width="7"/>
    <col collapsed="false" customWidth="true" hidden="false" outlineLevel="0" max="28" min="17" style="0" width="15"/>
    <col collapsed="false" customWidth="true" hidden="false" outlineLevel="0" max="29" min="29" style="0" width="9"/>
    <col collapsed="false" customWidth="true" hidden="false" outlineLevel="0" max="30" min="30" style="0" width="7"/>
    <col collapsed="false" customWidth="true" hidden="false" outlineLevel="0" max="42" min="31" style="0" width="15"/>
    <col collapsed="false" customWidth="true" hidden="false" outlineLevel="0" max="43" min="43" style="0" width="9"/>
    <col collapsed="false" customWidth="true" hidden="false" outlineLevel="0" max="44" min="44" style="0" width="7"/>
    <col collapsed="false" customWidth="true" hidden="false" outlineLevel="0" max="56" min="45" style="0" width="15"/>
  </cols>
  <sheetData>
    <row r="1" customFormat="false" ht="30" hidden="false" customHeight="true" outlineLevel="0" collapsed="false">
      <c r="A1" s="1" t="s">
        <v>103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</row>
    <row r="2" customFormat="false" ht="33.75" hidden="false" customHeight="true" outlineLevel="0" collapsed="false">
      <c r="A2" s="3" t="s">
        <v>86</v>
      </c>
      <c r="B2" s="3"/>
      <c r="C2" s="57" t="n">
        <v>46419</v>
      </c>
      <c r="D2" s="57"/>
      <c r="E2" s="3" t="s">
        <v>87</v>
      </c>
      <c r="F2" s="3"/>
      <c r="G2" s="58" t="n">
        <f aca="false">$C$2-WEEKDAY($C$2,2)+1</f>
        <v>46419</v>
      </c>
      <c r="H2" s="58"/>
      <c r="I2" s="59" t="s">
        <v>88</v>
      </c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9"/>
      <c r="AU2" s="59"/>
      <c r="AV2" s="59"/>
      <c r="AW2" s="59"/>
      <c r="AX2" s="59"/>
      <c r="AY2" s="59"/>
      <c r="AZ2" s="59"/>
      <c r="BA2" s="59"/>
      <c r="BB2" s="59"/>
      <c r="BC2" s="59"/>
      <c r="BD2" s="59"/>
    </row>
    <row r="3" customFormat="false" ht="21.75" hidden="false" customHeight="true" outlineLevel="0" collapsed="false">
      <c r="A3" s="60" t="str">
        <f aca="false">"1주차   "&amp;TEXT($G$2+0,"m/d")&amp;" ~ "&amp;TEXT($G$2+6,"m/d")</f>
        <v>1주차   2/1 ~ 2/7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 t="str">
        <f aca="false">"2주차   "&amp;TEXT($G$2+7,"m/d")&amp;" ~ "&amp;TEXT($G$2+13,"m/d")</f>
        <v>2주차   2/8 ~ 2/14</v>
      </c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 t="str">
        <f aca="false">"3주차   "&amp;TEXT($G$2+14,"m/d")&amp;" ~ "&amp;TEXT($G$2+20,"m/d")</f>
        <v>3주차   2/15 ~ 2/21</v>
      </c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 t="str">
        <f aca="false">"4주차   "&amp;TEXT($G$2+21,"m/d")&amp;" ~ "&amp;TEXT($G$2+27,"m/d")</f>
        <v>4주차   2/22 ~ 2/28</v>
      </c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</row>
    <row r="4" customFormat="false" ht="21.75" hidden="false" customHeight="true" outlineLevel="0" collapsed="false">
      <c r="A4" s="61" t="s">
        <v>89</v>
      </c>
      <c r="B4" s="62" t="s">
        <v>90</v>
      </c>
      <c r="C4" s="63" t="str">
        <f aca="false">IF(설정!$N$4="","",설정!$N$4)</f>
        <v>김건진</v>
      </c>
      <c r="D4" s="64" t="str">
        <f aca="false">IF(설정!$N$5="","",설정!$N$5)</f>
        <v>김준태</v>
      </c>
      <c r="E4" s="65" t="str">
        <f aca="false">IF(설정!$N$6="","",설정!$N$6)</f>
        <v>이민규</v>
      </c>
      <c r="F4" s="66" t="str">
        <f aca="false">IF(설정!$N$7="","",설정!$N$7)</f>
        <v>송지성</v>
      </c>
      <c r="G4" s="67" t="str">
        <f aca="false">IF(설정!$N$8="","",설정!$N$8)</f>
        <v>박세근</v>
      </c>
      <c r="H4" s="68" t="str">
        <f aca="false">IF(설정!$N$9="","",설정!$N$9)</f>
        <v>프리랜서A</v>
      </c>
      <c r="I4" s="69" t="str">
        <f aca="false">IF(설정!$N$10="","",설정!$N$10)</f>
        <v>프리랜서B</v>
      </c>
      <c r="J4" s="70" t="str">
        <f aca="false">IF(설정!$N$11="","",설정!$N$11)</f>
        <v/>
      </c>
      <c r="K4" s="71" t="str">
        <f aca="false">IF(설정!$N$12="","",설정!$N$12)</f>
        <v/>
      </c>
      <c r="L4" s="72" t="str">
        <f aca="false">IF(설정!$N$13="","",설정!$N$13)</f>
        <v/>
      </c>
      <c r="M4" s="73" t="str">
        <f aca="false">IF(설정!$N$14="","",설정!$N$14)</f>
        <v/>
      </c>
      <c r="N4" s="74" t="str">
        <f aca="false">IF(설정!$N$15="","",설정!$N$15)</f>
        <v/>
      </c>
      <c r="O4" s="61" t="s">
        <v>89</v>
      </c>
      <c r="P4" s="62" t="s">
        <v>90</v>
      </c>
      <c r="Q4" s="63" t="str">
        <f aca="false">IF(설정!$N$4="","",설정!$N$4)</f>
        <v>김건진</v>
      </c>
      <c r="R4" s="64" t="str">
        <f aca="false">IF(설정!$N$5="","",설정!$N$5)</f>
        <v>김준태</v>
      </c>
      <c r="S4" s="65" t="str">
        <f aca="false">IF(설정!$N$6="","",설정!$N$6)</f>
        <v>이민규</v>
      </c>
      <c r="T4" s="66" t="str">
        <f aca="false">IF(설정!$N$7="","",설정!$N$7)</f>
        <v>송지성</v>
      </c>
      <c r="U4" s="67" t="str">
        <f aca="false">IF(설정!$N$8="","",설정!$N$8)</f>
        <v>박세근</v>
      </c>
      <c r="V4" s="68" t="str">
        <f aca="false">IF(설정!$N$9="","",설정!$N$9)</f>
        <v>프리랜서A</v>
      </c>
      <c r="W4" s="69" t="str">
        <f aca="false">IF(설정!$N$10="","",설정!$N$10)</f>
        <v>프리랜서B</v>
      </c>
      <c r="X4" s="70" t="str">
        <f aca="false">IF(설정!$N$11="","",설정!$N$11)</f>
        <v/>
      </c>
      <c r="Y4" s="71" t="str">
        <f aca="false">IF(설정!$N$12="","",설정!$N$12)</f>
        <v/>
      </c>
      <c r="Z4" s="72" t="str">
        <f aca="false">IF(설정!$N$13="","",설정!$N$13)</f>
        <v/>
      </c>
      <c r="AA4" s="73" t="str">
        <f aca="false">IF(설정!$N$14="","",설정!$N$14)</f>
        <v/>
      </c>
      <c r="AB4" s="74" t="str">
        <f aca="false">IF(설정!$N$15="","",설정!$N$15)</f>
        <v/>
      </c>
      <c r="AC4" s="61" t="s">
        <v>89</v>
      </c>
      <c r="AD4" s="62" t="s">
        <v>90</v>
      </c>
      <c r="AE4" s="63" t="str">
        <f aca="false">IF(설정!$N$4="","",설정!$N$4)</f>
        <v>김건진</v>
      </c>
      <c r="AF4" s="64" t="str">
        <f aca="false">IF(설정!$N$5="","",설정!$N$5)</f>
        <v>김준태</v>
      </c>
      <c r="AG4" s="65" t="str">
        <f aca="false">IF(설정!$N$6="","",설정!$N$6)</f>
        <v>이민규</v>
      </c>
      <c r="AH4" s="66" t="str">
        <f aca="false">IF(설정!$N$7="","",설정!$N$7)</f>
        <v>송지성</v>
      </c>
      <c r="AI4" s="67" t="str">
        <f aca="false">IF(설정!$N$8="","",설정!$N$8)</f>
        <v>박세근</v>
      </c>
      <c r="AJ4" s="68" t="str">
        <f aca="false">IF(설정!$N$9="","",설정!$N$9)</f>
        <v>프리랜서A</v>
      </c>
      <c r="AK4" s="69" t="str">
        <f aca="false">IF(설정!$N$10="","",설정!$N$10)</f>
        <v>프리랜서B</v>
      </c>
      <c r="AL4" s="70" t="str">
        <f aca="false">IF(설정!$N$11="","",설정!$N$11)</f>
        <v/>
      </c>
      <c r="AM4" s="71" t="str">
        <f aca="false">IF(설정!$N$12="","",설정!$N$12)</f>
        <v/>
      </c>
      <c r="AN4" s="72" t="str">
        <f aca="false">IF(설정!$N$13="","",설정!$N$13)</f>
        <v/>
      </c>
      <c r="AO4" s="73" t="str">
        <f aca="false">IF(설정!$N$14="","",설정!$N$14)</f>
        <v/>
      </c>
      <c r="AP4" s="74" t="str">
        <f aca="false">IF(설정!$N$15="","",설정!$N$15)</f>
        <v/>
      </c>
      <c r="AQ4" s="61" t="s">
        <v>89</v>
      </c>
      <c r="AR4" s="62" t="s">
        <v>90</v>
      </c>
      <c r="AS4" s="63" t="str">
        <f aca="false">IF(설정!$N$4="","",설정!$N$4)</f>
        <v>김건진</v>
      </c>
      <c r="AT4" s="64" t="str">
        <f aca="false">IF(설정!$N$5="","",설정!$N$5)</f>
        <v>김준태</v>
      </c>
      <c r="AU4" s="65" t="str">
        <f aca="false">IF(설정!$N$6="","",설정!$N$6)</f>
        <v>이민규</v>
      </c>
      <c r="AV4" s="66" t="str">
        <f aca="false">IF(설정!$N$7="","",설정!$N$7)</f>
        <v>송지성</v>
      </c>
      <c r="AW4" s="67" t="str">
        <f aca="false">IF(설정!$N$8="","",설정!$N$8)</f>
        <v>박세근</v>
      </c>
      <c r="AX4" s="68" t="str">
        <f aca="false">IF(설정!$N$9="","",설정!$N$9)</f>
        <v>프리랜서A</v>
      </c>
      <c r="AY4" s="69" t="str">
        <f aca="false">IF(설정!$N$10="","",설정!$N$10)</f>
        <v>프리랜서B</v>
      </c>
      <c r="AZ4" s="70" t="str">
        <f aca="false">IF(설정!$N$11="","",설정!$N$11)</f>
        <v/>
      </c>
      <c r="BA4" s="71" t="str">
        <f aca="false">IF(설정!$N$12="","",설정!$N$12)</f>
        <v/>
      </c>
      <c r="BB4" s="72" t="str">
        <f aca="false">IF(설정!$N$13="","",설정!$N$13)</f>
        <v/>
      </c>
      <c r="BC4" s="73" t="str">
        <f aca="false">IF(설정!$N$14="","",설정!$N$14)</f>
        <v/>
      </c>
      <c r="BD4" s="74" t="str">
        <f aca="false">IF(설정!$N$15="","",설정!$N$15)</f>
        <v/>
      </c>
    </row>
    <row r="5" customFormat="false" ht="19.5" hidden="false" customHeight="true" outlineLevel="0" collapsed="false">
      <c r="A5" s="78" t="str">
        <f aca="false">IF(MONTH(($G$2+0))&lt;&gt;MONTH($C$2),"",CHOOSE(WEEKDAY(($G$2+0),2),"월","화","수","목","금","토","일")&amp;CHAR(10)&amp;TEXT(($G$2+0),"m/d"))</f>
        <v>월
2/1</v>
      </c>
      <c r="B5" s="79" t="s">
        <v>91</v>
      </c>
      <c r="C5" s="80" t="str">
        <f aca="false">IF(OR(C$4="",MONTH(($G$2+0))&lt;&gt;MONTH($C$2)),"",IF(COUNTIFS(m_teacher,C$4,m_date,($G$2+0),m_active,1,m_start,"&lt;"&amp;600,m_end,"&gt;"&amp;0)=0,"",IF(COUNTIFS(m_teacher,C$4,m_date,($G$2+0),m_active,1,m_start,"&lt;"&amp;600,m_end,"&gt;"&amp;0)&gt;1,"충돌",HYPERLINK("#'관리자_MASTER'!D"&amp;_xlfn.MAXIFS(m_row,m_teacher,C$4,m_date,($G$2+0),m_active,1,m_start,"&lt;"&amp;600,m_end,"&gt;"&amp;0),INDEX(m_label,_xlfn.MAXIFS(m_row,m_teacher,C$4,m_date,($G$2+0),m_active,1,m_start,"&lt;"&amp;600,m_end,"&gt;"&amp;0))))))</f>
        <v/>
      </c>
      <c r="D5" s="80" t="str">
        <f aca="false">IF(OR(D$4="",MONTH(($G$2+0))&lt;&gt;MONTH($C$2)),"",IF(COUNTIFS(m_teacher,D$4,m_date,($G$2+0),m_active,1,m_start,"&lt;"&amp;600,m_end,"&gt;"&amp;0)=0,"",IF(COUNTIFS(m_teacher,D$4,m_date,($G$2+0),m_active,1,m_start,"&lt;"&amp;600,m_end,"&gt;"&amp;0)&gt;1,"충돌",HYPERLINK("#'관리자_MASTER'!D"&amp;_xlfn.MAXIFS(m_row,m_teacher,D$4,m_date,($G$2+0),m_active,1,m_start,"&lt;"&amp;600,m_end,"&gt;"&amp;0),INDEX(m_label,_xlfn.MAXIFS(m_row,m_teacher,D$4,m_date,($G$2+0),m_active,1,m_start,"&lt;"&amp;600,m_end,"&gt;"&amp;0))))))</f>
        <v/>
      </c>
      <c r="E5" s="80" t="str">
        <f aca="false">IF(OR(E$4="",MONTH(($G$2+0))&lt;&gt;MONTH($C$2)),"",IF(COUNTIFS(m_teacher,E$4,m_date,($G$2+0),m_active,1,m_start,"&lt;"&amp;600,m_end,"&gt;"&amp;0)=0,"",IF(COUNTIFS(m_teacher,E$4,m_date,($G$2+0),m_active,1,m_start,"&lt;"&amp;600,m_end,"&gt;"&amp;0)&gt;1,"충돌",HYPERLINK("#'관리자_MASTER'!D"&amp;_xlfn.MAXIFS(m_row,m_teacher,E$4,m_date,($G$2+0),m_active,1,m_start,"&lt;"&amp;600,m_end,"&gt;"&amp;0),INDEX(m_label,_xlfn.MAXIFS(m_row,m_teacher,E$4,m_date,($G$2+0),m_active,1,m_start,"&lt;"&amp;600,m_end,"&gt;"&amp;0))))))</f>
        <v/>
      </c>
      <c r="F5" s="80" t="str">
        <f aca="false">IF(OR(F$4="",MONTH(($G$2+0))&lt;&gt;MONTH($C$2)),"",IF(COUNTIFS(m_teacher,F$4,m_date,($G$2+0),m_active,1,m_start,"&lt;"&amp;600,m_end,"&gt;"&amp;0)=0,"",IF(COUNTIFS(m_teacher,F$4,m_date,($G$2+0),m_active,1,m_start,"&lt;"&amp;600,m_end,"&gt;"&amp;0)&gt;1,"충돌",HYPERLINK("#'관리자_MASTER'!D"&amp;_xlfn.MAXIFS(m_row,m_teacher,F$4,m_date,($G$2+0),m_active,1,m_start,"&lt;"&amp;600,m_end,"&gt;"&amp;0),INDEX(m_label,_xlfn.MAXIFS(m_row,m_teacher,F$4,m_date,($G$2+0),m_active,1,m_start,"&lt;"&amp;600,m_end,"&gt;"&amp;0))))))</f>
        <v/>
      </c>
      <c r="G5" s="80" t="str">
        <f aca="false">IF(OR(G$4="",MONTH(($G$2+0))&lt;&gt;MONTH($C$2)),"",IF(COUNTIFS(m_teacher,G$4,m_date,($G$2+0),m_active,1,m_start,"&lt;"&amp;600,m_end,"&gt;"&amp;0)=0,"",IF(COUNTIFS(m_teacher,G$4,m_date,($G$2+0),m_active,1,m_start,"&lt;"&amp;600,m_end,"&gt;"&amp;0)&gt;1,"충돌",HYPERLINK("#'관리자_MASTER'!D"&amp;_xlfn.MAXIFS(m_row,m_teacher,G$4,m_date,($G$2+0),m_active,1,m_start,"&lt;"&amp;600,m_end,"&gt;"&amp;0),INDEX(m_label,_xlfn.MAXIFS(m_row,m_teacher,G$4,m_date,($G$2+0),m_active,1,m_start,"&lt;"&amp;600,m_end,"&gt;"&amp;0))))))</f>
        <v/>
      </c>
      <c r="H5" s="80" t="str">
        <f aca="false">IF(OR(H$4="",MONTH(($G$2+0))&lt;&gt;MONTH($C$2)),"",IF(COUNTIFS(m_teacher,H$4,m_date,($G$2+0),m_active,1,m_start,"&lt;"&amp;600,m_end,"&gt;"&amp;0)=0,"",IF(COUNTIFS(m_teacher,H$4,m_date,($G$2+0),m_active,1,m_start,"&lt;"&amp;600,m_end,"&gt;"&amp;0)&gt;1,"충돌",HYPERLINK("#'관리자_MASTER'!D"&amp;_xlfn.MAXIFS(m_row,m_teacher,H$4,m_date,($G$2+0),m_active,1,m_start,"&lt;"&amp;600,m_end,"&gt;"&amp;0),INDEX(m_label,_xlfn.MAXIFS(m_row,m_teacher,H$4,m_date,($G$2+0),m_active,1,m_start,"&lt;"&amp;600,m_end,"&gt;"&amp;0))))))</f>
        <v/>
      </c>
      <c r="I5" s="80" t="str">
        <f aca="false">IF(OR(I$4="",MONTH(($G$2+0))&lt;&gt;MONTH($C$2)),"",IF(COUNTIFS(m_teacher,I$4,m_date,($G$2+0),m_active,1,m_start,"&lt;"&amp;600,m_end,"&gt;"&amp;0)=0,"",IF(COUNTIFS(m_teacher,I$4,m_date,($G$2+0),m_active,1,m_start,"&lt;"&amp;600,m_end,"&gt;"&amp;0)&gt;1,"충돌",HYPERLINK("#'관리자_MASTER'!D"&amp;_xlfn.MAXIFS(m_row,m_teacher,I$4,m_date,($G$2+0),m_active,1,m_start,"&lt;"&amp;600,m_end,"&gt;"&amp;0),INDEX(m_label,_xlfn.MAXIFS(m_row,m_teacher,I$4,m_date,($G$2+0),m_active,1,m_start,"&lt;"&amp;600,m_end,"&gt;"&amp;0))))))</f>
        <v/>
      </c>
      <c r="J5" s="80" t="str">
        <f aca="false">IF(OR(J$4="",MONTH(($G$2+0))&lt;&gt;MONTH($C$2)),"",IF(COUNTIFS(m_teacher,J$4,m_date,($G$2+0),m_active,1,m_start,"&lt;"&amp;600,m_end,"&gt;"&amp;0)=0,"",IF(COUNTIFS(m_teacher,J$4,m_date,($G$2+0),m_active,1,m_start,"&lt;"&amp;600,m_end,"&gt;"&amp;0)&gt;1,"충돌",HYPERLINK("#'관리자_MASTER'!D"&amp;_xlfn.MAXIFS(m_row,m_teacher,J$4,m_date,($G$2+0),m_active,1,m_start,"&lt;"&amp;600,m_end,"&gt;"&amp;0),INDEX(m_label,_xlfn.MAXIFS(m_row,m_teacher,J$4,m_date,($G$2+0),m_active,1,m_start,"&lt;"&amp;600,m_end,"&gt;"&amp;0))))))</f>
        <v/>
      </c>
      <c r="K5" s="80" t="str">
        <f aca="false">IF(OR(K$4="",MONTH(($G$2+0))&lt;&gt;MONTH($C$2)),"",IF(COUNTIFS(m_teacher,K$4,m_date,($G$2+0),m_active,1,m_start,"&lt;"&amp;600,m_end,"&gt;"&amp;0)=0,"",IF(COUNTIFS(m_teacher,K$4,m_date,($G$2+0),m_active,1,m_start,"&lt;"&amp;600,m_end,"&gt;"&amp;0)&gt;1,"충돌",HYPERLINK("#'관리자_MASTER'!D"&amp;_xlfn.MAXIFS(m_row,m_teacher,K$4,m_date,($G$2+0),m_active,1,m_start,"&lt;"&amp;600,m_end,"&gt;"&amp;0),INDEX(m_label,_xlfn.MAXIFS(m_row,m_teacher,K$4,m_date,($G$2+0),m_active,1,m_start,"&lt;"&amp;600,m_end,"&gt;"&amp;0))))))</f>
        <v/>
      </c>
      <c r="L5" s="80" t="str">
        <f aca="false">IF(OR(L$4="",MONTH(($G$2+0))&lt;&gt;MONTH($C$2)),"",IF(COUNTIFS(m_teacher,L$4,m_date,($G$2+0),m_active,1,m_start,"&lt;"&amp;600,m_end,"&gt;"&amp;0)=0,"",IF(COUNTIFS(m_teacher,L$4,m_date,($G$2+0),m_active,1,m_start,"&lt;"&amp;600,m_end,"&gt;"&amp;0)&gt;1,"충돌",HYPERLINK("#'관리자_MASTER'!D"&amp;_xlfn.MAXIFS(m_row,m_teacher,L$4,m_date,($G$2+0),m_active,1,m_start,"&lt;"&amp;600,m_end,"&gt;"&amp;0),INDEX(m_label,_xlfn.MAXIFS(m_row,m_teacher,L$4,m_date,($G$2+0),m_active,1,m_start,"&lt;"&amp;600,m_end,"&gt;"&amp;0))))))</f>
        <v/>
      </c>
      <c r="M5" s="80" t="str">
        <f aca="false">IF(OR(M$4="",MONTH(($G$2+0))&lt;&gt;MONTH($C$2)),"",IF(COUNTIFS(m_teacher,M$4,m_date,($G$2+0),m_active,1,m_start,"&lt;"&amp;600,m_end,"&gt;"&amp;0)=0,"",IF(COUNTIFS(m_teacher,M$4,m_date,($G$2+0),m_active,1,m_start,"&lt;"&amp;600,m_end,"&gt;"&amp;0)&gt;1,"충돌",HYPERLINK("#'관리자_MASTER'!D"&amp;_xlfn.MAXIFS(m_row,m_teacher,M$4,m_date,($G$2+0),m_active,1,m_start,"&lt;"&amp;600,m_end,"&gt;"&amp;0),INDEX(m_label,_xlfn.MAXIFS(m_row,m_teacher,M$4,m_date,($G$2+0),m_active,1,m_start,"&lt;"&amp;600,m_end,"&gt;"&amp;0))))))</f>
        <v/>
      </c>
      <c r="N5" s="80" t="str">
        <f aca="false">IF(OR(N$4="",MONTH(($G$2+0))&lt;&gt;MONTH($C$2)),"",IF(COUNTIFS(m_teacher,N$4,m_date,($G$2+0),m_active,1,m_start,"&lt;"&amp;600,m_end,"&gt;"&amp;0)=0,"",IF(COUNTIFS(m_teacher,N$4,m_date,($G$2+0),m_active,1,m_start,"&lt;"&amp;600,m_end,"&gt;"&amp;0)&gt;1,"충돌",HYPERLINK("#'관리자_MASTER'!D"&amp;_xlfn.MAXIFS(m_row,m_teacher,N$4,m_date,($G$2+0),m_active,1,m_start,"&lt;"&amp;600,m_end,"&gt;"&amp;0),INDEX(m_label,_xlfn.MAXIFS(m_row,m_teacher,N$4,m_date,($G$2+0),m_active,1,m_start,"&lt;"&amp;600,m_end,"&gt;"&amp;0))))))</f>
        <v/>
      </c>
      <c r="O5" s="78" t="str">
        <f aca="false">IF(MONTH(($G$2+7))&lt;&gt;MONTH($C$2),"",CHOOSE(WEEKDAY(($G$2+7),2),"월","화","수","목","금","토","일")&amp;CHAR(10)&amp;TEXT(($G$2+7),"m/d"))</f>
        <v>월
2/8</v>
      </c>
      <c r="P5" s="79" t="s">
        <v>91</v>
      </c>
      <c r="Q5" s="80" t="str">
        <f aca="false">IF(OR(Q$4="",MONTH(($G$2+7))&lt;&gt;MONTH($C$2)),"",IF(COUNTIFS(m_teacher,Q$4,m_date,($G$2+7),m_active,1,m_start,"&lt;"&amp;600,m_end,"&gt;"&amp;0)=0,"",IF(COUNTIFS(m_teacher,Q$4,m_date,($G$2+7),m_active,1,m_start,"&lt;"&amp;600,m_end,"&gt;"&amp;0)&gt;1,"충돌",HYPERLINK("#'관리자_MASTER'!D"&amp;_xlfn.MAXIFS(m_row,m_teacher,Q$4,m_date,($G$2+7),m_active,1,m_start,"&lt;"&amp;600,m_end,"&gt;"&amp;0),INDEX(m_label,_xlfn.MAXIFS(m_row,m_teacher,Q$4,m_date,($G$2+7),m_active,1,m_start,"&lt;"&amp;600,m_end,"&gt;"&amp;0))))))</f>
        <v/>
      </c>
      <c r="R5" s="80" t="str">
        <f aca="false">IF(OR(R$4="",MONTH(($G$2+7))&lt;&gt;MONTH($C$2)),"",IF(COUNTIFS(m_teacher,R$4,m_date,($G$2+7),m_active,1,m_start,"&lt;"&amp;600,m_end,"&gt;"&amp;0)=0,"",IF(COUNTIFS(m_teacher,R$4,m_date,($G$2+7),m_active,1,m_start,"&lt;"&amp;600,m_end,"&gt;"&amp;0)&gt;1,"충돌",HYPERLINK("#'관리자_MASTER'!D"&amp;_xlfn.MAXIFS(m_row,m_teacher,R$4,m_date,($G$2+7),m_active,1,m_start,"&lt;"&amp;600,m_end,"&gt;"&amp;0),INDEX(m_label,_xlfn.MAXIFS(m_row,m_teacher,R$4,m_date,($G$2+7),m_active,1,m_start,"&lt;"&amp;600,m_end,"&gt;"&amp;0))))))</f>
        <v/>
      </c>
      <c r="S5" s="80" t="str">
        <f aca="false">IF(OR(S$4="",MONTH(($G$2+7))&lt;&gt;MONTH($C$2)),"",IF(COUNTIFS(m_teacher,S$4,m_date,($G$2+7),m_active,1,m_start,"&lt;"&amp;600,m_end,"&gt;"&amp;0)=0,"",IF(COUNTIFS(m_teacher,S$4,m_date,($G$2+7),m_active,1,m_start,"&lt;"&amp;600,m_end,"&gt;"&amp;0)&gt;1,"충돌",HYPERLINK("#'관리자_MASTER'!D"&amp;_xlfn.MAXIFS(m_row,m_teacher,S$4,m_date,($G$2+7),m_active,1,m_start,"&lt;"&amp;600,m_end,"&gt;"&amp;0),INDEX(m_label,_xlfn.MAXIFS(m_row,m_teacher,S$4,m_date,($G$2+7),m_active,1,m_start,"&lt;"&amp;600,m_end,"&gt;"&amp;0))))))</f>
        <v/>
      </c>
      <c r="T5" s="80" t="str">
        <f aca="false">IF(OR(T$4="",MONTH(($G$2+7))&lt;&gt;MONTH($C$2)),"",IF(COUNTIFS(m_teacher,T$4,m_date,($G$2+7),m_active,1,m_start,"&lt;"&amp;600,m_end,"&gt;"&amp;0)=0,"",IF(COUNTIFS(m_teacher,T$4,m_date,($G$2+7),m_active,1,m_start,"&lt;"&amp;600,m_end,"&gt;"&amp;0)&gt;1,"충돌",HYPERLINK("#'관리자_MASTER'!D"&amp;_xlfn.MAXIFS(m_row,m_teacher,T$4,m_date,($G$2+7),m_active,1,m_start,"&lt;"&amp;600,m_end,"&gt;"&amp;0),INDEX(m_label,_xlfn.MAXIFS(m_row,m_teacher,T$4,m_date,($G$2+7),m_active,1,m_start,"&lt;"&amp;600,m_end,"&gt;"&amp;0))))))</f>
        <v/>
      </c>
      <c r="U5" s="80" t="str">
        <f aca="false">IF(OR(U$4="",MONTH(($G$2+7))&lt;&gt;MONTH($C$2)),"",IF(COUNTIFS(m_teacher,U$4,m_date,($G$2+7),m_active,1,m_start,"&lt;"&amp;600,m_end,"&gt;"&amp;0)=0,"",IF(COUNTIFS(m_teacher,U$4,m_date,($G$2+7),m_active,1,m_start,"&lt;"&amp;600,m_end,"&gt;"&amp;0)&gt;1,"충돌",HYPERLINK("#'관리자_MASTER'!D"&amp;_xlfn.MAXIFS(m_row,m_teacher,U$4,m_date,($G$2+7),m_active,1,m_start,"&lt;"&amp;600,m_end,"&gt;"&amp;0),INDEX(m_label,_xlfn.MAXIFS(m_row,m_teacher,U$4,m_date,($G$2+7),m_active,1,m_start,"&lt;"&amp;600,m_end,"&gt;"&amp;0))))))</f>
        <v/>
      </c>
      <c r="V5" s="80" t="str">
        <f aca="false">IF(OR(V$4="",MONTH(($G$2+7))&lt;&gt;MONTH($C$2)),"",IF(COUNTIFS(m_teacher,V$4,m_date,($G$2+7),m_active,1,m_start,"&lt;"&amp;600,m_end,"&gt;"&amp;0)=0,"",IF(COUNTIFS(m_teacher,V$4,m_date,($G$2+7),m_active,1,m_start,"&lt;"&amp;600,m_end,"&gt;"&amp;0)&gt;1,"충돌",HYPERLINK("#'관리자_MASTER'!D"&amp;_xlfn.MAXIFS(m_row,m_teacher,V$4,m_date,($G$2+7),m_active,1,m_start,"&lt;"&amp;600,m_end,"&gt;"&amp;0),INDEX(m_label,_xlfn.MAXIFS(m_row,m_teacher,V$4,m_date,($G$2+7),m_active,1,m_start,"&lt;"&amp;600,m_end,"&gt;"&amp;0))))))</f>
        <v/>
      </c>
      <c r="W5" s="80" t="str">
        <f aca="false">IF(OR(W$4="",MONTH(($G$2+7))&lt;&gt;MONTH($C$2)),"",IF(COUNTIFS(m_teacher,W$4,m_date,($G$2+7),m_active,1,m_start,"&lt;"&amp;600,m_end,"&gt;"&amp;0)=0,"",IF(COUNTIFS(m_teacher,W$4,m_date,($G$2+7),m_active,1,m_start,"&lt;"&amp;600,m_end,"&gt;"&amp;0)&gt;1,"충돌",HYPERLINK("#'관리자_MASTER'!D"&amp;_xlfn.MAXIFS(m_row,m_teacher,W$4,m_date,($G$2+7),m_active,1,m_start,"&lt;"&amp;600,m_end,"&gt;"&amp;0),INDEX(m_label,_xlfn.MAXIFS(m_row,m_teacher,W$4,m_date,($G$2+7),m_active,1,m_start,"&lt;"&amp;600,m_end,"&gt;"&amp;0))))))</f>
        <v/>
      </c>
      <c r="X5" s="80" t="str">
        <f aca="false">IF(OR(X$4="",MONTH(($G$2+7))&lt;&gt;MONTH($C$2)),"",IF(COUNTIFS(m_teacher,X$4,m_date,($G$2+7),m_active,1,m_start,"&lt;"&amp;600,m_end,"&gt;"&amp;0)=0,"",IF(COUNTIFS(m_teacher,X$4,m_date,($G$2+7),m_active,1,m_start,"&lt;"&amp;600,m_end,"&gt;"&amp;0)&gt;1,"충돌",HYPERLINK("#'관리자_MASTER'!D"&amp;_xlfn.MAXIFS(m_row,m_teacher,X$4,m_date,($G$2+7),m_active,1,m_start,"&lt;"&amp;600,m_end,"&gt;"&amp;0),INDEX(m_label,_xlfn.MAXIFS(m_row,m_teacher,X$4,m_date,($G$2+7),m_active,1,m_start,"&lt;"&amp;600,m_end,"&gt;"&amp;0))))))</f>
        <v/>
      </c>
      <c r="Y5" s="80" t="str">
        <f aca="false">IF(OR(Y$4="",MONTH(($G$2+7))&lt;&gt;MONTH($C$2)),"",IF(COUNTIFS(m_teacher,Y$4,m_date,($G$2+7),m_active,1,m_start,"&lt;"&amp;600,m_end,"&gt;"&amp;0)=0,"",IF(COUNTIFS(m_teacher,Y$4,m_date,($G$2+7),m_active,1,m_start,"&lt;"&amp;600,m_end,"&gt;"&amp;0)&gt;1,"충돌",HYPERLINK("#'관리자_MASTER'!D"&amp;_xlfn.MAXIFS(m_row,m_teacher,Y$4,m_date,($G$2+7),m_active,1,m_start,"&lt;"&amp;600,m_end,"&gt;"&amp;0),INDEX(m_label,_xlfn.MAXIFS(m_row,m_teacher,Y$4,m_date,($G$2+7),m_active,1,m_start,"&lt;"&amp;600,m_end,"&gt;"&amp;0))))))</f>
        <v/>
      </c>
      <c r="Z5" s="80" t="str">
        <f aca="false">IF(OR(Z$4="",MONTH(($G$2+7))&lt;&gt;MONTH($C$2)),"",IF(COUNTIFS(m_teacher,Z$4,m_date,($G$2+7),m_active,1,m_start,"&lt;"&amp;600,m_end,"&gt;"&amp;0)=0,"",IF(COUNTIFS(m_teacher,Z$4,m_date,($G$2+7),m_active,1,m_start,"&lt;"&amp;600,m_end,"&gt;"&amp;0)&gt;1,"충돌",HYPERLINK("#'관리자_MASTER'!D"&amp;_xlfn.MAXIFS(m_row,m_teacher,Z$4,m_date,($G$2+7),m_active,1,m_start,"&lt;"&amp;600,m_end,"&gt;"&amp;0),INDEX(m_label,_xlfn.MAXIFS(m_row,m_teacher,Z$4,m_date,($G$2+7),m_active,1,m_start,"&lt;"&amp;600,m_end,"&gt;"&amp;0))))))</f>
        <v/>
      </c>
      <c r="AA5" s="80" t="str">
        <f aca="false">IF(OR(AA$4="",MONTH(($G$2+7))&lt;&gt;MONTH($C$2)),"",IF(COUNTIFS(m_teacher,AA$4,m_date,($G$2+7),m_active,1,m_start,"&lt;"&amp;600,m_end,"&gt;"&amp;0)=0,"",IF(COUNTIFS(m_teacher,AA$4,m_date,($G$2+7),m_active,1,m_start,"&lt;"&amp;600,m_end,"&gt;"&amp;0)&gt;1,"충돌",HYPERLINK("#'관리자_MASTER'!D"&amp;_xlfn.MAXIFS(m_row,m_teacher,AA$4,m_date,($G$2+7),m_active,1,m_start,"&lt;"&amp;600,m_end,"&gt;"&amp;0),INDEX(m_label,_xlfn.MAXIFS(m_row,m_teacher,AA$4,m_date,($G$2+7),m_active,1,m_start,"&lt;"&amp;600,m_end,"&gt;"&amp;0))))))</f>
        <v/>
      </c>
      <c r="AB5" s="80" t="str">
        <f aca="false">IF(OR(AB$4="",MONTH(($G$2+7))&lt;&gt;MONTH($C$2)),"",IF(COUNTIFS(m_teacher,AB$4,m_date,($G$2+7),m_active,1,m_start,"&lt;"&amp;600,m_end,"&gt;"&amp;0)=0,"",IF(COUNTIFS(m_teacher,AB$4,m_date,($G$2+7),m_active,1,m_start,"&lt;"&amp;600,m_end,"&gt;"&amp;0)&gt;1,"충돌",HYPERLINK("#'관리자_MASTER'!D"&amp;_xlfn.MAXIFS(m_row,m_teacher,AB$4,m_date,($G$2+7),m_active,1,m_start,"&lt;"&amp;600,m_end,"&gt;"&amp;0),INDEX(m_label,_xlfn.MAXIFS(m_row,m_teacher,AB$4,m_date,($G$2+7),m_active,1,m_start,"&lt;"&amp;600,m_end,"&gt;"&amp;0))))))</f>
        <v/>
      </c>
      <c r="AC5" s="78" t="str">
        <f aca="false">IF(MONTH(($G$2+14))&lt;&gt;MONTH($C$2),"",CHOOSE(WEEKDAY(($G$2+14),2),"월","화","수","목","금","토","일")&amp;CHAR(10)&amp;TEXT(($G$2+14),"m/d"))</f>
        <v>월
2/15</v>
      </c>
      <c r="AD5" s="79" t="s">
        <v>91</v>
      </c>
      <c r="AE5" s="80" t="str">
        <f aca="false">IF(OR(AE$4="",MONTH(($G$2+14))&lt;&gt;MONTH($C$2)),"",IF(COUNTIFS(m_teacher,AE$4,m_date,($G$2+14),m_active,1,m_start,"&lt;"&amp;600,m_end,"&gt;"&amp;0)=0,"",IF(COUNTIFS(m_teacher,AE$4,m_date,($G$2+14),m_active,1,m_start,"&lt;"&amp;600,m_end,"&gt;"&amp;0)&gt;1,"충돌",HYPERLINK("#'관리자_MASTER'!D"&amp;_xlfn.MAXIFS(m_row,m_teacher,AE$4,m_date,($G$2+14),m_active,1,m_start,"&lt;"&amp;600,m_end,"&gt;"&amp;0),INDEX(m_label,_xlfn.MAXIFS(m_row,m_teacher,AE$4,m_date,($G$2+14),m_active,1,m_start,"&lt;"&amp;600,m_end,"&gt;"&amp;0))))))</f>
        <v/>
      </c>
      <c r="AF5" s="80" t="str">
        <f aca="false">IF(OR(AF$4="",MONTH(($G$2+14))&lt;&gt;MONTH($C$2)),"",IF(COUNTIFS(m_teacher,AF$4,m_date,($G$2+14),m_active,1,m_start,"&lt;"&amp;600,m_end,"&gt;"&amp;0)=0,"",IF(COUNTIFS(m_teacher,AF$4,m_date,($G$2+14),m_active,1,m_start,"&lt;"&amp;600,m_end,"&gt;"&amp;0)&gt;1,"충돌",HYPERLINK("#'관리자_MASTER'!D"&amp;_xlfn.MAXIFS(m_row,m_teacher,AF$4,m_date,($G$2+14),m_active,1,m_start,"&lt;"&amp;600,m_end,"&gt;"&amp;0),INDEX(m_label,_xlfn.MAXIFS(m_row,m_teacher,AF$4,m_date,($G$2+14),m_active,1,m_start,"&lt;"&amp;600,m_end,"&gt;"&amp;0))))))</f>
        <v/>
      </c>
      <c r="AG5" s="80" t="str">
        <f aca="false">IF(OR(AG$4="",MONTH(($G$2+14))&lt;&gt;MONTH($C$2)),"",IF(COUNTIFS(m_teacher,AG$4,m_date,($G$2+14),m_active,1,m_start,"&lt;"&amp;600,m_end,"&gt;"&amp;0)=0,"",IF(COUNTIFS(m_teacher,AG$4,m_date,($G$2+14),m_active,1,m_start,"&lt;"&amp;600,m_end,"&gt;"&amp;0)&gt;1,"충돌",HYPERLINK("#'관리자_MASTER'!D"&amp;_xlfn.MAXIFS(m_row,m_teacher,AG$4,m_date,($G$2+14),m_active,1,m_start,"&lt;"&amp;600,m_end,"&gt;"&amp;0),INDEX(m_label,_xlfn.MAXIFS(m_row,m_teacher,AG$4,m_date,($G$2+14),m_active,1,m_start,"&lt;"&amp;600,m_end,"&gt;"&amp;0))))))</f>
        <v/>
      </c>
      <c r="AH5" s="80" t="str">
        <f aca="false">IF(OR(AH$4="",MONTH(($G$2+14))&lt;&gt;MONTH($C$2)),"",IF(COUNTIFS(m_teacher,AH$4,m_date,($G$2+14),m_active,1,m_start,"&lt;"&amp;600,m_end,"&gt;"&amp;0)=0,"",IF(COUNTIFS(m_teacher,AH$4,m_date,($G$2+14),m_active,1,m_start,"&lt;"&amp;600,m_end,"&gt;"&amp;0)&gt;1,"충돌",HYPERLINK("#'관리자_MASTER'!D"&amp;_xlfn.MAXIFS(m_row,m_teacher,AH$4,m_date,($G$2+14),m_active,1,m_start,"&lt;"&amp;600,m_end,"&gt;"&amp;0),INDEX(m_label,_xlfn.MAXIFS(m_row,m_teacher,AH$4,m_date,($G$2+14),m_active,1,m_start,"&lt;"&amp;600,m_end,"&gt;"&amp;0))))))</f>
        <v/>
      </c>
      <c r="AI5" s="80" t="str">
        <f aca="false">IF(OR(AI$4="",MONTH(($G$2+14))&lt;&gt;MONTH($C$2)),"",IF(COUNTIFS(m_teacher,AI$4,m_date,($G$2+14),m_active,1,m_start,"&lt;"&amp;600,m_end,"&gt;"&amp;0)=0,"",IF(COUNTIFS(m_teacher,AI$4,m_date,($G$2+14),m_active,1,m_start,"&lt;"&amp;600,m_end,"&gt;"&amp;0)&gt;1,"충돌",HYPERLINK("#'관리자_MASTER'!D"&amp;_xlfn.MAXIFS(m_row,m_teacher,AI$4,m_date,($G$2+14),m_active,1,m_start,"&lt;"&amp;600,m_end,"&gt;"&amp;0),INDEX(m_label,_xlfn.MAXIFS(m_row,m_teacher,AI$4,m_date,($G$2+14),m_active,1,m_start,"&lt;"&amp;600,m_end,"&gt;"&amp;0))))))</f>
        <v/>
      </c>
      <c r="AJ5" s="80" t="str">
        <f aca="false">IF(OR(AJ$4="",MONTH(($G$2+14))&lt;&gt;MONTH($C$2)),"",IF(COUNTIFS(m_teacher,AJ$4,m_date,($G$2+14),m_active,1,m_start,"&lt;"&amp;600,m_end,"&gt;"&amp;0)=0,"",IF(COUNTIFS(m_teacher,AJ$4,m_date,($G$2+14),m_active,1,m_start,"&lt;"&amp;600,m_end,"&gt;"&amp;0)&gt;1,"충돌",HYPERLINK("#'관리자_MASTER'!D"&amp;_xlfn.MAXIFS(m_row,m_teacher,AJ$4,m_date,($G$2+14),m_active,1,m_start,"&lt;"&amp;600,m_end,"&gt;"&amp;0),INDEX(m_label,_xlfn.MAXIFS(m_row,m_teacher,AJ$4,m_date,($G$2+14),m_active,1,m_start,"&lt;"&amp;600,m_end,"&gt;"&amp;0))))))</f>
        <v/>
      </c>
      <c r="AK5" s="80" t="str">
        <f aca="false">IF(OR(AK$4="",MONTH(($G$2+14))&lt;&gt;MONTH($C$2)),"",IF(COUNTIFS(m_teacher,AK$4,m_date,($G$2+14),m_active,1,m_start,"&lt;"&amp;600,m_end,"&gt;"&amp;0)=0,"",IF(COUNTIFS(m_teacher,AK$4,m_date,($G$2+14),m_active,1,m_start,"&lt;"&amp;600,m_end,"&gt;"&amp;0)&gt;1,"충돌",HYPERLINK("#'관리자_MASTER'!D"&amp;_xlfn.MAXIFS(m_row,m_teacher,AK$4,m_date,($G$2+14),m_active,1,m_start,"&lt;"&amp;600,m_end,"&gt;"&amp;0),INDEX(m_label,_xlfn.MAXIFS(m_row,m_teacher,AK$4,m_date,($G$2+14),m_active,1,m_start,"&lt;"&amp;600,m_end,"&gt;"&amp;0))))))</f>
        <v/>
      </c>
      <c r="AL5" s="80" t="str">
        <f aca="false">IF(OR(AL$4="",MONTH(($G$2+14))&lt;&gt;MONTH($C$2)),"",IF(COUNTIFS(m_teacher,AL$4,m_date,($G$2+14),m_active,1,m_start,"&lt;"&amp;600,m_end,"&gt;"&amp;0)=0,"",IF(COUNTIFS(m_teacher,AL$4,m_date,($G$2+14),m_active,1,m_start,"&lt;"&amp;600,m_end,"&gt;"&amp;0)&gt;1,"충돌",HYPERLINK("#'관리자_MASTER'!D"&amp;_xlfn.MAXIFS(m_row,m_teacher,AL$4,m_date,($G$2+14),m_active,1,m_start,"&lt;"&amp;600,m_end,"&gt;"&amp;0),INDEX(m_label,_xlfn.MAXIFS(m_row,m_teacher,AL$4,m_date,($G$2+14),m_active,1,m_start,"&lt;"&amp;600,m_end,"&gt;"&amp;0))))))</f>
        <v/>
      </c>
      <c r="AM5" s="80" t="str">
        <f aca="false">IF(OR(AM$4="",MONTH(($G$2+14))&lt;&gt;MONTH($C$2)),"",IF(COUNTIFS(m_teacher,AM$4,m_date,($G$2+14),m_active,1,m_start,"&lt;"&amp;600,m_end,"&gt;"&amp;0)=0,"",IF(COUNTIFS(m_teacher,AM$4,m_date,($G$2+14),m_active,1,m_start,"&lt;"&amp;600,m_end,"&gt;"&amp;0)&gt;1,"충돌",HYPERLINK("#'관리자_MASTER'!D"&amp;_xlfn.MAXIFS(m_row,m_teacher,AM$4,m_date,($G$2+14),m_active,1,m_start,"&lt;"&amp;600,m_end,"&gt;"&amp;0),INDEX(m_label,_xlfn.MAXIFS(m_row,m_teacher,AM$4,m_date,($G$2+14),m_active,1,m_start,"&lt;"&amp;600,m_end,"&gt;"&amp;0))))))</f>
        <v/>
      </c>
      <c r="AN5" s="80" t="str">
        <f aca="false">IF(OR(AN$4="",MONTH(($G$2+14))&lt;&gt;MONTH($C$2)),"",IF(COUNTIFS(m_teacher,AN$4,m_date,($G$2+14),m_active,1,m_start,"&lt;"&amp;600,m_end,"&gt;"&amp;0)=0,"",IF(COUNTIFS(m_teacher,AN$4,m_date,($G$2+14),m_active,1,m_start,"&lt;"&amp;600,m_end,"&gt;"&amp;0)&gt;1,"충돌",HYPERLINK("#'관리자_MASTER'!D"&amp;_xlfn.MAXIFS(m_row,m_teacher,AN$4,m_date,($G$2+14),m_active,1,m_start,"&lt;"&amp;600,m_end,"&gt;"&amp;0),INDEX(m_label,_xlfn.MAXIFS(m_row,m_teacher,AN$4,m_date,($G$2+14),m_active,1,m_start,"&lt;"&amp;600,m_end,"&gt;"&amp;0))))))</f>
        <v/>
      </c>
      <c r="AO5" s="80" t="str">
        <f aca="false">IF(OR(AO$4="",MONTH(($G$2+14))&lt;&gt;MONTH($C$2)),"",IF(COUNTIFS(m_teacher,AO$4,m_date,($G$2+14),m_active,1,m_start,"&lt;"&amp;600,m_end,"&gt;"&amp;0)=0,"",IF(COUNTIFS(m_teacher,AO$4,m_date,($G$2+14),m_active,1,m_start,"&lt;"&amp;600,m_end,"&gt;"&amp;0)&gt;1,"충돌",HYPERLINK("#'관리자_MASTER'!D"&amp;_xlfn.MAXIFS(m_row,m_teacher,AO$4,m_date,($G$2+14),m_active,1,m_start,"&lt;"&amp;600,m_end,"&gt;"&amp;0),INDEX(m_label,_xlfn.MAXIFS(m_row,m_teacher,AO$4,m_date,($G$2+14),m_active,1,m_start,"&lt;"&amp;600,m_end,"&gt;"&amp;0))))))</f>
        <v/>
      </c>
      <c r="AP5" s="80" t="str">
        <f aca="false">IF(OR(AP$4="",MONTH(($G$2+14))&lt;&gt;MONTH($C$2)),"",IF(COUNTIFS(m_teacher,AP$4,m_date,($G$2+14),m_active,1,m_start,"&lt;"&amp;600,m_end,"&gt;"&amp;0)=0,"",IF(COUNTIFS(m_teacher,AP$4,m_date,($G$2+14),m_active,1,m_start,"&lt;"&amp;600,m_end,"&gt;"&amp;0)&gt;1,"충돌",HYPERLINK("#'관리자_MASTER'!D"&amp;_xlfn.MAXIFS(m_row,m_teacher,AP$4,m_date,($G$2+14),m_active,1,m_start,"&lt;"&amp;600,m_end,"&gt;"&amp;0),INDEX(m_label,_xlfn.MAXIFS(m_row,m_teacher,AP$4,m_date,($G$2+14),m_active,1,m_start,"&lt;"&amp;600,m_end,"&gt;"&amp;0))))))</f>
        <v/>
      </c>
      <c r="AQ5" s="78" t="str">
        <f aca="false">IF(MONTH(($G$2+21))&lt;&gt;MONTH($C$2),"",CHOOSE(WEEKDAY(($G$2+21),2),"월","화","수","목","금","토","일")&amp;CHAR(10)&amp;TEXT(($G$2+21),"m/d"))</f>
        <v>월
2/22</v>
      </c>
      <c r="AR5" s="79" t="s">
        <v>91</v>
      </c>
      <c r="AS5" s="80" t="str">
        <f aca="false">IF(OR(AS$4="",MONTH(($G$2+21))&lt;&gt;MONTH($C$2)),"",IF(COUNTIFS(m_teacher,AS$4,m_date,($G$2+21),m_active,1,m_start,"&lt;"&amp;600,m_end,"&gt;"&amp;0)=0,"",IF(COUNTIFS(m_teacher,AS$4,m_date,($G$2+21),m_active,1,m_start,"&lt;"&amp;600,m_end,"&gt;"&amp;0)&gt;1,"충돌",HYPERLINK("#'관리자_MASTER'!D"&amp;_xlfn.MAXIFS(m_row,m_teacher,AS$4,m_date,($G$2+21),m_active,1,m_start,"&lt;"&amp;600,m_end,"&gt;"&amp;0),INDEX(m_label,_xlfn.MAXIFS(m_row,m_teacher,AS$4,m_date,($G$2+21),m_active,1,m_start,"&lt;"&amp;600,m_end,"&gt;"&amp;0))))))</f>
        <v/>
      </c>
      <c r="AT5" s="80" t="str">
        <f aca="false">IF(OR(AT$4="",MONTH(($G$2+21))&lt;&gt;MONTH($C$2)),"",IF(COUNTIFS(m_teacher,AT$4,m_date,($G$2+21),m_active,1,m_start,"&lt;"&amp;600,m_end,"&gt;"&amp;0)=0,"",IF(COUNTIFS(m_teacher,AT$4,m_date,($G$2+21),m_active,1,m_start,"&lt;"&amp;600,m_end,"&gt;"&amp;0)&gt;1,"충돌",HYPERLINK("#'관리자_MASTER'!D"&amp;_xlfn.MAXIFS(m_row,m_teacher,AT$4,m_date,($G$2+21),m_active,1,m_start,"&lt;"&amp;600,m_end,"&gt;"&amp;0),INDEX(m_label,_xlfn.MAXIFS(m_row,m_teacher,AT$4,m_date,($G$2+21),m_active,1,m_start,"&lt;"&amp;600,m_end,"&gt;"&amp;0))))))</f>
        <v/>
      </c>
      <c r="AU5" s="80" t="str">
        <f aca="false">IF(OR(AU$4="",MONTH(($G$2+21))&lt;&gt;MONTH($C$2)),"",IF(COUNTIFS(m_teacher,AU$4,m_date,($G$2+21),m_active,1,m_start,"&lt;"&amp;600,m_end,"&gt;"&amp;0)=0,"",IF(COUNTIFS(m_teacher,AU$4,m_date,($G$2+21),m_active,1,m_start,"&lt;"&amp;600,m_end,"&gt;"&amp;0)&gt;1,"충돌",HYPERLINK("#'관리자_MASTER'!D"&amp;_xlfn.MAXIFS(m_row,m_teacher,AU$4,m_date,($G$2+21),m_active,1,m_start,"&lt;"&amp;600,m_end,"&gt;"&amp;0),INDEX(m_label,_xlfn.MAXIFS(m_row,m_teacher,AU$4,m_date,($G$2+21),m_active,1,m_start,"&lt;"&amp;600,m_end,"&gt;"&amp;0))))))</f>
        <v/>
      </c>
      <c r="AV5" s="80" t="str">
        <f aca="false">IF(OR(AV$4="",MONTH(($G$2+21))&lt;&gt;MONTH($C$2)),"",IF(COUNTIFS(m_teacher,AV$4,m_date,($G$2+21),m_active,1,m_start,"&lt;"&amp;600,m_end,"&gt;"&amp;0)=0,"",IF(COUNTIFS(m_teacher,AV$4,m_date,($G$2+21),m_active,1,m_start,"&lt;"&amp;600,m_end,"&gt;"&amp;0)&gt;1,"충돌",HYPERLINK("#'관리자_MASTER'!D"&amp;_xlfn.MAXIFS(m_row,m_teacher,AV$4,m_date,($G$2+21),m_active,1,m_start,"&lt;"&amp;600,m_end,"&gt;"&amp;0),INDEX(m_label,_xlfn.MAXIFS(m_row,m_teacher,AV$4,m_date,($G$2+21),m_active,1,m_start,"&lt;"&amp;600,m_end,"&gt;"&amp;0))))))</f>
        <v/>
      </c>
      <c r="AW5" s="80" t="str">
        <f aca="false">IF(OR(AW$4="",MONTH(($G$2+21))&lt;&gt;MONTH($C$2)),"",IF(COUNTIFS(m_teacher,AW$4,m_date,($G$2+21),m_active,1,m_start,"&lt;"&amp;600,m_end,"&gt;"&amp;0)=0,"",IF(COUNTIFS(m_teacher,AW$4,m_date,($G$2+21),m_active,1,m_start,"&lt;"&amp;600,m_end,"&gt;"&amp;0)&gt;1,"충돌",HYPERLINK("#'관리자_MASTER'!D"&amp;_xlfn.MAXIFS(m_row,m_teacher,AW$4,m_date,($G$2+21),m_active,1,m_start,"&lt;"&amp;600,m_end,"&gt;"&amp;0),INDEX(m_label,_xlfn.MAXIFS(m_row,m_teacher,AW$4,m_date,($G$2+21),m_active,1,m_start,"&lt;"&amp;600,m_end,"&gt;"&amp;0))))))</f>
        <v/>
      </c>
      <c r="AX5" s="80" t="str">
        <f aca="false">IF(OR(AX$4="",MONTH(($G$2+21))&lt;&gt;MONTH($C$2)),"",IF(COUNTIFS(m_teacher,AX$4,m_date,($G$2+21),m_active,1,m_start,"&lt;"&amp;600,m_end,"&gt;"&amp;0)=0,"",IF(COUNTIFS(m_teacher,AX$4,m_date,($G$2+21),m_active,1,m_start,"&lt;"&amp;600,m_end,"&gt;"&amp;0)&gt;1,"충돌",HYPERLINK("#'관리자_MASTER'!D"&amp;_xlfn.MAXIFS(m_row,m_teacher,AX$4,m_date,($G$2+21),m_active,1,m_start,"&lt;"&amp;600,m_end,"&gt;"&amp;0),INDEX(m_label,_xlfn.MAXIFS(m_row,m_teacher,AX$4,m_date,($G$2+21),m_active,1,m_start,"&lt;"&amp;600,m_end,"&gt;"&amp;0))))))</f>
        <v/>
      </c>
      <c r="AY5" s="80" t="str">
        <f aca="false">IF(OR(AY$4="",MONTH(($G$2+21))&lt;&gt;MONTH($C$2)),"",IF(COUNTIFS(m_teacher,AY$4,m_date,($G$2+21),m_active,1,m_start,"&lt;"&amp;600,m_end,"&gt;"&amp;0)=0,"",IF(COUNTIFS(m_teacher,AY$4,m_date,($G$2+21),m_active,1,m_start,"&lt;"&amp;600,m_end,"&gt;"&amp;0)&gt;1,"충돌",HYPERLINK("#'관리자_MASTER'!D"&amp;_xlfn.MAXIFS(m_row,m_teacher,AY$4,m_date,($G$2+21),m_active,1,m_start,"&lt;"&amp;600,m_end,"&gt;"&amp;0),INDEX(m_label,_xlfn.MAXIFS(m_row,m_teacher,AY$4,m_date,($G$2+21),m_active,1,m_start,"&lt;"&amp;600,m_end,"&gt;"&amp;0))))))</f>
        <v/>
      </c>
      <c r="AZ5" s="80" t="str">
        <f aca="false">IF(OR(AZ$4="",MONTH(($G$2+21))&lt;&gt;MONTH($C$2)),"",IF(COUNTIFS(m_teacher,AZ$4,m_date,($G$2+21),m_active,1,m_start,"&lt;"&amp;600,m_end,"&gt;"&amp;0)=0,"",IF(COUNTIFS(m_teacher,AZ$4,m_date,($G$2+21),m_active,1,m_start,"&lt;"&amp;600,m_end,"&gt;"&amp;0)&gt;1,"충돌",HYPERLINK("#'관리자_MASTER'!D"&amp;_xlfn.MAXIFS(m_row,m_teacher,AZ$4,m_date,($G$2+21),m_active,1,m_start,"&lt;"&amp;600,m_end,"&gt;"&amp;0),INDEX(m_label,_xlfn.MAXIFS(m_row,m_teacher,AZ$4,m_date,($G$2+21),m_active,1,m_start,"&lt;"&amp;600,m_end,"&gt;"&amp;0))))))</f>
        <v/>
      </c>
      <c r="BA5" s="80" t="str">
        <f aca="false">IF(OR(BA$4="",MONTH(($G$2+21))&lt;&gt;MONTH($C$2)),"",IF(COUNTIFS(m_teacher,BA$4,m_date,($G$2+21),m_active,1,m_start,"&lt;"&amp;600,m_end,"&gt;"&amp;0)=0,"",IF(COUNTIFS(m_teacher,BA$4,m_date,($G$2+21),m_active,1,m_start,"&lt;"&amp;600,m_end,"&gt;"&amp;0)&gt;1,"충돌",HYPERLINK("#'관리자_MASTER'!D"&amp;_xlfn.MAXIFS(m_row,m_teacher,BA$4,m_date,($G$2+21),m_active,1,m_start,"&lt;"&amp;600,m_end,"&gt;"&amp;0),INDEX(m_label,_xlfn.MAXIFS(m_row,m_teacher,BA$4,m_date,($G$2+21),m_active,1,m_start,"&lt;"&amp;600,m_end,"&gt;"&amp;0))))))</f>
        <v/>
      </c>
      <c r="BB5" s="80" t="str">
        <f aca="false">IF(OR(BB$4="",MONTH(($G$2+21))&lt;&gt;MONTH($C$2)),"",IF(COUNTIFS(m_teacher,BB$4,m_date,($G$2+21),m_active,1,m_start,"&lt;"&amp;600,m_end,"&gt;"&amp;0)=0,"",IF(COUNTIFS(m_teacher,BB$4,m_date,($G$2+21),m_active,1,m_start,"&lt;"&amp;600,m_end,"&gt;"&amp;0)&gt;1,"충돌",HYPERLINK("#'관리자_MASTER'!D"&amp;_xlfn.MAXIFS(m_row,m_teacher,BB$4,m_date,($G$2+21),m_active,1,m_start,"&lt;"&amp;600,m_end,"&gt;"&amp;0),INDEX(m_label,_xlfn.MAXIFS(m_row,m_teacher,BB$4,m_date,($G$2+21),m_active,1,m_start,"&lt;"&amp;600,m_end,"&gt;"&amp;0))))))</f>
        <v/>
      </c>
      <c r="BC5" s="80" t="str">
        <f aca="false">IF(OR(BC$4="",MONTH(($G$2+21))&lt;&gt;MONTH($C$2)),"",IF(COUNTIFS(m_teacher,BC$4,m_date,($G$2+21),m_active,1,m_start,"&lt;"&amp;600,m_end,"&gt;"&amp;0)=0,"",IF(COUNTIFS(m_teacher,BC$4,m_date,($G$2+21),m_active,1,m_start,"&lt;"&amp;600,m_end,"&gt;"&amp;0)&gt;1,"충돌",HYPERLINK("#'관리자_MASTER'!D"&amp;_xlfn.MAXIFS(m_row,m_teacher,BC$4,m_date,($G$2+21),m_active,1,m_start,"&lt;"&amp;600,m_end,"&gt;"&amp;0),INDEX(m_label,_xlfn.MAXIFS(m_row,m_teacher,BC$4,m_date,($G$2+21),m_active,1,m_start,"&lt;"&amp;600,m_end,"&gt;"&amp;0))))))</f>
        <v/>
      </c>
      <c r="BD5" s="80" t="str">
        <f aca="false">IF(OR(BD$4="",MONTH(($G$2+21))&lt;&gt;MONTH($C$2)),"",IF(COUNTIFS(m_teacher,BD$4,m_date,($G$2+21),m_active,1,m_start,"&lt;"&amp;600,m_end,"&gt;"&amp;0)=0,"",IF(COUNTIFS(m_teacher,BD$4,m_date,($G$2+21),m_active,1,m_start,"&lt;"&amp;600,m_end,"&gt;"&amp;0)&gt;1,"충돌",HYPERLINK("#'관리자_MASTER'!D"&amp;_xlfn.MAXIFS(m_row,m_teacher,BD$4,m_date,($G$2+21),m_active,1,m_start,"&lt;"&amp;600,m_end,"&gt;"&amp;0),INDEX(m_label,_xlfn.MAXIFS(m_row,m_teacher,BD$4,m_date,($G$2+21),m_active,1,m_start,"&lt;"&amp;600,m_end,"&gt;"&amp;0))))))</f>
        <v/>
      </c>
    </row>
    <row r="6" customFormat="false" ht="19.5" hidden="false" customHeight="true" outlineLevel="0" collapsed="false">
      <c r="A6" s="78"/>
      <c r="B6" s="79" t="s">
        <v>92</v>
      </c>
      <c r="C6" s="82" t="str">
        <f aca="false">IF(OR(C$4="",MONTH(($G$2+0))&lt;&gt;MONTH($C$2)),"",IF(COUNTIFS(m_teacher,C$4,m_date,($G$2+0),m_active,1,m_start,"&lt;"&amp;660,m_end,"&gt;"&amp;600)=0,"",IF(COUNTIFS(m_teacher,C$4,m_date,($G$2+0),m_active,1,m_start,"&lt;"&amp;660,m_end,"&gt;"&amp;600)&gt;1,"충돌",HYPERLINK("#'관리자_MASTER'!D"&amp;_xlfn.MAXIFS(m_row,m_teacher,C$4,m_date,($G$2+0),m_active,1,m_start,"&lt;"&amp;660,m_end,"&gt;"&amp;600),INDEX(m_label,_xlfn.MAXIFS(m_row,m_teacher,C$4,m_date,($G$2+0),m_active,1,m_start,"&lt;"&amp;660,m_end,"&gt;"&amp;600))))))</f>
        <v/>
      </c>
      <c r="D6" s="82" t="str">
        <f aca="false">IF(OR(D$4="",MONTH(($G$2+0))&lt;&gt;MONTH($C$2)),"",IF(COUNTIFS(m_teacher,D$4,m_date,($G$2+0),m_active,1,m_start,"&lt;"&amp;660,m_end,"&gt;"&amp;600)=0,"",IF(COUNTIFS(m_teacher,D$4,m_date,($G$2+0),m_active,1,m_start,"&lt;"&amp;660,m_end,"&gt;"&amp;600)&gt;1,"충돌",HYPERLINK("#'관리자_MASTER'!D"&amp;_xlfn.MAXIFS(m_row,m_teacher,D$4,m_date,($G$2+0),m_active,1,m_start,"&lt;"&amp;660,m_end,"&gt;"&amp;600),INDEX(m_label,_xlfn.MAXIFS(m_row,m_teacher,D$4,m_date,($G$2+0),m_active,1,m_start,"&lt;"&amp;660,m_end,"&gt;"&amp;600))))))</f>
        <v/>
      </c>
      <c r="E6" s="82" t="str">
        <f aca="false">IF(OR(E$4="",MONTH(($G$2+0))&lt;&gt;MONTH($C$2)),"",IF(COUNTIFS(m_teacher,E$4,m_date,($G$2+0),m_active,1,m_start,"&lt;"&amp;660,m_end,"&gt;"&amp;600)=0,"",IF(COUNTIFS(m_teacher,E$4,m_date,($G$2+0),m_active,1,m_start,"&lt;"&amp;660,m_end,"&gt;"&amp;600)&gt;1,"충돌",HYPERLINK("#'관리자_MASTER'!D"&amp;_xlfn.MAXIFS(m_row,m_teacher,E$4,m_date,($G$2+0),m_active,1,m_start,"&lt;"&amp;660,m_end,"&gt;"&amp;600),INDEX(m_label,_xlfn.MAXIFS(m_row,m_teacher,E$4,m_date,($G$2+0),m_active,1,m_start,"&lt;"&amp;660,m_end,"&gt;"&amp;600))))))</f>
        <v/>
      </c>
      <c r="F6" s="82" t="str">
        <f aca="false">IF(OR(F$4="",MONTH(($G$2+0))&lt;&gt;MONTH($C$2)),"",IF(COUNTIFS(m_teacher,F$4,m_date,($G$2+0),m_active,1,m_start,"&lt;"&amp;660,m_end,"&gt;"&amp;600)=0,"",IF(COUNTIFS(m_teacher,F$4,m_date,($G$2+0),m_active,1,m_start,"&lt;"&amp;660,m_end,"&gt;"&amp;600)&gt;1,"충돌",HYPERLINK("#'관리자_MASTER'!D"&amp;_xlfn.MAXIFS(m_row,m_teacher,F$4,m_date,($G$2+0),m_active,1,m_start,"&lt;"&amp;660,m_end,"&gt;"&amp;600),INDEX(m_label,_xlfn.MAXIFS(m_row,m_teacher,F$4,m_date,($G$2+0),m_active,1,m_start,"&lt;"&amp;660,m_end,"&gt;"&amp;600))))))</f>
        <v/>
      </c>
      <c r="G6" s="82" t="str">
        <f aca="false">IF(OR(G$4="",MONTH(($G$2+0))&lt;&gt;MONTH($C$2)),"",IF(COUNTIFS(m_teacher,G$4,m_date,($G$2+0),m_active,1,m_start,"&lt;"&amp;660,m_end,"&gt;"&amp;600)=0,"",IF(COUNTIFS(m_teacher,G$4,m_date,($G$2+0),m_active,1,m_start,"&lt;"&amp;660,m_end,"&gt;"&amp;600)&gt;1,"충돌",HYPERLINK("#'관리자_MASTER'!D"&amp;_xlfn.MAXIFS(m_row,m_teacher,G$4,m_date,($G$2+0),m_active,1,m_start,"&lt;"&amp;660,m_end,"&gt;"&amp;600),INDEX(m_label,_xlfn.MAXIFS(m_row,m_teacher,G$4,m_date,($G$2+0),m_active,1,m_start,"&lt;"&amp;660,m_end,"&gt;"&amp;600))))))</f>
        <v/>
      </c>
      <c r="H6" s="82" t="str">
        <f aca="false">IF(OR(H$4="",MONTH(($G$2+0))&lt;&gt;MONTH($C$2)),"",IF(COUNTIFS(m_teacher,H$4,m_date,($G$2+0),m_active,1,m_start,"&lt;"&amp;660,m_end,"&gt;"&amp;600)=0,"",IF(COUNTIFS(m_teacher,H$4,m_date,($G$2+0),m_active,1,m_start,"&lt;"&amp;660,m_end,"&gt;"&amp;600)&gt;1,"충돌",HYPERLINK("#'관리자_MASTER'!D"&amp;_xlfn.MAXIFS(m_row,m_teacher,H$4,m_date,($G$2+0),m_active,1,m_start,"&lt;"&amp;660,m_end,"&gt;"&amp;600),INDEX(m_label,_xlfn.MAXIFS(m_row,m_teacher,H$4,m_date,($G$2+0),m_active,1,m_start,"&lt;"&amp;660,m_end,"&gt;"&amp;600))))))</f>
        <v/>
      </c>
      <c r="I6" s="82" t="str">
        <f aca="false">IF(OR(I$4="",MONTH(($G$2+0))&lt;&gt;MONTH($C$2)),"",IF(COUNTIFS(m_teacher,I$4,m_date,($G$2+0),m_active,1,m_start,"&lt;"&amp;660,m_end,"&gt;"&amp;600)=0,"",IF(COUNTIFS(m_teacher,I$4,m_date,($G$2+0),m_active,1,m_start,"&lt;"&amp;660,m_end,"&gt;"&amp;600)&gt;1,"충돌",HYPERLINK("#'관리자_MASTER'!D"&amp;_xlfn.MAXIFS(m_row,m_teacher,I$4,m_date,($G$2+0),m_active,1,m_start,"&lt;"&amp;660,m_end,"&gt;"&amp;600),INDEX(m_label,_xlfn.MAXIFS(m_row,m_teacher,I$4,m_date,($G$2+0),m_active,1,m_start,"&lt;"&amp;660,m_end,"&gt;"&amp;600))))))</f>
        <v/>
      </c>
      <c r="J6" s="82" t="str">
        <f aca="false">IF(OR(J$4="",MONTH(($G$2+0))&lt;&gt;MONTH($C$2)),"",IF(COUNTIFS(m_teacher,J$4,m_date,($G$2+0),m_active,1,m_start,"&lt;"&amp;660,m_end,"&gt;"&amp;600)=0,"",IF(COUNTIFS(m_teacher,J$4,m_date,($G$2+0),m_active,1,m_start,"&lt;"&amp;660,m_end,"&gt;"&amp;600)&gt;1,"충돌",HYPERLINK("#'관리자_MASTER'!D"&amp;_xlfn.MAXIFS(m_row,m_teacher,J$4,m_date,($G$2+0),m_active,1,m_start,"&lt;"&amp;660,m_end,"&gt;"&amp;600),INDEX(m_label,_xlfn.MAXIFS(m_row,m_teacher,J$4,m_date,($G$2+0),m_active,1,m_start,"&lt;"&amp;660,m_end,"&gt;"&amp;600))))))</f>
        <v/>
      </c>
      <c r="K6" s="82" t="str">
        <f aca="false">IF(OR(K$4="",MONTH(($G$2+0))&lt;&gt;MONTH($C$2)),"",IF(COUNTIFS(m_teacher,K$4,m_date,($G$2+0),m_active,1,m_start,"&lt;"&amp;660,m_end,"&gt;"&amp;600)=0,"",IF(COUNTIFS(m_teacher,K$4,m_date,($G$2+0),m_active,1,m_start,"&lt;"&amp;660,m_end,"&gt;"&amp;600)&gt;1,"충돌",HYPERLINK("#'관리자_MASTER'!D"&amp;_xlfn.MAXIFS(m_row,m_teacher,K$4,m_date,($G$2+0),m_active,1,m_start,"&lt;"&amp;660,m_end,"&gt;"&amp;600),INDEX(m_label,_xlfn.MAXIFS(m_row,m_teacher,K$4,m_date,($G$2+0),m_active,1,m_start,"&lt;"&amp;660,m_end,"&gt;"&amp;600))))))</f>
        <v/>
      </c>
      <c r="L6" s="82" t="str">
        <f aca="false">IF(OR(L$4="",MONTH(($G$2+0))&lt;&gt;MONTH($C$2)),"",IF(COUNTIFS(m_teacher,L$4,m_date,($G$2+0),m_active,1,m_start,"&lt;"&amp;660,m_end,"&gt;"&amp;600)=0,"",IF(COUNTIFS(m_teacher,L$4,m_date,($G$2+0),m_active,1,m_start,"&lt;"&amp;660,m_end,"&gt;"&amp;600)&gt;1,"충돌",HYPERLINK("#'관리자_MASTER'!D"&amp;_xlfn.MAXIFS(m_row,m_teacher,L$4,m_date,($G$2+0),m_active,1,m_start,"&lt;"&amp;660,m_end,"&gt;"&amp;600),INDEX(m_label,_xlfn.MAXIFS(m_row,m_teacher,L$4,m_date,($G$2+0),m_active,1,m_start,"&lt;"&amp;660,m_end,"&gt;"&amp;600))))))</f>
        <v/>
      </c>
      <c r="M6" s="82" t="str">
        <f aca="false">IF(OR(M$4="",MONTH(($G$2+0))&lt;&gt;MONTH($C$2)),"",IF(COUNTIFS(m_teacher,M$4,m_date,($G$2+0),m_active,1,m_start,"&lt;"&amp;660,m_end,"&gt;"&amp;600)=0,"",IF(COUNTIFS(m_teacher,M$4,m_date,($G$2+0),m_active,1,m_start,"&lt;"&amp;660,m_end,"&gt;"&amp;600)&gt;1,"충돌",HYPERLINK("#'관리자_MASTER'!D"&amp;_xlfn.MAXIFS(m_row,m_teacher,M$4,m_date,($G$2+0),m_active,1,m_start,"&lt;"&amp;660,m_end,"&gt;"&amp;600),INDEX(m_label,_xlfn.MAXIFS(m_row,m_teacher,M$4,m_date,($G$2+0),m_active,1,m_start,"&lt;"&amp;660,m_end,"&gt;"&amp;600))))))</f>
        <v/>
      </c>
      <c r="N6" s="82" t="str">
        <f aca="false">IF(OR(N$4="",MONTH(($G$2+0))&lt;&gt;MONTH($C$2)),"",IF(COUNTIFS(m_teacher,N$4,m_date,($G$2+0),m_active,1,m_start,"&lt;"&amp;660,m_end,"&gt;"&amp;600)=0,"",IF(COUNTIFS(m_teacher,N$4,m_date,($G$2+0),m_active,1,m_start,"&lt;"&amp;660,m_end,"&gt;"&amp;600)&gt;1,"충돌",HYPERLINK("#'관리자_MASTER'!D"&amp;_xlfn.MAXIFS(m_row,m_teacher,N$4,m_date,($G$2+0),m_active,1,m_start,"&lt;"&amp;660,m_end,"&gt;"&amp;600),INDEX(m_label,_xlfn.MAXIFS(m_row,m_teacher,N$4,m_date,($G$2+0),m_active,1,m_start,"&lt;"&amp;660,m_end,"&gt;"&amp;600))))))</f>
        <v/>
      </c>
      <c r="O6" s="78"/>
      <c r="P6" s="79" t="s">
        <v>92</v>
      </c>
      <c r="Q6" s="82" t="str">
        <f aca="false">IF(OR(Q$4="",MONTH(($G$2+7))&lt;&gt;MONTH($C$2)),"",IF(COUNTIFS(m_teacher,Q$4,m_date,($G$2+7),m_active,1,m_start,"&lt;"&amp;660,m_end,"&gt;"&amp;600)=0,"",IF(COUNTIFS(m_teacher,Q$4,m_date,($G$2+7),m_active,1,m_start,"&lt;"&amp;660,m_end,"&gt;"&amp;600)&gt;1,"충돌",HYPERLINK("#'관리자_MASTER'!D"&amp;_xlfn.MAXIFS(m_row,m_teacher,Q$4,m_date,($G$2+7),m_active,1,m_start,"&lt;"&amp;660,m_end,"&gt;"&amp;600),INDEX(m_label,_xlfn.MAXIFS(m_row,m_teacher,Q$4,m_date,($G$2+7),m_active,1,m_start,"&lt;"&amp;660,m_end,"&gt;"&amp;600))))))</f>
        <v/>
      </c>
      <c r="R6" s="82" t="str">
        <f aca="false">IF(OR(R$4="",MONTH(($G$2+7))&lt;&gt;MONTH($C$2)),"",IF(COUNTIFS(m_teacher,R$4,m_date,($G$2+7),m_active,1,m_start,"&lt;"&amp;660,m_end,"&gt;"&amp;600)=0,"",IF(COUNTIFS(m_teacher,R$4,m_date,($G$2+7),m_active,1,m_start,"&lt;"&amp;660,m_end,"&gt;"&amp;600)&gt;1,"충돌",HYPERLINK("#'관리자_MASTER'!D"&amp;_xlfn.MAXIFS(m_row,m_teacher,R$4,m_date,($G$2+7),m_active,1,m_start,"&lt;"&amp;660,m_end,"&gt;"&amp;600),INDEX(m_label,_xlfn.MAXIFS(m_row,m_teacher,R$4,m_date,($G$2+7),m_active,1,m_start,"&lt;"&amp;660,m_end,"&gt;"&amp;600))))))</f>
        <v/>
      </c>
      <c r="S6" s="82" t="str">
        <f aca="false">IF(OR(S$4="",MONTH(($G$2+7))&lt;&gt;MONTH($C$2)),"",IF(COUNTIFS(m_teacher,S$4,m_date,($G$2+7),m_active,1,m_start,"&lt;"&amp;660,m_end,"&gt;"&amp;600)=0,"",IF(COUNTIFS(m_teacher,S$4,m_date,($G$2+7),m_active,1,m_start,"&lt;"&amp;660,m_end,"&gt;"&amp;600)&gt;1,"충돌",HYPERLINK("#'관리자_MASTER'!D"&amp;_xlfn.MAXIFS(m_row,m_teacher,S$4,m_date,($G$2+7),m_active,1,m_start,"&lt;"&amp;660,m_end,"&gt;"&amp;600),INDEX(m_label,_xlfn.MAXIFS(m_row,m_teacher,S$4,m_date,($G$2+7),m_active,1,m_start,"&lt;"&amp;660,m_end,"&gt;"&amp;600))))))</f>
        <v/>
      </c>
      <c r="T6" s="82" t="str">
        <f aca="false">IF(OR(T$4="",MONTH(($G$2+7))&lt;&gt;MONTH($C$2)),"",IF(COUNTIFS(m_teacher,T$4,m_date,($G$2+7),m_active,1,m_start,"&lt;"&amp;660,m_end,"&gt;"&amp;600)=0,"",IF(COUNTIFS(m_teacher,T$4,m_date,($G$2+7),m_active,1,m_start,"&lt;"&amp;660,m_end,"&gt;"&amp;600)&gt;1,"충돌",HYPERLINK("#'관리자_MASTER'!D"&amp;_xlfn.MAXIFS(m_row,m_teacher,T$4,m_date,($G$2+7),m_active,1,m_start,"&lt;"&amp;660,m_end,"&gt;"&amp;600),INDEX(m_label,_xlfn.MAXIFS(m_row,m_teacher,T$4,m_date,($G$2+7),m_active,1,m_start,"&lt;"&amp;660,m_end,"&gt;"&amp;600))))))</f>
        <v/>
      </c>
      <c r="U6" s="82" t="str">
        <f aca="false">IF(OR(U$4="",MONTH(($G$2+7))&lt;&gt;MONTH($C$2)),"",IF(COUNTIFS(m_teacher,U$4,m_date,($G$2+7),m_active,1,m_start,"&lt;"&amp;660,m_end,"&gt;"&amp;600)=0,"",IF(COUNTIFS(m_teacher,U$4,m_date,($G$2+7),m_active,1,m_start,"&lt;"&amp;660,m_end,"&gt;"&amp;600)&gt;1,"충돌",HYPERLINK("#'관리자_MASTER'!D"&amp;_xlfn.MAXIFS(m_row,m_teacher,U$4,m_date,($G$2+7),m_active,1,m_start,"&lt;"&amp;660,m_end,"&gt;"&amp;600),INDEX(m_label,_xlfn.MAXIFS(m_row,m_teacher,U$4,m_date,($G$2+7),m_active,1,m_start,"&lt;"&amp;660,m_end,"&gt;"&amp;600))))))</f>
        <v/>
      </c>
      <c r="V6" s="82" t="str">
        <f aca="false">IF(OR(V$4="",MONTH(($G$2+7))&lt;&gt;MONTH($C$2)),"",IF(COUNTIFS(m_teacher,V$4,m_date,($G$2+7),m_active,1,m_start,"&lt;"&amp;660,m_end,"&gt;"&amp;600)=0,"",IF(COUNTIFS(m_teacher,V$4,m_date,($G$2+7),m_active,1,m_start,"&lt;"&amp;660,m_end,"&gt;"&amp;600)&gt;1,"충돌",HYPERLINK("#'관리자_MASTER'!D"&amp;_xlfn.MAXIFS(m_row,m_teacher,V$4,m_date,($G$2+7),m_active,1,m_start,"&lt;"&amp;660,m_end,"&gt;"&amp;600),INDEX(m_label,_xlfn.MAXIFS(m_row,m_teacher,V$4,m_date,($G$2+7),m_active,1,m_start,"&lt;"&amp;660,m_end,"&gt;"&amp;600))))))</f>
        <v/>
      </c>
      <c r="W6" s="82" t="str">
        <f aca="false">IF(OR(W$4="",MONTH(($G$2+7))&lt;&gt;MONTH($C$2)),"",IF(COUNTIFS(m_teacher,W$4,m_date,($G$2+7),m_active,1,m_start,"&lt;"&amp;660,m_end,"&gt;"&amp;600)=0,"",IF(COUNTIFS(m_teacher,W$4,m_date,($G$2+7),m_active,1,m_start,"&lt;"&amp;660,m_end,"&gt;"&amp;600)&gt;1,"충돌",HYPERLINK("#'관리자_MASTER'!D"&amp;_xlfn.MAXIFS(m_row,m_teacher,W$4,m_date,($G$2+7),m_active,1,m_start,"&lt;"&amp;660,m_end,"&gt;"&amp;600),INDEX(m_label,_xlfn.MAXIFS(m_row,m_teacher,W$4,m_date,($G$2+7),m_active,1,m_start,"&lt;"&amp;660,m_end,"&gt;"&amp;600))))))</f>
        <v/>
      </c>
      <c r="X6" s="82" t="str">
        <f aca="false">IF(OR(X$4="",MONTH(($G$2+7))&lt;&gt;MONTH($C$2)),"",IF(COUNTIFS(m_teacher,X$4,m_date,($G$2+7),m_active,1,m_start,"&lt;"&amp;660,m_end,"&gt;"&amp;600)=0,"",IF(COUNTIFS(m_teacher,X$4,m_date,($G$2+7),m_active,1,m_start,"&lt;"&amp;660,m_end,"&gt;"&amp;600)&gt;1,"충돌",HYPERLINK("#'관리자_MASTER'!D"&amp;_xlfn.MAXIFS(m_row,m_teacher,X$4,m_date,($G$2+7),m_active,1,m_start,"&lt;"&amp;660,m_end,"&gt;"&amp;600),INDEX(m_label,_xlfn.MAXIFS(m_row,m_teacher,X$4,m_date,($G$2+7),m_active,1,m_start,"&lt;"&amp;660,m_end,"&gt;"&amp;600))))))</f>
        <v/>
      </c>
      <c r="Y6" s="82" t="str">
        <f aca="false">IF(OR(Y$4="",MONTH(($G$2+7))&lt;&gt;MONTH($C$2)),"",IF(COUNTIFS(m_teacher,Y$4,m_date,($G$2+7),m_active,1,m_start,"&lt;"&amp;660,m_end,"&gt;"&amp;600)=0,"",IF(COUNTIFS(m_teacher,Y$4,m_date,($G$2+7),m_active,1,m_start,"&lt;"&amp;660,m_end,"&gt;"&amp;600)&gt;1,"충돌",HYPERLINK("#'관리자_MASTER'!D"&amp;_xlfn.MAXIFS(m_row,m_teacher,Y$4,m_date,($G$2+7),m_active,1,m_start,"&lt;"&amp;660,m_end,"&gt;"&amp;600),INDEX(m_label,_xlfn.MAXIFS(m_row,m_teacher,Y$4,m_date,($G$2+7),m_active,1,m_start,"&lt;"&amp;660,m_end,"&gt;"&amp;600))))))</f>
        <v/>
      </c>
      <c r="Z6" s="82" t="str">
        <f aca="false">IF(OR(Z$4="",MONTH(($G$2+7))&lt;&gt;MONTH($C$2)),"",IF(COUNTIFS(m_teacher,Z$4,m_date,($G$2+7),m_active,1,m_start,"&lt;"&amp;660,m_end,"&gt;"&amp;600)=0,"",IF(COUNTIFS(m_teacher,Z$4,m_date,($G$2+7),m_active,1,m_start,"&lt;"&amp;660,m_end,"&gt;"&amp;600)&gt;1,"충돌",HYPERLINK("#'관리자_MASTER'!D"&amp;_xlfn.MAXIFS(m_row,m_teacher,Z$4,m_date,($G$2+7),m_active,1,m_start,"&lt;"&amp;660,m_end,"&gt;"&amp;600),INDEX(m_label,_xlfn.MAXIFS(m_row,m_teacher,Z$4,m_date,($G$2+7),m_active,1,m_start,"&lt;"&amp;660,m_end,"&gt;"&amp;600))))))</f>
        <v/>
      </c>
      <c r="AA6" s="82" t="str">
        <f aca="false">IF(OR(AA$4="",MONTH(($G$2+7))&lt;&gt;MONTH($C$2)),"",IF(COUNTIFS(m_teacher,AA$4,m_date,($G$2+7),m_active,1,m_start,"&lt;"&amp;660,m_end,"&gt;"&amp;600)=0,"",IF(COUNTIFS(m_teacher,AA$4,m_date,($G$2+7),m_active,1,m_start,"&lt;"&amp;660,m_end,"&gt;"&amp;600)&gt;1,"충돌",HYPERLINK("#'관리자_MASTER'!D"&amp;_xlfn.MAXIFS(m_row,m_teacher,AA$4,m_date,($G$2+7),m_active,1,m_start,"&lt;"&amp;660,m_end,"&gt;"&amp;600),INDEX(m_label,_xlfn.MAXIFS(m_row,m_teacher,AA$4,m_date,($G$2+7),m_active,1,m_start,"&lt;"&amp;660,m_end,"&gt;"&amp;600))))))</f>
        <v/>
      </c>
      <c r="AB6" s="82" t="str">
        <f aca="false">IF(OR(AB$4="",MONTH(($G$2+7))&lt;&gt;MONTH($C$2)),"",IF(COUNTIFS(m_teacher,AB$4,m_date,($G$2+7),m_active,1,m_start,"&lt;"&amp;660,m_end,"&gt;"&amp;600)=0,"",IF(COUNTIFS(m_teacher,AB$4,m_date,($G$2+7),m_active,1,m_start,"&lt;"&amp;660,m_end,"&gt;"&amp;600)&gt;1,"충돌",HYPERLINK("#'관리자_MASTER'!D"&amp;_xlfn.MAXIFS(m_row,m_teacher,AB$4,m_date,($G$2+7),m_active,1,m_start,"&lt;"&amp;660,m_end,"&gt;"&amp;600),INDEX(m_label,_xlfn.MAXIFS(m_row,m_teacher,AB$4,m_date,($G$2+7),m_active,1,m_start,"&lt;"&amp;660,m_end,"&gt;"&amp;600))))))</f>
        <v/>
      </c>
      <c r="AC6" s="78"/>
      <c r="AD6" s="79" t="s">
        <v>92</v>
      </c>
      <c r="AE6" s="82" t="str">
        <f aca="false">IF(OR(AE$4="",MONTH(($G$2+14))&lt;&gt;MONTH($C$2)),"",IF(COUNTIFS(m_teacher,AE$4,m_date,($G$2+14),m_active,1,m_start,"&lt;"&amp;660,m_end,"&gt;"&amp;600)=0,"",IF(COUNTIFS(m_teacher,AE$4,m_date,($G$2+14),m_active,1,m_start,"&lt;"&amp;660,m_end,"&gt;"&amp;600)&gt;1,"충돌",HYPERLINK("#'관리자_MASTER'!D"&amp;_xlfn.MAXIFS(m_row,m_teacher,AE$4,m_date,($G$2+14),m_active,1,m_start,"&lt;"&amp;660,m_end,"&gt;"&amp;600),INDEX(m_label,_xlfn.MAXIFS(m_row,m_teacher,AE$4,m_date,($G$2+14),m_active,1,m_start,"&lt;"&amp;660,m_end,"&gt;"&amp;600))))))</f>
        <v/>
      </c>
      <c r="AF6" s="82" t="str">
        <f aca="false">IF(OR(AF$4="",MONTH(($G$2+14))&lt;&gt;MONTH($C$2)),"",IF(COUNTIFS(m_teacher,AF$4,m_date,($G$2+14),m_active,1,m_start,"&lt;"&amp;660,m_end,"&gt;"&amp;600)=0,"",IF(COUNTIFS(m_teacher,AF$4,m_date,($G$2+14),m_active,1,m_start,"&lt;"&amp;660,m_end,"&gt;"&amp;600)&gt;1,"충돌",HYPERLINK("#'관리자_MASTER'!D"&amp;_xlfn.MAXIFS(m_row,m_teacher,AF$4,m_date,($G$2+14),m_active,1,m_start,"&lt;"&amp;660,m_end,"&gt;"&amp;600),INDEX(m_label,_xlfn.MAXIFS(m_row,m_teacher,AF$4,m_date,($G$2+14),m_active,1,m_start,"&lt;"&amp;660,m_end,"&gt;"&amp;600))))))</f>
        <v/>
      </c>
      <c r="AG6" s="82" t="str">
        <f aca="false">IF(OR(AG$4="",MONTH(($G$2+14))&lt;&gt;MONTH($C$2)),"",IF(COUNTIFS(m_teacher,AG$4,m_date,($G$2+14),m_active,1,m_start,"&lt;"&amp;660,m_end,"&gt;"&amp;600)=0,"",IF(COUNTIFS(m_teacher,AG$4,m_date,($G$2+14),m_active,1,m_start,"&lt;"&amp;660,m_end,"&gt;"&amp;600)&gt;1,"충돌",HYPERLINK("#'관리자_MASTER'!D"&amp;_xlfn.MAXIFS(m_row,m_teacher,AG$4,m_date,($G$2+14),m_active,1,m_start,"&lt;"&amp;660,m_end,"&gt;"&amp;600),INDEX(m_label,_xlfn.MAXIFS(m_row,m_teacher,AG$4,m_date,($G$2+14),m_active,1,m_start,"&lt;"&amp;660,m_end,"&gt;"&amp;600))))))</f>
        <v/>
      </c>
      <c r="AH6" s="82" t="str">
        <f aca="false">IF(OR(AH$4="",MONTH(($G$2+14))&lt;&gt;MONTH($C$2)),"",IF(COUNTIFS(m_teacher,AH$4,m_date,($G$2+14),m_active,1,m_start,"&lt;"&amp;660,m_end,"&gt;"&amp;600)=0,"",IF(COUNTIFS(m_teacher,AH$4,m_date,($G$2+14),m_active,1,m_start,"&lt;"&amp;660,m_end,"&gt;"&amp;600)&gt;1,"충돌",HYPERLINK("#'관리자_MASTER'!D"&amp;_xlfn.MAXIFS(m_row,m_teacher,AH$4,m_date,($G$2+14),m_active,1,m_start,"&lt;"&amp;660,m_end,"&gt;"&amp;600),INDEX(m_label,_xlfn.MAXIFS(m_row,m_teacher,AH$4,m_date,($G$2+14),m_active,1,m_start,"&lt;"&amp;660,m_end,"&gt;"&amp;600))))))</f>
        <v/>
      </c>
      <c r="AI6" s="82" t="str">
        <f aca="false">IF(OR(AI$4="",MONTH(($G$2+14))&lt;&gt;MONTH($C$2)),"",IF(COUNTIFS(m_teacher,AI$4,m_date,($G$2+14),m_active,1,m_start,"&lt;"&amp;660,m_end,"&gt;"&amp;600)=0,"",IF(COUNTIFS(m_teacher,AI$4,m_date,($G$2+14),m_active,1,m_start,"&lt;"&amp;660,m_end,"&gt;"&amp;600)&gt;1,"충돌",HYPERLINK("#'관리자_MASTER'!D"&amp;_xlfn.MAXIFS(m_row,m_teacher,AI$4,m_date,($G$2+14),m_active,1,m_start,"&lt;"&amp;660,m_end,"&gt;"&amp;600),INDEX(m_label,_xlfn.MAXIFS(m_row,m_teacher,AI$4,m_date,($G$2+14),m_active,1,m_start,"&lt;"&amp;660,m_end,"&gt;"&amp;600))))))</f>
        <v/>
      </c>
      <c r="AJ6" s="82" t="str">
        <f aca="false">IF(OR(AJ$4="",MONTH(($G$2+14))&lt;&gt;MONTH($C$2)),"",IF(COUNTIFS(m_teacher,AJ$4,m_date,($G$2+14),m_active,1,m_start,"&lt;"&amp;660,m_end,"&gt;"&amp;600)=0,"",IF(COUNTIFS(m_teacher,AJ$4,m_date,($G$2+14),m_active,1,m_start,"&lt;"&amp;660,m_end,"&gt;"&amp;600)&gt;1,"충돌",HYPERLINK("#'관리자_MASTER'!D"&amp;_xlfn.MAXIFS(m_row,m_teacher,AJ$4,m_date,($G$2+14),m_active,1,m_start,"&lt;"&amp;660,m_end,"&gt;"&amp;600),INDEX(m_label,_xlfn.MAXIFS(m_row,m_teacher,AJ$4,m_date,($G$2+14),m_active,1,m_start,"&lt;"&amp;660,m_end,"&gt;"&amp;600))))))</f>
        <v/>
      </c>
      <c r="AK6" s="82" t="str">
        <f aca="false">IF(OR(AK$4="",MONTH(($G$2+14))&lt;&gt;MONTH($C$2)),"",IF(COUNTIFS(m_teacher,AK$4,m_date,($G$2+14),m_active,1,m_start,"&lt;"&amp;660,m_end,"&gt;"&amp;600)=0,"",IF(COUNTIFS(m_teacher,AK$4,m_date,($G$2+14),m_active,1,m_start,"&lt;"&amp;660,m_end,"&gt;"&amp;600)&gt;1,"충돌",HYPERLINK("#'관리자_MASTER'!D"&amp;_xlfn.MAXIFS(m_row,m_teacher,AK$4,m_date,($G$2+14),m_active,1,m_start,"&lt;"&amp;660,m_end,"&gt;"&amp;600),INDEX(m_label,_xlfn.MAXIFS(m_row,m_teacher,AK$4,m_date,($G$2+14),m_active,1,m_start,"&lt;"&amp;660,m_end,"&gt;"&amp;600))))))</f>
        <v/>
      </c>
      <c r="AL6" s="82" t="str">
        <f aca="false">IF(OR(AL$4="",MONTH(($G$2+14))&lt;&gt;MONTH($C$2)),"",IF(COUNTIFS(m_teacher,AL$4,m_date,($G$2+14),m_active,1,m_start,"&lt;"&amp;660,m_end,"&gt;"&amp;600)=0,"",IF(COUNTIFS(m_teacher,AL$4,m_date,($G$2+14),m_active,1,m_start,"&lt;"&amp;660,m_end,"&gt;"&amp;600)&gt;1,"충돌",HYPERLINK("#'관리자_MASTER'!D"&amp;_xlfn.MAXIFS(m_row,m_teacher,AL$4,m_date,($G$2+14),m_active,1,m_start,"&lt;"&amp;660,m_end,"&gt;"&amp;600),INDEX(m_label,_xlfn.MAXIFS(m_row,m_teacher,AL$4,m_date,($G$2+14),m_active,1,m_start,"&lt;"&amp;660,m_end,"&gt;"&amp;600))))))</f>
        <v/>
      </c>
      <c r="AM6" s="82" t="str">
        <f aca="false">IF(OR(AM$4="",MONTH(($G$2+14))&lt;&gt;MONTH($C$2)),"",IF(COUNTIFS(m_teacher,AM$4,m_date,($G$2+14),m_active,1,m_start,"&lt;"&amp;660,m_end,"&gt;"&amp;600)=0,"",IF(COUNTIFS(m_teacher,AM$4,m_date,($G$2+14),m_active,1,m_start,"&lt;"&amp;660,m_end,"&gt;"&amp;600)&gt;1,"충돌",HYPERLINK("#'관리자_MASTER'!D"&amp;_xlfn.MAXIFS(m_row,m_teacher,AM$4,m_date,($G$2+14),m_active,1,m_start,"&lt;"&amp;660,m_end,"&gt;"&amp;600),INDEX(m_label,_xlfn.MAXIFS(m_row,m_teacher,AM$4,m_date,($G$2+14),m_active,1,m_start,"&lt;"&amp;660,m_end,"&gt;"&amp;600))))))</f>
        <v/>
      </c>
      <c r="AN6" s="82" t="str">
        <f aca="false">IF(OR(AN$4="",MONTH(($G$2+14))&lt;&gt;MONTH($C$2)),"",IF(COUNTIFS(m_teacher,AN$4,m_date,($G$2+14),m_active,1,m_start,"&lt;"&amp;660,m_end,"&gt;"&amp;600)=0,"",IF(COUNTIFS(m_teacher,AN$4,m_date,($G$2+14),m_active,1,m_start,"&lt;"&amp;660,m_end,"&gt;"&amp;600)&gt;1,"충돌",HYPERLINK("#'관리자_MASTER'!D"&amp;_xlfn.MAXIFS(m_row,m_teacher,AN$4,m_date,($G$2+14),m_active,1,m_start,"&lt;"&amp;660,m_end,"&gt;"&amp;600),INDEX(m_label,_xlfn.MAXIFS(m_row,m_teacher,AN$4,m_date,($G$2+14),m_active,1,m_start,"&lt;"&amp;660,m_end,"&gt;"&amp;600))))))</f>
        <v/>
      </c>
      <c r="AO6" s="82" t="str">
        <f aca="false">IF(OR(AO$4="",MONTH(($G$2+14))&lt;&gt;MONTH($C$2)),"",IF(COUNTIFS(m_teacher,AO$4,m_date,($G$2+14),m_active,1,m_start,"&lt;"&amp;660,m_end,"&gt;"&amp;600)=0,"",IF(COUNTIFS(m_teacher,AO$4,m_date,($G$2+14),m_active,1,m_start,"&lt;"&amp;660,m_end,"&gt;"&amp;600)&gt;1,"충돌",HYPERLINK("#'관리자_MASTER'!D"&amp;_xlfn.MAXIFS(m_row,m_teacher,AO$4,m_date,($G$2+14),m_active,1,m_start,"&lt;"&amp;660,m_end,"&gt;"&amp;600),INDEX(m_label,_xlfn.MAXIFS(m_row,m_teacher,AO$4,m_date,($G$2+14),m_active,1,m_start,"&lt;"&amp;660,m_end,"&gt;"&amp;600))))))</f>
        <v/>
      </c>
      <c r="AP6" s="82" t="str">
        <f aca="false">IF(OR(AP$4="",MONTH(($G$2+14))&lt;&gt;MONTH($C$2)),"",IF(COUNTIFS(m_teacher,AP$4,m_date,($G$2+14),m_active,1,m_start,"&lt;"&amp;660,m_end,"&gt;"&amp;600)=0,"",IF(COUNTIFS(m_teacher,AP$4,m_date,($G$2+14),m_active,1,m_start,"&lt;"&amp;660,m_end,"&gt;"&amp;600)&gt;1,"충돌",HYPERLINK("#'관리자_MASTER'!D"&amp;_xlfn.MAXIFS(m_row,m_teacher,AP$4,m_date,($G$2+14),m_active,1,m_start,"&lt;"&amp;660,m_end,"&gt;"&amp;600),INDEX(m_label,_xlfn.MAXIFS(m_row,m_teacher,AP$4,m_date,($G$2+14),m_active,1,m_start,"&lt;"&amp;660,m_end,"&gt;"&amp;600))))))</f>
        <v/>
      </c>
      <c r="AQ6" s="78"/>
      <c r="AR6" s="79" t="s">
        <v>92</v>
      </c>
      <c r="AS6" s="82" t="str">
        <f aca="false">IF(OR(AS$4="",MONTH(($G$2+21))&lt;&gt;MONTH($C$2)),"",IF(COUNTIFS(m_teacher,AS$4,m_date,($G$2+21),m_active,1,m_start,"&lt;"&amp;660,m_end,"&gt;"&amp;600)=0,"",IF(COUNTIFS(m_teacher,AS$4,m_date,($G$2+21),m_active,1,m_start,"&lt;"&amp;660,m_end,"&gt;"&amp;600)&gt;1,"충돌",HYPERLINK("#'관리자_MASTER'!D"&amp;_xlfn.MAXIFS(m_row,m_teacher,AS$4,m_date,($G$2+21),m_active,1,m_start,"&lt;"&amp;660,m_end,"&gt;"&amp;600),INDEX(m_label,_xlfn.MAXIFS(m_row,m_teacher,AS$4,m_date,($G$2+21),m_active,1,m_start,"&lt;"&amp;660,m_end,"&gt;"&amp;600))))))</f>
        <v/>
      </c>
      <c r="AT6" s="82" t="str">
        <f aca="false">IF(OR(AT$4="",MONTH(($G$2+21))&lt;&gt;MONTH($C$2)),"",IF(COUNTIFS(m_teacher,AT$4,m_date,($G$2+21),m_active,1,m_start,"&lt;"&amp;660,m_end,"&gt;"&amp;600)=0,"",IF(COUNTIFS(m_teacher,AT$4,m_date,($G$2+21),m_active,1,m_start,"&lt;"&amp;660,m_end,"&gt;"&amp;600)&gt;1,"충돌",HYPERLINK("#'관리자_MASTER'!D"&amp;_xlfn.MAXIFS(m_row,m_teacher,AT$4,m_date,($G$2+21),m_active,1,m_start,"&lt;"&amp;660,m_end,"&gt;"&amp;600),INDEX(m_label,_xlfn.MAXIFS(m_row,m_teacher,AT$4,m_date,($G$2+21),m_active,1,m_start,"&lt;"&amp;660,m_end,"&gt;"&amp;600))))))</f>
        <v/>
      </c>
      <c r="AU6" s="82" t="str">
        <f aca="false">IF(OR(AU$4="",MONTH(($G$2+21))&lt;&gt;MONTH($C$2)),"",IF(COUNTIFS(m_teacher,AU$4,m_date,($G$2+21),m_active,1,m_start,"&lt;"&amp;660,m_end,"&gt;"&amp;600)=0,"",IF(COUNTIFS(m_teacher,AU$4,m_date,($G$2+21),m_active,1,m_start,"&lt;"&amp;660,m_end,"&gt;"&amp;600)&gt;1,"충돌",HYPERLINK("#'관리자_MASTER'!D"&amp;_xlfn.MAXIFS(m_row,m_teacher,AU$4,m_date,($G$2+21),m_active,1,m_start,"&lt;"&amp;660,m_end,"&gt;"&amp;600),INDEX(m_label,_xlfn.MAXIFS(m_row,m_teacher,AU$4,m_date,($G$2+21),m_active,1,m_start,"&lt;"&amp;660,m_end,"&gt;"&amp;600))))))</f>
        <v/>
      </c>
      <c r="AV6" s="82" t="str">
        <f aca="false">IF(OR(AV$4="",MONTH(($G$2+21))&lt;&gt;MONTH($C$2)),"",IF(COUNTIFS(m_teacher,AV$4,m_date,($G$2+21),m_active,1,m_start,"&lt;"&amp;660,m_end,"&gt;"&amp;600)=0,"",IF(COUNTIFS(m_teacher,AV$4,m_date,($G$2+21),m_active,1,m_start,"&lt;"&amp;660,m_end,"&gt;"&amp;600)&gt;1,"충돌",HYPERLINK("#'관리자_MASTER'!D"&amp;_xlfn.MAXIFS(m_row,m_teacher,AV$4,m_date,($G$2+21),m_active,1,m_start,"&lt;"&amp;660,m_end,"&gt;"&amp;600),INDEX(m_label,_xlfn.MAXIFS(m_row,m_teacher,AV$4,m_date,($G$2+21),m_active,1,m_start,"&lt;"&amp;660,m_end,"&gt;"&amp;600))))))</f>
        <v/>
      </c>
      <c r="AW6" s="82" t="str">
        <f aca="false">IF(OR(AW$4="",MONTH(($G$2+21))&lt;&gt;MONTH($C$2)),"",IF(COUNTIFS(m_teacher,AW$4,m_date,($G$2+21),m_active,1,m_start,"&lt;"&amp;660,m_end,"&gt;"&amp;600)=0,"",IF(COUNTIFS(m_teacher,AW$4,m_date,($G$2+21),m_active,1,m_start,"&lt;"&amp;660,m_end,"&gt;"&amp;600)&gt;1,"충돌",HYPERLINK("#'관리자_MASTER'!D"&amp;_xlfn.MAXIFS(m_row,m_teacher,AW$4,m_date,($G$2+21),m_active,1,m_start,"&lt;"&amp;660,m_end,"&gt;"&amp;600),INDEX(m_label,_xlfn.MAXIFS(m_row,m_teacher,AW$4,m_date,($G$2+21),m_active,1,m_start,"&lt;"&amp;660,m_end,"&gt;"&amp;600))))))</f>
        <v/>
      </c>
      <c r="AX6" s="82" t="str">
        <f aca="false">IF(OR(AX$4="",MONTH(($G$2+21))&lt;&gt;MONTH($C$2)),"",IF(COUNTIFS(m_teacher,AX$4,m_date,($G$2+21),m_active,1,m_start,"&lt;"&amp;660,m_end,"&gt;"&amp;600)=0,"",IF(COUNTIFS(m_teacher,AX$4,m_date,($G$2+21),m_active,1,m_start,"&lt;"&amp;660,m_end,"&gt;"&amp;600)&gt;1,"충돌",HYPERLINK("#'관리자_MASTER'!D"&amp;_xlfn.MAXIFS(m_row,m_teacher,AX$4,m_date,($G$2+21),m_active,1,m_start,"&lt;"&amp;660,m_end,"&gt;"&amp;600),INDEX(m_label,_xlfn.MAXIFS(m_row,m_teacher,AX$4,m_date,($G$2+21),m_active,1,m_start,"&lt;"&amp;660,m_end,"&gt;"&amp;600))))))</f>
        <v/>
      </c>
      <c r="AY6" s="82" t="str">
        <f aca="false">IF(OR(AY$4="",MONTH(($G$2+21))&lt;&gt;MONTH($C$2)),"",IF(COUNTIFS(m_teacher,AY$4,m_date,($G$2+21),m_active,1,m_start,"&lt;"&amp;660,m_end,"&gt;"&amp;600)=0,"",IF(COUNTIFS(m_teacher,AY$4,m_date,($G$2+21),m_active,1,m_start,"&lt;"&amp;660,m_end,"&gt;"&amp;600)&gt;1,"충돌",HYPERLINK("#'관리자_MASTER'!D"&amp;_xlfn.MAXIFS(m_row,m_teacher,AY$4,m_date,($G$2+21),m_active,1,m_start,"&lt;"&amp;660,m_end,"&gt;"&amp;600),INDEX(m_label,_xlfn.MAXIFS(m_row,m_teacher,AY$4,m_date,($G$2+21),m_active,1,m_start,"&lt;"&amp;660,m_end,"&gt;"&amp;600))))))</f>
        <v/>
      </c>
      <c r="AZ6" s="82" t="str">
        <f aca="false">IF(OR(AZ$4="",MONTH(($G$2+21))&lt;&gt;MONTH($C$2)),"",IF(COUNTIFS(m_teacher,AZ$4,m_date,($G$2+21),m_active,1,m_start,"&lt;"&amp;660,m_end,"&gt;"&amp;600)=0,"",IF(COUNTIFS(m_teacher,AZ$4,m_date,($G$2+21),m_active,1,m_start,"&lt;"&amp;660,m_end,"&gt;"&amp;600)&gt;1,"충돌",HYPERLINK("#'관리자_MASTER'!D"&amp;_xlfn.MAXIFS(m_row,m_teacher,AZ$4,m_date,($G$2+21),m_active,1,m_start,"&lt;"&amp;660,m_end,"&gt;"&amp;600),INDEX(m_label,_xlfn.MAXIFS(m_row,m_teacher,AZ$4,m_date,($G$2+21),m_active,1,m_start,"&lt;"&amp;660,m_end,"&gt;"&amp;600))))))</f>
        <v/>
      </c>
      <c r="BA6" s="82" t="str">
        <f aca="false">IF(OR(BA$4="",MONTH(($G$2+21))&lt;&gt;MONTH($C$2)),"",IF(COUNTIFS(m_teacher,BA$4,m_date,($G$2+21),m_active,1,m_start,"&lt;"&amp;660,m_end,"&gt;"&amp;600)=0,"",IF(COUNTIFS(m_teacher,BA$4,m_date,($G$2+21),m_active,1,m_start,"&lt;"&amp;660,m_end,"&gt;"&amp;600)&gt;1,"충돌",HYPERLINK("#'관리자_MASTER'!D"&amp;_xlfn.MAXIFS(m_row,m_teacher,BA$4,m_date,($G$2+21),m_active,1,m_start,"&lt;"&amp;660,m_end,"&gt;"&amp;600),INDEX(m_label,_xlfn.MAXIFS(m_row,m_teacher,BA$4,m_date,($G$2+21),m_active,1,m_start,"&lt;"&amp;660,m_end,"&gt;"&amp;600))))))</f>
        <v/>
      </c>
      <c r="BB6" s="82" t="str">
        <f aca="false">IF(OR(BB$4="",MONTH(($G$2+21))&lt;&gt;MONTH($C$2)),"",IF(COUNTIFS(m_teacher,BB$4,m_date,($G$2+21),m_active,1,m_start,"&lt;"&amp;660,m_end,"&gt;"&amp;600)=0,"",IF(COUNTIFS(m_teacher,BB$4,m_date,($G$2+21),m_active,1,m_start,"&lt;"&amp;660,m_end,"&gt;"&amp;600)&gt;1,"충돌",HYPERLINK("#'관리자_MASTER'!D"&amp;_xlfn.MAXIFS(m_row,m_teacher,BB$4,m_date,($G$2+21),m_active,1,m_start,"&lt;"&amp;660,m_end,"&gt;"&amp;600),INDEX(m_label,_xlfn.MAXIFS(m_row,m_teacher,BB$4,m_date,($G$2+21),m_active,1,m_start,"&lt;"&amp;660,m_end,"&gt;"&amp;600))))))</f>
        <v/>
      </c>
      <c r="BC6" s="82" t="str">
        <f aca="false">IF(OR(BC$4="",MONTH(($G$2+21))&lt;&gt;MONTH($C$2)),"",IF(COUNTIFS(m_teacher,BC$4,m_date,($G$2+21),m_active,1,m_start,"&lt;"&amp;660,m_end,"&gt;"&amp;600)=0,"",IF(COUNTIFS(m_teacher,BC$4,m_date,($G$2+21),m_active,1,m_start,"&lt;"&amp;660,m_end,"&gt;"&amp;600)&gt;1,"충돌",HYPERLINK("#'관리자_MASTER'!D"&amp;_xlfn.MAXIFS(m_row,m_teacher,BC$4,m_date,($G$2+21),m_active,1,m_start,"&lt;"&amp;660,m_end,"&gt;"&amp;600),INDEX(m_label,_xlfn.MAXIFS(m_row,m_teacher,BC$4,m_date,($G$2+21),m_active,1,m_start,"&lt;"&amp;660,m_end,"&gt;"&amp;600))))))</f>
        <v/>
      </c>
      <c r="BD6" s="82" t="str">
        <f aca="false">IF(OR(BD$4="",MONTH(($G$2+21))&lt;&gt;MONTH($C$2)),"",IF(COUNTIFS(m_teacher,BD$4,m_date,($G$2+21),m_active,1,m_start,"&lt;"&amp;660,m_end,"&gt;"&amp;600)=0,"",IF(COUNTIFS(m_teacher,BD$4,m_date,($G$2+21),m_active,1,m_start,"&lt;"&amp;660,m_end,"&gt;"&amp;600)&gt;1,"충돌",HYPERLINK("#'관리자_MASTER'!D"&amp;_xlfn.MAXIFS(m_row,m_teacher,BD$4,m_date,($G$2+21),m_active,1,m_start,"&lt;"&amp;660,m_end,"&gt;"&amp;600),INDEX(m_label,_xlfn.MAXIFS(m_row,m_teacher,BD$4,m_date,($G$2+21),m_active,1,m_start,"&lt;"&amp;660,m_end,"&gt;"&amp;600))))))</f>
        <v/>
      </c>
    </row>
    <row r="7" customFormat="false" ht="19.5" hidden="false" customHeight="true" outlineLevel="0" collapsed="false">
      <c r="A7" s="78"/>
      <c r="B7" s="79" t="s">
        <v>93</v>
      </c>
      <c r="C7" s="82" t="str">
        <f aca="false">IF(OR(C$4="",MONTH(($G$2+0))&lt;&gt;MONTH($C$2)),"",IF(COUNTIFS(m_teacher,C$4,m_date,($G$2+0),m_active,1,m_start,"&lt;"&amp;720,m_end,"&gt;"&amp;660)=0,"",IF(COUNTIFS(m_teacher,C$4,m_date,($G$2+0),m_active,1,m_start,"&lt;"&amp;720,m_end,"&gt;"&amp;660)&gt;1,"충돌",HYPERLINK("#'관리자_MASTER'!D"&amp;_xlfn.MAXIFS(m_row,m_teacher,C$4,m_date,($G$2+0),m_active,1,m_start,"&lt;"&amp;720,m_end,"&gt;"&amp;660),INDEX(m_label,_xlfn.MAXIFS(m_row,m_teacher,C$4,m_date,($G$2+0),m_active,1,m_start,"&lt;"&amp;720,m_end,"&gt;"&amp;660))))))</f>
        <v/>
      </c>
      <c r="D7" s="82" t="str">
        <f aca="false">IF(OR(D$4="",MONTH(($G$2+0))&lt;&gt;MONTH($C$2)),"",IF(COUNTIFS(m_teacher,D$4,m_date,($G$2+0),m_active,1,m_start,"&lt;"&amp;720,m_end,"&gt;"&amp;660)=0,"",IF(COUNTIFS(m_teacher,D$4,m_date,($G$2+0),m_active,1,m_start,"&lt;"&amp;720,m_end,"&gt;"&amp;660)&gt;1,"충돌",HYPERLINK("#'관리자_MASTER'!D"&amp;_xlfn.MAXIFS(m_row,m_teacher,D$4,m_date,($G$2+0),m_active,1,m_start,"&lt;"&amp;720,m_end,"&gt;"&amp;660),INDEX(m_label,_xlfn.MAXIFS(m_row,m_teacher,D$4,m_date,($G$2+0),m_active,1,m_start,"&lt;"&amp;720,m_end,"&gt;"&amp;660))))))</f>
        <v/>
      </c>
      <c r="E7" s="82" t="str">
        <f aca="false">IF(OR(E$4="",MONTH(($G$2+0))&lt;&gt;MONTH($C$2)),"",IF(COUNTIFS(m_teacher,E$4,m_date,($G$2+0),m_active,1,m_start,"&lt;"&amp;720,m_end,"&gt;"&amp;660)=0,"",IF(COUNTIFS(m_teacher,E$4,m_date,($G$2+0),m_active,1,m_start,"&lt;"&amp;720,m_end,"&gt;"&amp;660)&gt;1,"충돌",HYPERLINK("#'관리자_MASTER'!D"&amp;_xlfn.MAXIFS(m_row,m_teacher,E$4,m_date,($G$2+0),m_active,1,m_start,"&lt;"&amp;720,m_end,"&gt;"&amp;660),INDEX(m_label,_xlfn.MAXIFS(m_row,m_teacher,E$4,m_date,($G$2+0),m_active,1,m_start,"&lt;"&amp;720,m_end,"&gt;"&amp;660))))))</f>
        <v/>
      </c>
      <c r="F7" s="82" t="str">
        <f aca="false">IF(OR(F$4="",MONTH(($G$2+0))&lt;&gt;MONTH($C$2)),"",IF(COUNTIFS(m_teacher,F$4,m_date,($G$2+0),m_active,1,m_start,"&lt;"&amp;720,m_end,"&gt;"&amp;660)=0,"",IF(COUNTIFS(m_teacher,F$4,m_date,($G$2+0),m_active,1,m_start,"&lt;"&amp;720,m_end,"&gt;"&amp;660)&gt;1,"충돌",HYPERLINK("#'관리자_MASTER'!D"&amp;_xlfn.MAXIFS(m_row,m_teacher,F$4,m_date,($G$2+0),m_active,1,m_start,"&lt;"&amp;720,m_end,"&gt;"&amp;660),INDEX(m_label,_xlfn.MAXIFS(m_row,m_teacher,F$4,m_date,($G$2+0),m_active,1,m_start,"&lt;"&amp;720,m_end,"&gt;"&amp;660))))))</f>
        <v/>
      </c>
      <c r="G7" s="82" t="str">
        <f aca="false">IF(OR(G$4="",MONTH(($G$2+0))&lt;&gt;MONTH($C$2)),"",IF(COUNTIFS(m_teacher,G$4,m_date,($G$2+0),m_active,1,m_start,"&lt;"&amp;720,m_end,"&gt;"&amp;660)=0,"",IF(COUNTIFS(m_teacher,G$4,m_date,($G$2+0),m_active,1,m_start,"&lt;"&amp;720,m_end,"&gt;"&amp;660)&gt;1,"충돌",HYPERLINK("#'관리자_MASTER'!D"&amp;_xlfn.MAXIFS(m_row,m_teacher,G$4,m_date,($G$2+0),m_active,1,m_start,"&lt;"&amp;720,m_end,"&gt;"&amp;660),INDEX(m_label,_xlfn.MAXIFS(m_row,m_teacher,G$4,m_date,($G$2+0),m_active,1,m_start,"&lt;"&amp;720,m_end,"&gt;"&amp;660))))))</f>
        <v/>
      </c>
      <c r="H7" s="82" t="str">
        <f aca="false">IF(OR(H$4="",MONTH(($G$2+0))&lt;&gt;MONTH($C$2)),"",IF(COUNTIFS(m_teacher,H$4,m_date,($G$2+0),m_active,1,m_start,"&lt;"&amp;720,m_end,"&gt;"&amp;660)=0,"",IF(COUNTIFS(m_teacher,H$4,m_date,($G$2+0),m_active,1,m_start,"&lt;"&amp;720,m_end,"&gt;"&amp;660)&gt;1,"충돌",HYPERLINK("#'관리자_MASTER'!D"&amp;_xlfn.MAXIFS(m_row,m_teacher,H$4,m_date,($G$2+0),m_active,1,m_start,"&lt;"&amp;720,m_end,"&gt;"&amp;660),INDEX(m_label,_xlfn.MAXIFS(m_row,m_teacher,H$4,m_date,($G$2+0),m_active,1,m_start,"&lt;"&amp;720,m_end,"&gt;"&amp;660))))))</f>
        <v/>
      </c>
      <c r="I7" s="82" t="str">
        <f aca="false">IF(OR(I$4="",MONTH(($G$2+0))&lt;&gt;MONTH($C$2)),"",IF(COUNTIFS(m_teacher,I$4,m_date,($G$2+0),m_active,1,m_start,"&lt;"&amp;720,m_end,"&gt;"&amp;660)=0,"",IF(COUNTIFS(m_teacher,I$4,m_date,($G$2+0),m_active,1,m_start,"&lt;"&amp;720,m_end,"&gt;"&amp;660)&gt;1,"충돌",HYPERLINK("#'관리자_MASTER'!D"&amp;_xlfn.MAXIFS(m_row,m_teacher,I$4,m_date,($G$2+0),m_active,1,m_start,"&lt;"&amp;720,m_end,"&gt;"&amp;660),INDEX(m_label,_xlfn.MAXIFS(m_row,m_teacher,I$4,m_date,($G$2+0),m_active,1,m_start,"&lt;"&amp;720,m_end,"&gt;"&amp;660))))))</f>
        <v/>
      </c>
      <c r="J7" s="82" t="str">
        <f aca="false">IF(OR(J$4="",MONTH(($G$2+0))&lt;&gt;MONTH($C$2)),"",IF(COUNTIFS(m_teacher,J$4,m_date,($G$2+0),m_active,1,m_start,"&lt;"&amp;720,m_end,"&gt;"&amp;660)=0,"",IF(COUNTIFS(m_teacher,J$4,m_date,($G$2+0),m_active,1,m_start,"&lt;"&amp;720,m_end,"&gt;"&amp;660)&gt;1,"충돌",HYPERLINK("#'관리자_MASTER'!D"&amp;_xlfn.MAXIFS(m_row,m_teacher,J$4,m_date,($G$2+0),m_active,1,m_start,"&lt;"&amp;720,m_end,"&gt;"&amp;660),INDEX(m_label,_xlfn.MAXIFS(m_row,m_teacher,J$4,m_date,($G$2+0),m_active,1,m_start,"&lt;"&amp;720,m_end,"&gt;"&amp;660))))))</f>
        <v/>
      </c>
      <c r="K7" s="82" t="str">
        <f aca="false">IF(OR(K$4="",MONTH(($G$2+0))&lt;&gt;MONTH($C$2)),"",IF(COUNTIFS(m_teacher,K$4,m_date,($G$2+0),m_active,1,m_start,"&lt;"&amp;720,m_end,"&gt;"&amp;660)=0,"",IF(COUNTIFS(m_teacher,K$4,m_date,($G$2+0),m_active,1,m_start,"&lt;"&amp;720,m_end,"&gt;"&amp;660)&gt;1,"충돌",HYPERLINK("#'관리자_MASTER'!D"&amp;_xlfn.MAXIFS(m_row,m_teacher,K$4,m_date,($G$2+0),m_active,1,m_start,"&lt;"&amp;720,m_end,"&gt;"&amp;660),INDEX(m_label,_xlfn.MAXIFS(m_row,m_teacher,K$4,m_date,($G$2+0),m_active,1,m_start,"&lt;"&amp;720,m_end,"&gt;"&amp;660))))))</f>
        <v/>
      </c>
      <c r="L7" s="82" t="str">
        <f aca="false">IF(OR(L$4="",MONTH(($G$2+0))&lt;&gt;MONTH($C$2)),"",IF(COUNTIFS(m_teacher,L$4,m_date,($G$2+0),m_active,1,m_start,"&lt;"&amp;720,m_end,"&gt;"&amp;660)=0,"",IF(COUNTIFS(m_teacher,L$4,m_date,($G$2+0),m_active,1,m_start,"&lt;"&amp;720,m_end,"&gt;"&amp;660)&gt;1,"충돌",HYPERLINK("#'관리자_MASTER'!D"&amp;_xlfn.MAXIFS(m_row,m_teacher,L$4,m_date,($G$2+0),m_active,1,m_start,"&lt;"&amp;720,m_end,"&gt;"&amp;660),INDEX(m_label,_xlfn.MAXIFS(m_row,m_teacher,L$4,m_date,($G$2+0),m_active,1,m_start,"&lt;"&amp;720,m_end,"&gt;"&amp;660))))))</f>
        <v/>
      </c>
      <c r="M7" s="82" t="str">
        <f aca="false">IF(OR(M$4="",MONTH(($G$2+0))&lt;&gt;MONTH($C$2)),"",IF(COUNTIFS(m_teacher,M$4,m_date,($G$2+0),m_active,1,m_start,"&lt;"&amp;720,m_end,"&gt;"&amp;660)=0,"",IF(COUNTIFS(m_teacher,M$4,m_date,($G$2+0),m_active,1,m_start,"&lt;"&amp;720,m_end,"&gt;"&amp;660)&gt;1,"충돌",HYPERLINK("#'관리자_MASTER'!D"&amp;_xlfn.MAXIFS(m_row,m_teacher,M$4,m_date,($G$2+0),m_active,1,m_start,"&lt;"&amp;720,m_end,"&gt;"&amp;660),INDEX(m_label,_xlfn.MAXIFS(m_row,m_teacher,M$4,m_date,($G$2+0),m_active,1,m_start,"&lt;"&amp;720,m_end,"&gt;"&amp;660))))))</f>
        <v/>
      </c>
      <c r="N7" s="82" t="str">
        <f aca="false">IF(OR(N$4="",MONTH(($G$2+0))&lt;&gt;MONTH($C$2)),"",IF(COUNTIFS(m_teacher,N$4,m_date,($G$2+0),m_active,1,m_start,"&lt;"&amp;720,m_end,"&gt;"&amp;660)=0,"",IF(COUNTIFS(m_teacher,N$4,m_date,($G$2+0),m_active,1,m_start,"&lt;"&amp;720,m_end,"&gt;"&amp;660)&gt;1,"충돌",HYPERLINK("#'관리자_MASTER'!D"&amp;_xlfn.MAXIFS(m_row,m_teacher,N$4,m_date,($G$2+0),m_active,1,m_start,"&lt;"&amp;720,m_end,"&gt;"&amp;660),INDEX(m_label,_xlfn.MAXIFS(m_row,m_teacher,N$4,m_date,($G$2+0),m_active,1,m_start,"&lt;"&amp;720,m_end,"&gt;"&amp;660))))))</f>
        <v/>
      </c>
      <c r="O7" s="78"/>
      <c r="P7" s="79" t="s">
        <v>93</v>
      </c>
      <c r="Q7" s="82" t="str">
        <f aca="false">IF(OR(Q$4="",MONTH(($G$2+7))&lt;&gt;MONTH($C$2)),"",IF(COUNTIFS(m_teacher,Q$4,m_date,($G$2+7),m_active,1,m_start,"&lt;"&amp;720,m_end,"&gt;"&amp;660)=0,"",IF(COUNTIFS(m_teacher,Q$4,m_date,($G$2+7),m_active,1,m_start,"&lt;"&amp;720,m_end,"&gt;"&amp;660)&gt;1,"충돌",HYPERLINK("#'관리자_MASTER'!D"&amp;_xlfn.MAXIFS(m_row,m_teacher,Q$4,m_date,($G$2+7),m_active,1,m_start,"&lt;"&amp;720,m_end,"&gt;"&amp;660),INDEX(m_label,_xlfn.MAXIFS(m_row,m_teacher,Q$4,m_date,($G$2+7),m_active,1,m_start,"&lt;"&amp;720,m_end,"&gt;"&amp;660))))))</f>
        <v/>
      </c>
      <c r="R7" s="82" t="str">
        <f aca="false">IF(OR(R$4="",MONTH(($G$2+7))&lt;&gt;MONTH($C$2)),"",IF(COUNTIFS(m_teacher,R$4,m_date,($G$2+7),m_active,1,m_start,"&lt;"&amp;720,m_end,"&gt;"&amp;660)=0,"",IF(COUNTIFS(m_teacher,R$4,m_date,($G$2+7),m_active,1,m_start,"&lt;"&amp;720,m_end,"&gt;"&amp;660)&gt;1,"충돌",HYPERLINK("#'관리자_MASTER'!D"&amp;_xlfn.MAXIFS(m_row,m_teacher,R$4,m_date,($G$2+7),m_active,1,m_start,"&lt;"&amp;720,m_end,"&gt;"&amp;660),INDEX(m_label,_xlfn.MAXIFS(m_row,m_teacher,R$4,m_date,($G$2+7),m_active,1,m_start,"&lt;"&amp;720,m_end,"&gt;"&amp;660))))))</f>
        <v/>
      </c>
      <c r="S7" s="82" t="str">
        <f aca="false">IF(OR(S$4="",MONTH(($G$2+7))&lt;&gt;MONTH($C$2)),"",IF(COUNTIFS(m_teacher,S$4,m_date,($G$2+7),m_active,1,m_start,"&lt;"&amp;720,m_end,"&gt;"&amp;660)=0,"",IF(COUNTIFS(m_teacher,S$4,m_date,($G$2+7),m_active,1,m_start,"&lt;"&amp;720,m_end,"&gt;"&amp;660)&gt;1,"충돌",HYPERLINK("#'관리자_MASTER'!D"&amp;_xlfn.MAXIFS(m_row,m_teacher,S$4,m_date,($G$2+7),m_active,1,m_start,"&lt;"&amp;720,m_end,"&gt;"&amp;660),INDEX(m_label,_xlfn.MAXIFS(m_row,m_teacher,S$4,m_date,($G$2+7),m_active,1,m_start,"&lt;"&amp;720,m_end,"&gt;"&amp;660))))))</f>
        <v/>
      </c>
      <c r="T7" s="82" t="str">
        <f aca="false">IF(OR(T$4="",MONTH(($G$2+7))&lt;&gt;MONTH($C$2)),"",IF(COUNTIFS(m_teacher,T$4,m_date,($G$2+7),m_active,1,m_start,"&lt;"&amp;720,m_end,"&gt;"&amp;660)=0,"",IF(COUNTIFS(m_teacher,T$4,m_date,($G$2+7),m_active,1,m_start,"&lt;"&amp;720,m_end,"&gt;"&amp;660)&gt;1,"충돌",HYPERLINK("#'관리자_MASTER'!D"&amp;_xlfn.MAXIFS(m_row,m_teacher,T$4,m_date,($G$2+7),m_active,1,m_start,"&lt;"&amp;720,m_end,"&gt;"&amp;660),INDEX(m_label,_xlfn.MAXIFS(m_row,m_teacher,T$4,m_date,($G$2+7),m_active,1,m_start,"&lt;"&amp;720,m_end,"&gt;"&amp;660))))))</f>
        <v/>
      </c>
      <c r="U7" s="82" t="str">
        <f aca="false">IF(OR(U$4="",MONTH(($G$2+7))&lt;&gt;MONTH($C$2)),"",IF(COUNTIFS(m_teacher,U$4,m_date,($G$2+7),m_active,1,m_start,"&lt;"&amp;720,m_end,"&gt;"&amp;660)=0,"",IF(COUNTIFS(m_teacher,U$4,m_date,($G$2+7),m_active,1,m_start,"&lt;"&amp;720,m_end,"&gt;"&amp;660)&gt;1,"충돌",HYPERLINK("#'관리자_MASTER'!D"&amp;_xlfn.MAXIFS(m_row,m_teacher,U$4,m_date,($G$2+7),m_active,1,m_start,"&lt;"&amp;720,m_end,"&gt;"&amp;660),INDEX(m_label,_xlfn.MAXIFS(m_row,m_teacher,U$4,m_date,($G$2+7),m_active,1,m_start,"&lt;"&amp;720,m_end,"&gt;"&amp;660))))))</f>
        <v/>
      </c>
      <c r="V7" s="82" t="str">
        <f aca="false">IF(OR(V$4="",MONTH(($G$2+7))&lt;&gt;MONTH($C$2)),"",IF(COUNTIFS(m_teacher,V$4,m_date,($G$2+7),m_active,1,m_start,"&lt;"&amp;720,m_end,"&gt;"&amp;660)=0,"",IF(COUNTIFS(m_teacher,V$4,m_date,($G$2+7),m_active,1,m_start,"&lt;"&amp;720,m_end,"&gt;"&amp;660)&gt;1,"충돌",HYPERLINK("#'관리자_MASTER'!D"&amp;_xlfn.MAXIFS(m_row,m_teacher,V$4,m_date,($G$2+7),m_active,1,m_start,"&lt;"&amp;720,m_end,"&gt;"&amp;660),INDEX(m_label,_xlfn.MAXIFS(m_row,m_teacher,V$4,m_date,($G$2+7),m_active,1,m_start,"&lt;"&amp;720,m_end,"&gt;"&amp;660))))))</f>
        <v/>
      </c>
      <c r="W7" s="82" t="str">
        <f aca="false">IF(OR(W$4="",MONTH(($G$2+7))&lt;&gt;MONTH($C$2)),"",IF(COUNTIFS(m_teacher,W$4,m_date,($G$2+7),m_active,1,m_start,"&lt;"&amp;720,m_end,"&gt;"&amp;660)=0,"",IF(COUNTIFS(m_teacher,W$4,m_date,($G$2+7),m_active,1,m_start,"&lt;"&amp;720,m_end,"&gt;"&amp;660)&gt;1,"충돌",HYPERLINK("#'관리자_MASTER'!D"&amp;_xlfn.MAXIFS(m_row,m_teacher,W$4,m_date,($G$2+7),m_active,1,m_start,"&lt;"&amp;720,m_end,"&gt;"&amp;660),INDEX(m_label,_xlfn.MAXIFS(m_row,m_teacher,W$4,m_date,($G$2+7),m_active,1,m_start,"&lt;"&amp;720,m_end,"&gt;"&amp;660))))))</f>
        <v/>
      </c>
      <c r="X7" s="82" t="str">
        <f aca="false">IF(OR(X$4="",MONTH(($G$2+7))&lt;&gt;MONTH($C$2)),"",IF(COUNTIFS(m_teacher,X$4,m_date,($G$2+7),m_active,1,m_start,"&lt;"&amp;720,m_end,"&gt;"&amp;660)=0,"",IF(COUNTIFS(m_teacher,X$4,m_date,($G$2+7),m_active,1,m_start,"&lt;"&amp;720,m_end,"&gt;"&amp;660)&gt;1,"충돌",HYPERLINK("#'관리자_MASTER'!D"&amp;_xlfn.MAXIFS(m_row,m_teacher,X$4,m_date,($G$2+7),m_active,1,m_start,"&lt;"&amp;720,m_end,"&gt;"&amp;660),INDEX(m_label,_xlfn.MAXIFS(m_row,m_teacher,X$4,m_date,($G$2+7),m_active,1,m_start,"&lt;"&amp;720,m_end,"&gt;"&amp;660))))))</f>
        <v/>
      </c>
      <c r="Y7" s="82" t="str">
        <f aca="false">IF(OR(Y$4="",MONTH(($G$2+7))&lt;&gt;MONTH($C$2)),"",IF(COUNTIFS(m_teacher,Y$4,m_date,($G$2+7),m_active,1,m_start,"&lt;"&amp;720,m_end,"&gt;"&amp;660)=0,"",IF(COUNTIFS(m_teacher,Y$4,m_date,($G$2+7),m_active,1,m_start,"&lt;"&amp;720,m_end,"&gt;"&amp;660)&gt;1,"충돌",HYPERLINK("#'관리자_MASTER'!D"&amp;_xlfn.MAXIFS(m_row,m_teacher,Y$4,m_date,($G$2+7),m_active,1,m_start,"&lt;"&amp;720,m_end,"&gt;"&amp;660),INDEX(m_label,_xlfn.MAXIFS(m_row,m_teacher,Y$4,m_date,($G$2+7),m_active,1,m_start,"&lt;"&amp;720,m_end,"&gt;"&amp;660))))))</f>
        <v/>
      </c>
      <c r="Z7" s="82" t="str">
        <f aca="false">IF(OR(Z$4="",MONTH(($G$2+7))&lt;&gt;MONTH($C$2)),"",IF(COUNTIFS(m_teacher,Z$4,m_date,($G$2+7),m_active,1,m_start,"&lt;"&amp;720,m_end,"&gt;"&amp;660)=0,"",IF(COUNTIFS(m_teacher,Z$4,m_date,($G$2+7),m_active,1,m_start,"&lt;"&amp;720,m_end,"&gt;"&amp;660)&gt;1,"충돌",HYPERLINK("#'관리자_MASTER'!D"&amp;_xlfn.MAXIFS(m_row,m_teacher,Z$4,m_date,($G$2+7),m_active,1,m_start,"&lt;"&amp;720,m_end,"&gt;"&amp;660),INDEX(m_label,_xlfn.MAXIFS(m_row,m_teacher,Z$4,m_date,($G$2+7),m_active,1,m_start,"&lt;"&amp;720,m_end,"&gt;"&amp;660))))))</f>
        <v/>
      </c>
      <c r="AA7" s="82" t="str">
        <f aca="false">IF(OR(AA$4="",MONTH(($G$2+7))&lt;&gt;MONTH($C$2)),"",IF(COUNTIFS(m_teacher,AA$4,m_date,($G$2+7),m_active,1,m_start,"&lt;"&amp;720,m_end,"&gt;"&amp;660)=0,"",IF(COUNTIFS(m_teacher,AA$4,m_date,($G$2+7),m_active,1,m_start,"&lt;"&amp;720,m_end,"&gt;"&amp;660)&gt;1,"충돌",HYPERLINK("#'관리자_MASTER'!D"&amp;_xlfn.MAXIFS(m_row,m_teacher,AA$4,m_date,($G$2+7),m_active,1,m_start,"&lt;"&amp;720,m_end,"&gt;"&amp;660),INDEX(m_label,_xlfn.MAXIFS(m_row,m_teacher,AA$4,m_date,($G$2+7),m_active,1,m_start,"&lt;"&amp;720,m_end,"&gt;"&amp;660))))))</f>
        <v/>
      </c>
      <c r="AB7" s="82" t="str">
        <f aca="false">IF(OR(AB$4="",MONTH(($G$2+7))&lt;&gt;MONTH($C$2)),"",IF(COUNTIFS(m_teacher,AB$4,m_date,($G$2+7),m_active,1,m_start,"&lt;"&amp;720,m_end,"&gt;"&amp;660)=0,"",IF(COUNTIFS(m_teacher,AB$4,m_date,($G$2+7),m_active,1,m_start,"&lt;"&amp;720,m_end,"&gt;"&amp;660)&gt;1,"충돌",HYPERLINK("#'관리자_MASTER'!D"&amp;_xlfn.MAXIFS(m_row,m_teacher,AB$4,m_date,($G$2+7),m_active,1,m_start,"&lt;"&amp;720,m_end,"&gt;"&amp;660),INDEX(m_label,_xlfn.MAXIFS(m_row,m_teacher,AB$4,m_date,($G$2+7),m_active,1,m_start,"&lt;"&amp;720,m_end,"&gt;"&amp;660))))))</f>
        <v/>
      </c>
      <c r="AC7" s="78"/>
      <c r="AD7" s="79" t="s">
        <v>93</v>
      </c>
      <c r="AE7" s="82" t="str">
        <f aca="false">IF(OR(AE$4="",MONTH(($G$2+14))&lt;&gt;MONTH($C$2)),"",IF(COUNTIFS(m_teacher,AE$4,m_date,($G$2+14),m_active,1,m_start,"&lt;"&amp;720,m_end,"&gt;"&amp;660)=0,"",IF(COUNTIFS(m_teacher,AE$4,m_date,($G$2+14),m_active,1,m_start,"&lt;"&amp;720,m_end,"&gt;"&amp;660)&gt;1,"충돌",HYPERLINK("#'관리자_MASTER'!D"&amp;_xlfn.MAXIFS(m_row,m_teacher,AE$4,m_date,($G$2+14),m_active,1,m_start,"&lt;"&amp;720,m_end,"&gt;"&amp;660),INDEX(m_label,_xlfn.MAXIFS(m_row,m_teacher,AE$4,m_date,($G$2+14),m_active,1,m_start,"&lt;"&amp;720,m_end,"&gt;"&amp;660))))))</f>
        <v/>
      </c>
      <c r="AF7" s="82" t="str">
        <f aca="false">IF(OR(AF$4="",MONTH(($G$2+14))&lt;&gt;MONTH($C$2)),"",IF(COUNTIFS(m_teacher,AF$4,m_date,($G$2+14),m_active,1,m_start,"&lt;"&amp;720,m_end,"&gt;"&amp;660)=0,"",IF(COUNTIFS(m_teacher,AF$4,m_date,($G$2+14),m_active,1,m_start,"&lt;"&amp;720,m_end,"&gt;"&amp;660)&gt;1,"충돌",HYPERLINK("#'관리자_MASTER'!D"&amp;_xlfn.MAXIFS(m_row,m_teacher,AF$4,m_date,($G$2+14),m_active,1,m_start,"&lt;"&amp;720,m_end,"&gt;"&amp;660),INDEX(m_label,_xlfn.MAXIFS(m_row,m_teacher,AF$4,m_date,($G$2+14),m_active,1,m_start,"&lt;"&amp;720,m_end,"&gt;"&amp;660))))))</f>
        <v/>
      </c>
      <c r="AG7" s="82" t="str">
        <f aca="false">IF(OR(AG$4="",MONTH(($G$2+14))&lt;&gt;MONTH($C$2)),"",IF(COUNTIFS(m_teacher,AG$4,m_date,($G$2+14),m_active,1,m_start,"&lt;"&amp;720,m_end,"&gt;"&amp;660)=0,"",IF(COUNTIFS(m_teacher,AG$4,m_date,($G$2+14),m_active,1,m_start,"&lt;"&amp;720,m_end,"&gt;"&amp;660)&gt;1,"충돌",HYPERLINK("#'관리자_MASTER'!D"&amp;_xlfn.MAXIFS(m_row,m_teacher,AG$4,m_date,($G$2+14),m_active,1,m_start,"&lt;"&amp;720,m_end,"&gt;"&amp;660),INDEX(m_label,_xlfn.MAXIFS(m_row,m_teacher,AG$4,m_date,($G$2+14),m_active,1,m_start,"&lt;"&amp;720,m_end,"&gt;"&amp;660))))))</f>
        <v/>
      </c>
      <c r="AH7" s="82" t="str">
        <f aca="false">IF(OR(AH$4="",MONTH(($G$2+14))&lt;&gt;MONTH($C$2)),"",IF(COUNTIFS(m_teacher,AH$4,m_date,($G$2+14),m_active,1,m_start,"&lt;"&amp;720,m_end,"&gt;"&amp;660)=0,"",IF(COUNTIFS(m_teacher,AH$4,m_date,($G$2+14),m_active,1,m_start,"&lt;"&amp;720,m_end,"&gt;"&amp;660)&gt;1,"충돌",HYPERLINK("#'관리자_MASTER'!D"&amp;_xlfn.MAXIFS(m_row,m_teacher,AH$4,m_date,($G$2+14),m_active,1,m_start,"&lt;"&amp;720,m_end,"&gt;"&amp;660),INDEX(m_label,_xlfn.MAXIFS(m_row,m_teacher,AH$4,m_date,($G$2+14),m_active,1,m_start,"&lt;"&amp;720,m_end,"&gt;"&amp;660))))))</f>
        <v/>
      </c>
      <c r="AI7" s="82" t="str">
        <f aca="false">IF(OR(AI$4="",MONTH(($G$2+14))&lt;&gt;MONTH($C$2)),"",IF(COUNTIFS(m_teacher,AI$4,m_date,($G$2+14),m_active,1,m_start,"&lt;"&amp;720,m_end,"&gt;"&amp;660)=0,"",IF(COUNTIFS(m_teacher,AI$4,m_date,($G$2+14),m_active,1,m_start,"&lt;"&amp;720,m_end,"&gt;"&amp;660)&gt;1,"충돌",HYPERLINK("#'관리자_MASTER'!D"&amp;_xlfn.MAXIFS(m_row,m_teacher,AI$4,m_date,($G$2+14),m_active,1,m_start,"&lt;"&amp;720,m_end,"&gt;"&amp;660),INDEX(m_label,_xlfn.MAXIFS(m_row,m_teacher,AI$4,m_date,($G$2+14),m_active,1,m_start,"&lt;"&amp;720,m_end,"&gt;"&amp;660))))))</f>
        <v/>
      </c>
      <c r="AJ7" s="82" t="str">
        <f aca="false">IF(OR(AJ$4="",MONTH(($G$2+14))&lt;&gt;MONTH($C$2)),"",IF(COUNTIFS(m_teacher,AJ$4,m_date,($G$2+14),m_active,1,m_start,"&lt;"&amp;720,m_end,"&gt;"&amp;660)=0,"",IF(COUNTIFS(m_teacher,AJ$4,m_date,($G$2+14),m_active,1,m_start,"&lt;"&amp;720,m_end,"&gt;"&amp;660)&gt;1,"충돌",HYPERLINK("#'관리자_MASTER'!D"&amp;_xlfn.MAXIFS(m_row,m_teacher,AJ$4,m_date,($G$2+14),m_active,1,m_start,"&lt;"&amp;720,m_end,"&gt;"&amp;660),INDEX(m_label,_xlfn.MAXIFS(m_row,m_teacher,AJ$4,m_date,($G$2+14),m_active,1,m_start,"&lt;"&amp;720,m_end,"&gt;"&amp;660))))))</f>
        <v/>
      </c>
      <c r="AK7" s="82" t="str">
        <f aca="false">IF(OR(AK$4="",MONTH(($G$2+14))&lt;&gt;MONTH($C$2)),"",IF(COUNTIFS(m_teacher,AK$4,m_date,($G$2+14),m_active,1,m_start,"&lt;"&amp;720,m_end,"&gt;"&amp;660)=0,"",IF(COUNTIFS(m_teacher,AK$4,m_date,($G$2+14),m_active,1,m_start,"&lt;"&amp;720,m_end,"&gt;"&amp;660)&gt;1,"충돌",HYPERLINK("#'관리자_MASTER'!D"&amp;_xlfn.MAXIFS(m_row,m_teacher,AK$4,m_date,($G$2+14),m_active,1,m_start,"&lt;"&amp;720,m_end,"&gt;"&amp;660),INDEX(m_label,_xlfn.MAXIFS(m_row,m_teacher,AK$4,m_date,($G$2+14),m_active,1,m_start,"&lt;"&amp;720,m_end,"&gt;"&amp;660))))))</f>
        <v/>
      </c>
      <c r="AL7" s="82" t="str">
        <f aca="false">IF(OR(AL$4="",MONTH(($G$2+14))&lt;&gt;MONTH($C$2)),"",IF(COUNTIFS(m_teacher,AL$4,m_date,($G$2+14),m_active,1,m_start,"&lt;"&amp;720,m_end,"&gt;"&amp;660)=0,"",IF(COUNTIFS(m_teacher,AL$4,m_date,($G$2+14),m_active,1,m_start,"&lt;"&amp;720,m_end,"&gt;"&amp;660)&gt;1,"충돌",HYPERLINK("#'관리자_MASTER'!D"&amp;_xlfn.MAXIFS(m_row,m_teacher,AL$4,m_date,($G$2+14),m_active,1,m_start,"&lt;"&amp;720,m_end,"&gt;"&amp;660),INDEX(m_label,_xlfn.MAXIFS(m_row,m_teacher,AL$4,m_date,($G$2+14),m_active,1,m_start,"&lt;"&amp;720,m_end,"&gt;"&amp;660))))))</f>
        <v/>
      </c>
      <c r="AM7" s="82" t="str">
        <f aca="false">IF(OR(AM$4="",MONTH(($G$2+14))&lt;&gt;MONTH($C$2)),"",IF(COUNTIFS(m_teacher,AM$4,m_date,($G$2+14),m_active,1,m_start,"&lt;"&amp;720,m_end,"&gt;"&amp;660)=0,"",IF(COUNTIFS(m_teacher,AM$4,m_date,($G$2+14),m_active,1,m_start,"&lt;"&amp;720,m_end,"&gt;"&amp;660)&gt;1,"충돌",HYPERLINK("#'관리자_MASTER'!D"&amp;_xlfn.MAXIFS(m_row,m_teacher,AM$4,m_date,($G$2+14),m_active,1,m_start,"&lt;"&amp;720,m_end,"&gt;"&amp;660),INDEX(m_label,_xlfn.MAXIFS(m_row,m_teacher,AM$4,m_date,($G$2+14),m_active,1,m_start,"&lt;"&amp;720,m_end,"&gt;"&amp;660))))))</f>
        <v/>
      </c>
      <c r="AN7" s="82" t="str">
        <f aca="false">IF(OR(AN$4="",MONTH(($G$2+14))&lt;&gt;MONTH($C$2)),"",IF(COUNTIFS(m_teacher,AN$4,m_date,($G$2+14),m_active,1,m_start,"&lt;"&amp;720,m_end,"&gt;"&amp;660)=0,"",IF(COUNTIFS(m_teacher,AN$4,m_date,($G$2+14),m_active,1,m_start,"&lt;"&amp;720,m_end,"&gt;"&amp;660)&gt;1,"충돌",HYPERLINK("#'관리자_MASTER'!D"&amp;_xlfn.MAXIFS(m_row,m_teacher,AN$4,m_date,($G$2+14),m_active,1,m_start,"&lt;"&amp;720,m_end,"&gt;"&amp;660),INDEX(m_label,_xlfn.MAXIFS(m_row,m_teacher,AN$4,m_date,($G$2+14),m_active,1,m_start,"&lt;"&amp;720,m_end,"&gt;"&amp;660))))))</f>
        <v/>
      </c>
      <c r="AO7" s="82" t="str">
        <f aca="false">IF(OR(AO$4="",MONTH(($G$2+14))&lt;&gt;MONTH($C$2)),"",IF(COUNTIFS(m_teacher,AO$4,m_date,($G$2+14),m_active,1,m_start,"&lt;"&amp;720,m_end,"&gt;"&amp;660)=0,"",IF(COUNTIFS(m_teacher,AO$4,m_date,($G$2+14),m_active,1,m_start,"&lt;"&amp;720,m_end,"&gt;"&amp;660)&gt;1,"충돌",HYPERLINK("#'관리자_MASTER'!D"&amp;_xlfn.MAXIFS(m_row,m_teacher,AO$4,m_date,($G$2+14),m_active,1,m_start,"&lt;"&amp;720,m_end,"&gt;"&amp;660),INDEX(m_label,_xlfn.MAXIFS(m_row,m_teacher,AO$4,m_date,($G$2+14),m_active,1,m_start,"&lt;"&amp;720,m_end,"&gt;"&amp;660))))))</f>
        <v/>
      </c>
      <c r="AP7" s="82" t="str">
        <f aca="false">IF(OR(AP$4="",MONTH(($G$2+14))&lt;&gt;MONTH($C$2)),"",IF(COUNTIFS(m_teacher,AP$4,m_date,($G$2+14),m_active,1,m_start,"&lt;"&amp;720,m_end,"&gt;"&amp;660)=0,"",IF(COUNTIFS(m_teacher,AP$4,m_date,($G$2+14),m_active,1,m_start,"&lt;"&amp;720,m_end,"&gt;"&amp;660)&gt;1,"충돌",HYPERLINK("#'관리자_MASTER'!D"&amp;_xlfn.MAXIFS(m_row,m_teacher,AP$4,m_date,($G$2+14),m_active,1,m_start,"&lt;"&amp;720,m_end,"&gt;"&amp;660),INDEX(m_label,_xlfn.MAXIFS(m_row,m_teacher,AP$4,m_date,($G$2+14),m_active,1,m_start,"&lt;"&amp;720,m_end,"&gt;"&amp;660))))))</f>
        <v/>
      </c>
      <c r="AQ7" s="78"/>
      <c r="AR7" s="79" t="s">
        <v>93</v>
      </c>
      <c r="AS7" s="82" t="str">
        <f aca="false">IF(OR(AS$4="",MONTH(($G$2+21))&lt;&gt;MONTH($C$2)),"",IF(COUNTIFS(m_teacher,AS$4,m_date,($G$2+21),m_active,1,m_start,"&lt;"&amp;720,m_end,"&gt;"&amp;660)=0,"",IF(COUNTIFS(m_teacher,AS$4,m_date,($G$2+21),m_active,1,m_start,"&lt;"&amp;720,m_end,"&gt;"&amp;660)&gt;1,"충돌",HYPERLINK("#'관리자_MASTER'!D"&amp;_xlfn.MAXIFS(m_row,m_teacher,AS$4,m_date,($G$2+21),m_active,1,m_start,"&lt;"&amp;720,m_end,"&gt;"&amp;660),INDEX(m_label,_xlfn.MAXIFS(m_row,m_teacher,AS$4,m_date,($G$2+21),m_active,1,m_start,"&lt;"&amp;720,m_end,"&gt;"&amp;660))))))</f>
        <v/>
      </c>
      <c r="AT7" s="82" t="str">
        <f aca="false">IF(OR(AT$4="",MONTH(($G$2+21))&lt;&gt;MONTH($C$2)),"",IF(COUNTIFS(m_teacher,AT$4,m_date,($G$2+21),m_active,1,m_start,"&lt;"&amp;720,m_end,"&gt;"&amp;660)=0,"",IF(COUNTIFS(m_teacher,AT$4,m_date,($G$2+21),m_active,1,m_start,"&lt;"&amp;720,m_end,"&gt;"&amp;660)&gt;1,"충돌",HYPERLINK("#'관리자_MASTER'!D"&amp;_xlfn.MAXIFS(m_row,m_teacher,AT$4,m_date,($G$2+21),m_active,1,m_start,"&lt;"&amp;720,m_end,"&gt;"&amp;660),INDEX(m_label,_xlfn.MAXIFS(m_row,m_teacher,AT$4,m_date,($G$2+21),m_active,1,m_start,"&lt;"&amp;720,m_end,"&gt;"&amp;660))))))</f>
        <v/>
      </c>
      <c r="AU7" s="82" t="str">
        <f aca="false">IF(OR(AU$4="",MONTH(($G$2+21))&lt;&gt;MONTH($C$2)),"",IF(COUNTIFS(m_teacher,AU$4,m_date,($G$2+21),m_active,1,m_start,"&lt;"&amp;720,m_end,"&gt;"&amp;660)=0,"",IF(COUNTIFS(m_teacher,AU$4,m_date,($G$2+21),m_active,1,m_start,"&lt;"&amp;720,m_end,"&gt;"&amp;660)&gt;1,"충돌",HYPERLINK("#'관리자_MASTER'!D"&amp;_xlfn.MAXIFS(m_row,m_teacher,AU$4,m_date,($G$2+21),m_active,1,m_start,"&lt;"&amp;720,m_end,"&gt;"&amp;660),INDEX(m_label,_xlfn.MAXIFS(m_row,m_teacher,AU$4,m_date,($G$2+21),m_active,1,m_start,"&lt;"&amp;720,m_end,"&gt;"&amp;660))))))</f>
        <v/>
      </c>
      <c r="AV7" s="82" t="str">
        <f aca="false">IF(OR(AV$4="",MONTH(($G$2+21))&lt;&gt;MONTH($C$2)),"",IF(COUNTIFS(m_teacher,AV$4,m_date,($G$2+21),m_active,1,m_start,"&lt;"&amp;720,m_end,"&gt;"&amp;660)=0,"",IF(COUNTIFS(m_teacher,AV$4,m_date,($G$2+21),m_active,1,m_start,"&lt;"&amp;720,m_end,"&gt;"&amp;660)&gt;1,"충돌",HYPERLINK("#'관리자_MASTER'!D"&amp;_xlfn.MAXIFS(m_row,m_teacher,AV$4,m_date,($G$2+21),m_active,1,m_start,"&lt;"&amp;720,m_end,"&gt;"&amp;660),INDEX(m_label,_xlfn.MAXIFS(m_row,m_teacher,AV$4,m_date,($G$2+21),m_active,1,m_start,"&lt;"&amp;720,m_end,"&gt;"&amp;660))))))</f>
        <v/>
      </c>
      <c r="AW7" s="82" t="str">
        <f aca="false">IF(OR(AW$4="",MONTH(($G$2+21))&lt;&gt;MONTH($C$2)),"",IF(COUNTIFS(m_teacher,AW$4,m_date,($G$2+21),m_active,1,m_start,"&lt;"&amp;720,m_end,"&gt;"&amp;660)=0,"",IF(COUNTIFS(m_teacher,AW$4,m_date,($G$2+21),m_active,1,m_start,"&lt;"&amp;720,m_end,"&gt;"&amp;660)&gt;1,"충돌",HYPERLINK("#'관리자_MASTER'!D"&amp;_xlfn.MAXIFS(m_row,m_teacher,AW$4,m_date,($G$2+21),m_active,1,m_start,"&lt;"&amp;720,m_end,"&gt;"&amp;660),INDEX(m_label,_xlfn.MAXIFS(m_row,m_teacher,AW$4,m_date,($G$2+21),m_active,1,m_start,"&lt;"&amp;720,m_end,"&gt;"&amp;660))))))</f>
        <v/>
      </c>
      <c r="AX7" s="82" t="str">
        <f aca="false">IF(OR(AX$4="",MONTH(($G$2+21))&lt;&gt;MONTH($C$2)),"",IF(COUNTIFS(m_teacher,AX$4,m_date,($G$2+21),m_active,1,m_start,"&lt;"&amp;720,m_end,"&gt;"&amp;660)=0,"",IF(COUNTIFS(m_teacher,AX$4,m_date,($G$2+21),m_active,1,m_start,"&lt;"&amp;720,m_end,"&gt;"&amp;660)&gt;1,"충돌",HYPERLINK("#'관리자_MASTER'!D"&amp;_xlfn.MAXIFS(m_row,m_teacher,AX$4,m_date,($G$2+21),m_active,1,m_start,"&lt;"&amp;720,m_end,"&gt;"&amp;660),INDEX(m_label,_xlfn.MAXIFS(m_row,m_teacher,AX$4,m_date,($G$2+21),m_active,1,m_start,"&lt;"&amp;720,m_end,"&gt;"&amp;660))))))</f>
        <v/>
      </c>
      <c r="AY7" s="82" t="str">
        <f aca="false">IF(OR(AY$4="",MONTH(($G$2+21))&lt;&gt;MONTH($C$2)),"",IF(COUNTIFS(m_teacher,AY$4,m_date,($G$2+21),m_active,1,m_start,"&lt;"&amp;720,m_end,"&gt;"&amp;660)=0,"",IF(COUNTIFS(m_teacher,AY$4,m_date,($G$2+21),m_active,1,m_start,"&lt;"&amp;720,m_end,"&gt;"&amp;660)&gt;1,"충돌",HYPERLINK("#'관리자_MASTER'!D"&amp;_xlfn.MAXIFS(m_row,m_teacher,AY$4,m_date,($G$2+21),m_active,1,m_start,"&lt;"&amp;720,m_end,"&gt;"&amp;660),INDEX(m_label,_xlfn.MAXIFS(m_row,m_teacher,AY$4,m_date,($G$2+21),m_active,1,m_start,"&lt;"&amp;720,m_end,"&gt;"&amp;660))))))</f>
        <v/>
      </c>
      <c r="AZ7" s="82" t="str">
        <f aca="false">IF(OR(AZ$4="",MONTH(($G$2+21))&lt;&gt;MONTH($C$2)),"",IF(COUNTIFS(m_teacher,AZ$4,m_date,($G$2+21),m_active,1,m_start,"&lt;"&amp;720,m_end,"&gt;"&amp;660)=0,"",IF(COUNTIFS(m_teacher,AZ$4,m_date,($G$2+21),m_active,1,m_start,"&lt;"&amp;720,m_end,"&gt;"&amp;660)&gt;1,"충돌",HYPERLINK("#'관리자_MASTER'!D"&amp;_xlfn.MAXIFS(m_row,m_teacher,AZ$4,m_date,($G$2+21),m_active,1,m_start,"&lt;"&amp;720,m_end,"&gt;"&amp;660),INDEX(m_label,_xlfn.MAXIFS(m_row,m_teacher,AZ$4,m_date,($G$2+21),m_active,1,m_start,"&lt;"&amp;720,m_end,"&gt;"&amp;660))))))</f>
        <v/>
      </c>
      <c r="BA7" s="82" t="str">
        <f aca="false">IF(OR(BA$4="",MONTH(($G$2+21))&lt;&gt;MONTH($C$2)),"",IF(COUNTIFS(m_teacher,BA$4,m_date,($G$2+21),m_active,1,m_start,"&lt;"&amp;720,m_end,"&gt;"&amp;660)=0,"",IF(COUNTIFS(m_teacher,BA$4,m_date,($G$2+21),m_active,1,m_start,"&lt;"&amp;720,m_end,"&gt;"&amp;660)&gt;1,"충돌",HYPERLINK("#'관리자_MASTER'!D"&amp;_xlfn.MAXIFS(m_row,m_teacher,BA$4,m_date,($G$2+21),m_active,1,m_start,"&lt;"&amp;720,m_end,"&gt;"&amp;660),INDEX(m_label,_xlfn.MAXIFS(m_row,m_teacher,BA$4,m_date,($G$2+21),m_active,1,m_start,"&lt;"&amp;720,m_end,"&gt;"&amp;660))))))</f>
        <v/>
      </c>
      <c r="BB7" s="82" t="str">
        <f aca="false">IF(OR(BB$4="",MONTH(($G$2+21))&lt;&gt;MONTH($C$2)),"",IF(COUNTIFS(m_teacher,BB$4,m_date,($G$2+21),m_active,1,m_start,"&lt;"&amp;720,m_end,"&gt;"&amp;660)=0,"",IF(COUNTIFS(m_teacher,BB$4,m_date,($G$2+21),m_active,1,m_start,"&lt;"&amp;720,m_end,"&gt;"&amp;660)&gt;1,"충돌",HYPERLINK("#'관리자_MASTER'!D"&amp;_xlfn.MAXIFS(m_row,m_teacher,BB$4,m_date,($G$2+21),m_active,1,m_start,"&lt;"&amp;720,m_end,"&gt;"&amp;660),INDEX(m_label,_xlfn.MAXIFS(m_row,m_teacher,BB$4,m_date,($G$2+21),m_active,1,m_start,"&lt;"&amp;720,m_end,"&gt;"&amp;660))))))</f>
        <v/>
      </c>
      <c r="BC7" s="82" t="str">
        <f aca="false">IF(OR(BC$4="",MONTH(($G$2+21))&lt;&gt;MONTH($C$2)),"",IF(COUNTIFS(m_teacher,BC$4,m_date,($G$2+21),m_active,1,m_start,"&lt;"&amp;720,m_end,"&gt;"&amp;660)=0,"",IF(COUNTIFS(m_teacher,BC$4,m_date,($G$2+21),m_active,1,m_start,"&lt;"&amp;720,m_end,"&gt;"&amp;660)&gt;1,"충돌",HYPERLINK("#'관리자_MASTER'!D"&amp;_xlfn.MAXIFS(m_row,m_teacher,BC$4,m_date,($G$2+21),m_active,1,m_start,"&lt;"&amp;720,m_end,"&gt;"&amp;660),INDEX(m_label,_xlfn.MAXIFS(m_row,m_teacher,BC$4,m_date,($G$2+21),m_active,1,m_start,"&lt;"&amp;720,m_end,"&gt;"&amp;660))))))</f>
        <v/>
      </c>
      <c r="BD7" s="82" t="str">
        <f aca="false">IF(OR(BD$4="",MONTH(($G$2+21))&lt;&gt;MONTH($C$2)),"",IF(COUNTIFS(m_teacher,BD$4,m_date,($G$2+21),m_active,1,m_start,"&lt;"&amp;720,m_end,"&gt;"&amp;660)=0,"",IF(COUNTIFS(m_teacher,BD$4,m_date,($G$2+21),m_active,1,m_start,"&lt;"&amp;720,m_end,"&gt;"&amp;660)&gt;1,"충돌",HYPERLINK("#'관리자_MASTER'!D"&amp;_xlfn.MAXIFS(m_row,m_teacher,BD$4,m_date,($G$2+21),m_active,1,m_start,"&lt;"&amp;720,m_end,"&gt;"&amp;660),INDEX(m_label,_xlfn.MAXIFS(m_row,m_teacher,BD$4,m_date,($G$2+21),m_active,1,m_start,"&lt;"&amp;720,m_end,"&gt;"&amp;660))))))</f>
        <v/>
      </c>
    </row>
    <row r="8" customFormat="false" ht="19.5" hidden="false" customHeight="true" outlineLevel="0" collapsed="false">
      <c r="A8" s="78"/>
      <c r="B8" s="79" t="s">
        <v>94</v>
      </c>
      <c r="C8" s="82" t="str">
        <f aca="false">IF(OR(C$4="",MONTH(($G$2+0))&lt;&gt;MONTH($C$2)),"",IF(COUNTIFS(m_teacher,C$4,m_date,($G$2+0),m_active,1,m_start,"&lt;"&amp;780,m_end,"&gt;"&amp;720)=0,"",IF(COUNTIFS(m_teacher,C$4,m_date,($G$2+0),m_active,1,m_start,"&lt;"&amp;780,m_end,"&gt;"&amp;720)&gt;1,"충돌",HYPERLINK("#'관리자_MASTER'!D"&amp;_xlfn.MAXIFS(m_row,m_teacher,C$4,m_date,($G$2+0),m_active,1,m_start,"&lt;"&amp;780,m_end,"&gt;"&amp;720),INDEX(m_label,_xlfn.MAXIFS(m_row,m_teacher,C$4,m_date,($G$2+0),m_active,1,m_start,"&lt;"&amp;780,m_end,"&gt;"&amp;720))))))</f>
        <v/>
      </c>
      <c r="D8" s="82" t="str">
        <f aca="false">IF(OR(D$4="",MONTH(($G$2+0))&lt;&gt;MONTH($C$2)),"",IF(COUNTIFS(m_teacher,D$4,m_date,($G$2+0),m_active,1,m_start,"&lt;"&amp;780,m_end,"&gt;"&amp;720)=0,"",IF(COUNTIFS(m_teacher,D$4,m_date,($G$2+0),m_active,1,m_start,"&lt;"&amp;780,m_end,"&gt;"&amp;720)&gt;1,"충돌",HYPERLINK("#'관리자_MASTER'!D"&amp;_xlfn.MAXIFS(m_row,m_teacher,D$4,m_date,($G$2+0),m_active,1,m_start,"&lt;"&amp;780,m_end,"&gt;"&amp;720),INDEX(m_label,_xlfn.MAXIFS(m_row,m_teacher,D$4,m_date,($G$2+0),m_active,1,m_start,"&lt;"&amp;780,m_end,"&gt;"&amp;720))))))</f>
        <v/>
      </c>
      <c r="E8" s="82" t="str">
        <f aca="false">IF(OR(E$4="",MONTH(($G$2+0))&lt;&gt;MONTH($C$2)),"",IF(COUNTIFS(m_teacher,E$4,m_date,($G$2+0),m_active,1,m_start,"&lt;"&amp;780,m_end,"&gt;"&amp;720)=0,"",IF(COUNTIFS(m_teacher,E$4,m_date,($G$2+0),m_active,1,m_start,"&lt;"&amp;780,m_end,"&gt;"&amp;720)&gt;1,"충돌",HYPERLINK("#'관리자_MASTER'!D"&amp;_xlfn.MAXIFS(m_row,m_teacher,E$4,m_date,($G$2+0),m_active,1,m_start,"&lt;"&amp;780,m_end,"&gt;"&amp;720),INDEX(m_label,_xlfn.MAXIFS(m_row,m_teacher,E$4,m_date,($G$2+0),m_active,1,m_start,"&lt;"&amp;780,m_end,"&gt;"&amp;720))))))</f>
        <v/>
      </c>
      <c r="F8" s="82" t="str">
        <f aca="false">IF(OR(F$4="",MONTH(($G$2+0))&lt;&gt;MONTH($C$2)),"",IF(COUNTIFS(m_teacher,F$4,m_date,($G$2+0),m_active,1,m_start,"&lt;"&amp;780,m_end,"&gt;"&amp;720)=0,"",IF(COUNTIFS(m_teacher,F$4,m_date,($G$2+0),m_active,1,m_start,"&lt;"&amp;780,m_end,"&gt;"&amp;720)&gt;1,"충돌",HYPERLINK("#'관리자_MASTER'!D"&amp;_xlfn.MAXIFS(m_row,m_teacher,F$4,m_date,($G$2+0),m_active,1,m_start,"&lt;"&amp;780,m_end,"&gt;"&amp;720),INDEX(m_label,_xlfn.MAXIFS(m_row,m_teacher,F$4,m_date,($G$2+0),m_active,1,m_start,"&lt;"&amp;780,m_end,"&gt;"&amp;720))))))</f>
        <v/>
      </c>
      <c r="G8" s="82" t="str">
        <f aca="false">IF(OR(G$4="",MONTH(($G$2+0))&lt;&gt;MONTH($C$2)),"",IF(COUNTIFS(m_teacher,G$4,m_date,($G$2+0),m_active,1,m_start,"&lt;"&amp;780,m_end,"&gt;"&amp;720)=0,"",IF(COUNTIFS(m_teacher,G$4,m_date,($G$2+0),m_active,1,m_start,"&lt;"&amp;780,m_end,"&gt;"&amp;720)&gt;1,"충돌",HYPERLINK("#'관리자_MASTER'!D"&amp;_xlfn.MAXIFS(m_row,m_teacher,G$4,m_date,($G$2+0),m_active,1,m_start,"&lt;"&amp;780,m_end,"&gt;"&amp;720),INDEX(m_label,_xlfn.MAXIFS(m_row,m_teacher,G$4,m_date,($G$2+0),m_active,1,m_start,"&lt;"&amp;780,m_end,"&gt;"&amp;720))))))</f>
        <v/>
      </c>
      <c r="H8" s="82" t="str">
        <f aca="false">IF(OR(H$4="",MONTH(($G$2+0))&lt;&gt;MONTH($C$2)),"",IF(COUNTIFS(m_teacher,H$4,m_date,($G$2+0),m_active,1,m_start,"&lt;"&amp;780,m_end,"&gt;"&amp;720)=0,"",IF(COUNTIFS(m_teacher,H$4,m_date,($G$2+0),m_active,1,m_start,"&lt;"&amp;780,m_end,"&gt;"&amp;720)&gt;1,"충돌",HYPERLINK("#'관리자_MASTER'!D"&amp;_xlfn.MAXIFS(m_row,m_teacher,H$4,m_date,($G$2+0),m_active,1,m_start,"&lt;"&amp;780,m_end,"&gt;"&amp;720),INDEX(m_label,_xlfn.MAXIFS(m_row,m_teacher,H$4,m_date,($G$2+0),m_active,1,m_start,"&lt;"&amp;780,m_end,"&gt;"&amp;720))))))</f>
        <v/>
      </c>
      <c r="I8" s="82" t="str">
        <f aca="false">IF(OR(I$4="",MONTH(($G$2+0))&lt;&gt;MONTH($C$2)),"",IF(COUNTIFS(m_teacher,I$4,m_date,($G$2+0),m_active,1,m_start,"&lt;"&amp;780,m_end,"&gt;"&amp;720)=0,"",IF(COUNTIFS(m_teacher,I$4,m_date,($G$2+0),m_active,1,m_start,"&lt;"&amp;780,m_end,"&gt;"&amp;720)&gt;1,"충돌",HYPERLINK("#'관리자_MASTER'!D"&amp;_xlfn.MAXIFS(m_row,m_teacher,I$4,m_date,($G$2+0),m_active,1,m_start,"&lt;"&amp;780,m_end,"&gt;"&amp;720),INDEX(m_label,_xlfn.MAXIFS(m_row,m_teacher,I$4,m_date,($G$2+0),m_active,1,m_start,"&lt;"&amp;780,m_end,"&gt;"&amp;720))))))</f>
        <v/>
      </c>
      <c r="J8" s="82" t="str">
        <f aca="false">IF(OR(J$4="",MONTH(($G$2+0))&lt;&gt;MONTH($C$2)),"",IF(COUNTIFS(m_teacher,J$4,m_date,($G$2+0),m_active,1,m_start,"&lt;"&amp;780,m_end,"&gt;"&amp;720)=0,"",IF(COUNTIFS(m_teacher,J$4,m_date,($G$2+0),m_active,1,m_start,"&lt;"&amp;780,m_end,"&gt;"&amp;720)&gt;1,"충돌",HYPERLINK("#'관리자_MASTER'!D"&amp;_xlfn.MAXIFS(m_row,m_teacher,J$4,m_date,($G$2+0),m_active,1,m_start,"&lt;"&amp;780,m_end,"&gt;"&amp;720),INDEX(m_label,_xlfn.MAXIFS(m_row,m_teacher,J$4,m_date,($G$2+0),m_active,1,m_start,"&lt;"&amp;780,m_end,"&gt;"&amp;720))))))</f>
        <v/>
      </c>
      <c r="K8" s="82" t="str">
        <f aca="false">IF(OR(K$4="",MONTH(($G$2+0))&lt;&gt;MONTH($C$2)),"",IF(COUNTIFS(m_teacher,K$4,m_date,($G$2+0),m_active,1,m_start,"&lt;"&amp;780,m_end,"&gt;"&amp;720)=0,"",IF(COUNTIFS(m_teacher,K$4,m_date,($G$2+0),m_active,1,m_start,"&lt;"&amp;780,m_end,"&gt;"&amp;720)&gt;1,"충돌",HYPERLINK("#'관리자_MASTER'!D"&amp;_xlfn.MAXIFS(m_row,m_teacher,K$4,m_date,($G$2+0),m_active,1,m_start,"&lt;"&amp;780,m_end,"&gt;"&amp;720),INDEX(m_label,_xlfn.MAXIFS(m_row,m_teacher,K$4,m_date,($G$2+0),m_active,1,m_start,"&lt;"&amp;780,m_end,"&gt;"&amp;720))))))</f>
        <v/>
      </c>
      <c r="L8" s="82" t="str">
        <f aca="false">IF(OR(L$4="",MONTH(($G$2+0))&lt;&gt;MONTH($C$2)),"",IF(COUNTIFS(m_teacher,L$4,m_date,($G$2+0),m_active,1,m_start,"&lt;"&amp;780,m_end,"&gt;"&amp;720)=0,"",IF(COUNTIFS(m_teacher,L$4,m_date,($G$2+0),m_active,1,m_start,"&lt;"&amp;780,m_end,"&gt;"&amp;720)&gt;1,"충돌",HYPERLINK("#'관리자_MASTER'!D"&amp;_xlfn.MAXIFS(m_row,m_teacher,L$4,m_date,($G$2+0),m_active,1,m_start,"&lt;"&amp;780,m_end,"&gt;"&amp;720),INDEX(m_label,_xlfn.MAXIFS(m_row,m_teacher,L$4,m_date,($G$2+0),m_active,1,m_start,"&lt;"&amp;780,m_end,"&gt;"&amp;720))))))</f>
        <v/>
      </c>
      <c r="M8" s="82" t="str">
        <f aca="false">IF(OR(M$4="",MONTH(($G$2+0))&lt;&gt;MONTH($C$2)),"",IF(COUNTIFS(m_teacher,M$4,m_date,($G$2+0),m_active,1,m_start,"&lt;"&amp;780,m_end,"&gt;"&amp;720)=0,"",IF(COUNTIFS(m_teacher,M$4,m_date,($G$2+0),m_active,1,m_start,"&lt;"&amp;780,m_end,"&gt;"&amp;720)&gt;1,"충돌",HYPERLINK("#'관리자_MASTER'!D"&amp;_xlfn.MAXIFS(m_row,m_teacher,M$4,m_date,($G$2+0),m_active,1,m_start,"&lt;"&amp;780,m_end,"&gt;"&amp;720),INDEX(m_label,_xlfn.MAXIFS(m_row,m_teacher,M$4,m_date,($G$2+0),m_active,1,m_start,"&lt;"&amp;780,m_end,"&gt;"&amp;720))))))</f>
        <v/>
      </c>
      <c r="N8" s="82" t="str">
        <f aca="false">IF(OR(N$4="",MONTH(($G$2+0))&lt;&gt;MONTH($C$2)),"",IF(COUNTIFS(m_teacher,N$4,m_date,($G$2+0),m_active,1,m_start,"&lt;"&amp;780,m_end,"&gt;"&amp;720)=0,"",IF(COUNTIFS(m_teacher,N$4,m_date,($G$2+0),m_active,1,m_start,"&lt;"&amp;780,m_end,"&gt;"&amp;720)&gt;1,"충돌",HYPERLINK("#'관리자_MASTER'!D"&amp;_xlfn.MAXIFS(m_row,m_teacher,N$4,m_date,($G$2+0),m_active,1,m_start,"&lt;"&amp;780,m_end,"&gt;"&amp;720),INDEX(m_label,_xlfn.MAXIFS(m_row,m_teacher,N$4,m_date,($G$2+0),m_active,1,m_start,"&lt;"&amp;780,m_end,"&gt;"&amp;720))))))</f>
        <v/>
      </c>
      <c r="O8" s="78"/>
      <c r="P8" s="79" t="s">
        <v>94</v>
      </c>
      <c r="Q8" s="82" t="str">
        <f aca="false">IF(OR(Q$4="",MONTH(($G$2+7))&lt;&gt;MONTH($C$2)),"",IF(COUNTIFS(m_teacher,Q$4,m_date,($G$2+7),m_active,1,m_start,"&lt;"&amp;780,m_end,"&gt;"&amp;720)=0,"",IF(COUNTIFS(m_teacher,Q$4,m_date,($G$2+7),m_active,1,m_start,"&lt;"&amp;780,m_end,"&gt;"&amp;720)&gt;1,"충돌",HYPERLINK("#'관리자_MASTER'!D"&amp;_xlfn.MAXIFS(m_row,m_teacher,Q$4,m_date,($G$2+7),m_active,1,m_start,"&lt;"&amp;780,m_end,"&gt;"&amp;720),INDEX(m_label,_xlfn.MAXIFS(m_row,m_teacher,Q$4,m_date,($G$2+7),m_active,1,m_start,"&lt;"&amp;780,m_end,"&gt;"&amp;720))))))</f>
        <v/>
      </c>
      <c r="R8" s="82" t="str">
        <f aca="false">IF(OR(R$4="",MONTH(($G$2+7))&lt;&gt;MONTH($C$2)),"",IF(COUNTIFS(m_teacher,R$4,m_date,($G$2+7),m_active,1,m_start,"&lt;"&amp;780,m_end,"&gt;"&amp;720)=0,"",IF(COUNTIFS(m_teacher,R$4,m_date,($G$2+7),m_active,1,m_start,"&lt;"&amp;780,m_end,"&gt;"&amp;720)&gt;1,"충돌",HYPERLINK("#'관리자_MASTER'!D"&amp;_xlfn.MAXIFS(m_row,m_teacher,R$4,m_date,($G$2+7),m_active,1,m_start,"&lt;"&amp;780,m_end,"&gt;"&amp;720),INDEX(m_label,_xlfn.MAXIFS(m_row,m_teacher,R$4,m_date,($G$2+7),m_active,1,m_start,"&lt;"&amp;780,m_end,"&gt;"&amp;720))))))</f>
        <v/>
      </c>
      <c r="S8" s="82" t="str">
        <f aca="false">IF(OR(S$4="",MONTH(($G$2+7))&lt;&gt;MONTH($C$2)),"",IF(COUNTIFS(m_teacher,S$4,m_date,($G$2+7),m_active,1,m_start,"&lt;"&amp;780,m_end,"&gt;"&amp;720)=0,"",IF(COUNTIFS(m_teacher,S$4,m_date,($G$2+7),m_active,1,m_start,"&lt;"&amp;780,m_end,"&gt;"&amp;720)&gt;1,"충돌",HYPERLINK("#'관리자_MASTER'!D"&amp;_xlfn.MAXIFS(m_row,m_teacher,S$4,m_date,($G$2+7),m_active,1,m_start,"&lt;"&amp;780,m_end,"&gt;"&amp;720),INDEX(m_label,_xlfn.MAXIFS(m_row,m_teacher,S$4,m_date,($G$2+7),m_active,1,m_start,"&lt;"&amp;780,m_end,"&gt;"&amp;720))))))</f>
        <v/>
      </c>
      <c r="T8" s="82" t="str">
        <f aca="false">IF(OR(T$4="",MONTH(($G$2+7))&lt;&gt;MONTH($C$2)),"",IF(COUNTIFS(m_teacher,T$4,m_date,($G$2+7),m_active,1,m_start,"&lt;"&amp;780,m_end,"&gt;"&amp;720)=0,"",IF(COUNTIFS(m_teacher,T$4,m_date,($G$2+7),m_active,1,m_start,"&lt;"&amp;780,m_end,"&gt;"&amp;720)&gt;1,"충돌",HYPERLINK("#'관리자_MASTER'!D"&amp;_xlfn.MAXIFS(m_row,m_teacher,T$4,m_date,($G$2+7),m_active,1,m_start,"&lt;"&amp;780,m_end,"&gt;"&amp;720),INDEX(m_label,_xlfn.MAXIFS(m_row,m_teacher,T$4,m_date,($G$2+7),m_active,1,m_start,"&lt;"&amp;780,m_end,"&gt;"&amp;720))))))</f>
        <v/>
      </c>
      <c r="U8" s="82" t="str">
        <f aca="false">IF(OR(U$4="",MONTH(($G$2+7))&lt;&gt;MONTH($C$2)),"",IF(COUNTIFS(m_teacher,U$4,m_date,($G$2+7),m_active,1,m_start,"&lt;"&amp;780,m_end,"&gt;"&amp;720)=0,"",IF(COUNTIFS(m_teacher,U$4,m_date,($G$2+7),m_active,1,m_start,"&lt;"&amp;780,m_end,"&gt;"&amp;720)&gt;1,"충돌",HYPERLINK("#'관리자_MASTER'!D"&amp;_xlfn.MAXIFS(m_row,m_teacher,U$4,m_date,($G$2+7),m_active,1,m_start,"&lt;"&amp;780,m_end,"&gt;"&amp;720),INDEX(m_label,_xlfn.MAXIFS(m_row,m_teacher,U$4,m_date,($G$2+7),m_active,1,m_start,"&lt;"&amp;780,m_end,"&gt;"&amp;720))))))</f>
        <v/>
      </c>
      <c r="V8" s="82" t="str">
        <f aca="false">IF(OR(V$4="",MONTH(($G$2+7))&lt;&gt;MONTH($C$2)),"",IF(COUNTIFS(m_teacher,V$4,m_date,($G$2+7),m_active,1,m_start,"&lt;"&amp;780,m_end,"&gt;"&amp;720)=0,"",IF(COUNTIFS(m_teacher,V$4,m_date,($G$2+7),m_active,1,m_start,"&lt;"&amp;780,m_end,"&gt;"&amp;720)&gt;1,"충돌",HYPERLINK("#'관리자_MASTER'!D"&amp;_xlfn.MAXIFS(m_row,m_teacher,V$4,m_date,($G$2+7),m_active,1,m_start,"&lt;"&amp;780,m_end,"&gt;"&amp;720),INDEX(m_label,_xlfn.MAXIFS(m_row,m_teacher,V$4,m_date,($G$2+7),m_active,1,m_start,"&lt;"&amp;780,m_end,"&gt;"&amp;720))))))</f>
        <v/>
      </c>
      <c r="W8" s="82" t="str">
        <f aca="false">IF(OR(W$4="",MONTH(($G$2+7))&lt;&gt;MONTH($C$2)),"",IF(COUNTIFS(m_teacher,W$4,m_date,($G$2+7),m_active,1,m_start,"&lt;"&amp;780,m_end,"&gt;"&amp;720)=0,"",IF(COUNTIFS(m_teacher,W$4,m_date,($G$2+7),m_active,1,m_start,"&lt;"&amp;780,m_end,"&gt;"&amp;720)&gt;1,"충돌",HYPERLINK("#'관리자_MASTER'!D"&amp;_xlfn.MAXIFS(m_row,m_teacher,W$4,m_date,($G$2+7),m_active,1,m_start,"&lt;"&amp;780,m_end,"&gt;"&amp;720),INDEX(m_label,_xlfn.MAXIFS(m_row,m_teacher,W$4,m_date,($G$2+7),m_active,1,m_start,"&lt;"&amp;780,m_end,"&gt;"&amp;720))))))</f>
        <v/>
      </c>
      <c r="X8" s="82" t="str">
        <f aca="false">IF(OR(X$4="",MONTH(($G$2+7))&lt;&gt;MONTH($C$2)),"",IF(COUNTIFS(m_teacher,X$4,m_date,($G$2+7),m_active,1,m_start,"&lt;"&amp;780,m_end,"&gt;"&amp;720)=0,"",IF(COUNTIFS(m_teacher,X$4,m_date,($G$2+7),m_active,1,m_start,"&lt;"&amp;780,m_end,"&gt;"&amp;720)&gt;1,"충돌",HYPERLINK("#'관리자_MASTER'!D"&amp;_xlfn.MAXIFS(m_row,m_teacher,X$4,m_date,($G$2+7),m_active,1,m_start,"&lt;"&amp;780,m_end,"&gt;"&amp;720),INDEX(m_label,_xlfn.MAXIFS(m_row,m_teacher,X$4,m_date,($G$2+7),m_active,1,m_start,"&lt;"&amp;780,m_end,"&gt;"&amp;720))))))</f>
        <v/>
      </c>
      <c r="Y8" s="82" t="str">
        <f aca="false">IF(OR(Y$4="",MONTH(($G$2+7))&lt;&gt;MONTH($C$2)),"",IF(COUNTIFS(m_teacher,Y$4,m_date,($G$2+7),m_active,1,m_start,"&lt;"&amp;780,m_end,"&gt;"&amp;720)=0,"",IF(COUNTIFS(m_teacher,Y$4,m_date,($G$2+7),m_active,1,m_start,"&lt;"&amp;780,m_end,"&gt;"&amp;720)&gt;1,"충돌",HYPERLINK("#'관리자_MASTER'!D"&amp;_xlfn.MAXIFS(m_row,m_teacher,Y$4,m_date,($G$2+7),m_active,1,m_start,"&lt;"&amp;780,m_end,"&gt;"&amp;720),INDEX(m_label,_xlfn.MAXIFS(m_row,m_teacher,Y$4,m_date,($G$2+7),m_active,1,m_start,"&lt;"&amp;780,m_end,"&gt;"&amp;720))))))</f>
        <v/>
      </c>
      <c r="Z8" s="82" t="str">
        <f aca="false">IF(OR(Z$4="",MONTH(($G$2+7))&lt;&gt;MONTH($C$2)),"",IF(COUNTIFS(m_teacher,Z$4,m_date,($G$2+7),m_active,1,m_start,"&lt;"&amp;780,m_end,"&gt;"&amp;720)=0,"",IF(COUNTIFS(m_teacher,Z$4,m_date,($G$2+7),m_active,1,m_start,"&lt;"&amp;780,m_end,"&gt;"&amp;720)&gt;1,"충돌",HYPERLINK("#'관리자_MASTER'!D"&amp;_xlfn.MAXIFS(m_row,m_teacher,Z$4,m_date,($G$2+7),m_active,1,m_start,"&lt;"&amp;780,m_end,"&gt;"&amp;720),INDEX(m_label,_xlfn.MAXIFS(m_row,m_teacher,Z$4,m_date,($G$2+7),m_active,1,m_start,"&lt;"&amp;780,m_end,"&gt;"&amp;720))))))</f>
        <v/>
      </c>
      <c r="AA8" s="82" t="str">
        <f aca="false">IF(OR(AA$4="",MONTH(($G$2+7))&lt;&gt;MONTH($C$2)),"",IF(COUNTIFS(m_teacher,AA$4,m_date,($G$2+7),m_active,1,m_start,"&lt;"&amp;780,m_end,"&gt;"&amp;720)=0,"",IF(COUNTIFS(m_teacher,AA$4,m_date,($G$2+7),m_active,1,m_start,"&lt;"&amp;780,m_end,"&gt;"&amp;720)&gt;1,"충돌",HYPERLINK("#'관리자_MASTER'!D"&amp;_xlfn.MAXIFS(m_row,m_teacher,AA$4,m_date,($G$2+7),m_active,1,m_start,"&lt;"&amp;780,m_end,"&gt;"&amp;720),INDEX(m_label,_xlfn.MAXIFS(m_row,m_teacher,AA$4,m_date,($G$2+7),m_active,1,m_start,"&lt;"&amp;780,m_end,"&gt;"&amp;720))))))</f>
        <v/>
      </c>
      <c r="AB8" s="82" t="str">
        <f aca="false">IF(OR(AB$4="",MONTH(($G$2+7))&lt;&gt;MONTH($C$2)),"",IF(COUNTIFS(m_teacher,AB$4,m_date,($G$2+7),m_active,1,m_start,"&lt;"&amp;780,m_end,"&gt;"&amp;720)=0,"",IF(COUNTIFS(m_teacher,AB$4,m_date,($G$2+7),m_active,1,m_start,"&lt;"&amp;780,m_end,"&gt;"&amp;720)&gt;1,"충돌",HYPERLINK("#'관리자_MASTER'!D"&amp;_xlfn.MAXIFS(m_row,m_teacher,AB$4,m_date,($G$2+7),m_active,1,m_start,"&lt;"&amp;780,m_end,"&gt;"&amp;720),INDEX(m_label,_xlfn.MAXIFS(m_row,m_teacher,AB$4,m_date,($G$2+7),m_active,1,m_start,"&lt;"&amp;780,m_end,"&gt;"&amp;720))))))</f>
        <v/>
      </c>
      <c r="AC8" s="78"/>
      <c r="AD8" s="79" t="s">
        <v>94</v>
      </c>
      <c r="AE8" s="82" t="str">
        <f aca="false">IF(OR(AE$4="",MONTH(($G$2+14))&lt;&gt;MONTH($C$2)),"",IF(COUNTIFS(m_teacher,AE$4,m_date,($G$2+14),m_active,1,m_start,"&lt;"&amp;780,m_end,"&gt;"&amp;720)=0,"",IF(COUNTIFS(m_teacher,AE$4,m_date,($G$2+14),m_active,1,m_start,"&lt;"&amp;780,m_end,"&gt;"&amp;720)&gt;1,"충돌",HYPERLINK("#'관리자_MASTER'!D"&amp;_xlfn.MAXIFS(m_row,m_teacher,AE$4,m_date,($G$2+14),m_active,1,m_start,"&lt;"&amp;780,m_end,"&gt;"&amp;720),INDEX(m_label,_xlfn.MAXIFS(m_row,m_teacher,AE$4,m_date,($G$2+14),m_active,1,m_start,"&lt;"&amp;780,m_end,"&gt;"&amp;720))))))</f>
        <v/>
      </c>
      <c r="AF8" s="82" t="str">
        <f aca="false">IF(OR(AF$4="",MONTH(($G$2+14))&lt;&gt;MONTH($C$2)),"",IF(COUNTIFS(m_teacher,AF$4,m_date,($G$2+14),m_active,1,m_start,"&lt;"&amp;780,m_end,"&gt;"&amp;720)=0,"",IF(COUNTIFS(m_teacher,AF$4,m_date,($G$2+14),m_active,1,m_start,"&lt;"&amp;780,m_end,"&gt;"&amp;720)&gt;1,"충돌",HYPERLINK("#'관리자_MASTER'!D"&amp;_xlfn.MAXIFS(m_row,m_teacher,AF$4,m_date,($G$2+14),m_active,1,m_start,"&lt;"&amp;780,m_end,"&gt;"&amp;720),INDEX(m_label,_xlfn.MAXIFS(m_row,m_teacher,AF$4,m_date,($G$2+14),m_active,1,m_start,"&lt;"&amp;780,m_end,"&gt;"&amp;720))))))</f>
        <v/>
      </c>
      <c r="AG8" s="82" t="str">
        <f aca="false">IF(OR(AG$4="",MONTH(($G$2+14))&lt;&gt;MONTH($C$2)),"",IF(COUNTIFS(m_teacher,AG$4,m_date,($G$2+14),m_active,1,m_start,"&lt;"&amp;780,m_end,"&gt;"&amp;720)=0,"",IF(COUNTIFS(m_teacher,AG$4,m_date,($G$2+14),m_active,1,m_start,"&lt;"&amp;780,m_end,"&gt;"&amp;720)&gt;1,"충돌",HYPERLINK("#'관리자_MASTER'!D"&amp;_xlfn.MAXIFS(m_row,m_teacher,AG$4,m_date,($G$2+14),m_active,1,m_start,"&lt;"&amp;780,m_end,"&gt;"&amp;720),INDEX(m_label,_xlfn.MAXIFS(m_row,m_teacher,AG$4,m_date,($G$2+14),m_active,1,m_start,"&lt;"&amp;780,m_end,"&gt;"&amp;720))))))</f>
        <v/>
      </c>
      <c r="AH8" s="82" t="str">
        <f aca="false">IF(OR(AH$4="",MONTH(($G$2+14))&lt;&gt;MONTH($C$2)),"",IF(COUNTIFS(m_teacher,AH$4,m_date,($G$2+14),m_active,1,m_start,"&lt;"&amp;780,m_end,"&gt;"&amp;720)=0,"",IF(COUNTIFS(m_teacher,AH$4,m_date,($G$2+14),m_active,1,m_start,"&lt;"&amp;780,m_end,"&gt;"&amp;720)&gt;1,"충돌",HYPERLINK("#'관리자_MASTER'!D"&amp;_xlfn.MAXIFS(m_row,m_teacher,AH$4,m_date,($G$2+14),m_active,1,m_start,"&lt;"&amp;780,m_end,"&gt;"&amp;720),INDEX(m_label,_xlfn.MAXIFS(m_row,m_teacher,AH$4,m_date,($G$2+14),m_active,1,m_start,"&lt;"&amp;780,m_end,"&gt;"&amp;720))))))</f>
        <v/>
      </c>
      <c r="AI8" s="82" t="str">
        <f aca="false">IF(OR(AI$4="",MONTH(($G$2+14))&lt;&gt;MONTH($C$2)),"",IF(COUNTIFS(m_teacher,AI$4,m_date,($G$2+14),m_active,1,m_start,"&lt;"&amp;780,m_end,"&gt;"&amp;720)=0,"",IF(COUNTIFS(m_teacher,AI$4,m_date,($G$2+14),m_active,1,m_start,"&lt;"&amp;780,m_end,"&gt;"&amp;720)&gt;1,"충돌",HYPERLINK("#'관리자_MASTER'!D"&amp;_xlfn.MAXIFS(m_row,m_teacher,AI$4,m_date,($G$2+14),m_active,1,m_start,"&lt;"&amp;780,m_end,"&gt;"&amp;720),INDEX(m_label,_xlfn.MAXIFS(m_row,m_teacher,AI$4,m_date,($G$2+14),m_active,1,m_start,"&lt;"&amp;780,m_end,"&gt;"&amp;720))))))</f>
        <v/>
      </c>
      <c r="AJ8" s="82" t="str">
        <f aca="false">IF(OR(AJ$4="",MONTH(($G$2+14))&lt;&gt;MONTH($C$2)),"",IF(COUNTIFS(m_teacher,AJ$4,m_date,($G$2+14),m_active,1,m_start,"&lt;"&amp;780,m_end,"&gt;"&amp;720)=0,"",IF(COUNTIFS(m_teacher,AJ$4,m_date,($G$2+14),m_active,1,m_start,"&lt;"&amp;780,m_end,"&gt;"&amp;720)&gt;1,"충돌",HYPERLINK("#'관리자_MASTER'!D"&amp;_xlfn.MAXIFS(m_row,m_teacher,AJ$4,m_date,($G$2+14),m_active,1,m_start,"&lt;"&amp;780,m_end,"&gt;"&amp;720),INDEX(m_label,_xlfn.MAXIFS(m_row,m_teacher,AJ$4,m_date,($G$2+14),m_active,1,m_start,"&lt;"&amp;780,m_end,"&gt;"&amp;720))))))</f>
        <v/>
      </c>
      <c r="AK8" s="82" t="str">
        <f aca="false">IF(OR(AK$4="",MONTH(($G$2+14))&lt;&gt;MONTH($C$2)),"",IF(COUNTIFS(m_teacher,AK$4,m_date,($G$2+14),m_active,1,m_start,"&lt;"&amp;780,m_end,"&gt;"&amp;720)=0,"",IF(COUNTIFS(m_teacher,AK$4,m_date,($G$2+14),m_active,1,m_start,"&lt;"&amp;780,m_end,"&gt;"&amp;720)&gt;1,"충돌",HYPERLINK("#'관리자_MASTER'!D"&amp;_xlfn.MAXIFS(m_row,m_teacher,AK$4,m_date,($G$2+14),m_active,1,m_start,"&lt;"&amp;780,m_end,"&gt;"&amp;720),INDEX(m_label,_xlfn.MAXIFS(m_row,m_teacher,AK$4,m_date,($G$2+14),m_active,1,m_start,"&lt;"&amp;780,m_end,"&gt;"&amp;720))))))</f>
        <v/>
      </c>
      <c r="AL8" s="82" t="str">
        <f aca="false">IF(OR(AL$4="",MONTH(($G$2+14))&lt;&gt;MONTH($C$2)),"",IF(COUNTIFS(m_teacher,AL$4,m_date,($G$2+14),m_active,1,m_start,"&lt;"&amp;780,m_end,"&gt;"&amp;720)=0,"",IF(COUNTIFS(m_teacher,AL$4,m_date,($G$2+14),m_active,1,m_start,"&lt;"&amp;780,m_end,"&gt;"&amp;720)&gt;1,"충돌",HYPERLINK("#'관리자_MASTER'!D"&amp;_xlfn.MAXIFS(m_row,m_teacher,AL$4,m_date,($G$2+14),m_active,1,m_start,"&lt;"&amp;780,m_end,"&gt;"&amp;720),INDEX(m_label,_xlfn.MAXIFS(m_row,m_teacher,AL$4,m_date,($G$2+14),m_active,1,m_start,"&lt;"&amp;780,m_end,"&gt;"&amp;720))))))</f>
        <v/>
      </c>
      <c r="AM8" s="82" t="str">
        <f aca="false">IF(OR(AM$4="",MONTH(($G$2+14))&lt;&gt;MONTH($C$2)),"",IF(COUNTIFS(m_teacher,AM$4,m_date,($G$2+14),m_active,1,m_start,"&lt;"&amp;780,m_end,"&gt;"&amp;720)=0,"",IF(COUNTIFS(m_teacher,AM$4,m_date,($G$2+14),m_active,1,m_start,"&lt;"&amp;780,m_end,"&gt;"&amp;720)&gt;1,"충돌",HYPERLINK("#'관리자_MASTER'!D"&amp;_xlfn.MAXIFS(m_row,m_teacher,AM$4,m_date,($G$2+14),m_active,1,m_start,"&lt;"&amp;780,m_end,"&gt;"&amp;720),INDEX(m_label,_xlfn.MAXIFS(m_row,m_teacher,AM$4,m_date,($G$2+14),m_active,1,m_start,"&lt;"&amp;780,m_end,"&gt;"&amp;720))))))</f>
        <v/>
      </c>
      <c r="AN8" s="82" t="str">
        <f aca="false">IF(OR(AN$4="",MONTH(($G$2+14))&lt;&gt;MONTH($C$2)),"",IF(COUNTIFS(m_teacher,AN$4,m_date,($G$2+14),m_active,1,m_start,"&lt;"&amp;780,m_end,"&gt;"&amp;720)=0,"",IF(COUNTIFS(m_teacher,AN$4,m_date,($G$2+14),m_active,1,m_start,"&lt;"&amp;780,m_end,"&gt;"&amp;720)&gt;1,"충돌",HYPERLINK("#'관리자_MASTER'!D"&amp;_xlfn.MAXIFS(m_row,m_teacher,AN$4,m_date,($G$2+14),m_active,1,m_start,"&lt;"&amp;780,m_end,"&gt;"&amp;720),INDEX(m_label,_xlfn.MAXIFS(m_row,m_teacher,AN$4,m_date,($G$2+14),m_active,1,m_start,"&lt;"&amp;780,m_end,"&gt;"&amp;720))))))</f>
        <v/>
      </c>
      <c r="AO8" s="82" t="str">
        <f aca="false">IF(OR(AO$4="",MONTH(($G$2+14))&lt;&gt;MONTH($C$2)),"",IF(COUNTIFS(m_teacher,AO$4,m_date,($G$2+14),m_active,1,m_start,"&lt;"&amp;780,m_end,"&gt;"&amp;720)=0,"",IF(COUNTIFS(m_teacher,AO$4,m_date,($G$2+14),m_active,1,m_start,"&lt;"&amp;780,m_end,"&gt;"&amp;720)&gt;1,"충돌",HYPERLINK("#'관리자_MASTER'!D"&amp;_xlfn.MAXIFS(m_row,m_teacher,AO$4,m_date,($G$2+14),m_active,1,m_start,"&lt;"&amp;780,m_end,"&gt;"&amp;720),INDEX(m_label,_xlfn.MAXIFS(m_row,m_teacher,AO$4,m_date,($G$2+14),m_active,1,m_start,"&lt;"&amp;780,m_end,"&gt;"&amp;720))))))</f>
        <v/>
      </c>
      <c r="AP8" s="82" t="str">
        <f aca="false">IF(OR(AP$4="",MONTH(($G$2+14))&lt;&gt;MONTH($C$2)),"",IF(COUNTIFS(m_teacher,AP$4,m_date,($G$2+14),m_active,1,m_start,"&lt;"&amp;780,m_end,"&gt;"&amp;720)=0,"",IF(COUNTIFS(m_teacher,AP$4,m_date,($G$2+14),m_active,1,m_start,"&lt;"&amp;780,m_end,"&gt;"&amp;720)&gt;1,"충돌",HYPERLINK("#'관리자_MASTER'!D"&amp;_xlfn.MAXIFS(m_row,m_teacher,AP$4,m_date,($G$2+14),m_active,1,m_start,"&lt;"&amp;780,m_end,"&gt;"&amp;720),INDEX(m_label,_xlfn.MAXIFS(m_row,m_teacher,AP$4,m_date,($G$2+14),m_active,1,m_start,"&lt;"&amp;780,m_end,"&gt;"&amp;720))))))</f>
        <v/>
      </c>
      <c r="AQ8" s="78"/>
      <c r="AR8" s="79" t="s">
        <v>94</v>
      </c>
      <c r="AS8" s="82" t="str">
        <f aca="false">IF(OR(AS$4="",MONTH(($G$2+21))&lt;&gt;MONTH($C$2)),"",IF(COUNTIFS(m_teacher,AS$4,m_date,($G$2+21),m_active,1,m_start,"&lt;"&amp;780,m_end,"&gt;"&amp;720)=0,"",IF(COUNTIFS(m_teacher,AS$4,m_date,($G$2+21),m_active,1,m_start,"&lt;"&amp;780,m_end,"&gt;"&amp;720)&gt;1,"충돌",HYPERLINK("#'관리자_MASTER'!D"&amp;_xlfn.MAXIFS(m_row,m_teacher,AS$4,m_date,($G$2+21),m_active,1,m_start,"&lt;"&amp;780,m_end,"&gt;"&amp;720),INDEX(m_label,_xlfn.MAXIFS(m_row,m_teacher,AS$4,m_date,($G$2+21),m_active,1,m_start,"&lt;"&amp;780,m_end,"&gt;"&amp;720))))))</f>
        <v/>
      </c>
      <c r="AT8" s="82" t="str">
        <f aca="false">IF(OR(AT$4="",MONTH(($G$2+21))&lt;&gt;MONTH($C$2)),"",IF(COUNTIFS(m_teacher,AT$4,m_date,($G$2+21),m_active,1,m_start,"&lt;"&amp;780,m_end,"&gt;"&amp;720)=0,"",IF(COUNTIFS(m_teacher,AT$4,m_date,($G$2+21),m_active,1,m_start,"&lt;"&amp;780,m_end,"&gt;"&amp;720)&gt;1,"충돌",HYPERLINK("#'관리자_MASTER'!D"&amp;_xlfn.MAXIFS(m_row,m_teacher,AT$4,m_date,($G$2+21),m_active,1,m_start,"&lt;"&amp;780,m_end,"&gt;"&amp;720),INDEX(m_label,_xlfn.MAXIFS(m_row,m_teacher,AT$4,m_date,($G$2+21),m_active,1,m_start,"&lt;"&amp;780,m_end,"&gt;"&amp;720))))))</f>
        <v/>
      </c>
      <c r="AU8" s="82" t="str">
        <f aca="false">IF(OR(AU$4="",MONTH(($G$2+21))&lt;&gt;MONTH($C$2)),"",IF(COUNTIFS(m_teacher,AU$4,m_date,($G$2+21),m_active,1,m_start,"&lt;"&amp;780,m_end,"&gt;"&amp;720)=0,"",IF(COUNTIFS(m_teacher,AU$4,m_date,($G$2+21),m_active,1,m_start,"&lt;"&amp;780,m_end,"&gt;"&amp;720)&gt;1,"충돌",HYPERLINK("#'관리자_MASTER'!D"&amp;_xlfn.MAXIFS(m_row,m_teacher,AU$4,m_date,($G$2+21),m_active,1,m_start,"&lt;"&amp;780,m_end,"&gt;"&amp;720),INDEX(m_label,_xlfn.MAXIFS(m_row,m_teacher,AU$4,m_date,($G$2+21),m_active,1,m_start,"&lt;"&amp;780,m_end,"&gt;"&amp;720))))))</f>
        <v/>
      </c>
      <c r="AV8" s="82" t="str">
        <f aca="false">IF(OR(AV$4="",MONTH(($G$2+21))&lt;&gt;MONTH($C$2)),"",IF(COUNTIFS(m_teacher,AV$4,m_date,($G$2+21),m_active,1,m_start,"&lt;"&amp;780,m_end,"&gt;"&amp;720)=0,"",IF(COUNTIFS(m_teacher,AV$4,m_date,($G$2+21),m_active,1,m_start,"&lt;"&amp;780,m_end,"&gt;"&amp;720)&gt;1,"충돌",HYPERLINK("#'관리자_MASTER'!D"&amp;_xlfn.MAXIFS(m_row,m_teacher,AV$4,m_date,($G$2+21),m_active,1,m_start,"&lt;"&amp;780,m_end,"&gt;"&amp;720),INDEX(m_label,_xlfn.MAXIFS(m_row,m_teacher,AV$4,m_date,($G$2+21),m_active,1,m_start,"&lt;"&amp;780,m_end,"&gt;"&amp;720))))))</f>
        <v/>
      </c>
      <c r="AW8" s="82" t="str">
        <f aca="false">IF(OR(AW$4="",MONTH(($G$2+21))&lt;&gt;MONTH($C$2)),"",IF(COUNTIFS(m_teacher,AW$4,m_date,($G$2+21),m_active,1,m_start,"&lt;"&amp;780,m_end,"&gt;"&amp;720)=0,"",IF(COUNTIFS(m_teacher,AW$4,m_date,($G$2+21),m_active,1,m_start,"&lt;"&amp;780,m_end,"&gt;"&amp;720)&gt;1,"충돌",HYPERLINK("#'관리자_MASTER'!D"&amp;_xlfn.MAXIFS(m_row,m_teacher,AW$4,m_date,($G$2+21),m_active,1,m_start,"&lt;"&amp;780,m_end,"&gt;"&amp;720),INDEX(m_label,_xlfn.MAXIFS(m_row,m_teacher,AW$4,m_date,($G$2+21),m_active,1,m_start,"&lt;"&amp;780,m_end,"&gt;"&amp;720))))))</f>
        <v/>
      </c>
      <c r="AX8" s="82" t="str">
        <f aca="false">IF(OR(AX$4="",MONTH(($G$2+21))&lt;&gt;MONTH($C$2)),"",IF(COUNTIFS(m_teacher,AX$4,m_date,($G$2+21),m_active,1,m_start,"&lt;"&amp;780,m_end,"&gt;"&amp;720)=0,"",IF(COUNTIFS(m_teacher,AX$4,m_date,($G$2+21),m_active,1,m_start,"&lt;"&amp;780,m_end,"&gt;"&amp;720)&gt;1,"충돌",HYPERLINK("#'관리자_MASTER'!D"&amp;_xlfn.MAXIFS(m_row,m_teacher,AX$4,m_date,($G$2+21),m_active,1,m_start,"&lt;"&amp;780,m_end,"&gt;"&amp;720),INDEX(m_label,_xlfn.MAXIFS(m_row,m_teacher,AX$4,m_date,($G$2+21),m_active,1,m_start,"&lt;"&amp;780,m_end,"&gt;"&amp;720))))))</f>
        <v/>
      </c>
      <c r="AY8" s="82" t="str">
        <f aca="false">IF(OR(AY$4="",MONTH(($G$2+21))&lt;&gt;MONTH($C$2)),"",IF(COUNTIFS(m_teacher,AY$4,m_date,($G$2+21),m_active,1,m_start,"&lt;"&amp;780,m_end,"&gt;"&amp;720)=0,"",IF(COUNTIFS(m_teacher,AY$4,m_date,($G$2+21),m_active,1,m_start,"&lt;"&amp;780,m_end,"&gt;"&amp;720)&gt;1,"충돌",HYPERLINK("#'관리자_MASTER'!D"&amp;_xlfn.MAXIFS(m_row,m_teacher,AY$4,m_date,($G$2+21),m_active,1,m_start,"&lt;"&amp;780,m_end,"&gt;"&amp;720),INDEX(m_label,_xlfn.MAXIFS(m_row,m_teacher,AY$4,m_date,($G$2+21),m_active,1,m_start,"&lt;"&amp;780,m_end,"&gt;"&amp;720))))))</f>
        <v/>
      </c>
      <c r="AZ8" s="82" t="str">
        <f aca="false">IF(OR(AZ$4="",MONTH(($G$2+21))&lt;&gt;MONTH($C$2)),"",IF(COUNTIFS(m_teacher,AZ$4,m_date,($G$2+21),m_active,1,m_start,"&lt;"&amp;780,m_end,"&gt;"&amp;720)=0,"",IF(COUNTIFS(m_teacher,AZ$4,m_date,($G$2+21),m_active,1,m_start,"&lt;"&amp;780,m_end,"&gt;"&amp;720)&gt;1,"충돌",HYPERLINK("#'관리자_MASTER'!D"&amp;_xlfn.MAXIFS(m_row,m_teacher,AZ$4,m_date,($G$2+21),m_active,1,m_start,"&lt;"&amp;780,m_end,"&gt;"&amp;720),INDEX(m_label,_xlfn.MAXIFS(m_row,m_teacher,AZ$4,m_date,($G$2+21),m_active,1,m_start,"&lt;"&amp;780,m_end,"&gt;"&amp;720))))))</f>
        <v/>
      </c>
      <c r="BA8" s="82" t="str">
        <f aca="false">IF(OR(BA$4="",MONTH(($G$2+21))&lt;&gt;MONTH($C$2)),"",IF(COUNTIFS(m_teacher,BA$4,m_date,($G$2+21),m_active,1,m_start,"&lt;"&amp;780,m_end,"&gt;"&amp;720)=0,"",IF(COUNTIFS(m_teacher,BA$4,m_date,($G$2+21),m_active,1,m_start,"&lt;"&amp;780,m_end,"&gt;"&amp;720)&gt;1,"충돌",HYPERLINK("#'관리자_MASTER'!D"&amp;_xlfn.MAXIFS(m_row,m_teacher,BA$4,m_date,($G$2+21),m_active,1,m_start,"&lt;"&amp;780,m_end,"&gt;"&amp;720),INDEX(m_label,_xlfn.MAXIFS(m_row,m_teacher,BA$4,m_date,($G$2+21),m_active,1,m_start,"&lt;"&amp;780,m_end,"&gt;"&amp;720))))))</f>
        <v/>
      </c>
      <c r="BB8" s="82" t="str">
        <f aca="false">IF(OR(BB$4="",MONTH(($G$2+21))&lt;&gt;MONTH($C$2)),"",IF(COUNTIFS(m_teacher,BB$4,m_date,($G$2+21),m_active,1,m_start,"&lt;"&amp;780,m_end,"&gt;"&amp;720)=0,"",IF(COUNTIFS(m_teacher,BB$4,m_date,($G$2+21),m_active,1,m_start,"&lt;"&amp;780,m_end,"&gt;"&amp;720)&gt;1,"충돌",HYPERLINK("#'관리자_MASTER'!D"&amp;_xlfn.MAXIFS(m_row,m_teacher,BB$4,m_date,($G$2+21),m_active,1,m_start,"&lt;"&amp;780,m_end,"&gt;"&amp;720),INDEX(m_label,_xlfn.MAXIFS(m_row,m_teacher,BB$4,m_date,($G$2+21),m_active,1,m_start,"&lt;"&amp;780,m_end,"&gt;"&amp;720))))))</f>
        <v/>
      </c>
      <c r="BC8" s="82" t="str">
        <f aca="false">IF(OR(BC$4="",MONTH(($G$2+21))&lt;&gt;MONTH($C$2)),"",IF(COUNTIFS(m_teacher,BC$4,m_date,($G$2+21),m_active,1,m_start,"&lt;"&amp;780,m_end,"&gt;"&amp;720)=0,"",IF(COUNTIFS(m_teacher,BC$4,m_date,($G$2+21),m_active,1,m_start,"&lt;"&amp;780,m_end,"&gt;"&amp;720)&gt;1,"충돌",HYPERLINK("#'관리자_MASTER'!D"&amp;_xlfn.MAXIFS(m_row,m_teacher,BC$4,m_date,($G$2+21),m_active,1,m_start,"&lt;"&amp;780,m_end,"&gt;"&amp;720),INDEX(m_label,_xlfn.MAXIFS(m_row,m_teacher,BC$4,m_date,($G$2+21),m_active,1,m_start,"&lt;"&amp;780,m_end,"&gt;"&amp;720))))))</f>
        <v/>
      </c>
      <c r="BD8" s="82" t="str">
        <f aca="false">IF(OR(BD$4="",MONTH(($G$2+21))&lt;&gt;MONTH($C$2)),"",IF(COUNTIFS(m_teacher,BD$4,m_date,($G$2+21),m_active,1,m_start,"&lt;"&amp;780,m_end,"&gt;"&amp;720)=0,"",IF(COUNTIFS(m_teacher,BD$4,m_date,($G$2+21),m_active,1,m_start,"&lt;"&amp;780,m_end,"&gt;"&amp;720)&gt;1,"충돌",HYPERLINK("#'관리자_MASTER'!D"&amp;_xlfn.MAXIFS(m_row,m_teacher,BD$4,m_date,($G$2+21),m_active,1,m_start,"&lt;"&amp;780,m_end,"&gt;"&amp;720),INDEX(m_label,_xlfn.MAXIFS(m_row,m_teacher,BD$4,m_date,($G$2+21),m_active,1,m_start,"&lt;"&amp;780,m_end,"&gt;"&amp;720))))))</f>
        <v/>
      </c>
    </row>
    <row r="9" customFormat="false" ht="19.5" hidden="false" customHeight="true" outlineLevel="0" collapsed="false">
      <c r="A9" s="78"/>
      <c r="B9" s="79" t="s">
        <v>95</v>
      </c>
      <c r="C9" s="82" t="str">
        <f aca="false">IF(OR(C$4="",MONTH(($G$2+0))&lt;&gt;MONTH($C$2)),"",IF(COUNTIFS(m_teacher,C$4,m_date,($G$2+0),m_active,1,m_start,"&lt;"&amp;840,m_end,"&gt;"&amp;780)=0,"",IF(COUNTIFS(m_teacher,C$4,m_date,($G$2+0),m_active,1,m_start,"&lt;"&amp;840,m_end,"&gt;"&amp;780)&gt;1,"충돌",HYPERLINK("#'관리자_MASTER'!D"&amp;_xlfn.MAXIFS(m_row,m_teacher,C$4,m_date,($G$2+0),m_active,1,m_start,"&lt;"&amp;840,m_end,"&gt;"&amp;780),INDEX(m_label,_xlfn.MAXIFS(m_row,m_teacher,C$4,m_date,($G$2+0),m_active,1,m_start,"&lt;"&amp;840,m_end,"&gt;"&amp;780))))))</f>
        <v/>
      </c>
      <c r="D9" s="82" t="str">
        <f aca="false">IF(OR(D$4="",MONTH(($G$2+0))&lt;&gt;MONTH($C$2)),"",IF(COUNTIFS(m_teacher,D$4,m_date,($G$2+0),m_active,1,m_start,"&lt;"&amp;840,m_end,"&gt;"&amp;780)=0,"",IF(COUNTIFS(m_teacher,D$4,m_date,($G$2+0),m_active,1,m_start,"&lt;"&amp;840,m_end,"&gt;"&amp;780)&gt;1,"충돌",HYPERLINK("#'관리자_MASTER'!D"&amp;_xlfn.MAXIFS(m_row,m_teacher,D$4,m_date,($G$2+0),m_active,1,m_start,"&lt;"&amp;840,m_end,"&gt;"&amp;780),INDEX(m_label,_xlfn.MAXIFS(m_row,m_teacher,D$4,m_date,($G$2+0),m_active,1,m_start,"&lt;"&amp;840,m_end,"&gt;"&amp;780))))))</f>
        <v/>
      </c>
      <c r="E9" s="82" t="str">
        <f aca="false">IF(OR(E$4="",MONTH(($G$2+0))&lt;&gt;MONTH($C$2)),"",IF(COUNTIFS(m_teacher,E$4,m_date,($G$2+0),m_active,1,m_start,"&lt;"&amp;840,m_end,"&gt;"&amp;780)=0,"",IF(COUNTIFS(m_teacher,E$4,m_date,($G$2+0),m_active,1,m_start,"&lt;"&amp;840,m_end,"&gt;"&amp;780)&gt;1,"충돌",HYPERLINK("#'관리자_MASTER'!D"&amp;_xlfn.MAXIFS(m_row,m_teacher,E$4,m_date,($G$2+0),m_active,1,m_start,"&lt;"&amp;840,m_end,"&gt;"&amp;780),INDEX(m_label,_xlfn.MAXIFS(m_row,m_teacher,E$4,m_date,($G$2+0),m_active,1,m_start,"&lt;"&amp;840,m_end,"&gt;"&amp;780))))))</f>
        <v/>
      </c>
      <c r="F9" s="82" t="str">
        <f aca="false">IF(OR(F$4="",MONTH(($G$2+0))&lt;&gt;MONTH($C$2)),"",IF(COUNTIFS(m_teacher,F$4,m_date,($G$2+0),m_active,1,m_start,"&lt;"&amp;840,m_end,"&gt;"&amp;780)=0,"",IF(COUNTIFS(m_teacher,F$4,m_date,($G$2+0),m_active,1,m_start,"&lt;"&amp;840,m_end,"&gt;"&amp;780)&gt;1,"충돌",HYPERLINK("#'관리자_MASTER'!D"&amp;_xlfn.MAXIFS(m_row,m_teacher,F$4,m_date,($G$2+0),m_active,1,m_start,"&lt;"&amp;840,m_end,"&gt;"&amp;780),INDEX(m_label,_xlfn.MAXIFS(m_row,m_teacher,F$4,m_date,($G$2+0),m_active,1,m_start,"&lt;"&amp;840,m_end,"&gt;"&amp;780))))))</f>
        <v/>
      </c>
      <c r="G9" s="82" t="str">
        <f aca="false">IF(OR(G$4="",MONTH(($G$2+0))&lt;&gt;MONTH($C$2)),"",IF(COUNTIFS(m_teacher,G$4,m_date,($G$2+0),m_active,1,m_start,"&lt;"&amp;840,m_end,"&gt;"&amp;780)=0,"",IF(COUNTIFS(m_teacher,G$4,m_date,($G$2+0),m_active,1,m_start,"&lt;"&amp;840,m_end,"&gt;"&amp;780)&gt;1,"충돌",HYPERLINK("#'관리자_MASTER'!D"&amp;_xlfn.MAXIFS(m_row,m_teacher,G$4,m_date,($G$2+0),m_active,1,m_start,"&lt;"&amp;840,m_end,"&gt;"&amp;780),INDEX(m_label,_xlfn.MAXIFS(m_row,m_teacher,G$4,m_date,($G$2+0),m_active,1,m_start,"&lt;"&amp;840,m_end,"&gt;"&amp;780))))))</f>
        <v/>
      </c>
      <c r="H9" s="82" t="str">
        <f aca="false">IF(OR(H$4="",MONTH(($G$2+0))&lt;&gt;MONTH($C$2)),"",IF(COUNTIFS(m_teacher,H$4,m_date,($G$2+0),m_active,1,m_start,"&lt;"&amp;840,m_end,"&gt;"&amp;780)=0,"",IF(COUNTIFS(m_teacher,H$4,m_date,($G$2+0),m_active,1,m_start,"&lt;"&amp;840,m_end,"&gt;"&amp;780)&gt;1,"충돌",HYPERLINK("#'관리자_MASTER'!D"&amp;_xlfn.MAXIFS(m_row,m_teacher,H$4,m_date,($G$2+0),m_active,1,m_start,"&lt;"&amp;840,m_end,"&gt;"&amp;780),INDEX(m_label,_xlfn.MAXIFS(m_row,m_teacher,H$4,m_date,($G$2+0),m_active,1,m_start,"&lt;"&amp;840,m_end,"&gt;"&amp;780))))))</f>
        <v/>
      </c>
      <c r="I9" s="82" t="str">
        <f aca="false">IF(OR(I$4="",MONTH(($G$2+0))&lt;&gt;MONTH($C$2)),"",IF(COUNTIFS(m_teacher,I$4,m_date,($G$2+0),m_active,1,m_start,"&lt;"&amp;840,m_end,"&gt;"&amp;780)=0,"",IF(COUNTIFS(m_teacher,I$4,m_date,($G$2+0),m_active,1,m_start,"&lt;"&amp;840,m_end,"&gt;"&amp;780)&gt;1,"충돌",HYPERLINK("#'관리자_MASTER'!D"&amp;_xlfn.MAXIFS(m_row,m_teacher,I$4,m_date,($G$2+0),m_active,1,m_start,"&lt;"&amp;840,m_end,"&gt;"&amp;780),INDEX(m_label,_xlfn.MAXIFS(m_row,m_teacher,I$4,m_date,($G$2+0),m_active,1,m_start,"&lt;"&amp;840,m_end,"&gt;"&amp;780))))))</f>
        <v/>
      </c>
      <c r="J9" s="82" t="str">
        <f aca="false">IF(OR(J$4="",MONTH(($G$2+0))&lt;&gt;MONTH($C$2)),"",IF(COUNTIFS(m_teacher,J$4,m_date,($G$2+0),m_active,1,m_start,"&lt;"&amp;840,m_end,"&gt;"&amp;780)=0,"",IF(COUNTIFS(m_teacher,J$4,m_date,($G$2+0),m_active,1,m_start,"&lt;"&amp;840,m_end,"&gt;"&amp;780)&gt;1,"충돌",HYPERLINK("#'관리자_MASTER'!D"&amp;_xlfn.MAXIFS(m_row,m_teacher,J$4,m_date,($G$2+0),m_active,1,m_start,"&lt;"&amp;840,m_end,"&gt;"&amp;780),INDEX(m_label,_xlfn.MAXIFS(m_row,m_teacher,J$4,m_date,($G$2+0),m_active,1,m_start,"&lt;"&amp;840,m_end,"&gt;"&amp;780))))))</f>
        <v/>
      </c>
      <c r="K9" s="82" t="str">
        <f aca="false">IF(OR(K$4="",MONTH(($G$2+0))&lt;&gt;MONTH($C$2)),"",IF(COUNTIFS(m_teacher,K$4,m_date,($G$2+0),m_active,1,m_start,"&lt;"&amp;840,m_end,"&gt;"&amp;780)=0,"",IF(COUNTIFS(m_teacher,K$4,m_date,($G$2+0),m_active,1,m_start,"&lt;"&amp;840,m_end,"&gt;"&amp;780)&gt;1,"충돌",HYPERLINK("#'관리자_MASTER'!D"&amp;_xlfn.MAXIFS(m_row,m_teacher,K$4,m_date,($G$2+0),m_active,1,m_start,"&lt;"&amp;840,m_end,"&gt;"&amp;780),INDEX(m_label,_xlfn.MAXIFS(m_row,m_teacher,K$4,m_date,($G$2+0),m_active,1,m_start,"&lt;"&amp;840,m_end,"&gt;"&amp;780))))))</f>
        <v/>
      </c>
      <c r="L9" s="82" t="str">
        <f aca="false">IF(OR(L$4="",MONTH(($G$2+0))&lt;&gt;MONTH($C$2)),"",IF(COUNTIFS(m_teacher,L$4,m_date,($G$2+0),m_active,1,m_start,"&lt;"&amp;840,m_end,"&gt;"&amp;780)=0,"",IF(COUNTIFS(m_teacher,L$4,m_date,($G$2+0),m_active,1,m_start,"&lt;"&amp;840,m_end,"&gt;"&amp;780)&gt;1,"충돌",HYPERLINK("#'관리자_MASTER'!D"&amp;_xlfn.MAXIFS(m_row,m_teacher,L$4,m_date,($G$2+0),m_active,1,m_start,"&lt;"&amp;840,m_end,"&gt;"&amp;780),INDEX(m_label,_xlfn.MAXIFS(m_row,m_teacher,L$4,m_date,($G$2+0),m_active,1,m_start,"&lt;"&amp;840,m_end,"&gt;"&amp;780))))))</f>
        <v/>
      </c>
      <c r="M9" s="82" t="str">
        <f aca="false">IF(OR(M$4="",MONTH(($G$2+0))&lt;&gt;MONTH($C$2)),"",IF(COUNTIFS(m_teacher,M$4,m_date,($G$2+0),m_active,1,m_start,"&lt;"&amp;840,m_end,"&gt;"&amp;780)=0,"",IF(COUNTIFS(m_teacher,M$4,m_date,($G$2+0),m_active,1,m_start,"&lt;"&amp;840,m_end,"&gt;"&amp;780)&gt;1,"충돌",HYPERLINK("#'관리자_MASTER'!D"&amp;_xlfn.MAXIFS(m_row,m_teacher,M$4,m_date,($G$2+0),m_active,1,m_start,"&lt;"&amp;840,m_end,"&gt;"&amp;780),INDEX(m_label,_xlfn.MAXIFS(m_row,m_teacher,M$4,m_date,($G$2+0),m_active,1,m_start,"&lt;"&amp;840,m_end,"&gt;"&amp;780))))))</f>
        <v/>
      </c>
      <c r="N9" s="82" t="str">
        <f aca="false">IF(OR(N$4="",MONTH(($G$2+0))&lt;&gt;MONTH($C$2)),"",IF(COUNTIFS(m_teacher,N$4,m_date,($G$2+0),m_active,1,m_start,"&lt;"&amp;840,m_end,"&gt;"&amp;780)=0,"",IF(COUNTIFS(m_teacher,N$4,m_date,($G$2+0),m_active,1,m_start,"&lt;"&amp;840,m_end,"&gt;"&amp;780)&gt;1,"충돌",HYPERLINK("#'관리자_MASTER'!D"&amp;_xlfn.MAXIFS(m_row,m_teacher,N$4,m_date,($G$2+0),m_active,1,m_start,"&lt;"&amp;840,m_end,"&gt;"&amp;780),INDEX(m_label,_xlfn.MAXIFS(m_row,m_teacher,N$4,m_date,($G$2+0),m_active,1,m_start,"&lt;"&amp;840,m_end,"&gt;"&amp;780))))))</f>
        <v/>
      </c>
      <c r="O9" s="78"/>
      <c r="P9" s="79" t="s">
        <v>95</v>
      </c>
      <c r="Q9" s="82" t="str">
        <f aca="false">IF(OR(Q$4="",MONTH(($G$2+7))&lt;&gt;MONTH($C$2)),"",IF(COUNTIFS(m_teacher,Q$4,m_date,($G$2+7),m_active,1,m_start,"&lt;"&amp;840,m_end,"&gt;"&amp;780)=0,"",IF(COUNTIFS(m_teacher,Q$4,m_date,($G$2+7),m_active,1,m_start,"&lt;"&amp;840,m_end,"&gt;"&amp;780)&gt;1,"충돌",HYPERLINK("#'관리자_MASTER'!D"&amp;_xlfn.MAXIFS(m_row,m_teacher,Q$4,m_date,($G$2+7),m_active,1,m_start,"&lt;"&amp;840,m_end,"&gt;"&amp;780),INDEX(m_label,_xlfn.MAXIFS(m_row,m_teacher,Q$4,m_date,($G$2+7),m_active,1,m_start,"&lt;"&amp;840,m_end,"&gt;"&amp;780))))))</f>
        <v/>
      </c>
      <c r="R9" s="82" t="str">
        <f aca="false">IF(OR(R$4="",MONTH(($G$2+7))&lt;&gt;MONTH($C$2)),"",IF(COUNTIFS(m_teacher,R$4,m_date,($G$2+7),m_active,1,m_start,"&lt;"&amp;840,m_end,"&gt;"&amp;780)=0,"",IF(COUNTIFS(m_teacher,R$4,m_date,($G$2+7),m_active,1,m_start,"&lt;"&amp;840,m_end,"&gt;"&amp;780)&gt;1,"충돌",HYPERLINK("#'관리자_MASTER'!D"&amp;_xlfn.MAXIFS(m_row,m_teacher,R$4,m_date,($G$2+7),m_active,1,m_start,"&lt;"&amp;840,m_end,"&gt;"&amp;780),INDEX(m_label,_xlfn.MAXIFS(m_row,m_teacher,R$4,m_date,($G$2+7),m_active,1,m_start,"&lt;"&amp;840,m_end,"&gt;"&amp;780))))))</f>
        <v/>
      </c>
      <c r="S9" s="82" t="str">
        <f aca="false">IF(OR(S$4="",MONTH(($G$2+7))&lt;&gt;MONTH($C$2)),"",IF(COUNTIFS(m_teacher,S$4,m_date,($G$2+7),m_active,1,m_start,"&lt;"&amp;840,m_end,"&gt;"&amp;780)=0,"",IF(COUNTIFS(m_teacher,S$4,m_date,($G$2+7),m_active,1,m_start,"&lt;"&amp;840,m_end,"&gt;"&amp;780)&gt;1,"충돌",HYPERLINK("#'관리자_MASTER'!D"&amp;_xlfn.MAXIFS(m_row,m_teacher,S$4,m_date,($G$2+7),m_active,1,m_start,"&lt;"&amp;840,m_end,"&gt;"&amp;780),INDEX(m_label,_xlfn.MAXIFS(m_row,m_teacher,S$4,m_date,($G$2+7),m_active,1,m_start,"&lt;"&amp;840,m_end,"&gt;"&amp;780))))))</f>
        <v/>
      </c>
      <c r="T9" s="82" t="str">
        <f aca="false">IF(OR(T$4="",MONTH(($G$2+7))&lt;&gt;MONTH($C$2)),"",IF(COUNTIFS(m_teacher,T$4,m_date,($G$2+7),m_active,1,m_start,"&lt;"&amp;840,m_end,"&gt;"&amp;780)=0,"",IF(COUNTIFS(m_teacher,T$4,m_date,($G$2+7),m_active,1,m_start,"&lt;"&amp;840,m_end,"&gt;"&amp;780)&gt;1,"충돌",HYPERLINK("#'관리자_MASTER'!D"&amp;_xlfn.MAXIFS(m_row,m_teacher,T$4,m_date,($G$2+7),m_active,1,m_start,"&lt;"&amp;840,m_end,"&gt;"&amp;780),INDEX(m_label,_xlfn.MAXIFS(m_row,m_teacher,T$4,m_date,($G$2+7),m_active,1,m_start,"&lt;"&amp;840,m_end,"&gt;"&amp;780))))))</f>
        <v/>
      </c>
      <c r="U9" s="82" t="str">
        <f aca="false">IF(OR(U$4="",MONTH(($G$2+7))&lt;&gt;MONTH($C$2)),"",IF(COUNTIFS(m_teacher,U$4,m_date,($G$2+7),m_active,1,m_start,"&lt;"&amp;840,m_end,"&gt;"&amp;780)=0,"",IF(COUNTIFS(m_teacher,U$4,m_date,($G$2+7),m_active,1,m_start,"&lt;"&amp;840,m_end,"&gt;"&amp;780)&gt;1,"충돌",HYPERLINK("#'관리자_MASTER'!D"&amp;_xlfn.MAXIFS(m_row,m_teacher,U$4,m_date,($G$2+7),m_active,1,m_start,"&lt;"&amp;840,m_end,"&gt;"&amp;780),INDEX(m_label,_xlfn.MAXIFS(m_row,m_teacher,U$4,m_date,($G$2+7),m_active,1,m_start,"&lt;"&amp;840,m_end,"&gt;"&amp;780))))))</f>
        <v/>
      </c>
      <c r="V9" s="82" t="str">
        <f aca="false">IF(OR(V$4="",MONTH(($G$2+7))&lt;&gt;MONTH($C$2)),"",IF(COUNTIFS(m_teacher,V$4,m_date,($G$2+7),m_active,1,m_start,"&lt;"&amp;840,m_end,"&gt;"&amp;780)=0,"",IF(COUNTIFS(m_teacher,V$4,m_date,($G$2+7),m_active,1,m_start,"&lt;"&amp;840,m_end,"&gt;"&amp;780)&gt;1,"충돌",HYPERLINK("#'관리자_MASTER'!D"&amp;_xlfn.MAXIFS(m_row,m_teacher,V$4,m_date,($G$2+7),m_active,1,m_start,"&lt;"&amp;840,m_end,"&gt;"&amp;780),INDEX(m_label,_xlfn.MAXIFS(m_row,m_teacher,V$4,m_date,($G$2+7),m_active,1,m_start,"&lt;"&amp;840,m_end,"&gt;"&amp;780))))))</f>
        <v/>
      </c>
      <c r="W9" s="82" t="str">
        <f aca="false">IF(OR(W$4="",MONTH(($G$2+7))&lt;&gt;MONTH($C$2)),"",IF(COUNTIFS(m_teacher,W$4,m_date,($G$2+7),m_active,1,m_start,"&lt;"&amp;840,m_end,"&gt;"&amp;780)=0,"",IF(COUNTIFS(m_teacher,W$4,m_date,($G$2+7),m_active,1,m_start,"&lt;"&amp;840,m_end,"&gt;"&amp;780)&gt;1,"충돌",HYPERLINK("#'관리자_MASTER'!D"&amp;_xlfn.MAXIFS(m_row,m_teacher,W$4,m_date,($G$2+7),m_active,1,m_start,"&lt;"&amp;840,m_end,"&gt;"&amp;780),INDEX(m_label,_xlfn.MAXIFS(m_row,m_teacher,W$4,m_date,($G$2+7),m_active,1,m_start,"&lt;"&amp;840,m_end,"&gt;"&amp;780))))))</f>
        <v/>
      </c>
      <c r="X9" s="82" t="str">
        <f aca="false">IF(OR(X$4="",MONTH(($G$2+7))&lt;&gt;MONTH($C$2)),"",IF(COUNTIFS(m_teacher,X$4,m_date,($G$2+7),m_active,1,m_start,"&lt;"&amp;840,m_end,"&gt;"&amp;780)=0,"",IF(COUNTIFS(m_teacher,X$4,m_date,($G$2+7),m_active,1,m_start,"&lt;"&amp;840,m_end,"&gt;"&amp;780)&gt;1,"충돌",HYPERLINK("#'관리자_MASTER'!D"&amp;_xlfn.MAXIFS(m_row,m_teacher,X$4,m_date,($G$2+7),m_active,1,m_start,"&lt;"&amp;840,m_end,"&gt;"&amp;780),INDEX(m_label,_xlfn.MAXIFS(m_row,m_teacher,X$4,m_date,($G$2+7),m_active,1,m_start,"&lt;"&amp;840,m_end,"&gt;"&amp;780))))))</f>
        <v/>
      </c>
      <c r="Y9" s="82" t="str">
        <f aca="false">IF(OR(Y$4="",MONTH(($G$2+7))&lt;&gt;MONTH($C$2)),"",IF(COUNTIFS(m_teacher,Y$4,m_date,($G$2+7),m_active,1,m_start,"&lt;"&amp;840,m_end,"&gt;"&amp;780)=0,"",IF(COUNTIFS(m_teacher,Y$4,m_date,($G$2+7),m_active,1,m_start,"&lt;"&amp;840,m_end,"&gt;"&amp;780)&gt;1,"충돌",HYPERLINK("#'관리자_MASTER'!D"&amp;_xlfn.MAXIFS(m_row,m_teacher,Y$4,m_date,($G$2+7),m_active,1,m_start,"&lt;"&amp;840,m_end,"&gt;"&amp;780),INDEX(m_label,_xlfn.MAXIFS(m_row,m_teacher,Y$4,m_date,($G$2+7),m_active,1,m_start,"&lt;"&amp;840,m_end,"&gt;"&amp;780))))))</f>
        <v/>
      </c>
      <c r="Z9" s="82" t="str">
        <f aca="false">IF(OR(Z$4="",MONTH(($G$2+7))&lt;&gt;MONTH($C$2)),"",IF(COUNTIFS(m_teacher,Z$4,m_date,($G$2+7),m_active,1,m_start,"&lt;"&amp;840,m_end,"&gt;"&amp;780)=0,"",IF(COUNTIFS(m_teacher,Z$4,m_date,($G$2+7),m_active,1,m_start,"&lt;"&amp;840,m_end,"&gt;"&amp;780)&gt;1,"충돌",HYPERLINK("#'관리자_MASTER'!D"&amp;_xlfn.MAXIFS(m_row,m_teacher,Z$4,m_date,($G$2+7),m_active,1,m_start,"&lt;"&amp;840,m_end,"&gt;"&amp;780),INDEX(m_label,_xlfn.MAXIFS(m_row,m_teacher,Z$4,m_date,($G$2+7),m_active,1,m_start,"&lt;"&amp;840,m_end,"&gt;"&amp;780))))))</f>
        <v/>
      </c>
      <c r="AA9" s="82" t="str">
        <f aca="false">IF(OR(AA$4="",MONTH(($G$2+7))&lt;&gt;MONTH($C$2)),"",IF(COUNTIFS(m_teacher,AA$4,m_date,($G$2+7),m_active,1,m_start,"&lt;"&amp;840,m_end,"&gt;"&amp;780)=0,"",IF(COUNTIFS(m_teacher,AA$4,m_date,($G$2+7),m_active,1,m_start,"&lt;"&amp;840,m_end,"&gt;"&amp;780)&gt;1,"충돌",HYPERLINK("#'관리자_MASTER'!D"&amp;_xlfn.MAXIFS(m_row,m_teacher,AA$4,m_date,($G$2+7),m_active,1,m_start,"&lt;"&amp;840,m_end,"&gt;"&amp;780),INDEX(m_label,_xlfn.MAXIFS(m_row,m_teacher,AA$4,m_date,($G$2+7),m_active,1,m_start,"&lt;"&amp;840,m_end,"&gt;"&amp;780))))))</f>
        <v/>
      </c>
      <c r="AB9" s="82" t="str">
        <f aca="false">IF(OR(AB$4="",MONTH(($G$2+7))&lt;&gt;MONTH($C$2)),"",IF(COUNTIFS(m_teacher,AB$4,m_date,($G$2+7),m_active,1,m_start,"&lt;"&amp;840,m_end,"&gt;"&amp;780)=0,"",IF(COUNTIFS(m_teacher,AB$4,m_date,($G$2+7),m_active,1,m_start,"&lt;"&amp;840,m_end,"&gt;"&amp;780)&gt;1,"충돌",HYPERLINK("#'관리자_MASTER'!D"&amp;_xlfn.MAXIFS(m_row,m_teacher,AB$4,m_date,($G$2+7),m_active,1,m_start,"&lt;"&amp;840,m_end,"&gt;"&amp;780),INDEX(m_label,_xlfn.MAXIFS(m_row,m_teacher,AB$4,m_date,($G$2+7),m_active,1,m_start,"&lt;"&amp;840,m_end,"&gt;"&amp;780))))))</f>
        <v/>
      </c>
      <c r="AC9" s="78"/>
      <c r="AD9" s="79" t="s">
        <v>95</v>
      </c>
      <c r="AE9" s="82" t="str">
        <f aca="false">IF(OR(AE$4="",MONTH(($G$2+14))&lt;&gt;MONTH($C$2)),"",IF(COUNTIFS(m_teacher,AE$4,m_date,($G$2+14),m_active,1,m_start,"&lt;"&amp;840,m_end,"&gt;"&amp;780)=0,"",IF(COUNTIFS(m_teacher,AE$4,m_date,($G$2+14),m_active,1,m_start,"&lt;"&amp;840,m_end,"&gt;"&amp;780)&gt;1,"충돌",HYPERLINK("#'관리자_MASTER'!D"&amp;_xlfn.MAXIFS(m_row,m_teacher,AE$4,m_date,($G$2+14),m_active,1,m_start,"&lt;"&amp;840,m_end,"&gt;"&amp;780),INDEX(m_label,_xlfn.MAXIFS(m_row,m_teacher,AE$4,m_date,($G$2+14),m_active,1,m_start,"&lt;"&amp;840,m_end,"&gt;"&amp;780))))))</f>
        <v/>
      </c>
      <c r="AF9" s="82" t="str">
        <f aca="false">IF(OR(AF$4="",MONTH(($G$2+14))&lt;&gt;MONTH($C$2)),"",IF(COUNTIFS(m_teacher,AF$4,m_date,($G$2+14),m_active,1,m_start,"&lt;"&amp;840,m_end,"&gt;"&amp;780)=0,"",IF(COUNTIFS(m_teacher,AF$4,m_date,($G$2+14),m_active,1,m_start,"&lt;"&amp;840,m_end,"&gt;"&amp;780)&gt;1,"충돌",HYPERLINK("#'관리자_MASTER'!D"&amp;_xlfn.MAXIFS(m_row,m_teacher,AF$4,m_date,($G$2+14),m_active,1,m_start,"&lt;"&amp;840,m_end,"&gt;"&amp;780),INDEX(m_label,_xlfn.MAXIFS(m_row,m_teacher,AF$4,m_date,($G$2+14),m_active,1,m_start,"&lt;"&amp;840,m_end,"&gt;"&amp;780))))))</f>
        <v/>
      </c>
      <c r="AG9" s="82" t="str">
        <f aca="false">IF(OR(AG$4="",MONTH(($G$2+14))&lt;&gt;MONTH($C$2)),"",IF(COUNTIFS(m_teacher,AG$4,m_date,($G$2+14),m_active,1,m_start,"&lt;"&amp;840,m_end,"&gt;"&amp;780)=0,"",IF(COUNTIFS(m_teacher,AG$4,m_date,($G$2+14),m_active,1,m_start,"&lt;"&amp;840,m_end,"&gt;"&amp;780)&gt;1,"충돌",HYPERLINK("#'관리자_MASTER'!D"&amp;_xlfn.MAXIFS(m_row,m_teacher,AG$4,m_date,($G$2+14),m_active,1,m_start,"&lt;"&amp;840,m_end,"&gt;"&amp;780),INDEX(m_label,_xlfn.MAXIFS(m_row,m_teacher,AG$4,m_date,($G$2+14),m_active,1,m_start,"&lt;"&amp;840,m_end,"&gt;"&amp;780))))))</f>
        <v/>
      </c>
      <c r="AH9" s="82" t="str">
        <f aca="false">IF(OR(AH$4="",MONTH(($G$2+14))&lt;&gt;MONTH($C$2)),"",IF(COUNTIFS(m_teacher,AH$4,m_date,($G$2+14),m_active,1,m_start,"&lt;"&amp;840,m_end,"&gt;"&amp;780)=0,"",IF(COUNTIFS(m_teacher,AH$4,m_date,($G$2+14),m_active,1,m_start,"&lt;"&amp;840,m_end,"&gt;"&amp;780)&gt;1,"충돌",HYPERLINK("#'관리자_MASTER'!D"&amp;_xlfn.MAXIFS(m_row,m_teacher,AH$4,m_date,($G$2+14),m_active,1,m_start,"&lt;"&amp;840,m_end,"&gt;"&amp;780),INDEX(m_label,_xlfn.MAXIFS(m_row,m_teacher,AH$4,m_date,($G$2+14),m_active,1,m_start,"&lt;"&amp;840,m_end,"&gt;"&amp;780))))))</f>
        <v/>
      </c>
      <c r="AI9" s="82" t="str">
        <f aca="false">IF(OR(AI$4="",MONTH(($G$2+14))&lt;&gt;MONTH($C$2)),"",IF(COUNTIFS(m_teacher,AI$4,m_date,($G$2+14),m_active,1,m_start,"&lt;"&amp;840,m_end,"&gt;"&amp;780)=0,"",IF(COUNTIFS(m_teacher,AI$4,m_date,($G$2+14),m_active,1,m_start,"&lt;"&amp;840,m_end,"&gt;"&amp;780)&gt;1,"충돌",HYPERLINK("#'관리자_MASTER'!D"&amp;_xlfn.MAXIFS(m_row,m_teacher,AI$4,m_date,($G$2+14),m_active,1,m_start,"&lt;"&amp;840,m_end,"&gt;"&amp;780),INDEX(m_label,_xlfn.MAXIFS(m_row,m_teacher,AI$4,m_date,($G$2+14),m_active,1,m_start,"&lt;"&amp;840,m_end,"&gt;"&amp;780))))))</f>
        <v/>
      </c>
      <c r="AJ9" s="82" t="str">
        <f aca="false">IF(OR(AJ$4="",MONTH(($G$2+14))&lt;&gt;MONTH($C$2)),"",IF(COUNTIFS(m_teacher,AJ$4,m_date,($G$2+14),m_active,1,m_start,"&lt;"&amp;840,m_end,"&gt;"&amp;780)=0,"",IF(COUNTIFS(m_teacher,AJ$4,m_date,($G$2+14),m_active,1,m_start,"&lt;"&amp;840,m_end,"&gt;"&amp;780)&gt;1,"충돌",HYPERLINK("#'관리자_MASTER'!D"&amp;_xlfn.MAXIFS(m_row,m_teacher,AJ$4,m_date,($G$2+14),m_active,1,m_start,"&lt;"&amp;840,m_end,"&gt;"&amp;780),INDEX(m_label,_xlfn.MAXIFS(m_row,m_teacher,AJ$4,m_date,($G$2+14),m_active,1,m_start,"&lt;"&amp;840,m_end,"&gt;"&amp;780))))))</f>
        <v/>
      </c>
      <c r="AK9" s="82" t="str">
        <f aca="false">IF(OR(AK$4="",MONTH(($G$2+14))&lt;&gt;MONTH($C$2)),"",IF(COUNTIFS(m_teacher,AK$4,m_date,($G$2+14),m_active,1,m_start,"&lt;"&amp;840,m_end,"&gt;"&amp;780)=0,"",IF(COUNTIFS(m_teacher,AK$4,m_date,($G$2+14),m_active,1,m_start,"&lt;"&amp;840,m_end,"&gt;"&amp;780)&gt;1,"충돌",HYPERLINK("#'관리자_MASTER'!D"&amp;_xlfn.MAXIFS(m_row,m_teacher,AK$4,m_date,($G$2+14),m_active,1,m_start,"&lt;"&amp;840,m_end,"&gt;"&amp;780),INDEX(m_label,_xlfn.MAXIFS(m_row,m_teacher,AK$4,m_date,($G$2+14),m_active,1,m_start,"&lt;"&amp;840,m_end,"&gt;"&amp;780))))))</f>
        <v/>
      </c>
      <c r="AL9" s="82" t="str">
        <f aca="false">IF(OR(AL$4="",MONTH(($G$2+14))&lt;&gt;MONTH($C$2)),"",IF(COUNTIFS(m_teacher,AL$4,m_date,($G$2+14),m_active,1,m_start,"&lt;"&amp;840,m_end,"&gt;"&amp;780)=0,"",IF(COUNTIFS(m_teacher,AL$4,m_date,($G$2+14),m_active,1,m_start,"&lt;"&amp;840,m_end,"&gt;"&amp;780)&gt;1,"충돌",HYPERLINK("#'관리자_MASTER'!D"&amp;_xlfn.MAXIFS(m_row,m_teacher,AL$4,m_date,($G$2+14),m_active,1,m_start,"&lt;"&amp;840,m_end,"&gt;"&amp;780),INDEX(m_label,_xlfn.MAXIFS(m_row,m_teacher,AL$4,m_date,($G$2+14),m_active,1,m_start,"&lt;"&amp;840,m_end,"&gt;"&amp;780))))))</f>
        <v/>
      </c>
      <c r="AM9" s="82" t="str">
        <f aca="false">IF(OR(AM$4="",MONTH(($G$2+14))&lt;&gt;MONTH($C$2)),"",IF(COUNTIFS(m_teacher,AM$4,m_date,($G$2+14),m_active,1,m_start,"&lt;"&amp;840,m_end,"&gt;"&amp;780)=0,"",IF(COUNTIFS(m_teacher,AM$4,m_date,($G$2+14),m_active,1,m_start,"&lt;"&amp;840,m_end,"&gt;"&amp;780)&gt;1,"충돌",HYPERLINK("#'관리자_MASTER'!D"&amp;_xlfn.MAXIFS(m_row,m_teacher,AM$4,m_date,($G$2+14),m_active,1,m_start,"&lt;"&amp;840,m_end,"&gt;"&amp;780),INDEX(m_label,_xlfn.MAXIFS(m_row,m_teacher,AM$4,m_date,($G$2+14),m_active,1,m_start,"&lt;"&amp;840,m_end,"&gt;"&amp;780))))))</f>
        <v/>
      </c>
      <c r="AN9" s="82" t="str">
        <f aca="false">IF(OR(AN$4="",MONTH(($G$2+14))&lt;&gt;MONTH($C$2)),"",IF(COUNTIFS(m_teacher,AN$4,m_date,($G$2+14),m_active,1,m_start,"&lt;"&amp;840,m_end,"&gt;"&amp;780)=0,"",IF(COUNTIFS(m_teacher,AN$4,m_date,($G$2+14),m_active,1,m_start,"&lt;"&amp;840,m_end,"&gt;"&amp;780)&gt;1,"충돌",HYPERLINK("#'관리자_MASTER'!D"&amp;_xlfn.MAXIFS(m_row,m_teacher,AN$4,m_date,($G$2+14),m_active,1,m_start,"&lt;"&amp;840,m_end,"&gt;"&amp;780),INDEX(m_label,_xlfn.MAXIFS(m_row,m_teacher,AN$4,m_date,($G$2+14),m_active,1,m_start,"&lt;"&amp;840,m_end,"&gt;"&amp;780))))))</f>
        <v/>
      </c>
      <c r="AO9" s="82" t="str">
        <f aca="false">IF(OR(AO$4="",MONTH(($G$2+14))&lt;&gt;MONTH($C$2)),"",IF(COUNTIFS(m_teacher,AO$4,m_date,($G$2+14),m_active,1,m_start,"&lt;"&amp;840,m_end,"&gt;"&amp;780)=0,"",IF(COUNTIFS(m_teacher,AO$4,m_date,($G$2+14),m_active,1,m_start,"&lt;"&amp;840,m_end,"&gt;"&amp;780)&gt;1,"충돌",HYPERLINK("#'관리자_MASTER'!D"&amp;_xlfn.MAXIFS(m_row,m_teacher,AO$4,m_date,($G$2+14),m_active,1,m_start,"&lt;"&amp;840,m_end,"&gt;"&amp;780),INDEX(m_label,_xlfn.MAXIFS(m_row,m_teacher,AO$4,m_date,($G$2+14),m_active,1,m_start,"&lt;"&amp;840,m_end,"&gt;"&amp;780))))))</f>
        <v/>
      </c>
      <c r="AP9" s="82" t="str">
        <f aca="false">IF(OR(AP$4="",MONTH(($G$2+14))&lt;&gt;MONTH($C$2)),"",IF(COUNTIFS(m_teacher,AP$4,m_date,($G$2+14),m_active,1,m_start,"&lt;"&amp;840,m_end,"&gt;"&amp;780)=0,"",IF(COUNTIFS(m_teacher,AP$4,m_date,($G$2+14),m_active,1,m_start,"&lt;"&amp;840,m_end,"&gt;"&amp;780)&gt;1,"충돌",HYPERLINK("#'관리자_MASTER'!D"&amp;_xlfn.MAXIFS(m_row,m_teacher,AP$4,m_date,($G$2+14),m_active,1,m_start,"&lt;"&amp;840,m_end,"&gt;"&amp;780),INDEX(m_label,_xlfn.MAXIFS(m_row,m_teacher,AP$4,m_date,($G$2+14),m_active,1,m_start,"&lt;"&amp;840,m_end,"&gt;"&amp;780))))))</f>
        <v/>
      </c>
      <c r="AQ9" s="78"/>
      <c r="AR9" s="79" t="s">
        <v>95</v>
      </c>
      <c r="AS9" s="82" t="str">
        <f aca="false">IF(OR(AS$4="",MONTH(($G$2+21))&lt;&gt;MONTH($C$2)),"",IF(COUNTIFS(m_teacher,AS$4,m_date,($G$2+21),m_active,1,m_start,"&lt;"&amp;840,m_end,"&gt;"&amp;780)=0,"",IF(COUNTIFS(m_teacher,AS$4,m_date,($G$2+21),m_active,1,m_start,"&lt;"&amp;840,m_end,"&gt;"&amp;780)&gt;1,"충돌",HYPERLINK("#'관리자_MASTER'!D"&amp;_xlfn.MAXIFS(m_row,m_teacher,AS$4,m_date,($G$2+21),m_active,1,m_start,"&lt;"&amp;840,m_end,"&gt;"&amp;780),INDEX(m_label,_xlfn.MAXIFS(m_row,m_teacher,AS$4,m_date,($G$2+21),m_active,1,m_start,"&lt;"&amp;840,m_end,"&gt;"&amp;780))))))</f>
        <v/>
      </c>
      <c r="AT9" s="82" t="str">
        <f aca="false">IF(OR(AT$4="",MONTH(($G$2+21))&lt;&gt;MONTH($C$2)),"",IF(COUNTIFS(m_teacher,AT$4,m_date,($G$2+21),m_active,1,m_start,"&lt;"&amp;840,m_end,"&gt;"&amp;780)=0,"",IF(COUNTIFS(m_teacher,AT$4,m_date,($G$2+21),m_active,1,m_start,"&lt;"&amp;840,m_end,"&gt;"&amp;780)&gt;1,"충돌",HYPERLINK("#'관리자_MASTER'!D"&amp;_xlfn.MAXIFS(m_row,m_teacher,AT$4,m_date,($G$2+21),m_active,1,m_start,"&lt;"&amp;840,m_end,"&gt;"&amp;780),INDEX(m_label,_xlfn.MAXIFS(m_row,m_teacher,AT$4,m_date,($G$2+21),m_active,1,m_start,"&lt;"&amp;840,m_end,"&gt;"&amp;780))))))</f>
        <v/>
      </c>
      <c r="AU9" s="82" t="str">
        <f aca="false">IF(OR(AU$4="",MONTH(($G$2+21))&lt;&gt;MONTH($C$2)),"",IF(COUNTIFS(m_teacher,AU$4,m_date,($G$2+21),m_active,1,m_start,"&lt;"&amp;840,m_end,"&gt;"&amp;780)=0,"",IF(COUNTIFS(m_teacher,AU$4,m_date,($G$2+21),m_active,1,m_start,"&lt;"&amp;840,m_end,"&gt;"&amp;780)&gt;1,"충돌",HYPERLINK("#'관리자_MASTER'!D"&amp;_xlfn.MAXIFS(m_row,m_teacher,AU$4,m_date,($G$2+21),m_active,1,m_start,"&lt;"&amp;840,m_end,"&gt;"&amp;780),INDEX(m_label,_xlfn.MAXIFS(m_row,m_teacher,AU$4,m_date,($G$2+21),m_active,1,m_start,"&lt;"&amp;840,m_end,"&gt;"&amp;780))))))</f>
        <v/>
      </c>
      <c r="AV9" s="82" t="str">
        <f aca="false">IF(OR(AV$4="",MONTH(($G$2+21))&lt;&gt;MONTH($C$2)),"",IF(COUNTIFS(m_teacher,AV$4,m_date,($G$2+21),m_active,1,m_start,"&lt;"&amp;840,m_end,"&gt;"&amp;780)=0,"",IF(COUNTIFS(m_teacher,AV$4,m_date,($G$2+21),m_active,1,m_start,"&lt;"&amp;840,m_end,"&gt;"&amp;780)&gt;1,"충돌",HYPERLINK("#'관리자_MASTER'!D"&amp;_xlfn.MAXIFS(m_row,m_teacher,AV$4,m_date,($G$2+21),m_active,1,m_start,"&lt;"&amp;840,m_end,"&gt;"&amp;780),INDEX(m_label,_xlfn.MAXIFS(m_row,m_teacher,AV$4,m_date,($G$2+21),m_active,1,m_start,"&lt;"&amp;840,m_end,"&gt;"&amp;780))))))</f>
        <v/>
      </c>
      <c r="AW9" s="82" t="str">
        <f aca="false">IF(OR(AW$4="",MONTH(($G$2+21))&lt;&gt;MONTH($C$2)),"",IF(COUNTIFS(m_teacher,AW$4,m_date,($G$2+21),m_active,1,m_start,"&lt;"&amp;840,m_end,"&gt;"&amp;780)=0,"",IF(COUNTIFS(m_teacher,AW$4,m_date,($G$2+21),m_active,1,m_start,"&lt;"&amp;840,m_end,"&gt;"&amp;780)&gt;1,"충돌",HYPERLINK("#'관리자_MASTER'!D"&amp;_xlfn.MAXIFS(m_row,m_teacher,AW$4,m_date,($G$2+21),m_active,1,m_start,"&lt;"&amp;840,m_end,"&gt;"&amp;780),INDEX(m_label,_xlfn.MAXIFS(m_row,m_teacher,AW$4,m_date,($G$2+21),m_active,1,m_start,"&lt;"&amp;840,m_end,"&gt;"&amp;780))))))</f>
        <v/>
      </c>
      <c r="AX9" s="82" t="str">
        <f aca="false">IF(OR(AX$4="",MONTH(($G$2+21))&lt;&gt;MONTH($C$2)),"",IF(COUNTIFS(m_teacher,AX$4,m_date,($G$2+21),m_active,1,m_start,"&lt;"&amp;840,m_end,"&gt;"&amp;780)=0,"",IF(COUNTIFS(m_teacher,AX$4,m_date,($G$2+21),m_active,1,m_start,"&lt;"&amp;840,m_end,"&gt;"&amp;780)&gt;1,"충돌",HYPERLINK("#'관리자_MASTER'!D"&amp;_xlfn.MAXIFS(m_row,m_teacher,AX$4,m_date,($G$2+21),m_active,1,m_start,"&lt;"&amp;840,m_end,"&gt;"&amp;780),INDEX(m_label,_xlfn.MAXIFS(m_row,m_teacher,AX$4,m_date,($G$2+21),m_active,1,m_start,"&lt;"&amp;840,m_end,"&gt;"&amp;780))))))</f>
        <v/>
      </c>
      <c r="AY9" s="82" t="str">
        <f aca="false">IF(OR(AY$4="",MONTH(($G$2+21))&lt;&gt;MONTH($C$2)),"",IF(COUNTIFS(m_teacher,AY$4,m_date,($G$2+21),m_active,1,m_start,"&lt;"&amp;840,m_end,"&gt;"&amp;780)=0,"",IF(COUNTIFS(m_teacher,AY$4,m_date,($G$2+21),m_active,1,m_start,"&lt;"&amp;840,m_end,"&gt;"&amp;780)&gt;1,"충돌",HYPERLINK("#'관리자_MASTER'!D"&amp;_xlfn.MAXIFS(m_row,m_teacher,AY$4,m_date,($G$2+21),m_active,1,m_start,"&lt;"&amp;840,m_end,"&gt;"&amp;780),INDEX(m_label,_xlfn.MAXIFS(m_row,m_teacher,AY$4,m_date,($G$2+21),m_active,1,m_start,"&lt;"&amp;840,m_end,"&gt;"&amp;780))))))</f>
        <v/>
      </c>
      <c r="AZ9" s="82" t="str">
        <f aca="false">IF(OR(AZ$4="",MONTH(($G$2+21))&lt;&gt;MONTH($C$2)),"",IF(COUNTIFS(m_teacher,AZ$4,m_date,($G$2+21),m_active,1,m_start,"&lt;"&amp;840,m_end,"&gt;"&amp;780)=0,"",IF(COUNTIFS(m_teacher,AZ$4,m_date,($G$2+21),m_active,1,m_start,"&lt;"&amp;840,m_end,"&gt;"&amp;780)&gt;1,"충돌",HYPERLINK("#'관리자_MASTER'!D"&amp;_xlfn.MAXIFS(m_row,m_teacher,AZ$4,m_date,($G$2+21),m_active,1,m_start,"&lt;"&amp;840,m_end,"&gt;"&amp;780),INDEX(m_label,_xlfn.MAXIFS(m_row,m_teacher,AZ$4,m_date,($G$2+21),m_active,1,m_start,"&lt;"&amp;840,m_end,"&gt;"&amp;780))))))</f>
        <v/>
      </c>
      <c r="BA9" s="82" t="str">
        <f aca="false">IF(OR(BA$4="",MONTH(($G$2+21))&lt;&gt;MONTH($C$2)),"",IF(COUNTIFS(m_teacher,BA$4,m_date,($G$2+21),m_active,1,m_start,"&lt;"&amp;840,m_end,"&gt;"&amp;780)=0,"",IF(COUNTIFS(m_teacher,BA$4,m_date,($G$2+21),m_active,1,m_start,"&lt;"&amp;840,m_end,"&gt;"&amp;780)&gt;1,"충돌",HYPERLINK("#'관리자_MASTER'!D"&amp;_xlfn.MAXIFS(m_row,m_teacher,BA$4,m_date,($G$2+21),m_active,1,m_start,"&lt;"&amp;840,m_end,"&gt;"&amp;780),INDEX(m_label,_xlfn.MAXIFS(m_row,m_teacher,BA$4,m_date,($G$2+21),m_active,1,m_start,"&lt;"&amp;840,m_end,"&gt;"&amp;780))))))</f>
        <v/>
      </c>
      <c r="BB9" s="82" t="str">
        <f aca="false">IF(OR(BB$4="",MONTH(($G$2+21))&lt;&gt;MONTH($C$2)),"",IF(COUNTIFS(m_teacher,BB$4,m_date,($G$2+21),m_active,1,m_start,"&lt;"&amp;840,m_end,"&gt;"&amp;780)=0,"",IF(COUNTIFS(m_teacher,BB$4,m_date,($G$2+21),m_active,1,m_start,"&lt;"&amp;840,m_end,"&gt;"&amp;780)&gt;1,"충돌",HYPERLINK("#'관리자_MASTER'!D"&amp;_xlfn.MAXIFS(m_row,m_teacher,BB$4,m_date,($G$2+21),m_active,1,m_start,"&lt;"&amp;840,m_end,"&gt;"&amp;780),INDEX(m_label,_xlfn.MAXIFS(m_row,m_teacher,BB$4,m_date,($G$2+21),m_active,1,m_start,"&lt;"&amp;840,m_end,"&gt;"&amp;780))))))</f>
        <v/>
      </c>
      <c r="BC9" s="82" t="str">
        <f aca="false">IF(OR(BC$4="",MONTH(($G$2+21))&lt;&gt;MONTH($C$2)),"",IF(COUNTIFS(m_teacher,BC$4,m_date,($G$2+21),m_active,1,m_start,"&lt;"&amp;840,m_end,"&gt;"&amp;780)=0,"",IF(COUNTIFS(m_teacher,BC$4,m_date,($G$2+21),m_active,1,m_start,"&lt;"&amp;840,m_end,"&gt;"&amp;780)&gt;1,"충돌",HYPERLINK("#'관리자_MASTER'!D"&amp;_xlfn.MAXIFS(m_row,m_teacher,BC$4,m_date,($G$2+21),m_active,1,m_start,"&lt;"&amp;840,m_end,"&gt;"&amp;780),INDEX(m_label,_xlfn.MAXIFS(m_row,m_teacher,BC$4,m_date,($G$2+21),m_active,1,m_start,"&lt;"&amp;840,m_end,"&gt;"&amp;780))))))</f>
        <v/>
      </c>
      <c r="BD9" s="82" t="str">
        <f aca="false">IF(OR(BD$4="",MONTH(($G$2+21))&lt;&gt;MONTH($C$2)),"",IF(COUNTIFS(m_teacher,BD$4,m_date,($G$2+21),m_active,1,m_start,"&lt;"&amp;840,m_end,"&gt;"&amp;780)=0,"",IF(COUNTIFS(m_teacher,BD$4,m_date,($G$2+21),m_active,1,m_start,"&lt;"&amp;840,m_end,"&gt;"&amp;780)&gt;1,"충돌",HYPERLINK("#'관리자_MASTER'!D"&amp;_xlfn.MAXIFS(m_row,m_teacher,BD$4,m_date,($G$2+21),m_active,1,m_start,"&lt;"&amp;840,m_end,"&gt;"&amp;780),INDEX(m_label,_xlfn.MAXIFS(m_row,m_teacher,BD$4,m_date,($G$2+21),m_active,1,m_start,"&lt;"&amp;840,m_end,"&gt;"&amp;780))))))</f>
        <v/>
      </c>
    </row>
    <row r="10" customFormat="false" ht="19.5" hidden="false" customHeight="true" outlineLevel="0" collapsed="false">
      <c r="A10" s="78"/>
      <c r="B10" s="79" t="s">
        <v>96</v>
      </c>
      <c r="C10" s="82" t="str">
        <f aca="false">IF(OR(C$4="",MONTH(($G$2+0))&lt;&gt;MONTH($C$2)),"",IF(COUNTIFS(m_teacher,C$4,m_date,($G$2+0),m_active,1,m_start,"&lt;"&amp;900,m_end,"&gt;"&amp;840)=0,"",IF(COUNTIFS(m_teacher,C$4,m_date,($G$2+0),m_active,1,m_start,"&lt;"&amp;900,m_end,"&gt;"&amp;840)&gt;1,"충돌",HYPERLINK("#'관리자_MASTER'!D"&amp;_xlfn.MAXIFS(m_row,m_teacher,C$4,m_date,($G$2+0),m_active,1,m_start,"&lt;"&amp;900,m_end,"&gt;"&amp;840),INDEX(m_label,_xlfn.MAXIFS(m_row,m_teacher,C$4,m_date,($G$2+0),m_active,1,m_start,"&lt;"&amp;900,m_end,"&gt;"&amp;840))))))</f>
        <v/>
      </c>
      <c r="D10" s="82" t="str">
        <f aca="false">IF(OR(D$4="",MONTH(($G$2+0))&lt;&gt;MONTH($C$2)),"",IF(COUNTIFS(m_teacher,D$4,m_date,($G$2+0),m_active,1,m_start,"&lt;"&amp;900,m_end,"&gt;"&amp;840)=0,"",IF(COUNTIFS(m_teacher,D$4,m_date,($G$2+0),m_active,1,m_start,"&lt;"&amp;900,m_end,"&gt;"&amp;840)&gt;1,"충돌",HYPERLINK("#'관리자_MASTER'!D"&amp;_xlfn.MAXIFS(m_row,m_teacher,D$4,m_date,($G$2+0),m_active,1,m_start,"&lt;"&amp;900,m_end,"&gt;"&amp;840),INDEX(m_label,_xlfn.MAXIFS(m_row,m_teacher,D$4,m_date,($G$2+0),m_active,1,m_start,"&lt;"&amp;900,m_end,"&gt;"&amp;840))))))</f>
        <v/>
      </c>
      <c r="E10" s="82" t="str">
        <f aca="false">IF(OR(E$4="",MONTH(($G$2+0))&lt;&gt;MONTH($C$2)),"",IF(COUNTIFS(m_teacher,E$4,m_date,($G$2+0),m_active,1,m_start,"&lt;"&amp;900,m_end,"&gt;"&amp;840)=0,"",IF(COUNTIFS(m_teacher,E$4,m_date,($G$2+0),m_active,1,m_start,"&lt;"&amp;900,m_end,"&gt;"&amp;840)&gt;1,"충돌",HYPERLINK("#'관리자_MASTER'!D"&amp;_xlfn.MAXIFS(m_row,m_teacher,E$4,m_date,($G$2+0),m_active,1,m_start,"&lt;"&amp;900,m_end,"&gt;"&amp;840),INDEX(m_label,_xlfn.MAXIFS(m_row,m_teacher,E$4,m_date,($G$2+0),m_active,1,m_start,"&lt;"&amp;900,m_end,"&gt;"&amp;840))))))</f>
        <v/>
      </c>
      <c r="F10" s="82" t="str">
        <f aca="false">IF(OR(F$4="",MONTH(($G$2+0))&lt;&gt;MONTH($C$2)),"",IF(COUNTIFS(m_teacher,F$4,m_date,($G$2+0),m_active,1,m_start,"&lt;"&amp;900,m_end,"&gt;"&amp;840)=0,"",IF(COUNTIFS(m_teacher,F$4,m_date,($G$2+0),m_active,1,m_start,"&lt;"&amp;900,m_end,"&gt;"&amp;840)&gt;1,"충돌",HYPERLINK("#'관리자_MASTER'!D"&amp;_xlfn.MAXIFS(m_row,m_teacher,F$4,m_date,($G$2+0),m_active,1,m_start,"&lt;"&amp;900,m_end,"&gt;"&amp;840),INDEX(m_label,_xlfn.MAXIFS(m_row,m_teacher,F$4,m_date,($G$2+0),m_active,1,m_start,"&lt;"&amp;900,m_end,"&gt;"&amp;840))))))</f>
        <v/>
      </c>
      <c r="G10" s="82" t="str">
        <f aca="false">IF(OR(G$4="",MONTH(($G$2+0))&lt;&gt;MONTH($C$2)),"",IF(COUNTIFS(m_teacher,G$4,m_date,($G$2+0),m_active,1,m_start,"&lt;"&amp;900,m_end,"&gt;"&amp;840)=0,"",IF(COUNTIFS(m_teacher,G$4,m_date,($G$2+0),m_active,1,m_start,"&lt;"&amp;900,m_end,"&gt;"&amp;840)&gt;1,"충돌",HYPERLINK("#'관리자_MASTER'!D"&amp;_xlfn.MAXIFS(m_row,m_teacher,G$4,m_date,($G$2+0),m_active,1,m_start,"&lt;"&amp;900,m_end,"&gt;"&amp;840),INDEX(m_label,_xlfn.MAXIFS(m_row,m_teacher,G$4,m_date,($G$2+0),m_active,1,m_start,"&lt;"&amp;900,m_end,"&gt;"&amp;840))))))</f>
        <v/>
      </c>
      <c r="H10" s="82" t="str">
        <f aca="false">IF(OR(H$4="",MONTH(($G$2+0))&lt;&gt;MONTH($C$2)),"",IF(COUNTIFS(m_teacher,H$4,m_date,($G$2+0),m_active,1,m_start,"&lt;"&amp;900,m_end,"&gt;"&amp;840)=0,"",IF(COUNTIFS(m_teacher,H$4,m_date,($G$2+0),m_active,1,m_start,"&lt;"&amp;900,m_end,"&gt;"&amp;840)&gt;1,"충돌",HYPERLINK("#'관리자_MASTER'!D"&amp;_xlfn.MAXIFS(m_row,m_teacher,H$4,m_date,($G$2+0),m_active,1,m_start,"&lt;"&amp;900,m_end,"&gt;"&amp;840),INDEX(m_label,_xlfn.MAXIFS(m_row,m_teacher,H$4,m_date,($G$2+0),m_active,1,m_start,"&lt;"&amp;900,m_end,"&gt;"&amp;840))))))</f>
        <v/>
      </c>
      <c r="I10" s="82" t="str">
        <f aca="false">IF(OR(I$4="",MONTH(($G$2+0))&lt;&gt;MONTH($C$2)),"",IF(COUNTIFS(m_teacher,I$4,m_date,($G$2+0),m_active,1,m_start,"&lt;"&amp;900,m_end,"&gt;"&amp;840)=0,"",IF(COUNTIFS(m_teacher,I$4,m_date,($G$2+0),m_active,1,m_start,"&lt;"&amp;900,m_end,"&gt;"&amp;840)&gt;1,"충돌",HYPERLINK("#'관리자_MASTER'!D"&amp;_xlfn.MAXIFS(m_row,m_teacher,I$4,m_date,($G$2+0),m_active,1,m_start,"&lt;"&amp;900,m_end,"&gt;"&amp;840),INDEX(m_label,_xlfn.MAXIFS(m_row,m_teacher,I$4,m_date,($G$2+0),m_active,1,m_start,"&lt;"&amp;900,m_end,"&gt;"&amp;840))))))</f>
        <v/>
      </c>
      <c r="J10" s="82" t="str">
        <f aca="false">IF(OR(J$4="",MONTH(($G$2+0))&lt;&gt;MONTH($C$2)),"",IF(COUNTIFS(m_teacher,J$4,m_date,($G$2+0),m_active,1,m_start,"&lt;"&amp;900,m_end,"&gt;"&amp;840)=0,"",IF(COUNTIFS(m_teacher,J$4,m_date,($G$2+0),m_active,1,m_start,"&lt;"&amp;900,m_end,"&gt;"&amp;840)&gt;1,"충돌",HYPERLINK("#'관리자_MASTER'!D"&amp;_xlfn.MAXIFS(m_row,m_teacher,J$4,m_date,($G$2+0),m_active,1,m_start,"&lt;"&amp;900,m_end,"&gt;"&amp;840),INDEX(m_label,_xlfn.MAXIFS(m_row,m_teacher,J$4,m_date,($G$2+0),m_active,1,m_start,"&lt;"&amp;900,m_end,"&gt;"&amp;840))))))</f>
        <v/>
      </c>
      <c r="K10" s="82" t="str">
        <f aca="false">IF(OR(K$4="",MONTH(($G$2+0))&lt;&gt;MONTH($C$2)),"",IF(COUNTIFS(m_teacher,K$4,m_date,($G$2+0),m_active,1,m_start,"&lt;"&amp;900,m_end,"&gt;"&amp;840)=0,"",IF(COUNTIFS(m_teacher,K$4,m_date,($G$2+0),m_active,1,m_start,"&lt;"&amp;900,m_end,"&gt;"&amp;840)&gt;1,"충돌",HYPERLINK("#'관리자_MASTER'!D"&amp;_xlfn.MAXIFS(m_row,m_teacher,K$4,m_date,($G$2+0),m_active,1,m_start,"&lt;"&amp;900,m_end,"&gt;"&amp;840),INDEX(m_label,_xlfn.MAXIFS(m_row,m_teacher,K$4,m_date,($G$2+0),m_active,1,m_start,"&lt;"&amp;900,m_end,"&gt;"&amp;840))))))</f>
        <v/>
      </c>
      <c r="L10" s="82" t="str">
        <f aca="false">IF(OR(L$4="",MONTH(($G$2+0))&lt;&gt;MONTH($C$2)),"",IF(COUNTIFS(m_teacher,L$4,m_date,($G$2+0),m_active,1,m_start,"&lt;"&amp;900,m_end,"&gt;"&amp;840)=0,"",IF(COUNTIFS(m_teacher,L$4,m_date,($G$2+0),m_active,1,m_start,"&lt;"&amp;900,m_end,"&gt;"&amp;840)&gt;1,"충돌",HYPERLINK("#'관리자_MASTER'!D"&amp;_xlfn.MAXIFS(m_row,m_teacher,L$4,m_date,($G$2+0),m_active,1,m_start,"&lt;"&amp;900,m_end,"&gt;"&amp;840),INDEX(m_label,_xlfn.MAXIFS(m_row,m_teacher,L$4,m_date,($G$2+0),m_active,1,m_start,"&lt;"&amp;900,m_end,"&gt;"&amp;840))))))</f>
        <v/>
      </c>
      <c r="M10" s="82" t="str">
        <f aca="false">IF(OR(M$4="",MONTH(($G$2+0))&lt;&gt;MONTH($C$2)),"",IF(COUNTIFS(m_teacher,M$4,m_date,($G$2+0),m_active,1,m_start,"&lt;"&amp;900,m_end,"&gt;"&amp;840)=0,"",IF(COUNTIFS(m_teacher,M$4,m_date,($G$2+0),m_active,1,m_start,"&lt;"&amp;900,m_end,"&gt;"&amp;840)&gt;1,"충돌",HYPERLINK("#'관리자_MASTER'!D"&amp;_xlfn.MAXIFS(m_row,m_teacher,M$4,m_date,($G$2+0),m_active,1,m_start,"&lt;"&amp;900,m_end,"&gt;"&amp;840),INDEX(m_label,_xlfn.MAXIFS(m_row,m_teacher,M$4,m_date,($G$2+0),m_active,1,m_start,"&lt;"&amp;900,m_end,"&gt;"&amp;840))))))</f>
        <v/>
      </c>
      <c r="N10" s="82" t="str">
        <f aca="false">IF(OR(N$4="",MONTH(($G$2+0))&lt;&gt;MONTH($C$2)),"",IF(COUNTIFS(m_teacher,N$4,m_date,($G$2+0),m_active,1,m_start,"&lt;"&amp;900,m_end,"&gt;"&amp;840)=0,"",IF(COUNTIFS(m_teacher,N$4,m_date,($G$2+0),m_active,1,m_start,"&lt;"&amp;900,m_end,"&gt;"&amp;840)&gt;1,"충돌",HYPERLINK("#'관리자_MASTER'!D"&amp;_xlfn.MAXIFS(m_row,m_teacher,N$4,m_date,($G$2+0),m_active,1,m_start,"&lt;"&amp;900,m_end,"&gt;"&amp;840),INDEX(m_label,_xlfn.MAXIFS(m_row,m_teacher,N$4,m_date,($G$2+0),m_active,1,m_start,"&lt;"&amp;900,m_end,"&gt;"&amp;840))))))</f>
        <v/>
      </c>
      <c r="O10" s="78"/>
      <c r="P10" s="79" t="s">
        <v>96</v>
      </c>
      <c r="Q10" s="82" t="str">
        <f aca="false">IF(OR(Q$4="",MONTH(($G$2+7))&lt;&gt;MONTH($C$2)),"",IF(COUNTIFS(m_teacher,Q$4,m_date,($G$2+7),m_active,1,m_start,"&lt;"&amp;900,m_end,"&gt;"&amp;840)=0,"",IF(COUNTIFS(m_teacher,Q$4,m_date,($G$2+7),m_active,1,m_start,"&lt;"&amp;900,m_end,"&gt;"&amp;840)&gt;1,"충돌",HYPERLINK("#'관리자_MASTER'!D"&amp;_xlfn.MAXIFS(m_row,m_teacher,Q$4,m_date,($G$2+7),m_active,1,m_start,"&lt;"&amp;900,m_end,"&gt;"&amp;840),INDEX(m_label,_xlfn.MAXIFS(m_row,m_teacher,Q$4,m_date,($G$2+7),m_active,1,m_start,"&lt;"&amp;900,m_end,"&gt;"&amp;840))))))</f>
        <v/>
      </c>
      <c r="R10" s="82" t="str">
        <f aca="false">IF(OR(R$4="",MONTH(($G$2+7))&lt;&gt;MONTH($C$2)),"",IF(COUNTIFS(m_teacher,R$4,m_date,($G$2+7),m_active,1,m_start,"&lt;"&amp;900,m_end,"&gt;"&amp;840)=0,"",IF(COUNTIFS(m_teacher,R$4,m_date,($G$2+7),m_active,1,m_start,"&lt;"&amp;900,m_end,"&gt;"&amp;840)&gt;1,"충돌",HYPERLINK("#'관리자_MASTER'!D"&amp;_xlfn.MAXIFS(m_row,m_teacher,R$4,m_date,($G$2+7),m_active,1,m_start,"&lt;"&amp;900,m_end,"&gt;"&amp;840),INDEX(m_label,_xlfn.MAXIFS(m_row,m_teacher,R$4,m_date,($G$2+7),m_active,1,m_start,"&lt;"&amp;900,m_end,"&gt;"&amp;840))))))</f>
        <v/>
      </c>
      <c r="S10" s="82" t="str">
        <f aca="false">IF(OR(S$4="",MONTH(($G$2+7))&lt;&gt;MONTH($C$2)),"",IF(COUNTIFS(m_teacher,S$4,m_date,($G$2+7),m_active,1,m_start,"&lt;"&amp;900,m_end,"&gt;"&amp;840)=0,"",IF(COUNTIFS(m_teacher,S$4,m_date,($G$2+7),m_active,1,m_start,"&lt;"&amp;900,m_end,"&gt;"&amp;840)&gt;1,"충돌",HYPERLINK("#'관리자_MASTER'!D"&amp;_xlfn.MAXIFS(m_row,m_teacher,S$4,m_date,($G$2+7),m_active,1,m_start,"&lt;"&amp;900,m_end,"&gt;"&amp;840),INDEX(m_label,_xlfn.MAXIFS(m_row,m_teacher,S$4,m_date,($G$2+7),m_active,1,m_start,"&lt;"&amp;900,m_end,"&gt;"&amp;840))))))</f>
        <v/>
      </c>
      <c r="T10" s="82" t="str">
        <f aca="false">IF(OR(T$4="",MONTH(($G$2+7))&lt;&gt;MONTH($C$2)),"",IF(COUNTIFS(m_teacher,T$4,m_date,($G$2+7),m_active,1,m_start,"&lt;"&amp;900,m_end,"&gt;"&amp;840)=0,"",IF(COUNTIFS(m_teacher,T$4,m_date,($G$2+7),m_active,1,m_start,"&lt;"&amp;900,m_end,"&gt;"&amp;840)&gt;1,"충돌",HYPERLINK("#'관리자_MASTER'!D"&amp;_xlfn.MAXIFS(m_row,m_teacher,T$4,m_date,($G$2+7),m_active,1,m_start,"&lt;"&amp;900,m_end,"&gt;"&amp;840),INDEX(m_label,_xlfn.MAXIFS(m_row,m_teacher,T$4,m_date,($G$2+7),m_active,1,m_start,"&lt;"&amp;900,m_end,"&gt;"&amp;840))))))</f>
        <v/>
      </c>
      <c r="U10" s="82" t="str">
        <f aca="false">IF(OR(U$4="",MONTH(($G$2+7))&lt;&gt;MONTH($C$2)),"",IF(COUNTIFS(m_teacher,U$4,m_date,($G$2+7),m_active,1,m_start,"&lt;"&amp;900,m_end,"&gt;"&amp;840)=0,"",IF(COUNTIFS(m_teacher,U$4,m_date,($G$2+7),m_active,1,m_start,"&lt;"&amp;900,m_end,"&gt;"&amp;840)&gt;1,"충돌",HYPERLINK("#'관리자_MASTER'!D"&amp;_xlfn.MAXIFS(m_row,m_teacher,U$4,m_date,($G$2+7),m_active,1,m_start,"&lt;"&amp;900,m_end,"&gt;"&amp;840),INDEX(m_label,_xlfn.MAXIFS(m_row,m_teacher,U$4,m_date,($G$2+7),m_active,1,m_start,"&lt;"&amp;900,m_end,"&gt;"&amp;840))))))</f>
        <v/>
      </c>
      <c r="V10" s="82" t="str">
        <f aca="false">IF(OR(V$4="",MONTH(($G$2+7))&lt;&gt;MONTH($C$2)),"",IF(COUNTIFS(m_teacher,V$4,m_date,($G$2+7),m_active,1,m_start,"&lt;"&amp;900,m_end,"&gt;"&amp;840)=0,"",IF(COUNTIFS(m_teacher,V$4,m_date,($G$2+7),m_active,1,m_start,"&lt;"&amp;900,m_end,"&gt;"&amp;840)&gt;1,"충돌",HYPERLINK("#'관리자_MASTER'!D"&amp;_xlfn.MAXIFS(m_row,m_teacher,V$4,m_date,($G$2+7),m_active,1,m_start,"&lt;"&amp;900,m_end,"&gt;"&amp;840),INDEX(m_label,_xlfn.MAXIFS(m_row,m_teacher,V$4,m_date,($G$2+7),m_active,1,m_start,"&lt;"&amp;900,m_end,"&gt;"&amp;840))))))</f>
        <v/>
      </c>
      <c r="W10" s="82" t="str">
        <f aca="false">IF(OR(W$4="",MONTH(($G$2+7))&lt;&gt;MONTH($C$2)),"",IF(COUNTIFS(m_teacher,W$4,m_date,($G$2+7),m_active,1,m_start,"&lt;"&amp;900,m_end,"&gt;"&amp;840)=0,"",IF(COUNTIFS(m_teacher,W$4,m_date,($G$2+7),m_active,1,m_start,"&lt;"&amp;900,m_end,"&gt;"&amp;840)&gt;1,"충돌",HYPERLINK("#'관리자_MASTER'!D"&amp;_xlfn.MAXIFS(m_row,m_teacher,W$4,m_date,($G$2+7),m_active,1,m_start,"&lt;"&amp;900,m_end,"&gt;"&amp;840),INDEX(m_label,_xlfn.MAXIFS(m_row,m_teacher,W$4,m_date,($G$2+7),m_active,1,m_start,"&lt;"&amp;900,m_end,"&gt;"&amp;840))))))</f>
        <v/>
      </c>
      <c r="X10" s="82" t="str">
        <f aca="false">IF(OR(X$4="",MONTH(($G$2+7))&lt;&gt;MONTH($C$2)),"",IF(COUNTIFS(m_teacher,X$4,m_date,($G$2+7),m_active,1,m_start,"&lt;"&amp;900,m_end,"&gt;"&amp;840)=0,"",IF(COUNTIFS(m_teacher,X$4,m_date,($G$2+7),m_active,1,m_start,"&lt;"&amp;900,m_end,"&gt;"&amp;840)&gt;1,"충돌",HYPERLINK("#'관리자_MASTER'!D"&amp;_xlfn.MAXIFS(m_row,m_teacher,X$4,m_date,($G$2+7),m_active,1,m_start,"&lt;"&amp;900,m_end,"&gt;"&amp;840),INDEX(m_label,_xlfn.MAXIFS(m_row,m_teacher,X$4,m_date,($G$2+7),m_active,1,m_start,"&lt;"&amp;900,m_end,"&gt;"&amp;840))))))</f>
        <v/>
      </c>
      <c r="Y10" s="82" t="str">
        <f aca="false">IF(OR(Y$4="",MONTH(($G$2+7))&lt;&gt;MONTH($C$2)),"",IF(COUNTIFS(m_teacher,Y$4,m_date,($G$2+7),m_active,1,m_start,"&lt;"&amp;900,m_end,"&gt;"&amp;840)=0,"",IF(COUNTIFS(m_teacher,Y$4,m_date,($G$2+7),m_active,1,m_start,"&lt;"&amp;900,m_end,"&gt;"&amp;840)&gt;1,"충돌",HYPERLINK("#'관리자_MASTER'!D"&amp;_xlfn.MAXIFS(m_row,m_teacher,Y$4,m_date,($G$2+7),m_active,1,m_start,"&lt;"&amp;900,m_end,"&gt;"&amp;840),INDEX(m_label,_xlfn.MAXIFS(m_row,m_teacher,Y$4,m_date,($G$2+7),m_active,1,m_start,"&lt;"&amp;900,m_end,"&gt;"&amp;840))))))</f>
        <v/>
      </c>
      <c r="Z10" s="82" t="str">
        <f aca="false">IF(OR(Z$4="",MONTH(($G$2+7))&lt;&gt;MONTH($C$2)),"",IF(COUNTIFS(m_teacher,Z$4,m_date,($G$2+7),m_active,1,m_start,"&lt;"&amp;900,m_end,"&gt;"&amp;840)=0,"",IF(COUNTIFS(m_teacher,Z$4,m_date,($G$2+7),m_active,1,m_start,"&lt;"&amp;900,m_end,"&gt;"&amp;840)&gt;1,"충돌",HYPERLINK("#'관리자_MASTER'!D"&amp;_xlfn.MAXIFS(m_row,m_teacher,Z$4,m_date,($G$2+7),m_active,1,m_start,"&lt;"&amp;900,m_end,"&gt;"&amp;840),INDEX(m_label,_xlfn.MAXIFS(m_row,m_teacher,Z$4,m_date,($G$2+7),m_active,1,m_start,"&lt;"&amp;900,m_end,"&gt;"&amp;840))))))</f>
        <v/>
      </c>
      <c r="AA10" s="82" t="str">
        <f aca="false">IF(OR(AA$4="",MONTH(($G$2+7))&lt;&gt;MONTH($C$2)),"",IF(COUNTIFS(m_teacher,AA$4,m_date,($G$2+7),m_active,1,m_start,"&lt;"&amp;900,m_end,"&gt;"&amp;840)=0,"",IF(COUNTIFS(m_teacher,AA$4,m_date,($G$2+7),m_active,1,m_start,"&lt;"&amp;900,m_end,"&gt;"&amp;840)&gt;1,"충돌",HYPERLINK("#'관리자_MASTER'!D"&amp;_xlfn.MAXIFS(m_row,m_teacher,AA$4,m_date,($G$2+7),m_active,1,m_start,"&lt;"&amp;900,m_end,"&gt;"&amp;840),INDEX(m_label,_xlfn.MAXIFS(m_row,m_teacher,AA$4,m_date,($G$2+7),m_active,1,m_start,"&lt;"&amp;900,m_end,"&gt;"&amp;840))))))</f>
        <v/>
      </c>
      <c r="AB10" s="82" t="str">
        <f aca="false">IF(OR(AB$4="",MONTH(($G$2+7))&lt;&gt;MONTH($C$2)),"",IF(COUNTIFS(m_teacher,AB$4,m_date,($G$2+7),m_active,1,m_start,"&lt;"&amp;900,m_end,"&gt;"&amp;840)=0,"",IF(COUNTIFS(m_teacher,AB$4,m_date,($G$2+7),m_active,1,m_start,"&lt;"&amp;900,m_end,"&gt;"&amp;840)&gt;1,"충돌",HYPERLINK("#'관리자_MASTER'!D"&amp;_xlfn.MAXIFS(m_row,m_teacher,AB$4,m_date,($G$2+7),m_active,1,m_start,"&lt;"&amp;900,m_end,"&gt;"&amp;840),INDEX(m_label,_xlfn.MAXIFS(m_row,m_teacher,AB$4,m_date,($G$2+7),m_active,1,m_start,"&lt;"&amp;900,m_end,"&gt;"&amp;840))))))</f>
        <v/>
      </c>
      <c r="AC10" s="78"/>
      <c r="AD10" s="79" t="s">
        <v>96</v>
      </c>
      <c r="AE10" s="82" t="str">
        <f aca="false">IF(OR(AE$4="",MONTH(($G$2+14))&lt;&gt;MONTH($C$2)),"",IF(COUNTIFS(m_teacher,AE$4,m_date,($G$2+14),m_active,1,m_start,"&lt;"&amp;900,m_end,"&gt;"&amp;840)=0,"",IF(COUNTIFS(m_teacher,AE$4,m_date,($G$2+14),m_active,1,m_start,"&lt;"&amp;900,m_end,"&gt;"&amp;840)&gt;1,"충돌",HYPERLINK("#'관리자_MASTER'!D"&amp;_xlfn.MAXIFS(m_row,m_teacher,AE$4,m_date,($G$2+14),m_active,1,m_start,"&lt;"&amp;900,m_end,"&gt;"&amp;840),INDEX(m_label,_xlfn.MAXIFS(m_row,m_teacher,AE$4,m_date,($G$2+14),m_active,1,m_start,"&lt;"&amp;900,m_end,"&gt;"&amp;840))))))</f>
        <v/>
      </c>
      <c r="AF10" s="82" t="str">
        <f aca="false">IF(OR(AF$4="",MONTH(($G$2+14))&lt;&gt;MONTH($C$2)),"",IF(COUNTIFS(m_teacher,AF$4,m_date,($G$2+14),m_active,1,m_start,"&lt;"&amp;900,m_end,"&gt;"&amp;840)=0,"",IF(COUNTIFS(m_teacher,AF$4,m_date,($G$2+14),m_active,1,m_start,"&lt;"&amp;900,m_end,"&gt;"&amp;840)&gt;1,"충돌",HYPERLINK("#'관리자_MASTER'!D"&amp;_xlfn.MAXIFS(m_row,m_teacher,AF$4,m_date,($G$2+14),m_active,1,m_start,"&lt;"&amp;900,m_end,"&gt;"&amp;840),INDEX(m_label,_xlfn.MAXIFS(m_row,m_teacher,AF$4,m_date,($G$2+14),m_active,1,m_start,"&lt;"&amp;900,m_end,"&gt;"&amp;840))))))</f>
        <v/>
      </c>
      <c r="AG10" s="82" t="str">
        <f aca="false">IF(OR(AG$4="",MONTH(($G$2+14))&lt;&gt;MONTH($C$2)),"",IF(COUNTIFS(m_teacher,AG$4,m_date,($G$2+14),m_active,1,m_start,"&lt;"&amp;900,m_end,"&gt;"&amp;840)=0,"",IF(COUNTIFS(m_teacher,AG$4,m_date,($G$2+14),m_active,1,m_start,"&lt;"&amp;900,m_end,"&gt;"&amp;840)&gt;1,"충돌",HYPERLINK("#'관리자_MASTER'!D"&amp;_xlfn.MAXIFS(m_row,m_teacher,AG$4,m_date,($G$2+14),m_active,1,m_start,"&lt;"&amp;900,m_end,"&gt;"&amp;840),INDEX(m_label,_xlfn.MAXIFS(m_row,m_teacher,AG$4,m_date,($G$2+14),m_active,1,m_start,"&lt;"&amp;900,m_end,"&gt;"&amp;840))))))</f>
        <v/>
      </c>
      <c r="AH10" s="82" t="str">
        <f aca="false">IF(OR(AH$4="",MONTH(($G$2+14))&lt;&gt;MONTH($C$2)),"",IF(COUNTIFS(m_teacher,AH$4,m_date,($G$2+14),m_active,1,m_start,"&lt;"&amp;900,m_end,"&gt;"&amp;840)=0,"",IF(COUNTIFS(m_teacher,AH$4,m_date,($G$2+14),m_active,1,m_start,"&lt;"&amp;900,m_end,"&gt;"&amp;840)&gt;1,"충돌",HYPERLINK("#'관리자_MASTER'!D"&amp;_xlfn.MAXIFS(m_row,m_teacher,AH$4,m_date,($G$2+14),m_active,1,m_start,"&lt;"&amp;900,m_end,"&gt;"&amp;840),INDEX(m_label,_xlfn.MAXIFS(m_row,m_teacher,AH$4,m_date,($G$2+14),m_active,1,m_start,"&lt;"&amp;900,m_end,"&gt;"&amp;840))))))</f>
        <v/>
      </c>
      <c r="AI10" s="82" t="str">
        <f aca="false">IF(OR(AI$4="",MONTH(($G$2+14))&lt;&gt;MONTH($C$2)),"",IF(COUNTIFS(m_teacher,AI$4,m_date,($G$2+14),m_active,1,m_start,"&lt;"&amp;900,m_end,"&gt;"&amp;840)=0,"",IF(COUNTIFS(m_teacher,AI$4,m_date,($G$2+14),m_active,1,m_start,"&lt;"&amp;900,m_end,"&gt;"&amp;840)&gt;1,"충돌",HYPERLINK("#'관리자_MASTER'!D"&amp;_xlfn.MAXIFS(m_row,m_teacher,AI$4,m_date,($G$2+14),m_active,1,m_start,"&lt;"&amp;900,m_end,"&gt;"&amp;840),INDEX(m_label,_xlfn.MAXIFS(m_row,m_teacher,AI$4,m_date,($G$2+14),m_active,1,m_start,"&lt;"&amp;900,m_end,"&gt;"&amp;840))))))</f>
        <v/>
      </c>
      <c r="AJ10" s="82" t="str">
        <f aca="false">IF(OR(AJ$4="",MONTH(($G$2+14))&lt;&gt;MONTH($C$2)),"",IF(COUNTIFS(m_teacher,AJ$4,m_date,($G$2+14),m_active,1,m_start,"&lt;"&amp;900,m_end,"&gt;"&amp;840)=0,"",IF(COUNTIFS(m_teacher,AJ$4,m_date,($G$2+14),m_active,1,m_start,"&lt;"&amp;900,m_end,"&gt;"&amp;840)&gt;1,"충돌",HYPERLINK("#'관리자_MASTER'!D"&amp;_xlfn.MAXIFS(m_row,m_teacher,AJ$4,m_date,($G$2+14),m_active,1,m_start,"&lt;"&amp;900,m_end,"&gt;"&amp;840),INDEX(m_label,_xlfn.MAXIFS(m_row,m_teacher,AJ$4,m_date,($G$2+14),m_active,1,m_start,"&lt;"&amp;900,m_end,"&gt;"&amp;840))))))</f>
        <v/>
      </c>
      <c r="AK10" s="82" t="str">
        <f aca="false">IF(OR(AK$4="",MONTH(($G$2+14))&lt;&gt;MONTH($C$2)),"",IF(COUNTIFS(m_teacher,AK$4,m_date,($G$2+14),m_active,1,m_start,"&lt;"&amp;900,m_end,"&gt;"&amp;840)=0,"",IF(COUNTIFS(m_teacher,AK$4,m_date,($G$2+14),m_active,1,m_start,"&lt;"&amp;900,m_end,"&gt;"&amp;840)&gt;1,"충돌",HYPERLINK("#'관리자_MASTER'!D"&amp;_xlfn.MAXIFS(m_row,m_teacher,AK$4,m_date,($G$2+14),m_active,1,m_start,"&lt;"&amp;900,m_end,"&gt;"&amp;840),INDEX(m_label,_xlfn.MAXIFS(m_row,m_teacher,AK$4,m_date,($G$2+14),m_active,1,m_start,"&lt;"&amp;900,m_end,"&gt;"&amp;840))))))</f>
        <v/>
      </c>
      <c r="AL10" s="82" t="str">
        <f aca="false">IF(OR(AL$4="",MONTH(($G$2+14))&lt;&gt;MONTH($C$2)),"",IF(COUNTIFS(m_teacher,AL$4,m_date,($G$2+14),m_active,1,m_start,"&lt;"&amp;900,m_end,"&gt;"&amp;840)=0,"",IF(COUNTIFS(m_teacher,AL$4,m_date,($G$2+14),m_active,1,m_start,"&lt;"&amp;900,m_end,"&gt;"&amp;840)&gt;1,"충돌",HYPERLINK("#'관리자_MASTER'!D"&amp;_xlfn.MAXIFS(m_row,m_teacher,AL$4,m_date,($G$2+14),m_active,1,m_start,"&lt;"&amp;900,m_end,"&gt;"&amp;840),INDEX(m_label,_xlfn.MAXIFS(m_row,m_teacher,AL$4,m_date,($G$2+14),m_active,1,m_start,"&lt;"&amp;900,m_end,"&gt;"&amp;840))))))</f>
        <v/>
      </c>
      <c r="AM10" s="82" t="str">
        <f aca="false">IF(OR(AM$4="",MONTH(($G$2+14))&lt;&gt;MONTH($C$2)),"",IF(COUNTIFS(m_teacher,AM$4,m_date,($G$2+14),m_active,1,m_start,"&lt;"&amp;900,m_end,"&gt;"&amp;840)=0,"",IF(COUNTIFS(m_teacher,AM$4,m_date,($G$2+14),m_active,1,m_start,"&lt;"&amp;900,m_end,"&gt;"&amp;840)&gt;1,"충돌",HYPERLINK("#'관리자_MASTER'!D"&amp;_xlfn.MAXIFS(m_row,m_teacher,AM$4,m_date,($G$2+14),m_active,1,m_start,"&lt;"&amp;900,m_end,"&gt;"&amp;840),INDEX(m_label,_xlfn.MAXIFS(m_row,m_teacher,AM$4,m_date,($G$2+14),m_active,1,m_start,"&lt;"&amp;900,m_end,"&gt;"&amp;840))))))</f>
        <v/>
      </c>
      <c r="AN10" s="82" t="str">
        <f aca="false">IF(OR(AN$4="",MONTH(($G$2+14))&lt;&gt;MONTH($C$2)),"",IF(COUNTIFS(m_teacher,AN$4,m_date,($G$2+14),m_active,1,m_start,"&lt;"&amp;900,m_end,"&gt;"&amp;840)=0,"",IF(COUNTIFS(m_teacher,AN$4,m_date,($G$2+14),m_active,1,m_start,"&lt;"&amp;900,m_end,"&gt;"&amp;840)&gt;1,"충돌",HYPERLINK("#'관리자_MASTER'!D"&amp;_xlfn.MAXIFS(m_row,m_teacher,AN$4,m_date,($G$2+14),m_active,1,m_start,"&lt;"&amp;900,m_end,"&gt;"&amp;840),INDEX(m_label,_xlfn.MAXIFS(m_row,m_teacher,AN$4,m_date,($G$2+14),m_active,1,m_start,"&lt;"&amp;900,m_end,"&gt;"&amp;840))))))</f>
        <v/>
      </c>
      <c r="AO10" s="82" t="str">
        <f aca="false">IF(OR(AO$4="",MONTH(($G$2+14))&lt;&gt;MONTH($C$2)),"",IF(COUNTIFS(m_teacher,AO$4,m_date,($G$2+14),m_active,1,m_start,"&lt;"&amp;900,m_end,"&gt;"&amp;840)=0,"",IF(COUNTIFS(m_teacher,AO$4,m_date,($G$2+14),m_active,1,m_start,"&lt;"&amp;900,m_end,"&gt;"&amp;840)&gt;1,"충돌",HYPERLINK("#'관리자_MASTER'!D"&amp;_xlfn.MAXIFS(m_row,m_teacher,AO$4,m_date,($G$2+14),m_active,1,m_start,"&lt;"&amp;900,m_end,"&gt;"&amp;840),INDEX(m_label,_xlfn.MAXIFS(m_row,m_teacher,AO$4,m_date,($G$2+14),m_active,1,m_start,"&lt;"&amp;900,m_end,"&gt;"&amp;840))))))</f>
        <v/>
      </c>
      <c r="AP10" s="82" t="str">
        <f aca="false">IF(OR(AP$4="",MONTH(($G$2+14))&lt;&gt;MONTH($C$2)),"",IF(COUNTIFS(m_teacher,AP$4,m_date,($G$2+14),m_active,1,m_start,"&lt;"&amp;900,m_end,"&gt;"&amp;840)=0,"",IF(COUNTIFS(m_teacher,AP$4,m_date,($G$2+14),m_active,1,m_start,"&lt;"&amp;900,m_end,"&gt;"&amp;840)&gt;1,"충돌",HYPERLINK("#'관리자_MASTER'!D"&amp;_xlfn.MAXIFS(m_row,m_teacher,AP$4,m_date,($G$2+14),m_active,1,m_start,"&lt;"&amp;900,m_end,"&gt;"&amp;840),INDEX(m_label,_xlfn.MAXIFS(m_row,m_teacher,AP$4,m_date,($G$2+14),m_active,1,m_start,"&lt;"&amp;900,m_end,"&gt;"&amp;840))))))</f>
        <v/>
      </c>
      <c r="AQ10" s="78"/>
      <c r="AR10" s="79" t="s">
        <v>96</v>
      </c>
      <c r="AS10" s="82" t="str">
        <f aca="false">IF(OR(AS$4="",MONTH(($G$2+21))&lt;&gt;MONTH($C$2)),"",IF(COUNTIFS(m_teacher,AS$4,m_date,($G$2+21),m_active,1,m_start,"&lt;"&amp;900,m_end,"&gt;"&amp;840)=0,"",IF(COUNTIFS(m_teacher,AS$4,m_date,($G$2+21),m_active,1,m_start,"&lt;"&amp;900,m_end,"&gt;"&amp;840)&gt;1,"충돌",HYPERLINK("#'관리자_MASTER'!D"&amp;_xlfn.MAXIFS(m_row,m_teacher,AS$4,m_date,($G$2+21),m_active,1,m_start,"&lt;"&amp;900,m_end,"&gt;"&amp;840),INDEX(m_label,_xlfn.MAXIFS(m_row,m_teacher,AS$4,m_date,($G$2+21),m_active,1,m_start,"&lt;"&amp;900,m_end,"&gt;"&amp;840))))))</f>
        <v/>
      </c>
      <c r="AT10" s="82" t="str">
        <f aca="false">IF(OR(AT$4="",MONTH(($G$2+21))&lt;&gt;MONTH($C$2)),"",IF(COUNTIFS(m_teacher,AT$4,m_date,($G$2+21),m_active,1,m_start,"&lt;"&amp;900,m_end,"&gt;"&amp;840)=0,"",IF(COUNTIFS(m_teacher,AT$4,m_date,($G$2+21),m_active,1,m_start,"&lt;"&amp;900,m_end,"&gt;"&amp;840)&gt;1,"충돌",HYPERLINK("#'관리자_MASTER'!D"&amp;_xlfn.MAXIFS(m_row,m_teacher,AT$4,m_date,($G$2+21),m_active,1,m_start,"&lt;"&amp;900,m_end,"&gt;"&amp;840),INDEX(m_label,_xlfn.MAXIFS(m_row,m_teacher,AT$4,m_date,($G$2+21),m_active,1,m_start,"&lt;"&amp;900,m_end,"&gt;"&amp;840))))))</f>
        <v/>
      </c>
      <c r="AU10" s="82" t="str">
        <f aca="false">IF(OR(AU$4="",MONTH(($G$2+21))&lt;&gt;MONTH($C$2)),"",IF(COUNTIFS(m_teacher,AU$4,m_date,($G$2+21),m_active,1,m_start,"&lt;"&amp;900,m_end,"&gt;"&amp;840)=0,"",IF(COUNTIFS(m_teacher,AU$4,m_date,($G$2+21),m_active,1,m_start,"&lt;"&amp;900,m_end,"&gt;"&amp;840)&gt;1,"충돌",HYPERLINK("#'관리자_MASTER'!D"&amp;_xlfn.MAXIFS(m_row,m_teacher,AU$4,m_date,($G$2+21),m_active,1,m_start,"&lt;"&amp;900,m_end,"&gt;"&amp;840),INDEX(m_label,_xlfn.MAXIFS(m_row,m_teacher,AU$4,m_date,($G$2+21),m_active,1,m_start,"&lt;"&amp;900,m_end,"&gt;"&amp;840))))))</f>
        <v/>
      </c>
      <c r="AV10" s="82" t="str">
        <f aca="false">IF(OR(AV$4="",MONTH(($G$2+21))&lt;&gt;MONTH($C$2)),"",IF(COUNTIFS(m_teacher,AV$4,m_date,($G$2+21),m_active,1,m_start,"&lt;"&amp;900,m_end,"&gt;"&amp;840)=0,"",IF(COUNTIFS(m_teacher,AV$4,m_date,($G$2+21),m_active,1,m_start,"&lt;"&amp;900,m_end,"&gt;"&amp;840)&gt;1,"충돌",HYPERLINK("#'관리자_MASTER'!D"&amp;_xlfn.MAXIFS(m_row,m_teacher,AV$4,m_date,($G$2+21),m_active,1,m_start,"&lt;"&amp;900,m_end,"&gt;"&amp;840),INDEX(m_label,_xlfn.MAXIFS(m_row,m_teacher,AV$4,m_date,($G$2+21),m_active,1,m_start,"&lt;"&amp;900,m_end,"&gt;"&amp;840))))))</f>
        <v/>
      </c>
      <c r="AW10" s="82" t="str">
        <f aca="false">IF(OR(AW$4="",MONTH(($G$2+21))&lt;&gt;MONTH($C$2)),"",IF(COUNTIFS(m_teacher,AW$4,m_date,($G$2+21),m_active,1,m_start,"&lt;"&amp;900,m_end,"&gt;"&amp;840)=0,"",IF(COUNTIFS(m_teacher,AW$4,m_date,($G$2+21),m_active,1,m_start,"&lt;"&amp;900,m_end,"&gt;"&amp;840)&gt;1,"충돌",HYPERLINK("#'관리자_MASTER'!D"&amp;_xlfn.MAXIFS(m_row,m_teacher,AW$4,m_date,($G$2+21),m_active,1,m_start,"&lt;"&amp;900,m_end,"&gt;"&amp;840),INDEX(m_label,_xlfn.MAXIFS(m_row,m_teacher,AW$4,m_date,($G$2+21),m_active,1,m_start,"&lt;"&amp;900,m_end,"&gt;"&amp;840))))))</f>
        <v/>
      </c>
      <c r="AX10" s="82" t="str">
        <f aca="false">IF(OR(AX$4="",MONTH(($G$2+21))&lt;&gt;MONTH($C$2)),"",IF(COUNTIFS(m_teacher,AX$4,m_date,($G$2+21),m_active,1,m_start,"&lt;"&amp;900,m_end,"&gt;"&amp;840)=0,"",IF(COUNTIFS(m_teacher,AX$4,m_date,($G$2+21),m_active,1,m_start,"&lt;"&amp;900,m_end,"&gt;"&amp;840)&gt;1,"충돌",HYPERLINK("#'관리자_MASTER'!D"&amp;_xlfn.MAXIFS(m_row,m_teacher,AX$4,m_date,($G$2+21),m_active,1,m_start,"&lt;"&amp;900,m_end,"&gt;"&amp;840),INDEX(m_label,_xlfn.MAXIFS(m_row,m_teacher,AX$4,m_date,($G$2+21),m_active,1,m_start,"&lt;"&amp;900,m_end,"&gt;"&amp;840))))))</f>
        <v/>
      </c>
      <c r="AY10" s="82" t="str">
        <f aca="false">IF(OR(AY$4="",MONTH(($G$2+21))&lt;&gt;MONTH($C$2)),"",IF(COUNTIFS(m_teacher,AY$4,m_date,($G$2+21),m_active,1,m_start,"&lt;"&amp;900,m_end,"&gt;"&amp;840)=0,"",IF(COUNTIFS(m_teacher,AY$4,m_date,($G$2+21),m_active,1,m_start,"&lt;"&amp;900,m_end,"&gt;"&amp;840)&gt;1,"충돌",HYPERLINK("#'관리자_MASTER'!D"&amp;_xlfn.MAXIFS(m_row,m_teacher,AY$4,m_date,($G$2+21),m_active,1,m_start,"&lt;"&amp;900,m_end,"&gt;"&amp;840),INDEX(m_label,_xlfn.MAXIFS(m_row,m_teacher,AY$4,m_date,($G$2+21),m_active,1,m_start,"&lt;"&amp;900,m_end,"&gt;"&amp;840))))))</f>
        <v/>
      </c>
      <c r="AZ10" s="82" t="str">
        <f aca="false">IF(OR(AZ$4="",MONTH(($G$2+21))&lt;&gt;MONTH($C$2)),"",IF(COUNTIFS(m_teacher,AZ$4,m_date,($G$2+21),m_active,1,m_start,"&lt;"&amp;900,m_end,"&gt;"&amp;840)=0,"",IF(COUNTIFS(m_teacher,AZ$4,m_date,($G$2+21),m_active,1,m_start,"&lt;"&amp;900,m_end,"&gt;"&amp;840)&gt;1,"충돌",HYPERLINK("#'관리자_MASTER'!D"&amp;_xlfn.MAXIFS(m_row,m_teacher,AZ$4,m_date,($G$2+21),m_active,1,m_start,"&lt;"&amp;900,m_end,"&gt;"&amp;840),INDEX(m_label,_xlfn.MAXIFS(m_row,m_teacher,AZ$4,m_date,($G$2+21),m_active,1,m_start,"&lt;"&amp;900,m_end,"&gt;"&amp;840))))))</f>
        <v/>
      </c>
      <c r="BA10" s="82" t="str">
        <f aca="false">IF(OR(BA$4="",MONTH(($G$2+21))&lt;&gt;MONTH($C$2)),"",IF(COUNTIFS(m_teacher,BA$4,m_date,($G$2+21),m_active,1,m_start,"&lt;"&amp;900,m_end,"&gt;"&amp;840)=0,"",IF(COUNTIFS(m_teacher,BA$4,m_date,($G$2+21),m_active,1,m_start,"&lt;"&amp;900,m_end,"&gt;"&amp;840)&gt;1,"충돌",HYPERLINK("#'관리자_MASTER'!D"&amp;_xlfn.MAXIFS(m_row,m_teacher,BA$4,m_date,($G$2+21),m_active,1,m_start,"&lt;"&amp;900,m_end,"&gt;"&amp;840),INDEX(m_label,_xlfn.MAXIFS(m_row,m_teacher,BA$4,m_date,($G$2+21),m_active,1,m_start,"&lt;"&amp;900,m_end,"&gt;"&amp;840))))))</f>
        <v/>
      </c>
      <c r="BB10" s="82" t="str">
        <f aca="false">IF(OR(BB$4="",MONTH(($G$2+21))&lt;&gt;MONTH($C$2)),"",IF(COUNTIFS(m_teacher,BB$4,m_date,($G$2+21),m_active,1,m_start,"&lt;"&amp;900,m_end,"&gt;"&amp;840)=0,"",IF(COUNTIFS(m_teacher,BB$4,m_date,($G$2+21),m_active,1,m_start,"&lt;"&amp;900,m_end,"&gt;"&amp;840)&gt;1,"충돌",HYPERLINK("#'관리자_MASTER'!D"&amp;_xlfn.MAXIFS(m_row,m_teacher,BB$4,m_date,($G$2+21),m_active,1,m_start,"&lt;"&amp;900,m_end,"&gt;"&amp;840),INDEX(m_label,_xlfn.MAXIFS(m_row,m_teacher,BB$4,m_date,($G$2+21),m_active,1,m_start,"&lt;"&amp;900,m_end,"&gt;"&amp;840))))))</f>
        <v/>
      </c>
      <c r="BC10" s="82" t="str">
        <f aca="false">IF(OR(BC$4="",MONTH(($G$2+21))&lt;&gt;MONTH($C$2)),"",IF(COUNTIFS(m_teacher,BC$4,m_date,($G$2+21),m_active,1,m_start,"&lt;"&amp;900,m_end,"&gt;"&amp;840)=0,"",IF(COUNTIFS(m_teacher,BC$4,m_date,($G$2+21),m_active,1,m_start,"&lt;"&amp;900,m_end,"&gt;"&amp;840)&gt;1,"충돌",HYPERLINK("#'관리자_MASTER'!D"&amp;_xlfn.MAXIFS(m_row,m_teacher,BC$4,m_date,($G$2+21),m_active,1,m_start,"&lt;"&amp;900,m_end,"&gt;"&amp;840),INDEX(m_label,_xlfn.MAXIFS(m_row,m_teacher,BC$4,m_date,($G$2+21),m_active,1,m_start,"&lt;"&amp;900,m_end,"&gt;"&amp;840))))))</f>
        <v/>
      </c>
      <c r="BD10" s="82" t="str">
        <f aca="false">IF(OR(BD$4="",MONTH(($G$2+21))&lt;&gt;MONTH($C$2)),"",IF(COUNTIFS(m_teacher,BD$4,m_date,($G$2+21),m_active,1,m_start,"&lt;"&amp;900,m_end,"&gt;"&amp;840)=0,"",IF(COUNTIFS(m_teacher,BD$4,m_date,($G$2+21),m_active,1,m_start,"&lt;"&amp;900,m_end,"&gt;"&amp;840)&gt;1,"충돌",HYPERLINK("#'관리자_MASTER'!D"&amp;_xlfn.MAXIFS(m_row,m_teacher,BD$4,m_date,($G$2+21),m_active,1,m_start,"&lt;"&amp;900,m_end,"&gt;"&amp;840),INDEX(m_label,_xlfn.MAXIFS(m_row,m_teacher,BD$4,m_date,($G$2+21),m_active,1,m_start,"&lt;"&amp;900,m_end,"&gt;"&amp;840))))))</f>
        <v/>
      </c>
    </row>
    <row r="11" customFormat="false" ht="19.5" hidden="false" customHeight="true" outlineLevel="0" collapsed="false">
      <c r="A11" s="78"/>
      <c r="B11" s="79" t="s">
        <v>97</v>
      </c>
      <c r="C11" s="82" t="str">
        <f aca="false">IF(OR(C$4="",MONTH(($G$2+0))&lt;&gt;MONTH($C$2)),"",IF(COUNTIFS(m_teacher,C$4,m_date,($G$2+0),m_active,1,m_start,"&lt;"&amp;960,m_end,"&gt;"&amp;900)=0,"",IF(COUNTIFS(m_teacher,C$4,m_date,($G$2+0),m_active,1,m_start,"&lt;"&amp;960,m_end,"&gt;"&amp;900)&gt;1,"충돌",HYPERLINK("#'관리자_MASTER'!D"&amp;_xlfn.MAXIFS(m_row,m_teacher,C$4,m_date,($G$2+0),m_active,1,m_start,"&lt;"&amp;960,m_end,"&gt;"&amp;900),INDEX(m_label,_xlfn.MAXIFS(m_row,m_teacher,C$4,m_date,($G$2+0),m_active,1,m_start,"&lt;"&amp;960,m_end,"&gt;"&amp;900))))))</f>
        <v/>
      </c>
      <c r="D11" s="82" t="str">
        <f aca="false">IF(OR(D$4="",MONTH(($G$2+0))&lt;&gt;MONTH($C$2)),"",IF(COUNTIFS(m_teacher,D$4,m_date,($G$2+0),m_active,1,m_start,"&lt;"&amp;960,m_end,"&gt;"&amp;900)=0,"",IF(COUNTIFS(m_teacher,D$4,m_date,($G$2+0),m_active,1,m_start,"&lt;"&amp;960,m_end,"&gt;"&amp;900)&gt;1,"충돌",HYPERLINK("#'관리자_MASTER'!D"&amp;_xlfn.MAXIFS(m_row,m_teacher,D$4,m_date,($G$2+0),m_active,1,m_start,"&lt;"&amp;960,m_end,"&gt;"&amp;900),INDEX(m_label,_xlfn.MAXIFS(m_row,m_teacher,D$4,m_date,($G$2+0),m_active,1,m_start,"&lt;"&amp;960,m_end,"&gt;"&amp;900))))))</f>
        <v/>
      </c>
      <c r="E11" s="82" t="str">
        <f aca="false">IF(OR(E$4="",MONTH(($G$2+0))&lt;&gt;MONTH($C$2)),"",IF(COUNTIFS(m_teacher,E$4,m_date,($G$2+0),m_active,1,m_start,"&lt;"&amp;960,m_end,"&gt;"&amp;900)=0,"",IF(COUNTIFS(m_teacher,E$4,m_date,($G$2+0),m_active,1,m_start,"&lt;"&amp;960,m_end,"&gt;"&amp;900)&gt;1,"충돌",HYPERLINK("#'관리자_MASTER'!D"&amp;_xlfn.MAXIFS(m_row,m_teacher,E$4,m_date,($G$2+0),m_active,1,m_start,"&lt;"&amp;960,m_end,"&gt;"&amp;900),INDEX(m_label,_xlfn.MAXIFS(m_row,m_teacher,E$4,m_date,($G$2+0),m_active,1,m_start,"&lt;"&amp;960,m_end,"&gt;"&amp;900))))))</f>
        <v/>
      </c>
      <c r="F11" s="82" t="str">
        <f aca="false">IF(OR(F$4="",MONTH(($G$2+0))&lt;&gt;MONTH($C$2)),"",IF(COUNTIFS(m_teacher,F$4,m_date,($G$2+0),m_active,1,m_start,"&lt;"&amp;960,m_end,"&gt;"&amp;900)=0,"",IF(COUNTIFS(m_teacher,F$4,m_date,($G$2+0),m_active,1,m_start,"&lt;"&amp;960,m_end,"&gt;"&amp;900)&gt;1,"충돌",HYPERLINK("#'관리자_MASTER'!D"&amp;_xlfn.MAXIFS(m_row,m_teacher,F$4,m_date,($G$2+0),m_active,1,m_start,"&lt;"&amp;960,m_end,"&gt;"&amp;900),INDEX(m_label,_xlfn.MAXIFS(m_row,m_teacher,F$4,m_date,($G$2+0),m_active,1,m_start,"&lt;"&amp;960,m_end,"&gt;"&amp;900))))))</f>
        <v/>
      </c>
      <c r="G11" s="82" t="str">
        <f aca="false">IF(OR(G$4="",MONTH(($G$2+0))&lt;&gt;MONTH($C$2)),"",IF(COUNTIFS(m_teacher,G$4,m_date,($G$2+0),m_active,1,m_start,"&lt;"&amp;960,m_end,"&gt;"&amp;900)=0,"",IF(COUNTIFS(m_teacher,G$4,m_date,($G$2+0),m_active,1,m_start,"&lt;"&amp;960,m_end,"&gt;"&amp;900)&gt;1,"충돌",HYPERLINK("#'관리자_MASTER'!D"&amp;_xlfn.MAXIFS(m_row,m_teacher,G$4,m_date,($G$2+0),m_active,1,m_start,"&lt;"&amp;960,m_end,"&gt;"&amp;900),INDEX(m_label,_xlfn.MAXIFS(m_row,m_teacher,G$4,m_date,($G$2+0),m_active,1,m_start,"&lt;"&amp;960,m_end,"&gt;"&amp;900))))))</f>
        <v/>
      </c>
      <c r="H11" s="82" t="str">
        <f aca="false">IF(OR(H$4="",MONTH(($G$2+0))&lt;&gt;MONTH($C$2)),"",IF(COUNTIFS(m_teacher,H$4,m_date,($G$2+0),m_active,1,m_start,"&lt;"&amp;960,m_end,"&gt;"&amp;900)=0,"",IF(COUNTIFS(m_teacher,H$4,m_date,($G$2+0),m_active,1,m_start,"&lt;"&amp;960,m_end,"&gt;"&amp;900)&gt;1,"충돌",HYPERLINK("#'관리자_MASTER'!D"&amp;_xlfn.MAXIFS(m_row,m_teacher,H$4,m_date,($G$2+0),m_active,1,m_start,"&lt;"&amp;960,m_end,"&gt;"&amp;900),INDEX(m_label,_xlfn.MAXIFS(m_row,m_teacher,H$4,m_date,($G$2+0),m_active,1,m_start,"&lt;"&amp;960,m_end,"&gt;"&amp;900))))))</f>
        <v/>
      </c>
      <c r="I11" s="82" t="str">
        <f aca="false">IF(OR(I$4="",MONTH(($G$2+0))&lt;&gt;MONTH($C$2)),"",IF(COUNTIFS(m_teacher,I$4,m_date,($G$2+0),m_active,1,m_start,"&lt;"&amp;960,m_end,"&gt;"&amp;900)=0,"",IF(COUNTIFS(m_teacher,I$4,m_date,($G$2+0),m_active,1,m_start,"&lt;"&amp;960,m_end,"&gt;"&amp;900)&gt;1,"충돌",HYPERLINK("#'관리자_MASTER'!D"&amp;_xlfn.MAXIFS(m_row,m_teacher,I$4,m_date,($G$2+0),m_active,1,m_start,"&lt;"&amp;960,m_end,"&gt;"&amp;900),INDEX(m_label,_xlfn.MAXIFS(m_row,m_teacher,I$4,m_date,($G$2+0),m_active,1,m_start,"&lt;"&amp;960,m_end,"&gt;"&amp;900))))))</f>
        <v/>
      </c>
      <c r="J11" s="82" t="str">
        <f aca="false">IF(OR(J$4="",MONTH(($G$2+0))&lt;&gt;MONTH($C$2)),"",IF(COUNTIFS(m_teacher,J$4,m_date,($G$2+0),m_active,1,m_start,"&lt;"&amp;960,m_end,"&gt;"&amp;900)=0,"",IF(COUNTIFS(m_teacher,J$4,m_date,($G$2+0),m_active,1,m_start,"&lt;"&amp;960,m_end,"&gt;"&amp;900)&gt;1,"충돌",HYPERLINK("#'관리자_MASTER'!D"&amp;_xlfn.MAXIFS(m_row,m_teacher,J$4,m_date,($G$2+0),m_active,1,m_start,"&lt;"&amp;960,m_end,"&gt;"&amp;900),INDEX(m_label,_xlfn.MAXIFS(m_row,m_teacher,J$4,m_date,($G$2+0),m_active,1,m_start,"&lt;"&amp;960,m_end,"&gt;"&amp;900))))))</f>
        <v/>
      </c>
      <c r="K11" s="82" t="str">
        <f aca="false">IF(OR(K$4="",MONTH(($G$2+0))&lt;&gt;MONTH($C$2)),"",IF(COUNTIFS(m_teacher,K$4,m_date,($G$2+0),m_active,1,m_start,"&lt;"&amp;960,m_end,"&gt;"&amp;900)=0,"",IF(COUNTIFS(m_teacher,K$4,m_date,($G$2+0),m_active,1,m_start,"&lt;"&amp;960,m_end,"&gt;"&amp;900)&gt;1,"충돌",HYPERLINK("#'관리자_MASTER'!D"&amp;_xlfn.MAXIFS(m_row,m_teacher,K$4,m_date,($G$2+0),m_active,1,m_start,"&lt;"&amp;960,m_end,"&gt;"&amp;900),INDEX(m_label,_xlfn.MAXIFS(m_row,m_teacher,K$4,m_date,($G$2+0),m_active,1,m_start,"&lt;"&amp;960,m_end,"&gt;"&amp;900))))))</f>
        <v/>
      </c>
      <c r="L11" s="82" t="str">
        <f aca="false">IF(OR(L$4="",MONTH(($G$2+0))&lt;&gt;MONTH($C$2)),"",IF(COUNTIFS(m_teacher,L$4,m_date,($G$2+0),m_active,1,m_start,"&lt;"&amp;960,m_end,"&gt;"&amp;900)=0,"",IF(COUNTIFS(m_teacher,L$4,m_date,($G$2+0),m_active,1,m_start,"&lt;"&amp;960,m_end,"&gt;"&amp;900)&gt;1,"충돌",HYPERLINK("#'관리자_MASTER'!D"&amp;_xlfn.MAXIFS(m_row,m_teacher,L$4,m_date,($G$2+0),m_active,1,m_start,"&lt;"&amp;960,m_end,"&gt;"&amp;900),INDEX(m_label,_xlfn.MAXIFS(m_row,m_teacher,L$4,m_date,($G$2+0),m_active,1,m_start,"&lt;"&amp;960,m_end,"&gt;"&amp;900))))))</f>
        <v/>
      </c>
      <c r="M11" s="82" t="str">
        <f aca="false">IF(OR(M$4="",MONTH(($G$2+0))&lt;&gt;MONTH($C$2)),"",IF(COUNTIFS(m_teacher,M$4,m_date,($G$2+0),m_active,1,m_start,"&lt;"&amp;960,m_end,"&gt;"&amp;900)=0,"",IF(COUNTIFS(m_teacher,M$4,m_date,($G$2+0),m_active,1,m_start,"&lt;"&amp;960,m_end,"&gt;"&amp;900)&gt;1,"충돌",HYPERLINK("#'관리자_MASTER'!D"&amp;_xlfn.MAXIFS(m_row,m_teacher,M$4,m_date,($G$2+0),m_active,1,m_start,"&lt;"&amp;960,m_end,"&gt;"&amp;900),INDEX(m_label,_xlfn.MAXIFS(m_row,m_teacher,M$4,m_date,($G$2+0),m_active,1,m_start,"&lt;"&amp;960,m_end,"&gt;"&amp;900))))))</f>
        <v/>
      </c>
      <c r="N11" s="82" t="str">
        <f aca="false">IF(OR(N$4="",MONTH(($G$2+0))&lt;&gt;MONTH($C$2)),"",IF(COUNTIFS(m_teacher,N$4,m_date,($G$2+0),m_active,1,m_start,"&lt;"&amp;960,m_end,"&gt;"&amp;900)=0,"",IF(COUNTIFS(m_teacher,N$4,m_date,($G$2+0),m_active,1,m_start,"&lt;"&amp;960,m_end,"&gt;"&amp;900)&gt;1,"충돌",HYPERLINK("#'관리자_MASTER'!D"&amp;_xlfn.MAXIFS(m_row,m_teacher,N$4,m_date,($G$2+0),m_active,1,m_start,"&lt;"&amp;960,m_end,"&gt;"&amp;900),INDEX(m_label,_xlfn.MAXIFS(m_row,m_teacher,N$4,m_date,($G$2+0),m_active,1,m_start,"&lt;"&amp;960,m_end,"&gt;"&amp;900))))))</f>
        <v/>
      </c>
      <c r="O11" s="78"/>
      <c r="P11" s="79" t="s">
        <v>97</v>
      </c>
      <c r="Q11" s="82" t="str">
        <f aca="false">IF(OR(Q$4="",MONTH(($G$2+7))&lt;&gt;MONTH($C$2)),"",IF(COUNTIFS(m_teacher,Q$4,m_date,($G$2+7),m_active,1,m_start,"&lt;"&amp;960,m_end,"&gt;"&amp;900)=0,"",IF(COUNTIFS(m_teacher,Q$4,m_date,($G$2+7),m_active,1,m_start,"&lt;"&amp;960,m_end,"&gt;"&amp;900)&gt;1,"충돌",HYPERLINK("#'관리자_MASTER'!D"&amp;_xlfn.MAXIFS(m_row,m_teacher,Q$4,m_date,($G$2+7),m_active,1,m_start,"&lt;"&amp;960,m_end,"&gt;"&amp;900),INDEX(m_label,_xlfn.MAXIFS(m_row,m_teacher,Q$4,m_date,($G$2+7),m_active,1,m_start,"&lt;"&amp;960,m_end,"&gt;"&amp;900))))))</f>
        <v/>
      </c>
      <c r="R11" s="82" t="str">
        <f aca="false">IF(OR(R$4="",MONTH(($G$2+7))&lt;&gt;MONTH($C$2)),"",IF(COUNTIFS(m_teacher,R$4,m_date,($G$2+7),m_active,1,m_start,"&lt;"&amp;960,m_end,"&gt;"&amp;900)=0,"",IF(COUNTIFS(m_teacher,R$4,m_date,($G$2+7),m_active,1,m_start,"&lt;"&amp;960,m_end,"&gt;"&amp;900)&gt;1,"충돌",HYPERLINK("#'관리자_MASTER'!D"&amp;_xlfn.MAXIFS(m_row,m_teacher,R$4,m_date,($G$2+7),m_active,1,m_start,"&lt;"&amp;960,m_end,"&gt;"&amp;900),INDEX(m_label,_xlfn.MAXIFS(m_row,m_teacher,R$4,m_date,($G$2+7),m_active,1,m_start,"&lt;"&amp;960,m_end,"&gt;"&amp;900))))))</f>
        <v/>
      </c>
      <c r="S11" s="82" t="str">
        <f aca="false">IF(OR(S$4="",MONTH(($G$2+7))&lt;&gt;MONTH($C$2)),"",IF(COUNTIFS(m_teacher,S$4,m_date,($G$2+7),m_active,1,m_start,"&lt;"&amp;960,m_end,"&gt;"&amp;900)=0,"",IF(COUNTIFS(m_teacher,S$4,m_date,($G$2+7),m_active,1,m_start,"&lt;"&amp;960,m_end,"&gt;"&amp;900)&gt;1,"충돌",HYPERLINK("#'관리자_MASTER'!D"&amp;_xlfn.MAXIFS(m_row,m_teacher,S$4,m_date,($G$2+7),m_active,1,m_start,"&lt;"&amp;960,m_end,"&gt;"&amp;900),INDEX(m_label,_xlfn.MAXIFS(m_row,m_teacher,S$4,m_date,($G$2+7),m_active,1,m_start,"&lt;"&amp;960,m_end,"&gt;"&amp;900))))))</f>
        <v/>
      </c>
      <c r="T11" s="82" t="str">
        <f aca="false">IF(OR(T$4="",MONTH(($G$2+7))&lt;&gt;MONTH($C$2)),"",IF(COUNTIFS(m_teacher,T$4,m_date,($G$2+7),m_active,1,m_start,"&lt;"&amp;960,m_end,"&gt;"&amp;900)=0,"",IF(COUNTIFS(m_teacher,T$4,m_date,($G$2+7),m_active,1,m_start,"&lt;"&amp;960,m_end,"&gt;"&amp;900)&gt;1,"충돌",HYPERLINK("#'관리자_MASTER'!D"&amp;_xlfn.MAXIFS(m_row,m_teacher,T$4,m_date,($G$2+7),m_active,1,m_start,"&lt;"&amp;960,m_end,"&gt;"&amp;900),INDEX(m_label,_xlfn.MAXIFS(m_row,m_teacher,T$4,m_date,($G$2+7),m_active,1,m_start,"&lt;"&amp;960,m_end,"&gt;"&amp;900))))))</f>
        <v/>
      </c>
      <c r="U11" s="82" t="str">
        <f aca="false">IF(OR(U$4="",MONTH(($G$2+7))&lt;&gt;MONTH($C$2)),"",IF(COUNTIFS(m_teacher,U$4,m_date,($G$2+7),m_active,1,m_start,"&lt;"&amp;960,m_end,"&gt;"&amp;900)=0,"",IF(COUNTIFS(m_teacher,U$4,m_date,($G$2+7),m_active,1,m_start,"&lt;"&amp;960,m_end,"&gt;"&amp;900)&gt;1,"충돌",HYPERLINK("#'관리자_MASTER'!D"&amp;_xlfn.MAXIFS(m_row,m_teacher,U$4,m_date,($G$2+7),m_active,1,m_start,"&lt;"&amp;960,m_end,"&gt;"&amp;900),INDEX(m_label,_xlfn.MAXIFS(m_row,m_teacher,U$4,m_date,($G$2+7),m_active,1,m_start,"&lt;"&amp;960,m_end,"&gt;"&amp;900))))))</f>
        <v/>
      </c>
      <c r="V11" s="82" t="str">
        <f aca="false">IF(OR(V$4="",MONTH(($G$2+7))&lt;&gt;MONTH($C$2)),"",IF(COUNTIFS(m_teacher,V$4,m_date,($G$2+7),m_active,1,m_start,"&lt;"&amp;960,m_end,"&gt;"&amp;900)=0,"",IF(COUNTIFS(m_teacher,V$4,m_date,($G$2+7),m_active,1,m_start,"&lt;"&amp;960,m_end,"&gt;"&amp;900)&gt;1,"충돌",HYPERLINK("#'관리자_MASTER'!D"&amp;_xlfn.MAXIFS(m_row,m_teacher,V$4,m_date,($G$2+7),m_active,1,m_start,"&lt;"&amp;960,m_end,"&gt;"&amp;900),INDEX(m_label,_xlfn.MAXIFS(m_row,m_teacher,V$4,m_date,($G$2+7),m_active,1,m_start,"&lt;"&amp;960,m_end,"&gt;"&amp;900))))))</f>
        <v/>
      </c>
      <c r="W11" s="82" t="str">
        <f aca="false">IF(OR(W$4="",MONTH(($G$2+7))&lt;&gt;MONTH($C$2)),"",IF(COUNTIFS(m_teacher,W$4,m_date,($G$2+7),m_active,1,m_start,"&lt;"&amp;960,m_end,"&gt;"&amp;900)=0,"",IF(COUNTIFS(m_teacher,W$4,m_date,($G$2+7),m_active,1,m_start,"&lt;"&amp;960,m_end,"&gt;"&amp;900)&gt;1,"충돌",HYPERLINK("#'관리자_MASTER'!D"&amp;_xlfn.MAXIFS(m_row,m_teacher,W$4,m_date,($G$2+7),m_active,1,m_start,"&lt;"&amp;960,m_end,"&gt;"&amp;900),INDEX(m_label,_xlfn.MAXIFS(m_row,m_teacher,W$4,m_date,($G$2+7),m_active,1,m_start,"&lt;"&amp;960,m_end,"&gt;"&amp;900))))))</f>
        <v/>
      </c>
      <c r="X11" s="82" t="str">
        <f aca="false">IF(OR(X$4="",MONTH(($G$2+7))&lt;&gt;MONTH($C$2)),"",IF(COUNTIFS(m_teacher,X$4,m_date,($G$2+7),m_active,1,m_start,"&lt;"&amp;960,m_end,"&gt;"&amp;900)=0,"",IF(COUNTIFS(m_teacher,X$4,m_date,($G$2+7),m_active,1,m_start,"&lt;"&amp;960,m_end,"&gt;"&amp;900)&gt;1,"충돌",HYPERLINK("#'관리자_MASTER'!D"&amp;_xlfn.MAXIFS(m_row,m_teacher,X$4,m_date,($G$2+7),m_active,1,m_start,"&lt;"&amp;960,m_end,"&gt;"&amp;900),INDEX(m_label,_xlfn.MAXIFS(m_row,m_teacher,X$4,m_date,($G$2+7),m_active,1,m_start,"&lt;"&amp;960,m_end,"&gt;"&amp;900))))))</f>
        <v/>
      </c>
      <c r="Y11" s="82" t="str">
        <f aca="false">IF(OR(Y$4="",MONTH(($G$2+7))&lt;&gt;MONTH($C$2)),"",IF(COUNTIFS(m_teacher,Y$4,m_date,($G$2+7),m_active,1,m_start,"&lt;"&amp;960,m_end,"&gt;"&amp;900)=0,"",IF(COUNTIFS(m_teacher,Y$4,m_date,($G$2+7),m_active,1,m_start,"&lt;"&amp;960,m_end,"&gt;"&amp;900)&gt;1,"충돌",HYPERLINK("#'관리자_MASTER'!D"&amp;_xlfn.MAXIFS(m_row,m_teacher,Y$4,m_date,($G$2+7),m_active,1,m_start,"&lt;"&amp;960,m_end,"&gt;"&amp;900),INDEX(m_label,_xlfn.MAXIFS(m_row,m_teacher,Y$4,m_date,($G$2+7),m_active,1,m_start,"&lt;"&amp;960,m_end,"&gt;"&amp;900))))))</f>
        <v/>
      </c>
      <c r="Z11" s="82" t="str">
        <f aca="false">IF(OR(Z$4="",MONTH(($G$2+7))&lt;&gt;MONTH($C$2)),"",IF(COUNTIFS(m_teacher,Z$4,m_date,($G$2+7),m_active,1,m_start,"&lt;"&amp;960,m_end,"&gt;"&amp;900)=0,"",IF(COUNTIFS(m_teacher,Z$4,m_date,($G$2+7),m_active,1,m_start,"&lt;"&amp;960,m_end,"&gt;"&amp;900)&gt;1,"충돌",HYPERLINK("#'관리자_MASTER'!D"&amp;_xlfn.MAXIFS(m_row,m_teacher,Z$4,m_date,($G$2+7),m_active,1,m_start,"&lt;"&amp;960,m_end,"&gt;"&amp;900),INDEX(m_label,_xlfn.MAXIFS(m_row,m_teacher,Z$4,m_date,($G$2+7),m_active,1,m_start,"&lt;"&amp;960,m_end,"&gt;"&amp;900))))))</f>
        <v/>
      </c>
      <c r="AA11" s="82" t="str">
        <f aca="false">IF(OR(AA$4="",MONTH(($G$2+7))&lt;&gt;MONTH($C$2)),"",IF(COUNTIFS(m_teacher,AA$4,m_date,($G$2+7),m_active,1,m_start,"&lt;"&amp;960,m_end,"&gt;"&amp;900)=0,"",IF(COUNTIFS(m_teacher,AA$4,m_date,($G$2+7),m_active,1,m_start,"&lt;"&amp;960,m_end,"&gt;"&amp;900)&gt;1,"충돌",HYPERLINK("#'관리자_MASTER'!D"&amp;_xlfn.MAXIFS(m_row,m_teacher,AA$4,m_date,($G$2+7),m_active,1,m_start,"&lt;"&amp;960,m_end,"&gt;"&amp;900),INDEX(m_label,_xlfn.MAXIFS(m_row,m_teacher,AA$4,m_date,($G$2+7),m_active,1,m_start,"&lt;"&amp;960,m_end,"&gt;"&amp;900))))))</f>
        <v/>
      </c>
      <c r="AB11" s="82" t="str">
        <f aca="false">IF(OR(AB$4="",MONTH(($G$2+7))&lt;&gt;MONTH($C$2)),"",IF(COUNTIFS(m_teacher,AB$4,m_date,($G$2+7),m_active,1,m_start,"&lt;"&amp;960,m_end,"&gt;"&amp;900)=0,"",IF(COUNTIFS(m_teacher,AB$4,m_date,($G$2+7),m_active,1,m_start,"&lt;"&amp;960,m_end,"&gt;"&amp;900)&gt;1,"충돌",HYPERLINK("#'관리자_MASTER'!D"&amp;_xlfn.MAXIFS(m_row,m_teacher,AB$4,m_date,($G$2+7),m_active,1,m_start,"&lt;"&amp;960,m_end,"&gt;"&amp;900),INDEX(m_label,_xlfn.MAXIFS(m_row,m_teacher,AB$4,m_date,($G$2+7),m_active,1,m_start,"&lt;"&amp;960,m_end,"&gt;"&amp;900))))))</f>
        <v/>
      </c>
      <c r="AC11" s="78"/>
      <c r="AD11" s="79" t="s">
        <v>97</v>
      </c>
      <c r="AE11" s="82" t="str">
        <f aca="false">IF(OR(AE$4="",MONTH(($G$2+14))&lt;&gt;MONTH($C$2)),"",IF(COUNTIFS(m_teacher,AE$4,m_date,($G$2+14),m_active,1,m_start,"&lt;"&amp;960,m_end,"&gt;"&amp;900)=0,"",IF(COUNTIFS(m_teacher,AE$4,m_date,($G$2+14),m_active,1,m_start,"&lt;"&amp;960,m_end,"&gt;"&amp;900)&gt;1,"충돌",HYPERLINK("#'관리자_MASTER'!D"&amp;_xlfn.MAXIFS(m_row,m_teacher,AE$4,m_date,($G$2+14),m_active,1,m_start,"&lt;"&amp;960,m_end,"&gt;"&amp;900),INDEX(m_label,_xlfn.MAXIFS(m_row,m_teacher,AE$4,m_date,($G$2+14),m_active,1,m_start,"&lt;"&amp;960,m_end,"&gt;"&amp;900))))))</f>
        <v/>
      </c>
      <c r="AF11" s="82" t="str">
        <f aca="false">IF(OR(AF$4="",MONTH(($G$2+14))&lt;&gt;MONTH($C$2)),"",IF(COUNTIFS(m_teacher,AF$4,m_date,($G$2+14),m_active,1,m_start,"&lt;"&amp;960,m_end,"&gt;"&amp;900)=0,"",IF(COUNTIFS(m_teacher,AF$4,m_date,($G$2+14),m_active,1,m_start,"&lt;"&amp;960,m_end,"&gt;"&amp;900)&gt;1,"충돌",HYPERLINK("#'관리자_MASTER'!D"&amp;_xlfn.MAXIFS(m_row,m_teacher,AF$4,m_date,($G$2+14),m_active,1,m_start,"&lt;"&amp;960,m_end,"&gt;"&amp;900),INDEX(m_label,_xlfn.MAXIFS(m_row,m_teacher,AF$4,m_date,($G$2+14),m_active,1,m_start,"&lt;"&amp;960,m_end,"&gt;"&amp;900))))))</f>
        <v/>
      </c>
      <c r="AG11" s="82" t="str">
        <f aca="false">IF(OR(AG$4="",MONTH(($G$2+14))&lt;&gt;MONTH($C$2)),"",IF(COUNTIFS(m_teacher,AG$4,m_date,($G$2+14),m_active,1,m_start,"&lt;"&amp;960,m_end,"&gt;"&amp;900)=0,"",IF(COUNTIFS(m_teacher,AG$4,m_date,($G$2+14),m_active,1,m_start,"&lt;"&amp;960,m_end,"&gt;"&amp;900)&gt;1,"충돌",HYPERLINK("#'관리자_MASTER'!D"&amp;_xlfn.MAXIFS(m_row,m_teacher,AG$4,m_date,($G$2+14),m_active,1,m_start,"&lt;"&amp;960,m_end,"&gt;"&amp;900),INDEX(m_label,_xlfn.MAXIFS(m_row,m_teacher,AG$4,m_date,($G$2+14),m_active,1,m_start,"&lt;"&amp;960,m_end,"&gt;"&amp;900))))))</f>
        <v/>
      </c>
      <c r="AH11" s="82" t="str">
        <f aca="false">IF(OR(AH$4="",MONTH(($G$2+14))&lt;&gt;MONTH($C$2)),"",IF(COUNTIFS(m_teacher,AH$4,m_date,($G$2+14),m_active,1,m_start,"&lt;"&amp;960,m_end,"&gt;"&amp;900)=0,"",IF(COUNTIFS(m_teacher,AH$4,m_date,($G$2+14),m_active,1,m_start,"&lt;"&amp;960,m_end,"&gt;"&amp;900)&gt;1,"충돌",HYPERLINK("#'관리자_MASTER'!D"&amp;_xlfn.MAXIFS(m_row,m_teacher,AH$4,m_date,($G$2+14),m_active,1,m_start,"&lt;"&amp;960,m_end,"&gt;"&amp;900),INDEX(m_label,_xlfn.MAXIFS(m_row,m_teacher,AH$4,m_date,($G$2+14),m_active,1,m_start,"&lt;"&amp;960,m_end,"&gt;"&amp;900))))))</f>
        <v/>
      </c>
      <c r="AI11" s="82" t="str">
        <f aca="false">IF(OR(AI$4="",MONTH(($G$2+14))&lt;&gt;MONTH($C$2)),"",IF(COUNTIFS(m_teacher,AI$4,m_date,($G$2+14),m_active,1,m_start,"&lt;"&amp;960,m_end,"&gt;"&amp;900)=0,"",IF(COUNTIFS(m_teacher,AI$4,m_date,($G$2+14),m_active,1,m_start,"&lt;"&amp;960,m_end,"&gt;"&amp;900)&gt;1,"충돌",HYPERLINK("#'관리자_MASTER'!D"&amp;_xlfn.MAXIFS(m_row,m_teacher,AI$4,m_date,($G$2+14),m_active,1,m_start,"&lt;"&amp;960,m_end,"&gt;"&amp;900),INDEX(m_label,_xlfn.MAXIFS(m_row,m_teacher,AI$4,m_date,($G$2+14),m_active,1,m_start,"&lt;"&amp;960,m_end,"&gt;"&amp;900))))))</f>
        <v/>
      </c>
      <c r="AJ11" s="82" t="str">
        <f aca="false">IF(OR(AJ$4="",MONTH(($G$2+14))&lt;&gt;MONTH($C$2)),"",IF(COUNTIFS(m_teacher,AJ$4,m_date,($G$2+14),m_active,1,m_start,"&lt;"&amp;960,m_end,"&gt;"&amp;900)=0,"",IF(COUNTIFS(m_teacher,AJ$4,m_date,($G$2+14),m_active,1,m_start,"&lt;"&amp;960,m_end,"&gt;"&amp;900)&gt;1,"충돌",HYPERLINK("#'관리자_MASTER'!D"&amp;_xlfn.MAXIFS(m_row,m_teacher,AJ$4,m_date,($G$2+14),m_active,1,m_start,"&lt;"&amp;960,m_end,"&gt;"&amp;900),INDEX(m_label,_xlfn.MAXIFS(m_row,m_teacher,AJ$4,m_date,($G$2+14),m_active,1,m_start,"&lt;"&amp;960,m_end,"&gt;"&amp;900))))))</f>
        <v/>
      </c>
      <c r="AK11" s="82" t="str">
        <f aca="false">IF(OR(AK$4="",MONTH(($G$2+14))&lt;&gt;MONTH($C$2)),"",IF(COUNTIFS(m_teacher,AK$4,m_date,($G$2+14),m_active,1,m_start,"&lt;"&amp;960,m_end,"&gt;"&amp;900)=0,"",IF(COUNTIFS(m_teacher,AK$4,m_date,($G$2+14),m_active,1,m_start,"&lt;"&amp;960,m_end,"&gt;"&amp;900)&gt;1,"충돌",HYPERLINK("#'관리자_MASTER'!D"&amp;_xlfn.MAXIFS(m_row,m_teacher,AK$4,m_date,($G$2+14),m_active,1,m_start,"&lt;"&amp;960,m_end,"&gt;"&amp;900),INDEX(m_label,_xlfn.MAXIFS(m_row,m_teacher,AK$4,m_date,($G$2+14),m_active,1,m_start,"&lt;"&amp;960,m_end,"&gt;"&amp;900))))))</f>
        <v/>
      </c>
      <c r="AL11" s="82" t="str">
        <f aca="false">IF(OR(AL$4="",MONTH(($G$2+14))&lt;&gt;MONTH($C$2)),"",IF(COUNTIFS(m_teacher,AL$4,m_date,($G$2+14),m_active,1,m_start,"&lt;"&amp;960,m_end,"&gt;"&amp;900)=0,"",IF(COUNTIFS(m_teacher,AL$4,m_date,($G$2+14),m_active,1,m_start,"&lt;"&amp;960,m_end,"&gt;"&amp;900)&gt;1,"충돌",HYPERLINK("#'관리자_MASTER'!D"&amp;_xlfn.MAXIFS(m_row,m_teacher,AL$4,m_date,($G$2+14),m_active,1,m_start,"&lt;"&amp;960,m_end,"&gt;"&amp;900),INDEX(m_label,_xlfn.MAXIFS(m_row,m_teacher,AL$4,m_date,($G$2+14),m_active,1,m_start,"&lt;"&amp;960,m_end,"&gt;"&amp;900))))))</f>
        <v/>
      </c>
      <c r="AM11" s="82" t="str">
        <f aca="false">IF(OR(AM$4="",MONTH(($G$2+14))&lt;&gt;MONTH($C$2)),"",IF(COUNTIFS(m_teacher,AM$4,m_date,($G$2+14),m_active,1,m_start,"&lt;"&amp;960,m_end,"&gt;"&amp;900)=0,"",IF(COUNTIFS(m_teacher,AM$4,m_date,($G$2+14),m_active,1,m_start,"&lt;"&amp;960,m_end,"&gt;"&amp;900)&gt;1,"충돌",HYPERLINK("#'관리자_MASTER'!D"&amp;_xlfn.MAXIFS(m_row,m_teacher,AM$4,m_date,($G$2+14),m_active,1,m_start,"&lt;"&amp;960,m_end,"&gt;"&amp;900),INDEX(m_label,_xlfn.MAXIFS(m_row,m_teacher,AM$4,m_date,($G$2+14),m_active,1,m_start,"&lt;"&amp;960,m_end,"&gt;"&amp;900))))))</f>
        <v/>
      </c>
      <c r="AN11" s="82" t="str">
        <f aca="false">IF(OR(AN$4="",MONTH(($G$2+14))&lt;&gt;MONTH($C$2)),"",IF(COUNTIFS(m_teacher,AN$4,m_date,($G$2+14),m_active,1,m_start,"&lt;"&amp;960,m_end,"&gt;"&amp;900)=0,"",IF(COUNTIFS(m_teacher,AN$4,m_date,($G$2+14),m_active,1,m_start,"&lt;"&amp;960,m_end,"&gt;"&amp;900)&gt;1,"충돌",HYPERLINK("#'관리자_MASTER'!D"&amp;_xlfn.MAXIFS(m_row,m_teacher,AN$4,m_date,($G$2+14),m_active,1,m_start,"&lt;"&amp;960,m_end,"&gt;"&amp;900),INDEX(m_label,_xlfn.MAXIFS(m_row,m_teacher,AN$4,m_date,($G$2+14),m_active,1,m_start,"&lt;"&amp;960,m_end,"&gt;"&amp;900))))))</f>
        <v/>
      </c>
      <c r="AO11" s="82" t="str">
        <f aca="false">IF(OR(AO$4="",MONTH(($G$2+14))&lt;&gt;MONTH($C$2)),"",IF(COUNTIFS(m_teacher,AO$4,m_date,($G$2+14),m_active,1,m_start,"&lt;"&amp;960,m_end,"&gt;"&amp;900)=0,"",IF(COUNTIFS(m_teacher,AO$4,m_date,($G$2+14),m_active,1,m_start,"&lt;"&amp;960,m_end,"&gt;"&amp;900)&gt;1,"충돌",HYPERLINK("#'관리자_MASTER'!D"&amp;_xlfn.MAXIFS(m_row,m_teacher,AO$4,m_date,($G$2+14),m_active,1,m_start,"&lt;"&amp;960,m_end,"&gt;"&amp;900),INDEX(m_label,_xlfn.MAXIFS(m_row,m_teacher,AO$4,m_date,($G$2+14),m_active,1,m_start,"&lt;"&amp;960,m_end,"&gt;"&amp;900))))))</f>
        <v/>
      </c>
      <c r="AP11" s="82" t="str">
        <f aca="false">IF(OR(AP$4="",MONTH(($G$2+14))&lt;&gt;MONTH($C$2)),"",IF(COUNTIFS(m_teacher,AP$4,m_date,($G$2+14),m_active,1,m_start,"&lt;"&amp;960,m_end,"&gt;"&amp;900)=0,"",IF(COUNTIFS(m_teacher,AP$4,m_date,($G$2+14),m_active,1,m_start,"&lt;"&amp;960,m_end,"&gt;"&amp;900)&gt;1,"충돌",HYPERLINK("#'관리자_MASTER'!D"&amp;_xlfn.MAXIFS(m_row,m_teacher,AP$4,m_date,($G$2+14),m_active,1,m_start,"&lt;"&amp;960,m_end,"&gt;"&amp;900),INDEX(m_label,_xlfn.MAXIFS(m_row,m_teacher,AP$4,m_date,($G$2+14),m_active,1,m_start,"&lt;"&amp;960,m_end,"&gt;"&amp;900))))))</f>
        <v/>
      </c>
      <c r="AQ11" s="78"/>
      <c r="AR11" s="79" t="s">
        <v>97</v>
      </c>
      <c r="AS11" s="82" t="str">
        <f aca="false">IF(OR(AS$4="",MONTH(($G$2+21))&lt;&gt;MONTH($C$2)),"",IF(COUNTIFS(m_teacher,AS$4,m_date,($G$2+21),m_active,1,m_start,"&lt;"&amp;960,m_end,"&gt;"&amp;900)=0,"",IF(COUNTIFS(m_teacher,AS$4,m_date,($G$2+21),m_active,1,m_start,"&lt;"&amp;960,m_end,"&gt;"&amp;900)&gt;1,"충돌",HYPERLINK("#'관리자_MASTER'!D"&amp;_xlfn.MAXIFS(m_row,m_teacher,AS$4,m_date,($G$2+21),m_active,1,m_start,"&lt;"&amp;960,m_end,"&gt;"&amp;900),INDEX(m_label,_xlfn.MAXIFS(m_row,m_teacher,AS$4,m_date,($G$2+21),m_active,1,m_start,"&lt;"&amp;960,m_end,"&gt;"&amp;900))))))</f>
        <v/>
      </c>
      <c r="AT11" s="82" t="str">
        <f aca="false">IF(OR(AT$4="",MONTH(($G$2+21))&lt;&gt;MONTH($C$2)),"",IF(COUNTIFS(m_teacher,AT$4,m_date,($G$2+21),m_active,1,m_start,"&lt;"&amp;960,m_end,"&gt;"&amp;900)=0,"",IF(COUNTIFS(m_teacher,AT$4,m_date,($G$2+21),m_active,1,m_start,"&lt;"&amp;960,m_end,"&gt;"&amp;900)&gt;1,"충돌",HYPERLINK("#'관리자_MASTER'!D"&amp;_xlfn.MAXIFS(m_row,m_teacher,AT$4,m_date,($G$2+21),m_active,1,m_start,"&lt;"&amp;960,m_end,"&gt;"&amp;900),INDEX(m_label,_xlfn.MAXIFS(m_row,m_teacher,AT$4,m_date,($G$2+21),m_active,1,m_start,"&lt;"&amp;960,m_end,"&gt;"&amp;900))))))</f>
        <v/>
      </c>
      <c r="AU11" s="82" t="str">
        <f aca="false">IF(OR(AU$4="",MONTH(($G$2+21))&lt;&gt;MONTH($C$2)),"",IF(COUNTIFS(m_teacher,AU$4,m_date,($G$2+21),m_active,1,m_start,"&lt;"&amp;960,m_end,"&gt;"&amp;900)=0,"",IF(COUNTIFS(m_teacher,AU$4,m_date,($G$2+21),m_active,1,m_start,"&lt;"&amp;960,m_end,"&gt;"&amp;900)&gt;1,"충돌",HYPERLINK("#'관리자_MASTER'!D"&amp;_xlfn.MAXIFS(m_row,m_teacher,AU$4,m_date,($G$2+21),m_active,1,m_start,"&lt;"&amp;960,m_end,"&gt;"&amp;900),INDEX(m_label,_xlfn.MAXIFS(m_row,m_teacher,AU$4,m_date,($G$2+21),m_active,1,m_start,"&lt;"&amp;960,m_end,"&gt;"&amp;900))))))</f>
        <v/>
      </c>
      <c r="AV11" s="82" t="str">
        <f aca="false">IF(OR(AV$4="",MONTH(($G$2+21))&lt;&gt;MONTH($C$2)),"",IF(COUNTIFS(m_teacher,AV$4,m_date,($G$2+21),m_active,1,m_start,"&lt;"&amp;960,m_end,"&gt;"&amp;900)=0,"",IF(COUNTIFS(m_teacher,AV$4,m_date,($G$2+21),m_active,1,m_start,"&lt;"&amp;960,m_end,"&gt;"&amp;900)&gt;1,"충돌",HYPERLINK("#'관리자_MASTER'!D"&amp;_xlfn.MAXIFS(m_row,m_teacher,AV$4,m_date,($G$2+21),m_active,1,m_start,"&lt;"&amp;960,m_end,"&gt;"&amp;900),INDEX(m_label,_xlfn.MAXIFS(m_row,m_teacher,AV$4,m_date,($G$2+21),m_active,1,m_start,"&lt;"&amp;960,m_end,"&gt;"&amp;900))))))</f>
        <v/>
      </c>
      <c r="AW11" s="82" t="str">
        <f aca="false">IF(OR(AW$4="",MONTH(($G$2+21))&lt;&gt;MONTH($C$2)),"",IF(COUNTIFS(m_teacher,AW$4,m_date,($G$2+21),m_active,1,m_start,"&lt;"&amp;960,m_end,"&gt;"&amp;900)=0,"",IF(COUNTIFS(m_teacher,AW$4,m_date,($G$2+21),m_active,1,m_start,"&lt;"&amp;960,m_end,"&gt;"&amp;900)&gt;1,"충돌",HYPERLINK("#'관리자_MASTER'!D"&amp;_xlfn.MAXIFS(m_row,m_teacher,AW$4,m_date,($G$2+21),m_active,1,m_start,"&lt;"&amp;960,m_end,"&gt;"&amp;900),INDEX(m_label,_xlfn.MAXIFS(m_row,m_teacher,AW$4,m_date,($G$2+21),m_active,1,m_start,"&lt;"&amp;960,m_end,"&gt;"&amp;900))))))</f>
        <v/>
      </c>
      <c r="AX11" s="82" t="str">
        <f aca="false">IF(OR(AX$4="",MONTH(($G$2+21))&lt;&gt;MONTH($C$2)),"",IF(COUNTIFS(m_teacher,AX$4,m_date,($G$2+21),m_active,1,m_start,"&lt;"&amp;960,m_end,"&gt;"&amp;900)=0,"",IF(COUNTIFS(m_teacher,AX$4,m_date,($G$2+21),m_active,1,m_start,"&lt;"&amp;960,m_end,"&gt;"&amp;900)&gt;1,"충돌",HYPERLINK("#'관리자_MASTER'!D"&amp;_xlfn.MAXIFS(m_row,m_teacher,AX$4,m_date,($G$2+21),m_active,1,m_start,"&lt;"&amp;960,m_end,"&gt;"&amp;900),INDEX(m_label,_xlfn.MAXIFS(m_row,m_teacher,AX$4,m_date,($G$2+21),m_active,1,m_start,"&lt;"&amp;960,m_end,"&gt;"&amp;900))))))</f>
        <v/>
      </c>
      <c r="AY11" s="82" t="str">
        <f aca="false">IF(OR(AY$4="",MONTH(($G$2+21))&lt;&gt;MONTH($C$2)),"",IF(COUNTIFS(m_teacher,AY$4,m_date,($G$2+21),m_active,1,m_start,"&lt;"&amp;960,m_end,"&gt;"&amp;900)=0,"",IF(COUNTIFS(m_teacher,AY$4,m_date,($G$2+21),m_active,1,m_start,"&lt;"&amp;960,m_end,"&gt;"&amp;900)&gt;1,"충돌",HYPERLINK("#'관리자_MASTER'!D"&amp;_xlfn.MAXIFS(m_row,m_teacher,AY$4,m_date,($G$2+21),m_active,1,m_start,"&lt;"&amp;960,m_end,"&gt;"&amp;900),INDEX(m_label,_xlfn.MAXIFS(m_row,m_teacher,AY$4,m_date,($G$2+21),m_active,1,m_start,"&lt;"&amp;960,m_end,"&gt;"&amp;900))))))</f>
        <v/>
      </c>
      <c r="AZ11" s="82" t="str">
        <f aca="false">IF(OR(AZ$4="",MONTH(($G$2+21))&lt;&gt;MONTH($C$2)),"",IF(COUNTIFS(m_teacher,AZ$4,m_date,($G$2+21),m_active,1,m_start,"&lt;"&amp;960,m_end,"&gt;"&amp;900)=0,"",IF(COUNTIFS(m_teacher,AZ$4,m_date,($G$2+21),m_active,1,m_start,"&lt;"&amp;960,m_end,"&gt;"&amp;900)&gt;1,"충돌",HYPERLINK("#'관리자_MASTER'!D"&amp;_xlfn.MAXIFS(m_row,m_teacher,AZ$4,m_date,($G$2+21),m_active,1,m_start,"&lt;"&amp;960,m_end,"&gt;"&amp;900),INDEX(m_label,_xlfn.MAXIFS(m_row,m_teacher,AZ$4,m_date,($G$2+21),m_active,1,m_start,"&lt;"&amp;960,m_end,"&gt;"&amp;900))))))</f>
        <v/>
      </c>
      <c r="BA11" s="82" t="str">
        <f aca="false">IF(OR(BA$4="",MONTH(($G$2+21))&lt;&gt;MONTH($C$2)),"",IF(COUNTIFS(m_teacher,BA$4,m_date,($G$2+21),m_active,1,m_start,"&lt;"&amp;960,m_end,"&gt;"&amp;900)=0,"",IF(COUNTIFS(m_teacher,BA$4,m_date,($G$2+21),m_active,1,m_start,"&lt;"&amp;960,m_end,"&gt;"&amp;900)&gt;1,"충돌",HYPERLINK("#'관리자_MASTER'!D"&amp;_xlfn.MAXIFS(m_row,m_teacher,BA$4,m_date,($G$2+21),m_active,1,m_start,"&lt;"&amp;960,m_end,"&gt;"&amp;900),INDEX(m_label,_xlfn.MAXIFS(m_row,m_teacher,BA$4,m_date,($G$2+21),m_active,1,m_start,"&lt;"&amp;960,m_end,"&gt;"&amp;900))))))</f>
        <v/>
      </c>
      <c r="BB11" s="82" t="str">
        <f aca="false">IF(OR(BB$4="",MONTH(($G$2+21))&lt;&gt;MONTH($C$2)),"",IF(COUNTIFS(m_teacher,BB$4,m_date,($G$2+21),m_active,1,m_start,"&lt;"&amp;960,m_end,"&gt;"&amp;900)=0,"",IF(COUNTIFS(m_teacher,BB$4,m_date,($G$2+21),m_active,1,m_start,"&lt;"&amp;960,m_end,"&gt;"&amp;900)&gt;1,"충돌",HYPERLINK("#'관리자_MASTER'!D"&amp;_xlfn.MAXIFS(m_row,m_teacher,BB$4,m_date,($G$2+21),m_active,1,m_start,"&lt;"&amp;960,m_end,"&gt;"&amp;900),INDEX(m_label,_xlfn.MAXIFS(m_row,m_teacher,BB$4,m_date,($G$2+21),m_active,1,m_start,"&lt;"&amp;960,m_end,"&gt;"&amp;900))))))</f>
        <v/>
      </c>
      <c r="BC11" s="82" t="str">
        <f aca="false">IF(OR(BC$4="",MONTH(($G$2+21))&lt;&gt;MONTH($C$2)),"",IF(COUNTIFS(m_teacher,BC$4,m_date,($G$2+21),m_active,1,m_start,"&lt;"&amp;960,m_end,"&gt;"&amp;900)=0,"",IF(COUNTIFS(m_teacher,BC$4,m_date,($G$2+21),m_active,1,m_start,"&lt;"&amp;960,m_end,"&gt;"&amp;900)&gt;1,"충돌",HYPERLINK("#'관리자_MASTER'!D"&amp;_xlfn.MAXIFS(m_row,m_teacher,BC$4,m_date,($G$2+21),m_active,1,m_start,"&lt;"&amp;960,m_end,"&gt;"&amp;900),INDEX(m_label,_xlfn.MAXIFS(m_row,m_teacher,BC$4,m_date,($G$2+21),m_active,1,m_start,"&lt;"&amp;960,m_end,"&gt;"&amp;900))))))</f>
        <v/>
      </c>
      <c r="BD11" s="82" t="str">
        <f aca="false">IF(OR(BD$4="",MONTH(($G$2+21))&lt;&gt;MONTH($C$2)),"",IF(COUNTIFS(m_teacher,BD$4,m_date,($G$2+21),m_active,1,m_start,"&lt;"&amp;960,m_end,"&gt;"&amp;900)=0,"",IF(COUNTIFS(m_teacher,BD$4,m_date,($G$2+21),m_active,1,m_start,"&lt;"&amp;960,m_end,"&gt;"&amp;900)&gt;1,"충돌",HYPERLINK("#'관리자_MASTER'!D"&amp;_xlfn.MAXIFS(m_row,m_teacher,BD$4,m_date,($G$2+21),m_active,1,m_start,"&lt;"&amp;960,m_end,"&gt;"&amp;900),INDEX(m_label,_xlfn.MAXIFS(m_row,m_teacher,BD$4,m_date,($G$2+21),m_active,1,m_start,"&lt;"&amp;960,m_end,"&gt;"&amp;900))))))</f>
        <v/>
      </c>
    </row>
    <row r="12" customFormat="false" ht="19.5" hidden="false" customHeight="true" outlineLevel="0" collapsed="false">
      <c r="A12" s="78"/>
      <c r="B12" s="79" t="s">
        <v>98</v>
      </c>
      <c r="C12" s="82" t="str">
        <f aca="false">IF(OR(C$4="",MONTH(($G$2+0))&lt;&gt;MONTH($C$2)),"",IF(COUNTIFS(m_teacher,C$4,m_date,($G$2+0),m_active,1,m_start,"&lt;"&amp;1020,m_end,"&gt;"&amp;960)=0,"",IF(COUNTIFS(m_teacher,C$4,m_date,($G$2+0),m_active,1,m_start,"&lt;"&amp;1020,m_end,"&gt;"&amp;960)&gt;1,"충돌",HYPERLINK("#'관리자_MASTER'!D"&amp;_xlfn.MAXIFS(m_row,m_teacher,C$4,m_date,($G$2+0),m_active,1,m_start,"&lt;"&amp;1020,m_end,"&gt;"&amp;960),INDEX(m_label,_xlfn.MAXIFS(m_row,m_teacher,C$4,m_date,($G$2+0),m_active,1,m_start,"&lt;"&amp;1020,m_end,"&gt;"&amp;960))))))</f>
        <v/>
      </c>
      <c r="D12" s="82" t="str">
        <f aca="false">IF(OR(D$4="",MONTH(($G$2+0))&lt;&gt;MONTH($C$2)),"",IF(COUNTIFS(m_teacher,D$4,m_date,($G$2+0),m_active,1,m_start,"&lt;"&amp;1020,m_end,"&gt;"&amp;960)=0,"",IF(COUNTIFS(m_teacher,D$4,m_date,($G$2+0),m_active,1,m_start,"&lt;"&amp;1020,m_end,"&gt;"&amp;960)&gt;1,"충돌",HYPERLINK("#'관리자_MASTER'!D"&amp;_xlfn.MAXIFS(m_row,m_teacher,D$4,m_date,($G$2+0),m_active,1,m_start,"&lt;"&amp;1020,m_end,"&gt;"&amp;960),INDEX(m_label,_xlfn.MAXIFS(m_row,m_teacher,D$4,m_date,($G$2+0),m_active,1,m_start,"&lt;"&amp;1020,m_end,"&gt;"&amp;960))))))</f>
        <v/>
      </c>
      <c r="E12" s="82" t="str">
        <f aca="false">IF(OR(E$4="",MONTH(($G$2+0))&lt;&gt;MONTH($C$2)),"",IF(COUNTIFS(m_teacher,E$4,m_date,($G$2+0),m_active,1,m_start,"&lt;"&amp;1020,m_end,"&gt;"&amp;960)=0,"",IF(COUNTIFS(m_teacher,E$4,m_date,($G$2+0),m_active,1,m_start,"&lt;"&amp;1020,m_end,"&gt;"&amp;960)&gt;1,"충돌",HYPERLINK("#'관리자_MASTER'!D"&amp;_xlfn.MAXIFS(m_row,m_teacher,E$4,m_date,($G$2+0),m_active,1,m_start,"&lt;"&amp;1020,m_end,"&gt;"&amp;960),INDEX(m_label,_xlfn.MAXIFS(m_row,m_teacher,E$4,m_date,($G$2+0),m_active,1,m_start,"&lt;"&amp;1020,m_end,"&gt;"&amp;960))))))</f>
        <v/>
      </c>
      <c r="F12" s="82" t="str">
        <f aca="false">IF(OR(F$4="",MONTH(($G$2+0))&lt;&gt;MONTH($C$2)),"",IF(COUNTIFS(m_teacher,F$4,m_date,($G$2+0),m_active,1,m_start,"&lt;"&amp;1020,m_end,"&gt;"&amp;960)=0,"",IF(COUNTIFS(m_teacher,F$4,m_date,($G$2+0),m_active,1,m_start,"&lt;"&amp;1020,m_end,"&gt;"&amp;960)&gt;1,"충돌",HYPERLINK("#'관리자_MASTER'!D"&amp;_xlfn.MAXIFS(m_row,m_teacher,F$4,m_date,($G$2+0),m_active,1,m_start,"&lt;"&amp;1020,m_end,"&gt;"&amp;960),INDEX(m_label,_xlfn.MAXIFS(m_row,m_teacher,F$4,m_date,($G$2+0),m_active,1,m_start,"&lt;"&amp;1020,m_end,"&gt;"&amp;960))))))</f>
        <v/>
      </c>
      <c r="G12" s="82" t="str">
        <f aca="false">IF(OR(G$4="",MONTH(($G$2+0))&lt;&gt;MONTH($C$2)),"",IF(COUNTIFS(m_teacher,G$4,m_date,($G$2+0),m_active,1,m_start,"&lt;"&amp;1020,m_end,"&gt;"&amp;960)=0,"",IF(COUNTIFS(m_teacher,G$4,m_date,($G$2+0),m_active,1,m_start,"&lt;"&amp;1020,m_end,"&gt;"&amp;960)&gt;1,"충돌",HYPERLINK("#'관리자_MASTER'!D"&amp;_xlfn.MAXIFS(m_row,m_teacher,G$4,m_date,($G$2+0),m_active,1,m_start,"&lt;"&amp;1020,m_end,"&gt;"&amp;960),INDEX(m_label,_xlfn.MAXIFS(m_row,m_teacher,G$4,m_date,($G$2+0),m_active,1,m_start,"&lt;"&amp;1020,m_end,"&gt;"&amp;960))))))</f>
        <v/>
      </c>
      <c r="H12" s="82" t="str">
        <f aca="false">IF(OR(H$4="",MONTH(($G$2+0))&lt;&gt;MONTH($C$2)),"",IF(COUNTIFS(m_teacher,H$4,m_date,($G$2+0),m_active,1,m_start,"&lt;"&amp;1020,m_end,"&gt;"&amp;960)=0,"",IF(COUNTIFS(m_teacher,H$4,m_date,($G$2+0),m_active,1,m_start,"&lt;"&amp;1020,m_end,"&gt;"&amp;960)&gt;1,"충돌",HYPERLINK("#'관리자_MASTER'!D"&amp;_xlfn.MAXIFS(m_row,m_teacher,H$4,m_date,($G$2+0),m_active,1,m_start,"&lt;"&amp;1020,m_end,"&gt;"&amp;960),INDEX(m_label,_xlfn.MAXIFS(m_row,m_teacher,H$4,m_date,($G$2+0),m_active,1,m_start,"&lt;"&amp;1020,m_end,"&gt;"&amp;960))))))</f>
        <v/>
      </c>
      <c r="I12" s="82" t="str">
        <f aca="false">IF(OR(I$4="",MONTH(($G$2+0))&lt;&gt;MONTH($C$2)),"",IF(COUNTIFS(m_teacher,I$4,m_date,($G$2+0),m_active,1,m_start,"&lt;"&amp;1020,m_end,"&gt;"&amp;960)=0,"",IF(COUNTIFS(m_teacher,I$4,m_date,($G$2+0),m_active,1,m_start,"&lt;"&amp;1020,m_end,"&gt;"&amp;960)&gt;1,"충돌",HYPERLINK("#'관리자_MASTER'!D"&amp;_xlfn.MAXIFS(m_row,m_teacher,I$4,m_date,($G$2+0),m_active,1,m_start,"&lt;"&amp;1020,m_end,"&gt;"&amp;960),INDEX(m_label,_xlfn.MAXIFS(m_row,m_teacher,I$4,m_date,($G$2+0),m_active,1,m_start,"&lt;"&amp;1020,m_end,"&gt;"&amp;960))))))</f>
        <v/>
      </c>
      <c r="J12" s="82" t="str">
        <f aca="false">IF(OR(J$4="",MONTH(($G$2+0))&lt;&gt;MONTH($C$2)),"",IF(COUNTIFS(m_teacher,J$4,m_date,($G$2+0),m_active,1,m_start,"&lt;"&amp;1020,m_end,"&gt;"&amp;960)=0,"",IF(COUNTIFS(m_teacher,J$4,m_date,($G$2+0),m_active,1,m_start,"&lt;"&amp;1020,m_end,"&gt;"&amp;960)&gt;1,"충돌",HYPERLINK("#'관리자_MASTER'!D"&amp;_xlfn.MAXIFS(m_row,m_teacher,J$4,m_date,($G$2+0),m_active,1,m_start,"&lt;"&amp;1020,m_end,"&gt;"&amp;960),INDEX(m_label,_xlfn.MAXIFS(m_row,m_teacher,J$4,m_date,($G$2+0),m_active,1,m_start,"&lt;"&amp;1020,m_end,"&gt;"&amp;960))))))</f>
        <v/>
      </c>
      <c r="K12" s="82" t="str">
        <f aca="false">IF(OR(K$4="",MONTH(($G$2+0))&lt;&gt;MONTH($C$2)),"",IF(COUNTIFS(m_teacher,K$4,m_date,($G$2+0),m_active,1,m_start,"&lt;"&amp;1020,m_end,"&gt;"&amp;960)=0,"",IF(COUNTIFS(m_teacher,K$4,m_date,($G$2+0),m_active,1,m_start,"&lt;"&amp;1020,m_end,"&gt;"&amp;960)&gt;1,"충돌",HYPERLINK("#'관리자_MASTER'!D"&amp;_xlfn.MAXIFS(m_row,m_teacher,K$4,m_date,($G$2+0),m_active,1,m_start,"&lt;"&amp;1020,m_end,"&gt;"&amp;960),INDEX(m_label,_xlfn.MAXIFS(m_row,m_teacher,K$4,m_date,($G$2+0),m_active,1,m_start,"&lt;"&amp;1020,m_end,"&gt;"&amp;960))))))</f>
        <v/>
      </c>
      <c r="L12" s="82" t="str">
        <f aca="false">IF(OR(L$4="",MONTH(($G$2+0))&lt;&gt;MONTH($C$2)),"",IF(COUNTIFS(m_teacher,L$4,m_date,($G$2+0),m_active,1,m_start,"&lt;"&amp;1020,m_end,"&gt;"&amp;960)=0,"",IF(COUNTIFS(m_teacher,L$4,m_date,($G$2+0),m_active,1,m_start,"&lt;"&amp;1020,m_end,"&gt;"&amp;960)&gt;1,"충돌",HYPERLINK("#'관리자_MASTER'!D"&amp;_xlfn.MAXIFS(m_row,m_teacher,L$4,m_date,($G$2+0),m_active,1,m_start,"&lt;"&amp;1020,m_end,"&gt;"&amp;960),INDEX(m_label,_xlfn.MAXIFS(m_row,m_teacher,L$4,m_date,($G$2+0),m_active,1,m_start,"&lt;"&amp;1020,m_end,"&gt;"&amp;960))))))</f>
        <v/>
      </c>
      <c r="M12" s="82" t="str">
        <f aca="false">IF(OR(M$4="",MONTH(($G$2+0))&lt;&gt;MONTH($C$2)),"",IF(COUNTIFS(m_teacher,M$4,m_date,($G$2+0),m_active,1,m_start,"&lt;"&amp;1020,m_end,"&gt;"&amp;960)=0,"",IF(COUNTIFS(m_teacher,M$4,m_date,($G$2+0),m_active,1,m_start,"&lt;"&amp;1020,m_end,"&gt;"&amp;960)&gt;1,"충돌",HYPERLINK("#'관리자_MASTER'!D"&amp;_xlfn.MAXIFS(m_row,m_teacher,M$4,m_date,($G$2+0),m_active,1,m_start,"&lt;"&amp;1020,m_end,"&gt;"&amp;960),INDEX(m_label,_xlfn.MAXIFS(m_row,m_teacher,M$4,m_date,($G$2+0),m_active,1,m_start,"&lt;"&amp;1020,m_end,"&gt;"&amp;960))))))</f>
        <v/>
      </c>
      <c r="N12" s="82" t="str">
        <f aca="false">IF(OR(N$4="",MONTH(($G$2+0))&lt;&gt;MONTH($C$2)),"",IF(COUNTIFS(m_teacher,N$4,m_date,($G$2+0),m_active,1,m_start,"&lt;"&amp;1020,m_end,"&gt;"&amp;960)=0,"",IF(COUNTIFS(m_teacher,N$4,m_date,($G$2+0),m_active,1,m_start,"&lt;"&amp;1020,m_end,"&gt;"&amp;960)&gt;1,"충돌",HYPERLINK("#'관리자_MASTER'!D"&amp;_xlfn.MAXIFS(m_row,m_teacher,N$4,m_date,($G$2+0),m_active,1,m_start,"&lt;"&amp;1020,m_end,"&gt;"&amp;960),INDEX(m_label,_xlfn.MAXIFS(m_row,m_teacher,N$4,m_date,($G$2+0),m_active,1,m_start,"&lt;"&amp;1020,m_end,"&gt;"&amp;960))))))</f>
        <v/>
      </c>
      <c r="O12" s="78"/>
      <c r="P12" s="79" t="s">
        <v>98</v>
      </c>
      <c r="Q12" s="82" t="str">
        <f aca="false">IF(OR(Q$4="",MONTH(($G$2+7))&lt;&gt;MONTH($C$2)),"",IF(COUNTIFS(m_teacher,Q$4,m_date,($G$2+7),m_active,1,m_start,"&lt;"&amp;1020,m_end,"&gt;"&amp;960)=0,"",IF(COUNTIFS(m_teacher,Q$4,m_date,($G$2+7),m_active,1,m_start,"&lt;"&amp;1020,m_end,"&gt;"&amp;960)&gt;1,"충돌",HYPERLINK("#'관리자_MASTER'!D"&amp;_xlfn.MAXIFS(m_row,m_teacher,Q$4,m_date,($G$2+7),m_active,1,m_start,"&lt;"&amp;1020,m_end,"&gt;"&amp;960),INDEX(m_label,_xlfn.MAXIFS(m_row,m_teacher,Q$4,m_date,($G$2+7),m_active,1,m_start,"&lt;"&amp;1020,m_end,"&gt;"&amp;960))))))</f>
        <v/>
      </c>
      <c r="R12" s="82" t="str">
        <f aca="false">IF(OR(R$4="",MONTH(($G$2+7))&lt;&gt;MONTH($C$2)),"",IF(COUNTIFS(m_teacher,R$4,m_date,($G$2+7),m_active,1,m_start,"&lt;"&amp;1020,m_end,"&gt;"&amp;960)=0,"",IF(COUNTIFS(m_teacher,R$4,m_date,($G$2+7),m_active,1,m_start,"&lt;"&amp;1020,m_end,"&gt;"&amp;960)&gt;1,"충돌",HYPERLINK("#'관리자_MASTER'!D"&amp;_xlfn.MAXIFS(m_row,m_teacher,R$4,m_date,($G$2+7),m_active,1,m_start,"&lt;"&amp;1020,m_end,"&gt;"&amp;960),INDEX(m_label,_xlfn.MAXIFS(m_row,m_teacher,R$4,m_date,($G$2+7),m_active,1,m_start,"&lt;"&amp;1020,m_end,"&gt;"&amp;960))))))</f>
        <v/>
      </c>
      <c r="S12" s="82" t="str">
        <f aca="false">IF(OR(S$4="",MONTH(($G$2+7))&lt;&gt;MONTH($C$2)),"",IF(COUNTIFS(m_teacher,S$4,m_date,($G$2+7),m_active,1,m_start,"&lt;"&amp;1020,m_end,"&gt;"&amp;960)=0,"",IF(COUNTIFS(m_teacher,S$4,m_date,($G$2+7),m_active,1,m_start,"&lt;"&amp;1020,m_end,"&gt;"&amp;960)&gt;1,"충돌",HYPERLINK("#'관리자_MASTER'!D"&amp;_xlfn.MAXIFS(m_row,m_teacher,S$4,m_date,($G$2+7),m_active,1,m_start,"&lt;"&amp;1020,m_end,"&gt;"&amp;960),INDEX(m_label,_xlfn.MAXIFS(m_row,m_teacher,S$4,m_date,($G$2+7),m_active,1,m_start,"&lt;"&amp;1020,m_end,"&gt;"&amp;960))))))</f>
        <v/>
      </c>
      <c r="T12" s="82" t="str">
        <f aca="false">IF(OR(T$4="",MONTH(($G$2+7))&lt;&gt;MONTH($C$2)),"",IF(COUNTIFS(m_teacher,T$4,m_date,($G$2+7),m_active,1,m_start,"&lt;"&amp;1020,m_end,"&gt;"&amp;960)=0,"",IF(COUNTIFS(m_teacher,T$4,m_date,($G$2+7),m_active,1,m_start,"&lt;"&amp;1020,m_end,"&gt;"&amp;960)&gt;1,"충돌",HYPERLINK("#'관리자_MASTER'!D"&amp;_xlfn.MAXIFS(m_row,m_teacher,T$4,m_date,($G$2+7),m_active,1,m_start,"&lt;"&amp;1020,m_end,"&gt;"&amp;960),INDEX(m_label,_xlfn.MAXIFS(m_row,m_teacher,T$4,m_date,($G$2+7),m_active,1,m_start,"&lt;"&amp;1020,m_end,"&gt;"&amp;960))))))</f>
        <v/>
      </c>
      <c r="U12" s="82" t="str">
        <f aca="false">IF(OR(U$4="",MONTH(($G$2+7))&lt;&gt;MONTH($C$2)),"",IF(COUNTIFS(m_teacher,U$4,m_date,($G$2+7),m_active,1,m_start,"&lt;"&amp;1020,m_end,"&gt;"&amp;960)=0,"",IF(COUNTIFS(m_teacher,U$4,m_date,($G$2+7),m_active,1,m_start,"&lt;"&amp;1020,m_end,"&gt;"&amp;960)&gt;1,"충돌",HYPERLINK("#'관리자_MASTER'!D"&amp;_xlfn.MAXIFS(m_row,m_teacher,U$4,m_date,($G$2+7),m_active,1,m_start,"&lt;"&amp;1020,m_end,"&gt;"&amp;960),INDEX(m_label,_xlfn.MAXIFS(m_row,m_teacher,U$4,m_date,($G$2+7),m_active,1,m_start,"&lt;"&amp;1020,m_end,"&gt;"&amp;960))))))</f>
        <v/>
      </c>
      <c r="V12" s="82" t="str">
        <f aca="false">IF(OR(V$4="",MONTH(($G$2+7))&lt;&gt;MONTH($C$2)),"",IF(COUNTIFS(m_teacher,V$4,m_date,($G$2+7),m_active,1,m_start,"&lt;"&amp;1020,m_end,"&gt;"&amp;960)=0,"",IF(COUNTIFS(m_teacher,V$4,m_date,($G$2+7),m_active,1,m_start,"&lt;"&amp;1020,m_end,"&gt;"&amp;960)&gt;1,"충돌",HYPERLINK("#'관리자_MASTER'!D"&amp;_xlfn.MAXIFS(m_row,m_teacher,V$4,m_date,($G$2+7),m_active,1,m_start,"&lt;"&amp;1020,m_end,"&gt;"&amp;960),INDEX(m_label,_xlfn.MAXIFS(m_row,m_teacher,V$4,m_date,($G$2+7),m_active,1,m_start,"&lt;"&amp;1020,m_end,"&gt;"&amp;960))))))</f>
        <v/>
      </c>
      <c r="W12" s="82" t="str">
        <f aca="false">IF(OR(W$4="",MONTH(($G$2+7))&lt;&gt;MONTH($C$2)),"",IF(COUNTIFS(m_teacher,W$4,m_date,($G$2+7),m_active,1,m_start,"&lt;"&amp;1020,m_end,"&gt;"&amp;960)=0,"",IF(COUNTIFS(m_teacher,W$4,m_date,($G$2+7),m_active,1,m_start,"&lt;"&amp;1020,m_end,"&gt;"&amp;960)&gt;1,"충돌",HYPERLINK("#'관리자_MASTER'!D"&amp;_xlfn.MAXIFS(m_row,m_teacher,W$4,m_date,($G$2+7),m_active,1,m_start,"&lt;"&amp;1020,m_end,"&gt;"&amp;960),INDEX(m_label,_xlfn.MAXIFS(m_row,m_teacher,W$4,m_date,($G$2+7),m_active,1,m_start,"&lt;"&amp;1020,m_end,"&gt;"&amp;960))))))</f>
        <v/>
      </c>
      <c r="X12" s="82" t="str">
        <f aca="false">IF(OR(X$4="",MONTH(($G$2+7))&lt;&gt;MONTH($C$2)),"",IF(COUNTIFS(m_teacher,X$4,m_date,($G$2+7),m_active,1,m_start,"&lt;"&amp;1020,m_end,"&gt;"&amp;960)=0,"",IF(COUNTIFS(m_teacher,X$4,m_date,($G$2+7),m_active,1,m_start,"&lt;"&amp;1020,m_end,"&gt;"&amp;960)&gt;1,"충돌",HYPERLINK("#'관리자_MASTER'!D"&amp;_xlfn.MAXIFS(m_row,m_teacher,X$4,m_date,($G$2+7),m_active,1,m_start,"&lt;"&amp;1020,m_end,"&gt;"&amp;960),INDEX(m_label,_xlfn.MAXIFS(m_row,m_teacher,X$4,m_date,($G$2+7),m_active,1,m_start,"&lt;"&amp;1020,m_end,"&gt;"&amp;960))))))</f>
        <v/>
      </c>
      <c r="Y12" s="82" t="str">
        <f aca="false">IF(OR(Y$4="",MONTH(($G$2+7))&lt;&gt;MONTH($C$2)),"",IF(COUNTIFS(m_teacher,Y$4,m_date,($G$2+7),m_active,1,m_start,"&lt;"&amp;1020,m_end,"&gt;"&amp;960)=0,"",IF(COUNTIFS(m_teacher,Y$4,m_date,($G$2+7),m_active,1,m_start,"&lt;"&amp;1020,m_end,"&gt;"&amp;960)&gt;1,"충돌",HYPERLINK("#'관리자_MASTER'!D"&amp;_xlfn.MAXIFS(m_row,m_teacher,Y$4,m_date,($G$2+7),m_active,1,m_start,"&lt;"&amp;1020,m_end,"&gt;"&amp;960),INDEX(m_label,_xlfn.MAXIFS(m_row,m_teacher,Y$4,m_date,($G$2+7),m_active,1,m_start,"&lt;"&amp;1020,m_end,"&gt;"&amp;960))))))</f>
        <v/>
      </c>
      <c r="Z12" s="82" t="str">
        <f aca="false">IF(OR(Z$4="",MONTH(($G$2+7))&lt;&gt;MONTH($C$2)),"",IF(COUNTIFS(m_teacher,Z$4,m_date,($G$2+7),m_active,1,m_start,"&lt;"&amp;1020,m_end,"&gt;"&amp;960)=0,"",IF(COUNTIFS(m_teacher,Z$4,m_date,($G$2+7),m_active,1,m_start,"&lt;"&amp;1020,m_end,"&gt;"&amp;960)&gt;1,"충돌",HYPERLINK("#'관리자_MASTER'!D"&amp;_xlfn.MAXIFS(m_row,m_teacher,Z$4,m_date,($G$2+7),m_active,1,m_start,"&lt;"&amp;1020,m_end,"&gt;"&amp;960),INDEX(m_label,_xlfn.MAXIFS(m_row,m_teacher,Z$4,m_date,($G$2+7),m_active,1,m_start,"&lt;"&amp;1020,m_end,"&gt;"&amp;960))))))</f>
        <v/>
      </c>
      <c r="AA12" s="82" t="str">
        <f aca="false">IF(OR(AA$4="",MONTH(($G$2+7))&lt;&gt;MONTH($C$2)),"",IF(COUNTIFS(m_teacher,AA$4,m_date,($G$2+7),m_active,1,m_start,"&lt;"&amp;1020,m_end,"&gt;"&amp;960)=0,"",IF(COUNTIFS(m_teacher,AA$4,m_date,($G$2+7),m_active,1,m_start,"&lt;"&amp;1020,m_end,"&gt;"&amp;960)&gt;1,"충돌",HYPERLINK("#'관리자_MASTER'!D"&amp;_xlfn.MAXIFS(m_row,m_teacher,AA$4,m_date,($G$2+7),m_active,1,m_start,"&lt;"&amp;1020,m_end,"&gt;"&amp;960),INDEX(m_label,_xlfn.MAXIFS(m_row,m_teacher,AA$4,m_date,($G$2+7),m_active,1,m_start,"&lt;"&amp;1020,m_end,"&gt;"&amp;960))))))</f>
        <v/>
      </c>
      <c r="AB12" s="82" t="str">
        <f aca="false">IF(OR(AB$4="",MONTH(($G$2+7))&lt;&gt;MONTH($C$2)),"",IF(COUNTIFS(m_teacher,AB$4,m_date,($G$2+7),m_active,1,m_start,"&lt;"&amp;1020,m_end,"&gt;"&amp;960)=0,"",IF(COUNTIFS(m_teacher,AB$4,m_date,($G$2+7),m_active,1,m_start,"&lt;"&amp;1020,m_end,"&gt;"&amp;960)&gt;1,"충돌",HYPERLINK("#'관리자_MASTER'!D"&amp;_xlfn.MAXIFS(m_row,m_teacher,AB$4,m_date,($G$2+7),m_active,1,m_start,"&lt;"&amp;1020,m_end,"&gt;"&amp;960),INDEX(m_label,_xlfn.MAXIFS(m_row,m_teacher,AB$4,m_date,($G$2+7),m_active,1,m_start,"&lt;"&amp;1020,m_end,"&gt;"&amp;960))))))</f>
        <v/>
      </c>
      <c r="AC12" s="78"/>
      <c r="AD12" s="79" t="s">
        <v>98</v>
      </c>
      <c r="AE12" s="82" t="str">
        <f aca="false">IF(OR(AE$4="",MONTH(($G$2+14))&lt;&gt;MONTH($C$2)),"",IF(COUNTIFS(m_teacher,AE$4,m_date,($G$2+14),m_active,1,m_start,"&lt;"&amp;1020,m_end,"&gt;"&amp;960)=0,"",IF(COUNTIFS(m_teacher,AE$4,m_date,($G$2+14),m_active,1,m_start,"&lt;"&amp;1020,m_end,"&gt;"&amp;960)&gt;1,"충돌",HYPERLINK("#'관리자_MASTER'!D"&amp;_xlfn.MAXIFS(m_row,m_teacher,AE$4,m_date,($G$2+14),m_active,1,m_start,"&lt;"&amp;1020,m_end,"&gt;"&amp;960),INDEX(m_label,_xlfn.MAXIFS(m_row,m_teacher,AE$4,m_date,($G$2+14),m_active,1,m_start,"&lt;"&amp;1020,m_end,"&gt;"&amp;960))))))</f>
        <v/>
      </c>
      <c r="AF12" s="82" t="str">
        <f aca="false">IF(OR(AF$4="",MONTH(($G$2+14))&lt;&gt;MONTH($C$2)),"",IF(COUNTIFS(m_teacher,AF$4,m_date,($G$2+14),m_active,1,m_start,"&lt;"&amp;1020,m_end,"&gt;"&amp;960)=0,"",IF(COUNTIFS(m_teacher,AF$4,m_date,($G$2+14),m_active,1,m_start,"&lt;"&amp;1020,m_end,"&gt;"&amp;960)&gt;1,"충돌",HYPERLINK("#'관리자_MASTER'!D"&amp;_xlfn.MAXIFS(m_row,m_teacher,AF$4,m_date,($G$2+14),m_active,1,m_start,"&lt;"&amp;1020,m_end,"&gt;"&amp;960),INDEX(m_label,_xlfn.MAXIFS(m_row,m_teacher,AF$4,m_date,($G$2+14),m_active,1,m_start,"&lt;"&amp;1020,m_end,"&gt;"&amp;960))))))</f>
        <v/>
      </c>
      <c r="AG12" s="82" t="str">
        <f aca="false">IF(OR(AG$4="",MONTH(($G$2+14))&lt;&gt;MONTH($C$2)),"",IF(COUNTIFS(m_teacher,AG$4,m_date,($G$2+14),m_active,1,m_start,"&lt;"&amp;1020,m_end,"&gt;"&amp;960)=0,"",IF(COUNTIFS(m_teacher,AG$4,m_date,($G$2+14),m_active,1,m_start,"&lt;"&amp;1020,m_end,"&gt;"&amp;960)&gt;1,"충돌",HYPERLINK("#'관리자_MASTER'!D"&amp;_xlfn.MAXIFS(m_row,m_teacher,AG$4,m_date,($G$2+14),m_active,1,m_start,"&lt;"&amp;1020,m_end,"&gt;"&amp;960),INDEX(m_label,_xlfn.MAXIFS(m_row,m_teacher,AG$4,m_date,($G$2+14),m_active,1,m_start,"&lt;"&amp;1020,m_end,"&gt;"&amp;960))))))</f>
        <v/>
      </c>
      <c r="AH12" s="82" t="str">
        <f aca="false">IF(OR(AH$4="",MONTH(($G$2+14))&lt;&gt;MONTH($C$2)),"",IF(COUNTIFS(m_teacher,AH$4,m_date,($G$2+14),m_active,1,m_start,"&lt;"&amp;1020,m_end,"&gt;"&amp;960)=0,"",IF(COUNTIFS(m_teacher,AH$4,m_date,($G$2+14),m_active,1,m_start,"&lt;"&amp;1020,m_end,"&gt;"&amp;960)&gt;1,"충돌",HYPERLINK("#'관리자_MASTER'!D"&amp;_xlfn.MAXIFS(m_row,m_teacher,AH$4,m_date,($G$2+14),m_active,1,m_start,"&lt;"&amp;1020,m_end,"&gt;"&amp;960),INDEX(m_label,_xlfn.MAXIFS(m_row,m_teacher,AH$4,m_date,($G$2+14),m_active,1,m_start,"&lt;"&amp;1020,m_end,"&gt;"&amp;960))))))</f>
        <v/>
      </c>
      <c r="AI12" s="82" t="str">
        <f aca="false">IF(OR(AI$4="",MONTH(($G$2+14))&lt;&gt;MONTH($C$2)),"",IF(COUNTIFS(m_teacher,AI$4,m_date,($G$2+14),m_active,1,m_start,"&lt;"&amp;1020,m_end,"&gt;"&amp;960)=0,"",IF(COUNTIFS(m_teacher,AI$4,m_date,($G$2+14),m_active,1,m_start,"&lt;"&amp;1020,m_end,"&gt;"&amp;960)&gt;1,"충돌",HYPERLINK("#'관리자_MASTER'!D"&amp;_xlfn.MAXIFS(m_row,m_teacher,AI$4,m_date,($G$2+14),m_active,1,m_start,"&lt;"&amp;1020,m_end,"&gt;"&amp;960),INDEX(m_label,_xlfn.MAXIFS(m_row,m_teacher,AI$4,m_date,($G$2+14),m_active,1,m_start,"&lt;"&amp;1020,m_end,"&gt;"&amp;960))))))</f>
        <v/>
      </c>
      <c r="AJ12" s="82" t="str">
        <f aca="false">IF(OR(AJ$4="",MONTH(($G$2+14))&lt;&gt;MONTH($C$2)),"",IF(COUNTIFS(m_teacher,AJ$4,m_date,($G$2+14),m_active,1,m_start,"&lt;"&amp;1020,m_end,"&gt;"&amp;960)=0,"",IF(COUNTIFS(m_teacher,AJ$4,m_date,($G$2+14),m_active,1,m_start,"&lt;"&amp;1020,m_end,"&gt;"&amp;960)&gt;1,"충돌",HYPERLINK("#'관리자_MASTER'!D"&amp;_xlfn.MAXIFS(m_row,m_teacher,AJ$4,m_date,($G$2+14),m_active,1,m_start,"&lt;"&amp;1020,m_end,"&gt;"&amp;960),INDEX(m_label,_xlfn.MAXIFS(m_row,m_teacher,AJ$4,m_date,($G$2+14),m_active,1,m_start,"&lt;"&amp;1020,m_end,"&gt;"&amp;960))))))</f>
        <v/>
      </c>
      <c r="AK12" s="82" t="str">
        <f aca="false">IF(OR(AK$4="",MONTH(($G$2+14))&lt;&gt;MONTH($C$2)),"",IF(COUNTIFS(m_teacher,AK$4,m_date,($G$2+14),m_active,1,m_start,"&lt;"&amp;1020,m_end,"&gt;"&amp;960)=0,"",IF(COUNTIFS(m_teacher,AK$4,m_date,($G$2+14),m_active,1,m_start,"&lt;"&amp;1020,m_end,"&gt;"&amp;960)&gt;1,"충돌",HYPERLINK("#'관리자_MASTER'!D"&amp;_xlfn.MAXIFS(m_row,m_teacher,AK$4,m_date,($G$2+14),m_active,1,m_start,"&lt;"&amp;1020,m_end,"&gt;"&amp;960),INDEX(m_label,_xlfn.MAXIFS(m_row,m_teacher,AK$4,m_date,($G$2+14),m_active,1,m_start,"&lt;"&amp;1020,m_end,"&gt;"&amp;960))))))</f>
        <v/>
      </c>
      <c r="AL12" s="82" t="str">
        <f aca="false">IF(OR(AL$4="",MONTH(($G$2+14))&lt;&gt;MONTH($C$2)),"",IF(COUNTIFS(m_teacher,AL$4,m_date,($G$2+14),m_active,1,m_start,"&lt;"&amp;1020,m_end,"&gt;"&amp;960)=0,"",IF(COUNTIFS(m_teacher,AL$4,m_date,($G$2+14),m_active,1,m_start,"&lt;"&amp;1020,m_end,"&gt;"&amp;960)&gt;1,"충돌",HYPERLINK("#'관리자_MASTER'!D"&amp;_xlfn.MAXIFS(m_row,m_teacher,AL$4,m_date,($G$2+14),m_active,1,m_start,"&lt;"&amp;1020,m_end,"&gt;"&amp;960),INDEX(m_label,_xlfn.MAXIFS(m_row,m_teacher,AL$4,m_date,($G$2+14),m_active,1,m_start,"&lt;"&amp;1020,m_end,"&gt;"&amp;960))))))</f>
        <v/>
      </c>
      <c r="AM12" s="82" t="str">
        <f aca="false">IF(OR(AM$4="",MONTH(($G$2+14))&lt;&gt;MONTH($C$2)),"",IF(COUNTIFS(m_teacher,AM$4,m_date,($G$2+14),m_active,1,m_start,"&lt;"&amp;1020,m_end,"&gt;"&amp;960)=0,"",IF(COUNTIFS(m_teacher,AM$4,m_date,($G$2+14),m_active,1,m_start,"&lt;"&amp;1020,m_end,"&gt;"&amp;960)&gt;1,"충돌",HYPERLINK("#'관리자_MASTER'!D"&amp;_xlfn.MAXIFS(m_row,m_teacher,AM$4,m_date,($G$2+14),m_active,1,m_start,"&lt;"&amp;1020,m_end,"&gt;"&amp;960),INDEX(m_label,_xlfn.MAXIFS(m_row,m_teacher,AM$4,m_date,($G$2+14),m_active,1,m_start,"&lt;"&amp;1020,m_end,"&gt;"&amp;960))))))</f>
        <v/>
      </c>
      <c r="AN12" s="82" t="str">
        <f aca="false">IF(OR(AN$4="",MONTH(($G$2+14))&lt;&gt;MONTH($C$2)),"",IF(COUNTIFS(m_teacher,AN$4,m_date,($G$2+14),m_active,1,m_start,"&lt;"&amp;1020,m_end,"&gt;"&amp;960)=0,"",IF(COUNTIFS(m_teacher,AN$4,m_date,($G$2+14),m_active,1,m_start,"&lt;"&amp;1020,m_end,"&gt;"&amp;960)&gt;1,"충돌",HYPERLINK("#'관리자_MASTER'!D"&amp;_xlfn.MAXIFS(m_row,m_teacher,AN$4,m_date,($G$2+14),m_active,1,m_start,"&lt;"&amp;1020,m_end,"&gt;"&amp;960),INDEX(m_label,_xlfn.MAXIFS(m_row,m_teacher,AN$4,m_date,($G$2+14),m_active,1,m_start,"&lt;"&amp;1020,m_end,"&gt;"&amp;960))))))</f>
        <v/>
      </c>
      <c r="AO12" s="82" t="str">
        <f aca="false">IF(OR(AO$4="",MONTH(($G$2+14))&lt;&gt;MONTH($C$2)),"",IF(COUNTIFS(m_teacher,AO$4,m_date,($G$2+14),m_active,1,m_start,"&lt;"&amp;1020,m_end,"&gt;"&amp;960)=0,"",IF(COUNTIFS(m_teacher,AO$4,m_date,($G$2+14),m_active,1,m_start,"&lt;"&amp;1020,m_end,"&gt;"&amp;960)&gt;1,"충돌",HYPERLINK("#'관리자_MASTER'!D"&amp;_xlfn.MAXIFS(m_row,m_teacher,AO$4,m_date,($G$2+14),m_active,1,m_start,"&lt;"&amp;1020,m_end,"&gt;"&amp;960),INDEX(m_label,_xlfn.MAXIFS(m_row,m_teacher,AO$4,m_date,($G$2+14),m_active,1,m_start,"&lt;"&amp;1020,m_end,"&gt;"&amp;960))))))</f>
        <v/>
      </c>
      <c r="AP12" s="82" t="str">
        <f aca="false">IF(OR(AP$4="",MONTH(($G$2+14))&lt;&gt;MONTH($C$2)),"",IF(COUNTIFS(m_teacher,AP$4,m_date,($G$2+14),m_active,1,m_start,"&lt;"&amp;1020,m_end,"&gt;"&amp;960)=0,"",IF(COUNTIFS(m_teacher,AP$4,m_date,($G$2+14),m_active,1,m_start,"&lt;"&amp;1020,m_end,"&gt;"&amp;960)&gt;1,"충돌",HYPERLINK("#'관리자_MASTER'!D"&amp;_xlfn.MAXIFS(m_row,m_teacher,AP$4,m_date,($G$2+14),m_active,1,m_start,"&lt;"&amp;1020,m_end,"&gt;"&amp;960),INDEX(m_label,_xlfn.MAXIFS(m_row,m_teacher,AP$4,m_date,($G$2+14),m_active,1,m_start,"&lt;"&amp;1020,m_end,"&gt;"&amp;960))))))</f>
        <v/>
      </c>
      <c r="AQ12" s="78"/>
      <c r="AR12" s="79" t="s">
        <v>98</v>
      </c>
      <c r="AS12" s="82" t="str">
        <f aca="false">IF(OR(AS$4="",MONTH(($G$2+21))&lt;&gt;MONTH($C$2)),"",IF(COUNTIFS(m_teacher,AS$4,m_date,($G$2+21),m_active,1,m_start,"&lt;"&amp;1020,m_end,"&gt;"&amp;960)=0,"",IF(COUNTIFS(m_teacher,AS$4,m_date,($G$2+21),m_active,1,m_start,"&lt;"&amp;1020,m_end,"&gt;"&amp;960)&gt;1,"충돌",HYPERLINK("#'관리자_MASTER'!D"&amp;_xlfn.MAXIFS(m_row,m_teacher,AS$4,m_date,($G$2+21),m_active,1,m_start,"&lt;"&amp;1020,m_end,"&gt;"&amp;960),INDEX(m_label,_xlfn.MAXIFS(m_row,m_teacher,AS$4,m_date,($G$2+21),m_active,1,m_start,"&lt;"&amp;1020,m_end,"&gt;"&amp;960))))))</f>
        <v/>
      </c>
      <c r="AT12" s="82" t="str">
        <f aca="false">IF(OR(AT$4="",MONTH(($G$2+21))&lt;&gt;MONTH($C$2)),"",IF(COUNTIFS(m_teacher,AT$4,m_date,($G$2+21),m_active,1,m_start,"&lt;"&amp;1020,m_end,"&gt;"&amp;960)=0,"",IF(COUNTIFS(m_teacher,AT$4,m_date,($G$2+21),m_active,1,m_start,"&lt;"&amp;1020,m_end,"&gt;"&amp;960)&gt;1,"충돌",HYPERLINK("#'관리자_MASTER'!D"&amp;_xlfn.MAXIFS(m_row,m_teacher,AT$4,m_date,($G$2+21),m_active,1,m_start,"&lt;"&amp;1020,m_end,"&gt;"&amp;960),INDEX(m_label,_xlfn.MAXIFS(m_row,m_teacher,AT$4,m_date,($G$2+21),m_active,1,m_start,"&lt;"&amp;1020,m_end,"&gt;"&amp;960))))))</f>
        <v/>
      </c>
      <c r="AU12" s="82" t="str">
        <f aca="false">IF(OR(AU$4="",MONTH(($G$2+21))&lt;&gt;MONTH($C$2)),"",IF(COUNTIFS(m_teacher,AU$4,m_date,($G$2+21),m_active,1,m_start,"&lt;"&amp;1020,m_end,"&gt;"&amp;960)=0,"",IF(COUNTIFS(m_teacher,AU$4,m_date,($G$2+21),m_active,1,m_start,"&lt;"&amp;1020,m_end,"&gt;"&amp;960)&gt;1,"충돌",HYPERLINK("#'관리자_MASTER'!D"&amp;_xlfn.MAXIFS(m_row,m_teacher,AU$4,m_date,($G$2+21),m_active,1,m_start,"&lt;"&amp;1020,m_end,"&gt;"&amp;960),INDEX(m_label,_xlfn.MAXIFS(m_row,m_teacher,AU$4,m_date,($G$2+21),m_active,1,m_start,"&lt;"&amp;1020,m_end,"&gt;"&amp;960))))))</f>
        <v/>
      </c>
      <c r="AV12" s="82" t="str">
        <f aca="false">IF(OR(AV$4="",MONTH(($G$2+21))&lt;&gt;MONTH($C$2)),"",IF(COUNTIFS(m_teacher,AV$4,m_date,($G$2+21),m_active,1,m_start,"&lt;"&amp;1020,m_end,"&gt;"&amp;960)=0,"",IF(COUNTIFS(m_teacher,AV$4,m_date,($G$2+21),m_active,1,m_start,"&lt;"&amp;1020,m_end,"&gt;"&amp;960)&gt;1,"충돌",HYPERLINK("#'관리자_MASTER'!D"&amp;_xlfn.MAXIFS(m_row,m_teacher,AV$4,m_date,($G$2+21),m_active,1,m_start,"&lt;"&amp;1020,m_end,"&gt;"&amp;960),INDEX(m_label,_xlfn.MAXIFS(m_row,m_teacher,AV$4,m_date,($G$2+21),m_active,1,m_start,"&lt;"&amp;1020,m_end,"&gt;"&amp;960))))))</f>
        <v/>
      </c>
      <c r="AW12" s="82" t="str">
        <f aca="false">IF(OR(AW$4="",MONTH(($G$2+21))&lt;&gt;MONTH($C$2)),"",IF(COUNTIFS(m_teacher,AW$4,m_date,($G$2+21),m_active,1,m_start,"&lt;"&amp;1020,m_end,"&gt;"&amp;960)=0,"",IF(COUNTIFS(m_teacher,AW$4,m_date,($G$2+21),m_active,1,m_start,"&lt;"&amp;1020,m_end,"&gt;"&amp;960)&gt;1,"충돌",HYPERLINK("#'관리자_MASTER'!D"&amp;_xlfn.MAXIFS(m_row,m_teacher,AW$4,m_date,($G$2+21),m_active,1,m_start,"&lt;"&amp;1020,m_end,"&gt;"&amp;960),INDEX(m_label,_xlfn.MAXIFS(m_row,m_teacher,AW$4,m_date,($G$2+21),m_active,1,m_start,"&lt;"&amp;1020,m_end,"&gt;"&amp;960))))))</f>
        <v/>
      </c>
      <c r="AX12" s="82" t="str">
        <f aca="false">IF(OR(AX$4="",MONTH(($G$2+21))&lt;&gt;MONTH($C$2)),"",IF(COUNTIFS(m_teacher,AX$4,m_date,($G$2+21),m_active,1,m_start,"&lt;"&amp;1020,m_end,"&gt;"&amp;960)=0,"",IF(COUNTIFS(m_teacher,AX$4,m_date,($G$2+21),m_active,1,m_start,"&lt;"&amp;1020,m_end,"&gt;"&amp;960)&gt;1,"충돌",HYPERLINK("#'관리자_MASTER'!D"&amp;_xlfn.MAXIFS(m_row,m_teacher,AX$4,m_date,($G$2+21),m_active,1,m_start,"&lt;"&amp;1020,m_end,"&gt;"&amp;960),INDEX(m_label,_xlfn.MAXIFS(m_row,m_teacher,AX$4,m_date,($G$2+21),m_active,1,m_start,"&lt;"&amp;1020,m_end,"&gt;"&amp;960))))))</f>
        <v/>
      </c>
      <c r="AY12" s="82" t="str">
        <f aca="false">IF(OR(AY$4="",MONTH(($G$2+21))&lt;&gt;MONTH($C$2)),"",IF(COUNTIFS(m_teacher,AY$4,m_date,($G$2+21),m_active,1,m_start,"&lt;"&amp;1020,m_end,"&gt;"&amp;960)=0,"",IF(COUNTIFS(m_teacher,AY$4,m_date,($G$2+21),m_active,1,m_start,"&lt;"&amp;1020,m_end,"&gt;"&amp;960)&gt;1,"충돌",HYPERLINK("#'관리자_MASTER'!D"&amp;_xlfn.MAXIFS(m_row,m_teacher,AY$4,m_date,($G$2+21),m_active,1,m_start,"&lt;"&amp;1020,m_end,"&gt;"&amp;960),INDEX(m_label,_xlfn.MAXIFS(m_row,m_teacher,AY$4,m_date,($G$2+21),m_active,1,m_start,"&lt;"&amp;1020,m_end,"&gt;"&amp;960))))))</f>
        <v/>
      </c>
      <c r="AZ12" s="82" t="str">
        <f aca="false">IF(OR(AZ$4="",MONTH(($G$2+21))&lt;&gt;MONTH($C$2)),"",IF(COUNTIFS(m_teacher,AZ$4,m_date,($G$2+21),m_active,1,m_start,"&lt;"&amp;1020,m_end,"&gt;"&amp;960)=0,"",IF(COUNTIFS(m_teacher,AZ$4,m_date,($G$2+21),m_active,1,m_start,"&lt;"&amp;1020,m_end,"&gt;"&amp;960)&gt;1,"충돌",HYPERLINK("#'관리자_MASTER'!D"&amp;_xlfn.MAXIFS(m_row,m_teacher,AZ$4,m_date,($G$2+21),m_active,1,m_start,"&lt;"&amp;1020,m_end,"&gt;"&amp;960),INDEX(m_label,_xlfn.MAXIFS(m_row,m_teacher,AZ$4,m_date,($G$2+21),m_active,1,m_start,"&lt;"&amp;1020,m_end,"&gt;"&amp;960))))))</f>
        <v/>
      </c>
      <c r="BA12" s="82" t="str">
        <f aca="false">IF(OR(BA$4="",MONTH(($G$2+21))&lt;&gt;MONTH($C$2)),"",IF(COUNTIFS(m_teacher,BA$4,m_date,($G$2+21),m_active,1,m_start,"&lt;"&amp;1020,m_end,"&gt;"&amp;960)=0,"",IF(COUNTIFS(m_teacher,BA$4,m_date,($G$2+21),m_active,1,m_start,"&lt;"&amp;1020,m_end,"&gt;"&amp;960)&gt;1,"충돌",HYPERLINK("#'관리자_MASTER'!D"&amp;_xlfn.MAXIFS(m_row,m_teacher,BA$4,m_date,($G$2+21),m_active,1,m_start,"&lt;"&amp;1020,m_end,"&gt;"&amp;960),INDEX(m_label,_xlfn.MAXIFS(m_row,m_teacher,BA$4,m_date,($G$2+21),m_active,1,m_start,"&lt;"&amp;1020,m_end,"&gt;"&amp;960))))))</f>
        <v/>
      </c>
      <c r="BB12" s="82" t="str">
        <f aca="false">IF(OR(BB$4="",MONTH(($G$2+21))&lt;&gt;MONTH($C$2)),"",IF(COUNTIFS(m_teacher,BB$4,m_date,($G$2+21),m_active,1,m_start,"&lt;"&amp;1020,m_end,"&gt;"&amp;960)=0,"",IF(COUNTIFS(m_teacher,BB$4,m_date,($G$2+21),m_active,1,m_start,"&lt;"&amp;1020,m_end,"&gt;"&amp;960)&gt;1,"충돌",HYPERLINK("#'관리자_MASTER'!D"&amp;_xlfn.MAXIFS(m_row,m_teacher,BB$4,m_date,($G$2+21),m_active,1,m_start,"&lt;"&amp;1020,m_end,"&gt;"&amp;960),INDEX(m_label,_xlfn.MAXIFS(m_row,m_teacher,BB$4,m_date,($G$2+21),m_active,1,m_start,"&lt;"&amp;1020,m_end,"&gt;"&amp;960))))))</f>
        <v/>
      </c>
      <c r="BC12" s="82" t="str">
        <f aca="false">IF(OR(BC$4="",MONTH(($G$2+21))&lt;&gt;MONTH($C$2)),"",IF(COUNTIFS(m_teacher,BC$4,m_date,($G$2+21),m_active,1,m_start,"&lt;"&amp;1020,m_end,"&gt;"&amp;960)=0,"",IF(COUNTIFS(m_teacher,BC$4,m_date,($G$2+21),m_active,1,m_start,"&lt;"&amp;1020,m_end,"&gt;"&amp;960)&gt;1,"충돌",HYPERLINK("#'관리자_MASTER'!D"&amp;_xlfn.MAXIFS(m_row,m_teacher,BC$4,m_date,($G$2+21),m_active,1,m_start,"&lt;"&amp;1020,m_end,"&gt;"&amp;960),INDEX(m_label,_xlfn.MAXIFS(m_row,m_teacher,BC$4,m_date,($G$2+21),m_active,1,m_start,"&lt;"&amp;1020,m_end,"&gt;"&amp;960))))))</f>
        <v/>
      </c>
      <c r="BD12" s="82" t="str">
        <f aca="false">IF(OR(BD$4="",MONTH(($G$2+21))&lt;&gt;MONTH($C$2)),"",IF(COUNTIFS(m_teacher,BD$4,m_date,($G$2+21),m_active,1,m_start,"&lt;"&amp;1020,m_end,"&gt;"&amp;960)=0,"",IF(COUNTIFS(m_teacher,BD$4,m_date,($G$2+21),m_active,1,m_start,"&lt;"&amp;1020,m_end,"&gt;"&amp;960)&gt;1,"충돌",HYPERLINK("#'관리자_MASTER'!D"&amp;_xlfn.MAXIFS(m_row,m_teacher,BD$4,m_date,($G$2+21),m_active,1,m_start,"&lt;"&amp;1020,m_end,"&gt;"&amp;960),INDEX(m_label,_xlfn.MAXIFS(m_row,m_teacher,BD$4,m_date,($G$2+21),m_active,1,m_start,"&lt;"&amp;1020,m_end,"&gt;"&amp;960))))))</f>
        <v/>
      </c>
    </row>
    <row r="13" customFormat="false" ht="19.5" hidden="false" customHeight="true" outlineLevel="0" collapsed="false">
      <c r="A13" s="78"/>
      <c r="B13" s="79" t="s">
        <v>99</v>
      </c>
      <c r="C13" s="82" t="str">
        <f aca="false">IF(OR(C$4="",MONTH(($G$2+0))&lt;&gt;MONTH($C$2)),"",IF(COUNTIFS(m_teacher,C$4,m_date,($G$2+0),m_active,1,m_start,"&lt;"&amp;1080,m_end,"&gt;"&amp;1020)=0,"",IF(COUNTIFS(m_teacher,C$4,m_date,($G$2+0),m_active,1,m_start,"&lt;"&amp;1080,m_end,"&gt;"&amp;1020)&gt;1,"충돌",HYPERLINK("#'관리자_MASTER'!D"&amp;_xlfn.MAXIFS(m_row,m_teacher,C$4,m_date,($G$2+0),m_active,1,m_start,"&lt;"&amp;1080,m_end,"&gt;"&amp;1020),INDEX(m_label,_xlfn.MAXIFS(m_row,m_teacher,C$4,m_date,($G$2+0),m_active,1,m_start,"&lt;"&amp;1080,m_end,"&gt;"&amp;1020))))))</f>
        <v/>
      </c>
      <c r="D13" s="82" t="str">
        <f aca="false">IF(OR(D$4="",MONTH(($G$2+0))&lt;&gt;MONTH($C$2)),"",IF(COUNTIFS(m_teacher,D$4,m_date,($G$2+0),m_active,1,m_start,"&lt;"&amp;1080,m_end,"&gt;"&amp;1020)=0,"",IF(COUNTIFS(m_teacher,D$4,m_date,($G$2+0),m_active,1,m_start,"&lt;"&amp;1080,m_end,"&gt;"&amp;1020)&gt;1,"충돌",HYPERLINK("#'관리자_MASTER'!D"&amp;_xlfn.MAXIFS(m_row,m_teacher,D$4,m_date,($G$2+0),m_active,1,m_start,"&lt;"&amp;1080,m_end,"&gt;"&amp;1020),INDEX(m_label,_xlfn.MAXIFS(m_row,m_teacher,D$4,m_date,($G$2+0),m_active,1,m_start,"&lt;"&amp;1080,m_end,"&gt;"&amp;1020))))))</f>
        <v/>
      </c>
      <c r="E13" s="82" t="str">
        <f aca="false">IF(OR(E$4="",MONTH(($G$2+0))&lt;&gt;MONTH($C$2)),"",IF(COUNTIFS(m_teacher,E$4,m_date,($G$2+0),m_active,1,m_start,"&lt;"&amp;1080,m_end,"&gt;"&amp;1020)=0,"",IF(COUNTIFS(m_teacher,E$4,m_date,($G$2+0),m_active,1,m_start,"&lt;"&amp;1080,m_end,"&gt;"&amp;1020)&gt;1,"충돌",HYPERLINK("#'관리자_MASTER'!D"&amp;_xlfn.MAXIFS(m_row,m_teacher,E$4,m_date,($G$2+0),m_active,1,m_start,"&lt;"&amp;1080,m_end,"&gt;"&amp;1020),INDEX(m_label,_xlfn.MAXIFS(m_row,m_teacher,E$4,m_date,($G$2+0),m_active,1,m_start,"&lt;"&amp;1080,m_end,"&gt;"&amp;1020))))))</f>
        <v/>
      </c>
      <c r="F13" s="82" t="str">
        <f aca="false">IF(OR(F$4="",MONTH(($G$2+0))&lt;&gt;MONTH($C$2)),"",IF(COUNTIFS(m_teacher,F$4,m_date,($G$2+0),m_active,1,m_start,"&lt;"&amp;1080,m_end,"&gt;"&amp;1020)=0,"",IF(COUNTIFS(m_teacher,F$4,m_date,($G$2+0),m_active,1,m_start,"&lt;"&amp;1080,m_end,"&gt;"&amp;1020)&gt;1,"충돌",HYPERLINK("#'관리자_MASTER'!D"&amp;_xlfn.MAXIFS(m_row,m_teacher,F$4,m_date,($G$2+0),m_active,1,m_start,"&lt;"&amp;1080,m_end,"&gt;"&amp;1020),INDEX(m_label,_xlfn.MAXIFS(m_row,m_teacher,F$4,m_date,($G$2+0),m_active,1,m_start,"&lt;"&amp;1080,m_end,"&gt;"&amp;1020))))))</f>
        <v/>
      </c>
      <c r="G13" s="82" t="str">
        <f aca="false">IF(OR(G$4="",MONTH(($G$2+0))&lt;&gt;MONTH($C$2)),"",IF(COUNTIFS(m_teacher,G$4,m_date,($G$2+0),m_active,1,m_start,"&lt;"&amp;1080,m_end,"&gt;"&amp;1020)=0,"",IF(COUNTIFS(m_teacher,G$4,m_date,($G$2+0),m_active,1,m_start,"&lt;"&amp;1080,m_end,"&gt;"&amp;1020)&gt;1,"충돌",HYPERLINK("#'관리자_MASTER'!D"&amp;_xlfn.MAXIFS(m_row,m_teacher,G$4,m_date,($G$2+0),m_active,1,m_start,"&lt;"&amp;1080,m_end,"&gt;"&amp;1020),INDEX(m_label,_xlfn.MAXIFS(m_row,m_teacher,G$4,m_date,($G$2+0),m_active,1,m_start,"&lt;"&amp;1080,m_end,"&gt;"&amp;1020))))))</f>
        <v/>
      </c>
      <c r="H13" s="82" t="str">
        <f aca="false">IF(OR(H$4="",MONTH(($G$2+0))&lt;&gt;MONTH($C$2)),"",IF(COUNTIFS(m_teacher,H$4,m_date,($G$2+0),m_active,1,m_start,"&lt;"&amp;1080,m_end,"&gt;"&amp;1020)=0,"",IF(COUNTIFS(m_teacher,H$4,m_date,($G$2+0),m_active,1,m_start,"&lt;"&amp;1080,m_end,"&gt;"&amp;1020)&gt;1,"충돌",HYPERLINK("#'관리자_MASTER'!D"&amp;_xlfn.MAXIFS(m_row,m_teacher,H$4,m_date,($G$2+0),m_active,1,m_start,"&lt;"&amp;1080,m_end,"&gt;"&amp;1020),INDEX(m_label,_xlfn.MAXIFS(m_row,m_teacher,H$4,m_date,($G$2+0),m_active,1,m_start,"&lt;"&amp;1080,m_end,"&gt;"&amp;1020))))))</f>
        <v/>
      </c>
      <c r="I13" s="82" t="str">
        <f aca="false">IF(OR(I$4="",MONTH(($G$2+0))&lt;&gt;MONTH($C$2)),"",IF(COUNTIFS(m_teacher,I$4,m_date,($G$2+0),m_active,1,m_start,"&lt;"&amp;1080,m_end,"&gt;"&amp;1020)=0,"",IF(COUNTIFS(m_teacher,I$4,m_date,($G$2+0),m_active,1,m_start,"&lt;"&amp;1080,m_end,"&gt;"&amp;1020)&gt;1,"충돌",HYPERLINK("#'관리자_MASTER'!D"&amp;_xlfn.MAXIFS(m_row,m_teacher,I$4,m_date,($G$2+0),m_active,1,m_start,"&lt;"&amp;1080,m_end,"&gt;"&amp;1020),INDEX(m_label,_xlfn.MAXIFS(m_row,m_teacher,I$4,m_date,($G$2+0),m_active,1,m_start,"&lt;"&amp;1080,m_end,"&gt;"&amp;1020))))))</f>
        <v/>
      </c>
      <c r="J13" s="82" t="str">
        <f aca="false">IF(OR(J$4="",MONTH(($G$2+0))&lt;&gt;MONTH($C$2)),"",IF(COUNTIFS(m_teacher,J$4,m_date,($G$2+0),m_active,1,m_start,"&lt;"&amp;1080,m_end,"&gt;"&amp;1020)=0,"",IF(COUNTIFS(m_teacher,J$4,m_date,($G$2+0),m_active,1,m_start,"&lt;"&amp;1080,m_end,"&gt;"&amp;1020)&gt;1,"충돌",HYPERLINK("#'관리자_MASTER'!D"&amp;_xlfn.MAXIFS(m_row,m_teacher,J$4,m_date,($G$2+0),m_active,1,m_start,"&lt;"&amp;1080,m_end,"&gt;"&amp;1020),INDEX(m_label,_xlfn.MAXIFS(m_row,m_teacher,J$4,m_date,($G$2+0),m_active,1,m_start,"&lt;"&amp;1080,m_end,"&gt;"&amp;1020))))))</f>
        <v/>
      </c>
      <c r="K13" s="82" t="str">
        <f aca="false">IF(OR(K$4="",MONTH(($G$2+0))&lt;&gt;MONTH($C$2)),"",IF(COUNTIFS(m_teacher,K$4,m_date,($G$2+0),m_active,1,m_start,"&lt;"&amp;1080,m_end,"&gt;"&amp;1020)=0,"",IF(COUNTIFS(m_teacher,K$4,m_date,($G$2+0),m_active,1,m_start,"&lt;"&amp;1080,m_end,"&gt;"&amp;1020)&gt;1,"충돌",HYPERLINK("#'관리자_MASTER'!D"&amp;_xlfn.MAXIFS(m_row,m_teacher,K$4,m_date,($G$2+0),m_active,1,m_start,"&lt;"&amp;1080,m_end,"&gt;"&amp;1020),INDEX(m_label,_xlfn.MAXIFS(m_row,m_teacher,K$4,m_date,($G$2+0),m_active,1,m_start,"&lt;"&amp;1080,m_end,"&gt;"&amp;1020))))))</f>
        <v/>
      </c>
      <c r="L13" s="82" t="str">
        <f aca="false">IF(OR(L$4="",MONTH(($G$2+0))&lt;&gt;MONTH($C$2)),"",IF(COUNTIFS(m_teacher,L$4,m_date,($G$2+0),m_active,1,m_start,"&lt;"&amp;1080,m_end,"&gt;"&amp;1020)=0,"",IF(COUNTIFS(m_teacher,L$4,m_date,($G$2+0),m_active,1,m_start,"&lt;"&amp;1080,m_end,"&gt;"&amp;1020)&gt;1,"충돌",HYPERLINK("#'관리자_MASTER'!D"&amp;_xlfn.MAXIFS(m_row,m_teacher,L$4,m_date,($G$2+0),m_active,1,m_start,"&lt;"&amp;1080,m_end,"&gt;"&amp;1020),INDEX(m_label,_xlfn.MAXIFS(m_row,m_teacher,L$4,m_date,($G$2+0),m_active,1,m_start,"&lt;"&amp;1080,m_end,"&gt;"&amp;1020))))))</f>
        <v/>
      </c>
      <c r="M13" s="82" t="str">
        <f aca="false">IF(OR(M$4="",MONTH(($G$2+0))&lt;&gt;MONTH($C$2)),"",IF(COUNTIFS(m_teacher,M$4,m_date,($G$2+0),m_active,1,m_start,"&lt;"&amp;1080,m_end,"&gt;"&amp;1020)=0,"",IF(COUNTIFS(m_teacher,M$4,m_date,($G$2+0),m_active,1,m_start,"&lt;"&amp;1080,m_end,"&gt;"&amp;1020)&gt;1,"충돌",HYPERLINK("#'관리자_MASTER'!D"&amp;_xlfn.MAXIFS(m_row,m_teacher,M$4,m_date,($G$2+0),m_active,1,m_start,"&lt;"&amp;1080,m_end,"&gt;"&amp;1020),INDEX(m_label,_xlfn.MAXIFS(m_row,m_teacher,M$4,m_date,($G$2+0),m_active,1,m_start,"&lt;"&amp;1080,m_end,"&gt;"&amp;1020))))))</f>
        <v/>
      </c>
      <c r="N13" s="82" t="str">
        <f aca="false">IF(OR(N$4="",MONTH(($G$2+0))&lt;&gt;MONTH($C$2)),"",IF(COUNTIFS(m_teacher,N$4,m_date,($G$2+0),m_active,1,m_start,"&lt;"&amp;1080,m_end,"&gt;"&amp;1020)=0,"",IF(COUNTIFS(m_teacher,N$4,m_date,($G$2+0),m_active,1,m_start,"&lt;"&amp;1080,m_end,"&gt;"&amp;1020)&gt;1,"충돌",HYPERLINK("#'관리자_MASTER'!D"&amp;_xlfn.MAXIFS(m_row,m_teacher,N$4,m_date,($G$2+0),m_active,1,m_start,"&lt;"&amp;1080,m_end,"&gt;"&amp;1020),INDEX(m_label,_xlfn.MAXIFS(m_row,m_teacher,N$4,m_date,($G$2+0),m_active,1,m_start,"&lt;"&amp;1080,m_end,"&gt;"&amp;1020))))))</f>
        <v/>
      </c>
      <c r="O13" s="78"/>
      <c r="P13" s="79" t="s">
        <v>99</v>
      </c>
      <c r="Q13" s="82" t="str">
        <f aca="false">IF(OR(Q$4="",MONTH(($G$2+7))&lt;&gt;MONTH($C$2)),"",IF(COUNTIFS(m_teacher,Q$4,m_date,($G$2+7),m_active,1,m_start,"&lt;"&amp;1080,m_end,"&gt;"&amp;1020)=0,"",IF(COUNTIFS(m_teacher,Q$4,m_date,($G$2+7),m_active,1,m_start,"&lt;"&amp;1080,m_end,"&gt;"&amp;1020)&gt;1,"충돌",HYPERLINK("#'관리자_MASTER'!D"&amp;_xlfn.MAXIFS(m_row,m_teacher,Q$4,m_date,($G$2+7),m_active,1,m_start,"&lt;"&amp;1080,m_end,"&gt;"&amp;1020),INDEX(m_label,_xlfn.MAXIFS(m_row,m_teacher,Q$4,m_date,($G$2+7),m_active,1,m_start,"&lt;"&amp;1080,m_end,"&gt;"&amp;1020))))))</f>
        <v/>
      </c>
      <c r="R13" s="82" t="str">
        <f aca="false">IF(OR(R$4="",MONTH(($G$2+7))&lt;&gt;MONTH($C$2)),"",IF(COUNTIFS(m_teacher,R$4,m_date,($G$2+7),m_active,1,m_start,"&lt;"&amp;1080,m_end,"&gt;"&amp;1020)=0,"",IF(COUNTIFS(m_teacher,R$4,m_date,($G$2+7),m_active,1,m_start,"&lt;"&amp;1080,m_end,"&gt;"&amp;1020)&gt;1,"충돌",HYPERLINK("#'관리자_MASTER'!D"&amp;_xlfn.MAXIFS(m_row,m_teacher,R$4,m_date,($G$2+7),m_active,1,m_start,"&lt;"&amp;1080,m_end,"&gt;"&amp;1020),INDEX(m_label,_xlfn.MAXIFS(m_row,m_teacher,R$4,m_date,($G$2+7),m_active,1,m_start,"&lt;"&amp;1080,m_end,"&gt;"&amp;1020))))))</f>
        <v/>
      </c>
      <c r="S13" s="82" t="str">
        <f aca="false">IF(OR(S$4="",MONTH(($G$2+7))&lt;&gt;MONTH($C$2)),"",IF(COUNTIFS(m_teacher,S$4,m_date,($G$2+7),m_active,1,m_start,"&lt;"&amp;1080,m_end,"&gt;"&amp;1020)=0,"",IF(COUNTIFS(m_teacher,S$4,m_date,($G$2+7),m_active,1,m_start,"&lt;"&amp;1080,m_end,"&gt;"&amp;1020)&gt;1,"충돌",HYPERLINK("#'관리자_MASTER'!D"&amp;_xlfn.MAXIFS(m_row,m_teacher,S$4,m_date,($G$2+7),m_active,1,m_start,"&lt;"&amp;1080,m_end,"&gt;"&amp;1020),INDEX(m_label,_xlfn.MAXIFS(m_row,m_teacher,S$4,m_date,($G$2+7),m_active,1,m_start,"&lt;"&amp;1080,m_end,"&gt;"&amp;1020))))))</f>
        <v/>
      </c>
      <c r="T13" s="82" t="str">
        <f aca="false">IF(OR(T$4="",MONTH(($G$2+7))&lt;&gt;MONTH($C$2)),"",IF(COUNTIFS(m_teacher,T$4,m_date,($G$2+7),m_active,1,m_start,"&lt;"&amp;1080,m_end,"&gt;"&amp;1020)=0,"",IF(COUNTIFS(m_teacher,T$4,m_date,($G$2+7),m_active,1,m_start,"&lt;"&amp;1080,m_end,"&gt;"&amp;1020)&gt;1,"충돌",HYPERLINK("#'관리자_MASTER'!D"&amp;_xlfn.MAXIFS(m_row,m_teacher,T$4,m_date,($G$2+7),m_active,1,m_start,"&lt;"&amp;1080,m_end,"&gt;"&amp;1020),INDEX(m_label,_xlfn.MAXIFS(m_row,m_teacher,T$4,m_date,($G$2+7),m_active,1,m_start,"&lt;"&amp;1080,m_end,"&gt;"&amp;1020))))))</f>
        <v/>
      </c>
      <c r="U13" s="82" t="str">
        <f aca="false">IF(OR(U$4="",MONTH(($G$2+7))&lt;&gt;MONTH($C$2)),"",IF(COUNTIFS(m_teacher,U$4,m_date,($G$2+7),m_active,1,m_start,"&lt;"&amp;1080,m_end,"&gt;"&amp;1020)=0,"",IF(COUNTIFS(m_teacher,U$4,m_date,($G$2+7),m_active,1,m_start,"&lt;"&amp;1080,m_end,"&gt;"&amp;1020)&gt;1,"충돌",HYPERLINK("#'관리자_MASTER'!D"&amp;_xlfn.MAXIFS(m_row,m_teacher,U$4,m_date,($G$2+7),m_active,1,m_start,"&lt;"&amp;1080,m_end,"&gt;"&amp;1020),INDEX(m_label,_xlfn.MAXIFS(m_row,m_teacher,U$4,m_date,($G$2+7),m_active,1,m_start,"&lt;"&amp;1080,m_end,"&gt;"&amp;1020))))))</f>
        <v/>
      </c>
      <c r="V13" s="82" t="str">
        <f aca="false">IF(OR(V$4="",MONTH(($G$2+7))&lt;&gt;MONTH($C$2)),"",IF(COUNTIFS(m_teacher,V$4,m_date,($G$2+7),m_active,1,m_start,"&lt;"&amp;1080,m_end,"&gt;"&amp;1020)=0,"",IF(COUNTIFS(m_teacher,V$4,m_date,($G$2+7),m_active,1,m_start,"&lt;"&amp;1080,m_end,"&gt;"&amp;1020)&gt;1,"충돌",HYPERLINK("#'관리자_MASTER'!D"&amp;_xlfn.MAXIFS(m_row,m_teacher,V$4,m_date,($G$2+7),m_active,1,m_start,"&lt;"&amp;1080,m_end,"&gt;"&amp;1020),INDEX(m_label,_xlfn.MAXIFS(m_row,m_teacher,V$4,m_date,($G$2+7),m_active,1,m_start,"&lt;"&amp;1080,m_end,"&gt;"&amp;1020))))))</f>
        <v/>
      </c>
      <c r="W13" s="82" t="str">
        <f aca="false">IF(OR(W$4="",MONTH(($G$2+7))&lt;&gt;MONTH($C$2)),"",IF(COUNTIFS(m_teacher,W$4,m_date,($G$2+7),m_active,1,m_start,"&lt;"&amp;1080,m_end,"&gt;"&amp;1020)=0,"",IF(COUNTIFS(m_teacher,W$4,m_date,($G$2+7),m_active,1,m_start,"&lt;"&amp;1080,m_end,"&gt;"&amp;1020)&gt;1,"충돌",HYPERLINK("#'관리자_MASTER'!D"&amp;_xlfn.MAXIFS(m_row,m_teacher,W$4,m_date,($G$2+7),m_active,1,m_start,"&lt;"&amp;1080,m_end,"&gt;"&amp;1020),INDEX(m_label,_xlfn.MAXIFS(m_row,m_teacher,W$4,m_date,($G$2+7),m_active,1,m_start,"&lt;"&amp;1080,m_end,"&gt;"&amp;1020))))))</f>
        <v/>
      </c>
      <c r="X13" s="82" t="str">
        <f aca="false">IF(OR(X$4="",MONTH(($G$2+7))&lt;&gt;MONTH($C$2)),"",IF(COUNTIFS(m_teacher,X$4,m_date,($G$2+7),m_active,1,m_start,"&lt;"&amp;1080,m_end,"&gt;"&amp;1020)=0,"",IF(COUNTIFS(m_teacher,X$4,m_date,($G$2+7),m_active,1,m_start,"&lt;"&amp;1080,m_end,"&gt;"&amp;1020)&gt;1,"충돌",HYPERLINK("#'관리자_MASTER'!D"&amp;_xlfn.MAXIFS(m_row,m_teacher,X$4,m_date,($G$2+7),m_active,1,m_start,"&lt;"&amp;1080,m_end,"&gt;"&amp;1020),INDEX(m_label,_xlfn.MAXIFS(m_row,m_teacher,X$4,m_date,($G$2+7),m_active,1,m_start,"&lt;"&amp;1080,m_end,"&gt;"&amp;1020))))))</f>
        <v/>
      </c>
      <c r="Y13" s="82" t="str">
        <f aca="false">IF(OR(Y$4="",MONTH(($G$2+7))&lt;&gt;MONTH($C$2)),"",IF(COUNTIFS(m_teacher,Y$4,m_date,($G$2+7),m_active,1,m_start,"&lt;"&amp;1080,m_end,"&gt;"&amp;1020)=0,"",IF(COUNTIFS(m_teacher,Y$4,m_date,($G$2+7),m_active,1,m_start,"&lt;"&amp;1080,m_end,"&gt;"&amp;1020)&gt;1,"충돌",HYPERLINK("#'관리자_MASTER'!D"&amp;_xlfn.MAXIFS(m_row,m_teacher,Y$4,m_date,($G$2+7),m_active,1,m_start,"&lt;"&amp;1080,m_end,"&gt;"&amp;1020),INDEX(m_label,_xlfn.MAXIFS(m_row,m_teacher,Y$4,m_date,($G$2+7),m_active,1,m_start,"&lt;"&amp;1080,m_end,"&gt;"&amp;1020))))))</f>
        <v/>
      </c>
      <c r="Z13" s="82" t="str">
        <f aca="false">IF(OR(Z$4="",MONTH(($G$2+7))&lt;&gt;MONTH($C$2)),"",IF(COUNTIFS(m_teacher,Z$4,m_date,($G$2+7),m_active,1,m_start,"&lt;"&amp;1080,m_end,"&gt;"&amp;1020)=0,"",IF(COUNTIFS(m_teacher,Z$4,m_date,($G$2+7),m_active,1,m_start,"&lt;"&amp;1080,m_end,"&gt;"&amp;1020)&gt;1,"충돌",HYPERLINK("#'관리자_MASTER'!D"&amp;_xlfn.MAXIFS(m_row,m_teacher,Z$4,m_date,($G$2+7),m_active,1,m_start,"&lt;"&amp;1080,m_end,"&gt;"&amp;1020),INDEX(m_label,_xlfn.MAXIFS(m_row,m_teacher,Z$4,m_date,($G$2+7),m_active,1,m_start,"&lt;"&amp;1080,m_end,"&gt;"&amp;1020))))))</f>
        <v/>
      </c>
      <c r="AA13" s="82" t="str">
        <f aca="false">IF(OR(AA$4="",MONTH(($G$2+7))&lt;&gt;MONTH($C$2)),"",IF(COUNTIFS(m_teacher,AA$4,m_date,($G$2+7),m_active,1,m_start,"&lt;"&amp;1080,m_end,"&gt;"&amp;1020)=0,"",IF(COUNTIFS(m_teacher,AA$4,m_date,($G$2+7),m_active,1,m_start,"&lt;"&amp;1080,m_end,"&gt;"&amp;1020)&gt;1,"충돌",HYPERLINK("#'관리자_MASTER'!D"&amp;_xlfn.MAXIFS(m_row,m_teacher,AA$4,m_date,($G$2+7),m_active,1,m_start,"&lt;"&amp;1080,m_end,"&gt;"&amp;1020),INDEX(m_label,_xlfn.MAXIFS(m_row,m_teacher,AA$4,m_date,($G$2+7),m_active,1,m_start,"&lt;"&amp;1080,m_end,"&gt;"&amp;1020))))))</f>
        <v/>
      </c>
      <c r="AB13" s="82" t="str">
        <f aca="false">IF(OR(AB$4="",MONTH(($G$2+7))&lt;&gt;MONTH($C$2)),"",IF(COUNTIFS(m_teacher,AB$4,m_date,($G$2+7),m_active,1,m_start,"&lt;"&amp;1080,m_end,"&gt;"&amp;1020)=0,"",IF(COUNTIFS(m_teacher,AB$4,m_date,($G$2+7),m_active,1,m_start,"&lt;"&amp;1080,m_end,"&gt;"&amp;1020)&gt;1,"충돌",HYPERLINK("#'관리자_MASTER'!D"&amp;_xlfn.MAXIFS(m_row,m_teacher,AB$4,m_date,($G$2+7),m_active,1,m_start,"&lt;"&amp;1080,m_end,"&gt;"&amp;1020),INDEX(m_label,_xlfn.MAXIFS(m_row,m_teacher,AB$4,m_date,($G$2+7),m_active,1,m_start,"&lt;"&amp;1080,m_end,"&gt;"&amp;1020))))))</f>
        <v/>
      </c>
      <c r="AC13" s="78"/>
      <c r="AD13" s="79" t="s">
        <v>99</v>
      </c>
      <c r="AE13" s="82" t="str">
        <f aca="false">IF(OR(AE$4="",MONTH(($G$2+14))&lt;&gt;MONTH($C$2)),"",IF(COUNTIFS(m_teacher,AE$4,m_date,($G$2+14),m_active,1,m_start,"&lt;"&amp;1080,m_end,"&gt;"&amp;1020)=0,"",IF(COUNTIFS(m_teacher,AE$4,m_date,($G$2+14),m_active,1,m_start,"&lt;"&amp;1080,m_end,"&gt;"&amp;1020)&gt;1,"충돌",HYPERLINK("#'관리자_MASTER'!D"&amp;_xlfn.MAXIFS(m_row,m_teacher,AE$4,m_date,($G$2+14),m_active,1,m_start,"&lt;"&amp;1080,m_end,"&gt;"&amp;1020),INDEX(m_label,_xlfn.MAXIFS(m_row,m_teacher,AE$4,m_date,($G$2+14),m_active,1,m_start,"&lt;"&amp;1080,m_end,"&gt;"&amp;1020))))))</f>
        <v/>
      </c>
      <c r="AF13" s="82" t="str">
        <f aca="false">IF(OR(AF$4="",MONTH(($G$2+14))&lt;&gt;MONTH($C$2)),"",IF(COUNTIFS(m_teacher,AF$4,m_date,($G$2+14),m_active,1,m_start,"&lt;"&amp;1080,m_end,"&gt;"&amp;1020)=0,"",IF(COUNTIFS(m_teacher,AF$4,m_date,($G$2+14),m_active,1,m_start,"&lt;"&amp;1080,m_end,"&gt;"&amp;1020)&gt;1,"충돌",HYPERLINK("#'관리자_MASTER'!D"&amp;_xlfn.MAXIFS(m_row,m_teacher,AF$4,m_date,($G$2+14),m_active,1,m_start,"&lt;"&amp;1080,m_end,"&gt;"&amp;1020),INDEX(m_label,_xlfn.MAXIFS(m_row,m_teacher,AF$4,m_date,($G$2+14),m_active,1,m_start,"&lt;"&amp;1080,m_end,"&gt;"&amp;1020))))))</f>
        <v/>
      </c>
      <c r="AG13" s="82" t="str">
        <f aca="false">IF(OR(AG$4="",MONTH(($G$2+14))&lt;&gt;MONTH($C$2)),"",IF(COUNTIFS(m_teacher,AG$4,m_date,($G$2+14),m_active,1,m_start,"&lt;"&amp;1080,m_end,"&gt;"&amp;1020)=0,"",IF(COUNTIFS(m_teacher,AG$4,m_date,($G$2+14),m_active,1,m_start,"&lt;"&amp;1080,m_end,"&gt;"&amp;1020)&gt;1,"충돌",HYPERLINK("#'관리자_MASTER'!D"&amp;_xlfn.MAXIFS(m_row,m_teacher,AG$4,m_date,($G$2+14),m_active,1,m_start,"&lt;"&amp;1080,m_end,"&gt;"&amp;1020),INDEX(m_label,_xlfn.MAXIFS(m_row,m_teacher,AG$4,m_date,($G$2+14),m_active,1,m_start,"&lt;"&amp;1080,m_end,"&gt;"&amp;1020))))))</f>
        <v/>
      </c>
      <c r="AH13" s="82" t="str">
        <f aca="false">IF(OR(AH$4="",MONTH(($G$2+14))&lt;&gt;MONTH($C$2)),"",IF(COUNTIFS(m_teacher,AH$4,m_date,($G$2+14),m_active,1,m_start,"&lt;"&amp;1080,m_end,"&gt;"&amp;1020)=0,"",IF(COUNTIFS(m_teacher,AH$4,m_date,($G$2+14),m_active,1,m_start,"&lt;"&amp;1080,m_end,"&gt;"&amp;1020)&gt;1,"충돌",HYPERLINK("#'관리자_MASTER'!D"&amp;_xlfn.MAXIFS(m_row,m_teacher,AH$4,m_date,($G$2+14),m_active,1,m_start,"&lt;"&amp;1080,m_end,"&gt;"&amp;1020),INDEX(m_label,_xlfn.MAXIFS(m_row,m_teacher,AH$4,m_date,($G$2+14),m_active,1,m_start,"&lt;"&amp;1080,m_end,"&gt;"&amp;1020))))))</f>
        <v/>
      </c>
      <c r="AI13" s="82" t="str">
        <f aca="false">IF(OR(AI$4="",MONTH(($G$2+14))&lt;&gt;MONTH($C$2)),"",IF(COUNTIFS(m_teacher,AI$4,m_date,($G$2+14),m_active,1,m_start,"&lt;"&amp;1080,m_end,"&gt;"&amp;1020)=0,"",IF(COUNTIFS(m_teacher,AI$4,m_date,($G$2+14),m_active,1,m_start,"&lt;"&amp;1080,m_end,"&gt;"&amp;1020)&gt;1,"충돌",HYPERLINK("#'관리자_MASTER'!D"&amp;_xlfn.MAXIFS(m_row,m_teacher,AI$4,m_date,($G$2+14),m_active,1,m_start,"&lt;"&amp;1080,m_end,"&gt;"&amp;1020),INDEX(m_label,_xlfn.MAXIFS(m_row,m_teacher,AI$4,m_date,($G$2+14),m_active,1,m_start,"&lt;"&amp;1080,m_end,"&gt;"&amp;1020))))))</f>
        <v/>
      </c>
      <c r="AJ13" s="82" t="str">
        <f aca="false">IF(OR(AJ$4="",MONTH(($G$2+14))&lt;&gt;MONTH($C$2)),"",IF(COUNTIFS(m_teacher,AJ$4,m_date,($G$2+14),m_active,1,m_start,"&lt;"&amp;1080,m_end,"&gt;"&amp;1020)=0,"",IF(COUNTIFS(m_teacher,AJ$4,m_date,($G$2+14),m_active,1,m_start,"&lt;"&amp;1080,m_end,"&gt;"&amp;1020)&gt;1,"충돌",HYPERLINK("#'관리자_MASTER'!D"&amp;_xlfn.MAXIFS(m_row,m_teacher,AJ$4,m_date,($G$2+14),m_active,1,m_start,"&lt;"&amp;1080,m_end,"&gt;"&amp;1020),INDEX(m_label,_xlfn.MAXIFS(m_row,m_teacher,AJ$4,m_date,($G$2+14),m_active,1,m_start,"&lt;"&amp;1080,m_end,"&gt;"&amp;1020))))))</f>
        <v/>
      </c>
      <c r="AK13" s="82" t="str">
        <f aca="false">IF(OR(AK$4="",MONTH(($G$2+14))&lt;&gt;MONTH($C$2)),"",IF(COUNTIFS(m_teacher,AK$4,m_date,($G$2+14),m_active,1,m_start,"&lt;"&amp;1080,m_end,"&gt;"&amp;1020)=0,"",IF(COUNTIFS(m_teacher,AK$4,m_date,($G$2+14),m_active,1,m_start,"&lt;"&amp;1080,m_end,"&gt;"&amp;1020)&gt;1,"충돌",HYPERLINK("#'관리자_MASTER'!D"&amp;_xlfn.MAXIFS(m_row,m_teacher,AK$4,m_date,($G$2+14),m_active,1,m_start,"&lt;"&amp;1080,m_end,"&gt;"&amp;1020),INDEX(m_label,_xlfn.MAXIFS(m_row,m_teacher,AK$4,m_date,($G$2+14),m_active,1,m_start,"&lt;"&amp;1080,m_end,"&gt;"&amp;1020))))))</f>
        <v/>
      </c>
      <c r="AL13" s="82" t="str">
        <f aca="false">IF(OR(AL$4="",MONTH(($G$2+14))&lt;&gt;MONTH($C$2)),"",IF(COUNTIFS(m_teacher,AL$4,m_date,($G$2+14),m_active,1,m_start,"&lt;"&amp;1080,m_end,"&gt;"&amp;1020)=0,"",IF(COUNTIFS(m_teacher,AL$4,m_date,($G$2+14),m_active,1,m_start,"&lt;"&amp;1080,m_end,"&gt;"&amp;1020)&gt;1,"충돌",HYPERLINK("#'관리자_MASTER'!D"&amp;_xlfn.MAXIFS(m_row,m_teacher,AL$4,m_date,($G$2+14),m_active,1,m_start,"&lt;"&amp;1080,m_end,"&gt;"&amp;1020),INDEX(m_label,_xlfn.MAXIFS(m_row,m_teacher,AL$4,m_date,($G$2+14),m_active,1,m_start,"&lt;"&amp;1080,m_end,"&gt;"&amp;1020))))))</f>
        <v/>
      </c>
      <c r="AM13" s="82" t="str">
        <f aca="false">IF(OR(AM$4="",MONTH(($G$2+14))&lt;&gt;MONTH($C$2)),"",IF(COUNTIFS(m_teacher,AM$4,m_date,($G$2+14),m_active,1,m_start,"&lt;"&amp;1080,m_end,"&gt;"&amp;1020)=0,"",IF(COUNTIFS(m_teacher,AM$4,m_date,($G$2+14),m_active,1,m_start,"&lt;"&amp;1080,m_end,"&gt;"&amp;1020)&gt;1,"충돌",HYPERLINK("#'관리자_MASTER'!D"&amp;_xlfn.MAXIFS(m_row,m_teacher,AM$4,m_date,($G$2+14),m_active,1,m_start,"&lt;"&amp;1080,m_end,"&gt;"&amp;1020),INDEX(m_label,_xlfn.MAXIFS(m_row,m_teacher,AM$4,m_date,($G$2+14),m_active,1,m_start,"&lt;"&amp;1080,m_end,"&gt;"&amp;1020))))))</f>
        <v/>
      </c>
      <c r="AN13" s="82" t="str">
        <f aca="false">IF(OR(AN$4="",MONTH(($G$2+14))&lt;&gt;MONTH($C$2)),"",IF(COUNTIFS(m_teacher,AN$4,m_date,($G$2+14),m_active,1,m_start,"&lt;"&amp;1080,m_end,"&gt;"&amp;1020)=0,"",IF(COUNTIFS(m_teacher,AN$4,m_date,($G$2+14),m_active,1,m_start,"&lt;"&amp;1080,m_end,"&gt;"&amp;1020)&gt;1,"충돌",HYPERLINK("#'관리자_MASTER'!D"&amp;_xlfn.MAXIFS(m_row,m_teacher,AN$4,m_date,($G$2+14),m_active,1,m_start,"&lt;"&amp;1080,m_end,"&gt;"&amp;1020),INDEX(m_label,_xlfn.MAXIFS(m_row,m_teacher,AN$4,m_date,($G$2+14),m_active,1,m_start,"&lt;"&amp;1080,m_end,"&gt;"&amp;1020))))))</f>
        <v/>
      </c>
      <c r="AO13" s="82" t="str">
        <f aca="false">IF(OR(AO$4="",MONTH(($G$2+14))&lt;&gt;MONTH($C$2)),"",IF(COUNTIFS(m_teacher,AO$4,m_date,($G$2+14),m_active,1,m_start,"&lt;"&amp;1080,m_end,"&gt;"&amp;1020)=0,"",IF(COUNTIFS(m_teacher,AO$4,m_date,($G$2+14),m_active,1,m_start,"&lt;"&amp;1080,m_end,"&gt;"&amp;1020)&gt;1,"충돌",HYPERLINK("#'관리자_MASTER'!D"&amp;_xlfn.MAXIFS(m_row,m_teacher,AO$4,m_date,($G$2+14),m_active,1,m_start,"&lt;"&amp;1080,m_end,"&gt;"&amp;1020),INDEX(m_label,_xlfn.MAXIFS(m_row,m_teacher,AO$4,m_date,($G$2+14),m_active,1,m_start,"&lt;"&amp;1080,m_end,"&gt;"&amp;1020))))))</f>
        <v/>
      </c>
      <c r="AP13" s="82" t="str">
        <f aca="false">IF(OR(AP$4="",MONTH(($G$2+14))&lt;&gt;MONTH($C$2)),"",IF(COUNTIFS(m_teacher,AP$4,m_date,($G$2+14),m_active,1,m_start,"&lt;"&amp;1080,m_end,"&gt;"&amp;1020)=0,"",IF(COUNTIFS(m_teacher,AP$4,m_date,($G$2+14),m_active,1,m_start,"&lt;"&amp;1080,m_end,"&gt;"&amp;1020)&gt;1,"충돌",HYPERLINK("#'관리자_MASTER'!D"&amp;_xlfn.MAXIFS(m_row,m_teacher,AP$4,m_date,($G$2+14),m_active,1,m_start,"&lt;"&amp;1080,m_end,"&gt;"&amp;1020),INDEX(m_label,_xlfn.MAXIFS(m_row,m_teacher,AP$4,m_date,($G$2+14),m_active,1,m_start,"&lt;"&amp;1080,m_end,"&gt;"&amp;1020))))))</f>
        <v/>
      </c>
      <c r="AQ13" s="78"/>
      <c r="AR13" s="79" t="s">
        <v>99</v>
      </c>
      <c r="AS13" s="82" t="str">
        <f aca="false">IF(OR(AS$4="",MONTH(($G$2+21))&lt;&gt;MONTH($C$2)),"",IF(COUNTIFS(m_teacher,AS$4,m_date,($G$2+21),m_active,1,m_start,"&lt;"&amp;1080,m_end,"&gt;"&amp;1020)=0,"",IF(COUNTIFS(m_teacher,AS$4,m_date,($G$2+21),m_active,1,m_start,"&lt;"&amp;1080,m_end,"&gt;"&amp;1020)&gt;1,"충돌",HYPERLINK("#'관리자_MASTER'!D"&amp;_xlfn.MAXIFS(m_row,m_teacher,AS$4,m_date,($G$2+21),m_active,1,m_start,"&lt;"&amp;1080,m_end,"&gt;"&amp;1020),INDEX(m_label,_xlfn.MAXIFS(m_row,m_teacher,AS$4,m_date,($G$2+21),m_active,1,m_start,"&lt;"&amp;1080,m_end,"&gt;"&amp;1020))))))</f>
        <v/>
      </c>
      <c r="AT13" s="82" t="str">
        <f aca="false">IF(OR(AT$4="",MONTH(($G$2+21))&lt;&gt;MONTH($C$2)),"",IF(COUNTIFS(m_teacher,AT$4,m_date,($G$2+21),m_active,1,m_start,"&lt;"&amp;1080,m_end,"&gt;"&amp;1020)=0,"",IF(COUNTIFS(m_teacher,AT$4,m_date,($G$2+21),m_active,1,m_start,"&lt;"&amp;1080,m_end,"&gt;"&amp;1020)&gt;1,"충돌",HYPERLINK("#'관리자_MASTER'!D"&amp;_xlfn.MAXIFS(m_row,m_teacher,AT$4,m_date,($G$2+21),m_active,1,m_start,"&lt;"&amp;1080,m_end,"&gt;"&amp;1020),INDEX(m_label,_xlfn.MAXIFS(m_row,m_teacher,AT$4,m_date,($G$2+21),m_active,1,m_start,"&lt;"&amp;1080,m_end,"&gt;"&amp;1020))))))</f>
        <v/>
      </c>
      <c r="AU13" s="82" t="str">
        <f aca="false">IF(OR(AU$4="",MONTH(($G$2+21))&lt;&gt;MONTH($C$2)),"",IF(COUNTIFS(m_teacher,AU$4,m_date,($G$2+21),m_active,1,m_start,"&lt;"&amp;1080,m_end,"&gt;"&amp;1020)=0,"",IF(COUNTIFS(m_teacher,AU$4,m_date,($G$2+21),m_active,1,m_start,"&lt;"&amp;1080,m_end,"&gt;"&amp;1020)&gt;1,"충돌",HYPERLINK("#'관리자_MASTER'!D"&amp;_xlfn.MAXIFS(m_row,m_teacher,AU$4,m_date,($G$2+21),m_active,1,m_start,"&lt;"&amp;1080,m_end,"&gt;"&amp;1020),INDEX(m_label,_xlfn.MAXIFS(m_row,m_teacher,AU$4,m_date,($G$2+21),m_active,1,m_start,"&lt;"&amp;1080,m_end,"&gt;"&amp;1020))))))</f>
        <v/>
      </c>
      <c r="AV13" s="82" t="str">
        <f aca="false">IF(OR(AV$4="",MONTH(($G$2+21))&lt;&gt;MONTH($C$2)),"",IF(COUNTIFS(m_teacher,AV$4,m_date,($G$2+21),m_active,1,m_start,"&lt;"&amp;1080,m_end,"&gt;"&amp;1020)=0,"",IF(COUNTIFS(m_teacher,AV$4,m_date,($G$2+21),m_active,1,m_start,"&lt;"&amp;1080,m_end,"&gt;"&amp;1020)&gt;1,"충돌",HYPERLINK("#'관리자_MASTER'!D"&amp;_xlfn.MAXIFS(m_row,m_teacher,AV$4,m_date,($G$2+21),m_active,1,m_start,"&lt;"&amp;1080,m_end,"&gt;"&amp;1020),INDEX(m_label,_xlfn.MAXIFS(m_row,m_teacher,AV$4,m_date,($G$2+21),m_active,1,m_start,"&lt;"&amp;1080,m_end,"&gt;"&amp;1020))))))</f>
        <v/>
      </c>
      <c r="AW13" s="82" t="str">
        <f aca="false">IF(OR(AW$4="",MONTH(($G$2+21))&lt;&gt;MONTH($C$2)),"",IF(COUNTIFS(m_teacher,AW$4,m_date,($G$2+21),m_active,1,m_start,"&lt;"&amp;1080,m_end,"&gt;"&amp;1020)=0,"",IF(COUNTIFS(m_teacher,AW$4,m_date,($G$2+21),m_active,1,m_start,"&lt;"&amp;1080,m_end,"&gt;"&amp;1020)&gt;1,"충돌",HYPERLINK("#'관리자_MASTER'!D"&amp;_xlfn.MAXIFS(m_row,m_teacher,AW$4,m_date,($G$2+21),m_active,1,m_start,"&lt;"&amp;1080,m_end,"&gt;"&amp;1020),INDEX(m_label,_xlfn.MAXIFS(m_row,m_teacher,AW$4,m_date,($G$2+21),m_active,1,m_start,"&lt;"&amp;1080,m_end,"&gt;"&amp;1020))))))</f>
        <v/>
      </c>
      <c r="AX13" s="82" t="str">
        <f aca="false">IF(OR(AX$4="",MONTH(($G$2+21))&lt;&gt;MONTH($C$2)),"",IF(COUNTIFS(m_teacher,AX$4,m_date,($G$2+21),m_active,1,m_start,"&lt;"&amp;1080,m_end,"&gt;"&amp;1020)=0,"",IF(COUNTIFS(m_teacher,AX$4,m_date,($G$2+21),m_active,1,m_start,"&lt;"&amp;1080,m_end,"&gt;"&amp;1020)&gt;1,"충돌",HYPERLINK("#'관리자_MASTER'!D"&amp;_xlfn.MAXIFS(m_row,m_teacher,AX$4,m_date,($G$2+21),m_active,1,m_start,"&lt;"&amp;1080,m_end,"&gt;"&amp;1020),INDEX(m_label,_xlfn.MAXIFS(m_row,m_teacher,AX$4,m_date,($G$2+21),m_active,1,m_start,"&lt;"&amp;1080,m_end,"&gt;"&amp;1020))))))</f>
        <v/>
      </c>
      <c r="AY13" s="82" t="str">
        <f aca="false">IF(OR(AY$4="",MONTH(($G$2+21))&lt;&gt;MONTH($C$2)),"",IF(COUNTIFS(m_teacher,AY$4,m_date,($G$2+21),m_active,1,m_start,"&lt;"&amp;1080,m_end,"&gt;"&amp;1020)=0,"",IF(COUNTIFS(m_teacher,AY$4,m_date,($G$2+21),m_active,1,m_start,"&lt;"&amp;1080,m_end,"&gt;"&amp;1020)&gt;1,"충돌",HYPERLINK("#'관리자_MASTER'!D"&amp;_xlfn.MAXIFS(m_row,m_teacher,AY$4,m_date,($G$2+21),m_active,1,m_start,"&lt;"&amp;1080,m_end,"&gt;"&amp;1020),INDEX(m_label,_xlfn.MAXIFS(m_row,m_teacher,AY$4,m_date,($G$2+21),m_active,1,m_start,"&lt;"&amp;1080,m_end,"&gt;"&amp;1020))))))</f>
        <v/>
      </c>
      <c r="AZ13" s="82" t="str">
        <f aca="false">IF(OR(AZ$4="",MONTH(($G$2+21))&lt;&gt;MONTH($C$2)),"",IF(COUNTIFS(m_teacher,AZ$4,m_date,($G$2+21),m_active,1,m_start,"&lt;"&amp;1080,m_end,"&gt;"&amp;1020)=0,"",IF(COUNTIFS(m_teacher,AZ$4,m_date,($G$2+21),m_active,1,m_start,"&lt;"&amp;1080,m_end,"&gt;"&amp;1020)&gt;1,"충돌",HYPERLINK("#'관리자_MASTER'!D"&amp;_xlfn.MAXIFS(m_row,m_teacher,AZ$4,m_date,($G$2+21),m_active,1,m_start,"&lt;"&amp;1080,m_end,"&gt;"&amp;1020),INDEX(m_label,_xlfn.MAXIFS(m_row,m_teacher,AZ$4,m_date,($G$2+21),m_active,1,m_start,"&lt;"&amp;1080,m_end,"&gt;"&amp;1020))))))</f>
        <v/>
      </c>
      <c r="BA13" s="82" t="str">
        <f aca="false">IF(OR(BA$4="",MONTH(($G$2+21))&lt;&gt;MONTH($C$2)),"",IF(COUNTIFS(m_teacher,BA$4,m_date,($G$2+21),m_active,1,m_start,"&lt;"&amp;1080,m_end,"&gt;"&amp;1020)=0,"",IF(COUNTIFS(m_teacher,BA$4,m_date,($G$2+21),m_active,1,m_start,"&lt;"&amp;1080,m_end,"&gt;"&amp;1020)&gt;1,"충돌",HYPERLINK("#'관리자_MASTER'!D"&amp;_xlfn.MAXIFS(m_row,m_teacher,BA$4,m_date,($G$2+21),m_active,1,m_start,"&lt;"&amp;1080,m_end,"&gt;"&amp;1020),INDEX(m_label,_xlfn.MAXIFS(m_row,m_teacher,BA$4,m_date,($G$2+21),m_active,1,m_start,"&lt;"&amp;1080,m_end,"&gt;"&amp;1020))))))</f>
        <v/>
      </c>
      <c r="BB13" s="82" t="str">
        <f aca="false">IF(OR(BB$4="",MONTH(($G$2+21))&lt;&gt;MONTH($C$2)),"",IF(COUNTIFS(m_teacher,BB$4,m_date,($G$2+21),m_active,1,m_start,"&lt;"&amp;1080,m_end,"&gt;"&amp;1020)=0,"",IF(COUNTIFS(m_teacher,BB$4,m_date,($G$2+21),m_active,1,m_start,"&lt;"&amp;1080,m_end,"&gt;"&amp;1020)&gt;1,"충돌",HYPERLINK("#'관리자_MASTER'!D"&amp;_xlfn.MAXIFS(m_row,m_teacher,BB$4,m_date,($G$2+21),m_active,1,m_start,"&lt;"&amp;1080,m_end,"&gt;"&amp;1020),INDEX(m_label,_xlfn.MAXIFS(m_row,m_teacher,BB$4,m_date,($G$2+21),m_active,1,m_start,"&lt;"&amp;1080,m_end,"&gt;"&amp;1020))))))</f>
        <v/>
      </c>
      <c r="BC13" s="82" t="str">
        <f aca="false">IF(OR(BC$4="",MONTH(($G$2+21))&lt;&gt;MONTH($C$2)),"",IF(COUNTIFS(m_teacher,BC$4,m_date,($G$2+21),m_active,1,m_start,"&lt;"&amp;1080,m_end,"&gt;"&amp;1020)=0,"",IF(COUNTIFS(m_teacher,BC$4,m_date,($G$2+21),m_active,1,m_start,"&lt;"&amp;1080,m_end,"&gt;"&amp;1020)&gt;1,"충돌",HYPERLINK("#'관리자_MASTER'!D"&amp;_xlfn.MAXIFS(m_row,m_teacher,BC$4,m_date,($G$2+21),m_active,1,m_start,"&lt;"&amp;1080,m_end,"&gt;"&amp;1020),INDEX(m_label,_xlfn.MAXIFS(m_row,m_teacher,BC$4,m_date,($G$2+21),m_active,1,m_start,"&lt;"&amp;1080,m_end,"&gt;"&amp;1020))))))</f>
        <v/>
      </c>
      <c r="BD13" s="82" t="str">
        <f aca="false">IF(OR(BD$4="",MONTH(($G$2+21))&lt;&gt;MONTH($C$2)),"",IF(COUNTIFS(m_teacher,BD$4,m_date,($G$2+21),m_active,1,m_start,"&lt;"&amp;1080,m_end,"&gt;"&amp;1020)=0,"",IF(COUNTIFS(m_teacher,BD$4,m_date,($G$2+21),m_active,1,m_start,"&lt;"&amp;1080,m_end,"&gt;"&amp;1020)&gt;1,"충돌",HYPERLINK("#'관리자_MASTER'!D"&amp;_xlfn.MAXIFS(m_row,m_teacher,BD$4,m_date,($G$2+21),m_active,1,m_start,"&lt;"&amp;1080,m_end,"&gt;"&amp;1020),INDEX(m_label,_xlfn.MAXIFS(m_row,m_teacher,BD$4,m_date,($G$2+21),m_active,1,m_start,"&lt;"&amp;1080,m_end,"&gt;"&amp;1020))))))</f>
        <v/>
      </c>
    </row>
    <row r="14" customFormat="false" ht="19.5" hidden="false" customHeight="true" outlineLevel="0" collapsed="false">
      <c r="A14" s="78"/>
      <c r="B14" s="79" t="s">
        <v>100</v>
      </c>
      <c r="C14" s="82" t="str">
        <f aca="false">IF(OR(C$4="",MONTH(($G$2+0))&lt;&gt;MONTH($C$2)),"",IF(COUNTIFS(m_teacher,C$4,m_date,($G$2+0),m_active,1,m_start,"&lt;"&amp;1140,m_end,"&gt;"&amp;1080)=0,"",IF(COUNTIFS(m_teacher,C$4,m_date,($G$2+0),m_active,1,m_start,"&lt;"&amp;1140,m_end,"&gt;"&amp;1080)&gt;1,"충돌",HYPERLINK("#'관리자_MASTER'!D"&amp;_xlfn.MAXIFS(m_row,m_teacher,C$4,m_date,($G$2+0),m_active,1,m_start,"&lt;"&amp;1140,m_end,"&gt;"&amp;1080),INDEX(m_label,_xlfn.MAXIFS(m_row,m_teacher,C$4,m_date,($G$2+0),m_active,1,m_start,"&lt;"&amp;1140,m_end,"&gt;"&amp;1080))))))</f>
        <v/>
      </c>
      <c r="D14" s="82" t="str">
        <f aca="false">IF(OR(D$4="",MONTH(($G$2+0))&lt;&gt;MONTH($C$2)),"",IF(COUNTIFS(m_teacher,D$4,m_date,($G$2+0),m_active,1,m_start,"&lt;"&amp;1140,m_end,"&gt;"&amp;1080)=0,"",IF(COUNTIFS(m_teacher,D$4,m_date,($G$2+0),m_active,1,m_start,"&lt;"&amp;1140,m_end,"&gt;"&amp;1080)&gt;1,"충돌",HYPERLINK("#'관리자_MASTER'!D"&amp;_xlfn.MAXIFS(m_row,m_teacher,D$4,m_date,($G$2+0),m_active,1,m_start,"&lt;"&amp;1140,m_end,"&gt;"&amp;1080),INDEX(m_label,_xlfn.MAXIFS(m_row,m_teacher,D$4,m_date,($G$2+0),m_active,1,m_start,"&lt;"&amp;1140,m_end,"&gt;"&amp;1080))))))</f>
        <v/>
      </c>
      <c r="E14" s="82" t="str">
        <f aca="false">IF(OR(E$4="",MONTH(($G$2+0))&lt;&gt;MONTH($C$2)),"",IF(COUNTIFS(m_teacher,E$4,m_date,($G$2+0),m_active,1,m_start,"&lt;"&amp;1140,m_end,"&gt;"&amp;1080)=0,"",IF(COUNTIFS(m_teacher,E$4,m_date,($G$2+0),m_active,1,m_start,"&lt;"&amp;1140,m_end,"&gt;"&amp;1080)&gt;1,"충돌",HYPERLINK("#'관리자_MASTER'!D"&amp;_xlfn.MAXIFS(m_row,m_teacher,E$4,m_date,($G$2+0),m_active,1,m_start,"&lt;"&amp;1140,m_end,"&gt;"&amp;1080),INDEX(m_label,_xlfn.MAXIFS(m_row,m_teacher,E$4,m_date,($G$2+0),m_active,1,m_start,"&lt;"&amp;1140,m_end,"&gt;"&amp;1080))))))</f>
        <v/>
      </c>
      <c r="F14" s="82" t="str">
        <f aca="false">IF(OR(F$4="",MONTH(($G$2+0))&lt;&gt;MONTH($C$2)),"",IF(COUNTIFS(m_teacher,F$4,m_date,($G$2+0),m_active,1,m_start,"&lt;"&amp;1140,m_end,"&gt;"&amp;1080)=0,"",IF(COUNTIFS(m_teacher,F$4,m_date,($G$2+0),m_active,1,m_start,"&lt;"&amp;1140,m_end,"&gt;"&amp;1080)&gt;1,"충돌",HYPERLINK("#'관리자_MASTER'!D"&amp;_xlfn.MAXIFS(m_row,m_teacher,F$4,m_date,($G$2+0),m_active,1,m_start,"&lt;"&amp;1140,m_end,"&gt;"&amp;1080),INDEX(m_label,_xlfn.MAXIFS(m_row,m_teacher,F$4,m_date,($G$2+0),m_active,1,m_start,"&lt;"&amp;1140,m_end,"&gt;"&amp;1080))))))</f>
        <v/>
      </c>
      <c r="G14" s="82" t="str">
        <f aca="false">IF(OR(G$4="",MONTH(($G$2+0))&lt;&gt;MONTH($C$2)),"",IF(COUNTIFS(m_teacher,G$4,m_date,($G$2+0),m_active,1,m_start,"&lt;"&amp;1140,m_end,"&gt;"&amp;1080)=0,"",IF(COUNTIFS(m_teacher,G$4,m_date,($G$2+0),m_active,1,m_start,"&lt;"&amp;1140,m_end,"&gt;"&amp;1080)&gt;1,"충돌",HYPERLINK("#'관리자_MASTER'!D"&amp;_xlfn.MAXIFS(m_row,m_teacher,G$4,m_date,($G$2+0),m_active,1,m_start,"&lt;"&amp;1140,m_end,"&gt;"&amp;1080),INDEX(m_label,_xlfn.MAXIFS(m_row,m_teacher,G$4,m_date,($G$2+0),m_active,1,m_start,"&lt;"&amp;1140,m_end,"&gt;"&amp;1080))))))</f>
        <v/>
      </c>
      <c r="H14" s="82" t="str">
        <f aca="false">IF(OR(H$4="",MONTH(($G$2+0))&lt;&gt;MONTH($C$2)),"",IF(COUNTIFS(m_teacher,H$4,m_date,($G$2+0),m_active,1,m_start,"&lt;"&amp;1140,m_end,"&gt;"&amp;1080)=0,"",IF(COUNTIFS(m_teacher,H$4,m_date,($G$2+0),m_active,1,m_start,"&lt;"&amp;1140,m_end,"&gt;"&amp;1080)&gt;1,"충돌",HYPERLINK("#'관리자_MASTER'!D"&amp;_xlfn.MAXIFS(m_row,m_teacher,H$4,m_date,($G$2+0),m_active,1,m_start,"&lt;"&amp;1140,m_end,"&gt;"&amp;1080),INDEX(m_label,_xlfn.MAXIFS(m_row,m_teacher,H$4,m_date,($G$2+0),m_active,1,m_start,"&lt;"&amp;1140,m_end,"&gt;"&amp;1080))))))</f>
        <v/>
      </c>
      <c r="I14" s="82" t="str">
        <f aca="false">IF(OR(I$4="",MONTH(($G$2+0))&lt;&gt;MONTH($C$2)),"",IF(COUNTIFS(m_teacher,I$4,m_date,($G$2+0),m_active,1,m_start,"&lt;"&amp;1140,m_end,"&gt;"&amp;1080)=0,"",IF(COUNTIFS(m_teacher,I$4,m_date,($G$2+0),m_active,1,m_start,"&lt;"&amp;1140,m_end,"&gt;"&amp;1080)&gt;1,"충돌",HYPERLINK("#'관리자_MASTER'!D"&amp;_xlfn.MAXIFS(m_row,m_teacher,I$4,m_date,($G$2+0),m_active,1,m_start,"&lt;"&amp;1140,m_end,"&gt;"&amp;1080),INDEX(m_label,_xlfn.MAXIFS(m_row,m_teacher,I$4,m_date,($G$2+0),m_active,1,m_start,"&lt;"&amp;1140,m_end,"&gt;"&amp;1080))))))</f>
        <v/>
      </c>
      <c r="J14" s="82" t="str">
        <f aca="false">IF(OR(J$4="",MONTH(($G$2+0))&lt;&gt;MONTH($C$2)),"",IF(COUNTIFS(m_teacher,J$4,m_date,($G$2+0),m_active,1,m_start,"&lt;"&amp;1140,m_end,"&gt;"&amp;1080)=0,"",IF(COUNTIFS(m_teacher,J$4,m_date,($G$2+0),m_active,1,m_start,"&lt;"&amp;1140,m_end,"&gt;"&amp;1080)&gt;1,"충돌",HYPERLINK("#'관리자_MASTER'!D"&amp;_xlfn.MAXIFS(m_row,m_teacher,J$4,m_date,($G$2+0),m_active,1,m_start,"&lt;"&amp;1140,m_end,"&gt;"&amp;1080),INDEX(m_label,_xlfn.MAXIFS(m_row,m_teacher,J$4,m_date,($G$2+0),m_active,1,m_start,"&lt;"&amp;1140,m_end,"&gt;"&amp;1080))))))</f>
        <v/>
      </c>
      <c r="K14" s="82" t="str">
        <f aca="false">IF(OR(K$4="",MONTH(($G$2+0))&lt;&gt;MONTH($C$2)),"",IF(COUNTIFS(m_teacher,K$4,m_date,($G$2+0),m_active,1,m_start,"&lt;"&amp;1140,m_end,"&gt;"&amp;1080)=0,"",IF(COUNTIFS(m_teacher,K$4,m_date,($G$2+0),m_active,1,m_start,"&lt;"&amp;1140,m_end,"&gt;"&amp;1080)&gt;1,"충돌",HYPERLINK("#'관리자_MASTER'!D"&amp;_xlfn.MAXIFS(m_row,m_teacher,K$4,m_date,($G$2+0),m_active,1,m_start,"&lt;"&amp;1140,m_end,"&gt;"&amp;1080),INDEX(m_label,_xlfn.MAXIFS(m_row,m_teacher,K$4,m_date,($G$2+0),m_active,1,m_start,"&lt;"&amp;1140,m_end,"&gt;"&amp;1080))))))</f>
        <v/>
      </c>
      <c r="L14" s="82" t="str">
        <f aca="false">IF(OR(L$4="",MONTH(($G$2+0))&lt;&gt;MONTH($C$2)),"",IF(COUNTIFS(m_teacher,L$4,m_date,($G$2+0),m_active,1,m_start,"&lt;"&amp;1140,m_end,"&gt;"&amp;1080)=0,"",IF(COUNTIFS(m_teacher,L$4,m_date,($G$2+0),m_active,1,m_start,"&lt;"&amp;1140,m_end,"&gt;"&amp;1080)&gt;1,"충돌",HYPERLINK("#'관리자_MASTER'!D"&amp;_xlfn.MAXIFS(m_row,m_teacher,L$4,m_date,($G$2+0),m_active,1,m_start,"&lt;"&amp;1140,m_end,"&gt;"&amp;1080),INDEX(m_label,_xlfn.MAXIFS(m_row,m_teacher,L$4,m_date,($G$2+0),m_active,1,m_start,"&lt;"&amp;1140,m_end,"&gt;"&amp;1080))))))</f>
        <v/>
      </c>
      <c r="M14" s="82" t="str">
        <f aca="false">IF(OR(M$4="",MONTH(($G$2+0))&lt;&gt;MONTH($C$2)),"",IF(COUNTIFS(m_teacher,M$4,m_date,($G$2+0),m_active,1,m_start,"&lt;"&amp;1140,m_end,"&gt;"&amp;1080)=0,"",IF(COUNTIFS(m_teacher,M$4,m_date,($G$2+0),m_active,1,m_start,"&lt;"&amp;1140,m_end,"&gt;"&amp;1080)&gt;1,"충돌",HYPERLINK("#'관리자_MASTER'!D"&amp;_xlfn.MAXIFS(m_row,m_teacher,M$4,m_date,($G$2+0),m_active,1,m_start,"&lt;"&amp;1140,m_end,"&gt;"&amp;1080),INDEX(m_label,_xlfn.MAXIFS(m_row,m_teacher,M$4,m_date,($G$2+0),m_active,1,m_start,"&lt;"&amp;1140,m_end,"&gt;"&amp;1080))))))</f>
        <v/>
      </c>
      <c r="N14" s="82" t="str">
        <f aca="false">IF(OR(N$4="",MONTH(($G$2+0))&lt;&gt;MONTH($C$2)),"",IF(COUNTIFS(m_teacher,N$4,m_date,($G$2+0),m_active,1,m_start,"&lt;"&amp;1140,m_end,"&gt;"&amp;1080)=0,"",IF(COUNTIFS(m_teacher,N$4,m_date,($G$2+0),m_active,1,m_start,"&lt;"&amp;1140,m_end,"&gt;"&amp;1080)&gt;1,"충돌",HYPERLINK("#'관리자_MASTER'!D"&amp;_xlfn.MAXIFS(m_row,m_teacher,N$4,m_date,($G$2+0),m_active,1,m_start,"&lt;"&amp;1140,m_end,"&gt;"&amp;1080),INDEX(m_label,_xlfn.MAXIFS(m_row,m_teacher,N$4,m_date,($G$2+0),m_active,1,m_start,"&lt;"&amp;1140,m_end,"&gt;"&amp;1080))))))</f>
        <v/>
      </c>
      <c r="O14" s="78"/>
      <c r="P14" s="79" t="s">
        <v>100</v>
      </c>
      <c r="Q14" s="82" t="str">
        <f aca="false">IF(OR(Q$4="",MONTH(($G$2+7))&lt;&gt;MONTH($C$2)),"",IF(COUNTIFS(m_teacher,Q$4,m_date,($G$2+7),m_active,1,m_start,"&lt;"&amp;1140,m_end,"&gt;"&amp;1080)=0,"",IF(COUNTIFS(m_teacher,Q$4,m_date,($G$2+7),m_active,1,m_start,"&lt;"&amp;1140,m_end,"&gt;"&amp;1080)&gt;1,"충돌",HYPERLINK("#'관리자_MASTER'!D"&amp;_xlfn.MAXIFS(m_row,m_teacher,Q$4,m_date,($G$2+7),m_active,1,m_start,"&lt;"&amp;1140,m_end,"&gt;"&amp;1080),INDEX(m_label,_xlfn.MAXIFS(m_row,m_teacher,Q$4,m_date,($G$2+7),m_active,1,m_start,"&lt;"&amp;1140,m_end,"&gt;"&amp;1080))))))</f>
        <v/>
      </c>
      <c r="R14" s="82" t="str">
        <f aca="false">IF(OR(R$4="",MONTH(($G$2+7))&lt;&gt;MONTH($C$2)),"",IF(COUNTIFS(m_teacher,R$4,m_date,($G$2+7),m_active,1,m_start,"&lt;"&amp;1140,m_end,"&gt;"&amp;1080)=0,"",IF(COUNTIFS(m_teacher,R$4,m_date,($G$2+7),m_active,1,m_start,"&lt;"&amp;1140,m_end,"&gt;"&amp;1080)&gt;1,"충돌",HYPERLINK("#'관리자_MASTER'!D"&amp;_xlfn.MAXIFS(m_row,m_teacher,R$4,m_date,($G$2+7),m_active,1,m_start,"&lt;"&amp;1140,m_end,"&gt;"&amp;1080),INDEX(m_label,_xlfn.MAXIFS(m_row,m_teacher,R$4,m_date,($G$2+7),m_active,1,m_start,"&lt;"&amp;1140,m_end,"&gt;"&amp;1080))))))</f>
        <v/>
      </c>
      <c r="S14" s="82" t="str">
        <f aca="false">IF(OR(S$4="",MONTH(($G$2+7))&lt;&gt;MONTH($C$2)),"",IF(COUNTIFS(m_teacher,S$4,m_date,($G$2+7),m_active,1,m_start,"&lt;"&amp;1140,m_end,"&gt;"&amp;1080)=0,"",IF(COUNTIFS(m_teacher,S$4,m_date,($G$2+7),m_active,1,m_start,"&lt;"&amp;1140,m_end,"&gt;"&amp;1080)&gt;1,"충돌",HYPERLINK("#'관리자_MASTER'!D"&amp;_xlfn.MAXIFS(m_row,m_teacher,S$4,m_date,($G$2+7),m_active,1,m_start,"&lt;"&amp;1140,m_end,"&gt;"&amp;1080),INDEX(m_label,_xlfn.MAXIFS(m_row,m_teacher,S$4,m_date,($G$2+7),m_active,1,m_start,"&lt;"&amp;1140,m_end,"&gt;"&amp;1080))))))</f>
        <v/>
      </c>
      <c r="T14" s="82" t="str">
        <f aca="false">IF(OR(T$4="",MONTH(($G$2+7))&lt;&gt;MONTH($C$2)),"",IF(COUNTIFS(m_teacher,T$4,m_date,($G$2+7),m_active,1,m_start,"&lt;"&amp;1140,m_end,"&gt;"&amp;1080)=0,"",IF(COUNTIFS(m_teacher,T$4,m_date,($G$2+7),m_active,1,m_start,"&lt;"&amp;1140,m_end,"&gt;"&amp;1080)&gt;1,"충돌",HYPERLINK("#'관리자_MASTER'!D"&amp;_xlfn.MAXIFS(m_row,m_teacher,T$4,m_date,($G$2+7),m_active,1,m_start,"&lt;"&amp;1140,m_end,"&gt;"&amp;1080),INDEX(m_label,_xlfn.MAXIFS(m_row,m_teacher,T$4,m_date,($G$2+7),m_active,1,m_start,"&lt;"&amp;1140,m_end,"&gt;"&amp;1080))))))</f>
        <v/>
      </c>
      <c r="U14" s="82" t="str">
        <f aca="false">IF(OR(U$4="",MONTH(($G$2+7))&lt;&gt;MONTH($C$2)),"",IF(COUNTIFS(m_teacher,U$4,m_date,($G$2+7),m_active,1,m_start,"&lt;"&amp;1140,m_end,"&gt;"&amp;1080)=0,"",IF(COUNTIFS(m_teacher,U$4,m_date,($G$2+7),m_active,1,m_start,"&lt;"&amp;1140,m_end,"&gt;"&amp;1080)&gt;1,"충돌",HYPERLINK("#'관리자_MASTER'!D"&amp;_xlfn.MAXIFS(m_row,m_teacher,U$4,m_date,($G$2+7),m_active,1,m_start,"&lt;"&amp;1140,m_end,"&gt;"&amp;1080),INDEX(m_label,_xlfn.MAXIFS(m_row,m_teacher,U$4,m_date,($G$2+7),m_active,1,m_start,"&lt;"&amp;1140,m_end,"&gt;"&amp;1080))))))</f>
        <v/>
      </c>
      <c r="V14" s="82" t="str">
        <f aca="false">IF(OR(V$4="",MONTH(($G$2+7))&lt;&gt;MONTH($C$2)),"",IF(COUNTIFS(m_teacher,V$4,m_date,($G$2+7),m_active,1,m_start,"&lt;"&amp;1140,m_end,"&gt;"&amp;1080)=0,"",IF(COUNTIFS(m_teacher,V$4,m_date,($G$2+7),m_active,1,m_start,"&lt;"&amp;1140,m_end,"&gt;"&amp;1080)&gt;1,"충돌",HYPERLINK("#'관리자_MASTER'!D"&amp;_xlfn.MAXIFS(m_row,m_teacher,V$4,m_date,($G$2+7),m_active,1,m_start,"&lt;"&amp;1140,m_end,"&gt;"&amp;1080),INDEX(m_label,_xlfn.MAXIFS(m_row,m_teacher,V$4,m_date,($G$2+7),m_active,1,m_start,"&lt;"&amp;1140,m_end,"&gt;"&amp;1080))))))</f>
        <v/>
      </c>
      <c r="W14" s="82" t="str">
        <f aca="false">IF(OR(W$4="",MONTH(($G$2+7))&lt;&gt;MONTH($C$2)),"",IF(COUNTIFS(m_teacher,W$4,m_date,($G$2+7),m_active,1,m_start,"&lt;"&amp;1140,m_end,"&gt;"&amp;1080)=0,"",IF(COUNTIFS(m_teacher,W$4,m_date,($G$2+7),m_active,1,m_start,"&lt;"&amp;1140,m_end,"&gt;"&amp;1080)&gt;1,"충돌",HYPERLINK("#'관리자_MASTER'!D"&amp;_xlfn.MAXIFS(m_row,m_teacher,W$4,m_date,($G$2+7),m_active,1,m_start,"&lt;"&amp;1140,m_end,"&gt;"&amp;1080),INDEX(m_label,_xlfn.MAXIFS(m_row,m_teacher,W$4,m_date,($G$2+7),m_active,1,m_start,"&lt;"&amp;1140,m_end,"&gt;"&amp;1080))))))</f>
        <v/>
      </c>
      <c r="X14" s="82" t="str">
        <f aca="false">IF(OR(X$4="",MONTH(($G$2+7))&lt;&gt;MONTH($C$2)),"",IF(COUNTIFS(m_teacher,X$4,m_date,($G$2+7),m_active,1,m_start,"&lt;"&amp;1140,m_end,"&gt;"&amp;1080)=0,"",IF(COUNTIFS(m_teacher,X$4,m_date,($G$2+7),m_active,1,m_start,"&lt;"&amp;1140,m_end,"&gt;"&amp;1080)&gt;1,"충돌",HYPERLINK("#'관리자_MASTER'!D"&amp;_xlfn.MAXIFS(m_row,m_teacher,X$4,m_date,($G$2+7),m_active,1,m_start,"&lt;"&amp;1140,m_end,"&gt;"&amp;1080),INDEX(m_label,_xlfn.MAXIFS(m_row,m_teacher,X$4,m_date,($G$2+7),m_active,1,m_start,"&lt;"&amp;1140,m_end,"&gt;"&amp;1080))))))</f>
        <v/>
      </c>
      <c r="Y14" s="82" t="str">
        <f aca="false">IF(OR(Y$4="",MONTH(($G$2+7))&lt;&gt;MONTH($C$2)),"",IF(COUNTIFS(m_teacher,Y$4,m_date,($G$2+7),m_active,1,m_start,"&lt;"&amp;1140,m_end,"&gt;"&amp;1080)=0,"",IF(COUNTIFS(m_teacher,Y$4,m_date,($G$2+7),m_active,1,m_start,"&lt;"&amp;1140,m_end,"&gt;"&amp;1080)&gt;1,"충돌",HYPERLINK("#'관리자_MASTER'!D"&amp;_xlfn.MAXIFS(m_row,m_teacher,Y$4,m_date,($G$2+7),m_active,1,m_start,"&lt;"&amp;1140,m_end,"&gt;"&amp;1080),INDEX(m_label,_xlfn.MAXIFS(m_row,m_teacher,Y$4,m_date,($G$2+7),m_active,1,m_start,"&lt;"&amp;1140,m_end,"&gt;"&amp;1080))))))</f>
        <v/>
      </c>
      <c r="Z14" s="82" t="str">
        <f aca="false">IF(OR(Z$4="",MONTH(($G$2+7))&lt;&gt;MONTH($C$2)),"",IF(COUNTIFS(m_teacher,Z$4,m_date,($G$2+7),m_active,1,m_start,"&lt;"&amp;1140,m_end,"&gt;"&amp;1080)=0,"",IF(COUNTIFS(m_teacher,Z$4,m_date,($G$2+7),m_active,1,m_start,"&lt;"&amp;1140,m_end,"&gt;"&amp;1080)&gt;1,"충돌",HYPERLINK("#'관리자_MASTER'!D"&amp;_xlfn.MAXIFS(m_row,m_teacher,Z$4,m_date,($G$2+7),m_active,1,m_start,"&lt;"&amp;1140,m_end,"&gt;"&amp;1080),INDEX(m_label,_xlfn.MAXIFS(m_row,m_teacher,Z$4,m_date,($G$2+7),m_active,1,m_start,"&lt;"&amp;1140,m_end,"&gt;"&amp;1080))))))</f>
        <v/>
      </c>
      <c r="AA14" s="82" t="str">
        <f aca="false">IF(OR(AA$4="",MONTH(($G$2+7))&lt;&gt;MONTH($C$2)),"",IF(COUNTIFS(m_teacher,AA$4,m_date,($G$2+7),m_active,1,m_start,"&lt;"&amp;1140,m_end,"&gt;"&amp;1080)=0,"",IF(COUNTIFS(m_teacher,AA$4,m_date,($G$2+7),m_active,1,m_start,"&lt;"&amp;1140,m_end,"&gt;"&amp;1080)&gt;1,"충돌",HYPERLINK("#'관리자_MASTER'!D"&amp;_xlfn.MAXIFS(m_row,m_teacher,AA$4,m_date,($G$2+7),m_active,1,m_start,"&lt;"&amp;1140,m_end,"&gt;"&amp;1080),INDEX(m_label,_xlfn.MAXIFS(m_row,m_teacher,AA$4,m_date,($G$2+7),m_active,1,m_start,"&lt;"&amp;1140,m_end,"&gt;"&amp;1080))))))</f>
        <v/>
      </c>
      <c r="AB14" s="82" t="str">
        <f aca="false">IF(OR(AB$4="",MONTH(($G$2+7))&lt;&gt;MONTH($C$2)),"",IF(COUNTIFS(m_teacher,AB$4,m_date,($G$2+7),m_active,1,m_start,"&lt;"&amp;1140,m_end,"&gt;"&amp;1080)=0,"",IF(COUNTIFS(m_teacher,AB$4,m_date,($G$2+7),m_active,1,m_start,"&lt;"&amp;1140,m_end,"&gt;"&amp;1080)&gt;1,"충돌",HYPERLINK("#'관리자_MASTER'!D"&amp;_xlfn.MAXIFS(m_row,m_teacher,AB$4,m_date,($G$2+7),m_active,1,m_start,"&lt;"&amp;1140,m_end,"&gt;"&amp;1080),INDEX(m_label,_xlfn.MAXIFS(m_row,m_teacher,AB$4,m_date,($G$2+7),m_active,1,m_start,"&lt;"&amp;1140,m_end,"&gt;"&amp;1080))))))</f>
        <v/>
      </c>
      <c r="AC14" s="78"/>
      <c r="AD14" s="79" t="s">
        <v>100</v>
      </c>
      <c r="AE14" s="82" t="str">
        <f aca="false">IF(OR(AE$4="",MONTH(($G$2+14))&lt;&gt;MONTH($C$2)),"",IF(COUNTIFS(m_teacher,AE$4,m_date,($G$2+14),m_active,1,m_start,"&lt;"&amp;1140,m_end,"&gt;"&amp;1080)=0,"",IF(COUNTIFS(m_teacher,AE$4,m_date,($G$2+14),m_active,1,m_start,"&lt;"&amp;1140,m_end,"&gt;"&amp;1080)&gt;1,"충돌",HYPERLINK("#'관리자_MASTER'!D"&amp;_xlfn.MAXIFS(m_row,m_teacher,AE$4,m_date,($G$2+14),m_active,1,m_start,"&lt;"&amp;1140,m_end,"&gt;"&amp;1080),INDEX(m_label,_xlfn.MAXIFS(m_row,m_teacher,AE$4,m_date,($G$2+14),m_active,1,m_start,"&lt;"&amp;1140,m_end,"&gt;"&amp;1080))))))</f>
        <v/>
      </c>
      <c r="AF14" s="82" t="str">
        <f aca="false">IF(OR(AF$4="",MONTH(($G$2+14))&lt;&gt;MONTH($C$2)),"",IF(COUNTIFS(m_teacher,AF$4,m_date,($G$2+14),m_active,1,m_start,"&lt;"&amp;1140,m_end,"&gt;"&amp;1080)=0,"",IF(COUNTIFS(m_teacher,AF$4,m_date,($G$2+14),m_active,1,m_start,"&lt;"&amp;1140,m_end,"&gt;"&amp;1080)&gt;1,"충돌",HYPERLINK("#'관리자_MASTER'!D"&amp;_xlfn.MAXIFS(m_row,m_teacher,AF$4,m_date,($G$2+14),m_active,1,m_start,"&lt;"&amp;1140,m_end,"&gt;"&amp;1080),INDEX(m_label,_xlfn.MAXIFS(m_row,m_teacher,AF$4,m_date,($G$2+14),m_active,1,m_start,"&lt;"&amp;1140,m_end,"&gt;"&amp;1080))))))</f>
        <v/>
      </c>
      <c r="AG14" s="82" t="str">
        <f aca="false">IF(OR(AG$4="",MONTH(($G$2+14))&lt;&gt;MONTH($C$2)),"",IF(COUNTIFS(m_teacher,AG$4,m_date,($G$2+14),m_active,1,m_start,"&lt;"&amp;1140,m_end,"&gt;"&amp;1080)=0,"",IF(COUNTIFS(m_teacher,AG$4,m_date,($G$2+14),m_active,1,m_start,"&lt;"&amp;1140,m_end,"&gt;"&amp;1080)&gt;1,"충돌",HYPERLINK("#'관리자_MASTER'!D"&amp;_xlfn.MAXIFS(m_row,m_teacher,AG$4,m_date,($G$2+14),m_active,1,m_start,"&lt;"&amp;1140,m_end,"&gt;"&amp;1080),INDEX(m_label,_xlfn.MAXIFS(m_row,m_teacher,AG$4,m_date,($G$2+14),m_active,1,m_start,"&lt;"&amp;1140,m_end,"&gt;"&amp;1080))))))</f>
        <v/>
      </c>
      <c r="AH14" s="82" t="str">
        <f aca="false">IF(OR(AH$4="",MONTH(($G$2+14))&lt;&gt;MONTH($C$2)),"",IF(COUNTIFS(m_teacher,AH$4,m_date,($G$2+14),m_active,1,m_start,"&lt;"&amp;1140,m_end,"&gt;"&amp;1080)=0,"",IF(COUNTIFS(m_teacher,AH$4,m_date,($G$2+14),m_active,1,m_start,"&lt;"&amp;1140,m_end,"&gt;"&amp;1080)&gt;1,"충돌",HYPERLINK("#'관리자_MASTER'!D"&amp;_xlfn.MAXIFS(m_row,m_teacher,AH$4,m_date,($G$2+14),m_active,1,m_start,"&lt;"&amp;1140,m_end,"&gt;"&amp;1080),INDEX(m_label,_xlfn.MAXIFS(m_row,m_teacher,AH$4,m_date,($G$2+14),m_active,1,m_start,"&lt;"&amp;1140,m_end,"&gt;"&amp;1080))))))</f>
        <v/>
      </c>
      <c r="AI14" s="82" t="str">
        <f aca="false">IF(OR(AI$4="",MONTH(($G$2+14))&lt;&gt;MONTH($C$2)),"",IF(COUNTIFS(m_teacher,AI$4,m_date,($G$2+14),m_active,1,m_start,"&lt;"&amp;1140,m_end,"&gt;"&amp;1080)=0,"",IF(COUNTIFS(m_teacher,AI$4,m_date,($G$2+14),m_active,1,m_start,"&lt;"&amp;1140,m_end,"&gt;"&amp;1080)&gt;1,"충돌",HYPERLINK("#'관리자_MASTER'!D"&amp;_xlfn.MAXIFS(m_row,m_teacher,AI$4,m_date,($G$2+14),m_active,1,m_start,"&lt;"&amp;1140,m_end,"&gt;"&amp;1080),INDEX(m_label,_xlfn.MAXIFS(m_row,m_teacher,AI$4,m_date,($G$2+14),m_active,1,m_start,"&lt;"&amp;1140,m_end,"&gt;"&amp;1080))))))</f>
        <v/>
      </c>
      <c r="AJ14" s="82" t="str">
        <f aca="false">IF(OR(AJ$4="",MONTH(($G$2+14))&lt;&gt;MONTH($C$2)),"",IF(COUNTIFS(m_teacher,AJ$4,m_date,($G$2+14),m_active,1,m_start,"&lt;"&amp;1140,m_end,"&gt;"&amp;1080)=0,"",IF(COUNTIFS(m_teacher,AJ$4,m_date,($G$2+14),m_active,1,m_start,"&lt;"&amp;1140,m_end,"&gt;"&amp;1080)&gt;1,"충돌",HYPERLINK("#'관리자_MASTER'!D"&amp;_xlfn.MAXIFS(m_row,m_teacher,AJ$4,m_date,($G$2+14),m_active,1,m_start,"&lt;"&amp;1140,m_end,"&gt;"&amp;1080),INDEX(m_label,_xlfn.MAXIFS(m_row,m_teacher,AJ$4,m_date,($G$2+14),m_active,1,m_start,"&lt;"&amp;1140,m_end,"&gt;"&amp;1080))))))</f>
        <v/>
      </c>
      <c r="AK14" s="82" t="str">
        <f aca="false">IF(OR(AK$4="",MONTH(($G$2+14))&lt;&gt;MONTH($C$2)),"",IF(COUNTIFS(m_teacher,AK$4,m_date,($G$2+14),m_active,1,m_start,"&lt;"&amp;1140,m_end,"&gt;"&amp;1080)=0,"",IF(COUNTIFS(m_teacher,AK$4,m_date,($G$2+14),m_active,1,m_start,"&lt;"&amp;1140,m_end,"&gt;"&amp;1080)&gt;1,"충돌",HYPERLINK("#'관리자_MASTER'!D"&amp;_xlfn.MAXIFS(m_row,m_teacher,AK$4,m_date,($G$2+14),m_active,1,m_start,"&lt;"&amp;1140,m_end,"&gt;"&amp;1080),INDEX(m_label,_xlfn.MAXIFS(m_row,m_teacher,AK$4,m_date,($G$2+14),m_active,1,m_start,"&lt;"&amp;1140,m_end,"&gt;"&amp;1080))))))</f>
        <v/>
      </c>
      <c r="AL14" s="82" t="str">
        <f aca="false">IF(OR(AL$4="",MONTH(($G$2+14))&lt;&gt;MONTH($C$2)),"",IF(COUNTIFS(m_teacher,AL$4,m_date,($G$2+14),m_active,1,m_start,"&lt;"&amp;1140,m_end,"&gt;"&amp;1080)=0,"",IF(COUNTIFS(m_teacher,AL$4,m_date,($G$2+14),m_active,1,m_start,"&lt;"&amp;1140,m_end,"&gt;"&amp;1080)&gt;1,"충돌",HYPERLINK("#'관리자_MASTER'!D"&amp;_xlfn.MAXIFS(m_row,m_teacher,AL$4,m_date,($G$2+14),m_active,1,m_start,"&lt;"&amp;1140,m_end,"&gt;"&amp;1080),INDEX(m_label,_xlfn.MAXIFS(m_row,m_teacher,AL$4,m_date,($G$2+14),m_active,1,m_start,"&lt;"&amp;1140,m_end,"&gt;"&amp;1080))))))</f>
        <v/>
      </c>
      <c r="AM14" s="82" t="str">
        <f aca="false">IF(OR(AM$4="",MONTH(($G$2+14))&lt;&gt;MONTH($C$2)),"",IF(COUNTIFS(m_teacher,AM$4,m_date,($G$2+14),m_active,1,m_start,"&lt;"&amp;1140,m_end,"&gt;"&amp;1080)=0,"",IF(COUNTIFS(m_teacher,AM$4,m_date,($G$2+14),m_active,1,m_start,"&lt;"&amp;1140,m_end,"&gt;"&amp;1080)&gt;1,"충돌",HYPERLINK("#'관리자_MASTER'!D"&amp;_xlfn.MAXIFS(m_row,m_teacher,AM$4,m_date,($G$2+14),m_active,1,m_start,"&lt;"&amp;1140,m_end,"&gt;"&amp;1080),INDEX(m_label,_xlfn.MAXIFS(m_row,m_teacher,AM$4,m_date,($G$2+14),m_active,1,m_start,"&lt;"&amp;1140,m_end,"&gt;"&amp;1080))))))</f>
        <v/>
      </c>
      <c r="AN14" s="82" t="str">
        <f aca="false">IF(OR(AN$4="",MONTH(($G$2+14))&lt;&gt;MONTH($C$2)),"",IF(COUNTIFS(m_teacher,AN$4,m_date,($G$2+14),m_active,1,m_start,"&lt;"&amp;1140,m_end,"&gt;"&amp;1080)=0,"",IF(COUNTIFS(m_teacher,AN$4,m_date,($G$2+14),m_active,1,m_start,"&lt;"&amp;1140,m_end,"&gt;"&amp;1080)&gt;1,"충돌",HYPERLINK("#'관리자_MASTER'!D"&amp;_xlfn.MAXIFS(m_row,m_teacher,AN$4,m_date,($G$2+14),m_active,1,m_start,"&lt;"&amp;1140,m_end,"&gt;"&amp;1080),INDEX(m_label,_xlfn.MAXIFS(m_row,m_teacher,AN$4,m_date,($G$2+14),m_active,1,m_start,"&lt;"&amp;1140,m_end,"&gt;"&amp;1080))))))</f>
        <v/>
      </c>
      <c r="AO14" s="82" t="str">
        <f aca="false">IF(OR(AO$4="",MONTH(($G$2+14))&lt;&gt;MONTH($C$2)),"",IF(COUNTIFS(m_teacher,AO$4,m_date,($G$2+14),m_active,1,m_start,"&lt;"&amp;1140,m_end,"&gt;"&amp;1080)=0,"",IF(COUNTIFS(m_teacher,AO$4,m_date,($G$2+14),m_active,1,m_start,"&lt;"&amp;1140,m_end,"&gt;"&amp;1080)&gt;1,"충돌",HYPERLINK("#'관리자_MASTER'!D"&amp;_xlfn.MAXIFS(m_row,m_teacher,AO$4,m_date,($G$2+14),m_active,1,m_start,"&lt;"&amp;1140,m_end,"&gt;"&amp;1080),INDEX(m_label,_xlfn.MAXIFS(m_row,m_teacher,AO$4,m_date,($G$2+14),m_active,1,m_start,"&lt;"&amp;1140,m_end,"&gt;"&amp;1080))))))</f>
        <v/>
      </c>
      <c r="AP14" s="82" t="str">
        <f aca="false">IF(OR(AP$4="",MONTH(($G$2+14))&lt;&gt;MONTH($C$2)),"",IF(COUNTIFS(m_teacher,AP$4,m_date,($G$2+14),m_active,1,m_start,"&lt;"&amp;1140,m_end,"&gt;"&amp;1080)=0,"",IF(COUNTIFS(m_teacher,AP$4,m_date,($G$2+14),m_active,1,m_start,"&lt;"&amp;1140,m_end,"&gt;"&amp;1080)&gt;1,"충돌",HYPERLINK("#'관리자_MASTER'!D"&amp;_xlfn.MAXIFS(m_row,m_teacher,AP$4,m_date,($G$2+14),m_active,1,m_start,"&lt;"&amp;1140,m_end,"&gt;"&amp;1080),INDEX(m_label,_xlfn.MAXIFS(m_row,m_teacher,AP$4,m_date,($G$2+14),m_active,1,m_start,"&lt;"&amp;1140,m_end,"&gt;"&amp;1080))))))</f>
        <v/>
      </c>
      <c r="AQ14" s="78"/>
      <c r="AR14" s="79" t="s">
        <v>100</v>
      </c>
      <c r="AS14" s="82" t="str">
        <f aca="false">IF(OR(AS$4="",MONTH(($G$2+21))&lt;&gt;MONTH($C$2)),"",IF(COUNTIFS(m_teacher,AS$4,m_date,($G$2+21),m_active,1,m_start,"&lt;"&amp;1140,m_end,"&gt;"&amp;1080)=0,"",IF(COUNTIFS(m_teacher,AS$4,m_date,($G$2+21),m_active,1,m_start,"&lt;"&amp;1140,m_end,"&gt;"&amp;1080)&gt;1,"충돌",HYPERLINK("#'관리자_MASTER'!D"&amp;_xlfn.MAXIFS(m_row,m_teacher,AS$4,m_date,($G$2+21),m_active,1,m_start,"&lt;"&amp;1140,m_end,"&gt;"&amp;1080),INDEX(m_label,_xlfn.MAXIFS(m_row,m_teacher,AS$4,m_date,($G$2+21),m_active,1,m_start,"&lt;"&amp;1140,m_end,"&gt;"&amp;1080))))))</f>
        <v/>
      </c>
      <c r="AT14" s="82" t="str">
        <f aca="false">IF(OR(AT$4="",MONTH(($G$2+21))&lt;&gt;MONTH($C$2)),"",IF(COUNTIFS(m_teacher,AT$4,m_date,($G$2+21),m_active,1,m_start,"&lt;"&amp;1140,m_end,"&gt;"&amp;1080)=0,"",IF(COUNTIFS(m_teacher,AT$4,m_date,($G$2+21),m_active,1,m_start,"&lt;"&amp;1140,m_end,"&gt;"&amp;1080)&gt;1,"충돌",HYPERLINK("#'관리자_MASTER'!D"&amp;_xlfn.MAXIFS(m_row,m_teacher,AT$4,m_date,($G$2+21),m_active,1,m_start,"&lt;"&amp;1140,m_end,"&gt;"&amp;1080),INDEX(m_label,_xlfn.MAXIFS(m_row,m_teacher,AT$4,m_date,($G$2+21),m_active,1,m_start,"&lt;"&amp;1140,m_end,"&gt;"&amp;1080))))))</f>
        <v/>
      </c>
      <c r="AU14" s="82" t="str">
        <f aca="false">IF(OR(AU$4="",MONTH(($G$2+21))&lt;&gt;MONTH($C$2)),"",IF(COUNTIFS(m_teacher,AU$4,m_date,($G$2+21),m_active,1,m_start,"&lt;"&amp;1140,m_end,"&gt;"&amp;1080)=0,"",IF(COUNTIFS(m_teacher,AU$4,m_date,($G$2+21),m_active,1,m_start,"&lt;"&amp;1140,m_end,"&gt;"&amp;1080)&gt;1,"충돌",HYPERLINK("#'관리자_MASTER'!D"&amp;_xlfn.MAXIFS(m_row,m_teacher,AU$4,m_date,($G$2+21),m_active,1,m_start,"&lt;"&amp;1140,m_end,"&gt;"&amp;1080),INDEX(m_label,_xlfn.MAXIFS(m_row,m_teacher,AU$4,m_date,($G$2+21),m_active,1,m_start,"&lt;"&amp;1140,m_end,"&gt;"&amp;1080))))))</f>
        <v/>
      </c>
      <c r="AV14" s="82" t="str">
        <f aca="false">IF(OR(AV$4="",MONTH(($G$2+21))&lt;&gt;MONTH($C$2)),"",IF(COUNTIFS(m_teacher,AV$4,m_date,($G$2+21),m_active,1,m_start,"&lt;"&amp;1140,m_end,"&gt;"&amp;1080)=0,"",IF(COUNTIFS(m_teacher,AV$4,m_date,($G$2+21),m_active,1,m_start,"&lt;"&amp;1140,m_end,"&gt;"&amp;1080)&gt;1,"충돌",HYPERLINK("#'관리자_MASTER'!D"&amp;_xlfn.MAXIFS(m_row,m_teacher,AV$4,m_date,($G$2+21),m_active,1,m_start,"&lt;"&amp;1140,m_end,"&gt;"&amp;1080),INDEX(m_label,_xlfn.MAXIFS(m_row,m_teacher,AV$4,m_date,($G$2+21),m_active,1,m_start,"&lt;"&amp;1140,m_end,"&gt;"&amp;1080))))))</f>
        <v/>
      </c>
      <c r="AW14" s="82" t="str">
        <f aca="false">IF(OR(AW$4="",MONTH(($G$2+21))&lt;&gt;MONTH($C$2)),"",IF(COUNTIFS(m_teacher,AW$4,m_date,($G$2+21),m_active,1,m_start,"&lt;"&amp;1140,m_end,"&gt;"&amp;1080)=0,"",IF(COUNTIFS(m_teacher,AW$4,m_date,($G$2+21),m_active,1,m_start,"&lt;"&amp;1140,m_end,"&gt;"&amp;1080)&gt;1,"충돌",HYPERLINK("#'관리자_MASTER'!D"&amp;_xlfn.MAXIFS(m_row,m_teacher,AW$4,m_date,($G$2+21),m_active,1,m_start,"&lt;"&amp;1140,m_end,"&gt;"&amp;1080),INDEX(m_label,_xlfn.MAXIFS(m_row,m_teacher,AW$4,m_date,($G$2+21),m_active,1,m_start,"&lt;"&amp;1140,m_end,"&gt;"&amp;1080))))))</f>
        <v/>
      </c>
      <c r="AX14" s="82" t="str">
        <f aca="false">IF(OR(AX$4="",MONTH(($G$2+21))&lt;&gt;MONTH($C$2)),"",IF(COUNTIFS(m_teacher,AX$4,m_date,($G$2+21),m_active,1,m_start,"&lt;"&amp;1140,m_end,"&gt;"&amp;1080)=0,"",IF(COUNTIFS(m_teacher,AX$4,m_date,($G$2+21),m_active,1,m_start,"&lt;"&amp;1140,m_end,"&gt;"&amp;1080)&gt;1,"충돌",HYPERLINK("#'관리자_MASTER'!D"&amp;_xlfn.MAXIFS(m_row,m_teacher,AX$4,m_date,($G$2+21),m_active,1,m_start,"&lt;"&amp;1140,m_end,"&gt;"&amp;1080),INDEX(m_label,_xlfn.MAXIFS(m_row,m_teacher,AX$4,m_date,($G$2+21),m_active,1,m_start,"&lt;"&amp;1140,m_end,"&gt;"&amp;1080))))))</f>
        <v/>
      </c>
      <c r="AY14" s="82" t="str">
        <f aca="false">IF(OR(AY$4="",MONTH(($G$2+21))&lt;&gt;MONTH($C$2)),"",IF(COUNTIFS(m_teacher,AY$4,m_date,($G$2+21),m_active,1,m_start,"&lt;"&amp;1140,m_end,"&gt;"&amp;1080)=0,"",IF(COUNTIFS(m_teacher,AY$4,m_date,($G$2+21),m_active,1,m_start,"&lt;"&amp;1140,m_end,"&gt;"&amp;1080)&gt;1,"충돌",HYPERLINK("#'관리자_MASTER'!D"&amp;_xlfn.MAXIFS(m_row,m_teacher,AY$4,m_date,($G$2+21),m_active,1,m_start,"&lt;"&amp;1140,m_end,"&gt;"&amp;1080),INDEX(m_label,_xlfn.MAXIFS(m_row,m_teacher,AY$4,m_date,($G$2+21),m_active,1,m_start,"&lt;"&amp;1140,m_end,"&gt;"&amp;1080))))))</f>
        <v/>
      </c>
      <c r="AZ14" s="82" t="str">
        <f aca="false">IF(OR(AZ$4="",MONTH(($G$2+21))&lt;&gt;MONTH($C$2)),"",IF(COUNTIFS(m_teacher,AZ$4,m_date,($G$2+21),m_active,1,m_start,"&lt;"&amp;1140,m_end,"&gt;"&amp;1080)=0,"",IF(COUNTIFS(m_teacher,AZ$4,m_date,($G$2+21),m_active,1,m_start,"&lt;"&amp;1140,m_end,"&gt;"&amp;1080)&gt;1,"충돌",HYPERLINK("#'관리자_MASTER'!D"&amp;_xlfn.MAXIFS(m_row,m_teacher,AZ$4,m_date,($G$2+21),m_active,1,m_start,"&lt;"&amp;1140,m_end,"&gt;"&amp;1080),INDEX(m_label,_xlfn.MAXIFS(m_row,m_teacher,AZ$4,m_date,($G$2+21),m_active,1,m_start,"&lt;"&amp;1140,m_end,"&gt;"&amp;1080))))))</f>
        <v/>
      </c>
      <c r="BA14" s="82" t="str">
        <f aca="false">IF(OR(BA$4="",MONTH(($G$2+21))&lt;&gt;MONTH($C$2)),"",IF(COUNTIFS(m_teacher,BA$4,m_date,($G$2+21),m_active,1,m_start,"&lt;"&amp;1140,m_end,"&gt;"&amp;1080)=0,"",IF(COUNTIFS(m_teacher,BA$4,m_date,($G$2+21),m_active,1,m_start,"&lt;"&amp;1140,m_end,"&gt;"&amp;1080)&gt;1,"충돌",HYPERLINK("#'관리자_MASTER'!D"&amp;_xlfn.MAXIFS(m_row,m_teacher,BA$4,m_date,($G$2+21),m_active,1,m_start,"&lt;"&amp;1140,m_end,"&gt;"&amp;1080),INDEX(m_label,_xlfn.MAXIFS(m_row,m_teacher,BA$4,m_date,($G$2+21),m_active,1,m_start,"&lt;"&amp;1140,m_end,"&gt;"&amp;1080))))))</f>
        <v/>
      </c>
      <c r="BB14" s="82" t="str">
        <f aca="false">IF(OR(BB$4="",MONTH(($G$2+21))&lt;&gt;MONTH($C$2)),"",IF(COUNTIFS(m_teacher,BB$4,m_date,($G$2+21),m_active,1,m_start,"&lt;"&amp;1140,m_end,"&gt;"&amp;1080)=0,"",IF(COUNTIFS(m_teacher,BB$4,m_date,($G$2+21),m_active,1,m_start,"&lt;"&amp;1140,m_end,"&gt;"&amp;1080)&gt;1,"충돌",HYPERLINK("#'관리자_MASTER'!D"&amp;_xlfn.MAXIFS(m_row,m_teacher,BB$4,m_date,($G$2+21),m_active,1,m_start,"&lt;"&amp;1140,m_end,"&gt;"&amp;1080),INDEX(m_label,_xlfn.MAXIFS(m_row,m_teacher,BB$4,m_date,($G$2+21),m_active,1,m_start,"&lt;"&amp;1140,m_end,"&gt;"&amp;1080))))))</f>
        <v/>
      </c>
      <c r="BC14" s="82" t="str">
        <f aca="false">IF(OR(BC$4="",MONTH(($G$2+21))&lt;&gt;MONTH($C$2)),"",IF(COUNTIFS(m_teacher,BC$4,m_date,($G$2+21),m_active,1,m_start,"&lt;"&amp;1140,m_end,"&gt;"&amp;1080)=0,"",IF(COUNTIFS(m_teacher,BC$4,m_date,($G$2+21),m_active,1,m_start,"&lt;"&amp;1140,m_end,"&gt;"&amp;1080)&gt;1,"충돌",HYPERLINK("#'관리자_MASTER'!D"&amp;_xlfn.MAXIFS(m_row,m_teacher,BC$4,m_date,($G$2+21),m_active,1,m_start,"&lt;"&amp;1140,m_end,"&gt;"&amp;1080),INDEX(m_label,_xlfn.MAXIFS(m_row,m_teacher,BC$4,m_date,($G$2+21),m_active,1,m_start,"&lt;"&amp;1140,m_end,"&gt;"&amp;1080))))))</f>
        <v/>
      </c>
      <c r="BD14" s="82" t="str">
        <f aca="false">IF(OR(BD$4="",MONTH(($G$2+21))&lt;&gt;MONTH($C$2)),"",IF(COUNTIFS(m_teacher,BD$4,m_date,($G$2+21),m_active,1,m_start,"&lt;"&amp;1140,m_end,"&gt;"&amp;1080)=0,"",IF(COUNTIFS(m_teacher,BD$4,m_date,($G$2+21),m_active,1,m_start,"&lt;"&amp;1140,m_end,"&gt;"&amp;1080)&gt;1,"충돌",HYPERLINK("#'관리자_MASTER'!D"&amp;_xlfn.MAXIFS(m_row,m_teacher,BD$4,m_date,($G$2+21),m_active,1,m_start,"&lt;"&amp;1140,m_end,"&gt;"&amp;1080),INDEX(m_label,_xlfn.MAXIFS(m_row,m_teacher,BD$4,m_date,($G$2+21),m_active,1,m_start,"&lt;"&amp;1140,m_end,"&gt;"&amp;1080))))))</f>
        <v/>
      </c>
    </row>
    <row r="15" customFormat="false" ht="19.5" hidden="false" customHeight="true" outlineLevel="0" collapsed="false">
      <c r="A15" s="78"/>
      <c r="B15" s="85" t="s">
        <v>101</v>
      </c>
      <c r="C15" s="86" t="str">
        <f aca="false">IF(OR(C$4="",MONTH(($G$2+0))&lt;&gt;MONTH($C$2)),"",IF(COUNTIFS(m_teacher,C$4,m_date,($G$2+0),m_active,1,m_start,"&lt;"&amp;1440,m_end,"&gt;"&amp;1140)=0,"",IF(COUNTIFS(m_teacher,C$4,m_date,($G$2+0),m_active,1,m_start,"&lt;"&amp;1440,m_end,"&gt;"&amp;1140)&gt;1,"충돌",HYPERLINK("#'관리자_MASTER'!D"&amp;_xlfn.MAXIFS(m_row,m_teacher,C$4,m_date,($G$2+0),m_active,1,m_start,"&lt;"&amp;1440,m_end,"&gt;"&amp;1140),INDEX(m_label,_xlfn.MAXIFS(m_row,m_teacher,C$4,m_date,($G$2+0),m_active,1,m_start,"&lt;"&amp;1440,m_end,"&gt;"&amp;1140))))))</f>
        <v/>
      </c>
      <c r="D15" s="86" t="str">
        <f aca="false">IF(OR(D$4="",MONTH(($G$2+0))&lt;&gt;MONTH($C$2)),"",IF(COUNTIFS(m_teacher,D$4,m_date,($G$2+0),m_active,1,m_start,"&lt;"&amp;1440,m_end,"&gt;"&amp;1140)=0,"",IF(COUNTIFS(m_teacher,D$4,m_date,($G$2+0),m_active,1,m_start,"&lt;"&amp;1440,m_end,"&gt;"&amp;1140)&gt;1,"충돌",HYPERLINK("#'관리자_MASTER'!D"&amp;_xlfn.MAXIFS(m_row,m_teacher,D$4,m_date,($G$2+0),m_active,1,m_start,"&lt;"&amp;1440,m_end,"&gt;"&amp;1140),INDEX(m_label,_xlfn.MAXIFS(m_row,m_teacher,D$4,m_date,($G$2+0),m_active,1,m_start,"&lt;"&amp;1440,m_end,"&gt;"&amp;1140))))))</f>
        <v/>
      </c>
      <c r="E15" s="86" t="str">
        <f aca="false">IF(OR(E$4="",MONTH(($G$2+0))&lt;&gt;MONTH($C$2)),"",IF(COUNTIFS(m_teacher,E$4,m_date,($G$2+0),m_active,1,m_start,"&lt;"&amp;1440,m_end,"&gt;"&amp;1140)=0,"",IF(COUNTIFS(m_teacher,E$4,m_date,($G$2+0),m_active,1,m_start,"&lt;"&amp;1440,m_end,"&gt;"&amp;1140)&gt;1,"충돌",HYPERLINK("#'관리자_MASTER'!D"&amp;_xlfn.MAXIFS(m_row,m_teacher,E$4,m_date,($G$2+0),m_active,1,m_start,"&lt;"&amp;1440,m_end,"&gt;"&amp;1140),INDEX(m_label,_xlfn.MAXIFS(m_row,m_teacher,E$4,m_date,($G$2+0),m_active,1,m_start,"&lt;"&amp;1440,m_end,"&gt;"&amp;1140))))))</f>
        <v/>
      </c>
      <c r="F15" s="86" t="str">
        <f aca="false">IF(OR(F$4="",MONTH(($G$2+0))&lt;&gt;MONTH($C$2)),"",IF(COUNTIFS(m_teacher,F$4,m_date,($G$2+0),m_active,1,m_start,"&lt;"&amp;1440,m_end,"&gt;"&amp;1140)=0,"",IF(COUNTIFS(m_teacher,F$4,m_date,($G$2+0),m_active,1,m_start,"&lt;"&amp;1440,m_end,"&gt;"&amp;1140)&gt;1,"충돌",HYPERLINK("#'관리자_MASTER'!D"&amp;_xlfn.MAXIFS(m_row,m_teacher,F$4,m_date,($G$2+0),m_active,1,m_start,"&lt;"&amp;1440,m_end,"&gt;"&amp;1140),INDEX(m_label,_xlfn.MAXIFS(m_row,m_teacher,F$4,m_date,($G$2+0),m_active,1,m_start,"&lt;"&amp;1440,m_end,"&gt;"&amp;1140))))))</f>
        <v/>
      </c>
      <c r="G15" s="86" t="str">
        <f aca="false">IF(OR(G$4="",MONTH(($G$2+0))&lt;&gt;MONTH($C$2)),"",IF(COUNTIFS(m_teacher,G$4,m_date,($G$2+0),m_active,1,m_start,"&lt;"&amp;1440,m_end,"&gt;"&amp;1140)=0,"",IF(COUNTIFS(m_teacher,G$4,m_date,($G$2+0),m_active,1,m_start,"&lt;"&amp;1440,m_end,"&gt;"&amp;1140)&gt;1,"충돌",HYPERLINK("#'관리자_MASTER'!D"&amp;_xlfn.MAXIFS(m_row,m_teacher,G$4,m_date,($G$2+0),m_active,1,m_start,"&lt;"&amp;1440,m_end,"&gt;"&amp;1140),INDEX(m_label,_xlfn.MAXIFS(m_row,m_teacher,G$4,m_date,($G$2+0),m_active,1,m_start,"&lt;"&amp;1440,m_end,"&gt;"&amp;1140))))))</f>
        <v/>
      </c>
      <c r="H15" s="86" t="str">
        <f aca="false">IF(OR(H$4="",MONTH(($G$2+0))&lt;&gt;MONTH($C$2)),"",IF(COUNTIFS(m_teacher,H$4,m_date,($G$2+0),m_active,1,m_start,"&lt;"&amp;1440,m_end,"&gt;"&amp;1140)=0,"",IF(COUNTIFS(m_teacher,H$4,m_date,($G$2+0),m_active,1,m_start,"&lt;"&amp;1440,m_end,"&gt;"&amp;1140)&gt;1,"충돌",HYPERLINK("#'관리자_MASTER'!D"&amp;_xlfn.MAXIFS(m_row,m_teacher,H$4,m_date,($G$2+0),m_active,1,m_start,"&lt;"&amp;1440,m_end,"&gt;"&amp;1140),INDEX(m_label,_xlfn.MAXIFS(m_row,m_teacher,H$4,m_date,($G$2+0),m_active,1,m_start,"&lt;"&amp;1440,m_end,"&gt;"&amp;1140))))))</f>
        <v/>
      </c>
      <c r="I15" s="86" t="str">
        <f aca="false">IF(OR(I$4="",MONTH(($G$2+0))&lt;&gt;MONTH($C$2)),"",IF(COUNTIFS(m_teacher,I$4,m_date,($G$2+0),m_active,1,m_start,"&lt;"&amp;1440,m_end,"&gt;"&amp;1140)=0,"",IF(COUNTIFS(m_teacher,I$4,m_date,($G$2+0),m_active,1,m_start,"&lt;"&amp;1440,m_end,"&gt;"&amp;1140)&gt;1,"충돌",HYPERLINK("#'관리자_MASTER'!D"&amp;_xlfn.MAXIFS(m_row,m_teacher,I$4,m_date,($G$2+0),m_active,1,m_start,"&lt;"&amp;1440,m_end,"&gt;"&amp;1140),INDEX(m_label,_xlfn.MAXIFS(m_row,m_teacher,I$4,m_date,($G$2+0),m_active,1,m_start,"&lt;"&amp;1440,m_end,"&gt;"&amp;1140))))))</f>
        <v/>
      </c>
      <c r="J15" s="86" t="str">
        <f aca="false">IF(OR(J$4="",MONTH(($G$2+0))&lt;&gt;MONTH($C$2)),"",IF(COUNTIFS(m_teacher,J$4,m_date,($G$2+0),m_active,1,m_start,"&lt;"&amp;1440,m_end,"&gt;"&amp;1140)=0,"",IF(COUNTIFS(m_teacher,J$4,m_date,($G$2+0),m_active,1,m_start,"&lt;"&amp;1440,m_end,"&gt;"&amp;1140)&gt;1,"충돌",HYPERLINK("#'관리자_MASTER'!D"&amp;_xlfn.MAXIFS(m_row,m_teacher,J$4,m_date,($G$2+0),m_active,1,m_start,"&lt;"&amp;1440,m_end,"&gt;"&amp;1140),INDEX(m_label,_xlfn.MAXIFS(m_row,m_teacher,J$4,m_date,($G$2+0),m_active,1,m_start,"&lt;"&amp;1440,m_end,"&gt;"&amp;1140))))))</f>
        <v/>
      </c>
      <c r="K15" s="86" t="str">
        <f aca="false">IF(OR(K$4="",MONTH(($G$2+0))&lt;&gt;MONTH($C$2)),"",IF(COUNTIFS(m_teacher,K$4,m_date,($G$2+0),m_active,1,m_start,"&lt;"&amp;1440,m_end,"&gt;"&amp;1140)=0,"",IF(COUNTIFS(m_teacher,K$4,m_date,($G$2+0),m_active,1,m_start,"&lt;"&amp;1440,m_end,"&gt;"&amp;1140)&gt;1,"충돌",HYPERLINK("#'관리자_MASTER'!D"&amp;_xlfn.MAXIFS(m_row,m_teacher,K$4,m_date,($G$2+0),m_active,1,m_start,"&lt;"&amp;1440,m_end,"&gt;"&amp;1140),INDEX(m_label,_xlfn.MAXIFS(m_row,m_teacher,K$4,m_date,($G$2+0),m_active,1,m_start,"&lt;"&amp;1440,m_end,"&gt;"&amp;1140))))))</f>
        <v/>
      </c>
      <c r="L15" s="86" t="str">
        <f aca="false">IF(OR(L$4="",MONTH(($G$2+0))&lt;&gt;MONTH($C$2)),"",IF(COUNTIFS(m_teacher,L$4,m_date,($G$2+0),m_active,1,m_start,"&lt;"&amp;1440,m_end,"&gt;"&amp;1140)=0,"",IF(COUNTIFS(m_teacher,L$4,m_date,($G$2+0),m_active,1,m_start,"&lt;"&amp;1440,m_end,"&gt;"&amp;1140)&gt;1,"충돌",HYPERLINK("#'관리자_MASTER'!D"&amp;_xlfn.MAXIFS(m_row,m_teacher,L$4,m_date,($G$2+0),m_active,1,m_start,"&lt;"&amp;1440,m_end,"&gt;"&amp;1140),INDEX(m_label,_xlfn.MAXIFS(m_row,m_teacher,L$4,m_date,($G$2+0),m_active,1,m_start,"&lt;"&amp;1440,m_end,"&gt;"&amp;1140))))))</f>
        <v/>
      </c>
      <c r="M15" s="86" t="str">
        <f aca="false">IF(OR(M$4="",MONTH(($G$2+0))&lt;&gt;MONTH($C$2)),"",IF(COUNTIFS(m_teacher,M$4,m_date,($G$2+0),m_active,1,m_start,"&lt;"&amp;1440,m_end,"&gt;"&amp;1140)=0,"",IF(COUNTIFS(m_teacher,M$4,m_date,($G$2+0),m_active,1,m_start,"&lt;"&amp;1440,m_end,"&gt;"&amp;1140)&gt;1,"충돌",HYPERLINK("#'관리자_MASTER'!D"&amp;_xlfn.MAXIFS(m_row,m_teacher,M$4,m_date,($G$2+0),m_active,1,m_start,"&lt;"&amp;1440,m_end,"&gt;"&amp;1140),INDEX(m_label,_xlfn.MAXIFS(m_row,m_teacher,M$4,m_date,($G$2+0),m_active,1,m_start,"&lt;"&amp;1440,m_end,"&gt;"&amp;1140))))))</f>
        <v/>
      </c>
      <c r="N15" s="86" t="str">
        <f aca="false">IF(OR(N$4="",MONTH(($G$2+0))&lt;&gt;MONTH($C$2)),"",IF(COUNTIFS(m_teacher,N$4,m_date,($G$2+0),m_active,1,m_start,"&lt;"&amp;1440,m_end,"&gt;"&amp;1140)=0,"",IF(COUNTIFS(m_teacher,N$4,m_date,($G$2+0),m_active,1,m_start,"&lt;"&amp;1440,m_end,"&gt;"&amp;1140)&gt;1,"충돌",HYPERLINK("#'관리자_MASTER'!D"&amp;_xlfn.MAXIFS(m_row,m_teacher,N$4,m_date,($G$2+0),m_active,1,m_start,"&lt;"&amp;1440,m_end,"&gt;"&amp;1140),INDEX(m_label,_xlfn.MAXIFS(m_row,m_teacher,N$4,m_date,($G$2+0),m_active,1,m_start,"&lt;"&amp;1440,m_end,"&gt;"&amp;1140))))))</f>
        <v/>
      </c>
      <c r="O15" s="78"/>
      <c r="P15" s="85" t="s">
        <v>101</v>
      </c>
      <c r="Q15" s="86" t="str">
        <f aca="false">IF(OR(Q$4="",MONTH(($G$2+7))&lt;&gt;MONTH($C$2)),"",IF(COUNTIFS(m_teacher,Q$4,m_date,($G$2+7),m_active,1,m_start,"&lt;"&amp;1440,m_end,"&gt;"&amp;1140)=0,"",IF(COUNTIFS(m_teacher,Q$4,m_date,($G$2+7),m_active,1,m_start,"&lt;"&amp;1440,m_end,"&gt;"&amp;1140)&gt;1,"충돌",HYPERLINK("#'관리자_MASTER'!D"&amp;_xlfn.MAXIFS(m_row,m_teacher,Q$4,m_date,($G$2+7),m_active,1,m_start,"&lt;"&amp;1440,m_end,"&gt;"&amp;1140),INDEX(m_label,_xlfn.MAXIFS(m_row,m_teacher,Q$4,m_date,($G$2+7),m_active,1,m_start,"&lt;"&amp;1440,m_end,"&gt;"&amp;1140))))))</f>
        <v/>
      </c>
      <c r="R15" s="86" t="str">
        <f aca="false">IF(OR(R$4="",MONTH(($G$2+7))&lt;&gt;MONTH($C$2)),"",IF(COUNTIFS(m_teacher,R$4,m_date,($G$2+7),m_active,1,m_start,"&lt;"&amp;1440,m_end,"&gt;"&amp;1140)=0,"",IF(COUNTIFS(m_teacher,R$4,m_date,($G$2+7),m_active,1,m_start,"&lt;"&amp;1440,m_end,"&gt;"&amp;1140)&gt;1,"충돌",HYPERLINK("#'관리자_MASTER'!D"&amp;_xlfn.MAXIFS(m_row,m_teacher,R$4,m_date,($G$2+7),m_active,1,m_start,"&lt;"&amp;1440,m_end,"&gt;"&amp;1140),INDEX(m_label,_xlfn.MAXIFS(m_row,m_teacher,R$4,m_date,($G$2+7),m_active,1,m_start,"&lt;"&amp;1440,m_end,"&gt;"&amp;1140))))))</f>
        <v/>
      </c>
      <c r="S15" s="86" t="str">
        <f aca="false">IF(OR(S$4="",MONTH(($G$2+7))&lt;&gt;MONTH($C$2)),"",IF(COUNTIFS(m_teacher,S$4,m_date,($G$2+7),m_active,1,m_start,"&lt;"&amp;1440,m_end,"&gt;"&amp;1140)=0,"",IF(COUNTIFS(m_teacher,S$4,m_date,($G$2+7),m_active,1,m_start,"&lt;"&amp;1440,m_end,"&gt;"&amp;1140)&gt;1,"충돌",HYPERLINK("#'관리자_MASTER'!D"&amp;_xlfn.MAXIFS(m_row,m_teacher,S$4,m_date,($G$2+7),m_active,1,m_start,"&lt;"&amp;1440,m_end,"&gt;"&amp;1140),INDEX(m_label,_xlfn.MAXIFS(m_row,m_teacher,S$4,m_date,($G$2+7),m_active,1,m_start,"&lt;"&amp;1440,m_end,"&gt;"&amp;1140))))))</f>
        <v/>
      </c>
      <c r="T15" s="86" t="str">
        <f aca="false">IF(OR(T$4="",MONTH(($G$2+7))&lt;&gt;MONTH($C$2)),"",IF(COUNTIFS(m_teacher,T$4,m_date,($G$2+7),m_active,1,m_start,"&lt;"&amp;1440,m_end,"&gt;"&amp;1140)=0,"",IF(COUNTIFS(m_teacher,T$4,m_date,($G$2+7),m_active,1,m_start,"&lt;"&amp;1440,m_end,"&gt;"&amp;1140)&gt;1,"충돌",HYPERLINK("#'관리자_MASTER'!D"&amp;_xlfn.MAXIFS(m_row,m_teacher,T$4,m_date,($G$2+7),m_active,1,m_start,"&lt;"&amp;1440,m_end,"&gt;"&amp;1140),INDEX(m_label,_xlfn.MAXIFS(m_row,m_teacher,T$4,m_date,($G$2+7),m_active,1,m_start,"&lt;"&amp;1440,m_end,"&gt;"&amp;1140))))))</f>
        <v/>
      </c>
      <c r="U15" s="86" t="str">
        <f aca="false">IF(OR(U$4="",MONTH(($G$2+7))&lt;&gt;MONTH($C$2)),"",IF(COUNTIFS(m_teacher,U$4,m_date,($G$2+7),m_active,1,m_start,"&lt;"&amp;1440,m_end,"&gt;"&amp;1140)=0,"",IF(COUNTIFS(m_teacher,U$4,m_date,($G$2+7),m_active,1,m_start,"&lt;"&amp;1440,m_end,"&gt;"&amp;1140)&gt;1,"충돌",HYPERLINK("#'관리자_MASTER'!D"&amp;_xlfn.MAXIFS(m_row,m_teacher,U$4,m_date,($G$2+7),m_active,1,m_start,"&lt;"&amp;1440,m_end,"&gt;"&amp;1140),INDEX(m_label,_xlfn.MAXIFS(m_row,m_teacher,U$4,m_date,($G$2+7),m_active,1,m_start,"&lt;"&amp;1440,m_end,"&gt;"&amp;1140))))))</f>
        <v/>
      </c>
      <c r="V15" s="86" t="str">
        <f aca="false">IF(OR(V$4="",MONTH(($G$2+7))&lt;&gt;MONTH($C$2)),"",IF(COUNTIFS(m_teacher,V$4,m_date,($G$2+7),m_active,1,m_start,"&lt;"&amp;1440,m_end,"&gt;"&amp;1140)=0,"",IF(COUNTIFS(m_teacher,V$4,m_date,($G$2+7),m_active,1,m_start,"&lt;"&amp;1440,m_end,"&gt;"&amp;1140)&gt;1,"충돌",HYPERLINK("#'관리자_MASTER'!D"&amp;_xlfn.MAXIFS(m_row,m_teacher,V$4,m_date,($G$2+7),m_active,1,m_start,"&lt;"&amp;1440,m_end,"&gt;"&amp;1140),INDEX(m_label,_xlfn.MAXIFS(m_row,m_teacher,V$4,m_date,($G$2+7),m_active,1,m_start,"&lt;"&amp;1440,m_end,"&gt;"&amp;1140))))))</f>
        <v/>
      </c>
      <c r="W15" s="86" t="str">
        <f aca="false">IF(OR(W$4="",MONTH(($G$2+7))&lt;&gt;MONTH($C$2)),"",IF(COUNTIFS(m_teacher,W$4,m_date,($G$2+7),m_active,1,m_start,"&lt;"&amp;1440,m_end,"&gt;"&amp;1140)=0,"",IF(COUNTIFS(m_teacher,W$4,m_date,($G$2+7),m_active,1,m_start,"&lt;"&amp;1440,m_end,"&gt;"&amp;1140)&gt;1,"충돌",HYPERLINK("#'관리자_MASTER'!D"&amp;_xlfn.MAXIFS(m_row,m_teacher,W$4,m_date,($G$2+7),m_active,1,m_start,"&lt;"&amp;1440,m_end,"&gt;"&amp;1140),INDEX(m_label,_xlfn.MAXIFS(m_row,m_teacher,W$4,m_date,($G$2+7),m_active,1,m_start,"&lt;"&amp;1440,m_end,"&gt;"&amp;1140))))))</f>
        <v/>
      </c>
      <c r="X15" s="86" t="str">
        <f aca="false">IF(OR(X$4="",MONTH(($G$2+7))&lt;&gt;MONTH($C$2)),"",IF(COUNTIFS(m_teacher,X$4,m_date,($G$2+7),m_active,1,m_start,"&lt;"&amp;1440,m_end,"&gt;"&amp;1140)=0,"",IF(COUNTIFS(m_teacher,X$4,m_date,($G$2+7),m_active,1,m_start,"&lt;"&amp;1440,m_end,"&gt;"&amp;1140)&gt;1,"충돌",HYPERLINK("#'관리자_MASTER'!D"&amp;_xlfn.MAXIFS(m_row,m_teacher,X$4,m_date,($G$2+7),m_active,1,m_start,"&lt;"&amp;1440,m_end,"&gt;"&amp;1140),INDEX(m_label,_xlfn.MAXIFS(m_row,m_teacher,X$4,m_date,($G$2+7),m_active,1,m_start,"&lt;"&amp;1440,m_end,"&gt;"&amp;1140))))))</f>
        <v/>
      </c>
      <c r="Y15" s="86" t="str">
        <f aca="false">IF(OR(Y$4="",MONTH(($G$2+7))&lt;&gt;MONTH($C$2)),"",IF(COUNTIFS(m_teacher,Y$4,m_date,($G$2+7),m_active,1,m_start,"&lt;"&amp;1440,m_end,"&gt;"&amp;1140)=0,"",IF(COUNTIFS(m_teacher,Y$4,m_date,($G$2+7),m_active,1,m_start,"&lt;"&amp;1440,m_end,"&gt;"&amp;1140)&gt;1,"충돌",HYPERLINK("#'관리자_MASTER'!D"&amp;_xlfn.MAXIFS(m_row,m_teacher,Y$4,m_date,($G$2+7),m_active,1,m_start,"&lt;"&amp;1440,m_end,"&gt;"&amp;1140),INDEX(m_label,_xlfn.MAXIFS(m_row,m_teacher,Y$4,m_date,($G$2+7),m_active,1,m_start,"&lt;"&amp;1440,m_end,"&gt;"&amp;1140))))))</f>
        <v/>
      </c>
      <c r="Z15" s="86" t="str">
        <f aca="false">IF(OR(Z$4="",MONTH(($G$2+7))&lt;&gt;MONTH($C$2)),"",IF(COUNTIFS(m_teacher,Z$4,m_date,($G$2+7),m_active,1,m_start,"&lt;"&amp;1440,m_end,"&gt;"&amp;1140)=0,"",IF(COUNTIFS(m_teacher,Z$4,m_date,($G$2+7),m_active,1,m_start,"&lt;"&amp;1440,m_end,"&gt;"&amp;1140)&gt;1,"충돌",HYPERLINK("#'관리자_MASTER'!D"&amp;_xlfn.MAXIFS(m_row,m_teacher,Z$4,m_date,($G$2+7),m_active,1,m_start,"&lt;"&amp;1440,m_end,"&gt;"&amp;1140),INDEX(m_label,_xlfn.MAXIFS(m_row,m_teacher,Z$4,m_date,($G$2+7),m_active,1,m_start,"&lt;"&amp;1440,m_end,"&gt;"&amp;1140))))))</f>
        <v/>
      </c>
      <c r="AA15" s="86" t="str">
        <f aca="false">IF(OR(AA$4="",MONTH(($G$2+7))&lt;&gt;MONTH($C$2)),"",IF(COUNTIFS(m_teacher,AA$4,m_date,($G$2+7),m_active,1,m_start,"&lt;"&amp;1440,m_end,"&gt;"&amp;1140)=0,"",IF(COUNTIFS(m_teacher,AA$4,m_date,($G$2+7),m_active,1,m_start,"&lt;"&amp;1440,m_end,"&gt;"&amp;1140)&gt;1,"충돌",HYPERLINK("#'관리자_MASTER'!D"&amp;_xlfn.MAXIFS(m_row,m_teacher,AA$4,m_date,($G$2+7),m_active,1,m_start,"&lt;"&amp;1440,m_end,"&gt;"&amp;1140),INDEX(m_label,_xlfn.MAXIFS(m_row,m_teacher,AA$4,m_date,($G$2+7),m_active,1,m_start,"&lt;"&amp;1440,m_end,"&gt;"&amp;1140))))))</f>
        <v/>
      </c>
      <c r="AB15" s="86" t="str">
        <f aca="false">IF(OR(AB$4="",MONTH(($G$2+7))&lt;&gt;MONTH($C$2)),"",IF(COUNTIFS(m_teacher,AB$4,m_date,($G$2+7),m_active,1,m_start,"&lt;"&amp;1440,m_end,"&gt;"&amp;1140)=0,"",IF(COUNTIFS(m_teacher,AB$4,m_date,($G$2+7),m_active,1,m_start,"&lt;"&amp;1440,m_end,"&gt;"&amp;1140)&gt;1,"충돌",HYPERLINK("#'관리자_MASTER'!D"&amp;_xlfn.MAXIFS(m_row,m_teacher,AB$4,m_date,($G$2+7),m_active,1,m_start,"&lt;"&amp;1440,m_end,"&gt;"&amp;1140),INDEX(m_label,_xlfn.MAXIFS(m_row,m_teacher,AB$4,m_date,($G$2+7),m_active,1,m_start,"&lt;"&amp;1440,m_end,"&gt;"&amp;1140))))))</f>
        <v/>
      </c>
      <c r="AC15" s="78"/>
      <c r="AD15" s="85" t="s">
        <v>101</v>
      </c>
      <c r="AE15" s="86" t="str">
        <f aca="false">IF(OR(AE$4="",MONTH(($G$2+14))&lt;&gt;MONTH($C$2)),"",IF(COUNTIFS(m_teacher,AE$4,m_date,($G$2+14),m_active,1,m_start,"&lt;"&amp;1440,m_end,"&gt;"&amp;1140)=0,"",IF(COUNTIFS(m_teacher,AE$4,m_date,($G$2+14),m_active,1,m_start,"&lt;"&amp;1440,m_end,"&gt;"&amp;1140)&gt;1,"충돌",HYPERLINK("#'관리자_MASTER'!D"&amp;_xlfn.MAXIFS(m_row,m_teacher,AE$4,m_date,($G$2+14),m_active,1,m_start,"&lt;"&amp;1440,m_end,"&gt;"&amp;1140),INDEX(m_label,_xlfn.MAXIFS(m_row,m_teacher,AE$4,m_date,($G$2+14),m_active,1,m_start,"&lt;"&amp;1440,m_end,"&gt;"&amp;1140))))))</f>
        <v/>
      </c>
      <c r="AF15" s="86" t="str">
        <f aca="false">IF(OR(AF$4="",MONTH(($G$2+14))&lt;&gt;MONTH($C$2)),"",IF(COUNTIFS(m_teacher,AF$4,m_date,($G$2+14),m_active,1,m_start,"&lt;"&amp;1440,m_end,"&gt;"&amp;1140)=0,"",IF(COUNTIFS(m_teacher,AF$4,m_date,($G$2+14),m_active,1,m_start,"&lt;"&amp;1440,m_end,"&gt;"&amp;1140)&gt;1,"충돌",HYPERLINK("#'관리자_MASTER'!D"&amp;_xlfn.MAXIFS(m_row,m_teacher,AF$4,m_date,($G$2+14),m_active,1,m_start,"&lt;"&amp;1440,m_end,"&gt;"&amp;1140),INDEX(m_label,_xlfn.MAXIFS(m_row,m_teacher,AF$4,m_date,($G$2+14),m_active,1,m_start,"&lt;"&amp;1440,m_end,"&gt;"&amp;1140))))))</f>
        <v/>
      </c>
      <c r="AG15" s="86" t="str">
        <f aca="false">IF(OR(AG$4="",MONTH(($G$2+14))&lt;&gt;MONTH($C$2)),"",IF(COUNTIFS(m_teacher,AG$4,m_date,($G$2+14),m_active,1,m_start,"&lt;"&amp;1440,m_end,"&gt;"&amp;1140)=0,"",IF(COUNTIFS(m_teacher,AG$4,m_date,($G$2+14),m_active,1,m_start,"&lt;"&amp;1440,m_end,"&gt;"&amp;1140)&gt;1,"충돌",HYPERLINK("#'관리자_MASTER'!D"&amp;_xlfn.MAXIFS(m_row,m_teacher,AG$4,m_date,($G$2+14),m_active,1,m_start,"&lt;"&amp;1440,m_end,"&gt;"&amp;1140),INDEX(m_label,_xlfn.MAXIFS(m_row,m_teacher,AG$4,m_date,($G$2+14),m_active,1,m_start,"&lt;"&amp;1440,m_end,"&gt;"&amp;1140))))))</f>
        <v/>
      </c>
      <c r="AH15" s="86" t="str">
        <f aca="false">IF(OR(AH$4="",MONTH(($G$2+14))&lt;&gt;MONTH($C$2)),"",IF(COUNTIFS(m_teacher,AH$4,m_date,($G$2+14),m_active,1,m_start,"&lt;"&amp;1440,m_end,"&gt;"&amp;1140)=0,"",IF(COUNTIFS(m_teacher,AH$4,m_date,($G$2+14),m_active,1,m_start,"&lt;"&amp;1440,m_end,"&gt;"&amp;1140)&gt;1,"충돌",HYPERLINK("#'관리자_MASTER'!D"&amp;_xlfn.MAXIFS(m_row,m_teacher,AH$4,m_date,($G$2+14),m_active,1,m_start,"&lt;"&amp;1440,m_end,"&gt;"&amp;1140),INDEX(m_label,_xlfn.MAXIFS(m_row,m_teacher,AH$4,m_date,($G$2+14),m_active,1,m_start,"&lt;"&amp;1440,m_end,"&gt;"&amp;1140))))))</f>
        <v/>
      </c>
      <c r="AI15" s="86" t="str">
        <f aca="false">IF(OR(AI$4="",MONTH(($G$2+14))&lt;&gt;MONTH($C$2)),"",IF(COUNTIFS(m_teacher,AI$4,m_date,($G$2+14),m_active,1,m_start,"&lt;"&amp;1440,m_end,"&gt;"&amp;1140)=0,"",IF(COUNTIFS(m_teacher,AI$4,m_date,($G$2+14),m_active,1,m_start,"&lt;"&amp;1440,m_end,"&gt;"&amp;1140)&gt;1,"충돌",HYPERLINK("#'관리자_MASTER'!D"&amp;_xlfn.MAXIFS(m_row,m_teacher,AI$4,m_date,($G$2+14),m_active,1,m_start,"&lt;"&amp;1440,m_end,"&gt;"&amp;1140),INDEX(m_label,_xlfn.MAXIFS(m_row,m_teacher,AI$4,m_date,($G$2+14),m_active,1,m_start,"&lt;"&amp;1440,m_end,"&gt;"&amp;1140))))))</f>
        <v/>
      </c>
      <c r="AJ15" s="86" t="str">
        <f aca="false">IF(OR(AJ$4="",MONTH(($G$2+14))&lt;&gt;MONTH($C$2)),"",IF(COUNTIFS(m_teacher,AJ$4,m_date,($G$2+14),m_active,1,m_start,"&lt;"&amp;1440,m_end,"&gt;"&amp;1140)=0,"",IF(COUNTIFS(m_teacher,AJ$4,m_date,($G$2+14),m_active,1,m_start,"&lt;"&amp;1440,m_end,"&gt;"&amp;1140)&gt;1,"충돌",HYPERLINK("#'관리자_MASTER'!D"&amp;_xlfn.MAXIFS(m_row,m_teacher,AJ$4,m_date,($G$2+14),m_active,1,m_start,"&lt;"&amp;1440,m_end,"&gt;"&amp;1140),INDEX(m_label,_xlfn.MAXIFS(m_row,m_teacher,AJ$4,m_date,($G$2+14),m_active,1,m_start,"&lt;"&amp;1440,m_end,"&gt;"&amp;1140))))))</f>
        <v/>
      </c>
      <c r="AK15" s="86" t="str">
        <f aca="false">IF(OR(AK$4="",MONTH(($G$2+14))&lt;&gt;MONTH($C$2)),"",IF(COUNTIFS(m_teacher,AK$4,m_date,($G$2+14),m_active,1,m_start,"&lt;"&amp;1440,m_end,"&gt;"&amp;1140)=0,"",IF(COUNTIFS(m_teacher,AK$4,m_date,($G$2+14),m_active,1,m_start,"&lt;"&amp;1440,m_end,"&gt;"&amp;1140)&gt;1,"충돌",HYPERLINK("#'관리자_MASTER'!D"&amp;_xlfn.MAXIFS(m_row,m_teacher,AK$4,m_date,($G$2+14),m_active,1,m_start,"&lt;"&amp;1440,m_end,"&gt;"&amp;1140),INDEX(m_label,_xlfn.MAXIFS(m_row,m_teacher,AK$4,m_date,($G$2+14),m_active,1,m_start,"&lt;"&amp;1440,m_end,"&gt;"&amp;1140))))))</f>
        <v/>
      </c>
      <c r="AL15" s="86" t="str">
        <f aca="false">IF(OR(AL$4="",MONTH(($G$2+14))&lt;&gt;MONTH($C$2)),"",IF(COUNTIFS(m_teacher,AL$4,m_date,($G$2+14),m_active,1,m_start,"&lt;"&amp;1440,m_end,"&gt;"&amp;1140)=0,"",IF(COUNTIFS(m_teacher,AL$4,m_date,($G$2+14),m_active,1,m_start,"&lt;"&amp;1440,m_end,"&gt;"&amp;1140)&gt;1,"충돌",HYPERLINK("#'관리자_MASTER'!D"&amp;_xlfn.MAXIFS(m_row,m_teacher,AL$4,m_date,($G$2+14),m_active,1,m_start,"&lt;"&amp;1440,m_end,"&gt;"&amp;1140),INDEX(m_label,_xlfn.MAXIFS(m_row,m_teacher,AL$4,m_date,($G$2+14),m_active,1,m_start,"&lt;"&amp;1440,m_end,"&gt;"&amp;1140))))))</f>
        <v/>
      </c>
      <c r="AM15" s="86" t="str">
        <f aca="false">IF(OR(AM$4="",MONTH(($G$2+14))&lt;&gt;MONTH($C$2)),"",IF(COUNTIFS(m_teacher,AM$4,m_date,($G$2+14),m_active,1,m_start,"&lt;"&amp;1440,m_end,"&gt;"&amp;1140)=0,"",IF(COUNTIFS(m_teacher,AM$4,m_date,($G$2+14),m_active,1,m_start,"&lt;"&amp;1440,m_end,"&gt;"&amp;1140)&gt;1,"충돌",HYPERLINK("#'관리자_MASTER'!D"&amp;_xlfn.MAXIFS(m_row,m_teacher,AM$4,m_date,($G$2+14),m_active,1,m_start,"&lt;"&amp;1440,m_end,"&gt;"&amp;1140),INDEX(m_label,_xlfn.MAXIFS(m_row,m_teacher,AM$4,m_date,($G$2+14),m_active,1,m_start,"&lt;"&amp;1440,m_end,"&gt;"&amp;1140))))))</f>
        <v/>
      </c>
      <c r="AN15" s="86" t="str">
        <f aca="false">IF(OR(AN$4="",MONTH(($G$2+14))&lt;&gt;MONTH($C$2)),"",IF(COUNTIFS(m_teacher,AN$4,m_date,($G$2+14),m_active,1,m_start,"&lt;"&amp;1440,m_end,"&gt;"&amp;1140)=0,"",IF(COUNTIFS(m_teacher,AN$4,m_date,($G$2+14),m_active,1,m_start,"&lt;"&amp;1440,m_end,"&gt;"&amp;1140)&gt;1,"충돌",HYPERLINK("#'관리자_MASTER'!D"&amp;_xlfn.MAXIFS(m_row,m_teacher,AN$4,m_date,($G$2+14),m_active,1,m_start,"&lt;"&amp;1440,m_end,"&gt;"&amp;1140),INDEX(m_label,_xlfn.MAXIFS(m_row,m_teacher,AN$4,m_date,($G$2+14),m_active,1,m_start,"&lt;"&amp;1440,m_end,"&gt;"&amp;1140))))))</f>
        <v/>
      </c>
      <c r="AO15" s="86" t="str">
        <f aca="false">IF(OR(AO$4="",MONTH(($G$2+14))&lt;&gt;MONTH($C$2)),"",IF(COUNTIFS(m_teacher,AO$4,m_date,($G$2+14),m_active,1,m_start,"&lt;"&amp;1440,m_end,"&gt;"&amp;1140)=0,"",IF(COUNTIFS(m_teacher,AO$4,m_date,($G$2+14),m_active,1,m_start,"&lt;"&amp;1440,m_end,"&gt;"&amp;1140)&gt;1,"충돌",HYPERLINK("#'관리자_MASTER'!D"&amp;_xlfn.MAXIFS(m_row,m_teacher,AO$4,m_date,($G$2+14),m_active,1,m_start,"&lt;"&amp;1440,m_end,"&gt;"&amp;1140),INDEX(m_label,_xlfn.MAXIFS(m_row,m_teacher,AO$4,m_date,($G$2+14),m_active,1,m_start,"&lt;"&amp;1440,m_end,"&gt;"&amp;1140))))))</f>
        <v/>
      </c>
      <c r="AP15" s="86" t="str">
        <f aca="false">IF(OR(AP$4="",MONTH(($G$2+14))&lt;&gt;MONTH($C$2)),"",IF(COUNTIFS(m_teacher,AP$4,m_date,($G$2+14),m_active,1,m_start,"&lt;"&amp;1440,m_end,"&gt;"&amp;1140)=0,"",IF(COUNTIFS(m_teacher,AP$4,m_date,($G$2+14),m_active,1,m_start,"&lt;"&amp;1440,m_end,"&gt;"&amp;1140)&gt;1,"충돌",HYPERLINK("#'관리자_MASTER'!D"&amp;_xlfn.MAXIFS(m_row,m_teacher,AP$4,m_date,($G$2+14),m_active,1,m_start,"&lt;"&amp;1440,m_end,"&gt;"&amp;1140),INDEX(m_label,_xlfn.MAXIFS(m_row,m_teacher,AP$4,m_date,($G$2+14),m_active,1,m_start,"&lt;"&amp;1440,m_end,"&gt;"&amp;1140))))))</f>
        <v/>
      </c>
      <c r="AQ15" s="78"/>
      <c r="AR15" s="85" t="s">
        <v>101</v>
      </c>
      <c r="AS15" s="86" t="str">
        <f aca="false">IF(OR(AS$4="",MONTH(($G$2+21))&lt;&gt;MONTH($C$2)),"",IF(COUNTIFS(m_teacher,AS$4,m_date,($G$2+21),m_active,1,m_start,"&lt;"&amp;1440,m_end,"&gt;"&amp;1140)=0,"",IF(COUNTIFS(m_teacher,AS$4,m_date,($G$2+21),m_active,1,m_start,"&lt;"&amp;1440,m_end,"&gt;"&amp;1140)&gt;1,"충돌",HYPERLINK("#'관리자_MASTER'!D"&amp;_xlfn.MAXIFS(m_row,m_teacher,AS$4,m_date,($G$2+21),m_active,1,m_start,"&lt;"&amp;1440,m_end,"&gt;"&amp;1140),INDEX(m_label,_xlfn.MAXIFS(m_row,m_teacher,AS$4,m_date,($G$2+21),m_active,1,m_start,"&lt;"&amp;1440,m_end,"&gt;"&amp;1140))))))</f>
        <v/>
      </c>
      <c r="AT15" s="86" t="str">
        <f aca="false">IF(OR(AT$4="",MONTH(($G$2+21))&lt;&gt;MONTH($C$2)),"",IF(COUNTIFS(m_teacher,AT$4,m_date,($G$2+21),m_active,1,m_start,"&lt;"&amp;1440,m_end,"&gt;"&amp;1140)=0,"",IF(COUNTIFS(m_teacher,AT$4,m_date,($G$2+21),m_active,1,m_start,"&lt;"&amp;1440,m_end,"&gt;"&amp;1140)&gt;1,"충돌",HYPERLINK("#'관리자_MASTER'!D"&amp;_xlfn.MAXIFS(m_row,m_teacher,AT$4,m_date,($G$2+21),m_active,1,m_start,"&lt;"&amp;1440,m_end,"&gt;"&amp;1140),INDEX(m_label,_xlfn.MAXIFS(m_row,m_teacher,AT$4,m_date,($G$2+21),m_active,1,m_start,"&lt;"&amp;1440,m_end,"&gt;"&amp;1140))))))</f>
        <v/>
      </c>
      <c r="AU15" s="86" t="str">
        <f aca="false">IF(OR(AU$4="",MONTH(($G$2+21))&lt;&gt;MONTH($C$2)),"",IF(COUNTIFS(m_teacher,AU$4,m_date,($G$2+21),m_active,1,m_start,"&lt;"&amp;1440,m_end,"&gt;"&amp;1140)=0,"",IF(COUNTIFS(m_teacher,AU$4,m_date,($G$2+21),m_active,1,m_start,"&lt;"&amp;1440,m_end,"&gt;"&amp;1140)&gt;1,"충돌",HYPERLINK("#'관리자_MASTER'!D"&amp;_xlfn.MAXIFS(m_row,m_teacher,AU$4,m_date,($G$2+21),m_active,1,m_start,"&lt;"&amp;1440,m_end,"&gt;"&amp;1140),INDEX(m_label,_xlfn.MAXIFS(m_row,m_teacher,AU$4,m_date,($G$2+21),m_active,1,m_start,"&lt;"&amp;1440,m_end,"&gt;"&amp;1140))))))</f>
        <v/>
      </c>
      <c r="AV15" s="86" t="str">
        <f aca="false">IF(OR(AV$4="",MONTH(($G$2+21))&lt;&gt;MONTH($C$2)),"",IF(COUNTIFS(m_teacher,AV$4,m_date,($G$2+21),m_active,1,m_start,"&lt;"&amp;1440,m_end,"&gt;"&amp;1140)=0,"",IF(COUNTIFS(m_teacher,AV$4,m_date,($G$2+21),m_active,1,m_start,"&lt;"&amp;1440,m_end,"&gt;"&amp;1140)&gt;1,"충돌",HYPERLINK("#'관리자_MASTER'!D"&amp;_xlfn.MAXIFS(m_row,m_teacher,AV$4,m_date,($G$2+21),m_active,1,m_start,"&lt;"&amp;1440,m_end,"&gt;"&amp;1140),INDEX(m_label,_xlfn.MAXIFS(m_row,m_teacher,AV$4,m_date,($G$2+21),m_active,1,m_start,"&lt;"&amp;1440,m_end,"&gt;"&amp;1140))))))</f>
        <v/>
      </c>
      <c r="AW15" s="86" t="str">
        <f aca="false">IF(OR(AW$4="",MONTH(($G$2+21))&lt;&gt;MONTH($C$2)),"",IF(COUNTIFS(m_teacher,AW$4,m_date,($G$2+21),m_active,1,m_start,"&lt;"&amp;1440,m_end,"&gt;"&amp;1140)=0,"",IF(COUNTIFS(m_teacher,AW$4,m_date,($G$2+21),m_active,1,m_start,"&lt;"&amp;1440,m_end,"&gt;"&amp;1140)&gt;1,"충돌",HYPERLINK("#'관리자_MASTER'!D"&amp;_xlfn.MAXIFS(m_row,m_teacher,AW$4,m_date,($G$2+21),m_active,1,m_start,"&lt;"&amp;1440,m_end,"&gt;"&amp;1140),INDEX(m_label,_xlfn.MAXIFS(m_row,m_teacher,AW$4,m_date,($G$2+21),m_active,1,m_start,"&lt;"&amp;1440,m_end,"&gt;"&amp;1140))))))</f>
        <v/>
      </c>
      <c r="AX15" s="86" t="str">
        <f aca="false">IF(OR(AX$4="",MONTH(($G$2+21))&lt;&gt;MONTH($C$2)),"",IF(COUNTIFS(m_teacher,AX$4,m_date,($G$2+21),m_active,1,m_start,"&lt;"&amp;1440,m_end,"&gt;"&amp;1140)=0,"",IF(COUNTIFS(m_teacher,AX$4,m_date,($G$2+21),m_active,1,m_start,"&lt;"&amp;1440,m_end,"&gt;"&amp;1140)&gt;1,"충돌",HYPERLINK("#'관리자_MASTER'!D"&amp;_xlfn.MAXIFS(m_row,m_teacher,AX$4,m_date,($G$2+21),m_active,1,m_start,"&lt;"&amp;1440,m_end,"&gt;"&amp;1140),INDEX(m_label,_xlfn.MAXIFS(m_row,m_teacher,AX$4,m_date,($G$2+21),m_active,1,m_start,"&lt;"&amp;1440,m_end,"&gt;"&amp;1140))))))</f>
        <v/>
      </c>
      <c r="AY15" s="86" t="str">
        <f aca="false">IF(OR(AY$4="",MONTH(($G$2+21))&lt;&gt;MONTH($C$2)),"",IF(COUNTIFS(m_teacher,AY$4,m_date,($G$2+21),m_active,1,m_start,"&lt;"&amp;1440,m_end,"&gt;"&amp;1140)=0,"",IF(COUNTIFS(m_teacher,AY$4,m_date,($G$2+21),m_active,1,m_start,"&lt;"&amp;1440,m_end,"&gt;"&amp;1140)&gt;1,"충돌",HYPERLINK("#'관리자_MASTER'!D"&amp;_xlfn.MAXIFS(m_row,m_teacher,AY$4,m_date,($G$2+21),m_active,1,m_start,"&lt;"&amp;1440,m_end,"&gt;"&amp;1140),INDEX(m_label,_xlfn.MAXIFS(m_row,m_teacher,AY$4,m_date,($G$2+21),m_active,1,m_start,"&lt;"&amp;1440,m_end,"&gt;"&amp;1140))))))</f>
        <v/>
      </c>
      <c r="AZ15" s="86" t="str">
        <f aca="false">IF(OR(AZ$4="",MONTH(($G$2+21))&lt;&gt;MONTH($C$2)),"",IF(COUNTIFS(m_teacher,AZ$4,m_date,($G$2+21),m_active,1,m_start,"&lt;"&amp;1440,m_end,"&gt;"&amp;1140)=0,"",IF(COUNTIFS(m_teacher,AZ$4,m_date,($G$2+21),m_active,1,m_start,"&lt;"&amp;1440,m_end,"&gt;"&amp;1140)&gt;1,"충돌",HYPERLINK("#'관리자_MASTER'!D"&amp;_xlfn.MAXIFS(m_row,m_teacher,AZ$4,m_date,($G$2+21),m_active,1,m_start,"&lt;"&amp;1440,m_end,"&gt;"&amp;1140),INDEX(m_label,_xlfn.MAXIFS(m_row,m_teacher,AZ$4,m_date,($G$2+21),m_active,1,m_start,"&lt;"&amp;1440,m_end,"&gt;"&amp;1140))))))</f>
        <v/>
      </c>
      <c r="BA15" s="86" t="str">
        <f aca="false">IF(OR(BA$4="",MONTH(($G$2+21))&lt;&gt;MONTH($C$2)),"",IF(COUNTIFS(m_teacher,BA$4,m_date,($G$2+21),m_active,1,m_start,"&lt;"&amp;1440,m_end,"&gt;"&amp;1140)=0,"",IF(COUNTIFS(m_teacher,BA$4,m_date,($G$2+21),m_active,1,m_start,"&lt;"&amp;1440,m_end,"&gt;"&amp;1140)&gt;1,"충돌",HYPERLINK("#'관리자_MASTER'!D"&amp;_xlfn.MAXIFS(m_row,m_teacher,BA$4,m_date,($G$2+21),m_active,1,m_start,"&lt;"&amp;1440,m_end,"&gt;"&amp;1140),INDEX(m_label,_xlfn.MAXIFS(m_row,m_teacher,BA$4,m_date,($G$2+21),m_active,1,m_start,"&lt;"&amp;1440,m_end,"&gt;"&amp;1140))))))</f>
        <v/>
      </c>
      <c r="BB15" s="86" t="str">
        <f aca="false">IF(OR(BB$4="",MONTH(($G$2+21))&lt;&gt;MONTH($C$2)),"",IF(COUNTIFS(m_teacher,BB$4,m_date,($G$2+21),m_active,1,m_start,"&lt;"&amp;1440,m_end,"&gt;"&amp;1140)=0,"",IF(COUNTIFS(m_teacher,BB$4,m_date,($G$2+21),m_active,1,m_start,"&lt;"&amp;1440,m_end,"&gt;"&amp;1140)&gt;1,"충돌",HYPERLINK("#'관리자_MASTER'!D"&amp;_xlfn.MAXIFS(m_row,m_teacher,BB$4,m_date,($G$2+21),m_active,1,m_start,"&lt;"&amp;1440,m_end,"&gt;"&amp;1140),INDEX(m_label,_xlfn.MAXIFS(m_row,m_teacher,BB$4,m_date,($G$2+21),m_active,1,m_start,"&lt;"&amp;1440,m_end,"&gt;"&amp;1140))))))</f>
        <v/>
      </c>
      <c r="BC15" s="86" t="str">
        <f aca="false">IF(OR(BC$4="",MONTH(($G$2+21))&lt;&gt;MONTH($C$2)),"",IF(COUNTIFS(m_teacher,BC$4,m_date,($G$2+21),m_active,1,m_start,"&lt;"&amp;1440,m_end,"&gt;"&amp;1140)=0,"",IF(COUNTIFS(m_teacher,BC$4,m_date,($G$2+21),m_active,1,m_start,"&lt;"&amp;1440,m_end,"&gt;"&amp;1140)&gt;1,"충돌",HYPERLINK("#'관리자_MASTER'!D"&amp;_xlfn.MAXIFS(m_row,m_teacher,BC$4,m_date,($G$2+21),m_active,1,m_start,"&lt;"&amp;1440,m_end,"&gt;"&amp;1140),INDEX(m_label,_xlfn.MAXIFS(m_row,m_teacher,BC$4,m_date,($G$2+21),m_active,1,m_start,"&lt;"&amp;1440,m_end,"&gt;"&amp;1140))))))</f>
        <v/>
      </c>
      <c r="BD15" s="86" t="str">
        <f aca="false">IF(OR(BD$4="",MONTH(($G$2+21))&lt;&gt;MONTH($C$2)),"",IF(COUNTIFS(m_teacher,BD$4,m_date,($G$2+21),m_active,1,m_start,"&lt;"&amp;1440,m_end,"&gt;"&amp;1140)=0,"",IF(COUNTIFS(m_teacher,BD$4,m_date,($G$2+21),m_active,1,m_start,"&lt;"&amp;1440,m_end,"&gt;"&amp;1140)&gt;1,"충돌",HYPERLINK("#'관리자_MASTER'!D"&amp;_xlfn.MAXIFS(m_row,m_teacher,BD$4,m_date,($G$2+21),m_active,1,m_start,"&lt;"&amp;1440,m_end,"&gt;"&amp;1140),INDEX(m_label,_xlfn.MAXIFS(m_row,m_teacher,BD$4,m_date,($G$2+21),m_active,1,m_start,"&lt;"&amp;1440,m_end,"&gt;"&amp;1140))))))</f>
        <v/>
      </c>
    </row>
    <row r="16" customFormat="false" ht="19.5" hidden="false" customHeight="true" outlineLevel="0" collapsed="false">
      <c r="A16" s="78" t="str">
        <f aca="false">IF(MONTH(($G$2+1))&lt;&gt;MONTH($C$2),"",CHOOSE(WEEKDAY(($G$2+1),2),"월","화","수","목","금","토","일")&amp;CHAR(10)&amp;TEXT(($G$2+1),"m/d"))</f>
        <v>화
2/2</v>
      </c>
      <c r="B16" s="79" t="s">
        <v>91</v>
      </c>
      <c r="C16" s="87" t="str">
        <f aca="false">IF(OR(C$4="",MONTH(($G$2+1))&lt;&gt;MONTH($C$2)),"",IF(COUNTIFS(m_teacher,C$4,m_date,($G$2+1),m_active,1,m_start,"&lt;"&amp;600,m_end,"&gt;"&amp;0)=0,"",IF(COUNTIFS(m_teacher,C$4,m_date,($G$2+1),m_active,1,m_start,"&lt;"&amp;600,m_end,"&gt;"&amp;0)&gt;1,"충돌",HYPERLINK("#'관리자_MASTER'!D"&amp;_xlfn.MAXIFS(m_row,m_teacher,C$4,m_date,($G$2+1),m_active,1,m_start,"&lt;"&amp;600,m_end,"&gt;"&amp;0),INDEX(m_label,_xlfn.MAXIFS(m_row,m_teacher,C$4,m_date,($G$2+1),m_active,1,m_start,"&lt;"&amp;600,m_end,"&gt;"&amp;0))))))</f>
        <v/>
      </c>
      <c r="D16" s="87" t="str">
        <f aca="false">IF(OR(D$4="",MONTH(($G$2+1))&lt;&gt;MONTH($C$2)),"",IF(COUNTIFS(m_teacher,D$4,m_date,($G$2+1),m_active,1,m_start,"&lt;"&amp;600,m_end,"&gt;"&amp;0)=0,"",IF(COUNTIFS(m_teacher,D$4,m_date,($G$2+1),m_active,1,m_start,"&lt;"&amp;600,m_end,"&gt;"&amp;0)&gt;1,"충돌",HYPERLINK("#'관리자_MASTER'!D"&amp;_xlfn.MAXIFS(m_row,m_teacher,D$4,m_date,($G$2+1),m_active,1,m_start,"&lt;"&amp;600,m_end,"&gt;"&amp;0),INDEX(m_label,_xlfn.MAXIFS(m_row,m_teacher,D$4,m_date,($G$2+1),m_active,1,m_start,"&lt;"&amp;600,m_end,"&gt;"&amp;0))))))</f>
        <v/>
      </c>
      <c r="E16" s="87" t="str">
        <f aca="false">IF(OR(E$4="",MONTH(($G$2+1))&lt;&gt;MONTH($C$2)),"",IF(COUNTIFS(m_teacher,E$4,m_date,($G$2+1),m_active,1,m_start,"&lt;"&amp;600,m_end,"&gt;"&amp;0)=0,"",IF(COUNTIFS(m_teacher,E$4,m_date,($G$2+1),m_active,1,m_start,"&lt;"&amp;600,m_end,"&gt;"&amp;0)&gt;1,"충돌",HYPERLINK("#'관리자_MASTER'!D"&amp;_xlfn.MAXIFS(m_row,m_teacher,E$4,m_date,($G$2+1),m_active,1,m_start,"&lt;"&amp;600,m_end,"&gt;"&amp;0),INDEX(m_label,_xlfn.MAXIFS(m_row,m_teacher,E$4,m_date,($G$2+1),m_active,1,m_start,"&lt;"&amp;600,m_end,"&gt;"&amp;0))))))</f>
        <v/>
      </c>
      <c r="F16" s="87" t="str">
        <f aca="false">IF(OR(F$4="",MONTH(($G$2+1))&lt;&gt;MONTH($C$2)),"",IF(COUNTIFS(m_teacher,F$4,m_date,($G$2+1),m_active,1,m_start,"&lt;"&amp;600,m_end,"&gt;"&amp;0)=0,"",IF(COUNTIFS(m_teacher,F$4,m_date,($G$2+1),m_active,1,m_start,"&lt;"&amp;600,m_end,"&gt;"&amp;0)&gt;1,"충돌",HYPERLINK("#'관리자_MASTER'!D"&amp;_xlfn.MAXIFS(m_row,m_teacher,F$4,m_date,($G$2+1),m_active,1,m_start,"&lt;"&amp;600,m_end,"&gt;"&amp;0),INDEX(m_label,_xlfn.MAXIFS(m_row,m_teacher,F$4,m_date,($G$2+1),m_active,1,m_start,"&lt;"&amp;600,m_end,"&gt;"&amp;0))))))</f>
        <v/>
      </c>
      <c r="G16" s="87" t="str">
        <f aca="false">IF(OR(G$4="",MONTH(($G$2+1))&lt;&gt;MONTH($C$2)),"",IF(COUNTIFS(m_teacher,G$4,m_date,($G$2+1),m_active,1,m_start,"&lt;"&amp;600,m_end,"&gt;"&amp;0)=0,"",IF(COUNTIFS(m_teacher,G$4,m_date,($G$2+1),m_active,1,m_start,"&lt;"&amp;600,m_end,"&gt;"&amp;0)&gt;1,"충돌",HYPERLINK("#'관리자_MASTER'!D"&amp;_xlfn.MAXIFS(m_row,m_teacher,G$4,m_date,($G$2+1),m_active,1,m_start,"&lt;"&amp;600,m_end,"&gt;"&amp;0),INDEX(m_label,_xlfn.MAXIFS(m_row,m_teacher,G$4,m_date,($G$2+1),m_active,1,m_start,"&lt;"&amp;600,m_end,"&gt;"&amp;0))))))</f>
        <v/>
      </c>
      <c r="H16" s="87" t="str">
        <f aca="false">IF(OR(H$4="",MONTH(($G$2+1))&lt;&gt;MONTH($C$2)),"",IF(COUNTIFS(m_teacher,H$4,m_date,($G$2+1),m_active,1,m_start,"&lt;"&amp;600,m_end,"&gt;"&amp;0)=0,"",IF(COUNTIFS(m_teacher,H$4,m_date,($G$2+1),m_active,1,m_start,"&lt;"&amp;600,m_end,"&gt;"&amp;0)&gt;1,"충돌",HYPERLINK("#'관리자_MASTER'!D"&amp;_xlfn.MAXIFS(m_row,m_teacher,H$4,m_date,($G$2+1),m_active,1,m_start,"&lt;"&amp;600,m_end,"&gt;"&amp;0),INDEX(m_label,_xlfn.MAXIFS(m_row,m_teacher,H$4,m_date,($G$2+1),m_active,1,m_start,"&lt;"&amp;600,m_end,"&gt;"&amp;0))))))</f>
        <v/>
      </c>
      <c r="I16" s="87" t="str">
        <f aca="false">IF(OR(I$4="",MONTH(($G$2+1))&lt;&gt;MONTH($C$2)),"",IF(COUNTIFS(m_teacher,I$4,m_date,($G$2+1),m_active,1,m_start,"&lt;"&amp;600,m_end,"&gt;"&amp;0)=0,"",IF(COUNTIFS(m_teacher,I$4,m_date,($G$2+1),m_active,1,m_start,"&lt;"&amp;600,m_end,"&gt;"&amp;0)&gt;1,"충돌",HYPERLINK("#'관리자_MASTER'!D"&amp;_xlfn.MAXIFS(m_row,m_teacher,I$4,m_date,($G$2+1),m_active,1,m_start,"&lt;"&amp;600,m_end,"&gt;"&amp;0),INDEX(m_label,_xlfn.MAXIFS(m_row,m_teacher,I$4,m_date,($G$2+1),m_active,1,m_start,"&lt;"&amp;600,m_end,"&gt;"&amp;0))))))</f>
        <v/>
      </c>
      <c r="J16" s="87" t="str">
        <f aca="false">IF(OR(J$4="",MONTH(($G$2+1))&lt;&gt;MONTH($C$2)),"",IF(COUNTIFS(m_teacher,J$4,m_date,($G$2+1),m_active,1,m_start,"&lt;"&amp;600,m_end,"&gt;"&amp;0)=0,"",IF(COUNTIFS(m_teacher,J$4,m_date,($G$2+1),m_active,1,m_start,"&lt;"&amp;600,m_end,"&gt;"&amp;0)&gt;1,"충돌",HYPERLINK("#'관리자_MASTER'!D"&amp;_xlfn.MAXIFS(m_row,m_teacher,J$4,m_date,($G$2+1),m_active,1,m_start,"&lt;"&amp;600,m_end,"&gt;"&amp;0),INDEX(m_label,_xlfn.MAXIFS(m_row,m_teacher,J$4,m_date,($G$2+1),m_active,1,m_start,"&lt;"&amp;600,m_end,"&gt;"&amp;0))))))</f>
        <v/>
      </c>
      <c r="K16" s="87" t="str">
        <f aca="false">IF(OR(K$4="",MONTH(($G$2+1))&lt;&gt;MONTH($C$2)),"",IF(COUNTIFS(m_teacher,K$4,m_date,($G$2+1),m_active,1,m_start,"&lt;"&amp;600,m_end,"&gt;"&amp;0)=0,"",IF(COUNTIFS(m_teacher,K$4,m_date,($G$2+1),m_active,1,m_start,"&lt;"&amp;600,m_end,"&gt;"&amp;0)&gt;1,"충돌",HYPERLINK("#'관리자_MASTER'!D"&amp;_xlfn.MAXIFS(m_row,m_teacher,K$4,m_date,($G$2+1),m_active,1,m_start,"&lt;"&amp;600,m_end,"&gt;"&amp;0),INDEX(m_label,_xlfn.MAXIFS(m_row,m_teacher,K$4,m_date,($G$2+1),m_active,1,m_start,"&lt;"&amp;600,m_end,"&gt;"&amp;0))))))</f>
        <v/>
      </c>
      <c r="L16" s="87" t="str">
        <f aca="false">IF(OR(L$4="",MONTH(($G$2+1))&lt;&gt;MONTH($C$2)),"",IF(COUNTIFS(m_teacher,L$4,m_date,($G$2+1),m_active,1,m_start,"&lt;"&amp;600,m_end,"&gt;"&amp;0)=0,"",IF(COUNTIFS(m_teacher,L$4,m_date,($G$2+1),m_active,1,m_start,"&lt;"&amp;600,m_end,"&gt;"&amp;0)&gt;1,"충돌",HYPERLINK("#'관리자_MASTER'!D"&amp;_xlfn.MAXIFS(m_row,m_teacher,L$4,m_date,($G$2+1),m_active,1,m_start,"&lt;"&amp;600,m_end,"&gt;"&amp;0),INDEX(m_label,_xlfn.MAXIFS(m_row,m_teacher,L$4,m_date,($G$2+1),m_active,1,m_start,"&lt;"&amp;600,m_end,"&gt;"&amp;0))))))</f>
        <v/>
      </c>
      <c r="M16" s="87" t="str">
        <f aca="false">IF(OR(M$4="",MONTH(($G$2+1))&lt;&gt;MONTH($C$2)),"",IF(COUNTIFS(m_teacher,M$4,m_date,($G$2+1),m_active,1,m_start,"&lt;"&amp;600,m_end,"&gt;"&amp;0)=0,"",IF(COUNTIFS(m_teacher,M$4,m_date,($G$2+1),m_active,1,m_start,"&lt;"&amp;600,m_end,"&gt;"&amp;0)&gt;1,"충돌",HYPERLINK("#'관리자_MASTER'!D"&amp;_xlfn.MAXIFS(m_row,m_teacher,M$4,m_date,($G$2+1),m_active,1,m_start,"&lt;"&amp;600,m_end,"&gt;"&amp;0),INDEX(m_label,_xlfn.MAXIFS(m_row,m_teacher,M$4,m_date,($G$2+1),m_active,1,m_start,"&lt;"&amp;600,m_end,"&gt;"&amp;0))))))</f>
        <v/>
      </c>
      <c r="N16" s="87" t="str">
        <f aca="false">IF(OR(N$4="",MONTH(($G$2+1))&lt;&gt;MONTH($C$2)),"",IF(COUNTIFS(m_teacher,N$4,m_date,($G$2+1),m_active,1,m_start,"&lt;"&amp;600,m_end,"&gt;"&amp;0)=0,"",IF(COUNTIFS(m_teacher,N$4,m_date,($G$2+1),m_active,1,m_start,"&lt;"&amp;600,m_end,"&gt;"&amp;0)&gt;1,"충돌",HYPERLINK("#'관리자_MASTER'!D"&amp;_xlfn.MAXIFS(m_row,m_teacher,N$4,m_date,($G$2+1),m_active,1,m_start,"&lt;"&amp;600,m_end,"&gt;"&amp;0),INDEX(m_label,_xlfn.MAXIFS(m_row,m_teacher,N$4,m_date,($G$2+1),m_active,1,m_start,"&lt;"&amp;600,m_end,"&gt;"&amp;0))))))</f>
        <v/>
      </c>
      <c r="O16" s="78" t="str">
        <f aca="false">IF(MONTH(($G$2+8))&lt;&gt;MONTH($C$2),"",CHOOSE(WEEKDAY(($G$2+8),2),"월","화","수","목","금","토","일")&amp;CHAR(10)&amp;TEXT(($G$2+8),"m/d"))</f>
        <v>화
2/9</v>
      </c>
      <c r="P16" s="79" t="s">
        <v>91</v>
      </c>
      <c r="Q16" s="87" t="str">
        <f aca="false">IF(OR(Q$4="",MONTH(($G$2+8))&lt;&gt;MONTH($C$2)),"",IF(COUNTIFS(m_teacher,Q$4,m_date,($G$2+8),m_active,1,m_start,"&lt;"&amp;600,m_end,"&gt;"&amp;0)=0,"",IF(COUNTIFS(m_teacher,Q$4,m_date,($G$2+8),m_active,1,m_start,"&lt;"&amp;600,m_end,"&gt;"&amp;0)&gt;1,"충돌",HYPERLINK("#'관리자_MASTER'!D"&amp;_xlfn.MAXIFS(m_row,m_teacher,Q$4,m_date,($G$2+8),m_active,1,m_start,"&lt;"&amp;600,m_end,"&gt;"&amp;0),INDEX(m_label,_xlfn.MAXIFS(m_row,m_teacher,Q$4,m_date,($G$2+8),m_active,1,m_start,"&lt;"&amp;600,m_end,"&gt;"&amp;0))))))</f>
        <v/>
      </c>
      <c r="R16" s="87" t="str">
        <f aca="false">IF(OR(R$4="",MONTH(($G$2+8))&lt;&gt;MONTH($C$2)),"",IF(COUNTIFS(m_teacher,R$4,m_date,($G$2+8),m_active,1,m_start,"&lt;"&amp;600,m_end,"&gt;"&amp;0)=0,"",IF(COUNTIFS(m_teacher,R$4,m_date,($G$2+8),m_active,1,m_start,"&lt;"&amp;600,m_end,"&gt;"&amp;0)&gt;1,"충돌",HYPERLINK("#'관리자_MASTER'!D"&amp;_xlfn.MAXIFS(m_row,m_teacher,R$4,m_date,($G$2+8),m_active,1,m_start,"&lt;"&amp;600,m_end,"&gt;"&amp;0),INDEX(m_label,_xlfn.MAXIFS(m_row,m_teacher,R$4,m_date,($G$2+8),m_active,1,m_start,"&lt;"&amp;600,m_end,"&gt;"&amp;0))))))</f>
        <v/>
      </c>
      <c r="S16" s="87" t="str">
        <f aca="false">IF(OR(S$4="",MONTH(($G$2+8))&lt;&gt;MONTH($C$2)),"",IF(COUNTIFS(m_teacher,S$4,m_date,($G$2+8),m_active,1,m_start,"&lt;"&amp;600,m_end,"&gt;"&amp;0)=0,"",IF(COUNTIFS(m_teacher,S$4,m_date,($G$2+8),m_active,1,m_start,"&lt;"&amp;600,m_end,"&gt;"&amp;0)&gt;1,"충돌",HYPERLINK("#'관리자_MASTER'!D"&amp;_xlfn.MAXIFS(m_row,m_teacher,S$4,m_date,($G$2+8),m_active,1,m_start,"&lt;"&amp;600,m_end,"&gt;"&amp;0),INDEX(m_label,_xlfn.MAXIFS(m_row,m_teacher,S$4,m_date,($G$2+8),m_active,1,m_start,"&lt;"&amp;600,m_end,"&gt;"&amp;0))))))</f>
        <v/>
      </c>
      <c r="T16" s="87" t="str">
        <f aca="false">IF(OR(T$4="",MONTH(($G$2+8))&lt;&gt;MONTH($C$2)),"",IF(COUNTIFS(m_teacher,T$4,m_date,($G$2+8),m_active,1,m_start,"&lt;"&amp;600,m_end,"&gt;"&amp;0)=0,"",IF(COUNTIFS(m_teacher,T$4,m_date,($G$2+8),m_active,1,m_start,"&lt;"&amp;600,m_end,"&gt;"&amp;0)&gt;1,"충돌",HYPERLINK("#'관리자_MASTER'!D"&amp;_xlfn.MAXIFS(m_row,m_teacher,T$4,m_date,($G$2+8),m_active,1,m_start,"&lt;"&amp;600,m_end,"&gt;"&amp;0),INDEX(m_label,_xlfn.MAXIFS(m_row,m_teacher,T$4,m_date,($G$2+8),m_active,1,m_start,"&lt;"&amp;600,m_end,"&gt;"&amp;0))))))</f>
        <v/>
      </c>
      <c r="U16" s="87" t="str">
        <f aca="false">IF(OR(U$4="",MONTH(($G$2+8))&lt;&gt;MONTH($C$2)),"",IF(COUNTIFS(m_teacher,U$4,m_date,($G$2+8),m_active,1,m_start,"&lt;"&amp;600,m_end,"&gt;"&amp;0)=0,"",IF(COUNTIFS(m_teacher,U$4,m_date,($G$2+8),m_active,1,m_start,"&lt;"&amp;600,m_end,"&gt;"&amp;0)&gt;1,"충돌",HYPERLINK("#'관리자_MASTER'!D"&amp;_xlfn.MAXIFS(m_row,m_teacher,U$4,m_date,($G$2+8),m_active,1,m_start,"&lt;"&amp;600,m_end,"&gt;"&amp;0),INDEX(m_label,_xlfn.MAXIFS(m_row,m_teacher,U$4,m_date,($G$2+8),m_active,1,m_start,"&lt;"&amp;600,m_end,"&gt;"&amp;0))))))</f>
        <v/>
      </c>
      <c r="V16" s="87" t="str">
        <f aca="false">IF(OR(V$4="",MONTH(($G$2+8))&lt;&gt;MONTH($C$2)),"",IF(COUNTIFS(m_teacher,V$4,m_date,($G$2+8),m_active,1,m_start,"&lt;"&amp;600,m_end,"&gt;"&amp;0)=0,"",IF(COUNTIFS(m_teacher,V$4,m_date,($G$2+8),m_active,1,m_start,"&lt;"&amp;600,m_end,"&gt;"&amp;0)&gt;1,"충돌",HYPERLINK("#'관리자_MASTER'!D"&amp;_xlfn.MAXIFS(m_row,m_teacher,V$4,m_date,($G$2+8),m_active,1,m_start,"&lt;"&amp;600,m_end,"&gt;"&amp;0),INDEX(m_label,_xlfn.MAXIFS(m_row,m_teacher,V$4,m_date,($G$2+8),m_active,1,m_start,"&lt;"&amp;600,m_end,"&gt;"&amp;0))))))</f>
        <v/>
      </c>
      <c r="W16" s="87" t="str">
        <f aca="false">IF(OR(W$4="",MONTH(($G$2+8))&lt;&gt;MONTH($C$2)),"",IF(COUNTIFS(m_teacher,W$4,m_date,($G$2+8),m_active,1,m_start,"&lt;"&amp;600,m_end,"&gt;"&amp;0)=0,"",IF(COUNTIFS(m_teacher,W$4,m_date,($G$2+8),m_active,1,m_start,"&lt;"&amp;600,m_end,"&gt;"&amp;0)&gt;1,"충돌",HYPERLINK("#'관리자_MASTER'!D"&amp;_xlfn.MAXIFS(m_row,m_teacher,W$4,m_date,($G$2+8),m_active,1,m_start,"&lt;"&amp;600,m_end,"&gt;"&amp;0),INDEX(m_label,_xlfn.MAXIFS(m_row,m_teacher,W$4,m_date,($G$2+8),m_active,1,m_start,"&lt;"&amp;600,m_end,"&gt;"&amp;0))))))</f>
        <v/>
      </c>
      <c r="X16" s="87" t="str">
        <f aca="false">IF(OR(X$4="",MONTH(($G$2+8))&lt;&gt;MONTH($C$2)),"",IF(COUNTIFS(m_teacher,X$4,m_date,($G$2+8),m_active,1,m_start,"&lt;"&amp;600,m_end,"&gt;"&amp;0)=0,"",IF(COUNTIFS(m_teacher,X$4,m_date,($G$2+8),m_active,1,m_start,"&lt;"&amp;600,m_end,"&gt;"&amp;0)&gt;1,"충돌",HYPERLINK("#'관리자_MASTER'!D"&amp;_xlfn.MAXIFS(m_row,m_teacher,X$4,m_date,($G$2+8),m_active,1,m_start,"&lt;"&amp;600,m_end,"&gt;"&amp;0),INDEX(m_label,_xlfn.MAXIFS(m_row,m_teacher,X$4,m_date,($G$2+8),m_active,1,m_start,"&lt;"&amp;600,m_end,"&gt;"&amp;0))))))</f>
        <v/>
      </c>
      <c r="Y16" s="87" t="str">
        <f aca="false">IF(OR(Y$4="",MONTH(($G$2+8))&lt;&gt;MONTH($C$2)),"",IF(COUNTIFS(m_teacher,Y$4,m_date,($G$2+8),m_active,1,m_start,"&lt;"&amp;600,m_end,"&gt;"&amp;0)=0,"",IF(COUNTIFS(m_teacher,Y$4,m_date,($G$2+8),m_active,1,m_start,"&lt;"&amp;600,m_end,"&gt;"&amp;0)&gt;1,"충돌",HYPERLINK("#'관리자_MASTER'!D"&amp;_xlfn.MAXIFS(m_row,m_teacher,Y$4,m_date,($G$2+8),m_active,1,m_start,"&lt;"&amp;600,m_end,"&gt;"&amp;0),INDEX(m_label,_xlfn.MAXIFS(m_row,m_teacher,Y$4,m_date,($G$2+8),m_active,1,m_start,"&lt;"&amp;600,m_end,"&gt;"&amp;0))))))</f>
        <v/>
      </c>
      <c r="Z16" s="87" t="str">
        <f aca="false">IF(OR(Z$4="",MONTH(($G$2+8))&lt;&gt;MONTH($C$2)),"",IF(COUNTIFS(m_teacher,Z$4,m_date,($G$2+8),m_active,1,m_start,"&lt;"&amp;600,m_end,"&gt;"&amp;0)=0,"",IF(COUNTIFS(m_teacher,Z$4,m_date,($G$2+8),m_active,1,m_start,"&lt;"&amp;600,m_end,"&gt;"&amp;0)&gt;1,"충돌",HYPERLINK("#'관리자_MASTER'!D"&amp;_xlfn.MAXIFS(m_row,m_teacher,Z$4,m_date,($G$2+8),m_active,1,m_start,"&lt;"&amp;600,m_end,"&gt;"&amp;0),INDEX(m_label,_xlfn.MAXIFS(m_row,m_teacher,Z$4,m_date,($G$2+8),m_active,1,m_start,"&lt;"&amp;600,m_end,"&gt;"&amp;0))))))</f>
        <v/>
      </c>
      <c r="AA16" s="87" t="str">
        <f aca="false">IF(OR(AA$4="",MONTH(($G$2+8))&lt;&gt;MONTH($C$2)),"",IF(COUNTIFS(m_teacher,AA$4,m_date,($G$2+8),m_active,1,m_start,"&lt;"&amp;600,m_end,"&gt;"&amp;0)=0,"",IF(COUNTIFS(m_teacher,AA$4,m_date,($G$2+8),m_active,1,m_start,"&lt;"&amp;600,m_end,"&gt;"&amp;0)&gt;1,"충돌",HYPERLINK("#'관리자_MASTER'!D"&amp;_xlfn.MAXIFS(m_row,m_teacher,AA$4,m_date,($G$2+8),m_active,1,m_start,"&lt;"&amp;600,m_end,"&gt;"&amp;0),INDEX(m_label,_xlfn.MAXIFS(m_row,m_teacher,AA$4,m_date,($G$2+8),m_active,1,m_start,"&lt;"&amp;600,m_end,"&gt;"&amp;0))))))</f>
        <v/>
      </c>
      <c r="AB16" s="87" t="str">
        <f aca="false">IF(OR(AB$4="",MONTH(($G$2+8))&lt;&gt;MONTH($C$2)),"",IF(COUNTIFS(m_teacher,AB$4,m_date,($G$2+8),m_active,1,m_start,"&lt;"&amp;600,m_end,"&gt;"&amp;0)=0,"",IF(COUNTIFS(m_teacher,AB$4,m_date,($G$2+8),m_active,1,m_start,"&lt;"&amp;600,m_end,"&gt;"&amp;0)&gt;1,"충돌",HYPERLINK("#'관리자_MASTER'!D"&amp;_xlfn.MAXIFS(m_row,m_teacher,AB$4,m_date,($G$2+8),m_active,1,m_start,"&lt;"&amp;600,m_end,"&gt;"&amp;0),INDEX(m_label,_xlfn.MAXIFS(m_row,m_teacher,AB$4,m_date,($G$2+8),m_active,1,m_start,"&lt;"&amp;600,m_end,"&gt;"&amp;0))))))</f>
        <v/>
      </c>
      <c r="AC16" s="78" t="str">
        <f aca="false">IF(MONTH(($G$2+15))&lt;&gt;MONTH($C$2),"",CHOOSE(WEEKDAY(($G$2+15),2),"월","화","수","목","금","토","일")&amp;CHAR(10)&amp;TEXT(($G$2+15),"m/d"))</f>
        <v>화
2/16</v>
      </c>
      <c r="AD16" s="79" t="s">
        <v>91</v>
      </c>
      <c r="AE16" s="87" t="str">
        <f aca="false">IF(OR(AE$4="",MONTH(($G$2+15))&lt;&gt;MONTH($C$2)),"",IF(COUNTIFS(m_teacher,AE$4,m_date,($G$2+15),m_active,1,m_start,"&lt;"&amp;600,m_end,"&gt;"&amp;0)=0,"",IF(COUNTIFS(m_teacher,AE$4,m_date,($G$2+15),m_active,1,m_start,"&lt;"&amp;600,m_end,"&gt;"&amp;0)&gt;1,"충돌",HYPERLINK("#'관리자_MASTER'!D"&amp;_xlfn.MAXIFS(m_row,m_teacher,AE$4,m_date,($G$2+15),m_active,1,m_start,"&lt;"&amp;600,m_end,"&gt;"&amp;0),INDEX(m_label,_xlfn.MAXIFS(m_row,m_teacher,AE$4,m_date,($G$2+15),m_active,1,m_start,"&lt;"&amp;600,m_end,"&gt;"&amp;0))))))</f>
        <v/>
      </c>
      <c r="AF16" s="87" t="str">
        <f aca="false">IF(OR(AF$4="",MONTH(($G$2+15))&lt;&gt;MONTH($C$2)),"",IF(COUNTIFS(m_teacher,AF$4,m_date,($G$2+15),m_active,1,m_start,"&lt;"&amp;600,m_end,"&gt;"&amp;0)=0,"",IF(COUNTIFS(m_teacher,AF$4,m_date,($G$2+15),m_active,1,m_start,"&lt;"&amp;600,m_end,"&gt;"&amp;0)&gt;1,"충돌",HYPERLINK("#'관리자_MASTER'!D"&amp;_xlfn.MAXIFS(m_row,m_teacher,AF$4,m_date,($G$2+15),m_active,1,m_start,"&lt;"&amp;600,m_end,"&gt;"&amp;0),INDEX(m_label,_xlfn.MAXIFS(m_row,m_teacher,AF$4,m_date,($G$2+15),m_active,1,m_start,"&lt;"&amp;600,m_end,"&gt;"&amp;0))))))</f>
        <v/>
      </c>
      <c r="AG16" s="87" t="str">
        <f aca="false">IF(OR(AG$4="",MONTH(($G$2+15))&lt;&gt;MONTH($C$2)),"",IF(COUNTIFS(m_teacher,AG$4,m_date,($G$2+15),m_active,1,m_start,"&lt;"&amp;600,m_end,"&gt;"&amp;0)=0,"",IF(COUNTIFS(m_teacher,AG$4,m_date,($G$2+15),m_active,1,m_start,"&lt;"&amp;600,m_end,"&gt;"&amp;0)&gt;1,"충돌",HYPERLINK("#'관리자_MASTER'!D"&amp;_xlfn.MAXIFS(m_row,m_teacher,AG$4,m_date,($G$2+15),m_active,1,m_start,"&lt;"&amp;600,m_end,"&gt;"&amp;0),INDEX(m_label,_xlfn.MAXIFS(m_row,m_teacher,AG$4,m_date,($G$2+15),m_active,1,m_start,"&lt;"&amp;600,m_end,"&gt;"&amp;0))))))</f>
        <v/>
      </c>
      <c r="AH16" s="87" t="str">
        <f aca="false">IF(OR(AH$4="",MONTH(($G$2+15))&lt;&gt;MONTH($C$2)),"",IF(COUNTIFS(m_teacher,AH$4,m_date,($G$2+15),m_active,1,m_start,"&lt;"&amp;600,m_end,"&gt;"&amp;0)=0,"",IF(COUNTIFS(m_teacher,AH$4,m_date,($G$2+15),m_active,1,m_start,"&lt;"&amp;600,m_end,"&gt;"&amp;0)&gt;1,"충돌",HYPERLINK("#'관리자_MASTER'!D"&amp;_xlfn.MAXIFS(m_row,m_teacher,AH$4,m_date,($G$2+15),m_active,1,m_start,"&lt;"&amp;600,m_end,"&gt;"&amp;0),INDEX(m_label,_xlfn.MAXIFS(m_row,m_teacher,AH$4,m_date,($G$2+15),m_active,1,m_start,"&lt;"&amp;600,m_end,"&gt;"&amp;0))))))</f>
        <v/>
      </c>
      <c r="AI16" s="87" t="str">
        <f aca="false">IF(OR(AI$4="",MONTH(($G$2+15))&lt;&gt;MONTH($C$2)),"",IF(COUNTIFS(m_teacher,AI$4,m_date,($G$2+15),m_active,1,m_start,"&lt;"&amp;600,m_end,"&gt;"&amp;0)=0,"",IF(COUNTIFS(m_teacher,AI$4,m_date,($G$2+15),m_active,1,m_start,"&lt;"&amp;600,m_end,"&gt;"&amp;0)&gt;1,"충돌",HYPERLINK("#'관리자_MASTER'!D"&amp;_xlfn.MAXIFS(m_row,m_teacher,AI$4,m_date,($G$2+15),m_active,1,m_start,"&lt;"&amp;600,m_end,"&gt;"&amp;0),INDEX(m_label,_xlfn.MAXIFS(m_row,m_teacher,AI$4,m_date,($G$2+15),m_active,1,m_start,"&lt;"&amp;600,m_end,"&gt;"&amp;0))))))</f>
        <v/>
      </c>
      <c r="AJ16" s="87" t="str">
        <f aca="false">IF(OR(AJ$4="",MONTH(($G$2+15))&lt;&gt;MONTH($C$2)),"",IF(COUNTIFS(m_teacher,AJ$4,m_date,($G$2+15),m_active,1,m_start,"&lt;"&amp;600,m_end,"&gt;"&amp;0)=0,"",IF(COUNTIFS(m_teacher,AJ$4,m_date,($G$2+15),m_active,1,m_start,"&lt;"&amp;600,m_end,"&gt;"&amp;0)&gt;1,"충돌",HYPERLINK("#'관리자_MASTER'!D"&amp;_xlfn.MAXIFS(m_row,m_teacher,AJ$4,m_date,($G$2+15),m_active,1,m_start,"&lt;"&amp;600,m_end,"&gt;"&amp;0),INDEX(m_label,_xlfn.MAXIFS(m_row,m_teacher,AJ$4,m_date,($G$2+15),m_active,1,m_start,"&lt;"&amp;600,m_end,"&gt;"&amp;0))))))</f>
        <v/>
      </c>
      <c r="AK16" s="87" t="str">
        <f aca="false">IF(OR(AK$4="",MONTH(($G$2+15))&lt;&gt;MONTH($C$2)),"",IF(COUNTIFS(m_teacher,AK$4,m_date,($G$2+15),m_active,1,m_start,"&lt;"&amp;600,m_end,"&gt;"&amp;0)=0,"",IF(COUNTIFS(m_teacher,AK$4,m_date,($G$2+15),m_active,1,m_start,"&lt;"&amp;600,m_end,"&gt;"&amp;0)&gt;1,"충돌",HYPERLINK("#'관리자_MASTER'!D"&amp;_xlfn.MAXIFS(m_row,m_teacher,AK$4,m_date,($G$2+15),m_active,1,m_start,"&lt;"&amp;600,m_end,"&gt;"&amp;0),INDEX(m_label,_xlfn.MAXIFS(m_row,m_teacher,AK$4,m_date,($G$2+15),m_active,1,m_start,"&lt;"&amp;600,m_end,"&gt;"&amp;0))))))</f>
        <v/>
      </c>
      <c r="AL16" s="87" t="str">
        <f aca="false">IF(OR(AL$4="",MONTH(($G$2+15))&lt;&gt;MONTH($C$2)),"",IF(COUNTIFS(m_teacher,AL$4,m_date,($G$2+15),m_active,1,m_start,"&lt;"&amp;600,m_end,"&gt;"&amp;0)=0,"",IF(COUNTIFS(m_teacher,AL$4,m_date,($G$2+15),m_active,1,m_start,"&lt;"&amp;600,m_end,"&gt;"&amp;0)&gt;1,"충돌",HYPERLINK("#'관리자_MASTER'!D"&amp;_xlfn.MAXIFS(m_row,m_teacher,AL$4,m_date,($G$2+15),m_active,1,m_start,"&lt;"&amp;600,m_end,"&gt;"&amp;0),INDEX(m_label,_xlfn.MAXIFS(m_row,m_teacher,AL$4,m_date,($G$2+15),m_active,1,m_start,"&lt;"&amp;600,m_end,"&gt;"&amp;0))))))</f>
        <v/>
      </c>
      <c r="AM16" s="87" t="str">
        <f aca="false">IF(OR(AM$4="",MONTH(($G$2+15))&lt;&gt;MONTH($C$2)),"",IF(COUNTIFS(m_teacher,AM$4,m_date,($G$2+15),m_active,1,m_start,"&lt;"&amp;600,m_end,"&gt;"&amp;0)=0,"",IF(COUNTIFS(m_teacher,AM$4,m_date,($G$2+15),m_active,1,m_start,"&lt;"&amp;600,m_end,"&gt;"&amp;0)&gt;1,"충돌",HYPERLINK("#'관리자_MASTER'!D"&amp;_xlfn.MAXIFS(m_row,m_teacher,AM$4,m_date,($G$2+15),m_active,1,m_start,"&lt;"&amp;600,m_end,"&gt;"&amp;0),INDEX(m_label,_xlfn.MAXIFS(m_row,m_teacher,AM$4,m_date,($G$2+15),m_active,1,m_start,"&lt;"&amp;600,m_end,"&gt;"&amp;0))))))</f>
        <v/>
      </c>
      <c r="AN16" s="87" t="str">
        <f aca="false">IF(OR(AN$4="",MONTH(($G$2+15))&lt;&gt;MONTH($C$2)),"",IF(COUNTIFS(m_teacher,AN$4,m_date,($G$2+15),m_active,1,m_start,"&lt;"&amp;600,m_end,"&gt;"&amp;0)=0,"",IF(COUNTIFS(m_teacher,AN$4,m_date,($G$2+15),m_active,1,m_start,"&lt;"&amp;600,m_end,"&gt;"&amp;0)&gt;1,"충돌",HYPERLINK("#'관리자_MASTER'!D"&amp;_xlfn.MAXIFS(m_row,m_teacher,AN$4,m_date,($G$2+15),m_active,1,m_start,"&lt;"&amp;600,m_end,"&gt;"&amp;0),INDEX(m_label,_xlfn.MAXIFS(m_row,m_teacher,AN$4,m_date,($G$2+15),m_active,1,m_start,"&lt;"&amp;600,m_end,"&gt;"&amp;0))))))</f>
        <v/>
      </c>
      <c r="AO16" s="87" t="str">
        <f aca="false">IF(OR(AO$4="",MONTH(($G$2+15))&lt;&gt;MONTH($C$2)),"",IF(COUNTIFS(m_teacher,AO$4,m_date,($G$2+15),m_active,1,m_start,"&lt;"&amp;600,m_end,"&gt;"&amp;0)=0,"",IF(COUNTIFS(m_teacher,AO$4,m_date,($G$2+15),m_active,1,m_start,"&lt;"&amp;600,m_end,"&gt;"&amp;0)&gt;1,"충돌",HYPERLINK("#'관리자_MASTER'!D"&amp;_xlfn.MAXIFS(m_row,m_teacher,AO$4,m_date,($G$2+15),m_active,1,m_start,"&lt;"&amp;600,m_end,"&gt;"&amp;0),INDEX(m_label,_xlfn.MAXIFS(m_row,m_teacher,AO$4,m_date,($G$2+15),m_active,1,m_start,"&lt;"&amp;600,m_end,"&gt;"&amp;0))))))</f>
        <v/>
      </c>
      <c r="AP16" s="87" t="str">
        <f aca="false">IF(OR(AP$4="",MONTH(($G$2+15))&lt;&gt;MONTH($C$2)),"",IF(COUNTIFS(m_teacher,AP$4,m_date,($G$2+15),m_active,1,m_start,"&lt;"&amp;600,m_end,"&gt;"&amp;0)=0,"",IF(COUNTIFS(m_teacher,AP$4,m_date,($G$2+15),m_active,1,m_start,"&lt;"&amp;600,m_end,"&gt;"&amp;0)&gt;1,"충돌",HYPERLINK("#'관리자_MASTER'!D"&amp;_xlfn.MAXIFS(m_row,m_teacher,AP$4,m_date,($G$2+15),m_active,1,m_start,"&lt;"&amp;600,m_end,"&gt;"&amp;0),INDEX(m_label,_xlfn.MAXIFS(m_row,m_teacher,AP$4,m_date,($G$2+15),m_active,1,m_start,"&lt;"&amp;600,m_end,"&gt;"&amp;0))))))</f>
        <v/>
      </c>
      <c r="AQ16" s="78" t="str">
        <f aca="false">IF(MONTH(($G$2+22))&lt;&gt;MONTH($C$2),"",CHOOSE(WEEKDAY(($G$2+22),2),"월","화","수","목","금","토","일")&amp;CHAR(10)&amp;TEXT(($G$2+22),"m/d"))</f>
        <v>화
2/23</v>
      </c>
      <c r="AR16" s="79" t="s">
        <v>91</v>
      </c>
      <c r="AS16" s="87" t="str">
        <f aca="false">IF(OR(AS$4="",MONTH(($G$2+22))&lt;&gt;MONTH($C$2)),"",IF(COUNTIFS(m_teacher,AS$4,m_date,($G$2+22),m_active,1,m_start,"&lt;"&amp;600,m_end,"&gt;"&amp;0)=0,"",IF(COUNTIFS(m_teacher,AS$4,m_date,($G$2+22),m_active,1,m_start,"&lt;"&amp;600,m_end,"&gt;"&amp;0)&gt;1,"충돌",HYPERLINK("#'관리자_MASTER'!D"&amp;_xlfn.MAXIFS(m_row,m_teacher,AS$4,m_date,($G$2+22),m_active,1,m_start,"&lt;"&amp;600,m_end,"&gt;"&amp;0),INDEX(m_label,_xlfn.MAXIFS(m_row,m_teacher,AS$4,m_date,($G$2+22),m_active,1,m_start,"&lt;"&amp;600,m_end,"&gt;"&amp;0))))))</f>
        <v/>
      </c>
      <c r="AT16" s="87" t="str">
        <f aca="false">IF(OR(AT$4="",MONTH(($G$2+22))&lt;&gt;MONTH($C$2)),"",IF(COUNTIFS(m_teacher,AT$4,m_date,($G$2+22),m_active,1,m_start,"&lt;"&amp;600,m_end,"&gt;"&amp;0)=0,"",IF(COUNTIFS(m_teacher,AT$4,m_date,($G$2+22),m_active,1,m_start,"&lt;"&amp;600,m_end,"&gt;"&amp;0)&gt;1,"충돌",HYPERLINK("#'관리자_MASTER'!D"&amp;_xlfn.MAXIFS(m_row,m_teacher,AT$4,m_date,($G$2+22),m_active,1,m_start,"&lt;"&amp;600,m_end,"&gt;"&amp;0),INDEX(m_label,_xlfn.MAXIFS(m_row,m_teacher,AT$4,m_date,($G$2+22),m_active,1,m_start,"&lt;"&amp;600,m_end,"&gt;"&amp;0))))))</f>
        <v/>
      </c>
      <c r="AU16" s="87" t="str">
        <f aca="false">IF(OR(AU$4="",MONTH(($G$2+22))&lt;&gt;MONTH($C$2)),"",IF(COUNTIFS(m_teacher,AU$4,m_date,($G$2+22),m_active,1,m_start,"&lt;"&amp;600,m_end,"&gt;"&amp;0)=0,"",IF(COUNTIFS(m_teacher,AU$4,m_date,($G$2+22),m_active,1,m_start,"&lt;"&amp;600,m_end,"&gt;"&amp;0)&gt;1,"충돌",HYPERLINK("#'관리자_MASTER'!D"&amp;_xlfn.MAXIFS(m_row,m_teacher,AU$4,m_date,($G$2+22),m_active,1,m_start,"&lt;"&amp;600,m_end,"&gt;"&amp;0),INDEX(m_label,_xlfn.MAXIFS(m_row,m_teacher,AU$4,m_date,($G$2+22),m_active,1,m_start,"&lt;"&amp;600,m_end,"&gt;"&amp;0))))))</f>
        <v/>
      </c>
      <c r="AV16" s="87" t="str">
        <f aca="false">IF(OR(AV$4="",MONTH(($G$2+22))&lt;&gt;MONTH($C$2)),"",IF(COUNTIFS(m_teacher,AV$4,m_date,($G$2+22),m_active,1,m_start,"&lt;"&amp;600,m_end,"&gt;"&amp;0)=0,"",IF(COUNTIFS(m_teacher,AV$4,m_date,($G$2+22),m_active,1,m_start,"&lt;"&amp;600,m_end,"&gt;"&amp;0)&gt;1,"충돌",HYPERLINK("#'관리자_MASTER'!D"&amp;_xlfn.MAXIFS(m_row,m_teacher,AV$4,m_date,($G$2+22),m_active,1,m_start,"&lt;"&amp;600,m_end,"&gt;"&amp;0),INDEX(m_label,_xlfn.MAXIFS(m_row,m_teacher,AV$4,m_date,($G$2+22),m_active,1,m_start,"&lt;"&amp;600,m_end,"&gt;"&amp;0))))))</f>
        <v/>
      </c>
      <c r="AW16" s="87" t="str">
        <f aca="false">IF(OR(AW$4="",MONTH(($G$2+22))&lt;&gt;MONTH($C$2)),"",IF(COUNTIFS(m_teacher,AW$4,m_date,($G$2+22),m_active,1,m_start,"&lt;"&amp;600,m_end,"&gt;"&amp;0)=0,"",IF(COUNTIFS(m_teacher,AW$4,m_date,($G$2+22),m_active,1,m_start,"&lt;"&amp;600,m_end,"&gt;"&amp;0)&gt;1,"충돌",HYPERLINK("#'관리자_MASTER'!D"&amp;_xlfn.MAXIFS(m_row,m_teacher,AW$4,m_date,($G$2+22),m_active,1,m_start,"&lt;"&amp;600,m_end,"&gt;"&amp;0),INDEX(m_label,_xlfn.MAXIFS(m_row,m_teacher,AW$4,m_date,($G$2+22),m_active,1,m_start,"&lt;"&amp;600,m_end,"&gt;"&amp;0))))))</f>
        <v/>
      </c>
      <c r="AX16" s="87" t="str">
        <f aca="false">IF(OR(AX$4="",MONTH(($G$2+22))&lt;&gt;MONTH($C$2)),"",IF(COUNTIFS(m_teacher,AX$4,m_date,($G$2+22),m_active,1,m_start,"&lt;"&amp;600,m_end,"&gt;"&amp;0)=0,"",IF(COUNTIFS(m_teacher,AX$4,m_date,($G$2+22),m_active,1,m_start,"&lt;"&amp;600,m_end,"&gt;"&amp;0)&gt;1,"충돌",HYPERLINK("#'관리자_MASTER'!D"&amp;_xlfn.MAXIFS(m_row,m_teacher,AX$4,m_date,($G$2+22),m_active,1,m_start,"&lt;"&amp;600,m_end,"&gt;"&amp;0),INDEX(m_label,_xlfn.MAXIFS(m_row,m_teacher,AX$4,m_date,($G$2+22),m_active,1,m_start,"&lt;"&amp;600,m_end,"&gt;"&amp;0))))))</f>
        <v/>
      </c>
      <c r="AY16" s="87" t="str">
        <f aca="false">IF(OR(AY$4="",MONTH(($G$2+22))&lt;&gt;MONTH($C$2)),"",IF(COUNTIFS(m_teacher,AY$4,m_date,($G$2+22),m_active,1,m_start,"&lt;"&amp;600,m_end,"&gt;"&amp;0)=0,"",IF(COUNTIFS(m_teacher,AY$4,m_date,($G$2+22),m_active,1,m_start,"&lt;"&amp;600,m_end,"&gt;"&amp;0)&gt;1,"충돌",HYPERLINK("#'관리자_MASTER'!D"&amp;_xlfn.MAXIFS(m_row,m_teacher,AY$4,m_date,($G$2+22),m_active,1,m_start,"&lt;"&amp;600,m_end,"&gt;"&amp;0),INDEX(m_label,_xlfn.MAXIFS(m_row,m_teacher,AY$4,m_date,($G$2+22),m_active,1,m_start,"&lt;"&amp;600,m_end,"&gt;"&amp;0))))))</f>
        <v/>
      </c>
      <c r="AZ16" s="87" t="str">
        <f aca="false">IF(OR(AZ$4="",MONTH(($G$2+22))&lt;&gt;MONTH($C$2)),"",IF(COUNTIFS(m_teacher,AZ$4,m_date,($G$2+22),m_active,1,m_start,"&lt;"&amp;600,m_end,"&gt;"&amp;0)=0,"",IF(COUNTIFS(m_teacher,AZ$4,m_date,($G$2+22),m_active,1,m_start,"&lt;"&amp;600,m_end,"&gt;"&amp;0)&gt;1,"충돌",HYPERLINK("#'관리자_MASTER'!D"&amp;_xlfn.MAXIFS(m_row,m_teacher,AZ$4,m_date,($G$2+22),m_active,1,m_start,"&lt;"&amp;600,m_end,"&gt;"&amp;0),INDEX(m_label,_xlfn.MAXIFS(m_row,m_teacher,AZ$4,m_date,($G$2+22),m_active,1,m_start,"&lt;"&amp;600,m_end,"&gt;"&amp;0))))))</f>
        <v/>
      </c>
      <c r="BA16" s="87" t="str">
        <f aca="false">IF(OR(BA$4="",MONTH(($G$2+22))&lt;&gt;MONTH($C$2)),"",IF(COUNTIFS(m_teacher,BA$4,m_date,($G$2+22),m_active,1,m_start,"&lt;"&amp;600,m_end,"&gt;"&amp;0)=0,"",IF(COUNTIFS(m_teacher,BA$4,m_date,($G$2+22),m_active,1,m_start,"&lt;"&amp;600,m_end,"&gt;"&amp;0)&gt;1,"충돌",HYPERLINK("#'관리자_MASTER'!D"&amp;_xlfn.MAXIFS(m_row,m_teacher,BA$4,m_date,($G$2+22),m_active,1,m_start,"&lt;"&amp;600,m_end,"&gt;"&amp;0),INDEX(m_label,_xlfn.MAXIFS(m_row,m_teacher,BA$4,m_date,($G$2+22),m_active,1,m_start,"&lt;"&amp;600,m_end,"&gt;"&amp;0))))))</f>
        <v/>
      </c>
      <c r="BB16" s="87" t="str">
        <f aca="false">IF(OR(BB$4="",MONTH(($G$2+22))&lt;&gt;MONTH($C$2)),"",IF(COUNTIFS(m_teacher,BB$4,m_date,($G$2+22),m_active,1,m_start,"&lt;"&amp;600,m_end,"&gt;"&amp;0)=0,"",IF(COUNTIFS(m_teacher,BB$4,m_date,($G$2+22),m_active,1,m_start,"&lt;"&amp;600,m_end,"&gt;"&amp;0)&gt;1,"충돌",HYPERLINK("#'관리자_MASTER'!D"&amp;_xlfn.MAXIFS(m_row,m_teacher,BB$4,m_date,($G$2+22),m_active,1,m_start,"&lt;"&amp;600,m_end,"&gt;"&amp;0),INDEX(m_label,_xlfn.MAXIFS(m_row,m_teacher,BB$4,m_date,($G$2+22),m_active,1,m_start,"&lt;"&amp;600,m_end,"&gt;"&amp;0))))))</f>
        <v/>
      </c>
      <c r="BC16" s="87" t="str">
        <f aca="false">IF(OR(BC$4="",MONTH(($G$2+22))&lt;&gt;MONTH($C$2)),"",IF(COUNTIFS(m_teacher,BC$4,m_date,($G$2+22),m_active,1,m_start,"&lt;"&amp;600,m_end,"&gt;"&amp;0)=0,"",IF(COUNTIFS(m_teacher,BC$4,m_date,($G$2+22),m_active,1,m_start,"&lt;"&amp;600,m_end,"&gt;"&amp;0)&gt;1,"충돌",HYPERLINK("#'관리자_MASTER'!D"&amp;_xlfn.MAXIFS(m_row,m_teacher,BC$4,m_date,($G$2+22),m_active,1,m_start,"&lt;"&amp;600,m_end,"&gt;"&amp;0),INDEX(m_label,_xlfn.MAXIFS(m_row,m_teacher,BC$4,m_date,($G$2+22),m_active,1,m_start,"&lt;"&amp;600,m_end,"&gt;"&amp;0))))))</f>
        <v/>
      </c>
      <c r="BD16" s="87" t="str">
        <f aca="false">IF(OR(BD$4="",MONTH(($G$2+22))&lt;&gt;MONTH($C$2)),"",IF(COUNTIFS(m_teacher,BD$4,m_date,($G$2+22),m_active,1,m_start,"&lt;"&amp;600,m_end,"&gt;"&amp;0)=0,"",IF(COUNTIFS(m_teacher,BD$4,m_date,($G$2+22),m_active,1,m_start,"&lt;"&amp;600,m_end,"&gt;"&amp;0)&gt;1,"충돌",HYPERLINK("#'관리자_MASTER'!D"&amp;_xlfn.MAXIFS(m_row,m_teacher,BD$4,m_date,($G$2+22),m_active,1,m_start,"&lt;"&amp;600,m_end,"&gt;"&amp;0),INDEX(m_label,_xlfn.MAXIFS(m_row,m_teacher,BD$4,m_date,($G$2+22),m_active,1,m_start,"&lt;"&amp;600,m_end,"&gt;"&amp;0))))))</f>
        <v/>
      </c>
    </row>
    <row r="17" customFormat="false" ht="19.5" hidden="false" customHeight="true" outlineLevel="0" collapsed="false">
      <c r="A17" s="78"/>
      <c r="B17" s="79" t="s">
        <v>92</v>
      </c>
      <c r="C17" s="88" t="str">
        <f aca="false">IF(OR(C$4="",MONTH(($G$2+1))&lt;&gt;MONTH($C$2)),"",IF(COUNTIFS(m_teacher,C$4,m_date,($G$2+1),m_active,1,m_start,"&lt;"&amp;660,m_end,"&gt;"&amp;600)=0,"",IF(COUNTIFS(m_teacher,C$4,m_date,($G$2+1),m_active,1,m_start,"&lt;"&amp;660,m_end,"&gt;"&amp;600)&gt;1,"충돌",HYPERLINK("#'관리자_MASTER'!D"&amp;_xlfn.MAXIFS(m_row,m_teacher,C$4,m_date,($G$2+1),m_active,1,m_start,"&lt;"&amp;660,m_end,"&gt;"&amp;600),INDEX(m_label,_xlfn.MAXIFS(m_row,m_teacher,C$4,m_date,($G$2+1),m_active,1,m_start,"&lt;"&amp;660,m_end,"&gt;"&amp;600))))))</f>
        <v/>
      </c>
      <c r="D17" s="88" t="str">
        <f aca="false">IF(OR(D$4="",MONTH(($G$2+1))&lt;&gt;MONTH($C$2)),"",IF(COUNTIFS(m_teacher,D$4,m_date,($G$2+1),m_active,1,m_start,"&lt;"&amp;660,m_end,"&gt;"&amp;600)=0,"",IF(COUNTIFS(m_teacher,D$4,m_date,($G$2+1),m_active,1,m_start,"&lt;"&amp;660,m_end,"&gt;"&amp;600)&gt;1,"충돌",HYPERLINK("#'관리자_MASTER'!D"&amp;_xlfn.MAXIFS(m_row,m_teacher,D$4,m_date,($G$2+1),m_active,1,m_start,"&lt;"&amp;660,m_end,"&gt;"&amp;600),INDEX(m_label,_xlfn.MAXIFS(m_row,m_teacher,D$4,m_date,($G$2+1),m_active,1,m_start,"&lt;"&amp;660,m_end,"&gt;"&amp;600))))))</f>
        <v/>
      </c>
      <c r="E17" s="88" t="str">
        <f aca="false">IF(OR(E$4="",MONTH(($G$2+1))&lt;&gt;MONTH($C$2)),"",IF(COUNTIFS(m_teacher,E$4,m_date,($G$2+1),m_active,1,m_start,"&lt;"&amp;660,m_end,"&gt;"&amp;600)=0,"",IF(COUNTIFS(m_teacher,E$4,m_date,($G$2+1),m_active,1,m_start,"&lt;"&amp;660,m_end,"&gt;"&amp;600)&gt;1,"충돌",HYPERLINK("#'관리자_MASTER'!D"&amp;_xlfn.MAXIFS(m_row,m_teacher,E$4,m_date,($G$2+1),m_active,1,m_start,"&lt;"&amp;660,m_end,"&gt;"&amp;600),INDEX(m_label,_xlfn.MAXIFS(m_row,m_teacher,E$4,m_date,($G$2+1),m_active,1,m_start,"&lt;"&amp;660,m_end,"&gt;"&amp;600))))))</f>
        <v/>
      </c>
      <c r="F17" s="88" t="str">
        <f aca="false">IF(OR(F$4="",MONTH(($G$2+1))&lt;&gt;MONTH($C$2)),"",IF(COUNTIFS(m_teacher,F$4,m_date,($G$2+1),m_active,1,m_start,"&lt;"&amp;660,m_end,"&gt;"&amp;600)=0,"",IF(COUNTIFS(m_teacher,F$4,m_date,($G$2+1),m_active,1,m_start,"&lt;"&amp;660,m_end,"&gt;"&amp;600)&gt;1,"충돌",HYPERLINK("#'관리자_MASTER'!D"&amp;_xlfn.MAXIFS(m_row,m_teacher,F$4,m_date,($G$2+1),m_active,1,m_start,"&lt;"&amp;660,m_end,"&gt;"&amp;600),INDEX(m_label,_xlfn.MAXIFS(m_row,m_teacher,F$4,m_date,($G$2+1),m_active,1,m_start,"&lt;"&amp;660,m_end,"&gt;"&amp;600))))))</f>
        <v/>
      </c>
      <c r="G17" s="88" t="str">
        <f aca="false">IF(OR(G$4="",MONTH(($G$2+1))&lt;&gt;MONTH($C$2)),"",IF(COUNTIFS(m_teacher,G$4,m_date,($G$2+1),m_active,1,m_start,"&lt;"&amp;660,m_end,"&gt;"&amp;600)=0,"",IF(COUNTIFS(m_teacher,G$4,m_date,($G$2+1),m_active,1,m_start,"&lt;"&amp;660,m_end,"&gt;"&amp;600)&gt;1,"충돌",HYPERLINK("#'관리자_MASTER'!D"&amp;_xlfn.MAXIFS(m_row,m_teacher,G$4,m_date,($G$2+1),m_active,1,m_start,"&lt;"&amp;660,m_end,"&gt;"&amp;600),INDEX(m_label,_xlfn.MAXIFS(m_row,m_teacher,G$4,m_date,($G$2+1),m_active,1,m_start,"&lt;"&amp;660,m_end,"&gt;"&amp;600))))))</f>
        <v/>
      </c>
      <c r="H17" s="88" t="str">
        <f aca="false">IF(OR(H$4="",MONTH(($G$2+1))&lt;&gt;MONTH($C$2)),"",IF(COUNTIFS(m_teacher,H$4,m_date,($G$2+1),m_active,1,m_start,"&lt;"&amp;660,m_end,"&gt;"&amp;600)=0,"",IF(COUNTIFS(m_teacher,H$4,m_date,($G$2+1),m_active,1,m_start,"&lt;"&amp;660,m_end,"&gt;"&amp;600)&gt;1,"충돌",HYPERLINK("#'관리자_MASTER'!D"&amp;_xlfn.MAXIFS(m_row,m_teacher,H$4,m_date,($G$2+1),m_active,1,m_start,"&lt;"&amp;660,m_end,"&gt;"&amp;600),INDEX(m_label,_xlfn.MAXIFS(m_row,m_teacher,H$4,m_date,($G$2+1),m_active,1,m_start,"&lt;"&amp;660,m_end,"&gt;"&amp;600))))))</f>
        <v/>
      </c>
      <c r="I17" s="88" t="str">
        <f aca="false">IF(OR(I$4="",MONTH(($G$2+1))&lt;&gt;MONTH($C$2)),"",IF(COUNTIFS(m_teacher,I$4,m_date,($G$2+1),m_active,1,m_start,"&lt;"&amp;660,m_end,"&gt;"&amp;600)=0,"",IF(COUNTIFS(m_teacher,I$4,m_date,($G$2+1),m_active,1,m_start,"&lt;"&amp;660,m_end,"&gt;"&amp;600)&gt;1,"충돌",HYPERLINK("#'관리자_MASTER'!D"&amp;_xlfn.MAXIFS(m_row,m_teacher,I$4,m_date,($G$2+1),m_active,1,m_start,"&lt;"&amp;660,m_end,"&gt;"&amp;600),INDEX(m_label,_xlfn.MAXIFS(m_row,m_teacher,I$4,m_date,($G$2+1),m_active,1,m_start,"&lt;"&amp;660,m_end,"&gt;"&amp;600))))))</f>
        <v/>
      </c>
      <c r="J17" s="88" t="str">
        <f aca="false">IF(OR(J$4="",MONTH(($G$2+1))&lt;&gt;MONTH($C$2)),"",IF(COUNTIFS(m_teacher,J$4,m_date,($G$2+1),m_active,1,m_start,"&lt;"&amp;660,m_end,"&gt;"&amp;600)=0,"",IF(COUNTIFS(m_teacher,J$4,m_date,($G$2+1),m_active,1,m_start,"&lt;"&amp;660,m_end,"&gt;"&amp;600)&gt;1,"충돌",HYPERLINK("#'관리자_MASTER'!D"&amp;_xlfn.MAXIFS(m_row,m_teacher,J$4,m_date,($G$2+1),m_active,1,m_start,"&lt;"&amp;660,m_end,"&gt;"&amp;600),INDEX(m_label,_xlfn.MAXIFS(m_row,m_teacher,J$4,m_date,($G$2+1),m_active,1,m_start,"&lt;"&amp;660,m_end,"&gt;"&amp;600))))))</f>
        <v/>
      </c>
      <c r="K17" s="88" t="str">
        <f aca="false">IF(OR(K$4="",MONTH(($G$2+1))&lt;&gt;MONTH($C$2)),"",IF(COUNTIFS(m_teacher,K$4,m_date,($G$2+1),m_active,1,m_start,"&lt;"&amp;660,m_end,"&gt;"&amp;600)=0,"",IF(COUNTIFS(m_teacher,K$4,m_date,($G$2+1),m_active,1,m_start,"&lt;"&amp;660,m_end,"&gt;"&amp;600)&gt;1,"충돌",HYPERLINK("#'관리자_MASTER'!D"&amp;_xlfn.MAXIFS(m_row,m_teacher,K$4,m_date,($G$2+1),m_active,1,m_start,"&lt;"&amp;660,m_end,"&gt;"&amp;600),INDEX(m_label,_xlfn.MAXIFS(m_row,m_teacher,K$4,m_date,($G$2+1),m_active,1,m_start,"&lt;"&amp;660,m_end,"&gt;"&amp;600))))))</f>
        <v/>
      </c>
      <c r="L17" s="88" t="str">
        <f aca="false">IF(OR(L$4="",MONTH(($G$2+1))&lt;&gt;MONTH($C$2)),"",IF(COUNTIFS(m_teacher,L$4,m_date,($G$2+1),m_active,1,m_start,"&lt;"&amp;660,m_end,"&gt;"&amp;600)=0,"",IF(COUNTIFS(m_teacher,L$4,m_date,($G$2+1),m_active,1,m_start,"&lt;"&amp;660,m_end,"&gt;"&amp;600)&gt;1,"충돌",HYPERLINK("#'관리자_MASTER'!D"&amp;_xlfn.MAXIFS(m_row,m_teacher,L$4,m_date,($G$2+1),m_active,1,m_start,"&lt;"&amp;660,m_end,"&gt;"&amp;600),INDEX(m_label,_xlfn.MAXIFS(m_row,m_teacher,L$4,m_date,($G$2+1),m_active,1,m_start,"&lt;"&amp;660,m_end,"&gt;"&amp;600))))))</f>
        <v/>
      </c>
      <c r="M17" s="88" t="str">
        <f aca="false">IF(OR(M$4="",MONTH(($G$2+1))&lt;&gt;MONTH($C$2)),"",IF(COUNTIFS(m_teacher,M$4,m_date,($G$2+1),m_active,1,m_start,"&lt;"&amp;660,m_end,"&gt;"&amp;600)=0,"",IF(COUNTIFS(m_teacher,M$4,m_date,($G$2+1),m_active,1,m_start,"&lt;"&amp;660,m_end,"&gt;"&amp;600)&gt;1,"충돌",HYPERLINK("#'관리자_MASTER'!D"&amp;_xlfn.MAXIFS(m_row,m_teacher,M$4,m_date,($G$2+1),m_active,1,m_start,"&lt;"&amp;660,m_end,"&gt;"&amp;600),INDEX(m_label,_xlfn.MAXIFS(m_row,m_teacher,M$4,m_date,($G$2+1),m_active,1,m_start,"&lt;"&amp;660,m_end,"&gt;"&amp;600))))))</f>
        <v/>
      </c>
      <c r="N17" s="88" t="str">
        <f aca="false">IF(OR(N$4="",MONTH(($G$2+1))&lt;&gt;MONTH($C$2)),"",IF(COUNTIFS(m_teacher,N$4,m_date,($G$2+1),m_active,1,m_start,"&lt;"&amp;660,m_end,"&gt;"&amp;600)=0,"",IF(COUNTIFS(m_teacher,N$4,m_date,($G$2+1),m_active,1,m_start,"&lt;"&amp;660,m_end,"&gt;"&amp;600)&gt;1,"충돌",HYPERLINK("#'관리자_MASTER'!D"&amp;_xlfn.MAXIFS(m_row,m_teacher,N$4,m_date,($G$2+1),m_active,1,m_start,"&lt;"&amp;660,m_end,"&gt;"&amp;600),INDEX(m_label,_xlfn.MAXIFS(m_row,m_teacher,N$4,m_date,($G$2+1),m_active,1,m_start,"&lt;"&amp;660,m_end,"&gt;"&amp;600))))))</f>
        <v/>
      </c>
      <c r="O17" s="78"/>
      <c r="P17" s="79" t="s">
        <v>92</v>
      </c>
      <c r="Q17" s="88" t="str">
        <f aca="false">IF(OR(Q$4="",MONTH(($G$2+8))&lt;&gt;MONTH($C$2)),"",IF(COUNTIFS(m_teacher,Q$4,m_date,($G$2+8),m_active,1,m_start,"&lt;"&amp;660,m_end,"&gt;"&amp;600)=0,"",IF(COUNTIFS(m_teacher,Q$4,m_date,($G$2+8),m_active,1,m_start,"&lt;"&amp;660,m_end,"&gt;"&amp;600)&gt;1,"충돌",HYPERLINK("#'관리자_MASTER'!D"&amp;_xlfn.MAXIFS(m_row,m_teacher,Q$4,m_date,($G$2+8),m_active,1,m_start,"&lt;"&amp;660,m_end,"&gt;"&amp;600),INDEX(m_label,_xlfn.MAXIFS(m_row,m_teacher,Q$4,m_date,($G$2+8),m_active,1,m_start,"&lt;"&amp;660,m_end,"&gt;"&amp;600))))))</f>
        <v/>
      </c>
      <c r="R17" s="88" t="str">
        <f aca="false">IF(OR(R$4="",MONTH(($G$2+8))&lt;&gt;MONTH($C$2)),"",IF(COUNTIFS(m_teacher,R$4,m_date,($G$2+8),m_active,1,m_start,"&lt;"&amp;660,m_end,"&gt;"&amp;600)=0,"",IF(COUNTIFS(m_teacher,R$4,m_date,($G$2+8),m_active,1,m_start,"&lt;"&amp;660,m_end,"&gt;"&amp;600)&gt;1,"충돌",HYPERLINK("#'관리자_MASTER'!D"&amp;_xlfn.MAXIFS(m_row,m_teacher,R$4,m_date,($G$2+8),m_active,1,m_start,"&lt;"&amp;660,m_end,"&gt;"&amp;600),INDEX(m_label,_xlfn.MAXIFS(m_row,m_teacher,R$4,m_date,($G$2+8),m_active,1,m_start,"&lt;"&amp;660,m_end,"&gt;"&amp;600))))))</f>
        <v/>
      </c>
      <c r="S17" s="88" t="str">
        <f aca="false">IF(OR(S$4="",MONTH(($G$2+8))&lt;&gt;MONTH($C$2)),"",IF(COUNTIFS(m_teacher,S$4,m_date,($G$2+8),m_active,1,m_start,"&lt;"&amp;660,m_end,"&gt;"&amp;600)=0,"",IF(COUNTIFS(m_teacher,S$4,m_date,($G$2+8),m_active,1,m_start,"&lt;"&amp;660,m_end,"&gt;"&amp;600)&gt;1,"충돌",HYPERLINK("#'관리자_MASTER'!D"&amp;_xlfn.MAXIFS(m_row,m_teacher,S$4,m_date,($G$2+8),m_active,1,m_start,"&lt;"&amp;660,m_end,"&gt;"&amp;600),INDEX(m_label,_xlfn.MAXIFS(m_row,m_teacher,S$4,m_date,($G$2+8),m_active,1,m_start,"&lt;"&amp;660,m_end,"&gt;"&amp;600))))))</f>
        <v/>
      </c>
      <c r="T17" s="88" t="str">
        <f aca="false">IF(OR(T$4="",MONTH(($G$2+8))&lt;&gt;MONTH($C$2)),"",IF(COUNTIFS(m_teacher,T$4,m_date,($G$2+8),m_active,1,m_start,"&lt;"&amp;660,m_end,"&gt;"&amp;600)=0,"",IF(COUNTIFS(m_teacher,T$4,m_date,($G$2+8),m_active,1,m_start,"&lt;"&amp;660,m_end,"&gt;"&amp;600)&gt;1,"충돌",HYPERLINK("#'관리자_MASTER'!D"&amp;_xlfn.MAXIFS(m_row,m_teacher,T$4,m_date,($G$2+8),m_active,1,m_start,"&lt;"&amp;660,m_end,"&gt;"&amp;600),INDEX(m_label,_xlfn.MAXIFS(m_row,m_teacher,T$4,m_date,($G$2+8),m_active,1,m_start,"&lt;"&amp;660,m_end,"&gt;"&amp;600))))))</f>
        <v/>
      </c>
      <c r="U17" s="88" t="str">
        <f aca="false">IF(OR(U$4="",MONTH(($G$2+8))&lt;&gt;MONTH($C$2)),"",IF(COUNTIFS(m_teacher,U$4,m_date,($G$2+8),m_active,1,m_start,"&lt;"&amp;660,m_end,"&gt;"&amp;600)=0,"",IF(COUNTIFS(m_teacher,U$4,m_date,($G$2+8),m_active,1,m_start,"&lt;"&amp;660,m_end,"&gt;"&amp;600)&gt;1,"충돌",HYPERLINK("#'관리자_MASTER'!D"&amp;_xlfn.MAXIFS(m_row,m_teacher,U$4,m_date,($G$2+8),m_active,1,m_start,"&lt;"&amp;660,m_end,"&gt;"&amp;600),INDEX(m_label,_xlfn.MAXIFS(m_row,m_teacher,U$4,m_date,($G$2+8),m_active,1,m_start,"&lt;"&amp;660,m_end,"&gt;"&amp;600))))))</f>
        <v/>
      </c>
      <c r="V17" s="88" t="str">
        <f aca="false">IF(OR(V$4="",MONTH(($G$2+8))&lt;&gt;MONTH($C$2)),"",IF(COUNTIFS(m_teacher,V$4,m_date,($G$2+8),m_active,1,m_start,"&lt;"&amp;660,m_end,"&gt;"&amp;600)=0,"",IF(COUNTIFS(m_teacher,V$4,m_date,($G$2+8),m_active,1,m_start,"&lt;"&amp;660,m_end,"&gt;"&amp;600)&gt;1,"충돌",HYPERLINK("#'관리자_MASTER'!D"&amp;_xlfn.MAXIFS(m_row,m_teacher,V$4,m_date,($G$2+8),m_active,1,m_start,"&lt;"&amp;660,m_end,"&gt;"&amp;600),INDEX(m_label,_xlfn.MAXIFS(m_row,m_teacher,V$4,m_date,($G$2+8),m_active,1,m_start,"&lt;"&amp;660,m_end,"&gt;"&amp;600))))))</f>
        <v/>
      </c>
      <c r="W17" s="88" t="str">
        <f aca="false">IF(OR(W$4="",MONTH(($G$2+8))&lt;&gt;MONTH($C$2)),"",IF(COUNTIFS(m_teacher,W$4,m_date,($G$2+8),m_active,1,m_start,"&lt;"&amp;660,m_end,"&gt;"&amp;600)=0,"",IF(COUNTIFS(m_teacher,W$4,m_date,($G$2+8),m_active,1,m_start,"&lt;"&amp;660,m_end,"&gt;"&amp;600)&gt;1,"충돌",HYPERLINK("#'관리자_MASTER'!D"&amp;_xlfn.MAXIFS(m_row,m_teacher,W$4,m_date,($G$2+8),m_active,1,m_start,"&lt;"&amp;660,m_end,"&gt;"&amp;600),INDEX(m_label,_xlfn.MAXIFS(m_row,m_teacher,W$4,m_date,($G$2+8),m_active,1,m_start,"&lt;"&amp;660,m_end,"&gt;"&amp;600))))))</f>
        <v/>
      </c>
      <c r="X17" s="88" t="str">
        <f aca="false">IF(OR(X$4="",MONTH(($G$2+8))&lt;&gt;MONTH($C$2)),"",IF(COUNTIFS(m_teacher,X$4,m_date,($G$2+8),m_active,1,m_start,"&lt;"&amp;660,m_end,"&gt;"&amp;600)=0,"",IF(COUNTIFS(m_teacher,X$4,m_date,($G$2+8),m_active,1,m_start,"&lt;"&amp;660,m_end,"&gt;"&amp;600)&gt;1,"충돌",HYPERLINK("#'관리자_MASTER'!D"&amp;_xlfn.MAXIFS(m_row,m_teacher,X$4,m_date,($G$2+8),m_active,1,m_start,"&lt;"&amp;660,m_end,"&gt;"&amp;600),INDEX(m_label,_xlfn.MAXIFS(m_row,m_teacher,X$4,m_date,($G$2+8),m_active,1,m_start,"&lt;"&amp;660,m_end,"&gt;"&amp;600))))))</f>
        <v/>
      </c>
      <c r="Y17" s="88" t="str">
        <f aca="false">IF(OR(Y$4="",MONTH(($G$2+8))&lt;&gt;MONTH($C$2)),"",IF(COUNTIFS(m_teacher,Y$4,m_date,($G$2+8),m_active,1,m_start,"&lt;"&amp;660,m_end,"&gt;"&amp;600)=0,"",IF(COUNTIFS(m_teacher,Y$4,m_date,($G$2+8),m_active,1,m_start,"&lt;"&amp;660,m_end,"&gt;"&amp;600)&gt;1,"충돌",HYPERLINK("#'관리자_MASTER'!D"&amp;_xlfn.MAXIFS(m_row,m_teacher,Y$4,m_date,($G$2+8),m_active,1,m_start,"&lt;"&amp;660,m_end,"&gt;"&amp;600),INDEX(m_label,_xlfn.MAXIFS(m_row,m_teacher,Y$4,m_date,($G$2+8),m_active,1,m_start,"&lt;"&amp;660,m_end,"&gt;"&amp;600))))))</f>
        <v/>
      </c>
      <c r="Z17" s="88" t="str">
        <f aca="false">IF(OR(Z$4="",MONTH(($G$2+8))&lt;&gt;MONTH($C$2)),"",IF(COUNTIFS(m_teacher,Z$4,m_date,($G$2+8),m_active,1,m_start,"&lt;"&amp;660,m_end,"&gt;"&amp;600)=0,"",IF(COUNTIFS(m_teacher,Z$4,m_date,($G$2+8),m_active,1,m_start,"&lt;"&amp;660,m_end,"&gt;"&amp;600)&gt;1,"충돌",HYPERLINK("#'관리자_MASTER'!D"&amp;_xlfn.MAXIFS(m_row,m_teacher,Z$4,m_date,($G$2+8),m_active,1,m_start,"&lt;"&amp;660,m_end,"&gt;"&amp;600),INDEX(m_label,_xlfn.MAXIFS(m_row,m_teacher,Z$4,m_date,($G$2+8),m_active,1,m_start,"&lt;"&amp;660,m_end,"&gt;"&amp;600))))))</f>
        <v/>
      </c>
      <c r="AA17" s="88" t="str">
        <f aca="false">IF(OR(AA$4="",MONTH(($G$2+8))&lt;&gt;MONTH($C$2)),"",IF(COUNTIFS(m_teacher,AA$4,m_date,($G$2+8),m_active,1,m_start,"&lt;"&amp;660,m_end,"&gt;"&amp;600)=0,"",IF(COUNTIFS(m_teacher,AA$4,m_date,($G$2+8),m_active,1,m_start,"&lt;"&amp;660,m_end,"&gt;"&amp;600)&gt;1,"충돌",HYPERLINK("#'관리자_MASTER'!D"&amp;_xlfn.MAXIFS(m_row,m_teacher,AA$4,m_date,($G$2+8),m_active,1,m_start,"&lt;"&amp;660,m_end,"&gt;"&amp;600),INDEX(m_label,_xlfn.MAXIFS(m_row,m_teacher,AA$4,m_date,($G$2+8),m_active,1,m_start,"&lt;"&amp;660,m_end,"&gt;"&amp;600))))))</f>
        <v/>
      </c>
      <c r="AB17" s="88" t="str">
        <f aca="false">IF(OR(AB$4="",MONTH(($G$2+8))&lt;&gt;MONTH($C$2)),"",IF(COUNTIFS(m_teacher,AB$4,m_date,($G$2+8),m_active,1,m_start,"&lt;"&amp;660,m_end,"&gt;"&amp;600)=0,"",IF(COUNTIFS(m_teacher,AB$4,m_date,($G$2+8),m_active,1,m_start,"&lt;"&amp;660,m_end,"&gt;"&amp;600)&gt;1,"충돌",HYPERLINK("#'관리자_MASTER'!D"&amp;_xlfn.MAXIFS(m_row,m_teacher,AB$4,m_date,($G$2+8),m_active,1,m_start,"&lt;"&amp;660,m_end,"&gt;"&amp;600),INDEX(m_label,_xlfn.MAXIFS(m_row,m_teacher,AB$4,m_date,($G$2+8),m_active,1,m_start,"&lt;"&amp;660,m_end,"&gt;"&amp;600))))))</f>
        <v/>
      </c>
      <c r="AC17" s="78"/>
      <c r="AD17" s="79" t="s">
        <v>92</v>
      </c>
      <c r="AE17" s="88" t="str">
        <f aca="false">IF(OR(AE$4="",MONTH(($G$2+15))&lt;&gt;MONTH($C$2)),"",IF(COUNTIFS(m_teacher,AE$4,m_date,($G$2+15),m_active,1,m_start,"&lt;"&amp;660,m_end,"&gt;"&amp;600)=0,"",IF(COUNTIFS(m_teacher,AE$4,m_date,($G$2+15),m_active,1,m_start,"&lt;"&amp;660,m_end,"&gt;"&amp;600)&gt;1,"충돌",HYPERLINK("#'관리자_MASTER'!D"&amp;_xlfn.MAXIFS(m_row,m_teacher,AE$4,m_date,($G$2+15),m_active,1,m_start,"&lt;"&amp;660,m_end,"&gt;"&amp;600),INDEX(m_label,_xlfn.MAXIFS(m_row,m_teacher,AE$4,m_date,($G$2+15),m_active,1,m_start,"&lt;"&amp;660,m_end,"&gt;"&amp;600))))))</f>
        <v/>
      </c>
      <c r="AF17" s="88" t="str">
        <f aca="false">IF(OR(AF$4="",MONTH(($G$2+15))&lt;&gt;MONTH($C$2)),"",IF(COUNTIFS(m_teacher,AF$4,m_date,($G$2+15),m_active,1,m_start,"&lt;"&amp;660,m_end,"&gt;"&amp;600)=0,"",IF(COUNTIFS(m_teacher,AF$4,m_date,($G$2+15),m_active,1,m_start,"&lt;"&amp;660,m_end,"&gt;"&amp;600)&gt;1,"충돌",HYPERLINK("#'관리자_MASTER'!D"&amp;_xlfn.MAXIFS(m_row,m_teacher,AF$4,m_date,($G$2+15),m_active,1,m_start,"&lt;"&amp;660,m_end,"&gt;"&amp;600),INDEX(m_label,_xlfn.MAXIFS(m_row,m_teacher,AF$4,m_date,($G$2+15),m_active,1,m_start,"&lt;"&amp;660,m_end,"&gt;"&amp;600))))))</f>
        <v/>
      </c>
      <c r="AG17" s="88" t="str">
        <f aca="false">IF(OR(AG$4="",MONTH(($G$2+15))&lt;&gt;MONTH($C$2)),"",IF(COUNTIFS(m_teacher,AG$4,m_date,($G$2+15),m_active,1,m_start,"&lt;"&amp;660,m_end,"&gt;"&amp;600)=0,"",IF(COUNTIFS(m_teacher,AG$4,m_date,($G$2+15),m_active,1,m_start,"&lt;"&amp;660,m_end,"&gt;"&amp;600)&gt;1,"충돌",HYPERLINK("#'관리자_MASTER'!D"&amp;_xlfn.MAXIFS(m_row,m_teacher,AG$4,m_date,($G$2+15),m_active,1,m_start,"&lt;"&amp;660,m_end,"&gt;"&amp;600),INDEX(m_label,_xlfn.MAXIFS(m_row,m_teacher,AG$4,m_date,($G$2+15),m_active,1,m_start,"&lt;"&amp;660,m_end,"&gt;"&amp;600))))))</f>
        <v/>
      </c>
      <c r="AH17" s="88" t="str">
        <f aca="false">IF(OR(AH$4="",MONTH(($G$2+15))&lt;&gt;MONTH($C$2)),"",IF(COUNTIFS(m_teacher,AH$4,m_date,($G$2+15),m_active,1,m_start,"&lt;"&amp;660,m_end,"&gt;"&amp;600)=0,"",IF(COUNTIFS(m_teacher,AH$4,m_date,($G$2+15),m_active,1,m_start,"&lt;"&amp;660,m_end,"&gt;"&amp;600)&gt;1,"충돌",HYPERLINK("#'관리자_MASTER'!D"&amp;_xlfn.MAXIFS(m_row,m_teacher,AH$4,m_date,($G$2+15),m_active,1,m_start,"&lt;"&amp;660,m_end,"&gt;"&amp;600),INDEX(m_label,_xlfn.MAXIFS(m_row,m_teacher,AH$4,m_date,($G$2+15),m_active,1,m_start,"&lt;"&amp;660,m_end,"&gt;"&amp;600))))))</f>
        <v/>
      </c>
      <c r="AI17" s="88" t="str">
        <f aca="false">IF(OR(AI$4="",MONTH(($G$2+15))&lt;&gt;MONTH($C$2)),"",IF(COUNTIFS(m_teacher,AI$4,m_date,($G$2+15),m_active,1,m_start,"&lt;"&amp;660,m_end,"&gt;"&amp;600)=0,"",IF(COUNTIFS(m_teacher,AI$4,m_date,($G$2+15),m_active,1,m_start,"&lt;"&amp;660,m_end,"&gt;"&amp;600)&gt;1,"충돌",HYPERLINK("#'관리자_MASTER'!D"&amp;_xlfn.MAXIFS(m_row,m_teacher,AI$4,m_date,($G$2+15),m_active,1,m_start,"&lt;"&amp;660,m_end,"&gt;"&amp;600),INDEX(m_label,_xlfn.MAXIFS(m_row,m_teacher,AI$4,m_date,($G$2+15),m_active,1,m_start,"&lt;"&amp;660,m_end,"&gt;"&amp;600))))))</f>
        <v/>
      </c>
      <c r="AJ17" s="88" t="str">
        <f aca="false">IF(OR(AJ$4="",MONTH(($G$2+15))&lt;&gt;MONTH($C$2)),"",IF(COUNTIFS(m_teacher,AJ$4,m_date,($G$2+15),m_active,1,m_start,"&lt;"&amp;660,m_end,"&gt;"&amp;600)=0,"",IF(COUNTIFS(m_teacher,AJ$4,m_date,($G$2+15),m_active,1,m_start,"&lt;"&amp;660,m_end,"&gt;"&amp;600)&gt;1,"충돌",HYPERLINK("#'관리자_MASTER'!D"&amp;_xlfn.MAXIFS(m_row,m_teacher,AJ$4,m_date,($G$2+15),m_active,1,m_start,"&lt;"&amp;660,m_end,"&gt;"&amp;600),INDEX(m_label,_xlfn.MAXIFS(m_row,m_teacher,AJ$4,m_date,($G$2+15),m_active,1,m_start,"&lt;"&amp;660,m_end,"&gt;"&amp;600))))))</f>
        <v/>
      </c>
      <c r="AK17" s="88" t="str">
        <f aca="false">IF(OR(AK$4="",MONTH(($G$2+15))&lt;&gt;MONTH($C$2)),"",IF(COUNTIFS(m_teacher,AK$4,m_date,($G$2+15),m_active,1,m_start,"&lt;"&amp;660,m_end,"&gt;"&amp;600)=0,"",IF(COUNTIFS(m_teacher,AK$4,m_date,($G$2+15),m_active,1,m_start,"&lt;"&amp;660,m_end,"&gt;"&amp;600)&gt;1,"충돌",HYPERLINK("#'관리자_MASTER'!D"&amp;_xlfn.MAXIFS(m_row,m_teacher,AK$4,m_date,($G$2+15),m_active,1,m_start,"&lt;"&amp;660,m_end,"&gt;"&amp;600),INDEX(m_label,_xlfn.MAXIFS(m_row,m_teacher,AK$4,m_date,($G$2+15),m_active,1,m_start,"&lt;"&amp;660,m_end,"&gt;"&amp;600))))))</f>
        <v/>
      </c>
      <c r="AL17" s="88" t="str">
        <f aca="false">IF(OR(AL$4="",MONTH(($G$2+15))&lt;&gt;MONTH($C$2)),"",IF(COUNTIFS(m_teacher,AL$4,m_date,($G$2+15),m_active,1,m_start,"&lt;"&amp;660,m_end,"&gt;"&amp;600)=0,"",IF(COUNTIFS(m_teacher,AL$4,m_date,($G$2+15),m_active,1,m_start,"&lt;"&amp;660,m_end,"&gt;"&amp;600)&gt;1,"충돌",HYPERLINK("#'관리자_MASTER'!D"&amp;_xlfn.MAXIFS(m_row,m_teacher,AL$4,m_date,($G$2+15),m_active,1,m_start,"&lt;"&amp;660,m_end,"&gt;"&amp;600),INDEX(m_label,_xlfn.MAXIFS(m_row,m_teacher,AL$4,m_date,($G$2+15),m_active,1,m_start,"&lt;"&amp;660,m_end,"&gt;"&amp;600))))))</f>
        <v/>
      </c>
      <c r="AM17" s="88" t="str">
        <f aca="false">IF(OR(AM$4="",MONTH(($G$2+15))&lt;&gt;MONTH($C$2)),"",IF(COUNTIFS(m_teacher,AM$4,m_date,($G$2+15),m_active,1,m_start,"&lt;"&amp;660,m_end,"&gt;"&amp;600)=0,"",IF(COUNTIFS(m_teacher,AM$4,m_date,($G$2+15),m_active,1,m_start,"&lt;"&amp;660,m_end,"&gt;"&amp;600)&gt;1,"충돌",HYPERLINK("#'관리자_MASTER'!D"&amp;_xlfn.MAXIFS(m_row,m_teacher,AM$4,m_date,($G$2+15),m_active,1,m_start,"&lt;"&amp;660,m_end,"&gt;"&amp;600),INDEX(m_label,_xlfn.MAXIFS(m_row,m_teacher,AM$4,m_date,($G$2+15),m_active,1,m_start,"&lt;"&amp;660,m_end,"&gt;"&amp;600))))))</f>
        <v/>
      </c>
      <c r="AN17" s="88" t="str">
        <f aca="false">IF(OR(AN$4="",MONTH(($G$2+15))&lt;&gt;MONTH($C$2)),"",IF(COUNTIFS(m_teacher,AN$4,m_date,($G$2+15),m_active,1,m_start,"&lt;"&amp;660,m_end,"&gt;"&amp;600)=0,"",IF(COUNTIFS(m_teacher,AN$4,m_date,($G$2+15),m_active,1,m_start,"&lt;"&amp;660,m_end,"&gt;"&amp;600)&gt;1,"충돌",HYPERLINK("#'관리자_MASTER'!D"&amp;_xlfn.MAXIFS(m_row,m_teacher,AN$4,m_date,($G$2+15),m_active,1,m_start,"&lt;"&amp;660,m_end,"&gt;"&amp;600),INDEX(m_label,_xlfn.MAXIFS(m_row,m_teacher,AN$4,m_date,($G$2+15),m_active,1,m_start,"&lt;"&amp;660,m_end,"&gt;"&amp;600))))))</f>
        <v/>
      </c>
      <c r="AO17" s="88" t="str">
        <f aca="false">IF(OR(AO$4="",MONTH(($G$2+15))&lt;&gt;MONTH($C$2)),"",IF(COUNTIFS(m_teacher,AO$4,m_date,($G$2+15),m_active,1,m_start,"&lt;"&amp;660,m_end,"&gt;"&amp;600)=0,"",IF(COUNTIFS(m_teacher,AO$4,m_date,($G$2+15),m_active,1,m_start,"&lt;"&amp;660,m_end,"&gt;"&amp;600)&gt;1,"충돌",HYPERLINK("#'관리자_MASTER'!D"&amp;_xlfn.MAXIFS(m_row,m_teacher,AO$4,m_date,($G$2+15),m_active,1,m_start,"&lt;"&amp;660,m_end,"&gt;"&amp;600),INDEX(m_label,_xlfn.MAXIFS(m_row,m_teacher,AO$4,m_date,($G$2+15),m_active,1,m_start,"&lt;"&amp;660,m_end,"&gt;"&amp;600))))))</f>
        <v/>
      </c>
      <c r="AP17" s="88" t="str">
        <f aca="false">IF(OR(AP$4="",MONTH(($G$2+15))&lt;&gt;MONTH($C$2)),"",IF(COUNTIFS(m_teacher,AP$4,m_date,($G$2+15),m_active,1,m_start,"&lt;"&amp;660,m_end,"&gt;"&amp;600)=0,"",IF(COUNTIFS(m_teacher,AP$4,m_date,($G$2+15),m_active,1,m_start,"&lt;"&amp;660,m_end,"&gt;"&amp;600)&gt;1,"충돌",HYPERLINK("#'관리자_MASTER'!D"&amp;_xlfn.MAXIFS(m_row,m_teacher,AP$4,m_date,($G$2+15),m_active,1,m_start,"&lt;"&amp;660,m_end,"&gt;"&amp;600),INDEX(m_label,_xlfn.MAXIFS(m_row,m_teacher,AP$4,m_date,($G$2+15),m_active,1,m_start,"&lt;"&amp;660,m_end,"&gt;"&amp;600))))))</f>
        <v/>
      </c>
      <c r="AQ17" s="78"/>
      <c r="AR17" s="79" t="s">
        <v>92</v>
      </c>
      <c r="AS17" s="88" t="str">
        <f aca="false">IF(OR(AS$4="",MONTH(($G$2+22))&lt;&gt;MONTH($C$2)),"",IF(COUNTIFS(m_teacher,AS$4,m_date,($G$2+22),m_active,1,m_start,"&lt;"&amp;660,m_end,"&gt;"&amp;600)=0,"",IF(COUNTIFS(m_teacher,AS$4,m_date,($G$2+22),m_active,1,m_start,"&lt;"&amp;660,m_end,"&gt;"&amp;600)&gt;1,"충돌",HYPERLINK("#'관리자_MASTER'!D"&amp;_xlfn.MAXIFS(m_row,m_teacher,AS$4,m_date,($G$2+22),m_active,1,m_start,"&lt;"&amp;660,m_end,"&gt;"&amp;600),INDEX(m_label,_xlfn.MAXIFS(m_row,m_teacher,AS$4,m_date,($G$2+22),m_active,1,m_start,"&lt;"&amp;660,m_end,"&gt;"&amp;600))))))</f>
        <v/>
      </c>
      <c r="AT17" s="88" t="str">
        <f aca="false">IF(OR(AT$4="",MONTH(($G$2+22))&lt;&gt;MONTH($C$2)),"",IF(COUNTIFS(m_teacher,AT$4,m_date,($G$2+22),m_active,1,m_start,"&lt;"&amp;660,m_end,"&gt;"&amp;600)=0,"",IF(COUNTIFS(m_teacher,AT$4,m_date,($G$2+22),m_active,1,m_start,"&lt;"&amp;660,m_end,"&gt;"&amp;600)&gt;1,"충돌",HYPERLINK("#'관리자_MASTER'!D"&amp;_xlfn.MAXIFS(m_row,m_teacher,AT$4,m_date,($G$2+22),m_active,1,m_start,"&lt;"&amp;660,m_end,"&gt;"&amp;600),INDEX(m_label,_xlfn.MAXIFS(m_row,m_teacher,AT$4,m_date,($G$2+22),m_active,1,m_start,"&lt;"&amp;660,m_end,"&gt;"&amp;600))))))</f>
        <v/>
      </c>
      <c r="AU17" s="88" t="str">
        <f aca="false">IF(OR(AU$4="",MONTH(($G$2+22))&lt;&gt;MONTH($C$2)),"",IF(COUNTIFS(m_teacher,AU$4,m_date,($G$2+22),m_active,1,m_start,"&lt;"&amp;660,m_end,"&gt;"&amp;600)=0,"",IF(COUNTIFS(m_teacher,AU$4,m_date,($G$2+22),m_active,1,m_start,"&lt;"&amp;660,m_end,"&gt;"&amp;600)&gt;1,"충돌",HYPERLINK("#'관리자_MASTER'!D"&amp;_xlfn.MAXIFS(m_row,m_teacher,AU$4,m_date,($G$2+22),m_active,1,m_start,"&lt;"&amp;660,m_end,"&gt;"&amp;600),INDEX(m_label,_xlfn.MAXIFS(m_row,m_teacher,AU$4,m_date,($G$2+22),m_active,1,m_start,"&lt;"&amp;660,m_end,"&gt;"&amp;600))))))</f>
        <v/>
      </c>
      <c r="AV17" s="88" t="str">
        <f aca="false">IF(OR(AV$4="",MONTH(($G$2+22))&lt;&gt;MONTH($C$2)),"",IF(COUNTIFS(m_teacher,AV$4,m_date,($G$2+22),m_active,1,m_start,"&lt;"&amp;660,m_end,"&gt;"&amp;600)=0,"",IF(COUNTIFS(m_teacher,AV$4,m_date,($G$2+22),m_active,1,m_start,"&lt;"&amp;660,m_end,"&gt;"&amp;600)&gt;1,"충돌",HYPERLINK("#'관리자_MASTER'!D"&amp;_xlfn.MAXIFS(m_row,m_teacher,AV$4,m_date,($G$2+22),m_active,1,m_start,"&lt;"&amp;660,m_end,"&gt;"&amp;600),INDEX(m_label,_xlfn.MAXIFS(m_row,m_teacher,AV$4,m_date,($G$2+22),m_active,1,m_start,"&lt;"&amp;660,m_end,"&gt;"&amp;600))))))</f>
        <v/>
      </c>
      <c r="AW17" s="88" t="str">
        <f aca="false">IF(OR(AW$4="",MONTH(($G$2+22))&lt;&gt;MONTH($C$2)),"",IF(COUNTIFS(m_teacher,AW$4,m_date,($G$2+22),m_active,1,m_start,"&lt;"&amp;660,m_end,"&gt;"&amp;600)=0,"",IF(COUNTIFS(m_teacher,AW$4,m_date,($G$2+22),m_active,1,m_start,"&lt;"&amp;660,m_end,"&gt;"&amp;600)&gt;1,"충돌",HYPERLINK("#'관리자_MASTER'!D"&amp;_xlfn.MAXIFS(m_row,m_teacher,AW$4,m_date,($G$2+22),m_active,1,m_start,"&lt;"&amp;660,m_end,"&gt;"&amp;600),INDEX(m_label,_xlfn.MAXIFS(m_row,m_teacher,AW$4,m_date,($G$2+22),m_active,1,m_start,"&lt;"&amp;660,m_end,"&gt;"&amp;600))))))</f>
        <v/>
      </c>
      <c r="AX17" s="88" t="str">
        <f aca="false">IF(OR(AX$4="",MONTH(($G$2+22))&lt;&gt;MONTH($C$2)),"",IF(COUNTIFS(m_teacher,AX$4,m_date,($G$2+22),m_active,1,m_start,"&lt;"&amp;660,m_end,"&gt;"&amp;600)=0,"",IF(COUNTIFS(m_teacher,AX$4,m_date,($G$2+22),m_active,1,m_start,"&lt;"&amp;660,m_end,"&gt;"&amp;600)&gt;1,"충돌",HYPERLINK("#'관리자_MASTER'!D"&amp;_xlfn.MAXIFS(m_row,m_teacher,AX$4,m_date,($G$2+22),m_active,1,m_start,"&lt;"&amp;660,m_end,"&gt;"&amp;600),INDEX(m_label,_xlfn.MAXIFS(m_row,m_teacher,AX$4,m_date,($G$2+22),m_active,1,m_start,"&lt;"&amp;660,m_end,"&gt;"&amp;600))))))</f>
        <v/>
      </c>
      <c r="AY17" s="88" t="str">
        <f aca="false">IF(OR(AY$4="",MONTH(($G$2+22))&lt;&gt;MONTH($C$2)),"",IF(COUNTIFS(m_teacher,AY$4,m_date,($G$2+22),m_active,1,m_start,"&lt;"&amp;660,m_end,"&gt;"&amp;600)=0,"",IF(COUNTIFS(m_teacher,AY$4,m_date,($G$2+22),m_active,1,m_start,"&lt;"&amp;660,m_end,"&gt;"&amp;600)&gt;1,"충돌",HYPERLINK("#'관리자_MASTER'!D"&amp;_xlfn.MAXIFS(m_row,m_teacher,AY$4,m_date,($G$2+22),m_active,1,m_start,"&lt;"&amp;660,m_end,"&gt;"&amp;600),INDEX(m_label,_xlfn.MAXIFS(m_row,m_teacher,AY$4,m_date,($G$2+22),m_active,1,m_start,"&lt;"&amp;660,m_end,"&gt;"&amp;600))))))</f>
        <v/>
      </c>
      <c r="AZ17" s="88" t="str">
        <f aca="false">IF(OR(AZ$4="",MONTH(($G$2+22))&lt;&gt;MONTH($C$2)),"",IF(COUNTIFS(m_teacher,AZ$4,m_date,($G$2+22),m_active,1,m_start,"&lt;"&amp;660,m_end,"&gt;"&amp;600)=0,"",IF(COUNTIFS(m_teacher,AZ$4,m_date,($G$2+22),m_active,1,m_start,"&lt;"&amp;660,m_end,"&gt;"&amp;600)&gt;1,"충돌",HYPERLINK("#'관리자_MASTER'!D"&amp;_xlfn.MAXIFS(m_row,m_teacher,AZ$4,m_date,($G$2+22),m_active,1,m_start,"&lt;"&amp;660,m_end,"&gt;"&amp;600),INDEX(m_label,_xlfn.MAXIFS(m_row,m_teacher,AZ$4,m_date,($G$2+22),m_active,1,m_start,"&lt;"&amp;660,m_end,"&gt;"&amp;600))))))</f>
        <v/>
      </c>
      <c r="BA17" s="88" t="str">
        <f aca="false">IF(OR(BA$4="",MONTH(($G$2+22))&lt;&gt;MONTH($C$2)),"",IF(COUNTIFS(m_teacher,BA$4,m_date,($G$2+22),m_active,1,m_start,"&lt;"&amp;660,m_end,"&gt;"&amp;600)=0,"",IF(COUNTIFS(m_teacher,BA$4,m_date,($G$2+22),m_active,1,m_start,"&lt;"&amp;660,m_end,"&gt;"&amp;600)&gt;1,"충돌",HYPERLINK("#'관리자_MASTER'!D"&amp;_xlfn.MAXIFS(m_row,m_teacher,BA$4,m_date,($G$2+22),m_active,1,m_start,"&lt;"&amp;660,m_end,"&gt;"&amp;600),INDEX(m_label,_xlfn.MAXIFS(m_row,m_teacher,BA$4,m_date,($G$2+22),m_active,1,m_start,"&lt;"&amp;660,m_end,"&gt;"&amp;600))))))</f>
        <v/>
      </c>
      <c r="BB17" s="88" t="str">
        <f aca="false">IF(OR(BB$4="",MONTH(($G$2+22))&lt;&gt;MONTH($C$2)),"",IF(COUNTIFS(m_teacher,BB$4,m_date,($G$2+22),m_active,1,m_start,"&lt;"&amp;660,m_end,"&gt;"&amp;600)=0,"",IF(COUNTIFS(m_teacher,BB$4,m_date,($G$2+22),m_active,1,m_start,"&lt;"&amp;660,m_end,"&gt;"&amp;600)&gt;1,"충돌",HYPERLINK("#'관리자_MASTER'!D"&amp;_xlfn.MAXIFS(m_row,m_teacher,BB$4,m_date,($G$2+22),m_active,1,m_start,"&lt;"&amp;660,m_end,"&gt;"&amp;600),INDEX(m_label,_xlfn.MAXIFS(m_row,m_teacher,BB$4,m_date,($G$2+22),m_active,1,m_start,"&lt;"&amp;660,m_end,"&gt;"&amp;600))))))</f>
        <v/>
      </c>
      <c r="BC17" s="88" t="str">
        <f aca="false">IF(OR(BC$4="",MONTH(($G$2+22))&lt;&gt;MONTH($C$2)),"",IF(COUNTIFS(m_teacher,BC$4,m_date,($G$2+22),m_active,1,m_start,"&lt;"&amp;660,m_end,"&gt;"&amp;600)=0,"",IF(COUNTIFS(m_teacher,BC$4,m_date,($G$2+22),m_active,1,m_start,"&lt;"&amp;660,m_end,"&gt;"&amp;600)&gt;1,"충돌",HYPERLINK("#'관리자_MASTER'!D"&amp;_xlfn.MAXIFS(m_row,m_teacher,BC$4,m_date,($G$2+22),m_active,1,m_start,"&lt;"&amp;660,m_end,"&gt;"&amp;600),INDEX(m_label,_xlfn.MAXIFS(m_row,m_teacher,BC$4,m_date,($G$2+22),m_active,1,m_start,"&lt;"&amp;660,m_end,"&gt;"&amp;600))))))</f>
        <v/>
      </c>
      <c r="BD17" s="88" t="str">
        <f aca="false">IF(OR(BD$4="",MONTH(($G$2+22))&lt;&gt;MONTH($C$2)),"",IF(COUNTIFS(m_teacher,BD$4,m_date,($G$2+22),m_active,1,m_start,"&lt;"&amp;660,m_end,"&gt;"&amp;600)=0,"",IF(COUNTIFS(m_teacher,BD$4,m_date,($G$2+22),m_active,1,m_start,"&lt;"&amp;660,m_end,"&gt;"&amp;600)&gt;1,"충돌",HYPERLINK("#'관리자_MASTER'!D"&amp;_xlfn.MAXIFS(m_row,m_teacher,BD$4,m_date,($G$2+22),m_active,1,m_start,"&lt;"&amp;660,m_end,"&gt;"&amp;600),INDEX(m_label,_xlfn.MAXIFS(m_row,m_teacher,BD$4,m_date,($G$2+22),m_active,1,m_start,"&lt;"&amp;660,m_end,"&gt;"&amp;600))))))</f>
        <v/>
      </c>
    </row>
    <row r="18" customFormat="false" ht="19.5" hidden="false" customHeight="true" outlineLevel="0" collapsed="false">
      <c r="A18" s="78"/>
      <c r="B18" s="79" t="s">
        <v>93</v>
      </c>
      <c r="C18" s="88" t="str">
        <f aca="false">IF(OR(C$4="",MONTH(($G$2+1))&lt;&gt;MONTH($C$2)),"",IF(COUNTIFS(m_teacher,C$4,m_date,($G$2+1),m_active,1,m_start,"&lt;"&amp;720,m_end,"&gt;"&amp;660)=0,"",IF(COUNTIFS(m_teacher,C$4,m_date,($G$2+1),m_active,1,m_start,"&lt;"&amp;720,m_end,"&gt;"&amp;660)&gt;1,"충돌",HYPERLINK("#'관리자_MASTER'!D"&amp;_xlfn.MAXIFS(m_row,m_teacher,C$4,m_date,($G$2+1),m_active,1,m_start,"&lt;"&amp;720,m_end,"&gt;"&amp;660),INDEX(m_label,_xlfn.MAXIFS(m_row,m_teacher,C$4,m_date,($G$2+1),m_active,1,m_start,"&lt;"&amp;720,m_end,"&gt;"&amp;660))))))</f>
        <v/>
      </c>
      <c r="D18" s="88" t="str">
        <f aca="false">IF(OR(D$4="",MONTH(($G$2+1))&lt;&gt;MONTH($C$2)),"",IF(COUNTIFS(m_teacher,D$4,m_date,($G$2+1),m_active,1,m_start,"&lt;"&amp;720,m_end,"&gt;"&amp;660)=0,"",IF(COUNTIFS(m_teacher,D$4,m_date,($G$2+1),m_active,1,m_start,"&lt;"&amp;720,m_end,"&gt;"&amp;660)&gt;1,"충돌",HYPERLINK("#'관리자_MASTER'!D"&amp;_xlfn.MAXIFS(m_row,m_teacher,D$4,m_date,($G$2+1),m_active,1,m_start,"&lt;"&amp;720,m_end,"&gt;"&amp;660),INDEX(m_label,_xlfn.MAXIFS(m_row,m_teacher,D$4,m_date,($G$2+1),m_active,1,m_start,"&lt;"&amp;720,m_end,"&gt;"&amp;660))))))</f>
        <v/>
      </c>
      <c r="E18" s="88" t="str">
        <f aca="false">IF(OR(E$4="",MONTH(($G$2+1))&lt;&gt;MONTH($C$2)),"",IF(COUNTIFS(m_teacher,E$4,m_date,($G$2+1),m_active,1,m_start,"&lt;"&amp;720,m_end,"&gt;"&amp;660)=0,"",IF(COUNTIFS(m_teacher,E$4,m_date,($G$2+1),m_active,1,m_start,"&lt;"&amp;720,m_end,"&gt;"&amp;660)&gt;1,"충돌",HYPERLINK("#'관리자_MASTER'!D"&amp;_xlfn.MAXIFS(m_row,m_teacher,E$4,m_date,($G$2+1),m_active,1,m_start,"&lt;"&amp;720,m_end,"&gt;"&amp;660),INDEX(m_label,_xlfn.MAXIFS(m_row,m_teacher,E$4,m_date,($G$2+1),m_active,1,m_start,"&lt;"&amp;720,m_end,"&gt;"&amp;660))))))</f>
        <v/>
      </c>
      <c r="F18" s="88" t="str">
        <f aca="false">IF(OR(F$4="",MONTH(($G$2+1))&lt;&gt;MONTH($C$2)),"",IF(COUNTIFS(m_teacher,F$4,m_date,($G$2+1),m_active,1,m_start,"&lt;"&amp;720,m_end,"&gt;"&amp;660)=0,"",IF(COUNTIFS(m_teacher,F$4,m_date,($G$2+1),m_active,1,m_start,"&lt;"&amp;720,m_end,"&gt;"&amp;660)&gt;1,"충돌",HYPERLINK("#'관리자_MASTER'!D"&amp;_xlfn.MAXIFS(m_row,m_teacher,F$4,m_date,($G$2+1),m_active,1,m_start,"&lt;"&amp;720,m_end,"&gt;"&amp;660),INDEX(m_label,_xlfn.MAXIFS(m_row,m_teacher,F$4,m_date,($G$2+1),m_active,1,m_start,"&lt;"&amp;720,m_end,"&gt;"&amp;660))))))</f>
        <v/>
      </c>
      <c r="G18" s="88" t="str">
        <f aca="false">IF(OR(G$4="",MONTH(($G$2+1))&lt;&gt;MONTH($C$2)),"",IF(COUNTIFS(m_teacher,G$4,m_date,($G$2+1),m_active,1,m_start,"&lt;"&amp;720,m_end,"&gt;"&amp;660)=0,"",IF(COUNTIFS(m_teacher,G$4,m_date,($G$2+1),m_active,1,m_start,"&lt;"&amp;720,m_end,"&gt;"&amp;660)&gt;1,"충돌",HYPERLINK("#'관리자_MASTER'!D"&amp;_xlfn.MAXIFS(m_row,m_teacher,G$4,m_date,($G$2+1),m_active,1,m_start,"&lt;"&amp;720,m_end,"&gt;"&amp;660),INDEX(m_label,_xlfn.MAXIFS(m_row,m_teacher,G$4,m_date,($G$2+1),m_active,1,m_start,"&lt;"&amp;720,m_end,"&gt;"&amp;660))))))</f>
        <v/>
      </c>
      <c r="H18" s="88" t="str">
        <f aca="false">IF(OR(H$4="",MONTH(($G$2+1))&lt;&gt;MONTH($C$2)),"",IF(COUNTIFS(m_teacher,H$4,m_date,($G$2+1),m_active,1,m_start,"&lt;"&amp;720,m_end,"&gt;"&amp;660)=0,"",IF(COUNTIFS(m_teacher,H$4,m_date,($G$2+1),m_active,1,m_start,"&lt;"&amp;720,m_end,"&gt;"&amp;660)&gt;1,"충돌",HYPERLINK("#'관리자_MASTER'!D"&amp;_xlfn.MAXIFS(m_row,m_teacher,H$4,m_date,($G$2+1),m_active,1,m_start,"&lt;"&amp;720,m_end,"&gt;"&amp;660),INDEX(m_label,_xlfn.MAXIFS(m_row,m_teacher,H$4,m_date,($G$2+1),m_active,1,m_start,"&lt;"&amp;720,m_end,"&gt;"&amp;660))))))</f>
        <v/>
      </c>
      <c r="I18" s="88" t="str">
        <f aca="false">IF(OR(I$4="",MONTH(($G$2+1))&lt;&gt;MONTH($C$2)),"",IF(COUNTIFS(m_teacher,I$4,m_date,($G$2+1),m_active,1,m_start,"&lt;"&amp;720,m_end,"&gt;"&amp;660)=0,"",IF(COUNTIFS(m_teacher,I$4,m_date,($G$2+1),m_active,1,m_start,"&lt;"&amp;720,m_end,"&gt;"&amp;660)&gt;1,"충돌",HYPERLINK("#'관리자_MASTER'!D"&amp;_xlfn.MAXIFS(m_row,m_teacher,I$4,m_date,($G$2+1),m_active,1,m_start,"&lt;"&amp;720,m_end,"&gt;"&amp;660),INDEX(m_label,_xlfn.MAXIFS(m_row,m_teacher,I$4,m_date,($G$2+1),m_active,1,m_start,"&lt;"&amp;720,m_end,"&gt;"&amp;660))))))</f>
        <v/>
      </c>
      <c r="J18" s="88" t="str">
        <f aca="false">IF(OR(J$4="",MONTH(($G$2+1))&lt;&gt;MONTH($C$2)),"",IF(COUNTIFS(m_teacher,J$4,m_date,($G$2+1),m_active,1,m_start,"&lt;"&amp;720,m_end,"&gt;"&amp;660)=0,"",IF(COUNTIFS(m_teacher,J$4,m_date,($G$2+1),m_active,1,m_start,"&lt;"&amp;720,m_end,"&gt;"&amp;660)&gt;1,"충돌",HYPERLINK("#'관리자_MASTER'!D"&amp;_xlfn.MAXIFS(m_row,m_teacher,J$4,m_date,($G$2+1),m_active,1,m_start,"&lt;"&amp;720,m_end,"&gt;"&amp;660),INDEX(m_label,_xlfn.MAXIFS(m_row,m_teacher,J$4,m_date,($G$2+1),m_active,1,m_start,"&lt;"&amp;720,m_end,"&gt;"&amp;660))))))</f>
        <v/>
      </c>
      <c r="K18" s="88" t="str">
        <f aca="false">IF(OR(K$4="",MONTH(($G$2+1))&lt;&gt;MONTH($C$2)),"",IF(COUNTIFS(m_teacher,K$4,m_date,($G$2+1),m_active,1,m_start,"&lt;"&amp;720,m_end,"&gt;"&amp;660)=0,"",IF(COUNTIFS(m_teacher,K$4,m_date,($G$2+1),m_active,1,m_start,"&lt;"&amp;720,m_end,"&gt;"&amp;660)&gt;1,"충돌",HYPERLINK("#'관리자_MASTER'!D"&amp;_xlfn.MAXIFS(m_row,m_teacher,K$4,m_date,($G$2+1),m_active,1,m_start,"&lt;"&amp;720,m_end,"&gt;"&amp;660),INDEX(m_label,_xlfn.MAXIFS(m_row,m_teacher,K$4,m_date,($G$2+1),m_active,1,m_start,"&lt;"&amp;720,m_end,"&gt;"&amp;660))))))</f>
        <v/>
      </c>
      <c r="L18" s="88" t="str">
        <f aca="false">IF(OR(L$4="",MONTH(($G$2+1))&lt;&gt;MONTH($C$2)),"",IF(COUNTIFS(m_teacher,L$4,m_date,($G$2+1),m_active,1,m_start,"&lt;"&amp;720,m_end,"&gt;"&amp;660)=0,"",IF(COUNTIFS(m_teacher,L$4,m_date,($G$2+1),m_active,1,m_start,"&lt;"&amp;720,m_end,"&gt;"&amp;660)&gt;1,"충돌",HYPERLINK("#'관리자_MASTER'!D"&amp;_xlfn.MAXIFS(m_row,m_teacher,L$4,m_date,($G$2+1),m_active,1,m_start,"&lt;"&amp;720,m_end,"&gt;"&amp;660),INDEX(m_label,_xlfn.MAXIFS(m_row,m_teacher,L$4,m_date,($G$2+1),m_active,1,m_start,"&lt;"&amp;720,m_end,"&gt;"&amp;660))))))</f>
        <v/>
      </c>
      <c r="M18" s="88" t="str">
        <f aca="false">IF(OR(M$4="",MONTH(($G$2+1))&lt;&gt;MONTH($C$2)),"",IF(COUNTIFS(m_teacher,M$4,m_date,($G$2+1),m_active,1,m_start,"&lt;"&amp;720,m_end,"&gt;"&amp;660)=0,"",IF(COUNTIFS(m_teacher,M$4,m_date,($G$2+1),m_active,1,m_start,"&lt;"&amp;720,m_end,"&gt;"&amp;660)&gt;1,"충돌",HYPERLINK("#'관리자_MASTER'!D"&amp;_xlfn.MAXIFS(m_row,m_teacher,M$4,m_date,($G$2+1),m_active,1,m_start,"&lt;"&amp;720,m_end,"&gt;"&amp;660),INDEX(m_label,_xlfn.MAXIFS(m_row,m_teacher,M$4,m_date,($G$2+1),m_active,1,m_start,"&lt;"&amp;720,m_end,"&gt;"&amp;660))))))</f>
        <v/>
      </c>
      <c r="N18" s="88" t="str">
        <f aca="false">IF(OR(N$4="",MONTH(($G$2+1))&lt;&gt;MONTH($C$2)),"",IF(COUNTIFS(m_teacher,N$4,m_date,($G$2+1),m_active,1,m_start,"&lt;"&amp;720,m_end,"&gt;"&amp;660)=0,"",IF(COUNTIFS(m_teacher,N$4,m_date,($G$2+1),m_active,1,m_start,"&lt;"&amp;720,m_end,"&gt;"&amp;660)&gt;1,"충돌",HYPERLINK("#'관리자_MASTER'!D"&amp;_xlfn.MAXIFS(m_row,m_teacher,N$4,m_date,($G$2+1),m_active,1,m_start,"&lt;"&amp;720,m_end,"&gt;"&amp;660),INDEX(m_label,_xlfn.MAXIFS(m_row,m_teacher,N$4,m_date,($G$2+1),m_active,1,m_start,"&lt;"&amp;720,m_end,"&gt;"&amp;660))))))</f>
        <v/>
      </c>
      <c r="O18" s="78"/>
      <c r="P18" s="79" t="s">
        <v>93</v>
      </c>
      <c r="Q18" s="88" t="str">
        <f aca="false">IF(OR(Q$4="",MONTH(($G$2+8))&lt;&gt;MONTH($C$2)),"",IF(COUNTIFS(m_teacher,Q$4,m_date,($G$2+8),m_active,1,m_start,"&lt;"&amp;720,m_end,"&gt;"&amp;660)=0,"",IF(COUNTIFS(m_teacher,Q$4,m_date,($G$2+8),m_active,1,m_start,"&lt;"&amp;720,m_end,"&gt;"&amp;660)&gt;1,"충돌",HYPERLINK("#'관리자_MASTER'!D"&amp;_xlfn.MAXIFS(m_row,m_teacher,Q$4,m_date,($G$2+8),m_active,1,m_start,"&lt;"&amp;720,m_end,"&gt;"&amp;660),INDEX(m_label,_xlfn.MAXIFS(m_row,m_teacher,Q$4,m_date,($G$2+8),m_active,1,m_start,"&lt;"&amp;720,m_end,"&gt;"&amp;660))))))</f>
        <v/>
      </c>
      <c r="R18" s="88" t="str">
        <f aca="false">IF(OR(R$4="",MONTH(($G$2+8))&lt;&gt;MONTH($C$2)),"",IF(COUNTIFS(m_teacher,R$4,m_date,($G$2+8),m_active,1,m_start,"&lt;"&amp;720,m_end,"&gt;"&amp;660)=0,"",IF(COUNTIFS(m_teacher,R$4,m_date,($G$2+8),m_active,1,m_start,"&lt;"&amp;720,m_end,"&gt;"&amp;660)&gt;1,"충돌",HYPERLINK("#'관리자_MASTER'!D"&amp;_xlfn.MAXIFS(m_row,m_teacher,R$4,m_date,($G$2+8),m_active,1,m_start,"&lt;"&amp;720,m_end,"&gt;"&amp;660),INDEX(m_label,_xlfn.MAXIFS(m_row,m_teacher,R$4,m_date,($G$2+8),m_active,1,m_start,"&lt;"&amp;720,m_end,"&gt;"&amp;660))))))</f>
        <v/>
      </c>
      <c r="S18" s="88" t="str">
        <f aca="false">IF(OR(S$4="",MONTH(($G$2+8))&lt;&gt;MONTH($C$2)),"",IF(COUNTIFS(m_teacher,S$4,m_date,($G$2+8),m_active,1,m_start,"&lt;"&amp;720,m_end,"&gt;"&amp;660)=0,"",IF(COUNTIFS(m_teacher,S$4,m_date,($G$2+8),m_active,1,m_start,"&lt;"&amp;720,m_end,"&gt;"&amp;660)&gt;1,"충돌",HYPERLINK("#'관리자_MASTER'!D"&amp;_xlfn.MAXIFS(m_row,m_teacher,S$4,m_date,($G$2+8),m_active,1,m_start,"&lt;"&amp;720,m_end,"&gt;"&amp;660),INDEX(m_label,_xlfn.MAXIFS(m_row,m_teacher,S$4,m_date,($G$2+8),m_active,1,m_start,"&lt;"&amp;720,m_end,"&gt;"&amp;660))))))</f>
        <v/>
      </c>
      <c r="T18" s="88" t="str">
        <f aca="false">IF(OR(T$4="",MONTH(($G$2+8))&lt;&gt;MONTH($C$2)),"",IF(COUNTIFS(m_teacher,T$4,m_date,($G$2+8),m_active,1,m_start,"&lt;"&amp;720,m_end,"&gt;"&amp;660)=0,"",IF(COUNTIFS(m_teacher,T$4,m_date,($G$2+8),m_active,1,m_start,"&lt;"&amp;720,m_end,"&gt;"&amp;660)&gt;1,"충돌",HYPERLINK("#'관리자_MASTER'!D"&amp;_xlfn.MAXIFS(m_row,m_teacher,T$4,m_date,($G$2+8),m_active,1,m_start,"&lt;"&amp;720,m_end,"&gt;"&amp;660),INDEX(m_label,_xlfn.MAXIFS(m_row,m_teacher,T$4,m_date,($G$2+8),m_active,1,m_start,"&lt;"&amp;720,m_end,"&gt;"&amp;660))))))</f>
        <v/>
      </c>
      <c r="U18" s="88" t="str">
        <f aca="false">IF(OR(U$4="",MONTH(($G$2+8))&lt;&gt;MONTH($C$2)),"",IF(COUNTIFS(m_teacher,U$4,m_date,($G$2+8),m_active,1,m_start,"&lt;"&amp;720,m_end,"&gt;"&amp;660)=0,"",IF(COUNTIFS(m_teacher,U$4,m_date,($G$2+8),m_active,1,m_start,"&lt;"&amp;720,m_end,"&gt;"&amp;660)&gt;1,"충돌",HYPERLINK("#'관리자_MASTER'!D"&amp;_xlfn.MAXIFS(m_row,m_teacher,U$4,m_date,($G$2+8),m_active,1,m_start,"&lt;"&amp;720,m_end,"&gt;"&amp;660),INDEX(m_label,_xlfn.MAXIFS(m_row,m_teacher,U$4,m_date,($G$2+8),m_active,1,m_start,"&lt;"&amp;720,m_end,"&gt;"&amp;660))))))</f>
        <v/>
      </c>
      <c r="V18" s="88" t="str">
        <f aca="false">IF(OR(V$4="",MONTH(($G$2+8))&lt;&gt;MONTH($C$2)),"",IF(COUNTIFS(m_teacher,V$4,m_date,($G$2+8),m_active,1,m_start,"&lt;"&amp;720,m_end,"&gt;"&amp;660)=0,"",IF(COUNTIFS(m_teacher,V$4,m_date,($G$2+8),m_active,1,m_start,"&lt;"&amp;720,m_end,"&gt;"&amp;660)&gt;1,"충돌",HYPERLINK("#'관리자_MASTER'!D"&amp;_xlfn.MAXIFS(m_row,m_teacher,V$4,m_date,($G$2+8),m_active,1,m_start,"&lt;"&amp;720,m_end,"&gt;"&amp;660),INDEX(m_label,_xlfn.MAXIFS(m_row,m_teacher,V$4,m_date,($G$2+8),m_active,1,m_start,"&lt;"&amp;720,m_end,"&gt;"&amp;660))))))</f>
        <v/>
      </c>
      <c r="W18" s="88" t="str">
        <f aca="false">IF(OR(W$4="",MONTH(($G$2+8))&lt;&gt;MONTH($C$2)),"",IF(COUNTIFS(m_teacher,W$4,m_date,($G$2+8),m_active,1,m_start,"&lt;"&amp;720,m_end,"&gt;"&amp;660)=0,"",IF(COUNTIFS(m_teacher,W$4,m_date,($G$2+8),m_active,1,m_start,"&lt;"&amp;720,m_end,"&gt;"&amp;660)&gt;1,"충돌",HYPERLINK("#'관리자_MASTER'!D"&amp;_xlfn.MAXIFS(m_row,m_teacher,W$4,m_date,($G$2+8),m_active,1,m_start,"&lt;"&amp;720,m_end,"&gt;"&amp;660),INDEX(m_label,_xlfn.MAXIFS(m_row,m_teacher,W$4,m_date,($G$2+8),m_active,1,m_start,"&lt;"&amp;720,m_end,"&gt;"&amp;660))))))</f>
        <v/>
      </c>
      <c r="X18" s="88" t="str">
        <f aca="false">IF(OR(X$4="",MONTH(($G$2+8))&lt;&gt;MONTH($C$2)),"",IF(COUNTIFS(m_teacher,X$4,m_date,($G$2+8),m_active,1,m_start,"&lt;"&amp;720,m_end,"&gt;"&amp;660)=0,"",IF(COUNTIFS(m_teacher,X$4,m_date,($G$2+8),m_active,1,m_start,"&lt;"&amp;720,m_end,"&gt;"&amp;660)&gt;1,"충돌",HYPERLINK("#'관리자_MASTER'!D"&amp;_xlfn.MAXIFS(m_row,m_teacher,X$4,m_date,($G$2+8),m_active,1,m_start,"&lt;"&amp;720,m_end,"&gt;"&amp;660),INDEX(m_label,_xlfn.MAXIFS(m_row,m_teacher,X$4,m_date,($G$2+8),m_active,1,m_start,"&lt;"&amp;720,m_end,"&gt;"&amp;660))))))</f>
        <v/>
      </c>
      <c r="Y18" s="88" t="str">
        <f aca="false">IF(OR(Y$4="",MONTH(($G$2+8))&lt;&gt;MONTH($C$2)),"",IF(COUNTIFS(m_teacher,Y$4,m_date,($G$2+8),m_active,1,m_start,"&lt;"&amp;720,m_end,"&gt;"&amp;660)=0,"",IF(COUNTIFS(m_teacher,Y$4,m_date,($G$2+8),m_active,1,m_start,"&lt;"&amp;720,m_end,"&gt;"&amp;660)&gt;1,"충돌",HYPERLINK("#'관리자_MASTER'!D"&amp;_xlfn.MAXIFS(m_row,m_teacher,Y$4,m_date,($G$2+8),m_active,1,m_start,"&lt;"&amp;720,m_end,"&gt;"&amp;660),INDEX(m_label,_xlfn.MAXIFS(m_row,m_teacher,Y$4,m_date,($G$2+8),m_active,1,m_start,"&lt;"&amp;720,m_end,"&gt;"&amp;660))))))</f>
        <v/>
      </c>
      <c r="Z18" s="88" t="str">
        <f aca="false">IF(OR(Z$4="",MONTH(($G$2+8))&lt;&gt;MONTH($C$2)),"",IF(COUNTIFS(m_teacher,Z$4,m_date,($G$2+8),m_active,1,m_start,"&lt;"&amp;720,m_end,"&gt;"&amp;660)=0,"",IF(COUNTIFS(m_teacher,Z$4,m_date,($G$2+8),m_active,1,m_start,"&lt;"&amp;720,m_end,"&gt;"&amp;660)&gt;1,"충돌",HYPERLINK("#'관리자_MASTER'!D"&amp;_xlfn.MAXIFS(m_row,m_teacher,Z$4,m_date,($G$2+8),m_active,1,m_start,"&lt;"&amp;720,m_end,"&gt;"&amp;660),INDEX(m_label,_xlfn.MAXIFS(m_row,m_teacher,Z$4,m_date,($G$2+8),m_active,1,m_start,"&lt;"&amp;720,m_end,"&gt;"&amp;660))))))</f>
        <v/>
      </c>
      <c r="AA18" s="88" t="str">
        <f aca="false">IF(OR(AA$4="",MONTH(($G$2+8))&lt;&gt;MONTH($C$2)),"",IF(COUNTIFS(m_teacher,AA$4,m_date,($G$2+8),m_active,1,m_start,"&lt;"&amp;720,m_end,"&gt;"&amp;660)=0,"",IF(COUNTIFS(m_teacher,AA$4,m_date,($G$2+8),m_active,1,m_start,"&lt;"&amp;720,m_end,"&gt;"&amp;660)&gt;1,"충돌",HYPERLINK("#'관리자_MASTER'!D"&amp;_xlfn.MAXIFS(m_row,m_teacher,AA$4,m_date,($G$2+8),m_active,1,m_start,"&lt;"&amp;720,m_end,"&gt;"&amp;660),INDEX(m_label,_xlfn.MAXIFS(m_row,m_teacher,AA$4,m_date,($G$2+8),m_active,1,m_start,"&lt;"&amp;720,m_end,"&gt;"&amp;660))))))</f>
        <v/>
      </c>
      <c r="AB18" s="88" t="str">
        <f aca="false">IF(OR(AB$4="",MONTH(($G$2+8))&lt;&gt;MONTH($C$2)),"",IF(COUNTIFS(m_teacher,AB$4,m_date,($G$2+8),m_active,1,m_start,"&lt;"&amp;720,m_end,"&gt;"&amp;660)=0,"",IF(COUNTIFS(m_teacher,AB$4,m_date,($G$2+8),m_active,1,m_start,"&lt;"&amp;720,m_end,"&gt;"&amp;660)&gt;1,"충돌",HYPERLINK("#'관리자_MASTER'!D"&amp;_xlfn.MAXIFS(m_row,m_teacher,AB$4,m_date,($G$2+8),m_active,1,m_start,"&lt;"&amp;720,m_end,"&gt;"&amp;660),INDEX(m_label,_xlfn.MAXIFS(m_row,m_teacher,AB$4,m_date,($G$2+8),m_active,1,m_start,"&lt;"&amp;720,m_end,"&gt;"&amp;660))))))</f>
        <v/>
      </c>
      <c r="AC18" s="78"/>
      <c r="AD18" s="79" t="s">
        <v>93</v>
      </c>
      <c r="AE18" s="88" t="str">
        <f aca="false">IF(OR(AE$4="",MONTH(($G$2+15))&lt;&gt;MONTH($C$2)),"",IF(COUNTIFS(m_teacher,AE$4,m_date,($G$2+15),m_active,1,m_start,"&lt;"&amp;720,m_end,"&gt;"&amp;660)=0,"",IF(COUNTIFS(m_teacher,AE$4,m_date,($G$2+15),m_active,1,m_start,"&lt;"&amp;720,m_end,"&gt;"&amp;660)&gt;1,"충돌",HYPERLINK("#'관리자_MASTER'!D"&amp;_xlfn.MAXIFS(m_row,m_teacher,AE$4,m_date,($G$2+15),m_active,1,m_start,"&lt;"&amp;720,m_end,"&gt;"&amp;660),INDEX(m_label,_xlfn.MAXIFS(m_row,m_teacher,AE$4,m_date,($G$2+15),m_active,1,m_start,"&lt;"&amp;720,m_end,"&gt;"&amp;660))))))</f>
        <v/>
      </c>
      <c r="AF18" s="88" t="str">
        <f aca="false">IF(OR(AF$4="",MONTH(($G$2+15))&lt;&gt;MONTH($C$2)),"",IF(COUNTIFS(m_teacher,AF$4,m_date,($G$2+15),m_active,1,m_start,"&lt;"&amp;720,m_end,"&gt;"&amp;660)=0,"",IF(COUNTIFS(m_teacher,AF$4,m_date,($G$2+15),m_active,1,m_start,"&lt;"&amp;720,m_end,"&gt;"&amp;660)&gt;1,"충돌",HYPERLINK("#'관리자_MASTER'!D"&amp;_xlfn.MAXIFS(m_row,m_teacher,AF$4,m_date,($G$2+15),m_active,1,m_start,"&lt;"&amp;720,m_end,"&gt;"&amp;660),INDEX(m_label,_xlfn.MAXIFS(m_row,m_teacher,AF$4,m_date,($G$2+15),m_active,1,m_start,"&lt;"&amp;720,m_end,"&gt;"&amp;660))))))</f>
        <v/>
      </c>
      <c r="AG18" s="88" t="str">
        <f aca="false">IF(OR(AG$4="",MONTH(($G$2+15))&lt;&gt;MONTH($C$2)),"",IF(COUNTIFS(m_teacher,AG$4,m_date,($G$2+15),m_active,1,m_start,"&lt;"&amp;720,m_end,"&gt;"&amp;660)=0,"",IF(COUNTIFS(m_teacher,AG$4,m_date,($G$2+15),m_active,1,m_start,"&lt;"&amp;720,m_end,"&gt;"&amp;660)&gt;1,"충돌",HYPERLINK("#'관리자_MASTER'!D"&amp;_xlfn.MAXIFS(m_row,m_teacher,AG$4,m_date,($G$2+15),m_active,1,m_start,"&lt;"&amp;720,m_end,"&gt;"&amp;660),INDEX(m_label,_xlfn.MAXIFS(m_row,m_teacher,AG$4,m_date,($G$2+15),m_active,1,m_start,"&lt;"&amp;720,m_end,"&gt;"&amp;660))))))</f>
        <v/>
      </c>
      <c r="AH18" s="88" t="str">
        <f aca="false">IF(OR(AH$4="",MONTH(($G$2+15))&lt;&gt;MONTH($C$2)),"",IF(COUNTIFS(m_teacher,AH$4,m_date,($G$2+15),m_active,1,m_start,"&lt;"&amp;720,m_end,"&gt;"&amp;660)=0,"",IF(COUNTIFS(m_teacher,AH$4,m_date,($G$2+15),m_active,1,m_start,"&lt;"&amp;720,m_end,"&gt;"&amp;660)&gt;1,"충돌",HYPERLINK("#'관리자_MASTER'!D"&amp;_xlfn.MAXIFS(m_row,m_teacher,AH$4,m_date,($G$2+15),m_active,1,m_start,"&lt;"&amp;720,m_end,"&gt;"&amp;660),INDEX(m_label,_xlfn.MAXIFS(m_row,m_teacher,AH$4,m_date,($G$2+15),m_active,1,m_start,"&lt;"&amp;720,m_end,"&gt;"&amp;660))))))</f>
        <v/>
      </c>
      <c r="AI18" s="88" t="str">
        <f aca="false">IF(OR(AI$4="",MONTH(($G$2+15))&lt;&gt;MONTH($C$2)),"",IF(COUNTIFS(m_teacher,AI$4,m_date,($G$2+15),m_active,1,m_start,"&lt;"&amp;720,m_end,"&gt;"&amp;660)=0,"",IF(COUNTIFS(m_teacher,AI$4,m_date,($G$2+15),m_active,1,m_start,"&lt;"&amp;720,m_end,"&gt;"&amp;660)&gt;1,"충돌",HYPERLINK("#'관리자_MASTER'!D"&amp;_xlfn.MAXIFS(m_row,m_teacher,AI$4,m_date,($G$2+15),m_active,1,m_start,"&lt;"&amp;720,m_end,"&gt;"&amp;660),INDEX(m_label,_xlfn.MAXIFS(m_row,m_teacher,AI$4,m_date,($G$2+15),m_active,1,m_start,"&lt;"&amp;720,m_end,"&gt;"&amp;660))))))</f>
        <v/>
      </c>
      <c r="AJ18" s="88" t="str">
        <f aca="false">IF(OR(AJ$4="",MONTH(($G$2+15))&lt;&gt;MONTH($C$2)),"",IF(COUNTIFS(m_teacher,AJ$4,m_date,($G$2+15),m_active,1,m_start,"&lt;"&amp;720,m_end,"&gt;"&amp;660)=0,"",IF(COUNTIFS(m_teacher,AJ$4,m_date,($G$2+15),m_active,1,m_start,"&lt;"&amp;720,m_end,"&gt;"&amp;660)&gt;1,"충돌",HYPERLINK("#'관리자_MASTER'!D"&amp;_xlfn.MAXIFS(m_row,m_teacher,AJ$4,m_date,($G$2+15),m_active,1,m_start,"&lt;"&amp;720,m_end,"&gt;"&amp;660),INDEX(m_label,_xlfn.MAXIFS(m_row,m_teacher,AJ$4,m_date,($G$2+15),m_active,1,m_start,"&lt;"&amp;720,m_end,"&gt;"&amp;660))))))</f>
        <v/>
      </c>
      <c r="AK18" s="88" t="str">
        <f aca="false">IF(OR(AK$4="",MONTH(($G$2+15))&lt;&gt;MONTH($C$2)),"",IF(COUNTIFS(m_teacher,AK$4,m_date,($G$2+15),m_active,1,m_start,"&lt;"&amp;720,m_end,"&gt;"&amp;660)=0,"",IF(COUNTIFS(m_teacher,AK$4,m_date,($G$2+15),m_active,1,m_start,"&lt;"&amp;720,m_end,"&gt;"&amp;660)&gt;1,"충돌",HYPERLINK("#'관리자_MASTER'!D"&amp;_xlfn.MAXIFS(m_row,m_teacher,AK$4,m_date,($G$2+15),m_active,1,m_start,"&lt;"&amp;720,m_end,"&gt;"&amp;660),INDEX(m_label,_xlfn.MAXIFS(m_row,m_teacher,AK$4,m_date,($G$2+15),m_active,1,m_start,"&lt;"&amp;720,m_end,"&gt;"&amp;660))))))</f>
        <v/>
      </c>
      <c r="AL18" s="88" t="str">
        <f aca="false">IF(OR(AL$4="",MONTH(($G$2+15))&lt;&gt;MONTH($C$2)),"",IF(COUNTIFS(m_teacher,AL$4,m_date,($G$2+15),m_active,1,m_start,"&lt;"&amp;720,m_end,"&gt;"&amp;660)=0,"",IF(COUNTIFS(m_teacher,AL$4,m_date,($G$2+15),m_active,1,m_start,"&lt;"&amp;720,m_end,"&gt;"&amp;660)&gt;1,"충돌",HYPERLINK("#'관리자_MASTER'!D"&amp;_xlfn.MAXIFS(m_row,m_teacher,AL$4,m_date,($G$2+15),m_active,1,m_start,"&lt;"&amp;720,m_end,"&gt;"&amp;660),INDEX(m_label,_xlfn.MAXIFS(m_row,m_teacher,AL$4,m_date,($G$2+15),m_active,1,m_start,"&lt;"&amp;720,m_end,"&gt;"&amp;660))))))</f>
        <v/>
      </c>
      <c r="AM18" s="88" t="str">
        <f aca="false">IF(OR(AM$4="",MONTH(($G$2+15))&lt;&gt;MONTH($C$2)),"",IF(COUNTIFS(m_teacher,AM$4,m_date,($G$2+15),m_active,1,m_start,"&lt;"&amp;720,m_end,"&gt;"&amp;660)=0,"",IF(COUNTIFS(m_teacher,AM$4,m_date,($G$2+15),m_active,1,m_start,"&lt;"&amp;720,m_end,"&gt;"&amp;660)&gt;1,"충돌",HYPERLINK("#'관리자_MASTER'!D"&amp;_xlfn.MAXIFS(m_row,m_teacher,AM$4,m_date,($G$2+15),m_active,1,m_start,"&lt;"&amp;720,m_end,"&gt;"&amp;660),INDEX(m_label,_xlfn.MAXIFS(m_row,m_teacher,AM$4,m_date,($G$2+15),m_active,1,m_start,"&lt;"&amp;720,m_end,"&gt;"&amp;660))))))</f>
        <v/>
      </c>
      <c r="AN18" s="88" t="str">
        <f aca="false">IF(OR(AN$4="",MONTH(($G$2+15))&lt;&gt;MONTH($C$2)),"",IF(COUNTIFS(m_teacher,AN$4,m_date,($G$2+15),m_active,1,m_start,"&lt;"&amp;720,m_end,"&gt;"&amp;660)=0,"",IF(COUNTIFS(m_teacher,AN$4,m_date,($G$2+15),m_active,1,m_start,"&lt;"&amp;720,m_end,"&gt;"&amp;660)&gt;1,"충돌",HYPERLINK("#'관리자_MASTER'!D"&amp;_xlfn.MAXIFS(m_row,m_teacher,AN$4,m_date,($G$2+15),m_active,1,m_start,"&lt;"&amp;720,m_end,"&gt;"&amp;660),INDEX(m_label,_xlfn.MAXIFS(m_row,m_teacher,AN$4,m_date,($G$2+15),m_active,1,m_start,"&lt;"&amp;720,m_end,"&gt;"&amp;660))))))</f>
        <v/>
      </c>
      <c r="AO18" s="88" t="str">
        <f aca="false">IF(OR(AO$4="",MONTH(($G$2+15))&lt;&gt;MONTH($C$2)),"",IF(COUNTIFS(m_teacher,AO$4,m_date,($G$2+15),m_active,1,m_start,"&lt;"&amp;720,m_end,"&gt;"&amp;660)=0,"",IF(COUNTIFS(m_teacher,AO$4,m_date,($G$2+15),m_active,1,m_start,"&lt;"&amp;720,m_end,"&gt;"&amp;660)&gt;1,"충돌",HYPERLINK("#'관리자_MASTER'!D"&amp;_xlfn.MAXIFS(m_row,m_teacher,AO$4,m_date,($G$2+15),m_active,1,m_start,"&lt;"&amp;720,m_end,"&gt;"&amp;660),INDEX(m_label,_xlfn.MAXIFS(m_row,m_teacher,AO$4,m_date,($G$2+15),m_active,1,m_start,"&lt;"&amp;720,m_end,"&gt;"&amp;660))))))</f>
        <v/>
      </c>
      <c r="AP18" s="88" t="str">
        <f aca="false">IF(OR(AP$4="",MONTH(($G$2+15))&lt;&gt;MONTH($C$2)),"",IF(COUNTIFS(m_teacher,AP$4,m_date,($G$2+15),m_active,1,m_start,"&lt;"&amp;720,m_end,"&gt;"&amp;660)=0,"",IF(COUNTIFS(m_teacher,AP$4,m_date,($G$2+15),m_active,1,m_start,"&lt;"&amp;720,m_end,"&gt;"&amp;660)&gt;1,"충돌",HYPERLINK("#'관리자_MASTER'!D"&amp;_xlfn.MAXIFS(m_row,m_teacher,AP$4,m_date,($G$2+15),m_active,1,m_start,"&lt;"&amp;720,m_end,"&gt;"&amp;660),INDEX(m_label,_xlfn.MAXIFS(m_row,m_teacher,AP$4,m_date,($G$2+15),m_active,1,m_start,"&lt;"&amp;720,m_end,"&gt;"&amp;660))))))</f>
        <v/>
      </c>
      <c r="AQ18" s="78"/>
      <c r="AR18" s="79" t="s">
        <v>93</v>
      </c>
      <c r="AS18" s="88" t="str">
        <f aca="false">IF(OR(AS$4="",MONTH(($G$2+22))&lt;&gt;MONTH($C$2)),"",IF(COUNTIFS(m_teacher,AS$4,m_date,($G$2+22),m_active,1,m_start,"&lt;"&amp;720,m_end,"&gt;"&amp;660)=0,"",IF(COUNTIFS(m_teacher,AS$4,m_date,($G$2+22),m_active,1,m_start,"&lt;"&amp;720,m_end,"&gt;"&amp;660)&gt;1,"충돌",HYPERLINK("#'관리자_MASTER'!D"&amp;_xlfn.MAXIFS(m_row,m_teacher,AS$4,m_date,($G$2+22),m_active,1,m_start,"&lt;"&amp;720,m_end,"&gt;"&amp;660),INDEX(m_label,_xlfn.MAXIFS(m_row,m_teacher,AS$4,m_date,($G$2+22),m_active,1,m_start,"&lt;"&amp;720,m_end,"&gt;"&amp;660))))))</f>
        <v/>
      </c>
      <c r="AT18" s="88" t="str">
        <f aca="false">IF(OR(AT$4="",MONTH(($G$2+22))&lt;&gt;MONTH($C$2)),"",IF(COUNTIFS(m_teacher,AT$4,m_date,($G$2+22),m_active,1,m_start,"&lt;"&amp;720,m_end,"&gt;"&amp;660)=0,"",IF(COUNTIFS(m_teacher,AT$4,m_date,($G$2+22),m_active,1,m_start,"&lt;"&amp;720,m_end,"&gt;"&amp;660)&gt;1,"충돌",HYPERLINK("#'관리자_MASTER'!D"&amp;_xlfn.MAXIFS(m_row,m_teacher,AT$4,m_date,($G$2+22),m_active,1,m_start,"&lt;"&amp;720,m_end,"&gt;"&amp;660),INDEX(m_label,_xlfn.MAXIFS(m_row,m_teacher,AT$4,m_date,($G$2+22),m_active,1,m_start,"&lt;"&amp;720,m_end,"&gt;"&amp;660))))))</f>
        <v/>
      </c>
      <c r="AU18" s="88" t="str">
        <f aca="false">IF(OR(AU$4="",MONTH(($G$2+22))&lt;&gt;MONTH($C$2)),"",IF(COUNTIFS(m_teacher,AU$4,m_date,($G$2+22),m_active,1,m_start,"&lt;"&amp;720,m_end,"&gt;"&amp;660)=0,"",IF(COUNTIFS(m_teacher,AU$4,m_date,($G$2+22),m_active,1,m_start,"&lt;"&amp;720,m_end,"&gt;"&amp;660)&gt;1,"충돌",HYPERLINK("#'관리자_MASTER'!D"&amp;_xlfn.MAXIFS(m_row,m_teacher,AU$4,m_date,($G$2+22),m_active,1,m_start,"&lt;"&amp;720,m_end,"&gt;"&amp;660),INDEX(m_label,_xlfn.MAXIFS(m_row,m_teacher,AU$4,m_date,($G$2+22),m_active,1,m_start,"&lt;"&amp;720,m_end,"&gt;"&amp;660))))))</f>
        <v/>
      </c>
      <c r="AV18" s="88" t="str">
        <f aca="false">IF(OR(AV$4="",MONTH(($G$2+22))&lt;&gt;MONTH($C$2)),"",IF(COUNTIFS(m_teacher,AV$4,m_date,($G$2+22),m_active,1,m_start,"&lt;"&amp;720,m_end,"&gt;"&amp;660)=0,"",IF(COUNTIFS(m_teacher,AV$4,m_date,($G$2+22),m_active,1,m_start,"&lt;"&amp;720,m_end,"&gt;"&amp;660)&gt;1,"충돌",HYPERLINK("#'관리자_MASTER'!D"&amp;_xlfn.MAXIFS(m_row,m_teacher,AV$4,m_date,($G$2+22),m_active,1,m_start,"&lt;"&amp;720,m_end,"&gt;"&amp;660),INDEX(m_label,_xlfn.MAXIFS(m_row,m_teacher,AV$4,m_date,($G$2+22),m_active,1,m_start,"&lt;"&amp;720,m_end,"&gt;"&amp;660))))))</f>
        <v/>
      </c>
      <c r="AW18" s="88" t="str">
        <f aca="false">IF(OR(AW$4="",MONTH(($G$2+22))&lt;&gt;MONTH($C$2)),"",IF(COUNTIFS(m_teacher,AW$4,m_date,($G$2+22),m_active,1,m_start,"&lt;"&amp;720,m_end,"&gt;"&amp;660)=0,"",IF(COUNTIFS(m_teacher,AW$4,m_date,($G$2+22),m_active,1,m_start,"&lt;"&amp;720,m_end,"&gt;"&amp;660)&gt;1,"충돌",HYPERLINK("#'관리자_MASTER'!D"&amp;_xlfn.MAXIFS(m_row,m_teacher,AW$4,m_date,($G$2+22),m_active,1,m_start,"&lt;"&amp;720,m_end,"&gt;"&amp;660),INDEX(m_label,_xlfn.MAXIFS(m_row,m_teacher,AW$4,m_date,($G$2+22),m_active,1,m_start,"&lt;"&amp;720,m_end,"&gt;"&amp;660))))))</f>
        <v/>
      </c>
      <c r="AX18" s="88" t="str">
        <f aca="false">IF(OR(AX$4="",MONTH(($G$2+22))&lt;&gt;MONTH($C$2)),"",IF(COUNTIFS(m_teacher,AX$4,m_date,($G$2+22),m_active,1,m_start,"&lt;"&amp;720,m_end,"&gt;"&amp;660)=0,"",IF(COUNTIFS(m_teacher,AX$4,m_date,($G$2+22),m_active,1,m_start,"&lt;"&amp;720,m_end,"&gt;"&amp;660)&gt;1,"충돌",HYPERLINK("#'관리자_MASTER'!D"&amp;_xlfn.MAXIFS(m_row,m_teacher,AX$4,m_date,($G$2+22),m_active,1,m_start,"&lt;"&amp;720,m_end,"&gt;"&amp;660),INDEX(m_label,_xlfn.MAXIFS(m_row,m_teacher,AX$4,m_date,($G$2+22),m_active,1,m_start,"&lt;"&amp;720,m_end,"&gt;"&amp;660))))))</f>
        <v/>
      </c>
      <c r="AY18" s="88" t="str">
        <f aca="false">IF(OR(AY$4="",MONTH(($G$2+22))&lt;&gt;MONTH($C$2)),"",IF(COUNTIFS(m_teacher,AY$4,m_date,($G$2+22),m_active,1,m_start,"&lt;"&amp;720,m_end,"&gt;"&amp;660)=0,"",IF(COUNTIFS(m_teacher,AY$4,m_date,($G$2+22),m_active,1,m_start,"&lt;"&amp;720,m_end,"&gt;"&amp;660)&gt;1,"충돌",HYPERLINK("#'관리자_MASTER'!D"&amp;_xlfn.MAXIFS(m_row,m_teacher,AY$4,m_date,($G$2+22),m_active,1,m_start,"&lt;"&amp;720,m_end,"&gt;"&amp;660),INDEX(m_label,_xlfn.MAXIFS(m_row,m_teacher,AY$4,m_date,($G$2+22),m_active,1,m_start,"&lt;"&amp;720,m_end,"&gt;"&amp;660))))))</f>
        <v/>
      </c>
      <c r="AZ18" s="88" t="str">
        <f aca="false">IF(OR(AZ$4="",MONTH(($G$2+22))&lt;&gt;MONTH($C$2)),"",IF(COUNTIFS(m_teacher,AZ$4,m_date,($G$2+22),m_active,1,m_start,"&lt;"&amp;720,m_end,"&gt;"&amp;660)=0,"",IF(COUNTIFS(m_teacher,AZ$4,m_date,($G$2+22),m_active,1,m_start,"&lt;"&amp;720,m_end,"&gt;"&amp;660)&gt;1,"충돌",HYPERLINK("#'관리자_MASTER'!D"&amp;_xlfn.MAXIFS(m_row,m_teacher,AZ$4,m_date,($G$2+22),m_active,1,m_start,"&lt;"&amp;720,m_end,"&gt;"&amp;660),INDEX(m_label,_xlfn.MAXIFS(m_row,m_teacher,AZ$4,m_date,($G$2+22),m_active,1,m_start,"&lt;"&amp;720,m_end,"&gt;"&amp;660))))))</f>
        <v/>
      </c>
      <c r="BA18" s="88" t="str">
        <f aca="false">IF(OR(BA$4="",MONTH(($G$2+22))&lt;&gt;MONTH($C$2)),"",IF(COUNTIFS(m_teacher,BA$4,m_date,($G$2+22),m_active,1,m_start,"&lt;"&amp;720,m_end,"&gt;"&amp;660)=0,"",IF(COUNTIFS(m_teacher,BA$4,m_date,($G$2+22),m_active,1,m_start,"&lt;"&amp;720,m_end,"&gt;"&amp;660)&gt;1,"충돌",HYPERLINK("#'관리자_MASTER'!D"&amp;_xlfn.MAXIFS(m_row,m_teacher,BA$4,m_date,($G$2+22),m_active,1,m_start,"&lt;"&amp;720,m_end,"&gt;"&amp;660),INDEX(m_label,_xlfn.MAXIFS(m_row,m_teacher,BA$4,m_date,($G$2+22),m_active,1,m_start,"&lt;"&amp;720,m_end,"&gt;"&amp;660))))))</f>
        <v/>
      </c>
      <c r="BB18" s="88" t="str">
        <f aca="false">IF(OR(BB$4="",MONTH(($G$2+22))&lt;&gt;MONTH($C$2)),"",IF(COUNTIFS(m_teacher,BB$4,m_date,($G$2+22),m_active,1,m_start,"&lt;"&amp;720,m_end,"&gt;"&amp;660)=0,"",IF(COUNTIFS(m_teacher,BB$4,m_date,($G$2+22),m_active,1,m_start,"&lt;"&amp;720,m_end,"&gt;"&amp;660)&gt;1,"충돌",HYPERLINK("#'관리자_MASTER'!D"&amp;_xlfn.MAXIFS(m_row,m_teacher,BB$4,m_date,($G$2+22),m_active,1,m_start,"&lt;"&amp;720,m_end,"&gt;"&amp;660),INDEX(m_label,_xlfn.MAXIFS(m_row,m_teacher,BB$4,m_date,($G$2+22),m_active,1,m_start,"&lt;"&amp;720,m_end,"&gt;"&amp;660))))))</f>
        <v/>
      </c>
      <c r="BC18" s="88" t="str">
        <f aca="false">IF(OR(BC$4="",MONTH(($G$2+22))&lt;&gt;MONTH($C$2)),"",IF(COUNTIFS(m_teacher,BC$4,m_date,($G$2+22),m_active,1,m_start,"&lt;"&amp;720,m_end,"&gt;"&amp;660)=0,"",IF(COUNTIFS(m_teacher,BC$4,m_date,($G$2+22),m_active,1,m_start,"&lt;"&amp;720,m_end,"&gt;"&amp;660)&gt;1,"충돌",HYPERLINK("#'관리자_MASTER'!D"&amp;_xlfn.MAXIFS(m_row,m_teacher,BC$4,m_date,($G$2+22),m_active,1,m_start,"&lt;"&amp;720,m_end,"&gt;"&amp;660),INDEX(m_label,_xlfn.MAXIFS(m_row,m_teacher,BC$4,m_date,($G$2+22),m_active,1,m_start,"&lt;"&amp;720,m_end,"&gt;"&amp;660))))))</f>
        <v/>
      </c>
      <c r="BD18" s="88" t="str">
        <f aca="false">IF(OR(BD$4="",MONTH(($G$2+22))&lt;&gt;MONTH($C$2)),"",IF(COUNTIFS(m_teacher,BD$4,m_date,($G$2+22),m_active,1,m_start,"&lt;"&amp;720,m_end,"&gt;"&amp;660)=0,"",IF(COUNTIFS(m_teacher,BD$4,m_date,($G$2+22),m_active,1,m_start,"&lt;"&amp;720,m_end,"&gt;"&amp;660)&gt;1,"충돌",HYPERLINK("#'관리자_MASTER'!D"&amp;_xlfn.MAXIFS(m_row,m_teacher,BD$4,m_date,($G$2+22),m_active,1,m_start,"&lt;"&amp;720,m_end,"&gt;"&amp;660),INDEX(m_label,_xlfn.MAXIFS(m_row,m_teacher,BD$4,m_date,($G$2+22),m_active,1,m_start,"&lt;"&amp;720,m_end,"&gt;"&amp;660))))))</f>
        <v/>
      </c>
    </row>
    <row r="19" customFormat="false" ht="19.5" hidden="false" customHeight="true" outlineLevel="0" collapsed="false">
      <c r="A19" s="78"/>
      <c r="B19" s="79" t="s">
        <v>94</v>
      </c>
      <c r="C19" s="88" t="str">
        <f aca="false">IF(OR(C$4="",MONTH(($G$2+1))&lt;&gt;MONTH($C$2)),"",IF(COUNTIFS(m_teacher,C$4,m_date,($G$2+1),m_active,1,m_start,"&lt;"&amp;780,m_end,"&gt;"&amp;720)=0,"",IF(COUNTIFS(m_teacher,C$4,m_date,($G$2+1),m_active,1,m_start,"&lt;"&amp;780,m_end,"&gt;"&amp;720)&gt;1,"충돌",HYPERLINK("#'관리자_MASTER'!D"&amp;_xlfn.MAXIFS(m_row,m_teacher,C$4,m_date,($G$2+1),m_active,1,m_start,"&lt;"&amp;780,m_end,"&gt;"&amp;720),INDEX(m_label,_xlfn.MAXIFS(m_row,m_teacher,C$4,m_date,($G$2+1),m_active,1,m_start,"&lt;"&amp;780,m_end,"&gt;"&amp;720))))))</f>
        <v/>
      </c>
      <c r="D19" s="88" t="str">
        <f aca="false">IF(OR(D$4="",MONTH(($G$2+1))&lt;&gt;MONTH($C$2)),"",IF(COUNTIFS(m_teacher,D$4,m_date,($G$2+1),m_active,1,m_start,"&lt;"&amp;780,m_end,"&gt;"&amp;720)=0,"",IF(COUNTIFS(m_teacher,D$4,m_date,($G$2+1),m_active,1,m_start,"&lt;"&amp;780,m_end,"&gt;"&amp;720)&gt;1,"충돌",HYPERLINK("#'관리자_MASTER'!D"&amp;_xlfn.MAXIFS(m_row,m_teacher,D$4,m_date,($G$2+1),m_active,1,m_start,"&lt;"&amp;780,m_end,"&gt;"&amp;720),INDEX(m_label,_xlfn.MAXIFS(m_row,m_teacher,D$4,m_date,($G$2+1),m_active,1,m_start,"&lt;"&amp;780,m_end,"&gt;"&amp;720))))))</f>
        <v/>
      </c>
      <c r="E19" s="88" t="str">
        <f aca="false">IF(OR(E$4="",MONTH(($G$2+1))&lt;&gt;MONTH($C$2)),"",IF(COUNTIFS(m_teacher,E$4,m_date,($G$2+1),m_active,1,m_start,"&lt;"&amp;780,m_end,"&gt;"&amp;720)=0,"",IF(COUNTIFS(m_teacher,E$4,m_date,($G$2+1),m_active,1,m_start,"&lt;"&amp;780,m_end,"&gt;"&amp;720)&gt;1,"충돌",HYPERLINK("#'관리자_MASTER'!D"&amp;_xlfn.MAXIFS(m_row,m_teacher,E$4,m_date,($G$2+1),m_active,1,m_start,"&lt;"&amp;780,m_end,"&gt;"&amp;720),INDEX(m_label,_xlfn.MAXIFS(m_row,m_teacher,E$4,m_date,($G$2+1),m_active,1,m_start,"&lt;"&amp;780,m_end,"&gt;"&amp;720))))))</f>
        <v/>
      </c>
      <c r="F19" s="88" t="str">
        <f aca="false">IF(OR(F$4="",MONTH(($G$2+1))&lt;&gt;MONTH($C$2)),"",IF(COUNTIFS(m_teacher,F$4,m_date,($G$2+1),m_active,1,m_start,"&lt;"&amp;780,m_end,"&gt;"&amp;720)=0,"",IF(COUNTIFS(m_teacher,F$4,m_date,($G$2+1),m_active,1,m_start,"&lt;"&amp;780,m_end,"&gt;"&amp;720)&gt;1,"충돌",HYPERLINK("#'관리자_MASTER'!D"&amp;_xlfn.MAXIFS(m_row,m_teacher,F$4,m_date,($G$2+1),m_active,1,m_start,"&lt;"&amp;780,m_end,"&gt;"&amp;720),INDEX(m_label,_xlfn.MAXIFS(m_row,m_teacher,F$4,m_date,($G$2+1),m_active,1,m_start,"&lt;"&amp;780,m_end,"&gt;"&amp;720))))))</f>
        <v/>
      </c>
      <c r="G19" s="88" t="str">
        <f aca="false">IF(OR(G$4="",MONTH(($G$2+1))&lt;&gt;MONTH($C$2)),"",IF(COUNTIFS(m_teacher,G$4,m_date,($G$2+1),m_active,1,m_start,"&lt;"&amp;780,m_end,"&gt;"&amp;720)=0,"",IF(COUNTIFS(m_teacher,G$4,m_date,($G$2+1),m_active,1,m_start,"&lt;"&amp;780,m_end,"&gt;"&amp;720)&gt;1,"충돌",HYPERLINK("#'관리자_MASTER'!D"&amp;_xlfn.MAXIFS(m_row,m_teacher,G$4,m_date,($G$2+1),m_active,1,m_start,"&lt;"&amp;780,m_end,"&gt;"&amp;720),INDEX(m_label,_xlfn.MAXIFS(m_row,m_teacher,G$4,m_date,($G$2+1),m_active,1,m_start,"&lt;"&amp;780,m_end,"&gt;"&amp;720))))))</f>
        <v/>
      </c>
      <c r="H19" s="88" t="str">
        <f aca="false">IF(OR(H$4="",MONTH(($G$2+1))&lt;&gt;MONTH($C$2)),"",IF(COUNTIFS(m_teacher,H$4,m_date,($G$2+1),m_active,1,m_start,"&lt;"&amp;780,m_end,"&gt;"&amp;720)=0,"",IF(COUNTIFS(m_teacher,H$4,m_date,($G$2+1),m_active,1,m_start,"&lt;"&amp;780,m_end,"&gt;"&amp;720)&gt;1,"충돌",HYPERLINK("#'관리자_MASTER'!D"&amp;_xlfn.MAXIFS(m_row,m_teacher,H$4,m_date,($G$2+1),m_active,1,m_start,"&lt;"&amp;780,m_end,"&gt;"&amp;720),INDEX(m_label,_xlfn.MAXIFS(m_row,m_teacher,H$4,m_date,($G$2+1),m_active,1,m_start,"&lt;"&amp;780,m_end,"&gt;"&amp;720))))))</f>
        <v/>
      </c>
      <c r="I19" s="88" t="str">
        <f aca="false">IF(OR(I$4="",MONTH(($G$2+1))&lt;&gt;MONTH($C$2)),"",IF(COUNTIFS(m_teacher,I$4,m_date,($G$2+1),m_active,1,m_start,"&lt;"&amp;780,m_end,"&gt;"&amp;720)=0,"",IF(COUNTIFS(m_teacher,I$4,m_date,($G$2+1),m_active,1,m_start,"&lt;"&amp;780,m_end,"&gt;"&amp;720)&gt;1,"충돌",HYPERLINK("#'관리자_MASTER'!D"&amp;_xlfn.MAXIFS(m_row,m_teacher,I$4,m_date,($G$2+1),m_active,1,m_start,"&lt;"&amp;780,m_end,"&gt;"&amp;720),INDEX(m_label,_xlfn.MAXIFS(m_row,m_teacher,I$4,m_date,($G$2+1),m_active,1,m_start,"&lt;"&amp;780,m_end,"&gt;"&amp;720))))))</f>
        <v/>
      </c>
      <c r="J19" s="88" t="str">
        <f aca="false">IF(OR(J$4="",MONTH(($G$2+1))&lt;&gt;MONTH($C$2)),"",IF(COUNTIFS(m_teacher,J$4,m_date,($G$2+1),m_active,1,m_start,"&lt;"&amp;780,m_end,"&gt;"&amp;720)=0,"",IF(COUNTIFS(m_teacher,J$4,m_date,($G$2+1),m_active,1,m_start,"&lt;"&amp;780,m_end,"&gt;"&amp;720)&gt;1,"충돌",HYPERLINK("#'관리자_MASTER'!D"&amp;_xlfn.MAXIFS(m_row,m_teacher,J$4,m_date,($G$2+1),m_active,1,m_start,"&lt;"&amp;780,m_end,"&gt;"&amp;720),INDEX(m_label,_xlfn.MAXIFS(m_row,m_teacher,J$4,m_date,($G$2+1),m_active,1,m_start,"&lt;"&amp;780,m_end,"&gt;"&amp;720))))))</f>
        <v/>
      </c>
      <c r="K19" s="88" t="str">
        <f aca="false">IF(OR(K$4="",MONTH(($G$2+1))&lt;&gt;MONTH($C$2)),"",IF(COUNTIFS(m_teacher,K$4,m_date,($G$2+1),m_active,1,m_start,"&lt;"&amp;780,m_end,"&gt;"&amp;720)=0,"",IF(COUNTIFS(m_teacher,K$4,m_date,($G$2+1),m_active,1,m_start,"&lt;"&amp;780,m_end,"&gt;"&amp;720)&gt;1,"충돌",HYPERLINK("#'관리자_MASTER'!D"&amp;_xlfn.MAXIFS(m_row,m_teacher,K$4,m_date,($G$2+1),m_active,1,m_start,"&lt;"&amp;780,m_end,"&gt;"&amp;720),INDEX(m_label,_xlfn.MAXIFS(m_row,m_teacher,K$4,m_date,($G$2+1),m_active,1,m_start,"&lt;"&amp;780,m_end,"&gt;"&amp;720))))))</f>
        <v/>
      </c>
      <c r="L19" s="88" t="str">
        <f aca="false">IF(OR(L$4="",MONTH(($G$2+1))&lt;&gt;MONTH($C$2)),"",IF(COUNTIFS(m_teacher,L$4,m_date,($G$2+1),m_active,1,m_start,"&lt;"&amp;780,m_end,"&gt;"&amp;720)=0,"",IF(COUNTIFS(m_teacher,L$4,m_date,($G$2+1),m_active,1,m_start,"&lt;"&amp;780,m_end,"&gt;"&amp;720)&gt;1,"충돌",HYPERLINK("#'관리자_MASTER'!D"&amp;_xlfn.MAXIFS(m_row,m_teacher,L$4,m_date,($G$2+1),m_active,1,m_start,"&lt;"&amp;780,m_end,"&gt;"&amp;720),INDEX(m_label,_xlfn.MAXIFS(m_row,m_teacher,L$4,m_date,($G$2+1),m_active,1,m_start,"&lt;"&amp;780,m_end,"&gt;"&amp;720))))))</f>
        <v/>
      </c>
      <c r="M19" s="88" t="str">
        <f aca="false">IF(OR(M$4="",MONTH(($G$2+1))&lt;&gt;MONTH($C$2)),"",IF(COUNTIFS(m_teacher,M$4,m_date,($G$2+1),m_active,1,m_start,"&lt;"&amp;780,m_end,"&gt;"&amp;720)=0,"",IF(COUNTIFS(m_teacher,M$4,m_date,($G$2+1),m_active,1,m_start,"&lt;"&amp;780,m_end,"&gt;"&amp;720)&gt;1,"충돌",HYPERLINK("#'관리자_MASTER'!D"&amp;_xlfn.MAXIFS(m_row,m_teacher,M$4,m_date,($G$2+1),m_active,1,m_start,"&lt;"&amp;780,m_end,"&gt;"&amp;720),INDEX(m_label,_xlfn.MAXIFS(m_row,m_teacher,M$4,m_date,($G$2+1),m_active,1,m_start,"&lt;"&amp;780,m_end,"&gt;"&amp;720))))))</f>
        <v/>
      </c>
      <c r="N19" s="88" t="str">
        <f aca="false">IF(OR(N$4="",MONTH(($G$2+1))&lt;&gt;MONTH($C$2)),"",IF(COUNTIFS(m_teacher,N$4,m_date,($G$2+1),m_active,1,m_start,"&lt;"&amp;780,m_end,"&gt;"&amp;720)=0,"",IF(COUNTIFS(m_teacher,N$4,m_date,($G$2+1),m_active,1,m_start,"&lt;"&amp;780,m_end,"&gt;"&amp;720)&gt;1,"충돌",HYPERLINK("#'관리자_MASTER'!D"&amp;_xlfn.MAXIFS(m_row,m_teacher,N$4,m_date,($G$2+1),m_active,1,m_start,"&lt;"&amp;780,m_end,"&gt;"&amp;720),INDEX(m_label,_xlfn.MAXIFS(m_row,m_teacher,N$4,m_date,($G$2+1),m_active,1,m_start,"&lt;"&amp;780,m_end,"&gt;"&amp;720))))))</f>
        <v/>
      </c>
      <c r="O19" s="78"/>
      <c r="P19" s="79" t="s">
        <v>94</v>
      </c>
      <c r="Q19" s="88" t="str">
        <f aca="false">IF(OR(Q$4="",MONTH(($G$2+8))&lt;&gt;MONTH($C$2)),"",IF(COUNTIFS(m_teacher,Q$4,m_date,($G$2+8),m_active,1,m_start,"&lt;"&amp;780,m_end,"&gt;"&amp;720)=0,"",IF(COUNTIFS(m_teacher,Q$4,m_date,($G$2+8),m_active,1,m_start,"&lt;"&amp;780,m_end,"&gt;"&amp;720)&gt;1,"충돌",HYPERLINK("#'관리자_MASTER'!D"&amp;_xlfn.MAXIFS(m_row,m_teacher,Q$4,m_date,($G$2+8),m_active,1,m_start,"&lt;"&amp;780,m_end,"&gt;"&amp;720),INDEX(m_label,_xlfn.MAXIFS(m_row,m_teacher,Q$4,m_date,($G$2+8),m_active,1,m_start,"&lt;"&amp;780,m_end,"&gt;"&amp;720))))))</f>
        <v/>
      </c>
      <c r="R19" s="88" t="str">
        <f aca="false">IF(OR(R$4="",MONTH(($G$2+8))&lt;&gt;MONTH($C$2)),"",IF(COUNTIFS(m_teacher,R$4,m_date,($G$2+8),m_active,1,m_start,"&lt;"&amp;780,m_end,"&gt;"&amp;720)=0,"",IF(COUNTIFS(m_teacher,R$4,m_date,($G$2+8),m_active,1,m_start,"&lt;"&amp;780,m_end,"&gt;"&amp;720)&gt;1,"충돌",HYPERLINK("#'관리자_MASTER'!D"&amp;_xlfn.MAXIFS(m_row,m_teacher,R$4,m_date,($G$2+8),m_active,1,m_start,"&lt;"&amp;780,m_end,"&gt;"&amp;720),INDEX(m_label,_xlfn.MAXIFS(m_row,m_teacher,R$4,m_date,($G$2+8),m_active,1,m_start,"&lt;"&amp;780,m_end,"&gt;"&amp;720))))))</f>
        <v/>
      </c>
      <c r="S19" s="88" t="str">
        <f aca="false">IF(OR(S$4="",MONTH(($G$2+8))&lt;&gt;MONTH($C$2)),"",IF(COUNTIFS(m_teacher,S$4,m_date,($G$2+8),m_active,1,m_start,"&lt;"&amp;780,m_end,"&gt;"&amp;720)=0,"",IF(COUNTIFS(m_teacher,S$4,m_date,($G$2+8),m_active,1,m_start,"&lt;"&amp;780,m_end,"&gt;"&amp;720)&gt;1,"충돌",HYPERLINK("#'관리자_MASTER'!D"&amp;_xlfn.MAXIFS(m_row,m_teacher,S$4,m_date,($G$2+8),m_active,1,m_start,"&lt;"&amp;780,m_end,"&gt;"&amp;720),INDEX(m_label,_xlfn.MAXIFS(m_row,m_teacher,S$4,m_date,($G$2+8),m_active,1,m_start,"&lt;"&amp;780,m_end,"&gt;"&amp;720))))))</f>
        <v/>
      </c>
      <c r="T19" s="88" t="str">
        <f aca="false">IF(OR(T$4="",MONTH(($G$2+8))&lt;&gt;MONTH($C$2)),"",IF(COUNTIFS(m_teacher,T$4,m_date,($G$2+8),m_active,1,m_start,"&lt;"&amp;780,m_end,"&gt;"&amp;720)=0,"",IF(COUNTIFS(m_teacher,T$4,m_date,($G$2+8),m_active,1,m_start,"&lt;"&amp;780,m_end,"&gt;"&amp;720)&gt;1,"충돌",HYPERLINK("#'관리자_MASTER'!D"&amp;_xlfn.MAXIFS(m_row,m_teacher,T$4,m_date,($G$2+8),m_active,1,m_start,"&lt;"&amp;780,m_end,"&gt;"&amp;720),INDEX(m_label,_xlfn.MAXIFS(m_row,m_teacher,T$4,m_date,($G$2+8),m_active,1,m_start,"&lt;"&amp;780,m_end,"&gt;"&amp;720))))))</f>
        <v/>
      </c>
      <c r="U19" s="88" t="str">
        <f aca="false">IF(OR(U$4="",MONTH(($G$2+8))&lt;&gt;MONTH($C$2)),"",IF(COUNTIFS(m_teacher,U$4,m_date,($G$2+8),m_active,1,m_start,"&lt;"&amp;780,m_end,"&gt;"&amp;720)=0,"",IF(COUNTIFS(m_teacher,U$4,m_date,($G$2+8),m_active,1,m_start,"&lt;"&amp;780,m_end,"&gt;"&amp;720)&gt;1,"충돌",HYPERLINK("#'관리자_MASTER'!D"&amp;_xlfn.MAXIFS(m_row,m_teacher,U$4,m_date,($G$2+8),m_active,1,m_start,"&lt;"&amp;780,m_end,"&gt;"&amp;720),INDEX(m_label,_xlfn.MAXIFS(m_row,m_teacher,U$4,m_date,($G$2+8),m_active,1,m_start,"&lt;"&amp;780,m_end,"&gt;"&amp;720))))))</f>
        <v/>
      </c>
      <c r="V19" s="88" t="str">
        <f aca="false">IF(OR(V$4="",MONTH(($G$2+8))&lt;&gt;MONTH($C$2)),"",IF(COUNTIFS(m_teacher,V$4,m_date,($G$2+8),m_active,1,m_start,"&lt;"&amp;780,m_end,"&gt;"&amp;720)=0,"",IF(COUNTIFS(m_teacher,V$4,m_date,($G$2+8),m_active,1,m_start,"&lt;"&amp;780,m_end,"&gt;"&amp;720)&gt;1,"충돌",HYPERLINK("#'관리자_MASTER'!D"&amp;_xlfn.MAXIFS(m_row,m_teacher,V$4,m_date,($G$2+8),m_active,1,m_start,"&lt;"&amp;780,m_end,"&gt;"&amp;720),INDEX(m_label,_xlfn.MAXIFS(m_row,m_teacher,V$4,m_date,($G$2+8),m_active,1,m_start,"&lt;"&amp;780,m_end,"&gt;"&amp;720))))))</f>
        <v/>
      </c>
      <c r="W19" s="88" t="str">
        <f aca="false">IF(OR(W$4="",MONTH(($G$2+8))&lt;&gt;MONTH($C$2)),"",IF(COUNTIFS(m_teacher,W$4,m_date,($G$2+8),m_active,1,m_start,"&lt;"&amp;780,m_end,"&gt;"&amp;720)=0,"",IF(COUNTIFS(m_teacher,W$4,m_date,($G$2+8),m_active,1,m_start,"&lt;"&amp;780,m_end,"&gt;"&amp;720)&gt;1,"충돌",HYPERLINK("#'관리자_MASTER'!D"&amp;_xlfn.MAXIFS(m_row,m_teacher,W$4,m_date,($G$2+8),m_active,1,m_start,"&lt;"&amp;780,m_end,"&gt;"&amp;720),INDEX(m_label,_xlfn.MAXIFS(m_row,m_teacher,W$4,m_date,($G$2+8),m_active,1,m_start,"&lt;"&amp;780,m_end,"&gt;"&amp;720))))))</f>
        <v/>
      </c>
      <c r="X19" s="88" t="str">
        <f aca="false">IF(OR(X$4="",MONTH(($G$2+8))&lt;&gt;MONTH($C$2)),"",IF(COUNTIFS(m_teacher,X$4,m_date,($G$2+8),m_active,1,m_start,"&lt;"&amp;780,m_end,"&gt;"&amp;720)=0,"",IF(COUNTIFS(m_teacher,X$4,m_date,($G$2+8),m_active,1,m_start,"&lt;"&amp;780,m_end,"&gt;"&amp;720)&gt;1,"충돌",HYPERLINK("#'관리자_MASTER'!D"&amp;_xlfn.MAXIFS(m_row,m_teacher,X$4,m_date,($G$2+8),m_active,1,m_start,"&lt;"&amp;780,m_end,"&gt;"&amp;720),INDEX(m_label,_xlfn.MAXIFS(m_row,m_teacher,X$4,m_date,($G$2+8),m_active,1,m_start,"&lt;"&amp;780,m_end,"&gt;"&amp;720))))))</f>
        <v/>
      </c>
      <c r="Y19" s="88" t="str">
        <f aca="false">IF(OR(Y$4="",MONTH(($G$2+8))&lt;&gt;MONTH($C$2)),"",IF(COUNTIFS(m_teacher,Y$4,m_date,($G$2+8),m_active,1,m_start,"&lt;"&amp;780,m_end,"&gt;"&amp;720)=0,"",IF(COUNTIFS(m_teacher,Y$4,m_date,($G$2+8),m_active,1,m_start,"&lt;"&amp;780,m_end,"&gt;"&amp;720)&gt;1,"충돌",HYPERLINK("#'관리자_MASTER'!D"&amp;_xlfn.MAXIFS(m_row,m_teacher,Y$4,m_date,($G$2+8),m_active,1,m_start,"&lt;"&amp;780,m_end,"&gt;"&amp;720),INDEX(m_label,_xlfn.MAXIFS(m_row,m_teacher,Y$4,m_date,($G$2+8),m_active,1,m_start,"&lt;"&amp;780,m_end,"&gt;"&amp;720))))))</f>
        <v/>
      </c>
      <c r="Z19" s="88" t="str">
        <f aca="false">IF(OR(Z$4="",MONTH(($G$2+8))&lt;&gt;MONTH($C$2)),"",IF(COUNTIFS(m_teacher,Z$4,m_date,($G$2+8),m_active,1,m_start,"&lt;"&amp;780,m_end,"&gt;"&amp;720)=0,"",IF(COUNTIFS(m_teacher,Z$4,m_date,($G$2+8),m_active,1,m_start,"&lt;"&amp;780,m_end,"&gt;"&amp;720)&gt;1,"충돌",HYPERLINK("#'관리자_MASTER'!D"&amp;_xlfn.MAXIFS(m_row,m_teacher,Z$4,m_date,($G$2+8),m_active,1,m_start,"&lt;"&amp;780,m_end,"&gt;"&amp;720),INDEX(m_label,_xlfn.MAXIFS(m_row,m_teacher,Z$4,m_date,($G$2+8),m_active,1,m_start,"&lt;"&amp;780,m_end,"&gt;"&amp;720))))))</f>
        <v/>
      </c>
      <c r="AA19" s="88" t="str">
        <f aca="false">IF(OR(AA$4="",MONTH(($G$2+8))&lt;&gt;MONTH($C$2)),"",IF(COUNTIFS(m_teacher,AA$4,m_date,($G$2+8),m_active,1,m_start,"&lt;"&amp;780,m_end,"&gt;"&amp;720)=0,"",IF(COUNTIFS(m_teacher,AA$4,m_date,($G$2+8),m_active,1,m_start,"&lt;"&amp;780,m_end,"&gt;"&amp;720)&gt;1,"충돌",HYPERLINK("#'관리자_MASTER'!D"&amp;_xlfn.MAXIFS(m_row,m_teacher,AA$4,m_date,($G$2+8),m_active,1,m_start,"&lt;"&amp;780,m_end,"&gt;"&amp;720),INDEX(m_label,_xlfn.MAXIFS(m_row,m_teacher,AA$4,m_date,($G$2+8),m_active,1,m_start,"&lt;"&amp;780,m_end,"&gt;"&amp;720))))))</f>
        <v/>
      </c>
      <c r="AB19" s="88" t="str">
        <f aca="false">IF(OR(AB$4="",MONTH(($G$2+8))&lt;&gt;MONTH($C$2)),"",IF(COUNTIFS(m_teacher,AB$4,m_date,($G$2+8),m_active,1,m_start,"&lt;"&amp;780,m_end,"&gt;"&amp;720)=0,"",IF(COUNTIFS(m_teacher,AB$4,m_date,($G$2+8),m_active,1,m_start,"&lt;"&amp;780,m_end,"&gt;"&amp;720)&gt;1,"충돌",HYPERLINK("#'관리자_MASTER'!D"&amp;_xlfn.MAXIFS(m_row,m_teacher,AB$4,m_date,($G$2+8),m_active,1,m_start,"&lt;"&amp;780,m_end,"&gt;"&amp;720),INDEX(m_label,_xlfn.MAXIFS(m_row,m_teacher,AB$4,m_date,($G$2+8),m_active,1,m_start,"&lt;"&amp;780,m_end,"&gt;"&amp;720))))))</f>
        <v/>
      </c>
      <c r="AC19" s="78"/>
      <c r="AD19" s="79" t="s">
        <v>94</v>
      </c>
      <c r="AE19" s="88" t="str">
        <f aca="false">IF(OR(AE$4="",MONTH(($G$2+15))&lt;&gt;MONTH($C$2)),"",IF(COUNTIFS(m_teacher,AE$4,m_date,($G$2+15),m_active,1,m_start,"&lt;"&amp;780,m_end,"&gt;"&amp;720)=0,"",IF(COUNTIFS(m_teacher,AE$4,m_date,($G$2+15),m_active,1,m_start,"&lt;"&amp;780,m_end,"&gt;"&amp;720)&gt;1,"충돌",HYPERLINK("#'관리자_MASTER'!D"&amp;_xlfn.MAXIFS(m_row,m_teacher,AE$4,m_date,($G$2+15),m_active,1,m_start,"&lt;"&amp;780,m_end,"&gt;"&amp;720),INDEX(m_label,_xlfn.MAXIFS(m_row,m_teacher,AE$4,m_date,($G$2+15),m_active,1,m_start,"&lt;"&amp;780,m_end,"&gt;"&amp;720))))))</f>
        <v/>
      </c>
      <c r="AF19" s="88" t="str">
        <f aca="false">IF(OR(AF$4="",MONTH(($G$2+15))&lt;&gt;MONTH($C$2)),"",IF(COUNTIFS(m_teacher,AF$4,m_date,($G$2+15),m_active,1,m_start,"&lt;"&amp;780,m_end,"&gt;"&amp;720)=0,"",IF(COUNTIFS(m_teacher,AF$4,m_date,($G$2+15),m_active,1,m_start,"&lt;"&amp;780,m_end,"&gt;"&amp;720)&gt;1,"충돌",HYPERLINK("#'관리자_MASTER'!D"&amp;_xlfn.MAXIFS(m_row,m_teacher,AF$4,m_date,($G$2+15),m_active,1,m_start,"&lt;"&amp;780,m_end,"&gt;"&amp;720),INDEX(m_label,_xlfn.MAXIFS(m_row,m_teacher,AF$4,m_date,($G$2+15),m_active,1,m_start,"&lt;"&amp;780,m_end,"&gt;"&amp;720))))))</f>
        <v/>
      </c>
      <c r="AG19" s="88" t="str">
        <f aca="false">IF(OR(AG$4="",MONTH(($G$2+15))&lt;&gt;MONTH($C$2)),"",IF(COUNTIFS(m_teacher,AG$4,m_date,($G$2+15),m_active,1,m_start,"&lt;"&amp;780,m_end,"&gt;"&amp;720)=0,"",IF(COUNTIFS(m_teacher,AG$4,m_date,($G$2+15),m_active,1,m_start,"&lt;"&amp;780,m_end,"&gt;"&amp;720)&gt;1,"충돌",HYPERLINK("#'관리자_MASTER'!D"&amp;_xlfn.MAXIFS(m_row,m_teacher,AG$4,m_date,($G$2+15),m_active,1,m_start,"&lt;"&amp;780,m_end,"&gt;"&amp;720),INDEX(m_label,_xlfn.MAXIFS(m_row,m_teacher,AG$4,m_date,($G$2+15),m_active,1,m_start,"&lt;"&amp;780,m_end,"&gt;"&amp;720))))))</f>
        <v/>
      </c>
      <c r="AH19" s="88" t="str">
        <f aca="false">IF(OR(AH$4="",MONTH(($G$2+15))&lt;&gt;MONTH($C$2)),"",IF(COUNTIFS(m_teacher,AH$4,m_date,($G$2+15),m_active,1,m_start,"&lt;"&amp;780,m_end,"&gt;"&amp;720)=0,"",IF(COUNTIFS(m_teacher,AH$4,m_date,($G$2+15),m_active,1,m_start,"&lt;"&amp;780,m_end,"&gt;"&amp;720)&gt;1,"충돌",HYPERLINK("#'관리자_MASTER'!D"&amp;_xlfn.MAXIFS(m_row,m_teacher,AH$4,m_date,($G$2+15),m_active,1,m_start,"&lt;"&amp;780,m_end,"&gt;"&amp;720),INDEX(m_label,_xlfn.MAXIFS(m_row,m_teacher,AH$4,m_date,($G$2+15),m_active,1,m_start,"&lt;"&amp;780,m_end,"&gt;"&amp;720))))))</f>
        <v/>
      </c>
      <c r="AI19" s="88" t="str">
        <f aca="false">IF(OR(AI$4="",MONTH(($G$2+15))&lt;&gt;MONTH($C$2)),"",IF(COUNTIFS(m_teacher,AI$4,m_date,($G$2+15),m_active,1,m_start,"&lt;"&amp;780,m_end,"&gt;"&amp;720)=0,"",IF(COUNTIFS(m_teacher,AI$4,m_date,($G$2+15),m_active,1,m_start,"&lt;"&amp;780,m_end,"&gt;"&amp;720)&gt;1,"충돌",HYPERLINK("#'관리자_MASTER'!D"&amp;_xlfn.MAXIFS(m_row,m_teacher,AI$4,m_date,($G$2+15),m_active,1,m_start,"&lt;"&amp;780,m_end,"&gt;"&amp;720),INDEX(m_label,_xlfn.MAXIFS(m_row,m_teacher,AI$4,m_date,($G$2+15),m_active,1,m_start,"&lt;"&amp;780,m_end,"&gt;"&amp;720))))))</f>
        <v/>
      </c>
      <c r="AJ19" s="88" t="str">
        <f aca="false">IF(OR(AJ$4="",MONTH(($G$2+15))&lt;&gt;MONTH($C$2)),"",IF(COUNTIFS(m_teacher,AJ$4,m_date,($G$2+15),m_active,1,m_start,"&lt;"&amp;780,m_end,"&gt;"&amp;720)=0,"",IF(COUNTIFS(m_teacher,AJ$4,m_date,($G$2+15),m_active,1,m_start,"&lt;"&amp;780,m_end,"&gt;"&amp;720)&gt;1,"충돌",HYPERLINK("#'관리자_MASTER'!D"&amp;_xlfn.MAXIFS(m_row,m_teacher,AJ$4,m_date,($G$2+15),m_active,1,m_start,"&lt;"&amp;780,m_end,"&gt;"&amp;720),INDEX(m_label,_xlfn.MAXIFS(m_row,m_teacher,AJ$4,m_date,($G$2+15),m_active,1,m_start,"&lt;"&amp;780,m_end,"&gt;"&amp;720))))))</f>
        <v/>
      </c>
      <c r="AK19" s="88" t="str">
        <f aca="false">IF(OR(AK$4="",MONTH(($G$2+15))&lt;&gt;MONTH($C$2)),"",IF(COUNTIFS(m_teacher,AK$4,m_date,($G$2+15),m_active,1,m_start,"&lt;"&amp;780,m_end,"&gt;"&amp;720)=0,"",IF(COUNTIFS(m_teacher,AK$4,m_date,($G$2+15),m_active,1,m_start,"&lt;"&amp;780,m_end,"&gt;"&amp;720)&gt;1,"충돌",HYPERLINK("#'관리자_MASTER'!D"&amp;_xlfn.MAXIFS(m_row,m_teacher,AK$4,m_date,($G$2+15),m_active,1,m_start,"&lt;"&amp;780,m_end,"&gt;"&amp;720),INDEX(m_label,_xlfn.MAXIFS(m_row,m_teacher,AK$4,m_date,($G$2+15),m_active,1,m_start,"&lt;"&amp;780,m_end,"&gt;"&amp;720))))))</f>
        <v/>
      </c>
      <c r="AL19" s="88" t="str">
        <f aca="false">IF(OR(AL$4="",MONTH(($G$2+15))&lt;&gt;MONTH($C$2)),"",IF(COUNTIFS(m_teacher,AL$4,m_date,($G$2+15),m_active,1,m_start,"&lt;"&amp;780,m_end,"&gt;"&amp;720)=0,"",IF(COUNTIFS(m_teacher,AL$4,m_date,($G$2+15),m_active,1,m_start,"&lt;"&amp;780,m_end,"&gt;"&amp;720)&gt;1,"충돌",HYPERLINK("#'관리자_MASTER'!D"&amp;_xlfn.MAXIFS(m_row,m_teacher,AL$4,m_date,($G$2+15),m_active,1,m_start,"&lt;"&amp;780,m_end,"&gt;"&amp;720),INDEX(m_label,_xlfn.MAXIFS(m_row,m_teacher,AL$4,m_date,($G$2+15),m_active,1,m_start,"&lt;"&amp;780,m_end,"&gt;"&amp;720))))))</f>
        <v/>
      </c>
      <c r="AM19" s="88" t="str">
        <f aca="false">IF(OR(AM$4="",MONTH(($G$2+15))&lt;&gt;MONTH($C$2)),"",IF(COUNTIFS(m_teacher,AM$4,m_date,($G$2+15),m_active,1,m_start,"&lt;"&amp;780,m_end,"&gt;"&amp;720)=0,"",IF(COUNTIFS(m_teacher,AM$4,m_date,($G$2+15),m_active,1,m_start,"&lt;"&amp;780,m_end,"&gt;"&amp;720)&gt;1,"충돌",HYPERLINK("#'관리자_MASTER'!D"&amp;_xlfn.MAXIFS(m_row,m_teacher,AM$4,m_date,($G$2+15),m_active,1,m_start,"&lt;"&amp;780,m_end,"&gt;"&amp;720),INDEX(m_label,_xlfn.MAXIFS(m_row,m_teacher,AM$4,m_date,($G$2+15),m_active,1,m_start,"&lt;"&amp;780,m_end,"&gt;"&amp;720))))))</f>
        <v/>
      </c>
      <c r="AN19" s="88" t="str">
        <f aca="false">IF(OR(AN$4="",MONTH(($G$2+15))&lt;&gt;MONTH($C$2)),"",IF(COUNTIFS(m_teacher,AN$4,m_date,($G$2+15),m_active,1,m_start,"&lt;"&amp;780,m_end,"&gt;"&amp;720)=0,"",IF(COUNTIFS(m_teacher,AN$4,m_date,($G$2+15),m_active,1,m_start,"&lt;"&amp;780,m_end,"&gt;"&amp;720)&gt;1,"충돌",HYPERLINK("#'관리자_MASTER'!D"&amp;_xlfn.MAXIFS(m_row,m_teacher,AN$4,m_date,($G$2+15),m_active,1,m_start,"&lt;"&amp;780,m_end,"&gt;"&amp;720),INDEX(m_label,_xlfn.MAXIFS(m_row,m_teacher,AN$4,m_date,($G$2+15),m_active,1,m_start,"&lt;"&amp;780,m_end,"&gt;"&amp;720))))))</f>
        <v/>
      </c>
      <c r="AO19" s="88" t="str">
        <f aca="false">IF(OR(AO$4="",MONTH(($G$2+15))&lt;&gt;MONTH($C$2)),"",IF(COUNTIFS(m_teacher,AO$4,m_date,($G$2+15),m_active,1,m_start,"&lt;"&amp;780,m_end,"&gt;"&amp;720)=0,"",IF(COUNTIFS(m_teacher,AO$4,m_date,($G$2+15),m_active,1,m_start,"&lt;"&amp;780,m_end,"&gt;"&amp;720)&gt;1,"충돌",HYPERLINK("#'관리자_MASTER'!D"&amp;_xlfn.MAXIFS(m_row,m_teacher,AO$4,m_date,($G$2+15),m_active,1,m_start,"&lt;"&amp;780,m_end,"&gt;"&amp;720),INDEX(m_label,_xlfn.MAXIFS(m_row,m_teacher,AO$4,m_date,($G$2+15),m_active,1,m_start,"&lt;"&amp;780,m_end,"&gt;"&amp;720))))))</f>
        <v/>
      </c>
      <c r="AP19" s="88" t="str">
        <f aca="false">IF(OR(AP$4="",MONTH(($G$2+15))&lt;&gt;MONTH($C$2)),"",IF(COUNTIFS(m_teacher,AP$4,m_date,($G$2+15),m_active,1,m_start,"&lt;"&amp;780,m_end,"&gt;"&amp;720)=0,"",IF(COUNTIFS(m_teacher,AP$4,m_date,($G$2+15),m_active,1,m_start,"&lt;"&amp;780,m_end,"&gt;"&amp;720)&gt;1,"충돌",HYPERLINK("#'관리자_MASTER'!D"&amp;_xlfn.MAXIFS(m_row,m_teacher,AP$4,m_date,($G$2+15),m_active,1,m_start,"&lt;"&amp;780,m_end,"&gt;"&amp;720),INDEX(m_label,_xlfn.MAXIFS(m_row,m_teacher,AP$4,m_date,($G$2+15),m_active,1,m_start,"&lt;"&amp;780,m_end,"&gt;"&amp;720))))))</f>
        <v/>
      </c>
      <c r="AQ19" s="78"/>
      <c r="AR19" s="79" t="s">
        <v>94</v>
      </c>
      <c r="AS19" s="88" t="str">
        <f aca="false">IF(OR(AS$4="",MONTH(($G$2+22))&lt;&gt;MONTH($C$2)),"",IF(COUNTIFS(m_teacher,AS$4,m_date,($G$2+22),m_active,1,m_start,"&lt;"&amp;780,m_end,"&gt;"&amp;720)=0,"",IF(COUNTIFS(m_teacher,AS$4,m_date,($G$2+22),m_active,1,m_start,"&lt;"&amp;780,m_end,"&gt;"&amp;720)&gt;1,"충돌",HYPERLINK("#'관리자_MASTER'!D"&amp;_xlfn.MAXIFS(m_row,m_teacher,AS$4,m_date,($G$2+22),m_active,1,m_start,"&lt;"&amp;780,m_end,"&gt;"&amp;720),INDEX(m_label,_xlfn.MAXIFS(m_row,m_teacher,AS$4,m_date,($G$2+22),m_active,1,m_start,"&lt;"&amp;780,m_end,"&gt;"&amp;720))))))</f>
        <v/>
      </c>
      <c r="AT19" s="88" t="str">
        <f aca="false">IF(OR(AT$4="",MONTH(($G$2+22))&lt;&gt;MONTH($C$2)),"",IF(COUNTIFS(m_teacher,AT$4,m_date,($G$2+22),m_active,1,m_start,"&lt;"&amp;780,m_end,"&gt;"&amp;720)=0,"",IF(COUNTIFS(m_teacher,AT$4,m_date,($G$2+22),m_active,1,m_start,"&lt;"&amp;780,m_end,"&gt;"&amp;720)&gt;1,"충돌",HYPERLINK("#'관리자_MASTER'!D"&amp;_xlfn.MAXIFS(m_row,m_teacher,AT$4,m_date,($G$2+22),m_active,1,m_start,"&lt;"&amp;780,m_end,"&gt;"&amp;720),INDEX(m_label,_xlfn.MAXIFS(m_row,m_teacher,AT$4,m_date,($G$2+22),m_active,1,m_start,"&lt;"&amp;780,m_end,"&gt;"&amp;720))))))</f>
        <v/>
      </c>
      <c r="AU19" s="88" t="str">
        <f aca="false">IF(OR(AU$4="",MONTH(($G$2+22))&lt;&gt;MONTH($C$2)),"",IF(COUNTIFS(m_teacher,AU$4,m_date,($G$2+22),m_active,1,m_start,"&lt;"&amp;780,m_end,"&gt;"&amp;720)=0,"",IF(COUNTIFS(m_teacher,AU$4,m_date,($G$2+22),m_active,1,m_start,"&lt;"&amp;780,m_end,"&gt;"&amp;720)&gt;1,"충돌",HYPERLINK("#'관리자_MASTER'!D"&amp;_xlfn.MAXIFS(m_row,m_teacher,AU$4,m_date,($G$2+22),m_active,1,m_start,"&lt;"&amp;780,m_end,"&gt;"&amp;720),INDEX(m_label,_xlfn.MAXIFS(m_row,m_teacher,AU$4,m_date,($G$2+22),m_active,1,m_start,"&lt;"&amp;780,m_end,"&gt;"&amp;720))))))</f>
        <v/>
      </c>
      <c r="AV19" s="88" t="str">
        <f aca="false">IF(OR(AV$4="",MONTH(($G$2+22))&lt;&gt;MONTH($C$2)),"",IF(COUNTIFS(m_teacher,AV$4,m_date,($G$2+22),m_active,1,m_start,"&lt;"&amp;780,m_end,"&gt;"&amp;720)=0,"",IF(COUNTIFS(m_teacher,AV$4,m_date,($G$2+22),m_active,1,m_start,"&lt;"&amp;780,m_end,"&gt;"&amp;720)&gt;1,"충돌",HYPERLINK("#'관리자_MASTER'!D"&amp;_xlfn.MAXIFS(m_row,m_teacher,AV$4,m_date,($G$2+22),m_active,1,m_start,"&lt;"&amp;780,m_end,"&gt;"&amp;720),INDEX(m_label,_xlfn.MAXIFS(m_row,m_teacher,AV$4,m_date,($G$2+22),m_active,1,m_start,"&lt;"&amp;780,m_end,"&gt;"&amp;720))))))</f>
        <v/>
      </c>
      <c r="AW19" s="88" t="str">
        <f aca="false">IF(OR(AW$4="",MONTH(($G$2+22))&lt;&gt;MONTH($C$2)),"",IF(COUNTIFS(m_teacher,AW$4,m_date,($G$2+22),m_active,1,m_start,"&lt;"&amp;780,m_end,"&gt;"&amp;720)=0,"",IF(COUNTIFS(m_teacher,AW$4,m_date,($G$2+22),m_active,1,m_start,"&lt;"&amp;780,m_end,"&gt;"&amp;720)&gt;1,"충돌",HYPERLINK("#'관리자_MASTER'!D"&amp;_xlfn.MAXIFS(m_row,m_teacher,AW$4,m_date,($G$2+22),m_active,1,m_start,"&lt;"&amp;780,m_end,"&gt;"&amp;720),INDEX(m_label,_xlfn.MAXIFS(m_row,m_teacher,AW$4,m_date,($G$2+22),m_active,1,m_start,"&lt;"&amp;780,m_end,"&gt;"&amp;720))))))</f>
        <v/>
      </c>
      <c r="AX19" s="88" t="str">
        <f aca="false">IF(OR(AX$4="",MONTH(($G$2+22))&lt;&gt;MONTH($C$2)),"",IF(COUNTIFS(m_teacher,AX$4,m_date,($G$2+22),m_active,1,m_start,"&lt;"&amp;780,m_end,"&gt;"&amp;720)=0,"",IF(COUNTIFS(m_teacher,AX$4,m_date,($G$2+22),m_active,1,m_start,"&lt;"&amp;780,m_end,"&gt;"&amp;720)&gt;1,"충돌",HYPERLINK("#'관리자_MASTER'!D"&amp;_xlfn.MAXIFS(m_row,m_teacher,AX$4,m_date,($G$2+22),m_active,1,m_start,"&lt;"&amp;780,m_end,"&gt;"&amp;720),INDEX(m_label,_xlfn.MAXIFS(m_row,m_teacher,AX$4,m_date,($G$2+22),m_active,1,m_start,"&lt;"&amp;780,m_end,"&gt;"&amp;720))))))</f>
        <v/>
      </c>
      <c r="AY19" s="88" t="str">
        <f aca="false">IF(OR(AY$4="",MONTH(($G$2+22))&lt;&gt;MONTH($C$2)),"",IF(COUNTIFS(m_teacher,AY$4,m_date,($G$2+22),m_active,1,m_start,"&lt;"&amp;780,m_end,"&gt;"&amp;720)=0,"",IF(COUNTIFS(m_teacher,AY$4,m_date,($G$2+22),m_active,1,m_start,"&lt;"&amp;780,m_end,"&gt;"&amp;720)&gt;1,"충돌",HYPERLINK("#'관리자_MASTER'!D"&amp;_xlfn.MAXIFS(m_row,m_teacher,AY$4,m_date,($G$2+22),m_active,1,m_start,"&lt;"&amp;780,m_end,"&gt;"&amp;720),INDEX(m_label,_xlfn.MAXIFS(m_row,m_teacher,AY$4,m_date,($G$2+22),m_active,1,m_start,"&lt;"&amp;780,m_end,"&gt;"&amp;720))))))</f>
        <v/>
      </c>
      <c r="AZ19" s="88" t="str">
        <f aca="false">IF(OR(AZ$4="",MONTH(($G$2+22))&lt;&gt;MONTH($C$2)),"",IF(COUNTIFS(m_teacher,AZ$4,m_date,($G$2+22),m_active,1,m_start,"&lt;"&amp;780,m_end,"&gt;"&amp;720)=0,"",IF(COUNTIFS(m_teacher,AZ$4,m_date,($G$2+22),m_active,1,m_start,"&lt;"&amp;780,m_end,"&gt;"&amp;720)&gt;1,"충돌",HYPERLINK("#'관리자_MASTER'!D"&amp;_xlfn.MAXIFS(m_row,m_teacher,AZ$4,m_date,($G$2+22),m_active,1,m_start,"&lt;"&amp;780,m_end,"&gt;"&amp;720),INDEX(m_label,_xlfn.MAXIFS(m_row,m_teacher,AZ$4,m_date,($G$2+22),m_active,1,m_start,"&lt;"&amp;780,m_end,"&gt;"&amp;720))))))</f>
        <v/>
      </c>
      <c r="BA19" s="88" t="str">
        <f aca="false">IF(OR(BA$4="",MONTH(($G$2+22))&lt;&gt;MONTH($C$2)),"",IF(COUNTIFS(m_teacher,BA$4,m_date,($G$2+22),m_active,1,m_start,"&lt;"&amp;780,m_end,"&gt;"&amp;720)=0,"",IF(COUNTIFS(m_teacher,BA$4,m_date,($G$2+22),m_active,1,m_start,"&lt;"&amp;780,m_end,"&gt;"&amp;720)&gt;1,"충돌",HYPERLINK("#'관리자_MASTER'!D"&amp;_xlfn.MAXIFS(m_row,m_teacher,BA$4,m_date,($G$2+22),m_active,1,m_start,"&lt;"&amp;780,m_end,"&gt;"&amp;720),INDEX(m_label,_xlfn.MAXIFS(m_row,m_teacher,BA$4,m_date,($G$2+22),m_active,1,m_start,"&lt;"&amp;780,m_end,"&gt;"&amp;720))))))</f>
        <v/>
      </c>
      <c r="BB19" s="88" t="str">
        <f aca="false">IF(OR(BB$4="",MONTH(($G$2+22))&lt;&gt;MONTH($C$2)),"",IF(COUNTIFS(m_teacher,BB$4,m_date,($G$2+22),m_active,1,m_start,"&lt;"&amp;780,m_end,"&gt;"&amp;720)=0,"",IF(COUNTIFS(m_teacher,BB$4,m_date,($G$2+22),m_active,1,m_start,"&lt;"&amp;780,m_end,"&gt;"&amp;720)&gt;1,"충돌",HYPERLINK("#'관리자_MASTER'!D"&amp;_xlfn.MAXIFS(m_row,m_teacher,BB$4,m_date,($G$2+22),m_active,1,m_start,"&lt;"&amp;780,m_end,"&gt;"&amp;720),INDEX(m_label,_xlfn.MAXIFS(m_row,m_teacher,BB$4,m_date,($G$2+22),m_active,1,m_start,"&lt;"&amp;780,m_end,"&gt;"&amp;720))))))</f>
        <v/>
      </c>
      <c r="BC19" s="88" t="str">
        <f aca="false">IF(OR(BC$4="",MONTH(($G$2+22))&lt;&gt;MONTH($C$2)),"",IF(COUNTIFS(m_teacher,BC$4,m_date,($G$2+22),m_active,1,m_start,"&lt;"&amp;780,m_end,"&gt;"&amp;720)=0,"",IF(COUNTIFS(m_teacher,BC$4,m_date,($G$2+22),m_active,1,m_start,"&lt;"&amp;780,m_end,"&gt;"&amp;720)&gt;1,"충돌",HYPERLINK("#'관리자_MASTER'!D"&amp;_xlfn.MAXIFS(m_row,m_teacher,BC$4,m_date,($G$2+22),m_active,1,m_start,"&lt;"&amp;780,m_end,"&gt;"&amp;720),INDEX(m_label,_xlfn.MAXIFS(m_row,m_teacher,BC$4,m_date,($G$2+22),m_active,1,m_start,"&lt;"&amp;780,m_end,"&gt;"&amp;720))))))</f>
        <v/>
      </c>
      <c r="BD19" s="88" t="str">
        <f aca="false">IF(OR(BD$4="",MONTH(($G$2+22))&lt;&gt;MONTH($C$2)),"",IF(COUNTIFS(m_teacher,BD$4,m_date,($G$2+22),m_active,1,m_start,"&lt;"&amp;780,m_end,"&gt;"&amp;720)=0,"",IF(COUNTIFS(m_teacher,BD$4,m_date,($G$2+22),m_active,1,m_start,"&lt;"&amp;780,m_end,"&gt;"&amp;720)&gt;1,"충돌",HYPERLINK("#'관리자_MASTER'!D"&amp;_xlfn.MAXIFS(m_row,m_teacher,BD$4,m_date,($G$2+22),m_active,1,m_start,"&lt;"&amp;780,m_end,"&gt;"&amp;720),INDEX(m_label,_xlfn.MAXIFS(m_row,m_teacher,BD$4,m_date,($G$2+22),m_active,1,m_start,"&lt;"&amp;780,m_end,"&gt;"&amp;720))))))</f>
        <v/>
      </c>
    </row>
    <row r="20" customFormat="false" ht="19.5" hidden="false" customHeight="true" outlineLevel="0" collapsed="false">
      <c r="A20" s="78"/>
      <c r="B20" s="79" t="s">
        <v>95</v>
      </c>
      <c r="C20" s="88" t="str">
        <f aca="false">IF(OR(C$4="",MONTH(($G$2+1))&lt;&gt;MONTH($C$2)),"",IF(COUNTIFS(m_teacher,C$4,m_date,($G$2+1),m_active,1,m_start,"&lt;"&amp;840,m_end,"&gt;"&amp;780)=0,"",IF(COUNTIFS(m_teacher,C$4,m_date,($G$2+1),m_active,1,m_start,"&lt;"&amp;840,m_end,"&gt;"&amp;780)&gt;1,"충돌",HYPERLINK("#'관리자_MASTER'!D"&amp;_xlfn.MAXIFS(m_row,m_teacher,C$4,m_date,($G$2+1),m_active,1,m_start,"&lt;"&amp;840,m_end,"&gt;"&amp;780),INDEX(m_label,_xlfn.MAXIFS(m_row,m_teacher,C$4,m_date,($G$2+1),m_active,1,m_start,"&lt;"&amp;840,m_end,"&gt;"&amp;780))))))</f>
        <v/>
      </c>
      <c r="D20" s="88" t="str">
        <f aca="false">IF(OR(D$4="",MONTH(($G$2+1))&lt;&gt;MONTH($C$2)),"",IF(COUNTIFS(m_teacher,D$4,m_date,($G$2+1),m_active,1,m_start,"&lt;"&amp;840,m_end,"&gt;"&amp;780)=0,"",IF(COUNTIFS(m_teacher,D$4,m_date,($G$2+1),m_active,1,m_start,"&lt;"&amp;840,m_end,"&gt;"&amp;780)&gt;1,"충돌",HYPERLINK("#'관리자_MASTER'!D"&amp;_xlfn.MAXIFS(m_row,m_teacher,D$4,m_date,($G$2+1),m_active,1,m_start,"&lt;"&amp;840,m_end,"&gt;"&amp;780),INDEX(m_label,_xlfn.MAXIFS(m_row,m_teacher,D$4,m_date,($G$2+1),m_active,1,m_start,"&lt;"&amp;840,m_end,"&gt;"&amp;780))))))</f>
        <v/>
      </c>
      <c r="E20" s="88" t="str">
        <f aca="false">IF(OR(E$4="",MONTH(($G$2+1))&lt;&gt;MONTH($C$2)),"",IF(COUNTIFS(m_teacher,E$4,m_date,($G$2+1),m_active,1,m_start,"&lt;"&amp;840,m_end,"&gt;"&amp;780)=0,"",IF(COUNTIFS(m_teacher,E$4,m_date,($G$2+1),m_active,1,m_start,"&lt;"&amp;840,m_end,"&gt;"&amp;780)&gt;1,"충돌",HYPERLINK("#'관리자_MASTER'!D"&amp;_xlfn.MAXIFS(m_row,m_teacher,E$4,m_date,($G$2+1),m_active,1,m_start,"&lt;"&amp;840,m_end,"&gt;"&amp;780),INDEX(m_label,_xlfn.MAXIFS(m_row,m_teacher,E$4,m_date,($G$2+1),m_active,1,m_start,"&lt;"&amp;840,m_end,"&gt;"&amp;780))))))</f>
        <v/>
      </c>
      <c r="F20" s="88" t="str">
        <f aca="false">IF(OR(F$4="",MONTH(($G$2+1))&lt;&gt;MONTH($C$2)),"",IF(COUNTIFS(m_teacher,F$4,m_date,($G$2+1),m_active,1,m_start,"&lt;"&amp;840,m_end,"&gt;"&amp;780)=0,"",IF(COUNTIFS(m_teacher,F$4,m_date,($G$2+1),m_active,1,m_start,"&lt;"&amp;840,m_end,"&gt;"&amp;780)&gt;1,"충돌",HYPERLINK("#'관리자_MASTER'!D"&amp;_xlfn.MAXIFS(m_row,m_teacher,F$4,m_date,($G$2+1),m_active,1,m_start,"&lt;"&amp;840,m_end,"&gt;"&amp;780),INDEX(m_label,_xlfn.MAXIFS(m_row,m_teacher,F$4,m_date,($G$2+1),m_active,1,m_start,"&lt;"&amp;840,m_end,"&gt;"&amp;780))))))</f>
        <v/>
      </c>
      <c r="G20" s="88" t="str">
        <f aca="false">IF(OR(G$4="",MONTH(($G$2+1))&lt;&gt;MONTH($C$2)),"",IF(COUNTIFS(m_teacher,G$4,m_date,($G$2+1),m_active,1,m_start,"&lt;"&amp;840,m_end,"&gt;"&amp;780)=0,"",IF(COUNTIFS(m_teacher,G$4,m_date,($G$2+1),m_active,1,m_start,"&lt;"&amp;840,m_end,"&gt;"&amp;780)&gt;1,"충돌",HYPERLINK("#'관리자_MASTER'!D"&amp;_xlfn.MAXIFS(m_row,m_teacher,G$4,m_date,($G$2+1),m_active,1,m_start,"&lt;"&amp;840,m_end,"&gt;"&amp;780),INDEX(m_label,_xlfn.MAXIFS(m_row,m_teacher,G$4,m_date,($G$2+1),m_active,1,m_start,"&lt;"&amp;840,m_end,"&gt;"&amp;780))))))</f>
        <v/>
      </c>
      <c r="H20" s="88" t="str">
        <f aca="false">IF(OR(H$4="",MONTH(($G$2+1))&lt;&gt;MONTH($C$2)),"",IF(COUNTIFS(m_teacher,H$4,m_date,($G$2+1),m_active,1,m_start,"&lt;"&amp;840,m_end,"&gt;"&amp;780)=0,"",IF(COUNTIFS(m_teacher,H$4,m_date,($G$2+1),m_active,1,m_start,"&lt;"&amp;840,m_end,"&gt;"&amp;780)&gt;1,"충돌",HYPERLINK("#'관리자_MASTER'!D"&amp;_xlfn.MAXIFS(m_row,m_teacher,H$4,m_date,($G$2+1),m_active,1,m_start,"&lt;"&amp;840,m_end,"&gt;"&amp;780),INDEX(m_label,_xlfn.MAXIFS(m_row,m_teacher,H$4,m_date,($G$2+1),m_active,1,m_start,"&lt;"&amp;840,m_end,"&gt;"&amp;780))))))</f>
        <v/>
      </c>
      <c r="I20" s="88" t="str">
        <f aca="false">IF(OR(I$4="",MONTH(($G$2+1))&lt;&gt;MONTH($C$2)),"",IF(COUNTIFS(m_teacher,I$4,m_date,($G$2+1),m_active,1,m_start,"&lt;"&amp;840,m_end,"&gt;"&amp;780)=0,"",IF(COUNTIFS(m_teacher,I$4,m_date,($G$2+1),m_active,1,m_start,"&lt;"&amp;840,m_end,"&gt;"&amp;780)&gt;1,"충돌",HYPERLINK("#'관리자_MASTER'!D"&amp;_xlfn.MAXIFS(m_row,m_teacher,I$4,m_date,($G$2+1),m_active,1,m_start,"&lt;"&amp;840,m_end,"&gt;"&amp;780),INDEX(m_label,_xlfn.MAXIFS(m_row,m_teacher,I$4,m_date,($G$2+1),m_active,1,m_start,"&lt;"&amp;840,m_end,"&gt;"&amp;780))))))</f>
        <v/>
      </c>
      <c r="J20" s="88" t="str">
        <f aca="false">IF(OR(J$4="",MONTH(($G$2+1))&lt;&gt;MONTH($C$2)),"",IF(COUNTIFS(m_teacher,J$4,m_date,($G$2+1),m_active,1,m_start,"&lt;"&amp;840,m_end,"&gt;"&amp;780)=0,"",IF(COUNTIFS(m_teacher,J$4,m_date,($G$2+1),m_active,1,m_start,"&lt;"&amp;840,m_end,"&gt;"&amp;780)&gt;1,"충돌",HYPERLINK("#'관리자_MASTER'!D"&amp;_xlfn.MAXIFS(m_row,m_teacher,J$4,m_date,($G$2+1),m_active,1,m_start,"&lt;"&amp;840,m_end,"&gt;"&amp;780),INDEX(m_label,_xlfn.MAXIFS(m_row,m_teacher,J$4,m_date,($G$2+1),m_active,1,m_start,"&lt;"&amp;840,m_end,"&gt;"&amp;780))))))</f>
        <v/>
      </c>
      <c r="K20" s="88" t="str">
        <f aca="false">IF(OR(K$4="",MONTH(($G$2+1))&lt;&gt;MONTH($C$2)),"",IF(COUNTIFS(m_teacher,K$4,m_date,($G$2+1),m_active,1,m_start,"&lt;"&amp;840,m_end,"&gt;"&amp;780)=0,"",IF(COUNTIFS(m_teacher,K$4,m_date,($G$2+1),m_active,1,m_start,"&lt;"&amp;840,m_end,"&gt;"&amp;780)&gt;1,"충돌",HYPERLINK("#'관리자_MASTER'!D"&amp;_xlfn.MAXIFS(m_row,m_teacher,K$4,m_date,($G$2+1),m_active,1,m_start,"&lt;"&amp;840,m_end,"&gt;"&amp;780),INDEX(m_label,_xlfn.MAXIFS(m_row,m_teacher,K$4,m_date,($G$2+1),m_active,1,m_start,"&lt;"&amp;840,m_end,"&gt;"&amp;780))))))</f>
        <v/>
      </c>
      <c r="L20" s="88" t="str">
        <f aca="false">IF(OR(L$4="",MONTH(($G$2+1))&lt;&gt;MONTH($C$2)),"",IF(COUNTIFS(m_teacher,L$4,m_date,($G$2+1),m_active,1,m_start,"&lt;"&amp;840,m_end,"&gt;"&amp;780)=0,"",IF(COUNTIFS(m_teacher,L$4,m_date,($G$2+1),m_active,1,m_start,"&lt;"&amp;840,m_end,"&gt;"&amp;780)&gt;1,"충돌",HYPERLINK("#'관리자_MASTER'!D"&amp;_xlfn.MAXIFS(m_row,m_teacher,L$4,m_date,($G$2+1),m_active,1,m_start,"&lt;"&amp;840,m_end,"&gt;"&amp;780),INDEX(m_label,_xlfn.MAXIFS(m_row,m_teacher,L$4,m_date,($G$2+1),m_active,1,m_start,"&lt;"&amp;840,m_end,"&gt;"&amp;780))))))</f>
        <v/>
      </c>
      <c r="M20" s="88" t="str">
        <f aca="false">IF(OR(M$4="",MONTH(($G$2+1))&lt;&gt;MONTH($C$2)),"",IF(COUNTIFS(m_teacher,M$4,m_date,($G$2+1),m_active,1,m_start,"&lt;"&amp;840,m_end,"&gt;"&amp;780)=0,"",IF(COUNTIFS(m_teacher,M$4,m_date,($G$2+1),m_active,1,m_start,"&lt;"&amp;840,m_end,"&gt;"&amp;780)&gt;1,"충돌",HYPERLINK("#'관리자_MASTER'!D"&amp;_xlfn.MAXIFS(m_row,m_teacher,M$4,m_date,($G$2+1),m_active,1,m_start,"&lt;"&amp;840,m_end,"&gt;"&amp;780),INDEX(m_label,_xlfn.MAXIFS(m_row,m_teacher,M$4,m_date,($G$2+1),m_active,1,m_start,"&lt;"&amp;840,m_end,"&gt;"&amp;780))))))</f>
        <v/>
      </c>
      <c r="N20" s="88" t="str">
        <f aca="false">IF(OR(N$4="",MONTH(($G$2+1))&lt;&gt;MONTH($C$2)),"",IF(COUNTIFS(m_teacher,N$4,m_date,($G$2+1),m_active,1,m_start,"&lt;"&amp;840,m_end,"&gt;"&amp;780)=0,"",IF(COUNTIFS(m_teacher,N$4,m_date,($G$2+1),m_active,1,m_start,"&lt;"&amp;840,m_end,"&gt;"&amp;780)&gt;1,"충돌",HYPERLINK("#'관리자_MASTER'!D"&amp;_xlfn.MAXIFS(m_row,m_teacher,N$4,m_date,($G$2+1),m_active,1,m_start,"&lt;"&amp;840,m_end,"&gt;"&amp;780),INDEX(m_label,_xlfn.MAXIFS(m_row,m_teacher,N$4,m_date,($G$2+1),m_active,1,m_start,"&lt;"&amp;840,m_end,"&gt;"&amp;780))))))</f>
        <v/>
      </c>
      <c r="O20" s="78"/>
      <c r="P20" s="79" t="s">
        <v>95</v>
      </c>
      <c r="Q20" s="88" t="str">
        <f aca="false">IF(OR(Q$4="",MONTH(($G$2+8))&lt;&gt;MONTH($C$2)),"",IF(COUNTIFS(m_teacher,Q$4,m_date,($G$2+8),m_active,1,m_start,"&lt;"&amp;840,m_end,"&gt;"&amp;780)=0,"",IF(COUNTIFS(m_teacher,Q$4,m_date,($G$2+8),m_active,1,m_start,"&lt;"&amp;840,m_end,"&gt;"&amp;780)&gt;1,"충돌",HYPERLINK("#'관리자_MASTER'!D"&amp;_xlfn.MAXIFS(m_row,m_teacher,Q$4,m_date,($G$2+8),m_active,1,m_start,"&lt;"&amp;840,m_end,"&gt;"&amp;780),INDEX(m_label,_xlfn.MAXIFS(m_row,m_teacher,Q$4,m_date,($G$2+8),m_active,1,m_start,"&lt;"&amp;840,m_end,"&gt;"&amp;780))))))</f>
        <v/>
      </c>
      <c r="R20" s="88" t="str">
        <f aca="false">IF(OR(R$4="",MONTH(($G$2+8))&lt;&gt;MONTH($C$2)),"",IF(COUNTIFS(m_teacher,R$4,m_date,($G$2+8),m_active,1,m_start,"&lt;"&amp;840,m_end,"&gt;"&amp;780)=0,"",IF(COUNTIFS(m_teacher,R$4,m_date,($G$2+8),m_active,1,m_start,"&lt;"&amp;840,m_end,"&gt;"&amp;780)&gt;1,"충돌",HYPERLINK("#'관리자_MASTER'!D"&amp;_xlfn.MAXIFS(m_row,m_teacher,R$4,m_date,($G$2+8),m_active,1,m_start,"&lt;"&amp;840,m_end,"&gt;"&amp;780),INDEX(m_label,_xlfn.MAXIFS(m_row,m_teacher,R$4,m_date,($G$2+8),m_active,1,m_start,"&lt;"&amp;840,m_end,"&gt;"&amp;780))))))</f>
        <v/>
      </c>
      <c r="S20" s="88" t="str">
        <f aca="false">IF(OR(S$4="",MONTH(($G$2+8))&lt;&gt;MONTH($C$2)),"",IF(COUNTIFS(m_teacher,S$4,m_date,($G$2+8),m_active,1,m_start,"&lt;"&amp;840,m_end,"&gt;"&amp;780)=0,"",IF(COUNTIFS(m_teacher,S$4,m_date,($G$2+8),m_active,1,m_start,"&lt;"&amp;840,m_end,"&gt;"&amp;780)&gt;1,"충돌",HYPERLINK("#'관리자_MASTER'!D"&amp;_xlfn.MAXIFS(m_row,m_teacher,S$4,m_date,($G$2+8),m_active,1,m_start,"&lt;"&amp;840,m_end,"&gt;"&amp;780),INDEX(m_label,_xlfn.MAXIFS(m_row,m_teacher,S$4,m_date,($G$2+8),m_active,1,m_start,"&lt;"&amp;840,m_end,"&gt;"&amp;780))))))</f>
        <v/>
      </c>
      <c r="T20" s="88" t="str">
        <f aca="false">IF(OR(T$4="",MONTH(($G$2+8))&lt;&gt;MONTH($C$2)),"",IF(COUNTIFS(m_teacher,T$4,m_date,($G$2+8),m_active,1,m_start,"&lt;"&amp;840,m_end,"&gt;"&amp;780)=0,"",IF(COUNTIFS(m_teacher,T$4,m_date,($G$2+8),m_active,1,m_start,"&lt;"&amp;840,m_end,"&gt;"&amp;780)&gt;1,"충돌",HYPERLINK("#'관리자_MASTER'!D"&amp;_xlfn.MAXIFS(m_row,m_teacher,T$4,m_date,($G$2+8),m_active,1,m_start,"&lt;"&amp;840,m_end,"&gt;"&amp;780),INDEX(m_label,_xlfn.MAXIFS(m_row,m_teacher,T$4,m_date,($G$2+8),m_active,1,m_start,"&lt;"&amp;840,m_end,"&gt;"&amp;780))))))</f>
        <v/>
      </c>
      <c r="U20" s="88" t="str">
        <f aca="false">IF(OR(U$4="",MONTH(($G$2+8))&lt;&gt;MONTH($C$2)),"",IF(COUNTIFS(m_teacher,U$4,m_date,($G$2+8),m_active,1,m_start,"&lt;"&amp;840,m_end,"&gt;"&amp;780)=0,"",IF(COUNTIFS(m_teacher,U$4,m_date,($G$2+8),m_active,1,m_start,"&lt;"&amp;840,m_end,"&gt;"&amp;780)&gt;1,"충돌",HYPERLINK("#'관리자_MASTER'!D"&amp;_xlfn.MAXIFS(m_row,m_teacher,U$4,m_date,($G$2+8),m_active,1,m_start,"&lt;"&amp;840,m_end,"&gt;"&amp;780),INDEX(m_label,_xlfn.MAXIFS(m_row,m_teacher,U$4,m_date,($G$2+8),m_active,1,m_start,"&lt;"&amp;840,m_end,"&gt;"&amp;780))))))</f>
        <v/>
      </c>
      <c r="V20" s="88" t="str">
        <f aca="false">IF(OR(V$4="",MONTH(($G$2+8))&lt;&gt;MONTH($C$2)),"",IF(COUNTIFS(m_teacher,V$4,m_date,($G$2+8),m_active,1,m_start,"&lt;"&amp;840,m_end,"&gt;"&amp;780)=0,"",IF(COUNTIFS(m_teacher,V$4,m_date,($G$2+8),m_active,1,m_start,"&lt;"&amp;840,m_end,"&gt;"&amp;780)&gt;1,"충돌",HYPERLINK("#'관리자_MASTER'!D"&amp;_xlfn.MAXIFS(m_row,m_teacher,V$4,m_date,($G$2+8),m_active,1,m_start,"&lt;"&amp;840,m_end,"&gt;"&amp;780),INDEX(m_label,_xlfn.MAXIFS(m_row,m_teacher,V$4,m_date,($G$2+8),m_active,1,m_start,"&lt;"&amp;840,m_end,"&gt;"&amp;780))))))</f>
        <v/>
      </c>
      <c r="W20" s="88" t="str">
        <f aca="false">IF(OR(W$4="",MONTH(($G$2+8))&lt;&gt;MONTH($C$2)),"",IF(COUNTIFS(m_teacher,W$4,m_date,($G$2+8),m_active,1,m_start,"&lt;"&amp;840,m_end,"&gt;"&amp;780)=0,"",IF(COUNTIFS(m_teacher,W$4,m_date,($G$2+8),m_active,1,m_start,"&lt;"&amp;840,m_end,"&gt;"&amp;780)&gt;1,"충돌",HYPERLINK("#'관리자_MASTER'!D"&amp;_xlfn.MAXIFS(m_row,m_teacher,W$4,m_date,($G$2+8),m_active,1,m_start,"&lt;"&amp;840,m_end,"&gt;"&amp;780),INDEX(m_label,_xlfn.MAXIFS(m_row,m_teacher,W$4,m_date,($G$2+8),m_active,1,m_start,"&lt;"&amp;840,m_end,"&gt;"&amp;780))))))</f>
        <v/>
      </c>
      <c r="X20" s="88" t="str">
        <f aca="false">IF(OR(X$4="",MONTH(($G$2+8))&lt;&gt;MONTH($C$2)),"",IF(COUNTIFS(m_teacher,X$4,m_date,($G$2+8),m_active,1,m_start,"&lt;"&amp;840,m_end,"&gt;"&amp;780)=0,"",IF(COUNTIFS(m_teacher,X$4,m_date,($G$2+8),m_active,1,m_start,"&lt;"&amp;840,m_end,"&gt;"&amp;780)&gt;1,"충돌",HYPERLINK("#'관리자_MASTER'!D"&amp;_xlfn.MAXIFS(m_row,m_teacher,X$4,m_date,($G$2+8),m_active,1,m_start,"&lt;"&amp;840,m_end,"&gt;"&amp;780),INDEX(m_label,_xlfn.MAXIFS(m_row,m_teacher,X$4,m_date,($G$2+8),m_active,1,m_start,"&lt;"&amp;840,m_end,"&gt;"&amp;780))))))</f>
        <v/>
      </c>
      <c r="Y20" s="88" t="str">
        <f aca="false">IF(OR(Y$4="",MONTH(($G$2+8))&lt;&gt;MONTH($C$2)),"",IF(COUNTIFS(m_teacher,Y$4,m_date,($G$2+8),m_active,1,m_start,"&lt;"&amp;840,m_end,"&gt;"&amp;780)=0,"",IF(COUNTIFS(m_teacher,Y$4,m_date,($G$2+8),m_active,1,m_start,"&lt;"&amp;840,m_end,"&gt;"&amp;780)&gt;1,"충돌",HYPERLINK("#'관리자_MASTER'!D"&amp;_xlfn.MAXIFS(m_row,m_teacher,Y$4,m_date,($G$2+8),m_active,1,m_start,"&lt;"&amp;840,m_end,"&gt;"&amp;780),INDEX(m_label,_xlfn.MAXIFS(m_row,m_teacher,Y$4,m_date,($G$2+8),m_active,1,m_start,"&lt;"&amp;840,m_end,"&gt;"&amp;780))))))</f>
        <v/>
      </c>
      <c r="Z20" s="88" t="str">
        <f aca="false">IF(OR(Z$4="",MONTH(($G$2+8))&lt;&gt;MONTH($C$2)),"",IF(COUNTIFS(m_teacher,Z$4,m_date,($G$2+8),m_active,1,m_start,"&lt;"&amp;840,m_end,"&gt;"&amp;780)=0,"",IF(COUNTIFS(m_teacher,Z$4,m_date,($G$2+8),m_active,1,m_start,"&lt;"&amp;840,m_end,"&gt;"&amp;780)&gt;1,"충돌",HYPERLINK("#'관리자_MASTER'!D"&amp;_xlfn.MAXIFS(m_row,m_teacher,Z$4,m_date,($G$2+8),m_active,1,m_start,"&lt;"&amp;840,m_end,"&gt;"&amp;780),INDEX(m_label,_xlfn.MAXIFS(m_row,m_teacher,Z$4,m_date,($G$2+8),m_active,1,m_start,"&lt;"&amp;840,m_end,"&gt;"&amp;780))))))</f>
        <v/>
      </c>
      <c r="AA20" s="88" t="str">
        <f aca="false">IF(OR(AA$4="",MONTH(($G$2+8))&lt;&gt;MONTH($C$2)),"",IF(COUNTIFS(m_teacher,AA$4,m_date,($G$2+8),m_active,1,m_start,"&lt;"&amp;840,m_end,"&gt;"&amp;780)=0,"",IF(COUNTIFS(m_teacher,AA$4,m_date,($G$2+8),m_active,1,m_start,"&lt;"&amp;840,m_end,"&gt;"&amp;780)&gt;1,"충돌",HYPERLINK("#'관리자_MASTER'!D"&amp;_xlfn.MAXIFS(m_row,m_teacher,AA$4,m_date,($G$2+8),m_active,1,m_start,"&lt;"&amp;840,m_end,"&gt;"&amp;780),INDEX(m_label,_xlfn.MAXIFS(m_row,m_teacher,AA$4,m_date,($G$2+8),m_active,1,m_start,"&lt;"&amp;840,m_end,"&gt;"&amp;780))))))</f>
        <v/>
      </c>
      <c r="AB20" s="88" t="str">
        <f aca="false">IF(OR(AB$4="",MONTH(($G$2+8))&lt;&gt;MONTH($C$2)),"",IF(COUNTIFS(m_teacher,AB$4,m_date,($G$2+8),m_active,1,m_start,"&lt;"&amp;840,m_end,"&gt;"&amp;780)=0,"",IF(COUNTIFS(m_teacher,AB$4,m_date,($G$2+8),m_active,1,m_start,"&lt;"&amp;840,m_end,"&gt;"&amp;780)&gt;1,"충돌",HYPERLINK("#'관리자_MASTER'!D"&amp;_xlfn.MAXIFS(m_row,m_teacher,AB$4,m_date,($G$2+8),m_active,1,m_start,"&lt;"&amp;840,m_end,"&gt;"&amp;780),INDEX(m_label,_xlfn.MAXIFS(m_row,m_teacher,AB$4,m_date,($G$2+8),m_active,1,m_start,"&lt;"&amp;840,m_end,"&gt;"&amp;780))))))</f>
        <v/>
      </c>
      <c r="AC20" s="78"/>
      <c r="AD20" s="79" t="s">
        <v>95</v>
      </c>
      <c r="AE20" s="88" t="str">
        <f aca="false">IF(OR(AE$4="",MONTH(($G$2+15))&lt;&gt;MONTH($C$2)),"",IF(COUNTIFS(m_teacher,AE$4,m_date,($G$2+15),m_active,1,m_start,"&lt;"&amp;840,m_end,"&gt;"&amp;780)=0,"",IF(COUNTIFS(m_teacher,AE$4,m_date,($G$2+15),m_active,1,m_start,"&lt;"&amp;840,m_end,"&gt;"&amp;780)&gt;1,"충돌",HYPERLINK("#'관리자_MASTER'!D"&amp;_xlfn.MAXIFS(m_row,m_teacher,AE$4,m_date,($G$2+15),m_active,1,m_start,"&lt;"&amp;840,m_end,"&gt;"&amp;780),INDEX(m_label,_xlfn.MAXIFS(m_row,m_teacher,AE$4,m_date,($G$2+15),m_active,1,m_start,"&lt;"&amp;840,m_end,"&gt;"&amp;780))))))</f>
        <v/>
      </c>
      <c r="AF20" s="88" t="str">
        <f aca="false">IF(OR(AF$4="",MONTH(($G$2+15))&lt;&gt;MONTH($C$2)),"",IF(COUNTIFS(m_teacher,AF$4,m_date,($G$2+15),m_active,1,m_start,"&lt;"&amp;840,m_end,"&gt;"&amp;780)=0,"",IF(COUNTIFS(m_teacher,AF$4,m_date,($G$2+15),m_active,1,m_start,"&lt;"&amp;840,m_end,"&gt;"&amp;780)&gt;1,"충돌",HYPERLINK("#'관리자_MASTER'!D"&amp;_xlfn.MAXIFS(m_row,m_teacher,AF$4,m_date,($G$2+15),m_active,1,m_start,"&lt;"&amp;840,m_end,"&gt;"&amp;780),INDEX(m_label,_xlfn.MAXIFS(m_row,m_teacher,AF$4,m_date,($G$2+15),m_active,1,m_start,"&lt;"&amp;840,m_end,"&gt;"&amp;780))))))</f>
        <v/>
      </c>
      <c r="AG20" s="88" t="str">
        <f aca="false">IF(OR(AG$4="",MONTH(($G$2+15))&lt;&gt;MONTH($C$2)),"",IF(COUNTIFS(m_teacher,AG$4,m_date,($G$2+15),m_active,1,m_start,"&lt;"&amp;840,m_end,"&gt;"&amp;780)=0,"",IF(COUNTIFS(m_teacher,AG$4,m_date,($G$2+15),m_active,1,m_start,"&lt;"&amp;840,m_end,"&gt;"&amp;780)&gt;1,"충돌",HYPERLINK("#'관리자_MASTER'!D"&amp;_xlfn.MAXIFS(m_row,m_teacher,AG$4,m_date,($G$2+15),m_active,1,m_start,"&lt;"&amp;840,m_end,"&gt;"&amp;780),INDEX(m_label,_xlfn.MAXIFS(m_row,m_teacher,AG$4,m_date,($G$2+15),m_active,1,m_start,"&lt;"&amp;840,m_end,"&gt;"&amp;780))))))</f>
        <v/>
      </c>
      <c r="AH20" s="88" t="str">
        <f aca="false">IF(OR(AH$4="",MONTH(($G$2+15))&lt;&gt;MONTH($C$2)),"",IF(COUNTIFS(m_teacher,AH$4,m_date,($G$2+15),m_active,1,m_start,"&lt;"&amp;840,m_end,"&gt;"&amp;780)=0,"",IF(COUNTIFS(m_teacher,AH$4,m_date,($G$2+15),m_active,1,m_start,"&lt;"&amp;840,m_end,"&gt;"&amp;780)&gt;1,"충돌",HYPERLINK("#'관리자_MASTER'!D"&amp;_xlfn.MAXIFS(m_row,m_teacher,AH$4,m_date,($G$2+15),m_active,1,m_start,"&lt;"&amp;840,m_end,"&gt;"&amp;780),INDEX(m_label,_xlfn.MAXIFS(m_row,m_teacher,AH$4,m_date,($G$2+15),m_active,1,m_start,"&lt;"&amp;840,m_end,"&gt;"&amp;780))))))</f>
        <v/>
      </c>
      <c r="AI20" s="88" t="str">
        <f aca="false">IF(OR(AI$4="",MONTH(($G$2+15))&lt;&gt;MONTH($C$2)),"",IF(COUNTIFS(m_teacher,AI$4,m_date,($G$2+15),m_active,1,m_start,"&lt;"&amp;840,m_end,"&gt;"&amp;780)=0,"",IF(COUNTIFS(m_teacher,AI$4,m_date,($G$2+15),m_active,1,m_start,"&lt;"&amp;840,m_end,"&gt;"&amp;780)&gt;1,"충돌",HYPERLINK("#'관리자_MASTER'!D"&amp;_xlfn.MAXIFS(m_row,m_teacher,AI$4,m_date,($G$2+15),m_active,1,m_start,"&lt;"&amp;840,m_end,"&gt;"&amp;780),INDEX(m_label,_xlfn.MAXIFS(m_row,m_teacher,AI$4,m_date,($G$2+15),m_active,1,m_start,"&lt;"&amp;840,m_end,"&gt;"&amp;780))))))</f>
        <v/>
      </c>
      <c r="AJ20" s="88" t="str">
        <f aca="false">IF(OR(AJ$4="",MONTH(($G$2+15))&lt;&gt;MONTH($C$2)),"",IF(COUNTIFS(m_teacher,AJ$4,m_date,($G$2+15),m_active,1,m_start,"&lt;"&amp;840,m_end,"&gt;"&amp;780)=0,"",IF(COUNTIFS(m_teacher,AJ$4,m_date,($G$2+15),m_active,1,m_start,"&lt;"&amp;840,m_end,"&gt;"&amp;780)&gt;1,"충돌",HYPERLINK("#'관리자_MASTER'!D"&amp;_xlfn.MAXIFS(m_row,m_teacher,AJ$4,m_date,($G$2+15),m_active,1,m_start,"&lt;"&amp;840,m_end,"&gt;"&amp;780),INDEX(m_label,_xlfn.MAXIFS(m_row,m_teacher,AJ$4,m_date,($G$2+15),m_active,1,m_start,"&lt;"&amp;840,m_end,"&gt;"&amp;780))))))</f>
        <v/>
      </c>
      <c r="AK20" s="88" t="str">
        <f aca="false">IF(OR(AK$4="",MONTH(($G$2+15))&lt;&gt;MONTH($C$2)),"",IF(COUNTIFS(m_teacher,AK$4,m_date,($G$2+15),m_active,1,m_start,"&lt;"&amp;840,m_end,"&gt;"&amp;780)=0,"",IF(COUNTIFS(m_teacher,AK$4,m_date,($G$2+15),m_active,1,m_start,"&lt;"&amp;840,m_end,"&gt;"&amp;780)&gt;1,"충돌",HYPERLINK("#'관리자_MASTER'!D"&amp;_xlfn.MAXIFS(m_row,m_teacher,AK$4,m_date,($G$2+15),m_active,1,m_start,"&lt;"&amp;840,m_end,"&gt;"&amp;780),INDEX(m_label,_xlfn.MAXIFS(m_row,m_teacher,AK$4,m_date,($G$2+15),m_active,1,m_start,"&lt;"&amp;840,m_end,"&gt;"&amp;780))))))</f>
        <v/>
      </c>
      <c r="AL20" s="88" t="str">
        <f aca="false">IF(OR(AL$4="",MONTH(($G$2+15))&lt;&gt;MONTH($C$2)),"",IF(COUNTIFS(m_teacher,AL$4,m_date,($G$2+15),m_active,1,m_start,"&lt;"&amp;840,m_end,"&gt;"&amp;780)=0,"",IF(COUNTIFS(m_teacher,AL$4,m_date,($G$2+15),m_active,1,m_start,"&lt;"&amp;840,m_end,"&gt;"&amp;780)&gt;1,"충돌",HYPERLINK("#'관리자_MASTER'!D"&amp;_xlfn.MAXIFS(m_row,m_teacher,AL$4,m_date,($G$2+15),m_active,1,m_start,"&lt;"&amp;840,m_end,"&gt;"&amp;780),INDEX(m_label,_xlfn.MAXIFS(m_row,m_teacher,AL$4,m_date,($G$2+15),m_active,1,m_start,"&lt;"&amp;840,m_end,"&gt;"&amp;780))))))</f>
        <v/>
      </c>
      <c r="AM20" s="88" t="str">
        <f aca="false">IF(OR(AM$4="",MONTH(($G$2+15))&lt;&gt;MONTH($C$2)),"",IF(COUNTIFS(m_teacher,AM$4,m_date,($G$2+15),m_active,1,m_start,"&lt;"&amp;840,m_end,"&gt;"&amp;780)=0,"",IF(COUNTIFS(m_teacher,AM$4,m_date,($G$2+15),m_active,1,m_start,"&lt;"&amp;840,m_end,"&gt;"&amp;780)&gt;1,"충돌",HYPERLINK("#'관리자_MASTER'!D"&amp;_xlfn.MAXIFS(m_row,m_teacher,AM$4,m_date,($G$2+15),m_active,1,m_start,"&lt;"&amp;840,m_end,"&gt;"&amp;780),INDEX(m_label,_xlfn.MAXIFS(m_row,m_teacher,AM$4,m_date,($G$2+15),m_active,1,m_start,"&lt;"&amp;840,m_end,"&gt;"&amp;780))))))</f>
        <v/>
      </c>
      <c r="AN20" s="88" t="str">
        <f aca="false">IF(OR(AN$4="",MONTH(($G$2+15))&lt;&gt;MONTH($C$2)),"",IF(COUNTIFS(m_teacher,AN$4,m_date,($G$2+15),m_active,1,m_start,"&lt;"&amp;840,m_end,"&gt;"&amp;780)=0,"",IF(COUNTIFS(m_teacher,AN$4,m_date,($G$2+15),m_active,1,m_start,"&lt;"&amp;840,m_end,"&gt;"&amp;780)&gt;1,"충돌",HYPERLINK("#'관리자_MASTER'!D"&amp;_xlfn.MAXIFS(m_row,m_teacher,AN$4,m_date,($G$2+15),m_active,1,m_start,"&lt;"&amp;840,m_end,"&gt;"&amp;780),INDEX(m_label,_xlfn.MAXIFS(m_row,m_teacher,AN$4,m_date,($G$2+15),m_active,1,m_start,"&lt;"&amp;840,m_end,"&gt;"&amp;780))))))</f>
        <v/>
      </c>
      <c r="AO20" s="88" t="str">
        <f aca="false">IF(OR(AO$4="",MONTH(($G$2+15))&lt;&gt;MONTH($C$2)),"",IF(COUNTIFS(m_teacher,AO$4,m_date,($G$2+15),m_active,1,m_start,"&lt;"&amp;840,m_end,"&gt;"&amp;780)=0,"",IF(COUNTIFS(m_teacher,AO$4,m_date,($G$2+15),m_active,1,m_start,"&lt;"&amp;840,m_end,"&gt;"&amp;780)&gt;1,"충돌",HYPERLINK("#'관리자_MASTER'!D"&amp;_xlfn.MAXIFS(m_row,m_teacher,AO$4,m_date,($G$2+15),m_active,1,m_start,"&lt;"&amp;840,m_end,"&gt;"&amp;780),INDEX(m_label,_xlfn.MAXIFS(m_row,m_teacher,AO$4,m_date,($G$2+15),m_active,1,m_start,"&lt;"&amp;840,m_end,"&gt;"&amp;780))))))</f>
        <v/>
      </c>
      <c r="AP20" s="88" t="str">
        <f aca="false">IF(OR(AP$4="",MONTH(($G$2+15))&lt;&gt;MONTH($C$2)),"",IF(COUNTIFS(m_teacher,AP$4,m_date,($G$2+15),m_active,1,m_start,"&lt;"&amp;840,m_end,"&gt;"&amp;780)=0,"",IF(COUNTIFS(m_teacher,AP$4,m_date,($G$2+15),m_active,1,m_start,"&lt;"&amp;840,m_end,"&gt;"&amp;780)&gt;1,"충돌",HYPERLINK("#'관리자_MASTER'!D"&amp;_xlfn.MAXIFS(m_row,m_teacher,AP$4,m_date,($G$2+15),m_active,1,m_start,"&lt;"&amp;840,m_end,"&gt;"&amp;780),INDEX(m_label,_xlfn.MAXIFS(m_row,m_teacher,AP$4,m_date,($G$2+15),m_active,1,m_start,"&lt;"&amp;840,m_end,"&gt;"&amp;780))))))</f>
        <v/>
      </c>
      <c r="AQ20" s="78"/>
      <c r="AR20" s="79" t="s">
        <v>95</v>
      </c>
      <c r="AS20" s="88" t="str">
        <f aca="false">IF(OR(AS$4="",MONTH(($G$2+22))&lt;&gt;MONTH($C$2)),"",IF(COUNTIFS(m_teacher,AS$4,m_date,($G$2+22),m_active,1,m_start,"&lt;"&amp;840,m_end,"&gt;"&amp;780)=0,"",IF(COUNTIFS(m_teacher,AS$4,m_date,($G$2+22),m_active,1,m_start,"&lt;"&amp;840,m_end,"&gt;"&amp;780)&gt;1,"충돌",HYPERLINK("#'관리자_MASTER'!D"&amp;_xlfn.MAXIFS(m_row,m_teacher,AS$4,m_date,($G$2+22),m_active,1,m_start,"&lt;"&amp;840,m_end,"&gt;"&amp;780),INDEX(m_label,_xlfn.MAXIFS(m_row,m_teacher,AS$4,m_date,($G$2+22),m_active,1,m_start,"&lt;"&amp;840,m_end,"&gt;"&amp;780))))))</f>
        <v/>
      </c>
      <c r="AT20" s="88" t="str">
        <f aca="false">IF(OR(AT$4="",MONTH(($G$2+22))&lt;&gt;MONTH($C$2)),"",IF(COUNTIFS(m_teacher,AT$4,m_date,($G$2+22),m_active,1,m_start,"&lt;"&amp;840,m_end,"&gt;"&amp;780)=0,"",IF(COUNTIFS(m_teacher,AT$4,m_date,($G$2+22),m_active,1,m_start,"&lt;"&amp;840,m_end,"&gt;"&amp;780)&gt;1,"충돌",HYPERLINK("#'관리자_MASTER'!D"&amp;_xlfn.MAXIFS(m_row,m_teacher,AT$4,m_date,($G$2+22),m_active,1,m_start,"&lt;"&amp;840,m_end,"&gt;"&amp;780),INDEX(m_label,_xlfn.MAXIFS(m_row,m_teacher,AT$4,m_date,($G$2+22),m_active,1,m_start,"&lt;"&amp;840,m_end,"&gt;"&amp;780))))))</f>
        <v/>
      </c>
      <c r="AU20" s="88" t="str">
        <f aca="false">IF(OR(AU$4="",MONTH(($G$2+22))&lt;&gt;MONTH($C$2)),"",IF(COUNTIFS(m_teacher,AU$4,m_date,($G$2+22),m_active,1,m_start,"&lt;"&amp;840,m_end,"&gt;"&amp;780)=0,"",IF(COUNTIFS(m_teacher,AU$4,m_date,($G$2+22),m_active,1,m_start,"&lt;"&amp;840,m_end,"&gt;"&amp;780)&gt;1,"충돌",HYPERLINK("#'관리자_MASTER'!D"&amp;_xlfn.MAXIFS(m_row,m_teacher,AU$4,m_date,($G$2+22),m_active,1,m_start,"&lt;"&amp;840,m_end,"&gt;"&amp;780),INDEX(m_label,_xlfn.MAXIFS(m_row,m_teacher,AU$4,m_date,($G$2+22),m_active,1,m_start,"&lt;"&amp;840,m_end,"&gt;"&amp;780))))))</f>
        <v/>
      </c>
      <c r="AV20" s="88" t="str">
        <f aca="false">IF(OR(AV$4="",MONTH(($G$2+22))&lt;&gt;MONTH($C$2)),"",IF(COUNTIFS(m_teacher,AV$4,m_date,($G$2+22),m_active,1,m_start,"&lt;"&amp;840,m_end,"&gt;"&amp;780)=0,"",IF(COUNTIFS(m_teacher,AV$4,m_date,($G$2+22),m_active,1,m_start,"&lt;"&amp;840,m_end,"&gt;"&amp;780)&gt;1,"충돌",HYPERLINK("#'관리자_MASTER'!D"&amp;_xlfn.MAXIFS(m_row,m_teacher,AV$4,m_date,($G$2+22),m_active,1,m_start,"&lt;"&amp;840,m_end,"&gt;"&amp;780),INDEX(m_label,_xlfn.MAXIFS(m_row,m_teacher,AV$4,m_date,($G$2+22),m_active,1,m_start,"&lt;"&amp;840,m_end,"&gt;"&amp;780))))))</f>
        <v/>
      </c>
      <c r="AW20" s="88" t="str">
        <f aca="false">IF(OR(AW$4="",MONTH(($G$2+22))&lt;&gt;MONTH($C$2)),"",IF(COUNTIFS(m_teacher,AW$4,m_date,($G$2+22),m_active,1,m_start,"&lt;"&amp;840,m_end,"&gt;"&amp;780)=0,"",IF(COUNTIFS(m_teacher,AW$4,m_date,($G$2+22),m_active,1,m_start,"&lt;"&amp;840,m_end,"&gt;"&amp;780)&gt;1,"충돌",HYPERLINK("#'관리자_MASTER'!D"&amp;_xlfn.MAXIFS(m_row,m_teacher,AW$4,m_date,($G$2+22),m_active,1,m_start,"&lt;"&amp;840,m_end,"&gt;"&amp;780),INDEX(m_label,_xlfn.MAXIFS(m_row,m_teacher,AW$4,m_date,($G$2+22),m_active,1,m_start,"&lt;"&amp;840,m_end,"&gt;"&amp;780))))))</f>
        <v/>
      </c>
      <c r="AX20" s="88" t="str">
        <f aca="false">IF(OR(AX$4="",MONTH(($G$2+22))&lt;&gt;MONTH($C$2)),"",IF(COUNTIFS(m_teacher,AX$4,m_date,($G$2+22),m_active,1,m_start,"&lt;"&amp;840,m_end,"&gt;"&amp;780)=0,"",IF(COUNTIFS(m_teacher,AX$4,m_date,($G$2+22),m_active,1,m_start,"&lt;"&amp;840,m_end,"&gt;"&amp;780)&gt;1,"충돌",HYPERLINK("#'관리자_MASTER'!D"&amp;_xlfn.MAXIFS(m_row,m_teacher,AX$4,m_date,($G$2+22),m_active,1,m_start,"&lt;"&amp;840,m_end,"&gt;"&amp;780),INDEX(m_label,_xlfn.MAXIFS(m_row,m_teacher,AX$4,m_date,($G$2+22),m_active,1,m_start,"&lt;"&amp;840,m_end,"&gt;"&amp;780))))))</f>
        <v/>
      </c>
      <c r="AY20" s="88" t="str">
        <f aca="false">IF(OR(AY$4="",MONTH(($G$2+22))&lt;&gt;MONTH($C$2)),"",IF(COUNTIFS(m_teacher,AY$4,m_date,($G$2+22),m_active,1,m_start,"&lt;"&amp;840,m_end,"&gt;"&amp;780)=0,"",IF(COUNTIFS(m_teacher,AY$4,m_date,($G$2+22),m_active,1,m_start,"&lt;"&amp;840,m_end,"&gt;"&amp;780)&gt;1,"충돌",HYPERLINK("#'관리자_MASTER'!D"&amp;_xlfn.MAXIFS(m_row,m_teacher,AY$4,m_date,($G$2+22),m_active,1,m_start,"&lt;"&amp;840,m_end,"&gt;"&amp;780),INDEX(m_label,_xlfn.MAXIFS(m_row,m_teacher,AY$4,m_date,($G$2+22),m_active,1,m_start,"&lt;"&amp;840,m_end,"&gt;"&amp;780))))))</f>
        <v/>
      </c>
      <c r="AZ20" s="88" t="str">
        <f aca="false">IF(OR(AZ$4="",MONTH(($G$2+22))&lt;&gt;MONTH($C$2)),"",IF(COUNTIFS(m_teacher,AZ$4,m_date,($G$2+22),m_active,1,m_start,"&lt;"&amp;840,m_end,"&gt;"&amp;780)=0,"",IF(COUNTIFS(m_teacher,AZ$4,m_date,($G$2+22),m_active,1,m_start,"&lt;"&amp;840,m_end,"&gt;"&amp;780)&gt;1,"충돌",HYPERLINK("#'관리자_MASTER'!D"&amp;_xlfn.MAXIFS(m_row,m_teacher,AZ$4,m_date,($G$2+22),m_active,1,m_start,"&lt;"&amp;840,m_end,"&gt;"&amp;780),INDEX(m_label,_xlfn.MAXIFS(m_row,m_teacher,AZ$4,m_date,($G$2+22),m_active,1,m_start,"&lt;"&amp;840,m_end,"&gt;"&amp;780))))))</f>
        <v/>
      </c>
      <c r="BA20" s="88" t="str">
        <f aca="false">IF(OR(BA$4="",MONTH(($G$2+22))&lt;&gt;MONTH($C$2)),"",IF(COUNTIFS(m_teacher,BA$4,m_date,($G$2+22),m_active,1,m_start,"&lt;"&amp;840,m_end,"&gt;"&amp;780)=0,"",IF(COUNTIFS(m_teacher,BA$4,m_date,($G$2+22),m_active,1,m_start,"&lt;"&amp;840,m_end,"&gt;"&amp;780)&gt;1,"충돌",HYPERLINK("#'관리자_MASTER'!D"&amp;_xlfn.MAXIFS(m_row,m_teacher,BA$4,m_date,($G$2+22),m_active,1,m_start,"&lt;"&amp;840,m_end,"&gt;"&amp;780),INDEX(m_label,_xlfn.MAXIFS(m_row,m_teacher,BA$4,m_date,($G$2+22),m_active,1,m_start,"&lt;"&amp;840,m_end,"&gt;"&amp;780))))))</f>
        <v/>
      </c>
      <c r="BB20" s="88" t="str">
        <f aca="false">IF(OR(BB$4="",MONTH(($G$2+22))&lt;&gt;MONTH($C$2)),"",IF(COUNTIFS(m_teacher,BB$4,m_date,($G$2+22),m_active,1,m_start,"&lt;"&amp;840,m_end,"&gt;"&amp;780)=0,"",IF(COUNTIFS(m_teacher,BB$4,m_date,($G$2+22),m_active,1,m_start,"&lt;"&amp;840,m_end,"&gt;"&amp;780)&gt;1,"충돌",HYPERLINK("#'관리자_MASTER'!D"&amp;_xlfn.MAXIFS(m_row,m_teacher,BB$4,m_date,($G$2+22),m_active,1,m_start,"&lt;"&amp;840,m_end,"&gt;"&amp;780),INDEX(m_label,_xlfn.MAXIFS(m_row,m_teacher,BB$4,m_date,($G$2+22),m_active,1,m_start,"&lt;"&amp;840,m_end,"&gt;"&amp;780))))))</f>
        <v/>
      </c>
      <c r="BC20" s="88" t="str">
        <f aca="false">IF(OR(BC$4="",MONTH(($G$2+22))&lt;&gt;MONTH($C$2)),"",IF(COUNTIFS(m_teacher,BC$4,m_date,($G$2+22),m_active,1,m_start,"&lt;"&amp;840,m_end,"&gt;"&amp;780)=0,"",IF(COUNTIFS(m_teacher,BC$4,m_date,($G$2+22),m_active,1,m_start,"&lt;"&amp;840,m_end,"&gt;"&amp;780)&gt;1,"충돌",HYPERLINK("#'관리자_MASTER'!D"&amp;_xlfn.MAXIFS(m_row,m_teacher,BC$4,m_date,($G$2+22),m_active,1,m_start,"&lt;"&amp;840,m_end,"&gt;"&amp;780),INDEX(m_label,_xlfn.MAXIFS(m_row,m_teacher,BC$4,m_date,($G$2+22),m_active,1,m_start,"&lt;"&amp;840,m_end,"&gt;"&amp;780))))))</f>
        <v/>
      </c>
      <c r="BD20" s="88" t="str">
        <f aca="false">IF(OR(BD$4="",MONTH(($G$2+22))&lt;&gt;MONTH($C$2)),"",IF(COUNTIFS(m_teacher,BD$4,m_date,($G$2+22),m_active,1,m_start,"&lt;"&amp;840,m_end,"&gt;"&amp;780)=0,"",IF(COUNTIFS(m_teacher,BD$4,m_date,($G$2+22),m_active,1,m_start,"&lt;"&amp;840,m_end,"&gt;"&amp;780)&gt;1,"충돌",HYPERLINK("#'관리자_MASTER'!D"&amp;_xlfn.MAXIFS(m_row,m_teacher,BD$4,m_date,($G$2+22),m_active,1,m_start,"&lt;"&amp;840,m_end,"&gt;"&amp;780),INDEX(m_label,_xlfn.MAXIFS(m_row,m_teacher,BD$4,m_date,($G$2+22),m_active,1,m_start,"&lt;"&amp;840,m_end,"&gt;"&amp;780))))))</f>
        <v/>
      </c>
    </row>
    <row r="21" customFormat="false" ht="19.5" hidden="false" customHeight="true" outlineLevel="0" collapsed="false">
      <c r="A21" s="78"/>
      <c r="B21" s="79" t="s">
        <v>96</v>
      </c>
      <c r="C21" s="88" t="str">
        <f aca="false">IF(OR(C$4="",MONTH(($G$2+1))&lt;&gt;MONTH($C$2)),"",IF(COUNTIFS(m_teacher,C$4,m_date,($G$2+1),m_active,1,m_start,"&lt;"&amp;900,m_end,"&gt;"&amp;840)=0,"",IF(COUNTIFS(m_teacher,C$4,m_date,($G$2+1),m_active,1,m_start,"&lt;"&amp;900,m_end,"&gt;"&amp;840)&gt;1,"충돌",HYPERLINK("#'관리자_MASTER'!D"&amp;_xlfn.MAXIFS(m_row,m_teacher,C$4,m_date,($G$2+1),m_active,1,m_start,"&lt;"&amp;900,m_end,"&gt;"&amp;840),INDEX(m_label,_xlfn.MAXIFS(m_row,m_teacher,C$4,m_date,($G$2+1),m_active,1,m_start,"&lt;"&amp;900,m_end,"&gt;"&amp;840))))))</f>
        <v/>
      </c>
      <c r="D21" s="88" t="str">
        <f aca="false">IF(OR(D$4="",MONTH(($G$2+1))&lt;&gt;MONTH($C$2)),"",IF(COUNTIFS(m_teacher,D$4,m_date,($G$2+1),m_active,1,m_start,"&lt;"&amp;900,m_end,"&gt;"&amp;840)=0,"",IF(COUNTIFS(m_teacher,D$4,m_date,($G$2+1),m_active,1,m_start,"&lt;"&amp;900,m_end,"&gt;"&amp;840)&gt;1,"충돌",HYPERLINK("#'관리자_MASTER'!D"&amp;_xlfn.MAXIFS(m_row,m_teacher,D$4,m_date,($G$2+1),m_active,1,m_start,"&lt;"&amp;900,m_end,"&gt;"&amp;840),INDEX(m_label,_xlfn.MAXIFS(m_row,m_teacher,D$4,m_date,($G$2+1),m_active,1,m_start,"&lt;"&amp;900,m_end,"&gt;"&amp;840))))))</f>
        <v/>
      </c>
      <c r="E21" s="88" t="str">
        <f aca="false">IF(OR(E$4="",MONTH(($G$2+1))&lt;&gt;MONTH($C$2)),"",IF(COUNTIFS(m_teacher,E$4,m_date,($G$2+1),m_active,1,m_start,"&lt;"&amp;900,m_end,"&gt;"&amp;840)=0,"",IF(COUNTIFS(m_teacher,E$4,m_date,($G$2+1),m_active,1,m_start,"&lt;"&amp;900,m_end,"&gt;"&amp;840)&gt;1,"충돌",HYPERLINK("#'관리자_MASTER'!D"&amp;_xlfn.MAXIFS(m_row,m_teacher,E$4,m_date,($G$2+1),m_active,1,m_start,"&lt;"&amp;900,m_end,"&gt;"&amp;840),INDEX(m_label,_xlfn.MAXIFS(m_row,m_teacher,E$4,m_date,($G$2+1),m_active,1,m_start,"&lt;"&amp;900,m_end,"&gt;"&amp;840))))))</f>
        <v/>
      </c>
      <c r="F21" s="88" t="str">
        <f aca="false">IF(OR(F$4="",MONTH(($G$2+1))&lt;&gt;MONTH($C$2)),"",IF(COUNTIFS(m_teacher,F$4,m_date,($G$2+1),m_active,1,m_start,"&lt;"&amp;900,m_end,"&gt;"&amp;840)=0,"",IF(COUNTIFS(m_teacher,F$4,m_date,($G$2+1),m_active,1,m_start,"&lt;"&amp;900,m_end,"&gt;"&amp;840)&gt;1,"충돌",HYPERLINK("#'관리자_MASTER'!D"&amp;_xlfn.MAXIFS(m_row,m_teacher,F$4,m_date,($G$2+1),m_active,1,m_start,"&lt;"&amp;900,m_end,"&gt;"&amp;840),INDEX(m_label,_xlfn.MAXIFS(m_row,m_teacher,F$4,m_date,($G$2+1),m_active,1,m_start,"&lt;"&amp;900,m_end,"&gt;"&amp;840))))))</f>
        <v/>
      </c>
      <c r="G21" s="88" t="str">
        <f aca="false">IF(OR(G$4="",MONTH(($G$2+1))&lt;&gt;MONTH($C$2)),"",IF(COUNTIFS(m_teacher,G$4,m_date,($G$2+1),m_active,1,m_start,"&lt;"&amp;900,m_end,"&gt;"&amp;840)=0,"",IF(COUNTIFS(m_teacher,G$4,m_date,($G$2+1),m_active,1,m_start,"&lt;"&amp;900,m_end,"&gt;"&amp;840)&gt;1,"충돌",HYPERLINK("#'관리자_MASTER'!D"&amp;_xlfn.MAXIFS(m_row,m_teacher,G$4,m_date,($G$2+1),m_active,1,m_start,"&lt;"&amp;900,m_end,"&gt;"&amp;840),INDEX(m_label,_xlfn.MAXIFS(m_row,m_teacher,G$4,m_date,($G$2+1),m_active,1,m_start,"&lt;"&amp;900,m_end,"&gt;"&amp;840))))))</f>
        <v/>
      </c>
      <c r="H21" s="88" t="str">
        <f aca="false">IF(OR(H$4="",MONTH(($G$2+1))&lt;&gt;MONTH($C$2)),"",IF(COUNTIFS(m_teacher,H$4,m_date,($G$2+1),m_active,1,m_start,"&lt;"&amp;900,m_end,"&gt;"&amp;840)=0,"",IF(COUNTIFS(m_teacher,H$4,m_date,($G$2+1),m_active,1,m_start,"&lt;"&amp;900,m_end,"&gt;"&amp;840)&gt;1,"충돌",HYPERLINK("#'관리자_MASTER'!D"&amp;_xlfn.MAXIFS(m_row,m_teacher,H$4,m_date,($G$2+1),m_active,1,m_start,"&lt;"&amp;900,m_end,"&gt;"&amp;840),INDEX(m_label,_xlfn.MAXIFS(m_row,m_teacher,H$4,m_date,($G$2+1),m_active,1,m_start,"&lt;"&amp;900,m_end,"&gt;"&amp;840))))))</f>
        <v/>
      </c>
      <c r="I21" s="88" t="str">
        <f aca="false">IF(OR(I$4="",MONTH(($G$2+1))&lt;&gt;MONTH($C$2)),"",IF(COUNTIFS(m_teacher,I$4,m_date,($G$2+1),m_active,1,m_start,"&lt;"&amp;900,m_end,"&gt;"&amp;840)=0,"",IF(COUNTIFS(m_teacher,I$4,m_date,($G$2+1),m_active,1,m_start,"&lt;"&amp;900,m_end,"&gt;"&amp;840)&gt;1,"충돌",HYPERLINK("#'관리자_MASTER'!D"&amp;_xlfn.MAXIFS(m_row,m_teacher,I$4,m_date,($G$2+1),m_active,1,m_start,"&lt;"&amp;900,m_end,"&gt;"&amp;840),INDEX(m_label,_xlfn.MAXIFS(m_row,m_teacher,I$4,m_date,($G$2+1),m_active,1,m_start,"&lt;"&amp;900,m_end,"&gt;"&amp;840))))))</f>
        <v/>
      </c>
      <c r="J21" s="88" t="str">
        <f aca="false">IF(OR(J$4="",MONTH(($G$2+1))&lt;&gt;MONTH($C$2)),"",IF(COUNTIFS(m_teacher,J$4,m_date,($G$2+1),m_active,1,m_start,"&lt;"&amp;900,m_end,"&gt;"&amp;840)=0,"",IF(COUNTIFS(m_teacher,J$4,m_date,($G$2+1),m_active,1,m_start,"&lt;"&amp;900,m_end,"&gt;"&amp;840)&gt;1,"충돌",HYPERLINK("#'관리자_MASTER'!D"&amp;_xlfn.MAXIFS(m_row,m_teacher,J$4,m_date,($G$2+1),m_active,1,m_start,"&lt;"&amp;900,m_end,"&gt;"&amp;840),INDEX(m_label,_xlfn.MAXIFS(m_row,m_teacher,J$4,m_date,($G$2+1),m_active,1,m_start,"&lt;"&amp;900,m_end,"&gt;"&amp;840))))))</f>
        <v/>
      </c>
      <c r="K21" s="88" t="str">
        <f aca="false">IF(OR(K$4="",MONTH(($G$2+1))&lt;&gt;MONTH($C$2)),"",IF(COUNTIFS(m_teacher,K$4,m_date,($G$2+1),m_active,1,m_start,"&lt;"&amp;900,m_end,"&gt;"&amp;840)=0,"",IF(COUNTIFS(m_teacher,K$4,m_date,($G$2+1),m_active,1,m_start,"&lt;"&amp;900,m_end,"&gt;"&amp;840)&gt;1,"충돌",HYPERLINK("#'관리자_MASTER'!D"&amp;_xlfn.MAXIFS(m_row,m_teacher,K$4,m_date,($G$2+1),m_active,1,m_start,"&lt;"&amp;900,m_end,"&gt;"&amp;840),INDEX(m_label,_xlfn.MAXIFS(m_row,m_teacher,K$4,m_date,($G$2+1),m_active,1,m_start,"&lt;"&amp;900,m_end,"&gt;"&amp;840))))))</f>
        <v/>
      </c>
      <c r="L21" s="88" t="str">
        <f aca="false">IF(OR(L$4="",MONTH(($G$2+1))&lt;&gt;MONTH($C$2)),"",IF(COUNTIFS(m_teacher,L$4,m_date,($G$2+1),m_active,1,m_start,"&lt;"&amp;900,m_end,"&gt;"&amp;840)=0,"",IF(COUNTIFS(m_teacher,L$4,m_date,($G$2+1),m_active,1,m_start,"&lt;"&amp;900,m_end,"&gt;"&amp;840)&gt;1,"충돌",HYPERLINK("#'관리자_MASTER'!D"&amp;_xlfn.MAXIFS(m_row,m_teacher,L$4,m_date,($G$2+1),m_active,1,m_start,"&lt;"&amp;900,m_end,"&gt;"&amp;840),INDEX(m_label,_xlfn.MAXIFS(m_row,m_teacher,L$4,m_date,($G$2+1),m_active,1,m_start,"&lt;"&amp;900,m_end,"&gt;"&amp;840))))))</f>
        <v/>
      </c>
      <c r="M21" s="88" t="str">
        <f aca="false">IF(OR(M$4="",MONTH(($G$2+1))&lt;&gt;MONTH($C$2)),"",IF(COUNTIFS(m_teacher,M$4,m_date,($G$2+1),m_active,1,m_start,"&lt;"&amp;900,m_end,"&gt;"&amp;840)=0,"",IF(COUNTIFS(m_teacher,M$4,m_date,($G$2+1),m_active,1,m_start,"&lt;"&amp;900,m_end,"&gt;"&amp;840)&gt;1,"충돌",HYPERLINK("#'관리자_MASTER'!D"&amp;_xlfn.MAXIFS(m_row,m_teacher,M$4,m_date,($G$2+1),m_active,1,m_start,"&lt;"&amp;900,m_end,"&gt;"&amp;840),INDEX(m_label,_xlfn.MAXIFS(m_row,m_teacher,M$4,m_date,($G$2+1),m_active,1,m_start,"&lt;"&amp;900,m_end,"&gt;"&amp;840))))))</f>
        <v/>
      </c>
      <c r="N21" s="88" t="str">
        <f aca="false">IF(OR(N$4="",MONTH(($G$2+1))&lt;&gt;MONTH($C$2)),"",IF(COUNTIFS(m_teacher,N$4,m_date,($G$2+1),m_active,1,m_start,"&lt;"&amp;900,m_end,"&gt;"&amp;840)=0,"",IF(COUNTIFS(m_teacher,N$4,m_date,($G$2+1),m_active,1,m_start,"&lt;"&amp;900,m_end,"&gt;"&amp;840)&gt;1,"충돌",HYPERLINK("#'관리자_MASTER'!D"&amp;_xlfn.MAXIFS(m_row,m_teacher,N$4,m_date,($G$2+1),m_active,1,m_start,"&lt;"&amp;900,m_end,"&gt;"&amp;840),INDEX(m_label,_xlfn.MAXIFS(m_row,m_teacher,N$4,m_date,($G$2+1),m_active,1,m_start,"&lt;"&amp;900,m_end,"&gt;"&amp;840))))))</f>
        <v/>
      </c>
      <c r="O21" s="78"/>
      <c r="P21" s="79" t="s">
        <v>96</v>
      </c>
      <c r="Q21" s="88" t="str">
        <f aca="false">IF(OR(Q$4="",MONTH(($G$2+8))&lt;&gt;MONTH($C$2)),"",IF(COUNTIFS(m_teacher,Q$4,m_date,($G$2+8),m_active,1,m_start,"&lt;"&amp;900,m_end,"&gt;"&amp;840)=0,"",IF(COUNTIFS(m_teacher,Q$4,m_date,($G$2+8),m_active,1,m_start,"&lt;"&amp;900,m_end,"&gt;"&amp;840)&gt;1,"충돌",HYPERLINK("#'관리자_MASTER'!D"&amp;_xlfn.MAXIFS(m_row,m_teacher,Q$4,m_date,($G$2+8),m_active,1,m_start,"&lt;"&amp;900,m_end,"&gt;"&amp;840),INDEX(m_label,_xlfn.MAXIFS(m_row,m_teacher,Q$4,m_date,($G$2+8),m_active,1,m_start,"&lt;"&amp;900,m_end,"&gt;"&amp;840))))))</f>
        <v/>
      </c>
      <c r="R21" s="88" t="str">
        <f aca="false">IF(OR(R$4="",MONTH(($G$2+8))&lt;&gt;MONTH($C$2)),"",IF(COUNTIFS(m_teacher,R$4,m_date,($G$2+8),m_active,1,m_start,"&lt;"&amp;900,m_end,"&gt;"&amp;840)=0,"",IF(COUNTIFS(m_teacher,R$4,m_date,($G$2+8),m_active,1,m_start,"&lt;"&amp;900,m_end,"&gt;"&amp;840)&gt;1,"충돌",HYPERLINK("#'관리자_MASTER'!D"&amp;_xlfn.MAXIFS(m_row,m_teacher,R$4,m_date,($G$2+8),m_active,1,m_start,"&lt;"&amp;900,m_end,"&gt;"&amp;840),INDEX(m_label,_xlfn.MAXIFS(m_row,m_teacher,R$4,m_date,($G$2+8),m_active,1,m_start,"&lt;"&amp;900,m_end,"&gt;"&amp;840))))))</f>
        <v/>
      </c>
      <c r="S21" s="88" t="str">
        <f aca="false">IF(OR(S$4="",MONTH(($G$2+8))&lt;&gt;MONTH($C$2)),"",IF(COUNTIFS(m_teacher,S$4,m_date,($G$2+8),m_active,1,m_start,"&lt;"&amp;900,m_end,"&gt;"&amp;840)=0,"",IF(COUNTIFS(m_teacher,S$4,m_date,($G$2+8),m_active,1,m_start,"&lt;"&amp;900,m_end,"&gt;"&amp;840)&gt;1,"충돌",HYPERLINK("#'관리자_MASTER'!D"&amp;_xlfn.MAXIFS(m_row,m_teacher,S$4,m_date,($G$2+8),m_active,1,m_start,"&lt;"&amp;900,m_end,"&gt;"&amp;840),INDEX(m_label,_xlfn.MAXIFS(m_row,m_teacher,S$4,m_date,($G$2+8),m_active,1,m_start,"&lt;"&amp;900,m_end,"&gt;"&amp;840))))))</f>
        <v/>
      </c>
      <c r="T21" s="88" t="str">
        <f aca="false">IF(OR(T$4="",MONTH(($G$2+8))&lt;&gt;MONTH($C$2)),"",IF(COUNTIFS(m_teacher,T$4,m_date,($G$2+8),m_active,1,m_start,"&lt;"&amp;900,m_end,"&gt;"&amp;840)=0,"",IF(COUNTIFS(m_teacher,T$4,m_date,($G$2+8),m_active,1,m_start,"&lt;"&amp;900,m_end,"&gt;"&amp;840)&gt;1,"충돌",HYPERLINK("#'관리자_MASTER'!D"&amp;_xlfn.MAXIFS(m_row,m_teacher,T$4,m_date,($G$2+8),m_active,1,m_start,"&lt;"&amp;900,m_end,"&gt;"&amp;840),INDEX(m_label,_xlfn.MAXIFS(m_row,m_teacher,T$4,m_date,($G$2+8),m_active,1,m_start,"&lt;"&amp;900,m_end,"&gt;"&amp;840))))))</f>
        <v/>
      </c>
      <c r="U21" s="88" t="str">
        <f aca="false">IF(OR(U$4="",MONTH(($G$2+8))&lt;&gt;MONTH($C$2)),"",IF(COUNTIFS(m_teacher,U$4,m_date,($G$2+8),m_active,1,m_start,"&lt;"&amp;900,m_end,"&gt;"&amp;840)=0,"",IF(COUNTIFS(m_teacher,U$4,m_date,($G$2+8),m_active,1,m_start,"&lt;"&amp;900,m_end,"&gt;"&amp;840)&gt;1,"충돌",HYPERLINK("#'관리자_MASTER'!D"&amp;_xlfn.MAXIFS(m_row,m_teacher,U$4,m_date,($G$2+8),m_active,1,m_start,"&lt;"&amp;900,m_end,"&gt;"&amp;840),INDEX(m_label,_xlfn.MAXIFS(m_row,m_teacher,U$4,m_date,($G$2+8),m_active,1,m_start,"&lt;"&amp;900,m_end,"&gt;"&amp;840))))))</f>
        <v/>
      </c>
      <c r="V21" s="88" t="str">
        <f aca="false">IF(OR(V$4="",MONTH(($G$2+8))&lt;&gt;MONTH($C$2)),"",IF(COUNTIFS(m_teacher,V$4,m_date,($G$2+8),m_active,1,m_start,"&lt;"&amp;900,m_end,"&gt;"&amp;840)=0,"",IF(COUNTIFS(m_teacher,V$4,m_date,($G$2+8),m_active,1,m_start,"&lt;"&amp;900,m_end,"&gt;"&amp;840)&gt;1,"충돌",HYPERLINK("#'관리자_MASTER'!D"&amp;_xlfn.MAXIFS(m_row,m_teacher,V$4,m_date,($G$2+8),m_active,1,m_start,"&lt;"&amp;900,m_end,"&gt;"&amp;840),INDEX(m_label,_xlfn.MAXIFS(m_row,m_teacher,V$4,m_date,($G$2+8),m_active,1,m_start,"&lt;"&amp;900,m_end,"&gt;"&amp;840))))))</f>
        <v/>
      </c>
      <c r="W21" s="88" t="str">
        <f aca="false">IF(OR(W$4="",MONTH(($G$2+8))&lt;&gt;MONTH($C$2)),"",IF(COUNTIFS(m_teacher,W$4,m_date,($G$2+8),m_active,1,m_start,"&lt;"&amp;900,m_end,"&gt;"&amp;840)=0,"",IF(COUNTIFS(m_teacher,W$4,m_date,($G$2+8),m_active,1,m_start,"&lt;"&amp;900,m_end,"&gt;"&amp;840)&gt;1,"충돌",HYPERLINK("#'관리자_MASTER'!D"&amp;_xlfn.MAXIFS(m_row,m_teacher,W$4,m_date,($G$2+8),m_active,1,m_start,"&lt;"&amp;900,m_end,"&gt;"&amp;840),INDEX(m_label,_xlfn.MAXIFS(m_row,m_teacher,W$4,m_date,($G$2+8),m_active,1,m_start,"&lt;"&amp;900,m_end,"&gt;"&amp;840))))))</f>
        <v/>
      </c>
      <c r="X21" s="88" t="str">
        <f aca="false">IF(OR(X$4="",MONTH(($G$2+8))&lt;&gt;MONTH($C$2)),"",IF(COUNTIFS(m_teacher,X$4,m_date,($G$2+8),m_active,1,m_start,"&lt;"&amp;900,m_end,"&gt;"&amp;840)=0,"",IF(COUNTIFS(m_teacher,X$4,m_date,($G$2+8),m_active,1,m_start,"&lt;"&amp;900,m_end,"&gt;"&amp;840)&gt;1,"충돌",HYPERLINK("#'관리자_MASTER'!D"&amp;_xlfn.MAXIFS(m_row,m_teacher,X$4,m_date,($G$2+8),m_active,1,m_start,"&lt;"&amp;900,m_end,"&gt;"&amp;840),INDEX(m_label,_xlfn.MAXIFS(m_row,m_teacher,X$4,m_date,($G$2+8),m_active,1,m_start,"&lt;"&amp;900,m_end,"&gt;"&amp;840))))))</f>
        <v/>
      </c>
      <c r="Y21" s="88" t="str">
        <f aca="false">IF(OR(Y$4="",MONTH(($G$2+8))&lt;&gt;MONTH($C$2)),"",IF(COUNTIFS(m_teacher,Y$4,m_date,($G$2+8),m_active,1,m_start,"&lt;"&amp;900,m_end,"&gt;"&amp;840)=0,"",IF(COUNTIFS(m_teacher,Y$4,m_date,($G$2+8),m_active,1,m_start,"&lt;"&amp;900,m_end,"&gt;"&amp;840)&gt;1,"충돌",HYPERLINK("#'관리자_MASTER'!D"&amp;_xlfn.MAXIFS(m_row,m_teacher,Y$4,m_date,($G$2+8),m_active,1,m_start,"&lt;"&amp;900,m_end,"&gt;"&amp;840),INDEX(m_label,_xlfn.MAXIFS(m_row,m_teacher,Y$4,m_date,($G$2+8),m_active,1,m_start,"&lt;"&amp;900,m_end,"&gt;"&amp;840))))))</f>
        <v/>
      </c>
      <c r="Z21" s="88" t="str">
        <f aca="false">IF(OR(Z$4="",MONTH(($G$2+8))&lt;&gt;MONTH($C$2)),"",IF(COUNTIFS(m_teacher,Z$4,m_date,($G$2+8),m_active,1,m_start,"&lt;"&amp;900,m_end,"&gt;"&amp;840)=0,"",IF(COUNTIFS(m_teacher,Z$4,m_date,($G$2+8),m_active,1,m_start,"&lt;"&amp;900,m_end,"&gt;"&amp;840)&gt;1,"충돌",HYPERLINK("#'관리자_MASTER'!D"&amp;_xlfn.MAXIFS(m_row,m_teacher,Z$4,m_date,($G$2+8),m_active,1,m_start,"&lt;"&amp;900,m_end,"&gt;"&amp;840),INDEX(m_label,_xlfn.MAXIFS(m_row,m_teacher,Z$4,m_date,($G$2+8),m_active,1,m_start,"&lt;"&amp;900,m_end,"&gt;"&amp;840))))))</f>
        <v/>
      </c>
      <c r="AA21" s="88" t="str">
        <f aca="false">IF(OR(AA$4="",MONTH(($G$2+8))&lt;&gt;MONTH($C$2)),"",IF(COUNTIFS(m_teacher,AA$4,m_date,($G$2+8),m_active,1,m_start,"&lt;"&amp;900,m_end,"&gt;"&amp;840)=0,"",IF(COUNTIFS(m_teacher,AA$4,m_date,($G$2+8),m_active,1,m_start,"&lt;"&amp;900,m_end,"&gt;"&amp;840)&gt;1,"충돌",HYPERLINK("#'관리자_MASTER'!D"&amp;_xlfn.MAXIFS(m_row,m_teacher,AA$4,m_date,($G$2+8),m_active,1,m_start,"&lt;"&amp;900,m_end,"&gt;"&amp;840),INDEX(m_label,_xlfn.MAXIFS(m_row,m_teacher,AA$4,m_date,($G$2+8),m_active,1,m_start,"&lt;"&amp;900,m_end,"&gt;"&amp;840))))))</f>
        <v/>
      </c>
      <c r="AB21" s="88" t="str">
        <f aca="false">IF(OR(AB$4="",MONTH(($G$2+8))&lt;&gt;MONTH($C$2)),"",IF(COUNTIFS(m_teacher,AB$4,m_date,($G$2+8),m_active,1,m_start,"&lt;"&amp;900,m_end,"&gt;"&amp;840)=0,"",IF(COUNTIFS(m_teacher,AB$4,m_date,($G$2+8),m_active,1,m_start,"&lt;"&amp;900,m_end,"&gt;"&amp;840)&gt;1,"충돌",HYPERLINK("#'관리자_MASTER'!D"&amp;_xlfn.MAXIFS(m_row,m_teacher,AB$4,m_date,($G$2+8),m_active,1,m_start,"&lt;"&amp;900,m_end,"&gt;"&amp;840),INDEX(m_label,_xlfn.MAXIFS(m_row,m_teacher,AB$4,m_date,($G$2+8),m_active,1,m_start,"&lt;"&amp;900,m_end,"&gt;"&amp;840))))))</f>
        <v/>
      </c>
      <c r="AC21" s="78"/>
      <c r="AD21" s="79" t="s">
        <v>96</v>
      </c>
      <c r="AE21" s="88" t="str">
        <f aca="false">IF(OR(AE$4="",MONTH(($G$2+15))&lt;&gt;MONTH($C$2)),"",IF(COUNTIFS(m_teacher,AE$4,m_date,($G$2+15),m_active,1,m_start,"&lt;"&amp;900,m_end,"&gt;"&amp;840)=0,"",IF(COUNTIFS(m_teacher,AE$4,m_date,($G$2+15),m_active,1,m_start,"&lt;"&amp;900,m_end,"&gt;"&amp;840)&gt;1,"충돌",HYPERLINK("#'관리자_MASTER'!D"&amp;_xlfn.MAXIFS(m_row,m_teacher,AE$4,m_date,($G$2+15),m_active,1,m_start,"&lt;"&amp;900,m_end,"&gt;"&amp;840),INDEX(m_label,_xlfn.MAXIFS(m_row,m_teacher,AE$4,m_date,($G$2+15),m_active,1,m_start,"&lt;"&amp;900,m_end,"&gt;"&amp;840))))))</f>
        <v/>
      </c>
      <c r="AF21" s="88" t="str">
        <f aca="false">IF(OR(AF$4="",MONTH(($G$2+15))&lt;&gt;MONTH($C$2)),"",IF(COUNTIFS(m_teacher,AF$4,m_date,($G$2+15),m_active,1,m_start,"&lt;"&amp;900,m_end,"&gt;"&amp;840)=0,"",IF(COUNTIFS(m_teacher,AF$4,m_date,($G$2+15),m_active,1,m_start,"&lt;"&amp;900,m_end,"&gt;"&amp;840)&gt;1,"충돌",HYPERLINK("#'관리자_MASTER'!D"&amp;_xlfn.MAXIFS(m_row,m_teacher,AF$4,m_date,($G$2+15),m_active,1,m_start,"&lt;"&amp;900,m_end,"&gt;"&amp;840),INDEX(m_label,_xlfn.MAXIFS(m_row,m_teacher,AF$4,m_date,($G$2+15),m_active,1,m_start,"&lt;"&amp;900,m_end,"&gt;"&amp;840))))))</f>
        <v/>
      </c>
      <c r="AG21" s="88" t="str">
        <f aca="false">IF(OR(AG$4="",MONTH(($G$2+15))&lt;&gt;MONTH($C$2)),"",IF(COUNTIFS(m_teacher,AG$4,m_date,($G$2+15),m_active,1,m_start,"&lt;"&amp;900,m_end,"&gt;"&amp;840)=0,"",IF(COUNTIFS(m_teacher,AG$4,m_date,($G$2+15),m_active,1,m_start,"&lt;"&amp;900,m_end,"&gt;"&amp;840)&gt;1,"충돌",HYPERLINK("#'관리자_MASTER'!D"&amp;_xlfn.MAXIFS(m_row,m_teacher,AG$4,m_date,($G$2+15),m_active,1,m_start,"&lt;"&amp;900,m_end,"&gt;"&amp;840),INDEX(m_label,_xlfn.MAXIFS(m_row,m_teacher,AG$4,m_date,($G$2+15),m_active,1,m_start,"&lt;"&amp;900,m_end,"&gt;"&amp;840))))))</f>
        <v/>
      </c>
      <c r="AH21" s="88" t="str">
        <f aca="false">IF(OR(AH$4="",MONTH(($G$2+15))&lt;&gt;MONTH($C$2)),"",IF(COUNTIFS(m_teacher,AH$4,m_date,($G$2+15),m_active,1,m_start,"&lt;"&amp;900,m_end,"&gt;"&amp;840)=0,"",IF(COUNTIFS(m_teacher,AH$4,m_date,($G$2+15),m_active,1,m_start,"&lt;"&amp;900,m_end,"&gt;"&amp;840)&gt;1,"충돌",HYPERLINK("#'관리자_MASTER'!D"&amp;_xlfn.MAXIFS(m_row,m_teacher,AH$4,m_date,($G$2+15),m_active,1,m_start,"&lt;"&amp;900,m_end,"&gt;"&amp;840),INDEX(m_label,_xlfn.MAXIFS(m_row,m_teacher,AH$4,m_date,($G$2+15),m_active,1,m_start,"&lt;"&amp;900,m_end,"&gt;"&amp;840))))))</f>
        <v/>
      </c>
      <c r="AI21" s="88" t="str">
        <f aca="false">IF(OR(AI$4="",MONTH(($G$2+15))&lt;&gt;MONTH($C$2)),"",IF(COUNTIFS(m_teacher,AI$4,m_date,($G$2+15),m_active,1,m_start,"&lt;"&amp;900,m_end,"&gt;"&amp;840)=0,"",IF(COUNTIFS(m_teacher,AI$4,m_date,($G$2+15),m_active,1,m_start,"&lt;"&amp;900,m_end,"&gt;"&amp;840)&gt;1,"충돌",HYPERLINK("#'관리자_MASTER'!D"&amp;_xlfn.MAXIFS(m_row,m_teacher,AI$4,m_date,($G$2+15),m_active,1,m_start,"&lt;"&amp;900,m_end,"&gt;"&amp;840),INDEX(m_label,_xlfn.MAXIFS(m_row,m_teacher,AI$4,m_date,($G$2+15),m_active,1,m_start,"&lt;"&amp;900,m_end,"&gt;"&amp;840))))))</f>
        <v/>
      </c>
      <c r="AJ21" s="88" t="str">
        <f aca="false">IF(OR(AJ$4="",MONTH(($G$2+15))&lt;&gt;MONTH($C$2)),"",IF(COUNTIFS(m_teacher,AJ$4,m_date,($G$2+15),m_active,1,m_start,"&lt;"&amp;900,m_end,"&gt;"&amp;840)=0,"",IF(COUNTIFS(m_teacher,AJ$4,m_date,($G$2+15),m_active,1,m_start,"&lt;"&amp;900,m_end,"&gt;"&amp;840)&gt;1,"충돌",HYPERLINK("#'관리자_MASTER'!D"&amp;_xlfn.MAXIFS(m_row,m_teacher,AJ$4,m_date,($G$2+15),m_active,1,m_start,"&lt;"&amp;900,m_end,"&gt;"&amp;840),INDEX(m_label,_xlfn.MAXIFS(m_row,m_teacher,AJ$4,m_date,($G$2+15),m_active,1,m_start,"&lt;"&amp;900,m_end,"&gt;"&amp;840))))))</f>
        <v/>
      </c>
      <c r="AK21" s="88" t="str">
        <f aca="false">IF(OR(AK$4="",MONTH(($G$2+15))&lt;&gt;MONTH($C$2)),"",IF(COUNTIFS(m_teacher,AK$4,m_date,($G$2+15),m_active,1,m_start,"&lt;"&amp;900,m_end,"&gt;"&amp;840)=0,"",IF(COUNTIFS(m_teacher,AK$4,m_date,($G$2+15),m_active,1,m_start,"&lt;"&amp;900,m_end,"&gt;"&amp;840)&gt;1,"충돌",HYPERLINK("#'관리자_MASTER'!D"&amp;_xlfn.MAXIFS(m_row,m_teacher,AK$4,m_date,($G$2+15),m_active,1,m_start,"&lt;"&amp;900,m_end,"&gt;"&amp;840),INDEX(m_label,_xlfn.MAXIFS(m_row,m_teacher,AK$4,m_date,($G$2+15),m_active,1,m_start,"&lt;"&amp;900,m_end,"&gt;"&amp;840))))))</f>
        <v/>
      </c>
      <c r="AL21" s="88" t="str">
        <f aca="false">IF(OR(AL$4="",MONTH(($G$2+15))&lt;&gt;MONTH($C$2)),"",IF(COUNTIFS(m_teacher,AL$4,m_date,($G$2+15),m_active,1,m_start,"&lt;"&amp;900,m_end,"&gt;"&amp;840)=0,"",IF(COUNTIFS(m_teacher,AL$4,m_date,($G$2+15),m_active,1,m_start,"&lt;"&amp;900,m_end,"&gt;"&amp;840)&gt;1,"충돌",HYPERLINK("#'관리자_MASTER'!D"&amp;_xlfn.MAXIFS(m_row,m_teacher,AL$4,m_date,($G$2+15),m_active,1,m_start,"&lt;"&amp;900,m_end,"&gt;"&amp;840),INDEX(m_label,_xlfn.MAXIFS(m_row,m_teacher,AL$4,m_date,($G$2+15),m_active,1,m_start,"&lt;"&amp;900,m_end,"&gt;"&amp;840))))))</f>
        <v/>
      </c>
      <c r="AM21" s="88" t="str">
        <f aca="false">IF(OR(AM$4="",MONTH(($G$2+15))&lt;&gt;MONTH($C$2)),"",IF(COUNTIFS(m_teacher,AM$4,m_date,($G$2+15),m_active,1,m_start,"&lt;"&amp;900,m_end,"&gt;"&amp;840)=0,"",IF(COUNTIFS(m_teacher,AM$4,m_date,($G$2+15),m_active,1,m_start,"&lt;"&amp;900,m_end,"&gt;"&amp;840)&gt;1,"충돌",HYPERLINK("#'관리자_MASTER'!D"&amp;_xlfn.MAXIFS(m_row,m_teacher,AM$4,m_date,($G$2+15),m_active,1,m_start,"&lt;"&amp;900,m_end,"&gt;"&amp;840),INDEX(m_label,_xlfn.MAXIFS(m_row,m_teacher,AM$4,m_date,($G$2+15),m_active,1,m_start,"&lt;"&amp;900,m_end,"&gt;"&amp;840))))))</f>
        <v/>
      </c>
      <c r="AN21" s="88" t="str">
        <f aca="false">IF(OR(AN$4="",MONTH(($G$2+15))&lt;&gt;MONTH($C$2)),"",IF(COUNTIFS(m_teacher,AN$4,m_date,($G$2+15),m_active,1,m_start,"&lt;"&amp;900,m_end,"&gt;"&amp;840)=0,"",IF(COUNTIFS(m_teacher,AN$4,m_date,($G$2+15),m_active,1,m_start,"&lt;"&amp;900,m_end,"&gt;"&amp;840)&gt;1,"충돌",HYPERLINK("#'관리자_MASTER'!D"&amp;_xlfn.MAXIFS(m_row,m_teacher,AN$4,m_date,($G$2+15),m_active,1,m_start,"&lt;"&amp;900,m_end,"&gt;"&amp;840),INDEX(m_label,_xlfn.MAXIFS(m_row,m_teacher,AN$4,m_date,($G$2+15),m_active,1,m_start,"&lt;"&amp;900,m_end,"&gt;"&amp;840))))))</f>
        <v/>
      </c>
      <c r="AO21" s="88" t="str">
        <f aca="false">IF(OR(AO$4="",MONTH(($G$2+15))&lt;&gt;MONTH($C$2)),"",IF(COUNTIFS(m_teacher,AO$4,m_date,($G$2+15),m_active,1,m_start,"&lt;"&amp;900,m_end,"&gt;"&amp;840)=0,"",IF(COUNTIFS(m_teacher,AO$4,m_date,($G$2+15),m_active,1,m_start,"&lt;"&amp;900,m_end,"&gt;"&amp;840)&gt;1,"충돌",HYPERLINK("#'관리자_MASTER'!D"&amp;_xlfn.MAXIFS(m_row,m_teacher,AO$4,m_date,($G$2+15),m_active,1,m_start,"&lt;"&amp;900,m_end,"&gt;"&amp;840),INDEX(m_label,_xlfn.MAXIFS(m_row,m_teacher,AO$4,m_date,($G$2+15),m_active,1,m_start,"&lt;"&amp;900,m_end,"&gt;"&amp;840))))))</f>
        <v/>
      </c>
      <c r="AP21" s="88" t="str">
        <f aca="false">IF(OR(AP$4="",MONTH(($G$2+15))&lt;&gt;MONTH($C$2)),"",IF(COUNTIFS(m_teacher,AP$4,m_date,($G$2+15),m_active,1,m_start,"&lt;"&amp;900,m_end,"&gt;"&amp;840)=0,"",IF(COUNTIFS(m_teacher,AP$4,m_date,($G$2+15),m_active,1,m_start,"&lt;"&amp;900,m_end,"&gt;"&amp;840)&gt;1,"충돌",HYPERLINK("#'관리자_MASTER'!D"&amp;_xlfn.MAXIFS(m_row,m_teacher,AP$4,m_date,($G$2+15),m_active,1,m_start,"&lt;"&amp;900,m_end,"&gt;"&amp;840),INDEX(m_label,_xlfn.MAXIFS(m_row,m_teacher,AP$4,m_date,($G$2+15),m_active,1,m_start,"&lt;"&amp;900,m_end,"&gt;"&amp;840))))))</f>
        <v/>
      </c>
      <c r="AQ21" s="78"/>
      <c r="AR21" s="79" t="s">
        <v>96</v>
      </c>
      <c r="AS21" s="88" t="str">
        <f aca="false">IF(OR(AS$4="",MONTH(($G$2+22))&lt;&gt;MONTH($C$2)),"",IF(COUNTIFS(m_teacher,AS$4,m_date,($G$2+22),m_active,1,m_start,"&lt;"&amp;900,m_end,"&gt;"&amp;840)=0,"",IF(COUNTIFS(m_teacher,AS$4,m_date,($G$2+22),m_active,1,m_start,"&lt;"&amp;900,m_end,"&gt;"&amp;840)&gt;1,"충돌",HYPERLINK("#'관리자_MASTER'!D"&amp;_xlfn.MAXIFS(m_row,m_teacher,AS$4,m_date,($G$2+22),m_active,1,m_start,"&lt;"&amp;900,m_end,"&gt;"&amp;840),INDEX(m_label,_xlfn.MAXIFS(m_row,m_teacher,AS$4,m_date,($G$2+22),m_active,1,m_start,"&lt;"&amp;900,m_end,"&gt;"&amp;840))))))</f>
        <v/>
      </c>
      <c r="AT21" s="88" t="str">
        <f aca="false">IF(OR(AT$4="",MONTH(($G$2+22))&lt;&gt;MONTH($C$2)),"",IF(COUNTIFS(m_teacher,AT$4,m_date,($G$2+22),m_active,1,m_start,"&lt;"&amp;900,m_end,"&gt;"&amp;840)=0,"",IF(COUNTIFS(m_teacher,AT$4,m_date,($G$2+22),m_active,1,m_start,"&lt;"&amp;900,m_end,"&gt;"&amp;840)&gt;1,"충돌",HYPERLINK("#'관리자_MASTER'!D"&amp;_xlfn.MAXIFS(m_row,m_teacher,AT$4,m_date,($G$2+22),m_active,1,m_start,"&lt;"&amp;900,m_end,"&gt;"&amp;840),INDEX(m_label,_xlfn.MAXIFS(m_row,m_teacher,AT$4,m_date,($G$2+22),m_active,1,m_start,"&lt;"&amp;900,m_end,"&gt;"&amp;840))))))</f>
        <v/>
      </c>
      <c r="AU21" s="88" t="str">
        <f aca="false">IF(OR(AU$4="",MONTH(($G$2+22))&lt;&gt;MONTH($C$2)),"",IF(COUNTIFS(m_teacher,AU$4,m_date,($G$2+22),m_active,1,m_start,"&lt;"&amp;900,m_end,"&gt;"&amp;840)=0,"",IF(COUNTIFS(m_teacher,AU$4,m_date,($G$2+22),m_active,1,m_start,"&lt;"&amp;900,m_end,"&gt;"&amp;840)&gt;1,"충돌",HYPERLINK("#'관리자_MASTER'!D"&amp;_xlfn.MAXIFS(m_row,m_teacher,AU$4,m_date,($G$2+22),m_active,1,m_start,"&lt;"&amp;900,m_end,"&gt;"&amp;840),INDEX(m_label,_xlfn.MAXIFS(m_row,m_teacher,AU$4,m_date,($G$2+22),m_active,1,m_start,"&lt;"&amp;900,m_end,"&gt;"&amp;840))))))</f>
        <v/>
      </c>
      <c r="AV21" s="88" t="str">
        <f aca="false">IF(OR(AV$4="",MONTH(($G$2+22))&lt;&gt;MONTH($C$2)),"",IF(COUNTIFS(m_teacher,AV$4,m_date,($G$2+22),m_active,1,m_start,"&lt;"&amp;900,m_end,"&gt;"&amp;840)=0,"",IF(COUNTIFS(m_teacher,AV$4,m_date,($G$2+22),m_active,1,m_start,"&lt;"&amp;900,m_end,"&gt;"&amp;840)&gt;1,"충돌",HYPERLINK("#'관리자_MASTER'!D"&amp;_xlfn.MAXIFS(m_row,m_teacher,AV$4,m_date,($G$2+22),m_active,1,m_start,"&lt;"&amp;900,m_end,"&gt;"&amp;840),INDEX(m_label,_xlfn.MAXIFS(m_row,m_teacher,AV$4,m_date,($G$2+22),m_active,1,m_start,"&lt;"&amp;900,m_end,"&gt;"&amp;840))))))</f>
        <v/>
      </c>
      <c r="AW21" s="88" t="str">
        <f aca="false">IF(OR(AW$4="",MONTH(($G$2+22))&lt;&gt;MONTH($C$2)),"",IF(COUNTIFS(m_teacher,AW$4,m_date,($G$2+22),m_active,1,m_start,"&lt;"&amp;900,m_end,"&gt;"&amp;840)=0,"",IF(COUNTIFS(m_teacher,AW$4,m_date,($G$2+22),m_active,1,m_start,"&lt;"&amp;900,m_end,"&gt;"&amp;840)&gt;1,"충돌",HYPERLINK("#'관리자_MASTER'!D"&amp;_xlfn.MAXIFS(m_row,m_teacher,AW$4,m_date,($G$2+22),m_active,1,m_start,"&lt;"&amp;900,m_end,"&gt;"&amp;840),INDEX(m_label,_xlfn.MAXIFS(m_row,m_teacher,AW$4,m_date,($G$2+22),m_active,1,m_start,"&lt;"&amp;900,m_end,"&gt;"&amp;840))))))</f>
        <v/>
      </c>
      <c r="AX21" s="88" t="str">
        <f aca="false">IF(OR(AX$4="",MONTH(($G$2+22))&lt;&gt;MONTH($C$2)),"",IF(COUNTIFS(m_teacher,AX$4,m_date,($G$2+22),m_active,1,m_start,"&lt;"&amp;900,m_end,"&gt;"&amp;840)=0,"",IF(COUNTIFS(m_teacher,AX$4,m_date,($G$2+22),m_active,1,m_start,"&lt;"&amp;900,m_end,"&gt;"&amp;840)&gt;1,"충돌",HYPERLINK("#'관리자_MASTER'!D"&amp;_xlfn.MAXIFS(m_row,m_teacher,AX$4,m_date,($G$2+22),m_active,1,m_start,"&lt;"&amp;900,m_end,"&gt;"&amp;840),INDEX(m_label,_xlfn.MAXIFS(m_row,m_teacher,AX$4,m_date,($G$2+22),m_active,1,m_start,"&lt;"&amp;900,m_end,"&gt;"&amp;840))))))</f>
        <v/>
      </c>
      <c r="AY21" s="88" t="str">
        <f aca="false">IF(OR(AY$4="",MONTH(($G$2+22))&lt;&gt;MONTH($C$2)),"",IF(COUNTIFS(m_teacher,AY$4,m_date,($G$2+22),m_active,1,m_start,"&lt;"&amp;900,m_end,"&gt;"&amp;840)=0,"",IF(COUNTIFS(m_teacher,AY$4,m_date,($G$2+22),m_active,1,m_start,"&lt;"&amp;900,m_end,"&gt;"&amp;840)&gt;1,"충돌",HYPERLINK("#'관리자_MASTER'!D"&amp;_xlfn.MAXIFS(m_row,m_teacher,AY$4,m_date,($G$2+22),m_active,1,m_start,"&lt;"&amp;900,m_end,"&gt;"&amp;840),INDEX(m_label,_xlfn.MAXIFS(m_row,m_teacher,AY$4,m_date,($G$2+22),m_active,1,m_start,"&lt;"&amp;900,m_end,"&gt;"&amp;840))))))</f>
        <v/>
      </c>
      <c r="AZ21" s="88" t="str">
        <f aca="false">IF(OR(AZ$4="",MONTH(($G$2+22))&lt;&gt;MONTH($C$2)),"",IF(COUNTIFS(m_teacher,AZ$4,m_date,($G$2+22),m_active,1,m_start,"&lt;"&amp;900,m_end,"&gt;"&amp;840)=0,"",IF(COUNTIFS(m_teacher,AZ$4,m_date,($G$2+22),m_active,1,m_start,"&lt;"&amp;900,m_end,"&gt;"&amp;840)&gt;1,"충돌",HYPERLINK("#'관리자_MASTER'!D"&amp;_xlfn.MAXIFS(m_row,m_teacher,AZ$4,m_date,($G$2+22),m_active,1,m_start,"&lt;"&amp;900,m_end,"&gt;"&amp;840),INDEX(m_label,_xlfn.MAXIFS(m_row,m_teacher,AZ$4,m_date,($G$2+22),m_active,1,m_start,"&lt;"&amp;900,m_end,"&gt;"&amp;840))))))</f>
        <v/>
      </c>
      <c r="BA21" s="88" t="str">
        <f aca="false">IF(OR(BA$4="",MONTH(($G$2+22))&lt;&gt;MONTH($C$2)),"",IF(COUNTIFS(m_teacher,BA$4,m_date,($G$2+22),m_active,1,m_start,"&lt;"&amp;900,m_end,"&gt;"&amp;840)=0,"",IF(COUNTIFS(m_teacher,BA$4,m_date,($G$2+22),m_active,1,m_start,"&lt;"&amp;900,m_end,"&gt;"&amp;840)&gt;1,"충돌",HYPERLINK("#'관리자_MASTER'!D"&amp;_xlfn.MAXIFS(m_row,m_teacher,BA$4,m_date,($G$2+22),m_active,1,m_start,"&lt;"&amp;900,m_end,"&gt;"&amp;840),INDEX(m_label,_xlfn.MAXIFS(m_row,m_teacher,BA$4,m_date,($G$2+22),m_active,1,m_start,"&lt;"&amp;900,m_end,"&gt;"&amp;840))))))</f>
        <v/>
      </c>
      <c r="BB21" s="88" t="str">
        <f aca="false">IF(OR(BB$4="",MONTH(($G$2+22))&lt;&gt;MONTH($C$2)),"",IF(COUNTIFS(m_teacher,BB$4,m_date,($G$2+22),m_active,1,m_start,"&lt;"&amp;900,m_end,"&gt;"&amp;840)=0,"",IF(COUNTIFS(m_teacher,BB$4,m_date,($G$2+22),m_active,1,m_start,"&lt;"&amp;900,m_end,"&gt;"&amp;840)&gt;1,"충돌",HYPERLINK("#'관리자_MASTER'!D"&amp;_xlfn.MAXIFS(m_row,m_teacher,BB$4,m_date,($G$2+22),m_active,1,m_start,"&lt;"&amp;900,m_end,"&gt;"&amp;840),INDEX(m_label,_xlfn.MAXIFS(m_row,m_teacher,BB$4,m_date,($G$2+22),m_active,1,m_start,"&lt;"&amp;900,m_end,"&gt;"&amp;840))))))</f>
        <v/>
      </c>
      <c r="BC21" s="88" t="str">
        <f aca="false">IF(OR(BC$4="",MONTH(($G$2+22))&lt;&gt;MONTH($C$2)),"",IF(COUNTIFS(m_teacher,BC$4,m_date,($G$2+22),m_active,1,m_start,"&lt;"&amp;900,m_end,"&gt;"&amp;840)=0,"",IF(COUNTIFS(m_teacher,BC$4,m_date,($G$2+22),m_active,1,m_start,"&lt;"&amp;900,m_end,"&gt;"&amp;840)&gt;1,"충돌",HYPERLINK("#'관리자_MASTER'!D"&amp;_xlfn.MAXIFS(m_row,m_teacher,BC$4,m_date,($G$2+22),m_active,1,m_start,"&lt;"&amp;900,m_end,"&gt;"&amp;840),INDEX(m_label,_xlfn.MAXIFS(m_row,m_teacher,BC$4,m_date,($G$2+22),m_active,1,m_start,"&lt;"&amp;900,m_end,"&gt;"&amp;840))))))</f>
        <v/>
      </c>
      <c r="BD21" s="88" t="str">
        <f aca="false">IF(OR(BD$4="",MONTH(($G$2+22))&lt;&gt;MONTH($C$2)),"",IF(COUNTIFS(m_teacher,BD$4,m_date,($G$2+22),m_active,1,m_start,"&lt;"&amp;900,m_end,"&gt;"&amp;840)=0,"",IF(COUNTIFS(m_teacher,BD$4,m_date,($G$2+22),m_active,1,m_start,"&lt;"&amp;900,m_end,"&gt;"&amp;840)&gt;1,"충돌",HYPERLINK("#'관리자_MASTER'!D"&amp;_xlfn.MAXIFS(m_row,m_teacher,BD$4,m_date,($G$2+22),m_active,1,m_start,"&lt;"&amp;900,m_end,"&gt;"&amp;840),INDEX(m_label,_xlfn.MAXIFS(m_row,m_teacher,BD$4,m_date,($G$2+22),m_active,1,m_start,"&lt;"&amp;900,m_end,"&gt;"&amp;840))))))</f>
        <v/>
      </c>
    </row>
    <row r="22" customFormat="false" ht="19.5" hidden="false" customHeight="true" outlineLevel="0" collapsed="false">
      <c r="A22" s="78"/>
      <c r="B22" s="79" t="s">
        <v>97</v>
      </c>
      <c r="C22" s="88" t="str">
        <f aca="false">IF(OR(C$4="",MONTH(($G$2+1))&lt;&gt;MONTH($C$2)),"",IF(COUNTIFS(m_teacher,C$4,m_date,($G$2+1),m_active,1,m_start,"&lt;"&amp;960,m_end,"&gt;"&amp;900)=0,"",IF(COUNTIFS(m_teacher,C$4,m_date,($G$2+1),m_active,1,m_start,"&lt;"&amp;960,m_end,"&gt;"&amp;900)&gt;1,"충돌",HYPERLINK("#'관리자_MASTER'!D"&amp;_xlfn.MAXIFS(m_row,m_teacher,C$4,m_date,($G$2+1),m_active,1,m_start,"&lt;"&amp;960,m_end,"&gt;"&amp;900),INDEX(m_label,_xlfn.MAXIFS(m_row,m_teacher,C$4,m_date,($G$2+1),m_active,1,m_start,"&lt;"&amp;960,m_end,"&gt;"&amp;900))))))</f>
        <v/>
      </c>
      <c r="D22" s="88" t="str">
        <f aca="false">IF(OR(D$4="",MONTH(($G$2+1))&lt;&gt;MONTH($C$2)),"",IF(COUNTIFS(m_teacher,D$4,m_date,($G$2+1),m_active,1,m_start,"&lt;"&amp;960,m_end,"&gt;"&amp;900)=0,"",IF(COUNTIFS(m_teacher,D$4,m_date,($G$2+1),m_active,1,m_start,"&lt;"&amp;960,m_end,"&gt;"&amp;900)&gt;1,"충돌",HYPERLINK("#'관리자_MASTER'!D"&amp;_xlfn.MAXIFS(m_row,m_teacher,D$4,m_date,($G$2+1),m_active,1,m_start,"&lt;"&amp;960,m_end,"&gt;"&amp;900),INDEX(m_label,_xlfn.MAXIFS(m_row,m_teacher,D$4,m_date,($G$2+1),m_active,1,m_start,"&lt;"&amp;960,m_end,"&gt;"&amp;900))))))</f>
        <v/>
      </c>
      <c r="E22" s="88" t="str">
        <f aca="false">IF(OR(E$4="",MONTH(($G$2+1))&lt;&gt;MONTH($C$2)),"",IF(COUNTIFS(m_teacher,E$4,m_date,($G$2+1),m_active,1,m_start,"&lt;"&amp;960,m_end,"&gt;"&amp;900)=0,"",IF(COUNTIFS(m_teacher,E$4,m_date,($G$2+1),m_active,1,m_start,"&lt;"&amp;960,m_end,"&gt;"&amp;900)&gt;1,"충돌",HYPERLINK("#'관리자_MASTER'!D"&amp;_xlfn.MAXIFS(m_row,m_teacher,E$4,m_date,($G$2+1),m_active,1,m_start,"&lt;"&amp;960,m_end,"&gt;"&amp;900),INDEX(m_label,_xlfn.MAXIFS(m_row,m_teacher,E$4,m_date,($G$2+1),m_active,1,m_start,"&lt;"&amp;960,m_end,"&gt;"&amp;900))))))</f>
        <v/>
      </c>
      <c r="F22" s="88" t="str">
        <f aca="false">IF(OR(F$4="",MONTH(($G$2+1))&lt;&gt;MONTH($C$2)),"",IF(COUNTIFS(m_teacher,F$4,m_date,($G$2+1),m_active,1,m_start,"&lt;"&amp;960,m_end,"&gt;"&amp;900)=0,"",IF(COUNTIFS(m_teacher,F$4,m_date,($G$2+1),m_active,1,m_start,"&lt;"&amp;960,m_end,"&gt;"&amp;900)&gt;1,"충돌",HYPERLINK("#'관리자_MASTER'!D"&amp;_xlfn.MAXIFS(m_row,m_teacher,F$4,m_date,($G$2+1),m_active,1,m_start,"&lt;"&amp;960,m_end,"&gt;"&amp;900),INDEX(m_label,_xlfn.MAXIFS(m_row,m_teacher,F$4,m_date,($G$2+1),m_active,1,m_start,"&lt;"&amp;960,m_end,"&gt;"&amp;900))))))</f>
        <v/>
      </c>
      <c r="G22" s="88" t="str">
        <f aca="false">IF(OR(G$4="",MONTH(($G$2+1))&lt;&gt;MONTH($C$2)),"",IF(COUNTIFS(m_teacher,G$4,m_date,($G$2+1),m_active,1,m_start,"&lt;"&amp;960,m_end,"&gt;"&amp;900)=0,"",IF(COUNTIFS(m_teacher,G$4,m_date,($G$2+1),m_active,1,m_start,"&lt;"&amp;960,m_end,"&gt;"&amp;900)&gt;1,"충돌",HYPERLINK("#'관리자_MASTER'!D"&amp;_xlfn.MAXIFS(m_row,m_teacher,G$4,m_date,($G$2+1),m_active,1,m_start,"&lt;"&amp;960,m_end,"&gt;"&amp;900),INDEX(m_label,_xlfn.MAXIFS(m_row,m_teacher,G$4,m_date,($G$2+1),m_active,1,m_start,"&lt;"&amp;960,m_end,"&gt;"&amp;900))))))</f>
        <v/>
      </c>
      <c r="H22" s="88" t="str">
        <f aca="false">IF(OR(H$4="",MONTH(($G$2+1))&lt;&gt;MONTH($C$2)),"",IF(COUNTIFS(m_teacher,H$4,m_date,($G$2+1),m_active,1,m_start,"&lt;"&amp;960,m_end,"&gt;"&amp;900)=0,"",IF(COUNTIFS(m_teacher,H$4,m_date,($G$2+1),m_active,1,m_start,"&lt;"&amp;960,m_end,"&gt;"&amp;900)&gt;1,"충돌",HYPERLINK("#'관리자_MASTER'!D"&amp;_xlfn.MAXIFS(m_row,m_teacher,H$4,m_date,($G$2+1),m_active,1,m_start,"&lt;"&amp;960,m_end,"&gt;"&amp;900),INDEX(m_label,_xlfn.MAXIFS(m_row,m_teacher,H$4,m_date,($G$2+1),m_active,1,m_start,"&lt;"&amp;960,m_end,"&gt;"&amp;900))))))</f>
        <v/>
      </c>
      <c r="I22" s="88" t="str">
        <f aca="false">IF(OR(I$4="",MONTH(($G$2+1))&lt;&gt;MONTH($C$2)),"",IF(COUNTIFS(m_teacher,I$4,m_date,($G$2+1),m_active,1,m_start,"&lt;"&amp;960,m_end,"&gt;"&amp;900)=0,"",IF(COUNTIFS(m_teacher,I$4,m_date,($G$2+1),m_active,1,m_start,"&lt;"&amp;960,m_end,"&gt;"&amp;900)&gt;1,"충돌",HYPERLINK("#'관리자_MASTER'!D"&amp;_xlfn.MAXIFS(m_row,m_teacher,I$4,m_date,($G$2+1),m_active,1,m_start,"&lt;"&amp;960,m_end,"&gt;"&amp;900),INDEX(m_label,_xlfn.MAXIFS(m_row,m_teacher,I$4,m_date,($G$2+1),m_active,1,m_start,"&lt;"&amp;960,m_end,"&gt;"&amp;900))))))</f>
        <v/>
      </c>
      <c r="J22" s="88" t="str">
        <f aca="false">IF(OR(J$4="",MONTH(($G$2+1))&lt;&gt;MONTH($C$2)),"",IF(COUNTIFS(m_teacher,J$4,m_date,($G$2+1),m_active,1,m_start,"&lt;"&amp;960,m_end,"&gt;"&amp;900)=0,"",IF(COUNTIFS(m_teacher,J$4,m_date,($G$2+1),m_active,1,m_start,"&lt;"&amp;960,m_end,"&gt;"&amp;900)&gt;1,"충돌",HYPERLINK("#'관리자_MASTER'!D"&amp;_xlfn.MAXIFS(m_row,m_teacher,J$4,m_date,($G$2+1),m_active,1,m_start,"&lt;"&amp;960,m_end,"&gt;"&amp;900),INDEX(m_label,_xlfn.MAXIFS(m_row,m_teacher,J$4,m_date,($G$2+1),m_active,1,m_start,"&lt;"&amp;960,m_end,"&gt;"&amp;900))))))</f>
        <v/>
      </c>
      <c r="K22" s="88" t="str">
        <f aca="false">IF(OR(K$4="",MONTH(($G$2+1))&lt;&gt;MONTH($C$2)),"",IF(COUNTIFS(m_teacher,K$4,m_date,($G$2+1),m_active,1,m_start,"&lt;"&amp;960,m_end,"&gt;"&amp;900)=0,"",IF(COUNTIFS(m_teacher,K$4,m_date,($G$2+1),m_active,1,m_start,"&lt;"&amp;960,m_end,"&gt;"&amp;900)&gt;1,"충돌",HYPERLINK("#'관리자_MASTER'!D"&amp;_xlfn.MAXIFS(m_row,m_teacher,K$4,m_date,($G$2+1),m_active,1,m_start,"&lt;"&amp;960,m_end,"&gt;"&amp;900),INDEX(m_label,_xlfn.MAXIFS(m_row,m_teacher,K$4,m_date,($G$2+1),m_active,1,m_start,"&lt;"&amp;960,m_end,"&gt;"&amp;900))))))</f>
        <v/>
      </c>
      <c r="L22" s="88" t="str">
        <f aca="false">IF(OR(L$4="",MONTH(($G$2+1))&lt;&gt;MONTH($C$2)),"",IF(COUNTIFS(m_teacher,L$4,m_date,($G$2+1),m_active,1,m_start,"&lt;"&amp;960,m_end,"&gt;"&amp;900)=0,"",IF(COUNTIFS(m_teacher,L$4,m_date,($G$2+1),m_active,1,m_start,"&lt;"&amp;960,m_end,"&gt;"&amp;900)&gt;1,"충돌",HYPERLINK("#'관리자_MASTER'!D"&amp;_xlfn.MAXIFS(m_row,m_teacher,L$4,m_date,($G$2+1),m_active,1,m_start,"&lt;"&amp;960,m_end,"&gt;"&amp;900),INDEX(m_label,_xlfn.MAXIFS(m_row,m_teacher,L$4,m_date,($G$2+1),m_active,1,m_start,"&lt;"&amp;960,m_end,"&gt;"&amp;900))))))</f>
        <v/>
      </c>
      <c r="M22" s="88" t="str">
        <f aca="false">IF(OR(M$4="",MONTH(($G$2+1))&lt;&gt;MONTH($C$2)),"",IF(COUNTIFS(m_teacher,M$4,m_date,($G$2+1),m_active,1,m_start,"&lt;"&amp;960,m_end,"&gt;"&amp;900)=0,"",IF(COUNTIFS(m_teacher,M$4,m_date,($G$2+1),m_active,1,m_start,"&lt;"&amp;960,m_end,"&gt;"&amp;900)&gt;1,"충돌",HYPERLINK("#'관리자_MASTER'!D"&amp;_xlfn.MAXIFS(m_row,m_teacher,M$4,m_date,($G$2+1),m_active,1,m_start,"&lt;"&amp;960,m_end,"&gt;"&amp;900),INDEX(m_label,_xlfn.MAXIFS(m_row,m_teacher,M$4,m_date,($G$2+1),m_active,1,m_start,"&lt;"&amp;960,m_end,"&gt;"&amp;900))))))</f>
        <v/>
      </c>
      <c r="N22" s="88" t="str">
        <f aca="false">IF(OR(N$4="",MONTH(($G$2+1))&lt;&gt;MONTH($C$2)),"",IF(COUNTIFS(m_teacher,N$4,m_date,($G$2+1),m_active,1,m_start,"&lt;"&amp;960,m_end,"&gt;"&amp;900)=0,"",IF(COUNTIFS(m_teacher,N$4,m_date,($G$2+1),m_active,1,m_start,"&lt;"&amp;960,m_end,"&gt;"&amp;900)&gt;1,"충돌",HYPERLINK("#'관리자_MASTER'!D"&amp;_xlfn.MAXIFS(m_row,m_teacher,N$4,m_date,($G$2+1),m_active,1,m_start,"&lt;"&amp;960,m_end,"&gt;"&amp;900),INDEX(m_label,_xlfn.MAXIFS(m_row,m_teacher,N$4,m_date,($G$2+1),m_active,1,m_start,"&lt;"&amp;960,m_end,"&gt;"&amp;900))))))</f>
        <v/>
      </c>
      <c r="O22" s="78"/>
      <c r="P22" s="79" t="s">
        <v>97</v>
      </c>
      <c r="Q22" s="88" t="str">
        <f aca="false">IF(OR(Q$4="",MONTH(($G$2+8))&lt;&gt;MONTH($C$2)),"",IF(COUNTIFS(m_teacher,Q$4,m_date,($G$2+8),m_active,1,m_start,"&lt;"&amp;960,m_end,"&gt;"&amp;900)=0,"",IF(COUNTIFS(m_teacher,Q$4,m_date,($G$2+8),m_active,1,m_start,"&lt;"&amp;960,m_end,"&gt;"&amp;900)&gt;1,"충돌",HYPERLINK("#'관리자_MASTER'!D"&amp;_xlfn.MAXIFS(m_row,m_teacher,Q$4,m_date,($G$2+8),m_active,1,m_start,"&lt;"&amp;960,m_end,"&gt;"&amp;900),INDEX(m_label,_xlfn.MAXIFS(m_row,m_teacher,Q$4,m_date,($G$2+8),m_active,1,m_start,"&lt;"&amp;960,m_end,"&gt;"&amp;900))))))</f>
        <v/>
      </c>
      <c r="R22" s="88" t="str">
        <f aca="false">IF(OR(R$4="",MONTH(($G$2+8))&lt;&gt;MONTH($C$2)),"",IF(COUNTIFS(m_teacher,R$4,m_date,($G$2+8),m_active,1,m_start,"&lt;"&amp;960,m_end,"&gt;"&amp;900)=0,"",IF(COUNTIFS(m_teacher,R$4,m_date,($G$2+8),m_active,1,m_start,"&lt;"&amp;960,m_end,"&gt;"&amp;900)&gt;1,"충돌",HYPERLINK("#'관리자_MASTER'!D"&amp;_xlfn.MAXIFS(m_row,m_teacher,R$4,m_date,($G$2+8),m_active,1,m_start,"&lt;"&amp;960,m_end,"&gt;"&amp;900),INDEX(m_label,_xlfn.MAXIFS(m_row,m_teacher,R$4,m_date,($G$2+8),m_active,1,m_start,"&lt;"&amp;960,m_end,"&gt;"&amp;900))))))</f>
        <v/>
      </c>
      <c r="S22" s="88" t="str">
        <f aca="false">IF(OR(S$4="",MONTH(($G$2+8))&lt;&gt;MONTH($C$2)),"",IF(COUNTIFS(m_teacher,S$4,m_date,($G$2+8),m_active,1,m_start,"&lt;"&amp;960,m_end,"&gt;"&amp;900)=0,"",IF(COUNTIFS(m_teacher,S$4,m_date,($G$2+8),m_active,1,m_start,"&lt;"&amp;960,m_end,"&gt;"&amp;900)&gt;1,"충돌",HYPERLINK("#'관리자_MASTER'!D"&amp;_xlfn.MAXIFS(m_row,m_teacher,S$4,m_date,($G$2+8),m_active,1,m_start,"&lt;"&amp;960,m_end,"&gt;"&amp;900),INDEX(m_label,_xlfn.MAXIFS(m_row,m_teacher,S$4,m_date,($G$2+8),m_active,1,m_start,"&lt;"&amp;960,m_end,"&gt;"&amp;900))))))</f>
        <v/>
      </c>
      <c r="T22" s="88" t="str">
        <f aca="false">IF(OR(T$4="",MONTH(($G$2+8))&lt;&gt;MONTH($C$2)),"",IF(COUNTIFS(m_teacher,T$4,m_date,($G$2+8),m_active,1,m_start,"&lt;"&amp;960,m_end,"&gt;"&amp;900)=0,"",IF(COUNTIFS(m_teacher,T$4,m_date,($G$2+8),m_active,1,m_start,"&lt;"&amp;960,m_end,"&gt;"&amp;900)&gt;1,"충돌",HYPERLINK("#'관리자_MASTER'!D"&amp;_xlfn.MAXIFS(m_row,m_teacher,T$4,m_date,($G$2+8),m_active,1,m_start,"&lt;"&amp;960,m_end,"&gt;"&amp;900),INDEX(m_label,_xlfn.MAXIFS(m_row,m_teacher,T$4,m_date,($G$2+8),m_active,1,m_start,"&lt;"&amp;960,m_end,"&gt;"&amp;900))))))</f>
        <v/>
      </c>
      <c r="U22" s="88" t="str">
        <f aca="false">IF(OR(U$4="",MONTH(($G$2+8))&lt;&gt;MONTH($C$2)),"",IF(COUNTIFS(m_teacher,U$4,m_date,($G$2+8),m_active,1,m_start,"&lt;"&amp;960,m_end,"&gt;"&amp;900)=0,"",IF(COUNTIFS(m_teacher,U$4,m_date,($G$2+8),m_active,1,m_start,"&lt;"&amp;960,m_end,"&gt;"&amp;900)&gt;1,"충돌",HYPERLINK("#'관리자_MASTER'!D"&amp;_xlfn.MAXIFS(m_row,m_teacher,U$4,m_date,($G$2+8),m_active,1,m_start,"&lt;"&amp;960,m_end,"&gt;"&amp;900),INDEX(m_label,_xlfn.MAXIFS(m_row,m_teacher,U$4,m_date,($G$2+8),m_active,1,m_start,"&lt;"&amp;960,m_end,"&gt;"&amp;900))))))</f>
        <v/>
      </c>
      <c r="V22" s="88" t="str">
        <f aca="false">IF(OR(V$4="",MONTH(($G$2+8))&lt;&gt;MONTH($C$2)),"",IF(COUNTIFS(m_teacher,V$4,m_date,($G$2+8),m_active,1,m_start,"&lt;"&amp;960,m_end,"&gt;"&amp;900)=0,"",IF(COUNTIFS(m_teacher,V$4,m_date,($G$2+8),m_active,1,m_start,"&lt;"&amp;960,m_end,"&gt;"&amp;900)&gt;1,"충돌",HYPERLINK("#'관리자_MASTER'!D"&amp;_xlfn.MAXIFS(m_row,m_teacher,V$4,m_date,($G$2+8),m_active,1,m_start,"&lt;"&amp;960,m_end,"&gt;"&amp;900),INDEX(m_label,_xlfn.MAXIFS(m_row,m_teacher,V$4,m_date,($G$2+8),m_active,1,m_start,"&lt;"&amp;960,m_end,"&gt;"&amp;900))))))</f>
        <v/>
      </c>
      <c r="W22" s="88" t="str">
        <f aca="false">IF(OR(W$4="",MONTH(($G$2+8))&lt;&gt;MONTH($C$2)),"",IF(COUNTIFS(m_teacher,W$4,m_date,($G$2+8),m_active,1,m_start,"&lt;"&amp;960,m_end,"&gt;"&amp;900)=0,"",IF(COUNTIFS(m_teacher,W$4,m_date,($G$2+8),m_active,1,m_start,"&lt;"&amp;960,m_end,"&gt;"&amp;900)&gt;1,"충돌",HYPERLINK("#'관리자_MASTER'!D"&amp;_xlfn.MAXIFS(m_row,m_teacher,W$4,m_date,($G$2+8),m_active,1,m_start,"&lt;"&amp;960,m_end,"&gt;"&amp;900),INDEX(m_label,_xlfn.MAXIFS(m_row,m_teacher,W$4,m_date,($G$2+8),m_active,1,m_start,"&lt;"&amp;960,m_end,"&gt;"&amp;900))))))</f>
        <v/>
      </c>
      <c r="X22" s="88" t="str">
        <f aca="false">IF(OR(X$4="",MONTH(($G$2+8))&lt;&gt;MONTH($C$2)),"",IF(COUNTIFS(m_teacher,X$4,m_date,($G$2+8),m_active,1,m_start,"&lt;"&amp;960,m_end,"&gt;"&amp;900)=0,"",IF(COUNTIFS(m_teacher,X$4,m_date,($G$2+8),m_active,1,m_start,"&lt;"&amp;960,m_end,"&gt;"&amp;900)&gt;1,"충돌",HYPERLINK("#'관리자_MASTER'!D"&amp;_xlfn.MAXIFS(m_row,m_teacher,X$4,m_date,($G$2+8),m_active,1,m_start,"&lt;"&amp;960,m_end,"&gt;"&amp;900),INDEX(m_label,_xlfn.MAXIFS(m_row,m_teacher,X$4,m_date,($G$2+8),m_active,1,m_start,"&lt;"&amp;960,m_end,"&gt;"&amp;900))))))</f>
        <v/>
      </c>
      <c r="Y22" s="88" t="str">
        <f aca="false">IF(OR(Y$4="",MONTH(($G$2+8))&lt;&gt;MONTH($C$2)),"",IF(COUNTIFS(m_teacher,Y$4,m_date,($G$2+8),m_active,1,m_start,"&lt;"&amp;960,m_end,"&gt;"&amp;900)=0,"",IF(COUNTIFS(m_teacher,Y$4,m_date,($G$2+8),m_active,1,m_start,"&lt;"&amp;960,m_end,"&gt;"&amp;900)&gt;1,"충돌",HYPERLINK("#'관리자_MASTER'!D"&amp;_xlfn.MAXIFS(m_row,m_teacher,Y$4,m_date,($G$2+8),m_active,1,m_start,"&lt;"&amp;960,m_end,"&gt;"&amp;900),INDEX(m_label,_xlfn.MAXIFS(m_row,m_teacher,Y$4,m_date,($G$2+8),m_active,1,m_start,"&lt;"&amp;960,m_end,"&gt;"&amp;900))))))</f>
        <v/>
      </c>
      <c r="Z22" s="88" t="str">
        <f aca="false">IF(OR(Z$4="",MONTH(($G$2+8))&lt;&gt;MONTH($C$2)),"",IF(COUNTIFS(m_teacher,Z$4,m_date,($G$2+8),m_active,1,m_start,"&lt;"&amp;960,m_end,"&gt;"&amp;900)=0,"",IF(COUNTIFS(m_teacher,Z$4,m_date,($G$2+8),m_active,1,m_start,"&lt;"&amp;960,m_end,"&gt;"&amp;900)&gt;1,"충돌",HYPERLINK("#'관리자_MASTER'!D"&amp;_xlfn.MAXIFS(m_row,m_teacher,Z$4,m_date,($G$2+8),m_active,1,m_start,"&lt;"&amp;960,m_end,"&gt;"&amp;900),INDEX(m_label,_xlfn.MAXIFS(m_row,m_teacher,Z$4,m_date,($G$2+8),m_active,1,m_start,"&lt;"&amp;960,m_end,"&gt;"&amp;900))))))</f>
        <v/>
      </c>
      <c r="AA22" s="88" t="str">
        <f aca="false">IF(OR(AA$4="",MONTH(($G$2+8))&lt;&gt;MONTH($C$2)),"",IF(COUNTIFS(m_teacher,AA$4,m_date,($G$2+8),m_active,1,m_start,"&lt;"&amp;960,m_end,"&gt;"&amp;900)=0,"",IF(COUNTIFS(m_teacher,AA$4,m_date,($G$2+8),m_active,1,m_start,"&lt;"&amp;960,m_end,"&gt;"&amp;900)&gt;1,"충돌",HYPERLINK("#'관리자_MASTER'!D"&amp;_xlfn.MAXIFS(m_row,m_teacher,AA$4,m_date,($G$2+8),m_active,1,m_start,"&lt;"&amp;960,m_end,"&gt;"&amp;900),INDEX(m_label,_xlfn.MAXIFS(m_row,m_teacher,AA$4,m_date,($G$2+8),m_active,1,m_start,"&lt;"&amp;960,m_end,"&gt;"&amp;900))))))</f>
        <v/>
      </c>
      <c r="AB22" s="88" t="str">
        <f aca="false">IF(OR(AB$4="",MONTH(($G$2+8))&lt;&gt;MONTH($C$2)),"",IF(COUNTIFS(m_teacher,AB$4,m_date,($G$2+8),m_active,1,m_start,"&lt;"&amp;960,m_end,"&gt;"&amp;900)=0,"",IF(COUNTIFS(m_teacher,AB$4,m_date,($G$2+8),m_active,1,m_start,"&lt;"&amp;960,m_end,"&gt;"&amp;900)&gt;1,"충돌",HYPERLINK("#'관리자_MASTER'!D"&amp;_xlfn.MAXIFS(m_row,m_teacher,AB$4,m_date,($G$2+8),m_active,1,m_start,"&lt;"&amp;960,m_end,"&gt;"&amp;900),INDEX(m_label,_xlfn.MAXIFS(m_row,m_teacher,AB$4,m_date,($G$2+8),m_active,1,m_start,"&lt;"&amp;960,m_end,"&gt;"&amp;900))))))</f>
        <v/>
      </c>
      <c r="AC22" s="78"/>
      <c r="AD22" s="79" t="s">
        <v>97</v>
      </c>
      <c r="AE22" s="88" t="str">
        <f aca="false">IF(OR(AE$4="",MONTH(($G$2+15))&lt;&gt;MONTH($C$2)),"",IF(COUNTIFS(m_teacher,AE$4,m_date,($G$2+15),m_active,1,m_start,"&lt;"&amp;960,m_end,"&gt;"&amp;900)=0,"",IF(COUNTIFS(m_teacher,AE$4,m_date,($G$2+15),m_active,1,m_start,"&lt;"&amp;960,m_end,"&gt;"&amp;900)&gt;1,"충돌",HYPERLINK("#'관리자_MASTER'!D"&amp;_xlfn.MAXIFS(m_row,m_teacher,AE$4,m_date,($G$2+15),m_active,1,m_start,"&lt;"&amp;960,m_end,"&gt;"&amp;900),INDEX(m_label,_xlfn.MAXIFS(m_row,m_teacher,AE$4,m_date,($G$2+15),m_active,1,m_start,"&lt;"&amp;960,m_end,"&gt;"&amp;900))))))</f>
        <v/>
      </c>
      <c r="AF22" s="88" t="str">
        <f aca="false">IF(OR(AF$4="",MONTH(($G$2+15))&lt;&gt;MONTH($C$2)),"",IF(COUNTIFS(m_teacher,AF$4,m_date,($G$2+15),m_active,1,m_start,"&lt;"&amp;960,m_end,"&gt;"&amp;900)=0,"",IF(COUNTIFS(m_teacher,AF$4,m_date,($G$2+15),m_active,1,m_start,"&lt;"&amp;960,m_end,"&gt;"&amp;900)&gt;1,"충돌",HYPERLINK("#'관리자_MASTER'!D"&amp;_xlfn.MAXIFS(m_row,m_teacher,AF$4,m_date,($G$2+15),m_active,1,m_start,"&lt;"&amp;960,m_end,"&gt;"&amp;900),INDEX(m_label,_xlfn.MAXIFS(m_row,m_teacher,AF$4,m_date,($G$2+15),m_active,1,m_start,"&lt;"&amp;960,m_end,"&gt;"&amp;900))))))</f>
        <v/>
      </c>
      <c r="AG22" s="88" t="str">
        <f aca="false">IF(OR(AG$4="",MONTH(($G$2+15))&lt;&gt;MONTH($C$2)),"",IF(COUNTIFS(m_teacher,AG$4,m_date,($G$2+15),m_active,1,m_start,"&lt;"&amp;960,m_end,"&gt;"&amp;900)=0,"",IF(COUNTIFS(m_teacher,AG$4,m_date,($G$2+15),m_active,1,m_start,"&lt;"&amp;960,m_end,"&gt;"&amp;900)&gt;1,"충돌",HYPERLINK("#'관리자_MASTER'!D"&amp;_xlfn.MAXIFS(m_row,m_teacher,AG$4,m_date,($G$2+15),m_active,1,m_start,"&lt;"&amp;960,m_end,"&gt;"&amp;900),INDEX(m_label,_xlfn.MAXIFS(m_row,m_teacher,AG$4,m_date,($G$2+15),m_active,1,m_start,"&lt;"&amp;960,m_end,"&gt;"&amp;900))))))</f>
        <v/>
      </c>
      <c r="AH22" s="88" t="str">
        <f aca="false">IF(OR(AH$4="",MONTH(($G$2+15))&lt;&gt;MONTH($C$2)),"",IF(COUNTIFS(m_teacher,AH$4,m_date,($G$2+15),m_active,1,m_start,"&lt;"&amp;960,m_end,"&gt;"&amp;900)=0,"",IF(COUNTIFS(m_teacher,AH$4,m_date,($G$2+15),m_active,1,m_start,"&lt;"&amp;960,m_end,"&gt;"&amp;900)&gt;1,"충돌",HYPERLINK("#'관리자_MASTER'!D"&amp;_xlfn.MAXIFS(m_row,m_teacher,AH$4,m_date,($G$2+15),m_active,1,m_start,"&lt;"&amp;960,m_end,"&gt;"&amp;900),INDEX(m_label,_xlfn.MAXIFS(m_row,m_teacher,AH$4,m_date,($G$2+15),m_active,1,m_start,"&lt;"&amp;960,m_end,"&gt;"&amp;900))))))</f>
        <v/>
      </c>
      <c r="AI22" s="88" t="str">
        <f aca="false">IF(OR(AI$4="",MONTH(($G$2+15))&lt;&gt;MONTH($C$2)),"",IF(COUNTIFS(m_teacher,AI$4,m_date,($G$2+15),m_active,1,m_start,"&lt;"&amp;960,m_end,"&gt;"&amp;900)=0,"",IF(COUNTIFS(m_teacher,AI$4,m_date,($G$2+15),m_active,1,m_start,"&lt;"&amp;960,m_end,"&gt;"&amp;900)&gt;1,"충돌",HYPERLINK("#'관리자_MASTER'!D"&amp;_xlfn.MAXIFS(m_row,m_teacher,AI$4,m_date,($G$2+15),m_active,1,m_start,"&lt;"&amp;960,m_end,"&gt;"&amp;900),INDEX(m_label,_xlfn.MAXIFS(m_row,m_teacher,AI$4,m_date,($G$2+15),m_active,1,m_start,"&lt;"&amp;960,m_end,"&gt;"&amp;900))))))</f>
        <v/>
      </c>
      <c r="AJ22" s="88" t="str">
        <f aca="false">IF(OR(AJ$4="",MONTH(($G$2+15))&lt;&gt;MONTH($C$2)),"",IF(COUNTIFS(m_teacher,AJ$4,m_date,($G$2+15),m_active,1,m_start,"&lt;"&amp;960,m_end,"&gt;"&amp;900)=0,"",IF(COUNTIFS(m_teacher,AJ$4,m_date,($G$2+15),m_active,1,m_start,"&lt;"&amp;960,m_end,"&gt;"&amp;900)&gt;1,"충돌",HYPERLINK("#'관리자_MASTER'!D"&amp;_xlfn.MAXIFS(m_row,m_teacher,AJ$4,m_date,($G$2+15),m_active,1,m_start,"&lt;"&amp;960,m_end,"&gt;"&amp;900),INDEX(m_label,_xlfn.MAXIFS(m_row,m_teacher,AJ$4,m_date,($G$2+15),m_active,1,m_start,"&lt;"&amp;960,m_end,"&gt;"&amp;900))))))</f>
        <v/>
      </c>
      <c r="AK22" s="88" t="str">
        <f aca="false">IF(OR(AK$4="",MONTH(($G$2+15))&lt;&gt;MONTH($C$2)),"",IF(COUNTIFS(m_teacher,AK$4,m_date,($G$2+15),m_active,1,m_start,"&lt;"&amp;960,m_end,"&gt;"&amp;900)=0,"",IF(COUNTIFS(m_teacher,AK$4,m_date,($G$2+15),m_active,1,m_start,"&lt;"&amp;960,m_end,"&gt;"&amp;900)&gt;1,"충돌",HYPERLINK("#'관리자_MASTER'!D"&amp;_xlfn.MAXIFS(m_row,m_teacher,AK$4,m_date,($G$2+15),m_active,1,m_start,"&lt;"&amp;960,m_end,"&gt;"&amp;900),INDEX(m_label,_xlfn.MAXIFS(m_row,m_teacher,AK$4,m_date,($G$2+15),m_active,1,m_start,"&lt;"&amp;960,m_end,"&gt;"&amp;900))))))</f>
        <v/>
      </c>
      <c r="AL22" s="88" t="str">
        <f aca="false">IF(OR(AL$4="",MONTH(($G$2+15))&lt;&gt;MONTH($C$2)),"",IF(COUNTIFS(m_teacher,AL$4,m_date,($G$2+15),m_active,1,m_start,"&lt;"&amp;960,m_end,"&gt;"&amp;900)=0,"",IF(COUNTIFS(m_teacher,AL$4,m_date,($G$2+15),m_active,1,m_start,"&lt;"&amp;960,m_end,"&gt;"&amp;900)&gt;1,"충돌",HYPERLINK("#'관리자_MASTER'!D"&amp;_xlfn.MAXIFS(m_row,m_teacher,AL$4,m_date,($G$2+15),m_active,1,m_start,"&lt;"&amp;960,m_end,"&gt;"&amp;900),INDEX(m_label,_xlfn.MAXIFS(m_row,m_teacher,AL$4,m_date,($G$2+15),m_active,1,m_start,"&lt;"&amp;960,m_end,"&gt;"&amp;900))))))</f>
        <v/>
      </c>
      <c r="AM22" s="88" t="str">
        <f aca="false">IF(OR(AM$4="",MONTH(($G$2+15))&lt;&gt;MONTH($C$2)),"",IF(COUNTIFS(m_teacher,AM$4,m_date,($G$2+15),m_active,1,m_start,"&lt;"&amp;960,m_end,"&gt;"&amp;900)=0,"",IF(COUNTIFS(m_teacher,AM$4,m_date,($G$2+15),m_active,1,m_start,"&lt;"&amp;960,m_end,"&gt;"&amp;900)&gt;1,"충돌",HYPERLINK("#'관리자_MASTER'!D"&amp;_xlfn.MAXIFS(m_row,m_teacher,AM$4,m_date,($G$2+15),m_active,1,m_start,"&lt;"&amp;960,m_end,"&gt;"&amp;900),INDEX(m_label,_xlfn.MAXIFS(m_row,m_teacher,AM$4,m_date,($G$2+15),m_active,1,m_start,"&lt;"&amp;960,m_end,"&gt;"&amp;900))))))</f>
        <v/>
      </c>
      <c r="AN22" s="88" t="str">
        <f aca="false">IF(OR(AN$4="",MONTH(($G$2+15))&lt;&gt;MONTH($C$2)),"",IF(COUNTIFS(m_teacher,AN$4,m_date,($G$2+15),m_active,1,m_start,"&lt;"&amp;960,m_end,"&gt;"&amp;900)=0,"",IF(COUNTIFS(m_teacher,AN$4,m_date,($G$2+15),m_active,1,m_start,"&lt;"&amp;960,m_end,"&gt;"&amp;900)&gt;1,"충돌",HYPERLINK("#'관리자_MASTER'!D"&amp;_xlfn.MAXIFS(m_row,m_teacher,AN$4,m_date,($G$2+15),m_active,1,m_start,"&lt;"&amp;960,m_end,"&gt;"&amp;900),INDEX(m_label,_xlfn.MAXIFS(m_row,m_teacher,AN$4,m_date,($G$2+15),m_active,1,m_start,"&lt;"&amp;960,m_end,"&gt;"&amp;900))))))</f>
        <v/>
      </c>
      <c r="AO22" s="88" t="str">
        <f aca="false">IF(OR(AO$4="",MONTH(($G$2+15))&lt;&gt;MONTH($C$2)),"",IF(COUNTIFS(m_teacher,AO$4,m_date,($G$2+15),m_active,1,m_start,"&lt;"&amp;960,m_end,"&gt;"&amp;900)=0,"",IF(COUNTIFS(m_teacher,AO$4,m_date,($G$2+15),m_active,1,m_start,"&lt;"&amp;960,m_end,"&gt;"&amp;900)&gt;1,"충돌",HYPERLINK("#'관리자_MASTER'!D"&amp;_xlfn.MAXIFS(m_row,m_teacher,AO$4,m_date,($G$2+15),m_active,1,m_start,"&lt;"&amp;960,m_end,"&gt;"&amp;900),INDEX(m_label,_xlfn.MAXIFS(m_row,m_teacher,AO$4,m_date,($G$2+15),m_active,1,m_start,"&lt;"&amp;960,m_end,"&gt;"&amp;900))))))</f>
        <v/>
      </c>
      <c r="AP22" s="88" t="str">
        <f aca="false">IF(OR(AP$4="",MONTH(($G$2+15))&lt;&gt;MONTH($C$2)),"",IF(COUNTIFS(m_teacher,AP$4,m_date,($G$2+15),m_active,1,m_start,"&lt;"&amp;960,m_end,"&gt;"&amp;900)=0,"",IF(COUNTIFS(m_teacher,AP$4,m_date,($G$2+15),m_active,1,m_start,"&lt;"&amp;960,m_end,"&gt;"&amp;900)&gt;1,"충돌",HYPERLINK("#'관리자_MASTER'!D"&amp;_xlfn.MAXIFS(m_row,m_teacher,AP$4,m_date,($G$2+15),m_active,1,m_start,"&lt;"&amp;960,m_end,"&gt;"&amp;900),INDEX(m_label,_xlfn.MAXIFS(m_row,m_teacher,AP$4,m_date,($G$2+15),m_active,1,m_start,"&lt;"&amp;960,m_end,"&gt;"&amp;900))))))</f>
        <v/>
      </c>
      <c r="AQ22" s="78"/>
      <c r="AR22" s="79" t="s">
        <v>97</v>
      </c>
      <c r="AS22" s="88" t="str">
        <f aca="false">IF(OR(AS$4="",MONTH(($G$2+22))&lt;&gt;MONTH($C$2)),"",IF(COUNTIFS(m_teacher,AS$4,m_date,($G$2+22),m_active,1,m_start,"&lt;"&amp;960,m_end,"&gt;"&amp;900)=0,"",IF(COUNTIFS(m_teacher,AS$4,m_date,($G$2+22),m_active,1,m_start,"&lt;"&amp;960,m_end,"&gt;"&amp;900)&gt;1,"충돌",HYPERLINK("#'관리자_MASTER'!D"&amp;_xlfn.MAXIFS(m_row,m_teacher,AS$4,m_date,($G$2+22),m_active,1,m_start,"&lt;"&amp;960,m_end,"&gt;"&amp;900),INDEX(m_label,_xlfn.MAXIFS(m_row,m_teacher,AS$4,m_date,($G$2+22),m_active,1,m_start,"&lt;"&amp;960,m_end,"&gt;"&amp;900))))))</f>
        <v/>
      </c>
      <c r="AT22" s="88" t="str">
        <f aca="false">IF(OR(AT$4="",MONTH(($G$2+22))&lt;&gt;MONTH($C$2)),"",IF(COUNTIFS(m_teacher,AT$4,m_date,($G$2+22),m_active,1,m_start,"&lt;"&amp;960,m_end,"&gt;"&amp;900)=0,"",IF(COUNTIFS(m_teacher,AT$4,m_date,($G$2+22),m_active,1,m_start,"&lt;"&amp;960,m_end,"&gt;"&amp;900)&gt;1,"충돌",HYPERLINK("#'관리자_MASTER'!D"&amp;_xlfn.MAXIFS(m_row,m_teacher,AT$4,m_date,($G$2+22),m_active,1,m_start,"&lt;"&amp;960,m_end,"&gt;"&amp;900),INDEX(m_label,_xlfn.MAXIFS(m_row,m_teacher,AT$4,m_date,($G$2+22),m_active,1,m_start,"&lt;"&amp;960,m_end,"&gt;"&amp;900))))))</f>
        <v/>
      </c>
      <c r="AU22" s="88" t="str">
        <f aca="false">IF(OR(AU$4="",MONTH(($G$2+22))&lt;&gt;MONTH($C$2)),"",IF(COUNTIFS(m_teacher,AU$4,m_date,($G$2+22),m_active,1,m_start,"&lt;"&amp;960,m_end,"&gt;"&amp;900)=0,"",IF(COUNTIFS(m_teacher,AU$4,m_date,($G$2+22),m_active,1,m_start,"&lt;"&amp;960,m_end,"&gt;"&amp;900)&gt;1,"충돌",HYPERLINK("#'관리자_MASTER'!D"&amp;_xlfn.MAXIFS(m_row,m_teacher,AU$4,m_date,($G$2+22),m_active,1,m_start,"&lt;"&amp;960,m_end,"&gt;"&amp;900),INDEX(m_label,_xlfn.MAXIFS(m_row,m_teacher,AU$4,m_date,($G$2+22),m_active,1,m_start,"&lt;"&amp;960,m_end,"&gt;"&amp;900))))))</f>
        <v/>
      </c>
      <c r="AV22" s="88" t="str">
        <f aca="false">IF(OR(AV$4="",MONTH(($G$2+22))&lt;&gt;MONTH($C$2)),"",IF(COUNTIFS(m_teacher,AV$4,m_date,($G$2+22),m_active,1,m_start,"&lt;"&amp;960,m_end,"&gt;"&amp;900)=0,"",IF(COUNTIFS(m_teacher,AV$4,m_date,($G$2+22),m_active,1,m_start,"&lt;"&amp;960,m_end,"&gt;"&amp;900)&gt;1,"충돌",HYPERLINK("#'관리자_MASTER'!D"&amp;_xlfn.MAXIFS(m_row,m_teacher,AV$4,m_date,($G$2+22),m_active,1,m_start,"&lt;"&amp;960,m_end,"&gt;"&amp;900),INDEX(m_label,_xlfn.MAXIFS(m_row,m_teacher,AV$4,m_date,($G$2+22),m_active,1,m_start,"&lt;"&amp;960,m_end,"&gt;"&amp;900))))))</f>
        <v/>
      </c>
      <c r="AW22" s="88" t="str">
        <f aca="false">IF(OR(AW$4="",MONTH(($G$2+22))&lt;&gt;MONTH($C$2)),"",IF(COUNTIFS(m_teacher,AW$4,m_date,($G$2+22),m_active,1,m_start,"&lt;"&amp;960,m_end,"&gt;"&amp;900)=0,"",IF(COUNTIFS(m_teacher,AW$4,m_date,($G$2+22),m_active,1,m_start,"&lt;"&amp;960,m_end,"&gt;"&amp;900)&gt;1,"충돌",HYPERLINK("#'관리자_MASTER'!D"&amp;_xlfn.MAXIFS(m_row,m_teacher,AW$4,m_date,($G$2+22),m_active,1,m_start,"&lt;"&amp;960,m_end,"&gt;"&amp;900),INDEX(m_label,_xlfn.MAXIFS(m_row,m_teacher,AW$4,m_date,($G$2+22),m_active,1,m_start,"&lt;"&amp;960,m_end,"&gt;"&amp;900))))))</f>
        <v/>
      </c>
      <c r="AX22" s="88" t="str">
        <f aca="false">IF(OR(AX$4="",MONTH(($G$2+22))&lt;&gt;MONTH($C$2)),"",IF(COUNTIFS(m_teacher,AX$4,m_date,($G$2+22),m_active,1,m_start,"&lt;"&amp;960,m_end,"&gt;"&amp;900)=0,"",IF(COUNTIFS(m_teacher,AX$4,m_date,($G$2+22),m_active,1,m_start,"&lt;"&amp;960,m_end,"&gt;"&amp;900)&gt;1,"충돌",HYPERLINK("#'관리자_MASTER'!D"&amp;_xlfn.MAXIFS(m_row,m_teacher,AX$4,m_date,($G$2+22),m_active,1,m_start,"&lt;"&amp;960,m_end,"&gt;"&amp;900),INDEX(m_label,_xlfn.MAXIFS(m_row,m_teacher,AX$4,m_date,($G$2+22),m_active,1,m_start,"&lt;"&amp;960,m_end,"&gt;"&amp;900))))))</f>
        <v/>
      </c>
      <c r="AY22" s="88" t="str">
        <f aca="false">IF(OR(AY$4="",MONTH(($G$2+22))&lt;&gt;MONTH($C$2)),"",IF(COUNTIFS(m_teacher,AY$4,m_date,($G$2+22),m_active,1,m_start,"&lt;"&amp;960,m_end,"&gt;"&amp;900)=0,"",IF(COUNTIFS(m_teacher,AY$4,m_date,($G$2+22),m_active,1,m_start,"&lt;"&amp;960,m_end,"&gt;"&amp;900)&gt;1,"충돌",HYPERLINK("#'관리자_MASTER'!D"&amp;_xlfn.MAXIFS(m_row,m_teacher,AY$4,m_date,($G$2+22),m_active,1,m_start,"&lt;"&amp;960,m_end,"&gt;"&amp;900),INDEX(m_label,_xlfn.MAXIFS(m_row,m_teacher,AY$4,m_date,($G$2+22),m_active,1,m_start,"&lt;"&amp;960,m_end,"&gt;"&amp;900))))))</f>
        <v/>
      </c>
      <c r="AZ22" s="88" t="str">
        <f aca="false">IF(OR(AZ$4="",MONTH(($G$2+22))&lt;&gt;MONTH($C$2)),"",IF(COUNTIFS(m_teacher,AZ$4,m_date,($G$2+22),m_active,1,m_start,"&lt;"&amp;960,m_end,"&gt;"&amp;900)=0,"",IF(COUNTIFS(m_teacher,AZ$4,m_date,($G$2+22),m_active,1,m_start,"&lt;"&amp;960,m_end,"&gt;"&amp;900)&gt;1,"충돌",HYPERLINK("#'관리자_MASTER'!D"&amp;_xlfn.MAXIFS(m_row,m_teacher,AZ$4,m_date,($G$2+22),m_active,1,m_start,"&lt;"&amp;960,m_end,"&gt;"&amp;900),INDEX(m_label,_xlfn.MAXIFS(m_row,m_teacher,AZ$4,m_date,($G$2+22),m_active,1,m_start,"&lt;"&amp;960,m_end,"&gt;"&amp;900))))))</f>
        <v/>
      </c>
      <c r="BA22" s="88" t="str">
        <f aca="false">IF(OR(BA$4="",MONTH(($G$2+22))&lt;&gt;MONTH($C$2)),"",IF(COUNTIFS(m_teacher,BA$4,m_date,($G$2+22),m_active,1,m_start,"&lt;"&amp;960,m_end,"&gt;"&amp;900)=0,"",IF(COUNTIFS(m_teacher,BA$4,m_date,($G$2+22),m_active,1,m_start,"&lt;"&amp;960,m_end,"&gt;"&amp;900)&gt;1,"충돌",HYPERLINK("#'관리자_MASTER'!D"&amp;_xlfn.MAXIFS(m_row,m_teacher,BA$4,m_date,($G$2+22),m_active,1,m_start,"&lt;"&amp;960,m_end,"&gt;"&amp;900),INDEX(m_label,_xlfn.MAXIFS(m_row,m_teacher,BA$4,m_date,($G$2+22),m_active,1,m_start,"&lt;"&amp;960,m_end,"&gt;"&amp;900))))))</f>
        <v/>
      </c>
      <c r="BB22" s="88" t="str">
        <f aca="false">IF(OR(BB$4="",MONTH(($G$2+22))&lt;&gt;MONTH($C$2)),"",IF(COUNTIFS(m_teacher,BB$4,m_date,($G$2+22),m_active,1,m_start,"&lt;"&amp;960,m_end,"&gt;"&amp;900)=0,"",IF(COUNTIFS(m_teacher,BB$4,m_date,($G$2+22),m_active,1,m_start,"&lt;"&amp;960,m_end,"&gt;"&amp;900)&gt;1,"충돌",HYPERLINK("#'관리자_MASTER'!D"&amp;_xlfn.MAXIFS(m_row,m_teacher,BB$4,m_date,($G$2+22),m_active,1,m_start,"&lt;"&amp;960,m_end,"&gt;"&amp;900),INDEX(m_label,_xlfn.MAXIFS(m_row,m_teacher,BB$4,m_date,($G$2+22),m_active,1,m_start,"&lt;"&amp;960,m_end,"&gt;"&amp;900))))))</f>
        <v/>
      </c>
      <c r="BC22" s="88" t="str">
        <f aca="false">IF(OR(BC$4="",MONTH(($G$2+22))&lt;&gt;MONTH($C$2)),"",IF(COUNTIFS(m_teacher,BC$4,m_date,($G$2+22),m_active,1,m_start,"&lt;"&amp;960,m_end,"&gt;"&amp;900)=0,"",IF(COUNTIFS(m_teacher,BC$4,m_date,($G$2+22),m_active,1,m_start,"&lt;"&amp;960,m_end,"&gt;"&amp;900)&gt;1,"충돌",HYPERLINK("#'관리자_MASTER'!D"&amp;_xlfn.MAXIFS(m_row,m_teacher,BC$4,m_date,($G$2+22),m_active,1,m_start,"&lt;"&amp;960,m_end,"&gt;"&amp;900),INDEX(m_label,_xlfn.MAXIFS(m_row,m_teacher,BC$4,m_date,($G$2+22),m_active,1,m_start,"&lt;"&amp;960,m_end,"&gt;"&amp;900))))))</f>
        <v/>
      </c>
      <c r="BD22" s="88" t="str">
        <f aca="false">IF(OR(BD$4="",MONTH(($G$2+22))&lt;&gt;MONTH($C$2)),"",IF(COUNTIFS(m_teacher,BD$4,m_date,($G$2+22),m_active,1,m_start,"&lt;"&amp;960,m_end,"&gt;"&amp;900)=0,"",IF(COUNTIFS(m_teacher,BD$4,m_date,($G$2+22),m_active,1,m_start,"&lt;"&amp;960,m_end,"&gt;"&amp;900)&gt;1,"충돌",HYPERLINK("#'관리자_MASTER'!D"&amp;_xlfn.MAXIFS(m_row,m_teacher,BD$4,m_date,($G$2+22),m_active,1,m_start,"&lt;"&amp;960,m_end,"&gt;"&amp;900),INDEX(m_label,_xlfn.MAXIFS(m_row,m_teacher,BD$4,m_date,($G$2+22),m_active,1,m_start,"&lt;"&amp;960,m_end,"&gt;"&amp;900))))))</f>
        <v/>
      </c>
    </row>
    <row r="23" customFormat="false" ht="19.5" hidden="false" customHeight="true" outlineLevel="0" collapsed="false">
      <c r="A23" s="78"/>
      <c r="B23" s="79" t="s">
        <v>98</v>
      </c>
      <c r="C23" s="88" t="str">
        <f aca="false">IF(OR(C$4="",MONTH(($G$2+1))&lt;&gt;MONTH($C$2)),"",IF(COUNTIFS(m_teacher,C$4,m_date,($G$2+1),m_active,1,m_start,"&lt;"&amp;1020,m_end,"&gt;"&amp;960)=0,"",IF(COUNTIFS(m_teacher,C$4,m_date,($G$2+1),m_active,1,m_start,"&lt;"&amp;1020,m_end,"&gt;"&amp;960)&gt;1,"충돌",HYPERLINK("#'관리자_MASTER'!D"&amp;_xlfn.MAXIFS(m_row,m_teacher,C$4,m_date,($G$2+1),m_active,1,m_start,"&lt;"&amp;1020,m_end,"&gt;"&amp;960),INDEX(m_label,_xlfn.MAXIFS(m_row,m_teacher,C$4,m_date,($G$2+1),m_active,1,m_start,"&lt;"&amp;1020,m_end,"&gt;"&amp;960))))))</f>
        <v/>
      </c>
      <c r="D23" s="88" t="str">
        <f aca="false">IF(OR(D$4="",MONTH(($G$2+1))&lt;&gt;MONTH($C$2)),"",IF(COUNTIFS(m_teacher,D$4,m_date,($G$2+1),m_active,1,m_start,"&lt;"&amp;1020,m_end,"&gt;"&amp;960)=0,"",IF(COUNTIFS(m_teacher,D$4,m_date,($G$2+1),m_active,1,m_start,"&lt;"&amp;1020,m_end,"&gt;"&amp;960)&gt;1,"충돌",HYPERLINK("#'관리자_MASTER'!D"&amp;_xlfn.MAXIFS(m_row,m_teacher,D$4,m_date,($G$2+1),m_active,1,m_start,"&lt;"&amp;1020,m_end,"&gt;"&amp;960),INDEX(m_label,_xlfn.MAXIFS(m_row,m_teacher,D$4,m_date,($G$2+1),m_active,1,m_start,"&lt;"&amp;1020,m_end,"&gt;"&amp;960))))))</f>
        <v/>
      </c>
      <c r="E23" s="88" t="str">
        <f aca="false">IF(OR(E$4="",MONTH(($G$2+1))&lt;&gt;MONTH($C$2)),"",IF(COUNTIFS(m_teacher,E$4,m_date,($G$2+1),m_active,1,m_start,"&lt;"&amp;1020,m_end,"&gt;"&amp;960)=0,"",IF(COUNTIFS(m_teacher,E$4,m_date,($G$2+1),m_active,1,m_start,"&lt;"&amp;1020,m_end,"&gt;"&amp;960)&gt;1,"충돌",HYPERLINK("#'관리자_MASTER'!D"&amp;_xlfn.MAXIFS(m_row,m_teacher,E$4,m_date,($G$2+1),m_active,1,m_start,"&lt;"&amp;1020,m_end,"&gt;"&amp;960),INDEX(m_label,_xlfn.MAXIFS(m_row,m_teacher,E$4,m_date,($G$2+1),m_active,1,m_start,"&lt;"&amp;1020,m_end,"&gt;"&amp;960))))))</f>
        <v/>
      </c>
      <c r="F23" s="88" t="str">
        <f aca="false">IF(OR(F$4="",MONTH(($G$2+1))&lt;&gt;MONTH($C$2)),"",IF(COUNTIFS(m_teacher,F$4,m_date,($G$2+1),m_active,1,m_start,"&lt;"&amp;1020,m_end,"&gt;"&amp;960)=0,"",IF(COUNTIFS(m_teacher,F$4,m_date,($G$2+1),m_active,1,m_start,"&lt;"&amp;1020,m_end,"&gt;"&amp;960)&gt;1,"충돌",HYPERLINK("#'관리자_MASTER'!D"&amp;_xlfn.MAXIFS(m_row,m_teacher,F$4,m_date,($G$2+1),m_active,1,m_start,"&lt;"&amp;1020,m_end,"&gt;"&amp;960),INDEX(m_label,_xlfn.MAXIFS(m_row,m_teacher,F$4,m_date,($G$2+1),m_active,1,m_start,"&lt;"&amp;1020,m_end,"&gt;"&amp;960))))))</f>
        <v/>
      </c>
      <c r="G23" s="88" t="str">
        <f aca="false">IF(OR(G$4="",MONTH(($G$2+1))&lt;&gt;MONTH($C$2)),"",IF(COUNTIFS(m_teacher,G$4,m_date,($G$2+1),m_active,1,m_start,"&lt;"&amp;1020,m_end,"&gt;"&amp;960)=0,"",IF(COUNTIFS(m_teacher,G$4,m_date,($G$2+1),m_active,1,m_start,"&lt;"&amp;1020,m_end,"&gt;"&amp;960)&gt;1,"충돌",HYPERLINK("#'관리자_MASTER'!D"&amp;_xlfn.MAXIFS(m_row,m_teacher,G$4,m_date,($G$2+1),m_active,1,m_start,"&lt;"&amp;1020,m_end,"&gt;"&amp;960),INDEX(m_label,_xlfn.MAXIFS(m_row,m_teacher,G$4,m_date,($G$2+1),m_active,1,m_start,"&lt;"&amp;1020,m_end,"&gt;"&amp;960))))))</f>
        <v/>
      </c>
      <c r="H23" s="88" t="str">
        <f aca="false">IF(OR(H$4="",MONTH(($G$2+1))&lt;&gt;MONTH($C$2)),"",IF(COUNTIFS(m_teacher,H$4,m_date,($G$2+1),m_active,1,m_start,"&lt;"&amp;1020,m_end,"&gt;"&amp;960)=0,"",IF(COUNTIFS(m_teacher,H$4,m_date,($G$2+1),m_active,1,m_start,"&lt;"&amp;1020,m_end,"&gt;"&amp;960)&gt;1,"충돌",HYPERLINK("#'관리자_MASTER'!D"&amp;_xlfn.MAXIFS(m_row,m_teacher,H$4,m_date,($G$2+1),m_active,1,m_start,"&lt;"&amp;1020,m_end,"&gt;"&amp;960),INDEX(m_label,_xlfn.MAXIFS(m_row,m_teacher,H$4,m_date,($G$2+1),m_active,1,m_start,"&lt;"&amp;1020,m_end,"&gt;"&amp;960))))))</f>
        <v/>
      </c>
      <c r="I23" s="88" t="str">
        <f aca="false">IF(OR(I$4="",MONTH(($G$2+1))&lt;&gt;MONTH($C$2)),"",IF(COUNTIFS(m_teacher,I$4,m_date,($G$2+1),m_active,1,m_start,"&lt;"&amp;1020,m_end,"&gt;"&amp;960)=0,"",IF(COUNTIFS(m_teacher,I$4,m_date,($G$2+1),m_active,1,m_start,"&lt;"&amp;1020,m_end,"&gt;"&amp;960)&gt;1,"충돌",HYPERLINK("#'관리자_MASTER'!D"&amp;_xlfn.MAXIFS(m_row,m_teacher,I$4,m_date,($G$2+1),m_active,1,m_start,"&lt;"&amp;1020,m_end,"&gt;"&amp;960),INDEX(m_label,_xlfn.MAXIFS(m_row,m_teacher,I$4,m_date,($G$2+1),m_active,1,m_start,"&lt;"&amp;1020,m_end,"&gt;"&amp;960))))))</f>
        <v/>
      </c>
      <c r="J23" s="88" t="str">
        <f aca="false">IF(OR(J$4="",MONTH(($G$2+1))&lt;&gt;MONTH($C$2)),"",IF(COUNTIFS(m_teacher,J$4,m_date,($G$2+1),m_active,1,m_start,"&lt;"&amp;1020,m_end,"&gt;"&amp;960)=0,"",IF(COUNTIFS(m_teacher,J$4,m_date,($G$2+1),m_active,1,m_start,"&lt;"&amp;1020,m_end,"&gt;"&amp;960)&gt;1,"충돌",HYPERLINK("#'관리자_MASTER'!D"&amp;_xlfn.MAXIFS(m_row,m_teacher,J$4,m_date,($G$2+1),m_active,1,m_start,"&lt;"&amp;1020,m_end,"&gt;"&amp;960),INDEX(m_label,_xlfn.MAXIFS(m_row,m_teacher,J$4,m_date,($G$2+1),m_active,1,m_start,"&lt;"&amp;1020,m_end,"&gt;"&amp;960))))))</f>
        <v/>
      </c>
      <c r="K23" s="88" t="str">
        <f aca="false">IF(OR(K$4="",MONTH(($G$2+1))&lt;&gt;MONTH($C$2)),"",IF(COUNTIFS(m_teacher,K$4,m_date,($G$2+1),m_active,1,m_start,"&lt;"&amp;1020,m_end,"&gt;"&amp;960)=0,"",IF(COUNTIFS(m_teacher,K$4,m_date,($G$2+1),m_active,1,m_start,"&lt;"&amp;1020,m_end,"&gt;"&amp;960)&gt;1,"충돌",HYPERLINK("#'관리자_MASTER'!D"&amp;_xlfn.MAXIFS(m_row,m_teacher,K$4,m_date,($G$2+1),m_active,1,m_start,"&lt;"&amp;1020,m_end,"&gt;"&amp;960),INDEX(m_label,_xlfn.MAXIFS(m_row,m_teacher,K$4,m_date,($G$2+1),m_active,1,m_start,"&lt;"&amp;1020,m_end,"&gt;"&amp;960))))))</f>
        <v/>
      </c>
      <c r="L23" s="88" t="str">
        <f aca="false">IF(OR(L$4="",MONTH(($G$2+1))&lt;&gt;MONTH($C$2)),"",IF(COUNTIFS(m_teacher,L$4,m_date,($G$2+1),m_active,1,m_start,"&lt;"&amp;1020,m_end,"&gt;"&amp;960)=0,"",IF(COUNTIFS(m_teacher,L$4,m_date,($G$2+1),m_active,1,m_start,"&lt;"&amp;1020,m_end,"&gt;"&amp;960)&gt;1,"충돌",HYPERLINK("#'관리자_MASTER'!D"&amp;_xlfn.MAXIFS(m_row,m_teacher,L$4,m_date,($G$2+1),m_active,1,m_start,"&lt;"&amp;1020,m_end,"&gt;"&amp;960),INDEX(m_label,_xlfn.MAXIFS(m_row,m_teacher,L$4,m_date,($G$2+1),m_active,1,m_start,"&lt;"&amp;1020,m_end,"&gt;"&amp;960))))))</f>
        <v/>
      </c>
      <c r="M23" s="88" t="str">
        <f aca="false">IF(OR(M$4="",MONTH(($G$2+1))&lt;&gt;MONTH($C$2)),"",IF(COUNTIFS(m_teacher,M$4,m_date,($G$2+1),m_active,1,m_start,"&lt;"&amp;1020,m_end,"&gt;"&amp;960)=0,"",IF(COUNTIFS(m_teacher,M$4,m_date,($G$2+1),m_active,1,m_start,"&lt;"&amp;1020,m_end,"&gt;"&amp;960)&gt;1,"충돌",HYPERLINK("#'관리자_MASTER'!D"&amp;_xlfn.MAXIFS(m_row,m_teacher,M$4,m_date,($G$2+1),m_active,1,m_start,"&lt;"&amp;1020,m_end,"&gt;"&amp;960),INDEX(m_label,_xlfn.MAXIFS(m_row,m_teacher,M$4,m_date,($G$2+1),m_active,1,m_start,"&lt;"&amp;1020,m_end,"&gt;"&amp;960))))))</f>
        <v/>
      </c>
      <c r="N23" s="88" t="str">
        <f aca="false">IF(OR(N$4="",MONTH(($G$2+1))&lt;&gt;MONTH($C$2)),"",IF(COUNTIFS(m_teacher,N$4,m_date,($G$2+1),m_active,1,m_start,"&lt;"&amp;1020,m_end,"&gt;"&amp;960)=0,"",IF(COUNTIFS(m_teacher,N$4,m_date,($G$2+1),m_active,1,m_start,"&lt;"&amp;1020,m_end,"&gt;"&amp;960)&gt;1,"충돌",HYPERLINK("#'관리자_MASTER'!D"&amp;_xlfn.MAXIFS(m_row,m_teacher,N$4,m_date,($G$2+1),m_active,1,m_start,"&lt;"&amp;1020,m_end,"&gt;"&amp;960),INDEX(m_label,_xlfn.MAXIFS(m_row,m_teacher,N$4,m_date,($G$2+1),m_active,1,m_start,"&lt;"&amp;1020,m_end,"&gt;"&amp;960))))))</f>
        <v/>
      </c>
      <c r="O23" s="78"/>
      <c r="P23" s="79" t="s">
        <v>98</v>
      </c>
      <c r="Q23" s="88" t="str">
        <f aca="false">IF(OR(Q$4="",MONTH(($G$2+8))&lt;&gt;MONTH($C$2)),"",IF(COUNTIFS(m_teacher,Q$4,m_date,($G$2+8),m_active,1,m_start,"&lt;"&amp;1020,m_end,"&gt;"&amp;960)=0,"",IF(COUNTIFS(m_teacher,Q$4,m_date,($G$2+8),m_active,1,m_start,"&lt;"&amp;1020,m_end,"&gt;"&amp;960)&gt;1,"충돌",HYPERLINK("#'관리자_MASTER'!D"&amp;_xlfn.MAXIFS(m_row,m_teacher,Q$4,m_date,($G$2+8),m_active,1,m_start,"&lt;"&amp;1020,m_end,"&gt;"&amp;960),INDEX(m_label,_xlfn.MAXIFS(m_row,m_teacher,Q$4,m_date,($G$2+8),m_active,1,m_start,"&lt;"&amp;1020,m_end,"&gt;"&amp;960))))))</f>
        <v/>
      </c>
      <c r="R23" s="88" t="str">
        <f aca="false">IF(OR(R$4="",MONTH(($G$2+8))&lt;&gt;MONTH($C$2)),"",IF(COUNTIFS(m_teacher,R$4,m_date,($G$2+8),m_active,1,m_start,"&lt;"&amp;1020,m_end,"&gt;"&amp;960)=0,"",IF(COUNTIFS(m_teacher,R$4,m_date,($G$2+8),m_active,1,m_start,"&lt;"&amp;1020,m_end,"&gt;"&amp;960)&gt;1,"충돌",HYPERLINK("#'관리자_MASTER'!D"&amp;_xlfn.MAXIFS(m_row,m_teacher,R$4,m_date,($G$2+8),m_active,1,m_start,"&lt;"&amp;1020,m_end,"&gt;"&amp;960),INDEX(m_label,_xlfn.MAXIFS(m_row,m_teacher,R$4,m_date,($G$2+8),m_active,1,m_start,"&lt;"&amp;1020,m_end,"&gt;"&amp;960))))))</f>
        <v/>
      </c>
      <c r="S23" s="88" t="str">
        <f aca="false">IF(OR(S$4="",MONTH(($G$2+8))&lt;&gt;MONTH($C$2)),"",IF(COUNTIFS(m_teacher,S$4,m_date,($G$2+8),m_active,1,m_start,"&lt;"&amp;1020,m_end,"&gt;"&amp;960)=0,"",IF(COUNTIFS(m_teacher,S$4,m_date,($G$2+8),m_active,1,m_start,"&lt;"&amp;1020,m_end,"&gt;"&amp;960)&gt;1,"충돌",HYPERLINK("#'관리자_MASTER'!D"&amp;_xlfn.MAXIFS(m_row,m_teacher,S$4,m_date,($G$2+8),m_active,1,m_start,"&lt;"&amp;1020,m_end,"&gt;"&amp;960),INDEX(m_label,_xlfn.MAXIFS(m_row,m_teacher,S$4,m_date,($G$2+8),m_active,1,m_start,"&lt;"&amp;1020,m_end,"&gt;"&amp;960))))))</f>
        <v/>
      </c>
      <c r="T23" s="88" t="str">
        <f aca="false">IF(OR(T$4="",MONTH(($G$2+8))&lt;&gt;MONTH($C$2)),"",IF(COUNTIFS(m_teacher,T$4,m_date,($G$2+8),m_active,1,m_start,"&lt;"&amp;1020,m_end,"&gt;"&amp;960)=0,"",IF(COUNTIFS(m_teacher,T$4,m_date,($G$2+8),m_active,1,m_start,"&lt;"&amp;1020,m_end,"&gt;"&amp;960)&gt;1,"충돌",HYPERLINK("#'관리자_MASTER'!D"&amp;_xlfn.MAXIFS(m_row,m_teacher,T$4,m_date,($G$2+8),m_active,1,m_start,"&lt;"&amp;1020,m_end,"&gt;"&amp;960),INDEX(m_label,_xlfn.MAXIFS(m_row,m_teacher,T$4,m_date,($G$2+8),m_active,1,m_start,"&lt;"&amp;1020,m_end,"&gt;"&amp;960))))))</f>
        <v/>
      </c>
      <c r="U23" s="88" t="str">
        <f aca="false">IF(OR(U$4="",MONTH(($G$2+8))&lt;&gt;MONTH($C$2)),"",IF(COUNTIFS(m_teacher,U$4,m_date,($G$2+8),m_active,1,m_start,"&lt;"&amp;1020,m_end,"&gt;"&amp;960)=0,"",IF(COUNTIFS(m_teacher,U$4,m_date,($G$2+8),m_active,1,m_start,"&lt;"&amp;1020,m_end,"&gt;"&amp;960)&gt;1,"충돌",HYPERLINK("#'관리자_MASTER'!D"&amp;_xlfn.MAXIFS(m_row,m_teacher,U$4,m_date,($G$2+8),m_active,1,m_start,"&lt;"&amp;1020,m_end,"&gt;"&amp;960),INDEX(m_label,_xlfn.MAXIFS(m_row,m_teacher,U$4,m_date,($G$2+8),m_active,1,m_start,"&lt;"&amp;1020,m_end,"&gt;"&amp;960))))))</f>
        <v/>
      </c>
      <c r="V23" s="88" t="str">
        <f aca="false">IF(OR(V$4="",MONTH(($G$2+8))&lt;&gt;MONTH($C$2)),"",IF(COUNTIFS(m_teacher,V$4,m_date,($G$2+8),m_active,1,m_start,"&lt;"&amp;1020,m_end,"&gt;"&amp;960)=0,"",IF(COUNTIFS(m_teacher,V$4,m_date,($G$2+8),m_active,1,m_start,"&lt;"&amp;1020,m_end,"&gt;"&amp;960)&gt;1,"충돌",HYPERLINK("#'관리자_MASTER'!D"&amp;_xlfn.MAXIFS(m_row,m_teacher,V$4,m_date,($G$2+8),m_active,1,m_start,"&lt;"&amp;1020,m_end,"&gt;"&amp;960),INDEX(m_label,_xlfn.MAXIFS(m_row,m_teacher,V$4,m_date,($G$2+8),m_active,1,m_start,"&lt;"&amp;1020,m_end,"&gt;"&amp;960))))))</f>
        <v/>
      </c>
      <c r="W23" s="88" t="str">
        <f aca="false">IF(OR(W$4="",MONTH(($G$2+8))&lt;&gt;MONTH($C$2)),"",IF(COUNTIFS(m_teacher,W$4,m_date,($G$2+8),m_active,1,m_start,"&lt;"&amp;1020,m_end,"&gt;"&amp;960)=0,"",IF(COUNTIFS(m_teacher,W$4,m_date,($G$2+8),m_active,1,m_start,"&lt;"&amp;1020,m_end,"&gt;"&amp;960)&gt;1,"충돌",HYPERLINK("#'관리자_MASTER'!D"&amp;_xlfn.MAXIFS(m_row,m_teacher,W$4,m_date,($G$2+8),m_active,1,m_start,"&lt;"&amp;1020,m_end,"&gt;"&amp;960),INDEX(m_label,_xlfn.MAXIFS(m_row,m_teacher,W$4,m_date,($G$2+8),m_active,1,m_start,"&lt;"&amp;1020,m_end,"&gt;"&amp;960))))))</f>
        <v/>
      </c>
      <c r="X23" s="88" t="str">
        <f aca="false">IF(OR(X$4="",MONTH(($G$2+8))&lt;&gt;MONTH($C$2)),"",IF(COUNTIFS(m_teacher,X$4,m_date,($G$2+8),m_active,1,m_start,"&lt;"&amp;1020,m_end,"&gt;"&amp;960)=0,"",IF(COUNTIFS(m_teacher,X$4,m_date,($G$2+8),m_active,1,m_start,"&lt;"&amp;1020,m_end,"&gt;"&amp;960)&gt;1,"충돌",HYPERLINK("#'관리자_MASTER'!D"&amp;_xlfn.MAXIFS(m_row,m_teacher,X$4,m_date,($G$2+8),m_active,1,m_start,"&lt;"&amp;1020,m_end,"&gt;"&amp;960),INDEX(m_label,_xlfn.MAXIFS(m_row,m_teacher,X$4,m_date,($G$2+8),m_active,1,m_start,"&lt;"&amp;1020,m_end,"&gt;"&amp;960))))))</f>
        <v/>
      </c>
      <c r="Y23" s="88" t="str">
        <f aca="false">IF(OR(Y$4="",MONTH(($G$2+8))&lt;&gt;MONTH($C$2)),"",IF(COUNTIFS(m_teacher,Y$4,m_date,($G$2+8),m_active,1,m_start,"&lt;"&amp;1020,m_end,"&gt;"&amp;960)=0,"",IF(COUNTIFS(m_teacher,Y$4,m_date,($G$2+8),m_active,1,m_start,"&lt;"&amp;1020,m_end,"&gt;"&amp;960)&gt;1,"충돌",HYPERLINK("#'관리자_MASTER'!D"&amp;_xlfn.MAXIFS(m_row,m_teacher,Y$4,m_date,($G$2+8),m_active,1,m_start,"&lt;"&amp;1020,m_end,"&gt;"&amp;960),INDEX(m_label,_xlfn.MAXIFS(m_row,m_teacher,Y$4,m_date,($G$2+8),m_active,1,m_start,"&lt;"&amp;1020,m_end,"&gt;"&amp;960))))))</f>
        <v/>
      </c>
      <c r="Z23" s="88" t="str">
        <f aca="false">IF(OR(Z$4="",MONTH(($G$2+8))&lt;&gt;MONTH($C$2)),"",IF(COUNTIFS(m_teacher,Z$4,m_date,($G$2+8),m_active,1,m_start,"&lt;"&amp;1020,m_end,"&gt;"&amp;960)=0,"",IF(COUNTIFS(m_teacher,Z$4,m_date,($G$2+8),m_active,1,m_start,"&lt;"&amp;1020,m_end,"&gt;"&amp;960)&gt;1,"충돌",HYPERLINK("#'관리자_MASTER'!D"&amp;_xlfn.MAXIFS(m_row,m_teacher,Z$4,m_date,($G$2+8),m_active,1,m_start,"&lt;"&amp;1020,m_end,"&gt;"&amp;960),INDEX(m_label,_xlfn.MAXIFS(m_row,m_teacher,Z$4,m_date,($G$2+8),m_active,1,m_start,"&lt;"&amp;1020,m_end,"&gt;"&amp;960))))))</f>
        <v/>
      </c>
      <c r="AA23" s="88" t="str">
        <f aca="false">IF(OR(AA$4="",MONTH(($G$2+8))&lt;&gt;MONTH($C$2)),"",IF(COUNTIFS(m_teacher,AA$4,m_date,($G$2+8),m_active,1,m_start,"&lt;"&amp;1020,m_end,"&gt;"&amp;960)=0,"",IF(COUNTIFS(m_teacher,AA$4,m_date,($G$2+8),m_active,1,m_start,"&lt;"&amp;1020,m_end,"&gt;"&amp;960)&gt;1,"충돌",HYPERLINK("#'관리자_MASTER'!D"&amp;_xlfn.MAXIFS(m_row,m_teacher,AA$4,m_date,($G$2+8),m_active,1,m_start,"&lt;"&amp;1020,m_end,"&gt;"&amp;960),INDEX(m_label,_xlfn.MAXIFS(m_row,m_teacher,AA$4,m_date,($G$2+8),m_active,1,m_start,"&lt;"&amp;1020,m_end,"&gt;"&amp;960))))))</f>
        <v/>
      </c>
      <c r="AB23" s="88" t="str">
        <f aca="false">IF(OR(AB$4="",MONTH(($G$2+8))&lt;&gt;MONTH($C$2)),"",IF(COUNTIFS(m_teacher,AB$4,m_date,($G$2+8),m_active,1,m_start,"&lt;"&amp;1020,m_end,"&gt;"&amp;960)=0,"",IF(COUNTIFS(m_teacher,AB$4,m_date,($G$2+8),m_active,1,m_start,"&lt;"&amp;1020,m_end,"&gt;"&amp;960)&gt;1,"충돌",HYPERLINK("#'관리자_MASTER'!D"&amp;_xlfn.MAXIFS(m_row,m_teacher,AB$4,m_date,($G$2+8),m_active,1,m_start,"&lt;"&amp;1020,m_end,"&gt;"&amp;960),INDEX(m_label,_xlfn.MAXIFS(m_row,m_teacher,AB$4,m_date,($G$2+8),m_active,1,m_start,"&lt;"&amp;1020,m_end,"&gt;"&amp;960))))))</f>
        <v/>
      </c>
      <c r="AC23" s="78"/>
      <c r="AD23" s="79" t="s">
        <v>98</v>
      </c>
      <c r="AE23" s="88" t="str">
        <f aca="false">IF(OR(AE$4="",MONTH(($G$2+15))&lt;&gt;MONTH($C$2)),"",IF(COUNTIFS(m_teacher,AE$4,m_date,($G$2+15),m_active,1,m_start,"&lt;"&amp;1020,m_end,"&gt;"&amp;960)=0,"",IF(COUNTIFS(m_teacher,AE$4,m_date,($G$2+15),m_active,1,m_start,"&lt;"&amp;1020,m_end,"&gt;"&amp;960)&gt;1,"충돌",HYPERLINK("#'관리자_MASTER'!D"&amp;_xlfn.MAXIFS(m_row,m_teacher,AE$4,m_date,($G$2+15),m_active,1,m_start,"&lt;"&amp;1020,m_end,"&gt;"&amp;960),INDEX(m_label,_xlfn.MAXIFS(m_row,m_teacher,AE$4,m_date,($G$2+15),m_active,1,m_start,"&lt;"&amp;1020,m_end,"&gt;"&amp;960))))))</f>
        <v/>
      </c>
      <c r="AF23" s="88" t="str">
        <f aca="false">IF(OR(AF$4="",MONTH(($G$2+15))&lt;&gt;MONTH($C$2)),"",IF(COUNTIFS(m_teacher,AF$4,m_date,($G$2+15),m_active,1,m_start,"&lt;"&amp;1020,m_end,"&gt;"&amp;960)=0,"",IF(COUNTIFS(m_teacher,AF$4,m_date,($G$2+15),m_active,1,m_start,"&lt;"&amp;1020,m_end,"&gt;"&amp;960)&gt;1,"충돌",HYPERLINK("#'관리자_MASTER'!D"&amp;_xlfn.MAXIFS(m_row,m_teacher,AF$4,m_date,($G$2+15),m_active,1,m_start,"&lt;"&amp;1020,m_end,"&gt;"&amp;960),INDEX(m_label,_xlfn.MAXIFS(m_row,m_teacher,AF$4,m_date,($G$2+15),m_active,1,m_start,"&lt;"&amp;1020,m_end,"&gt;"&amp;960))))))</f>
        <v/>
      </c>
      <c r="AG23" s="88" t="str">
        <f aca="false">IF(OR(AG$4="",MONTH(($G$2+15))&lt;&gt;MONTH($C$2)),"",IF(COUNTIFS(m_teacher,AG$4,m_date,($G$2+15),m_active,1,m_start,"&lt;"&amp;1020,m_end,"&gt;"&amp;960)=0,"",IF(COUNTIFS(m_teacher,AG$4,m_date,($G$2+15),m_active,1,m_start,"&lt;"&amp;1020,m_end,"&gt;"&amp;960)&gt;1,"충돌",HYPERLINK("#'관리자_MASTER'!D"&amp;_xlfn.MAXIFS(m_row,m_teacher,AG$4,m_date,($G$2+15),m_active,1,m_start,"&lt;"&amp;1020,m_end,"&gt;"&amp;960),INDEX(m_label,_xlfn.MAXIFS(m_row,m_teacher,AG$4,m_date,($G$2+15),m_active,1,m_start,"&lt;"&amp;1020,m_end,"&gt;"&amp;960))))))</f>
        <v/>
      </c>
      <c r="AH23" s="88" t="str">
        <f aca="false">IF(OR(AH$4="",MONTH(($G$2+15))&lt;&gt;MONTH($C$2)),"",IF(COUNTIFS(m_teacher,AH$4,m_date,($G$2+15),m_active,1,m_start,"&lt;"&amp;1020,m_end,"&gt;"&amp;960)=0,"",IF(COUNTIFS(m_teacher,AH$4,m_date,($G$2+15),m_active,1,m_start,"&lt;"&amp;1020,m_end,"&gt;"&amp;960)&gt;1,"충돌",HYPERLINK("#'관리자_MASTER'!D"&amp;_xlfn.MAXIFS(m_row,m_teacher,AH$4,m_date,($G$2+15),m_active,1,m_start,"&lt;"&amp;1020,m_end,"&gt;"&amp;960),INDEX(m_label,_xlfn.MAXIFS(m_row,m_teacher,AH$4,m_date,($G$2+15),m_active,1,m_start,"&lt;"&amp;1020,m_end,"&gt;"&amp;960))))))</f>
        <v/>
      </c>
      <c r="AI23" s="88" t="str">
        <f aca="false">IF(OR(AI$4="",MONTH(($G$2+15))&lt;&gt;MONTH($C$2)),"",IF(COUNTIFS(m_teacher,AI$4,m_date,($G$2+15),m_active,1,m_start,"&lt;"&amp;1020,m_end,"&gt;"&amp;960)=0,"",IF(COUNTIFS(m_teacher,AI$4,m_date,($G$2+15),m_active,1,m_start,"&lt;"&amp;1020,m_end,"&gt;"&amp;960)&gt;1,"충돌",HYPERLINK("#'관리자_MASTER'!D"&amp;_xlfn.MAXIFS(m_row,m_teacher,AI$4,m_date,($G$2+15),m_active,1,m_start,"&lt;"&amp;1020,m_end,"&gt;"&amp;960),INDEX(m_label,_xlfn.MAXIFS(m_row,m_teacher,AI$4,m_date,($G$2+15),m_active,1,m_start,"&lt;"&amp;1020,m_end,"&gt;"&amp;960))))))</f>
        <v/>
      </c>
      <c r="AJ23" s="88" t="str">
        <f aca="false">IF(OR(AJ$4="",MONTH(($G$2+15))&lt;&gt;MONTH($C$2)),"",IF(COUNTIFS(m_teacher,AJ$4,m_date,($G$2+15),m_active,1,m_start,"&lt;"&amp;1020,m_end,"&gt;"&amp;960)=0,"",IF(COUNTIFS(m_teacher,AJ$4,m_date,($G$2+15),m_active,1,m_start,"&lt;"&amp;1020,m_end,"&gt;"&amp;960)&gt;1,"충돌",HYPERLINK("#'관리자_MASTER'!D"&amp;_xlfn.MAXIFS(m_row,m_teacher,AJ$4,m_date,($G$2+15),m_active,1,m_start,"&lt;"&amp;1020,m_end,"&gt;"&amp;960),INDEX(m_label,_xlfn.MAXIFS(m_row,m_teacher,AJ$4,m_date,($G$2+15),m_active,1,m_start,"&lt;"&amp;1020,m_end,"&gt;"&amp;960))))))</f>
        <v/>
      </c>
      <c r="AK23" s="88" t="str">
        <f aca="false">IF(OR(AK$4="",MONTH(($G$2+15))&lt;&gt;MONTH($C$2)),"",IF(COUNTIFS(m_teacher,AK$4,m_date,($G$2+15),m_active,1,m_start,"&lt;"&amp;1020,m_end,"&gt;"&amp;960)=0,"",IF(COUNTIFS(m_teacher,AK$4,m_date,($G$2+15),m_active,1,m_start,"&lt;"&amp;1020,m_end,"&gt;"&amp;960)&gt;1,"충돌",HYPERLINK("#'관리자_MASTER'!D"&amp;_xlfn.MAXIFS(m_row,m_teacher,AK$4,m_date,($G$2+15),m_active,1,m_start,"&lt;"&amp;1020,m_end,"&gt;"&amp;960),INDEX(m_label,_xlfn.MAXIFS(m_row,m_teacher,AK$4,m_date,($G$2+15),m_active,1,m_start,"&lt;"&amp;1020,m_end,"&gt;"&amp;960))))))</f>
        <v/>
      </c>
      <c r="AL23" s="88" t="str">
        <f aca="false">IF(OR(AL$4="",MONTH(($G$2+15))&lt;&gt;MONTH($C$2)),"",IF(COUNTIFS(m_teacher,AL$4,m_date,($G$2+15),m_active,1,m_start,"&lt;"&amp;1020,m_end,"&gt;"&amp;960)=0,"",IF(COUNTIFS(m_teacher,AL$4,m_date,($G$2+15),m_active,1,m_start,"&lt;"&amp;1020,m_end,"&gt;"&amp;960)&gt;1,"충돌",HYPERLINK("#'관리자_MASTER'!D"&amp;_xlfn.MAXIFS(m_row,m_teacher,AL$4,m_date,($G$2+15),m_active,1,m_start,"&lt;"&amp;1020,m_end,"&gt;"&amp;960),INDEX(m_label,_xlfn.MAXIFS(m_row,m_teacher,AL$4,m_date,($G$2+15),m_active,1,m_start,"&lt;"&amp;1020,m_end,"&gt;"&amp;960))))))</f>
        <v/>
      </c>
      <c r="AM23" s="88" t="str">
        <f aca="false">IF(OR(AM$4="",MONTH(($G$2+15))&lt;&gt;MONTH($C$2)),"",IF(COUNTIFS(m_teacher,AM$4,m_date,($G$2+15),m_active,1,m_start,"&lt;"&amp;1020,m_end,"&gt;"&amp;960)=0,"",IF(COUNTIFS(m_teacher,AM$4,m_date,($G$2+15),m_active,1,m_start,"&lt;"&amp;1020,m_end,"&gt;"&amp;960)&gt;1,"충돌",HYPERLINK("#'관리자_MASTER'!D"&amp;_xlfn.MAXIFS(m_row,m_teacher,AM$4,m_date,($G$2+15),m_active,1,m_start,"&lt;"&amp;1020,m_end,"&gt;"&amp;960),INDEX(m_label,_xlfn.MAXIFS(m_row,m_teacher,AM$4,m_date,($G$2+15),m_active,1,m_start,"&lt;"&amp;1020,m_end,"&gt;"&amp;960))))))</f>
        <v/>
      </c>
      <c r="AN23" s="88" t="str">
        <f aca="false">IF(OR(AN$4="",MONTH(($G$2+15))&lt;&gt;MONTH($C$2)),"",IF(COUNTIFS(m_teacher,AN$4,m_date,($G$2+15),m_active,1,m_start,"&lt;"&amp;1020,m_end,"&gt;"&amp;960)=0,"",IF(COUNTIFS(m_teacher,AN$4,m_date,($G$2+15),m_active,1,m_start,"&lt;"&amp;1020,m_end,"&gt;"&amp;960)&gt;1,"충돌",HYPERLINK("#'관리자_MASTER'!D"&amp;_xlfn.MAXIFS(m_row,m_teacher,AN$4,m_date,($G$2+15),m_active,1,m_start,"&lt;"&amp;1020,m_end,"&gt;"&amp;960),INDEX(m_label,_xlfn.MAXIFS(m_row,m_teacher,AN$4,m_date,($G$2+15),m_active,1,m_start,"&lt;"&amp;1020,m_end,"&gt;"&amp;960))))))</f>
        <v/>
      </c>
      <c r="AO23" s="88" t="str">
        <f aca="false">IF(OR(AO$4="",MONTH(($G$2+15))&lt;&gt;MONTH($C$2)),"",IF(COUNTIFS(m_teacher,AO$4,m_date,($G$2+15),m_active,1,m_start,"&lt;"&amp;1020,m_end,"&gt;"&amp;960)=0,"",IF(COUNTIFS(m_teacher,AO$4,m_date,($G$2+15),m_active,1,m_start,"&lt;"&amp;1020,m_end,"&gt;"&amp;960)&gt;1,"충돌",HYPERLINK("#'관리자_MASTER'!D"&amp;_xlfn.MAXIFS(m_row,m_teacher,AO$4,m_date,($G$2+15),m_active,1,m_start,"&lt;"&amp;1020,m_end,"&gt;"&amp;960),INDEX(m_label,_xlfn.MAXIFS(m_row,m_teacher,AO$4,m_date,($G$2+15),m_active,1,m_start,"&lt;"&amp;1020,m_end,"&gt;"&amp;960))))))</f>
        <v/>
      </c>
      <c r="AP23" s="88" t="str">
        <f aca="false">IF(OR(AP$4="",MONTH(($G$2+15))&lt;&gt;MONTH($C$2)),"",IF(COUNTIFS(m_teacher,AP$4,m_date,($G$2+15),m_active,1,m_start,"&lt;"&amp;1020,m_end,"&gt;"&amp;960)=0,"",IF(COUNTIFS(m_teacher,AP$4,m_date,($G$2+15),m_active,1,m_start,"&lt;"&amp;1020,m_end,"&gt;"&amp;960)&gt;1,"충돌",HYPERLINK("#'관리자_MASTER'!D"&amp;_xlfn.MAXIFS(m_row,m_teacher,AP$4,m_date,($G$2+15),m_active,1,m_start,"&lt;"&amp;1020,m_end,"&gt;"&amp;960),INDEX(m_label,_xlfn.MAXIFS(m_row,m_teacher,AP$4,m_date,($G$2+15),m_active,1,m_start,"&lt;"&amp;1020,m_end,"&gt;"&amp;960))))))</f>
        <v/>
      </c>
      <c r="AQ23" s="78"/>
      <c r="AR23" s="79" t="s">
        <v>98</v>
      </c>
      <c r="AS23" s="88" t="str">
        <f aca="false">IF(OR(AS$4="",MONTH(($G$2+22))&lt;&gt;MONTH($C$2)),"",IF(COUNTIFS(m_teacher,AS$4,m_date,($G$2+22),m_active,1,m_start,"&lt;"&amp;1020,m_end,"&gt;"&amp;960)=0,"",IF(COUNTIFS(m_teacher,AS$4,m_date,($G$2+22),m_active,1,m_start,"&lt;"&amp;1020,m_end,"&gt;"&amp;960)&gt;1,"충돌",HYPERLINK("#'관리자_MASTER'!D"&amp;_xlfn.MAXIFS(m_row,m_teacher,AS$4,m_date,($G$2+22),m_active,1,m_start,"&lt;"&amp;1020,m_end,"&gt;"&amp;960),INDEX(m_label,_xlfn.MAXIFS(m_row,m_teacher,AS$4,m_date,($G$2+22),m_active,1,m_start,"&lt;"&amp;1020,m_end,"&gt;"&amp;960))))))</f>
        <v/>
      </c>
      <c r="AT23" s="88" t="str">
        <f aca="false">IF(OR(AT$4="",MONTH(($G$2+22))&lt;&gt;MONTH($C$2)),"",IF(COUNTIFS(m_teacher,AT$4,m_date,($G$2+22),m_active,1,m_start,"&lt;"&amp;1020,m_end,"&gt;"&amp;960)=0,"",IF(COUNTIFS(m_teacher,AT$4,m_date,($G$2+22),m_active,1,m_start,"&lt;"&amp;1020,m_end,"&gt;"&amp;960)&gt;1,"충돌",HYPERLINK("#'관리자_MASTER'!D"&amp;_xlfn.MAXIFS(m_row,m_teacher,AT$4,m_date,($G$2+22),m_active,1,m_start,"&lt;"&amp;1020,m_end,"&gt;"&amp;960),INDEX(m_label,_xlfn.MAXIFS(m_row,m_teacher,AT$4,m_date,($G$2+22),m_active,1,m_start,"&lt;"&amp;1020,m_end,"&gt;"&amp;960))))))</f>
        <v/>
      </c>
      <c r="AU23" s="88" t="str">
        <f aca="false">IF(OR(AU$4="",MONTH(($G$2+22))&lt;&gt;MONTH($C$2)),"",IF(COUNTIFS(m_teacher,AU$4,m_date,($G$2+22),m_active,1,m_start,"&lt;"&amp;1020,m_end,"&gt;"&amp;960)=0,"",IF(COUNTIFS(m_teacher,AU$4,m_date,($G$2+22),m_active,1,m_start,"&lt;"&amp;1020,m_end,"&gt;"&amp;960)&gt;1,"충돌",HYPERLINK("#'관리자_MASTER'!D"&amp;_xlfn.MAXIFS(m_row,m_teacher,AU$4,m_date,($G$2+22),m_active,1,m_start,"&lt;"&amp;1020,m_end,"&gt;"&amp;960),INDEX(m_label,_xlfn.MAXIFS(m_row,m_teacher,AU$4,m_date,($G$2+22),m_active,1,m_start,"&lt;"&amp;1020,m_end,"&gt;"&amp;960))))))</f>
        <v/>
      </c>
      <c r="AV23" s="88" t="str">
        <f aca="false">IF(OR(AV$4="",MONTH(($G$2+22))&lt;&gt;MONTH($C$2)),"",IF(COUNTIFS(m_teacher,AV$4,m_date,($G$2+22),m_active,1,m_start,"&lt;"&amp;1020,m_end,"&gt;"&amp;960)=0,"",IF(COUNTIFS(m_teacher,AV$4,m_date,($G$2+22),m_active,1,m_start,"&lt;"&amp;1020,m_end,"&gt;"&amp;960)&gt;1,"충돌",HYPERLINK("#'관리자_MASTER'!D"&amp;_xlfn.MAXIFS(m_row,m_teacher,AV$4,m_date,($G$2+22),m_active,1,m_start,"&lt;"&amp;1020,m_end,"&gt;"&amp;960),INDEX(m_label,_xlfn.MAXIFS(m_row,m_teacher,AV$4,m_date,($G$2+22),m_active,1,m_start,"&lt;"&amp;1020,m_end,"&gt;"&amp;960))))))</f>
        <v/>
      </c>
      <c r="AW23" s="88" t="str">
        <f aca="false">IF(OR(AW$4="",MONTH(($G$2+22))&lt;&gt;MONTH($C$2)),"",IF(COUNTIFS(m_teacher,AW$4,m_date,($G$2+22),m_active,1,m_start,"&lt;"&amp;1020,m_end,"&gt;"&amp;960)=0,"",IF(COUNTIFS(m_teacher,AW$4,m_date,($G$2+22),m_active,1,m_start,"&lt;"&amp;1020,m_end,"&gt;"&amp;960)&gt;1,"충돌",HYPERLINK("#'관리자_MASTER'!D"&amp;_xlfn.MAXIFS(m_row,m_teacher,AW$4,m_date,($G$2+22),m_active,1,m_start,"&lt;"&amp;1020,m_end,"&gt;"&amp;960),INDEX(m_label,_xlfn.MAXIFS(m_row,m_teacher,AW$4,m_date,($G$2+22),m_active,1,m_start,"&lt;"&amp;1020,m_end,"&gt;"&amp;960))))))</f>
        <v/>
      </c>
      <c r="AX23" s="88" t="str">
        <f aca="false">IF(OR(AX$4="",MONTH(($G$2+22))&lt;&gt;MONTH($C$2)),"",IF(COUNTIFS(m_teacher,AX$4,m_date,($G$2+22),m_active,1,m_start,"&lt;"&amp;1020,m_end,"&gt;"&amp;960)=0,"",IF(COUNTIFS(m_teacher,AX$4,m_date,($G$2+22),m_active,1,m_start,"&lt;"&amp;1020,m_end,"&gt;"&amp;960)&gt;1,"충돌",HYPERLINK("#'관리자_MASTER'!D"&amp;_xlfn.MAXIFS(m_row,m_teacher,AX$4,m_date,($G$2+22),m_active,1,m_start,"&lt;"&amp;1020,m_end,"&gt;"&amp;960),INDEX(m_label,_xlfn.MAXIFS(m_row,m_teacher,AX$4,m_date,($G$2+22),m_active,1,m_start,"&lt;"&amp;1020,m_end,"&gt;"&amp;960))))))</f>
        <v/>
      </c>
      <c r="AY23" s="88" t="str">
        <f aca="false">IF(OR(AY$4="",MONTH(($G$2+22))&lt;&gt;MONTH($C$2)),"",IF(COUNTIFS(m_teacher,AY$4,m_date,($G$2+22),m_active,1,m_start,"&lt;"&amp;1020,m_end,"&gt;"&amp;960)=0,"",IF(COUNTIFS(m_teacher,AY$4,m_date,($G$2+22),m_active,1,m_start,"&lt;"&amp;1020,m_end,"&gt;"&amp;960)&gt;1,"충돌",HYPERLINK("#'관리자_MASTER'!D"&amp;_xlfn.MAXIFS(m_row,m_teacher,AY$4,m_date,($G$2+22),m_active,1,m_start,"&lt;"&amp;1020,m_end,"&gt;"&amp;960),INDEX(m_label,_xlfn.MAXIFS(m_row,m_teacher,AY$4,m_date,($G$2+22),m_active,1,m_start,"&lt;"&amp;1020,m_end,"&gt;"&amp;960))))))</f>
        <v/>
      </c>
      <c r="AZ23" s="88" t="str">
        <f aca="false">IF(OR(AZ$4="",MONTH(($G$2+22))&lt;&gt;MONTH($C$2)),"",IF(COUNTIFS(m_teacher,AZ$4,m_date,($G$2+22),m_active,1,m_start,"&lt;"&amp;1020,m_end,"&gt;"&amp;960)=0,"",IF(COUNTIFS(m_teacher,AZ$4,m_date,($G$2+22),m_active,1,m_start,"&lt;"&amp;1020,m_end,"&gt;"&amp;960)&gt;1,"충돌",HYPERLINK("#'관리자_MASTER'!D"&amp;_xlfn.MAXIFS(m_row,m_teacher,AZ$4,m_date,($G$2+22),m_active,1,m_start,"&lt;"&amp;1020,m_end,"&gt;"&amp;960),INDEX(m_label,_xlfn.MAXIFS(m_row,m_teacher,AZ$4,m_date,($G$2+22),m_active,1,m_start,"&lt;"&amp;1020,m_end,"&gt;"&amp;960))))))</f>
        <v/>
      </c>
      <c r="BA23" s="88" t="str">
        <f aca="false">IF(OR(BA$4="",MONTH(($G$2+22))&lt;&gt;MONTH($C$2)),"",IF(COUNTIFS(m_teacher,BA$4,m_date,($G$2+22),m_active,1,m_start,"&lt;"&amp;1020,m_end,"&gt;"&amp;960)=0,"",IF(COUNTIFS(m_teacher,BA$4,m_date,($G$2+22),m_active,1,m_start,"&lt;"&amp;1020,m_end,"&gt;"&amp;960)&gt;1,"충돌",HYPERLINK("#'관리자_MASTER'!D"&amp;_xlfn.MAXIFS(m_row,m_teacher,BA$4,m_date,($G$2+22),m_active,1,m_start,"&lt;"&amp;1020,m_end,"&gt;"&amp;960),INDEX(m_label,_xlfn.MAXIFS(m_row,m_teacher,BA$4,m_date,($G$2+22),m_active,1,m_start,"&lt;"&amp;1020,m_end,"&gt;"&amp;960))))))</f>
        <v/>
      </c>
      <c r="BB23" s="88" t="str">
        <f aca="false">IF(OR(BB$4="",MONTH(($G$2+22))&lt;&gt;MONTH($C$2)),"",IF(COUNTIFS(m_teacher,BB$4,m_date,($G$2+22),m_active,1,m_start,"&lt;"&amp;1020,m_end,"&gt;"&amp;960)=0,"",IF(COUNTIFS(m_teacher,BB$4,m_date,($G$2+22),m_active,1,m_start,"&lt;"&amp;1020,m_end,"&gt;"&amp;960)&gt;1,"충돌",HYPERLINK("#'관리자_MASTER'!D"&amp;_xlfn.MAXIFS(m_row,m_teacher,BB$4,m_date,($G$2+22),m_active,1,m_start,"&lt;"&amp;1020,m_end,"&gt;"&amp;960),INDEX(m_label,_xlfn.MAXIFS(m_row,m_teacher,BB$4,m_date,($G$2+22),m_active,1,m_start,"&lt;"&amp;1020,m_end,"&gt;"&amp;960))))))</f>
        <v/>
      </c>
      <c r="BC23" s="88" t="str">
        <f aca="false">IF(OR(BC$4="",MONTH(($G$2+22))&lt;&gt;MONTH($C$2)),"",IF(COUNTIFS(m_teacher,BC$4,m_date,($G$2+22),m_active,1,m_start,"&lt;"&amp;1020,m_end,"&gt;"&amp;960)=0,"",IF(COUNTIFS(m_teacher,BC$4,m_date,($G$2+22),m_active,1,m_start,"&lt;"&amp;1020,m_end,"&gt;"&amp;960)&gt;1,"충돌",HYPERLINK("#'관리자_MASTER'!D"&amp;_xlfn.MAXIFS(m_row,m_teacher,BC$4,m_date,($G$2+22),m_active,1,m_start,"&lt;"&amp;1020,m_end,"&gt;"&amp;960),INDEX(m_label,_xlfn.MAXIFS(m_row,m_teacher,BC$4,m_date,($G$2+22),m_active,1,m_start,"&lt;"&amp;1020,m_end,"&gt;"&amp;960))))))</f>
        <v/>
      </c>
      <c r="BD23" s="88" t="str">
        <f aca="false">IF(OR(BD$4="",MONTH(($G$2+22))&lt;&gt;MONTH($C$2)),"",IF(COUNTIFS(m_teacher,BD$4,m_date,($G$2+22),m_active,1,m_start,"&lt;"&amp;1020,m_end,"&gt;"&amp;960)=0,"",IF(COUNTIFS(m_teacher,BD$4,m_date,($G$2+22),m_active,1,m_start,"&lt;"&amp;1020,m_end,"&gt;"&amp;960)&gt;1,"충돌",HYPERLINK("#'관리자_MASTER'!D"&amp;_xlfn.MAXIFS(m_row,m_teacher,BD$4,m_date,($G$2+22),m_active,1,m_start,"&lt;"&amp;1020,m_end,"&gt;"&amp;960),INDEX(m_label,_xlfn.MAXIFS(m_row,m_teacher,BD$4,m_date,($G$2+22),m_active,1,m_start,"&lt;"&amp;1020,m_end,"&gt;"&amp;960))))))</f>
        <v/>
      </c>
    </row>
    <row r="24" customFormat="false" ht="19.5" hidden="false" customHeight="true" outlineLevel="0" collapsed="false">
      <c r="A24" s="78"/>
      <c r="B24" s="79" t="s">
        <v>99</v>
      </c>
      <c r="C24" s="88" t="str">
        <f aca="false">IF(OR(C$4="",MONTH(($G$2+1))&lt;&gt;MONTH($C$2)),"",IF(COUNTIFS(m_teacher,C$4,m_date,($G$2+1),m_active,1,m_start,"&lt;"&amp;1080,m_end,"&gt;"&amp;1020)=0,"",IF(COUNTIFS(m_teacher,C$4,m_date,($G$2+1),m_active,1,m_start,"&lt;"&amp;1080,m_end,"&gt;"&amp;1020)&gt;1,"충돌",HYPERLINK("#'관리자_MASTER'!D"&amp;_xlfn.MAXIFS(m_row,m_teacher,C$4,m_date,($G$2+1),m_active,1,m_start,"&lt;"&amp;1080,m_end,"&gt;"&amp;1020),INDEX(m_label,_xlfn.MAXIFS(m_row,m_teacher,C$4,m_date,($G$2+1),m_active,1,m_start,"&lt;"&amp;1080,m_end,"&gt;"&amp;1020))))))</f>
        <v/>
      </c>
      <c r="D24" s="88" t="str">
        <f aca="false">IF(OR(D$4="",MONTH(($G$2+1))&lt;&gt;MONTH($C$2)),"",IF(COUNTIFS(m_teacher,D$4,m_date,($G$2+1),m_active,1,m_start,"&lt;"&amp;1080,m_end,"&gt;"&amp;1020)=0,"",IF(COUNTIFS(m_teacher,D$4,m_date,($G$2+1),m_active,1,m_start,"&lt;"&amp;1080,m_end,"&gt;"&amp;1020)&gt;1,"충돌",HYPERLINK("#'관리자_MASTER'!D"&amp;_xlfn.MAXIFS(m_row,m_teacher,D$4,m_date,($G$2+1),m_active,1,m_start,"&lt;"&amp;1080,m_end,"&gt;"&amp;1020),INDEX(m_label,_xlfn.MAXIFS(m_row,m_teacher,D$4,m_date,($G$2+1),m_active,1,m_start,"&lt;"&amp;1080,m_end,"&gt;"&amp;1020))))))</f>
        <v/>
      </c>
      <c r="E24" s="88" t="str">
        <f aca="false">IF(OR(E$4="",MONTH(($G$2+1))&lt;&gt;MONTH($C$2)),"",IF(COUNTIFS(m_teacher,E$4,m_date,($G$2+1),m_active,1,m_start,"&lt;"&amp;1080,m_end,"&gt;"&amp;1020)=0,"",IF(COUNTIFS(m_teacher,E$4,m_date,($G$2+1),m_active,1,m_start,"&lt;"&amp;1080,m_end,"&gt;"&amp;1020)&gt;1,"충돌",HYPERLINK("#'관리자_MASTER'!D"&amp;_xlfn.MAXIFS(m_row,m_teacher,E$4,m_date,($G$2+1),m_active,1,m_start,"&lt;"&amp;1080,m_end,"&gt;"&amp;1020),INDEX(m_label,_xlfn.MAXIFS(m_row,m_teacher,E$4,m_date,($G$2+1),m_active,1,m_start,"&lt;"&amp;1080,m_end,"&gt;"&amp;1020))))))</f>
        <v/>
      </c>
      <c r="F24" s="88" t="str">
        <f aca="false">IF(OR(F$4="",MONTH(($G$2+1))&lt;&gt;MONTH($C$2)),"",IF(COUNTIFS(m_teacher,F$4,m_date,($G$2+1),m_active,1,m_start,"&lt;"&amp;1080,m_end,"&gt;"&amp;1020)=0,"",IF(COUNTIFS(m_teacher,F$4,m_date,($G$2+1),m_active,1,m_start,"&lt;"&amp;1080,m_end,"&gt;"&amp;1020)&gt;1,"충돌",HYPERLINK("#'관리자_MASTER'!D"&amp;_xlfn.MAXIFS(m_row,m_teacher,F$4,m_date,($G$2+1),m_active,1,m_start,"&lt;"&amp;1080,m_end,"&gt;"&amp;1020),INDEX(m_label,_xlfn.MAXIFS(m_row,m_teacher,F$4,m_date,($G$2+1),m_active,1,m_start,"&lt;"&amp;1080,m_end,"&gt;"&amp;1020))))))</f>
        <v/>
      </c>
      <c r="G24" s="88" t="str">
        <f aca="false">IF(OR(G$4="",MONTH(($G$2+1))&lt;&gt;MONTH($C$2)),"",IF(COUNTIFS(m_teacher,G$4,m_date,($G$2+1),m_active,1,m_start,"&lt;"&amp;1080,m_end,"&gt;"&amp;1020)=0,"",IF(COUNTIFS(m_teacher,G$4,m_date,($G$2+1),m_active,1,m_start,"&lt;"&amp;1080,m_end,"&gt;"&amp;1020)&gt;1,"충돌",HYPERLINK("#'관리자_MASTER'!D"&amp;_xlfn.MAXIFS(m_row,m_teacher,G$4,m_date,($G$2+1),m_active,1,m_start,"&lt;"&amp;1080,m_end,"&gt;"&amp;1020),INDEX(m_label,_xlfn.MAXIFS(m_row,m_teacher,G$4,m_date,($G$2+1),m_active,1,m_start,"&lt;"&amp;1080,m_end,"&gt;"&amp;1020))))))</f>
        <v/>
      </c>
      <c r="H24" s="88" t="str">
        <f aca="false">IF(OR(H$4="",MONTH(($G$2+1))&lt;&gt;MONTH($C$2)),"",IF(COUNTIFS(m_teacher,H$4,m_date,($G$2+1),m_active,1,m_start,"&lt;"&amp;1080,m_end,"&gt;"&amp;1020)=0,"",IF(COUNTIFS(m_teacher,H$4,m_date,($G$2+1),m_active,1,m_start,"&lt;"&amp;1080,m_end,"&gt;"&amp;1020)&gt;1,"충돌",HYPERLINK("#'관리자_MASTER'!D"&amp;_xlfn.MAXIFS(m_row,m_teacher,H$4,m_date,($G$2+1),m_active,1,m_start,"&lt;"&amp;1080,m_end,"&gt;"&amp;1020),INDEX(m_label,_xlfn.MAXIFS(m_row,m_teacher,H$4,m_date,($G$2+1),m_active,1,m_start,"&lt;"&amp;1080,m_end,"&gt;"&amp;1020))))))</f>
        <v/>
      </c>
      <c r="I24" s="88" t="str">
        <f aca="false">IF(OR(I$4="",MONTH(($G$2+1))&lt;&gt;MONTH($C$2)),"",IF(COUNTIFS(m_teacher,I$4,m_date,($G$2+1),m_active,1,m_start,"&lt;"&amp;1080,m_end,"&gt;"&amp;1020)=0,"",IF(COUNTIFS(m_teacher,I$4,m_date,($G$2+1),m_active,1,m_start,"&lt;"&amp;1080,m_end,"&gt;"&amp;1020)&gt;1,"충돌",HYPERLINK("#'관리자_MASTER'!D"&amp;_xlfn.MAXIFS(m_row,m_teacher,I$4,m_date,($G$2+1),m_active,1,m_start,"&lt;"&amp;1080,m_end,"&gt;"&amp;1020),INDEX(m_label,_xlfn.MAXIFS(m_row,m_teacher,I$4,m_date,($G$2+1),m_active,1,m_start,"&lt;"&amp;1080,m_end,"&gt;"&amp;1020))))))</f>
        <v/>
      </c>
      <c r="J24" s="88" t="str">
        <f aca="false">IF(OR(J$4="",MONTH(($G$2+1))&lt;&gt;MONTH($C$2)),"",IF(COUNTIFS(m_teacher,J$4,m_date,($G$2+1),m_active,1,m_start,"&lt;"&amp;1080,m_end,"&gt;"&amp;1020)=0,"",IF(COUNTIFS(m_teacher,J$4,m_date,($G$2+1),m_active,1,m_start,"&lt;"&amp;1080,m_end,"&gt;"&amp;1020)&gt;1,"충돌",HYPERLINK("#'관리자_MASTER'!D"&amp;_xlfn.MAXIFS(m_row,m_teacher,J$4,m_date,($G$2+1),m_active,1,m_start,"&lt;"&amp;1080,m_end,"&gt;"&amp;1020),INDEX(m_label,_xlfn.MAXIFS(m_row,m_teacher,J$4,m_date,($G$2+1),m_active,1,m_start,"&lt;"&amp;1080,m_end,"&gt;"&amp;1020))))))</f>
        <v/>
      </c>
      <c r="K24" s="88" t="str">
        <f aca="false">IF(OR(K$4="",MONTH(($G$2+1))&lt;&gt;MONTH($C$2)),"",IF(COUNTIFS(m_teacher,K$4,m_date,($G$2+1),m_active,1,m_start,"&lt;"&amp;1080,m_end,"&gt;"&amp;1020)=0,"",IF(COUNTIFS(m_teacher,K$4,m_date,($G$2+1),m_active,1,m_start,"&lt;"&amp;1080,m_end,"&gt;"&amp;1020)&gt;1,"충돌",HYPERLINK("#'관리자_MASTER'!D"&amp;_xlfn.MAXIFS(m_row,m_teacher,K$4,m_date,($G$2+1),m_active,1,m_start,"&lt;"&amp;1080,m_end,"&gt;"&amp;1020),INDEX(m_label,_xlfn.MAXIFS(m_row,m_teacher,K$4,m_date,($G$2+1),m_active,1,m_start,"&lt;"&amp;1080,m_end,"&gt;"&amp;1020))))))</f>
        <v/>
      </c>
      <c r="L24" s="88" t="str">
        <f aca="false">IF(OR(L$4="",MONTH(($G$2+1))&lt;&gt;MONTH($C$2)),"",IF(COUNTIFS(m_teacher,L$4,m_date,($G$2+1),m_active,1,m_start,"&lt;"&amp;1080,m_end,"&gt;"&amp;1020)=0,"",IF(COUNTIFS(m_teacher,L$4,m_date,($G$2+1),m_active,1,m_start,"&lt;"&amp;1080,m_end,"&gt;"&amp;1020)&gt;1,"충돌",HYPERLINK("#'관리자_MASTER'!D"&amp;_xlfn.MAXIFS(m_row,m_teacher,L$4,m_date,($G$2+1),m_active,1,m_start,"&lt;"&amp;1080,m_end,"&gt;"&amp;1020),INDEX(m_label,_xlfn.MAXIFS(m_row,m_teacher,L$4,m_date,($G$2+1),m_active,1,m_start,"&lt;"&amp;1080,m_end,"&gt;"&amp;1020))))))</f>
        <v/>
      </c>
      <c r="M24" s="88" t="str">
        <f aca="false">IF(OR(M$4="",MONTH(($G$2+1))&lt;&gt;MONTH($C$2)),"",IF(COUNTIFS(m_teacher,M$4,m_date,($G$2+1),m_active,1,m_start,"&lt;"&amp;1080,m_end,"&gt;"&amp;1020)=0,"",IF(COUNTIFS(m_teacher,M$4,m_date,($G$2+1),m_active,1,m_start,"&lt;"&amp;1080,m_end,"&gt;"&amp;1020)&gt;1,"충돌",HYPERLINK("#'관리자_MASTER'!D"&amp;_xlfn.MAXIFS(m_row,m_teacher,M$4,m_date,($G$2+1),m_active,1,m_start,"&lt;"&amp;1080,m_end,"&gt;"&amp;1020),INDEX(m_label,_xlfn.MAXIFS(m_row,m_teacher,M$4,m_date,($G$2+1),m_active,1,m_start,"&lt;"&amp;1080,m_end,"&gt;"&amp;1020))))))</f>
        <v/>
      </c>
      <c r="N24" s="88" t="str">
        <f aca="false">IF(OR(N$4="",MONTH(($G$2+1))&lt;&gt;MONTH($C$2)),"",IF(COUNTIFS(m_teacher,N$4,m_date,($G$2+1),m_active,1,m_start,"&lt;"&amp;1080,m_end,"&gt;"&amp;1020)=0,"",IF(COUNTIFS(m_teacher,N$4,m_date,($G$2+1),m_active,1,m_start,"&lt;"&amp;1080,m_end,"&gt;"&amp;1020)&gt;1,"충돌",HYPERLINK("#'관리자_MASTER'!D"&amp;_xlfn.MAXIFS(m_row,m_teacher,N$4,m_date,($G$2+1),m_active,1,m_start,"&lt;"&amp;1080,m_end,"&gt;"&amp;1020),INDEX(m_label,_xlfn.MAXIFS(m_row,m_teacher,N$4,m_date,($G$2+1),m_active,1,m_start,"&lt;"&amp;1080,m_end,"&gt;"&amp;1020))))))</f>
        <v/>
      </c>
      <c r="O24" s="78"/>
      <c r="P24" s="79" t="s">
        <v>99</v>
      </c>
      <c r="Q24" s="88" t="str">
        <f aca="false">IF(OR(Q$4="",MONTH(($G$2+8))&lt;&gt;MONTH($C$2)),"",IF(COUNTIFS(m_teacher,Q$4,m_date,($G$2+8),m_active,1,m_start,"&lt;"&amp;1080,m_end,"&gt;"&amp;1020)=0,"",IF(COUNTIFS(m_teacher,Q$4,m_date,($G$2+8),m_active,1,m_start,"&lt;"&amp;1080,m_end,"&gt;"&amp;1020)&gt;1,"충돌",HYPERLINK("#'관리자_MASTER'!D"&amp;_xlfn.MAXIFS(m_row,m_teacher,Q$4,m_date,($G$2+8),m_active,1,m_start,"&lt;"&amp;1080,m_end,"&gt;"&amp;1020),INDEX(m_label,_xlfn.MAXIFS(m_row,m_teacher,Q$4,m_date,($G$2+8),m_active,1,m_start,"&lt;"&amp;1080,m_end,"&gt;"&amp;1020))))))</f>
        <v/>
      </c>
      <c r="R24" s="88" t="str">
        <f aca="false">IF(OR(R$4="",MONTH(($G$2+8))&lt;&gt;MONTH($C$2)),"",IF(COUNTIFS(m_teacher,R$4,m_date,($G$2+8),m_active,1,m_start,"&lt;"&amp;1080,m_end,"&gt;"&amp;1020)=0,"",IF(COUNTIFS(m_teacher,R$4,m_date,($G$2+8),m_active,1,m_start,"&lt;"&amp;1080,m_end,"&gt;"&amp;1020)&gt;1,"충돌",HYPERLINK("#'관리자_MASTER'!D"&amp;_xlfn.MAXIFS(m_row,m_teacher,R$4,m_date,($G$2+8),m_active,1,m_start,"&lt;"&amp;1080,m_end,"&gt;"&amp;1020),INDEX(m_label,_xlfn.MAXIFS(m_row,m_teacher,R$4,m_date,($G$2+8),m_active,1,m_start,"&lt;"&amp;1080,m_end,"&gt;"&amp;1020))))))</f>
        <v/>
      </c>
      <c r="S24" s="88" t="str">
        <f aca="false">IF(OR(S$4="",MONTH(($G$2+8))&lt;&gt;MONTH($C$2)),"",IF(COUNTIFS(m_teacher,S$4,m_date,($G$2+8),m_active,1,m_start,"&lt;"&amp;1080,m_end,"&gt;"&amp;1020)=0,"",IF(COUNTIFS(m_teacher,S$4,m_date,($G$2+8),m_active,1,m_start,"&lt;"&amp;1080,m_end,"&gt;"&amp;1020)&gt;1,"충돌",HYPERLINK("#'관리자_MASTER'!D"&amp;_xlfn.MAXIFS(m_row,m_teacher,S$4,m_date,($G$2+8),m_active,1,m_start,"&lt;"&amp;1080,m_end,"&gt;"&amp;1020),INDEX(m_label,_xlfn.MAXIFS(m_row,m_teacher,S$4,m_date,($G$2+8),m_active,1,m_start,"&lt;"&amp;1080,m_end,"&gt;"&amp;1020))))))</f>
        <v/>
      </c>
      <c r="T24" s="88" t="str">
        <f aca="false">IF(OR(T$4="",MONTH(($G$2+8))&lt;&gt;MONTH($C$2)),"",IF(COUNTIFS(m_teacher,T$4,m_date,($G$2+8),m_active,1,m_start,"&lt;"&amp;1080,m_end,"&gt;"&amp;1020)=0,"",IF(COUNTIFS(m_teacher,T$4,m_date,($G$2+8),m_active,1,m_start,"&lt;"&amp;1080,m_end,"&gt;"&amp;1020)&gt;1,"충돌",HYPERLINK("#'관리자_MASTER'!D"&amp;_xlfn.MAXIFS(m_row,m_teacher,T$4,m_date,($G$2+8),m_active,1,m_start,"&lt;"&amp;1080,m_end,"&gt;"&amp;1020),INDEX(m_label,_xlfn.MAXIFS(m_row,m_teacher,T$4,m_date,($G$2+8),m_active,1,m_start,"&lt;"&amp;1080,m_end,"&gt;"&amp;1020))))))</f>
        <v/>
      </c>
      <c r="U24" s="88" t="str">
        <f aca="false">IF(OR(U$4="",MONTH(($G$2+8))&lt;&gt;MONTH($C$2)),"",IF(COUNTIFS(m_teacher,U$4,m_date,($G$2+8),m_active,1,m_start,"&lt;"&amp;1080,m_end,"&gt;"&amp;1020)=0,"",IF(COUNTIFS(m_teacher,U$4,m_date,($G$2+8),m_active,1,m_start,"&lt;"&amp;1080,m_end,"&gt;"&amp;1020)&gt;1,"충돌",HYPERLINK("#'관리자_MASTER'!D"&amp;_xlfn.MAXIFS(m_row,m_teacher,U$4,m_date,($G$2+8),m_active,1,m_start,"&lt;"&amp;1080,m_end,"&gt;"&amp;1020),INDEX(m_label,_xlfn.MAXIFS(m_row,m_teacher,U$4,m_date,($G$2+8),m_active,1,m_start,"&lt;"&amp;1080,m_end,"&gt;"&amp;1020))))))</f>
        <v/>
      </c>
      <c r="V24" s="88" t="str">
        <f aca="false">IF(OR(V$4="",MONTH(($G$2+8))&lt;&gt;MONTH($C$2)),"",IF(COUNTIFS(m_teacher,V$4,m_date,($G$2+8),m_active,1,m_start,"&lt;"&amp;1080,m_end,"&gt;"&amp;1020)=0,"",IF(COUNTIFS(m_teacher,V$4,m_date,($G$2+8),m_active,1,m_start,"&lt;"&amp;1080,m_end,"&gt;"&amp;1020)&gt;1,"충돌",HYPERLINK("#'관리자_MASTER'!D"&amp;_xlfn.MAXIFS(m_row,m_teacher,V$4,m_date,($G$2+8),m_active,1,m_start,"&lt;"&amp;1080,m_end,"&gt;"&amp;1020),INDEX(m_label,_xlfn.MAXIFS(m_row,m_teacher,V$4,m_date,($G$2+8),m_active,1,m_start,"&lt;"&amp;1080,m_end,"&gt;"&amp;1020))))))</f>
        <v/>
      </c>
      <c r="W24" s="88" t="str">
        <f aca="false">IF(OR(W$4="",MONTH(($G$2+8))&lt;&gt;MONTH($C$2)),"",IF(COUNTIFS(m_teacher,W$4,m_date,($G$2+8),m_active,1,m_start,"&lt;"&amp;1080,m_end,"&gt;"&amp;1020)=0,"",IF(COUNTIFS(m_teacher,W$4,m_date,($G$2+8),m_active,1,m_start,"&lt;"&amp;1080,m_end,"&gt;"&amp;1020)&gt;1,"충돌",HYPERLINK("#'관리자_MASTER'!D"&amp;_xlfn.MAXIFS(m_row,m_teacher,W$4,m_date,($G$2+8),m_active,1,m_start,"&lt;"&amp;1080,m_end,"&gt;"&amp;1020),INDEX(m_label,_xlfn.MAXIFS(m_row,m_teacher,W$4,m_date,($G$2+8),m_active,1,m_start,"&lt;"&amp;1080,m_end,"&gt;"&amp;1020))))))</f>
        <v/>
      </c>
      <c r="X24" s="88" t="str">
        <f aca="false">IF(OR(X$4="",MONTH(($G$2+8))&lt;&gt;MONTH($C$2)),"",IF(COUNTIFS(m_teacher,X$4,m_date,($G$2+8),m_active,1,m_start,"&lt;"&amp;1080,m_end,"&gt;"&amp;1020)=0,"",IF(COUNTIFS(m_teacher,X$4,m_date,($G$2+8),m_active,1,m_start,"&lt;"&amp;1080,m_end,"&gt;"&amp;1020)&gt;1,"충돌",HYPERLINK("#'관리자_MASTER'!D"&amp;_xlfn.MAXIFS(m_row,m_teacher,X$4,m_date,($G$2+8),m_active,1,m_start,"&lt;"&amp;1080,m_end,"&gt;"&amp;1020),INDEX(m_label,_xlfn.MAXIFS(m_row,m_teacher,X$4,m_date,($G$2+8),m_active,1,m_start,"&lt;"&amp;1080,m_end,"&gt;"&amp;1020))))))</f>
        <v/>
      </c>
      <c r="Y24" s="88" t="str">
        <f aca="false">IF(OR(Y$4="",MONTH(($G$2+8))&lt;&gt;MONTH($C$2)),"",IF(COUNTIFS(m_teacher,Y$4,m_date,($G$2+8),m_active,1,m_start,"&lt;"&amp;1080,m_end,"&gt;"&amp;1020)=0,"",IF(COUNTIFS(m_teacher,Y$4,m_date,($G$2+8),m_active,1,m_start,"&lt;"&amp;1080,m_end,"&gt;"&amp;1020)&gt;1,"충돌",HYPERLINK("#'관리자_MASTER'!D"&amp;_xlfn.MAXIFS(m_row,m_teacher,Y$4,m_date,($G$2+8),m_active,1,m_start,"&lt;"&amp;1080,m_end,"&gt;"&amp;1020),INDEX(m_label,_xlfn.MAXIFS(m_row,m_teacher,Y$4,m_date,($G$2+8),m_active,1,m_start,"&lt;"&amp;1080,m_end,"&gt;"&amp;1020))))))</f>
        <v/>
      </c>
      <c r="Z24" s="88" t="str">
        <f aca="false">IF(OR(Z$4="",MONTH(($G$2+8))&lt;&gt;MONTH($C$2)),"",IF(COUNTIFS(m_teacher,Z$4,m_date,($G$2+8),m_active,1,m_start,"&lt;"&amp;1080,m_end,"&gt;"&amp;1020)=0,"",IF(COUNTIFS(m_teacher,Z$4,m_date,($G$2+8),m_active,1,m_start,"&lt;"&amp;1080,m_end,"&gt;"&amp;1020)&gt;1,"충돌",HYPERLINK("#'관리자_MASTER'!D"&amp;_xlfn.MAXIFS(m_row,m_teacher,Z$4,m_date,($G$2+8),m_active,1,m_start,"&lt;"&amp;1080,m_end,"&gt;"&amp;1020),INDEX(m_label,_xlfn.MAXIFS(m_row,m_teacher,Z$4,m_date,($G$2+8),m_active,1,m_start,"&lt;"&amp;1080,m_end,"&gt;"&amp;1020))))))</f>
        <v/>
      </c>
      <c r="AA24" s="88" t="str">
        <f aca="false">IF(OR(AA$4="",MONTH(($G$2+8))&lt;&gt;MONTH($C$2)),"",IF(COUNTIFS(m_teacher,AA$4,m_date,($G$2+8),m_active,1,m_start,"&lt;"&amp;1080,m_end,"&gt;"&amp;1020)=0,"",IF(COUNTIFS(m_teacher,AA$4,m_date,($G$2+8),m_active,1,m_start,"&lt;"&amp;1080,m_end,"&gt;"&amp;1020)&gt;1,"충돌",HYPERLINK("#'관리자_MASTER'!D"&amp;_xlfn.MAXIFS(m_row,m_teacher,AA$4,m_date,($G$2+8),m_active,1,m_start,"&lt;"&amp;1080,m_end,"&gt;"&amp;1020),INDEX(m_label,_xlfn.MAXIFS(m_row,m_teacher,AA$4,m_date,($G$2+8),m_active,1,m_start,"&lt;"&amp;1080,m_end,"&gt;"&amp;1020))))))</f>
        <v/>
      </c>
      <c r="AB24" s="88" t="str">
        <f aca="false">IF(OR(AB$4="",MONTH(($G$2+8))&lt;&gt;MONTH($C$2)),"",IF(COUNTIFS(m_teacher,AB$4,m_date,($G$2+8),m_active,1,m_start,"&lt;"&amp;1080,m_end,"&gt;"&amp;1020)=0,"",IF(COUNTIFS(m_teacher,AB$4,m_date,($G$2+8),m_active,1,m_start,"&lt;"&amp;1080,m_end,"&gt;"&amp;1020)&gt;1,"충돌",HYPERLINK("#'관리자_MASTER'!D"&amp;_xlfn.MAXIFS(m_row,m_teacher,AB$4,m_date,($G$2+8),m_active,1,m_start,"&lt;"&amp;1080,m_end,"&gt;"&amp;1020),INDEX(m_label,_xlfn.MAXIFS(m_row,m_teacher,AB$4,m_date,($G$2+8),m_active,1,m_start,"&lt;"&amp;1080,m_end,"&gt;"&amp;1020))))))</f>
        <v/>
      </c>
      <c r="AC24" s="78"/>
      <c r="AD24" s="79" t="s">
        <v>99</v>
      </c>
      <c r="AE24" s="88" t="str">
        <f aca="false">IF(OR(AE$4="",MONTH(($G$2+15))&lt;&gt;MONTH($C$2)),"",IF(COUNTIFS(m_teacher,AE$4,m_date,($G$2+15),m_active,1,m_start,"&lt;"&amp;1080,m_end,"&gt;"&amp;1020)=0,"",IF(COUNTIFS(m_teacher,AE$4,m_date,($G$2+15),m_active,1,m_start,"&lt;"&amp;1080,m_end,"&gt;"&amp;1020)&gt;1,"충돌",HYPERLINK("#'관리자_MASTER'!D"&amp;_xlfn.MAXIFS(m_row,m_teacher,AE$4,m_date,($G$2+15),m_active,1,m_start,"&lt;"&amp;1080,m_end,"&gt;"&amp;1020),INDEX(m_label,_xlfn.MAXIFS(m_row,m_teacher,AE$4,m_date,($G$2+15),m_active,1,m_start,"&lt;"&amp;1080,m_end,"&gt;"&amp;1020))))))</f>
        <v/>
      </c>
      <c r="AF24" s="88" t="str">
        <f aca="false">IF(OR(AF$4="",MONTH(($G$2+15))&lt;&gt;MONTH($C$2)),"",IF(COUNTIFS(m_teacher,AF$4,m_date,($G$2+15),m_active,1,m_start,"&lt;"&amp;1080,m_end,"&gt;"&amp;1020)=0,"",IF(COUNTIFS(m_teacher,AF$4,m_date,($G$2+15),m_active,1,m_start,"&lt;"&amp;1080,m_end,"&gt;"&amp;1020)&gt;1,"충돌",HYPERLINK("#'관리자_MASTER'!D"&amp;_xlfn.MAXIFS(m_row,m_teacher,AF$4,m_date,($G$2+15),m_active,1,m_start,"&lt;"&amp;1080,m_end,"&gt;"&amp;1020),INDEX(m_label,_xlfn.MAXIFS(m_row,m_teacher,AF$4,m_date,($G$2+15),m_active,1,m_start,"&lt;"&amp;1080,m_end,"&gt;"&amp;1020))))))</f>
        <v/>
      </c>
      <c r="AG24" s="88" t="str">
        <f aca="false">IF(OR(AG$4="",MONTH(($G$2+15))&lt;&gt;MONTH($C$2)),"",IF(COUNTIFS(m_teacher,AG$4,m_date,($G$2+15),m_active,1,m_start,"&lt;"&amp;1080,m_end,"&gt;"&amp;1020)=0,"",IF(COUNTIFS(m_teacher,AG$4,m_date,($G$2+15),m_active,1,m_start,"&lt;"&amp;1080,m_end,"&gt;"&amp;1020)&gt;1,"충돌",HYPERLINK("#'관리자_MASTER'!D"&amp;_xlfn.MAXIFS(m_row,m_teacher,AG$4,m_date,($G$2+15),m_active,1,m_start,"&lt;"&amp;1080,m_end,"&gt;"&amp;1020),INDEX(m_label,_xlfn.MAXIFS(m_row,m_teacher,AG$4,m_date,($G$2+15),m_active,1,m_start,"&lt;"&amp;1080,m_end,"&gt;"&amp;1020))))))</f>
        <v/>
      </c>
      <c r="AH24" s="88" t="str">
        <f aca="false">IF(OR(AH$4="",MONTH(($G$2+15))&lt;&gt;MONTH($C$2)),"",IF(COUNTIFS(m_teacher,AH$4,m_date,($G$2+15),m_active,1,m_start,"&lt;"&amp;1080,m_end,"&gt;"&amp;1020)=0,"",IF(COUNTIFS(m_teacher,AH$4,m_date,($G$2+15),m_active,1,m_start,"&lt;"&amp;1080,m_end,"&gt;"&amp;1020)&gt;1,"충돌",HYPERLINK("#'관리자_MASTER'!D"&amp;_xlfn.MAXIFS(m_row,m_teacher,AH$4,m_date,($G$2+15),m_active,1,m_start,"&lt;"&amp;1080,m_end,"&gt;"&amp;1020),INDEX(m_label,_xlfn.MAXIFS(m_row,m_teacher,AH$4,m_date,($G$2+15),m_active,1,m_start,"&lt;"&amp;1080,m_end,"&gt;"&amp;1020))))))</f>
        <v/>
      </c>
      <c r="AI24" s="88" t="str">
        <f aca="false">IF(OR(AI$4="",MONTH(($G$2+15))&lt;&gt;MONTH($C$2)),"",IF(COUNTIFS(m_teacher,AI$4,m_date,($G$2+15),m_active,1,m_start,"&lt;"&amp;1080,m_end,"&gt;"&amp;1020)=0,"",IF(COUNTIFS(m_teacher,AI$4,m_date,($G$2+15),m_active,1,m_start,"&lt;"&amp;1080,m_end,"&gt;"&amp;1020)&gt;1,"충돌",HYPERLINK("#'관리자_MASTER'!D"&amp;_xlfn.MAXIFS(m_row,m_teacher,AI$4,m_date,($G$2+15),m_active,1,m_start,"&lt;"&amp;1080,m_end,"&gt;"&amp;1020),INDEX(m_label,_xlfn.MAXIFS(m_row,m_teacher,AI$4,m_date,($G$2+15),m_active,1,m_start,"&lt;"&amp;1080,m_end,"&gt;"&amp;1020))))))</f>
        <v/>
      </c>
      <c r="AJ24" s="88" t="str">
        <f aca="false">IF(OR(AJ$4="",MONTH(($G$2+15))&lt;&gt;MONTH($C$2)),"",IF(COUNTIFS(m_teacher,AJ$4,m_date,($G$2+15),m_active,1,m_start,"&lt;"&amp;1080,m_end,"&gt;"&amp;1020)=0,"",IF(COUNTIFS(m_teacher,AJ$4,m_date,($G$2+15),m_active,1,m_start,"&lt;"&amp;1080,m_end,"&gt;"&amp;1020)&gt;1,"충돌",HYPERLINK("#'관리자_MASTER'!D"&amp;_xlfn.MAXIFS(m_row,m_teacher,AJ$4,m_date,($G$2+15),m_active,1,m_start,"&lt;"&amp;1080,m_end,"&gt;"&amp;1020),INDEX(m_label,_xlfn.MAXIFS(m_row,m_teacher,AJ$4,m_date,($G$2+15),m_active,1,m_start,"&lt;"&amp;1080,m_end,"&gt;"&amp;1020))))))</f>
        <v/>
      </c>
      <c r="AK24" s="88" t="str">
        <f aca="false">IF(OR(AK$4="",MONTH(($G$2+15))&lt;&gt;MONTH($C$2)),"",IF(COUNTIFS(m_teacher,AK$4,m_date,($G$2+15),m_active,1,m_start,"&lt;"&amp;1080,m_end,"&gt;"&amp;1020)=0,"",IF(COUNTIFS(m_teacher,AK$4,m_date,($G$2+15),m_active,1,m_start,"&lt;"&amp;1080,m_end,"&gt;"&amp;1020)&gt;1,"충돌",HYPERLINK("#'관리자_MASTER'!D"&amp;_xlfn.MAXIFS(m_row,m_teacher,AK$4,m_date,($G$2+15),m_active,1,m_start,"&lt;"&amp;1080,m_end,"&gt;"&amp;1020),INDEX(m_label,_xlfn.MAXIFS(m_row,m_teacher,AK$4,m_date,($G$2+15),m_active,1,m_start,"&lt;"&amp;1080,m_end,"&gt;"&amp;1020))))))</f>
        <v/>
      </c>
      <c r="AL24" s="88" t="str">
        <f aca="false">IF(OR(AL$4="",MONTH(($G$2+15))&lt;&gt;MONTH($C$2)),"",IF(COUNTIFS(m_teacher,AL$4,m_date,($G$2+15),m_active,1,m_start,"&lt;"&amp;1080,m_end,"&gt;"&amp;1020)=0,"",IF(COUNTIFS(m_teacher,AL$4,m_date,($G$2+15),m_active,1,m_start,"&lt;"&amp;1080,m_end,"&gt;"&amp;1020)&gt;1,"충돌",HYPERLINK("#'관리자_MASTER'!D"&amp;_xlfn.MAXIFS(m_row,m_teacher,AL$4,m_date,($G$2+15),m_active,1,m_start,"&lt;"&amp;1080,m_end,"&gt;"&amp;1020),INDEX(m_label,_xlfn.MAXIFS(m_row,m_teacher,AL$4,m_date,($G$2+15),m_active,1,m_start,"&lt;"&amp;1080,m_end,"&gt;"&amp;1020))))))</f>
        <v/>
      </c>
      <c r="AM24" s="88" t="str">
        <f aca="false">IF(OR(AM$4="",MONTH(($G$2+15))&lt;&gt;MONTH($C$2)),"",IF(COUNTIFS(m_teacher,AM$4,m_date,($G$2+15),m_active,1,m_start,"&lt;"&amp;1080,m_end,"&gt;"&amp;1020)=0,"",IF(COUNTIFS(m_teacher,AM$4,m_date,($G$2+15),m_active,1,m_start,"&lt;"&amp;1080,m_end,"&gt;"&amp;1020)&gt;1,"충돌",HYPERLINK("#'관리자_MASTER'!D"&amp;_xlfn.MAXIFS(m_row,m_teacher,AM$4,m_date,($G$2+15),m_active,1,m_start,"&lt;"&amp;1080,m_end,"&gt;"&amp;1020),INDEX(m_label,_xlfn.MAXIFS(m_row,m_teacher,AM$4,m_date,($G$2+15),m_active,1,m_start,"&lt;"&amp;1080,m_end,"&gt;"&amp;1020))))))</f>
        <v/>
      </c>
      <c r="AN24" s="88" t="str">
        <f aca="false">IF(OR(AN$4="",MONTH(($G$2+15))&lt;&gt;MONTH($C$2)),"",IF(COUNTIFS(m_teacher,AN$4,m_date,($G$2+15),m_active,1,m_start,"&lt;"&amp;1080,m_end,"&gt;"&amp;1020)=0,"",IF(COUNTIFS(m_teacher,AN$4,m_date,($G$2+15),m_active,1,m_start,"&lt;"&amp;1080,m_end,"&gt;"&amp;1020)&gt;1,"충돌",HYPERLINK("#'관리자_MASTER'!D"&amp;_xlfn.MAXIFS(m_row,m_teacher,AN$4,m_date,($G$2+15),m_active,1,m_start,"&lt;"&amp;1080,m_end,"&gt;"&amp;1020),INDEX(m_label,_xlfn.MAXIFS(m_row,m_teacher,AN$4,m_date,($G$2+15),m_active,1,m_start,"&lt;"&amp;1080,m_end,"&gt;"&amp;1020))))))</f>
        <v/>
      </c>
      <c r="AO24" s="88" t="str">
        <f aca="false">IF(OR(AO$4="",MONTH(($G$2+15))&lt;&gt;MONTH($C$2)),"",IF(COUNTIFS(m_teacher,AO$4,m_date,($G$2+15),m_active,1,m_start,"&lt;"&amp;1080,m_end,"&gt;"&amp;1020)=0,"",IF(COUNTIFS(m_teacher,AO$4,m_date,($G$2+15),m_active,1,m_start,"&lt;"&amp;1080,m_end,"&gt;"&amp;1020)&gt;1,"충돌",HYPERLINK("#'관리자_MASTER'!D"&amp;_xlfn.MAXIFS(m_row,m_teacher,AO$4,m_date,($G$2+15),m_active,1,m_start,"&lt;"&amp;1080,m_end,"&gt;"&amp;1020),INDEX(m_label,_xlfn.MAXIFS(m_row,m_teacher,AO$4,m_date,($G$2+15),m_active,1,m_start,"&lt;"&amp;1080,m_end,"&gt;"&amp;1020))))))</f>
        <v/>
      </c>
      <c r="AP24" s="88" t="str">
        <f aca="false">IF(OR(AP$4="",MONTH(($G$2+15))&lt;&gt;MONTH($C$2)),"",IF(COUNTIFS(m_teacher,AP$4,m_date,($G$2+15),m_active,1,m_start,"&lt;"&amp;1080,m_end,"&gt;"&amp;1020)=0,"",IF(COUNTIFS(m_teacher,AP$4,m_date,($G$2+15),m_active,1,m_start,"&lt;"&amp;1080,m_end,"&gt;"&amp;1020)&gt;1,"충돌",HYPERLINK("#'관리자_MASTER'!D"&amp;_xlfn.MAXIFS(m_row,m_teacher,AP$4,m_date,($G$2+15),m_active,1,m_start,"&lt;"&amp;1080,m_end,"&gt;"&amp;1020),INDEX(m_label,_xlfn.MAXIFS(m_row,m_teacher,AP$4,m_date,($G$2+15),m_active,1,m_start,"&lt;"&amp;1080,m_end,"&gt;"&amp;1020))))))</f>
        <v/>
      </c>
      <c r="AQ24" s="78"/>
      <c r="AR24" s="79" t="s">
        <v>99</v>
      </c>
      <c r="AS24" s="88" t="str">
        <f aca="false">IF(OR(AS$4="",MONTH(($G$2+22))&lt;&gt;MONTH($C$2)),"",IF(COUNTIFS(m_teacher,AS$4,m_date,($G$2+22),m_active,1,m_start,"&lt;"&amp;1080,m_end,"&gt;"&amp;1020)=0,"",IF(COUNTIFS(m_teacher,AS$4,m_date,($G$2+22),m_active,1,m_start,"&lt;"&amp;1080,m_end,"&gt;"&amp;1020)&gt;1,"충돌",HYPERLINK("#'관리자_MASTER'!D"&amp;_xlfn.MAXIFS(m_row,m_teacher,AS$4,m_date,($G$2+22),m_active,1,m_start,"&lt;"&amp;1080,m_end,"&gt;"&amp;1020),INDEX(m_label,_xlfn.MAXIFS(m_row,m_teacher,AS$4,m_date,($G$2+22),m_active,1,m_start,"&lt;"&amp;1080,m_end,"&gt;"&amp;1020))))))</f>
        <v/>
      </c>
      <c r="AT24" s="88" t="str">
        <f aca="false">IF(OR(AT$4="",MONTH(($G$2+22))&lt;&gt;MONTH($C$2)),"",IF(COUNTIFS(m_teacher,AT$4,m_date,($G$2+22),m_active,1,m_start,"&lt;"&amp;1080,m_end,"&gt;"&amp;1020)=0,"",IF(COUNTIFS(m_teacher,AT$4,m_date,($G$2+22),m_active,1,m_start,"&lt;"&amp;1080,m_end,"&gt;"&amp;1020)&gt;1,"충돌",HYPERLINK("#'관리자_MASTER'!D"&amp;_xlfn.MAXIFS(m_row,m_teacher,AT$4,m_date,($G$2+22),m_active,1,m_start,"&lt;"&amp;1080,m_end,"&gt;"&amp;1020),INDEX(m_label,_xlfn.MAXIFS(m_row,m_teacher,AT$4,m_date,($G$2+22),m_active,1,m_start,"&lt;"&amp;1080,m_end,"&gt;"&amp;1020))))))</f>
        <v/>
      </c>
      <c r="AU24" s="88" t="str">
        <f aca="false">IF(OR(AU$4="",MONTH(($G$2+22))&lt;&gt;MONTH($C$2)),"",IF(COUNTIFS(m_teacher,AU$4,m_date,($G$2+22),m_active,1,m_start,"&lt;"&amp;1080,m_end,"&gt;"&amp;1020)=0,"",IF(COUNTIFS(m_teacher,AU$4,m_date,($G$2+22),m_active,1,m_start,"&lt;"&amp;1080,m_end,"&gt;"&amp;1020)&gt;1,"충돌",HYPERLINK("#'관리자_MASTER'!D"&amp;_xlfn.MAXIFS(m_row,m_teacher,AU$4,m_date,($G$2+22),m_active,1,m_start,"&lt;"&amp;1080,m_end,"&gt;"&amp;1020),INDEX(m_label,_xlfn.MAXIFS(m_row,m_teacher,AU$4,m_date,($G$2+22),m_active,1,m_start,"&lt;"&amp;1080,m_end,"&gt;"&amp;1020))))))</f>
        <v/>
      </c>
      <c r="AV24" s="88" t="str">
        <f aca="false">IF(OR(AV$4="",MONTH(($G$2+22))&lt;&gt;MONTH($C$2)),"",IF(COUNTIFS(m_teacher,AV$4,m_date,($G$2+22),m_active,1,m_start,"&lt;"&amp;1080,m_end,"&gt;"&amp;1020)=0,"",IF(COUNTIFS(m_teacher,AV$4,m_date,($G$2+22),m_active,1,m_start,"&lt;"&amp;1080,m_end,"&gt;"&amp;1020)&gt;1,"충돌",HYPERLINK("#'관리자_MASTER'!D"&amp;_xlfn.MAXIFS(m_row,m_teacher,AV$4,m_date,($G$2+22),m_active,1,m_start,"&lt;"&amp;1080,m_end,"&gt;"&amp;1020),INDEX(m_label,_xlfn.MAXIFS(m_row,m_teacher,AV$4,m_date,($G$2+22),m_active,1,m_start,"&lt;"&amp;1080,m_end,"&gt;"&amp;1020))))))</f>
        <v/>
      </c>
      <c r="AW24" s="88" t="str">
        <f aca="false">IF(OR(AW$4="",MONTH(($G$2+22))&lt;&gt;MONTH($C$2)),"",IF(COUNTIFS(m_teacher,AW$4,m_date,($G$2+22),m_active,1,m_start,"&lt;"&amp;1080,m_end,"&gt;"&amp;1020)=0,"",IF(COUNTIFS(m_teacher,AW$4,m_date,($G$2+22),m_active,1,m_start,"&lt;"&amp;1080,m_end,"&gt;"&amp;1020)&gt;1,"충돌",HYPERLINK("#'관리자_MASTER'!D"&amp;_xlfn.MAXIFS(m_row,m_teacher,AW$4,m_date,($G$2+22),m_active,1,m_start,"&lt;"&amp;1080,m_end,"&gt;"&amp;1020),INDEX(m_label,_xlfn.MAXIFS(m_row,m_teacher,AW$4,m_date,($G$2+22),m_active,1,m_start,"&lt;"&amp;1080,m_end,"&gt;"&amp;1020))))))</f>
        <v/>
      </c>
      <c r="AX24" s="88" t="str">
        <f aca="false">IF(OR(AX$4="",MONTH(($G$2+22))&lt;&gt;MONTH($C$2)),"",IF(COUNTIFS(m_teacher,AX$4,m_date,($G$2+22),m_active,1,m_start,"&lt;"&amp;1080,m_end,"&gt;"&amp;1020)=0,"",IF(COUNTIFS(m_teacher,AX$4,m_date,($G$2+22),m_active,1,m_start,"&lt;"&amp;1080,m_end,"&gt;"&amp;1020)&gt;1,"충돌",HYPERLINK("#'관리자_MASTER'!D"&amp;_xlfn.MAXIFS(m_row,m_teacher,AX$4,m_date,($G$2+22),m_active,1,m_start,"&lt;"&amp;1080,m_end,"&gt;"&amp;1020),INDEX(m_label,_xlfn.MAXIFS(m_row,m_teacher,AX$4,m_date,($G$2+22),m_active,1,m_start,"&lt;"&amp;1080,m_end,"&gt;"&amp;1020))))))</f>
        <v/>
      </c>
      <c r="AY24" s="88" t="str">
        <f aca="false">IF(OR(AY$4="",MONTH(($G$2+22))&lt;&gt;MONTH($C$2)),"",IF(COUNTIFS(m_teacher,AY$4,m_date,($G$2+22),m_active,1,m_start,"&lt;"&amp;1080,m_end,"&gt;"&amp;1020)=0,"",IF(COUNTIFS(m_teacher,AY$4,m_date,($G$2+22),m_active,1,m_start,"&lt;"&amp;1080,m_end,"&gt;"&amp;1020)&gt;1,"충돌",HYPERLINK("#'관리자_MASTER'!D"&amp;_xlfn.MAXIFS(m_row,m_teacher,AY$4,m_date,($G$2+22),m_active,1,m_start,"&lt;"&amp;1080,m_end,"&gt;"&amp;1020),INDEX(m_label,_xlfn.MAXIFS(m_row,m_teacher,AY$4,m_date,($G$2+22),m_active,1,m_start,"&lt;"&amp;1080,m_end,"&gt;"&amp;1020))))))</f>
        <v/>
      </c>
      <c r="AZ24" s="88" t="str">
        <f aca="false">IF(OR(AZ$4="",MONTH(($G$2+22))&lt;&gt;MONTH($C$2)),"",IF(COUNTIFS(m_teacher,AZ$4,m_date,($G$2+22),m_active,1,m_start,"&lt;"&amp;1080,m_end,"&gt;"&amp;1020)=0,"",IF(COUNTIFS(m_teacher,AZ$4,m_date,($G$2+22),m_active,1,m_start,"&lt;"&amp;1080,m_end,"&gt;"&amp;1020)&gt;1,"충돌",HYPERLINK("#'관리자_MASTER'!D"&amp;_xlfn.MAXIFS(m_row,m_teacher,AZ$4,m_date,($G$2+22),m_active,1,m_start,"&lt;"&amp;1080,m_end,"&gt;"&amp;1020),INDEX(m_label,_xlfn.MAXIFS(m_row,m_teacher,AZ$4,m_date,($G$2+22),m_active,1,m_start,"&lt;"&amp;1080,m_end,"&gt;"&amp;1020))))))</f>
        <v/>
      </c>
      <c r="BA24" s="88" t="str">
        <f aca="false">IF(OR(BA$4="",MONTH(($G$2+22))&lt;&gt;MONTH($C$2)),"",IF(COUNTIFS(m_teacher,BA$4,m_date,($G$2+22),m_active,1,m_start,"&lt;"&amp;1080,m_end,"&gt;"&amp;1020)=0,"",IF(COUNTIFS(m_teacher,BA$4,m_date,($G$2+22),m_active,1,m_start,"&lt;"&amp;1080,m_end,"&gt;"&amp;1020)&gt;1,"충돌",HYPERLINK("#'관리자_MASTER'!D"&amp;_xlfn.MAXIFS(m_row,m_teacher,BA$4,m_date,($G$2+22),m_active,1,m_start,"&lt;"&amp;1080,m_end,"&gt;"&amp;1020),INDEX(m_label,_xlfn.MAXIFS(m_row,m_teacher,BA$4,m_date,($G$2+22),m_active,1,m_start,"&lt;"&amp;1080,m_end,"&gt;"&amp;1020))))))</f>
        <v/>
      </c>
      <c r="BB24" s="88" t="str">
        <f aca="false">IF(OR(BB$4="",MONTH(($G$2+22))&lt;&gt;MONTH($C$2)),"",IF(COUNTIFS(m_teacher,BB$4,m_date,($G$2+22),m_active,1,m_start,"&lt;"&amp;1080,m_end,"&gt;"&amp;1020)=0,"",IF(COUNTIFS(m_teacher,BB$4,m_date,($G$2+22),m_active,1,m_start,"&lt;"&amp;1080,m_end,"&gt;"&amp;1020)&gt;1,"충돌",HYPERLINK("#'관리자_MASTER'!D"&amp;_xlfn.MAXIFS(m_row,m_teacher,BB$4,m_date,($G$2+22),m_active,1,m_start,"&lt;"&amp;1080,m_end,"&gt;"&amp;1020),INDEX(m_label,_xlfn.MAXIFS(m_row,m_teacher,BB$4,m_date,($G$2+22),m_active,1,m_start,"&lt;"&amp;1080,m_end,"&gt;"&amp;1020))))))</f>
        <v/>
      </c>
      <c r="BC24" s="88" t="str">
        <f aca="false">IF(OR(BC$4="",MONTH(($G$2+22))&lt;&gt;MONTH($C$2)),"",IF(COUNTIFS(m_teacher,BC$4,m_date,($G$2+22),m_active,1,m_start,"&lt;"&amp;1080,m_end,"&gt;"&amp;1020)=0,"",IF(COUNTIFS(m_teacher,BC$4,m_date,($G$2+22),m_active,1,m_start,"&lt;"&amp;1080,m_end,"&gt;"&amp;1020)&gt;1,"충돌",HYPERLINK("#'관리자_MASTER'!D"&amp;_xlfn.MAXIFS(m_row,m_teacher,BC$4,m_date,($G$2+22),m_active,1,m_start,"&lt;"&amp;1080,m_end,"&gt;"&amp;1020),INDEX(m_label,_xlfn.MAXIFS(m_row,m_teacher,BC$4,m_date,($G$2+22),m_active,1,m_start,"&lt;"&amp;1080,m_end,"&gt;"&amp;1020))))))</f>
        <v/>
      </c>
      <c r="BD24" s="88" t="str">
        <f aca="false">IF(OR(BD$4="",MONTH(($G$2+22))&lt;&gt;MONTH($C$2)),"",IF(COUNTIFS(m_teacher,BD$4,m_date,($G$2+22),m_active,1,m_start,"&lt;"&amp;1080,m_end,"&gt;"&amp;1020)=0,"",IF(COUNTIFS(m_teacher,BD$4,m_date,($G$2+22),m_active,1,m_start,"&lt;"&amp;1080,m_end,"&gt;"&amp;1020)&gt;1,"충돌",HYPERLINK("#'관리자_MASTER'!D"&amp;_xlfn.MAXIFS(m_row,m_teacher,BD$4,m_date,($G$2+22),m_active,1,m_start,"&lt;"&amp;1080,m_end,"&gt;"&amp;1020),INDEX(m_label,_xlfn.MAXIFS(m_row,m_teacher,BD$4,m_date,($G$2+22),m_active,1,m_start,"&lt;"&amp;1080,m_end,"&gt;"&amp;1020))))))</f>
        <v/>
      </c>
    </row>
    <row r="25" customFormat="false" ht="19.5" hidden="false" customHeight="true" outlineLevel="0" collapsed="false">
      <c r="A25" s="78"/>
      <c r="B25" s="79" t="s">
        <v>100</v>
      </c>
      <c r="C25" s="88" t="str">
        <f aca="false">IF(OR(C$4="",MONTH(($G$2+1))&lt;&gt;MONTH($C$2)),"",IF(COUNTIFS(m_teacher,C$4,m_date,($G$2+1),m_active,1,m_start,"&lt;"&amp;1140,m_end,"&gt;"&amp;1080)=0,"",IF(COUNTIFS(m_teacher,C$4,m_date,($G$2+1),m_active,1,m_start,"&lt;"&amp;1140,m_end,"&gt;"&amp;1080)&gt;1,"충돌",HYPERLINK("#'관리자_MASTER'!D"&amp;_xlfn.MAXIFS(m_row,m_teacher,C$4,m_date,($G$2+1),m_active,1,m_start,"&lt;"&amp;1140,m_end,"&gt;"&amp;1080),INDEX(m_label,_xlfn.MAXIFS(m_row,m_teacher,C$4,m_date,($G$2+1),m_active,1,m_start,"&lt;"&amp;1140,m_end,"&gt;"&amp;1080))))))</f>
        <v/>
      </c>
      <c r="D25" s="88" t="str">
        <f aca="false">IF(OR(D$4="",MONTH(($G$2+1))&lt;&gt;MONTH($C$2)),"",IF(COUNTIFS(m_teacher,D$4,m_date,($G$2+1),m_active,1,m_start,"&lt;"&amp;1140,m_end,"&gt;"&amp;1080)=0,"",IF(COUNTIFS(m_teacher,D$4,m_date,($G$2+1),m_active,1,m_start,"&lt;"&amp;1140,m_end,"&gt;"&amp;1080)&gt;1,"충돌",HYPERLINK("#'관리자_MASTER'!D"&amp;_xlfn.MAXIFS(m_row,m_teacher,D$4,m_date,($G$2+1),m_active,1,m_start,"&lt;"&amp;1140,m_end,"&gt;"&amp;1080),INDEX(m_label,_xlfn.MAXIFS(m_row,m_teacher,D$4,m_date,($G$2+1),m_active,1,m_start,"&lt;"&amp;1140,m_end,"&gt;"&amp;1080))))))</f>
        <v/>
      </c>
      <c r="E25" s="88" t="str">
        <f aca="false">IF(OR(E$4="",MONTH(($G$2+1))&lt;&gt;MONTH($C$2)),"",IF(COUNTIFS(m_teacher,E$4,m_date,($G$2+1),m_active,1,m_start,"&lt;"&amp;1140,m_end,"&gt;"&amp;1080)=0,"",IF(COUNTIFS(m_teacher,E$4,m_date,($G$2+1),m_active,1,m_start,"&lt;"&amp;1140,m_end,"&gt;"&amp;1080)&gt;1,"충돌",HYPERLINK("#'관리자_MASTER'!D"&amp;_xlfn.MAXIFS(m_row,m_teacher,E$4,m_date,($G$2+1),m_active,1,m_start,"&lt;"&amp;1140,m_end,"&gt;"&amp;1080),INDEX(m_label,_xlfn.MAXIFS(m_row,m_teacher,E$4,m_date,($G$2+1),m_active,1,m_start,"&lt;"&amp;1140,m_end,"&gt;"&amp;1080))))))</f>
        <v/>
      </c>
      <c r="F25" s="88" t="str">
        <f aca="false">IF(OR(F$4="",MONTH(($G$2+1))&lt;&gt;MONTH($C$2)),"",IF(COUNTIFS(m_teacher,F$4,m_date,($G$2+1),m_active,1,m_start,"&lt;"&amp;1140,m_end,"&gt;"&amp;1080)=0,"",IF(COUNTIFS(m_teacher,F$4,m_date,($G$2+1),m_active,1,m_start,"&lt;"&amp;1140,m_end,"&gt;"&amp;1080)&gt;1,"충돌",HYPERLINK("#'관리자_MASTER'!D"&amp;_xlfn.MAXIFS(m_row,m_teacher,F$4,m_date,($G$2+1),m_active,1,m_start,"&lt;"&amp;1140,m_end,"&gt;"&amp;1080),INDEX(m_label,_xlfn.MAXIFS(m_row,m_teacher,F$4,m_date,($G$2+1),m_active,1,m_start,"&lt;"&amp;1140,m_end,"&gt;"&amp;1080))))))</f>
        <v/>
      </c>
      <c r="G25" s="88" t="str">
        <f aca="false">IF(OR(G$4="",MONTH(($G$2+1))&lt;&gt;MONTH($C$2)),"",IF(COUNTIFS(m_teacher,G$4,m_date,($G$2+1),m_active,1,m_start,"&lt;"&amp;1140,m_end,"&gt;"&amp;1080)=0,"",IF(COUNTIFS(m_teacher,G$4,m_date,($G$2+1),m_active,1,m_start,"&lt;"&amp;1140,m_end,"&gt;"&amp;1080)&gt;1,"충돌",HYPERLINK("#'관리자_MASTER'!D"&amp;_xlfn.MAXIFS(m_row,m_teacher,G$4,m_date,($G$2+1),m_active,1,m_start,"&lt;"&amp;1140,m_end,"&gt;"&amp;1080),INDEX(m_label,_xlfn.MAXIFS(m_row,m_teacher,G$4,m_date,($G$2+1),m_active,1,m_start,"&lt;"&amp;1140,m_end,"&gt;"&amp;1080))))))</f>
        <v/>
      </c>
      <c r="H25" s="88" t="str">
        <f aca="false">IF(OR(H$4="",MONTH(($G$2+1))&lt;&gt;MONTH($C$2)),"",IF(COUNTIFS(m_teacher,H$4,m_date,($G$2+1),m_active,1,m_start,"&lt;"&amp;1140,m_end,"&gt;"&amp;1080)=0,"",IF(COUNTIFS(m_teacher,H$4,m_date,($G$2+1),m_active,1,m_start,"&lt;"&amp;1140,m_end,"&gt;"&amp;1080)&gt;1,"충돌",HYPERLINK("#'관리자_MASTER'!D"&amp;_xlfn.MAXIFS(m_row,m_teacher,H$4,m_date,($G$2+1),m_active,1,m_start,"&lt;"&amp;1140,m_end,"&gt;"&amp;1080),INDEX(m_label,_xlfn.MAXIFS(m_row,m_teacher,H$4,m_date,($G$2+1),m_active,1,m_start,"&lt;"&amp;1140,m_end,"&gt;"&amp;1080))))))</f>
        <v/>
      </c>
      <c r="I25" s="88" t="str">
        <f aca="false">IF(OR(I$4="",MONTH(($G$2+1))&lt;&gt;MONTH($C$2)),"",IF(COUNTIFS(m_teacher,I$4,m_date,($G$2+1),m_active,1,m_start,"&lt;"&amp;1140,m_end,"&gt;"&amp;1080)=0,"",IF(COUNTIFS(m_teacher,I$4,m_date,($G$2+1),m_active,1,m_start,"&lt;"&amp;1140,m_end,"&gt;"&amp;1080)&gt;1,"충돌",HYPERLINK("#'관리자_MASTER'!D"&amp;_xlfn.MAXIFS(m_row,m_teacher,I$4,m_date,($G$2+1),m_active,1,m_start,"&lt;"&amp;1140,m_end,"&gt;"&amp;1080),INDEX(m_label,_xlfn.MAXIFS(m_row,m_teacher,I$4,m_date,($G$2+1),m_active,1,m_start,"&lt;"&amp;1140,m_end,"&gt;"&amp;1080))))))</f>
        <v/>
      </c>
      <c r="J25" s="88" t="str">
        <f aca="false">IF(OR(J$4="",MONTH(($G$2+1))&lt;&gt;MONTH($C$2)),"",IF(COUNTIFS(m_teacher,J$4,m_date,($G$2+1),m_active,1,m_start,"&lt;"&amp;1140,m_end,"&gt;"&amp;1080)=0,"",IF(COUNTIFS(m_teacher,J$4,m_date,($G$2+1),m_active,1,m_start,"&lt;"&amp;1140,m_end,"&gt;"&amp;1080)&gt;1,"충돌",HYPERLINK("#'관리자_MASTER'!D"&amp;_xlfn.MAXIFS(m_row,m_teacher,J$4,m_date,($G$2+1),m_active,1,m_start,"&lt;"&amp;1140,m_end,"&gt;"&amp;1080),INDEX(m_label,_xlfn.MAXIFS(m_row,m_teacher,J$4,m_date,($G$2+1),m_active,1,m_start,"&lt;"&amp;1140,m_end,"&gt;"&amp;1080))))))</f>
        <v/>
      </c>
      <c r="K25" s="88" t="str">
        <f aca="false">IF(OR(K$4="",MONTH(($G$2+1))&lt;&gt;MONTH($C$2)),"",IF(COUNTIFS(m_teacher,K$4,m_date,($G$2+1),m_active,1,m_start,"&lt;"&amp;1140,m_end,"&gt;"&amp;1080)=0,"",IF(COUNTIFS(m_teacher,K$4,m_date,($G$2+1),m_active,1,m_start,"&lt;"&amp;1140,m_end,"&gt;"&amp;1080)&gt;1,"충돌",HYPERLINK("#'관리자_MASTER'!D"&amp;_xlfn.MAXIFS(m_row,m_teacher,K$4,m_date,($G$2+1),m_active,1,m_start,"&lt;"&amp;1140,m_end,"&gt;"&amp;1080),INDEX(m_label,_xlfn.MAXIFS(m_row,m_teacher,K$4,m_date,($G$2+1),m_active,1,m_start,"&lt;"&amp;1140,m_end,"&gt;"&amp;1080))))))</f>
        <v/>
      </c>
      <c r="L25" s="88" t="str">
        <f aca="false">IF(OR(L$4="",MONTH(($G$2+1))&lt;&gt;MONTH($C$2)),"",IF(COUNTIFS(m_teacher,L$4,m_date,($G$2+1),m_active,1,m_start,"&lt;"&amp;1140,m_end,"&gt;"&amp;1080)=0,"",IF(COUNTIFS(m_teacher,L$4,m_date,($G$2+1),m_active,1,m_start,"&lt;"&amp;1140,m_end,"&gt;"&amp;1080)&gt;1,"충돌",HYPERLINK("#'관리자_MASTER'!D"&amp;_xlfn.MAXIFS(m_row,m_teacher,L$4,m_date,($G$2+1),m_active,1,m_start,"&lt;"&amp;1140,m_end,"&gt;"&amp;1080),INDEX(m_label,_xlfn.MAXIFS(m_row,m_teacher,L$4,m_date,($G$2+1),m_active,1,m_start,"&lt;"&amp;1140,m_end,"&gt;"&amp;1080))))))</f>
        <v/>
      </c>
      <c r="M25" s="88" t="str">
        <f aca="false">IF(OR(M$4="",MONTH(($G$2+1))&lt;&gt;MONTH($C$2)),"",IF(COUNTIFS(m_teacher,M$4,m_date,($G$2+1),m_active,1,m_start,"&lt;"&amp;1140,m_end,"&gt;"&amp;1080)=0,"",IF(COUNTIFS(m_teacher,M$4,m_date,($G$2+1),m_active,1,m_start,"&lt;"&amp;1140,m_end,"&gt;"&amp;1080)&gt;1,"충돌",HYPERLINK("#'관리자_MASTER'!D"&amp;_xlfn.MAXIFS(m_row,m_teacher,M$4,m_date,($G$2+1),m_active,1,m_start,"&lt;"&amp;1140,m_end,"&gt;"&amp;1080),INDEX(m_label,_xlfn.MAXIFS(m_row,m_teacher,M$4,m_date,($G$2+1),m_active,1,m_start,"&lt;"&amp;1140,m_end,"&gt;"&amp;1080))))))</f>
        <v/>
      </c>
      <c r="N25" s="88" t="str">
        <f aca="false">IF(OR(N$4="",MONTH(($G$2+1))&lt;&gt;MONTH($C$2)),"",IF(COUNTIFS(m_teacher,N$4,m_date,($G$2+1),m_active,1,m_start,"&lt;"&amp;1140,m_end,"&gt;"&amp;1080)=0,"",IF(COUNTIFS(m_teacher,N$4,m_date,($G$2+1),m_active,1,m_start,"&lt;"&amp;1140,m_end,"&gt;"&amp;1080)&gt;1,"충돌",HYPERLINK("#'관리자_MASTER'!D"&amp;_xlfn.MAXIFS(m_row,m_teacher,N$4,m_date,($G$2+1),m_active,1,m_start,"&lt;"&amp;1140,m_end,"&gt;"&amp;1080),INDEX(m_label,_xlfn.MAXIFS(m_row,m_teacher,N$4,m_date,($G$2+1),m_active,1,m_start,"&lt;"&amp;1140,m_end,"&gt;"&amp;1080))))))</f>
        <v/>
      </c>
      <c r="O25" s="78"/>
      <c r="P25" s="79" t="s">
        <v>100</v>
      </c>
      <c r="Q25" s="88" t="str">
        <f aca="false">IF(OR(Q$4="",MONTH(($G$2+8))&lt;&gt;MONTH($C$2)),"",IF(COUNTIFS(m_teacher,Q$4,m_date,($G$2+8),m_active,1,m_start,"&lt;"&amp;1140,m_end,"&gt;"&amp;1080)=0,"",IF(COUNTIFS(m_teacher,Q$4,m_date,($G$2+8),m_active,1,m_start,"&lt;"&amp;1140,m_end,"&gt;"&amp;1080)&gt;1,"충돌",HYPERLINK("#'관리자_MASTER'!D"&amp;_xlfn.MAXIFS(m_row,m_teacher,Q$4,m_date,($G$2+8),m_active,1,m_start,"&lt;"&amp;1140,m_end,"&gt;"&amp;1080),INDEX(m_label,_xlfn.MAXIFS(m_row,m_teacher,Q$4,m_date,($G$2+8),m_active,1,m_start,"&lt;"&amp;1140,m_end,"&gt;"&amp;1080))))))</f>
        <v/>
      </c>
      <c r="R25" s="88" t="str">
        <f aca="false">IF(OR(R$4="",MONTH(($G$2+8))&lt;&gt;MONTH($C$2)),"",IF(COUNTIFS(m_teacher,R$4,m_date,($G$2+8),m_active,1,m_start,"&lt;"&amp;1140,m_end,"&gt;"&amp;1080)=0,"",IF(COUNTIFS(m_teacher,R$4,m_date,($G$2+8),m_active,1,m_start,"&lt;"&amp;1140,m_end,"&gt;"&amp;1080)&gt;1,"충돌",HYPERLINK("#'관리자_MASTER'!D"&amp;_xlfn.MAXIFS(m_row,m_teacher,R$4,m_date,($G$2+8),m_active,1,m_start,"&lt;"&amp;1140,m_end,"&gt;"&amp;1080),INDEX(m_label,_xlfn.MAXIFS(m_row,m_teacher,R$4,m_date,($G$2+8),m_active,1,m_start,"&lt;"&amp;1140,m_end,"&gt;"&amp;1080))))))</f>
        <v/>
      </c>
      <c r="S25" s="88" t="str">
        <f aca="false">IF(OR(S$4="",MONTH(($G$2+8))&lt;&gt;MONTH($C$2)),"",IF(COUNTIFS(m_teacher,S$4,m_date,($G$2+8),m_active,1,m_start,"&lt;"&amp;1140,m_end,"&gt;"&amp;1080)=0,"",IF(COUNTIFS(m_teacher,S$4,m_date,($G$2+8),m_active,1,m_start,"&lt;"&amp;1140,m_end,"&gt;"&amp;1080)&gt;1,"충돌",HYPERLINK("#'관리자_MASTER'!D"&amp;_xlfn.MAXIFS(m_row,m_teacher,S$4,m_date,($G$2+8),m_active,1,m_start,"&lt;"&amp;1140,m_end,"&gt;"&amp;1080),INDEX(m_label,_xlfn.MAXIFS(m_row,m_teacher,S$4,m_date,($G$2+8),m_active,1,m_start,"&lt;"&amp;1140,m_end,"&gt;"&amp;1080))))))</f>
        <v/>
      </c>
      <c r="T25" s="88" t="str">
        <f aca="false">IF(OR(T$4="",MONTH(($G$2+8))&lt;&gt;MONTH($C$2)),"",IF(COUNTIFS(m_teacher,T$4,m_date,($G$2+8),m_active,1,m_start,"&lt;"&amp;1140,m_end,"&gt;"&amp;1080)=0,"",IF(COUNTIFS(m_teacher,T$4,m_date,($G$2+8),m_active,1,m_start,"&lt;"&amp;1140,m_end,"&gt;"&amp;1080)&gt;1,"충돌",HYPERLINK("#'관리자_MASTER'!D"&amp;_xlfn.MAXIFS(m_row,m_teacher,T$4,m_date,($G$2+8),m_active,1,m_start,"&lt;"&amp;1140,m_end,"&gt;"&amp;1080),INDEX(m_label,_xlfn.MAXIFS(m_row,m_teacher,T$4,m_date,($G$2+8),m_active,1,m_start,"&lt;"&amp;1140,m_end,"&gt;"&amp;1080))))))</f>
        <v/>
      </c>
      <c r="U25" s="88" t="str">
        <f aca="false">IF(OR(U$4="",MONTH(($G$2+8))&lt;&gt;MONTH($C$2)),"",IF(COUNTIFS(m_teacher,U$4,m_date,($G$2+8),m_active,1,m_start,"&lt;"&amp;1140,m_end,"&gt;"&amp;1080)=0,"",IF(COUNTIFS(m_teacher,U$4,m_date,($G$2+8),m_active,1,m_start,"&lt;"&amp;1140,m_end,"&gt;"&amp;1080)&gt;1,"충돌",HYPERLINK("#'관리자_MASTER'!D"&amp;_xlfn.MAXIFS(m_row,m_teacher,U$4,m_date,($G$2+8),m_active,1,m_start,"&lt;"&amp;1140,m_end,"&gt;"&amp;1080),INDEX(m_label,_xlfn.MAXIFS(m_row,m_teacher,U$4,m_date,($G$2+8),m_active,1,m_start,"&lt;"&amp;1140,m_end,"&gt;"&amp;1080))))))</f>
        <v/>
      </c>
      <c r="V25" s="88" t="str">
        <f aca="false">IF(OR(V$4="",MONTH(($G$2+8))&lt;&gt;MONTH($C$2)),"",IF(COUNTIFS(m_teacher,V$4,m_date,($G$2+8),m_active,1,m_start,"&lt;"&amp;1140,m_end,"&gt;"&amp;1080)=0,"",IF(COUNTIFS(m_teacher,V$4,m_date,($G$2+8),m_active,1,m_start,"&lt;"&amp;1140,m_end,"&gt;"&amp;1080)&gt;1,"충돌",HYPERLINK("#'관리자_MASTER'!D"&amp;_xlfn.MAXIFS(m_row,m_teacher,V$4,m_date,($G$2+8),m_active,1,m_start,"&lt;"&amp;1140,m_end,"&gt;"&amp;1080),INDEX(m_label,_xlfn.MAXIFS(m_row,m_teacher,V$4,m_date,($G$2+8),m_active,1,m_start,"&lt;"&amp;1140,m_end,"&gt;"&amp;1080))))))</f>
        <v/>
      </c>
      <c r="W25" s="88" t="str">
        <f aca="false">IF(OR(W$4="",MONTH(($G$2+8))&lt;&gt;MONTH($C$2)),"",IF(COUNTIFS(m_teacher,W$4,m_date,($G$2+8),m_active,1,m_start,"&lt;"&amp;1140,m_end,"&gt;"&amp;1080)=0,"",IF(COUNTIFS(m_teacher,W$4,m_date,($G$2+8),m_active,1,m_start,"&lt;"&amp;1140,m_end,"&gt;"&amp;1080)&gt;1,"충돌",HYPERLINK("#'관리자_MASTER'!D"&amp;_xlfn.MAXIFS(m_row,m_teacher,W$4,m_date,($G$2+8),m_active,1,m_start,"&lt;"&amp;1140,m_end,"&gt;"&amp;1080),INDEX(m_label,_xlfn.MAXIFS(m_row,m_teacher,W$4,m_date,($G$2+8),m_active,1,m_start,"&lt;"&amp;1140,m_end,"&gt;"&amp;1080))))))</f>
        <v/>
      </c>
      <c r="X25" s="88" t="str">
        <f aca="false">IF(OR(X$4="",MONTH(($G$2+8))&lt;&gt;MONTH($C$2)),"",IF(COUNTIFS(m_teacher,X$4,m_date,($G$2+8),m_active,1,m_start,"&lt;"&amp;1140,m_end,"&gt;"&amp;1080)=0,"",IF(COUNTIFS(m_teacher,X$4,m_date,($G$2+8),m_active,1,m_start,"&lt;"&amp;1140,m_end,"&gt;"&amp;1080)&gt;1,"충돌",HYPERLINK("#'관리자_MASTER'!D"&amp;_xlfn.MAXIFS(m_row,m_teacher,X$4,m_date,($G$2+8),m_active,1,m_start,"&lt;"&amp;1140,m_end,"&gt;"&amp;1080),INDEX(m_label,_xlfn.MAXIFS(m_row,m_teacher,X$4,m_date,($G$2+8),m_active,1,m_start,"&lt;"&amp;1140,m_end,"&gt;"&amp;1080))))))</f>
        <v/>
      </c>
      <c r="Y25" s="88" t="str">
        <f aca="false">IF(OR(Y$4="",MONTH(($G$2+8))&lt;&gt;MONTH($C$2)),"",IF(COUNTIFS(m_teacher,Y$4,m_date,($G$2+8),m_active,1,m_start,"&lt;"&amp;1140,m_end,"&gt;"&amp;1080)=0,"",IF(COUNTIFS(m_teacher,Y$4,m_date,($G$2+8),m_active,1,m_start,"&lt;"&amp;1140,m_end,"&gt;"&amp;1080)&gt;1,"충돌",HYPERLINK("#'관리자_MASTER'!D"&amp;_xlfn.MAXIFS(m_row,m_teacher,Y$4,m_date,($G$2+8),m_active,1,m_start,"&lt;"&amp;1140,m_end,"&gt;"&amp;1080),INDEX(m_label,_xlfn.MAXIFS(m_row,m_teacher,Y$4,m_date,($G$2+8),m_active,1,m_start,"&lt;"&amp;1140,m_end,"&gt;"&amp;1080))))))</f>
        <v/>
      </c>
      <c r="Z25" s="88" t="str">
        <f aca="false">IF(OR(Z$4="",MONTH(($G$2+8))&lt;&gt;MONTH($C$2)),"",IF(COUNTIFS(m_teacher,Z$4,m_date,($G$2+8),m_active,1,m_start,"&lt;"&amp;1140,m_end,"&gt;"&amp;1080)=0,"",IF(COUNTIFS(m_teacher,Z$4,m_date,($G$2+8),m_active,1,m_start,"&lt;"&amp;1140,m_end,"&gt;"&amp;1080)&gt;1,"충돌",HYPERLINK("#'관리자_MASTER'!D"&amp;_xlfn.MAXIFS(m_row,m_teacher,Z$4,m_date,($G$2+8),m_active,1,m_start,"&lt;"&amp;1140,m_end,"&gt;"&amp;1080),INDEX(m_label,_xlfn.MAXIFS(m_row,m_teacher,Z$4,m_date,($G$2+8),m_active,1,m_start,"&lt;"&amp;1140,m_end,"&gt;"&amp;1080))))))</f>
        <v/>
      </c>
      <c r="AA25" s="88" t="str">
        <f aca="false">IF(OR(AA$4="",MONTH(($G$2+8))&lt;&gt;MONTH($C$2)),"",IF(COUNTIFS(m_teacher,AA$4,m_date,($G$2+8),m_active,1,m_start,"&lt;"&amp;1140,m_end,"&gt;"&amp;1080)=0,"",IF(COUNTIFS(m_teacher,AA$4,m_date,($G$2+8),m_active,1,m_start,"&lt;"&amp;1140,m_end,"&gt;"&amp;1080)&gt;1,"충돌",HYPERLINK("#'관리자_MASTER'!D"&amp;_xlfn.MAXIFS(m_row,m_teacher,AA$4,m_date,($G$2+8),m_active,1,m_start,"&lt;"&amp;1140,m_end,"&gt;"&amp;1080),INDEX(m_label,_xlfn.MAXIFS(m_row,m_teacher,AA$4,m_date,($G$2+8),m_active,1,m_start,"&lt;"&amp;1140,m_end,"&gt;"&amp;1080))))))</f>
        <v/>
      </c>
      <c r="AB25" s="88" t="str">
        <f aca="false">IF(OR(AB$4="",MONTH(($G$2+8))&lt;&gt;MONTH($C$2)),"",IF(COUNTIFS(m_teacher,AB$4,m_date,($G$2+8),m_active,1,m_start,"&lt;"&amp;1140,m_end,"&gt;"&amp;1080)=0,"",IF(COUNTIFS(m_teacher,AB$4,m_date,($G$2+8),m_active,1,m_start,"&lt;"&amp;1140,m_end,"&gt;"&amp;1080)&gt;1,"충돌",HYPERLINK("#'관리자_MASTER'!D"&amp;_xlfn.MAXIFS(m_row,m_teacher,AB$4,m_date,($G$2+8),m_active,1,m_start,"&lt;"&amp;1140,m_end,"&gt;"&amp;1080),INDEX(m_label,_xlfn.MAXIFS(m_row,m_teacher,AB$4,m_date,($G$2+8),m_active,1,m_start,"&lt;"&amp;1140,m_end,"&gt;"&amp;1080))))))</f>
        <v/>
      </c>
      <c r="AC25" s="78"/>
      <c r="AD25" s="79" t="s">
        <v>100</v>
      </c>
      <c r="AE25" s="88" t="str">
        <f aca="false">IF(OR(AE$4="",MONTH(($G$2+15))&lt;&gt;MONTH($C$2)),"",IF(COUNTIFS(m_teacher,AE$4,m_date,($G$2+15),m_active,1,m_start,"&lt;"&amp;1140,m_end,"&gt;"&amp;1080)=0,"",IF(COUNTIFS(m_teacher,AE$4,m_date,($G$2+15),m_active,1,m_start,"&lt;"&amp;1140,m_end,"&gt;"&amp;1080)&gt;1,"충돌",HYPERLINK("#'관리자_MASTER'!D"&amp;_xlfn.MAXIFS(m_row,m_teacher,AE$4,m_date,($G$2+15),m_active,1,m_start,"&lt;"&amp;1140,m_end,"&gt;"&amp;1080),INDEX(m_label,_xlfn.MAXIFS(m_row,m_teacher,AE$4,m_date,($G$2+15),m_active,1,m_start,"&lt;"&amp;1140,m_end,"&gt;"&amp;1080))))))</f>
        <v/>
      </c>
      <c r="AF25" s="88" t="str">
        <f aca="false">IF(OR(AF$4="",MONTH(($G$2+15))&lt;&gt;MONTH($C$2)),"",IF(COUNTIFS(m_teacher,AF$4,m_date,($G$2+15),m_active,1,m_start,"&lt;"&amp;1140,m_end,"&gt;"&amp;1080)=0,"",IF(COUNTIFS(m_teacher,AF$4,m_date,($G$2+15),m_active,1,m_start,"&lt;"&amp;1140,m_end,"&gt;"&amp;1080)&gt;1,"충돌",HYPERLINK("#'관리자_MASTER'!D"&amp;_xlfn.MAXIFS(m_row,m_teacher,AF$4,m_date,($G$2+15),m_active,1,m_start,"&lt;"&amp;1140,m_end,"&gt;"&amp;1080),INDEX(m_label,_xlfn.MAXIFS(m_row,m_teacher,AF$4,m_date,($G$2+15),m_active,1,m_start,"&lt;"&amp;1140,m_end,"&gt;"&amp;1080))))))</f>
        <v/>
      </c>
      <c r="AG25" s="88" t="str">
        <f aca="false">IF(OR(AG$4="",MONTH(($G$2+15))&lt;&gt;MONTH($C$2)),"",IF(COUNTIFS(m_teacher,AG$4,m_date,($G$2+15),m_active,1,m_start,"&lt;"&amp;1140,m_end,"&gt;"&amp;1080)=0,"",IF(COUNTIFS(m_teacher,AG$4,m_date,($G$2+15),m_active,1,m_start,"&lt;"&amp;1140,m_end,"&gt;"&amp;1080)&gt;1,"충돌",HYPERLINK("#'관리자_MASTER'!D"&amp;_xlfn.MAXIFS(m_row,m_teacher,AG$4,m_date,($G$2+15),m_active,1,m_start,"&lt;"&amp;1140,m_end,"&gt;"&amp;1080),INDEX(m_label,_xlfn.MAXIFS(m_row,m_teacher,AG$4,m_date,($G$2+15),m_active,1,m_start,"&lt;"&amp;1140,m_end,"&gt;"&amp;1080))))))</f>
        <v/>
      </c>
      <c r="AH25" s="88" t="str">
        <f aca="false">IF(OR(AH$4="",MONTH(($G$2+15))&lt;&gt;MONTH($C$2)),"",IF(COUNTIFS(m_teacher,AH$4,m_date,($G$2+15),m_active,1,m_start,"&lt;"&amp;1140,m_end,"&gt;"&amp;1080)=0,"",IF(COUNTIFS(m_teacher,AH$4,m_date,($G$2+15),m_active,1,m_start,"&lt;"&amp;1140,m_end,"&gt;"&amp;1080)&gt;1,"충돌",HYPERLINK("#'관리자_MASTER'!D"&amp;_xlfn.MAXIFS(m_row,m_teacher,AH$4,m_date,($G$2+15),m_active,1,m_start,"&lt;"&amp;1140,m_end,"&gt;"&amp;1080),INDEX(m_label,_xlfn.MAXIFS(m_row,m_teacher,AH$4,m_date,($G$2+15),m_active,1,m_start,"&lt;"&amp;1140,m_end,"&gt;"&amp;1080))))))</f>
        <v/>
      </c>
      <c r="AI25" s="88" t="str">
        <f aca="false">IF(OR(AI$4="",MONTH(($G$2+15))&lt;&gt;MONTH($C$2)),"",IF(COUNTIFS(m_teacher,AI$4,m_date,($G$2+15),m_active,1,m_start,"&lt;"&amp;1140,m_end,"&gt;"&amp;1080)=0,"",IF(COUNTIFS(m_teacher,AI$4,m_date,($G$2+15),m_active,1,m_start,"&lt;"&amp;1140,m_end,"&gt;"&amp;1080)&gt;1,"충돌",HYPERLINK("#'관리자_MASTER'!D"&amp;_xlfn.MAXIFS(m_row,m_teacher,AI$4,m_date,($G$2+15),m_active,1,m_start,"&lt;"&amp;1140,m_end,"&gt;"&amp;1080),INDEX(m_label,_xlfn.MAXIFS(m_row,m_teacher,AI$4,m_date,($G$2+15),m_active,1,m_start,"&lt;"&amp;1140,m_end,"&gt;"&amp;1080))))))</f>
        <v/>
      </c>
      <c r="AJ25" s="88" t="str">
        <f aca="false">IF(OR(AJ$4="",MONTH(($G$2+15))&lt;&gt;MONTH($C$2)),"",IF(COUNTIFS(m_teacher,AJ$4,m_date,($G$2+15),m_active,1,m_start,"&lt;"&amp;1140,m_end,"&gt;"&amp;1080)=0,"",IF(COUNTIFS(m_teacher,AJ$4,m_date,($G$2+15),m_active,1,m_start,"&lt;"&amp;1140,m_end,"&gt;"&amp;1080)&gt;1,"충돌",HYPERLINK("#'관리자_MASTER'!D"&amp;_xlfn.MAXIFS(m_row,m_teacher,AJ$4,m_date,($G$2+15),m_active,1,m_start,"&lt;"&amp;1140,m_end,"&gt;"&amp;1080),INDEX(m_label,_xlfn.MAXIFS(m_row,m_teacher,AJ$4,m_date,($G$2+15),m_active,1,m_start,"&lt;"&amp;1140,m_end,"&gt;"&amp;1080))))))</f>
        <v/>
      </c>
      <c r="AK25" s="88" t="str">
        <f aca="false">IF(OR(AK$4="",MONTH(($G$2+15))&lt;&gt;MONTH($C$2)),"",IF(COUNTIFS(m_teacher,AK$4,m_date,($G$2+15),m_active,1,m_start,"&lt;"&amp;1140,m_end,"&gt;"&amp;1080)=0,"",IF(COUNTIFS(m_teacher,AK$4,m_date,($G$2+15),m_active,1,m_start,"&lt;"&amp;1140,m_end,"&gt;"&amp;1080)&gt;1,"충돌",HYPERLINK("#'관리자_MASTER'!D"&amp;_xlfn.MAXIFS(m_row,m_teacher,AK$4,m_date,($G$2+15),m_active,1,m_start,"&lt;"&amp;1140,m_end,"&gt;"&amp;1080),INDEX(m_label,_xlfn.MAXIFS(m_row,m_teacher,AK$4,m_date,($G$2+15),m_active,1,m_start,"&lt;"&amp;1140,m_end,"&gt;"&amp;1080))))))</f>
        <v/>
      </c>
      <c r="AL25" s="88" t="str">
        <f aca="false">IF(OR(AL$4="",MONTH(($G$2+15))&lt;&gt;MONTH($C$2)),"",IF(COUNTIFS(m_teacher,AL$4,m_date,($G$2+15),m_active,1,m_start,"&lt;"&amp;1140,m_end,"&gt;"&amp;1080)=0,"",IF(COUNTIFS(m_teacher,AL$4,m_date,($G$2+15),m_active,1,m_start,"&lt;"&amp;1140,m_end,"&gt;"&amp;1080)&gt;1,"충돌",HYPERLINK("#'관리자_MASTER'!D"&amp;_xlfn.MAXIFS(m_row,m_teacher,AL$4,m_date,($G$2+15),m_active,1,m_start,"&lt;"&amp;1140,m_end,"&gt;"&amp;1080),INDEX(m_label,_xlfn.MAXIFS(m_row,m_teacher,AL$4,m_date,($G$2+15),m_active,1,m_start,"&lt;"&amp;1140,m_end,"&gt;"&amp;1080))))))</f>
        <v/>
      </c>
      <c r="AM25" s="88" t="str">
        <f aca="false">IF(OR(AM$4="",MONTH(($G$2+15))&lt;&gt;MONTH($C$2)),"",IF(COUNTIFS(m_teacher,AM$4,m_date,($G$2+15),m_active,1,m_start,"&lt;"&amp;1140,m_end,"&gt;"&amp;1080)=0,"",IF(COUNTIFS(m_teacher,AM$4,m_date,($G$2+15),m_active,1,m_start,"&lt;"&amp;1140,m_end,"&gt;"&amp;1080)&gt;1,"충돌",HYPERLINK("#'관리자_MASTER'!D"&amp;_xlfn.MAXIFS(m_row,m_teacher,AM$4,m_date,($G$2+15),m_active,1,m_start,"&lt;"&amp;1140,m_end,"&gt;"&amp;1080),INDEX(m_label,_xlfn.MAXIFS(m_row,m_teacher,AM$4,m_date,($G$2+15),m_active,1,m_start,"&lt;"&amp;1140,m_end,"&gt;"&amp;1080))))))</f>
        <v/>
      </c>
      <c r="AN25" s="88" t="str">
        <f aca="false">IF(OR(AN$4="",MONTH(($G$2+15))&lt;&gt;MONTH($C$2)),"",IF(COUNTIFS(m_teacher,AN$4,m_date,($G$2+15),m_active,1,m_start,"&lt;"&amp;1140,m_end,"&gt;"&amp;1080)=0,"",IF(COUNTIFS(m_teacher,AN$4,m_date,($G$2+15),m_active,1,m_start,"&lt;"&amp;1140,m_end,"&gt;"&amp;1080)&gt;1,"충돌",HYPERLINK("#'관리자_MASTER'!D"&amp;_xlfn.MAXIFS(m_row,m_teacher,AN$4,m_date,($G$2+15),m_active,1,m_start,"&lt;"&amp;1140,m_end,"&gt;"&amp;1080),INDEX(m_label,_xlfn.MAXIFS(m_row,m_teacher,AN$4,m_date,($G$2+15),m_active,1,m_start,"&lt;"&amp;1140,m_end,"&gt;"&amp;1080))))))</f>
        <v/>
      </c>
      <c r="AO25" s="88" t="str">
        <f aca="false">IF(OR(AO$4="",MONTH(($G$2+15))&lt;&gt;MONTH($C$2)),"",IF(COUNTIFS(m_teacher,AO$4,m_date,($G$2+15),m_active,1,m_start,"&lt;"&amp;1140,m_end,"&gt;"&amp;1080)=0,"",IF(COUNTIFS(m_teacher,AO$4,m_date,($G$2+15),m_active,1,m_start,"&lt;"&amp;1140,m_end,"&gt;"&amp;1080)&gt;1,"충돌",HYPERLINK("#'관리자_MASTER'!D"&amp;_xlfn.MAXIFS(m_row,m_teacher,AO$4,m_date,($G$2+15),m_active,1,m_start,"&lt;"&amp;1140,m_end,"&gt;"&amp;1080),INDEX(m_label,_xlfn.MAXIFS(m_row,m_teacher,AO$4,m_date,($G$2+15),m_active,1,m_start,"&lt;"&amp;1140,m_end,"&gt;"&amp;1080))))))</f>
        <v/>
      </c>
      <c r="AP25" s="88" t="str">
        <f aca="false">IF(OR(AP$4="",MONTH(($G$2+15))&lt;&gt;MONTH($C$2)),"",IF(COUNTIFS(m_teacher,AP$4,m_date,($G$2+15),m_active,1,m_start,"&lt;"&amp;1140,m_end,"&gt;"&amp;1080)=0,"",IF(COUNTIFS(m_teacher,AP$4,m_date,($G$2+15),m_active,1,m_start,"&lt;"&amp;1140,m_end,"&gt;"&amp;1080)&gt;1,"충돌",HYPERLINK("#'관리자_MASTER'!D"&amp;_xlfn.MAXIFS(m_row,m_teacher,AP$4,m_date,($G$2+15),m_active,1,m_start,"&lt;"&amp;1140,m_end,"&gt;"&amp;1080),INDEX(m_label,_xlfn.MAXIFS(m_row,m_teacher,AP$4,m_date,($G$2+15),m_active,1,m_start,"&lt;"&amp;1140,m_end,"&gt;"&amp;1080))))))</f>
        <v/>
      </c>
      <c r="AQ25" s="78"/>
      <c r="AR25" s="79" t="s">
        <v>100</v>
      </c>
      <c r="AS25" s="88" t="str">
        <f aca="false">IF(OR(AS$4="",MONTH(($G$2+22))&lt;&gt;MONTH($C$2)),"",IF(COUNTIFS(m_teacher,AS$4,m_date,($G$2+22),m_active,1,m_start,"&lt;"&amp;1140,m_end,"&gt;"&amp;1080)=0,"",IF(COUNTIFS(m_teacher,AS$4,m_date,($G$2+22),m_active,1,m_start,"&lt;"&amp;1140,m_end,"&gt;"&amp;1080)&gt;1,"충돌",HYPERLINK("#'관리자_MASTER'!D"&amp;_xlfn.MAXIFS(m_row,m_teacher,AS$4,m_date,($G$2+22),m_active,1,m_start,"&lt;"&amp;1140,m_end,"&gt;"&amp;1080),INDEX(m_label,_xlfn.MAXIFS(m_row,m_teacher,AS$4,m_date,($G$2+22),m_active,1,m_start,"&lt;"&amp;1140,m_end,"&gt;"&amp;1080))))))</f>
        <v/>
      </c>
      <c r="AT25" s="88" t="str">
        <f aca="false">IF(OR(AT$4="",MONTH(($G$2+22))&lt;&gt;MONTH($C$2)),"",IF(COUNTIFS(m_teacher,AT$4,m_date,($G$2+22),m_active,1,m_start,"&lt;"&amp;1140,m_end,"&gt;"&amp;1080)=0,"",IF(COUNTIFS(m_teacher,AT$4,m_date,($G$2+22),m_active,1,m_start,"&lt;"&amp;1140,m_end,"&gt;"&amp;1080)&gt;1,"충돌",HYPERLINK("#'관리자_MASTER'!D"&amp;_xlfn.MAXIFS(m_row,m_teacher,AT$4,m_date,($G$2+22),m_active,1,m_start,"&lt;"&amp;1140,m_end,"&gt;"&amp;1080),INDEX(m_label,_xlfn.MAXIFS(m_row,m_teacher,AT$4,m_date,($G$2+22),m_active,1,m_start,"&lt;"&amp;1140,m_end,"&gt;"&amp;1080))))))</f>
        <v/>
      </c>
      <c r="AU25" s="88" t="str">
        <f aca="false">IF(OR(AU$4="",MONTH(($G$2+22))&lt;&gt;MONTH($C$2)),"",IF(COUNTIFS(m_teacher,AU$4,m_date,($G$2+22),m_active,1,m_start,"&lt;"&amp;1140,m_end,"&gt;"&amp;1080)=0,"",IF(COUNTIFS(m_teacher,AU$4,m_date,($G$2+22),m_active,1,m_start,"&lt;"&amp;1140,m_end,"&gt;"&amp;1080)&gt;1,"충돌",HYPERLINK("#'관리자_MASTER'!D"&amp;_xlfn.MAXIFS(m_row,m_teacher,AU$4,m_date,($G$2+22),m_active,1,m_start,"&lt;"&amp;1140,m_end,"&gt;"&amp;1080),INDEX(m_label,_xlfn.MAXIFS(m_row,m_teacher,AU$4,m_date,($G$2+22),m_active,1,m_start,"&lt;"&amp;1140,m_end,"&gt;"&amp;1080))))))</f>
        <v/>
      </c>
      <c r="AV25" s="88" t="str">
        <f aca="false">IF(OR(AV$4="",MONTH(($G$2+22))&lt;&gt;MONTH($C$2)),"",IF(COUNTIFS(m_teacher,AV$4,m_date,($G$2+22),m_active,1,m_start,"&lt;"&amp;1140,m_end,"&gt;"&amp;1080)=0,"",IF(COUNTIFS(m_teacher,AV$4,m_date,($G$2+22),m_active,1,m_start,"&lt;"&amp;1140,m_end,"&gt;"&amp;1080)&gt;1,"충돌",HYPERLINK("#'관리자_MASTER'!D"&amp;_xlfn.MAXIFS(m_row,m_teacher,AV$4,m_date,($G$2+22),m_active,1,m_start,"&lt;"&amp;1140,m_end,"&gt;"&amp;1080),INDEX(m_label,_xlfn.MAXIFS(m_row,m_teacher,AV$4,m_date,($G$2+22),m_active,1,m_start,"&lt;"&amp;1140,m_end,"&gt;"&amp;1080))))))</f>
        <v/>
      </c>
      <c r="AW25" s="88" t="str">
        <f aca="false">IF(OR(AW$4="",MONTH(($G$2+22))&lt;&gt;MONTH($C$2)),"",IF(COUNTIFS(m_teacher,AW$4,m_date,($G$2+22),m_active,1,m_start,"&lt;"&amp;1140,m_end,"&gt;"&amp;1080)=0,"",IF(COUNTIFS(m_teacher,AW$4,m_date,($G$2+22),m_active,1,m_start,"&lt;"&amp;1140,m_end,"&gt;"&amp;1080)&gt;1,"충돌",HYPERLINK("#'관리자_MASTER'!D"&amp;_xlfn.MAXIFS(m_row,m_teacher,AW$4,m_date,($G$2+22),m_active,1,m_start,"&lt;"&amp;1140,m_end,"&gt;"&amp;1080),INDEX(m_label,_xlfn.MAXIFS(m_row,m_teacher,AW$4,m_date,($G$2+22),m_active,1,m_start,"&lt;"&amp;1140,m_end,"&gt;"&amp;1080))))))</f>
        <v/>
      </c>
      <c r="AX25" s="88" t="str">
        <f aca="false">IF(OR(AX$4="",MONTH(($G$2+22))&lt;&gt;MONTH($C$2)),"",IF(COUNTIFS(m_teacher,AX$4,m_date,($G$2+22),m_active,1,m_start,"&lt;"&amp;1140,m_end,"&gt;"&amp;1080)=0,"",IF(COUNTIFS(m_teacher,AX$4,m_date,($G$2+22),m_active,1,m_start,"&lt;"&amp;1140,m_end,"&gt;"&amp;1080)&gt;1,"충돌",HYPERLINK("#'관리자_MASTER'!D"&amp;_xlfn.MAXIFS(m_row,m_teacher,AX$4,m_date,($G$2+22),m_active,1,m_start,"&lt;"&amp;1140,m_end,"&gt;"&amp;1080),INDEX(m_label,_xlfn.MAXIFS(m_row,m_teacher,AX$4,m_date,($G$2+22),m_active,1,m_start,"&lt;"&amp;1140,m_end,"&gt;"&amp;1080))))))</f>
        <v/>
      </c>
      <c r="AY25" s="88" t="str">
        <f aca="false">IF(OR(AY$4="",MONTH(($G$2+22))&lt;&gt;MONTH($C$2)),"",IF(COUNTIFS(m_teacher,AY$4,m_date,($G$2+22),m_active,1,m_start,"&lt;"&amp;1140,m_end,"&gt;"&amp;1080)=0,"",IF(COUNTIFS(m_teacher,AY$4,m_date,($G$2+22),m_active,1,m_start,"&lt;"&amp;1140,m_end,"&gt;"&amp;1080)&gt;1,"충돌",HYPERLINK("#'관리자_MASTER'!D"&amp;_xlfn.MAXIFS(m_row,m_teacher,AY$4,m_date,($G$2+22),m_active,1,m_start,"&lt;"&amp;1140,m_end,"&gt;"&amp;1080),INDEX(m_label,_xlfn.MAXIFS(m_row,m_teacher,AY$4,m_date,($G$2+22),m_active,1,m_start,"&lt;"&amp;1140,m_end,"&gt;"&amp;1080))))))</f>
        <v/>
      </c>
      <c r="AZ25" s="88" t="str">
        <f aca="false">IF(OR(AZ$4="",MONTH(($G$2+22))&lt;&gt;MONTH($C$2)),"",IF(COUNTIFS(m_teacher,AZ$4,m_date,($G$2+22),m_active,1,m_start,"&lt;"&amp;1140,m_end,"&gt;"&amp;1080)=0,"",IF(COUNTIFS(m_teacher,AZ$4,m_date,($G$2+22),m_active,1,m_start,"&lt;"&amp;1140,m_end,"&gt;"&amp;1080)&gt;1,"충돌",HYPERLINK("#'관리자_MASTER'!D"&amp;_xlfn.MAXIFS(m_row,m_teacher,AZ$4,m_date,($G$2+22),m_active,1,m_start,"&lt;"&amp;1140,m_end,"&gt;"&amp;1080),INDEX(m_label,_xlfn.MAXIFS(m_row,m_teacher,AZ$4,m_date,($G$2+22),m_active,1,m_start,"&lt;"&amp;1140,m_end,"&gt;"&amp;1080))))))</f>
        <v/>
      </c>
      <c r="BA25" s="88" t="str">
        <f aca="false">IF(OR(BA$4="",MONTH(($G$2+22))&lt;&gt;MONTH($C$2)),"",IF(COUNTIFS(m_teacher,BA$4,m_date,($G$2+22),m_active,1,m_start,"&lt;"&amp;1140,m_end,"&gt;"&amp;1080)=0,"",IF(COUNTIFS(m_teacher,BA$4,m_date,($G$2+22),m_active,1,m_start,"&lt;"&amp;1140,m_end,"&gt;"&amp;1080)&gt;1,"충돌",HYPERLINK("#'관리자_MASTER'!D"&amp;_xlfn.MAXIFS(m_row,m_teacher,BA$4,m_date,($G$2+22),m_active,1,m_start,"&lt;"&amp;1140,m_end,"&gt;"&amp;1080),INDEX(m_label,_xlfn.MAXIFS(m_row,m_teacher,BA$4,m_date,($G$2+22),m_active,1,m_start,"&lt;"&amp;1140,m_end,"&gt;"&amp;1080))))))</f>
        <v/>
      </c>
      <c r="BB25" s="88" t="str">
        <f aca="false">IF(OR(BB$4="",MONTH(($G$2+22))&lt;&gt;MONTH($C$2)),"",IF(COUNTIFS(m_teacher,BB$4,m_date,($G$2+22),m_active,1,m_start,"&lt;"&amp;1140,m_end,"&gt;"&amp;1080)=0,"",IF(COUNTIFS(m_teacher,BB$4,m_date,($G$2+22),m_active,1,m_start,"&lt;"&amp;1140,m_end,"&gt;"&amp;1080)&gt;1,"충돌",HYPERLINK("#'관리자_MASTER'!D"&amp;_xlfn.MAXIFS(m_row,m_teacher,BB$4,m_date,($G$2+22),m_active,1,m_start,"&lt;"&amp;1140,m_end,"&gt;"&amp;1080),INDEX(m_label,_xlfn.MAXIFS(m_row,m_teacher,BB$4,m_date,($G$2+22),m_active,1,m_start,"&lt;"&amp;1140,m_end,"&gt;"&amp;1080))))))</f>
        <v/>
      </c>
      <c r="BC25" s="88" t="str">
        <f aca="false">IF(OR(BC$4="",MONTH(($G$2+22))&lt;&gt;MONTH($C$2)),"",IF(COUNTIFS(m_teacher,BC$4,m_date,($G$2+22),m_active,1,m_start,"&lt;"&amp;1140,m_end,"&gt;"&amp;1080)=0,"",IF(COUNTIFS(m_teacher,BC$4,m_date,($G$2+22),m_active,1,m_start,"&lt;"&amp;1140,m_end,"&gt;"&amp;1080)&gt;1,"충돌",HYPERLINK("#'관리자_MASTER'!D"&amp;_xlfn.MAXIFS(m_row,m_teacher,BC$4,m_date,($G$2+22),m_active,1,m_start,"&lt;"&amp;1140,m_end,"&gt;"&amp;1080),INDEX(m_label,_xlfn.MAXIFS(m_row,m_teacher,BC$4,m_date,($G$2+22),m_active,1,m_start,"&lt;"&amp;1140,m_end,"&gt;"&amp;1080))))))</f>
        <v/>
      </c>
      <c r="BD25" s="88" t="str">
        <f aca="false">IF(OR(BD$4="",MONTH(($G$2+22))&lt;&gt;MONTH($C$2)),"",IF(COUNTIFS(m_teacher,BD$4,m_date,($G$2+22),m_active,1,m_start,"&lt;"&amp;1140,m_end,"&gt;"&amp;1080)=0,"",IF(COUNTIFS(m_teacher,BD$4,m_date,($G$2+22),m_active,1,m_start,"&lt;"&amp;1140,m_end,"&gt;"&amp;1080)&gt;1,"충돌",HYPERLINK("#'관리자_MASTER'!D"&amp;_xlfn.MAXIFS(m_row,m_teacher,BD$4,m_date,($G$2+22),m_active,1,m_start,"&lt;"&amp;1140,m_end,"&gt;"&amp;1080),INDEX(m_label,_xlfn.MAXIFS(m_row,m_teacher,BD$4,m_date,($G$2+22),m_active,1,m_start,"&lt;"&amp;1140,m_end,"&gt;"&amp;1080))))))</f>
        <v/>
      </c>
    </row>
    <row r="26" customFormat="false" ht="19.5" hidden="false" customHeight="true" outlineLevel="0" collapsed="false">
      <c r="A26" s="78"/>
      <c r="B26" s="85" t="s">
        <v>101</v>
      </c>
      <c r="C26" s="89" t="str">
        <f aca="false">IF(OR(C$4="",MONTH(($G$2+1))&lt;&gt;MONTH($C$2)),"",IF(COUNTIFS(m_teacher,C$4,m_date,($G$2+1),m_active,1,m_start,"&lt;"&amp;1440,m_end,"&gt;"&amp;1140)=0,"",IF(COUNTIFS(m_teacher,C$4,m_date,($G$2+1),m_active,1,m_start,"&lt;"&amp;1440,m_end,"&gt;"&amp;1140)&gt;1,"충돌",HYPERLINK("#'관리자_MASTER'!D"&amp;_xlfn.MAXIFS(m_row,m_teacher,C$4,m_date,($G$2+1),m_active,1,m_start,"&lt;"&amp;1440,m_end,"&gt;"&amp;1140),INDEX(m_label,_xlfn.MAXIFS(m_row,m_teacher,C$4,m_date,($G$2+1),m_active,1,m_start,"&lt;"&amp;1440,m_end,"&gt;"&amp;1140))))))</f>
        <v/>
      </c>
      <c r="D26" s="89" t="str">
        <f aca="false">IF(OR(D$4="",MONTH(($G$2+1))&lt;&gt;MONTH($C$2)),"",IF(COUNTIFS(m_teacher,D$4,m_date,($G$2+1),m_active,1,m_start,"&lt;"&amp;1440,m_end,"&gt;"&amp;1140)=0,"",IF(COUNTIFS(m_teacher,D$4,m_date,($G$2+1),m_active,1,m_start,"&lt;"&amp;1440,m_end,"&gt;"&amp;1140)&gt;1,"충돌",HYPERLINK("#'관리자_MASTER'!D"&amp;_xlfn.MAXIFS(m_row,m_teacher,D$4,m_date,($G$2+1),m_active,1,m_start,"&lt;"&amp;1440,m_end,"&gt;"&amp;1140),INDEX(m_label,_xlfn.MAXIFS(m_row,m_teacher,D$4,m_date,($G$2+1),m_active,1,m_start,"&lt;"&amp;1440,m_end,"&gt;"&amp;1140))))))</f>
        <v/>
      </c>
      <c r="E26" s="89" t="str">
        <f aca="false">IF(OR(E$4="",MONTH(($G$2+1))&lt;&gt;MONTH($C$2)),"",IF(COUNTIFS(m_teacher,E$4,m_date,($G$2+1),m_active,1,m_start,"&lt;"&amp;1440,m_end,"&gt;"&amp;1140)=0,"",IF(COUNTIFS(m_teacher,E$4,m_date,($G$2+1),m_active,1,m_start,"&lt;"&amp;1440,m_end,"&gt;"&amp;1140)&gt;1,"충돌",HYPERLINK("#'관리자_MASTER'!D"&amp;_xlfn.MAXIFS(m_row,m_teacher,E$4,m_date,($G$2+1),m_active,1,m_start,"&lt;"&amp;1440,m_end,"&gt;"&amp;1140),INDEX(m_label,_xlfn.MAXIFS(m_row,m_teacher,E$4,m_date,($G$2+1),m_active,1,m_start,"&lt;"&amp;1440,m_end,"&gt;"&amp;1140))))))</f>
        <v/>
      </c>
      <c r="F26" s="89" t="str">
        <f aca="false">IF(OR(F$4="",MONTH(($G$2+1))&lt;&gt;MONTH($C$2)),"",IF(COUNTIFS(m_teacher,F$4,m_date,($G$2+1),m_active,1,m_start,"&lt;"&amp;1440,m_end,"&gt;"&amp;1140)=0,"",IF(COUNTIFS(m_teacher,F$4,m_date,($G$2+1),m_active,1,m_start,"&lt;"&amp;1440,m_end,"&gt;"&amp;1140)&gt;1,"충돌",HYPERLINK("#'관리자_MASTER'!D"&amp;_xlfn.MAXIFS(m_row,m_teacher,F$4,m_date,($G$2+1),m_active,1,m_start,"&lt;"&amp;1440,m_end,"&gt;"&amp;1140),INDEX(m_label,_xlfn.MAXIFS(m_row,m_teacher,F$4,m_date,($G$2+1),m_active,1,m_start,"&lt;"&amp;1440,m_end,"&gt;"&amp;1140))))))</f>
        <v/>
      </c>
      <c r="G26" s="89" t="str">
        <f aca="false">IF(OR(G$4="",MONTH(($G$2+1))&lt;&gt;MONTH($C$2)),"",IF(COUNTIFS(m_teacher,G$4,m_date,($G$2+1),m_active,1,m_start,"&lt;"&amp;1440,m_end,"&gt;"&amp;1140)=0,"",IF(COUNTIFS(m_teacher,G$4,m_date,($G$2+1),m_active,1,m_start,"&lt;"&amp;1440,m_end,"&gt;"&amp;1140)&gt;1,"충돌",HYPERLINK("#'관리자_MASTER'!D"&amp;_xlfn.MAXIFS(m_row,m_teacher,G$4,m_date,($G$2+1),m_active,1,m_start,"&lt;"&amp;1440,m_end,"&gt;"&amp;1140),INDEX(m_label,_xlfn.MAXIFS(m_row,m_teacher,G$4,m_date,($G$2+1),m_active,1,m_start,"&lt;"&amp;1440,m_end,"&gt;"&amp;1140))))))</f>
        <v/>
      </c>
      <c r="H26" s="89" t="str">
        <f aca="false">IF(OR(H$4="",MONTH(($G$2+1))&lt;&gt;MONTH($C$2)),"",IF(COUNTIFS(m_teacher,H$4,m_date,($G$2+1),m_active,1,m_start,"&lt;"&amp;1440,m_end,"&gt;"&amp;1140)=0,"",IF(COUNTIFS(m_teacher,H$4,m_date,($G$2+1),m_active,1,m_start,"&lt;"&amp;1440,m_end,"&gt;"&amp;1140)&gt;1,"충돌",HYPERLINK("#'관리자_MASTER'!D"&amp;_xlfn.MAXIFS(m_row,m_teacher,H$4,m_date,($G$2+1),m_active,1,m_start,"&lt;"&amp;1440,m_end,"&gt;"&amp;1140),INDEX(m_label,_xlfn.MAXIFS(m_row,m_teacher,H$4,m_date,($G$2+1),m_active,1,m_start,"&lt;"&amp;1440,m_end,"&gt;"&amp;1140))))))</f>
        <v/>
      </c>
      <c r="I26" s="89" t="str">
        <f aca="false">IF(OR(I$4="",MONTH(($G$2+1))&lt;&gt;MONTH($C$2)),"",IF(COUNTIFS(m_teacher,I$4,m_date,($G$2+1),m_active,1,m_start,"&lt;"&amp;1440,m_end,"&gt;"&amp;1140)=0,"",IF(COUNTIFS(m_teacher,I$4,m_date,($G$2+1),m_active,1,m_start,"&lt;"&amp;1440,m_end,"&gt;"&amp;1140)&gt;1,"충돌",HYPERLINK("#'관리자_MASTER'!D"&amp;_xlfn.MAXIFS(m_row,m_teacher,I$4,m_date,($G$2+1),m_active,1,m_start,"&lt;"&amp;1440,m_end,"&gt;"&amp;1140),INDEX(m_label,_xlfn.MAXIFS(m_row,m_teacher,I$4,m_date,($G$2+1),m_active,1,m_start,"&lt;"&amp;1440,m_end,"&gt;"&amp;1140))))))</f>
        <v/>
      </c>
      <c r="J26" s="89" t="str">
        <f aca="false">IF(OR(J$4="",MONTH(($G$2+1))&lt;&gt;MONTH($C$2)),"",IF(COUNTIFS(m_teacher,J$4,m_date,($G$2+1),m_active,1,m_start,"&lt;"&amp;1440,m_end,"&gt;"&amp;1140)=0,"",IF(COUNTIFS(m_teacher,J$4,m_date,($G$2+1),m_active,1,m_start,"&lt;"&amp;1440,m_end,"&gt;"&amp;1140)&gt;1,"충돌",HYPERLINK("#'관리자_MASTER'!D"&amp;_xlfn.MAXIFS(m_row,m_teacher,J$4,m_date,($G$2+1),m_active,1,m_start,"&lt;"&amp;1440,m_end,"&gt;"&amp;1140),INDEX(m_label,_xlfn.MAXIFS(m_row,m_teacher,J$4,m_date,($G$2+1),m_active,1,m_start,"&lt;"&amp;1440,m_end,"&gt;"&amp;1140))))))</f>
        <v/>
      </c>
      <c r="K26" s="89" t="str">
        <f aca="false">IF(OR(K$4="",MONTH(($G$2+1))&lt;&gt;MONTH($C$2)),"",IF(COUNTIFS(m_teacher,K$4,m_date,($G$2+1),m_active,1,m_start,"&lt;"&amp;1440,m_end,"&gt;"&amp;1140)=0,"",IF(COUNTIFS(m_teacher,K$4,m_date,($G$2+1),m_active,1,m_start,"&lt;"&amp;1440,m_end,"&gt;"&amp;1140)&gt;1,"충돌",HYPERLINK("#'관리자_MASTER'!D"&amp;_xlfn.MAXIFS(m_row,m_teacher,K$4,m_date,($G$2+1),m_active,1,m_start,"&lt;"&amp;1440,m_end,"&gt;"&amp;1140),INDEX(m_label,_xlfn.MAXIFS(m_row,m_teacher,K$4,m_date,($G$2+1),m_active,1,m_start,"&lt;"&amp;1440,m_end,"&gt;"&amp;1140))))))</f>
        <v/>
      </c>
      <c r="L26" s="89" t="str">
        <f aca="false">IF(OR(L$4="",MONTH(($G$2+1))&lt;&gt;MONTH($C$2)),"",IF(COUNTIFS(m_teacher,L$4,m_date,($G$2+1),m_active,1,m_start,"&lt;"&amp;1440,m_end,"&gt;"&amp;1140)=0,"",IF(COUNTIFS(m_teacher,L$4,m_date,($G$2+1),m_active,1,m_start,"&lt;"&amp;1440,m_end,"&gt;"&amp;1140)&gt;1,"충돌",HYPERLINK("#'관리자_MASTER'!D"&amp;_xlfn.MAXIFS(m_row,m_teacher,L$4,m_date,($G$2+1),m_active,1,m_start,"&lt;"&amp;1440,m_end,"&gt;"&amp;1140),INDEX(m_label,_xlfn.MAXIFS(m_row,m_teacher,L$4,m_date,($G$2+1),m_active,1,m_start,"&lt;"&amp;1440,m_end,"&gt;"&amp;1140))))))</f>
        <v/>
      </c>
      <c r="M26" s="89" t="str">
        <f aca="false">IF(OR(M$4="",MONTH(($G$2+1))&lt;&gt;MONTH($C$2)),"",IF(COUNTIFS(m_teacher,M$4,m_date,($G$2+1),m_active,1,m_start,"&lt;"&amp;1440,m_end,"&gt;"&amp;1140)=0,"",IF(COUNTIFS(m_teacher,M$4,m_date,($G$2+1),m_active,1,m_start,"&lt;"&amp;1440,m_end,"&gt;"&amp;1140)&gt;1,"충돌",HYPERLINK("#'관리자_MASTER'!D"&amp;_xlfn.MAXIFS(m_row,m_teacher,M$4,m_date,($G$2+1),m_active,1,m_start,"&lt;"&amp;1440,m_end,"&gt;"&amp;1140),INDEX(m_label,_xlfn.MAXIFS(m_row,m_teacher,M$4,m_date,($G$2+1),m_active,1,m_start,"&lt;"&amp;1440,m_end,"&gt;"&amp;1140))))))</f>
        <v/>
      </c>
      <c r="N26" s="89" t="str">
        <f aca="false">IF(OR(N$4="",MONTH(($G$2+1))&lt;&gt;MONTH($C$2)),"",IF(COUNTIFS(m_teacher,N$4,m_date,($G$2+1),m_active,1,m_start,"&lt;"&amp;1440,m_end,"&gt;"&amp;1140)=0,"",IF(COUNTIFS(m_teacher,N$4,m_date,($G$2+1),m_active,1,m_start,"&lt;"&amp;1440,m_end,"&gt;"&amp;1140)&gt;1,"충돌",HYPERLINK("#'관리자_MASTER'!D"&amp;_xlfn.MAXIFS(m_row,m_teacher,N$4,m_date,($G$2+1),m_active,1,m_start,"&lt;"&amp;1440,m_end,"&gt;"&amp;1140),INDEX(m_label,_xlfn.MAXIFS(m_row,m_teacher,N$4,m_date,($G$2+1),m_active,1,m_start,"&lt;"&amp;1440,m_end,"&gt;"&amp;1140))))))</f>
        <v/>
      </c>
      <c r="O26" s="78"/>
      <c r="P26" s="85" t="s">
        <v>101</v>
      </c>
      <c r="Q26" s="89" t="str">
        <f aca="false">IF(OR(Q$4="",MONTH(($G$2+8))&lt;&gt;MONTH($C$2)),"",IF(COUNTIFS(m_teacher,Q$4,m_date,($G$2+8),m_active,1,m_start,"&lt;"&amp;1440,m_end,"&gt;"&amp;1140)=0,"",IF(COUNTIFS(m_teacher,Q$4,m_date,($G$2+8),m_active,1,m_start,"&lt;"&amp;1440,m_end,"&gt;"&amp;1140)&gt;1,"충돌",HYPERLINK("#'관리자_MASTER'!D"&amp;_xlfn.MAXIFS(m_row,m_teacher,Q$4,m_date,($G$2+8),m_active,1,m_start,"&lt;"&amp;1440,m_end,"&gt;"&amp;1140),INDEX(m_label,_xlfn.MAXIFS(m_row,m_teacher,Q$4,m_date,($G$2+8),m_active,1,m_start,"&lt;"&amp;1440,m_end,"&gt;"&amp;1140))))))</f>
        <v/>
      </c>
      <c r="R26" s="89" t="str">
        <f aca="false">IF(OR(R$4="",MONTH(($G$2+8))&lt;&gt;MONTH($C$2)),"",IF(COUNTIFS(m_teacher,R$4,m_date,($G$2+8),m_active,1,m_start,"&lt;"&amp;1440,m_end,"&gt;"&amp;1140)=0,"",IF(COUNTIFS(m_teacher,R$4,m_date,($G$2+8),m_active,1,m_start,"&lt;"&amp;1440,m_end,"&gt;"&amp;1140)&gt;1,"충돌",HYPERLINK("#'관리자_MASTER'!D"&amp;_xlfn.MAXIFS(m_row,m_teacher,R$4,m_date,($G$2+8),m_active,1,m_start,"&lt;"&amp;1440,m_end,"&gt;"&amp;1140),INDEX(m_label,_xlfn.MAXIFS(m_row,m_teacher,R$4,m_date,($G$2+8),m_active,1,m_start,"&lt;"&amp;1440,m_end,"&gt;"&amp;1140))))))</f>
        <v/>
      </c>
      <c r="S26" s="89" t="str">
        <f aca="false">IF(OR(S$4="",MONTH(($G$2+8))&lt;&gt;MONTH($C$2)),"",IF(COUNTIFS(m_teacher,S$4,m_date,($G$2+8),m_active,1,m_start,"&lt;"&amp;1440,m_end,"&gt;"&amp;1140)=0,"",IF(COUNTIFS(m_teacher,S$4,m_date,($G$2+8),m_active,1,m_start,"&lt;"&amp;1440,m_end,"&gt;"&amp;1140)&gt;1,"충돌",HYPERLINK("#'관리자_MASTER'!D"&amp;_xlfn.MAXIFS(m_row,m_teacher,S$4,m_date,($G$2+8),m_active,1,m_start,"&lt;"&amp;1440,m_end,"&gt;"&amp;1140),INDEX(m_label,_xlfn.MAXIFS(m_row,m_teacher,S$4,m_date,($G$2+8),m_active,1,m_start,"&lt;"&amp;1440,m_end,"&gt;"&amp;1140))))))</f>
        <v/>
      </c>
      <c r="T26" s="89" t="str">
        <f aca="false">IF(OR(T$4="",MONTH(($G$2+8))&lt;&gt;MONTH($C$2)),"",IF(COUNTIFS(m_teacher,T$4,m_date,($G$2+8),m_active,1,m_start,"&lt;"&amp;1440,m_end,"&gt;"&amp;1140)=0,"",IF(COUNTIFS(m_teacher,T$4,m_date,($G$2+8),m_active,1,m_start,"&lt;"&amp;1440,m_end,"&gt;"&amp;1140)&gt;1,"충돌",HYPERLINK("#'관리자_MASTER'!D"&amp;_xlfn.MAXIFS(m_row,m_teacher,T$4,m_date,($G$2+8),m_active,1,m_start,"&lt;"&amp;1440,m_end,"&gt;"&amp;1140),INDEX(m_label,_xlfn.MAXIFS(m_row,m_teacher,T$4,m_date,($G$2+8),m_active,1,m_start,"&lt;"&amp;1440,m_end,"&gt;"&amp;1140))))))</f>
        <v/>
      </c>
      <c r="U26" s="89" t="str">
        <f aca="false">IF(OR(U$4="",MONTH(($G$2+8))&lt;&gt;MONTH($C$2)),"",IF(COUNTIFS(m_teacher,U$4,m_date,($G$2+8),m_active,1,m_start,"&lt;"&amp;1440,m_end,"&gt;"&amp;1140)=0,"",IF(COUNTIFS(m_teacher,U$4,m_date,($G$2+8),m_active,1,m_start,"&lt;"&amp;1440,m_end,"&gt;"&amp;1140)&gt;1,"충돌",HYPERLINK("#'관리자_MASTER'!D"&amp;_xlfn.MAXIFS(m_row,m_teacher,U$4,m_date,($G$2+8),m_active,1,m_start,"&lt;"&amp;1440,m_end,"&gt;"&amp;1140),INDEX(m_label,_xlfn.MAXIFS(m_row,m_teacher,U$4,m_date,($G$2+8),m_active,1,m_start,"&lt;"&amp;1440,m_end,"&gt;"&amp;1140))))))</f>
        <v/>
      </c>
      <c r="V26" s="89" t="str">
        <f aca="false">IF(OR(V$4="",MONTH(($G$2+8))&lt;&gt;MONTH($C$2)),"",IF(COUNTIFS(m_teacher,V$4,m_date,($G$2+8),m_active,1,m_start,"&lt;"&amp;1440,m_end,"&gt;"&amp;1140)=0,"",IF(COUNTIFS(m_teacher,V$4,m_date,($G$2+8),m_active,1,m_start,"&lt;"&amp;1440,m_end,"&gt;"&amp;1140)&gt;1,"충돌",HYPERLINK("#'관리자_MASTER'!D"&amp;_xlfn.MAXIFS(m_row,m_teacher,V$4,m_date,($G$2+8),m_active,1,m_start,"&lt;"&amp;1440,m_end,"&gt;"&amp;1140),INDEX(m_label,_xlfn.MAXIFS(m_row,m_teacher,V$4,m_date,($G$2+8),m_active,1,m_start,"&lt;"&amp;1440,m_end,"&gt;"&amp;1140))))))</f>
        <v/>
      </c>
      <c r="W26" s="89" t="str">
        <f aca="false">IF(OR(W$4="",MONTH(($G$2+8))&lt;&gt;MONTH($C$2)),"",IF(COUNTIFS(m_teacher,W$4,m_date,($G$2+8),m_active,1,m_start,"&lt;"&amp;1440,m_end,"&gt;"&amp;1140)=0,"",IF(COUNTIFS(m_teacher,W$4,m_date,($G$2+8),m_active,1,m_start,"&lt;"&amp;1440,m_end,"&gt;"&amp;1140)&gt;1,"충돌",HYPERLINK("#'관리자_MASTER'!D"&amp;_xlfn.MAXIFS(m_row,m_teacher,W$4,m_date,($G$2+8),m_active,1,m_start,"&lt;"&amp;1440,m_end,"&gt;"&amp;1140),INDEX(m_label,_xlfn.MAXIFS(m_row,m_teacher,W$4,m_date,($G$2+8),m_active,1,m_start,"&lt;"&amp;1440,m_end,"&gt;"&amp;1140))))))</f>
        <v/>
      </c>
      <c r="X26" s="89" t="str">
        <f aca="false">IF(OR(X$4="",MONTH(($G$2+8))&lt;&gt;MONTH($C$2)),"",IF(COUNTIFS(m_teacher,X$4,m_date,($G$2+8),m_active,1,m_start,"&lt;"&amp;1440,m_end,"&gt;"&amp;1140)=0,"",IF(COUNTIFS(m_teacher,X$4,m_date,($G$2+8),m_active,1,m_start,"&lt;"&amp;1440,m_end,"&gt;"&amp;1140)&gt;1,"충돌",HYPERLINK("#'관리자_MASTER'!D"&amp;_xlfn.MAXIFS(m_row,m_teacher,X$4,m_date,($G$2+8),m_active,1,m_start,"&lt;"&amp;1440,m_end,"&gt;"&amp;1140),INDEX(m_label,_xlfn.MAXIFS(m_row,m_teacher,X$4,m_date,($G$2+8),m_active,1,m_start,"&lt;"&amp;1440,m_end,"&gt;"&amp;1140))))))</f>
        <v/>
      </c>
      <c r="Y26" s="89" t="str">
        <f aca="false">IF(OR(Y$4="",MONTH(($G$2+8))&lt;&gt;MONTH($C$2)),"",IF(COUNTIFS(m_teacher,Y$4,m_date,($G$2+8),m_active,1,m_start,"&lt;"&amp;1440,m_end,"&gt;"&amp;1140)=0,"",IF(COUNTIFS(m_teacher,Y$4,m_date,($G$2+8),m_active,1,m_start,"&lt;"&amp;1440,m_end,"&gt;"&amp;1140)&gt;1,"충돌",HYPERLINK("#'관리자_MASTER'!D"&amp;_xlfn.MAXIFS(m_row,m_teacher,Y$4,m_date,($G$2+8),m_active,1,m_start,"&lt;"&amp;1440,m_end,"&gt;"&amp;1140),INDEX(m_label,_xlfn.MAXIFS(m_row,m_teacher,Y$4,m_date,($G$2+8),m_active,1,m_start,"&lt;"&amp;1440,m_end,"&gt;"&amp;1140))))))</f>
        <v/>
      </c>
      <c r="Z26" s="89" t="str">
        <f aca="false">IF(OR(Z$4="",MONTH(($G$2+8))&lt;&gt;MONTH($C$2)),"",IF(COUNTIFS(m_teacher,Z$4,m_date,($G$2+8),m_active,1,m_start,"&lt;"&amp;1440,m_end,"&gt;"&amp;1140)=0,"",IF(COUNTIFS(m_teacher,Z$4,m_date,($G$2+8),m_active,1,m_start,"&lt;"&amp;1440,m_end,"&gt;"&amp;1140)&gt;1,"충돌",HYPERLINK("#'관리자_MASTER'!D"&amp;_xlfn.MAXIFS(m_row,m_teacher,Z$4,m_date,($G$2+8),m_active,1,m_start,"&lt;"&amp;1440,m_end,"&gt;"&amp;1140),INDEX(m_label,_xlfn.MAXIFS(m_row,m_teacher,Z$4,m_date,($G$2+8),m_active,1,m_start,"&lt;"&amp;1440,m_end,"&gt;"&amp;1140))))))</f>
        <v/>
      </c>
      <c r="AA26" s="89" t="str">
        <f aca="false">IF(OR(AA$4="",MONTH(($G$2+8))&lt;&gt;MONTH($C$2)),"",IF(COUNTIFS(m_teacher,AA$4,m_date,($G$2+8),m_active,1,m_start,"&lt;"&amp;1440,m_end,"&gt;"&amp;1140)=0,"",IF(COUNTIFS(m_teacher,AA$4,m_date,($G$2+8),m_active,1,m_start,"&lt;"&amp;1440,m_end,"&gt;"&amp;1140)&gt;1,"충돌",HYPERLINK("#'관리자_MASTER'!D"&amp;_xlfn.MAXIFS(m_row,m_teacher,AA$4,m_date,($G$2+8),m_active,1,m_start,"&lt;"&amp;1440,m_end,"&gt;"&amp;1140),INDEX(m_label,_xlfn.MAXIFS(m_row,m_teacher,AA$4,m_date,($G$2+8),m_active,1,m_start,"&lt;"&amp;1440,m_end,"&gt;"&amp;1140))))))</f>
        <v/>
      </c>
      <c r="AB26" s="89" t="str">
        <f aca="false">IF(OR(AB$4="",MONTH(($G$2+8))&lt;&gt;MONTH($C$2)),"",IF(COUNTIFS(m_teacher,AB$4,m_date,($G$2+8),m_active,1,m_start,"&lt;"&amp;1440,m_end,"&gt;"&amp;1140)=0,"",IF(COUNTIFS(m_teacher,AB$4,m_date,($G$2+8),m_active,1,m_start,"&lt;"&amp;1440,m_end,"&gt;"&amp;1140)&gt;1,"충돌",HYPERLINK("#'관리자_MASTER'!D"&amp;_xlfn.MAXIFS(m_row,m_teacher,AB$4,m_date,($G$2+8),m_active,1,m_start,"&lt;"&amp;1440,m_end,"&gt;"&amp;1140),INDEX(m_label,_xlfn.MAXIFS(m_row,m_teacher,AB$4,m_date,($G$2+8),m_active,1,m_start,"&lt;"&amp;1440,m_end,"&gt;"&amp;1140))))))</f>
        <v/>
      </c>
      <c r="AC26" s="78"/>
      <c r="AD26" s="85" t="s">
        <v>101</v>
      </c>
      <c r="AE26" s="89" t="str">
        <f aca="false">IF(OR(AE$4="",MONTH(($G$2+15))&lt;&gt;MONTH($C$2)),"",IF(COUNTIFS(m_teacher,AE$4,m_date,($G$2+15),m_active,1,m_start,"&lt;"&amp;1440,m_end,"&gt;"&amp;1140)=0,"",IF(COUNTIFS(m_teacher,AE$4,m_date,($G$2+15),m_active,1,m_start,"&lt;"&amp;1440,m_end,"&gt;"&amp;1140)&gt;1,"충돌",HYPERLINK("#'관리자_MASTER'!D"&amp;_xlfn.MAXIFS(m_row,m_teacher,AE$4,m_date,($G$2+15),m_active,1,m_start,"&lt;"&amp;1440,m_end,"&gt;"&amp;1140),INDEX(m_label,_xlfn.MAXIFS(m_row,m_teacher,AE$4,m_date,($G$2+15),m_active,1,m_start,"&lt;"&amp;1440,m_end,"&gt;"&amp;1140))))))</f>
        <v/>
      </c>
      <c r="AF26" s="89" t="str">
        <f aca="false">IF(OR(AF$4="",MONTH(($G$2+15))&lt;&gt;MONTH($C$2)),"",IF(COUNTIFS(m_teacher,AF$4,m_date,($G$2+15),m_active,1,m_start,"&lt;"&amp;1440,m_end,"&gt;"&amp;1140)=0,"",IF(COUNTIFS(m_teacher,AF$4,m_date,($G$2+15),m_active,1,m_start,"&lt;"&amp;1440,m_end,"&gt;"&amp;1140)&gt;1,"충돌",HYPERLINK("#'관리자_MASTER'!D"&amp;_xlfn.MAXIFS(m_row,m_teacher,AF$4,m_date,($G$2+15),m_active,1,m_start,"&lt;"&amp;1440,m_end,"&gt;"&amp;1140),INDEX(m_label,_xlfn.MAXIFS(m_row,m_teacher,AF$4,m_date,($G$2+15),m_active,1,m_start,"&lt;"&amp;1440,m_end,"&gt;"&amp;1140))))))</f>
        <v/>
      </c>
      <c r="AG26" s="89" t="str">
        <f aca="false">IF(OR(AG$4="",MONTH(($G$2+15))&lt;&gt;MONTH($C$2)),"",IF(COUNTIFS(m_teacher,AG$4,m_date,($G$2+15),m_active,1,m_start,"&lt;"&amp;1440,m_end,"&gt;"&amp;1140)=0,"",IF(COUNTIFS(m_teacher,AG$4,m_date,($G$2+15),m_active,1,m_start,"&lt;"&amp;1440,m_end,"&gt;"&amp;1140)&gt;1,"충돌",HYPERLINK("#'관리자_MASTER'!D"&amp;_xlfn.MAXIFS(m_row,m_teacher,AG$4,m_date,($G$2+15),m_active,1,m_start,"&lt;"&amp;1440,m_end,"&gt;"&amp;1140),INDEX(m_label,_xlfn.MAXIFS(m_row,m_teacher,AG$4,m_date,($G$2+15),m_active,1,m_start,"&lt;"&amp;1440,m_end,"&gt;"&amp;1140))))))</f>
        <v/>
      </c>
      <c r="AH26" s="89" t="str">
        <f aca="false">IF(OR(AH$4="",MONTH(($G$2+15))&lt;&gt;MONTH($C$2)),"",IF(COUNTIFS(m_teacher,AH$4,m_date,($G$2+15),m_active,1,m_start,"&lt;"&amp;1440,m_end,"&gt;"&amp;1140)=0,"",IF(COUNTIFS(m_teacher,AH$4,m_date,($G$2+15),m_active,1,m_start,"&lt;"&amp;1440,m_end,"&gt;"&amp;1140)&gt;1,"충돌",HYPERLINK("#'관리자_MASTER'!D"&amp;_xlfn.MAXIFS(m_row,m_teacher,AH$4,m_date,($G$2+15),m_active,1,m_start,"&lt;"&amp;1440,m_end,"&gt;"&amp;1140),INDEX(m_label,_xlfn.MAXIFS(m_row,m_teacher,AH$4,m_date,($G$2+15),m_active,1,m_start,"&lt;"&amp;1440,m_end,"&gt;"&amp;1140))))))</f>
        <v/>
      </c>
      <c r="AI26" s="89" t="str">
        <f aca="false">IF(OR(AI$4="",MONTH(($G$2+15))&lt;&gt;MONTH($C$2)),"",IF(COUNTIFS(m_teacher,AI$4,m_date,($G$2+15),m_active,1,m_start,"&lt;"&amp;1440,m_end,"&gt;"&amp;1140)=0,"",IF(COUNTIFS(m_teacher,AI$4,m_date,($G$2+15),m_active,1,m_start,"&lt;"&amp;1440,m_end,"&gt;"&amp;1140)&gt;1,"충돌",HYPERLINK("#'관리자_MASTER'!D"&amp;_xlfn.MAXIFS(m_row,m_teacher,AI$4,m_date,($G$2+15),m_active,1,m_start,"&lt;"&amp;1440,m_end,"&gt;"&amp;1140),INDEX(m_label,_xlfn.MAXIFS(m_row,m_teacher,AI$4,m_date,($G$2+15),m_active,1,m_start,"&lt;"&amp;1440,m_end,"&gt;"&amp;1140))))))</f>
        <v/>
      </c>
      <c r="AJ26" s="89" t="str">
        <f aca="false">IF(OR(AJ$4="",MONTH(($G$2+15))&lt;&gt;MONTH($C$2)),"",IF(COUNTIFS(m_teacher,AJ$4,m_date,($G$2+15),m_active,1,m_start,"&lt;"&amp;1440,m_end,"&gt;"&amp;1140)=0,"",IF(COUNTIFS(m_teacher,AJ$4,m_date,($G$2+15),m_active,1,m_start,"&lt;"&amp;1440,m_end,"&gt;"&amp;1140)&gt;1,"충돌",HYPERLINK("#'관리자_MASTER'!D"&amp;_xlfn.MAXIFS(m_row,m_teacher,AJ$4,m_date,($G$2+15),m_active,1,m_start,"&lt;"&amp;1440,m_end,"&gt;"&amp;1140),INDEX(m_label,_xlfn.MAXIFS(m_row,m_teacher,AJ$4,m_date,($G$2+15),m_active,1,m_start,"&lt;"&amp;1440,m_end,"&gt;"&amp;1140))))))</f>
        <v/>
      </c>
      <c r="AK26" s="89" t="str">
        <f aca="false">IF(OR(AK$4="",MONTH(($G$2+15))&lt;&gt;MONTH($C$2)),"",IF(COUNTIFS(m_teacher,AK$4,m_date,($G$2+15),m_active,1,m_start,"&lt;"&amp;1440,m_end,"&gt;"&amp;1140)=0,"",IF(COUNTIFS(m_teacher,AK$4,m_date,($G$2+15),m_active,1,m_start,"&lt;"&amp;1440,m_end,"&gt;"&amp;1140)&gt;1,"충돌",HYPERLINK("#'관리자_MASTER'!D"&amp;_xlfn.MAXIFS(m_row,m_teacher,AK$4,m_date,($G$2+15),m_active,1,m_start,"&lt;"&amp;1440,m_end,"&gt;"&amp;1140),INDEX(m_label,_xlfn.MAXIFS(m_row,m_teacher,AK$4,m_date,($G$2+15),m_active,1,m_start,"&lt;"&amp;1440,m_end,"&gt;"&amp;1140))))))</f>
        <v/>
      </c>
      <c r="AL26" s="89" t="str">
        <f aca="false">IF(OR(AL$4="",MONTH(($G$2+15))&lt;&gt;MONTH($C$2)),"",IF(COUNTIFS(m_teacher,AL$4,m_date,($G$2+15),m_active,1,m_start,"&lt;"&amp;1440,m_end,"&gt;"&amp;1140)=0,"",IF(COUNTIFS(m_teacher,AL$4,m_date,($G$2+15),m_active,1,m_start,"&lt;"&amp;1440,m_end,"&gt;"&amp;1140)&gt;1,"충돌",HYPERLINK("#'관리자_MASTER'!D"&amp;_xlfn.MAXIFS(m_row,m_teacher,AL$4,m_date,($G$2+15),m_active,1,m_start,"&lt;"&amp;1440,m_end,"&gt;"&amp;1140),INDEX(m_label,_xlfn.MAXIFS(m_row,m_teacher,AL$4,m_date,($G$2+15),m_active,1,m_start,"&lt;"&amp;1440,m_end,"&gt;"&amp;1140))))))</f>
        <v/>
      </c>
      <c r="AM26" s="89" t="str">
        <f aca="false">IF(OR(AM$4="",MONTH(($G$2+15))&lt;&gt;MONTH($C$2)),"",IF(COUNTIFS(m_teacher,AM$4,m_date,($G$2+15),m_active,1,m_start,"&lt;"&amp;1440,m_end,"&gt;"&amp;1140)=0,"",IF(COUNTIFS(m_teacher,AM$4,m_date,($G$2+15),m_active,1,m_start,"&lt;"&amp;1440,m_end,"&gt;"&amp;1140)&gt;1,"충돌",HYPERLINK("#'관리자_MASTER'!D"&amp;_xlfn.MAXIFS(m_row,m_teacher,AM$4,m_date,($G$2+15),m_active,1,m_start,"&lt;"&amp;1440,m_end,"&gt;"&amp;1140),INDEX(m_label,_xlfn.MAXIFS(m_row,m_teacher,AM$4,m_date,($G$2+15),m_active,1,m_start,"&lt;"&amp;1440,m_end,"&gt;"&amp;1140))))))</f>
        <v/>
      </c>
      <c r="AN26" s="89" t="str">
        <f aca="false">IF(OR(AN$4="",MONTH(($G$2+15))&lt;&gt;MONTH($C$2)),"",IF(COUNTIFS(m_teacher,AN$4,m_date,($G$2+15),m_active,1,m_start,"&lt;"&amp;1440,m_end,"&gt;"&amp;1140)=0,"",IF(COUNTIFS(m_teacher,AN$4,m_date,($G$2+15),m_active,1,m_start,"&lt;"&amp;1440,m_end,"&gt;"&amp;1140)&gt;1,"충돌",HYPERLINK("#'관리자_MASTER'!D"&amp;_xlfn.MAXIFS(m_row,m_teacher,AN$4,m_date,($G$2+15),m_active,1,m_start,"&lt;"&amp;1440,m_end,"&gt;"&amp;1140),INDEX(m_label,_xlfn.MAXIFS(m_row,m_teacher,AN$4,m_date,($G$2+15),m_active,1,m_start,"&lt;"&amp;1440,m_end,"&gt;"&amp;1140))))))</f>
        <v/>
      </c>
      <c r="AO26" s="89" t="str">
        <f aca="false">IF(OR(AO$4="",MONTH(($G$2+15))&lt;&gt;MONTH($C$2)),"",IF(COUNTIFS(m_teacher,AO$4,m_date,($G$2+15),m_active,1,m_start,"&lt;"&amp;1440,m_end,"&gt;"&amp;1140)=0,"",IF(COUNTIFS(m_teacher,AO$4,m_date,($G$2+15),m_active,1,m_start,"&lt;"&amp;1440,m_end,"&gt;"&amp;1140)&gt;1,"충돌",HYPERLINK("#'관리자_MASTER'!D"&amp;_xlfn.MAXIFS(m_row,m_teacher,AO$4,m_date,($G$2+15),m_active,1,m_start,"&lt;"&amp;1440,m_end,"&gt;"&amp;1140),INDEX(m_label,_xlfn.MAXIFS(m_row,m_teacher,AO$4,m_date,($G$2+15),m_active,1,m_start,"&lt;"&amp;1440,m_end,"&gt;"&amp;1140))))))</f>
        <v/>
      </c>
      <c r="AP26" s="89" t="str">
        <f aca="false">IF(OR(AP$4="",MONTH(($G$2+15))&lt;&gt;MONTH($C$2)),"",IF(COUNTIFS(m_teacher,AP$4,m_date,($G$2+15),m_active,1,m_start,"&lt;"&amp;1440,m_end,"&gt;"&amp;1140)=0,"",IF(COUNTIFS(m_teacher,AP$4,m_date,($G$2+15),m_active,1,m_start,"&lt;"&amp;1440,m_end,"&gt;"&amp;1140)&gt;1,"충돌",HYPERLINK("#'관리자_MASTER'!D"&amp;_xlfn.MAXIFS(m_row,m_teacher,AP$4,m_date,($G$2+15),m_active,1,m_start,"&lt;"&amp;1440,m_end,"&gt;"&amp;1140),INDEX(m_label,_xlfn.MAXIFS(m_row,m_teacher,AP$4,m_date,($G$2+15),m_active,1,m_start,"&lt;"&amp;1440,m_end,"&gt;"&amp;1140))))))</f>
        <v/>
      </c>
      <c r="AQ26" s="78"/>
      <c r="AR26" s="85" t="s">
        <v>101</v>
      </c>
      <c r="AS26" s="89" t="str">
        <f aca="false">IF(OR(AS$4="",MONTH(($G$2+22))&lt;&gt;MONTH($C$2)),"",IF(COUNTIFS(m_teacher,AS$4,m_date,($G$2+22),m_active,1,m_start,"&lt;"&amp;1440,m_end,"&gt;"&amp;1140)=0,"",IF(COUNTIFS(m_teacher,AS$4,m_date,($G$2+22),m_active,1,m_start,"&lt;"&amp;1440,m_end,"&gt;"&amp;1140)&gt;1,"충돌",HYPERLINK("#'관리자_MASTER'!D"&amp;_xlfn.MAXIFS(m_row,m_teacher,AS$4,m_date,($G$2+22),m_active,1,m_start,"&lt;"&amp;1440,m_end,"&gt;"&amp;1140),INDEX(m_label,_xlfn.MAXIFS(m_row,m_teacher,AS$4,m_date,($G$2+22),m_active,1,m_start,"&lt;"&amp;1440,m_end,"&gt;"&amp;1140))))))</f>
        <v/>
      </c>
      <c r="AT26" s="89" t="str">
        <f aca="false">IF(OR(AT$4="",MONTH(($G$2+22))&lt;&gt;MONTH($C$2)),"",IF(COUNTIFS(m_teacher,AT$4,m_date,($G$2+22),m_active,1,m_start,"&lt;"&amp;1440,m_end,"&gt;"&amp;1140)=0,"",IF(COUNTIFS(m_teacher,AT$4,m_date,($G$2+22),m_active,1,m_start,"&lt;"&amp;1440,m_end,"&gt;"&amp;1140)&gt;1,"충돌",HYPERLINK("#'관리자_MASTER'!D"&amp;_xlfn.MAXIFS(m_row,m_teacher,AT$4,m_date,($G$2+22),m_active,1,m_start,"&lt;"&amp;1440,m_end,"&gt;"&amp;1140),INDEX(m_label,_xlfn.MAXIFS(m_row,m_teacher,AT$4,m_date,($G$2+22),m_active,1,m_start,"&lt;"&amp;1440,m_end,"&gt;"&amp;1140))))))</f>
        <v/>
      </c>
      <c r="AU26" s="89" t="str">
        <f aca="false">IF(OR(AU$4="",MONTH(($G$2+22))&lt;&gt;MONTH($C$2)),"",IF(COUNTIFS(m_teacher,AU$4,m_date,($G$2+22),m_active,1,m_start,"&lt;"&amp;1440,m_end,"&gt;"&amp;1140)=0,"",IF(COUNTIFS(m_teacher,AU$4,m_date,($G$2+22),m_active,1,m_start,"&lt;"&amp;1440,m_end,"&gt;"&amp;1140)&gt;1,"충돌",HYPERLINK("#'관리자_MASTER'!D"&amp;_xlfn.MAXIFS(m_row,m_teacher,AU$4,m_date,($G$2+22),m_active,1,m_start,"&lt;"&amp;1440,m_end,"&gt;"&amp;1140),INDEX(m_label,_xlfn.MAXIFS(m_row,m_teacher,AU$4,m_date,($G$2+22),m_active,1,m_start,"&lt;"&amp;1440,m_end,"&gt;"&amp;1140))))))</f>
        <v/>
      </c>
      <c r="AV26" s="89" t="str">
        <f aca="false">IF(OR(AV$4="",MONTH(($G$2+22))&lt;&gt;MONTH($C$2)),"",IF(COUNTIFS(m_teacher,AV$4,m_date,($G$2+22),m_active,1,m_start,"&lt;"&amp;1440,m_end,"&gt;"&amp;1140)=0,"",IF(COUNTIFS(m_teacher,AV$4,m_date,($G$2+22),m_active,1,m_start,"&lt;"&amp;1440,m_end,"&gt;"&amp;1140)&gt;1,"충돌",HYPERLINK("#'관리자_MASTER'!D"&amp;_xlfn.MAXIFS(m_row,m_teacher,AV$4,m_date,($G$2+22),m_active,1,m_start,"&lt;"&amp;1440,m_end,"&gt;"&amp;1140),INDEX(m_label,_xlfn.MAXIFS(m_row,m_teacher,AV$4,m_date,($G$2+22),m_active,1,m_start,"&lt;"&amp;1440,m_end,"&gt;"&amp;1140))))))</f>
        <v/>
      </c>
      <c r="AW26" s="89" t="str">
        <f aca="false">IF(OR(AW$4="",MONTH(($G$2+22))&lt;&gt;MONTH($C$2)),"",IF(COUNTIFS(m_teacher,AW$4,m_date,($G$2+22),m_active,1,m_start,"&lt;"&amp;1440,m_end,"&gt;"&amp;1140)=0,"",IF(COUNTIFS(m_teacher,AW$4,m_date,($G$2+22),m_active,1,m_start,"&lt;"&amp;1440,m_end,"&gt;"&amp;1140)&gt;1,"충돌",HYPERLINK("#'관리자_MASTER'!D"&amp;_xlfn.MAXIFS(m_row,m_teacher,AW$4,m_date,($G$2+22),m_active,1,m_start,"&lt;"&amp;1440,m_end,"&gt;"&amp;1140),INDEX(m_label,_xlfn.MAXIFS(m_row,m_teacher,AW$4,m_date,($G$2+22),m_active,1,m_start,"&lt;"&amp;1440,m_end,"&gt;"&amp;1140))))))</f>
        <v/>
      </c>
      <c r="AX26" s="89" t="str">
        <f aca="false">IF(OR(AX$4="",MONTH(($G$2+22))&lt;&gt;MONTH($C$2)),"",IF(COUNTIFS(m_teacher,AX$4,m_date,($G$2+22),m_active,1,m_start,"&lt;"&amp;1440,m_end,"&gt;"&amp;1140)=0,"",IF(COUNTIFS(m_teacher,AX$4,m_date,($G$2+22),m_active,1,m_start,"&lt;"&amp;1440,m_end,"&gt;"&amp;1140)&gt;1,"충돌",HYPERLINK("#'관리자_MASTER'!D"&amp;_xlfn.MAXIFS(m_row,m_teacher,AX$4,m_date,($G$2+22),m_active,1,m_start,"&lt;"&amp;1440,m_end,"&gt;"&amp;1140),INDEX(m_label,_xlfn.MAXIFS(m_row,m_teacher,AX$4,m_date,($G$2+22),m_active,1,m_start,"&lt;"&amp;1440,m_end,"&gt;"&amp;1140))))))</f>
        <v/>
      </c>
      <c r="AY26" s="89" t="str">
        <f aca="false">IF(OR(AY$4="",MONTH(($G$2+22))&lt;&gt;MONTH($C$2)),"",IF(COUNTIFS(m_teacher,AY$4,m_date,($G$2+22),m_active,1,m_start,"&lt;"&amp;1440,m_end,"&gt;"&amp;1140)=0,"",IF(COUNTIFS(m_teacher,AY$4,m_date,($G$2+22),m_active,1,m_start,"&lt;"&amp;1440,m_end,"&gt;"&amp;1140)&gt;1,"충돌",HYPERLINK("#'관리자_MASTER'!D"&amp;_xlfn.MAXIFS(m_row,m_teacher,AY$4,m_date,($G$2+22),m_active,1,m_start,"&lt;"&amp;1440,m_end,"&gt;"&amp;1140),INDEX(m_label,_xlfn.MAXIFS(m_row,m_teacher,AY$4,m_date,($G$2+22),m_active,1,m_start,"&lt;"&amp;1440,m_end,"&gt;"&amp;1140))))))</f>
        <v/>
      </c>
      <c r="AZ26" s="89" t="str">
        <f aca="false">IF(OR(AZ$4="",MONTH(($G$2+22))&lt;&gt;MONTH($C$2)),"",IF(COUNTIFS(m_teacher,AZ$4,m_date,($G$2+22),m_active,1,m_start,"&lt;"&amp;1440,m_end,"&gt;"&amp;1140)=0,"",IF(COUNTIFS(m_teacher,AZ$4,m_date,($G$2+22),m_active,1,m_start,"&lt;"&amp;1440,m_end,"&gt;"&amp;1140)&gt;1,"충돌",HYPERLINK("#'관리자_MASTER'!D"&amp;_xlfn.MAXIFS(m_row,m_teacher,AZ$4,m_date,($G$2+22),m_active,1,m_start,"&lt;"&amp;1440,m_end,"&gt;"&amp;1140),INDEX(m_label,_xlfn.MAXIFS(m_row,m_teacher,AZ$4,m_date,($G$2+22),m_active,1,m_start,"&lt;"&amp;1440,m_end,"&gt;"&amp;1140))))))</f>
        <v/>
      </c>
      <c r="BA26" s="89" t="str">
        <f aca="false">IF(OR(BA$4="",MONTH(($G$2+22))&lt;&gt;MONTH($C$2)),"",IF(COUNTIFS(m_teacher,BA$4,m_date,($G$2+22),m_active,1,m_start,"&lt;"&amp;1440,m_end,"&gt;"&amp;1140)=0,"",IF(COUNTIFS(m_teacher,BA$4,m_date,($G$2+22),m_active,1,m_start,"&lt;"&amp;1440,m_end,"&gt;"&amp;1140)&gt;1,"충돌",HYPERLINK("#'관리자_MASTER'!D"&amp;_xlfn.MAXIFS(m_row,m_teacher,BA$4,m_date,($G$2+22),m_active,1,m_start,"&lt;"&amp;1440,m_end,"&gt;"&amp;1140),INDEX(m_label,_xlfn.MAXIFS(m_row,m_teacher,BA$4,m_date,($G$2+22),m_active,1,m_start,"&lt;"&amp;1440,m_end,"&gt;"&amp;1140))))))</f>
        <v/>
      </c>
      <c r="BB26" s="89" t="str">
        <f aca="false">IF(OR(BB$4="",MONTH(($G$2+22))&lt;&gt;MONTH($C$2)),"",IF(COUNTIFS(m_teacher,BB$4,m_date,($G$2+22),m_active,1,m_start,"&lt;"&amp;1440,m_end,"&gt;"&amp;1140)=0,"",IF(COUNTIFS(m_teacher,BB$4,m_date,($G$2+22),m_active,1,m_start,"&lt;"&amp;1440,m_end,"&gt;"&amp;1140)&gt;1,"충돌",HYPERLINK("#'관리자_MASTER'!D"&amp;_xlfn.MAXIFS(m_row,m_teacher,BB$4,m_date,($G$2+22),m_active,1,m_start,"&lt;"&amp;1440,m_end,"&gt;"&amp;1140),INDEX(m_label,_xlfn.MAXIFS(m_row,m_teacher,BB$4,m_date,($G$2+22),m_active,1,m_start,"&lt;"&amp;1440,m_end,"&gt;"&amp;1140))))))</f>
        <v/>
      </c>
      <c r="BC26" s="89" t="str">
        <f aca="false">IF(OR(BC$4="",MONTH(($G$2+22))&lt;&gt;MONTH($C$2)),"",IF(COUNTIFS(m_teacher,BC$4,m_date,($G$2+22),m_active,1,m_start,"&lt;"&amp;1440,m_end,"&gt;"&amp;1140)=0,"",IF(COUNTIFS(m_teacher,BC$4,m_date,($G$2+22),m_active,1,m_start,"&lt;"&amp;1440,m_end,"&gt;"&amp;1140)&gt;1,"충돌",HYPERLINK("#'관리자_MASTER'!D"&amp;_xlfn.MAXIFS(m_row,m_teacher,BC$4,m_date,($G$2+22),m_active,1,m_start,"&lt;"&amp;1440,m_end,"&gt;"&amp;1140),INDEX(m_label,_xlfn.MAXIFS(m_row,m_teacher,BC$4,m_date,($G$2+22),m_active,1,m_start,"&lt;"&amp;1440,m_end,"&gt;"&amp;1140))))))</f>
        <v/>
      </c>
      <c r="BD26" s="89" t="str">
        <f aca="false">IF(OR(BD$4="",MONTH(($G$2+22))&lt;&gt;MONTH($C$2)),"",IF(COUNTIFS(m_teacher,BD$4,m_date,($G$2+22),m_active,1,m_start,"&lt;"&amp;1440,m_end,"&gt;"&amp;1140)=0,"",IF(COUNTIFS(m_teacher,BD$4,m_date,($G$2+22),m_active,1,m_start,"&lt;"&amp;1440,m_end,"&gt;"&amp;1140)&gt;1,"충돌",HYPERLINK("#'관리자_MASTER'!D"&amp;_xlfn.MAXIFS(m_row,m_teacher,BD$4,m_date,($G$2+22),m_active,1,m_start,"&lt;"&amp;1440,m_end,"&gt;"&amp;1140),INDEX(m_label,_xlfn.MAXIFS(m_row,m_teacher,BD$4,m_date,($G$2+22),m_active,1,m_start,"&lt;"&amp;1440,m_end,"&gt;"&amp;1140))))))</f>
        <v/>
      </c>
    </row>
    <row r="27" customFormat="false" ht="19.5" hidden="false" customHeight="true" outlineLevel="0" collapsed="false">
      <c r="A27" s="78" t="str">
        <f aca="false">IF(MONTH(($G$2+2))&lt;&gt;MONTH($C$2),"",CHOOSE(WEEKDAY(($G$2+2),2),"월","화","수","목","금","토","일")&amp;CHAR(10)&amp;TEXT(($G$2+2),"m/d"))</f>
        <v>수
2/3</v>
      </c>
      <c r="B27" s="79" t="s">
        <v>91</v>
      </c>
      <c r="C27" s="80" t="str">
        <f aca="false">IF(OR(C$4="",MONTH(($G$2+2))&lt;&gt;MONTH($C$2)),"",IF(COUNTIFS(m_teacher,C$4,m_date,($G$2+2),m_active,1,m_start,"&lt;"&amp;600,m_end,"&gt;"&amp;0)=0,"",IF(COUNTIFS(m_teacher,C$4,m_date,($G$2+2),m_active,1,m_start,"&lt;"&amp;600,m_end,"&gt;"&amp;0)&gt;1,"충돌",HYPERLINK("#'관리자_MASTER'!D"&amp;_xlfn.MAXIFS(m_row,m_teacher,C$4,m_date,($G$2+2),m_active,1,m_start,"&lt;"&amp;600,m_end,"&gt;"&amp;0),INDEX(m_label,_xlfn.MAXIFS(m_row,m_teacher,C$4,m_date,($G$2+2),m_active,1,m_start,"&lt;"&amp;600,m_end,"&gt;"&amp;0))))))</f>
        <v/>
      </c>
      <c r="D27" s="80" t="str">
        <f aca="false">IF(OR(D$4="",MONTH(($G$2+2))&lt;&gt;MONTH($C$2)),"",IF(COUNTIFS(m_teacher,D$4,m_date,($G$2+2),m_active,1,m_start,"&lt;"&amp;600,m_end,"&gt;"&amp;0)=0,"",IF(COUNTIFS(m_teacher,D$4,m_date,($G$2+2),m_active,1,m_start,"&lt;"&amp;600,m_end,"&gt;"&amp;0)&gt;1,"충돌",HYPERLINK("#'관리자_MASTER'!D"&amp;_xlfn.MAXIFS(m_row,m_teacher,D$4,m_date,($G$2+2),m_active,1,m_start,"&lt;"&amp;600,m_end,"&gt;"&amp;0),INDEX(m_label,_xlfn.MAXIFS(m_row,m_teacher,D$4,m_date,($G$2+2),m_active,1,m_start,"&lt;"&amp;600,m_end,"&gt;"&amp;0))))))</f>
        <v/>
      </c>
      <c r="E27" s="80" t="str">
        <f aca="false">IF(OR(E$4="",MONTH(($G$2+2))&lt;&gt;MONTH($C$2)),"",IF(COUNTIFS(m_teacher,E$4,m_date,($G$2+2),m_active,1,m_start,"&lt;"&amp;600,m_end,"&gt;"&amp;0)=0,"",IF(COUNTIFS(m_teacher,E$4,m_date,($G$2+2),m_active,1,m_start,"&lt;"&amp;600,m_end,"&gt;"&amp;0)&gt;1,"충돌",HYPERLINK("#'관리자_MASTER'!D"&amp;_xlfn.MAXIFS(m_row,m_teacher,E$4,m_date,($G$2+2),m_active,1,m_start,"&lt;"&amp;600,m_end,"&gt;"&amp;0),INDEX(m_label,_xlfn.MAXIFS(m_row,m_teacher,E$4,m_date,($G$2+2),m_active,1,m_start,"&lt;"&amp;600,m_end,"&gt;"&amp;0))))))</f>
        <v/>
      </c>
      <c r="F27" s="80" t="str">
        <f aca="false">IF(OR(F$4="",MONTH(($G$2+2))&lt;&gt;MONTH($C$2)),"",IF(COUNTIFS(m_teacher,F$4,m_date,($G$2+2),m_active,1,m_start,"&lt;"&amp;600,m_end,"&gt;"&amp;0)=0,"",IF(COUNTIFS(m_teacher,F$4,m_date,($G$2+2),m_active,1,m_start,"&lt;"&amp;600,m_end,"&gt;"&amp;0)&gt;1,"충돌",HYPERLINK("#'관리자_MASTER'!D"&amp;_xlfn.MAXIFS(m_row,m_teacher,F$4,m_date,($G$2+2),m_active,1,m_start,"&lt;"&amp;600,m_end,"&gt;"&amp;0),INDEX(m_label,_xlfn.MAXIFS(m_row,m_teacher,F$4,m_date,($G$2+2),m_active,1,m_start,"&lt;"&amp;600,m_end,"&gt;"&amp;0))))))</f>
        <v/>
      </c>
      <c r="G27" s="80" t="str">
        <f aca="false">IF(OR(G$4="",MONTH(($G$2+2))&lt;&gt;MONTH($C$2)),"",IF(COUNTIFS(m_teacher,G$4,m_date,($G$2+2),m_active,1,m_start,"&lt;"&amp;600,m_end,"&gt;"&amp;0)=0,"",IF(COUNTIFS(m_teacher,G$4,m_date,($G$2+2),m_active,1,m_start,"&lt;"&amp;600,m_end,"&gt;"&amp;0)&gt;1,"충돌",HYPERLINK("#'관리자_MASTER'!D"&amp;_xlfn.MAXIFS(m_row,m_teacher,G$4,m_date,($G$2+2),m_active,1,m_start,"&lt;"&amp;600,m_end,"&gt;"&amp;0),INDEX(m_label,_xlfn.MAXIFS(m_row,m_teacher,G$4,m_date,($G$2+2),m_active,1,m_start,"&lt;"&amp;600,m_end,"&gt;"&amp;0))))))</f>
        <v/>
      </c>
      <c r="H27" s="80" t="str">
        <f aca="false">IF(OR(H$4="",MONTH(($G$2+2))&lt;&gt;MONTH($C$2)),"",IF(COUNTIFS(m_teacher,H$4,m_date,($G$2+2),m_active,1,m_start,"&lt;"&amp;600,m_end,"&gt;"&amp;0)=0,"",IF(COUNTIFS(m_teacher,H$4,m_date,($G$2+2),m_active,1,m_start,"&lt;"&amp;600,m_end,"&gt;"&amp;0)&gt;1,"충돌",HYPERLINK("#'관리자_MASTER'!D"&amp;_xlfn.MAXIFS(m_row,m_teacher,H$4,m_date,($G$2+2),m_active,1,m_start,"&lt;"&amp;600,m_end,"&gt;"&amp;0),INDEX(m_label,_xlfn.MAXIFS(m_row,m_teacher,H$4,m_date,($G$2+2),m_active,1,m_start,"&lt;"&amp;600,m_end,"&gt;"&amp;0))))))</f>
        <v/>
      </c>
      <c r="I27" s="80" t="str">
        <f aca="false">IF(OR(I$4="",MONTH(($G$2+2))&lt;&gt;MONTH($C$2)),"",IF(COUNTIFS(m_teacher,I$4,m_date,($G$2+2),m_active,1,m_start,"&lt;"&amp;600,m_end,"&gt;"&amp;0)=0,"",IF(COUNTIFS(m_teacher,I$4,m_date,($G$2+2),m_active,1,m_start,"&lt;"&amp;600,m_end,"&gt;"&amp;0)&gt;1,"충돌",HYPERLINK("#'관리자_MASTER'!D"&amp;_xlfn.MAXIFS(m_row,m_teacher,I$4,m_date,($G$2+2),m_active,1,m_start,"&lt;"&amp;600,m_end,"&gt;"&amp;0),INDEX(m_label,_xlfn.MAXIFS(m_row,m_teacher,I$4,m_date,($G$2+2),m_active,1,m_start,"&lt;"&amp;600,m_end,"&gt;"&amp;0))))))</f>
        <v/>
      </c>
      <c r="J27" s="80" t="str">
        <f aca="false">IF(OR(J$4="",MONTH(($G$2+2))&lt;&gt;MONTH($C$2)),"",IF(COUNTIFS(m_teacher,J$4,m_date,($G$2+2),m_active,1,m_start,"&lt;"&amp;600,m_end,"&gt;"&amp;0)=0,"",IF(COUNTIFS(m_teacher,J$4,m_date,($G$2+2),m_active,1,m_start,"&lt;"&amp;600,m_end,"&gt;"&amp;0)&gt;1,"충돌",HYPERLINK("#'관리자_MASTER'!D"&amp;_xlfn.MAXIFS(m_row,m_teacher,J$4,m_date,($G$2+2),m_active,1,m_start,"&lt;"&amp;600,m_end,"&gt;"&amp;0),INDEX(m_label,_xlfn.MAXIFS(m_row,m_teacher,J$4,m_date,($G$2+2),m_active,1,m_start,"&lt;"&amp;600,m_end,"&gt;"&amp;0))))))</f>
        <v/>
      </c>
      <c r="K27" s="80" t="str">
        <f aca="false">IF(OR(K$4="",MONTH(($G$2+2))&lt;&gt;MONTH($C$2)),"",IF(COUNTIFS(m_teacher,K$4,m_date,($G$2+2),m_active,1,m_start,"&lt;"&amp;600,m_end,"&gt;"&amp;0)=0,"",IF(COUNTIFS(m_teacher,K$4,m_date,($G$2+2),m_active,1,m_start,"&lt;"&amp;600,m_end,"&gt;"&amp;0)&gt;1,"충돌",HYPERLINK("#'관리자_MASTER'!D"&amp;_xlfn.MAXIFS(m_row,m_teacher,K$4,m_date,($G$2+2),m_active,1,m_start,"&lt;"&amp;600,m_end,"&gt;"&amp;0),INDEX(m_label,_xlfn.MAXIFS(m_row,m_teacher,K$4,m_date,($G$2+2),m_active,1,m_start,"&lt;"&amp;600,m_end,"&gt;"&amp;0))))))</f>
        <v/>
      </c>
      <c r="L27" s="80" t="str">
        <f aca="false">IF(OR(L$4="",MONTH(($G$2+2))&lt;&gt;MONTH($C$2)),"",IF(COUNTIFS(m_teacher,L$4,m_date,($G$2+2),m_active,1,m_start,"&lt;"&amp;600,m_end,"&gt;"&amp;0)=0,"",IF(COUNTIFS(m_teacher,L$4,m_date,($G$2+2),m_active,1,m_start,"&lt;"&amp;600,m_end,"&gt;"&amp;0)&gt;1,"충돌",HYPERLINK("#'관리자_MASTER'!D"&amp;_xlfn.MAXIFS(m_row,m_teacher,L$4,m_date,($G$2+2),m_active,1,m_start,"&lt;"&amp;600,m_end,"&gt;"&amp;0),INDEX(m_label,_xlfn.MAXIFS(m_row,m_teacher,L$4,m_date,($G$2+2),m_active,1,m_start,"&lt;"&amp;600,m_end,"&gt;"&amp;0))))))</f>
        <v/>
      </c>
      <c r="M27" s="80" t="str">
        <f aca="false">IF(OR(M$4="",MONTH(($G$2+2))&lt;&gt;MONTH($C$2)),"",IF(COUNTIFS(m_teacher,M$4,m_date,($G$2+2),m_active,1,m_start,"&lt;"&amp;600,m_end,"&gt;"&amp;0)=0,"",IF(COUNTIFS(m_teacher,M$4,m_date,($G$2+2),m_active,1,m_start,"&lt;"&amp;600,m_end,"&gt;"&amp;0)&gt;1,"충돌",HYPERLINK("#'관리자_MASTER'!D"&amp;_xlfn.MAXIFS(m_row,m_teacher,M$4,m_date,($G$2+2),m_active,1,m_start,"&lt;"&amp;600,m_end,"&gt;"&amp;0),INDEX(m_label,_xlfn.MAXIFS(m_row,m_teacher,M$4,m_date,($G$2+2),m_active,1,m_start,"&lt;"&amp;600,m_end,"&gt;"&amp;0))))))</f>
        <v/>
      </c>
      <c r="N27" s="80" t="str">
        <f aca="false">IF(OR(N$4="",MONTH(($G$2+2))&lt;&gt;MONTH($C$2)),"",IF(COUNTIFS(m_teacher,N$4,m_date,($G$2+2),m_active,1,m_start,"&lt;"&amp;600,m_end,"&gt;"&amp;0)=0,"",IF(COUNTIFS(m_teacher,N$4,m_date,($G$2+2),m_active,1,m_start,"&lt;"&amp;600,m_end,"&gt;"&amp;0)&gt;1,"충돌",HYPERLINK("#'관리자_MASTER'!D"&amp;_xlfn.MAXIFS(m_row,m_teacher,N$4,m_date,($G$2+2),m_active,1,m_start,"&lt;"&amp;600,m_end,"&gt;"&amp;0),INDEX(m_label,_xlfn.MAXIFS(m_row,m_teacher,N$4,m_date,($G$2+2),m_active,1,m_start,"&lt;"&amp;600,m_end,"&gt;"&amp;0))))))</f>
        <v/>
      </c>
      <c r="O27" s="78" t="str">
        <f aca="false">IF(MONTH(($G$2+9))&lt;&gt;MONTH($C$2),"",CHOOSE(WEEKDAY(($G$2+9),2),"월","화","수","목","금","토","일")&amp;CHAR(10)&amp;TEXT(($G$2+9),"m/d"))</f>
        <v>수
2/10</v>
      </c>
      <c r="P27" s="79" t="s">
        <v>91</v>
      </c>
      <c r="Q27" s="80" t="str">
        <f aca="false">IF(OR(Q$4="",MONTH(($G$2+9))&lt;&gt;MONTH($C$2)),"",IF(COUNTIFS(m_teacher,Q$4,m_date,($G$2+9),m_active,1,m_start,"&lt;"&amp;600,m_end,"&gt;"&amp;0)=0,"",IF(COUNTIFS(m_teacher,Q$4,m_date,($G$2+9),m_active,1,m_start,"&lt;"&amp;600,m_end,"&gt;"&amp;0)&gt;1,"충돌",HYPERLINK("#'관리자_MASTER'!D"&amp;_xlfn.MAXIFS(m_row,m_teacher,Q$4,m_date,($G$2+9),m_active,1,m_start,"&lt;"&amp;600,m_end,"&gt;"&amp;0),INDEX(m_label,_xlfn.MAXIFS(m_row,m_teacher,Q$4,m_date,($G$2+9),m_active,1,m_start,"&lt;"&amp;600,m_end,"&gt;"&amp;0))))))</f>
        <v/>
      </c>
      <c r="R27" s="80" t="str">
        <f aca="false">IF(OR(R$4="",MONTH(($G$2+9))&lt;&gt;MONTH($C$2)),"",IF(COUNTIFS(m_teacher,R$4,m_date,($G$2+9),m_active,1,m_start,"&lt;"&amp;600,m_end,"&gt;"&amp;0)=0,"",IF(COUNTIFS(m_teacher,R$4,m_date,($G$2+9),m_active,1,m_start,"&lt;"&amp;600,m_end,"&gt;"&amp;0)&gt;1,"충돌",HYPERLINK("#'관리자_MASTER'!D"&amp;_xlfn.MAXIFS(m_row,m_teacher,R$4,m_date,($G$2+9),m_active,1,m_start,"&lt;"&amp;600,m_end,"&gt;"&amp;0),INDEX(m_label,_xlfn.MAXIFS(m_row,m_teacher,R$4,m_date,($G$2+9),m_active,1,m_start,"&lt;"&amp;600,m_end,"&gt;"&amp;0))))))</f>
        <v/>
      </c>
      <c r="S27" s="80" t="str">
        <f aca="false">IF(OR(S$4="",MONTH(($G$2+9))&lt;&gt;MONTH($C$2)),"",IF(COUNTIFS(m_teacher,S$4,m_date,($G$2+9),m_active,1,m_start,"&lt;"&amp;600,m_end,"&gt;"&amp;0)=0,"",IF(COUNTIFS(m_teacher,S$4,m_date,($G$2+9),m_active,1,m_start,"&lt;"&amp;600,m_end,"&gt;"&amp;0)&gt;1,"충돌",HYPERLINK("#'관리자_MASTER'!D"&amp;_xlfn.MAXIFS(m_row,m_teacher,S$4,m_date,($G$2+9),m_active,1,m_start,"&lt;"&amp;600,m_end,"&gt;"&amp;0),INDEX(m_label,_xlfn.MAXIFS(m_row,m_teacher,S$4,m_date,($G$2+9),m_active,1,m_start,"&lt;"&amp;600,m_end,"&gt;"&amp;0))))))</f>
        <v/>
      </c>
      <c r="T27" s="80" t="str">
        <f aca="false">IF(OR(T$4="",MONTH(($G$2+9))&lt;&gt;MONTH($C$2)),"",IF(COUNTIFS(m_teacher,T$4,m_date,($G$2+9),m_active,1,m_start,"&lt;"&amp;600,m_end,"&gt;"&amp;0)=0,"",IF(COUNTIFS(m_teacher,T$4,m_date,($G$2+9),m_active,1,m_start,"&lt;"&amp;600,m_end,"&gt;"&amp;0)&gt;1,"충돌",HYPERLINK("#'관리자_MASTER'!D"&amp;_xlfn.MAXIFS(m_row,m_teacher,T$4,m_date,($G$2+9),m_active,1,m_start,"&lt;"&amp;600,m_end,"&gt;"&amp;0),INDEX(m_label,_xlfn.MAXIFS(m_row,m_teacher,T$4,m_date,($G$2+9),m_active,1,m_start,"&lt;"&amp;600,m_end,"&gt;"&amp;0))))))</f>
        <v/>
      </c>
      <c r="U27" s="80" t="str">
        <f aca="false">IF(OR(U$4="",MONTH(($G$2+9))&lt;&gt;MONTH($C$2)),"",IF(COUNTIFS(m_teacher,U$4,m_date,($G$2+9),m_active,1,m_start,"&lt;"&amp;600,m_end,"&gt;"&amp;0)=0,"",IF(COUNTIFS(m_teacher,U$4,m_date,($G$2+9),m_active,1,m_start,"&lt;"&amp;600,m_end,"&gt;"&amp;0)&gt;1,"충돌",HYPERLINK("#'관리자_MASTER'!D"&amp;_xlfn.MAXIFS(m_row,m_teacher,U$4,m_date,($G$2+9),m_active,1,m_start,"&lt;"&amp;600,m_end,"&gt;"&amp;0),INDEX(m_label,_xlfn.MAXIFS(m_row,m_teacher,U$4,m_date,($G$2+9),m_active,1,m_start,"&lt;"&amp;600,m_end,"&gt;"&amp;0))))))</f>
        <v/>
      </c>
      <c r="V27" s="80" t="str">
        <f aca="false">IF(OR(V$4="",MONTH(($G$2+9))&lt;&gt;MONTH($C$2)),"",IF(COUNTIFS(m_teacher,V$4,m_date,($G$2+9),m_active,1,m_start,"&lt;"&amp;600,m_end,"&gt;"&amp;0)=0,"",IF(COUNTIFS(m_teacher,V$4,m_date,($G$2+9),m_active,1,m_start,"&lt;"&amp;600,m_end,"&gt;"&amp;0)&gt;1,"충돌",HYPERLINK("#'관리자_MASTER'!D"&amp;_xlfn.MAXIFS(m_row,m_teacher,V$4,m_date,($G$2+9),m_active,1,m_start,"&lt;"&amp;600,m_end,"&gt;"&amp;0),INDEX(m_label,_xlfn.MAXIFS(m_row,m_teacher,V$4,m_date,($G$2+9),m_active,1,m_start,"&lt;"&amp;600,m_end,"&gt;"&amp;0))))))</f>
        <v/>
      </c>
      <c r="W27" s="80" t="str">
        <f aca="false">IF(OR(W$4="",MONTH(($G$2+9))&lt;&gt;MONTH($C$2)),"",IF(COUNTIFS(m_teacher,W$4,m_date,($G$2+9),m_active,1,m_start,"&lt;"&amp;600,m_end,"&gt;"&amp;0)=0,"",IF(COUNTIFS(m_teacher,W$4,m_date,($G$2+9),m_active,1,m_start,"&lt;"&amp;600,m_end,"&gt;"&amp;0)&gt;1,"충돌",HYPERLINK("#'관리자_MASTER'!D"&amp;_xlfn.MAXIFS(m_row,m_teacher,W$4,m_date,($G$2+9),m_active,1,m_start,"&lt;"&amp;600,m_end,"&gt;"&amp;0),INDEX(m_label,_xlfn.MAXIFS(m_row,m_teacher,W$4,m_date,($G$2+9),m_active,1,m_start,"&lt;"&amp;600,m_end,"&gt;"&amp;0))))))</f>
        <v/>
      </c>
      <c r="X27" s="80" t="str">
        <f aca="false">IF(OR(X$4="",MONTH(($G$2+9))&lt;&gt;MONTH($C$2)),"",IF(COUNTIFS(m_teacher,X$4,m_date,($G$2+9),m_active,1,m_start,"&lt;"&amp;600,m_end,"&gt;"&amp;0)=0,"",IF(COUNTIFS(m_teacher,X$4,m_date,($G$2+9),m_active,1,m_start,"&lt;"&amp;600,m_end,"&gt;"&amp;0)&gt;1,"충돌",HYPERLINK("#'관리자_MASTER'!D"&amp;_xlfn.MAXIFS(m_row,m_teacher,X$4,m_date,($G$2+9),m_active,1,m_start,"&lt;"&amp;600,m_end,"&gt;"&amp;0),INDEX(m_label,_xlfn.MAXIFS(m_row,m_teacher,X$4,m_date,($G$2+9),m_active,1,m_start,"&lt;"&amp;600,m_end,"&gt;"&amp;0))))))</f>
        <v/>
      </c>
      <c r="Y27" s="80" t="str">
        <f aca="false">IF(OR(Y$4="",MONTH(($G$2+9))&lt;&gt;MONTH($C$2)),"",IF(COUNTIFS(m_teacher,Y$4,m_date,($G$2+9),m_active,1,m_start,"&lt;"&amp;600,m_end,"&gt;"&amp;0)=0,"",IF(COUNTIFS(m_teacher,Y$4,m_date,($G$2+9),m_active,1,m_start,"&lt;"&amp;600,m_end,"&gt;"&amp;0)&gt;1,"충돌",HYPERLINK("#'관리자_MASTER'!D"&amp;_xlfn.MAXIFS(m_row,m_teacher,Y$4,m_date,($G$2+9),m_active,1,m_start,"&lt;"&amp;600,m_end,"&gt;"&amp;0),INDEX(m_label,_xlfn.MAXIFS(m_row,m_teacher,Y$4,m_date,($G$2+9),m_active,1,m_start,"&lt;"&amp;600,m_end,"&gt;"&amp;0))))))</f>
        <v/>
      </c>
      <c r="Z27" s="80" t="str">
        <f aca="false">IF(OR(Z$4="",MONTH(($G$2+9))&lt;&gt;MONTH($C$2)),"",IF(COUNTIFS(m_teacher,Z$4,m_date,($G$2+9),m_active,1,m_start,"&lt;"&amp;600,m_end,"&gt;"&amp;0)=0,"",IF(COUNTIFS(m_teacher,Z$4,m_date,($G$2+9),m_active,1,m_start,"&lt;"&amp;600,m_end,"&gt;"&amp;0)&gt;1,"충돌",HYPERLINK("#'관리자_MASTER'!D"&amp;_xlfn.MAXIFS(m_row,m_teacher,Z$4,m_date,($G$2+9),m_active,1,m_start,"&lt;"&amp;600,m_end,"&gt;"&amp;0),INDEX(m_label,_xlfn.MAXIFS(m_row,m_teacher,Z$4,m_date,($G$2+9),m_active,1,m_start,"&lt;"&amp;600,m_end,"&gt;"&amp;0))))))</f>
        <v/>
      </c>
      <c r="AA27" s="80" t="str">
        <f aca="false">IF(OR(AA$4="",MONTH(($G$2+9))&lt;&gt;MONTH($C$2)),"",IF(COUNTIFS(m_teacher,AA$4,m_date,($G$2+9),m_active,1,m_start,"&lt;"&amp;600,m_end,"&gt;"&amp;0)=0,"",IF(COUNTIFS(m_teacher,AA$4,m_date,($G$2+9),m_active,1,m_start,"&lt;"&amp;600,m_end,"&gt;"&amp;0)&gt;1,"충돌",HYPERLINK("#'관리자_MASTER'!D"&amp;_xlfn.MAXIFS(m_row,m_teacher,AA$4,m_date,($G$2+9),m_active,1,m_start,"&lt;"&amp;600,m_end,"&gt;"&amp;0),INDEX(m_label,_xlfn.MAXIFS(m_row,m_teacher,AA$4,m_date,($G$2+9),m_active,1,m_start,"&lt;"&amp;600,m_end,"&gt;"&amp;0))))))</f>
        <v/>
      </c>
      <c r="AB27" s="80" t="str">
        <f aca="false">IF(OR(AB$4="",MONTH(($G$2+9))&lt;&gt;MONTH($C$2)),"",IF(COUNTIFS(m_teacher,AB$4,m_date,($G$2+9),m_active,1,m_start,"&lt;"&amp;600,m_end,"&gt;"&amp;0)=0,"",IF(COUNTIFS(m_teacher,AB$4,m_date,($G$2+9),m_active,1,m_start,"&lt;"&amp;600,m_end,"&gt;"&amp;0)&gt;1,"충돌",HYPERLINK("#'관리자_MASTER'!D"&amp;_xlfn.MAXIFS(m_row,m_teacher,AB$4,m_date,($G$2+9),m_active,1,m_start,"&lt;"&amp;600,m_end,"&gt;"&amp;0),INDEX(m_label,_xlfn.MAXIFS(m_row,m_teacher,AB$4,m_date,($G$2+9),m_active,1,m_start,"&lt;"&amp;600,m_end,"&gt;"&amp;0))))))</f>
        <v/>
      </c>
      <c r="AC27" s="78" t="str">
        <f aca="false">IF(MONTH(($G$2+16))&lt;&gt;MONTH($C$2),"",CHOOSE(WEEKDAY(($G$2+16),2),"월","화","수","목","금","토","일")&amp;CHAR(10)&amp;TEXT(($G$2+16),"m/d"))</f>
        <v>수
2/17</v>
      </c>
      <c r="AD27" s="79" t="s">
        <v>91</v>
      </c>
      <c r="AE27" s="80" t="str">
        <f aca="false">IF(OR(AE$4="",MONTH(($G$2+16))&lt;&gt;MONTH($C$2)),"",IF(COUNTIFS(m_teacher,AE$4,m_date,($G$2+16),m_active,1,m_start,"&lt;"&amp;600,m_end,"&gt;"&amp;0)=0,"",IF(COUNTIFS(m_teacher,AE$4,m_date,($G$2+16),m_active,1,m_start,"&lt;"&amp;600,m_end,"&gt;"&amp;0)&gt;1,"충돌",HYPERLINK("#'관리자_MASTER'!D"&amp;_xlfn.MAXIFS(m_row,m_teacher,AE$4,m_date,($G$2+16),m_active,1,m_start,"&lt;"&amp;600,m_end,"&gt;"&amp;0),INDEX(m_label,_xlfn.MAXIFS(m_row,m_teacher,AE$4,m_date,($G$2+16),m_active,1,m_start,"&lt;"&amp;600,m_end,"&gt;"&amp;0))))))</f>
        <v/>
      </c>
      <c r="AF27" s="80" t="str">
        <f aca="false">IF(OR(AF$4="",MONTH(($G$2+16))&lt;&gt;MONTH($C$2)),"",IF(COUNTIFS(m_teacher,AF$4,m_date,($G$2+16),m_active,1,m_start,"&lt;"&amp;600,m_end,"&gt;"&amp;0)=0,"",IF(COUNTIFS(m_teacher,AF$4,m_date,($G$2+16),m_active,1,m_start,"&lt;"&amp;600,m_end,"&gt;"&amp;0)&gt;1,"충돌",HYPERLINK("#'관리자_MASTER'!D"&amp;_xlfn.MAXIFS(m_row,m_teacher,AF$4,m_date,($G$2+16),m_active,1,m_start,"&lt;"&amp;600,m_end,"&gt;"&amp;0),INDEX(m_label,_xlfn.MAXIFS(m_row,m_teacher,AF$4,m_date,($G$2+16),m_active,1,m_start,"&lt;"&amp;600,m_end,"&gt;"&amp;0))))))</f>
        <v/>
      </c>
      <c r="AG27" s="80" t="str">
        <f aca="false">IF(OR(AG$4="",MONTH(($G$2+16))&lt;&gt;MONTH($C$2)),"",IF(COUNTIFS(m_teacher,AG$4,m_date,($G$2+16),m_active,1,m_start,"&lt;"&amp;600,m_end,"&gt;"&amp;0)=0,"",IF(COUNTIFS(m_teacher,AG$4,m_date,($G$2+16),m_active,1,m_start,"&lt;"&amp;600,m_end,"&gt;"&amp;0)&gt;1,"충돌",HYPERLINK("#'관리자_MASTER'!D"&amp;_xlfn.MAXIFS(m_row,m_teacher,AG$4,m_date,($G$2+16),m_active,1,m_start,"&lt;"&amp;600,m_end,"&gt;"&amp;0),INDEX(m_label,_xlfn.MAXIFS(m_row,m_teacher,AG$4,m_date,($G$2+16),m_active,1,m_start,"&lt;"&amp;600,m_end,"&gt;"&amp;0))))))</f>
        <v/>
      </c>
      <c r="AH27" s="80" t="str">
        <f aca="false">IF(OR(AH$4="",MONTH(($G$2+16))&lt;&gt;MONTH($C$2)),"",IF(COUNTIFS(m_teacher,AH$4,m_date,($G$2+16),m_active,1,m_start,"&lt;"&amp;600,m_end,"&gt;"&amp;0)=0,"",IF(COUNTIFS(m_teacher,AH$4,m_date,($G$2+16),m_active,1,m_start,"&lt;"&amp;600,m_end,"&gt;"&amp;0)&gt;1,"충돌",HYPERLINK("#'관리자_MASTER'!D"&amp;_xlfn.MAXIFS(m_row,m_teacher,AH$4,m_date,($G$2+16),m_active,1,m_start,"&lt;"&amp;600,m_end,"&gt;"&amp;0),INDEX(m_label,_xlfn.MAXIFS(m_row,m_teacher,AH$4,m_date,($G$2+16),m_active,1,m_start,"&lt;"&amp;600,m_end,"&gt;"&amp;0))))))</f>
        <v/>
      </c>
      <c r="AI27" s="80" t="str">
        <f aca="false">IF(OR(AI$4="",MONTH(($G$2+16))&lt;&gt;MONTH($C$2)),"",IF(COUNTIFS(m_teacher,AI$4,m_date,($G$2+16),m_active,1,m_start,"&lt;"&amp;600,m_end,"&gt;"&amp;0)=0,"",IF(COUNTIFS(m_teacher,AI$4,m_date,($G$2+16),m_active,1,m_start,"&lt;"&amp;600,m_end,"&gt;"&amp;0)&gt;1,"충돌",HYPERLINK("#'관리자_MASTER'!D"&amp;_xlfn.MAXIFS(m_row,m_teacher,AI$4,m_date,($G$2+16),m_active,1,m_start,"&lt;"&amp;600,m_end,"&gt;"&amp;0),INDEX(m_label,_xlfn.MAXIFS(m_row,m_teacher,AI$4,m_date,($G$2+16),m_active,1,m_start,"&lt;"&amp;600,m_end,"&gt;"&amp;0))))))</f>
        <v/>
      </c>
      <c r="AJ27" s="80" t="str">
        <f aca="false">IF(OR(AJ$4="",MONTH(($G$2+16))&lt;&gt;MONTH($C$2)),"",IF(COUNTIFS(m_teacher,AJ$4,m_date,($G$2+16),m_active,1,m_start,"&lt;"&amp;600,m_end,"&gt;"&amp;0)=0,"",IF(COUNTIFS(m_teacher,AJ$4,m_date,($G$2+16),m_active,1,m_start,"&lt;"&amp;600,m_end,"&gt;"&amp;0)&gt;1,"충돌",HYPERLINK("#'관리자_MASTER'!D"&amp;_xlfn.MAXIFS(m_row,m_teacher,AJ$4,m_date,($G$2+16),m_active,1,m_start,"&lt;"&amp;600,m_end,"&gt;"&amp;0),INDEX(m_label,_xlfn.MAXIFS(m_row,m_teacher,AJ$4,m_date,($G$2+16),m_active,1,m_start,"&lt;"&amp;600,m_end,"&gt;"&amp;0))))))</f>
        <v/>
      </c>
      <c r="AK27" s="80" t="str">
        <f aca="false">IF(OR(AK$4="",MONTH(($G$2+16))&lt;&gt;MONTH($C$2)),"",IF(COUNTIFS(m_teacher,AK$4,m_date,($G$2+16),m_active,1,m_start,"&lt;"&amp;600,m_end,"&gt;"&amp;0)=0,"",IF(COUNTIFS(m_teacher,AK$4,m_date,($G$2+16),m_active,1,m_start,"&lt;"&amp;600,m_end,"&gt;"&amp;0)&gt;1,"충돌",HYPERLINK("#'관리자_MASTER'!D"&amp;_xlfn.MAXIFS(m_row,m_teacher,AK$4,m_date,($G$2+16),m_active,1,m_start,"&lt;"&amp;600,m_end,"&gt;"&amp;0),INDEX(m_label,_xlfn.MAXIFS(m_row,m_teacher,AK$4,m_date,($G$2+16),m_active,1,m_start,"&lt;"&amp;600,m_end,"&gt;"&amp;0))))))</f>
        <v/>
      </c>
      <c r="AL27" s="80" t="str">
        <f aca="false">IF(OR(AL$4="",MONTH(($G$2+16))&lt;&gt;MONTH($C$2)),"",IF(COUNTIFS(m_teacher,AL$4,m_date,($G$2+16),m_active,1,m_start,"&lt;"&amp;600,m_end,"&gt;"&amp;0)=0,"",IF(COUNTIFS(m_teacher,AL$4,m_date,($G$2+16),m_active,1,m_start,"&lt;"&amp;600,m_end,"&gt;"&amp;0)&gt;1,"충돌",HYPERLINK("#'관리자_MASTER'!D"&amp;_xlfn.MAXIFS(m_row,m_teacher,AL$4,m_date,($G$2+16),m_active,1,m_start,"&lt;"&amp;600,m_end,"&gt;"&amp;0),INDEX(m_label,_xlfn.MAXIFS(m_row,m_teacher,AL$4,m_date,($G$2+16),m_active,1,m_start,"&lt;"&amp;600,m_end,"&gt;"&amp;0))))))</f>
        <v/>
      </c>
      <c r="AM27" s="80" t="str">
        <f aca="false">IF(OR(AM$4="",MONTH(($G$2+16))&lt;&gt;MONTH($C$2)),"",IF(COUNTIFS(m_teacher,AM$4,m_date,($G$2+16),m_active,1,m_start,"&lt;"&amp;600,m_end,"&gt;"&amp;0)=0,"",IF(COUNTIFS(m_teacher,AM$4,m_date,($G$2+16),m_active,1,m_start,"&lt;"&amp;600,m_end,"&gt;"&amp;0)&gt;1,"충돌",HYPERLINK("#'관리자_MASTER'!D"&amp;_xlfn.MAXIFS(m_row,m_teacher,AM$4,m_date,($G$2+16),m_active,1,m_start,"&lt;"&amp;600,m_end,"&gt;"&amp;0),INDEX(m_label,_xlfn.MAXIFS(m_row,m_teacher,AM$4,m_date,($G$2+16),m_active,1,m_start,"&lt;"&amp;600,m_end,"&gt;"&amp;0))))))</f>
        <v/>
      </c>
      <c r="AN27" s="80" t="str">
        <f aca="false">IF(OR(AN$4="",MONTH(($G$2+16))&lt;&gt;MONTH($C$2)),"",IF(COUNTIFS(m_teacher,AN$4,m_date,($G$2+16),m_active,1,m_start,"&lt;"&amp;600,m_end,"&gt;"&amp;0)=0,"",IF(COUNTIFS(m_teacher,AN$4,m_date,($G$2+16),m_active,1,m_start,"&lt;"&amp;600,m_end,"&gt;"&amp;0)&gt;1,"충돌",HYPERLINK("#'관리자_MASTER'!D"&amp;_xlfn.MAXIFS(m_row,m_teacher,AN$4,m_date,($G$2+16),m_active,1,m_start,"&lt;"&amp;600,m_end,"&gt;"&amp;0),INDEX(m_label,_xlfn.MAXIFS(m_row,m_teacher,AN$4,m_date,($G$2+16),m_active,1,m_start,"&lt;"&amp;600,m_end,"&gt;"&amp;0))))))</f>
        <v/>
      </c>
      <c r="AO27" s="80" t="str">
        <f aca="false">IF(OR(AO$4="",MONTH(($G$2+16))&lt;&gt;MONTH($C$2)),"",IF(COUNTIFS(m_teacher,AO$4,m_date,($G$2+16),m_active,1,m_start,"&lt;"&amp;600,m_end,"&gt;"&amp;0)=0,"",IF(COUNTIFS(m_teacher,AO$4,m_date,($G$2+16),m_active,1,m_start,"&lt;"&amp;600,m_end,"&gt;"&amp;0)&gt;1,"충돌",HYPERLINK("#'관리자_MASTER'!D"&amp;_xlfn.MAXIFS(m_row,m_teacher,AO$4,m_date,($G$2+16),m_active,1,m_start,"&lt;"&amp;600,m_end,"&gt;"&amp;0),INDEX(m_label,_xlfn.MAXIFS(m_row,m_teacher,AO$4,m_date,($G$2+16),m_active,1,m_start,"&lt;"&amp;600,m_end,"&gt;"&amp;0))))))</f>
        <v/>
      </c>
      <c r="AP27" s="80" t="str">
        <f aca="false">IF(OR(AP$4="",MONTH(($G$2+16))&lt;&gt;MONTH($C$2)),"",IF(COUNTIFS(m_teacher,AP$4,m_date,($G$2+16),m_active,1,m_start,"&lt;"&amp;600,m_end,"&gt;"&amp;0)=0,"",IF(COUNTIFS(m_teacher,AP$4,m_date,($G$2+16),m_active,1,m_start,"&lt;"&amp;600,m_end,"&gt;"&amp;0)&gt;1,"충돌",HYPERLINK("#'관리자_MASTER'!D"&amp;_xlfn.MAXIFS(m_row,m_teacher,AP$4,m_date,($G$2+16),m_active,1,m_start,"&lt;"&amp;600,m_end,"&gt;"&amp;0),INDEX(m_label,_xlfn.MAXIFS(m_row,m_teacher,AP$4,m_date,($G$2+16),m_active,1,m_start,"&lt;"&amp;600,m_end,"&gt;"&amp;0))))))</f>
        <v/>
      </c>
      <c r="AQ27" s="78" t="str">
        <f aca="false">IF(MONTH(($G$2+23))&lt;&gt;MONTH($C$2),"",CHOOSE(WEEKDAY(($G$2+23),2),"월","화","수","목","금","토","일")&amp;CHAR(10)&amp;TEXT(($G$2+23),"m/d"))</f>
        <v>수
2/24</v>
      </c>
      <c r="AR27" s="79" t="s">
        <v>91</v>
      </c>
      <c r="AS27" s="80" t="str">
        <f aca="false">IF(OR(AS$4="",MONTH(($G$2+23))&lt;&gt;MONTH($C$2)),"",IF(COUNTIFS(m_teacher,AS$4,m_date,($G$2+23),m_active,1,m_start,"&lt;"&amp;600,m_end,"&gt;"&amp;0)=0,"",IF(COUNTIFS(m_teacher,AS$4,m_date,($G$2+23),m_active,1,m_start,"&lt;"&amp;600,m_end,"&gt;"&amp;0)&gt;1,"충돌",HYPERLINK("#'관리자_MASTER'!D"&amp;_xlfn.MAXIFS(m_row,m_teacher,AS$4,m_date,($G$2+23),m_active,1,m_start,"&lt;"&amp;600,m_end,"&gt;"&amp;0),INDEX(m_label,_xlfn.MAXIFS(m_row,m_teacher,AS$4,m_date,($G$2+23),m_active,1,m_start,"&lt;"&amp;600,m_end,"&gt;"&amp;0))))))</f>
        <v/>
      </c>
      <c r="AT27" s="80" t="str">
        <f aca="false">IF(OR(AT$4="",MONTH(($G$2+23))&lt;&gt;MONTH($C$2)),"",IF(COUNTIFS(m_teacher,AT$4,m_date,($G$2+23),m_active,1,m_start,"&lt;"&amp;600,m_end,"&gt;"&amp;0)=0,"",IF(COUNTIFS(m_teacher,AT$4,m_date,($G$2+23),m_active,1,m_start,"&lt;"&amp;600,m_end,"&gt;"&amp;0)&gt;1,"충돌",HYPERLINK("#'관리자_MASTER'!D"&amp;_xlfn.MAXIFS(m_row,m_teacher,AT$4,m_date,($G$2+23),m_active,1,m_start,"&lt;"&amp;600,m_end,"&gt;"&amp;0),INDEX(m_label,_xlfn.MAXIFS(m_row,m_teacher,AT$4,m_date,($G$2+23),m_active,1,m_start,"&lt;"&amp;600,m_end,"&gt;"&amp;0))))))</f>
        <v/>
      </c>
      <c r="AU27" s="80" t="str">
        <f aca="false">IF(OR(AU$4="",MONTH(($G$2+23))&lt;&gt;MONTH($C$2)),"",IF(COUNTIFS(m_teacher,AU$4,m_date,($G$2+23),m_active,1,m_start,"&lt;"&amp;600,m_end,"&gt;"&amp;0)=0,"",IF(COUNTIFS(m_teacher,AU$4,m_date,($G$2+23),m_active,1,m_start,"&lt;"&amp;600,m_end,"&gt;"&amp;0)&gt;1,"충돌",HYPERLINK("#'관리자_MASTER'!D"&amp;_xlfn.MAXIFS(m_row,m_teacher,AU$4,m_date,($G$2+23),m_active,1,m_start,"&lt;"&amp;600,m_end,"&gt;"&amp;0),INDEX(m_label,_xlfn.MAXIFS(m_row,m_teacher,AU$4,m_date,($G$2+23),m_active,1,m_start,"&lt;"&amp;600,m_end,"&gt;"&amp;0))))))</f>
        <v/>
      </c>
      <c r="AV27" s="80" t="str">
        <f aca="false">IF(OR(AV$4="",MONTH(($G$2+23))&lt;&gt;MONTH($C$2)),"",IF(COUNTIFS(m_teacher,AV$4,m_date,($G$2+23),m_active,1,m_start,"&lt;"&amp;600,m_end,"&gt;"&amp;0)=0,"",IF(COUNTIFS(m_teacher,AV$4,m_date,($G$2+23),m_active,1,m_start,"&lt;"&amp;600,m_end,"&gt;"&amp;0)&gt;1,"충돌",HYPERLINK("#'관리자_MASTER'!D"&amp;_xlfn.MAXIFS(m_row,m_teacher,AV$4,m_date,($G$2+23),m_active,1,m_start,"&lt;"&amp;600,m_end,"&gt;"&amp;0),INDEX(m_label,_xlfn.MAXIFS(m_row,m_teacher,AV$4,m_date,($G$2+23),m_active,1,m_start,"&lt;"&amp;600,m_end,"&gt;"&amp;0))))))</f>
        <v/>
      </c>
      <c r="AW27" s="80" t="str">
        <f aca="false">IF(OR(AW$4="",MONTH(($G$2+23))&lt;&gt;MONTH($C$2)),"",IF(COUNTIFS(m_teacher,AW$4,m_date,($G$2+23),m_active,1,m_start,"&lt;"&amp;600,m_end,"&gt;"&amp;0)=0,"",IF(COUNTIFS(m_teacher,AW$4,m_date,($G$2+23),m_active,1,m_start,"&lt;"&amp;600,m_end,"&gt;"&amp;0)&gt;1,"충돌",HYPERLINK("#'관리자_MASTER'!D"&amp;_xlfn.MAXIFS(m_row,m_teacher,AW$4,m_date,($G$2+23),m_active,1,m_start,"&lt;"&amp;600,m_end,"&gt;"&amp;0),INDEX(m_label,_xlfn.MAXIFS(m_row,m_teacher,AW$4,m_date,($G$2+23),m_active,1,m_start,"&lt;"&amp;600,m_end,"&gt;"&amp;0))))))</f>
        <v/>
      </c>
      <c r="AX27" s="80" t="str">
        <f aca="false">IF(OR(AX$4="",MONTH(($G$2+23))&lt;&gt;MONTH($C$2)),"",IF(COUNTIFS(m_teacher,AX$4,m_date,($G$2+23),m_active,1,m_start,"&lt;"&amp;600,m_end,"&gt;"&amp;0)=0,"",IF(COUNTIFS(m_teacher,AX$4,m_date,($G$2+23),m_active,1,m_start,"&lt;"&amp;600,m_end,"&gt;"&amp;0)&gt;1,"충돌",HYPERLINK("#'관리자_MASTER'!D"&amp;_xlfn.MAXIFS(m_row,m_teacher,AX$4,m_date,($G$2+23),m_active,1,m_start,"&lt;"&amp;600,m_end,"&gt;"&amp;0),INDEX(m_label,_xlfn.MAXIFS(m_row,m_teacher,AX$4,m_date,($G$2+23),m_active,1,m_start,"&lt;"&amp;600,m_end,"&gt;"&amp;0))))))</f>
        <v/>
      </c>
      <c r="AY27" s="80" t="str">
        <f aca="false">IF(OR(AY$4="",MONTH(($G$2+23))&lt;&gt;MONTH($C$2)),"",IF(COUNTIFS(m_teacher,AY$4,m_date,($G$2+23),m_active,1,m_start,"&lt;"&amp;600,m_end,"&gt;"&amp;0)=0,"",IF(COUNTIFS(m_teacher,AY$4,m_date,($G$2+23),m_active,1,m_start,"&lt;"&amp;600,m_end,"&gt;"&amp;0)&gt;1,"충돌",HYPERLINK("#'관리자_MASTER'!D"&amp;_xlfn.MAXIFS(m_row,m_teacher,AY$4,m_date,($G$2+23),m_active,1,m_start,"&lt;"&amp;600,m_end,"&gt;"&amp;0),INDEX(m_label,_xlfn.MAXIFS(m_row,m_teacher,AY$4,m_date,($G$2+23),m_active,1,m_start,"&lt;"&amp;600,m_end,"&gt;"&amp;0))))))</f>
        <v/>
      </c>
      <c r="AZ27" s="80" t="str">
        <f aca="false">IF(OR(AZ$4="",MONTH(($G$2+23))&lt;&gt;MONTH($C$2)),"",IF(COUNTIFS(m_teacher,AZ$4,m_date,($G$2+23),m_active,1,m_start,"&lt;"&amp;600,m_end,"&gt;"&amp;0)=0,"",IF(COUNTIFS(m_teacher,AZ$4,m_date,($G$2+23),m_active,1,m_start,"&lt;"&amp;600,m_end,"&gt;"&amp;0)&gt;1,"충돌",HYPERLINK("#'관리자_MASTER'!D"&amp;_xlfn.MAXIFS(m_row,m_teacher,AZ$4,m_date,($G$2+23),m_active,1,m_start,"&lt;"&amp;600,m_end,"&gt;"&amp;0),INDEX(m_label,_xlfn.MAXIFS(m_row,m_teacher,AZ$4,m_date,($G$2+23),m_active,1,m_start,"&lt;"&amp;600,m_end,"&gt;"&amp;0))))))</f>
        <v/>
      </c>
      <c r="BA27" s="80" t="str">
        <f aca="false">IF(OR(BA$4="",MONTH(($G$2+23))&lt;&gt;MONTH($C$2)),"",IF(COUNTIFS(m_teacher,BA$4,m_date,($G$2+23),m_active,1,m_start,"&lt;"&amp;600,m_end,"&gt;"&amp;0)=0,"",IF(COUNTIFS(m_teacher,BA$4,m_date,($G$2+23),m_active,1,m_start,"&lt;"&amp;600,m_end,"&gt;"&amp;0)&gt;1,"충돌",HYPERLINK("#'관리자_MASTER'!D"&amp;_xlfn.MAXIFS(m_row,m_teacher,BA$4,m_date,($G$2+23),m_active,1,m_start,"&lt;"&amp;600,m_end,"&gt;"&amp;0),INDEX(m_label,_xlfn.MAXIFS(m_row,m_teacher,BA$4,m_date,($G$2+23),m_active,1,m_start,"&lt;"&amp;600,m_end,"&gt;"&amp;0))))))</f>
        <v/>
      </c>
      <c r="BB27" s="80" t="str">
        <f aca="false">IF(OR(BB$4="",MONTH(($G$2+23))&lt;&gt;MONTH($C$2)),"",IF(COUNTIFS(m_teacher,BB$4,m_date,($G$2+23),m_active,1,m_start,"&lt;"&amp;600,m_end,"&gt;"&amp;0)=0,"",IF(COUNTIFS(m_teacher,BB$4,m_date,($G$2+23),m_active,1,m_start,"&lt;"&amp;600,m_end,"&gt;"&amp;0)&gt;1,"충돌",HYPERLINK("#'관리자_MASTER'!D"&amp;_xlfn.MAXIFS(m_row,m_teacher,BB$4,m_date,($G$2+23),m_active,1,m_start,"&lt;"&amp;600,m_end,"&gt;"&amp;0),INDEX(m_label,_xlfn.MAXIFS(m_row,m_teacher,BB$4,m_date,($G$2+23),m_active,1,m_start,"&lt;"&amp;600,m_end,"&gt;"&amp;0))))))</f>
        <v/>
      </c>
      <c r="BC27" s="80" t="str">
        <f aca="false">IF(OR(BC$4="",MONTH(($G$2+23))&lt;&gt;MONTH($C$2)),"",IF(COUNTIFS(m_teacher,BC$4,m_date,($G$2+23),m_active,1,m_start,"&lt;"&amp;600,m_end,"&gt;"&amp;0)=0,"",IF(COUNTIFS(m_teacher,BC$4,m_date,($G$2+23),m_active,1,m_start,"&lt;"&amp;600,m_end,"&gt;"&amp;0)&gt;1,"충돌",HYPERLINK("#'관리자_MASTER'!D"&amp;_xlfn.MAXIFS(m_row,m_teacher,BC$4,m_date,($G$2+23),m_active,1,m_start,"&lt;"&amp;600,m_end,"&gt;"&amp;0),INDEX(m_label,_xlfn.MAXIFS(m_row,m_teacher,BC$4,m_date,($G$2+23),m_active,1,m_start,"&lt;"&amp;600,m_end,"&gt;"&amp;0))))))</f>
        <v/>
      </c>
      <c r="BD27" s="80" t="str">
        <f aca="false">IF(OR(BD$4="",MONTH(($G$2+23))&lt;&gt;MONTH($C$2)),"",IF(COUNTIFS(m_teacher,BD$4,m_date,($G$2+23),m_active,1,m_start,"&lt;"&amp;600,m_end,"&gt;"&amp;0)=0,"",IF(COUNTIFS(m_teacher,BD$4,m_date,($G$2+23),m_active,1,m_start,"&lt;"&amp;600,m_end,"&gt;"&amp;0)&gt;1,"충돌",HYPERLINK("#'관리자_MASTER'!D"&amp;_xlfn.MAXIFS(m_row,m_teacher,BD$4,m_date,($G$2+23),m_active,1,m_start,"&lt;"&amp;600,m_end,"&gt;"&amp;0),INDEX(m_label,_xlfn.MAXIFS(m_row,m_teacher,BD$4,m_date,($G$2+23),m_active,1,m_start,"&lt;"&amp;600,m_end,"&gt;"&amp;0))))))</f>
        <v/>
      </c>
    </row>
    <row r="28" customFormat="false" ht="19.5" hidden="false" customHeight="true" outlineLevel="0" collapsed="false">
      <c r="A28" s="78"/>
      <c r="B28" s="79" t="s">
        <v>92</v>
      </c>
      <c r="C28" s="82" t="str">
        <f aca="false">IF(OR(C$4="",MONTH(($G$2+2))&lt;&gt;MONTH($C$2)),"",IF(COUNTIFS(m_teacher,C$4,m_date,($G$2+2),m_active,1,m_start,"&lt;"&amp;660,m_end,"&gt;"&amp;600)=0,"",IF(COUNTIFS(m_teacher,C$4,m_date,($G$2+2),m_active,1,m_start,"&lt;"&amp;660,m_end,"&gt;"&amp;600)&gt;1,"충돌",HYPERLINK("#'관리자_MASTER'!D"&amp;_xlfn.MAXIFS(m_row,m_teacher,C$4,m_date,($G$2+2),m_active,1,m_start,"&lt;"&amp;660,m_end,"&gt;"&amp;600),INDEX(m_label,_xlfn.MAXIFS(m_row,m_teacher,C$4,m_date,($G$2+2),m_active,1,m_start,"&lt;"&amp;660,m_end,"&gt;"&amp;600))))))</f>
        <v/>
      </c>
      <c r="D28" s="82" t="str">
        <f aca="false">IF(OR(D$4="",MONTH(($G$2+2))&lt;&gt;MONTH($C$2)),"",IF(COUNTIFS(m_teacher,D$4,m_date,($G$2+2),m_active,1,m_start,"&lt;"&amp;660,m_end,"&gt;"&amp;600)=0,"",IF(COUNTIFS(m_teacher,D$4,m_date,($G$2+2),m_active,1,m_start,"&lt;"&amp;660,m_end,"&gt;"&amp;600)&gt;1,"충돌",HYPERLINK("#'관리자_MASTER'!D"&amp;_xlfn.MAXIFS(m_row,m_teacher,D$4,m_date,($G$2+2),m_active,1,m_start,"&lt;"&amp;660,m_end,"&gt;"&amp;600),INDEX(m_label,_xlfn.MAXIFS(m_row,m_teacher,D$4,m_date,($G$2+2),m_active,1,m_start,"&lt;"&amp;660,m_end,"&gt;"&amp;600))))))</f>
        <v/>
      </c>
      <c r="E28" s="82" t="str">
        <f aca="false">IF(OR(E$4="",MONTH(($G$2+2))&lt;&gt;MONTH($C$2)),"",IF(COUNTIFS(m_teacher,E$4,m_date,($G$2+2),m_active,1,m_start,"&lt;"&amp;660,m_end,"&gt;"&amp;600)=0,"",IF(COUNTIFS(m_teacher,E$4,m_date,($G$2+2),m_active,1,m_start,"&lt;"&amp;660,m_end,"&gt;"&amp;600)&gt;1,"충돌",HYPERLINK("#'관리자_MASTER'!D"&amp;_xlfn.MAXIFS(m_row,m_teacher,E$4,m_date,($G$2+2),m_active,1,m_start,"&lt;"&amp;660,m_end,"&gt;"&amp;600),INDEX(m_label,_xlfn.MAXIFS(m_row,m_teacher,E$4,m_date,($G$2+2),m_active,1,m_start,"&lt;"&amp;660,m_end,"&gt;"&amp;600))))))</f>
        <v/>
      </c>
      <c r="F28" s="82" t="str">
        <f aca="false">IF(OR(F$4="",MONTH(($G$2+2))&lt;&gt;MONTH($C$2)),"",IF(COUNTIFS(m_teacher,F$4,m_date,($G$2+2),m_active,1,m_start,"&lt;"&amp;660,m_end,"&gt;"&amp;600)=0,"",IF(COUNTIFS(m_teacher,F$4,m_date,($G$2+2),m_active,1,m_start,"&lt;"&amp;660,m_end,"&gt;"&amp;600)&gt;1,"충돌",HYPERLINK("#'관리자_MASTER'!D"&amp;_xlfn.MAXIFS(m_row,m_teacher,F$4,m_date,($G$2+2),m_active,1,m_start,"&lt;"&amp;660,m_end,"&gt;"&amp;600),INDEX(m_label,_xlfn.MAXIFS(m_row,m_teacher,F$4,m_date,($G$2+2),m_active,1,m_start,"&lt;"&amp;660,m_end,"&gt;"&amp;600))))))</f>
        <v/>
      </c>
      <c r="G28" s="82" t="str">
        <f aca="false">IF(OR(G$4="",MONTH(($G$2+2))&lt;&gt;MONTH($C$2)),"",IF(COUNTIFS(m_teacher,G$4,m_date,($G$2+2),m_active,1,m_start,"&lt;"&amp;660,m_end,"&gt;"&amp;600)=0,"",IF(COUNTIFS(m_teacher,G$4,m_date,($G$2+2),m_active,1,m_start,"&lt;"&amp;660,m_end,"&gt;"&amp;600)&gt;1,"충돌",HYPERLINK("#'관리자_MASTER'!D"&amp;_xlfn.MAXIFS(m_row,m_teacher,G$4,m_date,($G$2+2),m_active,1,m_start,"&lt;"&amp;660,m_end,"&gt;"&amp;600),INDEX(m_label,_xlfn.MAXIFS(m_row,m_teacher,G$4,m_date,($G$2+2),m_active,1,m_start,"&lt;"&amp;660,m_end,"&gt;"&amp;600))))))</f>
        <v/>
      </c>
      <c r="H28" s="82" t="str">
        <f aca="false">IF(OR(H$4="",MONTH(($G$2+2))&lt;&gt;MONTH($C$2)),"",IF(COUNTIFS(m_teacher,H$4,m_date,($G$2+2),m_active,1,m_start,"&lt;"&amp;660,m_end,"&gt;"&amp;600)=0,"",IF(COUNTIFS(m_teacher,H$4,m_date,($G$2+2),m_active,1,m_start,"&lt;"&amp;660,m_end,"&gt;"&amp;600)&gt;1,"충돌",HYPERLINK("#'관리자_MASTER'!D"&amp;_xlfn.MAXIFS(m_row,m_teacher,H$4,m_date,($G$2+2),m_active,1,m_start,"&lt;"&amp;660,m_end,"&gt;"&amp;600),INDEX(m_label,_xlfn.MAXIFS(m_row,m_teacher,H$4,m_date,($G$2+2),m_active,1,m_start,"&lt;"&amp;660,m_end,"&gt;"&amp;600))))))</f>
        <v/>
      </c>
      <c r="I28" s="82" t="str">
        <f aca="false">IF(OR(I$4="",MONTH(($G$2+2))&lt;&gt;MONTH($C$2)),"",IF(COUNTIFS(m_teacher,I$4,m_date,($G$2+2),m_active,1,m_start,"&lt;"&amp;660,m_end,"&gt;"&amp;600)=0,"",IF(COUNTIFS(m_teacher,I$4,m_date,($G$2+2),m_active,1,m_start,"&lt;"&amp;660,m_end,"&gt;"&amp;600)&gt;1,"충돌",HYPERLINK("#'관리자_MASTER'!D"&amp;_xlfn.MAXIFS(m_row,m_teacher,I$4,m_date,($G$2+2),m_active,1,m_start,"&lt;"&amp;660,m_end,"&gt;"&amp;600),INDEX(m_label,_xlfn.MAXIFS(m_row,m_teacher,I$4,m_date,($G$2+2),m_active,1,m_start,"&lt;"&amp;660,m_end,"&gt;"&amp;600))))))</f>
        <v/>
      </c>
      <c r="J28" s="82" t="str">
        <f aca="false">IF(OR(J$4="",MONTH(($G$2+2))&lt;&gt;MONTH($C$2)),"",IF(COUNTIFS(m_teacher,J$4,m_date,($G$2+2),m_active,1,m_start,"&lt;"&amp;660,m_end,"&gt;"&amp;600)=0,"",IF(COUNTIFS(m_teacher,J$4,m_date,($G$2+2),m_active,1,m_start,"&lt;"&amp;660,m_end,"&gt;"&amp;600)&gt;1,"충돌",HYPERLINK("#'관리자_MASTER'!D"&amp;_xlfn.MAXIFS(m_row,m_teacher,J$4,m_date,($G$2+2),m_active,1,m_start,"&lt;"&amp;660,m_end,"&gt;"&amp;600),INDEX(m_label,_xlfn.MAXIFS(m_row,m_teacher,J$4,m_date,($G$2+2),m_active,1,m_start,"&lt;"&amp;660,m_end,"&gt;"&amp;600))))))</f>
        <v/>
      </c>
      <c r="K28" s="82" t="str">
        <f aca="false">IF(OR(K$4="",MONTH(($G$2+2))&lt;&gt;MONTH($C$2)),"",IF(COUNTIFS(m_teacher,K$4,m_date,($G$2+2),m_active,1,m_start,"&lt;"&amp;660,m_end,"&gt;"&amp;600)=0,"",IF(COUNTIFS(m_teacher,K$4,m_date,($G$2+2),m_active,1,m_start,"&lt;"&amp;660,m_end,"&gt;"&amp;600)&gt;1,"충돌",HYPERLINK("#'관리자_MASTER'!D"&amp;_xlfn.MAXIFS(m_row,m_teacher,K$4,m_date,($G$2+2),m_active,1,m_start,"&lt;"&amp;660,m_end,"&gt;"&amp;600),INDEX(m_label,_xlfn.MAXIFS(m_row,m_teacher,K$4,m_date,($G$2+2),m_active,1,m_start,"&lt;"&amp;660,m_end,"&gt;"&amp;600))))))</f>
        <v/>
      </c>
      <c r="L28" s="82" t="str">
        <f aca="false">IF(OR(L$4="",MONTH(($G$2+2))&lt;&gt;MONTH($C$2)),"",IF(COUNTIFS(m_teacher,L$4,m_date,($G$2+2),m_active,1,m_start,"&lt;"&amp;660,m_end,"&gt;"&amp;600)=0,"",IF(COUNTIFS(m_teacher,L$4,m_date,($G$2+2),m_active,1,m_start,"&lt;"&amp;660,m_end,"&gt;"&amp;600)&gt;1,"충돌",HYPERLINK("#'관리자_MASTER'!D"&amp;_xlfn.MAXIFS(m_row,m_teacher,L$4,m_date,($G$2+2),m_active,1,m_start,"&lt;"&amp;660,m_end,"&gt;"&amp;600),INDEX(m_label,_xlfn.MAXIFS(m_row,m_teacher,L$4,m_date,($G$2+2),m_active,1,m_start,"&lt;"&amp;660,m_end,"&gt;"&amp;600))))))</f>
        <v/>
      </c>
      <c r="M28" s="82" t="str">
        <f aca="false">IF(OR(M$4="",MONTH(($G$2+2))&lt;&gt;MONTH($C$2)),"",IF(COUNTIFS(m_teacher,M$4,m_date,($G$2+2),m_active,1,m_start,"&lt;"&amp;660,m_end,"&gt;"&amp;600)=0,"",IF(COUNTIFS(m_teacher,M$4,m_date,($G$2+2),m_active,1,m_start,"&lt;"&amp;660,m_end,"&gt;"&amp;600)&gt;1,"충돌",HYPERLINK("#'관리자_MASTER'!D"&amp;_xlfn.MAXIFS(m_row,m_teacher,M$4,m_date,($G$2+2),m_active,1,m_start,"&lt;"&amp;660,m_end,"&gt;"&amp;600),INDEX(m_label,_xlfn.MAXIFS(m_row,m_teacher,M$4,m_date,($G$2+2),m_active,1,m_start,"&lt;"&amp;660,m_end,"&gt;"&amp;600))))))</f>
        <v/>
      </c>
      <c r="N28" s="82" t="str">
        <f aca="false">IF(OR(N$4="",MONTH(($G$2+2))&lt;&gt;MONTH($C$2)),"",IF(COUNTIFS(m_teacher,N$4,m_date,($G$2+2),m_active,1,m_start,"&lt;"&amp;660,m_end,"&gt;"&amp;600)=0,"",IF(COUNTIFS(m_teacher,N$4,m_date,($G$2+2),m_active,1,m_start,"&lt;"&amp;660,m_end,"&gt;"&amp;600)&gt;1,"충돌",HYPERLINK("#'관리자_MASTER'!D"&amp;_xlfn.MAXIFS(m_row,m_teacher,N$4,m_date,($G$2+2),m_active,1,m_start,"&lt;"&amp;660,m_end,"&gt;"&amp;600),INDEX(m_label,_xlfn.MAXIFS(m_row,m_teacher,N$4,m_date,($G$2+2),m_active,1,m_start,"&lt;"&amp;660,m_end,"&gt;"&amp;600))))))</f>
        <v/>
      </c>
      <c r="O28" s="78"/>
      <c r="P28" s="79" t="s">
        <v>92</v>
      </c>
      <c r="Q28" s="82" t="str">
        <f aca="false">IF(OR(Q$4="",MONTH(($G$2+9))&lt;&gt;MONTH($C$2)),"",IF(COUNTIFS(m_teacher,Q$4,m_date,($G$2+9),m_active,1,m_start,"&lt;"&amp;660,m_end,"&gt;"&amp;600)=0,"",IF(COUNTIFS(m_teacher,Q$4,m_date,($G$2+9),m_active,1,m_start,"&lt;"&amp;660,m_end,"&gt;"&amp;600)&gt;1,"충돌",HYPERLINK("#'관리자_MASTER'!D"&amp;_xlfn.MAXIFS(m_row,m_teacher,Q$4,m_date,($G$2+9),m_active,1,m_start,"&lt;"&amp;660,m_end,"&gt;"&amp;600),INDEX(m_label,_xlfn.MAXIFS(m_row,m_teacher,Q$4,m_date,($G$2+9),m_active,1,m_start,"&lt;"&amp;660,m_end,"&gt;"&amp;600))))))</f>
        <v/>
      </c>
      <c r="R28" s="82" t="str">
        <f aca="false">IF(OR(R$4="",MONTH(($G$2+9))&lt;&gt;MONTH($C$2)),"",IF(COUNTIFS(m_teacher,R$4,m_date,($G$2+9),m_active,1,m_start,"&lt;"&amp;660,m_end,"&gt;"&amp;600)=0,"",IF(COUNTIFS(m_teacher,R$4,m_date,($G$2+9),m_active,1,m_start,"&lt;"&amp;660,m_end,"&gt;"&amp;600)&gt;1,"충돌",HYPERLINK("#'관리자_MASTER'!D"&amp;_xlfn.MAXIFS(m_row,m_teacher,R$4,m_date,($G$2+9),m_active,1,m_start,"&lt;"&amp;660,m_end,"&gt;"&amp;600),INDEX(m_label,_xlfn.MAXIFS(m_row,m_teacher,R$4,m_date,($G$2+9),m_active,1,m_start,"&lt;"&amp;660,m_end,"&gt;"&amp;600))))))</f>
        <v/>
      </c>
      <c r="S28" s="82" t="str">
        <f aca="false">IF(OR(S$4="",MONTH(($G$2+9))&lt;&gt;MONTH($C$2)),"",IF(COUNTIFS(m_teacher,S$4,m_date,($G$2+9),m_active,1,m_start,"&lt;"&amp;660,m_end,"&gt;"&amp;600)=0,"",IF(COUNTIFS(m_teacher,S$4,m_date,($G$2+9),m_active,1,m_start,"&lt;"&amp;660,m_end,"&gt;"&amp;600)&gt;1,"충돌",HYPERLINK("#'관리자_MASTER'!D"&amp;_xlfn.MAXIFS(m_row,m_teacher,S$4,m_date,($G$2+9),m_active,1,m_start,"&lt;"&amp;660,m_end,"&gt;"&amp;600),INDEX(m_label,_xlfn.MAXIFS(m_row,m_teacher,S$4,m_date,($G$2+9),m_active,1,m_start,"&lt;"&amp;660,m_end,"&gt;"&amp;600))))))</f>
        <v/>
      </c>
      <c r="T28" s="82" t="str">
        <f aca="false">IF(OR(T$4="",MONTH(($G$2+9))&lt;&gt;MONTH($C$2)),"",IF(COUNTIFS(m_teacher,T$4,m_date,($G$2+9),m_active,1,m_start,"&lt;"&amp;660,m_end,"&gt;"&amp;600)=0,"",IF(COUNTIFS(m_teacher,T$4,m_date,($G$2+9),m_active,1,m_start,"&lt;"&amp;660,m_end,"&gt;"&amp;600)&gt;1,"충돌",HYPERLINK("#'관리자_MASTER'!D"&amp;_xlfn.MAXIFS(m_row,m_teacher,T$4,m_date,($G$2+9),m_active,1,m_start,"&lt;"&amp;660,m_end,"&gt;"&amp;600),INDEX(m_label,_xlfn.MAXIFS(m_row,m_teacher,T$4,m_date,($G$2+9),m_active,1,m_start,"&lt;"&amp;660,m_end,"&gt;"&amp;600))))))</f>
        <v/>
      </c>
      <c r="U28" s="82" t="str">
        <f aca="false">IF(OR(U$4="",MONTH(($G$2+9))&lt;&gt;MONTH($C$2)),"",IF(COUNTIFS(m_teacher,U$4,m_date,($G$2+9),m_active,1,m_start,"&lt;"&amp;660,m_end,"&gt;"&amp;600)=0,"",IF(COUNTIFS(m_teacher,U$4,m_date,($G$2+9),m_active,1,m_start,"&lt;"&amp;660,m_end,"&gt;"&amp;600)&gt;1,"충돌",HYPERLINK("#'관리자_MASTER'!D"&amp;_xlfn.MAXIFS(m_row,m_teacher,U$4,m_date,($G$2+9),m_active,1,m_start,"&lt;"&amp;660,m_end,"&gt;"&amp;600),INDEX(m_label,_xlfn.MAXIFS(m_row,m_teacher,U$4,m_date,($G$2+9),m_active,1,m_start,"&lt;"&amp;660,m_end,"&gt;"&amp;600))))))</f>
        <v/>
      </c>
      <c r="V28" s="82" t="str">
        <f aca="false">IF(OR(V$4="",MONTH(($G$2+9))&lt;&gt;MONTH($C$2)),"",IF(COUNTIFS(m_teacher,V$4,m_date,($G$2+9),m_active,1,m_start,"&lt;"&amp;660,m_end,"&gt;"&amp;600)=0,"",IF(COUNTIFS(m_teacher,V$4,m_date,($G$2+9),m_active,1,m_start,"&lt;"&amp;660,m_end,"&gt;"&amp;600)&gt;1,"충돌",HYPERLINK("#'관리자_MASTER'!D"&amp;_xlfn.MAXIFS(m_row,m_teacher,V$4,m_date,($G$2+9),m_active,1,m_start,"&lt;"&amp;660,m_end,"&gt;"&amp;600),INDEX(m_label,_xlfn.MAXIFS(m_row,m_teacher,V$4,m_date,($G$2+9),m_active,1,m_start,"&lt;"&amp;660,m_end,"&gt;"&amp;600))))))</f>
        <v/>
      </c>
      <c r="W28" s="82" t="str">
        <f aca="false">IF(OR(W$4="",MONTH(($G$2+9))&lt;&gt;MONTH($C$2)),"",IF(COUNTIFS(m_teacher,W$4,m_date,($G$2+9),m_active,1,m_start,"&lt;"&amp;660,m_end,"&gt;"&amp;600)=0,"",IF(COUNTIFS(m_teacher,W$4,m_date,($G$2+9),m_active,1,m_start,"&lt;"&amp;660,m_end,"&gt;"&amp;600)&gt;1,"충돌",HYPERLINK("#'관리자_MASTER'!D"&amp;_xlfn.MAXIFS(m_row,m_teacher,W$4,m_date,($G$2+9),m_active,1,m_start,"&lt;"&amp;660,m_end,"&gt;"&amp;600),INDEX(m_label,_xlfn.MAXIFS(m_row,m_teacher,W$4,m_date,($G$2+9),m_active,1,m_start,"&lt;"&amp;660,m_end,"&gt;"&amp;600))))))</f>
        <v/>
      </c>
      <c r="X28" s="82" t="str">
        <f aca="false">IF(OR(X$4="",MONTH(($G$2+9))&lt;&gt;MONTH($C$2)),"",IF(COUNTIFS(m_teacher,X$4,m_date,($G$2+9),m_active,1,m_start,"&lt;"&amp;660,m_end,"&gt;"&amp;600)=0,"",IF(COUNTIFS(m_teacher,X$4,m_date,($G$2+9),m_active,1,m_start,"&lt;"&amp;660,m_end,"&gt;"&amp;600)&gt;1,"충돌",HYPERLINK("#'관리자_MASTER'!D"&amp;_xlfn.MAXIFS(m_row,m_teacher,X$4,m_date,($G$2+9),m_active,1,m_start,"&lt;"&amp;660,m_end,"&gt;"&amp;600),INDEX(m_label,_xlfn.MAXIFS(m_row,m_teacher,X$4,m_date,($G$2+9),m_active,1,m_start,"&lt;"&amp;660,m_end,"&gt;"&amp;600))))))</f>
        <v/>
      </c>
      <c r="Y28" s="82" t="str">
        <f aca="false">IF(OR(Y$4="",MONTH(($G$2+9))&lt;&gt;MONTH($C$2)),"",IF(COUNTIFS(m_teacher,Y$4,m_date,($G$2+9),m_active,1,m_start,"&lt;"&amp;660,m_end,"&gt;"&amp;600)=0,"",IF(COUNTIFS(m_teacher,Y$4,m_date,($G$2+9),m_active,1,m_start,"&lt;"&amp;660,m_end,"&gt;"&amp;600)&gt;1,"충돌",HYPERLINK("#'관리자_MASTER'!D"&amp;_xlfn.MAXIFS(m_row,m_teacher,Y$4,m_date,($G$2+9),m_active,1,m_start,"&lt;"&amp;660,m_end,"&gt;"&amp;600),INDEX(m_label,_xlfn.MAXIFS(m_row,m_teacher,Y$4,m_date,($G$2+9),m_active,1,m_start,"&lt;"&amp;660,m_end,"&gt;"&amp;600))))))</f>
        <v/>
      </c>
      <c r="Z28" s="82" t="str">
        <f aca="false">IF(OR(Z$4="",MONTH(($G$2+9))&lt;&gt;MONTH($C$2)),"",IF(COUNTIFS(m_teacher,Z$4,m_date,($G$2+9),m_active,1,m_start,"&lt;"&amp;660,m_end,"&gt;"&amp;600)=0,"",IF(COUNTIFS(m_teacher,Z$4,m_date,($G$2+9),m_active,1,m_start,"&lt;"&amp;660,m_end,"&gt;"&amp;600)&gt;1,"충돌",HYPERLINK("#'관리자_MASTER'!D"&amp;_xlfn.MAXIFS(m_row,m_teacher,Z$4,m_date,($G$2+9),m_active,1,m_start,"&lt;"&amp;660,m_end,"&gt;"&amp;600),INDEX(m_label,_xlfn.MAXIFS(m_row,m_teacher,Z$4,m_date,($G$2+9),m_active,1,m_start,"&lt;"&amp;660,m_end,"&gt;"&amp;600))))))</f>
        <v/>
      </c>
      <c r="AA28" s="82" t="str">
        <f aca="false">IF(OR(AA$4="",MONTH(($G$2+9))&lt;&gt;MONTH($C$2)),"",IF(COUNTIFS(m_teacher,AA$4,m_date,($G$2+9),m_active,1,m_start,"&lt;"&amp;660,m_end,"&gt;"&amp;600)=0,"",IF(COUNTIFS(m_teacher,AA$4,m_date,($G$2+9),m_active,1,m_start,"&lt;"&amp;660,m_end,"&gt;"&amp;600)&gt;1,"충돌",HYPERLINK("#'관리자_MASTER'!D"&amp;_xlfn.MAXIFS(m_row,m_teacher,AA$4,m_date,($G$2+9),m_active,1,m_start,"&lt;"&amp;660,m_end,"&gt;"&amp;600),INDEX(m_label,_xlfn.MAXIFS(m_row,m_teacher,AA$4,m_date,($G$2+9),m_active,1,m_start,"&lt;"&amp;660,m_end,"&gt;"&amp;600))))))</f>
        <v/>
      </c>
      <c r="AB28" s="82" t="str">
        <f aca="false">IF(OR(AB$4="",MONTH(($G$2+9))&lt;&gt;MONTH($C$2)),"",IF(COUNTIFS(m_teacher,AB$4,m_date,($G$2+9),m_active,1,m_start,"&lt;"&amp;660,m_end,"&gt;"&amp;600)=0,"",IF(COUNTIFS(m_teacher,AB$4,m_date,($G$2+9),m_active,1,m_start,"&lt;"&amp;660,m_end,"&gt;"&amp;600)&gt;1,"충돌",HYPERLINK("#'관리자_MASTER'!D"&amp;_xlfn.MAXIFS(m_row,m_teacher,AB$4,m_date,($G$2+9),m_active,1,m_start,"&lt;"&amp;660,m_end,"&gt;"&amp;600),INDEX(m_label,_xlfn.MAXIFS(m_row,m_teacher,AB$4,m_date,($G$2+9),m_active,1,m_start,"&lt;"&amp;660,m_end,"&gt;"&amp;600))))))</f>
        <v/>
      </c>
      <c r="AC28" s="78"/>
      <c r="AD28" s="79" t="s">
        <v>92</v>
      </c>
      <c r="AE28" s="82" t="str">
        <f aca="false">IF(OR(AE$4="",MONTH(($G$2+16))&lt;&gt;MONTH($C$2)),"",IF(COUNTIFS(m_teacher,AE$4,m_date,($G$2+16),m_active,1,m_start,"&lt;"&amp;660,m_end,"&gt;"&amp;600)=0,"",IF(COUNTIFS(m_teacher,AE$4,m_date,($G$2+16),m_active,1,m_start,"&lt;"&amp;660,m_end,"&gt;"&amp;600)&gt;1,"충돌",HYPERLINK("#'관리자_MASTER'!D"&amp;_xlfn.MAXIFS(m_row,m_teacher,AE$4,m_date,($G$2+16),m_active,1,m_start,"&lt;"&amp;660,m_end,"&gt;"&amp;600),INDEX(m_label,_xlfn.MAXIFS(m_row,m_teacher,AE$4,m_date,($G$2+16),m_active,1,m_start,"&lt;"&amp;660,m_end,"&gt;"&amp;600))))))</f>
        <v/>
      </c>
      <c r="AF28" s="82" t="str">
        <f aca="false">IF(OR(AF$4="",MONTH(($G$2+16))&lt;&gt;MONTH($C$2)),"",IF(COUNTIFS(m_teacher,AF$4,m_date,($G$2+16),m_active,1,m_start,"&lt;"&amp;660,m_end,"&gt;"&amp;600)=0,"",IF(COUNTIFS(m_teacher,AF$4,m_date,($G$2+16),m_active,1,m_start,"&lt;"&amp;660,m_end,"&gt;"&amp;600)&gt;1,"충돌",HYPERLINK("#'관리자_MASTER'!D"&amp;_xlfn.MAXIFS(m_row,m_teacher,AF$4,m_date,($G$2+16),m_active,1,m_start,"&lt;"&amp;660,m_end,"&gt;"&amp;600),INDEX(m_label,_xlfn.MAXIFS(m_row,m_teacher,AF$4,m_date,($G$2+16),m_active,1,m_start,"&lt;"&amp;660,m_end,"&gt;"&amp;600))))))</f>
        <v/>
      </c>
      <c r="AG28" s="82" t="str">
        <f aca="false">IF(OR(AG$4="",MONTH(($G$2+16))&lt;&gt;MONTH($C$2)),"",IF(COUNTIFS(m_teacher,AG$4,m_date,($G$2+16),m_active,1,m_start,"&lt;"&amp;660,m_end,"&gt;"&amp;600)=0,"",IF(COUNTIFS(m_teacher,AG$4,m_date,($G$2+16),m_active,1,m_start,"&lt;"&amp;660,m_end,"&gt;"&amp;600)&gt;1,"충돌",HYPERLINK("#'관리자_MASTER'!D"&amp;_xlfn.MAXIFS(m_row,m_teacher,AG$4,m_date,($G$2+16),m_active,1,m_start,"&lt;"&amp;660,m_end,"&gt;"&amp;600),INDEX(m_label,_xlfn.MAXIFS(m_row,m_teacher,AG$4,m_date,($G$2+16),m_active,1,m_start,"&lt;"&amp;660,m_end,"&gt;"&amp;600))))))</f>
        <v/>
      </c>
      <c r="AH28" s="82" t="str">
        <f aca="false">IF(OR(AH$4="",MONTH(($G$2+16))&lt;&gt;MONTH($C$2)),"",IF(COUNTIFS(m_teacher,AH$4,m_date,($G$2+16),m_active,1,m_start,"&lt;"&amp;660,m_end,"&gt;"&amp;600)=0,"",IF(COUNTIFS(m_teacher,AH$4,m_date,($G$2+16),m_active,1,m_start,"&lt;"&amp;660,m_end,"&gt;"&amp;600)&gt;1,"충돌",HYPERLINK("#'관리자_MASTER'!D"&amp;_xlfn.MAXIFS(m_row,m_teacher,AH$4,m_date,($G$2+16),m_active,1,m_start,"&lt;"&amp;660,m_end,"&gt;"&amp;600),INDEX(m_label,_xlfn.MAXIFS(m_row,m_teacher,AH$4,m_date,($G$2+16),m_active,1,m_start,"&lt;"&amp;660,m_end,"&gt;"&amp;600))))))</f>
        <v/>
      </c>
      <c r="AI28" s="82" t="str">
        <f aca="false">IF(OR(AI$4="",MONTH(($G$2+16))&lt;&gt;MONTH($C$2)),"",IF(COUNTIFS(m_teacher,AI$4,m_date,($G$2+16),m_active,1,m_start,"&lt;"&amp;660,m_end,"&gt;"&amp;600)=0,"",IF(COUNTIFS(m_teacher,AI$4,m_date,($G$2+16),m_active,1,m_start,"&lt;"&amp;660,m_end,"&gt;"&amp;600)&gt;1,"충돌",HYPERLINK("#'관리자_MASTER'!D"&amp;_xlfn.MAXIFS(m_row,m_teacher,AI$4,m_date,($G$2+16),m_active,1,m_start,"&lt;"&amp;660,m_end,"&gt;"&amp;600),INDEX(m_label,_xlfn.MAXIFS(m_row,m_teacher,AI$4,m_date,($G$2+16),m_active,1,m_start,"&lt;"&amp;660,m_end,"&gt;"&amp;600))))))</f>
        <v/>
      </c>
      <c r="AJ28" s="82" t="str">
        <f aca="false">IF(OR(AJ$4="",MONTH(($G$2+16))&lt;&gt;MONTH($C$2)),"",IF(COUNTIFS(m_teacher,AJ$4,m_date,($G$2+16),m_active,1,m_start,"&lt;"&amp;660,m_end,"&gt;"&amp;600)=0,"",IF(COUNTIFS(m_teacher,AJ$4,m_date,($G$2+16),m_active,1,m_start,"&lt;"&amp;660,m_end,"&gt;"&amp;600)&gt;1,"충돌",HYPERLINK("#'관리자_MASTER'!D"&amp;_xlfn.MAXIFS(m_row,m_teacher,AJ$4,m_date,($G$2+16),m_active,1,m_start,"&lt;"&amp;660,m_end,"&gt;"&amp;600),INDEX(m_label,_xlfn.MAXIFS(m_row,m_teacher,AJ$4,m_date,($G$2+16),m_active,1,m_start,"&lt;"&amp;660,m_end,"&gt;"&amp;600))))))</f>
        <v/>
      </c>
      <c r="AK28" s="82" t="str">
        <f aca="false">IF(OR(AK$4="",MONTH(($G$2+16))&lt;&gt;MONTH($C$2)),"",IF(COUNTIFS(m_teacher,AK$4,m_date,($G$2+16),m_active,1,m_start,"&lt;"&amp;660,m_end,"&gt;"&amp;600)=0,"",IF(COUNTIFS(m_teacher,AK$4,m_date,($G$2+16),m_active,1,m_start,"&lt;"&amp;660,m_end,"&gt;"&amp;600)&gt;1,"충돌",HYPERLINK("#'관리자_MASTER'!D"&amp;_xlfn.MAXIFS(m_row,m_teacher,AK$4,m_date,($G$2+16),m_active,1,m_start,"&lt;"&amp;660,m_end,"&gt;"&amp;600),INDEX(m_label,_xlfn.MAXIFS(m_row,m_teacher,AK$4,m_date,($G$2+16),m_active,1,m_start,"&lt;"&amp;660,m_end,"&gt;"&amp;600))))))</f>
        <v/>
      </c>
      <c r="AL28" s="82" t="str">
        <f aca="false">IF(OR(AL$4="",MONTH(($G$2+16))&lt;&gt;MONTH($C$2)),"",IF(COUNTIFS(m_teacher,AL$4,m_date,($G$2+16),m_active,1,m_start,"&lt;"&amp;660,m_end,"&gt;"&amp;600)=0,"",IF(COUNTIFS(m_teacher,AL$4,m_date,($G$2+16),m_active,1,m_start,"&lt;"&amp;660,m_end,"&gt;"&amp;600)&gt;1,"충돌",HYPERLINK("#'관리자_MASTER'!D"&amp;_xlfn.MAXIFS(m_row,m_teacher,AL$4,m_date,($G$2+16),m_active,1,m_start,"&lt;"&amp;660,m_end,"&gt;"&amp;600),INDEX(m_label,_xlfn.MAXIFS(m_row,m_teacher,AL$4,m_date,($G$2+16),m_active,1,m_start,"&lt;"&amp;660,m_end,"&gt;"&amp;600))))))</f>
        <v/>
      </c>
      <c r="AM28" s="82" t="str">
        <f aca="false">IF(OR(AM$4="",MONTH(($G$2+16))&lt;&gt;MONTH($C$2)),"",IF(COUNTIFS(m_teacher,AM$4,m_date,($G$2+16),m_active,1,m_start,"&lt;"&amp;660,m_end,"&gt;"&amp;600)=0,"",IF(COUNTIFS(m_teacher,AM$4,m_date,($G$2+16),m_active,1,m_start,"&lt;"&amp;660,m_end,"&gt;"&amp;600)&gt;1,"충돌",HYPERLINK("#'관리자_MASTER'!D"&amp;_xlfn.MAXIFS(m_row,m_teacher,AM$4,m_date,($G$2+16),m_active,1,m_start,"&lt;"&amp;660,m_end,"&gt;"&amp;600),INDEX(m_label,_xlfn.MAXIFS(m_row,m_teacher,AM$4,m_date,($G$2+16),m_active,1,m_start,"&lt;"&amp;660,m_end,"&gt;"&amp;600))))))</f>
        <v/>
      </c>
      <c r="AN28" s="82" t="str">
        <f aca="false">IF(OR(AN$4="",MONTH(($G$2+16))&lt;&gt;MONTH($C$2)),"",IF(COUNTIFS(m_teacher,AN$4,m_date,($G$2+16),m_active,1,m_start,"&lt;"&amp;660,m_end,"&gt;"&amp;600)=0,"",IF(COUNTIFS(m_teacher,AN$4,m_date,($G$2+16),m_active,1,m_start,"&lt;"&amp;660,m_end,"&gt;"&amp;600)&gt;1,"충돌",HYPERLINK("#'관리자_MASTER'!D"&amp;_xlfn.MAXIFS(m_row,m_teacher,AN$4,m_date,($G$2+16),m_active,1,m_start,"&lt;"&amp;660,m_end,"&gt;"&amp;600),INDEX(m_label,_xlfn.MAXIFS(m_row,m_teacher,AN$4,m_date,($G$2+16),m_active,1,m_start,"&lt;"&amp;660,m_end,"&gt;"&amp;600))))))</f>
        <v/>
      </c>
      <c r="AO28" s="82" t="str">
        <f aca="false">IF(OR(AO$4="",MONTH(($G$2+16))&lt;&gt;MONTH($C$2)),"",IF(COUNTIFS(m_teacher,AO$4,m_date,($G$2+16),m_active,1,m_start,"&lt;"&amp;660,m_end,"&gt;"&amp;600)=0,"",IF(COUNTIFS(m_teacher,AO$4,m_date,($G$2+16),m_active,1,m_start,"&lt;"&amp;660,m_end,"&gt;"&amp;600)&gt;1,"충돌",HYPERLINK("#'관리자_MASTER'!D"&amp;_xlfn.MAXIFS(m_row,m_teacher,AO$4,m_date,($G$2+16),m_active,1,m_start,"&lt;"&amp;660,m_end,"&gt;"&amp;600),INDEX(m_label,_xlfn.MAXIFS(m_row,m_teacher,AO$4,m_date,($G$2+16),m_active,1,m_start,"&lt;"&amp;660,m_end,"&gt;"&amp;600))))))</f>
        <v/>
      </c>
      <c r="AP28" s="82" t="str">
        <f aca="false">IF(OR(AP$4="",MONTH(($G$2+16))&lt;&gt;MONTH($C$2)),"",IF(COUNTIFS(m_teacher,AP$4,m_date,($G$2+16),m_active,1,m_start,"&lt;"&amp;660,m_end,"&gt;"&amp;600)=0,"",IF(COUNTIFS(m_teacher,AP$4,m_date,($G$2+16),m_active,1,m_start,"&lt;"&amp;660,m_end,"&gt;"&amp;600)&gt;1,"충돌",HYPERLINK("#'관리자_MASTER'!D"&amp;_xlfn.MAXIFS(m_row,m_teacher,AP$4,m_date,($G$2+16),m_active,1,m_start,"&lt;"&amp;660,m_end,"&gt;"&amp;600),INDEX(m_label,_xlfn.MAXIFS(m_row,m_teacher,AP$4,m_date,($G$2+16),m_active,1,m_start,"&lt;"&amp;660,m_end,"&gt;"&amp;600))))))</f>
        <v/>
      </c>
      <c r="AQ28" s="78"/>
      <c r="AR28" s="79" t="s">
        <v>92</v>
      </c>
      <c r="AS28" s="82" t="str">
        <f aca="false">IF(OR(AS$4="",MONTH(($G$2+23))&lt;&gt;MONTH($C$2)),"",IF(COUNTIFS(m_teacher,AS$4,m_date,($G$2+23),m_active,1,m_start,"&lt;"&amp;660,m_end,"&gt;"&amp;600)=0,"",IF(COUNTIFS(m_teacher,AS$4,m_date,($G$2+23),m_active,1,m_start,"&lt;"&amp;660,m_end,"&gt;"&amp;600)&gt;1,"충돌",HYPERLINK("#'관리자_MASTER'!D"&amp;_xlfn.MAXIFS(m_row,m_teacher,AS$4,m_date,($G$2+23),m_active,1,m_start,"&lt;"&amp;660,m_end,"&gt;"&amp;600),INDEX(m_label,_xlfn.MAXIFS(m_row,m_teacher,AS$4,m_date,($G$2+23),m_active,1,m_start,"&lt;"&amp;660,m_end,"&gt;"&amp;600))))))</f>
        <v/>
      </c>
      <c r="AT28" s="82" t="str">
        <f aca="false">IF(OR(AT$4="",MONTH(($G$2+23))&lt;&gt;MONTH($C$2)),"",IF(COUNTIFS(m_teacher,AT$4,m_date,($G$2+23),m_active,1,m_start,"&lt;"&amp;660,m_end,"&gt;"&amp;600)=0,"",IF(COUNTIFS(m_teacher,AT$4,m_date,($G$2+23),m_active,1,m_start,"&lt;"&amp;660,m_end,"&gt;"&amp;600)&gt;1,"충돌",HYPERLINK("#'관리자_MASTER'!D"&amp;_xlfn.MAXIFS(m_row,m_teacher,AT$4,m_date,($G$2+23),m_active,1,m_start,"&lt;"&amp;660,m_end,"&gt;"&amp;600),INDEX(m_label,_xlfn.MAXIFS(m_row,m_teacher,AT$4,m_date,($G$2+23),m_active,1,m_start,"&lt;"&amp;660,m_end,"&gt;"&amp;600))))))</f>
        <v/>
      </c>
      <c r="AU28" s="82" t="str">
        <f aca="false">IF(OR(AU$4="",MONTH(($G$2+23))&lt;&gt;MONTH($C$2)),"",IF(COUNTIFS(m_teacher,AU$4,m_date,($G$2+23),m_active,1,m_start,"&lt;"&amp;660,m_end,"&gt;"&amp;600)=0,"",IF(COUNTIFS(m_teacher,AU$4,m_date,($G$2+23),m_active,1,m_start,"&lt;"&amp;660,m_end,"&gt;"&amp;600)&gt;1,"충돌",HYPERLINK("#'관리자_MASTER'!D"&amp;_xlfn.MAXIFS(m_row,m_teacher,AU$4,m_date,($G$2+23),m_active,1,m_start,"&lt;"&amp;660,m_end,"&gt;"&amp;600),INDEX(m_label,_xlfn.MAXIFS(m_row,m_teacher,AU$4,m_date,($G$2+23),m_active,1,m_start,"&lt;"&amp;660,m_end,"&gt;"&amp;600))))))</f>
        <v/>
      </c>
      <c r="AV28" s="82" t="str">
        <f aca="false">IF(OR(AV$4="",MONTH(($G$2+23))&lt;&gt;MONTH($C$2)),"",IF(COUNTIFS(m_teacher,AV$4,m_date,($G$2+23),m_active,1,m_start,"&lt;"&amp;660,m_end,"&gt;"&amp;600)=0,"",IF(COUNTIFS(m_teacher,AV$4,m_date,($G$2+23),m_active,1,m_start,"&lt;"&amp;660,m_end,"&gt;"&amp;600)&gt;1,"충돌",HYPERLINK("#'관리자_MASTER'!D"&amp;_xlfn.MAXIFS(m_row,m_teacher,AV$4,m_date,($G$2+23),m_active,1,m_start,"&lt;"&amp;660,m_end,"&gt;"&amp;600),INDEX(m_label,_xlfn.MAXIFS(m_row,m_teacher,AV$4,m_date,($G$2+23),m_active,1,m_start,"&lt;"&amp;660,m_end,"&gt;"&amp;600))))))</f>
        <v/>
      </c>
      <c r="AW28" s="82" t="str">
        <f aca="false">IF(OR(AW$4="",MONTH(($G$2+23))&lt;&gt;MONTH($C$2)),"",IF(COUNTIFS(m_teacher,AW$4,m_date,($G$2+23),m_active,1,m_start,"&lt;"&amp;660,m_end,"&gt;"&amp;600)=0,"",IF(COUNTIFS(m_teacher,AW$4,m_date,($G$2+23),m_active,1,m_start,"&lt;"&amp;660,m_end,"&gt;"&amp;600)&gt;1,"충돌",HYPERLINK("#'관리자_MASTER'!D"&amp;_xlfn.MAXIFS(m_row,m_teacher,AW$4,m_date,($G$2+23),m_active,1,m_start,"&lt;"&amp;660,m_end,"&gt;"&amp;600),INDEX(m_label,_xlfn.MAXIFS(m_row,m_teacher,AW$4,m_date,($G$2+23),m_active,1,m_start,"&lt;"&amp;660,m_end,"&gt;"&amp;600))))))</f>
        <v/>
      </c>
      <c r="AX28" s="82" t="str">
        <f aca="false">IF(OR(AX$4="",MONTH(($G$2+23))&lt;&gt;MONTH($C$2)),"",IF(COUNTIFS(m_teacher,AX$4,m_date,($G$2+23),m_active,1,m_start,"&lt;"&amp;660,m_end,"&gt;"&amp;600)=0,"",IF(COUNTIFS(m_teacher,AX$4,m_date,($G$2+23),m_active,1,m_start,"&lt;"&amp;660,m_end,"&gt;"&amp;600)&gt;1,"충돌",HYPERLINK("#'관리자_MASTER'!D"&amp;_xlfn.MAXIFS(m_row,m_teacher,AX$4,m_date,($G$2+23),m_active,1,m_start,"&lt;"&amp;660,m_end,"&gt;"&amp;600),INDEX(m_label,_xlfn.MAXIFS(m_row,m_teacher,AX$4,m_date,($G$2+23),m_active,1,m_start,"&lt;"&amp;660,m_end,"&gt;"&amp;600))))))</f>
        <v/>
      </c>
      <c r="AY28" s="82" t="str">
        <f aca="false">IF(OR(AY$4="",MONTH(($G$2+23))&lt;&gt;MONTH($C$2)),"",IF(COUNTIFS(m_teacher,AY$4,m_date,($G$2+23),m_active,1,m_start,"&lt;"&amp;660,m_end,"&gt;"&amp;600)=0,"",IF(COUNTIFS(m_teacher,AY$4,m_date,($G$2+23),m_active,1,m_start,"&lt;"&amp;660,m_end,"&gt;"&amp;600)&gt;1,"충돌",HYPERLINK("#'관리자_MASTER'!D"&amp;_xlfn.MAXIFS(m_row,m_teacher,AY$4,m_date,($G$2+23),m_active,1,m_start,"&lt;"&amp;660,m_end,"&gt;"&amp;600),INDEX(m_label,_xlfn.MAXIFS(m_row,m_teacher,AY$4,m_date,($G$2+23),m_active,1,m_start,"&lt;"&amp;660,m_end,"&gt;"&amp;600))))))</f>
        <v/>
      </c>
      <c r="AZ28" s="82" t="str">
        <f aca="false">IF(OR(AZ$4="",MONTH(($G$2+23))&lt;&gt;MONTH($C$2)),"",IF(COUNTIFS(m_teacher,AZ$4,m_date,($G$2+23),m_active,1,m_start,"&lt;"&amp;660,m_end,"&gt;"&amp;600)=0,"",IF(COUNTIFS(m_teacher,AZ$4,m_date,($G$2+23),m_active,1,m_start,"&lt;"&amp;660,m_end,"&gt;"&amp;600)&gt;1,"충돌",HYPERLINK("#'관리자_MASTER'!D"&amp;_xlfn.MAXIFS(m_row,m_teacher,AZ$4,m_date,($G$2+23),m_active,1,m_start,"&lt;"&amp;660,m_end,"&gt;"&amp;600),INDEX(m_label,_xlfn.MAXIFS(m_row,m_teacher,AZ$4,m_date,($G$2+23),m_active,1,m_start,"&lt;"&amp;660,m_end,"&gt;"&amp;600))))))</f>
        <v/>
      </c>
      <c r="BA28" s="82" t="str">
        <f aca="false">IF(OR(BA$4="",MONTH(($G$2+23))&lt;&gt;MONTH($C$2)),"",IF(COUNTIFS(m_teacher,BA$4,m_date,($G$2+23),m_active,1,m_start,"&lt;"&amp;660,m_end,"&gt;"&amp;600)=0,"",IF(COUNTIFS(m_teacher,BA$4,m_date,($G$2+23),m_active,1,m_start,"&lt;"&amp;660,m_end,"&gt;"&amp;600)&gt;1,"충돌",HYPERLINK("#'관리자_MASTER'!D"&amp;_xlfn.MAXIFS(m_row,m_teacher,BA$4,m_date,($G$2+23),m_active,1,m_start,"&lt;"&amp;660,m_end,"&gt;"&amp;600),INDEX(m_label,_xlfn.MAXIFS(m_row,m_teacher,BA$4,m_date,($G$2+23),m_active,1,m_start,"&lt;"&amp;660,m_end,"&gt;"&amp;600))))))</f>
        <v/>
      </c>
      <c r="BB28" s="82" t="str">
        <f aca="false">IF(OR(BB$4="",MONTH(($G$2+23))&lt;&gt;MONTH($C$2)),"",IF(COUNTIFS(m_teacher,BB$4,m_date,($G$2+23),m_active,1,m_start,"&lt;"&amp;660,m_end,"&gt;"&amp;600)=0,"",IF(COUNTIFS(m_teacher,BB$4,m_date,($G$2+23),m_active,1,m_start,"&lt;"&amp;660,m_end,"&gt;"&amp;600)&gt;1,"충돌",HYPERLINK("#'관리자_MASTER'!D"&amp;_xlfn.MAXIFS(m_row,m_teacher,BB$4,m_date,($G$2+23),m_active,1,m_start,"&lt;"&amp;660,m_end,"&gt;"&amp;600),INDEX(m_label,_xlfn.MAXIFS(m_row,m_teacher,BB$4,m_date,($G$2+23),m_active,1,m_start,"&lt;"&amp;660,m_end,"&gt;"&amp;600))))))</f>
        <v/>
      </c>
      <c r="BC28" s="82" t="str">
        <f aca="false">IF(OR(BC$4="",MONTH(($G$2+23))&lt;&gt;MONTH($C$2)),"",IF(COUNTIFS(m_teacher,BC$4,m_date,($G$2+23),m_active,1,m_start,"&lt;"&amp;660,m_end,"&gt;"&amp;600)=0,"",IF(COUNTIFS(m_teacher,BC$4,m_date,($G$2+23),m_active,1,m_start,"&lt;"&amp;660,m_end,"&gt;"&amp;600)&gt;1,"충돌",HYPERLINK("#'관리자_MASTER'!D"&amp;_xlfn.MAXIFS(m_row,m_teacher,BC$4,m_date,($G$2+23),m_active,1,m_start,"&lt;"&amp;660,m_end,"&gt;"&amp;600),INDEX(m_label,_xlfn.MAXIFS(m_row,m_teacher,BC$4,m_date,($G$2+23),m_active,1,m_start,"&lt;"&amp;660,m_end,"&gt;"&amp;600))))))</f>
        <v/>
      </c>
      <c r="BD28" s="82" t="str">
        <f aca="false">IF(OR(BD$4="",MONTH(($G$2+23))&lt;&gt;MONTH($C$2)),"",IF(COUNTIFS(m_teacher,BD$4,m_date,($G$2+23),m_active,1,m_start,"&lt;"&amp;660,m_end,"&gt;"&amp;600)=0,"",IF(COUNTIFS(m_teacher,BD$4,m_date,($G$2+23),m_active,1,m_start,"&lt;"&amp;660,m_end,"&gt;"&amp;600)&gt;1,"충돌",HYPERLINK("#'관리자_MASTER'!D"&amp;_xlfn.MAXIFS(m_row,m_teacher,BD$4,m_date,($G$2+23),m_active,1,m_start,"&lt;"&amp;660,m_end,"&gt;"&amp;600),INDEX(m_label,_xlfn.MAXIFS(m_row,m_teacher,BD$4,m_date,($G$2+23),m_active,1,m_start,"&lt;"&amp;660,m_end,"&gt;"&amp;600))))))</f>
        <v/>
      </c>
    </row>
    <row r="29" customFormat="false" ht="19.5" hidden="false" customHeight="true" outlineLevel="0" collapsed="false">
      <c r="A29" s="78"/>
      <c r="B29" s="79" t="s">
        <v>93</v>
      </c>
      <c r="C29" s="82" t="str">
        <f aca="false">IF(OR(C$4="",MONTH(($G$2+2))&lt;&gt;MONTH($C$2)),"",IF(COUNTIFS(m_teacher,C$4,m_date,($G$2+2),m_active,1,m_start,"&lt;"&amp;720,m_end,"&gt;"&amp;660)=0,"",IF(COUNTIFS(m_teacher,C$4,m_date,($G$2+2),m_active,1,m_start,"&lt;"&amp;720,m_end,"&gt;"&amp;660)&gt;1,"충돌",HYPERLINK("#'관리자_MASTER'!D"&amp;_xlfn.MAXIFS(m_row,m_teacher,C$4,m_date,($G$2+2),m_active,1,m_start,"&lt;"&amp;720,m_end,"&gt;"&amp;660),INDEX(m_label,_xlfn.MAXIFS(m_row,m_teacher,C$4,m_date,($G$2+2),m_active,1,m_start,"&lt;"&amp;720,m_end,"&gt;"&amp;660))))))</f>
        <v/>
      </c>
      <c r="D29" s="82" t="str">
        <f aca="false">IF(OR(D$4="",MONTH(($G$2+2))&lt;&gt;MONTH($C$2)),"",IF(COUNTIFS(m_teacher,D$4,m_date,($G$2+2),m_active,1,m_start,"&lt;"&amp;720,m_end,"&gt;"&amp;660)=0,"",IF(COUNTIFS(m_teacher,D$4,m_date,($G$2+2),m_active,1,m_start,"&lt;"&amp;720,m_end,"&gt;"&amp;660)&gt;1,"충돌",HYPERLINK("#'관리자_MASTER'!D"&amp;_xlfn.MAXIFS(m_row,m_teacher,D$4,m_date,($G$2+2),m_active,1,m_start,"&lt;"&amp;720,m_end,"&gt;"&amp;660),INDEX(m_label,_xlfn.MAXIFS(m_row,m_teacher,D$4,m_date,($G$2+2),m_active,1,m_start,"&lt;"&amp;720,m_end,"&gt;"&amp;660))))))</f>
        <v/>
      </c>
      <c r="E29" s="82" t="str">
        <f aca="false">IF(OR(E$4="",MONTH(($G$2+2))&lt;&gt;MONTH($C$2)),"",IF(COUNTIFS(m_teacher,E$4,m_date,($G$2+2),m_active,1,m_start,"&lt;"&amp;720,m_end,"&gt;"&amp;660)=0,"",IF(COUNTIFS(m_teacher,E$4,m_date,($G$2+2),m_active,1,m_start,"&lt;"&amp;720,m_end,"&gt;"&amp;660)&gt;1,"충돌",HYPERLINK("#'관리자_MASTER'!D"&amp;_xlfn.MAXIFS(m_row,m_teacher,E$4,m_date,($G$2+2),m_active,1,m_start,"&lt;"&amp;720,m_end,"&gt;"&amp;660),INDEX(m_label,_xlfn.MAXIFS(m_row,m_teacher,E$4,m_date,($G$2+2),m_active,1,m_start,"&lt;"&amp;720,m_end,"&gt;"&amp;660))))))</f>
        <v/>
      </c>
      <c r="F29" s="82" t="str">
        <f aca="false">IF(OR(F$4="",MONTH(($G$2+2))&lt;&gt;MONTH($C$2)),"",IF(COUNTIFS(m_teacher,F$4,m_date,($G$2+2),m_active,1,m_start,"&lt;"&amp;720,m_end,"&gt;"&amp;660)=0,"",IF(COUNTIFS(m_teacher,F$4,m_date,($G$2+2),m_active,1,m_start,"&lt;"&amp;720,m_end,"&gt;"&amp;660)&gt;1,"충돌",HYPERLINK("#'관리자_MASTER'!D"&amp;_xlfn.MAXIFS(m_row,m_teacher,F$4,m_date,($G$2+2),m_active,1,m_start,"&lt;"&amp;720,m_end,"&gt;"&amp;660),INDEX(m_label,_xlfn.MAXIFS(m_row,m_teacher,F$4,m_date,($G$2+2),m_active,1,m_start,"&lt;"&amp;720,m_end,"&gt;"&amp;660))))))</f>
        <v/>
      </c>
      <c r="G29" s="82" t="str">
        <f aca="false">IF(OR(G$4="",MONTH(($G$2+2))&lt;&gt;MONTH($C$2)),"",IF(COUNTIFS(m_teacher,G$4,m_date,($G$2+2),m_active,1,m_start,"&lt;"&amp;720,m_end,"&gt;"&amp;660)=0,"",IF(COUNTIFS(m_teacher,G$4,m_date,($G$2+2),m_active,1,m_start,"&lt;"&amp;720,m_end,"&gt;"&amp;660)&gt;1,"충돌",HYPERLINK("#'관리자_MASTER'!D"&amp;_xlfn.MAXIFS(m_row,m_teacher,G$4,m_date,($G$2+2),m_active,1,m_start,"&lt;"&amp;720,m_end,"&gt;"&amp;660),INDEX(m_label,_xlfn.MAXIFS(m_row,m_teacher,G$4,m_date,($G$2+2),m_active,1,m_start,"&lt;"&amp;720,m_end,"&gt;"&amp;660))))))</f>
        <v/>
      </c>
      <c r="H29" s="82" t="str">
        <f aca="false">IF(OR(H$4="",MONTH(($G$2+2))&lt;&gt;MONTH($C$2)),"",IF(COUNTIFS(m_teacher,H$4,m_date,($G$2+2),m_active,1,m_start,"&lt;"&amp;720,m_end,"&gt;"&amp;660)=0,"",IF(COUNTIFS(m_teacher,H$4,m_date,($G$2+2),m_active,1,m_start,"&lt;"&amp;720,m_end,"&gt;"&amp;660)&gt;1,"충돌",HYPERLINK("#'관리자_MASTER'!D"&amp;_xlfn.MAXIFS(m_row,m_teacher,H$4,m_date,($G$2+2),m_active,1,m_start,"&lt;"&amp;720,m_end,"&gt;"&amp;660),INDEX(m_label,_xlfn.MAXIFS(m_row,m_teacher,H$4,m_date,($G$2+2),m_active,1,m_start,"&lt;"&amp;720,m_end,"&gt;"&amp;660))))))</f>
        <v/>
      </c>
      <c r="I29" s="82" t="str">
        <f aca="false">IF(OR(I$4="",MONTH(($G$2+2))&lt;&gt;MONTH($C$2)),"",IF(COUNTIFS(m_teacher,I$4,m_date,($G$2+2),m_active,1,m_start,"&lt;"&amp;720,m_end,"&gt;"&amp;660)=0,"",IF(COUNTIFS(m_teacher,I$4,m_date,($G$2+2),m_active,1,m_start,"&lt;"&amp;720,m_end,"&gt;"&amp;660)&gt;1,"충돌",HYPERLINK("#'관리자_MASTER'!D"&amp;_xlfn.MAXIFS(m_row,m_teacher,I$4,m_date,($G$2+2),m_active,1,m_start,"&lt;"&amp;720,m_end,"&gt;"&amp;660),INDEX(m_label,_xlfn.MAXIFS(m_row,m_teacher,I$4,m_date,($G$2+2),m_active,1,m_start,"&lt;"&amp;720,m_end,"&gt;"&amp;660))))))</f>
        <v/>
      </c>
      <c r="J29" s="82" t="str">
        <f aca="false">IF(OR(J$4="",MONTH(($G$2+2))&lt;&gt;MONTH($C$2)),"",IF(COUNTIFS(m_teacher,J$4,m_date,($G$2+2),m_active,1,m_start,"&lt;"&amp;720,m_end,"&gt;"&amp;660)=0,"",IF(COUNTIFS(m_teacher,J$4,m_date,($G$2+2),m_active,1,m_start,"&lt;"&amp;720,m_end,"&gt;"&amp;660)&gt;1,"충돌",HYPERLINK("#'관리자_MASTER'!D"&amp;_xlfn.MAXIFS(m_row,m_teacher,J$4,m_date,($G$2+2),m_active,1,m_start,"&lt;"&amp;720,m_end,"&gt;"&amp;660),INDEX(m_label,_xlfn.MAXIFS(m_row,m_teacher,J$4,m_date,($G$2+2),m_active,1,m_start,"&lt;"&amp;720,m_end,"&gt;"&amp;660))))))</f>
        <v/>
      </c>
      <c r="K29" s="82" t="str">
        <f aca="false">IF(OR(K$4="",MONTH(($G$2+2))&lt;&gt;MONTH($C$2)),"",IF(COUNTIFS(m_teacher,K$4,m_date,($G$2+2),m_active,1,m_start,"&lt;"&amp;720,m_end,"&gt;"&amp;660)=0,"",IF(COUNTIFS(m_teacher,K$4,m_date,($G$2+2),m_active,1,m_start,"&lt;"&amp;720,m_end,"&gt;"&amp;660)&gt;1,"충돌",HYPERLINK("#'관리자_MASTER'!D"&amp;_xlfn.MAXIFS(m_row,m_teacher,K$4,m_date,($G$2+2),m_active,1,m_start,"&lt;"&amp;720,m_end,"&gt;"&amp;660),INDEX(m_label,_xlfn.MAXIFS(m_row,m_teacher,K$4,m_date,($G$2+2),m_active,1,m_start,"&lt;"&amp;720,m_end,"&gt;"&amp;660))))))</f>
        <v/>
      </c>
      <c r="L29" s="82" t="str">
        <f aca="false">IF(OR(L$4="",MONTH(($G$2+2))&lt;&gt;MONTH($C$2)),"",IF(COUNTIFS(m_teacher,L$4,m_date,($G$2+2),m_active,1,m_start,"&lt;"&amp;720,m_end,"&gt;"&amp;660)=0,"",IF(COUNTIFS(m_teacher,L$4,m_date,($G$2+2),m_active,1,m_start,"&lt;"&amp;720,m_end,"&gt;"&amp;660)&gt;1,"충돌",HYPERLINK("#'관리자_MASTER'!D"&amp;_xlfn.MAXIFS(m_row,m_teacher,L$4,m_date,($G$2+2),m_active,1,m_start,"&lt;"&amp;720,m_end,"&gt;"&amp;660),INDEX(m_label,_xlfn.MAXIFS(m_row,m_teacher,L$4,m_date,($G$2+2),m_active,1,m_start,"&lt;"&amp;720,m_end,"&gt;"&amp;660))))))</f>
        <v/>
      </c>
      <c r="M29" s="82" t="str">
        <f aca="false">IF(OR(M$4="",MONTH(($G$2+2))&lt;&gt;MONTH($C$2)),"",IF(COUNTIFS(m_teacher,M$4,m_date,($G$2+2),m_active,1,m_start,"&lt;"&amp;720,m_end,"&gt;"&amp;660)=0,"",IF(COUNTIFS(m_teacher,M$4,m_date,($G$2+2),m_active,1,m_start,"&lt;"&amp;720,m_end,"&gt;"&amp;660)&gt;1,"충돌",HYPERLINK("#'관리자_MASTER'!D"&amp;_xlfn.MAXIFS(m_row,m_teacher,M$4,m_date,($G$2+2),m_active,1,m_start,"&lt;"&amp;720,m_end,"&gt;"&amp;660),INDEX(m_label,_xlfn.MAXIFS(m_row,m_teacher,M$4,m_date,($G$2+2),m_active,1,m_start,"&lt;"&amp;720,m_end,"&gt;"&amp;660))))))</f>
        <v/>
      </c>
      <c r="N29" s="82" t="str">
        <f aca="false">IF(OR(N$4="",MONTH(($G$2+2))&lt;&gt;MONTH($C$2)),"",IF(COUNTIFS(m_teacher,N$4,m_date,($G$2+2),m_active,1,m_start,"&lt;"&amp;720,m_end,"&gt;"&amp;660)=0,"",IF(COUNTIFS(m_teacher,N$4,m_date,($G$2+2),m_active,1,m_start,"&lt;"&amp;720,m_end,"&gt;"&amp;660)&gt;1,"충돌",HYPERLINK("#'관리자_MASTER'!D"&amp;_xlfn.MAXIFS(m_row,m_teacher,N$4,m_date,($G$2+2),m_active,1,m_start,"&lt;"&amp;720,m_end,"&gt;"&amp;660),INDEX(m_label,_xlfn.MAXIFS(m_row,m_teacher,N$4,m_date,($G$2+2),m_active,1,m_start,"&lt;"&amp;720,m_end,"&gt;"&amp;660))))))</f>
        <v/>
      </c>
      <c r="O29" s="78"/>
      <c r="P29" s="79" t="s">
        <v>93</v>
      </c>
      <c r="Q29" s="82" t="str">
        <f aca="false">IF(OR(Q$4="",MONTH(($G$2+9))&lt;&gt;MONTH($C$2)),"",IF(COUNTIFS(m_teacher,Q$4,m_date,($G$2+9),m_active,1,m_start,"&lt;"&amp;720,m_end,"&gt;"&amp;660)=0,"",IF(COUNTIFS(m_teacher,Q$4,m_date,($G$2+9),m_active,1,m_start,"&lt;"&amp;720,m_end,"&gt;"&amp;660)&gt;1,"충돌",HYPERLINK("#'관리자_MASTER'!D"&amp;_xlfn.MAXIFS(m_row,m_teacher,Q$4,m_date,($G$2+9),m_active,1,m_start,"&lt;"&amp;720,m_end,"&gt;"&amp;660),INDEX(m_label,_xlfn.MAXIFS(m_row,m_teacher,Q$4,m_date,($G$2+9),m_active,1,m_start,"&lt;"&amp;720,m_end,"&gt;"&amp;660))))))</f>
        <v/>
      </c>
      <c r="R29" s="82" t="str">
        <f aca="false">IF(OR(R$4="",MONTH(($G$2+9))&lt;&gt;MONTH($C$2)),"",IF(COUNTIFS(m_teacher,R$4,m_date,($G$2+9),m_active,1,m_start,"&lt;"&amp;720,m_end,"&gt;"&amp;660)=0,"",IF(COUNTIFS(m_teacher,R$4,m_date,($G$2+9),m_active,1,m_start,"&lt;"&amp;720,m_end,"&gt;"&amp;660)&gt;1,"충돌",HYPERLINK("#'관리자_MASTER'!D"&amp;_xlfn.MAXIFS(m_row,m_teacher,R$4,m_date,($G$2+9),m_active,1,m_start,"&lt;"&amp;720,m_end,"&gt;"&amp;660),INDEX(m_label,_xlfn.MAXIFS(m_row,m_teacher,R$4,m_date,($G$2+9),m_active,1,m_start,"&lt;"&amp;720,m_end,"&gt;"&amp;660))))))</f>
        <v/>
      </c>
      <c r="S29" s="82" t="str">
        <f aca="false">IF(OR(S$4="",MONTH(($G$2+9))&lt;&gt;MONTH($C$2)),"",IF(COUNTIFS(m_teacher,S$4,m_date,($G$2+9),m_active,1,m_start,"&lt;"&amp;720,m_end,"&gt;"&amp;660)=0,"",IF(COUNTIFS(m_teacher,S$4,m_date,($G$2+9),m_active,1,m_start,"&lt;"&amp;720,m_end,"&gt;"&amp;660)&gt;1,"충돌",HYPERLINK("#'관리자_MASTER'!D"&amp;_xlfn.MAXIFS(m_row,m_teacher,S$4,m_date,($G$2+9),m_active,1,m_start,"&lt;"&amp;720,m_end,"&gt;"&amp;660),INDEX(m_label,_xlfn.MAXIFS(m_row,m_teacher,S$4,m_date,($G$2+9),m_active,1,m_start,"&lt;"&amp;720,m_end,"&gt;"&amp;660))))))</f>
        <v/>
      </c>
      <c r="T29" s="82" t="str">
        <f aca="false">IF(OR(T$4="",MONTH(($G$2+9))&lt;&gt;MONTH($C$2)),"",IF(COUNTIFS(m_teacher,T$4,m_date,($G$2+9),m_active,1,m_start,"&lt;"&amp;720,m_end,"&gt;"&amp;660)=0,"",IF(COUNTIFS(m_teacher,T$4,m_date,($G$2+9),m_active,1,m_start,"&lt;"&amp;720,m_end,"&gt;"&amp;660)&gt;1,"충돌",HYPERLINK("#'관리자_MASTER'!D"&amp;_xlfn.MAXIFS(m_row,m_teacher,T$4,m_date,($G$2+9),m_active,1,m_start,"&lt;"&amp;720,m_end,"&gt;"&amp;660),INDEX(m_label,_xlfn.MAXIFS(m_row,m_teacher,T$4,m_date,($G$2+9),m_active,1,m_start,"&lt;"&amp;720,m_end,"&gt;"&amp;660))))))</f>
        <v/>
      </c>
      <c r="U29" s="82" t="str">
        <f aca="false">IF(OR(U$4="",MONTH(($G$2+9))&lt;&gt;MONTH($C$2)),"",IF(COUNTIFS(m_teacher,U$4,m_date,($G$2+9),m_active,1,m_start,"&lt;"&amp;720,m_end,"&gt;"&amp;660)=0,"",IF(COUNTIFS(m_teacher,U$4,m_date,($G$2+9),m_active,1,m_start,"&lt;"&amp;720,m_end,"&gt;"&amp;660)&gt;1,"충돌",HYPERLINK("#'관리자_MASTER'!D"&amp;_xlfn.MAXIFS(m_row,m_teacher,U$4,m_date,($G$2+9),m_active,1,m_start,"&lt;"&amp;720,m_end,"&gt;"&amp;660),INDEX(m_label,_xlfn.MAXIFS(m_row,m_teacher,U$4,m_date,($G$2+9),m_active,1,m_start,"&lt;"&amp;720,m_end,"&gt;"&amp;660))))))</f>
        <v/>
      </c>
      <c r="V29" s="82" t="str">
        <f aca="false">IF(OR(V$4="",MONTH(($G$2+9))&lt;&gt;MONTH($C$2)),"",IF(COUNTIFS(m_teacher,V$4,m_date,($G$2+9),m_active,1,m_start,"&lt;"&amp;720,m_end,"&gt;"&amp;660)=0,"",IF(COUNTIFS(m_teacher,V$4,m_date,($G$2+9),m_active,1,m_start,"&lt;"&amp;720,m_end,"&gt;"&amp;660)&gt;1,"충돌",HYPERLINK("#'관리자_MASTER'!D"&amp;_xlfn.MAXIFS(m_row,m_teacher,V$4,m_date,($G$2+9),m_active,1,m_start,"&lt;"&amp;720,m_end,"&gt;"&amp;660),INDEX(m_label,_xlfn.MAXIFS(m_row,m_teacher,V$4,m_date,($G$2+9),m_active,1,m_start,"&lt;"&amp;720,m_end,"&gt;"&amp;660))))))</f>
        <v/>
      </c>
      <c r="W29" s="82" t="str">
        <f aca="false">IF(OR(W$4="",MONTH(($G$2+9))&lt;&gt;MONTH($C$2)),"",IF(COUNTIFS(m_teacher,W$4,m_date,($G$2+9),m_active,1,m_start,"&lt;"&amp;720,m_end,"&gt;"&amp;660)=0,"",IF(COUNTIFS(m_teacher,W$4,m_date,($G$2+9),m_active,1,m_start,"&lt;"&amp;720,m_end,"&gt;"&amp;660)&gt;1,"충돌",HYPERLINK("#'관리자_MASTER'!D"&amp;_xlfn.MAXIFS(m_row,m_teacher,W$4,m_date,($G$2+9),m_active,1,m_start,"&lt;"&amp;720,m_end,"&gt;"&amp;660),INDEX(m_label,_xlfn.MAXIFS(m_row,m_teacher,W$4,m_date,($G$2+9),m_active,1,m_start,"&lt;"&amp;720,m_end,"&gt;"&amp;660))))))</f>
        <v/>
      </c>
      <c r="X29" s="82" t="str">
        <f aca="false">IF(OR(X$4="",MONTH(($G$2+9))&lt;&gt;MONTH($C$2)),"",IF(COUNTIFS(m_teacher,X$4,m_date,($G$2+9),m_active,1,m_start,"&lt;"&amp;720,m_end,"&gt;"&amp;660)=0,"",IF(COUNTIFS(m_teacher,X$4,m_date,($G$2+9),m_active,1,m_start,"&lt;"&amp;720,m_end,"&gt;"&amp;660)&gt;1,"충돌",HYPERLINK("#'관리자_MASTER'!D"&amp;_xlfn.MAXIFS(m_row,m_teacher,X$4,m_date,($G$2+9),m_active,1,m_start,"&lt;"&amp;720,m_end,"&gt;"&amp;660),INDEX(m_label,_xlfn.MAXIFS(m_row,m_teacher,X$4,m_date,($G$2+9),m_active,1,m_start,"&lt;"&amp;720,m_end,"&gt;"&amp;660))))))</f>
        <v/>
      </c>
      <c r="Y29" s="82" t="str">
        <f aca="false">IF(OR(Y$4="",MONTH(($G$2+9))&lt;&gt;MONTH($C$2)),"",IF(COUNTIFS(m_teacher,Y$4,m_date,($G$2+9),m_active,1,m_start,"&lt;"&amp;720,m_end,"&gt;"&amp;660)=0,"",IF(COUNTIFS(m_teacher,Y$4,m_date,($G$2+9),m_active,1,m_start,"&lt;"&amp;720,m_end,"&gt;"&amp;660)&gt;1,"충돌",HYPERLINK("#'관리자_MASTER'!D"&amp;_xlfn.MAXIFS(m_row,m_teacher,Y$4,m_date,($G$2+9),m_active,1,m_start,"&lt;"&amp;720,m_end,"&gt;"&amp;660),INDEX(m_label,_xlfn.MAXIFS(m_row,m_teacher,Y$4,m_date,($G$2+9),m_active,1,m_start,"&lt;"&amp;720,m_end,"&gt;"&amp;660))))))</f>
        <v/>
      </c>
      <c r="Z29" s="82" t="str">
        <f aca="false">IF(OR(Z$4="",MONTH(($G$2+9))&lt;&gt;MONTH($C$2)),"",IF(COUNTIFS(m_teacher,Z$4,m_date,($G$2+9),m_active,1,m_start,"&lt;"&amp;720,m_end,"&gt;"&amp;660)=0,"",IF(COUNTIFS(m_teacher,Z$4,m_date,($G$2+9),m_active,1,m_start,"&lt;"&amp;720,m_end,"&gt;"&amp;660)&gt;1,"충돌",HYPERLINK("#'관리자_MASTER'!D"&amp;_xlfn.MAXIFS(m_row,m_teacher,Z$4,m_date,($G$2+9),m_active,1,m_start,"&lt;"&amp;720,m_end,"&gt;"&amp;660),INDEX(m_label,_xlfn.MAXIFS(m_row,m_teacher,Z$4,m_date,($G$2+9),m_active,1,m_start,"&lt;"&amp;720,m_end,"&gt;"&amp;660))))))</f>
        <v/>
      </c>
      <c r="AA29" s="82" t="str">
        <f aca="false">IF(OR(AA$4="",MONTH(($G$2+9))&lt;&gt;MONTH($C$2)),"",IF(COUNTIFS(m_teacher,AA$4,m_date,($G$2+9),m_active,1,m_start,"&lt;"&amp;720,m_end,"&gt;"&amp;660)=0,"",IF(COUNTIFS(m_teacher,AA$4,m_date,($G$2+9),m_active,1,m_start,"&lt;"&amp;720,m_end,"&gt;"&amp;660)&gt;1,"충돌",HYPERLINK("#'관리자_MASTER'!D"&amp;_xlfn.MAXIFS(m_row,m_teacher,AA$4,m_date,($G$2+9),m_active,1,m_start,"&lt;"&amp;720,m_end,"&gt;"&amp;660),INDEX(m_label,_xlfn.MAXIFS(m_row,m_teacher,AA$4,m_date,($G$2+9),m_active,1,m_start,"&lt;"&amp;720,m_end,"&gt;"&amp;660))))))</f>
        <v/>
      </c>
      <c r="AB29" s="82" t="str">
        <f aca="false">IF(OR(AB$4="",MONTH(($G$2+9))&lt;&gt;MONTH($C$2)),"",IF(COUNTIFS(m_teacher,AB$4,m_date,($G$2+9),m_active,1,m_start,"&lt;"&amp;720,m_end,"&gt;"&amp;660)=0,"",IF(COUNTIFS(m_teacher,AB$4,m_date,($G$2+9),m_active,1,m_start,"&lt;"&amp;720,m_end,"&gt;"&amp;660)&gt;1,"충돌",HYPERLINK("#'관리자_MASTER'!D"&amp;_xlfn.MAXIFS(m_row,m_teacher,AB$4,m_date,($G$2+9),m_active,1,m_start,"&lt;"&amp;720,m_end,"&gt;"&amp;660),INDEX(m_label,_xlfn.MAXIFS(m_row,m_teacher,AB$4,m_date,($G$2+9),m_active,1,m_start,"&lt;"&amp;720,m_end,"&gt;"&amp;660))))))</f>
        <v/>
      </c>
      <c r="AC29" s="78"/>
      <c r="AD29" s="79" t="s">
        <v>93</v>
      </c>
      <c r="AE29" s="82" t="str">
        <f aca="false">IF(OR(AE$4="",MONTH(($G$2+16))&lt;&gt;MONTH($C$2)),"",IF(COUNTIFS(m_teacher,AE$4,m_date,($G$2+16),m_active,1,m_start,"&lt;"&amp;720,m_end,"&gt;"&amp;660)=0,"",IF(COUNTIFS(m_teacher,AE$4,m_date,($G$2+16),m_active,1,m_start,"&lt;"&amp;720,m_end,"&gt;"&amp;660)&gt;1,"충돌",HYPERLINK("#'관리자_MASTER'!D"&amp;_xlfn.MAXIFS(m_row,m_teacher,AE$4,m_date,($G$2+16),m_active,1,m_start,"&lt;"&amp;720,m_end,"&gt;"&amp;660),INDEX(m_label,_xlfn.MAXIFS(m_row,m_teacher,AE$4,m_date,($G$2+16),m_active,1,m_start,"&lt;"&amp;720,m_end,"&gt;"&amp;660))))))</f>
        <v/>
      </c>
      <c r="AF29" s="82" t="str">
        <f aca="false">IF(OR(AF$4="",MONTH(($G$2+16))&lt;&gt;MONTH($C$2)),"",IF(COUNTIFS(m_teacher,AF$4,m_date,($G$2+16),m_active,1,m_start,"&lt;"&amp;720,m_end,"&gt;"&amp;660)=0,"",IF(COUNTIFS(m_teacher,AF$4,m_date,($G$2+16),m_active,1,m_start,"&lt;"&amp;720,m_end,"&gt;"&amp;660)&gt;1,"충돌",HYPERLINK("#'관리자_MASTER'!D"&amp;_xlfn.MAXIFS(m_row,m_teacher,AF$4,m_date,($G$2+16),m_active,1,m_start,"&lt;"&amp;720,m_end,"&gt;"&amp;660),INDEX(m_label,_xlfn.MAXIFS(m_row,m_teacher,AF$4,m_date,($G$2+16),m_active,1,m_start,"&lt;"&amp;720,m_end,"&gt;"&amp;660))))))</f>
        <v/>
      </c>
      <c r="AG29" s="82" t="str">
        <f aca="false">IF(OR(AG$4="",MONTH(($G$2+16))&lt;&gt;MONTH($C$2)),"",IF(COUNTIFS(m_teacher,AG$4,m_date,($G$2+16),m_active,1,m_start,"&lt;"&amp;720,m_end,"&gt;"&amp;660)=0,"",IF(COUNTIFS(m_teacher,AG$4,m_date,($G$2+16),m_active,1,m_start,"&lt;"&amp;720,m_end,"&gt;"&amp;660)&gt;1,"충돌",HYPERLINK("#'관리자_MASTER'!D"&amp;_xlfn.MAXIFS(m_row,m_teacher,AG$4,m_date,($G$2+16),m_active,1,m_start,"&lt;"&amp;720,m_end,"&gt;"&amp;660),INDEX(m_label,_xlfn.MAXIFS(m_row,m_teacher,AG$4,m_date,($G$2+16),m_active,1,m_start,"&lt;"&amp;720,m_end,"&gt;"&amp;660))))))</f>
        <v/>
      </c>
      <c r="AH29" s="82" t="str">
        <f aca="false">IF(OR(AH$4="",MONTH(($G$2+16))&lt;&gt;MONTH($C$2)),"",IF(COUNTIFS(m_teacher,AH$4,m_date,($G$2+16),m_active,1,m_start,"&lt;"&amp;720,m_end,"&gt;"&amp;660)=0,"",IF(COUNTIFS(m_teacher,AH$4,m_date,($G$2+16),m_active,1,m_start,"&lt;"&amp;720,m_end,"&gt;"&amp;660)&gt;1,"충돌",HYPERLINK("#'관리자_MASTER'!D"&amp;_xlfn.MAXIFS(m_row,m_teacher,AH$4,m_date,($G$2+16),m_active,1,m_start,"&lt;"&amp;720,m_end,"&gt;"&amp;660),INDEX(m_label,_xlfn.MAXIFS(m_row,m_teacher,AH$4,m_date,($G$2+16),m_active,1,m_start,"&lt;"&amp;720,m_end,"&gt;"&amp;660))))))</f>
        <v/>
      </c>
      <c r="AI29" s="82" t="str">
        <f aca="false">IF(OR(AI$4="",MONTH(($G$2+16))&lt;&gt;MONTH($C$2)),"",IF(COUNTIFS(m_teacher,AI$4,m_date,($G$2+16),m_active,1,m_start,"&lt;"&amp;720,m_end,"&gt;"&amp;660)=0,"",IF(COUNTIFS(m_teacher,AI$4,m_date,($G$2+16),m_active,1,m_start,"&lt;"&amp;720,m_end,"&gt;"&amp;660)&gt;1,"충돌",HYPERLINK("#'관리자_MASTER'!D"&amp;_xlfn.MAXIFS(m_row,m_teacher,AI$4,m_date,($G$2+16),m_active,1,m_start,"&lt;"&amp;720,m_end,"&gt;"&amp;660),INDEX(m_label,_xlfn.MAXIFS(m_row,m_teacher,AI$4,m_date,($G$2+16),m_active,1,m_start,"&lt;"&amp;720,m_end,"&gt;"&amp;660))))))</f>
        <v/>
      </c>
      <c r="AJ29" s="82" t="str">
        <f aca="false">IF(OR(AJ$4="",MONTH(($G$2+16))&lt;&gt;MONTH($C$2)),"",IF(COUNTIFS(m_teacher,AJ$4,m_date,($G$2+16),m_active,1,m_start,"&lt;"&amp;720,m_end,"&gt;"&amp;660)=0,"",IF(COUNTIFS(m_teacher,AJ$4,m_date,($G$2+16),m_active,1,m_start,"&lt;"&amp;720,m_end,"&gt;"&amp;660)&gt;1,"충돌",HYPERLINK("#'관리자_MASTER'!D"&amp;_xlfn.MAXIFS(m_row,m_teacher,AJ$4,m_date,($G$2+16),m_active,1,m_start,"&lt;"&amp;720,m_end,"&gt;"&amp;660),INDEX(m_label,_xlfn.MAXIFS(m_row,m_teacher,AJ$4,m_date,($G$2+16),m_active,1,m_start,"&lt;"&amp;720,m_end,"&gt;"&amp;660))))))</f>
        <v/>
      </c>
      <c r="AK29" s="82" t="str">
        <f aca="false">IF(OR(AK$4="",MONTH(($G$2+16))&lt;&gt;MONTH($C$2)),"",IF(COUNTIFS(m_teacher,AK$4,m_date,($G$2+16),m_active,1,m_start,"&lt;"&amp;720,m_end,"&gt;"&amp;660)=0,"",IF(COUNTIFS(m_teacher,AK$4,m_date,($G$2+16),m_active,1,m_start,"&lt;"&amp;720,m_end,"&gt;"&amp;660)&gt;1,"충돌",HYPERLINK("#'관리자_MASTER'!D"&amp;_xlfn.MAXIFS(m_row,m_teacher,AK$4,m_date,($G$2+16),m_active,1,m_start,"&lt;"&amp;720,m_end,"&gt;"&amp;660),INDEX(m_label,_xlfn.MAXIFS(m_row,m_teacher,AK$4,m_date,($G$2+16),m_active,1,m_start,"&lt;"&amp;720,m_end,"&gt;"&amp;660))))))</f>
        <v/>
      </c>
      <c r="AL29" s="82" t="str">
        <f aca="false">IF(OR(AL$4="",MONTH(($G$2+16))&lt;&gt;MONTH($C$2)),"",IF(COUNTIFS(m_teacher,AL$4,m_date,($G$2+16),m_active,1,m_start,"&lt;"&amp;720,m_end,"&gt;"&amp;660)=0,"",IF(COUNTIFS(m_teacher,AL$4,m_date,($G$2+16),m_active,1,m_start,"&lt;"&amp;720,m_end,"&gt;"&amp;660)&gt;1,"충돌",HYPERLINK("#'관리자_MASTER'!D"&amp;_xlfn.MAXIFS(m_row,m_teacher,AL$4,m_date,($G$2+16),m_active,1,m_start,"&lt;"&amp;720,m_end,"&gt;"&amp;660),INDEX(m_label,_xlfn.MAXIFS(m_row,m_teacher,AL$4,m_date,($G$2+16),m_active,1,m_start,"&lt;"&amp;720,m_end,"&gt;"&amp;660))))))</f>
        <v/>
      </c>
      <c r="AM29" s="82" t="str">
        <f aca="false">IF(OR(AM$4="",MONTH(($G$2+16))&lt;&gt;MONTH($C$2)),"",IF(COUNTIFS(m_teacher,AM$4,m_date,($G$2+16),m_active,1,m_start,"&lt;"&amp;720,m_end,"&gt;"&amp;660)=0,"",IF(COUNTIFS(m_teacher,AM$4,m_date,($G$2+16),m_active,1,m_start,"&lt;"&amp;720,m_end,"&gt;"&amp;660)&gt;1,"충돌",HYPERLINK("#'관리자_MASTER'!D"&amp;_xlfn.MAXIFS(m_row,m_teacher,AM$4,m_date,($G$2+16),m_active,1,m_start,"&lt;"&amp;720,m_end,"&gt;"&amp;660),INDEX(m_label,_xlfn.MAXIFS(m_row,m_teacher,AM$4,m_date,($G$2+16),m_active,1,m_start,"&lt;"&amp;720,m_end,"&gt;"&amp;660))))))</f>
        <v/>
      </c>
      <c r="AN29" s="82" t="str">
        <f aca="false">IF(OR(AN$4="",MONTH(($G$2+16))&lt;&gt;MONTH($C$2)),"",IF(COUNTIFS(m_teacher,AN$4,m_date,($G$2+16),m_active,1,m_start,"&lt;"&amp;720,m_end,"&gt;"&amp;660)=0,"",IF(COUNTIFS(m_teacher,AN$4,m_date,($G$2+16),m_active,1,m_start,"&lt;"&amp;720,m_end,"&gt;"&amp;660)&gt;1,"충돌",HYPERLINK("#'관리자_MASTER'!D"&amp;_xlfn.MAXIFS(m_row,m_teacher,AN$4,m_date,($G$2+16),m_active,1,m_start,"&lt;"&amp;720,m_end,"&gt;"&amp;660),INDEX(m_label,_xlfn.MAXIFS(m_row,m_teacher,AN$4,m_date,($G$2+16),m_active,1,m_start,"&lt;"&amp;720,m_end,"&gt;"&amp;660))))))</f>
        <v/>
      </c>
      <c r="AO29" s="82" t="str">
        <f aca="false">IF(OR(AO$4="",MONTH(($G$2+16))&lt;&gt;MONTH($C$2)),"",IF(COUNTIFS(m_teacher,AO$4,m_date,($G$2+16),m_active,1,m_start,"&lt;"&amp;720,m_end,"&gt;"&amp;660)=0,"",IF(COUNTIFS(m_teacher,AO$4,m_date,($G$2+16),m_active,1,m_start,"&lt;"&amp;720,m_end,"&gt;"&amp;660)&gt;1,"충돌",HYPERLINK("#'관리자_MASTER'!D"&amp;_xlfn.MAXIFS(m_row,m_teacher,AO$4,m_date,($G$2+16),m_active,1,m_start,"&lt;"&amp;720,m_end,"&gt;"&amp;660),INDEX(m_label,_xlfn.MAXIFS(m_row,m_teacher,AO$4,m_date,($G$2+16),m_active,1,m_start,"&lt;"&amp;720,m_end,"&gt;"&amp;660))))))</f>
        <v/>
      </c>
      <c r="AP29" s="82" t="str">
        <f aca="false">IF(OR(AP$4="",MONTH(($G$2+16))&lt;&gt;MONTH($C$2)),"",IF(COUNTIFS(m_teacher,AP$4,m_date,($G$2+16),m_active,1,m_start,"&lt;"&amp;720,m_end,"&gt;"&amp;660)=0,"",IF(COUNTIFS(m_teacher,AP$4,m_date,($G$2+16),m_active,1,m_start,"&lt;"&amp;720,m_end,"&gt;"&amp;660)&gt;1,"충돌",HYPERLINK("#'관리자_MASTER'!D"&amp;_xlfn.MAXIFS(m_row,m_teacher,AP$4,m_date,($G$2+16),m_active,1,m_start,"&lt;"&amp;720,m_end,"&gt;"&amp;660),INDEX(m_label,_xlfn.MAXIFS(m_row,m_teacher,AP$4,m_date,($G$2+16),m_active,1,m_start,"&lt;"&amp;720,m_end,"&gt;"&amp;660))))))</f>
        <v/>
      </c>
      <c r="AQ29" s="78"/>
      <c r="AR29" s="79" t="s">
        <v>93</v>
      </c>
      <c r="AS29" s="82" t="str">
        <f aca="false">IF(OR(AS$4="",MONTH(($G$2+23))&lt;&gt;MONTH($C$2)),"",IF(COUNTIFS(m_teacher,AS$4,m_date,($G$2+23),m_active,1,m_start,"&lt;"&amp;720,m_end,"&gt;"&amp;660)=0,"",IF(COUNTIFS(m_teacher,AS$4,m_date,($G$2+23),m_active,1,m_start,"&lt;"&amp;720,m_end,"&gt;"&amp;660)&gt;1,"충돌",HYPERLINK("#'관리자_MASTER'!D"&amp;_xlfn.MAXIFS(m_row,m_teacher,AS$4,m_date,($G$2+23),m_active,1,m_start,"&lt;"&amp;720,m_end,"&gt;"&amp;660),INDEX(m_label,_xlfn.MAXIFS(m_row,m_teacher,AS$4,m_date,($G$2+23),m_active,1,m_start,"&lt;"&amp;720,m_end,"&gt;"&amp;660))))))</f>
        <v/>
      </c>
      <c r="AT29" s="82" t="str">
        <f aca="false">IF(OR(AT$4="",MONTH(($G$2+23))&lt;&gt;MONTH($C$2)),"",IF(COUNTIFS(m_teacher,AT$4,m_date,($G$2+23),m_active,1,m_start,"&lt;"&amp;720,m_end,"&gt;"&amp;660)=0,"",IF(COUNTIFS(m_teacher,AT$4,m_date,($G$2+23),m_active,1,m_start,"&lt;"&amp;720,m_end,"&gt;"&amp;660)&gt;1,"충돌",HYPERLINK("#'관리자_MASTER'!D"&amp;_xlfn.MAXIFS(m_row,m_teacher,AT$4,m_date,($G$2+23),m_active,1,m_start,"&lt;"&amp;720,m_end,"&gt;"&amp;660),INDEX(m_label,_xlfn.MAXIFS(m_row,m_teacher,AT$4,m_date,($G$2+23),m_active,1,m_start,"&lt;"&amp;720,m_end,"&gt;"&amp;660))))))</f>
        <v/>
      </c>
      <c r="AU29" s="82" t="str">
        <f aca="false">IF(OR(AU$4="",MONTH(($G$2+23))&lt;&gt;MONTH($C$2)),"",IF(COUNTIFS(m_teacher,AU$4,m_date,($G$2+23),m_active,1,m_start,"&lt;"&amp;720,m_end,"&gt;"&amp;660)=0,"",IF(COUNTIFS(m_teacher,AU$4,m_date,($G$2+23),m_active,1,m_start,"&lt;"&amp;720,m_end,"&gt;"&amp;660)&gt;1,"충돌",HYPERLINK("#'관리자_MASTER'!D"&amp;_xlfn.MAXIFS(m_row,m_teacher,AU$4,m_date,($G$2+23),m_active,1,m_start,"&lt;"&amp;720,m_end,"&gt;"&amp;660),INDEX(m_label,_xlfn.MAXIFS(m_row,m_teacher,AU$4,m_date,($G$2+23),m_active,1,m_start,"&lt;"&amp;720,m_end,"&gt;"&amp;660))))))</f>
        <v/>
      </c>
      <c r="AV29" s="82" t="str">
        <f aca="false">IF(OR(AV$4="",MONTH(($G$2+23))&lt;&gt;MONTH($C$2)),"",IF(COUNTIFS(m_teacher,AV$4,m_date,($G$2+23),m_active,1,m_start,"&lt;"&amp;720,m_end,"&gt;"&amp;660)=0,"",IF(COUNTIFS(m_teacher,AV$4,m_date,($G$2+23),m_active,1,m_start,"&lt;"&amp;720,m_end,"&gt;"&amp;660)&gt;1,"충돌",HYPERLINK("#'관리자_MASTER'!D"&amp;_xlfn.MAXIFS(m_row,m_teacher,AV$4,m_date,($G$2+23),m_active,1,m_start,"&lt;"&amp;720,m_end,"&gt;"&amp;660),INDEX(m_label,_xlfn.MAXIFS(m_row,m_teacher,AV$4,m_date,($G$2+23),m_active,1,m_start,"&lt;"&amp;720,m_end,"&gt;"&amp;660))))))</f>
        <v/>
      </c>
      <c r="AW29" s="82" t="str">
        <f aca="false">IF(OR(AW$4="",MONTH(($G$2+23))&lt;&gt;MONTH($C$2)),"",IF(COUNTIFS(m_teacher,AW$4,m_date,($G$2+23),m_active,1,m_start,"&lt;"&amp;720,m_end,"&gt;"&amp;660)=0,"",IF(COUNTIFS(m_teacher,AW$4,m_date,($G$2+23),m_active,1,m_start,"&lt;"&amp;720,m_end,"&gt;"&amp;660)&gt;1,"충돌",HYPERLINK("#'관리자_MASTER'!D"&amp;_xlfn.MAXIFS(m_row,m_teacher,AW$4,m_date,($G$2+23),m_active,1,m_start,"&lt;"&amp;720,m_end,"&gt;"&amp;660),INDEX(m_label,_xlfn.MAXIFS(m_row,m_teacher,AW$4,m_date,($G$2+23),m_active,1,m_start,"&lt;"&amp;720,m_end,"&gt;"&amp;660))))))</f>
        <v/>
      </c>
      <c r="AX29" s="82" t="str">
        <f aca="false">IF(OR(AX$4="",MONTH(($G$2+23))&lt;&gt;MONTH($C$2)),"",IF(COUNTIFS(m_teacher,AX$4,m_date,($G$2+23),m_active,1,m_start,"&lt;"&amp;720,m_end,"&gt;"&amp;660)=0,"",IF(COUNTIFS(m_teacher,AX$4,m_date,($G$2+23),m_active,1,m_start,"&lt;"&amp;720,m_end,"&gt;"&amp;660)&gt;1,"충돌",HYPERLINK("#'관리자_MASTER'!D"&amp;_xlfn.MAXIFS(m_row,m_teacher,AX$4,m_date,($G$2+23),m_active,1,m_start,"&lt;"&amp;720,m_end,"&gt;"&amp;660),INDEX(m_label,_xlfn.MAXIFS(m_row,m_teacher,AX$4,m_date,($G$2+23),m_active,1,m_start,"&lt;"&amp;720,m_end,"&gt;"&amp;660))))))</f>
        <v/>
      </c>
      <c r="AY29" s="82" t="str">
        <f aca="false">IF(OR(AY$4="",MONTH(($G$2+23))&lt;&gt;MONTH($C$2)),"",IF(COUNTIFS(m_teacher,AY$4,m_date,($G$2+23),m_active,1,m_start,"&lt;"&amp;720,m_end,"&gt;"&amp;660)=0,"",IF(COUNTIFS(m_teacher,AY$4,m_date,($G$2+23),m_active,1,m_start,"&lt;"&amp;720,m_end,"&gt;"&amp;660)&gt;1,"충돌",HYPERLINK("#'관리자_MASTER'!D"&amp;_xlfn.MAXIFS(m_row,m_teacher,AY$4,m_date,($G$2+23),m_active,1,m_start,"&lt;"&amp;720,m_end,"&gt;"&amp;660),INDEX(m_label,_xlfn.MAXIFS(m_row,m_teacher,AY$4,m_date,($G$2+23),m_active,1,m_start,"&lt;"&amp;720,m_end,"&gt;"&amp;660))))))</f>
        <v/>
      </c>
      <c r="AZ29" s="82" t="str">
        <f aca="false">IF(OR(AZ$4="",MONTH(($G$2+23))&lt;&gt;MONTH($C$2)),"",IF(COUNTIFS(m_teacher,AZ$4,m_date,($G$2+23),m_active,1,m_start,"&lt;"&amp;720,m_end,"&gt;"&amp;660)=0,"",IF(COUNTIFS(m_teacher,AZ$4,m_date,($G$2+23),m_active,1,m_start,"&lt;"&amp;720,m_end,"&gt;"&amp;660)&gt;1,"충돌",HYPERLINK("#'관리자_MASTER'!D"&amp;_xlfn.MAXIFS(m_row,m_teacher,AZ$4,m_date,($G$2+23),m_active,1,m_start,"&lt;"&amp;720,m_end,"&gt;"&amp;660),INDEX(m_label,_xlfn.MAXIFS(m_row,m_teacher,AZ$4,m_date,($G$2+23),m_active,1,m_start,"&lt;"&amp;720,m_end,"&gt;"&amp;660))))))</f>
        <v/>
      </c>
      <c r="BA29" s="82" t="str">
        <f aca="false">IF(OR(BA$4="",MONTH(($G$2+23))&lt;&gt;MONTH($C$2)),"",IF(COUNTIFS(m_teacher,BA$4,m_date,($G$2+23),m_active,1,m_start,"&lt;"&amp;720,m_end,"&gt;"&amp;660)=0,"",IF(COUNTIFS(m_teacher,BA$4,m_date,($G$2+23),m_active,1,m_start,"&lt;"&amp;720,m_end,"&gt;"&amp;660)&gt;1,"충돌",HYPERLINK("#'관리자_MASTER'!D"&amp;_xlfn.MAXIFS(m_row,m_teacher,BA$4,m_date,($G$2+23),m_active,1,m_start,"&lt;"&amp;720,m_end,"&gt;"&amp;660),INDEX(m_label,_xlfn.MAXIFS(m_row,m_teacher,BA$4,m_date,($G$2+23),m_active,1,m_start,"&lt;"&amp;720,m_end,"&gt;"&amp;660))))))</f>
        <v/>
      </c>
      <c r="BB29" s="82" t="str">
        <f aca="false">IF(OR(BB$4="",MONTH(($G$2+23))&lt;&gt;MONTH($C$2)),"",IF(COUNTIFS(m_teacher,BB$4,m_date,($G$2+23),m_active,1,m_start,"&lt;"&amp;720,m_end,"&gt;"&amp;660)=0,"",IF(COUNTIFS(m_teacher,BB$4,m_date,($G$2+23),m_active,1,m_start,"&lt;"&amp;720,m_end,"&gt;"&amp;660)&gt;1,"충돌",HYPERLINK("#'관리자_MASTER'!D"&amp;_xlfn.MAXIFS(m_row,m_teacher,BB$4,m_date,($G$2+23),m_active,1,m_start,"&lt;"&amp;720,m_end,"&gt;"&amp;660),INDEX(m_label,_xlfn.MAXIFS(m_row,m_teacher,BB$4,m_date,($G$2+23),m_active,1,m_start,"&lt;"&amp;720,m_end,"&gt;"&amp;660))))))</f>
        <v/>
      </c>
      <c r="BC29" s="82" t="str">
        <f aca="false">IF(OR(BC$4="",MONTH(($G$2+23))&lt;&gt;MONTH($C$2)),"",IF(COUNTIFS(m_teacher,BC$4,m_date,($G$2+23),m_active,1,m_start,"&lt;"&amp;720,m_end,"&gt;"&amp;660)=0,"",IF(COUNTIFS(m_teacher,BC$4,m_date,($G$2+23),m_active,1,m_start,"&lt;"&amp;720,m_end,"&gt;"&amp;660)&gt;1,"충돌",HYPERLINK("#'관리자_MASTER'!D"&amp;_xlfn.MAXIFS(m_row,m_teacher,BC$4,m_date,($G$2+23),m_active,1,m_start,"&lt;"&amp;720,m_end,"&gt;"&amp;660),INDEX(m_label,_xlfn.MAXIFS(m_row,m_teacher,BC$4,m_date,($G$2+23),m_active,1,m_start,"&lt;"&amp;720,m_end,"&gt;"&amp;660))))))</f>
        <v/>
      </c>
      <c r="BD29" s="82" t="str">
        <f aca="false">IF(OR(BD$4="",MONTH(($G$2+23))&lt;&gt;MONTH($C$2)),"",IF(COUNTIFS(m_teacher,BD$4,m_date,($G$2+23),m_active,1,m_start,"&lt;"&amp;720,m_end,"&gt;"&amp;660)=0,"",IF(COUNTIFS(m_teacher,BD$4,m_date,($G$2+23),m_active,1,m_start,"&lt;"&amp;720,m_end,"&gt;"&amp;660)&gt;1,"충돌",HYPERLINK("#'관리자_MASTER'!D"&amp;_xlfn.MAXIFS(m_row,m_teacher,BD$4,m_date,($G$2+23),m_active,1,m_start,"&lt;"&amp;720,m_end,"&gt;"&amp;660),INDEX(m_label,_xlfn.MAXIFS(m_row,m_teacher,BD$4,m_date,($G$2+23),m_active,1,m_start,"&lt;"&amp;720,m_end,"&gt;"&amp;660))))))</f>
        <v/>
      </c>
    </row>
    <row r="30" customFormat="false" ht="19.5" hidden="false" customHeight="true" outlineLevel="0" collapsed="false">
      <c r="A30" s="78"/>
      <c r="B30" s="79" t="s">
        <v>94</v>
      </c>
      <c r="C30" s="82" t="str">
        <f aca="false">IF(OR(C$4="",MONTH(($G$2+2))&lt;&gt;MONTH($C$2)),"",IF(COUNTIFS(m_teacher,C$4,m_date,($G$2+2),m_active,1,m_start,"&lt;"&amp;780,m_end,"&gt;"&amp;720)=0,"",IF(COUNTIFS(m_teacher,C$4,m_date,($G$2+2),m_active,1,m_start,"&lt;"&amp;780,m_end,"&gt;"&amp;720)&gt;1,"충돌",HYPERLINK("#'관리자_MASTER'!D"&amp;_xlfn.MAXIFS(m_row,m_teacher,C$4,m_date,($G$2+2),m_active,1,m_start,"&lt;"&amp;780,m_end,"&gt;"&amp;720),INDEX(m_label,_xlfn.MAXIFS(m_row,m_teacher,C$4,m_date,($G$2+2),m_active,1,m_start,"&lt;"&amp;780,m_end,"&gt;"&amp;720))))))</f>
        <v/>
      </c>
      <c r="D30" s="82" t="str">
        <f aca="false">IF(OR(D$4="",MONTH(($G$2+2))&lt;&gt;MONTH($C$2)),"",IF(COUNTIFS(m_teacher,D$4,m_date,($G$2+2),m_active,1,m_start,"&lt;"&amp;780,m_end,"&gt;"&amp;720)=0,"",IF(COUNTIFS(m_teacher,D$4,m_date,($G$2+2),m_active,1,m_start,"&lt;"&amp;780,m_end,"&gt;"&amp;720)&gt;1,"충돌",HYPERLINK("#'관리자_MASTER'!D"&amp;_xlfn.MAXIFS(m_row,m_teacher,D$4,m_date,($G$2+2),m_active,1,m_start,"&lt;"&amp;780,m_end,"&gt;"&amp;720),INDEX(m_label,_xlfn.MAXIFS(m_row,m_teacher,D$4,m_date,($G$2+2),m_active,1,m_start,"&lt;"&amp;780,m_end,"&gt;"&amp;720))))))</f>
        <v/>
      </c>
      <c r="E30" s="82" t="str">
        <f aca="false">IF(OR(E$4="",MONTH(($G$2+2))&lt;&gt;MONTH($C$2)),"",IF(COUNTIFS(m_teacher,E$4,m_date,($G$2+2),m_active,1,m_start,"&lt;"&amp;780,m_end,"&gt;"&amp;720)=0,"",IF(COUNTIFS(m_teacher,E$4,m_date,($G$2+2),m_active,1,m_start,"&lt;"&amp;780,m_end,"&gt;"&amp;720)&gt;1,"충돌",HYPERLINK("#'관리자_MASTER'!D"&amp;_xlfn.MAXIFS(m_row,m_teacher,E$4,m_date,($G$2+2),m_active,1,m_start,"&lt;"&amp;780,m_end,"&gt;"&amp;720),INDEX(m_label,_xlfn.MAXIFS(m_row,m_teacher,E$4,m_date,($G$2+2),m_active,1,m_start,"&lt;"&amp;780,m_end,"&gt;"&amp;720))))))</f>
        <v/>
      </c>
      <c r="F30" s="82" t="str">
        <f aca="false">IF(OR(F$4="",MONTH(($G$2+2))&lt;&gt;MONTH($C$2)),"",IF(COUNTIFS(m_teacher,F$4,m_date,($G$2+2),m_active,1,m_start,"&lt;"&amp;780,m_end,"&gt;"&amp;720)=0,"",IF(COUNTIFS(m_teacher,F$4,m_date,($G$2+2),m_active,1,m_start,"&lt;"&amp;780,m_end,"&gt;"&amp;720)&gt;1,"충돌",HYPERLINK("#'관리자_MASTER'!D"&amp;_xlfn.MAXIFS(m_row,m_teacher,F$4,m_date,($G$2+2),m_active,1,m_start,"&lt;"&amp;780,m_end,"&gt;"&amp;720),INDEX(m_label,_xlfn.MAXIFS(m_row,m_teacher,F$4,m_date,($G$2+2),m_active,1,m_start,"&lt;"&amp;780,m_end,"&gt;"&amp;720))))))</f>
        <v/>
      </c>
      <c r="G30" s="82" t="str">
        <f aca="false">IF(OR(G$4="",MONTH(($G$2+2))&lt;&gt;MONTH($C$2)),"",IF(COUNTIFS(m_teacher,G$4,m_date,($G$2+2),m_active,1,m_start,"&lt;"&amp;780,m_end,"&gt;"&amp;720)=0,"",IF(COUNTIFS(m_teacher,G$4,m_date,($G$2+2),m_active,1,m_start,"&lt;"&amp;780,m_end,"&gt;"&amp;720)&gt;1,"충돌",HYPERLINK("#'관리자_MASTER'!D"&amp;_xlfn.MAXIFS(m_row,m_teacher,G$4,m_date,($G$2+2),m_active,1,m_start,"&lt;"&amp;780,m_end,"&gt;"&amp;720),INDEX(m_label,_xlfn.MAXIFS(m_row,m_teacher,G$4,m_date,($G$2+2),m_active,1,m_start,"&lt;"&amp;780,m_end,"&gt;"&amp;720))))))</f>
        <v/>
      </c>
      <c r="H30" s="82" t="str">
        <f aca="false">IF(OR(H$4="",MONTH(($G$2+2))&lt;&gt;MONTH($C$2)),"",IF(COUNTIFS(m_teacher,H$4,m_date,($G$2+2),m_active,1,m_start,"&lt;"&amp;780,m_end,"&gt;"&amp;720)=0,"",IF(COUNTIFS(m_teacher,H$4,m_date,($G$2+2),m_active,1,m_start,"&lt;"&amp;780,m_end,"&gt;"&amp;720)&gt;1,"충돌",HYPERLINK("#'관리자_MASTER'!D"&amp;_xlfn.MAXIFS(m_row,m_teacher,H$4,m_date,($G$2+2),m_active,1,m_start,"&lt;"&amp;780,m_end,"&gt;"&amp;720),INDEX(m_label,_xlfn.MAXIFS(m_row,m_teacher,H$4,m_date,($G$2+2),m_active,1,m_start,"&lt;"&amp;780,m_end,"&gt;"&amp;720))))))</f>
        <v/>
      </c>
      <c r="I30" s="82" t="str">
        <f aca="false">IF(OR(I$4="",MONTH(($G$2+2))&lt;&gt;MONTH($C$2)),"",IF(COUNTIFS(m_teacher,I$4,m_date,($G$2+2),m_active,1,m_start,"&lt;"&amp;780,m_end,"&gt;"&amp;720)=0,"",IF(COUNTIFS(m_teacher,I$4,m_date,($G$2+2),m_active,1,m_start,"&lt;"&amp;780,m_end,"&gt;"&amp;720)&gt;1,"충돌",HYPERLINK("#'관리자_MASTER'!D"&amp;_xlfn.MAXIFS(m_row,m_teacher,I$4,m_date,($G$2+2),m_active,1,m_start,"&lt;"&amp;780,m_end,"&gt;"&amp;720),INDEX(m_label,_xlfn.MAXIFS(m_row,m_teacher,I$4,m_date,($G$2+2),m_active,1,m_start,"&lt;"&amp;780,m_end,"&gt;"&amp;720))))))</f>
        <v/>
      </c>
      <c r="J30" s="82" t="str">
        <f aca="false">IF(OR(J$4="",MONTH(($G$2+2))&lt;&gt;MONTH($C$2)),"",IF(COUNTIFS(m_teacher,J$4,m_date,($G$2+2),m_active,1,m_start,"&lt;"&amp;780,m_end,"&gt;"&amp;720)=0,"",IF(COUNTIFS(m_teacher,J$4,m_date,($G$2+2),m_active,1,m_start,"&lt;"&amp;780,m_end,"&gt;"&amp;720)&gt;1,"충돌",HYPERLINK("#'관리자_MASTER'!D"&amp;_xlfn.MAXIFS(m_row,m_teacher,J$4,m_date,($G$2+2),m_active,1,m_start,"&lt;"&amp;780,m_end,"&gt;"&amp;720),INDEX(m_label,_xlfn.MAXIFS(m_row,m_teacher,J$4,m_date,($G$2+2),m_active,1,m_start,"&lt;"&amp;780,m_end,"&gt;"&amp;720))))))</f>
        <v/>
      </c>
      <c r="K30" s="82" t="str">
        <f aca="false">IF(OR(K$4="",MONTH(($G$2+2))&lt;&gt;MONTH($C$2)),"",IF(COUNTIFS(m_teacher,K$4,m_date,($G$2+2),m_active,1,m_start,"&lt;"&amp;780,m_end,"&gt;"&amp;720)=0,"",IF(COUNTIFS(m_teacher,K$4,m_date,($G$2+2),m_active,1,m_start,"&lt;"&amp;780,m_end,"&gt;"&amp;720)&gt;1,"충돌",HYPERLINK("#'관리자_MASTER'!D"&amp;_xlfn.MAXIFS(m_row,m_teacher,K$4,m_date,($G$2+2),m_active,1,m_start,"&lt;"&amp;780,m_end,"&gt;"&amp;720),INDEX(m_label,_xlfn.MAXIFS(m_row,m_teacher,K$4,m_date,($G$2+2),m_active,1,m_start,"&lt;"&amp;780,m_end,"&gt;"&amp;720))))))</f>
        <v/>
      </c>
      <c r="L30" s="82" t="str">
        <f aca="false">IF(OR(L$4="",MONTH(($G$2+2))&lt;&gt;MONTH($C$2)),"",IF(COUNTIFS(m_teacher,L$4,m_date,($G$2+2),m_active,1,m_start,"&lt;"&amp;780,m_end,"&gt;"&amp;720)=0,"",IF(COUNTIFS(m_teacher,L$4,m_date,($G$2+2),m_active,1,m_start,"&lt;"&amp;780,m_end,"&gt;"&amp;720)&gt;1,"충돌",HYPERLINK("#'관리자_MASTER'!D"&amp;_xlfn.MAXIFS(m_row,m_teacher,L$4,m_date,($G$2+2),m_active,1,m_start,"&lt;"&amp;780,m_end,"&gt;"&amp;720),INDEX(m_label,_xlfn.MAXIFS(m_row,m_teacher,L$4,m_date,($G$2+2),m_active,1,m_start,"&lt;"&amp;780,m_end,"&gt;"&amp;720))))))</f>
        <v/>
      </c>
      <c r="M30" s="82" t="str">
        <f aca="false">IF(OR(M$4="",MONTH(($G$2+2))&lt;&gt;MONTH($C$2)),"",IF(COUNTIFS(m_teacher,M$4,m_date,($G$2+2),m_active,1,m_start,"&lt;"&amp;780,m_end,"&gt;"&amp;720)=0,"",IF(COUNTIFS(m_teacher,M$4,m_date,($G$2+2),m_active,1,m_start,"&lt;"&amp;780,m_end,"&gt;"&amp;720)&gt;1,"충돌",HYPERLINK("#'관리자_MASTER'!D"&amp;_xlfn.MAXIFS(m_row,m_teacher,M$4,m_date,($G$2+2),m_active,1,m_start,"&lt;"&amp;780,m_end,"&gt;"&amp;720),INDEX(m_label,_xlfn.MAXIFS(m_row,m_teacher,M$4,m_date,($G$2+2),m_active,1,m_start,"&lt;"&amp;780,m_end,"&gt;"&amp;720))))))</f>
        <v/>
      </c>
      <c r="N30" s="82" t="str">
        <f aca="false">IF(OR(N$4="",MONTH(($G$2+2))&lt;&gt;MONTH($C$2)),"",IF(COUNTIFS(m_teacher,N$4,m_date,($G$2+2),m_active,1,m_start,"&lt;"&amp;780,m_end,"&gt;"&amp;720)=0,"",IF(COUNTIFS(m_teacher,N$4,m_date,($G$2+2),m_active,1,m_start,"&lt;"&amp;780,m_end,"&gt;"&amp;720)&gt;1,"충돌",HYPERLINK("#'관리자_MASTER'!D"&amp;_xlfn.MAXIFS(m_row,m_teacher,N$4,m_date,($G$2+2),m_active,1,m_start,"&lt;"&amp;780,m_end,"&gt;"&amp;720),INDEX(m_label,_xlfn.MAXIFS(m_row,m_teacher,N$4,m_date,($G$2+2),m_active,1,m_start,"&lt;"&amp;780,m_end,"&gt;"&amp;720))))))</f>
        <v/>
      </c>
      <c r="O30" s="78"/>
      <c r="P30" s="79" t="s">
        <v>94</v>
      </c>
      <c r="Q30" s="82" t="str">
        <f aca="false">IF(OR(Q$4="",MONTH(($G$2+9))&lt;&gt;MONTH($C$2)),"",IF(COUNTIFS(m_teacher,Q$4,m_date,($G$2+9),m_active,1,m_start,"&lt;"&amp;780,m_end,"&gt;"&amp;720)=0,"",IF(COUNTIFS(m_teacher,Q$4,m_date,($G$2+9),m_active,1,m_start,"&lt;"&amp;780,m_end,"&gt;"&amp;720)&gt;1,"충돌",HYPERLINK("#'관리자_MASTER'!D"&amp;_xlfn.MAXIFS(m_row,m_teacher,Q$4,m_date,($G$2+9),m_active,1,m_start,"&lt;"&amp;780,m_end,"&gt;"&amp;720),INDEX(m_label,_xlfn.MAXIFS(m_row,m_teacher,Q$4,m_date,($G$2+9),m_active,1,m_start,"&lt;"&amp;780,m_end,"&gt;"&amp;720))))))</f>
        <v/>
      </c>
      <c r="R30" s="82" t="str">
        <f aca="false">IF(OR(R$4="",MONTH(($G$2+9))&lt;&gt;MONTH($C$2)),"",IF(COUNTIFS(m_teacher,R$4,m_date,($G$2+9),m_active,1,m_start,"&lt;"&amp;780,m_end,"&gt;"&amp;720)=0,"",IF(COUNTIFS(m_teacher,R$4,m_date,($G$2+9),m_active,1,m_start,"&lt;"&amp;780,m_end,"&gt;"&amp;720)&gt;1,"충돌",HYPERLINK("#'관리자_MASTER'!D"&amp;_xlfn.MAXIFS(m_row,m_teacher,R$4,m_date,($G$2+9),m_active,1,m_start,"&lt;"&amp;780,m_end,"&gt;"&amp;720),INDEX(m_label,_xlfn.MAXIFS(m_row,m_teacher,R$4,m_date,($G$2+9),m_active,1,m_start,"&lt;"&amp;780,m_end,"&gt;"&amp;720))))))</f>
        <v/>
      </c>
      <c r="S30" s="82" t="str">
        <f aca="false">IF(OR(S$4="",MONTH(($G$2+9))&lt;&gt;MONTH($C$2)),"",IF(COUNTIFS(m_teacher,S$4,m_date,($G$2+9),m_active,1,m_start,"&lt;"&amp;780,m_end,"&gt;"&amp;720)=0,"",IF(COUNTIFS(m_teacher,S$4,m_date,($G$2+9),m_active,1,m_start,"&lt;"&amp;780,m_end,"&gt;"&amp;720)&gt;1,"충돌",HYPERLINK("#'관리자_MASTER'!D"&amp;_xlfn.MAXIFS(m_row,m_teacher,S$4,m_date,($G$2+9),m_active,1,m_start,"&lt;"&amp;780,m_end,"&gt;"&amp;720),INDEX(m_label,_xlfn.MAXIFS(m_row,m_teacher,S$4,m_date,($G$2+9),m_active,1,m_start,"&lt;"&amp;780,m_end,"&gt;"&amp;720))))))</f>
        <v/>
      </c>
      <c r="T30" s="82" t="str">
        <f aca="false">IF(OR(T$4="",MONTH(($G$2+9))&lt;&gt;MONTH($C$2)),"",IF(COUNTIFS(m_teacher,T$4,m_date,($G$2+9),m_active,1,m_start,"&lt;"&amp;780,m_end,"&gt;"&amp;720)=0,"",IF(COUNTIFS(m_teacher,T$4,m_date,($G$2+9),m_active,1,m_start,"&lt;"&amp;780,m_end,"&gt;"&amp;720)&gt;1,"충돌",HYPERLINK("#'관리자_MASTER'!D"&amp;_xlfn.MAXIFS(m_row,m_teacher,T$4,m_date,($G$2+9),m_active,1,m_start,"&lt;"&amp;780,m_end,"&gt;"&amp;720),INDEX(m_label,_xlfn.MAXIFS(m_row,m_teacher,T$4,m_date,($G$2+9),m_active,1,m_start,"&lt;"&amp;780,m_end,"&gt;"&amp;720))))))</f>
        <v/>
      </c>
      <c r="U30" s="82" t="str">
        <f aca="false">IF(OR(U$4="",MONTH(($G$2+9))&lt;&gt;MONTH($C$2)),"",IF(COUNTIFS(m_teacher,U$4,m_date,($G$2+9),m_active,1,m_start,"&lt;"&amp;780,m_end,"&gt;"&amp;720)=0,"",IF(COUNTIFS(m_teacher,U$4,m_date,($G$2+9),m_active,1,m_start,"&lt;"&amp;780,m_end,"&gt;"&amp;720)&gt;1,"충돌",HYPERLINK("#'관리자_MASTER'!D"&amp;_xlfn.MAXIFS(m_row,m_teacher,U$4,m_date,($G$2+9),m_active,1,m_start,"&lt;"&amp;780,m_end,"&gt;"&amp;720),INDEX(m_label,_xlfn.MAXIFS(m_row,m_teacher,U$4,m_date,($G$2+9),m_active,1,m_start,"&lt;"&amp;780,m_end,"&gt;"&amp;720))))))</f>
        <v/>
      </c>
      <c r="V30" s="82" t="str">
        <f aca="false">IF(OR(V$4="",MONTH(($G$2+9))&lt;&gt;MONTH($C$2)),"",IF(COUNTIFS(m_teacher,V$4,m_date,($G$2+9),m_active,1,m_start,"&lt;"&amp;780,m_end,"&gt;"&amp;720)=0,"",IF(COUNTIFS(m_teacher,V$4,m_date,($G$2+9),m_active,1,m_start,"&lt;"&amp;780,m_end,"&gt;"&amp;720)&gt;1,"충돌",HYPERLINK("#'관리자_MASTER'!D"&amp;_xlfn.MAXIFS(m_row,m_teacher,V$4,m_date,($G$2+9),m_active,1,m_start,"&lt;"&amp;780,m_end,"&gt;"&amp;720),INDEX(m_label,_xlfn.MAXIFS(m_row,m_teacher,V$4,m_date,($G$2+9),m_active,1,m_start,"&lt;"&amp;780,m_end,"&gt;"&amp;720))))))</f>
        <v/>
      </c>
      <c r="W30" s="82" t="str">
        <f aca="false">IF(OR(W$4="",MONTH(($G$2+9))&lt;&gt;MONTH($C$2)),"",IF(COUNTIFS(m_teacher,W$4,m_date,($G$2+9),m_active,1,m_start,"&lt;"&amp;780,m_end,"&gt;"&amp;720)=0,"",IF(COUNTIFS(m_teacher,W$4,m_date,($G$2+9),m_active,1,m_start,"&lt;"&amp;780,m_end,"&gt;"&amp;720)&gt;1,"충돌",HYPERLINK("#'관리자_MASTER'!D"&amp;_xlfn.MAXIFS(m_row,m_teacher,W$4,m_date,($G$2+9),m_active,1,m_start,"&lt;"&amp;780,m_end,"&gt;"&amp;720),INDEX(m_label,_xlfn.MAXIFS(m_row,m_teacher,W$4,m_date,($G$2+9),m_active,1,m_start,"&lt;"&amp;780,m_end,"&gt;"&amp;720))))))</f>
        <v/>
      </c>
      <c r="X30" s="82" t="str">
        <f aca="false">IF(OR(X$4="",MONTH(($G$2+9))&lt;&gt;MONTH($C$2)),"",IF(COUNTIFS(m_teacher,X$4,m_date,($G$2+9),m_active,1,m_start,"&lt;"&amp;780,m_end,"&gt;"&amp;720)=0,"",IF(COUNTIFS(m_teacher,X$4,m_date,($G$2+9),m_active,1,m_start,"&lt;"&amp;780,m_end,"&gt;"&amp;720)&gt;1,"충돌",HYPERLINK("#'관리자_MASTER'!D"&amp;_xlfn.MAXIFS(m_row,m_teacher,X$4,m_date,($G$2+9),m_active,1,m_start,"&lt;"&amp;780,m_end,"&gt;"&amp;720),INDEX(m_label,_xlfn.MAXIFS(m_row,m_teacher,X$4,m_date,($G$2+9),m_active,1,m_start,"&lt;"&amp;780,m_end,"&gt;"&amp;720))))))</f>
        <v/>
      </c>
      <c r="Y30" s="82" t="str">
        <f aca="false">IF(OR(Y$4="",MONTH(($G$2+9))&lt;&gt;MONTH($C$2)),"",IF(COUNTIFS(m_teacher,Y$4,m_date,($G$2+9),m_active,1,m_start,"&lt;"&amp;780,m_end,"&gt;"&amp;720)=0,"",IF(COUNTIFS(m_teacher,Y$4,m_date,($G$2+9),m_active,1,m_start,"&lt;"&amp;780,m_end,"&gt;"&amp;720)&gt;1,"충돌",HYPERLINK("#'관리자_MASTER'!D"&amp;_xlfn.MAXIFS(m_row,m_teacher,Y$4,m_date,($G$2+9),m_active,1,m_start,"&lt;"&amp;780,m_end,"&gt;"&amp;720),INDEX(m_label,_xlfn.MAXIFS(m_row,m_teacher,Y$4,m_date,($G$2+9),m_active,1,m_start,"&lt;"&amp;780,m_end,"&gt;"&amp;720))))))</f>
        <v/>
      </c>
      <c r="Z30" s="82" t="str">
        <f aca="false">IF(OR(Z$4="",MONTH(($G$2+9))&lt;&gt;MONTH($C$2)),"",IF(COUNTIFS(m_teacher,Z$4,m_date,($G$2+9),m_active,1,m_start,"&lt;"&amp;780,m_end,"&gt;"&amp;720)=0,"",IF(COUNTIFS(m_teacher,Z$4,m_date,($G$2+9),m_active,1,m_start,"&lt;"&amp;780,m_end,"&gt;"&amp;720)&gt;1,"충돌",HYPERLINK("#'관리자_MASTER'!D"&amp;_xlfn.MAXIFS(m_row,m_teacher,Z$4,m_date,($G$2+9),m_active,1,m_start,"&lt;"&amp;780,m_end,"&gt;"&amp;720),INDEX(m_label,_xlfn.MAXIFS(m_row,m_teacher,Z$4,m_date,($G$2+9),m_active,1,m_start,"&lt;"&amp;780,m_end,"&gt;"&amp;720))))))</f>
        <v/>
      </c>
      <c r="AA30" s="82" t="str">
        <f aca="false">IF(OR(AA$4="",MONTH(($G$2+9))&lt;&gt;MONTH($C$2)),"",IF(COUNTIFS(m_teacher,AA$4,m_date,($G$2+9),m_active,1,m_start,"&lt;"&amp;780,m_end,"&gt;"&amp;720)=0,"",IF(COUNTIFS(m_teacher,AA$4,m_date,($G$2+9),m_active,1,m_start,"&lt;"&amp;780,m_end,"&gt;"&amp;720)&gt;1,"충돌",HYPERLINK("#'관리자_MASTER'!D"&amp;_xlfn.MAXIFS(m_row,m_teacher,AA$4,m_date,($G$2+9),m_active,1,m_start,"&lt;"&amp;780,m_end,"&gt;"&amp;720),INDEX(m_label,_xlfn.MAXIFS(m_row,m_teacher,AA$4,m_date,($G$2+9),m_active,1,m_start,"&lt;"&amp;780,m_end,"&gt;"&amp;720))))))</f>
        <v/>
      </c>
      <c r="AB30" s="82" t="str">
        <f aca="false">IF(OR(AB$4="",MONTH(($G$2+9))&lt;&gt;MONTH($C$2)),"",IF(COUNTIFS(m_teacher,AB$4,m_date,($G$2+9),m_active,1,m_start,"&lt;"&amp;780,m_end,"&gt;"&amp;720)=0,"",IF(COUNTIFS(m_teacher,AB$4,m_date,($G$2+9),m_active,1,m_start,"&lt;"&amp;780,m_end,"&gt;"&amp;720)&gt;1,"충돌",HYPERLINK("#'관리자_MASTER'!D"&amp;_xlfn.MAXIFS(m_row,m_teacher,AB$4,m_date,($G$2+9),m_active,1,m_start,"&lt;"&amp;780,m_end,"&gt;"&amp;720),INDEX(m_label,_xlfn.MAXIFS(m_row,m_teacher,AB$4,m_date,($G$2+9),m_active,1,m_start,"&lt;"&amp;780,m_end,"&gt;"&amp;720))))))</f>
        <v/>
      </c>
      <c r="AC30" s="78"/>
      <c r="AD30" s="79" t="s">
        <v>94</v>
      </c>
      <c r="AE30" s="82" t="str">
        <f aca="false">IF(OR(AE$4="",MONTH(($G$2+16))&lt;&gt;MONTH($C$2)),"",IF(COUNTIFS(m_teacher,AE$4,m_date,($G$2+16),m_active,1,m_start,"&lt;"&amp;780,m_end,"&gt;"&amp;720)=0,"",IF(COUNTIFS(m_teacher,AE$4,m_date,($G$2+16),m_active,1,m_start,"&lt;"&amp;780,m_end,"&gt;"&amp;720)&gt;1,"충돌",HYPERLINK("#'관리자_MASTER'!D"&amp;_xlfn.MAXIFS(m_row,m_teacher,AE$4,m_date,($G$2+16),m_active,1,m_start,"&lt;"&amp;780,m_end,"&gt;"&amp;720),INDEX(m_label,_xlfn.MAXIFS(m_row,m_teacher,AE$4,m_date,($G$2+16),m_active,1,m_start,"&lt;"&amp;780,m_end,"&gt;"&amp;720))))))</f>
        <v/>
      </c>
      <c r="AF30" s="82" t="str">
        <f aca="false">IF(OR(AF$4="",MONTH(($G$2+16))&lt;&gt;MONTH($C$2)),"",IF(COUNTIFS(m_teacher,AF$4,m_date,($G$2+16),m_active,1,m_start,"&lt;"&amp;780,m_end,"&gt;"&amp;720)=0,"",IF(COUNTIFS(m_teacher,AF$4,m_date,($G$2+16),m_active,1,m_start,"&lt;"&amp;780,m_end,"&gt;"&amp;720)&gt;1,"충돌",HYPERLINK("#'관리자_MASTER'!D"&amp;_xlfn.MAXIFS(m_row,m_teacher,AF$4,m_date,($G$2+16),m_active,1,m_start,"&lt;"&amp;780,m_end,"&gt;"&amp;720),INDEX(m_label,_xlfn.MAXIFS(m_row,m_teacher,AF$4,m_date,($G$2+16),m_active,1,m_start,"&lt;"&amp;780,m_end,"&gt;"&amp;720))))))</f>
        <v/>
      </c>
      <c r="AG30" s="82" t="str">
        <f aca="false">IF(OR(AG$4="",MONTH(($G$2+16))&lt;&gt;MONTH($C$2)),"",IF(COUNTIFS(m_teacher,AG$4,m_date,($G$2+16),m_active,1,m_start,"&lt;"&amp;780,m_end,"&gt;"&amp;720)=0,"",IF(COUNTIFS(m_teacher,AG$4,m_date,($G$2+16),m_active,1,m_start,"&lt;"&amp;780,m_end,"&gt;"&amp;720)&gt;1,"충돌",HYPERLINK("#'관리자_MASTER'!D"&amp;_xlfn.MAXIFS(m_row,m_teacher,AG$4,m_date,($G$2+16),m_active,1,m_start,"&lt;"&amp;780,m_end,"&gt;"&amp;720),INDEX(m_label,_xlfn.MAXIFS(m_row,m_teacher,AG$4,m_date,($G$2+16),m_active,1,m_start,"&lt;"&amp;780,m_end,"&gt;"&amp;720))))))</f>
        <v/>
      </c>
      <c r="AH30" s="82" t="str">
        <f aca="false">IF(OR(AH$4="",MONTH(($G$2+16))&lt;&gt;MONTH($C$2)),"",IF(COUNTIFS(m_teacher,AH$4,m_date,($G$2+16),m_active,1,m_start,"&lt;"&amp;780,m_end,"&gt;"&amp;720)=0,"",IF(COUNTIFS(m_teacher,AH$4,m_date,($G$2+16),m_active,1,m_start,"&lt;"&amp;780,m_end,"&gt;"&amp;720)&gt;1,"충돌",HYPERLINK("#'관리자_MASTER'!D"&amp;_xlfn.MAXIFS(m_row,m_teacher,AH$4,m_date,($G$2+16),m_active,1,m_start,"&lt;"&amp;780,m_end,"&gt;"&amp;720),INDEX(m_label,_xlfn.MAXIFS(m_row,m_teacher,AH$4,m_date,($G$2+16),m_active,1,m_start,"&lt;"&amp;780,m_end,"&gt;"&amp;720))))))</f>
        <v/>
      </c>
      <c r="AI30" s="82" t="str">
        <f aca="false">IF(OR(AI$4="",MONTH(($G$2+16))&lt;&gt;MONTH($C$2)),"",IF(COUNTIFS(m_teacher,AI$4,m_date,($G$2+16),m_active,1,m_start,"&lt;"&amp;780,m_end,"&gt;"&amp;720)=0,"",IF(COUNTIFS(m_teacher,AI$4,m_date,($G$2+16),m_active,1,m_start,"&lt;"&amp;780,m_end,"&gt;"&amp;720)&gt;1,"충돌",HYPERLINK("#'관리자_MASTER'!D"&amp;_xlfn.MAXIFS(m_row,m_teacher,AI$4,m_date,($G$2+16),m_active,1,m_start,"&lt;"&amp;780,m_end,"&gt;"&amp;720),INDEX(m_label,_xlfn.MAXIFS(m_row,m_teacher,AI$4,m_date,($G$2+16),m_active,1,m_start,"&lt;"&amp;780,m_end,"&gt;"&amp;720))))))</f>
        <v/>
      </c>
      <c r="AJ30" s="82" t="str">
        <f aca="false">IF(OR(AJ$4="",MONTH(($G$2+16))&lt;&gt;MONTH($C$2)),"",IF(COUNTIFS(m_teacher,AJ$4,m_date,($G$2+16),m_active,1,m_start,"&lt;"&amp;780,m_end,"&gt;"&amp;720)=0,"",IF(COUNTIFS(m_teacher,AJ$4,m_date,($G$2+16),m_active,1,m_start,"&lt;"&amp;780,m_end,"&gt;"&amp;720)&gt;1,"충돌",HYPERLINK("#'관리자_MASTER'!D"&amp;_xlfn.MAXIFS(m_row,m_teacher,AJ$4,m_date,($G$2+16),m_active,1,m_start,"&lt;"&amp;780,m_end,"&gt;"&amp;720),INDEX(m_label,_xlfn.MAXIFS(m_row,m_teacher,AJ$4,m_date,($G$2+16),m_active,1,m_start,"&lt;"&amp;780,m_end,"&gt;"&amp;720))))))</f>
        <v/>
      </c>
      <c r="AK30" s="82" t="str">
        <f aca="false">IF(OR(AK$4="",MONTH(($G$2+16))&lt;&gt;MONTH($C$2)),"",IF(COUNTIFS(m_teacher,AK$4,m_date,($G$2+16),m_active,1,m_start,"&lt;"&amp;780,m_end,"&gt;"&amp;720)=0,"",IF(COUNTIFS(m_teacher,AK$4,m_date,($G$2+16),m_active,1,m_start,"&lt;"&amp;780,m_end,"&gt;"&amp;720)&gt;1,"충돌",HYPERLINK("#'관리자_MASTER'!D"&amp;_xlfn.MAXIFS(m_row,m_teacher,AK$4,m_date,($G$2+16),m_active,1,m_start,"&lt;"&amp;780,m_end,"&gt;"&amp;720),INDEX(m_label,_xlfn.MAXIFS(m_row,m_teacher,AK$4,m_date,($G$2+16),m_active,1,m_start,"&lt;"&amp;780,m_end,"&gt;"&amp;720))))))</f>
        <v/>
      </c>
      <c r="AL30" s="82" t="str">
        <f aca="false">IF(OR(AL$4="",MONTH(($G$2+16))&lt;&gt;MONTH($C$2)),"",IF(COUNTIFS(m_teacher,AL$4,m_date,($G$2+16),m_active,1,m_start,"&lt;"&amp;780,m_end,"&gt;"&amp;720)=0,"",IF(COUNTIFS(m_teacher,AL$4,m_date,($G$2+16),m_active,1,m_start,"&lt;"&amp;780,m_end,"&gt;"&amp;720)&gt;1,"충돌",HYPERLINK("#'관리자_MASTER'!D"&amp;_xlfn.MAXIFS(m_row,m_teacher,AL$4,m_date,($G$2+16),m_active,1,m_start,"&lt;"&amp;780,m_end,"&gt;"&amp;720),INDEX(m_label,_xlfn.MAXIFS(m_row,m_teacher,AL$4,m_date,($G$2+16),m_active,1,m_start,"&lt;"&amp;780,m_end,"&gt;"&amp;720))))))</f>
        <v/>
      </c>
      <c r="AM30" s="82" t="str">
        <f aca="false">IF(OR(AM$4="",MONTH(($G$2+16))&lt;&gt;MONTH($C$2)),"",IF(COUNTIFS(m_teacher,AM$4,m_date,($G$2+16),m_active,1,m_start,"&lt;"&amp;780,m_end,"&gt;"&amp;720)=0,"",IF(COUNTIFS(m_teacher,AM$4,m_date,($G$2+16),m_active,1,m_start,"&lt;"&amp;780,m_end,"&gt;"&amp;720)&gt;1,"충돌",HYPERLINK("#'관리자_MASTER'!D"&amp;_xlfn.MAXIFS(m_row,m_teacher,AM$4,m_date,($G$2+16),m_active,1,m_start,"&lt;"&amp;780,m_end,"&gt;"&amp;720),INDEX(m_label,_xlfn.MAXIFS(m_row,m_teacher,AM$4,m_date,($G$2+16),m_active,1,m_start,"&lt;"&amp;780,m_end,"&gt;"&amp;720))))))</f>
        <v/>
      </c>
      <c r="AN30" s="82" t="str">
        <f aca="false">IF(OR(AN$4="",MONTH(($G$2+16))&lt;&gt;MONTH($C$2)),"",IF(COUNTIFS(m_teacher,AN$4,m_date,($G$2+16),m_active,1,m_start,"&lt;"&amp;780,m_end,"&gt;"&amp;720)=0,"",IF(COUNTIFS(m_teacher,AN$4,m_date,($G$2+16),m_active,1,m_start,"&lt;"&amp;780,m_end,"&gt;"&amp;720)&gt;1,"충돌",HYPERLINK("#'관리자_MASTER'!D"&amp;_xlfn.MAXIFS(m_row,m_teacher,AN$4,m_date,($G$2+16),m_active,1,m_start,"&lt;"&amp;780,m_end,"&gt;"&amp;720),INDEX(m_label,_xlfn.MAXIFS(m_row,m_teacher,AN$4,m_date,($G$2+16),m_active,1,m_start,"&lt;"&amp;780,m_end,"&gt;"&amp;720))))))</f>
        <v/>
      </c>
      <c r="AO30" s="82" t="str">
        <f aca="false">IF(OR(AO$4="",MONTH(($G$2+16))&lt;&gt;MONTH($C$2)),"",IF(COUNTIFS(m_teacher,AO$4,m_date,($G$2+16),m_active,1,m_start,"&lt;"&amp;780,m_end,"&gt;"&amp;720)=0,"",IF(COUNTIFS(m_teacher,AO$4,m_date,($G$2+16),m_active,1,m_start,"&lt;"&amp;780,m_end,"&gt;"&amp;720)&gt;1,"충돌",HYPERLINK("#'관리자_MASTER'!D"&amp;_xlfn.MAXIFS(m_row,m_teacher,AO$4,m_date,($G$2+16),m_active,1,m_start,"&lt;"&amp;780,m_end,"&gt;"&amp;720),INDEX(m_label,_xlfn.MAXIFS(m_row,m_teacher,AO$4,m_date,($G$2+16),m_active,1,m_start,"&lt;"&amp;780,m_end,"&gt;"&amp;720))))))</f>
        <v/>
      </c>
      <c r="AP30" s="82" t="str">
        <f aca="false">IF(OR(AP$4="",MONTH(($G$2+16))&lt;&gt;MONTH($C$2)),"",IF(COUNTIFS(m_teacher,AP$4,m_date,($G$2+16),m_active,1,m_start,"&lt;"&amp;780,m_end,"&gt;"&amp;720)=0,"",IF(COUNTIFS(m_teacher,AP$4,m_date,($G$2+16),m_active,1,m_start,"&lt;"&amp;780,m_end,"&gt;"&amp;720)&gt;1,"충돌",HYPERLINK("#'관리자_MASTER'!D"&amp;_xlfn.MAXIFS(m_row,m_teacher,AP$4,m_date,($G$2+16),m_active,1,m_start,"&lt;"&amp;780,m_end,"&gt;"&amp;720),INDEX(m_label,_xlfn.MAXIFS(m_row,m_teacher,AP$4,m_date,($G$2+16),m_active,1,m_start,"&lt;"&amp;780,m_end,"&gt;"&amp;720))))))</f>
        <v/>
      </c>
      <c r="AQ30" s="78"/>
      <c r="AR30" s="79" t="s">
        <v>94</v>
      </c>
      <c r="AS30" s="82" t="str">
        <f aca="false">IF(OR(AS$4="",MONTH(($G$2+23))&lt;&gt;MONTH($C$2)),"",IF(COUNTIFS(m_teacher,AS$4,m_date,($G$2+23),m_active,1,m_start,"&lt;"&amp;780,m_end,"&gt;"&amp;720)=0,"",IF(COUNTIFS(m_teacher,AS$4,m_date,($G$2+23),m_active,1,m_start,"&lt;"&amp;780,m_end,"&gt;"&amp;720)&gt;1,"충돌",HYPERLINK("#'관리자_MASTER'!D"&amp;_xlfn.MAXIFS(m_row,m_teacher,AS$4,m_date,($G$2+23),m_active,1,m_start,"&lt;"&amp;780,m_end,"&gt;"&amp;720),INDEX(m_label,_xlfn.MAXIFS(m_row,m_teacher,AS$4,m_date,($G$2+23),m_active,1,m_start,"&lt;"&amp;780,m_end,"&gt;"&amp;720))))))</f>
        <v/>
      </c>
      <c r="AT30" s="82" t="str">
        <f aca="false">IF(OR(AT$4="",MONTH(($G$2+23))&lt;&gt;MONTH($C$2)),"",IF(COUNTIFS(m_teacher,AT$4,m_date,($G$2+23),m_active,1,m_start,"&lt;"&amp;780,m_end,"&gt;"&amp;720)=0,"",IF(COUNTIFS(m_teacher,AT$4,m_date,($G$2+23),m_active,1,m_start,"&lt;"&amp;780,m_end,"&gt;"&amp;720)&gt;1,"충돌",HYPERLINK("#'관리자_MASTER'!D"&amp;_xlfn.MAXIFS(m_row,m_teacher,AT$4,m_date,($G$2+23),m_active,1,m_start,"&lt;"&amp;780,m_end,"&gt;"&amp;720),INDEX(m_label,_xlfn.MAXIFS(m_row,m_teacher,AT$4,m_date,($G$2+23),m_active,1,m_start,"&lt;"&amp;780,m_end,"&gt;"&amp;720))))))</f>
        <v/>
      </c>
      <c r="AU30" s="82" t="str">
        <f aca="false">IF(OR(AU$4="",MONTH(($G$2+23))&lt;&gt;MONTH($C$2)),"",IF(COUNTIFS(m_teacher,AU$4,m_date,($G$2+23),m_active,1,m_start,"&lt;"&amp;780,m_end,"&gt;"&amp;720)=0,"",IF(COUNTIFS(m_teacher,AU$4,m_date,($G$2+23),m_active,1,m_start,"&lt;"&amp;780,m_end,"&gt;"&amp;720)&gt;1,"충돌",HYPERLINK("#'관리자_MASTER'!D"&amp;_xlfn.MAXIFS(m_row,m_teacher,AU$4,m_date,($G$2+23),m_active,1,m_start,"&lt;"&amp;780,m_end,"&gt;"&amp;720),INDEX(m_label,_xlfn.MAXIFS(m_row,m_teacher,AU$4,m_date,($G$2+23),m_active,1,m_start,"&lt;"&amp;780,m_end,"&gt;"&amp;720))))))</f>
        <v/>
      </c>
      <c r="AV30" s="82" t="str">
        <f aca="false">IF(OR(AV$4="",MONTH(($G$2+23))&lt;&gt;MONTH($C$2)),"",IF(COUNTIFS(m_teacher,AV$4,m_date,($G$2+23),m_active,1,m_start,"&lt;"&amp;780,m_end,"&gt;"&amp;720)=0,"",IF(COUNTIFS(m_teacher,AV$4,m_date,($G$2+23),m_active,1,m_start,"&lt;"&amp;780,m_end,"&gt;"&amp;720)&gt;1,"충돌",HYPERLINK("#'관리자_MASTER'!D"&amp;_xlfn.MAXIFS(m_row,m_teacher,AV$4,m_date,($G$2+23),m_active,1,m_start,"&lt;"&amp;780,m_end,"&gt;"&amp;720),INDEX(m_label,_xlfn.MAXIFS(m_row,m_teacher,AV$4,m_date,($G$2+23),m_active,1,m_start,"&lt;"&amp;780,m_end,"&gt;"&amp;720))))))</f>
        <v/>
      </c>
      <c r="AW30" s="82" t="str">
        <f aca="false">IF(OR(AW$4="",MONTH(($G$2+23))&lt;&gt;MONTH($C$2)),"",IF(COUNTIFS(m_teacher,AW$4,m_date,($G$2+23),m_active,1,m_start,"&lt;"&amp;780,m_end,"&gt;"&amp;720)=0,"",IF(COUNTIFS(m_teacher,AW$4,m_date,($G$2+23),m_active,1,m_start,"&lt;"&amp;780,m_end,"&gt;"&amp;720)&gt;1,"충돌",HYPERLINK("#'관리자_MASTER'!D"&amp;_xlfn.MAXIFS(m_row,m_teacher,AW$4,m_date,($G$2+23),m_active,1,m_start,"&lt;"&amp;780,m_end,"&gt;"&amp;720),INDEX(m_label,_xlfn.MAXIFS(m_row,m_teacher,AW$4,m_date,($G$2+23),m_active,1,m_start,"&lt;"&amp;780,m_end,"&gt;"&amp;720))))))</f>
        <v/>
      </c>
      <c r="AX30" s="82" t="str">
        <f aca="false">IF(OR(AX$4="",MONTH(($G$2+23))&lt;&gt;MONTH($C$2)),"",IF(COUNTIFS(m_teacher,AX$4,m_date,($G$2+23),m_active,1,m_start,"&lt;"&amp;780,m_end,"&gt;"&amp;720)=0,"",IF(COUNTIFS(m_teacher,AX$4,m_date,($G$2+23),m_active,1,m_start,"&lt;"&amp;780,m_end,"&gt;"&amp;720)&gt;1,"충돌",HYPERLINK("#'관리자_MASTER'!D"&amp;_xlfn.MAXIFS(m_row,m_teacher,AX$4,m_date,($G$2+23),m_active,1,m_start,"&lt;"&amp;780,m_end,"&gt;"&amp;720),INDEX(m_label,_xlfn.MAXIFS(m_row,m_teacher,AX$4,m_date,($G$2+23),m_active,1,m_start,"&lt;"&amp;780,m_end,"&gt;"&amp;720))))))</f>
        <v/>
      </c>
      <c r="AY30" s="82" t="str">
        <f aca="false">IF(OR(AY$4="",MONTH(($G$2+23))&lt;&gt;MONTH($C$2)),"",IF(COUNTIFS(m_teacher,AY$4,m_date,($G$2+23),m_active,1,m_start,"&lt;"&amp;780,m_end,"&gt;"&amp;720)=0,"",IF(COUNTIFS(m_teacher,AY$4,m_date,($G$2+23),m_active,1,m_start,"&lt;"&amp;780,m_end,"&gt;"&amp;720)&gt;1,"충돌",HYPERLINK("#'관리자_MASTER'!D"&amp;_xlfn.MAXIFS(m_row,m_teacher,AY$4,m_date,($G$2+23),m_active,1,m_start,"&lt;"&amp;780,m_end,"&gt;"&amp;720),INDEX(m_label,_xlfn.MAXIFS(m_row,m_teacher,AY$4,m_date,($G$2+23),m_active,1,m_start,"&lt;"&amp;780,m_end,"&gt;"&amp;720))))))</f>
        <v/>
      </c>
      <c r="AZ30" s="82" t="str">
        <f aca="false">IF(OR(AZ$4="",MONTH(($G$2+23))&lt;&gt;MONTH($C$2)),"",IF(COUNTIFS(m_teacher,AZ$4,m_date,($G$2+23),m_active,1,m_start,"&lt;"&amp;780,m_end,"&gt;"&amp;720)=0,"",IF(COUNTIFS(m_teacher,AZ$4,m_date,($G$2+23),m_active,1,m_start,"&lt;"&amp;780,m_end,"&gt;"&amp;720)&gt;1,"충돌",HYPERLINK("#'관리자_MASTER'!D"&amp;_xlfn.MAXIFS(m_row,m_teacher,AZ$4,m_date,($G$2+23),m_active,1,m_start,"&lt;"&amp;780,m_end,"&gt;"&amp;720),INDEX(m_label,_xlfn.MAXIFS(m_row,m_teacher,AZ$4,m_date,($G$2+23),m_active,1,m_start,"&lt;"&amp;780,m_end,"&gt;"&amp;720))))))</f>
        <v/>
      </c>
      <c r="BA30" s="82" t="str">
        <f aca="false">IF(OR(BA$4="",MONTH(($G$2+23))&lt;&gt;MONTH($C$2)),"",IF(COUNTIFS(m_teacher,BA$4,m_date,($G$2+23),m_active,1,m_start,"&lt;"&amp;780,m_end,"&gt;"&amp;720)=0,"",IF(COUNTIFS(m_teacher,BA$4,m_date,($G$2+23),m_active,1,m_start,"&lt;"&amp;780,m_end,"&gt;"&amp;720)&gt;1,"충돌",HYPERLINK("#'관리자_MASTER'!D"&amp;_xlfn.MAXIFS(m_row,m_teacher,BA$4,m_date,($G$2+23),m_active,1,m_start,"&lt;"&amp;780,m_end,"&gt;"&amp;720),INDEX(m_label,_xlfn.MAXIFS(m_row,m_teacher,BA$4,m_date,($G$2+23),m_active,1,m_start,"&lt;"&amp;780,m_end,"&gt;"&amp;720))))))</f>
        <v/>
      </c>
      <c r="BB30" s="82" t="str">
        <f aca="false">IF(OR(BB$4="",MONTH(($G$2+23))&lt;&gt;MONTH($C$2)),"",IF(COUNTIFS(m_teacher,BB$4,m_date,($G$2+23),m_active,1,m_start,"&lt;"&amp;780,m_end,"&gt;"&amp;720)=0,"",IF(COUNTIFS(m_teacher,BB$4,m_date,($G$2+23),m_active,1,m_start,"&lt;"&amp;780,m_end,"&gt;"&amp;720)&gt;1,"충돌",HYPERLINK("#'관리자_MASTER'!D"&amp;_xlfn.MAXIFS(m_row,m_teacher,BB$4,m_date,($G$2+23),m_active,1,m_start,"&lt;"&amp;780,m_end,"&gt;"&amp;720),INDEX(m_label,_xlfn.MAXIFS(m_row,m_teacher,BB$4,m_date,($G$2+23),m_active,1,m_start,"&lt;"&amp;780,m_end,"&gt;"&amp;720))))))</f>
        <v/>
      </c>
      <c r="BC30" s="82" t="str">
        <f aca="false">IF(OR(BC$4="",MONTH(($G$2+23))&lt;&gt;MONTH($C$2)),"",IF(COUNTIFS(m_teacher,BC$4,m_date,($G$2+23),m_active,1,m_start,"&lt;"&amp;780,m_end,"&gt;"&amp;720)=0,"",IF(COUNTIFS(m_teacher,BC$4,m_date,($G$2+23),m_active,1,m_start,"&lt;"&amp;780,m_end,"&gt;"&amp;720)&gt;1,"충돌",HYPERLINK("#'관리자_MASTER'!D"&amp;_xlfn.MAXIFS(m_row,m_teacher,BC$4,m_date,($G$2+23),m_active,1,m_start,"&lt;"&amp;780,m_end,"&gt;"&amp;720),INDEX(m_label,_xlfn.MAXIFS(m_row,m_teacher,BC$4,m_date,($G$2+23),m_active,1,m_start,"&lt;"&amp;780,m_end,"&gt;"&amp;720))))))</f>
        <v/>
      </c>
      <c r="BD30" s="82" t="str">
        <f aca="false">IF(OR(BD$4="",MONTH(($G$2+23))&lt;&gt;MONTH($C$2)),"",IF(COUNTIFS(m_teacher,BD$4,m_date,($G$2+23),m_active,1,m_start,"&lt;"&amp;780,m_end,"&gt;"&amp;720)=0,"",IF(COUNTIFS(m_teacher,BD$4,m_date,($G$2+23),m_active,1,m_start,"&lt;"&amp;780,m_end,"&gt;"&amp;720)&gt;1,"충돌",HYPERLINK("#'관리자_MASTER'!D"&amp;_xlfn.MAXIFS(m_row,m_teacher,BD$4,m_date,($G$2+23),m_active,1,m_start,"&lt;"&amp;780,m_end,"&gt;"&amp;720),INDEX(m_label,_xlfn.MAXIFS(m_row,m_teacher,BD$4,m_date,($G$2+23),m_active,1,m_start,"&lt;"&amp;780,m_end,"&gt;"&amp;720))))))</f>
        <v/>
      </c>
    </row>
    <row r="31" customFormat="false" ht="19.5" hidden="false" customHeight="true" outlineLevel="0" collapsed="false">
      <c r="A31" s="78"/>
      <c r="B31" s="79" t="s">
        <v>95</v>
      </c>
      <c r="C31" s="82" t="str">
        <f aca="false">IF(OR(C$4="",MONTH(($G$2+2))&lt;&gt;MONTH($C$2)),"",IF(COUNTIFS(m_teacher,C$4,m_date,($G$2+2),m_active,1,m_start,"&lt;"&amp;840,m_end,"&gt;"&amp;780)=0,"",IF(COUNTIFS(m_teacher,C$4,m_date,($G$2+2),m_active,1,m_start,"&lt;"&amp;840,m_end,"&gt;"&amp;780)&gt;1,"충돌",HYPERLINK("#'관리자_MASTER'!D"&amp;_xlfn.MAXIFS(m_row,m_teacher,C$4,m_date,($G$2+2),m_active,1,m_start,"&lt;"&amp;840,m_end,"&gt;"&amp;780),INDEX(m_label,_xlfn.MAXIFS(m_row,m_teacher,C$4,m_date,($G$2+2),m_active,1,m_start,"&lt;"&amp;840,m_end,"&gt;"&amp;780))))))</f>
        <v/>
      </c>
      <c r="D31" s="82" t="str">
        <f aca="false">IF(OR(D$4="",MONTH(($G$2+2))&lt;&gt;MONTH($C$2)),"",IF(COUNTIFS(m_teacher,D$4,m_date,($G$2+2),m_active,1,m_start,"&lt;"&amp;840,m_end,"&gt;"&amp;780)=0,"",IF(COUNTIFS(m_teacher,D$4,m_date,($G$2+2),m_active,1,m_start,"&lt;"&amp;840,m_end,"&gt;"&amp;780)&gt;1,"충돌",HYPERLINK("#'관리자_MASTER'!D"&amp;_xlfn.MAXIFS(m_row,m_teacher,D$4,m_date,($G$2+2),m_active,1,m_start,"&lt;"&amp;840,m_end,"&gt;"&amp;780),INDEX(m_label,_xlfn.MAXIFS(m_row,m_teacher,D$4,m_date,($G$2+2),m_active,1,m_start,"&lt;"&amp;840,m_end,"&gt;"&amp;780))))))</f>
        <v/>
      </c>
      <c r="E31" s="82" t="str">
        <f aca="false">IF(OR(E$4="",MONTH(($G$2+2))&lt;&gt;MONTH($C$2)),"",IF(COUNTIFS(m_teacher,E$4,m_date,($G$2+2),m_active,1,m_start,"&lt;"&amp;840,m_end,"&gt;"&amp;780)=0,"",IF(COUNTIFS(m_teacher,E$4,m_date,($G$2+2),m_active,1,m_start,"&lt;"&amp;840,m_end,"&gt;"&amp;780)&gt;1,"충돌",HYPERLINK("#'관리자_MASTER'!D"&amp;_xlfn.MAXIFS(m_row,m_teacher,E$4,m_date,($G$2+2),m_active,1,m_start,"&lt;"&amp;840,m_end,"&gt;"&amp;780),INDEX(m_label,_xlfn.MAXIFS(m_row,m_teacher,E$4,m_date,($G$2+2),m_active,1,m_start,"&lt;"&amp;840,m_end,"&gt;"&amp;780))))))</f>
        <v/>
      </c>
      <c r="F31" s="82" t="str">
        <f aca="false">IF(OR(F$4="",MONTH(($G$2+2))&lt;&gt;MONTH($C$2)),"",IF(COUNTIFS(m_teacher,F$4,m_date,($G$2+2),m_active,1,m_start,"&lt;"&amp;840,m_end,"&gt;"&amp;780)=0,"",IF(COUNTIFS(m_teacher,F$4,m_date,($G$2+2),m_active,1,m_start,"&lt;"&amp;840,m_end,"&gt;"&amp;780)&gt;1,"충돌",HYPERLINK("#'관리자_MASTER'!D"&amp;_xlfn.MAXIFS(m_row,m_teacher,F$4,m_date,($G$2+2),m_active,1,m_start,"&lt;"&amp;840,m_end,"&gt;"&amp;780),INDEX(m_label,_xlfn.MAXIFS(m_row,m_teacher,F$4,m_date,($G$2+2),m_active,1,m_start,"&lt;"&amp;840,m_end,"&gt;"&amp;780))))))</f>
        <v/>
      </c>
      <c r="G31" s="82" t="str">
        <f aca="false">IF(OR(G$4="",MONTH(($G$2+2))&lt;&gt;MONTH($C$2)),"",IF(COUNTIFS(m_teacher,G$4,m_date,($G$2+2),m_active,1,m_start,"&lt;"&amp;840,m_end,"&gt;"&amp;780)=0,"",IF(COUNTIFS(m_teacher,G$4,m_date,($G$2+2),m_active,1,m_start,"&lt;"&amp;840,m_end,"&gt;"&amp;780)&gt;1,"충돌",HYPERLINK("#'관리자_MASTER'!D"&amp;_xlfn.MAXIFS(m_row,m_teacher,G$4,m_date,($G$2+2),m_active,1,m_start,"&lt;"&amp;840,m_end,"&gt;"&amp;780),INDEX(m_label,_xlfn.MAXIFS(m_row,m_teacher,G$4,m_date,($G$2+2),m_active,1,m_start,"&lt;"&amp;840,m_end,"&gt;"&amp;780))))))</f>
        <v/>
      </c>
      <c r="H31" s="82" t="str">
        <f aca="false">IF(OR(H$4="",MONTH(($G$2+2))&lt;&gt;MONTH($C$2)),"",IF(COUNTIFS(m_teacher,H$4,m_date,($G$2+2),m_active,1,m_start,"&lt;"&amp;840,m_end,"&gt;"&amp;780)=0,"",IF(COUNTIFS(m_teacher,H$4,m_date,($G$2+2),m_active,1,m_start,"&lt;"&amp;840,m_end,"&gt;"&amp;780)&gt;1,"충돌",HYPERLINK("#'관리자_MASTER'!D"&amp;_xlfn.MAXIFS(m_row,m_teacher,H$4,m_date,($G$2+2),m_active,1,m_start,"&lt;"&amp;840,m_end,"&gt;"&amp;780),INDEX(m_label,_xlfn.MAXIFS(m_row,m_teacher,H$4,m_date,($G$2+2),m_active,1,m_start,"&lt;"&amp;840,m_end,"&gt;"&amp;780))))))</f>
        <v/>
      </c>
      <c r="I31" s="82" t="str">
        <f aca="false">IF(OR(I$4="",MONTH(($G$2+2))&lt;&gt;MONTH($C$2)),"",IF(COUNTIFS(m_teacher,I$4,m_date,($G$2+2),m_active,1,m_start,"&lt;"&amp;840,m_end,"&gt;"&amp;780)=0,"",IF(COUNTIFS(m_teacher,I$4,m_date,($G$2+2),m_active,1,m_start,"&lt;"&amp;840,m_end,"&gt;"&amp;780)&gt;1,"충돌",HYPERLINK("#'관리자_MASTER'!D"&amp;_xlfn.MAXIFS(m_row,m_teacher,I$4,m_date,($G$2+2),m_active,1,m_start,"&lt;"&amp;840,m_end,"&gt;"&amp;780),INDEX(m_label,_xlfn.MAXIFS(m_row,m_teacher,I$4,m_date,($G$2+2),m_active,1,m_start,"&lt;"&amp;840,m_end,"&gt;"&amp;780))))))</f>
        <v/>
      </c>
      <c r="J31" s="82" t="str">
        <f aca="false">IF(OR(J$4="",MONTH(($G$2+2))&lt;&gt;MONTH($C$2)),"",IF(COUNTIFS(m_teacher,J$4,m_date,($G$2+2),m_active,1,m_start,"&lt;"&amp;840,m_end,"&gt;"&amp;780)=0,"",IF(COUNTIFS(m_teacher,J$4,m_date,($G$2+2),m_active,1,m_start,"&lt;"&amp;840,m_end,"&gt;"&amp;780)&gt;1,"충돌",HYPERLINK("#'관리자_MASTER'!D"&amp;_xlfn.MAXIFS(m_row,m_teacher,J$4,m_date,($G$2+2),m_active,1,m_start,"&lt;"&amp;840,m_end,"&gt;"&amp;780),INDEX(m_label,_xlfn.MAXIFS(m_row,m_teacher,J$4,m_date,($G$2+2),m_active,1,m_start,"&lt;"&amp;840,m_end,"&gt;"&amp;780))))))</f>
        <v/>
      </c>
      <c r="K31" s="82" t="str">
        <f aca="false">IF(OR(K$4="",MONTH(($G$2+2))&lt;&gt;MONTH($C$2)),"",IF(COUNTIFS(m_teacher,K$4,m_date,($G$2+2),m_active,1,m_start,"&lt;"&amp;840,m_end,"&gt;"&amp;780)=0,"",IF(COUNTIFS(m_teacher,K$4,m_date,($G$2+2),m_active,1,m_start,"&lt;"&amp;840,m_end,"&gt;"&amp;780)&gt;1,"충돌",HYPERLINK("#'관리자_MASTER'!D"&amp;_xlfn.MAXIFS(m_row,m_teacher,K$4,m_date,($G$2+2),m_active,1,m_start,"&lt;"&amp;840,m_end,"&gt;"&amp;780),INDEX(m_label,_xlfn.MAXIFS(m_row,m_teacher,K$4,m_date,($G$2+2),m_active,1,m_start,"&lt;"&amp;840,m_end,"&gt;"&amp;780))))))</f>
        <v/>
      </c>
      <c r="L31" s="82" t="str">
        <f aca="false">IF(OR(L$4="",MONTH(($G$2+2))&lt;&gt;MONTH($C$2)),"",IF(COUNTIFS(m_teacher,L$4,m_date,($G$2+2),m_active,1,m_start,"&lt;"&amp;840,m_end,"&gt;"&amp;780)=0,"",IF(COUNTIFS(m_teacher,L$4,m_date,($G$2+2),m_active,1,m_start,"&lt;"&amp;840,m_end,"&gt;"&amp;780)&gt;1,"충돌",HYPERLINK("#'관리자_MASTER'!D"&amp;_xlfn.MAXIFS(m_row,m_teacher,L$4,m_date,($G$2+2),m_active,1,m_start,"&lt;"&amp;840,m_end,"&gt;"&amp;780),INDEX(m_label,_xlfn.MAXIFS(m_row,m_teacher,L$4,m_date,($G$2+2),m_active,1,m_start,"&lt;"&amp;840,m_end,"&gt;"&amp;780))))))</f>
        <v/>
      </c>
      <c r="M31" s="82" t="str">
        <f aca="false">IF(OR(M$4="",MONTH(($G$2+2))&lt;&gt;MONTH($C$2)),"",IF(COUNTIFS(m_teacher,M$4,m_date,($G$2+2),m_active,1,m_start,"&lt;"&amp;840,m_end,"&gt;"&amp;780)=0,"",IF(COUNTIFS(m_teacher,M$4,m_date,($G$2+2),m_active,1,m_start,"&lt;"&amp;840,m_end,"&gt;"&amp;780)&gt;1,"충돌",HYPERLINK("#'관리자_MASTER'!D"&amp;_xlfn.MAXIFS(m_row,m_teacher,M$4,m_date,($G$2+2),m_active,1,m_start,"&lt;"&amp;840,m_end,"&gt;"&amp;780),INDEX(m_label,_xlfn.MAXIFS(m_row,m_teacher,M$4,m_date,($G$2+2),m_active,1,m_start,"&lt;"&amp;840,m_end,"&gt;"&amp;780))))))</f>
        <v/>
      </c>
      <c r="N31" s="82" t="str">
        <f aca="false">IF(OR(N$4="",MONTH(($G$2+2))&lt;&gt;MONTH($C$2)),"",IF(COUNTIFS(m_teacher,N$4,m_date,($G$2+2),m_active,1,m_start,"&lt;"&amp;840,m_end,"&gt;"&amp;780)=0,"",IF(COUNTIFS(m_teacher,N$4,m_date,($G$2+2),m_active,1,m_start,"&lt;"&amp;840,m_end,"&gt;"&amp;780)&gt;1,"충돌",HYPERLINK("#'관리자_MASTER'!D"&amp;_xlfn.MAXIFS(m_row,m_teacher,N$4,m_date,($G$2+2),m_active,1,m_start,"&lt;"&amp;840,m_end,"&gt;"&amp;780),INDEX(m_label,_xlfn.MAXIFS(m_row,m_teacher,N$4,m_date,($G$2+2),m_active,1,m_start,"&lt;"&amp;840,m_end,"&gt;"&amp;780))))))</f>
        <v/>
      </c>
      <c r="O31" s="78"/>
      <c r="P31" s="79" t="s">
        <v>95</v>
      </c>
      <c r="Q31" s="82" t="str">
        <f aca="false">IF(OR(Q$4="",MONTH(($G$2+9))&lt;&gt;MONTH($C$2)),"",IF(COUNTIFS(m_teacher,Q$4,m_date,($G$2+9),m_active,1,m_start,"&lt;"&amp;840,m_end,"&gt;"&amp;780)=0,"",IF(COUNTIFS(m_teacher,Q$4,m_date,($G$2+9),m_active,1,m_start,"&lt;"&amp;840,m_end,"&gt;"&amp;780)&gt;1,"충돌",HYPERLINK("#'관리자_MASTER'!D"&amp;_xlfn.MAXIFS(m_row,m_teacher,Q$4,m_date,($G$2+9),m_active,1,m_start,"&lt;"&amp;840,m_end,"&gt;"&amp;780),INDEX(m_label,_xlfn.MAXIFS(m_row,m_teacher,Q$4,m_date,($G$2+9),m_active,1,m_start,"&lt;"&amp;840,m_end,"&gt;"&amp;780))))))</f>
        <v/>
      </c>
      <c r="R31" s="82" t="str">
        <f aca="false">IF(OR(R$4="",MONTH(($G$2+9))&lt;&gt;MONTH($C$2)),"",IF(COUNTIFS(m_teacher,R$4,m_date,($G$2+9),m_active,1,m_start,"&lt;"&amp;840,m_end,"&gt;"&amp;780)=0,"",IF(COUNTIFS(m_teacher,R$4,m_date,($G$2+9),m_active,1,m_start,"&lt;"&amp;840,m_end,"&gt;"&amp;780)&gt;1,"충돌",HYPERLINK("#'관리자_MASTER'!D"&amp;_xlfn.MAXIFS(m_row,m_teacher,R$4,m_date,($G$2+9),m_active,1,m_start,"&lt;"&amp;840,m_end,"&gt;"&amp;780),INDEX(m_label,_xlfn.MAXIFS(m_row,m_teacher,R$4,m_date,($G$2+9),m_active,1,m_start,"&lt;"&amp;840,m_end,"&gt;"&amp;780))))))</f>
        <v/>
      </c>
      <c r="S31" s="82" t="str">
        <f aca="false">IF(OR(S$4="",MONTH(($G$2+9))&lt;&gt;MONTH($C$2)),"",IF(COUNTIFS(m_teacher,S$4,m_date,($G$2+9),m_active,1,m_start,"&lt;"&amp;840,m_end,"&gt;"&amp;780)=0,"",IF(COUNTIFS(m_teacher,S$4,m_date,($G$2+9),m_active,1,m_start,"&lt;"&amp;840,m_end,"&gt;"&amp;780)&gt;1,"충돌",HYPERLINK("#'관리자_MASTER'!D"&amp;_xlfn.MAXIFS(m_row,m_teacher,S$4,m_date,($G$2+9),m_active,1,m_start,"&lt;"&amp;840,m_end,"&gt;"&amp;780),INDEX(m_label,_xlfn.MAXIFS(m_row,m_teacher,S$4,m_date,($G$2+9),m_active,1,m_start,"&lt;"&amp;840,m_end,"&gt;"&amp;780))))))</f>
        <v/>
      </c>
      <c r="T31" s="82" t="str">
        <f aca="false">IF(OR(T$4="",MONTH(($G$2+9))&lt;&gt;MONTH($C$2)),"",IF(COUNTIFS(m_teacher,T$4,m_date,($G$2+9),m_active,1,m_start,"&lt;"&amp;840,m_end,"&gt;"&amp;780)=0,"",IF(COUNTIFS(m_teacher,T$4,m_date,($G$2+9),m_active,1,m_start,"&lt;"&amp;840,m_end,"&gt;"&amp;780)&gt;1,"충돌",HYPERLINK("#'관리자_MASTER'!D"&amp;_xlfn.MAXIFS(m_row,m_teacher,T$4,m_date,($G$2+9),m_active,1,m_start,"&lt;"&amp;840,m_end,"&gt;"&amp;780),INDEX(m_label,_xlfn.MAXIFS(m_row,m_teacher,T$4,m_date,($G$2+9),m_active,1,m_start,"&lt;"&amp;840,m_end,"&gt;"&amp;780))))))</f>
        <v/>
      </c>
      <c r="U31" s="82" t="str">
        <f aca="false">IF(OR(U$4="",MONTH(($G$2+9))&lt;&gt;MONTH($C$2)),"",IF(COUNTIFS(m_teacher,U$4,m_date,($G$2+9),m_active,1,m_start,"&lt;"&amp;840,m_end,"&gt;"&amp;780)=0,"",IF(COUNTIFS(m_teacher,U$4,m_date,($G$2+9),m_active,1,m_start,"&lt;"&amp;840,m_end,"&gt;"&amp;780)&gt;1,"충돌",HYPERLINK("#'관리자_MASTER'!D"&amp;_xlfn.MAXIFS(m_row,m_teacher,U$4,m_date,($G$2+9),m_active,1,m_start,"&lt;"&amp;840,m_end,"&gt;"&amp;780),INDEX(m_label,_xlfn.MAXIFS(m_row,m_teacher,U$4,m_date,($G$2+9),m_active,1,m_start,"&lt;"&amp;840,m_end,"&gt;"&amp;780))))))</f>
        <v/>
      </c>
      <c r="V31" s="82" t="str">
        <f aca="false">IF(OR(V$4="",MONTH(($G$2+9))&lt;&gt;MONTH($C$2)),"",IF(COUNTIFS(m_teacher,V$4,m_date,($G$2+9),m_active,1,m_start,"&lt;"&amp;840,m_end,"&gt;"&amp;780)=0,"",IF(COUNTIFS(m_teacher,V$4,m_date,($G$2+9),m_active,1,m_start,"&lt;"&amp;840,m_end,"&gt;"&amp;780)&gt;1,"충돌",HYPERLINK("#'관리자_MASTER'!D"&amp;_xlfn.MAXIFS(m_row,m_teacher,V$4,m_date,($G$2+9),m_active,1,m_start,"&lt;"&amp;840,m_end,"&gt;"&amp;780),INDEX(m_label,_xlfn.MAXIFS(m_row,m_teacher,V$4,m_date,($G$2+9),m_active,1,m_start,"&lt;"&amp;840,m_end,"&gt;"&amp;780))))))</f>
        <v/>
      </c>
      <c r="W31" s="82" t="str">
        <f aca="false">IF(OR(W$4="",MONTH(($G$2+9))&lt;&gt;MONTH($C$2)),"",IF(COUNTIFS(m_teacher,W$4,m_date,($G$2+9),m_active,1,m_start,"&lt;"&amp;840,m_end,"&gt;"&amp;780)=0,"",IF(COUNTIFS(m_teacher,W$4,m_date,($G$2+9),m_active,1,m_start,"&lt;"&amp;840,m_end,"&gt;"&amp;780)&gt;1,"충돌",HYPERLINK("#'관리자_MASTER'!D"&amp;_xlfn.MAXIFS(m_row,m_teacher,W$4,m_date,($G$2+9),m_active,1,m_start,"&lt;"&amp;840,m_end,"&gt;"&amp;780),INDEX(m_label,_xlfn.MAXIFS(m_row,m_teacher,W$4,m_date,($G$2+9),m_active,1,m_start,"&lt;"&amp;840,m_end,"&gt;"&amp;780))))))</f>
        <v/>
      </c>
      <c r="X31" s="82" t="str">
        <f aca="false">IF(OR(X$4="",MONTH(($G$2+9))&lt;&gt;MONTH($C$2)),"",IF(COUNTIFS(m_teacher,X$4,m_date,($G$2+9),m_active,1,m_start,"&lt;"&amp;840,m_end,"&gt;"&amp;780)=0,"",IF(COUNTIFS(m_teacher,X$4,m_date,($G$2+9),m_active,1,m_start,"&lt;"&amp;840,m_end,"&gt;"&amp;780)&gt;1,"충돌",HYPERLINK("#'관리자_MASTER'!D"&amp;_xlfn.MAXIFS(m_row,m_teacher,X$4,m_date,($G$2+9),m_active,1,m_start,"&lt;"&amp;840,m_end,"&gt;"&amp;780),INDEX(m_label,_xlfn.MAXIFS(m_row,m_teacher,X$4,m_date,($G$2+9),m_active,1,m_start,"&lt;"&amp;840,m_end,"&gt;"&amp;780))))))</f>
        <v/>
      </c>
      <c r="Y31" s="82" t="str">
        <f aca="false">IF(OR(Y$4="",MONTH(($G$2+9))&lt;&gt;MONTH($C$2)),"",IF(COUNTIFS(m_teacher,Y$4,m_date,($G$2+9),m_active,1,m_start,"&lt;"&amp;840,m_end,"&gt;"&amp;780)=0,"",IF(COUNTIFS(m_teacher,Y$4,m_date,($G$2+9),m_active,1,m_start,"&lt;"&amp;840,m_end,"&gt;"&amp;780)&gt;1,"충돌",HYPERLINK("#'관리자_MASTER'!D"&amp;_xlfn.MAXIFS(m_row,m_teacher,Y$4,m_date,($G$2+9),m_active,1,m_start,"&lt;"&amp;840,m_end,"&gt;"&amp;780),INDEX(m_label,_xlfn.MAXIFS(m_row,m_teacher,Y$4,m_date,($G$2+9),m_active,1,m_start,"&lt;"&amp;840,m_end,"&gt;"&amp;780))))))</f>
        <v/>
      </c>
      <c r="Z31" s="82" t="str">
        <f aca="false">IF(OR(Z$4="",MONTH(($G$2+9))&lt;&gt;MONTH($C$2)),"",IF(COUNTIFS(m_teacher,Z$4,m_date,($G$2+9),m_active,1,m_start,"&lt;"&amp;840,m_end,"&gt;"&amp;780)=0,"",IF(COUNTIFS(m_teacher,Z$4,m_date,($G$2+9),m_active,1,m_start,"&lt;"&amp;840,m_end,"&gt;"&amp;780)&gt;1,"충돌",HYPERLINK("#'관리자_MASTER'!D"&amp;_xlfn.MAXIFS(m_row,m_teacher,Z$4,m_date,($G$2+9),m_active,1,m_start,"&lt;"&amp;840,m_end,"&gt;"&amp;780),INDEX(m_label,_xlfn.MAXIFS(m_row,m_teacher,Z$4,m_date,($G$2+9),m_active,1,m_start,"&lt;"&amp;840,m_end,"&gt;"&amp;780))))))</f>
        <v/>
      </c>
      <c r="AA31" s="82" t="str">
        <f aca="false">IF(OR(AA$4="",MONTH(($G$2+9))&lt;&gt;MONTH($C$2)),"",IF(COUNTIFS(m_teacher,AA$4,m_date,($G$2+9),m_active,1,m_start,"&lt;"&amp;840,m_end,"&gt;"&amp;780)=0,"",IF(COUNTIFS(m_teacher,AA$4,m_date,($G$2+9),m_active,1,m_start,"&lt;"&amp;840,m_end,"&gt;"&amp;780)&gt;1,"충돌",HYPERLINK("#'관리자_MASTER'!D"&amp;_xlfn.MAXIFS(m_row,m_teacher,AA$4,m_date,($G$2+9),m_active,1,m_start,"&lt;"&amp;840,m_end,"&gt;"&amp;780),INDEX(m_label,_xlfn.MAXIFS(m_row,m_teacher,AA$4,m_date,($G$2+9),m_active,1,m_start,"&lt;"&amp;840,m_end,"&gt;"&amp;780))))))</f>
        <v/>
      </c>
      <c r="AB31" s="82" t="str">
        <f aca="false">IF(OR(AB$4="",MONTH(($G$2+9))&lt;&gt;MONTH($C$2)),"",IF(COUNTIFS(m_teacher,AB$4,m_date,($G$2+9),m_active,1,m_start,"&lt;"&amp;840,m_end,"&gt;"&amp;780)=0,"",IF(COUNTIFS(m_teacher,AB$4,m_date,($G$2+9),m_active,1,m_start,"&lt;"&amp;840,m_end,"&gt;"&amp;780)&gt;1,"충돌",HYPERLINK("#'관리자_MASTER'!D"&amp;_xlfn.MAXIFS(m_row,m_teacher,AB$4,m_date,($G$2+9),m_active,1,m_start,"&lt;"&amp;840,m_end,"&gt;"&amp;780),INDEX(m_label,_xlfn.MAXIFS(m_row,m_teacher,AB$4,m_date,($G$2+9),m_active,1,m_start,"&lt;"&amp;840,m_end,"&gt;"&amp;780))))))</f>
        <v/>
      </c>
      <c r="AC31" s="78"/>
      <c r="AD31" s="79" t="s">
        <v>95</v>
      </c>
      <c r="AE31" s="82" t="str">
        <f aca="false">IF(OR(AE$4="",MONTH(($G$2+16))&lt;&gt;MONTH($C$2)),"",IF(COUNTIFS(m_teacher,AE$4,m_date,($G$2+16),m_active,1,m_start,"&lt;"&amp;840,m_end,"&gt;"&amp;780)=0,"",IF(COUNTIFS(m_teacher,AE$4,m_date,($G$2+16),m_active,1,m_start,"&lt;"&amp;840,m_end,"&gt;"&amp;780)&gt;1,"충돌",HYPERLINK("#'관리자_MASTER'!D"&amp;_xlfn.MAXIFS(m_row,m_teacher,AE$4,m_date,($G$2+16),m_active,1,m_start,"&lt;"&amp;840,m_end,"&gt;"&amp;780),INDEX(m_label,_xlfn.MAXIFS(m_row,m_teacher,AE$4,m_date,($G$2+16),m_active,1,m_start,"&lt;"&amp;840,m_end,"&gt;"&amp;780))))))</f>
        <v/>
      </c>
      <c r="AF31" s="82" t="str">
        <f aca="false">IF(OR(AF$4="",MONTH(($G$2+16))&lt;&gt;MONTH($C$2)),"",IF(COUNTIFS(m_teacher,AF$4,m_date,($G$2+16),m_active,1,m_start,"&lt;"&amp;840,m_end,"&gt;"&amp;780)=0,"",IF(COUNTIFS(m_teacher,AF$4,m_date,($G$2+16),m_active,1,m_start,"&lt;"&amp;840,m_end,"&gt;"&amp;780)&gt;1,"충돌",HYPERLINK("#'관리자_MASTER'!D"&amp;_xlfn.MAXIFS(m_row,m_teacher,AF$4,m_date,($G$2+16),m_active,1,m_start,"&lt;"&amp;840,m_end,"&gt;"&amp;780),INDEX(m_label,_xlfn.MAXIFS(m_row,m_teacher,AF$4,m_date,($G$2+16),m_active,1,m_start,"&lt;"&amp;840,m_end,"&gt;"&amp;780))))))</f>
        <v/>
      </c>
      <c r="AG31" s="82" t="str">
        <f aca="false">IF(OR(AG$4="",MONTH(($G$2+16))&lt;&gt;MONTH($C$2)),"",IF(COUNTIFS(m_teacher,AG$4,m_date,($G$2+16),m_active,1,m_start,"&lt;"&amp;840,m_end,"&gt;"&amp;780)=0,"",IF(COUNTIFS(m_teacher,AG$4,m_date,($G$2+16),m_active,1,m_start,"&lt;"&amp;840,m_end,"&gt;"&amp;780)&gt;1,"충돌",HYPERLINK("#'관리자_MASTER'!D"&amp;_xlfn.MAXIFS(m_row,m_teacher,AG$4,m_date,($G$2+16),m_active,1,m_start,"&lt;"&amp;840,m_end,"&gt;"&amp;780),INDEX(m_label,_xlfn.MAXIFS(m_row,m_teacher,AG$4,m_date,($G$2+16),m_active,1,m_start,"&lt;"&amp;840,m_end,"&gt;"&amp;780))))))</f>
        <v/>
      </c>
      <c r="AH31" s="82" t="str">
        <f aca="false">IF(OR(AH$4="",MONTH(($G$2+16))&lt;&gt;MONTH($C$2)),"",IF(COUNTIFS(m_teacher,AH$4,m_date,($G$2+16),m_active,1,m_start,"&lt;"&amp;840,m_end,"&gt;"&amp;780)=0,"",IF(COUNTIFS(m_teacher,AH$4,m_date,($G$2+16),m_active,1,m_start,"&lt;"&amp;840,m_end,"&gt;"&amp;780)&gt;1,"충돌",HYPERLINK("#'관리자_MASTER'!D"&amp;_xlfn.MAXIFS(m_row,m_teacher,AH$4,m_date,($G$2+16),m_active,1,m_start,"&lt;"&amp;840,m_end,"&gt;"&amp;780),INDEX(m_label,_xlfn.MAXIFS(m_row,m_teacher,AH$4,m_date,($G$2+16),m_active,1,m_start,"&lt;"&amp;840,m_end,"&gt;"&amp;780))))))</f>
        <v/>
      </c>
      <c r="AI31" s="82" t="str">
        <f aca="false">IF(OR(AI$4="",MONTH(($G$2+16))&lt;&gt;MONTH($C$2)),"",IF(COUNTIFS(m_teacher,AI$4,m_date,($G$2+16),m_active,1,m_start,"&lt;"&amp;840,m_end,"&gt;"&amp;780)=0,"",IF(COUNTIFS(m_teacher,AI$4,m_date,($G$2+16),m_active,1,m_start,"&lt;"&amp;840,m_end,"&gt;"&amp;780)&gt;1,"충돌",HYPERLINK("#'관리자_MASTER'!D"&amp;_xlfn.MAXIFS(m_row,m_teacher,AI$4,m_date,($G$2+16),m_active,1,m_start,"&lt;"&amp;840,m_end,"&gt;"&amp;780),INDEX(m_label,_xlfn.MAXIFS(m_row,m_teacher,AI$4,m_date,($G$2+16),m_active,1,m_start,"&lt;"&amp;840,m_end,"&gt;"&amp;780))))))</f>
        <v/>
      </c>
      <c r="AJ31" s="82" t="str">
        <f aca="false">IF(OR(AJ$4="",MONTH(($G$2+16))&lt;&gt;MONTH($C$2)),"",IF(COUNTIFS(m_teacher,AJ$4,m_date,($G$2+16),m_active,1,m_start,"&lt;"&amp;840,m_end,"&gt;"&amp;780)=0,"",IF(COUNTIFS(m_teacher,AJ$4,m_date,($G$2+16),m_active,1,m_start,"&lt;"&amp;840,m_end,"&gt;"&amp;780)&gt;1,"충돌",HYPERLINK("#'관리자_MASTER'!D"&amp;_xlfn.MAXIFS(m_row,m_teacher,AJ$4,m_date,($G$2+16),m_active,1,m_start,"&lt;"&amp;840,m_end,"&gt;"&amp;780),INDEX(m_label,_xlfn.MAXIFS(m_row,m_teacher,AJ$4,m_date,($G$2+16),m_active,1,m_start,"&lt;"&amp;840,m_end,"&gt;"&amp;780))))))</f>
        <v/>
      </c>
      <c r="AK31" s="82" t="str">
        <f aca="false">IF(OR(AK$4="",MONTH(($G$2+16))&lt;&gt;MONTH($C$2)),"",IF(COUNTIFS(m_teacher,AK$4,m_date,($G$2+16),m_active,1,m_start,"&lt;"&amp;840,m_end,"&gt;"&amp;780)=0,"",IF(COUNTIFS(m_teacher,AK$4,m_date,($G$2+16),m_active,1,m_start,"&lt;"&amp;840,m_end,"&gt;"&amp;780)&gt;1,"충돌",HYPERLINK("#'관리자_MASTER'!D"&amp;_xlfn.MAXIFS(m_row,m_teacher,AK$4,m_date,($G$2+16),m_active,1,m_start,"&lt;"&amp;840,m_end,"&gt;"&amp;780),INDEX(m_label,_xlfn.MAXIFS(m_row,m_teacher,AK$4,m_date,($G$2+16),m_active,1,m_start,"&lt;"&amp;840,m_end,"&gt;"&amp;780))))))</f>
        <v/>
      </c>
      <c r="AL31" s="82" t="str">
        <f aca="false">IF(OR(AL$4="",MONTH(($G$2+16))&lt;&gt;MONTH($C$2)),"",IF(COUNTIFS(m_teacher,AL$4,m_date,($G$2+16),m_active,1,m_start,"&lt;"&amp;840,m_end,"&gt;"&amp;780)=0,"",IF(COUNTIFS(m_teacher,AL$4,m_date,($G$2+16),m_active,1,m_start,"&lt;"&amp;840,m_end,"&gt;"&amp;780)&gt;1,"충돌",HYPERLINK("#'관리자_MASTER'!D"&amp;_xlfn.MAXIFS(m_row,m_teacher,AL$4,m_date,($G$2+16),m_active,1,m_start,"&lt;"&amp;840,m_end,"&gt;"&amp;780),INDEX(m_label,_xlfn.MAXIFS(m_row,m_teacher,AL$4,m_date,($G$2+16),m_active,1,m_start,"&lt;"&amp;840,m_end,"&gt;"&amp;780))))))</f>
        <v/>
      </c>
      <c r="AM31" s="82" t="str">
        <f aca="false">IF(OR(AM$4="",MONTH(($G$2+16))&lt;&gt;MONTH($C$2)),"",IF(COUNTIFS(m_teacher,AM$4,m_date,($G$2+16),m_active,1,m_start,"&lt;"&amp;840,m_end,"&gt;"&amp;780)=0,"",IF(COUNTIFS(m_teacher,AM$4,m_date,($G$2+16),m_active,1,m_start,"&lt;"&amp;840,m_end,"&gt;"&amp;780)&gt;1,"충돌",HYPERLINK("#'관리자_MASTER'!D"&amp;_xlfn.MAXIFS(m_row,m_teacher,AM$4,m_date,($G$2+16),m_active,1,m_start,"&lt;"&amp;840,m_end,"&gt;"&amp;780),INDEX(m_label,_xlfn.MAXIFS(m_row,m_teacher,AM$4,m_date,($G$2+16),m_active,1,m_start,"&lt;"&amp;840,m_end,"&gt;"&amp;780))))))</f>
        <v/>
      </c>
      <c r="AN31" s="82" t="str">
        <f aca="false">IF(OR(AN$4="",MONTH(($G$2+16))&lt;&gt;MONTH($C$2)),"",IF(COUNTIFS(m_teacher,AN$4,m_date,($G$2+16),m_active,1,m_start,"&lt;"&amp;840,m_end,"&gt;"&amp;780)=0,"",IF(COUNTIFS(m_teacher,AN$4,m_date,($G$2+16),m_active,1,m_start,"&lt;"&amp;840,m_end,"&gt;"&amp;780)&gt;1,"충돌",HYPERLINK("#'관리자_MASTER'!D"&amp;_xlfn.MAXIFS(m_row,m_teacher,AN$4,m_date,($G$2+16),m_active,1,m_start,"&lt;"&amp;840,m_end,"&gt;"&amp;780),INDEX(m_label,_xlfn.MAXIFS(m_row,m_teacher,AN$4,m_date,($G$2+16),m_active,1,m_start,"&lt;"&amp;840,m_end,"&gt;"&amp;780))))))</f>
        <v/>
      </c>
      <c r="AO31" s="82" t="str">
        <f aca="false">IF(OR(AO$4="",MONTH(($G$2+16))&lt;&gt;MONTH($C$2)),"",IF(COUNTIFS(m_teacher,AO$4,m_date,($G$2+16),m_active,1,m_start,"&lt;"&amp;840,m_end,"&gt;"&amp;780)=0,"",IF(COUNTIFS(m_teacher,AO$4,m_date,($G$2+16),m_active,1,m_start,"&lt;"&amp;840,m_end,"&gt;"&amp;780)&gt;1,"충돌",HYPERLINK("#'관리자_MASTER'!D"&amp;_xlfn.MAXIFS(m_row,m_teacher,AO$4,m_date,($G$2+16),m_active,1,m_start,"&lt;"&amp;840,m_end,"&gt;"&amp;780),INDEX(m_label,_xlfn.MAXIFS(m_row,m_teacher,AO$4,m_date,($G$2+16),m_active,1,m_start,"&lt;"&amp;840,m_end,"&gt;"&amp;780))))))</f>
        <v/>
      </c>
      <c r="AP31" s="82" t="str">
        <f aca="false">IF(OR(AP$4="",MONTH(($G$2+16))&lt;&gt;MONTH($C$2)),"",IF(COUNTIFS(m_teacher,AP$4,m_date,($G$2+16),m_active,1,m_start,"&lt;"&amp;840,m_end,"&gt;"&amp;780)=0,"",IF(COUNTIFS(m_teacher,AP$4,m_date,($G$2+16),m_active,1,m_start,"&lt;"&amp;840,m_end,"&gt;"&amp;780)&gt;1,"충돌",HYPERLINK("#'관리자_MASTER'!D"&amp;_xlfn.MAXIFS(m_row,m_teacher,AP$4,m_date,($G$2+16),m_active,1,m_start,"&lt;"&amp;840,m_end,"&gt;"&amp;780),INDEX(m_label,_xlfn.MAXIFS(m_row,m_teacher,AP$4,m_date,($G$2+16),m_active,1,m_start,"&lt;"&amp;840,m_end,"&gt;"&amp;780))))))</f>
        <v/>
      </c>
      <c r="AQ31" s="78"/>
      <c r="AR31" s="79" t="s">
        <v>95</v>
      </c>
      <c r="AS31" s="82" t="str">
        <f aca="false">IF(OR(AS$4="",MONTH(($G$2+23))&lt;&gt;MONTH($C$2)),"",IF(COUNTIFS(m_teacher,AS$4,m_date,($G$2+23),m_active,1,m_start,"&lt;"&amp;840,m_end,"&gt;"&amp;780)=0,"",IF(COUNTIFS(m_teacher,AS$4,m_date,($G$2+23),m_active,1,m_start,"&lt;"&amp;840,m_end,"&gt;"&amp;780)&gt;1,"충돌",HYPERLINK("#'관리자_MASTER'!D"&amp;_xlfn.MAXIFS(m_row,m_teacher,AS$4,m_date,($G$2+23),m_active,1,m_start,"&lt;"&amp;840,m_end,"&gt;"&amp;780),INDEX(m_label,_xlfn.MAXIFS(m_row,m_teacher,AS$4,m_date,($G$2+23),m_active,1,m_start,"&lt;"&amp;840,m_end,"&gt;"&amp;780))))))</f>
        <v/>
      </c>
      <c r="AT31" s="82" t="str">
        <f aca="false">IF(OR(AT$4="",MONTH(($G$2+23))&lt;&gt;MONTH($C$2)),"",IF(COUNTIFS(m_teacher,AT$4,m_date,($G$2+23),m_active,1,m_start,"&lt;"&amp;840,m_end,"&gt;"&amp;780)=0,"",IF(COUNTIFS(m_teacher,AT$4,m_date,($G$2+23),m_active,1,m_start,"&lt;"&amp;840,m_end,"&gt;"&amp;780)&gt;1,"충돌",HYPERLINK("#'관리자_MASTER'!D"&amp;_xlfn.MAXIFS(m_row,m_teacher,AT$4,m_date,($G$2+23),m_active,1,m_start,"&lt;"&amp;840,m_end,"&gt;"&amp;780),INDEX(m_label,_xlfn.MAXIFS(m_row,m_teacher,AT$4,m_date,($G$2+23),m_active,1,m_start,"&lt;"&amp;840,m_end,"&gt;"&amp;780))))))</f>
        <v/>
      </c>
      <c r="AU31" s="82" t="str">
        <f aca="false">IF(OR(AU$4="",MONTH(($G$2+23))&lt;&gt;MONTH($C$2)),"",IF(COUNTIFS(m_teacher,AU$4,m_date,($G$2+23),m_active,1,m_start,"&lt;"&amp;840,m_end,"&gt;"&amp;780)=0,"",IF(COUNTIFS(m_teacher,AU$4,m_date,($G$2+23),m_active,1,m_start,"&lt;"&amp;840,m_end,"&gt;"&amp;780)&gt;1,"충돌",HYPERLINK("#'관리자_MASTER'!D"&amp;_xlfn.MAXIFS(m_row,m_teacher,AU$4,m_date,($G$2+23),m_active,1,m_start,"&lt;"&amp;840,m_end,"&gt;"&amp;780),INDEX(m_label,_xlfn.MAXIFS(m_row,m_teacher,AU$4,m_date,($G$2+23),m_active,1,m_start,"&lt;"&amp;840,m_end,"&gt;"&amp;780))))))</f>
        <v/>
      </c>
      <c r="AV31" s="82" t="str">
        <f aca="false">IF(OR(AV$4="",MONTH(($G$2+23))&lt;&gt;MONTH($C$2)),"",IF(COUNTIFS(m_teacher,AV$4,m_date,($G$2+23),m_active,1,m_start,"&lt;"&amp;840,m_end,"&gt;"&amp;780)=0,"",IF(COUNTIFS(m_teacher,AV$4,m_date,($G$2+23),m_active,1,m_start,"&lt;"&amp;840,m_end,"&gt;"&amp;780)&gt;1,"충돌",HYPERLINK("#'관리자_MASTER'!D"&amp;_xlfn.MAXIFS(m_row,m_teacher,AV$4,m_date,($G$2+23),m_active,1,m_start,"&lt;"&amp;840,m_end,"&gt;"&amp;780),INDEX(m_label,_xlfn.MAXIFS(m_row,m_teacher,AV$4,m_date,($G$2+23),m_active,1,m_start,"&lt;"&amp;840,m_end,"&gt;"&amp;780))))))</f>
        <v/>
      </c>
      <c r="AW31" s="82" t="str">
        <f aca="false">IF(OR(AW$4="",MONTH(($G$2+23))&lt;&gt;MONTH($C$2)),"",IF(COUNTIFS(m_teacher,AW$4,m_date,($G$2+23),m_active,1,m_start,"&lt;"&amp;840,m_end,"&gt;"&amp;780)=0,"",IF(COUNTIFS(m_teacher,AW$4,m_date,($G$2+23),m_active,1,m_start,"&lt;"&amp;840,m_end,"&gt;"&amp;780)&gt;1,"충돌",HYPERLINK("#'관리자_MASTER'!D"&amp;_xlfn.MAXIFS(m_row,m_teacher,AW$4,m_date,($G$2+23),m_active,1,m_start,"&lt;"&amp;840,m_end,"&gt;"&amp;780),INDEX(m_label,_xlfn.MAXIFS(m_row,m_teacher,AW$4,m_date,($G$2+23),m_active,1,m_start,"&lt;"&amp;840,m_end,"&gt;"&amp;780))))))</f>
        <v/>
      </c>
      <c r="AX31" s="82" t="str">
        <f aca="false">IF(OR(AX$4="",MONTH(($G$2+23))&lt;&gt;MONTH($C$2)),"",IF(COUNTIFS(m_teacher,AX$4,m_date,($G$2+23),m_active,1,m_start,"&lt;"&amp;840,m_end,"&gt;"&amp;780)=0,"",IF(COUNTIFS(m_teacher,AX$4,m_date,($G$2+23),m_active,1,m_start,"&lt;"&amp;840,m_end,"&gt;"&amp;780)&gt;1,"충돌",HYPERLINK("#'관리자_MASTER'!D"&amp;_xlfn.MAXIFS(m_row,m_teacher,AX$4,m_date,($G$2+23),m_active,1,m_start,"&lt;"&amp;840,m_end,"&gt;"&amp;780),INDEX(m_label,_xlfn.MAXIFS(m_row,m_teacher,AX$4,m_date,($G$2+23),m_active,1,m_start,"&lt;"&amp;840,m_end,"&gt;"&amp;780))))))</f>
        <v/>
      </c>
      <c r="AY31" s="82" t="str">
        <f aca="false">IF(OR(AY$4="",MONTH(($G$2+23))&lt;&gt;MONTH($C$2)),"",IF(COUNTIFS(m_teacher,AY$4,m_date,($G$2+23),m_active,1,m_start,"&lt;"&amp;840,m_end,"&gt;"&amp;780)=0,"",IF(COUNTIFS(m_teacher,AY$4,m_date,($G$2+23),m_active,1,m_start,"&lt;"&amp;840,m_end,"&gt;"&amp;780)&gt;1,"충돌",HYPERLINK("#'관리자_MASTER'!D"&amp;_xlfn.MAXIFS(m_row,m_teacher,AY$4,m_date,($G$2+23),m_active,1,m_start,"&lt;"&amp;840,m_end,"&gt;"&amp;780),INDEX(m_label,_xlfn.MAXIFS(m_row,m_teacher,AY$4,m_date,($G$2+23),m_active,1,m_start,"&lt;"&amp;840,m_end,"&gt;"&amp;780))))))</f>
        <v/>
      </c>
      <c r="AZ31" s="82" t="str">
        <f aca="false">IF(OR(AZ$4="",MONTH(($G$2+23))&lt;&gt;MONTH($C$2)),"",IF(COUNTIFS(m_teacher,AZ$4,m_date,($G$2+23),m_active,1,m_start,"&lt;"&amp;840,m_end,"&gt;"&amp;780)=0,"",IF(COUNTIFS(m_teacher,AZ$4,m_date,($G$2+23),m_active,1,m_start,"&lt;"&amp;840,m_end,"&gt;"&amp;780)&gt;1,"충돌",HYPERLINK("#'관리자_MASTER'!D"&amp;_xlfn.MAXIFS(m_row,m_teacher,AZ$4,m_date,($G$2+23),m_active,1,m_start,"&lt;"&amp;840,m_end,"&gt;"&amp;780),INDEX(m_label,_xlfn.MAXIFS(m_row,m_teacher,AZ$4,m_date,($G$2+23),m_active,1,m_start,"&lt;"&amp;840,m_end,"&gt;"&amp;780))))))</f>
        <v/>
      </c>
      <c r="BA31" s="82" t="str">
        <f aca="false">IF(OR(BA$4="",MONTH(($G$2+23))&lt;&gt;MONTH($C$2)),"",IF(COUNTIFS(m_teacher,BA$4,m_date,($G$2+23),m_active,1,m_start,"&lt;"&amp;840,m_end,"&gt;"&amp;780)=0,"",IF(COUNTIFS(m_teacher,BA$4,m_date,($G$2+23),m_active,1,m_start,"&lt;"&amp;840,m_end,"&gt;"&amp;780)&gt;1,"충돌",HYPERLINK("#'관리자_MASTER'!D"&amp;_xlfn.MAXIFS(m_row,m_teacher,BA$4,m_date,($G$2+23),m_active,1,m_start,"&lt;"&amp;840,m_end,"&gt;"&amp;780),INDEX(m_label,_xlfn.MAXIFS(m_row,m_teacher,BA$4,m_date,($G$2+23),m_active,1,m_start,"&lt;"&amp;840,m_end,"&gt;"&amp;780))))))</f>
        <v/>
      </c>
      <c r="BB31" s="82" t="str">
        <f aca="false">IF(OR(BB$4="",MONTH(($G$2+23))&lt;&gt;MONTH($C$2)),"",IF(COUNTIFS(m_teacher,BB$4,m_date,($G$2+23),m_active,1,m_start,"&lt;"&amp;840,m_end,"&gt;"&amp;780)=0,"",IF(COUNTIFS(m_teacher,BB$4,m_date,($G$2+23),m_active,1,m_start,"&lt;"&amp;840,m_end,"&gt;"&amp;780)&gt;1,"충돌",HYPERLINK("#'관리자_MASTER'!D"&amp;_xlfn.MAXIFS(m_row,m_teacher,BB$4,m_date,($G$2+23),m_active,1,m_start,"&lt;"&amp;840,m_end,"&gt;"&amp;780),INDEX(m_label,_xlfn.MAXIFS(m_row,m_teacher,BB$4,m_date,($G$2+23),m_active,1,m_start,"&lt;"&amp;840,m_end,"&gt;"&amp;780))))))</f>
        <v/>
      </c>
      <c r="BC31" s="82" t="str">
        <f aca="false">IF(OR(BC$4="",MONTH(($G$2+23))&lt;&gt;MONTH($C$2)),"",IF(COUNTIFS(m_teacher,BC$4,m_date,($G$2+23),m_active,1,m_start,"&lt;"&amp;840,m_end,"&gt;"&amp;780)=0,"",IF(COUNTIFS(m_teacher,BC$4,m_date,($G$2+23),m_active,1,m_start,"&lt;"&amp;840,m_end,"&gt;"&amp;780)&gt;1,"충돌",HYPERLINK("#'관리자_MASTER'!D"&amp;_xlfn.MAXIFS(m_row,m_teacher,BC$4,m_date,($G$2+23),m_active,1,m_start,"&lt;"&amp;840,m_end,"&gt;"&amp;780),INDEX(m_label,_xlfn.MAXIFS(m_row,m_teacher,BC$4,m_date,($G$2+23),m_active,1,m_start,"&lt;"&amp;840,m_end,"&gt;"&amp;780))))))</f>
        <v/>
      </c>
      <c r="BD31" s="82" t="str">
        <f aca="false">IF(OR(BD$4="",MONTH(($G$2+23))&lt;&gt;MONTH($C$2)),"",IF(COUNTIFS(m_teacher,BD$4,m_date,($G$2+23),m_active,1,m_start,"&lt;"&amp;840,m_end,"&gt;"&amp;780)=0,"",IF(COUNTIFS(m_teacher,BD$4,m_date,($G$2+23),m_active,1,m_start,"&lt;"&amp;840,m_end,"&gt;"&amp;780)&gt;1,"충돌",HYPERLINK("#'관리자_MASTER'!D"&amp;_xlfn.MAXIFS(m_row,m_teacher,BD$4,m_date,($G$2+23),m_active,1,m_start,"&lt;"&amp;840,m_end,"&gt;"&amp;780),INDEX(m_label,_xlfn.MAXIFS(m_row,m_teacher,BD$4,m_date,($G$2+23),m_active,1,m_start,"&lt;"&amp;840,m_end,"&gt;"&amp;780))))))</f>
        <v/>
      </c>
    </row>
    <row r="32" customFormat="false" ht="19.5" hidden="false" customHeight="true" outlineLevel="0" collapsed="false">
      <c r="A32" s="78"/>
      <c r="B32" s="79" t="s">
        <v>96</v>
      </c>
      <c r="C32" s="82" t="str">
        <f aca="false">IF(OR(C$4="",MONTH(($G$2+2))&lt;&gt;MONTH($C$2)),"",IF(COUNTIFS(m_teacher,C$4,m_date,($G$2+2),m_active,1,m_start,"&lt;"&amp;900,m_end,"&gt;"&amp;840)=0,"",IF(COUNTIFS(m_teacher,C$4,m_date,($G$2+2),m_active,1,m_start,"&lt;"&amp;900,m_end,"&gt;"&amp;840)&gt;1,"충돌",HYPERLINK("#'관리자_MASTER'!D"&amp;_xlfn.MAXIFS(m_row,m_teacher,C$4,m_date,($G$2+2),m_active,1,m_start,"&lt;"&amp;900,m_end,"&gt;"&amp;840),INDEX(m_label,_xlfn.MAXIFS(m_row,m_teacher,C$4,m_date,($G$2+2),m_active,1,m_start,"&lt;"&amp;900,m_end,"&gt;"&amp;840))))))</f>
        <v/>
      </c>
      <c r="D32" s="82" t="str">
        <f aca="false">IF(OR(D$4="",MONTH(($G$2+2))&lt;&gt;MONTH($C$2)),"",IF(COUNTIFS(m_teacher,D$4,m_date,($G$2+2),m_active,1,m_start,"&lt;"&amp;900,m_end,"&gt;"&amp;840)=0,"",IF(COUNTIFS(m_teacher,D$4,m_date,($G$2+2),m_active,1,m_start,"&lt;"&amp;900,m_end,"&gt;"&amp;840)&gt;1,"충돌",HYPERLINK("#'관리자_MASTER'!D"&amp;_xlfn.MAXIFS(m_row,m_teacher,D$4,m_date,($G$2+2),m_active,1,m_start,"&lt;"&amp;900,m_end,"&gt;"&amp;840),INDEX(m_label,_xlfn.MAXIFS(m_row,m_teacher,D$4,m_date,($G$2+2),m_active,1,m_start,"&lt;"&amp;900,m_end,"&gt;"&amp;840))))))</f>
        <v/>
      </c>
      <c r="E32" s="82" t="str">
        <f aca="false">IF(OR(E$4="",MONTH(($G$2+2))&lt;&gt;MONTH($C$2)),"",IF(COUNTIFS(m_teacher,E$4,m_date,($G$2+2),m_active,1,m_start,"&lt;"&amp;900,m_end,"&gt;"&amp;840)=0,"",IF(COUNTIFS(m_teacher,E$4,m_date,($G$2+2),m_active,1,m_start,"&lt;"&amp;900,m_end,"&gt;"&amp;840)&gt;1,"충돌",HYPERLINK("#'관리자_MASTER'!D"&amp;_xlfn.MAXIFS(m_row,m_teacher,E$4,m_date,($G$2+2),m_active,1,m_start,"&lt;"&amp;900,m_end,"&gt;"&amp;840),INDEX(m_label,_xlfn.MAXIFS(m_row,m_teacher,E$4,m_date,($G$2+2),m_active,1,m_start,"&lt;"&amp;900,m_end,"&gt;"&amp;840))))))</f>
        <v/>
      </c>
      <c r="F32" s="82" t="str">
        <f aca="false">IF(OR(F$4="",MONTH(($G$2+2))&lt;&gt;MONTH($C$2)),"",IF(COUNTIFS(m_teacher,F$4,m_date,($G$2+2),m_active,1,m_start,"&lt;"&amp;900,m_end,"&gt;"&amp;840)=0,"",IF(COUNTIFS(m_teacher,F$4,m_date,($G$2+2),m_active,1,m_start,"&lt;"&amp;900,m_end,"&gt;"&amp;840)&gt;1,"충돌",HYPERLINK("#'관리자_MASTER'!D"&amp;_xlfn.MAXIFS(m_row,m_teacher,F$4,m_date,($G$2+2),m_active,1,m_start,"&lt;"&amp;900,m_end,"&gt;"&amp;840),INDEX(m_label,_xlfn.MAXIFS(m_row,m_teacher,F$4,m_date,($G$2+2),m_active,1,m_start,"&lt;"&amp;900,m_end,"&gt;"&amp;840))))))</f>
        <v/>
      </c>
      <c r="G32" s="82" t="str">
        <f aca="false">IF(OR(G$4="",MONTH(($G$2+2))&lt;&gt;MONTH($C$2)),"",IF(COUNTIFS(m_teacher,G$4,m_date,($G$2+2),m_active,1,m_start,"&lt;"&amp;900,m_end,"&gt;"&amp;840)=0,"",IF(COUNTIFS(m_teacher,G$4,m_date,($G$2+2),m_active,1,m_start,"&lt;"&amp;900,m_end,"&gt;"&amp;840)&gt;1,"충돌",HYPERLINK("#'관리자_MASTER'!D"&amp;_xlfn.MAXIFS(m_row,m_teacher,G$4,m_date,($G$2+2),m_active,1,m_start,"&lt;"&amp;900,m_end,"&gt;"&amp;840),INDEX(m_label,_xlfn.MAXIFS(m_row,m_teacher,G$4,m_date,($G$2+2),m_active,1,m_start,"&lt;"&amp;900,m_end,"&gt;"&amp;840))))))</f>
        <v/>
      </c>
      <c r="H32" s="82" t="str">
        <f aca="false">IF(OR(H$4="",MONTH(($G$2+2))&lt;&gt;MONTH($C$2)),"",IF(COUNTIFS(m_teacher,H$4,m_date,($G$2+2),m_active,1,m_start,"&lt;"&amp;900,m_end,"&gt;"&amp;840)=0,"",IF(COUNTIFS(m_teacher,H$4,m_date,($G$2+2),m_active,1,m_start,"&lt;"&amp;900,m_end,"&gt;"&amp;840)&gt;1,"충돌",HYPERLINK("#'관리자_MASTER'!D"&amp;_xlfn.MAXIFS(m_row,m_teacher,H$4,m_date,($G$2+2),m_active,1,m_start,"&lt;"&amp;900,m_end,"&gt;"&amp;840),INDEX(m_label,_xlfn.MAXIFS(m_row,m_teacher,H$4,m_date,($G$2+2),m_active,1,m_start,"&lt;"&amp;900,m_end,"&gt;"&amp;840))))))</f>
        <v/>
      </c>
      <c r="I32" s="82" t="str">
        <f aca="false">IF(OR(I$4="",MONTH(($G$2+2))&lt;&gt;MONTH($C$2)),"",IF(COUNTIFS(m_teacher,I$4,m_date,($G$2+2),m_active,1,m_start,"&lt;"&amp;900,m_end,"&gt;"&amp;840)=0,"",IF(COUNTIFS(m_teacher,I$4,m_date,($G$2+2),m_active,1,m_start,"&lt;"&amp;900,m_end,"&gt;"&amp;840)&gt;1,"충돌",HYPERLINK("#'관리자_MASTER'!D"&amp;_xlfn.MAXIFS(m_row,m_teacher,I$4,m_date,($G$2+2),m_active,1,m_start,"&lt;"&amp;900,m_end,"&gt;"&amp;840),INDEX(m_label,_xlfn.MAXIFS(m_row,m_teacher,I$4,m_date,($G$2+2),m_active,1,m_start,"&lt;"&amp;900,m_end,"&gt;"&amp;840))))))</f>
        <v/>
      </c>
      <c r="J32" s="82" t="str">
        <f aca="false">IF(OR(J$4="",MONTH(($G$2+2))&lt;&gt;MONTH($C$2)),"",IF(COUNTIFS(m_teacher,J$4,m_date,($G$2+2),m_active,1,m_start,"&lt;"&amp;900,m_end,"&gt;"&amp;840)=0,"",IF(COUNTIFS(m_teacher,J$4,m_date,($G$2+2),m_active,1,m_start,"&lt;"&amp;900,m_end,"&gt;"&amp;840)&gt;1,"충돌",HYPERLINK("#'관리자_MASTER'!D"&amp;_xlfn.MAXIFS(m_row,m_teacher,J$4,m_date,($G$2+2),m_active,1,m_start,"&lt;"&amp;900,m_end,"&gt;"&amp;840),INDEX(m_label,_xlfn.MAXIFS(m_row,m_teacher,J$4,m_date,($G$2+2),m_active,1,m_start,"&lt;"&amp;900,m_end,"&gt;"&amp;840))))))</f>
        <v/>
      </c>
      <c r="K32" s="82" t="str">
        <f aca="false">IF(OR(K$4="",MONTH(($G$2+2))&lt;&gt;MONTH($C$2)),"",IF(COUNTIFS(m_teacher,K$4,m_date,($G$2+2),m_active,1,m_start,"&lt;"&amp;900,m_end,"&gt;"&amp;840)=0,"",IF(COUNTIFS(m_teacher,K$4,m_date,($G$2+2),m_active,1,m_start,"&lt;"&amp;900,m_end,"&gt;"&amp;840)&gt;1,"충돌",HYPERLINK("#'관리자_MASTER'!D"&amp;_xlfn.MAXIFS(m_row,m_teacher,K$4,m_date,($G$2+2),m_active,1,m_start,"&lt;"&amp;900,m_end,"&gt;"&amp;840),INDEX(m_label,_xlfn.MAXIFS(m_row,m_teacher,K$4,m_date,($G$2+2),m_active,1,m_start,"&lt;"&amp;900,m_end,"&gt;"&amp;840))))))</f>
        <v/>
      </c>
      <c r="L32" s="82" t="str">
        <f aca="false">IF(OR(L$4="",MONTH(($G$2+2))&lt;&gt;MONTH($C$2)),"",IF(COUNTIFS(m_teacher,L$4,m_date,($G$2+2),m_active,1,m_start,"&lt;"&amp;900,m_end,"&gt;"&amp;840)=0,"",IF(COUNTIFS(m_teacher,L$4,m_date,($G$2+2),m_active,1,m_start,"&lt;"&amp;900,m_end,"&gt;"&amp;840)&gt;1,"충돌",HYPERLINK("#'관리자_MASTER'!D"&amp;_xlfn.MAXIFS(m_row,m_teacher,L$4,m_date,($G$2+2),m_active,1,m_start,"&lt;"&amp;900,m_end,"&gt;"&amp;840),INDEX(m_label,_xlfn.MAXIFS(m_row,m_teacher,L$4,m_date,($G$2+2),m_active,1,m_start,"&lt;"&amp;900,m_end,"&gt;"&amp;840))))))</f>
        <v/>
      </c>
      <c r="M32" s="82" t="str">
        <f aca="false">IF(OR(M$4="",MONTH(($G$2+2))&lt;&gt;MONTH($C$2)),"",IF(COUNTIFS(m_teacher,M$4,m_date,($G$2+2),m_active,1,m_start,"&lt;"&amp;900,m_end,"&gt;"&amp;840)=0,"",IF(COUNTIFS(m_teacher,M$4,m_date,($G$2+2),m_active,1,m_start,"&lt;"&amp;900,m_end,"&gt;"&amp;840)&gt;1,"충돌",HYPERLINK("#'관리자_MASTER'!D"&amp;_xlfn.MAXIFS(m_row,m_teacher,M$4,m_date,($G$2+2),m_active,1,m_start,"&lt;"&amp;900,m_end,"&gt;"&amp;840),INDEX(m_label,_xlfn.MAXIFS(m_row,m_teacher,M$4,m_date,($G$2+2),m_active,1,m_start,"&lt;"&amp;900,m_end,"&gt;"&amp;840))))))</f>
        <v/>
      </c>
      <c r="N32" s="82" t="str">
        <f aca="false">IF(OR(N$4="",MONTH(($G$2+2))&lt;&gt;MONTH($C$2)),"",IF(COUNTIFS(m_teacher,N$4,m_date,($G$2+2),m_active,1,m_start,"&lt;"&amp;900,m_end,"&gt;"&amp;840)=0,"",IF(COUNTIFS(m_teacher,N$4,m_date,($G$2+2),m_active,1,m_start,"&lt;"&amp;900,m_end,"&gt;"&amp;840)&gt;1,"충돌",HYPERLINK("#'관리자_MASTER'!D"&amp;_xlfn.MAXIFS(m_row,m_teacher,N$4,m_date,($G$2+2),m_active,1,m_start,"&lt;"&amp;900,m_end,"&gt;"&amp;840),INDEX(m_label,_xlfn.MAXIFS(m_row,m_teacher,N$4,m_date,($G$2+2),m_active,1,m_start,"&lt;"&amp;900,m_end,"&gt;"&amp;840))))))</f>
        <v/>
      </c>
      <c r="O32" s="78"/>
      <c r="P32" s="79" t="s">
        <v>96</v>
      </c>
      <c r="Q32" s="82" t="str">
        <f aca="false">IF(OR(Q$4="",MONTH(($G$2+9))&lt;&gt;MONTH($C$2)),"",IF(COUNTIFS(m_teacher,Q$4,m_date,($G$2+9),m_active,1,m_start,"&lt;"&amp;900,m_end,"&gt;"&amp;840)=0,"",IF(COUNTIFS(m_teacher,Q$4,m_date,($G$2+9),m_active,1,m_start,"&lt;"&amp;900,m_end,"&gt;"&amp;840)&gt;1,"충돌",HYPERLINK("#'관리자_MASTER'!D"&amp;_xlfn.MAXIFS(m_row,m_teacher,Q$4,m_date,($G$2+9),m_active,1,m_start,"&lt;"&amp;900,m_end,"&gt;"&amp;840),INDEX(m_label,_xlfn.MAXIFS(m_row,m_teacher,Q$4,m_date,($G$2+9),m_active,1,m_start,"&lt;"&amp;900,m_end,"&gt;"&amp;840))))))</f>
        <v/>
      </c>
      <c r="R32" s="82" t="str">
        <f aca="false">IF(OR(R$4="",MONTH(($G$2+9))&lt;&gt;MONTH($C$2)),"",IF(COUNTIFS(m_teacher,R$4,m_date,($G$2+9),m_active,1,m_start,"&lt;"&amp;900,m_end,"&gt;"&amp;840)=0,"",IF(COUNTIFS(m_teacher,R$4,m_date,($G$2+9),m_active,1,m_start,"&lt;"&amp;900,m_end,"&gt;"&amp;840)&gt;1,"충돌",HYPERLINK("#'관리자_MASTER'!D"&amp;_xlfn.MAXIFS(m_row,m_teacher,R$4,m_date,($G$2+9),m_active,1,m_start,"&lt;"&amp;900,m_end,"&gt;"&amp;840),INDEX(m_label,_xlfn.MAXIFS(m_row,m_teacher,R$4,m_date,($G$2+9),m_active,1,m_start,"&lt;"&amp;900,m_end,"&gt;"&amp;840))))))</f>
        <v/>
      </c>
      <c r="S32" s="82" t="str">
        <f aca="false">IF(OR(S$4="",MONTH(($G$2+9))&lt;&gt;MONTH($C$2)),"",IF(COUNTIFS(m_teacher,S$4,m_date,($G$2+9),m_active,1,m_start,"&lt;"&amp;900,m_end,"&gt;"&amp;840)=0,"",IF(COUNTIFS(m_teacher,S$4,m_date,($G$2+9),m_active,1,m_start,"&lt;"&amp;900,m_end,"&gt;"&amp;840)&gt;1,"충돌",HYPERLINK("#'관리자_MASTER'!D"&amp;_xlfn.MAXIFS(m_row,m_teacher,S$4,m_date,($G$2+9),m_active,1,m_start,"&lt;"&amp;900,m_end,"&gt;"&amp;840),INDEX(m_label,_xlfn.MAXIFS(m_row,m_teacher,S$4,m_date,($G$2+9),m_active,1,m_start,"&lt;"&amp;900,m_end,"&gt;"&amp;840))))))</f>
        <v/>
      </c>
      <c r="T32" s="82" t="str">
        <f aca="false">IF(OR(T$4="",MONTH(($G$2+9))&lt;&gt;MONTH($C$2)),"",IF(COUNTIFS(m_teacher,T$4,m_date,($G$2+9),m_active,1,m_start,"&lt;"&amp;900,m_end,"&gt;"&amp;840)=0,"",IF(COUNTIFS(m_teacher,T$4,m_date,($G$2+9),m_active,1,m_start,"&lt;"&amp;900,m_end,"&gt;"&amp;840)&gt;1,"충돌",HYPERLINK("#'관리자_MASTER'!D"&amp;_xlfn.MAXIFS(m_row,m_teacher,T$4,m_date,($G$2+9),m_active,1,m_start,"&lt;"&amp;900,m_end,"&gt;"&amp;840),INDEX(m_label,_xlfn.MAXIFS(m_row,m_teacher,T$4,m_date,($G$2+9),m_active,1,m_start,"&lt;"&amp;900,m_end,"&gt;"&amp;840))))))</f>
        <v/>
      </c>
      <c r="U32" s="82" t="str">
        <f aca="false">IF(OR(U$4="",MONTH(($G$2+9))&lt;&gt;MONTH($C$2)),"",IF(COUNTIFS(m_teacher,U$4,m_date,($G$2+9),m_active,1,m_start,"&lt;"&amp;900,m_end,"&gt;"&amp;840)=0,"",IF(COUNTIFS(m_teacher,U$4,m_date,($G$2+9),m_active,1,m_start,"&lt;"&amp;900,m_end,"&gt;"&amp;840)&gt;1,"충돌",HYPERLINK("#'관리자_MASTER'!D"&amp;_xlfn.MAXIFS(m_row,m_teacher,U$4,m_date,($G$2+9),m_active,1,m_start,"&lt;"&amp;900,m_end,"&gt;"&amp;840),INDEX(m_label,_xlfn.MAXIFS(m_row,m_teacher,U$4,m_date,($G$2+9),m_active,1,m_start,"&lt;"&amp;900,m_end,"&gt;"&amp;840))))))</f>
        <v/>
      </c>
      <c r="V32" s="82" t="str">
        <f aca="false">IF(OR(V$4="",MONTH(($G$2+9))&lt;&gt;MONTH($C$2)),"",IF(COUNTIFS(m_teacher,V$4,m_date,($G$2+9),m_active,1,m_start,"&lt;"&amp;900,m_end,"&gt;"&amp;840)=0,"",IF(COUNTIFS(m_teacher,V$4,m_date,($G$2+9),m_active,1,m_start,"&lt;"&amp;900,m_end,"&gt;"&amp;840)&gt;1,"충돌",HYPERLINK("#'관리자_MASTER'!D"&amp;_xlfn.MAXIFS(m_row,m_teacher,V$4,m_date,($G$2+9),m_active,1,m_start,"&lt;"&amp;900,m_end,"&gt;"&amp;840),INDEX(m_label,_xlfn.MAXIFS(m_row,m_teacher,V$4,m_date,($G$2+9),m_active,1,m_start,"&lt;"&amp;900,m_end,"&gt;"&amp;840))))))</f>
        <v/>
      </c>
      <c r="W32" s="82" t="str">
        <f aca="false">IF(OR(W$4="",MONTH(($G$2+9))&lt;&gt;MONTH($C$2)),"",IF(COUNTIFS(m_teacher,W$4,m_date,($G$2+9),m_active,1,m_start,"&lt;"&amp;900,m_end,"&gt;"&amp;840)=0,"",IF(COUNTIFS(m_teacher,W$4,m_date,($G$2+9),m_active,1,m_start,"&lt;"&amp;900,m_end,"&gt;"&amp;840)&gt;1,"충돌",HYPERLINK("#'관리자_MASTER'!D"&amp;_xlfn.MAXIFS(m_row,m_teacher,W$4,m_date,($G$2+9),m_active,1,m_start,"&lt;"&amp;900,m_end,"&gt;"&amp;840),INDEX(m_label,_xlfn.MAXIFS(m_row,m_teacher,W$4,m_date,($G$2+9),m_active,1,m_start,"&lt;"&amp;900,m_end,"&gt;"&amp;840))))))</f>
        <v/>
      </c>
      <c r="X32" s="82" t="str">
        <f aca="false">IF(OR(X$4="",MONTH(($G$2+9))&lt;&gt;MONTH($C$2)),"",IF(COUNTIFS(m_teacher,X$4,m_date,($G$2+9),m_active,1,m_start,"&lt;"&amp;900,m_end,"&gt;"&amp;840)=0,"",IF(COUNTIFS(m_teacher,X$4,m_date,($G$2+9),m_active,1,m_start,"&lt;"&amp;900,m_end,"&gt;"&amp;840)&gt;1,"충돌",HYPERLINK("#'관리자_MASTER'!D"&amp;_xlfn.MAXIFS(m_row,m_teacher,X$4,m_date,($G$2+9),m_active,1,m_start,"&lt;"&amp;900,m_end,"&gt;"&amp;840),INDEX(m_label,_xlfn.MAXIFS(m_row,m_teacher,X$4,m_date,($G$2+9),m_active,1,m_start,"&lt;"&amp;900,m_end,"&gt;"&amp;840))))))</f>
        <v/>
      </c>
      <c r="Y32" s="82" t="str">
        <f aca="false">IF(OR(Y$4="",MONTH(($G$2+9))&lt;&gt;MONTH($C$2)),"",IF(COUNTIFS(m_teacher,Y$4,m_date,($G$2+9),m_active,1,m_start,"&lt;"&amp;900,m_end,"&gt;"&amp;840)=0,"",IF(COUNTIFS(m_teacher,Y$4,m_date,($G$2+9),m_active,1,m_start,"&lt;"&amp;900,m_end,"&gt;"&amp;840)&gt;1,"충돌",HYPERLINK("#'관리자_MASTER'!D"&amp;_xlfn.MAXIFS(m_row,m_teacher,Y$4,m_date,($G$2+9),m_active,1,m_start,"&lt;"&amp;900,m_end,"&gt;"&amp;840),INDEX(m_label,_xlfn.MAXIFS(m_row,m_teacher,Y$4,m_date,($G$2+9),m_active,1,m_start,"&lt;"&amp;900,m_end,"&gt;"&amp;840))))))</f>
        <v/>
      </c>
      <c r="Z32" s="82" t="str">
        <f aca="false">IF(OR(Z$4="",MONTH(($G$2+9))&lt;&gt;MONTH($C$2)),"",IF(COUNTIFS(m_teacher,Z$4,m_date,($G$2+9),m_active,1,m_start,"&lt;"&amp;900,m_end,"&gt;"&amp;840)=0,"",IF(COUNTIFS(m_teacher,Z$4,m_date,($G$2+9),m_active,1,m_start,"&lt;"&amp;900,m_end,"&gt;"&amp;840)&gt;1,"충돌",HYPERLINK("#'관리자_MASTER'!D"&amp;_xlfn.MAXIFS(m_row,m_teacher,Z$4,m_date,($G$2+9),m_active,1,m_start,"&lt;"&amp;900,m_end,"&gt;"&amp;840),INDEX(m_label,_xlfn.MAXIFS(m_row,m_teacher,Z$4,m_date,($G$2+9),m_active,1,m_start,"&lt;"&amp;900,m_end,"&gt;"&amp;840))))))</f>
        <v/>
      </c>
      <c r="AA32" s="82" t="str">
        <f aca="false">IF(OR(AA$4="",MONTH(($G$2+9))&lt;&gt;MONTH($C$2)),"",IF(COUNTIFS(m_teacher,AA$4,m_date,($G$2+9),m_active,1,m_start,"&lt;"&amp;900,m_end,"&gt;"&amp;840)=0,"",IF(COUNTIFS(m_teacher,AA$4,m_date,($G$2+9),m_active,1,m_start,"&lt;"&amp;900,m_end,"&gt;"&amp;840)&gt;1,"충돌",HYPERLINK("#'관리자_MASTER'!D"&amp;_xlfn.MAXIFS(m_row,m_teacher,AA$4,m_date,($G$2+9),m_active,1,m_start,"&lt;"&amp;900,m_end,"&gt;"&amp;840),INDEX(m_label,_xlfn.MAXIFS(m_row,m_teacher,AA$4,m_date,($G$2+9),m_active,1,m_start,"&lt;"&amp;900,m_end,"&gt;"&amp;840))))))</f>
        <v/>
      </c>
      <c r="AB32" s="82" t="str">
        <f aca="false">IF(OR(AB$4="",MONTH(($G$2+9))&lt;&gt;MONTH($C$2)),"",IF(COUNTIFS(m_teacher,AB$4,m_date,($G$2+9),m_active,1,m_start,"&lt;"&amp;900,m_end,"&gt;"&amp;840)=0,"",IF(COUNTIFS(m_teacher,AB$4,m_date,($G$2+9),m_active,1,m_start,"&lt;"&amp;900,m_end,"&gt;"&amp;840)&gt;1,"충돌",HYPERLINK("#'관리자_MASTER'!D"&amp;_xlfn.MAXIFS(m_row,m_teacher,AB$4,m_date,($G$2+9),m_active,1,m_start,"&lt;"&amp;900,m_end,"&gt;"&amp;840),INDEX(m_label,_xlfn.MAXIFS(m_row,m_teacher,AB$4,m_date,($G$2+9),m_active,1,m_start,"&lt;"&amp;900,m_end,"&gt;"&amp;840))))))</f>
        <v/>
      </c>
      <c r="AC32" s="78"/>
      <c r="AD32" s="79" t="s">
        <v>96</v>
      </c>
      <c r="AE32" s="82" t="str">
        <f aca="false">IF(OR(AE$4="",MONTH(($G$2+16))&lt;&gt;MONTH($C$2)),"",IF(COUNTIFS(m_teacher,AE$4,m_date,($G$2+16),m_active,1,m_start,"&lt;"&amp;900,m_end,"&gt;"&amp;840)=0,"",IF(COUNTIFS(m_teacher,AE$4,m_date,($G$2+16),m_active,1,m_start,"&lt;"&amp;900,m_end,"&gt;"&amp;840)&gt;1,"충돌",HYPERLINK("#'관리자_MASTER'!D"&amp;_xlfn.MAXIFS(m_row,m_teacher,AE$4,m_date,($G$2+16),m_active,1,m_start,"&lt;"&amp;900,m_end,"&gt;"&amp;840),INDEX(m_label,_xlfn.MAXIFS(m_row,m_teacher,AE$4,m_date,($G$2+16),m_active,1,m_start,"&lt;"&amp;900,m_end,"&gt;"&amp;840))))))</f>
        <v/>
      </c>
      <c r="AF32" s="82" t="str">
        <f aca="false">IF(OR(AF$4="",MONTH(($G$2+16))&lt;&gt;MONTH($C$2)),"",IF(COUNTIFS(m_teacher,AF$4,m_date,($G$2+16),m_active,1,m_start,"&lt;"&amp;900,m_end,"&gt;"&amp;840)=0,"",IF(COUNTIFS(m_teacher,AF$4,m_date,($G$2+16),m_active,1,m_start,"&lt;"&amp;900,m_end,"&gt;"&amp;840)&gt;1,"충돌",HYPERLINK("#'관리자_MASTER'!D"&amp;_xlfn.MAXIFS(m_row,m_teacher,AF$4,m_date,($G$2+16),m_active,1,m_start,"&lt;"&amp;900,m_end,"&gt;"&amp;840),INDEX(m_label,_xlfn.MAXIFS(m_row,m_teacher,AF$4,m_date,($G$2+16),m_active,1,m_start,"&lt;"&amp;900,m_end,"&gt;"&amp;840))))))</f>
        <v/>
      </c>
      <c r="AG32" s="82" t="str">
        <f aca="false">IF(OR(AG$4="",MONTH(($G$2+16))&lt;&gt;MONTH($C$2)),"",IF(COUNTIFS(m_teacher,AG$4,m_date,($G$2+16),m_active,1,m_start,"&lt;"&amp;900,m_end,"&gt;"&amp;840)=0,"",IF(COUNTIFS(m_teacher,AG$4,m_date,($G$2+16),m_active,1,m_start,"&lt;"&amp;900,m_end,"&gt;"&amp;840)&gt;1,"충돌",HYPERLINK("#'관리자_MASTER'!D"&amp;_xlfn.MAXIFS(m_row,m_teacher,AG$4,m_date,($G$2+16),m_active,1,m_start,"&lt;"&amp;900,m_end,"&gt;"&amp;840),INDEX(m_label,_xlfn.MAXIFS(m_row,m_teacher,AG$4,m_date,($G$2+16),m_active,1,m_start,"&lt;"&amp;900,m_end,"&gt;"&amp;840))))))</f>
        <v/>
      </c>
      <c r="AH32" s="82" t="str">
        <f aca="false">IF(OR(AH$4="",MONTH(($G$2+16))&lt;&gt;MONTH($C$2)),"",IF(COUNTIFS(m_teacher,AH$4,m_date,($G$2+16),m_active,1,m_start,"&lt;"&amp;900,m_end,"&gt;"&amp;840)=0,"",IF(COUNTIFS(m_teacher,AH$4,m_date,($G$2+16),m_active,1,m_start,"&lt;"&amp;900,m_end,"&gt;"&amp;840)&gt;1,"충돌",HYPERLINK("#'관리자_MASTER'!D"&amp;_xlfn.MAXIFS(m_row,m_teacher,AH$4,m_date,($G$2+16),m_active,1,m_start,"&lt;"&amp;900,m_end,"&gt;"&amp;840),INDEX(m_label,_xlfn.MAXIFS(m_row,m_teacher,AH$4,m_date,($G$2+16),m_active,1,m_start,"&lt;"&amp;900,m_end,"&gt;"&amp;840))))))</f>
        <v/>
      </c>
      <c r="AI32" s="82" t="str">
        <f aca="false">IF(OR(AI$4="",MONTH(($G$2+16))&lt;&gt;MONTH($C$2)),"",IF(COUNTIFS(m_teacher,AI$4,m_date,($G$2+16),m_active,1,m_start,"&lt;"&amp;900,m_end,"&gt;"&amp;840)=0,"",IF(COUNTIFS(m_teacher,AI$4,m_date,($G$2+16),m_active,1,m_start,"&lt;"&amp;900,m_end,"&gt;"&amp;840)&gt;1,"충돌",HYPERLINK("#'관리자_MASTER'!D"&amp;_xlfn.MAXIFS(m_row,m_teacher,AI$4,m_date,($G$2+16),m_active,1,m_start,"&lt;"&amp;900,m_end,"&gt;"&amp;840),INDEX(m_label,_xlfn.MAXIFS(m_row,m_teacher,AI$4,m_date,($G$2+16),m_active,1,m_start,"&lt;"&amp;900,m_end,"&gt;"&amp;840))))))</f>
        <v/>
      </c>
      <c r="AJ32" s="82" t="str">
        <f aca="false">IF(OR(AJ$4="",MONTH(($G$2+16))&lt;&gt;MONTH($C$2)),"",IF(COUNTIFS(m_teacher,AJ$4,m_date,($G$2+16),m_active,1,m_start,"&lt;"&amp;900,m_end,"&gt;"&amp;840)=0,"",IF(COUNTIFS(m_teacher,AJ$4,m_date,($G$2+16),m_active,1,m_start,"&lt;"&amp;900,m_end,"&gt;"&amp;840)&gt;1,"충돌",HYPERLINK("#'관리자_MASTER'!D"&amp;_xlfn.MAXIFS(m_row,m_teacher,AJ$4,m_date,($G$2+16),m_active,1,m_start,"&lt;"&amp;900,m_end,"&gt;"&amp;840),INDEX(m_label,_xlfn.MAXIFS(m_row,m_teacher,AJ$4,m_date,($G$2+16),m_active,1,m_start,"&lt;"&amp;900,m_end,"&gt;"&amp;840))))))</f>
        <v/>
      </c>
      <c r="AK32" s="82" t="str">
        <f aca="false">IF(OR(AK$4="",MONTH(($G$2+16))&lt;&gt;MONTH($C$2)),"",IF(COUNTIFS(m_teacher,AK$4,m_date,($G$2+16),m_active,1,m_start,"&lt;"&amp;900,m_end,"&gt;"&amp;840)=0,"",IF(COUNTIFS(m_teacher,AK$4,m_date,($G$2+16),m_active,1,m_start,"&lt;"&amp;900,m_end,"&gt;"&amp;840)&gt;1,"충돌",HYPERLINK("#'관리자_MASTER'!D"&amp;_xlfn.MAXIFS(m_row,m_teacher,AK$4,m_date,($G$2+16),m_active,1,m_start,"&lt;"&amp;900,m_end,"&gt;"&amp;840),INDEX(m_label,_xlfn.MAXIFS(m_row,m_teacher,AK$4,m_date,($G$2+16),m_active,1,m_start,"&lt;"&amp;900,m_end,"&gt;"&amp;840))))))</f>
        <v/>
      </c>
      <c r="AL32" s="82" t="str">
        <f aca="false">IF(OR(AL$4="",MONTH(($G$2+16))&lt;&gt;MONTH($C$2)),"",IF(COUNTIFS(m_teacher,AL$4,m_date,($G$2+16),m_active,1,m_start,"&lt;"&amp;900,m_end,"&gt;"&amp;840)=0,"",IF(COUNTIFS(m_teacher,AL$4,m_date,($G$2+16),m_active,1,m_start,"&lt;"&amp;900,m_end,"&gt;"&amp;840)&gt;1,"충돌",HYPERLINK("#'관리자_MASTER'!D"&amp;_xlfn.MAXIFS(m_row,m_teacher,AL$4,m_date,($G$2+16),m_active,1,m_start,"&lt;"&amp;900,m_end,"&gt;"&amp;840),INDEX(m_label,_xlfn.MAXIFS(m_row,m_teacher,AL$4,m_date,($G$2+16),m_active,1,m_start,"&lt;"&amp;900,m_end,"&gt;"&amp;840))))))</f>
        <v/>
      </c>
      <c r="AM32" s="82" t="str">
        <f aca="false">IF(OR(AM$4="",MONTH(($G$2+16))&lt;&gt;MONTH($C$2)),"",IF(COUNTIFS(m_teacher,AM$4,m_date,($G$2+16),m_active,1,m_start,"&lt;"&amp;900,m_end,"&gt;"&amp;840)=0,"",IF(COUNTIFS(m_teacher,AM$4,m_date,($G$2+16),m_active,1,m_start,"&lt;"&amp;900,m_end,"&gt;"&amp;840)&gt;1,"충돌",HYPERLINK("#'관리자_MASTER'!D"&amp;_xlfn.MAXIFS(m_row,m_teacher,AM$4,m_date,($G$2+16),m_active,1,m_start,"&lt;"&amp;900,m_end,"&gt;"&amp;840),INDEX(m_label,_xlfn.MAXIFS(m_row,m_teacher,AM$4,m_date,($G$2+16),m_active,1,m_start,"&lt;"&amp;900,m_end,"&gt;"&amp;840))))))</f>
        <v/>
      </c>
      <c r="AN32" s="82" t="str">
        <f aca="false">IF(OR(AN$4="",MONTH(($G$2+16))&lt;&gt;MONTH($C$2)),"",IF(COUNTIFS(m_teacher,AN$4,m_date,($G$2+16),m_active,1,m_start,"&lt;"&amp;900,m_end,"&gt;"&amp;840)=0,"",IF(COUNTIFS(m_teacher,AN$4,m_date,($G$2+16),m_active,1,m_start,"&lt;"&amp;900,m_end,"&gt;"&amp;840)&gt;1,"충돌",HYPERLINK("#'관리자_MASTER'!D"&amp;_xlfn.MAXIFS(m_row,m_teacher,AN$4,m_date,($G$2+16),m_active,1,m_start,"&lt;"&amp;900,m_end,"&gt;"&amp;840),INDEX(m_label,_xlfn.MAXIFS(m_row,m_teacher,AN$4,m_date,($G$2+16),m_active,1,m_start,"&lt;"&amp;900,m_end,"&gt;"&amp;840))))))</f>
        <v/>
      </c>
      <c r="AO32" s="82" t="str">
        <f aca="false">IF(OR(AO$4="",MONTH(($G$2+16))&lt;&gt;MONTH($C$2)),"",IF(COUNTIFS(m_teacher,AO$4,m_date,($G$2+16),m_active,1,m_start,"&lt;"&amp;900,m_end,"&gt;"&amp;840)=0,"",IF(COUNTIFS(m_teacher,AO$4,m_date,($G$2+16),m_active,1,m_start,"&lt;"&amp;900,m_end,"&gt;"&amp;840)&gt;1,"충돌",HYPERLINK("#'관리자_MASTER'!D"&amp;_xlfn.MAXIFS(m_row,m_teacher,AO$4,m_date,($G$2+16),m_active,1,m_start,"&lt;"&amp;900,m_end,"&gt;"&amp;840),INDEX(m_label,_xlfn.MAXIFS(m_row,m_teacher,AO$4,m_date,($G$2+16),m_active,1,m_start,"&lt;"&amp;900,m_end,"&gt;"&amp;840))))))</f>
        <v/>
      </c>
      <c r="AP32" s="82" t="str">
        <f aca="false">IF(OR(AP$4="",MONTH(($G$2+16))&lt;&gt;MONTH($C$2)),"",IF(COUNTIFS(m_teacher,AP$4,m_date,($G$2+16),m_active,1,m_start,"&lt;"&amp;900,m_end,"&gt;"&amp;840)=0,"",IF(COUNTIFS(m_teacher,AP$4,m_date,($G$2+16),m_active,1,m_start,"&lt;"&amp;900,m_end,"&gt;"&amp;840)&gt;1,"충돌",HYPERLINK("#'관리자_MASTER'!D"&amp;_xlfn.MAXIFS(m_row,m_teacher,AP$4,m_date,($G$2+16),m_active,1,m_start,"&lt;"&amp;900,m_end,"&gt;"&amp;840),INDEX(m_label,_xlfn.MAXIFS(m_row,m_teacher,AP$4,m_date,($G$2+16),m_active,1,m_start,"&lt;"&amp;900,m_end,"&gt;"&amp;840))))))</f>
        <v/>
      </c>
      <c r="AQ32" s="78"/>
      <c r="AR32" s="79" t="s">
        <v>96</v>
      </c>
      <c r="AS32" s="82" t="str">
        <f aca="false">IF(OR(AS$4="",MONTH(($G$2+23))&lt;&gt;MONTH($C$2)),"",IF(COUNTIFS(m_teacher,AS$4,m_date,($G$2+23),m_active,1,m_start,"&lt;"&amp;900,m_end,"&gt;"&amp;840)=0,"",IF(COUNTIFS(m_teacher,AS$4,m_date,($G$2+23),m_active,1,m_start,"&lt;"&amp;900,m_end,"&gt;"&amp;840)&gt;1,"충돌",HYPERLINK("#'관리자_MASTER'!D"&amp;_xlfn.MAXIFS(m_row,m_teacher,AS$4,m_date,($G$2+23),m_active,1,m_start,"&lt;"&amp;900,m_end,"&gt;"&amp;840),INDEX(m_label,_xlfn.MAXIFS(m_row,m_teacher,AS$4,m_date,($G$2+23),m_active,1,m_start,"&lt;"&amp;900,m_end,"&gt;"&amp;840))))))</f>
        <v/>
      </c>
      <c r="AT32" s="82" t="str">
        <f aca="false">IF(OR(AT$4="",MONTH(($G$2+23))&lt;&gt;MONTH($C$2)),"",IF(COUNTIFS(m_teacher,AT$4,m_date,($G$2+23),m_active,1,m_start,"&lt;"&amp;900,m_end,"&gt;"&amp;840)=0,"",IF(COUNTIFS(m_teacher,AT$4,m_date,($G$2+23),m_active,1,m_start,"&lt;"&amp;900,m_end,"&gt;"&amp;840)&gt;1,"충돌",HYPERLINK("#'관리자_MASTER'!D"&amp;_xlfn.MAXIFS(m_row,m_teacher,AT$4,m_date,($G$2+23),m_active,1,m_start,"&lt;"&amp;900,m_end,"&gt;"&amp;840),INDEX(m_label,_xlfn.MAXIFS(m_row,m_teacher,AT$4,m_date,($G$2+23),m_active,1,m_start,"&lt;"&amp;900,m_end,"&gt;"&amp;840))))))</f>
        <v/>
      </c>
      <c r="AU32" s="82" t="str">
        <f aca="false">IF(OR(AU$4="",MONTH(($G$2+23))&lt;&gt;MONTH($C$2)),"",IF(COUNTIFS(m_teacher,AU$4,m_date,($G$2+23),m_active,1,m_start,"&lt;"&amp;900,m_end,"&gt;"&amp;840)=0,"",IF(COUNTIFS(m_teacher,AU$4,m_date,($G$2+23),m_active,1,m_start,"&lt;"&amp;900,m_end,"&gt;"&amp;840)&gt;1,"충돌",HYPERLINK("#'관리자_MASTER'!D"&amp;_xlfn.MAXIFS(m_row,m_teacher,AU$4,m_date,($G$2+23),m_active,1,m_start,"&lt;"&amp;900,m_end,"&gt;"&amp;840),INDEX(m_label,_xlfn.MAXIFS(m_row,m_teacher,AU$4,m_date,($G$2+23),m_active,1,m_start,"&lt;"&amp;900,m_end,"&gt;"&amp;840))))))</f>
        <v/>
      </c>
      <c r="AV32" s="82" t="str">
        <f aca="false">IF(OR(AV$4="",MONTH(($G$2+23))&lt;&gt;MONTH($C$2)),"",IF(COUNTIFS(m_teacher,AV$4,m_date,($G$2+23),m_active,1,m_start,"&lt;"&amp;900,m_end,"&gt;"&amp;840)=0,"",IF(COUNTIFS(m_teacher,AV$4,m_date,($G$2+23),m_active,1,m_start,"&lt;"&amp;900,m_end,"&gt;"&amp;840)&gt;1,"충돌",HYPERLINK("#'관리자_MASTER'!D"&amp;_xlfn.MAXIFS(m_row,m_teacher,AV$4,m_date,($G$2+23),m_active,1,m_start,"&lt;"&amp;900,m_end,"&gt;"&amp;840),INDEX(m_label,_xlfn.MAXIFS(m_row,m_teacher,AV$4,m_date,($G$2+23),m_active,1,m_start,"&lt;"&amp;900,m_end,"&gt;"&amp;840))))))</f>
        <v/>
      </c>
      <c r="AW32" s="82" t="str">
        <f aca="false">IF(OR(AW$4="",MONTH(($G$2+23))&lt;&gt;MONTH($C$2)),"",IF(COUNTIFS(m_teacher,AW$4,m_date,($G$2+23),m_active,1,m_start,"&lt;"&amp;900,m_end,"&gt;"&amp;840)=0,"",IF(COUNTIFS(m_teacher,AW$4,m_date,($G$2+23),m_active,1,m_start,"&lt;"&amp;900,m_end,"&gt;"&amp;840)&gt;1,"충돌",HYPERLINK("#'관리자_MASTER'!D"&amp;_xlfn.MAXIFS(m_row,m_teacher,AW$4,m_date,($G$2+23),m_active,1,m_start,"&lt;"&amp;900,m_end,"&gt;"&amp;840),INDEX(m_label,_xlfn.MAXIFS(m_row,m_teacher,AW$4,m_date,($G$2+23),m_active,1,m_start,"&lt;"&amp;900,m_end,"&gt;"&amp;840))))))</f>
        <v/>
      </c>
      <c r="AX32" s="82" t="str">
        <f aca="false">IF(OR(AX$4="",MONTH(($G$2+23))&lt;&gt;MONTH($C$2)),"",IF(COUNTIFS(m_teacher,AX$4,m_date,($G$2+23),m_active,1,m_start,"&lt;"&amp;900,m_end,"&gt;"&amp;840)=0,"",IF(COUNTIFS(m_teacher,AX$4,m_date,($G$2+23),m_active,1,m_start,"&lt;"&amp;900,m_end,"&gt;"&amp;840)&gt;1,"충돌",HYPERLINK("#'관리자_MASTER'!D"&amp;_xlfn.MAXIFS(m_row,m_teacher,AX$4,m_date,($G$2+23),m_active,1,m_start,"&lt;"&amp;900,m_end,"&gt;"&amp;840),INDEX(m_label,_xlfn.MAXIFS(m_row,m_teacher,AX$4,m_date,($G$2+23),m_active,1,m_start,"&lt;"&amp;900,m_end,"&gt;"&amp;840))))))</f>
        <v/>
      </c>
      <c r="AY32" s="82" t="str">
        <f aca="false">IF(OR(AY$4="",MONTH(($G$2+23))&lt;&gt;MONTH($C$2)),"",IF(COUNTIFS(m_teacher,AY$4,m_date,($G$2+23),m_active,1,m_start,"&lt;"&amp;900,m_end,"&gt;"&amp;840)=0,"",IF(COUNTIFS(m_teacher,AY$4,m_date,($G$2+23),m_active,1,m_start,"&lt;"&amp;900,m_end,"&gt;"&amp;840)&gt;1,"충돌",HYPERLINK("#'관리자_MASTER'!D"&amp;_xlfn.MAXIFS(m_row,m_teacher,AY$4,m_date,($G$2+23),m_active,1,m_start,"&lt;"&amp;900,m_end,"&gt;"&amp;840),INDEX(m_label,_xlfn.MAXIFS(m_row,m_teacher,AY$4,m_date,($G$2+23),m_active,1,m_start,"&lt;"&amp;900,m_end,"&gt;"&amp;840))))))</f>
        <v/>
      </c>
      <c r="AZ32" s="82" t="str">
        <f aca="false">IF(OR(AZ$4="",MONTH(($G$2+23))&lt;&gt;MONTH($C$2)),"",IF(COUNTIFS(m_teacher,AZ$4,m_date,($G$2+23),m_active,1,m_start,"&lt;"&amp;900,m_end,"&gt;"&amp;840)=0,"",IF(COUNTIFS(m_teacher,AZ$4,m_date,($G$2+23),m_active,1,m_start,"&lt;"&amp;900,m_end,"&gt;"&amp;840)&gt;1,"충돌",HYPERLINK("#'관리자_MASTER'!D"&amp;_xlfn.MAXIFS(m_row,m_teacher,AZ$4,m_date,($G$2+23),m_active,1,m_start,"&lt;"&amp;900,m_end,"&gt;"&amp;840),INDEX(m_label,_xlfn.MAXIFS(m_row,m_teacher,AZ$4,m_date,($G$2+23),m_active,1,m_start,"&lt;"&amp;900,m_end,"&gt;"&amp;840))))))</f>
        <v/>
      </c>
      <c r="BA32" s="82" t="str">
        <f aca="false">IF(OR(BA$4="",MONTH(($G$2+23))&lt;&gt;MONTH($C$2)),"",IF(COUNTIFS(m_teacher,BA$4,m_date,($G$2+23),m_active,1,m_start,"&lt;"&amp;900,m_end,"&gt;"&amp;840)=0,"",IF(COUNTIFS(m_teacher,BA$4,m_date,($G$2+23),m_active,1,m_start,"&lt;"&amp;900,m_end,"&gt;"&amp;840)&gt;1,"충돌",HYPERLINK("#'관리자_MASTER'!D"&amp;_xlfn.MAXIFS(m_row,m_teacher,BA$4,m_date,($G$2+23),m_active,1,m_start,"&lt;"&amp;900,m_end,"&gt;"&amp;840),INDEX(m_label,_xlfn.MAXIFS(m_row,m_teacher,BA$4,m_date,($G$2+23),m_active,1,m_start,"&lt;"&amp;900,m_end,"&gt;"&amp;840))))))</f>
        <v/>
      </c>
      <c r="BB32" s="82" t="str">
        <f aca="false">IF(OR(BB$4="",MONTH(($G$2+23))&lt;&gt;MONTH($C$2)),"",IF(COUNTIFS(m_teacher,BB$4,m_date,($G$2+23),m_active,1,m_start,"&lt;"&amp;900,m_end,"&gt;"&amp;840)=0,"",IF(COUNTIFS(m_teacher,BB$4,m_date,($G$2+23),m_active,1,m_start,"&lt;"&amp;900,m_end,"&gt;"&amp;840)&gt;1,"충돌",HYPERLINK("#'관리자_MASTER'!D"&amp;_xlfn.MAXIFS(m_row,m_teacher,BB$4,m_date,($G$2+23),m_active,1,m_start,"&lt;"&amp;900,m_end,"&gt;"&amp;840),INDEX(m_label,_xlfn.MAXIFS(m_row,m_teacher,BB$4,m_date,($G$2+23),m_active,1,m_start,"&lt;"&amp;900,m_end,"&gt;"&amp;840))))))</f>
        <v/>
      </c>
      <c r="BC32" s="82" t="str">
        <f aca="false">IF(OR(BC$4="",MONTH(($G$2+23))&lt;&gt;MONTH($C$2)),"",IF(COUNTIFS(m_teacher,BC$4,m_date,($G$2+23),m_active,1,m_start,"&lt;"&amp;900,m_end,"&gt;"&amp;840)=0,"",IF(COUNTIFS(m_teacher,BC$4,m_date,($G$2+23),m_active,1,m_start,"&lt;"&amp;900,m_end,"&gt;"&amp;840)&gt;1,"충돌",HYPERLINK("#'관리자_MASTER'!D"&amp;_xlfn.MAXIFS(m_row,m_teacher,BC$4,m_date,($G$2+23),m_active,1,m_start,"&lt;"&amp;900,m_end,"&gt;"&amp;840),INDEX(m_label,_xlfn.MAXIFS(m_row,m_teacher,BC$4,m_date,($G$2+23),m_active,1,m_start,"&lt;"&amp;900,m_end,"&gt;"&amp;840))))))</f>
        <v/>
      </c>
      <c r="BD32" s="82" t="str">
        <f aca="false">IF(OR(BD$4="",MONTH(($G$2+23))&lt;&gt;MONTH($C$2)),"",IF(COUNTIFS(m_teacher,BD$4,m_date,($G$2+23),m_active,1,m_start,"&lt;"&amp;900,m_end,"&gt;"&amp;840)=0,"",IF(COUNTIFS(m_teacher,BD$4,m_date,($G$2+23),m_active,1,m_start,"&lt;"&amp;900,m_end,"&gt;"&amp;840)&gt;1,"충돌",HYPERLINK("#'관리자_MASTER'!D"&amp;_xlfn.MAXIFS(m_row,m_teacher,BD$4,m_date,($G$2+23),m_active,1,m_start,"&lt;"&amp;900,m_end,"&gt;"&amp;840),INDEX(m_label,_xlfn.MAXIFS(m_row,m_teacher,BD$4,m_date,($G$2+23),m_active,1,m_start,"&lt;"&amp;900,m_end,"&gt;"&amp;840))))))</f>
        <v/>
      </c>
    </row>
    <row r="33" customFormat="false" ht="19.5" hidden="false" customHeight="true" outlineLevel="0" collapsed="false">
      <c r="A33" s="78"/>
      <c r="B33" s="79" t="s">
        <v>97</v>
      </c>
      <c r="C33" s="82" t="str">
        <f aca="false">IF(OR(C$4="",MONTH(($G$2+2))&lt;&gt;MONTH($C$2)),"",IF(COUNTIFS(m_teacher,C$4,m_date,($G$2+2),m_active,1,m_start,"&lt;"&amp;960,m_end,"&gt;"&amp;900)=0,"",IF(COUNTIFS(m_teacher,C$4,m_date,($G$2+2),m_active,1,m_start,"&lt;"&amp;960,m_end,"&gt;"&amp;900)&gt;1,"충돌",HYPERLINK("#'관리자_MASTER'!D"&amp;_xlfn.MAXIFS(m_row,m_teacher,C$4,m_date,($G$2+2),m_active,1,m_start,"&lt;"&amp;960,m_end,"&gt;"&amp;900),INDEX(m_label,_xlfn.MAXIFS(m_row,m_teacher,C$4,m_date,($G$2+2),m_active,1,m_start,"&lt;"&amp;960,m_end,"&gt;"&amp;900))))))</f>
        <v/>
      </c>
      <c r="D33" s="82" t="str">
        <f aca="false">IF(OR(D$4="",MONTH(($G$2+2))&lt;&gt;MONTH($C$2)),"",IF(COUNTIFS(m_teacher,D$4,m_date,($G$2+2),m_active,1,m_start,"&lt;"&amp;960,m_end,"&gt;"&amp;900)=0,"",IF(COUNTIFS(m_teacher,D$4,m_date,($G$2+2),m_active,1,m_start,"&lt;"&amp;960,m_end,"&gt;"&amp;900)&gt;1,"충돌",HYPERLINK("#'관리자_MASTER'!D"&amp;_xlfn.MAXIFS(m_row,m_teacher,D$4,m_date,($G$2+2),m_active,1,m_start,"&lt;"&amp;960,m_end,"&gt;"&amp;900),INDEX(m_label,_xlfn.MAXIFS(m_row,m_teacher,D$4,m_date,($G$2+2),m_active,1,m_start,"&lt;"&amp;960,m_end,"&gt;"&amp;900))))))</f>
        <v/>
      </c>
      <c r="E33" s="82" t="str">
        <f aca="false">IF(OR(E$4="",MONTH(($G$2+2))&lt;&gt;MONTH($C$2)),"",IF(COUNTIFS(m_teacher,E$4,m_date,($G$2+2),m_active,1,m_start,"&lt;"&amp;960,m_end,"&gt;"&amp;900)=0,"",IF(COUNTIFS(m_teacher,E$4,m_date,($G$2+2),m_active,1,m_start,"&lt;"&amp;960,m_end,"&gt;"&amp;900)&gt;1,"충돌",HYPERLINK("#'관리자_MASTER'!D"&amp;_xlfn.MAXIFS(m_row,m_teacher,E$4,m_date,($G$2+2),m_active,1,m_start,"&lt;"&amp;960,m_end,"&gt;"&amp;900),INDEX(m_label,_xlfn.MAXIFS(m_row,m_teacher,E$4,m_date,($G$2+2),m_active,1,m_start,"&lt;"&amp;960,m_end,"&gt;"&amp;900))))))</f>
        <v/>
      </c>
      <c r="F33" s="82" t="str">
        <f aca="false">IF(OR(F$4="",MONTH(($G$2+2))&lt;&gt;MONTH($C$2)),"",IF(COUNTIFS(m_teacher,F$4,m_date,($G$2+2),m_active,1,m_start,"&lt;"&amp;960,m_end,"&gt;"&amp;900)=0,"",IF(COUNTIFS(m_teacher,F$4,m_date,($G$2+2),m_active,1,m_start,"&lt;"&amp;960,m_end,"&gt;"&amp;900)&gt;1,"충돌",HYPERLINK("#'관리자_MASTER'!D"&amp;_xlfn.MAXIFS(m_row,m_teacher,F$4,m_date,($G$2+2),m_active,1,m_start,"&lt;"&amp;960,m_end,"&gt;"&amp;900),INDEX(m_label,_xlfn.MAXIFS(m_row,m_teacher,F$4,m_date,($G$2+2),m_active,1,m_start,"&lt;"&amp;960,m_end,"&gt;"&amp;900))))))</f>
        <v/>
      </c>
      <c r="G33" s="82" t="str">
        <f aca="false">IF(OR(G$4="",MONTH(($G$2+2))&lt;&gt;MONTH($C$2)),"",IF(COUNTIFS(m_teacher,G$4,m_date,($G$2+2),m_active,1,m_start,"&lt;"&amp;960,m_end,"&gt;"&amp;900)=0,"",IF(COUNTIFS(m_teacher,G$4,m_date,($G$2+2),m_active,1,m_start,"&lt;"&amp;960,m_end,"&gt;"&amp;900)&gt;1,"충돌",HYPERLINK("#'관리자_MASTER'!D"&amp;_xlfn.MAXIFS(m_row,m_teacher,G$4,m_date,($G$2+2),m_active,1,m_start,"&lt;"&amp;960,m_end,"&gt;"&amp;900),INDEX(m_label,_xlfn.MAXIFS(m_row,m_teacher,G$4,m_date,($G$2+2),m_active,1,m_start,"&lt;"&amp;960,m_end,"&gt;"&amp;900))))))</f>
        <v/>
      </c>
      <c r="H33" s="82" t="str">
        <f aca="false">IF(OR(H$4="",MONTH(($G$2+2))&lt;&gt;MONTH($C$2)),"",IF(COUNTIFS(m_teacher,H$4,m_date,($G$2+2),m_active,1,m_start,"&lt;"&amp;960,m_end,"&gt;"&amp;900)=0,"",IF(COUNTIFS(m_teacher,H$4,m_date,($G$2+2),m_active,1,m_start,"&lt;"&amp;960,m_end,"&gt;"&amp;900)&gt;1,"충돌",HYPERLINK("#'관리자_MASTER'!D"&amp;_xlfn.MAXIFS(m_row,m_teacher,H$4,m_date,($G$2+2),m_active,1,m_start,"&lt;"&amp;960,m_end,"&gt;"&amp;900),INDEX(m_label,_xlfn.MAXIFS(m_row,m_teacher,H$4,m_date,($G$2+2),m_active,1,m_start,"&lt;"&amp;960,m_end,"&gt;"&amp;900))))))</f>
        <v/>
      </c>
      <c r="I33" s="82" t="str">
        <f aca="false">IF(OR(I$4="",MONTH(($G$2+2))&lt;&gt;MONTH($C$2)),"",IF(COUNTIFS(m_teacher,I$4,m_date,($G$2+2),m_active,1,m_start,"&lt;"&amp;960,m_end,"&gt;"&amp;900)=0,"",IF(COUNTIFS(m_teacher,I$4,m_date,($G$2+2),m_active,1,m_start,"&lt;"&amp;960,m_end,"&gt;"&amp;900)&gt;1,"충돌",HYPERLINK("#'관리자_MASTER'!D"&amp;_xlfn.MAXIFS(m_row,m_teacher,I$4,m_date,($G$2+2),m_active,1,m_start,"&lt;"&amp;960,m_end,"&gt;"&amp;900),INDEX(m_label,_xlfn.MAXIFS(m_row,m_teacher,I$4,m_date,($G$2+2),m_active,1,m_start,"&lt;"&amp;960,m_end,"&gt;"&amp;900))))))</f>
        <v/>
      </c>
      <c r="J33" s="82" t="str">
        <f aca="false">IF(OR(J$4="",MONTH(($G$2+2))&lt;&gt;MONTH($C$2)),"",IF(COUNTIFS(m_teacher,J$4,m_date,($G$2+2),m_active,1,m_start,"&lt;"&amp;960,m_end,"&gt;"&amp;900)=0,"",IF(COUNTIFS(m_teacher,J$4,m_date,($G$2+2),m_active,1,m_start,"&lt;"&amp;960,m_end,"&gt;"&amp;900)&gt;1,"충돌",HYPERLINK("#'관리자_MASTER'!D"&amp;_xlfn.MAXIFS(m_row,m_teacher,J$4,m_date,($G$2+2),m_active,1,m_start,"&lt;"&amp;960,m_end,"&gt;"&amp;900),INDEX(m_label,_xlfn.MAXIFS(m_row,m_teacher,J$4,m_date,($G$2+2),m_active,1,m_start,"&lt;"&amp;960,m_end,"&gt;"&amp;900))))))</f>
        <v/>
      </c>
      <c r="K33" s="82" t="str">
        <f aca="false">IF(OR(K$4="",MONTH(($G$2+2))&lt;&gt;MONTH($C$2)),"",IF(COUNTIFS(m_teacher,K$4,m_date,($G$2+2),m_active,1,m_start,"&lt;"&amp;960,m_end,"&gt;"&amp;900)=0,"",IF(COUNTIFS(m_teacher,K$4,m_date,($G$2+2),m_active,1,m_start,"&lt;"&amp;960,m_end,"&gt;"&amp;900)&gt;1,"충돌",HYPERLINK("#'관리자_MASTER'!D"&amp;_xlfn.MAXIFS(m_row,m_teacher,K$4,m_date,($G$2+2),m_active,1,m_start,"&lt;"&amp;960,m_end,"&gt;"&amp;900),INDEX(m_label,_xlfn.MAXIFS(m_row,m_teacher,K$4,m_date,($G$2+2),m_active,1,m_start,"&lt;"&amp;960,m_end,"&gt;"&amp;900))))))</f>
        <v/>
      </c>
      <c r="L33" s="82" t="str">
        <f aca="false">IF(OR(L$4="",MONTH(($G$2+2))&lt;&gt;MONTH($C$2)),"",IF(COUNTIFS(m_teacher,L$4,m_date,($G$2+2),m_active,1,m_start,"&lt;"&amp;960,m_end,"&gt;"&amp;900)=0,"",IF(COUNTIFS(m_teacher,L$4,m_date,($G$2+2),m_active,1,m_start,"&lt;"&amp;960,m_end,"&gt;"&amp;900)&gt;1,"충돌",HYPERLINK("#'관리자_MASTER'!D"&amp;_xlfn.MAXIFS(m_row,m_teacher,L$4,m_date,($G$2+2),m_active,1,m_start,"&lt;"&amp;960,m_end,"&gt;"&amp;900),INDEX(m_label,_xlfn.MAXIFS(m_row,m_teacher,L$4,m_date,($G$2+2),m_active,1,m_start,"&lt;"&amp;960,m_end,"&gt;"&amp;900))))))</f>
        <v/>
      </c>
      <c r="M33" s="82" t="str">
        <f aca="false">IF(OR(M$4="",MONTH(($G$2+2))&lt;&gt;MONTH($C$2)),"",IF(COUNTIFS(m_teacher,M$4,m_date,($G$2+2),m_active,1,m_start,"&lt;"&amp;960,m_end,"&gt;"&amp;900)=0,"",IF(COUNTIFS(m_teacher,M$4,m_date,($G$2+2),m_active,1,m_start,"&lt;"&amp;960,m_end,"&gt;"&amp;900)&gt;1,"충돌",HYPERLINK("#'관리자_MASTER'!D"&amp;_xlfn.MAXIFS(m_row,m_teacher,M$4,m_date,($G$2+2),m_active,1,m_start,"&lt;"&amp;960,m_end,"&gt;"&amp;900),INDEX(m_label,_xlfn.MAXIFS(m_row,m_teacher,M$4,m_date,($G$2+2),m_active,1,m_start,"&lt;"&amp;960,m_end,"&gt;"&amp;900))))))</f>
        <v/>
      </c>
      <c r="N33" s="82" t="str">
        <f aca="false">IF(OR(N$4="",MONTH(($G$2+2))&lt;&gt;MONTH($C$2)),"",IF(COUNTIFS(m_teacher,N$4,m_date,($G$2+2),m_active,1,m_start,"&lt;"&amp;960,m_end,"&gt;"&amp;900)=0,"",IF(COUNTIFS(m_teacher,N$4,m_date,($G$2+2),m_active,1,m_start,"&lt;"&amp;960,m_end,"&gt;"&amp;900)&gt;1,"충돌",HYPERLINK("#'관리자_MASTER'!D"&amp;_xlfn.MAXIFS(m_row,m_teacher,N$4,m_date,($G$2+2),m_active,1,m_start,"&lt;"&amp;960,m_end,"&gt;"&amp;900),INDEX(m_label,_xlfn.MAXIFS(m_row,m_teacher,N$4,m_date,($G$2+2),m_active,1,m_start,"&lt;"&amp;960,m_end,"&gt;"&amp;900))))))</f>
        <v/>
      </c>
      <c r="O33" s="78"/>
      <c r="P33" s="79" t="s">
        <v>97</v>
      </c>
      <c r="Q33" s="82" t="str">
        <f aca="false">IF(OR(Q$4="",MONTH(($G$2+9))&lt;&gt;MONTH($C$2)),"",IF(COUNTIFS(m_teacher,Q$4,m_date,($G$2+9),m_active,1,m_start,"&lt;"&amp;960,m_end,"&gt;"&amp;900)=0,"",IF(COUNTIFS(m_teacher,Q$4,m_date,($G$2+9),m_active,1,m_start,"&lt;"&amp;960,m_end,"&gt;"&amp;900)&gt;1,"충돌",HYPERLINK("#'관리자_MASTER'!D"&amp;_xlfn.MAXIFS(m_row,m_teacher,Q$4,m_date,($G$2+9),m_active,1,m_start,"&lt;"&amp;960,m_end,"&gt;"&amp;900),INDEX(m_label,_xlfn.MAXIFS(m_row,m_teacher,Q$4,m_date,($G$2+9),m_active,1,m_start,"&lt;"&amp;960,m_end,"&gt;"&amp;900))))))</f>
        <v/>
      </c>
      <c r="R33" s="82" t="str">
        <f aca="false">IF(OR(R$4="",MONTH(($G$2+9))&lt;&gt;MONTH($C$2)),"",IF(COUNTIFS(m_teacher,R$4,m_date,($G$2+9),m_active,1,m_start,"&lt;"&amp;960,m_end,"&gt;"&amp;900)=0,"",IF(COUNTIFS(m_teacher,R$4,m_date,($G$2+9),m_active,1,m_start,"&lt;"&amp;960,m_end,"&gt;"&amp;900)&gt;1,"충돌",HYPERLINK("#'관리자_MASTER'!D"&amp;_xlfn.MAXIFS(m_row,m_teacher,R$4,m_date,($G$2+9),m_active,1,m_start,"&lt;"&amp;960,m_end,"&gt;"&amp;900),INDEX(m_label,_xlfn.MAXIFS(m_row,m_teacher,R$4,m_date,($G$2+9),m_active,1,m_start,"&lt;"&amp;960,m_end,"&gt;"&amp;900))))))</f>
        <v/>
      </c>
      <c r="S33" s="82" t="str">
        <f aca="false">IF(OR(S$4="",MONTH(($G$2+9))&lt;&gt;MONTH($C$2)),"",IF(COUNTIFS(m_teacher,S$4,m_date,($G$2+9),m_active,1,m_start,"&lt;"&amp;960,m_end,"&gt;"&amp;900)=0,"",IF(COUNTIFS(m_teacher,S$4,m_date,($G$2+9),m_active,1,m_start,"&lt;"&amp;960,m_end,"&gt;"&amp;900)&gt;1,"충돌",HYPERLINK("#'관리자_MASTER'!D"&amp;_xlfn.MAXIFS(m_row,m_teacher,S$4,m_date,($G$2+9),m_active,1,m_start,"&lt;"&amp;960,m_end,"&gt;"&amp;900),INDEX(m_label,_xlfn.MAXIFS(m_row,m_teacher,S$4,m_date,($G$2+9),m_active,1,m_start,"&lt;"&amp;960,m_end,"&gt;"&amp;900))))))</f>
        <v/>
      </c>
      <c r="T33" s="82" t="str">
        <f aca="false">IF(OR(T$4="",MONTH(($G$2+9))&lt;&gt;MONTH($C$2)),"",IF(COUNTIFS(m_teacher,T$4,m_date,($G$2+9),m_active,1,m_start,"&lt;"&amp;960,m_end,"&gt;"&amp;900)=0,"",IF(COUNTIFS(m_teacher,T$4,m_date,($G$2+9),m_active,1,m_start,"&lt;"&amp;960,m_end,"&gt;"&amp;900)&gt;1,"충돌",HYPERLINK("#'관리자_MASTER'!D"&amp;_xlfn.MAXIFS(m_row,m_teacher,T$4,m_date,($G$2+9),m_active,1,m_start,"&lt;"&amp;960,m_end,"&gt;"&amp;900),INDEX(m_label,_xlfn.MAXIFS(m_row,m_teacher,T$4,m_date,($G$2+9),m_active,1,m_start,"&lt;"&amp;960,m_end,"&gt;"&amp;900))))))</f>
        <v/>
      </c>
      <c r="U33" s="82" t="str">
        <f aca="false">IF(OR(U$4="",MONTH(($G$2+9))&lt;&gt;MONTH($C$2)),"",IF(COUNTIFS(m_teacher,U$4,m_date,($G$2+9),m_active,1,m_start,"&lt;"&amp;960,m_end,"&gt;"&amp;900)=0,"",IF(COUNTIFS(m_teacher,U$4,m_date,($G$2+9),m_active,1,m_start,"&lt;"&amp;960,m_end,"&gt;"&amp;900)&gt;1,"충돌",HYPERLINK("#'관리자_MASTER'!D"&amp;_xlfn.MAXIFS(m_row,m_teacher,U$4,m_date,($G$2+9),m_active,1,m_start,"&lt;"&amp;960,m_end,"&gt;"&amp;900),INDEX(m_label,_xlfn.MAXIFS(m_row,m_teacher,U$4,m_date,($G$2+9),m_active,1,m_start,"&lt;"&amp;960,m_end,"&gt;"&amp;900))))))</f>
        <v/>
      </c>
      <c r="V33" s="82" t="str">
        <f aca="false">IF(OR(V$4="",MONTH(($G$2+9))&lt;&gt;MONTH($C$2)),"",IF(COUNTIFS(m_teacher,V$4,m_date,($G$2+9),m_active,1,m_start,"&lt;"&amp;960,m_end,"&gt;"&amp;900)=0,"",IF(COUNTIFS(m_teacher,V$4,m_date,($G$2+9),m_active,1,m_start,"&lt;"&amp;960,m_end,"&gt;"&amp;900)&gt;1,"충돌",HYPERLINK("#'관리자_MASTER'!D"&amp;_xlfn.MAXIFS(m_row,m_teacher,V$4,m_date,($G$2+9),m_active,1,m_start,"&lt;"&amp;960,m_end,"&gt;"&amp;900),INDEX(m_label,_xlfn.MAXIFS(m_row,m_teacher,V$4,m_date,($G$2+9),m_active,1,m_start,"&lt;"&amp;960,m_end,"&gt;"&amp;900))))))</f>
        <v/>
      </c>
      <c r="W33" s="82" t="str">
        <f aca="false">IF(OR(W$4="",MONTH(($G$2+9))&lt;&gt;MONTH($C$2)),"",IF(COUNTIFS(m_teacher,W$4,m_date,($G$2+9),m_active,1,m_start,"&lt;"&amp;960,m_end,"&gt;"&amp;900)=0,"",IF(COUNTIFS(m_teacher,W$4,m_date,($G$2+9),m_active,1,m_start,"&lt;"&amp;960,m_end,"&gt;"&amp;900)&gt;1,"충돌",HYPERLINK("#'관리자_MASTER'!D"&amp;_xlfn.MAXIFS(m_row,m_teacher,W$4,m_date,($G$2+9),m_active,1,m_start,"&lt;"&amp;960,m_end,"&gt;"&amp;900),INDEX(m_label,_xlfn.MAXIFS(m_row,m_teacher,W$4,m_date,($G$2+9),m_active,1,m_start,"&lt;"&amp;960,m_end,"&gt;"&amp;900))))))</f>
        <v/>
      </c>
      <c r="X33" s="82" t="str">
        <f aca="false">IF(OR(X$4="",MONTH(($G$2+9))&lt;&gt;MONTH($C$2)),"",IF(COUNTIFS(m_teacher,X$4,m_date,($G$2+9),m_active,1,m_start,"&lt;"&amp;960,m_end,"&gt;"&amp;900)=0,"",IF(COUNTIFS(m_teacher,X$4,m_date,($G$2+9),m_active,1,m_start,"&lt;"&amp;960,m_end,"&gt;"&amp;900)&gt;1,"충돌",HYPERLINK("#'관리자_MASTER'!D"&amp;_xlfn.MAXIFS(m_row,m_teacher,X$4,m_date,($G$2+9),m_active,1,m_start,"&lt;"&amp;960,m_end,"&gt;"&amp;900),INDEX(m_label,_xlfn.MAXIFS(m_row,m_teacher,X$4,m_date,($G$2+9),m_active,1,m_start,"&lt;"&amp;960,m_end,"&gt;"&amp;900))))))</f>
        <v/>
      </c>
      <c r="Y33" s="82" t="str">
        <f aca="false">IF(OR(Y$4="",MONTH(($G$2+9))&lt;&gt;MONTH($C$2)),"",IF(COUNTIFS(m_teacher,Y$4,m_date,($G$2+9),m_active,1,m_start,"&lt;"&amp;960,m_end,"&gt;"&amp;900)=0,"",IF(COUNTIFS(m_teacher,Y$4,m_date,($G$2+9),m_active,1,m_start,"&lt;"&amp;960,m_end,"&gt;"&amp;900)&gt;1,"충돌",HYPERLINK("#'관리자_MASTER'!D"&amp;_xlfn.MAXIFS(m_row,m_teacher,Y$4,m_date,($G$2+9),m_active,1,m_start,"&lt;"&amp;960,m_end,"&gt;"&amp;900),INDEX(m_label,_xlfn.MAXIFS(m_row,m_teacher,Y$4,m_date,($G$2+9),m_active,1,m_start,"&lt;"&amp;960,m_end,"&gt;"&amp;900))))))</f>
        <v/>
      </c>
      <c r="Z33" s="82" t="str">
        <f aca="false">IF(OR(Z$4="",MONTH(($G$2+9))&lt;&gt;MONTH($C$2)),"",IF(COUNTIFS(m_teacher,Z$4,m_date,($G$2+9),m_active,1,m_start,"&lt;"&amp;960,m_end,"&gt;"&amp;900)=0,"",IF(COUNTIFS(m_teacher,Z$4,m_date,($G$2+9),m_active,1,m_start,"&lt;"&amp;960,m_end,"&gt;"&amp;900)&gt;1,"충돌",HYPERLINK("#'관리자_MASTER'!D"&amp;_xlfn.MAXIFS(m_row,m_teacher,Z$4,m_date,($G$2+9),m_active,1,m_start,"&lt;"&amp;960,m_end,"&gt;"&amp;900),INDEX(m_label,_xlfn.MAXIFS(m_row,m_teacher,Z$4,m_date,($G$2+9),m_active,1,m_start,"&lt;"&amp;960,m_end,"&gt;"&amp;900))))))</f>
        <v/>
      </c>
      <c r="AA33" s="82" t="str">
        <f aca="false">IF(OR(AA$4="",MONTH(($G$2+9))&lt;&gt;MONTH($C$2)),"",IF(COUNTIFS(m_teacher,AA$4,m_date,($G$2+9),m_active,1,m_start,"&lt;"&amp;960,m_end,"&gt;"&amp;900)=0,"",IF(COUNTIFS(m_teacher,AA$4,m_date,($G$2+9),m_active,1,m_start,"&lt;"&amp;960,m_end,"&gt;"&amp;900)&gt;1,"충돌",HYPERLINK("#'관리자_MASTER'!D"&amp;_xlfn.MAXIFS(m_row,m_teacher,AA$4,m_date,($G$2+9),m_active,1,m_start,"&lt;"&amp;960,m_end,"&gt;"&amp;900),INDEX(m_label,_xlfn.MAXIFS(m_row,m_teacher,AA$4,m_date,($G$2+9),m_active,1,m_start,"&lt;"&amp;960,m_end,"&gt;"&amp;900))))))</f>
        <v/>
      </c>
      <c r="AB33" s="82" t="str">
        <f aca="false">IF(OR(AB$4="",MONTH(($G$2+9))&lt;&gt;MONTH($C$2)),"",IF(COUNTIFS(m_teacher,AB$4,m_date,($G$2+9),m_active,1,m_start,"&lt;"&amp;960,m_end,"&gt;"&amp;900)=0,"",IF(COUNTIFS(m_teacher,AB$4,m_date,($G$2+9),m_active,1,m_start,"&lt;"&amp;960,m_end,"&gt;"&amp;900)&gt;1,"충돌",HYPERLINK("#'관리자_MASTER'!D"&amp;_xlfn.MAXIFS(m_row,m_teacher,AB$4,m_date,($G$2+9),m_active,1,m_start,"&lt;"&amp;960,m_end,"&gt;"&amp;900),INDEX(m_label,_xlfn.MAXIFS(m_row,m_teacher,AB$4,m_date,($G$2+9),m_active,1,m_start,"&lt;"&amp;960,m_end,"&gt;"&amp;900))))))</f>
        <v/>
      </c>
      <c r="AC33" s="78"/>
      <c r="AD33" s="79" t="s">
        <v>97</v>
      </c>
      <c r="AE33" s="82" t="str">
        <f aca="false">IF(OR(AE$4="",MONTH(($G$2+16))&lt;&gt;MONTH($C$2)),"",IF(COUNTIFS(m_teacher,AE$4,m_date,($G$2+16),m_active,1,m_start,"&lt;"&amp;960,m_end,"&gt;"&amp;900)=0,"",IF(COUNTIFS(m_teacher,AE$4,m_date,($G$2+16),m_active,1,m_start,"&lt;"&amp;960,m_end,"&gt;"&amp;900)&gt;1,"충돌",HYPERLINK("#'관리자_MASTER'!D"&amp;_xlfn.MAXIFS(m_row,m_teacher,AE$4,m_date,($G$2+16),m_active,1,m_start,"&lt;"&amp;960,m_end,"&gt;"&amp;900),INDEX(m_label,_xlfn.MAXIFS(m_row,m_teacher,AE$4,m_date,($G$2+16),m_active,1,m_start,"&lt;"&amp;960,m_end,"&gt;"&amp;900))))))</f>
        <v/>
      </c>
      <c r="AF33" s="82" t="str">
        <f aca="false">IF(OR(AF$4="",MONTH(($G$2+16))&lt;&gt;MONTH($C$2)),"",IF(COUNTIFS(m_teacher,AF$4,m_date,($G$2+16),m_active,1,m_start,"&lt;"&amp;960,m_end,"&gt;"&amp;900)=0,"",IF(COUNTIFS(m_teacher,AF$4,m_date,($G$2+16),m_active,1,m_start,"&lt;"&amp;960,m_end,"&gt;"&amp;900)&gt;1,"충돌",HYPERLINK("#'관리자_MASTER'!D"&amp;_xlfn.MAXIFS(m_row,m_teacher,AF$4,m_date,($G$2+16),m_active,1,m_start,"&lt;"&amp;960,m_end,"&gt;"&amp;900),INDEX(m_label,_xlfn.MAXIFS(m_row,m_teacher,AF$4,m_date,($G$2+16),m_active,1,m_start,"&lt;"&amp;960,m_end,"&gt;"&amp;900))))))</f>
        <v/>
      </c>
      <c r="AG33" s="82" t="str">
        <f aca="false">IF(OR(AG$4="",MONTH(($G$2+16))&lt;&gt;MONTH($C$2)),"",IF(COUNTIFS(m_teacher,AG$4,m_date,($G$2+16),m_active,1,m_start,"&lt;"&amp;960,m_end,"&gt;"&amp;900)=0,"",IF(COUNTIFS(m_teacher,AG$4,m_date,($G$2+16),m_active,1,m_start,"&lt;"&amp;960,m_end,"&gt;"&amp;900)&gt;1,"충돌",HYPERLINK("#'관리자_MASTER'!D"&amp;_xlfn.MAXIFS(m_row,m_teacher,AG$4,m_date,($G$2+16),m_active,1,m_start,"&lt;"&amp;960,m_end,"&gt;"&amp;900),INDEX(m_label,_xlfn.MAXIFS(m_row,m_teacher,AG$4,m_date,($G$2+16),m_active,1,m_start,"&lt;"&amp;960,m_end,"&gt;"&amp;900))))))</f>
        <v/>
      </c>
      <c r="AH33" s="82" t="str">
        <f aca="false">IF(OR(AH$4="",MONTH(($G$2+16))&lt;&gt;MONTH($C$2)),"",IF(COUNTIFS(m_teacher,AH$4,m_date,($G$2+16),m_active,1,m_start,"&lt;"&amp;960,m_end,"&gt;"&amp;900)=0,"",IF(COUNTIFS(m_teacher,AH$4,m_date,($G$2+16),m_active,1,m_start,"&lt;"&amp;960,m_end,"&gt;"&amp;900)&gt;1,"충돌",HYPERLINK("#'관리자_MASTER'!D"&amp;_xlfn.MAXIFS(m_row,m_teacher,AH$4,m_date,($G$2+16),m_active,1,m_start,"&lt;"&amp;960,m_end,"&gt;"&amp;900),INDEX(m_label,_xlfn.MAXIFS(m_row,m_teacher,AH$4,m_date,($G$2+16),m_active,1,m_start,"&lt;"&amp;960,m_end,"&gt;"&amp;900))))))</f>
        <v/>
      </c>
      <c r="AI33" s="82" t="str">
        <f aca="false">IF(OR(AI$4="",MONTH(($G$2+16))&lt;&gt;MONTH($C$2)),"",IF(COUNTIFS(m_teacher,AI$4,m_date,($G$2+16),m_active,1,m_start,"&lt;"&amp;960,m_end,"&gt;"&amp;900)=0,"",IF(COUNTIFS(m_teacher,AI$4,m_date,($G$2+16),m_active,1,m_start,"&lt;"&amp;960,m_end,"&gt;"&amp;900)&gt;1,"충돌",HYPERLINK("#'관리자_MASTER'!D"&amp;_xlfn.MAXIFS(m_row,m_teacher,AI$4,m_date,($G$2+16),m_active,1,m_start,"&lt;"&amp;960,m_end,"&gt;"&amp;900),INDEX(m_label,_xlfn.MAXIFS(m_row,m_teacher,AI$4,m_date,($G$2+16),m_active,1,m_start,"&lt;"&amp;960,m_end,"&gt;"&amp;900))))))</f>
        <v/>
      </c>
      <c r="AJ33" s="82" t="str">
        <f aca="false">IF(OR(AJ$4="",MONTH(($G$2+16))&lt;&gt;MONTH($C$2)),"",IF(COUNTIFS(m_teacher,AJ$4,m_date,($G$2+16),m_active,1,m_start,"&lt;"&amp;960,m_end,"&gt;"&amp;900)=0,"",IF(COUNTIFS(m_teacher,AJ$4,m_date,($G$2+16),m_active,1,m_start,"&lt;"&amp;960,m_end,"&gt;"&amp;900)&gt;1,"충돌",HYPERLINK("#'관리자_MASTER'!D"&amp;_xlfn.MAXIFS(m_row,m_teacher,AJ$4,m_date,($G$2+16),m_active,1,m_start,"&lt;"&amp;960,m_end,"&gt;"&amp;900),INDEX(m_label,_xlfn.MAXIFS(m_row,m_teacher,AJ$4,m_date,($G$2+16),m_active,1,m_start,"&lt;"&amp;960,m_end,"&gt;"&amp;900))))))</f>
        <v/>
      </c>
      <c r="AK33" s="82" t="str">
        <f aca="false">IF(OR(AK$4="",MONTH(($G$2+16))&lt;&gt;MONTH($C$2)),"",IF(COUNTIFS(m_teacher,AK$4,m_date,($G$2+16),m_active,1,m_start,"&lt;"&amp;960,m_end,"&gt;"&amp;900)=0,"",IF(COUNTIFS(m_teacher,AK$4,m_date,($G$2+16),m_active,1,m_start,"&lt;"&amp;960,m_end,"&gt;"&amp;900)&gt;1,"충돌",HYPERLINK("#'관리자_MASTER'!D"&amp;_xlfn.MAXIFS(m_row,m_teacher,AK$4,m_date,($G$2+16),m_active,1,m_start,"&lt;"&amp;960,m_end,"&gt;"&amp;900),INDEX(m_label,_xlfn.MAXIFS(m_row,m_teacher,AK$4,m_date,($G$2+16),m_active,1,m_start,"&lt;"&amp;960,m_end,"&gt;"&amp;900))))))</f>
        <v/>
      </c>
      <c r="AL33" s="82" t="str">
        <f aca="false">IF(OR(AL$4="",MONTH(($G$2+16))&lt;&gt;MONTH($C$2)),"",IF(COUNTIFS(m_teacher,AL$4,m_date,($G$2+16),m_active,1,m_start,"&lt;"&amp;960,m_end,"&gt;"&amp;900)=0,"",IF(COUNTIFS(m_teacher,AL$4,m_date,($G$2+16),m_active,1,m_start,"&lt;"&amp;960,m_end,"&gt;"&amp;900)&gt;1,"충돌",HYPERLINK("#'관리자_MASTER'!D"&amp;_xlfn.MAXIFS(m_row,m_teacher,AL$4,m_date,($G$2+16),m_active,1,m_start,"&lt;"&amp;960,m_end,"&gt;"&amp;900),INDEX(m_label,_xlfn.MAXIFS(m_row,m_teacher,AL$4,m_date,($G$2+16),m_active,1,m_start,"&lt;"&amp;960,m_end,"&gt;"&amp;900))))))</f>
        <v/>
      </c>
      <c r="AM33" s="82" t="str">
        <f aca="false">IF(OR(AM$4="",MONTH(($G$2+16))&lt;&gt;MONTH($C$2)),"",IF(COUNTIFS(m_teacher,AM$4,m_date,($G$2+16),m_active,1,m_start,"&lt;"&amp;960,m_end,"&gt;"&amp;900)=0,"",IF(COUNTIFS(m_teacher,AM$4,m_date,($G$2+16),m_active,1,m_start,"&lt;"&amp;960,m_end,"&gt;"&amp;900)&gt;1,"충돌",HYPERLINK("#'관리자_MASTER'!D"&amp;_xlfn.MAXIFS(m_row,m_teacher,AM$4,m_date,($G$2+16),m_active,1,m_start,"&lt;"&amp;960,m_end,"&gt;"&amp;900),INDEX(m_label,_xlfn.MAXIFS(m_row,m_teacher,AM$4,m_date,($G$2+16),m_active,1,m_start,"&lt;"&amp;960,m_end,"&gt;"&amp;900))))))</f>
        <v/>
      </c>
      <c r="AN33" s="82" t="str">
        <f aca="false">IF(OR(AN$4="",MONTH(($G$2+16))&lt;&gt;MONTH($C$2)),"",IF(COUNTIFS(m_teacher,AN$4,m_date,($G$2+16),m_active,1,m_start,"&lt;"&amp;960,m_end,"&gt;"&amp;900)=0,"",IF(COUNTIFS(m_teacher,AN$4,m_date,($G$2+16),m_active,1,m_start,"&lt;"&amp;960,m_end,"&gt;"&amp;900)&gt;1,"충돌",HYPERLINK("#'관리자_MASTER'!D"&amp;_xlfn.MAXIFS(m_row,m_teacher,AN$4,m_date,($G$2+16),m_active,1,m_start,"&lt;"&amp;960,m_end,"&gt;"&amp;900),INDEX(m_label,_xlfn.MAXIFS(m_row,m_teacher,AN$4,m_date,($G$2+16),m_active,1,m_start,"&lt;"&amp;960,m_end,"&gt;"&amp;900))))))</f>
        <v/>
      </c>
      <c r="AO33" s="82" t="str">
        <f aca="false">IF(OR(AO$4="",MONTH(($G$2+16))&lt;&gt;MONTH($C$2)),"",IF(COUNTIFS(m_teacher,AO$4,m_date,($G$2+16),m_active,1,m_start,"&lt;"&amp;960,m_end,"&gt;"&amp;900)=0,"",IF(COUNTIFS(m_teacher,AO$4,m_date,($G$2+16),m_active,1,m_start,"&lt;"&amp;960,m_end,"&gt;"&amp;900)&gt;1,"충돌",HYPERLINK("#'관리자_MASTER'!D"&amp;_xlfn.MAXIFS(m_row,m_teacher,AO$4,m_date,($G$2+16),m_active,1,m_start,"&lt;"&amp;960,m_end,"&gt;"&amp;900),INDEX(m_label,_xlfn.MAXIFS(m_row,m_teacher,AO$4,m_date,($G$2+16),m_active,1,m_start,"&lt;"&amp;960,m_end,"&gt;"&amp;900))))))</f>
        <v/>
      </c>
      <c r="AP33" s="82" t="str">
        <f aca="false">IF(OR(AP$4="",MONTH(($G$2+16))&lt;&gt;MONTH($C$2)),"",IF(COUNTIFS(m_teacher,AP$4,m_date,($G$2+16),m_active,1,m_start,"&lt;"&amp;960,m_end,"&gt;"&amp;900)=0,"",IF(COUNTIFS(m_teacher,AP$4,m_date,($G$2+16),m_active,1,m_start,"&lt;"&amp;960,m_end,"&gt;"&amp;900)&gt;1,"충돌",HYPERLINK("#'관리자_MASTER'!D"&amp;_xlfn.MAXIFS(m_row,m_teacher,AP$4,m_date,($G$2+16),m_active,1,m_start,"&lt;"&amp;960,m_end,"&gt;"&amp;900),INDEX(m_label,_xlfn.MAXIFS(m_row,m_teacher,AP$4,m_date,($G$2+16),m_active,1,m_start,"&lt;"&amp;960,m_end,"&gt;"&amp;900))))))</f>
        <v/>
      </c>
      <c r="AQ33" s="78"/>
      <c r="AR33" s="79" t="s">
        <v>97</v>
      </c>
      <c r="AS33" s="82" t="str">
        <f aca="false">IF(OR(AS$4="",MONTH(($G$2+23))&lt;&gt;MONTH($C$2)),"",IF(COUNTIFS(m_teacher,AS$4,m_date,($G$2+23),m_active,1,m_start,"&lt;"&amp;960,m_end,"&gt;"&amp;900)=0,"",IF(COUNTIFS(m_teacher,AS$4,m_date,($G$2+23),m_active,1,m_start,"&lt;"&amp;960,m_end,"&gt;"&amp;900)&gt;1,"충돌",HYPERLINK("#'관리자_MASTER'!D"&amp;_xlfn.MAXIFS(m_row,m_teacher,AS$4,m_date,($G$2+23),m_active,1,m_start,"&lt;"&amp;960,m_end,"&gt;"&amp;900),INDEX(m_label,_xlfn.MAXIFS(m_row,m_teacher,AS$4,m_date,($G$2+23),m_active,1,m_start,"&lt;"&amp;960,m_end,"&gt;"&amp;900))))))</f>
        <v/>
      </c>
      <c r="AT33" s="82" t="str">
        <f aca="false">IF(OR(AT$4="",MONTH(($G$2+23))&lt;&gt;MONTH($C$2)),"",IF(COUNTIFS(m_teacher,AT$4,m_date,($G$2+23),m_active,1,m_start,"&lt;"&amp;960,m_end,"&gt;"&amp;900)=0,"",IF(COUNTIFS(m_teacher,AT$4,m_date,($G$2+23),m_active,1,m_start,"&lt;"&amp;960,m_end,"&gt;"&amp;900)&gt;1,"충돌",HYPERLINK("#'관리자_MASTER'!D"&amp;_xlfn.MAXIFS(m_row,m_teacher,AT$4,m_date,($G$2+23),m_active,1,m_start,"&lt;"&amp;960,m_end,"&gt;"&amp;900),INDEX(m_label,_xlfn.MAXIFS(m_row,m_teacher,AT$4,m_date,($G$2+23),m_active,1,m_start,"&lt;"&amp;960,m_end,"&gt;"&amp;900))))))</f>
        <v/>
      </c>
      <c r="AU33" s="82" t="str">
        <f aca="false">IF(OR(AU$4="",MONTH(($G$2+23))&lt;&gt;MONTH($C$2)),"",IF(COUNTIFS(m_teacher,AU$4,m_date,($G$2+23),m_active,1,m_start,"&lt;"&amp;960,m_end,"&gt;"&amp;900)=0,"",IF(COUNTIFS(m_teacher,AU$4,m_date,($G$2+23),m_active,1,m_start,"&lt;"&amp;960,m_end,"&gt;"&amp;900)&gt;1,"충돌",HYPERLINK("#'관리자_MASTER'!D"&amp;_xlfn.MAXIFS(m_row,m_teacher,AU$4,m_date,($G$2+23),m_active,1,m_start,"&lt;"&amp;960,m_end,"&gt;"&amp;900),INDEX(m_label,_xlfn.MAXIFS(m_row,m_teacher,AU$4,m_date,($G$2+23),m_active,1,m_start,"&lt;"&amp;960,m_end,"&gt;"&amp;900))))))</f>
        <v/>
      </c>
      <c r="AV33" s="82" t="str">
        <f aca="false">IF(OR(AV$4="",MONTH(($G$2+23))&lt;&gt;MONTH($C$2)),"",IF(COUNTIFS(m_teacher,AV$4,m_date,($G$2+23),m_active,1,m_start,"&lt;"&amp;960,m_end,"&gt;"&amp;900)=0,"",IF(COUNTIFS(m_teacher,AV$4,m_date,($G$2+23),m_active,1,m_start,"&lt;"&amp;960,m_end,"&gt;"&amp;900)&gt;1,"충돌",HYPERLINK("#'관리자_MASTER'!D"&amp;_xlfn.MAXIFS(m_row,m_teacher,AV$4,m_date,($G$2+23),m_active,1,m_start,"&lt;"&amp;960,m_end,"&gt;"&amp;900),INDEX(m_label,_xlfn.MAXIFS(m_row,m_teacher,AV$4,m_date,($G$2+23),m_active,1,m_start,"&lt;"&amp;960,m_end,"&gt;"&amp;900))))))</f>
        <v/>
      </c>
      <c r="AW33" s="82" t="str">
        <f aca="false">IF(OR(AW$4="",MONTH(($G$2+23))&lt;&gt;MONTH($C$2)),"",IF(COUNTIFS(m_teacher,AW$4,m_date,($G$2+23),m_active,1,m_start,"&lt;"&amp;960,m_end,"&gt;"&amp;900)=0,"",IF(COUNTIFS(m_teacher,AW$4,m_date,($G$2+23),m_active,1,m_start,"&lt;"&amp;960,m_end,"&gt;"&amp;900)&gt;1,"충돌",HYPERLINK("#'관리자_MASTER'!D"&amp;_xlfn.MAXIFS(m_row,m_teacher,AW$4,m_date,($G$2+23),m_active,1,m_start,"&lt;"&amp;960,m_end,"&gt;"&amp;900),INDEX(m_label,_xlfn.MAXIFS(m_row,m_teacher,AW$4,m_date,($G$2+23),m_active,1,m_start,"&lt;"&amp;960,m_end,"&gt;"&amp;900))))))</f>
        <v/>
      </c>
      <c r="AX33" s="82" t="str">
        <f aca="false">IF(OR(AX$4="",MONTH(($G$2+23))&lt;&gt;MONTH($C$2)),"",IF(COUNTIFS(m_teacher,AX$4,m_date,($G$2+23),m_active,1,m_start,"&lt;"&amp;960,m_end,"&gt;"&amp;900)=0,"",IF(COUNTIFS(m_teacher,AX$4,m_date,($G$2+23),m_active,1,m_start,"&lt;"&amp;960,m_end,"&gt;"&amp;900)&gt;1,"충돌",HYPERLINK("#'관리자_MASTER'!D"&amp;_xlfn.MAXIFS(m_row,m_teacher,AX$4,m_date,($G$2+23),m_active,1,m_start,"&lt;"&amp;960,m_end,"&gt;"&amp;900),INDEX(m_label,_xlfn.MAXIFS(m_row,m_teacher,AX$4,m_date,($G$2+23),m_active,1,m_start,"&lt;"&amp;960,m_end,"&gt;"&amp;900))))))</f>
        <v/>
      </c>
      <c r="AY33" s="82" t="str">
        <f aca="false">IF(OR(AY$4="",MONTH(($G$2+23))&lt;&gt;MONTH($C$2)),"",IF(COUNTIFS(m_teacher,AY$4,m_date,($G$2+23),m_active,1,m_start,"&lt;"&amp;960,m_end,"&gt;"&amp;900)=0,"",IF(COUNTIFS(m_teacher,AY$4,m_date,($G$2+23),m_active,1,m_start,"&lt;"&amp;960,m_end,"&gt;"&amp;900)&gt;1,"충돌",HYPERLINK("#'관리자_MASTER'!D"&amp;_xlfn.MAXIFS(m_row,m_teacher,AY$4,m_date,($G$2+23),m_active,1,m_start,"&lt;"&amp;960,m_end,"&gt;"&amp;900),INDEX(m_label,_xlfn.MAXIFS(m_row,m_teacher,AY$4,m_date,($G$2+23),m_active,1,m_start,"&lt;"&amp;960,m_end,"&gt;"&amp;900))))))</f>
        <v/>
      </c>
      <c r="AZ33" s="82" t="str">
        <f aca="false">IF(OR(AZ$4="",MONTH(($G$2+23))&lt;&gt;MONTH($C$2)),"",IF(COUNTIFS(m_teacher,AZ$4,m_date,($G$2+23),m_active,1,m_start,"&lt;"&amp;960,m_end,"&gt;"&amp;900)=0,"",IF(COUNTIFS(m_teacher,AZ$4,m_date,($G$2+23),m_active,1,m_start,"&lt;"&amp;960,m_end,"&gt;"&amp;900)&gt;1,"충돌",HYPERLINK("#'관리자_MASTER'!D"&amp;_xlfn.MAXIFS(m_row,m_teacher,AZ$4,m_date,($G$2+23),m_active,1,m_start,"&lt;"&amp;960,m_end,"&gt;"&amp;900),INDEX(m_label,_xlfn.MAXIFS(m_row,m_teacher,AZ$4,m_date,($G$2+23),m_active,1,m_start,"&lt;"&amp;960,m_end,"&gt;"&amp;900))))))</f>
        <v/>
      </c>
      <c r="BA33" s="82" t="str">
        <f aca="false">IF(OR(BA$4="",MONTH(($G$2+23))&lt;&gt;MONTH($C$2)),"",IF(COUNTIFS(m_teacher,BA$4,m_date,($G$2+23),m_active,1,m_start,"&lt;"&amp;960,m_end,"&gt;"&amp;900)=0,"",IF(COUNTIFS(m_teacher,BA$4,m_date,($G$2+23),m_active,1,m_start,"&lt;"&amp;960,m_end,"&gt;"&amp;900)&gt;1,"충돌",HYPERLINK("#'관리자_MASTER'!D"&amp;_xlfn.MAXIFS(m_row,m_teacher,BA$4,m_date,($G$2+23),m_active,1,m_start,"&lt;"&amp;960,m_end,"&gt;"&amp;900),INDEX(m_label,_xlfn.MAXIFS(m_row,m_teacher,BA$4,m_date,($G$2+23),m_active,1,m_start,"&lt;"&amp;960,m_end,"&gt;"&amp;900))))))</f>
        <v/>
      </c>
      <c r="BB33" s="82" t="str">
        <f aca="false">IF(OR(BB$4="",MONTH(($G$2+23))&lt;&gt;MONTH($C$2)),"",IF(COUNTIFS(m_teacher,BB$4,m_date,($G$2+23),m_active,1,m_start,"&lt;"&amp;960,m_end,"&gt;"&amp;900)=0,"",IF(COUNTIFS(m_teacher,BB$4,m_date,($G$2+23),m_active,1,m_start,"&lt;"&amp;960,m_end,"&gt;"&amp;900)&gt;1,"충돌",HYPERLINK("#'관리자_MASTER'!D"&amp;_xlfn.MAXIFS(m_row,m_teacher,BB$4,m_date,($G$2+23),m_active,1,m_start,"&lt;"&amp;960,m_end,"&gt;"&amp;900),INDEX(m_label,_xlfn.MAXIFS(m_row,m_teacher,BB$4,m_date,($G$2+23),m_active,1,m_start,"&lt;"&amp;960,m_end,"&gt;"&amp;900))))))</f>
        <v/>
      </c>
      <c r="BC33" s="82" t="str">
        <f aca="false">IF(OR(BC$4="",MONTH(($G$2+23))&lt;&gt;MONTH($C$2)),"",IF(COUNTIFS(m_teacher,BC$4,m_date,($G$2+23),m_active,1,m_start,"&lt;"&amp;960,m_end,"&gt;"&amp;900)=0,"",IF(COUNTIFS(m_teacher,BC$4,m_date,($G$2+23),m_active,1,m_start,"&lt;"&amp;960,m_end,"&gt;"&amp;900)&gt;1,"충돌",HYPERLINK("#'관리자_MASTER'!D"&amp;_xlfn.MAXIFS(m_row,m_teacher,BC$4,m_date,($G$2+23),m_active,1,m_start,"&lt;"&amp;960,m_end,"&gt;"&amp;900),INDEX(m_label,_xlfn.MAXIFS(m_row,m_teacher,BC$4,m_date,($G$2+23),m_active,1,m_start,"&lt;"&amp;960,m_end,"&gt;"&amp;900))))))</f>
        <v/>
      </c>
      <c r="BD33" s="82" t="str">
        <f aca="false">IF(OR(BD$4="",MONTH(($G$2+23))&lt;&gt;MONTH($C$2)),"",IF(COUNTIFS(m_teacher,BD$4,m_date,($G$2+23),m_active,1,m_start,"&lt;"&amp;960,m_end,"&gt;"&amp;900)=0,"",IF(COUNTIFS(m_teacher,BD$4,m_date,($G$2+23),m_active,1,m_start,"&lt;"&amp;960,m_end,"&gt;"&amp;900)&gt;1,"충돌",HYPERLINK("#'관리자_MASTER'!D"&amp;_xlfn.MAXIFS(m_row,m_teacher,BD$4,m_date,($G$2+23),m_active,1,m_start,"&lt;"&amp;960,m_end,"&gt;"&amp;900),INDEX(m_label,_xlfn.MAXIFS(m_row,m_teacher,BD$4,m_date,($G$2+23),m_active,1,m_start,"&lt;"&amp;960,m_end,"&gt;"&amp;900))))))</f>
        <v/>
      </c>
    </row>
    <row r="34" customFormat="false" ht="19.5" hidden="false" customHeight="true" outlineLevel="0" collapsed="false">
      <c r="A34" s="78"/>
      <c r="B34" s="79" t="s">
        <v>98</v>
      </c>
      <c r="C34" s="82" t="str">
        <f aca="false">IF(OR(C$4="",MONTH(($G$2+2))&lt;&gt;MONTH($C$2)),"",IF(COUNTIFS(m_teacher,C$4,m_date,($G$2+2),m_active,1,m_start,"&lt;"&amp;1020,m_end,"&gt;"&amp;960)=0,"",IF(COUNTIFS(m_teacher,C$4,m_date,($G$2+2),m_active,1,m_start,"&lt;"&amp;1020,m_end,"&gt;"&amp;960)&gt;1,"충돌",HYPERLINK("#'관리자_MASTER'!D"&amp;_xlfn.MAXIFS(m_row,m_teacher,C$4,m_date,($G$2+2),m_active,1,m_start,"&lt;"&amp;1020,m_end,"&gt;"&amp;960),INDEX(m_label,_xlfn.MAXIFS(m_row,m_teacher,C$4,m_date,($G$2+2),m_active,1,m_start,"&lt;"&amp;1020,m_end,"&gt;"&amp;960))))))</f>
        <v/>
      </c>
      <c r="D34" s="82" t="str">
        <f aca="false">IF(OR(D$4="",MONTH(($G$2+2))&lt;&gt;MONTH($C$2)),"",IF(COUNTIFS(m_teacher,D$4,m_date,($G$2+2),m_active,1,m_start,"&lt;"&amp;1020,m_end,"&gt;"&amp;960)=0,"",IF(COUNTIFS(m_teacher,D$4,m_date,($G$2+2),m_active,1,m_start,"&lt;"&amp;1020,m_end,"&gt;"&amp;960)&gt;1,"충돌",HYPERLINK("#'관리자_MASTER'!D"&amp;_xlfn.MAXIFS(m_row,m_teacher,D$4,m_date,($G$2+2),m_active,1,m_start,"&lt;"&amp;1020,m_end,"&gt;"&amp;960),INDEX(m_label,_xlfn.MAXIFS(m_row,m_teacher,D$4,m_date,($G$2+2),m_active,1,m_start,"&lt;"&amp;1020,m_end,"&gt;"&amp;960))))))</f>
        <v/>
      </c>
      <c r="E34" s="82" t="str">
        <f aca="false">IF(OR(E$4="",MONTH(($G$2+2))&lt;&gt;MONTH($C$2)),"",IF(COUNTIFS(m_teacher,E$4,m_date,($G$2+2),m_active,1,m_start,"&lt;"&amp;1020,m_end,"&gt;"&amp;960)=0,"",IF(COUNTIFS(m_teacher,E$4,m_date,($G$2+2),m_active,1,m_start,"&lt;"&amp;1020,m_end,"&gt;"&amp;960)&gt;1,"충돌",HYPERLINK("#'관리자_MASTER'!D"&amp;_xlfn.MAXIFS(m_row,m_teacher,E$4,m_date,($G$2+2),m_active,1,m_start,"&lt;"&amp;1020,m_end,"&gt;"&amp;960),INDEX(m_label,_xlfn.MAXIFS(m_row,m_teacher,E$4,m_date,($G$2+2),m_active,1,m_start,"&lt;"&amp;1020,m_end,"&gt;"&amp;960))))))</f>
        <v/>
      </c>
      <c r="F34" s="82" t="str">
        <f aca="false">IF(OR(F$4="",MONTH(($G$2+2))&lt;&gt;MONTH($C$2)),"",IF(COUNTIFS(m_teacher,F$4,m_date,($G$2+2),m_active,1,m_start,"&lt;"&amp;1020,m_end,"&gt;"&amp;960)=0,"",IF(COUNTIFS(m_teacher,F$4,m_date,($G$2+2),m_active,1,m_start,"&lt;"&amp;1020,m_end,"&gt;"&amp;960)&gt;1,"충돌",HYPERLINK("#'관리자_MASTER'!D"&amp;_xlfn.MAXIFS(m_row,m_teacher,F$4,m_date,($G$2+2),m_active,1,m_start,"&lt;"&amp;1020,m_end,"&gt;"&amp;960),INDEX(m_label,_xlfn.MAXIFS(m_row,m_teacher,F$4,m_date,($G$2+2),m_active,1,m_start,"&lt;"&amp;1020,m_end,"&gt;"&amp;960))))))</f>
        <v/>
      </c>
      <c r="G34" s="82" t="str">
        <f aca="false">IF(OR(G$4="",MONTH(($G$2+2))&lt;&gt;MONTH($C$2)),"",IF(COUNTIFS(m_teacher,G$4,m_date,($G$2+2),m_active,1,m_start,"&lt;"&amp;1020,m_end,"&gt;"&amp;960)=0,"",IF(COUNTIFS(m_teacher,G$4,m_date,($G$2+2),m_active,1,m_start,"&lt;"&amp;1020,m_end,"&gt;"&amp;960)&gt;1,"충돌",HYPERLINK("#'관리자_MASTER'!D"&amp;_xlfn.MAXIFS(m_row,m_teacher,G$4,m_date,($G$2+2),m_active,1,m_start,"&lt;"&amp;1020,m_end,"&gt;"&amp;960),INDEX(m_label,_xlfn.MAXIFS(m_row,m_teacher,G$4,m_date,($G$2+2),m_active,1,m_start,"&lt;"&amp;1020,m_end,"&gt;"&amp;960))))))</f>
        <v/>
      </c>
      <c r="H34" s="82" t="str">
        <f aca="false">IF(OR(H$4="",MONTH(($G$2+2))&lt;&gt;MONTH($C$2)),"",IF(COUNTIFS(m_teacher,H$4,m_date,($G$2+2),m_active,1,m_start,"&lt;"&amp;1020,m_end,"&gt;"&amp;960)=0,"",IF(COUNTIFS(m_teacher,H$4,m_date,($G$2+2),m_active,1,m_start,"&lt;"&amp;1020,m_end,"&gt;"&amp;960)&gt;1,"충돌",HYPERLINK("#'관리자_MASTER'!D"&amp;_xlfn.MAXIFS(m_row,m_teacher,H$4,m_date,($G$2+2),m_active,1,m_start,"&lt;"&amp;1020,m_end,"&gt;"&amp;960),INDEX(m_label,_xlfn.MAXIFS(m_row,m_teacher,H$4,m_date,($G$2+2),m_active,1,m_start,"&lt;"&amp;1020,m_end,"&gt;"&amp;960))))))</f>
        <v/>
      </c>
      <c r="I34" s="82" t="str">
        <f aca="false">IF(OR(I$4="",MONTH(($G$2+2))&lt;&gt;MONTH($C$2)),"",IF(COUNTIFS(m_teacher,I$4,m_date,($G$2+2),m_active,1,m_start,"&lt;"&amp;1020,m_end,"&gt;"&amp;960)=0,"",IF(COUNTIFS(m_teacher,I$4,m_date,($G$2+2),m_active,1,m_start,"&lt;"&amp;1020,m_end,"&gt;"&amp;960)&gt;1,"충돌",HYPERLINK("#'관리자_MASTER'!D"&amp;_xlfn.MAXIFS(m_row,m_teacher,I$4,m_date,($G$2+2),m_active,1,m_start,"&lt;"&amp;1020,m_end,"&gt;"&amp;960),INDEX(m_label,_xlfn.MAXIFS(m_row,m_teacher,I$4,m_date,($G$2+2),m_active,1,m_start,"&lt;"&amp;1020,m_end,"&gt;"&amp;960))))))</f>
        <v/>
      </c>
      <c r="J34" s="82" t="str">
        <f aca="false">IF(OR(J$4="",MONTH(($G$2+2))&lt;&gt;MONTH($C$2)),"",IF(COUNTIFS(m_teacher,J$4,m_date,($G$2+2),m_active,1,m_start,"&lt;"&amp;1020,m_end,"&gt;"&amp;960)=0,"",IF(COUNTIFS(m_teacher,J$4,m_date,($G$2+2),m_active,1,m_start,"&lt;"&amp;1020,m_end,"&gt;"&amp;960)&gt;1,"충돌",HYPERLINK("#'관리자_MASTER'!D"&amp;_xlfn.MAXIFS(m_row,m_teacher,J$4,m_date,($G$2+2),m_active,1,m_start,"&lt;"&amp;1020,m_end,"&gt;"&amp;960),INDEX(m_label,_xlfn.MAXIFS(m_row,m_teacher,J$4,m_date,($G$2+2),m_active,1,m_start,"&lt;"&amp;1020,m_end,"&gt;"&amp;960))))))</f>
        <v/>
      </c>
      <c r="K34" s="82" t="str">
        <f aca="false">IF(OR(K$4="",MONTH(($G$2+2))&lt;&gt;MONTH($C$2)),"",IF(COUNTIFS(m_teacher,K$4,m_date,($G$2+2),m_active,1,m_start,"&lt;"&amp;1020,m_end,"&gt;"&amp;960)=0,"",IF(COUNTIFS(m_teacher,K$4,m_date,($G$2+2),m_active,1,m_start,"&lt;"&amp;1020,m_end,"&gt;"&amp;960)&gt;1,"충돌",HYPERLINK("#'관리자_MASTER'!D"&amp;_xlfn.MAXIFS(m_row,m_teacher,K$4,m_date,($G$2+2),m_active,1,m_start,"&lt;"&amp;1020,m_end,"&gt;"&amp;960),INDEX(m_label,_xlfn.MAXIFS(m_row,m_teacher,K$4,m_date,($G$2+2),m_active,1,m_start,"&lt;"&amp;1020,m_end,"&gt;"&amp;960))))))</f>
        <v/>
      </c>
      <c r="L34" s="82" t="str">
        <f aca="false">IF(OR(L$4="",MONTH(($G$2+2))&lt;&gt;MONTH($C$2)),"",IF(COUNTIFS(m_teacher,L$4,m_date,($G$2+2),m_active,1,m_start,"&lt;"&amp;1020,m_end,"&gt;"&amp;960)=0,"",IF(COUNTIFS(m_teacher,L$4,m_date,($G$2+2),m_active,1,m_start,"&lt;"&amp;1020,m_end,"&gt;"&amp;960)&gt;1,"충돌",HYPERLINK("#'관리자_MASTER'!D"&amp;_xlfn.MAXIFS(m_row,m_teacher,L$4,m_date,($G$2+2),m_active,1,m_start,"&lt;"&amp;1020,m_end,"&gt;"&amp;960),INDEX(m_label,_xlfn.MAXIFS(m_row,m_teacher,L$4,m_date,($G$2+2),m_active,1,m_start,"&lt;"&amp;1020,m_end,"&gt;"&amp;960))))))</f>
        <v/>
      </c>
      <c r="M34" s="82" t="str">
        <f aca="false">IF(OR(M$4="",MONTH(($G$2+2))&lt;&gt;MONTH($C$2)),"",IF(COUNTIFS(m_teacher,M$4,m_date,($G$2+2),m_active,1,m_start,"&lt;"&amp;1020,m_end,"&gt;"&amp;960)=0,"",IF(COUNTIFS(m_teacher,M$4,m_date,($G$2+2),m_active,1,m_start,"&lt;"&amp;1020,m_end,"&gt;"&amp;960)&gt;1,"충돌",HYPERLINK("#'관리자_MASTER'!D"&amp;_xlfn.MAXIFS(m_row,m_teacher,M$4,m_date,($G$2+2),m_active,1,m_start,"&lt;"&amp;1020,m_end,"&gt;"&amp;960),INDEX(m_label,_xlfn.MAXIFS(m_row,m_teacher,M$4,m_date,($G$2+2),m_active,1,m_start,"&lt;"&amp;1020,m_end,"&gt;"&amp;960))))))</f>
        <v/>
      </c>
      <c r="N34" s="82" t="str">
        <f aca="false">IF(OR(N$4="",MONTH(($G$2+2))&lt;&gt;MONTH($C$2)),"",IF(COUNTIFS(m_teacher,N$4,m_date,($G$2+2),m_active,1,m_start,"&lt;"&amp;1020,m_end,"&gt;"&amp;960)=0,"",IF(COUNTIFS(m_teacher,N$4,m_date,($G$2+2),m_active,1,m_start,"&lt;"&amp;1020,m_end,"&gt;"&amp;960)&gt;1,"충돌",HYPERLINK("#'관리자_MASTER'!D"&amp;_xlfn.MAXIFS(m_row,m_teacher,N$4,m_date,($G$2+2),m_active,1,m_start,"&lt;"&amp;1020,m_end,"&gt;"&amp;960),INDEX(m_label,_xlfn.MAXIFS(m_row,m_teacher,N$4,m_date,($G$2+2),m_active,1,m_start,"&lt;"&amp;1020,m_end,"&gt;"&amp;960))))))</f>
        <v/>
      </c>
      <c r="O34" s="78"/>
      <c r="P34" s="79" t="s">
        <v>98</v>
      </c>
      <c r="Q34" s="82" t="str">
        <f aca="false">IF(OR(Q$4="",MONTH(($G$2+9))&lt;&gt;MONTH($C$2)),"",IF(COUNTIFS(m_teacher,Q$4,m_date,($G$2+9),m_active,1,m_start,"&lt;"&amp;1020,m_end,"&gt;"&amp;960)=0,"",IF(COUNTIFS(m_teacher,Q$4,m_date,($G$2+9),m_active,1,m_start,"&lt;"&amp;1020,m_end,"&gt;"&amp;960)&gt;1,"충돌",HYPERLINK("#'관리자_MASTER'!D"&amp;_xlfn.MAXIFS(m_row,m_teacher,Q$4,m_date,($G$2+9),m_active,1,m_start,"&lt;"&amp;1020,m_end,"&gt;"&amp;960),INDEX(m_label,_xlfn.MAXIFS(m_row,m_teacher,Q$4,m_date,($G$2+9),m_active,1,m_start,"&lt;"&amp;1020,m_end,"&gt;"&amp;960))))))</f>
        <v/>
      </c>
      <c r="R34" s="82" t="str">
        <f aca="false">IF(OR(R$4="",MONTH(($G$2+9))&lt;&gt;MONTH($C$2)),"",IF(COUNTIFS(m_teacher,R$4,m_date,($G$2+9),m_active,1,m_start,"&lt;"&amp;1020,m_end,"&gt;"&amp;960)=0,"",IF(COUNTIFS(m_teacher,R$4,m_date,($G$2+9),m_active,1,m_start,"&lt;"&amp;1020,m_end,"&gt;"&amp;960)&gt;1,"충돌",HYPERLINK("#'관리자_MASTER'!D"&amp;_xlfn.MAXIFS(m_row,m_teacher,R$4,m_date,($G$2+9),m_active,1,m_start,"&lt;"&amp;1020,m_end,"&gt;"&amp;960),INDEX(m_label,_xlfn.MAXIFS(m_row,m_teacher,R$4,m_date,($G$2+9),m_active,1,m_start,"&lt;"&amp;1020,m_end,"&gt;"&amp;960))))))</f>
        <v/>
      </c>
      <c r="S34" s="82" t="str">
        <f aca="false">IF(OR(S$4="",MONTH(($G$2+9))&lt;&gt;MONTH($C$2)),"",IF(COUNTIFS(m_teacher,S$4,m_date,($G$2+9),m_active,1,m_start,"&lt;"&amp;1020,m_end,"&gt;"&amp;960)=0,"",IF(COUNTIFS(m_teacher,S$4,m_date,($G$2+9),m_active,1,m_start,"&lt;"&amp;1020,m_end,"&gt;"&amp;960)&gt;1,"충돌",HYPERLINK("#'관리자_MASTER'!D"&amp;_xlfn.MAXIFS(m_row,m_teacher,S$4,m_date,($G$2+9),m_active,1,m_start,"&lt;"&amp;1020,m_end,"&gt;"&amp;960),INDEX(m_label,_xlfn.MAXIFS(m_row,m_teacher,S$4,m_date,($G$2+9),m_active,1,m_start,"&lt;"&amp;1020,m_end,"&gt;"&amp;960))))))</f>
        <v/>
      </c>
      <c r="T34" s="82" t="str">
        <f aca="false">IF(OR(T$4="",MONTH(($G$2+9))&lt;&gt;MONTH($C$2)),"",IF(COUNTIFS(m_teacher,T$4,m_date,($G$2+9),m_active,1,m_start,"&lt;"&amp;1020,m_end,"&gt;"&amp;960)=0,"",IF(COUNTIFS(m_teacher,T$4,m_date,($G$2+9),m_active,1,m_start,"&lt;"&amp;1020,m_end,"&gt;"&amp;960)&gt;1,"충돌",HYPERLINK("#'관리자_MASTER'!D"&amp;_xlfn.MAXIFS(m_row,m_teacher,T$4,m_date,($G$2+9),m_active,1,m_start,"&lt;"&amp;1020,m_end,"&gt;"&amp;960),INDEX(m_label,_xlfn.MAXIFS(m_row,m_teacher,T$4,m_date,($G$2+9),m_active,1,m_start,"&lt;"&amp;1020,m_end,"&gt;"&amp;960))))))</f>
        <v/>
      </c>
      <c r="U34" s="82" t="str">
        <f aca="false">IF(OR(U$4="",MONTH(($G$2+9))&lt;&gt;MONTH($C$2)),"",IF(COUNTIFS(m_teacher,U$4,m_date,($G$2+9),m_active,1,m_start,"&lt;"&amp;1020,m_end,"&gt;"&amp;960)=0,"",IF(COUNTIFS(m_teacher,U$4,m_date,($G$2+9),m_active,1,m_start,"&lt;"&amp;1020,m_end,"&gt;"&amp;960)&gt;1,"충돌",HYPERLINK("#'관리자_MASTER'!D"&amp;_xlfn.MAXIFS(m_row,m_teacher,U$4,m_date,($G$2+9),m_active,1,m_start,"&lt;"&amp;1020,m_end,"&gt;"&amp;960),INDEX(m_label,_xlfn.MAXIFS(m_row,m_teacher,U$4,m_date,($G$2+9),m_active,1,m_start,"&lt;"&amp;1020,m_end,"&gt;"&amp;960))))))</f>
        <v/>
      </c>
      <c r="V34" s="82" t="str">
        <f aca="false">IF(OR(V$4="",MONTH(($G$2+9))&lt;&gt;MONTH($C$2)),"",IF(COUNTIFS(m_teacher,V$4,m_date,($G$2+9),m_active,1,m_start,"&lt;"&amp;1020,m_end,"&gt;"&amp;960)=0,"",IF(COUNTIFS(m_teacher,V$4,m_date,($G$2+9),m_active,1,m_start,"&lt;"&amp;1020,m_end,"&gt;"&amp;960)&gt;1,"충돌",HYPERLINK("#'관리자_MASTER'!D"&amp;_xlfn.MAXIFS(m_row,m_teacher,V$4,m_date,($G$2+9),m_active,1,m_start,"&lt;"&amp;1020,m_end,"&gt;"&amp;960),INDEX(m_label,_xlfn.MAXIFS(m_row,m_teacher,V$4,m_date,($G$2+9),m_active,1,m_start,"&lt;"&amp;1020,m_end,"&gt;"&amp;960))))))</f>
        <v/>
      </c>
      <c r="W34" s="82" t="str">
        <f aca="false">IF(OR(W$4="",MONTH(($G$2+9))&lt;&gt;MONTH($C$2)),"",IF(COUNTIFS(m_teacher,W$4,m_date,($G$2+9),m_active,1,m_start,"&lt;"&amp;1020,m_end,"&gt;"&amp;960)=0,"",IF(COUNTIFS(m_teacher,W$4,m_date,($G$2+9),m_active,1,m_start,"&lt;"&amp;1020,m_end,"&gt;"&amp;960)&gt;1,"충돌",HYPERLINK("#'관리자_MASTER'!D"&amp;_xlfn.MAXIFS(m_row,m_teacher,W$4,m_date,($G$2+9),m_active,1,m_start,"&lt;"&amp;1020,m_end,"&gt;"&amp;960),INDEX(m_label,_xlfn.MAXIFS(m_row,m_teacher,W$4,m_date,($G$2+9),m_active,1,m_start,"&lt;"&amp;1020,m_end,"&gt;"&amp;960))))))</f>
        <v/>
      </c>
      <c r="X34" s="82" t="str">
        <f aca="false">IF(OR(X$4="",MONTH(($G$2+9))&lt;&gt;MONTH($C$2)),"",IF(COUNTIFS(m_teacher,X$4,m_date,($G$2+9),m_active,1,m_start,"&lt;"&amp;1020,m_end,"&gt;"&amp;960)=0,"",IF(COUNTIFS(m_teacher,X$4,m_date,($G$2+9),m_active,1,m_start,"&lt;"&amp;1020,m_end,"&gt;"&amp;960)&gt;1,"충돌",HYPERLINK("#'관리자_MASTER'!D"&amp;_xlfn.MAXIFS(m_row,m_teacher,X$4,m_date,($G$2+9),m_active,1,m_start,"&lt;"&amp;1020,m_end,"&gt;"&amp;960),INDEX(m_label,_xlfn.MAXIFS(m_row,m_teacher,X$4,m_date,($G$2+9),m_active,1,m_start,"&lt;"&amp;1020,m_end,"&gt;"&amp;960))))))</f>
        <v/>
      </c>
      <c r="Y34" s="82" t="str">
        <f aca="false">IF(OR(Y$4="",MONTH(($G$2+9))&lt;&gt;MONTH($C$2)),"",IF(COUNTIFS(m_teacher,Y$4,m_date,($G$2+9),m_active,1,m_start,"&lt;"&amp;1020,m_end,"&gt;"&amp;960)=0,"",IF(COUNTIFS(m_teacher,Y$4,m_date,($G$2+9),m_active,1,m_start,"&lt;"&amp;1020,m_end,"&gt;"&amp;960)&gt;1,"충돌",HYPERLINK("#'관리자_MASTER'!D"&amp;_xlfn.MAXIFS(m_row,m_teacher,Y$4,m_date,($G$2+9),m_active,1,m_start,"&lt;"&amp;1020,m_end,"&gt;"&amp;960),INDEX(m_label,_xlfn.MAXIFS(m_row,m_teacher,Y$4,m_date,($G$2+9),m_active,1,m_start,"&lt;"&amp;1020,m_end,"&gt;"&amp;960))))))</f>
        <v/>
      </c>
      <c r="Z34" s="82" t="str">
        <f aca="false">IF(OR(Z$4="",MONTH(($G$2+9))&lt;&gt;MONTH($C$2)),"",IF(COUNTIFS(m_teacher,Z$4,m_date,($G$2+9),m_active,1,m_start,"&lt;"&amp;1020,m_end,"&gt;"&amp;960)=0,"",IF(COUNTIFS(m_teacher,Z$4,m_date,($G$2+9),m_active,1,m_start,"&lt;"&amp;1020,m_end,"&gt;"&amp;960)&gt;1,"충돌",HYPERLINK("#'관리자_MASTER'!D"&amp;_xlfn.MAXIFS(m_row,m_teacher,Z$4,m_date,($G$2+9),m_active,1,m_start,"&lt;"&amp;1020,m_end,"&gt;"&amp;960),INDEX(m_label,_xlfn.MAXIFS(m_row,m_teacher,Z$4,m_date,($G$2+9),m_active,1,m_start,"&lt;"&amp;1020,m_end,"&gt;"&amp;960))))))</f>
        <v/>
      </c>
      <c r="AA34" s="82" t="str">
        <f aca="false">IF(OR(AA$4="",MONTH(($G$2+9))&lt;&gt;MONTH($C$2)),"",IF(COUNTIFS(m_teacher,AA$4,m_date,($G$2+9),m_active,1,m_start,"&lt;"&amp;1020,m_end,"&gt;"&amp;960)=0,"",IF(COUNTIFS(m_teacher,AA$4,m_date,($G$2+9),m_active,1,m_start,"&lt;"&amp;1020,m_end,"&gt;"&amp;960)&gt;1,"충돌",HYPERLINK("#'관리자_MASTER'!D"&amp;_xlfn.MAXIFS(m_row,m_teacher,AA$4,m_date,($G$2+9),m_active,1,m_start,"&lt;"&amp;1020,m_end,"&gt;"&amp;960),INDEX(m_label,_xlfn.MAXIFS(m_row,m_teacher,AA$4,m_date,($G$2+9),m_active,1,m_start,"&lt;"&amp;1020,m_end,"&gt;"&amp;960))))))</f>
        <v/>
      </c>
      <c r="AB34" s="82" t="str">
        <f aca="false">IF(OR(AB$4="",MONTH(($G$2+9))&lt;&gt;MONTH($C$2)),"",IF(COUNTIFS(m_teacher,AB$4,m_date,($G$2+9),m_active,1,m_start,"&lt;"&amp;1020,m_end,"&gt;"&amp;960)=0,"",IF(COUNTIFS(m_teacher,AB$4,m_date,($G$2+9),m_active,1,m_start,"&lt;"&amp;1020,m_end,"&gt;"&amp;960)&gt;1,"충돌",HYPERLINK("#'관리자_MASTER'!D"&amp;_xlfn.MAXIFS(m_row,m_teacher,AB$4,m_date,($G$2+9),m_active,1,m_start,"&lt;"&amp;1020,m_end,"&gt;"&amp;960),INDEX(m_label,_xlfn.MAXIFS(m_row,m_teacher,AB$4,m_date,($G$2+9),m_active,1,m_start,"&lt;"&amp;1020,m_end,"&gt;"&amp;960))))))</f>
        <v/>
      </c>
      <c r="AC34" s="78"/>
      <c r="AD34" s="79" t="s">
        <v>98</v>
      </c>
      <c r="AE34" s="82" t="str">
        <f aca="false">IF(OR(AE$4="",MONTH(($G$2+16))&lt;&gt;MONTH($C$2)),"",IF(COUNTIFS(m_teacher,AE$4,m_date,($G$2+16),m_active,1,m_start,"&lt;"&amp;1020,m_end,"&gt;"&amp;960)=0,"",IF(COUNTIFS(m_teacher,AE$4,m_date,($G$2+16),m_active,1,m_start,"&lt;"&amp;1020,m_end,"&gt;"&amp;960)&gt;1,"충돌",HYPERLINK("#'관리자_MASTER'!D"&amp;_xlfn.MAXIFS(m_row,m_teacher,AE$4,m_date,($G$2+16),m_active,1,m_start,"&lt;"&amp;1020,m_end,"&gt;"&amp;960),INDEX(m_label,_xlfn.MAXIFS(m_row,m_teacher,AE$4,m_date,($G$2+16),m_active,1,m_start,"&lt;"&amp;1020,m_end,"&gt;"&amp;960))))))</f>
        <v/>
      </c>
      <c r="AF34" s="82" t="str">
        <f aca="false">IF(OR(AF$4="",MONTH(($G$2+16))&lt;&gt;MONTH($C$2)),"",IF(COUNTIFS(m_teacher,AF$4,m_date,($G$2+16),m_active,1,m_start,"&lt;"&amp;1020,m_end,"&gt;"&amp;960)=0,"",IF(COUNTIFS(m_teacher,AF$4,m_date,($G$2+16),m_active,1,m_start,"&lt;"&amp;1020,m_end,"&gt;"&amp;960)&gt;1,"충돌",HYPERLINK("#'관리자_MASTER'!D"&amp;_xlfn.MAXIFS(m_row,m_teacher,AF$4,m_date,($G$2+16),m_active,1,m_start,"&lt;"&amp;1020,m_end,"&gt;"&amp;960),INDEX(m_label,_xlfn.MAXIFS(m_row,m_teacher,AF$4,m_date,($G$2+16),m_active,1,m_start,"&lt;"&amp;1020,m_end,"&gt;"&amp;960))))))</f>
        <v/>
      </c>
      <c r="AG34" s="82" t="str">
        <f aca="false">IF(OR(AG$4="",MONTH(($G$2+16))&lt;&gt;MONTH($C$2)),"",IF(COUNTIFS(m_teacher,AG$4,m_date,($G$2+16),m_active,1,m_start,"&lt;"&amp;1020,m_end,"&gt;"&amp;960)=0,"",IF(COUNTIFS(m_teacher,AG$4,m_date,($G$2+16),m_active,1,m_start,"&lt;"&amp;1020,m_end,"&gt;"&amp;960)&gt;1,"충돌",HYPERLINK("#'관리자_MASTER'!D"&amp;_xlfn.MAXIFS(m_row,m_teacher,AG$4,m_date,($G$2+16),m_active,1,m_start,"&lt;"&amp;1020,m_end,"&gt;"&amp;960),INDEX(m_label,_xlfn.MAXIFS(m_row,m_teacher,AG$4,m_date,($G$2+16),m_active,1,m_start,"&lt;"&amp;1020,m_end,"&gt;"&amp;960))))))</f>
        <v/>
      </c>
      <c r="AH34" s="82" t="str">
        <f aca="false">IF(OR(AH$4="",MONTH(($G$2+16))&lt;&gt;MONTH($C$2)),"",IF(COUNTIFS(m_teacher,AH$4,m_date,($G$2+16),m_active,1,m_start,"&lt;"&amp;1020,m_end,"&gt;"&amp;960)=0,"",IF(COUNTIFS(m_teacher,AH$4,m_date,($G$2+16),m_active,1,m_start,"&lt;"&amp;1020,m_end,"&gt;"&amp;960)&gt;1,"충돌",HYPERLINK("#'관리자_MASTER'!D"&amp;_xlfn.MAXIFS(m_row,m_teacher,AH$4,m_date,($G$2+16),m_active,1,m_start,"&lt;"&amp;1020,m_end,"&gt;"&amp;960),INDEX(m_label,_xlfn.MAXIFS(m_row,m_teacher,AH$4,m_date,($G$2+16),m_active,1,m_start,"&lt;"&amp;1020,m_end,"&gt;"&amp;960))))))</f>
        <v/>
      </c>
      <c r="AI34" s="82" t="str">
        <f aca="false">IF(OR(AI$4="",MONTH(($G$2+16))&lt;&gt;MONTH($C$2)),"",IF(COUNTIFS(m_teacher,AI$4,m_date,($G$2+16),m_active,1,m_start,"&lt;"&amp;1020,m_end,"&gt;"&amp;960)=0,"",IF(COUNTIFS(m_teacher,AI$4,m_date,($G$2+16),m_active,1,m_start,"&lt;"&amp;1020,m_end,"&gt;"&amp;960)&gt;1,"충돌",HYPERLINK("#'관리자_MASTER'!D"&amp;_xlfn.MAXIFS(m_row,m_teacher,AI$4,m_date,($G$2+16),m_active,1,m_start,"&lt;"&amp;1020,m_end,"&gt;"&amp;960),INDEX(m_label,_xlfn.MAXIFS(m_row,m_teacher,AI$4,m_date,($G$2+16),m_active,1,m_start,"&lt;"&amp;1020,m_end,"&gt;"&amp;960))))))</f>
        <v/>
      </c>
      <c r="AJ34" s="82" t="str">
        <f aca="false">IF(OR(AJ$4="",MONTH(($G$2+16))&lt;&gt;MONTH($C$2)),"",IF(COUNTIFS(m_teacher,AJ$4,m_date,($G$2+16),m_active,1,m_start,"&lt;"&amp;1020,m_end,"&gt;"&amp;960)=0,"",IF(COUNTIFS(m_teacher,AJ$4,m_date,($G$2+16),m_active,1,m_start,"&lt;"&amp;1020,m_end,"&gt;"&amp;960)&gt;1,"충돌",HYPERLINK("#'관리자_MASTER'!D"&amp;_xlfn.MAXIFS(m_row,m_teacher,AJ$4,m_date,($G$2+16),m_active,1,m_start,"&lt;"&amp;1020,m_end,"&gt;"&amp;960),INDEX(m_label,_xlfn.MAXIFS(m_row,m_teacher,AJ$4,m_date,($G$2+16),m_active,1,m_start,"&lt;"&amp;1020,m_end,"&gt;"&amp;960))))))</f>
        <v/>
      </c>
      <c r="AK34" s="82" t="str">
        <f aca="false">IF(OR(AK$4="",MONTH(($G$2+16))&lt;&gt;MONTH($C$2)),"",IF(COUNTIFS(m_teacher,AK$4,m_date,($G$2+16),m_active,1,m_start,"&lt;"&amp;1020,m_end,"&gt;"&amp;960)=0,"",IF(COUNTIFS(m_teacher,AK$4,m_date,($G$2+16),m_active,1,m_start,"&lt;"&amp;1020,m_end,"&gt;"&amp;960)&gt;1,"충돌",HYPERLINK("#'관리자_MASTER'!D"&amp;_xlfn.MAXIFS(m_row,m_teacher,AK$4,m_date,($G$2+16),m_active,1,m_start,"&lt;"&amp;1020,m_end,"&gt;"&amp;960),INDEX(m_label,_xlfn.MAXIFS(m_row,m_teacher,AK$4,m_date,($G$2+16),m_active,1,m_start,"&lt;"&amp;1020,m_end,"&gt;"&amp;960))))))</f>
        <v/>
      </c>
      <c r="AL34" s="82" t="str">
        <f aca="false">IF(OR(AL$4="",MONTH(($G$2+16))&lt;&gt;MONTH($C$2)),"",IF(COUNTIFS(m_teacher,AL$4,m_date,($G$2+16),m_active,1,m_start,"&lt;"&amp;1020,m_end,"&gt;"&amp;960)=0,"",IF(COUNTIFS(m_teacher,AL$4,m_date,($G$2+16),m_active,1,m_start,"&lt;"&amp;1020,m_end,"&gt;"&amp;960)&gt;1,"충돌",HYPERLINK("#'관리자_MASTER'!D"&amp;_xlfn.MAXIFS(m_row,m_teacher,AL$4,m_date,($G$2+16),m_active,1,m_start,"&lt;"&amp;1020,m_end,"&gt;"&amp;960),INDEX(m_label,_xlfn.MAXIFS(m_row,m_teacher,AL$4,m_date,($G$2+16),m_active,1,m_start,"&lt;"&amp;1020,m_end,"&gt;"&amp;960))))))</f>
        <v/>
      </c>
      <c r="AM34" s="82" t="str">
        <f aca="false">IF(OR(AM$4="",MONTH(($G$2+16))&lt;&gt;MONTH($C$2)),"",IF(COUNTIFS(m_teacher,AM$4,m_date,($G$2+16),m_active,1,m_start,"&lt;"&amp;1020,m_end,"&gt;"&amp;960)=0,"",IF(COUNTIFS(m_teacher,AM$4,m_date,($G$2+16),m_active,1,m_start,"&lt;"&amp;1020,m_end,"&gt;"&amp;960)&gt;1,"충돌",HYPERLINK("#'관리자_MASTER'!D"&amp;_xlfn.MAXIFS(m_row,m_teacher,AM$4,m_date,($G$2+16),m_active,1,m_start,"&lt;"&amp;1020,m_end,"&gt;"&amp;960),INDEX(m_label,_xlfn.MAXIFS(m_row,m_teacher,AM$4,m_date,($G$2+16),m_active,1,m_start,"&lt;"&amp;1020,m_end,"&gt;"&amp;960))))))</f>
        <v/>
      </c>
      <c r="AN34" s="82" t="str">
        <f aca="false">IF(OR(AN$4="",MONTH(($G$2+16))&lt;&gt;MONTH($C$2)),"",IF(COUNTIFS(m_teacher,AN$4,m_date,($G$2+16),m_active,1,m_start,"&lt;"&amp;1020,m_end,"&gt;"&amp;960)=0,"",IF(COUNTIFS(m_teacher,AN$4,m_date,($G$2+16),m_active,1,m_start,"&lt;"&amp;1020,m_end,"&gt;"&amp;960)&gt;1,"충돌",HYPERLINK("#'관리자_MASTER'!D"&amp;_xlfn.MAXIFS(m_row,m_teacher,AN$4,m_date,($G$2+16),m_active,1,m_start,"&lt;"&amp;1020,m_end,"&gt;"&amp;960),INDEX(m_label,_xlfn.MAXIFS(m_row,m_teacher,AN$4,m_date,($G$2+16),m_active,1,m_start,"&lt;"&amp;1020,m_end,"&gt;"&amp;960))))))</f>
        <v/>
      </c>
      <c r="AO34" s="82" t="str">
        <f aca="false">IF(OR(AO$4="",MONTH(($G$2+16))&lt;&gt;MONTH($C$2)),"",IF(COUNTIFS(m_teacher,AO$4,m_date,($G$2+16),m_active,1,m_start,"&lt;"&amp;1020,m_end,"&gt;"&amp;960)=0,"",IF(COUNTIFS(m_teacher,AO$4,m_date,($G$2+16),m_active,1,m_start,"&lt;"&amp;1020,m_end,"&gt;"&amp;960)&gt;1,"충돌",HYPERLINK("#'관리자_MASTER'!D"&amp;_xlfn.MAXIFS(m_row,m_teacher,AO$4,m_date,($G$2+16),m_active,1,m_start,"&lt;"&amp;1020,m_end,"&gt;"&amp;960),INDEX(m_label,_xlfn.MAXIFS(m_row,m_teacher,AO$4,m_date,($G$2+16),m_active,1,m_start,"&lt;"&amp;1020,m_end,"&gt;"&amp;960))))))</f>
        <v/>
      </c>
      <c r="AP34" s="82" t="str">
        <f aca="false">IF(OR(AP$4="",MONTH(($G$2+16))&lt;&gt;MONTH($C$2)),"",IF(COUNTIFS(m_teacher,AP$4,m_date,($G$2+16),m_active,1,m_start,"&lt;"&amp;1020,m_end,"&gt;"&amp;960)=0,"",IF(COUNTIFS(m_teacher,AP$4,m_date,($G$2+16),m_active,1,m_start,"&lt;"&amp;1020,m_end,"&gt;"&amp;960)&gt;1,"충돌",HYPERLINK("#'관리자_MASTER'!D"&amp;_xlfn.MAXIFS(m_row,m_teacher,AP$4,m_date,($G$2+16),m_active,1,m_start,"&lt;"&amp;1020,m_end,"&gt;"&amp;960),INDEX(m_label,_xlfn.MAXIFS(m_row,m_teacher,AP$4,m_date,($G$2+16),m_active,1,m_start,"&lt;"&amp;1020,m_end,"&gt;"&amp;960))))))</f>
        <v/>
      </c>
      <c r="AQ34" s="78"/>
      <c r="AR34" s="79" t="s">
        <v>98</v>
      </c>
      <c r="AS34" s="82" t="str">
        <f aca="false">IF(OR(AS$4="",MONTH(($G$2+23))&lt;&gt;MONTH($C$2)),"",IF(COUNTIFS(m_teacher,AS$4,m_date,($G$2+23),m_active,1,m_start,"&lt;"&amp;1020,m_end,"&gt;"&amp;960)=0,"",IF(COUNTIFS(m_teacher,AS$4,m_date,($G$2+23),m_active,1,m_start,"&lt;"&amp;1020,m_end,"&gt;"&amp;960)&gt;1,"충돌",HYPERLINK("#'관리자_MASTER'!D"&amp;_xlfn.MAXIFS(m_row,m_teacher,AS$4,m_date,($G$2+23),m_active,1,m_start,"&lt;"&amp;1020,m_end,"&gt;"&amp;960),INDEX(m_label,_xlfn.MAXIFS(m_row,m_teacher,AS$4,m_date,($G$2+23),m_active,1,m_start,"&lt;"&amp;1020,m_end,"&gt;"&amp;960))))))</f>
        <v/>
      </c>
      <c r="AT34" s="82" t="str">
        <f aca="false">IF(OR(AT$4="",MONTH(($G$2+23))&lt;&gt;MONTH($C$2)),"",IF(COUNTIFS(m_teacher,AT$4,m_date,($G$2+23),m_active,1,m_start,"&lt;"&amp;1020,m_end,"&gt;"&amp;960)=0,"",IF(COUNTIFS(m_teacher,AT$4,m_date,($G$2+23),m_active,1,m_start,"&lt;"&amp;1020,m_end,"&gt;"&amp;960)&gt;1,"충돌",HYPERLINK("#'관리자_MASTER'!D"&amp;_xlfn.MAXIFS(m_row,m_teacher,AT$4,m_date,($G$2+23),m_active,1,m_start,"&lt;"&amp;1020,m_end,"&gt;"&amp;960),INDEX(m_label,_xlfn.MAXIFS(m_row,m_teacher,AT$4,m_date,($G$2+23),m_active,1,m_start,"&lt;"&amp;1020,m_end,"&gt;"&amp;960))))))</f>
        <v/>
      </c>
      <c r="AU34" s="82" t="str">
        <f aca="false">IF(OR(AU$4="",MONTH(($G$2+23))&lt;&gt;MONTH($C$2)),"",IF(COUNTIFS(m_teacher,AU$4,m_date,($G$2+23),m_active,1,m_start,"&lt;"&amp;1020,m_end,"&gt;"&amp;960)=0,"",IF(COUNTIFS(m_teacher,AU$4,m_date,($G$2+23),m_active,1,m_start,"&lt;"&amp;1020,m_end,"&gt;"&amp;960)&gt;1,"충돌",HYPERLINK("#'관리자_MASTER'!D"&amp;_xlfn.MAXIFS(m_row,m_teacher,AU$4,m_date,($G$2+23),m_active,1,m_start,"&lt;"&amp;1020,m_end,"&gt;"&amp;960),INDEX(m_label,_xlfn.MAXIFS(m_row,m_teacher,AU$4,m_date,($G$2+23),m_active,1,m_start,"&lt;"&amp;1020,m_end,"&gt;"&amp;960))))))</f>
        <v/>
      </c>
      <c r="AV34" s="82" t="str">
        <f aca="false">IF(OR(AV$4="",MONTH(($G$2+23))&lt;&gt;MONTH($C$2)),"",IF(COUNTIFS(m_teacher,AV$4,m_date,($G$2+23),m_active,1,m_start,"&lt;"&amp;1020,m_end,"&gt;"&amp;960)=0,"",IF(COUNTIFS(m_teacher,AV$4,m_date,($G$2+23),m_active,1,m_start,"&lt;"&amp;1020,m_end,"&gt;"&amp;960)&gt;1,"충돌",HYPERLINK("#'관리자_MASTER'!D"&amp;_xlfn.MAXIFS(m_row,m_teacher,AV$4,m_date,($G$2+23),m_active,1,m_start,"&lt;"&amp;1020,m_end,"&gt;"&amp;960),INDEX(m_label,_xlfn.MAXIFS(m_row,m_teacher,AV$4,m_date,($G$2+23),m_active,1,m_start,"&lt;"&amp;1020,m_end,"&gt;"&amp;960))))))</f>
        <v/>
      </c>
      <c r="AW34" s="82" t="str">
        <f aca="false">IF(OR(AW$4="",MONTH(($G$2+23))&lt;&gt;MONTH($C$2)),"",IF(COUNTIFS(m_teacher,AW$4,m_date,($G$2+23),m_active,1,m_start,"&lt;"&amp;1020,m_end,"&gt;"&amp;960)=0,"",IF(COUNTIFS(m_teacher,AW$4,m_date,($G$2+23),m_active,1,m_start,"&lt;"&amp;1020,m_end,"&gt;"&amp;960)&gt;1,"충돌",HYPERLINK("#'관리자_MASTER'!D"&amp;_xlfn.MAXIFS(m_row,m_teacher,AW$4,m_date,($G$2+23),m_active,1,m_start,"&lt;"&amp;1020,m_end,"&gt;"&amp;960),INDEX(m_label,_xlfn.MAXIFS(m_row,m_teacher,AW$4,m_date,($G$2+23),m_active,1,m_start,"&lt;"&amp;1020,m_end,"&gt;"&amp;960))))))</f>
        <v/>
      </c>
      <c r="AX34" s="82" t="str">
        <f aca="false">IF(OR(AX$4="",MONTH(($G$2+23))&lt;&gt;MONTH($C$2)),"",IF(COUNTIFS(m_teacher,AX$4,m_date,($G$2+23),m_active,1,m_start,"&lt;"&amp;1020,m_end,"&gt;"&amp;960)=0,"",IF(COUNTIFS(m_teacher,AX$4,m_date,($G$2+23),m_active,1,m_start,"&lt;"&amp;1020,m_end,"&gt;"&amp;960)&gt;1,"충돌",HYPERLINK("#'관리자_MASTER'!D"&amp;_xlfn.MAXIFS(m_row,m_teacher,AX$4,m_date,($G$2+23),m_active,1,m_start,"&lt;"&amp;1020,m_end,"&gt;"&amp;960),INDEX(m_label,_xlfn.MAXIFS(m_row,m_teacher,AX$4,m_date,($G$2+23),m_active,1,m_start,"&lt;"&amp;1020,m_end,"&gt;"&amp;960))))))</f>
        <v/>
      </c>
      <c r="AY34" s="82" t="str">
        <f aca="false">IF(OR(AY$4="",MONTH(($G$2+23))&lt;&gt;MONTH($C$2)),"",IF(COUNTIFS(m_teacher,AY$4,m_date,($G$2+23),m_active,1,m_start,"&lt;"&amp;1020,m_end,"&gt;"&amp;960)=0,"",IF(COUNTIFS(m_teacher,AY$4,m_date,($G$2+23),m_active,1,m_start,"&lt;"&amp;1020,m_end,"&gt;"&amp;960)&gt;1,"충돌",HYPERLINK("#'관리자_MASTER'!D"&amp;_xlfn.MAXIFS(m_row,m_teacher,AY$4,m_date,($G$2+23),m_active,1,m_start,"&lt;"&amp;1020,m_end,"&gt;"&amp;960),INDEX(m_label,_xlfn.MAXIFS(m_row,m_teacher,AY$4,m_date,($G$2+23),m_active,1,m_start,"&lt;"&amp;1020,m_end,"&gt;"&amp;960))))))</f>
        <v/>
      </c>
      <c r="AZ34" s="82" t="str">
        <f aca="false">IF(OR(AZ$4="",MONTH(($G$2+23))&lt;&gt;MONTH($C$2)),"",IF(COUNTIFS(m_teacher,AZ$4,m_date,($G$2+23),m_active,1,m_start,"&lt;"&amp;1020,m_end,"&gt;"&amp;960)=0,"",IF(COUNTIFS(m_teacher,AZ$4,m_date,($G$2+23),m_active,1,m_start,"&lt;"&amp;1020,m_end,"&gt;"&amp;960)&gt;1,"충돌",HYPERLINK("#'관리자_MASTER'!D"&amp;_xlfn.MAXIFS(m_row,m_teacher,AZ$4,m_date,($G$2+23),m_active,1,m_start,"&lt;"&amp;1020,m_end,"&gt;"&amp;960),INDEX(m_label,_xlfn.MAXIFS(m_row,m_teacher,AZ$4,m_date,($G$2+23),m_active,1,m_start,"&lt;"&amp;1020,m_end,"&gt;"&amp;960))))))</f>
        <v/>
      </c>
      <c r="BA34" s="82" t="str">
        <f aca="false">IF(OR(BA$4="",MONTH(($G$2+23))&lt;&gt;MONTH($C$2)),"",IF(COUNTIFS(m_teacher,BA$4,m_date,($G$2+23),m_active,1,m_start,"&lt;"&amp;1020,m_end,"&gt;"&amp;960)=0,"",IF(COUNTIFS(m_teacher,BA$4,m_date,($G$2+23),m_active,1,m_start,"&lt;"&amp;1020,m_end,"&gt;"&amp;960)&gt;1,"충돌",HYPERLINK("#'관리자_MASTER'!D"&amp;_xlfn.MAXIFS(m_row,m_teacher,BA$4,m_date,($G$2+23),m_active,1,m_start,"&lt;"&amp;1020,m_end,"&gt;"&amp;960),INDEX(m_label,_xlfn.MAXIFS(m_row,m_teacher,BA$4,m_date,($G$2+23),m_active,1,m_start,"&lt;"&amp;1020,m_end,"&gt;"&amp;960))))))</f>
        <v/>
      </c>
      <c r="BB34" s="82" t="str">
        <f aca="false">IF(OR(BB$4="",MONTH(($G$2+23))&lt;&gt;MONTH($C$2)),"",IF(COUNTIFS(m_teacher,BB$4,m_date,($G$2+23),m_active,1,m_start,"&lt;"&amp;1020,m_end,"&gt;"&amp;960)=0,"",IF(COUNTIFS(m_teacher,BB$4,m_date,($G$2+23),m_active,1,m_start,"&lt;"&amp;1020,m_end,"&gt;"&amp;960)&gt;1,"충돌",HYPERLINK("#'관리자_MASTER'!D"&amp;_xlfn.MAXIFS(m_row,m_teacher,BB$4,m_date,($G$2+23),m_active,1,m_start,"&lt;"&amp;1020,m_end,"&gt;"&amp;960),INDEX(m_label,_xlfn.MAXIFS(m_row,m_teacher,BB$4,m_date,($G$2+23),m_active,1,m_start,"&lt;"&amp;1020,m_end,"&gt;"&amp;960))))))</f>
        <v/>
      </c>
      <c r="BC34" s="82" t="str">
        <f aca="false">IF(OR(BC$4="",MONTH(($G$2+23))&lt;&gt;MONTH($C$2)),"",IF(COUNTIFS(m_teacher,BC$4,m_date,($G$2+23),m_active,1,m_start,"&lt;"&amp;1020,m_end,"&gt;"&amp;960)=0,"",IF(COUNTIFS(m_teacher,BC$4,m_date,($G$2+23),m_active,1,m_start,"&lt;"&amp;1020,m_end,"&gt;"&amp;960)&gt;1,"충돌",HYPERLINK("#'관리자_MASTER'!D"&amp;_xlfn.MAXIFS(m_row,m_teacher,BC$4,m_date,($G$2+23),m_active,1,m_start,"&lt;"&amp;1020,m_end,"&gt;"&amp;960),INDEX(m_label,_xlfn.MAXIFS(m_row,m_teacher,BC$4,m_date,($G$2+23),m_active,1,m_start,"&lt;"&amp;1020,m_end,"&gt;"&amp;960))))))</f>
        <v/>
      </c>
      <c r="BD34" s="82" t="str">
        <f aca="false">IF(OR(BD$4="",MONTH(($G$2+23))&lt;&gt;MONTH($C$2)),"",IF(COUNTIFS(m_teacher,BD$4,m_date,($G$2+23),m_active,1,m_start,"&lt;"&amp;1020,m_end,"&gt;"&amp;960)=0,"",IF(COUNTIFS(m_teacher,BD$4,m_date,($G$2+23),m_active,1,m_start,"&lt;"&amp;1020,m_end,"&gt;"&amp;960)&gt;1,"충돌",HYPERLINK("#'관리자_MASTER'!D"&amp;_xlfn.MAXIFS(m_row,m_teacher,BD$4,m_date,($G$2+23),m_active,1,m_start,"&lt;"&amp;1020,m_end,"&gt;"&amp;960),INDEX(m_label,_xlfn.MAXIFS(m_row,m_teacher,BD$4,m_date,($G$2+23),m_active,1,m_start,"&lt;"&amp;1020,m_end,"&gt;"&amp;960))))))</f>
        <v/>
      </c>
    </row>
    <row r="35" customFormat="false" ht="19.5" hidden="false" customHeight="true" outlineLevel="0" collapsed="false">
      <c r="A35" s="78"/>
      <c r="B35" s="79" t="s">
        <v>99</v>
      </c>
      <c r="C35" s="82" t="str">
        <f aca="false">IF(OR(C$4="",MONTH(($G$2+2))&lt;&gt;MONTH($C$2)),"",IF(COUNTIFS(m_teacher,C$4,m_date,($G$2+2),m_active,1,m_start,"&lt;"&amp;1080,m_end,"&gt;"&amp;1020)=0,"",IF(COUNTIFS(m_teacher,C$4,m_date,($G$2+2),m_active,1,m_start,"&lt;"&amp;1080,m_end,"&gt;"&amp;1020)&gt;1,"충돌",HYPERLINK("#'관리자_MASTER'!D"&amp;_xlfn.MAXIFS(m_row,m_teacher,C$4,m_date,($G$2+2),m_active,1,m_start,"&lt;"&amp;1080,m_end,"&gt;"&amp;1020),INDEX(m_label,_xlfn.MAXIFS(m_row,m_teacher,C$4,m_date,($G$2+2),m_active,1,m_start,"&lt;"&amp;1080,m_end,"&gt;"&amp;1020))))))</f>
        <v/>
      </c>
      <c r="D35" s="82" t="str">
        <f aca="false">IF(OR(D$4="",MONTH(($G$2+2))&lt;&gt;MONTH($C$2)),"",IF(COUNTIFS(m_teacher,D$4,m_date,($G$2+2),m_active,1,m_start,"&lt;"&amp;1080,m_end,"&gt;"&amp;1020)=0,"",IF(COUNTIFS(m_teacher,D$4,m_date,($G$2+2),m_active,1,m_start,"&lt;"&amp;1080,m_end,"&gt;"&amp;1020)&gt;1,"충돌",HYPERLINK("#'관리자_MASTER'!D"&amp;_xlfn.MAXIFS(m_row,m_teacher,D$4,m_date,($G$2+2),m_active,1,m_start,"&lt;"&amp;1080,m_end,"&gt;"&amp;1020),INDEX(m_label,_xlfn.MAXIFS(m_row,m_teacher,D$4,m_date,($G$2+2),m_active,1,m_start,"&lt;"&amp;1080,m_end,"&gt;"&amp;1020))))))</f>
        <v/>
      </c>
      <c r="E35" s="82" t="str">
        <f aca="false">IF(OR(E$4="",MONTH(($G$2+2))&lt;&gt;MONTH($C$2)),"",IF(COUNTIFS(m_teacher,E$4,m_date,($G$2+2),m_active,1,m_start,"&lt;"&amp;1080,m_end,"&gt;"&amp;1020)=0,"",IF(COUNTIFS(m_teacher,E$4,m_date,($G$2+2),m_active,1,m_start,"&lt;"&amp;1080,m_end,"&gt;"&amp;1020)&gt;1,"충돌",HYPERLINK("#'관리자_MASTER'!D"&amp;_xlfn.MAXIFS(m_row,m_teacher,E$4,m_date,($G$2+2),m_active,1,m_start,"&lt;"&amp;1080,m_end,"&gt;"&amp;1020),INDEX(m_label,_xlfn.MAXIFS(m_row,m_teacher,E$4,m_date,($G$2+2),m_active,1,m_start,"&lt;"&amp;1080,m_end,"&gt;"&amp;1020))))))</f>
        <v/>
      </c>
      <c r="F35" s="82" t="str">
        <f aca="false">IF(OR(F$4="",MONTH(($G$2+2))&lt;&gt;MONTH($C$2)),"",IF(COUNTIFS(m_teacher,F$4,m_date,($G$2+2),m_active,1,m_start,"&lt;"&amp;1080,m_end,"&gt;"&amp;1020)=0,"",IF(COUNTIFS(m_teacher,F$4,m_date,($G$2+2),m_active,1,m_start,"&lt;"&amp;1080,m_end,"&gt;"&amp;1020)&gt;1,"충돌",HYPERLINK("#'관리자_MASTER'!D"&amp;_xlfn.MAXIFS(m_row,m_teacher,F$4,m_date,($G$2+2),m_active,1,m_start,"&lt;"&amp;1080,m_end,"&gt;"&amp;1020),INDEX(m_label,_xlfn.MAXIFS(m_row,m_teacher,F$4,m_date,($G$2+2),m_active,1,m_start,"&lt;"&amp;1080,m_end,"&gt;"&amp;1020))))))</f>
        <v/>
      </c>
      <c r="G35" s="82" t="str">
        <f aca="false">IF(OR(G$4="",MONTH(($G$2+2))&lt;&gt;MONTH($C$2)),"",IF(COUNTIFS(m_teacher,G$4,m_date,($G$2+2),m_active,1,m_start,"&lt;"&amp;1080,m_end,"&gt;"&amp;1020)=0,"",IF(COUNTIFS(m_teacher,G$4,m_date,($G$2+2),m_active,1,m_start,"&lt;"&amp;1080,m_end,"&gt;"&amp;1020)&gt;1,"충돌",HYPERLINK("#'관리자_MASTER'!D"&amp;_xlfn.MAXIFS(m_row,m_teacher,G$4,m_date,($G$2+2),m_active,1,m_start,"&lt;"&amp;1080,m_end,"&gt;"&amp;1020),INDEX(m_label,_xlfn.MAXIFS(m_row,m_teacher,G$4,m_date,($G$2+2),m_active,1,m_start,"&lt;"&amp;1080,m_end,"&gt;"&amp;1020))))))</f>
        <v/>
      </c>
      <c r="H35" s="82" t="str">
        <f aca="false">IF(OR(H$4="",MONTH(($G$2+2))&lt;&gt;MONTH($C$2)),"",IF(COUNTIFS(m_teacher,H$4,m_date,($G$2+2),m_active,1,m_start,"&lt;"&amp;1080,m_end,"&gt;"&amp;1020)=0,"",IF(COUNTIFS(m_teacher,H$4,m_date,($G$2+2),m_active,1,m_start,"&lt;"&amp;1080,m_end,"&gt;"&amp;1020)&gt;1,"충돌",HYPERLINK("#'관리자_MASTER'!D"&amp;_xlfn.MAXIFS(m_row,m_teacher,H$4,m_date,($G$2+2),m_active,1,m_start,"&lt;"&amp;1080,m_end,"&gt;"&amp;1020),INDEX(m_label,_xlfn.MAXIFS(m_row,m_teacher,H$4,m_date,($G$2+2),m_active,1,m_start,"&lt;"&amp;1080,m_end,"&gt;"&amp;1020))))))</f>
        <v/>
      </c>
      <c r="I35" s="82" t="str">
        <f aca="false">IF(OR(I$4="",MONTH(($G$2+2))&lt;&gt;MONTH($C$2)),"",IF(COUNTIFS(m_teacher,I$4,m_date,($G$2+2),m_active,1,m_start,"&lt;"&amp;1080,m_end,"&gt;"&amp;1020)=0,"",IF(COUNTIFS(m_teacher,I$4,m_date,($G$2+2),m_active,1,m_start,"&lt;"&amp;1080,m_end,"&gt;"&amp;1020)&gt;1,"충돌",HYPERLINK("#'관리자_MASTER'!D"&amp;_xlfn.MAXIFS(m_row,m_teacher,I$4,m_date,($G$2+2),m_active,1,m_start,"&lt;"&amp;1080,m_end,"&gt;"&amp;1020),INDEX(m_label,_xlfn.MAXIFS(m_row,m_teacher,I$4,m_date,($G$2+2),m_active,1,m_start,"&lt;"&amp;1080,m_end,"&gt;"&amp;1020))))))</f>
        <v/>
      </c>
      <c r="J35" s="82" t="str">
        <f aca="false">IF(OR(J$4="",MONTH(($G$2+2))&lt;&gt;MONTH($C$2)),"",IF(COUNTIFS(m_teacher,J$4,m_date,($G$2+2),m_active,1,m_start,"&lt;"&amp;1080,m_end,"&gt;"&amp;1020)=0,"",IF(COUNTIFS(m_teacher,J$4,m_date,($G$2+2),m_active,1,m_start,"&lt;"&amp;1080,m_end,"&gt;"&amp;1020)&gt;1,"충돌",HYPERLINK("#'관리자_MASTER'!D"&amp;_xlfn.MAXIFS(m_row,m_teacher,J$4,m_date,($G$2+2),m_active,1,m_start,"&lt;"&amp;1080,m_end,"&gt;"&amp;1020),INDEX(m_label,_xlfn.MAXIFS(m_row,m_teacher,J$4,m_date,($G$2+2),m_active,1,m_start,"&lt;"&amp;1080,m_end,"&gt;"&amp;1020))))))</f>
        <v/>
      </c>
      <c r="K35" s="82" t="str">
        <f aca="false">IF(OR(K$4="",MONTH(($G$2+2))&lt;&gt;MONTH($C$2)),"",IF(COUNTIFS(m_teacher,K$4,m_date,($G$2+2),m_active,1,m_start,"&lt;"&amp;1080,m_end,"&gt;"&amp;1020)=0,"",IF(COUNTIFS(m_teacher,K$4,m_date,($G$2+2),m_active,1,m_start,"&lt;"&amp;1080,m_end,"&gt;"&amp;1020)&gt;1,"충돌",HYPERLINK("#'관리자_MASTER'!D"&amp;_xlfn.MAXIFS(m_row,m_teacher,K$4,m_date,($G$2+2),m_active,1,m_start,"&lt;"&amp;1080,m_end,"&gt;"&amp;1020),INDEX(m_label,_xlfn.MAXIFS(m_row,m_teacher,K$4,m_date,($G$2+2),m_active,1,m_start,"&lt;"&amp;1080,m_end,"&gt;"&amp;1020))))))</f>
        <v/>
      </c>
      <c r="L35" s="82" t="str">
        <f aca="false">IF(OR(L$4="",MONTH(($G$2+2))&lt;&gt;MONTH($C$2)),"",IF(COUNTIFS(m_teacher,L$4,m_date,($G$2+2),m_active,1,m_start,"&lt;"&amp;1080,m_end,"&gt;"&amp;1020)=0,"",IF(COUNTIFS(m_teacher,L$4,m_date,($G$2+2),m_active,1,m_start,"&lt;"&amp;1080,m_end,"&gt;"&amp;1020)&gt;1,"충돌",HYPERLINK("#'관리자_MASTER'!D"&amp;_xlfn.MAXIFS(m_row,m_teacher,L$4,m_date,($G$2+2),m_active,1,m_start,"&lt;"&amp;1080,m_end,"&gt;"&amp;1020),INDEX(m_label,_xlfn.MAXIFS(m_row,m_teacher,L$4,m_date,($G$2+2),m_active,1,m_start,"&lt;"&amp;1080,m_end,"&gt;"&amp;1020))))))</f>
        <v/>
      </c>
      <c r="M35" s="82" t="str">
        <f aca="false">IF(OR(M$4="",MONTH(($G$2+2))&lt;&gt;MONTH($C$2)),"",IF(COUNTIFS(m_teacher,M$4,m_date,($G$2+2),m_active,1,m_start,"&lt;"&amp;1080,m_end,"&gt;"&amp;1020)=0,"",IF(COUNTIFS(m_teacher,M$4,m_date,($G$2+2),m_active,1,m_start,"&lt;"&amp;1080,m_end,"&gt;"&amp;1020)&gt;1,"충돌",HYPERLINK("#'관리자_MASTER'!D"&amp;_xlfn.MAXIFS(m_row,m_teacher,M$4,m_date,($G$2+2),m_active,1,m_start,"&lt;"&amp;1080,m_end,"&gt;"&amp;1020),INDEX(m_label,_xlfn.MAXIFS(m_row,m_teacher,M$4,m_date,($G$2+2),m_active,1,m_start,"&lt;"&amp;1080,m_end,"&gt;"&amp;1020))))))</f>
        <v/>
      </c>
      <c r="N35" s="82" t="str">
        <f aca="false">IF(OR(N$4="",MONTH(($G$2+2))&lt;&gt;MONTH($C$2)),"",IF(COUNTIFS(m_teacher,N$4,m_date,($G$2+2),m_active,1,m_start,"&lt;"&amp;1080,m_end,"&gt;"&amp;1020)=0,"",IF(COUNTIFS(m_teacher,N$4,m_date,($G$2+2),m_active,1,m_start,"&lt;"&amp;1080,m_end,"&gt;"&amp;1020)&gt;1,"충돌",HYPERLINK("#'관리자_MASTER'!D"&amp;_xlfn.MAXIFS(m_row,m_teacher,N$4,m_date,($G$2+2),m_active,1,m_start,"&lt;"&amp;1080,m_end,"&gt;"&amp;1020),INDEX(m_label,_xlfn.MAXIFS(m_row,m_teacher,N$4,m_date,($G$2+2),m_active,1,m_start,"&lt;"&amp;1080,m_end,"&gt;"&amp;1020))))))</f>
        <v/>
      </c>
      <c r="O35" s="78"/>
      <c r="P35" s="79" t="s">
        <v>99</v>
      </c>
      <c r="Q35" s="82" t="str">
        <f aca="false">IF(OR(Q$4="",MONTH(($G$2+9))&lt;&gt;MONTH($C$2)),"",IF(COUNTIFS(m_teacher,Q$4,m_date,($G$2+9),m_active,1,m_start,"&lt;"&amp;1080,m_end,"&gt;"&amp;1020)=0,"",IF(COUNTIFS(m_teacher,Q$4,m_date,($G$2+9),m_active,1,m_start,"&lt;"&amp;1080,m_end,"&gt;"&amp;1020)&gt;1,"충돌",HYPERLINK("#'관리자_MASTER'!D"&amp;_xlfn.MAXIFS(m_row,m_teacher,Q$4,m_date,($G$2+9),m_active,1,m_start,"&lt;"&amp;1080,m_end,"&gt;"&amp;1020),INDEX(m_label,_xlfn.MAXIFS(m_row,m_teacher,Q$4,m_date,($G$2+9),m_active,1,m_start,"&lt;"&amp;1080,m_end,"&gt;"&amp;1020))))))</f>
        <v/>
      </c>
      <c r="R35" s="82" t="str">
        <f aca="false">IF(OR(R$4="",MONTH(($G$2+9))&lt;&gt;MONTH($C$2)),"",IF(COUNTIFS(m_teacher,R$4,m_date,($G$2+9),m_active,1,m_start,"&lt;"&amp;1080,m_end,"&gt;"&amp;1020)=0,"",IF(COUNTIFS(m_teacher,R$4,m_date,($G$2+9),m_active,1,m_start,"&lt;"&amp;1080,m_end,"&gt;"&amp;1020)&gt;1,"충돌",HYPERLINK("#'관리자_MASTER'!D"&amp;_xlfn.MAXIFS(m_row,m_teacher,R$4,m_date,($G$2+9),m_active,1,m_start,"&lt;"&amp;1080,m_end,"&gt;"&amp;1020),INDEX(m_label,_xlfn.MAXIFS(m_row,m_teacher,R$4,m_date,($G$2+9),m_active,1,m_start,"&lt;"&amp;1080,m_end,"&gt;"&amp;1020))))))</f>
        <v/>
      </c>
      <c r="S35" s="82" t="str">
        <f aca="false">IF(OR(S$4="",MONTH(($G$2+9))&lt;&gt;MONTH($C$2)),"",IF(COUNTIFS(m_teacher,S$4,m_date,($G$2+9),m_active,1,m_start,"&lt;"&amp;1080,m_end,"&gt;"&amp;1020)=0,"",IF(COUNTIFS(m_teacher,S$4,m_date,($G$2+9),m_active,1,m_start,"&lt;"&amp;1080,m_end,"&gt;"&amp;1020)&gt;1,"충돌",HYPERLINK("#'관리자_MASTER'!D"&amp;_xlfn.MAXIFS(m_row,m_teacher,S$4,m_date,($G$2+9),m_active,1,m_start,"&lt;"&amp;1080,m_end,"&gt;"&amp;1020),INDEX(m_label,_xlfn.MAXIFS(m_row,m_teacher,S$4,m_date,($G$2+9),m_active,1,m_start,"&lt;"&amp;1080,m_end,"&gt;"&amp;1020))))))</f>
        <v/>
      </c>
      <c r="T35" s="82" t="str">
        <f aca="false">IF(OR(T$4="",MONTH(($G$2+9))&lt;&gt;MONTH($C$2)),"",IF(COUNTIFS(m_teacher,T$4,m_date,($G$2+9),m_active,1,m_start,"&lt;"&amp;1080,m_end,"&gt;"&amp;1020)=0,"",IF(COUNTIFS(m_teacher,T$4,m_date,($G$2+9),m_active,1,m_start,"&lt;"&amp;1080,m_end,"&gt;"&amp;1020)&gt;1,"충돌",HYPERLINK("#'관리자_MASTER'!D"&amp;_xlfn.MAXIFS(m_row,m_teacher,T$4,m_date,($G$2+9),m_active,1,m_start,"&lt;"&amp;1080,m_end,"&gt;"&amp;1020),INDEX(m_label,_xlfn.MAXIFS(m_row,m_teacher,T$4,m_date,($G$2+9),m_active,1,m_start,"&lt;"&amp;1080,m_end,"&gt;"&amp;1020))))))</f>
        <v/>
      </c>
      <c r="U35" s="82" t="str">
        <f aca="false">IF(OR(U$4="",MONTH(($G$2+9))&lt;&gt;MONTH($C$2)),"",IF(COUNTIFS(m_teacher,U$4,m_date,($G$2+9),m_active,1,m_start,"&lt;"&amp;1080,m_end,"&gt;"&amp;1020)=0,"",IF(COUNTIFS(m_teacher,U$4,m_date,($G$2+9),m_active,1,m_start,"&lt;"&amp;1080,m_end,"&gt;"&amp;1020)&gt;1,"충돌",HYPERLINK("#'관리자_MASTER'!D"&amp;_xlfn.MAXIFS(m_row,m_teacher,U$4,m_date,($G$2+9),m_active,1,m_start,"&lt;"&amp;1080,m_end,"&gt;"&amp;1020),INDEX(m_label,_xlfn.MAXIFS(m_row,m_teacher,U$4,m_date,($G$2+9),m_active,1,m_start,"&lt;"&amp;1080,m_end,"&gt;"&amp;1020))))))</f>
        <v/>
      </c>
      <c r="V35" s="82" t="str">
        <f aca="false">IF(OR(V$4="",MONTH(($G$2+9))&lt;&gt;MONTH($C$2)),"",IF(COUNTIFS(m_teacher,V$4,m_date,($G$2+9),m_active,1,m_start,"&lt;"&amp;1080,m_end,"&gt;"&amp;1020)=0,"",IF(COUNTIFS(m_teacher,V$4,m_date,($G$2+9),m_active,1,m_start,"&lt;"&amp;1080,m_end,"&gt;"&amp;1020)&gt;1,"충돌",HYPERLINK("#'관리자_MASTER'!D"&amp;_xlfn.MAXIFS(m_row,m_teacher,V$4,m_date,($G$2+9),m_active,1,m_start,"&lt;"&amp;1080,m_end,"&gt;"&amp;1020),INDEX(m_label,_xlfn.MAXIFS(m_row,m_teacher,V$4,m_date,($G$2+9),m_active,1,m_start,"&lt;"&amp;1080,m_end,"&gt;"&amp;1020))))))</f>
        <v/>
      </c>
      <c r="W35" s="82" t="str">
        <f aca="false">IF(OR(W$4="",MONTH(($G$2+9))&lt;&gt;MONTH($C$2)),"",IF(COUNTIFS(m_teacher,W$4,m_date,($G$2+9),m_active,1,m_start,"&lt;"&amp;1080,m_end,"&gt;"&amp;1020)=0,"",IF(COUNTIFS(m_teacher,W$4,m_date,($G$2+9),m_active,1,m_start,"&lt;"&amp;1080,m_end,"&gt;"&amp;1020)&gt;1,"충돌",HYPERLINK("#'관리자_MASTER'!D"&amp;_xlfn.MAXIFS(m_row,m_teacher,W$4,m_date,($G$2+9),m_active,1,m_start,"&lt;"&amp;1080,m_end,"&gt;"&amp;1020),INDEX(m_label,_xlfn.MAXIFS(m_row,m_teacher,W$4,m_date,($G$2+9),m_active,1,m_start,"&lt;"&amp;1080,m_end,"&gt;"&amp;1020))))))</f>
        <v/>
      </c>
      <c r="X35" s="82" t="str">
        <f aca="false">IF(OR(X$4="",MONTH(($G$2+9))&lt;&gt;MONTH($C$2)),"",IF(COUNTIFS(m_teacher,X$4,m_date,($G$2+9),m_active,1,m_start,"&lt;"&amp;1080,m_end,"&gt;"&amp;1020)=0,"",IF(COUNTIFS(m_teacher,X$4,m_date,($G$2+9),m_active,1,m_start,"&lt;"&amp;1080,m_end,"&gt;"&amp;1020)&gt;1,"충돌",HYPERLINK("#'관리자_MASTER'!D"&amp;_xlfn.MAXIFS(m_row,m_teacher,X$4,m_date,($G$2+9),m_active,1,m_start,"&lt;"&amp;1080,m_end,"&gt;"&amp;1020),INDEX(m_label,_xlfn.MAXIFS(m_row,m_teacher,X$4,m_date,($G$2+9),m_active,1,m_start,"&lt;"&amp;1080,m_end,"&gt;"&amp;1020))))))</f>
        <v/>
      </c>
      <c r="Y35" s="82" t="str">
        <f aca="false">IF(OR(Y$4="",MONTH(($G$2+9))&lt;&gt;MONTH($C$2)),"",IF(COUNTIFS(m_teacher,Y$4,m_date,($G$2+9),m_active,1,m_start,"&lt;"&amp;1080,m_end,"&gt;"&amp;1020)=0,"",IF(COUNTIFS(m_teacher,Y$4,m_date,($G$2+9),m_active,1,m_start,"&lt;"&amp;1080,m_end,"&gt;"&amp;1020)&gt;1,"충돌",HYPERLINK("#'관리자_MASTER'!D"&amp;_xlfn.MAXIFS(m_row,m_teacher,Y$4,m_date,($G$2+9),m_active,1,m_start,"&lt;"&amp;1080,m_end,"&gt;"&amp;1020),INDEX(m_label,_xlfn.MAXIFS(m_row,m_teacher,Y$4,m_date,($G$2+9),m_active,1,m_start,"&lt;"&amp;1080,m_end,"&gt;"&amp;1020))))))</f>
        <v/>
      </c>
      <c r="Z35" s="82" t="str">
        <f aca="false">IF(OR(Z$4="",MONTH(($G$2+9))&lt;&gt;MONTH($C$2)),"",IF(COUNTIFS(m_teacher,Z$4,m_date,($G$2+9),m_active,1,m_start,"&lt;"&amp;1080,m_end,"&gt;"&amp;1020)=0,"",IF(COUNTIFS(m_teacher,Z$4,m_date,($G$2+9),m_active,1,m_start,"&lt;"&amp;1080,m_end,"&gt;"&amp;1020)&gt;1,"충돌",HYPERLINK("#'관리자_MASTER'!D"&amp;_xlfn.MAXIFS(m_row,m_teacher,Z$4,m_date,($G$2+9),m_active,1,m_start,"&lt;"&amp;1080,m_end,"&gt;"&amp;1020),INDEX(m_label,_xlfn.MAXIFS(m_row,m_teacher,Z$4,m_date,($G$2+9),m_active,1,m_start,"&lt;"&amp;1080,m_end,"&gt;"&amp;1020))))))</f>
        <v/>
      </c>
      <c r="AA35" s="82" t="str">
        <f aca="false">IF(OR(AA$4="",MONTH(($G$2+9))&lt;&gt;MONTH($C$2)),"",IF(COUNTIFS(m_teacher,AA$4,m_date,($G$2+9),m_active,1,m_start,"&lt;"&amp;1080,m_end,"&gt;"&amp;1020)=0,"",IF(COUNTIFS(m_teacher,AA$4,m_date,($G$2+9),m_active,1,m_start,"&lt;"&amp;1080,m_end,"&gt;"&amp;1020)&gt;1,"충돌",HYPERLINK("#'관리자_MASTER'!D"&amp;_xlfn.MAXIFS(m_row,m_teacher,AA$4,m_date,($G$2+9),m_active,1,m_start,"&lt;"&amp;1080,m_end,"&gt;"&amp;1020),INDEX(m_label,_xlfn.MAXIFS(m_row,m_teacher,AA$4,m_date,($G$2+9),m_active,1,m_start,"&lt;"&amp;1080,m_end,"&gt;"&amp;1020))))))</f>
        <v/>
      </c>
      <c r="AB35" s="82" t="str">
        <f aca="false">IF(OR(AB$4="",MONTH(($G$2+9))&lt;&gt;MONTH($C$2)),"",IF(COUNTIFS(m_teacher,AB$4,m_date,($G$2+9),m_active,1,m_start,"&lt;"&amp;1080,m_end,"&gt;"&amp;1020)=0,"",IF(COUNTIFS(m_teacher,AB$4,m_date,($G$2+9),m_active,1,m_start,"&lt;"&amp;1080,m_end,"&gt;"&amp;1020)&gt;1,"충돌",HYPERLINK("#'관리자_MASTER'!D"&amp;_xlfn.MAXIFS(m_row,m_teacher,AB$4,m_date,($G$2+9),m_active,1,m_start,"&lt;"&amp;1080,m_end,"&gt;"&amp;1020),INDEX(m_label,_xlfn.MAXIFS(m_row,m_teacher,AB$4,m_date,($G$2+9),m_active,1,m_start,"&lt;"&amp;1080,m_end,"&gt;"&amp;1020))))))</f>
        <v/>
      </c>
      <c r="AC35" s="78"/>
      <c r="AD35" s="79" t="s">
        <v>99</v>
      </c>
      <c r="AE35" s="82" t="str">
        <f aca="false">IF(OR(AE$4="",MONTH(($G$2+16))&lt;&gt;MONTH($C$2)),"",IF(COUNTIFS(m_teacher,AE$4,m_date,($G$2+16),m_active,1,m_start,"&lt;"&amp;1080,m_end,"&gt;"&amp;1020)=0,"",IF(COUNTIFS(m_teacher,AE$4,m_date,($G$2+16),m_active,1,m_start,"&lt;"&amp;1080,m_end,"&gt;"&amp;1020)&gt;1,"충돌",HYPERLINK("#'관리자_MASTER'!D"&amp;_xlfn.MAXIFS(m_row,m_teacher,AE$4,m_date,($G$2+16),m_active,1,m_start,"&lt;"&amp;1080,m_end,"&gt;"&amp;1020),INDEX(m_label,_xlfn.MAXIFS(m_row,m_teacher,AE$4,m_date,($G$2+16),m_active,1,m_start,"&lt;"&amp;1080,m_end,"&gt;"&amp;1020))))))</f>
        <v/>
      </c>
      <c r="AF35" s="82" t="str">
        <f aca="false">IF(OR(AF$4="",MONTH(($G$2+16))&lt;&gt;MONTH($C$2)),"",IF(COUNTIFS(m_teacher,AF$4,m_date,($G$2+16),m_active,1,m_start,"&lt;"&amp;1080,m_end,"&gt;"&amp;1020)=0,"",IF(COUNTIFS(m_teacher,AF$4,m_date,($G$2+16),m_active,1,m_start,"&lt;"&amp;1080,m_end,"&gt;"&amp;1020)&gt;1,"충돌",HYPERLINK("#'관리자_MASTER'!D"&amp;_xlfn.MAXIFS(m_row,m_teacher,AF$4,m_date,($G$2+16),m_active,1,m_start,"&lt;"&amp;1080,m_end,"&gt;"&amp;1020),INDEX(m_label,_xlfn.MAXIFS(m_row,m_teacher,AF$4,m_date,($G$2+16),m_active,1,m_start,"&lt;"&amp;1080,m_end,"&gt;"&amp;1020))))))</f>
        <v/>
      </c>
      <c r="AG35" s="82" t="str">
        <f aca="false">IF(OR(AG$4="",MONTH(($G$2+16))&lt;&gt;MONTH($C$2)),"",IF(COUNTIFS(m_teacher,AG$4,m_date,($G$2+16),m_active,1,m_start,"&lt;"&amp;1080,m_end,"&gt;"&amp;1020)=0,"",IF(COUNTIFS(m_teacher,AG$4,m_date,($G$2+16),m_active,1,m_start,"&lt;"&amp;1080,m_end,"&gt;"&amp;1020)&gt;1,"충돌",HYPERLINK("#'관리자_MASTER'!D"&amp;_xlfn.MAXIFS(m_row,m_teacher,AG$4,m_date,($G$2+16),m_active,1,m_start,"&lt;"&amp;1080,m_end,"&gt;"&amp;1020),INDEX(m_label,_xlfn.MAXIFS(m_row,m_teacher,AG$4,m_date,($G$2+16),m_active,1,m_start,"&lt;"&amp;1080,m_end,"&gt;"&amp;1020))))))</f>
        <v/>
      </c>
      <c r="AH35" s="82" t="str">
        <f aca="false">IF(OR(AH$4="",MONTH(($G$2+16))&lt;&gt;MONTH($C$2)),"",IF(COUNTIFS(m_teacher,AH$4,m_date,($G$2+16),m_active,1,m_start,"&lt;"&amp;1080,m_end,"&gt;"&amp;1020)=0,"",IF(COUNTIFS(m_teacher,AH$4,m_date,($G$2+16),m_active,1,m_start,"&lt;"&amp;1080,m_end,"&gt;"&amp;1020)&gt;1,"충돌",HYPERLINK("#'관리자_MASTER'!D"&amp;_xlfn.MAXIFS(m_row,m_teacher,AH$4,m_date,($G$2+16),m_active,1,m_start,"&lt;"&amp;1080,m_end,"&gt;"&amp;1020),INDEX(m_label,_xlfn.MAXIFS(m_row,m_teacher,AH$4,m_date,($G$2+16),m_active,1,m_start,"&lt;"&amp;1080,m_end,"&gt;"&amp;1020))))))</f>
        <v/>
      </c>
      <c r="AI35" s="82" t="str">
        <f aca="false">IF(OR(AI$4="",MONTH(($G$2+16))&lt;&gt;MONTH($C$2)),"",IF(COUNTIFS(m_teacher,AI$4,m_date,($G$2+16),m_active,1,m_start,"&lt;"&amp;1080,m_end,"&gt;"&amp;1020)=0,"",IF(COUNTIFS(m_teacher,AI$4,m_date,($G$2+16),m_active,1,m_start,"&lt;"&amp;1080,m_end,"&gt;"&amp;1020)&gt;1,"충돌",HYPERLINK("#'관리자_MASTER'!D"&amp;_xlfn.MAXIFS(m_row,m_teacher,AI$4,m_date,($G$2+16),m_active,1,m_start,"&lt;"&amp;1080,m_end,"&gt;"&amp;1020),INDEX(m_label,_xlfn.MAXIFS(m_row,m_teacher,AI$4,m_date,($G$2+16),m_active,1,m_start,"&lt;"&amp;1080,m_end,"&gt;"&amp;1020))))))</f>
        <v/>
      </c>
      <c r="AJ35" s="82" t="str">
        <f aca="false">IF(OR(AJ$4="",MONTH(($G$2+16))&lt;&gt;MONTH($C$2)),"",IF(COUNTIFS(m_teacher,AJ$4,m_date,($G$2+16),m_active,1,m_start,"&lt;"&amp;1080,m_end,"&gt;"&amp;1020)=0,"",IF(COUNTIFS(m_teacher,AJ$4,m_date,($G$2+16),m_active,1,m_start,"&lt;"&amp;1080,m_end,"&gt;"&amp;1020)&gt;1,"충돌",HYPERLINK("#'관리자_MASTER'!D"&amp;_xlfn.MAXIFS(m_row,m_teacher,AJ$4,m_date,($G$2+16),m_active,1,m_start,"&lt;"&amp;1080,m_end,"&gt;"&amp;1020),INDEX(m_label,_xlfn.MAXIFS(m_row,m_teacher,AJ$4,m_date,($G$2+16),m_active,1,m_start,"&lt;"&amp;1080,m_end,"&gt;"&amp;1020))))))</f>
        <v/>
      </c>
      <c r="AK35" s="82" t="str">
        <f aca="false">IF(OR(AK$4="",MONTH(($G$2+16))&lt;&gt;MONTH($C$2)),"",IF(COUNTIFS(m_teacher,AK$4,m_date,($G$2+16),m_active,1,m_start,"&lt;"&amp;1080,m_end,"&gt;"&amp;1020)=0,"",IF(COUNTIFS(m_teacher,AK$4,m_date,($G$2+16),m_active,1,m_start,"&lt;"&amp;1080,m_end,"&gt;"&amp;1020)&gt;1,"충돌",HYPERLINK("#'관리자_MASTER'!D"&amp;_xlfn.MAXIFS(m_row,m_teacher,AK$4,m_date,($G$2+16),m_active,1,m_start,"&lt;"&amp;1080,m_end,"&gt;"&amp;1020),INDEX(m_label,_xlfn.MAXIFS(m_row,m_teacher,AK$4,m_date,($G$2+16),m_active,1,m_start,"&lt;"&amp;1080,m_end,"&gt;"&amp;1020))))))</f>
        <v/>
      </c>
      <c r="AL35" s="82" t="str">
        <f aca="false">IF(OR(AL$4="",MONTH(($G$2+16))&lt;&gt;MONTH($C$2)),"",IF(COUNTIFS(m_teacher,AL$4,m_date,($G$2+16),m_active,1,m_start,"&lt;"&amp;1080,m_end,"&gt;"&amp;1020)=0,"",IF(COUNTIFS(m_teacher,AL$4,m_date,($G$2+16),m_active,1,m_start,"&lt;"&amp;1080,m_end,"&gt;"&amp;1020)&gt;1,"충돌",HYPERLINK("#'관리자_MASTER'!D"&amp;_xlfn.MAXIFS(m_row,m_teacher,AL$4,m_date,($G$2+16),m_active,1,m_start,"&lt;"&amp;1080,m_end,"&gt;"&amp;1020),INDEX(m_label,_xlfn.MAXIFS(m_row,m_teacher,AL$4,m_date,($G$2+16),m_active,1,m_start,"&lt;"&amp;1080,m_end,"&gt;"&amp;1020))))))</f>
        <v/>
      </c>
      <c r="AM35" s="82" t="str">
        <f aca="false">IF(OR(AM$4="",MONTH(($G$2+16))&lt;&gt;MONTH($C$2)),"",IF(COUNTIFS(m_teacher,AM$4,m_date,($G$2+16),m_active,1,m_start,"&lt;"&amp;1080,m_end,"&gt;"&amp;1020)=0,"",IF(COUNTIFS(m_teacher,AM$4,m_date,($G$2+16),m_active,1,m_start,"&lt;"&amp;1080,m_end,"&gt;"&amp;1020)&gt;1,"충돌",HYPERLINK("#'관리자_MASTER'!D"&amp;_xlfn.MAXIFS(m_row,m_teacher,AM$4,m_date,($G$2+16),m_active,1,m_start,"&lt;"&amp;1080,m_end,"&gt;"&amp;1020),INDEX(m_label,_xlfn.MAXIFS(m_row,m_teacher,AM$4,m_date,($G$2+16),m_active,1,m_start,"&lt;"&amp;1080,m_end,"&gt;"&amp;1020))))))</f>
        <v/>
      </c>
      <c r="AN35" s="82" t="str">
        <f aca="false">IF(OR(AN$4="",MONTH(($G$2+16))&lt;&gt;MONTH($C$2)),"",IF(COUNTIFS(m_teacher,AN$4,m_date,($G$2+16),m_active,1,m_start,"&lt;"&amp;1080,m_end,"&gt;"&amp;1020)=0,"",IF(COUNTIFS(m_teacher,AN$4,m_date,($G$2+16),m_active,1,m_start,"&lt;"&amp;1080,m_end,"&gt;"&amp;1020)&gt;1,"충돌",HYPERLINK("#'관리자_MASTER'!D"&amp;_xlfn.MAXIFS(m_row,m_teacher,AN$4,m_date,($G$2+16),m_active,1,m_start,"&lt;"&amp;1080,m_end,"&gt;"&amp;1020),INDEX(m_label,_xlfn.MAXIFS(m_row,m_teacher,AN$4,m_date,($G$2+16),m_active,1,m_start,"&lt;"&amp;1080,m_end,"&gt;"&amp;1020))))))</f>
        <v/>
      </c>
      <c r="AO35" s="82" t="str">
        <f aca="false">IF(OR(AO$4="",MONTH(($G$2+16))&lt;&gt;MONTH($C$2)),"",IF(COUNTIFS(m_teacher,AO$4,m_date,($G$2+16),m_active,1,m_start,"&lt;"&amp;1080,m_end,"&gt;"&amp;1020)=0,"",IF(COUNTIFS(m_teacher,AO$4,m_date,($G$2+16),m_active,1,m_start,"&lt;"&amp;1080,m_end,"&gt;"&amp;1020)&gt;1,"충돌",HYPERLINK("#'관리자_MASTER'!D"&amp;_xlfn.MAXIFS(m_row,m_teacher,AO$4,m_date,($G$2+16),m_active,1,m_start,"&lt;"&amp;1080,m_end,"&gt;"&amp;1020),INDEX(m_label,_xlfn.MAXIFS(m_row,m_teacher,AO$4,m_date,($G$2+16),m_active,1,m_start,"&lt;"&amp;1080,m_end,"&gt;"&amp;1020))))))</f>
        <v/>
      </c>
      <c r="AP35" s="82" t="str">
        <f aca="false">IF(OR(AP$4="",MONTH(($G$2+16))&lt;&gt;MONTH($C$2)),"",IF(COUNTIFS(m_teacher,AP$4,m_date,($G$2+16),m_active,1,m_start,"&lt;"&amp;1080,m_end,"&gt;"&amp;1020)=0,"",IF(COUNTIFS(m_teacher,AP$4,m_date,($G$2+16),m_active,1,m_start,"&lt;"&amp;1080,m_end,"&gt;"&amp;1020)&gt;1,"충돌",HYPERLINK("#'관리자_MASTER'!D"&amp;_xlfn.MAXIFS(m_row,m_teacher,AP$4,m_date,($G$2+16),m_active,1,m_start,"&lt;"&amp;1080,m_end,"&gt;"&amp;1020),INDEX(m_label,_xlfn.MAXIFS(m_row,m_teacher,AP$4,m_date,($G$2+16),m_active,1,m_start,"&lt;"&amp;1080,m_end,"&gt;"&amp;1020))))))</f>
        <v/>
      </c>
      <c r="AQ35" s="78"/>
      <c r="AR35" s="79" t="s">
        <v>99</v>
      </c>
      <c r="AS35" s="82" t="str">
        <f aca="false">IF(OR(AS$4="",MONTH(($G$2+23))&lt;&gt;MONTH($C$2)),"",IF(COUNTIFS(m_teacher,AS$4,m_date,($G$2+23),m_active,1,m_start,"&lt;"&amp;1080,m_end,"&gt;"&amp;1020)=0,"",IF(COUNTIFS(m_teacher,AS$4,m_date,($G$2+23),m_active,1,m_start,"&lt;"&amp;1080,m_end,"&gt;"&amp;1020)&gt;1,"충돌",HYPERLINK("#'관리자_MASTER'!D"&amp;_xlfn.MAXIFS(m_row,m_teacher,AS$4,m_date,($G$2+23),m_active,1,m_start,"&lt;"&amp;1080,m_end,"&gt;"&amp;1020),INDEX(m_label,_xlfn.MAXIFS(m_row,m_teacher,AS$4,m_date,($G$2+23),m_active,1,m_start,"&lt;"&amp;1080,m_end,"&gt;"&amp;1020))))))</f>
        <v/>
      </c>
      <c r="AT35" s="82" t="str">
        <f aca="false">IF(OR(AT$4="",MONTH(($G$2+23))&lt;&gt;MONTH($C$2)),"",IF(COUNTIFS(m_teacher,AT$4,m_date,($G$2+23),m_active,1,m_start,"&lt;"&amp;1080,m_end,"&gt;"&amp;1020)=0,"",IF(COUNTIFS(m_teacher,AT$4,m_date,($G$2+23),m_active,1,m_start,"&lt;"&amp;1080,m_end,"&gt;"&amp;1020)&gt;1,"충돌",HYPERLINK("#'관리자_MASTER'!D"&amp;_xlfn.MAXIFS(m_row,m_teacher,AT$4,m_date,($G$2+23),m_active,1,m_start,"&lt;"&amp;1080,m_end,"&gt;"&amp;1020),INDEX(m_label,_xlfn.MAXIFS(m_row,m_teacher,AT$4,m_date,($G$2+23),m_active,1,m_start,"&lt;"&amp;1080,m_end,"&gt;"&amp;1020))))))</f>
        <v/>
      </c>
      <c r="AU35" s="82" t="str">
        <f aca="false">IF(OR(AU$4="",MONTH(($G$2+23))&lt;&gt;MONTH($C$2)),"",IF(COUNTIFS(m_teacher,AU$4,m_date,($G$2+23),m_active,1,m_start,"&lt;"&amp;1080,m_end,"&gt;"&amp;1020)=0,"",IF(COUNTIFS(m_teacher,AU$4,m_date,($G$2+23),m_active,1,m_start,"&lt;"&amp;1080,m_end,"&gt;"&amp;1020)&gt;1,"충돌",HYPERLINK("#'관리자_MASTER'!D"&amp;_xlfn.MAXIFS(m_row,m_teacher,AU$4,m_date,($G$2+23),m_active,1,m_start,"&lt;"&amp;1080,m_end,"&gt;"&amp;1020),INDEX(m_label,_xlfn.MAXIFS(m_row,m_teacher,AU$4,m_date,($G$2+23),m_active,1,m_start,"&lt;"&amp;1080,m_end,"&gt;"&amp;1020))))))</f>
        <v/>
      </c>
      <c r="AV35" s="82" t="str">
        <f aca="false">IF(OR(AV$4="",MONTH(($G$2+23))&lt;&gt;MONTH($C$2)),"",IF(COUNTIFS(m_teacher,AV$4,m_date,($G$2+23),m_active,1,m_start,"&lt;"&amp;1080,m_end,"&gt;"&amp;1020)=0,"",IF(COUNTIFS(m_teacher,AV$4,m_date,($G$2+23),m_active,1,m_start,"&lt;"&amp;1080,m_end,"&gt;"&amp;1020)&gt;1,"충돌",HYPERLINK("#'관리자_MASTER'!D"&amp;_xlfn.MAXIFS(m_row,m_teacher,AV$4,m_date,($G$2+23),m_active,1,m_start,"&lt;"&amp;1080,m_end,"&gt;"&amp;1020),INDEX(m_label,_xlfn.MAXIFS(m_row,m_teacher,AV$4,m_date,($G$2+23),m_active,1,m_start,"&lt;"&amp;1080,m_end,"&gt;"&amp;1020))))))</f>
        <v/>
      </c>
      <c r="AW35" s="82" t="str">
        <f aca="false">IF(OR(AW$4="",MONTH(($G$2+23))&lt;&gt;MONTH($C$2)),"",IF(COUNTIFS(m_teacher,AW$4,m_date,($G$2+23),m_active,1,m_start,"&lt;"&amp;1080,m_end,"&gt;"&amp;1020)=0,"",IF(COUNTIFS(m_teacher,AW$4,m_date,($G$2+23),m_active,1,m_start,"&lt;"&amp;1080,m_end,"&gt;"&amp;1020)&gt;1,"충돌",HYPERLINK("#'관리자_MASTER'!D"&amp;_xlfn.MAXIFS(m_row,m_teacher,AW$4,m_date,($G$2+23),m_active,1,m_start,"&lt;"&amp;1080,m_end,"&gt;"&amp;1020),INDEX(m_label,_xlfn.MAXIFS(m_row,m_teacher,AW$4,m_date,($G$2+23),m_active,1,m_start,"&lt;"&amp;1080,m_end,"&gt;"&amp;1020))))))</f>
        <v/>
      </c>
      <c r="AX35" s="82" t="str">
        <f aca="false">IF(OR(AX$4="",MONTH(($G$2+23))&lt;&gt;MONTH($C$2)),"",IF(COUNTIFS(m_teacher,AX$4,m_date,($G$2+23),m_active,1,m_start,"&lt;"&amp;1080,m_end,"&gt;"&amp;1020)=0,"",IF(COUNTIFS(m_teacher,AX$4,m_date,($G$2+23),m_active,1,m_start,"&lt;"&amp;1080,m_end,"&gt;"&amp;1020)&gt;1,"충돌",HYPERLINK("#'관리자_MASTER'!D"&amp;_xlfn.MAXIFS(m_row,m_teacher,AX$4,m_date,($G$2+23),m_active,1,m_start,"&lt;"&amp;1080,m_end,"&gt;"&amp;1020),INDEX(m_label,_xlfn.MAXIFS(m_row,m_teacher,AX$4,m_date,($G$2+23),m_active,1,m_start,"&lt;"&amp;1080,m_end,"&gt;"&amp;1020))))))</f>
        <v/>
      </c>
      <c r="AY35" s="82" t="str">
        <f aca="false">IF(OR(AY$4="",MONTH(($G$2+23))&lt;&gt;MONTH($C$2)),"",IF(COUNTIFS(m_teacher,AY$4,m_date,($G$2+23),m_active,1,m_start,"&lt;"&amp;1080,m_end,"&gt;"&amp;1020)=0,"",IF(COUNTIFS(m_teacher,AY$4,m_date,($G$2+23),m_active,1,m_start,"&lt;"&amp;1080,m_end,"&gt;"&amp;1020)&gt;1,"충돌",HYPERLINK("#'관리자_MASTER'!D"&amp;_xlfn.MAXIFS(m_row,m_teacher,AY$4,m_date,($G$2+23),m_active,1,m_start,"&lt;"&amp;1080,m_end,"&gt;"&amp;1020),INDEX(m_label,_xlfn.MAXIFS(m_row,m_teacher,AY$4,m_date,($G$2+23),m_active,1,m_start,"&lt;"&amp;1080,m_end,"&gt;"&amp;1020))))))</f>
        <v/>
      </c>
      <c r="AZ35" s="82" t="str">
        <f aca="false">IF(OR(AZ$4="",MONTH(($G$2+23))&lt;&gt;MONTH($C$2)),"",IF(COUNTIFS(m_teacher,AZ$4,m_date,($G$2+23),m_active,1,m_start,"&lt;"&amp;1080,m_end,"&gt;"&amp;1020)=0,"",IF(COUNTIFS(m_teacher,AZ$4,m_date,($G$2+23),m_active,1,m_start,"&lt;"&amp;1080,m_end,"&gt;"&amp;1020)&gt;1,"충돌",HYPERLINK("#'관리자_MASTER'!D"&amp;_xlfn.MAXIFS(m_row,m_teacher,AZ$4,m_date,($G$2+23),m_active,1,m_start,"&lt;"&amp;1080,m_end,"&gt;"&amp;1020),INDEX(m_label,_xlfn.MAXIFS(m_row,m_teacher,AZ$4,m_date,($G$2+23),m_active,1,m_start,"&lt;"&amp;1080,m_end,"&gt;"&amp;1020))))))</f>
        <v/>
      </c>
      <c r="BA35" s="82" t="str">
        <f aca="false">IF(OR(BA$4="",MONTH(($G$2+23))&lt;&gt;MONTH($C$2)),"",IF(COUNTIFS(m_teacher,BA$4,m_date,($G$2+23),m_active,1,m_start,"&lt;"&amp;1080,m_end,"&gt;"&amp;1020)=0,"",IF(COUNTIFS(m_teacher,BA$4,m_date,($G$2+23),m_active,1,m_start,"&lt;"&amp;1080,m_end,"&gt;"&amp;1020)&gt;1,"충돌",HYPERLINK("#'관리자_MASTER'!D"&amp;_xlfn.MAXIFS(m_row,m_teacher,BA$4,m_date,($G$2+23),m_active,1,m_start,"&lt;"&amp;1080,m_end,"&gt;"&amp;1020),INDEX(m_label,_xlfn.MAXIFS(m_row,m_teacher,BA$4,m_date,($G$2+23),m_active,1,m_start,"&lt;"&amp;1080,m_end,"&gt;"&amp;1020))))))</f>
        <v/>
      </c>
      <c r="BB35" s="82" t="str">
        <f aca="false">IF(OR(BB$4="",MONTH(($G$2+23))&lt;&gt;MONTH($C$2)),"",IF(COUNTIFS(m_teacher,BB$4,m_date,($G$2+23),m_active,1,m_start,"&lt;"&amp;1080,m_end,"&gt;"&amp;1020)=0,"",IF(COUNTIFS(m_teacher,BB$4,m_date,($G$2+23),m_active,1,m_start,"&lt;"&amp;1080,m_end,"&gt;"&amp;1020)&gt;1,"충돌",HYPERLINK("#'관리자_MASTER'!D"&amp;_xlfn.MAXIFS(m_row,m_teacher,BB$4,m_date,($G$2+23),m_active,1,m_start,"&lt;"&amp;1080,m_end,"&gt;"&amp;1020),INDEX(m_label,_xlfn.MAXIFS(m_row,m_teacher,BB$4,m_date,($G$2+23),m_active,1,m_start,"&lt;"&amp;1080,m_end,"&gt;"&amp;1020))))))</f>
        <v/>
      </c>
      <c r="BC35" s="82" t="str">
        <f aca="false">IF(OR(BC$4="",MONTH(($G$2+23))&lt;&gt;MONTH($C$2)),"",IF(COUNTIFS(m_teacher,BC$4,m_date,($G$2+23),m_active,1,m_start,"&lt;"&amp;1080,m_end,"&gt;"&amp;1020)=0,"",IF(COUNTIFS(m_teacher,BC$4,m_date,($G$2+23),m_active,1,m_start,"&lt;"&amp;1080,m_end,"&gt;"&amp;1020)&gt;1,"충돌",HYPERLINK("#'관리자_MASTER'!D"&amp;_xlfn.MAXIFS(m_row,m_teacher,BC$4,m_date,($G$2+23),m_active,1,m_start,"&lt;"&amp;1080,m_end,"&gt;"&amp;1020),INDEX(m_label,_xlfn.MAXIFS(m_row,m_teacher,BC$4,m_date,($G$2+23),m_active,1,m_start,"&lt;"&amp;1080,m_end,"&gt;"&amp;1020))))))</f>
        <v/>
      </c>
      <c r="BD35" s="82" t="str">
        <f aca="false">IF(OR(BD$4="",MONTH(($G$2+23))&lt;&gt;MONTH($C$2)),"",IF(COUNTIFS(m_teacher,BD$4,m_date,($G$2+23),m_active,1,m_start,"&lt;"&amp;1080,m_end,"&gt;"&amp;1020)=0,"",IF(COUNTIFS(m_teacher,BD$4,m_date,($G$2+23),m_active,1,m_start,"&lt;"&amp;1080,m_end,"&gt;"&amp;1020)&gt;1,"충돌",HYPERLINK("#'관리자_MASTER'!D"&amp;_xlfn.MAXIFS(m_row,m_teacher,BD$4,m_date,($G$2+23),m_active,1,m_start,"&lt;"&amp;1080,m_end,"&gt;"&amp;1020),INDEX(m_label,_xlfn.MAXIFS(m_row,m_teacher,BD$4,m_date,($G$2+23),m_active,1,m_start,"&lt;"&amp;1080,m_end,"&gt;"&amp;1020))))))</f>
        <v/>
      </c>
    </row>
    <row r="36" customFormat="false" ht="19.5" hidden="false" customHeight="true" outlineLevel="0" collapsed="false">
      <c r="A36" s="78"/>
      <c r="B36" s="79" t="s">
        <v>100</v>
      </c>
      <c r="C36" s="82" t="str">
        <f aca="false">IF(OR(C$4="",MONTH(($G$2+2))&lt;&gt;MONTH($C$2)),"",IF(COUNTIFS(m_teacher,C$4,m_date,($G$2+2),m_active,1,m_start,"&lt;"&amp;1140,m_end,"&gt;"&amp;1080)=0,"",IF(COUNTIFS(m_teacher,C$4,m_date,($G$2+2),m_active,1,m_start,"&lt;"&amp;1140,m_end,"&gt;"&amp;1080)&gt;1,"충돌",HYPERLINK("#'관리자_MASTER'!D"&amp;_xlfn.MAXIFS(m_row,m_teacher,C$4,m_date,($G$2+2),m_active,1,m_start,"&lt;"&amp;1140,m_end,"&gt;"&amp;1080),INDEX(m_label,_xlfn.MAXIFS(m_row,m_teacher,C$4,m_date,($G$2+2),m_active,1,m_start,"&lt;"&amp;1140,m_end,"&gt;"&amp;1080))))))</f>
        <v/>
      </c>
      <c r="D36" s="82" t="str">
        <f aca="false">IF(OR(D$4="",MONTH(($G$2+2))&lt;&gt;MONTH($C$2)),"",IF(COUNTIFS(m_teacher,D$4,m_date,($G$2+2),m_active,1,m_start,"&lt;"&amp;1140,m_end,"&gt;"&amp;1080)=0,"",IF(COUNTIFS(m_teacher,D$4,m_date,($G$2+2),m_active,1,m_start,"&lt;"&amp;1140,m_end,"&gt;"&amp;1080)&gt;1,"충돌",HYPERLINK("#'관리자_MASTER'!D"&amp;_xlfn.MAXIFS(m_row,m_teacher,D$4,m_date,($G$2+2),m_active,1,m_start,"&lt;"&amp;1140,m_end,"&gt;"&amp;1080),INDEX(m_label,_xlfn.MAXIFS(m_row,m_teacher,D$4,m_date,($G$2+2),m_active,1,m_start,"&lt;"&amp;1140,m_end,"&gt;"&amp;1080))))))</f>
        <v/>
      </c>
      <c r="E36" s="82" t="str">
        <f aca="false">IF(OR(E$4="",MONTH(($G$2+2))&lt;&gt;MONTH($C$2)),"",IF(COUNTIFS(m_teacher,E$4,m_date,($G$2+2),m_active,1,m_start,"&lt;"&amp;1140,m_end,"&gt;"&amp;1080)=0,"",IF(COUNTIFS(m_teacher,E$4,m_date,($G$2+2),m_active,1,m_start,"&lt;"&amp;1140,m_end,"&gt;"&amp;1080)&gt;1,"충돌",HYPERLINK("#'관리자_MASTER'!D"&amp;_xlfn.MAXIFS(m_row,m_teacher,E$4,m_date,($G$2+2),m_active,1,m_start,"&lt;"&amp;1140,m_end,"&gt;"&amp;1080),INDEX(m_label,_xlfn.MAXIFS(m_row,m_teacher,E$4,m_date,($G$2+2),m_active,1,m_start,"&lt;"&amp;1140,m_end,"&gt;"&amp;1080))))))</f>
        <v/>
      </c>
      <c r="F36" s="82" t="str">
        <f aca="false">IF(OR(F$4="",MONTH(($G$2+2))&lt;&gt;MONTH($C$2)),"",IF(COUNTIFS(m_teacher,F$4,m_date,($G$2+2),m_active,1,m_start,"&lt;"&amp;1140,m_end,"&gt;"&amp;1080)=0,"",IF(COUNTIFS(m_teacher,F$4,m_date,($G$2+2),m_active,1,m_start,"&lt;"&amp;1140,m_end,"&gt;"&amp;1080)&gt;1,"충돌",HYPERLINK("#'관리자_MASTER'!D"&amp;_xlfn.MAXIFS(m_row,m_teacher,F$4,m_date,($G$2+2),m_active,1,m_start,"&lt;"&amp;1140,m_end,"&gt;"&amp;1080),INDEX(m_label,_xlfn.MAXIFS(m_row,m_teacher,F$4,m_date,($G$2+2),m_active,1,m_start,"&lt;"&amp;1140,m_end,"&gt;"&amp;1080))))))</f>
        <v/>
      </c>
      <c r="G36" s="82" t="str">
        <f aca="false">IF(OR(G$4="",MONTH(($G$2+2))&lt;&gt;MONTH($C$2)),"",IF(COUNTIFS(m_teacher,G$4,m_date,($G$2+2),m_active,1,m_start,"&lt;"&amp;1140,m_end,"&gt;"&amp;1080)=0,"",IF(COUNTIFS(m_teacher,G$4,m_date,($G$2+2),m_active,1,m_start,"&lt;"&amp;1140,m_end,"&gt;"&amp;1080)&gt;1,"충돌",HYPERLINK("#'관리자_MASTER'!D"&amp;_xlfn.MAXIFS(m_row,m_teacher,G$4,m_date,($G$2+2),m_active,1,m_start,"&lt;"&amp;1140,m_end,"&gt;"&amp;1080),INDEX(m_label,_xlfn.MAXIFS(m_row,m_teacher,G$4,m_date,($G$2+2),m_active,1,m_start,"&lt;"&amp;1140,m_end,"&gt;"&amp;1080))))))</f>
        <v/>
      </c>
      <c r="H36" s="82" t="str">
        <f aca="false">IF(OR(H$4="",MONTH(($G$2+2))&lt;&gt;MONTH($C$2)),"",IF(COUNTIFS(m_teacher,H$4,m_date,($G$2+2),m_active,1,m_start,"&lt;"&amp;1140,m_end,"&gt;"&amp;1080)=0,"",IF(COUNTIFS(m_teacher,H$4,m_date,($G$2+2),m_active,1,m_start,"&lt;"&amp;1140,m_end,"&gt;"&amp;1080)&gt;1,"충돌",HYPERLINK("#'관리자_MASTER'!D"&amp;_xlfn.MAXIFS(m_row,m_teacher,H$4,m_date,($G$2+2),m_active,1,m_start,"&lt;"&amp;1140,m_end,"&gt;"&amp;1080),INDEX(m_label,_xlfn.MAXIFS(m_row,m_teacher,H$4,m_date,($G$2+2),m_active,1,m_start,"&lt;"&amp;1140,m_end,"&gt;"&amp;1080))))))</f>
        <v/>
      </c>
      <c r="I36" s="82" t="str">
        <f aca="false">IF(OR(I$4="",MONTH(($G$2+2))&lt;&gt;MONTH($C$2)),"",IF(COUNTIFS(m_teacher,I$4,m_date,($G$2+2),m_active,1,m_start,"&lt;"&amp;1140,m_end,"&gt;"&amp;1080)=0,"",IF(COUNTIFS(m_teacher,I$4,m_date,($G$2+2),m_active,1,m_start,"&lt;"&amp;1140,m_end,"&gt;"&amp;1080)&gt;1,"충돌",HYPERLINK("#'관리자_MASTER'!D"&amp;_xlfn.MAXIFS(m_row,m_teacher,I$4,m_date,($G$2+2),m_active,1,m_start,"&lt;"&amp;1140,m_end,"&gt;"&amp;1080),INDEX(m_label,_xlfn.MAXIFS(m_row,m_teacher,I$4,m_date,($G$2+2),m_active,1,m_start,"&lt;"&amp;1140,m_end,"&gt;"&amp;1080))))))</f>
        <v/>
      </c>
      <c r="J36" s="82" t="str">
        <f aca="false">IF(OR(J$4="",MONTH(($G$2+2))&lt;&gt;MONTH($C$2)),"",IF(COUNTIFS(m_teacher,J$4,m_date,($G$2+2),m_active,1,m_start,"&lt;"&amp;1140,m_end,"&gt;"&amp;1080)=0,"",IF(COUNTIFS(m_teacher,J$4,m_date,($G$2+2),m_active,1,m_start,"&lt;"&amp;1140,m_end,"&gt;"&amp;1080)&gt;1,"충돌",HYPERLINK("#'관리자_MASTER'!D"&amp;_xlfn.MAXIFS(m_row,m_teacher,J$4,m_date,($G$2+2),m_active,1,m_start,"&lt;"&amp;1140,m_end,"&gt;"&amp;1080),INDEX(m_label,_xlfn.MAXIFS(m_row,m_teacher,J$4,m_date,($G$2+2),m_active,1,m_start,"&lt;"&amp;1140,m_end,"&gt;"&amp;1080))))))</f>
        <v/>
      </c>
      <c r="K36" s="82" t="str">
        <f aca="false">IF(OR(K$4="",MONTH(($G$2+2))&lt;&gt;MONTH($C$2)),"",IF(COUNTIFS(m_teacher,K$4,m_date,($G$2+2),m_active,1,m_start,"&lt;"&amp;1140,m_end,"&gt;"&amp;1080)=0,"",IF(COUNTIFS(m_teacher,K$4,m_date,($G$2+2),m_active,1,m_start,"&lt;"&amp;1140,m_end,"&gt;"&amp;1080)&gt;1,"충돌",HYPERLINK("#'관리자_MASTER'!D"&amp;_xlfn.MAXIFS(m_row,m_teacher,K$4,m_date,($G$2+2),m_active,1,m_start,"&lt;"&amp;1140,m_end,"&gt;"&amp;1080),INDEX(m_label,_xlfn.MAXIFS(m_row,m_teacher,K$4,m_date,($G$2+2),m_active,1,m_start,"&lt;"&amp;1140,m_end,"&gt;"&amp;1080))))))</f>
        <v/>
      </c>
      <c r="L36" s="82" t="str">
        <f aca="false">IF(OR(L$4="",MONTH(($G$2+2))&lt;&gt;MONTH($C$2)),"",IF(COUNTIFS(m_teacher,L$4,m_date,($G$2+2),m_active,1,m_start,"&lt;"&amp;1140,m_end,"&gt;"&amp;1080)=0,"",IF(COUNTIFS(m_teacher,L$4,m_date,($G$2+2),m_active,1,m_start,"&lt;"&amp;1140,m_end,"&gt;"&amp;1080)&gt;1,"충돌",HYPERLINK("#'관리자_MASTER'!D"&amp;_xlfn.MAXIFS(m_row,m_teacher,L$4,m_date,($G$2+2),m_active,1,m_start,"&lt;"&amp;1140,m_end,"&gt;"&amp;1080),INDEX(m_label,_xlfn.MAXIFS(m_row,m_teacher,L$4,m_date,($G$2+2),m_active,1,m_start,"&lt;"&amp;1140,m_end,"&gt;"&amp;1080))))))</f>
        <v/>
      </c>
      <c r="M36" s="82" t="str">
        <f aca="false">IF(OR(M$4="",MONTH(($G$2+2))&lt;&gt;MONTH($C$2)),"",IF(COUNTIFS(m_teacher,M$4,m_date,($G$2+2),m_active,1,m_start,"&lt;"&amp;1140,m_end,"&gt;"&amp;1080)=0,"",IF(COUNTIFS(m_teacher,M$4,m_date,($G$2+2),m_active,1,m_start,"&lt;"&amp;1140,m_end,"&gt;"&amp;1080)&gt;1,"충돌",HYPERLINK("#'관리자_MASTER'!D"&amp;_xlfn.MAXIFS(m_row,m_teacher,M$4,m_date,($G$2+2),m_active,1,m_start,"&lt;"&amp;1140,m_end,"&gt;"&amp;1080),INDEX(m_label,_xlfn.MAXIFS(m_row,m_teacher,M$4,m_date,($G$2+2),m_active,1,m_start,"&lt;"&amp;1140,m_end,"&gt;"&amp;1080))))))</f>
        <v/>
      </c>
      <c r="N36" s="82" t="str">
        <f aca="false">IF(OR(N$4="",MONTH(($G$2+2))&lt;&gt;MONTH($C$2)),"",IF(COUNTIFS(m_teacher,N$4,m_date,($G$2+2),m_active,1,m_start,"&lt;"&amp;1140,m_end,"&gt;"&amp;1080)=0,"",IF(COUNTIFS(m_teacher,N$4,m_date,($G$2+2),m_active,1,m_start,"&lt;"&amp;1140,m_end,"&gt;"&amp;1080)&gt;1,"충돌",HYPERLINK("#'관리자_MASTER'!D"&amp;_xlfn.MAXIFS(m_row,m_teacher,N$4,m_date,($G$2+2),m_active,1,m_start,"&lt;"&amp;1140,m_end,"&gt;"&amp;1080),INDEX(m_label,_xlfn.MAXIFS(m_row,m_teacher,N$4,m_date,($G$2+2),m_active,1,m_start,"&lt;"&amp;1140,m_end,"&gt;"&amp;1080))))))</f>
        <v/>
      </c>
      <c r="O36" s="78"/>
      <c r="P36" s="79" t="s">
        <v>100</v>
      </c>
      <c r="Q36" s="82" t="str">
        <f aca="false">IF(OR(Q$4="",MONTH(($G$2+9))&lt;&gt;MONTH($C$2)),"",IF(COUNTIFS(m_teacher,Q$4,m_date,($G$2+9),m_active,1,m_start,"&lt;"&amp;1140,m_end,"&gt;"&amp;1080)=0,"",IF(COUNTIFS(m_teacher,Q$4,m_date,($G$2+9),m_active,1,m_start,"&lt;"&amp;1140,m_end,"&gt;"&amp;1080)&gt;1,"충돌",HYPERLINK("#'관리자_MASTER'!D"&amp;_xlfn.MAXIFS(m_row,m_teacher,Q$4,m_date,($G$2+9),m_active,1,m_start,"&lt;"&amp;1140,m_end,"&gt;"&amp;1080),INDEX(m_label,_xlfn.MAXIFS(m_row,m_teacher,Q$4,m_date,($G$2+9),m_active,1,m_start,"&lt;"&amp;1140,m_end,"&gt;"&amp;1080))))))</f>
        <v/>
      </c>
      <c r="R36" s="82" t="str">
        <f aca="false">IF(OR(R$4="",MONTH(($G$2+9))&lt;&gt;MONTH($C$2)),"",IF(COUNTIFS(m_teacher,R$4,m_date,($G$2+9),m_active,1,m_start,"&lt;"&amp;1140,m_end,"&gt;"&amp;1080)=0,"",IF(COUNTIFS(m_teacher,R$4,m_date,($G$2+9),m_active,1,m_start,"&lt;"&amp;1140,m_end,"&gt;"&amp;1080)&gt;1,"충돌",HYPERLINK("#'관리자_MASTER'!D"&amp;_xlfn.MAXIFS(m_row,m_teacher,R$4,m_date,($G$2+9),m_active,1,m_start,"&lt;"&amp;1140,m_end,"&gt;"&amp;1080),INDEX(m_label,_xlfn.MAXIFS(m_row,m_teacher,R$4,m_date,($G$2+9),m_active,1,m_start,"&lt;"&amp;1140,m_end,"&gt;"&amp;1080))))))</f>
        <v/>
      </c>
      <c r="S36" s="82" t="str">
        <f aca="false">IF(OR(S$4="",MONTH(($G$2+9))&lt;&gt;MONTH($C$2)),"",IF(COUNTIFS(m_teacher,S$4,m_date,($G$2+9),m_active,1,m_start,"&lt;"&amp;1140,m_end,"&gt;"&amp;1080)=0,"",IF(COUNTIFS(m_teacher,S$4,m_date,($G$2+9),m_active,1,m_start,"&lt;"&amp;1140,m_end,"&gt;"&amp;1080)&gt;1,"충돌",HYPERLINK("#'관리자_MASTER'!D"&amp;_xlfn.MAXIFS(m_row,m_teacher,S$4,m_date,($G$2+9),m_active,1,m_start,"&lt;"&amp;1140,m_end,"&gt;"&amp;1080),INDEX(m_label,_xlfn.MAXIFS(m_row,m_teacher,S$4,m_date,($G$2+9),m_active,1,m_start,"&lt;"&amp;1140,m_end,"&gt;"&amp;1080))))))</f>
        <v/>
      </c>
      <c r="T36" s="82" t="str">
        <f aca="false">IF(OR(T$4="",MONTH(($G$2+9))&lt;&gt;MONTH($C$2)),"",IF(COUNTIFS(m_teacher,T$4,m_date,($G$2+9),m_active,1,m_start,"&lt;"&amp;1140,m_end,"&gt;"&amp;1080)=0,"",IF(COUNTIFS(m_teacher,T$4,m_date,($G$2+9),m_active,1,m_start,"&lt;"&amp;1140,m_end,"&gt;"&amp;1080)&gt;1,"충돌",HYPERLINK("#'관리자_MASTER'!D"&amp;_xlfn.MAXIFS(m_row,m_teacher,T$4,m_date,($G$2+9),m_active,1,m_start,"&lt;"&amp;1140,m_end,"&gt;"&amp;1080),INDEX(m_label,_xlfn.MAXIFS(m_row,m_teacher,T$4,m_date,($G$2+9),m_active,1,m_start,"&lt;"&amp;1140,m_end,"&gt;"&amp;1080))))))</f>
        <v/>
      </c>
      <c r="U36" s="82" t="str">
        <f aca="false">IF(OR(U$4="",MONTH(($G$2+9))&lt;&gt;MONTH($C$2)),"",IF(COUNTIFS(m_teacher,U$4,m_date,($G$2+9),m_active,1,m_start,"&lt;"&amp;1140,m_end,"&gt;"&amp;1080)=0,"",IF(COUNTIFS(m_teacher,U$4,m_date,($G$2+9),m_active,1,m_start,"&lt;"&amp;1140,m_end,"&gt;"&amp;1080)&gt;1,"충돌",HYPERLINK("#'관리자_MASTER'!D"&amp;_xlfn.MAXIFS(m_row,m_teacher,U$4,m_date,($G$2+9),m_active,1,m_start,"&lt;"&amp;1140,m_end,"&gt;"&amp;1080),INDEX(m_label,_xlfn.MAXIFS(m_row,m_teacher,U$4,m_date,($G$2+9),m_active,1,m_start,"&lt;"&amp;1140,m_end,"&gt;"&amp;1080))))))</f>
        <v/>
      </c>
      <c r="V36" s="82" t="str">
        <f aca="false">IF(OR(V$4="",MONTH(($G$2+9))&lt;&gt;MONTH($C$2)),"",IF(COUNTIFS(m_teacher,V$4,m_date,($G$2+9),m_active,1,m_start,"&lt;"&amp;1140,m_end,"&gt;"&amp;1080)=0,"",IF(COUNTIFS(m_teacher,V$4,m_date,($G$2+9),m_active,1,m_start,"&lt;"&amp;1140,m_end,"&gt;"&amp;1080)&gt;1,"충돌",HYPERLINK("#'관리자_MASTER'!D"&amp;_xlfn.MAXIFS(m_row,m_teacher,V$4,m_date,($G$2+9),m_active,1,m_start,"&lt;"&amp;1140,m_end,"&gt;"&amp;1080),INDEX(m_label,_xlfn.MAXIFS(m_row,m_teacher,V$4,m_date,($G$2+9),m_active,1,m_start,"&lt;"&amp;1140,m_end,"&gt;"&amp;1080))))))</f>
        <v/>
      </c>
      <c r="W36" s="82" t="str">
        <f aca="false">IF(OR(W$4="",MONTH(($G$2+9))&lt;&gt;MONTH($C$2)),"",IF(COUNTIFS(m_teacher,W$4,m_date,($G$2+9),m_active,1,m_start,"&lt;"&amp;1140,m_end,"&gt;"&amp;1080)=0,"",IF(COUNTIFS(m_teacher,W$4,m_date,($G$2+9),m_active,1,m_start,"&lt;"&amp;1140,m_end,"&gt;"&amp;1080)&gt;1,"충돌",HYPERLINK("#'관리자_MASTER'!D"&amp;_xlfn.MAXIFS(m_row,m_teacher,W$4,m_date,($G$2+9),m_active,1,m_start,"&lt;"&amp;1140,m_end,"&gt;"&amp;1080),INDEX(m_label,_xlfn.MAXIFS(m_row,m_teacher,W$4,m_date,($G$2+9),m_active,1,m_start,"&lt;"&amp;1140,m_end,"&gt;"&amp;1080))))))</f>
        <v/>
      </c>
      <c r="X36" s="82" t="str">
        <f aca="false">IF(OR(X$4="",MONTH(($G$2+9))&lt;&gt;MONTH($C$2)),"",IF(COUNTIFS(m_teacher,X$4,m_date,($G$2+9),m_active,1,m_start,"&lt;"&amp;1140,m_end,"&gt;"&amp;1080)=0,"",IF(COUNTIFS(m_teacher,X$4,m_date,($G$2+9),m_active,1,m_start,"&lt;"&amp;1140,m_end,"&gt;"&amp;1080)&gt;1,"충돌",HYPERLINK("#'관리자_MASTER'!D"&amp;_xlfn.MAXIFS(m_row,m_teacher,X$4,m_date,($G$2+9),m_active,1,m_start,"&lt;"&amp;1140,m_end,"&gt;"&amp;1080),INDEX(m_label,_xlfn.MAXIFS(m_row,m_teacher,X$4,m_date,($G$2+9),m_active,1,m_start,"&lt;"&amp;1140,m_end,"&gt;"&amp;1080))))))</f>
        <v/>
      </c>
      <c r="Y36" s="82" t="str">
        <f aca="false">IF(OR(Y$4="",MONTH(($G$2+9))&lt;&gt;MONTH($C$2)),"",IF(COUNTIFS(m_teacher,Y$4,m_date,($G$2+9),m_active,1,m_start,"&lt;"&amp;1140,m_end,"&gt;"&amp;1080)=0,"",IF(COUNTIFS(m_teacher,Y$4,m_date,($G$2+9),m_active,1,m_start,"&lt;"&amp;1140,m_end,"&gt;"&amp;1080)&gt;1,"충돌",HYPERLINK("#'관리자_MASTER'!D"&amp;_xlfn.MAXIFS(m_row,m_teacher,Y$4,m_date,($G$2+9),m_active,1,m_start,"&lt;"&amp;1140,m_end,"&gt;"&amp;1080),INDEX(m_label,_xlfn.MAXIFS(m_row,m_teacher,Y$4,m_date,($G$2+9),m_active,1,m_start,"&lt;"&amp;1140,m_end,"&gt;"&amp;1080))))))</f>
        <v/>
      </c>
      <c r="Z36" s="82" t="str">
        <f aca="false">IF(OR(Z$4="",MONTH(($G$2+9))&lt;&gt;MONTH($C$2)),"",IF(COUNTIFS(m_teacher,Z$4,m_date,($G$2+9),m_active,1,m_start,"&lt;"&amp;1140,m_end,"&gt;"&amp;1080)=0,"",IF(COUNTIFS(m_teacher,Z$4,m_date,($G$2+9),m_active,1,m_start,"&lt;"&amp;1140,m_end,"&gt;"&amp;1080)&gt;1,"충돌",HYPERLINK("#'관리자_MASTER'!D"&amp;_xlfn.MAXIFS(m_row,m_teacher,Z$4,m_date,($G$2+9),m_active,1,m_start,"&lt;"&amp;1140,m_end,"&gt;"&amp;1080),INDEX(m_label,_xlfn.MAXIFS(m_row,m_teacher,Z$4,m_date,($G$2+9),m_active,1,m_start,"&lt;"&amp;1140,m_end,"&gt;"&amp;1080))))))</f>
        <v/>
      </c>
      <c r="AA36" s="82" t="str">
        <f aca="false">IF(OR(AA$4="",MONTH(($G$2+9))&lt;&gt;MONTH($C$2)),"",IF(COUNTIFS(m_teacher,AA$4,m_date,($G$2+9),m_active,1,m_start,"&lt;"&amp;1140,m_end,"&gt;"&amp;1080)=0,"",IF(COUNTIFS(m_teacher,AA$4,m_date,($G$2+9),m_active,1,m_start,"&lt;"&amp;1140,m_end,"&gt;"&amp;1080)&gt;1,"충돌",HYPERLINK("#'관리자_MASTER'!D"&amp;_xlfn.MAXIFS(m_row,m_teacher,AA$4,m_date,($G$2+9),m_active,1,m_start,"&lt;"&amp;1140,m_end,"&gt;"&amp;1080),INDEX(m_label,_xlfn.MAXIFS(m_row,m_teacher,AA$4,m_date,($G$2+9),m_active,1,m_start,"&lt;"&amp;1140,m_end,"&gt;"&amp;1080))))))</f>
        <v/>
      </c>
      <c r="AB36" s="82" t="str">
        <f aca="false">IF(OR(AB$4="",MONTH(($G$2+9))&lt;&gt;MONTH($C$2)),"",IF(COUNTIFS(m_teacher,AB$4,m_date,($G$2+9),m_active,1,m_start,"&lt;"&amp;1140,m_end,"&gt;"&amp;1080)=0,"",IF(COUNTIFS(m_teacher,AB$4,m_date,($G$2+9),m_active,1,m_start,"&lt;"&amp;1140,m_end,"&gt;"&amp;1080)&gt;1,"충돌",HYPERLINK("#'관리자_MASTER'!D"&amp;_xlfn.MAXIFS(m_row,m_teacher,AB$4,m_date,($G$2+9),m_active,1,m_start,"&lt;"&amp;1140,m_end,"&gt;"&amp;1080),INDEX(m_label,_xlfn.MAXIFS(m_row,m_teacher,AB$4,m_date,($G$2+9),m_active,1,m_start,"&lt;"&amp;1140,m_end,"&gt;"&amp;1080))))))</f>
        <v/>
      </c>
      <c r="AC36" s="78"/>
      <c r="AD36" s="79" t="s">
        <v>100</v>
      </c>
      <c r="AE36" s="82" t="str">
        <f aca="false">IF(OR(AE$4="",MONTH(($G$2+16))&lt;&gt;MONTH($C$2)),"",IF(COUNTIFS(m_teacher,AE$4,m_date,($G$2+16),m_active,1,m_start,"&lt;"&amp;1140,m_end,"&gt;"&amp;1080)=0,"",IF(COUNTIFS(m_teacher,AE$4,m_date,($G$2+16),m_active,1,m_start,"&lt;"&amp;1140,m_end,"&gt;"&amp;1080)&gt;1,"충돌",HYPERLINK("#'관리자_MASTER'!D"&amp;_xlfn.MAXIFS(m_row,m_teacher,AE$4,m_date,($G$2+16),m_active,1,m_start,"&lt;"&amp;1140,m_end,"&gt;"&amp;1080),INDEX(m_label,_xlfn.MAXIFS(m_row,m_teacher,AE$4,m_date,($G$2+16),m_active,1,m_start,"&lt;"&amp;1140,m_end,"&gt;"&amp;1080))))))</f>
        <v/>
      </c>
      <c r="AF36" s="82" t="str">
        <f aca="false">IF(OR(AF$4="",MONTH(($G$2+16))&lt;&gt;MONTH($C$2)),"",IF(COUNTIFS(m_teacher,AF$4,m_date,($G$2+16),m_active,1,m_start,"&lt;"&amp;1140,m_end,"&gt;"&amp;1080)=0,"",IF(COUNTIFS(m_teacher,AF$4,m_date,($G$2+16),m_active,1,m_start,"&lt;"&amp;1140,m_end,"&gt;"&amp;1080)&gt;1,"충돌",HYPERLINK("#'관리자_MASTER'!D"&amp;_xlfn.MAXIFS(m_row,m_teacher,AF$4,m_date,($G$2+16),m_active,1,m_start,"&lt;"&amp;1140,m_end,"&gt;"&amp;1080),INDEX(m_label,_xlfn.MAXIFS(m_row,m_teacher,AF$4,m_date,($G$2+16),m_active,1,m_start,"&lt;"&amp;1140,m_end,"&gt;"&amp;1080))))))</f>
        <v/>
      </c>
      <c r="AG36" s="82" t="str">
        <f aca="false">IF(OR(AG$4="",MONTH(($G$2+16))&lt;&gt;MONTH($C$2)),"",IF(COUNTIFS(m_teacher,AG$4,m_date,($G$2+16),m_active,1,m_start,"&lt;"&amp;1140,m_end,"&gt;"&amp;1080)=0,"",IF(COUNTIFS(m_teacher,AG$4,m_date,($G$2+16),m_active,1,m_start,"&lt;"&amp;1140,m_end,"&gt;"&amp;1080)&gt;1,"충돌",HYPERLINK("#'관리자_MASTER'!D"&amp;_xlfn.MAXIFS(m_row,m_teacher,AG$4,m_date,($G$2+16),m_active,1,m_start,"&lt;"&amp;1140,m_end,"&gt;"&amp;1080),INDEX(m_label,_xlfn.MAXIFS(m_row,m_teacher,AG$4,m_date,($G$2+16),m_active,1,m_start,"&lt;"&amp;1140,m_end,"&gt;"&amp;1080))))))</f>
        <v/>
      </c>
      <c r="AH36" s="82" t="str">
        <f aca="false">IF(OR(AH$4="",MONTH(($G$2+16))&lt;&gt;MONTH($C$2)),"",IF(COUNTIFS(m_teacher,AH$4,m_date,($G$2+16),m_active,1,m_start,"&lt;"&amp;1140,m_end,"&gt;"&amp;1080)=0,"",IF(COUNTIFS(m_teacher,AH$4,m_date,($G$2+16),m_active,1,m_start,"&lt;"&amp;1140,m_end,"&gt;"&amp;1080)&gt;1,"충돌",HYPERLINK("#'관리자_MASTER'!D"&amp;_xlfn.MAXIFS(m_row,m_teacher,AH$4,m_date,($G$2+16),m_active,1,m_start,"&lt;"&amp;1140,m_end,"&gt;"&amp;1080),INDEX(m_label,_xlfn.MAXIFS(m_row,m_teacher,AH$4,m_date,($G$2+16),m_active,1,m_start,"&lt;"&amp;1140,m_end,"&gt;"&amp;1080))))))</f>
        <v/>
      </c>
      <c r="AI36" s="82" t="str">
        <f aca="false">IF(OR(AI$4="",MONTH(($G$2+16))&lt;&gt;MONTH($C$2)),"",IF(COUNTIFS(m_teacher,AI$4,m_date,($G$2+16),m_active,1,m_start,"&lt;"&amp;1140,m_end,"&gt;"&amp;1080)=0,"",IF(COUNTIFS(m_teacher,AI$4,m_date,($G$2+16),m_active,1,m_start,"&lt;"&amp;1140,m_end,"&gt;"&amp;1080)&gt;1,"충돌",HYPERLINK("#'관리자_MASTER'!D"&amp;_xlfn.MAXIFS(m_row,m_teacher,AI$4,m_date,($G$2+16),m_active,1,m_start,"&lt;"&amp;1140,m_end,"&gt;"&amp;1080),INDEX(m_label,_xlfn.MAXIFS(m_row,m_teacher,AI$4,m_date,($G$2+16),m_active,1,m_start,"&lt;"&amp;1140,m_end,"&gt;"&amp;1080))))))</f>
        <v/>
      </c>
      <c r="AJ36" s="82" t="str">
        <f aca="false">IF(OR(AJ$4="",MONTH(($G$2+16))&lt;&gt;MONTH($C$2)),"",IF(COUNTIFS(m_teacher,AJ$4,m_date,($G$2+16),m_active,1,m_start,"&lt;"&amp;1140,m_end,"&gt;"&amp;1080)=0,"",IF(COUNTIFS(m_teacher,AJ$4,m_date,($G$2+16),m_active,1,m_start,"&lt;"&amp;1140,m_end,"&gt;"&amp;1080)&gt;1,"충돌",HYPERLINK("#'관리자_MASTER'!D"&amp;_xlfn.MAXIFS(m_row,m_teacher,AJ$4,m_date,($G$2+16),m_active,1,m_start,"&lt;"&amp;1140,m_end,"&gt;"&amp;1080),INDEX(m_label,_xlfn.MAXIFS(m_row,m_teacher,AJ$4,m_date,($G$2+16),m_active,1,m_start,"&lt;"&amp;1140,m_end,"&gt;"&amp;1080))))))</f>
        <v/>
      </c>
      <c r="AK36" s="82" t="str">
        <f aca="false">IF(OR(AK$4="",MONTH(($G$2+16))&lt;&gt;MONTH($C$2)),"",IF(COUNTIFS(m_teacher,AK$4,m_date,($G$2+16),m_active,1,m_start,"&lt;"&amp;1140,m_end,"&gt;"&amp;1080)=0,"",IF(COUNTIFS(m_teacher,AK$4,m_date,($G$2+16),m_active,1,m_start,"&lt;"&amp;1140,m_end,"&gt;"&amp;1080)&gt;1,"충돌",HYPERLINK("#'관리자_MASTER'!D"&amp;_xlfn.MAXIFS(m_row,m_teacher,AK$4,m_date,($G$2+16),m_active,1,m_start,"&lt;"&amp;1140,m_end,"&gt;"&amp;1080),INDEX(m_label,_xlfn.MAXIFS(m_row,m_teacher,AK$4,m_date,($G$2+16),m_active,1,m_start,"&lt;"&amp;1140,m_end,"&gt;"&amp;1080))))))</f>
        <v/>
      </c>
      <c r="AL36" s="82" t="str">
        <f aca="false">IF(OR(AL$4="",MONTH(($G$2+16))&lt;&gt;MONTH($C$2)),"",IF(COUNTIFS(m_teacher,AL$4,m_date,($G$2+16),m_active,1,m_start,"&lt;"&amp;1140,m_end,"&gt;"&amp;1080)=0,"",IF(COUNTIFS(m_teacher,AL$4,m_date,($G$2+16),m_active,1,m_start,"&lt;"&amp;1140,m_end,"&gt;"&amp;1080)&gt;1,"충돌",HYPERLINK("#'관리자_MASTER'!D"&amp;_xlfn.MAXIFS(m_row,m_teacher,AL$4,m_date,($G$2+16),m_active,1,m_start,"&lt;"&amp;1140,m_end,"&gt;"&amp;1080),INDEX(m_label,_xlfn.MAXIFS(m_row,m_teacher,AL$4,m_date,($G$2+16),m_active,1,m_start,"&lt;"&amp;1140,m_end,"&gt;"&amp;1080))))))</f>
        <v/>
      </c>
      <c r="AM36" s="82" t="str">
        <f aca="false">IF(OR(AM$4="",MONTH(($G$2+16))&lt;&gt;MONTH($C$2)),"",IF(COUNTIFS(m_teacher,AM$4,m_date,($G$2+16),m_active,1,m_start,"&lt;"&amp;1140,m_end,"&gt;"&amp;1080)=0,"",IF(COUNTIFS(m_teacher,AM$4,m_date,($G$2+16),m_active,1,m_start,"&lt;"&amp;1140,m_end,"&gt;"&amp;1080)&gt;1,"충돌",HYPERLINK("#'관리자_MASTER'!D"&amp;_xlfn.MAXIFS(m_row,m_teacher,AM$4,m_date,($G$2+16),m_active,1,m_start,"&lt;"&amp;1140,m_end,"&gt;"&amp;1080),INDEX(m_label,_xlfn.MAXIFS(m_row,m_teacher,AM$4,m_date,($G$2+16),m_active,1,m_start,"&lt;"&amp;1140,m_end,"&gt;"&amp;1080))))))</f>
        <v/>
      </c>
      <c r="AN36" s="82" t="str">
        <f aca="false">IF(OR(AN$4="",MONTH(($G$2+16))&lt;&gt;MONTH($C$2)),"",IF(COUNTIFS(m_teacher,AN$4,m_date,($G$2+16),m_active,1,m_start,"&lt;"&amp;1140,m_end,"&gt;"&amp;1080)=0,"",IF(COUNTIFS(m_teacher,AN$4,m_date,($G$2+16),m_active,1,m_start,"&lt;"&amp;1140,m_end,"&gt;"&amp;1080)&gt;1,"충돌",HYPERLINK("#'관리자_MASTER'!D"&amp;_xlfn.MAXIFS(m_row,m_teacher,AN$4,m_date,($G$2+16),m_active,1,m_start,"&lt;"&amp;1140,m_end,"&gt;"&amp;1080),INDEX(m_label,_xlfn.MAXIFS(m_row,m_teacher,AN$4,m_date,($G$2+16),m_active,1,m_start,"&lt;"&amp;1140,m_end,"&gt;"&amp;1080))))))</f>
        <v/>
      </c>
      <c r="AO36" s="82" t="str">
        <f aca="false">IF(OR(AO$4="",MONTH(($G$2+16))&lt;&gt;MONTH($C$2)),"",IF(COUNTIFS(m_teacher,AO$4,m_date,($G$2+16),m_active,1,m_start,"&lt;"&amp;1140,m_end,"&gt;"&amp;1080)=0,"",IF(COUNTIFS(m_teacher,AO$4,m_date,($G$2+16),m_active,1,m_start,"&lt;"&amp;1140,m_end,"&gt;"&amp;1080)&gt;1,"충돌",HYPERLINK("#'관리자_MASTER'!D"&amp;_xlfn.MAXIFS(m_row,m_teacher,AO$4,m_date,($G$2+16),m_active,1,m_start,"&lt;"&amp;1140,m_end,"&gt;"&amp;1080),INDEX(m_label,_xlfn.MAXIFS(m_row,m_teacher,AO$4,m_date,($G$2+16),m_active,1,m_start,"&lt;"&amp;1140,m_end,"&gt;"&amp;1080))))))</f>
        <v/>
      </c>
      <c r="AP36" s="82" t="str">
        <f aca="false">IF(OR(AP$4="",MONTH(($G$2+16))&lt;&gt;MONTH($C$2)),"",IF(COUNTIFS(m_teacher,AP$4,m_date,($G$2+16),m_active,1,m_start,"&lt;"&amp;1140,m_end,"&gt;"&amp;1080)=0,"",IF(COUNTIFS(m_teacher,AP$4,m_date,($G$2+16),m_active,1,m_start,"&lt;"&amp;1140,m_end,"&gt;"&amp;1080)&gt;1,"충돌",HYPERLINK("#'관리자_MASTER'!D"&amp;_xlfn.MAXIFS(m_row,m_teacher,AP$4,m_date,($G$2+16),m_active,1,m_start,"&lt;"&amp;1140,m_end,"&gt;"&amp;1080),INDEX(m_label,_xlfn.MAXIFS(m_row,m_teacher,AP$4,m_date,($G$2+16),m_active,1,m_start,"&lt;"&amp;1140,m_end,"&gt;"&amp;1080))))))</f>
        <v/>
      </c>
      <c r="AQ36" s="78"/>
      <c r="AR36" s="79" t="s">
        <v>100</v>
      </c>
      <c r="AS36" s="82" t="str">
        <f aca="false">IF(OR(AS$4="",MONTH(($G$2+23))&lt;&gt;MONTH($C$2)),"",IF(COUNTIFS(m_teacher,AS$4,m_date,($G$2+23),m_active,1,m_start,"&lt;"&amp;1140,m_end,"&gt;"&amp;1080)=0,"",IF(COUNTIFS(m_teacher,AS$4,m_date,($G$2+23),m_active,1,m_start,"&lt;"&amp;1140,m_end,"&gt;"&amp;1080)&gt;1,"충돌",HYPERLINK("#'관리자_MASTER'!D"&amp;_xlfn.MAXIFS(m_row,m_teacher,AS$4,m_date,($G$2+23),m_active,1,m_start,"&lt;"&amp;1140,m_end,"&gt;"&amp;1080),INDEX(m_label,_xlfn.MAXIFS(m_row,m_teacher,AS$4,m_date,($G$2+23),m_active,1,m_start,"&lt;"&amp;1140,m_end,"&gt;"&amp;1080))))))</f>
        <v/>
      </c>
      <c r="AT36" s="82" t="str">
        <f aca="false">IF(OR(AT$4="",MONTH(($G$2+23))&lt;&gt;MONTH($C$2)),"",IF(COUNTIFS(m_teacher,AT$4,m_date,($G$2+23),m_active,1,m_start,"&lt;"&amp;1140,m_end,"&gt;"&amp;1080)=0,"",IF(COUNTIFS(m_teacher,AT$4,m_date,($G$2+23),m_active,1,m_start,"&lt;"&amp;1140,m_end,"&gt;"&amp;1080)&gt;1,"충돌",HYPERLINK("#'관리자_MASTER'!D"&amp;_xlfn.MAXIFS(m_row,m_teacher,AT$4,m_date,($G$2+23),m_active,1,m_start,"&lt;"&amp;1140,m_end,"&gt;"&amp;1080),INDEX(m_label,_xlfn.MAXIFS(m_row,m_teacher,AT$4,m_date,($G$2+23),m_active,1,m_start,"&lt;"&amp;1140,m_end,"&gt;"&amp;1080))))))</f>
        <v/>
      </c>
      <c r="AU36" s="82" t="str">
        <f aca="false">IF(OR(AU$4="",MONTH(($G$2+23))&lt;&gt;MONTH($C$2)),"",IF(COUNTIFS(m_teacher,AU$4,m_date,($G$2+23),m_active,1,m_start,"&lt;"&amp;1140,m_end,"&gt;"&amp;1080)=0,"",IF(COUNTIFS(m_teacher,AU$4,m_date,($G$2+23),m_active,1,m_start,"&lt;"&amp;1140,m_end,"&gt;"&amp;1080)&gt;1,"충돌",HYPERLINK("#'관리자_MASTER'!D"&amp;_xlfn.MAXIFS(m_row,m_teacher,AU$4,m_date,($G$2+23),m_active,1,m_start,"&lt;"&amp;1140,m_end,"&gt;"&amp;1080),INDEX(m_label,_xlfn.MAXIFS(m_row,m_teacher,AU$4,m_date,($G$2+23),m_active,1,m_start,"&lt;"&amp;1140,m_end,"&gt;"&amp;1080))))))</f>
        <v/>
      </c>
      <c r="AV36" s="82" t="str">
        <f aca="false">IF(OR(AV$4="",MONTH(($G$2+23))&lt;&gt;MONTH($C$2)),"",IF(COUNTIFS(m_teacher,AV$4,m_date,($G$2+23),m_active,1,m_start,"&lt;"&amp;1140,m_end,"&gt;"&amp;1080)=0,"",IF(COUNTIFS(m_teacher,AV$4,m_date,($G$2+23),m_active,1,m_start,"&lt;"&amp;1140,m_end,"&gt;"&amp;1080)&gt;1,"충돌",HYPERLINK("#'관리자_MASTER'!D"&amp;_xlfn.MAXIFS(m_row,m_teacher,AV$4,m_date,($G$2+23),m_active,1,m_start,"&lt;"&amp;1140,m_end,"&gt;"&amp;1080),INDEX(m_label,_xlfn.MAXIFS(m_row,m_teacher,AV$4,m_date,($G$2+23),m_active,1,m_start,"&lt;"&amp;1140,m_end,"&gt;"&amp;1080))))))</f>
        <v/>
      </c>
      <c r="AW36" s="82" t="str">
        <f aca="false">IF(OR(AW$4="",MONTH(($G$2+23))&lt;&gt;MONTH($C$2)),"",IF(COUNTIFS(m_teacher,AW$4,m_date,($G$2+23),m_active,1,m_start,"&lt;"&amp;1140,m_end,"&gt;"&amp;1080)=0,"",IF(COUNTIFS(m_teacher,AW$4,m_date,($G$2+23),m_active,1,m_start,"&lt;"&amp;1140,m_end,"&gt;"&amp;1080)&gt;1,"충돌",HYPERLINK("#'관리자_MASTER'!D"&amp;_xlfn.MAXIFS(m_row,m_teacher,AW$4,m_date,($G$2+23),m_active,1,m_start,"&lt;"&amp;1140,m_end,"&gt;"&amp;1080),INDEX(m_label,_xlfn.MAXIFS(m_row,m_teacher,AW$4,m_date,($G$2+23),m_active,1,m_start,"&lt;"&amp;1140,m_end,"&gt;"&amp;1080))))))</f>
        <v/>
      </c>
      <c r="AX36" s="82" t="str">
        <f aca="false">IF(OR(AX$4="",MONTH(($G$2+23))&lt;&gt;MONTH($C$2)),"",IF(COUNTIFS(m_teacher,AX$4,m_date,($G$2+23),m_active,1,m_start,"&lt;"&amp;1140,m_end,"&gt;"&amp;1080)=0,"",IF(COUNTIFS(m_teacher,AX$4,m_date,($G$2+23),m_active,1,m_start,"&lt;"&amp;1140,m_end,"&gt;"&amp;1080)&gt;1,"충돌",HYPERLINK("#'관리자_MASTER'!D"&amp;_xlfn.MAXIFS(m_row,m_teacher,AX$4,m_date,($G$2+23),m_active,1,m_start,"&lt;"&amp;1140,m_end,"&gt;"&amp;1080),INDEX(m_label,_xlfn.MAXIFS(m_row,m_teacher,AX$4,m_date,($G$2+23),m_active,1,m_start,"&lt;"&amp;1140,m_end,"&gt;"&amp;1080))))))</f>
        <v/>
      </c>
      <c r="AY36" s="82" t="str">
        <f aca="false">IF(OR(AY$4="",MONTH(($G$2+23))&lt;&gt;MONTH($C$2)),"",IF(COUNTIFS(m_teacher,AY$4,m_date,($G$2+23),m_active,1,m_start,"&lt;"&amp;1140,m_end,"&gt;"&amp;1080)=0,"",IF(COUNTIFS(m_teacher,AY$4,m_date,($G$2+23),m_active,1,m_start,"&lt;"&amp;1140,m_end,"&gt;"&amp;1080)&gt;1,"충돌",HYPERLINK("#'관리자_MASTER'!D"&amp;_xlfn.MAXIFS(m_row,m_teacher,AY$4,m_date,($G$2+23),m_active,1,m_start,"&lt;"&amp;1140,m_end,"&gt;"&amp;1080),INDEX(m_label,_xlfn.MAXIFS(m_row,m_teacher,AY$4,m_date,($G$2+23),m_active,1,m_start,"&lt;"&amp;1140,m_end,"&gt;"&amp;1080))))))</f>
        <v/>
      </c>
      <c r="AZ36" s="82" t="str">
        <f aca="false">IF(OR(AZ$4="",MONTH(($G$2+23))&lt;&gt;MONTH($C$2)),"",IF(COUNTIFS(m_teacher,AZ$4,m_date,($G$2+23),m_active,1,m_start,"&lt;"&amp;1140,m_end,"&gt;"&amp;1080)=0,"",IF(COUNTIFS(m_teacher,AZ$4,m_date,($G$2+23),m_active,1,m_start,"&lt;"&amp;1140,m_end,"&gt;"&amp;1080)&gt;1,"충돌",HYPERLINK("#'관리자_MASTER'!D"&amp;_xlfn.MAXIFS(m_row,m_teacher,AZ$4,m_date,($G$2+23),m_active,1,m_start,"&lt;"&amp;1140,m_end,"&gt;"&amp;1080),INDEX(m_label,_xlfn.MAXIFS(m_row,m_teacher,AZ$4,m_date,($G$2+23),m_active,1,m_start,"&lt;"&amp;1140,m_end,"&gt;"&amp;1080))))))</f>
        <v/>
      </c>
      <c r="BA36" s="82" t="str">
        <f aca="false">IF(OR(BA$4="",MONTH(($G$2+23))&lt;&gt;MONTH($C$2)),"",IF(COUNTIFS(m_teacher,BA$4,m_date,($G$2+23),m_active,1,m_start,"&lt;"&amp;1140,m_end,"&gt;"&amp;1080)=0,"",IF(COUNTIFS(m_teacher,BA$4,m_date,($G$2+23),m_active,1,m_start,"&lt;"&amp;1140,m_end,"&gt;"&amp;1080)&gt;1,"충돌",HYPERLINK("#'관리자_MASTER'!D"&amp;_xlfn.MAXIFS(m_row,m_teacher,BA$4,m_date,($G$2+23),m_active,1,m_start,"&lt;"&amp;1140,m_end,"&gt;"&amp;1080),INDEX(m_label,_xlfn.MAXIFS(m_row,m_teacher,BA$4,m_date,($G$2+23),m_active,1,m_start,"&lt;"&amp;1140,m_end,"&gt;"&amp;1080))))))</f>
        <v/>
      </c>
      <c r="BB36" s="82" t="str">
        <f aca="false">IF(OR(BB$4="",MONTH(($G$2+23))&lt;&gt;MONTH($C$2)),"",IF(COUNTIFS(m_teacher,BB$4,m_date,($G$2+23),m_active,1,m_start,"&lt;"&amp;1140,m_end,"&gt;"&amp;1080)=0,"",IF(COUNTIFS(m_teacher,BB$4,m_date,($G$2+23),m_active,1,m_start,"&lt;"&amp;1140,m_end,"&gt;"&amp;1080)&gt;1,"충돌",HYPERLINK("#'관리자_MASTER'!D"&amp;_xlfn.MAXIFS(m_row,m_teacher,BB$4,m_date,($G$2+23),m_active,1,m_start,"&lt;"&amp;1140,m_end,"&gt;"&amp;1080),INDEX(m_label,_xlfn.MAXIFS(m_row,m_teacher,BB$4,m_date,($G$2+23),m_active,1,m_start,"&lt;"&amp;1140,m_end,"&gt;"&amp;1080))))))</f>
        <v/>
      </c>
      <c r="BC36" s="82" t="str">
        <f aca="false">IF(OR(BC$4="",MONTH(($G$2+23))&lt;&gt;MONTH($C$2)),"",IF(COUNTIFS(m_teacher,BC$4,m_date,($G$2+23),m_active,1,m_start,"&lt;"&amp;1140,m_end,"&gt;"&amp;1080)=0,"",IF(COUNTIFS(m_teacher,BC$4,m_date,($G$2+23),m_active,1,m_start,"&lt;"&amp;1140,m_end,"&gt;"&amp;1080)&gt;1,"충돌",HYPERLINK("#'관리자_MASTER'!D"&amp;_xlfn.MAXIFS(m_row,m_teacher,BC$4,m_date,($G$2+23),m_active,1,m_start,"&lt;"&amp;1140,m_end,"&gt;"&amp;1080),INDEX(m_label,_xlfn.MAXIFS(m_row,m_teacher,BC$4,m_date,($G$2+23),m_active,1,m_start,"&lt;"&amp;1140,m_end,"&gt;"&amp;1080))))))</f>
        <v/>
      </c>
      <c r="BD36" s="82" t="str">
        <f aca="false">IF(OR(BD$4="",MONTH(($G$2+23))&lt;&gt;MONTH($C$2)),"",IF(COUNTIFS(m_teacher,BD$4,m_date,($G$2+23),m_active,1,m_start,"&lt;"&amp;1140,m_end,"&gt;"&amp;1080)=0,"",IF(COUNTIFS(m_teacher,BD$4,m_date,($G$2+23),m_active,1,m_start,"&lt;"&amp;1140,m_end,"&gt;"&amp;1080)&gt;1,"충돌",HYPERLINK("#'관리자_MASTER'!D"&amp;_xlfn.MAXIFS(m_row,m_teacher,BD$4,m_date,($G$2+23),m_active,1,m_start,"&lt;"&amp;1140,m_end,"&gt;"&amp;1080),INDEX(m_label,_xlfn.MAXIFS(m_row,m_teacher,BD$4,m_date,($G$2+23),m_active,1,m_start,"&lt;"&amp;1140,m_end,"&gt;"&amp;1080))))))</f>
        <v/>
      </c>
    </row>
    <row r="37" customFormat="false" ht="19.5" hidden="false" customHeight="true" outlineLevel="0" collapsed="false">
      <c r="A37" s="78"/>
      <c r="B37" s="85" t="s">
        <v>101</v>
      </c>
      <c r="C37" s="86" t="str">
        <f aca="false">IF(OR(C$4="",MONTH(($G$2+2))&lt;&gt;MONTH($C$2)),"",IF(COUNTIFS(m_teacher,C$4,m_date,($G$2+2),m_active,1,m_start,"&lt;"&amp;1440,m_end,"&gt;"&amp;1140)=0,"",IF(COUNTIFS(m_teacher,C$4,m_date,($G$2+2),m_active,1,m_start,"&lt;"&amp;1440,m_end,"&gt;"&amp;1140)&gt;1,"충돌",HYPERLINK("#'관리자_MASTER'!D"&amp;_xlfn.MAXIFS(m_row,m_teacher,C$4,m_date,($G$2+2),m_active,1,m_start,"&lt;"&amp;1440,m_end,"&gt;"&amp;1140),INDEX(m_label,_xlfn.MAXIFS(m_row,m_teacher,C$4,m_date,($G$2+2),m_active,1,m_start,"&lt;"&amp;1440,m_end,"&gt;"&amp;1140))))))</f>
        <v/>
      </c>
      <c r="D37" s="86" t="str">
        <f aca="false">IF(OR(D$4="",MONTH(($G$2+2))&lt;&gt;MONTH($C$2)),"",IF(COUNTIFS(m_teacher,D$4,m_date,($G$2+2),m_active,1,m_start,"&lt;"&amp;1440,m_end,"&gt;"&amp;1140)=0,"",IF(COUNTIFS(m_teacher,D$4,m_date,($G$2+2),m_active,1,m_start,"&lt;"&amp;1440,m_end,"&gt;"&amp;1140)&gt;1,"충돌",HYPERLINK("#'관리자_MASTER'!D"&amp;_xlfn.MAXIFS(m_row,m_teacher,D$4,m_date,($G$2+2),m_active,1,m_start,"&lt;"&amp;1440,m_end,"&gt;"&amp;1140),INDEX(m_label,_xlfn.MAXIFS(m_row,m_teacher,D$4,m_date,($G$2+2),m_active,1,m_start,"&lt;"&amp;1440,m_end,"&gt;"&amp;1140))))))</f>
        <v/>
      </c>
      <c r="E37" s="86" t="str">
        <f aca="false">IF(OR(E$4="",MONTH(($G$2+2))&lt;&gt;MONTH($C$2)),"",IF(COUNTIFS(m_teacher,E$4,m_date,($G$2+2),m_active,1,m_start,"&lt;"&amp;1440,m_end,"&gt;"&amp;1140)=0,"",IF(COUNTIFS(m_teacher,E$4,m_date,($G$2+2),m_active,1,m_start,"&lt;"&amp;1440,m_end,"&gt;"&amp;1140)&gt;1,"충돌",HYPERLINK("#'관리자_MASTER'!D"&amp;_xlfn.MAXIFS(m_row,m_teacher,E$4,m_date,($G$2+2),m_active,1,m_start,"&lt;"&amp;1440,m_end,"&gt;"&amp;1140),INDEX(m_label,_xlfn.MAXIFS(m_row,m_teacher,E$4,m_date,($G$2+2),m_active,1,m_start,"&lt;"&amp;1440,m_end,"&gt;"&amp;1140))))))</f>
        <v/>
      </c>
      <c r="F37" s="86" t="str">
        <f aca="false">IF(OR(F$4="",MONTH(($G$2+2))&lt;&gt;MONTH($C$2)),"",IF(COUNTIFS(m_teacher,F$4,m_date,($G$2+2),m_active,1,m_start,"&lt;"&amp;1440,m_end,"&gt;"&amp;1140)=0,"",IF(COUNTIFS(m_teacher,F$4,m_date,($G$2+2),m_active,1,m_start,"&lt;"&amp;1440,m_end,"&gt;"&amp;1140)&gt;1,"충돌",HYPERLINK("#'관리자_MASTER'!D"&amp;_xlfn.MAXIFS(m_row,m_teacher,F$4,m_date,($G$2+2),m_active,1,m_start,"&lt;"&amp;1440,m_end,"&gt;"&amp;1140),INDEX(m_label,_xlfn.MAXIFS(m_row,m_teacher,F$4,m_date,($G$2+2),m_active,1,m_start,"&lt;"&amp;1440,m_end,"&gt;"&amp;1140))))))</f>
        <v/>
      </c>
      <c r="G37" s="86" t="str">
        <f aca="false">IF(OR(G$4="",MONTH(($G$2+2))&lt;&gt;MONTH($C$2)),"",IF(COUNTIFS(m_teacher,G$4,m_date,($G$2+2),m_active,1,m_start,"&lt;"&amp;1440,m_end,"&gt;"&amp;1140)=0,"",IF(COUNTIFS(m_teacher,G$4,m_date,($G$2+2),m_active,1,m_start,"&lt;"&amp;1440,m_end,"&gt;"&amp;1140)&gt;1,"충돌",HYPERLINK("#'관리자_MASTER'!D"&amp;_xlfn.MAXIFS(m_row,m_teacher,G$4,m_date,($G$2+2),m_active,1,m_start,"&lt;"&amp;1440,m_end,"&gt;"&amp;1140),INDEX(m_label,_xlfn.MAXIFS(m_row,m_teacher,G$4,m_date,($G$2+2),m_active,1,m_start,"&lt;"&amp;1440,m_end,"&gt;"&amp;1140))))))</f>
        <v/>
      </c>
      <c r="H37" s="86" t="str">
        <f aca="false">IF(OR(H$4="",MONTH(($G$2+2))&lt;&gt;MONTH($C$2)),"",IF(COUNTIFS(m_teacher,H$4,m_date,($G$2+2),m_active,1,m_start,"&lt;"&amp;1440,m_end,"&gt;"&amp;1140)=0,"",IF(COUNTIFS(m_teacher,H$4,m_date,($G$2+2),m_active,1,m_start,"&lt;"&amp;1440,m_end,"&gt;"&amp;1140)&gt;1,"충돌",HYPERLINK("#'관리자_MASTER'!D"&amp;_xlfn.MAXIFS(m_row,m_teacher,H$4,m_date,($G$2+2),m_active,1,m_start,"&lt;"&amp;1440,m_end,"&gt;"&amp;1140),INDEX(m_label,_xlfn.MAXIFS(m_row,m_teacher,H$4,m_date,($G$2+2),m_active,1,m_start,"&lt;"&amp;1440,m_end,"&gt;"&amp;1140))))))</f>
        <v/>
      </c>
      <c r="I37" s="86" t="str">
        <f aca="false">IF(OR(I$4="",MONTH(($G$2+2))&lt;&gt;MONTH($C$2)),"",IF(COUNTIFS(m_teacher,I$4,m_date,($G$2+2),m_active,1,m_start,"&lt;"&amp;1440,m_end,"&gt;"&amp;1140)=0,"",IF(COUNTIFS(m_teacher,I$4,m_date,($G$2+2),m_active,1,m_start,"&lt;"&amp;1440,m_end,"&gt;"&amp;1140)&gt;1,"충돌",HYPERLINK("#'관리자_MASTER'!D"&amp;_xlfn.MAXIFS(m_row,m_teacher,I$4,m_date,($G$2+2),m_active,1,m_start,"&lt;"&amp;1440,m_end,"&gt;"&amp;1140),INDEX(m_label,_xlfn.MAXIFS(m_row,m_teacher,I$4,m_date,($G$2+2),m_active,1,m_start,"&lt;"&amp;1440,m_end,"&gt;"&amp;1140))))))</f>
        <v/>
      </c>
      <c r="J37" s="86" t="str">
        <f aca="false">IF(OR(J$4="",MONTH(($G$2+2))&lt;&gt;MONTH($C$2)),"",IF(COUNTIFS(m_teacher,J$4,m_date,($G$2+2),m_active,1,m_start,"&lt;"&amp;1440,m_end,"&gt;"&amp;1140)=0,"",IF(COUNTIFS(m_teacher,J$4,m_date,($G$2+2),m_active,1,m_start,"&lt;"&amp;1440,m_end,"&gt;"&amp;1140)&gt;1,"충돌",HYPERLINK("#'관리자_MASTER'!D"&amp;_xlfn.MAXIFS(m_row,m_teacher,J$4,m_date,($G$2+2),m_active,1,m_start,"&lt;"&amp;1440,m_end,"&gt;"&amp;1140),INDEX(m_label,_xlfn.MAXIFS(m_row,m_teacher,J$4,m_date,($G$2+2),m_active,1,m_start,"&lt;"&amp;1440,m_end,"&gt;"&amp;1140))))))</f>
        <v/>
      </c>
      <c r="K37" s="86" t="str">
        <f aca="false">IF(OR(K$4="",MONTH(($G$2+2))&lt;&gt;MONTH($C$2)),"",IF(COUNTIFS(m_teacher,K$4,m_date,($G$2+2),m_active,1,m_start,"&lt;"&amp;1440,m_end,"&gt;"&amp;1140)=0,"",IF(COUNTIFS(m_teacher,K$4,m_date,($G$2+2),m_active,1,m_start,"&lt;"&amp;1440,m_end,"&gt;"&amp;1140)&gt;1,"충돌",HYPERLINK("#'관리자_MASTER'!D"&amp;_xlfn.MAXIFS(m_row,m_teacher,K$4,m_date,($G$2+2),m_active,1,m_start,"&lt;"&amp;1440,m_end,"&gt;"&amp;1140),INDEX(m_label,_xlfn.MAXIFS(m_row,m_teacher,K$4,m_date,($G$2+2),m_active,1,m_start,"&lt;"&amp;1440,m_end,"&gt;"&amp;1140))))))</f>
        <v/>
      </c>
      <c r="L37" s="86" t="str">
        <f aca="false">IF(OR(L$4="",MONTH(($G$2+2))&lt;&gt;MONTH($C$2)),"",IF(COUNTIFS(m_teacher,L$4,m_date,($G$2+2),m_active,1,m_start,"&lt;"&amp;1440,m_end,"&gt;"&amp;1140)=0,"",IF(COUNTIFS(m_teacher,L$4,m_date,($G$2+2),m_active,1,m_start,"&lt;"&amp;1440,m_end,"&gt;"&amp;1140)&gt;1,"충돌",HYPERLINK("#'관리자_MASTER'!D"&amp;_xlfn.MAXIFS(m_row,m_teacher,L$4,m_date,($G$2+2),m_active,1,m_start,"&lt;"&amp;1440,m_end,"&gt;"&amp;1140),INDEX(m_label,_xlfn.MAXIFS(m_row,m_teacher,L$4,m_date,($G$2+2),m_active,1,m_start,"&lt;"&amp;1440,m_end,"&gt;"&amp;1140))))))</f>
        <v/>
      </c>
      <c r="M37" s="86" t="str">
        <f aca="false">IF(OR(M$4="",MONTH(($G$2+2))&lt;&gt;MONTH($C$2)),"",IF(COUNTIFS(m_teacher,M$4,m_date,($G$2+2),m_active,1,m_start,"&lt;"&amp;1440,m_end,"&gt;"&amp;1140)=0,"",IF(COUNTIFS(m_teacher,M$4,m_date,($G$2+2),m_active,1,m_start,"&lt;"&amp;1440,m_end,"&gt;"&amp;1140)&gt;1,"충돌",HYPERLINK("#'관리자_MASTER'!D"&amp;_xlfn.MAXIFS(m_row,m_teacher,M$4,m_date,($G$2+2),m_active,1,m_start,"&lt;"&amp;1440,m_end,"&gt;"&amp;1140),INDEX(m_label,_xlfn.MAXIFS(m_row,m_teacher,M$4,m_date,($G$2+2),m_active,1,m_start,"&lt;"&amp;1440,m_end,"&gt;"&amp;1140))))))</f>
        <v/>
      </c>
      <c r="N37" s="86" t="str">
        <f aca="false">IF(OR(N$4="",MONTH(($G$2+2))&lt;&gt;MONTH($C$2)),"",IF(COUNTIFS(m_teacher,N$4,m_date,($G$2+2),m_active,1,m_start,"&lt;"&amp;1440,m_end,"&gt;"&amp;1140)=0,"",IF(COUNTIFS(m_teacher,N$4,m_date,($G$2+2),m_active,1,m_start,"&lt;"&amp;1440,m_end,"&gt;"&amp;1140)&gt;1,"충돌",HYPERLINK("#'관리자_MASTER'!D"&amp;_xlfn.MAXIFS(m_row,m_teacher,N$4,m_date,($G$2+2),m_active,1,m_start,"&lt;"&amp;1440,m_end,"&gt;"&amp;1140),INDEX(m_label,_xlfn.MAXIFS(m_row,m_teacher,N$4,m_date,($G$2+2),m_active,1,m_start,"&lt;"&amp;1440,m_end,"&gt;"&amp;1140))))))</f>
        <v/>
      </c>
      <c r="O37" s="78"/>
      <c r="P37" s="85" t="s">
        <v>101</v>
      </c>
      <c r="Q37" s="86" t="str">
        <f aca="false">IF(OR(Q$4="",MONTH(($G$2+9))&lt;&gt;MONTH($C$2)),"",IF(COUNTIFS(m_teacher,Q$4,m_date,($G$2+9),m_active,1,m_start,"&lt;"&amp;1440,m_end,"&gt;"&amp;1140)=0,"",IF(COUNTIFS(m_teacher,Q$4,m_date,($G$2+9),m_active,1,m_start,"&lt;"&amp;1440,m_end,"&gt;"&amp;1140)&gt;1,"충돌",HYPERLINK("#'관리자_MASTER'!D"&amp;_xlfn.MAXIFS(m_row,m_teacher,Q$4,m_date,($G$2+9),m_active,1,m_start,"&lt;"&amp;1440,m_end,"&gt;"&amp;1140),INDEX(m_label,_xlfn.MAXIFS(m_row,m_teacher,Q$4,m_date,($G$2+9),m_active,1,m_start,"&lt;"&amp;1440,m_end,"&gt;"&amp;1140))))))</f>
        <v/>
      </c>
      <c r="R37" s="86" t="str">
        <f aca="false">IF(OR(R$4="",MONTH(($G$2+9))&lt;&gt;MONTH($C$2)),"",IF(COUNTIFS(m_teacher,R$4,m_date,($G$2+9),m_active,1,m_start,"&lt;"&amp;1440,m_end,"&gt;"&amp;1140)=0,"",IF(COUNTIFS(m_teacher,R$4,m_date,($G$2+9),m_active,1,m_start,"&lt;"&amp;1440,m_end,"&gt;"&amp;1140)&gt;1,"충돌",HYPERLINK("#'관리자_MASTER'!D"&amp;_xlfn.MAXIFS(m_row,m_teacher,R$4,m_date,($G$2+9),m_active,1,m_start,"&lt;"&amp;1440,m_end,"&gt;"&amp;1140),INDEX(m_label,_xlfn.MAXIFS(m_row,m_teacher,R$4,m_date,($G$2+9),m_active,1,m_start,"&lt;"&amp;1440,m_end,"&gt;"&amp;1140))))))</f>
        <v/>
      </c>
      <c r="S37" s="86" t="str">
        <f aca="false">IF(OR(S$4="",MONTH(($G$2+9))&lt;&gt;MONTH($C$2)),"",IF(COUNTIFS(m_teacher,S$4,m_date,($G$2+9),m_active,1,m_start,"&lt;"&amp;1440,m_end,"&gt;"&amp;1140)=0,"",IF(COUNTIFS(m_teacher,S$4,m_date,($G$2+9),m_active,1,m_start,"&lt;"&amp;1440,m_end,"&gt;"&amp;1140)&gt;1,"충돌",HYPERLINK("#'관리자_MASTER'!D"&amp;_xlfn.MAXIFS(m_row,m_teacher,S$4,m_date,($G$2+9),m_active,1,m_start,"&lt;"&amp;1440,m_end,"&gt;"&amp;1140),INDEX(m_label,_xlfn.MAXIFS(m_row,m_teacher,S$4,m_date,($G$2+9),m_active,1,m_start,"&lt;"&amp;1440,m_end,"&gt;"&amp;1140))))))</f>
        <v/>
      </c>
      <c r="T37" s="86" t="str">
        <f aca="false">IF(OR(T$4="",MONTH(($G$2+9))&lt;&gt;MONTH($C$2)),"",IF(COUNTIFS(m_teacher,T$4,m_date,($G$2+9),m_active,1,m_start,"&lt;"&amp;1440,m_end,"&gt;"&amp;1140)=0,"",IF(COUNTIFS(m_teacher,T$4,m_date,($G$2+9),m_active,1,m_start,"&lt;"&amp;1440,m_end,"&gt;"&amp;1140)&gt;1,"충돌",HYPERLINK("#'관리자_MASTER'!D"&amp;_xlfn.MAXIFS(m_row,m_teacher,T$4,m_date,($G$2+9),m_active,1,m_start,"&lt;"&amp;1440,m_end,"&gt;"&amp;1140),INDEX(m_label,_xlfn.MAXIFS(m_row,m_teacher,T$4,m_date,($G$2+9),m_active,1,m_start,"&lt;"&amp;1440,m_end,"&gt;"&amp;1140))))))</f>
        <v/>
      </c>
      <c r="U37" s="86" t="str">
        <f aca="false">IF(OR(U$4="",MONTH(($G$2+9))&lt;&gt;MONTH($C$2)),"",IF(COUNTIFS(m_teacher,U$4,m_date,($G$2+9),m_active,1,m_start,"&lt;"&amp;1440,m_end,"&gt;"&amp;1140)=0,"",IF(COUNTIFS(m_teacher,U$4,m_date,($G$2+9),m_active,1,m_start,"&lt;"&amp;1440,m_end,"&gt;"&amp;1140)&gt;1,"충돌",HYPERLINK("#'관리자_MASTER'!D"&amp;_xlfn.MAXIFS(m_row,m_teacher,U$4,m_date,($G$2+9),m_active,1,m_start,"&lt;"&amp;1440,m_end,"&gt;"&amp;1140),INDEX(m_label,_xlfn.MAXIFS(m_row,m_teacher,U$4,m_date,($G$2+9),m_active,1,m_start,"&lt;"&amp;1440,m_end,"&gt;"&amp;1140))))))</f>
        <v/>
      </c>
      <c r="V37" s="86" t="str">
        <f aca="false">IF(OR(V$4="",MONTH(($G$2+9))&lt;&gt;MONTH($C$2)),"",IF(COUNTIFS(m_teacher,V$4,m_date,($G$2+9),m_active,1,m_start,"&lt;"&amp;1440,m_end,"&gt;"&amp;1140)=0,"",IF(COUNTIFS(m_teacher,V$4,m_date,($G$2+9),m_active,1,m_start,"&lt;"&amp;1440,m_end,"&gt;"&amp;1140)&gt;1,"충돌",HYPERLINK("#'관리자_MASTER'!D"&amp;_xlfn.MAXIFS(m_row,m_teacher,V$4,m_date,($G$2+9),m_active,1,m_start,"&lt;"&amp;1440,m_end,"&gt;"&amp;1140),INDEX(m_label,_xlfn.MAXIFS(m_row,m_teacher,V$4,m_date,($G$2+9),m_active,1,m_start,"&lt;"&amp;1440,m_end,"&gt;"&amp;1140))))))</f>
        <v/>
      </c>
      <c r="W37" s="86" t="str">
        <f aca="false">IF(OR(W$4="",MONTH(($G$2+9))&lt;&gt;MONTH($C$2)),"",IF(COUNTIFS(m_teacher,W$4,m_date,($G$2+9),m_active,1,m_start,"&lt;"&amp;1440,m_end,"&gt;"&amp;1140)=0,"",IF(COUNTIFS(m_teacher,W$4,m_date,($G$2+9),m_active,1,m_start,"&lt;"&amp;1440,m_end,"&gt;"&amp;1140)&gt;1,"충돌",HYPERLINK("#'관리자_MASTER'!D"&amp;_xlfn.MAXIFS(m_row,m_teacher,W$4,m_date,($G$2+9),m_active,1,m_start,"&lt;"&amp;1440,m_end,"&gt;"&amp;1140),INDEX(m_label,_xlfn.MAXIFS(m_row,m_teacher,W$4,m_date,($G$2+9),m_active,1,m_start,"&lt;"&amp;1440,m_end,"&gt;"&amp;1140))))))</f>
        <v/>
      </c>
      <c r="X37" s="86" t="str">
        <f aca="false">IF(OR(X$4="",MONTH(($G$2+9))&lt;&gt;MONTH($C$2)),"",IF(COUNTIFS(m_teacher,X$4,m_date,($G$2+9),m_active,1,m_start,"&lt;"&amp;1440,m_end,"&gt;"&amp;1140)=0,"",IF(COUNTIFS(m_teacher,X$4,m_date,($G$2+9),m_active,1,m_start,"&lt;"&amp;1440,m_end,"&gt;"&amp;1140)&gt;1,"충돌",HYPERLINK("#'관리자_MASTER'!D"&amp;_xlfn.MAXIFS(m_row,m_teacher,X$4,m_date,($G$2+9),m_active,1,m_start,"&lt;"&amp;1440,m_end,"&gt;"&amp;1140),INDEX(m_label,_xlfn.MAXIFS(m_row,m_teacher,X$4,m_date,($G$2+9),m_active,1,m_start,"&lt;"&amp;1440,m_end,"&gt;"&amp;1140))))))</f>
        <v/>
      </c>
      <c r="Y37" s="86" t="str">
        <f aca="false">IF(OR(Y$4="",MONTH(($G$2+9))&lt;&gt;MONTH($C$2)),"",IF(COUNTIFS(m_teacher,Y$4,m_date,($G$2+9),m_active,1,m_start,"&lt;"&amp;1440,m_end,"&gt;"&amp;1140)=0,"",IF(COUNTIFS(m_teacher,Y$4,m_date,($G$2+9),m_active,1,m_start,"&lt;"&amp;1440,m_end,"&gt;"&amp;1140)&gt;1,"충돌",HYPERLINK("#'관리자_MASTER'!D"&amp;_xlfn.MAXIFS(m_row,m_teacher,Y$4,m_date,($G$2+9),m_active,1,m_start,"&lt;"&amp;1440,m_end,"&gt;"&amp;1140),INDEX(m_label,_xlfn.MAXIFS(m_row,m_teacher,Y$4,m_date,($G$2+9),m_active,1,m_start,"&lt;"&amp;1440,m_end,"&gt;"&amp;1140))))))</f>
        <v/>
      </c>
      <c r="Z37" s="86" t="str">
        <f aca="false">IF(OR(Z$4="",MONTH(($G$2+9))&lt;&gt;MONTH($C$2)),"",IF(COUNTIFS(m_teacher,Z$4,m_date,($G$2+9),m_active,1,m_start,"&lt;"&amp;1440,m_end,"&gt;"&amp;1140)=0,"",IF(COUNTIFS(m_teacher,Z$4,m_date,($G$2+9),m_active,1,m_start,"&lt;"&amp;1440,m_end,"&gt;"&amp;1140)&gt;1,"충돌",HYPERLINK("#'관리자_MASTER'!D"&amp;_xlfn.MAXIFS(m_row,m_teacher,Z$4,m_date,($G$2+9),m_active,1,m_start,"&lt;"&amp;1440,m_end,"&gt;"&amp;1140),INDEX(m_label,_xlfn.MAXIFS(m_row,m_teacher,Z$4,m_date,($G$2+9),m_active,1,m_start,"&lt;"&amp;1440,m_end,"&gt;"&amp;1140))))))</f>
        <v/>
      </c>
      <c r="AA37" s="86" t="str">
        <f aca="false">IF(OR(AA$4="",MONTH(($G$2+9))&lt;&gt;MONTH($C$2)),"",IF(COUNTIFS(m_teacher,AA$4,m_date,($G$2+9),m_active,1,m_start,"&lt;"&amp;1440,m_end,"&gt;"&amp;1140)=0,"",IF(COUNTIFS(m_teacher,AA$4,m_date,($G$2+9),m_active,1,m_start,"&lt;"&amp;1440,m_end,"&gt;"&amp;1140)&gt;1,"충돌",HYPERLINK("#'관리자_MASTER'!D"&amp;_xlfn.MAXIFS(m_row,m_teacher,AA$4,m_date,($G$2+9),m_active,1,m_start,"&lt;"&amp;1440,m_end,"&gt;"&amp;1140),INDEX(m_label,_xlfn.MAXIFS(m_row,m_teacher,AA$4,m_date,($G$2+9),m_active,1,m_start,"&lt;"&amp;1440,m_end,"&gt;"&amp;1140))))))</f>
        <v/>
      </c>
      <c r="AB37" s="86" t="str">
        <f aca="false">IF(OR(AB$4="",MONTH(($G$2+9))&lt;&gt;MONTH($C$2)),"",IF(COUNTIFS(m_teacher,AB$4,m_date,($G$2+9),m_active,1,m_start,"&lt;"&amp;1440,m_end,"&gt;"&amp;1140)=0,"",IF(COUNTIFS(m_teacher,AB$4,m_date,($G$2+9),m_active,1,m_start,"&lt;"&amp;1440,m_end,"&gt;"&amp;1140)&gt;1,"충돌",HYPERLINK("#'관리자_MASTER'!D"&amp;_xlfn.MAXIFS(m_row,m_teacher,AB$4,m_date,($G$2+9),m_active,1,m_start,"&lt;"&amp;1440,m_end,"&gt;"&amp;1140),INDEX(m_label,_xlfn.MAXIFS(m_row,m_teacher,AB$4,m_date,($G$2+9),m_active,1,m_start,"&lt;"&amp;1440,m_end,"&gt;"&amp;1140))))))</f>
        <v/>
      </c>
      <c r="AC37" s="78"/>
      <c r="AD37" s="85" t="s">
        <v>101</v>
      </c>
      <c r="AE37" s="86" t="str">
        <f aca="false">IF(OR(AE$4="",MONTH(($G$2+16))&lt;&gt;MONTH($C$2)),"",IF(COUNTIFS(m_teacher,AE$4,m_date,($G$2+16),m_active,1,m_start,"&lt;"&amp;1440,m_end,"&gt;"&amp;1140)=0,"",IF(COUNTIFS(m_teacher,AE$4,m_date,($G$2+16),m_active,1,m_start,"&lt;"&amp;1440,m_end,"&gt;"&amp;1140)&gt;1,"충돌",HYPERLINK("#'관리자_MASTER'!D"&amp;_xlfn.MAXIFS(m_row,m_teacher,AE$4,m_date,($G$2+16),m_active,1,m_start,"&lt;"&amp;1440,m_end,"&gt;"&amp;1140),INDEX(m_label,_xlfn.MAXIFS(m_row,m_teacher,AE$4,m_date,($G$2+16),m_active,1,m_start,"&lt;"&amp;1440,m_end,"&gt;"&amp;1140))))))</f>
        <v/>
      </c>
      <c r="AF37" s="86" t="str">
        <f aca="false">IF(OR(AF$4="",MONTH(($G$2+16))&lt;&gt;MONTH($C$2)),"",IF(COUNTIFS(m_teacher,AF$4,m_date,($G$2+16),m_active,1,m_start,"&lt;"&amp;1440,m_end,"&gt;"&amp;1140)=0,"",IF(COUNTIFS(m_teacher,AF$4,m_date,($G$2+16),m_active,1,m_start,"&lt;"&amp;1440,m_end,"&gt;"&amp;1140)&gt;1,"충돌",HYPERLINK("#'관리자_MASTER'!D"&amp;_xlfn.MAXIFS(m_row,m_teacher,AF$4,m_date,($G$2+16),m_active,1,m_start,"&lt;"&amp;1440,m_end,"&gt;"&amp;1140),INDEX(m_label,_xlfn.MAXIFS(m_row,m_teacher,AF$4,m_date,($G$2+16),m_active,1,m_start,"&lt;"&amp;1440,m_end,"&gt;"&amp;1140))))))</f>
        <v/>
      </c>
      <c r="AG37" s="86" t="str">
        <f aca="false">IF(OR(AG$4="",MONTH(($G$2+16))&lt;&gt;MONTH($C$2)),"",IF(COUNTIFS(m_teacher,AG$4,m_date,($G$2+16),m_active,1,m_start,"&lt;"&amp;1440,m_end,"&gt;"&amp;1140)=0,"",IF(COUNTIFS(m_teacher,AG$4,m_date,($G$2+16),m_active,1,m_start,"&lt;"&amp;1440,m_end,"&gt;"&amp;1140)&gt;1,"충돌",HYPERLINK("#'관리자_MASTER'!D"&amp;_xlfn.MAXIFS(m_row,m_teacher,AG$4,m_date,($G$2+16),m_active,1,m_start,"&lt;"&amp;1440,m_end,"&gt;"&amp;1140),INDEX(m_label,_xlfn.MAXIFS(m_row,m_teacher,AG$4,m_date,($G$2+16),m_active,1,m_start,"&lt;"&amp;1440,m_end,"&gt;"&amp;1140))))))</f>
        <v/>
      </c>
      <c r="AH37" s="86" t="str">
        <f aca="false">IF(OR(AH$4="",MONTH(($G$2+16))&lt;&gt;MONTH($C$2)),"",IF(COUNTIFS(m_teacher,AH$4,m_date,($G$2+16),m_active,1,m_start,"&lt;"&amp;1440,m_end,"&gt;"&amp;1140)=0,"",IF(COUNTIFS(m_teacher,AH$4,m_date,($G$2+16),m_active,1,m_start,"&lt;"&amp;1440,m_end,"&gt;"&amp;1140)&gt;1,"충돌",HYPERLINK("#'관리자_MASTER'!D"&amp;_xlfn.MAXIFS(m_row,m_teacher,AH$4,m_date,($G$2+16),m_active,1,m_start,"&lt;"&amp;1440,m_end,"&gt;"&amp;1140),INDEX(m_label,_xlfn.MAXIFS(m_row,m_teacher,AH$4,m_date,($G$2+16),m_active,1,m_start,"&lt;"&amp;1440,m_end,"&gt;"&amp;1140))))))</f>
        <v/>
      </c>
      <c r="AI37" s="86" t="str">
        <f aca="false">IF(OR(AI$4="",MONTH(($G$2+16))&lt;&gt;MONTH($C$2)),"",IF(COUNTIFS(m_teacher,AI$4,m_date,($G$2+16),m_active,1,m_start,"&lt;"&amp;1440,m_end,"&gt;"&amp;1140)=0,"",IF(COUNTIFS(m_teacher,AI$4,m_date,($G$2+16),m_active,1,m_start,"&lt;"&amp;1440,m_end,"&gt;"&amp;1140)&gt;1,"충돌",HYPERLINK("#'관리자_MASTER'!D"&amp;_xlfn.MAXIFS(m_row,m_teacher,AI$4,m_date,($G$2+16),m_active,1,m_start,"&lt;"&amp;1440,m_end,"&gt;"&amp;1140),INDEX(m_label,_xlfn.MAXIFS(m_row,m_teacher,AI$4,m_date,($G$2+16),m_active,1,m_start,"&lt;"&amp;1440,m_end,"&gt;"&amp;1140))))))</f>
        <v/>
      </c>
      <c r="AJ37" s="86" t="str">
        <f aca="false">IF(OR(AJ$4="",MONTH(($G$2+16))&lt;&gt;MONTH($C$2)),"",IF(COUNTIFS(m_teacher,AJ$4,m_date,($G$2+16),m_active,1,m_start,"&lt;"&amp;1440,m_end,"&gt;"&amp;1140)=0,"",IF(COUNTIFS(m_teacher,AJ$4,m_date,($G$2+16),m_active,1,m_start,"&lt;"&amp;1440,m_end,"&gt;"&amp;1140)&gt;1,"충돌",HYPERLINK("#'관리자_MASTER'!D"&amp;_xlfn.MAXIFS(m_row,m_teacher,AJ$4,m_date,($G$2+16),m_active,1,m_start,"&lt;"&amp;1440,m_end,"&gt;"&amp;1140),INDEX(m_label,_xlfn.MAXIFS(m_row,m_teacher,AJ$4,m_date,($G$2+16),m_active,1,m_start,"&lt;"&amp;1440,m_end,"&gt;"&amp;1140))))))</f>
        <v/>
      </c>
      <c r="AK37" s="86" t="str">
        <f aca="false">IF(OR(AK$4="",MONTH(($G$2+16))&lt;&gt;MONTH($C$2)),"",IF(COUNTIFS(m_teacher,AK$4,m_date,($G$2+16),m_active,1,m_start,"&lt;"&amp;1440,m_end,"&gt;"&amp;1140)=0,"",IF(COUNTIFS(m_teacher,AK$4,m_date,($G$2+16),m_active,1,m_start,"&lt;"&amp;1440,m_end,"&gt;"&amp;1140)&gt;1,"충돌",HYPERLINK("#'관리자_MASTER'!D"&amp;_xlfn.MAXIFS(m_row,m_teacher,AK$4,m_date,($G$2+16),m_active,1,m_start,"&lt;"&amp;1440,m_end,"&gt;"&amp;1140),INDEX(m_label,_xlfn.MAXIFS(m_row,m_teacher,AK$4,m_date,($G$2+16),m_active,1,m_start,"&lt;"&amp;1440,m_end,"&gt;"&amp;1140))))))</f>
        <v/>
      </c>
      <c r="AL37" s="86" t="str">
        <f aca="false">IF(OR(AL$4="",MONTH(($G$2+16))&lt;&gt;MONTH($C$2)),"",IF(COUNTIFS(m_teacher,AL$4,m_date,($G$2+16),m_active,1,m_start,"&lt;"&amp;1440,m_end,"&gt;"&amp;1140)=0,"",IF(COUNTIFS(m_teacher,AL$4,m_date,($G$2+16),m_active,1,m_start,"&lt;"&amp;1440,m_end,"&gt;"&amp;1140)&gt;1,"충돌",HYPERLINK("#'관리자_MASTER'!D"&amp;_xlfn.MAXIFS(m_row,m_teacher,AL$4,m_date,($G$2+16),m_active,1,m_start,"&lt;"&amp;1440,m_end,"&gt;"&amp;1140),INDEX(m_label,_xlfn.MAXIFS(m_row,m_teacher,AL$4,m_date,($G$2+16),m_active,1,m_start,"&lt;"&amp;1440,m_end,"&gt;"&amp;1140))))))</f>
        <v/>
      </c>
      <c r="AM37" s="86" t="str">
        <f aca="false">IF(OR(AM$4="",MONTH(($G$2+16))&lt;&gt;MONTH($C$2)),"",IF(COUNTIFS(m_teacher,AM$4,m_date,($G$2+16),m_active,1,m_start,"&lt;"&amp;1440,m_end,"&gt;"&amp;1140)=0,"",IF(COUNTIFS(m_teacher,AM$4,m_date,($G$2+16),m_active,1,m_start,"&lt;"&amp;1440,m_end,"&gt;"&amp;1140)&gt;1,"충돌",HYPERLINK("#'관리자_MASTER'!D"&amp;_xlfn.MAXIFS(m_row,m_teacher,AM$4,m_date,($G$2+16),m_active,1,m_start,"&lt;"&amp;1440,m_end,"&gt;"&amp;1140),INDEX(m_label,_xlfn.MAXIFS(m_row,m_teacher,AM$4,m_date,($G$2+16),m_active,1,m_start,"&lt;"&amp;1440,m_end,"&gt;"&amp;1140))))))</f>
        <v/>
      </c>
      <c r="AN37" s="86" t="str">
        <f aca="false">IF(OR(AN$4="",MONTH(($G$2+16))&lt;&gt;MONTH($C$2)),"",IF(COUNTIFS(m_teacher,AN$4,m_date,($G$2+16),m_active,1,m_start,"&lt;"&amp;1440,m_end,"&gt;"&amp;1140)=0,"",IF(COUNTIFS(m_teacher,AN$4,m_date,($G$2+16),m_active,1,m_start,"&lt;"&amp;1440,m_end,"&gt;"&amp;1140)&gt;1,"충돌",HYPERLINK("#'관리자_MASTER'!D"&amp;_xlfn.MAXIFS(m_row,m_teacher,AN$4,m_date,($G$2+16),m_active,1,m_start,"&lt;"&amp;1440,m_end,"&gt;"&amp;1140),INDEX(m_label,_xlfn.MAXIFS(m_row,m_teacher,AN$4,m_date,($G$2+16),m_active,1,m_start,"&lt;"&amp;1440,m_end,"&gt;"&amp;1140))))))</f>
        <v/>
      </c>
      <c r="AO37" s="86" t="str">
        <f aca="false">IF(OR(AO$4="",MONTH(($G$2+16))&lt;&gt;MONTH($C$2)),"",IF(COUNTIFS(m_teacher,AO$4,m_date,($G$2+16),m_active,1,m_start,"&lt;"&amp;1440,m_end,"&gt;"&amp;1140)=0,"",IF(COUNTIFS(m_teacher,AO$4,m_date,($G$2+16),m_active,1,m_start,"&lt;"&amp;1440,m_end,"&gt;"&amp;1140)&gt;1,"충돌",HYPERLINK("#'관리자_MASTER'!D"&amp;_xlfn.MAXIFS(m_row,m_teacher,AO$4,m_date,($G$2+16),m_active,1,m_start,"&lt;"&amp;1440,m_end,"&gt;"&amp;1140),INDEX(m_label,_xlfn.MAXIFS(m_row,m_teacher,AO$4,m_date,($G$2+16),m_active,1,m_start,"&lt;"&amp;1440,m_end,"&gt;"&amp;1140))))))</f>
        <v/>
      </c>
      <c r="AP37" s="86" t="str">
        <f aca="false">IF(OR(AP$4="",MONTH(($G$2+16))&lt;&gt;MONTH($C$2)),"",IF(COUNTIFS(m_teacher,AP$4,m_date,($G$2+16),m_active,1,m_start,"&lt;"&amp;1440,m_end,"&gt;"&amp;1140)=0,"",IF(COUNTIFS(m_teacher,AP$4,m_date,($G$2+16),m_active,1,m_start,"&lt;"&amp;1440,m_end,"&gt;"&amp;1140)&gt;1,"충돌",HYPERLINK("#'관리자_MASTER'!D"&amp;_xlfn.MAXIFS(m_row,m_teacher,AP$4,m_date,($G$2+16),m_active,1,m_start,"&lt;"&amp;1440,m_end,"&gt;"&amp;1140),INDEX(m_label,_xlfn.MAXIFS(m_row,m_teacher,AP$4,m_date,($G$2+16),m_active,1,m_start,"&lt;"&amp;1440,m_end,"&gt;"&amp;1140))))))</f>
        <v/>
      </c>
      <c r="AQ37" s="78"/>
      <c r="AR37" s="85" t="s">
        <v>101</v>
      </c>
      <c r="AS37" s="86" t="str">
        <f aca="false">IF(OR(AS$4="",MONTH(($G$2+23))&lt;&gt;MONTH($C$2)),"",IF(COUNTIFS(m_teacher,AS$4,m_date,($G$2+23),m_active,1,m_start,"&lt;"&amp;1440,m_end,"&gt;"&amp;1140)=0,"",IF(COUNTIFS(m_teacher,AS$4,m_date,($G$2+23),m_active,1,m_start,"&lt;"&amp;1440,m_end,"&gt;"&amp;1140)&gt;1,"충돌",HYPERLINK("#'관리자_MASTER'!D"&amp;_xlfn.MAXIFS(m_row,m_teacher,AS$4,m_date,($G$2+23),m_active,1,m_start,"&lt;"&amp;1440,m_end,"&gt;"&amp;1140),INDEX(m_label,_xlfn.MAXIFS(m_row,m_teacher,AS$4,m_date,($G$2+23),m_active,1,m_start,"&lt;"&amp;1440,m_end,"&gt;"&amp;1140))))))</f>
        <v/>
      </c>
      <c r="AT37" s="86" t="str">
        <f aca="false">IF(OR(AT$4="",MONTH(($G$2+23))&lt;&gt;MONTH($C$2)),"",IF(COUNTIFS(m_teacher,AT$4,m_date,($G$2+23),m_active,1,m_start,"&lt;"&amp;1440,m_end,"&gt;"&amp;1140)=0,"",IF(COUNTIFS(m_teacher,AT$4,m_date,($G$2+23),m_active,1,m_start,"&lt;"&amp;1440,m_end,"&gt;"&amp;1140)&gt;1,"충돌",HYPERLINK("#'관리자_MASTER'!D"&amp;_xlfn.MAXIFS(m_row,m_teacher,AT$4,m_date,($G$2+23),m_active,1,m_start,"&lt;"&amp;1440,m_end,"&gt;"&amp;1140),INDEX(m_label,_xlfn.MAXIFS(m_row,m_teacher,AT$4,m_date,($G$2+23),m_active,1,m_start,"&lt;"&amp;1440,m_end,"&gt;"&amp;1140))))))</f>
        <v/>
      </c>
      <c r="AU37" s="86" t="str">
        <f aca="false">IF(OR(AU$4="",MONTH(($G$2+23))&lt;&gt;MONTH($C$2)),"",IF(COUNTIFS(m_teacher,AU$4,m_date,($G$2+23),m_active,1,m_start,"&lt;"&amp;1440,m_end,"&gt;"&amp;1140)=0,"",IF(COUNTIFS(m_teacher,AU$4,m_date,($G$2+23),m_active,1,m_start,"&lt;"&amp;1440,m_end,"&gt;"&amp;1140)&gt;1,"충돌",HYPERLINK("#'관리자_MASTER'!D"&amp;_xlfn.MAXIFS(m_row,m_teacher,AU$4,m_date,($G$2+23),m_active,1,m_start,"&lt;"&amp;1440,m_end,"&gt;"&amp;1140),INDEX(m_label,_xlfn.MAXIFS(m_row,m_teacher,AU$4,m_date,($G$2+23),m_active,1,m_start,"&lt;"&amp;1440,m_end,"&gt;"&amp;1140))))))</f>
        <v/>
      </c>
      <c r="AV37" s="86" t="str">
        <f aca="false">IF(OR(AV$4="",MONTH(($G$2+23))&lt;&gt;MONTH($C$2)),"",IF(COUNTIFS(m_teacher,AV$4,m_date,($G$2+23),m_active,1,m_start,"&lt;"&amp;1440,m_end,"&gt;"&amp;1140)=0,"",IF(COUNTIFS(m_teacher,AV$4,m_date,($G$2+23),m_active,1,m_start,"&lt;"&amp;1440,m_end,"&gt;"&amp;1140)&gt;1,"충돌",HYPERLINK("#'관리자_MASTER'!D"&amp;_xlfn.MAXIFS(m_row,m_teacher,AV$4,m_date,($G$2+23),m_active,1,m_start,"&lt;"&amp;1440,m_end,"&gt;"&amp;1140),INDEX(m_label,_xlfn.MAXIFS(m_row,m_teacher,AV$4,m_date,($G$2+23),m_active,1,m_start,"&lt;"&amp;1440,m_end,"&gt;"&amp;1140))))))</f>
        <v/>
      </c>
      <c r="AW37" s="86" t="str">
        <f aca="false">IF(OR(AW$4="",MONTH(($G$2+23))&lt;&gt;MONTH($C$2)),"",IF(COUNTIFS(m_teacher,AW$4,m_date,($G$2+23),m_active,1,m_start,"&lt;"&amp;1440,m_end,"&gt;"&amp;1140)=0,"",IF(COUNTIFS(m_teacher,AW$4,m_date,($G$2+23),m_active,1,m_start,"&lt;"&amp;1440,m_end,"&gt;"&amp;1140)&gt;1,"충돌",HYPERLINK("#'관리자_MASTER'!D"&amp;_xlfn.MAXIFS(m_row,m_teacher,AW$4,m_date,($G$2+23),m_active,1,m_start,"&lt;"&amp;1440,m_end,"&gt;"&amp;1140),INDEX(m_label,_xlfn.MAXIFS(m_row,m_teacher,AW$4,m_date,($G$2+23),m_active,1,m_start,"&lt;"&amp;1440,m_end,"&gt;"&amp;1140))))))</f>
        <v/>
      </c>
      <c r="AX37" s="86" t="str">
        <f aca="false">IF(OR(AX$4="",MONTH(($G$2+23))&lt;&gt;MONTH($C$2)),"",IF(COUNTIFS(m_teacher,AX$4,m_date,($G$2+23),m_active,1,m_start,"&lt;"&amp;1440,m_end,"&gt;"&amp;1140)=0,"",IF(COUNTIFS(m_teacher,AX$4,m_date,($G$2+23),m_active,1,m_start,"&lt;"&amp;1440,m_end,"&gt;"&amp;1140)&gt;1,"충돌",HYPERLINK("#'관리자_MASTER'!D"&amp;_xlfn.MAXIFS(m_row,m_teacher,AX$4,m_date,($G$2+23),m_active,1,m_start,"&lt;"&amp;1440,m_end,"&gt;"&amp;1140),INDEX(m_label,_xlfn.MAXIFS(m_row,m_teacher,AX$4,m_date,($G$2+23),m_active,1,m_start,"&lt;"&amp;1440,m_end,"&gt;"&amp;1140))))))</f>
        <v/>
      </c>
      <c r="AY37" s="86" t="str">
        <f aca="false">IF(OR(AY$4="",MONTH(($G$2+23))&lt;&gt;MONTH($C$2)),"",IF(COUNTIFS(m_teacher,AY$4,m_date,($G$2+23),m_active,1,m_start,"&lt;"&amp;1440,m_end,"&gt;"&amp;1140)=0,"",IF(COUNTIFS(m_teacher,AY$4,m_date,($G$2+23),m_active,1,m_start,"&lt;"&amp;1440,m_end,"&gt;"&amp;1140)&gt;1,"충돌",HYPERLINK("#'관리자_MASTER'!D"&amp;_xlfn.MAXIFS(m_row,m_teacher,AY$4,m_date,($G$2+23),m_active,1,m_start,"&lt;"&amp;1440,m_end,"&gt;"&amp;1140),INDEX(m_label,_xlfn.MAXIFS(m_row,m_teacher,AY$4,m_date,($G$2+23),m_active,1,m_start,"&lt;"&amp;1440,m_end,"&gt;"&amp;1140))))))</f>
        <v/>
      </c>
      <c r="AZ37" s="86" t="str">
        <f aca="false">IF(OR(AZ$4="",MONTH(($G$2+23))&lt;&gt;MONTH($C$2)),"",IF(COUNTIFS(m_teacher,AZ$4,m_date,($G$2+23),m_active,1,m_start,"&lt;"&amp;1440,m_end,"&gt;"&amp;1140)=0,"",IF(COUNTIFS(m_teacher,AZ$4,m_date,($G$2+23),m_active,1,m_start,"&lt;"&amp;1440,m_end,"&gt;"&amp;1140)&gt;1,"충돌",HYPERLINK("#'관리자_MASTER'!D"&amp;_xlfn.MAXIFS(m_row,m_teacher,AZ$4,m_date,($G$2+23),m_active,1,m_start,"&lt;"&amp;1440,m_end,"&gt;"&amp;1140),INDEX(m_label,_xlfn.MAXIFS(m_row,m_teacher,AZ$4,m_date,($G$2+23),m_active,1,m_start,"&lt;"&amp;1440,m_end,"&gt;"&amp;1140))))))</f>
        <v/>
      </c>
      <c r="BA37" s="86" t="str">
        <f aca="false">IF(OR(BA$4="",MONTH(($G$2+23))&lt;&gt;MONTH($C$2)),"",IF(COUNTIFS(m_teacher,BA$4,m_date,($G$2+23),m_active,1,m_start,"&lt;"&amp;1440,m_end,"&gt;"&amp;1140)=0,"",IF(COUNTIFS(m_teacher,BA$4,m_date,($G$2+23),m_active,1,m_start,"&lt;"&amp;1440,m_end,"&gt;"&amp;1140)&gt;1,"충돌",HYPERLINK("#'관리자_MASTER'!D"&amp;_xlfn.MAXIFS(m_row,m_teacher,BA$4,m_date,($G$2+23),m_active,1,m_start,"&lt;"&amp;1440,m_end,"&gt;"&amp;1140),INDEX(m_label,_xlfn.MAXIFS(m_row,m_teacher,BA$4,m_date,($G$2+23),m_active,1,m_start,"&lt;"&amp;1440,m_end,"&gt;"&amp;1140))))))</f>
        <v/>
      </c>
      <c r="BB37" s="86" t="str">
        <f aca="false">IF(OR(BB$4="",MONTH(($G$2+23))&lt;&gt;MONTH($C$2)),"",IF(COUNTIFS(m_teacher,BB$4,m_date,($G$2+23),m_active,1,m_start,"&lt;"&amp;1440,m_end,"&gt;"&amp;1140)=0,"",IF(COUNTIFS(m_teacher,BB$4,m_date,($G$2+23),m_active,1,m_start,"&lt;"&amp;1440,m_end,"&gt;"&amp;1140)&gt;1,"충돌",HYPERLINK("#'관리자_MASTER'!D"&amp;_xlfn.MAXIFS(m_row,m_teacher,BB$4,m_date,($G$2+23),m_active,1,m_start,"&lt;"&amp;1440,m_end,"&gt;"&amp;1140),INDEX(m_label,_xlfn.MAXIFS(m_row,m_teacher,BB$4,m_date,($G$2+23),m_active,1,m_start,"&lt;"&amp;1440,m_end,"&gt;"&amp;1140))))))</f>
        <v/>
      </c>
      <c r="BC37" s="86" t="str">
        <f aca="false">IF(OR(BC$4="",MONTH(($G$2+23))&lt;&gt;MONTH($C$2)),"",IF(COUNTIFS(m_teacher,BC$4,m_date,($G$2+23),m_active,1,m_start,"&lt;"&amp;1440,m_end,"&gt;"&amp;1140)=0,"",IF(COUNTIFS(m_teacher,BC$4,m_date,($G$2+23),m_active,1,m_start,"&lt;"&amp;1440,m_end,"&gt;"&amp;1140)&gt;1,"충돌",HYPERLINK("#'관리자_MASTER'!D"&amp;_xlfn.MAXIFS(m_row,m_teacher,BC$4,m_date,($G$2+23),m_active,1,m_start,"&lt;"&amp;1440,m_end,"&gt;"&amp;1140),INDEX(m_label,_xlfn.MAXIFS(m_row,m_teacher,BC$4,m_date,($G$2+23),m_active,1,m_start,"&lt;"&amp;1440,m_end,"&gt;"&amp;1140))))))</f>
        <v/>
      </c>
      <c r="BD37" s="86" t="str">
        <f aca="false">IF(OR(BD$4="",MONTH(($G$2+23))&lt;&gt;MONTH($C$2)),"",IF(COUNTIFS(m_teacher,BD$4,m_date,($G$2+23),m_active,1,m_start,"&lt;"&amp;1440,m_end,"&gt;"&amp;1140)=0,"",IF(COUNTIFS(m_teacher,BD$4,m_date,($G$2+23),m_active,1,m_start,"&lt;"&amp;1440,m_end,"&gt;"&amp;1140)&gt;1,"충돌",HYPERLINK("#'관리자_MASTER'!D"&amp;_xlfn.MAXIFS(m_row,m_teacher,BD$4,m_date,($G$2+23),m_active,1,m_start,"&lt;"&amp;1440,m_end,"&gt;"&amp;1140),INDEX(m_label,_xlfn.MAXIFS(m_row,m_teacher,BD$4,m_date,($G$2+23),m_active,1,m_start,"&lt;"&amp;1440,m_end,"&gt;"&amp;1140))))))</f>
        <v/>
      </c>
    </row>
    <row r="38" customFormat="false" ht="19.5" hidden="false" customHeight="true" outlineLevel="0" collapsed="false">
      <c r="A38" s="78" t="str">
        <f aca="false">IF(MONTH(($G$2+3))&lt;&gt;MONTH($C$2),"",CHOOSE(WEEKDAY(($G$2+3),2),"월","화","수","목","금","토","일")&amp;CHAR(10)&amp;TEXT(($G$2+3),"m/d"))</f>
        <v>목
2/4</v>
      </c>
      <c r="B38" s="79" t="s">
        <v>91</v>
      </c>
      <c r="C38" s="87" t="str">
        <f aca="false">IF(OR(C$4="",MONTH(($G$2+3))&lt;&gt;MONTH($C$2)),"",IF(COUNTIFS(m_teacher,C$4,m_date,($G$2+3),m_active,1,m_start,"&lt;"&amp;600,m_end,"&gt;"&amp;0)=0,"",IF(COUNTIFS(m_teacher,C$4,m_date,($G$2+3),m_active,1,m_start,"&lt;"&amp;600,m_end,"&gt;"&amp;0)&gt;1,"충돌",HYPERLINK("#'관리자_MASTER'!D"&amp;_xlfn.MAXIFS(m_row,m_teacher,C$4,m_date,($G$2+3),m_active,1,m_start,"&lt;"&amp;600,m_end,"&gt;"&amp;0),INDEX(m_label,_xlfn.MAXIFS(m_row,m_teacher,C$4,m_date,($G$2+3),m_active,1,m_start,"&lt;"&amp;600,m_end,"&gt;"&amp;0))))))</f>
        <v/>
      </c>
      <c r="D38" s="87" t="str">
        <f aca="false">IF(OR(D$4="",MONTH(($G$2+3))&lt;&gt;MONTH($C$2)),"",IF(COUNTIFS(m_teacher,D$4,m_date,($G$2+3),m_active,1,m_start,"&lt;"&amp;600,m_end,"&gt;"&amp;0)=0,"",IF(COUNTIFS(m_teacher,D$4,m_date,($G$2+3),m_active,1,m_start,"&lt;"&amp;600,m_end,"&gt;"&amp;0)&gt;1,"충돌",HYPERLINK("#'관리자_MASTER'!D"&amp;_xlfn.MAXIFS(m_row,m_teacher,D$4,m_date,($G$2+3),m_active,1,m_start,"&lt;"&amp;600,m_end,"&gt;"&amp;0),INDEX(m_label,_xlfn.MAXIFS(m_row,m_teacher,D$4,m_date,($G$2+3),m_active,1,m_start,"&lt;"&amp;600,m_end,"&gt;"&amp;0))))))</f>
        <v/>
      </c>
      <c r="E38" s="87" t="str">
        <f aca="false">IF(OR(E$4="",MONTH(($G$2+3))&lt;&gt;MONTH($C$2)),"",IF(COUNTIFS(m_teacher,E$4,m_date,($G$2+3),m_active,1,m_start,"&lt;"&amp;600,m_end,"&gt;"&amp;0)=0,"",IF(COUNTIFS(m_teacher,E$4,m_date,($G$2+3),m_active,1,m_start,"&lt;"&amp;600,m_end,"&gt;"&amp;0)&gt;1,"충돌",HYPERLINK("#'관리자_MASTER'!D"&amp;_xlfn.MAXIFS(m_row,m_teacher,E$4,m_date,($G$2+3),m_active,1,m_start,"&lt;"&amp;600,m_end,"&gt;"&amp;0),INDEX(m_label,_xlfn.MAXIFS(m_row,m_teacher,E$4,m_date,($G$2+3),m_active,1,m_start,"&lt;"&amp;600,m_end,"&gt;"&amp;0))))))</f>
        <v/>
      </c>
      <c r="F38" s="87" t="str">
        <f aca="false">IF(OR(F$4="",MONTH(($G$2+3))&lt;&gt;MONTH($C$2)),"",IF(COUNTIFS(m_teacher,F$4,m_date,($G$2+3),m_active,1,m_start,"&lt;"&amp;600,m_end,"&gt;"&amp;0)=0,"",IF(COUNTIFS(m_teacher,F$4,m_date,($G$2+3),m_active,1,m_start,"&lt;"&amp;600,m_end,"&gt;"&amp;0)&gt;1,"충돌",HYPERLINK("#'관리자_MASTER'!D"&amp;_xlfn.MAXIFS(m_row,m_teacher,F$4,m_date,($G$2+3),m_active,1,m_start,"&lt;"&amp;600,m_end,"&gt;"&amp;0),INDEX(m_label,_xlfn.MAXIFS(m_row,m_teacher,F$4,m_date,($G$2+3),m_active,1,m_start,"&lt;"&amp;600,m_end,"&gt;"&amp;0))))))</f>
        <v/>
      </c>
      <c r="G38" s="87" t="str">
        <f aca="false">IF(OR(G$4="",MONTH(($G$2+3))&lt;&gt;MONTH($C$2)),"",IF(COUNTIFS(m_teacher,G$4,m_date,($G$2+3),m_active,1,m_start,"&lt;"&amp;600,m_end,"&gt;"&amp;0)=0,"",IF(COUNTIFS(m_teacher,G$4,m_date,($G$2+3),m_active,1,m_start,"&lt;"&amp;600,m_end,"&gt;"&amp;0)&gt;1,"충돌",HYPERLINK("#'관리자_MASTER'!D"&amp;_xlfn.MAXIFS(m_row,m_teacher,G$4,m_date,($G$2+3),m_active,1,m_start,"&lt;"&amp;600,m_end,"&gt;"&amp;0),INDEX(m_label,_xlfn.MAXIFS(m_row,m_teacher,G$4,m_date,($G$2+3),m_active,1,m_start,"&lt;"&amp;600,m_end,"&gt;"&amp;0))))))</f>
        <v/>
      </c>
      <c r="H38" s="87" t="str">
        <f aca="false">IF(OR(H$4="",MONTH(($G$2+3))&lt;&gt;MONTH($C$2)),"",IF(COUNTIFS(m_teacher,H$4,m_date,($G$2+3),m_active,1,m_start,"&lt;"&amp;600,m_end,"&gt;"&amp;0)=0,"",IF(COUNTIFS(m_teacher,H$4,m_date,($G$2+3),m_active,1,m_start,"&lt;"&amp;600,m_end,"&gt;"&amp;0)&gt;1,"충돌",HYPERLINK("#'관리자_MASTER'!D"&amp;_xlfn.MAXIFS(m_row,m_teacher,H$4,m_date,($G$2+3),m_active,1,m_start,"&lt;"&amp;600,m_end,"&gt;"&amp;0),INDEX(m_label,_xlfn.MAXIFS(m_row,m_teacher,H$4,m_date,($G$2+3),m_active,1,m_start,"&lt;"&amp;600,m_end,"&gt;"&amp;0))))))</f>
        <v/>
      </c>
      <c r="I38" s="87" t="str">
        <f aca="false">IF(OR(I$4="",MONTH(($G$2+3))&lt;&gt;MONTH($C$2)),"",IF(COUNTIFS(m_teacher,I$4,m_date,($G$2+3),m_active,1,m_start,"&lt;"&amp;600,m_end,"&gt;"&amp;0)=0,"",IF(COUNTIFS(m_teacher,I$4,m_date,($G$2+3),m_active,1,m_start,"&lt;"&amp;600,m_end,"&gt;"&amp;0)&gt;1,"충돌",HYPERLINK("#'관리자_MASTER'!D"&amp;_xlfn.MAXIFS(m_row,m_teacher,I$4,m_date,($G$2+3),m_active,1,m_start,"&lt;"&amp;600,m_end,"&gt;"&amp;0),INDEX(m_label,_xlfn.MAXIFS(m_row,m_teacher,I$4,m_date,($G$2+3),m_active,1,m_start,"&lt;"&amp;600,m_end,"&gt;"&amp;0))))))</f>
        <v/>
      </c>
      <c r="J38" s="87" t="str">
        <f aca="false">IF(OR(J$4="",MONTH(($G$2+3))&lt;&gt;MONTH($C$2)),"",IF(COUNTIFS(m_teacher,J$4,m_date,($G$2+3),m_active,1,m_start,"&lt;"&amp;600,m_end,"&gt;"&amp;0)=0,"",IF(COUNTIFS(m_teacher,J$4,m_date,($G$2+3),m_active,1,m_start,"&lt;"&amp;600,m_end,"&gt;"&amp;0)&gt;1,"충돌",HYPERLINK("#'관리자_MASTER'!D"&amp;_xlfn.MAXIFS(m_row,m_teacher,J$4,m_date,($G$2+3),m_active,1,m_start,"&lt;"&amp;600,m_end,"&gt;"&amp;0),INDEX(m_label,_xlfn.MAXIFS(m_row,m_teacher,J$4,m_date,($G$2+3),m_active,1,m_start,"&lt;"&amp;600,m_end,"&gt;"&amp;0))))))</f>
        <v/>
      </c>
      <c r="K38" s="87" t="str">
        <f aca="false">IF(OR(K$4="",MONTH(($G$2+3))&lt;&gt;MONTH($C$2)),"",IF(COUNTIFS(m_teacher,K$4,m_date,($G$2+3),m_active,1,m_start,"&lt;"&amp;600,m_end,"&gt;"&amp;0)=0,"",IF(COUNTIFS(m_teacher,K$4,m_date,($G$2+3),m_active,1,m_start,"&lt;"&amp;600,m_end,"&gt;"&amp;0)&gt;1,"충돌",HYPERLINK("#'관리자_MASTER'!D"&amp;_xlfn.MAXIFS(m_row,m_teacher,K$4,m_date,($G$2+3),m_active,1,m_start,"&lt;"&amp;600,m_end,"&gt;"&amp;0),INDEX(m_label,_xlfn.MAXIFS(m_row,m_teacher,K$4,m_date,($G$2+3),m_active,1,m_start,"&lt;"&amp;600,m_end,"&gt;"&amp;0))))))</f>
        <v/>
      </c>
      <c r="L38" s="87" t="str">
        <f aca="false">IF(OR(L$4="",MONTH(($G$2+3))&lt;&gt;MONTH($C$2)),"",IF(COUNTIFS(m_teacher,L$4,m_date,($G$2+3),m_active,1,m_start,"&lt;"&amp;600,m_end,"&gt;"&amp;0)=0,"",IF(COUNTIFS(m_teacher,L$4,m_date,($G$2+3),m_active,1,m_start,"&lt;"&amp;600,m_end,"&gt;"&amp;0)&gt;1,"충돌",HYPERLINK("#'관리자_MASTER'!D"&amp;_xlfn.MAXIFS(m_row,m_teacher,L$4,m_date,($G$2+3),m_active,1,m_start,"&lt;"&amp;600,m_end,"&gt;"&amp;0),INDEX(m_label,_xlfn.MAXIFS(m_row,m_teacher,L$4,m_date,($G$2+3),m_active,1,m_start,"&lt;"&amp;600,m_end,"&gt;"&amp;0))))))</f>
        <v/>
      </c>
      <c r="M38" s="87" t="str">
        <f aca="false">IF(OR(M$4="",MONTH(($G$2+3))&lt;&gt;MONTH($C$2)),"",IF(COUNTIFS(m_teacher,M$4,m_date,($G$2+3),m_active,1,m_start,"&lt;"&amp;600,m_end,"&gt;"&amp;0)=0,"",IF(COUNTIFS(m_teacher,M$4,m_date,($G$2+3),m_active,1,m_start,"&lt;"&amp;600,m_end,"&gt;"&amp;0)&gt;1,"충돌",HYPERLINK("#'관리자_MASTER'!D"&amp;_xlfn.MAXIFS(m_row,m_teacher,M$4,m_date,($G$2+3),m_active,1,m_start,"&lt;"&amp;600,m_end,"&gt;"&amp;0),INDEX(m_label,_xlfn.MAXIFS(m_row,m_teacher,M$4,m_date,($G$2+3),m_active,1,m_start,"&lt;"&amp;600,m_end,"&gt;"&amp;0))))))</f>
        <v/>
      </c>
      <c r="N38" s="87" t="str">
        <f aca="false">IF(OR(N$4="",MONTH(($G$2+3))&lt;&gt;MONTH($C$2)),"",IF(COUNTIFS(m_teacher,N$4,m_date,($G$2+3),m_active,1,m_start,"&lt;"&amp;600,m_end,"&gt;"&amp;0)=0,"",IF(COUNTIFS(m_teacher,N$4,m_date,($G$2+3),m_active,1,m_start,"&lt;"&amp;600,m_end,"&gt;"&amp;0)&gt;1,"충돌",HYPERLINK("#'관리자_MASTER'!D"&amp;_xlfn.MAXIFS(m_row,m_teacher,N$4,m_date,($G$2+3),m_active,1,m_start,"&lt;"&amp;600,m_end,"&gt;"&amp;0),INDEX(m_label,_xlfn.MAXIFS(m_row,m_teacher,N$4,m_date,($G$2+3),m_active,1,m_start,"&lt;"&amp;600,m_end,"&gt;"&amp;0))))))</f>
        <v/>
      </c>
      <c r="O38" s="78" t="str">
        <f aca="false">IF(MONTH(($G$2+10))&lt;&gt;MONTH($C$2),"",CHOOSE(WEEKDAY(($G$2+10),2),"월","화","수","목","금","토","일")&amp;CHAR(10)&amp;TEXT(($G$2+10),"m/d"))</f>
        <v>목
2/11</v>
      </c>
      <c r="P38" s="79" t="s">
        <v>91</v>
      </c>
      <c r="Q38" s="87" t="str">
        <f aca="false">IF(OR(Q$4="",MONTH(($G$2+10))&lt;&gt;MONTH($C$2)),"",IF(COUNTIFS(m_teacher,Q$4,m_date,($G$2+10),m_active,1,m_start,"&lt;"&amp;600,m_end,"&gt;"&amp;0)=0,"",IF(COUNTIFS(m_teacher,Q$4,m_date,($G$2+10),m_active,1,m_start,"&lt;"&amp;600,m_end,"&gt;"&amp;0)&gt;1,"충돌",HYPERLINK("#'관리자_MASTER'!D"&amp;_xlfn.MAXIFS(m_row,m_teacher,Q$4,m_date,($G$2+10),m_active,1,m_start,"&lt;"&amp;600,m_end,"&gt;"&amp;0),INDEX(m_label,_xlfn.MAXIFS(m_row,m_teacher,Q$4,m_date,($G$2+10),m_active,1,m_start,"&lt;"&amp;600,m_end,"&gt;"&amp;0))))))</f>
        <v/>
      </c>
      <c r="R38" s="87" t="str">
        <f aca="false">IF(OR(R$4="",MONTH(($G$2+10))&lt;&gt;MONTH($C$2)),"",IF(COUNTIFS(m_teacher,R$4,m_date,($G$2+10),m_active,1,m_start,"&lt;"&amp;600,m_end,"&gt;"&amp;0)=0,"",IF(COUNTIFS(m_teacher,R$4,m_date,($G$2+10),m_active,1,m_start,"&lt;"&amp;600,m_end,"&gt;"&amp;0)&gt;1,"충돌",HYPERLINK("#'관리자_MASTER'!D"&amp;_xlfn.MAXIFS(m_row,m_teacher,R$4,m_date,($G$2+10),m_active,1,m_start,"&lt;"&amp;600,m_end,"&gt;"&amp;0),INDEX(m_label,_xlfn.MAXIFS(m_row,m_teacher,R$4,m_date,($G$2+10),m_active,1,m_start,"&lt;"&amp;600,m_end,"&gt;"&amp;0))))))</f>
        <v/>
      </c>
      <c r="S38" s="87" t="str">
        <f aca="false">IF(OR(S$4="",MONTH(($G$2+10))&lt;&gt;MONTH($C$2)),"",IF(COUNTIFS(m_teacher,S$4,m_date,($G$2+10),m_active,1,m_start,"&lt;"&amp;600,m_end,"&gt;"&amp;0)=0,"",IF(COUNTIFS(m_teacher,S$4,m_date,($G$2+10),m_active,1,m_start,"&lt;"&amp;600,m_end,"&gt;"&amp;0)&gt;1,"충돌",HYPERLINK("#'관리자_MASTER'!D"&amp;_xlfn.MAXIFS(m_row,m_teacher,S$4,m_date,($G$2+10),m_active,1,m_start,"&lt;"&amp;600,m_end,"&gt;"&amp;0),INDEX(m_label,_xlfn.MAXIFS(m_row,m_teacher,S$4,m_date,($G$2+10),m_active,1,m_start,"&lt;"&amp;600,m_end,"&gt;"&amp;0))))))</f>
        <v/>
      </c>
      <c r="T38" s="87" t="str">
        <f aca="false">IF(OR(T$4="",MONTH(($G$2+10))&lt;&gt;MONTH($C$2)),"",IF(COUNTIFS(m_teacher,T$4,m_date,($G$2+10),m_active,1,m_start,"&lt;"&amp;600,m_end,"&gt;"&amp;0)=0,"",IF(COUNTIFS(m_teacher,T$4,m_date,($G$2+10),m_active,1,m_start,"&lt;"&amp;600,m_end,"&gt;"&amp;0)&gt;1,"충돌",HYPERLINK("#'관리자_MASTER'!D"&amp;_xlfn.MAXIFS(m_row,m_teacher,T$4,m_date,($G$2+10),m_active,1,m_start,"&lt;"&amp;600,m_end,"&gt;"&amp;0),INDEX(m_label,_xlfn.MAXIFS(m_row,m_teacher,T$4,m_date,($G$2+10),m_active,1,m_start,"&lt;"&amp;600,m_end,"&gt;"&amp;0))))))</f>
        <v/>
      </c>
      <c r="U38" s="87" t="str">
        <f aca="false">IF(OR(U$4="",MONTH(($G$2+10))&lt;&gt;MONTH($C$2)),"",IF(COUNTIFS(m_teacher,U$4,m_date,($G$2+10),m_active,1,m_start,"&lt;"&amp;600,m_end,"&gt;"&amp;0)=0,"",IF(COUNTIFS(m_teacher,U$4,m_date,($G$2+10),m_active,1,m_start,"&lt;"&amp;600,m_end,"&gt;"&amp;0)&gt;1,"충돌",HYPERLINK("#'관리자_MASTER'!D"&amp;_xlfn.MAXIFS(m_row,m_teacher,U$4,m_date,($G$2+10),m_active,1,m_start,"&lt;"&amp;600,m_end,"&gt;"&amp;0),INDEX(m_label,_xlfn.MAXIFS(m_row,m_teacher,U$4,m_date,($G$2+10),m_active,1,m_start,"&lt;"&amp;600,m_end,"&gt;"&amp;0))))))</f>
        <v/>
      </c>
      <c r="V38" s="87" t="str">
        <f aca="false">IF(OR(V$4="",MONTH(($G$2+10))&lt;&gt;MONTH($C$2)),"",IF(COUNTIFS(m_teacher,V$4,m_date,($G$2+10),m_active,1,m_start,"&lt;"&amp;600,m_end,"&gt;"&amp;0)=0,"",IF(COUNTIFS(m_teacher,V$4,m_date,($G$2+10),m_active,1,m_start,"&lt;"&amp;600,m_end,"&gt;"&amp;0)&gt;1,"충돌",HYPERLINK("#'관리자_MASTER'!D"&amp;_xlfn.MAXIFS(m_row,m_teacher,V$4,m_date,($G$2+10),m_active,1,m_start,"&lt;"&amp;600,m_end,"&gt;"&amp;0),INDEX(m_label,_xlfn.MAXIFS(m_row,m_teacher,V$4,m_date,($G$2+10),m_active,1,m_start,"&lt;"&amp;600,m_end,"&gt;"&amp;0))))))</f>
        <v/>
      </c>
      <c r="W38" s="87" t="str">
        <f aca="false">IF(OR(W$4="",MONTH(($G$2+10))&lt;&gt;MONTH($C$2)),"",IF(COUNTIFS(m_teacher,W$4,m_date,($G$2+10),m_active,1,m_start,"&lt;"&amp;600,m_end,"&gt;"&amp;0)=0,"",IF(COUNTIFS(m_teacher,W$4,m_date,($G$2+10),m_active,1,m_start,"&lt;"&amp;600,m_end,"&gt;"&amp;0)&gt;1,"충돌",HYPERLINK("#'관리자_MASTER'!D"&amp;_xlfn.MAXIFS(m_row,m_teacher,W$4,m_date,($G$2+10),m_active,1,m_start,"&lt;"&amp;600,m_end,"&gt;"&amp;0),INDEX(m_label,_xlfn.MAXIFS(m_row,m_teacher,W$4,m_date,($G$2+10),m_active,1,m_start,"&lt;"&amp;600,m_end,"&gt;"&amp;0))))))</f>
        <v/>
      </c>
      <c r="X38" s="87" t="str">
        <f aca="false">IF(OR(X$4="",MONTH(($G$2+10))&lt;&gt;MONTH($C$2)),"",IF(COUNTIFS(m_teacher,X$4,m_date,($G$2+10),m_active,1,m_start,"&lt;"&amp;600,m_end,"&gt;"&amp;0)=0,"",IF(COUNTIFS(m_teacher,X$4,m_date,($G$2+10),m_active,1,m_start,"&lt;"&amp;600,m_end,"&gt;"&amp;0)&gt;1,"충돌",HYPERLINK("#'관리자_MASTER'!D"&amp;_xlfn.MAXIFS(m_row,m_teacher,X$4,m_date,($G$2+10),m_active,1,m_start,"&lt;"&amp;600,m_end,"&gt;"&amp;0),INDEX(m_label,_xlfn.MAXIFS(m_row,m_teacher,X$4,m_date,($G$2+10),m_active,1,m_start,"&lt;"&amp;600,m_end,"&gt;"&amp;0))))))</f>
        <v/>
      </c>
      <c r="Y38" s="87" t="str">
        <f aca="false">IF(OR(Y$4="",MONTH(($G$2+10))&lt;&gt;MONTH($C$2)),"",IF(COUNTIFS(m_teacher,Y$4,m_date,($G$2+10),m_active,1,m_start,"&lt;"&amp;600,m_end,"&gt;"&amp;0)=0,"",IF(COUNTIFS(m_teacher,Y$4,m_date,($G$2+10),m_active,1,m_start,"&lt;"&amp;600,m_end,"&gt;"&amp;0)&gt;1,"충돌",HYPERLINK("#'관리자_MASTER'!D"&amp;_xlfn.MAXIFS(m_row,m_teacher,Y$4,m_date,($G$2+10),m_active,1,m_start,"&lt;"&amp;600,m_end,"&gt;"&amp;0),INDEX(m_label,_xlfn.MAXIFS(m_row,m_teacher,Y$4,m_date,($G$2+10),m_active,1,m_start,"&lt;"&amp;600,m_end,"&gt;"&amp;0))))))</f>
        <v/>
      </c>
      <c r="Z38" s="87" t="str">
        <f aca="false">IF(OR(Z$4="",MONTH(($G$2+10))&lt;&gt;MONTH($C$2)),"",IF(COUNTIFS(m_teacher,Z$4,m_date,($G$2+10),m_active,1,m_start,"&lt;"&amp;600,m_end,"&gt;"&amp;0)=0,"",IF(COUNTIFS(m_teacher,Z$4,m_date,($G$2+10),m_active,1,m_start,"&lt;"&amp;600,m_end,"&gt;"&amp;0)&gt;1,"충돌",HYPERLINK("#'관리자_MASTER'!D"&amp;_xlfn.MAXIFS(m_row,m_teacher,Z$4,m_date,($G$2+10),m_active,1,m_start,"&lt;"&amp;600,m_end,"&gt;"&amp;0),INDEX(m_label,_xlfn.MAXIFS(m_row,m_teacher,Z$4,m_date,($G$2+10),m_active,1,m_start,"&lt;"&amp;600,m_end,"&gt;"&amp;0))))))</f>
        <v/>
      </c>
      <c r="AA38" s="87" t="str">
        <f aca="false">IF(OR(AA$4="",MONTH(($G$2+10))&lt;&gt;MONTH($C$2)),"",IF(COUNTIFS(m_teacher,AA$4,m_date,($G$2+10),m_active,1,m_start,"&lt;"&amp;600,m_end,"&gt;"&amp;0)=0,"",IF(COUNTIFS(m_teacher,AA$4,m_date,($G$2+10),m_active,1,m_start,"&lt;"&amp;600,m_end,"&gt;"&amp;0)&gt;1,"충돌",HYPERLINK("#'관리자_MASTER'!D"&amp;_xlfn.MAXIFS(m_row,m_teacher,AA$4,m_date,($G$2+10),m_active,1,m_start,"&lt;"&amp;600,m_end,"&gt;"&amp;0),INDEX(m_label,_xlfn.MAXIFS(m_row,m_teacher,AA$4,m_date,($G$2+10),m_active,1,m_start,"&lt;"&amp;600,m_end,"&gt;"&amp;0))))))</f>
        <v/>
      </c>
      <c r="AB38" s="87" t="str">
        <f aca="false">IF(OR(AB$4="",MONTH(($G$2+10))&lt;&gt;MONTH($C$2)),"",IF(COUNTIFS(m_teacher,AB$4,m_date,($G$2+10),m_active,1,m_start,"&lt;"&amp;600,m_end,"&gt;"&amp;0)=0,"",IF(COUNTIFS(m_teacher,AB$4,m_date,($G$2+10),m_active,1,m_start,"&lt;"&amp;600,m_end,"&gt;"&amp;0)&gt;1,"충돌",HYPERLINK("#'관리자_MASTER'!D"&amp;_xlfn.MAXIFS(m_row,m_teacher,AB$4,m_date,($G$2+10),m_active,1,m_start,"&lt;"&amp;600,m_end,"&gt;"&amp;0),INDEX(m_label,_xlfn.MAXIFS(m_row,m_teacher,AB$4,m_date,($G$2+10),m_active,1,m_start,"&lt;"&amp;600,m_end,"&gt;"&amp;0))))))</f>
        <v/>
      </c>
      <c r="AC38" s="78" t="str">
        <f aca="false">IF(MONTH(($G$2+17))&lt;&gt;MONTH($C$2),"",CHOOSE(WEEKDAY(($G$2+17),2),"월","화","수","목","금","토","일")&amp;CHAR(10)&amp;TEXT(($G$2+17),"m/d"))</f>
        <v>목
2/18</v>
      </c>
      <c r="AD38" s="79" t="s">
        <v>91</v>
      </c>
      <c r="AE38" s="87" t="str">
        <f aca="false">IF(OR(AE$4="",MONTH(($G$2+17))&lt;&gt;MONTH($C$2)),"",IF(COUNTIFS(m_teacher,AE$4,m_date,($G$2+17),m_active,1,m_start,"&lt;"&amp;600,m_end,"&gt;"&amp;0)=0,"",IF(COUNTIFS(m_teacher,AE$4,m_date,($G$2+17),m_active,1,m_start,"&lt;"&amp;600,m_end,"&gt;"&amp;0)&gt;1,"충돌",HYPERLINK("#'관리자_MASTER'!D"&amp;_xlfn.MAXIFS(m_row,m_teacher,AE$4,m_date,($G$2+17),m_active,1,m_start,"&lt;"&amp;600,m_end,"&gt;"&amp;0),INDEX(m_label,_xlfn.MAXIFS(m_row,m_teacher,AE$4,m_date,($G$2+17),m_active,1,m_start,"&lt;"&amp;600,m_end,"&gt;"&amp;0))))))</f>
        <v/>
      </c>
      <c r="AF38" s="87" t="str">
        <f aca="false">IF(OR(AF$4="",MONTH(($G$2+17))&lt;&gt;MONTH($C$2)),"",IF(COUNTIFS(m_teacher,AF$4,m_date,($G$2+17),m_active,1,m_start,"&lt;"&amp;600,m_end,"&gt;"&amp;0)=0,"",IF(COUNTIFS(m_teacher,AF$4,m_date,($G$2+17),m_active,1,m_start,"&lt;"&amp;600,m_end,"&gt;"&amp;0)&gt;1,"충돌",HYPERLINK("#'관리자_MASTER'!D"&amp;_xlfn.MAXIFS(m_row,m_teacher,AF$4,m_date,($G$2+17),m_active,1,m_start,"&lt;"&amp;600,m_end,"&gt;"&amp;0),INDEX(m_label,_xlfn.MAXIFS(m_row,m_teacher,AF$4,m_date,($G$2+17),m_active,1,m_start,"&lt;"&amp;600,m_end,"&gt;"&amp;0))))))</f>
        <v/>
      </c>
      <c r="AG38" s="87" t="str">
        <f aca="false">IF(OR(AG$4="",MONTH(($G$2+17))&lt;&gt;MONTH($C$2)),"",IF(COUNTIFS(m_teacher,AG$4,m_date,($G$2+17),m_active,1,m_start,"&lt;"&amp;600,m_end,"&gt;"&amp;0)=0,"",IF(COUNTIFS(m_teacher,AG$4,m_date,($G$2+17),m_active,1,m_start,"&lt;"&amp;600,m_end,"&gt;"&amp;0)&gt;1,"충돌",HYPERLINK("#'관리자_MASTER'!D"&amp;_xlfn.MAXIFS(m_row,m_teacher,AG$4,m_date,($G$2+17),m_active,1,m_start,"&lt;"&amp;600,m_end,"&gt;"&amp;0),INDEX(m_label,_xlfn.MAXIFS(m_row,m_teacher,AG$4,m_date,($G$2+17),m_active,1,m_start,"&lt;"&amp;600,m_end,"&gt;"&amp;0))))))</f>
        <v/>
      </c>
      <c r="AH38" s="87" t="str">
        <f aca="false">IF(OR(AH$4="",MONTH(($G$2+17))&lt;&gt;MONTH($C$2)),"",IF(COUNTIFS(m_teacher,AH$4,m_date,($G$2+17),m_active,1,m_start,"&lt;"&amp;600,m_end,"&gt;"&amp;0)=0,"",IF(COUNTIFS(m_teacher,AH$4,m_date,($G$2+17),m_active,1,m_start,"&lt;"&amp;600,m_end,"&gt;"&amp;0)&gt;1,"충돌",HYPERLINK("#'관리자_MASTER'!D"&amp;_xlfn.MAXIFS(m_row,m_teacher,AH$4,m_date,($G$2+17),m_active,1,m_start,"&lt;"&amp;600,m_end,"&gt;"&amp;0),INDEX(m_label,_xlfn.MAXIFS(m_row,m_teacher,AH$4,m_date,($G$2+17),m_active,1,m_start,"&lt;"&amp;600,m_end,"&gt;"&amp;0))))))</f>
        <v/>
      </c>
      <c r="AI38" s="87" t="str">
        <f aca="false">IF(OR(AI$4="",MONTH(($G$2+17))&lt;&gt;MONTH($C$2)),"",IF(COUNTIFS(m_teacher,AI$4,m_date,($G$2+17),m_active,1,m_start,"&lt;"&amp;600,m_end,"&gt;"&amp;0)=0,"",IF(COUNTIFS(m_teacher,AI$4,m_date,($G$2+17),m_active,1,m_start,"&lt;"&amp;600,m_end,"&gt;"&amp;0)&gt;1,"충돌",HYPERLINK("#'관리자_MASTER'!D"&amp;_xlfn.MAXIFS(m_row,m_teacher,AI$4,m_date,($G$2+17),m_active,1,m_start,"&lt;"&amp;600,m_end,"&gt;"&amp;0),INDEX(m_label,_xlfn.MAXIFS(m_row,m_teacher,AI$4,m_date,($G$2+17),m_active,1,m_start,"&lt;"&amp;600,m_end,"&gt;"&amp;0))))))</f>
        <v/>
      </c>
      <c r="AJ38" s="87" t="str">
        <f aca="false">IF(OR(AJ$4="",MONTH(($G$2+17))&lt;&gt;MONTH($C$2)),"",IF(COUNTIFS(m_teacher,AJ$4,m_date,($G$2+17),m_active,1,m_start,"&lt;"&amp;600,m_end,"&gt;"&amp;0)=0,"",IF(COUNTIFS(m_teacher,AJ$4,m_date,($G$2+17),m_active,1,m_start,"&lt;"&amp;600,m_end,"&gt;"&amp;0)&gt;1,"충돌",HYPERLINK("#'관리자_MASTER'!D"&amp;_xlfn.MAXIFS(m_row,m_teacher,AJ$4,m_date,($G$2+17),m_active,1,m_start,"&lt;"&amp;600,m_end,"&gt;"&amp;0),INDEX(m_label,_xlfn.MAXIFS(m_row,m_teacher,AJ$4,m_date,($G$2+17),m_active,1,m_start,"&lt;"&amp;600,m_end,"&gt;"&amp;0))))))</f>
        <v/>
      </c>
      <c r="AK38" s="87" t="str">
        <f aca="false">IF(OR(AK$4="",MONTH(($G$2+17))&lt;&gt;MONTH($C$2)),"",IF(COUNTIFS(m_teacher,AK$4,m_date,($G$2+17),m_active,1,m_start,"&lt;"&amp;600,m_end,"&gt;"&amp;0)=0,"",IF(COUNTIFS(m_teacher,AK$4,m_date,($G$2+17),m_active,1,m_start,"&lt;"&amp;600,m_end,"&gt;"&amp;0)&gt;1,"충돌",HYPERLINK("#'관리자_MASTER'!D"&amp;_xlfn.MAXIFS(m_row,m_teacher,AK$4,m_date,($G$2+17),m_active,1,m_start,"&lt;"&amp;600,m_end,"&gt;"&amp;0),INDEX(m_label,_xlfn.MAXIFS(m_row,m_teacher,AK$4,m_date,($G$2+17),m_active,1,m_start,"&lt;"&amp;600,m_end,"&gt;"&amp;0))))))</f>
        <v/>
      </c>
      <c r="AL38" s="87" t="str">
        <f aca="false">IF(OR(AL$4="",MONTH(($G$2+17))&lt;&gt;MONTH($C$2)),"",IF(COUNTIFS(m_teacher,AL$4,m_date,($G$2+17),m_active,1,m_start,"&lt;"&amp;600,m_end,"&gt;"&amp;0)=0,"",IF(COUNTIFS(m_teacher,AL$4,m_date,($G$2+17),m_active,1,m_start,"&lt;"&amp;600,m_end,"&gt;"&amp;0)&gt;1,"충돌",HYPERLINK("#'관리자_MASTER'!D"&amp;_xlfn.MAXIFS(m_row,m_teacher,AL$4,m_date,($G$2+17),m_active,1,m_start,"&lt;"&amp;600,m_end,"&gt;"&amp;0),INDEX(m_label,_xlfn.MAXIFS(m_row,m_teacher,AL$4,m_date,($G$2+17),m_active,1,m_start,"&lt;"&amp;600,m_end,"&gt;"&amp;0))))))</f>
        <v/>
      </c>
      <c r="AM38" s="87" t="str">
        <f aca="false">IF(OR(AM$4="",MONTH(($G$2+17))&lt;&gt;MONTH($C$2)),"",IF(COUNTIFS(m_teacher,AM$4,m_date,($G$2+17),m_active,1,m_start,"&lt;"&amp;600,m_end,"&gt;"&amp;0)=0,"",IF(COUNTIFS(m_teacher,AM$4,m_date,($G$2+17),m_active,1,m_start,"&lt;"&amp;600,m_end,"&gt;"&amp;0)&gt;1,"충돌",HYPERLINK("#'관리자_MASTER'!D"&amp;_xlfn.MAXIFS(m_row,m_teacher,AM$4,m_date,($G$2+17),m_active,1,m_start,"&lt;"&amp;600,m_end,"&gt;"&amp;0),INDEX(m_label,_xlfn.MAXIFS(m_row,m_teacher,AM$4,m_date,($G$2+17),m_active,1,m_start,"&lt;"&amp;600,m_end,"&gt;"&amp;0))))))</f>
        <v/>
      </c>
      <c r="AN38" s="87" t="str">
        <f aca="false">IF(OR(AN$4="",MONTH(($G$2+17))&lt;&gt;MONTH($C$2)),"",IF(COUNTIFS(m_teacher,AN$4,m_date,($G$2+17),m_active,1,m_start,"&lt;"&amp;600,m_end,"&gt;"&amp;0)=0,"",IF(COUNTIFS(m_teacher,AN$4,m_date,($G$2+17),m_active,1,m_start,"&lt;"&amp;600,m_end,"&gt;"&amp;0)&gt;1,"충돌",HYPERLINK("#'관리자_MASTER'!D"&amp;_xlfn.MAXIFS(m_row,m_teacher,AN$4,m_date,($G$2+17),m_active,1,m_start,"&lt;"&amp;600,m_end,"&gt;"&amp;0),INDEX(m_label,_xlfn.MAXIFS(m_row,m_teacher,AN$4,m_date,($G$2+17),m_active,1,m_start,"&lt;"&amp;600,m_end,"&gt;"&amp;0))))))</f>
        <v/>
      </c>
      <c r="AO38" s="87" t="str">
        <f aca="false">IF(OR(AO$4="",MONTH(($G$2+17))&lt;&gt;MONTH($C$2)),"",IF(COUNTIFS(m_teacher,AO$4,m_date,($G$2+17),m_active,1,m_start,"&lt;"&amp;600,m_end,"&gt;"&amp;0)=0,"",IF(COUNTIFS(m_teacher,AO$4,m_date,($G$2+17),m_active,1,m_start,"&lt;"&amp;600,m_end,"&gt;"&amp;0)&gt;1,"충돌",HYPERLINK("#'관리자_MASTER'!D"&amp;_xlfn.MAXIFS(m_row,m_teacher,AO$4,m_date,($G$2+17),m_active,1,m_start,"&lt;"&amp;600,m_end,"&gt;"&amp;0),INDEX(m_label,_xlfn.MAXIFS(m_row,m_teacher,AO$4,m_date,($G$2+17),m_active,1,m_start,"&lt;"&amp;600,m_end,"&gt;"&amp;0))))))</f>
        <v/>
      </c>
      <c r="AP38" s="87" t="str">
        <f aca="false">IF(OR(AP$4="",MONTH(($G$2+17))&lt;&gt;MONTH($C$2)),"",IF(COUNTIFS(m_teacher,AP$4,m_date,($G$2+17),m_active,1,m_start,"&lt;"&amp;600,m_end,"&gt;"&amp;0)=0,"",IF(COUNTIFS(m_teacher,AP$4,m_date,($G$2+17),m_active,1,m_start,"&lt;"&amp;600,m_end,"&gt;"&amp;0)&gt;1,"충돌",HYPERLINK("#'관리자_MASTER'!D"&amp;_xlfn.MAXIFS(m_row,m_teacher,AP$4,m_date,($G$2+17),m_active,1,m_start,"&lt;"&amp;600,m_end,"&gt;"&amp;0),INDEX(m_label,_xlfn.MAXIFS(m_row,m_teacher,AP$4,m_date,($G$2+17),m_active,1,m_start,"&lt;"&amp;600,m_end,"&gt;"&amp;0))))))</f>
        <v/>
      </c>
      <c r="AQ38" s="78" t="str">
        <f aca="false">IF(MONTH(($G$2+24))&lt;&gt;MONTH($C$2),"",CHOOSE(WEEKDAY(($G$2+24),2),"월","화","수","목","금","토","일")&amp;CHAR(10)&amp;TEXT(($G$2+24),"m/d"))</f>
        <v>목
2/25</v>
      </c>
      <c r="AR38" s="79" t="s">
        <v>91</v>
      </c>
      <c r="AS38" s="87" t="str">
        <f aca="false">IF(OR(AS$4="",MONTH(($G$2+24))&lt;&gt;MONTH($C$2)),"",IF(COUNTIFS(m_teacher,AS$4,m_date,($G$2+24),m_active,1,m_start,"&lt;"&amp;600,m_end,"&gt;"&amp;0)=0,"",IF(COUNTIFS(m_teacher,AS$4,m_date,($G$2+24),m_active,1,m_start,"&lt;"&amp;600,m_end,"&gt;"&amp;0)&gt;1,"충돌",HYPERLINK("#'관리자_MASTER'!D"&amp;_xlfn.MAXIFS(m_row,m_teacher,AS$4,m_date,($G$2+24),m_active,1,m_start,"&lt;"&amp;600,m_end,"&gt;"&amp;0),INDEX(m_label,_xlfn.MAXIFS(m_row,m_teacher,AS$4,m_date,($G$2+24),m_active,1,m_start,"&lt;"&amp;600,m_end,"&gt;"&amp;0))))))</f>
        <v/>
      </c>
      <c r="AT38" s="87" t="str">
        <f aca="false">IF(OR(AT$4="",MONTH(($G$2+24))&lt;&gt;MONTH($C$2)),"",IF(COUNTIFS(m_teacher,AT$4,m_date,($G$2+24),m_active,1,m_start,"&lt;"&amp;600,m_end,"&gt;"&amp;0)=0,"",IF(COUNTIFS(m_teacher,AT$4,m_date,($G$2+24),m_active,1,m_start,"&lt;"&amp;600,m_end,"&gt;"&amp;0)&gt;1,"충돌",HYPERLINK("#'관리자_MASTER'!D"&amp;_xlfn.MAXIFS(m_row,m_teacher,AT$4,m_date,($G$2+24),m_active,1,m_start,"&lt;"&amp;600,m_end,"&gt;"&amp;0),INDEX(m_label,_xlfn.MAXIFS(m_row,m_teacher,AT$4,m_date,($G$2+24),m_active,1,m_start,"&lt;"&amp;600,m_end,"&gt;"&amp;0))))))</f>
        <v/>
      </c>
      <c r="AU38" s="87" t="str">
        <f aca="false">IF(OR(AU$4="",MONTH(($G$2+24))&lt;&gt;MONTH($C$2)),"",IF(COUNTIFS(m_teacher,AU$4,m_date,($G$2+24),m_active,1,m_start,"&lt;"&amp;600,m_end,"&gt;"&amp;0)=0,"",IF(COUNTIFS(m_teacher,AU$4,m_date,($G$2+24),m_active,1,m_start,"&lt;"&amp;600,m_end,"&gt;"&amp;0)&gt;1,"충돌",HYPERLINK("#'관리자_MASTER'!D"&amp;_xlfn.MAXIFS(m_row,m_teacher,AU$4,m_date,($G$2+24),m_active,1,m_start,"&lt;"&amp;600,m_end,"&gt;"&amp;0),INDEX(m_label,_xlfn.MAXIFS(m_row,m_teacher,AU$4,m_date,($G$2+24),m_active,1,m_start,"&lt;"&amp;600,m_end,"&gt;"&amp;0))))))</f>
        <v/>
      </c>
      <c r="AV38" s="87" t="str">
        <f aca="false">IF(OR(AV$4="",MONTH(($G$2+24))&lt;&gt;MONTH($C$2)),"",IF(COUNTIFS(m_teacher,AV$4,m_date,($G$2+24),m_active,1,m_start,"&lt;"&amp;600,m_end,"&gt;"&amp;0)=0,"",IF(COUNTIFS(m_teacher,AV$4,m_date,($G$2+24),m_active,1,m_start,"&lt;"&amp;600,m_end,"&gt;"&amp;0)&gt;1,"충돌",HYPERLINK("#'관리자_MASTER'!D"&amp;_xlfn.MAXIFS(m_row,m_teacher,AV$4,m_date,($G$2+24),m_active,1,m_start,"&lt;"&amp;600,m_end,"&gt;"&amp;0),INDEX(m_label,_xlfn.MAXIFS(m_row,m_teacher,AV$4,m_date,($G$2+24),m_active,1,m_start,"&lt;"&amp;600,m_end,"&gt;"&amp;0))))))</f>
        <v/>
      </c>
      <c r="AW38" s="87" t="str">
        <f aca="false">IF(OR(AW$4="",MONTH(($G$2+24))&lt;&gt;MONTH($C$2)),"",IF(COUNTIFS(m_teacher,AW$4,m_date,($G$2+24),m_active,1,m_start,"&lt;"&amp;600,m_end,"&gt;"&amp;0)=0,"",IF(COUNTIFS(m_teacher,AW$4,m_date,($G$2+24),m_active,1,m_start,"&lt;"&amp;600,m_end,"&gt;"&amp;0)&gt;1,"충돌",HYPERLINK("#'관리자_MASTER'!D"&amp;_xlfn.MAXIFS(m_row,m_teacher,AW$4,m_date,($G$2+24),m_active,1,m_start,"&lt;"&amp;600,m_end,"&gt;"&amp;0),INDEX(m_label,_xlfn.MAXIFS(m_row,m_teacher,AW$4,m_date,($G$2+24),m_active,1,m_start,"&lt;"&amp;600,m_end,"&gt;"&amp;0))))))</f>
        <v/>
      </c>
      <c r="AX38" s="87" t="str">
        <f aca="false">IF(OR(AX$4="",MONTH(($G$2+24))&lt;&gt;MONTH($C$2)),"",IF(COUNTIFS(m_teacher,AX$4,m_date,($G$2+24),m_active,1,m_start,"&lt;"&amp;600,m_end,"&gt;"&amp;0)=0,"",IF(COUNTIFS(m_teacher,AX$4,m_date,($G$2+24),m_active,1,m_start,"&lt;"&amp;600,m_end,"&gt;"&amp;0)&gt;1,"충돌",HYPERLINK("#'관리자_MASTER'!D"&amp;_xlfn.MAXIFS(m_row,m_teacher,AX$4,m_date,($G$2+24),m_active,1,m_start,"&lt;"&amp;600,m_end,"&gt;"&amp;0),INDEX(m_label,_xlfn.MAXIFS(m_row,m_teacher,AX$4,m_date,($G$2+24),m_active,1,m_start,"&lt;"&amp;600,m_end,"&gt;"&amp;0))))))</f>
        <v/>
      </c>
      <c r="AY38" s="87" t="str">
        <f aca="false">IF(OR(AY$4="",MONTH(($G$2+24))&lt;&gt;MONTH($C$2)),"",IF(COUNTIFS(m_teacher,AY$4,m_date,($G$2+24),m_active,1,m_start,"&lt;"&amp;600,m_end,"&gt;"&amp;0)=0,"",IF(COUNTIFS(m_teacher,AY$4,m_date,($G$2+24),m_active,1,m_start,"&lt;"&amp;600,m_end,"&gt;"&amp;0)&gt;1,"충돌",HYPERLINK("#'관리자_MASTER'!D"&amp;_xlfn.MAXIFS(m_row,m_teacher,AY$4,m_date,($G$2+24),m_active,1,m_start,"&lt;"&amp;600,m_end,"&gt;"&amp;0),INDEX(m_label,_xlfn.MAXIFS(m_row,m_teacher,AY$4,m_date,($G$2+24),m_active,1,m_start,"&lt;"&amp;600,m_end,"&gt;"&amp;0))))))</f>
        <v/>
      </c>
      <c r="AZ38" s="87" t="str">
        <f aca="false">IF(OR(AZ$4="",MONTH(($G$2+24))&lt;&gt;MONTH($C$2)),"",IF(COUNTIFS(m_teacher,AZ$4,m_date,($G$2+24),m_active,1,m_start,"&lt;"&amp;600,m_end,"&gt;"&amp;0)=0,"",IF(COUNTIFS(m_teacher,AZ$4,m_date,($G$2+24),m_active,1,m_start,"&lt;"&amp;600,m_end,"&gt;"&amp;0)&gt;1,"충돌",HYPERLINK("#'관리자_MASTER'!D"&amp;_xlfn.MAXIFS(m_row,m_teacher,AZ$4,m_date,($G$2+24),m_active,1,m_start,"&lt;"&amp;600,m_end,"&gt;"&amp;0),INDEX(m_label,_xlfn.MAXIFS(m_row,m_teacher,AZ$4,m_date,($G$2+24),m_active,1,m_start,"&lt;"&amp;600,m_end,"&gt;"&amp;0))))))</f>
        <v/>
      </c>
      <c r="BA38" s="87" t="str">
        <f aca="false">IF(OR(BA$4="",MONTH(($G$2+24))&lt;&gt;MONTH($C$2)),"",IF(COUNTIFS(m_teacher,BA$4,m_date,($G$2+24),m_active,1,m_start,"&lt;"&amp;600,m_end,"&gt;"&amp;0)=0,"",IF(COUNTIFS(m_teacher,BA$4,m_date,($G$2+24),m_active,1,m_start,"&lt;"&amp;600,m_end,"&gt;"&amp;0)&gt;1,"충돌",HYPERLINK("#'관리자_MASTER'!D"&amp;_xlfn.MAXIFS(m_row,m_teacher,BA$4,m_date,($G$2+24),m_active,1,m_start,"&lt;"&amp;600,m_end,"&gt;"&amp;0),INDEX(m_label,_xlfn.MAXIFS(m_row,m_teacher,BA$4,m_date,($G$2+24),m_active,1,m_start,"&lt;"&amp;600,m_end,"&gt;"&amp;0))))))</f>
        <v/>
      </c>
      <c r="BB38" s="87" t="str">
        <f aca="false">IF(OR(BB$4="",MONTH(($G$2+24))&lt;&gt;MONTH($C$2)),"",IF(COUNTIFS(m_teacher,BB$4,m_date,($G$2+24),m_active,1,m_start,"&lt;"&amp;600,m_end,"&gt;"&amp;0)=0,"",IF(COUNTIFS(m_teacher,BB$4,m_date,($G$2+24),m_active,1,m_start,"&lt;"&amp;600,m_end,"&gt;"&amp;0)&gt;1,"충돌",HYPERLINK("#'관리자_MASTER'!D"&amp;_xlfn.MAXIFS(m_row,m_teacher,BB$4,m_date,($G$2+24),m_active,1,m_start,"&lt;"&amp;600,m_end,"&gt;"&amp;0),INDEX(m_label,_xlfn.MAXIFS(m_row,m_teacher,BB$4,m_date,($G$2+24),m_active,1,m_start,"&lt;"&amp;600,m_end,"&gt;"&amp;0))))))</f>
        <v/>
      </c>
      <c r="BC38" s="87" t="str">
        <f aca="false">IF(OR(BC$4="",MONTH(($G$2+24))&lt;&gt;MONTH($C$2)),"",IF(COUNTIFS(m_teacher,BC$4,m_date,($G$2+24),m_active,1,m_start,"&lt;"&amp;600,m_end,"&gt;"&amp;0)=0,"",IF(COUNTIFS(m_teacher,BC$4,m_date,($G$2+24),m_active,1,m_start,"&lt;"&amp;600,m_end,"&gt;"&amp;0)&gt;1,"충돌",HYPERLINK("#'관리자_MASTER'!D"&amp;_xlfn.MAXIFS(m_row,m_teacher,BC$4,m_date,($G$2+24),m_active,1,m_start,"&lt;"&amp;600,m_end,"&gt;"&amp;0),INDEX(m_label,_xlfn.MAXIFS(m_row,m_teacher,BC$4,m_date,($G$2+24),m_active,1,m_start,"&lt;"&amp;600,m_end,"&gt;"&amp;0))))))</f>
        <v/>
      </c>
      <c r="BD38" s="87" t="str">
        <f aca="false">IF(OR(BD$4="",MONTH(($G$2+24))&lt;&gt;MONTH($C$2)),"",IF(COUNTIFS(m_teacher,BD$4,m_date,($G$2+24),m_active,1,m_start,"&lt;"&amp;600,m_end,"&gt;"&amp;0)=0,"",IF(COUNTIFS(m_teacher,BD$4,m_date,($G$2+24),m_active,1,m_start,"&lt;"&amp;600,m_end,"&gt;"&amp;0)&gt;1,"충돌",HYPERLINK("#'관리자_MASTER'!D"&amp;_xlfn.MAXIFS(m_row,m_teacher,BD$4,m_date,($G$2+24),m_active,1,m_start,"&lt;"&amp;600,m_end,"&gt;"&amp;0),INDEX(m_label,_xlfn.MAXIFS(m_row,m_teacher,BD$4,m_date,($G$2+24),m_active,1,m_start,"&lt;"&amp;600,m_end,"&gt;"&amp;0))))))</f>
        <v/>
      </c>
    </row>
    <row r="39" customFormat="false" ht="19.5" hidden="false" customHeight="true" outlineLevel="0" collapsed="false">
      <c r="A39" s="78"/>
      <c r="B39" s="79" t="s">
        <v>92</v>
      </c>
      <c r="C39" s="88" t="str">
        <f aca="false">IF(OR(C$4="",MONTH(($G$2+3))&lt;&gt;MONTH($C$2)),"",IF(COUNTIFS(m_teacher,C$4,m_date,($G$2+3),m_active,1,m_start,"&lt;"&amp;660,m_end,"&gt;"&amp;600)=0,"",IF(COUNTIFS(m_teacher,C$4,m_date,($G$2+3),m_active,1,m_start,"&lt;"&amp;660,m_end,"&gt;"&amp;600)&gt;1,"충돌",HYPERLINK("#'관리자_MASTER'!D"&amp;_xlfn.MAXIFS(m_row,m_teacher,C$4,m_date,($G$2+3),m_active,1,m_start,"&lt;"&amp;660,m_end,"&gt;"&amp;600),INDEX(m_label,_xlfn.MAXIFS(m_row,m_teacher,C$4,m_date,($G$2+3),m_active,1,m_start,"&lt;"&amp;660,m_end,"&gt;"&amp;600))))))</f>
        <v/>
      </c>
      <c r="D39" s="88" t="str">
        <f aca="false">IF(OR(D$4="",MONTH(($G$2+3))&lt;&gt;MONTH($C$2)),"",IF(COUNTIFS(m_teacher,D$4,m_date,($G$2+3),m_active,1,m_start,"&lt;"&amp;660,m_end,"&gt;"&amp;600)=0,"",IF(COUNTIFS(m_teacher,D$4,m_date,($G$2+3),m_active,1,m_start,"&lt;"&amp;660,m_end,"&gt;"&amp;600)&gt;1,"충돌",HYPERLINK("#'관리자_MASTER'!D"&amp;_xlfn.MAXIFS(m_row,m_teacher,D$4,m_date,($G$2+3),m_active,1,m_start,"&lt;"&amp;660,m_end,"&gt;"&amp;600),INDEX(m_label,_xlfn.MAXIFS(m_row,m_teacher,D$4,m_date,($G$2+3),m_active,1,m_start,"&lt;"&amp;660,m_end,"&gt;"&amp;600))))))</f>
        <v/>
      </c>
      <c r="E39" s="88" t="str">
        <f aca="false">IF(OR(E$4="",MONTH(($G$2+3))&lt;&gt;MONTH($C$2)),"",IF(COUNTIFS(m_teacher,E$4,m_date,($G$2+3),m_active,1,m_start,"&lt;"&amp;660,m_end,"&gt;"&amp;600)=0,"",IF(COUNTIFS(m_teacher,E$4,m_date,($G$2+3),m_active,1,m_start,"&lt;"&amp;660,m_end,"&gt;"&amp;600)&gt;1,"충돌",HYPERLINK("#'관리자_MASTER'!D"&amp;_xlfn.MAXIFS(m_row,m_teacher,E$4,m_date,($G$2+3),m_active,1,m_start,"&lt;"&amp;660,m_end,"&gt;"&amp;600),INDEX(m_label,_xlfn.MAXIFS(m_row,m_teacher,E$4,m_date,($G$2+3),m_active,1,m_start,"&lt;"&amp;660,m_end,"&gt;"&amp;600))))))</f>
        <v/>
      </c>
      <c r="F39" s="88" t="str">
        <f aca="false">IF(OR(F$4="",MONTH(($G$2+3))&lt;&gt;MONTH($C$2)),"",IF(COUNTIFS(m_teacher,F$4,m_date,($G$2+3),m_active,1,m_start,"&lt;"&amp;660,m_end,"&gt;"&amp;600)=0,"",IF(COUNTIFS(m_teacher,F$4,m_date,($G$2+3),m_active,1,m_start,"&lt;"&amp;660,m_end,"&gt;"&amp;600)&gt;1,"충돌",HYPERLINK("#'관리자_MASTER'!D"&amp;_xlfn.MAXIFS(m_row,m_teacher,F$4,m_date,($G$2+3),m_active,1,m_start,"&lt;"&amp;660,m_end,"&gt;"&amp;600),INDEX(m_label,_xlfn.MAXIFS(m_row,m_teacher,F$4,m_date,($G$2+3),m_active,1,m_start,"&lt;"&amp;660,m_end,"&gt;"&amp;600))))))</f>
        <v/>
      </c>
      <c r="G39" s="88" t="str">
        <f aca="false">IF(OR(G$4="",MONTH(($G$2+3))&lt;&gt;MONTH($C$2)),"",IF(COUNTIFS(m_teacher,G$4,m_date,($G$2+3),m_active,1,m_start,"&lt;"&amp;660,m_end,"&gt;"&amp;600)=0,"",IF(COUNTIFS(m_teacher,G$4,m_date,($G$2+3),m_active,1,m_start,"&lt;"&amp;660,m_end,"&gt;"&amp;600)&gt;1,"충돌",HYPERLINK("#'관리자_MASTER'!D"&amp;_xlfn.MAXIFS(m_row,m_teacher,G$4,m_date,($G$2+3),m_active,1,m_start,"&lt;"&amp;660,m_end,"&gt;"&amp;600),INDEX(m_label,_xlfn.MAXIFS(m_row,m_teacher,G$4,m_date,($G$2+3),m_active,1,m_start,"&lt;"&amp;660,m_end,"&gt;"&amp;600))))))</f>
        <v/>
      </c>
      <c r="H39" s="88" t="str">
        <f aca="false">IF(OR(H$4="",MONTH(($G$2+3))&lt;&gt;MONTH($C$2)),"",IF(COUNTIFS(m_teacher,H$4,m_date,($G$2+3),m_active,1,m_start,"&lt;"&amp;660,m_end,"&gt;"&amp;600)=0,"",IF(COUNTIFS(m_teacher,H$4,m_date,($G$2+3),m_active,1,m_start,"&lt;"&amp;660,m_end,"&gt;"&amp;600)&gt;1,"충돌",HYPERLINK("#'관리자_MASTER'!D"&amp;_xlfn.MAXIFS(m_row,m_teacher,H$4,m_date,($G$2+3),m_active,1,m_start,"&lt;"&amp;660,m_end,"&gt;"&amp;600),INDEX(m_label,_xlfn.MAXIFS(m_row,m_teacher,H$4,m_date,($G$2+3),m_active,1,m_start,"&lt;"&amp;660,m_end,"&gt;"&amp;600))))))</f>
        <v/>
      </c>
      <c r="I39" s="88" t="str">
        <f aca="false">IF(OR(I$4="",MONTH(($G$2+3))&lt;&gt;MONTH($C$2)),"",IF(COUNTIFS(m_teacher,I$4,m_date,($G$2+3),m_active,1,m_start,"&lt;"&amp;660,m_end,"&gt;"&amp;600)=0,"",IF(COUNTIFS(m_teacher,I$4,m_date,($G$2+3),m_active,1,m_start,"&lt;"&amp;660,m_end,"&gt;"&amp;600)&gt;1,"충돌",HYPERLINK("#'관리자_MASTER'!D"&amp;_xlfn.MAXIFS(m_row,m_teacher,I$4,m_date,($G$2+3),m_active,1,m_start,"&lt;"&amp;660,m_end,"&gt;"&amp;600),INDEX(m_label,_xlfn.MAXIFS(m_row,m_teacher,I$4,m_date,($G$2+3),m_active,1,m_start,"&lt;"&amp;660,m_end,"&gt;"&amp;600))))))</f>
        <v/>
      </c>
      <c r="J39" s="88" t="str">
        <f aca="false">IF(OR(J$4="",MONTH(($G$2+3))&lt;&gt;MONTH($C$2)),"",IF(COUNTIFS(m_teacher,J$4,m_date,($G$2+3),m_active,1,m_start,"&lt;"&amp;660,m_end,"&gt;"&amp;600)=0,"",IF(COUNTIFS(m_teacher,J$4,m_date,($G$2+3),m_active,1,m_start,"&lt;"&amp;660,m_end,"&gt;"&amp;600)&gt;1,"충돌",HYPERLINK("#'관리자_MASTER'!D"&amp;_xlfn.MAXIFS(m_row,m_teacher,J$4,m_date,($G$2+3),m_active,1,m_start,"&lt;"&amp;660,m_end,"&gt;"&amp;600),INDEX(m_label,_xlfn.MAXIFS(m_row,m_teacher,J$4,m_date,($G$2+3),m_active,1,m_start,"&lt;"&amp;660,m_end,"&gt;"&amp;600))))))</f>
        <v/>
      </c>
      <c r="K39" s="88" t="str">
        <f aca="false">IF(OR(K$4="",MONTH(($G$2+3))&lt;&gt;MONTH($C$2)),"",IF(COUNTIFS(m_teacher,K$4,m_date,($G$2+3),m_active,1,m_start,"&lt;"&amp;660,m_end,"&gt;"&amp;600)=0,"",IF(COUNTIFS(m_teacher,K$4,m_date,($G$2+3),m_active,1,m_start,"&lt;"&amp;660,m_end,"&gt;"&amp;600)&gt;1,"충돌",HYPERLINK("#'관리자_MASTER'!D"&amp;_xlfn.MAXIFS(m_row,m_teacher,K$4,m_date,($G$2+3),m_active,1,m_start,"&lt;"&amp;660,m_end,"&gt;"&amp;600),INDEX(m_label,_xlfn.MAXIFS(m_row,m_teacher,K$4,m_date,($G$2+3),m_active,1,m_start,"&lt;"&amp;660,m_end,"&gt;"&amp;600))))))</f>
        <v/>
      </c>
      <c r="L39" s="88" t="str">
        <f aca="false">IF(OR(L$4="",MONTH(($G$2+3))&lt;&gt;MONTH($C$2)),"",IF(COUNTIFS(m_teacher,L$4,m_date,($G$2+3),m_active,1,m_start,"&lt;"&amp;660,m_end,"&gt;"&amp;600)=0,"",IF(COUNTIFS(m_teacher,L$4,m_date,($G$2+3),m_active,1,m_start,"&lt;"&amp;660,m_end,"&gt;"&amp;600)&gt;1,"충돌",HYPERLINK("#'관리자_MASTER'!D"&amp;_xlfn.MAXIFS(m_row,m_teacher,L$4,m_date,($G$2+3),m_active,1,m_start,"&lt;"&amp;660,m_end,"&gt;"&amp;600),INDEX(m_label,_xlfn.MAXIFS(m_row,m_teacher,L$4,m_date,($G$2+3),m_active,1,m_start,"&lt;"&amp;660,m_end,"&gt;"&amp;600))))))</f>
        <v/>
      </c>
      <c r="M39" s="88" t="str">
        <f aca="false">IF(OR(M$4="",MONTH(($G$2+3))&lt;&gt;MONTH($C$2)),"",IF(COUNTIFS(m_teacher,M$4,m_date,($G$2+3),m_active,1,m_start,"&lt;"&amp;660,m_end,"&gt;"&amp;600)=0,"",IF(COUNTIFS(m_teacher,M$4,m_date,($G$2+3),m_active,1,m_start,"&lt;"&amp;660,m_end,"&gt;"&amp;600)&gt;1,"충돌",HYPERLINK("#'관리자_MASTER'!D"&amp;_xlfn.MAXIFS(m_row,m_teacher,M$4,m_date,($G$2+3),m_active,1,m_start,"&lt;"&amp;660,m_end,"&gt;"&amp;600),INDEX(m_label,_xlfn.MAXIFS(m_row,m_teacher,M$4,m_date,($G$2+3),m_active,1,m_start,"&lt;"&amp;660,m_end,"&gt;"&amp;600))))))</f>
        <v/>
      </c>
      <c r="N39" s="88" t="str">
        <f aca="false">IF(OR(N$4="",MONTH(($G$2+3))&lt;&gt;MONTH($C$2)),"",IF(COUNTIFS(m_teacher,N$4,m_date,($G$2+3),m_active,1,m_start,"&lt;"&amp;660,m_end,"&gt;"&amp;600)=0,"",IF(COUNTIFS(m_teacher,N$4,m_date,($G$2+3),m_active,1,m_start,"&lt;"&amp;660,m_end,"&gt;"&amp;600)&gt;1,"충돌",HYPERLINK("#'관리자_MASTER'!D"&amp;_xlfn.MAXIFS(m_row,m_teacher,N$4,m_date,($G$2+3),m_active,1,m_start,"&lt;"&amp;660,m_end,"&gt;"&amp;600),INDEX(m_label,_xlfn.MAXIFS(m_row,m_teacher,N$4,m_date,($G$2+3),m_active,1,m_start,"&lt;"&amp;660,m_end,"&gt;"&amp;600))))))</f>
        <v/>
      </c>
      <c r="O39" s="78"/>
      <c r="P39" s="79" t="s">
        <v>92</v>
      </c>
      <c r="Q39" s="88" t="str">
        <f aca="false">IF(OR(Q$4="",MONTH(($G$2+10))&lt;&gt;MONTH($C$2)),"",IF(COUNTIFS(m_teacher,Q$4,m_date,($G$2+10),m_active,1,m_start,"&lt;"&amp;660,m_end,"&gt;"&amp;600)=0,"",IF(COUNTIFS(m_teacher,Q$4,m_date,($G$2+10),m_active,1,m_start,"&lt;"&amp;660,m_end,"&gt;"&amp;600)&gt;1,"충돌",HYPERLINK("#'관리자_MASTER'!D"&amp;_xlfn.MAXIFS(m_row,m_teacher,Q$4,m_date,($G$2+10),m_active,1,m_start,"&lt;"&amp;660,m_end,"&gt;"&amp;600),INDEX(m_label,_xlfn.MAXIFS(m_row,m_teacher,Q$4,m_date,($G$2+10),m_active,1,m_start,"&lt;"&amp;660,m_end,"&gt;"&amp;600))))))</f>
        <v/>
      </c>
      <c r="R39" s="88" t="str">
        <f aca="false">IF(OR(R$4="",MONTH(($G$2+10))&lt;&gt;MONTH($C$2)),"",IF(COUNTIFS(m_teacher,R$4,m_date,($G$2+10),m_active,1,m_start,"&lt;"&amp;660,m_end,"&gt;"&amp;600)=0,"",IF(COUNTIFS(m_teacher,R$4,m_date,($G$2+10),m_active,1,m_start,"&lt;"&amp;660,m_end,"&gt;"&amp;600)&gt;1,"충돌",HYPERLINK("#'관리자_MASTER'!D"&amp;_xlfn.MAXIFS(m_row,m_teacher,R$4,m_date,($G$2+10),m_active,1,m_start,"&lt;"&amp;660,m_end,"&gt;"&amp;600),INDEX(m_label,_xlfn.MAXIFS(m_row,m_teacher,R$4,m_date,($G$2+10),m_active,1,m_start,"&lt;"&amp;660,m_end,"&gt;"&amp;600))))))</f>
        <v/>
      </c>
      <c r="S39" s="88" t="str">
        <f aca="false">IF(OR(S$4="",MONTH(($G$2+10))&lt;&gt;MONTH($C$2)),"",IF(COUNTIFS(m_teacher,S$4,m_date,($G$2+10),m_active,1,m_start,"&lt;"&amp;660,m_end,"&gt;"&amp;600)=0,"",IF(COUNTIFS(m_teacher,S$4,m_date,($G$2+10),m_active,1,m_start,"&lt;"&amp;660,m_end,"&gt;"&amp;600)&gt;1,"충돌",HYPERLINK("#'관리자_MASTER'!D"&amp;_xlfn.MAXIFS(m_row,m_teacher,S$4,m_date,($G$2+10),m_active,1,m_start,"&lt;"&amp;660,m_end,"&gt;"&amp;600),INDEX(m_label,_xlfn.MAXIFS(m_row,m_teacher,S$4,m_date,($G$2+10),m_active,1,m_start,"&lt;"&amp;660,m_end,"&gt;"&amp;600))))))</f>
        <v/>
      </c>
      <c r="T39" s="88" t="str">
        <f aca="false">IF(OR(T$4="",MONTH(($G$2+10))&lt;&gt;MONTH($C$2)),"",IF(COUNTIFS(m_teacher,T$4,m_date,($G$2+10),m_active,1,m_start,"&lt;"&amp;660,m_end,"&gt;"&amp;600)=0,"",IF(COUNTIFS(m_teacher,T$4,m_date,($G$2+10),m_active,1,m_start,"&lt;"&amp;660,m_end,"&gt;"&amp;600)&gt;1,"충돌",HYPERLINK("#'관리자_MASTER'!D"&amp;_xlfn.MAXIFS(m_row,m_teacher,T$4,m_date,($G$2+10),m_active,1,m_start,"&lt;"&amp;660,m_end,"&gt;"&amp;600),INDEX(m_label,_xlfn.MAXIFS(m_row,m_teacher,T$4,m_date,($G$2+10),m_active,1,m_start,"&lt;"&amp;660,m_end,"&gt;"&amp;600))))))</f>
        <v/>
      </c>
      <c r="U39" s="88" t="str">
        <f aca="false">IF(OR(U$4="",MONTH(($G$2+10))&lt;&gt;MONTH($C$2)),"",IF(COUNTIFS(m_teacher,U$4,m_date,($G$2+10),m_active,1,m_start,"&lt;"&amp;660,m_end,"&gt;"&amp;600)=0,"",IF(COUNTIFS(m_teacher,U$4,m_date,($G$2+10),m_active,1,m_start,"&lt;"&amp;660,m_end,"&gt;"&amp;600)&gt;1,"충돌",HYPERLINK("#'관리자_MASTER'!D"&amp;_xlfn.MAXIFS(m_row,m_teacher,U$4,m_date,($G$2+10),m_active,1,m_start,"&lt;"&amp;660,m_end,"&gt;"&amp;600),INDEX(m_label,_xlfn.MAXIFS(m_row,m_teacher,U$4,m_date,($G$2+10),m_active,1,m_start,"&lt;"&amp;660,m_end,"&gt;"&amp;600))))))</f>
        <v/>
      </c>
      <c r="V39" s="88" t="str">
        <f aca="false">IF(OR(V$4="",MONTH(($G$2+10))&lt;&gt;MONTH($C$2)),"",IF(COUNTIFS(m_teacher,V$4,m_date,($G$2+10),m_active,1,m_start,"&lt;"&amp;660,m_end,"&gt;"&amp;600)=0,"",IF(COUNTIFS(m_teacher,V$4,m_date,($G$2+10),m_active,1,m_start,"&lt;"&amp;660,m_end,"&gt;"&amp;600)&gt;1,"충돌",HYPERLINK("#'관리자_MASTER'!D"&amp;_xlfn.MAXIFS(m_row,m_teacher,V$4,m_date,($G$2+10),m_active,1,m_start,"&lt;"&amp;660,m_end,"&gt;"&amp;600),INDEX(m_label,_xlfn.MAXIFS(m_row,m_teacher,V$4,m_date,($G$2+10),m_active,1,m_start,"&lt;"&amp;660,m_end,"&gt;"&amp;600))))))</f>
        <v/>
      </c>
      <c r="W39" s="88" t="str">
        <f aca="false">IF(OR(W$4="",MONTH(($G$2+10))&lt;&gt;MONTH($C$2)),"",IF(COUNTIFS(m_teacher,W$4,m_date,($G$2+10),m_active,1,m_start,"&lt;"&amp;660,m_end,"&gt;"&amp;600)=0,"",IF(COUNTIFS(m_teacher,W$4,m_date,($G$2+10),m_active,1,m_start,"&lt;"&amp;660,m_end,"&gt;"&amp;600)&gt;1,"충돌",HYPERLINK("#'관리자_MASTER'!D"&amp;_xlfn.MAXIFS(m_row,m_teacher,W$4,m_date,($G$2+10),m_active,1,m_start,"&lt;"&amp;660,m_end,"&gt;"&amp;600),INDEX(m_label,_xlfn.MAXIFS(m_row,m_teacher,W$4,m_date,($G$2+10),m_active,1,m_start,"&lt;"&amp;660,m_end,"&gt;"&amp;600))))))</f>
        <v/>
      </c>
      <c r="X39" s="88" t="str">
        <f aca="false">IF(OR(X$4="",MONTH(($G$2+10))&lt;&gt;MONTH($C$2)),"",IF(COUNTIFS(m_teacher,X$4,m_date,($G$2+10),m_active,1,m_start,"&lt;"&amp;660,m_end,"&gt;"&amp;600)=0,"",IF(COUNTIFS(m_teacher,X$4,m_date,($G$2+10),m_active,1,m_start,"&lt;"&amp;660,m_end,"&gt;"&amp;600)&gt;1,"충돌",HYPERLINK("#'관리자_MASTER'!D"&amp;_xlfn.MAXIFS(m_row,m_teacher,X$4,m_date,($G$2+10),m_active,1,m_start,"&lt;"&amp;660,m_end,"&gt;"&amp;600),INDEX(m_label,_xlfn.MAXIFS(m_row,m_teacher,X$4,m_date,($G$2+10),m_active,1,m_start,"&lt;"&amp;660,m_end,"&gt;"&amp;600))))))</f>
        <v/>
      </c>
      <c r="Y39" s="88" t="str">
        <f aca="false">IF(OR(Y$4="",MONTH(($G$2+10))&lt;&gt;MONTH($C$2)),"",IF(COUNTIFS(m_teacher,Y$4,m_date,($G$2+10),m_active,1,m_start,"&lt;"&amp;660,m_end,"&gt;"&amp;600)=0,"",IF(COUNTIFS(m_teacher,Y$4,m_date,($G$2+10),m_active,1,m_start,"&lt;"&amp;660,m_end,"&gt;"&amp;600)&gt;1,"충돌",HYPERLINK("#'관리자_MASTER'!D"&amp;_xlfn.MAXIFS(m_row,m_teacher,Y$4,m_date,($G$2+10),m_active,1,m_start,"&lt;"&amp;660,m_end,"&gt;"&amp;600),INDEX(m_label,_xlfn.MAXIFS(m_row,m_teacher,Y$4,m_date,($G$2+10),m_active,1,m_start,"&lt;"&amp;660,m_end,"&gt;"&amp;600))))))</f>
        <v/>
      </c>
      <c r="Z39" s="88" t="str">
        <f aca="false">IF(OR(Z$4="",MONTH(($G$2+10))&lt;&gt;MONTH($C$2)),"",IF(COUNTIFS(m_teacher,Z$4,m_date,($G$2+10),m_active,1,m_start,"&lt;"&amp;660,m_end,"&gt;"&amp;600)=0,"",IF(COUNTIFS(m_teacher,Z$4,m_date,($G$2+10),m_active,1,m_start,"&lt;"&amp;660,m_end,"&gt;"&amp;600)&gt;1,"충돌",HYPERLINK("#'관리자_MASTER'!D"&amp;_xlfn.MAXIFS(m_row,m_teacher,Z$4,m_date,($G$2+10),m_active,1,m_start,"&lt;"&amp;660,m_end,"&gt;"&amp;600),INDEX(m_label,_xlfn.MAXIFS(m_row,m_teacher,Z$4,m_date,($G$2+10),m_active,1,m_start,"&lt;"&amp;660,m_end,"&gt;"&amp;600))))))</f>
        <v/>
      </c>
      <c r="AA39" s="88" t="str">
        <f aca="false">IF(OR(AA$4="",MONTH(($G$2+10))&lt;&gt;MONTH($C$2)),"",IF(COUNTIFS(m_teacher,AA$4,m_date,($G$2+10),m_active,1,m_start,"&lt;"&amp;660,m_end,"&gt;"&amp;600)=0,"",IF(COUNTIFS(m_teacher,AA$4,m_date,($G$2+10),m_active,1,m_start,"&lt;"&amp;660,m_end,"&gt;"&amp;600)&gt;1,"충돌",HYPERLINK("#'관리자_MASTER'!D"&amp;_xlfn.MAXIFS(m_row,m_teacher,AA$4,m_date,($G$2+10),m_active,1,m_start,"&lt;"&amp;660,m_end,"&gt;"&amp;600),INDEX(m_label,_xlfn.MAXIFS(m_row,m_teacher,AA$4,m_date,($G$2+10),m_active,1,m_start,"&lt;"&amp;660,m_end,"&gt;"&amp;600))))))</f>
        <v/>
      </c>
      <c r="AB39" s="88" t="str">
        <f aca="false">IF(OR(AB$4="",MONTH(($G$2+10))&lt;&gt;MONTH($C$2)),"",IF(COUNTIFS(m_teacher,AB$4,m_date,($G$2+10),m_active,1,m_start,"&lt;"&amp;660,m_end,"&gt;"&amp;600)=0,"",IF(COUNTIFS(m_teacher,AB$4,m_date,($G$2+10),m_active,1,m_start,"&lt;"&amp;660,m_end,"&gt;"&amp;600)&gt;1,"충돌",HYPERLINK("#'관리자_MASTER'!D"&amp;_xlfn.MAXIFS(m_row,m_teacher,AB$4,m_date,($G$2+10),m_active,1,m_start,"&lt;"&amp;660,m_end,"&gt;"&amp;600),INDEX(m_label,_xlfn.MAXIFS(m_row,m_teacher,AB$4,m_date,($G$2+10),m_active,1,m_start,"&lt;"&amp;660,m_end,"&gt;"&amp;600))))))</f>
        <v/>
      </c>
      <c r="AC39" s="78"/>
      <c r="AD39" s="79" t="s">
        <v>92</v>
      </c>
      <c r="AE39" s="88" t="str">
        <f aca="false">IF(OR(AE$4="",MONTH(($G$2+17))&lt;&gt;MONTH($C$2)),"",IF(COUNTIFS(m_teacher,AE$4,m_date,($G$2+17),m_active,1,m_start,"&lt;"&amp;660,m_end,"&gt;"&amp;600)=0,"",IF(COUNTIFS(m_teacher,AE$4,m_date,($G$2+17),m_active,1,m_start,"&lt;"&amp;660,m_end,"&gt;"&amp;600)&gt;1,"충돌",HYPERLINK("#'관리자_MASTER'!D"&amp;_xlfn.MAXIFS(m_row,m_teacher,AE$4,m_date,($G$2+17),m_active,1,m_start,"&lt;"&amp;660,m_end,"&gt;"&amp;600),INDEX(m_label,_xlfn.MAXIFS(m_row,m_teacher,AE$4,m_date,($G$2+17),m_active,1,m_start,"&lt;"&amp;660,m_end,"&gt;"&amp;600))))))</f>
        <v/>
      </c>
      <c r="AF39" s="88" t="str">
        <f aca="false">IF(OR(AF$4="",MONTH(($G$2+17))&lt;&gt;MONTH($C$2)),"",IF(COUNTIFS(m_teacher,AF$4,m_date,($G$2+17),m_active,1,m_start,"&lt;"&amp;660,m_end,"&gt;"&amp;600)=0,"",IF(COUNTIFS(m_teacher,AF$4,m_date,($G$2+17),m_active,1,m_start,"&lt;"&amp;660,m_end,"&gt;"&amp;600)&gt;1,"충돌",HYPERLINK("#'관리자_MASTER'!D"&amp;_xlfn.MAXIFS(m_row,m_teacher,AF$4,m_date,($G$2+17),m_active,1,m_start,"&lt;"&amp;660,m_end,"&gt;"&amp;600),INDEX(m_label,_xlfn.MAXIFS(m_row,m_teacher,AF$4,m_date,($G$2+17),m_active,1,m_start,"&lt;"&amp;660,m_end,"&gt;"&amp;600))))))</f>
        <v/>
      </c>
      <c r="AG39" s="88" t="str">
        <f aca="false">IF(OR(AG$4="",MONTH(($G$2+17))&lt;&gt;MONTH($C$2)),"",IF(COUNTIFS(m_teacher,AG$4,m_date,($G$2+17),m_active,1,m_start,"&lt;"&amp;660,m_end,"&gt;"&amp;600)=0,"",IF(COUNTIFS(m_teacher,AG$4,m_date,($G$2+17),m_active,1,m_start,"&lt;"&amp;660,m_end,"&gt;"&amp;600)&gt;1,"충돌",HYPERLINK("#'관리자_MASTER'!D"&amp;_xlfn.MAXIFS(m_row,m_teacher,AG$4,m_date,($G$2+17),m_active,1,m_start,"&lt;"&amp;660,m_end,"&gt;"&amp;600),INDEX(m_label,_xlfn.MAXIFS(m_row,m_teacher,AG$4,m_date,($G$2+17),m_active,1,m_start,"&lt;"&amp;660,m_end,"&gt;"&amp;600))))))</f>
        <v/>
      </c>
      <c r="AH39" s="88" t="str">
        <f aca="false">IF(OR(AH$4="",MONTH(($G$2+17))&lt;&gt;MONTH($C$2)),"",IF(COUNTIFS(m_teacher,AH$4,m_date,($G$2+17),m_active,1,m_start,"&lt;"&amp;660,m_end,"&gt;"&amp;600)=0,"",IF(COUNTIFS(m_teacher,AH$4,m_date,($G$2+17),m_active,1,m_start,"&lt;"&amp;660,m_end,"&gt;"&amp;600)&gt;1,"충돌",HYPERLINK("#'관리자_MASTER'!D"&amp;_xlfn.MAXIFS(m_row,m_teacher,AH$4,m_date,($G$2+17),m_active,1,m_start,"&lt;"&amp;660,m_end,"&gt;"&amp;600),INDEX(m_label,_xlfn.MAXIFS(m_row,m_teacher,AH$4,m_date,($G$2+17),m_active,1,m_start,"&lt;"&amp;660,m_end,"&gt;"&amp;600))))))</f>
        <v/>
      </c>
      <c r="AI39" s="88" t="str">
        <f aca="false">IF(OR(AI$4="",MONTH(($G$2+17))&lt;&gt;MONTH($C$2)),"",IF(COUNTIFS(m_teacher,AI$4,m_date,($G$2+17),m_active,1,m_start,"&lt;"&amp;660,m_end,"&gt;"&amp;600)=0,"",IF(COUNTIFS(m_teacher,AI$4,m_date,($G$2+17),m_active,1,m_start,"&lt;"&amp;660,m_end,"&gt;"&amp;600)&gt;1,"충돌",HYPERLINK("#'관리자_MASTER'!D"&amp;_xlfn.MAXIFS(m_row,m_teacher,AI$4,m_date,($G$2+17),m_active,1,m_start,"&lt;"&amp;660,m_end,"&gt;"&amp;600),INDEX(m_label,_xlfn.MAXIFS(m_row,m_teacher,AI$4,m_date,($G$2+17),m_active,1,m_start,"&lt;"&amp;660,m_end,"&gt;"&amp;600))))))</f>
        <v/>
      </c>
      <c r="AJ39" s="88" t="str">
        <f aca="false">IF(OR(AJ$4="",MONTH(($G$2+17))&lt;&gt;MONTH($C$2)),"",IF(COUNTIFS(m_teacher,AJ$4,m_date,($G$2+17),m_active,1,m_start,"&lt;"&amp;660,m_end,"&gt;"&amp;600)=0,"",IF(COUNTIFS(m_teacher,AJ$4,m_date,($G$2+17),m_active,1,m_start,"&lt;"&amp;660,m_end,"&gt;"&amp;600)&gt;1,"충돌",HYPERLINK("#'관리자_MASTER'!D"&amp;_xlfn.MAXIFS(m_row,m_teacher,AJ$4,m_date,($G$2+17),m_active,1,m_start,"&lt;"&amp;660,m_end,"&gt;"&amp;600),INDEX(m_label,_xlfn.MAXIFS(m_row,m_teacher,AJ$4,m_date,($G$2+17),m_active,1,m_start,"&lt;"&amp;660,m_end,"&gt;"&amp;600))))))</f>
        <v/>
      </c>
      <c r="AK39" s="88" t="str">
        <f aca="false">IF(OR(AK$4="",MONTH(($G$2+17))&lt;&gt;MONTH($C$2)),"",IF(COUNTIFS(m_teacher,AK$4,m_date,($G$2+17),m_active,1,m_start,"&lt;"&amp;660,m_end,"&gt;"&amp;600)=0,"",IF(COUNTIFS(m_teacher,AK$4,m_date,($G$2+17),m_active,1,m_start,"&lt;"&amp;660,m_end,"&gt;"&amp;600)&gt;1,"충돌",HYPERLINK("#'관리자_MASTER'!D"&amp;_xlfn.MAXIFS(m_row,m_teacher,AK$4,m_date,($G$2+17),m_active,1,m_start,"&lt;"&amp;660,m_end,"&gt;"&amp;600),INDEX(m_label,_xlfn.MAXIFS(m_row,m_teacher,AK$4,m_date,($G$2+17),m_active,1,m_start,"&lt;"&amp;660,m_end,"&gt;"&amp;600))))))</f>
        <v/>
      </c>
      <c r="AL39" s="88" t="str">
        <f aca="false">IF(OR(AL$4="",MONTH(($G$2+17))&lt;&gt;MONTH($C$2)),"",IF(COUNTIFS(m_teacher,AL$4,m_date,($G$2+17),m_active,1,m_start,"&lt;"&amp;660,m_end,"&gt;"&amp;600)=0,"",IF(COUNTIFS(m_teacher,AL$4,m_date,($G$2+17),m_active,1,m_start,"&lt;"&amp;660,m_end,"&gt;"&amp;600)&gt;1,"충돌",HYPERLINK("#'관리자_MASTER'!D"&amp;_xlfn.MAXIFS(m_row,m_teacher,AL$4,m_date,($G$2+17),m_active,1,m_start,"&lt;"&amp;660,m_end,"&gt;"&amp;600),INDEX(m_label,_xlfn.MAXIFS(m_row,m_teacher,AL$4,m_date,($G$2+17),m_active,1,m_start,"&lt;"&amp;660,m_end,"&gt;"&amp;600))))))</f>
        <v/>
      </c>
      <c r="AM39" s="88" t="str">
        <f aca="false">IF(OR(AM$4="",MONTH(($G$2+17))&lt;&gt;MONTH($C$2)),"",IF(COUNTIFS(m_teacher,AM$4,m_date,($G$2+17),m_active,1,m_start,"&lt;"&amp;660,m_end,"&gt;"&amp;600)=0,"",IF(COUNTIFS(m_teacher,AM$4,m_date,($G$2+17),m_active,1,m_start,"&lt;"&amp;660,m_end,"&gt;"&amp;600)&gt;1,"충돌",HYPERLINK("#'관리자_MASTER'!D"&amp;_xlfn.MAXIFS(m_row,m_teacher,AM$4,m_date,($G$2+17),m_active,1,m_start,"&lt;"&amp;660,m_end,"&gt;"&amp;600),INDEX(m_label,_xlfn.MAXIFS(m_row,m_teacher,AM$4,m_date,($G$2+17),m_active,1,m_start,"&lt;"&amp;660,m_end,"&gt;"&amp;600))))))</f>
        <v/>
      </c>
      <c r="AN39" s="88" t="str">
        <f aca="false">IF(OR(AN$4="",MONTH(($G$2+17))&lt;&gt;MONTH($C$2)),"",IF(COUNTIFS(m_teacher,AN$4,m_date,($G$2+17),m_active,1,m_start,"&lt;"&amp;660,m_end,"&gt;"&amp;600)=0,"",IF(COUNTIFS(m_teacher,AN$4,m_date,($G$2+17),m_active,1,m_start,"&lt;"&amp;660,m_end,"&gt;"&amp;600)&gt;1,"충돌",HYPERLINK("#'관리자_MASTER'!D"&amp;_xlfn.MAXIFS(m_row,m_teacher,AN$4,m_date,($G$2+17),m_active,1,m_start,"&lt;"&amp;660,m_end,"&gt;"&amp;600),INDEX(m_label,_xlfn.MAXIFS(m_row,m_teacher,AN$4,m_date,($G$2+17),m_active,1,m_start,"&lt;"&amp;660,m_end,"&gt;"&amp;600))))))</f>
        <v/>
      </c>
      <c r="AO39" s="88" t="str">
        <f aca="false">IF(OR(AO$4="",MONTH(($G$2+17))&lt;&gt;MONTH($C$2)),"",IF(COUNTIFS(m_teacher,AO$4,m_date,($G$2+17),m_active,1,m_start,"&lt;"&amp;660,m_end,"&gt;"&amp;600)=0,"",IF(COUNTIFS(m_teacher,AO$4,m_date,($G$2+17),m_active,1,m_start,"&lt;"&amp;660,m_end,"&gt;"&amp;600)&gt;1,"충돌",HYPERLINK("#'관리자_MASTER'!D"&amp;_xlfn.MAXIFS(m_row,m_teacher,AO$4,m_date,($G$2+17),m_active,1,m_start,"&lt;"&amp;660,m_end,"&gt;"&amp;600),INDEX(m_label,_xlfn.MAXIFS(m_row,m_teacher,AO$4,m_date,($G$2+17),m_active,1,m_start,"&lt;"&amp;660,m_end,"&gt;"&amp;600))))))</f>
        <v/>
      </c>
      <c r="AP39" s="88" t="str">
        <f aca="false">IF(OR(AP$4="",MONTH(($G$2+17))&lt;&gt;MONTH($C$2)),"",IF(COUNTIFS(m_teacher,AP$4,m_date,($G$2+17),m_active,1,m_start,"&lt;"&amp;660,m_end,"&gt;"&amp;600)=0,"",IF(COUNTIFS(m_teacher,AP$4,m_date,($G$2+17),m_active,1,m_start,"&lt;"&amp;660,m_end,"&gt;"&amp;600)&gt;1,"충돌",HYPERLINK("#'관리자_MASTER'!D"&amp;_xlfn.MAXIFS(m_row,m_teacher,AP$4,m_date,($G$2+17),m_active,1,m_start,"&lt;"&amp;660,m_end,"&gt;"&amp;600),INDEX(m_label,_xlfn.MAXIFS(m_row,m_teacher,AP$4,m_date,($G$2+17),m_active,1,m_start,"&lt;"&amp;660,m_end,"&gt;"&amp;600))))))</f>
        <v/>
      </c>
      <c r="AQ39" s="78"/>
      <c r="AR39" s="79" t="s">
        <v>92</v>
      </c>
      <c r="AS39" s="88" t="str">
        <f aca="false">IF(OR(AS$4="",MONTH(($G$2+24))&lt;&gt;MONTH($C$2)),"",IF(COUNTIFS(m_teacher,AS$4,m_date,($G$2+24),m_active,1,m_start,"&lt;"&amp;660,m_end,"&gt;"&amp;600)=0,"",IF(COUNTIFS(m_teacher,AS$4,m_date,($G$2+24),m_active,1,m_start,"&lt;"&amp;660,m_end,"&gt;"&amp;600)&gt;1,"충돌",HYPERLINK("#'관리자_MASTER'!D"&amp;_xlfn.MAXIFS(m_row,m_teacher,AS$4,m_date,($G$2+24),m_active,1,m_start,"&lt;"&amp;660,m_end,"&gt;"&amp;600),INDEX(m_label,_xlfn.MAXIFS(m_row,m_teacher,AS$4,m_date,($G$2+24),m_active,1,m_start,"&lt;"&amp;660,m_end,"&gt;"&amp;600))))))</f>
        <v/>
      </c>
      <c r="AT39" s="88" t="str">
        <f aca="false">IF(OR(AT$4="",MONTH(($G$2+24))&lt;&gt;MONTH($C$2)),"",IF(COUNTIFS(m_teacher,AT$4,m_date,($G$2+24),m_active,1,m_start,"&lt;"&amp;660,m_end,"&gt;"&amp;600)=0,"",IF(COUNTIFS(m_teacher,AT$4,m_date,($G$2+24),m_active,1,m_start,"&lt;"&amp;660,m_end,"&gt;"&amp;600)&gt;1,"충돌",HYPERLINK("#'관리자_MASTER'!D"&amp;_xlfn.MAXIFS(m_row,m_teacher,AT$4,m_date,($G$2+24),m_active,1,m_start,"&lt;"&amp;660,m_end,"&gt;"&amp;600),INDEX(m_label,_xlfn.MAXIFS(m_row,m_teacher,AT$4,m_date,($G$2+24),m_active,1,m_start,"&lt;"&amp;660,m_end,"&gt;"&amp;600))))))</f>
        <v/>
      </c>
      <c r="AU39" s="88" t="str">
        <f aca="false">IF(OR(AU$4="",MONTH(($G$2+24))&lt;&gt;MONTH($C$2)),"",IF(COUNTIFS(m_teacher,AU$4,m_date,($G$2+24),m_active,1,m_start,"&lt;"&amp;660,m_end,"&gt;"&amp;600)=0,"",IF(COUNTIFS(m_teacher,AU$4,m_date,($G$2+24),m_active,1,m_start,"&lt;"&amp;660,m_end,"&gt;"&amp;600)&gt;1,"충돌",HYPERLINK("#'관리자_MASTER'!D"&amp;_xlfn.MAXIFS(m_row,m_teacher,AU$4,m_date,($G$2+24),m_active,1,m_start,"&lt;"&amp;660,m_end,"&gt;"&amp;600),INDEX(m_label,_xlfn.MAXIFS(m_row,m_teacher,AU$4,m_date,($G$2+24),m_active,1,m_start,"&lt;"&amp;660,m_end,"&gt;"&amp;600))))))</f>
        <v/>
      </c>
      <c r="AV39" s="88" t="str">
        <f aca="false">IF(OR(AV$4="",MONTH(($G$2+24))&lt;&gt;MONTH($C$2)),"",IF(COUNTIFS(m_teacher,AV$4,m_date,($G$2+24),m_active,1,m_start,"&lt;"&amp;660,m_end,"&gt;"&amp;600)=0,"",IF(COUNTIFS(m_teacher,AV$4,m_date,($G$2+24),m_active,1,m_start,"&lt;"&amp;660,m_end,"&gt;"&amp;600)&gt;1,"충돌",HYPERLINK("#'관리자_MASTER'!D"&amp;_xlfn.MAXIFS(m_row,m_teacher,AV$4,m_date,($G$2+24),m_active,1,m_start,"&lt;"&amp;660,m_end,"&gt;"&amp;600),INDEX(m_label,_xlfn.MAXIFS(m_row,m_teacher,AV$4,m_date,($G$2+24),m_active,1,m_start,"&lt;"&amp;660,m_end,"&gt;"&amp;600))))))</f>
        <v/>
      </c>
      <c r="AW39" s="88" t="str">
        <f aca="false">IF(OR(AW$4="",MONTH(($G$2+24))&lt;&gt;MONTH($C$2)),"",IF(COUNTIFS(m_teacher,AW$4,m_date,($G$2+24),m_active,1,m_start,"&lt;"&amp;660,m_end,"&gt;"&amp;600)=0,"",IF(COUNTIFS(m_teacher,AW$4,m_date,($G$2+24),m_active,1,m_start,"&lt;"&amp;660,m_end,"&gt;"&amp;600)&gt;1,"충돌",HYPERLINK("#'관리자_MASTER'!D"&amp;_xlfn.MAXIFS(m_row,m_teacher,AW$4,m_date,($G$2+24),m_active,1,m_start,"&lt;"&amp;660,m_end,"&gt;"&amp;600),INDEX(m_label,_xlfn.MAXIFS(m_row,m_teacher,AW$4,m_date,($G$2+24),m_active,1,m_start,"&lt;"&amp;660,m_end,"&gt;"&amp;600))))))</f>
        <v/>
      </c>
      <c r="AX39" s="88" t="str">
        <f aca="false">IF(OR(AX$4="",MONTH(($G$2+24))&lt;&gt;MONTH($C$2)),"",IF(COUNTIFS(m_teacher,AX$4,m_date,($G$2+24),m_active,1,m_start,"&lt;"&amp;660,m_end,"&gt;"&amp;600)=0,"",IF(COUNTIFS(m_teacher,AX$4,m_date,($G$2+24),m_active,1,m_start,"&lt;"&amp;660,m_end,"&gt;"&amp;600)&gt;1,"충돌",HYPERLINK("#'관리자_MASTER'!D"&amp;_xlfn.MAXIFS(m_row,m_teacher,AX$4,m_date,($G$2+24),m_active,1,m_start,"&lt;"&amp;660,m_end,"&gt;"&amp;600),INDEX(m_label,_xlfn.MAXIFS(m_row,m_teacher,AX$4,m_date,($G$2+24),m_active,1,m_start,"&lt;"&amp;660,m_end,"&gt;"&amp;600))))))</f>
        <v/>
      </c>
      <c r="AY39" s="88" t="str">
        <f aca="false">IF(OR(AY$4="",MONTH(($G$2+24))&lt;&gt;MONTH($C$2)),"",IF(COUNTIFS(m_teacher,AY$4,m_date,($G$2+24),m_active,1,m_start,"&lt;"&amp;660,m_end,"&gt;"&amp;600)=0,"",IF(COUNTIFS(m_teacher,AY$4,m_date,($G$2+24),m_active,1,m_start,"&lt;"&amp;660,m_end,"&gt;"&amp;600)&gt;1,"충돌",HYPERLINK("#'관리자_MASTER'!D"&amp;_xlfn.MAXIFS(m_row,m_teacher,AY$4,m_date,($G$2+24),m_active,1,m_start,"&lt;"&amp;660,m_end,"&gt;"&amp;600),INDEX(m_label,_xlfn.MAXIFS(m_row,m_teacher,AY$4,m_date,($G$2+24),m_active,1,m_start,"&lt;"&amp;660,m_end,"&gt;"&amp;600))))))</f>
        <v/>
      </c>
      <c r="AZ39" s="88" t="str">
        <f aca="false">IF(OR(AZ$4="",MONTH(($G$2+24))&lt;&gt;MONTH($C$2)),"",IF(COUNTIFS(m_teacher,AZ$4,m_date,($G$2+24),m_active,1,m_start,"&lt;"&amp;660,m_end,"&gt;"&amp;600)=0,"",IF(COUNTIFS(m_teacher,AZ$4,m_date,($G$2+24),m_active,1,m_start,"&lt;"&amp;660,m_end,"&gt;"&amp;600)&gt;1,"충돌",HYPERLINK("#'관리자_MASTER'!D"&amp;_xlfn.MAXIFS(m_row,m_teacher,AZ$4,m_date,($G$2+24),m_active,1,m_start,"&lt;"&amp;660,m_end,"&gt;"&amp;600),INDEX(m_label,_xlfn.MAXIFS(m_row,m_teacher,AZ$4,m_date,($G$2+24),m_active,1,m_start,"&lt;"&amp;660,m_end,"&gt;"&amp;600))))))</f>
        <v/>
      </c>
      <c r="BA39" s="88" t="str">
        <f aca="false">IF(OR(BA$4="",MONTH(($G$2+24))&lt;&gt;MONTH($C$2)),"",IF(COUNTIFS(m_teacher,BA$4,m_date,($G$2+24),m_active,1,m_start,"&lt;"&amp;660,m_end,"&gt;"&amp;600)=0,"",IF(COUNTIFS(m_teacher,BA$4,m_date,($G$2+24),m_active,1,m_start,"&lt;"&amp;660,m_end,"&gt;"&amp;600)&gt;1,"충돌",HYPERLINK("#'관리자_MASTER'!D"&amp;_xlfn.MAXIFS(m_row,m_teacher,BA$4,m_date,($G$2+24),m_active,1,m_start,"&lt;"&amp;660,m_end,"&gt;"&amp;600),INDEX(m_label,_xlfn.MAXIFS(m_row,m_teacher,BA$4,m_date,($G$2+24),m_active,1,m_start,"&lt;"&amp;660,m_end,"&gt;"&amp;600))))))</f>
        <v/>
      </c>
      <c r="BB39" s="88" t="str">
        <f aca="false">IF(OR(BB$4="",MONTH(($G$2+24))&lt;&gt;MONTH($C$2)),"",IF(COUNTIFS(m_teacher,BB$4,m_date,($G$2+24),m_active,1,m_start,"&lt;"&amp;660,m_end,"&gt;"&amp;600)=0,"",IF(COUNTIFS(m_teacher,BB$4,m_date,($G$2+24),m_active,1,m_start,"&lt;"&amp;660,m_end,"&gt;"&amp;600)&gt;1,"충돌",HYPERLINK("#'관리자_MASTER'!D"&amp;_xlfn.MAXIFS(m_row,m_teacher,BB$4,m_date,($G$2+24),m_active,1,m_start,"&lt;"&amp;660,m_end,"&gt;"&amp;600),INDEX(m_label,_xlfn.MAXIFS(m_row,m_teacher,BB$4,m_date,($G$2+24),m_active,1,m_start,"&lt;"&amp;660,m_end,"&gt;"&amp;600))))))</f>
        <v/>
      </c>
      <c r="BC39" s="88" t="str">
        <f aca="false">IF(OR(BC$4="",MONTH(($G$2+24))&lt;&gt;MONTH($C$2)),"",IF(COUNTIFS(m_teacher,BC$4,m_date,($G$2+24),m_active,1,m_start,"&lt;"&amp;660,m_end,"&gt;"&amp;600)=0,"",IF(COUNTIFS(m_teacher,BC$4,m_date,($G$2+24),m_active,1,m_start,"&lt;"&amp;660,m_end,"&gt;"&amp;600)&gt;1,"충돌",HYPERLINK("#'관리자_MASTER'!D"&amp;_xlfn.MAXIFS(m_row,m_teacher,BC$4,m_date,($G$2+24),m_active,1,m_start,"&lt;"&amp;660,m_end,"&gt;"&amp;600),INDEX(m_label,_xlfn.MAXIFS(m_row,m_teacher,BC$4,m_date,($G$2+24),m_active,1,m_start,"&lt;"&amp;660,m_end,"&gt;"&amp;600))))))</f>
        <v/>
      </c>
      <c r="BD39" s="88" t="str">
        <f aca="false">IF(OR(BD$4="",MONTH(($G$2+24))&lt;&gt;MONTH($C$2)),"",IF(COUNTIFS(m_teacher,BD$4,m_date,($G$2+24),m_active,1,m_start,"&lt;"&amp;660,m_end,"&gt;"&amp;600)=0,"",IF(COUNTIFS(m_teacher,BD$4,m_date,($G$2+24),m_active,1,m_start,"&lt;"&amp;660,m_end,"&gt;"&amp;600)&gt;1,"충돌",HYPERLINK("#'관리자_MASTER'!D"&amp;_xlfn.MAXIFS(m_row,m_teacher,BD$4,m_date,($G$2+24),m_active,1,m_start,"&lt;"&amp;660,m_end,"&gt;"&amp;600),INDEX(m_label,_xlfn.MAXIFS(m_row,m_teacher,BD$4,m_date,($G$2+24),m_active,1,m_start,"&lt;"&amp;660,m_end,"&gt;"&amp;600))))))</f>
        <v/>
      </c>
    </row>
    <row r="40" customFormat="false" ht="19.5" hidden="false" customHeight="true" outlineLevel="0" collapsed="false">
      <c r="A40" s="78"/>
      <c r="B40" s="79" t="s">
        <v>93</v>
      </c>
      <c r="C40" s="88" t="str">
        <f aca="false">IF(OR(C$4="",MONTH(($G$2+3))&lt;&gt;MONTH($C$2)),"",IF(COUNTIFS(m_teacher,C$4,m_date,($G$2+3),m_active,1,m_start,"&lt;"&amp;720,m_end,"&gt;"&amp;660)=0,"",IF(COUNTIFS(m_teacher,C$4,m_date,($G$2+3),m_active,1,m_start,"&lt;"&amp;720,m_end,"&gt;"&amp;660)&gt;1,"충돌",HYPERLINK("#'관리자_MASTER'!D"&amp;_xlfn.MAXIFS(m_row,m_teacher,C$4,m_date,($G$2+3),m_active,1,m_start,"&lt;"&amp;720,m_end,"&gt;"&amp;660),INDEX(m_label,_xlfn.MAXIFS(m_row,m_teacher,C$4,m_date,($G$2+3),m_active,1,m_start,"&lt;"&amp;720,m_end,"&gt;"&amp;660))))))</f>
        <v/>
      </c>
      <c r="D40" s="88" t="str">
        <f aca="false">IF(OR(D$4="",MONTH(($G$2+3))&lt;&gt;MONTH($C$2)),"",IF(COUNTIFS(m_teacher,D$4,m_date,($G$2+3),m_active,1,m_start,"&lt;"&amp;720,m_end,"&gt;"&amp;660)=0,"",IF(COUNTIFS(m_teacher,D$4,m_date,($G$2+3),m_active,1,m_start,"&lt;"&amp;720,m_end,"&gt;"&amp;660)&gt;1,"충돌",HYPERLINK("#'관리자_MASTER'!D"&amp;_xlfn.MAXIFS(m_row,m_teacher,D$4,m_date,($G$2+3),m_active,1,m_start,"&lt;"&amp;720,m_end,"&gt;"&amp;660),INDEX(m_label,_xlfn.MAXIFS(m_row,m_teacher,D$4,m_date,($G$2+3),m_active,1,m_start,"&lt;"&amp;720,m_end,"&gt;"&amp;660))))))</f>
        <v/>
      </c>
      <c r="E40" s="88" t="str">
        <f aca="false">IF(OR(E$4="",MONTH(($G$2+3))&lt;&gt;MONTH($C$2)),"",IF(COUNTIFS(m_teacher,E$4,m_date,($G$2+3),m_active,1,m_start,"&lt;"&amp;720,m_end,"&gt;"&amp;660)=0,"",IF(COUNTIFS(m_teacher,E$4,m_date,($G$2+3),m_active,1,m_start,"&lt;"&amp;720,m_end,"&gt;"&amp;660)&gt;1,"충돌",HYPERLINK("#'관리자_MASTER'!D"&amp;_xlfn.MAXIFS(m_row,m_teacher,E$4,m_date,($G$2+3),m_active,1,m_start,"&lt;"&amp;720,m_end,"&gt;"&amp;660),INDEX(m_label,_xlfn.MAXIFS(m_row,m_teacher,E$4,m_date,($G$2+3),m_active,1,m_start,"&lt;"&amp;720,m_end,"&gt;"&amp;660))))))</f>
        <v/>
      </c>
      <c r="F40" s="88" t="str">
        <f aca="false">IF(OR(F$4="",MONTH(($G$2+3))&lt;&gt;MONTH($C$2)),"",IF(COUNTIFS(m_teacher,F$4,m_date,($G$2+3),m_active,1,m_start,"&lt;"&amp;720,m_end,"&gt;"&amp;660)=0,"",IF(COUNTIFS(m_teacher,F$4,m_date,($G$2+3),m_active,1,m_start,"&lt;"&amp;720,m_end,"&gt;"&amp;660)&gt;1,"충돌",HYPERLINK("#'관리자_MASTER'!D"&amp;_xlfn.MAXIFS(m_row,m_teacher,F$4,m_date,($G$2+3),m_active,1,m_start,"&lt;"&amp;720,m_end,"&gt;"&amp;660),INDEX(m_label,_xlfn.MAXIFS(m_row,m_teacher,F$4,m_date,($G$2+3),m_active,1,m_start,"&lt;"&amp;720,m_end,"&gt;"&amp;660))))))</f>
        <v/>
      </c>
      <c r="G40" s="88" t="str">
        <f aca="false">IF(OR(G$4="",MONTH(($G$2+3))&lt;&gt;MONTH($C$2)),"",IF(COUNTIFS(m_teacher,G$4,m_date,($G$2+3),m_active,1,m_start,"&lt;"&amp;720,m_end,"&gt;"&amp;660)=0,"",IF(COUNTIFS(m_teacher,G$4,m_date,($G$2+3),m_active,1,m_start,"&lt;"&amp;720,m_end,"&gt;"&amp;660)&gt;1,"충돌",HYPERLINK("#'관리자_MASTER'!D"&amp;_xlfn.MAXIFS(m_row,m_teacher,G$4,m_date,($G$2+3),m_active,1,m_start,"&lt;"&amp;720,m_end,"&gt;"&amp;660),INDEX(m_label,_xlfn.MAXIFS(m_row,m_teacher,G$4,m_date,($G$2+3),m_active,1,m_start,"&lt;"&amp;720,m_end,"&gt;"&amp;660))))))</f>
        <v/>
      </c>
      <c r="H40" s="88" t="str">
        <f aca="false">IF(OR(H$4="",MONTH(($G$2+3))&lt;&gt;MONTH($C$2)),"",IF(COUNTIFS(m_teacher,H$4,m_date,($G$2+3),m_active,1,m_start,"&lt;"&amp;720,m_end,"&gt;"&amp;660)=0,"",IF(COUNTIFS(m_teacher,H$4,m_date,($G$2+3),m_active,1,m_start,"&lt;"&amp;720,m_end,"&gt;"&amp;660)&gt;1,"충돌",HYPERLINK("#'관리자_MASTER'!D"&amp;_xlfn.MAXIFS(m_row,m_teacher,H$4,m_date,($G$2+3),m_active,1,m_start,"&lt;"&amp;720,m_end,"&gt;"&amp;660),INDEX(m_label,_xlfn.MAXIFS(m_row,m_teacher,H$4,m_date,($G$2+3),m_active,1,m_start,"&lt;"&amp;720,m_end,"&gt;"&amp;660))))))</f>
        <v/>
      </c>
      <c r="I40" s="88" t="str">
        <f aca="false">IF(OR(I$4="",MONTH(($G$2+3))&lt;&gt;MONTH($C$2)),"",IF(COUNTIFS(m_teacher,I$4,m_date,($G$2+3),m_active,1,m_start,"&lt;"&amp;720,m_end,"&gt;"&amp;660)=0,"",IF(COUNTIFS(m_teacher,I$4,m_date,($G$2+3),m_active,1,m_start,"&lt;"&amp;720,m_end,"&gt;"&amp;660)&gt;1,"충돌",HYPERLINK("#'관리자_MASTER'!D"&amp;_xlfn.MAXIFS(m_row,m_teacher,I$4,m_date,($G$2+3),m_active,1,m_start,"&lt;"&amp;720,m_end,"&gt;"&amp;660),INDEX(m_label,_xlfn.MAXIFS(m_row,m_teacher,I$4,m_date,($G$2+3),m_active,1,m_start,"&lt;"&amp;720,m_end,"&gt;"&amp;660))))))</f>
        <v/>
      </c>
      <c r="J40" s="88" t="str">
        <f aca="false">IF(OR(J$4="",MONTH(($G$2+3))&lt;&gt;MONTH($C$2)),"",IF(COUNTIFS(m_teacher,J$4,m_date,($G$2+3),m_active,1,m_start,"&lt;"&amp;720,m_end,"&gt;"&amp;660)=0,"",IF(COUNTIFS(m_teacher,J$4,m_date,($G$2+3),m_active,1,m_start,"&lt;"&amp;720,m_end,"&gt;"&amp;660)&gt;1,"충돌",HYPERLINK("#'관리자_MASTER'!D"&amp;_xlfn.MAXIFS(m_row,m_teacher,J$4,m_date,($G$2+3),m_active,1,m_start,"&lt;"&amp;720,m_end,"&gt;"&amp;660),INDEX(m_label,_xlfn.MAXIFS(m_row,m_teacher,J$4,m_date,($G$2+3),m_active,1,m_start,"&lt;"&amp;720,m_end,"&gt;"&amp;660))))))</f>
        <v/>
      </c>
      <c r="K40" s="88" t="str">
        <f aca="false">IF(OR(K$4="",MONTH(($G$2+3))&lt;&gt;MONTH($C$2)),"",IF(COUNTIFS(m_teacher,K$4,m_date,($G$2+3),m_active,1,m_start,"&lt;"&amp;720,m_end,"&gt;"&amp;660)=0,"",IF(COUNTIFS(m_teacher,K$4,m_date,($G$2+3),m_active,1,m_start,"&lt;"&amp;720,m_end,"&gt;"&amp;660)&gt;1,"충돌",HYPERLINK("#'관리자_MASTER'!D"&amp;_xlfn.MAXIFS(m_row,m_teacher,K$4,m_date,($G$2+3),m_active,1,m_start,"&lt;"&amp;720,m_end,"&gt;"&amp;660),INDEX(m_label,_xlfn.MAXIFS(m_row,m_teacher,K$4,m_date,($G$2+3),m_active,1,m_start,"&lt;"&amp;720,m_end,"&gt;"&amp;660))))))</f>
        <v/>
      </c>
      <c r="L40" s="88" t="str">
        <f aca="false">IF(OR(L$4="",MONTH(($G$2+3))&lt;&gt;MONTH($C$2)),"",IF(COUNTIFS(m_teacher,L$4,m_date,($G$2+3),m_active,1,m_start,"&lt;"&amp;720,m_end,"&gt;"&amp;660)=0,"",IF(COUNTIFS(m_teacher,L$4,m_date,($G$2+3),m_active,1,m_start,"&lt;"&amp;720,m_end,"&gt;"&amp;660)&gt;1,"충돌",HYPERLINK("#'관리자_MASTER'!D"&amp;_xlfn.MAXIFS(m_row,m_teacher,L$4,m_date,($G$2+3),m_active,1,m_start,"&lt;"&amp;720,m_end,"&gt;"&amp;660),INDEX(m_label,_xlfn.MAXIFS(m_row,m_teacher,L$4,m_date,($G$2+3),m_active,1,m_start,"&lt;"&amp;720,m_end,"&gt;"&amp;660))))))</f>
        <v/>
      </c>
      <c r="M40" s="88" t="str">
        <f aca="false">IF(OR(M$4="",MONTH(($G$2+3))&lt;&gt;MONTH($C$2)),"",IF(COUNTIFS(m_teacher,M$4,m_date,($G$2+3),m_active,1,m_start,"&lt;"&amp;720,m_end,"&gt;"&amp;660)=0,"",IF(COUNTIFS(m_teacher,M$4,m_date,($G$2+3),m_active,1,m_start,"&lt;"&amp;720,m_end,"&gt;"&amp;660)&gt;1,"충돌",HYPERLINK("#'관리자_MASTER'!D"&amp;_xlfn.MAXIFS(m_row,m_teacher,M$4,m_date,($G$2+3),m_active,1,m_start,"&lt;"&amp;720,m_end,"&gt;"&amp;660),INDEX(m_label,_xlfn.MAXIFS(m_row,m_teacher,M$4,m_date,($G$2+3),m_active,1,m_start,"&lt;"&amp;720,m_end,"&gt;"&amp;660))))))</f>
        <v/>
      </c>
      <c r="N40" s="88" t="str">
        <f aca="false">IF(OR(N$4="",MONTH(($G$2+3))&lt;&gt;MONTH($C$2)),"",IF(COUNTIFS(m_teacher,N$4,m_date,($G$2+3),m_active,1,m_start,"&lt;"&amp;720,m_end,"&gt;"&amp;660)=0,"",IF(COUNTIFS(m_teacher,N$4,m_date,($G$2+3),m_active,1,m_start,"&lt;"&amp;720,m_end,"&gt;"&amp;660)&gt;1,"충돌",HYPERLINK("#'관리자_MASTER'!D"&amp;_xlfn.MAXIFS(m_row,m_teacher,N$4,m_date,($G$2+3),m_active,1,m_start,"&lt;"&amp;720,m_end,"&gt;"&amp;660),INDEX(m_label,_xlfn.MAXIFS(m_row,m_teacher,N$4,m_date,($G$2+3),m_active,1,m_start,"&lt;"&amp;720,m_end,"&gt;"&amp;660))))))</f>
        <v/>
      </c>
      <c r="O40" s="78"/>
      <c r="P40" s="79" t="s">
        <v>93</v>
      </c>
      <c r="Q40" s="88" t="str">
        <f aca="false">IF(OR(Q$4="",MONTH(($G$2+10))&lt;&gt;MONTH($C$2)),"",IF(COUNTIFS(m_teacher,Q$4,m_date,($G$2+10),m_active,1,m_start,"&lt;"&amp;720,m_end,"&gt;"&amp;660)=0,"",IF(COUNTIFS(m_teacher,Q$4,m_date,($G$2+10),m_active,1,m_start,"&lt;"&amp;720,m_end,"&gt;"&amp;660)&gt;1,"충돌",HYPERLINK("#'관리자_MASTER'!D"&amp;_xlfn.MAXIFS(m_row,m_teacher,Q$4,m_date,($G$2+10),m_active,1,m_start,"&lt;"&amp;720,m_end,"&gt;"&amp;660),INDEX(m_label,_xlfn.MAXIFS(m_row,m_teacher,Q$4,m_date,($G$2+10),m_active,1,m_start,"&lt;"&amp;720,m_end,"&gt;"&amp;660))))))</f>
        <v/>
      </c>
      <c r="R40" s="88" t="str">
        <f aca="false">IF(OR(R$4="",MONTH(($G$2+10))&lt;&gt;MONTH($C$2)),"",IF(COUNTIFS(m_teacher,R$4,m_date,($G$2+10),m_active,1,m_start,"&lt;"&amp;720,m_end,"&gt;"&amp;660)=0,"",IF(COUNTIFS(m_teacher,R$4,m_date,($G$2+10),m_active,1,m_start,"&lt;"&amp;720,m_end,"&gt;"&amp;660)&gt;1,"충돌",HYPERLINK("#'관리자_MASTER'!D"&amp;_xlfn.MAXIFS(m_row,m_teacher,R$4,m_date,($G$2+10),m_active,1,m_start,"&lt;"&amp;720,m_end,"&gt;"&amp;660),INDEX(m_label,_xlfn.MAXIFS(m_row,m_teacher,R$4,m_date,($G$2+10),m_active,1,m_start,"&lt;"&amp;720,m_end,"&gt;"&amp;660))))))</f>
        <v/>
      </c>
      <c r="S40" s="88" t="str">
        <f aca="false">IF(OR(S$4="",MONTH(($G$2+10))&lt;&gt;MONTH($C$2)),"",IF(COUNTIFS(m_teacher,S$4,m_date,($G$2+10),m_active,1,m_start,"&lt;"&amp;720,m_end,"&gt;"&amp;660)=0,"",IF(COUNTIFS(m_teacher,S$4,m_date,($G$2+10),m_active,1,m_start,"&lt;"&amp;720,m_end,"&gt;"&amp;660)&gt;1,"충돌",HYPERLINK("#'관리자_MASTER'!D"&amp;_xlfn.MAXIFS(m_row,m_teacher,S$4,m_date,($G$2+10),m_active,1,m_start,"&lt;"&amp;720,m_end,"&gt;"&amp;660),INDEX(m_label,_xlfn.MAXIFS(m_row,m_teacher,S$4,m_date,($G$2+10),m_active,1,m_start,"&lt;"&amp;720,m_end,"&gt;"&amp;660))))))</f>
        <v/>
      </c>
      <c r="T40" s="88" t="str">
        <f aca="false">IF(OR(T$4="",MONTH(($G$2+10))&lt;&gt;MONTH($C$2)),"",IF(COUNTIFS(m_teacher,T$4,m_date,($G$2+10),m_active,1,m_start,"&lt;"&amp;720,m_end,"&gt;"&amp;660)=0,"",IF(COUNTIFS(m_teacher,T$4,m_date,($G$2+10),m_active,1,m_start,"&lt;"&amp;720,m_end,"&gt;"&amp;660)&gt;1,"충돌",HYPERLINK("#'관리자_MASTER'!D"&amp;_xlfn.MAXIFS(m_row,m_teacher,T$4,m_date,($G$2+10),m_active,1,m_start,"&lt;"&amp;720,m_end,"&gt;"&amp;660),INDEX(m_label,_xlfn.MAXIFS(m_row,m_teacher,T$4,m_date,($G$2+10),m_active,1,m_start,"&lt;"&amp;720,m_end,"&gt;"&amp;660))))))</f>
        <v/>
      </c>
      <c r="U40" s="88" t="str">
        <f aca="false">IF(OR(U$4="",MONTH(($G$2+10))&lt;&gt;MONTH($C$2)),"",IF(COUNTIFS(m_teacher,U$4,m_date,($G$2+10),m_active,1,m_start,"&lt;"&amp;720,m_end,"&gt;"&amp;660)=0,"",IF(COUNTIFS(m_teacher,U$4,m_date,($G$2+10),m_active,1,m_start,"&lt;"&amp;720,m_end,"&gt;"&amp;660)&gt;1,"충돌",HYPERLINK("#'관리자_MASTER'!D"&amp;_xlfn.MAXIFS(m_row,m_teacher,U$4,m_date,($G$2+10),m_active,1,m_start,"&lt;"&amp;720,m_end,"&gt;"&amp;660),INDEX(m_label,_xlfn.MAXIFS(m_row,m_teacher,U$4,m_date,($G$2+10),m_active,1,m_start,"&lt;"&amp;720,m_end,"&gt;"&amp;660))))))</f>
        <v/>
      </c>
      <c r="V40" s="88" t="str">
        <f aca="false">IF(OR(V$4="",MONTH(($G$2+10))&lt;&gt;MONTH($C$2)),"",IF(COUNTIFS(m_teacher,V$4,m_date,($G$2+10),m_active,1,m_start,"&lt;"&amp;720,m_end,"&gt;"&amp;660)=0,"",IF(COUNTIFS(m_teacher,V$4,m_date,($G$2+10),m_active,1,m_start,"&lt;"&amp;720,m_end,"&gt;"&amp;660)&gt;1,"충돌",HYPERLINK("#'관리자_MASTER'!D"&amp;_xlfn.MAXIFS(m_row,m_teacher,V$4,m_date,($G$2+10),m_active,1,m_start,"&lt;"&amp;720,m_end,"&gt;"&amp;660),INDEX(m_label,_xlfn.MAXIFS(m_row,m_teacher,V$4,m_date,($G$2+10),m_active,1,m_start,"&lt;"&amp;720,m_end,"&gt;"&amp;660))))))</f>
        <v/>
      </c>
      <c r="W40" s="88" t="str">
        <f aca="false">IF(OR(W$4="",MONTH(($G$2+10))&lt;&gt;MONTH($C$2)),"",IF(COUNTIFS(m_teacher,W$4,m_date,($G$2+10),m_active,1,m_start,"&lt;"&amp;720,m_end,"&gt;"&amp;660)=0,"",IF(COUNTIFS(m_teacher,W$4,m_date,($G$2+10),m_active,1,m_start,"&lt;"&amp;720,m_end,"&gt;"&amp;660)&gt;1,"충돌",HYPERLINK("#'관리자_MASTER'!D"&amp;_xlfn.MAXIFS(m_row,m_teacher,W$4,m_date,($G$2+10),m_active,1,m_start,"&lt;"&amp;720,m_end,"&gt;"&amp;660),INDEX(m_label,_xlfn.MAXIFS(m_row,m_teacher,W$4,m_date,($G$2+10),m_active,1,m_start,"&lt;"&amp;720,m_end,"&gt;"&amp;660))))))</f>
        <v/>
      </c>
      <c r="X40" s="88" t="str">
        <f aca="false">IF(OR(X$4="",MONTH(($G$2+10))&lt;&gt;MONTH($C$2)),"",IF(COUNTIFS(m_teacher,X$4,m_date,($G$2+10),m_active,1,m_start,"&lt;"&amp;720,m_end,"&gt;"&amp;660)=0,"",IF(COUNTIFS(m_teacher,X$4,m_date,($G$2+10),m_active,1,m_start,"&lt;"&amp;720,m_end,"&gt;"&amp;660)&gt;1,"충돌",HYPERLINK("#'관리자_MASTER'!D"&amp;_xlfn.MAXIFS(m_row,m_teacher,X$4,m_date,($G$2+10),m_active,1,m_start,"&lt;"&amp;720,m_end,"&gt;"&amp;660),INDEX(m_label,_xlfn.MAXIFS(m_row,m_teacher,X$4,m_date,($G$2+10),m_active,1,m_start,"&lt;"&amp;720,m_end,"&gt;"&amp;660))))))</f>
        <v/>
      </c>
      <c r="Y40" s="88" t="str">
        <f aca="false">IF(OR(Y$4="",MONTH(($G$2+10))&lt;&gt;MONTH($C$2)),"",IF(COUNTIFS(m_teacher,Y$4,m_date,($G$2+10),m_active,1,m_start,"&lt;"&amp;720,m_end,"&gt;"&amp;660)=0,"",IF(COUNTIFS(m_teacher,Y$4,m_date,($G$2+10),m_active,1,m_start,"&lt;"&amp;720,m_end,"&gt;"&amp;660)&gt;1,"충돌",HYPERLINK("#'관리자_MASTER'!D"&amp;_xlfn.MAXIFS(m_row,m_teacher,Y$4,m_date,($G$2+10),m_active,1,m_start,"&lt;"&amp;720,m_end,"&gt;"&amp;660),INDEX(m_label,_xlfn.MAXIFS(m_row,m_teacher,Y$4,m_date,($G$2+10),m_active,1,m_start,"&lt;"&amp;720,m_end,"&gt;"&amp;660))))))</f>
        <v/>
      </c>
      <c r="Z40" s="88" t="str">
        <f aca="false">IF(OR(Z$4="",MONTH(($G$2+10))&lt;&gt;MONTH($C$2)),"",IF(COUNTIFS(m_teacher,Z$4,m_date,($G$2+10),m_active,1,m_start,"&lt;"&amp;720,m_end,"&gt;"&amp;660)=0,"",IF(COUNTIFS(m_teacher,Z$4,m_date,($G$2+10),m_active,1,m_start,"&lt;"&amp;720,m_end,"&gt;"&amp;660)&gt;1,"충돌",HYPERLINK("#'관리자_MASTER'!D"&amp;_xlfn.MAXIFS(m_row,m_teacher,Z$4,m_date,($G$2+10),m_active,1,m_start,"&lt;"&amp;720,m_end,"&gt;"&amp;660),INDEX(m_label,_xlfn.MAXIFS(m_row,m_teacher,Z$4,m_date,($G$2+10),m_active,1,m_start,"&lt;"&amp;720,m_end,"&gt;"&amp;660))))))</f>
        <v/>
      </c>
      <c r="AA40" s="88" t="str">
        <f aca="false">IF(OR(AA$4="",MONTH(($G$2+10))&lt;&gt;MONTH($C$2)),"",IF(COUNTIFS(m_teacher,AA$4,m_date,($G$2+10),m_active,1,m_start,"&lt;"&amp;720,m_end,"&gt;"&amp;660)=0,"",IF(COUNTIFS(m_teacher,AA$4,m_date,($G$2+10),m_active,1,m_start,"&lt;"&amp;720,m_end,"&gt;"&amp;660)&gt;1,"충돌",HYPERLINK("#'관리자_MASTER'!D"&amp;_xlfn.MAXIFS(m_row,m_teacher,AA$4,m_date,($G$2+10),m_active,1,m_start,"&lt;"&amp;720,m_end,"&gt;"&amp;660),INDEX(m_label,_xlfn.MAXIFS(m_row,m_teacher,AA$4,m_date,($G$2+10),m_active,1,m_start,"&lt;"&amp;720,m_end,"&gt;"&amp;660))))))</f>
        <v/>
      </c>
      <c r="AB40" s="88" t="str">
        <f aca="false">IF(OR(AB$4="",MONTH(($G$2+10))&lt;&gt;MONTH($C$2)),"",IF(COUNTIFS(m_teacher,AB$4,m_date,($G$2+10),m_active,1,m_start,"&lt;"&amp;720,m_end,"&gt;"&amp;660)=0,"",IF(COUNTIFS(m_teacher,AB$4,m_date,($G$2+10),m_active,1,m_start,"&lt;"&amp;720,m_end,"&gt;"&amp;660)&gt;1,"충돌",HYPERLINK("#'관리자_MASTER'!D"&amp;_xlfn.MAXIFS(m_row,m_teacher,AB$4,m_date,($G$2+10),m_active,1,m_start,"&lt;"&amp;720,m_end,"&gt;"&amp;660),INDEX(m_label,_xlfn.MAXIFS(m_row,m_teacher,AB$4,m_date,($G$2+10),m_active,1,m_start,"&lt;"&amp;720,m_end,"&gt;"&amp;660))))))</f>
        <v/>
      </c>
      <c r="AC40" s="78"/>
      <c r="AD40" s="79" t="s">
        <v>93</v>
      </c>
      <c r="AE40" s="88" t="str">
        <f aca="false">IF(OR(AE$4="",MONTH(($G$2+17))&lt;&gt;MONTH($C$2)),"",IF(COUNTIFS(m_teacher,AE$4,m_date,($G$2+17),m_active,1,m_start,"&lt;"&amp;720,m_end,"&gt;"&amp;660)=0,"",IF(COUNTIFS(m_teacher,AE$4,m_date,($G$2+17),m_active,1,m_start,"&lt;"&amp;720,m_end,"&gt;"&amp;660)&gt;1,"충돌",HYPERLINK("#'관리자_MASTER'!D"&amp;_xlfn.MAXIFS(m_row,m_teacher,AE$4,m_date,($G$2+17),m_active,1,m_start,"&lt;"&amp;720,m_end,"&gt;"&amp;660),INDEX(m_label,_xlfn.MAXIFS(m_row,m_teacher,AE$4,m_date,($G$2+17),m_active,1,m_start,"&lt;"&amp;720,m_end,"&gt;"&amp;660))))))</f>
        <v/>
      </c>
      <c r="AF40" s="88" t="str">
        <f aca="false">IF(OR(AF$4="",MONTH(($G$2+17))&lt;&gt;MONTH($C$2)),"",IF(COUNTIFS(m_teacher,AF$4,m_date,($G$2+17),m_active,1,m_start,"&lt;"&amp;720,m_end,"&gt;"&amp;660)=0,"",IF(COUNTIFS(m_teacher,AF$4,m_date,($G$2+17),m_active,1,m_start,"&lt;"&amp;720,m_end,"&gt;"&amp;660)&gt;1,"충돌",HYPERLINK("#'관리자_MASTER'!D"&amp;_xlfn.MAXIFS(m_row,m_teacher,AF$4,m_date,($G$2+17),m_active,1,m_start,"&lt;"&amp;720,m_end,"&gt;"&amp;660),INDEX(m_label,_xlfn.MAXIFS(m_row,m_teacher,AF$4,m_date,($G$2+17),m_active,1,m_start,"&lt;"&amp;720,m_end,"&gt;"&amp;660))))))</f>
        <v/>
      </c>
      <c r="AG40" s="88" t="str">
        <f aca="false">IF(OR(AG$4="",MONTH(($G$2+17))&lt;&gt;MONTH($C$2)),"",IF(COUNTIFS(m_teacher,AG$4,m_date,($G$2+17),m_active,1,m_start,"&lt;"&amp;720,m_end,"&gt;"&amp;660)=0,"",IF(COUNTIFS(m_teacher,AG$4,m_date,($G$2+17),m_active,1,m_start,"&lt;"&amp;720,m_end,"&gt;"&amp;660)&gt;1,"충돌",HYPERLINK("#'관리자_MASTER'!D"&amp;_xlfn.MAXIFS(m_row,m_teacher,AG$4,m_date,($G$2+17),m_active,1,m_start,"&lt;"&amp;720,m_end,"&gt;"&amp;660),INDEX(m_label,_xlfn.MAXIFS(m_row,m_teacher,AG$4,m_date,($G$2+17),m_active,1,m_start,"&lt;"&amp;720,m_end,"&gt;"&amp;660))))))</f>
        <v/>
      </c>
      <c r="AH40" s="88" t="str">
        <f aca="false">IF(OR(AH$4="",MONTH(($G$2+17))&lt;&gt;MONTH($C$2)),"",IF(COUNTIFS(m_teacher,AH$4,m_date,($G$2+17),m_active,1,m_start,"&lt;"&amp;720,m_end,"&gt;"&amp;660)=0,"",IF(COUNTIFS(m_teacher,AH$4,m_date,($G$2+17),m_active,1,m_start,"&lt;"&amp;720,m_end,"&gt;"&amp;660)&gt;1,"충돌",HYPERLINK("#'관리자_MASTER'!D"&amp;_xlfn.MAXIFS(m_row,m_teacher,AH$4,m_date,($G$2+17),m_active,1,m_start,"&lt;"&amp;720,m_end,"&gt;"&amp;660),INDEX(m_label,_xlfn.MAXIFS(m_row,m_teacher,AH$4,m_date,($G$2+17),m_active,1,m_start,"&lt;"&amp;720,m_end,"&gt;"&amp;660))))))</f>
        <v/>
      </c>
      <c r="AI40" s="88" t="str">
        <f aca="false">IF(OR(AI$4="",MONTH(($G$2+17))&lt;&gt;MONTH($C$2)),"",IF(COUNTIFS(m_teacher,AI$4,m_date,($G$2+17),m_active,1,m_start,"&lt;"&amp;720,m_end,"&gt;"&amp;660)=0,"",IF(COUNTIFS(m_teacher,AI$4,m_date,($G$2+17),m_active,1,m_start,"&lt;"&amp;720,m_end,"&gt;"&amp;660)&gt;1,"충돌",HYPERLINK("#'관리자_MASTER'!D"&amp;_xlfn.MAXIFS(m_row,m_teacher,AI$4,m_date,($G$2+17),m_active,1,m_start,"&lt;"&amp;720,m_end,"&gt;"&amp;660),INDEX(m_label,_xlfn.MAXIFS(m_row,m_teacher,AI$4,m_date,($G$2+17),m_active,1,m_start,"&lt;"&amp;720,m_end,"&gt;"&amp;660))))))</f>
        <v/>
      </c>
      <c r="AJ40" s="88" t="str">
        <f aca="false">IF(OR(AJ$4="",MONTH(($G$2+17))&lt;&gt;MONTH($C$2)),"",IF(COUNTIFS(m_teacher,AJ$4,m_date,($G$2+17),m_active,1,m_start,"&lt;"&amp;720,m_end,"&gt;"&amp;660)=0,"",IF(COUNTIFS(m_teacher,AJ$4,m_date,($G$2+17),m_active,1,m_start,"&lt;"&amp;720,m_end,"&gt;"&amp;660)&gt;1,"충돌",HYPERLINK("#'관리자_MASTER'!D"&amp;_xlfn.MAXIFS(m_row,m_teacher,AJ$4,m_date,($G$2+17),m_active,1,m_start,"&lt;"&amp;720,m_end,"&gt;"&amp;660),INDEX(m_label,_xlfn.MAXIFS(m_row,m_teacher,AJ$4,m_date,($G$2+17),m_active,1,m_start,"&lt;"&amp;720,m_end,"&gt;"&amp;660))))))</f>
        <v/>
      </c>
      <c r="AK40" s="88" t="str">
        <f aca="false">IF(OR(AK$4="",MONTH(($G$2+17))&lt;&gt;MONTH($C$2)),"",IF(COUNTIFS(m_teacher,AK$4,m_date,($G$2+17),m_active,1,m_start,"&lt;"&amp;720,m_end,"&gt;"&amp;660)=0,"",IF(COUNTIFS(m_teacher,AK$4,m_date,($G$2+17),m_active,1,m_start,"&lt;"&amp;720,m_end,"&gt;"&amp;660)&gt;1,"충돌",HYPERLINK("#'관리자_MASTER'!D"&amp;_xlfn.MAXIFS(m_row,m_teacher,AK$4,m_date,($G$2+17),m_active,1,m_start,"&lt;"&amp;720,m_end,"&gt;"&amp;660),INDEX(m_label,_xlfn.MAXIFS(m_row,m_teacher,AK$4,m_date,($G$2+17),m_active,1,m_start,"&lt;"&amp;720,m_end,"&gt;"&amp;660))))))</f>
        <v/>
      </c>
      <c r="AL40" s="88" t="str">
        <f aca="false">IF(OR(AL$4="",MONTH(($G$2+17))&lt;&gt;MONTH($C$2)),"",IF(COUNTIFS(m_teacher,AL$4,m_date,($G$2+17),m_active,1,m_start,"&lt;"&amp;720,m_end,"&gt;"&amp;660)=0,"",IF(COUNTIFS(m_teacher,AL$4,m_date,($G$2+17),m_active,1,m_start,"&lt;"&amp;720,m_end,"&gt;"&amp;660)&gt;1,"충돌",HYPERLINK("#'관리자_MASTER'!D"&amp;_xlfn.MAXIFS(m_row,m_teacher,AL$4,m_date,($G$2+17),m_active,1,m_start,"&lt;"&amp;720,m_end,"&gt;"&amp;660),INDEX(m_label,_xlfn.MAXIFS(m_row,m_teacher,AL$4,m_date,($G$2+17),m_active,1,m_start,"&lt;"&amp;720,m_end,"&gt;"&amp;660))))))</f>
        <v/>
      </c>
      <c r="AM40" s="88" t="str">
        <f aca="false">IF(OR(AM$4="",MONTH(($G$2+17))&lt;&gt;MONTH($C$2)),"",IF(COUNTIFS(m_teacher,AM$4,m_date,($G$2+17),m_active,1,m_start,"&lt;"&amp;720,m_end,"&gt;"&amp;660)=0,"",IF(COUNTIFS(m_teacher,AM$4,m_date,($G$2+17),m_active,1,m_start,"&lt;"&amp;720,m_end,"&gt;"&amp;660)&gt;1,"충돌",HYPERLINK("#'관리자_MASTER'!D"&amp;_xlfn.MAXIFS(m_row,m_teacher,AM$4,m_date,($G$2+17),m_active,1,m_start,"&lt;"&amp;720,m_end,"&gt;"&amp;660),INDEX(m_label,_xlfn.MAXIFS(m_row,m_teacher,AM$4,m_date,($G$2+17),m_active,1,m_start,"&lt;"&amp;720,m_end,"&gt;"&amp;660))))))</f>
        <v/>
      </c>
      <c r="AN40" s="88" t="str">
        <f aca="false">IF(OR(AN$4="",MONTH(($G$2+17))&lt;&gt;MONTH($C$2)),"",IF(COUNTIFS(m_teacher,AN$4,m_date,($G$2+17),m_active,1,m_start,"&lt;"&amp;720,m_end,"&gt;"&amp;660)=0,"",IF(COUNTIFS(m_teacher,AN$4,m_date,($G$2+17),m_active,1,m_start,"&lt;"&amp;720,m_end,"&gt;"&amp;660)&gt;1,"충돌",HYPERLINK("#'관리자_MASTER'!D"&amp;_xlfn.MAXIFS(m_row,m_teacher,AN$4,m_date,($G$2+17),m_active,1,m_start,"&lt;"&amp;720,m_end,"&gt;"&amp;660),INDEX(m_label,_xlfn.MAXIFS(m_row,m_teacher,AN$4,m_date,($G$2+17),m_active,1,m_start,"&lt;"&amp;720,m_end,"&gt;"&amp;660))))))</f>
        <v/>
      </c>
      <c r="AO40" s="88" t="str">
        <f aca="false">IF(OR(AO$4="",MONTH(($G$2+17))&lt;&gt;MONTH($C$2)),"",IF(COUNTIFS(m_teacher,AO$4,m_date,($G$2+17),m_active,1,m_start,"&lt;"&amp;720,m_end,"&gt;"&amp;660)=0,"",IF(COUNTIFS(m_teacher,AO$4,m_date,($G$2+17),m_active,1,m_start,"&lt;"&amp;720,m_end,"&gt;"&amp;660)&gt;1,"충돌",HYPERLINK("#'관리자_MASTER'!D"&amp;_xlfn.MAXIFS(m_row,m_teacher,AO$4,m_date,($G$2+17),m_active,1,m_start,"&lt;"&amp;720,m_end,"&gt;"&amp;660),INDEX(m_label,_xlfn.MAXIFS(m_row,m_teacher,AO$4,m_date,($G$2+17),m_active,1,m_start,"&lt;"&amp;720,m_end,"&gt;"&amp;660))))))</f>
        <v/>
      </c>
      <c r="AP40" s="88" t="str">
        <f aca="false">IF(OR(AP$4="",MONTH(($G$2+17))&lt;&gt;MONTH($C$2)),"",IF(COUNTIFS(m_teacher,AP$4,m_date,($G$2+17),m_active,1,m_start,"&lt;"&amp;720,m_end,"&gt;"&amp;660)=0,"",IF(COUNTIFS(m_teacher,AP$4,m_date,($G$2+17),m_active,1,m_start,"&lt;"&amp;720,m_end,"&gt;"&amp;660)&gt;1,"충돌",HYPERLINK("#'관리자_MASTER'!D"&amp;_xlfn.MAXIFS(m_row,m_teacher,AP$4,m_date,($G$2+17),m_active,1,m_start,"&lt;"&amp;720,m_end,"&gt;"&amp;660),INDEX(m_label,_xlfn.MAXIFS(m_row,m_teacher,AP$4,m_date,($G$2+17),m_active,1,m_start,"&lt;"&amp;720,m_end,"&gt;"&amp;660))))))</f>
        <v/>
      </c>
      <c r="AQ40" s="78"/>
      <c r="AR40" s="79" t="s">
        <v>93</v>
      </c>
      <c r="AS40" s="88" t="str">
        <f aca="false">IF(OR(AS$4="",MONTH(($G$2+24))&lt;&gt;MONTH($C$2)),"",IF(COUNTIFS(m_teacher,AS$4,m_date,($G$2+24),m_active,1,m_start,"&lt;"&amp;720,m_end,"&gt;"&amp;660)=0,"",IF(COUNTIFS(m_teacher,AS$4,m_date,($G$2+24),m_active,1,m_start,"&lt;"&amp;720,m_end,"&gt;"&amp;660)&gt;1,"충돌",HYPERLINK("#'관리자_MASTER'!D"&amp;_xlfn.MAXIFS(m_row,m_teacher,AS$4,m_date,($G$2+24),m_active,1,m_start,"&lt;"&amp;720,m_end,"&gt;"&amp;660),INDEX(m_label,_xlfn.MAXIFS(m_row,m_teacher,AS$4,m_date,($G$2+24),m_active,1,m_start,"&lt;"&amp;720,m_end,"&gt;"&amp;660))))))</f>
        <v/>
      </c>
      <c r="AT40" s="88" t="str">
        <f aca="false">IF(OR(AT$4="",MONTH(($G$2+24))&lt;&gt;MONTH($C$2)),"",IF(COUNTIFS(m_teacher,AT$4,m_date,($G$2+24),m_active,1,m_start,"&lt;"&amp;720,m_end,"&gt;"&amp;660)=0,"",IF(COUNTIFS(m_teacher,AT$4,m_date,($G$2+24),m_active,1,m_start,"&lt;"&amp;720,m_end,"&gt;"&amp;660)&gt;1,"충돌",HYPERLINK("#'관리자_MASTER'!D"&amp;_xlfn.MAXIFS(m_row,m_teacher,AT$4,m_date,($G$2+24),m_active,1,m_start,"&lt;"&amp;720,m_end,"&gt;"&amp;660),INDEX(m_label,_xlfn.MAXIFS(m_row,m_teacher,AT$4,m_date,($G$2+24),m_active,1,m_start,"&lt;"&amp;720,m_end,"&gt;"&amp;660))))))</f>
        <v/>
      </c>
      <c r="AU40" s="88" t="str">
        <f aca="false">IF(OR(AU$4="",MONTH(($G$2+24))&lt;&gt;MONTH($C$2)),"",IF(COUNTIFS(m_teacher,AU$4,m_date,($G$2+24),m_active,1,m_start,"&lt;"&amp;720,m_end,"&gt;"&amp;660)=0,"",IF(COUNTIFS(m_teacher,AU$4,m_date,($G$2+24),m_active,1,m_start,"&lt;"&amp;720,m_end,"&gt;"&amp;660)&gt;1,"충돌",HYPERLINK("#'관리자_MASTER'!D"&amp;_xlfn.MAXIFS(m_row,m_teacher,AU$4,m_date,($G$2+24),m_active,1,m_start,"&lt;"&amp;720,m_end,"&gt;"&amp;660),INDEX(m_label,_xlfn.MAXIFS(m_row,m_teacher,AU$4,m_date,($G$2+24),m_active,1,m_start,"&lt;"&amp;720,m_end,"&gt;"&amp;660))))))</f>
        <v/>
      </c>
      <c r="AV40" s="88" t="str">
        <f aca="false">IF(OR(AV$4="",MONTH(($G$2+24))&lt;&gt;MONTH($C$2)),"",IF(COUNTIFS(m_teacher,AV$4,m_date,($G$2+24),m_active,1,m_start,"&lt;"&amp;720,m_end,"&gt;"&amp;660)=0,"",IF(COUNTIFS(m_teacher,AV$4,m_date,($G$2+24),m_active,1,m_start,"&lt;"&amp;720,m_end,"&gt;"&amp;660)&gt;1,"충돌",HYPERLINK("#'관리자_MASTER'!D"&amp;_xlfn.MAXIFS(m_row,m_teacher,AV$4,m_date,($G$2+24),m_active,1,m_start,"&lt;"&amp;720,m_end,"&gt;"&amp;660),INDEX(m_label,_xlfn.MAXIFS(m_row,m_teacher,AV$4,m_date,($G$2+24),m_active,1,m_start,"&lt;"&amp;720,m_end,"&gt;"&amp;660))))))</f>
        <v/>
      </c>
      <c r="AW40" s="88" t="str">
        <f aca="false">IF(OR(AW$4="",MONTH(($G$2+24))&lt;&gt;MONTH($C$2)),"",IF(COUNTIFS(m_teacher,AW$4,m_date,($G$2+24),m_active,1,m_start,"&lt;"&amp;720,m_end,"&gt;"&amp;660)=0,"",IF(COUNTIFS(m_teacher,AW$4,m_date,($G$2+24),m_active,1,m_start,"&lt;"&amp;720,m_end,"&gt;"&amp;660)&gt;1,"충돌",HYPERLINK("#'관리자_MASTER'!D"&amp;_xlfn.MAXIFS(m_row,m_teacher,AW$4,m_date,($G$2+24),m_active,1,m_start,"&lt;"&amp;720,m_end,"&gt;"&amp;660),INDEX(m_label,_xlfn.MAXIFS(m_row,m_teacher,AW$4,m_date,($G$2+24),m_active,1,m_start,"&lt;"&amp;720,m_end,"&gt;"&amp;660))))))</f>
        <v/>
      </c>
      <c r="AX40" s="88" t="str">
        <f aca="false">IF(OR(AX$4="",MONTH(($G$2+24))&lt;&gt;MONTH($C$2)),"",IF(COUNTIFS(m_teacher,AX$4,m_date,($G$2+24),m_active,1,m_start,"&lt;"&amp;720,m_end,"&gt;"&amp;660)=0,"",IF(COUNTIFS(m_teacher,AX$4,m_date,($G$2+24),m_active,1,m_start,"&lt;"&amp;720,m_end,"&gt;"&amp;660)&gt;1,"충돌",HYPERLINK("#'관리자_MASTER'!D"&amp;_xlfn.MAXIFS(m_row,m_teacher,AX$4,m_date,($G$2+24),m_active,1,m_start,"&lt;"&amp;720,m_end,"&gt;"&amp;660),INDEX(m_label,_xlfn.MAXIFS(m_row,m_teacher,AX$4,m_date,($G$2+24),m_active,1,m_start,"&lt;"&amp;720,m_end,"&gt;"&amp;660))))))</f>
        <v/>
      </c>
      <c r="AY40" s="88" t="str">
        <f aca="false">IF(OR(AY$4="",MONTH(($G$2+24))&lt;&gt;MONTH($C$2)),"",IF(COUNTIFS(m_teacher,AY$4,m_date,($G$2+24),m_active,1,m_start,"&lt;"&amp;720,m_end,"&gt;"&amp;660)=0,"",IF(COUNTIFS(m_teacher,AY$4,m_date,($G$2+24),m_active,1,m_start,"&lt;"&amp;720,m_end,"&gt;"&amp;660)&gt;1,"충돌",HYPERLINK("#'관리자_MASTER'!D"&amp;_xlfn.MAXIFS(m_row,m_teacher,AY$4,m_date,($G$2+24),m_active,1,m_start,"&lt;"&amp;720,m_end,"&gt;"&amp;660),INDEX(m_label,_xlfn.MAXIFS(m_row,m_teacher,AY$4,m_date,($G$2+24),m_active,1,m_start,"&lt;"&amp;720,m_end,"&gt;"&amp;660))))))</f>
        <v/>
      </c>
      <c r="AZ40" s="88" t="str">
        <f aca="false">IF(OR(AZ$4="",MONTH(($G$2+24))&lt;&gt;MONTH($C$2)),"",IF(COUNTIFS(m_teacher,AZ$4,m_date,($G$2+24),m_active,1,m_start,"&lt;"&amp;720,m_end,"&gt;"&amp;660)=0,"",IF(COUNTIFS(m_teacher,AZ$4,m_date,($G$2+24),m_active,1,m_start,"&lt;"&amp;720,m_end,"&gt;"&amp;660)&gt;1,"충돌",HYPERLINK("#'관리자_MASTER'!D"&amp;_xlfn.MAXIFS(m_row,m_teacher,AZ$4,m_date,($G$2+24),m_active,1,m_start,"&lt;"&amp;720,m_end,"&gt;"&amp;660),INDEX(m_label,_xlfn.MAXIFS(m_row,m_teacher,AZ$4,m_date,($G$2+24),m_active,1,m_start,"&lt;"&amp;720,m_end,"&gt;"&amp;660))))))</f>
        <v/>
      </c>
      <c r="BA40" s="88" t="str">
        <f aca="false">IF(OR(BA$4="",MONTH(($G$2+24))&lt;&gt;MONTH($C$2)),"",IF(COUNTIFS(m_teacher,BA$4,m_date,($G$2+24),m_active,1,m_start,"&lt;"&amp;720,m_end,"&gt;"&amp;660)=0,"",IF(COUNTIFS(m_teacher,BA$4,m_date,($G$2+24),m_active,1,m_start,"&lt;"&amp;720,m_end,"&gt;"&amp;660)&gt;1,"충돌",HYPERLINK("#'관리자_MASTER'!D"&amp;_xlfn.MAXIFS(m_row,m_teacher,BA$4,m_date,($G$2+24),m_active,1,m_start,"&lt;"&amp;720,m_end,"&gt;"&amp;660),INDEX(m_label,_xlfn.MAXIFS(m_row,m_teacher,BA$4,m_date,($G$2+24),m_active,1,m_start,"&lt;"&amp;720,m_end,"&gt;"&amp;660))))))</f>
        <v/>
      </c>
      <c r="BB40" s="88" t="str">
        <f aca="false">IF(OR(BB$4="",MONTH(($G$2+24))&lt;&gt;MONTH($C$2)),"",IF(COUNTIFS(m_teacher,BB$4,m_date,($G$2+24),m_active,1,m_start,"&lt;"&amp;720,m_end,"&gt;"&amp;660)=0,"",IF(COUNTIFS(m_teacher,BB$4,m_date,($G$2+24),m_active,1,m_start,"&lt;"&amp;720,m_end,"&gt;"&amp;660)&gt;1,"충돌",HYPERLINK("#'관리자_MASTER'!D"&amp;_xlfn.MAXIFS(m_row,m_teacher,BB$4,m_date,($G$2+24),m_active,1,m_start,"&lt;"&amp;720,m_end,"&gt;"&amp;660),INDEX(m_label,_xlfn.MAXIFS(m_row,m_teacher,BB$4,m_date,($G$2+24),m_active,1,m_start,"&lt;"&amp;720,m_end,"&gt;"&amp;660))))))</f>
        <v/>
      </c>
      <c r="BC40" s="88" t="str">
        <f aca="false">IF(OR(BC$4="",MONTH(($G$2+24))&lt;&gt;MONTH($C$2)),"",IF(COUNTIFS(m_teacher,BC$4,m_date,($G$2+24),m_active,1,m_start,"&lt;"&amp;720,m_end,"&gt;"&amp;660)=0,"",IF(COUNTIFS(m_teacher,BC$4,m_date,($G$2+24),m_active,1,m_start,"&lt;"&amp;720,m_end,"&gt;"&amp;660)&gt;1,"충돌",HYPERLINK("#'관리자_MASTER'!D"&amp;_xlfn.MAXIFS(m_row,m_teacher,BC$4,m_date,($G$2+24),m_active,1,m_start,"&lt;"&amp;720,m_end,"&gt;"&amp;660),INDEX(m_label,_xlfn.MAXIFS(m_row,m_teacher,BC$4,m_date,($G$2+24),m_active,1,m_start,"&lt;"&amp;720,m_end,"&gt;"&amp;660))))))</f>
        <v/>
      </c>
      <c r="BD40" s="88" t="str">
        <f aca="false">IF(OR(BD$4="",MONTH(($G$2+24))&lt;&gt;MONTH($C$2)),"",IF(COUNTIFS(m_teacher,BD$4,m_date,($G$2+24),m_active,1,m_start,"&lt;"&amp;720,m_end,"&gt;"&amp;660)=0,"",IF(COUNTIFS(m_teacher,BD$4,m_date,($G$2+24),m_active,1,m_start,"&lt;"&amp;720,m_end,"&gt;"&amp;660)&gt;1,"충돌",HYPERLINK("#'관리자_MASTER'!D"&amp;_xlfn.MAXIFS(m_row,m_teacher,BD$4,m_date,($G$2+24),m_active,1,m_start,"&lt;"&amp;720,m_end,"&gt;"&amp;660),INDEX(m_label,_xlfn.MAXIFS(m_row,m_teacher,BD$4,m_date,($G$2+24),m_active,1,m_start,"&lt;"&amp;720,m_end,"&gt;"&amp;660))))))</f>
        <v/>
      </c>
    </row>
    <row r="41" customFormat="false" ht="19.5" hidden="false" customHeight="true" outlineLevel="0" collapsed="false">
      <c r="A41" s="78"/>
      <c r="B41" s="79" t="s">
        <v>94</v>
      </c>
      <c r="C41" s="88" t="str">
        <f aca="false">IF(OR(C$4="",MONTH(($G$2+3))&lt;&gt;MONTH($C$2)),"",IF(COUNTIFS(m_teacher,C$4,m_date,($G$2+3),m_active,1,m_start,"&lt;"&amp;780,m_end,"&gt;"&amp;720)=0,"",IF(COUNTIFS(m_teacher,C$4,m_date,($G$2+3),m_active,1,m_start,"&lt;"&amp;780,m_end,"&gt;"&amp;720)&gt;1,"충돌",HYPERLINK("#'관리자_MASTER'!D"&amp;_xlfn.MAXIFS(m_row,m_teacher,C$4,m_date,($G$2+3),m_active,1,m_start,"&lt;"&amp;780,m_end,"&gt;"&amp;720),INDEX(m_label,_xlfn.MAXIFS(m_row,m_teacher,C$4,m_date,($G$2+3),m_active,1,m_start,"&lt;"&amp;780,m_end,"&gt;"&amp;720))))))</f>
        <v/>
      </c>
      <c r="D41" s="88" t="str">
        <f aca="false">IF(OR(D$4="",MONTH(($G$2+3))&lt;&gt;MONTH($C$2)),"",IF(COUNTIFS(m_teacher,D$4,m_date,($G$2+3),m_active,1,m_start,"&lt;"&amp;780,m_end,"&gt;"&amp;720)=0,"",IF(COUNTIFS(m_teacher,D$4,m_date,($G$2+3),m_active,1,m_start,"&lt;"&amp;780,m_end,"&gt;"&amp;720)&gt;1,"충돌",HYPERLINK("#'관리자_MASTER'!D"&amp;_xlfn.MAXIFS(m_row,m_teacher,D$4,m_date,($G$2+3),m_active,1,m_start,"&lt;"&amp;780,m_end,"&gt;"&amp;720),INDEX(m_label,_xlfn.MAXIFS(m_row,m_teacher,D$4,m_date,($G$2+3),m_active,1,m_start,"&lt;"&amp;780,m_end,"&gt;"&amp;720))))))</f>
        <v/>
      </c>
      <c r="E41" s="88" t="str">
        <f aca="false">IF(OR(E$4="",MONTH(($G$2+3))&lt;&gt;MONTH($C$2)),"",IF(COUNTIFS(m_teacher,E$4,m_date,($G$2+3),m_active,1,m_start,"&lt;"&amp;780,m_end,"&gt;"&amp;720)=0,"",IF(COUNTIFS(m_teacher,E$4,m_date,($G$2+3),m_active,1,m_start,"&lt;"&amp;780,m_end,"&gt;"&amp;720)&gt;1,"충돌",HYPERLINK("#'관리자_MASTER'!D"&amp;_xlfn.MAXIFS(m_row,m_teacher,E$4,m_date,($G$2+3),m_active,1,m_start,"&lt;"&amp;780,m_end,"&gt;"&amp;720),INDEX(m_label,_xlfn.MAXIFS(m_row,m_teacher,E$4,m_date,($G$2+3),m_active,1,m_start,"&lt;"&amp;780,m_end,"&gt;"&amp;720))))))</f>
        <v/>
      </c>
      <c r="F41" s="88" t="str">
        <f aca="false">IF(OR(F$4="",MONTH(($G$2+3))&lt;&gt;MONTH($C$2)),"",IF(COUNTIFS(m_teacher,F$4,m_date,($G$2+3),m_active,1,m_start,"&lt;"&amp;780,m_end,"&gt;"&amp;720)=0,"",IF(COUNTIFS(m_teacher,F$4,m_date,($G$2+3),m_active,1,m_start,"&lt;"&amp;780,m_end,"&gt;"&amp;720)&gt;1,"충돌",HYPERLINK("#'관리자_MASTER'!D"&amp;_xlfn.MAXIFS(m_row,m_teacher,F$4,m_date,($G$2+3),m_active,1,m_start,"&lt;"&amp;780,m_end,"&gt;"&amp;720),INDEX(m_label,_xlfn.MAXIFS(m_row,m_teacher,F$4,m_date,($G$2+3),m_active,1,m_start,"&lt;"&amp;780,m_end,"&gt;"&amp;720))))))</f>
        <v/>
      </c>
      <c r="G41" s="88" t="str">
        <f aca="false">IF(OR(G$4="",MONTH(($G$2+3))&lt;&gt;MONTH($C$2)),"",IF(COUNTIFS(m_teacher,G$4,m_date,($G$2+3),m_active,1,m_start,"&lt;"&amp;780,m_end,"&gt;"&amp;720)=0,"",IF(COUNTIFS(m_teacher,G$4,m_date,($G$2+3),m_active,1,m_start,"&lt;"&amp;780,m_end,"&gt;"&amp;720)&gt;1,"충돌",HYPERLINK("#'관리자_MASTER'!D"&amp;_xlfn.MAXIFS(m_row,m_teacher,G$4,m_date,($G$2+3),m_active,1,m_start,"&lt;"&amp;780,m_end,"&gt;"&amp;720),INDEX(m_label,_xlfn.MAXIFS(m_row,m_teacher,G$4,m_date,($G$2+3),m_active,1,m_start,"&lt;"&amp;780,m_end,"&gt;"&amp;720))))))</f>
        <v/>
      </c>
      <c r="H41" s="88" t="str">
        <f aca="false">IF(OR(H$4="",MONTH(($G$2+3))&lt;&gt;MONTH($C$2)),"",IF(COUNTIFS(m_teacher,H$4,m_date,($G$2+3),m_active,1,m_start,"&lt;"&amp;780,m_end,"&gt;"&amp;720)=0,"",IF(COUNTIFS(m_teacher,H$4,m_date,($G$2+3),m_active,1,m_start,"&lt;"&amp;780,m_end,"&gt;"&amp;720)&gt;1,"충돌",HYPERLINK("#'관리자_MASTER'!D"&amp;_xlfn.MAXIFS(m_row,m_teacher,H$4,m_date,($G$2+3),m_active,1,m_start,"&lt;"&amp;780,m_end,"&gt;"&amp;720),INDEX(m_label,_xlfn.MAXIFS(m_row,m_teacher,H$4,m_date,($G$2+3),m_active,1,m_start,"&lt;"&amp;780,m_end,"&gt;"&amp;720))))))</f>
        <v/>
      </c>
      <c r="I41" s="88" t="str">
        <f aca="false">IF(OR(I$4="",MONTH(($G$2+3))&lt;&gt;MONTH($C$2)),"",IF(COUNTIFS(m_teacher,I$4,m_date,($G$2+3),m_active,1,m_start,"&lt;"&amp;780,m_end,"&gt;"&amp;720)=0,"",IF(COUNTIFS(m_teacher,I$4,m_date,($G$2+3),m_active,1,m_start,"&lt;"&amp;780,m_end,"&gt;"&amp;720)&gt;1,"충돌",HYPERLINK("#'관리자_MASTER'!D"&amp;_xlfn.MAXIFS(m_row,m_teacher,I$4,m_date,($G$2+3),m_active,1,m_start,"&lt;"&amp;780,m_end,"&gt;"&amp;720),INDEX(m_label,_xlfn.MAXIFS(m_row,m_teacher,I$4,m_date,($G$2+3),m_active,1,m_start,"&lt;"&amp;780,m_end,"&gt;"&amp;720))))))</f>
        <v/>
      </c>
      <c r="J41" s="88" t="str">
        <f aca="false">IF(OR(J$4="",MONTH(($G$2+3))&lt;&gt;MONTH($C$2)),"",IF(COUNTIFS(m_teacher,J$4,m_date,($G$2+3),m_active,1,m_start,"&lt;"&amp;780,m_end,"&gt;"&amp;720)=0,"",IF(COUNTIFS(m_teacher,J$4,m_date,($G$2+3),m_active,1,m_start,"&lt;"&amp;780,m_end,"&gt;"&amp;720)&gt;1,"충돌",HYPERLINK("#'관리자_MASTER'!D"&amp;_xlfn.MAXIFS(m_row,m_teacher,J$4,m_date,($G$2+3),m_active,1,m_start,"&lt;"&amp;780,m_end,"&gt;"&amp;720),INDEX(m_label,_xlfn.MAXIFS(m_row,m_teacher,J$4,m_date,($G$2+3),m_active,1,m_start,"&lt;"&amp;780,m_end,"&gt;"&amp;720))))))</f>
        <v/>
      </c>
      <c r="K41" s="88" t="str">
        <f aca="false">IF(OR(K$4="",MONTH(($G$2+3))&lt;&gt;MONTH($C$2)),"",IF(COUNTIFS(m_teacher,K$4,m_date,($G$2+3),m_active,1,m_start,"&lt;"&amp;780,m_end,"&gt;"&amp;720)=0,"",IF(COUNTIFS(m_teacher,K$4,m_date,($G$2+3),m_active,1,m_start,"&lt;"&amp;780,m_end,"&gt;"&amp;720)&gt;1,"충돌",HYPERLINK("#'관리자_MASTER'!D"&amp;_xlfn.MAXIFS(m_row,m_teacher,K$4,m_date,($G$2+3),m_active,1,m_start,"&lt;"&amp;780,m_end,"&gt;"&amp;720),INDEX(m_label,_xlfn.MAXIFS(m_row,m_teacher,K$4,m_date,($G$2+3),m_active,1,m_start,"&lt;"&amp;780,m_end,"&gt;"&amp;720))))))</f>
        <v/>
      </c>
      <c r="L41" s="88" t="str">
        <f aca="false">IF(OR(L$4="",MONTH(($G$2+3))&lt;&gt;MONTH($C$2)),"",IF(COUNTIFS(m_teacher,L$4,m_date,($G$2+3),m_active,1,m_start,"&lt;"&amp;780,m_end,"&gt;"&amp;720)=0,"",IF(COUNTIFS(m_teacher,L$4,m_date,($G$2+3),m_active,1,m_start,"&lt;"&amp;780,m_end,"&gt;"&amp;720)&gt;1,"충돌",HYPERLINK("#'관리자_MASTER'!D"&amp;_xlfn.MAXIFS(m_row,m_teacher,L$4,m_date,($G$2+3),m_active,1,m_start,"&lt;"&amp;780,m_end,"&gt;"&amp;720),INDEX(m_label,_xlfn.MAXIFS(m_row,m_teacher,L$4,m_date,($G$2+3),m_active,1,m_start,"&lt;"&amp;780,m_end,"&gt;"&amp;720))))))</f>
        <v/>
      </c>
      <c r="M41" s="88" t="str">
        <f aca="false">IF(OR(M$4="",MONTH(($G$2+3))&lt;&gt;MONTH($C$2)),"",IF(COUNTIFS(m_teacher,M$4,m_date,($G$2+3),m_active,1,m_start,"&lt;"&amp;780,m_end,"&gt;"&amp;720)=0,"",IF(COUNTIFS(m_teacher,M$4,m_date,($G$2+3),m_active,1,m_start,"&lt;"&amp;780,m_end,"&gt;"&amp;720)&gt;1,"충돌",HYPERLINK("#'관리자_MASTER'!D"&amp;_xlfn.MAXIFS(m_row,m_teacher,M$4,m_date,($G$2+3),m_active,1,m_start,"&lt;"&amp;780,m_end,"&gt;"&amp;720),INDEX(m_label,_xlfn.MAXIFS(m_row,m_teacher,M$4,m_date,($G$2+3),m_active,1,m_start,"&lt;"&amp;780,m_end,"&gt;"&amp;720))))))</f>
        <v/>
      </c>
      <c r="N41" s="88" t="str">
        <f aca="false">IF(OR(N$4="",MONTH(($G$2+3))&lt;&gt;MONTH($C$2)),"",IF(COUNTIFS(m_teacher,N$4,m_date,($G$2+3),m_active,1,m_start,"&lt;"&amp;780,m_end,"&gt;"&amp;720)=0,"",IF(COUNTIFS(m_teacher,N$4,m_date,($G$2+3),m_active,1,m_start,"&lt;"&amp;780,m_end,"&gt;"&amp;720)&gt;1,"충돌",HYPERLINK("#'관리자_MASTER'!D"&amp;_xlfn.MAXIFS(m_row,m_teacher,N$4,m_date,($G$2+3),m_active,1,m_start,"&lt;"&amp;780,m_end,"&gt;"&amp;720),INDEX(m_label,_xlfn.MAXIFS(m_row,m_teacher,N$4,m_date,($G$2+3),m_active,1,m_start,"&lt;"&amp;780,m_end,"&gt;"&amp;720))))))</f>
        <v/>
      </c>
      <c r="O41" s="78"/>
      <c r="P41" s="79" t="s">
        <v>94</v>
      </c>
      <c r="Q41" s="88" t="str">
        <f aca="false">IF(OR(Q$4="",MONTH(($G$2+10))&lt;&gt;MONTH($C$2)),"",IF(COUNTIFS(m_teacher,Q$4,m_date,($G$2+10),m_active,1,m_start,"&lt;"&amp;780,m_end,"&gt;"&amp;720)=0,"",IF(COUNTIFS(m_teacher,Q$4,m_date,($G$2+10),m_active,1,m_start,"&lt;"&amp;780,m_end,"&gt;"&amp;720)&gt;1,"충돌",HYPERLINK("#'관리자_MASTER'!D"&amp;_xlfn.MAXIFS(m_row,m_teacher,Q$4,m_date,($G$2+10),m_active,1,m_start,"&lt;"&amp;780,m_end,"&gt;"&amp;720),INDEX(m_label,_xlfn.MAXIFS(m_row,m_teacher,Q$4,m_date,($G$2+10),m_active,1,m_start,"&lt;"&amp;780,m_end,"&gt;"&amp;720))))))</f>
        <v/>
      </c>
      <c r="R41" s="88" t="str">
        <f aca="false">IF(OR(R$4="",MONTH(($G$2+10))&lt;&gt;MONTH($C$2)),"",IF(COUNTIFS(m_teacher,R$4,m_date,($G$2+10),m_active,1,m_start,"&lt;"&amp;780,m_end,"&gt;"&amp;720)=0,"",IF(COUNTIFS(m_teacher,R$4,m_date,($G$2+10),m_active,1,m_start,"&lt;"&amp;780,m_end,"&gt;"&amp;720)&gt;1,"충돌",HYPERLINK("#'관리자_MASTER'!D"&amp;_xlfn.MAXIFS(m_row,m_teacher,R$4,m_date,($G$2+10),m_active,1,m_start,"&lt;"&amp;780,m_end,"&gt;"&amp;720),INDEX(m_label,_xlfn.MAXIFS(m_row,m_teacher,R$4,m_date,($G$2+10),m_active,1,m_start,"&lt;"&amp;780,m_end,"&gt;"&amp;720))))))</f>
        <v/>
      </c>
      <c r="S41" s="88" t="str">
        <f aca="false">IF(OR(S$4="",MONTH(($G$2+10))&lt;&gt;MONTH($C$2)),"",IF(COUNTIFS(m_teacher,S$4,m_date,($G$2+10),m_active,1,m_start,"&lt;"&amp;780,m_end,"&gt;"&amp;720)=0,"",IF(COUNTIFS(m_teacher,S$4,m_date,($G$2+10),m_active,1,m_start,"&lt;"&amp;780,m_end,"&gt;"&amp;720)&gt;1,"충돌",HYPERLINK("#'관리자_MASTER'!D"&amp;_xlfn.MAXIFS(m_row,m_teacher,S$4,m_date,($G$2+10),m_active,1,m_start,"&lt;"&amp;780,m_end,"&gt;"&amp;720),INDEX(m_label,_xlfn.MAXIFS(m_row,m_teacher,S$4,m_date,($G$2+10),m_active,1,m_start,"&lt;"&amp;780,m_end,"&gt;"&amp;720))))))</f>
        <v/>
      </c>
      <c r="T41" s="88" t="str">
        <f aca="false">IF(OR(T$4="",MONTH(($G$2+10))&lt;&gt;MONTH($C$2)),"",IF(COUNTIFS(m_teacher,T$4,m_date,($G$2+10),m_active,1,m_start,"&lt;"&amp;780,m_end,"&gt;"&amp;720)=0,"",IF(COUNTIFS(m_teacher,T$4,m_date,($G$2+10),m_active,1,m_start,"&lt;"&amp;780,m_end,"&gt;"&amp;720)&gt;1,"충돌",HYPERLINK("#'관리자_MASTER'!D"&amp;_xlfn.MAXIFS(m_row,m_teacher,T$4,m_date,($G$2+10),m_active,1,m_start,"&lt;"&amp;780,m_end,"&gt;"&amp;720),INDEX(m_label,_xlfn.MAXIFS(m_row,m_teacher,T$4,m_date,($G$2+10),m_active,1,m_start,"&lt;"&amp;780,m_end,"&gt;"&amp;720))))))</f>
        <v/>
      </c>
      <c r="U41" s="88" t="str">
        <f aca="false">IF(OR(U$4="",MONTH(($G$2+10))&lt;&gt;MONTH($C$2)),"",IF(COUNTIFS(m_teacher,U$4,m_date,($G$2+10),m_active,1,m_start,"&lt;"&amp;780,m_end,"&gt;"&amp;720)=0,"",IF(COUNTIFS(m_teacher,U$4,m_date,($G$2+10),m_active,1,m_start,"&lt;"&amp;780,m_end,"&gt;"&amp;720)&gt;1,"충돌",HYPERLINK("#'관리자_MASTER'!D"&amp;_xlfn.MAXIFS(m_row,m_teacher,U$4,m_date,($G$2+10),m_active,1,m_start,"&lt;"&amp;780,m_end,"&gt;"&amp;720),INDEX(m_label,_xlfn.MAXIFS(m_row,m_teacher,U$4,m_date,($G$2+10),m_active,1,m_start,"&lt;"&amp;780,m_end,"&gt;"&amp;720))))))</f>
        <v/>
      </c>
      <c r="V41" s="88" t="str">
        <f aca="false">IF(OR(V$4="",MONTH(($G$2+10))&lt;&gt;MONTH($C$2)),"",IF(COUNTIFS(m_teacher,V$4,m_date,($G$2+10),m_active,1,m_start,"&lt;"&amp;780,m_end,"&gt;"&amp;720)=0,"",IF(COUNTIFS(m_teacher,V$4,m_date,($G$2+10),m_active,1,m_start,"&lt;"&amp;780,m_end,"&gt;"&amp;720)&gt;1,"충돌",HYPERLINK("#'관리자_MASTER'!D"&amp;_xlfn.MAXIFS(m_row,m_teacher,V$4,m_date,($G$2+10),m_active,1,m_start,"&lt;"&amp;780,m_end,"&gt;"&amp;720),INDEX(m_label,_xlfn.MAXIFS(m_row,m_teacher,V$4,m_date,($G$2+10),m_active,1,m_start,"&lt;"&amp;780,m_end,"&gt;"&amp;720))))))</f>
        <v/>
      </c>
      <c r="W41" s="88" t="str">
        <f aca="false">IF(OR(W$4="",MONTH(($G$2+10))&lt;&gt;MONTH($C$2)),"",IF(COUNTIFS(m_teacher,W$4,m_date,($G$2+10),m_active,1,m_start,"&lt;"&amp;780,m_end,"&gt;"&amp;720)=0,"",IF(COUNTIFS(m_teacher,W$4,m_date,($G$2+10),m_active,1,m_start,"&lt;"&amp;780,m_end,"&gt;"&amp;720)&gt;1,"충돌",HYPERLINK("#'관리자_MASTER'!D"&amp;_xlfn.MAXIFS(m_row,m_teacher,W$4,m_date,($G$2+10),m_active,1,m_start,"&lt;"&amp;780,m_end,"&gt;"&amp;720),INDEX(m_label,_xlfn.MAXIFS(m_row,m_teacher,W$4,m_date,($G$2+10),m_active,1,m_start,"&lt;"&amp;780,m_end,"&gt;"&amp;720))))))</f>
        <v/>
      </c>
      <c r="X41" s="88" t="str">
        <f aca="false">IF(OR(X$4="",MONTH(($G$2+10))&lt;&gt;MONTH($C$2)),"",IF(COUNTIFS(m_teacher,X$4,m_date,($G$2+10),m_active,1,m_start,"&lt;"&amp;780,m_end,"&gt;"&amp;720)=0,"",IF(COUNTIFS(m_teacher,X$4,m_date,($G$2+10),m_active,1,m_start,"&lt;"&amp;780,m_end,"&gt;"&amp;720)&gt;1,"충돌",HYPERLINK("#'관리자_MASTER'!D"&amp;_xlfn.MAXIFS(m_row,m_teacher,X$4,m_date,($G$2+10),m_active,1,m_start,"&lt;"&amp;780,m_end,"&gt;"&amp;720),INDEX(m_label,_xlfn.MAXIFS(m_row,m_teacher,X$4,m_date,($G$2+10),m_active,1,m_start,"&lt;"&amp;780,m_end,"&gt;"&amp;720))))))</f>
        <v/>
      </c>
      <c r="Y41" s="88" t="str">
        <f aca="false">IF(OR(Y$4="",MONTH(($G$2+10))&lt;&gt;MONTH($C$2)),"",IF(COUNTIFS(m_teacher,Y$4,m_date,($G$2+10),m_active,1,m_start,"&lt;"&amp;780,m_end,"&gt;"&amp;720)=0,"",IF(COUNTIFS(m_teacher,Y$4,m_date,($G$2+10),m_active,1,m_start,"&lt;"&amp;780,m_end,"&gt;"&amp;720)&gt;1,"충돌",HYPERLINK("#'관리자_MASTER'!D"&amp;_xlfn.MAXIFS(m_row,m_teacher,Y$4,m_date,($G$2+10),m_active,1,m_start,"&lt;"&amp;780,m_end,"&gt;"&amp;720),INDEX(m_label,_xlfn.MAXIFS(m_row,m_teacher,Y$4,m_date,($G$2+10),m_active,1,m_start,"&lt;"&amp;780,m_end,"&gt;"&amp;720))))))</f>
        <v/>
      </c>
      <c r="Z41" s="88" t="str">
        <f aca="false">IF(OR(Z$4="",MONTH(($G$2+10))&lt;&gt;MONTH($C$2)),"",IF(COUNTIFS(m_teacher,Z$4,m_date,($G$2+10),m_active,1,m_start,"&lt;"&amp;780,m_end,"&gt;"&amp;720)=0,"",IF(COUNTIFS(m_teacher,Z$4,m_date,($G$2+10),m_active,1,m_start,"&lt;"&amp;780,m_end,"&gt;"&amp;720)&gt;1,"충돌",HYPERLINK("#'관리자_MASTER'!D"&amp;_xlfn.MAXIFS(m_row,m_teacher,Z$4,m_date,($G$2+10),m_active,1,m_start,"&lt;"&amp;780,m_end,"&gt;"&amp;720),INDEX(m_label,_xlfn.MAXIFS(m_row,m_teacher,Z$4,m_date,($G$2+10),m_active,1,m_start,"&lt;"&amp;780,m_end,"&gt;"&amp;720))))))</f>
        <v/>
      </c>
      <c r="AA41" s="88" t="str">
        <f aca="false">IF(OR(AA$4="",MONTH(($G$2+10))&lt;&gt;MONTH($C$2)),"",IF(COUNTIFS(m_teacher,AA$4,m_date,($G$2+10),m_active,1,m_start,"&lt;"&amp;780,m_end,"&gt;"&amp;720)=0,"",IF(COUNTIFS(m_teacher,AA$4,m_date,($G$2+10),m_active,1,m_start,"&lt;"&amp;780,m_end,"&gt;"&amp;720)&gt;1,"충돌",HYPERLINK("#'관리자_MASTER'!D"&amp;_xlfn.MAXIFS(m_row,m_teacher,AA$4,m_date,($G$2+10),m_active,1,m_start,"&lt;"&amp;780,m_end,"&gt;"&amp;720),INDEX(m_label,_xlfn.MAXIFS(m_row,m_teacher,AA$4,m_date,($G$2+10),m_active,1,m_start,"&lt;"&amp;780,m_end,"&gt;"&amp;720))))))</f>
        <v/>
      </c>
      <c r="AB41" s="88" t="str">
        <f aca="false">IF(OR(AB$4="",MONTH(($G$2+10))&lt;&gt;MONTH($C$2)),"",IF(COUNTIFS(m_teacher,AB$4,m_date,($G$2+10),m_active,1,m_start,"&lt;"&amp;780,m_end,"&gt;"&amp;720)=0,"",IF(COUNTIFS(m_teacher,AB$4,m_date,($G$2+10),m_active,1,m_start,"&lt;"&amp;780,m_end,"&gt;"&amp;720)&gt;1,"충돌",HYPERLINK("#'관리자_MASTER'!D"&amp;_xlfn.MAXIFS(m_row,m_teacher,AB$4,m_date,($G$2+10),m_active,1,m_start,"&lt;"&amp;780,m_end,"&gt;"&amp;720),INDEX(m_label,_xlfn.MAXIFS(m_row,m_teacher,AB$4,m_date,($G$2+10),m_active,1,m_start,"&lt;"&amp;780,m_end,"&gt;"&amp;720))))))</f>
        <v/>
      </c>
      <c r="AC41" s="78"/>
      <c r="AD41" s="79" t="s">
        <v>94</v>
      </c>
      <c r="AE41" s="88" t="str">
        <f aca="false">IF(OR(AE$4="",MONTH(($G$2+17))&lt;&gt;MONTH($C$2)),"",IF(COUNTIFS(m_teacher,AE$4,m_date,($G$2+17),m_active,1,m_start,"&lt;"&amp;780,m_end,"&gt;"&amp;720)=0,"",IF(COUNTIFS(m_teacher,AE$4,m_date,($G$2+17),m_active,1,m_start,"&lt;"&amp;780,m_end,"&gt;"&amp;720)&gt;1,"충돌",HYPERLINK("#'관리자_MASTER'!D"&amp;_xlfn.MAXIFS(m_row,m_teacher,AE$4,m_date,($G$2+17),m_active,1,m_start,"&lt;"&amp;780,m_end,"&gt;"&amp;720),INDEX(m_label,_xlfn.MAXIFS(m_row,m_teacher,AE$4,m_date,($G$2+17),m_active,1,m_start,"&lt;"&amp;780,m_end,"&gt;"&amp;720))))))</f>
        <v/>
      </c>
      <c r="AF41" s="88" t="str">
        <f aca="false">IF(OR(AF$4="",MONTH(($G$2+17))&lt;&gt;MONTH($C$2)),"",IF(COUNTIFS(m_teacher,AF$4,m_date,($G$2+17),m_active,1,m_start,"&lt;"&amp;780,m_end,"&gt;"&amp;720)=0,"",IF(COUNTIFS(m_teacher,AF$4,m_date,($G$2+17),m_active,1,m_start,"&lt;"&amp;780,m_end,"&gt;"&amp;720)&gt;1,"충돌",HYPERLINK("#'관리자_MASTER'!D"&amp;_xlfn.MAXIFS(m_row,m_teacher,AF$4,m_date,($G$2+17),m_active,1,m_start,"&lt;"&amp;780,m_end,"&gt;"&amp;720),INDEX(m_label,_xlfn.MAXIFS(m_row,m_teacher,AF$4,m_date,($G$2+17),m_active,1,m_start,"&lt;"&amp;780,m_end,"&gt;"&amp;720))))))</f>
        <v/>
      </c>
      <c r="AG41" s="88" t="str">
        <f aca="false">IF(OR(AG$4="",MONTH(($G$2+17))&lt;&gt;MONTH($C$2)),"",IF(COUNTIFS(m_teacher,AG$4,m_date,($G$2+17),m_active,1,m_start,"&lt;"&amp;780,m_end,"&gt;"&amp;720)=0,"",IF(COUNTIFS(m_teacher,AG$4,m_date,($G$2+17),m_active,1,m_start,"&lt;"&amp;780,m_end,"&gt;"&amp;720)&gt;1,"충돌",HYPERLINK("#'관리자_MASTER'!D"&amp;_xlfn.MAXIFS(m_row,m_teacher,AG$4,m_date,($G$2+17),m_active,1,m_start,"&lt;"&amp;780,m_end,"&gt;"&amp;720),INDEX(m_label,_xlfn.MAXIFS(m_row,m_teacher,AG$4,m_date,($G$2+17),m_active,1,m_start,"&lt;"&amp;780,m_end,"&gt;"&amp;720))))))</f>
        <v/>
      </c>
      <c r="AH41" s="88" t="str">
        <f aca="false">IF(OR(AH$4="",MONTH(($G$2+17))&lt;&gt;MONTH($C$2)),"",IF(COUNTIFS(m_teacher,AH$4,m_date,($G$2+17),m_active,1,m_start,"&lt;"&amp;780,m_end,"&gt;"&amp;720)=0,"",IF(COUNTIFS(m_teacher,AH$4,m_date,($G$2+17),m_active,1,m_start,"&lt;"&amp;780,m_end,"&gt;"&amp;720)&gt;1,"충돌",HYPERLINK("#'관리자_MASTER'!D"&amp;_xlfn.MAXIFS(m_row,m_teacher,AH$4,m_date,($G$2+17),m_active,1,m_start,"&lt;"&amp;780,m_end,"&gt;"&amp;720),INDEX(m_label,_xlfn.MAXIFS(m_row,m_teacher,AH$4,m_date,($G$2+17),m_active,1,m_start,"&lt;"&amp;780,m_end,"&gt;"&amp;720))))))</f>
        <v/>
      </c>
      <c r="AI41" s="88" t="str">
        <f aca="false">IF(OR(AI$4="",MONTH(($G$2+17))&lt;&gt;MONTH($C$2)),"",IF(COUNTIFS(m_teacher,AI$4,m_date,($G$2+17),m_active,1,m_start,"&lt;"&amp;780,m_end,"&gt;"&amp;720)=0,"",IF(COUNTIFS(m_teacher,AI$4,m_date,($G$2+17),m_active,1,m_start,"&lt;"&amp;780,m_end,"&gt;"&amp;720)&gt;1,"충돌",HYPERLINK("#'관리자_MASTER'!D"&amp;_xlfn.MAXIFS(m_row,m_teacher,AI$4,m_date,($G$2+17),m_active,1,m_start,"&lt;"&amp;780,m_end,"&gt;"&amp;720),INDEX(m_label,_xlfn.MAXIFS(m_row,m_teacher,AI$4,m_date,($G$2+17),m_active,1,m_start,"&lt;"&amp;780,m_end,"&gt;"&amp;720))))))</f>
        <v/>
      </c>
      <c r="AJ41" s="88" t="str">
        <f aca="false">IF(OR(AJ$4="",MONTH(($G$2+17))&lt;&gt;MONTH($C$2)),"",IF(COUNTIFS(m_teacher,AJ$4,m_date,($G$2+17),m_active,1,m_start,"&lt;"&amp;780,m_end,"&gt;"&amp;720)=0,"",IF(COUNTIFS(m_teacher,AJ$4,m_date,($G$2+17),m_active,1,m_start,"&lt;"&amp;780,m_end,"&gt;"&amp;720)&gt;1,"충돌",HYPERLINK("#'관리자_MASTER'!D"&amp;_xlfn.MAXIFS(m_row,m_teacher,AJ$4,m_date,($G$2+17),m_active,1,m_start,"&lt;"&amp;780,m_end,"&gt;"&amp;720),INDEX(m_label,_xlfn.MAXIFS(m_row,m_teacher,AJ$4,m_date,($G$2+17),m_active,1,m_start,"&lt;"&amp;780,m_end,"&gt;"&amp;720))))))</f>
        <v/>
      </c>
      <c r="AK41" s="88" t="str">
        <f aca="false">IF(OR(AK$4="",MONTH(($G$2+17))&lt;&gt;MONTH($C$2)),"",IF(COUNTIFS(m_teacher,AK$4,m_date,($G$2+17),m_active,1,m_start,"&lt;"&amp;780,m_end,"&gt;"&amp;720)=0,"",IF(COUNTIFS(m_teacher,AK$4,m_date,($G$2+17),m_active,1,m_start,"&lt;"&amp;780,m_end,"&gt;"&amp;720)&gt;1,"충돌",HYPERLINK("#'관리자_MASTER'!D"&amp;_xlfn.MAXIFS(m_row,m_teacher,AK$4,m_date,($G$2+17),m_active,1,m_start,"&lt;"&amp;780,m_end,"&gt;"&amp;720),INDEX(m_label,_xlfn.MAXIFS(m_row,m_teacher,AK$4,m_date,($G$2+17),m_active,1,m_start,"&lt;"&amp;780,m_end,"&gt;"&amp;720))))))</f>
        <v/>
      </c>
      <c r="AL41" s="88" t="str">
        <f aca="false">IF(OR(AL$4="",MONTH(($G$2+17))&lt;&gt;MONTH($C$2)),"",IF(COUNTIFS(m_teacher,AL$4,m_date,($G$2+17),m_active,1,m_start,"&lt;"&amp;780,m_end,"&gt;"&amp;720)=0,"",IF(COUNTIFS(m_teacher,AL$4,m_date,($G$2+17),m_active,1,m_start,"&lt;"&amp;780,m_end,"&gt;"&amp;720)&gt;1,"충돌",HYPERLINK("#'관리자_MASTER'!D"&amp;_xlfn.MAXIFS(m_row,m_teacher,AL$4,m_date,($G$2+17),m_active,1,m_start,"&lt;"&amp;780,m_end,"&gt;"&amp;720),INDEX(m_label,_xlfn.MAXIFS(m_row,m_teacher,AL$4,m_date,($G$2+17),m_active,1,m_start,"&lt;"&amp;780,m_end,"&gt;"&amp;720))))))</f>
        <v/>
      </c>
      <c r="AM41" s="88" t="str">
        <f aca="false">IF(OR(AM$4="",MONTH(($G$2+17))&lt;&gt;MONTH($C$2)),"",IF(COUNTIFS(m_teacher,AM$4,m_date,($G$2+17),m_active,1,m_start,"&lt;"&amp;780,m_end,"&gt;"&amp;720)=0,"",IF(COUNTIFS(m_teacher,AM$4,m_date,($G$2+17),m_active,1,m_start,"&lt;"&amp;780,m_end,"&gt;"&amp;720)&gt;1,"충돌",HYPERLINK("#'관리자_MASTER'!D"&amp;_xlfn.MAXIFS(m_row,m_teacher,AM$4,m_date,($G$2+17),m_active,1,m_start,"&lt;"&amp;780,m_end,"&gt;"&amp;720),INDEX(m_label,_xlfn.MAXIFS(m_row,m_teacher,AM$4,m_date,($G$2+17),m_active,1,m_start,"&lt;"&amp;780,m_end,"&gt;"&amp;720))))))</f>
        <v/>
      </c>
      <c r="AN41" s="88" t="str">
        <f aca="false">IF(OR(AN$4="",MONTH(($G$2+17))&lt;&gt;MONTH($C$2)),"",IF(COUNTIFS(m_teacher,AN$4,m_date,($G$2+17),m_active,1,m_start,"&lt;"&amp;780,m_end,"&gt;"&amp;720)=0,"",IF(COUNTIFS(m_teacher,AN$4,m_date,($G$2+17),m_active,1,m_start,"&lt;"&amp;780,m_end,"&gt;"&amp;720)&gt;1,"충돌",HYPERLINK("#'관리자_MASTER'!D"&amp;_xlfn.MAXIFS(m_row,m_teacher,AN$4,m_date,($G$2+17),m_active,1,m_start,"&lt;"&amp;780,m_end,"&gt;"&amp;720),INDEX(m_label,_xlfn.MAXIFS(m_row,m_teacher,AN$4,m_date,($G$2+17),m_active,1,m_start,"&lt;"&amp;780,m_end,"&gt;"&amp;720))))))</f>
        <v/>
      </c>
      <c r="AO41" s="88" t="str">
        <f aca="false">IF(OR(AO$4="",MONTH(($G$2+17))&lt;&gt;MONTH($C$2)),"",IF(COUNTIFS(m_teacher,AO$4,m_date,($G$2+17),m_active,1,m_start,"&lt;"&amp;780,m_end,"&gt;"&amp;720)=0,"",IF(COUNTIFS(m_teacher,AO$4,m_date,($G$2+17),m_active,1,m_start,"&lt;"&amp;780,m_end,"&gt;"&amp;720)&gt;1,"충돌",HYPERLINK("#'관리자_MASTER'!D"&amp;_xlfn.MAXIFS(m_row,m_teacher,AO$4,m_date,($G$2+17),m_active,1,m_start,"&lt;"&amp;780,m_end,"&gt;"&amp;720),INDEX(m_label,_xlfn.MAXIFS(m_row,m_teacher,AO$4,m_date,($G$2+17),m_active,1,m_start,"&lt;"&amp;780,m_end,"&gt;"&amp;720))))))</f>
        <v/>
      </c>
      <c r="AP41" s="88" t="str">
        <f aca="false">IF(OR(AP$4="",MONTH(($G$2+17))&lt;&gt;MONTH($C$2)),"",IF(COUNTIFS(m_teacher,AP$4,m_date,($G$2+17),m_active,1,m_start,"&lt;"&amp;780,m_end,"&gt;"&amp;720)=0,"",IF(COUNTIFS(m_teacher,AP$4,m_date,($G$2+17),m_active,1,m_start,"&lt;"&amp;780,m_end,"&gt;"&amp;720)&gt;1,"충돌",HYPERLINK("#'관리자_MASTER'!D"&amp;_xlfn.MAXIFS(m_row,m_teacher,AP$4,m_date,($G$2+17),m_active,1,m_start,"&lt;"&amp;780,m_end,"&gt;"&amp;720),INDEX(m_label,_xlfn.MAXIFS(m_row,m_teacher,AP$4,m_date,($G$2+17),m_active,1,m_start,"&lt;"&amp;780,m_end,"&gt;"&amp;720))))))</f>
        <v/>
      </c>
      <c r="AQ41" s="78"/>
      <c r="AR41" s="79" t="s">
        <v>94</v>
      </c>
      <c r="AS41" s="88" t="str">
        <f aca="false">IF(OR(AS$4="",MONTH(($G$2+24))&lt;&gt;MONTH($C$2)),"",IF(COUNTIFS(m_teacher,AS$4,m_date,($G$2+24),m_active,1,m_start,"&lt;"&amp;780,m_end,"&gt;"&amp;720)=0,"",IF(COUNTIFS(m_teacher,AS$4,m_date,($G$2+24),m_active,1,m_start,"&lt;"&amp;780,m_end,"&gt;"&amp;720)&gt;1,"충돌",HYPERLINK("#'관리자_MASTER'!D"&amp;_xlfn.MAXIFS(m_row,m_teacher,AS$4,m_date,($G$2+24),m_active,1,m_start,"&lt;"&amp;780,m_end,"&gt;"&amp;720),INDEX(m_label,_xlfn.MAXIFS(m_row,m_teacher,AS$4,m_date,($G$2+24),m_active,1,m_start,"&lt;"&amp;780,m_end,"&gt;"&amp;720))))))</f>
        <v/>
      </c>
      <c r="AT41" s="88" t="str">
        <f aca="false">IF(OR(AT$4="",MONTH(($G$2+24))&lt;&gt;MONTH($C$2)),"",IF(COUNTIFS(m_teacher,AT$4,m_date,($G$2+24),m_active,1,m_start,"&lt;"&amp;780,m_end,"&gt;"&amp;720)=0,"",IF(COUNTIFS(m_teacher,AT$4,m_date,($G$2+24),m_active,1,m_start,"&lt;"&amp;780,m_end,"&gt;"&amp;720)&gt;1,"충돌",HYPERLINK("#'관리자_MASTER'!D"&amp;_xlfn.MAXIFS(m_row,m_teacher,AT$4,m_date,($G$2+24),m_active,1,m_start,"&lt;"&amp;780,m_end,"&gt;"&amp;720),INDEX(m_label,_xlfn.MAXIFS(m_row,m_teacher,AT$4,m_date,($G$2+24),m_active,1,m_start,"&lt;"&amp;780,m_end,"&gt;"&amp;720))))))</f>
        <v/>
      </c>
      <c r="AU41" s="88" t="str">
        <f aca="false">IF(OR(AU$4="",MONTH(($G$2+24))&lt;&gt;MONTH($C$2)),"",IF(COUNTIFS(m_teacher,AU$4,m_date,($G$2+24),m_active,1,m_start,"&lt;"&amp;780,m_end,"&gt;"&amp;720)=0,"",IF(COUNTIFS(m_teacher,AU$4,m_date,($G$2+24),m_active,1,m_start,"&lt;"&amp;780,m_end,"&gt;"&amp;720)&gt;1,"충돌",HYPERLINK("#'관리자_MASTER'!D"&amp;_xlfn.MAXIFS(m_row,m_teacher,AU$4,m_date,($G$2+24),m_active,1,m_start,"&lt;"&amp;780,m_end,"&gt;"&amp;720),INDEX(m_label,_xlfn.MAXIFS(m_row,m_teacher,AU$4,m_date,($G$2+24),m_active,1,m_start,"&lt;"&amp;780,m_end,"&gt;"&amp;720))))))</f>
        <v/>
      </c>
      <c r="AV41" s="88" t="str">
        <f aca="false">IF(OR(AV$4="",MONTH(($G$2+24))&lt;&gt;MONTH($C$2)),"",IF(COUNTIFS(m_teacher,AV$4,m_date,($G$2+24),m_active,1,m_start,"&lt;"&amp;780,m_end,"&gt;"&amp;720)=0,"",IF(COUNTIFS(m_teacher,AV$4,m_date,($G$2+24),m_active,1,m_start,"&lt;"&amp;780,m_end,"&gt;"&amp;720)&gt;1,"충돌",HYPERLINK("#'관리자_MASTER'!D"&amp;_xlfn.MAXIFS(m_row,m_teacher,AV$4,m_date,($G$2+24),m_active,1,m_start,"&lt;"&amp;780,m_end,"&gt;"&amp;720),INDEX(m_label,_xlfn.MAXIFS(m_row,m_teacher,AV$4,m_date,($G$2+24),m_active,1,m_start,"&lt;"&amp;780,m_end,"&gt;"&amp;720))))))</f>
        <v/>
      </c>
      <c r="AW41" s="88" t="str">
        <f aca="false">IF(OR(AW$4="",MONTH(($G$2+24))&lt;&gt;MONTH($C$2)),"",IF(COUNTIFS(m_teacher,AW$4,m_date,($G$2+24),m_active,1,m_start,"&lt;"&amp;780,m_end,"&gt;"&amp;720)=0,"",IF(COUNTIFS(m_teacher,AW$4,m_date,($G$2+24),m_active,1,m_start,"&lt;"&amp;780,m_end,"&gt;"&amp;720)&gt;1,"충돌",HYPERLINK("#'관리자_MASTER'!D"&amp;_xlfn.MAXIFS(m_row,m_teacher,AW$4,m_date,($G$2+24),m_active,1,m_start,"&lt;"&amp;780,m_end,"&gt;"&amp;720),INDEX(m_label,_xlfn.MAXIFS(m_row,m_teacher,AW$4,m_date,($G$2+24),m_active,1,m_start,"&lt;"&amp;780,m_end,"&gt;"&amp;720))))))</f>
        <v/>
      </c>
      <c r="AX41" s="88" t="str">
        <f aca="false">IF(OR(AX$4="",MONTH(($G$2+24))&lt;&gt;MONTH($C$2)),"",IF(COUNTIFS(m_teacher,AX$4,m_date,($G$2+24),m_active,1,m_start,"&lt;"&amp;780,m_end,"&gt;"&amp;720)=0,"",IF(COUNTIFS(m_teacher,AX$4,m_date,($G$2+24),m_active,1,m_start,"&lt;"&amp;780,m_end,"&gt;"&amp;720)&gt;1,"충돌",HYPERLINK("#'관리자_MASTER'!D"&amp;_xlfn.MAXIFS(m_row,m_teacher,AX$4,m_date,($G$2+24),m_active,1,m_start,"&lt;"&amp;780,m_end,"&gt;"&amp;720),INDEX(m_label,_xlfn.MAXIFS(m_row,m_teacher,AX$4,m_date,($G$2+24),m_active,1,m_start,"&lt;"&amp;780,m_end,"&gt;"&amp;720))))))</f>
        <v/>
      </c>
      <c r="AY41" s="88" t="str">
        <f aca="false">IF(OR(AY$4="",MONTH(($G$2+24))&lt;&gt;MONTH($C$2)),"",IF(COUNTIFS(m_teacher,AY$4,m_date,($G$2+24),m_active,1,m_start,"&lt;"&amp;780,m_end,"&gt;"&amp;720)=0,"",IF(COUNTIFS(m_teacher,AY$4,m_date,($G$2+24),m_active,1,m_start,"&lt;"&amp;780,m_end,"&gt;"&amp;720)&gt;1,"충돌",HYPERLINK("#'관리자_MASTER'!D"&amp;_xlfn.MAXIFS(m_row,m_teacher,AY$4,m_date,($G$2+24),m_active,1,m_start,"&lt;"&amp;780,m_end,"&gt;"&amp;720),INDEX(m_label,_xlfn.MAXIFS(m_row,m_teacher,AY$4,m_date,($G$2+24),m_active,1,m_start,"&lt;"&amp;780,m_end,"&gt;"&amp;720))))))</f>
        <v/>
      </c>
      <c r="AZ41" s="88" t="str">
        <f aca="false">IF(OR(AZ$4="",MONTH(($G$2+24))&lt;&gt;MONTH($C$2)),"",IF(COUNTIFS(m_teacher,AZ$4,m_date,($G$2+24),m_active,1,m_start,"&lt;"&amp;780,m_end,"&gt;"&amp;720)=0,"",IF(COUNTIFS(m_teacher,AZ$4,m_date,($G$2+24),m_active,1,m_start,"&lt;"&amp;780,m_end,"&gt;"&amp;720)&gt;1,"충돌",HYPERLINK("#'관리자_MASTER'!D"&amp;_xlfn.MAXIFS(m_row,m_teacher,AZ$4,m_date,($G$2+24),m_active,1,m_start,"&lt;"&amp;780,m_end,"&gt;"&amp;720),INDEX(m_label,_xlfn.MAXIFS(m_row,m_teacher,AZ$4,m_date,($G$2+24),m_active,1,m_start,"&lt;"&amp;780,m_end,"&gt;"&amp;720))))))</f>
        <v/>
      </c>
      <c r="BA41" s="88" t="str">
        <f aca="false">IF(OR(BA$4="",MONTH(($G$2+24))&lt;&gt;MONTH($C$2)),"",IF(COUNTIFS(m_teacher,BA$4,m_date,($G$2+24),m_active,1,m_start,"&lt;"&amp;780,m_end,"&gt;"&amp;720)=0,"",IF(COUNTIFS(m_teacher,BA$4,m_date,($G$2+24),m_active,1,m_start,"&lt;"&amp;780,m_end,"&gt;"&amp;720)&gt;1,"충돌",HYPERLINK("#'관리자_MASTER'!D"&amp;_xlfn.MAXIFS(m_row,m_teacher,BA$4,m_date,($G$2+24),m_active,1,m_start,"&lt;"&amp;780,m_end,"&gt;"&amp;720),INDEX(m_label,_xlfn.MAXIFS(m_row,m_teacher,BA$4,m_date,($G$2+24),m_active,1,m_start,"&lt;"&amp;780,m_end,"&gt;"&amp;720))))))</f>
        <v/>
      </c>
      <c r="BB41" s="88" t="str">
        <f aca="false">IF(OR(BB$4="",MONTH(($G$2+24))&lt;&gt;MONTH($C$2)),"",IF(COUNTIFS(m_teacher,BB$4,m_date,($G$2+24),m_active,1,m_start,"&lt;"&amp;780,m_end,"&gt;"&amp;720)=0,"",IF(COUNTIFS(m_teacher,BB$4,m_date,($G$2+24),m_active,1,m_start,"&lt;"&amp;780,m_end,"&gt;"&amp;720)&gt;1,"충돌",HYPERLINK("#'관리자_MASTER'!D"&amp;_xlfn.MAXIFS(m_row,m_teacher,BB$4,m_date,($G$2+24),m_active,1,m_start,"&lt;"&amp;780,m_end,"&gt;"&amp;720),INDEX(m_label,_xlfn.MAXIFS(m_row,m_teacher,BB$4,m_date,($G$2+24),m_active,1,m_start,"&lt;"&amp;780,m_end,"&gt;"&amp;720))))))</f>
        <v/>
      </c>
      <c r="BC41" s="88" t="str">
        <f aca="false">IF(OR(BC$4="",MONTH(($G$2+24))&lt;&gt;MONTH($C$2)),"",IF(COUNTIFS(m_teacher,BC$4,m_date,($G$2+24),m_active,1,m_start,"&lt;"&amp;780,m_end,"&gt;"&amp;720)=0,"",IF(COUNTIFS(m_teacher,BC$4,m_date,($G$2+24),m_active,1,m_start,"&lt;"&amp;780,m_end,"&gt;"&amp;720)&gt;1,"충돌",HYPERLINK("#'관리자_MASTER'!D"&amp;_xlfn.MAXIFS(m_row,m_teacher,BC$4,m_date,($G$2+24),m_active,1,m_start,"&lt;"&amp;780,m_end,"&gt;"&amp;720),INDEX(m_label,_xlfn.MAXIFS(m_row,m_teacher,BC$4,m_date,($G$2+24),m_active,1,m_start,"&lt;"&amp;780,m_end,"&gt;"&amp;720))))))</f>
        <v/>
      </c>
      <c r="BD41" s="88" t="str">
        <f aca="false">IF(OR(BD$4="",MONTH(($G$2+24))&lt;&gt;MONTH($C$2)),"",IF(COUNTIFS(m_teacher,BD$4,m_date,($G$2+24),m_active,1,m_start,"&lt;"&amp;780,m_end,"&gt;"&amp;720)=0,"",IF(COUNTIFS(m_teacher,BD$4,m_date,($G$2+24),m_active,1,m_start,"&lt;"&amp;780,m_end,"&gt;"&amp;720)&gt;1,"충돌",HYPERLINK("#'관리자_MASTER'!D"&amp;_xlfn.MAXIFS(m_row,m_teacher,BD$4,m_date,($G$2+24),m_active,1,m_start,"&lt;"&amp;780,m_end,"&gt;"&amp;720),INDEX(m_label,_xlfn.MAXIFS(m_row,m_teacher,BD$4,m_date,($G$2+24),m_active,1,m_start,"&lt;"&amp;780,m_end,"&gt;"&amp;720))))))</f>
        <v/>
      </c>
    </row>
    <row r="42" customFormat="false" ht="19.5" hidden="false" customHeight="true" outlineLevel="0" collapsed="false">
      <c r="A42" s="78"/>
      <c r="B42" s="79" t="s">
        <v>95</v>
      </c>
      <c r="C42" s="88" t="str">
        <f aca="false">IF(OR(C$4="",MONTH(($G$2+3))&lt;&gt;MONTH($C$2)),"",IF(COUNTIFS(m_teacher,C$4,m_date,($G$2+3),m_active,1,m_start,"&lt;"&amp;840,m_end,"&gt;"&amp;780)=0,"",IF(COUNTIFS(m_teacher,C$4,m_date,($G$2+3),m_active,1,m_start,"&lt;"&amp;840,m_end,"&gt;"&amp;780)&gt;1,"충돌",HYPERLINK("#'관리자_MASTER'!D"&amp;_xlfn.MAXIFS(m_row,m_teacher,C$4,m_date,($G$2+3),m_active,1,m_start,"&lt;"&amp;840,m_end,"&gt;"&amp;780),INDEX(m_label,_xlfn.MAXIFS(m_row,m_teacher,C$4,m_date,($G$2+3),m_active,1,m_start,"&lt;"&amp;840,m_end,"&gt;"&amp;780))))))</f>
        <v/>
      </c>
      <c r="D42" s="88" t="str">
        <f aca="false">IF(OR(D$4="",MONTH(($G$2+3))&lt;&gt;MONTH($C$2)),"",IF(COUNTIFS(m_teacher,D$4,m_date,($G$2+3),m_active,1,m_start,"&lt;"&amp;840,m_end,"&gt;"&amp;780)=0,"",IF(COUNTIFS(m_teacher,D$4,m_date,($G$2+3),m_active,1,m_start,"&lt;"&amp;840,m_end,"&gt;"&amp;780)&gt;1,"충돌",HYPERLINK("#'관리자_MASTER'!D"&amp;_xlfn.MAXIFS(m_row,m_teacher,D$4,m_date,($G$2+3),m_active,1,m_start,"&lt;"&amp;840,m_end,"&gt;"&amp;780),INDEX(m_label,_xlfn.MAXIFS(m_row,m_teacher,D$4,m_date,($G$2+3),m_active,1,m_start,"&lt;"&amp;840,m_end,"&gt;"&amp;780))))))</f>
        <v/>
      </c>
      <c r="E42" s="88" t="str">
        <f aca="false">IF(OR(E$4="",MONTH(($G$2+3))&lt;&gt;MONTH($C$2)),"",IF(COUNTIFS(m_teacher,E$4,m_date,($G$2+3),m_active,1,m_start,"&lt;"&amp;840,m_end,"&gt;"&amp;780)=0,"",IF(COUNTIFS(m_teacher,E$4,m_date,($G$2+3),m_active,1,m_start,"&lt;"&amp;840,m_end,"&gt;"&amp;780)&gt;1,"충돌",HYPERLINK("#'관리자_MASTER'!D"&amp;_xlfn.MAXIFS(m_row,m_teacher,E$4,m_date,($G$2+3),m_active,1,m_start,"&lt;"&amp;840,m_end,"&gt;"&amp;780),INDEX(m_label,_xlfn.MAXIFS(m_row,m_teacher,E$4,m_date,($G$2+3),m_active,1,m_start,"&lt;"&amp;840,m_end,"&gt;"&amp;780))))))</f>
        <v/>
      </c>
      <c r="F42" s="88" t="str">
        <f aca="false">IF(OR(F$4="",MONTH(($G$2+3))&lt;&gt;MONTH($C$2)),"",IF(COUNTIFS(m_teacher,F$4,m_date,($G$2+3),m_active,1,m_start,"&lt;"&amp;840,m_end,"&gt;"&amp;780)=0,"",IF(COUNTIFS(m_teacher,F$4,m_date,($G$2+3),m_active,1,m_start,"&lt;"&amp;840,m_end,"&gt;"&amp;780)&gt;1,"충돌",HYPERLINK("#'관리자_MASTER'!D"&amp;_xlfn.MAXIFS(m_row,m_teacher,F$4,m_date,($G$2+3),m_active,1,m_start,"&lt;"&amp;840,m_end,"&gt;"&amp;780),INDEX(m_label,_xlfn.MAXIFS(m_row,m_teacher,F$4,m_date,($G$2+3),m_active,1,m_start,"&lt;"&amp;840,m_end,"&gt;"&amp;780))))))</f>
        <v/>
      </c>
      <c r="G42" s="88" t="str">
        <f aca="false">IF(OR(G$4="",MONTH(($G$2+3))&lt;&gt;MONTH($C$2)),"",IF(COUNTIFS(m_teacher,G$4,m_date,($G$2+3),m_active,1,m_start,"&lt;"&amp;840,m_end,"&gt;"&amp;780)=0,"",IF(COUNTIFS(m_teacher,G$4,m_date,($G$2+3),m_active,1,m_start,"&lt;"&amp;840,m_end,"&gt;"&amp;780)&gt;1,"충돌",HYPERLINK("#'관리자_MASTER'!D"&amp;_xlfn.MAXIFS(m_row,m_teacher,G$4,m_date,($G$2+3),m_active,1,m_start,"&lt;"&amp;840,m_end,"&gt;"&amp;780),INDEX(m_label,_xlfn.MAXIFS(m_row,m_teacher,G$4,m_date,($G$2+3),m_active,1,m_start,"&lt;"&amp;840,m_end,"&gt;"&amp;780))))))</f>
        <v/>
      </c>
      <c r="H42" s="88" t="str">
        <f aca="false">IF(OR(H$4="",MONTH(($G$2+3))&lt;&gt;MONTH($C$2)),"",IF(COUNTIFS(m_teacher,H$4,m_date,($G$2+3),m_active,1,m_start,"&lt;"&amp;840,m_end,"&gt;"&amp;780)=0,"",IF(COUNTIFS(m_teacher,H$4,m_date,($G$2+3),m_active,1,m_start,"&lt;"&amp;840,m_end,"&gt;"&amp;780)&gt;1,"충돌",HYPERLINK("#'관리자_MASTER'!D"&amp;_xlfn.MAXIFS(m_row,m_teacher,H$4,m_date,($G$2+3),m_active,1,m_start,"&lt;"&amp;840,m_end,"&gt;"&amp;780),INDEX(m_label,_xlfn.MAXIFS(m_row,m_teacher,H$4,m_date,($G$2+3),m_active,1,m_start,"&lt;"&amp;840,m_end,"&gt;"&amp;780))))))</f>
        <v/>
      </c>
      <c r="I42" s="88" t="str">
        <f aca="false">IF(OR(I$4="",MONTH(($G$2+3))&lt;&gt;MONTH($C$2)),"",IF(COUNTIFS(m_teacher,I$4,m_date,($G$2+3),m_active,1,m_start,"&lt;"&amp;840,m_end,"&gt;"&amp;780)=0,"",IF(COUNTIFS(m_teacher,I$4,m_date,($G$2+3),m_active,1,m_start,"&lt;"&amp;840,m_end,"&gt;"&amp;780)&gt;1,"충돌",HYPERLINK("#'관리자_MASTER'!D"&amp;_xlfn.MAXIFS(m_row,m_teacher,I$4,m_date,($G$2+3),m_active,1,m_start,"&lt;"&amp;840,m_end,"&gt;"&amp;780),INDEX(m_label,_xlfn.MAXIFS(m_row,m_teacher,I$4,m_date,($G$2+3),m_active,1,m_start,"&lt;"&amp;840,m_end,"&gt;"&amp;780))))))</f>
        <v/>
      </c>
      <c r="J42" s="88" t="str">
        <f aca="false">IF(OR(J$4="",MONTH(($G$2+3))&lt;&gt;MONTH($C$2)),"",IF(COUNTIFS(m_teacher,J$4,m_date,($G$2+3),m_active,1,m_start,"&lt;"&amp;840,m_end,"&gt;"&amp;780)=0,"",IF(COUNTIFS(m_teacher,J$4,m_date,($G$2+3),m_active,1,m_start,"&lt;"&amp;840,m_end,"&gt;"&amp;780)&gt;1,"충돌",HYPERLINK("#'관리자_MASTER'!D"&amp;_xlfn.MAXIFS(m_row,m_teacher,J$4,m_date,($G$2+3),m_active,1,m_start,"&lt;"&amp;840,m_end,"&gt;"&amp;780),INDEX(m_label,_xlfn.MAXIFS(m_row,m_teacher,J$4,m_date,($G$2+3),m_active,1,m_start,"&lt;"&amp;840,m_end,"&gt;"&amp;780))))))</f>
        <v/>
      </c>
      <c r="K42" s="88" t="str">
        <f aca="false">IF(OR(K$4="",MONTH(($G$2+3))&lt;&gt;MONTH($C$2)),"",IF(COUNTIFS(m_teacher,K$4,m_date,($G$2+3),m_active,1,m_start,"&lt;"&amp;840,m_end,"&gt;"&amp;780)=0,"",IF(COUNTIFS(m_teacher,K$4,m_date,($G$2+3),m_active,1,m_start,"&lt;"&amp;840,m_end,"&gt;"&amp;780)&gt;1,"충돌",HYPERLINK("#'관리자_MASTER'!D"&amp;_xlfn.MAXIFS(m_row,m_teacher,K$4,m_date,($G$2+3),m_active,1,m_start,"&lt;"&amp;840,m_end,"&gt;"&amp;780),INDEX(m_label,_xlfn.MAXIFS(m_row,m_teacher,K$4,m_date,($G$2+3),m_active,1,m_start,"&lt;"&amp;840,m_end,"&gt;"&amp;780))))))</f>
        <v/>
      </c>
      <c r="L42" s="88" t="str">
        <f aca="false">IF(OR(L$4="",MONTH(($G$2+3))&lt;&gt;MONTH($C$2)),"",IF(COUNTIFS(m_teacher,L$4,m_date,($G$2+3),m_active,1,m_start,"&lt;"&amp;840,m_end,"&gt;"&amp;780)=0,"",IF(COUNTIFS(m_teacher,L$4,m_date,($G$2+3),m_active,1,m_start,"&lt;"&amp;840,m_end,"&gt;"&amp;780)&gt;1,"충돌",HYPERLINK("#'관리자_MASTER'!D"&amp;_xlfn.MAXIFS(m_row,m_teacher,L$4,m_date,($G$2+3),m_active,1,m_start,"&lt;"&amp;840,m_end,"&gt;"&amp;780),INDEX(m_label,_xlfn.MAXIFS(m_row,m_teacher,L$4,m_date,($G$2+3),m_active,1,m_start,"&lt;"&amp;840,m_end,"&gt;"&amp;780))))))</f>
        <v/>
      </c>
      <c r="M42" s="88" t="str">
        <f aca="false">IF(OR(M$4="",MONTH(($G$2+3))&lt;&gt;MONTH($C$2)),"",IF(COUNTIFS(m_teacher,M$4,m_date,($G$2+3),m_active,1,m_start,"&lt;"&amp;840,m_end,"&gt;"&amp;780)=0,"",IF(COUNTIFS(m_teacher,M$4,m_date,($G$2+3),m_active,1,m_start,"&lt;"&amp;840,m_end,"&gt;"&amp;780)&gt;1,"충돌",HYPERLINK("#'관리자_MASTER'!D"&amp;_xlfn.MAXIFS(m_row,m_teacher,M$4,m_date,($G$2+3),m_active,1,m_start,"&lt;"&amp;840,m_end,"&gt;"&amp;780),INDEX(m_label,_xlfn.MAXIFS(m_row,m_teacher,M$4,m_date,($G$2+3),m_active,1,m_start,"&lt;"&amp;840,m_end,"&gt;"&amp;780))))))</f>
        <v/>
      </c>
      <c r="N42" s="88" t="str">
        <f aca="false">IF(OR(N$4="",MONTH(($G$2+3))&lt;&gt;MONTH($C$2)),"",IF(COUNTIFS(m_teacher,N$4,m_date,($G$2+3),m_active,1,m_start,"&lt;"&amp;840,m_end,"&gt;"&amp;780)=0,"",IF(COUNTIFS(m_teacher,N$4,m_date,($G$2+3),m_active,1,m_start,"&lt;"&amp;840,m_end,"&gt;"&amp;780)&gt;1,"충돌",HYPERLINK("#'관리자_MASTER'!D"&amp;_xlfn.MAXIFS(m_row,m_teacher,N$4,m_date,($G$2+3),m_active,1,m_start,"&lt;"&amp;840,m_end,"&gt;"&amp;780),INDEX(m_label,_xlfn.MAXIFS(m_row,m_teacher,N$4,m_date,($G$2+3),m_active,1,m_start,"&lt;"&amp;840,m_end,"&gt;"&amp;780))))))</f>
        <v/>
      </c>
      <c r="O42" s="78"/>
      <c r="P42" s="79" t="s">
        <v>95</v>
      </c>
      <c r="Q42" s="88" t="str">
        <f aca="false">IF(OR(Q$4="",MONTH(($G$2+10))&lt;&gt;MONTH($C$2)),"",IF(COUNTIFS(m_teacher,Q$4,m_date,($G$2+10),m_active,1,m_start,"&lt;"&amp;840,m_end,"&gt;"&amp;780)=0,"",IF(COUNTIFS(m_teacher,Q$4,m_date,($G$2+10),m_active,1,m_start,"&lt;"&amp;840,m_end,"&gt;"&amp;780)&gt;1,"충돌",HYPERLINK("#'관리자_MASTER'!D"&amp;_xlfn.MAXIFS(m_row,m_teacher,Q$4,m_date,($G$2+10),m_active,1,m_start,"&lt;"&amp;840,m_end,"&gt;"&amp;780),INDEX(m_label,_xlfn.MAXIFS(m_row,m_teacher,Q$4,m_date,($G$2+10),m_active,1,m_start,"&lt;"&amp;840,m_end,"&gt;"&amp;780))))))</f>
        <v/>
      </c>
      <c r="R42" s="88" t="str">
        <f aca="false">IF(OR(R$4="",MONTH(($G$2+10))&lt;&gt;MONTH($C$2)),"",IF(COUNTIFS(m_teacher,R$4,m_date,($G$2+10),m_active,1,m_start,"&lt;"&amp;840,m_end,"&gt;"&amp;780)=0,"",IF(COUNTIFS(m_teacher,R$4,m_date,($G$2+10),m_active,1,m_start,"&lt;"&amp;840,m_end,"&gt;"&amp;780)&gt;1,"충돌",HYPERLINK("#'관리자_MASTER'!D"&amp;_xlfn.MAXIFS(m_row,m_teacher,R$4,m_date,($G$2+10),m_active,1,m_start,"&lt;"&amp;840,m_end,"&gt;"&amp;780),INDEX(m_label,_xlfn.MAXIFS(m_row,m_teacher,R$4,m_date,($G$2+10),m_active,1,m_start,"&lt;"&amp;840,m_end,"&gt;"&amp;780))))))</f>
        <v/>
      </c>
      <c r="S42" s="88" t="str">
        <f aca="false">IF(OR(S$4="",MONTH(($G$2+10))&lt;&gt;MONTH($C$2)),"",IF(COUNTIFS(m_teacher,S$4,m_date,($G$2+10),m_active,1,m_start,"&lt;"&amp;840,m_end,"&gt;"&amp;780)=0,"",IF(COUNTIFS(m_teacher,S$4,m_date,($G$2+10),m_active,1,m_start,"&lt;"&amp;840,m_end,"&gt;"&amp;780)&gt;1,"충돌",HYPERLINK("#'관리자_MASTER'!D"&amp;_xlfn.MAXIFS(m_row,m_teacher,S$4,m_date,($G$2+10),m_active,1,m_start,"&lt;"&amp;840,m_end,"&gt;"&amp;780),INDEX(m_label,_xlfn.MAXIFS(m_row,m_teacher,S$4,m_date,($G$2+10),m_active,1,m_start,"&lt;"&amp;840,m_end,"&gt;"&amp;780))))))</f>
        <v/>
      </c>
      <c r="T42" s="88" t="str">
        <f aca="false">IF(OR(T$4="",MONTH(($G$2+10))&lt;&gt;MONTH($C$2)),"",IF(COUNTIFS(m_teacher,T$4,m_date,($G$2+10),m_active,1,m_start,"&lt;"&amp;840,m_end,"&gt;"&amp;780)=0,"",IF(COUNTIFS(m_teacher,T$4,m_date,($G$2+10),m_active,1,m_start,"&lt;"&amp;840,m_end,"&gt;"&amp;780)&gt;1,"충돌",HYPERLINK("#'관리자_MASTER'!D"&amp;_xlfn.MAXIFS(m_row,m_teacher,T$4,m_date,($G$2+10),m_active,1,m_start,"&lt;"&amp;840,m_end,"&gt;"&amp;780),INDEX(m_label,_xlfn.MAXIFS(m_row,m_teacher,T$4,m_date,($G$2+10),m_active,1,m_start,"&lt;"&amp;840,m_end,"&gt;"&amp;780))))))</f>
        <v/>
      </c>
      <c r="U42" s="88" t="str">
        <f aca="false">IF(OR(U$4="",MONTH(($G$2+10))&lt;&gt;MONTH($C$2)),"",IF(COUNTIFS(m_teacher,U$4,m_date,($G$2+10),m_active,1,m_start,"&lt;"&amp;840,m_end,"&gt;"&amp;780)=0,"",IF(COUNTIFS(m_teacher,U$4,m_date,($G$2+10),m_active,1,m_start,"&lt;"&amp;840,m_end,"&gt;"&amp;780)&gt;1,"충돌",HYPERLINK("#'관리자_MASTER'!D"&amp;_xlfn.MAXIFS(m_row,m_teacher,U$4,m_date,($G$2+10),m_active,1,m_start,"&lt;"&amp;840,m_end,"&gt;"&amp;780),INDEX(m_label,_xlfn.MAXIFS(m_row,m_teacher,U$4,m_date,($G$2+10),m_active,1,m_start,"&lt;"&amp;840,m_end,"&gt;"&amp;780))))))</f>
        <v/>
      </c>
      <c r="V42" s="88" t="str">
        <f aca="false">IF(OR(V$4="",MONTH(($G$2+10))&lt;&gt;MONTH($C$2)),"",IF(COUNTIFS(m_teacher,V$4,m_date,($G$2+10),m_active,1,m_start,"&lt;"&amp;840,m_end,"&gt;"&amp;780)=0,"",IF(COUNTIFS(m_teacher,V$4,m_date,($G$2+10),m_active,1,m_start,"&lt;"&amp;840,m_end,"&gt;"&amp;780)&gt;1,"충돌",HYPERLINK("#'관리자_MASTER'!D"&amp;_xlfn.MAXIFS(m_row,m_teacher,V$4,m_date,($G$2+10),m_active,1,m_start,"&lt;"&amp;840,m_end,"&gt;"&amp;780),INDEX(m_label,_xlfn.MAXIFS(m_row,m_teacher,V$4,m_date,($G$2+10),m_active,1,m_start,"&lt;"&amp;840,m_end,"&gt;"&amp;780))))))</f>
        <v/>
      </c>
      <c r="W42" s="88" t="str">
        <f aca="false">IF(OR(W$4="",MONTH(($G$2+10))&lt;&gt;MONTH($C$2)),"",IF(COUNTIFS(m_teacher,W$4,m_date,($G$2+10),m_active,1,m_start,"&lt;"&amp;840,m_end,"&gt;"&amp;780)=0,"",IF(COUNTIFS(m_teacher,W$4,m_date,($G$2+10),m_active,1,m_start,"&lt;"&amp;840,m_end,"&gt;"&amp;780)&gt;1,"충돌",HYPERLINK("#'관리자_MASTER'!D"&amp;_xlfn.MAXIFS(m_row,m_teacher,W$4,m_date,($G$2+10),m_active,1,m_start,"&lt;"&amp;840,m_end,"&gt;"&amp;780),INDEX(m_label,_xlfn.MAXIFS(m_row,m_teacher,W$4,m_date,($G$2+10),m_active,1,m_start,"&lt;"&amp;840,m_end,"&gt;"&amp;780))))))</f>
        <v/>
      </c>
      <c r="X42" s="88" t="str">
        <f aca="false">IF(OR(X$4="",MONTH(($G$2+10))&lt;&gt;MONTH($C$2)),"",IF(COUNTIFS(m_teacher,X$4,m_date,($G$2+10),m_active,1,m_start,"&lt;"&amp;840,m_end,"&gt;"&amp;780)=0,"",IF(COUNTIFS(m_teacher,X$4,m_date,($G$2+10),m_active,1,m_start,"&lt;"&amp;840,m_end,"&gt;"&amp;780)&gt;1,"충돌",HYPERLINK("#'관리자_MASTER'!D"&amp;_xlfn.MAXIFS(m_row,m_teacher,X$4,m_date,($G$2+10),m_active,1,m_start,"&lt;"&amp;840,m_end,"&gt;"&amp;780),INDEX(m_label,_xlfn.MAXIFS(m_row,m_teacher,X$4,m_date,($G$2+10),m_active,1,m_start,"&lt;"&amp;840,m_end,"&gt;"&amp;780))))))</f>
        <v/>
      </c>
      <c r="Y42" s="88" t="str">
        <f aca="false">IF(OR(Y$4="",MONTH(($G$2+10))&lt;&gt;MONTH($C$2)),"",IF(COUNTIFS(m_teacher,Y$4,m_date,($G$2+10),m_active,1,m_start,"&lt;"&amp;840,m_end,"&gt;"&amp;780)=0,"",IF(COUNTIFS(m_teacher,Y$4,m_date,($G$2+10),m_active,1,m_start,"&lt;"&amp;840,m_end,"&gt;"&amp;780)&gt;1,"충돌",HYPERLINK("#'관리자_MASTER'!D"&amp;_xlfn.MAXIFS(m_row,m_teacher,Y$4,m_date,($G$2+10),m_active,1,m_start,"&lt;"&amp;840,m_end,"&gt;"&amp;780),INDEX(m_label,_xlfn.MAXIFS(m_row,m_teacher,Y$4,m_date,($G$2+10),m_active,1,m_start,"&lt;"&amp;840,m_end,"&gt;"&amp;780))))))</f>
        <v/>
      </c>
      <c r="Z42" s="88" t="str">
        <f aca="false">IF(OR(Z$4="",MONTH(($G$2+10))&lt;&gt;MONTH($C$2)),"",IF(COUNTIFS(m_teacher,Z$4,m_date,($G$2+10),m_active,1,m_start,"&lt;"&amp;840,m_end,"&gt;"&amp;780)=0,"",IF(COUNTIFS(m_teacher,Z$4,m_date,($G$2+10),m_active,1,m_start,"&lt;"&amp;840,m_end,"&gt;"&amp;780)&gt;1,"충돌",HYPERLINK("#'관리자_MASTER'!D"&amp;_xlfn.MAXIFS(m_row,m_teacher,Z$4,m_date,($G$2+10),m_active,1,m_start,"&lt;"&amp;840,m_end,"&gt;"&amp;780),INDEX(m_label,_xlfn.MAXIFS(m_row,m_teacher,Z$4,m_date,($G$2+10),m_active,1,m_start,"&lt;"&amp;840,m_end,"&gt;"&amp;780))))))</f>
        <v/>
      </c>
      <c r="AA42" s="88" t="str">
        <f aca="false">IF(OR(AA$4="",MONTH(($G$2+10))&lt;&gt;MONTH($C$2)),"",IF(COUNTIFS(m_teacher,AA$4,m_date,($G$2+10),m_active,1,m_start,"&lt;"&amp;840,m_end,"&gt;"&amp;780)=0,"",IF(COUNTIFS(m_teacher,AA$4,m_date,($G$2+10),m_active,1,m_start,"&lt;"&amp;840,m_end,"&gt;"&amp;780)&gt;1,"충돌",HYPERLINK("#'관리자_MASTER'!D"&amp;_xlfn.MAXIFS(m_row,m_teacher,AA$4,m_date,($G$2+10),m_active,1,m_start,"&lt;"&amp;840,m_end,"&gt;"&amp;780),INDEX(m_label,_xlfn.MAXIFS(m_row,m_teacher,AA$4,m_date,($G$2+10),m_active,1,m_start,"&lt;"&amp;840,m_end,"&gt;"&amp;780))))))</f>
        <v/>
      </c>
      <c r="AB42" s="88" t="str">
        <f aca="false">IF(OR(AB$4="",MONTH(($G$2+10))&lt;&gt;MONTH($C$2)),"",IF(COUNTIFS(m_teacher,AB$4,m_date,($G$2+10),m_active,1,m_start,"&lt;"&amp;840,m_end,"&gt;"&amp;780)=0,"",IF(COUNTIFS(m_teacher,AB$4,m_date,($G$2+10),m_active,1,m_start,"&lt;"&amp;840,m_end,"&gt;"&amp;780)&gt;1,"충돌",HYPERLINK("#'관리자_MASTER'!D"&amp;_xlfn.MAXIFS(m_row,m_teacher,AB$4,m_date,($G$2+10),m_active,1,m_start,"&lt;"&amp;840,m_end,"&gt;"&amp;780),INDEX(m_label,_xlfn.MAXIFS(m_row,m_teacher,AB$4,m_date,($G$2+10),m_active,1,m_start,"&lt;"&amp;840,m_end,"&gt;"&amp;780))))))</f>
        <v/>
      </c>
      <c r="AC42" s="78"/>
      <c r="AD42" s="79" t="s">
        <v>95</v>
      </c>
      <c r="AE42" s="88" t="str">
        <f aca="false">IF(OR(AE$4="",MONTH(($G$2+17))&lt;&gt;MONTH($C$2)),"",IF(COUNTIFS(m_teacher,AE$4,m_date,($G$2+17),m_active,1,m_start,"&lt;"&amp;840,m_end,"&gt;"&amp;780)=0,"",IF(COUNTIFS(m_teacher,AE$4,m_date,($G$2+17),m_active,1,m_start,"&lt;"&amp;840,m_end,"&gt;"&amp;780)&gt;1,"충돌",HYPERLINK("#'관리자_MASTER'!D"&amp;_xlfn.MAXIFS(m_row,m_teacher,AE$4,m_date,($G$2+17),m_active,1,m_start,"&lt;"&amp;840,m_end,"&gt;"&amp;780),INDEX(m_label,_xlfn.MAXIFS(m_row,m_teacher,AE$4,m_date,($G$2+17),m_active,1,m_start,"&lt;"&amp;840,m_end,"&gt;"&amp;780))))))</f>
        <v/>
      </c>
      <c r="AF42" s="88" t="str">
        <f aca="false">IF(OR(AF$4="",MONTH(($G$2+17))&lt;&gt;MONTH($C$2)),"",IF(COUNTIFS(m_teacher,AF$4,m_date,($G$2+17),m_active,1,m_start,"&lt;"&amp;840,m_end,"&gt;"&amp;780)=0,"",IF(COUNTIFS(m_teacher,AF$4,m_date,($G$2+17),m_active,1,m_start,"&lt;"&amp;840,m_end,"&gt;"&amp;780)&gt;1,"충돌",HYPERLINK("#'관리자_MASTER'!D"&amp;_xlfn.MAXIFS(m_row,m_teacher,AF$4,m_date,($G$2+17),m_active,1,m_start,"&lt;"&amp;840,m_end,"&gt;"&amp;780),INDEX(m_label,_xlfn.MAXIFS(m_row,m_teacher,AF$4,m_date,($G$2+17),m_active,1,m_start,"&lt;"&amp;840,m_end,"&gt;"&amp;780))))))</f>
        <v/>
      </c>
      <c r="AG42" s="88" t="str">
        <f aca="false">IF(OR(AG$4="",MONTH(($G$2+17))&lt;&gt;MONTH($C$2)),"",IF(COUNTIFS(m_teacher,AG$4,m_date,($G$2+17),m_active,1,m_start,"&lt;"&amp;840,m_end,"&gt;"&amp;780)=0,"",IF(COUNTIFS(m_teacher,AG$4,m_date,($G$2+17),m_active,1,m_start,"&lt;"&amp;840,m_end,"&gt;"&amp;780)&gt;1,"충돌",HYPERLINK("#'관리자_MASTER'!D"&amp;_xlfn.MAXIFS(m_row,m_teacher,AG$4,m_date,($G$2+17),m_active,1,m_start,"&lt;"&amp;840,m_end,"&gt;"&amp;780),INDEX(m_label,_xlfn.MAXIFS(m_row,m_teacher,AG$4,m_date,($G$2+17),m_active,1,m_start,"&lt;"&amp;840,m_end,"&gt;"&amp;780))))))</f>
        <v/>
      </c>
      <c r="AH42" s="88" t="str">
        <f aca="false">IF(OR(AH$4="",MONTH(($G$2+17))&lt;&gt;MONTH($C$2)),"",IF(COUNTIFS(m_teacher,AH$4,m_date,($G$2+17),m_active,1,m_start,"&lt;"&amp;840,m_end,"&gt;"&amp;780)=0,"",IF(COUNTIFS(m_teacher,AH$4,m_date,($G$2+17),m_active,1,m_start,"&lt;"&amp;840,m_end,"&gt;"&amp;780)&gt;1,"충돌",HYPERLINK("#'관리자_MASTER'!D"&amp;_xlfn.MAXIFS(m_row,m_teacher,AH$4,m_date,($G$2+17),m_active,1,m_start,"&lt;"&amp;840,m_end,"&gt;"&amp;780),INDEX(m_label,_xlfn.MAXIFS(m_row,m_teacher,AH$4,m_date,($G$2+17),m_active,1,m_start,"&lt;"&amp;840,m_end,"&gt;"&amp;780))))))</f>
        <v/>
      </c>
      <c r="AI42" s="88" t="str">
        <f aca="false">IF(OR(AI$4="",MONTH(($G$2+17))&lt;&gt;MONTH($C$2)),"",IF(COUNTIFS(m_teacher,AI$4,m_date,($G$2+17),m_active,1,m_start,"&lt;"&amp;840,m_end,"&gt;"&amp;780)=0,"",IF(COUNTIFS(m_teacher,AI$4,m_date,($G$2+17),m_active,1,m_start,"&lt;"&amp;840,m_end,"&gt;"&amp;780)&gt;1,"충돌",HYPERLINK("#'관리자_MASTER'!D"&amp;_xlfn.MAXIFS(m_row,m_teacher,AI$4,m_date,($G$2+17),m_active,1,m_start,"&lt;"&amp;840,m_end,"&gt;"&amp;780),INDEX(m_label,_xlfn.MAXIFS(m_row,m_teacher,AI$4,m_date,($G$2+17),m_active,1,m_start,"&lt;"&amp;840,m_end,"&gt;"&amp;780))))))</f>
        <v/>
      </c>
      <c r="AJ42" s="88" t="str">
        <f aca="false">IF(OR(AJ$4="",MONTH(($G$2+17))&lt;&gt;MONTH($C$2)),"",IF(COUNTIFS(m_teacher,AJ$4,m_date,($G$2+17),m_active,1,m_start,"&lt;"&amp;840,m_end,"&gt;"&amp;780)=0,"",IF(COUNTIFS(m_teacher,AJ$4,m_date,($G$2+17),m_active,1,m_start,"&lt;"&amp;840,m_end,"&gt;"&amp;780)&gt;1,"충돌",HYPERLINK("#'관리자_MASTER'!D"&amp;_xlfn.MAXIFS(m_row,m_teacher,AJ$4,m_date,($G$2+17),m_active,1,m_start,"&lt;"&amp;840,m_end,"&gt;"&amp;780),INDEX(m_label,_xlfn.MAXIFS(m_row,m_teacher,AJ$4,m_date,($G$2+17),m_active,1,m_start,"&lt;"&amp;840,m_end,"&gt;"&amp;780))))))</f>
        <v/>
      </c>
      <c r="AK42" s="88" t="str">
        <f aca="false">IF(OR(AK$4="",MONTH(($G$2+17))&lt;&gt;MONTH($C$2)),"",IF(COUNTIFS(m_teacher,AK$4,m_date,($G$2+17),m_active,1,m_start,"&lt;"&amp;840,m_end,"&gt;"&amp;780)=0,"",IF(COUNTIFS(m_teacher,AK$4,m_date,($G$2+17),m_active,1,m_start,"&lt;"&amp;840,m_end,"&gt;"&amp;780)&gt;1,"충돌",HYPERLINK("#'관리자_MASTER'!D"&amp;_xlfn.MAXIFS(m_row,m_teacher,AK$4,m_date,($G$2+17),m_active,1,m_start,"&lt;"&amp;840,m_end,"&gt;"&amp;780),INDEX(m_label,_xlfn.MAXIFS(m_row,m_teacher,AK$4,m_date,($G$2+17),m_active,1,m_start,"&lt;"&amp;840,m_end,"&gt;"&amp;780))))))</f>
        <v/>
      </c>
      <c r="AL42" s="88" t="str">
        <f aca="false">IF(OR(AL$4="",MONTH(($G$2+17))&lt;&gt;MONTH($C$2)),"",IF(COUNTIFS(m_teacher,AL$4,m_date,($G$2+17),m_active,1,m_start,"&lt;"&amp;840,m_end,"&gt;"&amp;780)=0,"",IF(COUNTIFS(m_teacher,AL$4,m_date,($G$2+17),m_active,1,m_start,"&lt;"&amp;840,m_end,"&gt;"&amp;780)&gt;1,"충돌",HYPERLINK("#'관리자_MASTER'!D"&amp;_xlfn.MAXIFS(m_row,m_teacher,AL$4,m_date,($G$2+17),m_active,1,m_start,"&lt;"&amp;840,m_end,"&gt;"&amp;780),INDEX(m_label,_xlfn.MAXIFS(m_row,m_teacher,AL$4,m_date,($G$2+17),m_active,1,m_start,"&lt;"&amp;840,m_end,"&gt;"&amp;780))))))</f>
        <v/>
      </c>
      <c r="AM42" s="88" t="str">
        <f aca="false">IF(OR(AM$4="",MONTH(($G$2+17))&lt;&gt;MONTH($C$2)),"",IF(COUNTIFS(m_teacher,AM$4,m_date,($G$2+17),m_active,1,m_start,"&lt;"&amp;840,m_end,"&gt;"&amp;780)=0,"",IF(COUNTIFS(m_teacher,AM$4,m_date,($G$2+17),m_active,1,m_start,"&lt;"&amp;840,m_end,"&gt;"&amp;780)&gt;1,"충돌",HYPERLINK("#'관리자_MASTER'!D"&amp;_xlfn.MAXIFS(m_row,m_teacher,AM$4,m_date,($G$2+17),m_active,1,m_start,"&lt;"&amp;840,m_end,"&gt;"&amp;780),INDEX(m_label,_xlfn.MAXIFS(m_row,m_teacher,AM$4,m_date,($G$2+17),m_active,1,m_start,"&lt;"&amp;840,m_end,"&gt;"&amp;780))))))</f>
        <v/>
      </c>
      <c r="AN42" s="88" t="str">
        <f aca="false">IF(OR(AN$4="",MONTH(($G$2+17))&lt;&gt;MONTH($C$2)),"",IF(COUNTIFS(m_teacher,AN$4,m_date,($G$2+17),m_active,1,m_start,"&lt;"&amp;840,m_end,"&gt;"&amp;780)=0,"",IF(COUNTIFS(m_teacher,AN$4,m_date,($G$2+17),m_active,1,m_start,"&lt;"&amp;840,m_end,"&gt;"&amp;780)&gt;1,"충돌",HYPERLINK("#'관리자_MASTER'!D"&amp;_xlfn.MAXIFS(m_row,m_teacher,AN$4,m_date,($G$2+17),m_active,1,m_start,"&lt;"&amp;840,m_end,"&gt;"&amp;780),INDEX(m_label,_xlfn.MAXIFS(m_row,m_teacher,AN$4,m_date,($G$2+17),m_active,1,m_start,"&lt;"&amp;840,m_end,"&gt;"&amp;780))))))</f>
        <v/>
      </c>
      <c r="AO42" s="88" t="str">
        <f aca="false">IF(OR(AO$4="",MONTH(($G$2+17))&lt;&gt;MONTH($C$2)),"",IF(COUNTIFS(m_teacher,AO$4,m_date,($G$2+17),m_active,1,m_start,"&lt;"&amp;840,m_end,"&gt;"&amp;780)=0,"",IF(COUNTIFS(m_teacher,AO$4,m_date,($G$2+17),m_active,1,m_start,"&lt;"&amp;840,m_end,"&gt;"&amp;780)&gt;1,"충돌",HYPERLINK("#'관리자_MASTER'!D"&amp;_xlfn.MAXIFS(m_row,m_teacher,AO$4,m_date,($G$2+17),m_active,1,m_start,"&lt;"&amp;840,m_end,"&gt;"&amp;780),INDEX(m_label,_xlfn.MAXIFS(m_row,m_teacher,AO$4,m_date,($G$2+17),m_active,1,m_start,"&lt;"&amp;840,m_end,"&gt;"&amp;780))))))</f>
        <v/>
      </c>
      <c r="AP42" s="88" t="str">
        <f aca="false">IF(OR(AP$4="",MONTH(($G$2+17))&lt;&gt;MONTH($C$2)),"",IF(COUNTIFS(m_teacher,AP$4,m_date,($G$2+17),m_active,1,m_start,"&lt;"&amp;840,m_end,"&gt;"&amp;780)=0,"",IF(COUNTIFS(m_teacher,AP$4,m_date,($G$2+17),m_active,1,m_start,"&lt;"&amp;840,m_end,"&gt;"&amp;780)&gt;1,"충돌",HYPERLINK("#'관리자_MASTER'!D"&amp;_xlfn.MAXIFS(m_row,m_teacher,AP$4,m_date,($G$2+17),m_active,1,m_start,"&lt;"&amp;840,m_end,"&gt;"&amp;780),INDEX(m_label,_xlfn.MAXIFS(m_row,m_teacher,AP$4,m_date,($G$2+17),m_active,1,m_start,"&lt;"&amp;840,m_end,"&gt;"&amp;780))))))</f>
        <v/>
      </c>
      <c r="AQ42" s="78"/>
      <c r="AR42" s="79" t="s">
        <v>95</v>
      </c>
      <c r="AS42" s="88" t="str">
        <f aca="false">IF(OR(AS$4="",MONTH(($G$2+24))&lt;&gt;MONTH($C$2)),"",IF(COUNTIFS(m_teacher,AS$4,m_date,($G$2+24),m_active,1,m_start,"&lt;"&amp;840,m_end,"&gt;"&amp;780)=0,"",IF(COUNTIFS(m_teacher,AS$4,m_date,($G$2+24),m_active,1,m_start,"&lt;"&amp;840,m_end,"&gt;"&amp;780)&gt;1,"충돌",HYPERLINK("#'관리자_MASTER'!D"&amp;_xlfn.MAXIFS(m_row,m_teacher,AS$4,m_date,($G$2+24),m_active,1,m_start,"&lt;"&amp;840,m_end,"&gt;"&amp;780),INDEX(m_label,_xlfn.MAXIFS(m_row,m_teacher,AS$4,m_date,($G$2+24),m_active,1,m_start,"&lt;"&amp;840,m_end,"&gt;"&amp;780))))))</f>
        <v/>
      </c>
      <c r="AT42" s="88" t="str">
        <f aca="false">IF(OR(AT$4="",MONTH(($G$2+24))&lt;&gt;MONTH($C$2)),"",IF(COUNTIFS(m_teacher,AT$4,m_date,($G$2+24),m_active,1,m_start,"&lt;"&amp;840,m_end,"&gt;"&amp;780)=0,"",IF(COUNTIFS(m_teacher,AT$4,m_date,($G$2+24),m_active,1,m_start,"&lt;"&amp;840,m_end,"&gt;"&amp;780)&gt;1,"충돌",HYPERLINK("#'관리자_MASTER'!D"&amp;_xlfn.MAXIFS(m_row,m_teacher,AT$4,m_date,($G$2+24),m_active,1,m_start,"&lt;"&amp;840,m_end,"&gt;"&amp;780),INDEX(m_label,_xlfn.MAXIFS(m_row,m_teacher,AT$4,m_date,($G$2+24),m_active,1,m_start,"&lt;"&amp;840,m_end,"&gt;"&amp;780))))))</f>
        <v/>
      </c>
      <c r="AU42" s="88" t="str">
        <f aca="false">IF(OR(AU$4="",MONTH(($G$2+24))&lt;&gt;MONTH($C$2)),"",IF(COUNTIFS(m_teacher,AU$4,m_date,($G$2+24),m_active,1,m_start,"&lt;"&amp;840,m_end,"&gt;"&amp;780)=0,"",IF(COUNTIFS(m_teacher,AU$4,m_date,($G$2+24),m_active,1,m_start,"&lt;"&amp;840,m_end,"&gt;"&amp;780)&gt;1,"충돌",HYPERLINK("#'관리자_MASTER'!D"&amp;_xlfn.MAXIFS(m_row,m_teacher,AU$4,m_date,($G$2+24),m_active,1,m_start,"&lt;"&amp;840,m_end,"&gt;"&amp;780),INDEX(m_label,_xlfn.MAXIFS(m_row,m_teacher,AU$4,m_date,($G$2+24),m_active,1,m_start,"&lt;"&amp;840,m_end,"&gt;"&amp;780))))))</f>
        <v/>
      </c>
      <c r="AV42" s="88" t="str">
        <f aca="false">IF(OR(AV$4="",MONTH(($G$2+24))&lt;&gt;MONTH($C$2)),"",IF(COUNTIFS(m_teacher,AV$4,m_date,($G$2+24),m_active,1,m_start,"&lt;"&amp;840,m_end,"&gt;"&amp;780)=0,"",IF(COUNTIFS(m_teacher,AV$4,m_date,($G$2+24),m_active,1,m_start,"&lt;"&amp;840,m_end,"&gt;"&amp;780)&gt;1,"충돌",HYPERLINK("#'관리자_MASTER'!D"&amp;_xlfn.MAXIFS(m_row,m_teacher,AV$4,m_date,($G$2+24),m_active,1,m_start,"&lt;"&amp;840,m_end,"&gt;"&amp;780),INDEX(m_label,_xlfn.MAXIFS(m_row,m_teacher,AV$4,m_date,($G$2+24),m_active,1,m_start,"&lt;"&amp;840,m_end,"&gt;"&amp;780))))))</f>
        <v/>
      </c>
      <c r="AW42" s="88" t="str">
        <f aca="false">IF(OR(AW$4="",MONTH(($G$2+24))&lt;&gt;MONTH($C$2)),"",IF(COUNTIFS(m_teacher,AW$4,m_date,($G$2+24),m_active,1,m_start,"&lt;"&amp;840,m_end,"&gt;"&amp;780)=0,"",IF(COUNTIFS(m_teacher,AW$4,m_date,($G$2+24),m_active,1,m_start,"&lt;"&amp;840,m_end,"&gt;"&amp;780)&gt;1,"충돌",HYPERLINK("#'관리자_MASTER'!D"&amp;_xlfn.MAXIFS(m_row,m_teacher,AW$4,m_date,($G$2+24),m_active,1,m_start,"&lt;"&amp;840,m_end,"&gt;"&amp;780),INDEX(m_label,_xlfn.MAXIFS(m_row,m_teacher,AW$4,m_date,($G$2+24),m_active,1,m_start,"&lt;"&amp;840,m_end,"&gt;"&amp;780))))))</f>
        <v/>
      </c>
      <c r="AX42" s="88" t="str">
        <f aca="false">IF(OR(AX$4="",MONTH(($G$2+24))&lt;&gt;MONTH($C$2)),"",IF(COUNTIFS(m_teacher,AX$4,m_date,($G$2+24),m_active,1,m_start,"&lt;"&amp;840,m_end,"&gt;"&amp;780)=0,"",IF(COUNTIFS(m_teacher,AX$4,m_date,($G$2+24),m_active,1,m_start,"&lt;"&amp;840,m_end,"&gt;"&amp;780)&gt;1,"충돌",HYPERLINK("#'관리자_MASTER'!D"&amp;_xlfn.MAXIFS(m_row,m_teacher,AX$4,m_date,($G$2+24),m_active,1,m_start,"&lt;"&amp;840,m_end,"&gt;"&amp;780),INDEX(m_label,_xlfn.MAXIFS(m_row,m_teacher,AX$4,m_date,($G$2+24),m_active,1,m_start,"&lt;"&amp;840,m_end,"&gt;"&amp;780))))))</f>
        <v/>
      </c>
      <c r="AY42" s="88" t="str">
        <f aca="false">IF(OR(AY$4="",MONTH(($G$2+24))&lt;&gt;MONTH($C$2)),"",IF(COUNTIFS(m_teacher,AY$4,m_date,($G$2+24),m_active,1,m_start,"&lt;"&amp;840,m_end,"&gt;"&amp;780)=0,"",IF(COUNTIFS(m_teacher,AY$4,m_date,($G$2+24),m_active,1,m_start,"&lt;"&amp;840,m_end,"&gt;"&amp;780)&gt;1,"충돌",HYPERLINK("#'관리자_MASTER'!D"&amp;_xlfn.MAXIFS(m_row,m_teacher,AY$4,m_date,($G$2+24),m_active,1,m_start,"&lt;"&amp;840,m_end,"&gt;"&amp;780),INDEX(m_label,_xlfn.MAXIFS(m_row,m_teacher,AY$4,m_date,($G$2+24),m_active,1,m_start,"&lt;"&amp;840,m_end,"&gt;"&amp;780))))))</f>
        <v/>
      </c>
      <c r="AZ42" s="88" t="str">
        <f aca="false">IF(OR(AZ$4="",MONTH(($G$2+24))&lt;&gt;MONTH($C$2)),"",IF(COUNTIFS(m_teacher,AZ$4,m_date,($G$2+24),m_active,1,m_start,"&lt;"&amp;840,m_end,"&gt;"&amp;780)=0,"",IF(COUNTIFS(m_teacher,AZ$4,m_date,($G$2+24),m_active,1,m_start,"&lt;"&amp;840,m_end,"&gt;"&amp;780)&gt;1,"충돌",HYPERLINK("#'관리자_MASTER'!D"&amp;_xlfn.MAXIFS(m_row,m_teacher,AZ$4,m_date,($G$2+24),m_active,1,m_start,"&lt;"&amp;840,m_end,"&gt;"&amp;780),INDEX(m_label,_xlfn.MAXIFS(m_row,m_teacher,AZ$4,m_date,($G$2+24),m_active,1,m_start,"&lt;"&amp;840,m_end,"&gt;"&amp;780))))))</f>
        <v/>
      </c>
      <c r="BA42" s="88" t="str">
        <f aca="false">IF(OR(BA$4="",MONTH(($G$2+24))&lt;&gt;MONTH($C$2)),"",IF(COUNTIFS(m_teacher,BA$4,m_date,($G$2+24),m_active,1,m_start,"&lt;"&amp;840,m_end,"&gt;"&amp;780)=0,"",IF(COUNTIFS(m_teacher,BA$4,m_date,($G$2+24),m_active,1,m_start,"&lt;"&amp;840,m_end,"&gt;"&amp;780)&gt;1,"충돌",HYPERLINK("#'관리자_MASTER'!D"&amp;_xlfn.MAXIFS(m_row,m_teacher,BA$4,m_date,($G$2+24),m_active,1,m_start,"&lt;"&amp;840,m_end,"&gt;"&amp;780),INDEX(m_label,_xlfn.MAXIFS(m_row,m_teacher,BA$4,m_date,($G$2+24),m_active,1,m_start,"&lt;"&amp;840,m_end,"&gt;"&amp;780))))))</f>
        <v/>
      </c>
      <c r="BB42" s="88" t="str">
        <f aca="false">IF(OR(BB$4="",MONTH(($G$2+24))&lt;&gt;MONTH($C$2)),"",IF(COUNTIFS(m_teacher,BB$4,m_date,($G$2+24),m_active,1,m_start,"&lt;"&amp;840,m_end,"&gt;"&amp;780)=0,"",IF(COUNTIFS(m_teacher,BB$4,m_date,($G$2+24),m_active,1,m_start,"&lt;"&amp;840,m_end,"&gt;"&amp;780)&gt;1,"충돌",HYPERLINK("#'관리자_MASTER'!D"&amp;_xlfn.MAXIFS(m_row,m_teacher,BB$4,m_date,($G$2+24),m_active,1,m_start,"&lt;"&amp;840,m_end,"&gt;"&amp;780),INDEX(m_label,_xlfn.MAXIFS(m_row,m_teacher,BB$4,m_date,($G$2+24),m_active,1,m_start,"&lt;"&amp;840,m_end,"&gt;"&amp;780))))))</f>
        <v/>
      </c>
      <c r="BC42" s="88" t="str">
        <f aca="false">IF(OR(BC$4="",MONTH(($G$2+24))&lt;&gt;MONTH($C$2)),"",IF(COUNTIFS(m_teacher,BC$4,m_date,($G$2+24),m_active,1,m_start,"&lt;"&amp;840,m_end,"&gt;"&amp;780)=0,"",IF(COUNTIFS(m_teacher,BC$4,m_date,($G$2+24),m_active,1,m_start,"&lt;"&amp;840,m_end,"&gt;"&amp;780)&gt;1,"충돌",HYPERLINK("#'관리자_MASTER'!D"&amp;_xlfn.MAXIFS(m_row,m_teacher,BC$4,m_date,($G$2+24),m_active,1,m_start,"&lt;"&amp;840,m_end,"&gt;"&amp;780),INDEX(m_label,_xlfn.MAXIFS(m_row,m_teacher,BC$4,m_date,($G$2+24),m_active,1,m_start,"&lt;"&amp;840,m_end,"&gt;"&amp;780))))))</f>
        <v/>
      </c>
      <c r="BD42" s="88" t="str">
        <f aca="false">IF(OR(BD$4="",MONTH(($G$2+24))&lt;&gt;MONTH($C$2)),"",IF(COUNTIFS(m_teacher,BD$4,m_date,($G$2+24),m_active,1,m_start,"&lt;"&amp;840,m_end,"&gt;"&amp;780)=0,"",IF(COUNTIFS(m_teacher,BD$4,m_date,($G$2+24),m_active,1,m_start,"&lt;"&amp;840,m_end,"&gt;"&amp;780)&gt;1,"충돌",HYPERLINK("#'관리자_MASTER'!D"&amp;_xlfn.MAXIFS(m_row,m_teacher,BD$4,m_date,($G$2+24),m_active,1,m_start,"&lt;"&amp;840,m_end,"&gt;"&amp;780),INDEX(m_label,_xlfn.MAXIFS(m_row,m_teacher,BD$4,m_date,($G$2+24),m_active,1,m_start,"&lt;"&amp;840,m_end,"&gt;"&amp;780))))))</f>
        <v/>
      </c>
    </row>
    <row r="43" customFormat="false" ht="19.5" hidden="false" customHeight="true" outlineLevel="0" collapsed="false">
      <c r="A43" s="78"/>
      <c r="B43" s="79" t="s">
        <v>96</v>
      </c>
      <c r="C43" s="88" t="str">
        <f aca="false">IF(OR(C$4="",MONTH(($G$2+3))&lt;&gt;MONTH($C$2)),"",IF(COUNTIFS(m_teacher,C$4,m_date,($G$2+3),m_active,1,m_start,"&lt;"&amp;900,m_end,"&gt;"&amp;840)=0,"",IF(COUNTIFS(m_teacher,C$4,m_date,($G$2+3),m_active,1,m_start,"&lt;"&amp;900,m_end,"&gt;"&amp;840)&gt;1,"충돌",HYPERLINK("#'관리자_MASTER'!D"&amp;_xlfn.MAXIFS(m_row,m_teacher,C$4,m_date,($G$2+3),m_active,1,m_start,"&lt;"&amp;900,m_end,"&gt;"&amp;840),INDEX(m_label,_xlfn.MAXIFS(m_row,m_teacher,C$4,m_date,($G$2+3),m_active,1,m_start,"&lt;"&amp;900,m_end,"&gt;"&amp;840))))))</f>
        <v/>
      </c>
      <c r="D43" s="88" t="str">
        <f aca="false">IF(OR(D$4="",MONTH(($G$2+3))&lt;&gt;MONTH($C$2)),"",IF(COUNTIFS(m_teacher,D$4,m_date,($G$2+3),m_active,1,m_start,"&lt;"&amp;900,m_end,"&gt;"&amp;840)=0,"",IF(COUNTIFS(m_teacher,D$4,m_date,($G$2+3),m_active,1,m_start,"&lt;"&amp;900,m_end,"&gt;"&amp;840)&gt;1,"충돌",HYPERLINK("#'관리자_MASTER'!D"&amp;_xlfn.MAXIFS(m_row,m_teacher,D$4,m_date,($G$2+3),m_active,1,m_start,"&lt;"&amp;900,m_end,"&gt;"&amp;840),INDEX(m_label,_xlfn.MAXIFS(m_row,m_teacher,D$4,m_date,($G$2+3),m_active,1,m_start,"&lt;"&amp;900,m_end,"&gt;"&amp;840))))))</f>
        <v/>
      </c>
      <c r="E43" s="88" t="str">
        <f aca="false">IF(OR(E$4="",MONTH(($G$2+3))&lt;&gt;MONTH($C$2)),"",IF(COUNTIFS(m_teacher,E$4,m_date,($G$2+3),m_active,1,m_start,"&lt;"&amp;900,m_end,"&gt;"&amp;840)=0,"",IF(COUNTIFS(m_teacher,E$4,m_date,($G$2+3),m_active,1,m_start,"&lt;"&amp;900,m_end,"&gt;"&amp;840)&gt;1,"충돌",HYPERLINK("#'관리자_MASTER'!D"&amp;_xlfn.MAXIFS(m_row,m_teacher,E$4,m_date,($G$2+3),m_active,1,m_start,"&lt;"&amp;900,m_end,"&gt;"&amp;840),INDEX(m_label,_xlfn.MAXIFS(m_row,m_teacher,E$4,m_date,($G$2+3),m_active,1,m_start,"&lt;"&amp;900,m_end,"&gt;"&amp;840))))))</f>
        <v/>
      </c>
      <c r="F43" s="88" t="str">
        <f aca="false">IF(OR(F$4="",MONTH(($G$2+3))&lt;&gt;MONTH($C$2)),"",IF(COUNTIFS(m_teacher,F$4,m_date,($G$2+3),m_active,1,m_start,"&lt;"&amp;900,m_end,"&gt;"&amp;840)=0,"",IF(COUNTIFS(m_teacher,F$4,m_date,($G$2+3),m_active,1,m_start,"&lt;"&amp;900,m_end,"&gt;"&amp;840)&gt;1,"충돌",HYPERLINK("#'관리자_MASTER'!D"&amp;_xlfn.MAXIFS(m_row,m_teacher,F$4,m_date,($G$2+3),m_active,1,m_start,"&lt;"&amp;900,m_end,"&gt;"&amp;840),INDEX(m_label,_xlfn.MAXIFS(m_row,m_teacher,F$4,m_date,($G$2+3),m_active,1,m_start,"&lt;"&amp;900,m_end,"&gt;"&amp;840))))))</f>
        <v/>
      </c>
      <c r="G43" s="88" t="str">
        <f aca="false">IF(OR(G$4="",MONTH(($G$2+3))&lt;&gt;MONTH($C$2)),"",IF(COUNTIFS(m_teacher,G$4,m_date,($G$2+3),m_active,1,m_start,"&lt;"&amp;900,m_end,"&gt;"&amp;840)=0,"",IF(COUNTIFS(m_teacher,G$4,m_date,($G$2+3),m_active,1,m_start,"&lt;"&amp;900,m_end,"&gt;"&amp;840)&gt;1,"충돌",HYPERLINK("#'관리자_MASTER'!D"&amp;_xlfn.MAXIFS(m_row,m_teacher,G$4,m_date,($G$2+3),m_active,1,m_start,"&lt;"&amp;900,m_end,"&gt;"&amp;840),INDEX(m_label,_xlfn.MAXIFS(m_row,m_teacher,G$4,m_date,($G$2+3),m_active,1,m_start,"&lt;"&amp;900,m_end,"&gt;"&amp;840))))))</f>
        <v/>
      </c>
      <c r="H43" s="88" t="str">
        <f aca="false">IF(OR(H$4="",MONTH(($G$2+3))&lt;&gt;MONTH($C$2)),"",IF(COUNTIFS(m_teacher,H$4,m_date,($G$2+3),m_active,1,m_start,"&lt;"&amp;900,m_end,"&gt;"&amp;840)=0,"",IF(COUNTIFS(m_teacher,H$4,m_date,($G$2+3),m_active,1,m_start,"&lt;"&amp;900,m_end,"&gt;"&amp;840)&gt;1,"충돌",HYPERLINK("#'관리자_MASTER'!D"&amp;_xlfn.MAXIFS(m_row,m_teacher,H$4,m_date,($G$2+3),m_active,1,m_start,"&lt;"&amp;900,m_end,"&gt;"&amp;840),INDEX(m_label,_xlfn.MAXIFS(m_row,m_teacher,H$4,m_date,($G$2+3),m_active,1,m_start,"&lt;"&amp;900,m_end,"&gt;"&amp;840))))))</f>
        <v/>
      </c>
      <c r="I43" s="88" t="str">
        <f aca="false">IF(OR(I$4="",MONTH(($G$2+3))&lt;&gt;MONTH($C$2)),"",IF(COUNTIFS(m_teacher,I$4,m_date,($G$2+3),m_active,1,m_start,"&lt;"&amp;900,m_end,"&gt;"&amp;840)=0,"",IF(COUNTIFS(m_teacher,I$4,m_date,($G$2+3),m_active,1,m_start,"&lt;"&amp;900,m_end,"&gt;"&amp;840)&gt;1,"충돌",HYPERLINK("#'관리자_MASTER'!D"&amp;_xlfn.MAXIFS(m_row,m_teacher,I$4,m_date,($G$2+3),m_active,1,m_start,"&lt;"&amp;900,m_end,"&gt;"&amp;840),INDEX(m_label,_xlfn.MAXIFS(m_row,m_teacher,I$4,m_date,($G$2+3),m_active,1,m_start,"&lt;"&amp;900,m_end,"&gt;"&amp;840))))))</f>
        <v/>
      </c>
      <c r="J43" s="88" t="str">
        <f aca="false">IF(OR(J$4="",MONTH(($G$2+3))&lt;&gt;MONTH($C$2)),"",IF(COUNTIFS(m_teacher,J$4,m_date,($G$2+3),m_active,1,m_start,"&lt;"&amp;900,m_end,"&gt;"&amp;840)=0,"",IF(COUNTIFS(m_teacher,J$4,m_date,($G$2+3),m_active,1,m_start,"&lt;"&amp;900,m_end,"&gt;"&amp;840)&gt;1,"충돌",HYPERLINK("#'관리자_MASTER'!D"&amp;_xlfn.MAXIFS(m_row,m_teacher,J$4,m_date,($G$2+3),m_active,1,m_start,"&lt;"&amp;900,m_end,"&gt;"&amp;840),INDEX(m_label,_xlfn.MAXIFS(m_row,m_teacher,J$4,m_date,($G$2+3),m_active,1,m_start,"&lt;"&amp;900,m_end,"&gt;"&amp;840))))))</f>
        <v/>
      </c>
      <c r="K43" s="88" t="str">
        <f aca="false">IF(OR(K$4="",MONTH(($G$2+3))&lt;&gt;MONTH($C$2)),"",IF(COUNTIFS(m_teacher,K$4,m_date,($G$2+3),m_active,1,m_start,"&lt;"&amp;900,m_end,"&gt;"&amp;840)=0,"",IF(COUNTIFS(m_teacher,K$4,m_date,($G$2+3),m_active,1,m_start,"&lt;"&amp;900,m_end,"&gt;"&amp;840)&gt;1,"충돌",HYPERLINK("#'관리자_MASTER'!D"&amp;_xlfn.MAXIFS(m_row,m_teacher,K$4,m_date,($G$2+3),m_active,1,m_start,"&lt;"&amp;900,m_end,"&gt;"&amp;840),INDEX(m_label,_xlfn.MAXIFS(m_row,m_teacher,K$4,m_date,($G$2+3),m_active,1,m_start,"&lt;"&amp;900,m_end,"&gt;"&amp;840))))))</f>
        <v/>
      </c>
      <c r="L43" s="88" t="str">
        <f aca="false">IF(OR(L$4="",MONTH(($G$2+3))&lt;&gt;MONTH($C$2)),"",IF(COUNTIFS(m_teacher,L$4,m_date,($G$2+3),m_active,1,m_start,"&lt;"&amp;900,m_end,"&gt;"&amp;840)=0,"",IF(COUNTIFS(m_teacher,L$4,m_date,($G$2+3),m_active,1,m_start,"&lt;"&amp;900,m_end,"&gt;"&amp;840)&gt;1,"충돌",HYPERLINK("#'관리자_MASTER'!D"&amp;_xlfn.MAXIFS(m_row,m_teacher,L$4,m_date,($G$2+3),m_active,1,m_start,"&lt;"&amp;900,m_end,"&gt;"&amp;840),INDEX(m_label,_xlfn.MAXIFS(m_row,m_teacher,L$4,m_date,($G$2+3),m_active,1,m_start,"&lt;"&amp;900,m_end,"&gt;"&amp;840))))))</f>
        <v/>
      </c>
      <c r="M43" s="88" t="str">
        <f aca="false">IF(OR(M$4="",MONTH(($G$2+3))&lt;&gt;MONTH($C$2)),"",IF(COUNTIFS(m_teacher,M$4,m_date,($G$2+3),m_active,1,m_start,"&lt;"&amp;900,m_end,"&gt;"&amp;840)=0,"",IF(COUNTIFS(m_teacher,M$4,m_date,($G$2+3),m_active,1,m_start,"&lt;"&amp;900,m_end,"&gt;"&amp;840)&gt;1,"충돌",HYPERLINK("#'관리자_MASTER'!D"&amp;_xlfn.MAXIFS(m_row,m_teacher,M$4,m_date,($G$2+3),m_active,1,m_start,"&lt;"&amp;900,m_end,"&gt;"&amp;840),INDEX(m_label,_xlfn.MAXIFS(m_row,m_teacher,M$4,m_date,($G$2+3),m_active,1,m_start,"&lt;"&amp;900,m_end,"&gt;"&amp;840))))))</f>
        <v/>
      </c>
      <c r="N43" s="88" t="str">
        <f aca="false">IF(OR(N$4="",MONTH(($G$2+3))&lt;&gt;MONTH($C$2)),"",IF(COUNTIFS(m_teacher,N$4,m_date,($G$2+3),m_active,1,m_start,"&lt;"&amp;900,m_end,"&gt;"&amp;840)=0,"",IF(COUNTIFS(m_teacher,N$4,m_date,($G$2+3),m_active,1,m_start,"&lt;"&amp;900,m_end,"&gt;"&amp;840)&gt;1,"충돌",HYPERLINK("#'관리자_MASTER'!D"&amp;_xlfn.MAXIFS(m_row,m_teacher,N$4,m_date,($G$2+3),m_active,1,m_start,"&lt;"&amp;900,m_end,"&gt;"&amp;840),INDEX(m_label,_xlfn.MAXIFS(m_row,m_teacher,N$4,m_date,($G$2+3),m_active,1,m_start,"&lt;"&amp;900,m_end,"&gt;"&amp;840))))))</f>
        <v/>
      </c>
      <c r="O43" s="78"/>
      <c r="P43" s="79" t="s">
        <v>96</v>
      </c>
      <c r="Q43" s="88" t="str">
        <f aca="false">IF(OR(Q$4="",MONTH(($G$2+10))&lt;&gt;MONTH($C$2)),"",IF(COUNTIFS(m_teacher,Q$4,m_date,($G$2+10),m_active,1,m_start,"&lt;"&amp;900,m_end,"&gt;"&amp;840)=0,"",IF(COUNTIFS(m_teacher,Q$4,m_date,($G$2+10),m_active,1,m_start,"&lt;"&amp;900,m_end,"&gt;"&amp;840)&gt;1,"충돌",HYPERLINK("#'관리자_MASTER'!D"&amp;_xlfn.MAXIFS(m_row,m_teacher,Q$4,m_date,($G$2+10),m_active,1,m_start,"&lt;"&amp;900,m_end,"&gt;"&amp;840),INDEX(m_label,_xlfn.MAXIFS(m_row,m_teacher,Q$4,m_date,($G$2+10),m_active,1,m_start,"&lt;"&amp;900,m_end,"&gt;"&amp;840))))))</f>
        <v/>
      </c>
      <c r="R43" s="88" t="str">
        <f aca="false">IF(OR(R$4="",MONTH(($G$2+10))&lt;&gt;MONTH($C$2)),"",IF(COUNTIFS(m_teacher,R$4,m_date,($G$2+10),m_active,1,m_start,"&lt;"&amp;900,m_end,"&gt;"&amp;840)=0,"",IF(COUNTIFS(m_teacher,R$4,m_date,($G$2+10),m_active,1,m_start,"&lt;"&amp;900,m_end,"&gt;"&amp;840)&gt;1,"충돌",HYPERLINK("#'관리자_MASTER'!D"&amp;_xlfn.MAXIFS(m_row,m_teacher,R$4,m_date,($G$2+10),m_active,1,m_start,"&lt;"&amp;900,m_end,"&gt;"&amp;840),INDEX(m_label,_xlfn.MAXIFS(m_row,m_teacher,R$4,m_date,($G$2+10),m_active,1,m_start,"&lt;"&amp;900,m_end,"&gt;"&amp;840))))))</f>
        <v/>
      </c>
      <c r="S43" s="88" t="str">
        <f aca="false">IF(OR(S$4="",MONTH(($G$2+10))&lt;&gt;MONTH($C$2)),"",IF(COUNTIFS(m_teacher,S$4,m_date,($G$2+10),m_active,1,m_start,"&lt;"&amp;900,m_end,"&gt;"&amp;840)=0,"",IF(COUNTIFS(m_teacher,S$4,m_date,($G$2+10),m_active,1,m_start,"&lt;"&amp;900,m_end,"&gt;"&amp;840)&gt;1,"충돌",HYPERLINK("#'관리자_MASTER'!D"&amp;_xlfn.MAXIFS(m_row,m_teacher,S$4,m_date,($G$2+10),m_active,1,m_start,"&lt;"&amp;900,m_end,"&gt;"&amp;840),INDEX(m_label,_xlfn.MAXIFS(m_row,m_teacher,S$4,m_date,($G$2+10),m_active,1,m_start,"&lt;"&amp;900,m_end,"&gt;"&amp;840))))))</f>
        <v/>
      </c>
      <c r="T43" s="88" t="str">
        <f aca="false">IF(OR(T$4="",MONTH(($G$2+10))&lt;&gt;MONTH($C$2)),"",IF(COUNTIFS(m_teacher,T$4,m_date,($G$2+10),m_active,1,m_start,"&lt;"&amp;900,m_end,"&gt;"&amp;840)=0,"",IF(COUNTIFS(m_teacher,T$4,m_date,($G$2+10),m_active,1,m_start,"&lt;"&amp;900,m_end,"&gt;"&amp;840)&gt;1,"충돌",HYPERLINK("#'관리자_MASTER'!D"&amp;_xlfn.MAXIFS(m_row,m_teacher,T$4,m_date,($G$2+10),m_active,1,m_start,"&lt;"&amp;900,m_end,"&gt;"&amp;840),INDEX(m_label,_xlfn.MAXIFS(m_row,m_teacher,T$4,m_date,($G$2+10),m_active,1,m_start,"&lt;"&amp;900,m_end,"&gt;"&amp;840))))))</f>
        <v/>
      </c>
      <c r="U43" s="88" t="str">
        <f aca="false">IF(OR(U$4="",MONTH(($G$2+10))&lt;&gt;MONTH($C$2)),"",IF(COUNTIFS(m_teacher,U$4,m_date,($G$2+10),m_active,1,m_start,"&lt;"&amp;900,m_end,"&gt;"&amp;840)=0,"",IF(COUNTIFS(m_teacher,U$4,m_date,($G$2+10),m_active,1,m_start,"&lt;"&amp;900,m_end,"&gt;"&amp;840)&gt;1,"충돌",HYPERLINK("#'관리자_MASTER'!D"&amp;_xlfn.MAXIFS(m_row,m_teacher,U$4,m_date,($G$2+10),m_active,1,m_start,"&lt;"&amp;900,m_end,"&gt;"&amp;840),INDEX(m_label,_xlfn.MAXIFS(m_row,m_teacher,U$4,m_date,($G$2+10),m_active,1,m_start,"&lt;"&amp;900,m_end,"&gt;"&amp;840))))))</f>
        <v/>
      </c>
      <c r="V43" s="88" t="str">
        <f aca="false">IF(OR(V$4="",MONTH(($G$2+10))&lt;&gt;MONTH($C$2)),"",IF(COUNTIFS(m_teacher,V$4,m_date,($G$2+10),m_active,1,m_start,"&lt;"&amp;900,m_end,"&gt;"&amp;840)=0,"",IF(COUNTIFS(m_teacher,V$4,m_date,($G$2+10),m_active,1,m_start,"&lt;"&amp;900,m_end,"&gt;"&amp;840)&gt;1,"충돌",HYPERLINK("#'관리자_MASTER'!D"&amp;_xlfn.MAXIFS(m_row,m_teacher,V$4,m_date,($G$2+10),m_active,1,m_start,"&lt;"&amp;900,m_end,"&gt;"&amp;840),INDEX(m_label,_xlfn.MAXIFS(m_row,m_teacher,V$4,m_date,($G$2+10),m_active,1,m_start,"&lt;"&amp;900,m_end,"&gt;"&amp;840))))))</f>
        <v/>
      </c>
      <c r="W43" s="88" t="str">
        <f aca="false">IF(OR(W$4="",MONTH(($G$2+10))&lt;&gt;MONTH($C$2)),"",IF(COUNTIFS(m_teacher,W$4,m_date,($G$2+10),m_active,1,m_start,"&lt;"&amp;900,m_end,"&gt;"&amp;840)=0,"",IF(COUNTIFS(m_teacher,W$4,m_date,($G$2+10),m_active,1,m_start,"&lt;"&amp;900,m_end,"&gt;"&amp;840)&gt;1,"충돌",HYPERLINK("#'관리자_MASTER'!D"&amp;_xlfn.MAXIFS(m_row,m_teacher,W$4,m_date,($G$2+10),m_active,1,m_start,"&lt;"&amp;900,m_end,"&gt;"&amp;840),INDEX(m_label,_xlfn.MAXIFS(m_row,m_teacher,W$4,m_date,($G$2+10),m_active,1,m_start,"&lt;"&amp;900,m_end,"&gt;"&amp;840))))))</f>
        <v/>
      </c>
      <c r="X43" s="88" t="str">
        <f aca="false">IF(OR(X$4="",MONTH(($G$2+10))&lt;&gt;MONTH($C$2)),"",IF(COUNTIFS(m_teacher,X$4,m_date,($G$2+10),m_active,1,m_start,"&lt;"&amp;900,m_end,"&gt;"&amp;840)=0,"",IF(COUNTIFS(m_teacher,X$4,m_date,($G$2+10),m_active,1,m_start,"&lt;"&amp;900,m_end,"&gt;"&amp;840)&gt;1,"충돌",HYPERLINK("#'관리자_MASTER'!D"&amp;_xlfn.MAXIFS(m_row,m_teacher,X$4,m_date,($G$2+10),m_active,1,m_start,"&lt;"&amp;900,m_end,"&gt;"&amp;840),INDEX(m_label,_xlfn.MAXIFS(m_row,m_teacher,X$4,m_date,($G$2+10),m_active,1,m_start,"&lt;"&amp;900,m_end,"&gt;"&amp;840))))))</f>
        <v/>
      </c>
      <c r="Y43" s="88" t="str">
        <f aca="false">IF(OR(Y$4="",MONTH(($G$2+10))&lt;&gt;MONTH($C$2)),"",IF(COUNTIFS(m_teacher,Y$4,m_date,($G$2+10),m_active,1,m_start,"&lt;"&amp;900,m_end,"&gt;"&amp;840)=0,"",IF(COUNTIFS(m_teacher,Y$4,m_date,($G$2+10),m_active,1,m_start,"&lt;"&amp;900,m_end,"&gt;"&amp;840)&gt;1,"충돌",HYPERLINK("#'관리자_MASTER'!D"&amp;_xlfn.MAXIFS(m_row,m_teacher,Y$4,m_date,($G$2+10),m_active,1,m_start,"&lt;"&amp;900,m_end,"&gt;"&amp;840),INDEX(m_label,_xlfn.MAXIFS(m_row,m_teacher,Y$4,m_date,($G$2+10),m_active,1,m_start,"&lt;"&amp;900,m_end,"&gt;"&amp;840))))))</f>
        <v/>
      </c>
      <c r="Z43" s="88" t="str">
        <f aca="false">IF(OR(Z$4="",MONTH(($G$2+10))&lt;&gt;MONTH($C$2)),"",IF(COUNTIFS(m_teacher,Z$4,m_date,($G$2+10),m_active,1,m_start,"&lt;"&amp;900,m_end,"&gt;"&amp;840)=0,"",IF(COUNTIFS(m_teacher,Z$4,m_date,($G$2+10),m_active,1,m_start,"&lt;"&amp;900,m_end,"&gt;"&amp;840)&gt;1,"충돌",HYPERLINK("#'관리자_MASTER'!D"&amp;_xlfn.MAXIFS(m_row,m_teacher,Z$4,m_date,($G$2+10),m_active,1,m_start,"&lt;"&amp;900,m_end,"&gt;"&amp;840),INDEX(m_label,_xlfn.MAXIFS(m_row,m_teacher,Z$4,m_date,($G$2+10),m_active,1,m_start,"&lt;"&amp;900,m_end,"&gt;"&amp;840))))))</f>
        <v/>
      </c>
      <c r="AA43" s="88" t="str">
        <f aca="false">IF(OR(AA$4="",MONTH(($G$2+10))&lt;&gt;MONTH($C$2)),"",IF(COUNTIFS(m_teacher,AA$4,m_date,($G$2+10),m_active,1,m_start,"&lt;"&amp;900,m_end,"&gt;"&amp;840)=0,"",IF(COUNTIFS(m_teacher,AA$4,m_date,($G$2+10),m_active,1,m_start,"&lt;"&amp;900,m_end,"&gt;"&amp;840)&gt;1,"충돌",HYPERLINK("#'관리자_MASTER'!D"&amp;_xlfn.MAXIFS(m_row,m_teacher,AA$4,m_date,($G$2+10),m_active,1,m_start,"&lt;"&amp;900,m_end,"&gt;"&amp;840),INDEX(m_label,_xlfn.MAXIFS(m_row,m_teacher,AA$4,m_date,($G$2+10),m_active,1,m_start,"&lt;"&amp;900,m_end,"&gt;"&amp;840))))))</f>
        <v/>
      </c>
      <c r="AB43" s="88" t="str">
        <f aca="false">IF(OR(AB$4="",MONTH(($G$2+10))&lt;&gt;MONTH($C$2)),"",IF(COUNTIFS(m_teacher,AB$4,m_date,($G$2+10),m_active,1,m_start,"&lt;"&amp;900,m_end,"&gt;"&amp;840)=0,"",IF(COUNTIFS(m_teacher,AB$4,m_date,($G$2+10),m_active,1,m_start,"&lt;"&amp;900,m_end,"&gt;"&amp;840)&gt;1,"충돌",HYPERLINK("#'관리자_MASTER'!D"&amp;_xlfn.MAXIFS(m_row,m_teacher,AB$4,m_date,($G$2+10),m_active,1,m_start,"&lt;"&amp;900,m_end,"&gt;"&amp;840),INDEX(m_label,_xlfn.MAXIFS(m_row,m_teacher,AB$4,m_date,($G$2+10),m_active,1,m_start,"&lt;"&amp;900,m_end,"&gt;"&amp;840))))))</f>
        <v/>
      </c>
      <c r="AC43" s="78"/>
      <c r="AD43" s="79" t="s">
        <v>96</v>
      </c>
      <c r="AE43" s="88" t="str">
        <f aca="false">IF(OR(AE$4="",MONTH(($G$2+17))&lt;&gt;MONTH($C$2)),"",IF(COUNTIFS(m_teacher,AE$4,m_date,($G$2+17),m_active,1,m_start,"&lt;"&amp;900,m_end,"&gt;"&amp;840)=0,"",IF(COUNTIFS(m_teacher,AE$4,m_date,($G$2+17),m_active,1,m_start,"&lt;"&amp;900,m_end,"&gt;"&amp;840)&gt;1,"충돌",HYPERLINK("#'관리자_MASTER'!D"&amp;_xlfn.MAXIFS(m_row,m_teacher,AE$4,m_date,($G$2+17),m_active,1,m_start,"&lt;"&amp;900,m_end,"&gt;"&amp;840),INDEX(m_label,_xlfn.MAXIFS(m_row,m_teacher,AE$4,m_date,($G$2+17),m_active,1,m_start,"&lt;"&amp;900,m_end,"&gt;"&amp;840))))))</f>
        <v/>
      </c>
      <c r="AF43" s="88" t="str">
        <f aca="false">IF(OR(AF$4="",MONTH(($G$2+17))&lt;&gt;MONTH($C$2)),"",IF(COUNTIFS(m_teacher,AF$4,m_date,($G$2+17),m_active,1,m_start,"&lt;"&amp;900,m_end,"&gt;"&amp;840)=0,"",IF(COUNTIFS(m_teacher,AF$4,m_date,($G$2+17),m_active,1,m_start,"&lt;"&amp;900,m_end,"&gt;"&amp;840)&gt;1,"충돌",HYPERLINK("#'관리자_MASTER'!D"&amp;_xlfn.MAXIFS(m_row,m_teacher,AF$4,m_date,($G$2+17),m_active,1,m_start,"&lt;"&amp;900,m_end,"&gt;"&amp;840),INDEX(m_label,_xlfn.MAXIFS(m_row,m_teacher,AF$4,m_date,($G$2+17),m_active,1,m_start,"&lt;"&amp;900,m_end,"&gt;"&amp;840))))))</f>
        <v/>
      </c>
      <c r="AG43" s="88" t="str">
        <f aca="false">IF(OR(AG$4="",MONTH(($G$2+17))&lt;&gt;MONTH($C$2)),"",IF(COUNTIFS(m_teacher,AG$4,m_date,($G$2+17),m_active,1,m_start,"&lt;"&amp;900,m_end,"&gt;"&amp;840)=0,"",IF(COUNTIFS(m_teacher,AG$4,m_date,($G$2+17),m_active,1,m_start,"&lt;"&amp;900,m_end,"&gt;"&amp;840)&gt;1,"충돌",HYPERLINK("#'관리자_MASTER'!D"&amp;_xlfn.MAXIFS(m_row,m_teacher,AG$4,m_date,($G$2+17),m_active,1,m_start,"&lt;"&amp;900,m_end,"&gt;"&amp;840),INDEX(m_label,_xlfn.MAXIFS(m_row,m_teacher,AG$4,m_date,($G$2+17),m_active,1,m_start,"&lt;"&amp;900,m_end,"&gt;"&amp;840))))))</f>
        <v/>
      </c>
      <c r="AH43" s="88" t="str">
        <f aca="false">IF(OR(AH$4="",MONTH(($G$2+17))&lt;&gt;MONTH($C$2)),"",IF(COUNTIFS(m_teacher,AH$4,m_date,($G$2+17),m_active,1,m_start,"&lt;"&amp;900,m_end,"&gt;"&amp;840)=0,"",IF(COUNTIFS(m_teacher,AH$4,m_date,($G$2+17),m_active,1,m_start,"&lt;"&amp;900,m_end,"&gt;"&amp;840)&gt;1,"충돌",HYPERLINK("#'관리자_MASTER'!D"&amp;_xlfn.MAXIFS(m_row,m_teacher,AH$4,m_date,($G$2+17),m_active,1,m_start,"&lt;"&amp;900,m_end,"&gt;"&amp;840),INDEX(m_label,_xlfn.MAXIFS(m_row,m_teacher,AH$4,m_date,($G$2+17),m_active,1,m_start,"&lt;"&amp;900,m_end,"&gt;"&amp;840))))))</f>
        <v/>
      </c>
      <c r="AI43" s="88" t="str">
        <f aca="false">IF(OR(AI$4="",MONTH(($G$2+17))&lt;&gt;MONTH($C$2)),"",IF(COUNTIFS(m_teacher,AI$4,m_date,($G$2+17),m_active,1,m_start,"&lt;"&amp;900,m_end,"&gt;"&amp;840)=0,"",IF(COUNTIFS(m_teacher,AI$4,m_date,($G$2+17),m_active,1,m_start,"&lt;"&amp;900,m_end,"&gt;"&amp;840)&gt;1,"충돌",HYPERLINK("#'관리자_MASTER'!D"&amp;_xlfn.MAXIFS(m_row,m_teacher,AI$4,m_date,($G$2+17),m_active,1,m_start,"&lt;"&amp;900,m_end,"&gt;"&amp;840),INDEX(m_label,_xlfn.MAXIFS(m_row,m_teacher,AI$4,m_date,($G$2+17),m_active,1,m_start,"&lt;"&amp;900,m_end,"&gt;"&amp;840))))))</f>
        <v/>
      </c>
      <c r="AJ43" s="88" t="str">
        <f aca="false">IF(OR(AJ$4="",MONTH(($G$2+17))&lt;&gt;MONTH($C$2)),"",IF(COUNTIFS(m_teacher,AJ$4,m_date,($G$2+17),m_active,1,m_start,"&lt;"&amp;900,m_end,"&gt;"&amp;840)=0,"",IF(COUNTIFS(m_teacher,AJ$4,m_date,($G$2+17),m_active,1,m_start,"&lt;"&amp;900,m_end,"&gt;"&amp;840)&gt;1,"충돌",HYPERLINK("#'관리자_MASTER'!D"&amp;_xlfn.MAXIFS(m_row,m_teacher,AJ$4,m_date,($G$2+17),m_active,1,m_start,"&lt;"&amp;900,m_end,"&gt;"&amp;840),INDEX(m_label,_xlfn.MAXIFS(m_row,m_teacher,AJ$4,m_date,($G$2+17),m_active,1,m_start,"&lt;"&amp;900,m_end,"&gt;"&amp;840))))))</f>
        <v/>
      </c>
      <c r="AK43" s="88" t="str">
        <f aca="false">IF(OR(AK$4="",MONTH(($G$2+17))&lt;&gt;MONTH($C$2)),"",IF(COUNTIFS(m_teacher,AK$4,m_date,($G$2+17),m_active,1,m_start,"&lt;"&amp;900,m_end,"&gt;"&amp;840)=0,"",IF(COUNTIFS(m_teacher,AK$4,m_date,($G$2+17),m_active,1,m_start,"&lt;"&amp;900,m_end,"&gt;"&amp;840)&gt;1,"충돌",HYPERLINK("#'관리자_MASTER'!D"&amp;_xlfn.MAXIFS(m_row,m_teacher,AK$4,m_date,($G$2+17),m_active,1,m_start,"&lt;"&amp;900,m_end,"&gt;"&amp;840),INDEX(m_label,_xlfn.MAXIFS(m_row,m_teacher,AK$4,m_date,($G$2+17),m_active,1,m_start,"&lt;"&amp;900,m_end,"&gt;"&amp;840))))))</f>
        <v/>
      </c>
      <c r="AL43" s="88" t="str">
        <f aca="false">IF(OR(AL$4="",MONTH(($G$2+17))&lt;&gt;MONTH($C$2)),"",IF(COUNTIFS(m_teacher,AL$4,m_date,($G$2+17),m_active,1,m_start,"&lt;"&amp;900,m_end,"&gt;"&amp;840)=0,"",IF(COUNTIFS(m_teacher,AL$4,m_date,($G$2+17),m_active,1,m_start,"&lt;"&amp;900,m_end,"&gt;"&amp;840)&gt;1,"충돌",HYPERLINK("#'관리자_MASTER'!D"&amp;_xlfn.MAXIFS(m_row,m_teacher,AL$4,m_date,($G$2+17),m_active,1,m_start,"&lt;"&amp;900,m_end,"&gt;"&amp;840),INDEX(m_label,_xlfn.MAXIFS(m_row,m_teacher,AL$4,m_date,($G$2+17),m_active,1,m_start,"&lt;"&amp;900,m_end,"&gt;"&amp;840))))))</f>
        <v/>
      </c>
      <c r="AM43" s="88" t="str">
        <f aca="false">IF(OR(AM$4="",MONTH(($G$2+17))&lt;&gt;MONTH($C$2)),"",IF(COUNTIFS(m_teacher,AM$4,m_date,($G$2+17),m_active,1,m_start,"&lt;"&amp;900,m_end,"&gt;"&amp;840)=0,"",IF(COUNTIFS(m_teacher,AM$4,m_date,($G$2+17),m_active,1,m_start,"&lt;"&amp;900,m_end,"&gt;"&amp;840)&gt;1,"충돌",HYPERLINK("#'관리자_MASTER'!D"&amp;_xlfn.MAXIFS(m_row,m_teacher,AM$4,m_date,($G$2+17),m_active,1,m_start,"&lt;"&amp;900,m_end,"&gt;"&amp;840),INDEX(m_label,_xlfn.MAXIFS(m_row,m_teacher,AM$4,m_date,($G$2+17),m_active,1,m_start,"&lt;"&amp;900,m_end,"&gt;"&amp;840))))))</f>
        <v/>
      </c>
      <c r="AN43" s="88" t="str">
        <f aca="false">IF(OR(AN$4="",MONTH(($G$2+17))&lt;&gt;MONTH($C$2)),"",IF(COUNTIFS(m_teacher,AN$4,m_date,($G$2+17),m_active,1,m_start,"&lt;"&amp;900,m_end,"&gt;"&amp;840)=0,"",IF(COUNTIFS(m_teacher,AN$4,m_date,($G$2+17),m_active,1,m_start,"&lt;"&amp;900,m_end,"&gt;"&amp;840)&gt;1,"충돌",HYPERLINK("#'관리자_MASTER'!D"&amp;_xlfn.MAXIFS(m_row,m_teacher,AN$4,m_date,($G$2+17),m_active,1,m_start,"&lt;"&amp;900,m_end,"&gt;"&amp;840),INDEX(m_label,_xlfn.MAXIFS(m_row,m_teacher,AN$4,m_date,($G$2+17),m_active,1,m_start,"&lt;"&amp;900,m_end,"&gt;"&amp;840))))))</f>
        <v/>
      </c>
      <c r="AO43" s="88" t="str">
        <f aca="false">IF(OR(AO$4="",MONTH(($G$2+17))&lt;&gt;MONTH($C$2)),"",IF(COUNTIFS(m_teacher,AO$4,m_date,($G$2+17),m_active,1,m_start,"&lt;"&amp;900,m_end,"&gt;"&amp;840)=0,"",IF(COUNTIFS(m_teacher,AO$4,m_date,($G$2+17),m_active,1,m_start,"&lt;"&amp;900,m_end,"&gt;"&amp;840)&gt;1,"충돌",HYPERLINK("#'관리자_MASTER'!D"&amp;_xlfn.MAXIFS(m_row,m_teacher,AO$4,m_date,($G$2+17),m_active,1,m_start,"&lt;"&amp;900,m_end,"&gt;"&amp;840),INDEX(m_label,_xlfn.MAXIFS(m_row,m_teacher,AO$4,m_date,($G$2+17),m_active,1,m_start,"&lt;"&amp;900,m_end,"&gt;"&amp;840))))))</f>
        <v/>
      </c>
      <c r="AP43" s="88" t="str">
        <f aca="false">IF(OR(AP$4="",MONTH(($G$2+17))&lt;&gt;MONTH($C$2)),"",IF(COUNTIFS(m_teacher,AP$4,m_date,($G$2+17),m_active,1,m_start,"&lt;"&amp;900,m_end,"&gt;"&amp;840)=0,"",IF(COUNTIFS(m_teacher,AP$4,m_date,($G$2+17),m_active,1,m_start,"&lt;"&amp;900,m_end,"&gt;"&amp;840)&gt;1,"충돌",HYPERLINK("#'관리자_MASTER'!D"&amp;_xlfn.MAXIFS(m_row,m_teacher,AP$4,m_date,($G$2+17),m_active,1,m_start,"&lt;"&amp;900,m_end,"&gt;"&amp;840),INDEX(m_label,_xlfn.MAXIFS(m_row,m_teacher,AP$4,m_date,($G$2+17),m_active,1,m_start,"&lt;"&amp;900,m_end,"&gt;"&amp;840))))))</f>
        <v/>
      </c>
      <c r="AQ43" s="78"/>
      <c r="AR43" s="79" t="s">
        <v>96</v>
      </c>
      <c r="AS43" s="88" t="str">
        <f aca="false">IF(OR(AS$4="",MONTH(($G$2+24))&lt;&gt;MONTH($C$2)),"",IF(COUNTIFS(m_teacher,AS$4,m_date,($G$2+24),m_active,1,m_start,"&lt;"&amp;900,m_end,"&gt;"&amp;840)=0,"",IF(COUNTIFS(m_teacher,AS$4,m_date,($G$2+24),m_active,1,m_start,"&lt;"&amp;900,m_end,"&gt;"&amp;840)&gt;1,"충돌",HYPERLINK("#'관리자_MASTER'!D"&amp;_xlfn.MAXIFS(m_row,m_teacher,AS$4,m_date,($G$2+24),m_active,1,m_start,"&lt;"&amp;900,m_end,"&gt;"&amp;840),INDEX(m_label,_xlfn.MAXIFS(m_row,m_teacher,AS$4,m_date,($G$2+24),m_active,1,m_start,"&lt;"&amp;900,m_end,"&gt;"&amp;840))))))</f>
        <v/>
      </c>
      <c r="AT43" s="88" t="str">
        <f aca="false">IF(OR(AT$4="",MONTH(($G$2+24))&lt;&gt;MONTH($C$2)),"",IF(COUNTIFS(m_teacher,AT$4,m_date,($G$2+24),m_active,1,m_start,"&lt;"&amp;900,m_end,"&gt;"&amp;840)=0,"",IF(COUNTIFS(m_teacher,AT$4,m_date,($G$2+24),m_active,1,m_start,"&lt;"&amp;900,m_end,"&gt;"&amp;840)&gt;1,"충돌",HYPERLINK("#'관리자_MASTER'!D"&amp;_xlfn.MAXIFS(m_row,m_teacher,AT$4,m_date,($G$2+24),m_active,1,m_start,"&lt;"&amp;900,m_end,"&gt;"&amp;840),INDEX(m_label,_xlfn.MAXIFS(m_row,m_teacher,AT$4,m_date,($G$2+24),m_active,1,m_start,"&lt;"&amp;900,m_end,"&gt;"&amp;840))))))</f>
        <v/>
      </c>
      <c r="AU43" s="88" t="str">
        <f aca="false">IF(OR(AU$4="",MONTH(($G$2+24))&lt;&gt;MONTH($C$2)),"",IF(COUNTIFS(m_teacher,AU$4,m_date,($G$2+24),m_active,1,m_start,"&lt;"&amp;900,m_end,"&gt;"&amp;840)=0,"",IF(COUNTIFS(m_teacher,AU$4,m_date,($G$2+24),m_active,1,m_start,"&lt;"&amp;900,m_end,"&gt;"&amp;840)&gt;1,"충돌",HYPERLINK("#'관리자_MASTER'!D"&amp;_xlfn.MAXIFS(m_row,m_teacher,AU$4,m_date,($G$2+24),m_active,1,m_start,"&lt;"&amp;900,m_end,"&gt;"&amp;840),INDEX(m_label,_xlfn.MAXIFS(m_row,m_teacher,AU$4,m_date,($G$2+24),m_active,1,m_start,"&lt;"&amp;900,m_end,"&gt;"&amp;840))))))</f>
        <v/>
      </c>
      <c r="AV43" s="88" t="str">
        <f aca="false">IF(OR(AV$4="",MONTH(($G$2+24))&lt;&gt;MONTH($C$2)),"",IF(COUNTIFS(m_teacher,AV$4,m_date,($G$2+24),m_active,1,m_start,"&lt;"&amp;900,m_end,"&gt;"&amp;840)=0,"",IF(COUNTIFS(m_teacher,AV$4,m_date,($G$2+24),m_active,1,m_start,"&lt;"&amp;900,m_end,"&gt;"&amp;840)&gt;1,"충돌",HYPERLINK("#'관리자_MASTER'!D"&amp;_xlfn.MAXIFS(m_row,m_teacher,AV$4,m_date,($G$2+24),m_active,1,m_start,"&lt;"&amp;900,m_end,"&gt;"&amp;840),INDEX(m_label,_xlfn.MAXIFS(m_row,m_teacher,AV$4,m_date,($G$2+24),m_active,1,m_start,"&lt;"&amp;900,m_end,"&gt;"&amp;840))))))</f>
        <v/>
      </c>
      <c r="AW43" s="88" t="str">
        <f aca="false">IF(OR(AW$4="",MONTH(($G$2+24))&lt;&gt;MONTH($C$2)),"",IF(COUNTIFS(m_teacher,AW$4,m_date,($G$2+24),m_active,1,m_start,"&lt;"&amp;900,m_end,"&gt;"&amp;840)=0,"",IF(COUNTIFS(m_teacher,AW$4,m_date,($G$2+24),m_active,1,m_start,"&lt;"&amp;900,m_end,"&gt;"&amp;840)&gt;1,"충돌",HYPERLINK("#'관리자_MASTER'!D"&amp;_xlfn.MAXIFS(m_row,m_teacher,AW$4,m_date,($G$2+24),m_active,1,m_start,"&lt;"&amp;900,m_end,"&gt;"&amp;840),INDEX(m_label,_xlfn.MAXIFS(m_row,m_teacher,AW$4,m_date,($G$2+24),m_active,1,m_start,"&lt;"&amp;900,m_end,"&gt;"&amp;840))))))</f>
        <v/>
      </c>
      <c r="AX43" s="88" t="str">
        <f aca="false">IF(OR(AX$4="",MONTH(($G$2+24))&lt;&gt;MONTH($C$2)),"",IF(COUNTIFS(m_teacher,AX$4,m_date,($G$2+24),m_active,1,m_start,"&lt;"&amp;900,m_end,"&gt;"&amp;840)=0,"",IF(COUNTIFS(m_teacher,AX$4,m_date,($G$2+24),m_active,1,m_start,"&lt;"&amp;900,m_end,"&gt;"&amp;840)&gt;1,"충돌",HYPERLINK("#'관리자_MASTER'!D"&amp;_xlfn.MAXIFS(m_row,m_teacher,AX$4,m_date,($G$2+24),m_active,1,m_start,"&lt;"&amp;900,m_end,"&gt;"&amp;840),INDEX(m_label,_xlfn.MAXIFS(m_row,m_teacher,AX$4,m_date,($G$2+24),m_active,1,m_start,"&lt;"&amp;900,m_end,"&gt;"&amp;840))))))</f>
        <v/>
      </c>
      <c r="AY43" s="88" t="str">
        <f aca="false">IF(OR(AY$4="",MONTH(($G$2+24))&lt;&gt;MONTH($C$2)),"",IF(COUNTIFS(m_teacher,AY$4,m_date,($G$2+24),m_active,1,m_start,"&lt;"&amp;900,m_end,"&gt;"&amp;840)=0,"",IF(COUNTIFS(m_teacher,AY$4,m_date,($G$2+24),m_active,1,m_start,"&lt;"&amp;900,m_end,"&gt;"&amp;840)&gt;1,"충돌",HYPERLINK("#'관리자_MASTER'!D"&amp;_xlfn.MAXIFS(m_row,m_teacher,AY$4,m_date,($G$2+24),m_active,1,m_start,"&lt;"&amp;900,m_end,"&gt;"&amp;840),INDEX(m_label,_xlfn.MAXIFS(m_row,m_teacher,AY$4,m_date,($G$2+24),m_active,1,m_start,"&lt;"&amp;900,m_end,"&gt;"&amp;840))))))</f>
        <v/>
      </c>
      <c r="AZ43" s="88" t="str">
        <f aca="false">IF(OR(AZ$4="",MONTH(($G$2+24))&lt;&gt;MONTH($C$2)),"",IF(COUNTIFS(m_teacher,AZ$4,m_date,($G$2+24),m_active,1,m_start,"&lt;"&amp;900,m_end,"&gt;"&amp;840)=0,"",IF(COUNTIFS(m_teacher,AZ$4,m_date,($G$2+24),m_active,1,m_start,"&lt;"&amp;900,m_end,"&gt;"&amp;840)&gt;1,"충돌",HYPERLINK("#'관리자_MASTER'!D"&amp;_xlfn.MAXIFS(m_row,m_teacher,AZ$4,m_date,($G$2+24),m_active,1,m_start,"&lt;"&amp;900,m_end,"&gt;"&amp;840),INDEX(m_label,_xlfn.MAXIFS(m_row,m_teacher,AZ$4,m_date,($G$2+24),m_active,1,m_start,"&lt;"&amp;900,m_end,"&gt;"&amp;840))))))</f>
        <v/>
      </c>
      <c r="BA43" s="88" t="str">
        <f aca="false">IF(OR(BA$4="",MONTH(($G$2+24))&lt;&gt;MONTH($C$2)),"",IF(COUNTIFS(m_teacher,BA$4,m_date,($G$2+24),m_active,1,m_start,"&lt;"&amp;900,m_end,"&gt;"&amp;840)=0,"",IF(COUNTIFS(m_teacher,BA$4,m_date,($G$2+24),m_active,1,m_start,"&lt;"&amp;900,m_end,"&gt;"&amp;840)&gt;1,"충돌",HYPERLINK("#'관리자_MASTER'!D"&amp;_xlfn.MAXIFS(m_row,m_teacher,BA$4,m_date,($G$2+24),m_active,1,m_start,"&lt;"&amp;900,m_end,"&gt;"&amp;840),INDEX(m_label,_xlfn.MAXIFS(m_row,m_teacher,BA$4,m_date,($G$2+24),m_active,1,m_start,"&lt;"&amp;900,m_end,"&gt;"&amp;840))))))</f>
        <v/>
      </c>
      <c r="BB43" s="88" t="str">
        <f aca="false">IF(OR(BB$4="",MONTH(($G$2+24))&lt;&gt;MONTH($C$2)),"",IF(COUNTIFS(m_teacher,BB$4,m_date,($G$2+24),m_active,1,m_start,"&lt;"&amp;900,m_end,"&gt;"&amp;840)=0,"",IF(COUNTIFS(m_teacher,BB$4,m_date,($G$2+24),m_active,1,m_start,"&lt;"&amp;900,m_end,"&gt;"&amp;840)&gt;1,"충돌",HYPERLINK("#'관리자_MASTER'!D"&amp;_xlfn.MAXIFS(m_row,m_teacher,BB$4,m_date,($G$2+24),m_active,1,m_start,"&lt;"&amp;900,m_end,"&gt;"&amp;840),INDEX(m_label,_xlfn.MAXIFS(m_row,m_teacher,BB$4,m_date,($G$2+24),m_active,1,m_start,"&lt;"&amp;900,m_end,"&gt;"&amp;840))))))</f>
        <v/>
      </c>
      <c r="BC43" s="88" t="str">
        <f aca="false">IF(OR(BC$4="",MONTH(($G$2+24))&lt;&gt;MONTH($C$2)),"",IF(COUNTIFS(m_teacher,BC$4,m_date,($G$2+24),m_active,1,m_start,"&lt;"&amp;900,m_end,"&gt;"&amp;840)=0,"",IF(COUNTIFS(m_teacher,BC$4,m_date,($G$2+24),m_active,1,m_start,"&lt;"&amp;900,m_end,"&gt;"&amp;840)&gt;1,"충돌",HYPERLINK("#'관리자_MASTER'!D"&amp;_xlfn.MAXIFS(m_row,m_teacher,BC$4,m_date,($G$2+24),m_active,1,m_start,"&lt;"&amp;900,m_end,"&gt;"&amp;840),INDEX(m_label,_xlfn.MAXIFS(m_row,m_teacher,BC$4,m_date,($G$2+24),m_active,1,m_start,"&lt;"&amp;900,m_end,"&gt;"&amp;840))))))</f>
        <v/>
      </c>
      <c r="BD43" s="88" t="str">
        <f aca="false">IF(OR(BD$4="",MONTH(($G$2+24))&lt;&gt;MONTH($C$2)),"",IF(COUNTIFS(m_teacher,BD$4,m_date,($G$2+24),m_active,1,m_start,"&lt;"&amp;900,m_end,"&gt;"&amp;840)=0,"",IF(COUNTIFS(m_teacher,BD$4,m_date,($G$2+24),m_active,1,m_start,"&lt;"&amp;900,m_end,"&gt;"&amp;840)&gt;1,"충돌",HYPERLINK("#'관리자_MASTER'!D"&amp;_xlfn.MAXIFS(m_row,m_teacher,BD$4,m_date,($G$2+24),m_active,1,m_start,"&lt;"&amp;900,m_end,"&gt;"&amp;840),INDEX(m_label,_xlfn.MAXIFS(m_row,m_teacher,BD$4,m_date,($G$2+24),m_active,1,m_start,"&lt;"&amp;900,m_end,"&gt;"&amp;840))))))</f>
        <v/>
      </c>
    </row>
    <row r="44" customFormat="false" ht="19.5" hidden="false" customHeight="true" outlineLevel="0" collapsed="false">
      <c r="A44" s="78"/>
      <c r="B44" s="79" t="s">
        <v>97</v>
      </c>
      <c r="C44" s="88" t="str">
        <f aca="false">IF(OR(C$4="",MONTH(($G$2+3))&lt;&gt;MONTH($C$2)),"",IF(COUNTIFS(m_teacher,C$4,m_date,($G$2+3),m_active,1,m_start,"&lt;"&amp;960,m_end,"&gt;"&amp;900)=0,"",IF(COUNTIFS(m_teacher,C$4,m_date,($G$2+3),m_active,1,m_start,"&lt;"&amp;960,m_end,"&gt;"&amp;900)&gt;1,"충돌",HYPERLINK("#'관리자_MASTER'!D"&amp;_xlfn.MAXIFS(m_row,m_teacher,C$4,m_date,($G$2+3),m_active,1,m_start,"&lt;"&amp;960,m_end,"&gt;"&amp;900),INDEX(m_label,_xlfn.MAXIFS(m_row,m_teacher,C$4,m_date,($G$2+3),m_active,1,m_start,"&lt;"&amp;960,m_end,"&gt;"&amp;900))))))</f>
        <v/>
      </c>
      <c r="D44" s="88" t="str">
        <f aca="false">IF(OR(D$4="",MONTH(($G$2+3))&lt;&gt;MONTH($C$2)),"",IF(COUNTIFS(m_teacher,D$4,m_date,($G$2+3),m_active,1,m_start,"&lt;"&amp;960,m_end,"&gt;"&amp;900)=0,"",IF(COUNTIFS(m_teacher,D$4,m_date,($G$2+3),m_active,1,m_start,"&lt;"&amp;960,m_end,"&gt;"&amp;900)&gt;1,"충돌",HYPERLINK("#'관리자_MASTER'!D"&amp;_xlfn.MAXIFS(m_row,m_teacher,D$4,m_date,($G$2+3),m_active,1,m_start,"&lt;"&amp;960,m_end,"&gt;"&amp;900),INDEX(m_label,_xlfn.MAXIFS(m_row,m_teacher,D$4,m_date,($G$2+3),m_active,1,m_start,"&lt;"&amp;960,m_end,"&gt;"&amp;900))))))</f>
        <v/>
      </c>
      <c r="E44" s="88" t="str">
        <f aca="false">IF(OR(E$4="",MONTH(($G$2+3))&lt;&gt;MONTH($C$2)),"",IF(COUNTIFS(m_teacher,E$4,m_date,($G$2+3),m_active,1,m_start,"&lt;"&amp;960,m_end,"&gt;"&amp;900)=0,"",IF(COUNTIFS(m_teacher,E$4,m_date,($G$2+3),m_active,1,m_start,"&lt;"&amp;960,m_end,"&gt;"&amp;900)&gt;1,"충돌",HYPERLINK("#'관리자_MASTER'!D"&amp;_xlfn.MAXIFS(m_row,m_teacher,E$4,m_date,($G$2+3),m_active,1,m_start,"&lt;"&amp;960,m_end,"&gt;"&amp;900),INDEX(m_label,_xlfn.MAXIFS(m_row,m_teacher,E$4,m_date,($G$2+3),m_active,1,m_start,"&lt;"&amp;960,m_end,"&gt;"&amp;900))))))</f>
        <v/>
      </c>
      <c r="F44" s="88" t="str">
        <f aca="false">IF(OR(F$4="",MONTH(($G$2+3))&lt;&gt;MONTH($C$2)),"",IF(COUNTIFS(m_teacher,F$4,m_date,($G$2+3),m_active,1,m_start,"&lt;"&amp;960,m_end,"&gt;"&amp;900)=0,"",IF(COUNTIFS(m_teacher,F$4,m_date,($G$2+3),m_active,1,m_start,"&lt;"&amp;960,m_end,"&gt;"&amp;900)&gt;1,"충돌",HYPERLINK("#'관리자_MASTER'!D"&amp;_xlfn.MAXIFS(m_row,m_teacher,F$4,m_date,($G$2+3),m_active,1,m_start,"&lt;"&amp;960,m_end,"&gt;"&amp;900),INDEX(m_label,_xlfn.MAXIFS(m_row,m_teacher,F$4,m_date,($G$2+3),m_active,1,m_start,"&lt;"&amp;960,m_end,"&gt;"&amp;900))))))</f>
        <v/>
      </c>
      <c r="G44" s="88" t="str">
        <f aca="false">IF(OR(G$4="",MONTH(($G$2+3))&lt;&gt;MONTH($C$2)),"",IF(COUNTIFS(m_teacher,G$4,m_date,($G$2+3),m_active,1,m_start,"&lt;"&amp;960,m_end,"&gt;"&amp;900)=0,"",IF(COUNTIFS(m_teacher,G$4,m_date,($G$2+3),m_active,1,m_start,"&lt;"&amp;960,m_end,"&gt;"&amp;900)&gt;1,"충돌",HYPERLINK("#'관리자_MASTER'!D"&amp;_xlfn.MAXIFS(m_row,m_teacher,G$4,m_date,($G$2+3),m_active,1,m_start,"&lt;"&amp;960,m_end,"&gt;"&amp;900),INDEX(m_label,_xlfn.MAXIFS(m_row,m_teacher,G$4,m_date,($G$2+3),m_active,1,m_start,"&lt;"&amp;960,m_end,"&gt;"&amp;900))))))</f>
        <v/>
      </c>
      <c r="H44" s="88" t="str">
        <f aca="false">IF(OR(H$4="",MONTH(($G$2+3))&lt;&gt;MONTH($C$2)),"",IF(COUNTIFS(m_teacher,H$4,m_date,($G$2+3),m_active,1,m_start,"&lt;"&amp;960,m_end,"&gt;"&amp;900)=0,"",IF(COUNTIFS(m_teacher,H$4,m_date,($G$2+3),m_active,1,m_start,"&lt;"&amp;960,m_end,"&gt;"&amp;900)&gt;1,"충돌",HYPERLINK("#'관리자_MASTER'!D"&amp;_xlfn.MAXIFS(m_row,m_teacher,H$4,m_date,($G$2+3),m_active,1,m_start,"&lt;"&amp;960,m_end,"&gt;"&amp;900),INDEX(m_label,_xlfn.MAXIFS(m_row,m_teacher,H$4,m_date,($G$2+3),m_active,1,m_start,"&lt;"&amp;960,m_end,"&gt;"&amp;900))))))</f>
        <v/>
      </c>
      <c r="I44" s="88" t="str">
        <f aca="false">IF(OR(I$4="",MONTH(($G$2+3))&lt;&gt;MONTH($C$2)),"",IF(COUNTIFS(m_teacher,I$4,m_date,($G$2+3),m_active,1,m_start,"&lt;"&amp;960,m_end,"&gt;"&amp;900)=0,"",IF(COUNTIFS(m_teacher,I$4,m_date,($G$2+3),m_active,1,m_start,"&lt;"&amp;960,m_end,"&gt;"&amp;900)&gt;1,"충돌",HYPERLINK("#'관리자_MASTER'!D"&amp;_xlfn.MAXIFS(m_row,m_teacher,I$4,m_date,($G$2+3),m_active,1,m_start,"&lt;"&amp;960,m_end,"&gt;"&amp;900),INDEX(m_label,_xlfn.MAXIFS(m_row,m_teacher,I$4,m_date,($G$2+3),m_active,1,m_start,"&lt;"&amp;960,m_end,"&gt;"&amp;900))))))</f>
        <v/>
      </c>
      <c r="J44" s="88" t="str">
        <f aca="false">IF(OR(J$4="",MONTH(($G$2+3))&lt;&gt;MONTH($C$2)),"",IF(COUNTIFS(m_teacher,J$4,m_date,($G$2+3),m_active,1,m_start,"&lt;"&amp;960,m_end,"&gt;"&amp;900)=0,"",IF(COUNTIFS(m_teacher,J$4,m_date,($G$2+3),m_active,1,m_start,"&lt;"&amp;960,m_end,"&gt;"&amp;900)&gt;1,"충돌",HYPERLINK("#'관리자_MASTER'!D"&amp;_xlfn.MAXIFS(m_row,m_teacher,J$4,m_date,($G$2+3),m_active,1,m_start,"&lt;"&amp;960,m_end,"&gt;"&amp;900),INDEX(m_label,_xlfn.MAXIFS(m_row,m_teacher,J$4,m_date,($G$2+3),m_active,1,m_start,"&lt;"&amp;960,m_end,"&gt;"&amp;900))))))</f>
        <v/>
      </c>
      <c r="K44" s="88" t="str">
        <f aca="false">IF(OR(K$4="",MONTH(($G$2+3))&lt;&gt;MONTH($C$2)),"",IF(COUNTIFS(m_teacher,K$4,m_date,($G$2+3),m_active,1,m_start,"&lt;"&amp;960,m_end,"&gt;"&amp;900)=0,"",IF(COUNTIFS(m_teacher,K$4,m_date,($G$2+3),m_active,1,m_start,"&lt;"&amp;960,m_end,"&gt;"&amp;900)&gt;1,"충돌",HYPERLINK("#'관리자_MASTER'!D"&amp;_xlfn.MAXIFS(m_row,m_teacher,K$4,m_date,($G$2+3),m_active,1,m_start,"&lt;"&amp;960,m_end,"&gt;"&amp;900),INDEX(m_label,_xlfn.MAXIFS(m_row,m_teacher,K$4,m_date,($G$2+3),m_active,1,m_start,"&lt;"&amp;960,m_end,"&gt;"&amp;900))))))</f>
        <v/>
      </c>
      <c r="L44" s="88" t="str">
        <f aca="false">IF(OR(L$4="",MONTH(($G$2+3))&lt;&gt;MONTH($C$2)),"",IF(COUNTIFS(m_teacher,L$4,m_date,($G$2+3),m_active,1,m_start,"&lt;"&amp;960,m_end,"&gt;"&amp;900)=0,"",IF(COUNTIFS(m_teacher,L$4,m_date,($G$2+3),m_active,1,m_start,"&lt;"&amp;960,m_end,"&gt;"&amp;900)&gt;1,"충돌",HYPERLINK("#'관리자_MASTER'!D"&amp;_xlfn.MAXIFS(m_row,m_teacher,L$4,m_date,($G$2+3),m_active,1,m_start,"&lt;"&amp;960,m_end,"&gt;"&amp;900),INDEX(m_label,_xlfn.MAXIFS(m_row,m_teacher,L$4,m_date,($G$2+3),m_active,1,m_start,"&lt;"&amp;960,m_end,"&gt;"&amp;900))))))</f>
        <v/>
      </c>
      <c r="M44" s="88" t="str">
        <f aca="false">IF(OR(M$4="",MONTH(($G$2+3))&lt;&gt;MONTH($C$2)),"",IF(COUNTIFS(m_teacher,M$4,m_date,($G$2+3),m_active,1,m_start,"&lt;"&amp;960,m_end,"&gt;"&amp;900)=0,"",IF(COUNTIFS(m_teacher,M$4,m_date,($G$2+3),m_active,1,m_start,"&lt;"&amp;960,m_end,"&gt;"&amp;900)&gt;1,"충돌",HYPERLINK("#'관리자_MASTER'!D"&amp;_xlfn.MAXIFS(m_row,m_teacher,M$4,m_date,($G$2+3),m_active,1,m_start,"&lt;"&amp;960,m_end,"&gt;"&amp;900),INDEX(m_label,_xlfn.MAXIFS(m_row,m_teacher,M$4,m_date,($G$2+3),m_active,1,m_start,"&lt;"&amp;960,m_end,"&gt;"&amp;900))))))</f>
        <v/>
      </c>
      <c r="N44" s="88" t="str">
        <f aca="false">IF(OR(N$4="",MONTH(($G$2+3))&lt;&gt;MONTH($C$2)),"",IF(COUNTIFS(m_teacher,N$4,m_date,($G$2+3),m_active,1,m_start,"&lt;"&amp;960,m_end,"&gt;"&amp;900)=0,"",IF(COUNTIFS(m_teacher,N$4,m_date,($G$2+3),m_active,1,m_start,"&lt;"&amp;960,m_end,"&gt;"&amp;900)&gt;1,"충돌",HYPERLINK("#'관리자_MASTER'!D"&amp;_xlfn.MAXIFS(m_row,m_teacher,N$4,m_date,($G$2+3),m_active,1,m_start,"&lt;"&amp;960,m_end,"&gt;"&amp;900),INDEX(m_label,_xlfn.MAXIFS(m_row,m_teacher,N$4,m_date,($G$2+3),m_active,1,m_start,"&lt;"&amp;960,m_end,"&gt;"&amp;900))))))</f>
        <v/>
      </c>
      <c r="O44" s="78"/>
      <c r="P44" s="79" t="s">
        <v>97</v>
      </c>
      <c r="Q44" s="88" t="str">
        <f aca="false">IF(OR(Q$4="",MONTH(($G$2+10))&lt;&gt;MONTH($C$2)),"",IF(COUNTIFS(m_teacher,Q$4,m_date,($G$2+10),m_active,1,m_start,"&lt;"&amp;960,m_end,"&gt;"&amp;900)=0,"",IF(COUNTIFS(m_teacher,Q$4,m_date,($G$2+10),m_active,1,m_start,"&lt;"&amp;960,m_end,"&gt;"&amp;900)&gt;1,"충돌",HYPERLINK("#'관리자_MASTER'!D"&amp;_xlfn.MAXIFS(m_row,m_teacher,Q$4,m_date,($G$2+10),m_active,1,m_start,"&lt;"&amp;960,m_end,"&gt;"&amp;900),INDEX(m_label,_xlfn.MAXIFS(m_row,m_teacher,Q$4,m_date,($G$2+10),m_active,1,m_start,"&lt;"&amp;960,m_end,"&gt;"&amp;900))))))</f>
        <v/>
      </c>
      <c r="R44" s="88" t="str">
        <f aca="false">IF(OR(R$4="",MONTH(($G$2+10))&lt;&gt;MONTH($C$2)),"",IF(COUNTIFS(m_teacher,R$4,m_date,($G$2+10),m_active,1,m_start,"&lt;"&amp;960,m_end,"&gt;"&amp;900)=0,"",IF(COUNTIFS(m_teacher,R$4,m_date,($G$2+10),m_active,1,m_start,"&lt;"&amp;960,m_end,"&gt;"&amp;900)&gt;1,"충돌",HYPERLINK("#'관리자_MASTER'!D"&amp;_xlfn.MAXIFS(m_row,m_teacher,R$4,m_date,($G$2+10),m_active,1,m_start,"&lt;"&amp;960,m_end,"&gt;"&amp;900),INDEX(m_label,_xlfn.MAXIFS(m_row,m_teacher,R$4,m_date,($G$2+10),m_active,1,m_start,"&lt;"&amp;960,m_end,"&gt;"&amp;900))))))</f>
        <v/>
      </c>
      <c r="S44" s="88" t="str">
        <f aca="false">IF(OR(S$4="",MONTH(($G$2+10))&lt;&gt;MONTH($C$2)),"",IF(COUNTIFS(m_teacher,S$4,m_date,($G$2+10),m_active,1,m_start,"&lt;"&amp;960,m_end,"&gt;"&amp;900)=0,"",IF(COUNTIFS(m_teacher,S$4,m_date,($G$2+10),m_active,1,m_start,"&lt;"&amp;960,m_end,"&gt;"&amp;900)&gt;1,"충돌",HYPERLINK("#'관리자_MASTER'!D"&amp;_xlfn.MAXIFS(m_row,m_teacher,S$4,m_date,($G$2+10),m_active,1,m_start,"&lt;"&amp;960,m_end,"&gt;"&amp;900),INDEX(m_label,_xlfn.MAXIFS(m_row,m_teacher,S$4,m_date,($G$2+10),m_active,1,m_start,"&lt;"&amp;960,m_end,"&gt;"&amp;900))))))</f>
        <v/>
      </c>
      <c r="T44" s="88" t="str">
        <f aca="false">IF(OR(T$4="",MONTH(($G$2+10))&lt;&gt;MONTH($C$2)),"",IF(COUNTIFS(m_teacher,T$4,m_date,($G$2+10),m_active,1,m_start,"&lt;"&amp;960,m_end,"&gt;"&amp;900)=0,"",IF(COUNTIFS(m_teacher,T$4,m_date,($G$2+10),m_active,1,m_start,"&lt;"&amp;960,m_end,"&gt;"&amp;900)&gt;1,"충돌",HYPERLINK("#'관리자_MASTER'!D"&amp;_xlfn.MAXIFS(m_row,m_teacher,T$4,m_date,($G$2+10),m_active,1,m_start,"&lt;"&amp;960,m_end,"&gt;"&amp;900),INDEX(m_label,_xlfn.MAXIFS(m_row,m_teacher,T$4,m_date,($G$2+10),m_active,1,m_start,"&lt;"&amp;960,m_end,"&gt;"&amp;900))))))</f>
        <v/>
      </c>
      <c r="U44" s="88" t="str">
        <f aca="false">IF(OR(U$4="",MONTH(($G$2+10))&lt;&gt;MONTH($C$2)),"",IF(COUNTIFS(m_teacher,U$4,m_date,($G$2+10),m_active,1,m_start,"&lt;"&amp;960,m_end,"&gt;"&amp;900)=0,"",IF(COUNTIFS(m_teacher,U$4,m_date,($G$2+10),m_active,1,m_start,"&lt;"&amp;960,m_end,"&gt;"&amp;900)&gt;1,"충돌",HYPERLINK("#'관리자_MASTER'!D"&amp;_xlfn.MAXIFS(m_row,m_teacher,U$4,m_date,($G$2+10),m_active,1,m_start,"&lt;"&amp;960,m_end,"&gt;"&amp;900),INDEX(m_label,_xlfn.MAXIFS(m_row,m_teacher,U$4,m_date,($G$2+10),m_active,1,m_start,"&lt;"&amp;960,m_end,"&gt;"&amp;900))))))</f>
        <v/>
      </c>
      <c r="V44" s="88" t="str">
        <f aca="false">IF(OR(V$4="",MONTH(($G$2+10))&lt;&gt;MONTH($C$2)),"",IF(COUNTIFS(m_teacher,V$4,m_date,($G$2+10),m_active,1,m_start,"&lt;"&amp;960,m_end,"&gt;"&amp;900)=0,"",IF(COUNTIFS(m_teacher,V$4,m_date,($G$2+10),m_active,1,m_start,"&lt;"&amp;960,m_end,"&gt;"&amp;900)&gt;1,"충돌",HYPERLINK("#'관리자_MASTER'!D"&amp;_xlfn.MAXIFS(m_row,m_teacher,V$4,m_date,($G$2+10),m_active,1,m_start,"&lt;"&amp;960,m_end,"&gt;"&amp;900),INDEX(m_label,_xlfn.MAXIFS(m_row,m_teacher,V$4,m_date,($G$2+10),m_active,1,m_start,"&lt;"&amp;960,m_end,"&gt;"&amp;900))))))</f>
        <v/>
      </c>
      <c r="W44" s="88" t="str">
        <f aca="false">IF(OR(W$4="",MONTH(($G$2+10))&lt;&gt;MONTH($C$2)),"",IF(COUNTIFS(m_teacher,W$4,m_date,($G$2+10),m_active,1,m_start,"&lt;"&amp;960,m_end,"&gt;"&amp;900)=0,"",IF(COUNTIFS(m_teacher,W$4,m_date,($G$2+10),m_active,1,m_start,"&lt;"&amp;960,m_end,"&gt;"&amp;900)&gt;1,"충돌",HYPERLINK("#'관리자_MASTER'!D"&amp;_xlfn.MAXIFS(m_row,m_teacher,W$4,m_date,($G$2+10),m_active,1,m_start,"&lt;"&amp;960,m_end,"&gt;"&amp;900),INDEX(m_label,_xlfn.MAXIFS(m_row,m_teacher,W$4,m_date,($G$2+10),m_active,1,m_start,"&lt;"&amp;960,m_end,"&gt;"&amp;900))))))</f>
        <v/>
      </c>
      <c r="X44" s="88" t="str">
        <f aca="false">IF(OR(X$4="",MONTH(($G$2+10))&lt;&gt;MONTH($C$2)),"",IF(COUNTIFS(m_teacher,X$4,m_date,($G$2+10),m_active,1,m_start,"&lt;"&amp;960,m_end,"&gt;"&amp;900)=0,"",IF(COUNTIFS(m_teacher,X$4,m_date,($G$2+10),m_active,1,m_start,"&lt;"&amp;960,m_end,"&gt;"&amp;900)&gt;1,"충돌",HYPERLINK("#'관리자_MASTER'!D"&amp;_xlfn.MAXIFS(m_row,m_teacher,X$4,m_date,($G$2+10),m_active,1,m_start,"&lt;"&amp;960,m_end,"&gt;"&amp;900),INDEX(m_label,_xlfn.MAXIFS(m_row,m_teacher,X$4,m_date,($G$2+10),m_active,1,m_start,"&lt;"&amp;960,m_end,"&gt;"&amp;900))))))</f>
        <v/>
      </c>
      <c r="Y44" s="88" t="str">
        <f aca="false">IF(OR(Y$4="",MONTH(($G$2+10))&lt;&gt;MONTH($C$2)),"",IF(COUNTIFS(m_teacher,Y$4,m_date,($G$2+10),m_active,1,m_start,"&lt;"&amp;960,m_end,"&gt;"&amp;900)=0,"",IF(COUNTIFS(m_teacher,Y$4,m_date,($G$2+10),m_active,1,m_start,"&lt;"&amp;960,m_end,"&gt;"&amp;900)&gt;1,"충돌",HYPERLINK("#'관리자_MASTER'!D"&amp;_xlfn.MAXIFS(m_row,m_teacher,Y$4,m_date,($G$2+10),m_active,1,m_start,"&lt;"&amp;960,m_end,"&gt;"&amp;900),INDEX(m_label,_xlfn.MAXIFS(m_row,m_teacher,Y$4,m_date,($G$2+10),m_active,1,m_start,"&lt;"&amp;960,m_end,"&gt;"&amp;900))))))</f>
        <v/>
      </c>
      <c r="Z44" s="88" t="str">
        <f aca="false">IF(OR(Z$4="",MONTH(($G$2+10))&lt;&gt;MONTH($C$2)),"",IF(COUNTIFS(m_teacher,Z$4,m_date,($G$2+10),m_active,1,m_start,"&lt;"&amp;960,m_end,"&gt;"&amp;900)=0,"",IF(COUNTIFS(m_teacher,Z$4,m_date,($G$2+10),m_active,1,m_start,"&lt;"&amp;960,m_end,"&gt;"&amp;900)&gt;1,"충돌",HYPERLINK("#'관리자_MASTER'!D"&amp;_xlfn.MAXIFS(m_row,m_teacher,Z$4,m_date,($G$2+10),m_active,1,m_start,"&lt;"&amp;960,m_end,"&gt;"&amp;900),INDEX(m_label,_xlfn.MAXIFS(m_row,m_teacher,Z$4,m_date,($G$2+10),m_active,1,m_start,"&lt;"&amp;960,m_end,"&gt;"&amp;900))))))</f>
        <v/>
      </c>
      <c r="AA44" s="88" t="str">
        <f aca="false">IF(OR(AA$4="",MONTH(($G$2+10))&lt;&gt;MONTH($C$2)),"",IF(COUNTIFS(m_teacher,AA$4,m_date,($G$2+10),m_active,1,m_start,"&lt;"&amp;960,m_end,"&gt;"&amp;900)=0,"",IF(COUNTIFS(m_teacher,AA$4,m_date,($G$2+10),m_active,1,m_start,"&lt;"&amp;960,m_end,"&gt;"&amp;900)&gt;1,"충돌",HYPERLINK("#'관리자_MASTER'!D"&amp;_xlfn.MAXIFS(m_row,m_teacher,AA$4,m_date,($G$2+10),m_active,1,m_start,"&lt;"&amp;960,m_end,"&gt;"&amp;900),INDEX(m_label,_xlfn.MAXIFS(m_row,m_teacher,AA$4,m_date,($G$2+10),m_active,1,m_start,"&lt;"&amp;960,m_end,"&gt;"&amp;900))))))</f>
        <v/>
      </c>
      <c r="AB44" s="88" t="str">
        <f aca="false">IF(OR(AB$4="",MONTH(($G$2+10))&lt;&gt;MONTH($C$2)),"",IF(COUNTIFS(m_teacher,AB$4,m_date,($G$2+10),m_active,1,m_start,"&lt;"&amp;960,m_end,"&gt;"&amp;900)=0,"",IF(COUNTIFS(m_teacher,AB$4,m_date,($G$2+10),m_active,1,m_start,"&lt;"&amp;960,m_end,"&gt;"&amp;900)&gt;1,"충돌",HYPERLINK("#'관리자_MASTER'!D"&amp;_xlfn.MAXIFS(m_row,m_teacher,AB$4,m_date,($G$2+10),m_active,1,m_start,"&lt;"&amp;960,m_end,"&gt;"&amp;900),INDEX(m_label,_xlfn.MAXIFS(m_row,m_teacher,AB$4,m_date,($G$2+10),m_active,1,m_start,"&lt;"&amp;960,m_end,"&gt;"&amp;900))))))</f>
        <v/>
      </c>
      <c r="AC44" s="78"/>
      <c r="AD44" s="79" t="s">
        <v>97</v>
      </c>
      <c r="AE44" s="88" t="str">
        <f aca="false">IF(OR(AE$4="",MONTH(($G$2+17))&lt;&gt;MONTH($C$2)),"",IF(COUNTIFS(m_teacher,AE$4,m_date,($G$2+17),m_active,1,m_start,"&lt;"&amp;960,m_end,"&gt;"&amp;900)=0,"",IF(COUNTIFS(m_teacher,AE$4,m_date,($G$2+17),m_active,1,m_start,"&lt;"&amp;960,m_end,"&gt;"&amp;900)&gt;1,"충돌",HYPERLINK("#'관리자_MASTER'!D"&amp;_xlfn.MAXIFS(m_row,m_teacher,AE$4,m_date,($G$2+17),m_active,1,m_start,"&lt;"&amp;960,m_end,"&gt;"&amp;900),INDEX(m_label,_xlfn.MAXIFS(m_row,m_teacher,AE$4,m_date,($G$2+17),m_active,1,m_start,"&lt;"&amp;960,m_end,"&gt;"&amp;900))))))</f>
        <v/>
      </c>
      <c r="AF44" s="88" t="str">
        <f aca="false">IF(OR(AF$4="",MONTH(($G$2+17))&lt;&gt;MONTH($C$2)),"",IF(COUNTIFS(m_teacher,AF$4,m_date,($G$2+17),m_active,1,m_start,"&lt;"&amp;960,m_end,"&gt;"&amp;900)=0,"",IF(COUNTIFS(m_teacher,AF$4,m_date,($G$2+17),m_active,1,m_start,"&lt;"&amp;960,m_end,"&gt;"&amp;900)&gt;1,"충돌",HYPERLINK("#'관리자_MASTER'!D"&amp;_xlfn.MAXIFS(m_row,m_teacher,AF$4,m_date,($G$2+17),m_active,1,m_start,"&lt;"&amp;960,m_end,"&gt;"&amp;900),INDEX(m_label,_xlfn.MAXIFS(m_row,m_teacher,AF$4,m_date,($G$2+17),m_active,1,m_start,"&lt;"&amp;960,m_end,"&gt;"&amp;900))))))</f>
        <v/>
      </c>
      <c r="AG44" s="88" t="str">
        <f aca="false">IF(OR(AG$4="",MONTH(($G$2+17))&lt;&gt;MONTH($C$2)),"",IF(COUNTIFS(m_teacher,AG$4,m_date,($G$2+17),m_active,1,m_start,"&lt;"&amp;960,m_end,"&gt;"&amp;900)=0,"",IF(COUNTIFS(m_teacher,AG$4,m_date,($G$2+17),m_active,1,m_start,"&lt;"&amp;960,m_end,"&gt;"&amp;900)&gt;1,"충돌",HYPERLINK("#'관리자_MASTER'!D"&amp;_xlfn.MAXIFS(m_row,m_teacher,AG$4,m_date,($G$2+17),m_active,1,m_start,"&lt;"&amp;960,m_end,"&gt;"&amp;900),INDEX(m_label,_xlfn.MAXIFS(m_row,m_teacher,AG$4,m_date,($G$2+17),m_active,1,m_start,"&lt;"&amp;960,m_end,"&gt;"&amp;900))))))</f>
        <v/>
      </c>
      <c r="AH44" s="88" t="str">
        <f aca="false">IF(OR(AH$4="",MONTH(($G$2+17))&lt;&gt;MONTH($C$2)),"",IF(COUNTIFS(m_teacher,AH$4,m_date,($G$2+17),m_active,1,m_start,"&lt;"&amp;960,m_end,"&gt;"&amp;900)=0,"",IF(COUNTIFS(m_teacher,AH$4,m_date,($G$2+17),m_active,1,m_start,"&lt;"&amp;960,m_end,"&gt;"&amp;900)&gt;1,"충돌",HYPERLINK("#'관리자_MASTER'!D"&amp;_xlfn.MAXIFS(m_row,m_teacher,AH$4,m_date,($G$2+17),m_active,1,m_start,"&lt;"&amp;960,m_end,"&gt;"&amp;900),INDEX(m_label,_xlfn.MAXIFS(m_row,m_teacher,AH$4,m_date,($G$2+17),m_active,1,m_start,"&lt;"&amp;960,m_end,"&gt;"&amp;900))))))</f>
        <v/>
      </c>
      <c r="AI44" s="88" t="str">
        <f aca="false">IF(OR(AI$4="",MONTH(($G$2+17))&lt;&gt;MONTH($C$2)),"",IF(COUNTIFS(m_teacher,AI$4,m_date,($G$2+17),m_active,1,m_start,"&lt;"&amp;960,m_end,"&gt;"&amp;900)=0,"",IF(COUNTIFS(m_teacher,AI$4,m_date,($G$2+17),m_active,1,m_start,"&lt;"&amp;960,m_end,"&gt;"&amp;900)&gt;1,"충돌",HYPERLINK("#'관리자_MASTER'!D"&amp;_xlfn.MAXIFS(m_row,m_teacher,AI$4,m_date,($G$2+17),m_active,1,m_start,"&lt;"&amp;960,m_end,"&gt;"&amp;900),INDEX(m_label,_xlfn.MAXIFS(m_row,m_teacher,AI$4,m_date,($G$2+17),m_active,1,m_start,"&lt;"&amp;960,m_end,"&gt;"&amp;900))))))</f>
        <v/>
      </c>
      <c r="AJ44" s="88" t="str">
        <f aca="false">IF(OR(AJ$4="",MONTH(($G$2+17))&lt;&gt;MONTH($C$2)),"",IF(COUNTIFS(m_teacher,AJ$4,m_date,($G$2+17),m_active,1,m_start,"&lt;"&amp;960,m_end,"&gt;"&amp;900)=0,"",IF(COUNTIFS(m_teacher,AJ$4,m_date,($G$2+17),m_active,1,m_start,"&lt;"&amp;960,m_end,"&gt;"&amp;900)&gt;1,"충돌",HYPERLINK("#'관리자_MASTER'!D"&amp;_xlfn.MAXIFS(m_row,m_teacher,AJ$4,m_date,($G$2+17),m_active,1,m_start,"&lt;"&amp;960,m_end,"&gt;"&amp;900),INDEX(m_label,_xlfn.MAXIFS(m_row,m_teacher,AJ$4,m_date,($G$2+17),m_active,1,m_start,"&lt;"&amp;960,m_end,"&gt;"&amp;900))))))</f>
        <v/>
      </c>
      <c r="AK44" s="88" t="str">
        <f aca="false">IF(OR(AK$4="",MONTH(($G$2+17))&lt;&gt;MONTH($C$2)),"",IF(COUNTIFS(m_teacher,AK$4,m_date,($G$2+17),m_active,1,m_start,"&lt;"&amp;960,m_end,"&gt;"&amp;900)=0,"",IF(COUNTIFS(m_teacher,AK$4,m_date,($G$2+17),m_active,1,m_start,"&lt;"&amp;960,m_end,"&gt;"&amp;900)&gt;1,"충돌",HYPERLINK("#'관리자_MASTER'!D"&amp;_xlfn.MAXIFS(m_row,m_teacher,AK$4,m_date,($G$2+17),m_active,1,m_start,"&lt;"&amp;960,m_end,"&gt;"&amp;900),INDEX(m_label,_xlfn.MAXIFS(m_row,m_teacher,AK$4,m_date,($G$2+17),m_active,1,m_start,"&lt;"&amp;960,m_end,"&gt;"&amp;900))))))</f>
        <v/>
      </c>
      <c r="AL44" s="88" t="str">
        <f aca="false">IF(OR(AL$4="",MONTH(($G$2+17))&lt;&gt;MONTH($C$2)),"",IF(COUNTIFS(m_teacher,AL$4,m_date,($G$2+17),m_active,1,m_start,"&lt;"&amp;960,m_end,"&gt;"&amp;900)=0,"",IF(COUNTIFS(m_teacher,AL$4,m_date,($G$2+17),m_active,1,m_start,"&lt;"&amp;960,m_end,"&gt;"&amp;900)&gt;1,"충돌",HYPERLINK("#'관리자_MASTER'!D"&amp;_xlfn.MAXIFS(m_row,m_teacher,AL$4,m_date,($G$2+17),m_active,1,m_start,"&lt;"&amp;960,m_end,"&gt;"&amp;900),INDEX(m_label,_xlfn.MAXIFS(m_row,m_teacher,AL$4,m_date,($G$2+17),m_active,1,m_start,"&lt;"&amp;960,m_end,"&gt;"&amp;900))))))</f>
        <v/>
      </c>
      <c r="AM44" s="88" t="str">
        <f aca="false">IF(OR(AM$4="",MONTH(($G$2+17))&lt;&gt;MONTH($C$2)),"",IF(COUNTIFS(m_teacher,AM$4,m_date,($G$2+17),m_active,1,m_start,"&lt;"&amp;960,m_end,"&gt;"&amp;900)=0,"",IF(COUNTIFS(m_teacher,AM$4,m_date,($G$2+17),m_active,1,m_start,"&lt;"&amp;960,m_end,"&gt;"&amp;900)&gt;1,"충돌",HYPERLINK("#'관리자_MASTER'!D"&amp;_xlfn.MAXIFS(m_row,m_teacher,AM$4,m_date,($G$2+17),m_active,1,m_start,"&lt;"&amp;960,m_end,"&gt;"&amp;900),INDEX(m_label,_xlfn.MAXIFS(m_row,m_teacher,AM$4,m_date,($G$2+17),m_active,1,m_start,"&lt;"&amp;960,m_end,"&gt;"&amp;900))))))</f>
        <v/>
      </c>
      <c r="AN44" s="88" t="str">
        <f aca="false">IF(OR(AN$4="",MONTH(($G$2+17))&lt;&gt;MONTH($C$2)),"",IF(COUNTIFS(m_teacher,AN$4,m_date,($G$2+17),m_active,1,m_start,"&lt;"&amp;960,m_end,"&gt;"&amp;900)=0,"",IF(COUNTIFS(m_teacher,AN$4,m_date,($G$2+17),m_active,1,m_start,"&lt;"&amp;960,m_end,"&gt;"&amp;900)&gt;1,"충돌",HYPERLINK("#'관리자_MASTER'!D"&amp;_xlfn.MAXIFS(m_row,m_teacher,AN$4,m_date,($G$2+17),m_active,1,m_start,"&lt;"&amp;960,m_end,"&gt;"&amp;900),INDEX(m_label,_xlfn.MAXIFS(m_row,m_teacher,AN$4,m_date,($G$2+17),m_active,1,m_start,"&lt;"&amp;960,m_end,"&gt;"&amp;900))))))</f>
        <v/>
      </c>
      <c r="AO44" s="88" t="str">
        <f aca="false">IF(OR(AO$4="",MONTH(($G$2+17))&lt;&gt;MONTH($C$2)),"",IF(COUNTIFS(m_teacher,AO$4,m_date,($G$2+17),m_active,1,m_start,"&lt;"&amp;960,m_end,"&gt;"&amp;900)=0,"",IF(COUNTIFS(m_teacher,AO$4,m_date,($G$2+17),m_active,1,m_start,"&lt;"&amp;960,m_end,"&gt;"&amp;900)&gt;1,"충돌",HYPERLINK("#'관리자_MASTER'!D"&amp;_xlfn.MAXIFS(m_row,m_teacher,AO$4,m_date,($G$2+17),m_active,1,m_start,"&lt;"&amp;960,m_end,"&gt;"&amp;900),INDEX(m_label,_xlfn.MAXIFS(m_row,m_teacher,AO$4,m_date,($G$2+17),m_active,1,m_start,"&lt;"&amp;960,m_end,"&gt;"&amp;900))))))</f>
        <v/>
      </c>
      <c r="AP44" s="88" t="str">
        <f aca="false">IF(OR(AP$4="",MONTH(($G$2+17))&lt;&gt;MONTH($C$2)),"",IF(COUNTIFS(m_teacher,AP$4,m_date,($G$2+17),m_active,1,m_start,"&lt;"&amp;960,m_end,"&gt;"&amp;900)=0,"",IF(COUNTIFS(m_teacher,AP$4,m_date,($G$2+17),m_active,1,m_start,"&lt;"&amp;960,m_end,"&gt;"&amp;900)&gt;1,"충돌",HYPERLINK("#'관리자_MASTER'!D"&amp;_xlfn.MAXIFS(m_row,m_teacher,AP$4,m_date,($G$2+17),m_active,1,m_start,"&lt;"&amp;960,m_end,"&gt;"&amp;900),INDEX(m_label,_xlfn.MAXIFS(m_row,m_teacher,AP$4,m_date,($G$2+17),m_active,1,m_start,"&lt;"&amp;960,m_end,"&gt;"&amp;900))))))</f>
        <v/>
      </c>
      <c r="AQ44" s="78"/>
      <c r="AR44" s="79" t="s">
        <v>97</v>
      </c>
      <c r="AS44" s="88" t="str">
        <f aca="false">IF(OR(AS$4="",MONTH(($G$2+24))&lt;&gt;MONTH($C$2)),"",IF(COUNTIFS(m_teacher,AS$4,m_date,($G$2+24),m_active,1,m_start,"&lt;"&amp;960,m_end,"&gt;"&amp;900)=0,"",IF(COUNTIFS(m_teacher,AS$4,m_date,($G$2+24),m_active,1,m_start,"&lt;"&amp;960,m_end,"&gt;"&amp;900)&gt;1,"충돌",HYPERLINK("#'관리자_MASTER'!D"&amp;_xlfn.MAXIFS(m_row,m_teacher,AS$4,m_date,($G$2+24),m_active,1,m_start,"&lt;"&amp;960,m_end,"&gt;"&amp;900),INDEX(m_label,_xlfn.MAXIFS(m_row,m_teacher,AS$4,m_date,($G$2+24),m_active,1,m_start,"&lt;"&amp;960,m_end,"&gt;"&amp;900))))))</f>
        <v/>
      </c>
      <c r="AT44" s="88" t="str">
        <f aca="false">IF(OR(AT$4="",MONTH(($G$2+24))&lt;&gt;MONTH($C$2)),"",IF(COUNTIFS(m_teacher,AT$4,m_date,($G$2+24),m_active,1,m_start,"&lt;"&amp;960,m_end,"&gt;"&amp;900)=0,"",IF(COUNTIFS(m_teacher,AT$4,m_date,($G$2+24),m_active,1,m_start,"&lt;"&amp;960,m_end,"&gt;"&amp;900)&gt;1,"충돌",HYPERLINK("#'관리자_MASTER'!D"&amp;_xlfn.MAXIFS(m_row,m_teacher,AT$4,m_date,($G$2+24),m_active,1,m_start,"&lt;"&amp;960,m_end,"&gt;"&amp;900),INDEX(m_label,_xlfn.MAXIFS(m_row,m_teacher,AT$4,m_date,($G$2+24),m_active,1,m_start,"&lt;"&amp;960,m_end,"&gt;"&amp;900))))))</f>
        <v/>
      </c>
      <c r="AU44" s="88" t="str">
        <f aca="false">IF(OR(AU$4="",MONTH(($G$2+24))&lt;&gt;MONTH($C$2)),"",IF(COUNTIFS(m_teacher,AU$4,m_date,($G$2+24),m_active,1,m_start,"&lt;"&amp;960,m_end,"&gt;"&amp;900)=0,"",IF(COUNTIFS(m_teacher,AU$4,m_date,($G$2+24),m_active,1,m_start,"&lt;"&amp;960,m_end,"&gt;"&amp;900)&gt;1,"충돌",HYPERLINK("#'관리자_MASTER'!D"&amp;_xlfn.MAXIFS(m_row,m_teacher,AU$4,m_date,($G$2+24),m_active,1,m_start,"&lt;"&amp;960,m_end,"&gt;"&amp;900),INDEX(m_label,_xlfn.MAXIFS(m_row,m_teacher,AU$4,m_date,($G$2+24),m_active,1,m_start,"&lt;"&amp;960,m_end,"&gt;"&amp;900))))))</f>
        <v/>
      </c>
      <c r="AV44" s="88" t="str">
        <f aca="false">IF(OR(AV$4="",MONTH(($G$2+24))&lt;&gt;MONTH($C$2)),"",IF(COUNTIFS(m_teacher,AV$4,m_date,($G$2+24),m_active,1,m_start,"&lt;"&amp;960,m_end,"&gt;"&amp;900)=0,"",IF(COUNTIFS(m_teacher,AV$4,m_date,($G$2+24),m_active,1,m_start,"&lt;"&amp;960,m_end,"&gt;"&amp;900)&gt;1,"충돌",HYPERLINK("#'관리자_MASTER'!D"&amp;_xlfn.MAXIFS(m_row,m_teacher,AV$4,m_date,($G$2+24),m_active,1,m_start,"&lt;"&amp;960,m_end,"&gt;"&amp;900),INDEX(m_label,_xlfn.MAXIFS(m_row,m_teacher,AV$4,m_date,($G$2+24),m_active,1,m_start,"&lt;"&amp;960,m_end,"&gt;"&amp;900))))))</f>
        <v/>
      </c>
      <c r="AW44" s="88" t="str">
        <f aca="false">IF(OR(AW$4="",MONTH(($G$2+24))&lt;&gt;MONTH($C$2)),"",IF(COUNTIFS(m_teacher,AW$4,m_date,($G$2+24),m_active,1,m_start,"&lt;"&amp;960,m_end,"&gt;"&amp;900)=0,"",IF(COUNTIFS(m_teacher,AW$4,m_date,($G$2+24),m_active,1,m_start,"&lt;"&amp;960,m_end,"&gt;"&amp;900)&gt;1,"충돌",HYPERLINK("#'관리자_MASTER'!D"&amp;_xlfn.MAXIFS(m_row,m_teacher,AW$4,m_date,($G$2+24),m_active,1,m_start,"&lt;"&amp;960,m_end,"&gt;"&amp;900),INDEX(m_label,_xlfn.MAXIFS(m_row,m_teacher,AW$4,m_date,($G$2+24),m_active,1,m_start,"&lt;"&amp;960,m_end,"&gt;"&amp;900))))))</f>
        <v/>
      </c>
      <c r="AX44" s="88" t="str">
        <f aca="false">IF(OR(AX$4="",MONTH(($G$2+24))&lt;&gt;MONTH($C$2)),"",IF(COUNTIFS(m_teacher,AX$4,m_date,($G$2+24),m_active,1,m_start,"&lt;"&amp;960,m_end,"&gt;"&amp;900)=0,"",IF(COUNTIFS(m_teacher,AX$4,m_date,($G$2+24),m_active,1,m_start,"&lt;"&amp;960,m_end,"&gt;"&amp;900)&gt;1,"충돌",HYPERLINK("#'관리자_MASTER'!D"&amp;_xlfn.MAXIFS(m_row,m_teacher,AX$4,m_date,($G$2+24),m_active,1,m_start,"&lt;"&amp;960,m_end,"&gt;"&amp;900),INDEX(m_label,_xlfn.MAXIFS(m_row,m_teacher,AX$4,m_date,($G$2+24),m_active,1,m_start,"&lt;"&amp;960,m_end,"&gt;"&amp;900))))))</f>
        <v/>
      </c>
      <c r="AY44" s="88" t="str">
        <f aca="false">IF(OR(AY$4="",MONTH(($G$2+24))&lt;&gt;MONTH($C$2)),"",IF(COUNTIFS(m_teacher,AY$4,m_date,($G$2+24),m_active,1,m_start,"&lt;"&amp;960,m_end,"&gt;"&amp;900)=0,"",IF(COUNTIFS(m_teacher,AY$4,m_date,($G$2+24),m_active,1,m_start,"&lt;"&amp;960,m_end,"&gt;"&amp;900)&gt;1,"충돌",HYPERLINK("#'관리자_MASTER'!D"&amp;_xlfn.MAXIFS(m_row,m_teacher,AY$4,m_date,($G$2+24),m_active,1,m_start,"&lt;"&amp;960,m_end,"&gt;"&amp;900),INDEX(m_label,_xlfn.MAXIFS(m_row,m_teacher,AY$4,m_date,($G$2+24),m_active,1,m_start,"&lt;"&amp;960,m_end,"&gt;"&amp;900))))))</f>
        <v/>
      </c>
      <c r="AZ44" s="88" t="str">
        <f aca="false">IF(OR(AZ$4="",MONTH(($G$2+24))&lt;&gt;MONTH($C$2)),"",IF(COUNTIFS(m_teacher,AZ$4,m_date,($G$2+24),m_active,1,m_start,"&lt;"&amp;960,m_end,"&gt;"&amp;900)=0,"",IF(COUNTIFS(m_teacher,AZ$4,m_date,($G$2+24),m_active,1,m_start,"&lt;"&amp;960,m_end,"&gt;"&amp;900)&gt;1,"충돌",HYPERLINK("#'관리자_MASTER'!D"&amp;_xlfn.MAXIFS(m_row,m_teacher,AZ$4,m_date,($G$2+24),m_active,1,m_start,"&lt;"&amp;960,m_end,"&gt;"&amp;900),INDEX(m_label,_xlfn.MAXIFS(m_row,m_teacher,AZ$4,m_date,($G$2+24),m_active,1,m_start,"&lt;"&amp;960,m_end,"&gt;"&amp;900))))))</f>
        <v/>
      </c>
      <c r="BA44" s="88" t="str">
        <f aca="false">IF(OR(BA$4="",MONTH(($G$2+24))&lt;&gt;MONTH($C$2)),"",IF(COUNTIFS(m_teacher,BA$4,m_date,($G$2+24),m_active,1,m_start,"&lt;"&amp;960,m_end,"&gt;"&amp;900)=0,"",IF(COUNTIFS(m_teacher,BA$4,m_date,($G$2+24),m_active,1,m_start,"&lt;"&amp;960,m_end,"&gt;"&amp;900)&gt;1,"충돌",HYPERLINK("#'관리자_MASTER'!D"&amp;_xlfn.MAXIFS(m_row,m_teacher,BA$4,m_date,($G$2+24),m_active,1,m_start,"&lt;"&amp;960,m_end,"&gt;"&amp;900),INDEX(m_label,_xlfn.MAXIFS(m_row,m_teacher,BA$4,m_date,($G$2+24),m_active,1,m_start,"&lt;"&amp;960,m_end,"&gt;"&amp;900))))))</f>
        <v/>
      </c>
      <c r="BB44" s="88" t="str">
        <f aca="false">IF(OR(BB$4="",MONTH(($G$2+24))&lt;&gt;MONTH($C$2)),"",IF(COUNTIFS(m_teacher,BB$4,m_date,($G$2+24),m_active,1,m_start,"&lt;"&amp;960,m_end,"&gt;"&amp;900)=0,"",IF(COUNTIFS(m_teacher,BB$4,m_date,($G$2+24),m_active,1,m_start,"&lt;"&amp;960,m_end,"&gt;"&amp;900)&gt;1,"충돌",HYPERLINK("#'관리자_MASTER'!D"&amp;_xlfn.MAXIFS(m_row,m_teacher,BB$4,m_date,($G$2+24),m_active,1,m_start,"&lt;"&amp;960,m_end,"&gt;"&amp;900),INDEX(m_label,_xlfn.MAXIFS(m_row,m_teacher,BB$4,m_date,($G$2+24),m_active,1,m_start,"&lt;"&amp;960,m_end,"&gt;"&amp;900))))))</f>
        <v/>
      </c>
      <c r="BC44" s="88" t="str">
        <f aca="false">IF(OR(BC$4="",MONTH(($G$2+24))&lt;&gt;MONTH($C$2)),"",IF(COUNTIFS(m_teacher,BC$4,m_date,($G$2+24),m_active,1,m_start,"&lt;"&amp;960,m_end,"&gt;"&amp;900)=0,"",IF(COUNTIFS(m_teacher,BC$4,m_date,($G$2+24),m_active,1,m_start,"&lt;"&amp;960,m_end,"&gt;"&amp;900)&gt;1,"충돌",HYPERLINK("#'관리자_MASTER'!D"&amp;_xlfn.MAXIFS(m_row,m_teacher,BC$4,m_date,($G$2+24),m_active,1,m_start,"&lt;"&amp;960,m_end,"&gt;"&amp;900),INDEX(m_label,_xlfn.MAXIFS(m_row,m_teacher,BC$4,m_date,($G$2+24),m_active,1,m_start,"&lt;"&amp;960,m_end,"&gt;"&amp;900))))))</f>
        <v/>
      </c>
      <c r="BD44" s="88" t="str">
        <f aca="false">IF(OR(BD$4="",MONTH(($G$2+24))&lt;&gt;MONTH($C$2)),"",IF(COUNTIFS(m_teacher,BD$4,m_date,($G$2+24),m_active,1,m_start,"&lt;"&amp;960,m_end,"&gt;"&amp;900)=0,"",IF(COUNTIFS(m_teacher,BD$4,m_date,($G$2+24),m_active,1,m_start,"&lt;"&amp;960,m_end,"&gt;"&amp;900)&gt;1,"충돌",HYPERLINK("#'관리자_MASTER'!D"&amp;_xlfn.MAXIFS(m_row,m_teacher,BD$4,m_date,($G$2+24),m_active,1,m_start,"&lt;"&amp;960,m_end,"&gt;"&amp;900),INDEX(m_label,_xlfn.MAXIFS(m_row,m_teacher,BD$4,m_date,($G$2+24),m_active,1,m_start,"&lt;"&amp;960,m_end,"&gt;"&amp;900))))))</f>
        <v/>
      </c>
    </row>
    <row r="45" customFormat="false" ht="19.5" hidden="false" customHeight="true" outlineLevel="0" collapsed="false">
      <c r="A45" s="78"/>
      <c r="B45" s="79" t="s">
        <v>98</v>
      </c>
      <c r="C45" s="88" t="str">
        <f aca="false">IF(OR(C$4="",MONTH(($G$2+3))&lt;&gt;MONTH($C$2)),"",IF(COUNTIFS(m_teacher,C$4,m_date,($G$2+3),m_active,1,m_start,"&lt;"&amp;1020,m_end,"&gt;"&amp;960)=0,"",IF(COUNTIFS(m_teacher,C$4,m_date,($G$2+3),m_active,1,m_start,"&lt;"&amp;1020,m_end,"&gt;"&amp;960)&gt;1,"충돌",HYPERLINK("#'관리자_MASTER'!D"&amp;_xlfn.MAXIFS(m_row,m_teacher,C$4,m_date,($G$2+3),m_active,1,m_start,"&lt;"&amp;1020,m_end,"&gt;"&amp;960),INDEX(m_label,_xlfn.MAXIFS(m_row,m_teacher,C$4,m_date,($G$2+3),m_active,1,m_start,"&lt;"&amp;1020,m_end,"&gt;"&amp;960))))))</f>
        <v/>
      </c>
      <c r="D45" s="88" t="str">
        <f aca="false">IF(OR(D$4="",MONTH(($G$2+3))&lt;&gt;MONTH($C$2)),"",IF(COUNTIFS(m_teacher,D$4,m_date,($G$2+3),m_active,1,m_start,"&lt;"&amp;1020,m_end,"&gt;"&amp;960)=0,"",IF(COUNTIFS(m_teacher,D$4,m_date,($G$2+3),m_active,1,m_start,"&lt;"&amp;1020,m_end,"&gt;"&amp;960)&gt;1,"충돌",HYPERLINK("#'관리자_MASTER'!D"&amp;_xlfn.MAXIFS(m_row,m_teacher,D$4,m_date,($G$2+3),m_active,1,m_start,"&lt;"&amp;1020,m_end,"&gt;"&amp;960),INDEX(m_label,_xlfn.MAXIFS(m_row,m_teacher,D$4,m_date,($G$2+3),m_active,1,m_start,"&lt;"&amp;1020,m_end,"&gt;"&amp;960))))))</f>
        <v/>
      </c>
      <c r="E45" s="88" t="str">
        <f aca="false">IF(OR(E$4="",MONTH(($G$2+3))&lt;&gt;MONTH($C$2)),"",IF(COUNTIFS(m_teacher,E$4,m_date,($G$2+3),m_active,1,m_start,"&lt;"&amp;1020,m_end,"&gt;"&amp;960)=0,"",IF(COUNTIFS(m_teacher,E$4,m_date,($G$2+3),m_active,1,m_start,"&lt;"&amp;1020,m_end,"&gt;"&amp;960)&gt;1,"충돌",HYPERLINK("#'관리자_MASTER'!D"&amp;_xlfn.MAXIFS(m_row,m_teacher,E$4,m_date,($G$2+3),m_active,1,m_start,"&lt;"&amp;1020,m_end,"&gt;"&amp;960),INDEX(m_label,_xlfn.MAXIFS(m_row,m_teacher,E$4,m_date,($G$2+3),m_active,1,m_start,"&lt;"&amp;1020,m_end,"&gt;"&amp;960))))))</f>
        <v/>
      </c>
      <c r="F45" s="88" t="str">
        <f aca="false">IF(OR(F$4="",MONTH(($G$2+3))&lt;&gt;MONTH($C$2)),"",IF(COUNTIFS(m_teacher,F$4,m_date,($G$2+3),m_active,1,m_start,"&lt;"&amp;1020,m_end,"&gt;"&amp;960)=0,"",IF(COUNTIFS(m_teacher,F$4,m_date,($G$2+3),m_active,1,m_start,"&lt;"&amp;1020,m_end,"&gt;"&amp;960)&gt;1,"충돌",HYPERLINK("#'관리자_MASTER'!D"&amp;_xlfn.MAXIFS(m_row,m_teacher,F$4,m_date,($G$2+3),m_active,1,m_start,"&lt;"&amp;1020,m_end,"&gt;"&amp;960),INDEX(m_label,_xlfn.MAXIFS(m_row,m_teacher,F$4,m_date,($G$2+3),m_active,1,m_start,"&lt;"&amp;1020,m_end,"&gt;"&amp;960))))))</f>
        <v/>
      </c>
      <c r="G45" s="88" t="str">
        <f aca="false">IF(OR(G$4="",MONTH(($G$2+3))&lt;&gt;MONTH($C$2)),"",IF(COUNTIFS(m_teacher,G$4,m_date,($G$2+3),m_active,1,m_start,"&lt;"&amp;1020,m_end,"&gt;"&amp;960)=0,"",IF(COUNTIFS(m_teacher,G$4,m_date,($G$2+3),m_active,1,m_start,"&lt;"&amp;1020,m_end,"&gt;"&amp;960)&gt;1,"충돌",HYPERLINK("#'관리자_MASTER'!D"&amp;_xlfn.MAXIFS(m_row,m_teacher,G$4,m_date,($G$2+3),m_active,1,m_start,"&lt;"&amp;1020,m_end,"&gt;"&amp;960),INDEX(m_label,_xlfn.MAXIFS(m_row,m_teacher,G$4,m_date,($G$2+3),m_active,1,m_start,"&lt;"&amp;1020,m_end,"&gt;"&amp;960))))))</f>
        <v/>
      </c>
      <c r="H45" s="88" t="str">
        <f aca="false">IF(OR(H$4="",MONTH(($G$2+3))&lt;&gt;MONTH($C$2)),"",IF(COUNTIFS(m_teacher,H$4,m_date,($G$2+3),m_active,1,m_start,"&lt;"&amp;1020,m_end,"&gt;"&amp;960)=0,"",IF(COUNTIFS(m_teacher,H$4,m_date,($G$2+3),m_active,1,m_start,"&lt;"&amp;1020,m_end,"&gt;"&amp;960)&gt;1,"충돌",HYPERLINK("#'관리자_MASTER'!D"&amp;_xlfn.MAXIFS(m_row,m_teacher,H$4,m_date,($G$2+3),m_active,1,m_start,"&lt;"&amp;1020,m_end,"&gt;"&amp;960),INDEX(m_label,_xlfn.MAXIFS(m_row,m_teacher,H$4,m_date,($G$2+3),m_active,1,m_start,"&lt;"&amp;1020,m_end,"&gt;"&amp;960))))))</f>
        <v/>
      </c>
      <c r="I45" s="88" t="str">
        <f aca="false">IF(OR(I$4="",MONTH(($G$2+3))&lt;&gt;MONTH($C$2)),"",IF(COUNTIFS(m_teacher,I$4,m_date,($G$2+3),m_active,1,m_start,"&lt;"&amp;1020,m_end,"&gt;"&amp;960)=0,"",IF(COUNTIFS(m_teacher,I$4,m_date,($G$2+3),m_active,1,m_start,"&lt;"&amp;1020,m_end,"&gt;"&amp;960)&gt;1,"충돌",HYPERLINK("#'관리자_MASTER'!D"&amp;_xlfn.MAXIFS(m_row,m_teacher,I$4,m_date,($G$2+3),m_active,1,m_start,"&lt;"&amp;1020,m_end,"&gt;"&amp;960),INDEX(m_label,_xlfn.MAXIFS(m_row,m_teacher,I$4,m_date,($G$2+3),m_active,1,m_start,"&lt;"&amp;1020,m_end,"&gt;"&amp;960))))))</f>
        <v/>
      </c>
      <c r="J45" s="88" t="str">
        <f aca="false">IF(OR(J$4="",MONTH(($G$2+3))&lt;&gt;MONTH($C$2)),"",IF(COUNTIFS(m_teacher,J$4,m_date,($G$2+3),m_active,1,m_start,"&lt;"&amp;1020,m_end,"&gt;"&amp;960)=0,"",IF(COUNTIFS(m_teacher,J$4,m_date,($G$2+3),m_active,1,m_start,"&lt;"&amp;1020,m_end,"&gt;"&amp;960)&gt;1,"충돌",HYPERLINK("#'관리자_MASTER'!D"&amp;_xlfn.MAXIFS(m_row,m_teacher,J$4,m_date,($G$2+3),m_active,1,m_start,"&lt;"&amp;1020,m_end,"&gt;"&amp;960),INDEX(m_label,_xlfn.MAXIFS(m_row,m_teacher,J$4,m_date,($G$2+3),m_active,1,m_start,"&lt;"&amp;1020,m_end,"&gt;"&amp;960))))))</f>
        <v/>
      </c>
      <c r="K45" s="88" t="str">
        <f aca="false">IF(OR(K$4="",MONTH(($G$2+3))&lt;&gt;MONTH($C$2)),"",IF(COUNTIFS(m_teacher,K$4,m_date,($G$2+3),m_active,1,m_start,"&lt;"&amp;1020,m_end,"&gt;"&amp;960)=0,"",IF(COUNTIFS(m_teacher,K$4,m_date,($G$2+3),m_active,1,m_start,"&lt;"&amp;1020,m_end,"&gt;"&amp;960)&gt;1,"충돌",HYPERLINK("#'관리자_MASTER'!D"&amp;_xlfn.MAXIFS(m_row,m_teacher,K$4,m_date,($G$2+3),m_active,1,m_start,"&lt;"&amp;1020,m_end,"&gt;"&amp;960),INDEX(m_label,_xlfn.MAXIFS(m_row,m_teacher,K$4,m_date,($G$2+3),m_active,1,m_start,"&lt;"&amp;1020,m_end,"&gt;"&amp;960))))))</f>
        <v/>
      </c>
      <c r="L45" s="88" t="str">
        <f aca="false">IF(OR(L$4="",MONTH(($G$2+3))&lt;&gt;MONTH($C$2)),"",IF(COUNTIFS(m_teacher,L$4,m_date,($G$2+3),m_active,1,m_start,"&lt;"&amp;1020,m_end,"&gt;"&amp;960)=0,"",IF(COUNTIFS(m_teacher,L$4,m_date,($G$2+3),m_active,1,m_start,"&lt;"&amp;1020,m_end,"&gt;"&amp;960)&gt;1,"충돌",HYPERLINK("#'관리자_MASTER'!D"&amp;_xlfn.MAXIFS(m_row,m_teacher,L$4,m_date,($G$2+3),m_active,1,m_start,"&lt;"&amp;1020,m_end,"&gt;"&amp;960),INDEX(m_label,_xlfn.MAXIFS(m_row,m_teacher,L$4,m_date,($G$2+3),m_active,1,m_start,"&lt;"&amp;1020,m_end,"&gt;"&amp;960))))))</f>
        <v/>
      </c>
      <c r="M45" s="88" t="str">
        <f aca="false">IF(OR(M$4="",MONTH(($G$2+3))&lt;&gt;MONTH($C$2)),"",IF(COUNTIFS(m_teacher,M$4,m_date,($G$2+3),m_active,1,m_start,"&lt;"&amp;1020,m_end,"&gt;"&amp;960)=0,"",IF(COUNTIFS(m_teacher,M$4,m_date,($G$2+3),m_active,1,m_start,"&lt;"&amp;1020,m_end,"&gt;"&amp;960)&gt;1,"충돌",HYPERLINK("#'관리자_MASTER'!D"&amp;_xlfn.MAXIFS(m_row,m_teacher,M$4,m_date,($G$2+3),m_active,1,m_start,"&lt;"&amp;1020,m_end,"&gt;"&amp;960),INDEX(m_label,_xlfn.MAXIFS(m_row,m_teacher,M$4,m_date,($G$2+3),m_active,1,m_start,"&lt;"&amp;1020,m_end,"&gt;"&amp;960))))))</f>
        <v/>
      </c>
      <c r="N45" s="88" t="str">
        <f aca="false">IF(OR(N$4="",MONTH(($G$2+3))&lt;&gt;MONTH($C$2)),"",IF(COUNTIFS(m_teacher,N$4,m_date,($G$2+3),m_active,1,m_start,"&lt;"&amp;1020,m_end,"&gt;"&amp;960)=0,"",IF(COUNTIFS(m_teacher,N$4,m_date,($G$2+3),m_active,1,m_start,"&lt;"&amp;1020,m_end,"&gt;"&amp;960)&gt;1,"충돌",HYPERLINK("#'관리자_MASTER'!D"&amp;_xlfn.MAXIFS(m_row,m_teacher,N$4,m_date,($G$2+3),m_active,1,m_start,"&lt;"&amp;1020,m_end,"&gt;"&amp;960),INDEX(m_label,_xlfn.MAXIFS(m_row,m_teacher,N$4,m_date,($G$2+3),m_active,1,m_start,"&lt;"&amp;1020,m_end,"&gt;"&amp;960))))))</f>
        <v/>
      </c>
      <c r="O45" s="78"/>
      <c r="P45" s="79" t="s">
        <v>98</v>
      </c>
      <c r="Q45" s="88" t="str">
        <f aca="false">IF(OR(Q$4="",MONTH(($G$2+10))&lt;&gt;MONTH($C$2)),"",IF(COUNTIFS(m_teacher,Q$4,m_date,($G$2+10),m_active,1,m_start,"&lt;"&amp;1020,m_end,"&gt;"&amp;960)=0,"",IF(COUNTIFS(m_teacher,Q$4,m_date,($G$2+10),m_active,1,m_start,"&lt;"&amp;1020,m_end,"&gt;"&amp;960)&gt;1,"충돌",HYPERLINK("#'관리자_MASTER'!D"&amp;_xlfn.MAXIFS(m_row,m_teacher,Q$4,m_date,($G$2+10),m_active,1,m_start,"&lt;"&amp;1020,m_end,"&gt;"&amp;960),INDEX(m_label,_xlfn.MAXIFS(m_row,m_teacher,Q$4,m_date,($G$2+10),m_active,1,m_start,"&lt;"&amp;1020,m_end,"&gt;"&amp;960))))))</f>
        <v/>
      </c>
      <c r="R45" s="88" t="str">
        <f aca="false">IF(OR(R$4="",MONTH(($G$2+10))&lt;&gt;MONTH($C$2)),"",IF(COUNTIFS(m_teacher,R$4,m_date,($G$2+10),m_active,1,m_start,"&lt;"&amp;1020,m_end,"&gt;"&amp;960)=0,"",IF(COUNTIFS(m_teacher,R$4,m_date,($G$2+10),m_active,1,m_start,"&lt;"&amp;1020,m_end,"&gt;"&amp;960)&gt;1,"충돌",HYPERLINK("#'관리자_MASTER'!D"&amp;_xlfn.MAXIFS(m_row,m_teacher,R$4,m_date,($G$2+10),m_active,1,m_start,"&lt;"&amp;1020,m_end,"&gt;"&amp;960),INDEX(m_label,_xlfn.MAXIFS(m_row,m_teacher,R$4,m_date,($G$2+10),m_active,1,m_start,"&lt;"&amp;1020,m_end,"&gt;"&amp;960))))))</f>
        <v/>
      </c>
      <c r="S45" s="88" t="str">
        <f aca="false">IF(OR(S$4="",MONTH(($G$2+10))&lt;&gt;MONTH($C$2)),"",IF(COUNTIFS(m_teacher,S$4,m_date,($G$2+10),m_active,1,m_start,"&lt;"&amp;1020,m_end,"&gt;"&amp;960)=0,"",IF(COUNTIFS(m_teacher,S$4,m_date,($G$2+10),m_active,1,m_start,"&lt;"&amp;1020,m_end,"&gt;"&amp;960)&gt;1,"충돌",HYPERLINK("#'관리자_MASTER'!D"&amp;_xlfn.MAXIFS(m_row,m_teacher,S$4,m_date,($G$2+10),m_active,1,m_start,"&lt;"&amp;1020,m_end,"&gt;"&amp;960),INDEX(m_label,_xlfn.MAXIFS(m_row,m_teacher,S$4,m_date,($G$2+10),m_active,1,m_start,"&lt;"&amp;1020,m_end,"&gt;"&amp;960))))))</f>
        <v/>
      </c>
      <c r="T45" s="88" t="str">
        <f aca="false">IF(OR(T$4="",MONTH(($G$2+10))&lt;&gt;MONTH($C$2)),"",IF(COUNTIFS(m_teacher,T$4,m_date,($G$2+10),m_active,1,m_start,"&lt;"&amp;1020,m_end,"&gt;"&amp;960)=0,"",IF(COUNTIFS(m_teacher,T$4,m_date,($G$2+10),m_active,1,m_start,"&lt;"&amp;1020,m_end,"&gt;"&amp;960)&gt;1,"충돌",HYPERLINK("#'관리자_MASTER'!D"&amp;_xlfn.MAXIFS(m_row,m_teacher,T$4,m_date,($G$2+10),m_active,1,m_start,"&lt;"&amp;1020,m_end,"&gt;"&amp;960),INDEX(m_label,_xlfn.MAXIFS(m_row,m_teacher,T$4,m_date,($G$2+10),m_active,1,m_start,"&lt;"&amp;1020,m_end,"&gt;"&amp;960))))))</f>
        <v/>
      </c>
      <c r="U45" s="88" t="str">
        <f aca="false">IF(OR(U$4="",MONTH(($G$2+10))&lt;&gt;MONTH($C$2)),"",IF(COUNTIFS(m_teacher,U$4,m_date,($G$2+10),m_active,1,m_start,"&lt;"&amp;1020,m_end,"&gt;"&amp;960)=0,"",IF(COUNTIFS(m_teacher,U$4,m_date,($G$2+10),m_active,1,m_start,"&lt;"&amp;1020,m_end,"&gt;"&amp;960)&gt;1,"충돌",HYPERLINK("#'관리자_MASTER'!D"&amp;_xlfn.MAXIFS(m_row,m_teacher,U$4,m_date,($G$2+10),m_active,1,m_start,"&lt;"&amp;1020,m_end,"&gt;"&amp;960),INDEX(m_label,_xlfn.MAXIFS(m_row,m_teacher,U$4,m_date,($G$2+10),m_active,1,m_start,"&lt;"&amp;1020,m_end,"&gt;"&amp;960))))))</f>
        <v/>
      </c>
      <c r="V45" s="88" t="str">
        <f aca="false">IF(OR(V$4="",MONTH(($G$2+10))&lt;&gt;MONTH($C$2)),"",IF(COUNTIFS(m_teacher,V$4,m_date,($G$2+10),m_active,1,m_start,"&lt;"&amp;1020,m_end,"&gt;"&amp;960)=0,"",IF(COUNTIFS(m_teacher,V$4,m_date,($G$2+10),m_active,1,m_start,"&lt;"&amp;1020,m_end,"&gt;"&amp;960)&gt;1,"충돌",HYPERLINK("#'관리자_MASTER'!D"&amp;_xlfn.MAXIFS(m_row,m_teacher,V$4,m_date,($G$2+10),m_active,1,m_start,"&lt;"&amp;1020,m_end,"&gt;"&amp;960),INDEX(m_label,_xlfn.MAXIFS(m_row,m_teacher,V$4,m_date,($G$2+10),m_active,1,m_start,"&lt;"&amp;1020,m_end,"&gt;"&amp;960))))))</f>
        <v/>
      </c>
      <c r="W45" s="88" t="str">
        <f aca="false">IF(OR(W$4="",MONTH(($G$2+10))&lt;&gt;MONTH($C$2)),"",IF(COUNTIFS(m_teacher,W$4,m_date,($G$2+10),m_active,1,m_start,"&lt;"&amp;1020,m_end,"&gt;"&amp;960)=0,"",IF(COUNTIFS(m_teacher,W$4,m_date,($G$2+10),m_active,1,m_start,"&lt;"&amp;1020,m_end,"&gt;"&amp;960)&gt;1,"충돌",HYPERLINK("#'관리자_MASTER'!D"&amp;_xlfn.MAXIFS(m_row,m_teacher,W$4,m_date,($G$2+10),m_active,1,m_start,"&lt;"&amp;1020,m_end,"&gt;"&amp;960),INDEX(m_label,_xlfn.MAXIFS(m_row,m_teacher,W$4,m_date,($G$2+10),m_active,1,m_start,"&lt;"&amp;1020,m_end,"&gt;"&amp;960))))))</f>
        <v/>
      </c>
      <c r="X45" s="88" t="str">
        <f aca="false">IF(OR(X$4="",MONTH(($G$2+10))&lt;&gt;MONTH($C$2)),"",IF(COUNTIFS(m_teacher,X$4,m_date,($G$2+10),m_active,1,m_start,"&lt;"&amp;1020,m_end,"&gt;"&amp;960)=0,"",IF(COUNTIFS(m_teacher,X$4,m_date,($G$2+10),m_active,1,m_start,"&lt;"&amp;1020,m_end,"&gt;"&amp;960)&gt;1,"충돌",HYPERLINK("#'관리자_MASTER'!D"&amp;_xlfn.MAXIFS(m_row,m_teacher,X$4,m_date,($G$2+10),m_active,1,m_start,"&lt;"&amp;1020,m_end,"&gt;"&amp;960),INDEX(m_label,_xlfn.MAXIFS(m_row,m_teacher,X$4,m_date,($G$2+10),m_active,1,m_start,"&lt;"&amp;1020,m_end,"&gt;"&amp;960))))))</f>
        <v/>
      </c>
      <c r="Y45" s="88" t="str">
        <f aca="false">IF(OR(Y$4="",MONTH(($G$2+10))&lt;&gt;MONTH($C$2)),"",IF(COUNTIFS(m_teacher,Y$4,m_date,($G$2+10),m_active,1,m_start,"&lt;"&amp;1020,m_end,"&gt;"&amp;960)=0,"",IF(COUNTIFS(m_teacher,Y$4,m_date,($G$2+10),m_active,1,m_start,"&lt;"&amp;1020,m_end,"&gt;"&amp;960)&gt;1,"충돌",HYPERLINK("#'관리자_MASTER'!D"&amp;_xlfn.MAXIFS(m_row,m_teacher,Y$4,m_date,($G$2+10),m_active,1,m_start,"&lt;"&amp;1020,m_end,"&gt;"&amp;960),INDEX(m_label,_xlfn.MAXIFS(m_row,m_teacher,Y$4,m_date,($G$2+10),m_active,1,m_start,"&lt;"&amp;1020,m_end,"&gt;"&amp;960))))))</f>
        <v/>
      </c>
      <c r="Z45" s="88" t="str">
        <f aca="false">IF(OR(Z$4="",MONTH(($G$2+10))&lt;&gt;MONTH($C$2)),"",IF(COUNTIFS(m_teacher,Z$4,m_date,($G$2+10),m_active,1,m_start,"&lt;"&amp;1020,m_end,"&gt;"&amp;960)=0,"",IF(COUNTIFS(m_teacher,Z$4,m_date,($G$2+10),m_active,1,m_start,"&lt;"&amp;1020,m_end,"&gt;"&amp;960)&gt;1,"충돌",HYPERLINK("#'관리자_MASTER'!D"&amp;_xlfn.MAXIFS(m_row,m_teacher,Z$4,m_date,($G$2+10),m_active,1,m_start,"&lt;"&amp;1020,m_end,"&gt;"&amp;960),INDEX(m_label,_xlfn.MAXIFS(m_row,m_teacher,Z$4,m_date,($G$2+10),m_active,1,m_start,"&lt;"&amp;1020,m_end,"&gt;"&amp;960))))))</f>
        <v/>
      </c>
      <c r="AA45" s="88" t="str">
        <f aca="false">IF(OR(AA$4="",MONTH(($G$2+10))&lt;&gt;MONTH($C$2)),"",IF(COUNTIFS(m_teacher,AA$4,m_date,($G$2+10),m_active,1,m_start,"&lt;"&amp;1020,m_end,"&gt;"&amp;960)=0,"",IF(COUNTIFS(m_teacher,AA$4,m_date,($G$2+10),m_active,1,m_start,"&lt;"&amp;1020,m_end,"&gt;"&amp;960)&gt;1,"충돌",HYPERLINK("#'관리자_MASTER'!D"&amp;_xlfn.MAXIFS(m_row,m_teacher,AA$4,m_date,($G$2+10),m_active,1,m_start,"&lt;"&amp;1020,m_end,"&gt;"&amp;960),INDEX(m_label,_xlfn.MAXIFS(m_row,m_teacher,AA$4,m_date,($G$2+10),m_active,1,m_start,"&lt;"&amp;1020,m_end,"&gt;"&amp;960))))))</f>
        <v/>
      </c>
      <c r="AB45" s="88" t="str">
        <f aca="false">IF(OR(AB$4="",MONTH(($G$2+10))&lt;&gt;MONTH($C$2)),"",IF(COUNTIFS(m_teacher,AB$4,m_date,($G$2+10),m_active,1,m_start,"&lt;"&amp;1020,m_end,"&gt;"&amp;960)=0,"",IF(COUNTIFS(m_teacher,AB$4,m_date,($G$2+10),m_active,1,m_start,"&lt;"&amp;1020,m_end,"&gt;"&amp;960)&gt;1,"충돌",HYPERLINK("#'관리자_MASTER'!D"&amp;_xlfn.MAXIFS(m_row,m_teacher,AB$4,m_date,($G$2+10),m_active,1,m_start,"&lt;"&amp;1020,m_end,"&gt;"&amp;960),INDEX(m_label,_xlfn.MAXIFS(m_row,m_teacher,AB$4,m_date,($G$2+10),m_active,1,m_start,"&lt;"&amp;1020,m_end,"&gt;"&amp;960))))))</f>
        <v/>
      </c>
      <c r="AC45" s="78"/>
      <c r="AD45" s="79" t="s">
        <v>98</v>
      </c>
      <c r="AE45" s="88" t="str">
        <f aca="false">IF(OR(AE$4="",MONTH(($G$2+17))&lt;&gt;MONTH($C$2)),"",IF(COUNTIFS(m_teacher,AE$4,m_date,($G$2+17),m_active,1,m_start,"&lt;"&amp;1020,m_end,"&gt;"&amp;960)=0,"",IF(COUNTIFS(m_teacher,AE$4,m_date,($G$2+17),m_active,1,m_start,"&lt;"&amp;1020,m_end,"&gt;"&amp;960)&gt;1,"충돌",HYPERLINK("#'관리자_MASTER'!D"&amp;_xlfn.MAXIFS(m_row,m_teacher,AE$4,m_date,($G$2+17),m_active,1,m_start,"&lt;"&amp;1020,m_end,"&gt;"&amp;960),INDEX(m_label,_xlfn.MAXIFS(m_row,m_teacher,AE$4,m_date,($G$2+17),m_active,1,m_start,"&lt;"&amp;1020,m_end,"&gt;"&amp;960))))))</f>
        <v/>
      </c>
      <c r="AF45" s="88" t="str">
        <f aca="false">IF(OR(AF$4="",MONTH(($G$2+17))&lt;&gt;MONTH($C$2)),"",IF(COUNTIFS(m_teacher,AF$4,m_date,($G$2+17),m_active,1,m_start,"&lt;"&amp;1020,m_end,"&gt;"&amp;960)=0,"",IF(COUNTIFS(m_teacher,AF$4,m_date,($G$2+17),m_active,1,m_start,"&lt;"&amp;1020,m_end,"&gt;"&amp;960)&gt;1,"충돌",HYPERLINK("#'관리자_MASTER'!D"&amp;_xlfn.MAXIFS(m_row,m_teacher,AF$4,m_date,($G$2+17),m_active,1,m_start,"&lt;"&amp;1020,m_end,"&gt;"&amp;960),INDEX(m_label,_xlfn.MAXIFS(m_row,m_teacher,AF$4,m_date,($G$2+17),m_active,1,m_start,"&lt;"&amp;1020,m_end,"&gt;"&amp;960))))))</f>
        <v/>
      </c>
      <c r="AG45" s="88" t="str">
        <f aca="false">IF(OR(AG$4="",MONTH(($G$2+17))&lt;&gt;MONTH($C$2)),"",IF(COUNTIFS(m_teacher,AG$4,m_date,($G$2+17),m_active,1,m_start,"&lt;"&amp;1020,m_end,"&gt;"&amp;960)=0,"",IF(COUNTIFS(m_teacher,AG$4,m_date,($G$2+17),m_active,1,m_start,"&lt;"&amp;1020,m_end,"&gt;"&amp;960)&gt;1,"충돌",HYPERLINK("#'관리자_MASTER'!D"&amp;_xlfn.MAXIFS(m_row,m_teacher,AG$4,m_date,($G$2+17),m_active,1,m_start,"&lt;"&amp;1020,m_end,"&gt;"&amp;960),INDEX(m_label,_xlfn.MAXIFS(m_row,m_teacher,AG$4,m_date,($G$2+17),m_active,1,m_start,"&lt;"&amp;1020,m_end,"&gt;"&amp;960))))))</f>
        <v/>
      </c>
      <c r="AH45" s="88" t="str">
        <f aca="false">IF(OR(AH$4="",MONTH(($G$2+17))&lt;&gt;MONTH($C$2)),"",IF(COUNTIFS(m_teacher,AH$4,m_date,($G$2+17),m_active,1,m_start,"&lt;"&amp;1020,m_end,"&gt;"&amp;960)=0,"",IF(COUNTIFS(m_teacher,AH$4,m_date,($G$2+17),m_active,1,m_start,"&lt;"&amp;1020,m_end,"&gt;"&amp;960)&gt;1,"충돌",HYPERLINK("#'관리자_MASTER'!D"&amp;_xlfn.MAXIFS(m_row,m_teacher,AH$4,m_date,($G$2+17),m_active,1,m_start,"&lt;"&amp;1020,m_end,"&gt;"&amp;960),INDEX(m_label,_xlfn.MAXIFS(m_row,m_teacher,AH$4,m_date,($G$2+17),m_active,1,m_start,"&lt;"&amp;1020,m_end,"&gt;"&amp;960))))))</f>
        <v/>
      </c>
      <c r="AI45" s="88" t="str">
        <f aca="false">IF(OR(AI$4="",MONTH(($G$2+17))&lt;&gt;MONTH($C$2)),"",IF(COUNTIFS(m_teacher,AI$4,m_date,($G$2+17),m_active,1,m_start,"&lt;"&amp;1020,m_end,"&gt;"&amp;960)=0,"",IF(COUNTIFS(m_teacher,AI$4,m_date,($G$2+17),m_active,1,m_start,"&lt;"&amp;1020,m_end,"&gt;"&amp;960)&gt;1,"충돌",HYPERLINK("#'관리자_MASTER'!D"&amp;_xlfn.MAXIFS(m_row,m_teacher,AI$4,m_date,($G$2+17),m_active,1,m_start,"&lt;"&amp;1020,m_end,"&gt;"&amp;960),INDEX(m_label,_xlfn.MAXIFS(m_row,m_teacher,AI$4,m_date,($G$2+17),m_active,1,m_start,"&lt;"&amp;1020,m_end,"&gt;"&amp;960))))))</f>
        <v/>
      </c>
      <c r="AJ45" s="88" t="str">
        <f aca="false">IF(OR(AJ$4="",MONTH(($G$2+17))&lt;&gt;MONTH($C$2)),"",IF(COUNTIFS(m_teacher,AJ$4,m_date,($G$2+17),m_active,1,m_start,"&lt;"&amp;1020,m_end,"&gt;"&amp;960)=0,"",IF(COUNTIFS(m_teacher,AJ$4,m_date,($G$2+17),m_active,1,m_start,"&lt;"&amp;1020,m_end,"&gt;"&amp;960)&gt;1,"충돌",HYPERLINK("#'관리자_MASTER'!D"&amp;_xlfn.MAXIFS(m_row,m_teacher,AJ$4,m_date,($G$2+17),m_active,1,m_start,"&lt;"&amp;1020,m_end,"&gt;"&amp;960),INDEX(m_label,_xlfn.MAXIFS(m_row,m_teacher,AJ$4,m_date,($G$2+17),m_active,1,m_start,"&lt;"&amp;1020,m_end,"&gt;"&amp;960))))))</f>
        <v/>
      </c>
      <c r="AK45" s="88" t="str">
        <f aca="false">IF(OR(AK$4="",MONTH(($G$2+17))&lt;&gt;MONTH($C$2)),"",IF(COUNTIFS(m_teacher,AK$4,m_date,($G$2+17),m_active,1,m_start,"&lt;"&amp;1020,m_end,"&gt;"&amp;960)=0,"",IF(COUNTIFS(m_teacher,AK$4,m_date,($G$2+17),m_active,1,m_start,"&lt;"&amp;1020,m_end,"&gt;"&amp;960)&gt;1,"충돌",HYPERLINK("#'관리자_MASTER'!D"&amp;_xlfn.MAXIFS(m_row,m_teacher,AK$4,m_date,($G$2+17),m_active,1,m_start,"&lt;"&amp;1020,m_end,"&gt;"&amp;960),INDEX(m_label,_xlfn.MAXIFS(m_row,m_teacher,AK$4,m_date,($G$2+17),m_active,1,m_start,"&lt;"&amp;1020,m_end,"&gt;"&amp;960))))))</f>
        <v/>
      </c>
      <c r="AL45" s="88" t="str">
        <f aca="false">IF(OR(AL$4="",MONTH(($G$2+17))&lt;&gt;MONTH($C$2)),"",IF(COUNTIFS(m_teacher,AL$4,m_date,($G$2+17),m_active,1,m_start,"&lt;"&amp;1020,m_end,"&gt;"&amp;960)=0,"",IF(COUNTIFS(m_teacher,AL$4,m_date,($G$2+17),m_active,1,m_start,"&lt;"&amp;1020,m_end,"&gt;"&amp;960)&gt;1,"충돌",HYPERLINK("#'관리자_MASTER'!D"&amp;_xlfn.MAXIFS(m_row,m_teacher,AL$4,m_date,($G$2+17),m_active,1,m_start,"&lt;"&amp;1020,m_end,"&gt;"&amp;960),INDEX(m_label,_xlfn.MAXIFS(m_row,m_teacher,AL$4,m_date,($G$2+17),m_active,1,m_start,"&lt;"&amp;1020,m_end,"&gt;"&amp;960))))))</f>
        <v/>
      </c>
      <c r="AM45" s="88" t="str">
        <f aca="false">IF(OR(AM$4="",MONTH(($G$2+17))&lt;&gt;MONTH($C$2)),"",IF(COUNTIFS(m_teacher,AM$4,m_date,($G$2+17),m_active,1,m_start,"&lt;"&amp;1020,m_end,"&gt;"&amp;960)=0,"",IF(COUNTIFS(m_teacher,AM$4,m_date,($G$2+17),m_active,1,m_start,"&lt;"&amp;1020,m_end,"&gt;"&amp;960)&gt;1,"충돌",HYPERLINK("#'관리자_MASTER'!D"&amp;_xlfn.MAXIFS(m_row,m_teacher,AM$4,m_date,($G$2+17),m_active,1,m_start,"&lt;"&amp;1020,m_end,"&gt;"&amp;960),INDEX(m_label,_xlfn.MAXIFS(m_row,m_teacher,AM$4,m_date,($G$2+17),m_active,1,m_start,"&lt;"&amp;1020,m_end,"&gt;"&amp;960))))))</f>
        <v/>
      </c>
      <c r="AN45" s="88" t="str">
        <f aca="false">IF(OR(AN$4="",MONTH(($G$2+17))&lt;&gt;MONTH($C$2)),"",IF(COUNTIFS(m_teacher,AN$4,m_date,($G$2+17),m_active,1,m_start,"&lt;"&amp;1020,m_end,"&gt;"&amp;960)=0,"",IF(COUNTIFS(m_teacher,AN$4,m_date,($G$2+17),m_active,1,m_start,"&lt;"&amp;1020,m_end,"&gt;"&amp;960)&gt;1,"충돌",HYPERLINK("#'관리자_MASTER'!D"&amp;_xlfn.MAXIFS(m_row,m_teacher,AN$4,m_date,($G$2+17),m_active,1,m_start,"&lt;"&amp;1020,m_end,"&gt;"&amp;960),INDEX(m_label,_xlfn.MAXIFS(m_row,m_teacher,AN$4,m_date,($G$2+17),m_active,1,m_start,"&lt;"&amp;1020,m_end,"&gt;"&amp;960))))))</f>
        <v/>
      </c>
      <c r="AO45" s="88" t="str">
        <f aca="false">IF(OR(AO$4="",MONTH(($G$2+17))&lt;&gt;MONTH($C$2)),"",IF(COUNTIFS(m_teacher,AO$4,m_date,($G$2+17),m_active,1,m_start,"&lt;"&amp;1020,m_end,"&gt;"&amp;960)=0,"",IF(COUNTIFS(m_teacher,AO$4,m_date,($G$2+17),m_active,1,m_start,"&lt;"&amp;1020,m_end,"&gt;"&amp;960)&gt;1,"충돌",HYPERLINK("#'관리자_MASTER'!D"&amp;_xlfn.MAXIFS(m_row,m_teacher,AO$4,m_date,($G$2+17),m_active,1,m_start,"&lt;"&amp;1020,m_end,"&gt;"&amp;960),INDEX(m_label,_xlfn.MAXIFS(m_row,m_teacher,AO$4,m_date,($G$2+17),m_active,1,m_start,"&lt;"&amp;1020,m_end,"&gt;"&amp;960))))))</f>
        <v/>
      </c>
      <c r="AP45" s="88" t="str">
        <f aca="false">IF(OR(AP$4="",MONTH(($G$2+17))&lt;&gt;MONTH($C$2)),"",IF(COUNTIFS(m_teacher,AP$4,m_date,($G$2+17),m_active,1,m_start,"&lt;"&amp;1020,m_end,"&gt;"&amp;960)=0,"",IF(COUNTIFS(m_teacher,AP$4,m_date,($G$2+17),m_active,1,m_start,"&lt;"&amp;1020,m_end,"&gt;"&amp;960)&gt;1,"충돌",HYPERLINK("#'관리자_MASTER'!D"&amp;_xlfn.MAXIFS(m_row,m_teacher,AP$4,m_date,($G$2+17),m_active,1,m_start,"&lt;"&amp;1020,m_end,"&gt;"&amp;960),INDEX(m_label,_xlfn.MAXIFS(m_row,m_teacher,AP$4,m_date,($G$2+17),m_active,1,m_start,"&lt;"&amp;1020,m_end,"&gt;"&amp;960))))))</f>
        <v/>
      </c>
      <c r="AQ45" s="78"/>
      <c r="AR45" s="79" t="s">
        <v>98</v>
      </c>
      <c r="AS45" s="88" t="str">
        <f aca="false">IF(OR(AS$4="",MONTH(($G$2+24))&lt;&gt;MONTH($C$2)),"",IF(COUNTIFS(m_teacher,AS$4,m_date,($G$2+24),m_active,1,m_start,"&lt;"&amp;1020,m_end,"&gt;"&amp;960)=0,"",IF(COUNTIFS(m_teacher,AS$4,m_date,($G$2+24),m_active,1,m_start,"&lt;"&amp;1020,m_end,"&gt;"&amp;960)&gt;1,"충돌",HYPERLINK("#'관리자_MASTER'!D"&amp;_xlfn.MAXIFS(m_row,m_teacher,AS$4,m_date,($G$2+24),m_active,1,m_start,"&lt;"&amp;1020,m_end,"&gt;"&amp;960),INDEX(m_label,_xlfn.MAXIFS(m_row,m_teacher,AS$4,m_date,($G$2+24),m_active,1,m_start,"&lt;"&amp;1020,m_end,"&gt;"&amp;960))))))</f>
        <v/>
      </c>
      <c r="AT45" s="88" t="str">
        <f aca="false">IF(OR(AT$4="",MONTH(($G$2+24))&lt;&gt;MONTH($C$2)),"",IF(COUNTIFS(m_teacher,AT$4,m_date,($G$2+24),m_active,1,m_start,"&lt;"&amp;1020,m_end,"&gt;"&amp;960)=0,"",IF(COUNTIFS(m_teacher,AT$4,m_date,($G$2+24),m_active,1,m_start,"&lt;"&amp;1020,m_end,"&gt;"&amp;960)&gt;1,"충돌",HYPERLINK("#'관리자_MASTER'!D"&amp;_xlfn.MAXIFS(m_row,m_teacher,AT$4,m_date,($G$2+24),m_active,1,m_start,"&lt;"&amp;1020,m_end,"&gt;"&amp;960),INDEX(m_label,_xlfn.MAXIFS(m_row,m_teacher,AT$4,m_date,($G$2+24),m_active,1,m_start,"&lt;"&amp;1020,m_end,"&gt;"&amp;960))))))</f>
        <v/>
      </c>
      <c r="AU45" s="88" t="str">
        <f aca="false">IF(OR(AU$4="",MONTH(($G$2+24))&lt;&gt;MONTH($C$2)),"",IF(COUNTIFS(m_teacher,AU$4,m_date,($G$2+24),m_active,1,m_start,"&lt;"&amp;1020,m_end,"&gt;"&amp;960)=0,"",IF(COUNTIFS(m_teacher,AU$4,m_date,($G$2+24),m_active,1,m_start,"&lt;"&amp;1020,m_end,"&gt;"&amp;960)&gt;1,"충돌",HYPERLINK("#'관리자_MASTER'!D"&amp;_xlfn.MAXIFS(m_row,m_teacher,AU$4,m_date,($G$2+24),m_active,1,m_start,"&lt;"&amp;1020,m_end,"&gt;"&amp;960),INDEX(m_label,_xlfn.MAXIFS(m_row,m_teacher,AU$4,m_date,($G$2+24),m_active,1,m_start,"&lt;"&amp;1020,m_end,"&gt;"&amp;960))))))</f>
        <v/>
      </c>
      <c r="AV45" s="88" t="str">
        <f aca="false">IF(OR(AV$4="",MONTH(($G$2+24))&lt;&gt;MONTH($C$2)),"",IF(COUNTIFS(m_teacher,AV$4,m_date,($G$2+24),m_active,1,m_start,"&lt;"&amp;1020,m_end,"&gt;"&amp;960)=0,"",IF(COUNTIFS(m_teacher,AV$4,m_date,($G$2+24),m_active,1,m_start,"&lt;"&amp;1020,m_end,"&gt;"&amp;960)&gt;1,"충돌",HYPERLINK("#'관리자_MASTER'!D"&amp;_xlfn.MAXIFS(m_row,m_teacher,AV$4,m_date,($G$2+24),m_active,1,m_start,"&lt;"&amp;1020,m_end,"&gt;"&amp;960),INDEX(m_label,_xlfn.MAXIFS(m_row,m_teacher,AV$4,m_date,($G$2+24),m_active,1,m_start,"&lt;"&amp;1020,m_end,"&gt;"&amp;960))))))</f>
        <v/>
      </c>
      <c r="AW45" s="88" t="str">
        <f aca="false">IF(OR(AW$4="",MONTH(($G$2+24))&lt;&gt;MONTH($C$2)),"",IF(COUNTIFS(m_teacher,AW$4,m_date,($G$2+24),m_active,1,m_start,"&lt;"&amp;1020,m_end,"&gt;"&amp;960)=0,"",IF(COUNTIFS(m_teacher,AW$4,m_date,($G$2+24),m_active,1,m_start,"&lt;"&amp;1020,m_end,"&gt;"&amp;960)&gt;1,"충돌",HYPERLINK("#'관리자_MASTER'!D"&amp;_xlfn.MAXIFS(m_row,m_teacher,AW$4,m_date,($G$2+24),m_active,1,m_start,"&lt;"&amp;1020,m_end,"&gt;"&amp;960),INDEX(m_label,_xlfn.MAXIFS(m_row,m_teacher,AW$4,m_date,($G$2+24),m_active,1,m_start,"&lt;"&amp;1020,m_end,"&gt;"&amp;960))))))</f>
        <v/>
      </c>
      <c r="AX45" s="88" t="str">
        <f aca="false">IF(OR(AX$4="",MONTH(($G$2+24))&lt;&gt;MONTH($C$2)),"",IF(COUNTIFS(m_teacher,AX$4,m_date,($G$2+24),m_active,1,m_start,"&lt;"&amp;1020,m_end,"&gt;"&amp;960)=0,"",IF(COUNTIFS(m_teacher,AX$4,m_date,($G$2+24),m_active,1,m_start,"&lt;"&amp;1020,m_end,"&gt;"&amp;960)&gt;1,"충돌",HYPERLINK("#'관리자_MASTER'!D"&amp;_xlfn.MAXIFS(m_row,m_teacher,AX$4,m_date,($G$2+24),m_active,1,m_start,"&lt;"&amp;1020,m_end,"&gt;"&amp;960),INDEX(m_label,_xlfn.MAXIFS(m_row,m_teacher,AX$4,m_date,($G$2+24),m_active,1,m_start,"&lt;"&amp;1020,m_end,"&gt;"&amp;960))))))</f>
        <v/>
      </c>
      <c r="AY45" s="88" t="str">
        <f aca="false">IF(OR(AY$4="",MONTH(($G$2+24))&lt;&gt;MONTH($C$2)),"",IF(COUNTIFS(m_teacher,AY$4,m_date,($G$2+24),m_active,1,m_start,"&lt;"&amp;1020,m_end,"&gt;"&amp;960)=0,"",IF(COUNTIFS(m_teacher,AY$4,m_date,($G$2+24),m_active,1,m_start,"&lt;"&amp;1020,m_end,"&gt;"&amp;960)&gt;1,"충돌",HYPERLINK("#'관리자_MASTER'!D"&amp;_xlfn.MAXIFS(m_row,m_teacher,AY$4,m_date,($G$2+24),m_active,1,m_start,"&lt;"&amp;1020,m_end,"&gt;"&amp;960),INDEX(m_label,_xlfn.MAXIFS(m_row,m_teacher,AY$4,m_date,($G$2+24),m_active,1,m_start,"&lt;"&amp;1020,m_end,"&gt;"&amp;960))))))</f>
        <v/>
      </c>
      <c r="AZ45" s="88" t="str">
        <f aca="false">IF(OR(AZ$4="",MONTH(($G$2+24))&lt;&gt;MONTH($C$2)),"",IF(COUNTIFS(m_teacher,AZ$4,m_date,($G$2+24),m_active,1,m_start,"&lt;"&amp;1020,m_end,"&gt;"&amp;960)=0,"",IF(COUNTIFS(m_teacher,AZ$4,m_date,($G$2+24),m_active,1,m_start,"&lt;"&amp;1020,m_end,"&gt;"&amp;960)&gt;1,"충돌",HYPERLINK("#'관리자_MASTER'!D"&amp;_xlfn.MAXIFS(m_row,m_teacher,AZ$4,m_date,($G$2+24),m_active,1,m_start,"&lt;"&amp;1020,m_end,"&gt;"&amp;960),INDEX(m_label,_xlfn.MAXIFS(m_row,m_teacher,AZ$4,m_date,($G$2+24),m_active,1,m_start,"&lt;"&amp;1020,m_end,"&gt;"&amp;960))))))</f>
        <v/>
      </c>
      <c r="BA45" s="88" t="str">
        <f aca="false">IF(OR(BA$4="",MONTH(($G$2+24))&lt;&gt;MONTH($C$2)),"",IF(COUNTIFS(m_teacher,BA$4,m_date,($G$2+24),m_active,1,m_start,"&lt;"&amp;1020,m_end,"&gt;"&amp;960)=0,"",IF(COUNTIFS(m_teacher,BA$4,m_date,($G$2+24),m_active,1,m_start,"&lt;"&amp;1020,m_end,"&gt;"&amp;960)&gt;1,"충돌",HYPERLINK("#'관리자_MASTER'!D"&amp;_xlfn.MAXIFS(m_row,m_teacher,BA$4,m_date,($G$2+24),m_active,1,m_start,"&lt;"&amp;1020,m_end,"&gt;"&amp;960),INDEX(m_label,_xlfn.MAXIFS(m_row,m_teacher,BA$4,m_date,($G$2+24),m_active,1,m_start,"&lt;"&amp;1020,m_end,"&gt;"&amp;960))))))</f>
        <v/>
      </c>
      <c r="BB45" s="88" t="str">
        <f aca="false">IF(OR(BB$4="",MONTH(($G$2+24))&lt;&gt;MONTH($C$2)),"",IF(COUNTIFS(m_teacher,BB$4,m_date,($G$2+24),m_active,1,m_start,"&lt;"&amp;1020,m_end,"&gt;"&amp;960)=0,"",IF(COUNTIFS(m_teacher,BB$4,m_date,($G$2+24),m_active,1,m_start,"&lt;"&amp;1020,m_end,"&gt;"&amp;960)&gt;1,"충돌",HYPERLINK("#'관리자_MASTER'!D"&amp;_xlfn.MAXIFS(m_row,m_teacher,BB$4,m_date,($G$2+24),m_active,1,m_start,"&lt;"&amp;1020,m_end,"&gt;"&amp;960),INDEX(m_label,_xlfn.MAXIFS(m_row,m_teacher,BB$4,m_date,($G$2+24),m_active,1,m_start,"&lt;"&amp;1020,m_end,"&gt;"&amp;960))))))</f>
        <v/>
      </c>
      <c r="BC45" s="88" t="str">
        <f aca="false">IF(OR(BC$4="",MONTH(($G$2+24))&lt;&gt;MONTH($C$2)),"",IF(COUNTIFS(m_teacher,BC$4,m_date,($G$2+24),m_active,1,m_start,"&lt;"&amp;1020,m_end,"&gt;"&amp;960)=0,"",IF(COUNTIFS(m_teacher,BC$4,m_date,($G$2+24),m_active,1,m_start,"&lt;"&amp;1020,m_end,"&gt;"&amp;960)&gt;1,"충돌",HYPERLINK("#'관리자_MASTER'!D"&amp;_xlfn.MAXIFS(m_row,m_teacher,BC$4,m_date,($G$2+24),m_active,1,m_start,"&lt;"&amp;1020,m_end,"&gt;"&amp;960),INDEX(m_label,_xlfn.MAXIFS(m_row,m_teacher,BC$4,m_date,($G$2+24),m_active,1,m_start,"&lt;"&amp;1020,m_end,"&gt;"&amp;960))))))</f>
        <v/>
      </c>
      <c r="BD45" s="88" t="str">
        <f aca="false">IF(OR(BD$4="",MONTH(($G$2+24))&lt;&gt;MONTH($C$2)),"",IF(COUNTIFS(m_teacher,BD$4,m_date,($G$2+24),m_active,1,m_start,"&lt;"&amp;1020,m_end,"&gt;"&amp;960)=0,"",IF(COUNTIFS(m_teacher,BD$4,m_date,($G$2+24),m_active,1,m_start,"&lt;"&amp;1020,m_end,"&gt;"&amp;960)&gt;1,"충돌",HYPERLINK("#'관리자_MASTER'!D"&amp;_xlfn.MAXIFS(m_row,m_teacher,BD$4,m_date,($G$2+24),m_active,1,m_start,"&lt;"&amp;1020,m_end,"&gt;"&amp;960),INDEX(m_label,_xlfn.MAXIFS(m_row,m_teacher,BD$4,m_date,($G$2+24),m_active,1,m_start,"&lt;"&amp;1020,m_end,"&gt;"&amp;960))))))</f>
        <v/>
      </c>
    </row>
    <row r="46" customFormat="false" ht="19.5" hidden="false" customHeight="true" outlineLevel="0" collapsed="false">
      <c r="A46" s="78"/>
      <c r="B46" s="79" t="s">
        <v>99</v>
      </c>
      <c r="C46" s="88" t="str">
        <f aca="false">IF(OR(C$4="",MONTH(($G$2+3))&lt;&gt;MONTH($C$2)),"",IF(COUNTIFS(m_teacher,C$4,m_date,($G$2+3),m_active,1,m_start,"&lt;"&amp;1080,m_end,"&gt;"&amp;1020)=0,"",IF(COUNTIFS(m_teacher,C$4,m_date,($G$2+3),m_active,1,m_start,"&lt;"&amp;1080,m_end,"&gt;"&amp;1020)&gt;1,"충돌",HYPERLINK("#'관리자_MASTER'!D"&amp;_xlfn.MAXIFS(m_row,m_teacher,C$4,m_date,($G$2+3),m_active,1,m_start,"&lt;"&amp;1080,m_end,"&gt;"&amp;1020),INDEX(m_label,_xlfn.MAXIFS(m_row,m_teacher,C$4,m_date,($G$2+3),m_active,1,m_start,"&lt;"&amp;1080,m_end,"&gt;"&amp;1020))))))</f>
        <v/>
      </c>
      <c r="D46" s="88" t="str">
        <f aca="false">IF(OR(D$4="",MONTH(($G$2+3))&lt;&gt;MONTH($C$2)),"",IF(COUNTIFS(m_teacher,D$4,m_date,($G$2+3),m_active,1,m_start,"&lt;"&amp;1080,m_end,"&gt;"&amp;1020)=0,"",IF(COUNTIFS(m_teacher,D$4,m_date,($G$2+3),m_active,1,m_start,"&lt;"&amp;1080,m_end,"&gt;"&amp;1020)&gt;1,"충돌",HYPERLINK("#'관리자_MASTER'!D"&amp;_xlfn.MAXIFS(m_row,m_teacher,D$4,m_date,($G$2+3),m_active,1,m_start,"&lt;"&amp;1080,m_end,"&gt;"&amp;1020),INDEX(m_label,_xlfn.MAXIFS(m_row,m_teacher,D$4,m_date,($G$2+3),m_active,1,m_start,"&lt;"&amp;1080,m_end,"&gt;"&amp;1020))))))</f>
        <v/>
      </c>
      <c r="E46" s="88" t="str">
        <f aca="false">IF(OR(E$4="",MONTH(($G$2+3))&lt;&gt;MONTH($C$2)),"",IF(COUNTIFS(m_teacher,E$4,m_date,($G$2+3),m_active,1,m_start,"&lt;"&amp;1080,m_end,"&gt;"&amp;1020)=0,"",IF(COUNTIFS(m_teacher,E$4,m_date,($G$2+3),m_active,1,m_start,"&lt;"&amp;1080,m_end,"&gt;"&amp;1020)&gt;1,"충돌",HYPERLINK("#'관리자_MASTER'!D"&amp;_xlfn.MAXIFS(m_row,m_teacher,E$4,m_date,($G$2+3),m_active,1,m_start,"&lt;"&amp;1080,m_end,"&gt;"&amp;1020),INDEX(m_label,_xlfn.MAXIFS(m_row,m_teacher,E$4,m_date,($G$2+3),m_active,1,m_start,"&lt;"&amp;1080,m_end,"&gt;"&amp;1020))))))</f>
        <v/>
      </c>
      <c r="F46" s="88" t="str">
        <f aca="false">IF(OR(F$4="",MONTH(($G$2+3))&lt;&gt;MONTH($C$2)),"",IF(COUNTIFS(m_teacher,F$4,m_date,($G$2+3),m_active,1,m_start,"&lt;"&amp;1080,m_end,"&gt;"&amp;1020)=0,"",IF(COUNTIFS(m_teacher,F$4,m_date,($G$2+3),m_active,1,m_start,"&lt;"&amp;1080,m_end,"&gt;"&amp;1020)&gt;1,"충돌",HYPERLINK("#'관리자_MASTER'!D"&amp;_xlfn.MAXIFS(m_row,m_teacher,F$4,m_date,($G$2+3),m_active,1,m_start,"&lt;"&amp;1080,m_end,"&gt;"&amp;1020),INDEX(m_label,_xlfn.MAXIFS(m_row,m_teacher,F$4,m_date,($G$2+3),m_active,1,m_start,"&lt;"&amp;1080,m_end,"&gt;"&amp;1020))))))</f>
        <v/>
      </c>
      <c r="G46" s="88" t="str">
        <f aca="false">IF(OR(G$4="",MONTH(($G$2+3))&lt;&gt;MONTH($C$2)),"",IF(COUNTIFS(m_teacher,G$4,m_date,($G$2+3),m_active,1,m_start,"&lt;"&amp;1080,m_end,"&gt;"&amp;1020)=0,"",IF(COUNTIFS(m_teacher,G$4,m_date,($G$2+3),m_active,1,m_start,"&lt;"&amp;1080,m_end,"&gt;"&amp;1020)&gt;1,"충돌",HYPERLINK("#'관리자_MASTER'!D"&amp;_xlfn.MAXIFS(m_row,m_teacher,G$4,m_date,($G$2+3),m_active,1,m_start,"&lt;"&amp;1080,m_end,"&gt;"&amp;1020),INDEX(m_label,_xlfn.MAXIFS(m_row,m_teacher,G$4,m_date,($G$2+3),m_active,1,m_start,"&lt;"&amp;1080,m_end,"&gt;"&amp;1020))))))</f>
        <v/>
      </c>
      <c r="H46" s="88" t="str">
        <f aca="false">IF(OR(H$4="",MONTH(($G$2+3))&lt;&gt;MONTH($C$2)),"",IF(COUNTIFS(m_teacher,H$4,m_date,($G$2+3),m_active,1,m_start,"&lt;"&amp;1080,m_end,"&gt;"&amp;1020)=0,"",IF(COUNTIFS(m_teacher,H$4,m_date,($G$2+3),m_active,1,m_start,"&lt;"&amp;1080,m_end,"&gt;"&amp;1020)&gt;1,"충돌",HYPERLINK("#'관리자_MASTER'!D"&amp;_xlfn.MAXIFS(m_row,m_teacher,H$4,m_date,($G$2+3),m_active,1,m_start,"&lt;"&amp;1080,m_end,"&gt;"&amp;1020),INDEX(m_label,_xlfn.MAXIFS(m_row,m_teacher,H$4,m_date,($G$2+3),m_active,1,m_start,"&lt;"&amp;1080,m_end,"&gt;"&amp;1020))))))</f>
        <v/>
      </c>
      <c r="I46" s="88" t="str">
        <f aca="false">IF(OR(I$4="",MONTH(($G$2+3))&lt;&gt;MONTH($C$2)),"",IF(COUNTIFS(m_teacher,I$4,m_date,($G$2+3),m_active,1,m_start,"&lt;"&amp;1080,m_end,"&gt;"&amp;1020)=0,"",IF(COUNTIFS(m_teacher,I$4,m_date,($G$2+3),m_active,1,m_start,"&lt;"&amp;1080,m_end,"&gt;"&amp;1020)&gt;1,"충돌",HYPERLINK("#'관리자_MASTER'!D"&amp;_xlfn.MAXIFS(m_row,m_teacher,I$4,m_date,($G$2+3),m_active,1,m_start,"&lt;"&amp;1080,m_end,"&gt;"&amp;1020),INDEX(m_label,_xlfn.MAXIFS(m_row,m_teacher,I$4,m_date,($G$2+3),m_active,1,m_start,"&lt;"&amp;1080,m_end,"&gt;"&amp;1020))))))</f>
        <v/>
      </c>
      <c r="J46" s="88" t="str">
        <f aca="false">IF(OR(J$4="",MONTH(($G$2+3))&lt;&gt;MONTH($C$2)),"",IF(COUNTIFS(m_teacher,J$4,m_date,($G$2+3),m_active,1,m_start,"&lt;"&amp;1080,m_end,"&gt;"&amp;1020)=0,"",IF(COUNTIFS(m_teacher,J$4,m_date,($G$2+3),m_active,1,m_start,"&lt;"&amp;1080,m_end,"&gt;"&amp;1020)&gt;1,"충돌",HYPERLINK("#'관리자_MASTER'!D"&amp;_xlfn.MAXIFS(m_row,m_teacher,J$4,m_date,($G$2+3),m_active,1,m_start,"&lt;"&amp;1080,m_end,"&gt;"&amp;1020),INDEX(m_label,_xlfn.MAXIFS(m_row,m_teacher,J$4,m_date,($G$2+3),m_active,1,m_start,"&lt;"&amp;1080,m_end,"&gt;"&amp;1020))))))</f>
        <v/>
      </c>
      <c r="K46" s="88" t="str">
        <f aca="false">IF(OR(K$4="",MONTH(($G$2+3))&lt;&gt;MONTH($C$2)),"",IF(COUNTIFS(m_teacher,K$4,m_date,($G$2+3),m_active,1,m_start,"&lt;"&amp;1080,m_end,"&gt;"&amp;1020)=0,"",IF(COUNTIFS(m_teacher,K$4,m_date,($G$2+3),m_active,1,m_start,"&lt;"&amp;1080,m_end,"&gt;"&amp;1020)&gt;1,"충돌",HYPERLINK("#'관리자_MASTER'!D"&amp;_xlfn.MAXIFS(m_row,m_teacher,K$4,m_date,($G$2+3),m_active,1,m_start,"&lt;"&amp;1080,m_end,"&gt;"&amp;1020),INDEX(m_label,_xlfn.MAXIFS(m_row,m_teacher,K$4,m_date,($G$2+3),m_active,1,m_start,"&lt;"&amp;1080,m_end,"&gt;"&amp;1020))))))</f>
        <v/>
      </c>
      <c r="L46" s="88" t="str">
        <f aca="false">IF(OR(L$4="",MONTH(($G$2+3))&lt;&gt;MONTH($C$2)),"",IF(COUNTIFS(m_teacher,L$4,m_date,($G$2+3),m_active,1,m_start,"&lt;"&amp;1080,m_end,"&gt;"&amp;1020)=0,"",IF(COUNTIFS(m_teacher,L$4,m_date,($G$2+3),m_active,1,m_start,"&lt;"&amp;1080,m_end,"&gt;"&amp;1020)&gt;1,"충돌",HYPERLINK("#'관리자_MASTER'!D"&amp;_xlfn.MAXIFS(m_row,m_teacher,L$4,m_date,($G$2+3),m_active,1,m_start,"&lt;"&amp;1080,m_end,"&gt;"&amp;1020),INDEX(m_label,_xlfn.MAXIFS(m_row,m_teacher,L$4,m_date,($G$2+3),m_active,1,m_start,"&lt;"&amp;1080,m_end,"&gt;"&amp;1020))))))</f>
        <v/>
      </c>
      <c r="M46" s="88" t="str">
        <f aca="false">IF(OR(M$4="",MONTH(($G$2+3))&lt;&gt;MONTH($C$2)),"",IF(COUNTIFS(m_teacher,M$4,m_date,($G$2+3),m_active,1,m_start,"&lt;"&amp;1080,m_end,"&gt;"&amp;1020)=0,"",IF(COUNTIFS(m_teacher,M$4,m_date,($G$2+3),m_active,1,m_start,"&lt;"&amp;1080,m_end,"&gt;"&amp;1020)&gt;1,"충돌",HYPERLINK("#'관리자_MASTER'!D"&amp;_xlfn.MAXIFS(m_row,m_teacher,M$4,m_date,($G$2+3),m_active,1,m_start,"&lt;"&amp;1080,m_end,"&gt;"&amp;1020),INDEX(m_label,_xlfn.MAXIFS(m_row,m_teacher,M$4,m_date,($G$2+3),m_active,1,m_start,"&lt;"&amp;1080,m_end,"&gt;"&amp;1020))))))</f>
        <v/>
      </c>
      <c r="N46" s="88" t="str">
        <f aca="false">IF(OR(N$4="",MONTH(($G$2+3))&lt;&gt;MONTH($C$2)),"",IF(COUNTIFS(m_teacher,N$4,m_date,($G$2+3),m_active,1,m_start,"&lt;"&amp;1080,m_end,"&gt;"&amp;1020)=0,"",IF(COUNTIFS(m_teacher,N$4,m_date,($G$2+3),m_active,1,m_start,"&lt;"&amp;1080,m_end,"&gt;"&amp;1020)&gt;1,"충돌",HYPERLINK("#'관리자_MASTER'!D"&amp;_xlfn.MAXIFS(m_row,m_teacher,N$4,m_date,($G$2+3),m_active,1,m_start,"&lt;"&amp;1080,m_end,"&gt;"&amp;1020),INDEX(m_label,_xlfn.MAXIFS(m_row,m_teacher,N$4,m_date,($G$2+3),m_active,1,m_start,"&lt;"&amp;1080,m_end,"&gt;"&amp;1020))))))</f>
        <v/>
      </c>
      <c r="O46" s="78"/>
      <c r="P46" s="79" t="s">
        <v>99</v>
      </c>
      <c r="Q46" s="88" t="str">
        <f aca="false">IF(OR(Q$4="",MONTH(($G$2+10))&lt;&gt;MONTH($C$2)),"",IF(COUNTIFS(m_teacher,Q$4,m_date,($G$2+10),m_active,1,m_start,"&lt;"&amp;1080,m_end,"&gt;"&amp;1020)=0,"",IF(COUNTIFS(m_teacher,Q$4,m_date,($G$2+10),m_active,1,m_start,"&lt;"&amp;1080,m_end,"&gt;"&amp;1020)&gt;1,"충돌",HYPERLINK("#'관리자_MASTER'!D"&amp;_xlfn.MAXIFS(m_row,m_teacher,Q$4,m_date,($G$2+10),m_active,1,m_start,"&lt;"&amp;1080,m_end,"&gt;"&amp;1020),INDEX(m_label,_xlfn.MAXIFS(m_row,m_teacher,Q$4,m_date,($G$2+10),m_active,1,m_start,"&lt;"&amp;1080,m_end,"&gt;"&amp;1020))))))</f>
        <v/>
      </c>
      <c r="R46" s="88" t="str">
        <f aca="false">IF(OR(R$4="",MONTH(($G$2+10))&lt;&gt;MONTH($C$2)),"",IF(COUNTIFS(m_teacher,R$4,m_date,($G$2+10),m_active,1,m_start,"&lt;"&amp;1080,m_end,"&gt;"&amp;1020)=0,"",IF(COUNTIFS(m_teacher,R$4,m_date,($G$2+10),m_active,1,m_start,"&lt;"&amp;1080,m_end,"&gt;"&amp;1020)&gt;1,"충돌",HYPERLINK("#'관리자_MASTER'!D"&amp;_xlfn.MAXIFS(m_row,m_teacher,R$4,m_date,($G$2+10),m_active,1,m_start,"&lt;"&amp;1080,m_end,"&gt;"&amp;1020),INDEX(m_label,_xlfn.MAXIFS(m_row,m_teacher,R$4,m_date,($G$2+10),m_active,1,m_start,"&lt;"&amp;1080,m_end,"&gt;"&amp;1020))))))</f>
        <v/>
      </c>
      <c r="S46" s="88" t="str">
        <f aca="false">IF(OR(S$4="",MONTH(($G$2+10))&lt;&gt;MONTH($C$2)),"",IF(COUNTIFS(m_teacher,S$4,m_date,($G$2+10),m_active,1,m_start,"&lt;"&amp;1080,m_end,"&gt;"&amp;1020)=0,"",IF(COUNTIFS(m_teacher,S$4,m_date,($G$2+10),m_active,1,m_start,"&lt;"&amp;1080,m_end,"&gt;"&amp;1020)&gt;1,"충돌",HYPERLINK("#'관리자_MASTER'!D"&amp;_xlfn.MAXIFS(m_row,m_teacher,S$4,m_date,($G$2+10),m_active,1,m_start,"&lt;"&amp;1080,m_end,"&gt;"&amp;1020),INDEX(m_label,_xlfn.MAXIFS(m_row,m_teacher,S$4,m_date,($G$2+10),m_active,1,m_start,"&lt;"&amp;1080,m_end,"&gt;"&amp;1020))))))</f>
        <v/>
      </c>
      <c r="T46" s="88" t="str">
        <f aca="false">IF(OR(T$4="",MONTH(($G$2+10))&lt;&gt;MONTH($C$2)),"",IF(COUNTIFS(m_teacher,T$4,m_date,($G$2+10),m_active,1,m_start,"&lt;"&amp;1080,m_end,"&gt;"&amp;1020)=0,"",IF(COUNTIFS(m_teacher,T$4,m_date,($G$2+10),m_active,1,m_start,"&lt;"&amp;1080,m_end,"&gt;"&amp;1020)&gt;1,"충돌",HYPERLINK("#'관리자_MASTER'!D"&amp;_xlfn.MAXIFS(m_row,m_teacher,T$4,m_date,($G$2+10),m_active,1,m_start,"&lt;"&amp;1080,m_end,"&gt;"&amp;1020),INDEX(m_label,_xlfn.MAXIFS(m_row,m_teacher,T$4,m_date,($G$2+10),m_active,1,m_start,"&lt;"&amp;1080,m_end,"&gt;"&amp;1020))))))</f>
        <v/>
      </c>
      <c r="U46" s="88" t="str">
        <f aca="false">IF(OR(U$4="",MONTH(($G$2+10))&lt;&gt;MONTH($C$2)),"",IF(COUNTIFS(m_teacher,U$4,m_date,($G$2+10),m_active,1,m_start,"&lt;"&amp;1080,m_end,"&gt;"&amp;1020)=0,"",IF(COUNTIFS(m_teacher,U$4,m_date,($G$2+10),m_active,1,m_start,"&lt;"&amp;1080,m_end,"&gt;"&amp;1020)&gt;1,"충돌",HYPERLINK("#'관리자_MASTER'!D"&amp;_xlfn.MAXIFS(m_row,m_teacher,U$4,m_date,($G$2+10),m_active,1,m_start,"&lt;"&amp;1080,m_end,"&gt;"&amp;1020),INDEX(m_label,_xlfn.MAXIFS(m_row,m_teacher,U$4,m_date,($G$2+10),m_active,1,m_start,"&lt;"&amp;1080,m_end,"&gt;"&amp;1020))))))</f>
        <v/>
      </c>
      <c r="V46" s="88" t="str">
        <f aca="false">IF(OR(V$4="",MONTH(($G$2+10))&lt;&gt;MONTH($C$2)),"",IF(COUNTIFS(m_teacher,V$4,m_date,($G$2+10),m_active,1,m_start,"&lt;"&amp;1080,m_end,"&gt;"&amp;1020)=0,"",IF(COUNTIFS(m_teacher,V$4,m_date,($G$2+10),m_active,1,m_start,"&lt;"&amp;1080,m_end,"&gt;"&amp;1020)&gt;1,"충돌",HYPERLINK("#'관리자_MASTER'!D"&amp;_xlfn.MAXIFS(m_row,m_teacher,V$4,m_date,($G$2+10),m_active,1,m_start,"&lt;"&amp;1080,m_end,"&gt;"&amp;1020),INDEX(m_label,_xlfn.MAXIFS(m_row,m_teacher,V$4,m_date,($G$2+10),m_active,1,m_start,"&lt;"&amp;1080,m_end,"&gt;"&amp;1020))))))</f>
        <v/>
      </c>
      <c r="W46" s="88" t="str">
        <f aca="false">IF(OR(W$4="",MONTH(($G$2+10))&lt;&gt;MONTH($C$2)),"",IF(COUNTIFS(m_teacher,W$4,m_date,($G$2+10),m_active,1,m_start,"&lt;"&amp;1080,m_end,"&gt;"&amp;1020)=0,"",IF(COUNTIFS(m_teacher,W$4,m_date,($G$2+10),m_active,1,m_start,"&lt;"&amp;1080,m_end,"&gt;"&amp;1020)&gt;1,"충돌",HYPERLINK("#'관리자_MASTER'!D"&amp;_xlfn.MAXIFS(m_row,m_teacher,W$4,m_date,($G$2+10),m_active,1,m_start,"&lt;"&amp;1080,m_end,"&gt;"&amp;1020),INDEX(m_label,_xlfn.MAXIFS(m_row,m_teacher,W$4,m_date,($G$2+10),m_active,1,m_start,"&lt;"&amp;1080,m_end,"&gt;"&amp;1020))))))</f>
        <v/>
      </c>
      <c r="X46" s="88" t="str">
        <f aca="false">IF(OR(X$4="",MONTH(($G$2+10))&lt;&gt;MONTH($C$2)),"",IF(COUNTIFS(m_teacher,X$4,m_date,($G$2+10),m_active,1,m_start,"&lt;"&amp;1080,m_end,"&gt;"&amp;1020)=0,"",IF(COUNTIFS(m_teacher,X$4,m_date,($G$2+10),m_active,1,m_start,"&lt;"&amp;1080,m_end,"&gt;"&amp;1020)&gt;1,"충돌",HYPERLINK("#'관리자_MASTER'!D"&amp;_xlfn.MAXIFS(m_row,m_teacher,X$4,m_date,($G$2+10),m_active,1,m_start,"&lt;"&amp;1080,m_end,"&gt;"&amp;1020),INDEX(m_label,_xlfn.MAXIFS(m_row,m_teacher,X$4,m_date,($G$2+10),m_active,1,m_start,"&lt;"&amp;1080,m_end,"&gt;"&amp;1020))))))</f>
        <v/>
      </c>
      <c r="Y46" s="88" t="str">
        <f aca="false">IF(OR(Y$4="",MONTH(($G$2+10))&lt;&gt;MONTH($C$2)),"",IF(COUNTIFS(m_teacher,Y$4,m_date,($G$2+10),m_active,1,m_start,"&lt;"&amp;1080,m_end,"&gt;"&amp;1020)=0,"",IF(COUNTIFS(m_teacher,Y$4,m_date,($G$2+10),m_active,1,m_start,"&lt;"&amp;1080,m_end,"&gt;"&amp;1020)&gt;1,"충돌",HYPERLINK("#'관리자_MASTER'!D"&amp;_xlfn.MAXIFS(m_row,m_teacher,Y$4,m_date,($G$2+10),m_active,1,m_start,"&lt;"&amp;1080,m_end,"&gt;"&amp;1020),INDEX(m_label,_xlfn.MAXIFS(m_row,m_teacher,Y$4,m_date,($G$2+10),m_active,1,m_start,"&lt;"&amp;1080,m_end,"&gt;"&amp;1020))))))</f>
        <v/>
      </c>
      <c r="Z46" s="88" t="str">
        <f aca="false">IF(OR(Z$4="",MONTH(($G$2+10))&lt;&gt;MONTH($C$2)),"",IF(COUNTIFS(m_teacher,Z$4,m_date,($G$2+10),m_active,1,m_start,"&lt;"&amp;1080,m_end,"&gt;"&amp;1020)=0,"",IF(COUNTIFS(m_teacher,Z$4,m_date,($G$2+10),m_active,1,m_start,"&lt;"&amp;1080,m_end,"&gt;"&amp;1020)&gt;1,"충돌",HYPERLINK("#'관리자_MASTER'!D"&amp;_xlfn.MAXIFS(m_row,m_teacher,Z$4,m_date,($G$2+10),m_active,1,m_start,"&lt;"&amp;1080,m_end,"&gt;"&amp;1020),INDEX(m_label,_xlfn.MAXIFS(m_row,m_teacher,Z$4,m_date,($G$2+10),m_active,1,m_start,"&lt;"&amp;1080,m_end,"&gt;"&amp;1020))))))</f>
        <v/>
      </c>
      <c r="AA46" s="88" t="str">
        <f aca="false">IF(OR(AA$4="",MONTH(($G$2+10))&lt;&gt;MONTH($C$2)),"",IF(COUNTIFS(m_teacher,AA$4,m_date,($G$2+10),m_active,1,m_start,"&lt;"&amp;1080,m_end,"&gt;"&amp;1020)=0,"",IF(COUNTIFS(m_teacher,AA$4,m_date,($G$2+10),m_active,1,m_start,"&lt;"&amp;1080,m_end,"&gt;"&amp;1020)&gt;1,"충돌",HYPERLINK("#'관리자_MASTER'!D"&amp;_xlfn.MAXIFS(m_row,m_teacher,AA$4,m_date,($G$2+10),m_active,1,m_start,"&lt;"&amp;1080,m_end,"&gt;"&amp;1020),INDEX(m_label,_xlfn.MAXIFS(m_row,m_teacher,AA$4,m_date,($G$2+10),m_active,1,m_start,"&lt;"&amp;1080,m_end,"&gt;"&amp;1020))))))</f>
        <v/>
      </c>
      <c r="AB46" s="88" t="str">
        <f aca="false">IF(OR(AB$4="",MONTH(($G$2+10))&lt;&gt;MONTH($C$2)),"",IF(COUNTIFS(m_teacher,AB$4,m_date,($G$2+10),m_active,1,m_start,"&lt;"&amp;1080,m_end,"&gt;"&amp;1020)=0,"",IF(COUNTIFS(m_teacher,AB$4,m_date,($G$2+10),m_active,1,m_start,"&lt;"&amp;1080,m_end,"&gt;"&amp;1020)&gt;1,"충돌",HYPERLINK("#'관리자_MASTER'!D"&amp;_xlfn.MAXIFS(m_row,m_teacher,AB$4,m_date,($G$2+10),m_active,1,m_start,"&lt;"&amp;1080,m_end,"&gt;"&amp;1020),INDEX(m_label,_xlfn.MAXIFS(m_row,m_teacher,AB$4,m_date,($G$2+10),m_active,1,m_start,"&lt;"&amp;1080,m_end,"&gt;"&amp;1020))))))</f>
        <v/>
      </c>
      <c r="AC46" s="78"/>
      <c r="AD46" s="79" t="s">
        <v>99</v>
      </c>
      <c r="AE46" s="88" t="str">
        <f aca="false">IF(OR(AE$4="",MONTH(($G$2+17))&lt;&gt;MONTH($C$2)),"",IF(COUNTIFS(m_teacher,AE$4,m_date,($G$2+17),m_active,1,m_start,"&lt;"&amp;1080,m_end,"&gt;"&amp;1020)=0,"",IF(COUNTIFS(m_teacher,AE$4,m_date,($G$2+17),m_active,1,m_start,"&lt;"&amp;1080,m_end,"&gt;"&amp;1020)&gt;1,"충돌",HYPERLINK("#'관리자_MASTER'!D"&amp;_xlfn.MAXIFS(m_row,m_teacher,AE$4,m_date,($G$2+17),m_active,1,m_start,"&lt;"&amp;1080,m_end,"&gt;"&amp;1020),INDEX(m_label,_xlfn.MAXIFS(m_row,m_teacher,AE$4,m_date,($G$2+17),m_active,1,m_start,"&lt;"&amp;1080,m_end,"&gt;"&amp;1020))))))</f>
        <v/>
      </c>
      <c r="AF46" s="88" t="str">
        <f aca="false">IF(OR(AF$4="",MONTH(($G$2+17))&lt;&gt;MONTH($C$2)),"",IF(COUNTIFS(m_teacher,AF$4,m_date,($G$2+17),m_active,1,m_start,"&lt;"&amp;1080,m_end,"&gt;"&amp;1020)=0,"",IF(COUNTIFS(m_teacher,AF$4,m_date,($G$2+17),m_active,1,m_start,"&lt;"&amp;1080,m_end,"&gt;"&amp;1020)&gt;1,"충돌",HYPERLINK("#'관리자_MASTER'!D"&amp;_xlfn.MAXIFS(m_row,m_teacher,AF$4,m_date,($G$2+17),m_active,1,m_start,"&lt;"&amp;1080,m_end,"&gt;"&amp;1020),INDEX(m_label,_xlfn.MAXIFS(m_row,m_teacher,AF$4,m_date,($G$2+17),m_active,1,m_start,"&lt;"&amp;1080,m_end,"&gt;"&amp;1020))))))</f>
        <v/>
      </c>
      <c r="AG46" s="88" t="str">
        <f aca="false">IF(OR(AG$4="",MONTH(($G$2+17))&lt;&gt;MONTH($C$2)),"",IF(COUNTIFS(m_teacher,AG$4,m_date,($G$2+17),m_active,1,m_start,"&lt;"&amp;1080,m_end,"&gt;"&amp;1020)=0,"",IF(COUNTIFS(m_teacher,AG$4,m_date,($G$2+17),m_active,1,m_start,"&lt;"&amp;1080,m_end,"&gt;"&amp;1020)&gt;1,"충돌",HYPERLINK("#'관리자_MASTER'!D"&amp;_xlfn.MAXIFS(m_row,m_teacher,AG$4,m_date,($G$2+17),m_active,1,m_start,"&lt;"&amp;1080,m_end,"&gt;"&amp;1020),INDEX(m_label,_xlfn.MAXIFS(m_row,m_teacher,AG$4,m_date,($G$2+17),m_active,1,m_start,"&lt;"&amp;1080,m_end,"&gt;"&amp;1020))))))</f>
        <v/>
      </c>
      <c r="AH46" s="88" t="str">
        <f aca="false">IF(OR(AH$4="",MONTH(($G$2+17))&lt;&gt;MONTH($C$2)),"",IF(COUNTIFS(m_teacher,AH$4,m_date,($G$2+17),m_active,1,m_start,"&lt;"&amp;1080,m_end,"&gt;"&amp;1020)=0,"",IF(COUNTIFS(m_teacher,AH$4,m_date,($G$2+17),m_active,1,m_start,"&lt;"&amp;1080,m_end,"&gt;"&amp;1020)&gt;1,"충돌",HYPERLINK("#'관리자_MASTER'!D"&amp;_xlfn.MAXIFS(m_row,m_teacher,AH$4,m_date,($G$2+17),m_active,1,m_start,"&lt;"&amp;1080,m_end,"&gt;"&amp;1020),INDEX(m_label,_xlfn.MAXIFS(m_row,m_teacher,AH$4,m_date,($G$2+17),m_active,1,m_start,"&lt;"&amp;1080,m_end,"&gt;"&amp;1020))))))</f>
        <v/>
      </c>
      <c r="AI46" s="88" t="str">
        <f aca="false">IF(OR(AI$4="",MONTH(($G$2+17))&lt;&gt;MONTH($C$2)),"",IF(COUNTIFS(m_teacher,AI$4,m_date,($G$2+17),m_active,1,m_start,"&lt;"&amp;1080,m_end,"&gt;"&amp;1020)=0,"",IF(COUNTIFS(m_teacher,AI$4,m_date,($G$2+17),m_active,1,m_start,"&lt;"&amp;1080,m_end,"&gt;"&amp;1020)&gt;1,"충돌",HYPERLINK("#'관리자_MASTER'!D"&amp;_xlfn.MAXIFS(m_row,m_teacher,AI$4,m_date,($G$2+17),m_active,1,m_start,"&lt;"&amp;1080,m_end,"&gt;"&amp;1020),INDEX(m_label,_xlfn.MAXIFS(m_row,m_teacher,AI$4,m_date,($G$2+17),m_active,1,m_start,"&lt;"&amp;1080,m_end,"&gt;"&amp;1020))))))</f>
        <v/>
      </c>
      <c r="AJ46" s="88" t="str">
        <f aca="false">IF(OR(AJ$4="",MONTH(($G$2+17))&lt;&gt;MONTH($C$2)),"",IF(COUNTIFS(m_teacher,AJ$4,m_date,($G$2+17),m_active,1,m_start,"&lt;"&amp;1080,m_end,"&gt;"&amp;1020)=0,"",IF(COUNTIFS(m_teacher,AJ$4,m_date,($G$2+17),m_active,1,m_start,"&lt;"&amp;1080,m_end,"&gt;"&amp;1020)&gt;1,"충돌",HYPERLINK("#'관리자_MASTER'!D"&amp;_xlfn.MAXIFS(m_row,m_teacher,AJ$4,m_date,($G$2+17),m_active,1,m_start,"&lt;"&amp;1080,m_end,"&gt;"&amp;1020),INDEX(m_label,_xlfn.MAXIFS(m_row,m_teacher,AJ$4,m_date,($G$2+17),m_active,1,m_start,"&lt;"&amp;1080,m_end,"&gt;"&amp;1020))))))</f>
        <v/>
      </c>
      <c r="AK46" s="88" t="str">
        <f aca="false">IF(OR(AK$4="",MONTH(($G$2+17))&lt;&gt;MONTH($C$2)),"",IF(COUNTIFS(m_teacher,AK$4,m_date,($G$2+17),m_active,1,m_start,"&lt;"&amp;1080,m_end,"&gt;"&amp;1020)=0,"",IF(COUNTIFS(m_teacher,AK$4,m_date,($G$2+17),m_active,1,m_start,"&lt;"&amp;1080,m_end,"&gt;"&amp;1020)&gt;1,"충돌",HYPERLINK("#'관리자_MASTER'!D"&amp;_xlfn.MAXIFS(m_row,m_teacher,AK$4,m_date,($G$2+17),m_active,1,m_start,"&lt;"&amp;1080,m_end,"&gt;"&amp;1020),INDEX(m_label,_xlfn.MAXIFS(m_row,m_teacher,AK$4,m_date,($G$2+17),m_active,1,m_start,"&lt;"&amp;1080,m_end,"&gt;"&amp;1020))))))</f>
        <v/>
      </c>
      <c r="AL46" s="88" t="str">
        <f aca="false">IF(OR(AL$4="",MONTH(($G$2+17))&lt;&gt;MONTH($C$2)),"",IF(COUNTIFS(m_teacher,AL$4,m_date,($G$2+17),m_active,1,m_start,"&lt;"&amp;1080,m_end,"&gt;"&amp;1020)=0,"",IF(COUNTIFS(m_teacher,AL$4,m_date,($G$2+17),m_active,1,m_start,"&lt;"&amp;1080,m_end,"&gt;"&amp;1020)&gt;1,"충돌",HYPERLINK("#'관리자_MASTER'!D"&amp;_xlfn.MAXIFS(m_row,m_teacher,AL$4,m_date,($G$2+17),m_active,1,m_start,"&lt;"&amp;1080,m_end,"&gt;"&amp;1020),INDEX(m_label,_xlfn.MAXIFS(m_row,m_teacher,AL$4,m_date,($G$2+17),m_active,1,m_start,"&lt;"&amp;1080,m_end,"&gt;"&amp;1020))))))</f>
        <v/>
      </c>
      <c r="AM46" s="88" t="str">
        <f aca="false">IF(OR(AM$4="",MONTH(($G$2+17))&lt;&gt;MONTH($C$2)),"",IF(COUNTIFS(m_teacher,AM$4,m_date,($G$2+17),m_active,1,m_start,"&lt;"&amp;1080,m_end,"&gt;"&amp;1020)=0,"",IF(COUNTIFS(m_teacher,AM$4,m_date,($G$2+17),m_active,1,m_start,"&lt;"&amp;1080,m_end,"&gt;"&amp;1020)&gt;1,"충돌",HYPERLINK("#'관리자_MASTER'!D"&amp;_xlfn.MAXIFS(m_row,m_teacher,AM$4,m_date,($G$2+17),m_active,1,m_start,"&lt;"&amp;1080,m_end,"&gt;"&amp;1020),INDEX(m_label,_xlfn.MAXIFS(m_row,m_teacher,AM$4,m_date,($G$2+17),m_active,1,m_start,"&lt;"&amp;1080,m_end,"&gt;"&amp;1020))))))</f>
        <v/>
      </c>
      <c r="AN46" s="88" t="str">
        <f aca="false">IF(OR(AN$4="",MONTH(($G$2+17))&lt;&gt;MONTH($C$2)),"",IF(COUNTIFS(m_teacher,AN$4,m_date,($G$2+17),m_active,1,m_start,"&lt;"&amp;1080,m_end,"&gt;"&amp;1020)=0,"",IF(COUNTIFS(m_teacher,AN$4,m_date,($G$2+17),m_active,1,m_start,"&lt;"&amp;1080,m_end,"&gt;"&amp;1020)&gt;1,"충돌",HYPERLINK("#'관리자_MASTER'!D"&amp;_xlfn.MAXIFS(m_row,m_teacher,AN$4,m_date,($G$2+17),m_active,1,m_start,"&lt;"&amp;1080,m_end,"&gt;"&amp;1020),INDEX(m_label,_xlfn.MAXIFS(m_row,m_teacher,AN$4,m_date,($G$2+17),m_active,1,m_start,"&lt;"&amp;1080,m_end,"&gt;"&amp;1020))))))</f>
        <v/>
      </c>
      <c r="AO46" s="88" t="str">
        <f aca="false">IF(OR(AO$4="",MONTH(($G$2+17))&lt;&gt;MONTH($C$2)),"",IF(COUNTIFS(m_teacher,AO$4,m_date,($G$2+17),m_active,1,m_start,"&lt;"&amp;1080,m_end,"&gt;"&amp;1020)=0,"",IF(COUNTIFS(m_teacher,AO$4,m_date,($G$2+17),m_active,1,m_start,"&lt;"&amp;1080,m_end,"&gt;"&amp;1020)&gt;1,"충돌",HYPERLINK("#'관리자_MASTER'!D"&amp;_xlfn.MAXIFS(m_row,m_teacher,AO$4,m_date,($G$2+17),m_active,1,m_start,"&lt;"&amp;1080,m_end,"&gt;"&amp;1020),INDEX(m_label,_xlfn.MAXIFS(m_row,m_teacher,AO$4,m_date,($G$2+17),m_active,1,m_start,"&lt;"&amp;1080,m_end,"&gt;"&amp;1020))))))</f>
        <v/>
      </c>
      <c r="AP46" s="88" t="str">
        <f aca="false">IF(OR(AP$4="",MONTH(($G$2+17))&lt;&gt;MONTH($C$2)),"",IF(COUNTIFS(m_teacher,AP$4,m_date,($G$2+17),m_active,1,m_start,"&lt;"&amp;1080,m_end,"&gt;"&amp;1020)=0,"",IF(COUNTIFS(m_teacher,AP$4,m_date,($G$2+17),m_active,1,m_start,"&lt;"&amp;1080,m_end,"&gt;"&amp;1020)&gt;1,"충돌",HYPERLINK("#'관리자_MASTER'!D"&amp;_xlfn.MAXIFS(m_row,m_teacher,AP$4,m_date,($G$2+17),m_active,1,m_start,"&lt;"&amp;1080,m_end,"&gt;"&amp;1020),INDEX(m_label,_xlfn.MAXIFS(m_row,m_teacher,AP$4,m_date,($G$2+17),m_active,1,m_start,"&lt;"&amp;1080,m_end,"&gt;"&amp;1020))))))</f>
        <v/>
      </c>
      <c r="AQ46" s="78"/>
      <c r="AR46" s="79" t="s">
        <v>99</v>
      </c>
      <c r="AS46" s="88" t="str">
        <f aca="false">IF(OR(AS$4="",MONTH(($G$2+24))&lt;&gt;MONTH($C$2)),"",IF(COUNTIFS(m_teacher,AS$4,m_date,($G$2+24),m_active,1,m_start,"&lt;"&amp;1080,m_end,"&gt;"&amp;1020)=0,"",IF(COUNTIFS(m_teacher,AS$4,m_date,($G$2+24),m_active,1,m_start,"&lt;"&amp;1080,m_end,"&gt;"&amp;1020)&gt;1,"충돌",HYPERLINK("#'관리자_MASTER'!D"&amp;_xlfn.MAXIFS(m_row,m_teacher,AS$4,m_date,($G$2+24),m_active,1,m_start,"&lt;"&amp;1080,m_end,"&gt;"&amp;1020),INDEX(m_label,_xlfn.MAXIFS(m_row,m_teacher,AS$4,m_date,($G$2+24),m_active,1,m_start,"&lt;"&amp;1080,m_end,"&gt;"&amp;1020))))))</f>
        <v/>
      </c>
      <c r="AT46" s="88" t="str">
        <f aca="false">IF(OR(AT$4="",MONTH(($G$2+24))&lt;&gt;MONTH($C$2)),"",IF(COUNTIFS(m_teacher,AT$4,m_date,($G$2+24),m_active,1,m_start,"&lt;"&amp;1080,m_end,"&gt;"&amp;1020)=0,"",IF(COUNTIFS(m_teacher,AT$4,m_date,($G$2+24),m_active,1,m_start,"&lt;"&amp;1080,m_end,"&gt;"&amp;1020)&gt;1,"충돌",HYPERLINK("#'관리자_MASTER'!D"&amp;_xlfn.MAXIFS(m_row,m_teacher,AT$4,m_date,($G$2+24),m_active,1,m_start,"&lt;"&amp;1080,m_end,"&gt;"&amp;1020),INDEX(m_label,_xlfn.MAXIFS(m_row,m_teacher,AT$4,m_date,($G$2+24),m_active,1,m_start,"&lt;"&amp;1080,m_end,"&gt;"&amp;1020))))))</f>
        <v/>
      </c>
      <c r="AU46" s="88" t="str">
        <f aca="false">IF(OR(AU$4="",MONTH(($G$2+24))&lt;&gt;MONTH($C$2)),"",IF(COUNTIFS(m_teacher,AU$4,m_date,($G$2+24),m_active,1,m_start,"&lt;"&amp;1080,m_end,"&gt;"&amp;1020)=0,"",IF(COUNTIFS(m_teacher,AU$4,m_date,($G$2+24),m_active,1,m_start,"&lt;"&amp;1080,m_end,"&gt;"&amp;1020)&gt;1,"충돌",HYPERLINK("#'관리자_MASTER'!D"&amp;_xlfn.MAXIFS(m_row,m_teacher,AU$4,m_date,($G$2+24),m_active,1,m_start,"&lt;"&amp;1080,m_end,"&gt;"&amp;1020),INDEX(m_label,_xlfn.MAXIFS(m_row,m_teacher,AU$4,m_date,($G$2+24),m_active,1,m_start,"&lt;"&amp;1080,m_end,"&gt;"&amp;1020))))))</f>
        <v/>
      </c>
      <c r="AV46" s="88" t="str">
        <f aca="false">IF(OR(AV$4="",MONTH(($G$2+24))&lt;&gt;MONTH($C$2)),"",IF(COUNTIFS(m_teacher,AV$4,m_date,($G$2+24),m_active,1,m_start,"&lt;"&amp;1080,m_end,"&gt;"&amp;1020)=0,"",IF(COUNTIFS(m_teacher,AV$4,m_date,($G$2+24),m_active,1,m_start,"&lt;"&amp;1080,m_end,"&gt;"&amp;1020)&gt;1,"충돌",HYPERLINK("#'관리자_MASTER'!D"&amp;_xlfn.MAXIFS(m_row,m_teacher,AV$4,m_date,($G$2+24),m_active,1,m_start,"&lt;"&amp;1080,m_end,"&gt;"&amp;1020),INDEX(m_label,_xlfn.MAXIFS(m_row,m_teacher,AV$4,m_date,($G$2+24),m_active,1,m_start,"&lt;"&amp;1080,m_end,"&gt;"&amp;1020))))))</f>
        <v/>
      </c>
      <c r="AW46" s="88" t="str">
        <f aca="false">IF(OR(AW$4="",MONTH(($G$2+24))&lt;&gt;MONTH($C$2)),"",IF(COUNTIFS(m_teacher,AW$4,m_date,($G$2+24),m_active,1,m_start,"&lt;"&amp;1080,m_end,"&gt;"&amp;1020)=0,"",IF(COUNTIFS(m_teacher,AW$4,m_date,($G$2+24),m_active,1,m_start,"&lt;"&amp;1080,m_end,"&gt;"&amp;1020)&gt;1,"충돌",HYPERLINK("#'관리자_MASTER'!D"&amp;_xlfn.MAXIFS(m_row,m_teacher,AW$4,m_date,($G$2+24),m_active,1,m_start,"&lt;"&amp;1080,m_end,"&gt;"&amp;1020),INDEX(m_label,_xlfn.MAXIFS(m_row,m_teacher,AW$4,m_date,($G$2+24),m_active,1,m_start,"&lt;"&amp;1080,m_end,"&gt;"&amp;1020))))))</f>
        <v/>
      </c>
      <c r="AX46" s="88" t="str">
        <f aca="false">IF(OR(AX$4="",MONTH(($G$2+24))&lt;&gt;MONTH($C$2)),"",IF(COUNTIFS(m_teacher,AX$4,m_date,($G$2+24),m_active,1,m_start,"&lt;"&amp;1080,m_end,"&gt;"&amp;1020)=0,"",IF(COUNTIFS(m_teacher,AX$4,m_date,($G$2+24),m_active,1,m_start,"&lt;"&amp;1080,m_end,"&gt;"&amp;1020)&gt;1,"충돌",HYPERLINK("#'관리자_MASTER'!D"&amp;_xlfn.MAXIFS(m_row,m_teacher,AX$4,m_date,($G$2+24),m_active,1,m_start,"&lt;"&amp;1080,m_end,"&gt;"&amp;1020),INDEX(m_label,_xlfn.MAXIFS(m_row,m_teacher,AX$4,m_date,($G$2+24),m_active,1,m_start,"&lt;"&amp;1080,m_end,"&gt;"&amp;1020))))))</f>
        <v/>
      </c>
      <c r="AY46" s="88" t="str">
        <f aca="false">IF(OR(AY$4="",MONTH(($G$2+24))&lt;&gt;MONTH($C$2)),"",IF(COUNTIFS(m_teacher,AY$4,m_date,($G$2+24),m_active,1,m_start,"&lt;"&amp;1080,m_end,"&gt;"&amp;1020)=0,"",IF(COUNTIFS(m_teacher,AY$4,m_date,($G$2+24),m_active,1,m_start,"&lt;"&amp;1080,m_end,"&gt;"&amp;1020)&gt;1,"충돌",HYPERLINK("#'관리자_MASTER'!D"&amp;_xlfn.MAXIFS(m_row,m_teacher,AY$4,m_date,($G$2+24),m_active,1,m_start,"&lt;"&amp;1080,m_end,"&gt;"&amp;1020),INDEX(m_label,_xlfn.MAXIFS(m_row,m_teacher,AY$4,m_date,($G$2+24),m_active,1,m_start,"&lt;"&amp;1080,m_end,"&gt;"&amp;1020))))))</f>
        <v/>
      </c>
      <c r="AZ46" s="88" t="str">
        <f aca="false">IF(OR(AZ$4="",MONTH(($G$2+24))&lt;&gt;MONTH($C$2)),"",IF(COUNTIFS(m_teacher,AZ$4,m_date,($G$2+24),m_active,1,m_start,"&lt;"&amp;1080,m_end,"&gt;"&amp;1020)=0,"",IF(COUNTIFS(m_teacher,AZ$4,m_date,($G$2+24),m_active,1,m_start,"&lt;"&amp;1080,m_end,"&gt;"&amp;1020)&gt;1,"충돌",HYPERLINK("#'관리자_MASTER'!D"&amp;_xlfn.MAXIFS(m_row,m_teacher,AZ$4,m_date,($G$2+24),m_active,1,m_start,"&lt;"&amp;1080,m_end,"&gt;"&amp;1020),INDEX(m_label,_xlfn.MAXIFS(m_row,m_teacher,AZ$4,m_date,($G$2+24),m_active,1,m_start,"&lt;"&amp;1080,m_end,"&gt;"&amp;1020))))))</f>
        <v/>
      </c>
      <c r="BA46" s="88" t="str">
        <f aca="false">IF(OR(BA$4="",MONTH(($G$2+24))&lt;&gt;MONTH($C$2)),"",IF(COUNTIFS(m_teacher,BA$4,m_date,($G$2+24),m_active,1,m_start,"&lt;"&amp;1080,m_end,"&gt;"&amp;1020)=0,"",IF(COUNTIFS(m_teacher,BA$4,m_date,($G$2+24),m_active,1,m_start,"&lt;"&amp;1080,m_end,"&gt;"&amp;1020)&gt;1,"충돌",HYPERLINK("#'관리자_MASTER'!D"&amp;_xlfn.MAXIFS(m_row,m_teacher,BA$4,m_date,($G$2+24),m_active,1,m_start,"&lt;"&amp;1080,m_end,"&gt;"&amp;1020),INDEX(m_label,_xlfn.MAXIFS(m_row,m_teacher,BA$4,m_date,($G$2+24),m_active,1,m_start,"&lt;"&amp;1080,m_end,"&gt;"&amp;1020))))))</f>
        <v/>
      </c>
      <c r="BB46" s="88" t="str">
        <f aca="false">IF(OR(BB$4="",MONTH(($G$2+24))&lt;&gt;MONTH($C$2)),"",IF(COUNTIFS(m_teacher,BB$4,m_date,($G$2+24),m_active,1,m_start,"&lt;"&amp;1080,m_end,"&gt;"&amp;1020)=0,"",IF(COUNTIFS(m_teacher,BB$4,m_date,($G$2+24),m_active,1,m_start,"&lt;"&amp;1080,m_end,"&gt;"&amp;1020)&gt;1,"충돌",HYPERLINK("#'관리자_MASTER'!D"&amp;_xlfn.MAXIFS(m_row,m_teacher,BB$4,m_date,($G$2+24),m_active,1,m_start,"&lt;"&amp;1080,m_end,"&gt;"&amp;1020),INDEX(m_label,_xlfn.MAXIFS(m_row,m_teacher,BB$4,m_date,($G$2+24),m_active,1,m_start,"&lt;"&amp;1080,m_end,"&gt;"&amp;1020))))))</f>
        <v/>
      </c>
      <c r="BC46" s="88" t="str">
        <f aca="false">IF(OR(BC$4="",MONTH(($G$2+24))&lt;&gt;MONTH($C$2)),"",IF(COUNTIFS(m_teacher,BC$4,m_date,($G$2+24),m_active,1,m_start,"&lt;"&amp;1080,m_end,"&gt;"&amp;1020)=0,"",IF(COUNTIFS(m_teacher,BC$4,m_date,($G$2+24),m_active,1,m_start,"&lt;"&amp;1080,m_end,"&gt;"&amp;1020)&gt;1,"충돌",HYPERLINK("#'관리자_MASTER'!D"&amp;_xlfn.MAXIFS(m_row,m_teacher,BC$4,m_date,($G$2+24),m_active,1,m_start,"&lt;"&amp;1080,m_end,"&gt;"&amp;1020),INDEX(m_label,_xlfn.MAXIFS(m_row,m_teacher,BC$4,m_date,($G$2+24),m_active,1,m_start,"&lt;"&amp;1080,m_end,"&gt;"&amp;1020))))))</f>
        <v/>
      </c>
      <c r="BD46" s="88" t="str">
        <f aca="false">IF(OR(BD$4="",MONTH(($G$2+24))&lt;&gt;MONTH($C$2)),"",IF(COUNTIFS(m_teacher,BD$4,m_date,($G$2+24),m_active,1,m_start,"&lt;"&amp;1080,m_end,"&gt;"&amp;1020)=0,"",IF(COUNTIFS(m_teacher,BD$4,m_date,($G$2+24),m_active,1,m_start,"&lt;"&amp;1080,m_end,"&gt;"&amp;1020)&gt;1,"충돌",HYPERLINK("#'관리자_MASTER'!D"&amp;_xlfn.MAXIFS(m_row,m_teacher,BD$4,m_date,($G$2+24),m_active,1,m_start,"&lt;"&amp;1080,m_end,"&gt;"&amp;1020),INDEX(m_label,_xlfn.MAXIFS(m_row,m_teacher,BD$4,m_date,($G$2+24),m_active,1,m_start,"&lt;"&amp;1080,m_end,"&gt;"&amp;1020))))))</f>
        <v/>
      </c>
    </row>
    <row r="47" customFormat="false" ht="19.5" hidden="false" customHeight="true" outlineLevel="0" collapsed="false">
      <c r="A47" s="78"/>
      <c r="B47" s="79" t="s">
        <v>100</v>
      </c>
      <c r="C47" s="88" t="str">
        <f aca="false">IF(OR(C$4="",MONTH(($G$2+3))&lt;&gt;MONTH($C$2)),"",IF(COUNTIFS(m_teacher,C$4,m_date,($G$2+3),m_active,1,m_start,"&lt;"&amp;1140,m_end,"&gt;"&amp;1080)=0,"",IF(COUNTIFS(m_teacher,C$4,m_date,($G$2+3),m_active,1,m_start,"&lt;"&amp;1140,m_end,"&gt;"&amp;1080)&gt;1,"충돌",HYPERLINK("#'관리자_MASTER'!D"&amp;_xlfn.MAXIFS(m_row,m_teacher,C$4,m_date,($G$2+3),m_active,1,m_start,"&lt;"&amp;1140,m_end,"&gt;"&amp;1080),INDEX(m_label,_xlfn.MAXIFS(m_row,m_teacher,C$4,m_date,($G$2+3),m_active,1,m_start,"&lt;"&amp;1140,m_end,"&gt;"&amp;1080))))))</f>
        <v/>
      </c>
      <c r="D47" s="88" t="str">
        <f aca="false">IF(OR(D$4="",MONTH(($G$2+3))&lt;&gt;MONTH($C$2)),"",IF(COUNTIFS(m_teacher,D$4,m_date,($G$2+3),m_active,1,m_start,"&lt;"&amp;1140,m_end,"&gt;"&amp;1080)=0,"",IF(COUNTIFS(m_teacher,D$4,m_date,($G$2+3),m_active,1,m_start,"&lt;"&amp;1140,m_end,"&gt;"&amp;1080)&gt;1,"충돌",HYPERLINK("#'관리자_MASTER'!D"&amp;_xlfn.MAXIFS(m_row,m_teacher,D$4,m_date,($G$2+3),m_active,1,m_start,"&lt;"&amp;1140,m_end,"&gt;"&amp;1080),INDEX(m_label,_xlfn.MAXIFS(m_row,m_teacher,D$4,m_date,($G$2+3),m_active,1,m_start,"&lt;"&amp;1140,m_end,"&gt;"&amp;1080))))))</f>
        <v/>
      </c>
      <c r="E47" s="88" t="str">
        <f aca="false">IF(OR(E$4="",MONTH(($G$2+3))&lt;&gt;MONTH($C$2)),"",IF(COUNTIFS(m_teacher,E$4,m_date,($G$2+3),m_active,1,m_start,"&lt;"&amp;1140,m_end,"&gt;"&amp;1080)=0,"",IF(COUNTIFS(m_teacher,E$4,m_date,($G$2+3),m_active,1,m_start,"&lt;"&amp;1140,m_end,"&gt;"&amp;1080)&gt;1,"충돌",HYPERLINK("#'관리자_MASTER'!D"&amp;_xlfn.MAXIFS(m_row,m_teacher,E$4,m_date,($G$2+3),m_active,1,m_start,"&lt;"&amp;1140,m_end,"&gt;"&amp;1080),INDEX(m_label,_xlfn.MAXIFS(m_row,m_teacher,E$4,m_date,($G$2+3),m_active,1,m_start,"&lt;"&amp;1140,m_end,"&gt;"&amp;1080))))))</f>
        <v/>
      </c>
      <c r="F47" s="88" t="str">
        <f aca="false">IF(OR(F$4="",MONTH(($G$2+3))&lt;&gt;MONTH($C$2)),"",IF(COUNTIFS(m_teacher,F$4,m_date,($G$2+3),m_active,1,m_start,"&lt;"&amp;1140,m_end,"&gt;"&amp;1080)=0,"",IF(COUNTIFS(m_teacher,F$4,m_date,($G$2+3),m_active,1,m_start,"&lt;"&amp;1140,m_end,"&gt;"&amp;1080)&gt;1,"충돌",HYPERLINK("#'관리자_MASTER'!D"&amp;_xlfn.MAXIFS(m_row,m_teacher,F$4,m_date,($G$2+3),m_active,1,m_start,"&lt;"&amp;1140,m_end,"&gt;"&amp;1080),INDEX(m_label,_xlfn.MAXIFS(m_row,m_teacher,F$4,m_date,($G$2+3),m_active,1,m_start,"&lt;"&amp;1140,m_end,"&gt;"&amp;1080))))))</f>
        <v/>
      </c>
      <c r="G47" s="88" t="str">
        <f aca="false">IF(OR(G$4="",MONTH(($G$2+3))&lt;&gt;MONTH($C$2)),"",IF(COUNTIFS(m_teacher,G$4,m_date,($G$2+3),m_active,1,m_start,"&lt;"&amp;1140,m_end,"&gt;"&amp;1080)=0,"",IF(COUNTIFS(m_teacher,G$4,m_date,($G$2+3),m_active,1,m_start,"&lt;"&amp;1140,m_end,"&gt;"&amp;1080)&gt;1,"충돌",HYPERLINK("#'관리자_MASTER'!D"&amp;_xlfn.MAXIFS(m_row,m_teacher,G$4,m_date,($G$2+3),m_active,1,m_start,"&lt;"&amp;1140,m_end,"&gt;"&amp;1080),INDEX(m_label,_xlfn.MAXIFS(m_row,m_teacher,G$4,m_date,($G$2+3),m_active,1,m_start,"&lt;"&amp;1140,m_end,"&gt;"&amp;1080))))))</f>
        <v/>
      </c>
      <c r="H47" s="88" t="str">
        <f aca="false">IF(OR(H$4="",MONTH(($G$2+3))&lt;&gt;MONTH($C$2)),"",IF(COUNTIFS(m_teacher,H$4,m_date,($G$2+3),m_active,1,m_start,"&lt;"&amp;1140,m_end,"&gt;"&amp;1080)=0,"",IF(COUNTIFS(m_teacher,H$4,m_date,($G$2+3),m_active,1,m_start,"&lt;"&amp;1140,m_end,"&gt;"&amp;1080)&gt;1,"충돌",HYPERLINK("#'관리자_MASTER'!D"&amp;_xlfn.MAXIFS(m_row,m_teacher,H$4,m_date,($G$2+3),m_active,1,m_start,"&lt;"&amp;1140,m_end,"&gt;"&amp;1080),INDEX(m_label,_xlfn.MAXIFS(m_row,m_teacher,H$4,m_date,($G$2+3),m_active,1,m_start,"&lt;"&amp;1140,m_end,"&gt;"&amp;1080))))))</f>
        <v/>
      </c>
      <c r="I47" s="88" t="str">
        <f aca="false">IF(OR(I$4="",MONTH(($G$2+3))&lt;&gt;MONTH($C$2)),"",IF(COUNTIFS(m_teacher,I$4,m_date,($G$2+3),m_active,1,m_start,"&lt;"&amp;1140,m_end,"&gt;"&amp;1080)=0,"",IF(COUNTIFS(m_teacher,I$4,m_date,($G$2+3),m_active,1,m_start,"&lt;"&amp;1140,m_end,"&gt;"&amp;1080)&gt;1,"충돌",HYPERLINK("#'관리자_MASTER'!D"&amp;_xlfn.MAXIFS(m_row,m_teacher,I$4,m_date,($G$2+3),m_active,1,m_start,"&lt;"&amp;1140,m_end,"&gt;"&amp;1080),INDEX(m_label,_xlfn.MAXIFS(m_row,m_teacher,I$4,m_date,($G$2+3),m_active,1,m_start,"&lt;"&amp;1140,m_end,"&gt;"&amp;1080))))))</f>
        <v/>
      </c>
      <c r="J47" s="88" t="str">
        <f aca="false">IF(OR(J$4="",MONTH(($G$2+3))&lt;&gt;MONTH($C$2)),"",IF(COUNTIFS(m_teacher,J$4,m_date,($G$2+3),m_active,1,m_start,"&lt;"&amp;1140,m_end,"&gt;"&amp;1080)=0,"",IF(COUNTIFS(m_teacher,J$4,m_date,($G$2+3),m_active,1,m_start,"&lt;"&amp;1140,m_end,"&gt;"&amp;1080)&gt;1,"충돌",HYPERLINK("#'관리자_MASTER'!D"&amp;_xlfn.MAXIFS(m_row,m_teacher,J$4,m_date,($G$2+3),m_active,1,m_start,"&lt;"&amp;1140,m_end,"&gt;"&amp;1080),INDEX(m_label,_xlfn.MAXIFS(m_row,m_teacher,J$4,m_date,($G$2+3),m_active,1,m_start,"&lt;"&amp;1140,m_end,"&gt;"&amp;1080))))))</f>
        <v/>
      </c>
      <c r="K47" s="88" t="str">
        <f aca="false">IF(OR(K$4="",MONTH(($G$2+3))&lt;&gt;MONTH($C$2)),"",IF(COUNTIFS(m_teacher,K$4,m_date,($G$2+3),m_active,1,m_start,"&lt;"&amp;1140,m_end,"&gt;"&amp;1080)=0,"",IF(COUNTIFS(m_teacher,K$4,m_date,($G$2+3),m_active,1,m_start,"&lt;"&amp;1140,m_end,"&gt;"&amp;1080)&gt;1,"충돌",HYPERLINK("#'관리자_MASTER'!D"&amp;_xlfn.MAXIFS(m_row,m_teacher,K$4,m_date,($G$2+3),m_active,1,m_start,"&lt;"&amp;1140,m_end,"&gt;"&amp;1080),INDEX(m_label,_xlfn.MAXIFS(m_row,m_teacher,K$4,m_date,($G$2+3),m_active,1,m_start,"&lt;"&amp;1140,m_end,"&gt;"&amp;1080))))))</f>
        <v/>
      </c>
      <c r="L47" s="88" t="str">
        <f aca="false">IF(OR(L$4="",MONTH(($G$2+3))&lt;&gt;MONTH($C$2)),"",IF(COUNTIFS(m_teacher,L$4,m_date,($G$2+3),m_active,1,m_start,"&lt;"&amp;1140,m_end,"&gt;"&amp;1080)=0,"",IF(COUNTIFS(m_teacher,L$4,m_date,($G$2+3),m_active,1,m_start,"&lt;"&amp;1140,m_end,"&gt;"&amp;1080)&gt;1,"충돌",HYPERLINK("#'관리자_MASTER'!D"&amp;_xlfn.MAXIFS(m_row,m_teacher,L$4,m_date,($G$2+3),m_active,1,m_start,"&lt;"&amp;1140,m_end,"&gt;"&amp;1080),INDEX(m_label,_xlfn.MAXIFS(m_row,m_teacher,L$4,m_date,($G$2+3),m_active,1,m_start,"&lt;"&amp;1140,m_end,"&gt;"&amp;1080))))))</f>
        <v/>
      </c>
      <c r="M47" s="88" t="str">
        <f aca="false">IF(OR(M$4="",MONTH(($G$2+3))&lt;&gt;MONTH($C$2)),"",IF(COUNTIFS(m_teacher,M$4,m_date,($G$2+3),m_active,1,m_start,"&lt;"&amp;1140,m_end,"&gt;"&amp;1080)=0,"",IF(COUNTIFS(m_teacher,M$4,m_date,($G$2+3),m_active,1,m_start,"&lt;"&amp;1140,m_end,"&gt;"&amp;1080)&gt;1,"충돌",HYPERLINK("#'관리자_MASTER'!D"&amp;_xlfn.MAXIFS(m_row,m_teacher,M$4,m_date,($G$2+3),m_active,1,m_start,"&lt;"&amp;1140,m_end,"&gt;"&amp;1080),INDEX(m_label,_xlfn.MAXIFS(m_row,m_teacher,M$4,m_date,($G$2+3),m_active,1,m_start,"&lt;"&amp;1140,m_end,"&gt;"&amp;1080))))))</f>
        <v/>
      </c>
      <c r="N47" s="88" t="str">
        <f aca="false">IF(OR(N$4="",MONTH(($G$2+3))&lt;&gt;MONTH($C$2)),"",IF(COUNTIFS(m_teacher,N$4,m_date,($G$2+3),m_active,1,m_start,"&lt;"&amp;1140,m_end,"&gt;"&amp;1080)=0,"",IF(COUNTIFS(m_teacher,N$4,m_date,($G$2+3),m_active,1,m_start,"&lt;"&amp;1140,m_end,"&gt;"&amp;1080)&gt;1,"충돌",HYPERLINK("#'관리자_MASTER'!D"&amp;_xlfn.MAXIFS(m_row,m_teacher,N$4,m_date,($G$2+3),m_active,1,m_start,"&lt;"&amp;1140,m_end,"&gt;"&amp;1080),INDEX(m_label,_xlfn.MAXIFS(m_row,m_teacher,N$4,m_date,($G$2+3),m_active,1,m_start,"&lt;"&amp;1140,m_end,"&gt;"&amp;1080))))))</f>
        <v/>
      </c>
      <c r="O47" s="78"/>
      <c r="P47" s="79" t="s">
        <v>100</v>
      </c>
      <c r="Q47" s="88" t="str">
        <f aca="false">IF(OR(Q$4="",MONTH(($G$2+10))&lt;&gt;MONTH($C$2)),"",IF(COUNTIFS(m_teacher,Q$4,m_date,($G$2+10),m_active,1,m_start,"&lt;"&amp;1140,m_end,"&gt;"&amp;1080)=0,"",IF(COUNTIFS(m_teacher,Q$4,m_date,($G$2+10),m_active,1,m_start,"&lt;"&amp;1140,m_end,"&gt;"&amp;1080)&gt;1,"충돌",HYPERLINK("#'관리자_MASTER'!D"&amp;_xlfn.MAXIFS(m_row,m_teacher,Q$4,m_date,($G$2+10),m_active,1,m_start,"&lt;"&amp;1140,m_end,"&gt;"&amp;1080),INDEX(m_label,_xlfn.MAXIFS(m_row,m_teacher,Q$4,m_date,($G$2+10),m_active,1,m_start,"&lt;"&amp;1140,m_end,"&gt;"&amp;1080))))))</f>
        <v/>
      </c>
      <c r="R47" s="88" t="str">
        <f aca="false">IF(OR(R$4="",MONTH(($G$2+10))&lt;&gt;MONTH($C$2)),"",IF(COUNTIFS(m_teacher,R$4,m_date,($G$2+10),m_active,1,m_start,"&lt;"&amp;1140,m_end,"&gt;"&amp;1080)=0,"",IF(COUNTIFS(m_teacher,R$4,m_date,($G$2+10),m_active,1,m_start,"&lt;"&amp;1140,m_end,"&gt;"&amp;1080)&gt;1,"충돌",HYPERLINK("#'관리자_MASTER'!D"&amp;_xlfn.MAXIFS(m_row,m_teacher,R$4,m_date,($G$2+10),m_active,1,m_start,"&lt;"&amp;1140,m_end,"&gt;"&amp;1080),INDEX(m_label,_xlfn.MAXIFS(m_row,m_teacher,R$4,m_date,($G$2+10),m_active,1,m_start,"&lt;"&amp;1140,m_end,"&gt;"&amp;1080))))))</f>
        <v/>
      </c>
      <c r="S47" s="88" t="str">
        <f aca="false">IF(OR(S$4="",MONTH(($G$2+10))&lt;&gt;MONTH($C$2)),"",IF(COUNTIFS(m_teacher,S$4,m_date,($G$2+10),m_active,1,m_start,"&lt;"&amp;1140,m_end,"&gt;"&amp;1080)=0,"",IF(COUNTIFS(m_teacher,S$4,m_date,($G$2+10),m_active,1,m_start,"&lt;"&amp;1140,m_end,"&gt;"&amp;1080)&gt;1,"충돌",HYPERLINK("#'관리자_MASTER'!D"&amp;_xlfn.MAXIFS(m_row,m_teacher,S$4,m_date,($G$2+10),m_active,1,m_start,"&lt;"&amp;1140,m_end,"&gt;"&amp;1080),INDEX(m_label,_xlfn.MAXIFS(m_row,m_teacher,S$4,m_date,($G$2+10),m_active,1,m_start,"&lt;"&amp;1140,m_end,"&gt;"&amp;1080))))))</f>
        <v/>
      </c>
      <c r="T47" s="88" t="str">
        <f aca="false">IF(OR(T$4="",MONTH(($G$2+10))&lt;&gt;MONTH($C$2)),"",IF(COUNTIFS(m_teacher,T$4,m_date,($G$2+10),m_active,1,m_start,"&lt;"&amp;1140,m_end,"&gt;"&amp;1080)=0,"",IF(COUNTIFS(m_teacher,T$4,m_date,($G$2+10),m_active,1,m_start,"&lt;"&amp;1140,m_end,"&gt;"&amp;1080)&gt;1,"충돌",HYPERLINK("#'관리자_MASTER'!D"&amp;_xlfn.MAXIFS(m_row,m_teacher,T$4,m_date,($G$2+10),m_active,1,m_start,"&lt;"&amp;1140,m_end,"&gt;"&amp;1080),INDEX(m_label,_xlfn.MAXIFS(m_row,m_teacher,T$4,m_date,($G$2+10),m_active,1,m_start,"&lt;"&amp;1140,m_end,"&gt;"&amp;1080))))))</f>
        <v/>
      </c>
      <c r="U47" s="88" t="str">
        <f aca="false">IF(OR(U$4="",MONTH(($G$2+10))&lt;&gt;MONTH($C$2)),"",IF(COUNTIFS(m_teacher,U$4,m_date,($G$2+10),m_active,1,m_start,"&lt;"&amp;1140,m_end,"&gt;"&amp;1080)=0,"",IF(COUNTIFS(m_teacher,U$4,m_date,($G$2+10),m_active,1,m_start,"&lt;"&amp;1140,m_end,"&gt;"&amp;1080)&gt;1,"충돌",HYPERLINK("#'관리자_MASTER'!D"&amp;_xlfn.MAXIFS(m_row,m_teacher,U$4,m_date,($G$2+10),m_active,1,m_start,"&lt;"&amp;1140,m_end,"&gt;"&amp;1080),INDEX(m_label,_xlfn.MAXIFS(m_row,m_teacher,U$4,m_date,($G$2+10),m_active,1,m_start,"&lt;"&amp;1140,m_end,"&gt;"&amp;1080))))))</f>
        <v/>
      </c>
      <c r="V47" s="88" t="str">
        <f aca="false">IF(OR(V$4="",MONTH(($G$2+10))&lt;&gt;MONTH($C$2)),"",IF(COUNTIFS(m_teacher,V$4,m_date,($G$2+10),m_active,1,m_start,"&lt;"&amp;1140,m_end,"&gt;"&amp;1080)=0,"",IF(COUNTIFS(m_teacher,V$4,m_date,($G$2+10),m_active,1,m_start,"&lt;"&amp;1140,m_end,"&gt;"&amp;1080)&gt;1,"충돌",HYPERLINK("#'관리자_MASTER'!D"&amp;_xlfn.MAXIFS(m_row,m_teacher,V$4,m_date,($G$2+10),m_active,1,m_start,"&lt;"&amp;1140,m_end,"&gt;"&amp;1080),INDEX(m_label,_xlfn.MAXIFS(m_row,m_teacher,V$4,m_date,($G$2+10),m_active,1,m_start,"&lt;"&amp;1140,m_end,"&gt;"&amp;1080))))))</f>
        <v/>
      </c>
      <c r="W47" s="88" t="str">
        <f aca="false">IF(OR(W$4="",MONTH(($G$2+10))&lt;&gt;MONTH($C$2)),"",IF(COUNTIFS(m_teacher,W$4,m_date,($G$2+10),m_active,1,m_start,"&lt;"&amp;1140,m_end,"&gt;"&amp;1080)=0,"",IF(COUNTIFS(m_teacher,W$4,m_date,($G$2+10),m_active,1,m_start,"&lt;"&amp;1140,m_end,"&gt;"&amp;1080)&gt;1,"충돌",HYPERLINK("#'관리자_MASTER'!D"&amp;_xlfn.MAXIFS(m_row,m_teacher,W$4,m_date,($G$2+10),m_active,1,m_start,"&lt;"&amp;1140,m_end,"&gt;"&amp;1080),INDEX(m_label,_xlfn.MAXIFS(m_row,m_teacher,W$4,m_date,($G$2+10),m_active,1,m_start,"&lt;"&amp;1140,m_end,"&gt;"&amp;1080))))))</f>
        <v/>
      </c>
      <c r="X47" s="88" t="str">
        <f aca="false">IF(OR(X$4="",MONTH(($G$2+10))&lt;&gt;MONTH($C$2)),"",IF(COUNTIFS(m_teacher,X$4,m_date,($G$2+10),m_active,1,m_start,"&lt;"&amp;1140,m_end,"&gt;"&amp;1080)=0,"",IF(COUNTIFS(m_teacher,X$4,m_date,($G$2+10),m_active,1,m_start,"&lt;"&amp;1140,m_end,"&gt;"&amp;1080)&gt;1,"충돌",HYPERLINK("#'관리자_MASTER'!D"&amp;_xlfn.MAXIFS(m_row,m_teacher,X$4,m_date,($G$2+10),m_active,1,m_start,"&lt;"&amp;1140,m_end,"&gt;"&amp;1080),INDEX(m_label,_xlfn.MAXIFS(m_row,m_teacher,X$4,m_date,($G$2+10),m_active,1,m_start,"&lt;"&amp;1140,m_end,"&gt;"&amp;1080))))))</f>
        <v/>
      </c>
      <c r="Y47" s="88" t="str">
        <f aca="false">IF(OR(Y$4="",MONTH(($G$2+10))&lt;&gt;MONTH($C$2)),"",IF(COUNTIFS(m_teacher,Y$4,m_date,($G$2+10),m_active,1,m_start,"&lt;"&amp;1140,m_end,"&gt;"&amp;1080)=0,"",IF(COUNTIFS(m_teacher,Y$4,m_date,($G$2+10),m_active,1,m_start,"&lt;"&amp;1140,m_end,"&gt;"&amp;1080)&gt;1,"충돌",HYPERLINK("#'관리자_MASTER'!D"&amp;_xlfn.MAXIFS(m_row,m_teacher,Y$4,m_date,($G$2+10),m_active,1,m_start,"&lt;"&amp;1140,m_end,"&gt;"&amp;1080),INDEX(m_label,_xlfn.MAXIFS(m_row,m_teacher,Y$4,m_date,($G$2+10),m_active,1,m_start,"&lt;"&amp;1140,m_end,"&gt;"&amp;1080))))))</f>
        <v/>
      </c>
      <c r="Z47" s="88" t="str">
        <f aca="false">IF(OR(Z$4="",MONTH(($G$2+10))&lt;&gt;MONTH($C$2)),"",IF(COUNTIFS(m_teacher,Z$4,m_date,($G$2+10),m_active,1,m_start,"&lt;"&amp;1140,m_end,"&gt;"&amp;1080)=0,"",IF(COUNTIFS(m_teacher,Z$4,m_date,($G$2+10),m_active,1,m_start,"&lt;"&amp;1140,m_end,"&gt;"&amp;1080)&gt;1,"충돌",HYPERLINK("#'관리자_MASTER'!D"&amp;_xlfn.MAXIFS(m_row,m_teacher,Z$4,m_date,($G$2+10),m_active,1,m_start,"&lt;"&amp;1140,m_end,"&gt;"&amp;1080),INDEX(m_label,_xlfn.MAXIFS(m_row,m_teacher,Z$4,m_date,($G$2+10),m_active,1,m_start,"&lt;"&amp;1140,m_end,"&gt;"&amp;1080))))))</f>
        <v/>
      </c>
      <c r="AA47" s="88" t="str">
        <f aca="false">IF(OR(AA$4="",MONTH(($G$2+10))&lt;&gt;MONTH($C$2)),"",IF(COUNTIFS(m_teacher,AA$4,m_date,($G$2+10),m_active,1,m_start,"&lt;"&amp;1140,m_end,"&gt;"&amp;1080)=0,"",IF(COUNTIFS(m_teacher,AA$4,m_date,($G$2+10),m_active,1,m_start,"&lt;"&amp;1140,m_end,"&gt;"&amp;1080)&gt;1,"충돌",HYPERLINK("#'관리자_MASTER'!D"&amp;_xlfn.MAXIFS(m_row,m_teacher,AA$4,m_date,($G$2+10),m_active,1,m_start,"&lt;"&amp;1140,m_end,"&gt;"&amp;1080),INDEX(m_label,_xlfn.MAXIFS(m_row,m_teacher,AA$4,m_date,($G$2+10),m_active,1,m_start,"&lt;"&amp;1140,m_end,"&gt;"&amp;1080))))))</f>
        <v/>
      </c>
      <c r="AB47" s="88" t="str">
        <f aca="false">IF(OR(AB$4="",MONTH(($G$2+10))&lt;&gt;MONTH($C$2)),"",IF(COUNTIFS(m_teacher,AB$4,m_date,($G$2+10),m_active,1,m_start,"&lt;"&amp;1140,m_end,"&gt;"&amp;1080)=0,"",IF(COUNTIFS(m_teacher,AB$4,m_date,($G$2+10),m_active,1,m_start,"&lt;"&amp;1140,m_end,"&gt;"&amp;1080)&gt;1,"충돌",HYPERLINK("#'관리자_MASTER'!D"&amp;_xlfn.MAXIFS(m_row,m_teacher,AB$4,m_date,($G$2+10),m_active,1,m_start,"&lt;"&amp;1140,m_end,"&gt;"&amp;1080),INDEX(m_label,_xlfn.MAXIFS(m_row,m_teacher,AB$4,m_date,($G$2+10),m_active,1,m_start,"&lt;"&amp;1140,m_end,"&gt;"&amp;1080))))))</f>
        <v/>
      </c>
      <c r="AC47" s="78"/>
      <c r="AD47" s="79" t="s">
        <v>100</v>
      </c>
      <c r="AE47" s="88" t="str">
        <f aca="false">IF(OR(AE$4="",MONTH(($G$2+17))&lt;&gt;MONTH($C$2)),"",IF(COUNTIFS(m_teacher,AE$4,m_date,($G$2+17),m_active,1,m_start,"&lt;"&amp;1140,m_end,"&gt;"&amp;1080)=0,"",IF(COUNTIFS(m_teacher,AE$4,m_date,($G$2+17),m_active,1,m_start,"&lt;"&amp;1140,m_end,"&gt;"&amp;1080)&gt;1,"충돌",HYPERLINK("#'관리자_MASTER'!D"&amp;_xlfn.MAXIFS(m_row,m_teacher,AE$4,m_date,($G$2+17),m_active,1,m_start,"&lt;"&amp;1140,m_end,"&gt;"&amp;1080),INDEX(m_label,_xlfn.MAXIFS(m_row,m_teacher,AE$4,m_date,($G$2+17),m_active,1,m_start,"&lt;"&amp;1140,m_end,"&gt;"&amp;1080))))))</f>
        <v/>
      </c>
      <c r="AF47" s="88" t="str">
        <f aca="false">IF(OR(AF$4="",MONTH(($G$2+17))&lt;&gt;MONTH($C$2)),"",IF(COUNTIFS(m_teacher,AF$4,m_date,($G$2+17),m_active,1,m_start,"&lt;"&amp;1140,m_end,"&gt;"&amp;1080)=0,"",IF(COUNTIFS(m_teacher,AF$4,m_date,($G$2+17),m_active,1,m_start,"&lt;"&amp;1140,m_end,"&gt;"&amp;1080)&gt;1,"충돌",HYPERLINK("#'관리자_MASTER'!D"&amp;_xlfn.MAXIFS(m_row,m_teacher,AF$4,m_date,($G$2+17),m_active,1,m_start,"&lt;"&amp;1140,m_end,"&gt;"&amp;1080),INDEX(m_label,_xlfn.MAXIFS(m_row,m_teacher,AF$4,m_date,($G$2+17),m_active,1,m_start,"&lt;"&amp;1140,m_end,"&gt;"&amp;1080))))))</f>
        <v/>
      </c>
      <c r="AG47" s="88" t="str">
        <f aca="false">IF(OR(AG$4="",MONTH(($G$2+17))&lt;&gt;MONTH($C$2)),"",IF(COUNTIFS(m_teacher,AG$4,m_date,($G$2+17),m_active,1,m_start,"&lt;"&amp;1140,m_end,"&gt;"&amp;1080)=0,"",IF(COUNTIFS(m_teacher,AG$4,m_date,($G$2+17),m_active,1,m_start,"&lt;"&amp;1140,m_end,"&gt;"&amp;1080)&gt;1,"충돌",HYPERLINK("#'관리자_MASTER'!D"&amp;_xlfn.MAXIFS(m_row,m_teacher,AG$4,m_date,($G$2+17),m_active,1,m_start,"&lt;"&amp;1140,m_end,"&gt;"&amp;1080),INDEX(m_label,_xlfn.MAXIFS(m_row,m_teacher,AG$4,m_date,($G$2+17),m_active,1,m_start,"&lt;"&amp;1140,m_end,"&gt;"&amp;1080))))))</f>
        <v/>
      </c>
      <c r="AH47" s="88" t="str">
        <f aca="false">IF(OR(AH$4="",MONTH(($G$2+17))&lt;&gt;MONTH($C$2)),"",IF(COUNTIFS(m_teacher,AH$4,m_date,($G$2+17),m_active,1,m_start,"&lt;"&amp;1140,m_end,"&gt;"&amp;1080)=0,"",IF(COUNTIFS(m_teacher,AH$4,m_date,($G$2+17),m_active,1,m_start,"&lt;"&amp;1140,m_end,"&gt;"&amp;1080)&gt;1,"충돌",HYPERLINK("#'관리자_MASTER'!D"&amp;_xlfn.MAXIFS(m_row,m_teacher,AH$4,m_date,($G$2+17),m_active,1,m_start,"&lt;"&amp;1140,m_end,"&gt;"&amp;1080),INDEX(m_label,_xlfn.MAXIFS(m_row,m_teacher,AH$4,m_date,($G$2+17),m_active,1,m_start,"&lt;"&amp;1140,m_end,"&gt;"&amp;1080))))))</f>
        <v/>
      </c>
      <c r="AI47" s="88" t="str">
        <f aca="false">IF(OR(AI$4="",MONTH(($G$2+17))&lt;&gt;MONTH($C$2)),"",IF(COUNTIFS(m_teacher,AI$4,m_date,($G$2+17),m_active,1,m_start,"&lt;"&amp;1140,m_end,"&gt;"&amp;1080)=0,"",IF(COUNTIFS(m_teacher,AI$4,m_date,($G$2+17),m_active,1,m_start,"&lt;"&amp;1140,m_end,"&gt;"&amp;1080)&gt;1,"충돌",HYPERLINK("#'관리자_MASTER'!D"&amp;_xlfn.MAXIFS(m_row,m_teacher,AI$4,m_date,($G$2+17),m_active,1,m_start,"&lt;"&amp;1140,m_end,"&gt;"&amp;1080),INDEX(m_label,_xlfn.MAXIFS(m_row,m_teacher,AI$4,m_date,($G$2+17),m_active,1,m_start,"&lt;"&amp;1140,m_end,"&gt;"&amp;1080))))))</f>
        <v/>
      </c>
      <c r="AJ47" s="88" t="str">
        <f aca="false">IF(OR(AJ$4="",MONTH(($G$2+17))&lt;&gt;MONTH($C$2)),"",IF(COUNTIFS(m_teacher,AJ$4,m_date,($G$2+17),m_active,1,m_start,"&lt;"&amp;1140,m_end,"&gt;"&amp;1080)=0,"",IF(COUNTIFS(m_teacher,AJ$4,m_date,($G$2+17),m_active,1,m_start,"&lt;"&amp;1140,m_end,"&gt;"&amp;1080)&gt;1,"충돌",HYPERLINK("#'관리자_MASTER'!D"&amp;_xlfn.MAXIFS(m_row,m_teacher,AJ$4,m_date,($G$2+17),m_active,1,m_start,"&lt;"&amp;1140,m_end,"&gt;"&amp;1080),INDEX(m_label,_xlfn.MAXIFS(m_row,m_teacher,AJ$4,m_date,($G$2+17),m_active,1,m_start,"&lt;"&amp;1140,m_end,"&gt;"&amp;1080))))))</f>
        <v/>
      </c>
      <c r="AK47" s="88" t="str">
        <f aca="false">IF(OR(AK$4="",MONTH(($G$2+17))&lt;&gt;MONTH($C$2)),"",IF(COUNTIFS(m_teacher,AK$4,m_date,($G$2+17),m_active,1,m_start,"&lt;"&amp;1140,m_end,"&gt;"&amp;1080)=0,"",IF(COUNTIFS(m_teacher,AK$4,m_date,($G$2+17),m_active,1,m_start,"&lt;"&amp;1140,m_end,"&gt;"&amp;1080)&gt;1,"충돌",HYPERLINK("#'관리자_MASTER'!D"&amp;_xlfn.MAXIFS(m_row,m_teacher,AK$4,m_date,($G$2+17),m_active,1,m_start,"&lt;"&amp;1140,m_end,"&gt;"&amp;1080),INDEX(m_label,_xlfn.MAXIFS(m_row,m_teacher,AK$4,m_date,($G$2+17),m_active,1,m_start,"&lt;"&amp;1140,m_end,"&gt;"&amp;1080))))))</f>
        <v/>
      </c>
      <c r="AL47" s="88" t="str">
        <f aca="false">IF(OR(AL$4="",MONTH(($G$2+17))&lt;&gt;MONTH($C$2)),"",IF(COUNTIFS(m_teacher,AL$4,m_date,($G$2+17),m_active,1,m_start,"&lt;"&amp;1140,m_end,"&gt;"&amp;1080)=0,"",IF(COUNTIFS(m_teacher,AL$4,m_date,($G$2+17),m_active,1,m_start,"&lt;"&amp;1140,m_end,"&gt;"&amp;1080)&gt;1,"충돌",HYPERLINK("#'관리자_MASTER'!D"&amp;_xlfn.MAXIFS(m_row,m_teacher,AL$4,m_date,($G$2+17),m_active,1,m_start,"&lt;"&amp;1140,m_end,"&gt;"&amp;1080),INDEX(m_label,_xlfn.MAXIFS(m_row,m_teacher,AL$4,m_date,($G$2+17),m_active,1,m_start,"&lt;"&amp;1140,m_end,"&gt;"&amp;1080))))))</f>
        <v/>
      </c>
      <c r="AM47" s="88" t="str">
        <f aca="false">IF(OR(AM$4="",MONTH(($G$2+17))&lt;&gt;MONTH($C$2)),"",IF(COUNTIFS(m_teacher,AM$4,m_date,($G$2+17),m_active,1,m_start,"&lt;"&amp;1140,m_end,"&gt;"&amp;1080)=0,"",IF(COUNTIFS(m_teacher,AM$4,m_date,($G$2+17),m_active,1,m_start,"&lt;"&amp;1140,m_end,"&gt;"&amp;1080)&gt;1,"충돌",HYPERLINK("#'관리자_MASTER'!D"&amp;_xlfn.MAXIFS(m_row,m_teacher,AM$4,m_date,($G$2+17),m_active,1,m_start,"&lt;"&amp;1140,m_end,"&gt;"&amp;1080),INDEX(m_label,_xlfn.MAXIFS(m_row,m_teacher,AM$4,m_date,($G$2+17),m_active,1,m_start,"&lt;"&amp;1140,m_end,"&gt;"&amp;1080))))))</f>
        <v/>
      </c>
      <c r="AN47" s="88" t="str">
        <f aca="false">IF(OR(AN$4="",MONTH(($G$2+17))&lt;&gt;MONTH($C$2)),"",IF(COUNTIFS(m_teacher,AN$4,m_date,($G$2+17),m_active,1,m_start,"&lt;"&amp;1140,m_end,"&gt;"&amp;1080)=0,"",IF(COUNTIFS(m_teacher,AN$4,m_date,($G$2+17),m_active,1,m_start,"&lt;"&amp;1140,m_end,"&gt;"&amp;1080)&gt;1,"충돌",HYPERLINK("#'관리자_MASTER'!D"&amp;_xlfn.MAXIFS(m_row,m_teacher,AN$4,m_date,($G$2+17),m_active,1,m_start,"&lt;"&amp;1140,m_end,"&gt;"&amp;1080),INDEX(m_label,_xlfn.MAXIFS(m_row,m_teacher,AN$4,m_date,($G$2+17),m_active,1,m_start,"&lt;"&amp;1140,m_end,"&gt;"&amp;1080))))))</f>
        <v/>
      </c>
      <c r="AO47" s="88" t="str">
        <f aca="false">IF(OR(AO$4="",MONTH(($G$2+17))&lt;&gt;MONTH($C$2)),"",IF(COUNTIFS(m_teacher,AO$4,m_date,($G$2+17),m_active,1,m_start,"&lt;"&amp;1140,m_end,"&gt;"&amp;1080)=0,"",IF(COUNTIFS(m_teacher,AO$4,m_date,($G$2+17),m_active,1,m_start,"&lt;"&amp;1140,m_end,"&gt;"&amp;1080)&gt;1,"충돌",HYPERLINK("#'관리자_MASTER'!D"&amp;_xlfn.MAXIFS(m_row,m_teacher,AO$4,m_date,($G$2+17),m_active,1,m_start,"&lt;"&amp;1140,m_end,"&gt;"&amp;1080),INDEX(m_label,_xlfn.MAXIFS(m_row,m_teacher,AO$4,m_date,($G$2+17),m_active,1,m_start,"&lt;"&amp;1140,m_end,"&gt;"&amp;1080))))))</f>
        <v/>
      </c>
      <c r="AP47" s="88" t="str">
        <f aca="false">IF(OR(AP$4="",MONTH(($G$2+17))&lt;&gt;MONTH($C$2)),"",IF(COUNTIFS(m_teacher,AP$4,m_date,($G$2+17),m_active,1,m_start,"&lt;"&amp;1140,m_end,"&gt;"&amp;1080)=0,"",IF(COUNTIFS(m_teacher,AP$4,m_date,($G$2+17),m_active,1,m_start,"&lt;"&amp;1140,m_end,"&gt;"&amp;1080)&gt;1,"충돌",HYPERLINK("#'관리자_MASTER'!D"&amp;_xlfn.MAXIFS(m_row,m_teacher,AP$4,m_date,($G$2+17),m_active,1,m_start,"&lt;"&amp;1140,m_end,"&gt;"&amp;1080),INDEX(m_label,_xlfn.MAXIFS(m_row,m_teacher,AP$4,m_date,($G$2+17),m_active,1,m_start,"&lt;"&amp;1140,m_end,"&gt;"&amp;1080))))))</f>
        <v/>
      </c>
      <c r="AQ47" s="78"/>
      <c r="AR47" s="79" t="s">
        <v>100</v>
      </c>
      <c r="AS47" s="88" t="str">
        <f aca="false">IF(OR(AS$4="",MONTH(($G$2+24))&lt;&gt;MONTH($C$2)),"",IF(COUNTIFS(m_teacher,AS$4,m_date,($G$2+24),m_active,1,m_start,"&lt;"&amp;1140,m_end,"&gt;"&amp;1080)=0,"",IF(COUNTIFS(m_teacher,AS$4,m_date,($G$2+24),m_active,1,m_start,"&lt;"&amp;1140,m_end,"&gt;"&amp;1080)&gt;1,"충돌",HYPERLINK("#'관리자_MASTER'!D"&amp;_xlfn.MAXIFS(m_row,m_teacher,AS$4,m_date,($G$2+24),m_active,1,m_start,"&lt;"&amp;1140,m_end,"&gt;"&amp;1080),INDEX(m_label,_xlfn.MAXIFS(m_row,m_teacher,AS$4,m_date,($G$2+24),m_active,1,m_start,"&lt;"&amp;1140,m_end,"&gt;"&amp;1080))))))</f>
        <v/>
      </c>
      <c r="AT47" s="88" t="str">
        <f aca="false">IF(OR(AT$4="",MONTH(($G$2+24))&lt;&gt;MONTH($C$2)),"",IF(COUNTIFS(m_teacher,AT$4,m_date,($G$2+24),m_active,1,m_start,"&lt;"&amp;1140,m_end,"&gt;"&amp;1080)=0,"",IF(COUNTIFS(m_teacher,AT$4,m_date,($G$2+24),m_active,1,m_start,"&lt;"&amp;1140,m_end,"&gt;"&amp;1080)&gt;1,"충돌",HYPERLINK("#'관리자_MASTER'!D"&amp;_xlfn.MAXIFS(m_row,m_teacher,AT$4,m_date,($G$2+24),m_active,1,m_start,"&lt;"&amp;1140,m_end,"&gt;"&amp;1080),INDEX(m_label,_xlfn.MAXIFS(m_row,m_teacher,AT$4,m_date,($G$2+24),m_active,1,m_start,"&lt;"&amp;1140,m_end,"&gt;"&amp;1080))))))</f>
        <v/>
      </c>
      <c r="AU47" s="88" t="str">
        <f aca="false">IF(OR(AU$4="",MONTH(($G$2+24))&lt;&gt;MONTH($C$2)),"",IF(COUNTIFS(m_teacher,AU$4,m_date,($G$2+24),m_active,1,m_start,"&lt;"&amp;1140,m_end,"&gt;"&amp;1080)=0,"",IF(COUNTIFS(m_teacher,AU$4,m_date,($G$2+24),m_active,1,m_start,"&lt;"&amp;1140,m_end,"&gt;"&amp;1080)&gt;1,"충돌",HYPERLINK("#'관리자_MASTER'!D"&amp;_xlfn.MAXIFS(m_row,m_teacher,AU$4,m_date,($G$2+24),m_active,1,m_start,"&lt;"&amp;1140,m_end,"&gt;"&amp;1080),INDEX(m_label,_xlfn.MAXIFS(m_row,m_teacher,AU$4,m_date,($G$2+24),m_active,1,m_start,"&lt;"&amp;1140,m_end,"&gt;"&amp;1080))))))</f>
        <v/>
      </c>
      <c r="AV47" s="88" t="str">
        <f aca="false">IF(OR(AV$4="",MONTH(($G$2+24))&lt;&gt;MONTH($C$2)),"",IF(COUNTIFS(m_teacher,AV$4,m_date,($G$2+24),m_active,1,m_start,"&lt;"&amp;1140,m_end,"&gt;"&amp;1080)=0,"",IF(COUNTIFS(m_teacher,AV$4,m_date,($G$2+24),m_active,1,m_start,"&lt;"&amp;1140,m_end,"&gt;"&amp;1080)&gt;1,"충돌",HYPERLINK("#'관리자_MASTER'!D"&amp;_xlfn.MAXIFS(m_row,m_teacher,AV$4,m_date,($G$2+24),m_active,1,m_start,"&lt;"&amp;1140,m_end,"&gt;"&amp;1080),INDEX(m_label,_xlfn.MAXIFS(m_row,m_teacher,AV$4,m_date,($G$2+24),m_active,1,m_start,"&lt;"&amp;1140,m_end,"&gt;"&amp;1080))))))</f>
        <v/>
      </c>
      <c r="AW47" s="88" t="str">
        <f aca="false">IF(OR(AW$4="",MONTH(($G$2+24))&lt;&gt;MONTH($C$2)),"",IF(COUNTIFS(m_teacher,AW$4,m_date,($G$2+24),m_active,1,m_start,"&lt;"&amp;1140,m_end,"&gt;"&amp;1080)=0,"",IF(COUNTIFS(m_teacher,AW$4,m_date,($G$2+24),m_active,1,m_start,"&lt;"&amp;1140,m_end,"&gt;"&amp;1080)&gt;1,"충돌",HYPERLINK("#'관리자_MASTER'!D"&amp;_xlfn.MAXIFS(m_row,m_teacher,AW$4,m_date,($G$2+24),m_active,1,m_start,"&lt;"&amp;1140,m_end,"&gt;"&amp;1080),INDEX(m_label,_xlfn.MAXIFS(m_row,m_teacher,AW$4,m_date,($G$2+24),m_active,1,m_start,"&lt;"&amp;1140,m_end,"&gt;"&amp;1080))))))</f>
        <v/>
      </c>
      <c r="AX47" s="88" t="str">
        <f aca="false">IF(OR(AX$4="",MONTH(($G$2+24))&lt;&gt;MONTH($C$2)),"",IF(COUNTIFS(m_teacher,AX$4,m_date,($G$2+24),m_active,1,m_start,"&lt;"&amp;1140,m_end,"&gt;"&amp;1080)=0,"",IF(COUNTIFS(m_teacher,AX$4,m_date,($G$2+24),m_active,1,m_start,"&lt;"&amp;1140,m_end,"&gt;"&amp;1080)&gt;1,"충돌",HYPERLINK("#'관리자_MASTER'!D"&amp;_xlfn.MAXIFS(m_row,m_teacher,AX$4,m_date,($G$2+24),m_active,1,m_start,"&lt;"&amp;1140,m_end,"&gt;"&amp;1080),INDEX(m_label,_xlfn.MAXIFS(m_row,m_teacher,AX$4,m_date,($G$2+24),m_active,1,m_start,"&lt;"&amp;1140,m_end,"&gt;"&amp;1080))))))</f>
        <v/>
      </c>
      <c r="AY47" s="88" t="str">
        <f aca="false">IF(OR(AY$4="",MONTH(($G$2+24))&lt;&gt;MONTH($C$2)),"",IF(COUNTIFS(m_teacher,AY$4,m_date,($G$2+24),m_active,1,m_start,"&lt;"&amp;1140,m_end,"&gt;"&amp;1080)=0,"",IF(COUNTIFS(m_teacher,AY$4,m_date,($G$2+24),m_active,1,m_start,"&lt;"&amp;1140,m_end,"&gt;"&amp;1080)&gt;1,"충돌",HYPERLINK("#'관리자_MASTER'!D"&amp;_xlfn.MAXIFS(m_row,m_teacher,AY$4,m_date,($G$2+24),m_active,1,m_start,"&lt;"&amp;1140,m_end,"&gt;"&amp;1080),INDEX(m_label,_xlfn.MAXIFS(m_row,m_teacher,AY$4,m_date,($G$2+24),m_active,1,m_start,"&lt;"&amp;1140,m_end,"&gt;"&amp;1080))))))</f>
        <v/>
      </c>
      <c r="AZ47" s="88" t="str">
        <f aca="false">IF(OR(AZ$4="",MONTH(($G$2+24))&lt;&gt;MONTH($C$2)),"",IF(COUNTIFS(m_teacher,AZ$4,m_date,($G$2+24),m_active,1,m_start,"&lt;"&amp;1140,m_end,"&gt;"&amp;1080)=0,"",IF(COUNTIFS(m_teacher,AZ$4,m_date,($G$2+24),m_active,1,m_start,"&lt;"&amp;1140,m_end,"&gt;"&amp;1080)&gt;1,"충돌",HYPERLINK("#'관리자_MASTER'!D"&amp;_xlfn.MAXIFS(m_row,m_teacher,AZ$4,m_date,($G$2+24),m_active,1,m_start,"&lt;"&amp;1140,m_end,"&gt;"&amp;1080),INDEX(m_label,_xlfn.MAXIFS(m_row,m_teacher,AZ$4,m_date,($G$2+24),m_active,1,m_start,"&lt;"&amp;1140,m_end,"&gt;"&amp;1080))))))</f>
        <v/>
      </c>
      <c r="BA47" s="88" t="str">
        <f aca="false">IF(OR(BA$4="",MONTH(($G$2+24))&lt;&gt;MONTH($C$2)),"",IF(COUNTIFS(m_teacher,BA$4,m_date,($G$2+24),m_active,1,m_start,"&lt;"&amp;1140,m_end,"&gt;"&amp;1080)=0,"",IF(COUNTIFS(m_teacher,BA$4,m_date,($G$2+24),m_active,1,m_start,"&lt;"&amp;1140,m_end,"&gt;"&amp;1080)&gt;1,"충돌",HYPERLINK("#'관리자_MASTER'!D"&amp;_xlfn.MAXIFS(m_row,m_teacher,BA$4,m_date,($G$2+24),m_active,1,m_start,"&lt;"&amp;1140,m_end,"&gt;"&amp;1080),INDEX(m_label,_xlfn.MAXIFS(m_row,m_teacher,BA$4,m_date,($G$2+24),m_active,1,m_start,"&lt;"&amp;1140,m_end,"&gt;"&amp;1080))))))</f>
        <v/>
      </c>
      <c r="BB47" s="88" t="str">
        <f aca="false">IF(OR(BB$4="",MONTH(($G$2+24))&lt;&gt;MONTH($C$2)),"",IF(COUNTIFS(m_teacher,BB$4,m_date,($G$2+24),m_active,1,m_start,"&lt;"&amp;1140,m_end,"&gt;"&amp;1080)=0,"",IF(COUNTIFS(m_teacher,BB$4,m_date,($G$2+24),m_active,1,m_start,"&lt;"&amp;1140,m_end,"&gt;"&amp;1080)&gt;1,"충돌",HYPERLINK("#'관리자_MASTER'!D"&amp;_xlfn.MAXIFS(m_row,m_teacher,BB$4,m_date,($G$2+24),m_active,1,m_start,"&lt;"&amp;1140,m_end,"&gt;"&amp;1080),INDEX(m_label,_xlfn.MAXIFS(m_row,m_teacher,BB$4,m_date,($G$2+24),m_active,1,m_start,"&lt;"&amp;1140,m_end,"&gt;"&amp;1080))))))</f>
        <v/>
      </c>
      <c r="BC47" s="88" t="str">
        <f aca="false">IF(OR(BC$4="",MONTH(($G$2+24))&lt;&gt;MONTH($C$2)),"",IF(COUNTIFS(m_teacher,BC$4,m_date,($G$2+24),m_active,1,m_start,"&lt;"&amp;1140,m_end,"&gt;"&amp;1080)=0,"",IF(COUNTIFS(m_teacher,BC$4,m_date,($G$2+24),m_active,1,m_start,"&lt;"&amp;1140,m_end,"&gt;"&amp;1080)&gt;1,"충돌",HYPERLINK("#'관리자_MASTER'!D"&amp;_xlfn.MAXIFS(m_row,m_teacher,BC$4,m_date,($G$2+24),m_active,1,m_start,"&lt;"&amp;1140,m_end,"&gt;"&amp;1080),INDEX(m_label,_xlfn.MAXIFS(m_row,m_teacher,BC$4,m_date,($G$2+24),m_active,1,m_start,"&lt;"&amp;1140,m_end,"&gt;"&amp;1080))))))</f>
        <v/>
      </c>
      <c r="BD47" s="88" t="str">
        <f aca="false">IF(OR(BD$4="",MONTH(($G$2+24))&lt;&gt;MONTH($C$2)),"",IF(COUNTIFS(m_teacher,BD$4,m_date,($G$2+24),m_active,1,m_start,"&lt;"&amp;1140,m_end,"&gt;"&amp;1080)=0,"",IF(COUNTIFS(m_teacher,BD$4,m_date,($G$2+24),m_active,1,m_start,"&lt;"&amp;1140,m_end,"&gt;"&amp;1080)&gt;1,"충돌",HYPERLINK("#'관리자_MASTER'!D"&amp;_xlfn.MAXIFS(m_row,m_teacher,BD$4,m_date,($G$2+24),m_active,1,m_start,"&lt;"&amp;1140,m_end,"&gt;"&amp;1080),INDEX(m_label,_xlfn.MAXIFS(m_row,m_teacher,BD$4,m_date,($G$2+24),m_active,1,m_start,"&lt;"&amp;1140,m_end,"&gt;"&amp;1080))))))</f>
        <v/>
      </c>
    </row>
    <row r="48" customFormat="false" ht="19.5" hidden="false" customHeight="true" outlineLevel="0" collapsed="false">
      <c r="A48" s="78"/>
      <c r="B48" s="85" t="s">
        <v>101</v>
      </c>
      <c r="C48" s="89" t="str">
        <f aca="false">IF(OR(C$4="",MONTH(($G$2+3))&lt;&gt;MONTH($C$2)),"",IF(COUNTIFS(m_teacher,C$4,m_date,($G$2+3),m_active,1,m_start,"&lt;"&amp;1440,m_end,"&gt;"&amp;1140)=0,"",IF(COUNTIFS(m_teacher,C$4,m_date,($G$2+3),m_active,1,m_start,"&lt;"&amp;1440,m_end,"&gt;"&amp;1140)&gt;1,"충돌",HYPERLINK("#'관리자_MASTER'!D"&amp;_xlfn.MAXIFS(m_row,m_teacher,C$4,m_date,($G$2+3),m_active,1,m_start,"&lt;"&amp;1440,m_end,"&gt;"&amp;1140),INDEX(m_label,_xlfn.MAXIFS(m_row,m_teacher,C$4,m_date,($G$2+3),m_active,1,m_start,"&lt;"&amp;1440,m_end,"&gt;"&amp;1140))))))</f>
        <v/>
      </c>
      <c r="D48" s="89" t="str">
        <f aca="false">IF(OR(D$4="",MONTH(($G$2+3))&lt;&gt;MONTH($C$2)),"",IF(COUNTIFS(m_teacher,D$4,m_date,($G$2+3),m_active,1,m_start,"&lt;"&amp;1440,m_end,"&gt;"&amp;1140)=0,"",IF(COUNTIFS(m_teacher,D$4,m_date,($G$2+3),m_active,1,m_start,"&lt;"&amp;1440,m_end,"&gt;"&amp;1140)&gt;1,"충돌",HYPERLINK("#'관리자_MASTER'!D"&amp;_xlfn.MAXIFS(m_row,m_teacher,D$4,m_date,($G$2+3),m_active,1,m_start,"&lt;"&amp;1440,m_end,"&gt;"&amp;1140),INDEX(m_label,_xlfn.MAXIFS(m_row,m_teacher,D$4,m_date,($G$2+3),m_active,1,m_start,"&lt;"&amp;1440,m_end,"&gt;"&amp;1140))))))</f>
        <v/>
      </c>
      <c r="E48" s="89" t="str">
        <f aca="false">IF(OR(E$4="",MONTH(($G$2+3))&lt;&gt;MONTH($C$2)),"",IF(COUNTIFS(m_teacher,E$4,m_date,($G$2+3),m_active,1,m_start,"&lt;"&amp;1440,m_end,"&gt;"&amp;1140)=0,"",IF(COUNTIFS(m_teacher,E$4,m_date,($G$2+3),m_active,1,m_start,"&lt;"&amp;1440,m_end,"&gt;"&amp;1140)&gt;1,"충돌",HYPERLINK("#'관리자_MASTER'!D"&amp;_xlfn.MAXIFS(m_row,m_teacher,E$4,m_date,($G$2+3),m_active,1,m_start,"&lt;"&amp;1440,m_end,"&gt;"&amp;1140),INDEX(m_label,_xlfn.MAXIFS(m_row,m_teacher,E$4,m_date,($G$2+3),m_active,1,m_start,"&lt;"&amp;1440,m_end,"&gt;"&amp;1140))))))</f>
        <v/>
      </c>
      <c r="F48" s="89" t="str">
        <f aca="false">IF(OR(F$4="",MONTH(($G$2+3))&lt;&gt;MONTH($C$2)),"",IF(COUNTIFS(m_teacher,F$4,m_date,($G$2+3),m_active,1,m_start,"&lt;"&amp;1440,m_end,"&gt;"&amp;1140)=0,"",IF(COUNTIFS(m_teacher,F$4,m_date,($G$2+3),m_active,1,m_start,"&lt;"&amp;1440,m_end,"&gt;"&amp;1140)&gt;1,"충돌",HYPERLINK("#'관리자_MASTER'!D"&amp;_xlfn.MAXIFS(m_row,m_teacher,F$4,m_date,($G$2+3),m_active,1,m_start,"&lt;"&amp;1440,m_end,"&gt;"&amp;1140),INDEX(m_label,_xlfn.MAXIFS(m_row,m_teacher,F$4,m_date,($G$2+3),m_active,1,m_start,"&lt;"&amp;1440,m_end,"&gt;"&amp;1140))))))</f>
        <v/>
      </c>
      <c r="G48" s="89" t="str">
        <f aca="false">IF(OR(G$4="",MONTH(($G$2+3))&lt;&gt;MONTH($C$2)),"",IF(COUNTIFS(m_teacher,G$4,m_date,($G$2+3),m_active,1,m_start,"&lt;"&amp;1440,m_end,"&gt;"&amp;1140)=0,"",IF(COUNTIFS(m_teacher,G$4,m_date,($G$2+3),m_active,1,m_start,"&lt;"&amp;1440,m_end,"&gt;"&amp;1140)&gt;1,"충돌",HYPERLINK("#'관리자_MASTER'!D"&amp;_xlfn.MAXIFS(m_row,m_teacher,G$4,m_date,($G$2+3),m_active,1,m_start,"&lt;"&amp;1440,m_end,"&gt;"&amp;1140),INDEX(m_label,_xlfn.MAXIFS(m_row,m_teacher,G$4,m_date,($G$2+3),m_active,1,m_start,"&lt;"&amp;1440,m_end,"&gt;"&amp;1140))))))</f>
        <v/>
      </c>
      <c r="H48" s="89" t="str">
        <f aca="false">IF(OR(H$4="",MONTH(($G$2+3))&lt;&gt;MONTH($C$2)),"",IF(COUNTIFS(m_teacher,H$4,m_date,($G$2+3),m_active,1,m_start,"&lt;"&amp;1440,m_end,"&gt;"&amp;1140)=0,"",IF(COUNTIFS(m_teacher,H$4,m_date,($G$2+3),m_active,1,m_start,"&lt;"&amp;1440,m_end,"&gt;"&amp;1140)&gt;1,"충돌",HYPERLINK("#'관리자_MASTER'!D"&amp;_xlfn.MAXIFS(m_row,m_teacher,H$4,m_date,($G$2+3),m_active,1,m_start,"&lt;"&amp;1440,m_end,"&gt;"&amp;1140),INDEX(m_label,_xlfn.MAXIFS(m_row,m_teacher,H$4,m_date,($G$2+3),m_active,1,m_start,"&lt;"&amp;1440,m_end,"&gt;"&amp;1140))))))</f>
        <v/>
      </c>
      <c r="I48" s="89" t="str">
        <f aca="false">IF(OR(I$4="",MONTH(($G$2+3))&lt;&gt;MONTH($C$2)),"",IF(COUNTIFS(m_teacher,I$4,m_date,($G$2+3),m_active,1,m_start,"&lt;"&amp;1440,m_end,"&gt;"&amp;1140)=0,"",IF(COUNTIFS(m_teacher,I$4,m_date,($G$2+3),m_active,1,m_start,"&lt;"&amp;1440,m_end,"&gt;"&amp;1140)&gt;1,"충돌",HYPERLINK("#'관리자_MASTER'!D"&amp;_xlfn.MAXIFS(m_row,m_teacher,I$4,m_date,($G$2+3),m_active,1,m_start,"&lt;"&amp;1440,m_end,"&gt;"&amp;1140),INDEX(m_label,_xlfn.MAXIFS(m_row,m_teacher,I$4,m_date,($G$2+3),m_active,1,m_start,"&lt;"&amp;1440,m_end,"&gt;"&amp;1140))))))</f>
        <v/>
      </c>
      <c r="J48" s="89" t="str">
        <f aca="false">IF(OR(J$4="",MONTH(($G$2+3))&lt;&gt;MONTH($C$2)),"",IF(COUNTIFS(m_teacher,J$4,m_date,($G$2+3),m_active,1,m_start,"&lt;"&amp;1440,m_end,"&gt;"&amp;1140)=0,"",IF(COUNTIFS(m_teacher,J$4,m_date,($G$2+3),m_active,1,m_start,"&lt;"&amp;1440,m_end,"&gt;"&amp;1140)&gt;1,"충돌",HYPERLINK("#'관리자_MASTER'!D"&amp;_xlfn.MAXIFS(m_row,m_teacher,J$4,m_date,($G$2+3),m_active,1,m_start,"&lt;"&amp;1440,m_end,"&gt;"&amp;1140),INDEX(m_label,_xlfn.MAXIFS(m_row,m_teacher,J$4,m_date,($G$2+3),m_active,1,m_start,"&lt;"&amp;1440,m_end,"&gt;"&amp;1140))))))</f>
        <v/>
      </c>
      <c r="K48" s="89" t="str">
        <f aca="false">IF(OR(K$4="",MONTH(($G$2+3))&lt;&gt;MONTH($C$2)),"",IF(COUNTIFS(m_teacher,K$4,m_date,($G$2+3),m_active,1,m_start,"&lt;"&amp;1440,m_end,"&gt;"&amp;1140)=0,"",IF(COUNTIFS(m_teacher,K$4,m_date,($G$2+3),m_active,1,m_start,"&lt;"&amp;1440,m_end,"&gt;"&amp;1140)&gt;1,"충돌",HYPERLINK("#'관리자_MASTER'!D"&amp;_xlfn.MAXIFS(m_row,m_teacher,K$4,m_date,($G$2+3),m_active,1,m_start,"&lt;"&amp;1440,m_end,"&gt;"&amp;1140),INDEX(m_label,_xlfn.MAXIFS(m_row,m_teacher,K$4,m_date,($G$2+3),m_active,1,m_start,"&lt;"&amp;1440,m_end,"&gt;"&amp;1140))))))</f>
        <v/>
      </c>
      <c r="L48" s="89" t="str">
        <f aca="false">IF(OR(L$4="",MONTH(($G$2+3))&lt;&gt;MONTH($C$2)),"",IF(COUNTIFS(m_teacher,L$4,m_date,($G$2+3),m_active,1,m_start,"&lt;"&amp;1440,m_end,"&gt;"&amp;1140)=0,"",IF(COUNTIFS(m_teacher,L$4,m_date,($G$2+3),m_active,1,m_start,"&lt;"&amp;1440,m_end,"&gt;"&amp;1140)&gt;1,"충돌",HYPERLINK("#'관리자_MASTER'!D"&amp;_xlfn.MAXIFS(m_row,m_teacher,L$4,m_date,($G$2+3),m_active,1,m_start,"&lt;"&amp;1440,m_end,"&gt;"&amp;1140),INDEX(m_label,_xlfn.MAXIFS(m_row,m_teacher,L$4,m_date,($G$2+3),m_active,1,m_start,"&lt;"&amp;1440,m_end,"&gt;"&amp;1140))))))</f>
        <v/>
      </c>
      <c r="M48" s="89" t="str">
        <f aca="false">IF(OR(M$4="",MONTH(($G$2+3))&lt;&gt;MONTH($C$2)),"",IF(COUNTIFS(m_teacher,M$4,m_date,($G$2+3),m_active,1,m_start,"&lt;"&amp;1440,m_end,"&gt;"&amp;1140)=0,"",IF(COUNTIFS(m_teacher,M$4,m_date,($G$2+3),m_active,1,m_start,"&lt;"&amp;1440,m_end,"&gt;"&amp;1140)&gt;1,"충돌",HYPERLINK("#'관리자_MASTER'!D"&amp;_xlfn.MAXIFS(m_row,m_teacher,M$4,m_date,($G$2+3),m_active,1,m_start,"&lt;"&amp;1440,m_end,"&gt;"&amp;1140),INDEX(m_label,_xlfn.MAXIFS(m_row,m_teacher,M$4,m_date,($G$2+3),m_active,1,m_start,"&lt;"&amp;1440,m_end,"&gt;"&amp;1140))))))</f>
        <v/>
      </c>
      <c r="N48" s="89" t="str">
        <f aca="false">IF(OR(N$4="",MONTH(($G$2+3))&lt;&gt;MONTH($C$2)),"",IF(COUNTIFS(m_teacher,N$4,m_date,($G$2+3),m_active,1,m_start,"&lt;"&amp;1440,m_end,"&gt;"&amp;1140)=0,"",IF(COUNTIFS(m_teacher,N$4,m_date,($G$2+3),m_active,1,m_start,"&lt;"&amp;1440,m_end,"&gt;"&amp;1140)&gt;1,"충돌",HYPERLINK("#'관리자_MASTER'!D"&amp;_xlfn.MAXIFS(m_row,m_teacher,N$4,m_date,($G$2+3),m_active,1,m_start,"&lt;"&amp;1440,m_end,"&gt;"&amp;1140),INDEX(m_label,_xlfn.MAXIFS(m_row,m_teacher,N$4,m_date,($G$2+3),m_active,1,m_start,"&lt;"&amp;1440,m_end,"&gt;"&amp;1140))))))</f>
        <v/>
      </c>
      <c r="O48" s="78"/>
      <c r="P48" s="85" t="s">
        <v>101</v>
      </c>
      <c r="Q48" s="89" t="str">
        <f aca="false">IF(OR(Q$4="",MONTH(($G$2+10))&lt;&gt;MONTH($C$2)),"",IF(COUNTIFS(m_teacher,Q$4,m_date,($G$2+10),m_active,1,m_start,"&lt;"&amp;1440,m_end,"&gt;"&amp;1140)=0,"",IF(COUNTIFS(m_teacher,Q$4,m_date,($G$2+10),m_active,1,m_start,"&lt;"&amp;1440,m_end,"&gt;"&amp;1140)&gt;1,"충돌",HYPERLINK("#'관리자_MASTER'!D"&amp;_xlfn.MAXIFS(m_row,m_teacher,Q$4,m_date,($G$2+10),m_active,1,m_start,"&lt;"&amp;1440,m_end,"&gt;"&amp;1140),INDEX(m_label,_xlfn.MAXIFS(m_row,m_teacher,Q$4,m_date,($G$2+10),m_active,1,m_start,"&lt;"&amp;1440,m_end,"&gt;"&amp;1140))))))</f>
        <v/>
      </c>
      <c r="R48" s="89" t="str">
        <f aca="false">IF(OR(R$4="",MONTH(($G$2+10))&lt;&gt;MONTH($C$2)),"",IF(COUNTIFS(m_teacher,R$4,m_date,($G$2+10),m_active,1,m_start,"&lt;"&amp;1440,m_end,"&gt;"&amp;1140)=0,"",IF(COUNTIFS(m_teacher,R$4,m_date,($G$2+10),m_active,1,m_start,"&lt;"&amp;1440,m_end,"&gt;"&amp;1140)&gt;1,"충돌",HYPERLINK("#'관리자_MASTER'!D"&amp;_xlfn.MAXIFS(m_row,m_teacher,R$4,m_date,($G$2+10),m_active,1,m_start,"&lt;"&amp;1440,m_end,"&gt;"&amp;1140),INDEX(m_label,_xlfn.MAXIFS(m_row,m_teacher,R$4,m_date,($G$2+10),m_active,1,m_start,"&lt;"&amp;1440,m_end,"&gt;"&amp;1140))))))</f>
        <v/>
      </c>
      <c r="S48" s="89" t="str">
        <f aca="false">IF(OR(S$4="",MONTH(($G$2+10))&lt;&gt;MONTH($C$2)),"",IF(COUNTIFS(m_teacher,S$4,m_date,($G$2+10),m_active,1,m_start,"&lt;"&amp;1440,m_end,"&gt;"&amp;1140)=0,"",IF(COUNTIFS(m_teacher,S$4,m_date,($G$2+10),m_active,1,m_start,"&lt;"&amp;1440,m_end,"&gt;"&amp;1140)&gt;1,"충돌",HYPERLINK("#'관리자_MASTER'!D"&amp;_xlfn.MAXIFS(m_row,m_teacher,S$4,m_date,($G$2+10),m_active,1,m_start,"&lt;"&amp;1440,m_end,"&gt;"&amp;1140),INDEX(m_label,_xlfn.MAXIFS(m_row,m_teacher,S$4,m_date,($G$2+10),m_active,1,m_start,"&lt;"&amp;1440,m_end,"&gt;"&amp;1140))))))</f>
        <v/>
      </c>
      <c r="T48" s="89" t="str">
        <f aca="false">IF(OR(T$4="",MONTH(($G$2+10))&lt;&gt;MONTH($C$2)),"",IF(COUNTIFS(m_teacher,T$4,m_date,($G$2+10),m_active,1,m_start,"&lt;"&amp;1440,m_end,"&gt;"&amp;1140)=0,"",IF(COUNTIFS(m_teacher,T$4,m_date,($G$2+10),m_active,1,m_start,"&lt;"&amp;1440,m_end,"&gt;"&amp;1140)&gt;1,"충돌",HYPERLINK("#'관리자_MASTER'!D"&amp;_xlfn.MAXIFS(m_row,m_teacher,T$4,m_date,($G$2+10),m_active,1,m_start,"&lt;"&amp;1440,m_end,"&gt;"&amp;1140),INDEX(m_label,_xlfn.MAXIFS(m_row,m_teacher,T$4,m_date,($G$2+10),m_active,1,m_start,"&lt;"&amp;1440,m_end,"&gt;"&amp;1140))))))</f>
        <v/>
      </c>
      <c r="U48" s="89" t="str">
        <f aca="false">IF(OR(U$4="",MONTH(($G$2+10))&lt;&gt;MONTH($C$2)),"",IF(COUNTIFS(m_teacher,U$4,m_date,($G$2+10),m_active,1,m_start,"&lt;"&amp;1440,m_end,"&gt;"&amp;1140)=0,"",IF(COUNTIFS(m_teacher,U$4,m_date,($G$2+10),m_active,1,m_start,"&lt;"&amp;1440,m_end,"&gt;"&amp;1140)&gt;1,"충돌",HYPERLINK("#'관리자_MASTER'!D"&amp;_xlfn.MAXIFS(m_row,m_teacher,U$4,m_date,($G$2+10),m_active,1,m_start,"&lt;"&amp;1440,m_end,"&gt;"&amp;1140),INDEX(m_label,_xlfn.MAXIFS(m_row,m_teacher,U$4,m_date,($G$2+10),m_active,1,m_start,"&lt;"&amp;1440,m_end,"&gt;"&amp;1140))))))</f>
        <v/>
      </c>
      <c r="V48" s="89" t="str">
        <f aca="false">IF(OR(V$4="",MONTH(($G$2+10))&lt;&gt;MONTH($C$2)),"",IF(COUNTIFS(m_teacher,V$4,m_date,($G$2+10),m_active,1,m_start,"&lt;"&amp;1440,m_end,"&gt;"&amp;1140)=0,"",IF(COUNTIFS(m_teacher,V$4,m_date,($G$2+10),m_active,1,m_start,"&lt;"&amp;1440,m_end,"&gt;"&amp;1140)&gt;1,"충돌",HYPERLINK("#'관리자_MASTER'!D"&amp;_xlfn.MAXIFS(m_row,m_teacher,V$4,m_date,($G$2+10),m_active,1,m_start,"&lt;"&amp;1440,m_end,"&gt;"&amp;1140),INDEX(m_label,_xlfn.MAXIFS(m_row,m_teacher,V$4,m_date,($G$2+10),m_active,1,m_start,"&lt;"&amp;1440,m_end,"&gt;"&amp;1140))))))</f>
        <v/>
      </c>
      <c r="W48" s="89" t="str">
        <f aca="false">IF(OR(W$4="",MONTH(($G$2+10))&lt;&gt;MONTH($C$2)),"",IF(COUNTIFS(m_teacher,W$4,m_date,($G$2+10),m_active,1,m_start,"&lt;"&amp;1440,m_end,"&gt;"&amp;1140)=0,"",IF(COUNTIFS(m_teacher,W$4,m_date,($G$2+10),m_active,1,m_start,"&lt;"&amp;1440,m_end,"&gt;"&amp;1140)&gt;1,"충돌",HYPERLINK("#'관리자_MASTER'!D"&amp;_xlfn.MAXIFS(m_row,m_teacher,W$4,m_date,($G$2+10),m_active,1,m_start,"&lt;"&amp;1440,m_end,"&gt;"&amp;1140),INDEX(m_label,_xlfn.MAXIFS(m_row,m_teacher,W$4,m_date,($G$2+10),m_active,1,m_start,"&lt;"&amp;1440,m_end,"&gt;"&amp;1140))))))</f>
        <v/>
      </c>
      <c r="X48" s="89" t="str">
        <f aca="false">IF(OR(X$4="",MONTH(($G$2+10))&lt;&gt;MONTH($C$2)),"",IF(COUNTIFS(m_teacher,X$4,m_date,($G$2+10),m_active,1,m_start,"&lt;"&amp;1440,m_end,"&gt;"&amp;1140)=0,"",IF(COUNTIFS(m_teacher,X$4,m_date,($G$2+10),m_active,1,m_start,"&lt;"&amp;1440,m_end,"&gt;"&amp;1140)&gt;1,"충돌",HYPERLINK("#'관리자_MASTER'!D"&amp;_xlfn.MAXIFS(m_row,m_teacher,X$4,m_date,($G$2+10),m_active,1,m_start,"&lt;"&amp;1440,m_end,"&gt;"&amp;1140),INDEX(m_label,_xlfn.MAXIFS(m_row,m_teacher,X$4,m_date,($G$2+10),m_active,1,m_start,"&lt;"&amp;1440,m_end,"&gt;"&amp;1140))))))</f>
        <v/>
      </c>
      <c r="Y48" s="89" t="str">
        <f aca="false">IF(OR(Y$4="",MONTH(($G$2+10))&lt;&gt;MONTH($C$2)),"",IF(COUNTIFS(m_teacher,Y$4,m_date,($G$2+10),m_active,1,m_start,"&lt;"&amp;1440,m_end,"&gt;"&amp;1140)=0,"",IF(COUNTIFS(m_teacher,Y$4,m_date,($G$2+10),m_active,1,m_start,"&lt;"&amp;1440,m_end,"&gt;"&amp;1140)&gt;1,"충돌",HYPERLINK("#'관리자_MASTER'!D"&amp;_xlfn.MAXIFS(m_row,m_teacher,Y$4,m_date,($G$2+10),m_active,1,m_start,"&lt;"&amp;1440,m_end,"&gt;"&amp;1140),INDEX(m_label,_xlfn.MAXIFS(m_row,m_teacher,Y$4,m_date,($G$2+10),m_active,1,m_start,"&lt;"&amp;1440,m_end,"&gt;"&amp;1140))))))</f>
        <v/>
      </c>
      <c r="Z48" s="89" t="str">
        <f aca="false">IF(OR(Z$4="",MONTH(($G$2+10))&lt;&gt;MONTH($C$2)),"",IF(COUNTIFS(m_teacher,Z$4,m_date,($G$2+10),m_active,1,m_start,"&lt;"&amp;1440,m_end,"&gt;"&amp;1140)=0,"",IF(COUNTIFS(m_teacher,Z$4,m_date,($G$2+10),m_active,1,m_start,"&lt;"&amp;1440,m_end,"&gt;"&amp;1140)&gt;1,"충돌",HYPERLINK("#'관리자_MASTER'!D"&amp;_xlfn.MAXIFS(m_row,m_teacher,Z$4,m_date,($G$2+10),m_active,1,m_start,"&lt;"&amp;1440,m_end,"&gt;"&amp;1140),INDEX(m_label,_xlfn.MAXIFS(m_row,m_teacher,Z$4,m_date,($G$2+10),m_active,1,m_start,"&lt;"&amp;1440,m_end,"&gt;"&amp;1140))))))</f>
        <v/>
      </c>
      <c r="AA48" s="89" t="str">
        <f aca="false">IF(OR(AA$4="",MONTH(($G$2+10))&lt;&gt;MONTH($C$2)),"",IF(COUNTIFS(m_teacher,AA$4,m_date,($G$2+10),m_active,1,m_start,"&lt;"&amp;1440,m_end,"&gt;"&amp;1140)=0,"",IF(COUNTIFS(m_teacher,AA$4,m_date,($G$2+10),m_active,1,m_start,"&lt;"&amp;1440,m_end,"&gt;"&amp;1140)&gt;1,"충돌",HYPERLINK("#'관리자_MASTER'!D"&amp;_xlfn.MAXIFS(m_row,m_teacher,AA$4,m_date,($G$2+10),m_active,1,m_start,"&lt;"&amp;1440,m_end,"&gt;"&amp;1140),INDEX(m_label,_xlfn.MAXIFS(m_row,m_teacher,AA$4,m_date,($G$2+10),m_active,1,m_start,"&lt;"&amp;1440,m_end,"&gt;"&amp;1140))))))</f>
        <v/>
      </c>
      <c r="AB48" s="89" t="str">
        <f aca="false">IF(OR(AB$4="",MONTH(($G$2+10))&lt;&gt;MONTH($C$2)),"",IF(COUNTIFS(m_teacher,AB$4,m_date,($G$2+10),m_active,1,m_start,"&lt;"&amp;1440,m_end,"&gt;"&amp;1140)=0,"",IF(COUNTIFS(m_teacher,AB$4,m_date,($G$2+10),m_active,1,m_start,"&lt;"&amp;1440,m_end,"&gt;"&amp;1140)&gt;1,"충돌",HYPERLINK("#'관리자_MASTER'!D"&amp;_xlfn.MAXIFS(m_row,m_teacher,AB$4,m_date,($G$2+10),m_active,1,m_start,"&lt;"&amp;1440,m_end,"&gt;"&amp;1140),INDEX(m_label,_xlfn.MAXIFS(m_row,m_teacher,AB$4,m_date,($G$2+10),m_active,1,m_start,"&lt;"&amp;1440,m_end,"&gt;"&amp;1140))))))</f>
        <v/>
      </c>
      <c r="AC48" s="78"/>
      <c r="AD48" s="85" t="s">
        <v>101</v>
      </c>
      <c r="AE48" s="89" t="str">
        <f aca="false">IF(OR(AE$4="",MONTH(($G$2+17))&lt;&gt;MONTH($C$2)),"",IF(COUNTIFS(m_teacher,AE$4,m_date,($G$2+17),m_active,1,m_start,"&lt;"&amp;1440,m_end,"&gt;"&amp;1140)=0,"",IF(COUNTIFS(m_teacher,AE$4,m_date,($G$2+17),m_active,1,m_start,"&lt;"&amp;1440,m_end,"&gt;"&amp;1140)&gt;1,"충돌",HYPERLINK("#'관리자_MASTER'!D"&amp;_xlfn.MAXIFS(m_row,m_teacher,AE$4,m_date,($G$2+17),m_active,1,m_start,"&lt;"&amp;1440,m_end,"&gt;"&amp;1140),INDEX(m_label,_xlfn.MAXIFS(m_row,m_teacher,AE$4,m_date,($G$2+17),m_active,1,m_start,"&lt;"&amp;1440,m_end,"&gt;"&amp;1140))))))</f>
        <v/>
      </c>
      <c r="AF48" s="89" t="str">
        <f aca="false">IF(OR(AF$4="",MONTH(($G$2+17))&lt;&gt;MONTH($C$2)),"",IF(COUNTIFS(m_teacher,AF$4,m_date,($G$2+17),m_active,1,m_start,"&lt;"&amp;1440,m_end,"&gt;"&amp;1140)=0,"",IF(COUNTIFS(m_teacher,AF$4,m_date,($G$2+17),m_active,1,m_start,"&lt;"&amp;1440,m_end,"&gt;"&amp;1140)&gt;1,"충돌",HYPERLINK("#'관리자_MASTER'!D"&amp;_xlfn.MAXIFS(m_row,m_teacher,AF$4,m_date,($G$2+17),m_active,1,m_start,"&lt;"&amp;1440,m_end,"&gt;"&amp;1140),INDEX(m_label,_xlfn.MAXIFS(m_row,m_teacher,AF$4,m_date,($G$2+17),m_active,1,m_start,"&lt;"&amp;1440,m_end,"&gt;"&amp;1140))))))</f>
        <v/>
      </c>
      <c r="AG48" s="89" t="str">
        <f aca="false">IF(OR(AG$4="",MONTH(($G$2+17))&lt;&gt;MONTH($C$2)),"",IF(COUNTIFS(m_teacher,AG$4,m_date,($G$2+17),m_active,1,m_start,"&lt;"&amp;1440,m_end,"&gt;"&amp;1140)=0,"",IF(COUNTIFS(m_teacher,AG$4,m_date,($G$2+17),m_active,1,m_start,"&lt;"&amp;1440,m_end,"&gt;"&amp;1140)&gt;1,"충돌",HYPERLINK("#'관리자_MASTER'!D"&amp;_xlfn.MAXIFS(m_row,m_teacher,AG$4,m_date,($G$2+17),m_active,1,m_start,"&lt;"&amp;1440,m_end,"&gt;"&amp;1140),INDEX(m_label,_xlfn.MAXIFS(m_row,m_teacher,AG$4,m_date,($G$2+17),m_active,1,m_start,"&lt;"&amp;1440,m_end,"&gt;"&amp;1140))))))</f>
        <v/>
      </c>
      <c r="AH48" s="89" t="str">
        <f aca="false">IF(OR(AH$4="",MONTH(($G$2+17))&lt;&gt;MONTH($C$2)),"",IF(COUNTIFS(m_teacher,AH$4,m_date,($G$2+17),m_active,1,m_start,"&lt;"&amp;1440,m_end,"&gt;"&amp;1140)=0,"",IF(COUNTIFS(m_teacher,AH$4,m_date,($G$2+17),m_active,1,m_start,"&lt;"&amp;1440,m_end,"&gt;"&amp;1140)&gt;1,"충돌",HYPERLINK("#'관리자_MASTER'!D"&amp;_xlfn.MAXIFS(m_row,m_teacher,AH$4,m_date,($G$2+17),m_active,1,m_start,"&lt;"&amp;1440,m_end,"&gt;"&amp;1140),INDEX(m_label,_xlfn.MAXIFS(m_row,m_teacher,AH$4,m_date,($G$2+17),m_active,1,m_start,"&lt;"&amp;1440,m_end,"&gt;"&amp;1140))))))</f>
        <v/>
      </c>
      <c r="AI48" s="89" t="str">
        <f aca="false">IF(OR(AI$4="",MONTH(($G$2+17))&lt;&gt;MONTH($C$2)),"",IF(COUNTIFS(m_teacher,AI$4,m_date,($G$2+17),m_active,1,m_start,"&lt;"&amp;1440,m_end,"&gt;"&amp;1140)=0,"",IF(COUNTIFS(m_teacher,AI$4,m_date,($G$2+17),m_active,1,m_start,"&lt;"&amp;1440,m_end,"&gt;"&amp;1140)&gt;1,"충돌",HYPERLINK("#'관리자_MASTER'!D"&amp;_xlfn.MAXIFS(m_row,m_teacher,AI$4,m_date,($G$2+17),m_active,1,m_start,"&lt;"&amp;1440,m_end,"&gt;"&amp;1140),INDEX(m_label,_xlfn.MAXIFS(m_row,m_teacher,AI$4,m_date,($G$2+17),m_active,1,m_start,"&lt;"&amp;1440,m_end,"&gt;"&amp;1140))))))</f>
        <v/>
      </c>
      <c r="AJ48" s="89" t="str">
        <f aca="false">IF(OR(AJ$4="",MONTH(($G$2+17))&lt;&gt;MONTH($C$2)),"",IF(COUNTIFS(m_teacher,AJ$4,m_date,($G$2+17),m_active,1,m_start,"&lt;"&amp;1440,m_end,"&gt;"&amp;1140)=0,"",IF(COUNTIFS(m_teacher,AJ$4,m_date,($G$2+17),m_active,1,m_start,"&lt;"&amp;1440,m_end,"&gt;"&amp;1140)&gt;1,"충돌",HYPERLINK("#'관리자_MASTER'!D"&amp;_xlfn.MAXIFS(m_row,m_teacher,AJ$4,m_date,($G$2+17),m_active,1,m_start,"&lt;"&amp;1440,m_end,"&gt;"&amp;1140),INDEX(m_label,_xlfn.MAXIFS(m_row,m_teacher,AJ$4,m_date,($G$2+17),m_active,1,m_start,"&lt;"&amp;1440,m_end,"&gt;"&amp;1140))))))</f>
        <v/>
      </c>
      <c r="AK48" s="89" t="str">
        <f aca="false">IF(OR(AK$4="",MONTH(($G$2+17))&lt;&gt;MONTH($C$2)),"",IF(COUNTIFS(m_teacher,AK$4,m_date,($G$2+17),m_active,1,m_start,"&lt;"&amp;1440,m_end,"&gt;"&amp;1140)=0,"",IF(COUNTIFS(m_teacher,AK$4,m_date,($G$2+17),m_active,1,m_start,"&lt;"&amp;1440,m_end,"&gt;"&amp;1140)&gt;1,"충돌",HYPERLINK("#'관리자_MASTER'!D"&amp;_xlfn.MAXIFS(m_row,m_teacher,AK$4,m_date,($G$2+17),m_active,1,m_start,"&lt;"&amp;1440,m_end,"&gt;"&amp;1140),INDEX(m_label,_xlfn.MAXIFS(m_row,m_teacher,AK$4,m_date,($G$2+17),m_active,1,m_start,"&lt;"&amp;1440,m_end,"&gt;"&amp;1140))))))</f>
        <v/>
      </c>
      <c r="AL48" s="89" t="str">
        <f aca="false">IF(OR(AL$4="",MONTH(($G$2+17))&lt;&gt;MONTH($C$2)),"",IF(COUNTIFS(m_teacher,AL$4,m_date,($G$2+17),m_active,1,m_start,"&lt;"&amp;1440,m_end,"&gt;"&amp;1140)=0,"",IF(COUNTIFS(m_teacher,AL$4,m_date,($G$2+17),m_active,1,m_start,"&lt;"&amp;1440,m_end,"&gt;"&amp;1140)&gt;1,"충돌",HYPERLINK("#'관리자_MASTER'!D"&amp;_xlfn.MAXIFS(m_row,m_teacher,AL$4,m_date,($G$2+17),m_active,1,m_start,"&lt;"&amp;1440,m_end,"&gt;"&amp;1140),INDEX(m_label,_xlfn.MAXIFS(m_row,m_teacher,AL$4,m_date,($G$2+17),m_active,1,m_start,"&lt;"&amp;1440,m_end,"&gt;"&amp;1140))))))</f>
        <v/>
      </c>
      <c r="AM48" s="89" t="str">
        <f aca="false">IF(OR(AM$4="",MONTH(($G$2+17))&lt;&gt;MONTH($C$2)),"",IF(COUNTIFS(m_teacher,AM$4,m_date,($G$2+17),m_active,1,m_start,"&lt;"&amp;1440,m_end,"&gt;"&amp;1140)=0,"",IF(COUNTIFS(m_teacher,AM$4,m_date,($G$2+17),m_active,1,m_start,"&lt;"&amp;1440,m_end,"&gt;"&amp;1140)&gt;1,"충돌",HYPERLINK("#'관리자_MASTER'!D"&amp;_xlfn.MAXIFS(m_row,m_teacher,AM$4,m_date,($G$2+17),m_active,1,m_start,"&lt;"&amp;1440,m_end,"&gt;"&amp;1140),INDEX(m_label,_xlfn.MAXIFS(m_row,m_teacher,AM$4,m_date,($G$2+17),m_active,1,m_start,"&lt;"&amp;1440,m_end,"&gt;"&amp;1140))))))</f>
        <v/>
      </c>
      <c r="AN48" s="89" t="str">
        <f aca="false">IF(OR(AN$4="",MONTH(($G$2+17))&lt;&gt;MONTH($C$2)),"",IF(COUNTIFS(m_teacher,AN$4,m_date,($G$2+17),m_active,1,m_start,"&lt;"&amp;1440,m_end,"&gt;"&amp;1140)=0,"",IF(COUNTIFS(m_teacher,AN$4,m_date,($G$2+17),m_active,1,m_start,"&lt;"&amp;1440,m_end,"&gt;"&amp;1140)&gt;1,"충돌",HYPERLINK("#'관리자_MASTER'!D"&amp;_xlfn.MAXIFS(m_row,m_teacher,AN$4,m_date,($G$2+17),m_active,1,m_start,"&lt;"&amp;1440,m_end,"&gt;"&amp;1140),INDEX(m_label,_xlfn.MAXIFS(m_row,m_teacher,AN$4,m_date,($G$2+17),m_active,1,m_start,"&lt;"&amp;1440,m_end,"&gt;"&amp;1140))))))</f>
        <v/>
      </c>
      <c r="AO48" s="89" t="str">
        <f aca="false">IF(OR(AO$4="",MONTH(($G$2+17))&lt;&gt;MONTH($C$2)),"",IF(COUNTIFS(m_teacher,AO$4,m_date,($G$2+17),m_active,1,m_start,"&lt;"&amp;1440,m_end,"&gt;"&amp;1140)=0,"",IF(COUNTIFS(m_teacher,AO$4,m_date,($G$2+17),m_active,1,m_start,"&lt;"&amp;1440,m_end,"&gt;"&amp;1140)&gt;1,"충돌",HYPERLINK("#'관리자_MASTER'!D"&amp;_xlfn.MAXIFS(m_row,m_teacher,AO$4,m_date,($G$2+17),m_active,1,m_start,"&lt;"&amp;1440,m_end,"&gt;"&amp;1140),INDEX(m_label,_xlfn.MAXIFS(m_row,m_teacher,AO$4,m_date,($G$2+17),m_active,1,m_start,"&lt;"&amp;1440,m_end,"&gt;"&amp;1140))))))</f>
        <v/>
      </c>
      <c r="AP48" s="89" t="str">
        <f aca="false">IF(OR(AP$4="",MONTH(($G$2+17))&lt;&gt;MONTH($C$2)),"",IF(COUNTIFS(m_teacher,AP$4,m_date,($G$2+17),m_active,1,m_start,"&lt;"&amp;1440,m_end,"&gt;"&amp;1140)=0,"",IF(COUNTIFS(m_teacher,AP$4,m_date,($G$2+17),m_active,1,m_start,"&lt;"&amp;1440,m_end,"&gt;"&amp;1140)&gt;1,"충돌",HYPERLINK("#'관리자_MASTER'!D"&amp;_xlfn.MAXIFS(m_row,m_teacher,AP$4,m_date,($G$2+17),m_active,1,m_start,"&lt;"&amp;1440,m_end,"&gt;"&amp;1140),INDEX(m_label,_xlfn.MAXIFS(m_row,m_teacher,AP$4,m_date,($G$2+17),m_active,1,m_start,"&lt;"&amp;1440,m_end,"&gt;"&amp;1140))))))</f>
        <v/>
      </c>
      <c r="AQ48" s="78"/>
      <c r="AR48" s="85" t="s">
        <v>101</v>
      </c>
      <c r="AS48" s="89" t="str">
        <f aca="false">IF(OR(AS$4="",MONTH(($G$2+24))&lt;&gt;MONTH($C$2)),"",IF(COUNTIFS(m_teacher,AS$4,m_date,($G$2+24),m_active,1,m_start,"&lt;"&amp;1440,m_end,"&gt;"&amp;1140)=0,"",IF(COUNTIFS(m_teacher,AS$4,m_date,($G$2+24),m_active,1,m_start,"&lt;"&amp;1440,m_end,"&gt;"&amp;1140)&gt;1,"충돌",HYPERLINK("#'관리자_MASTER'!D"&amp;_xlfn.MAXIFS(m_row,m_teacher,AS$4,m_date,($G$2+24),m_active,1,m_start,"&lt;"&amp;1440,m_end,"&gt;"&amp;1140),INDEX(m_label,_xlfn.MAXIFS(m_row,m_teacher,AS$4,m_date,($G$2+24),m_active,1,m_start,"&lt;"&amp;1440,m_end,"&gt;"&amp;1140))))))</f>
        <v/>
      </c>
      <c r="AT48" s="89" t="str">
        <f aca="false">IF(OR(AT$4="",MONTH(($G$2+24))&lt;&gt;MONTH($C$2)),"",IF(COUNTIFS(m_teacher,AT$4,m_date,($G$2+24),m_active,1,m_start,"&lt;"&amp;1440,m_end,"&gt;"&amp;1140)=0,"",IF(COUNTIFS(m_teacher,AT$4,m_date,($G$2+24),m_active,1,m_start,"&lt;"&amp;1440,m_end,"&gt;"&amp;1140)&gt;1,"충돌",HYPERLINK("#'관리자_MASTER'!D"&amp;_xlfn.MAXIFS(m_row,m_teacher,AT$4,m_date,($G$2+24),m_active,1,m_start,"&lt;"&amp;1440,m_end,"&gt;"&amp;1140),INDEX(m_label,_xlfn.MAXIFS(m_row,m_teacher,AT$4,m_date,($G$2+24),m_active,1,m_start,"&lt;"&amp;1440,m_end,"&gt;"&amp;1140))))))</f>
        <v/>
      </c>
      <c r="AU48" s="89" t="str">
        <f aca="false">IF(OR(AU$4="",MONTH(($G$2+24))&lt;&gt;MONTH($C$2)),"",IF(COUNTIFS(m_teacher,AU$4,m_date,($G$2+24),m_active,1,m_start,"&lt;"&amp;1440,m_end,"&gt;"&amp;1140)=0,"",IF(COUNTIFS(m_teacher,AU$4,m_date,($G$2+24),m_active,1,m_start,"&lt;"&amp;1440,m_end,"&gt;"&amp;1140)&gt;1,"충돌",HYPERLINK("#'관리자_MASTER'!D"&amp;_xlfn.MAXIFS(m_row,m_teacher,AU$4,m_date,($G$2+24),m_active,1,m_start,"&lt;"&amp;1440,m_end,"&gt;"&amp;1140),INDEX(m_label,_xlfn.MAXIFS(m_row,m_teacher,AU$4,m_date,($G$2+24),m_active,1,m_start,"&lt;"&amp;1440,m_end,"&gt;"&amp;1140))))))</f>
        <v/>
      </c>
      <c r="AV48" s="89" t="str">
        <f aca="false">IF(OR(AV$4="",MONTH(($G$2+24))&lt;&gt;MONTH($C$2)),"",IF(COUNTIFS(m_teacher,AV$4,m_date,($G$2+24),m_active,1,m_start,"&lt;"&amp;1440,m_end,"&gt;"&amp;1140)=0,"",IF(COUNTIFS(m_teacher,AV$4,m_date,($G$2+24),m_active,1,m_start,"&lt;"&amp;1440,m_end,"&gt;"&amp;1140)&gt;1,"충돌",HYPERLINK("#'관리자_MASTER'!D"&amp;_xlfn.MAXIFS(m_row,m_teacher,AV$4,m_date,($G$2+24),m_active,1,m_start,"&lt;"&amp;1440,m_end,"&gt;"&amp;1140),INDEX(m_label,_xlfn.MAXIFS(m_row,m_teacher,AV$4,m_date,($G$2+24),m_active,1,m_start,"&lt;"&amp;1440,m_end,"&gt;"&amp;1140))))))</f>
        <v/>
      </c>
      <c r="AW48" s="89" t="str">
        <f aca="false">IF(OR(AW$4="",MONTH(($G$2+24))&lt;&gt;MONTH($C$2)),"",IF(COUNTIFS(m_teacher,AW$4,m_date,($G$2+24),m_active,1,m_start,"&lt;"&amp;1440,m_end,"&gt;"&amp;1140)=0,"",IF(COUNTIFS(m_teacher,AW$4,m_date,($G$2+24),m_active,1,m_start,"&lt;"&amp;1440,m_end,"&gt;"&amp;1140)&gt;1,"충돌",HYPERLINK("#'관리자_MASTER'!D"&amp;_xlfn.MAXIFS(m_row,m_teacher,AW$4,m_date,($G$2+24),m_active,1,m_start,"&lt;"&amp;1440,m_end,"&gt;"&amp;1140),INDEX(m_label,_xlfn.MAXIFS(m_row,m_teacher,AW$4,m_date,($G$2+24),m_active,1,m_start,"&lt;"&amp;1440,m_end,"&gt;"&amp;1140))))))</f>
        <v/>
      </c>
      <c r="AX48" s="89" t="str">
        <f aca="false">IF(OR(AX$4="",MONTH(($G$2+24))&lt;&gt;MONTH($C$2)),"",IF(COUNTIFS(m_teacher,AX$4,m_date,($G$2+24),m_active,1,m_start,"&lt;"&amp;1440,m_end,"&gt;"&amp;1140)=0,"",IF(COUNTIFS(m_teacher,AX$4,m_date,($G$2+24),m_active,1,m_start,"&lt;"&amp;1440,m_end,"&gt;"&amp;1140)&gt;1,"충돌",HYPERLINK("#'관리자_MASTER'!D"&amp;_xlfn.MAXIFS(m_row,m_teacher,AX$4,m_date,($G$2+24),m_active,1,m_start,"&lt;"&amp;1440,m_end,"&gt;"&amp;1140),INDEX(m_label,_xlfn.MAXIFS(m_row,m_teacher,AX$4,m_date,($G$2+24),m_active,1,m_start,"&lt;"&amp;1440,m_end,"&gt;"&amp;1140))))))</f>
        <v/>
      </c>
      <c r="AY48" s="89" t="str">
        <f aca="false">IF(OR(AY$4="",MONTH(($G$2+24))&lt;&gt;MONTH($C$2)),"",IF(COUNTIFS(m_teacher,AY$4,m_date,($G$2+24),m_active,1,m_start,"&lt;"&amp;1440,m_end,"&gt;"&amp;1140)=0,"",IF(COUNTIFS(m_teacher,AY$4,m_date,($G$2+24),m_active,1,m_start,"&lt;"&amp;1440,m_end,"&gt;"&amp;1140)&gt;1,"충돌",HYPERLINK("#'관리자_MASTER'!D"&amp;_xlfn.MAXIFS(m_row,m_teacher,AY$4,m_date,($G$2+24),m_active,1,m_start,"&lt;"&amp;1440,m_end,"&gt;"&amp;1140),INDEX(m_label,_xlfn.MAXIFS(m_row,m_teacher,AY$4,m_date,($G$2+24),m_active,1,m_start,"&lt;"&amp;1440,m_end,"&gt;"&amp;1140))))))</f>
        <v/>
      </c>
      <c r="AZ48" s="89" t="str">
        <f aca="false">IF(OR(AZ$4="",MONTH(($G$2+24))&lt;&gt;MONTH($C$2)),"",IF(COUNTIFS(m_teacher,AZ$4,m_date,($G$2+24),m_active,1,m_start,"&lt;"&amp;1440,m_end,"&gt;"&amp;1140)=0,"",IF(COUNTIFS(m_teacher,AZ$4,m_date,($G$2+24),m_active,1,m_start,"&lt;"&amp;1440,m_end,"&gt;"&amp;1140)&gt;1,"충돌",HYPERLINK("#'관리자_MASTER'!D"&amp;_xlfn.MAXIFS(m_row,m_teacher,AZ$4,m_date,($G$2+24),m_active,1,m_start,"&lt;"&amp;1440,m_end,"&gt;"&amp;1140),INDEX(m_label,_xlfn.MAXIFS(m_row,m_teacher,AZ$4,m_date,($G$2+24),m_active,1,m_start,"&lt;"&amp;1440,m_end,"&gt;"&amp;1140))))))</f>
        <v/>
      </c>
      <c r="BA48" s="89" t="str">
        <f aca="false">IF(OR(BA$4="",MONTH(($G$2+24))&lt;&gt;MONTH($C$2)),"",IF(COUNTIFS(m_teacher,BA$4,m_date,($G$2+24),m_active,1,m_start,"&lt;"&amp;1440,m_end,"&gt;"&amp;1140)=0,"",IF(COUNTIFS(m_teacher,BA$4,m_date,($G$2+24),m_active,1,m_start,"&lt;"&amp;1440,m_end,"&gt;"&amp;1140)&gt;1,"충돌",HYPERLINK("#'관리자_MASTER'!D"&amp;_xlfn.MAXIFS(m_row,m_teacher,BA$4,m_date,($G$2+24),m_active,1,m_start,"&lt;"&amp;1440,m_end,"&gt;"&amp;1140),INDEX(m_label,_xlfn.MAXIFS(m_row,m_teacher,BA$4,m_date,($G$2+24),m_active,1,m_start,"&lt;"&amp;1440,m_end,"&gt;"&amp;1140))))))</f>
        <v/>
      </c>
      <c r="BB48" s="89" t="str">
        <f aca="false">IF(OR(BB$4="",MONTH(($G$2+24))&lt;&gt;MONTH($C$2)),"",IF(COUNTIFS(m_teacher,BB$4,m_date,($G$2+24),m_active,1,m_start,"&lt;"&amp;1440,m_end,"&gt;"&amp;1140)=0,"",IF(COUNTIFS(m_teacher,BB$4,m_date,($G$2+24),m_active,1,m_start,"&lt;"&amp;1440,m_end,"&gt;"&amp;1140)&gt;1,"충돌",HYPERLINK("#'관리자_MASTER'!D"&amp;_xlfn.MAXIFS(m_row,m_teacher,BB$4,m_date,($G$2+24),m_active,1,m_start,"&lt;"&amp;1440,m_end,"&gt;"&amp;1140),INDEX(m_label,_xlfn.MAXIFS(m_row,m_teacher,BB$4,m_date,($G$2+24),m_active,1,m_start,"&lt;"&amp;1440,m_end,"&gt;"&amp;1140))))))</f>
        <v/>
      </c>
      <c r="BC48" s="89" t="str">
        <f aca="false">IF(OR(BC$4="",MONTH(($G$2+24))&lt;&gt;MONTH($C$2)),"",IF(COUNTIFS(m_teacher,BC$4,m_date,($G$2+24),m_active,1,m_start,"&lt;"&amp;1440,m_end,"&gt;"&amp;1140)=0,"",IF(COUNTIFS(m_teacher,BC$4,m_date,($G$2+24),m_active,1,m_start,"&lt;"&amp;1440,m_end,"&gt;"&amp;1140)&gt;1,"충돌",HYPERLINK("#'관리자_MASTER'!D"&amp;_xlfn.MAXIFS(m_row,m_teacher,BC$4,m_date,($G$2+24),m_active,1,m_start,"&lt;"&amp;1440,m_end,"&gt;"&amp;1140),INDEX(m_label,_xlfn.MAXIFS(m_row,m_teacher,BC$4,m_date,($G$2+24),m_active,1,m_start,"&lt;"&amp;1440,m_end,"&gt;"&amp;1140))))))</f>
        <v/>
      </c>
      <c r="BD48" s="89" t="str">
        <f aca="false">IF(OR(BD$4="",MONTH(($G$2+24))&lt;&gt;MONTH($C$2)),"",IF(COUNTIFS(m_teacher,BD$4,m_date,($G$2+24),m_active,1,m_start,"&lt;"&amp;1440,m_end,"&gt;"&amp;1140)=0,"",IF(COUNTIFS(m_teacher,BD$4,m_date,($G$2+24),m_active,1,m_start,"&lt;"&amp;1440,m_end,"&gt;"&amp;1140)&gt;1,"충돌",HYPERLINK("#'관리자_MASTER'!D"&amp;_xlfn.MAXIFS(m_row,m_teacher,BD$4,m_date,($G$2+24),m_active,1,m_start,"&lt;"&amp;1440,m_end,"&gt;"&amp;1140),INDEX(m_label,_xlfn.MAXIFS(m_row,m_teacher,BD$4,m_date,($G$2+24),m_active,1,m_start,"&lt;"&amp;1440,m_end,"&gt;"&amp;1140))))))</f>
        <v/>
      </c>
    </row>
    <row r="49" customFormat="false" ht="19.5" hidden="false" customHeight="true" outlineLevel="0" collapsed="false">
      <c r="A49" s="78" t="str">
        <f aca="false">IF(MONTH(($G$2+4))&lt;&gt;MONTH($C$2),"",CHOOSE(WEEKDAY(($G$2+4),2),"월","화","수","목","금","토","일")&amp;CHAR(10)&amp;TEXT(($G$2+4),"m/d"))</f>
        <v>금
2/5</v>
      </c>
      <c r="B49" s="79" t="s">
        <v>91</v>
      </c>
      <c r="C49" s="80" t="str">
        <f aca="false">IF(OR(C$4="",MONTH(($G$2+4))&lt;&gt;MONTH($C$2)),"",IF(COUNTIFS(m_teacher,C$4,m_date,($G$2+4),m_active,1,m_start,"&lt;"&amp;600,m_end,"&gt;"&amp;0)=0,"",IF(COUNTIFS(m_teacher,C$4,m_date,($G$2+4),m_active,1,m_start,"&lt;"&amp;600,m_end,"&gt;"&amp;0)&gt;1,"충돌",HYPERLINK("#'관리자_MASTER'!D"&amp;_xlfn.MAXIFS(m_row,m_teacher,C$4,m_date,($G$2+4),m_active,1,m_start,"&lt;"&amp;600,m_end,"&gt;"&amp;0),INDEX(m_label,_xlfn.MAXIFS(m_row,m_teacher,C$4,m_date,($G$2+4),m_active,1,m_start,"&lt;"&amp;600,m_end,"&gt;"&amp;0))))))</f>
        <v/>
      </c>
      <c r="D49" s="80" t="str">
        <f aca="false">IF(OR(D$4="",MONTH(($G$2+4))&lt;&gt;MONTH($C$2)),"",IF(COUNTIFS(m_teacher,D$4,m_date,($G$2+4),m_active,1,m_start,"&lt;"&amp;600,m_end,"&gt;"&amp;0)=0,"",IF(COUNTIFS(m_teacher,D$4,m_date,($G$2+4),m_active,1,m_start,"&lt;"&amp;600,m_end,"&gt;"&amp;0)&gt;1,"충돌",HYPERLINK("#'관리자_MASTER'!D"&amp;_xlfn.MAXIFS(m_row,m_teacher,D$4,m_date,($G$2+4),m_active,1,m_start,"&lt;"&amp;600,m_end,"&gt;"&amp;0),INDEX(m_label,_xlfn.MAXIFS(m_row,m_teacher,D$4,m_date,($G$2+4),m_active,1,m_start,"&lt;"&amp;600,m_end,"&gt;"&amp;0))))))</f>
        <v/>
      </c>
      <c r="E49" s="80" t="str">
        <f aca="false">IF(OR(E$4="",MONTH(($G$2+4))&lt;&gt;MONTH($C$2)),"",IF(COUNTIFS(m_teacher,E$4,m_date,($G$2+4),m_active,1,m_start,"&lt;"&amp;600,m_end,"&gt;"&amp;0)=0,"",IF(COUNTIFS(m_teacher,E$4,m_date,($G$2+4),m_active,1,m_start,"&lt;"&amp;600,m_end,"&gt;"&amp;0)&gt;1,"충돌",HYPERLINK("#'관리자_MASTER'!D"&amp;_xlfn.MAXIFS(m_row,m_teacher,E$4,m_date,($G$2+4),m_active,1,m_start,"&lt;"&amp;600,m_end,"&gt;"&amp;0),INDEX(m_label,_xlfn.MAXIFS(m_row,m_teacher,E$4,m_date,($G$2+4),m_active,1,m_start,"&lt;"&amp;600,m_end,"&gt;"&amp;0))))))</f>
        <v/>
      </c>
      <c r="F49" s="80" t="str">
        <f aca="false">IF(OR(F$4="",MONTH(($G$2+4))&lt;&gt;MONTH($C$2)),"",IF(COUNTIFS(m_teacher,F$4,m_date,($G$2+4),m_active,1,m_start,"&lt;"&amp;600,m_end,"&gt;"&amp;0)=0,"",IF(COUNTIFS(m_teacher,F$4,m_date,($G$2+4),m_active,1,m_start,"&lt;"&amp;600,m_end,"&gt;"&amp;0)&gt;1,"충돌",HYPERLINK("#'관리자_MASTER'!D"&amp;_xlfn.MAXIFS(m_row,m_teacher,F$4,m_date,($G$2+4),m_active,1,m_start,"&lt;"&amp;600,m_end,"&gt;"&amp;0),INDEX(m_label,_xlfn.MAXIFS(m_row,m_teacher,F$4,m_date,($G$2+4),m_active,1,m_start,"&lt;"&amp;600,m_end,"&gt;"&amp;0))))))</f>
        <v/>
      </c>
      <c r="G49" s="80" t="str">
        <f aca="false">IF(OR(G$4="",MONTH(($G$2+4))&lt;&gt;MONTH($C$2)),"",IF(COUNTIFS(m_teacher,G$4,m_date,($G$2+4),m_active,1,m_start,"&lt;"&amp;600,m_end,"&gt;"&amp;0)=0,"",IF(COUNTIFS(m_teacher,G$4,m_date,($G$2+4),m_active,1,m_start,"&lt;"&amp;600,m_end,"&gt;"&amp;0)&gt;1,"충돌",HYPERLINK("#'관리자_MASTER'!D"&amp;_xlfn.MAXIFS(m_row,m_teacher,G$4,m_date,($G$2+4),m_active,1,m_start,"&lt;"&amp;600,m_end,"&gt;"&amp;0),INDEX(m_label,_xlfn.MAXIFS(m_row,m_teacher,G$4,m_date,($G$2+4),m_active,1,m_start,"&lt;"&amp;600,m_end,"&gt;"&amp;0))))))</f>
        <v/>
      </c>
      <c r="H49" s="80" t="str">
        <f aca="false">IF(OR(H$4="",MONTH(($G$2+4))&lt;&gt;MONTH($C$2)),"",IF(COUNTIFS(m_teacher,H$4,m_date,($G$2+4),m_active,1,m_start,"&lt;"&amp;600,m_end,"&gt;"&amp;0)=0,"",IF(COUNTIFS(m_teacher,H$4,m_date,($G$2+4),m_active,1,m_start,"&lt;"&amp;600,m_end,"&gt;"&amp;0)&gt;1,"충돌",HYPERLINK("#'관리자_MASTER'!D"&amp;_xlfn.MAXIFS(m_row,m_teacher,H$4,m_date,($G$2+4),m_active,1,m_start,"&lt;"&amp;600,m_end,"&gt;"&amp;0),INDEX(m_label,_xlfn.MAXIFS(m_row,m_teacher,H$4,m_date,($G$2+4),m_active,1,m_start,"&lt;"&amp;600,m_end,"&gt;"&amp;0))))))</f>
        <v/>
      </c>
      <c r="I49" s="80" t="str">
        <f aca="false">IF(OR(I$4="",MONTH(($G$2+4))&lt;&gt;MONTH($C$2)),"",IF(COUNTIFS(m_teacher,I$4,m_date,($G$2+4),m_active,1,m_start,"&lt;"&amp;600,m_end,"&gt;"&amp;0)=0,"",IF(COUNTIFS(m_teacher,I$4,m_date,($G$2+4),m_active,1,m_start,"&lt;"&amp;600,m_end,"&gt;"&amp;0)&gt;1,"충돌",HYPERLINK("#'관리자_MASTER'!D"&amp;_xlfn.MAXIFS(m_row,m_teacher,I$4,m_date,($G$2+4),m_active,1,m_start,"&lt;"&amp;600,m_end,"&gt;"&amp;0),INDEX(m_label,_xlfn.MAXIFS(m_row,m_teacher,I$4,m_date,($G$2+4),m_active,1,m_start,"&lt;"&amp;600,m_end,"&gt;"&amp;0))))))</f>
        <v/>
      </c>
      <c r="J49" s="80" t="str">
        <f aca="false">IF(OR(J$4="",MONTH(($G$2+4))&lt;&gt;MONTH($C$2)),"",IF(COUNTIFS(m_teacher,J$4,m_date,($G$2+4),m_active,1,m_start,"&lt;"&amp;600,m_end,"&gt;"&amp;0)=0,"",IF(COUNTIFS(m_teacher,J$4,m_date,($G$2+4),m_active,1,m_start,"&lt;"&amp;600,m_end,"&gt;"&amp;0)&gt;1,"충돌",HYPERLINK("#'관리자_MASTER'!D"&amp;_xlfn.MAXIFS(m_row,m_teacher,J$4,m_date,($G$2+4),m_active,1,m_start,"&lt;"&amp;600,m_end,"&gt;"&amp;0),INDEX(m_label,_xlfn.MAXIFS(m_row,m_teacher,J$4,m_date,($G$2+4),m_active,1,m_start,"&lt;"&amp;600,m_end,"&gt;"&amp;0))))))</f>
        <v/>
      </c>
      <c r="K49" s="80" t="str">
        <f aca="false">IF(OR(K$4="",MONTH(($G$2+4))&lt;&gt;MONTH($C$2)),"",IF(COUNTIFS(m_teacher,K$4,m_date,($G$2+4),m_active,1,m_start,"&lt;"&amp;600,m_end,"&gt;"&amp;0)=0,"",IF(COUNTIFS(m_teacher,K$4,m_date,($G$2+4),m_active,1,m_start,"&lt;"&amp;600,m_end,"&gt;"&amp;0)&gt;1,"충돌",HYPERLINK("#'관리자_MASTER'!D"&amp;_xlfn.MAXIFS(m_row,m_teacher,K$4,m_date,($G$2+4),m_active,1,m_start,"&lt;"&amp;600,m_end,"&gt;"&amp;0),INDEX(m_label,_xlfn.MAXIFS(m_row,m_teacher,K$4,m_date,($G$2+4),m_active,1,m_start,"&lt;"&amp;600,m_end,"&gt;"&amp;0))))))</f>
        <v/>
      </c>
      <c r="L49" s="80" t="str">
        <f aca="false">IF(OR(L$4="",MONTH(($G$2+4))&lt;&gt;MONTH($C$2)),"",IF(COUNTIFS(m_teacher,L$4,m_date,($G$2+4),m_active,1,m_start,"&lt;"&amp;600,m_end,"&gt;"&amp;0)=0,"",IF(COUNTIFS(m_teacher,L$4,m_date,($G$2+4),m_active,1,m_start,"&lt;"&amp;600,m_end,"&gt;"&amp;0)&gt;1,"충돌",HYPERLINK("#'관리자_MASTER'!D"&amp;_xlfn.MAXIFS(m_row,m_teacher,L$4,m_date,($G$2+4),m_active,1,m_start,"&lt;"&amp;600,m_end,"&gt;"&amp;0),INDEX(m_label,_xlfn.MAXIFS(m_row,m_teacher,L$4,m_date,($G$2+4),m_active,1,m_start,"&lt;"&amp;600,m_end,"&gt;"&amp;0))))))</f>
        <v/>
      </c>
      <c r="M49" s="80" t="str">
        <f aca="false">IF(OR(M$4="",MONTH(($G$2+4))&lt;&gt;MONTH($C$2)),"",IF(COUNTIFS(m_teacher,M$4,m_date,($G$2+4),m_active,1,m_start,"&lt;"&amp;600,m_end,"&gt;"&amp;0)=0,"",IF(COUNTIFS(m_teacher,M$4,m_date,($G$2+4),m_active,1,m_start,"&lt;"&amp;600,m_end,"&gt;"&amp;0)&gt;1,"충돌",HYPERLINK("#'관리자_MASTER'!D"&amp;_xlfn.MAXIFS(m_row,m_teacher,M$4,m_date,($G$2+4),m_active,1,m_start,"&lt;"&amp;600,m_end,"&gt;"&amp;0),INDEX(m_label,_xlfn.MAXIFS(m_row,m_teacher,M$4,m_date,($G$2+4),m_active,1,m_start,"&lt;"&amp;600,m_end,"&gt;"&amp;0))))))</f>
        <v/>
      </c>
      <c r="N49" s="80" t="str">
        <f aca="false">IF(OR(N$4="",MONTH(($G$2+4))&lt;&gt;MONTH($C$2)),"",IF(COUNTIFS(m_teacher,N$4,m_date,($G$2+4),m_active,1,m_start,"&lt;"&amp;600,m_end,"&gt;"&amp;0)=0,"",IF(COUNTIFS(m_teacher,N$4,m_date,($G$2+4),m_active,1,m_start,"&lt;"&amp;600,m_end,"&gt;"&amp;0)&gt;1,"충돌",HYPERLINK("#'관리자_MASTER'!D"&amp;_xlfn.MAXIFS(m_row,m_teacher,N$4,m_date,($G$2+4),m_active,1,m_start,"&lt;"&amp;600,m_end,"&gt;"&amp;0),INDEX(m_label,_xlfn.MAXIFS(m_row,m_teacher,N$4,m_date,($G$2+4),m_active,1,m_start,"&lt;"&amp;600,m_end,"&gt;"&amp;0))))))</f>
        <v/>
      </c>
      <c r="O49" s="78" t="str">
        <f aca="false">IF(MONTH(($G$2+11))&lt;&gt;MONTH($C$2),"",CHOOSE(WEEKDAY(($G$2+11),2),"월","화","수","목","금","토","일")&amp;CHAR(10)&amp;TEXT(($G$2+11),"m/d"))</f>
        <v>금
2/12</v>
      </c>
      <c r="P49" s="79" t="s">
        <v>91</v>
      </c>
      <c r="Q49" s="80" t="str">
        <f aca="false">IF(OR(Q$4="",MONTH(($G$2+11))&lt;&gt;MONTH($C$2)),"",IF(COUNTIFS(m_teacher,Q$4,m_date,($G$2+11),m_active,1,m_start,"&lt;"&amp;600,m_end,"&gt;"&amp;0)=0,"",IF(COUNTIFS(m_teacher,Q$4,m_date,($G$2+11),m_active,1,m_start,"&lt;"&amp;600,m_end,"&gt;"&amp;0)&gt;1,"충돌",HYPERLINK("#'관리자_MASTER'!D"&amp;_xlfn.MAXIFS(m_row,m_teacher,Q$4,m_date,($G$2+11),m_active,1,m_start,"&lt;"&amp;600,m_end,"&gt;"&amp;0),INDEX(m_label,_xlfn.MAXIFS(m_row,m_teacher,Q$4,m_date,($G$2+11),m_active,1,m_start,"&lt;"&amp;600,m_end,"&gt;"&amp;0))))))</f>
        <v/>
      </c>
      <c r="R49" s="80" t="str">
        <f aca="false">IF(OR(R$4="",MONTH(($G$2+11))&lt;&gt;MONTH($C$2)),"",IF(COUNTIFS(m_teacher,R$4,m_date,($G$2+11),m_active,1,m_start,"&lt;"&amp;600,m_end,"&gt;"&amp;0)=0,"",IF(COUNTIFS(m_teacher,R$4,m_date,($G$2+11),m_active,1,m_start,"&lt;"&amp;600,m_end,"&gt;"&amp;0)&gt;1,"충돌",HYPERLINK("#'관리자_MASTER'!D"&amp;_xlfn.MAXIFS(m_row,m_teacher,R$4,m_date,($G$2+11),m_active,1,m_start,"&lt;"&amp;600,m_end,"&gt;"&amp;0),INDEX(m_label,_xlfn.MAXIFS(m_row,m_teacher,R$4,m_date,($G$2+11),m_active,1,m_start,"&lt;"&amp;600,m_end,"&gt;"&amp;0))))))</f>
        <v/>
      </c>
      <c r="S49" s="80" t="str">
        <f aca="false">IF(OR(S$4="",MONTH(($G$2+11))&lt;&gt;MONTH($C$2)),"",IF(COUNTIFS(m_teacher,S$4,m_date,($G$2+11),m_active,1,m_start,"&lt;"&amp;600,m_end,"&gt;"&amp;0)=0,"",IF(COUNTIFS(m_teacher,S$4,m_date,($G$2+11),m_active,1,m_start,"&lt;"&amp;600,m_end,"&gt;"&amp;0)&gt;1,"충돌",HYPERLINK("#'관리자_MASTER'!D"&amp;_xlfn.MAXIFS(m_row,m_teacher,S$4,m_date,($G$2+11),m_active,1,m_start,"&lt;"&amp;600,m_end,"&gt;"&amp;0),INDEX(m_label,_xlfn.MAXIFS(m_row,m_teacher,S$4,m_date,($G$2+11),m_active,1,m_start,"&lt;"&amp;600,m_end,"&gt;"&amp;0))))))</f>
        <v/>
      </c>
      <c r="T49" s="80" t="str">
        <f aca="false">IF(OR(T$4="",MONTH(($G$2+11))&lt;&gt;MONTH($C$2)),"",IF(COUNTIFS(m_teacher,T$4,m_date,($G$2+11),m_active,1,m_start,"&lt;"&amp;600,m_end,"&gt;"&amp;0)=0,"",IF(COUNTIFS(m_teacher,T$4,m_date,($G$2+11),m_active,1,m_start,"&lt;"&amp;600,m_end,"&gt;"&amp;0)&gt;1,"충돌",HYPERLINK("#'관리자_MASTER'!D"&amp;_xlfn.MAXIFS(m_row,m_teacher,T$4,m_date,($G$2+11),m_active,1,m_start,"&lt;"&amp;600,m_end,"&gt;"&amp;0),INDEX(m_label,_xlfn.MAXIFS(m_row,m_teacher,T$4,m_date,($G$2+11),m_active,1,m_start,"&lt;"&amp;600,m_end,"&gt;"&amp;0))))))</f>
        <v/>
      </c>
      <c r="U49" s="80" t="str">
        <f aca="false">IF(OR(U$4="",MONTH(($G$2+11))&lt;&gt;MONTH($C$2)),"",IF(COUNTIFS(m_teacher,U$4,m_date,($G$2+11),m_active,1,m_start,"&lt;"&amp;600,m_end,"&gt;"&amp;0)=0,"",IF(COUNTIFS(m_teacher,U$4,m_date,($G$2+11),m_active,1,m_start,"&lt;"&amp;600,m_end,"&gt;"&amp;0)&gt;1,"충돌",HYPERLINK("#'관리자_MASTER'!D"&amp;_xlfn.MAXIFS(m_row,m_teacher,U$4,m_date,($G$2+11),m_active,1,m_start,"&lt;"&amp;600,m_end,"&gt;"&amp;0),INDEX(m_label,_xlfn.MAXIFS(m_row,m_teacher,U$4,m_date,($G$2+11),m_active,1,m_start,"&lt;"&amp;600,m_end,"&gt;"&amp;0))))))</f>
        <v/>
      </c>
      <c r="V49" s="80" t="str">
        <f aca="false">IF(OR(V$4="",MONTH(($G$2+11))&lt;&gt;MONTH($C$2)),"",IF(COUNTIFS(m_teacher,V$4,m_date,($G$2+11),m_active,1,m_start,"&lt;"&amp;600,m_end,"&gt;"&amp;0)=0,"",IF(COUNTIFS(m_teacher,V$4,m_date,($G$2+11),m_active,1,m_start,"&lt;"&amp;600,m_end,"&gt;"&amp;0)&gt;1,"충돌",HYPERLINK("#'관리자_MASTER'!D"&amp;_xlfn.MAXIFS(m_row,m_teacher,V$4,m_date,($G$2+11),m_active,1,m_start,"&lt;"&amp;600,m_end,"&gt;"&amp;0),INDEX(m_label,_xlfn.MAXIFS(m_row,m_teacher,V$4,m_date,($G$2+11),m_active,1,m_start,"&lt;"&amp;600,m_end,"&gt;"&amp;0))))))</f>
        <v/>
      </c>
      <c r="W49" s="80" t="str">
        <f aca="false">IF(OR(W$4="",MONTH(($G$2+11))&lt;&gt;MONTH($C$2)),"",IF(COUNTIFS(m_teacher,W$4,m_date,($G$2+11),m_active,1,m_start,"&lt;"&amp;600,m_end,"&gt;"&amp;0)=0,"",IF(COUNTIFS(m_teacher,W$4,m_date,($G$2+11),m_active,1,m_start,"&lt;"&amp;600,m_end,"&gt;"&amp;0)&gt;1,"충돌",HYPERLINK("#'관리자_MASTER'!D"&amp;_xlfn.MAXIFS(m_row,m_teacher,W$4,m_date,($G$2+11),m_active,1,m_start,"&lt;"&amp;600,m_end,"&gt;"&amp;0),INDEX(m_label,_xlfn.MAXIFS(m_row,m_teacher,W$4,m_date,($G$2+11),m_active,1,m_start,"&lt;"&amp;600,m_end,"&gt;"&amp;0))))))</f>
        <v/>
      </c>
      <c r="X49" s="80" t="str">
        <f aca="false">IF(OR(X$4="",MONTH(($G$2+11))&lt;&gt;MONTH($C$2)),"",IF(COUNTIFS(m_teacher,X$4,m_date,($G$2+11),m_active,1,m_start,"&lt;"&amp;600,m_end,"&gt;"&amp;0)=0,"",IF(COUNTIFS(m_teacher,X$4,m_date,($G$2+11),m_active,1,m_start,"&lt;"&amp;600,m_end,"&gt;"&amp;0)&gt;1,"충돌",HYPERLINK("#'관리자_MASTER'!D"&amp;_xlfn.MAXIFS(m_row,m_teacher,X$4,m_date,($G$2+11),m_active,1,m_start,"&lt;"&amp;600,m_end,"&gt;"&amp;0),INDEX(m_label,_xlfn.MAXIFS(m_row,m_teacher,X$4,m_date,($G$2+11),m_active,1,m_start,"&lt;"&amp;600,m_end,"&gt;"&amp;0))))))</f>
        <v/>
      </c>
      <c r="Y49" s="80" t="str">
        <f aca="false">IF(OR(Y$4="",MONTH(($G$2+11))&lt;&gt;MONTH($C$2)),"",IF(COUNTIFS(m_teacher,Y$4,m_date,($G$2+11),m_active,1,m_start,"&lt;"&amp;600,m_end,"&gt;"&amp;0)=0,"",IF(COUNTIFS(m_teacher,Y$4,m_date,($G$2+11),m_active,1,m_start,"&lt;"&amp;600,m_end,"&gt;"&amp;0)&gt;1,"충돌",HYPERLINK("#'관리자_MASTER'!D"&amp;_xlfn.MAXIFS(m_row,m_teacher,Y$4,m_date,($G$2+11),m_active,1,m_start,"&lt;"&amp;600,m_end,"&gt;"&amp;0),INDEX(m_label,_xlfn.MAXIFS(m_row,m_teacher,Y$4,m_date,($G$2+11),m_active,1,m_start,"&lt;"&amp;600,m_end,"&gt;"&amp;0))))))</f>
        <v/>
      </c>
      <c r="Z49" s="80" t="str">
        <f aca="false">IF(OR(Z$4="",MONTH(($G$2+11))&lt;&gt;MONTH($C$2)),"",IF(COUNTIFS(m_teacher,Z$4,m_date,($G$2+11),m_active,1,m_start,"&lt;"&amp;600,m_end,"&gt;"&amp;0)=0,"",IF(COUNTIFS(m_teacher,Z$4,m_date,($G$2+11),m_active,1,m_start,"&lt;"&amp;600,m_end,"&gt;"&amp;0)&gt;1,"충돌",HYPERLINK("#'관리자_MASTER'!D"&amp;_xlfn.MAXIFS(m_row,m_teacher,Z$4,m_date,($G$2+11),m_active,1,m_start,"&lt;"&amp;600,m_end,"&gt;"&amp;0),INDEX(m_label,_xlfn.MAXIFS(m_row,m_teacher,Z$4,m_date,($G$2+11),m_active,1,m_start,"&lt;"&amp;600,m_end,"&gt;"&amp;0))))))</f>
        <v/>
      </c>
      <c r="AA49" s="80" t="str">
        <f aca="false">IF(OR(AA$4="",MONTH(($G$2+11))&lt;&gt;MONTH($C$2)),"",IF(COUNTIFS(m_teacher,AA$4,m_date,($G$2+11),m_active,1,m_start,"&lt;"&amp;600,m_end,"&gt;"&amp;0)=0,"",IF(COUNTIFS(m_teacher,AA$4,m_date,($G$2+11),m_active,1,m_start,"&lt;"&amp;600,m_end,"&gt;"&amp;0)&gt;1,"충돌",HYPERLINK("#'관리자_MASTER'!D"&amp;_xlfn.MAXIFS(m_row,m_teacher,AA$4,m_date,($G$2+11),m_active,1,m_start,"&lt;"&amp;600,m_end,"&gt;"&amp;0),INDEX(m_label,_xlfn.MAXIFS(m_row,m_teacher,AA$4,m_date,($G$2+11),m_active,1,m_start,"&lt;"&amp;600,m_end,"&gt;"&amp;0))))))</f>
        <v/>
      </c>
      <c r="AB49" s="80" t="str">
        <f aca="false">IF(OR(AB$4="",MONTH(($G$2+11))&lt;&gt;MONTH($C$2)),"",IF(COUNTIFS(m_teacher,AB$4,m_date,($G$2+11),m_active,1,m_start,"&lt;"&amp;600,m_end,"&gt;"&amp;0)=0,"",IF(COUNTIFS(m_teacher,AB$4,m_date,($G$2+11),m_active,1,m_start,"&lt;"&amp;600,m_end,"&gt;"&amp;0)&gt;1,"충돌",HYPERLINK("#'관리자_MASTER'!D"&amp;_xlfn.MAXIFS(m_row,m_teacher,AB$4,m_date,($G$2+11),m_active,1,m_start,"&lt;"&amp;600,m_end,"&gt;"&amp;0),INDEX(m_label,_xlfn.MAXIFS(m_row,m_teacher,AB$4,m_date,($G$2+11),m_active,1,m_start,"&lt;"&amp;600,m_end,"&gt;"&amp;0))))))</f>
        <v/>
      </c>
      <c r="AC49" s="78" t="str">
        <f aca="false">IF(MONTH(($G$2+18))&lt;&gt;MONTH($C$2),"",CHOOSE(WEEKDAY(($G$2+18),2),"월","화","수","목","금","토","일")&amp;CHAR(10)&amp;TEXT(($G$2+18),"m/d"))</f>
        <v>금
2/19</v>
      </c>
      <c r="AD49" s="79" t="s">
        <v>91</v>
      </c>
      <c r="AE49" s="80" t="str">
        <f aca="false">IF(OR(AE$4="",MONTH(($G$2+18))&lt;&gt;MONTH($C$2)),"",IF(COUNTIFS(m_teacher,AE$4,m_date,($G$2+18),m_active,1,m_start,"&lt;"&amp;600,m_end,"&gt;"&amp;0)=0,"",IF(COUNTIFS(m_teacher,AE$4,m_date,($G$2+18),m_active,1,m_start,"&lt;"&amp;600,m_end,"&gt;"&amp;0)&gt;1,"충돌",HYPERLINK("#'관리자_MASTER'!D"&amp;_xlfn.MAXIFS(m_row,m_teacher,AE$4,m_date,($G$2+18),m_active,1,m_start,"&lt;"&amp;600,m_end,"&gt;"&amp;0),INDEX(m_label,_xlfn.MAXIFS(m_row,m_teacher,AE$4,m_date,($G$2+18),m_active,1,m_start,"&lt;"&amp;600,m_end,"&gt;"&amp;0))))))</f>
        <v/>
      </c>
      <c r="AF49" s="80" t="str">
        <f aca="false">IF(OR(AF$4="",MONTH(($G$2+18))&lt;&gt;MONTH($C$2)),"",IF(COUNTIFS(m_teacher,AF$4,m_date,($G$2+18),m_active,1,m_start,"&lt;"&amp;600,m_end,"&gt;"&amp;0)=0,"",IF(COUNTIFS(m_teacher,AF$4,m_date,($G$2+18),m_active,1,m_start,"&lt;"&amp;600,m_end,"&gt;"&amp;0)&gt;1,"충돌",HYPERLINK("#'관리자_MASTER'!D"&amp;_xlfn.MAXIFS(m_row,m_teacher,AF$4,m_date,($G$2+18),m_active,1,m_start,"&lt;"&amp;600,m_end,"&gt;"&amp;0),INDEX(m_label,_xlfn.MAXIFS(m_row,m_teacher,AF$4,m_date,($G$2+18),m_active,1,m_start,"&lt;"&amp;600,m_end,"&gt;"&amp;0))))))</f>
        <v/>
      </c>
      <c r="AG49" s="80" t="str">
        <f aca="false">IF(OR(AG$4="",MONTH(($G$2+18))&lt;&gt;MONTH($C$2)),"",IF(COUNTIFS(m_teacher,AG$4,m_date,($G$2+18),m_active,1,m_start,"&lt;"&amp;600,m_end,"&gt;"&amp;0)=0,"",IF(COUNTIFS(m_teacher,AG$4,m_date,($G$2+18),m_active,1,m_start,"&lt;"&amp;600,m_end,"&gt;"&amp;0)&gt;1,"충돌",HYPERLINK("#'관리자_MASTER'!D"&amp;_xlfn.MAXIFS(m_row,m_teacher,AG$4,m_date,($G$2+18),m_active,1,m_start,"&lt;"&amp;600,m_end,"&gt;"&amp;0),INDEX(m_label,_xlfn.MAXIFS(m_row,m_teacher,AG$4,m_date,($G$2+18),m_active,1,m_start,"&lt;"&amp;600,m_end,"&gt;"&amp;0))))))</f>
        <v/>
      </c>
      <c r="AH49" s="80" t="str">
        <f aca="false">IF(OR(AH$4="",MONTH(($G$2+18))&lt;&gt;MONTH($C$2)),"",IF(COUNTIFS(m_teacher,AH$4,m_date,($G$2+18),m_active,1,m_start,"&lt;"&amp;600,m_end,"&gt;"&amp;0)=0,"",IF(COUNTIFS(m_teacher,AH$4,m_date,($G$2+18),m_active,1,m_start,"&lt;"&amp;600,m_end,"&gt;"&amp;0)&gt;1,"충돌",HYPERLINK("#'관리자_MASTER'!D"&amp;_xlfn.MAXIFS(m_row,m_teacher,AH$4,m_date,($G$2+18),m_active,1,m_start,"&lt;"&amp;600,m_end,"&gt;"&amp;0),INDEX(m_label,_xlfn.MAXIFS(m_row,m_teacher,AH$4,m_date,($G$2+18),m_active,1,m_start,"&lt;"&amp;600,m_end,"&gt;"&amp;0))))))</f>
        <v/>
      </c>
      <c r="AI49" s="80" t="str">
        <f aca="false">IF(OR(AI$4="",MONTH(($G$2+18))&lt;&gt;MONTH($C$2)),"",IF(COUNTIFS(m_teacher,AI$4,m_date,($G$2+18),m_active,1,m_start,"&lt;"&amp;600,m_end,"&gt;"&amp;0)=0,"",IF(COUNTIFS(m_teacher,AI$4,m_date,($G$2+18),m_active,1,m_start,"&lt;"&amp;600,m_end,"&gt;"&amp;0)&gt;1,"충돌",HYPERLINK("#'관리자_MASTER'!D"&amp;_xlfn.MAXIFS(m_row,m_teacher,AI$4,m_date,($G$2+18),m_active,1,m_start,"&lt;"&amp;600,m_end,"&gt;"&amp;0),INDEX(m_label,_xlfn.MAXIFS(m_row,m_teacher,AI$4,m_date,($G$2+18),m_active,1,m_start,"&lt;"&amp;600,m_end,"&gt;"&amp;0))))))</f>
        <v/>
      </c>
      <c r="AJ49" s="80" t="str">
        <f aca="false">IF(OR(AJ$4="",MONTH(($G$2+18))&lt;&gt;MONTH($C$2)),"",IF(COUNTIFS(m_teacher,AJ$4,m_date,($G$2+18),m_active,1,m_start,"&lt;"&amp;600,m_end,"&gt;"&amp;0)=0,"",IF(COUNTIFS(m_teacher,AJ$4,m_date,($G$2+18),m_active,1,m_start,"&lt;"&amp;600,m_end,"&gt;"&amp;0)&gt;1,"충돌",HYPERLINK("#'관리자_MASTER'!D"&amp;_xlfn.MAXIFS(m_row,m_teacher,AJ$4,m_date,($G$2+18),m_active,1,m_start,"&lt;"&amp;600,m_end,"&gt;"&amp;0),INDEX(m_label,_xlfn.MAXIFS(m_row,m_teacher,AJ$4,m_date,($G$2+18),m_active,1,m_start,"&lt;"&amp;600,m_end,"&gt;"&amp;0))))))</f>
        <v/>
      </c>
      <c r="AK49" s="80" t="str">
        <f aca="false">IF(OR(AK$4="",MONTH(($G$2+18))&lt;&gt;MONTH($C$2)),"",IF(COUNTIFS(m_teacher,AK$4,m_date,($G$2+18),m_active,1,m_start,"&lt;"&amp;600,m_end,"&gt;"&amp;0)=0,"",IF(COUNTIFS(m_teacher,AK$4,m_date,($G$2+18),m_active,1,m_start,"&lt;"&amp;600,m_end,"&gt;"&amp;0)&gt;1,"충돌",HYPERLINK("#'관리자_MASTER'!D"&amp;_xlfn.MAXIFS(m_row,m_teacher,AK$4,m_date,($G$2+18),m_active,1,m_start,"&lt;"&amp;600,m_end,"&gt;"&amp;0),INDEX(m_label,_xlfn.MAXIFS(m_row,m_teacher,AK$4,m_date,($G$2+18),m_active,1,m_start,"&lt;"&amp;600,m_end,"&gt;"&amp;0))))))</f>
        <v/>
      </c>
      <c r="AL49" s="80" t="str">
        <f aca="false">IF(OR(AL$4="",MONTH(($G$2+18))&lt;&gt;MONTH($C$2)),"",IF(COUNTIFS(m_teacher,AL$4,m_date,($G$2+18),m_active,1,m_start,"&lt;"&amp;600,m_end,"&gt;"&amp;0)=0,"",IF(COUNTIFS(m_teacher,AL$4,m_date,($G$2+18),m_active,1,m_start,"&lt;"&amp;600,m_end,"&gt;"&amp;0)&gt;1,"충돌",HYPERLINK("#'관리자_MASTER'!D"&amp;_xlfn.MAXIFS(m_row,m_teacher,AL$4,m_date,($G$2+18),m_active,1,m_start,"&lt;"&amp;600,m_end,"&gt;"&amp;0),INDEX(m_label,_xlfn.MAXIFS(m_row,m_teacher,AL$4,m_date,($G$2+18),m_active,1,m_start,"&lt;"&amp;600,m_end,"&gt;"&amp;0))))))</f>
        <v/>
      </c>
      <c r="AM49" s="80" t="str">
        <f aca="false">IF(OR(AM$4="",MONTH(($G$2+18))&lt;&gt;MONTH($C$2)),"",IF(COUNTIFS(m_teacher,AM$4,m_date,($G$2+18),m_active,1,m_start,"&lt;"&amp;600,m_end,"&gt;"&amp;0)=0,"",IF(COUNTIFS(m_teacher,AM$4,m_date,($G$2+18),m_active,1,m_start,"&lt;"&amp;600,m_end,"&gt;"&amp;0)&gt;1,"충돌",HYPERLINK("#'관리자_MASTER'!D"&amp;_xlfn.MAXIFS(m_row,m_teacher,AM$4,m_date,($G$2+18),m_active,1,m_start,"&lt;"&amp;600,m_end,"&gt;"&amp;0),INDEX(m_label,_xlfn.MAXIFS(m_row,m_teacher,AM$4,m_date,($G$2+18),m_active,1,m_start,"&lt;"&amp;600,m_end,"&gt;"&amp;0))))))</f>
        <v/>
      </c>
      <c r="AN49" s="80" t="str">
        <f aca="false">IF(OR(AN$4="",MONTH(($G$2+18))&lt;&gt;MONTH($C$2)),"",IF(COUNTIFS(m_teacher,AN$4,m_date,($G$2+18),m_active,1,m_start,"&lt;"&amp;600,m_end,"&gt;"&amp;0)=0,"",IF(COUNTIFS(m_teacher,AN$4,m_date,($G$2+18),m_active,1,m_start,"&lt;"&amp;600,m_end,"&gt;"&amp;0)&gt;1,"충돌",HYPERLINK("#'관리자_MASTER'!D"&amp;_xlfn.MAXIFS(m_row,m_teacher,AN$4,m_date,($G$2+18),m_active,1,m_start,"&lt;"&amp;600,m_end,"&gt;"&amp;0),INDEX(m_label,_xlfn.MAXIFS(m_row,m_teacher,AN$4,m_date,($G$2+18),m_active,1,m_start,"&lt;"&amp;600,m_end,"&gt;"&amp;0))))))</f>
        <v/>
      </c>
      <c r="AO49" s="80" t="str">
        <f aca="false">IF(OR(AO$4="",MONTH(($G$2+18))&lt;&gt;MONTH($C$2)),"",IF(COUNTIFS(m_teacher,AO$4,m_date,($G$2+18),m_active,1,m_start,"&lt;"&amp;600,m_end,"&gt;"&amp;0)=0,"",IF(COUNTIFS(m_teacher,AO$4,m_date,($G$2+18),m_active,1,m_start,"&lt;"&amp;600,m_end,"&gt;"&amp;0)&gt;1,"충돌",HYPERLINK("#'관리자_MASTER'!D"&amp;_xlfn.MAXIFS(m_row,m_teacher,AO$4,m_date,($G$2+18),m_active,1,m_start,"&lt;"&amp;600,m_end,"&gt;"&amp;0),INDEX(m_label,_xlfn.MAXIFS(m_row,m_teacher,AO$4,m_date,($G$2+18),m_active,1,m_start,"&lt;"&amp;600,m_end,"&gt;"&amp;0))))))</f>
        <v/>
      </c>
      <c r="AP49" s="80" t="str">
        <f aca="false">IF(OR(AP$4="",MONTH(($G$2+18))&lt;&gt;MONTH($C$2)),"",IF(COUNTIFS(m_teacher,AP$4,m_date,($G$2+18),m_active,1,m_start,"&lt;"&amp;600,m_end,"&gt;"&amp;0)=0,"",IF(COUNTIFS(m_teacher,AP$4,m_date,($G$2+18),m_active,1,m_start,"&lt;"&amp;600,m_end,"&gt;"&amp;0)&gt;1,"충돌",HYPERLINK("#'관리자_MASTER'!D"&amp;_xlfn.MAXIFS(m_row,m_teacher,AP$4,m_date,($G$2+18),m_active,1,m_start,"&lt;"&amp;600,m_end,"&gt;"&amp;0),INDEX(m_label,_xlfn.MAXIFS(m_row,m_teacher,AP$4,m_date,($G$2+18),m_active,1,m_start,"&lt;"&amp;600,m_end,"&gt;"&amp;0))))))</f>
        <v/>
      </c>
      <c r="AQ49" s="78" t="str">
        <f aca="false">IF(MONTH(($G$2+25))&lt;&gt;MONTH($C$2),"",CHOOSE(WEEKDAY(($G$2+25),2),"월","화","수","목","금","토","일")&amp;CHAR(10)&amp;TEXT(($G$2+25),"m/d"))</f>
        <v>금
2/26</v>
      </c>
      <c r="AR49" s="79" t="s">
        <v>91</v>
      </c>
      <c r="AS49" s="80" t="str">
        <f aca="false">IF(OR(AS$4="",MONTH(($G$2+25))&lt;&gt;MONTH($C$2)),"",IF(COUNTIFS(m_teacher,AS$4,m_date,($G$2+25),m_active,1,m_start,"&lt;"&amp;600,m_end,"&gt;"&amp;0)=0,"",IF(COUNTIFS(m_teacher,AS$4,m_date,($G$2+25),m_active,1,m_start,"&lt;"&amp;600,m_end,"&gt;"&amp;0)&gt;1,"충돌",HYPERLINK("#'관리자_MASTER'!D"&amp;_xlfn.MAXIFS(m_row,m_teacher,AS$4,m_date,($G$2+25),m_active,1,m_start,"&lt;"&amp;600,m_end,"&gt;"&amp;0),INDEX(m_label,_xlfn.MAXIFS(m_row,m_teacher,AS$4,m_date,($G$2+25),m_active,1,m_start,"&lt;"&amp;600,m_end,"&gt;"&amp;0))))))</f>
        <v/>
      </c>
      <c r="AT49" s="80" t="str">
        <f aca="false">IF(OR(AT$4="",MONTH(($G$2+25))&lt;&gt;MONTH($C$2)),"",IF(COUNTIFS(m_teacher,AT$4,m_date,($G$2+25),m_active,1,m_start,"&lt;"&amp;600,m_end,"&gt;"&amp;0)=0,"",IF(COUNTIFS(m_teacher,AT$4,m_date,($G$2+25),m_active,1,m_start,"&lt;"&amp;600,m_end,"&gt;"&amp;0)&gt;1,"충돌",HYPERLINK("#'관리자_MASTER'!D"&amp;_xlfn.MAXIFS(m_row,m_teacher,AT$4,m_date,($G$2+25),m_active,1,m_start,"&lt;"&amp;600,m_end,"&gt;"&amp;0),INDEX(m_label,_xlfn.MAXIFS(m_row,m_teacher,AT$4,m_date,($G$2+25),m_active,1,m_start,"&lt;"&amp;600,m_end,"&gt;"&amp;0))))))</f>
        <v/>
      </c>
      <c r="AU49" s="80" t="str">
        <f aca="false">IF(OR(AU$4="",MONTH(($G$2+25))&lt;&gt;MONTH($C$2)),"",IF(COUNTIFS(m_teacher,AU$4,m_date,($G$2+25),m_active,1,m_start,"&lt;"&amp;600,m_end,"&gt;"&amp;0)=0,"",IF(COUNTIFS(m_teacher,AU$4,m_date,($G$2+25),m_active,1,m_start,"&lt;"&amp;600,m_end,"&gt;"&amp;0)&gt;1,"충돌",HYPERLINK("#'관리자_MASTER'!D"&amp;_xlfn.MAXIFS(m_row,m_teacher,AU$4,m_date,($G$2+25),m_active,1,m_start,"&lt;"&amp;600,m_end,"&gt;"&amp;0),INDEX(m_label,_xlfn.MAXIFS(m_row,m_teacher,AU$4,m_date,($G$2+25),m_active,1,m_start,"&lt;"&amp;600,m_end,"&gt;"&amp;0))))))</f>
        <v/>
      </c>
      <c r="AV49" s="80" t="str">
        <f aca="false">IF(OR(AV$4="",MONTH(($G$2+25))&lt;&gt;MONTH($C$2)),"",IF(COUNTIFS(m_teacher,AV$4,m_date,($G$2+25),m_active,1,m_start,"&lt;"&amp;600,m_end,"&gt;"&amp;0)=0,"",IF(COUNTIFS(m_teacher,AV$4,m_date,($G$2+25),m_active,1,m_start,"&lt;"&amp;600,m_end,"&gt;"&amp;0)&gt;1,"충돌",HYPERLINK("#'관리자_MASTER'!D"&amp;_xlfn.MAXIFS(m_row,m_teacher,AV$4,m_date,($G$2+25),m_active,1,m_start,"&lt;"&amp;600,m_end,"&gt;"&amp;0),INDEX(m_label,_xlfn.MAXIFS(m_row,m_teacher,AV$4,m_date,($G$2+25),m_active,1,m_start,"&lt;"&amp;600,m_end,"&gt;"&amp;0))))))</f>
        <v/>
      </c>
      <c r="AW49" s="80" t="str">
        <f aca="false">IF(OR(AW$4="",MONTH(($G$2+25))&lt;&gt;MONTH($C$2)),"",IF(COUNTIFS(m_teacher,AW$4,m_date,($G$2+25),m_active,1,m_start,"&lt;"&amp;600,m_end,"&gt;"&amp;0)=0,"",IF(COUNTIFS(m_teacher,AW$4,m_date,($G$2+25),m_active,1,m_start,"&lt;"&amp;600,m_end,"&gt;"&amp;0)&gt;1,"충돌",HYPERLINK("#'관리자_MASTER'!D"&amp;_xlfn.MAXIFS(m_row,m_teacher,AW$4,m_date,($G$2+25),m_active,1,m_start,"&lt;"&amp;600,m_end,"&gt;"&amp;0),INDEX(m_label,_xlfn.MAXIFS(m_row,m_teacher,AW$4,m_date,($G$2+25),m_active,1,m_start,"&lt;"&amp;600,m_end,"&gt;"&amp;0))))))</f>
        <v/>
      </c>
      <c r="AX49" s="80" t="str">
        <f aca="false">IF(OR(AX$4="",MONTH(($G$2+25))&lt;&gt;MONTH($C$2)),"",IF(COUNTIFS(m_teacher,AX$4,m_date,($G$2+25),m_active,1,m_start,"&lt;"&amp;600,m_end,"&gt;"&amp;0)=0,"",IF(COUNTIFS(m_teacher,AX$4,m_date,($G$2+25),m_active,1,m_start,"&lt;"&amp;600,m_end,"&gt;"&amp;0)&gt;1,"충돌",HYPERLINK("#'관리자_MASTER'!D"&amp;_xlfn.MAXIFS(m_row,m_teacher,AX$4,m_date,($G$2+25),m_active,1,m_start,"&lt;"&amp;600,m_end,"&gt;"&amp;0),INDEX(m_label,_xlfn.MAXIFS(m_row,m_teacher,AX$4,m_date,($G$2+25),m_active,1,m_start,"&lt;"&amp;600,m_end,"&gt;"&amp;0))))))</f>
        <v/>
      </c>
      <c r="AY49" s="80" t="str">
        <f aca="false">IF(OR(AY$4="",MONTH(($G$2+25))&lt;&gt;MONTH($C$2)),"",IF(COUNTIFS(m_teacher,AY$4,m_date,($G$2+25),m_active,1,m_start,"&lt;"&amp;600,m_end,"&gt;"&amp;0)=0,"",IF(COUNTIFS(m_teacher,AY$4,m_date,($G$2+25),m_active,1,m_start,"&lt;"&amp;600,m_end,"&gt;"&amp;0)&gt;1,"충돌",HYPERLINK("#'관리자_MASTER'!D"&amp;_xlfn.MAXIFS(m_row,m_teacher,AY$4,m_date,($G$2+25),m_active,1,m_start,"&lt;"&amp;600,m_end,"&gt;"&amp;0),INDEX(m_label,_xlfn.MAXIFS(m_row,m_teacher,AY$4,m_date,($G$2+25),m_active,1,m_start,"&lt;"&amp;600,m_end,"&gt;"&amp;0))))))</f>
        <v/>
      </c>
      <c r="AZ49" s="80" t="str">
        <f aca="false">IF(OR(AZ$4="",MONTH(($G$2+25))&lt;&gt;MONTH($C$2)),"",IF(COUNTIFS(m_teacher,AZ$4,m_date,($G$2+25),m_active,1,m_start,"&lt;"&amp;600,m_end,"&gt;"&amp;0)=0,"",IF(COUNTIFS(m_teacher,AZ$4,m_date,($G$2+25),m_active,1,m_start,"&lt;"&amp;600,m_end,"&gt;"&amp;0)&gt;1,"충돌",HYPERLINK("#'관리자_MASTER'!D"&amp;_xlfn.MAXIFS(m_row,m_teacher,AZ$4,m_date,($G$2+25),m_active,1,m_start,"&lt;"&amp;600,m_end,"&gt;"&amp;0),INDEX(m_label,_xlfn.MAXIFS(m_row,m_teacher,AZ$4,m_date,($G$2+25),m_active,1,m_start,"&lt;"&amp;600,m_end,"&gt;"&amp;0))))))</f>
        <v/>
      </c>
      <c r="BA49" s="80" t="str">
        <f aca="false">IF(OR(BA$4="",MONTH(($G$2+25))&lt;&gt;MONTH($C$2)),"",IF(COUNTIFS(m_teacher,BA$4,m_date,($G$2+25),m_active,1,m_start,"&lt;"&amp;600,m_end,"&gt;"&amp;0)=0,"",IF(COUNTIFS(m_teacher,BA$4,m_date,($G$2+25),m_active,1,m_start,"&lt;"&amp;600,m_end,"&gt;"&amp;0)&gt;1,"충돌",HYPERLINK("#'관리자_MASTER'!D"&amp;_xlfn.MAXIFS(m_row,m_teacher,BA$4,m_date,($G$2+25),m_active,1,m_start,"&lt;"&amp;600,m_end,"&gt;"&amp;0),INDEX(m_label,_xlfn.MAXIFS(m_row,m_teacher,BA$4,m_date,($G$2+25),m_active,1,m_start,"&lt;"&amp;600,m_end,"&gt;"&amp;0))))))</f>
        <v/>
      </c>
      <c r="BB49" s="80" t="str">
        <f aca="false">IF(OR(BB$4="",MONTH(($G$2+25))&lt;&gt;MONTH($C$2)),"",IF(COUNTIFS(m_teacher,BB$4,m_date,($G$2+25),m_active,1,m_start,"&lt;"&amp;600,m_end,"&gt;"&amp;0)=0,"",IF(COUNTIFS(m_teacher,BB$4,m_date,($G$2+25),m_active,1,m_start,"&lt;"&amp;600,m_end,"&gt;"&amp;0)&gt;1,"충돌",HYPERLINK("#'관리자_MASTER'!D"&amp;_xlfn.MAXIFS(m_row,m_teacher,BB$4,m_date,($G$2+25),m_active,1,m_start,"&lt;"&amp;600,m_end,"&gt;"&amp;0),INDEX(m_label,_xlfn.MAXIFS(m_row,m_teacher,BB$4,m_date,($G$2+25),m_active,1,m_start,"&lt;"&amp;600,m_end,"&gt;"&amp;0))))))</f>
        <v/>
      </c>
      <c r="BC49" s="80" t="str">
        <f aca="false">IF(OR(BC$4="",MONTH(($G$2+25))&lt;&gt;MONTH($C$2)),"",IF(COUNTIFS(m_teacher,BC$4,m_date,($G$2+25),m_active,1,m_start,"&lt;"&amp;600,m_end,"&gt;"&amp;0)=0,"",IF(COUNTIFS(m_teacher,BC$4,m_date,($G$2+25),m_active,1,m_start,"&lt;"&amp;600,m_end,"&gt;"&amp;0)&gt;1,"충돌",HYPERLINK("#'관리자_MASTER'!D"&amp;_xlfn.MAXIFS(m_row,m_teacher,BC$4,m_date,($G$2+25),m_active,1,m_start,"&lt;"&amp;600,m_end,"&gt;"&amp;0),INDEX(m_label,_xlfn.MAXIFS(m_row,m_teacher,BC$4,m_date,($G$2+25),m_active,1,m_start,"&lt;"&amp;600,m_end,"&gt;"&amp;0))))))</f>
        <v/>
      </c>
      <c r="BD49" s="80" t="str">
        <f aca="false">IF(OR(BD$4="",MONTH(($G$2+25))&lt;&gt;MONTH($C$2)),"",IF(COUNTIFS(m_teacher,BD$4,m_date,($G$2+25),m_active,1,m_start,"&lt;"&amp;600,m_end,"&gt;"&amp;0)=0,"",IF(COUNTIFS(m_teacher,BD$4,m_date,($G$2+25),m_active,1,m_start,"&lt;"&amp;600,m_end,"&gt;"&amp;0)&gt;1,"충돌",HYPERLINK("#'관리자_MASTER'!D"&amp;_xlfn.MAXIFS(m_row,m_teacher,BD$4,m_date,($G$2+25),m_active,1,m_start,"&lt;"&amp;600,m_end,"&gt;"&amp;0),INDEX(m_label,_xlfn.MAXIFS(m_row,m_teacher,BD$4,m_date,($G$2+25),m_active,1,m_start,"&lt;"&amp;600,m_end,"&gt;"&amp;0))))))</f>
        <v/>
      </c>
    </row>
    <row r="50" customFormat="false" ht="19.5" hidden="false" customHeight="true" outlineLevel="0" collapsed="false">
      <c r="A50" s="78"/>
      <c r="B50" s="79" t="s">
        <v>92</v>
      </c>
      <c r="C50" s="82" t="str">
        <f aca="false">IF(OR(C$4="",MONTH(($G$2+4))&lt;&gt;MONTH($C$2)),"",IF(COUNTIFS(m_teacher,C$4,m_date,($G$2+4),m_active,1,m_start,"&lt;"&amp;660,m_end,"&gt;"&amp;600)=0,"",IF(COUNTIFS(m_teacher,C$4,m_date,($G$2+4),m_active,1,m_start,"&lt;"&amp;660,m_end,"&gt;"&amp;600)&gt;1,"충돌",HYPERLINK("#'관리자_MASTER'!D"&amp;_xlfn.MAXIFS(m_row,m_teacher,C$4,m_date,($G$2+4),m_active,1,m_start,"&lt;"&amp;660,m_end,"&gt;"&amp;600),INDEX(m_label,_xlfn.MAXIFS(m_row,m_teacher,C$4,m_date,($G$2+4),m_active,1,m_start,"&lt;"&amp;660,m_end,"&gt;"&amp;600))))))</f>
        <v/>
      </c>
      <c r="D50" s="82" t="str">
        <f aca="false">IF(OR(D$4="",MONTH(($G$2+4))&lt;&gt;MONTH($C$2)),"",IF(COUNTIFS(m_teacher,D$4,m_date,($G$2+4),m_active,1,m_start,"&lt;"&amp;660,m_end,"&gt;"&amp;600)=0,"",IF(COUNTIFS(m_teacher,D$4,m_date,($G$2+4),m_active,1,m_start,"&lt;"&amp;660,m_end,"&gt;"&amp;600)&gt;1,"충돌",HYPERLINK("#'관리자_MASTER'!D"&amp;_xlfn.MAXIFS(m_row,m_teacher,D$4,m_date,($G$2+4),m_active,1,m_start,"&lt;"&amp;660,m_end,"&gt;"&amp;600),INDEX(m_label,_xlfn.MAXIFS(m_row,m_teacher,D$4,m_date,($G$2+4),m_active,1,m_start,"&lt;"&amp;660,m_end,"&gt;"&amp;600))))))</f>
        <v/>
      </c>
      <c r="E50" s="82" t="str">
        <f aca="false">IF(OR(E$4="",MONTH(($G$2+4))&lt;&gt;MONTH($C$2)),"",IF(COUNTIFS(m_teacher,E$4,m_date,($G$2+4),m_active,1,m_start,"&lt;"&amp;660,m_end,"&gt;"&amp;600)=0,"",IF(COUNTIFS(m_teacher,E$4,m_date,($G$2+4),m_active,1,m_start,"&lt;"&amp;660,m_end,"&gt;"&amp;600)&gt;1,"충돌",HYPERLINK("#'관리자_MASTER'!D"&amp;_xlfn.MAXIFS(m_row,m_teacher,E$4,m_date,($G$2+4),m_active,1,m_start,"&lt;"&amp;660,m_end,"&gt;"&amp;600),INDEX(m_label,_xlfn.MAXIFS(m_row,m_teacher,E$4,m_date,($G$2+4),m_active,1,m_start,"&lt;"&amp;660,m_end,"&gt;"&amp;600))))))</f>
        <v/>
      </c>
      <c r="F50" s="82" t="str">
        <f aca="false">IF(OR(F$4="",MONTH(($G$2+4))&lt;&gt;MONTH($C$2)),"",IF(COUNTIFS(m_teacher,F$4,m_date,($G$2+4),m_active,1,m_start,"&lt;"&amp;660,m_end,"&gt;"&amp;600)=0,"",IF(COUNTIFS(m_teacher,F$4,m_date,($G$2+4),m_active,1,m_start,"&lt;"&amp;660,m_end,"&gt;"&amp;600)&gt;1,"충돌",HYPERLINK("#'관리자_MASTER'!D"&amp;_xlfn.MAXIFS(m_row,m_teacher,F$4,m_date,($G$2+4),m_active,1,m_start,"&lt;"&amp;660,m_end,"&gt;"&amp;600),INDEX(m_label,_xlfn.MAXIFS(m_row,m_teacher,F$4,m_date,($G$2+4),m_active,1,m_start,"&lt;"&amp;660,m_end,"&gt;"&amp;600))))))</f>
        <v/>
      </c>
      <c r="G50" s="82" t="str">
        <f aca="false">IF(OR(G$4="",MONTH(($G$2+4))&lt;&gt;MONTH($C$2)),"",IF(COUNTIFS(m_teacher,G$4,m_date,($G$2+4),m_active,1,m_start,"&lt;"&amp;660,m_end,"&gt;"&amp;600)=0,"",IF(COUNTIFS(m_teacher,G$4,m_date,($G$2+4),m_active,1,m_start,"&lt;"&amp;660,m_end,"&gt;"&amp;600)&gt;1,"충돌",HYPERLINK("#'관리자_MASTER'!D"&amp;_xlfn.MAXIFS(m_row,m_teacher,G$4,m_date,($G$2+4),m_active,1,m_start,"&lt;"&amp;660,m_end,"&gt;"&amp;600),INDEX(m_label,_xlfn.MAXIFS(m_row,m_teacher,G$4,m_date,($G$2+4),m_active,1,m_start,"&lt;"&amp;660,m_end,"&gt;"&amp;600))))))</f>
        <v/>
      </c>
      <c r="H50" s="82" t="str">
        <f aca="false">IF(OR(H$4="",MONTH(($G$2+4))&lt;&gt;MONTH($C$2)),"",IF(COUNTIFS(m_teacher,H$4,m_date,($G$2+4),m_active,1,m_start,"&lt;"&amp;660,m_end,"&gt;"&amp;600)=0,"",IF(COUNTIFS(m_teacher,H$4,m_date,($G$2+4),m_active,1,m_start,"&lt;"&amp;660,m_end,"&gt;"&amp;600)&gt;1,"충돌",HYPERLINK("#'관리자_MASTER'!D"&amp;_xlfn.MAXIFS(m_row,m_teacher,H$4,m_date,($G$2+4),m_active,1,m_start,"&lt;"&amp;660,m_end,"&gt;"&amp;600),INDEX(m_label,_xlfn.MAXIFS(m_row,m_teacher,H$4,m_date,($G$2+4),m_active,1,m_start,"&lt;"&amp;660,m_end,"&gt;"&amp;600))))))</f>
        <v/>
      </c>
      <c r="I50" s="82" t="str">
        <f aca="false">IF(OR(I$4="",MONTH(($G$2+4))&lt;&gt;MONTH($C$2)),"",IF(COUNTIFS(m_teacher,I$4,m_date,($G$2+4),m_active,1,m_start,"&lt;"&amp;660,m_end,"&gt;"&amp;600)=0,"",IF(COUNTIFS(m_teacher,I$4,m_date,($G$2+4),m_active,1,m_start,"&lt;"&amp;660,m_end,"&gt;"&amp;600)&gt;1,"충돌",HYPERLINK("#'관리자_MASTER'!D"&amp;_xlfn.MAXIFS(m_row,m_teacher,I$4,m_date,($G$2+4),m_active,1,m_start,"&lt;"&amp;660,m_end,"&gt;"&amp;600),INDEX(m_label,_xlfn.MAXIFS(m_row,m_teacher,I$4,m_date,($G$2+4),m_active,1,m_start,"&lt;"&amp;660,m_end,"&gt;"&amp;600))))))</f>
        <v/>
      </c>
      <c r="J50" s="82" t="str">
        <f aca="false">IF(OR(J$4="",MONTH(($G$2+4))&lt;&gt;MONTH($C$2)),"",IF(COUNTIFS(m_teacher,J$4,m_date,($G$2+4),m_active,1,m_start,"&lt;"&amp;660,m_end,"&gt;"&amp;600)=0,"",IF(COUNTIFS(m_teacher,J$4,m_date,($G$2+4),m_active,1,m_start,"&lt;"&amp;660,m_end,"&gt;"&amp;600)&gt;1,"충돌",HYPERLINK("#'관리자_MASTER'!D"&amp;_xlfn.MAXIFS(m_row,m_teacher,J$4,m_date,($G$2+4),m_active,1,m_start,"&lt;"&amp;660,m_end,"&gt;"&amp;600),INDEX(m_label,_xlfn.MAXIFS(m_row,m_teacher,J$4,m_date,($G$2+4),m_active,1,m_start,"&lt;"&amp;660,m_end,"&gt;"&amp;600))))))</f>
        <v/>
      </c>
      <c r="K50" s="82" t="str">
        <f aca="false">IF(OR(K$4="",MONTH(($G$2+4))&lt;&gt;MONTH($C$2)),"",IF(COUNTIFS(m_teacher,K$4,m_date,($G$2+4),m_active,1,m_start,"&lt;"&amp;660,m_end,"&gt;"&amp;600)=0,"",IF(COUNTIFS(m_teacher,K$4,m_date,($G$2+4),m_active,1,m_start,"&lt;"&amp;660,m_end,"&gt;"&amp;600)&gt;1,"충돌",HYPERLINK("#'관리자_MASTER'!D"&amp;_xlfn.MAXIFS(m_row,m_teacher,K$4,m_date,($G$2+4),m_active,1,m_start,"&lt;"&amp;660,m_end,"&gt;"&amp;600),INDEX(m_label,_xlfn.MAXIFS(m_row,m_teacher,K$4,m_date,($G$2+4),m_active,1,m_start,"&lt;"&amp;660,m_end,"&gt;"&amp;600))))))</f>
        <v/>
      </c>
      <c r="L50" s="82" t="str">
        <f aca="false">IF(OR(L$4="",MONTH(($G$2+4))&lt;&gt;MONTH($C$2)),"",IF(COUNTIFS(m_teacher,L$4,m_date,($G$2+4),m_active,1,m_start,"&lt;"&amp;660,m_end,"&gt;"&amp;600)=0,"",IF(COUNTIFS(m_teacher,L$4,m_date,($G$2+4),m_active,1,m_start,"&lt;"&amp;660,m_end,"&gt;"&amp;600)&gt;1,"충돌",HYPERLINK("#'관리자_MASTER'!D"&amp;_xlfn.MAXIFS(m_row,m_teacher,L$4,m_date,($G$2+4),m_active,1,m_start,"&lt;"&amp;660,m_end,"&gt;"&amp;600),INDEX(m_label,_xlfn.MAXIFS(m_row,m_teacher,L$4,m_date,($G$2+4),m_active,1,m_start,"&lt;"&amp;660,m_end,"&gt;"&amp;600))))))</f>
        <v/>
      </c>
      <c r="M50" s="82" t="str">
        <f aca="false">IF(OR(M$4="",MONTH(($G$2+4))&lt;&gt;MONTH($C$2)),"",IF(COUNTIFS(m_teacher,M$4,m_date,($G$2+4),m_active,1,m_start,"&lt;"&amp;660,m_end,"&gt;"&amp;600)=0,"",IF(COUNTIFS(m_teacher,M$4,m_date,($G$2+4),m_active,1,m_start,"&lt;"&amp;660,m_end,"&gt;"&amp;600)&gt;1,"충돌",HYPERLINK("#'관리자_MASTER'!D"&amp;_xlfn.MAXIFS(m_row,m_teacher,M$4,m_date,($G$2+4),m_active,1,m_start,"&lt;"&amp;660,m_end,"&gt;"&amp;600),INDEX(m_label,_xlfn.MAXIFS(m_row,m_teacher,M$4,m_date,($G$2+4),m_active,1,m_start,"&lt;"&amp;660,m_end,"&gt;"&amp;600))))))</f>
        <v/>
      </c>
      <c r="N50" s="82" t="str">
        <f aca="false">IF(OR(N$4="",MONTH(($G$2+4))&lt;&gt;MONTH($C$2)),"",IF(COUNTIFS(m_teacher,N$4,m_date,($G$2+4),m_active,1,m_start,"&lt;"&amp;660,m_end,"&gt;"&amp;600)=0,"",IF(COUNTIFS(m_teacher,N$4,m_date,($G$2+4),m_active,1,m_start,"&lt;"&amp;660,m_end,"&gt;"&amp;600)&gt;1,"충돌",HYPERLINK("#'관리자_MASTER'!D"&amp;_xlfn.MAXIFS(m_row,m_teacher,N$4,m_date,($G$2+4),m_active,1,m_start,"&lt;"&amp;660,m_end,"&gt;"&amp;600),INDEX(m_label,_xlfn.MAXIFS(m_row,m_teacher,N$4,m_date,($G$2+4),m_active,1,m_start,"&lt;"&amp;660,m_end,"&gt;"&amp;600))))))</f>
        <v/>
      </c>
      <c r="O50" s="78"/>
      <c r="P50" s="79" t="s">
        <v>92</v>
      </c>
      <c r="Q50" s="82" t="str">
        <f aca="false">IF(OR(Q$4="",MONTH(($G$2+11))&lt;&gt;MONTH($C$2)),"",IF(COUNTIFS(m_teacher,Q$4,m_date,($G$2+11),m_active,1,m_start,"&lt;"&amp;660,m_end,"&gt;"&amp;600)=0,"",IF(COUNTIFS(m_teacher,Q$4,m_date,($G$2+11),m_active,1,m_start,"&lt;"&amp;660,m_end,"&gt;"&amp;600)&gt;1,"충돌",HYPERLINK("#'관리자_MASTER'!D"&amp;_xlfn.MAXIFS(m_row,m_teacher,Q$4,m_date,($G$2+11),m_active,1,m_start,"&lt;"&amp;660,m_end,"&gt;"&amp;600),INDEX(m_label,_xlfn.MAXIFS(m_row,m_teacher,Q$4,m_date,($G$2+11),m_active,1,m_start,"&lt;"&amp;660,m_end,"&gt;"&amp;600))))))</f>
        <v/>
      </c>
      <c r="R50" s="82" t="str">
        <f aca="false">IF(OR(R$4="",MONTH(($G$2+11))&lt;&gt;MONTH($C$2)),"",IF(COUNTIFS(m_teacher,R$4,m_date,($G$2+11),m_active,1,m_start,"&lt;"&amp;660,m_end,"&gt;"&amp;600)=0,"",IF(COUNTIFS(m_teacher,R$4,m_date,($G$2+11),m_active,1,m_start,"&lt;"&amp;660,m_end,"&gt;"&amp;600)&gt;1,"충돌",HYPERLINK("#'관리자_MASTER'!D"&amp;_xlfn.MAXIFS(m_row,m_teacher,R$4,m_date,($G$2+11),m_active,1,m_start,"&lt;"&amp;660,m_end,"&gt;"&amp;600),INDEX(m_label,_xlfn.MAXIFS(m_row,m_teacher,R$4,m_date,($G$2+11),m_active,1,m_start,"&lt;"&amp;660,m_end,"&gt;"&amp;600))))))</f>
        <v/>
      </c>
      <c r="S50" s="82" t="str">
        <f aca="false">IF(OR(S$4="",MONTH(($G$2+11))&lt;&gt;MONTH($C$2)),"",IF(COUNTIFS(m_teacher,S$4,m_date,($G$2+11),m_active,1,m_start,"&lt;"&amp;660,m_end,"&gt;"&amp;600)=0,"",IF(COUNTIFS(m_teacher,S$4,m_date,($G$2+11),m_active,1,m_start,"&lt;"&amp;660,m_end,"&gt;"&amp;600)&gt;1,"충돌",HYPERLINK("#'관리자_MASTER'!D"&amp;_xlfn.MAXIFS(m_row,m_teacher,S$4,m_date,($G$2+11),m_active,1,m_start,"&lt;"&amp;660,m_end,"&gt;"&amp;600),INDEX(m_label,_xlfn.MAXIFS(m_row,m_teacher,S$4,m_date,($G$2+11),m_active,1,m_start,"&lt;"&amp;660,m_end,"&gt;"&amp;600))))))</f>
        <v/>
      </c>
      <c r="T50" s="82" t="str">
        <f aca="false">IF(OR(T$4="",MONTH(($G$2+11))&lt;&gt;MONTH($C$2)),"",IF(COUNTIFS(m_teacher,T$4,m_date,($G$2+11),m_active,1,m_start,"&lt;"&amp;660,m_end,"&gt;"&amp;600)=0,"",IF(COUNTIFS(m_teacher,T$4,m_date,($G$2+11),m_active,1,m_start,"&lt;"&amp;660,m_end,"&gt;"&amp;600)&gt;1,"충돌",HYPERLINK("#'관리자_MASTER'!D"&amp;_xlfn.MAXIFS(m_row,m_teacher,T$4,m_date,($G$2+11),m_active,1,m_start,"&lt;"&amp;660,m_end,"&gt;"&amp;600),INDEX(m_label,_xlfn.MAXIFS(m_row,m_teacher,T$4,m_date,($G$2+11),m_active,1,m_start,"&lt;"&amp;660,m_end,"&gt;"&amp;600))))))</f>
        <v/>
      </c>
      <c r="U50" s="82" t="str">
        <f aca="false">IF(OR(U$4="",MONTH(($G$2+11))&lt;&gt;MONTH($C$2)),"",IF(COUNTIFS(m_teacher,U$4,m_date,($G$2+11),m_active,1,m_start,"&lt;"&amp;660,m_end,"&gt;"&amp;600)=0,"",IF(COUNTIFS(m_teacher,U$4,m_date,($G$2+11),m_active,1,m_start,"&lt;"&amp;660,m_end,"&gt;"&amp;600)&gt;1,"충돌",HYPERLINK("#'관리자_MASTER'!D"&amp;_xlfn.MAXIFS(m_row,m_teacher,U$4,m_date,($G$2+11),m_active,1,m_start,"&lt;"&amp;660,m_end,"&gt;"&amp;600),INDEX(m_label,_xlfn.MAXIFS(m_row,m_teacher,U$4,m_date,($G$2+11),m_active,1,m_start,"&lt;"&amp;660,m_end,"&gt;"&amp;600))))))</f>
        <v/>
      </c>
      <c r="V50" s="82" t="str">
        <f aca="false">IF(OR(V$4="",MONTH(($G$2+11))&lt;&gt;MONTH($C$2)),"",IF(COUNTIFS(m_teacher,V$4,m_date,($G$2+11),m_active,1,m_start,"&lt;"&amp;660,m_end,"&gt;"&amp;600)=0,"",IF(COUNTIFS(m_teacher,V$4,m_date,($G$2+11),m_active,1,m_start,"&lt;"&amp;660,m_end,"&gt;"&amp;600)&gt;1,"충돌",HYPERLINK("#'관리자_MASTER'!D"&amp;_xlfn.MAXIFS(m_row,m_teacher,V$4,m_date,($G$2+11),m_active,1,m_start,"&lt;"&amp;660,m_end,"&gt;"&amp;600),INDEX(m_label,_xlfn.MAXIFS(m_row,m_teacher,V$4,m_date,($G$2+11),m_active,1,m_start,"&lt;"&amp;660,m_end,"&gt;"&amp;600))))))</f>
        <v/>
      </c>
      <c r="W50" s="82" t="str">
        <f aca="false">IF(OR(W$4="",MONTH(($G$2+11))&lt;&gt;MONTH($C$2)),"",IF(COUNTIFS(m_teacher,W$4,m_date,($G$2+11),m_active,1,m_start,"&lt;"&amp;660,m_end,"&gt;"&amp;600)=0,"",IF(COUNTIFS(m_teacher,W$4,m_date,($G$2+11),m_active,1,m_start,"&lt;"&amp;660,m_end,"&gt;"&amp;600)&gt;1,"충돌",HYPERLINK("#'관리자_MASTER'!D"&amp;_xlfn.MAXIFS(m_row,m_teacher,W$4,m_date,($G$2+11),m_active,1,m_start,"&lt;"&amp;660,m_end,"&gt;"&amp;600),INDEX(m_label,_xlfn.MAXIFS(m_row,m_teacher,W$4,m_date,($G$2+11),m_active,1,m_start,"&lt;"&amp;660,m_end,"&gt;"&amp;600))))))</f>
        <v/>
      </c>
      <c r="X50" s="82" t="str">
        <f aca="false">IF(OR(X$4="",MONTH(($G$2+11))&lt;&gt;MONTH($C$2)),"",IF(COUNTIFS(m_teacher,X$4,m_date,($G$2+11),m_active,1,m_start,"&lt;"&amp;660,m_end,"&gt;"&amp;600)=0,"",IF(COUNTIFS(m_teacher,X$4,m_date,($G$2+11),m_active,1,m_start,"&lt;"&amp;660,m_end,"&gt;"&amp;600)&gt;1,"충돌",HYPERLINK("#'관리자_MASTER'!D"&amp;_xlfn.MAXIFS(m_row,m_teacher,X$4,m_date,($G$2+11),m_active,1,m_start,"&lt;"&amp;660,m_end,"&gt;"&amp;600),INDEX(m_label,_xlfn.MAXIFS(m_row,m_teacher,X$4,m_date,($G$2+11),m_active,1,m_start,"&lt;"&amp;660,m_end,"&gt;"&amp;600))))))</f>
        <v/>
      </c>
      <c r="Y50" s="82" t="str">
        <f aca="false">IF(OR(Y$4="",MONTH(($G$2+11))&lt;&gt;MONTH($C$2)),"",IF(COUNTIFS(m_teacher,Y$4,m_date,($G$2+11),m_active,1,m_start,"&lt;"&amp;660,m_end,"&gt;"&amp;600)=0,"",IF(COUNTIFS(m_teacher,Y$4,m_date,($G$2+11),m_active,1,m_start,"&lt;"&amp;660,m_end,"&gt;"&amp;600)&gt;1,"충돌",HYPERLINK("#'관리자_MASTER'!D"&amp;_xlfn.MAXIFS(m_row,m_teacher,Y$4,m_date,($G$2+11),m_active,1,m_start,"&lt;"&amp;660,m_end,"&gt;"&amp;600),INDEX(m_label,_xlfn.MAXIFS(m_row,m_teacher,Y$4,m_date,($G$2+11),m_active,1,m_start,"&lt;"&amp;660,m_end,"&gt;"&amp;600))))))</f>
        <v/>
      </c>
      <c r="Z50" s="82" t="str">
        <f aca="false">IF(OR(Z$4="",MONTH(($G$2+11))&lt;&gt;MONTH($C$2)),"",IF(COUNTIFS(m_teacher,Z$4,m_date,($G$2+11),m_active,1,m_start,"&lt;"&amp;660,m_end,"&gt;"&amp;600)=0,"",IF(COUNTIFS(m_teacher,Z$4,m_date,($G$2+11),m_active,1,m_start,"&lt;"&amp;660,m_end,"&gt;"&amp;600)&gt;1,"충돌",HYPERLINK("#'관리자_MASTER'!D"&amp;_xlfn.MAXIFS(m_row,m_teacher,Z$4,m_date,($G$2+11),m_active,1,m_start,"&lt;"&amp;660,m_end,"&gt;"&amp;600),INDEX(m_label,_xlfn.MAXIFS(m_row,m_teacher,Z$4,m_date,($G$2+11),m_active,1,m_start,"&lt;"&amp;660,m_end,"&gt;"&amp;600))))))</f>
        <v/>
      </c>
      <c r="AA50" s="82" t="str">
        <f aca="false">IF(OR(AA$4="",MONTH(($G$2+11))&lt;&gt;MONTH($C$2)),"",IF(COUNTIFS(m_teacher,AA$4,m_date,($G$2+11),m_active,1,m_start,"&lt;"&amp;660,m_end,"&gt;"&amp;600)=0,"",IF(COUNTIFS(m_teacher,AA$4,m_date,($G$2+11),m_active,1,m_start,"&lt;"&amp;660,m_end,"&gt;"&amp;600)&gt;1,"충돌",HYPERLINK("#'관리자_MASTER'!D"&amp;_xlfn.MAXIFS(m_row,m_teacher,AA$4,m_date,($G$2+11),m_active,1,m_start,"&lt;"&amp;660,m_end,"&gt;"&amp;600),INDEX(m_label,_xlfn.MAXIFS(m_row,m_teacher,AA$4,m_date,($G$2+11),m_active,1,m_start,"&lt;"&amp;660,m_end,"&gt;"&amp;600))))))</f>
        <v/>
      </c>
      <c r="AB50" s="82" t="str">
        <f aca="false">IF(OR(AB$4="",MONTH(($G$2+11))&lt;&gt;MONTH($C$2)),"",IF(COUNTIFS(m_teacher,AB$4,m_date,($G$2+11),m_active,1,m_start,"&lt;"&amp;660,m_end,"&gt;"&amp;600)=0,"",IF(COUNTIFS(m_teacher,AB$4,m_date,($G$2+11),m_active,1,m_start,"&lt;"&amp;660,m_end,"&gt;"&amp;600)&gt;1,"충돌",HYPERLINK("#'관리자_MASTER'!D"&amp;_xlfn.MAXIFS(m_row,m_teacher,AB$4,m_date,($G$2+11),m_active,1,m_start,"&lt;"&amp;660,m_end,"&gt;"&amp;600),INDEX(m_label,_xlfn.MAXIFS(m_row,m_teacher,AB$4,m_date,($G$2+11),m_active,1,m_start,"&lt;"&amp;660,m_end,"&gt;"&amp;600))))))</f>
        <v/>
      </c>
      <c r="AC50" s="78"/>
      <c r="AD50" s="79" t="s">
        <v>92</v>
      </c>
      <c r="AE50" s="82" t="str">
        <f aca="false">IF(OR(AE$4="",MONTH(($G$2+18))&lt;&gt;MONTH($C$2)),"",IF(COUNTIFS(m_teacher,AE$4,m_date,($G$2+18),m_active,1,m_start,"&lt;"&amp;660,m_end,"&gt;"&amp;600)=0,"",IF(COUNTIFS(m_teacher,AE$4,m_date,($G$2+18),m_active,1,m_start,"&lt;"&amp;660,m_end,"&gt;"&amp;600)&gt;1,"충돌",HYPERLINK("#'관리자_MASTER'!D"&amp;_xlfn.MAXIFS(m_row,m_teacher,AE$4,m_date,($G$2+18),m_active,1,m_start,"&lt;"&amp;660,m_end,"&gt;"&amp;600),INDEX(m_label,_xlfn.MAXIFS(m_row,m_teacher,AE$4,m_date,($G$2+18),m_active,1,m_start,"&lt;"&amp;660,m_end,"&gt;"&amp;600))))))</f>
        <v/>
      </c>
      <c r="AF50" s="82" t="str">
        <f aca="false">IF(OR(AF$4="",MONTH(($G$2+18))&lt;&gt;MONTH($C$2)),"",IF(COUNTIFS(m_teacher,AF$4,m_date,($G$2+18),m_active,1,m_start,"&lt;"&amp;660,m_end,"&gt;"&amp;600)=0,"",IF(COUNTIFS(m_teacher,AF$4,m_date,($G$2+18),m_active,1,m_start,"&lt;"&amp;660,m_end,"&gt;"&amp;600)&gt;1,"충돌",HYPERLINK("#'관리자_MASTER'!D"&amp;_xlfn.MAXIFS(m_row,m_teacher,AF$4,m_date,($G$2+18),m_active,1,m_start,"&lt;"&amp;660,m_end,"&gt;"&amp;600),INDEX(m_label,_xlfn.MAXIFS(m_row,m_teacher,AF$4,m_date,($G$2+18),m_active,1,m_start,"&lt;"&amp;660,m_end,"&gt;"&amp;600))))))</f>
        <v/>
      </c>
      <c r="AG50" s="82" t="str">
        <f aca="false">IF(OR(AG$4="",MONTH(($G$2+18))&lt;&gt;MONTH($C$2)),"",IF(COUNTIFS(m_teacher,AG$4,m_date,($G$2+18),m_active,1,m_start,"&lt;"&amp;660,m_end,"&gt;"&amp;600)=0,"",IF(COUNTIFS(m_teacher,AG$4,m_date,($G$2+18),m_active,1,m_start,"&lt;"&amp;660,m_end,"&gt;"&amp;600)&gt;1,"충돌",HYPERLINK("#'관리자_MASTER'!D"&amp;_xlfn.MAXIFS(m_row,m_teacher,AG$4,m_date,($G$2+18),m_active,1,m_start,"&lt;"&amp;660,m_end,"&gt;"&amp;600),INDEX(m_label,_xlfn.MAXIFS(m_row,m_teacher,AG$4,m_date,($G$2+18),m_active,1,m_start,"&lt;"&amp;660,m_end,"&gt;"&amp;600))))))</f>
        <v/>
      </c>
      <c r="AH50" s="82" t="str">
        <f aca="false">IF(OR(AH$4="",MONTH(($G$2+18))&lt;&gt;MONTH($C$2)),"",IF(COUNTIFS(m_teacher,AH$4,m_date,($G$2+18),m_active,1,m_start,"&lt;"&amp;660,m_end,"&gt;"&amp;600)=0,"",IF(COUNTIFS(m_teacher,AH$4,m_date,($G$2+18),m_active,1,m_start,"&lt;"&amp;660,m_end,"&gt;"&amp;600)&gt;1,"충돌",HYPERLINK("#'관리자_MASTER'!D"&amp;_xlfn.MAXIFS(m_row,m_teacher,AH$4,m_date,($G$2+18),m_active,1,m_start,"&lt;"&amp;660,m_end,"&gt;"&amp;600),INDEX(m_label,_xlfn.MAXIFS(m_row,m_teacher,AH$4,m_date,($G$2+18),m_active,1,m_start,"&lt;"&amp;660,m_end,"&gt;"&amp;600))))))</f>
        <v/>
      </c>
      <c r="AI50" s="82" t="str">
        <f aca="false">IF(OR(AI$4="",MONTH(($G$2+18))&lt;&gt;MONTH($C$2)),"",IF(COUNTIFS(m_teacher,AI$4,m_date,($G$2+18),m_active,1,m_start,"&lt;"&amp;660,m_end,"&gt;"&amp;600)=0,"",IF(COUNTIFS(m_teacher,AI$4,m_date,($G$2+18),m_active,1,m_start,"&lt;"&amp;660,m_end,"&gt;"&amp;600)&gt;1,"충돌",HYPERLINK("#'관리자_MASTER'!D"&amp;_xlfn.MAXIFS(m_row,m_teacher,AI$4,m_date,($G$2+18),m_active,1,m_start,"&lt;"&amp;660,m_end,"&gt;"&amp;600),INDEX(m_label,_xlfn.MAXIFS(m_row,m_teacher,AI$4,m_date,($G$2+18),m_active,1,m_start,"&lt;"&amp;660,m_end,"&gt;"&amp;600))))))</f>
        <v/>
      </c>
      <c r="AJ50" s="82" t="str">
        <f aca="false">IF(OR(AJ$4="",MONTH(($G$2+18))&lt;&gt;MONTH($C$2)),"",IF(COUNTIFS(m_teacher,AJ$4,m_date,($G$2+18),m_active,1,m_start,"&lt;"&amp;660,m_end,"&gt;"&amp;600)=0,"",IF(COUNTIFS(m_teacher,AJ$4,m_date,($G$2+18),m_active,1,m_start,"&lt;"&amp;660,m_end,"&gt;"&amp;600)&gt;1,"충돌",HYPERLINK("#'관리자_MASTER'!D"&amp;_xlfn.MAXIFS(m_row,m_teacher,AJ$4,m_date,($G$2+18),m_active,1,m_start,"&lt;"&amp;660,m_end,"&gt;"&amp;600),INDEX(m_label,_xlfn.MAXIFS(m_row,m_teacher,AJ$4,m_date,($G$2+18),m_active,1,m_start,"&lt;"&amp;660,m_end,"&gt;"&amp;600))))))</f>
        <v/>
      </c>
      <c r="AK50" s="82" t="str">
        <f aca="false">IF(OR(AK$4="",MONTH(($G$2+18))&lt;&gt;MONTH($C$2)),"",IF(COUNTIFS(m_teacher,AK$4,m_date,($G$2+18),m_active,1,m_start,"&lt;"&amp;660,m_end,"&gt;"&amp;600)=0,"",IF(COUNTIFS(m_teacher,AK$4,m_date,($G$2+18),m_active,1,m_start,"&lt;"&amp;660,m_end,"&gt;"&amp;600)&gt;1,"충돌",HYPERLINK("#'관리자_MASTER'!D"&amp;_xlfn.MAXIFS(m_row,m_teacher,AK$4,m_date,($G$2+18),m_active,1,m_start,"&lt;"&amp;660,m_end,"&gt;"&amp;600),INDEX(m_label,_xlfn.MAXIFS(m_row,m_teacher,AK$4,m_date,($G$2+18),m_active,1,m_start,"&lt;"&amp;660,m_end,"&gt;"&amp;600))))))</f>
        <v/>
      </c>
      <c r="AL50" s="82" t="str">
        <f aca="false">IF(OR(AL$4="",MONTH(($G$2+18))&lt;&gt;MONTH($C$2)),"",IF(COUNTIFS(m_teacher,AL$4,m_date,($G$2+18),m_active,1,m_start,"&lt;"&amp;660,m_end,"&gt;"&amp;600)=0,"",IF(COUNTIFS(m_teacher,AL$4,m_date,($G$2+18),m_active,1,m_start,"&lt;"&amp;660,m_end,"&gt;"&amp;600)&gt;1,"충돌",HYPERLINK("#'관리자_MASTER'!D"&amp;_xlfn.MAXIFS(m_row,m_teacher,AL$4,m_date,($G$2+18),m_active,1,m_start,"&lt;"&amp;660,m_end,"&gt;"&amp;600),INDEX(m_label,_xlfn.MAXIFS(m_row,m_teacher,AL$4,m_date,($G$2+18),m_active,1,m_start,"&lt;"&amp;660,m_end,"&gt;"&amp;600))))))</f>
        <v/>
      </c>
      <c r="AM50" s="82" t="str">
        <f aca="false">IF(OR(AM$4="",MONTH(($G$2+18))&lt;&gt;MONTH($C$2)),"",IF(COUNTIFS(m_teacher,AM$4,m_date,($G$2+18),m_active,1,m_start,"&lt;"&amp;660,m_end,"&gt;"&amp;600)=0,"",IF(COUNTIFS(m_teacher,AM$4,m_date,($G$2+18),m_active,1,m_start,"&lt;"&amp;660,m_end,"&gt;"&amp;600)&gt;1,"충돌",HYPERLINK("#'관리자_MASTER'!D"&amp;_xlfn.MAXIFS(m_row,m_teacher,AM$4,m_date,($G$2+18),m_active,1,m_start,"&lt;"&amp;660,m_end,"&gt;"&amp;600),INDEX(m_label,_xlfn.MAXIFS(m_row,m_teacher,AM$4,m_date,($G$2+18),m_active,1,m_start,"&lt;"&amp;660,m_end,"&gt;"&amp;600))))))</f>
        <v/>
      </c>
      <c r="AN50" s="82" t="str">
        <f aca="false">IF(OR(AN$4="",MONTH(($G$2+18))&lt;&gt;MONTH($C$2)),"",IF(COUNTIFS(m_teacher,AN$4,m_date,($G$2+18),m_active,1,m_start,"&lt;"&amp;660,m_end,"&gt;"&amp;600)=0,"",IF(COUNTIFS(m_teacher,AN$4,m_date,($G$2+18),m_active,1,m_start,"&lt;"&amp;660,m_end,"&gt;"&amp;600)&gt;1,"충돌",HYPERLINK("#'관리자_MASTER'!D"&amp;_xlfn.MAXIFS(m_row,m_teacher,AN$4,m_date,($G$2+18),m_active,1,m_start,"&lt;"&amp;660,m_end,"&gt;"&amp;600),INDEX(m_label,_xlfn.MAXIFS(m_row,m_teacher,AN$4,m_date,($G$2+18),m_active,1,m_start,"&lt;"&amp;660,m_end,"&gt;"&amp;600))))))</f>
        <v/>
      </c>
      <c r="AO50" s="82" t="str">
        <f aca="false">IF(OR(AO$4="",MONTH(($G$2+18))&lt;&gt;MONTH($C$2)),"",IF(COUNTIFS(m_teacher,AO$4,m_date,($G$2+18),m_active,1,m_start,"&lt;"&amp;660,m_end,"&gt;"&amp;600)=0,"",IF(COUNTIFS(m_teacher,AO$4,m_date,($G$2+18),m_active,1,m_start,"&lt;"&amp;660,m_end,"&gt;"&amp;600)&gt;1,"충돌",HYPERLINK("#'관리자_MASTER'!D"&amp;_xlfn.MAXIFS(m_row,m_teacher,AO$4,m_date,($G$2+18),m_active,1,m_start,"&lt;"&amp;660,m_end,"&gt;"&amp;600),INDEX(m_label,_xlfn.MAXIFS(m_row,m_teacher,AO$4,m_date,($G$2+18),m_active,1,m_start,"&lt;"&amp;660,m_end,"&gt;"&amp;600))))))</f>
        <v/>
      </c>
      <c r="AP50" s="82" t="str">
        <f aca="false">IF(OR(AP$4="",MONTH(($G$2+18))&lt;&gt;MONTH($C$2)),"",IF(COUNTIFS(m_teacher,AP$4,m_date,($G$2+18),m_active,1,m_start,"&lt;"&amp;660,m_end,"&gt;"&amp;600)=0,"",IF(COUNTIFS(m_teacher,AP$4,m_date,($G$2+18),m_active,1,m_start,"&lt;"&amp;660,m_end,"&gt;"&amp;600)&gt;1,"충돌",HYPERLINK("#'관리자_MASTER'!D"&amp;_xlfn.MAXIFS(m_row,m_teacher,AP$4,m_date,($G$2+18),m_active,1,m_start,"&lt;"&amp;660,m_end,"&gt;"&amp;600),INDEX(m_label,_xlfn.MAXIFS(m_row,m_teacher,AP$4,m_date,($G$2+18),m_active,1,m_start,"&lt;"&amp;660,m_end,"&gt;"&amp;600))))))</f>
        <v/>
      </c>
      <c r="AQ50" s="78"/>
      <c r="AR50" s="79" t="s">
        <v>92</v>
      </c>
      <c r="AS50" s="82" t="str">
        <f aca="false">IF(OR(AS$4="",MONTH(($G$2+25))&lt;&gt;MONTH($C$2)),"",IF(COUNTIFS(m_teacher,AS$4,m_date,($G$2+25),m_active,1,m_start,"&lt;"&amp;660,m_end,"&gt;"&amp;600)=0,"",IF(COUNTIFS(m_teacher,AS$4,m_date,($G$2+25),m_active,1,m_start,"&lt;"&amp;660,m_end,"&gt;"&amp;600)&gt;1,"충돌",HYPERLINK("#'관리자_MASTER'!D"&amp;_xlfn.MAXIFS(m_row,m_teacher,AS$4,m_date,($G$2+25),m_active,1,m_start,"&lt;"&amp;660,m_end,"&gt;"&amp;600),INDEX(m_label,_xlfn.MAXIFS(m_row,m_teacher,AS$4,m_date,($G$2+25),m_active,1,m_start,"&lt;"&amp;660,m_end,"&gt;"&amp;600))))))</f>
        <v/>
      </c>
      <c r="AT50" s="82" t="str">
        <f aca="false">IF(OR(AT$4="",MONTH(($G$2+25))&lt;&gt;MONTH($C$2)),"",IF(COUNTIFS(m_teacher,AT$4,m_date,($G$2+25),m_active,1,m_start,"&lt;"&amp;660,m_end,"&gt;"&amp;600)=0,"",IF(COUNTIFS(m_teacher,AT$4,m_date,($G$2+25),m_active,1,m_start,"&lt;"&amp;660,m_end,"&gt;"&amp;600)&gt;1,"충돌",HYPERLINK("#'관리자_MASTER'!D"&amp;_xlfn.MAXIFS(m_row,m_teacher,AT$4,m_date,($G$2+25),m_active,1,m_start,"&lt;"&amp;660,m_end,"&gt;"&amp;600),INDEX(m_label,_xlfn.MAXIFS(m_row,m_teacher,AT$4,m_date,($G$2+25),m_active,1,m_start,"&lt;"&amp;660,m_end,"&gt;"&amp;600))))))</f>
        <v/>
      </c>
      <c r="AU50" s="82" t="str">
        <f aca="false">IF(OR(AU$4="",MONTH(($G$2+25))&lt;&gt;MONTH($C$2)),"",IF(COUNTIFS(m_teacher,AU$4,m_date,($G$2+25),m_active,1,m_start,"&lt;"&amp;660,m_end,"&gt;"&amp;600)=0,"",IF(COUNTIFS(m_teacher,AU$4,m_date,($G$2+25),m_active,1,m_start,"&lt;"&amp;660,m_end,"&gt;"&amp;600)&gt;1,"충돌",HYPERLINK("#'관리자_MASTER'!D"&amp;_xlfn.MAXIFS(m_row,m_teacher,AU$4,m_date,($G$2+25),m_active,1,m_start,"&lt;"&amp;660,m_end,"&gt;"&amp;600),INDEX(m_label,_xlfn.MAXIFS(m_row,m_teacher,AU$4,m_date,($G$2+25),m_active,1,m_start,"&lt;"&amp;660,m_end,"&gt;"&amp;600))))))</f>
        <v/>
      </c>
      <c r="AV50" s="82" t="str">
        <f aca="false">IF(OR(AV$4="",MONTH(($G$2+25))&lt;&gt;MONTH($C$2)),"",IF(COUNTIFS(m_teacher,AV$4,m_date,($G$2+25),m_active,1,m_start,"&lt;"&amp;660,m_end,"&gt;"&amp;600)=0,"",IF(COUNTIFS(m_teacher,AV$4,m_date,($G$2+25),m_active,1,m_start,"&lt;"&amp;660,m_end,"&gt;"&amp;600)&gt;1,"충돌",HYPERLINK("#'관리자_MASTER'!D"&amp;_xlfn.MAXIFS(m_row,m_teacher,AV$4,m_date,($G$2+25),m_active,1,m_start,"&lt;"&amp;660,m_end,"&gt;"&amp;600),INDEX(m_label,_xlfn.MAXIFS(m_row,m_teacher,AV$4,m_date,($G$2+25),m_active,1,m_start,"&lt;"&amp;660,m_end,"&gt;"&amp;600))))))</f>
        <v/>
      </c>
      <c r="AW50" s="82" t="str">
        <f aca="false">IF(OR(AW$4="",MONTH(($G$2+25))&lt;&gt;MONTH($C$2)),"",IF(COUNTIFS(m_teacher,AW$4,m_date,($G$2+25),m_active,1,m_start,"&lt;"&amp;660,m_end,"&gt;"&amp;600)=0,"",IF(COUNTIFS(m_teacher,AW$4,m_date,($G$2+25),m_active,1,m_start,"&lt;"&amp;660,m_end,"&gt;"&amp;600)&gt;1,"충돌",HYPERLINK("#'관리자_MASTER'!D"&amp;_xlfn.MAXIFS(m_row,m_teacher,AW$4,m_date,($G$2+25),m_active,1,m_start,"&lt;"&amp;660,m_end,"&gt;"&amp;600),INDEX(m_label,_xlfn.MAXIFS(m_row,m_teacher,AW$4,m_date,($G$2+25),m_active,1,m_start,"&lt;"&amp;660,m_end,"&gt;"&amp;600))))))</f>
        <v/>
      </c>
      <c r="AX50" s="82" t="str">
        <f aca="false">IF(OR(AX$4="",MONTH(($G$2+25))&lt;&gt;MONTH($C$2)),"",IF(COUNTIFS(m_teacher,AX$4,m_date,($G$2+25),m_active,1,m_start,"&lt;"&amp;660,m_end,"&gt;"&amp;600)=0,"",IF(COUNTIFS(m_teacher,AX$4,m_date,($G$2+25),m_active,1,m_start,"&lt;"&amp;660,m_end,"&gt;"&amp;600)&gt;1,"충돌",HYPERLINK("#'관리자_MASTER'!D"&amp;_xlfn.MAXIFS(m_row,m_teacher,AX$4,m_date,($G$2+25),m_active,1,m_start,"&lt;"&amp;660,m_end,"&gt;"&amp;600),INDEX(m_label,_xlfn.MAXIFS(m_row,m_teacher,AX$4,m_date,($G$2+25),m_active,1,m_start,"&lt;"&amp;660,m_end,"&gt;"&amp;600))))))</f>
        <v/>
      </c>
      <c r="AY50" s="82" t="str">
        <f aca="false">IF(OR(AY$4="",MONTH(($G$2+25))&lt;&gt;MONTH($C$2)),"",IF(COUNTIFS(m_teacher,AY$4,m_date,($G$2+25),m_active,1,m_start,"&lt;"&amp;660,m_end,"&gt;"&amp;600)=0,"",IF(COUNTIFS(m_teacher,AY$4,m_date,($G$2+25),m_active,1,m_start,"&lt;"&amp;660,m_end,"&gt;"&amp;600)&gt;1,"충돌",HYPERLINK("#'관리자_MASTER'!D"&amp;_xlfn.MAXIFS(m_row,m_teacher,AY$4,m_date,($G$2+25),m_active,1,m_start,"&lt;"&amp;660,m_end,"&gt;"&amp;600),INDEX(m_label,_xlfn.MAXIFS(m_row,m_teacher,AY$4,m_date,($G$2+25),m_active,1,m_start,"&lt;"&amp;660,m_end,"&gt;"&amp;600))))))</f>
        <v/>
      </c>
      <c r="AZ50" s="82" t="str">
        <f aca="false">IF(OR(AZ$4="",MONTH(($G$2+25))&lt;&gt;MONTH($C$2)),"",IF(COUNTIFS(m_teacher,AZ$4,m_date,($G$2+25),m_active,1,m_start,"&lt;"&amp;660,m_end,"&gt;"&amp;600)=0,"",IF(COUNTIFS(m_teacher,AZ$4,m_date,($G$2+25),m_active,1,m_start,"&lt;"&amp;660,m_end,"&gt;"&amp;600)&gt;1,"충돌",HYPERLINK("#'관리자_MASTER'!D"&amp;_xlfn.MAXIFS(m_row,m_teacher,AZ$4,m_date,($G$2+25),m_active,1,m_start,"&lt;"&amp;660,m_end,"&gt;"&amp;600),INDEX(m_label,_xlfn.MAXIFS(m_row,m_teacher,AZ$4,m_date,($G$2+25),m_active,1,m_start,"&lt;"&amp;660,m_end,"&gt;"&amp;600))))))</f>
        <v/>
      </c>
      <c r="BA50" s="82" t="str">
        <f aca="false">IF(OR(BA$4="",MONTH(($G$2+25))&lt;&gt;MONTH($C$2)),"",IF(COUNTIFS(m_teacher,BA$4,m_date,($G$2+25),m_active,1,m_start,"&lt;"&amp;660,m_end,"&gt;"&amp;600)=0,"",IF(COUNTIFS(m_teacher,BA$4,m_date,($G$2+25),m_active,1,m_start,"&lt;"&amp;660,m_end,"&gt;"&amp;600)&gt;1,"충돌",HYPERLINK("#'관리자_MASTER'!D"&amp;_xlfn.MAXIFS(m_row,m_teacher,BA$4,m_date,($G$2+25),m_active,1,m_start,"&lt;"&amp;660,m_end,"&gt;"&amp;600),INDEX(m_label,_xlfn.MAXIFS(m_row,m_teacher,BA$4,m_date,($G$2+25),m_active,1,m_start,"&lt;"&amp;660,m_end,"&gt;"&amp;600))))))</f>
        <v/>
      </c>
      <c r="BB50" s="82" t="str">
        <f aca="false">IF(OR(BB$4="",MONTH(($G$2+25))&lt;&gt;MONTH($C$2)),"",IF(COUNTIFS(m_teacher,BB$4,m_date,($G$2+25),m_active,1,m_start,"&lt;"&amp;660,m_end,"&gt;"&amp;600)=0,"",IF(COUNTIFS(m_teacher,BB$4,m_date,($G$2+25),m_active,1,m_start,"&lt;"&amp;660,m_end,"&gt;"&amp;600)&gt;1,"충돌",HYPERLINK("#'관리자_MASTER'!D"&amp;_xlfn.MAXIFS(m_row,m_teacher,BB$4,m_date,($G$2+25),m_active,1,m_start,"&lt;"&amp;660,m_end,"&gt;"&amp;600),INDEX(m_label,_xlfn.MAXIFS(m_row,m_teacher,BB$4,m_date,($G$2+25),m_active,1,m_start,"&lt;"&amp;660,m_end,"&gt;"&amp;600))))))</f>
        <v/>
      </c>
      <c r="BC50" s="82" t="str">
        <f aca="false">IF(OR(BC$4="",MONTH(($G$2+25))&lt;&gt;MONTH($C$2)),"",IF(COUNTIFS(m_teacher,BC$4,m_date,($G$2+25),m_active,1,m_start,"&lt;"&amp;660,m_end,"&gt;"&amp;600)=0,"",IF(COUNTIFS(m_teacher,BC$4,m_date,($G$2+25),m_active,1,m_start,"&lt;"&amp;660,m_end,"&gt;"&amp;600)&gt;1,"충돌",HYPERLINK("#'관리자_MASTER'!D"&amp;_xlfn.MAXIFS(m_row,m_teacher,BC$4,m_date,($G$2+25),m_active,1,m_start,"&lt;"&amp;660,m_end,"&gt;"&amp;600),INDEX(m_label,_xlfn.MAXIFS(m_row,m_teacher,BC$4,m_date,($G$2+25),m_active,1,m_start,"&lt;"&amp;660,m_end,"&gt;"&amp;600))))))</f>
        <v/>
      </c>
      <c r="BD50" s="82" t="str">
        <f aca="false">IF(OR(BD$4="",MONTH(($G$2+25))&lt;&gt;MONTH($C$2)),"",IF(COUNTIFS(m_teacher,BD$4,m_date,($G$2+25),m_active,1,m_start,"&lt;"&amp;660,m_end,"&gt;"&amp;600)=0,"",IF(COUNTIFS(m_teacher,BD$4,m_date,($G$2+25),m_active,1,m_start,"&lt;"&amp;660,m_end,"&gt;"&amp;600)&gt;1,"충돌",HYPERLINK("#'관리자_MASTER'!D"&amp;_xlfn.MAXIFS(m_row,m_teacher,BD$4,m_date,($G$2+25),m_active,1,m_start,"&lt;"&amp;660,m_end,"&gt;"&amp;600),INDEX(m_label,_xlfn.MAXIFS(m_row,m_teacher,BD$4,m_date,($G$2+25),m_active,1,m_start,"&lt;"&amp;660,m_end,"&gt;"&amp;600))))))</f>
        <v/>
      </c>
    </row>
    <row r="51" customFormat="false" ht="19.5" hidden="false" customHeight="true" outlineLevel="0" collapsed="false">
      <c r="A51" s="78"/>
      <c r="B51" s="79" t="s">
        <v>93</v>
      </c>
      <c r="C51" s="82" t="str">
        <f aca="false">IF(OR(C$4="",MONTH(($G$2+4))&lt;&gt;MONTH($C$2)),"",IF(COUNTIFS(m_teacher,C$4,m_date,($G$2+4),m_active,1,m_start,"&lt;"&amp;720,m_end,"&gt;"&amp;660)=0,"",IF(COUNTIFS(m_teacher,C$4,m_date,($G$2+4),m_active,1,m_start,"&lt;"&amp;720,m_end,"&gt;"&amp;660)&gt;1,"충돌",HYPERLINK("#'관리자_MASTER'!D"&amp;_xlfn.MAXIFS(m_row,m_teacher,C$4,m_date,($G$2+4),m_active,1,m_start,"&lt;"&amp;720,m_end,"&gt;"&amp;660),INDEX(m_label,_xlfn.MAXIFS(m_row,m_teacher,C$4,m_date,($G$2+4),m_active,1,m_start,"&lt;"&amp;720,m_end,"&gt;"&amp;660))))))</f>
        <v/>
      </c>
      <c r="D51" s="82" t="str">
        <f aca="false">IF(OR(D$4="",MONTH(($G$2+4))&lt;&gt;MONTH($C$2)),"",IF(COUNTIFS(m_teacher,D$4,m_date,($G$2+4),m_active,1,m_start,"&lt;"&amp;720,m_end,"&gt;"&amp;660)=0,"",IF(COUNTIFS(m_teacher,D$4,m_date,($G$2+4),m_active,1,m_start,"&lt;"&amp;720,m_end,"&gt;"&amp;660)&gt;1,"충돌",HYPERLINK("#'관리자_MASTER'!D"&amp;_xlfn.MAXIFS(m_row,m_teacher,D$4,m_date,($G$2+4),m_active,1,m_start,"&lt;"&amp;720,m_end,"&gt;"&amp;660),INDEX(m_label,_xlfn.MAXIFS(m_row,m_teacher,D$4,m_date,($G$2+4),m_active,1,m_start,"&lt;"&amp;720,m_end,"&gt;"&amp;660))))))</f>
        <v/>
      </c>
      <c r="E51" s="82" t="str">
        <f aca="false">IF(OR(E$4="",MONTH(($G$2+4))&lt;&gt;MONTH($C$2)),"",IF(COUNTIFS(m_teacher,E$4,m_date,($G$2+4),m_active,1,m_start,"&lt;"&amp;720,m_end,"&gt;"&amp;660)=0,"",IF(COUNTIFS(m_teacher,E$4,m_date,($G$2+4),m_active,1,m_start,"&lt;"&amp;720,m_end,"&gt;"&amp;660)&gt;1,"충돌",HYPERLINK("#'관리자_MASTER'!D"&amp;_xlfn.MAXIFS(m_row,m_teacher,E$4,m_date,($G$2+4),m_active,1,m_start,"&lt;"&amp;720,m_end,"&gt;"&amp;660),INDEX(m_label,_xlfn.MAXIFS(m_row,m_teacher,E$4,m_date,($G$2+4),m_active,1,m_start,"&lt;"&amp;720,m_end,"&gt;"&amp;660))))))</f>
        <v/>
      </c>
      <c r="F51" s="82" t="str">
        <f aca="false">IF(OR(F$4="",MONTH(($G$2+4))&lt;&gt;MONTH($C$2)),"",IF(COUNTIFS(m_teacher,F$4,m_date,($G$2+4),m_active,1,m_start,"&lt;"&amp;720,m_end,"&gt;"&amp;660)=0,"",IF(COUNTIFS(m_teacher,F$4,m_date,($G$2+4),m_active,1,m_start,"&lt;"&amp;720,m_end,"&gt;"&amp;660)&gt;1,"충돌",HYPERLINK("#'관리자_MASTER'!D"&amp;_xlfn.MAXIFS(m_row,m_teacher,F$4,m_date,($G$2+4),m_active,1,m_start,"&lt;"&amp;720,m_end,"&gt;"&amp;660),INDEX(m_label,_xlfn.MAXIFS(m_row,m_teacher,F$4,m_date,($G$2+4),m_active,1,m_start,"&lt;"&amp;720,m_end,"&gt;"&amp;660))))))</f>
        <v/>
      </c>
      <c r="G51" s="82" t="str">
        <f aca="false">IF(OR(G$4="",MONTH(($G$2+4))&lt;&gt;MONTH($C$2)),"",IF(COUNTIFS(m_teacher,G$4,m_date,($G$2+4),m_active,1,m_start,"&lt;"&amp;720,m_end,"&gt;"&amp;660)=0,"",IF(COUNTIFS(m_teacher,G$4,m_date,($G$2+4),m_active,1,m_start,"&lt;"&amp;720,m_end,"&gt;"&amp;660)&gt;1,"충돌",HYPERLINK("#'관리자_MASTER'!D"&amp;_xlfn.MAXIFS(m_row,m_teacher,G$4,m_date,($G$2+4),m_active,1,m_start,"&lt;"&amp;720,m_end,"&gt;"&amp;660),INDEX(m_label,_xlfn.MAXIFS(m_row,m_teacher,G$4,m_date,($G$2+4),m_active,1,m_start,"&lt;"&amp;720,m_end,"&gt;"&amp;660))))))</f>
        <v/>
      </c>
      <c r="H51" s="82" t="str">
        <f aca="false">IF(OR(H$4="",MONTH(($G$2+4))&lt;&gt;MONTH($C$2)),"",IF(COUNTIFS(m_teacher,H$4,m_date,($G$2+4),m_active,1,m_start,"&lt;"&amp;720,m_end,"&gt;"&amp;660)=0,"",IF(COUNTIFS(m_teacher,H$4,m_date,($G$2+4),m_active,1,m_start,"&lt;"&amp;720,m_end,"&gt;"&amp;660)&gt;1,"충돌",HYPERLINK("#'관리자_MASTER'!D"&amp;_xlfn.MAXIFS(m_row,m_teacher,H$4,m_date,($G$2+4),m_active,1,m_start,"&lt;"&amp;720,m_end,"&gt;"&amp;660),INDEX(m_label,_xlfn.MAXIFS(m_row,m_teacher,H$4,m_date,($G$2+4),m_active,1,m_start,"&lt;"&amp;720,m_end,"&gt;"&amp;660))))))</f>
        <v/>
      </c>
      <c r="I51" s="82" t="str">
        <f aca="false">IF(OR(I$4="",MONTH(($G$2+4))&lt;&gt;MONTH($C$2)),"",IF(COUNTIFS(m_teacher,I$4,m_date,($G$2+4),m_active,1,m_start,"&lt;"&amp;720,m_end,"&gt;"&amp;660)=0,"",IF(COUNTIFS(m_teacher,I$4,m_date,($G$2+4),m_active,1,m_start,"&lt;"&amp;720,m_end,"&gt;"&amp;660)&gt;1,"충돌",HYPERLINK("#'관리자_MASTER'!D"&amp;_xlfn.MAXIFS(m_row,m_teacher,I$4,m_date,($G$2+4),m_active,1,m_start,"&lt;"&amp;720,m_end,"&gt;"&amp;660),INDEX(m_label,_xlfn.MAXIFS(m_row,m_teacher,I$4,m_date,($G$2+4),m_active,1,m_start,"&lt;"&amp;720,m_end,"&gt;"&amp;660))))))</f>
        <v/>
      </c>
      <c r="J51" s="82" t="str">
        <f aca="false">IF(OR(J$4="",MONTH(($G$2+4))&lt;&gt;MONTH($C$2)),"",IF(COUNTIFS(m_teacher,J$4,m_date,($G$2+4),m_active,1,m_start,"&lt;"&amp;720,m_end,"&gt;"&amp;660)=0,"",IF(COUNTIFS(m_teacher,J$4,m_date,($G$2+4),m_active,1,m_start,"&lt;"&amp;720,m_end,"&gt;"&amp;660)&gt;1,"충돌",HYPERLINK("#'관리자_MASTER'!D"&amp;_xlfn.MAXIFS(m_row,m_teacher,J$4,m_date,($G$2+4),m_active,1,m_start,"&lt;"&amp;720,m_end,"&gt;"&amp;660),INDEX(m_label,_xlfn.MAXIFS(m_row,m_teacher,J$4,m_date,($G$2+4),m_active,1,m_start,"&lt;"&amp;720,m_end,"&gt;"&amp;660))))))</f>
        <v/>
      </c>
      <c r="K51" s="82" t="str">
        <f aca="false">IF(OR(K$4="",MONTH(($G$2+4))&lt;&gt;MONTH($C$2)),"",IF(COUNTIFS(m_teacher,K$4,m_date,($G$2+4),m_active,1,m_start,"&lt;"&amp;720,m_end,"&gt;"&amp;660)=0,"",IF(COUNTIFS(m_teacher,K$4,m_date,($G$2+4),m_active,1,m_start,"&lt;"&amp;720,m_end,"&gt;"&amp;660)&gt;1,"충돌",HYPERLINK("#'관리자_MASTER'!D"&amp;_xlfn.MAXIFS(m_row,m_teacher,K$4,m_date,($G$2+4),m_active,1,m_start,"&lt;"&amp;720,m_end,"&gt;"&amp;660),INDEX(m_label,_xlfn.MAXIFS(m_row,m_teacher,K$4,m_date,($G$2+4),m_active,1,m_start,"&lt;"&amp;720,m_end,"&gt;"&amp;660))))))</f>
        <v/>
      </c>
      <c r="L51" s="82" t="str">
        <f aca="false">IF(OR(L$4="",MONTH(($G$2+4))&lt;&gt;MONTH($C$2)),"",IF(COUNTIFS(m_teacher,L$4,m_date,($G$2+4),m_active,1,m_start,"&lt;"&amp;720,m_end,"&gt;"&amp;660)=0,"",IF(COUNTIFS(m_teacher,L$4,m_date,($G$2+4),m_active,1,m_start,"&lt;"&amp;720,m_end,"&gt;"&amp;660)&gt;1,"충돌",HYPERLINK("#'관리자_MASTER'!D"&amp;_xlfn.MAXIFS(m_row,m_teacher,L$4,m_date,($G$2+4),m_active,1,m_start,"&lt;"&amp;720,m_end,"&gt;"&amp;660),INDEX(m_label,_xlfn.MAXIFS(m_row,m_teacher,L$4,m_date,($G$2+4),m_active,1,m_start,"&lt;"&amp;720,m_end,"&gt;"&amp;660))))))</f>
        <v/>
      </c>
      <c r="M51" s="82" t="str">
        <f aca="false">IF(OR(M$4="",MONTH(($G$2+4))&lt;&gt;MONTH($C$2)),"",IF(COUNTIFS(m_teacher,M$4,m_date,($G$2+4),m_active,1,m_start,"&lt;"&amp;720,m_end,"&gt;"&amp;660)=0,"",IF(COUNTIFS(m_teacher,M$4,m_date,($G$2+4),m_active,1,m_start,"&lt;"&amp;720,m_end,"&gt;"&amp;660)&gt;1,"충돌",HYPERLINK("#'관리자_MASTER'!D"&amp;_xlfn.MAXIFS(m_row,m_teacher,M$4,m_date,($G$2+4),m_active,1,m_start,"&lt;"&amp;720,m_end,"&gt;"&amp;660),INDEX(m_label,_xlfn.MAXIFS(m_row,m_teacher,M$4,m_date,($G$2+4),m_active,1,m_start,"&lt;"&amp;720,m_end,"&gt;"&amp;660))))))</f>
        <v/>
      </c>
      <c r="N51" s="82" t="str">
        <f aca="false">IF(OR(N$4="",MONTH(($G$2+4))&lt;&gt;MONTH($C$2)),"",IF(COUNTIFS(m_teacher,N$4,m_date,($G$2+4),m_active,1,m_start,"&lt;"&amp;720,m_end,"&gt;"&amp;660)=0,"",IF(COUNTIFS(m_teacher,N$4,m_date,($G$2+4),m_active,1,m_start,"&lt;"&amp;720,m_end,"&gt;"&amp;660)&gt;1,"충돌",HYPERLINK("#'관리자_MASTER'!D"&amp;_xlfn.MAXIFS(m_row,m_teacher,N$4,m_date,($G$2+4),m_active,1,m_start,"&lt;"&amp;720,m_end,"&gt;"&amp;660),INDEX(m_label,_xlfn.MAXIFS(m_row,m_teacher,N$4,m_date,($G$2+4),m_active,1,m_start,"&lt;"&amp;720,m_end,"&gt;"&amp;660))))))</f>
        <v/>
      </c>
      <c r="O51" s="78"/>
      <c r="P51" s="79" t="s">
        <v>93</v>
      </c>
      <c r="Q51" s="82" t="str">
        <f aca="false">IF(OR(Q$4="",MONTH(($G$2+11))&lt;&gt;MONTH($C$2)),"",IF(COUNTIFS(m_teacher,Q$4,m_date,($G$2+11),m_active,1,m_start,"&lt;"&amp;720,m_end,"&gt;"&amp;660)=0,"",IF(COUNTIFS(m_teacher,Q$4,m_date,($G$2+11),m_active,1,m_start,"&lt;"&amp;720,m_end,"&gt;"&amp;660)&gt;1,"충돌",HYPERLINK("#'관리자_MASTER'!D"&amp;_xlfn.MAXIFS(m_row,m_teacher,Q$4,m_date,($G$2+11),m_active,1,m_start,"&lt;"&amp;720,m_end,"&gt;"&amp;660),INDEX(m_label,_xlfn.MAXIFS(m_row,m_teacher,Q$4,m_date,($G$2+11),m_active,1,m_start,"&lt;"&amp;720,m_end,"&gt;"&amp;660))))))</f>
        <v/>
      </c>
      <c r="R51" s="82" t="str">
        <f aca="false">IF(OR(R$4="",MONTH(($G$2+11))&lt;&gt;MONTH($C$2)),"",IF(COUNTIFS(m_teacher,R$4,m_date,($G$2+11),m_active,1,m_start,"&lt;"&amp;720,m_end,"&gt;"&amp;660)=0,"",IF(COUNTIFS(m_teacher,R$4,m_date,($G$2+11),m_active,1,m_start,"&lt;"&amp;720,m_end,"&gt;"&amp;660)&gt;1,"충돌",HYPERLINK("#'관리자_MASTER'!D"&amp;_xlfn.MAXIFS(m_row,m_teacher,R$4,m_date,($G$2+11),m_active,1,m_start,"&lt;"&amp;720,m_end,"&gt;"&amp;660),INDEX(m_label,_xlfn.MAXIFS(m_row,m_teacher,R$4,m_date,($G$2+11),m_active,1,m_start,"&lt;"&amp;720,m_end,"&gt;"&amp;660))))))</f>
        <v/>
      </c>
      <c r="S51" s="82" t="str">
        <f aca="false">IF(OR(S$4="",MONTH(($G$2+11))&lt;&gt;MONTH($C$2)),"",IF(COUNTIFS(m_teacher,S$4,m_date,($G$2+11),m_active,1,m_start,"&lt;"&amp;720,m_end,"&gt;"&amp;660)=0,"",IF(COUNTIFS(m_teacher,S$4,m_date,($G$2+11),m_active,1,m_start,"&lt;"&amp;720,m_end,"&gt;"&amp;660)&gt;1,"충돌",HYPERLINK("#'관리자_MASTER'!D"&amp;_xlfn.MAXIFS(m_row,m_teacher,S$4,m_date,($G$2+11),m_active,1,m_start,"&lt;"&amp;720,m_end,"&gt;"&amp;660),INDEX(m_label,_xlfn.MAXIFS(m_row,m_teacher,S$4,m_date,($G$2+11),m_active,1,m_start,"&lt;"&amp;720,m_end,"&gt;"&amp;660))))))</f>
        <v/>
      </c>
      <c r="T51" s="82" t="str">
        <f aca="false">IF(OR(T$4="",MONTH(($G$2+11))&lt;&gt;MONTH($C$2)),"",IF(COUNTIFS(m_teacher,T$4,m_date,($G$2+11),m_active,1,m_start,"&lt;"&amp;720,m_end,"&gt;"&amp;660)=0,"",IF(COUNTIFS(m_teacher,T$4,m_date,($G$2+11),m_active,1,m_start,"&lt;"&amp;720,m_end,"&gt;"&amp;660)&gt;1,"충돌",HYPERLINK("#'관리자_MASTER'!D"&amp;_xlfn.MAXIFS(m_row,m_teacher,T$4,m_date,($G$2+11),m_active,1,m_start,"&lt;"&amp;720,m_end,"&gt;"&amp;660),INDEX(m_label,_xlfn.MAXIFS(m_row,m_teacher,T$4,m_date,($G$2+11),m_active,1,m_start,"&lt;"&amp;720,m_end,"&gt;"&amp;660))))))</f>
        <v/>
      </c>
      <c r="U51" s="82" t="str">
        <f aca="false">IF(OR(U$4="",MONTH(($G$2+11))&lt;&gt;MONTH($C$2)),"",IF(COUNTIFS(m_teacher,U$4,m_date,($G$2+11),m_active,1,m_start,"&lt;"&amp;720,m_end,"&gt;"&amp;660)=0,"",IF(COUNTIFS(m_teacher,U$4,m_date,($G$2+11),m_active,1,m_start,"&lt;"&amp;720,m_end,"&gt;"&amp;660)&gt;1,"충돌",HYPERLINK("#'관리자_MASTER'!D"&amp;_xlfn.MAXIFS(m_row,m_teacher,U$4,m_date,($G$2+11),m_active,1,m_start,"&lt;"&amp;720,m_end,"&gt;"&amp;660),INDEX(m_label,_xlfn.MAXIFS(m_row,m_teacher,U$4,m_date,($G$2+11),m_active,1,m_start,"&lt;"&amp;720,m_end,"&gt;"&amp;660))))))</f>
        <v/>
      </c>
      <c r="V51" s="82" t="str">
        <f aca="false">IF(OR(V$4="",MONTH(($G$2+11))&lt;&gt;MONTH($C$2)),"",IF(COUNTIFS(m_teacher,V$4,m_date,($G$2+11),m_active,1,m_start,"&lt;"&amp;720,m_end,"&gt;"&amp;660)=0,"",IF(COUNTIFS(m_teacher,V$4,m_date,($G$2+11),m_active,1,m_start,"&lt;"&amp;720,m_end,"&gt;"&amp;660)&gt;1,"충돌",HYPERLINK("#'관리자_MASTER'!D"&amp;_xlfn.MAXIFS(m_row,m_teacher,V$4,m_date,($G$2+11),m_active,1,m_start,"&lt;"&amp;720,m_end,"&gt;"&amp;660),INDEX(m_label,_xlfn.MAXIFS(m_row,m_teacher,V$4,m_date,($G$2+11),m_active,1,m_start,"&lt;"&amp;720,m_end,"&gt;"&amp;660))))))</f>
        <v/>
      </c>
      <c r="W51" s="82" t="str">
        <f aca="false">IF(OR(W$4="",MONTH(($G$2+11))&lt;&gt;MONTH($C$2)),"",IF(COUNTIFS(m_teacher,W$4,m_date,($G$2+11),m_active,1,m_start,"&lt;"&amp;720,m_end,"&gt;"&amp;660)=0,"",IF(COUNTIFS(m_teacher,W$4,m_date,($G$2+11),m_active,1,m_start,"&lt;"&amp;720,m_end,"&gt;"&amp;660)&gt;1,"충돌",HYPERLINK("#'관리자_MASTER'!D"&amp;_xlfn.MAXIFS(m_row,m_teacher,W$4,m_date,($G$2+11),m_active,1,m_start,"&lt;"&amp;720,m_end,"&gt;"&amp;660),INDEX(m_label,_xlfn.MAXIFS(m_row,m_teacher,W$4,m_date,($G$2+11),m_active,1,m_start,"&lt;"&amp;720,m_end,"&gt;"&amp;660))))))</f>
        <v/>
      </c>
      <c r="X51" s="82" t="str">
        <f aca="false">IF(OR(X$4="",MONTH(($G$2+11))&lt;&gt;MONTH($C$2)),"",IF(COUNTIFS(m_teacher,X$4,m_date,($G$2+11),m_active,1,m_start,"&lt;"&amp;720,m_end,"&gt;"&amp;660)=0,"",IF(COUNTIFS(m_teacher,X$4,m_date,($G$2+11),m_active,1,m_start,"&lt;"&amp;720,m_end,"&gt;"&amp;660)&gt;1,"충돌",HYPERLINK("#'관리자_MASTER'!D"&amp;_xlfn.MAXIFS(m_row,m_teacher,X$4,m_date,($G$2+11),m_active,1,m_start,"&lt;"&amp;720,m_end,"&gt;"&amp;660),INDEX(m_label,_xlfn.MAXIFS(m_row,m_teacher,X$4,m_date,($G$2+11),m_active,1,m_start,"&lt;"&amp;720,m_end,"&gt;"&amp;660))))))</f>
        <v/>
      </c>
      <c r="Y51" s="82" t="str">
        <f aca="false">IF(OR(Y$4="",MONTH(($G$2+11))&lt;&gt;MONTH($C$2)),"",IF(COUNTIFS(m_teacher,Y$4,m_date,($G$2+11),m_active,1,m_start,"&lt;"&amp;720,m_end,"&gt;"&amp;660)=0,"",IF(COUNTIFS(m_teacher,Y$4,m_date,($G$2+11),m_active,1,m_start,"&lt;"&amp;720,m_end,"&gt;"&amp;660)&gt;1,"충돌",HYPERLINK("#'관리자_MASTER'!D"&amp;_xlfn.MAXIFS(m_row,m_teacher,Y$4,m_date,($G$2+11),m_active,1,m_start,"&lt;"&amp;720,m_end,"&gt;"&amp;660),INDEX(m_label,_xlfn.MAXIFS(m_row,m_teacher,Y$4,m_date,($G$2+11),m_active,1,m_start,"&lt;"&amp;720,m_end,"&gt;"&amp;660))))))</f>
        <v/>
      </c>
      <c r="Z51" s="82" t="str">
        <f aca="false">IF(OR(Z$4="",MONTH(($G$2+11))&lt;&gt;MONTH($C$2)),"",IF(COUNTIFS(m_teacher,Z$4,m_date,($G$2+11),m_active,1,m_start,"&lt;"&amp;720,m_end,"&gt;"&amp;660)=0,"",IF(COUNTIFS(m_teacher,Z$4,m_date,($G$2+11),m_active,1,m_start,"&lt;"&amp;720,m_end,"&gt;"&amp;660)&gt;1,"충돌",HYPERLINK("#'관리자_MASTER'!D"&amp;_xlfn.MAXIFS(m_row,m_teacher,Z$4,m_date,($G$2+11),m_active,1,m_start,"&lt;"&amp;720,m_end,"&gt;"&amp;660),INDEX(m_label,_xlfn.MAXIFS(m_row,m_teacher,Z$4,m_date,($G$2+11),m_active,1,m_start,"&lt;"&amp;720,m_end,"&gt;"&amp;660))))))</f>
        <v/>
      </c>
      <c r="AA51" s="82" t="str">
        <f aca="false">IF(OR(AA$4="",MONTH(($G$2+11))&lt;&gt;MONTH($C$2)),"",IF(COUNTIFS(m_teacher,AA$4,m_date,($G$2+11),m_active,1,m_start,"&lt;"&amp;720,m_end,"&gt;"&amp;660)=0,"",IF(COUNTIFS(m_teacher,AA$4,m_date,($G$2+11),m_active,1,m_start,"&lt;"&amp;720,m_end,"&gt;"&amp;660)&gt;1,"충돌",HYPERLINK("#'관리자_MASTER'!D"&amp;_xlfn.MAXIFS(m_row,m_teacher,AA$4,m_date,($G$2+11),m_active,1,m_start,"&lt;"&amp;720,m_end,"&gt;"&amp;660),INDEX(m_label,_xlfn.MAXIFS(m_row,m_teacher,AA$4,m_date,($G$2+11),m_active,1,m_start,"&lt;"&amp;720,m_end,"&gt;"&amp;660))))))</f>
        <v/>
      </c>
      <c r="AB51" s="82" t="str">
        <f aca="false">IF(OR(AB$4="",MONTH(($G$2+11))&lt;&gt;MONTH($C$2)),"",IF(COUNTIFS(m_teacher,AB$4,m_date,($G$2+11),m_active,1,m_start,"&lt;"&amp;720,m_end,"&gt;"&amp;660)=0,"",IF(COUNTIFS(m_teacher,AB$4,m_date,($G$2+11),m_active,1,m_start,"&lt;"&amp;720,m_end,"&gt;"&amp;660)&gt;1,"충돌",HYPERLINK("#'관리자_MASTER'!D"&amp;_xlfn.MAXIFS(m_row,m_teacher,AB$4,m_date,($G$2+11),m_active,1,m_start,"&lt;"&amp;720,m_end,"&gt;"&amp;660),INDEX(m_label,_xlfn.MAXIFS(m_row,m_teacher,AB$4,m_date,($G$2+11),m_active,1,m_start,"&lt;"&amp;720,m_end,"&gt;"&amp;660))))))</f>
        <v/>
      </c>
      <c r="AC51" s="78"/>
      <c r="AD51" s="79" t="s">
        <v>93</v>
      </c>
      <c r="AE51" s="82" t="str">
        <f aca="false">IF(OR(AE$4="",MONTH(($G$2+18))&lt;&gt;MONTH($C$2)),"",IF(COUNTIFS(m_teacher,AE$4,m_date,($G$2+18),m_active,1,m_start,"&lt;"&amp;720,m_end,"&gt;"&amp;660)=0,"",IF(COUNTIFS(m_teacher,AE$4,m_date,($G$2+18),m_active,1,m_start,"&lt;"&amp;720,m_end,"&gt;"&amp;660)&gt;1,"충돌",HYPERLINK("#'관리자_MASTER'!D"&amp;_xlfn.MAXIFS(m_row,m_teacher,AE$4,m_date,($G$2+18),m_active,1,m_start,"&lt;"&amp;720,m_end,"&gt;"&amp;660),INDEX(m_label,_xlfn.MAXIFS(m_row,m_teacher,AE$4,m_date,($G$2+18),m_active,1,m_start,"&lt;"&amp;720,m_end,"&gt;"&amp;660))))))</f>
        <v/>
      </c>
      <c r="AF51" s="82" t="str">
        <f aca="false">IF(OR(AF$4="",MONTH(($G$2+18))&lt;&gt;MONTH($C$2)),"",IF(COUNTIFS(m_teacher,AF$4,m_date,($G$2+18),m_active,1,m_start,"&lt;"&amp;720,m_end,"&gt;"&amp;660)=0,"",IF(COUNTIFS(m_teacher,AF$4,m_date,($G$2+18),m_active,1,m_start,"&lt;"&amp;720,m_end,"&gt;"&amp;660)&gt;1,"충돌",HYPERLINK("#'관리자_MASTER'!D"&amp;_xlfn.MAXIFS(m_row,m_teacher,AF$4,m_date,($G$2+18),m_active,1,m_start,"&lt;"&amp;720,m_end,"&gt;"&amp;660),INDEX(m_label,_xlfn.MAXIFS(m_row,m_teacher,AF$4,m_date,($G$2+18),m_active,1,m_start,"&lt;"&amp;720,m_end,"&gt;"&amp;660))))))</f>
        <v/>
      </c>
      <c r="AG51" s="82" t="str">
        <f aca="false">IF(OR(AG$4="",MONTH(($G$2+18))&lt;&gt;MONTH($C$2)),"",IF(COUNTIFS(m_teacher,AG$4,m_date,($G$2+18),m_active,1,m_start,"&lt;"&amp;720,m_end,"&gt;"&amp;660)=0,"",IF(COUNTIFS(m_teacher,AG$4,m_date,($G$2+18),m_active,1,m_start,"&lt;"&amp;720,m_end,"&gt;"&amp;660)&gt;1,"충돌",HYPERLINK("#'관리자_MASTER'!D"&amp;_xlfn.MAXIFS(m_row,m_teacher,AG$4,m_date,($G$2+18),m_active,1,m_start,"&lt;"&amp;720,m_end,"&gt;"&amp;660),INDEX(m_label,_xlfn.MAXIFS(m_row,m_teacher,AG$4,m_date,($G$2+18),m_active,1,m_start,"&lt;"&amp;720,m_end,"&gt;"&amp;660))))))</f>
        <v/>
      </c>
      <c r="AH51" s="82" t="str">
        <f aca="false">IF(OR(AH$4="",MONTH(($G$2+18))&lt;&gt;MONTH($C$2)),"",IF(COUNTIFS(m_teacher,AH$4,m_date,($G$2+18),m_active,1,m_start,"&lt;"&amp;720,m_end,"&gt;"&amp;660)=0,"",IF(COUNTIFS(m_teacher,AH$4,m_date,($G$2+18),m_active,1,m_start,"&lt;"&amp;720,m_end,"&gt;"&amp;660)&gt;1,"충돌",HYPERLINK("#'관리자_MASTER'!D"&amp;_xlfn.MAXIFS(m_row,m_teacher,AH$4,m_date,($G$2+18),m_active,1,m_start,"&lt;"&amp;720,m_end,"&gt;"&amp;660),INDEX(m_label,_xlfn.MAXIFS(m_row,m_teacher,AH$4,m_date,($G$2+18),m_active,1,m_start,"&lt;"&amp;720,m_end,"&gt;"&amp;660))))))</f>
        <v/>
      </c>
      <c r="AI51" s="82" t="str">
        <f aca="false">IF(OR(AI$4="",MONTH(($G$2+18))&lt;&gt;MONTH($C$2)),"",IF(COUNTIFS(m_teacher,AI$4,m_date,($G$2+18),m_active,1,m_start,"&lt;"&amp;720,m_end,"&gt;"&amp;660)=0,"",IF(COUNTIFS(m_teacher,AI$4,m_date,($G$2+18),m_active,1,m_start,"&lt;"&amp;720,m_end,"&gt;"&amp;660)&gt;1,"충돌",HYPERLINK("#'관리자_MASTER'!D"&amp;_xlfn.MAXIFS(m_row,m_teacher,AI$4,m_date,($G$2+18),m_active,1,m_start,"&lt;"&amp;720,m_end,"&gt;"&amp;660),INDEX(m_label,_xlfn.MAXIFS(m_row,m_teacher,AI$4,m_date,($G$2+18),m_active,1,m_start,"&lt;"&amp;720,m_end,"&gt;"&amp;660))))))</f>
        <v/>
      </c>
      <c r="AJ51" s="82" t="str">
        <f aca="false">IF(OR(AJ$4="",MONTH(($G$2+18))&lt;&gt;MONTH($C$2)),"",IF(COUNTIFS(m_teacher,AJ$4,m_date,($G$2+18),m_active,1,m_start,"&lt;"&amp;720,m_end,"&gt;"&amp;660)=0,"",IF(COUNTIFS(m_teacher,AJ$4,m_date,($G$2+18),m_active,1,m_start,"&lt;"&amp;720,m_end,"&gt;"&amp;660)&gt;1,"충돌",HYPERLINK("#'관리자_MASTER'!D"&amp;_xlfn.MAXIFS(m_row,m_teacher,AJ$4,m_date,($G$2+18),m_active,1,m_start,"&lt;"&amp;720,m_end,"&gt;"&amp;660),INDEX(m_label,_xlfn.MAXIFS(m_row,m_teacher,AJ$4,m_date,($G$2+18),m_active,1,m_start,"&lt;"&amp;720,m_end,"&gt;"&amp;660))))))</f>
        <v/>
      </c>
      <c r="AK51" s="82" t="str">
        <f aca="false">IF(OR(AK$4="",MONTH(($G$2+18))&lt;&gt;MONTH($C$2)),"",IF(COUNTIFS(m_teacher,AK$4,m_date,($G$2+18),m_active,1,m_start,"&lt;"&amp;720,m_end,"&gt;"&amp;660)=0,"",IF(COUNTIFS(m_teacher,AK$4,m_date,($G$2+18),m_active,1,m_start,"&lt;"&amp;720,m_end,"&gt;"&amp;660)&gt;1,"충돌",HYPERLINK("#'관리자_MASTER'!D"&amp;_xlfn.MAXIFS(m_row,m_teacher,AK$4,m_date,($G$2+18),m_active,1,m_start,"&lt;"&amp;720,m_end,"&gt;"&amp;660),INDEX(m_label,_xlfn.MAXIFS(m_row,m_teacher,AK$4,m_date,($G$2+18),m_active,1,m_start,"&lt;"&amp;720,m_end,"&gt;"&amp;660))))))</f>
        <v/>
      </c>
      <c r="AL51" s="82" t="str">
        <f aca="false">IF(OR(AL$4="",MONTH(($G$2+18))&lt;&gt;MONTH($C$2)),"",IF(COUNTIFS(m_teacher,AL$4,m_date,($G$2+18),m_active,1,m_start,"&lt;"&amp;720,m_end,"&gt;"&amp;660)=0,"",IF(COUNTIFS(m_teacher,AL$4,m_date,($G$2+18),m_active,1,m_start,"&lt;"&amp;720,m_end,"&gt;"&amp;660)&gt;1,"충돌",HYPERLINK("#'관리자_MASTER'!D"&amp;_xlfn.MAXIFS(m_row,m_teacher,AL$4,m_date,($G$2+18),m_active,1,m_start,"&lt;"&amp;720,m_end,"&gt;"&amp;660),INDEX(m_label,_xlfn.MAXIFS(m_row,m_teacher,AL$4,m_date,($G$2+18),m_active,1,m_start,"&lt;"&amp;720,m_end,"&gt;"&amp;660))))))</f>
        <v/>
      </c>
      <c r="AM51" s="82" t="str">
        <f aca="false">IF(OR(AM$4="",MONTH(($G$2+18))&lt;&gt;MONTH($C$2)),"",IF(COUNTIFS(m_teacher,AM$4,m_date,($G$2+18),m_active,1,m_start,"&lt;"&amp;720,m_end,"&gt;"&amp;660)=0,"",IF(COUNTIFS(m_teacher,AM$4,m_date,($G$2+18),m_active,1,m_start,"&lt;"&amp;720,m_end,"&gt;"&amp;660)&gt;1,"충돌",HYPERLINK("#'관리자_MASTER'!D"&amp;_xlfn.MAXIFS(m_row,m_teacher,AM$4,m_date,($G$2+18),m_active,1,m_start,"&lt;"&amp;720,m_end,"&gt;"&amp;660),INDEX(m_label,_xlfn.MAXIFS(m_row,m_teacher,AM$4,m_date,($G$2+18),m_active,1,m_start,"&lt;"&amp;720,m_end,"&gt;"&amp;660))))))</f>
        <v/>
      </c>
      <c r="AN51" s="82" t="str">
        <f aca="false">IF(OR(AN$4="",MONTH(($G$2+18))&lt;&gt;MONTH($C$2)),"",IF(COUNTIFS(m_teacher,AN$4,m_date,($G$2+18),m_active,1,m_start,"&lt;"&amp;720,m_end,"&gt;"&amp;660)=0,"",IF(COUNTIFS(m_teacher,AN$4,m_date,($G$2+18),m_active,1,m_start,"&lt;"&amp;720,m_end,"&gt;"&amp;660)&gt;1,"충돌",HYPERLINK("#'관리자_MASTER'!D"&amp;_xlfn.MAXIFS(m_row,m_teacher,AN$4,m_date,($G$2+18),m_active,1,m_start,"&lt;"&amp;720,m_end,"&gt;"&amp;660),INDEX(m_label,_xlfn.MAXIFS(m_row,m_teacher,AN$4,m_date,($G$2+18),m_active,1,m_start,"&lt;"&amp;720,m_end,"&gt;"&amp;660))))))</f>
        <v/>
      </c>
      <c r="AO51" s="82" t="str">
        <f aca="false">IF(OR(AO$4="",MONTH(($G$2+18))&lt;&gt;MONTH($C$2)),"",IF(COUNTIFS(m_teacher,AO$4,m_date,($G$2+18),m_active,1,m_start,"&lt;"&amp;720,m_end,"&gt;"&amp;660)=0,"",IF(COUNTIFS(m_teacher,AO$4,m_date,($G$2+18),m_active,1,m_start,"&lt;"&amp;720,m_end,"&gt;"&amp;660)&gt;1,"충돌",HYPERLINK("#'관리자_MASTER'!D"&amp;_xlfn.MAXIFS(m_row,m_teacher,AO$4,m_date,($G$2+18),m_active,1,m_start,"&lt;"&amp;720,m_end,"&gt;"&amp;660),INDEX(m_label,_xlfn.MAXIFS(m_row,m_teacher,AO$4,m_date,($G$2+18),m_active,1,m_start,"&lt;"&amp;720,m_end,"&gt;"&amp;660))))))</f>
        <v/>
      </c>
      <c r="AP51" s="82" t="str">
        <f aca="false">IF(OR(AP$4="",MONTH(($G$2+18))&lt;&gt;MONTH($C$2)),"",IF(COUNTIFS(m_teacher,AP$4,m_date,($G$2+18),m_active,1,m_start,"&lt;"&amp;720,m_end,"&gt;"&amp;660)=0,"",IF(COUNTIFS(m_teacher,AP$4,m_date,($G$2+18),m_active,1,m_start,"&lt;"&amp;720,m_end,"&gt;"&amp;660)&gt;1,"충돌",HYPERLINK("#'관리자_MASTER'!D"&amp;_xlfn.MAXIFS(m_row,m_teacher,AP$4,m_date,($G$2+18),m_active,1,m_start,"&lt;"&amp;720,m_end,"&gt;"&amp;660),INDEX(m_label,_xlfn.MAXIFS(m_row,m_teacher,AP$4,m_date,($G$2+18),m_active,1,m_start,"&lt;"&amp;720,m_end,"&gt;"&amp;660))))))</f>
        <v/>
      </c>
      <c r="AQ51" s="78"/>
      <c r="AR51" s="79" t="s">
        <v>93</v>
      </c>
      <c r="AS51" s="82" t="str">
        <f aca="false">IF(OR(AS$4="",MONTH(($G$2+25))&lt;&gt;MONTH($C$2)),"",IF(COUNTIFS(m_teacher,AS$4,m_date,($G$2+25),m_active,1,m_start,"&lt;"&amp;720,m_end,"&gt;"&amp;660)=0,"",IF(COUNTIFS(m_teacher,AS$4,m_date,($G$2+25),m_active,1,m_start,"&lt;"&amp;720,m_end,"&gt;"&amp;660)&gt;1,"충돌",HYPERLINK("#'관리자_MASTER'!D"&amp;_xlfn.MAXIFS(m_row,m_teacher,AS$4,m_date,($G$2+25),m_active,1,m_start,"&lt;"&amp;720,m_end,"&gt;"&amp;660),INDEX(m_label,_xlfn.MAXIFS(m_row,m_teacher,AS$4,m_date,($G$2+25),m_active,1,m_start,"&lt;"&amp;720,m_end,"&gt;"&amp;660))))))</f>
        <v/>
      </c>
      <c r="AT51" s="82" t="str">
        <f aca="false">IF(OR(AT$4="",MONTH(($G$2+25))&lt;&gt;MONTH($C$2)),"",IF(COUNTIFS(m_teacher,AT$4,m_date,($G$2+25),m_active,1,m_start,"&lt;"&amp;720,m_end,"&gt;"&amp;660)=0,"",IF(COUNTIFS(m_teacher,AT$4,m_date,($G$2+25),m_active,1,m_start,"&lt;"&amp;720,m_end,"&gt;"&amp;660)&gt;1,"충돌",HYPERLINK("#'관리자_MASTER'!D"&amp;_xlfn.MAXIFS(m_row,m_teacher,AT$4,m_date,($G$2+25),m_active,1,m_start,"&lt;"&amp;720,m_end,"&gt;"&amp;660),INDEX(m_label,_xlfn.MAXIFS(m_row,m_teacher,AT$4,m_date,($G$2+25),m_active,1,m_start,"&lt;"&amp;720,m_end,"&gt;"&amp;660))))))</f>
        <v/>
      </c>
      <c r="AU51" s="82" t="str">
        <f aca="false">IF(OR(AU$4="",MONTH(($G$2+25))&lt;&gt;MONTH($C$2)),"",IF(COUNTIFS(m_teacher,AU$4,m_date,($G$2+25),m_active,1,m_start,"&lt;"&amp;720,m_end,"&gt;"&amp;660)=0,"",IF(COUNTIFS(m_teacher,AU$4,m_date,($G$2+25),m_active,1,m_start,"&lt;"&amp;720,m_end,"&gt;"&amp;660)&gt;1,"충돌",HYPERLINK("#'관리자_MASTER'!D"&amp;_xlfn.MAXIFS(m_row,m_teacher,AU$4,m_date,($G$2+25),m_active,1,m_start,"&lt;"&amp;720,m_end,"&gt;"&amp;660),INDEX(m_label,_xlfn.MAXIFS(m_row,m_teacher,AU$4,m_date,($G$2+25),m_active,1,m_start,"&lt;"&amp;720,m_end,"&gt;"&amp;660))))))</f>
        <v/>
      </c>
      <c r="AV51" s="82" t="str">
        <f aca="false">IF(OR(AV$4="",MONTH(($G$2+25))&lt;&gt;MONTH($C$2)),"",IF(COUNTIFS(m_teacher,AV$4,m_date,($G$2+25),m_active,1,m_start,"&lt;"&amp;720,m_end,"&gt;"&amp;660)=0,"",IF(COUNTIFS(m_teacher,AV$4,m_date,($G$2+25),m_active,1,m_start,"&lt;"&amp;720,m_end,"&gt;"&amp;660)&gt;1,"충돌",HYPERLINK("#'관리자_MASTER'!D"&amp;_xlfn.MAXIFS(m_row,m_teacher,AV$4,m_date,($G$2+25),m_active,1,m_start,"&lt;"&amp;720,m_end,"&gt;"&amp;660),INDEX(m_label,_xlfn.MAXIFS(m_row,m_teacher,AV$4,m_date,($G$2+25),m_active,1,m_start,"&lt;"&amp;720,m_end,"&gt;"&amp;660))))))</f>
        <v/>
      </c>
      <c r="AW51" s="82" t="str">
        <f aca="false">IF(OR(AW$4="",MONTH(($G$2+25))&lt;&gt;MONTH($C$2)),"",IF(COUNTIFS(m_teacher,AW$4,m_date,($G$2+25),m_active,1,m_start,"&lt;"&amp;720,m_end,"&gt;"&amp;660)=0,"",IF(COUNTIFS(m_teacher,AW$4,m_date,($G$2+25),m_active,1,m_start,"&lt;"&amp;720,m_end,"&gt;"&amp;660)&gt;1,"충돌",HYPERLINK("#'관리자_MASTER'!D"&amp;_xlfn.MAXIFS(m_row,m_teacher,AW$4,m_date,($G$2+25),m_active,1,m_start,"&lt;"&amp;720,m_end,"&gt;"&amp;660),INDEX(m_label,_xlfn.MAXIFS(m_row,m_teacher,AW$4,m_date,($G$2+25),m_active,1,m_start,"&lt;"&amp;720,m_end,"&gt;"&amp;660))))))</f>
        <v/>
      </c>
      <c r="AX51" s="82" t="str">
        <f aca="false">IF(OR(AX$4="",MONTH(($G$2+25))&lt;&gt;MONTH($C$2)),"",IF(COUNTIFS(m_teacher,AX$4,m_date,($G$2+25),m_active,1,m_start,"&lt;"&amp;720,m_end,"&gt;"&amp;660)=0,"",IF(COUNTIFS(m_teacher,AX$4,m_date,($G$2+25),m_active,1,m_start,"&lt;"&amp;720,m_end,"&gt;"&amp;660)&gt;1,"충돌",HYPERLINK("#'관리자_MASTER'!D"&amp;_xlfn.MAXIFS(m_row,m_teacher,AX$4,m_date,($G$2+25),m_active,1,m_start,"&lt;"&amp;720,m_end,"&gt;"&amp;660),INDEX(m_label,_xlfn.MAXIFS(m_row,m_teacher,AX$4,m_date,($G$2+25),m_active,1,m_start,"&lt;"&amp;720,m_end,"&gt;"&amp;660))))))</f>
        <v/>
      </c>
      <c r="AY51" s="82" t="str">
        <f aca="false">IF(OR(AY$4="",MONTH(($G$2+25))&lt;&gt;MONTH($C$2)),"",IF(COUNTIFS(m_teacher,AY$4,m_date,($G$2+25),m_active,1,m_start,"&lt;"&amp;720,m_end,"&gt;"&amp;660)=0,"",IF(COUNTIFS(m_teacher,AY$4,m_date,($G$2+25),m_active,1,m_start,"&lt;"&amp;720,m_end,"&gt;"&amp;660)&gt;1,"충돌",HYPERLINK("#'관리자_MASTER'!D"&amp;_xlfn.MAXIFS(m_row,m_teacher,AY$4,m_date,($G$2+25),m_active,1,m_start,"&lt;"&amp;720,m_end,"&gt;"&amp;660),INDEX(m_label,_xlfn.MAXIFS(m_row,m_teacher,AY$4,m_date,($G$2+25),m_active,1,m_start,"&lt;"&amp;720,m_end,"&gt;"&amp;660))))))</f>
        <v/>
      </c>
      <c r="AZ51" s="82" t="str">
        <f aca="false">IF(OR(AZ$4="",MONTH(($G$2+25))&lt;&gt;MONTH($C$2)),"",IF(COUNTIFS(m_teacher,AZ$4,m_date,($G$2+25),m_active,1,m_start,"&lt;"&amp;720,m_end,"&gt;"&amp;660)=0,"",IF(COUNTIFS(m_teacher,AZ$4,m_date,($G$2+25),m_active,1,m_start,"&lt;"&amp;720,m_end,"&gt;"&amp;660)&gt;1,"충돌",HYPERLINK("#'관리자_MASTER'!D"&amp;_xlfn.MAXIFS(m_row,m_teacher,AZ$4,m_date,($G$2+25),m_active,1,m_start,"&lt;"&amp;720,m_end,"&gt;"&amp;660),INDEX(m_label,_xlfn.MAXIFS(m_row,m_teacher,AZ$4,m_date,($G$2+25),m_active,1,m_start,"&lt;"&amp;720,m_end,"&gt;"&amp;660))))))</f>
        <v/>
      </c>
      <c r="BA51" s="82" t="str">
        <f aca="false">IF(OR(BA$4="",MONTH(($G$2+25))&lt;&gt;MONTH($C$2)),"",IF(COUNTIFS(m_teacher,BA$4,m_date,($G$2+25),m_active,1,m_start,"&lt;"&amp;720,m_end,"&gt;"&amp;660)=0,"",IF(COUNTIFS(m_teacher,BA$4,m_date,($G$2+25),m_active,1,m_start,"&lt;"&amp;720,m_end,"&gt;"&amp;660)&gt;1,"충돌",HYPERLINK("#'관리자_MASTER'!D"&amp;_xlfn.MAXIFS(m_row,m_teacher,BA$4,m_date,($G$2+25),m_active,1,m_start,"&lt;"&amp;720,m_end,"&gt;"&amp;660),INDEX(m_label,_xlfn.MAXIFS(m_row,m_teacher,BA$4,m_date,($G$2+25),m_active,1,m_start,"&lt;"&amp;720,m_end,"&gt;"&amp;660))))))</f>
        <v/>
      </c>
      <c r="BB51" s="82" t="str">
        <f aca="false">IF(OR(BB$4="",MONTH(($G$2+25))&lt;&gt;MONTH($C$2)),"",IF(COUNTIFS(m_teacher,BB$4,m_date,($G$2+25),m_active,1,m_start,"&lt;"&amp;720,m_end,"&gt;"&amp;660)=0,"",IF(COUNTIFS(m_teacher,BB$4,m_date,($G$2+25),m_active,1,m_start,"&lt;"&amp;720,m_end,"&gt;"&amp;660)&gt;1,"충돌",HYPERLINK("#'관리자_MASTER'!D"&amp;_xlfn.MAXIFS(m_row,m_teacher,BB$4,m_date,($G$2+25),m_active,1,m_start,"&lt;"&amp;720,m_end,"&gt;"&amp;660),INDEX(m_label,_xlfn.MAXIFS(m_row,m_teacher,BB$4,m_date,($G$2+25),m_active,1,m_start,"&lt;"&amp;720,m_end,"&gt;"&amp;660))))))</f>
        <v/>
      </c>
      <c r="BC51" s="82" t="str">
        <f aca="false">IF(OR(BC$4="",MONTH(($G$2+25))&lt;&gt;MONTH($C$2)),"",IF(COUNTIFS(m_teacher,BC$4,m_date,($G$2+25),m_active,1,m_start,"&lt;"&amp;720,m_end,"&gt;"&amp;660)=0,"",IF(COUNTIFS(m_teacher,BC$4,m_date,($G$2+25),m_active,1,m_start,"&lt;"&amp;720,m_end,"&gt;"&amp;660)&gt;1,"충돌",HYPERLINK("#'관리자_MASTER'!D"&amp;_xlfn.MAXIFS(m_row,m_teacher,BC$4,m_date,($G$2+25),m_active,1,m_start,"&lt;"&amp;720,m_end,"&gt;"&amp;660),INDEX(m_label,_xlfn.MAXIFS(m_row,m_teacher,BC$4,m_date,($G$2+25),m_active,1,m_start,"&lt;"&amp;720,m_end,"&gt;"&amp;660))))))</f>
        <v/>
      </c>
      <c r="BD51" s="82" t="str">
        <f aca="false">IF(OR(BD$4="",MONTH(($G$2+25))&lt;&gt;MONTH($C$2)),"",IF(COUNTIFS(m_teacher,BD$4,m_date,($G$2+25),m_active,1,m_start,"&lt;"&amp;720,m_end,"&gt;"&amp;660)=0,"",IF(COUNTIFS(m_teacher,BD$4,m_date,($G$2+25),m_active,1,m_start,"&lt;"&amp;720,m_end,"&gt;"&amp;660)&gt;1,"충돌",HYPERLINK("#'관리자_MASTER'!D"&amp;_xlfn.MAXIFS(m_row,m_teacher,BD$4,m_date,($G$2+25),m_active,1,m_start,"&lt;"&amp;720,m_end,"&gt;"&amp;660),INDEX(m_label,_xlfn.MAXIFS(m_row,m_teacher,BD$4,m_date,($G$2+25),m_active,1,m_start,"&lt;"&amp;720,m_end,"&gt;"&amp;660))))))</f>
        <v/>
      </c>
    </row>
    <row r="52" customFormat="false" ht="19.5" hidden="false" customHeight="true" outlineLevel="0" collapsed="false">
      <c r="A52" s="78"/>
      <c r="B52" s="79" t="s">
        <v>94</v>
      </c>
      <c r="C52" s="82" t="str">
        <f aca="false">IF(OR(C$4="",MONTH(($G$2+4))&lt;&gt;MONTH($C$2)),"",IF(COUNTIFS(m_teacher,C$4,m_date,($G$2+4),m_active,1,m_start,"&lt;"&amp;780,m_end,"&gt;"&amp;720)=0,"",IF(COUNTIFS(m_teacher,C$4,m_date,($G$2+4),m_active,1,m_start,"&lt;"&amp;780,m_end,"&gt;"&amp;720)&gt;1,"충돌",HYPERLINK("#'관리자_MASTER'!D"&amp;_xlfn.MAXIFS(m_row,m_teacher,C$4,m_date,($G$2+4),m_active,1,m_start,"&lt;"&amp;780,m_end,"&gt;"&amp;720),INDEX(m_label,_xlfn.MAXIFS(m_row,m_teacher,C$4,m_date,($G$2+4),m_active,1,m_start,"&lt;"&amp;780,m_end,"&gt;"&amp;720))))))</f>
        <v/>
      </c>
      <c r="D52" s="82" t="str">
        <f aca="false">IF(OR(D$4="",MONTH(($G$2+4))&lt;&gt;MONTH($C$2)),"",IF(COUNTIFS(m_teacher,D$4,m_date,($G$2+4),m_active,1,m_start,"&lt;"&amp;780,m_end,"&gt;"&amp;720)=0,"",IF(COUNTIFS(m_teacher,D$4,m_date,($G$2+4),m_active,1,m_start,"&lt;"&amp;780,m_end,"&gt;"&amp;720)&gt;1,"충돌",HYPERLINK("#'관리자_MASTER'!D"&amp;_xlfn.MAXIFS(m_row,m_teacher,D$4,m_date,($G$2+4),m_active,1,m_start,"&lt;"&amp;780,m_end,"&gt;"&amp;720),INDEX(m_label,_xlfn.MAXIFS(m_row,m_teacher,D$4,m_date,($G$2+4),m_active,1,m_start,"&lt;"&amp;780,m_end,"&gt;"&amp;720))))))</f>
        <v/>
      </c>
      <c r="E52" s="82" t="str">
        <f aca="false">IF(OR(E$4="",MONTH(($G$2+4))&lt;&gt;MONTH($C$2)),"",IF(COUNTIFS(m_teacher,E$4,m_date,($G$2+4),m_active,1,m_start,"&lt;"&amp;780,m_end,"&gt;"&amp;720)=0,"",IF(COUNTIFS(m_teacher,E$4,m_date,($G$2+4),m_active,1,m_start,"&lt;"&amp;780,m_end,"&gt;"&amp;720)&gt;1,"충돌",HYPERLINK("#'관리자_MASTER'!D"&amp;_xlfn.MAXIFS(m_row,m_teacher,E$4,m_date,($G$2+4),m_active,1,m_start,"&lt;"&amp;780,m_end,"&gt;"&amp;720),INDEX(m_label,_xlfn.MAXIFS(m_row,m_teacher,E$4,m_date,($G$2+4),m_active,1,m_start,"&lt;"&amp;780,m_end,"&gt;"&amp;720))))))</f>
        <v/>
      </c>
      <c r="F52" s="82" t="str">
        <f aca="false">IF(OR(F$4="",MONTH(($G$2+4))&lt;&gt;MONTH($C$2)),"",IF(COUNTIFS(m_teacher,F$4,m_date,($G$2+4),m_active,1,m_start,"&lt;"&amp;780,m_end,"&gt;"&amp;720)=0,"",IF(COUNTIFS(m_teacher,F$4,m_date,($G$2+4),m_active,1,m_start,"&lt;"&amp;780,m_end,"&gt;"&amp;720)&gt;1,"충돌",HYPERLINK("#'관리자_MASTER'!D"&amp;_xlfn.MAXIFS(m_row,m_teacher,F$4,m_date,($G$2+4),m_active,1,m_start,"&lt;"&amp;780,m_end,"&gt;"&amp;720),INDEX(m_label,_xlfn.MAXIFS(m_row,m_teacher,F$4,m_date,($G$2+4),m_active,1,m_start,"&lt;"&amp;780,m_end,"&gt;"&amp;720))))))</f>
        <v/>
      </c>
      <c r="G52" s="82" t="str">
        <f aca="false">IF(OR(G$4="",MONTH(($G$2+4))&lt;&gt;MONTH($C$2)),"",IF(COUNTIFS(m_teacher,G$4,m_date,($G$2+4),m_active,1,m_start,"&lt;"&amp;780,m_end,"&gt;"&amp;720)=0,"",IF(COUNTIFS(m_teacher,G$4,m_date,($G$2+4),m_active,1,m_start,"&lt;"&amp;780,m_end,"&gt;"&amp;720)&gt;1,"충돌",HYPERLINK("#'관리자_MASTER'!D"&amp;_xlfn.MAXIFS(m_row,m_teacher,G$4,m_date,($G$2+4),m_active,1,m_start,"&lt;"&amp;780,m_end,"&gt;"&amp;720),INDEX(m_label,_xlfn.MAXIFS(m_row,m_teacher,G$4,m_date,($G$2+4),m_active,1,m_start,"&lt;"&amp;780,m_end,"&gt;"&amp;720))))))</f>
        <v/>
      </c>
      <c r="H52" s="82" t="str">
        <f aca="false">IF(OR(H$4="",MONTH(($G$2+4))&lt;&gt;MONTH($C$2)),"",IF(COUNTIFS(m_teacher,H$4,m_date,($G$2+4),m_active,1,m_start,"&lt;"&amp;780,m_end,"&gt;"&amp;720)=0,"",IF(COUNTIFS(m_teacher,H$4,m_date,($G$2+4),m_active,1,m_start,"&lt;"&amp;780,m_end,"&gt;"&amp;720)&gt;1,"충돌",HYPERLINK("#'관리자_MASTER'!D"&amp;_xlfn.MAXIFS(m_row,m_teacher,H$4,m_date,($G$2+4),m_active,1,m_start,"&lt;"&amp;780,m_end,"&gt;"&amp;720),INDEX(m_label,_xlfn.MAXIFS(m_row,m_teacher,H$4,m_date,($G$2+4),m_active,1,m_start,"&lt;"&amp;780,m_end,"&gt;"&amp;720))))))</f>
        <v/>
      </c>
      <c r="I52" s="82" t="str">
        <f aca="false">IF(OR(I$4="",MONTH(($G$2+4))&lt;&gt;MONTH($C$2)),"",IF(COUNTIFS(m_teacher,I$4,m_date,($G$2+4),m_active,1,m_start,"&lt;"&amp;780,m_end,"&gt;"&amp;720)=0,"",IF(COUNTIFS(m_teacher,I$4,m_date,($G$2+4),m_active,1,m_start,"&lt;"&amp;780,m_end,"&gt;"&amp;720)&gt;1,"충돌",HYPERLINK("#'관리자_MASTER'!D"&amp;_xlfn.MAXIFS(m_row,m_teacher,I$4,m_date,($G$2+4),m_active,1,m_start,"&lt;"&amp;780,m_end,"&gt;"&amp;720),INDEX(m_label,_xlfn.MAXIFS(m_row,m_teacher,I$4,m_date,($G$2+4),m_active,1,m_start,"&lt;"&amp;780,m_end,"&gt;"&amp;720))))))</f>
        <v/>
      </c>
      <c r="J52" s="82" t="str">
        <f aca="false">IF(OR(J$4="",MONTH(($G$2+4))&lt;&gt;MONTH($C$2)),"",IF(COUNTIFS(m_teacher,J$4,m_date,($G$2+4),m_active,1,m_start,"&lt;"&amp;780,m_end,"&gt;"&amp;720)=0,"",IF(COUNTIFS(m_teacher,J$4,m_date,($G$2+4),m_active,1,m_start,"&lt;"&amp;780,m_end,"&gt;"&amp;720)&gt;1,"충돌",HYPERLINK("#'관리자_MASTER'!D"&amp;_xlfn.MAXIFS(m_row,m_teacher,J$4,m_date,($G$2+4),m_active,1,m_start,"&lt;"&amp;780,m_end,"&gt;"&amp;720),INDEX(m_label,_xlfn.MAXIFS(m_row,m_teacher,J$4,m_date,($G$2+4),m_active,1,m_start,"&lt;"&amp;780,m_end,"&gt;"&amp;720))))))</f>
        <v/>
      </c>
      <c r="K52" s="82" t="str">
        <f aca="false">IF(OR(K$4="",MONTH(($G$2+4))&lt;&gt;MONTH($C$2)),"",IF(COUNTIFS(m_teacher,K$4,m_date,($G$2+4),m_active,1,m_start,"&lt;"&amp;780,m_end,"&gt;"&amp;720)=0,"",IF(COUNTIFS(m_teacher,K$4,m_date,($G$2+4),m_active,1,m_start,"&lt;"&amp;780,m_end,"&gt;"&amp;720)&gt;1,"충돌",HYPERLINK("#'관리자_MASTER'!D"&amp;_xlfn.MAXIFS(m_row,m_teacher,K$4,m_date,($G$2+4),m_active,1,m_start,"&lt;"&amp;780,m_end,"&gt;"&amp;720),INDEX(m_label,_xlfn.MAXIFS(m_row,m_teacher,K$4,m_date,($G$2+4),m_active,1,m_start,"&lt;"&amp;780,m_end,"&gt;"&amp;720))))))</f>
        <v/>
      </c>
      <c r="L52" s="82" t="str">
        <f aca="false">IF(OR(L$4="",MONTH(($G$2+4))&lt;&gt;MONTH($C$2)),"",IF(COUNTIFS(m_teacher,L$4,m_date,($G$2+4),m_active,1,m_start,"&lt;"&amp;780,m_end,"&gt;"&amp;720)=0,"",IF(COUNTIFS(m_teacher,L$4,m_date,($G$2+4),m_active,1,m_start,"&lt;"&amp;780,m_end,"&gt;"&amp;720)&gt;1,"충돌",HYPERLINK("#'관리자_MASTER'!D"&amp;_xlfn.MAXIFS(m_row,m_teacher,L$4,m_date,($G$2+4),m_active,1,m_start,"&lt;"&amp;780,m_end,"&gt;"&amp;720),INDEX(m_label,_xlfn.MAXIFS(m_row,m_teacher,L$4,m_date,($G$2+4),m_active,1,m_start,"&lt;"&amp;780,m_end,"&gt;"&amp;720))))))</f>
        <v/>
      </c>
      <c r="M52" s="82" t="str">
        <f aca="false">IF(OR(M$4="",MONTH(($G$2+4))&lt;&gt;MONTH($C$2)),"",IF(COUNTIFS(m_teacher,M$4,m_date,($G$2+4),m_active,1,m_start,"&lt;"&amp;780,m_end,"&gt;"&amp;720)=0,"",IF(COUNTIFS(m_teacher,M$4,m_date,($G$2+4),m_active,1,m_start,"&lt;"&amp;780,m_end,"&gt;"&amp;720)&gt;1,"충돌",HYPERLINK("#'관리자_MASTER'!D"&amp;_xlfn.MAXIFS(m_row,m_teacher,M$4,m_date,($G$2+4),m_active,1,m_start,"&lt;"&amp;780,m_end,"&gt;"&amp;720),INDEX(m_label,_xlfn.MAXIFS(m_row,m_teacher,M$4,m_date,($G$2+4),m_active,1,m_start,"&lt;"&amp;780,m_end,"&gt;"&amp;720))))))</f>
        <v/>
      </c>
      <c r="N52" s="82" t="str">
        <f aca="false">IF(OR(N$4="",MONTH(($G$2+4))&lt;&gt;MONTH($C$2)),"",IF(COUNTIFS(m_teacher,N$4,m_date,($G$2+4),m_active,1,m_start,"&lt;"&amp;780,m_end,"&gt;"&amp;720)=0,"",IF(COUNTIFS(m_teacher,N$4,m_date,($G$2+4),m_active,1,m_start,"&lt;"&amp;780,m_end,"&gt;"&amp;720)&gt;1,"충돌",HYPERLINK("#'관리자_MASTER'!D"&amp;_xlfn.MAXIFS(m_row,m_teacher,N$4,m_date,($G$2+4),m_active,1,m_start,"&lt;"&amp;780,m_end,"&gt;"&amp;720),INDEX(m_label,_xlfn.MAXIFS(m_row,m_teacher,N$4,m_date,($G$2+4),m_active,1,m_start,"&lt;"&amp;780,m_end,"&gt;"&amp;720))))))</f>
        <v/>
      </c>
      <c r="O52" s="78"/>
      <c r="P52" s="79" t="s">
        <v>94</v>
      </c>
      <c r="Q52" s="82" t="str">
        <f aca="false">IF(OR(Q$4="",MONTH(($G$2+11))&lt;&gt;MONTH($C$2)),"",IF(COUNTIFS(m_teacher,Q$4,m_date,($G$2+11),m_active,1,m_start,"&lt;"&amp;780,m_end,"&gt;"&amp;720)=0,"",IF(COUNTIFS(m_teacher,Q$4,m_date,($G$2+11),m_active,1,m_start,"&lt;"&amp;780,m_end,"&gt;"&amp;720)&gt;1,"충돌",HYPERLINK("#'관리자_MASTER'!D"&amp;_xlfn.MAXIFS(m_row,m_teacher,Q$4,m_date,($G$2+11),m_active,1,m_start,"&lt;"&amp;780,m_end,"&gt;"&amp;720),INDEX(m_label,_xlfn.MAXIFS(m_row,m_teacher,Q$4,m_date,($G$2+11),m_active,1,m_start,"&lt;"&amp;780,m_end,"&gt;"&amp;720))))))</f>
        <v/>
      </c>
      <c r="R52" s="82" t="str">
        <f aca="false">IF(OR(R$4="",MONTH(($G$2+11))&lt;&gt;MONTH($C$2)),"",IF(COUNTIFS(m_teacher,R$4,m_date,($G$2+11),m_active,1,m_start,"&lt;"&amp;780,m_end,"&gt;"&amp;720)=0,"",IF(COUNTIFS(m_teacher,R$4,m_date,($G$2+11),m_active,1,m_start,"&lt;"&amp;780,m_end,"&gt;"&amp;720)&gt;1,"충돌",HYPERLINK("#'관리자_MASTER'!D"&amp;_xlfn.MAXIFS(m_row,m_teacher,R$4,m_date,($G$2+11),m_active,1,m_start,"&lt;"&amp;780,m_end,"&gt;"&amp;720),INDEX(m_label,_xlfn.MAXIFS(m_row,m_teacher,R$4,m_date,($G$2+11),m_active,1,m_start,"&lt;"&amp;780,m_end,"&gt;"&amp;720))))))</f>
        <v/>
      </c>
      <c r="S52" s="82" t="str">
        <f aca="false">IF(OR(S$4="",MONTH(($G$2+11))&lt;&gt;MONTH($C$2)),"",IF(COUNTIFS(m_teacher,S$4,m_date,($G$2+11),m_active,1,m_start,"&lt;"&amp;780,m_end,"&gt;"&amp;720)=0,"",IF(COUNTIFS(m_teacher,S$4,m_date,($G$2+11),m_active,1,m_start,"&lt;"&amp;780,m_end,"&gt;"&amp;720)&gt;1,"충돌",HYPERLINK("#'관리자_MASTER'!D"&amp;_xlfn.MAXIFS(m_row,m_teacher,S$4,m_date,($G$2+11),m_active,1,m_start,"&lt;"&amp;780,m_end,"&gt;"&amp;720),INDEX(m_label,_xlfn.MAXIFS(m_row,m_teacher,S$4,m_date,($G$2+11),m_active,1,m_start,"&lt;"&amp;780,m_end,"&gt;"&amp;720))))))</f>
        <v/>
      </c>
      <c r="T52" s="82" t="str">
        <f aca="false">IF(OR(T$4="",MONTH(($G$2+11))&lt;&gt;MONTH($C$2)),"",IF(COUNTIFS(m_teacher,T$4,m_date,($G$2+11),m_active,1,m_start,"&lt;"&amp;780,m_end,"&gt;"&amp;720)=0,"",IF(COUNTIFS(m_teacher,T$4,m_date,($G$2+11),m_active,1,m_start,"&lt;"&amp;780,m_end,"&gt;"&amp;720)&gt;1,"충돌",HYPERLINK("#'관리자_MASTER'!D"&amp;_xlfn.MAXIFS(m_row,m_teacher,T$4,m_date,($G$2+11),m_active,1,m_start,"&lt;"&amp;780,m_end,"&gt;"&amp;720),INDEX(m_label,_xlfn.MAXIFS(m_row,m_teacher,T$4,m_date,($G$2+11),m_active,1,m_start,"&lt;"&amp;780,m_end,"&gt;"&amp;720))))))</f>
        <v/>
      </c>
      <c r="U52" s="82" t="str">
        <f aca="false">IF(OR(U$4="",MONTH(($G$2+11))&lt;&gt;MONTH($C$2)),"",IF(COUNTIFS(m_teacher,U$4,m_date,($G$2+11),m_active,1,m_start,"&lt;"&amp;780,m_end,"&gt;"&amp;720)=0,"",IF(COUNTIFS(m_teacher,U$4,m_date,($G$2+11),m_active,1,m_start,"&lt;"&amp;780,m_end,"&gt;"&amp;720)&gt;1,"충돌",HYPERLINK("#'관리자_MASTER'!D"&amp;_xlfn.MAXIFS(m_row,m_teacher,U$4,m_date,($G$2+11),m_active,1,m_start,"&lt;"&amp;780,m_end,"&gt;"&amp;720),INDEX(m_label,_xlfn.MAXIFS(m_row,m_teacher,U$4,m_date,($G$2+11),m_active,1,m_start,"&lt;"&amp;780,m_end,"&gt;"&amp;720))))))</f>
        <v/>
      </c>
      <c r="V52" s="82" t="str">
        <f aca="false">IF(OR(V$4="",MONTH(($G$2+11))&lt;&gt;MONTH($C$2)),"",IF(COUNTIFS(m_teacher,V$4,m_date,($G$2+11),m_active,1,m_start,"&lt;"&amp;780,m_end,"&gt;"&amp;720)=0,"",IF(COUNTIFS(m_teacher,V$4,m_date,($G$2+11),m_active,1,m_start,"&lt;"&amp;780,m_end,"&gt;"&amp;720)&gt;1,"충돌",HYPERLINK("#'관리자_MASTER'!D"&amp;_xlfn.MAXIFS(m_row,m_teacher,V$4,m_date,($G$2+11),m_active,1,m_start,"&lt;"&amp;780,m_end,"&gt;"&amp;720),INDEX(m_label,_xlfn.MAXIFS(m_row,m_teacher,V$4,m_date,($G$2+11),m_active,1,m_start,"&lt;"&amp;780,m_end,"&gt;"&amp;720))))))</f>
        <v/>
      </c>
      <c r="W52" s="82" t="str">
        <f aca="false">IF(OR(W$4="",MONTH(($G$2+11))&lt;&gt;MONTH($C$2)),"",IF(COUNTIFS(m_teacher,W$4,m_date,($G$2+11),m_active,1,m_start,"&lt;"&amp;780,m_end,"&gt;"&amp;720)=0,"",IF(COUNTIFS(m_teacher,W$4,m_date,($G$2+11),m_active,1,m_start,"&lt;"&amp;780,m_end,"&gt;"&amp;720)&gt;1,"충돌",HYPERLINK("#'관리자_MASTER'!D"&amp;_xlfn.MAXIFS(m_row,m_teacher,W$4,m_date,($G$2+11),m_active,1,m_start,"&lt;"&amp;780,m_end,"&gt;"&amp;720),INDEX(m_label,_xlfn.MAXIFS(m_row,m_teacher,W$4,m_date,($G$2+11),m_active,1,m_start,"&lt;"&amp;780,m_end,"&gt;"&amp;720))))))</f>
        <v/>
      </c>
      <c r="X52" s="82" t="str">
        <f aca="false">IF(OR(X$4="",MONTH(($G$2+11))&lt;&gt;MONTH($C$2)),"",IF(COUNTIFS(m_teacher,X$4,m_date,($G$2+11),m_active,1,m_start,"&lt;"&amp;780,m_end,"&gt;"&amp;720)=0,"",IF(COUNTIFS(m_teacher,X$4,m_date,($G$2+11),m_active,1,m_start,"&lt;"&amp;780,m_end,"&gt;"&amp;720)&gt;1,"충돌",HYPERLINK("#'관리자_MASTER'!D"&amp;_xlfn.MAXIFS(m_row,m_teacher,X$4,m_date,($G$2+11),m_active,1,m_start,"&lt;"&amp;780,m_end,"&gt;"&amp;720),INDEX(m_label,_xlfn.MAXIFS(m_row,m_teacher,X$4,m_date,($G$2+11),m_active,1,m_start,"&lt;"&amp;780,m_end,"&gt;"&amp;720))))))</f>
        <v/>
      </c>
      <c r="Y52" s="82" t="str">
        <f aca="false">IF(OR(Y$4="",MONTH(($G$2+11))&lt;&gt;MONTH($C$2)),"",IF(COUNTIFS(m_teacher,Y$4,m_date,($G$2+11),m_active,1,m_start,"&lt;"&amp;780,m_end,"&gt;"&amp;720)=0,"",IF(COUNTIFS(m_teacher,Y$4,m_date,($G$2+11),m_active,1,m_start,"&lt;"&amp;780,m_end,"&gt;"&amp;720)&gt;1,"충돌",HYPERLINK("#'관리자_MASTER'!D"&amp;_xlfn.MAXIFS(m_row,m_teacher,Y$4,m_date,($G$2+11),m_active,1,m_start,"&lt;"&amp;780,m_end,"&gt;"&amp;720),INDEX(m_label,_xlfn.MAXIFS(m_row,m_teacher,Y$4,m_date,($G$2+11),m_active,1,m_start,"&lt;"&amp;780,m_end,"&gt;"&amp;720))))))</f>
        <v/>
      </c>
      <c r="Z52" s="82" t="str">
        <f aca="false">IF(OR(Z$4="",MONTH(($G$2+11))&lt;&gt;MONTH($C$2)),"",IF(COUNTIFS(m_teacher,Z$4,m_date,($G$2+11),m_active,1,m_start,"&lt;"&amp;780,m_end,"&gt;"&amp;720)=0,"",IF(COUNTIFS(m_teacher,Z$4,m_date,($G$2+11),m_active,1,m_start,"&lt;"&amp;780,m_end,"&gt;"&amp;720)&gt;1,"충돌",HYPERLINK("#'관리자_MASTER'!D"&amp;_xlfn.MAXIFS(m_row,m_teacher,Z$4,m_date,($G$2+11),m_active,1,m_start,"&lt;"&amp;780,m_end,"&gt;"&amp;720),INDEX(m_label,_xlfn.MAXIFS(m_row,m_teacher,Z$4,m_date,($G$2+11),m_active,1,m_start,"&lt;"&amp;780,m_end,"&gt;"&amp;720))))))</f>
        <v/>
      </c>
      <c r="AA52" s="82" t="str">
        <f aca="false">IF(OR(AA$4="",MONTH(($G$2+11))&lt;&gt;MONTH($C$2)),"",IF(COUNTIFS(m_teacher,AA$4,m_date,($G$2+11),m_active,1,m_start,"&lt;"&amp;780,m_end,"&gt;"&amp;720)=0,"",IF(COUNTIFS(m_teacher,AA$4,m_date,($G$2+11),m_active,1,m_start,"&lt;"&amp;780,m_end,"&gt;"&amp;720)&gt;1,"충돌",HYPERLINK("#'관리자_MASTER'!D"&amp;_xlfn.MAXIFS(m_row,m_teacher,AA$4,m_date,($G$2+11),m_active,1,m_start,"&lt;"&amp;780,m_end,"&gt;"&amp;720),INDEX(m_label,_xlfn.MAXIFS(m_row,m_teacher,AA$4,m_date,($G$2+11),m_active,1,m_start,"&lt;"&amp;780,m_end,"&gt;"&amp;720))))))</f>
        <v/>
      </c>
      <c r="AB52" s="82" t="str">
        <f aca="false">IF(OR(AB$4="",MONTH(($G$2+11))&lt;&gt;MONTH($C$2)),"",IF(COUNTIFS(m_teacher,AB$4,m_date,($G$2+11),m_active,1,m_start,"&lt;"&amp;780,m_end,"&gt;"&amp;720)=0,"",IF(COUNTIFS(m_teacher,AB$4,m_date,($G$2+11),m_active,1,m_start,"&lt;"&amp;780,m_end,"&gt;"&amp;720)&gt;1,"충돌",HYPERLINK("#'관리자_MASTER'!D"&amp;_xlfn.MAXIFS(m_row,m_teacher,AB$4,m_date,($G$2+11),m_active,1,m_start,"&lt;"&amp;780,m_end,"&gt;"&amp;720),INDEX(m_label,_xlfn.MAXIFS(m_row,m_teacher,AB$4,m_date,($G$2+11),m_active,1,m_start,"&lt;"&amp;780,m_end,"&gt;"&amp;720))))))</f>
        <v/>
      </c>
      <c r="AC52" s="78"/>
      <c r="AD52" s="79" t="s">
        <v>94</v>
      </c>
      <c r="AE52" s="82" t="str">
        <f aca="false">IF(OR(AE$4="",MONTH(($G$2+18))&lt;&gt;MONTH($C$2)),"",IF(COUNTIFS(m_teacher,AE$4,m_date,($G$2+18),m_active,1,m_start,"&lt;"&amp;780,m_end,"&gt;"&amp;720)=0,"",IF(COUNTIFS(m_teacher,AE$4,m_date,($G$2+18),m_active,1,m_start,"&lt;"&amp;780,m_end,"&gt;"&amp;720)&gt;1,"충돌",HYPERLINK("#'관리자_MASTER'!D"&amp;_xlfn.MAXIFS(m_row,m_teacher,AE$4,m_date,($G$2+18),m_active,1,m_start,"&lt;"&amp;780,m_end,"&gt;"&amp;720),INDEX(m_label,_xlfn.MAXIFS(m_row,m_teacher,AE$4,m_date,($G$2+18),m_active,1,m_start,"&lt;"&amp;780,m_end,"&gt;"&amp;720))))))</f>
        <v/>
      </c>
      <c r="AF52" s="82" t="str">
        <f aca="false">IF(OR(AF$4="",MONTH(($G$2+18))&lt;&gt;MONTH($C$2)),"",IF(COUNTIFS(m_teacher,AF$4,m_date,($G$2+18),m_active,1,m_start,"&lt;"&amp;780,m_end,"&gt;"&amp;720)=0,"",IF(COUNTIFS(m_teacher,AF$4,m_date,($G$2+18),m_active,1,m_start,"&lt;"&amp;780,m_end,"&gt;"&amp;720)&gt;1,"충돌",HYPERLINK("#'관리자_MASTER'!D"&amp;_xlfn.MAXIFS(m_row,m_teacher,AF$4,m_date,($G$2+18),m_active,1,m_start,"&lt;"&amp;780,m_end,"&gt;"&amp;720),INDEX(m_label,_xlfn.MAXIFS(m_row,m_teacher,AF$4,m_date,($G$2+18),m_active,1,m_start,"&lt;"&amp;780,m_end,"&gt;"&amp;720))))))</f>
        <v/>
      </c>
      <c r="AG52" s="82" t="str">
        <f aca="false">IF(OR(AG$4="",MONTH(($G$2+18))&lt;&gt;MONTH($C$2)),"",IF(COUNTIFS(m_teacher,AG$4,m_date,($G$2+18),m_active,1,m_start,"&lt;"&amp;780,m_end,"&gt;"&amp;720)=0,"",IF(COUNTIFS(m_teacher,AG$4,m_date,($G$2+18),m_active,1,m_start,"&lt;"&amp;780,m_end,"&gt;"&amp;720)&gt;1,"충돌",HYPERLINK("#'관리자_MASTER'!D"&amp;_xlfn.MAXIFS(m_row,m_teacher,AG$4,m_date,($G$2+18),m_active,1,m_start,"&lt;"&amp;780,m_end,"&gt;"&amp;720),INDEX(m_label,_xlfn.MAXIFS(m_row,m_teacher,AG$4,m_date,($G$2+18),m_active,1,m_start,"&lt;"&amp;780,m_end,"&gt;"&amp;720))))))</f>
        <v/>
      </c>
      <c r="AH52" s="82" t="str">
        <f aca="false">IF(OR(AH$4="",MONTH(($G$2+18))&lt;&gt;MONTH($C$2)),"",IF(COUNTIFS(m_teacher,AH$4,m_date,($G$2+18),m_active,1,m_start,"&lt;"&amp;780,m_end,"&gt;"&amp;720)=0,"",IF(COUNTIFS(m_teacher,AH$4,m_date,($G$2+18),m_active,1,m_start,"&lt;"&amp;780,m_end,"&gt;"&amp;720)&gt;1,"충돌",HYPERLINK("#'관리자_MASTER'!D"&amp;_xlfn.MAXIFS(m_row,m_teacher,AH$4,m_date,($G$2+18),m_active,1,m_start,"&lt;"&amp;780,m_end,"&gt;"&amp;720),INDEX(m_label,_xlfn.MAXIFS(m_row,m_teacher,AH$4,m_date,($G$2+18),m_active,1,m_start,"&lt;"&amp;780,m_end,"&gt;"&amp;720))))))</f>
        <v/>
      </c>
      <c r="AI52" s="82" t="str">
        <f aca="false">IF(OR(AI$4="",MONTH(($G$2+18))&lt;&gt;MONTH($C$2)),"",IF(COUNTIFS(m_teacher,AI$4,m_date,($G$2+18),m_active,1,m_start,"&lt;"&amp;780,m_end,"&gt;"&amp;720)=0,"",IF(COUNTIFS(m_teacher,AI$4,m_date,($G$2+18),m_active,1,m_start,"&lt;"&amp;780,m_end,"&gt;"&amp;720)&gt;1,"충돌",HYPERLINK("#'관리자_MASTER'!D"&amp;_xlfn.MAXIFS(m_row,m_teacher,AI$4,m_date,($G$2+18),m_active,1,m_start,"&lt;"&amp;780,m_end,"&gt;"&amp;720),INDEX(m_label,_xlfn.MAXIFS(m_row,m_teacher,AI$4,m_date,($G$2+18),m_active,1,m_start,"&lt;"&amp;780,m_end,"&gt;"&amp;720))))))</f>
        <v/>
      </c>
      <c r="AJ52" s="82" t="str">
        <f aca="false">IF(OR(AJ$4="",MONTH(($G$2+18))&lt;&gt;MONTH($C$2)),"",IF(COUNTIFS(m_teacher,AJ$4,m_date,($G$2+18),m_active,1,m_start,"&lt;"&amp;780,m_end,"&gt;"&amp;720)=0,"",IF(COUNTIFS(m_teacher,AJ$4,m_date,($G$2+18),m_active,1,m_start,"&lt;"&amp;780,m_end,"&gt;"&amp;720)&gt;1,"충돌",HYPERLINK("#'관리자_MASTER'!D"&amp;_xlfn.MAXIFS(m_row,m_teacher,AJ$4,m_date,($G$2+18),m_active,1,m_start,"&lt;"&amp;780,m_end,"&gt;"&amp;720),INDEX(m_label,_xlfn.MAXIFS(m_row,m_teacher,AJ$4,m_date,($G$2+18),m_active,1,m_start,"&lt;"&amp;780,m_end,"&gt;"&amp;720))))))</f>
        <v/>
      </c>
      <c r="AK52" s="82" t="str">
        <f aca="false">IF(OR(AK$4="",MONTH(($G$2+18))&lt;&gt;MONTH($C$2)),"",IF(COUNTIFS(m_teacher,AK$4,m_date,($G$2+18),m_active,1,m_start,"&lt;"&amp;780,m_end,"&gt;"&amp;720)=0,"",IF(COUNTIFS(m_teacher,AK$4,m_date,($G$2+18),m_active,1,m_start,"&lt;"&amp;780,m_end,"&gt;"&amp;720)&gt;1,"충돌",HYPERLINK("#'관리자_MASTER'!D"&amp;_xlfn.MAXIFS(m_row,m_teacher,AK$4,m_date,($G$2+18),m_active,1,m_start,"&lt;"&amp;780,m_end,"&gt;"&amp;720),INDEX(m_label,_xlfn.MAXIFS(m_row,m_teacher,AK$4,m_date,($G$2+18),m_active,1,m_start,"&lt;"&amp;780,m_end,"&gt;"&amp;720))))))</f>
        <v/>
      </c>
      <c r="AL52" s="82" t="str">
        <f aca="false">IF(OR(AL$4="",MONTH(($G$2+18))&lt;&gt;MONTH($C$2)),"",IF(COUNTIFS(m_teacher,AL$4,m_date,($G$2+18),m_active,1,m_start,"&lt;"&amp;780,m_end,"&gt;"&amp;720)=0,"",IF(COUNTIFS(m_teacher,AL$4,m_date,($G$2+18),m_active,1,m_start,"&lt;"&amp;780,m_end,"&gt;"&amp;720)&gt;1,"충돌",HYPERLINK("#'관리자_MASTER'!D"&amp;_xlfn.MAXIFS(m_row,m_teacher,AL$4,m_date,($G$2+18),m_active,1,m_start,"&lt;"&amp;780,m_end,"&gt;"&amp;720),INDEX(m_label,_xlfn.MAXIFS(m_row,m_teacher,AL$4,m_date,($G$2+18),m_active,1,m_start,"&lt;"&amp;780,m_end,"&gt;"&amp;720))))))</f>
        <v/>
      </c>
      <c r="AM52" s="82" t="str">
        <f aca="false">IF(OR(AM$4="",MONTH(($G$2+18))&lt;&gt;MONTH($C$2)),"",IF(COUNTIFS(m_teacher,AM$4,m_date,($G$2+18),m_active,1,m_start,"&lt;"&amp;780,m_end,"&gt;"&amp;720)=0,"",IF(COUNTIFS(m_teacher,AM$4,m_date,($G$2+18),m_active,1,m_start,"&lt;"&amp;780,m_end,"&gt;"&amp;720)&gt;1,"충돌",HYPERLINK("#'관리자_MASTER'!D"&amp;_xlfn.MAXIFS(m_row,m_teacher,AM$4,m_date,($G$2+18),m_active,1,m_start,"&lt;"&amp;780,m_end,"&gt;"&amp;720),INDEX(m_label,_xlfn.MAXIFS(m_row,m_teacher,AM$4,m_date,($G$2+18),m_active,1,m_start,"&lt;"&amp;780,m_end,"&gt;"&amp;720))))))</f>
        <v/>
      </c>
      <c r="AN52" s="82" t="str">
        <f aca="false">IF(OR(AN$4="",MONTH(($G$2+18))&lt;&gt;MONTH($C$2)),"",IF(COUNTIFS(m_teacher,AN$4,m_date,($G$2+18),m_active,1,m_start,"&lt;"&amp;780,m_end,"&gt;"&amp;720)=0,"",IF(COUNTIFS(m_teacher,AN$4,m_date,($G$2+18),m_active,1,m_start,"&lt;"&amp;780,m_end,"&gt;"&amp;720)&gt;1,"충돌",HYPERLINK("#'관리자_MASTER'!D"&amp;_xlfn.MAXIFS(m_row,m_teacher,AN$4,m_date,($G$2+18),m_active,1,m_start,"&lt;"&amp;780,m_end,"&gt;"&amp;720),INDEX(m_label,_xlfn.MAXIFS(m_row,m_teacher,AN$4,m_date,($G$2+18),m_active,1,m_start,"&lt;"&amp;780,m_end,"&gt;"&amp;720))))))</f>
        <v/>
      </c>
      <c r="AO52" s="82" t="str">
        <f aca="false">IF(OR(AO$4="",MONTH(($G$2+18))&lt;&gt;MONTH($C$2)),"",IF(COUNTIFS(m_teacher,AO$4,m_date,($G$2+18),m_active,1,m_start,"&lt;"&amp;780,m_end,"&gt;"&amp;720)=0,"",IF(COUNTIFS(m_teacher,AO$4,m_date,($G$2+18),m_active,1,m_start,"&lt;"&amp;780,m_end,"&gt;"&amp;720)&gt;1,"충돌",HYPERLINK("#'관리자_MASTER'!D"&amp;_xlfn.MAXIFS(m_row,m_teacher,AO$4,m_date,($G$2+18),m_active,1,m_start,"&lt;"&amp;780,m_end,"&gt;"&amp;720),INDEX(m_label,_xlfn.MAXIFS(m_row,m_teacher,AO$4,m_date,($G$2+18),m_active,1,m_start,"&lt;"&amp;780,m_end,"&gt;"&amp;720))))))</f>
        <v/>
      </c>
      <c r="AP52" s="82" t="str">
        <f aca="false">IF(OR(AP$4="",MONTH(($G$2+18))&lt;&gt;MONTH($C$2)),"",IF(COUNTIFS(m_teacher,AP$4,m_date,($G$2+18),m_active,1,m_start,"&lt;"&amp;780,m_end,"&gt;"&amp;720)=0,"",IF(COUNTIFS(m_teacher,AP$4,m_date,($G$2+18),m_active,1,m_start,"&lt;"&amp;780,m_end,"&gt;"&amp;720)&gt;1,"충돌",HYPERLINK("#'관리자_MASTER'!D"&amp;_xlfn.MAXIFS(m_row,m_teacher,AP$4,m_date,($G$2+18),m_active,1,m_start,"&lt;"&amp;780,m_end,"&gt;"&amp;720),INDEX(m_label,_xlfn.MAXIFS(m_row,m_teacher,AP$4,m_date,($G$2+18),m_active,1,m_start,"&lt;"&amp;780,m_end,"&gt;"&amp;720))))))</f>
        <v/>
      </c>
      <c r="AQ52" s="78"/>
      <c r="AR52" s="79" t="s">
        <v>94</v>
      </c>
      <c r="AS52" s="82" t="str">
        <f aca="false">IF(OR(AS$4="",MONTH(($G$2+25))&lt;&gt;MONTH($C$2)),"",IF(COUNTIFS(m_teacher,AS$4,m_date,($G$2+25),m_active,1,m_start,"&lt;"&amp;780,m_end,"&gt;"&amp;720)=0,"",IF(COUNTIFS(m_teacher,AS$4,m_date,($G$2+25),m_active,1,m_start,"&lt;"&amp;780,m_end,"&gt;"&amp;720)&gt;1,"충돌",HYPERLINK("#'관리자_MASTER'!D"&amp;_xlfn.MAXIFS(m_row,m_teacher,AS$4,m_date,($G$2+25),m_active,1,m_start,"&lt;"&amp;780,m_end,"&gt;"&amp;720),INDEX(m_label,_xlfn.MAXIFS(m_row,m_teacher,AS$4,m_date,($G$2+25),m_active,1,m_start,"&lt;"&amp;780,m_end,"&gt;"&amp;720))))))</f>
        <v/>
      </c>
      <c r="AT52" s="82" t="str">
        <f aca="false">IF(OR(AT$4="",MONTH(($G$2+25))&lt;&gt;MONTH($C$2)),"",IF(COUNTIFS(m_teacher,AT$4,m_date,($G$2+25),m_active,1,m_start,"&lt;"&amp;780,m_end,"&gt;"&amp;720)=0,"",IF(COUNTIFS(m_teacher,AT$4,m_date,($G$2+25),m_active,1,m_start,"&lt;"&amp;780,m_end,"&gt;"&amp;720)&gt;1,"충돌",HYPERLINK("#'관리자_MASTER'!D"&amp;_xlfn.MAXIFS(m_row,m_teacher,AT$4,m_date,($G$2+25),m_active,1,m_start,"&lt;"&amp;780,m_end,"&gt;"&amp;720),INDEX(m_label,_xlfn.MAXIFS(m_row,m_teacher,AT$4,m_date,($G$2+25),m_active,1,m_start,"&lt;"&amp;780,m_end,"&gt;"&amp;720))))))</f>
        <v/>
      </c>
      <c r="AU52" s="82" t="str">
        <f aca="false">IF(OR(AU$4="",MONTH(($G$2+25))&lt;&gt;MONTH($C$2)),"",IF(COUNTIFS(m_teacher,AU$4,m_date,($G$2+25),m_active,1,m_start,"&lt;"&amp;780,m_end,"&gt;"&amp;720)=0,"",IF(COUNTIFS(m_teacher,AU$4,m_date,($G$2+25),m_active,1,m_start,"&lt;"&amp;780,m_end,"&gt;"&amp;720)&gt;1,"충돌",HYPERLINK("#'관리자_MASTER'!D"&amp;_xlfn.MAXIFS(m_row,m_teacher,AU$4,m_date,($G$2+25),m_active,1,m_start,"&lt;"&amp;780,m_end,"&gt;"&amp;720),INDEX(m_label,_xlfn.MAXIFS(m_row,m_teacher,AU$4,m_date,($G$2+25),m_active,1,m_start,"&lt;"&amp;780,m_end,"&gt;"&amp;720))))))</f>
        <v/>
      </c>
      <c r="AV52" s="82" t="str">
        <f aca="false">IF(OR(AV$4="",MONTH(($G$2+25))&lt;&gt;MONTH($C$2)),"",IF(COUNTIFS(m_teacher,AV$4,m_date,($G$2+25),m_active,1,m_start,"&lt;"&amp;780,m_end,"&gt;"&amp;720)=0,"",IF(COUNTIFS(m_teacher,AV$4,m_date,($G$2+25),m_active,1,m_start,"&lt;"&amp;780,m_end,"&gt;"&amp;720)&gt;1,"충돌",HYPERLINK("#'관리자_MASTER'!D"&amp;_xlfn.MAXIFS(m_row,m_teacher,AV$4,m_date,($G$2+25),m_active,1,m_start,"&lt;"&amp;780,m_end,"&gt;"&amp;720),INDEX(m_label,_xlfn.MAXIFS(m_row,m_teacher,AV$4,m_date,($G$2+25),m_active,1,m_start,"&lt;"&amp;780,m_end,"&gt;"&amp;720))))))</f>
        <v/>
      </c>
      <c r="AW52" s="82" t="str">
        <f aca="false">IF(OR(AW$4="",MONTH(($G$2+25))&lt;&gt;MONTH($C$2)),"",IF(COUNTIFS(m_teacher,AW$4,m_date,($G$2+25),m_active,1,m_start,"&lt;"&amp;780,m_end,"&gt;"&amp;720)=0,"",IF(COUNTIFS(m_teacher,AW$4,m_date,($G$2+25),m_active,1,m_start,"&lt;"&amp;780,m_end,"&gt;"&amp;720)&gt;1,"충돌",HYPERLINK("#'관리자_MASTER'!D"&amp;_xlfn.MAXIFS(m_row,m_teacher,AW$4,m_date,($G$2+25),m_active,1,m_start,"&lt;"&amp;780,m_end,"&gt;"&amp;720),INDEX(m_label,_xlfn.MAXIFS(m_row,m_teacher,AW$4,m_date,($G$2+25),m_active,1,m_start,"&lt;"&amp;780,m_end,"&gt;"&amp;720))))))</f>
        <v/>
      </c>
      <c r="AX52" s="82" t="str">
        <f aca="false">IF(OR(AX$4="",MONTH(($G$2+25))&lt;&gt;MONTH($C$2)),"",IF(COUNTIFS(m_teacher,AX$4,m_date,($G$2+25),m_active,1,m_start,"&lt;"&amp;780,m_end,"&gt;"&amp;720)=0,"",IF(COUNTIFS(m_teacher,AX$4,m_date,($G$2+25),m_active,1,m_start,"&lt;"&amp;780,m_end,"&gt;"&amp;720)&gt;1,"충돌",HYPERLINK("#'관리자_MASTER'!D"&amp;_xlfn.MAXIFS(m_row,m_teacher,AX$4,m_date,($G$2+25),m_active,1,m_start,"&lt;"&amp;780,m_end,"&gt;"&amp;720),INDEX(m_label,_xlfn.MAXIFS(m_row,m_teacher,AX$4,m_date,($G$2+25),m_active,1,m_start,"&lt;"&amp;780,m_end,"&gt;"&amp;720))))))</f>
        <v/>
      </c>
      <c r="AY52" s="82" t="str">
        <f aca="false">IF(OR(AY$4="",MONTH(($G$2+25))&lt;&gt;MONTH($C$2)),"",IF(COUNTIFS(m_teacher,AY$4,m_date,($G$2+25),m_active,1,m_start,"&lt;"&amp;780,m_end,"&gt;"&amp;720)=0,"",IF(COUNTIFS(m_teacher,AY$4,m_date,($G$2+25),m_active,1,m_start,"&lt;"&amp;780,m_end,"&gt;"&amp;720)&gt;1,"충돌",HYPERLINK("#'관리자_MASTER'!D"&amp;_xlfn.MAXIFS(m_row,m_teacher,AY$4,m_date,($G$2+25),m_active,1,m_start,"&lt;"&amp;780,m_end,"&gt;"&amp;720),INDEX(m_label,_xlfn.MAXIFS(m_row,m_teacher,AY$4,m_date,($G$2+25),m_active,1,m_start,"&lt;"&amp;780,m_end,"&gt;"&amp;720))))))</f>
        <v/>
      </c>
      <c r="AZ52" s="82" t="str">
        <f aca="false">IF(OR(AZ$4="",MONTH(($G$2+25))&lt;&gt;MONTH($C$2)),"",IF(COUNTIFS(m_teacher,AZ$4,m_date,($G$2+25),m_active,1,m_start,"&lt;"&amp;780,m_end,"&gt;"&amp;720)=0,"",IF(COUNTIFS(m_teacher,AZ$4,m_date,($G$2+25),m_active,1,m_start,"&lt;"&amp;780,m_end,"&gt;"&amp;720)&gt;1,"충돌",HYPERLINK("#'관리자_MASTER'!D"&amp;_xlfn.MAXIFS(m_row,m_teacher,AZ$4,m_date,($G$2+25),m_active,1,m_start,"&lt;"&amp;780,m_end,"&gt;"&amp;720),INDEX(m_label,_xlfn.MAXIFS(m_row,m_teacher,AZ$4,m_date,($G$2+25),m_active,1,m_start,"&lt;"&amp;780,m_end,"&gt;"&amp;720))))))</f>
        <v/>
      </c>
      <c r="BA52" s="82" t="str">
        <f aca="false">IF(OR(BA$4="",MONTH(($G$2+25))&lt;&gt;MONTH($C$2)),"",IF(COUNTIFS(m_teacher,BA$4,m_date,($G$2+25),m_active,1,m_start,"&lt;"&amp;780,m_end,"&gt;"&amp;720)=0,"",IF(COUNTIFS(m_teacher,BA$4,m_date,($G$2+25),m_active,1,m_start,"&lt;"&amp;780,m_end,"&gt;"&amp;720)&gt;1,"충돌",HYPERLINK("#'관리자_MASTER'!D"&amp;_xlfn.MAXIFS(m_row,m_teacher,BA$4,m_date,($G$2+25),m_active,1,m_start,"&lt;"&amp;780,m_end,"&gt;"&amp;720),INDEX(m_label,_xlfn.MAXIFS(m_row,m_teacher,BA$4,m_date,($G$2+25),m_active,1,m_start,"&lt;"&amp;780,m_end,"&gt;"&amp;720))))))</f>
        <v/>
      </c>
      <c r="BB52" s="82" t="str">
        <f aca="false">IF(OR(BB$4="",MONTH(($G$2+25))&lt;&gt;MONTH($C$2)),"",IF(COUNTIFS(m_teacher,BB$4,m_date,($G$2+25),m_active,1,m_start,"&lt;"&amp;780,m_end,"&gt;"&amp;720)=0,"",IF(COUNTIFS(m_teacher,BB$4,m_date,($G$2+25),m_active,1,m_start,"&lt;"&amp;780,m_end,"&gt;"&amp;720)&gt;1,"충돌",HYPERLINK("#'관리자_MASTER'!D"&amp;_xlfn.MAXIFS(m_row,m_teacher,BB$4,m_date,($G$2+25),m_active,1,m_start,"&lt;"&amp;780,m_end,"&gt;"&amp;720),INDEX(m_label,_xlfn.MAXIFS(m_row,m_teacher,BB$4,m_date,($G$2+25),m_active,1,m_start,"&lt;"&amp;780,m_end,"&gt;"&amp;720))))))</f>
        <v/>
      </c>
      <c r="BC52" s="82" t="str">
        <f aca="false">IF(OR(BC$4="",MONTH(($G$2+25))&lt;&gt;MONTH($C$2)),"",IF(COUNTIFS(m_teacher,BC$4,m_date,($G$2+25),m_active,1,m_start,"&lt;"&amp;780,m_end,"&gt;"&amp;720)=0,"",IF(COUNTIFS(m_teacher,BC$4,m_date,($G$2+25),m_active,1,m_start,"&lt;"&amp;780,m_end,"&gt;"&amp;720)&gt;1,"충돌",HYPERLINK("#'관리자_MASTER'!D"&amp;_xlfn.MAXIFS(m_row,m_teacher,BC$4,m_date,($G$2+25),m_active,1,m_start,"&lt;"&amp;780,m_end,"&gt;"&amp;720),INDEX(m_label,_xlfn.MAXIFS(m_row,m_teacher,BC$4,m_date,($G$2+25),m_active,1,m_start,"&lt;"&amp;780,m_end,"&gt;"&amp;720))))))</f>
        <v/>
      </c>
      <c r="BD52" s="82" t="str">
        <f aca="false">IF(OR(BD$4="",MONTH(($G$2+25))&lt;&gt;MONTH($C$2)),"",IF(COUNTIFS(m_teacher,BD$4,m_date,($G$2+25),m_active,1,m_start,"&lt;"&amp;780,m_end,"&gt;"&amp;720)=0,"",IF(COUNTIFS(m_teacher,BD$4,m_date,($G$2+25),m_active,1,m_start,"&lt;"&amp;780,m_end,"&gt;"&amp;720)&gt;1,"충돌",HYPERLINK("#'관리자_MASTER'!D"&amp;_xlfn.MAXIFS(m_row,m_teacher,BD$4,m_date,($G$2+25),m_active,1,m_start,"&lt;"&amp;780,m_end,"&gt;"&amp;720),INDEX(m_label,_xlfn.MAXIFS(m_row,m_teacher,BD$4,m_date,($G$2+25),m_active,1,m_start,"&lt;"&amp;780,m_end,"&gt;"&amp;720))))))</f>
        <v/>
      </c>
    </row>
    <row r="53" customFormat="false" ht="19.5" hidden="false" customHeight="true" outlineLevel="0" collapsed="false">
      <c r="A53" s="78"/>
      <c r="B53" s="79" t="s">
        <v>95</v>
      </c>
      <c r="C53" s="82" t="str">
        <f aca="false">IF(OR(C$4="",MONTH(($G$2+4))&lt;&gt;MONTH($C$2)),"",IF(COUNTIFS(m_teacher,C$4,m_date,($G$2+4),m_active,1,m_start,"&lt;"&amp;840,m_end,"&gt;"&amp;780)=0,"",IF(COUNTIFS(m_teacher,C$4,m_date,($G$2+4),m_active,1,m_start,"&lt;"&amp;840,m_end,"&gt;"&amp;780)&gt;1,"충돌",HYPERLINK("#'관리자_MASTER'!D"&amp;_xlfn.MAXIFS(m_row,m_teacher,C$4,m_date,($G$2+4),m_active,1,m_start,"&lt;"&amp;840,m_end,"&gt;"&amp;780),INDEX(m_label,_xlfn.MAXIFS(m_row,m_teacher,C$4,m_date,($G$2+4),m_active,1,m_start,"&lt;"&amp;840,m_end,"&gt;"&amp;780))))))</f>
        <v/>
      </c>
      <c r="D53" s="82" t="str">
        <f aca="false">IF(OR(D$4="",MONTH(($G$2+4))&lt;&gt;MONTH($C$2)),"",IF(COUNTIFS(m_teacher,D$4,m_date,($G$2+4),m_active,1,m_start,"&lt;"&amp;840,m_end,"&gt;"&amp;780)=0,"",IF(COUNTIFS(m_teacher,D$4,m_date,($G$2+4),m_active,1,m_start,"&lt;"&amp;840,m_end,"&gt;"&amp;780)&gt;1,"충돌",HYPERLINK("#'관리자_MASTER'!D"&amp;_xlfn.MAXIFS(m_row,m_teacher,D$4,m_date,($G$2+4),m_active,1,m_start,"&lt;"&amp;840,m_end,"&gt;"&amp;780),INDEX(m_label,_xlfn.MAXIFS(m_row,m_teacher,D$4,m_date,($G$2+4),m_active,1,m_start,"&lt;"&amp;840,m_end,"&gt;"&amp;780))))))</f>
        <v/>
      </c>
      <c r="E53" s="82" t="str">
        <f aca="false">IF(OR(E$4="",MONTH(($G$2+4))&lt;&gt;MONTH($C$2)),"",IF(COUNTIFS(m_teacher,E$4,m_date,($G$2+4),m_active,1,m_start,"&lt;"&amp;840,m_end,"&gt;"&amp;780)=0,"",IF(COUNTIFS(m_teacher,E$4,m_date,($G$2+4),m_active,1,m_start,"&lt;"&amp;840,m_end,"&gt;"&amp;780)&gt;1,"충돌",HYPERLINK("#'관리자_MASTER'!D"&amp;_xlfn.MAXIFS(m_row,m_teacher,E$4,m_date,($G$2+4),m_active,1,m_start,"&lt;"&amp;840,m_end,"&gt;"&amp;780),INDEX(m_label,_xlfn.MAXIFS(m_row,m_teacher,E$4,m_date,($G$2+4),m_active,1,m_start,"&lt;"&amp;840,m_end,"&gt;"&amp;780))))))</f>
        <v/>
      </c>
      <c r="F53" s="82" t="str">
        <f aca="false">IF(OR(F$4="",MONTH(($G$2+4))&lt;&gt;MONTH($C$2)),"",IF(COUNTIFS(m_teacher,F$4,m_date,($G$2+4),m_active,1,m_start,"&lt;"&amp;840,m_end,"&gt;"&amp;780)=0,"",IF(COUNTIFS(m_teacher,F$4,m_date,($G$2+4),m_active,1,m_start,"&lt;"&amp;840,m_end,"&gt;"&amp;780)&gt;1,"충돌",HYPERLINK("#'관리자_MASTER'!D"&amp;_xlfn.MAXIFS(m_row,m_teacher,F$4,m_date,($G$2+4),m_active,1,m_start,"&lt;"&amp;840,m_end,"&gt;"&amp;780),INDEX(m_label,_xlfn.MAXIFS(m_row,m_teacher,F$4,m_date,($G$2+4),m_active,1,m_start,"&lt;"&amp;840,m_end,"&gt;"&amp;780))))))</f>
        <v/>
      </c>
      <c r="G53" s="82" t="str">
        <f aca="false">IF(OR(G$4="",MONTH(($G$2+4))&lt;&gt;MONTH($C$2)),"",IF(COUNTIFS(m_teacher,G$4,m_date,($G$2+4),m_active,1,m_start,"&lt;"&amp;840,m_end,"&gt;"&amp;780)=0,"",IF(COUNTIFS(m_teacher,G$4,m_date,($G$2+4),m_active,1,m_start,"&lt;"&amp;840,m_end,"&gt;"&amp;780)&gt;1,"충돌",HYPERLINK("#'관리자_MASTER'!D"&amp;_xlfn.MAXIFS(m_row,m_teacher,G$4,m_date,($G$2+4),m_active,1,m_start,"&lt;"&amp;840,m_end,"&gt;"&amp;780),INDEX(m_label,_xlfn.MAXIFS(m_row,m_teacher,G$4,m_date,($G$2+4),m_active,1,m_start,"&lt;"&amp;840,m_end,"&gt;"&amp;780))))))</f>
        <v/>
      </c>
      <c r="H53" s="82" t="str">
        <f aca="false">IF(OR(H$4="",MONTH(($G$2+4))&lt;&gt;MONTH($C$2)),"",IF(COUNTIFS(m_teacher,H$4,m_date,($G$2+4),m_active,1,m_start,"&lt;"&amp;840,m_end,"&gt;"&amp;780)=0,"",IF(COUNTIFS(m_teacher,H$4,m_date,($G$2+4),m_active,1,m_start,"&lt;"&amp;840,m_end,"&gt;"&amp;780)&gt;1,"충돌",HYPERLINK("#'관리자_MASTER'!D"&amp;_xlfn.MAXIFS(m_row,m_teacher,H$4,m_date,($G$2+4),m_active,1,m_start,"&lt;"&amp;840,m_end,"&gt;"&amp;780),INDEX(m_label,_xlfn.MAXIFS(m_row,m_teacher,H$4,m_date,($G$2+4),m_active,1,m_start,"&lt;"&amp;840,m_end,"&gt;"&amp;780))))))</f>
        <v/>
      </c>
      <c r="I53" s="82" t="str">
        <f aca="false">IF(OR(I$4="",MONTH(($G$2+4))&lt;&gt;MONTH($C$2)),"",IF(COUNTIFS(m_teacher,I$4,m_date,($G$2+4),m_active,1,m_start,"&lt;"&amp;840,m_end,"&gt;"&amp;780)=0,"",IF(COUNTIFS(m_teacher,I$4,m_date,($G$2+4),m_active,1,m_start,"&lt;"&amp;840,m_end,"&gt;"&amp;780)&gt;1,"충돌",HYPERLINK("#'관리자_MASTER'!D"&amp;_xlfn.MAXIFS(m_row,m_teacher,I$4,m_date,($G$2+4),m_active,1,m_start,"&lt;"&amp;840,m_end,"&gt;"&amp;780),INDEX(m_label,_xlfn.MAXIFS(m_row,m_teacher,I$4,m_date,($G$2+4),m_active,1,m_start,"&lt;"&amp;840,m_end,"&gt;"&amp;780))))))</f>
        <v/>
      </c>
      <c r="J53" s="82" t="str">
        <f aca="false">IF(OR(J$4="",MONTH(($G$2+4))&lt;&gt;MONTH($C$2)),"",IF(COUNTIFS(m_teacher,J$4,m_date,($G$2+4),m_active,1,m_start,"&lt;"&amp;840,m_end,"&gt;"&amp;780)=0,"",IF(COUNTIFS(m_teacher,J$4,m_date,($G$2+4),m_active,1,m_start,"&lt;"&amp;840,m_end,"&gt;"&amp;780)&gt;1,"충돌",HYPERLINK("#'관리자_MASTER'!D"&amp;_xlfn.MAXIFS(m_row,m_teacher,J$4,m_date,($G$2+4),m_active,1,m_start,"&lt;"&amp;840,m_end,"&gt;"&amp;780),INDEX(m_label,_xlfn.MAXIFS(m_row,m_teacher,J$4,m_date,($G$2+4),m_active,1,m_start,"&lt;"&amp;840,m_end,"&gt;"&amp;780))))))</f>
        <v/>
      </c>
      <c r="K53" s="82" t="str">
        <f aca="false">IF(OR(K$4="",MONTH(($G$2+4))&lt;&gt;MONTH($C$2)),"",IF(COUNTIFS(m_teacher,K$4,m_date,($G$2+4),m_active,1,m_start,"&lt;"&amp;840,m_end,"&gt;"&amp;780)=0,"",IF(COUNTIFS(m_teacher,K$4,m_date,($G$2+4),m_active,1,m_start,"&lt;"&amp;840,m_end,"&gt;"&amp;780)&gt;1,"충돌",HYPERLINK("#'관리자_MASTER'!D"&amp;_xlfn.MAXIFS(m_row,m_teacher,K$4,m_date,($G$2+4),m_active,1,m_start,"&lt;"&amp;840,m_end,"&gt;"&amp;780),INDEX(m_label,_xlfn.MAXIFS(m_row,m_teacher,K$4,m_date,($G$2+4),m_active,1,m_start,"&lt;"&amp;840,m_end,"&gt;"&amp;780))))))</f>
        <v/>
      </c>
      <c r="L53" s="82" t="str">
        <f aca="false">IF(OR(L$4="",MONTH(($G$2+4))&lt;&gt;MONTH($C$2)),"",IF(COUNTIFS(m_teacher,L$4,m_date,($G$2+4),m_active,1,m_start,"&lt;"&amp;840,m_end,"&gt;"&amp;780)=0,"",IF(COUNTIFS(m_teacher,L$4,m_date,($G$2+4),m_active,1,m_start,"&lt;"&amp;840,m_end,"&gt;"&amp;780)&gt;1,"충돌",HYPERLINK("#'관리자_MASTER'!D"&amp;_xlfn.MAXIFS(m_row,m_teacher,L$4,m_date,($G$2+4),m_active,1,m_start,"&lt;"&amp;840,m_end,"&gt;"&amp;780),INDEX(m_label,_xlfn.MAXIFS(m_row,m_teacher,L$4,m_date,($G$2+4),m_active,1,m_start,"&lt;"&amp;840,m_end,"&gt;"&amp;780))))))</f>
        <v/>
      </c>
      <c r="M53" s="82" t="str">
        <f aca="false">IF(OR(M$4="",MONTH(($G$2+4))&lt;&gt;MONTH($C$2)),"",IF(COUNTIFS(m_teacher,M$4,m_date,($G$2+4),m_active,1,m_start,"&lt;"&amp;840,m_end,"&gt;"&amp;780)=0,"",IF(COUNTIFS(m_teacher,M$4,m_date,($G$2+4),m_active,1,m_start,"&lt;"&amp;840,m_end,"&gt;"&amp;780)&gt;1,"충돌",HYPERLINK("#'관리자_MASTER'!D"&amp;_xlfn.MAXIFS(m_row,m_teacher,M$4,m_date,($G$2+4),m_active,1,m_start,"&lt;"&amp;840,m_end,"&gt;"&amp;780),INDEX(m_label,_xlfn.MAXIFS(m_row,m_teacher,M$4,m_date,($G$2+4),m_active,1,m_start,"&lt;"&amp;840,m_end,"&gt;"&amp;780))))))</f>
        <v/>
      </c>
      <c r="N53" s="82" t="str">
        <f aca="false">IF(OR(N$4="",MONTH(($G$2+4))&lt;&gt;MONTH($C$2)),"",IF(COUNTIFS(m_teacher,N$4,m_date,($G$2+4),m_active,1,m_start,"&lt;"&amp;840,m_end,"&gt;"&amp;780)=0,"",IF(COUNTIFS(m_teacher,N$4,m_date,($G$2+4),m_active,1,m_start,"&lt;"&amp;840,m_end,"&gt;"&amp;780)&gt;1,"충돌",HYPERLINK("#'관리자_MASTER'!D"&amp;_xlfn.MAXIFS(m_row,m_teacher,N$4,m_date,($G$2+4),m_active,1,m_start,"&lt;"&amp;840,m_end,"&gt;"&amp;780),INDEX(m_label,_xlfn.MAXIFS(m_row,m_teacher,N$4,m_date,($G$2+4),m_active,1,m_start,"&lt;"&amp;840,m_end,"&gt;"&amp;780))))))</f>
        <v/>
      </c>
      <c r="O53" s="78"/>
      <c r="P53" s="79" t="s">
        <v>95</v>
      </c>
      <c r="Q53" s="82" t="str">
        <f aca="false">IF(OR(Q$4="",MONTH(($G$2+11))&lt;&gt;MONTH($C$2)),"",IF(COUNTIFS(m_teacher,Q$4,m_date,($G$2+11),m_active,1,m_start,"&lt;"&amp;840,m_end,"&gt;"&amp;780)=0,"",IF(COUNTIFS(m_teacher,Q$4,m_date,($G$2+11),m_active,1,m_start,"&lt;"&amp;840,m_end,"&gt;"&amp;780)&gt;1,"충돌",HYPERLINK("#'관리자_MASTER'!D"&amp;_xlfn.MAXIFS(m_row,m_teacher,Q$4,m_date,($G$2+11),m_active,1,m_start,"&lt;"&amp;840,m_end,"&gt;"&amp;780),INDEX(m_label,_xlfn.MAXIFS(m_row,m_teacher,Q$4,m_date,($G$2+11),m_active,1,m_start,"&lt;"&amp;840,m_end,"&gt;"&amp;780))))))</f>
        <v/>
      </c>
      <c r="R53" s="82" t="str">
        <f aca="false">IF(OR(R$4="",MONTH(($G$2+11))&lt;&gt;MONTH($C$2)),"",IF(COUNTIFS(m_teacher,R$4,m_date,($G$2+11),m_active,1,m_start,"&lt;"&amp;840,m_end,"&gt;"&amp;780)=0,"",IF(COUNTIFS(m_teacher,R$4,m_date,($G$2+11),m_active,1,m_start,"&lt;"&amp;840,m_end,"&gt;"&amp;780)&gt;1,"충돌",HYPERLINK("#'관리자_MASTER'!D"&amp;_xlfn.MAXIFS(m_row,m_teacher,R$4,m_date,($G$2+11),m_active,1,m_start,"&lt;"&amp;840,m_end,"&gt;"&amp;780),INDEX(m_label,_xlfn.MAXIFS(m_row,m_teacher,R$4,m_date,($G$2+11),m_active,1,m_start,"&lt;"&amp;840,m_end,"&gt;"&amp;780))))))</f>
        <v/>
      </c>
      <c r="S53" s="82" t="str">
        <f aca="false">IF(OR(S$4="",MONTH(($G$2+11))&lt;&gt;MONTH($C$2)),"",IF(COUNTIFS(m_teacher,S$4,m_date,($G$2+11),m_active,1,m_start,"&lt;"&amp;840,m_end,"&gt;"&amp;780)=0,"",IF(COUNTIFS(m_teacher,S$4,m_date,($G$2+11),m_active,1,m_start,"&lt;"&amp;840,m_end,"&gt;"&amp;780)&gt;1,"충돌",HYPERLINK("#'관리자_MASTER'!D"&amp;_xlfn.MAXIFS(m_row,m_teacher,S$4,m_date,($G$2+11),m_active,1,m_start,"&lt;"&amp;840,m_end,"&gt;"&amp;780),INDEX(m_label,_xlfn.MAXIFS(m_row,m_teacher,S$4,m_date,($G$2+11),m_active,1,m_start,"&lt;"&amp;840,m_end,"&gt;"&amp;780))))))</f>
        <v/>
      </c>
      <c r="T53" s="82" t="str">
        <f aca="false">IF(OR(T$4="",MONTH(($G$2+11))&lt;&gt;MONTH($C$2)),"",IF(COUNTIFS(m_teacher,T$4,m_date,($G$2+11),m_active,1,m_start,"&lt;"&amp;840,m_end,"&gt;"&amp;780)=0,"",IF(COUNTIFS(m_teacher,T$4,m_date,($G$2+11),m_active,1,m_start,"&lt;"&amp;840,m_end,"&gt;"&amp;780)&gt;1,"충돌",HYPERLINK("#'관리자_MASTER'!D"&amp;_xlfn.MAXIFS(m_row,m_teacher,T$4,m_date,($G$2+11),m_active,1,m_start,"&lt;"&amp;840,m_end,"&gt;"&amp;780),INDEX(m_label,_xlfn.MAXIFS(m_row,m_teacher,T$4,m_date,($G$2+11),m_active,1,m_start,"&lt;"&amp;840,m_end,"&gt;"&amp;780))))))</f>
        <v/>
      </c>
      <c r="U53" s="82" t="str">
        <f aca="false">IF(OR(U$4="",MONTH(($G$2+11))&lt;&gt;MONTH($C$2)),"",IF(COUNTIFS(m_teacher,U$4,m_date,($G$2+11),m_active,1,m_start,"&lt;"&amp;840,m_end,"&gt;"&amp;780)=0,"",IF(COUNTIFS(m_teacher,U$4,m_date,($G$2+11),m_active,1,m_start,"&lt;"&amp;840,m_end,"&gt;"&amp;780)&gt;1,"충돌",HYPERLINK("#'관리자_MASTER'!D"&amp;_xlfn.MAXIFS(m_row,m_teacher,U$4,m_date,($G$2+11),m_active,1,m_start,"&lt;"&amp;840,m_end,"&gt;"&amp;780),INDEX(m_label,_xlfn.MAXIFS(m_row,m_teacher,U$4,m_date,($G$2+11),m_active,1,m_start,"&lt;"&amp;840,m_end,"&gt;"&amp;780))))))</f>
        <v/>
      </c>
      <c r="V53" s="82" t="str">
        <f aca="false">IF(OR(V$4="",MONTH(($G$2+11))&lt;&gt;MONTH($C$2)),"",IF(COUNTIFS(m_teacher,V$4,m_date,($G$2+11),m_active,1,m_start,"&lt;"&amp;840,m_end,"&gt;"&amp;780)=0,"",IF(COUNTIFS(m_teacher,V$4,m_date,($G$2+11),m_active,1,m_start,"&lt;"&amp;840,m_end,"&gt;"&amp;780)&gt;1,"충돌",HYPERLINK("#'관리자_MASTER'!D"&amp;_xlfn.MAXIFS(m_row,m_teacher,V$4,m_date,($G$2+11),m_active,1,m_start,"&lt;"&amp;840,m_end,"&gt;"&amp;780),INDEX(m_label,_xlfn.MAXIFS(m_row,m_teacher,V$4,m_date,($G$2+11),m_active,1,m_start,"&lt;"&amp;840,m_end,"&gt;"&amp;780))))))</f>
        <v/>
      </c>
      <c r="W53" s="82" t="str">
        <f aca="false">IF(OR(W$4="",MONTH(($G$2+11))&lt;&gt;MONTH($C$2)),"",IF(COUNTIFS(m_teacher,W$4,m_date,($G$2+11),m_active,1,m_start,"&lt;"&amp;840,m_end,"&gt;"&amp;780)=0,"",IF(COUNTIFS(m_teacher,W$4,m_date,($G$2+11),m_active,1,m_start,"&lt;"&amp;840,m_end,"&gt;"&amp;780)&gt;1,"충돌",HYPERLINK("#'관리자_MASTER'!D"&amp;_xlfn.MAXIFS(m_row,m_teacher,W$4,m_date,($G$2+11),m_active,1,m_start,"&lt;"&amp;840,m_end,"&gt;"&amp;780),INDEX(m_label,_xlfn.MAXIFS(m_row,m_teacher,W$4,m_date,($G$2+11),m_active,1,m_start,"&lt;"&amp;840,m_end,"&gt;"&amp;780))))))</f>
        <v/>
      </c>
      <c r="X53" s="82" t="str">
        <f aca="false">IF(OR(X$4="",MONTH(($G$2+11))&lt;&gt;MONTH($C$2)),"",IF(COUNTIFS(m_teacher,X$4,m_date,($G$2+11),m_active,1,m_start,"&lt;"&amp;840,m_end,"&gt;"&amp;780)=0,"",IF(COUNTIFS(m_teacher,X$4,m_date,($G$2+11),m_active,1,m_start,"&lt;"&amp;840,m_end,"&gt;"&amp;780)&gt;1,"충돌",HYPERLINK("#'관리자_MASTER'!D"&amp;_xlfn.MAXIFS(m_row,m_teacher,X$4,m_date,($G$2+11),m_active,1,m_start,"&lt;"&amp;840,m_end,"&gt;"&amp;780),INDEX(m_label,_xlfn.MAXIFS(m_row,m_teacher,X$4,m_date,($G$2+11),m_active,1,m_start,"&lt;"&amp;840,m_end,"&gt;"&amp;780))))))</f>
        <v/>
      </c>
      <c r="Y53" s="82" t="str">
        <f aca="false">IF(OR(Y$4="",MONTH(($G$2+11))&lt;&gt;MONTH($C$2)),"",IF(COUNTIFS(m_teacher,Y$4,m_date,($G$2+11),m_active,1,m_start,"&lt;"&amp;840,m_end,"&gt;"&amp;780)=0,"",IF(COUNTIFS(m_teacher,Y$4,m_date,($G$2+11),m_active,1,m_start,"&lt;"&amp;840,m_end,"&gt;"&amp;780)&gt;1,"충돌",HYPERLINK("#'관리자_MASTER'!D"&amp;_xlfn.MAXIFS(m_row,m_teacher,Y$4,m_date,($G$2+11),m_active,1,m_start,"&lt;"&amp;840,m_end,"&gt;"&amp;780),INDEX(m_label,_xlfn.MAXIFS(m_row,m_teacher,Y$4,m_date,($G$2+11),m_active,1,m_start,"&lt;"&amp;840,m_end,"&gt;"&amp;780))))))</f>
        <v/>
      </c>
      <c r="Z53" s="82" t="str">
        <f aca="false">IF(OR(Z$4="",MONTH(($G$2+11))&lt;&gt;MONTH($C$2)),"",IF(COUNTIFS(m_teacher,Z$4,m_date,($G$2+11),m_active,1,m_start,"&lt;"&amp;840,m_end,"&gt;"&amp;780)=0,"",IF(COUNTIFS(m_teacher,Z$4,m_date,($G$2+11),m_active,1,m_start,"&lt;"&amp;840,m_end,"&gt;"&amp;780)&gt;1,"충돌",HYPERLINK("#'관리자_MASTER'!D"&amp;_xlfn.MAXIFS(m_row,m_teacher,Z$4,m_date,($G$2+11),m_active,1,m_start,"&lt;"&amp;840,m_end,"&gt;"&amp;780),INDEX(m_label,_xlfn.MAXIFS(m_row,m_teacher,Z$4,m_date,($G$2+11),m_active,1,m_start,"&lt;"&amp;840,m_end,"&gt;"&amp;780))))))</f>
        <v/>
      </c>
      <c r="AA53" s="82" t="str">
        <f aca="false">IF(OR(AA$4="",MONTH(($G$2+11))&lt;&gt;MONTH($C$2)),"",IF(COUNTIFS(m_teacher,AA$4,m_date,($G$2+11),m_active,1,m_start,"&lt;"&amp;840,m_end,"&gt;"&amp;780)=0,"",IF(COUNTIFS(m_teacher,AA$4,m_date,($G$2+11),m_active,1,m_start,"&lt;"&amp;840,m_end,"&gt;"&amp;780)&gt;1,"충돌",HYPERLINK("#'관리자_MASTER'!D"&amp;_xlfn.MAXIFS(m_row,m_teacher,AA$4,m_date,($G$2+11),m_active,1,m_start,"&lt;"&amp;840,m_end,"&gt;"&amp;780),INDEX(m_label,_xlfn.MAXIFS(m_row,m_teacher,AA$4,m_date,($G$2+11),m_active,1,m_start,"&lt;"&amp;840,m_end,"&gt;"&amp;780))))))</f>
        <v/>
      </c>
      <c r="AB53" s="82" t="str">
        <f aca="false">IF(OR(AB$4="",MONTH(($G$2+11))&lt;&gt;MONTH($C$2)),"",IF(COUNTIFS(m_teacher,AB$4,m_date,($G$2+11),m_active,1,m_start,"&lt;"&amp;840,m_end,"&gt;"&amp;780)=0,"",IF(COUNTIFS(m_teacher,AB$4,m_date,($G$2+11),m_active,1,m_start,"&lt;"&amp;840,m_end,"&gt;"&amp;780)&gt;1,"충돌",HYPERLINK("#'관리자_MASTER'!D"&amp;_xlfn.MAXIFS(m_row,m_teacher,AB$4,m_date,($G$2+11),m_active,1,m_start,"&lt;"&amp;840,m_end,"&gt;"&amp;780),INDEX(m_label,_xlfn.MAXIFS(m_row,m_teacher,AB$4,m_date,($G$2+11),m_active,1,m_start,"&lt;"&amp;840,m_end,"&gt;"&amp;780))))))</f>
        <v/>
      </c>
      <c r="AC53" s="78"/>
      <c r="AD53" s="79" t="s">
        <v>95</v>
      </c>
      <c r="AE53" s="82" t="str">
        <f aca="false">IF(OR(AE$4="",MONTH(($G$2+18))&lt;&gt;MONTH($C$2)),"",IF(COUNTIFS(m_teacher,AE$4,m_date,($G$2+18),m_active,1,m_start,"&lt;"&amp;840,m_end,"&gt;"&amp;780)=0,"",IF(COUNTIFS(m_teacher,AE$4,m_date,($G$2+18),m_active,1,m_start,"&lt;"&amp;840,m_end,"&gt;"&amp;780)&gt;1,"충돌",HYPERLINK("#'관리자_MASTER'!D"&amp;_xlfn.MAXIFS(m_row,m_teacher,AE$4,m_date,($G$2+18),m_active,1,m_start,"&lt;"&amp;840,m_end,"&gt;"&amp;780),INDEX(m_label,_xlfn.MAXIFS(m_row,m_teacher,AE$4,m_date,($G$2+18),m_active,1,m_start,"&lt;"&amp;840,m_end,"&gt;"&amp;780))))))</f>
        <v/>
      </c>
      <c r="AF53" s="82" t="str">
        <f aca="false">IF(OR(AF$4="",MONTH(($G$2+18))&lt;&gt;MONTH($C$2)),"",IF(COUNTIFS(m_teacher,AF$4,m_date,($G$2+18),m_active,1,m_start,"&lt;"&amp;840,m_end,"&gt;"&amp;780)=0,"",IF(COUNTIFS(m_teacher,AF$4,m_date,($G$2+18),m_active,1,m_start,"&lt;"&amp;840,m_end,"&gt;"&amp;780)&gt;1,"충돌",HYPERLINK("#'관리자_MASTER'!D"&amp;_xlfn.MAXIFS(m_row,m_teacher,AF$4,m_date,($G$2+18),m_active,1,m_start,"&lt;"&amp;840,m_end,"&gt;"&amp;780),INDEX(m_label,_xlfn.MAXIFS(m_row,m_teacher,AF$4,m_date,($G$2+18),m_active,1,m_start,"&lt;"&amp;840,m_end,"&gt;"&amp;780))))))</f>
        <v/>
      </c>
      <c r="AG53" s="82" t="str">
        <f aca="false">IF(OR(AG$4="",MONTH(($G$2+18))&lt;&gt;MONTH($C$2)),"",IF(COUNTIFS(m_teacher,AG$4,m_date,($G$2+18),m_active,1,m_start,"&lt;"&amp;840,m_end,"&gt;"&amp;780)=0,"",IF(COUNTIFS(m_teacher,AG$4,m_date,($G$2+18),m_active,1,m_start,"&lt;"&amp;840,m_end,"&gt;"&amp;780)&gt;1,"충돌",HYPERLINK("#'관리자_MASTER'!D"&amp;_xlfn.MAXIFS(m_row,m_teacher,AG$4,m_date,($G$2+18),m_active,1,m_start,"&lt;"&amp;840,m_end,"&gt;"&amp;780),INDEX(m_label,_xlfn.MAXIFS(m_row,m_teacher,AG$4,m_date,($G$2+18),m_active,1,m_start,"&lt;"&amp;840,m_end,"&gt;"&amp;780))))))</f>
        <v/>
      </c>
      <c r="AH53" s="82" t="str">
        <f aca="false">IF(OR(AH$4="",MONTH(($G$2+18))&lt;&gt;MONTH($C$2)),"",IF(COUNTIFS(m_teacher,AH$4,m_date,($G$2+18),m_active,1,m_start,"&lt;"&amp;840,m_end,"&gt;"&amp;780)=0,"",IF(COUNTIFS(m_teacher,AH$4,m_date,($G$2+18),m_active,1,m_start,"&lt;"&amp;840,m_end,"&gt;"&amp;780)&gt;1,"충돌",HYPERLINK("#'관리자_MASTER'!D"&amp;_xlfn.MAXIFS(m_row,m_teacher,AH$4,m_date,($G$2+18),m_active,1,m_start,"&lt;"&amp;840,m_end,"&gt;"&amp;780),INDEX(m_label,_xlfn.MAXIFS(m_row,m_teacher,AH$4,m_date,($G$2+18),m_active,1,m_start,"&lt;"&amp;840,m_end,"&gt;"&amp;780))))))</f>
        <v/>
      </c>
      <c r="AI53" s="82" t="str">
        <f aca="false">IF(OR(AI$4="",MONTH(($G$2+18))&lt;&gt;MONTH($C$2)),"",IF(COUNTIFS(m_teacher,AI$4,m_date,($G$2+18),m_active,1,m_start,"&lt;"&amp;840,m_end,"&gt;"&amp;780)=0,"",IF(COUNTIFS(m_teacher,AI$4,m_date,($G$2+18),m_active,1,m_start,"&lt;"&amp;840,m_end,"&gt;"&amp;780)&gt;1,"충돌",HYPERLINK("#'관리자_MASTER'!D"&amp;_xlfn.MAXIFS(m_row,m_teacher,AI$4,m_date,($G$2+18),m_active,1,m_start,"&lt;"&amp;840,m_end,"&gt;"&amp;780),INDEX(m_label,_xlfn.MAXIFS(m_row,m_teacher,AI$4,m_date,($G$2+18),m_active,1,m_start,"&lt;"&amp;840,m_end,"&gt;"&amp;780))))))</f>
        <v/>
      </c>
      <c r="AJ53" s="82" t="str">
        <f aca="false">IF(OR(AJ$4="",MONTH(($G$2+18))&lt;&gt;MONTH($C$2)),"",IF(COUNTIFS(m_teacher,AJ$4,m_date,($G$2+18),m_active,1,m_start,"&lt;"&amp;840,m_end,"&gt;"&amp;780)=0,"",IF(COUNTIFS(m_teacher,AJ$4,m_date,($G$2+18),m_active,1,m_start,"&lt;"&amp;840,m_end,"&gt;"&amp;780)&gt;1,"충돌",HYPERLINK("#'관리자_MASTER'!D"&amp;_xlfn.MAXIFS(m_row,m_teacher,AJ$4,m_date,($G$2+18),m_active,1,m_start,"&lt;"&amp;840,m_end,"&gt;"&amp;780),INDEX(m_label,_xlfn.MAXIFS(m_row,m_teacher,AJ$4,m_date,($G$2+18),m_active,1,m_start,"&lt;"&amp;840,m_end,"&gt;"&amp;780))))))</f>
        <v/>
      </c>
      <c r="AK53" s="82" t="str">
        <f aca="false">IF(OR(AK$4="",MONTH(($G$2+18))&lt;&gt;MONTH($C$2)),"",IF(COUNTIFS(m_teacher,AK$4,m_date,($G$2+18),m_active,1,m_start,"&lt;"&amp;840,m_end,"&gt;"&amp;780)=0,"",IF(COUNTIFS(m_teacher,AK$4,m_date,($G$2+18),m_active,1,m_start,"&lt;"&amp;840,m_end,"&gt;"&amp;780)&gt;1,"충돌",HYPERLINK("#'관리자_MASTER'!D"&amp;_xlfn.MAXIFS(m_row,m_teacher,AK$4,m_date,($G$2+18),m_active,1,m_start,"&lt;"&amp;840,m_end,"&gt;"&amp;780),INDEX(m_label,_xlfn.MAXIFS(m_row,m_teacher,AK$4,m_date,($G$2+18),m_active,1,m_start,"&lt;"&amp;840,m_end,"&gt;"&amp;780))))))</f>
        <v/>
      </c>
      <c r="AL53" s="82" t="str">
        <f aca="false">IF(OR(AL$4="",MONTH(($G$2+18))&lt;&gt;MONTH($C$2)),"",IF(COUNTIFS(m_teacher,AL$4,m_date,($G$2+18),m_active,1,m_start,"&lt;"&amp;840,m_end,"&gt;"&amp;780)=0,"",IF(COUNTIFS(m_teacher,AL$4,m_date,($G$2+18),m_active,1,m_start,"&lt;"&amp;840,m_end,"&gt;"&amp;780)&gt;1,"충돌",HYPERLINK("#'관리자_MASTER'!D"&amp;_xlfn.MAXIFS(m_row,m_teacher,AL$4,m_date,($G$2+18),m_active,1,m_start,"&lt;"&amp;840,m_end,"&gt;"&amp;780),INDEX(m_label,_xlfn.MAXIFS(m_row,m_teacher,AL$4,m_date,($G$2+18),m_active,1,m_start,"&lt;"&amp;840,m_end,"&gt;"&amp;780))))))</f>
        <v/>
      </c>
      <c r="AM53" s="82" t="str">
        <f aca="false">IF(OR(AM$4="",MONTH(($G$2+18))&lt;&gt;MONTH($C$2)),"",IF(COUNTIFS(m_teacher,AM$4,m_date,($G$2+18),m_active,1,m_start,"&lt;"&amp;840,m_end,"&gt;"&amp;780)=0,"",IF(COUNTIFS(m_teacher,AM$4,m_date,($G$2+18),m_active,1,m_start,"&lt;"&amp;840,m_end,"&gt;"&amp;780)&gt;1,"충돌",HYPERLINK("#'관리자_MASTER'!D"&amp;_xlfn.MAXIFS(m_row,m_teacher,AM$4,m_date,($G$2+18),m_active,1,m_start,"&lt;"&amp;840,m_end,"&gt;"&amp;780),INDEX(m_label,_xlfn.MAXIFS(m_row,m_teacher,AM$4,m_date,($G$2+18),m_active,1,m_start,"&lt;"&amp;840,m_end,"&gt;"&amp;780))))))</f>
        <v/>
      </c>
      <c r="AN53" s="82" t="str">
        <f aca="false">IF(OR(AN$4="",MONTH(($G$2+18))&lt;&gt;MONTH($C$2)),"",IF(COUNTIFS(m_teacher,AN$4,m_date,($G$2+18),m_active,1,m_start,"&lt;"&amp;840,m_end,"&gt;"&amp;780)=0,"",IF(COUNTIFS(m_teacher,AN$4,m_date,($G$2+18),m_active,1,m_start,"&lt;"&amp;840,m_end,"&gt;"&amp;780)&gt;1,"충돌",HYPERLINK("#'관리자_MASTER'!D"&amp;_xlfn.MAXIFS(m_row,m_teacher,AN$4,m_date,($G$2+18),m_active,1,m_start,"&lt;"&amp;840,m_end,"&gt;"&amp;780),INDEX(m_label,_xlfn.MAXIFS(m_row,m_teacher,AN$4,m_date,($G$2+18),m_active,1,m_start,"&lt;"&amp;840,m_end,"&gt;"&amp;780))))))</f>
        <v/>
      </c>
      <c r="AO53" s="82" t="str">
        <f aca="false">IF(OR(AO$4="",MONTH(($G$2+18))&lt;&gt;MONTH($C$2)),"",IF(COUNTIFS(m_teacher,AO$4,m_date,($G$2+18),m_active,1,m_start,"&lt;"&amp;840,m_end,"&gt;"&amp;780)=0,"",IF(COUNTIFS(m_teacher,AO$4,m_date,($G$2+18),m_active,1,m_start,"&lt;"&amp;840,m_end,"&gt;"&amp;780)&gt;1,"충돌",HYPERLINK("#'관리자_MASTER'!D"&amp;_xlfn.MAXIFS(m_row,m_teacher,AO$4,m_date,($G$2+18),m_active,1,m_start,"&lt;"&amp;840,m_end,"&gt;"&amp;780),INDEX(m_label,_xlfn.MAXIFS(m_row,m_teacher,AO$4,m_date,($G$2+18),m_active,1,m_start,"&lt;"&amp;840,m_end,"&gt;"&amp;780))))))</f>
        <v/>
      </c>
      <c r="AP53" s="82" t="str">
        <f aca="false">IF(OR(AP$4="",MONTH(($G$2+18))&lt;&gt;MONTH($C$2)),"",IF(COUNTIFS(m_teacher,AP$4,m_date,($G$2+18),m_active,1,m_start,"&lt;"&amp;840,m_end,"&gt;"&amp;780)=0,"",IF(COUNTIFS(m_teacher,AP$4,m_date,($G$2+18),m_active,1,m_start,"&lt;"&amp;840,m_end,"&gt;"&amp;780)&gt;1,"충돌",HYPERLINK("#'관리자_MASTER'!D"&amp;_xlfn.MAXIFS(m_row,m_teacher,AP$4,m_date,($G$2+18),m_active,1,m_start,"&lt;"&amp;840,m_end,"&gt;"&amp;780),INDEX(m_label,_xlfn.MAXIFS(m_row,m_teacher,AP$4,m_date,($G$2+18),m_active,1,m_start,"&lt;"&amp;840,m_end,"&gt;"&amp;780))))))</f>
        <v/>
      </c>
      <c r="AQ53" s="78"/>
      <c r="AR53" s="79" t="s">
        <v>95</v>
      </c>
      <c r="AS53" s="82" t="str">
        <f aca="false">IF(OR(AS$4="",MONTH(($G$2+25))&lt;&gt;MONTH($C$2)),"",IF(COUNTIFS(m_teacher,AS$4,m_date,($G$2+25),m_active,1,m_start,"&lt;"&amp;840,m_end,"&gt;"&amp;780)=0,"",IF(COUNTIFS(m_teacher,AS$4,m_date,($G$2+25),m_active,1,m_start,"&lt;"&amp;840,m_end,"&gt;"&amp;780)&gt;1,"충돌",HYPERLINK("#'관리자_MASTER'!D"&amp;_xlfn.MAXIFS(m_row,m_teacher,AS$4,m_date,($G$2+25),m_active,1,m_start,"&lt;"&amp;840,m_end,"&gt;"&amp;780),INDEX(m_label,_xlfn.MAXIFS(m_row,m_teacher,AS$4,m_date,($G$2+25),m_active,1,m_start,"&lt;"&amp;840,m_end,"&gt;"&amp;780))))))</f>
        <v/>
      </c>
      <c r="AT53" s="82" t="str">
        <f aca="false">IF(OR(AT$4="",MONTH(($G$2+25))&lt;&gt;MONTH($C$2)),"",IF(COUNTIFS(m_teacher,AT$4,m_date,($G$2+25),m_active,1,m_start,"&lt;"&amp;840,m_end,"&gt;"&amp;780)=0,"",IF(COUNTIFS(m_teacher,AT$4,m_date,($G$2+25),m_active,1,m_start,"&lt;"&amp;840,m_end,"&gt;"&amp;780)&gt;1,"충돌",HYPERLINK("#'관리자_MASTER'!D"&amp;_xlfn.MAXIFS(m_row,m_teacher,AT$4,m_date,($G$2+25),m_active,1,m_start,"&lt;"&amp;840,m_end,"&gt;"&amp;780),INDEX(m_label,_xlfn.MAXIFS(m_row,m_teacher,AT$4,m_date,($G$2+25),m_active,1,m_start,"&lt;"&amp;840,m_end,"&gt;"&amp;780))))))</f>
        <v/>
      </c>
      <c r="AU53" s="82" t="str">
        <f aca="false">IF(OR(AU$4="",MONTH(($G$2+25))&lt;&gt;MONTH($C$2)),"",IF(COUNTIFS(m_teacher,AU$4,m_date,($G$2+25),m_active,1,m_start,"&lt;"&amp;840,m_end,"&gt;"&amp;780)=0,"",IF(COUNTIFS(m_teacher,AU$4,m_date,($G$2+25),m_active,1,m_start,"&lt;"&amp;840,m_end,"&gt;"&amp;780)&gt;1,"충돌",HYPERLINK("#'관리자_MASTER'!D"&amp;_xlfn.MAXIFS(m_row,m_teacher,AU$4,m_date,($G$2+25),m_active,1,m_start,"&lt;"&amp;840,m_end,"&gt;"&amp;780),INDEX(m_label,_xlfn.MAXIFS(m_row,m_teacher,AU$4,m_date,($G$2+25),m_active,1,m_start,"&lt;"&amp;840,m_end,"&gt;"&amp;780))))))</f>
        <v/>
      </c>
      <c r="AV53" s="82" t="str">
        <f aca="false">IF(OR(AV$4="",MONTH(($G$2+25))&lt;&gt;MONTH($C$2)),"",IF(COUNTIFS(m_teacher,AV$4,m_date,($G$2+25),m_active,1,m_start,"&lt;"&amp;840,m_end,"&gt;"&amp;780)=0,"",IF(COUNTIFS(m_teacher,AV$4,m_date,($G$2+25),m_active,1,m_start,"&lt;"&amp;840,m_end,"&gt;"&amp;780)&gt;1,"충돌",HYPERLINK("#'관리자_MASTER'!D"&amp;_xlfn.MAXIFS(m_row,m_teacher,AV$4,m_date,($G$2+25),m_active,1,m_start,"&lt;"&amp;840,m_end,"&gt;"&amp;780),INDEX(m_label,_xlfn.MAXIFS(m_row,m_teacher,AV$4,m_date,($G$2+25),m_active,1,m_start,"&lt;"&amp;840,m_end,"&gt;"&amp;780))))))</f>
        <v/>
      </c>
      <c r="AW53" s="82" t="str">
        <f aca="false">IF(OR(AW$4="",MONTH(($G$2+25))&lt;&gt;MONTH($C$2)),"",IF(COUNTIFS(m_teacher,AW$4,m_date,($G$2+25),m_active,1,m_start,"&lt;"&amp;840,m_end,"&gt;"&amp;780)=0,"",IF(COUNTIFS(m_teacher,AW$4,m_date,($G$2+25),m_active,1,m_start,"&lt;"&amp;840,m_end,"&gt;"&amp;780)&gt;1,"충돌",HYPERLINK("#'관리자_MASTER'!D"&amp;_xlfn.MAXIFS(m_row,m_teacher,AW$4,m_date,($G$2+25),m_active,1,m_start,"&lt;"&amp;840,m_end,"&gt;"&amp;780),INDEX(m_label,_xlfn.MAXIFS(m_row,m_teacher,AW$4,m_date,($G$2+25),m_active,1,m_start,"&lt;"&amp;840,m_end,"&gt;"&amp;780))))))</f>
        <v/>
      </c>
      <c r="AX53" s="82" t="str">
        <f aca="false">IF(OR(AX$4="",MONTH(($G$2+25))&lt;&gt;MONTH($C$2)),"",IF(COUNTIFS(m_teacher,AX$4,m_date,($G$2+25),m_active,1,m_start,"&lt;"&amp;840,m_end,"&gt;"&amp;780)=0,"",IF(COUNTIFS(m_teacher,AX$4,m_date,($G$2+25),m_active,1,m_start,"&lt;"&amp;840,m_end,"&gt;"&amp;780)&gt;1,"충돌",HYPERLINK("#'관리자_MASTER'!D"&amp;_xlfn.MAXIFS(m_row,m_teacher,AX$4,m_date,($G$2+25),m_active,1,m_start,"&lt;"&amp;840,m_end,"&gt;"&amp;780),INDEX(m_label,_xlfn.MAXIFS(m_row,m_teacher,AX$4,m_date,($G$2+25),m_active,1,m_start,"&lt;"&amp;840,m_end,"&gt;"&amp;780))))))</f>
        <v/>
      </c>
      <c r="AY53" s="82" t="str">
        <f aca="false">IF(OR(AY$4="",MONTH(($G$2+25))&lt;&gt;MONTH($C$2)),"",IF(COUNTIFS(m_teacher,AY$4,m_date,($G$2+25),m_active,1,m_start,"&lt;"&amp;840,m_end,"&gt;"&amp;780)=0,"",IF(COUNTIFS(m_teacher,AY$4,m_date,($G$2+25),m_active,1,m_start,"&lt;"&amp;840,m_end,"&gt;"&amp;780)&gt;1,"충돌",HYPERLINK("#'관리자_MASTER'!D"&amp;_xlfn.MAXIFS(m_row,m_teacher,AY$4,m_date,($G$2+25),m_active,1,m_start,"&lt;"&amp;840,m_end,"&gt;"&amp;780),INDEX(m_label,_xlfn.MAXIFS(m_row,m_teacher,AY$4,m_date,($G$2+25),m_active,1,m_start,"&lt;"&amp;840,m_end,"&gt;"&amp;780))))))</f>
        <v/>
      </c>
      <c r="AZ53" s="82" t="str">
        <f aca="false">IF(OR(AZ$4="",MONTH(($G$2+25))&lt;&gt;MONTH($C$2)),"",IF(COUNTIFS(m_teacher,AZ$4,m_date,($G$2+25),m_active,1,m_start,"&lt;"&amp;840,m_end,"&gt;"&amp;780)=0,"",IF(COUNTIFS(m_teacher,AZ$4,m_date,($G$2+25),m_active,1,m_start,"&lt;"&amp;840,m_end,"&gt;"&amp;780)&gt;1,"충돌",HYPERLINK("#'관리자_MASTER'!D"&amp;_xlfn.MAXIFS(m_row,m_teacher,AZ$4,m_date,($G$2+25),m_active,1,m_start,"&lt;"&amp;840,m_end,"&gt;"&amp;780),INDEX(m_label,_xlfn.MAXIFS(m_row,m_teacher,AZ$4,m_date,($G$2+25),m_active,1,m_start,"&lt;"&amp;840,m_end,"&gt;"&amp;780))))))</f>
        <v/>
      </c>
      <c r="BA53" s="82" t="str">
        <f aca="false">IF(OR(BA$4="",MONTH(($G$2+25))&lt;&gt;MONTH($C$2)),"",IF(COUNTIFS(m_teacher,BA$4,m_date,($G$2+25),m_active,1,m_start,"&lt;"&amp;840,m_end,"&gt;"&amp;780)=0,"",IF(COUNTIFS(m_teacher,BA$4,m_date,($G$2+25),m_active,1,m_start,"&lt;"&amp;840,m_end,"&gt;"&amp;780)&gt;1,"충돌",HYPERLINK("#'관리자_MASTER'!D"&amp;_xlfn.MAXIFS(m_row,m_teacher,BA$4,m_date,($G$2+25),m_active,1,m_start,"&lt;"&amp;840,m_end,"&gt;"&amp;780),INDEX(m_label,_xlfn.MAXIFS(m_row,m_teacher,BA$4,m_date,($G$2+25),m_active,1,m_start,"&lt;"&amp;840,m_end,"&gt;"&amp;780))))))</f>
        <v/>
      </c>
      <c r="BB53" s="82" t="str">
        <f aca="false">IF(OR(BB$4="",MONTH(($G$2+25))&lt;&gt;MONTH($C$2)),"",IF(COUNTIFS(m_teacher,BB$4,m_date,($G$2+25),m_active,1,m_start,"&lt;"&amp;840,m_end,"&gt;"&amp;780)=0,"",IF(COUNTIFS(m_teacher,BB$4,m_date,($G$2+25),m_active,1,m_start,"&lt;"&amp;840,m_end,"&gt;"&amp;780)&gt;1,"충돌",HYPERLINK("#'관리자_MASTER'!D"&amp;_xlfn.MAXIFS(m_row,m_teacher,BB$4,m_date,($G$2+25),m_active,1,m_start,"&lt;"&amp;840,m_end,"&gt;"&amp;780),INDEX(m_label,_xlfn.MAXIFS(m_row,m_teacher,BB$4,m_date,($G$2+25),m_active,1,m_start,"&lt;"&amp;840,m_end,"&gt;"&amp;780))))))</f>
        <v/>
      </c>
      <c r="BC53" s="82" t="str">
        <f aca="false">IF(OR(BC$4="",MONTH(($G$2+25))&lt;&gt;MONTH($C$2)),"",IF(COUNTIFS(m_teacher,BC$4,m_date,($G$2+25),m_active,1,m_start,"&lt;"&amp;840,m_end,"&gt;"&amp;780)=0,"",IF(COUNTIFS(m_teacher,BC$4,m_date,($G$2+25),m_active,1,m_start,"&lt;"&amp;840,m_end,"&gt;"&amp;780)&gt;1,"충돌",HYPERLINK("#'관리자_MASTER'!D"&amp;_xlfn.MAXIFS(m_row,m_teacher,BC$4,m_date,($G$2+25),m_active,1,m_start,"&lt;"&amp;840,m_end,"&gt;"&amp;780),INDEX(m_label,_xlfn.MAXIFS(m_row,m_teacher,BC$4,m_date,($G$2+25),m_active,1,m_start,"&lt;"&amp;840,m_end,"&gt;"&amp;780))))))</f>
        <v/>
      </c>
      <c r="BD53" s="82" t="str">
        <f aca="false">IF(OR(BD$4="",MONTH(($G$2+25))&lt;&gt;MONTH($C$2)),"",IF(COUNTIFS(m_teacher,BD$4,m_date,($G$2+25),m_active,1,m_start,"&lt;"&amp;840,m_end,"&gt;"&amp;780)=0,"",IF(COUNTIFS(m_teacher,BD$4,m_date,($G$2+25),m_active,1,m_start,"&lt;"&amp;840,m_end,"&gt;"&amp;780)&gt;1,"충돌",HYPERLINK("#'관리자_MASTER'!D"&amp;_xlfn.MAXIFS(m_row,m_teacher,BD$4,m_date,($G$2+25),m_active,1,m_start,"&lt;"&amp;840,m_end,"&gt;"&amp;780),INDEX(m_label,_xlfn.MAXIFS(m_row,m_teacher,BD$4,m_date,($G$2+25),m_active,1,m_start,"&lt;"&amp;840,m_end,"&gt;"&amp;780))))))</f>
        <v/>
      </c>
    </row>
    <row r="54" customFormat="false" ht="19.5" hidden="false" customHeight="true" outlineLevel="0" collapsed="false">
      <c r="A54" s="78"/>
      <c r="B54" s="79" t="s">
        <v>96</v>
      </c>
      <c r="C54" s="82" t="str">
        <f aca="false">IF(OR(C$4="",MONTH(($G$2+4))&lt;&gt;MONTH($C$2)),"",IF(COUNTIFS(m_teacher,C$4,m_date,($G$2+4),m_active,1,m_start,"&lt;"&amp;900,m_end,"&gt;"&amp;840)=0,"",IF(COUNTIFS(m_teacher,C$4,m_date,($G$2+4),m_active,1,m_start,"&lt;"&amp;900,m_end,"&gt;"&amp;840)&gt;1,"충돌",HYPERLINK("#'관리자_MASTER'!D"&amp;_xlfn.MAXIFS(m_row,m_teacher,C$4,m_date,($G$2+4),m_active,1,m_start,"&lt;"&amp;900,m_end,"&gt;"&amp;840),INDEX(m_label,_xlfn.MAXIFS(m_row,m_teacher,C$4,m_date,($G$2+4),m_active,1,m_start,"&lt;"&amp;900,m_end,"&gt;"&amp;840))))))</f>
        <v/>
      </c>
      <c r="D54" s="82" t="str">
        <f aca="false">IF(OR(D$4="",MONTH(($G$2+4))&lt;&gt;MONTH($C$2)),"",IF(COUNTIFS(m_teacher,D$4,m_date,($G$2+4),m_active,1,m_start,"&lt;"&amp;900,m_end,"&gt;"&amp;840)=0,"",IF(COUNTIFS(m_teacher,D$4,m_date,($G$2+4),m_active,1,m_start,"&lt;"&amp;900,m_end,"&gt;"&amp;840)&gt;1,"충돌",HYPERLINK("#'관리자_MASTER'!D"&amp;_xlfn.MAXIFS(m_row,m_teacher,D$4,m_date,($G$2+4),m_active,1,m_start,"&lt;"&amp;900,m_end,"&gt;"&amp;840),INDEX(m_label,_xlfn.MAXIFS(m_row,m_teacher,D$4,m_date,($G$2+4),m_active,1,m_start,"&lt;"&amp;900,m_end,"&gt;"&amp;840))))))</f>
        <v/>
      </c>
      <c r="E54" s="82" t="str">
        <f aca="false">IF(OR(E$4="",MONTH(($G$2+4))&lt;&gt;MONTH($C$2)),"",IF(COUNTIFS(m_teacher,E$4,m_date,($G$2+4),m_active,1,m_start,"&lt;"&amp;900,m_end,"&gt;"&amp;840)=0,"",IF(COUNTIFS(m_teacher,E$4,m_date,($G$2+4),m_active,1,m_start,"&lt;"&amp;900,m_end,"&gt;"&amp;840)&gt;1,"충돌",HYPERLINK("#'관리자_MASTER'!D"&amp;_xlfn.MAXIFS(m_row,m_teacher,E$4,m_date,($G$2+4),m_active,1,m_start,"&lt;"&amp;900,m_end,"&gt;"&amp;840),INDEX(m_label,_xlfn.MAXIFS(m_row,m_teacher,E$4,m_date,($G$2+4),m_active,1,m_start,"&lt;"&amp;900,m_end,"&gt;"&amp;840))))))</f>
        <v/>
      </c>
      <c r="F54" s="82" t="str">
        <f aca="false">IF(OR(F$4="",MONTH(($G$2+4))&lt;&gt;MONTH($C$2)),"",IF(COUNTIFS(m_teacher,F$4,m_date,($G$2+4),m_active,1,m_start,"&lt;"&amp;900,m_end,"&gt;"&amp;840)=0,"",IF(COUNTIFS(m_teacher,F$4,m_date,($G$2+4),m_active,1,m_start,"&lt;"&amp;900,m_end,"&gt;"&amp;840)&gt;1,"충돌",HYPERLINK("#'관리자_MASTER'!D"&amp;_xlfn.MAXIFS(m_row,m_teacher,F$4,m_date,($G$2+4),m_active,1,m_start,"&lt;"&amp;900,m_end,"&gt;"&amp;840),INDEX(m_label,_xlfn.MAXIFS(m_row,m_teacher,F$4,m_date,($G$2+4),m_active,1,m_start,"&lt;"&amp;900,m_end,"&gt;"&amp;840))))))</f>
        <v/>
      </c>
      <c r="G54" s="82" t="str">
        <f aca="false">IF(OR(G$4="",MONTH(($G$2+4))&lt;&gt;MONTH($C$2)),"",IF(COUNTIFS(m_teacher,G$4,m_date,($G$2+4),m_active,1,m_start,"&lt;"&amp;900,m_end,"&gt;"&amp;840)=0,"",IF(COUNTIFS(m_teacher,G$4,m_date,($G$2+4),m_active,1,m_start,"&lt;"&amp;900,m_end,"&gt;"&amp;840)&gt;1,"충돌",HYPERLINK("#'관리자_MASTER'!D"&amp;_xlfn.MAXIFS(m_row,m_teacher,G$4,m_date,($G$2+4),m_active,1,m_start,"&lt;"&amp;900,m_end,"&gt;"&amp;840),INDEX(m_label,_xlfn.MAXIFS(m_row,m_teacher,G$4,m_date,($G$2+4),m_active,1,m_start,"&lt;"&amp;900,m_end,"&gt;"&amp;840))))))</f>
        <v/>
      </c>
      <c r="H54" s="82" t="str">
        <f aca="false">IF(OR(H$4="",MONTH(($G$2+4))&lt;&gt;MONTH($C$2)),"",IF(COUNTIFS(m_teacher,H$4,m_date,($G$2+4),m_active,1,m_start,"&lt;"&amp;900,m_end,"&gt;"&amp;840)=0,"",IF(COUNTIFS(m_teacher,H$4,m_date,($G$2+4),m_active,1,m_start,"&lt;"&amp;900,m_end,"&gt;"&amp;840)&gt;1,"충돌",HYPERLINK("#'관리자_MASTER'!D"&amp;_xlfn.MAXIFS(m_row,m_teacher,H$4,m_date,($G$2+4),m_active,1,m_start,"&lt;"&amp;900,m_end,"&gt;"&amp;840),INDEX(m_label,_xlfn.MAXIFS(m_row,m_teacher,H$4,m_date,($G$2+4),m_active,1,m_start,"&lt;"&amp;900,m_end,"&gt;"&amp;840))))))</f>
        <v/>
      </c>
      <c r="I54" s="82" t="str">
        <f aca="false">IF(OR(I$4="",MONTH(($G$2+4))&lt;&gt;MONTH($C$2)),"",IF(COUNTIFS(m_teacher,I$4,m_date,($G$2+4),m_active,1,m_start,"&lt;"&amp;900,m_end,"&gt;"&amp;840)=0,"",IF(COUNTIFS(m_teacher,I$4,m_date,($G$2+4),m_active,1,m_start,"&lt;"&amp;900,m_end,"&gt;"&amp;840)&gt;1,"충돌",HYPERLINK("#'관리자_MASTER'!D"&amp;_xlfn.MAXIFS(m_row,m_teacher,I$4,m_date,($G$2+4),m_active,1,m_start,"&lt;"&amp;900,m_end,"&gt;"&amp;840),INDEX(m_label,_xlfn.MAXIFS(m_row,m_teacher,I$4,m_date,($G$2+4),m_active,1,m_start,"&lt;"&amp;900,m_end,"&gt;"&amp;840))))))</f>
        <v/>
      </c>
      <c r="J54" s="82" t="str">
        <f aca="false">IF(OR(J$4="",MONTH(($G$2+4))&lt;&gt;MONTH($C$2)),"",IF(COUNTIFS(m_teacher,J$4,m_date,($G$2+4),m_active,1,m_start,"&lt;"&amp;900,m_end,"&gt;"&amp;840)=0,"",IF(COUNTIFS(m_teacher,J$4,m_date,($G$2+4),m_active,1,m_start,"&lt;"&amp;900,m_end,"&gt;"&amp;840)&gt;1,"충돌",HYPERLINK("#'관리자_MASTER'!D"&amp;_xlfn.MAXIFS(m_row,m_teacher,J$4,m_date,($G$2+4),m_active,1,m_start,"&lt;"&amp;900,m_end,"&gt;"&amp;840),INDEX(m_label,_xlfn.MAXIFS(m_row,m_teacher,J$4,m_date,($G$2+4),m_active,1,m_start,"&lt;"&amp;900,m_end,"&gt;"&amp;840))))))</f>
        <v/>
      </c>
      <c r="K54" s="82" t="str">
        <f aca="false">IF(OR(K$4="",MONTH(($G$2+4))&lt;&gt;MONTH($C$2)),"",IF(COUNTIFS(m_teacher,K$4,m_date,($G$2+4),m_active,1,m_start,"&lt;"&amp;900,m_end,"&gt;"&amp;840)=0,"",IF(COUNTIFS(m_teacher,K$4,m_date,($G$2+4),m_active,1,m_start,"&lt;"&amp;900,m_end,"&gt;"&amp;840)&gt;1,"충돌",HYPERLINK("#'관리자_MASTER'!D"&amp;_xlfn.MAXIFS(m_row,m_teacher,K$4,m_date,($G$2+4),m_active,1,m_start,"&lt;"&amp;900,m_end,"&gt;"&amp;840),INDEX(m_label,_xlfn.MAXIFS(m_row,m_teacher,K$4,m_date,($G$2+4),m_active,1,m_start,"&lt;"&amp;900,m_end,"&gt;"&amp;840))))))</f>
        <v/>
      </c>
      <c r="L54" s="82" t="str">
        <f aca="false">IF(OR(L$4="",MONTH(($G$2+4))&lt;&gt;MONTH($C$2)),"",IF(COUNTIFS(m_teacher,L$4,m_date,($G$2+4),m_active,1,m_start,"&lt;"&amp;900,m_end,"&gt;"&amp;840)=0,"",IF(COUNTIFS(m_teacher,L$4,m_date,($G$2+4),m_active,1,m_start,"&lt;"&amp;900,m_end,"&gt;"&amp;840)&gt;1,"충돌",HYPERLINK("#'관리자_MASTER'!D"&amp;_xlfn.MAXIFS(m_row,m_teacher,L$4,m_date,($G$2+4),m_active,1,m_start,"&lt;"&amp;900,m_end,"&gt;"&amp;840),INDEX(m_label,_xlfn.MAXIFS(m_row,m_teacher,L$4,m_date,($G$2+4),m_active,1,m_start,"&lt;"&amp;900,m_end,"&gt;"&amp;840))))))</f>
        <v/>
      </c>
      <c r="M54" s="82" t="str">
        <f aca="false">IF(OR(M$4="",MONTH(($G$2+4))&lt;&gt;MONTH($C$2)),"",IF(COUNTIFS(m_teacher,M$4,m_date,($G$2+4),m_active,1,m_start,"&lt;"&amp;900,m_end,"&gt;"&amp;840)=0,"",IF(COUNTIFS(m_teacher,M$4,m_date,($G$2+4),m_active,1,m_start,"&lt;"&amp;900,m_end,"&gt;"&amp;840)&gt;1,"충돌",HYPERLINK("#'관리자_MASTER'!D"&amp;_xlfn.MAXIFS(m_row,m_teacher,M$4,m_date,($G$2+4),m_active,1,m_start,"&lt;"&amp;900,m_end,"&gt;"&amp;840),INDEX(m_label,_xlfn.MAXIFS(m_row,m_teacher,M$4,m_date,($G$2+4),m_active,1,m_start,"&lt;"&amp;900,m_end,"&gt;"&amp;840))))))</f>
        <v/>
      </c>
      <c r="N54" s="82" t="str">
        <f aca="false">IF(OR(N$4="",MONTH(($G$2+4))&lt;&gt;MONTH($C$2)),"",IF(COUNTIFS(m_teacher,N$4,m_date,($G$2+4),m_active,1,m_start,"&lt;"&amp;900,m_end,"&gt;"&amp;840)=0,"",IF(COUNTIFS(m_teacher,N$4,m_date,($G$2+4),m_active,1,m_start,"&lt;"&amp;900,m_end,"&gt;"&amp;840)&gt;1,"충돌",HYPERLINK("#'관리자_MASTER'!D"&amp;_xlfn.MAXIFS(m_row,m_teacher,N$4,m_date,($G$2+4),m_active,1,m_start,"&lt;"&amp;900,m_end,"&gt;"&amp;840),INDEX(m_label,_xlfn.MAXIFS(m_row,m_teacher,N$4,m_date,($G$2+4),m_active,1,m_start,"&lt;"&amp;900,m_end,"&gt;"&amp;840))))))</f>
        <v/>
      </c>
      <c r="O54" s="78"/>
      <c r="P54" s="79" t="s">
        <v>96</v>
      </c>
      <c r="Q54" s="82" t="str">
        <f aca="false">IF(OR(Q$4="",MONTH(($G$2+11))&lt;&gt;MONTH($C$2)),"",IF(COUNTIFS(m_teacher,Q$4,m_date,($G$2+11),m_active,1,m_start,"&lt;"&amp;900,m_end,"&gt;"&amp;840)=0,"",IF(COUNTIFS(m_teacher,Q$4,m_date,($G$2+11),m_active,1,m_start,"&lt;"&amp;900,m_end,"&gt;"&amp;840)&gt;1,"충돌",HYPERLINK("#'관리자_MASTER'!D"&amp;_xlfn.MAXIFS(m_row,m_teacher,Q$4,m_date,($G$2+11),m_active,1,m_start,"&lt;"&amp;900,m_end,"&gt;"&amp;840),INDEX(m_label,_xlfn.MAXIFS(m_row,m_teacher,Q$4,m_date,($G$2+11),m_active,1,m_start,"&lt;"&amp;900,m_end,"&gt;"&amp;840))))))</f>
        <v/>
      </c>
      <c r="R54" s="82" t="str">
        <f aca="false">IF(OR(R$4="",MONTH(($G$2+11))&lt;&gt;MONTH($C$2)),"",IF(COUNTIFS(m_teacher,R$4,m_date,($G$2+11),m_active,1,m_start,"&lt;"&amp;900,m_end,"&gt;"&amp;840)=0,"",IF(COUNTIFS(m_teacher,R$4,m_date,($G$2+11),m_active,1,m_start,"&lt;"&amp;900,m_end,"&gt;"&amp;840)&gt;1,"충돌",HYPERLINK("#'관리자_MASTER'!D"&amp;_xlfn.MAXIFS(m_row,m_teacher,R$4,m_date,($G$2+11),m_active,1,m_start,"&lt;"&amp;900,m_end,"&gt;"&amp;840),INDEX(m_label,_xlfn.MAXIFS(m_row,m_teacher,R$4,m_date,($G$2+11),m_active,1,m_start,"&lt;"&amp;900,m_end,"&gt;"&amp;840))))))</f>
        <v/>
      </c>
      <c r="S54" s="82" t="str">
        <f aca="false">IF(OR(S$4="",MONTH(($G$2+11))&lt;&gt;MONTH($C$2)),"",IF(COUNTIFS(m_teacher,S$4,m_date,($G$2+11),m_active,1,m_start,"&lt;"&amp;900,m_end,"&gt;"&amp;840)=0,"",IF(COUNTIFS(m_teacher,S$4,m_date,($G$2+11),m_active,1,m_start,"&lt;"&amp;900,m_end,"&gt;"&amp;840)&gt;1,"충돌",HYPERLINK("#'관리자_MASTER'!D"&amp;_xlfn.MAXIFS(m_row,m_teacher,S$4,m_date,($G$2+11),m_active,1,m_start,"&lt;"&amp;900,m_end,"&gt;"&amp;840),INDEX(m_label,_xlfn.MAXIFS(m_row,m_teacher,S$4,m_date,($G$2+11),m_active,1,m_start,"&lt;"&amp;900,m_end,"&gt;"&amp;840))))))</f>
        <v/>
      </c>
      <c r="T54" s="82" t="str">
        <f aca="false">IF(OR(T$4="",MONTH(($G$2+11))&lt;&gt;MONTH($C$2)),"",IF(COUNTIFS(m_teacher,T$4,m_date,($G$2+11),m_active,1,m_start,"&lt;"&amp;900,m_end,"&gt;"&amp;840)=0,"",IF(COUNTIFS(m_teacher,T$4,m_date,($G$2+11),m_active,1,m_start,"&lt;"&amp;900,m_end,"&gt;"&amp;840)&gt;1,"충돌",HYPERLINK("#'관리자_MASTER'!D"&amp;_xlfn.MAXIFS(m_row,m_teacher,T$4,m_date,($G$2+11),m_active,1,m_start,"&lt;"&amp;900,m_end,"&gt;"&amp;840),INDEX(m_label,_xlfn.MAXIFS(m_row,m_teacher,T$4,m_date,($G$2+11),m_active,1,m_start,"&lt;"&amp;900,m_end,"&gt;"&amp;840))))))</f>
        <v/>
      </c>
      <c r="U54" s="82" t="str">
        <f aca="false">IF(OR(U$4="",MONTH(($G$2+11))&lt;&gt;MONTH($C$2)),"",IF(COUNTIFS(m_teacher,U$4,m_date,($G$2+11),m_active,1,m_start,"&lt;"&amp;900,m_end,"&gt;"&amp;840)=0,"",IF(COUNTIFS(m_teacher,U$4,m_date,($G$2+11),m_active,1,m_start,"&lt;"&amp;900,m_end,"&gt;"&amp;840)&gt;1,"충돌",HYPERLINK("#'관리자_MASTER'!D"&amp;_xlfn.MAXIFS(m_row,m_teacher,U$4,m_date,($G$2+11),m_active,1,m_start,"&lt;"&amp;900,m_end,"&gt;"&amp;840),INDEX(m_label,_xlfn.MAXIFS(m_row,m_teacher,U$4,m_date,($G$2+11),m_active,1,m_start,"&lt;"&amp;900,m_end,"&gt;"&amp;840))))))</f>
        <v/>
      </c>
      <c r="V54" s="82" t="str">
        <f aca="false">IF(OR(V$4="",MONTH(($G$2+11))&lt;&gt;MONTH($C$2)),"",IF(COUNTIFS(m_teacher,V$4,m_date,($G$2+11),m_active,1,m_start,"&lt;"&amp;900,m_end,"&gt;"&amp;840)=0,"",IF(COUNTIFS(m_teacher,V$4,m_date,($G$2+11),m_active,1,m_start,"&lt;"&amp;900,m_end,"&gt;"&amp;840)&gt;1,"충돌",HYPERLINK("#'관리자_MASTER'!D"&amp;_xlfn.MAXIFS(m_row,m_teacher,V$4,m_date,($G$2+11),m_active,1,m_start,"&lt;"&amp;900,m_end,"&gt;"&amp;840),INDEX(m_label,_xlfn.MAXIFS(m_row,m_teacher,V$4,m_date,($G$2+11),m_active,1,m_start,"&lt;"&amp;900,m_end,"&gt;"&amp;840))))))</f>
        <v/>
      </c>
      <c r="W54" s="82" t="str">
        <f aca="false">IF(OR(W$4="",MONTH(($G$2+11))&lt;&gt;MONTH($C$2)),"",IF(COUNTIFS(m_teacher,W$4,m_date,($G$2+11),m_active,1,m_start,"&lt;"&amp;900,m_end,"&gt;"&amp;840)=0,"",IF(COUNTIFS(m_teacher,W$4,m_date,($G$2+11),m_active,1,m_start,"&lt;"&amp;900,m_end,"&gt;"&amp;840)&gt;1,"충돌",HYPERLINK("#'관리자_MASTER'!D"&amp;_xlfn.MAXIFS(m_row,m_teacher,W$4,m_date,($G$2+11),m_active,1,m_start,"&lt;"&amp;900,m_end,"&gt;"&amp;840),INDEX(m_label,_xlfn.MAXIFS(m_row,m_teacher,W$4,m_date,($G$2+11),m_active,1,m_start,"&lt;"&amp;900,m_end,"&gt;"&amp;840))))))</f>
        <v/>
      </c>
      <c r="X54" s="82" t="str">
        <f aca="false">IF(OR(X$4="",MONTH(($G$2+11))&lt;&gt;MONTH($C$2)),"",IF(COUNTIFS(m_teacher,X$4,m_date,($G$2+11),m_active,1,m_start,"&lt;"&amp;900,m_end,"&gt;"&amp;840)=0,"",IF(COUNTIFS(m_teacher,X$4,m_date,($G$2+11),m_active,1,m_start,"&lt;"&amp;900,m_end,"&gt;"&amp;840)&gt;1,"충돌",HYPERLINK("#'관리자_MASTER'!D"&amp;_xlfn.MAXIFS(m_row,m_teacher,X$4,m_date,($G$2+11),m_active,1,m_start,"&lt;"&amp;900,m_end,"&gt;"&amp;840),INDEX(m_label,_xlfn.MAXIFS(m_row,m_teacher,X$4,m_date,($G$2+11),m_active,1,m_start,"&lt;"&amp;900,m_end,"&gt;"&amp;840))))))</f>
        <v/>
      </c>
      <c r="Y54" s="82" t="str">
        <f aca="false">IF(OR(Y$4="",MONTH(($G$2+11))&lt;&gt;MONTH($C$2)),"",IF(COUNTIFS(m_teacher,Y$4,m_date,($G$2+11),m_active,1,m_start,"&lt;"&amp;900,m_end,"&gt;"&amp;840)=0,"",IF(COUNTIFS(m_teacher,Y$4,m_date,($G$2+11),m_active,1,m_start,"&lt;"&amp;900,m_end,"&gt;"&amp;840)&gt;1,"충돌",HYPERLINK("#'관리자_MASTER'!D"&amp;_xlfn.MAXIFS(m_row,m_teacher,Y$4,m_date,($G$2+11),m_active,1,m_start,"&lt;"&amp;900,m_end,"&gt;"&amp;840),INDEX(m_label,_xlfn.MAXIFS(m_row,m_teacher,Y$4,m_date,($G$2+11),m_active,1,m_start,"&lt;"&amp;900,m_end,"&gt;"&amp;840))))))</f>
        <v/>
      </c>
      <c r="Z54" s="82" t="str">
        <f aca="false">IF(OR(Z$4="",MONTH(($G$2+11))&lt;&gt;MONTH($C$2)),"",IF(COUNTIFS(m_teacher,Z$4,m_date,($G$2+11),m_active,1,m_start,"&lt;"&amp;900,m_end,"&gt;"&amp;840)=0,"",IF(COUNTIFS(m_teacher,Z$4,m_date,($G$2+11),m_active,1,m_start,"&lt;"&amp;900,m_end,"&gt;"&amp;840)&gt;1,"충돌",HYPERLINK("#'관리자_MASTER'!D"&amp;_xlfn.MAXIFS(m_row,m_teacher,Z$4,m_date,($G$2+11),m_active,1,m_start,"&lt;"&amp;900,m_end,"&gt;"&amp;840),INDEX(m_label,_xlfn.MAXIFS(m_row,m_teacher,Z$4,m_date,($G$2+11),m_active,1,m_start,"&lt;"&amp;900,m_end,"&gt;"&amp;840))))))</f>
        <v/>
      </c>
      <c r="AA54" s="82" t="str">
        <f aca="false">IF(OR(AA$4="",MONTH(($G$2+11))&lt;&gt;MONTH($C$2)),"",IF(COUNTIFS(m_teacher,AA$4,m_date,($G$2+11),m_active,1,m_start,"&lt;"&amp;900,m_end,"&gt;"&amp;840)=0,"",IF(COUNTIFS(m_teacher,AA$4,m_date,($G$2+11),m_active,1,m_start,"&lt;"&amp;900,m_end,"&gt;"&amp;840)&gt;1,"충돌",HYPERLINK("#'관리자_MASTER'!D"&amp;_xlfn.MAXIFS(m_row,m_teacher,AA$4,m_date,($G$2+11),m_active,1,m_start,"&lt;"&amp;900,m_end,"&gt;"&amp;840),INDEX(m_label,_xlfn.MAXIFS(m_row,m_teacher,AA$4,m_date,($G$2+11),m_active,1,m_start,"&lt;"&amp;900,m_end,"&gt;"&amp;840))))))</f>
        <v/>
      </c>
      <c r="AB54" s="82" t="str">
        <f aca="false">IF(OR(AB$4="",MONTH(($G$2+11))&lt;&gt;MONTH($C$2)),"",IF(COUNTIFS(m_teacher,AB$4,m_date,($G$2+11),m_active,1,m_start,"&lt;"&amp;900,m_end,"&gt;"&amp;840)=0,"",IF(COUNTIFS(m_teacher,AB$4,m_date,($G$2+11),m_active,1,m_start,"&lt;"&amp;900,m_end,"&gt;"&amp;840)&gt;1,"충돌",HYPERLINK("#'관리자_MASTER'!D"&amp;_xlfn.MAXIFS(m_row,m_teacher,AB$4,m_date,($G$2+11),m_active,1,m_start,"&lt;"&amp;900,m_end,"&gt;"&amp;840),INDEX(m_label,_xlfn.MAXIFS(m_row,m_teacher,AB$4,m_date,($G$2+11),m_active,1,m_start,"&lt;"&amp;900,m_end,"&gt;"&amp;840))))))</f>
        <v/>
      </c>
      <c r="AC54" s="78"/>
      <c r="AD54" s="79" t="s">
        <v>96</v>
      </c>
      <c r="AE54" s="82" t="str">
        <f aca="false">IF(OR(AE$4="",MONTH(($G$2+18))&lt;&gt;MONTH($C$2)),"",IF(COUNTIFS(m_teacher,AE$4,m_date,($G$2+18),m_active,1,m_start,"&lt;"&amp;900,m_end,"&gt;"&amp;840)=0,"",IF(COUNTIFS(m_teacher,AE$4,m_date,($G$2+18),m_active,1,m_start,"&lt;"&amp;900,m_end,"&gt;"&amp;840)&gt;1,"충돌",HYPERLINK("#'관리자_MASTER'!D"&amp;_xlfn.MAXIFS(m_row,m_teacher,AE$4,m_date,($G$2+18),m_active,1,m_start,"&lt;"&amp;900,m_end,"&gt;"&amp;840),INDEX(m_label,_xlfn.MAXIFS(m_row,m_teacher,AE$4,m_date,($G$2+18),m_active,1,m_start,"&lt;"&amp;900,m_end,"&gt;"&amp;840))))))</f>
        <v/>
      </c>
      <c r="AF54" s="82" t="str">
        <f aca="false">IF(OR(AF$4="",MONTH(($G$2+18))&lt;&gt;MONTH($C$2)),"",IF(COUNTIFS(m_teacher,AF$4,m_date,($G$2+18),m_active,1,m_start,"&lt;"&amp;900,m_end,"&gt;"&amp;840)=0,"",IF(COUNTIFS(m_teacher,AF$4,m_date,($G$2+18),m_active,1,m_start,"&lt;"&amp;900,m_end,"&gt;"&amp;840)&gt;1,"충돌",HYPERLINK("#'관리자_MASTER'!D"&amp;_xlfn.MAXIFS(m_row,m_teacher,AF$4,m_date,($G$2+18),m_active,1,m_start,"&lt;"&amp;900,m_end,"&gt;"&amp;840),INDEX(m_label,_xlfn.MAXIFS(m_row,m_teacher,AF$4,m_date,($G$2+18),m_active,1,m_start,"&lt;"&amp;900,m_end,"&gt;"&amp;840))))))</f>
        <v/>
      </c>
      <c r="AG54" s="82" t="str">
        <f aca="false">IF(OR(AG$4="",MONTH(($G$2+18))&lt;&gt;MONTH($C$2)),"",IF(COUNTIFS(m_teacher,AG$4,m_date,($G$2+18),m_active,1,m_start,"&lt;"&amp;900,m_end,"&gt;"&amp;840)=0,"",IF(COUNTIFS(m_teacher,AG$4,m_date,($G$2+18),m_active,1,m_start,"&lt;"&amp;900,m_end,"&gt;"&amp;840)&gt;1,"충돌",HYPERLINK("#'관리자_MASTER'!D"&amp;_xlfn.MAXIFS(m_row,m_teacher,AG$4,m_date,($G$2+18),m_active,1,m_start,"&lt;"&amp;900,m_end,"&gt;"&amp;840),INDEX(m_label,_xlfn.MAXIFS(m_row,m_teacher,AG$4,m_date,($G$2+18),m_active,1,m_start,"&lt;"&amp;900,m_end,"&gt;"&amp;840))))))</f>
        <v/>
      </c>
      <c r="AH54" s="82" t="str">
        <f aca="false">IF(OR(AH$4="",MONTH(($G$2+18))&lt;&gt;MONTH($C$2)),"",IF(COUNTIFS(m_teacher,AH$4,m_date,($G$2+18),m_active,1,m_start,"&lt;"&amp;900,m_end,"&gt;"&amp;840)=0,"",IF(COUNTIFS(m_teacher,AH$4,m_date,($G$2+18),m_active,1,m_start,"&lt;"&amp;900,m_end,"&gt;"&amp;840)&gt;1,"충돌",HYPERLINK("#'관리자_MASTER'!D"&amp;_xlfn.MAXIFS(m_row,m_teacher,AH$4,m_date,($G$2+18),m_active,1,m_start,"&lt;"&amp;900,m_end,"&gt;"&amp;840),INDEX(m_label,_xlfn.MAXIFS(m_row,m_teacher,AH$4,m_date,($G$2+18),m_active,1,m_start,"&lt;"&amp;900,m_end,"&gt;"&amp;840))))))</f>
        <v/>
      </c>
      <c r="AI54" s="82" t="str">
        <f aca="false">IF(OR(AI$4="",MONTH(($G$2+18))&lt;&gt;MONTH($C$2)),"",IF(COUNTIFS(m_teacher,AI$4,m_date,($G$2+18),m_active,1,m_start,"&lt;"&amp;900,m_end,"&gt;"&amp;840)=0,"",IF(COUNTIFS(m_teacher,AI$4,m_date,($G$2+18),m_active,1,m_start,"&lt;"&amp;900,m_end,"&gt;"&amp;840)&gt;1,"충돌",HYPERLINK("#'관리자_MASTER'!D"&amp;_xlfn.MAXIFS(m_row,m_teacher,AI$4,m_date,($G$2+18),m_active,1,m_start,"&lt;"&amp;900,m_end,"&gt;"&amp;840),INDEX(m_label,_xlfn.MAXIFS(m_row,m_teacher,AI$4,m_date,($G$2+18),m_active,1,m_start,"&lt;"&amp;900,m_end,"&gt;"&amp;840))))))</f>
        <v/>
      </c>
      <c r="AJ54" s="82" t="str">
        <f aca="false">IF(OR(AJ$4="",MONTH(($G$2+18))&lt;&gt;MONTH($C$2)),"",IF(COUNTIFS(m_teacher,AJ$4,m_date,($G$2+18),m_active,1,m_start,"&lt;"&amp;900,m_end,"&gt;"&amp;840)=0,"",IF(COUNTIFS(m_teacher,AJ$4,m_date,($G$2+18),m_active,1,m_start,"&lt;"&amp;900,m_end,"&gt;"&amp;840)&gt;1,"충돌",HYPERLINK("#'관리자_MASTER'!D"&amp;_xlfn.MAXIFS(m_row,m_teacher,AJ$4,m_date,($G$2+18),m_active,1,m_start,"&lt;"&amp;900,m_end,"&gt;"&amp;840),INDEX(m_label,_xlfn.MAXIFS(m_row,m_teacher,AJ$4,m_date,($G$2+18),m_active,1,m_start,"&lt;"&amp;900,m_end,"&gt;"&amp;840))))))</f>
        <v/>
      </c>
      <c r="AK54" s="82" t="str">
        <f aca="false">IF(OR(AK$4="",MONTH(($G$2+18))&lt;&gt;MONTH($C$2)),"",IF(COUNTIFS(m_teacher,AK$4,m_date,($G$2+18),m_active,1,m_start,"&lt;"&amp;900,m_end,"&gt;"&amp;840)=0,"",IF(COUNTIFS(m_teacher,AK$4,m_date,($G$2+18),m_active,1,m_start,"&lt;"&amp;900,m_end,"&gt;"&amp;840)&gt;1,"충돌",HYPERLINK("#'관리자_MASTER'!D"&amp;_xlfn.MAXIFS(m_row,m_teacher,AK$4,m_date,($G$2+18),m_active,1,m_start,"&lt;"&amp;900,m_end,"&gt;"&amp;840),INDEX(m_label,_xlfn.MAXIFS(m_row,m_teacher,AK$4,m_date,($G$2+18),m_active,1,m_start,"&lt;"&amp;900,m_end,"&gt;"&amp;840))))))</f>
        <v/>
      </c>
      <c r="AL54" s="82" t="str">
        <f aca="false">IF(OR(AL$4="",MONTH(($G$2+18))&lt;&gt;MONTH($C$2)),"",IF(COUNTIFS(m_teacher,AL$4,m_date,($G$2+18),m_active,1,m_start,"&lt;"&amp;900,m_end,"&gt;"&amp;840)=0,"",IF(COUNTIFS(m_teacher,AL$4,m_date,($G$2+18),m_active,1,m_start,"&lt;"&amp;900,m_end,"&gt;"&amp;840)&gt;1,"충돌",HYPERLINK("#'관리자_MASTER'!D"&amp;_xlfn.MAXIFS(m_row,m_teacher,AL$4,m_date,($G$2+18),m_active,1,m_start,"&lt;"&amp;900,m_end,"&gt;"&amp;840),INDEX(m_label,_xlfn.MAXIFS(m_row,m_teacher,AL$4,m_date,($G$2+18),m_active,1,m_start,"&lt;"&amp;900,m_end,"&gt;"&amp;840))))))</f>
        <v/>
      </c>
      <c r="AM54" s="82" t="str">
        <f aca="false">IF(OR(AM$4="",MONTH(($G$2+18))&lt;&gt;MONTH($C$2)),"",IF(COUNTIFS(m_teacher,AM$4,m_date,($G$2+18),m_active,1,m_start,"&lt;"&amp;900,m_end,"&gt;"&amp;840)=0,"",IF(COUNTIFS(m_teacher,AM$4,m_date,($G$2+18),m_active,1,m_start,"&lt;"&amp;900,m_end,"&gt;"&amp;840)&gt;1,"충돌",HYPERLINK("#'관리자_MASTER'!D"&amp;_xlfn.MAXIFS(m_row,m_teacher,AM$4,m_date,($G$2+18),m_active,1,m_start,"&lt;"&amp;900,m_end,"&gt;"&amp;840),INDEX(m_label,_xlfn.MAXIFS(m_row,m_teacher,AM$4,m_date,($G$2+18),m_active,1,m_start,"&lt;"&amp;900,m_end,"&gt;"&amp;840))))))</f>
        <v/>
      </c>
      <c r="AN54" s="82" t="str">
        <f aca="false">IF(OR(AN$4="",MONTH(($G$2+18))&lt;&gt;MONTH($C$2)),"",IF(COUNTIFS(m_teacher,AN$4,m_date,($G$2+18),m_active,1,m_start,"&lt;"&amp;900,m_end,"&gt;"&amp;840)=0,"",IF(COUNTIFS(m_teacher,AN$4,m_date,($G$2+18),m_active,1,m_start,"&lt;"&amp;900,m_end,"&gt;"&amp;840)&gt;1,"충돌",HYPERLINK("#'관리자_MASTER'!D"&amp;_xlfn.MAXIFS(m_row,m_teacher,AN$4,m_date,($G$2+18),m_active,1,m_start,"&lt;"&amp;900,m_end,"&gt;"&amp;840),INDEX(m_label,_xlfn.MAXIFS(m_row,m_teacher,AN$4,m_date,($G$2+18),m_active,1,m_start,"&lt;"&amp;900,m_end,"&gt;"&amp;840))))))</f>
        <v/>
      </c>
      <c r="AO54" s="82" t="str">
        <f aca="false">IF(OR(AO$4="",MONTH(($G$2+18))&lt;&gt;MONTH($C$2)),"",IF(COUNTIFS(m_teacher,AO$4,m_date,($G$2+18),m_active,1,m_start,"&lt;"&amp;900,m_end,"&gt;"&amp;840)=0,"",IF(COUNTIFS(m_teacher,AO$4,m_date,($G$2+18),m_active,1,m_start,"&lt;"&amp;900,m_end,"&gt;"&amp;840)&gt;1,"충돌",HYPERLINK("#'관리자_MASTER'!D"&amp;_xlfn.MAXIFS(m_row,m_teacher,AO$4,m_date,($G$2+18),m_active,1,m_start,"&lt;"&amp;900,m_end,"&gt;"&amp;840),INDEX(m_label,_xlfn.MAXIFS(m_row,m_teacher,AO$4,m_date,($G$2+18),m_active,1,m_start,"&lt;"&amp;900,m_end,"&gt;"&amp;840))))))</f>
        <v/>
      </c>
      <c r="AP54" s="82" t="str">
        <f aca="false">IF(OR(AP$4="",MONTH(($G$2+18))&lt;&gt;MONTH($C$2)),"",IF(COUNTIFS(m_teacher,AP$4,m_date,($G$2+18),m_active,1,m_start,"&lt;"&amp;900,m_end,"&gt;"&amp;840)=0,"",IF(COUNTIFS(m_teacher,AP$4,m_date,($G$2+18),m_active,1,m_start,"&lt;"&amp;900,m_end,"&gt;"&amp;840)&gt;1,"충돌",HYPERLINK("#'관리자_MASTER'!D"&amp;_xlfn.MAXIFS(m_row,m_teacher,AP$4,m_date,($G$2+18),m_active,1,m_start,"&lt;"&amp;900,m_end,"&gt;"&amp;840),INDEX(m_label,_xlfn.MAXIFS(m_row,m_teacher,AP$4,m_date,($G$2+18),m_active,1,m_start,"&lt;"&amp;900,m_end,"&gt;"&amp;840))))))</f>
        <v/>
      </c>
      <c r="AQ54" s="78"/>
      <c r="AR54" s="79" t="s">
        <v>96</v>
      </c>
      <c r="AS54" s="82" t="str">
        <f aca="false">IF(OR(AS$4="",MONTH(($G$2+25))&lt;&gt;MONTH($C$2)),"",IF(COUNTIFS(m_teacher,AS$4,m_date,($G$2+25),m_active,1,m_start,"&lt;"&amp;900,m_end,"&gt;"&amp;840)=0,"",IF(COUNTIFS(m_teacher,AS$4,m_date,($G$2+25),m_active,1,m_start,"&lt;"&amp;900,m_end,"&gt;"&amp;840)&gt;1,"충돌",HYPERLINK("#'관리자_MASTER'!D"&amp;_xlfn.MAXIFS(m_row,m_teacher,AS$4,m_date,($G$2+25),m_active,1,m_start,"&lt;"&amp;900,m_end,"&gt;"&amp;840),INDEX(m_label,_xlfn.MAXIFS(m_row,m_teacher,AS$4,m_date,($G$2+25),m_active,1,m_start,"&lt;"&amp;900,m_end,"&gt;"&amp;840))))))</f>
        <v/>
      </c>
      <c r="AT54" s="82" t="str">
        <f aca="false">IF(OR(AT$4="",MONTH(($G$2+25))&lt;&gt;MONTH($C$2)),"",IF(COUNTIFS(m_teacher,AT$4,m_date,($G$2+25),m_active,1,m_start,"&lt;"&amp;900,m_end,"&gt;"&amp;840)=0,"",IF(COUNTIFS(m_teacher,AT$4,m_date,($G$2+25),m_active,1,m_start,"&lt;"&amp;900,m_end,"&gt;"&amp;840)&gt;1,"충돌",HYPERLINK("#'관리자_MASTER'!D"&amp;_xlfn.MAXIFS(m_row,m_teacher,AT$4,m_date,($G$2+25),m_active,1,m_start,"&lt;"&amp;900,m_end,"&gt;"&amp;840),INDEX(m_label,_xlfn.MAXIFS(m_row,m_teacher,AT$4,m_date,($G$2+25),m_active,1,m_start,"&lt;"&amp;900,m_end,"&gt;"&amp;840))))))</f>
        <v/>
      </c>
      <c r="AU54" s="82" t="str">
        <f aca="false">IF(OR(AU$4="",MONTH(($G$2+25))&lt;&gt;MONTH($C$2)),"",IF(COUNTIFS(m_teacher,AU$4,m_date,($G$2+25),m_active,1,m_start,"&lt;"&amp;900,m_end,"&gt;"&amp;840)=0,"",IF(COUNTIFS(m_teacher,AU$4,m_date,($G$2+25),m_active,1,m_start,"&lt;"&amp;900,m_end,"&gt;"&amp;840)&gt;1,"충돌",HYPERLINK("#'관리자_MASTER'!D"&amp;_xlfn.MAXIFS(m_row,m_teacher,AU$4,m_date,($G$2+25),m_active,1,m_start,"&lt;"&amp;900,m_end,"&gt;"&amp;840),INDEX(m_label,_xlfn.MAXIFS(m_row,m_teacher,AU$4,m_date,($G$2+25),m_active,1,m_start,"&lt;"&amp;900,m_end,"&gt;"&amp;840))))))</f>
        <v/>
      </c>
      <c r="AV54" s="82" t="str">
        <f aca="false">IF(OR(AV$4="",MONTH(($G$2+25))&lt;&gt;MONTH($C$2)),"",IF(COUNTIFS(m_teacher,AV$4,m_date,($G$2+25),m_active,1,m_start,"&lt;"&amp;900,m_end,"&gt;"&amp;840)=0,"",IF(COUNTIFS(m_teacher,AV$4,m_date,($G$2+25),m_active,1,m_start,"&lt;"&amp;900,m_end,"&gt;"&amp;840)&gt;1,"충돌",HYPERLINK("#'관리자_MASTER'!D"&amp;_xlfn.MAXIFS(m_row,m_teacher,AV$4,m_date,($G$2+25),m_active,1,m_start,"&lt;"&amp;900,m_end,"&gt;"&amp;840),INDEX(m_label,_xlfn.MAXIFS(m_row,m_teacher,AV$4,m_date,($G$2+25),m_active,1,m_start,"&lt;"&amp;900,m_end,"&gt;"&amp;840))))))</f>
        <v/>
      </c>
      <c r="AW54" s="82" t="str">
        <f aca="false">IF(OR(AW$4="",MONTH(($G$2+25))&lt;&gt;MONTH($C$2)),"",IF(COUNTIFS(m_teacher,AW$4,m_date,($G$2+25),m_active,1,m_start,"&lt;"&amp;900,m_end,"&gt;"&amp;840)=0,"",IF(COUNTIFS(m_teacher,AW$4,m_date,($G$2+25),m_active,1,m_start,"&lt;"&amp;900,m_end,"&gt;"&amp;840)&gt;1,"충돌",HYPERLINK("#'관리자_MASTER'!D"&amp;_xlfn.MAXIFS(m_row,m_teacher,AW$4,m_date,($G$2+25),m_active,1,m_start,"&lt;"&amp;900,m_end,"&gt;"&amp;840),INDEX(m_label,_xlfn.MAXIFS(m_row,m_teacher,AW$4,m_date,($G$2+25),m_active,1,m_start,"&lt;"&amp;900,m_end,"&gt;"&amp;840))))))</f>
        <v/>
      </c>
      <c r="AX54" s="82" t="str">
        <f aca="false">IF(OR(AX$4="",MONTH(($G$2+25))&lt;&gt;MONTH($C$2)),"",IF(COUNTIFS(m_teacher,AX$4,m_date,($G$2+25),m_active,1,m_start,"&lt;"&amp;900,m_end,"&gt;"&amp;840)=0,"",IF(COUNTIFS(m_teacher,AX$4,m_date,($G$2+25),m_active,1,m_start,"&lt;"&amp;900,m_end,"&gt;"&amp;840)&gt;1,"충돌",HYPERLINK("#'관리자_MASTER'!D"&amp;_xlfn.MAXIFS(m_row,m_teacher,AX$4,m_date,($G$2+25),m_active,1,m_start,"&lt;"&amp;900,m_end,"&gt;"&amp;840),INDEX(m_label,_xlfn.MAXIFS(m_row,m_teacher,AX$4,m_date,($G$2+25),m_active,1,m_start,"&lt;"&amp;900,m_end,"&gt;"&amp;840))))))</f>
        <v/>
      </c>
      <c r="AY54" s="82" t="str">
        <f aca="false">IF(OR(AY$4="",MONTH(($G$2+25))&lt;&gt;MONTH($C$2)),"",IF(COUNTIFS(m_teacher,AY$4,m_date,($G$2+25),m_active,1,m_start,"&lt;"&amp;900,m_end,"&gt;"&amp;840)=0,"",IF(COUNTIFS(m_teacher,AY$4,m_date,($G$2+25),m_active,1,m_start,"&lt;"&amp;900,m_end,"&gt;"&amp;840)&gt;1,"충돌",HYPERLINK("#'관리자_MASTER'!D"&amp;_xlfn.MAXIFS(m_row,m_teacher,AY$4,m_date,($G$2+25),m_active,1,m_start,"&lt;"&amp;900,m_end,"&gt;"&amp;840),INDEX(m_label,_xlfn.MAXIFS(m_row,m_teacher,AY$4,m_date,($G$2+25),m_active,1,m_start,"&lt;"&amp;900,m_end,"&gt;"&amp;840))))))</f>
        <v/>
      </c>
      <c r="AZ54" s="82" t="str">
        <f aca="false">IF(OR(AZ$4="",MONTH(($G$2+25))&lt;&gt;MONTH($C$2)),"",IF(COUNTIFS(m_teacher,AZ$4,m_date,($G$2+25),m_active,1,m_start,"&lt;"&amp;900,m_end,"&gt;"&amp;840)=0,"",IF(COUNTIFS(m_teacher,AZ$4,m_date,($G$2+25),m_active,1,m_start,"&lt;"&amp;900,m_end,"&gt;"&amp;840)&gt;1,"충돌",HYPERLINK("#'관리자_MASTER'!D"&amp;_xlfn.MAXIFS(m_row,m_teacher,AZ$4,m_date,($G$2+25),m_active,1,m_start,"&lt;"&amp;900,m_end,"&gt;"&amp;840),INDEX(m_label,_xlfn.MAXIFS(m_row,m_teacher,AZ$4,m_date,($G$2+25),m_active,1,m_start,"&lt;"&amp;900,m_end,"&gt;"&amp;840))))))</f>
        <v/>
      </c>
      <c r="BA54" s="82" t="str">
        <f aca="false">IF(OR(BA$4="",MONTH(($G$2+25))&lt;&gt;MONTH($C$2)),"",IF(COUNTIFS(m_teacher,BA$4,m_date,($G$2+25),m_active,1,m_start,"&lt;"&amp;900,m_end,"&gt;"&amp;840)=0,"",IF(COUNTIFS(m_teacher,BA$4,m_date,($G$2+25),m_active,1,m_start,"&lt;"&amp;900,m_end,"&gt;"&amp;840)&gt;1,"충돌",HYPERLINK("#'관리자_MASTER'!D"&amp;_xlfn.MAXIFS(m_row,m_teacher,BA$4,m_date,($G$2+25),m_active,1,m_start,"&lt;"&amp;900,m_end,"&gt;"&amp;840),INDEX(m_label,_xlfn.MAXIFS(m_row,m_teacher,BA$4,m_date,($G$2+25),m_active,1,m_start,"&lt;"&amp;900,m_end,"&gt;"&amp;840))))))</f>
        <v/>
      </c>
      <c r="BB54" s="82" t="str">
        <f aca="false">IF(OR(BB$4="",MONTH(($G$2+25))&lt;&gt;MONTH($C$2)),"",IF(COUNTIFS(m_teacher,BB$4,m_date,($G$2+25),m_active,1,m_start,"&lt;"&amp;900,m_end,"&gt;"&amp;840)=0,"",IF(COUNTIFS(m_teacher,BB$4,m_date,($G$2+25),m_active,1,m_start,"&lt;"&amp;900,m_end,"&gt;"&amp;840)&gt;1,"충돌",HYPERLINK("#'관리자_MASTER'!D"&amp;_xlfn.MAXIFS(m_row,m_teacher,BB$4,m_date,($G$2+25),m_active,1,m_start,"&lt;"&amp;900,m_end,"&gt;"&amp;840),INDEX(m_label,_xlfn.MAXIFS(m_row,m_teacher,BB$4,m_date,($G$2+25),m_active,1,m_start,"&lt;"&amp;900,m_end,"&gt;"&amp;840))))))</f>
        <v/>
      </c>
      <c r="BC54" s="82" t="str">
        <f aca="false">IF(OR(BC$4="",MONTH(($G$2+25))&lt;&gt;MONTH($C$2)),"",IF(COUNTIFS(m_teacher,BC$4,m_date,($G$2+25),m_active,1,m_start,"&lt;"&amp;900,m_end,"&gt;"&amp;840)=0,"",IF(COUNTIFS(m_teacher,BC$4,m_date,($G$2+25),m_active,1,m_start,"&lt;"&amp;900,m_end,"&gt;"&amp;840)&gt;1,"충돌",HYPERLINK("#'관리자_MASTER'!D"&amp;_xlfn.MAXIFS(m_row,m_teacher,BC$4,m_date,($G$2+25),m_active,1,m_start,"&lt;"&amp;900,m_end,"&gt;"&amp;840),INDEX(m_label,_xlfn.MAXIFS(m_row,m_teacher,BC$4,m_date,($G$2+25),m_active,1,m_start,"&lt;"&amp;900,m_end,"&gt;"&amp;840))))))</f>
        <v/>
      </c>
      <c r="BD54" s="82" t="str">
        <f aca="false">IF(OR(BD$4="",MONTH(($G$2+25))&lt;&gt;MONTH($C$2)),"",IF(COUNTIFS(m_teacher,BD$4,m_date,($G$2+25),m_active,1,m_start,"&lt;"&amp;900,m_end,"&gt;"&amp;840)=0,"",IF(COUNTIFS(m_teacher,BD$4,m_date,($G$2+25),m_active,1,m_start,"&lt;"&amp;900,m_end,"&gt;"&amp;840)&gt;1,"충돌",HYPERLINK("#'관리자_MASTER'!D"&amp;_xlfn.MAXIFS(m_row,m_teacher,BD$4,m_date,($G$2+25),m_active,1,m_start,"&lt;"&amp;900,m_end,"&gt;"&amp;840),INDEX(m_label,_xlfn.MAXIFS(m_row,m_teacher,BD$4,m_date,($G$2+25),m_active,1,m_start,"&lt;"&amp;900,m_end,"&gt;"&amp;840))))))</f>
        <v/>
      </c>
    </row>
    <row r="55" customFormat="false" ht="19.5" hidden="false" customHeight="true" outlineLevel="0" collapsed="false">
      <c r="A55" s="78"/>
      <c r="B55" s="79" t="s">
        <v>97</v>
      </c>
      <c r="C55" s="82" t="str">
        <f aca="false">IF(OR(C$4="",MONTH(($G$2+4))&lt;&gt;MONTH($C$2)),"",IF(COUNTIFS(m_teacher,C$4,m_date,($G$2+4),m_active,1,m_start,"&lt;"&amp;960,m_end,"&gt;"&amp;900)=0,"",IF(COUNTIFS(m_teacher,C$4,m_date,($G$2+4),m_active,1,m_start,"&lt;"&amp;960,m_end,"&gt;"&amp;900)&gt;1,"충돌",HYPERLINK("#'관리자_MASTER'!D"&amp;_xlfn.MAXIFS(m_row,m_teacher,C$4,m_date,($G$2+4),m_active,1,m_start,"&lt;"&amp;960,m_end,"&gt;"&amp;900),INDEX(m_label,_xlfn.MAXIFS(m_row,m_teacher,C$4,m_date,($G$2+4),m_active,1,m_start,"&lt;"&amp;960,m_end,"&gt;"&amp;900))))))</f>
        <v/>
      </c>
      <c r="D55" s="82" t="str">
        <f aca="false">IF(OR(D$4="",MONTH(($G$2+4))&lt;&gt;MONTH($C$2)),"",IF(COUNTIFS(m_teacher,D$4,m_date,($G$2+4),m_active,1,m_start,"&lt;"&amp;960,m_end,"&gt;"&amp;900)=0,"",IF(COUNTIFS(m_teacher,D$4,m_date,($G$2+4),m_active,1,m_start,"&lt;"&amp;960,m_end,"&gt;"&amp;900)&gt;1,"충돌",HYPERLINK("#'관리자_MASTER'!D"&amp;_xlfn.MAXIFS(m_row,m_teacher,D$4,m_date,($G$2+4),m_active,1,m_start,"&lt;"&amp;960,m_end,"&gt;"&amp;900),INDEX(m_label,_xlfn.MAXIFS(m_row,m_teacher,D$4,m_date,($G$2+4),m_active,1,m_start,"&lt;"&amp;960,m_end,"&gt;"&amp;900))))))</f>
        <v/>
      </c>
      <c r="E55" s="82" t="str">
        <f aca="false">IF(OR(E$4="",MONTH(($G$2+4))&lt;&gt;MONTH($C$2)),"",IF(COUNTIFS(m_teacher,E$4,m_date,($G$2+4),m_active,1,m_start,"&lt;"&amp;960,m_end,"&gt;"&amp;900)=0,"",IF(COUNTIFS(m_teacher,E$4,m_date,($G$2+4),m_active,1,m_start,"&lt;"&amp;960,m_end,"&gt;"&amp;900)&gt;1,"충돌",HYPERLINK("#'관리자_MASTER'!D"&amp;_xlfn.MAXIFS(m_row,m_teacher,E$4,m_date,($G$2+4),m_active,1,m_start,"&lt;"&amp;960,m_end,"&gt;"&amp;900),INDEX(m_label,_xlfn.MAXIFS(m_row,m_teacher,E$4,m_date,($G$2+4),m_active,1,m_start,"&lt;"&amp;960,m_end,"&gt;"&amp;900))))))</f>
        <v/>
      </c>
      <c r="F55" s="82" t="str">
        <f aca="false">IF(OR(F$4="",MONTH(($G$2+4))&lt;&gt;MONTH($C$2)),"",IF(COUNTIFS(m_teacher,F$4,m_date,($G$2+4),m_active,1,m_start,"&lt;"&amp;960,m_end,"&gt;"&amp;900)=0,"",IF(COUNTIFS(m_teacher,F$4,m_date,($G$2+4),m_active,1,m_start,"&lt;"&amp;960,m_end,"&gt;"&amp;900)&gt;1,"충돌",HYPERLINK("#'관리자_MASTER'!D"&amp;_xlfn.MAXIFS(m_row,m_teacher,F$4,m_date,($G$2+4),m_active,1,m_start,"&lt;"&amp;960,m_end,"&gt;"&amp;900),INDEX(m_label,_xlfn.MAXIFS(m_row,m_teacher,F$4,m_date,($G$2+4),m_active,1,m_start,"&lt;"&amp;960,m_end,"&gt;"&amp;900))))))</f>
        <v/>
      </c>
      <c r="G55" s="82" t="str">
        <f aca="false">IF(OR(G$4="",MONTH(($G$2+4))&lt;&gt;MONTH($C$2)),"",IF(COUNTIFS(m_teacher,G$4,m_date,($G$2+4),m_active,1,m_start,"&lt;"&amp;960,m_end,"&gt;"&amp;900)=0,"",IF(COUNTIFS(m_teacher,G$4,m_date,($G$2+4),m_active,1,m_start,"&lt;"&amp;960,m_end,"&gt;"&amp;900)&gt;1,"충돌",HYPERLINK("#'관리자_MASTER'!D"&amp;_xlfn.MAXIFS(m_row,m_teacher,G$4,m_date,($G$2+4),m_active,1,m_start,"&lt;"&amp;960,m_end,"&gt;"&amp;900),INDEX(m_label,_xlfn.MAXIFS(m_row,m_teacher,G$4,m_date,($G$2+4),m_active,1,m_start,"&lt;"&amp;960,m_end,"&gt;"&amp;900))))))</f>
        <v/>
      </c>
      <c r="H55" s="82" t="str">
        <f aca="false">IF(OR(H$4="",MONTH(($G$2+4))&lt;&gt;MONTH($C$2)),"",IF(COUNTIFS(m_teacher,H$4,m_date,($G$2+4),m_active,1,m_start,"&lt;"&amp;960,m_end,"&gt;"&amp;900)=0,"",IF(COUNTIFS(m_teacher,H$4,m_date,($G$2+4),m_active,1,m_start,"&lt;"&amp;960,m_end,"&gt;"&amp;900)&gt;1,"충돌",HYPERLINK("#'관리자_MASTER'!D"&amp;_xlfn.MAXIFS(m_row,m_teacher,H$4,m_date,($G$2+4),m_active,1,m_start,"&lt;"&amp;960,m_end,"&gt;"&amp;900),INDEX(m_label,_xlfn.MAXIFS(m_row,m_teacher,H$4,m_date,($G$2+4),m_active,1,m_start,"&lt;"&amp;960,m_end,"&gt;"&amp;900))))))</f>
        <v/>
      </c>
      <c r="I55" s="82" t="str">
        <f aca="false">IF(OR(I$4="",MONTH(($G$2+4))&lt;&gt;MONTH($C$2)),"",IF(COUNTIFS(m_teacher,I$4,m_date,($G$2+4),m_active,1,m_start,"&lt;"&amp;960,m_end,"&gt;"&amp;900)=0,"",IF(COUNTIFS(m_teacher,I$4,m_date,($G$2+4),m_active,1,m_start,"&lt;"&amp;960,m_end,"&gt;"&amp;900)&gt;1,"충돌",HYPERLINK("#'관리자_MASTER'!D"&amp;_xlfn.MAXIFS(m_row,m_teacher,I$4,m_date,($G$2+4),m_active,1,m_start,"&lt;"&amp;960,m_end,"&gt;"&amp;900),INDEX(m_label,_xlfn.MAXIFS(m_row,m_teacher,I$4,m_date,($G$2+4),m_active,1,m_start,"&lt;"&amp;960,m_end,"&gt;"&amp;900))))))</f>
        <v/>
      </c>
      <c r="J55" s="82" t="str">
        <f aca="false">IF(OR(J$4="",MONTH(($G$2+4))&lt;&gt;MONTH($C$2)),"",IF(COUNTIFS(m_teacher,J$4,m_date,($G$2+4),m_active,1,m_start,"&lt;"&amp;960,m_end,"&gt;"&amp;900)=0,"",IF(COUNTIFS(m_teacher,J$4,m_date,($G$2+4),m_active,1,m_start,"&lt;"&amp;960,m_end,"&gt;"&amp;900)&gt;1,"충돌",HYPERLINK("#'관리자_MASTER'!D"&amp;_xlfn.MAXIFS(m_row,m_teacher,J$4,m_date,($G$2+4),m_active,1,m_start,"&lt;"&amp;960,m_end,"&gt;"&amp;900),INDEX(m_label,_xlfn.MAXIFS(m_row,m_teacher,J$4,m_date,($G$2+4),m_active,1,m_start,"&lt;"&amp;960,m_end,"&gt;"&amp;900))))))</f>
        <v/>
      </c>
      <c r="K55" s="82" t="str">
        <f aca="false">IF(OR(K$4="",MONTH(($G$2+4))&lt;&gt;MONTH($C$2)),"",IF(COUNTIFS(m_teacher,K$4,m_date,($G$2+4),m_active,1,m_start,"&lt;"&amp;960,m_end,"&gt;"&amp;900)=0,"",IF(COUNTIFS(m_teacher,K$4,m_date,($G$2+4),m_active,1,m_start,"&lt;"&amp;960,m_end,"&gt;"&amp;900)&gt;1,"충돌",HYPERLINK("#'관리자_MASTER'!D"&amp;_xlfn.MAXIFS(m_row,m_teacher,K$4,m_date,($G$2+4),m_active,1,m_start,"&lt;"&amp;960,m_end,"&gt;"&amp;900),INDEX(m_label,_xlfn.MAXIFS(m_row,m_teacher,K$4,m_date,($G$2+4),m_active,1,m_start,"&lt;"&amp;960,m_end,"&gt;"&amp;900))))))</f>
        <v/>
      </c>
      <c r="L55" s="82" t="str">
        <f aca="false">IF(OR(L$4="",MONTH(($G$2+4))&lt;&gt;MONTH($C$2)),"",IF(COUNTIFS(m_teacher,L$4,m_date,($G$2+4),m_active,1,m_start,"&lt;"&amp;960,m_end,"&gt;"&amp;900)=0,"",IF(COUNTIFS(m_teacher,L$4,m_date,($G$2+4),m_active,1,m_start,"&lt;"&amp;960,m_end,"&gt;"&amp;900)&gt;1,"충돌",HYPERLINK("#'관리자_MASTER'!D"&amp;_xlfn.MAXIFS(m_row,m_teacher,L$4,m_date,($G$2+4),m_active,1,m_start,"&lt;"&amp;960,m_end,"&gt;"&amp;900),INDEX(m_label,_xlfn.MAXIFS(m_row,m_teacher,L$4,m_date,($G$2+4),m_active,1,m_start,"&lt;"&amp;960,m_end,"&gt;"&amp;900))))))</f>
        <v/>
      </c>
      <c r="M55" s="82" t="str">
        <f aca="false">IF(OR(M$4="",MONTH(($G$2+4))&lt;&gt;MONTH($C$2)),"",IF(COUNTIFS(m_teacher,M$4,m_date,($G$2+4),m_active,1,m_start,"&lt;"&amp;960,m_end,"&gt;"&amp;900)=0,"",IF(COUNTIFS(m_teacher,M$4,m_date,($G$2+4),m_active,1,m_start,"&lt;"&amp;960,m_end,"&gt;"&amp;900)&gt;1,"충돌",HYPERLINK("#'관리자_MASTER'!D"&amp;_xlfn.MAXIFS(m_row,m_teacher,M$4,m_date,($G$2+4),m_active,1,m_start,"&lt;"&amp;960,m_end,"&gt;"&amp;900),INDEX(m_label,_xlfn.MAXIFS(m_row,m_teacher,M$4,m_date,($G$2+4),m_active,1,m_start,"&lt;"&amp;960,m_end,"&gt;"&amp;900))))))</f>
        <v/>
      </c>
      <c r="N55" s="82" t="str">
        <f aca="false">IF(OR(N$4="",MONTH(($G$2+4))&lt;&gt;MONTH($C$2)),"",IF(COUNTIFS(m_teacher,N$4,m_date,($G$2+4),m_active,1,m_start,"&lt;"&amp;960,m_end,"&gt;"&amp;900)=0,"",IF(COUNTIFS(m_teacher,N$4,m_date,($G$2+4),m_active,1,m_start,"&lt;"&amp;960,m_end,"&gt;"&amp;900)&gt;1,"충돌",HYPERLINK("#'관리자_MASTER'!D"&amp;_xlfn.MAXIFS(m_row,m_teacher,N$4,m_date,($G$2+4),m_active,1,m_start,"&lt;"&amp;960,m_end,"&gt;"&amp;900),INDEX(m_label,_xlfn.MAXIFS(m_row,m_teacher,N$4,m_date,($G$2+4),m_active,1,m_start,"&lt;"&amp;960,m_end,"&gt;"&amp;900))))))</f>
        <v/>
      </c>
      <c r="O55" s="78"/>
      <c r="P55" s="79" t="s">
        <v>97</v>
      </c>
      <c r="Q55" s="82" t="str">
        <f aca="false">IF(OR(Q$4="",MONTH(($G$2+11))&lt;&gt;MONTH($C$2)),"",IF(COUNTIFS(m_teacher,Q$4,m_date,($G$2+11),m_active,1,m_start,"&lt;"&amp;960,m_end,"&gt;"&amp;900)=0,"",IF(COUNTIFS(m_teacher,Q$4,m_date,($G$2+11),m_active,1,m_start,"&lt;"&amp;960,m_end,"&gt;"&amp;900)&gt;1,"충돌",HYPERLINK("#'관리자_MASTER'!D"&amp;_xlfn.MAXIFS(m_row,m_teacher,Q$4,m_date,($G$2+11),m_active,1,m_start,"&lt;"&amp;960,m_end,"&gt;"&amp;900),INDEX(m_label,_xlfn.MAXIFS(m_row,m_teacher,Q$4,m_date,($G$2+11),m_active,1,m_start,"&lt;"&amp;960,m_end,"&gt;"&amp;900))))))</f>
        <v/>
      </c>
      <c r="R55" s="82" t="str">
        <f aca="false">IF(OR(R$4="",MONTH(($G$2+11))&lt;&gt;MONTH($C$2)),"",IF(COUNTIFS(m_teacher,R$4,m_date,($G$2+11),m_active,1,m_start,"&lt;"&amp;960,m_end,"&gt;"&amp;900)=0,"",IF(COUNTIFS(m_teacher,R$4,m_date,($G$2+11),m_active,1,m_start,"&lt;"&amp;960,m_end,"&gt;"&amp;900)&gt;1,"충돌",HYPERLINK("#'관리자_MASTER'!D"&amp;_xlfn.MAXIFS(m_row,m_teacher,R$4,m_date,($G$2+11),m_active,1,m_start,"&lt;"&amp;960,m_end,"&gt;"&amp;900),INDEX(m_label,_xlfn.MAXIFS(m_row,m_teacher,R$4,m_date,($G$2+11),m_active,1,m_start,"&lt;"&amp;960,m_end,"&gt;"&amp;900))))))</f>
        <v/>
      </c>
      <c r="S55" s="82" t="str">
        <f aca="false">IF(OR(S$4="",MONTH(($G$2+11))&lt;&gt;MONTH($C$2)),"",IF(COUNTIFS(m_teacher,S$4,m_date,($G$2+11),m_active,1,m_start,"&lt;"&amp;960,m_end,"&gt;"&amp;900)=0,"",IF(COUNTIFS(m_teacher,S$4,m_date,($G$2+11),m_active,1,m_start,"&lt;"&amp;960,m_end,"&gt;"&amp;900)&gt;1,"충돌",HYPERLINK("#'관리자_MASTER'!D"&amp;_xlfn.MAXIFS(m_row,m_teacher,S$4,m_date,($G$2+11),m_active,1,m_start,"&lt;"&amp;960,m_end,"&gt;"&amp;900),INDEX(m_label,_xlfn.MAXIFS(m_row,m_teacher,S$4,m_date,($G$2+11),m_active,1,m_start,"&lt;"&amp;960,m_end,"&gt;"&amp;900))))))</f>
        <v/>
      </c>
      <c r="T55" s="82" t="str">
        <f aca="false">IF(OR(T$4="",MONTH(($G$2+11))&lt;&gt;MONTH($C$2)),"",IF(COUNTIFS(m_teacher,T$4,m_date,($G$2+11),m_active,1,m_start,"&lt;"&amp;960,m_end,"&gt;"&amp;900)=0,"",IF(COUNTIFS(m_teacher,T$4,m_date,($G$2+11),m_active,1,m_start,"&lt;"&amp;960,m_end,"&gt;"&amp;900)&gt;1,"충돌",HYPERLINK("#'관리자_MASTER'!D"&amp;_xlfn.MAXIFS(m_row,m_teacher,T$4,m_date,($G$2+11),m_active,1,m_start,"&lt;"&amp;960,m_end,"&gt;"&amp;900),INDEX(m_label,_xlfn.MAXIFS(m_row,m_teacher,T$4,m_date,($G$2+11),m_active,1,m_start,"&lt;"&amp;960,m_end,"&gt;"&amp;900))))))</f>
        <v/>
      </c>
      <c r="U55" s="82" t="str">
        <f aca="false">IF(OR(U$4="",MONTH(($G$2+11))&lt;&gt;MONTH($C$2)),"",IF(COUNTIFS(m_teacher,U$4,m_date,($G$2+11),m_active,1,m_start,"&lt;"&amp;960,m_end,"&gt;"&amp;900)=0,"",IF(COUNTIFS(m_teacher,U$4,m_date,($G$2+11),m_active,1,m_start,"&lt;"&amp;960,m_end,"&gt;"&amp;900)&gt;1,"충돌",HYPERLINK("#'관리자_MASTER'!D"&amp;_xlfn.MAXIFS(m_row,m_teacher,U$4,m_date,($G$2+11),m_active,1,m_start,"&lt;"&amp;960,m_end,"&gt;"&amp;900),INDEX(m_label,_xlfn.MAXIFS(m_row,m_teacher,U$4,m_date,($G$2+11),m_active,1,m_start,"&lt;"&amp;960,m_end,"&gt;"&amp;900))))))</f>
        <v/>
      </c>
      <c r="V55" s="82" t="str">
        <f aca="false">IF(OR(V$4="",MONTH(($G$2+11))&lt;&gt;MONTH($C$2)),"",IF(COUNTIFS(m_teacher,V$4,m_date,($G$2+11),m_active,1,m_start,"&lt;"&amp;960,m_end,"&gt;"&amp;900)=0,"",IF(COUNTIFS(m_teacher,V$4,m_date,($G$2+11),m_active,1,m_start,"&lt;"&amp;960,m_end,"&gt;"&amp;900)&gt;1,"충돌",HYPERLINK("#'관리자_MASTER'!D"&amp;_xlfn.MAXIFS(m_row,m_teacher,V$4,m_date,($G$2+11),m_active,1,m_start,"&lt;"&amp;960,m_end,"&gt;"&amp;900),INDEX(m_label,_xlfn.MAXIFS(m_row,m_teacher,V$4,m_date,($G$2+11),m_active,1,m_start,"&lt;"&amp;960,m_end,"&gt;"&amp;900))))))</f>
        <v/>
      </c>
      <c r="W55" s="82" t="str">
        <f aca="false">IF(OR(W$4="",MONTH(($G$2+11))&lt;&gt;MONTH($C$2)),"",IF(COUNTIFS(m_teacher,W$4,m_date,($G$2+11),m_active,1,m_start,"&lt;"&amp;960,m_end,"&gt;"&amp;900)=0,"",IF(COUNTIFS(m_teacher,W$4,m_date,($G$2+11),m_active,1,m_start,"&lt;"&amp;960,m_end,"&gt;"&amp;900)&gt;1,"충돌",HYPERLINK("#'관리자_MASTER'!D"&amp;_xlfn.MAXIFS(m_row,m_teacher,W$4,m_date,($G$2+11),m_active,1,m_start,"&lt;"&amp;960,m_end,"&gt;"&amp;900),INDEX(m_label,_xlfn.MAXIFS(m_row,m_teacher,W$4,m_date,($G$2+11),m_active,1,m_start,"&lt;"&amp;960,m_end,"&gt;"&amp;900))))))</f>
        <v/>
      </c>
      <c r="X55" s="82" t="str">
        <f aca="false">IF(OR(X$4="",MONTH(($G$2+11))&lt;&gt;MONTH($C$2)),"",IF(COUNTIFS(m_teacher,X$4,m_date,($G$2+11),m_active,1,m_start,"&lt;"&amp;960,m_end,"&gt;"&amp;900)=0,"",IF(COUNTIFS(m_teacher,X$4,m_date,($G$2+11),m_active,1,m_start,"&lt;"&amp;960,m_end,"&gt;"&amp;900)&gt;1,"충돌",HYPERLINK("#'관리자_MASTER'!D"&amp;_xlfn.MAXIFS(m_row,m_teacher,X$4,m_date,($G$2+11),m_active,1,m_start,"&lt;"&amp;960,m_end,"&gt;"&amp;900),INDEX(m_label,_xlfn.MAXIFS(m_row,m_teacher,X$4,m_date,($G$2+11),m_active,1,m_start,"&lt;"&amp;960,m_end,"&gt;"&amp;900))))))</f>
        <v/>
      </c>
      <c r="Y55" s="82" t="str">
        <f aca="false">IF(OR(Y$4="",MONTH(($G$2+11))&lt;&gt;MONTH($C$2)),"",IF(COUNTIFS(m_teacher,Y$4,m_date,($G$2+11),m_active,1,m_start,"&lt;"&amp;960,m_end,"&gt;"&amp;900)=0,"",IF(COUNTIFS(m_teacher,Y$4,m_date,($G$2+11),m_active,1,m_start,"&lt;"&amp;960,m_end,"&gt;"&amp;900)&gt;1,"충돌",HYPERLINK("#'관리자_MASTER'!D"&amp;_xlfn.MAXIFS(m_row,m_teacher,Y$4,m_date,($G$2+11),m_active,1,m_start,"&lt;"&amp;960,m_end,"&gt;"&amp;900),INDEX(m_label,_xlfn.MAXIFS(m_row,m_teacher,Y$4,m_date,($G$2+11),m_active,1,m_start,"&lt;"&amp;960,m_end,"&gt;"&amp;900))))))</f>
        <v/>
      </c>
      <c r="Z55" s="82" t="str">
        <f aca="false">IF(OR(Z$4="",MONTH(($G$2+11))&lt;&gt;MONTH($C$2)),"",IF(COUNTIFS(m_teacher,Z$4,m_date,($G$2+11),m_active,1,m_start,"&lt;"&amp;960,m_end,"&gt;"&amp;900)=0,"",IF(COUNTIFS(m_teacher,Z$4,m_date,($G$2+11),m_active,1,m_start,"&lt;"&amp;960,m_end,"&gt;"&amp;900)&gt;1,"충돌",HYPERLINK("#'관리자_MASTER'!D"&amp;_xlfn.MAXIFS(m_row,m_teacher,Z$4,m_date,($G$2+11),m_active,1,m_start,"&lt;"&amp;960,m_end,"&gt;"&amp;900),INDEX(m_label,_xlfn.MAXIFS(m_row,m_teacher,Z$4,m_date,($G$2+11),m_active,1,m_start,"&lt;"&amp;960,m_end,"&gt;"&amp;900))))))</f>
        <v/>
      </c>
      <c r="AA55" s="82" t="str">
        <f aca="false">IF(OR(AA$4="",MONTH(($G$2+11))&lt;&gt;MONTH($C$2)),"",IF(COUNTIFS(m_teacher,AA$4,m_date,($G$2+11),m_active,1,m_start,"&lt;"&amp;960,m_end,"&gt;"&amp;900)=0,"",IF(COUNTIFS(m_teacher,AA$4,m_date,($G$2+11),m_active,1,m_start,"&lt;"&amp;960,m_end,"&gt;"&amp;900)&gt;1,"충돌",HYPERLINK("#'관리자_MASTER'!D"&amp;_xlfn.MAXIFS(m_row,m_teacher,AA$4,m_date,($G$2+11),m_active,1,m_start,"&lt;"&amp;960,m_end,"&gt;"&amp;900),INDEX(m_label,_xlfn.MAXIFS(m_row,m_teacher,AA$4,m_date,($G$2+11),m_active,1,m_start,"&lt;"&amp;960,m_end,"&gt;"&amp;900))))))</f>
        <v/>
      </c>
      <c r="AB55" s="82" t="str">
        <f aca="false">IF(OR(AB$4="",MONTH(($G$2+11))&lt;&gt;MONTH($C$2)),"",IF(COUNTIFS(m_teacher,AB$4,m_date,($G$2+11),m_active,1,m_start,"&lt;"&amp;960,m_end,"&gt;"&amp;900)=0,"",IF(COUNTIFS(m_teacher,AB$4,m_date,($G$2+11),m_active,1,m_start,"&lt;"&amp;960,m_end,"&gt;"&amp;900)&gt;1,"충돌",HYPERLINK("#'관리자_MASTER'!D"&amp;_xlfn.MAXIFS(m_row,m_teacher,AB$4,m_date,($G$2+11),m_active,1,m_start,"&lt;"&amp;960,m_end,"&gt;"&amp;900),INDEX(m_label,_xlfn.MAXIFS(m_row,m_teacher,AB$4,m_date,($G$2+11),m_active,1,m_start,"&lt;"&amp;960,m_end,"&gt;"&amp;900))))))</f>
        <v/>
      </c>
      <c r="AC55" s="78"/>
      <c r="AD55" s="79" t="s">
        <v>97</v>
      </c>
      <c r="AE55" s="82" t="str">
        <f aca="false">IF(OR(AE$4="",MONTH(($G$2+18))&lt;&gt;MONTH($C$2)),"",IF(COUNTIFS(m_teacher,AE$4,m_date,($G$2+18),m_active,1,m_start,"&lt;"&amp;960,m_end,"&gt;"&amp;900)=0,"",IF(COUNTIFS(m_teacher,AE$4,m_date,($G$2+18),m_active,1,m_start,"&lt;"&amp;960,m_end,"&gt;"&amp;900)&gt;1,"충돌",HYPERLINK("#'관리자_MASTER'!D"&amp;_xlfn.MAXIFS(m_row,m_teacher,AE$4,m_date,($G$2+18),m_active,1,m_start,"&lt;"&amp;960,m_end,"&gt;"&amp;900),INDEX(m_label,_xlfn.MAXIFS(m_row,m_teacher,AE$4,m_date,($G$2+18),m_active,1,m_start,"&lt;"&amp;960,m_end,"&gt;"&amp;900))))))</f>
        <v/>
      </c>
      <c r="AF55" s="82" t="str">
        <f aca="false">IF(OR(AF$4="",MONTH(($G$2+18))&lt;&gt;MONTH($C$2)),"",IF(COUNTIFS(m_teacher,AF$4,m_date,($G$2+18),m_active,1,m_start,"&lt;"&amp;960,m_end,"&gt;"&amp;900)=0,"",IF(COUNTIFS(m_teacher,AF$4,m_date,($G$2+18),m_active,1,m_start,"&lt;"&amp;960,m_end,"&gt;"&amp;900)&gt;1,"충돌",HYPERLINK("#'관리자_MASTER'!D"&amp;_xlfn.MAXIFS(m_row,m_teacher,AF$4,m_date,($G$2+18),m_active,1,m_start,"&lt;"&amp;960,m_end,"&gt;"&amp;900),INDEX(m_label,_xlfn.MAXIFS(m_row,m_teacher,AF$4,m_date,($G$2+18),m_active,1,m_start,"&lt;"&amp;960,m_end,"&gt;"&amp;900))))))</f>
        <v/>
      </c>
      <c r="AG55" s="82" t="str">
        <f aca="false">IF(OR(AG$4="",MONTH(($G$2+18))&lt;&gt;MONTH($C$2)),"",IF(COUNTIFS(m_teacher,AG$4,m_date,($G$2+18),m_active,1,m_start,"&lt;"&amp;960,m_end,"&gt;"&amp;900)=0,"",IF(COUNTIFS(m_teacher,AG$4,m_date,($G$2+18),m_active,1,m_start,"&lt;"&amp;960,m_end,"&gt;"&amp;900)&gt;1,"충돌",HYPERLINK("#'관리자_MASTER'!D"&amp;_xlfn.MAXIFS(m_row,m_teacher,AG$4,m_date,($G$2+18),m_active,1,m_start,"&lt;"&amp;960,m_end,"&gt;"&amp;900),INDEX(m_label,_xlfn.MAXIFS(m_row,m_teacher,AG$4,m_date,($G$2+18),m_active,1,m_start,"&lt;"&amp;960,m_end,"&gt;"&amp;900))))))</f>
        <v/>
      </c>
      <c r="AH55" s="82" t="str">
        <f aca="false">IF(OR(AH$4="",MONTH(($G$2+18))&lt;&gt;MONTH($C$2)),"",IF(COUNTIFS(m_teacher,AH$4,m_date,($G$2+18),m_active,1,m_start,"&lt;"&amp;960,m_end,"&gt;"&amp;900)=0,"",IF(COUNTIFS(m_teacher,AH$4,m_date,($G$2+18),m_active,1,m_start,"&lt;"&amp;960,m_end,"&gt;"&amp;900)&gt;1,"충돌",HYPERLINK("#'관리자_MASTER'!D"&amp;_xlfn.MAXIFS(m_row,m_teacher,AH$4,m_date,($G$2+18),m_active,1,m_start,"&lt;"&amp;960,m_end,"&gt;"&amp;900),INDEX(m_label,_xlfn.MAXIFS(m_row,m_teacher,AH$4,m_date,($G$2+18),m_active,1,m_start,"&lt;"&amp;960,m_end,"&gt;"&amp;900))))))</f>
        <v/>
      </c>
      <c r="AI55" s="82" t="str">
        <f aca="false">IF(OR(AI$4="",MONTH(($G$2+18))&lt;&gt;MONTH($C$2)),"",IF(COUNTIFS(m_teacher,AI$4,m_date,($G$2+18),m_active,1,m_start,"&lt;"&amp;960,m_end,"&gt;"&amp;900)=0,"",IF(COUNTIFS(m_teacher,AI$4,m_date,($G$2+18),m_active,1,m_start,"&lt;"&amp;960,m_end,"&gt;"&amp;900)&gt;1,"충돌",HYPERLINK("#'관리자_MASTER'!D"&amp;_xlfn.MAXIFS(m_row,m_teacher,AI$4,m_date,($G$2+18),m_active,1,m_start,"&lt;"&amp;960,m_end,"&gt;"&amp;900),INDEX(m_label,_xlfn.MAXIFS(m_row,m_teacher,AI$4,m_date,($G$2+18),m_active,1,m_start,"&lt;"&amp;960,m_end,"&gt;"&amp;900))))))</f>
        <v/>
      </c>
      <c r="AJ55" s="82" t="str">
        <f aca="false">IF(OR(AJ$4="",MONTH(($G$2+18))&lt;&gt;MONTH($C$2)),"",IF(COUNTIFS(m_teacher,AJ$4,m_date,($G$2+18),m_active,1,m_start,"&lt;"&amp;960,m_end,"&gt;"&amp;900)=0,"",IF(COUNTIFS(m_teacher,AJ$4,m_date,($G$2+18),m_active,1,m_start,"&lt;"&amp;960,m_end,"&gt;"&amp;900)&gt;1,"충돌",HYPERLINK("#'관리자_MASTER'!D"&amp;_xlfn.MAXIFS(m_row,m_teacher,AJ$4,m_date,($G$2+18),m_active,1,m_start,"&lt;"&amp;960,m_end,"&gt;"&amp;900),INDEX(m_label,_xlfn.MAXIFS(m_row,m_teacher,AJ$4,m_date,($G$2+18),m_active,1,m_start,"&lt;"&amp;960,m_end,"&gt;"&amp;900))))))</f>
        <v/>
      </c>
      <c r="AK55" s="82" t="str">
        <f aca="false">IF(OR(AK$4="",MONTH(($G$2+18))&lt;&gt;MONTH($C$2)),"",IF(COUNTIFS(m_teacher,AK$4,m_date,($G$2+18),m_active,1,m_start,"&lt;"&amp;960,m_end,"&gt;"&amp;900)=0,"",IF(COUNTIFS(m_teacher,AK$4,m_date,($G$2+18),m_active,1,m_start,"&lt;"&amp;960,m_end,"&gt;"&amp;900)&gt;1,"충돌",HYPERLINK("#'관리자_MASTER'!D"&amp;_xlfn.MAXIFS(m_row,m_teacher,AK$4,m_date,($G$2+18),m_active,1,m_start,"&lt;"&amp;960,m_end,"&gt;"&amp;900),INDEX(m_label,_xlfn.MAXIFS(m_row,m_teacher,AK$4,m_date,($G$2+18),m_active,1,m_start,"&lt;"&amp;960,m_end,"&gt;"&amp;900))))))</f>
        <v/>
      </c>
      <c r="AL55" s="82" t="str">
        <f aca="false">IF(OR(AL$4="",MONTH(($G$2+18))&lt;&gt;MONTH($C$2)),"",IF(COUNTIFS(m_teacher,AL$4,m_date,($G$2+18),m_active,1,m_start,"&lt;"&amp;960,m_end,"&gt;"&amp;900)=0,"",IF(COUNTIFS(m_teacher,AL$4,m_date,($G$2+18),m_active,1,m_start,"&lt;"&amp;960,m_end,"&gt;"&amp;900)&gt;1,"충돌",HYPERLINK("#'관리자_MASTER'!D"&amp;_xlfn.MAXIFS(m_row,m_teacher,AL$4,m_date,($G$2+18),m_active,1,m_start,"&lt;"&amp;960,m_end,"&gt;"&amp;900),INDEX(m_label,_xlfn.MAXIFS(m_row,m_teacher,AL$4,m_date,($G$2+18),m_active,1,m_start,"&lt;"&amp;960,m_end,"&gt;"&amp;900))))))</f>
        <v/>
      </c>
      <c r="AM55" s="82" t="str">
        <f aca="false">IF(OR(AM$4="",MONTH(($G$2+18))&lt;&gt;MONTH($C$2)),"",IF(COUNTIFS(m_teacher,AM$4,m_date,($G$2+18),m_active,1,m_start,"&lt;"&amp;960,m_end,"&gt;"&amp;900)=0,"",IF(COUNTIFS(m_teacher,AM$4,m_date,($G$2+18),m_active,1,m_start,"&lt;"&amp;960,m_end,"&gt;"&amp;900)&gt;1,"충돌",HYPERLINK("#'관리자_MASTER'!D"&amp;_xlfn.MAXIFS(m_row,m_teacher,AM$4,m_date,($G$2+18),m_active,1,m_start,"&lt;"&amp;960,m_end,"&gt;"&amp;900),INDEX(m_label,_xlfn.MAXIFS(m_row,m_teacher,AM$4,m_date,($G$2+18),m_active,1,m_start,"&lt;"&amp;960,m_end,"&gt;"&amp;900))))))</f>
        <v/>
      </c>
      <c r="AN55" s="82" t="str">
        <f aca="false">IF(OR(AN$4="",MONTH(($G$2+18))&lt;&gt;MONTH($C$2)),"",IF(COUNTIFS(m_teacher,AN$4,m_date,($G$2+18),m_active,1,m_start,"&lt;"&amp;960,m_end,"&gt;"&amp;900)=0,"",IF(COUNTIFS(m_teacher,AN$4,m_date,($G$2+18),m_active,1,m_start,"&lt;"&amp;960,m_end,"&gt;"&amp;900)&gt;1,"충돌",HYPERLINK("#'관리자_MASTER'!D"&amp;_xlfn.MAXIFS(m_row,m_teacher,AN$4,m_date,($G$2+18),m_active,1,m_start,"&lt;"&amp;960,m_end,"&gt;"&amp;900),INDEX(m_label,_xlfn.MAXIFS(m_row,m_teacher,AN$4,m_date,($G$2+18),m_active,1,m_start,"&lt;"&amp;960,m_end,"&gt;"&amp;900))))))</f>
        <v/>
      </c>
      <c r="AO55" s="82" t="str">
        <f aca="false">IF(OR(AO$4="",MONTH(($G$2+18))&lt;&gt;MONTH($C$2)),"",IF(COUNTIFS(m_teacher,AO$4,m_date,($G$2+18),m_active,1,m_start,"&lt;"&amp;960,m_end,"&gt;"&amp;900)=0,"",IF(COUNTIFS(m_teacher,AO$4,m_date,($G$2+18),m_active,1,m_start,"&lt;"&amp;960,m_end,"&gt;"&amp;900)&gt;1,"충돌",HYPERLINK("#'관리자_MASTER'!D"&amp;_xlfn.MAXIFS(m_row,m_teacher,AO$4,m_date,($G$2+18),m_active,1,m_start,"&lt;"&amp;960,m_end,"&gt;"&amp;900),INDEX(m_label,_xlfn.MAXIFS(m_row,m_teacher,AO$4,m_date,($G$2+18),m_active,1,m_start,"&lt;"&amp;960,m_end,"&gt;"&amp;900))))))</f>
        <v/>
      </c>
      <c r="AP55" s="82" t="str">
        <f aca="false">IF(OR(AP$4="",MONTH(($G$2+18))&lt;&gt;MONTH($C$2)),"",IF(COUNTIFS(m_teacher,AP$4,m_date,($G$2+18),m_active,1,m_start,"&lt;"&amp;960,m_end,"&gt;"&amp;900)=0,"",IF(COUNTIFS(m_teacher,AP$4,m_date,($G$2+18),m_active,1,m_start,"&lt;"&amp;960,m_end,"&gt;"&amp;900)&gt;1,"충돌",HYPERLINK("#'관리자_MASTER'!D"&amp;_xlfn.MAXIFS(m_row,m_teacher,AP$4,m_date,($G$2+18),m_active,1,m_start,"&lt;"&amp;960,m_end,"&gt;"&amp;900),INDEX(m_label,_xlfn.MAXIFS(m_row,m_teacher,AP$4,m_date,($G$2+18),m_active,1,m_start,"&lt;"&amp;960,m_end,"&gt;"&amp;900))))))</f>
        <v/>
      </c>
      <c r="AQ55" s="78"/>
      <c r="AR55" s="79" t="s">
        <v>97</v>
      </c>
      <c r="AS55" s="82" t="str">
        <f aca="false">IF(OR(AS$4="",MONTH(($G$2+25))&lt;&gt;MONTH($C$2)),"",IF(COUNTIFS(m_teacher,AS$4,m_date,($G$2+25),m_active,1,m_start,"&lt;"&amp;960,m_end,"&gt;"&amp;900)=0,"",IF(COUNTIFS(m_teacher,AS$4,m_date,($G$2+25),m_active,1,m_start,"&lt;"&amp;960,m_end,"&gt;"&amp;900)&gt;1,"충돌",HYPERLINK("#'관리자_MASTER'!D"&amp;_xlfn.MAXIFS(m_row,m_teacher,AS$4,m_date,($G$2+25),m_active,1,m_start,"&lt;"&amp;960,m_end,"&gt;"&amp;900),INDEX(m_label,_xlfn.MAXIFS(m_row,m_teacher,AS$4,m_date,($G$2+25),m_active,1,m_start,"&lt;"&amp;960,m_end,"&gt;"&amp;900))))))</f>
        <v/>
      </c>
      <c r="AT55" s="82" t="str">
        <f aca="false">IF(OR(AT$4="",MONTH(($G$2+25))&lt;&gt;MONTH($C$2)),"",IF(COUNTIFS(m_teacher,AT$4,m_date,($G$2+25),m_active,1,m_start,"&lt;"&amp;960,m_end,"&gt;"&amp;900)=0,"",IF(COUNTIFS(m_teacher,AT$4,m_date,($G$2+25),m_active,1,m_start,"&lt;"&amp;960,m_end,"&gt;"&amp;900)&gt;1,"충돌",HYPERLINK("#'관리자_MASTER'!D"&amp;_xlfn.MAXIFS(m_row,m_teacher,AT$4,m_date,($G$2+25),m_active,1,m_start,"&lt;"&amp;960,m_end,"&gt;"&amp;900),INDEX(m_label,_xlfn.MAXIFS(m_row,m_teacher,AT$4,m_date,($G$2+25),m_active,1,m_start,"&lt;"&amp;960,m_end,"&gt;"&amp;900))))))</f>
        <v/>
      </c>
      <c r="AU55" s="82" t="str">
        <f aca="false">IF(OR(AU$4="",MONTH(($G$2+25))&lt;&gt;MONTH($C$2)),"",IF(COUNTIFS(m_teacher,AU$4,m_date,($G$2+25),m_active,1,m_start,"&lt;"&amp;960,m_end,"&gt;"&amp;900)=0,"",IF(COUNTIFS(m_teacher,AU$4,m_date,($G$2+25),m_active,1,m_start,"&lt;"&amp;960,m_end,"&gt;"&amp;900)&gt;1,"충돌",HYPERLINK("#'관리자_MASTER'!D"&amp;_xlfn.MAXIFS(m_row,m_teacher,AU$4,m_date,($G$2+25),m_active,1,m_start,"&lt;"&amp;960,m_end,"&gt;"&amp;900),INDEX(m_label,_xlfn.MAXIFS(m_row,m_teacher,AU$4,m_date,($G$2+25),m_active,1,m_start,"&lt;"&amp;960,m_end,"&gt;"&amp;900))))))</f>
        <v/>
      </c>
      <c r="AV55" s="82" t="str">
        <f aca="false">IF(OR(AV$4="",MONTH(($G$2+25))&lt;&gt;MONTH($C$2)),"",IF(COUNTIFS(m_teacher,AV$4,m_date,($G$2+25),m_active,1,m_start,"&lt;"&amp;960,m_end,"&gt;"&amp;900)=0,"",IF(COUNTIFS(m_teacher,AV$4,m_date,($G$2+25),m_active,1,m_start,"&lt;"&amp;960,m_end,"&gt;"&amp;900)&gt;1,"충돌",HYPERLINK("#'관리자_MASTER'!D"&amp;_xlfn.MAXIFS(m_row,m_teacher,AV$4,m_date,($G$2+25),m_active,1,m_start,"&lt;"&amp;960,m_end,"&gt;"&amp;900),INDEX(m_label,_xlfn.MAXIFS(m_row,m_teacher,AV$4,m_date,($G$2+25),m_active,1,m_start,"&lt;"&amp;960,m_end,"&gt;"&amp;900))))))</f>
        <v/>
      </c>
      <c r="AW55" s="82" t="str">
        <f aca="false">IF(OR(AW$4="",MONTH(($G$2+25))&lt;&gt;MONTH($C$2)),"",IF(COUNTIFS(m_teacher,AW$4,m_date,($G$2+25),m_active,1,m_start,"&lt;"&amp;960,m_end,"&gt;"&amp;900)=0,"",IF(COUNTIFS(m_teacher,AW$4,m_date,($G$2+25),m_active,1,m_start,"&lt;"&amp;960,m_end,"&gt;"&amp;900)&gt;1,"충돌",HYPERLINK("#'관리자_MASTER'!D"&amp;_xlfn.MAXIFS(m_row,m_teacher,AW$4,m_date,($G$2+25),m_active,1,m_start,"&lt;"&amp;960,m_end,"&gt;"&amp;900),INDEX(m_label,_xlfn.MAXIFS(m_row,m_teacher,AW$4,m_date,($G$2+25),m_active,1,m_start,"&lt;"&amp;960,m_end,"&gt;"&amp;900))))))</f>
        <v/>
      </c>
      <c r="AX55" s="82" t="str">
        <f aca="false">IF(OR(AX$4="",MONTH(($G$2+25))&lt;&gt;MONTH($C$2)),"",IF(COUNTIFS(m_teacher,AX$4,m_date,($G$2+25),m_active,1,m_start,"&lt;"&amp;960,m_end,"&gt;"&amp;900)=0,"",IF(COUNTIFS(m_teacher,AX$4,m_date,($G$2+25),m_active,1,m_start,"&lt;"&amp;960,m_end,"&gt;"&amp;900)&gt;1,"충돌",HYPERLINK("#'관리자_MASTER'!D"&amp;_xlfn.MAXIFS(m_row,m_teacher,AX$4,m_date,($G$2+25),m_active,1,m_start,"&lt;"&amp;960,m_end,"&gt;"&amp;900),INDEX(m_label,_xlfn.MAXIFS(m_row,m_teacher,AX$4,m_date,($G$2+25),m_active,1,m_start,"&lt;"&amp;960,m_end,"&gt;"&amp;900))))))</f>
        <v/>
      </c>
      <c r="AY55" s="82" t="str">
        <f aca="false">IF(OR(AY$4="",MONTH(($G$2+25))&lt;&gt;MONTH($C$2)),"",IF(COUNTIFS(m_teacher,AY$4,m_date,($G$2+25),m_active,1,m_start,"&lt;"&amp;960,m_end,"&gt;"&amp;900)=0,"",IF(COUNTIFS(m_teacher,AY$4,m_date,($G$2+25),m_active,1,m_start,"&lt;"&amp;960,m_end,"&gt;"&amp;900)&gt;1,"충돌",HYPERLINK("#'관리자_MASTER'!D"&amp;_xlfn.MAXIFS(m_row,m_teacher,AY$4,m_date,($G$2+25),m_active,1,m_start,"&lt;"&amp;960,m_end,"&gt;"&amp;900),INDEX(m_label,_xlfn.MAXIFS(m_row,m_teacher,AY$4,m_date,($G$2+25),m_active,1,m_start,"&lt;"&amp;960,m_end,"&gt;"&amp;900))))))</f>
        <v/>
      </c>
      <c r="AZ55" s="82" t="str">
        <f aca="false">IF(OR(AZ$4="",MONTH(($G$2+25))&lt;&gt;MONTH($C$2)),"",IF(COUNTIFS(m_teacher,AZ$4,m_date,($G$2+25),m_active,1,m_start,"&lt;"&amp;960,m_end,"&gt;"&amp;900)=0,"",IF(COUNTIFS(m_teacher,AZ$4,m_date,($G$2+25),m_active,1,m_start,"&lt;"&amp;960,m_end,"&gt;"&amp;900)&gt;1,"충돌",HYPERLINK("#'관리자_MASTER'!D"&amp;_xlfn.MAXIFS(m_row,m_teacher,AZ$4,m_date,($G$2+25),m_active,1,m_start,"&lt;"&amp;960,m_end,"&gt;"&amp;900),INDEX(m_label,_xlfn.MAXIFS(m_row,m_teacher,AZ$4,m_date,($G$2+25),m_active,1,m_start,"&lt;"&amp;960,m_end,"&gt;"&amp;900))))))</f>
        <v/>
      </c>
      <c r="BA55" s="82" t="str">
        <f aca="false">IF(OR(BA$4="",MONTH(($G$2+25))&lt;&gt;MONTH($C$2)),"",IF(COUNTIFS(m_teacher,BA$4,m_date,($G$2+25),m_active,1,m_start,"&lt;"&amp;960,m_end,"&gt;"&amp;900)=0,"",IF(COUNTIFS(m_teacher,BA$4,m_date,($G$2+25),m_active,1,m_start,"&lt;"&amp;960,m_end,"&gt;"&amp;900)&gt;1,"충돌",HYPERLINK("#'관리자_MASTER'!D"&amp;_xlfn.MAXIFS(m_row,m_teacher,BA$4,m_date,($G$2+25),m_active,1,m_start,"&lt;"&amp;960,m_end,"&gt;"&amp;900),INDEX(m_label,_xlfn.MAXIFS(m_row,m_teacher,BA$4,m_date,($G$2+25),m_active,1,m_start,"&lt;"&amp;960,m_end,"&gt;"&amp;900))))))</f>
        <v/>
      </c>
      <c r="BB55" s="82" t="str">
        <f aca="false">IF(OR(BB$4="",MONTH(($G$2+25))&lt;&gt;MONTH($C$2)),"",IF(COUNTIFS(m_teacher,BB$4,m_date,($G$2+25),m_active,1,m_start,"&lt;"&amp;960,m_end,"&gt;"&amp;900)=0,"",IF(COUNTIFS(m_teacher,BB$4,m_date,($G$2+25),m_active,1,m_start,"&lt;"&amp;960,m_end,"&gt;"&amp;900)&gt;1,"충돌",HYPERLINK("#'관리자_MASTER'!D"&amp;_xlfn.MAXIFS(m_row,m_teacher,BB$4,m_date,($G$2+25),m_active,1,m_start,"&lt;"&amp;960,m_end,"&gt;"&amp;900),INDEX(m_label,_xlfn.MAXIFS(m_row,m_teacher,BB$4,m_date,($G$2+25),m_active,1,m_start,"&lt;"&amp;960,m_end,"&gt;"&amp;900))))))</f>
        <v/>
      </c>
      <c r="BC55" s="82" t="str">
        <f aca="false">IF(OR(BC$4="",MONTH(($G$2+25))&lt;&gt;MONTH($C$2)),"",IF(COUNTIFS(m_teacher,BC$4,m_date,($G$2+25),m_active,1,m_start,"&lt;"&amp;960,m_end,"&gt;"&amp;900)=0,"",IF(COUNTIFS(m_teacher,BC$4,m_date,($G$2+25),m_active,1,m_start,"&lt;"&amp;960,m_end,"&gt;"&amp;900)&gt;1,"충돌",HYPERLINK("#'관리자_MASTER'!D"&amp;_xlfn.MAXIFS(m_row,m_teacher,BC$4,m_date,($G$2+25),m_active,1,m_start,"&lt;"&amp;960,m_end,"&gt;"&amp;900),INDEX(m_label,_xlfn.MAXIFS(m_row,m_teacher,BC$4,m_date,($G$2+25),m_active,1,m_start,"&lt;"&amp;960,m_end,"&gt;"&amp;900))))))</f>
        <v/>
      </c>
      <c r="BD55" s="82" t="str">
        <f aca="false">IF(OR(BD$4="",MONTH(($G$2+25))&lt;&gt;MONTH($C$2)),"",IF(COUNTIFS(m_teacher,BD$4,m_date,($G$2+25),m_active,1,m_start,"&lt;"&amp;960,m_end,"&gt;"&amp;900)=0,"",IF(COUNTIFS(m_teacher,BD$4,m_date,($G$2+25),m_active,1,m_start,"&lt;"&amp;960,m_end,"&gt;"&amp;900)&gt;1,"충돌",HYPERLINK("#'관리자_MASTER'!D"&amp;_xlfn.MAXIFS(m_row,m_teacher,BD$4,m_date,($G$2+25),m_active,1,m_start,"&lt;"&amp;960,m_end,"&gt;"&amp;900),INDEX(m_label,_xlfn.MAXIFS(m_row,m_teacher,BD$4,m_date,($G$2+25),m_active,1,m_start,"&lt;"&amp;960,m_end,"&gt;"&amp;900))))))</f>
        <v/>
      </c>
    </row>
    <row r="56" customFormat="false" ht="19.5" hidden="false" customHeight="true" outlineLevel="0" collapsed="false">
      <c r="A56" s="78"/>
      <c r="B56" s="79" t="s">
        <v>98</v>
      </c>
      <c r="C56" s="82" t="str">
        <f aca="false">IF(OR(C$4="",MONTH(($G$2+4))&lt;&gt;MONTH($C$2)),"",IF(COUNTIFS(m_teacher,C$4,m_date,($G$2+4),m_active,1,m_start,"&lt;"&amp;1020,m_end,"&gt;"&amp;960)=0,"",IF(COUNTIFS(m_teacher,C$4,m_date,($G$2+4),m_active,1,m_start,"&lt;"&amp;1020,m_end,"&gt;"&amp;960)&gt;1,"충돌",HYPERLINK("#'관리자_MASTER'!D"&amp;_xlfn.MAXIFS(m_row,m_teacher,C$4,m_date,($G$2+4),m_active,1,m_start,"&lt;"&amp;1020,m_end,"&gt;"&amp;960),INDEX(m_label,_xlfn.MAXIFS(m_row,m_teacher,C$4,m_date,($G$2+4),m_active,1,m_start,"&lt;"&amp;1020,m_end,"&gt;"&amp;960))))))</f>
        <v/>
      </c>
      <c r="D56" s="82" t="str">
        <f aca="false">IF(OR(D$4="",MONTH(($G$2+4))&lt;&gt;MONTH($C$2)),"",IF(COUNTIFS(m_teacher,D$4,m_date,($G$2+4),m_active,1,m_start,"&lt;"&amp;1020,m_end,"&gt;"&amp;960)=0,"",IF(COUNTIFS(m_teacher,D$4,m_date,($G$2+4),m_active,1,m_start,"&lt;"&amp;1020,m_end,"&gt;"&amp;960)&gt;1,"충돌",HYPERLINK("#'관리자_MASTER'!D"&amp;_xlfn.MAXIFS(m_row,m_teacher,D$4,m_date,($G$2+4),m_active,1,m_start,"&lt;"&amp;1020,m_end,"&gt;"&amp;960),INDEX(m_label,_xlfn.MAXIFS(m_row,m_teacher,D$4,m_date,($G$2+4),m_active,1,m_start,"&lt;"&amp;1020,m_end,"&gt;"&amp;960))))))</f>
        <v/>
      </c>
      <c r="E56" s="82" t="str">
        <f aca="false">IF(OR(E$4="",MONTH(($G$2+4))&lt;&gt;MONTH($C$2)),"",IF(COUNTIFS(m_teacher,E$4,m_date,($G$2+4),m_active,1,m_start,"&lt;"&amp;1020,m_end,"&gt;"&amp;960)=0,"",IF(COUNTIFS(m_teacher,E$4,m_date,($G$2+4),m_active,1,m_start,"&lt;"&amp;1020,m_end,"&gt;"&amp;960)&gt;1,"충돌",HYPERLINK("#'관리자_MASTER'!D"&amp;_xlfn.MAXIFS(m_row,m_teacher,E$4,m_date,($G$2+4),m_active,1,m_start,"&lt;"&amp;1020,m_end,"&gt;"&amp;960),INDEX(m_label,_xlfn.MAXIFS(m_row,m_teacher,E$4,m_date,($G$2+4),m_active,1,m_start,"&lt;"&amp;1020,m_end,"&gt;"&amp;960))))))</f>
        <v/>
      </c>
      <c r="F56" s="82" t="str">
        <f aca="false">IF(OR(F$4="",MONTH(($G$2+4))&lt;&gt;MONTH($C$2)),"",IF(COUNTIFS(m_teacher,F$4,m_date,($G$2+4),m_active,1,m_start,"&lt;"&amp;1020,m_end,"&gt;"&amp;960)=0,"",IF(COUNTIFS(m_teacher,F$4,m_date,($G$2+4),m_active,1,m_start,"&lt;"&amp;1020,m_end,"&gt;"&amp;960)&gt;1,"충돌",HYPERLINK("#'관리자_MASTER'!D"&amp;_xlfn.MAXIFS(m_row,m_teacher,F$4,m_date,($G$2+4),m_active,1,m_start,"&lt;"&amp;1020,m_end,"&gt;"&amp;960),INDEX(m_label,_xlfn.MAXIFS(m_row,m_teacher,F$4,m_date,($G$2+4),m_active,1,m_start,"&lt;"&amp;1020,m_end,"&gt;"&amp;960))))))</f>
        <v/>
      </c>
      <c r="G56" s="82" t="str">
        <f aca="false">IF(OR(G$4="",MONTH(($G$2+4))&lt;&gt;MONTH($C$2)),"",IF(COUNTIFS(m_teacher,G$4,m_date,($G$2+4),m_active,1,m_start,"&lt;"&amp;1020,m_end,"&gt;"&amp;960)=0,"",IF(COUNTIFS(m_teacher,G$4,m_date,($G$2+4),m_active,1,m_start,"&lt;"&amp;1020,m_end,"&gt;"&amp;960)&gt;1,"충돌",HYPERLINK("#'관리자_MASTER'!D"&amp;_xlfn.MAXIFS(m_row,m_teacher,G$4,m_date,($G$2+4),m_active,1,m_start,"&lt;"&amp;1020,m_end,"&gt;"&amp;960),INDEX(m_label,_xlfn.MAXIFS(m_row,m_teacher,G$4,m_date,($G$2+4),m_active,1,m_start,"&lt;"&amp;1020,m_end,"&gt;"&amp;960))))))</f>
        <v/>
      </c>
      <c r="H56" s="82" t="str">
        <f aca="false">IF(OR(H$4="",MONTH(($G$2+4))&lt;&gt;MONTH($C$2)),"",IF(COUNTIFS(m_teacher,H$4,m_date,($G$2+4),m_active,1,m_start,"&lt;"&amp;1020,m_end,"&gt;"&amp;960)=0,"",IF(COUNTIFS(m_teacher,H$4,m_date,($G$2+4),m_active,1,m_start,"&lt;"&amp;1020,m_end,"&gt;"&amp;960)&gt;1,"충돌",HYPERLINK("#'관리자_MASTER'!D"&amp;_xlfn.MAXIFS(m_row,m_teacher,H$4,m_date,($G$2+4),m_active,1,m_start,"&lt;"&amp;1020,m_end,"&gt;"&amp;960),INDEX(m_label,_xlfn.MAXIFS(m_row,m_teacher,H$4,m_date,($G$2+4),m_active,1,m_start,"&lt;"&amp;1020,m_end,"&gt;"&amp;960))))))</f>
        <v/>
      </c>
      <c r="I56" s="82" t="str">
        <f aca="false">IF(OR(I$4="",MONTH(($G$2+4))&lt;&gt;MONTH($C$2)),"",IF(COUNTIFS(m_teacher,I$4,m_date,($G$2+4),m_active,1,m_start,"&lt;"&amp;1020,m_end,"&gt;"&amp;960)=0,"",IF(COUNTIFS(m_teacher,I$4,m_date,($G$2+4),m_active,1,m_start,"&lt;"&amp;1020,m_end,"&gt;"&amp;960)&gt;1,"충돌",HYPERLINK("#'관리자_MASTER'!D"&amp;_xlfn.MAXIFS(m_row,m_teacher,I$4,m_date,($G$2+4),m_active,1,m_start,"&lt;"&amp;1020,m_end,"&gt;"&amp;960),INDEX(m_label,_xlfn.MAXIFS(m_row,m_teacher,I$4,m_date,($G$2+4),m_active,1,m_start,"&lt;"&amp;1020,m_end,"&gt;"&amp;960))))))</f>
        <v/>
      </c>
      <c r="J56" s="82" t="str">
        <f aca="false">IF(OR(J$4="",MONTH(($G$2+4))&lt;&gt;MONTH($C$2)),"",IF(COUNTIFS(m_teacher,J$4,m_date,($G$2+4),m_active,1,m_start,"&lt;"&amp;1020,m_end,"&gt;"&amp;960)=0,"",IF(COUNTIFS(m_teacher,J$4,m_date,($G$2+4),m_active,1,m_start,"&lt;"&amp;1020,m_end,"&gt;"&amp;960)&gt;1,"충돌",HYPERLINK("#'관리자_MASTER'!D"&amp;_xlfn.MAXIFS(m_row,m_teacher,J$4,m_date,($G$2+4),m_active,1,m_start,"&lt;"&amp;1020,m_end,"&gt;"&amp;960),INDEX(m_label,_xlfn.MAXIFS(m_row,m_teacher,J$4,m_date,($G$2+4),m_active,1,m_start,"&lt;"&amp;1020,m_end,"&gt;"&amp;960))))))</f>
        <v/>
      </c>
      <c r="K56" s="82" t="str">
        <f aca="false">IF(OR(K$4="",MONTH(($G$2+4))&lt;&gt;MONTH($C$2)),"",IF(COUNTIFS(m_teacher,K$4,m_date,($G$2+4),m_active,1,m_start,"&lt;"&amp;1020,m_end,"&gt;"&amp;960)=0,"",IF(COUNTIFS(m_teacher,K$4,m_date,($G$2+4),m_active,1,m_start,"&lt;"&amp;1020,m_end,"&gt;"&amp;960)&gt;1,"충돌",HYPERLINK("#'관리자_MASTER'!D"&amp;_xlfn.MAXIFS(m_row,m_teacher,K$4,m_date,($G$2+4),m_active,1,m_start,"&lt;"&amp;1020,m_end,"&gt;"&amp;960),INDEX(m_label,_xlfn.MAXIFS(m_row,m_teacher,K$4,m_date,($G$2+4),m_active,1,m_start,"&lt;"&amp;1020,m_end,"&gt;"&amp;960))))))</f>
        <v/>
      </c>
      <c r="L56" s="82" t="str">
        <f aca="false">IF(OR(L$4="",MONTH(($G$2+4))&lt;&gt;MONTH($C$2)),"",IF(COUNTIFS(m_teacher,L$4,m_date,($G$2+4),m_active,1,m_start,"&lt;"&amp;1020,m_end,"&gt;"&amp;960)=0,"",IF(COUNTIFS(m_teacher,L$4,m_date,($G$2+4),m_active,1,m_start,"&lt;"&amp;1020,m_end,"&gt;"&amp;960)&gt;1,"충돌",HYPERLINK("#'관리자_MASTER'!D"&amp;_xlfn.MAXIFS(m_row,m_teacher,L$4,m_date,($G$2+4),m_active,1,m_start,"&lt;"&amp;1020,m_end,"&gt;"&amp;960),INDEX(m_label,_xlfn.MAXIFS(m_row,m_teacher,L$4,m_date,($G$2+4),m_active,1,m_start,"&lt;"&amp;1020,m_end,"&gt;"&amp;960))))))</f>
        <v/>
      </c>
      <c r="M56" s="82" t="str">
        <f aca="false">IF(OR(M$4="",MONTH(($G$2+4))&lt;&gt;MONTH($C$2)),"",IF(COUNTIFS(m_teacher,M$4,m_date,($G$2+4),m_active,1,m_start,"&lt;"&amp;1020,m_end,"&gt;"&amp;960)=0,"",IF(COUNTIFS(m_teacher,M$4,m_date,($G$2+4),m_active,1,m_start,"&lt;"&amp;1020,m_end,"&gt;"&amp;960)&gt;1,"충돌",HYPERLINK("#'관리자_MASTER'!D"&amp;_xlfn.MAXIFS(m_row,m_teacher,M$4,m_date,($G$2+4),m_active,1,m_start,"&lt;"&amp;1020,m_end,"&gt;"&amp;960),INDEX(m_label,_xlfn.MAXIFS(m_row,m_teacher,M$4,m_date,($G$2+4),m_active,1,m_start,"&lt;"&amp;1020,m_end,"&gt;"&amp;960))))))</f>
        <v/>
      </c>
      <c r="N56" s="82" t="str">
        <f aca="false">IF(OR(N$4="",MONTH(($G$2+4))&lt;&gt;MONTH($C$2)),"",IF(COUNTIFS(m_teacher,N$4,m_date,($G$2+4),m_active,1,m_start,"&lt;"&amp;1020,m_end,"&gt;"&amp;960)=0,"",IF(COUNTIFS(m_teacher,N$4,m_date,($G$2+4),m_active,1,m_start,"&lt;"&amp;1020,m_end,"&gt;"&amp;960)&gt;1,"충돌",HYPERLINK("#'관리자_MASTER'!D"&amp;_xlfn.MAXIFS(m_row,m_teacher,N$4,m_date,($G$2+4),m_active,1,m_start,"&lt;"&amp;1020,m_end,"&gt;"&amp;960),INDEX(m_label,_xlfn.MAXIFS(m_row,m_teacher,N$4,m_date,($G$2+4),m_active,1,m_start,"&lt;"&amp;1020,m_end,"&gt;"&amp;960))))))</f>
        <v/>
      </c>
      <c r="O56" s="78"/>
      <c r="P56" s="79" t="s">
        <v>98</v>
      </c>
      <c r="Q56" s="82" t="str">
        <f aca="false">IF(OR(Q$4="",MONTH(($G$2+11))&lt;&gt;MONTH($C$2)),"",IF(COUNTIFS(m_teacher,Q$4,m_date,($G$2+11),m_active,1,m_start,"&lt;"&amp;1020,m_end,"&gt;"&amp;960)=0,"",IF(COUNTIFS(m_teacher,Q$4,m_date,($G$2+11),m_active,1,m_start,"&lt;"&amp;1020,m_end,"&gt;"&amp;960)&gt;1,"충돌",HYPERLINK("#'관리자_MASTER'!D"&amp;_xlfn.MAXIFS(m_row,m_teacher,Q$4,m_date,($G$2+11),m_active,1,m_start,"&lt;"&amp;1020,m_end,"&gt;"&amp;960),INDEX(m_label,_xlfn.MAXIFS(m_row,m_teacher,Q$4,m_date,($G$2+11),m_active,1,m_start,"&lt;"&amp;1020,m_end,"&gt;"&amp;960))))))</f>
        <v/>
      </c>
      <c r="R56" s="82" t="str">
        <f aca="false">IF(OR(R$4="",MONTH(($G$2+11))&lt;&gt;MONTH($C$2)),"",IF(COUNTIFS(m_teacher,R$4,m_date,($G$2+11),m_active,1,m_start,"&lt;"&amp;1020,m_end,"&gt;"&amp;960)=0,"",IF(COUNTIFS(m_teacher,R$4,m_date,($G$2+11),m_active,1,m_start,"&lt;"&amp;1020,m_end,"&gt;"&amp;960)&gt;1,"충돌",HYPERLINK("#'관리자_MASTER'!D"&amp;_xlfn.MAXIFS(m_row,m_teacher,R$4,m_date,($G$2+11),m_active,1,m_start,"&lt;"&amp;1020,m_end,"&gt;"&amp;960),INDEX(m_label,_xlfn.MAXIFS(m_row,m_teacher,R$4,m_date,($G$2+11),m_active,1,m_start,"&lt;"&amp;1020,m_end,"&gt;"&amp;960))))))</f>
        <v/>
      </c>
      <c r="S56" s="82" t="str">
        <f aca="false">IF(OR(S$4="",MONTH(($G$2+11))&lt;&gt;MONTH($C$2)),"",IF(COUNTIFS(m_teacher,S$4,m_date,($G$2+11),m_active,1,m_start,"&lt;"&amp;1020,m_end,"&gt;"&amp;960)=0,"",IF(COUNTIFS(m_teacher,S$4,m_date,($G$2+11),m_active,1,m_start,"&lt;"&amp;1020,m_end,"&gt;"&amp;960)&gt;1,"충돌",HYPERLINK("#'관리자_MASTER'!D"&amp;_xlfn.MAXIFS(m_row,m_teacher,S$4,m_date,($G$2+11),m_active,1,m_start,"&lt;"&amp;1020,m_end,"&gt;"&amp;960),INDEX(m_label,_xlfn.MAXIFS(m_row,m_teacher,S$4,m_date,($G$2+11),m_active,1,m_start,"&lt;"&amp;1020,m_end,"&gt;"&amp;960))))))</f>
        <v/>
      </c>
      <c r="T56" s="82" t="str">
        <f aca="false">IF(OR(T$4="",MONTH(($G$2+11))&lt;&gt;MONTH($C$2)),"",IF(COUNTIFS(m_teacher,T$4,m_date,($G$2+11),m_active,1,m_start,"&lt;"&amp;1020,m_end,"&gt;"&amp;960)=0,"",IF(COUNTIFS(m_teacher,T$4,m_date,($G$2+11),m_active,1,m_start,"&lt;"&amp;1020,m_end,"&gt;"&amp;960)&gt;1,"충돌",HYPERLINK("#'관리자_MASTER'!D"&amp;_xlfn.MAXIFS(m_row,m_teacher,T$4,m_date,($G$2+11),m_active,1,m_start,"&lt;"&amp;1020,m_end,"&gt;"&amp;960),INDEX(m_label,_xlfn.MAXIFS(m_row,m_teacher,T$4,m_date,($G$2+11),m_active,1,m_start,"&lt;"&amp;1020,m_end,"&gt;"&amp;960))))))</f>
        <v/>
      </c>
      <c r="U56" s="82" t="str">
        <f aca="false">IF(OR(U$4="",MONTH(($G$2+11))&lt;&gt;MONTH($C$2)),"",IF(COUNTIFS(m_teacher,U$4,m_date,($G$2+11),m_active,1,m_start,"&lt;"&amp;1020,m_end,"&gt;"&amp;960)=0,"",IF(COUNTIFS(m_teacher,U$4,m_date,($G$2+11),m_active,1,m_start,"&lt;"&amp;1020,m_end,"&gt;"&amp;960)&gt;1,"충돌",HYPERLINK("#'관리자_MASTER'!D"&amp;_xlfn.MAXIFS(m_row,m_teacher,U$4,m_date,($G$2+11),m_active,1,m_start,"&lt;"&amp;1020,m_end,"&gt;"&amp;960),INDEX(m_label,_xlfn.MAXIFS(m_row,m_teacher,U$4,m_date,($G$2+11),m_active,1,m_start,"&lt;"&amp;1020,m_end,"&gt;"&amp;960))))))</f>
        <v/>
      </c>
      <c r="V56" s="82" t="str">
        <f aca="false">IF(OR(V$4="",MONTH(($G$2+11))&lt;&gt;MONTH($C$2)),"",IF(COUNTIFS(m_teacher,V$4,m_date,($G$2+11),m_active,1,m_start,"&lt;"&amp;1020,m_end,"&gt;"&amp;960)=0,"",IF(COUNTIFS(m_teacher,V$4,m_date,($G$2+11),m_active,1,m_start,"&lt;"&amp;1020,m_end,"&gt;"&amp;960)&gt;1,"충돌",HYPERLINK("#'관리자_MASTER'!D"&amp;_xlfn.MAXIFS(m_row,m_teacher,V$4,m_date,($G$2+11),m_active,1,m_start,"&lt;"&amp;1020,m_end,"&gt;"&amp;960),INDEX(m_label,_xlfn.MAXIFS(m_row,m_teacher,V$4,m_date,($G$2+11),m_active,1,m_start,"&lt;"&amp;1020,m_end,"&gt;"&amp;960))))))</f>
        <v/>
      </c>
      <c r="W56" s="82" t="str">
        <f aca="false">IF(OR(W$4="",MONTH(($G$2+11))&lt;&gt;MONTH($C$2)),"",IF(COUNTIFS(m_teacher,W$4,m_date,($G$2+11),m_active,1,m_start,"&lt;"&amp;1020,m_end,"&gt;"&amp;960)=0,"",IF(COUNTIFS(m_teacher,W$4,m_date,($G$2+11),m_active,1,m_start,"&lt;"&amp;1020,m_end,"&gt;"&amp;960)&gt;1,"충돌",HYPERLINK("#'관리자_MASTER'!D"&amp;_xlfn.MAXIFS(m_row,m_teacher,W$4,m_date,($G$2+11),m_active,1,m_start,"&lt;"&amp;1020,m_end,"&gt;"&amp;960),INDEX(m_label,_xlfn.MAXIFS(m_row,m_teacher,W$4,m_date,($G$2+11),m_active,1,m_start,"&lt;"&amp;1020,m_end,"&gt;"&amp;960))))))</f>
        <v/>
      </c>
      <c r="X56" s="82" t="str">
        <f aca="false">IF(OR(X$4="",MONTH(($G$2+11))&lt;&gt;MONTH($C$2)),"",IF(COUNTIFS(m_teacher,X$4,m_date,($G$2+11),m_active,1,m_start,"&lt;"&amp;1020,m_end,"&gt;"&amp;960)=0,"",IF(COUNTIFS(m_teacher,X$4,m_date,($G$2+11),m_active,1,m_start,"&lt;"&amp;1020,m_end,"&gt;"&amp;960)&gt;1,"충돌",HYPERLINK("#'관리자_MASTER'!D"&amp;_xlfn.MAXIFS(m_row,m_teacher,X$4,m_date,($G$2+11),m_active,1,m_start,"&lt;"&amp;1020,m_end,"&gt;"&amp;960),INDEX(m_label,_xlfn.MAXIFS(m_row,m_teacher,X$4,m_date,($G$2+11),m_active,1,m_start,"&lt;"&amp;1020,m_end,"&gt;"&amp;960))))))</f>
        <v/>
      </c>
      <c r="Y56" s="82" t="str">
        <f aca="false">IF(OR(Y$4="",MONTH(($G$2+11))&lt;&gt;MONTH($C$2)),"",IF(COUNTIFS(m_teacher,Y$4,m_date,($G$2+11),m_active,1,m_start,"&lt;"&amp;1020,m_end,"&gt;"&amp;960)=0,"",IF(COUNTIFS(m_teacher,Y$4,m_date,($G$2+11),m_active,1,m_start,"&lt;"&amp;1020,m_end,"&gt;"&amp;960)&gt;1,"충돌",HYPERLINK("#'관리자_MASTER'!D"&amp;_xlfn.MAXIFS(m_row,m_teacher,Y$4,m_date,($G$2+11),m_active,1,m_start,"&lt;"&amp;1020,m_end,"&gt;"&amp;960),INDEX(m_label,_xlfn.MAXIFS(m_row,m_teacher,Y$4,m_date,($G$2+11),m_active,1,m_start,"&lt;"&amp;1020,m_end,"&gt;"&amp;960))))))</f>
        <v/>
      </c>
      <c r="Z56" s="82" t="str">
        <f aca="false">IF(OR(Z$4="",MONTH(($G$2+11))&lt;&gt;MONTH($C$2)),"",IF(COUNTIFS(m_teacher,Z$4,m_date,($G$2+11),m_active,1,m_start,"&lt;"&amp;1020,m_end,"&gt;"&amp;960)=0,"",IF(COUNTIFS(m_teacher,Z$4,m_date,($G$2+11),m_active,1,m_start,"&lt;"&amp;1020,m_end,"&gt;"&amp;960)&gt;1,"충돌",HYPERLINK("#'관리자_MASTER'!D"&amp;_xlfn.MAXIFS(m_row,m_teacher,Z$4,m_date,($G$2+11),m_active,1,m_start,"&lt;"&amp;1020,m_end,"&gt;"&amp;960),INDEX(m_label,_xlfn.MAXIFS(m_row,m_teacher,Z$4,m_date,($G$2+11),m_active,1,m_start,"&lt;"&amp;1020,m_end,"&gt;"&amp;960))))))</f>
        <v/>
      </c>
      <c r="AA56" s="82" t="str">
        <f aca="false">IF(OR(AA$4="",MONTH(($G$2+11))&lt;&gt;MONTH($C$2)),"",IF(COUNTIFS(m_teacher,AA$4,m_date,($G$2+11),m_active,1,m_start,"&lt;"&amp;1020,m_end,"&gt;"&amp;960)=0,"",IF(COUNTIFS(m_teacher,AA$4,m_date,($G$2+11),m_active,1,m_start,"&lt;"&amp;1020,m_end,"&gt;"&amp;960)&gt;1,"충돌",HYPERLINK("#'관리자_MASTER'!D"&amp;_xlfn.MAXIFS(m_row,m_teacher,AA$4,m_date,($G$2+11),m_active,1,m_start,"&lt;"&amp;1020,m_end,"&gt;"&amp;960),INDEX(m_label,_xlfn.MAXIFS(m_row,m_teacher,AA$4,m_date,($G$2+11),m_active,1,m_start,"&lt;"&amp;1020,m_end,"&gt;"&amp;960))))))</f>
        <v/>
      </c>
      <c r="AB56" s="82" t="str">
        <f aca="false">IF(OR(AB$4="",MONTH(($G$2+11))&lt;&gt;MONTH($C$2)),"",IF(COUNTIFS(m_teacher,AB$4,m_date,($G$2+11),m_active,1,m_start,"&lt;"&amp;1020,m_end,"&gt;"&amp;960)=0,"",IF(COUNTIFS(m_teacher,AB$4,m_date,($G$2+11),m_active,1,m_start,"&lt;"&amp;1020,m_end,"&gt;"&amp;960)&gt;1,"충돌",HYPERLINK("#'관리자_MASTER'!D"&amp;_xlfn.MAXIFS(m_row,m_teacher,AB$4,m_date,($G$2+11),m_active,1,m_start,"&lt;"&amp;1020,m_end,"&gt;"&amp;960),INDEX(m_label,_xlfn.MAXIFS(m_row,m_teacher,AB$4,m_date,($G$2+11),m_active,1,m_start,"&lt;"&amp;1020,m_end,"&gt;"&amp;960))))))</f>
        <v/>
      </c>
      <c r="AC56" s="78"/>
      <c r="AD56" s="79" t="s">
        <v>98</v>
      </c>
      <c r="AE56" s="82" t="str">
        <f aca="false">IF(OR(AE$4="",MONTH(($G$2+18))&lt;&gt;MONTH($C$2)),"",IF(COUNTIFS(m_teacher,AE$4,m_date,($G$2+18),m_active,1,m_start,"&lt;"&amp;1020,m_end,"&gt;"&amp;960)=0,"",IF(COUNTIFS(m_teacher,AE$4,m_date,($G$2+18),m_active,1,m_start,"&lt;"&amp;1020,m_end,"&gt;"&amp;960)&gt;1,"충돌",HYPERLINK("#'관리자_MASTER'!D"&amp;_xlfn.MAXIFS(m_row,m_teacher,AE$4,m_date,($G$2+18),m_active,1,m_start,"&lt;"&amp;1020,m_end,"&gt;"&amp;960),INDEX(m_label,_xlfn.MAXIFS(m_row,m_teacher,AE$4,m_date,($G$2+18),m_active,1,m_start,"&lt;"&amp;1020,m_end,"&gt;"&amp;960))))))</f>
        <v/>
      </c>
      <c r="AF56" s="82" t="str">
        <f aca="false">IF(OR(AF$4="",MONTH(($G$2+18))&lt;&gt;MONTH($C$2)),"",IF(COUNTIFS(m_teacher,AF$4,m_date,($G$2+18),m_active,1,m_start,"&lt;"&amp;1020,m_end,"&gt;"&amp;960)=0,"",IF(COUNTIFS(m_teacher,AF$4,m_date,($G$2+18),m_active,1,m_start,"&lt;"&amp;1020,m_end,"&gt;"&amp;960)&gt;1,"충돌",HYPERLINK("#'관리자_MASTER'!D"&amp;_xlfn.MAXIFS(m_row,m_teacher,AF$4,m_date,($G$2+18),m_active,1,m_start,"&lt;"&amp;1020,m_end,"&gt;"&amp;960),INDEX(m_label,_xlfn.MAXIFS(m_row,m_teacher,AF$4,m_date,($G$2+18),m_active,1,m_start,"&lt;"&amp;1020,m_end,"&gt;"&amp;960))))))</f>
        <v/>
      </c>
      <c r="AG56" s="82" t="str">
        <f aca="false">IF(OR(AG$4="",MONTH(($G$2+18))&lt;&gt;MONTH($C$2)),"",IF(COUNTIFS(m_teacher,AG$4,m_date,($G$2+18),m_active,1,m_start,"&lt;"&amp;1020,m_end,"&gt;"&amp;960)=0,"",IF(COUNTIFS(m_teacher,AG$4,m_date,($G$2+18),m_active,1,m_start,"&lt;"&amp;1020,m_end,"&gt;"&amp;960)&gt;1,"충돌",HYPERLINK("#'관리자_MASTER'!D"&amp;_xlfn.MAXIFS(m_row,m_teacher,AG$4,m_date,($G$2+18),m_active,1,m_start,"&lt;"&amp;1020,m_end,"&gt;"&amp;960),INDEX(m_label,_xlfn.MAXIFS(m_row,m_teacher,AG$4,m_date,($G$2+18),m_active,1,m_start,"&lt;"&amp;1020,m_end,"&gt;"&amp;960))))))</f>
        <v/>
      </c>
      <c r="AH56" s="82" t="str">
        <f aca="false">IF(OR(AH$4="",MONTH(($G$2+18))&lt;&gt;MONTH($C$2)),"",IF(COUNTIFS(m_teacher,AH$4,m_date,($G$2+18),m_active,1,m_start,"&lt;"&amp;1020,m_end,"&gt;"&amp;960)=0,"",IF(COUNTIFS(m_teacher,AH$4,m_date,($G$2+18),m_active,1,m_start,"&lt;"&amp;1020,m_end,"&gt;"&amp;960)&gt;1,"충돌",HYPERLINK("#'관리자_MASTER'!D"&amp;_xlfn.MAXIFS(m_row,m_teacher,AH$4,m_date,($G$2+18),m_active,1,m_start,"&lt;"&amp;1020,m_end,"&gt;"&amp;960),INDEX(m_label,_xlfn.MAXIFS(m_row,m_teacher,AH$4,m_date,($G$2+18),m_active,1,m_start,"&lt;"&amp;1020,m_end,"&gt;"&amp;960))))))</f>
        <v/>
      </c>
      <c r="AI56" s="82" t="str">
        <f aca="false">IF(OR(AI$4="",MONTH(($G$2+18))&lt;&gt;MONTH($C$2)),"",IF(COUNTIFS(m_teacher,AI$4,m_date,($G$2+18),m_active,1,m_start,"&lt;"&amp;1020,m_end,"&gt;"&amp;960)=0,"",IF(COUNTIFS(m_teacher,AI$4,m_date,($G$2+18),m_active,1,m_start,"&lt;"&amp;1020,m_end,"&gt;"&amp;960)&gt;1,"충돌",HYPERLINK("#'관리자_MASTER'!D"&amp;_xlfn.MAXIFS(m_row,m_teacher,AI$4,m_date,($G$2+18),m_active,1,m_start,"&lt;"&amp;1020,m_end,"&gt;"&amp;960),INDEX(m_label,_xlfn.MAXIFS(m_row,m_teacher,AI$4,m_date,($G$2+18),m_active,1,m_start,"&lt;"&amp;1020,m_end,"&gt;"&amp;960))))))</f>
        <v/>
      </c>
      <c r="AJ56" s="82" t="str">
        <f aca="false">IF(OR(AJ$4="",MONTH(($G$2+18))&lt;&gt;MONTH($C$2)),"",IF(COUNTIFS(m_teacher,AJ$4,m_date,($G$2+18),m_active,1,m_start,"&lt;"&amp;1020,m_end,"&gt;"&amp;960)=0,"",IF(COUNTIFS(m_teacher,AJ$4,m_date,($G$2+18),m_active,1,m_start,"&lt;"&amp;1020,m_end,"&gt;"&amp;960)&gt;1,"충돌",HYPERLINK("#'관리자_MASTER'!D"&amp;_xlfn.MAXIFS(m_row,m_teacher,AJ$4,m_date,($G$2+18),m_active,1,m_start,"&lt;"&amp;1020,m_end,"&gt;"&amp;960),INDEX(m_label,_xlfn.MAXIFS(m_row,m_teacher,AJ$4,m_date,($G$2+18),m_active,1,m_start,"&lt;"&amp;1020,m_end,"&gt;"&amp;960))))))</f>
        <v/>
      </c>
      <c r="AK56" s="82" t="str">
        <f aca="false">IF(OR(AK$4="",MONTH(($G$2+18))&lt;&gt;MONTH($C$2)),"",IF(COUNTIFS(m_teacher,AK$4,m_date,($G$2+18),m_active,1,m_start,"&lt;"&amp;1020,m_end,"&gt;"&amp;960)=0,"",IF(COUNTIFS(m_teacher,AK$4,m_date,($G$2+18),m_active,1,m_start,"&lt;"&amp;1020,m_end,"&gt;"&amp;960)&gt;1,"충돌",HYPERLINK("#'관리자_MASTER'!D"&amp;_xlfn.MAXIFS(m_row,m_teacher,AK$4,m_date,($G$2+18),m_active,1,m_start,"&lt;"&amp;1020,m_end,"&gt;"&amp;960),INDEX(m_label,_xlfn.MAXIFS(m_row,m_teacher,AK$4,m_date,($G$2+18),m_active,1,m_start,"&lt;"&amp;1020,m_end,"&gt;"&amp;960))))))</f>
        <v/>
      </c>
      <c r="AL56" s="82" t="str">
        <f aca="false">IF(OR(AL$4="",MONTH(($G$2+18))&lt;&gt;MONTH($C$2)),"",IF(COUNTIFS(m_teacher,AL$4,m_date,($G$2+18),m_active,1,m_start,"&lt;"&amp;1020,m_end,"&gt;"&amp;960)=0,"",IF(COUNTIFS(m_teacher,AL$4,m_date,($G$2+18),m_active,1,m_start,"&lt;"&amp;1020,m_end,"&gt;"&amp;960)&gt;1,"충돌",HYPERLINK("#'관리자_MASTER'!D"&amp;_xlfn.MAXIFS(m_row,m_teacher,AL$4,m_date,($G$2+18),m_active,1,m_start,"&lt;"&amp;1020,m_end,"&gt;"&amp;960),INDEX(m_label,_xlfn.MAXIFS(m_row,m_teacher,AL$4,m_date,($G$2+18),m_active,1,m_start,"&lt;"&amp;1020,m_end,"&gt;"&amp;960))))))</f>
        <v/>
      </c>
      <c r="AM56" s="82" t="str">
        <f aca="false">IF(OR(AM$4="",MONTH(($G$2+18))&lt;&gt;MONTH($C$2)),"",IF(COUNTIFS(m_teacher,AM$4,m_date,($G$2+18),m_active,1,m_start,"&lt;"&amp;1020,m_end,"&gt;"&amp;960)=0,"",IF(COUNTIFS(m_teacher,AM$4,m_date,($G$2+18),m_active,1,m_start,"&lt;"&amp;1020,m_end,"&gt;"&amp;960)&gt;1,"충돌",HYPERLINK("#'관리자_MASTER'!D"&amp;_xlfn.MAXIFS(m_row,m_teacher,AM$4,m_date,($G$2+18),m_active,1,m_start,"&lt;"&amp;1020,m_end,"&gt;"&amp;960),INDEX(m_label,_xlfn.MAXIFS(m_row,m_teacher,AM$4,m_date,($G$2+18),m_active,1,m_start,"&lt;"&amp;1020,m_end,"&gt;"&amp;960))))))</f>
        <v/>
      </c>
      <c r="AN56" s="82" t="str">
        <f aca="false">IF(OR(AN$4="",MONTH(($G$2+18))&lt;&gt;MONTH($C$2)),"",IF(COUNTIFS(m_teacher,AN$4,m_date,($G$2+18),m_active,1,m_start,"&lt;"&amp;1020,m_end,"&gt;"&amp;960)=0,"",IF(COUNTIFS(m_teacher,AN$4,m_date,($G$2+18),m_active,1,m_start,"&lt;"&amp;1020,m_end,"&gt;"&amp;960)&gt;1,"충돌",HYPERLINK("#'관리자_MASTER'!D"&amp;_xlfn.MAXIFS(m_row,m_teacher,AN$4,m_date,($G$2+18),m_active,1,m_start,"&lt;"&amp;1020,m_end,"&gt;"&amp;960),INDEX(m_label,_xlfn.MAXIFS(m_row,m_teacher,AN$4,m_date,($G$2+18),m_active,1,m_start,"&lt;"&amp;1020,m_end,"&gt;"&amp;960))))))</f>
        <v/>
      </c>
      <c r="AO56" s="82" t="str">
        <f aca="false">IF(OR(AO$4="",MONTH(($G$2+18))&lt;&gt;MONTH($C$2)),"",IF(COUNTIFS(m_teacher,AO$4,m_date,($G$2+18),m_active,1,m_start,"&lt;"&amp;1020,m_end,"&gt;"&amp;960)=0,"",IF(COUNTIFS(m_teacher,AO$4,m_date,($G$2+18),m_active,1,m_start,"&lt;"&amp;1020,m_end,"&gt;"&amp;960)&gt;1,"충돌",HYPERLINK("#'관리자_MASTER'!D"&amp;_xlfn.MAXIFS(m_row,m_teacher,AO$4,m_date,($G$2+18),m_active,1,m_start,"&lt;"&amp;1020,m_end,"&gt;"&amp;960),INDEX(m_label,_xlfn.MAXIFS(m_row,m_teacher,AO$4,m_date,($G$2+18),m_active,1,m_start,"&lt;"&amp;1020,m_end,"&gt;"&amp;960))))))</f>
        <v/>
      </c>
      <c r="AP56" s="82" t="str">
        <f aca="false">IF(OR(AP$4="",MONTH(($G$2+18))&lt;&gt;MONTH($C$2)),"",IF(COUNTIFS(m_teacher,AP$4,m_date,($G$2+18),m_active,1,m_start,"&lt;"&amp;1020,m_end,"&gt;"&amp;960)=0,"",IF(COUNTIFS(m_teacher,AP$4,m_date,($G$2+18),m_active,1,m_start,"&lt;"&amp;1020,m_end,"&gt;"&amp;960)&gt;1,"충돌",HYPERLINK("#'관리자_MASTER'!D"&amp;_xlfn.MAXIFS(m_row,m_teacher,AP$4,m_date,($G$2+18),m_active,1,m_start,"&lt;"&amp;1020,m_end,"&gt;"&amp;960),INDEX(m_label,_xlfn.MAXIFS(m_row,m_teacher,AP$4,m_date,($G$2+18),m_active,1,m_start,"&lt;"&amp;1020,m_end,"&gt;"&amp;960))))))</f>
        <v/>
      </c>
      <c r="AQ56" s="78"/>
      <c r="AR56" s="79" t="s">
        <v>98</v>
      </c>
      <c r="AS56" s="82" t="str">
        <f aca="false">IF(OR(AS$4="",MONTH(($G$2+25))&lt;&gt;MONTH($C$2)),"",IF(COUNTIFS(m_teacher,AS$4,m_date,($G$2+25),m_active,1,m_start,"&lt;"&amp;1020,m_end,"&gt;"&amp;960)=0,"",IF(COUNTIFS(m_teacher,AS$4,m_date,($G$2+25),m_active,1,m_start,"&lt;"&amp;1020,m_end,"&gt;"&amp;960)&gt;1,"충돌",HYPERLINK("#'관리자_MASTER'!D"&amp;_xlfn.MAXIFS(m_row,m_teacher,AS$4,m_date,($G$2+25),m_active,1,m_start,"&lt;"&amp;1020,m_end,"&gt;"&amp;960),INDEX(m_label,_xlfn.MAXIFS(m_row,m_teacher,AS$4,m_date,($G$2+25),m_active,1,m_start,"&lt;"&amp;1020,m_end,"&gt;"&amp;960))))))</f>
        <v/>
      </c>
      <c r="AT56" s="82" t="str">
        <f aca="false">IF(OR(AT$4="",MONTH(($G$2+25))&lt;&gt;MONTH($C$2)),"",IF(COUNTIFS(m_teacher,AT$4,m_date,($G$2+25),m_active,1,m_start,"&lt;"&amp;1020,m_end,"&gt;"&amp;960)=0,"",IF(COUNTIFS(m_teacher,AT$4,m_date,($G$2+25),m_active,1,m_start,"&lt;"&amp;1020,m_end,"&gt;"&amp;960)&gt;1,"충돌",HYPERLINK("#'관리자_MASTER'!D"&amp;_xlfn.MAXIFS(m_row,m_teacher,AT$4,m_date,($G$2+25),m_active,1,m_start,"&lt;"&amp;1020,m_end,"&gt;"&amp;960),INDEX(m_label,_xlfn.MAXIFS(m_row,m_teacher,AT$4,m_date,($G$2+25),m_active,1,m_start,"&lt;"&amp;1020,m_end,"&gt;"&amp;960))))))</f>
        <v/>
      </c>
      <c r="AU56" s="82" t="str">
        <f aca="false">IF(OR(AU$4="",MONTH(($G$2+25))&lt;&gt;MONTH($C$2)),"",IF(COUNTIFS(m_teacher,AU$4,m_date,($G$2+25),m_active,1,m_start,"&lt;"&amp;1020,m_end,"&gt;"&amp;960)=0,"",IF(COUNTIFS(m_teacher,AU$4,m_date,($G$2+25),m_active,1,m_start,"&lt;"&amp;1020,m_end,"&gt;"&amp;960)&gt;1,"충돌",HYPERLINK("#'관리자_MASTER'!D"&amp;_xlfn.MAXIFS(m_row,m_teacher,AU$4,m_date,($G$2+25),m_active,1,m_start,"&lt;"&amp;1020,m_end,"&gt;"&amp;960),INDEX(m_label,_xlfn.MAXIFS(m_row,m_teacher,AU$4,m_date,($G$2+25),m_active,1,m_start,"&lt;"&amp;1020,m_end,"&gt;"&amp;960))))))</f>
        <v/>
      </c>
      <c r="AV56" s="82" t="str">
        <f aca="false">IF(OR(AV$4="",MONTH(($G$2+25))&lt;&gt;MONTH($C$2)),"",IF(COUNTIFS(m_teacher,AV$4,m_date,($G$2+25),m_active,1,m_start,"&lt;"&amp;1020,m_end,"&gt;"&amp;960)=0,"",IF(COUNTIFS(m_teacher,AV$4,m_date,($G$2+25),m_active,1,m_start,"&lt;"&amp;1020,m_end,"&gt;"&amp;960)&gt;1,"충돌",HYPERLINK("#'관리자_MASTER'!D"&amp;_xlfn.MAXIFS(m_row,m_teacher,AV$4,m_date,($G$2+25),m_active,1,m_start,"&lt;"&amp;1020,m_end,"&gt;"&amp;960),INDEX(m_label,_xlfn.MAXIFS(m_row,m_teacher,AV$4,m_date,($G$2+25),m_active,1,m_start,"&lt;"&amp;1020,m_end,"&gt;"&amp;960))))))</f>
        <v/>
      </c>
      <c r="AW56" s="82" t="str">
        <f aca="false">IF(OR(AW$4="",MONTH(($G$2+25))&lt;&gt;MONTH($C$2)),"",IF(COUNTIFS(m_teacher,AW$4,m_date,($G$2+25),m_active,1,m_start,"&lt;"&amp;1020,m_end,"&gt;"&amp;960)=0,"",IF(COUNTIFS(m_teacher,AW$4,m_date,($G$2+25),m_active,1,m_start,"&lt;"&amp;1020,m_end,"&gt;"&amp;960)&gt;1,"충돌",HYPERLINK("#'관리자_MASTER'!D"&amp;_xlfn.MAXIFS(m_row,m_teacher,AW$4,m_date,($G$2+25),m_active,1,m_start,"&lt;"&amp;1020,m_end,"&gt;"&amp;960),INDEX(m_label,_xlfn.MAXIFS(m_row,m_teacher,AW$4,m_date,($G$2+25),m_active,1,m_start,"&lt;"&amp;1020,m_end,"&gt;"&amp;960))))))</f>
        <v/>
      </c>
      <c r="AX56" s="82" t="str">
        <f aca="false">IF(OR(AX$4="",MONTH(($G$2+25))&lt;&gt;MONTH($C$2)),"",IF(COUNTIFS(m_teacher,AX$4,m_date,($G$2+25),m_active,1,m_start,"&lt;"&amp;1020,m_end,"&gt;"&amp;960)=0,"",IF(COUNTIFS(m_teacher,AX$4,m_date,($G$2+25),m_active,1,m_start,"&lt;"&amp;1020,m_end,"&gt;"&amp;960)&gt;1,"충돌",HYPERLINK("#'관리자_MASTER'!D"&amp;_xlfn.MAXIFS(m_row,m_teacher,AX$4,m_date,($G$2+25),m_active,1,m_start,"&lt;"&amp;1020,m_end,"&gt;"&amp;960),INDEX(m_label,_xlfn.MAXIFS(m_row,m_teacher,AX$4,m_date,($G$2+25),m_active,1,m_start,"&lt;"&amp;1020,m_end,"&gt;"&amp;960))))))</f>
        <v/>
      </c>
      <c r="AY56" s="82" t="str">
        <f aca="false">IF(OR(AY$4="",MONTH(($G$2+25))&lt;&gt;MONTH($C$2)),"",IF(COUNTIFS(m_teacher,AY$4,m_date,($G$2+25),m_active,1,m_start,"&lt;"&amp;1020,m_end,"&gt;"&amp;960)=0,"",IF(COUNTIFS(m_teacher,AY$4,m_date,($G$2+25),m_active,1,m_start,"&lt;"&amp;1020,m_end,"&gt;"&amp;960)&gt;1,"충돌",HYPERLINK("#'관리자_MASTER'!D"&amp;_xlfn.MAXIFS(m_row,m_teacher,AY$4,m_date,($G$2+25),m_active,1,m_start,"&lt;"&amp;1020,m_end,"&gt;"&amp;960),INDEX(m_label,_xlfn.MAXIFS(m_row,m_teacher,AY$4,m_date,($G$2+25),m_active,1,m_start,"&lt;"&amp;1020,m_end,"&gt;"&amp;960))))))</f>
        <v/>
      </c>
      <c r="AZ56" s="82" t="str">
        <f aca="false">IF(OR(AZ$4="",MONTH(($G$2+25))&lt;&gt;MONTH($C$2)),"",IF(COUNTIFS(m_teacher,AZ$4,m_date,($G$2+25),m_active,1,m_start,"&lt;"&amp;1020,m_end,"&gt;"&amp;960)=0,"",IF(COUNTIFS(m_teacher,AZ$4,m_date,($G$2+25),m_active,1,m_start,"&lt;"&amp;1020,m_end,"&gt;"&amp;960)&gt;1,"충돌",HYPERLINK("#'관리자_MASTER'!D"&amp;_xlfn.MAXIFS(m_row,m_teacher,AZ$4,m_date,($G$2+25),m_active,1,m_start,"&lt;"&amp;1020,m_end,"&gt;"&amp;960),INDEX(m_label,_xlfn.MAXIFS(m_row,m_teacher,AZ$4,m_date,($G$2+25),m_active,1,m_start,"&lt;"&amp;1020,m_end,"&gt;"&amp;960))))))</f>
        <v/>
      </c>
      <c r="BA56" s="82" t="str">
        <f aca="false">IF(OR(BA$4="",MONTH(($G$2+25))&lt;&gt;MONTH($C$2)),"",IF(COUNTIFS(m_teacher,BA$4,m_date,($G$2+25),m_active,1,m_start,"&lt;"&amp;1020,m_end,"&gt;"&amp;960)=0,"",IF(COUNTIFS(m_teacher,BA$4,m_date,($G$2+25),m_active,1,m_start,"&lt;"&amp;1020,m_end,"&gt;"&amp;960)&gt;1,"충돌",HYPERLINK("#'관리자_MASTER'!D"&amp;_xlfn.MAXIFS(m_row,m_teacher,BA$4,m_date,($G$2+25),m_active,1,m_start,"&lt;"&amp;1020,m_end,"&gt;"&amp;960),INDEX(m_label,_xlfn.MAXIFS(m_row,m_teacher,BA$4,m_date,($G$2+25),m_active,1,m_start,"&lt;"&amp;1020,m_end,"&gt;"&amp;960))))))</f>
        <v/>
      </c>
      <c r="BB56" s="82" t="str">
        <f aca="false">IF(OR(BB$4="",MONTH(($G$2+25))&lt;&gt;MONTH($C$2)),"",IF(COUNTIFS(m_teacher,BB$4,m_date,($G$2+25),m_active,1,m_start,"&lt;"&amp;1020,m_end,"&gt;"&amp;960)=0,"",IF(COUNTIFS(m_teacher,BB$4,m_date,($G$2+25),m_active,1,m_start,"&lt;"&amp;1020,m_end,"&gt;"&amp;960)&gt;1,"충돌",HYPERLINK("#'관리자_MASTER'!D"&amp;_xlfn.MAXIFS(m_row,m_teacher,BB$4,m_date,($G$2+25),m_active,1,m_start,"&lt;"&amp;1020,m_end,"&gt;"&amp;960),INDEX(m_label,_xlfn.MAXIFS(m_row,m_teacher,BB$4,m_date,($G$2+25),m_active,1,m_start,"&lt;"&amp;1020,m_end,"&gt;"&amp;960))))))</f>
        <v/>
      </c>
      <c r="BC56" s="82" t="str">
        <f aca="false">IF(OR(BC$4="",MONTH(($G$2+25))&lt;&gt;MONTH($C$2)),"",IF(COUNTIFS(m_teacher,BC$4,m_date,($G$2+25),m_active,1,m_start,"&lt;"&amp;1020,m_end,"&gt;"&amp;960)=0,"",IF(COUNTIFS(m_teacher,BC$4,m_date,($G$2+25),m_active,1,m_start,"&lt;"&amp;1020,m_end,"&gt;"&amp;960)&gt;1,"충돌",HYPERLINK("#'관리자_MASTER'!D"&amp;_xlfn.MAXIFS(m_row,m_teacher,BC$4,m_date,($G$2+25),m_active,1,m_start,"&lt;"&amp;1020,m_end,"&gt;"&amp;960),INDEX(m_label,_xlfn.MAXIFS(m_row,m_teacher,BC$4,m_date,($G$2+25),m_active,1,m_start,"&lt;"&amp;1020,m_end,"&gt;"&amp;960))))))</f>
        <v/>
      </c>
      <c r="BD56" s="82" t="str">
        <f aca="false">IF(OR(BD$4="",MONTH(($G$2+25))&lt;&gt;MONTH($C$2)),"",IF(COUNTIFS(m_teacher,BD$4,m_date,($G$2+25),m_active,1,m_start,"&lt;"&amp;1020,m_end,"&gt;"&amp;960)=0,"",IF(COUNTIFS(m_teacher,BD$4,m_date,($G$2+25),m_active,1,m_start,"&lt;"&amp;1020,m_end,"&gt;"&amp;960)&gt;1,"충돌",HYPERLINK("#'관리자_MASTER'!D"&amp;_xlfn.MAXIFS(m_row,m_teacher,BD$4,m_date,($G$2+25),m_active,1,m_start,"&lt;"&amp;1020,m_end,"&gt;"&amp;960),INDEX(m_label,_xlfn.MAXIFS(m_row,m_teacher,BD$4,m_date,($G$2+25),m_active,1,m_start,"&lt;"&amp;1020,m_end,"&gt;"&amp;960))))))</f>
        <v/>
      </c>
    </row>
    <row r="57" customFormat="false" ht="19.5" hidden="false" customHeight="true" outlineLevel="0" collapsed="false">
      <c r="A57" s="78"/>
      <c r="B57" s="79" t="s">
        <v>99</v>
      </c>
      <c r="C57" s="82" t="str">
        <f aca="false">IF(OR(C$4="",MONTH(($G$2+4))&lt;&gt;MONTH($C$2)),"",IF(COUNTIFS(m_teacher,C$4,m_date,($G$2+4),m_active,1,m_start,"&lt;"&amp;1080,m_end,"&gt;"&amp;1020)=0,"",IF(COUNTIFS(m_teacher,C$4,m_date,($G$2+4),m_active,1,m_start,"&lt;"&amp;1080,m_end,"&gt;"&amp;1020)&gt;1,"충돌",HYPERLINK("#'관리자_MASTER'!D"&amp;_xlfn.MAXIFS(m_row,m_teacher,C$4,m_date,($G$2+4),m_active,1,m_start,"&lt;"&amp;1080,m_end,"&gt;"&amp;1020),INDEX(m_label,_xlfn.MAXIFS(m_row,m_teacher,C$4,m_date,($G$2+4),m_active,1,m_start,"&lt;"&amp;1080,m_end,"&gt;"&amp;1020))))))</f>
        <v/>
      </c>
      <c r="D57" s="82" t="str">
        <f aca="false">IF(OR(D$4="",MONTH(($G$2+4))&lt;&gt;MONTH($C$2)),"",IF(COUNTIFS(m_teacher,D$4,m_date,($G$2+4),m_active,1,m_start,"&lt;"&amp;1080,m_end,"&gt;"&amp;1020)=0,"",IF(COUNTIFS(m_teacher,D$4,m_date,($G$2+4),m_active,1,m_start,"&lt;"&amp;1080,m_end,"&gt;"&amp;1020)&gt;1,"충돌",HYPERLINK("#'관리자_MASTER'!D"&amp;_xlfn.MAXIFS(m_row,m_teacher,D$4,m_date,($G$2+4),m_active,1,m_start,"&lt;"&amp;1080,m_end,"&gt;"&amp;1020),INDEX(m_label,_xlfn.MAXIFS(m_row,m_teacher,D$4,m_date,($G$2+4),m_active,1,m_start,"&lt;"&amp;1080,m_end,"&gt;"&amp;1020))))))</f>
        <v/>
      </c>
      <c r="E57" s="82" t="str">
        <f aca="false">IF(OR(E$4="",MONTH(($G$2+4))&lt;&gt;MONTH($C$2)),"",IF(COUNTIFS(m_teacher,E$4,m_date,($G$2+4),m_active,1,m_start,"&lt;"&amp;1080,m_end,"&gt;"&amp;1020)=0,"",IF(COUNTIFS(m_teacher,E$4,m_date,($G$2+4),m_active,1,m_start,"&lt;"&amp;1080,m_end,"&gt;"&amp;1020)&gt;1,"충돌",HYPERLINK("#'관리자_MASTER'!D"&amp;_xlfn.MAXIFS(m_row,m_teacher,E$4,m_date,($G$2+4),m_active,1,m_start,"&lt;"&amp;1080,m_end,"&gt;"&amp;1020),INDEX(m_label,_xlfn.MAXIFS(m_row,m_teacher,E$4,m_date,($G$2+4),m_active,1,m_start,"&lt;"&amp;1080,m_end,"&gt;"&amp;1020))))))</f>
        <v/>
      </c>
      <c r="F57" s="82" t="str">
        <f aca="false">IF(OR(F$4="",MONTH(($G$2+4))&lt;&gt;MONTH($C$2)),"",IF(COUNTIFS(m_teacher,F$4,m_date,($G$2+4),m_active,1,m_start,"&lt;"&amp;1080,m_end,"&gt;"&amp;1020)=0,"",IF(COUNTIFS(m_teacher,F$4,m_date,($G$2+4),m_active,1,m_start,"&lt;"&amp;1080,m_end,"&gt;"&amp;1020)&gt;1,"충돌",HYPERLINK("#'관리자_MASTER'!D"&amp;_xlfn.MAXIFS(m_row,m_teacher,F$4,m_date,($G$2+4),m_active,1,m_start,"&lt;"&amp;1080,m_end,"&gt;"&amp;1020),INDEX(m_label,_xlfn.MAXIFS(m_row,m_teacher,F$4,m_date,($G$2+4),m_active,1,m_start,"&lt;"&amp;1080,m_end,"&gt;"&amp;1020))))))</f>
        <v/>
      </c>
      <c r="G57" s="82" t="str">
        <f aca="false">IF(OR(G$4="",MONTH(($G$2+4))&lt;&gt;MONTH($C$2)),"",IF(COUNTIFS(m_teacher,G$4,m_date,($G$2+4),m_active,1,m_start,"&lt;"&amp;1080,m_end,"&gt;"&amp;1020)=0,"",IF(COUNTIFS(m_teacher,G$4,m_date,($G$2+4),m_active,1,m_start,"&lt;"&amp;1080,m_end,"&gt;"&amp;1020)&gt;1,"충돌",HYPERLINK("#'관리자_MASTER'!D"&amp;_xlfn.MAXIFS(m_row,m_teacher,G$4,m_date,($G$2+4),m_active,1,m_start,"&lt;"&amp;1080,m_end,"&gt;"&amp;1020),INDEX(m_label,_xlfn.MAXIFS(m_row,m_teacher,G$4,m_date,($G$2+4),m_active,1,m_start,"&lt;"&amp;1080,m_end,"&gt;"&amp;1020))))))</f>
        <v/>
      </c>
      <c r="H57" s="82" t="str">
        <f aca="false">IF(OR(H$4="",MONTH(($G$2+4))&lt;&gt;MONTH($C$2)),"",IF(COUNTIFS(m_teacher,H$4,m_date,($G$2+4),m_active,1,m_start,"&lt;"&amp;1080,m_end,"&gt;"&amp;1020)=0,"",IF(COUNTIFS(m_teacher,H$4,m_date,($G$2+4),m_active,1,m_start,"&lt;"&amp;1080,m_end,"&gt;"&amp;1020)&gt;1,"충돌",HYPERLINK("#'관리자_MASTER'!D"&amp;_xlfn.MAXIFS(m_row,m_teacher,H$4,m_date,($G$2+4),m_active,1,m_start,"&lt;"&amp;1080,m_end,"&gt;"&amp;1020),INDEX(m_label,_xlfn.MAXIFS(m_row,m_teacher,H$4,m_date,($G$2+4),m_active,1,m_start,"&lt;"&amp;1080,m_end,"&gt;"&amp;1020))))))</f>
        <v/>
      </c>
      <c r="I57" s="82" t="str">
        <f aca="false">IF(OR(I$4="",MONTH(($G$2+4))&lt;&gt;MONTH($C$2)),"",IF(COUNTIFS(m_teacher,I$4,m_date,($G$2+4),m_active,1,m_start,"&lt;"&amp;1080,m_end,"&gt;"&amp;1020)=0,"",IF(COUNTIFS(m_teacher,I$4,m_date,($G$2+4),m_active,1,m_start,"&lt;"&amp;1080,m_end,"&gt;"&amp;1020)&gt;1,"충돌",HYPERLINK("#'관리자_MASTER'!D"&amp;_xlfn.MAXIFS(m_row,m_teacher,I$4,m_date,($G$2+4),m_active,1,m_start,"&lt;"&amp;1080,m_end,"&gt;"&amp;1020),INDEX(m_label,_xlfn.MAXIFS(m_row,m_teacher,I$4,m_date,($G$2+4),m_active,1,m_start,"&lt;"&amp;1080,m_end,"&gt;"&amp;1020))))))</f>
        <v/>
      </c>
      <c r="J57" s="82" t="str">
        <f aca="false">IF(OR(J$4="",MONTH(($G$2+4))&lt;&gt;MONTH($C$2)),"",IF(COUNTIFS(m_teacher,J$4,m_date,($G$2+4),m_active,1,m_start,"&lt;"&amp;1080,m_end,"&gt;"&amp;1020)=0,"",IF(COUNTIFS(m_teacher,J$4,m_date,($G$2+4),m_active,1,m_start,"&lt;"&amp;1080,m_end,"&gt;"&amp;1020)&gt;1,"충돌",HYPERLINK("#'관리자_MASTER'!D"&amp;_xlfn.MAXIFS(m_row,m_teacher,J$4,m_date,($G$2+4),m_active,1,m_start,"&lt;"&amp;1080,m_end,"&gt;"&amp;1020),INDEX(m_label,_xlfn.MAXIFS(m_row,m_teacher,J$4,m_date,($G$2+4),m_active,1,m_start,"&lt;"&amp;1080,m_end,"&gt;"&amp;1020))))))</f>
        <v/>
      </c>
      <c r="K57" s="82" t="str">
        <f aca="false">IF(OR(K$4="",MONTH(($G$2+4))&lt;&gt;MONTH($C$2)),"",IF(COUNTIFS(m_teacher,K$4,m_date,($G$2+4),m_active,1,m_start,"&lt;"&amp;1080,m_end,"&gt;"&amp;1020)=0,"",IF(COUNTIFS(m_teacher,K$4,m_date,($G$2+4),m_active,1,m_start,"&lt;"&amp;1080,m_end,"&gt;"&amp;1020)&gt;1,"충돌",HYPERLINK("#'관리자_MASTER'!D"&amp;_xlfn.MAXIFS(m_row,m_teacher,K$4,m_date,($G$2+4),m_active,1,m_start,"&lt;"&amp;1080,m_end,"&gt;"&amp;1020),INDEX(m_label,_xlfn.MAXIFS(m_row,m_teacher,K$4,m_date,($G$2+4),m_active,1,m_start,"&lt;"&amp;1080,m_end,"&gt;"&amp;1020))))))</f>
        <v/>
      </c>
      <c r="L57" s="82" t="str">
        <f aca="false">IF(OR(L$4="",MONTH(($G$2+4))&lt;&gt;MONTH($C$2)),"",IF(COUNTIFS(m_teacher,L$4,m_date,($G$2+4),m_active,1,m_start,"&lt;"&amp;1080,m_end,"&gt;"&amp;1020)=0,"",IF(COUNTIFS(m_teacher,L$4,m_date,($G$2+4),m_active,1,m_start,"&lt;"&amp;1080,m_end,"&gt;"&amp;1020)&gt;1,"충돌",HYPERLINK("#'관리자_MASTER'!D"&amp;_xlfn.MAXIFS(m_row,m_teacher,L$4,m_date,($G$2+4),m_active,1,m_start,"&lt;"&amp;1080,m_end,"&gt;"&amp;1020),INDEX(m_label,_xlfn.MAXIFS(m_row,m_teacher,L$4,m_date,($G$2+4),m_active,1,m_start,"&lt;"&amp;1080,m_end,"&gt;"&amp;1020))))))</f>
        <v/>
      </c>
      <c r="M57" s="82" t="str">
        <f aca="false">IF(OR(M$4="",MONTH(($G$2+4))&lt;&gt;MONTH($C$2)),"",IF(COUNTIFS(m_teacher,M$4,m_date,($G$2+4),m_active,1,m_start,"&lt;"&amp;1080,m_end,"&gt;"&amp;1020)=0,"",IF(COUNTIFS(m_teacher,M$4,m_date,($G$2+4),m_active,1,m_start,"&lt;"&amp;1080,m_end,"&gt;"&amp;1020)&gt;1,"충돌",HYPERLINK("#'관리자_MASTER'!D"&amp;_xlfn.MAXIFS(m_row,m_teacher,M$4,m_date,($G$2+4),m_active,1,m_start,"&lt;"&amp;1080,m_end,"&gt;"&amp;1020),INDEX(m_label,_xlfn.MAXIFS(m_row,m_teacher,M$4,m_date,($G$2+4),m_active,1,m_start,"&lt;"&amp;1080,m_end,"&gt;"&amp;1020))))))</f>
        <v/>
      </c>
      <c r="N57" s="82" t="str">
        <f aca="false">IF(OR(N$4="",MONTH(($G$2+4))&lt;&gt;MONTH($C$2)),"",IF(COUNTIFS(m_teacher,N$4,m_date,($G$2+4),m_active,1,m_start,"&lt;"&amp;1080,m_end,"&gt;"&amp;1020)=0,"",IF(COUNTIFS(m_teacher,N$4,m_date,($G$2+4),m_active,1,m_start,"&lt;"&amp;1080,m_end,"&gt;"&amp;1020)&gt;1,"충돌",HYPERLINK("#'관리자_MASTER'!D"&amp;_xlfn.MAXIFS(m_row,m_teacher,N$4,m_date,($G$2+4),m_active,1,m_start,"&lt;"&amp;1080,m_end,"&gt;"&amp;1020),INDEX(m_label,_xlfn.MAXIFS(m_row,m_teacher,N$4,m_date,($G$2+4),m_active,1,m_start,"&lt;"&amp;1080,m_end,"&gt;"&amp;1020))))))</f>
        <v/>
      </c>
      <c r="O57" s="78"/>
      <c r="P57" s="79" t="s">
        <v>99</v>
      </c>
      <c r="Q57" s="82" t="str">
        <f aca="false">IF(OR(Q$4="",MONTH(($G$2+11))&lt;&gt;MONTH($C$2)),"",IF(COUNTIFS(m_teacher,Q$4,m_date,($G$2+11),m_active,1,m_start,"&lt;"&amp;1080,m_end,"&gt;"&amp;1020)=0,"",IF(COUNTIFS(m_teacher,Q$4,m_date,($G$2+11),m_active,1,m_start,"&lt;"&amp;1080,m_end,"&gt;"&amp;1020)&gt;1,"충돌",HYPERLINK("#'관리자_MASTER'!D"&amp;_xlfn.MAXIFS(m_row,m_teacher,Q$4,m_date,($G$2+11),m_active,1,m_start,"&lt;"&amp;1080,m_end,"&gt;"&amp;1020),INDEX(m_label,_xlfn.MAXIFS(m_row,m_teacher,Q$4,m_date,($G$2+11),m_active,1,m_start,"&lt;"&amp;1080,m_end,"&gt;"&amp;1020))))))</f>
        <v/>
      </c>
      <c r="R57" s="82" t="str">
        <f aca="false">IF(OR(R$4="",MONTH(($G$2+11))&lt;&gt;MONTH($C$2)),"",IF(COUNTIFS(m_teacher,R$4,m_date,($G$2+11),m_active,1,m_start,"&lt;"&amp;1080,m_end,"&gt;"&amp;1020)=0,"",IF(COUNTIFS(m_teacher,R$4,m_date,($G$2+11),m_active,1,m_start,"&lt;"&amp;1080,m_end,"&gt;"&amp;1020)&gt;1,"충돌",HYPERLINK("#'관리자_MASTER'!D"&amp;_xlfn.MAXIFS(m_row,m_teacher,R$4,m_date,($G$2+11),m_active,1,m_start,"&lt;"&amp;1080,m_end,"&gt;"&amp;1020),INDEX(m_label,_xlfn.MAXIFS(m_row,m_teacher,R$4,m_date,($G$2+11),m_active,1,m_start,"&lt;"&amp;1080,m_end,"&gt;"&amp;1020))))))</f>
        <v/>
      </c>
      <c r="S57" s="82" t="str">
        <f aca="false">IF(OR(S$4="",MONTH(($G$2+11))&lt;&gt;MONTH($C$2)),"",IF(COUNTIFS(m_teacher,S$4,m_date,($G$2+11),m_active,1,m_start,"&lt;"&amp;1080,m_end,"&gt;"&amp;1020)=0,"",IF(COUNTIFS(m_teacher,S$4,m_date,($G$2+11),m_active,1,m_start,"&lt;"&amp;1080,m_end,"&gt;"&amp;1020)&gt;1,"충돌",HYPERLINK("#'관리자_MASTER'!D"&amp;_xlfn.MAXIFS(m_row,m_teacher,S$4,m_date,($G$2+11),m_active,1,m_start,"&lt;"&amp;1080,m_end,"&gt;"&amp;1020),INDEX(m_label,_xlfn.MAXIFS(m_row,m_teacher,S$4,m_date,($G$2+11),m_active,1,m_start,"&lt;"&amp;1080,m_end,"&gt;"&amp;1020))))))</f>
        <v/>
      </c>
      <c r="T57" s="82" t="str">
        <f aca="false">IF(OR(T$4="",MONTH(($G$2+11))&lt;&gt;MONTH($C$2)),"",IF(COUNTIFS(m_teacher,T$4,m_date,($G$2+11),m_active,1,m_start,"&lt;"&amp;1080,m_end,"&gt;"&amp;1020)=0,"",IF(COUNTIFS(m_teacher,T$4,m_date,($G$2+11),m_active,1,m_start,"&lt;"&amp;1080,m_end,"&gt;"&amp;1020)&gt;1,"충돌",HYPERLINK("#'관리자_MASTER'!D"&amp;_xlfn.MAXIFS(m_row,m_teacher,T$4,m_date,($G$2+11),m_active,1,m_start,"&lt;"&amp;1080,m_end,"&gt;"&amp;1020),INDEX(m_label,_xlfn.MAXIFS(m_row,m_teacher,T$4,m_date,($G$2+11),m_active,1,m_start,"&lt;"&amp;1080,m_end,"&gt;"&amp;1020))))))</f>
        <v/>
      </c>
      <c r="U57" s="82" t="str">
        <f aca="false">IF(OR(U$4="",MONTH(($G$2+11))&lt;&gt;MONTH($C$2)),"",IF(COUNTIFS(m_teacher,U$4,m_date,($G$2+11),m_active,1,m_start,"&lt;"&amp;1080,m_end,"&gt;"&amp;1020)=0,"",IF(COUNTIFS(m_teacher,U$4,m_date,($G$2+11),m_active,1,m_start,"&lt;"&amp;1080,m_end,"&gt;"&amp;1020)&gt;1,"충돌",HYPERLINK("#'관리자_MASTER'!D"&amp;_xlfn.MAXIFS(m_row,m_teacher,U$4,m_date,($G$2+11),m_active,1,m_start,"&lt;"&amp;1080,m_end,"&gt;"&amp;1020),INDEX(m_label,_xlfn.MAXIFS(m_row,m_teacher,U$4,m_date,($G$2+11),m_active,1,m_start,"&lt;"&amp;1080,m_end,"&gt;"&amp;1020))))))</f>
        <v/>
      </c>
      <c r="V57" s="82" t="str">
        <f aca="false">IF(OR(V$4="",MONTH(($G$2+11))&lt;&gt;MONTH($C$2)),"",IF(COUNTIFS(m_teacher,V$4,m_date,($G$2+11),m_active,1,m_start,"&lt;"&amp;1080,m_end,"&gt;"&amp;1020)=0,"",IF(COUNTIFS(m_teacher,V$4,m_date,($G$2+11),m_active,1,m_start,"&lt;"&amp;1080,m_end,"&gt;"&amp;1020)&gt;1,"충돌",HYPERLINK("#'관리자_MASTER'!D"&amp;_xlfn.MAXIFS(m_row,m_teacher,V$4,m_date,($G$2+11),m_active,1,m_start,"&lt;"&amp;1080,m_end,"&gt;"&amp;1020),INDEX(m_label,_xlfn.MAXIFS(m_row,m_teacher,V$4,m_date,($G$2+11),m_active,1,m_start,"&lt;"&amp;1080,m_end,"&gt;"&amp;1020))))))</f>
        <v/>
      </c>
      <c r="W57" s="82" t="str">
        <f aca="false">IF(OR(W$4="",MONTH(($G$2+11))&lt;&gt;MONTH($C$2)),"",IF(COUNTIFS(m_teacher,W$4,m_date,($G$2+11),m_active,1,m_start,"&lt;"&amp;1080,m_end,"&gt;"&amp;1020)=0,"",IF(COUNTIFS(m_teacher,W$4,m_date,($G$2+11),m_active,1,m_start,"&lt;"&amp;1080,m_end,"&gt;"&amp;1020)&gt;1,"충돌",HYPERLINK("#'관리자_MASTER'!D"&amp;_xlfn.MAXIFS(m_row,m_teacher,W$4,m_date,($G$2+11),m_active,1,m_start,"&lt;"&amp;1080,m_end,"&gt;"&amp;1020),INDEX(m_label,_xlfn.MAXIFS(m_row,m_teacher,W$4,m_date,($G$2+11),m_active,1,m_start,"&lt;"&amp;1080,m_end,"&gt;"&amp;1020))))))</f>
        <v/>
      </c>
      <c r="X57" s="82" t="str">
        <f aca="false">IF(OR(X$4="",MONTH(($G$2+11))&lt;&gt;MONTH($C$2)),"",IF(COUNTIFS(m_teacher,X$4,m_date,($G$2+11),m_active,1,m_start,"&lt;"&amp;1080,m_end,"&gt;"&amp;1020)=0,"",IF(COUNTIFS(m_teacher,X$4,m_date,($G$2+11),m_active,1,m_start,"&lt;"&amp;1080,m_end,"&gt;"&amp;1020)&gt;1,"충돌",HYPERLINK("#'관리자_MASTER'!D"&amp;_xlfn.MAXIFS(m_row,m_teacher,X$4,m_date,($G$2+11),m_active,1,m_start,"&lt;"&amp;1080,m_end,"&gt;"&amp;1020),INDEX(m_label,_xlfn.MAXIFS(m_row,m_teacher,X$4,m_date,($G$2+11),m_active,1,m_start,"&lt;"&amp;1080,m_end,"&gt;"&amp;1020))))))</f>
        <v/>
      </c>
      <c r="Y57" s="82" t="str">
        <f aca="false">IF(OR(Y$4="",MONTH(($G$2+11))&lt;&gt;MONTH($C$2)),"",IF(COUNTIFS(m_teacher,Y$4,m_date,($G$2+11),m_active,1,m_start,"&lt;"&amp;1080,m_end,"&gt;"&amp;1020)=0,"",IF(COUNTIFS(m_teacher,Y$4,m_date,($G$2+11),m_active,1,m_start,"&lt;"&amp;1080,m_end,"&gt;"&amp;1020)&gt;1,"충돌",HYPERLINK("#'관리자_MASTER'!D"&amp;_xlfn.MAXIFS(m_row,m_teacher,Y$4,m_date,($G$2+11),m_active,1,m_start,"&lt;"&amp;1080,m_end,"&gt;"&amp;1020),INDEX(m_label,_xlfn.MAXIFS(m_row,m_teacher,Y$4,m_date,($G$2+11),m_active,1,m_start,"&lt;"&amp;1080,m_end,"&gt;"&amp;1020))))))</f>
        <v/>
      </c>
      <c r="Z57" s="82" t="str">
        <f aca="false">IF(OR(Z$4="",MONTH(($G$2+11))&lt;&gt;MONTH($C$2)),"",IF(COUNTIFS(m_teacher,Z$4,m_date,($G$2+11),m_active,1,m_start,"&lt;"&amp;1080,m_end,"&gt;"&amp;1020)=0,"",IF(COUNTIFS(m_teacher,Z$4,m_date,($G$2+11),m_active,1,m_start,"&lt;"&amp;1080,m_end,"&gt;"&amp;1020)&gt;1,"충돌",HYPERLINK("#'관리자_MASTER'!D"&amp;_xlfn.MAXIFS(m_row,m_teacher,Z$4,m_date,($G$2+11),m_active,1,m_start,"&lt;"&amp;1080,m_end,"&gt;"&amp;1020),INDEX(m_label,_xlfn.MAXIFS(m_row,m_teacher,Z$4,m_date,($G$2+11),m_active,1,m_start,"&lt;"&amp;1080,m_end,"&gt;"&amp;1020))))))</f>
        <v/>
      </c>
      <c r="AA57" s="82" t="str">
        <f aca="false">IF(OR(AA$4="",MONTH(($G$2+11))&lt;&gt;MONTH($C$2)),"",IF(COUNTIFS(m_teacher,AA$4,m_date,($G$2+11),m_active,1,m_start,"&lt;"&amp;1080,m_end,"&gt;"&amp;1020)=0,"",IF(COUNTIFS(m_teacher,AA$4,m_date,($G$2+11),m_active,1,m_start,"&lt;"&amp;1080,m_end,"&gt;"&amp;1020)&gt;1,"충돌",HYPERLINK("#'관리자_MASTER'!D"&amp;_xlfn.MAXIFS(m_row,m_teacher,AA$4,m_date,($G$2+11),m_active,1,m_start,"&lt;"&amp;1080,m_end,"&gt;"&amp;1020),INDEX(m_label,_xlfn.MAXIFS(m_row,m_teacher,AA$4,m_date,($G$2+11),m_active,1,m_start,"&lt;"&amp;1080,m_end,"&gt;"&amp;1020))))))</f>
        <v/>
      </c>
      <c r="AB57" s="82" t="str">
        <f aca="false">IF(OR(AB$4="",MONTH(($G$2+11))&lt;&gt;MONTH($C$2)),"",IF(COUNTIFS(m_teacher,AB$4,m_date,($G$2+11),m_active,1,m_start,"&lt;"&amp;1080,m_end,"&gt;"&amp;1020)=0,"",IF(COUNTIFS(m_teacher,AB$4,m_date,($G$2+11),m_active,1,m_start,"&lt;"&amp;1080,m_end,"&gt;"&amp;1020)&gt;1,"충돌",HYPERLINK("#'관리자_MASTER'!D"&amp;_xlfn.MAXIFS(m_row,m_teacher,AB$4,m_date,($G$2+11),m_active,1,m_start,"&lt;"&amp;1080,m_end,"&gt;"&amp;1020),INDEX(m_label,_xlfn.MAXIFS(m_row,m_teacher,AB$4,m_date,($G$2+11),m_active,1,m_start,"&lt;"&amp;1080,m_end,"&gt;"&amp;1020))))))</f>
        <v/>
      </c>
      <c r="AC57" s="78"/>
      <c r="AD57" s="79" t="s">
        <v>99</v>
      </c>
      <c r="AE57" s="82" t="str">
        <f aca="false">IF(OR(AE$4="",MONTH(($G$2+18))&lt;&gt;MONTH($C$2)),"",IF(COUNTIFS(m_teacher,AE$4,m_date,($G$2+18),m_active,1,m_start,"&lt;"&amp;1080,m_end,"&gt;"&amp;1020)=0,"",IF(COUNTIFS(m_teacher,AE$4,m_date,($G$2+18),m_active,1,m_start,"&lt;"&amp;1080,m_end,"&gt;"&amp;1020)&gt;1,"충돌",HYPERLINK("#'관리자_MASTER'!D"&amp;_xlfn.MAXIFS(m_row,m_teacher,AE$4,m_date,($G$2+18),m_active,1,m_start,"&lt;"&amp;1080,m_end,"&gt;"&amp;1020),INDEX(m_label,_xlfn.MAXIFS(m_row,m_teacher,AE$4,m_date,($G$2+18),m_active,1,m_start,"&lt;"&amp;1080,m_end,"&gt;"&amp;1020))))))</f>
        <v/>
      </c>
      <c r="AF57" s="82" t="str">
        <f aca="false">IF(OR(AF$4="",MONTH(($G$2+18))&lt;&gt;MONTH($C$2)),"",IF(COUNTIFS(m_teacher,AF$4,m_date,($G$2+18),m_active,1,m_start,"&lt;"&amp;1080,m_end,"&gt;"&amp;1020)=0,"",IF(COUNTIFS(m_teacher,AF$4,m_date,($G$2+18),m_active,1,m_start,"&lt;"&amp;1080,m_end,"&gt;"&amp;1020)&gt;1,"충돌",HYPERLINK("#'관리자_MASTER'!D"&amp;_xlfn.MAXIFS(m_row,m_teacher,AF$4,m_date,($G$2+18),m_active,1,m_start,"&lt;"&amp;1080,m_end,"&gt;"&amp;1020),INDEX(m_label,_xlfn.MAXIFS(m_row,m_teacher,AF$4,m_date,($G$2+18),m_active,1,m_start,"&lt;"&amp;1080,m_end,"&gt;"&amp;1020))))))</f>
        <v/>
      </c>
      <c r="AG57" s="82" t="str">
        <f aca="false">IF(OR(AG$4="",MONTH(($G$2+18))&lt;&gt;MONTH($C$2)),"",IF(COUNTIFS(m_teacher,AG$4,m_date,($G$2+18),m_active,1,m_start,"&lt;"&amp;1080,m_end,"&gt;"&amp;1020)=0,"",IF(COUNTIFS(m_teacher,AG$4,m_date,($G$2+18),m_active,1,m_start,"&lt;"&amp;1080,m_end,"&gt;"&amp;1020)&gt;1,"충돌",HYPERLINK("#'관리자_MASTER'!D"&amp;_xlfn.MAXIFS(m_row,m_teacher,AG$4,m_date,($G$2+18),m_active,1,m_start,"&lt;"&amp;1080,m_end,"&gt;"&amp;1020),INDEX(m_label,_xlfn.MAXIFS(m_row,m_teacher,AG$4,m_date,($G$2+18),m_active,1,m_start,"&lt;"&amp;1080,m_end,"&gt;"&amp;1020))))))</f>
        <v/>
      </c>
      <c r="AH57" s="82" t="str">
        <f aca="false">IF(OR(AH$4="",MONTH(($G$2+18))&lt;&gt;MONTH($C$2)),"",IF(COUNTIFS(m_teacher,AH$4,m_date,($G$2+18),m_active,1,m_start,"&lt;"&amp;1080,m_end,"&gt;"&amp;1020)=0,"",IF(COUNTIFS(m_teacher,AH$4,m_date,($G$2+18),m_active,1,m_start,"&lt;"&amp;1080,m_end,"&gt;"&amp;1020)&gt;1,"충돌",HYPERLINK("#'관리자_MASTER'!D"&amp;_xlfn.MAXIFS(m_row,m_teacher,AH$4,m_date,($G$2+18),m_active,1,m_start,"&lt;"&amp;1080,m_end,"&gt;"&amp;1020),INDEX(m_label,_xlfn.MAXIFS(m_row,m_teacher,AH$4,m_date,($G$2+18),m_active,1,m_start,"&lt;"&amp;1080,m_end,"&gt;"&amp;1020))))))</f>
        <v/>
      </c>
      <c r="AI57" s="82" t="str">
        <f aca="false">IF(OR(AI$4="",MONTH(($G$2+18))&lt;&gt;MONTH($C$2)),"",IF(COUNTIFS(m_teacher,AI$4,m_date,($G$2+18),m_active,1,m_start,"&lt;"&amp;1080,m_end,"&gt;"&amp;1020)=0,"",IF(COUNTIFS(m_teacher,AI$4,m_date,($G$2+18),m_active,1,m_start,"&lt;"&amp;1080,m_end,"&gt;"&amp;1020)&gt;1,"충돌",HYPERLINK("#'관리자_MASTER'!D"&amp;_xlfn.MAXIFS(m_row,m_teacher,AI$4,m_date,($G$2+18),m_active,1,m_start,"&lt;"&amp;1080,m_end,"&gt;"&amp;1020),INDEX(m_label,_xlfn.MAXIFS(m_row,m_teacher,AI$4,m_date,($G$2+18),m_active,1,m_start,"&lt;"&amp;1080,m_end,"&gt;"&amp;1020))))))</f>
        <v/>
      </c>
      <c r="AJ57" s="82" t="str">
        <f aca="false">IF(OR(AJ$4="",MONTH(($G$2+18))&lt;&gt;MONTH($C$2)),"",IF(COUNTIFS(m_teacher,AJ$4,m_date,($G$2+18),m_active,1,m_start,"&lt;"&amp;1080,m_end,"&gt;"&amp;1020)=0,"",IF(COUNTIFS(m_teacher,AJ$4,m_date,($G$2+18),m_active,1,m_start,"&lt;"&amp;1080,m_end,"&gt;"&amp;1020)&gt;1,"충돌",HYPERLINK("#'관리자_MASTER'!D"&amp;_xlfn.MAXIFS(m_row,m_teacher,AJ$4,m_date,($G$2+18),m_active,1,m_start,"&lt;"&amp;1080,m_end,"&gt;"&amp;1020),INDEX(m_label,_xlfn.MAXIFS(m_row,m_teacher,AJ$4,m_date,($G$2+18),m_active,1,m_start,"&lt;"&amp;1080,m_end,"&gt;"&amp;1020))))))</f>
        <v/>
      </c>
      <c r="AK57" s="82" t="str">
        <f aca="false">IF(OR(AK$4="",MONTH(($G$2+18))&lt;&gt;MONTH($C$2)),"",IF(COUNTIFS(m_teacher,AK$4,m_date,($G$2+18),m_active,1,m_start,"&lt;"&amp;1080,m_end,"&gt;"&amp;1020)=0,"",IF(COUNTIFS(m_teacher,AK$4,m_date,($G$2+18),m_active,1,m_start,"&lt;"&amp;1080,m_end,"&gt;"&amp;1020)&gt;1,"충돌",HYPERLINK("#'관리자_MASTER'!D"&amp;_xlfn.MAXIFS(m_row,m_teacher,AK$4,m_date,($G$2+18),m_active,1,m_start,"&lt;"&amp;1080,m_end,"&gt;"&amp;1020),INDEX(m_label,_xlfn.MAXIFS(m_row,m_teacher,AK$4,m_date,($G$2+18),m_active,1,m_start,"&lt;"&amp;1080,m_end,"&gt;"&amp;1020))))))</f>
        <v/>
      </c>
      <c r="AL57" s="82" t="str">
        <f aca="false">IF(OR(AL$4="",MONTH(($G$2+18))&lt;&gt;MONTH($C$2)),"",IF(COUNTIFS(m_teacher,AL$4,m_date,($G$2+18),m_active,1,m_start,"&lt;"&amp;1080,m_end,"&gt;"&amp;1020)=0,"",IF(COUNTIFS(m_teacher,AL$4,m_date,($G$2+18),m_active,1,m_start,"&lt;"&amp;1080,m_end,"&gt;"&amp;1020)&gt;1,"충돌",HYPERLINK("#'관리자_MASTER'!D"&amp;_xlfn.MAXIFS(m_row,m_teacher,AL$4,m_date,($G$2+18),m_active,1,m_start,"&lt;"&amp;1080,m_end,"&gt;"&amp;1020),INDEX(m_label,_xlfn.MAXIFS(m_row,m_teacher,AL$4,m_date,($G$2+18),m_active,1,m_start,"&lt;"&amp;1080,m_end,"&gt;"&amp;1020))))))</f>
        <v/>
      </c>
      <c r="AM57" s="82" t="str">
        <f aca="false">IF(OR(AM$4="",MONTH(($G$2+18))&lt;&gt;MONTH($C$2)),"",IF(COUNTIFS(m_teacher,AM$4,m_date,($G$2+18),m_active,1,m_start,"&lt;"&amp;1080,m_end,"&gt;"&amp;1020)=0,"",IF(COUNTIFS(m_teacher,AM$4,m_date,($G$2+18),m_active,1,m_start,"&lt;"&amp;1080,m_end,"&gt;"&amp;1020)&gt;1,"충돌",HYPERLINK("#'관리자_MASTER'!D"&amp;_xlfn.MAXIFS(m_row,m_teacher,AM$4,m_date,($G$2+18),m_active,1,m_start,"&lt;"&amp;1080,m_end,"&gt;"&amp;1020),INDEX(m_label,_xlfn.MAXIFS(m_row,m_teacher,AM$4,m_date,($G$2+18),m_active,1,m_start,"&lt;"&amp;1080,m_end,"&gt;"&amp;1020))))))</f>
        <v/>
      </c>
      <c r="AN57" s="82" t="str">
        <f aca="false">IF(OR(AN$4="",MONTH(($G$2+18))&lt;&gt;MONTH($C$2)),"",IF(COUNTIFS(m_teacher,AN$4,m_date,($G$2+18),m_active,1,m_start,"&lt;"&amp;1080,m_end,"&gt;"&amp;1020)=0,"",IF(COUNTIFS(m_teacher,AN$4,m_date,($G$2+18),m_active,1,m_start,"&lt;"&amp;1080,m_end,"&gt;"&amp;1020)&gt;1,"충돌",HYPERLINK("#'관리자_MASTER'!D"&amp;_xlfn.MAXIFS(m_row,m_teacher,AN$4,m_date,($G$2+18),m_active,1,m_start,"&lt;"&amp;1080,m_end,"&gt;"&amp;1020),INDEX(m_label,_xlfn.MAXIFS(m_row,m_teacher,AN$4,m_date,($G$2+18),m_active,1,m_start,"&lt;"&amp;1080,m_end,"&gt;"&amp;1020))))))</f>
        <v/>
      </c>
      <c r="AO57" s="82" t="str">
        <f aca="false">IF(OR(AO$4="",MONTH(($G$2+18))&lt;&gt;MONTH($C$2)),"",IF(COUNTIFS(m_teacher,AO$4,m_date,($G$2+18),m_active,1,m_start,"&lt;"&amp;1080,m_end,"&gt;"&amp;1020)=0,"",IF(COUNTIFS(m_teacher,AO$4,m_date,($G$2+18),m_active,1,m_start,"&lt;"&amp;1080,m_end,"&gt;"&amp;1020)&gt;1,"충돌",HYPERLINK("#'관리자_MASTER'!D"&amp;_xlfn.MAXIFS(m_row,m_teacher,AO$4,m_date,($G$2+18),m_active,1,m_start,"&lt;"&amp;1080,m_end,"&gt;"&amp;1020),INDEX(m_label,_xlfn.MAXIFS(m_row,m_teacher,AO$4,m_date,($G$2+18),m_active,1,m_start,"&lt;"&amp;1080,m_end,"&gt;"&amp;1020))))))</f>
        <v/>
      </c>
      <c r="AP57" s="82" t="str">
        <f aca="false">IF(OR(AP$4="",MONTH(($G$2+18))&lt;&gt;MONTH($C$2)),"",IF(COUNTIFS(m_teacher,AP$4,m_date,($G$2+18),m_active,1,m_start,"&lt;"&amp;1080,m_end,"&gt;"&amp;1020)=0,"",IF(COUNTIFS(m_teacher,AP$4,m_date,($G$2+18),m_active,1,m_start,"&lt;"&amp;1080,m_end,"&gt;"&amp;1020)&gt;1,"충돌",HYPERLINK("#'관리자_MASTER'!D"&amp;_xlfn.MAXIFS(m_row,m_teacher,AP$4,m_date,($G$2+18),m_active,1,m_start,"&lt;"&amp;1080,m_end,"&gt;"&amp;1020),INDEX(m_label,_xlfn.MAXIFS(m_row,m_teacher,AP$4,m_date,($G$2+18),m_active,1,m_start,"&lt;"&amp;1080,m_end,"&gt;"&amp;1020))))))</f>
        <v/>
      </c>
      <c r="AQ57" s="78"/>
      <c r="AR57" s="79" t="s">
        <v>99</v>
      </c>
      <c r="AS57" s="82" t="str">
        <f aca="false">IF(OR(AS$4="",MONTH(($G$2+25))&lt;&gt;MONTH($C$2)),"",IF(COUNTIFS(m_teacher,AS$4,m_date,($G$2+25),m_active,1,m_start,"&lt;"&amp;1080,m_end,"&gt;"&amp;1020)=0,"",IF(COUNTIFS(m_teacher,AS$4,m_date,($G$2+25),m_active,1,m_start,"&lt;"&amp;1080,m_end,"&gt;"&amp;1020)&gt;1,"충돌",HYPERLINK("#'관리자_MASTER'!D"&amp;_xlfn.MAXIFS(m_row,m_teacher,AS$4,m_date,($G$2+25),m_active,1,m_start,"&lt;"&amp;1080,m_end,"&gt;"&amp;1020),INDEX(m_label,_xlfn.MAXIFS(m_row,m_teacher,AS$4,m_date,($G$2+25),m_active,1,m_start,"&lt;"&amp;1080,m_end,"&gt;"&amp;1020))))))</f>
        <v/>
      </c>
      <c r="AT57" s="82" t="str">
        <f aca="false">IF(OR(AT$4="",MONTH(($G$2+25))&lt;&gt;MONTH($C$2)),"",IF(COUNTIFS(m_teacher,AT$4,m_date,($G$2+25),m_active,1,m_start,"&lt;"&amp;1080,m_end,"&gt;"&amp;1020)=0,"",IF(COUNTIFS(m_teacher,AT$4,m_date,($G$2+25),m_active,1,m_start,"&lt;"&amp;1080,m_end,"&gt;"&amp;1020)&gt;1,"충돌",HYPERLINK("#'관리자_MASTER'!D"&amp;_xlfn.MAXIFS(m_row,m_teacher,AT$4,m_date,($G$2+25),m_active,1,m_start,"&lt;"&amp;1080,m_end,"&gt;"&amp;1020),INDEX(m_label,_xlfn.MAXIFS(m_row,m_teacher,AT$4,m_date,($G$2+25),m_active,1,m_start,"&lt;"&amp;1080,m_end,"&gt;"&amp;1020))))))</f>
        <v/>
      </c>
      <c r="AU57" s="82" t="str">
        <f aca="false">IF(OR(AU$4="",MONTH(($G$2+25))&lt;&gt;MONTH($C$2)),"",IF(COUNTIFS(m_teacher,AU$4,m_date,($G$2+25),m_active,1,m_start,"&lt;"&amp;1080,m_end,"&gt;"&amp;1020)=0,"",IF(COUNTIFS(m_teacher,AU$4,m_date,($G$2+25),m_active,1,m_start,"&lt;"&amp;1080,m_end,"&gt;"&amp;1020)&gt;1,"충돌",HYPERLINK("#'관리자_MASTER'!D"&amp;_xlfn.MAXIFS(m_row,m_teacher,AU$4,m_date,($G$2+25),m_active,1,m_start,"&lt;"&amp;1080,m_end,"&gt;"&amp;1020),INDEX(m_label,_xlfn.MAXIFS(m_row,m_teacher,AU$4,m_date,($G$2+25),m_active,1,m_start,"&lt;"&amp;1080,m_end,"&gt;"&amp;1020))))))</f>
        <v/>
      </c>
      <c r="AV57" s="82" t="str">
        <f aca="false">IF(OR(AV$4="",MONTH(($G$2+25))&lt;&gt;MONTH($C$2)),"",IF(COUNTIFS(m_teacher,AV$4,m_date,($G$2+25),m_active,1,m_start,"&lt;"&amp;1080,m_end,"&gt;"&amp;1020)=0,"",IF(COUNTIFS(m_teacher,AV$4,m_date,($G$2+25),m_active,1,m_start,"&lt;"&amp;1080,m_end,"&gt;"&amp;1020)&gt;1,"충돌",HYPERLINK("#'관리자_MASTER'!D"&amp;_xlfn.MAXIFS(m_row,m_teacher,AV$4,m_date,($G$2+25),m_active,1,m_start,"&lt;"&amp;1080,m_end,"&gt;"&amp;1020),INDEX(m_label,_xlfn.MAXIFS(m_row,m_teacher,AV$4,m_date,($G$2+25),m_active,1,m_start,"&lt;"&amp;1080,m_end,"&gt;"&amp;1020))))))</f>
        <v/>
      </c>
      <c r="AW57" s="82" t="str">
        <f aca="false">IF(OR(AW$4="",MONTH(($G$2+25))&lt;&gt;MONTH($C$2)),"",IF(COUNTIFS(m_teacher,AW$4,m_date,($G$2+25),m_active,1,m_start,"&lt;"&amp;1080,m_end,"&gt;"&amp;1020)=0,"",IF(COUNTIFS(m_teacher,AW$4,m_date,($G$2+25),m_active,1,m_start,"&lt;"&amp;1080,m_end,"&gt;"&amp;1020)&gt;1,"충돌",HYPERLINK("#'관리자_MASTER'!D"&amp;_xlfn.MAXIFS(m_row,m_teacher,AW$4,m_date,($G$2+25),m_active,1,m_start,"&lt;"&amp;1080,m_end,"&gt;"&amp;1020),INDEX(m_label,_xlfn.MAXIFS(m_row,m_teacher,AW$4,m_date,($G$2+25),m_active,1,m_start,"&lt;"&amp;1080,m_end,"&gt;"&amp;1020))))))</f>
        <v/>
      </c>
      <c r="AX57" s="82" t="str">
        <f aca="false">IF(OR(AX$4="",MONTH(($G$2+25))&lt;&gt;MONTH($C$2)),"",IF(COUNTIFS(m_teacher,AX$4,m_date,($G$2+25),m_active,1,m_start,"&lt;"&amp;1080,m_end,"&gt;"&amp;1020)=0,"",IF(COUNTIFS(m_teacher,AX$4,m_date,($G$2+25),m_active,1,m_start,"&lt;"&amp;1080,m_end,"&gt;"&amp;1020)&gt;1,"충돌",HYPERLINK("#'관리자_MASTER'!D"&amp;_xlfn.MAXIFS(m_row,m_teacher,AX$4,m_date,($G$2+25),m_active,1,m_start,"&lt;"&amp;1080,m_end,"&gt;"&amp;1020),INDEX(m_label,_xlfn.MAXIFS(m_row,m_teacher,AX$4,m_date,($G$2+25),m_active,1,m_start,"&lt;"&amp;1080,m_end,"&gt;"&amp;1020))))))</f>
        <v/>
      </c>
      <c r="AY57" s="82" t="str">
        <f aca="false">IF(OR(AY$4="",MONTH(($G$2+25))&lt;&gt;MONTH($C$2)),"",IF(COUNTIFS(m_teacher,AY$4,m_date,($G$2+25),m_active,1,m_start,"&lt;"&amp;1080,m_end,"&gt;"&amp;1020)=0,"",IF(COUNTIFS(m_teacher,AY$4,m_date,($G$2+25),m_active,1,m_start,"&lt;"&amp;1080,m_end,"&gt;"&amp;1020)&gt;1,"충돌",HYPERLINK("#'관리자_MASTER'!D"&amp;_xlfn.MAXIFS(m_row,m_teacher,AY$4,m_date,($G$2+25),m_active,1,m_start,"&lt;"&amp;1080,m_end,"&gt;"&amp;1020),INDEX(m_label,_xlfn.MAXIFS(m_row,m_teacher,AY$4,m_date,($G$2+25),m_active,1,m_start,"&lt;"&amp;1080,m_end,"&gt;"&amp;1020))))))</f>
        <v/>
      </c>
      <c r="AZ57" s="82" t="str">
        <f aca="false">IF(OR(AZ$4="",MONTH(($G$2+25))&lt;&gt;MONTH($C$2)),"",IF(COUNTIFS(m_teacher,AZ$4,m_date,($G$2+25),m_active,1,m_start,"&lt;"&amp;1080,m_end,"&gt;"&amp;1020)=0,"",IF(COUNTIFS(m_teacher,AZ$4,m_date,($G$2+25),m_active,1,m_start,"&lt;"&amp;1080,m_end,"&gt;"&amp;1020)&gt;1,"충돌",HYPERLINK("#'관리자_MASTER'!D"&amp;_xlfn.MAXIFS(m_row,m_teacher,AZ$4,m_date,($G$2+25),m_active,1,m_start,"&lt;"&amp;1080,m_end,"&gt;"&amp;1020),INDEX(m_label,_xlfn.MAXIFS(m_row,m_teacher,AZ$4,m_date,($G$2+25),m_active,1,m_start,"&lt;"&amp;1080,m_end,"&gt;"&amp;1020))))))</f>
        <v/>
      </c>
      <c r="BA57" s="82" t="str">
        <f aca="false">IF(OR(BA$4="",MONTH(($G$2+25))&lt;&gt;MONTH($C$2)),"",IF(COUNTIFS(m_teacher,BA$4,m_date,($G$2+25),m_active,1,m_start,"&lt;"&amp;1080,m_end,"&gt;"&amp;1020)=0,"",IF(COUNTIFS(m_teacher,BA$4,m_date,($G$2+25),m_active,1,m_start,"&lt;"&amp;1080,m_end,"&gt;"&amp;1020)&gt;1,"충돌",HYPERLINK("#'관리자_MASTER'!D"&amp;_xlfn.MAXIFS(m_row,m_teacher,BA$4,m_date,($G$2+25),m_active,1,m_start,"&lt;"&amp;1080,m_end,"&gt;"&amp;1020),INDEX(m_label,_xlfn.MAXIFS(m_row,m_teacher,BA$4,m_date,($G$2+25),m_active,1,m_start,"&lt;"&amp;1080,m_end,"&gt;"&amp;1020))))))</f>
        <v/>
      </c>
      <c r="BB57" s="82" t="str">
        <f aca="false">IF(OR(BB$4="",MONTH(($G$2+25))&lt;&gt;MONTH($C$2)),"",IF(COUNTIFS(m_teacher,BB$4,m_date,($G$2+25),m_active,1,m_start,"&lt;"&amp;1080,m_end,"&gt;"&amp;1020)=0,"",IF(COUNTIFS(m_teacher,BB$4,m_date,($G$2+25),m_active,1,m_start,"&lt;"&amp;1080,m_end,"&gt;"&amp;1020)&gt;1,"충돌",HYPERLINK("#'관리자_MASTER'!D"&amp;_xlfn.MAXIFS(m_row,m_teacher,BB$4,m_date,($G$2+25),m_active,1,m_start,"&lt;"&amp;1080,m_end,"&gt;"&amp;1020),INDEX(m_label,_xlfn.MAXIFS(m_row,m_teacher,BB$4,m_date,($G$2+25),m_active,1,m_start,"&lt;"&amp;1080,m_end,"&gt;"&amp;1020))))))</f>
        <v/>
      </c>
      <c r="BC57" s="82" t="str">
        <f aca="false">IF(OR(BC$4="",MONTH(($G$2+25))&lt;&gt;MONTH($C$2)),"",IF(COUNTIFS(m_teacher,BC$4,m_date,($G$2+25),m_active,1,m_start,"&lt;"&amp;1080,m_end,"&gt;"&amp;1020)=0,"",IF(COUNTIFS(m_teacher,BC$4,m_date,($G$2+25),m_active,1,m_start,"&lt;"&amp;1080,m_end,"&gt;"&amp;1020)&gt;1,"충돌",HYPERLINK("#'관리자_MASTER'!D"&amp;_xlfn.MAXIFS(m_row,m_teacher,BC$4,m_date,($G$2+25),m_active,1,m_start,"&lt;"&amp;1080,m_end,"&gt;"&amp;1020),INDEX(m_label,_xlfn.MAXIFS(m_row,m_teacher,BC$4,m_date,($G$2+25),m_active,1,m_start,"&lt;"&amp;1080,m_end,"&gt;"&amp;1020))))))</f>
        <v/>
      </c>
      <c r="BD57" s="82" t="str">
        <f aca="false">IF(OR(BD$4="",MONTH(($G$2+25))&lt;&gt;MONTH($C$2)),"",IF(COUNTIFS(m_teacher,BD$4,m_date,($G$2+25),m_active,1,m_start,"&lt;"&amp;1080,m_end,"&gt;"&amp;1020)=0,"",IF(COUNTIFS(m_teacher,BD$4,m_date,($G$2+25),m_active,1,m_start,"&lt;"&amp;1080,m_end,"&gt;"&amp;1020)&gt;1,"충돌",HYPERLINK("#'관리자_MASTER'!D"&amp;_xlfn.MAXIFS(m_row,m_teacher,BD$4,m_date,($G$2+25),m_active,1,m_start,"&lt;"&amp;1080,m_end,"&gt;"&amp;1020),INDEX(m_label,_xlfn.MAXIFS(m_row,m_teacher,BD$4,m_date,($G$2+25),m_active,1,m_start,"&lt;"&amp;1080,m_end,"&gt;"&amp;1020))))))</f>
        <v/>
      </c>
    </row>
    <row r="58" customFormat="false" ht="19.5" hidden="false" customHeight="true" outlineLevel="0" collapsed="false">
      <c r="A58" s="78"/>
      <c r="B58" s="79" t="s">
        <v>100</v>
      </c>
      <c r="C58" s="82" t="str">
        <f aca="false">IF(OR(C$4="",MONTH(($G$2+4))&lt;&gt;MONTH($C$2)),"",IF(COUNTIFS(m_teacher,C$4,m_date,($G$2+4),m_active,1,m_start,"&lt;"&amp;1140,m_end,"&gt;"&amp;1080)=0,"",IF(COUNTIFS(m_teacher,C$4,m_date,($G$2+4),m_active,1,m_start,"&lt;"&amp;1140,m_end,"&gt;"&amp;1080)&gt;1,"충돌",HYPERLINK("#'관리자_MASTER'!D"&amp;_xlfn.MAXIFS(m_row,m_teacher,C$4,m_date,($G$2+4),m_active,1,m_start,"&lt;"&amp;1140,m_end,"&gt;"&amp;1080),INDEX(m_label,_xlfn.MAXIFS(m_row,m_teacher,C$4,m_date,($G$2+4),m_active,1,m_start,"&lt;"&amp;1140,m_end,"&gt;"&amp;1080))))))</f>
        <v/>
      </c>
      <c r="D58" s="82" t="str">
        <f aca="false">IF(OR(D$4="",MONTH(($G$2+4))&lt;&gt;MONTH($C$2)),"",IF(COUNTIFS(m_teacher,D$4,m_date,($G$2+4),m_active,1,m_start,"&lt;"&amp;1140,m_end,"&gt;"&amp;1080)=0,"",IF(COUNTIFS(m_teacher,D$4,m_date,($G$2+4),m_active,1,m_start,"&lt;"&amp;1140,m_end,"&gt;"&amp;1080)&gt;1,"충돌",HYPERLINK("#'관리자_MASTER'!D"&amp;_xlfn.MAXIFS(m_row,m_teacher,D$4,m_date,($G$2+4),m_active,1,m_start,"&lt;"&amp;1140,m_end,"&gt;"&amp;1080),INDEX(m_label,_xlfn.MAXIFS(m_row,m_teacher,D$4,m_date,($G$2+4),m_active,1,m_start,"&lt;"&amp;1140,m_end,"&gt;"&amp;1080))))))</f>
        <v/>
      </c>
      <c r="E58" s="82" t="str">
        <f aca="false">IF(OR(E$4="",MONTH(($G$2+4))&lt;&gt;MONTH($C$2)),"",IF(COUNTIFS(m_teacher,E$4,m_date,($G$2+4),m_active,1,m_start,"&lt;"&amp;1140,m_end,"&gt;"&amp;1080)=0,"",IF(COUNTIFS(m_teacher,E$4,m_date,($G$2+4),m_active,1,m_start,"&lt;"&amp;1140,m_end,"&gt;"&amp;1080)&gt;1,"충돌",HYPERLINK("#'관리자_MASTER'!D"&amp;_xlfn.MAXIFS(m_row,m_teacher,E$4,m_date,($G$2+4),m_active,1,m_start,"&lt;"&amp;1140,m_end,"&gt;"&amp;1080),INDEX(m_label,_xlfn.MAXIFS(m_row,m_teacher,E$4,m_date,($G$2+4),m_active,1,m_start,"&lt;"&amp;1140,m_end,"&gt;"&amp;1080))))))</f>
        <v/>
      </c>
      <c r="F58" s="82" t="str">
        <f aca="false">IF(OR(F$4="",MONTH(($G$2+4))&lt;&gt;MONTH($C$2)),"",IF(COUNTIFS(m_teacher,F$4,m_date,($G$2+4),m_active,1,m_start,"&lt;"&amp;1140,m_end,"&gt;"&amp;1080)=0,"",IF(COUNTIFS(m_teacher,F$4,m_date,($G$2+4),m_active,1,m_start,"&lt;"&amp;1140,m_end,"&gt;"&amp;1080)&gt;1,"충돌",HYPERLINK("#'관리자_MASTER'!D"&amp;_xlfn.MAXIFS(m_row,m_teacher,F$4,m_date,($G$2+4),m_active,1,m_start,"&lt;"&amp;1140,m_end,"&gt;"&amp;1080),INDEX(m_label,_xlfn.MAXIFS(m_row,m_teacher,F$4,m_date,($G$2+4),m_active,1,m_start,"&lt;"&amp;1140,m_end,"&gt;"&amp;1080))))))</f>
        <v/>
      </c>
      <c r="G58" s="82" t="str">
        <f aca="false">IF(OR(G$4="",MONTH(($G$2+4))&lt;&gt;MONTH($C$2)),"",IF(COUNTIFS(m_teacher,G$4,m_date,($G$2+4),m_active,1,m_start,"&lt;"&amp;1140,m_end,"&gt;"&amp;1080)=0,"",IF(COUNTIFS(m_teacher,G$4,m_date,($G$2+4),m_active,1,m_start,"&lt;"&amp;1140,m_end,"&gt;"&amp;1080)&gt;1,"충돌",HYPERLINK("#'관리자_MASTER'!D"&amp;_xlfn.MAXIFS(m_row,m_teacher,G$4,m_date,($G$2+4),m_active,1,m_start,"&lt;"&amp;1140,m_end,"&gt;"&amp;1080),INDEX(m_label,_xlfn.MAXIFS(m_row,m_teacher,G$4,m_date,($G$2+4),m_active,1,m_start,"&lt;"&amp;1140,m_end,"&gt;"&amp;1080))))))</f>
        <v/>
      </c>
      <c r="H58" s="82" t="str">
        <f aca="false">IF(OR(H$4="",MONTH(($G$2+4))&lt;&gt;MONTH($C$2)),"",IF(COUNTIFS(m_teacher,H$4,m_date,($G$2+4),m_active,1,m_start,"&lt;"&amp;1140,m_end,"&gt;"&amp;1080)=0,"",IF(COUNTIFS(m_teacher,H$4,m_date,($G$2+4),m_active,1,m_start,"&lt;"&amp;1140,m_end,"&gt;"&amp;1080)&gt;1,"충돌",HYPERLINK("#'관리자_MASTER'!D"&amp;_xlfn.MAXIFS(m_row,m_teacher,H$4,m_date,($G$2+4),m_active,1,m_start,"&lt;"&amp;1140,m_end,"&gt;"&amp;1080),INDEX(m_label,_xlfn.MAXIFS(m_row,m_teacher,H$4,m_date,($G$2+4),m_active,1,m_start,"&lt;"&amp;1140,m_end,"&gt;"&amp;1080))))))</f>
        <v/>
      </c>
      <c r="I58" s="82" t="str">
        <f aca="false">IF(OR(I$4="",MONTH(($G$2+4))&lt;&gt;MONTH($C$2)),"",IF(COUNTIFS(m_teacher,I$4,m_date,($G$2+4),m_active,1,m_start,"&lt;"&amp;1140,m_end,"&gt;"&amp;1080)=0,"",IF(COUNTIFS(m_teacher,I$4,m_date,($G$2+4),m_active,1,m_start,"&lt;"&amp;1140,m_end,"&gt;"&amp;1080)&gt;1,"충돌",HYPERLINK("#'관리자_MASTER'!D"&amp;_xlfn.MAXIFS(m_row,m_teacher,I$4,m_date,($G$2+4),m_active,1,m_start,"&lt;"&amp;1140,m_end,"&gt;"&amp;1080),INDEX(m_label,_xlfn.MAXIFS(m_row,m_teacher,I$4,m_date,($G$2+4),m_active,1,m_start,"&lt;"&amp;1140,m_end,"&gt;"&amp;1080))))))</f>
        <v/>
      </c>
      <c r="J58" s="82" t="str">
        <f aca="false">IF(OR(J$4="",MONTH(($G$2+4))&lt;&gt;MONTH($C$2)),"",IF(COUNTIFS(m_teacher,J$4,m_date,($G$2+4),m_active,1,m_start,"&lt;"&amp;1140,m_end,"&gt;"&amp;1080)=0,"",IF(COUNTIFS(m_teacher,J$4,m_date,($G$2+4),m_active,1,m_start,"&lt;"&amp;1140,m_end,"&gt;"&amp;1080)&gt;1,"충돌",HYPERLINK("#'관리자_MASTER'!D"&amp;_xlfn.MAXIFS(m_row,m_teacher,J$4,m_date,($G$2+4),m_active,1,m_start,"&lt;"&amp;1140,m_end,"&gt;"&amp;1080),INDEX(m_label,_xlfn.MAXIFS(m_row,m_teacher,J$4,m_date,($G$2+4),m_active,1,m_start,"&lt;"&amp;1140,m_end,"&gt;"&amp;1080))))))</f>
        <v/>
      </c>
      <c r="K58" s="82" t="str">
        <f aca="false">IF(OR(K$4="",MONTH(($G$2+4))&lt;&gt;MONTH($C$2)),"",IF(COUNTIFS(m_teacher,K$4,m_date,($G$2+4),m_active,1,m_start,"&lt;"&amp;1140,m_end,"&gt;"&amp;1080)=0,"",IF(COUNTIFS(m_teacher,K$4,m_date,($G$2+4),m_active,1,m_start,"&lt;"&amp;1140,m_end,"&gt;"&amp;1080)&gt;1,"충돌",HYPERLINK("#'관리자_MASTER'!D"&amp;_xlfn.MAXIFS(m_row,m_teacher,K$4,m_date,($G$2+4),m_active,1,m_start,"&lt;"&amp;1140,m_end,"&gt;"&amp;1080),INDEX(m_label,_xlfn.MAXIFS(m_row,m_teacher,K$4,m_date,($G$2+4),m_active,1,m_start,"&lt;"&amp;1140,m_end,"&gt;"&amp;1080))))))</f>
        <v/>
      </c>
      <c r="L58" s="82" t="str">
        <f aca="false">IF(OR(L$4="",MONTH(($G$2+4))&lt;&gt;MONTH($C$2)),"",IF(COUNTIFS(m_teacher,L$4,m_date,($G$2+4),m_active,1,m_start,"&lt;"&amp;1140,m_end,"&gt;"&amp;1080)=0,"",IF(COUNTIFS(m_teacher,L$4,m_date,($G$2+4),m_active,1,m_start,"&lt;"&amp;1140,m_end,"&gt;"&amp;1080)&gt;1,"충돌",HYPERLINK("#'관리자_MASTER'!D"&amp;_xlfn.MAXIFS(m_row,m_teacher,L$4,m_date,($G$2+4),m_active,1,m_start,"&lt;"&amp;1140,m_end,"&gt;"&amp;1080),INDEX(m_label,_xlfn.MAXIFS(m_row,m_teacher,L$4,m_date,($G$2+4),m_active,1,m_start,"&lt;"&amp;1140,m_end,"&gt;"&amp;1080))))))</f>
        <v/>
      </c>
      <c r="M58" s="82" t="str">
        <f aca="false">IF(OR(M$4="",MONTH(($G$2+4))&lt;&gt;MONTH($C$2)),"",IF(COUNTIFS(m_teacher,M$4,m_date,($G$2+4),m_active,1,m_start,"&lt;"&amp;1140,m_end,"&gt;"&amp;1080)=0,"",IF(COUNTIFS(m_teacher,M$4,m_date,($G$2+4),m_active,1,m_start,"&lt;"&amp;1140,m_end,"&gt;"&amp;1080)&gt;1,"충돌",HYPERLINK("#'관리자_MASTER'!D"&amp;_xlfn.MAXIFS(m_row,m_teacher,M$4,m_date,($G$2+4),m_active,1,m_start,"&lt;"&amp;1140,m_end,"&gt;"&amp;1080),INDEX(m_label,_xlfn.MAXIFS(m_row,m_teacher,M$4,m_date,($G$2+4),m_active,1,m_start,"&lt;"&amp;1140,m_end,"&gt;"&amp;1080))))))</f>
        <v/>
      </c>
      <c r="N58" s="82" t="str">
        <f aca="false">IF(OR(N$4="",MONTH(($G$2+4))&lt;&gt;MONTH($C$2)),"",IF(COUNTIFS(m_teacher,N$4,m_date,($G$2+4),m_active,1,m_start,"&lt;"&amp;1140,m_end,"&gt;"&amp;1080)=0,"",IF(COUNTIFS(m_teacher,N$4,m_date,($G$2+4),m_active,1,m_start,"&lt;"&amp;1140,m_end,"&gt;"&amp;1080)&gt;1,"충돌",HYPERLINK("#'관리자_MASTER'!D"&amp;_xlfn.MAXIFS(m_row,m_teacher,N$4,m_date,($G$2+4),m_active,1,m_start,"&lt;"&amp;1140,m_end,"&gt;"&amp;1080),INDEX(m_label,_xlfn.MAXIFS(m_row,m_teacher,N$4,m_date,($G$2+4),m_active,1,m_start,"&lt;"&amp;1140,m_end,"&gt;"&amp;1080))))))</f>
        <v/>
      </c>
      <c r="O58" s="78"/>
      <c r="P58" s="79" t="s">
        <v>100</v>
      </c>
      <c r="Q58" s="82" t="str">
        <f aca="false">IF(OR(Q$4="",MONTH(($G$2+11))&lt;&gt;MONTH($C$2)),"",IF(COUNTIFS(m_teacher,Q$4,m_date,($G$2+11),m_active,1,m_start,"&lt;"&amp;1140,m_end,"&gt;"&amp;1080)=0,"",IF(COUNTIFS(m_teacher,Q$4,m_date,($G$2+11),m_active,1,m_start,"&lt;"&amp;1140,m_end,"&gt;"&amp;1080)&gt;1,"충돌",HYPERLINK("#'관리자_MASTER'!D"&amp;_xlfn.MAXIFS(m_row,m_teacher,Q$4,m_date,($G$2+11),m_active,1,m_start,"&lt;"&amp;1140,m_end,"&gt;"&amp;1080),INDEX(m_label,_xlfn.MAXIFS(m_row,m_teacher,Q$4,m_date,($G$2+11),m_active,1,m_start,"&lt;"&amp;1140,m_end,"&gt;"&amp;1080))))))</f>
        <v/>
      </c>
      <c r="R58" s="82" t="str">
        <f aca="false">IF(OR(R$4="",MONTH(($G$2+11))&lt;&gt;MONTH($C$2)),"",IF(COUNTIFS(m_teacher,R$4,m_date,($G$2+11),m_active,1,m_start,"&lt;"&amp;1140,m_end,"&gt;"&amp;1080)=0,"",IF(COUNTIFS(m_teacher,R$4,m_date,($G$2+11),m_active,1,m_start,"&lt;"&amp;1140,m_end,"&gt;"&amp;1080)&gt;1,"충돌",HYPERLINK("#'관리자_MASTER'!D"&amp;_xlfn.MAXIFS(m_row,m_teacher,R$4,m_date,($G$2+11),m_active,1,m_start,"&lt;"&amp;1140,m_end,"&gt;"&amp;1080),INDEX(m_label,_xlfn.MAXIFS(m_row,m_teacher,R$4,m_date,($G$2+11),m_active,1,m_start,"&lt;"&amp;1140,m_end,"&gt;"&amp;1080))))))</f>
        <v/>
      </c>
      <c r="S58" s="82" t="str">
        <f aca="false">IF(OR(S$4="",MONTH(($G$2+11))&lt;&gt;MONTH($C$2)),"",IF(COUNTIFS(m_teacher,S$4,m_date,($G$2+11),m_active,1,m_start,"&lt;"&amp;1140,m_end,"&gt;"&amp;1080)=0,"",IF(COUNTIFS(m_teacher,S$4,m_date,($G$2+11),m_active,1,m_start,"&lt;"&amp;1140,m_end,"&gt;"&amp;1080)&gt;1,"충돌",HYPERLINK("#'관리자_MASTER'!D"&amp;_xlfn.MAXIFS(m_row,m_teacher,S$4,m_date,($G$2+11),m_active,1,m_start,"&lt;"&amp;1140,m_end,"&gt;"&amp;1080),INDEX(m_label,_xlfn.MAXIFS(m_row,m_teacher,S$4,m_date,($G$2+11),m_active,1,m_start,"&lt;"&amp;1140,m_end,"&gt;"&amp;1080))))))</f>
        <v/>
      </c>
      <c r="T58" s="82" t="str">
        <f aca="false">IF(OR(T$4="",MONTH(($G$2+11))&lt;&gt;MONTH($C$2)),"",IF(COUNTIFS(m_teacher,T$4,m_date,($G$2+11),m_active,1,m_start,"&lt;"&amp;1140,m_end,"&gt;"&amp;1080)=0,"",IF(COUNTIFS(m_teacher,T$4,m_date,($G$2+11),m_active,1,m_start,"&lt;"&amp;1140,m_end,"&gt;"&amp;1080)&gt;1,"충돌",HYPERLINK("#'관리자_MASTER'!D"&amp;_xlfn.MAXIFS(m_row,m_teacher,T$4,m_date,($G$2+11),m_active,1,m_start,"&lt;"&amp;1140,m_end,"&gt;"&amp;1080),INDEX(m_label,_xlfn.MAXIFS(m_row,m_teacher,T$4,m_date,($G$2+11),m_active,1,m_start,"&lt;"&amp;1140,m_end,"&gt;"&amp;1080))))))</f>
        <v/>
      </c>
      <c r="U58" s="82" t="str">
        <f aca="false">IF(OR(U$4="",MONTH(($G$2+11))&lt;&gt;MONTH($C$2)),"",IF(COUNTIFS(m_teacher,U$4,m_date,($G$2+11),m_active,1,m_start,"&lt;"&amp;1140,m_end,"&gt;"&amp;1080)=0,"",IF(COUNTIFS(m_teacher,U$4,m_date,($G$2+11),m_active,1,m_start,"&lt;"&amp;1140,m_end,"&gt;"&amp;1080)&gt;1,"충돌",HYPERLINK("#'관리자_MASTER'!D"&amp;_xlfn.MAXIFS(m_row,m_teacher,U$4,m_date,($G$2+11),m_active,1,m_start,"&lt;"&amp;1140,m_end,"&gt;"&amp;1080),INDEX(m_label,_xlfn.MAXIFS(m_row,m_teacher,U$4,m_date,($G$2+11),m_active,1,m_start,"&lt;"&amp;1140,m_end,"&gt;"&amp;1080))))))</f>
        <v/>
      </c>
      <c r="V58" s="82" t="str">
        <f aca="false">IF(OR(V$4="",MONTH(($G$2+11))&lt;&gt;MONTH($C$2)),"",IF(COUNTIFS(m_teacher,V$4,m_date,($G$2+11),m_active,1,m_start,"&lt;"&amp;1140,m_end,"&gt;"&amp;1080)=0,"",IF(COUNTIFS(m_teacher,V$4,m_date,($G$2+11),m_active,1,m_start,"&lt;"&amp;1140,m_end,"&gt;"&amp;1080)&gt;1,"충돌",HYPERLINK("#'관리자_MASTER'!D"&amp;_xlfn.MAXIFS(m_row,m_teacher,V$4,m_date,($G$2+11),m_active,1,m_start,"&lt;"&amp;1140,m_end,"&gt;"&amp;1080),INDEX(m_label,_xlfn.MAXIFS(m_row,m_teacher,V$4,m_date,($G$2+11),m_active,1,m_start,"&lt;"&amp;1140,m_end,"&gt;"&amp;1080))))))</f>
        <v/>
      </c>
      <c r="W58" s="82" t="str">
        <f aca="false">IF(OR(W$4="",MONTH(($G$2+11))&lt;&gt;MONTH($C$2)),"",IF(COUNTIFS(m_teacher,W$4,m_date,($G$2+11),m_active,1,m_start,"&lt;"&amp;1140,m_end,"&gt;"&amp;1080)=0,"",IF(COUNTIFS(m_teacher,W$4,m_date,($G$2+11),m_active,1,m_start,"&lt;"&amp;1140,m_end,"&gt;"&amp;1080)&gt;1,"충돌",HYPERLINK("#'관리자_MASTER'!D"&amp;_xlfn.MAXIFS(m_row,m_teacher,W$4,m_date,($G$2+11),m_active,1,m_start,"&lt;"&amp;1140,m_end,"&gt;"&amp;1080),INDEX(m_label,_xlfn.MAXIFS(m_row,m_teacher,W$4,m_date,($G$2+11),m_active,1,m_start,"&lt;"&amp;1140,m_end,"&gt;"&amp;1080))))))</f>
        <v/>
      </c>
      <c r="X58" s="82" t="str">
        <f aca="false">IF(OR(X$4="",MONTH(($G$2+11))&lt;&gt;MONTH($C$2)),"",IF(COUNTIFS(m_teacher,X$4,m_date,($G$2+11),m_active,1,m_start,"&lt;"&amp;1140,m_end,"&gt;"&amp;1080)=0,"",IF(COUNTIFS(m_teacher,X$4,m_date,($G$2+11),m_active,1,m_start,"&lt;"&amp;1140,m_end,"&gt;"&amp;1080)&gt;1,"충돌",HYPERLINK("#'관리자_MASTER'!D"&amp;_xlfn.MAXIFS(m_row,m_teacher,X$4,m_date,($G$2+11),m_active,1,m_start,"&lt;"&amp;1140,m_end,"&gt;"&amp;1080),INDEX(m_label,_xlfn.MAXIFS(m_row,m_teacher,X$4,m_date,($G$2+11),m_active,1,m_start,"&lt;"&amp;1140,m_end,"&gt;"&amp;1080))))))</f>
        <v/>
      </c>
      <c r="Y58" s="82" t="str">
        <f aca="false">IF(OR(Y$4="",MONTH(($G$2+11))&lt;&gt;MONTH($C$2)),"",IF(COUNTIFS(m_teacher,Y$4,m_date,($G$2+11),m_active,1,m_start,"&lt;"&amp;1140,m_end,"&gt;"&amp;1080)=0,"",IF(COUNTIFS(m_teacher,Y$4,m_date,($G$2+11),m_active,1,m_start,"&lt;"&amp;1140,m_end,"&gt;"&amp;1080)&gt;1,"충돌",HYPERLINK("#'관리자_MASTER'!D"&amp;_xlfn.MAXIFS(m_row,m_teacher,Y$4,m_date,($G$2+11),m_active,1,m_start,"&lt;"&amp;1140,m_end,"&gt;"&amp;1080),INDEX(m_label,_xlfn.MAXIFS(m_row,m_teacher,Y$4,m_date,($G$2+11),m_active,1,m_start,"&lt;"&amp;1140,m_end,"&gt;"&amp;1080))))))</f>
        <v/>
      </c>
      <c r="Z58" s="82" t="str">
        <f aca="false">IF(OR(Z$4="",MONTH(($G$2+11))&lt;&gt;MONTH($C$2)),"",IF(COUNTIFS(m_teacher,Z$4,m_date,($G$2+11),m_active,1,m_start,"&lt;"&amp;1140,m_end,"&gt;"&amp;1080)=0,"",IF(COUNTIFS(m_teacher,Z$4,m_date,($G$2+11),m_active,1,m_start,"&lt;"&amp;1140,m_end,"&gt;"&amp;1080)&gt;1,"충돌",HYPERLINK("#'관리자_MASTER'!D"&amp;_xlfn.MAXIFS(m_row,m_teacher,Z$4,m_date,($G$2+11),m_active,1,m_start,"&lt;"&amp;1140,m_end,"&gt;"&amp;1080),INDEX(m_label,_xlfn.MAXIFS(m_row,m_teacher,Z$4,m_date,($G$2+11),m_active,1,m_start,"&lt;"&amp;1140,m_end,"&gt;"&amp;1080))))))</f>
        <v/>
      </c>
      <c r="AA58" s="82" t="str">
        <f aca="false">IF(OR(AA$4="",MONTH(($G$2+11))&lt;&gt;MONTH($C$2)),"",IF(COUNTIFS(m_teacher,AA$4,m_date,($G$2+11),m_active,1,m_start,"&lt;"&amp;1140,m_end,"&gt;"&amp;1080)=0,"",IF(COUNTIFS(m_teacher,AA$4,m_date,($G$2+11),m_active,1,m_start,"&lt;"&amp;1140,m_end,"&gt;"&amp;1080)&gt;1,"충돌",HYPERLINK("#'관리자_MASTER'!D"&amp;_xlfn.MAXIFS(m_row,m_teacher,AA$4,m_date,($G$2+11),m_active,1,m_start,"&lt;"&amp;1140,m_end,"&gt;"&amp;1080),INDEX(m_label,_xlfn.MAXIFS(m_row,m_teacher,AA$4,m_date,($G$2+11),m_active,1,m_start,"&lt;"&amp;1140,m_end,"&gt;"&amp;1080))))))</f>
        <v/>
      </c>
      <c r="AB58" s="82" t="str">
        <f aca="false">IF(OR(AB$4="",MONTH(($G$2+11))&lt;&gt;MONTH($C$2)),"",IF(COUNTIFS(m_teacher,AB$4,m_date,($G$2+11),m_active,1,m_start,"&lt;"&amp;1140,m_end,"&gt;"&amp;1080)=0,"",IF(COUNTIFS(m_teacher,AB$4,m_date,($G$2+11),m_active,1,m_start,"&lt;"&amp;1140,m_end,"&gt;"&amp;1080)&gt;1,"충돌",HYPERLINK("#'관리자_MASTER'!D"&amp;_xlfn.MAXIFS(m_row,m_teacher,AB$4,m_date,($G$2+11),m_active,1,m_start,"&lt;"&amp;1140,m_end,"&gt;"&amp;1080),INDEX(m_label,_xlfn.MAXIFS(m_row,m_teacher,AB$4,m_date,($G$2+11),m_active,1,m_start,"&lt;"&amp;1140,m_end,"&gt;"&amp;1080))))))</f>
        <v/>
      </c>
      <c r="AC58" s="78"/>
      <c r="AD58" s="79" t="s">
        <v>100</v>
      </c>
      <c r="AE58" s="82" t="str">
        <f aca="false">IF(OR(AE$4="",MONTH(($G$2+18))&lt;&gt;MONTH($C$2)),"",IF(COUNTIFS(m_teacher,AE$4,m_date,($G$2+18),m_active,1,m_start,"&lt;"&amp;1140,m_end,"&gt;"&amp;1080)=0,"",IF(COUNTIFS(m_teacher,AE$4,m_date,($G$2+18),m_active,1,m_start,"&lt;"&amp;1140,m_end,"&gt;"&amp;1080)&gt;1,"충돌",HYPERLINK("#'관리자_MASTER'!D"&amp;_xlfn.MAXIFS(m_row,m_teacher,AE$4,m_date,($G$2+18),m_active,1,m_start,"&lt;"&amp;1140,m_end,"&gt;"&amp;1080),INDEX(m_label,_xlfn.MAXIFS(m_row,m_teacher,AE$4,m_date,($G$2+18),m_active,1,m_start,"&lt;"&amp;1140,m_end,"&gt;"&amp;1080))))))</f>
        <v/>
      </c>
      <c r="AF58" s="82" t="str">
        <f aca="false">IF(OR(AF$4="",MONTH(($G$2+18))&lt;&gt;MONTH($C$2)),"",IF(COUNTIFS(m_teacher,AF$4,m_date,($G$2+18),m_active,1,m_start,"&lt;"&amp;1140,m_end,"&gt;"&amp;1080)=0,"",IF(COUNTIFS(m_teacher,AF$4,m_date,($G$2+18),m_active,1,m_start,"&lt;"&amp;1140,m_end,"&gt;"&amp;1080)&gt;1,"충돌",HYPERLINK("#'관리자_MASTER'!D"&amp;_xlfn.MAXIFS(m_row,m_teacher,AF$4,m_date,($G$2+18),m_active,1,m_start,"&lt;"&amp;1140,m_end,"&gt;"&amp;1080),INDEX(m_label,_xlfn.MAXIFS(m_row,m_teacher,AF$4,m_date,($G$2+18),m_active,1,m_start,"&lt;"&amp;1140,m_end,"&gt;"&amp;1080))))))</f>
        <v/>
      </c>
      <c r="AG58" s="82" t="str">
        <f aca="false">IF(OR(AG$4="",MONTH(($G$2+18))&lt;&gt;MONTH($C$2)),"",IF(COUNTIFS(m_teacher,AG$4,m_date,($G$2+18),m_active,1,m_start,"&lt;"&amp;1140,m_end,"&gt;"&amp;1080)=0,"",IF(COUNTIFS(m_teacher,AG$4,m_date,($G$2+18),m_active,1,m_start,"&lt;"&amp;1140,m_end,"&gt;"&amp;1080)&gt;1,"충돌",HYPERLINK("#'관리자_MASTER'!D"&amp;_xlfn.MAXIFS(m_row,m_teacher,AG$4,m_date,($G$2+18),m_active,1,m_start,"&lt;"&amp;1140,m_end,"&gt;"&amp;1080),INDEX(m_label,_xlfn.MAXIFS(m_row,m_teacher,AG$4,m_date,($G$2+18),m_active,1,m_start,"&lt;"&amp;1140,m_end,"&gt;"&amp;1080))))))</f>
        <v/>
      </c>
      <c r="AH58" s="82" t="str">
        <f aca="false">IF(OR(AH$4="",MONTH(($G$2+18))&lt;&gt;MONTH($C$2)),"",IF(COUNTIFS(m_teacher,AH$4,m_date,($G$2+18),m_active,1,m_start,"&lt;"&amp;1140,m_end,"&gt;"&amp;1080)=0,"",IF(COUNTIFS(m_teacher,AH$4,m_date,($G$2+18),m_active,1,m_start,"&lt;"&amp;1140,m_end,"&gt;"&amp;1080)&gt;1,"충돌",HYPERLINK("#'관리자_MASTER'!D"&amp;_xlfn.MAXIFS(m_row,m_teacher,AH$4,m_date,($G$2+18),m_active,1,m_start,"&lt;"&amp;1140,m_end,"&gt;"&amp;1080),INDEX(m_label,_xlfn.MAXIFS(m_row,m_teacher,AH$4,m_date,($G$2+18),m_active,1,m_start,"&lt;"&amp;1140,m_end,"&gt;"&amp;1080))))))</f>
        <v/>
      </c>
      <c r="AI58" s="82" t="str">
        <f aca="false">IF(OR(AI$4="",MONTH(($G$2+18))&lt;&gt;MONTH($C$2)),"",IF(COUNTIFS(m_teacher,AI$4,m_date,($G$2+18),m_active,1,m_start,"&lt;"&amp;1140,m_end,"&gt;"&amp;1080)=0,"",IF(COUNTIFS(m_teacher,AI$4,m_date,($G$2+18),m_active,1,m_start,"&lt;"&amp;1140,m_end,"&gt;"&amp;1080)&gt;1,"충돌",HYPERLINK("#'관리자_MASTER'!D"&amp;_xlfn.MAXIFS(m_row,m_teacher,AI$4,m_date,($G$2+18),m_active,1,m_start,"&lt;"&amp;1140,m_end,"&gt;"&amp;1080),INDEX(m_label,_xlfn.MAXIFS(m_row,m_teacher,AI$4,m_date,($G$2+18),m_active,1,m_start,"&lt;"&amp;1140,m_end,"&gt;"&amp;1080))))))</f>
        <v/>
      </c>
      <c r="AJ58" s="82" t="str">
        <f aca="false">IF(OR(AJ$4="",MONTH(($G$2+18))&lt;&gt;MONTH($C$2)),"",IF(COUNTIFS(m_teacher,AJ$4,m_date,($G$2+18),m_active,1,m_start,"&lt;"&amp;1140,m_end,"&gt;"&amp;1080)=0,"",IF(COUNTIFS(m_teacher,AJ$4,m_date,($G$2+18),m_active,1,m_start,"&lt;"&amp;1140,m_end,"&gt;"&amp;1080)&gt;1,"충돌",HYPERLINK("#'관리자_MASTER'!D"&amp;_xlfn.MAXIFS(m_row,m_teacher,AJ$4,m_date,($G$2+18),m_active,1,m_start,"&lt;"&amp;1140,m_end,"&gt;"&amp;1080),INDEX(m_label,_xlfn.MAXIFS(m_row,m_teacher,AJ$4,m_date,($G$2+18),m_active,1,m_start,"&lt;"&amp;1140,m_end,"&gt;"&amp;1080))))))</f>
        <v/>
      </c>
      <c r="AK58" s="82" t="str">
        <f aca="false">IF(OR(AK$4="",MONTH(($G$2+18))&lt;&gt;MONTH($C$2)),"",IF(COUNTIFS(m_teacher,AK$4,m_date,($G$2+18),m_active,1,m_start,"&lt;"&amp;1140,m_end,"&gt;"&amp;1080)=0,"",IF(COUNTIFS(m_teacher,AK$4,m_date,($G$2+18),m_active,1,m_start,"&lt;"&amp;1140,m_end,"&gt;"&amp;1080)&gt;1,"충돌",HYPERLINK("#'관리자_MASTER'!D"&amp;_xlfn.MAXIFS(m_row,m_teacher,AK$4,m_date,($G$2+18),m_active,1,m_start,"&lt;"&amp;1140,m_end,"&gt;"&amp;1080),INDEX(m_label,_xlfn.MAXIFS(m_row,m_teacher,AK$4,m_date,($G$2+18),m_active,1,m_start,"&lt;"&amp;1140,m_end,"&gt;"&amp;1080))))))</f>
        <v/>
      </c>
      <c r="AL58" s="82" t="str">
        <f aca="false">IF(OR(AL$4="",MONTH(($G$2+18))&lt;&gt;MONTH($C$2)),"",IF(COUNTIFS(m_teacher,AL$4,m_date,($G$2+18),m_active,1,m_start,"&lt;"&amp;1140,m_end,"&gt;"&amp;1080)=0,"",IF(COUNTIFS(m_teacher,AL$4,m_date,($G$2+18),m_active,1,m_start,"&lt;"&amp;1140,m_end,"&gt;"&amp;1080)&gt;1,"충돌",HYPERLINK("#'관리자_MASTER'!D"&amp;_xlfn.MAXIFS(m_row,m_teacher,AL$4,m_date,($G$2+18),m_active,1,m_start,"&lt;"&amp;1140,m_end,"&gt;"&amp;1080),INDEX(m_label,_xlfn.MAXIFS(m_row,m_teacher,AL$4,m_date,($G$2+18),m_active,1,m_start,"&lt;"&amp;1140,m_end,"&gt;"&amp;1080))))))</f>
        <v/>
      </c>
      <c r="AM58" s="82" t="str">
        <f aca="false">IF(OR(AM$4="",MONTH(($G$2+18))&lt;&gt;MONTH($C$2)),"",IF(COUNTIFS(m_teacher,AM$4,m_date,($G$2+18),m_active,1,m_start,"&lt;"&amp;1140,m_end,"&gt;"&amp;1080)=0,"",IF(COUNTIFS(m_teacher,AM$4,m_date,($G$2+18),m_active,1,m_start,"&lt;"&amp;1140,m_end,"&gt;"&amp;1080)&gt;1,"충돌",HYPERLINK("#'관리자_MASTER'!D"&amp;_xlfn.MAXIFS(m_row,m_teacher,AM$4,m_date,($G$2+18),m_active,1,m_start,"&lt;"&amp;1140,m_end,"&gt;"&amp;1080),INDEX(m_label,_xlfn.MAXIFS(m_row,m_teacher,AM$4,m_date,($G$2+18),m_active,1,m_start,"&lt;"&amp;1140,m_end,"&gt;"&amp;1080))))))</f>
        <v/>
      </c>
      <c r="AN58" s="82" t="str">
        <f aca="false">IF(OR(AN$4="",MONTH(($G$2+18))&lt;&gt;MONTH($C$2)),"",IF(COUNTIFS(m_teacher,AN$4,m_date,($G$2+18),m_active,1,m_start,"&lt;"&amp;1140,m_end,"&gt;"&amp;1080)=0,"",IF(COUNTIFS(m_teacher,AN$4,m_date,($G$2+18),m_active,1,m_start,"&lt;"&amp;1140,m_end,"&gt;"&amp;1080)&gt;1,"충돌",HYPERLINK("#'관리자_MASTER'!D"&amp;_xlfn.MAXIFS(m_row,m_teacher,AN$4,m_date,($G$2+18),m_active,1,m_start,"&lt;"&amp;1140,m_end,"&gt;"&amp;1080),INDEX(m_label,_xlfn.MAXIFS(m_row,m_teacher,AN$4,m_date,($G$2+18),m_active,1,m_start,"&lt;"&amp;1140,m_end,"&gt;"&amp;1080))))))</f>
        <v/>
      </c>
      <c r="AO58" s="82" t="str">
        <f aca="false">IF(OR(AO$4="",MONTH(($G$2+18))&lt;&gt;MONTH($C$2)),"",IF(COUNTIFS(m_teacher,AO$4,m_date,($G$2+18),m_active,1,m_start,"&lt;"&amp;1140,m_end,"&gt;"&amp;1080)=0,"",IF(COUNTIFS(m_teacher,AO$4,m_date,($G$2+18),m_active,1,m_start,"&lt;"&amp;1140,m_end,"&gt;"&amp;1080)&gt;1,"충돌",HYPERLINK("#'관리자_MASTER'!D"&amp;_xlfn.MAXIFS(m_row,m_teacher,AO$4,m_date,($G$2+18),m_active,1,m_start,"&lt;"&amp;1140,m_end,"&gt;"&amp;1080),INDEX(m_label,_xlfn.MAXIFS(m_row,m_teacher,AO$4,m_date,($G$2+18),m_active,1,m_start,"&lt;"&amp;1140,m_end,"&gt;"&amp;1080))))))</f>
        <v/>
      </c>
      <c r="AP58" s="82" t="str">
        <f aca="false">IF(OR(AP$4="",MONTH(($G$2+18))&lt;&gt;MONTH($C$2)),"",IF(COUNTIFS(m_teacher,AP$4,m_date,($G$2+18),m_active,1,m_start,"&lt;"&amp;1140,m_end,"&gt;"&amp;1080)=0,"",IF(COUNTIFS(m_teacher,AP$4,m_date,($G$2+18),m_active,1,m_start,"&lt;"&amp;1140,m_end,"&gt;"&amp;1080)&gt;1,"충돌",HYPERLINK("#'관리자_MASTER'!D"&amp;_xlfn.MAXIFS(m_row,m_teacher,AP$4,m_date,($G$2+18),m_active,1,m_start,"&lt;"&amp;1140,m_end,"&gt;"&amp;1080),INDEX(m_label,_xlfn.MAXIFS(m_row,m_teacher,AP$4,m_date,($G$2+18),m_active,1,m_start,"&lt;"&amp;1140,m_end,"&gt;"&amp;1080))))))</f>
        <v/>
      </c>
      <c r="AQ58" s="78"/>
      <c r="AR58" s="79" t="s">
        <v>100</v>
      </c>
      <c r="AS58" s="82" t="str">
        <f aca="false">IF(OR(AS$4="",MONTH(($G$2+25))&lt;&gt;MONTH($C$2)),"",IF(COUNTIFS(m_teacher,AS$4,m_date,($G$2+25),m_active,1,m_start,"&lt;"&amp;1140,m_end,"&gt;"&amp;1080)=0,"",IF(COUNTIFS(m_teacher,AS$4,m_date,($G$2+25),m_active,1,m_start,"&lt;"&amp;1140,m_end,"&gt;"&amp;1080)&gt;1,"충돌",HYPERLINK("#'관리자_MASTER'!D"&amp;_xlfn.MAXIFS(m_row,m_teacher,AS$4,m_date,($G$2+25),m_active,1,m_start,"&lt;"&amp;1140,m_end,"&gt;"&amp;1080),INDEX(m_label,_xlfn.MAXIFS(m_row,m_teacher,AS$4,m_date,($G$2+25),m_active,1,m_start,"&lt;"&amp;1140,m_end,"&gt;"&amp;1080))))))</f>
        <v/>
      </c>
      <c r="AT58" s="82" t="str">
        <f aca="false">IF(OR(AT$4="",MONTH(($G$2+25))&lt;&gt;MONTH($C$2)),"",IF(COUNTIFS(m_teacher,AT$4,m_date,($G$2+25),m_active,1,m_start,"&lt;"&amp;1140,m_end,"&gt;"&amp;1080)=0,"",IF(COUNTIFS(m_teacher,AT$4,m_date,($G$2+25),m_active,1,m_start,"&lt;"&amp;1140,m_end,"&gt;"&amp;1080)&gt;1,"충돌",HYPERLINK("#'관리자_MASTER'!D"&amp;_xlfn.MAXIFS(m_row,m_teacher,AT$4,m_date,($G$2+25),m_active,1,m_start,"&lt;"&amp;1140,m_end,"&gt;"&amp;1080),INDEX(m_label,_xlfn.MAXIFS(m_row,m_teacher,AT$4,m_date,($G$2+25),m_active,1,m_start,"&lt;"&amp;1140,m_end,"&gt;"&amp;1080))))))</f>
        <v/>
      </c>
      <c r="AU58" s="82" t="str">
        <f aca="false">IF(OR(AU$4="",MONTH(($G$2+25))&lt;&gt;MONTH($C$2)),"",IF(COUNTIFS(m_teacher,AU$4,m_date,($G$2+25),m_active,1,m_start,"&lt;"&amp;1140,m_end,"&gt;"&amp;1080)=0,"",IF(COUNTIFS(m_teacher,AU$4,m_date,($G$2+25),m_active,1,m_start,"&lt;"&amp;1140,m_end,"&gt;"&amp;1080)&gt;1,"충돌",HYPERLINK("#'관리자_MASTER'!D"&amp;_xlfn.MAXIFS(m_row,m_teacher,AU$4,m_date,($G$2+25),m_active,1,m_start,"&lt;"&amp;1140,m_end,"&gt;"&amp;1080),INDEX(m_label,_xlfn.MAXIFS(m_row,m_teacher,AU$4,m_date,($G$2+25),m_active,1,m_start,"&lt;"&amp;1140,m_end,"&gt;"&amp;1080))))))</f>
        <v/>
      </c>
      <c r="AV58" s="82" t="str">
        <f aca="false">IF(OR(AV$4="",MONTH(($G$2+25))&lt;&gt;MONTH($C$2)),"",IF(COUNTIFS(m_teacher,AV$4,m_date,($G$2+25),m_active,1,m_start,"&lt;"&amp;1140,m_end,"&gt;"&amp;1080)=0,"",IF(COUNTIFS(m_teacher,AV$4,m_date,($G$2+25),m_active,1,m_start,"&lt;"&amp;1140,m_end,"&gt;"&amp;1080)&gt;1,"충돌",HYPERLINK("#'관리자_MASTER'!D"&amp;_xlfn.MAXIFS(m_row,m_teacher,AV$4,m_date,($G$2+25),m_active,1,m_start,"&lt;"&amp;1140,m_end,"&gt;"&amp;1080),INDEX(m_label,_xlfn.MAXIFS(m_row,m_teacher,AV$4,m_date,($G$2+25),m_active,1,m_start,"&lt;"&amp;1140,m_end,"&gt;"&amp;1080))))))</f>
        <v/>
      </c>
      <c r="AW58" s="82" t="str">
        <f aca="false">IF(OR(AW$4="",MONTH(($G$2+25))&lt;&gt;MONTH($C$2)),"",IF(COUNTIFS(m_teacher,AW$4,m_date,($G$2+25),m_active,1,m_start,"&lt;"&amp;1140,m_end,"&gt;"&amp;1080)=0,"",IF(COUNTIFS(m_teacher,AW$4,m_date,($G$2+25),m_active,1,m_start,"&lt;"&amp;1140,m_end,"&gt;"&amp;1080)&gt;1,"충돌",HYPERLINK("#'관리자_MASTER'!D"&amp;_xlfn.MAXIFS(m_row,m_teacher,AW$4,m_date,($G$2+25),m_active,1,m_start,"&lt;"&amp;1140,m_end,"&gt;"&amp;1080),INDEX(m_label,_xlfn.MAXIFS(m_row,m_teacher,AW$4,m_date,($G$2+25),m_active,1,m_start,"&lt;"&amp;1140,m_end,"&gt;"&amp;1080))))))</f>
        <v/>
      </c>
      <c r="AX58" s="82" t="str">
        <f aca="false">IF(OR(AX$4="",MONTH(($G$2+25))&lt;&gt;MONTH($C$2)),"",IF(COUNTIFS(m_teacher,AX$4,m_date,($G$2+25),m_active,1,m_start,"&lt;"&amp;1140,m_end,"&gt;"&amp;1080)=0,"",IF(COUNTIFS(m_teacher,AX$4,m_date,($G$2+25),m_active,1,m_start,"&lt;"&amp;1140,m_end,"&gt;"&amp;1080)&gt;1,"충돌",HYPERLINK("#'관리자_MASTER'!D"&amp;_xlfn.MAXIFS(m_row,m_teacher,AX$4,m_date,($G$2+25),m_active,1,m_start,"&lt;"&amp;1140,m_end,"&gt;"&amp;1080),INDEX(m_label,_xlfn.MAXIFS(m_row,m_teacher,AX$4,m_date,($G$2+25),m_active,1,m_start,"&lt;"&amp;1140,m_end,"&gt;"&amp;1080))))))</f>
        <v/>
      </c>
      <c r="AY58" s="82" t="str">
        <f aca="false">IF(OR(AY$4="",MONTH(($G$2+25))&lt;&gt;MONTH($C$2)),"",IF(COUNTIFS(m_teacher,AY$4,m_date,($G$2+25),m_active,1,m_start,"&lt;"&amp;1140,m_end,"&gt;"&amp;1080)=0,"",IF(COUNTIFS(m_teacher,AY$4,m_date,($G$2+25),m_active,1,m_start,"&lt;"&amp;1140,m_end,"&gt;"&amp;1080)&gt;1,"충돌",HYPERLINK("#'관리자_MASTER'!D"&amp;_xlfn.MAXIFS(m_row,m_teacher,AY$4,m_date,($G$2+25),m_active,1,m_start,"&lt;"&amp;1140,m_end,"&gt;"&amp;1080),INDEX(m_label,_xlfn.MAXIFS(m_row,m_teacher,AY$4,m_date,($G$2+25),m_active,1,m_start,"&lt;"&amp;1140,m_end,"&gt;"&amp;1080))))))</f>
        <v/>
      </c>
      <c r="AZ58" s="82" t="str">
        <f aca="false">IF(OR(AZ$4="",MONTH(($G$2+25))&lt;&gt;MONTH($C$2)),"",IF(COUNTIFS(m_teacher,AZ$4,m_date,($G$2+25),m_active,1,m_start,"&lt;"&amp;1140,m_end,"&gt;"&amp;1080)=0,"",IF(COUNTIFS(m_teacher,AZ$4,m_date,($G$2+25),m_active,1,m_start,"&lt;"&amp;1140,m_end,"&gt;"&amp;1080)&gt;1,"충돌",HYPERLINK("#'관리자_MASTER'!D"&amp;_xlfn.MAXIFS(m_row,m_teacher,AZ$4,m_date,($G$2+25),m_active,1,m_start,"&lt;"&amp;1140,m_end,"&gt;"&amp;1080),INDEX(m_label,_xlfn.MAXIFS(m_row,m_teacher,AZ$4,m_date,($G$2+25),m_active,1,m_start,"&lt;"&amp;1140,m_end,"&gt;"&amp;1080))))))</f>
        <v/>
      </c>
      <c r="BA58" s="82" t="str">
        <f aca="false">IF(OR(BA$4="",MONTH(($G$2+25))&lt;&gt;MONTH($C$2)),"",IF(COUNTIFS(m_teacher,BA$4,m_date,($G$2+25),m_active,1,m_start,"&lt;"&amp;1140,m_end,"&gt;"&amp;1080)=0,"",IF(COUNTIFS(m_teacher,BA$4,m_date,($G$2+25),m_active,1,m_start,"&lt;"&amp;1140,m_end,"&gt;"&amp;1080)&gt;1,"충돌",HYPERLINK("#'관리자_MASTER'!D"&amp;_xlfn.MAXIFS(m_row,m_teacher,BA$4,m_date,($G$2+25),m_active,1,m_start,"&lt;"&amp;1140,m_end,"&gt;"&amp;1080),INDEX(m_label,_xlfn.MAXIFS(m_row,m_teacher,BA$4,m_date,($G$2+25),m_active,1,m_start,"&lt;"&amp;1140,m_end,"&gt;"&amp;1080))))))</f>
        <v/>
      </c>
      <c r="BB58" s="82" t="str">
        <f aca="false">IF(OR(BB$4="",MONTH(($G$2+25))&lt;&gt;MONTH($C$2)),"",IF(COUNTIFS(m_teacher,BB$4,m_date,($G$2+25),m_active,1,m_start,"&lt;"&amp;1140,m_end,"&gt;"&amp;1080)=0,"",IF(COUNTIFS(m_teacher,BB$4,m_date,($G$2+25),m_active,1,m_start,"&lt;"&amp;1140,m_end,"&gt;"&amp;1080)&gt;1,"충돌",HYPERLINK("#'관리자_MASTER'!D"&amp;_xlfn.MAXIFS(m_row,m_teacher,BB$4,m_date,($G$2+25),m_active,1,m_start,"&lt;"&amp;1140,m_end,"&gt;"&amp;1080),INDEX(m_label,_xlfn.MAXIFS(m_row,m_teacher,BB$4,m_date,($G$2+25),m_active,1,m_start,"&lt;"&amp;1140,m_end,"&gt;"&amp;1080))))))</f>
        <v/>
      </c>
      <c r="BC58" s="82" t="str">
        <f aca="false">IF(OR(BC$4="",MONTH(($G$2+25))&lt;&gt;MONTH($C$2)),"",IF(COUNTIFS(m_teacher,BC$4,m_date,($G$2+25),m_active,1,m_start,"&lt;"&amp;1140,m_end,"&gt;"&amp;1080)=0,"",IF(COUNTIFS(m_teacher,BC$4,m_date,($G$2+25),m_active,1,m_start,"&lt;"&amp;1140,m_end,"&gt;"&amp;1080)&gt;1,"충돌",HYPERLINK("#'관리자_MASTER'!D"&amp;_xlfn.MAXIFS(m_row,m_teacher,BC$4,m_date,($G$2+25),m_active,1,m_start,"&lt;"&amp;1140,m_end,"&gt;"&amp;1080),INDEX(m_label,_xlfn.MAXIFS(m_row,m_teacher,BC$4,m_date,($G$2+25),m_active,1,m_start,"&lt;"&amp;1140,m_end,"&gt;"&amp;1080))))))</f>
        <v/>
      </c>
      <c r="BD58" s="82" t="str">
        <f aca="false">IF(OR(BD$4="",MONTH(($G$2+25))&lt;&gt;MONTH($C$2)),"",IF(COUNTIFS(m_teacher,BD$4,m_date,($G$2+25),m_active,1,m_start,"&lt;"&amp;1140,m_end,"&gt;"&amp;1080)=0,"",IF(COUNTIFS(m_teacher,BD$4,m_date,($G$2+25),m_active,1,m_start,"&lt;"&amp;1140,m_end,"&gt;"&amp;1080)&gt;1,"충돌",HYPERLINK("#'관리자_MASTER'!D"&amp;_xlfn.MAXIFS(m_row,m_teacher,BD$4,m_date,($G$2+25),m_active,1,m_start,"&lt;"&amp;1140,m_end,"&gt;"&amp;1080),INDEX(m_label,_xlfn.MAXIFS(m_row,m_teacher,BD$4,m_date,($G$2+25),m_active,1,m_start,"&lt;"&amp;1140,m_end,"&gt;"&amp;1080))))))</f>
        <v/>
      </c>
    </row>
    <row r="59" customFormat="false" ht="19.5" hidden="false" customHeight="true" outlineLevel="0" collapsed="false">
      <c r="A59" s="78"/>
      <c r="B59" s="85" t="s">
        <v>101</v>
      </c>
      <c r="C59" s="86" t="str">
        <f aca="false">IF(OR(C$4="",MONTH(($G$2+4))&lt;&gt;MONTH($C$2)),"",IF(COUNTIFS(m_teacher,C$4,m_date,($G$2+4),m_active,1,m_start,"&lt;"&amp;1440,m_end,"&gt;"&amp;1140)=0,"",IF(COUNTIFS(m_teacher,C$4,m_date,($G$2+4),m_active,1,m_start,"&lt;"&amp;1440,m_end,"&gt;"&amp;1140)&gt;1,"충돌",HYPERLINK("#'관리자_MASTER'!D"&amp;_xlfn.MAXIFS(m_row,m_teacher,C$4,m_date,($G$2+4),m_active,1,m_start,"&lt;"&amp;1440,m_end,"&gt;"&amp;1140),INDEX(m_label,_xlfn.MAXIFS(m_row,m_teacher,C$4,m_date,($G$2+4),m_active,1,m_start,"&lt;"&amp;1440,m_end,"&gt;"&amp;1140))))))</f>
        <v/>
      </c>
      <c r="D59" s="86" t="str">
        <f aca="false">IF(OR(D$4="",MONTH(($G$2+4))&lt;&gt;MONTH($C$2)),"",IF(COUNTIFS(m_teacher,D$4,m_date,($G$2+4),m_active,1,m_start,"&lt;"&amp;1440,m_end,"&gt;"&amp;1140)=0,"",IF(COUNTIFS(m_teacher,D$4,m_date,($G$2+4),m_active,1,m_start,"&lt;"&amp;1440,m_end,"&gt;"&amp;1140)&gt;1,"충돌",HYPERLINK("#'관리자_MASTER'!D"&amp;_xlfn.MAXIFS(m_row,m_teacher,D$4,m_date,($G$2+4),m_active,1,m_start,"&lt;"&amp;1440,m_end,"&gt;"&amp;1140),INDEX(m_label,_xlfn.MAXIFS(m_row,m_teacher,D$4,m_date,($G$2+4),m_active,1,m_start,"&lt;"&amp;1440,m_end,"&gt;"&amp;1140))))))</f>
        <v/>
      </c>
      <c r="E59" s="86" t="str">
        <f aca="false">IF(OR(E$4="",MONTH(($G$2+4))&lt;&gt;MONTH($C$2)),"",IF(COUNTIFS(m_teacher,E$4,m_date,($G$2+4),m_active,1,m_start,"&lt;"&amp;1440,m_end,"&gt;"&amp;1140)=0,"",IF(COUNTIFS(m_teacher,E$4,m_date,($G$2+4),m_active,1,m_start,"&lt;"&amp;1440,m_end,"&gt;"&amp;1140)&gt;1,"충돌",HYPERLINK("#'관리자_MASTER'!D"&amp;_xlfn.MAXIFS(m_row,m_teacher,E$4,m_date,($G$2+4),m_active,1,m_start,"&lt;"&amp;1440,m_end,"&gt;"&amp;1140),INDEX(m_label,_xlfn.MAXIFS(m_row,m_teacher,E$4,m_date,($G$2+4),m_active,1,m_start,"&lt;"&amp;1440,m_end,"&gt;"&amp;1140))))))</f>
        <v/>
      </c>
      <c r="F59" s="86" t="str">
        <f aca="false">IF(OR(F$4="",MONTH(($G$2+4))&lt;&gt;MONTH($C$2)),"",IF(COUNTIFS(m_teacher,F$4,m_date,($G$2+4),m_active,1,m_start,"&lt;"&amp;1440,m_end,"&gt;"&amp;1140)=0,"",IF(COUNTIFS(m_teacher,F$4,m_date,($G$2+4),m_active,1,m_start,"&lt;"&amp;1440,m_end,"&gt;"&amp;1140)&gt;1,"충돌",HYPERLINK("#'관리자_MASTER'!D"&amp;_xlfn.MAXIFS(m_row,m_teacher,F$4,m_date,($G$2+4),m_active,1,m_start,"&lt;"&amp;1440,m_end,"&gt;"&amp;1140),INDEX(m_label,_xlfn.MAXIFS(m_row,m_teacher,F$4,m_date,($G$2+4),m_active,1,m_start,"&lt;"&amp;1440,m_end,"&gt;"&amp;1140))))))</f>
        <v/>
      </c>
      <c r="G59" s="86" t="str">
        <f aca="false">IF(OR(G$4="",MONTH(($G$2+4))&lt;&gt;MONTH($C$2)),"",IF(COUNTIFS(m_teacher,G$4,m_date,($G$2+4),m_active,1,m_start,"&lt;"&amp;1440,m_end,"&gt;"&amp;1140)=0,"",IF(COUNTIFS(m_teacher,G$4,m_date,($G$2+4),m_active,1,m_start,"&lt;"&amp;1440,m_end,"&gt;"&amp;1140)&gt;1,"충돌",HYPERLINK("#'관리자_MASTER'!D"&amp;_xlfn.MAXIFS(m_row,m_teacher,G$4,m_date,($G$2+4),m_active,1,m_start,"&lt;"&amp;1440,m_end,"&gt;"&amp;1140),INDEX(m_label,_xlfn.MAXIFS(m_row,m_teacher,G$4,m_date,($G$2+4),m_active,1,m_start,"&lt;"&amp;1440,m_end,"&gt;"&amp;1140))))))</f>
        <v/>
      </c>
      <c r="H59" s="86" t="str">
        <f aca="false">IF(OR(H$4="",MONTH(($G$2+4))&lt;&gt;MONTH($C$2)),"",IF(COUNTIFS(m_teacher,H$4,m_date,($G$2+4),m_active,1,m_start,"&lt;"&amp;1440,m_end,"&gt;"&amp;1140)=0,"",IF(COUNTIFS(m_teacher,H$4,m_date,($G$2+4),m_active,1,m_start,"&lt;"&amp;1440,m_end,"&gt;"&amp;1140)&gt;1,"충돌",HYPERLINK("#'관리자_MASTER'!D"&amp;_xlfn.MAXIFS(m_row,m_teacher,H$4,m_date,($G$2+4),m_active,1,m_start,"&lt;"&amp;1440,m_end,"&gt;"&amp;1140),INDEX(m_label,_xlfn.MAXIFS(m_row,m_teacher,H$4,m_date,($G$2+4),m_active,1,m_start,"&lt;"&amp;1440,m_end,"&gt;"&amp;1140))))))</f>
        <v/>
      </c>
      <c r="I59" s="86" t="str">
        <f aca="false">IF(OR(I$4="",MONTH(($G$2+4))&lt;&gt;MONTH($C$2)),"",IF(COUNTIFS(m_teacher,I$4,m_date,($G$2+4),m_active,1,m_start,"&lt;"&amp;1440,m_end,"&gt;"&amp;1140)=0,"",IF(COUNTIFS(m_teacher,I$4,m_date,($G$2+4),m_active,1,m_start,"&lt;"&amp;1440,m_end,"&gt;"&amp;1140)&gt;1,"충돌",HYPERLINK("#'관리자_MASTER'!D"&amp;_xlfn.MAXIFS(m_row,m_teacher,I$4,m_date,($G$2+4),m_active,1,m_start,"&lt;"&amp;1440,m_end,"&gt;"&amp;1140),INDEX(m_label,_xlfn.MAXIFS(m_row,m_teacher,I$4,m_date,($G$2+4),m_active,1,m_start,"&lt;"&amp;1440,m_end,"&gt;"&amp;1140))))))</f>
        <v/>
      </c>
      <c r="J59" s="86" t="str">
        <f aca="false">IF(OR(J$4="",MONTH(($G$2+4))&lt;&gt;MONTH($C$2)),"",IF(COUNTIFS(m_teacher,J$4,m_date,($G$2+4),m_active,1,m_start,"&lt;"&amp;1440,m_end,"&gt;"&amp;1140)=0,"",IF(COUNTIFS(m_teacher,J$4,m_date,($G$2+4),m_active,1,m_start,"&lt;"&amp;1440,m_end,"&gt;"&amp;1140)&gt;1,"충돌",HYPERLINK("#'관리자_MASTER'!D"&amp;_xlfn.MAXIFS(m_row,m_teacher,J$4,m_date,($G$2+4),m_active,1,m_start,"&lt;"&amp;1440,m_end,"&gt;"&amp;1140),INDEX(m_label,_xlfn.MAXIFS(m_row,m_teacher,J$4,m_date,($G$2+4),m_active,1,m_start,"&lt;"&amp;1440,m_end,"&gt;"&amp;1140))))))</f>
        <v/>
      </c>
      <c r="K59" s="86" t="str">
        <f aca="false">IF(OR(K$4="",MONTH(($G$2+4))&lt;&gt;MONTH($C$2)),"",IF(COUNTIFS(m_teacher,K$4,m_date,($G$2+4),m_active,1,m_start,"&lt;"&amp;1440,m_end,"&gt;"&amp;1140)=0,"",IF(COUNTIFS(m_teacher,K$4,m_date,($G$2+4),m_active,1,m_start,"&lt;"&amp;1440,m_end,"&gt;"&amp;1140)&gt;1,"충돌",HYPERLINK("#'관리자_MASTER'!D"&amp;_xlfn.MAXIFS(m_row,m_teacher,K$4,m_date,($G$2+4),m_active,1,m_start,"&lt;"&amp;1440,m_end,"&gt;"&amp;1140),INDEX(m_label,_xlfn.MAXIFS(m_row,m_teacher,K$4,m_date,($G$2+4),m_active,1,m_start,"&lt;"&amp;1440,m_end,"&gt;"&amp;1140))))))</f>
        <v/>
      </c>
      <c r="L59" s="86" t="str">
        <f aca="false">IF(OR(L$4="",MONTH(($G$2+4))&lt;&gt;MONTH($C$2)),"",IF(COUNTIFS(m_teacher,L$4,m_date,($G$2+4),m_active,1,m_start,"&lt;"&amp;1440,m_end,"&gt;"&amp;1140)=0,"",IF(COUNTIFS(m_teacher,L$4,m_date,($G$2+4),m_active,1,m_start,"&lt;"&amp;1440,m_end,"&gt;"&amp;1140)&gt;1,"충돌",HYPERLINK("#'관리자_MASTER'!D"&amp;_xlfn.MAXIFS(m_row,m_teacher,L$4,m_date,($G$2+4),m_active,1,m_start,"&lt;"&amp;1440,m_end,"&gt;"&amp;1140),INDEX(m_label,_xlfn.MAXIFS(m_row,m_teacher,L$4,m_date,($G$2+4),m_active,1,m_start,"&lt;"&amp;1440,m_end,"&gt;"&amp;1140))))))</f>
        <v/>
      </c>
      <c r="M59" s="86" t="str">
        <f aca="false">IF(OR(M$4="",MONTH(($G$2+4))&lt;&gt;MONTH($C$2)),"",IF(COUNTIFS(m_teacher,M$4,m_date,($G$2+4),m_active,1,m_start,"&lt;"&amp;1440,m_end,"&gt;"&amp;1140)=0,"",IF(COUNTIFS(m_teacher,M$4,m_date,($G$2+4),m_active,1,m_start,"&lt;"&amp;1440,m_end,"&gt;"&amp;1140)&gt;1,"충돌",HYPERLINK("#'관리자_MASTER'!D"&amp;_xlfn.MAXIFS(m_row,m_teacher,M$4,m_date,($G$2+4),m_active,1,m_start,"&lt;"&amp;1440,m_end,"&gt;"&amp;1140),INDEX(m_label,_xlfn.MAXIFS(m_row,m_teacher,M$4,m_date,($G$2+4),m_active,1,m_start,"&lt;"&amp;1440,m_end,"&gt;"&amp;1140))))))</f>
        <v/>
      </c>
      <c r="N59" s="86" t="str">
        <f aca="false">IF(OR(N$4="",MONTH(($G$2+4))&lt;&gt;MONTH($C$2)),"",IF(COUNTIFS(m_teacher,N$4,m_date,($G$2+4),m_active,1,m_start,"&lt;"&amp;1440,m_end,"&gt;"&amp;1140)=0,"",IF(COUNTIFS(m_teacher,N$4,m_date,($G$2+4),m_active,1,m_start,"&lt;"&amp;1440,m_end,"&gt;"&amp;1140)&gt;1,"충돌",HYPERLINK("#'관리자_MASTER'!D"&amp;_xlfn.MAXIFS(m_row,m_teacher,N$4,m_date,($G$2+4),m_active,1,m_start,"&lt;"&amp;1440,m_end,"&gt;"&amp;1140),INDEX(m_label,_xlfn.MAXIFS(m_row,m_teacher,N$4,m_date,($G$2+4),m_active,1,m_start,"&lt;"&amp;1440,m_end,"&gt;"&amp;1140))))))</f>
        <v/>
      </c>
      <c r="O59" s="78"/>
      <c r="P59" s="85" t="s">
        <v>101</v>
      </c>
      <c r="Q59" s="86" t="str">
        <f aca="false">IF(OR(Q$4="",MONTH(($G$2+11))&lt;&gt;MONTH($C$2)),"",IF(COUNTIFS(m_teacher,Q$4,m_date,($G$2+11),m_active,1,m_start,"&lt;"&amp;1440,m_end,"&gt;"&amp;1140)=0,"",IF(COUNTIFS(m_teacher,Q$4,m_date,($G$2+11),m_active,1,m_start,"&lt;"&amp;1440,m_end,"&gt;"&amp;1140)&gt;1,"충돌",HYPERLINK("#'관리자_MASTER'!D"&amp;_xlfn.MAXIFS(m_row,m_teacher,Q$4,m_date,($G$2+11),m_active,1,m_start,"&lt;"&amp;1440,m_end,"&gt;"&amp;1140),INDEX(m_label,_xlfn.MAXIFS(m_row,m_teacher,Q$4,m_date,($G$2+11),m_active,1,m_start,"&lt;"&amp;1440,m_end,"&gt;"&amp;1140))))))</f>
        <v/>
      </c>
      <c r="R59" s="86" t="str">
        <f aca="false">IF(OR(R$4="",MONTH(($G$2+11))&lt;&gt;MONTH($C$2)),"",IF(COUNTIFS(m_teacher,R$4,m_date,($G$2+11),m_active,1,m_start,"&lt;"&amp;1440,m_end,"&gt;"&amp;1140)=0,"",IF(COUNTIFS(m_teacher,R$4,m_date,($G$2+11),m_active,1,m_start,"&lt;"&amp;1440,m_end,"&gt;"&amp;1140)&gt;1,"충돌",HYPERLINK("#'관리자_MASTER'!D"&amp;_xlfn.MAXIFS(m_row,m_teacher,R$4,m_date,($G$2+11),m_active,1,m_start,"&lt;"&amp;1440,m_end,"&gt;"&amp;1140),INDEX(m_label,_xlfn.MAXIFS(m_row,m_teacher,R$4,m_date,($G$2+11),m_active,1,m_start,"&lt;"&amp;1440,m_end,"&gt;"&amp;1140))))))</f>
        <v/>
      </c>
      <c r="S59" s="86" t="str">
        <f aca="false">IF(OR(S$4="",MONTH(($G$2+11))&lt;&gt;MONTH($C$2)),"",IF(COUNTIFS(m_teacher,S$4,m_date,($G$2+11),m_active,1,m_start,"&lt;"&amp;1440,m_end,"&gt;"&amp;1140)=0,"",IF(COUNTIFS(m_teacher,S$4,m_date,($G$2+11),m_active,1,m_start,"&lt;"&amp;1440,m_end,"&gt;"&amp;1140)&gt;1,"충돌",HYPERLINK("#'관리자_MASTER'!D"&amp;_xlfn.MAXIFS(m_row,m_teacher,S$4,m_date,($G$2+11),m_active,1,m_start,"&lt;"&amp;1440,m_end,"&gt;"&amp;1140),INDEX(m_label,_xlfn.MAXIFS(m_row,m_teacher,S$4,m_date,($G$2+11),m_active,1,m_start,"&lt;"&amp;1440,m_end,"&gt;"&amp;1140))))))</f>
        <v/>
      </c>
      <c r="T59" s="86" t="str">
        <f aca="false">IF(OR(T$4="",MONTH(($G$2+11))&lt;&gt;MONTH($C$2)),"",IF(COUNTIFS(m_teacher,T$4,m_date,($G$2+11),m_active,1,m_start,"&lt;"&amp;1440,m_end,"&gt;"&amp;1140)=0,"",IF(COUNTIFS(m_teacher,T$4,m_date,($G$2+11),m_active,1,m_start,"&lt;"&amp;1440,m_end,"&gt;"&amp;1140)&gt;1,"충돌",HYPERLINK("#'관리자_MASTER'!D"&amp;_xlfn.MAXIFS(m_row,m_teacher,T$4,m_date,($G$2+11),m_active,1,m_start,"&lt;"&amp;1440,m_end,"&gt;"&amp;1140),INDEX(m_label,_xlfn.MAXIFS(m_row,m_teacher,T$4,m_date,($G$2+11),m_active,1,m_start,"&lt;"&amp;1440,m_end,"&gt;"&amp;1140))))))</f>
        <v/>
      </c>
      <c r="U59" s="86" t="str">
        <f aca="false">IF(OR(U$4="",MONTH(($G$2+11))&lt;&gt;MONTH($C$2)),"",IF(COUNTIFS(m_teacher,U$4,m_date,($G$2+11),m_active,1,m_start,"&lt;"&amp;1440,m_end,"&gt;"&amp;1140)=0,"",IF(COUNTIFS(m_teacher,U$4,m_date,($G$2+11),m_active,1,m_start,"&lt;"&amp;1440,m_end,"&gt;"&amp;1140)&gt;1,"충돌",HYPERLINK("#'관리자_MASTER'!D"&amp;_xlfn.MAXIFS(m_row,m_teacher,U$4,m_date,($G$2+11),m_active,1,m_start,"&lt;"&amp;1440,m_end,"&gt;"&amp;1140),INDEX(m_label,_xlfn.MAXIFS(m_row,m_teacher,U$4,m_date,($G$2+11),m_active,1,m_start,"&lt;"&amp;1440,m_end,"&gt;"&amp;1140))))))</f>
        <v/>
      </c>
      <c r="V59" s="86" t="str">
        <f aca="false">IF(OR(V$4="",MONTH(($G$2+11))&lt;&gt;MONTH($C$2)),"",IF(COUNTIFS(m_teacher,V$4,m_date,($G$2+11),m_active,1,m_start,"&lt;"&amp;1440,m_end,"&gt;"&amp;1140)=0,"",IF(COUNTIFS(m_teacher,V$4,m_date,($G$2+11),m_active,1,m_start,"&lt;"&amp;1440,m_end,"&gt;"&amp;1140)&gt;1,"충돌",HYPERLINK("#'관리자_MASTER'!D"&amp;_xlfn.MAXIFS(m_row,m_teacher,V$4,m_date,($G$2+11),m_active,1,m_start,"&lt;"&amp;1440,m_end,"&gt;"&amp;1140),INDEX(m_label,_xlfn.MAXIFS(m_row,m_teacher,V$4,m_date,($G$2+11),m_active,1,m_start,"&lt;"&amp;1440,m_end,"&gt;"&amp;1140))))))</f>
        <v/>
      </c>
      <c r="W59" s="86" t="str">
        <f aca="false">IF(OR(W$4="",MONTH(($G$2+11))&lt;&gt;MONTH($C$2)),"",IF(COUNTIFS(m_teacher,W$4,m_date,($G$2+11),m_active,1,m_start,"&lt;"&amp;1440,m_end,"&gt;"&amp;1140)=0,"",IF(COUNTIFS(m_teacher,W$4,m_date,($G$2+11),m_active,1,m_start,"&lt;"&amp;1440,m_end,"&gt;"&amp;1140)&gt;1,"충돌",HYPERLINK("#'관리자_MASTER'!D"&amp;_xlfn.MAXIFS(m_row,m_teacher,W$4,m_date,($G$2+11),m_active,1,m_start,"&lt;"&amp;1440,m_end,"&gt;"&amp;1140),INDEX(m_label,_xlfn.MAXIFS(m_row,m_teacher,W$4,m_date,($G$2+11),m_active,1,m_start,"&lt;"&amp;1440,m_end,"&gt;"&amp;1140))))))</f>
        <v/>
      </c>
      <c r="X59" s="86" t="str">
        <f aca="false">IF(OR(X$4="",MONTH(($G$2+11))&lt;&gt;MONTH($C$2)),"",IF(COUNTIFS(m_teacher,X$4,m_date,($G$2+11),m_active,1,m_start,"&lt;"&amp;1440,m_end,"&gt;"&amp;1140)=0,"",IF(COUNTIFS(m_teacher,X$4,m_date,($G$2+11),m_active,1,m_start,"&lt;"&amp;1440,m_end,"&gt;"&amp;1140)&gt;1,"충돌",HYPERLINK("#'관리자_MASTER'!D"&amp;_xlfn.MAXIFS(m_row,m_teacher,X$4,m_date,($G$2+11),m_active,1,m_start,"&lt;"&amp;1440,m_end,"&gt;"&amp;1140),INDEX(m_label,_xlfn.MAXIFS(m_row,m_teacher,X$4,m_date,($G$2+11),m_active,1,m_start,"&lt;"&amp;1440,m_end,"&gt;"&amp;1140))))))</f>
        <v/>
      </c>
      <c r="Y59" s="86" t="str">
        <f aca="false">IF(OR(Y$4="",MONTH(($G$2+11))&lt;&gt;MONTH($C$2)),"",IF(COUNTIFS(m_teacher,Y$4,m_date,($G$2+11),m_active,1,m_start,"&lt;"&amp;1440,m_end,"&gt;"&amp;1140)=0,"",IF(COUNTIFS(m_teacher,Y$4,m_date,($G$2+11),m_active,1,m_start,"&lt;"&amp;1440,m_end,"&gt;"&amp;1140)&gt;1,"충돌",HYPERLINK("#'관리자_MASTER'!D"&amp;_xlfn.MAXIFS(m_row,m_teacher,Y$4,m_date,($G$2+11),m_active,1,m_start,"&lt;"&amp;1440,m_end,"&gt;"&amp;1140),INDEX(m_label,_xlfn.MAXIFS(m_row,m_teacher,Y$4,m_date,($G$2+11),m_active,1,m_start,"&lt;"&amp;1440,m_end,"&gt;"&amp;1140))))))</f>
        <v/>
      </c>
      <c r="Z59" s="86" t="str">
        <f aca="false">IF(OR(Z$4="",MONTH(($G$2+11))&lt;&gt;MONTH($C$2)),"",IF(COUNTIFS(m_teacher,Z$4,m_date,($G$2+11),m_active,1,m_start,"&lt;"&amp;1440,m_end,"&gt;"&amp;1140)=0,"",IF(COUNTIFS(m_teacher,Z$4,m_date,($G$2+11),m_active,1,m_start,"&lt;"&amp;1440,m_end,"&gt;"&amp;1140)&gt;1,"충돌",HYPERLINK("#'관리자_MASTER'!D"&amp;_xlfn.MAXIFS(m_row,m_teacher,Z$4,m_date,($G$2+11),m_active,1,m_start,"&lt;"&amp;1440,m_end,"&gt;"&amp;1140),INDEX(m_label,_xlfn.MAXIFS(m_row,m_teacher,Z$4,m_date,($G$2+11),m_active,1,m_start,"&lt;"&amp;1440,m_end,"&gt;"&amp;1140))))))</f>
        <v/>
      </c>
      <c r="AA59" s="86" t="str">
        <f aca="false">IF(OR(AA$4="",MONTH(($G$2+11))&lt;&gt;MONTH($C$2)),"",IF(COUNTIFS(m_teacher,AA$4,m_date,($G$2+11),m_active,1,m_start,"&lt;"&amp;1440,m_end,"&gt;"&amp;1140)=0,"",IF(COUNTIFS(m_teacher,AA$4,m_date,($G$2+11),m_active,1,m_start,"&lt;"&amp;1440,m_end,"&gt;"&amp;1140)&gt;1,"충돌",HYPERLINK("#'관리자_MASTER'!D"&amp;_xlfn.MAXIFS(m_row,m_teacher,AA$4,m_date,($G$2+11),m_active,1,m_start,"&lt;"&amp;1440,m_end,"&gt;"&amp;1140),INDEX(m_label,_xlfn.MAXIFS(m_row,m_teacher,AA$4,m_date,($G$2+11),m_active,1,m_start,"&lt;"&amp;1440,m_end,"&gt;"&amp;1140))))))</f>
        <v/>
      </c>
      <c r="AB59" s="86" t="str">
        <f aca="false">IF(OR(AB$4="",MONTH(($G$2+11))&lt;&gt;MONTH($C$2)),"",IF(COUNTIFS(m_teacher,AB$4,m_date,($G$2+11),m_active,1,m_start,"&lt;"&amp;1440,m_end,"&gt;"&amp;1140)=0,"",IF(COUNTIFS(m_teacher,AB$4,m_date,($G$2+11),m_active,1,m_start,"&lt;"&amp;1440,m_end,"&gt;"&amp;1140)&gt;1,"충돌",HYPERLINK("#'관리자_MASTER'!D"&amp;_xlfn.MAXIFS(m_row,m_teacher,AB$4,m_date,($G$2+11),m_active,1,m_start,"&lt;"&amp;1440,m_end,"&gt;"&amp;1140),INDEX(m_label,_xlfn.MAXIFS(m_row,m_teacher,AB$4,m_date,($G$2+11),m_active,1,m_start,"&lt;"&amp;1440,m_end,"&gt;"&amp;1140))))))</f>
        <v/>
      </c>
      <c r="AC59" s="78"/>
      <c r="AD59" s="85" t="s">
        <v>101</v>
      </c>
      <c r="AE59" s="86" t="str">
        <f aca="false">IF(OR(AE$4="",MONTH(($G$2+18))&lt;&gt;MONTH($C$2)),"",IF(COUNTIFS(m_teacher,AE$4,m_date,($G$2+18),m_active,1,m_start,"&lt;"&amp;1440,m_end,"&gt;"&amp;1140)=0,"",IF(COUNTIFS(m_teacher,AE$4,m_date,($G$2+18),m_active,1,m_start,"&lt;"&amp;1440,m_end,"&gt;"&amp;1140)&gt;1,"충돌",HYPERLINK("#'관리자_MASTER'!D"&amp;_xlfn.MAXIFS(m_row,m_teacher,AE$4,m_date,($G$2+18),m_active,1,m_start,"&lt;"&amp;1440,m_end,"&gt;"&amp;1140),INDEX(m_label,_xlfn.MAXIFS(m_row,m_teacher,AE$4,m_date,($G$2+18),m_active,1,m_start,"&lt;"&amp;1440,m_end,"&gt;"&amp;1140))))))</f>
        <v/>
      </c>
      <c r="AF59" s="86" t="str">
        <f aca="false">IF(OR(AF$4="",MONTH(($G$2+18))&lt;&gt;MONTH($C$2)),"",IF(COUNTIFS(m_teacher,AF$4,m_date,($G$2+18),m_active,1,m_start,"&lt;"&amp;1440,m_end,"&gt;"&amp;1140)=0,"",IF(COUNTIFS(m_teacher,AF$4,m_date,($G$2+18),m_active,1,m_start,"&lt;"&amp;1440,m_end,"&gt;"&amp;1140)&gt;1,"충돌",HYPERLINK("#'관리자_MASTER'!D"&amp;_xlfn.MAXIFS(m_row,m_teacher,AF$4,m_date,($G$2+18),m_active,1,m_start,"&lt;"&amp;1440,m_end,"&gt;"&amp;1140),INDEX(m_label,_xlfn.MAXIFS(m_row,m_teacher,AF$4,m_date,($G$2+18),m_active,1,m_start,"&lt;"&amp;1440,m_end,"&gt;"&amp;1140))))))</f>
        <v/>
      </c>
      <c r="AG59" s="86" t="str">
        <f aca="false">IF(OR(AG$4="",MONTH(($G$2+18))&lt;&gt;MONTH($C$2)),"",IF(COUNTIFS(m_teacher,AG$4,m_date,($G$2+18),m_active,1,m_start,"&lt;"&amp;1440,m_end,"&gt;"&amp;1140)=0,"",IF(COUNTIFS(m_teacher,AG$4,m_date,($G$2+18),m_active,1,m_start,"&lt;"&amp;1440,m_end,"&gt;"&amp;1140)&gt;1,"충돌",HYPERLINK("#'관리자_MASTER'!D"&amp;_xlfn.MAXIFS(m_row,m_teacher,AG$4,m_date,($G$2+18),m_active,1,m_start,"&lt;"&amp;1440,m_end,"&gt;"&amp;1140),INDEX(m_label,_xlfn.MAXIFS(m_row,m_teacher,AG$4,m_date,($G$2+18),m_active,1,m_start,"&lt;"&amp;1440,m_end,"&gt;"&amp;1140))))))</f>
        <v/>
      </c>
      <c r="AH59" s="86" t="str">
        <f aca="false">IF(OR(AH$4="",MONTH(($G$2+18))&lt;&gt;MONTH($C$2)),"",IF(COUNTIFS(m_teacher,AH$4,m_date,($G$2+18),m_active,1,m_start,"&lt;"&amp;1440,m_end,"&gt;"&amp;1140)=0,"",IF(COUNTIFS(m_teacher,AH$4,m_date,($G$2+18),m_active,1,m_start,"&lt;"&amp;1440,m_end,"&gt;"&amp;1140)&gt;1,"충돌",HYPERLINK("#'관리자_MASTER'!D"&amp;_xlfn.MAXIFS(m_row,m_teacher,AH$4,m_date,($G$2+18),m_active,1,m_start,"&lt;"&amp;1440,m_end,"&gt;"&amp;1140),INDEX(m_label,_xlfn.MAXIFS(m_row,m_teacher,AH$4,m_date,($G$2+18),m_active,1,m_start,"&lt;"&amp;1440,m_end,"&gt;"&amp;1140))))))</f>
        <v/>
      </c>
      <c r="AI59" s="86" t="str">
        <f aca="false">IF(OR(AI$4="",MONTH(($G$2+18))&lt;&gt;MONTH($C$2)),"",IF(COUNTIFS(m_teacher,AI$4,m_date,($G$2+18),m_active,1,m_start,"&lt;"&amp;1440,m_end,"&gt;"&amp;1140)=0,"",IF(COUNTIFS(m_teacher,AI$4,m_date,($G$2+18),m_active,1,m_start,"&lt;"&amp;1440,m_end,"&gt;"&amp;1140)&gt;1,"충돌",HYPERLINK("#'관리자_MASTER'!D"&amp;_xlfn.MAXIFS(m_row,m_teacher,AI$4,m_date,($G$2+18),m_active,1,m_start,"&lt;"&amp;1440,m_end,"&gt;"&amp;1140),INDEX(m_label,_xlfn.MAXIFS(m_row,m_teacher,AI$4,m_date,($G$2+18),m_active,1,m_start,"&lt;"&amp;1440,m_end,"&gt;"&amp;1140))))))</f>
        <v/>
      </c>
      <c r="AJ59" s="86" t="str">
        <f aca="false">IF(OR(AJ$4="",MONTH(($G$2+18))&lt;&gt;MONTH($C$2)),"",IF(COUNTIFS(m_teacher,AJ$4,m_date,($G$2+18),m_active,1,m_start,"&lt;"&amp;1440,m_end,"&gt;"&amp;1140)=0,"",IF(COUNTIFS(m_teacher,AJ$4,m_date,($G$2+18),m_active,1,m_start,"&lt;"&amp;1440,m_end,"&gt;"&amp;1140)&gt;1,"충돌",HYPERLINK("#'관리자_MASTER'!D"&amp;_xlfn.MAXIFS(m_row,m_teacher,AJ$4,m_date,($G$2+18),m_active,1,m_start,"&lt;"&amp;1440,m_end,"&gt;"&amp;1140),INDEX(m_label,_xlfn.MAXIFS(m_row,m_teacher,AJ$4,m_date,($G$2+18),m_active,1,m_start,"&lt;"&amp;1440,m_end,"&gt;"&amp;1140))))))</f>
        <v/>
      </c>
      <c r="AK59" s="86" t="str">
        <f aca="false">IF(OR(AK$4="",MONTH(($G$2+18))&lt;&gt;MONTH($C$2)),"",IF(COUNTIFS(m_teacher,AK$4,m_date,($G$2+18),m_active,1,m_start,"&lt;"&amp;1440,m_end,"&gt;"&amp;1140)=0,"",IF(COUNTIFS(m_teacher,AK$4,m_date,($G$2+18),m_active,1,m_start,"&lt;"&amp;1440,m_end,"&gt;"&amp;1140)&gt;1,"충돌",HYPERLINK("#'관리자_MASTER'!D"&amp;_xlfn.MAXIFS(m_row,m_teacher,AK$4,m_date,($G$2+18),m_active,1,m_start,"&lt;"&amp;1440,m_end,"&gt;"&amp;1140),INDEX(m_label,_xlfn.MAXIFS(m_row,m_teacher,AK$4,m_date,($G$2+18),m_active,1,m_start,"&lt;"&amp;1440,m_end,"&gt;"&amp;1140))))))</f>
        <v/>
      </c>
      <c r="AL59" s="86" t="str">
        <f aca="false">IF(OR(AL$4="",MONTH(($G$2+18))&lt;&gt;MONTH($C$2)),"",IF(COUNTIFS(m_teacher,AL$4,m_date,($G$2+18),m_active,1,m_start,"&lt;"&amp;1440,m_end,"&gt;"&amp;1140)=0,"",IF(COUNTIFS(m_teacher,AL$4,m_date,($G$2+18),m_active,1,m_start,"&lt;"&amp;1440,m_end,"&gt;"&amp;1140)&gt;1,"충돌",HYPERLINK("#'관리자_MASTER'!D"&amp;_xlfn.MAXIFS(m_row,m_teacher,AL$4,m_date,($G$2+18),m_active,1,m_start,"&lt;"&amp;1440,m_end,"&gt;"&amp;1140),INDEX(m_label,_xlfn.MAXIFS(m_row,m_teacher,AL$4,m_date,($G$2+18),m_active,1,m_start,"&lt;"&amp;1440,m_end,"&gt;"&amp;1140))))))</f>
        <v/>
      </c>
      <c r="AM59" s="86" t="str">
        <f aca="false">IF(OR(AM$4="",MONTH(($G$2+18))&lt;&gt;MONTH($C$2)),"",IF(COUNTIFS(m_teacher,AM$4,m_date,($G$2+18),m_active,1,m_start,"&lt;"&amp;1440,m_end,"&gt;"&amp;1140)=0,"",IF(COUNTIFS(m_teacher,AM$4,m_date,($G$2+18),m_active,1,m_start,"&lt;"&amp;1440,m_end,"&gt;"&amp;1140)&gt;1,"충돌",HYPERLINK("#'관리자_MASTER'!D"&amp;_xlfn.MAXIFS(m_row,m_teacher,AM$4,m_date,($G$2+18),m_active,1,m_start,"&lt;"&amp;1440,m_end,"&gt;"&amp;1140),INDEX(m_label,_xlfn.MAXIFS(m_row,m_teacher,AM$4,m_date,($G$2+18),m_active,1,m_start,"&lt;"&amp;1440,m_end,"&gt;"&amp;1140))))))</f>
        <v/>
      </c>
      <c r="AN59" s="86" t="str">
        <f aca="false">IF(OR(AN$4="",MONTH(($G$2+18))&lt;&gt;MONTH($C$2)),"",IF(COUNTIFS(m_teacher,AN$4,m_date,($G$2+18),m_active,1,m_start,"&lt;"&amp;1440,m_end,"&gt;"&amp;1140)=0,"",IF(COUNTIFS(m_teacher,AN$4,m_date,($G$2+18),m_active,1,m_start,"&lt;"&amp;1440,m_end,"&gt;"&amp;1140)&gt;1,"충돌",HYPERLINK("#'관리자_MASTER'!D"&amp;_xlfn.MAXIFS(m_row,m_teacher,AN$4,m_date,($G$2+18),m_active,1,m_start,"&lt;"&amp;1440,m_end,"&gt;"&amp;1140),INDEX(m_label,_xlfn.MAXIFS(m_row,m_teacher,AN$4,m_date,($G$2+18),m_active,1,m_start,"&lt;"&amp;1440,m_end,"&gt;"&amp;1140))))))</f>
        <v/>
      </c>
      <c r="AO59" s="86" t="str">
        <f aca="false">IF(OR(AO$4="",MONTH(($G$2+18))&lt;&gt;MONTH($C$2)),"",IF(COUNTIFS(m_teacher,AO$4,m_date,($G$2+18),m_active,1,m_start,"&lt;"&amp;1440,m_end,"&gt;"&amp;1140)=0,"",IF(COUNTIFS(m_teacher,AO$4,m_date,($G$2+18),m_active,1,m_start,"&lt;"&amp;1440,m_end,"&gt;"&amp;1140)&gt;1,"충돌",HYPERLINK("#'관리자_MASTER'!D"&amp;_xlfn.MAXIFS(m_row,m_teacher,AO$4,m_date,($G$2+18),m_active,1,m_start,"&lt;"&amp;1440,m_end,"&gt;"&amp;1140),INDEX(m_label,_xlfn.MAXIFS(m_row,m_teacher,AO$4,m_date,($G$2+18),m_active,1,m_start,"&lt;"&amp;1440,m_end,"&gt;"&amp;1140))))))</f>
        <v/>
      </c>
      <c r="AP59" s="86" t="str">
        <f aca="false">IF(OR(AP$4="",MONTH(($G$2+18))&lt;&gt;MONTH($C$2)),"",IF(COUNTIFS(m_teacher,AP$4,m_date,($G$2+18),m_active,1,m_start,"&lt;"&amp;1440,m_end,"&gt;"&amp;1140)=0,"",IF(COUNTIFS(m_teacher,AP$4,m_date,($G$2+18),m_active,1,m_start,"&lt;"&amp;1440,m_end,"&gt;"&amp;1140)&gt;1,"충돌",HYPERLINK("#'관리자_MASTER'!D"&amp;_xlfn.MAXIFS(m_row,m_teacher,AP$4,m_date,($G$2+18),m_active,1,m_start,"&lt;"&amp;1440,m_end,"&gt;"&amp;1140),INDEX(m_label,_xlfn.MAXIFS(m_row,m_teacher,AP$4,m_date,($G$2+18),m_active,1,m_start,"&lt;"&amp;1440,m_end,"&gt;"&amp;1140))))))</f>
        <v/>
      </c>
      <c r="AQ59" s="78"/>
      <c r="AR59" s="85" t="s">
        <v>101</v>
      </c>
      <c r="AS59" s="86" t="str">
        <f aca="false">IF(OR(AS$4="",MONTH(($G$2+25))&lt;&gt;MONTH($C$2)),"",IF(COUNTIFS(m_teacher,AS$4,m_date,($G$2+25),m_active,1,m_start,"&lt;"&amp;1440,m_end,"&gt;"&amp;1140)=0,"",IF(COUNTIFS(m_teacher,AS$4,m_date,($G$2+25),m_active,1,m_start,"&lt;"&amp;1440,m_end,"&gt;"&amp;1140)&gt;1,"충돌",HYPERLINK("#'관리자_MASTER'!D"&amp;_xlfn.MAXIFS(m_row,m_teacher,AS$4,m_date,($G$2+25),m_active,1,m_start,"&lt;"&amp;1440,m_end,"&gt;"&amp;1140),INDEX(m_label,_xlfn.MAXIFS(m_row,m_teacher,AS$4,m_date,($G$2+25),m_active,1,m_start,"&lt;"&amp;1440,m_end,"&gt;"&amp;1140))))))</f>
        <v/>
      </c>
      <c r="AT59" s="86" t="str">
        <f aca="false">IF(OR(AT$4="",MONTH(($G$2+25))&lt;&gt;MONTH($C$2)),"",IF(COUNTIFS(m_teacher,AT$4,m_date,($G$2+25),m_active,1,m_start,"&lt;"&amp;1440,m_end,"&gt;"&amp;1140)=0,"",IF(COUNTIFS(m_teacher,AT$4,m_date,($G$2+25),m_active,1,m_start,"&lt;"&amp;1440,m_end,"&gt;"&amp;1140)&gt;1,"충돌",HYPERLINK("#'관리자_MASTER'!D"&amp;_xlfn.MAXIFS(m_row,m_teacher,AT$4,m_date,($G$2+25),m_active,1,m_start,"&lt;"&amp;1440,m_end,"&gt;"&amp;1140),INDEX(m_label,_xlfn.MAXIFS(m_row,m_teacher,AT$4,m_date,($G$2+25),m_active,1,m_start,"&lt;"&amp;1440,m_end,"&gt;"&amp;1140))))))</f>
        <v/>
      </c>
      <c r="AU59" s="86" t="str">
        <f aca="false">IF(OR(AU$4="",MONTH(($G$2+25))&lt;&gt;MONTH($C$2)),"",IF(COUNTIFS(m_teacher,AU$4,m_date,($G$2+25),m_active,1,m_start,"&lt;"&amp;1440,m_end,"&gt;"&amp;1140)=0,"",IF(COUNTIFS(m_teacher,AU$4,m_date,($G$2+25),m_active,1,m_start,"&lt;"&amp;1440,m_end,"&gt;"&amp;1140)&gt;1,"충돌",HYPERLINK("#'관리자_MASTER'!D"&amp;_xlfn.MAXIFS(m_row,m_teacher,AU$4,m_date,($G$2+25),m_active,1,m_start,"&lt;"&amp;1440,m_end,"&gt;"&amp;1140),INDEX(m_label,_xlfn.MAXIFS(m_row,m_teacher,AU$4,m_date,($G$2+25),m_active,1,m_start,"&lt;"&amp;1440,m_end,"&gt;"&amp;1140))))))</f>
        <v/>
      </c>
      <c r="AV59" s="86" t="str">
        <f aca="false">IF(OR(AV$4="",MONTH(($G$2+25))&lt;&gt;MONTH($C$2)),"",IF(COUNTIFS(m_teacher,AV$4,m_date,($G$2+25),m_active,1,m_start,"&lt;"&amp;1440,m_end,"&gt;"&amp;1140)=0,"",IF(COUNTIFS(m_teacher,AV$4,m_date,($G$2+25),m_active,1,m_start,"&lt;"&amp;1440,m_end,"&gt;"&amp;1140)&gt;1,"충돌",HYPERLINK("#'관리자_MASTER'!D"&amp;_xlfn.MAXIFS(m_row,m_teacher,AV$4,m_date,($G$2+25),m_active,1,m_start,"&lt;"&amp;1440,m_end,"&gt;"&amp;1140),INDEX(m_label,_xlfn.MAXIFS(m_row,m_teacher,AV$4,m_date,($G$2+25),m_active,1,m_start,"&lt;"&amp;1440,m_end,"&gt;"&amp;1140))))))</f>
        <v/>
      </c>
      <c r="AW59" s="86" t="str">
        <f aca="false">IF(OR(AW$4="",MONTH(($G$2+25))&lt;&gt;MONTH($C$2)),"",IF(COUNTIFS(m_teacher,AW$4,m_date,($G$2+25),m_active,1,m_start,"&lt;"&amp;1440,m_end,"&gt;"&amp;1140)=0,"",IF(COUNTIFS(m_teacher,AW$4,m_date,($G$2+25),m_active,1,m_start,"&lt;"&amp;1440,m_end,"&gt;"&amp;1140)&gt;1,"충돌",HYPERLINK("#'관리자_MASTER'!D"&amp;_xlfn.MAXIFS(m_row,m_teacher,AW$4,m_date,($G$2+25),m_active,1,m_start,"&lt;"&amp;1440,m_end,"&gt;"&amp;1140),INDEX(m_label,_xlfn.MAXIFS(m_row,m_teacher,AW$4,m_date,($G$2+25),m_active,1,m_start,"&lt;"&amp;1440,m_end,"&gt;"&amp;1140))))))</f>
        <v/>
      </c>
      <c r="AX59" s="86" t="str">
        <f aca="false">IF(OR(AX$4="",MONTH(($G$2+25))&lt;&gt;MONTH($C$2)),"",IF(COUNTIFS(m_teacher,AX$4,m_date,($G$2+25),m_active,1,m_start,"&lt;"&amp;1440,m_end,"&gt;"&amp;1140)=0,"",IF(COUNTIFS(m_teacher,AX$4,m_date,($G$2+25),m_active,1,m_start,"&lt;"&amp;1440,m_end,"&gt;"&amp;1140)&gt;1,"충돌",HYPERLINK("#'관리자_MASTER'!D"&amp;_xlfn.MAXIFS(m_row,m_teacher,AX$4,m_date,($G$2+25),m_active,1,m_start,"&lt;"&amp;1440,m_end,"&gt;"&amp;1140),INDEX(m_label,_xlfn.MAXIFS(m_row,m_teacher,AX$4,m_date,($G$2+25),m_active,1,m_start,"&lt;"&amp;1440,m_end,"&gt;"&amp;1140))))))</f>
        <v/>
      </c>
      <c r="AY59" s="86" t="str">
        <f aca="false">IF(OR(AY$4="",MONTH(($G$2+25))&lt;&gt;MONTH($C$2)),"",IF(COUNTIFS(m_teacher,AY$4,m_date,($G$2+25),m_active,1,m_start,"&lt;"&amp;1440,m_end,"&gt;"&amp;1140)=0,"",IF(COUNTIFS(m_teacher,AY$4,m_date,($G$2+25),m_active,1,m_start,"&lt;"&amp;1440,m_end,"&gt;"&amp;1140)&gt;1,"충돌",HYPERLINK("#'관리자_MASTER'!D"&amp;_xlfn.MAXIFS(m_row,m_teacher,AY$4,m_date,($G$2+25),m_active,1,m_start,"&lt;"&amp;1440,m_end,"&gt;"&amp;1140),INDEX(m_label,_xlfn.MAXIFS(m_row,m_teacher,AY$4,m_date,($G$2+25),m_active,1,m_start,"&lt;"&amp;1440,m_end,"&gt;"&amp;1140))))))</f>
        <v/>
      </c>
      <c r="AZ59" s="86" t="str">
        <f aca="false">IF(OR(AZ$4="",MONTH(($G$2+25))&lt;&gt;MONTH($C$2)),"",IF(COUNTIFS(m_teacher,AZ$4,m_date,($G$2+25),m_active,1,m_start,"&lt;"&amp;1440,m_end,"&gt;"&amp;1140)=0,"",IF(COUNTIFS(m_teacher,AZ$4,m_date,($G$2+25),m_active,1,m_start,"&lt;"&amp;1440,m_end,"&gt;"&amp;1140)&gt;1,"충돌",HYPERLINK("#'관리자_MASTER'!D"&amp;_xlfn.MAXIFS(m_row,m_teacher,AZ$4,m_date,($G$2+25),m_active,1,m_start,"&lt;"&amp;1440,m_end,"&gt;"&amp;1140),INDEX(m_label,_xlfn.MAXIFS(m_row,m_teacher,AZ$4,m_date,($G$2+25),m_active,1,m_start,"&lt;"&amp;1440,m_end,"&gt;"&amp;1140))))))</f>
        <v/>
      </c>
      <c r="BA59" s="86" t="str">
        <f aca="false">IF(OR(BA$4="",MONTH(($G$2+25))&lt;&gt;MONTH($C$2)),"",IF(COUNTIFS(m_teacher,BA$4,m_date,($G$2+25),m_active,1,m_start,"&lt;"&amp;1440,m_end,"&gt;"&amp;1140)=0,"",IF(COUNTIFS(m_teacher,BA$4,m_date,($G$2+25),m_active,1,m_start,"&lt;"&amp;1440,m_end,"&gt;"&amp;1140)&gt;1,"충돌",HYPERLINK("#'관리자_MASTER'!D"&amp;_xlfn.MAXIFS(m_row,m_teacher,BA$4,m_date,($G$2+25),m_active,1,m_start,"&lt;"&amp;1440,m_end,"&gt;"&amp;1140),INDEX(m_label,_xlfn.MAXIFS(m_row,m_teacher,BA$4,m_date,($G$2+25),m_active,1,m_start,"&lt;"&amp;1440,m_end,"&gt;"&amp;1140))))))</f>
        <v/>
      </c>
      <c r="BB59" s="86" t="str">
        <f aca="false">IF(OR(BB$4="",MONTH(($G$2+25))&lt;&gt;MONTH($C$2)),"",IF(COUNTIFS(m_teacher,BB$4,m_date,($G$2+25),m_active,1,m_start,"&lt;"&amp;1440,m_end,"&gt;"&amp;1140)=0,"",IF(COUNTIFS(m_teacher,BB$4,m_date,($G$2+25),m_active,1,m_start,"&lt;"&amp;1440,m_end,"&gt;"&amp;1140)&gt;1,"충돌",HYPERLINK("#'관리자_MASTER'!D"&amp;_xlfn.MAXIFS(m_row,m_teacher,BB$4,m_date,($G$2+25),m_active,1,m_start,"&lt;"&amp;1440,m_end,"&gt;"&amp;1140),INDEX(m_label,_xlfn.MAXIFS(m_row,m_teacher,BB$4,m_date,($G$2+25),m_active,1,m_start,"&lt;"&amp;1440,m_end,"&gt;"&amp;1140))))))</f>
        <v/>
      </c>
      <c r="BC59" s="86" t="str">
        <f aca="false">IF(OR(BC$4="",MONTH(($G$2+25))&lt;&gt;MONTH($C$2)),"",IF(COUNTIFS(m_teacher,BC$4,m_date,($G$2+25),m_active,1,m_start,"&lt;"&amp;1440,m_end,"&gt;"&amp;1140)=0,"",IF(COUNTIFS(m_teacher,BC$4,m_date,($G$2+25),m_active,1,m_start,"&lt;"&amp;1440,m_end,"&gt;"&amp;1140)&gt;1,"충돌",HYPERLINK("#'관리자_MASTER'!D"&amp;_xlfn.MAXIFS(m_row,m_teacher,BC$4,m_date,($G$2+25),m_active,1,m_start,"&lt;"&amp;1440,m_end,"&gt;"&amp;1140),INDEX(m_label,_xlfn.MAXIFS(m_row,m_teacher,BC$4,m_date,($G$2+25),m_active,1,m_start,"&lt;"&amp;1440,m_end,"&gt;"&amp;1140))))))</f>
        <v/>
      </c>
      <c r="BD59" s="86" t="str">
        <f aca="false">IF(OR(BD$4="",MONTH(($G$2+25))&lt;&gt;MONTH($C$2)),"",IF(COUNTIFS(m_teacher,BD$4,m_date,($G$2+25),m_active,1,m_start,"&lt;"&amp;1440,m_end,"&gt;"&amp;1140)=0,"",IF(COUNTIFS(m_teacher,BD$4,m_date,($G$2+25),m_active,1,m_start,"&lt;"&amp;1440,m_end,"&gt;"&amp;1140)&gt;1,"충돌",HYPERLINK("#'관리자_MASTER'!D"&amp;_xlfn.MAXIFS(m_row,m_teacher,BD$4,m_date,($G$2+25),m_active,1,m_start,"&lt;"&amp;1440,m_end,"&gt;"&amp;1140),INDEX(m_label,_xlfn.MAXIFS(m_row,m_teacher,BD$4,m_date,($G$2+25),m_active,1,m_start,"&lt;"&amp;1440,m_end,"&gt;"&amp;1140))))))</f>
        <v/>
      </c>
    </row>
    <row r="60" customFormat="false" ht="19.5" hidden="false" customHeight="true" outlineLevel="0" collapsed="false">
      <c r="A60" s="90" t="str">
        <f aca="false">IF(MONTH(($G$2+5))&lt;&gt;MONTH($C$2),"",CHOOSE(WEEKDAY(($G$2+5),2),"월","화","수","목","금","토","일")&amp;CHAR(10)&amp;TEXT(($G$2+5),"m/d"))</f>
        <v>토
2/6</v>
      </c>
      <c r="B60" s="79" t="s">
        <v>91</v>
      </c>
      <c r="C60" s="87" t="str">
        <f aca="false">IF(OR(C$4="",MONTH(($G$2+5))&lt;&gt;MONTH($C$2)),"",IF(COUNTIFS(m_teacher,C$4,m_date,($G$2+5),m_active,1,m_start,"&lt;"&amp;600,m_end,"&gt;"&amp;0)=0,"",IF(COUNTIFS(m_teacher,C$4,m_date,($G$2+5),m_active,1,m_start,"&lt;"&amp;600,m_end,"&gt;"&amp;0)&gt;1,"충돌",HYPERLINK("#'관리자_MASTER'!D"&amp;_xlfn.MAXIFS(m_row,m_teacher,C$4,m_date,($G$2+5),m_active,1,m_start,"&lt;"&amp;600,m_end,"&gt;"&amp;0),INDEX(m_label,_xlfn.MAXIFS(m_row,m_teacher,C$4,m_date,($G$2+5),m_active,1,m_start,"&lt;"&amp;600,m_end,"&gt;"&amp;0))))))</f>
        <v/>
      </c>
      <c r="D60" s="87" t="str">
        <f aca="false">IF(OR(D$4="",MONTH(($G$2+5))&lt;&gt;MONTH($C$2)),"",IF(COUNTIFS(m_teacher,D$4,m_date,($G$2+5),m_active,1,m_start,"&lt;"&amp;600,m_end,"&gt;"&amp;0)=0,"",IF(COUNTIFS(m_teacher,D$4,m_date,($G$2+5),m_active,1,m_start,"&lt;"&amp;600,m_end,"&gt;"&amp;0)&gt;1,"충돌",HYPERLINK("#'관리자_MASTER'!D"&amp;_xlfn.MAXIFS(m_row,m_teacher,D$4,m_date,($G$2+5),m_active,1,m_start,"&lt;"&amp;600,m_end,"&gt;"&amp;0),INDEX(m_label,_xlfn.MAXIFS(m_row,m_teacher,D$4,m_date,($G$2+5),m_active,1,m_start,"&lt;"&amp;600,m_end,"&gt;"&amp;0))))))</f>
        <v/>
      </c>
      <c r="E60" s="87" t="str">
        <f aca="false">IF(OR(E$4="",MONTH(($G$2+5))&lt;&gt;MONTH($C$2)),"",IF(COUNTIFS(m_teacher,E$4,m_date,($G$2+5),m_active,1,m_start,"&lt;"&amp;600,m_end,"&gt;"&amp;0)=0,"",IF(COUNTIFS(m_teacher,E$4,m_date,($G$2+5),m_active,1,m_start,"&lt;"&amp;600,m_end,"&gt;"&amp;0)&gt;1,"충돌",HYPERLINK("#'관리자_MASTER'!D"&amp;_xlfn.MAXIFS(m_row,m_teacher,E$4,m_date,($G$2+5),m_active,1,m_start,"&lt;"&amp;600,m_end,"&gt;"&amp;0),INDEX(m_label,_xlfn.MAXIFS(m_row,m_teacher,E$4,m_date,($G$2+5),m_active,1,m_start,"&lt;"&amp;600,m_end,"&gt;"&amp;0))))))</f>
        <v/>
      </c>
      <c r="F60" s="87" t="str">
        <f aca="false">IF(OR(F$4="",MONTH(($G$2+5))&lt;&gt;MONTH($C$2)),"",IF(COUNTIFS(m_teacher,F$4,m_date,($G$2+5),m_active,1,m_start,"&lt;"&amp;600,m_end,"&gt;"&amp;0)=0,"",IF(COUNTIFS(m_teacher,F$4,m_date,($G$2+5),m_active,1,m_start,"&lt;"&amp;600,m_end,"&gt;"&amp;0)&gt;1,"충돌",HYPERLINK("#'관리자_MASTER'!D"&amp;_xlfn.MAXIFS(m_row,m_teacher,F$4,m_date,($G$2+5),m_active,1,m_start,"&lt;"&amp;600,m_end,"&gt;"&amp;0),INDEX(m_label,_xlfn.MAXIFS(m_row,m_teacher,F$4,m_date,($G$2+5),m_active,1,m_start,"&lt;"&amp;600,m_end,"&gt;"&amp;0))))))</f>
        <v/>
      </c>
      <c r="G60" s="87" t="str">
        <f aca="false">IF(OR(G$4="",MONTH(($G$2+5))&lt;&gt;MONTH($C$2)),"",IF(COUNTIFS(m_teacher,G$4,m_date,($G$2+5),m_active,1,m_start,"&lt;"&amp;600,m_end,"&gt;"&amp;0)=0,"",IF(COUNTIFS(m_teacher,G$4,m_date,($G$2+5),m_active,1,m_start,"&lt;"&amp;600,m_end,"&gt;"&amp;0)&gt;1,"충돌",HYPERLINK("#'관리자_MASTER'!D"&amp;_xlfn.MAXIFS(m_row,m_teacher,G$4,m_date,($G$2+5),m_active,1,m_start,"&lt;"&amp;600,m_end,"&gt;"&amp;0),INDEX(m_label,_xlfn.MAXIFS(m_row,m_teacher,G$4,m_date,($G$2+5),m_active,1,m_start,"&lt;"&amp;600,m_end,"&gt;"&amp;0))))))</f>
        <v/>
      </c>
      <c r="H60" s="87" t="str">
        <f aca="false">IF(OR(H$4="",MONTH(($G$2+5))&lt;&gt;MONTH($C$2)),"",IF(COUNTIFS(m_teacher,H$4,m_date,($G$2+5),m_active,1,m_start,"&lt;"&amp;600,m_end,"&gt;"&amp;0)=0,"",IF(COUNTIFS(m_teacher,H$4,m_date,($G$2+5),m_active,1,m_start,"&lt;"&amp;600,m_end,"&gt;"&amp;0)&gt;1,"충돌",HYPERLINK("#'관리자_MASTER'!D"&amp;_xlfn.MAXIFS(m_row,m_teacher,H$4,m_date,($G$2+5),m_active,1,m_start,"&lt;"&amp;600,m_end,"&gt;"&amp;0),INDEX(m_label,_xlfn.MAXIFS(m_row,m_teacher,H$4,m_date,($G$2+5),m_active,1,m_start,"&lt;"&amp;600,m_end,"&gt;"&amp;0))))))</f>
        <v/>
      </c>
      <c r="I60" s="87" t="str">
        <f aca="false">IF(OR(I$4="",MONTH(($G$2+5))&lt;&gt;MONTH($C$2)),"",IF(COUNTIFS(m_teacher,I$4,m_date,($G$2+5),m_active,1,m_start,"&lt;"&amp;600,m_end,"&gt;"&amp;0)=0,"",IF(COUNTIFS(m_teacher,I$4,m_date,($G$2+5),m_active,1,m_start,"&lt;"&amp;600,m_end,"&gt;"&amp;0)&gt;1,"충돌",HYPERLINK("#'관리자_MASTER'!D"&amp;_xlfn.MAXIFS(m_row,m_teacher,I$4,m_date,($G$2+5),m_active,1,m_start,"&lt;"&amp;600,m_end,"&gt;"&amp;0),INDEX(m_label,_xlfn.MAXIFS(m_row,m_teacher,I$4,m_date,($G$2+5),m_active,1,m_start,"&lt;"&amp;600,m_end,"&gt;"&amp;0))))))</f>
        <v/>
      </c>
      <c r="J60" s="87" t="str">
        <f aca="false">IF(OR(J$4="",MONTH(($G$2+5))&lt;&gt;MONTH($C$2)),"",IF(COUNTIFS(m_teacher,J$4,m_date,($G$2+5),m_active,1,m_start,"&lt;"&amp;600,m_end,"&gt;"&amp;0)=0,"",IF(COUNTIFS(m_teacher,J$4,m_date,($G$2+5),m_active,1,m_start,"&lt;"&amp;600,m_end,"&gt;"&amp;0)&gt;1,"충돌",HYPERLINK("#'관리자_MASTER'!D"&amp;_xlfn.MAXIFS(m_row,m_teacher,J$4,m_date,($G$2+5),m_active,1,m_start,"&lt;"&amp;600,m_end,"&gt;"&amp;0),INDEX(m_label,_xlfn.MAXIFS(m_row,m_teacher,J$4,m_date,($G$2+5),m_active,1,m_start,"&lt;"&amp;600,m_end,"&gt;"&amp;0))))))</f>
        <v/>
      </c>
      <c r="K60" s="87" t="str">
        <f aca="false">IF(OR(K$4="",MONTH(($G$2+5))&lt;&gt;MONTH($C$2)),"",IF(COUNTIFS(m_teacher,K$4,m_date,($G$2+5),m_active,1,m_start,"&lt;"&amp;600,m_end,"&gt;"&amp;0)=0,"",IF(COUNTIFS(m_teacher,K$4,m_date,($G$2+5),m_active,1,m_start,"&lt;"&amp;600,m_end,"&gt;"&amp;0)&gt;1,"충돌",HYPERLINK("#'관리자_MASTER'!D"&amp;_xlfn.MAXIFS(m_row,m_teacher,K$4,m_date,($G$2+5),m_active,1,m_start,"&lt;"&amp;600,m_end,"&gt;"&amp;0),INDEX(m_label,_xlfn.MAXIFS(m_row,m_teacher,K$4,m_date,($G$2+5),m_active,1,m_start,"&lt;"&amp;600,m_end,"&gt;"&amp;0))))))</f>
        <v/>
      </c>
      <c r="L60" s="87" t="str">
        <f aca="false">IF(OR(L$4="",MONTH(($G$2+5))&lt;&gt;MONTH($C$2)),"",IF(COUNTIFS(m_teacher,L$4,m_date,($G$2+5),m_active,1,m_start,"&lt;"&amp;600,m_end,"&gt;"&amp;0)=0,"",IF(COUNTIFS(m_teacher,L$4,m_date,($G$2+5),m_active,1,m_start,"&lt;"&amp;600,m_end,"&gt;"&amp;0)&gt;1,"충돌",HYPERLINK("#'관리자_MASTER'!D"&amp;_xlfn.MAXIFS(m_row,m_teacher,L$4,m_date,($G$2+5),m_active,1,m_start,"&lt;"&amp;600,m_end,"&gt;"&amp;0),INDEX(m_label,_xlfn.MAXIFS(m_row,m_teacher,L$4,m_date,($G$2+5),m_active,1,m_start,"&lt;"&amp;600,m_end,"&gt;"&amp;0))))))</f>
        <v/>
      </c>
      <c r="M60" s="87" t="str">
        <f aca="false">IF(OR(M$4="",MONTH(($G$2+5))&lt;&gt;MONTH($C$2)),"",IF(COUNTIFS(m_teacher,M$4,m_date,($G$2+5),m_active,1,m_start,"&lt;"&amp;600,m_end,"&gt;"&amp;0)=0,"",IF(COUNTIFS(m_teacher,M$4,m_date,($G$2+5),m_active,1,m_start,"&lt;"&amp;600,m_end,"&gt;"&amp;0)&gt;1,"충돌",HYPERLINK("#'관리자_MASTER'!D"&amp;_xlfn.MAXIFS(m_row,m_teacher,M$4,m_date,($G$2+5),m_active,1,m_start,"&lt;"&amp;600,m_end,"&gt;"&amp;0),INDEX(m_label,_xlfn.MAXIFS(m_row,m_teacher,M$4,m_date,($G$2+5),m_active,1,m_start,"&lt;"&amp;600,m_end,"&gt;"&amp;0))))))</f>
        <v/>
      </c>
      <c r="N60" s="87" t="str">
        <f aca="false">IF(OR(N$4="",MONTH(($G$2+5))&lt;&gt;MONTH($C$2)),"",IF(COUNTIFS(m_teacher,N$4,m_date,($G$2+5),m_active,1,m_start,"&lt;"&amp;600,m_end,"&gt;"&amp;0)=0,"",IF(COUNTIFS(m_teacher,N$4,m_date,($G$2+5),m_active,1,m_start,"&lt;"&amp;600,m_end,"&gt;"&amp;0)&gt;1,"충돌",HYPERLINK("#'관리자_MASTER'!D"&amp;_xlfn.MAXIFS(m_row,m_teacher,N$4,m_date,($G$2+5),m_active,1,m_start,"&lt;"&amp;600,m_end,"&gt;"&amp;0),INDEX(m_label,_xlfn.MAXIFS(m_row,m_teacher,N$4,m_date,($G$2+5),m_active,1,m_start,"&lt;"&amp;600,m_end,"&gt;"&amp;0))))))</f>
        <v/>
      </c>
      <c r="O60" s="90" t="str">
        <f aca="false">IF(MONTH(($G$2+12))&lt;&gt;MONTH($C$2),"",CHOOSE(WEEKDAY(($G$2+12),2),"월","화","수","목","금","토","일")&amp;CHAR(10)&amp;TEXT(($G$2+12),"m/d"))</f>
        <v>토
2/13</v>
      </c>
      <c r="P60" s="79" t="s">
        <v>91</v>
      </c>
      <c r="Q60" s="87" t="str">
        <f aca="false">IF(OR(Q$4="",MONTH(($G$2+12))&lt;&gt;MONTH($C$2)),"",IF(COUNTIFS(m_teacher,Q$4,m_date,($G$2+12),m_active,1,m_start,"&lt;"&amp;600,m_end,"&gt;"&amp;0)=0,"",IF(COUNTIFS(m_teacher,Q$4,m_date,($G$2+12),m_active,1,m_start,"&lt;"&amp;600,m_end,"&gt;"&amp;0)&gt;1,"충돌",HYPERLINK("#'관리자_MASTER'!D"&amp;_xlfn.MAXIFS(m_row,m_teacher,Q$4,m_date,($G$2+12),m_active,1,m_start,"&lt;"&amp;600,m_end,"&gt;"&amp;0),INDEX(m_label,_xlfn.MAXIFS(m_row,m_teacher,Q$4,m_date,($G$2+12),m_active,1,m_start,"&lt;"&amp;600,m_end,"&gt;"&amp;0))))))</f>
        <v/>
      </c>
      <c r="R60" s="87" t="str">
        <f aca="false">IF(OR(R$4="",MONTH(($G$2+12))&lt;&gt;MONTH($C$2)),"",IF(COUNTIFS(m_teacher,R$4,m_date,($G$2+12),m_active,1,m_start,"&lt;"&amp;600,m_end,"&gt;"&amp;0)=0,"",IF(COUNTIFS(m_teacher,R$4,m_date,($G$2+12),m_active,1,m_start,"&lt;"&amp;600,m_end,"&gt;"&amp;0)&gt;1,"충돌",HYPERLINK("#'관리자_MASTER'!D"&amp;_xlfn.MAXIFS(m_row,m_teacher,R$4,m_date,($G$2+12),m_active,1,m_start,"&lt;"&amp;600,m_end,"&gt;"&amp;0),INDEX(m_label,_xlfn.MAXIFS(m_row,m_teacher,R$4,m_date,($G$2+12),m_active,1,m_start,"&lt;"&amp;600,m_end,"&gt;"&amp;0))))))</f>
        <v/>
      </c>
      <c r="S60" s="87" t="str">
        <f aca="false">IF(OR(S$4="",MONTH(($G$2+12))&lt;&gt;MONTH($C$2)),"",IF(COUNTIFS(m_teacher,S$4,m_date,($G$2+12),m_active,1,m_start,"&lt;"&amp;600,m_end,"&gt;"&amp;0)=0,"",IF(COUNTIFS(m_teacher,S$4,m_date,($G$2+12),m_active,1,m_start,"&lt;"&amp;600,m_end,"&gt;"&amp;0)&gt;1,"충돌",HYPERLINK("#'관리자_MASTER'!D"&amp;_xlfn.MAXIFS(m_row,m_teacher,S$4,m_date,($G$2+12),m_active,1,m_start,"&lt;"&amp;600,m_end,"&gt;"&amp;0),INDEX(m_label,_xlfn.MAXIFS(m_row,m_teacher,S$4,m_date,($G$2+12),m_active,1,m_start,"&lt;"&amp;600,m_end,"&gt;"&amp;0))))))</f>
        <v/>
      </c>
      <c r="T60" s="87" t="str">
        <f aca="false">IF(OR(T$4="",MONTH(($G$2+12))&lt;&gt;MONTH($C$2)),"",IF(COUNTIFS(m_teacher,T$4,m_date,($G$2+12),m_active,1,m_start,"&lt;"&amp;600,m_end,"&gt;"&amp;0)=0,"",IF(COUNTIFS(m_teacher,T$4,m_date,($G$2+12),m_active,1,m_start,"&lt;"&amp;600,m_end,"&gt;"&amp;0)&gt;1,"충돌",HYPERLINK("#'관리자_MASTER'!D"&amp;_xlfn.MAXIFS(m_row,m_teacher,T$4,m_date,($G$2+12),m_active,1,m_start,"&lt;"&amp;600,m_end,"&gt;"&amp;0),INDEX(m_label,_xlfn.MAXIFS(m_row,m_teacher,T$4,m_date,($G$2+12),m_active,1,m_start,"&lt;"&amp;600,m_end,"&gt;"&amp;0))))))</f>
        <v/>
      </c>
      <c r="U60" s="87" t="str">
        <f aca="false">IF(OR(U$4="",MONTH(($G$2+12))&lt;&gt;MONTH($C$2)),"",IF(COUNTIFS(m_teacher,U$4,m_date,($G$2+12),m_active,1,m_start,"&lt;"&amp;600,m_end,"&gt;"&amp;0)=0,"",IF(COUNTIFS(m_teacher,U$4,m_date,($G$2+12),m_active,1,m_start,"&lt;"&amp;600,m_end,"&gt;"&amp;0)&gt;1,"충돌",HYPERLINK("#'관리자_MASTER'!D"&amp;_xlfn.MAXIFS(m_row,m_teacher,U$4,m_date,($G$2+12),m_active,1,m_start,"&lt;"&amp;600,m_end,"&gt;"&amp;0),INDEX(m_label,_xlfn.MAXIFS(m_row,m_teacher,U$4,m_date,($G$2+12),m_active,1,m_start,"&lt;"&amp;600,m_end,"&gt;"&amp;0))))))</f>
        <v/>
      </c>
      <c r="V60" s="87" t="str">
        <f aca="false">IF(OR(V$4="",MONTH(($G$2+12))&lt;&gt;MONTH($C$2)),"",IF(COUNTIFS(m_teacher,V$4,m_date,($G$2+12),m_active,1,m_start,"&lt;"&amp;600,m_end,"&gt;"&amp;0)=0,"",IF(COUNTIFS(m_teacher,V$4,m_date,($G$2+12),m_active,1,m_start,"&lt;"&amp;600,m_end,"&gt;"&amp;0)&gt;1,"충돌",HYPERLINK("#'관리자_MASTER'!D"&amp;_xlfn.MAXIFS(m_row,m_teacher,V$4,m_date,($G$2+12),m_active,1,m_start,"&lt;"&amp;600,m_end,"&gt;"&amp;0),INDEX(m_label,_xlfn.MAXIFS(m_row,m_teacher,V$4,m_date,($G$2+12),m_active,1,m_start,"&lt;"&amp;600,m_end,"&gt;"&amp;0))))))</f>
        <v/>
      </c>
      <c r="W60" s="87" t="str">
        <f aca="false">IF(OR(W$4="",MONTH(($G$2+12))&lt;&gt;MONTH($C$2)),"",IF(COUNTIFS(m_teacher,W$4,m_date,($G$2+12),m_active,1,m_start,"&lt;"&amp;600,m_end,"&gt;"&amp;0)=0,"",IF(COUNTIFS(m_teacher,W$4,m_date,($G$2+12),m_active,1,m_start,"&lt;"&amp;600,m_end,"&gt;"&amp;0)&gt;1,"충돌",HYPERLINK("#'관리자_MASTER'!D"&amp;_xlfn.MAXIFS(m_row,m_teacher,W$4,m_date,($G$2+12),m_active,1,m_start,"&lt;"&amp;600,m_end,"&gt;"&amp;0),INDEX(m_label,_xlfn.MAXIFS(m_row,m_teacher,W$4,m_date,($G$2+12),m_active,1,m_start,"&lt;"&amp;600,m_end,"&gt;"&amp;0))))))</f>
        <v/>
      </c>
      <c r="X60" s="87" t="str">
        <f aca="false">IF(OR(X$4="",MONTH(($G$2+12))&lt;&gt;MONTH($C$2)),"",IF(COUNTIFS(m_teacher,X$4,m_date,($G$2+12),m_active,1,m_start,"&lt;"&amp;600,m_end,"&gt;"&amp;0)=0,"",IF(COUNTIFS(m_teacher,X$4,m_date,($G$2+12),m_active,1,m_start,"&lt;"&amp;600,m_end,"&gt;"&amp;0)&gt;1,"충돌",HYPERLINK("#'관리자_MASTER'!D"&amp;_xlfn.MAXIFS(m_row,m_teacher,X$4,m_date,($G$2+12),m_active,1,m_start,"&lt;"&amp;600,m_end,"&gt;"&amp;0),INDEX(m_label,_xlfn.MAXIFS(m_row,m_teacher,X$4,m_date,($G$2+12),m_active,1,m_start,"&lt;"&amp;600,m_end,"&gt;"&amp;0))))))</f>
        <v/>
      </c>
      <c r="Y60" s="87" t="str">
        <f aca="false">IF(OR(Y$4="",MONTH(($G$2+12))&lt;&gt;MONTH($C$2)),"",IF(COUNTIFS(m_teacher,Y$4,m_date,($G$2+12),m_active,1,m_start,"&lt;"&amp;600,m_end,"&gt;"&amp;0)=0,"",IF(COUNTIFS(m_teacher,Y$4,m_date,($G$2+12),m_active,1,m_start,"&lt;"&amp;600,m_end,"&gt;"&amp;0)&gt;1,"충돌",HYPERLINK("#'관리자_MASTER'!D"&amp;_xlfn.MAXIFS(m_row,m_teacher,Y$4,m_date,($G$2+12),m_active,1,m_start,"&lt;"&amp;600,m_end,"&gt;"&amp;0),INDEX(m_label,_xlfn.MAXIFS(m_row,m_teacher,Y$4,m_date,($G$2+12),m_active,1,m_start,"&lt;"&amp;600,m_end,"&gt;"&amp;0))))))</f>
        <v/>
      </c>
      <c r="Z60" s="87" t="str">
        <f aca="false">IF(OR(Z$4="",MONTH(($G$2+12))&lt;&gt;MONTH($C$2)),"",IF(COUNTIFS(m_teacher,Z$4,m_date,($G$2+12),m_active,1,m_start,"&lt;"&amp;600,m_end,"&gt;"&amp;0)=0,"",IF(COUNTIFS(m_teacher,Z$4,m_date,($G$2+12),m_active,1,m_start,"&lt;"&amp;600,m_end,"&gt;"&amp;0)&gt;1,"충돌",HYPERLINK("#'관리자_MASTER'!D"&amp;_xlfn.MAXIFS(m_row,m_teacher,Z$4,m_date,($G$2+12),m_active,1,m_start,"&lt;"&amp;600,m_end,"&gt;"&amp;0),INDEX(m_label,_xlfn.MAXIFS(m_row,m_teacher,Z$4,m_date,($G$2+12),m_active,1,m_start,"&lt;"&amp;600,m_end,"&gt;"&amp;0))))))</f>
        <v/>
      </c>
      <c r="AA60" s="87" t="str">
        <f aca="false">IF(OR(AA$4="",MONTH(($G$2+12))&lt;&gt;MONTH($C$2)),"",IF(COUNTIFS(m_teacher,AA$4,m_date,($G$2+12),m_active,1,m_start,"&lt;"&amp;600,m_end,"&gt;"&amp;0)=0,"",IF(COUNTIFS(m_teacher,AA$4,m_date,($G$2+12),m_active,1,m_start,"&lt;"&amp;600,m_end,"&gt;"&amp;0)&gt;1,"충돌",HYPERLINK("#'관리자_MASTER'!D"&amp;_xlfn.MAXIFS(m_row,m_teacher,AA$4,m_date,($G$2+12),m_active,1,m_start,"&lt;"&amp;600,m_end,"&gt;"&amp;0),INDEX(m_label,_xlfn.MAXIFS(m_row,m_teacher,AA$4,m_date,($G$2+12),m_active,1,m_start,"&lt;"&amp;600,m_end,"&gt;"&amp;0))))))</f>
        <v/>
      </c>
      <c r="AB60" s="87" t="str">
        <f aca="false">IF(OR(AB$4="",MONTH(($G$2+12))&lt;&gt;MONTH($C$2)),"",IF(COUNTIFS(m_teacher,AB$4,m_date,($G$2+12),m_active,1,m_start,"&lt;"&amp;600,m_end,"&gt;"&amp;0)=0,"",IF(COUNTIFS(m_teacher,AB$4,m_date,($G$2+12),m_active,1,m_start,"&lt;"&amp;600,m_end,"&gt;"&amp;0)&gt;1,"충돌",HYPERLINK("#'관리자_MASTER'!D"&amp;_xlfn.MAXIFS(m_row,m_teacher,AB$4,m_date,($G$2+12),m_active,1,m_start,"&lt;"&amp;600,m_end,"&gt;"&amp;0),INDEX(m_label,_xlfn.MAXIFS(m_row,m_teacher,AB$4,m_date,($G$2+12),m_active,1,m_start,"&lt;"&amp;600,m_end,"&gt;"&amp;0))))))</f>
        <v/>
      </c>
      <c r="AC60" s="90" t="str">
        <f aca="false">IF(MONTH(($G$2+19))&lt;&gt;MONTH($C$2),"",CHOOSE(WEEKDAY(($G$2+19),2),"월","화","수","목","금","토","일")&amp;CHAR(10)&amp;TEXT(($G$2+19),"m/d"))</f>
        <v>토
2/20</v>
      </c>
      <c r="AD60" s="79" t="s">
        <v>91</v>
      </c>
      <c r="AE60" s="87" t="str">
        <f aca="false">IF(OR(AE$4="",MONTH(($G$2+19))&lt;&gt;MONTH($C$2)),"",IF(COUNTIFS(m_teacher,AE$4,m_date,($G$2+19),m_active,1,m_start,"&lt;"&amp;600,m_end,"&gt;"&amp;0)=0,"",IF(COUNTIFS(m_teacher,AE$4,m_date,($G$2+19),m_active,1,m_start,"&lt;"&amp;600,m_end,"&gt;"&amp;0)&gt;1,"충돌",HYPERLINK("#'관리자_MASTER'!D"&amp;_xlfn.MAXIFS(m_row,m_teacher,AE$4,m_date,($G$2+19),m_active,1,m_start,"&lt;"&amp;600,m_end,"&gt;"&amp;0),INDEX(m_label,_xlfn.MAXIFS(m_row,m_teacher,AE$4,m_date,($G$2+19),m_active,1,m_start,"&lt;"&amp;600,m_end,"&gt;"&amp;0))))))</f>
        <v/>
      </c>
      <c r="AF60" s="87" t="str">
        <f aca="false">IF(OR(AF$4="",MONTH(($G$2+19))&lt;&gt;MONTH($C$2)),"",IF(COUNTIFS(m_teacher,AF$4,m_date,($G$2+19),m_active,1,m_start,"&lt;"&amp;600,m_end,"&gt;"&amp;0)=0,"",IF(COUNTIFS(m_teacher,AF$4,m_date,($G$2+19),m_active,1,m_start,"&lt;"&amp;600,m_end,"&gt;"&amp;0)&gt;1,"충돌",HYPERLINK("#'관리자_MASTER'!D"&amp;_xlfn.MAXIFS(m_row,m_teacher,AF$4,m_date,($G$2+19),m_active,1,m_start,"&lt;"&amp;600,m_end,"&gt;"&amp;0),INDEX(m_label,_xlfn.MAXIFS(m_row,m_teacher,AF$4,m_date,($G$2+19),m_active,1,m_start,"&lt;"&amp;600,m_end,"&gt;"&amp;0))))))</f>
        <v/>
      </c>
      <c r="AG60" s="87" t="str">
        <f aca="false">IF(OR(AG$4="",MONTH(($G$2+19))&lt;&gt;MONTH($C$2)),"",IF(COUNTIFS(m_teacher,AG$4,m_date,($G$2+19),m_active,1,m_start,"&lt;"&amp;600,m_end,"&gt;"&amp;0)=0,"",IF(COUNTIFS(m_teacher,AG$4,m_date,($G$2+19),m_active,1,m_start,"&lt;"&amp;600,m_end,"&gt;"&amp;0)&gt;1,"충돌",HYPERLINK("#'관리자_MASTER'!D"&amp;_xlfn.MAXIFS(m_row,m_teacher,AG$4,m_date,($G$2+19),m_active,1,m_start,"&lt;"&amp;600,m_end,"&gt;"&amp;0),INDEX(m_label,_xlfn.MAXIFS(m_row,m_teacher,AG$4,m_date,($G$2+19),m_active,1,m_start,"&lt;"&amp;600,m_end,"&gt;"&amp;0))))))</f>
        <v/>
      </c>
      <c r="AH60" s="87" t="str">
        <f aca="false">IF(OR(AH$4="",MONTH(($G$2+19))&lt;&gt;MONTH($C$2)),"",IF(COUNTIFS(m_teacher,AH$4,m_date,($G$2+19),m_active,1,m_start,"&lt;"&amp;600,m_end,"&gt;"&amp;0)=0,"",IF(COUNTIFS(m_teacher,AH$4,m_date,($G$2+19),m_active,1,m_start,"&lt;"&amp;600,m_end,"&gt;"&amp;0)&gt;1,"충돌",HYPERLINK("#'관리자_MASTER'!D"&amp;_xlfn.MAXIFS(m_row,m_teacher,AH$4,m_date,($G$2+19),m_active,1,m_start,"&lt;"&amp;600,m_end,"&gt;"&amp;0),INDEX(m_label,_xlfn.MAXIFS(m_row,m_teacher,AH$4,m_date,($G$2+19),m_active,1,m_start,"&lt;"&amp;600,m_end,"&gt;"&amp;0))))))</f>
        <v/>
      </c>
      <c r="AI60" s="87" t="str">
        <f aca="false">IF(OR(AI$4="",MONTH(($G$2+19))&lt;&gt;MONTH($C$2)),"",IF(COUNTIFS(m_teacher,AI$4,m_date,($G$2+19),m_active,1,m_start,"&lt;"&amp;600,m_end,"&gt;"&amp;0)=0,"",IF(COUNTIFS(m_teacher,AI$4,m_date,($G$2+19),m_active,1,m_start,"&lt;"&amp;600,m_end,"&gt;"&amp;0)&gt;1,"충돌",HYPERLINK("#'관리자_MASTER'!D"&amp;_xlfn.MAXIFS(m_row,m_teacher,AI$4,m_date,($G$2+19),m_active,1,m_start,"&lt;"&amp;600,m_end,"&gt;"&amp;0),INDEX(m_label,_xlfn.MAXIFS(m_row,m_teacher,AI$4,m_date,($G$2+19),m_active,1,m_start,"&lt;"&amp;600,m_end,"&gt;"&amp;0))))))</f>
        <v/>
      </c>
      <c r="AJ60" s="87" t="str">
        <f aca="false">IF(OR(AJ$4="",MONTH(($G$2+19))&lt;&gt;MONTH($C$2)),"",IF(COUNTIFS(m_teacher,AJ$4,m_date,($G$2+19),m_active,1,m_start,"&lt;"&amp;600,m_end,"&gt;"&amp;0)=0,"",IF(COUNTIFS(m_teacher,AJ$4,m_date,($G$2+19),m_active,1,m_start,"&lt;"&amp;600,m_end,"&gt;"&amp;0)&gt;1,"충돌",HYPERLINK("#'관리자_MASTER'!D"&amp;_xlfn.MAXIFS(m_row,m_teacher,AJ$4,m_date,($G$2+19),m_active,1,m_start,"&lt;"&amp;600,m_end,"&gt;"&amp;0),INDEX(m_label,_xlfn.MAXIFS(m_row,m_teacher,AJ$4,m_date,($G$2+19),m_active,1,m_start,"&lt;"&amp;600,m_end,"&gt;"&amp;0))))))</f>
        <v/>
      </c>
      <c r="AK60" s="87" t="str">
        <f aca="false">IF(OR(AK$4="",MONTH(($G$2+19))&lt;&gt;MONTH($C$2)),"",IF(COUNTIFS(m_teacher,AK$4,m_date,($G$2+19),m_active,1,m_start,"&lt;"&amp;600,m_end,"&gt;"&amp;0)=0,"",IF(COUNTIFS(m_teacher,AK$4,m_date,($G$2+19),m_active,1,m_start,"&lt;"&amp;600,m_end,"&gt;"&amp;0)&gt;1,"충돌",HYPERLINK("#'관리자_MASTER'!D"&amp;_xlfn.MAXIFS(m_row,m_teacher,AK$4,m_date,($G$2+19),m_active,1,m_start,"&lt;"&amp;600,m_end,"&gt;"&amp;0),INDEX(m_label,_xlfn.MAXIFS(m_row,m_teacher,AK$4,m_date,($G$2+19),m_active,1,m_start,"&lt;"&amp;600,m_end,"&gt;"&amp;0))))))</f>
        <v/>
      </c>
      <c r="AL60" s="87" t="str">
        <f aca="false">IF(OR(AL$4="",MONTH(($G$2+19))&lt;&gt;MONTH($C$2)),"",IF(COUNTIFS(m_teacher,AL$4,m_date,($G$2+19),m_active,1,m_start,"&lt;"&amp;600,m_end,"&gt;"&amp;0)=0,"",IF(COUNTIFS(m_teacher,AL$4,m_date,($G$2+19),m_active,1,m_start,"&lt;"&amp;600,m_end,"&gt;"&amp;0)&gt;1,"충돌",HYPERLINK("#'관리자_MASTER'!D"&amp;_xlfn.MAXIFS(m_row,m_teacher,AL$4,m_date,($G$2+19),m_active,1,m_start,"&lt;"&amp;600,m_end,"&gt;"&amp;0),INDEX(m_label,_xlfn.MAXIFS(m_row,m_teacher,AL$4,m_date,($G$2+19),m_active,1,m_start,"&lt;"&amp;600,m_end,"&gt;"&amp;0))))))</f>
        <v/>
      </c>
      <c r="AM60" s="87" t="str">
        <f aca="false">IF(OR(AM$4="",MONTH(($G$2+19))&lt;&gt;MONTH($C$2)),"",IF(COUNTIFS(m_teacher,AM$4,m_date,($G$2+19),m_active,1,m_start,"&lt;"&amp;600,m_end,"&gt;"&amp;0)=0,"",IF(COUNTIFS(m_teacher,AM$4,m_date,($G$2+19),m_active,1,m_start,"&lt;"&amp;600,m_end,"&gt;"&amp;0)&gt;1,"충돌",HYPERLINK("#'관리자_MASTER'!D"&amp;_xlfn.MAXIFS(m_row,m_teacher,AM$4,m_date,($G$2+19),m_active,1,m_start,"&lt;"&amp;600,m_end,"&gt;"&amp;0),INDEX(m_label,_xlfn.MAXIFS(m_row,m_teacher,AM$4,m_date,($G$2+19),m_active,1,m_start,"&lt;"&amp;600,m_end,"&gt;"&amp;0))))))</f>
        <v/>
      </c>
      <c r="AN60" s="87" t="str">
        <f aca="false">IF(OR(AN$4="",MONTH(($G$2+19))&lt;&gt;MONTH($C$2)),"",IF(COUNTIFS(m_teacher,AN$4,m_date,($G$2+19),m_active,1,m_start,"&lt;"&amp;600,m_end,"&gt;"&amp;0)=0,"",IF(COUNTIFS(m_teacher,AN$4,m_date,($G$2+19),m_active,1,m_start,"&lt;"&amp;600,m_end,"&gt;"&amp;0)&gt;1,"충돌",HYPERLINK("#'관리자_MASTER'!D"&amp;_xlfn.MAXIFS(m_row,m_teacher,AN$4,m_date,($G$2+19),m_active,1,m_start,"&lt;"&amp;600,m_end,"&gt;"&amp;0),INDEX(m_label,_xlfn.MAXIFS(m_row,m_teacher,AN$4,m_date,($G$2+19),m_active,1,m_start,"&lt;"&amp;600,m_end,"&gt;"&amp;0))))))</f>
        <v/>
      </c>
      <c r="AO60" s="87" t="str">
        <f aca="false">IF(OR(AO$4="",MONTH(($G$2+19))&lt;&gt;MONTH($C$2)),"",IF(COUNTIFS(m_teacher,AO$4,m_date,($G$2+19),m_active,1,m_start,"&lt;"&amp;600,m_end,"&gt;"&amp;0)=0,"",IF(COUNTIFS(m_teacher,AO$4,m_date,($G$2+19),m_active,1,m_start,"&lt;"&amp;600,m_end,"&gt;"&amp;0)&gt;1,"충돌",HYPERLINK("#'관리자_MASTER'!D"&amp;_xlfn.MAXIFS(m_row,m_teacher,AO$4,m_date,($G$2+19),m_active,1,m_start,"&lt;"&amp;600,m_end,"&gt;"&amp;0),INDEX(m_label,_xlfn.MAXIFS(m_row,m_teacher,AO$4,m_date,($G$2+19),m_active,1,m_start,"&lt;"&amp;600,m_end,"&gt;"&amp;0))))))</f>
        <v/>
      </c>
      <c r="AP60" s="87" t="str">
        <f aca="false">IF(OR(AP$4="",MONTH(($G$2+19))&lt;&gt;MONTH($C$2)),"",IF(COUNTIFS(m_teacher,AP$4,m_date,($G$2+19),m_active,1,m_start,"&lt;"&amp;600,m_end,"&gt;"&amp;0)=0,"",IF(COUNTIFS(m_teacher,AP$4,m_date,($G$2+19),m_active,1,m_start,"&lt;"&amp;600,m_end,"&gt;"&amp;0)&gt;1,"충돌",HYPERLINK("#'관리자_MASTER'!D"&amp;_xlfn.MAXIFS(m_row,m_teacher,AP$4,m_date,($G$2+19),m_active,1,m_start,"&lt;"&amp;600,m_end,"&gt;"&amp;0),INDEX(m_label,_xlfn.MAXIFS(m_row,m_teacher,AP$4,m_date,($G$2+19),m_active,1,m_start,"&lt;"&amp;600,m_end,"&gt;"&amp;0))))))</f>
        <v/>
      </c>
      <c r="AQ60" s="90" t="str">
        <f aca="false">IF(MONTH(($G$2+26))&lt;&gt;MONTH($C$2),"",CHOOSE(WEEKDAY(($G$2+26),2),"월","화","수","목","금","토","일")&amp;CHAR(10)&amp;TEXT(($G$2+26),"m/d"))</f>
        <v>토
2/27</v>
      </c>
      <c r="AR60" s="79" t="s">
        <v>91</v>
      </c>
      <c r="AS60" s="87" t="str">
        <f aca="false">IF(OR(AS$4="",MONTH(($G$2+26))&lt;&gt;MONTH($C$2)),"",IF(COUNTIFS(m_teacher,AS$4,m_date,($G$2+26),m_active,1,m_start,"&lt;"&amp;600,m_end,"&gt;"&amp;0)=0,"",IF(COUNTIFS(m_teacher,AS$4,m_date,($G$2+26),m_active,1,m_start,"&lt;"&amp;600,m_end,"&gt;"&amp;0)&gt;1,"충돌",HYPERLINK("#'관리자_MASTER'!D"&amp;_xlfn.MAXIFS(m_row,m_teacher,AS$4,m_date,($G$2+26),m_active,1,m_start,"&lt;"&amp;600,m_end,"&gt;"&amp;0),INDEX(m_label,_xlfn.MAXIFS(m_row,m_teacher,AS$4,m_date,($G$2+26),m_active,1,m_start,"&lt;"&amp;600,m_end,"&gt;"&amp;0))))))</f>
        <v/>
      </c>
      <c r="AT60" s="87" t="str">
        <f aca="false">IF(OR(AT$4="",MONTH(($G$2+26))&lt;&gt;MONTH($C$2)),"",IF(COUNTIFS(m_teacher,AT$4,m_date,($G$2+26),m_active,1,m_start,"&lt;"&amp;600,m_end,"&gt;"&amp;0)=0,"",IF(COUNTIFS(m_teacher,AT$4,m_date,($G$2+26),m_active,1,m_start,"&lt;"&amp;600,m_end,"&gt;"&amp;0)&gt;1,"충돌",HYPERLINK("#'관리자_MASTER'!D"&amp;_xlfn.MAXIFS(m_row,m_teacher,AT$4,m_date,($G$2+26),m_active,1,m_start,"&lt;"&amp;600,m_end,"&gt;"&amp;0),INDEX(m_label,_xlfn.MAXIFS(m_row,m_teacher,AT$4,m_date,($G$2+26),m_active,1,m_start,"&lt;"&amp;600,m_end,"&gt;"&amp;0))))))</f>
        <v/>
      </c>
      <c r="AU60" s="87" t="str">
        <f aca="false">IF(OR(AU$4="",MONTH(($G$2+26))&lt;&gt;MONTH($C$2)),"",IF(COUNTIFS(m_teacher,AU$4,m_date,($G$2+26),m_active,1,m_start,"&lt;"&amp;600,m_end,"&gt;"&amp;0)=0,"",IF(COUNTIFS(m_teacher,AU$4,m_date,($G$2+26),m_active,1,m_start,"&lt;"&amp;600,m_end,"&gt;"&amp;0)&gt;1,"충돌",HYPERLINK("#'관리자_MASTER'!D"&amp;_xlfn.MAXIFS(m_row,m_teacher,AU$4,m_date,($G$2+26),m_active,1,m_start,"&lt;"&amp;600,m_end,"&gt;"&amp;0),INDEX(m_label,_xlfn.MAXIFS(m_row,m_teacher,AU$4,m_date,($G$2+26),m_active,1,m_start,"&lt;"&amp;600,m_end,"&gt;"&amp;0))))))</f>
        <v/>
      </c>
      <c r="AV60" s="87" t="str">
        <f aca="false">IF(OR(AV$4="",MONTH(($G$2+26))&lt;&gt;MONTH($C$2)),"",IF(COUNTIFS(m_teacher,AV$4,m_date,($G$2+26),m_active,1,m_start,"&lt;"&amp;600,m_end,"&gt;"&amp;0)=0,"",IF(COUNTIFS(m_teacher,AV$4,m_date,($G$2+26),m_active,1,m_start,"&lt;"&amp;600,m_end,"&gt;"&amp;0)&gt;1,"충돌",HYPERLINK("#'관리자_MASTER'!D"&amp;_xlfn.MAXIFS(m_row,m_teacher,AV$4,m_date,($G$2+26),m_active,1,m_start,"&lt;"&amp;600,m_end,"&gt;"&amp;0),INDEX(m_label,_xlfn.MAXIFS(m_row,m_teacher,AV$4,m_date,($G$2+26),m_active,1,m_start,"&lt;"&amp;600,m_end,"&gt;"&amp;0))))))</f>
        <v/>
      </c>
      <c r="AW60" s="87" t="str">
        <f aca="false">IF(OR(AW$4="",MONTH(($G$2+26))&lt;&gt;MONTH($C$2)),"",IF(COUNTIFS(m_teacher,AW$4,m_date,($G$2+26),m_active,1,m_start,"&lt;"&amp;600,m_end,"&gt;"&amp;0)=0,"",IF(COUNTIFS(m_teacher,AW$4,m_date,($G$2+26),m_active,1,m_start,"&lt;"&amp;600,m_end,"&gt;"&amp;0)&gt;1,"충돌",HYPERLINK("#'관리자_MASTER'!D"&amp;_xlfn.MAXIFS(m_row,m_teacher,AW$4,m_date,($G$2+26),m_active,1,m_start,"&lt;"&amp;600,m_end,"&gt;"&amp;0),INDEX(m_label,_xlfn.MAXIFS(m_row,m_teacher,AW$4,m_date,($G$2+26),m_active,1,m_start,"&lt;"&amp;600,m_end,"&gt;"&amp;0))))))</f>
        <v/>
      </c>
      <c r="AX60" s="87" t="str">
        <f aca="false">IF(OR(AX$4="",MONTH(($G$2+26))&lt;&gt;MONTH($C$2)),"",IF(COUNTIFS(m_teacher,AX$4,m_date,($G$2+26),m_active,1,m_start,"&lt;"&amp;600,m_end,"&gt;"&amp;0)=0,"",IF(COUNTIFS(m_teacher,AX$4,m_date,($G$2+26),m_active,1,m_start,"&lt;"&amp;600,m_end,"&gt;"&amp;0)&gt;1,"충돌",HYPERLINK("#'관리자_MASTER'!D"&amp;_xlfn.MAXIFS(m_row,m_teacher,AX$4,m_date,($G$2+26),m_active,1,m_start,"&lt;"&amp;600,m_end,"&gt;"&amp;0),INDEX(m_label,_xlfn.MAXIFS(m_row,m_teacher,AX$4,m_date,($G$2+26),m_active,1,m_start,"&lt;"&amp;600,m_end,"&gt;"&amp;0))))))</f>
        <v/>
      </c>
      <c r="AY60" s="87" t="str">
        <f aca="false">IF(OR(AY$4="",MONTH(($G$2+26))&lt;&gt;MONTH($C$2)),"",IF(COUNTIFS(m_teacher,AY$4,m_date,($G$2+26),m_active,1,m_start,"&lt;"&amp;600,m_end,"&gt;"&amp;0)=0,"",IF(COUNTIFS(m_teacher,AY$4,m_date,($G$2+26),m_active,1,m_start,"&lt;"&amp;600,m_end,"&gt;"&amp;0)&gt;1,"충돌",HYPERLINK("#'관리자_MASTER'!D"&amp;_xlfn.MAXIFS(m_row,m_teacher,AY$4,m_date,($G$2+26),m_active,1,m_start,"&lt;"&amp;600,m_end,"&gt;"&amp;0),INDEX(m_label,_xlfn.MAXIFS(m_row,m_teacher,AY$4,m_date,($G$2+26),m_active,1,m_start,"&lt;"&amp;600,m_end,"&gt;"&amp;0))))))</f>
        <v/>
      </c>
      <c r="AZ60" s="87" t="str">
        <f aca="false">IF(OR(AZ$4="",MONTH(($G$2+26))&lt;&gt;MONTH($C$2)),"",IF(COUNTIFS(m_teacher,AZ$4,m_date,($G$2+26),m_active,1,m_start,"&lt;"&amp;600,m_end,"&gt;"&amp;0)=0,"",IF(COUNTIFS(m_teacher,AZ$4,m_date,($G$2+26),m_active,1,m_start,"&lt;"&amp;600,m_end,"&gt;"&amp;0)&gt;1,"충돌",HYPERLINK("#'관리자_MASTER'!D"&amp;_xlfn.MAXIFS(m_row,m_teacher,AZ$4,m_date,($G$2+26),m_active,1,m_start,"&lt;"&amp;600,m_end,"&gt;"&amp;0),INDEX(m_label,_xlfn.MAXIFS(m_row,m_teacher,AZ$4,m_date,($G$2+26),m_active,1,m_start,"&lt;"&amp;600,m_end,"&gt;"&amp;0))))))</f>
        <v/>
      </c>
      <c r="BA60" s="87" t="str">
        <f aca="false">IF(OR(BA$4="",MONTH(($G$2+26))&lt;&gt;MONTH($C$2)),"",IF(COUNTIFS(m_teacher,BA$4,m_date,($G$2+26),m_active,1,m_start,"&lt;"&amp;600,m_end,"&gt;"&amp;0)=0,"",IF(COUNTIFS(m_teacher,BA$4,m_date,($G$2+26),m_active,1,m_start,"&lt;"&amp;600,m_end,"&gt;"&amp;0)&gt;1,"충돌",HYPERLINK("#'관리자_MASTER'!D"&amp;_xlfn.MAXIFS(m_row,m_teacher,BA$4,m_date,($G$2+26),m_active,1,m_start,"&lt;"&amp;600,m_end,"&gt;"&amp;0),INDEX(m_label,_xlfn.MAXIFS(m_row,m_teacher,BA$4,m_date,($G$2+26),m_active,1,m_start,"&lt;"&amp;600,m_end,"&gt;"&amp;0))))))</f>
        <v/>
      </c>
      <c r="BB60" s="87" t="str">
        <f aca="false">IF(OR(BB$4="",MONTH(($G$2+26))&lt;&gt;MONTH($C$2)),"",IF(COUNTIFS(m_teacher,BB$4,m_date,($G$2+26),m_active,1,m_start,"&lt;"&amp;600,m_end,"&gt;"&amp;0)=0,"",IF(COUNTIFS(m_teacher,BB$4,m_date,($G$2+26),m_active,1,m_start,"&lt;"&amp;600,m_end,"&gt;"&amp;0)&gt;1,"충돌",HYPERLINK("#'관리자_MASTER'!D"&amp;_xlfn.MAXIFS(m_row,m_teacher,BB$4,m_date,($G$2+26),m_active,1,m_start,"&lt;"&amp;600,m_end,"&gt;"&amp;0),INDEX(m_label,_xlfn.MAXIFS(m_row,m_teacher,BB$4,m_date,($G$2+26),m_active,1,m_start,"&lt;"&amp;600,m_end,"&gt;"&amp;0))))))</f>
        <v/>
      </c>
      <c r="BC60" s="87" t="str">
        <f aca="false">IF(OR(BC$4="",MONTH(($G$2+26))&lt;&gt;MONTH($C$2)),"",IF(COUNTIFS(m_teacher,BC$4,m_date,($G$2+26),m_active,1,m_start,"&lt;"&amp;600,m_end,"&gt;"&amp;0)=0,"",IF(COUNTIFS(m_teacher,BC$4,m_date,($G$2+26),m_active,1,m_start,"&lt;"&amp;600,m_end,"&gt;"&amp;0)&gt;1,"충돌",HYPERLINK("#'관리자_MASTER'!D"&amp;_xlfn.MAXIFS(m_row,m_teacher,BC$4,m_date,($G$2+26),m_active,1,m_start,"&lt;"&amp;600,m_end,"&gt;"&amp;0),INDEX(m_label,_xlfn.MAXIFS(m_row,m_teacher,BC$4,m_date,($G$2+26),m_active,1,m_start,"&lt;"&amp;600,m_end,"&gt;"&amp;0))))))</f>
        <v/>
      </c>
      <c r="BD60" s="87" t="str">
        <f aca="false">IF(OR(BD$4="",MONTH(($G$2+26))&lt;&gt;MONTH($C$2)),"",IF(COUNTIFS(m_teacher,BD$4,m_date,($G$2+26),m_active,1,m_start,"&lt;"&amp;600,m_end,"&gt;"&amp;0)=0,"",IF(COUNTIFS(m_teacher,BD$4,m_date,($G$2+26),m_active,1,m_start,"&lt;"&amp;600,m_end,"&gt;"&amp;0)&gt;1,"충돌",HYPERLINK("#'관리자_MASTER'!D"&amp;_xlfn.MAXIFS(m_row,m_teacher,BD$4,m_date,($G$2+26),m_active,1,m_start,"&lt;"&amp;600,m_end,"&gt;"&amp;0),INDEX(m_label,_xlfn.MAXIFS(m_row,m_teacher,BD$4,m_date,($G$2+26),m_active,1,m_start,"&lt;"&amp;600,m_end,"&gt;"&amp;0))))))</f>
        <v/>
      </c>
    </row>
    <row r="61" customFormat="false" ht="19.5" hidden="false" customHeight="true" outlineLevel="0" collapsed="false">
      <c r="A61" s="90"/>
      <c r="B61" s="79" t="s">
        <v>92</v>
      </c>
      <c r="C61" s="88" t="str">
        <f aca="false">IF(OR(C$4="",MONTH(($G$2+5))&lt;&gt;MONTH($C$2)),"",IF(COUNTIFS(m_teacher,C$4,m_date,($G$2+5),m_active,1,m_start,"&lt;"&amp;660,m_end,"&gt;"&amp;600)=0,"",IF(COUNTIFS(m_teacher,C$4,m_date,($G$2+5),m_active,1,m_start,"&lt;"&amp;660,m_end,"&gt;"&amp;600)&gt;1,"충돌",HYPERLINK("#'관리자_MASTER'!D"&amp;_xlfn.MAXIFS(m_row,m_teacher,C$4,m_date,($G$2+5),m_active,1,m_start,"&lt;"&amp;660,m_end,"&gt;"&amp;600),INDEX(m_label,_xlfn.MAXIFS(m_row,m_teacher,C$4,m_date,($G$2+5),m_active,1,m_start,"&lt;"&amp;660,m_end,"&gt;"&amp;600))))))</f>
        <v/>
      </c>
      <c r="D61" s="88" t="str">
        <f aca="false">IF(OR(D$4="",MONTH(($G$2+5))&lt;&gt;MONTH($C$2)),"",IF(COUNTIFS(m_teacher,D$4,m_date,($G$2+5),m_active,1,m_start,"&lt;"&amp;660,m_end,"&gt;"&amp;600)=0,"",IF(COUNTIFS(m_teacher,D$4,m_date,($G$2+5),m_active,1,m_start,"&lt;"&amp;660,m_end,"&gt;"&amp;600)&gt;1,"충돌",HYPERLINK("#'관리자_MASTER'!D"&amp;_xlfn.MAXIFS(m_row,m_teacher,D$4,m_date,($G$2+5),m_active,1,m_start,"&lt;"&amp;660,m_end,"&gt;"&amp;600),INDEX(m_label,_xlfn.MAXIFS(m_row,m_teacher,D$4,m_date,($G$2+5),m_active,1,m_start,"&lt;"&amp;660,m_end,"&gt;"&amp;600))))))</f>
        <v/>
      </c>
      <c r="E61" s="88" t="str">
        <f aca="false">IF(OR(E$4="",MONTH(($G$2+5))&lt;&gt;MONTH($C$2)),"",IF(COUNTIFS(m_teacher,E$4,m_date,($G$2+5),m_active,1,m_start,"&lt;"&amp;660,m_end,"&gt;"&amp;600)=0,"",IF(COUNTIFS(m_teacher,E$4,m_date,($G$2+5),m_active,1,m_start,"&lt;"&amp;660,m_end,"&gt;"&amp;600)&gt;1,"충돌",HYPERLINK("#'관리자_MASTER'!D"&amp;_xlfn.MAXIFS(m_row,m_teacher,E$4,m_date,($G$2+5),m_active,1,m_start,"&lt;"&amp;660,m_end,"&gt;"&amp;600),INDEX(m_label,_xlfn.MAXIFS(m_row,m_teacher,E$4,m_date,($G$2+5),m_active,1,m_start,"&lt;"&amp;660,m_end,"&gt;"&amp;600))))))</f>
        <v/>
      </c>
      <c r="F61" s="88" t="str">
        <f aca="false">IF(OR(F$4="",MONTH(($G$2+5))&lt;&gt;MONTH($C$2)),"",IF(COUNTIFS(m_teacher,F$4,m_date,($G$2+5),m_active,1,m_start,"&lt;"&amp;660,m_end,"&gt;"&amp;600)=0,"",IF(COUNTIFS(m_teacher,F$4,m_date,($G$2+5),m_active,1,m_start,"&lt;"&amp;660,m_end,"&gt;"&amp;600)&gt;1,"충돌",HYPERLINK("#'관리자_MASTER'!D"&amp;_xlfn.MAXIFS(m_row,m_teacher,F$4,m_date,($G$2+5),m_active,1,m_start,"&lt;"&amp;660,m_end,"&gt;"&amp;600),INDEX(m_label,_xlfn.MAXIFS(m_row,m_teacher,F$4,m_date,($G$2+5),m_active,1,m_start,"&lt;"&amp;660,m_end,"&gt;"&amp;600))))))</f>
        <v/>
      </c>
      <c r="G61" s="88" t="str">
        <f aca="false">IF(OR(G$4="",MONTH(($G$2+5))&lt;&gt;MONTH($C$2)),"",IF(COUNTIFS(m_teacher,G$4,m_date,($G$2+5),m_active,1,m_start,"&lt;"&amp;660,m_end,"&gt;"&amp;600)=0,"",IF(COUNTIFS(m_teacher,G$4,m_date,($G$2+5),m_active,1,m_start,"&lt;"&amp;660,m_end,"&gt;"&amp;600)&gt;1,"충돌",HYPERLINK("#'관리자_MASTER'!D"&amp;_xlfn.MAXIFS(m_row,m_teacher,G$4,m_date,($G$2+5),m_active,1,m_start,"&lt;"&amp;660,m_end,"&gt;"&amp;600),INDEX(m_label,_xlfn.MAXIFS(m_row,m_teacher,G$4,m_date,($G$2+5),m_active,1,m_start,"&lt;"&amp;660,m_end,"&gt;"&amp;600))))))</f>
        <v/>
      </c>
      <c r="H61" s="88" t="str">
        <f aca="false">IF(OR(H$4="",MONTH(($G$2+5))&lt;&gt;MONTH($C$2)),"",IF(COUNTIFS(m_teacher,H$4,m_date,($G$2+5),m_active,1,m_start,"&lt;"&amp;660,m_end,"&gt;"&amp;600)=0,"",IF(COUNTIFS(m_teacher,H$4,m_date,($G$2+5),m_active,1,m_start,"&lt;"&amp;660,m_end,"&gt;"&amp;600)&gt;1,"충돌",HYPERLINK("#'관리자_MASTER'!D"&amp;_xlfn.MAXIFS(m_row,m_teacher,H$4,m_date,($G$2+5),m_active,1,m_start,"&lt;"&amp;660,m_end,"&gt;"&amp;600),INDEX(m_label,_xlfn.MAXIFS(m_row,m_teacher,H$4,m_date,($G$2+5),m_active,1,m_start,"&lt;"&amp;660,m_end,"&gt;"&amp;600))))))</f>
        <v/>
      </c>
      <c r="I61" s="88" t="str">
        <f aca="false">IF(OR(I$4="",MONTH(($G$2+5))&lt;&gt;MONTH($C$2)),"",IF(COUNTIFS(m_teacher,I$4,m_date,($G$2+5),m_active,1,m_start,"&lt;"&amp;660,m_end,"&gt;"&amp;600)=0,"",IF(COUNTIFS(m_teacher,I$4,m_date,($G$2+5),m_active,1,m_start,"&lt;"&amp;660,m_end,"&gt;"&amp;600)&gt;1,"충돌",HYPERLINK("#'관리자_MASTER'!D"&amp;_xlfn.MAXIFS(m_row,m_teacher,I$4,m_date,($G$2+5),m_active,1,m_start,"&lt;"&amp;660,m_end,"&gt;"&amp;600),INDEX(m_label,_xlfn.MAXIFS(m_row,m_teacher,I$4,m_date,($G$2+5),m_active,1,m_start,"&lt;"&amp;660,m_end,"&gt;"&amp;600))))))</f>
        <v/>
      </c>
      <c r="J61" s="88" t="str">
        <f aca="false">IF(OR(J$4="",MONTH(($G$2+5))&lt;&gt;MONTH($C$2)),"",IF(COUNTIFS(m_teacher,J$4,m_date,($G$2+5),m_active,1,m_start,"&lt;"&amp;660,m_end,"&gt;"&amp;600)=0,"",IF(COUNTIFS(m_teacher,J$4,m_date,($G$2+5),m_active,1,m_start,"&lt;"&amp;660,m_end,"&gt;"&amp;600)&gt;1,"충돌",HYPERLINK("#'관리자_MASTER'!D"&amp;_xlfn.MAXIFS(m_row,m_teacher,J$4,m_date,($G$2+5),m_active,1,m_start,"&lt;"&amp;660,m_end,"&gt;"&amp;600),INDEX(m_label,_xlfn.MAXIFS(m_row,m_teacher,J$4,m_date,($G$2+5),m_active,1,m_start,"&lt;"&amp;660,m_end,"&gt;"&amp;600))))))</f>
        <v/>
      </c>
      <c r="K61" s="88" t="str">
        <f aca="false">IF(OR(K$4="",MONTH(($G$2+5))&lt;&gt;MONTH($C$2)),"",IF(COUNTIFS(m_teacher,K$4,m_date,($G$2+5),m_active,1,m_start,"&lt;"&amp;660,m_end,"&gt;"&amp;600)=0,"",IF(COUNTIFS(m_teacher,K$4,m_date,($G$2+5),m_active,1,m_start,"&lt;"&amp;660,m_end,"&gt;"&amp;600)&gt;1,"충돌",HYPERLINK("#'관리자_MASTER'!D"&amp;_xlfn.MAXIFS(m_row,m_teacher,K$4,m_date,($G$2+5),m_active,1,m_start,"&lt;"&amp;660,m_end,"&gt;"&amp;600),INDEX(m_label,_xlfn.MAXIFS(m_row,m_teacher,K$4,m_date,($G$2+5),m_active,1,m_start,"&lt;"&amp;660,m_end,"&gt;"&amp;600))))))</f>
        <v/>
      </c>
      <c r="L61" s="88" t="str">
        <f aca="false">IF(OR(L$4="",MONTH(($G$2+5))&lt;&gt;MONTH($C$2)),"",IF(COUNTIFS(m_teacher,L$4,m_date,($G$2+5),m_active,1,m_start,"&lt;"&amp;660,m_end,"&gt;"&amp;600)=0,"",IF(COUNTIFS(m_teacher,L$4,m_date,($G$2+5),m_active,1,m_start,"&lt;"&amp;660,m_end,"&gt;"&amp;600)&gt;1,"충돌",HYPERLINK("#'관리자_MASTER'!D"&amp;_xlfn.MAXIFS(m_row,m_teacher,L$4,m_date,($G$2+5),m_active,1,m_start,"&lt;"&amp;660,m_end,"&gt;"&amp;600),INDEX(m_label,_xlfn.MAXIFS(m_row,m_teacher,L$4,m_date,($G$2+5),m_active,1,m_start,"&lt;"&amp;660,m_end,"&gt;"&amp;600))))))</f>
        <v/>
      </c>
      <c r="M61" s="88" t="str">
        <f aca="false">IF(OR(M$4="",MONTH(($G$2+5))&lt;&gt;MONTH($C$2)),"",IF(COUNTIFS(m_teacher,M$4,m_date,($G$2+5),m_active,1,m_start,"&lt;"&amp;660,m_end,"&gt;"&amp;600)=0,"",IF(COUNTIFS(m_teacher,M$4,m_date,($G$2+5),m_active,1,m_start,"&lt;"&amp;660,m_end,"&gt;"&amp;600)&gt;1,"충돌",HYPERLINK("#'관리자_MASTER'!D"&amp;_xlfn.MAXIFS(m_row,m_teacher,M$4,m_date,($G$2+5),m_active,1,m_start,"&lt;"&amp;660,m_end,"&gt;"&amp;600),INDEX(m_label,_xlfn.MAXIFS(m_row,m_teacher,M$4,m_date,($G$2+5),m_active,1,m_start,"&lt;"&amp;660,m_end,"&gt;"&amp;600))))))</f>
        <v/>
      </c>
      <c r="N61" s="88" t="str">
        <f aca="false">IF(OR(N$4="",MONTH(($G$2+5))&lt;&gt;MONTH($C$2)),"",IF(COUNTIFS(m_teacher,N$4,m_date,($G$2+5),m_active,1,m_start,"&lt;"&amp;660,m_end,"&gt;"&amp;600)=0,"",IF(COUNTIFS(m_teacher,N$4,m_date,($G$2+5),m_active,1,m_start,"&lt;"&amp;660,m_end,"&gt;"&amp;600)&gt;1,"충돌",HYPERLINK("#'관리자_MASTER'!D"&amp;_xlfn.MAXIFS(m_row,m_teacher,N$4,m_date,($G$2+5),m_active,1,m_start,"&lt;"&amp;660,m_end,"&gt;"&amp;600),INDEX(m_label,_xlfn.MAXIFS(m_row,m_teacher,N$4,m_date,($G$2+5),m_active,1,m_start,"&lt;"&amp;660,m_end,"&gt;"&amp;600))))))</f>
        <v/>
      </c>
      <c r="O61" s="90"/>
      <c r="P61" s="79" t="s">
        <v>92</v>
      </c>
      <c r="Q61" s="88" t="str">
        <f aca="false">IF(OR(Q$4="",MONTH(($G$2+12))&lt;&gt;MONTH($C$2)),"",IF(COUNTIFS(m_teacher,Q$4,m_date,($G$2+12),m_active,1,m_start,"&lt;"&amp;660,m_end,"&gt;"&amp;600)=0,"",IF(COUNTIFS(m_teacher,Q$4,m_date,($G$2+12),m_active,1,m_start,"&lt;"&amp;660,m_end,"&gt;"&amp;600)&gt;1,"충돌",HYPERLINK("#'관리자_MASTER'!D"&amp;_xlfn.MAXIFS(m_row,m_teacher,Q$4,m_date,($G$2+12),m_active,1,m_start,"&lt;"&amp;660,m_end,"&gt;"&amp;600),INDEX(m_label,_xlfn.MAXIFS(m_row,m_teacher,Q$4,m_date,($G$2+12),m_active,1,m_start,"&lt;"&amp;660,m_end,"&gt;"&amp;600))))))</f>
        <v/>
      </c>
      <c r="R61" s="88" t="str">
        <f aca="false">IF(OR(R$4="",MONTH(($G$2+12))&lt;&gt;MONTH($C$2)),"",IF(COUNTIFS(m_teacher,R$4,m_date,($G$2+12),m_active,1,m_start,"&lt;"&amp;660,m_end,"&gt;"&amp;600)=0,"",IF(COUNTIFS(m_teacher,R$4,m_date,($G$2+12),m_active,1,m_start,"&lt;"&amp;660,m_end,"&gt;"&amp;600)&gt;1,"충돌",HYPERLINK("#'관리자_MASTER'!D"&amp;_xlfn.MAXIFS(m_row,m_teacher,R$4,m_date,($G$2+12),m_active,1,m_start,"&lt;"&amp;660,m_end,"&gt;"&amp;600),INDEX(m_label,_xlfn.MAXIFS(m_row,m_teacher,R$4,m_date,($G$2+12),m_active,1,m_start,"&lt;"&amp;660,m_end,"&gt;"&amp;600))))))</f>
        <v/>
      </c>
      <c r="S61" s="88" t="str">
        <f aca="false">IF(OR(S$4="",MONTH(($G$2+12))&lt;&gt;MONTH($C$2)),"",IF(COUNTIFS(m_teacher,S$4,m_date,($G$2+12),m_active,1,m_start,"&lt;"&amp;660,m_end,"&gt;"&amp;600)=0,"",IF(COUNTIFS(m_teacher,S$4,m_date,($G$2+12),m_active,1,m_start,"&lt;"&amp;660,m_end,"&gt;"&amp;600)&gt;1,"충돌",HYPERLINK("#'관리자_MASTER'!D"&amp;_xlfn.MAXIFS(m_row,m_teacher,S$4,m_date,($G$2+12),m_active,1,m_start,"&lt;"&amp;660,m_end,"&gt;"&amp;600),INDEX(m_label,_xlfn.MAXIFS(m_row,m_teacher,S$4,m_date,($G$2+12),m_active,1,m_start,"&lt;"&amp;660,m_end,"&gt;"&amp;600))))))</f>
        <v/>
      </c>
      <c r="T61" s="88" t="str">
        <f aca="false">IF(OR(T$4="",MONTH(($G$2+12))&lt;&gt;MONTH($C$2)),"",IF(COUNTIFS(m_teacher,T$4,m_date,($G$2+12),m_active,1,m_start,"&lt;"&amp;660,m_end,"&gt;"&amp;600)=0,"",IF(COUNTIFS(m_teacher,T$4,m_date,($G$2+12),m_active,1,m_start,"&lt;"&amp;660,m_end,"&gt;"&amp;600)&gt;1,"충돌",HYPERLINK("#'관리자_MASTER'!D"&amp;_xlfn.MAXIFS(m_row,m_teacher,T$4,m_date,($G$2+12),m_active,1,m_start,"&lt;"&amp;660,m_end,"&gt;"&amp;600),INDEX(m_label,_xlfn.MAXIFS(m_row,m_teacher,T$4,m_date,($G$2+12),m_active,1,m_start,"&lt;"&amp;660,m_end,"&gt;"&amp;600))))))</f>
        <v/>
      </c>
      <c r="U61" s="88" t="str">
        <f aca="false">IF(OR(U$4="",MONTH(($G$2+12))&lt;&gt;MONTH($C$2)),"",IF(COUNTIFS(m_teacher,U$4,m_date,($G$2+12),m_active,1,m_start,"&lt;"&amp;660,m_end,"&gt;"&amp;600)=0,"",IF(COUNTIFS(m_teacher,U$4,m_date,($G$2+12),m_active,1,m_start,"&lt;"&amp;660,m_end,"&gt;"&amp;600)&gt;1,"충돌",HYPERLINK("#'관리자_MASTER'!D"&amp;_xlfn.MAXIFS(m_row,m_teacher,U$4,m_date,($G$2+12),m_active,1,m_start,"&lt;"&amp;660,m_end,"&gt;"&amp;600),INDEX(m_label,_xlfn.MAXIFS(m_row,m_teacher,U$4,m_date,($G$2+12),m_active,1,m_start,"&lt;"&amp;660,m_end,"&gt;"&amp;600))))))</f>
        <v/>
      </c>
      <c r="V61" s="88" t="str">
        <f aca="false">IF(OR(V$4="",MONTH(($G$2+12))&lt;&gt;MONTH($C$2)),"",IF(COUNTIFS(m_teacher,V$4,m_date,($G$2+12),m_active,1,m_start,"&lt;"&amp;660,m_end,"&gt;"&amp;600)=0,"",IF(COUNTIFS(m_teacher,V$4,m_date,($G$2+12),m_active,1,m_start,"&lt;"&amp;660,m_end,"&gt;"&amp;600)&gt;1,"충돌",HYPERLINK("#'관리자_MASTER'!D"&amp;_xlfn.MAXIFS(m_row,m_teacher,V$4,m_date,($G$2+12),m_active,1,m_start,"&lt;"&amp;660,m_end,"&gt;"&amp;600),INDEX(m_label,_xlfn.MAXIFS(m_row,m_teacher,V$4,m_date,($G$2+12),m_active,1,m_start,"&lt;"&amp;660,m_end,"&gt;"&amp;600))))))</f>
        <v/>
      </c>
      <c r="W61" s="88" t="str">
        <f aca="false">IF(OR(W$4="",MONTH(($G$2+12))&lt;&gt;MONTH($C$2)),"",IF(COUNTIFS(m_teacher,W$4,m_date,($G$2+12),m_active,1,m_start,"&lt;"&amp;660,m_end,"&gt;"&amp;600)=0,"",IF(COUNTIFS(m_teacher,W$4,m_date,($G$2+12),m_active,1,m_start,"&lt;"&amp;660,m_end,"&gt;"&amp;600)&gt;1,"충돌",HYPERLINK("#'관리자_MASTER'!D"&amp;_xlfn.MAXIFS(m_row,m_teacher,W$4,m_date,($G$2+12),m_active,1,m_start,"&lt;"&amp;660,m_end,"&gt;"&amp;600),INDEX(m_label,_xlfn.MAXIFS(m_row,m_teacher,W$4,m_date,($G$2+12),m_active,1,m_start,"&lt;"&amp;660,m_end,"&gt;"&amp;600))))))</f>
        <v/>
      </c>
      <c r="X61" s="88" t="str">
        <f aca="false">IF(OR(X$4="",MONTH(($G$2+12))&lt;&gt;MONTH($C$2)),"",IF(COUNTIFS(m_teacher,X$4,m_date,($G$2+12),m_active,1,m_start,"&lt;"&amp;660,m_end,"&gt;"&amp;600)=0,"",IF(COUNTIFS(m_teacher,X$4,m_date,($G$2+12),m_active,1,m_start,"&lt;"&amp;660,m_end,"&gt;"&amp;600)&gt;1,"충돌",HYPERLINK("#'관리자_MASTER'!D"&amp;_xlfn.MAXIFS(m_row,m_teacher,X$4,m_date,($G$2+12),m_active,1,m_start,"&lt;"&amp;660,m_end,"&gt;"&amp;600),INDEX(m_label,_xlfn.MAXIFS(m_row,m_teacher,X$4,m_date,($G$2+12),m_active,1,m_start,"&lt;"&amp;660,m_end,"&gt;"&amp;600))))))</f>
        <v/>
      </c>
      <c r="Y61" s="88" t="str">
        <f aca="false">IF(OR(Y$4="",MONTH(($G$2+12))&lt;&gt;MONTH($C$2)),"",IF(COUNTIFS(m_teacher,Y$4,m_date,($G$2+12),m_active,1,m_start,"&lt;"&amp;660,m_end,"&gt;"&amp;600)=0,"",IF(COUNTIFS(m_teacher,Y$4,m_date,($G$2+12),m_active,1,m_start,"&lt;"&amp;660,m_end,"&gt;"&amp;600)&gt;1,"충돌",HYPERLINK("#'관리자_MASTER'!D"&amp;_xlfn.MAXIFS(m_row,m_teacher,Y$4,m_date,($G$2+12),m_active,1,m_start,"&lt;"&amp;660,m_end,"&gt;"&amp;600),INDEX(m_label,_xlfn.MAXIFS(m_row,m_teacher,Y$4,m_date,($G$2+12),m_active,1,m_start,"&lt;"&amp;660,m_end,"&gt;"&amp;600))))))</f>
        <v/>
      </c>
      <c r="Z61" s="88" t="str">
        <f aca="false">IF(OR(Z$4="",MONTH(($G$2+12))&lt;&gt;MONTH($C$2)),"",IF(COUNTIFS(m_teacher,Z$4,m_date,($G$2+12),m_active,1,m_start,"&lt;"&amp;660,m_end,"&gt;"&amp;600)=0,"",IF(COUNTIFS(m_teacher,Z$4,m_date,($G$2+12),m_active,1,m_start,"&lt;"&amp;660,m_end,"&gt;"&amp;600)&gt;1,"충돌",HYPERLINK("#'관리자_MASTER'!D"&amp;_xlfn.MAXIFS(m_row,m_teacher,Z$4,m_date,($G$2+12),m_active,1,m_start,"&lt;"&amp;660,m_end,"&gt;"&amp;600),INDEX(m_label,_xlfn.MAXIFS(m_row,m_teacher,Z$4,m_date,($G$2+12),m_active,1,m_start,"&lt;"&amp;660,m_end,"&gt;"&amp;600))))))</f>
        <v/>
      </c>
      <c r="AA61" s="88" t="str">
        <f aca="false">IF(OR(AA$4="",MONTH(($G$2+12))&lt;&gt;MONTH($C$2)),"",IF(COUNTIFS(m_teacher,AA$4,m_date,($G$2+12),m_active,1,m_start,"&lt;"&amp;660,m_end,"&gt;"&amp;600)=0,"",IF(COUNTIFS(m_teacher,AA$4,m_date,($G$2+12),m_active,1,m_start,"&lt;"&amp;660,m_end,"&gt;"&amp;600)&gt;1,"충돌",HYPERLINK("#'관리자_MASTER'!D"&amp;_xlfn.MAXIFS(m_row,m_teacher,AA$4,m_date,($G$2+12),m_active,1,m_start,"&lt;"&amp;660,m_end,"&gt;"&amp;600),INDEX(m_label,_xlfn.MAXIFS(m_row,m_teacher,AA$4,m_date,($G$2+12),m_active,1,m_start,"&lt;"&amp;660,m_end,"&gt;"&amp;600))))))</f>
        <v/>
      </c>
      <c r="AB61" s="88" t="str">
        <f aca="false">IF(OR(AB$4="",MONTH(($G$2+12))&lt;&gt;MONTH($C$2)),"",IF(COUNTIFS(m_teacher,AB$4,m_date,($G$2+12),m_active,1,m_start,"&lt;"&amp;660,m_end,"&gt;"&amp;600)=0,"",IF(COUNTIFS(m_teacher,AB$4,m_date,($G$2+12),m_active,1,m_start,"&lt;"&amp;660,m_end,"&gt;"&amp;600)&gt;1,"충돌",HYPERLINK("#'관리자_MASTER'!D"&amp;_xlfn.MAXIFS(m_row,m_teacher,AB$4,m_date,($G$2+12),m_active,1,m_start,"&lt;"&amp;660,m_end,"&gt;"&amp;600),INDEX(m_label,_xlfn.MAXIFS(m_row,m_teacher,AB$4,m_date,($G$2+12),m_active,1,m_start,"&lt;"&amp;660,m_end,"&gt;"&amp;600))))))</f>
        <v/>
      </c>
      <c r="AC61" s="90"/>
      <c r="AD61" s="79" t="s">
        <v>92</v>
      </c>
      <c r="AE61" s="88" t="str">
        <f aca="false">IF(OR(AE$4="",MONTH(($G$2+19))&lt;&gt;MONTH($C$2)),"",IF(COUNTIFS(m_teacher,AE$4,m_date,($G$2+19),m_active,1,m_start,"&lt;"&amp;660,m_end,"&gt;"&amp;600)=0,"",IF(COUNTIFS(m_teacher,AE$4,m_date,($G$2+19),m_active,1,m_start,"&lt;"&amp;660,m_end,"&gt;"&amp;600)&gt;1,"충돌",HYPERLINK("#'관리자_MASTER'!D"&amp;_xlfn.MAXIFS(m_row,m_teacher,AE$4,m_date,($G$2+19),m_active,1,m_start,"&lt;"&amp;660,m_end,"&gt;"&amp;600),INDEX(m_label,_xlfn.MAXIFS(m_row,m_teacher,AE$4,m_date,($G$2+19),m_active,1,m_start,"&lt;"&amp;660,m_end,"&gt;"&amp;600))))))</f>
        <v/>
      </c>
      <c r="AF61" s="88" t="str">
        <f aca="false">IF(OR(AF$4="",MONTH(($G$2+19))&lt;&gt;MONTH($C$2)),"",IF(COUNTIFS(m_teacher,AF$4,m_date,($G$2+19),m_active,1,m_start,"&lt;"&amp;660,m_end,"&gt;"&amp;600)=0,"",IF(COUNTIFS(m_teacher,AF$4,m_date,($G$2+19),m_active,1,m_start,"&lt;"&amp;660,m_end,"&gt;"&amp;600)&gt;1,"충돌",HYPERLINK("#'관리자_MASTER'!D"&amp;_xlfn.MAXIFS(m_row,m_teacher,AF$4,m_date,($G$2+19),m_active,1,m_start,"&lt;"&amp;660,m_end,"&gt;"&amp;600),INDEX(m_label,_xlfn.MAXIFS(m_row,m_teacher,AF$4,m_date,($G$2+19),m_active,1,m_start,"&lt;"&amp;660,m_end,"&gt;"&amp;600))))))</f>
        <v/>
      </c>
      <c r="AG61" s="88" t="str">
        <f aca="false">IF(OR(AG$4="",MONTH(($G$2+19))&lt;&gt;MONTH($C$2)),"",IF(COUNTIFS(m_teacher,AG$4,m_date,($G$2+19),m_active,1,m_start,"&lt;"&amp;660,m_end,"&gt;"&amp;600)=0,"",IF(COUNTIFS(m_teacher,AG$4,m_date,($G$2+19),m_active,1,m_start,"&lt;"&amp;660,m_end,"&gt;"&amp;600)&gt;1,"충돌",HYPERLINK("#'관리자_MASTER'!D"&amp;_xlfn.MAXIFS(m_row,m_teacher,AG$4,m_date,($G$2+19),m_active,1,m_start,"&lt;"&amp;660,m_end,"&gt;"&amp;600),INDEX(m_label,_xlfn.MAXIFS(m_row,m_teacher,AG$4,m_date,($G$2+19),m_active,1,m_start,"&lt;"&amp;660,m_end,"&gt;"&amp;600))))))</f>
        <v/>
      </c>
      <c r="AH61" s="88" t="str">
        <f aca="false">IF(OR(AH$4="",MONTH(($G$2+19))&lt;&gt;MONTH($C$2)),"",IF(COUNTIFS(m_teacher,AH$4,m_date,($G$2+19),m_active,1,m_start,"&lt;"&amp;660,m_end,"&gt;"&amp;600)=0,"",IF(COUNTIFS(m_teacher,AH$4,m_date,($G$2+19),m_active,1,m_start,"&lt;"&amp;660,m_end,"&gt;"&amp;600)&gt;1,"충돌",HYPERLINK("#'관리자_MASTER'!D"&amp;_xlfn.MAXIFS(m_row,m_teacher,AH$4,m_date,($G$2+19),m_active,1,m_start,"&lt;"&amp;660,m_end,"&gt;"&amp;600),INDEX(m_label,_xlfn.MAXIFS(m_row,m_teacher,AH$4,m_date,($G$2+19),m_active,1,m_start,"&lt;"&amp;660,m_end,"&gt;"&amp;600))))))</f>
        <v/>
      </c>
      <c r="AI61" s="88" t="str">
        <f aca="false">IF(OR(AI$4="",MONTH(($G$2+19))&lt;&gt;MONTH($C$2)),"",IF(COUNTIFS(m_teacher,AI$4,m_date,($G$2+19),m_active,1,m_start,"&lt;"&amp;660,m_end,"&gt;"&amp;600)=0,"",IF(COUNTIFS(m_teacher,AI$4,m_date,($G$2+19),m_active,1,m_start,"&lt;"&amp;660,m_end,"&gt;"&amp;600)&gt;1,"충돌",HYPERLINK("#'관리자_MASTER'!D"&amp;_xlfn.MAXIFS(m_row,m_teacher,AI$4,m_date,($G$2+19),m_active,1,m_start,"&lt;"&amp;660,m_end,"&gt;"&amp;600),INDEX(m_label,_xlfn.MAXIFS(m_row,m_teacher,AI$4,m_date,($G$2+19),m_active,1,m_start,"&lt;"&amp;660,m_end,"&gt;"&amp;600))))))</f>
        <v/>
      </c>
      <c r="AJ61" s="88" t="str">
        <f aca="false">IF(OR(AJ$4="",MONTH(($G$2+19))&lt;&gt;MONTH($C$2)),"",IF(COUNTIFS(m_teacher,AJ$4,m_date,($G$2+19),m_active,1,m_start,"&lt;"&amp;660,m_end,"&gt;"&amp;600)=0,"",IF(COUNTIFS(m_teacher,AJ$4,m_date,($G$2+19),m_active,1,m_start,"&lt;"&amp;660,m_end,"&gt;"&amp;600)&gt;1,"충돌",HYPERLINK("#'관리자_MASTER'!D"&amp;_xlfn.MAXIFS(m_row,m_teacher,AJ$4,m_date,($G$2+19),m_active,1,m_start,"&lt;"&amp;660,m_end,"&gt;"&amp;600),INDEX(m_label,_xlfn.MAXIFS(m_row,m_teacher,AJ$4,m_date,($G$2+19),m_active,1,m_start,"&lt;"&amp;660,m_end,"&gt;"&amp;600))))))</f>
        <v/>
      </c>
      <c r="AK61" s="88" t="str">
        <f aca="false">IF(OR(AK$4="",MONTH(($G$2+19))&lt;&gt;MONTH($C$2)),"",IF(COUNTIFS(m_teacher,AK$4,m_date,($G$2+19),m_active,1,m_start,"&lt;"&amp;660,m_end,"&gt;"&amp;600)=0,"",IF(COUNTIFS(m_teacher,AK$4,m_date,($G$2+19),m_active,1,m_start,"&lt;"&amp;660,m_end,"&gt;"&amp;600)&gt;1,"충돌",HYPERLINK("#'관리자_MASTER'!D"&amp;_xlfn.MAXIFS(m_row,m_teacher,AK$4,m_date,($G$2+19),m_active,1,m_start,"&lt;"&amp;660,m_end,"&gt;"&amp;600),INDEX(m_label,_xlfn.MAXIFS(m_row,m_teacher,AK$4,m_date,($G$2+19),m_active,1,m_start,"&lt;"&amp;660,m_end,"&gt;"&amp;600))))))</f>
        <v/>
      </c>
      <c r="AL61" s="88" t="str">
        <f aca="false">IF(OR(AL$4="",MONTH(($G$2+19))&lt;&gt;MONTH($C$2)),"",IF(COUNTIFS(m_teacher,AL$4,m_date,($G$2+19),m_active,1,m_start,"&lt;"&amp;660,m_end,"&gt;"&amp;600)=0,"",IF(COUNTIFS(m_teacher,AL$4,m_date,($G$2+19),m_active,1,m_start,"&lt;"&amp;660,m_end,"&gt;"&amp;600)&gt;1,"충돌",HYPERLINK("#'관리자_MASTER'!D"&amp;_xlfn.MAXIFS(m_row,m_teacher,AL$4,m_date,($G$2+19),m_active,1,m_start,"&lt;"&amp;660,m_end,"&gt;"&amp;600),INDEX(m_label,_xlfn.MAXIFS(m_row,m_teacher,AL$4,m_date,($G$2+19),m_active,1,m_start,"&lt;"&amp;660,m_end,"&gt;"&amp;600))))))</f>
        <v/>
      </c>
      <c r="AM61" s="88" t="str">
        <f aca="false">IF(OR(AM$4="",MONTH(($G$2+19))&lt;&gt;MONTH($C$2)),"",IF(COUNTIFS(m_teacher,AM$4,m_date,($G$2+19),m_active,1,m_start,"&lt;"&amp;660,m_end,"&gt;"&amp;600)=0,"",IF(COUNTIFS(m_teacher,AM$4,m_date,($G$2+19),m_active,1,m_start,"&lt;"&amp;660,m_end,"&gt;"&amp;600)&gt;1,"충돌",HYPERLINK("#'관리자_MASTER'!D"&amp;_xlfn.MAXIFS(m_row,m_teacher,AM$4,m_date,($G$2+19),m_active,1,m_start,"&lt;"&amp;660,m_end,"&gt;"&amp;600),INDEX(m_label,_xlfn.MAXIFS(m_row,m_teacher,AM$4,m_date,($G$2+19),m_active,1,m_start,"&lt;"&amp;660,m_end,"&gt;"&amp;600))))))</f>
        <v/>
      </c>
      <c r="AN61" s="88" t="str">
        <f aca="false">IF(OR(AN$4="",MONTH(($G$2+19))&lt;&gt;MONTH($C$2)),"",IF(COUNTIFS(m_teacher,AN$4,m_date,($G$2+19),m_active,1,m_start,"&lt;"&amp;660,m_end,"&gt;"&amp;600)=0,"",IF(COUNTIFS(m_teacher,AN$4,m_date,($G$2+19),m_active,1,m_start,"&lt;"&amp;660,m_end,"&gt;"&amp;600)&gt;1,"충돌",HYPERLINK("#'관리자_MASTER'!D"&amp;_xlfn.MAXIFS(m_row,m_teacher,AN$4,m_date,($G$2+19),m_active,1,m_start,"&lt;"&amp;660,m_end,"&gt;"&amp;600),INDEX(m_label,_xlfn.MAXIFS(m_row,m_teacher,AN$4,m_date,($G$2+19),m_active,1,m_start,"&lt;"&amp;660,m_end,"&gt;"&amp;600))))))</f>
        <v/>
      </c>
      <c r="AO61" s="88" t="str">
        <f aca="false">IF(OR(AO$4="",MONTH(($G$2+19))&lt;&gt;MONTH($C$2)),"",IF(COUNTIFS(m_teacher,AO$4,m_date,($G$2+19),m_active,1,m_start,"&lt;"&amp;660,m_end,"&gt;"&amp;600)=0,"",IF(COUNTIFS(m_teacher,AO$4,m_date,($G$2+19),m_active,1,m_start,"&lt;"&amp;660,m_end,"&gt;"&amp;600)&gt;1,"충돌",HYPERLINK("#'관리자_MASTER'!D"&amp;_xlfn.MAXIFS(m_row,m_teacher,AO$4,m_date,($G$2+19),m_active,1,m_start,"&lt;"&amp;660,m_end,"&gt;"&amp;600),INDEX(m_label,_xlfn.MAXIFS(m_row,m_teacher,AO$4,m_date,($G$2+19),m_active,1,m_start,"&lt;"&amp;660,m_end,"&gt;"&amp;600))))))</f>
        <v/>
      </c>
      <c r="AP61" s="88" t="str">
        <f aca="false">IF(OR(AP$4="",MONTH(($G$2+19))&lt;&gt;MONTH($C$2)),"",IF(COUNTIFS(m_teacher,AP$4,m_date,($G$2+19),m_active,1,m_start,"&lt;"&amp;660,m_end,"&gt;"&amp;600)=0,"",IF(COUNTIFS(m_teacher,AP$4,m_date,($G$2+19),m_active,1,m_start,"&lt;"&amp;660,m_end,"&gt;"&amp;600)&gt;1,"충돌",HYPERLINK("#'관리자_MASTER'!D"&amp;_xlfn.MAXIFS(m_row,m_teacher,AP$4,m_date,($G$2+19),m_active,1,m_start,"&lt;"&amp;660,m_end,"&gt;"&amp;600),INDEX(m_label,_xlfn.MAXIFS(m_row,m_teacher,AP$4,m_date,($G$2+19),m_active,1,m_start,"&lt;"&amp;660,m_end,"&gt;"&amp;600))))))</f>
        <v/>
      </c>
      <c r="AQ61" s="90"/>
      <c r="AR61" s="79" t="s">
        <v>92</v>
      </c>
      <c r="AS61" s="88" t="str">
        <f aca="false">IF(OR(AS$4="",MONTH(($G$2+26))&lt;&gt;MONTH($C$2)),"",IF(COUNTIFS(m_teacher,AS$4,m_date,($G$2+26),m_active,1,m_start,"&lt;"&amp;660,m_end,"&gt;"&amp;600)=0,"",IF(COUNTIFS(m_teacher,AS$4,m_date,($G$2+26),m_active,1,m_start,"&lt;"&amp;660,m_end,"&gt;"&amp;600)&gt;1,"충돌",HYPERLINK("#'관리자_MASTER'!D"&amp;_xlfn.MAXIFS(m_row,m_teacher,AS$4,m_date,($G$2+26),m_active,1,m_start,"&lt;"&amp;660,m_end,"&gt;"&amp;600),INDEX(m_label,_xlfn.MAXIFS(m_row,m_teacher,AS$4,m_date,($G$2+26),m_active,1,m_start,"&lt;"&amp;660,m_end,"&gt;"&amp;600))))))</f>
        <v/>
      </c>
      <c r="AT61" s="88" t="str">
        <f aca="false">IF(OR(AT$4="",MONTH(($G$2+26))&lt;&gt;MONTH($C$2)),"",IF(COUNTIFS(m_teacher,AT$4,m_date,($G$2+26),m_active,1,m_start,"&lt;"&amp;660,m_end,"&gt;"&amp;600)=0,"",IF(COUNTIFS(m_teacher,AT$4,m_date,($G$2+26),m_active,1,m_start,"&lt;"&amp;660,m_end,"&gt;"&amp;600)&gt;1,"충돌",HYPERLINK("#'관리자_MASTER'!D"&amp;_xlfn.MAXIFS(m_row,m_teacher,AT$4,m_date,($G$2+26),m_active,1,m_start,"&lt;"&amp;660,m_end,"&gt;"&amp;600),INDEX(m_label,_xlfn.MAXIFS(m_row,m_teacher,AT$4,m_date,($G$2+26),m_active,1,m_start,"&lt;"&amp;660,m_end,"&gt;"&amp;600))))))</f>
        <v/>
      </c>
      <c r="AU61" s="88" t="str">
        <f aca="false">IF(OR(AU$4="",MONTH(($G$2+26))&lt;&gt;MONTH($C$2)),"",IF(COUNTIFS(m_teacher,AU$4,m_date,($G$2+26),m_active,1,m_start,"&lt;"&amp;660,m_end,"&gt;"&amp;600)=0,"",IF(COUNTIFS(m_teacher,AU$4,m_date,($G$2+26),m_active,1,m_start,"&lt;"&amp;660,m_end,"&gt;"&amp;600)&gt;1,"충돌",HYPERLINK("#'관리자_MASTER'!D"&amp;_xlfn.MAXIFS(m_row,m_teacher,AU$4,m_date,($G$2+26),m_active,1,m_start,"&lt;"&amp;660,m_end,"&gt;"&amp;600),INDEX(m_label,_xlfn.MAXIFS(m_row,m_teacher,AU$4,m_date,($G$2+26),m_active,1,m_start,"&lt;"&amp;660,m_end,"&gt;"&amp;600))))))</f>
        <v/>
      </c>
      <c r="AV61" s="88" t="str">
        <f aca="false">IF(OR(AV$4="",MONTH(($G$2+26))&lt;&gt;MONTH($C$2)),"",IF(COUNTIFS(m_teacher,AV$4,m_date,($G$2+26),m_active,1,m_start,"&lt;"&amp;660,m_end,"&gt;"&amp;600)=0,"",IF(COUNTIFS(m_teacher,AV$4,m_date,($G$2+26),m_active,1,m_start,"&lt;"&amp;660,m_end,"&gt;"&amp;600)&gt;1,"충돌",HYPERLINK("#'관리자_MASTER'!D"&amp;_xlfn.MAXIFS(m_row,m_teacher,AV$4,m_date,($G$2+26),m_active,1,m_start,"&lt;"&amp;660,m_end,"&gt;"&amp;600),INDEX(m_label,_xlfn.MAXIFS(m_row,m_teacher,AV$4,m_date,($G$2+26),m_active,1,m_start,"&lt;"&amp;660,m_end,"&gt;"&amp;600))))))</f>
        <v/>
      </c>
      <c r="AW61" s="88" t="str">
        <f aca="false">IF(OR(AW$4="",MONTH(($G$2+26))&lt;&gt;MONTH($C$2)),"",IF(COUNTIFS(m_teacher,AW$4,m_date,($G$2+26),m_active,1,m_start,"&lt;"&amp;660,m_end,"&gt;"&amp;600)=0,"",IF(COUNTIFS(m_teacher,AW$4,m_date,($G$2+26),m_active,1,m_start,"&lt;"&amp;660,m_end,"&gt;"&amp;600)&gt;1,"충돌",HYPERLINK("#'관리자_MASTER'!D"&amp;_xlfn.MAXIFS(m_row,m_teacher,AW$4,m_date,($G$2+26),m_active,1,m_start,"&lt;"&amp;660,m_end,"&gt;"&amp;600),INDEX(m_label,_xlfn.MAXIFS(m_row,m_teacher,AW$4,m_date,($G$2+26),m_active,1,m_start,"&lt;"&amp;660,m_end,"&gt;"&amp;600))))))</f>
        <v/>
      </c>
      <c r="AX61" s="88" t="str">
        <f aca="false">IF(OR(AX$4="",MONTH(($G$2+26))&lt;&gt;MONTH($C$2)),"",IF(COUNTIFS(m_teacher,AX$4,m_date,($G$2+26),m_active,1,m_start,"&lt;"&amp;660,m_end,"&gt;"&amp;600)=0,"",IF(COUNTIFS(m_teacher,AX$4,m_date,($G$2+26),m_active,1,m_start,"&lt;"&amp;660,m_end,"&gt;"&amp;600)&gt;1,"충돌",HYPERLINK("#'관리자_MASTER'!D"&amp;_xlfn.MAXIFS(m_row,m_teacher,AX$4,m_date,($G$2+26),m_active,1,m_start,"&lt;"&amp;660,m_end,"&gt;"&amp;600),INDEX(m_label,_xlfn.MAXIFS(m_row,m_teacher,AX$4,m_date,($G$2+26),m_active,1,m_start,"&lt;"&amp;660,m_end,"&gt;"&amp;600))))))</f>
        <v/>
      </c>
      <c r="AY61" s="88" t="str">
        <f aca="false">IF(OR(AY$4="",MONTH(($G$2+26))&lt;&gt;MONTH($C$2)),"",IF(COUNTIFS(m_teacher,AY$4,m_date,($G$2+26),m_active,1,m_start,"&lt;"&amp;660,m_end,"&gt;"&amp;600)=0,"",IF(COUNTIFS(m_teacher,AY$4,m_date,($G$2+26),m_active,1,m_start,"&lt;"&amp;660,m_end,"&gt;"&amp;600)&gt;1,"충돌",HYPERLINK("#'관리자_MASTER'!D"&amp;_xlfn.MAXIFS(m_row,m_teacher,AY$4,m_date,($G$2+26),m_active,1,m_start,"&lt;"&amp;660,m_end,"&gt;"&amp;600),INDEX(m_label,_xlfn.MAXIFS(m_row,m_teacher,AY$4,m_date,($G$2+26),m_active,1,m_start,"&lt;"&amp;660,m_end,"&gt;"&amp;600))))))</f>
        <v/>
      </c>
      <c r="AZ61" s="88" t="str">
        <f aca="false">IF(OR(AZ$4="",MONTH(($G$2+26))&lt;&gt;MONTH($C$2)),"",IF(COUNTIFS(m_teacher,AZ$4,m_date,($G$2+26),m_active,1,m_start,"&lt;"&amp;660,m_end,"&gt;"&amp;600)=0,"",IF(COUNTIFS(m_teacher,AZ$4,m_date,($G$2+26),m_active,1,m_start,"&lt;"&amp;660,m_end,"&gt;"&amp;600)&gt;1,"충돌",HYPERLINK("#'관리자_MASTER'!D"&amp;_xlfn.MAXIFS(m_row,m_teacher,AZ$4,m_date,($G$2+26),m_active,1,m_start,"&lt;"&amp;660,m_end,"&gt;"&amp;600),INDEX(m_label,_xlfn.MAXIFS(m_row,m_teacher,AZ$4,m_date,($G$2+26),m_active,1,m_start,"&lt;"&amp;660,m_end,"&gt;"&amp;600))))))</f>
        <v/>
      </c>
      <c r="BA61" s="88" t="str">
        <f aca="false">IF(OR(BA$4="",MONTH(($G$2+26))&lt;&gt;MONTH($C$2)),"",IF(COUNTIFS(m_teacher,BA$4,m_date,($G$2+26),m_active,1,m_start,"&lt;"&amp;660,m_end,"&gt;"&amp;600)=0,"",IF(COUNTIFS(m_teacher,BA$4,m_date,($G$2+26),m_active,1,m_start,"&lt;"&amp;660,m_end,"&gt;"&amp;600)&gt;1,"충돌",HYPERLINK("#'관리자_MASTER'!D"&amp;_xlfn.MAXIFS(m_row,m_teacher,BA$4,m_date,($G$2+26),m_active,1,m_start,"&lt;"&amp;660,m_end,"&gt;"&amp;600),INDEX(m_label,_xlfn.MAXIFS(m_row,m_teacher,BA$4,m_date,($G$2+26),m_active,1,m_start,"&lt;"&amp;660,m_end,"&gt;"&amp;600))))))</f>
        <v/>
      </c>
      <c r="BB61" s="88" t="str">
        <f aca="false">IF(OR(BB$4="",MONTH(($G$2+26))&lt;&gt;MONTH($C$2)),"",IF(COUNTIFS(m_teacher,BB$4,m_date,($G$2+26),m_active,1,m_start,"&lt;"&amp;660,m_end,"&gt;"&amp;600)=0,"",IF(COUNTIFS(m_teacher,BB$4,m_date,($G$2+26),m_active,1,m_start,"&lt;"&amp;660,m_end,"&gt;"&amp;600)&gt;1,"충돌",HYPERLINK("#'관리자_MASTER'!D"&amp;_xlfn.MAXIFS(m_row,m_teacher,BB$4,m_date,($G$2+26),m_active,1,m_start,"&lt;"&amp;660,m_end,"&gt;"&amp;600),INDEX(m_label,_xlfn.MAXIFS(m_row,m_teacher,BB$4,m_date,($G$2+26),m_active,1,m_start,"&lt;"&amp;660,m_end,"&gt;"&amp;600))))))</f>
        <v/>
      </c>
      <c r="BC61" s="88" t="str">
        <f aca="false">IF(OR(BC$4="",MONTH(($G$2+26))&lt;&gt;MONTH($C$2)),"",IF(COUNTIFS(m_teacher,BC$4,m_date,($G$2+26),m_active,1,m_start,"&lt;"&amp;660,m_end,"&gt;"&amp;600)=0,"",IF(COUNTIFS(m_teacher,BC$4,m_date,($G$2+26),m_active,1,m_start,"&lt;"&amp;660,m_end,"&gt;"&amp;600)&gt;1,"충돌",HYPERLINK("#'관리자_MASTER'!D"&amp;_xlfn.MAXIFS(m_row,m_teacher,BC$4,m_date,($G$2+26),m_active,1,m_start,"&lt;"&amp;660,m_end,"&gt;"&amp;600),INDEX(m_label,_xlfn.MAXIFS(m_row,m_teacher,BC$4,m_date,($G$2+26),m_active,1,m_start,"&lt;"&amp;660,m_end,"&gt;"&amp;600))))))</f>
        <v/>
      </c>
      <c r="BD61" s="88" t="str">
        <f aca="false">IF(OR(BD$4="",MONTH(($G$2+26))&lt;&gt;MONTH($C$2)),"",IF(COUNTIFS(m_teacher,BD$4,m_date,($G$2+26),m_active,1,m_start,"&lt;"&amp;660,m_end,"&gt;"&amp;600)=0,"",IF(COUNTIFS(m_teacher,BD$4,m_date,($G$2+26),m_active,1,m_start,"&lt;"&amp;660,m_end,"&gt;"&amp;600)&gt;1,"충돌",HYPERLINK("#'관리자_MASTER'!D"&amp;_xlfn.MAXIFS(m_row,m_teacher,BD$4,m_date,($G$2+26),m_active,1,m_start,"&lt;"&amp;660,m_end,"&gt;"&amp;600),INDEX(m_label,_xlfn.MAXIFS(m_row,m_teacher,BD$4,m_date,($G$2+26),m_active,1,m_start,"&lt;"&amp;660,m_end,"&gt;"&amp;600))))))</f>
        <v/>
      </c>
    </row>
    <row r="62" customFormat="false" ht="19.5" hidden="false" customHeight="true" outlineLevel="0" collapsed="false">
      <c r="A62" s="90"/>
      <c r="B62" s="79" t="s">
        <v>93</v>
      </c>
      <c r="C62" s="88" t="str">
        <f aca="false">IF(OR(C$4="",MONTH(($G$2+5))&lt;&gt;MONTH($C$2)),"",IF(COUNTIFS(m_teacher,C$4,m_date,($G$2+5),m_active,1,m_start,"&lt;"&amp;720,m_end,"&gt;"&amp;660)=0,"",IF(COUNTIFS(m_teacher,C$4,m_date,($G$2+5),m_active,1,m_start,"&lt;"&amp;720,m_end,"&gt;"&amp;660)&gt;1,"충돌",HYPERLINK("#'관리자_MASTER'!D"&amp;_xlfn.MAXIFS(m_row,m_teacher,C$4,m_date,($G$2+5),m_active,1,m_start,"&lt;"&amp;720,m_end,"&gt;"&amp;660),INDEX(m_label,_xlfn.MAXIFS(m_row,m_teacher,C$4,m_date,($G$2+5),m_active,1,m_start,"&lt;"&amp;720,m_end,"&gt;"&amp;660))))))</f>
        <v/>
      </c>
      <c r="D62" s="88" t="str">
        <f aca="false">IF(OR(D$4="",MONTH(($G$2+5))&lt;&gt;MONTH($C$2)),"",IF(COUNTIFS(m_teacher,D$4,m_date,($G$2+5),m_active,1,m_start,"&lt;"&amp;720,m_end,"&gt;"&amp;660)=0,"",IF(COUNTIFS(m_teacher,D$4,m_date,($G$2+5),m_active,1,m_start,"&lt;"&amp;720,m_end,"&gt;"&amp;660)&gt;1,"충돌",HYPERLINK("#'관리자_MASTER'!D"&amp;_xlfn.MAXIFS(m_row,m_teacher,D$4,m_date,($G$2+5),m_active,1,m_start,"&lt;"&amp;720,m_end,"&gt;"&amp;660),INDEX(m_label,_xlfn.MAXIFS(m_row,m_teacher,D$4,m_date,($G$2+5),m_active,1,m_start,"&lt;"&amp;720,m_end,"&gt;"&amp;660))))))</f>
        <v/>
      </c>
      <c r="E62" s="88" t="str">
        <f aca="false">IF(OR(E$4="",MONTH(($G$2+5))&lt;&gt;MONTH($C$2)),"",IF(COUNTIFS(m_teacher,E$4,m_date,($G$2+5),m_active,1,m_start,"&lt;"&amp;720,m_end,"&gt;"&amp;660)=0,"",IF(COUNTIFS(m_teacher,E$4,m_date,($G$2+5),m_active,1,m_start,"&lt;"&amp;720,m_end,"&gt;"&amp;660)&gt;1,"충돌",HYPERLINK("#'관리자_MASTER'!D"&amp;_xlfn.MAXIFS(m_row,m_teacher,E$4,m_date,($G$2+5),m_active,1,m_start,"&lt;"&amp;720,m_end,"&gt;"&amp;660),INDEX(m_label,_xlfn.MAXIFS(m_row,m_teacher,E$4,m_date,($G$2+5),m_active,1,m_start,"&lt;"&amp;720,m_end,"&gt;"&amp;660))))))</f>
        <v/>
      </c>
      <c r="F62" s="88" t="str">
        <f aca="false">IF(OR(F$4="",MONTH(($G$2+5))&lt;&gt;MONTH($C$2)),"",IF(COUNTIFS(m_teacher,F$4,m_date,($G$2+5),m_active,1,m_start,"&lt;"&amp;720,m_end,"&gt;"&amp;660)=0,"",IF(COUNTIFS(m_teacher,F$4,m_date,($G$2+5),m_active,1,m_start,"&lt;"&amp;720,m_end,"&gt;"&amp;660)&gt;1,"충돌",HYPERLINK("#'관리자_MASTER'!D"&amp;_xlfn.MAXIFS(m_row,m_teacher,F$4,m_date,($G$2+5),m_active,1,m_start,"&lt;"&amp;720,m_end,"&gt;"&amp;660),INDEX(m_label,_xlfn.MAXIFS(m_row,m_teacher,F$4,m_date,($G$2+5),m_active,1,m_start,"&lt;"&amp;720,m_end,"&gt;"&amp;660))))))</f>
        <v/>
      </c>
      <c r="G62" s="88" t="str">
        <f aca="false">IF(OR(G$4="",MONTH(($G$2+5))&lt;&gt;MONTH($C$2)),"",IF(COUNTIFS(m_teacher,G$4,m_date,($G$2+5),m_active,1,m_start,"&lt;"&amp;720,m_end,"&gt;"&amp;660)=0,"",IF(COUNTIFS(m_teacher,G$4,m_date,($G$2+5),m_active,1,m_start,"&lt;"&amp;720,m_end,"&gt;"&amp;660)&gt;1,"충돌",HYPERLINK("#'관리자_MASTER'!D"&amp;_xlfn.MAXIFS(m_row,m_teacher,G$4,m_date,($G$2+5),m_active,1,m_start,"&lt;"&amp;720,m_end,"&gt;"&amp;660),INDEX(m_label,_xlfn.MAXIFS(m_row,m_teacher,G$4,m_date,($G$2+5),m_active,1,m_start,"&lt;"&amp;720,m_end,"&gt;"&amp;660))))))</f>
        <v/>
      </c>
      <c r="H62" s="88" t="str">
        <f aca="false">IF(OR(H$4="",MONTH(($G$2+5))&lt;&gt;MONTH($C$2)),"",IF(COUNTIFS(m_teacher,H$4,m_date,($G$2+5),m_active,1,m_start,"&lt;"&amp;720,m_end,"&gt;"&amp;660)=0,"",IF(COUNTIFS(m_teacher,H$4,m_date,($G$2+5),m_active,1,m_start,"&lt;"&amp;720,m_end,"&gt;"&amp;660)&gt;1,"충돌",HYPERLINK("#'관리자_MASTER'!D"&amp;_xlfn.MAXIFS(m_row,m_teacher,H$4,m_date,($G$2+5),m_active,1,m_start,"&lt;"&amp;720,m_end,"&gt;"&amp;660),INDEX(m_label,_xlfn.MAXIFS(m_row,m_teacher,H$4,m_date,($G$2+5),m_active,1,m_start,"&lt;"&amp;720,m_end,"&gt;"&amp;660))))))</f>
        <v/>
      </c>
      <c r="I62" s="88" t="str">
        <f aca="false">IF(OR(I$4="",MONTH(($G$2+5))&lt;&gt;MONTH($C$2)),"",IF(COUNTIFS(m_teacher,I$4,m_date,($G$2+5),m_active,1,m_start,"&lt;"&amp;720,m_end,"&gt;"&amp;660)=0,"",IF(COUNTIFS(m_teacher,I$4,m_date,($G$2+5),m_active,1,m_start,"&lt;"&amp;720,m_end,"&gt;"&amp;660)&gt;1,"충돌",HYPERLINK("#'관리자_MASTER'!D"&amp;_xlfn.MAXIFS(m_row,m_teacher,I$4,m_date,($G$2+5),m_active,1,m_start,"&lt;"&amp;720,m_end,"&gt;"&amp;660),INDEX(m_label,_xlfn.MAXIFS(m_row,m_teacher,I$4,m_date,($G$2+5),m_active,1,m_start,"&lt;"&amp;720,m_end,"&gt;"&amp;660))))))</f>
        <v/>
      </c>
      <c r="J62" s="88" t="str">
        <f aca="false">IF(OR(J$4="",MONTH(($G$2+5))&lt;&gt;MONTH($C$2)),"",IF(COUNTIFS(m_teacher,J$4,m_date,($G$2+5),m_active,1,m_start,"&lt;"&amp;720,m_end,"&gt;"&amp;660)=0,"",IF(COUNTIFS(m_teacher,J$4,m_date,($G$2+5),m_active,1,m_start,"&lt;"&amp;720,m_end,"&gt;"&amp;660)&gt;1,"충돌",HYPERLINK("#'관리자_MASTER'!D"&amp;_xlfn.MAXIFS(m_row,m_teacher,J$4,m_date,($G$2+5),m_active,1,m_start,"&lt;"&amp;720,m_end,"&gt;"&amp;660),INDEX(m_label,_xlfn.MAXIFS(m_row,m_teacher,J$4,m_date,($G$2+5),m_active,1,m_start,"&lt;"&amp;720,m_end,"&gt;"&amp;660))))))</f>
        <v/>
      </c>
      <c r="K62" s="88" t="str">
        <f aca="false">IF(OR(K$4="",MONTH(($G$2+5))&lt;&gt;MONTH($C$2)),"",IF(COUNTIFS(m_teacher,K$4,m_date,($G$2+5),m_active,1,m_start,"&lt;"&amp;720,m_end,"&gt;"&amp;660)=0,"",IF(COUNTIFS(m_teacher,K$4,m_date,($G$2+5),m_active,1,m_start,"&lt;"&amp;720,m_end,"&gt;"&amp;660)&gt;1,"충돌",HYPERLINK("#'관리자_MASTER'!D"&amp;_xlfn.MAXIFS(m_row,m_teacher,K$4,m_date,($G$2+5),m_active,1,m_start,"&lt;"&amp;720,m_end,"&gt;"&amp;660),INDEX(m_label,_xlfn.MAXIFS(m_row,m_teacher,K$4,m_date,($G$2+5),m_active,1,m_start,"&lt;"&amp;720,m_end,"&gt;"&amp;660))))))</f>
        <v/>
      </c>
      <c r="L62" s="88" t="str">
        <f aca="false">IF(OR(L$4="",MONTH(($G$2+5))&lt;&gt;MONTH($C$2)),"",IF(COUNTIFS(m_teacher,L$4,m_date,($G$2+5),m_active,1,m_start,"&lt;"&amp;720,m_end,"&gt;"&amp;660)=0,"",IF(COUNTIFS(m_teacher,L$4,m_date,($G$2+5),m_active,1,m_start,"&lt;"&amp;720,m_end,"&gt;"&amp;660)&gt;1,"충돌",HYPERLINK("#'관리자_MASTER'!D"&amp;_xlfn.MAXIFS(m_row,m_teacher,L$4,m_date,($G$2+5),m_active,1,m_start,"&lt;"&amp;720,m_end,"&gt;"&amp;660),INDEX(m_label,_xlfn.MAXIFS(m_row,m_teacher,L$4,m_date,($G$2+5),m_active,1,m_start,"&lt;"&amp;720,m_end,"&gt;"&amp;660))))))</f>
        <v/>
      </c>
      <c r="M62" s="88" t="str">
        <f aca="false">IF(OR(M$4="",MONTH(($G$2+5))&lt;&gt;MONTH($C$2)),"",IF(COUNTIFS(m_teacher,M$4,m_date,($G$2+5),m_active,1,m_start,"&lt;"&amp;720,m_end,"&gt;"&amp;660)=0,"",IF(COUNTIFS(m_teacher,M$4,m_date,($G$2+5),m_active,1,m_start,"&lt;"&amp;720,m_end,"&gt;"&amp;660)&gt;1,"충돌",HYPERLINK("#'관리자_MASTER'!D"&amp;_xlfn.MAXIFS(m_row,m_teacher,M$4,m_date,($G$2+5),m_active,1,m_start,"&lt;"&amp;720,m_end,"&gt;"&amp;660),INDEX(m_label,_xlfn.MAXIFS(m_row,m_teacher,M$4,m_date,($G$2+5),m_active,1,m_start,"&lt;"&amp;720,m_end,"&gt;"&amp;660))))))</f>
        <v/>
      </c>
      <c r="N62" s="88" t="str">
        <f aca="false">IF(OR(N$4="",MONTH(($G$2+5))&lt;&gt;MONTH($C$2)),"",IF(COUNTIFS(m_teacher,N$4,m_date,($G$2+5),m_active,1,m_start,"&lt;"&amp;720,m_end,"&gt;"&amp;660)=0,"",IF(COUNTIFS(m_teacher,N$4,m_date,($G$2+5),m_active,1,m_start,"&lt;"&amp;720,m_end,"&gt;"&amp;660)&gt;1,"충돌",HYPERLINK("#'관리자_MASTER'!D"&amp;_xlfn.MAXIFS(m_row,m_teacher,N$4,m_date,($G$2+5),m_active,1,m_start,"&lt;"&amp;720,m_end,"&gt;"&amp;660),INDEX(m_label,_xlfn.MAXIFS(m_row,m_teacher,N$4,m_date,($G$2+5),m_active,1,m_start,"&lt;"&amp;720,m_end,"&gt;"&amp;660))))))</f>
        <v/>
      </c>
      <c r="O62" s="90"/>
      <c r="P62" s="79" t="s">
        <v>93</v>
      </c>
      <c r="Q62" s="88" t="str">
        <f aca="false">IF(OR(Q$4="",MONTH(($G$2+12))&lt;&gt;MONTH($C$2)),"",IF(COUNTIFS(m_teacher,Q$4,m_date,($G$2+12),m_active,1,m_start,"&lt;"&amp;720,m_end,"&gt;"&amp;660)=0,"",IF(COUNTIFS(m_teacher,Q$4,m_date,($G$2+12),m_active,1,m_start,"&lt;"&amp;720,m_end,"&gt;"&amp;660)&gt;1,"충돌",HYPERLINK("#'관리자_MASTER'!D"&amp;_xlfn.MAXIFS(m_row,m_teacher,Q$4,m_date,($G$2+12),m_active,1,m_start,"&lt;"&amp;720,m_end,"&gt;"&amp;660),INDEX(m_label,_xlfn.MAXIFS(m_row,m_teacher,Q$4,m_date,($G$2+12),m_active,1,m_start,"&lt;"&amp;720,m_end,"&gt;"&amp;660))))))</f>
        <v/>
      </c>
      <c r="R62" s="88" t="str">
        <f aca="false">IF(OR(R$4="",MONTH(($G$2+12))&lt;&gt;MONTH($C$2)),"",IF(COUNTIFS(m_teacher,R$4,m_date,($G$2+12),m_active,1,m_start,"&lt;"&amp;720,m_end,"&gt;"&amp;660)=0,"",IF(COUNTIFS(m_teacher,R$4,m_date,($G$2+12),m_active,1,m_start,"&lt;"&amp;720,m_end,"&gt;"&amp;660)&gt;1,"충돌",HYPERLINK("#'관리자_MASTER'!D"&amp;_xlfn.MAXIFS(m_row,m_teacher,R$4,m_date,($G$2+12),m_active,1,m_start,"&lt;"&amp;720,m_end,"&gt;"&amp;660),INDEX(m_label,_xlfn.MAXIFS(m_row,m_teacher,R$4,m_date,($G$2+12),m_active,1,m_start,"&lt;"&amp;720,m_end,"&gt;"&amp;660))))))</f>
        <v/>
      </c>
      <c r="S62" s="88" t="str">
        <f aca="false">IF(OR(S$4="",MONTH(($G$2+12))&lt;&gt;MONTH($C$2)),"",IF(COUNTIFS(m_teacher,S$4,m_date,($G$2+12),m_active,1,m_start,"&lt;"&amp;720,m_end,"&gt;"&amp;660)=0,"",IF(COUNTIFS(m_teacher,S$4,m_date,($G$2+12),m_active,1,m_start,"&lt;"&amp;720,m_end,"&gt;"&amp;660)&gt;1,"충돌",HYPERLINK("#'관리자_MASTER'!D"&amp;_xlfn.MAXIFS(m_row,m_teacher,S$4,m_date,($G$2+12),m_active,1,m_start,"&lt;"&amp;720,m_end,"&gt;"&amp;660),INDEX(m_label,_xlfn.MAXIFS(m_row,m_teacher,S$4,m_date,($G$2+12),m_active,1,m_start,"&lt;"&amp;720,m_end,"&gt;"&amp;660))))))</f>
        <v/>
      </c>
      <c r="T62" s="88" t="str">
        <f aca="false">IF(OR(T$4="",MONTH(($G$2+12))&lt;&gt;MONTH($C$2)),"",IF(COUNTIFS(m_teacher,T$4,m_date,($G$2+12),m_active,1,m_start,"&lt;"&amp;720,m_end,"&gt;"&amp;660)=0,"",IF(COUNTIFS(m_teacher,T$4,m_date,($G$2+12),m_active,1,m_start,"&lt;"&amp;720,m_end,"&gt;"&amp;660)&gt;1,"충돌",HYPERLINK("#'관리자_MASTER'!D"&amp;_xlfn.MAXIFS(m_row,m_teacher,T$4,m_date,($G$2+12),m_active,1,m_start,"&lt;"&amp;720,m_end,"&gt;"&amp;660),INDEX(m_label,_xlfn.MAXIFS(m_row,m_teacher,T$4,m_date,($G$2+12),m_active,1,m_start,"&lt;"&amp;720,m_end,"&gt;"&amp;660))))))</f>
        <v/>
      </c>
      <c r="U62" s="88" t="str">
        <f aca="false">IF(OR(U$4="",MONTH(($G$2+12))&lt;&gt;MONTH($C$2)),"",IF(COUNTIFS(m_teacher,U$4,m_date,($G$2+12),m_active,1,m_start,"&lt;"&amp;720,m_end,"&gt;"&amp;660)=0,"",IF(COUNTIFS(m_teacher,U$4,m_date,($G$2+12),m_active,1,m_start,"&lt;"&amp;720,m_end,"&gt;"&amp;660)&gt;1,"충돌",HYPERLINK("#'관리자_MASTER'!D"&amp;_xlfn.MAXIFS(m_row,m_teacher,U$4,m_date,($G$2+12),m_active,1,m_start,"&lt;"&amp;720,m_end,"&gt;"&amp;660),INDEX(m_label,_xlfn.MAXIFS(m_row,m_teacher,U$4,m_date,($G$2+12),m_active,1,m_start,"&lt;"&amp;720,m_end,"&gt;"&amp;660))))))</f>
        <v/>
      </c>
      <c r="V62" s="88" t="str">
        <f aca="false">IF(OR(V$4="",MONTH(($G$2+12))&lt;&gt;MONTH($C$2)),"",IF(COUNTIFS(m_teacher,V$4,m_date,($G$2+12),m_active,1,m_start,"&lt;"&amp;720,m_end,"&gt;"&amp;660)=0,"",IF(COUNTIFS(m_teacher,V$4,m_date,($G$2+12),m_active,1,m_start,"&lt;"&amp;720,m_end,"&gt;"&amp;660)&gt;1,"충돌",HYPERLINK("#'관리자_MASTER'!D"&amp;_xlfn.MAXIFS(m_row,m_teacher,V$4,m_date,($G$2+12),m_active,1,m_start,"&lt;"&amp;720,m_end,"&gt;"&amp;660),INDEX(m_label,_xlfn.MAXIFS(m_row,m_teacher,V$4,m_date,($G$2+12),m_active,1,m_start,"&lt;"&amp;720,m_end,"&gt;"&amp;660))))))</f>
        <v/>
      </c>
      <c r="W62" s="88" t="str">
        <f aca="false">IF(OR(W$4="",MONTH(($G$2+12))&lt;&gt;MONTH($C$2)),"",IF(COUNTIFS(m_teacher,W$4,m_date,($G$2+12),m_active,1,m_start,"&lt;"&amp;720,m_end,"&gt;"&amp;660)=0,"",IF(COUNTIFS(m_teacher,W$4,m_date,($G$2+12),m_active,1,m_start,"&lt;"&amp;720,m_end,"&gt;"&amp;660)&gt;1,"충돌",HYPERLINK("#'관리자_MASTER'!D"&amp;_xlfn.MAXIFS(m_row,m_teacher,W$4,m_date,($G$2+12),m_active,1,m_start,"&lt;"&amp;720,m_end,"&gt;"&amp;660),INDEX(m_label,_xlfn.MAXIFS(m_row,m_teacher,W$4,m_date,($G$2+12),m_active,1,m_start,"&lt;"&amp;720,m_end,"&gt;"&amp;660))))))</f>
        <v/>
      </c>
      <c r="X62" s="88" t="str">
        <f aca="false">IF(OR(X$4="",MONTH(($G$2+12))&lt;&gt;MONTH($C$2)),"",IF(COUNTIFS(m_teacher,X$4,m_date,($G$2+12),m_active,1,m_start,"&lt;"&amp;720,m_end,"&gt;"&amp;660)=0,"",IF(COUNTIFS(m_teacher,X$4,m_date,($G$2+12),m_active,1,m_start,"&lt;"&amp;720,m_end,"&gt;"&amp;660)&gt;1,"충돌",HYPERLINK("#'관리자_MASTER'!D"&amp;_xlfn.MAXIFS(m_row,m_teacher,X$4,m_date,($G$2+12),m_active,1,m_start,"&lt;"&amp;720,m_end,"&gt;"&amp;660),INDEX(m_label,_xlfn.MAXIFS(m_row,m_teacher,X$4,m_date,($G$2+12),m_active,1,m_start,"&lt;"&amp;720,m_end,"&gt;"&amp;660))))))</f>
        <v/>
      </c>
      <c r="Y62" s="88" t="str">
        <f aca="false">IF(OR(Y$4="",MONTH(($G$2+12))&lt;&gt;MONTH($C$2)),"",IF(COUNTIFS(m_teacher,Y$4,m_date,($G$2+12),m_active,1,m_start,"&lt;"&amp;720,m_end,"&gt;"&amp;660)=0,"",IF(COUNTIFS(m_teacher,Y$4,m_date,($G$2+12),m_active,1,m_start,"&lt;"&amp;720,m_end,"&gt;"&amp;660)&gt;1,"충돌",HYPERLINK("#'관리자_MASTER'!D"&amp;_xlfn.MAXIFS(m_row,m_teacher,Y$4,m_date,($G$2+12),m_active,1,m_start,"&lt;"&amp;720,m_end,"&gt;"&amp;660),INDEX(m_label,_xlfn.MAXIFS(m_row,m_teacher,Y$4,m_date,($G$2+12),m_active,1,m_start,"&lt;"&amp;720,m_end,"&gt;"&amp;660))))))</f>
        <v/>
      </c>
      <c r="Z62" s="88" t="str">
        <f aca="false">IF(OR(Z$4="",MONTH(($G$2+12))&lt;&gt;MONTH($C$2)),"",IF(COUNTIFS(m_teacher,Z$4,m_date,($G$2+12),m_active,1,m_start,"&lt;"&amp;720,m_end,"&gt;"&amp;660)=0,"",IF(COUNTIFS(m_teacher,Z$4,m_date,($G$2+12),m_active,1,m_start,"&lt;"&amp;720,m_end,"&gt;"&amp;660)&gt;1,"충돌",HYPERLINK("#'관리자_MASTER'!D"&amp;_xlfn.MAXIFS(m_row,m_teacher,Z$4,m_date,($G$2+12),m_active,1,m_start,"&lt;"&amp;720,m_end,"&gt;"&amp;660),INDEX(m_label,_xlfn.MAXIFS(m_row,m_teacher,Z$4,m_date,($G$2+12),m_active,1,m_start,"&lt;"&amp;720,m_end,"&gt;"&amp;660))))))</f>
        <v/>
      </c>
      <c r="AA62" s="88" t="str">
        <f aca="false">IF(OR(AA$4="",MONTH(($G$2+12))&lt;&gt;MONTH($C$2)),"",IF(COUNTIFS(m_teacher,AA$4,m_date,($G$2+12),m_active,1,m_start,"&lt;"&amp;720,m_end,"&gt;"&amp;660)=0,"",IF(COUNTIFS(m_teacher,AA$4,m_date,($G$2+12),m_active,1,m_start,"&lt;"&amp;720,m_end,"&gt;"&amp;660)&gt;1,"충돌",HYPERLINK("#'관리자_MASTER'!D"&amp;_xlfn.MAXIFS(m_row,m_teacher,AA$4,m_date,($G$2+12),m_active,1,m_start,"&lt;"&amp;720,m_end,"&gt;"&amp;660),INDEX(m_label,_xlfn.MAXIFS(m_row,m_teacher,AA$4,m_date,($G$2+12),m_active,1,m_start,"&lt;"&amp;720,m_end,"&gt;"&amp;660))))))</f>
        <v/>
      </c>
      <c r="AB62" s="88" t="str">
        <f aca="false">IF(OR(AB$4="",MONTH(($G$2+12))&lt;&gt;MONTH($C$2)),"",IF(COUNTIFS(m_teacher,AB$4,m_date,($G$2+12),m_active,1,m_start,"&lt;"&amp;720,m_end,"&gt;"&amp;660)=0,"",IF(COUNTIFS(m_teacher,AB$4,m_date,($G$2+12),m_active,1,m_start,"&lt;"&amp;720,m_end,"&gt;"&amp;660)&gt;1,"충돌",HYPERLINK("#'관리자_MASTER'!D"&amp;_xlfn.MAXIFS(m_row,m_teacher,AB$4,m_date,($G$2+12),m_active,1,m_start,"&lt;"&amp;720,m_end,"&gt;"&amp;660),INDEX(m_label,_xlfn.MAXIFS(m_row,m_teacher,AB$4,m_date,($G$2+12),m_active,1,m_start,"&lt;"&amp;720,m_end,"&gt;"&amp;660))))))</f>
        <v/>
      </c>
      <c r="AC62" s="90"/>
      <c r="AD62" s="79" t="s">
        <v>93</v>
      </c>
      <c r="AE62" s="88" t="str">
        <f aca="false">IF(OR(AE$4="",MONTH(($G$2+19))&lt;&gt;MONTH($C$2)),"",IF(COUNTIFS(m_teacher,AE$4,m_date,($G$2+19),m_active,1,m_start,"&lt;"&amp;720,m_end,"&gt;"&amp;660)=0,"",IF(COUNTIFS(m_teacher,AE$4,m_date,($G$2+19),m_active,1,m_start,"&lt;"&amp;720,m_end,"&gt;"&amp;660)&gt;1,"충돌",HYPERLINK("#'관리자_MASTER'!D"&amp;_xlfn.MAXIFS(m_row,m_teacher,AE$4,m_date,($G$2+19),m_active,1,m_start,"&lt;"&amp;720,m_end,"&gt;"&amp;660),INDEX(m_label,_xlfn.MAXIFS(m_row,m_teacher,AE$4,m_date,($G$2+19),m_active,1,m_start,"&lt;"&amp;720,m_end,"&gt;"&amp;660))))))</f>
        <v/>
      </c>
      <c r="AF62" s="88" t="str">
        <f aca="false">IF(OR(AF$4="",MONTH(($G$2+19))&lt;&gt;MONTH($C$2)),"",IF(COUNTIFS(m_teacher,AF$4,m_date,($G$2+19),m_active,1,m_start,"&lt;"&amp;720,m_end,"&gt;"&amp;660)=0,"",IF(COUNTIFS(m_teacher,AF$4,m_date,($G$2+19),m_active,1,m_start,"&lt;"&amp;720,m_end,"&gt;"&amp;660)&gt;1,"충돌",HYPERLINK("#'관리자_MASTER'!D"&amp;_xlfn.MAXIFS(m_row,m_teacher,AF$4,m_date,($G$2+19),m_active,1,m_start,"&lt;"&amp;720,m_end,"&gt;"&amp;660),INDEX(m_label,_xlfn.MAXIFS(m_row,m_teacher,AF$4,m_date,($G$2+19),m_active,1,m_start,"&lt;"&amp;720,m_end,"&gt;"&amp;660))))))</f>
        <v/>
      </c>
      <c r="AG62" s="88" t="str">
        <f aca="false">IF(OR(AG$4="",MONTH(($G$2+19))&lt;&gt;MONTH($C$2)),"",IF(COUNTIFS(m_teacher,AG$4,m_date,($G$2+19),m_active,1,m_start,"&lt;"&amp;720,m_end,"&gt;"&amp;660)=0,"",IF(COUNTIFS(m_teacher,AG$4,m_date,($G$2+19),m_active,1,m_start,"&lt;"&amp;720,m_end,"&gt;"&amp;660)&gt;1,"충돌",HYPERLINK("#'관리자_MASTER'!D"&amp;_xlfn.MAXIFS(m_row,m_teacher,AG$4,m_date,($G$2+19),m_active,1,m_start,"&lt;"&amp;720,m_end,"&gt;"&amp;660),INDEX(m_label,_xlfn.MAXIFS(m_row,m_teacher,AG$4,m_date,($G$2+19),m_active,1,m_start,"&lt;"&amp;720,m_end,"&gt;"&amp;660))))))</f>
        <v/>
      </c>
      <c r="AH62" s="88" t="str">
        <f aca="false">IF(OR(AH$4="",MONTH(($G$2+19))&lt;&gt;MONTH($C$2)),"",IF(COUNTIFS(m_teacher,AH$4,m_date,($G$2+19),m_active,1,m_start,"&lt;"&amp;720,m_end,"&gt;"&amp;660)=0,"",IF(COUNTIFS(m_teacher,AH$4,m_date,($G$2+19),m_active,1,m_start,"&lt;"&amp;720,m_end,"&gt;"&amp;660)&gt;1,"충돌",HYPERLINK("#'관리자_MASTER'!D"&amp;_xlfn.MAXIFS(m_row,m_teacher,AH$4,m_date,($G$2+19),m_active,1,m_start,"&lt;"&amp;720,m_end,"&gt;"&amp;660),INDEX(m_label,_xlfn.MAXIFS(m_row,m_teacher,AH$4,m_date,($G$2+19),m_active,1,m_start,"&lt;"&amp;720,m_end,"&gt;"&amp;660))))))</f>
        <v/>
      </c>
      <c r="AI62" s="88" t="str">
        <f aca="false">IF(OR(AI$4="",MONTH(($G$2+19))&lt;&gt;MONTH($C$2)),"",IF(COUNTIFS(m_teacher,AI$4,m_date,($G$2+19),m_active,1,m_start,"&lt;"&amp;720,m_end,"&gt;"&amp;660)=0,"",IF(COUNTIFS(m_teacher,AI$4,m_date,($G$2+19),m_active,1,m_start,"&lt;"&amp;720,m_end,"&gt;"&amp;660)&gt;1,"충돌",HYPERLINK("#'관리자_MASTER'!D"&amp;_xlfn.MAXIFS(m_row,m_teacher,AI$4,m_date,($G$2+19),m_active,1,m_start,"&lt;"&amp;720,m_end,"&gt;"&amp;660),INDEX(m_label,_xlfn.MAXIFS(m_row,m_teacher,AI$4,m_date,($G$2+19),m_active,1,m_start,"&lt;"&amp;720,m_end,"&gt;"&amp;660))))))</f>
        <v/>
      </c>
      <c r="AJ62" s="88" t="str">
        <f aca="false">IF(OR(AJ$4="",MONTH(($G$2+19))&lt;&gt;MONTH($C$2)),"",IF(COUNTIFS(m_teacher,AJ$4,m_date,($G$2+19),m_active,1,m_start,"&lt;"&amp;720,m_end,"&gt;"&amp;660)=0,"",IF(COUNTIFS(m_teacher,AJ$4,m_date,($G$2+19),m_active,1,m_start,"&lt;"&amp;720,m_end,"&gt;"&amp;660)&gt;1,"충돌",HYPERLINK("#'관리자_MASTER'!D"&amp;_xlfn.MAXIFS(m_row,m_teacher,AJ$4,m_date,($G$2+19),m_active,1,m_start,"&lt;"&amp;720,m_end,"&gt;"&amp;660),INDEX(m_label,_xlfn.MAXIFS(m_row,m_teacher,AJ$4,m_date,($G$2+19),m_active,1,m_start,"&lt;"&amp;720,m_end,"&gt;"&amp;660))))))</f>
        <v/>
      </c>
      <c r="AK62" s="88" t="str">
        <f aca="false">IF(OR(AK$4="",MONTH(($G$2+19))&lt;&gt;MONTH($C$2)),"",IF(COUNTIFS(m_teacher,AK$4,m_date,($G$2+19),m_active,1,m_start,"&lt;"&amp;720,m_end,"&gt;"&amp;660)=0,"",IF(COUNTIFS(m_teacher,AK$4,m_date,($G$2+19),m_active,1,m_start,"&lt;"&amp;720,m_end,"&gt;"&amp;660)&gt;1,"충돌",HYPERLINK("#'관리자_MASTER'!D"&amp;_xlfn.MAXIFS(m_row,m_teacher,AK$4,m_date,($G$2+19),m_active,1,m_start,"&lt;"&amp;720,m_end,"&gt;"&amp;660),INDEX(m_label,_xlfn.MAXIFS(m_row,m_teacher,AK$4,m_date,($G$2+19),m_active,1,m_start,"&lt;"&amp;720,m_end,"&gt;"&amp;660))))))</f>
        <v/>
      </c>
      <c r="AL62" s="88" t="str">
        <f aca="false">IF(OR(AL$4="",MONTH(($G$2+19))&lt;&gt;MONTH($C$2)),"",IF(COUNTIFS(m_teacher,AL$4,m_date,($G$2+19),m_active,1,m_start,"&lt;"&amp;720,m_end,"&gt;"&amp;660)=0,"",IF(COUNTIFS(m_teacher,AL$4,m_date,($G$2+19),m_active,1,m_start,"&lt;"&amp;720,m_end,"&gt;"&amp;660)&gt;1,"충돌",HYPERLINK("#'관리자_MASTER'!D"&amp;_xlfn.MAXIFS(m_row,m_teacher,AL$4,m_date,($G$2+19),m_active,1,m_start,"&lt;"&amp;720,m_end,"&gt;"&amp;660),INDEX(m_label,_xlfn.MAXIFS(m_row,m_teacher,AL$4,m_date,($G$2+19),m_active,1,m_start,"&lt;"&amp;720,m_end,"&gt;"&amp;660))))))</f>
        <v/>
      </c>
      <c r="AM62" s="88" t="str">
        <f aca="false">IF(OR(AM$4="",MONTH(($G$2+19))&lt;&gt;MONTH($C$2)),"",IF(COUNTIFS(m_teacher,AM$4,m_date,($G$2+19),m_active,1,m_start,"&lt;"&amp;720,m_end,"&gt;"&amp;660)=0,"",IF(COUNTIFS(m_teacher,AM$4,m_date,($G$2+19),m_active,1,m_start,"&lt;"&amp;720,m_end,"&gt;"&amp;660)&gt;1,"충돌",HYPERLINK("#'관리자_MASTER'!D"&amp;_xlfn.MAXIFS(m_row,m_teacher,AM$4,m_date,($G$2+19),m_active,1,m_start,"&lt;"&amp;720,m_end,"&gt;"&amp;660),INDEX(m_label,_xlfn.MAXIFS(m_row,m_teacher,AM$4,m_date,($G$2+19),m_active,1,m_start,"&lt;"&amp;720,m_end,"&gt;"&amp;660))))))</f>
        <v/>
      </c>
      <c r="AN62" s="88" t="str">
        <f aca="false">IF(OR(AN$4="",MONTH(($G$2+19))&lt;&gt;MONTH($C$2)),"",IF(COUNTIFS(m_teacher,AN$4,m_date,($G$2+19),m_active,1,m_start,"&lt;"&amp;720,m_end,"&gt;"&amp;660)=0,"",IF(COUNTIFS(m_teacher,AN$4,m_date,($G$2+19),m_active,1,m_start,"&lt;"&amp;720,m_end,"&gt;"&amp;660)&gt;1,"충돌",HYPERLINK("#'관리자_MASTER'!D"&amp;_xlfn.MAXIFS(m_row,m_teacher,AN$4,m_date,($G$2+19),m_active,1,m_start,"&lt;"&amp;720,m_end,"&gt;"&amp;660),INDEX(m_label,_xlfn.MAXIFS(m_row,m_teacher,AN$4,m_date,($G$2+19),m_active,1,m_start,"&lt;"&amp;720,m_end,"&gt;"&amp;660))))))</f>
        <v/>
      </c>
      <c r="AO62" s="88" t="str">
        <f aca="false">IF(OR(AO$4="",MONTH(($G$2+19))&lt;&gt;MONTH($C$2)),"",IF(COUNTIFS(m_teacher,AO$4,m_date,($G$2+19),m_active,1,m_start,"&lt;"&amp;720,m_end,"&gt;"&amp;660)=0,"",IF(COUNTIFS(m_teacher,AO$4,m_date,($G$2+19),m_active,1,m_start,"&lt;"&amp;720,m_end,"&gt;"&amp;660)&gt;1,"충돌",HYPERLINK("#'관리자_MASTER'!D"&amp;_xlfn.MAXIFS(m_row,m_teacher,AO$4,m_date,($G$2+19),m_active,1,m_start,"&lt;"&amp;720,m_end,"&gt;"&amp;660),INDEX(m_label,_xlfn.MAXIFS(m_row,m_teacher,AO$4,m_date,($G$2+19),m_active,1,m_start,"&lt;"&amp;720,m_end,"&gt;"&amp;660))))))</f>
        <v/>
      </c>
      <c r="AP62" s="88" t="str">
        <f aca="false">IF(OR(AP$4="",MONTH(($G$2+19))&lt;&gt;MONTH($C$2)),"",IF(COUNTIFS(m_teacher,AP$4,m_date,($G$2+19),m_active,1,m_start,"&lt;"&amp;720,m_end,"&gt;"&amp;660)=0,"",IF(COUNTIFS(m_teacher,AP$4,m_date,($G$2+19),m_active,1,m_start,"&lt;"&amp;720,m_end,"&gt;"&amp;660)&gt;1,"충돌",HYPERLINK("#'관리자_MASTER'!D"&amp;_xlfn.MAXIFS(m_row,m_teacher,AP$4,m_date,($G$2+19),m_active,1,m_start,"&lt;"&amp;720,m_end,"&gt;"&amp;660),INDEX(m_label,_xlfn.MAXIFS(m_row,m_teacher,AP$4,m_date,($G$2+19),m_active,1,m_start,"&lt;"&amp;720,m_end,"&gt;"&amp;660))))))</f>
        <v/>
      </c>
      <c r="AQ62" s="90"/>
      <c r="AR62" s="79" t="s">
        <v>93</v>
      </c>
      <c r="AS62" s="88" t="str">
        <f aca="false">IF(OR(AS$4="",MONTH(($G$2+26))&lt;&gt;MONTH($C$2)),"",IF(COUNTIFS(m_teacher,AS$4,m_date,($G$2+26),m_active,1,m_start,"&lt;"&amp;720,m_end,"&gt;"&amp;660)=0,"",IF(COUNTIFS(m_teacher,AS$4,m_date,($G$2+26),m_active,1,m_start,"&lt;"&amp;720,m_end,"&gt;"&amp;660)&gt;1,"충돌",HYPERLINK("#'관리자_MASTER'!D"&amp;_xlfn.MAXIFS(m_row,m_teacher,AS$4,m_date,($G$2+26),m_active,1,m_start,"&lt;"&amp;720,m_end,"&gt;"&amp;660),INDEX(m_label,_xlfn.MAXIFS(m_row,m_teacher,AS$4,m_date,($G$2+26),m_active,1,m_start,"&lt;"&amp;720,m_end,"&gt;"&amp;660))))))</f>
        <v/>
      </c>
      <c r="AT62" s="88" t="str">
        <f aca="false">IF(OR(AT$4="",MONTH(($G$2+26))&lt;&gt;MONTH($C$2)),"",IF(COUNTIFS(m_teacher,AT$4,m_date,($G$2+26),m_active,1,m_start,"&lt;"&amp;720,m_end,"&gt;"&amp;660)=0,"",IF(COUNTIFS(m_teacher,AT$4,m_date,($G$2+26),m_active,1,m_start,"&lt;"&amp;720,m_end,"&gt;"&amp;660)&gt;1,"충돌",HYPERLINK("#'관리자_MASTER'!D"&amp;_xlfn.MAXIFS(m_row,m_teacher,AT$4,m_date,($G$2+26),m_active,1,m_start,"&lt;"&amp;720,m_end,"&gt;"&amp;660),INDEX(m_label,_xlfn.MAXIFS(m_row,m_teacher,AT$4,m_date,($G$2+26),m_active,1,m_start,"&lt;"&amp;720,m_end,"&gt;"&amp;660))))))</f>
        <v/>
      </c>
      <c r="AU62" s="88" t="str">
        <f aca="false">IF(OR(AU$4="",MONTH(($G$2+26))&lt;&gt;MONTH($C$2)),"",IF(COUNTIFS(m_teacher,AU$4,m_date,($G$2+26),m_active,1,m_start,"&lt;"&amp;720,m_end,"&gt;"&amp;660)=0,"",IF(COUNTIFS(m_teacher,AU$4,m_date,($G$2+26),m_active,1,m_start,"&lt;"&amp;720,m_end,"&gt;"&amp;660)&gt;1,"충돌",HYPERLINK("#'관리자_MASTER'!D"&amp;_xlfn.MAXIFS(m_row,m_teacher,AU$4,m_date,($G$2+26),m_active,1,m_start,"&lt;"&amp;720,m_end,"&gt;"&amp;660),INDEX(m_label,_xlfn.MAXIFS(m_row,m_teacher,AU$4,m_date,($G$2+26),m_active,1,m_start,"&lt;"&amp;720,m_end,"&gt;"&amp;660))))))</f>
        <v/>
      </c>
      <c r="AV62" s="88" t="str">
        <f aca="false">IF(OR(AV$4="",MONTH(($G$2+26))&lt;&gt;MONTH($C$2)),"",IF(COUNTIFS(m_teacher,AV$4,m_date,($G$2+26),m_active,1,m_start,"&lt;"&amp;720,m_end,"&gt;"&amp;660)=0,"",IF(COUNTIFS(m_teacher,AV$4,m_date,($G$2+26),m_active,1,m_start,"&lt;"&amp;720,m_end,"&gt;"&amp;660)&gt;1,"충돌",HYPERLINK("#'관리자_MASTER'!D"&amp;_xlfn.MAXIFS(m_row,m_teacher,AV$4,m_date,($G$2+26),m_active,1,m_start,"&lt;"&amp;720,m_end,"&gt;"&amp;660),INDEX(m_label,_xlfn.MAXIFS(m_row,m_teacher,AV$4,m_date,($G$2+26),m_active,1,m_start,"&lt;"&amp;720,m_end,"&gt;"&amp;660))))))</f>
        <v/>
      </c>
      <c r="AW62" s="88" t="str">
        <f aca="false">IF(OR(AW$4="",MONTH(($G$2+26))&lt;&gt;MONTH($C$2)),"",IF(COUNTIFS(m_teacher,AW$4,m_date,($G$2+26),m_active,1,m_start,"&lt;"&amp;720,m_end,"&gt;"&amp;660)=0,"",IF(COUNTIFS(m_teacher,AW$4,m_date,($G$2+26),m_active,1,m_start,"&lt;"&amp;720,m_end,"&gt;"&amp;660)&gt;1,"충돌",HYPERLINK("#'관리자_MASTER'!D"&amp;_xlfn.MAXIFS(m_row,m_teacher,AW$4,m_date,($G$2+26),m_active,1,m_start,"&lt;"&amp;720,m_end,"&gt;"&amp;660),INDEX(m_label,_xlfn.MAXIFS(m_row,m_teacher,AW$4,m_date,($G$2+26),m_active,1,m_start,"&lt;"&amp;720,m_end,"&gt;"&amp;660))))))</f>
        <v/>
      </c>
      <c r="AX62" s="88" t="str">
        <f aca="false">IF(OR(AX$4="",MONTH(($G$2+26))&lt;&gt;MONTH($C$2)),"",IF(COUNTIFS(m_teacher,AX$4,m_date,($G$2+26),m_active,1,m_start,"&lt;"&amp;720,m_end,"&gt;"&amp;660)=0,"",IF(COUNTIFS(m_teacher,AX$4,m_date,($G$2+26),m_active,1,m_start,"&lt;"&amp;720,m_end,"&gt;"&amp;660)&gt;1,"충돌",HYPERLINK("#'관리자_MASTER'!D"&amp;_xlfn.MAXIFS(m_row,m_teacher,AX$4,m_date,($G$2+26),m_active,1,m_start,"&lt;"&amp;720,m_end,"&gt;"&amp;660),INDEX(m_label,_xlfn.MAXIFS(m_row,m_teacher,AX$4,m_date,($G$2+26),m_active,1,m_start,"&lt;"&amp;720,m_end,"&gt;"&amp;660))))))</f>
        <v/>
      </c>
      <c r="AY62" s="88" t="str">
        <f aca="false">IF(OR(AY$4="",MONTH(($G$2+26))&lt;&gt;MONTH($C$2)),"",IF(COUNTIFS(m_teacher,AY$4,m_date,($G$2+26),m_active,1,m_start,"&lt;"&amp;720,m_end,"&gt;"&amp;660)=0,"",IF(COUNTIFS(m_teacher,AY$4,m_date,($G$2+26),m_active,1,m_start,"&lt;"&amp;720,m_end,"&gt;"&amp;660)&gt;1,"충돌",HYPERLINK("#'관리자_MASTER'!D"&amp;_xlfn.MAXIFS(m_row,m_teacher,AY$4,m_date,($G$2+26),m_active,1,m_start,"&lt;"&amp;720,m_end,"&gt;"&amp;660),INDEX(m_label,_xlfn.MAXIFS(m_row,m_teacher,AY$4,m_date,($G$2+26),m_active,1,m_start,"&lt;"&amp;720,m_end,"&gt;"&amp;660))))))</f>
        <v/>
      </c>
      <c r="AZ62" s="88" t="str">
        <f aca="false">IF(OR(AZ$4="",MONTH(($G$2+26))&lt;&gt;MONTH($C$2)),"",IF(COUNTIFS(m_teacher,AZ$4,m_date,($G$2+26),m_active,1,m_start,"&lt;"&amp;720,m_end,"&gt;"&amp;660)=0,"",IF(COUNTIFS(m_teacher,AZ$4,m_date,($G$2+26),m_active,1,m_start,"&lt;"&amp;720,m_end,"&gt;"&amp;660)&gt;1,"충돌",HYPERLINK("#'관리자_MASTER'!D"&amp;_xlfn.MAXIFS(m_row,m_teacher,AZ$4,m_date,($G$2+26),m_active,1,m_start,"&lt;"&amp;720,m_end,"&gt;"&amp;660),INDEX(m_label,_xlfn.MAXIFS(m_row,m_teacher,AZ$4,m_date,($G$2+26),m_active,1,m_start,"&lt;"&amp;720,m_end,"&gt;"&amp;660))))))</f>
        <v/>
      </c>
      <c r="BA62" s="88" t="str">
        <f aca="false">IF(OR(BA$4="",MONTH(($G$2+26))&lt;&gt;MONTH($C$2)),"",IF(COUNTIFS(m_teacher,BA$4,m_date,($G$2+26),m_active,1,m_start,"&lt;"&amp;720,m_end,"&gt;"&amp;660)=0,"",IF(COUNTIFS(m_teacher,BA$4,m_date,($G$2+26),m_active,1,m_start,"&lt;"&amp;720,m_end,"&gt;"&amp;660)&gt;1,"충돌",HYPERLINK("#'관리자_MASTER'!D"&amp;_xlfn.MAXIFS(m_row,m_teacher,BA$4,m_date,($G$2+26),m_active,1,m_start,"&lt;"&amp;720,m_end,"&gt;"&amp;660),INDEX(m_label,_xlfn.MAXIFS(m_row,m_teacher,BA$4,m_date,($G$2+26),m_active,1,m_start,"&lt;"&amp;720,m_end,"&gt;"&amp;660))))))</f>
        <v/>
      </c>
      <c r="BB62" s="88" t="str">
        <f aca="false">IF(OR(BB$4="",MONTH(($G$2+26))&lt;&gt;MONTH($C$2)),"",IF(COUNTIFS(m_teacher,BB$4,m_date,($G$2+26),m_active,1,m_start,"&lt;"&amp;720,m_end,"&gt;"&amp;660)=0,"",IF(COUNTIFS(m_teacher,BB$4,m_date,($G$2+26),m_active,1,m_start,"&lt;"&amp;720,m_end,"&gt;"&amp;660)&gt;1,"충돌",HYPERLINK("#'관리자_MASTER'!D"&amp;_xlfn.MAXIFS(m_row,m_teacher,BB$4,m_date,($G$2+26),m_active,1,m_start,"&lt;"&amp;720,m_end,"&gt;"&amp;660),INDEX(m_label,_xlfn.MAXIFS(m_row,m_teacher,BB$4,m_date,($G$2+26),m_active,1,m_start,"&lt;"&amp;720,m_end,"&gt;"&amp;660))))))</f>
        <v/>
      </c>
      <c r="BC62" s="88" t="str">
        <f aca="false">IF(OR(BC$4="",MONTH(($G$2+26))&lt;&gt;MONTH($C$2)),"",IF(COUNTIFS(m_teacher,BC$4,m_date,($G$2+26),m_active,1,m_start,"&lt;"&amp;720,m_end,"&gt;"&amp;660)=0,"",IF(COUNTIFS(m_teacher,BC$4,m_date,($G$2+26),m_active,1,m_start,"&lt;"&amp;720,m_end,"&gt;"&amp;660)&gt;1,"충돌",HYPERLINK("#'관리자_MASTER'!D"&amp;_xlfn.MAXIFS(m_row,m_teacher,BC$4,m_date,($G$2+26),m_active,1,m_start,"&lt;"&amp;720,m_end,"&gt;"&amp;660),INDEX(m_label,_xlfn.MAXIFS(m_row,m_teacher,BC$4,m_date,($G$2+26),m_active,1,m_start,"&lt;"&amp;720,m_end,"&gt;"&amp;660))))))</f>
        <v/>
      </c>
      <c r="BD62" s="88" t="str">
        <f aca="false">IF(OR(BD$4="",MONTH(($G$2+26))&lt;&gt;MONTH($C$2)),"",IF(COUNTIFS(m_teacher,BD$4,m_date,($G$2+26),m_active,1,m_start,"&lt;"&amp;720,m_end,"&gt;"&amp;660)=0,"",IF(COUNTIFS(m_teacher,BD$4,m_date,($G$2+26),m_active,1,m_start,"&lt;"&amp;720,m_end,"&gt;"&amp;660)&gt;1,"충돌",HYPERLINK("#'관리자_MASTER'!D"&amp;_xlfn.MAXIFS(m_row,m_teacher,BD$4,m_date,($G$2+26),m_active,1,m_start,"&lt;"&amp;720,m_end,"&gt;"&amp;660),INDEX(m_label,_xlfn.MAXIFS(m_row,m_teacher,BD$4,m_date,($G$2+26),m_active,1,m_start,"&lt;"&amp;720,m_end,"&gt;"&amp;660))))))</f>
        <v/>
      </c>
    </row>
    <row r="63" customFormat="false" ht="19.5" hidden="false" customHeight="true" outlineLevel="0" collapsed="false">
      <c r="A63" s="90"/>
      <c r="B63" s="79" t="s">
        <v>94</v>
      </c>
      <c r="C63" s="88" t="str">
        <f aca="false">IF(OR(C$4="",MONTH(($G$2+5))&lt;&gt;MONTH($C$2)),"",IF(COUNTIFS(m_teacher,C$4,m_date,($G$2+5),m_active,1,m_start,"&lt;"&amp;780,m_end,"&gt;"&amp;720)=0,"",IF(COUNTIFS(m_teacher,C$4,m_date,($G$2+5),m_active,1,m_start,"&lt;"&amp;780,m_end,"&gt;"&amp;720)&gt;1,"충돌",HYPERLINK("#'관리자_MASTER'!D"&amp;_xlfn.MAXIFS(m_row,m_teacher,C$4,m_date,($G$2+5),m_active,1,m_start,"&lt;"&amp;780,m_end,"&gt;"&amp;720),INDEX(m_label,_xlfn.MAXIFS(m_row,m_teacher,C$4,m_date,($G$2+5),m_active,1,m_start,"&lt;"&amp;780,m_end,"&gt;"&amp;720))))))</f>
        <v/>
      </c>
      <c r="D63" s="88" t="str">
        <f aca="false">IF(OR(D$4="",MONTH(($G$2+5))&lt;&gt;MONTH($C$2)),"",IF(COUNTIFS(m_teacher,D$4,m_date,($G$2+5),m_active,1,m_start,"&lt;"&amp;780,m_end,"&gt;"&amp;720)=0,"",IF(COUNTIFS(m_teacher,D$4,m_date,($G$2+5),m_active,1,m_start,"&lt;"&amp;780,m_end,"&gt;"&amp;720)&gt;1,"충돌",HYPERLINK("#'관리자_MASTER'!D"&amp;_xlfn.MAXIFS(m_row,m_teacher,D$4,m_date,($G$2+5),m_active,1,m_start,"&lt;"&amp;780,m_end,"&gt;"&amp;720),INDEX(m_label,_xlfn.MAXIFS(m_row,m_teacher,D$4,m_date,($G$2+5),m_active,1,m_start,"&lt;"&amp;780,m_end,"&gt;"&amp;720))))))</f>
        <v/>
      </c>
      <c r="E63" s="88" t="str">
        <f aca="false">IF(OR(E$4="",MONTH(($G$2+5))&lt;&gt;MONTH($C$2)),"",IF(COUNTIFS(m_teacher,E$4,m_date,($G$2+5),m_active,1,m_start,"&lt;"&amp;780,m_end,"&gt;"&amp;720)=0,"",IF(COUNTIFS(m_teacher,E$4,m_date,($G$2+5),m_active,1,m_start,"&lt;"&amp;780,m_end,"&gt;"&amp;720)&gt;1,"충돌",HYPERLINK("#'관리자_MASTER'!D"&amp;_xlfn.MAXIFS(m_row,m_teacher,E$4,m_date,($G$2+5),m_active,1,m_start,"&lt;"&amp;780,m_end,"&gt;"&amp;720),INDEX(m_label,_xlfn.MAXIFS(m_row,m_teacher,E$4,m_date,($G$2+5),m_active,1,m_start,"&lt;"&amp;780,m_end,"&gt;"&amp;720))))))</f>
        <v/>
      </c>
      <c r="F63" s="88" t="str">
        <f aca="false">IF(OR(F$4="",MONTH(($G$2+5))&lt;&gt;MONTH($C$2)),"",IF(COUNTIFS(m_teacher,F$4,m_date,($G$2+5),m_active,1,m_start,"&lt;"&amp;780,m_end,"&gt;"&amp;720)=0,"",IF(COUNTIFS(m_teacher,F$4,m_date,($G$2+5),m_active,1,m_start,"&lt;"&amp;780,m_end,"&gt;"&amp;720)&gt;1,"충돌",HYPERLINK("#'관리자_MASTER'!D"&amp;_xlfn.MAXIFS(m_row,m_teacher,F$4,m_date,($G$2+5),m_active,1,m_start,"&lt;"&amp;780,m_end,"&gt;"&amp;720),INDEX(m_label,_xlfn.MAXIFS(m_row,m_teacher,F$4,m_date,($G$2+5),m_active,1,m_start,"&lt;"&amp;780,m_end,"&gt;"&amp;720))))))</f>
        <v/>
      </c>
      <c r="G63" s="88" t="str">
        <f aca="false">IF(OR(G$4="",MONTH(($G$2+5))&lt;&gt;MONTH($C$2)),"",IF(COUNTIFS(m_teacher,G$4,m_date,($G$2+5),m_active,1,m_start,"&lt;"&amp;780,m_end,"&gt;"&amp;720)=0,"",IF(COUNTIFS(m_teacher,G$4,m_date,($G$2+5),m_active,1,m_start,"&lt;"&amp;780,m_end,"&gt;"&amp;720)&gt;1,"충돌",HYPERLINK("#'관리자_MASTER'!D"&amp;_xlfn.MAXIFS(m_row,m_teacher,G$4,m_date,($G$2+5),m_active,1,m_start,"&lt;"&amp;780,m_end,"&gt;"&amp;720),INDEX(m_label,_xlfn.MAXIFS(m_row,m_teacher,G$4,m_date,($G$2+5),m_active,1,m_start,"&lt;"&amp;780,m_end,"&gt;"&amp;720))))))</f>
        <v/>
      </c>
      <c r="H63" s="88" t="str">
        <f aca="false">IF(OR(H$4="",MONTH(($G$2+5))&lt;&gt;MONTH($C$2)),"",IF(COUNTIFS(m_teacher,H$4,m_date,($G$2+5),m_active,1,m_start,"&lt;"&amp;780,m_end,"&gt;"&amp;720)=0,"",IF(COUNTIFS(m_teacher,H$4,m_date,($G$2+5),m_active,1,m_start,"&lt;"&amp;780,m_end,"&gt;"&amp;720)&gt;1,"충돌",HYPERLINK("#'관리자_MASTER'!D"&amp;_xlfn.MAXIFS(m_row,m_teacher,H$4,m_date,($G$2+5),m_active,1,m_start,"&lt;"&amp;780,m_end,"&gt;"&amp;720),INDEX(m_label,_xlfn.MAXIFS(m_row,m_teacher,H$4,m_date,($G$2+5),m_active,1,m_start,"&lt;"&amp;780,m_end,"&gt;"&amp;720))))))</f>
        <v/>
      </c>
      <c r="I63" s="88" t="str">
        <f aca="false">IF(OR(I$4="",MONTH(($G$2+5))&lt;&gt;MONTH($C$2)),"",IF(COUNTIFS(m_teacher,I$4,m_date,($G$2+5),m_active,1,m_start,"&lt;"&amp;780,m_end,"&gt;"&amp;720)=0,"",IF(COUNTIFS(m_teacher,I$4,m_date,($G$2+5),m_active,1,m_start,"&lt;"&amp;780,m_end,"&gt;"&amp;720)&gt;1,"충돌",HYPERLINK("#'관리자_MASTER'!D"&amp;_xlfn.MAXIFS(m_row,m_teacher,I$4,m_date,($G$2+5),m_active,1,m_start,"&lt;"&amp;780,m_end,"&gt;"&amp;720),INDEX(m_label,_xlfn.MAXIFS(m_row,m_teacher,I$4,m_date,($G$2+5),m_active,1,m_start,"&lt;"&amp;780,m_end,"&gt;"&amp;720))))))</f>
        <v/>
      </c>
      <c r="J63" s="88" t="str">
        <f aca="false">IF(OR(J$4="",MONTH(($G$2+5))&lt;&gt;MONTH($C$2)),"",IF(COUNTIFS(m_teacher,J$4,m_date,($G$2+5),m_active,1,m_start,"&lt;"&amp;780,m_end,"&gt;"&amp;720)=0,"",IF(COUNTIFS(m_teacher,J$4,m_date,($G$2+5),m_active,1,m_start,"&lt;"&amp;780,m_end,"&gt;"&amp;720)&gt;1,"충돌",HYPERLINK("#'관리자_MASTER'!D"&amp;_xlfn.MAXIFS(m_row,m_teacher,J$4,m_date,($G$2+5),m_active,1,m_start,"&lt;"&amp;780,m_end,"&gt;"&amp;720),INDEX(m_label,_xlfn.MAXIFS(m_row,m_teacher,J$4,m_date,($G$2+5),m_active,1,m_start,"&lt;"&amp;780,m_end,"&gt;"&amp;720))))))</f>
        <v/>
      </c>
      <c r="K63" s="88" t="str">
        <f aca="false">IF(OR(K$4="",MONTH(($G$2+5))&lt;&gt;MONTH($C$2)),"",IF(COUNTIFS(m_teacher,K$4,m_date,($G$2+5),m_active,1,m_start,"&lt;"&amp;780,m_end,"&gt;"&amp;720)=0,"",IF(COUNTIFS(m_teacher,K$4,m_date,($G$2+5),m_active,1,m_start,"&lt;"&amp;780,m_end,"&gt;"&amp;720)&gt;1,"충돌",HYPERLINK("#'관리자_MASTER'!D"&amp;_xlfn.MAXIFS(m_row,m_teacher,K$4,m_date,($G$2+5),m_active,1,m_start,"&lt;"&amp;780,m_end,"&gt;"&amp;720),INDEX(m_label,_xlfn.MAXIFS(m_row,m_teacher,K$4,m_date,($G$2+5),m_active,1,m_start,"&lt;"&amp;780,m_end,"&gt;"&amp;720))))))</f>
        <v/>
      </c>
      <c r="L63" s="88" t="str">
        <f aca="false">IF(OR(L$4="",MONTH(($G$2+5))&lt;&gt;MONTH($C$2)),"",IF(COUNTIFS(m_teacher,L$4,m_date,($G$2+5),m_active,1,m_start,"&lt;"&amp;780,m_end,"&gt;"&amp;720)=0,"",IF(COUNTIFS(m_teacher,L$4,m_date,($G$2+5),m_active,1,m_start,"&lt;"&amp;780,m_end,"&gt;"&amp;720)&gt;1,"충돌",HYPERLINK("#'관리자_MASTER'!D"&amp;_xlfn.MAXIFS(m_row,m_teacher,L$4,m_date,($G$2+5),m_active,1,m_start,"&lt;"&amp;780,m_end,"&gt;"&amp;720),INDEX(m_label,_xlfn.MAXIFS(m_row,m_teacher,L$4,m_date,($G$2+5),m_active,1,m_start,"&lt;"&amp;780,m_end,"&gt;"&amp;720))))))</f>
        <v/>
      </c>
      <c r="M63" s="88" t="str">
        <f aca="false">IF(OR(M$4="",MONTH(($G$2+5))&lt;&gt;MONTH($C$2)),"",IF(COUNTIFS(m_teacher,M$4,m_date,($G$2+5),m_active,1,m_start,"&lt;"&amp;780,m_end,"&gt;"&amp;720)=0,"",IF(COUNTIFS(m_teacher,M$4,m_date,($G$2+5),m_active,1,m_start,"&lt;"&amp;780,m_end,"&gt;"&amp;720)&gt;1,"충돌",HYPERLINK("#'관리자_MASTER'!D"&amp;_xlfn.MAXIFS(m_row,m_teacher,M$4,m_date,($G$2+5),m_active,1,m_start,"&lt;"&amp;780,m_end,"&gt;"&amp;720),INDEX(m_label,_xlfn.MAXIFS(m_row,m_teacher,M$4,m_date,($G$2+5),m_active,1,m_start,"&lt;"&amp;780,m_end,"&gt;"&amp;720))))))</f>
        <v/>
      </c>
      <c r="N63" s="88" t="str">
        <f aca="false">IF(OR(N$4="",MONTH(($G$2+5))&lt;&gt;MONTH($C$2)),"",IF(COUNTIFS(m_teacher,N$4,m_date,($G$2+5),m_active,1,m_start,"&lt;"&amp;780,m_end,"&gt;"&amp;720)=0,"",IF(COUNTIFS(m_teacher,N$4,m_date,($G$2+5),m_active,1,m_start,"&lt;"&amp;780,m_end,"&gt;"&amp;720)&gt;1,"충돌",HYPERLINK("#'관리자_MASTER'!D"&amp;_xlfn.MAXIFS(m_row,m_teacher,N$4,m_date,($G$2+5),m_active,1,m_start,"&lt;"&amp;780,m_end,"&gt;"&amp;720),INDEX(m_label,_xlfn.MAXIFS(m_row,m_teacher,N$4,m_date,($G$2+5),m_active,1,m_start,"&lt;"&amp;780,m_end,"&gt;"&amp;720))))))</f>
        <v/>
      </c>
      <c r="O63" s="90"/>
      <c r="P63" s="79" t="s">
        <v>94</v>
      </c>
      <c r="Q63" s="88" t="str">
        <f aca="false">IF(OR(Q$4="",MONTH(($G$2+12))&lt;&gt;MONTH($C$2)),"",IF(COUNTIFS(m_teacher,Q$4,m_date,($G$2+12),m_active,1,m_start,"&lt;"&amp;780,m_end,"&gt;"&amp;720)=0,"",IF(COUNTIFS(m_teacher,Q$4,m_date,($G$2+12),m_active,1,m_start,"&lt;"&amp;780,m_end,"&gt;"&amp;720)&gt;1,"충돌",HYPERLINK("#'관리자_MASTER'!D"&amp;_xlfn.MAXIFS(m_row,m_teacher,Q$4,m_date,($G$2+12),m_active,1,m_start,"&lt;"&amp;780,m_end,"&gt;"&amp;720),INDEX(m_label,_xlfn.MAXIFS(m_row,m_teacher,Q$4,m_date,($G$2+12),m_active,1,m_start,"&lt;"&amp;780,m_end,"&gt;"&amp;720))))))</f>
        <v/>
      </c>
      <c r="R63" s="88" t="str">
        <f aca="false">IF(OR(R$4="",MONTH(($G$2+12))&lt;&gt;MONTH($C$2)),"",IF(COUNTIFS(m_teacher,R$4,m_date,($G$2+12),m_active,1,m_start,"&lt;"&amp;780,m_end,"&gt;"&amp;720)=0,"",IF(COUNTIFS(m_teacher,R$4,m_date,($G$2+12),m_active,1,m_start,"&lt;"&amp;780,m_end,"&gt;"&amp;720)&gt;1,"충돌",HYPERLINK("#'관리자_MASTER'!D"&amp;_xlfn.MAXIFS(m_row,m_teacher,R$4,m_date,($G$2+12),m_active,1,m_start,"&lt;"&amp;780,m_end,"&gt;"&amp;720),INDEX(m_label,_xlfn.MAXIFS(m_row,m_teacher,R$4,m_date,($G$2+12),m_active,1,m_start,"&lt;"&amp;780,m_end,"&gt;"&amp;720))))))</f>
        <v/>
      </c>
      <c r="S63" s="88" t="str">
        <f aca="false">IF(OR(S$4="",MONTH(($G$2+12))&lt;&gt;MONTH($C$2)),"",IF(COUNTIFS(m_teacher,S$4,m_date,($G$2+12),m_active,1,m_start,"&lt;"&amp;780,m_end,"&gt;"&amp;720)=0,"",IF(COUNTIFS(m_teacher,S$4,m_date,($G$2+12),m_active,1,m_start,"&lt;"&amp;780,m_end,"&gt;"&amp;720)&gt;1,"충돌",HYPERLINK("#'관리자_MASTER'!D"&amp;_xlfn.MAXIFS(m_row,m_teacher,S$4,m_date,($G$2+12),m_active,1,m_start,"&lt;"&amp;780,m_end,"&gt;"&amp;720),INDEX(m_label,_xlfn.MAXIFS(m_row,m_teacher,S$4,m_date,($G$2+12),m_active,1,m_start,"&lt;"&amp;780,m_end,"&gt;"&amp;720))))))</f>
        <v/>
      </c>
      <c r="T63" s="88" t="str">
        <f aca="false">IF(OR(T$4="",MONTH(($G$2+12))&lt;&gt;MONTH($C$2)),"",IF(COUNTIFS(m_teacher,T$4,m_date,($G$2+12),m_active,1,m_start,"&lt;"&amp;780,m_end,"&gt;"&amp;720)=0,"",IF(COUNTIFS(m_teacher,T$4,m_date,($G$2+12),m_active,1,m_start,"&lt;"&amp;780,m_end,"&gt;"&amp;720)&gt;1,"충돌",HYPERLINK("#'관리자_MASTER'!D"&amp;_xlfn.MAXIFS(m_row,m_teacher,T$4,m_date,($G$2+12),m_active,1,m_start,"&lt;"&amp;780,m_end,"&gt;"&amp;720),INDEX(m_label,_xlfn.MAXIFS(m_row,m_teacher,T$4,m_date,($G$2+12),m_active,1,m_start,"&lt;"&amp;780,m_end,"&gt;"&amp;720))))))</f>
        <v/>
      </c>
      <c r="U63" s="88" t="str">
        <f aca="false">IF(OR(U$4="",MONTH(($G$2+12))&lt;&gt;MONTH($C$2)),"",IF(COUNTIFS(m_teacher,U$4,m_date,($G$2+12),m_active,1,m_start,"&lt;"&amp;780,m_end,"&gt;"&amp;720)=0,"",IF(COUNTIFS(m_teacher,U$4,m_date,($G$2+12),m_active,1,m_start,"&lt;"&amp;780,m_end,"&gt;"&amp;720)&gt;1,"충돌",HYPERLINK("#'관리자_MASTER'!D"&amp;_xlfn.MAXIFS(m_row,m_teacher,U$4,m_date,($G$2+12),m_active,1,m_start,"&lt;"&amp;780,m_end,"&gt;"&amp;720),INDEX(m_label,_xlfn.MAXIFS(m_row,m_teacher,U$4,m_date,($G$2+12),m_active,1,m_start,"&lt;"&amp;780,m_end,"&gt;"&amp;720))))))</f>
        <v/>
      </c>
      <c r="V63" s="88" t="str">
        <f aca="false">IF(OR(V$4="",MONTH(($G$2+12))&lt;&gt;MONTH($C$2)),"",IF(COUNTIFS(m_teacher,V$4,m_date,($G$2+12),m_active,1,m_start,"&lt;"&amp;780,m_end,"&gt;"&amp;720)=0,"",IF(COUNTIFS(m_teacher,V$4,m_date,($G$2+12),m_active,1,m_start,"&lt;"&amp;780,m_end,"&gt;"&amp;720)&gt;1,"충돌",HYPERLINK("#'관리자_MASTER'!D"&amp;_xlfn.MAXIFS(m_row,m_teacher,V$4,m_date,($G$2+12),m_active,1,m_start,"&lt;"&amp;780,m_end,"&gt;"&amp;720),INDEX(m_label,_xlfn.MAXIFS(m_row,m_teacher,V$4,m_date,($G$2+12),m_active,1,m_start,"&lt;"&amp;780,m_end,"&gt;"&amp;720))))))</f>
        <v/>
      </c>
      <c r="W63" s="88" t="str">
        <f aca="false">IF(OR(W$4="",MONTH(($G$2+12))&lt;&gt;MONTH($C$2)),"",IF(COUNTIFS(m_teacher,W$4,m_date,($G$2+12),m_active,1,m_start,"&lt;"&amp;780,m_end,"&gt;"&amp;720)=0,"",IF(COUNTIFS(m_teacher,W$4,m_date,($G$2+12),m_active,1,m_start,"&lt;"&amp;780,m_end,"&gt;"&amp;720)&gt;1,"충돌",HYPERLINK("#'관리자_MASTER'!D"&amp;_xlfn.MAXIFS(m_row,m_teacher,W$4,m_date,($G$2+12),m_active,1,m_start,"&lt;"&amp;780,m_end,"&gt;"&amp;720),INDEX(m_label,_xlfn.MAXIFS(m_row,m_teacher,W$4,m_date,($G$2+12),m_active,1,m_start,"&lt;"&amp;780,m_end,"&gt;"&amp;720))))))</f>
        <v/>
      </c>
      <c r="X63" s="88" t="str">
        <f aca="false">IF(OR(X$4="",MONTH(($G$2+12))&lt;&gt;MONTH($C$2)),"",IF(COUNTIFS(m_teacher,X$4,m_date,($G$2+12),m_active,1,m_start,"&lt;"&amp;780,m_end,"&gt;"&amp;720)=0,"",IF(COUNTIFS(m_teacher,X$4,m_date,($G$2+12),m_active,1,m_start,"&lt;"&amp;780,m_end,"&gt;"&amp;720)&gt;1,"충돌",HYPERLINK("#'관리자_MASTER'!D"&amp;_xlfn.MAXIFS(m_row,m_teacher,X$4,m_date,($G$2+12),m_active,1,m_start,"&lt;"&amp;780,m_end,"&gt;"&amp;720),INDEX(m_label,_xlfn.MAXIFS(m_row,m_teacher,X$4,m_date,($G$2+12),m_active,1,m_start,"&lt;"&amp;780,m_end,"&gt;"&amp;720))))))</f>
        <v/>
      </c>
      <c r="Y63" s="88" t="str">
        <f aca="false">IF(OR(Y$4="",MONTH(($G$2+12))&lt;&gt;MONTH($C$2)),"",IF(COUNTIFS(m_teacher,Y$4,m_date,($G$2+12),m_active,1,m_start,"&lt;"&amp;780,m_end,"&gt;"&amp;720)=0,"",IF(COUNTIFS(m_teacher,Y$4,m_date,($G$2+12),m_active,1,m_start,"&lt;"&amp;780,m_end,"&gt;"&amp;720)&gt;1,"충돌",HYPERLINK("#'관리자_MASTER'!D"&amp;_xlfn.MAXIFS(m_row,m_teacher,Y$4,m_date,($G$2+12),m_active,1,m_start,"&lt;"&amp;780,m_end,"&gt;"&amp;720),INDEX(m_label,_xlfn.MAXIFS(m_row,m_teacher,Y$4,m_date,($G$2+12),m_active,1,m_start,"&lt;"&amp;780,m_end,"&gt;"&amp;720))))))</f>
        <v/>
      </c>
      <c r="Z63" s="88" t="str">
        <f aca="false">IF(OR(Z$4="",MONTH(($G$2+12))&lt;&gt;MONTH($C$2)),"",IF(COUNTIFS(m_teacher,Z$4,m_date,($G$2+12),m_active,1,m_start,"&lt;"&amp;780,m_end,"&gt;"&amp;720)=0,"",IF(COUNTIFS(m_teacher,Z$4,m_date,($G$2+12),m_active,1,m_start,"&lt;"&amp;780,m_end,"&gt;"&amp;720)&gt;1,"충돌",HYPERLINK("#'관리자_MASTER'!D"&amp;_xlfn.MAXIFS(m_row,m_teacher,Z$4,m_date,($G$2+12),m_active,1,m_start,"&lt;"&amp;780,m_end,"&gt;"&amp;720),INDEX(m_label,_xlfn.MAXIFS(m_row,m_teacher,Z$4,m_date,($G$2+12),m_active,1,m_start,"&lt;"&amp;780,m_end,"&gt;"&amp;720))))))</f>
        <v/>
      </c>
      <c r="AA63" s="88" t="str">
        <f aca="false">IF(OR(AA$4="",MONTH(($G$2+12))&lt;&gt;MONTH($C$2)),"",IF(COUNTIFS(m_teacher,AA$4,m_date,($G$2+12),m_active,1,m_start,"&lt;"&amp;780,m_end,"&gt;"&amp;720)=0,"",IF(COUNTIFS(m_teacher,AA$4,m_date,($G$2+12),m_active,1,m_start,"&lt;"&amp;780,m_end,"&gt;"&amp;720)&gt;1,"충돌",HYPERLINK("#'관리자_MASTER'!D"&amp;_xlfn.MAXIFS(m_row,m_teacher,AA$4,m_date,($G$2+12),m_active,1,m_start,"&lt;"&amp;780,m_end,"&gt;"&amp;720),INDEX(m_label,_xlfn.MAXIFS(m_row,m_teacher,AA$4,m_date,($G$2+12),m_active,1,m_start,"&lt;"&amp;780,m_end,"&gt;"&amp;720))))))</f>
        <v/>
      </c>
      <c r="AB63" s="88" t="str">
        <f aca="false">IF(OR(AB$4="",MONTH(($G$2+12))&lt;&gt;MONTH($C$2)),"",IF(COUNTIFS(m_teacher,AB$4,m_date,($G$2+12),m_active,1,m_start,"&lt;"&amp;780,m_end,"&gt;"&amp;720)=0,"",IF(COUNTIFS(m_teacher,AB$4,m_date,($G$2+12),m_active,1,m_start,"&lt;"&amp;780,m_end,"&gt;"&amp;720)&gt;1,"충돌",HYPERLINK("#'관리자_MASTER'!D"&amp;_xlfn.MAXIFS(m_row,m_teacher,AB$4,m_date,($G$2+12),m_active,1,m_start,"&lt;"&amp;780,m_end,"&gt;"&amp;720),INDEX(m_label,_xlfn.MAXIFS(m_row,m_teacher,AB$4,m_date,($G$2+12),m_active,1,m_start,"&lt;"&amp;780,m_end,"&gt;"&amp;720))))))</f>
        <v/>
      </c>
      <c r="AC63" s="90"/>
      <c r="AD63" s="79" t="s">
        <v>94</v>
      </c>
      <c r="AE63" s="88" t="str">
        <f aca="false">IF(OR(AE$4="",MONTH(($G$2+19))&lt;&gt;MONTH($C$2)),"",IF(COUNTIFS(m_teacher,AE$4,m_date,($G$2+19),m_active,1,m_start,"&lt;"&amp;780,m_end,"&gt;"&amp;720)=0,"",IF(COUNTIFS(m_teacher,AE$4,m_date,($G$2+19),m_active,1,m_start,"&lt;"&amp;780,m_end,"&gt;"&amp;720)&gt;1,"충돌",HYPERLINK("#'관리자_MASTER'!D"&amp;_xlfn.MAXIFS(m_row,m_teacher,AE$4,m_date,($G$2+19),m_active,1,m_start,"&lt;"&amp;780,m_end,"&gt;"&amp;720),INDEX(m_label,_xlfn.MAXIFS(m_row,m_teacher,AE$4,m_date,($G$2+19),m_active,1,m_start,"&lt;"&amp;780,m_end,"&gt;"&amp;720))))))</f>
        <v/>
      </c>
      <c r="AF63" s="88" t="str">
        <f aca="false">IF(OR(AF$4="",MONTH(($G$2+19))&lt;&gt;MONTH($C$2)),"",IF(COUNTIFS(m_teacher,AF$4,m_date,($G$2+19),m_active,1,m_start,"&lt;"&amp;780,m_end,"&gt;"&amp;720)=0,"",IF(COUNTIFS(m_teacher,AF$4,m_date,($G$2+19),m_active,1,m_start,"&lt;"&amp;780,m_end,"&gt;"&amp;720)&gt;1,"충돌",HYPERLINK("#'관리자_MASTER'!D"&amp;_xlfn.MAXIFS(m_row,m_teacher,AF$4,m_date,($G$2+19),m_active,1,m_start,"&lt;"&amp;780,m_end,"&gt;"&amp;720),INDEX(m_label,_xlfn.MAXIFS(m_row,m_teacher,AF$4,m_date,($G$2+19),m_active,1,m_start,"&lt;"&amp;780,m_end,"&gt;"&amp;720))))))</f>
        <v/>
      </c>
      <c r="AG63" s="88" t="str">
        <f aca="false">IF(OR(AG$4="",MONTH(($G$2+19))&lt;&gt;MONTH($C$2)),"",IF(COUNTIFS(m_teacher,AG$4,m_date,($G$2+19),m_active,1,m_start,"&lt;"&amp;780,m_end,"&gt;"&amp;720)=0,"",IF(COUNTIFS(m_teacher,AG$4,m_date,($G$2+19),m_active,1,m_start,"&lt;"&amp;780,m_end,"&gt;"&amp;720)&gt;1,"충돌",HYPERLINK("#'관리자_MASTER'!D"&amp;_xlfn.MAXIFS(m_row,m_teacher,AG$4,m_date,($G$2+19),m_active,1,m_start,"&lt;"&amp;780,m_end,"&gt;"&amp;720),INDEX(m_label,_xlfn.MAXIFS(m_row,m_teacher,AG$4,m_date,($G$2+19),m_active,1,m_start,"&lt;"&amp;780,m_end,"&gt;"&amp;720))))))</f>
        <v/>
      </c>
      <c r="AH63" s="88" t="str">
        <f aca="false">IF(OR(AH$4="",MONTH(($G$2+19))&lt;&gt;MONTH($C$2)),"",IF(COUNTIFS(m_teacher,AH$4,m_date,($G$2+19),m_active,1,m_start,"&lt;"&amp;780,m_end,"&gt;"&amp;720)=0,"",IF(COUNTIFS(m_teacher,AH$4,m_date,($G$2+19),m_active,1,m_start,"&lt;"&amp;780,m_end,"&gt;"&amp;720)&gt;1,"충돌",HYPERLINK("#'관리자_MASTER'!D"&amp;_xlfn.MAXIFS(m_row,m_teacher,AH$4,m_date,($G$2+19),m_active,1,m_start,"&lt;"&amp;780,m_end,"&gt;"&amp;720),INDEX(m_label,_xlfn.MAXIFS(m_row,m_teacher,AH$4,m_date,($G$2+19),m_active,1,m_start,"&lt;"&amp;780,m_end,"&gt;"&amp;720))))))</f>
        <v/>
      </c>
      <c r="AI63" s="88" t="str">
        <f aca="false">IF(OR(AI$4="",MONTH(($G$2+19))&lt;&gt;MONTH($C$2)),"",IF(COUNTIFS(m_teacher,AI$4,m_date,($G$2+19),m_active,1,m_start,"&lt;"&amp;780,m_end,"&gt;"&amp;720)=0,"",IF(COUNTIFS(m_teacher,AI$4,m_date,($G$2+19),m_active,1,m_start,"&lt;"&amp;780,m_end,"&gt;"&amp;720)&gt;1,"충돌",HYPERLINK("#'관리자_MASTER'!D"&amp;_xlfn.MAXIFS(m_row,m_teacher,AI$4,m_date,($G$2+19),m_active,1,m_start,"&lt;"&amp;780,m_end,"&gt;"&amp;720),INDEX(m_label,_xlfn.MAXIFS(m_row,m_teacher,AI$4,m_date,($G$2+19),m_active,1,m_start,"&lt;"&amp;780,m_end,"&gt;"&amp;720))))))</f>
        <v/>
      </c>
      <c r="AJ63" s="88" t="str">
        <f aca="false">IF(OR(AJ$4="",MONTH(($G$2+19))&lt;&gt;MONTH($C$2)),"",IF(COUNTIFS(m_teacher,AJ$4,m_date,($G$2+19),m_active,1,m_start,"&lt;"&amp;780,m_end,"&gt;"&amp;720)=0,"",IF(COUNTIFS(m_teacher,AJ$4,m_date,($G$2+19),m_active,1,m_start,"&lt;"&amp;780,m_end,"&gt;"&amp;720)&gt;1,"충돌",HYPERLINK("#'관리자_MASTER'!D"&amp;_xlfn.MAXIFS(m_row,m_teacher,AJ$4,m_date,($G$2+19),m_active,1,m_start,"&lt;"&amp;780,m_end,"&gt;"&amp;720),INDEX(m_label,_xlfn.MAXIFS(m_row,m_teacher,AJ$4,m_date,($G$2+19),m_active,1,m_start,"&lt;"&amp;780,m_end,"&gt;"&amp;720))))))</f>
        <v/>
      </c>
      <c r="AK63" s="88" t="str">
        <f aca="false">IF(OR(AK$4="",MONTH(($G$2+19))&lt;&gt;MONTH($C$2)),"",IF(COUNTIFS(m_teacher,AK$4,m_date,($G$2+19),m_active,1,m_start,"&lt;"&amp;780,m_end,"&gt;"&amp;720)=0,"",IF(COUNTIFS(m_teacher,AK$4,m_date,($G$2+19),m_active,1,m_start,"&lt;"&amp;780,m_end,"&gt;"&amp;720)&gt;1,"충돌",HYPERLINK("#'관리자_MASTER'!D"&amp;_xlfn.MAXIFS(m_row,m_teacher,AK$4,m_date,($G$2+19),m_active,1,m_start,"&lt;"&amp;780,m_end,"&gt;"&amp;720),INDEX(m_label,_xlfn.MAXIFS(m_row,m_teacher,AK$4,m_date,($G$2+19),m_active,1,m_start,"&lt;"&amp;780,m_end,"&gt;"&amp;720))))))</f>
        <v/>
      </c>
      <c r="AL63" s="88" t="str">
        <f aca="false">IF(OR(AL$4="",MONTH(($G$2+19))&lt;&gt;MONTH($C$2)),"",IF(COUNTIFS(m_teacher,AL$4,m_date,($G$2+19),m_active,1,m_start,"&lt;"&amp;780,m_end,"&gt;"&amp;720)=0,"",IF(COUNTIFS(m_teacher,AL$4,m_date,($G$2+19),m_active,1,m_start,"&lt;"&amp;780,m_end,"&gt;"&amp;720)&gt;1,"충돌",HYPERLINK("#'관리자_MASTER'!D"&amp;_xlfn.MAXIFS(m_row,m_teacher,AL$4,m_date,($G$2+19),m_active,1,m_start,"&lt;"&amp;780,m_end,"&gt;"&amp;720),INDEX(m_label,_xlfn.MAXIFS(m_row,m_teacher,AL$4,m_date,($G$2+19),m_active,1,m_start,"&lt;"&amp;780,m_end,"&gt;"&amp;720))))))</f>
        <v/>
      </c>
      <c r="AM63" s="88" t="str">
        <f aca="false">IF(OR(AM$4="",MONTH(($G$2+19))&lt;&gt;MONTH($C$2)),"",IF(COUNTIFS(m_teacher,AM$4,m_date,($G$2+19),m_active,1,m_start,"&lt;"&amp;780,m_end,"&gt;"&amp;720)=0,"",IF(COUNTIFS(m_teacher,AM$4,m_date,($G$2+19),m_active,1,m_start,"&lt;"&amp;780,m_end,"&gt;"&amp;720)&gt;1,"충돌",HYPERLINK("#'관리자_MASTER'!D"&amp;_xlfn.MAXIFS(m_row,m_teacher,AM$4,m_date,($G$2+19),m_active,1,m_start,"&lt;"&amp;780,m_end,"&gt;"&amp;720),INDEX(m_label,_xlfn.MAXIFS(m_row,m_teacher,AM$4,m_date,($G$2+19),m_active,1,m_start,"&lt;"&amp;780,m_end,"&gt;"&amp;720))))))</f>
        <v/>
      </c>
      <c r="AN63" s="88" t="str">
        <f aca="false">IF(OR(AN$4="",MONTH(($G$2+19))&lt;&gt;MONTH($C$2)),"",IF(COUNTIFS(m_teacher,AN$4,m_date,($G$2+19),m_active,1,m_start,"&lt;"&amp;780,m_end,"&gt;"&amp;720)=0,"",IF(COUNTIFS(m_teacher,AN$4,m_date,($G$2+19),m_active,1,m_start,"&lt;"&amp;780,m_end,"&gt;"&amp;720)&gt;1,"충돌",HYPERLINK("#'관리자_MASTER'!D"&amp;_xlfn.MAXIFS(m_row,m_teacher,AN$4,m_date,($G$2+19),m_active,1,m_start,"&lt;"&amp;780,m_end,"&gt;"&amp;720),INDEX(m_label,_xlfn.MAXIFS(m_row,m_teacher,AN$4,m_date,($G$2+19),m_active,1,m_start,"&lt;"&amp;780,m_end,"&gt;"&amp;720))))))</f>
        <v/>
      </c>
      <c r="AO63" s="88" t="str">
        <f aca="false">IF(OR(AO$4="",MONTH(($G$2+19))&lt;&gt;MONTH($C$2)),"",IF(COUNTIFS(m_teacher,AO$4,m_date,($G$2+19),m_active,1,m_start,"&lt;"&amp;780,m_end,"&gt;"&amp;720)=0,"",IF(COUNTIFS(m_teacher,AO$4,m_date,($G$2+19),m_active,1,m_start,"&lt;"&amp;780,m_end,"&gt;"&amp;720)&gt;1,"충돌",HYPERLINK("#'관리자_MASTER'!D"&amp;_xlfn.MAXIFS(m_row,m_teacher,AO$4,m_date,($G$2+19),m_active,1,m_start,"&lt;"&amp;780,m_end,"&gt;"&amp;720),INDEX(m_label,_xlfn.MAXIFS(m_row,m_teacher,AO$4,m_date,($G$2+19),m_active,1,m_start,"&lt;"&amp;780,m_end,"&gt;"&amp;720))))))</f>
        <v/>
      </c>
      <c r="AP63" s="88" t="str">
        <f aca="false">IF(OR(AP$4="",MONTH(($G$2+19))&lt;&gt;MONTH($C$2)),"",IF(COUNTIFS(m_teacher,AP$4,m_date,($G$2+19),m_active,1,m_start,"&lt;"&amp;780,m_end,"&gt;"&amp;720)=0,"",IF(COUNTIFS(m_teacher,AP$4,m_date,($G$2+19),m_active,1,m_start,"&lt;"&amp;780,m_end,"&gt;"&amp;720)&gt;1,"충돌",HYPERLINK("#'관리자_MASTER'!D"&amp;_xlfn.MAXIFS(m_row,m_teacher,AP$4,m_date,($G$2+19),m_active,1,m_start,"&lt;"&amp;780,m_end,"&gt;"&amp;720),INDEX(m_label,_xlfn.MAXIFS(m_row,m_teacher,AP$4,m_date,($G$2+19),m_active,1,m_start,"&lt;"&amp;780,m_end,"&gt;"&amp;720))))))</f>
        <v/>
      </c>
      <c r="AQ63" s="90"/>
      <c r="AR63" s="79" t="s">
        <v>94</v>
      </c>
      <c r="AS63" s="88" t="str">
        <f aca="false">IF(OR(AS$4="",MONTH(($G$2+26))&lt;&gt;MONTH($C$2)),"",IF(COUNTIFS(m_teacher,AS$4,m_date,($G$2+26),m_active,1,m_start,"&lt;"&amp;780,m_end,"&gt;"&amp;720)=0,"",IF(COUNTIFS(m_teacher,AS$4,m_date,($G$2+26),m_active,1,m_start,"&lt;"&amp;780,m_end,"&gt;"&amp;720)&gt;1,"충돌",HYPERLINK("#'관리자_MASTER'!D"&amp;_xlfn.MAXIFS(m_row,m_teacher,AS$4,m_date,($G$2+26),m_active,1,m_start,"&lt;"&amp;780,m_end,"&gt;"&amp;720),INDEX(m_label,_xlfn.MAXIFS(m_row,m_teacher,AS$4,m_date,($G$2+26),m_active,1,m_start,"&lt;"&amp;780,m_end,"&gt;"&amp;720))))))</f>
        <v/>
      </c>
      <c r="AT63" s="88" t="str">
        <f aca="false">IF(OR(AT$4="",MONTH(($G$2+26))&lt;&gt;MONTH($C$2)),"",IF(COUNTIFS(m_teacher,AT$4,m_date,($G$2+26),m_active,1,m_start,"&lt;"&amp;780,m_end,"&gt;"&amp;720)=0,"",IF(COUNTIFS(m_teacher,AT$4,m_date,($G$2+26),m_active,1,m_start,"&lt;"&amp;780,m_end,"&gt;"&amp;720)&gt;1,"충돌",HYPERLINK("#'관리자_MASTER'!D"&amp;_xlfn.MAXIFS(m_row,m_teacher,AT$4,m_date,($G$2+26),m_active,1,m_start,"&lt;"&amp;780,m_end,"&gt;"&amp;720),INDEX(m_label,_xlfn.MAXIFS(m_row,m_teacher,AT$4,m_date,($G$2+26),m_active,1,m_start,"&lt;"&amp;780,m_end,"&gt;"&amp;720))))))</f>
        <v/>
      </c>
      <c r="AU63" s="88" t="str">
        <f aca="false">IF(OR(AU$4="",MONTH(($G$2+26))&lt;&gt;MONTH($C$2)),"",IF(COUNTIFS(m_teacher,AU$4,m_date,($G$2+26),m_active,1,m_start,"&lt;"&amp;780,m_end,"&gt;"&amp;720)=0,"",IF(COUNTIFS(m_teacher,AU$4,m_date,($G$2+26),m_active,1,m_start,"&lt;"&amp;780,m_end,"&gt;"&amp;720)&gt;1,"충돌",HYPERLINK("#'관리자_MASTER'!D"&amp;_xlfn.MAXIFS(m_row,m_teacher,AU$4,m_date,($G$2+26),m_active,1,m_start,"&lt;"&amp;780,m_end,"&gt;"&amp;720),INDEX(m_label,_xlfn.MAXIFS(m_row,m_teacher,AU$4,m_date,($G$2+26),m_active,1,m_start,"&lt;"&amp;780,m_end,"&gt;"&amp;720))))))</f>
        <v/>
      </c>
      <c r="AV63" s="88" t="str">
        <f aca="false">IF(OR(AV$4="",MONTH(($G$2+26))&lt;&gt;MONTH($C$2)),"",IF(COUNTIFS(m_teacher,AV$4,m_date,($G$2+26),m_active,1,m_start,"&lt;"&amp;780,m_end,"&gt;"&amp;720)=0,"",IF(COUNTIFS(m_teacher,AV$4,m_date,($G$2+26),m_active,1,m_start,"&lt;"&amp;780,m_end,"&gt;"&amp;720)&gt;1,"충돌",HYPERLINK("#'관리자_MASTER'!D"&amp;_xlfn.MAXIFS(m_row,m_teacher,AV$4,m_date,($G$2+26),m_active,1,m_start,"&lt;"&amp;780,m_end,"&gt;"&amp;720),INDEX(m_label,_xlfn.MAXIFS(m_row,m_teacher,AV$4,m_date,($G$2+26),m_active,1,m_start,"&lt;"&amp;780,m_end,"&gt;"&amp;720))))))</f>
        <v/>
      </c>
      <c r="AW63" s="88" t="str">
        <f aca="false">IF(OR(AW$4="",MONTH(($G$2+26))&lt;&gt;MONTH($C$2)),"",IF(COUNTIFS(m_teacher,AW$4,m_date,($G$2+26),m_active,1,m_start,"&lt;"&amp;780,m_end,"&gt;"&amp;720)=0,"",IF(COUNTIFS(m_teacher,AW$4,m_date,($G$2+26),m_active,1,m_start,"&lt;"&amp;780,m_end,"&gt;"&amp;720)&gt;1,"충돌",HYPERLINK("#'관리자_MASTER'!D"&amp;_xlfn.MAXIFS(m_row,m_teacher,AW$4,m_date,($G$2+26),m_active,1,m_start,"&lt;"&amp;780,m_end,"&gt;"&amp;720),INDEX(m_label,_xlfn.MAXIFS(m_row,m_teacher,AW$4,m_date,($G$2+26),m_active,1,m_start,"&lt;"&amp;780,m_end,"&gt;"&amp;720))))))</f>
        <v/>
      </c>
      <c r="AX63" s="88" t="str">
        <f aca="false">IF(OR(AX$4="",MONTH(($G$2+26))&lt;&gt;MONTH($C$2)),"",IF(COUNTIFS(m_teacher,AX$4,m_date,($G$2+26),m_active,1,m_start,"&lt;"&amp;780,m_end,"&gt;"&amp;720)=0,"",IF(COUNTIFS(m_teacher,AX$4,m_date,($G$2+26),m_active,1,m_start,"&lt;"&amp;780,m_end,"&gt;"&amp;720)&gt;1,"충돌",HYPERLINK("#'관리자_MASTER'!D"&amp;_xlfn.MAXIFS(m_row,m_teacher,AX$4,m_date,($G$2+26),m_active,1,m_start,"&lt;"&amp;780,m_end,"&gt;"&amp;720),INDEX(m_label,_xlfn.MAXIFS(m_row,m_teacher,AX$4,m_date,($G$2+26),m_active,1,m_start,"&lt;"&amp;780,m_end,"&gt;"&amp;720))))))</f>
        <v/>
      </c>
      <c r="AY63" s="88" t="str">
        <f aca="false">IF(OR(AY$4="",MONTH(($G$2+26))&lt;&gt;MONTH($C$2)),"",IF(COUNTIFS(m_teacher,AY$4,m_date,($G$2+26),m_active,1,m_start,"&lt;"&amp;780,m_end,"&gt;"&amp;720)=0,"",IF(COUNTIFS(m_teacher,AY$4,m_date,($G$2+26),m_active,1,m_start,"&lt;"&amp;780,m_end,"&gt;"&amp;720)&gt;1,"충돌",HYPERLINK("#'관리자_MASTER'!D"&amp;_xlfn.MAXIFS(m_row,m_teacher,AY$4,m_date,($G$2+26),m_active,1,m_start,"&lt;"&amp;780,m_end,"&gt;"&amp;720),INDEX(m_label,_xlfn.MAXIFS(m_row,m_teacher,AY$4,m_date,($G$2+26),m_active,1,m_start,"&lt;"&amp;780,m_end,"&gt;"&amp;720))))))</f>
        <v/>
      </c>
      <c r="AZ63" s="88" t="str">
        <f aca="false">IF(OR(AZ$4="",MONTH(($G$2+26))&lt;&gt;MONTH($C$2)),"",IF(COUNTIFS(m_teacher,AZ$4,m_date,($G$2+26),m_active,1,m_start,"&lt;"&amp;780,m_end,"&gt;"&amp;720)=0,"",IF(COUNTIFS(m_teacher,AZ$4,m_date,($G$2+26),m_active,1,m_start,"&lt;"&amp;780,m_end,"&gt;"&amp;720)&gt;1,"충돌",HYPERLINK("#'관리자_MASTER'!D"&amp;_xlfn.MAXIFS(m_row,m_teacher,AZ$4,m_date,($G$2+26),m_active,1,m_start,"&lt;"&amp;780,m_end,"&gt;"&amp;720),INDEX(m_label,_xlfn.MAXIFS(m_row,m_teacher,AZ$4,m_date,($G$2+26),m_active,1,m_start,"&lt;"&amp;780,m_end,"&gt;"&amp;720))))))</f>
        <v/>
      </c>
      <c r="BA63" s="88" t="str">
        <f aca="false">IF(OR(BA$4="",MONTH(($G$2+26))&lt;&gt;MONTH($C$2)),"",IF(COUNTIFS(m_teacher,BA$4,m_date,($G$2+26),m_active,1,m_start,"&lt;"&amp;780,m_end,"&gt;"&amp;720)=0,"",IF(COUNTIFS(m_teacher,BA$4,m_date,($G$2+26),m_active,1,m_start,"&lt;"&amp;780,m_end,"&gt;"&amp;720)&gt;1,"충돌",HYPERLINK("#'관리자_MASTER'!D"&amp;_xlfn.MAXIFS(m_row,m_teacher,BA$4,m_date,($G$2+26),m_active,1,m_start,"&lt;"&amp;780,m_end,"&gt;"&amp;720),INDEX(m_label,_xlfn.MAXIFS(m_row,m_teacher,BA$4,m_date,($G$2+26),m_active,1,m_start,"&lt;"&amp;780,m_end,"&gt;"&amp;720))))))</f>
        <v/>
      </c>
      <c r="BB63" s="88" t="str">
        <f aca="false">IF(OR(BB$4="",MONTH(($G$2+26))&lt;&gt;MONTH($C$2)),"",IF(COUNTIFS(m_teacher,BB$4,m_date,($G$2+26),m_active,1,m_start,"&lt;"&amp;780,m_end,"&gt;"&amp;720)=0,"",IF(COUNTIFS(m_teacher,BB$4,m_date,($G$2+26),m_active,1,m_start,"&lt;"&amp;780,m_end,"&gt;"&amp;720)&gt;1,"충돌",HYPERLINK("#'관리자_MASTER'!D"&amp;_xlfn.MAXIFS(m_row,m_teacher,BB$4,m_date,($G$2+26),m_active,1,m_start,"&lt;"&amp;780,m_end,"&gt;"&amp;720),INDEX(m_label,_xlfn.MAXIFS(m_row,m_teacher,BB$4,m_date,($G$2+26),m_active,1,m_start,"&lt;"&amp;780,m_end,"&gt;"&amp;720))))))</f>
        <v/>
      </c>
      <c r="BC63" s="88" t="str">
        <f aca="false">IF(OR(BC$4="",MONTH(($G$2+26))&lt;&gt;MONTH($C$2)),"",IF(COUNTIFS(m_teacher,BC$4,m_date,($G$2+26),m_active,1,m_start,"&lt;"&amp;780,m_end,"&gt;"&amp;720)=0,"",IF(COUNTIFS(m_teacher,BC$4,m_date,($G$2+26),m_active,1,m_start,"&lt;"&amp;780,m_end,"&gt;"&amp;720)&gt;1,"충돌",HYPERLINK("#'관리자_MASTER'!D"&amp;_xlfn.MAXIFS(m_row,m_teacher,BC$4,m_date,($G$2+26),m_active,1,m_start,"&lt;"&amp;780,m_end,"&gt;"&amp;720),INDEX(m_label,_xlfn.MAXIFS(m_row,m_teacher,BC$4,m_date,($G$2+26),m_active,1,m_start,"&lt;"&amp;780,m_end,"&gt;"&amp;720))))))</f>
        <v/>
      </c>
      <c r="BD63" s="88" t="str">
        <f aca="false">IF(OR(BD$4="",MONTH(($G$2+26))&lt;&gt;MONTH($C$2)),"",IF(COUNTIFS(m_teacher,BD$4,m_date,($G$2+26),m_active,1,m_start,"&lt;"&amp;780,m_end,"&gt;"&amp;720)=0,"",IF(COUNTIFS(m_teacher,BD$4,m_date,($G$2+26),m_active,1,m_start,"&lt;"&amp;780,m_end,"&gt;"&amp;720)&gt;1,"충돌",HYPERLINK("#'관리자_MASTER'!D"&amp;_xlfn.MAXIFS(m_row,m_teacher,BD$4,m_date,($G$2+26),m_active,1,m_start,"&lt;"&amp;780,m_end,"&gt;"&amp;720),INDEX(m_label,_xlfn.MAXIFS(m_row,m_teacher,BD$4,m_date,($G$2+26),m_active,1,m_start,"&lt;"&amp;780,m_end,"&gt;"&amp;720))))))</f>
        <v/>
      </c>
    </row>
    <row r="64" customFormat="false" ht="19.5" hidden="false" customHeight="true" outlineLevel="0" collapsed="false">
      <c r="A64" s="90"/>
      <c r="B64" s="79" t="s">
        <v>95</v>
      </c>
      <c r="C64" s="88" t="str">
        <f aca="false">IF(OR(C$4="",MONTH(($G$2+5))&lt;&gt;MONTH($C$2)),"",IF(COUNTIFS(m_teacher,C$4,m_date,($G$2+5),m_active,1,m_start,"&lt;"&amp;840,m_end,"&gt;"&amp;780)=0,"",IF(COUNTIFS(m_teacher,C$4,m_date,($G$2+5),m_active,1,m_start,"&lt;"&amp;840,m_end,"&gt;"&amp;780)&gt;1,"충돌",HYPERLINK("#'관리자_MASTER'!D"&amp;_xlfn.MAXIFS(m_row,m_teacher,C$4,m_date,($G$2+5),m_active,1,m_start,"&lt;"&amp;840,m_end,"&gt;"&amp;780),INDEX(m_label,_xlfn.MAXIFS(m_row,m_teacher,C$4,m_date,($G$2+5),m_active,1,m_start,"&lt;"&amp;840,m_end,"&gt;"&amp;780))))))</f>
        <v/>
      </c>
      <c r="D64" s="88" t="str">
        <f aca="false">IF(OR(D$4="",MONTH(($G$2+5))&lt;&gt;MONTH($C$2)),"",IF(COUNTIFS(m_teacher,D$4,m_date,($G$2+5),m_active,1,m_start,"&lt;"&amp;840,m_end,"&gt;"&amp;780)=0,"",IF(COUNTIFS(m_teacher,D$4,m_date,($G$2+5),m_active,1,m_start,"&lt;"&amp;840,m_end,"&gt;"&amp;780)&gt;1,"충돌",HYPERLINK("#'관리자_MASTER'!D"&amp;_xlfn.MAXIFS(m_row,m_teacher,D$4,m_date,($G$2+5),m_active,1,m_start,"&lt;"&amp;840,m_end,"&gt;"&amp;780),INDEX(m_label,_xlfn.MAXIFS(m_row,m_teacher,D$4,m_date,($G$2+5),m_active,1,m_start,"&lt;"&amp;840,m_end,"&gt;"&amp;780))))))</f>
        <v/>
      </c>
      <c r="E64" s="88" t="str">
        <f aca="false">IF(OR(E$4="",MONTH(($G$2+5))&lt;&gt;MONTH($C$2)),"",IF(COUNTIFS(m_teacher,E$4,m_date,($G$2+5),m_active,1,m_start,"&lt;"&amp;840,m_end,"&gt;"&amp;780)=0,"",IF(COUNTIFS(m_teacher,E$4,m_date,($G$2+5),m_active,1,m_start,"&lt;"&amp;840,m_end,"&gt;"&amp;780)&gt;1,"충돌",HYPERLINK("#'관리자_MASTER'!D"&amp;_xlfn.MAXIFS(m_row,m_teacher,E$4,m_date,($G$2+5),m_active,1,m_start,"&lt;"&amp;840,m_end,"&gt;"&amp;780),INDEX(m_label,_xlfn.MAXIFS(m_row,m_teacher,E$4,m_date,($G$2+5),m_active,1,m_start,"&lt;"&amp;840,m_end,"&gt;"&amp;780))))))</f>
        <v/>
      </c>
      <c r="F64" s="88" t="str">
        <f aca="false">IF(OR(F$4="",MONTH(($G$2+5))&lt;&gt;MONTH($C$2)),"",IF(COUNTIFS(m_teacher,F$4,m_date,($G$2+5),m_active,1,m_start,"&lt;"&amp;840,m_end,"&gt;"&amp;780)=0,"",IF(COUNTIFS(m_teacher,F$4,m_date,($G$2+5),m_active,1,m_start,"&lt;"&amp;840,m_end,"&gt;"&amp;780)&gt;1,"충돌",HYPERLINK("#'관리자_MASTER'!D"&amp;_xlfn.MAXIFS(m_row,m_teacher,F$4,m_date,($G$2+5),m_active,1,m_start,"&lt;"&amp;840,m_end,"&gt;"&amp;780),INDEX(m_label,_xlfn.MAXIFS(m_row,m_teacher,F$4,m_date,($G$2+5),m_active,1,m_start,"&lt;"&amp;840,m_end,"&gt;"&amp;780))))))</f>
        <v/>
      </c>
      <c r="G64" s="88" t="str">
        <f aca="false">IF(OR(G$4="",MONTH(($G$2+5))&lt;&gt;MONTH($C$2)),"",IF(COUNTIFS(m_teacher,G$4,m_date,($G$2+5),m_active,1,m_start,"&lt;"&amp;840,m_end,"&gt;"&amp;780)=0,"",IF(COUNTIFS(m_teacher,G$4,m_date,($G$2+5),m_active,1,m_start,"&lt;"&amp;840,m_end,"&gt;"&amp;780)&gt;1,"충돌",HYPERLINK("#'관리자_MASTER'!D"&amp;_xlfn.MAXIFS(m_row,m_teacher,G$4,m_date,($G$2+5),m_active,1,m_start,"&lt;"&amp;840,m_end,"&gt;"&amp;780),INDEX(m_label,_xlfn.MAXIFS(m_row,m_teacher,G$4,m_date,($G$2+5),m_active,1,m_start,"&lt;"&amp;840,m_end,"&gt;"&amp;780))))))</f>
        <v/>
      </c>
      <c r="H64" s="88" t="str">
        <f aca="false">IF(OR(H$4="",MONTH(($G$2+5))&lt;&gt;MONTH($C$2)),"",IF(COUNTIFS(m_teacher,H$4,m_date,($G$2+5),m_active,1,m_start,"&lt;"&amp;840,m_end,"&gt;"&amp;780)=0,"",IF(COUNTIFS(m_teacher,H$4,m_date,($G$2+5),m_active,1,m_start,"&lt;"&amp;840,m_end,"&gt;"&amp;780)&gt;1,"충돌",HYPERLINK("#'관리자_MASTER'!D"&amp;_xlfn.MAXIFS(m_row,m_teacher,H$4,m_date,($G$2+5),m_active,1,m_start,"&lt;"&amp;840,m_end,"&gt;"&amp;780),INDEX(m_label,_xlfn.MAXIFS(m_row,m_teacher,H$4,m_date,($G$2+5),m_active,1,m_start,"&lt;"&amp;840,m_end,"&gt;"&amp;780))))))</f>
        <v/>
      </c>
      <c r="I64" s="88" t="str">
        <f aca="false">IF(OR(I$4="",MONTH(($G$2+5))&lt;&gt;MONTH($C$2)),"",IF(COUNTIFS(m_teacher,I$4,m_date,($G$2+5),m_active,1,m_start,"&lt;"&amp;840,m_end,"&gt;"&amp;780)=0,"",IF(COUNTIFS(m_teacher,I$4,m_date,($G$2+5),m_active,1,m_start,"&lt;"&amp;840,m_end,"&gt;"&amp;780)&gt;1,"충돌",HYPERLINK("#'관리자_MASTER'!D"&amp;_xlfn.MAXIFS(m_row,m_teacher,I$4,m_date,($G$2+5),m_active,1,m_start,"&lt;"&amp;840,m_end,"&gt;"&amp;780),INDEX(m_label,_xlfn.MAXIFS(m_row,m_teacher,I$4,m_date,($G$2+5),m_active,1,m_start,"&lt;"&amp;840,m_end,"&gt;"&amp;780))))))</f>
        <v/>
      </c>
      <c r="J64" s="88" t="str">
        <f aca="false">IF(OR(J$4="",MONTH(($G$2+5))&lt;&gt;MONTH($C$2)),"",IF(COUNTIFS(m_teacher,J$4,m_date,($G$2+5),m_active,1,m_start,"&lt;"&amp;840,m_end,"&gt;"&amp;780)=0,"",IF(COUNTIFS(m_teacher,J$4,m_date,($G$2+5),m_active,1,m_start,"&lt;"&amp;840,m_end,"&gt;"&amp;780)&gt;1,"충돌",HYPERLINK("#'관리자_MASTER'!D"&amp;_xlfn.MAXIFS(m_row,m_teacher,J$4,m_date,($G$2+5),m_active,1,m_start,"&lt;"&amp;840,m_end,"&gt;"&amp;780),INDEX(m_label,_xlfn.MAXIFS(m_row,m_teacher,J$4,m_date,($G$2+5),m_active,1,m_start,"&lt;"&amp;840,m_end,"&gt;"&amp;780))))))</f>
        <v/>
      </c>
      <c r="K64" s="88" t="str">
        <f aca="false">IF(OR(K$4="",MONTH(($G$2+5))&lt;&gt;MONTH($C$2)),"",IF(COUNTIFS(m_teacher,K$4,m_date,($G$2+5),m_active,1,m_start,"&lt;"&amp;840,m_end,"&gt;"&amp;780)=0,"",IF(COUNTIFS(m_teacher,K$4,m_date,($G$2+5),m_active,1,m_start,"&lt;"&amp;840,m_end,"&gt;"&amp;780)&gt;1,"충돌",HYPERLINK("#'관리자_MASTER'!D"&amp;_xlfn.MAXIFS(m_row,m_teacher,K$4,m_date,($G$2+5),m_active,1,m_start,"&lt;"&amp;840,m_end,"&gt;"&amp;780),INDEX(m_label,_xlfn.MAXIFS(m_row,m_teacher,K$4,m_date,($G$2+5),m_active,1,m_start,"&lt;"&amp;840,m_end,"&gt;"&amp;780))))))</f>
        <v/>
      </c>
      <c r="L64" s="88" t="str">
        <f aca="false">IF(OR(L$4="",MONTH(($G$2+5))&lt;&gt;MONTH($C$2)),"",IF(COUNTIFS(m_teacher,L$4,m_date,($G$2+5),m_active,1,m_start,"&lt;"&amp;840,m_end,"&gt;"&amp;780)=0,"",IF(COUNTIFS(m_teacher,L$4,m_date,($G$2+5),m_active,1,m_start,"&lt;"&amp;840,m_end,"&gt;"&amp;780)&gt;1,"충돌",HYPERLINK("#'관리자_MASTER'!D"&amp;_xlfn.MAXIFS(m_row,m_teacher,L$4,m_date,($G$2+5),m_active,1,m_start,"&lt;"&amp;840,m_end,"&gt;"&amp;780),INDEX(m_label,_xlfn.MAXIFS(m_row,m_teacher,L$4,m_date,($G$2+5),m_active,1,m_start,"&lt;"&amp;840,m_end,"&gt;"&amp;780))))))</f>
        <v/>
      </c>
      <c r="M64" s="88" t="str">
        <f aca="false">IF(OR(M$4="",MONTH(($G$2+5))&lt;&gt;MONTH($C$2)),"",IF(COUNTIFS(m_teacher,M$4,m_date,($G$2+5),m_active,1,m_start,"&lt;"&amp;840,m_end,"&gt;"&amp;780)=0,"",IF(COUNTIFS(m_teacher,M$4,m_date,($G$2+5),m_active,1,m_start,"&lt;"&amp;840,m_end,"&gt;"&amp;780)&gt;1,"충돌",HYPERLINK("#'관리자_MASTER'!D"&amp;_xlfn.MAXIFS(m_row,m_teacher,M$4,m_date,($G$2+5),m_active,1,m_start,"&lt;"&amp;840,m_end,"&gt;"&amp;780),INDEX(m_label,_xlfn.MAXIFS(m_row,m_teacher,M$4,m_date,($G$2+5),m_active,1,m_start,"&lt;"&amp;840,m_end,"&gt;"&amp;780))))))</f>
        <v/>
      </c>
      <c r="N64" s="88" t="str">
        <f aca="false">IF(OR(N$4="",MONTH(($G$2+5))&lt;&gt;MONTH($C$2)),"",IF(COUNTIFS(m_teacher,N$4,m_date,($G$2+5),m_active,1,m_start,"&lt;"&amp;840,m_end,"&gt;"&amp;780)=0,"",IF(COUNTIFS(m_teacher,N$4,m_date,($G$2+5),m_active,1,m_start,"&lt;"&amp;840,m_end,"&gt;"&amp;780)&gt;1,"충돌",HYPERLINK("#'관리자_MASTER'!D"&amp;_xlfn.MAXIFS(m_row,m_teacher,N$4,m_date,($G$2+5),m_active,1,m_start,"&lt;"&amp;840,m_end,"&gt;"&amp;780),INDEX(m_label,_xlfn.MAXIFS(m_row,m_teacher,N$4,m_date,($G$2+5),m_active,1,m_start,"&lt;"&amp;840,m_end,"&gt;"&amp;780))))))</f>
        <v/>
      </c>
      <c r="O64" s="90"/>
      <c r="P64" s="79" t="s">
        <v>95</v>
      </c>
      <c r="Q64" s="88" t="str">
        <f aca="false">IF(OR(Q$4="",MONTH(($G$2+12))&lt;&gt;MONTH($C$2)),"",IF(COUNTIFS(m_teacher,Q$4,m_date,($G$2+12),m_active,1,m_start,"&lt;"&amp;840,m_end,"&gt;"&amp;780)=0,"",IF(COUNTIFS(m_teacher,Q$4,m_date,($G$2+12),m_active,1,m_start,"&lt;"&amp;840,m_end,"&gt;"&amp;780)&gt;1,"충돌",HYPERLINK("#'관리자_MASTER'!D"&amp;_xlfn.MAXIFS(m_row,m_teacher,Q$4,m_date,($G$2+12),m_active,1,m_start,"&lt;"&amp;840,m_end,"&gt;"&amp;780),INDEX(m_label,_xlfn.MAXIFS(m_row,m_teacher,Q$4,m_date,($G$2+12),m_active,1,m_start,"&lt;"&amp;840,m_end,"&gt;"&amp;780))))))</f>
        <v/>
      </c>
      <c r="R64" s="88" t="str">
        <f aca="false">IF(OR(R$4="",MONTH(($G$2+12))&lt;&gt;MONTH($C$2)),"",IF(COUNTIFS(m_teacher,R$4,m_date,($G$2+12),m_active,1,m_start,"&lt;"&amp;840,m_end,"&gt;"&amp;780)=0,"",IF(COUNTIFS(m_teacher,R$4,m_date,($G$2+12),m_active,1,m_start,"&lt;"&amp;840,m_end,"&gt;"&amp;780)&gt;1,"충돌",HYPERLINK("#'관리자_MASTER'!D"&amp;_xlfn.MAXIFS(m_row,m_teacher,R$4,m_date,($G$2+12),m_active,1,m_start,"&lt;"&amp;840,m_end,"&gt;"&amp;780),INDEX(m_label,_xlfn.MAXIFS(m_row,m_teacher,R$4,m_date,($G$2+12),m_active,1,m_start,"&lt;"&amp;840,m_end,"&gt;"&amp;780))))))</f>
        <v/>
      </c>
      <c r="S64" s="88" t="str">
        <f aca="false">IF(OR(S$4="",MONTH(($G$2+12))&lt;&gt;MONTH($C$2)),"",IF(COUNTIFS(m_teacher,S$4,m_date,($G$2+12),m_active,1,m_start,"&lt;"&amp;840,m_end,"&gt;"&amp;780)=0,"",IF(COUNTIFS(m_teacher,S$4,m_date,($G$2+12),m_active,1,m_start,"&lt;"&amp;840,m_end,"&gt;"&amp;780)&gt;1,"충돌",HYPERLINK("#'관리자_MASTER'!D"&amp;_xlfn.MAXIFS(m_row,m_teacher,S$4,m_date,($G$2+12),m_active,1,m_start,"&lt;"&amp;840,m_end,"&gt;"&amp;780),INDEX(m_label,_xlfn.MAXIFS(m_row,m_teacher,S$4,m_date,($G$2+12),m_active,1,m_start,"&lt;"&amp;840,m_end,"&gt;"&amp;780))))))</f>
        <v/>
      </c>
      <c r="T64" s="88" t="str">
        <f aca="false">IF(OR(T$4="",MONTH(($G$2+12))&lt;&gt;MONTH($C$2)),"",IF(COUNTIFS(m_teacher,T$4,m_date,($G$2+12),m_active,1,m_start,"&lt;"&amp;840,m_end,"&gt;"&amp;780)=0,"",IF(COUNTIFS(m_teacher,T$4,m_date,($G$2+12),m_active,1,m_start,"&lt;"&amp;840,m_end,"&gt;"&amp;780)&gt;1,"충돌",HYPERLINK("#'관리자_MASTER'!D"&amp;_xlfn.MAXIFS(m_row,m_teacher,T$4,m_date,($G$2+12),m_active,1,m_start,"&lt;"&amp;840,m_end,"&gt;"&amp;780),INDEX(m_label,_xlfn.MAXIFS(m_row,m_teacher,T$4,m_date,($G$2+12),m_active,1,m_start,"&lt;"&amp;840,m_end,"&gt;"&amp;780))))))</f>
        <v/>
      </c>
      <c r="U64" s="88" t="str">
        <f aca="false">IF(OR(U$4="",MONTH(($G$2+12))&lt;&gt;MONTH($C$2)),"",IF(COUNTIFS(m_teacher,U$4,m_date,($G$2+12),m_active,1,m_start,"&lt;"&amp;840,m_end,"&gt;"&amp;780)=0,"",IF(COUNTIFS(m_teacher,U$4,m_date,($G$2+12),m_active,1,m_start,"&lt;"&amp;840,m_end,"&gt;"&amp;780)&gt;1,"충돌",HYPERLINK("#'관리자_MASTER'!D"&amp;_xlfn.MAXIFS(m_row,m_teacher,U$4,m_date,($G$2+12),m_active,1,m_start,"&lt;"&amp;840,m_end,"&gt;"&amp;780),INDEX(m_label,_xlfn.MAXIFS(m_row,m_teacher,U$4,m_date,($G$2+12),m_active,1,m_start,"&lt;"&amp;840,m_end,"&gt;"&amp;780))))))</f>
        <v/>
      </c>
      <c r="V64" s="88" t="str">
        <f aca="false">IF(OR(V$4="",MONTH(($G$2+12))&lt;&gt;MONTH($C$2)),"",IF(COUNTIFS(m_teacher,V$4,m_date,($G$2+12),m_active,1,m_start,"&lt;"&amp;840,m_end,"&gt;"&amp;780)=0,"",IF(COUNTIFS(m_teacher,V$4,m_date,($G$2+12),m_active,1,m_start,"&lt;"&amp;840,m_end,"&gt;"&amp;780)&gt;1,"충돌",HYPERLINK("#'관리자_MASTER'!D"&amp;_xlfn.MAXIFS(m_row,m_teacher,V$4,m_date,($G$2+12),m_active,1,m_start,"&lt;"&amp;840,m_end,"&gt;"&amp;780),INDEX(m_label,_xlfn.MAXIFS(m_row,m_teacher,V$4,m_date,($G$2+12),m_active,1,m_start,"&lt;"&amp;840,m_end,"&gt;"&amp;780))))))</f>
        <v/>
      </c>
      <c r="W64" s="88" t="str">
        <f aca="false">IF(OR(W$4="",MONTH(($G$2+12))&lt;&gt;MONTH($C$2)),"",IF(COUNTIFS(m_teacher,W$4,m_date,($G$2+12),m_active,1,m_start,"&lt;"&amp;840,m_end,"&gt;"&amp;780)=0,"",IF(COUNTIFS(m_teacher,W$4,m_date,($G$2+12),m_active,1,m_start,"&lt;"&amp;840,m_end,"&gt;"&amp;780)&gt;1,"충돌",HYPERLINK("#'관리자_MASTER'!D"&amp;_xlfn.MAXIFS(m_row,m_teacher,W$4,m_date,($G$2+12),m_active,1,m_start,"&lt;"&amp;840,m_end,"&gt;"&amp;780),INDEX(m_label,_xlfn.MAXIFS(m_row,m_teacher,W$4,m_date,($G$2+12),m_active,1,m_start,"&lt;"&amp;840,m_end,"&gt;"&amp;780))))))</f>
        <v/>
      </c>
      <c r="X64" s="88" t="str">
        <f aca="false">IF(OR(X$4="",MONTH(($G$2+12))&lt;&gt;MONTH($C$2)),"",IF(COUNTIFS(m_teacher,X$4,m_date,($G$2+12),m_active,1,m_start,"&lt;"&amp;840,m_end,"&gt;"&amp;780)=0,"",IF(COUNTIFS(m_teacher,X$4,m_date,($G$2+12),m_active,1,m_start,"&lt;"&amp;840,m_end,"&gt;"&amp;780)&gt;1,"충돌",HYPERLINK("#'관리자_MASTER'!D"&amp;_xlfn.MAXIFS(m_row,m_teacher,X$4,m_date,($G$2+12),m_active,1,m_start,"&lt;"&amp;840,m_end,"&gt;"&amp;780),INDEX(m_label,_xlfn.MAXIFS(m_row,m_teacher,X$4,m_date,($G$2+12),m_active,1,m_start,"&lt;"&amp;840,m_end,"&gt;"&amp;780))))))</f>
        <v/>
      </c>
      <c r="Y64" s="88" t="str">
        <f aca="false">IF(OR(Y$4="",MONTH(($G$2+12))&lt;&gt;MONTH($C$2)),"",IF(COUNTIFS(m_teacher,Y$4,m_date,($G$2+12),m_active,1,m_start,"&lt;"&amp;840,m_end,"&gt;"&amp;780)=0,"",IF(COUNTIFS(m_teacher,Y$4,m_date,($G$2+12),m_active,1,m_start,"&lt;"&amp;840,m_end,"&gt;"&amp;780)&gt;1,"충돌",HYPERLINK("#'관리자_MASTER'!D"&amp;_xlfn.MAXIFS(m_row,m_teacher,Y$4,m_date,($G$2+12),m_active,1,m_start,"&lt;"&amp;840,m_end,"&gt;"&amp;780),INDEX(m_label,_xlfn.MAXIFS(m_row,m_teacher,Y$4,m_date,($G$2+12),m_active,1,m_start,"&lt;"&amp;840,m_end,"&gt;"&amp;780))))))</f>
        <v/>
      </c>
      <c r="Z64" s="88" t="str">
        <f aca="false">IF(OR(Z$4="",MONTH(($G$2+12))&lt;&gt;MONTH($C$2)),"",IF(COUNTIFS(m_teacher,Z$4,m_date,($G$2+12),m_active,1,m_start,"&lt;"&amp;840,m_end,"&gt;"&amp;780)=0,"",IF(COUNTIFS(m_teacher,Z$4,m_date,($G$2+12),m_active,1,m_start,"&lt;"&amp;840,m_end,"&gt;"&amp;780)&gt;1,"충돌",HYPERLINK("#'관리자_MASTER'!D"&amp;_xlfn.MAXIFS(m_row,m_teacher,Z$4,m_date,($G$2+12),m_active,1,m_start,"&lt;"&amp;840,m_end,"&gt;"&amp;780),INDEX(m_label,_xlfn.MAXIFS(m_row,m_teacher,Z$4,m_date,($G$2+12),m_active,1,m_start,"&lt;"&amp;840,m_end,"&gt;"&amp;780))))))</f>
        <v/>
      </c>
      <c r="AA64" s="88" t="str">
        <f aca="false">IF(OR(AA$4="",MONTH(($G$2+12))&lt;&gt;MONTH($C$2)),"",IF(COUNTIFS(m_teacher,AA$4,m_date,($G$2+12),m_active,1,m_start,"&lt;"&amp;840,m_end,"&gt;"&amp;780)=0,"",IF(COUNTIFS(m_teacher,AA$4,m_date,($G$2+12),m_active,1,m_start,"&lt;"&amp;840,m_end,"&gt;"&amp;780)&gt;1,"충돌",HYPERLINK("#'관리자_MASTER'!D"&amp;_xlfn.MAXIFS(m_row,m_teacher,AA$4,m_date,($G$2+12),m_active,1,m_start,"&lt;"&amp;840,m_end,"&gt;"&amp;780),INDEX(m_label,_xlfn.MAXIFS(m_row,m_teacher,AA$4,m_date,($G$2+12),m_active,1,m_start,"&lt;"&amp;840,m_end,"&gt;"&amp;780))))))</f>
        <v/>
      </c>
      <c r="AB64" s="88" t="str">
        <f aca="false">IF(OR(AB$4="",MONTH(($G$2+12))&lt;&gt;MONTH($C$2)),"",IF(COUNTIFS(m_teacher,AB$4,m_date,($G$2+12),m_active,1,m_start,"&lt;"&amp;840,m_end,"&gt;"&amp;780)=0,"",IF(COUNTIFS(m_teacher,AB$4,m_date,($G$2+12),m_active,1,m_start,"&lt;"&amp;840,m_end,"&gt;"&amp;780)&gt;1,"충돌",HYPERLINK("#'관리자_MASTER'!D"&amp;_xlfn.MAXIFS(m_row,m_teacher,AB$4,m_date,($G$2+12),m_active,1,m_start,"&lt;"&amp;840,m_end,"&gt;"&amp;780),INDEX(m_label,_xlfn.MAXIFS(m_row,m_teacher,AB$4,m_date,($G$2+12),m_active,1,m_start,"&lt;"&amp;840,m_end,"&gt;"&amp;780))))))</f>
        <v/>
      </c>
      <c r="AC64" s="90"/>
      <c r="AD64" s="79" t="s">
        <v>95</v>
      </c>
      <c r="AE64" s="88" t="str">
        <f aca="false">IF(OR(AE$4="",MONTH(($G$2+19))&lt;&gt;MONTH($C$2)),"",IF(COUNTIFS(m_teacher,AE$4,m_date,($G$2+19),m_active,1,m_start,"&lt;"&amp;840,m_end,"&gt;"&amp;780)=0,"",IF(COUNTIFS(m_teacher,AE$4,m_date,($G$2+19),m_active,1,m_start,"&lt;"&amp;840,m_end,"&gt;"&amp;780)&gt;1,"충돌",HYPERLINK("#'관리자_MASTER'!D"&amp;_xlfn.MAXIFS(m_row,m_teacher,AE$4,m_date,($G$2+19),m_active,1,m_start,"&lt;"&amp;840,m_end,"&gt;"&amp;780),INDEX(m_label,_xlfn.MAXIFS(m_row,m_teacher,AE$4,m_date,($G$2+19),m_active,1,m_start,"&lt;"&amp;840,m_end,"&gt;"&amp;780))))))</f>
        <v/>
      </c>
      <c r="AF64" s="88" t="str">
        <f aca="false">IF(OR(AF$4="",MONTH(($G$2+19))&lt;&gt;MONTH($C$2)),"",IF(COUNTIFS(m_teacher,AF$4,m_date,($G$2+19),m_active,1,m_start,"&lt;"&amp;840,m_end,"&gt;"&amp;780)=0,"",IF(COUNTIFS(m_teacher,AF$4,m_date,($G$2+19),m_active,1,m_start,"&lt;"&amp;840,m_end,"&gt;"&amp;780)&gt;1,"충돌",HYPERLINK("#'관리자_MASTER'!D"&amp;_xlfn.MAXIFS(m_row,m_teacher,AF$4,m_date,($G$2+19),m_active,1,m_start,"&lt;"&amp;840,m_end,"&gt;"&amp;780),INDEX(m_label,_xlfn.MAXIFS(m_row,m_teacher,AF$4,m_date,($G$2+19),m_active,1,m_start,"&lt;"&amp;840,m_end,"&gt;"&amp;780))))))</f>
        <v/>
      </c>
      <c r="AG64" s="88" t="str">
        <f aca="false">IF(OR(AG$4="",MONTH(($G$2+19))&lt;&gt;MONTH($C$2)),"",IF(COUNTIFS(m_teacher,AG$4,m_date,($G$2+19),m_active,1,m_start,"&lt;"&amp;840,m_end,"&gt;"&amp;780)=0,"",IF(COUNTIFS(m_teacher,AG$4,m_date,($G$2+19),m_active,1,m_start,"&lt;"&amp;840,m_end,"&gt;"&amp;780)&gt;1,"충돌",HYPERLINK("#'관리자_MASTER'!D"&amp;_xlfn.MAXIFS(m_row,m_teacher,AG$4,m_date,($G$2+19),m_active,1,m_start,"&lt;"&amp;840,m_end,"&gt;"&amp;780),INDEX(m_label,_xlfn.MAXIFS(m_row,m_teacher,AG$4,m_date,($G$2+19),m_active,1,m_start,"&lt;"&amp;840,m_end,"&gt;"&amp;780))))))</f>
        <v/>
      </c>
      <c r="AH64" s="88" t="str">
        <f aca="false">IF(OR(AH$4="",MONTH(($G$2+19))&lt;&gt;MONTH($C$2)),"",IF(COUNTIFS(m_teacher,AH$4,m_date,($G$2+19),m_active,1,m_start,"&lt;"&amp;840,m_end,"&gt;"&amp;780)=0,"",IF(COUNTIFS(m_teacher,AH$4,m_date,($G$2+19),m_active,1,m_start,"&lt;"&amp;840,m_end,"&gt;"&amp;780)&gt;1,"충돌",HYPERLINK("#'관리자_MASTER'!D"&amp;_xlfn.MAXIFS(m_row,m_teacher,AH$4,m_date,($G$2+19),m_active,1,m_start,"&lt;"&amp;840,m_end,"&gt;"&amp;780),INDEX(m_label,_xlfn.MAXIFS(m_row,m_teacher,AH$4,m_date,($G$2+19),m_active,1,m_start,"&lt;"&amp;840,m_end,"&gt;"&amp;780))))))</f>
        <v/>
      </c>
      <c r="AI64" s="88" t="str">
        <f aca="false">IF(OR(AI$4="",MONTH(($G$2+19))&lt;&gt;MONTH($C$2)),"",IF(COUNTIFS(m_teacher,AI$4,m_date,($G$2+19),m_active,1,m_start,"&lt;"&amp;840,m_end,"&gt;"&amp;780)=0,"",IF(COUNTIFS(m_teacher,AI$4,m_date,($G$2+19),m_active,1,m_start,"&lt;"&amp;840,m_end,"&gt;"&amp;780)&gt;1,"충돌",HYPERLINK("#'관리자_MASTER'!D"&amp;_xlfn.MAXIFS(m_row,m_teacher,AI$4,m_date,($G$2+19),m_active,1,m_start,"&lt;"&amp;840,m_end,"&gt;"&amp;780),INDEX(m_label,_xlfn.MAXIFS(m_row,m_teacher,AI$4,m_date,($G$2+19),m_active,1,m_start,"&lt;"&amp;840,m_end,"&gt;"&amp;780))))))</f>
        <v/>
      </c>
      <c r="AJ64" s="88" t="str">
        <f aca="false">IF(OR(AJ$4="",MONTH(($G$2+19))&lt;&gt;MONTH($C$2)),"",IF(COUNTIFS(m_teacher,AJ$4,m_date,($G$2+19),m_active,1,m_start,"&lt;"&amp;840,m_end,"&gt;"&amp;780)=0,"",IF(COUNTIFS(m_teacher,AJ$4,m_date,($G$2+19),m_active,1,m_start,"&lt;"&amp;840,m_end,"&gt;"&amp;780)&gt;1,"충돌",HYPERLINK("#'관리자_MASTER'!D"&amp;_xlfn.MAXIFS(m_row,m_teacher,AJ$4,m_date,($G$2+19),m_active,1,m_start,"&lt;"&amp;840,m_end,"&gt;"&amp;780),INDEX(m_label,_xlfn.MAXIFS(m_row,m_teacher,AJ$4,m_date,($G$2+19),m_active,1,m_start,"&lt;"&amp;840,m_end,"&gt;"&amp;780))))))</f>
        <v/>
      </c>
      <c r="AK64" s="88" t="str">
        <f aca="false">IF(OR(AK$4="",MONTH(($G$2+19))&lt;&gt;MONTH($C$2)),"",IF(COUNTIFS(m_teacher,AK$4,m_date,($G$2+19),m_active,1,m_start,"&lt;"&amp;840,m_end,"&gt;"&amp;780)=0,"",IF(COUNTIFS(m_teacher,AK$4,m_date,($G$2+19),m_active,1,m_start,"&lt;"&amp;840,m_end,"&gt;"&amp;780)&gt;1,"충돌",HYPERLINK("#'관리자_MASTER'!D"&amp;_xlfn.MAXIFS(m_row,m_teacher,AK$4,m_date,($G$2+19),m_active,1,m_start,"&lt;"&amp;840,m_end,"&gt;"&amp;780),INDEX(m_label,_xlfn.MAXIFS(m_row,m_teacher,AK$4,m_date,($G$2+19),m_active,1,m_start,"&lt;"&amp;840,m_end,"&gt;"&amp;780))))))</f>
        <v/>
      </c>
      <c r="AL64" s="88" t="str">
        <f aca="false">IF(OR(AL$4="",MONTH(($G$2+19))&lt;&gt;MONTH($C$2)),"",IF(COUNTIFS(m_teacher,AL$4,m_date,($G$2+19),m_active,1,m_start,"&lt;"&amp;840,m_end,"&gt;"&amp;780)=0,"",IF(COUNTIFS(m_teacher,AL$4,m_date,($G$2+19),m_active,1,m_start,"&lt;"&amp;840,m_end,"&gt;"&amp;780)&gt;1,"충돌",HYPERLINK("#'관리자_MASTER'!D"&amp;_xlfn.MAXIFS(m_row,m_teacher,AL$4,m_date,($G$2+19),m_active,1,m_start,"&lt;"&amp;840,m_end,"&gt;"&amp;780),INDEX(m_label,_xlfn.MAXIFS(m_row,m_teacher,AL$4,m_date,($G$2+19),m_active,1,m_start,"&lt;"&amp;840,m_end,"&gt;"&amp;780))))))</f>
        <v/>
      </c>
      <c r="AM64" s="88" t="str">
        <f aca="false">IF(OR(AM$4="",MONTH(($G$2+19))&lt;&gt;MONTH($C$2)),"",IF(COUNTIFS(m_teacher,AM$4,m_date,($G$2+19),m_active,1,m_start,"&lt;"&amp;840,m_end,"&gt;"&amp;780)=0,"",IF(COUNTIFS(m_teacher,AM$4,m_date,($G$2+19),m_active,1,m_start,"&lt;"&amp;840,m_end,"&gt;"&amp;780)&gt;1,"충돌",HYPERLINK("#'관리자_MASTER'!D"&amp;_xlfn.MAXIFS(m_row,m_teacher,AM$4,m_date,($G$2+19),m_active,1,m_start,"&lt;"&amp;840,m_end,"&gt;"&amp;780),INDEX(m_label,_xlfn.MAXIFS(m_row,m_teacher,AM$4,m_date,($G$2+19),m_active,1,m_start,"&lt;"&amp;840,m_end,"&gt;"&amp;780))))))</f>
        <v/>
      </c>
      <c r="AN64" s="88" t="str">
        <f aca="false">IF(OR(AN$4="",MONTH(($G$2+19))&lt;&gt;MONTH($C$2)),"",IF(COUNTIFS(m_teacher,AN$4,m_date,($G$2+19),m_active,1,m_start,"&lt;"&amp;840,m_end,"&gt;"&amp;780)=0,"",IF(COUNTIFS(m_teacher,AN$4,m_date,($G$2+19),m_active,1,m_start,"&lt;"&amp;840,m_end,"&gt;"&amp;780)&gt;1,"충돌",HYPERLINK("#'관리자_MASTER'!D"&amp;_xlfn.MAXIFS(m_row,m_teacher,AN$4,m_date,($G$2+19),m_active,1,m_start,"&lt;"&amp;840,m_end,"&gt;"&amp;780),INDEX(m_label,_xlfn.MAXIFS(m_row,m_teacher,AN$4,m_date,($G$2+19),m_active,1,m_start,"&lt;"&amp;840,m_end,"&gt;"&amp;780))))))</f>
        <v/>
      </c>
      <c r="AO64" s="88" t="str">
        <f aca="false">IF(OR(AO$4="",MONTH(($G$2+19))&lt;&gt;MONTH($C$2)),"",IF(COUNTIFS(m_teacher,AO$4,m_date,($G$2+19),m_active,1,m_start,"&lt;"&amp;840,m_end,"&gt;"&amp;780)=0,"",IF(COUNTIFS(m_teacher,AO$4,m_date,($G$2+19),m_active,1,m_start,"&lt;"&amp;840,m_end,"&gt;"&amp;780)&gt;1,"충돌",HYPERLINK("#'관리자_MASTER'!D"&amp;_xlfn.MAXIFS(m_row,m_teacher,AO$4,m_date,($G$2+19),m_active,1,m_start,"&lt;"&amp;840,m_end,"&gt;"&amp;780),INDEX(m_label,_xlfn.MAXIFS(m_row,m_teacher,AO$4,m_date,($G$2+19),m_active,1,m_start,"&lt;"&amp;840,m_end,"&gt;"&amp;780))))))</f>
        <v/>
      </c>
      <c r="AP64" s="88" t="str">
        <f aca="false">IF(OR(AP$4="",MONTH(($G$2+19))&lt;&gt;MONTH($C$2)),"",IF(COUNTIFS(m_teacher,AP$4,m_date,($G$2+19),m_active,1,m_start,"&lt;"&amp;840,m_end,"&gt;"&amp;780)=0,"",IF(COUNTIFS(m_teacher,AP$4,m_date,($G$2+19),m_active,1,m_start,"&lt;"&amp;840,m_end,"&gt;"&amp;780)&gt;1,"충돌",HYPERLINK("#'관리자_MASTER'!D"&amp;_xlfn.MAXIFS(m_row,m_teacher,AP$4,m_date,($G$2+19),m_active,1,m_start,"&lt;"&amp;840,m_end,"&gt;"&amp;780),INDEX(m_label,_xlfn.MAXIFS(m_row,m_teacher,AP$4,m_date,($G$2+19),m_active,1,m_start,"&lt;"&amp;840,m_end,"&gt;"&amp;780))))))</f>
        <v/>
      </c>
      <c r="AQ64" s="90"/>
      <c r="AR64" s="79" t="s">
        <v>95</v>
      </c>
      <c r="AS64" s="88" t="str">
        <f aca="false">IF(OR(AS$4="",MONTH(($G$2+26))&lt;&gt;MONTH($C$2)),"",IF(COUNTIFS(m_teacher,AS$4,m_date,($G$2+26),m_active,1,m_start,"&lt;"&amp;840,m_end,"&gt;"&amp;780)=0,"",IF(COUNTIFS(m_teacher,AS$4,m_date,($G$2+26),m_active,1,m_start,"&lt;"&amp;840,m_end,"&gt;"&amp;780)&gt;1,"충돌",HYPERLINK("#'관리자_MASTER'!D"&amp;_xlfn.MAXIFS(m_row,m_teacher,AS$4,m_date,($G$2+26),m_active,1,m_start,"&lt;"&amp;840,m_end,"&gt;"&amp;780),INDEX(m_label,_xlfn.MAXIFS(m_row,m_teacher,AS$4,m_date,($G$2+26),m_active,1,m_start,"&lt;"&amp;840,m_end,"&gt;"&amp;780))))))</f>
        <v/>
      </c>
      <c r="AT64" s="88" t="str">
        <f aca="false">IF(OR(AT$4="",MONTH(($G$2+26))&lt;&gt;MONTH($C$2)),"",IF(COUNTIFS(m_teacher,AT$4,m_date,($G$2+26),m_active,1,m_start,"&lt;"&amp;840,m_end,"&gt;"&amp;780)=0,"",IF(COUNTIFS(m_teacher,AT$4,m_date,($G$2+26),m_active,1,m_start,"&lt;"&amp;840,m_end,"&gt;"&amp;780)&gt;1,"충돌",HYPERLINK("#'관리자_MASTER'!D"&amp;_xlfn.MAXIFS(m_row,m_teacher,AT$4,m_date,($G$2+26),m_active,1,m_start,"&lt;"&amp;840,m_end,"&gt;"&amp;780),INDEX(m_label,_xlfn.MAXIFS(m_row,m_teacher,AT$4,m_date,($G$2+26),m_active,1,m_start,"&lt;"&amp;840,m_end,"&gt;"&amp;780))))))</f>
        <v/>
      </c>
      <c r="AU64" s="88" t="str">
        <f aca="false">IF(OR(AU$4="",MONTH(($G$2+26))&lt;&gt;MONTH($C$2)),"",IF(COUNTIFS(m_teacher,AU$4,m_date,($G$2+26),m_active,1,m_start,"&lt;"&amp;840,m_end,"&gt;"&amp;780)=0,"",IF(COUNTIFS(m_teacher,AU$4,m_date,($G$2+26),m_active,1,m_start,"&lt;"&amp;840,m_end,"&gt;"&amp;780)&gt;1,"충돌",HYPERLINK("#'관리자_MASTER'!D"&amp;_xlfn.MAXIFS(m_row,m_teacher,AU$4,m_date,($G$2+26),m_active,1,m_start,"&lt;"&amp;840,m_end,"&gt;"&amp;780),INDEX(m_label,_xlfn.MAXIFS(m_row,m_teacher,AU$4,m_date,($G$2+26),m_active,1,m_start,"&lt;"&amp;840,m_end,"&gt;"&amp;780))))))</f>
        <v/>
      </c>
      <c r="AV64" s="88" t="str">
        <f aca="false">IF(OR(AV$4="",MONTH(($G$2+26))&lt;&gt;MONTH($C$2)),"",IF(COUNTIFS(m_teacher,AV$4,m_date,($G$2+26),m_active,1,m_start,"&lt;"&amp;840,m_end,"&gt;"&amp;780)=0,"",IF(COUNTIFS(m_teacher,AV$4,m_date,($G$2+26),m_active,1,m_start,"&lt;"&amp;840,m_end,"&gt;"&amp;780)&gt;1,"충돌",HYPERLINK("#'관리자_MASTER'!D"&amp;_xlfn.MAXIFS(m_row,m_teacher,AV$4,m_date,($G$2+26),m_active,1,m_start,"&lt;"&amp;840,m_end,"&gt;"&amp;780),INDEX(m_label,_xlfn.MAXIFS(m_row,m_teacher,AV$4,m_date,($G$2+26),m_active,1,m_start,"&lt;"&amp;840,m_end,"&gt;"&amp;780))))))</f>
        <v/>
      </c>
      <c r="AW64" s="88" t="str">
        <f aca="false">IF(OR(AW$4="",MONTH(($G$2+26))&lt;&gt;MONTH($C$2)),"",IF(COUNTIFS(m_teacher,AW$4,m_date,($G$2+26),m_active,1,m_start,"&lt;"&amp;840,m_end,"&gt;"&amp;780)=0,"",IF(COUNTIFS(m_teacher,AW$4,m_date,($G$2+26),m_active,1,m_start,"&lt;"&amp;840,m_end,"&gt;"&amp;780)&gt;1,"충돌",HYPERLINK("#'관리자_MASTER'!D"&amp;_xlfn.MAXIFS(m_row,m_teacher,AW$4,m_date,($G$2+26),m_active,1,m_start,"&lt;"&amp;840,m_end,"&gt;"&amp;780),INDEX(m_label,_xlfn.MAXIFS(m_row,m_teacher,AW$4,m_date,($G$2+26),m_active,1,m_start,"&lt;"&amp;840,m_end,"&gt;"&amp;780))))))</f>
        <v/>
      </c>
      <c r="AX64" s="88" t="str">
        <f aca="false">IF(OR(AX$4="",MONTH(($G$2+26))&lt;&gt;MONTH($C$2)),"",IF(COUNTIFS(m_teacher,AX$4,m_date,($G$2+26),m_active,1,m_start,"&lt;"&amp;840,m_end,"&gt;"&amp;780)=0,"",IF(COUNTIFS(m_teacher,AX$4,m_date,($G$2+26),m_active,1,m_start,"&lt;"&amp;840,m_end,"&gt;"&amp;780)&gt;1,"충돌",HYPERLINK("#'관리자_MASTER'!D"&amp;_xlfn.MAXIFS(m_row,m_teacher,AX$4,m_date,($G$2+26),m_active,1,m_start,"&lt;"&amp;840,m_end,"&gt;"&amp;780),INDEX(m_label,_xlfn.MAXIFS(m_row,m_teacher,AX$4,m_date,($G$2+26),m_active,1,m_start,"&lt;"&amp;840,m_end,"&gt;"&amp;780))))))</f>
        <v/>
      </c>
      <c r="AY64" s="88" t="str">
        <f aca="false">IF(OR(AY$4="",MONTH(($G$2+26))&lt;&gt;MONTH($C$2)),"",IF(COUNTIFS(m_teacher,AY$4,m_date,($G$2+26),m_active,1,m_start,"&lt;"&amp;840,m_end,"&gt;"&amp;780)=0,"",IF(COUNTIFS(m_teacher,AY$4,m_date,($G$2+26),m_active,1,m_start,"&lt;"&amp;840,m_end,"&gt;"&amp;780)&gt;1,"충돌",HYPERLINK("#'관리자_MASTER'!D"&amp;_xlfn.MAXIFS(m_row,m_teacher,AY$4,m_date,($G$2+26),m_active,1,m_start,"&lt;"&amp;840,m_end,"&gt;"&amp;780),INDEX(m_label,_xlfn.MAXIFS(m_row,m_teacher,AY$4,m_date,($G$2+26),m_active,1,m_start,"&lt;"&amp;840,m_end,"&gt;"&amp;780))))))</f>
        <v/>
      </c>
      <c r="AZ64" s="88" t="str">
        <f aca="false">IF(OR(AZ$4="",MONTH(($G$2+26))&lt;&gt;MONTH($C$2)),"",IF(COUNTIFS(m_teacher,AZ$4,m_date,($G$2+26),m_active,1,m_start,"&lt;"&amp;840,m_end,"&gt;"&amp;780)=0,"",IF(COUNTIFS(m_teacher,AZ$4,m_date,($G$2+26),m_active,1,m_start,"&lt;"&amp;840,m_end,"&gt;"&amp;780)&gt;1,"충돌",HYPERLINK("#'관리자_MASTER'!D"&amp;_xlfn.MAXIFS(m_row,m_teacher,AZ$4,m_date,($G$2+26),m_active,1,m_start,"&lt;"&amp;840,m_end,"&gt;"&amp;780),INDEX(m_label,_xlfn.MAXIFS(m_row,m_teacher,AZ$4,m_date,($G$2+26),m_active,1,m_start,"&lt;"&amp;840,m_end,"&gt;"&amp;780))))))</f>
        <v/>
      </c>
      <c r="BA64" s="88" t="str">
        <f aca="false">IF(OR(BA$4="",MONTH(($G$2+26))&lt;&gt;MONTH($C$2)),"",IF(COUNTIFS(m_teacher,BA$4,m_date,($G$2+26),m_active,1,m_start,"&lt;"&amp;840,m_end,"&gt;"&amp;780)=0,"",IF(COUNTIFS(m_teacher,BA$4,m_date,($G$2+26),m_active,1,m_start,"&lt;"&amp;840,m_end,"&gt;"&amp;780)&gt;1,"충돌",HYPERLINK("#'관리자_MASTER'!D"&amp;_xlfn.MAXIFS(m_row,m_teacher,BA$4,m_date,($G$2+26),m_active,1,m_start,"&lt;"&amp;840,m_end,"&gt;"&amp;780),INDEX(m_label,_xlfn.MAXIFS(m_row,m_teacher,BA$4,m_date,($G$2+26),m_active,1,m_start,"&lt;"&amp;840,m_end,"&gt;"&amp;780))))))</f>
        <v/>
      </c>
      <c r="BB64" s="88" t="str">
        <f aca="false">IF(OR(BB$4="",MONTH(($G$2+26))&lt;&gt;MONTH($C$2)),"",IF(COUNTIFS(m_teacher,BB$4,m_date,($G$2+26),m_active,1,m_start,"&lt;"&amp;840,m_end,"&gt;"&amp;780)=0,"",IF(COUNTIFS(m_teacher,BB$4,m_date,($G$2+26),m_active,1,m_start,"&lt;"&amp;840,m_end,"&gt;"&amp;780)&gt;1,"충돌",HYPERLINK("#'관리자_MASTER'!D"&amp;_xlfn.MAXIFS(m_row,m_teacher,BB$4,m_date,($G$2+26),m_active,1,m_start,"&lt;"&amp;840,m_end,"&gt;"&amp;780),INDEX(m_label,_xlfn.MAXIFS(m_row,m_teacher,BB$4,m_date,($G$2+26),m_active,1,m_start,"&lt;"&amp;840,m_end,"&gt;"&amp;780))))))</f>
        <v/>
      </c>
      <c r="BC64" s="88" t="str">
        <f aca="false">IF(OR(BC$4="",MONTH(($G$2+26))&lt;&gt;MONTH($C$2)),"",IF(COUNTIFS(m_teacher,BC$4,m_date,($G$2+26),m_active,1,m_start,"&lt;"&amp;840,m_end,"&gt;"&amp;780)=0,"",IF(COUNTIFS(m_teacher,BC$4,m_date,($G$2+26),m_active,1,m_start,"&lt;"&amp;840,m_end,"&gt;"&amp;780)&gt;1,"충돌",HYPERLINK("#'관리자_MASTER'!D"&amp;_xlfn.MAXIFS(m_row,m_teacher,BC$4,m_date,($G$2+26),m_active,1,m_start,"&lt;"&amp;840,m_end,"&gt;"&amp;780),INDEX(m_label,_xlfn.MAXIFS(m_row,m_teacher,BC$4,m_date,($G$2+26),m_active,1,m_start,"&lt;"&amp;840,m_end,"&gt;"&amp;780))))))</f>
        <v/>
      </c>
      <c r="BD64" s="88" t="str">
        <f aca="false">IF(OR(BD$4="",MONTH(($G$2+26))&lt;&gt;MONTH($C$2)),"",IF(COUNTIFS(m_teacher,BD$4,m_date,($G$2+26),m_active,1,m_start,"&lt;"&amp;840,m_end,"&gt;"&amp;780)=0,"",IF(COUNTIFS(m_teacher,BD$4,m_date,($G$2+26),m_active,1,m_start,"&lt;"&amp;840,m_end,"&gt;"&amp;780)&gt;1,"충돌",HYPERLINK("#'관리자_MASTER'!D"&amp;_xlfn.MAXIFS(m_row,m_teacher,BD$4,m_date,($G$2+26),m_active,1,m_start,"&lt;"&amp;840,m_end,"&gt;"&amp;780),INDEX(m_label,_xlfn.MAXIFS(m_row,m_teacher,BD$4,m_date,($G$2+26),m_active,1,m_start,"&lt;"&amp;840,m_end,"&gt;"&amp;780))))))</f>
        <v/>
      </c>
    </row>
    <row r="65" customFormat="false" ht="19.5" hidden="false" customHeight="true" outlineLevel="0" collapsed="false">
      <c r="A65" s="90"/>
      <c r="B65" s="79" t="s">
        <v>96</v>
      </c>
      <c r="C65" s="88" t="str">
        <f aca="false">IF(OR(C$4="",MONTH(($G$2+5))&lt;&gt;MONTH($C$2)),"",IF(COUNTIFS(m_teacher,C$4,m_date,($G$2+5),m_active,1,m_start,"&lt;"&amp;900,m_end,"&gt;"&amp;840)=0,"",IF(COUNTIFS(m_teacher,C$4,m_date,($G$2+5),m_active,1,m_start,"&lt;"&amp;900,m_end,"&gt;"&amp;840)&gt;1,"충돌",HYPERLINK("#'관리자_MASTER'!D"&amp;_xlfn.MAXIFS(m_row,m_teacher,C$4,m_date,($G$2+5),m_active,1,m_start,"&lt;"&amp;900,m_end,"&gt;"&amp;840),INDEX(m_label,_xlfn.MAXIFS(m_row,m_teacher,C$4,m_date,($G$2+5),m_active,1,m_start,"&lt;"&amp;900,m_end,"&gt;"&amp;840))))))</f>
        <v/>
      </c>
      <c r="D65" s="88" t="str">
        <f aca="false">IF(OR(D$4="",MONTH(($G$2+5))&lt;&gt;MONTH($C$2)),"",IF(COUNTIFS(m_teacher,D$4,m_date,($G$2+5),m_active,1,m_start,"&lt;"&amp;900,m_end,"&gt;"&amp;840)=0,"",IF(COUNTIFS(m_teacher,D$4,m_date,($G$2+5),m_active,1,m_start,"&lt;"&amp;900,m_end,"&gt;"&amp;840)&gt;1,"충돌",HYPERLINK("#'관리자_MASTER'!D"&amp;_xlfn.MAXIFS(m_row,m_teacher,D$4,m_date,($G$2+5),m_active,1,m_start,"&lt;"&amp;900,m_end,"&gt;"&amp;840),INDEX(m_label,_xlfn.MAXIFS(m_row,m_teacher,D$4,m_date,($G$2+5),m_active,1,m_start,"&lt;"&amp;900,m_end,"&gt;"&amp;840))))))</f>
        <v/>
      </c>
      <c r="E65" s="88" t="str">
        <f aca="false">IF(OR(E$4="",MONTH(($G$2+5))&lt;&gt;MONTH($C$2)),"",IF(COUNTIFS(m_teacher,E$4,m_date,($G$2+5),m_active,1,m_start,"&lt;"&amp;900,m_end,"&gt;"&amp;840)=0,"",IF(COUNTIFS(m_teacher,E$4,m_date,($G$2+5),m_active,1,m_start,"&lt;"&amp;900,m_end,"&gt;"&amp;840)&gt;1,"충돌",HYPERLINK("#'관리자_MASTER'!D"&amp;_xlfn.MAXIFS(m_row,m_teacher,E$4,m_date,($G$2+5),m_active,1,m_start,"&lt;"&amp;900,m_end,"&gt;"&amp;840),INDEX(m_label,_xlfn.MAXIFS(m_row,m_teacher,E$4,m_date,($G$2+5),m_active,1,m_start,"&lt;"&amp;900,m_end,"&gt;"&amp;840))))))</f>
        <v/>
      </c>
      <c r="F65" s="88" t="str">
        <f aca="false">IF(OR(F$4="",MONTH(($G$2+5))&lt;&gt;MONTH($C$2)),"",IF(COUNTIFS(m_teacher,F$4,m_date,($G$2+5),m_active,1,m_start,"&lt;"&amp;900,m_end,"&gt;"&amp;840)=0,"",IF(COUNTIFS(m_teacher,F$4,m_date,($G$2+5),m_active,1,m_start,"&lt;"&amp;900,m_end,"&gt;"&amp;840)&gt;1,"충돌",HYPERLINK("#'관리자_MASTER'!D"&amp;_xlfn.MAXIFS(m_row,m_teacher,F$4,m_date,($G$2+5),m_active,1,m_start,"&lt;"&amp;900,m_end,"&gt;"&amp;840),INDEX(m_label,_xlfn.MAXIFS(m_row,m_teacher,F$4,m_date,($G$2+5),m_active,1,m_start,"&lt;"&amp;900,m_end,"&gt;"&amp;840))))))</f>
        <v/>
      </c>
      <c r="G65" s="88" t="str">
        <f aca="false">IF(OR(G$4="",MONTH(($G$2+5))&lt;&gt;MONTH($C$2)),"",IF(COUNTIFS(m_teacher,G$4,m_date,($G$2+5),m_active,1,m_start,"&lt;"&amp;900,m_end,"&gt;"&amp;840)=0,"",IF(COUNTIFS(m_teacher,G$4,m_date,($G$2+5),m_active,1,m_start,"&lt;"&amp;900,m_end,"&gt;"&amp;840)&gt;1,"충돌",HYPERLINK("#'관리자_MASTER'!D"&amp;_xlfn.MAXIFS(m_row,m_teacher,G$4,m_date,($G$2+5),m_active,1,m_start,"&lt;"&amp;900,m_end,"&gt;"&amp;840),INDEX(m_label,_xlfn.MAXIFS(m_row,m_teacher,G$4,m_date,($G$2+5),m_active,1,m_start,"&lt;"&amp;900,m_end,"&gt;"&amp;840))))))</f>
        <v/>
      </c>
      <c r="H65" s="88" t="str">
        <f aca="false">IF(OR(H$4="",MONTH(($G$2+5))&lt;&gt;MONTH($C$2)),"",IF(COUNTIFS(m_teacher,H$4,m_date,($G$2+5),m_active,1,m_start,"&lt;"&amp;900,m_end,"&gt;"&amp;840)=0,"",IF(COUNTIFS(m_teacher,H$4,m_date,($G$2+5),m_active,1,m_start,"&lt;"&amp;900,m_end,"&gt;"&amp;840)&gt;1,"충돌",HYPERLINK("#'관리자_MASTER'!D"&amp;_xlfn.MAXIFS(m_row,m_teacher,H$4,m_date,($G$2+5),m_active,1,m_start,"&lt;"&amp;900,m_end,"&gt;"&amp;840),INDEX(m_label,_xlfn.MAXIFS(m_row,m_teacher,H$4,m_date,($G$2+5),m_active,1,m_start,"&lt;"&amp;900,m_end,"&gt;"&amp;840))))))</f>
        <v/>
      </c>
      <c r="I65" s="88" t="str">
        <f aca="false">IF(OR(I$4="",MONTH(($G$2+5))&lt;&gt;MONTH($C$2)),"",IF(COUNTIFS(m_teacher,I$4,m_date,($G$2+5),m_active,1,m_start,"&lt;"&amp;900,m_end,"&gt;"&amp;840)=0,"",IF(COUNTIFS(m_teacher,I$4,m_date,($G$2+5),m_active,1,m_start,"&lt;"&amp;900,m_end,"&gt;"&amp;840)&gt;1,"충돌",HYPERLINK("#'관리자_MASTER'!D"&amp;_xlfn.MAXIFS(m_row,m_teacher,I$4,m_date,($G$2+5),m_active,1,m_start,"&lt;"&amp;900,m_end,"&gt;"&amp;840),INDEX(m_label,_xlfn.MAXIFS(m_row,m_teacher,I$4,m_date,($G$2+5),m_active,1,m_start,"&lt;"&amp;900,m_end,"&gt;"&amp;840))))))</f>
        <v/>
      </c>
      <c r="J65" s="88" t="str">
        <f aca="false">IF(OR(J$4="",MONTH(($G$2+5))&lt;&gt;MONTH($C$2)),"",IF(COUNTIFS(m_teacher,J$4,m_date,($G$2+5),m_active,1,m_start,"&lt;"&amp;900,m_end,"&gt;"&amp;840)=0,"",IF(COUNTIFS(m_teacher,J$4,m_date,($G$2+5),m_active,1,m_start,"&lt;"&amp;900,m_end,"&gt;"&amp;840)&gt;1,"충돌",HYPERLINK("#'관리자_MASTER'!D"&amp;_xlfn.MAXIFS(m_row,m_teacher,J$4,m_date,($G$2+5),m_active,1,m_start,"&lt;"&amp;900,m_end,"&gt;"&amp;840),INDEX(m_label,_xlfn.MAXIFS(m_row,m_teacher,J$4,m_date,($G$2+5),m_active,1,m_start,"&lt;"&amp;900,m_end,"&gt;"&amp;840))))))</f>
        <v/>
      </c>
      <c r="K65" s="88" t="str">
        <f aca="false">IF(OR(K$4="",MONTH(($G$2+5))&lt;&gt;MONTH($C$2)),"",IF(COUNTIFS(m_teacher,K$4,m_date,($G$2+5),m_active,1,m_start,"&lt;"&amp;900,m_end,"&gt;"&amp;840)=0,"",IF(COUNTIFS(m_teacher,K$4,m_date,($G$2+5),m_active,1,m_start,"&lt;"&amp;900,m_end,"&gt;"&amp;840)&gt;1,"충돌",HYPERLINK("#'관리자_MASTER'!D"&amp;_xlfn.MAXIFS(m_row,m_teacher,K$4,m_date,($G$2+5),m_active,1,m_start,"&lt;"&amp;900,m_end,"&gt;"&amp;840),INDEX(m_label,_xlfn.MAXIFS(m_row,m_teacher,K$4,m_date,($G$2+5),m_active,1,m_start,"&lt;"&amp;900,m_end,"&gt;"&amp;840))))))</f>
        <v/>
      </c>
      <c r="L65" s="88" t="str">
        <f aca="false">IF(OR(L$4="",MONTH(($G$2+5))&lt;&gt;MONTH($C$2)),"",IF(COUNTIFS(m_teacher,L$4,m_date,($G$2+5),m_active,1,m_start,"&lt;"&amp;900,m_end,"&gt;"&amp;840)=0,"",IF(COUNTIFS(m_teacher,L$4,m_date,($G$2+5),m_active,1,m_start,"&lt;"&amp;900,m_end,"&gt;"&amp;840)&gt;1,"충돌",HYPERLINK("#'관리자_MASTER'!D"&amp;_xlfn.MAXIFS(m_row,m_teacher,L$4,m_date,($G$2+5),m_active,1,m_start,"&lt;"&amp;900,m_end,"&gt;"&amp;840),INDEX(m_label,_xlfn.MAXIFS(m_row,m_teacher,L$4,m_date,($G$2+5),m_active,1,m_start,"&lt;"&amp;900,m_end,"&gt;"&amp;840))))))</f>
        <v/>
      </c>
      <c r="M65" s="88" t="str">
        <f aca="false">IF(OR(M$4="",MONTH(($G$2+5))&lt;&gt;MONTH($C$2)),"",IF(COUNTIFS(m_teacher,M$4,m_date,($G$2+5),m_active,1,m_start,"&lt;"&amp;900,m_end,"&gt;"&amp;840)=0,"",IF(COUNTIFS(m_teacher,M$4,m_date,($G$2+5),m_active,1,m_start,"&lt;"&amp;900,m_end,"&gt;"&amp;840)&gt;1,"충돌",HYPERLINK("#'관리자_MASTER'!D"&amp;_xlfn.MAXIFS(m_row,m_teacher,M$4,m_date,($G$2+5),m_active,1,m_start,"&lt;"&amp;900,m_end,"&gt;"&amp;840),INDEX(m_label,_xlfn.MAXIFS(m_row,m_teacher,M$4,m_date,($G$2+5),m_active,1,m_start,"&lt;"&amp;900,m_end,"&gt;"&amp;840))))))</f>
        <v/>
      </c>
      <c r="N65" s="88" t="str">
        <f aca="false">IF(OR(N$4="",MONTH(($G$2+5))&lt;&gt;MONTH($C$2)),"",IF(COUNTIFS(m_teacher,N$4,m_date,($G$2+5),m_active,1,m_start,"&lt;"&amp;900,m_end,"&gt;"&amp;840)=0,"",IF(COUNTIFS(m_teacher,N$4,m_date,($G$2+5),m_active,1,m_start,"&lt;"&amp;900,m_end,"&gt;"&amp;840)&gt;1,"충돌",HYPERLINK("#'관리자_MASTER'!D"&amp;_xlfn.MAXIFS(m_row,m_teacher,N$4,m_date,($G$2+5),m_active,1,m_start,"&lt;"&amp;900,m_end,"&gt;"&amp;840),INDEX(m_label,_xlfn.MAXIFS(m_row,m_teacher,N$4,m_date,($G$2+5),m_active,1,m_start,"&lt;"&amp;900,m_end,"&gt;"&amp;840))))))</f>
        <v/>
      </c>
      <c r="O65" s="90"/>
      <c r="P65" s="79" t="s">
        <v>96</v>
      </c>
      <c r="Q65" s="88" t="str">
        <f aca="false">IF(OR(Q$4="",MONTH(($G$2+12))&lt;&gt;MONTH($C$2)),"",IF(COUNTIFS(m_teacher,Q$4,m_date,($G$2+12),m_active,1,m_start,"&lt;"&amp;900,m_end,"&gt;"&amp;840)=0,"",IF(COUNTIFS(m_teacher,Q$4,m_date,($G$2+12),m_active,1,m_start,"&lt;"&amp;900,m_end,"&gt;"&amp;840)&gt;1,"충돌",HYPERLINK("#'관리자_MASTER'!D"&amp;_xlfn.MAXIFS(m_row,m_teacher,Q$4,m_date,($G$2+12),m_active,1,m_start,"&lt;"&amp;900,m_end,"&gt;"&amp;840),INDEX(m_label,_xlfn.MAXIFS(m_row,m_teacher,Q$4,m_date,($G$2+12),m_active,1,m_start,"&lt;"&amp;900,m_end,"&gt;"&amp;840))))))</f>
        <v/>
      </c>
      <c r="R65" s="88" t="str">
        <f aca="false">IF(OR(R$4="",MONTH(($G$2+12))&lt;&gt;MONTH($C$2)),"",IF(COUNTIFS(m_teacher,R$4,m_date,($G$2+12),m_active,1,m_start,"&lt;"&amp;900,m_end,"&gt;"&amp;840)=0,"",IF(COUNTIFS(m_teacher,R$4,m_date,($G$2+12),m_active,1,m_start,"&lt;"&amp;900,m_end,"&gt;"&amp;840)&gt;1,"충돌",HYPERLINK("#'관리자_MASTER'!D"&amp;_xlfn.MAXIFS(m_row,m_teacher,R$4,m_date,($G$2+12),m_active,1,m_start,"&lt;"&amp;900,m_end,"&gt;"&amp;840),INDEX(m_label,_xlfn.MAXIFS(m_row,m_teacher,R$4,m_date,($G$2+12),m_active,1,m_start,"&lt;"&amp;900,m_end,"&gt;"&amp;840))))))</f>
        <v/>
      </c>
      <c r="S65" s="88" t="str">
        <f aca="false">IF(OR(S$4="",MONTH(($G$2+12))&lt;&gt;MONTH($C$2)),"",IF(COUNTIFS(m_teacher,S$4,m_date,($G$2+12),m_active,1,m_start,"&lt;"&amp;900,m_end,"&gt;"&amp;840)=0,"",IF(COUNTIFS(m_teacher,S$4,m_date,($G$2+12),m_active,1,m_start,"&lt;"&amp;900,m_end,"&gt;"&amp;840)&gt;1,"충돌",HYPERLINK("#'관리자_MASTER'!D"&amp;_xlfn.MAXIFS(m_row,m_teacher,S$4,m_date,($G$2+12),m_active,1,m_start,"&lt;"&amp;900,m_end,"&gt;"&amp;840),INDEX(m_label,_xlfn.MAXIFS(m_row,m_teacher,S$4,m_date,($G$2+12),m_active,1,m_start,"&lt;"&amp;900,m_end,"&gt;"&amp;840))))))</f>
        <v/>
      </c>
      <c r="T65" s="88" t="str">
        <f aca="false">IF(OR(T$4="",MONTH(($G$2+12))&lt;&gt;MONTH($C$2)),"",IF(COUNTIFS(m_teacher,T$4,m_date,($G$2+12),m_active,1,m_start,"&lt;"&amp;900,m_end,"&gt;"&amp;840)=0,"",IF(COUNTIFS(m_teacher,T$4,m_date,($G$2+12),m_active,1,m_start,"&lt;"&amp;900,m_end,"&gt;"&amp;840)&gt;1,"충돌",HYPERLINK("#'관리자_MASTER'!D"&amp;_xlfn.MAXIFS(m_row,m_teacher,T$4,m_date,($G$2+12),m_active,1,m_start,"&lt;"&amp;900,m_end,"&gt;"&amp;840),INDEX(m_label,_xlfn.MAXIFS(m_row,m_teacher,T$4,m_date,($G$2+12),m_active,1,m_start,"&lt;"&amp;900,m_end,"&gt;"&amp;840))))))</f>
        <v/>
      </c>
      <c r="U65" s="88" t="str">
        <f aca="false">IF(OR(U$4="",MONTH(($G$2+12))&lt;&gt;MONTH($C$2)),"",IF(COUNTIFS(m_teacher,U$4,m_date,($G$2+12),m_active,1,m_start,"&lt;"&amp;900,m_end,"&gt;"&amp;840)=0,"",IF(COUNTIFS(m_teacher,U$4,m_date,($G$2+12),m_active,1,m_start,"&lt;"&amp;900,m_end,"&gt;"&amp;840)&gt;1,"충돌",HYPERLINK("#'관리자_MASTER'!D"&amp;_xlfn.MAXIFS(m_row,m_teacher,U$4,m_date,($G$2+12),m_active,1,m_start,"&lt;"&amp;900,m_end,"&gt;"&amp;840),INDEX(m_label,_xlfn.MAXIFS(m_row,m_teacher,U$4,m_date,($G$2+12),m_active,1,m_start,"&lt;"&amp;900,m_end,"&gt;"&amp;840))))))</f>
        <v/>
      </c>
      <c r="V65" s="88" t="str">
        <f aca="false">IF(OR(V$4="",MONTH(($G$2+12))&lt;&gt;MONTH($C$2)),"",IF(COUNTIFS(m_teacher,V$4,m_date,($G$2+12),m_active,1,m_start,"&lt;"&amp;900,m_end,"&gt;"&amp;840)=0,"",IF(COUNTIFS(m_teacher,V$4,m_date,($G$2+12),m_active,1,m_start,"&lt;"&amp;900,m_end,"&gt;"&amp;840)&gt;1,"충돌",HYPERLINK("#'관리자_MASTER'!D"&amp;_xlfn.MAXIFS(m_row,m_teacher,V$4,m_date,($G$2+12),m_active,1,m_start,"&lt;"&amp;900,m_end,"&gt;"&amp;840),INDEX(m_label,_xlfn.MAXIFS(m_row,m_teacher,V$4,m_date,($G$2+12),m_active,1,m_start,"&lt;"&amp;900,m_end,"&gt;"&amp;840))))))</f>
        <v/>
      </c>
      <c r="W65" s="88" t="str">
        <f aca="false">IF(OR(W$4="",MONTH(($G$2+12))&lt;&gt;MONTH($C$2)),"",IF(COUNTIFS(m_teacher,W$4,m_date,($G$2+12),m_active,1,m_start,"&lt;"&amp;900,m_end,"&gt;"&amp;840)=0,"",IF(COUNTIFS(m_teacher,W$4,m_date,($G$2+12),m_active,1,m_start,"&lt;"&amp;900,m_end,"&gt;"&amp;840)&gt;1,"충돌",HYPERLINK("#'관리자_MASTER'!D"&amp;_xlfn.MAXIFS(m_row,m_teacher,W$4,m_date,($G$2+12),m_active,1,m_start,"&lt;"&amp;900,m_end,"&gt;"&amp;840),INDEX(m_label,_xlfn.MAXIFS(m_row,m_teacher,W$4,m_date,($G$2+12),m_active,1,m_start,"&lt;"&amp;900,m_end,"&gt;"&amp;840))))))</f>
        <v/>
      </c>
      <c r="X65" s="88" t="str">
        <f aca="false">IF(OR(X$4="",MONTH(($G$2+12))&lt;&gt;MONTH($C$2)),"",IF(COUNTIFS(m_teacher,X$4,m_date,($G$2+12),m_active,1,m_start,"&lt;"&amp;900,m_end,"&gt;"&amp;840)=0,"",IF(COUNTIFS(m_teacher,X$4,m_date,($G$2+12),m_active,1,m_start,"&lt;"&amp;900,m_end,"&gt;"&amp;840)&gt;1,"충돌",HYPERLINK("#'관리자_MASTER'!D"&amp;_xlfn.MAXIFS(m_row,m_teacher,X$4,m_date,($G$2+12),m_active,1,m_start,"&lt;"&amp;900,m_end,"&gt;"&amp;840),INDEX(m_label,_xlfn.MAXIFS(m_row,m_teacher,X$4,m_date,($G$2+12),m_active,1,m_start,"&lt;"&amp;900,m_end,"&gt;"&amp;840))))))</f>
        <v/>
      </c>
      <c r="Y65" s="88" t="str">
        <f aca="false">IF(OR(Y$4="",MONTH(($G$2+12))&lt;&gt;MONTH($C$2)),"",IF(COUNTIFS(m_teacher,Y$4,m_date,($G$2+12),m_active,1,m_start,"&lt;"&amp;900,m_end,"&gt;"&amp;840)=0,"",IF(COUNTIFS(m_teacher,Y$4,m_date,($G$2+12),m_active,1,m_start,"&lt;"&amp;900,m_end,"&gt;"&amp;840)&gt;1,"충돌",HYPERLINK("#'관리자_MASTER'!D"&amp;_xlfn.MAXIFS(m_row,m_teacher,Y$4,m_date,($G$2+12),m_active,1,m_start,"&lt;"&amp;900,m_end,"&gt;"&amp;840),INDEX(m_label,_xlfn.MAXIFS(m_row,m_teacher,Y$4,m_date,($G$2+12),m_active,1,m_start,"&lt;"&amp;900,m_end,"&gt;"&amp;840))))))</f>
        <v/>
      </c>
      <c r="Z65" s="88" t="str">
        <f aca="false">IF(OR(Z$4="",MONTH(($G$2+12))&lt;&gt;MONTH($C$2)),"",IF(COUNTIFS(m_teacher,Z$4,m_date,($G$2+12),m_active,1,m_start,"&lt;"&amp;900,m_end,"&gt;"&amp;840)=0,"",IF(COUNTIFS(m_teacher,Z$4,m_date,($G$2+12),m_active,1,m_start,"&lt;"&amp;900,m_end,"&gt;"&amp;840)&gt;1,"충돌",HYPERLINK("#'관리자_MASTER'!D"&amp;_xlfn.MAXIFS(m_row,m_teacher,Z$4,m_date,($G$2+12),m_active,1,m_start,"&lt;"&amp;900,m_end,"&gt;"&amp;840),INDEX(m_label,_xlfn.MAXIFS(m_row,m_teacher,Z$4,m_date,($G$2+12),m_active,1,m_start,"&lt;"&amp;900,m_end,"&gt;"&amp;840))))))</f>
        <v/>
      </c>
      <c r="AA65" s="88" t="str">
        <f aca="false">IF(OR(AA$4="",MONTH(($G$2+12))&lt;&gt;MONTH($C$2)),"",IF(COUNTIFS(m_teacher,AA$4,m_date,($G$2+12),m_active,1,m_start,"&lt;"&amp;900,m_end,"&gt;"&amp;840)=0,"",IF(COUNTIFS(m_teacher,AA$4,m_date,($G$2+12),m_active,1,m_start,"&lt;"&amp;900,m_end,"&gt;"&amp;840)&gt;1,"충돌",HYPERLINK("#'관리자_MASTER'!D"&amp;_xlfn.MAXIFS(m_row,m_teacher,AA$4,m_date,($G$2+12),m_active,1,m_start,"&lt;"&amp;900,m_end,"&gt;"&amp;840),INDEX(m_label,_xlfn.MAXIFS(m_row,m_teacher,AA$4,m_date,($G$2+12),m_active,1,m_start,"&lt;"&amp;900,m_end,"&gt;"&amp;840))))))</f>
        <v/>
      </c>
      <c r="AB65" s="88" t="str">
        <f aca="false">IF(OR(AB$4="",MONTH(($G$2+12))&lt;&gt;MONTH($C$2)),"",IF(COUNTIFS(m_teacher,AB$4,m_date,($G$2+12),m_active,1,m_start,"&lt;"&amp;900,m_end,"&gt;"&amp;840)=0,"",IF(COUNTIFS(m_teacher,AB$4,m_date,($G$2+12),m_active,1,m_start,"&lt;"&amp;900,m_end,"&gt;"&amp;840)&gt;1,"충돌",HYPERLINK("#'관리자_MASTER'!D"&amp;_xlfn.MAXIFS(m_row,m_teacher,AB$4,m_date,($G$2+12),m_active,1,m_start,"&lt;"&amp;900,m_end,"&gt;"&amp;840),INDEX(m_label,_xlfn.MAXIFS(m_row,m_teacher,AB$4,m_date,($G$2+12),m_active,1,m_start,"&lt;"&amp;900,m_end,"&gt;"&amp;840))))))</f>
        <v/>
      </c>
      <c r="AC65" s="90"/>
      <c r="AD65" s="79" t="s">
        <v>96</v>
      </c>
      <c r="AE65" s="88" t="str">
        <f aca="false">IF(OR(AE$4="",MONTH(($G$2+19))&lt;&gt;MONTH($C$2)),"",IF(COUNTIFS(m_teacher,AE$4,m_date,($G$2+19),m_active,1,m_start,"&lt;"&amp;900,m_end,"&gt;"&amp;840)=0,"",IF(COUNTIFS(m_teacher,AE$4,m_date,($G$2+19),m_active,1,m_start,"&lt;"&amp;900,m_end,"&gt;"&amp;840)&gt;1,"충돌",HYPERLINK("#'관리자_MASTER'!D"&amp;_xlfn.MAXIFS(m_row,m_teacher,AE$4,m_date,($G$2+19),m_active,1,m_start,"&lt;"&amp;900,m_end,"&gt;"&amp;840),INDEX(m_label,_xlfn.MAXIFS(m_row,m_teacher,AE$4,m_date,($G$2+19),m_active,1,m_start,"&lt;"&amp;900,m_end,"&gt;"&amp;840))))))</f>
        <v/>
      </c>
      <c r="AF65" s="88" t="str">
        <f aca="false">IF(OR(AF$4="",MONTH(($G$2+19))&lt;&gt;MONTH($C$2)),"",IF(COUNTIFS(m_teacher,AF$4,m_date,($G$2+19),m_active,1,m_start,"&lt;"&amp;900,m_end,"&gt;"&amp;840)=0,"",IF(COUNTIFS(m_teacher,AF$4,m_date,($G$2+19),m_active,1,m_start,"&lt;"&amp;900,m_end,"&gt;"&amp;840)&gt;1,"충돌",HYPERLINK("#'관리자_MASTER'!D"&amp;_xlfn.MAXIFS(m_row,m_teacher,AF$4,m_date,($G$2+19),m_active,1,m_start,"&lt;"&amp;900,m_end,"&gt;"&amp;840),INDEX(m_label,_xlfn.MAXIFS(m_row,m_teacher,AF$4,m_date,($G$2+19),m_active,1,m_start,"&lt;"&amp;900,m_end,"&gt;"&amp;840))))))</f>
        <v/>
      </c>
      <c r="AG65" s="88" t="str">
        <f aca="false">IF(OR(AG$4="",MONTH(($G$2+19))&lt;&gt;MONTH($C$2)),"",IF(COUNTIFS(m_teacher,AG$4,m_date,($G$2+19),m_active,1,m_start,"&lt;"&amp;900,m_end,"&gt;"&amp;840)=0,"",IF(COUNTIFS(m_teacher,AG$4,m_date,($G$2+19),m_active,1,m_start,"&lt;"&amp;900,m_end,"&gt;"&amp;840)&gt;1,"충돌",HYPERLINK("#'관리자_MASTER'!D"&amp;_xlfn.MAXIFS(m_row,m_teacher,AG$4,m_date,($G$2+19),m_active,1,m_start,"&lt;"&amp;900,m_end,"&gt;"&amp;840),INDEX(m_label,_xlfn.MAXIFS(m_row,m_teacher,AG$4,m_date,($G$2+19),m_active,1,m_start,"&lt;"&amp;900,m_end,"&gt;"&amp;840))))))</f>
        <v/>
      </c>
      <c r="AH65" s="88" t="str">
        <f aca="false">IF(OR(AH$4="",MONTH(($G$2+19))&lt;&gt;MONTH($C$2)),"",IF(COUNTIFS(m_teacher,AH$4,m_date,($G$2+19),m_active,1,m_start,"&lt;"&amp;900,m_end,"&gt;"&amp;840)=0,"",IF(COUNTIFS(m_teacher,AH$4,m_date,($G$2+19),m_active,1,m_start,"&lt;"&amp;900,m_end,"&gt;"&amp;840)&gt;1,"충돌",HYPERLINK("#'관리자_MASTER'!D"&amp;_xlfn.MAXIFS(m_row,m_teacher,AH$4,m_date,($G$2+19),m_active,1,m_start,"&lt;"&amp;900,m_end,"&gt;"&amp;840),INDEX(m_label,_xlfn.MAXIFS(m_row,m_teacher,AH$4,m_date,($G$2+19),m_active,1,m_start,"&lt;"&amp;900,m_end,"&gt;"&amp;840))))))</f>
        <v/>
      </c>
      <c r="AI65" s="88" t="str">
        <f aca="false">IF(OR(AI$4="",MONTH(($G$2+19))&lt;&gt;MONTH($C$2)),"",IF(COUNTIFS(m_teacher,AI$4,m_date,($G$2+19),m_active,1,m_start,"&lt;"&amp;900,m_end,"&gt;"&amp;840)=0,"",IF(COUNTIFS(m_teacher,AI$4,m_date,($G$2+19),m_active,1,m_start,"&lt;"&amp;900,m_end,"&gt;"&amp;840)&gt;1,"충돌",HYPERLINK("#'관리자_MASTER'!D"&amp;_xlfn.MAXIFS(m_row,m_teacher,AI$4,m_date,($G$2+19),m_active,1,m_start,"&lt;"&amp;900,m_end,"&gt;"&amp;840),INDEX(m_label,_xlfn.MAXIFS(m_row,m_teacher,AI$4,m_date,($G$2+19),m_active,1,m_start,"&lt;"&amp;900,m_end,"&gt;"&amp;840))))))</f>
        <v/>
      </c>
      <c r="AJ65" s="88" t="str">
        <f aca="false">IF(OR(AJ$4="",MONTH(($G$2+19))&lt;&gt;MONTH($C$2)),"",IF(COUNTIFS(m_teacher,AJ$4,m_date,($G$2+19),m_active,1,m_start,"&lt;"&amp;900,m_end,"&gt;"&amp;840)=0,"",IF(COUNTIFS(m_teacher,AJ$4,m_date,($G$2+19),m_active,1,m_start,"&lt;"&amp;900,m_end,"&gt;"&amp;840)&gt;1,"충돌",HYPERLINK("#'관리자_MASTER'!D"&amp;_xlfn.MAXIFS(m_row,m_teacher,AJ$4,m_date,($G$2+19),m_active,1,m_start,"&lt;"&amp;900,m_end,"&gt;"&amp;840),INDEX(m_label,_xlfn.MAXIFS(m_row,m_teacher,AJ$4,m_date,($G$2+19),m_active,1,m_start,"&lt;"&amp;900,m_end,"&gt;"&amp;840))))))</f>
        <v/>
      </c>
      <c r="AK65" s="88" t="str">
        <f aca="false">IF(OR(AK$4="",MONTH(($G$2+19))&lt;&gt;MONTH($C$2)),"",IF(COUNTIFS(m_teacher,AK$4,m_date,($G$2+19),m_active,1,m_start,"&lt;"&amp;900,m_end,"&gt;"&amp;840)=0,"",IF(COUNTIFS(m_teacher,AK$4,m_date,($G$2+19),m_active,1,m_start,"&lt;"&amp;900,m_end,"&gt;"&amp;840)&gt;1,"충돌",HYPERLINK("#'관리자_MASTER'!D"&amp;_xlfn.MAXIFS(m_row,m_teacher,AK$4,m_date,($G$2+19),m_active,1,m_start,"&lt;"&amp;900,m_end,"&gt;"&amp;840),INDEX(m_label,_xlfn.MAXIFS(m_row,m_teacher,AK$4,m_date,($G$2+19),m_active,1,m_start,"&lt;"&amp;900,m_end,"&gt;"&amp;840))))))</f>
        <v/>
      </c>
      <c r="AL65" s="88" t="str">
        <f aca="false">IF(OR(AL$4="",MONTH(($G$2+19))&lt;&gt;MONTH($C$2)),"",IF(COUNTIFS(m_teacher,AL$4,m_date,($G$2+19),m_active,1,m_start,"&lt;"&amp;900,m_end,"&gt;"&amp;840)=0,"",IF(COUNTIFS(m_teacher,AL$4,m_date,($G$2+19),m_active,1,m_start,"&lt;"&amp;900,m_end,"&gt;"&amp;840)&gt;1,"충돌",HYPERLINK("#'관리자_MASTER'!D"&amp;_xlfn.MAXIFS(m_row,m_teacher,AL$4,m_date,($G$2+19),m_active,1,m_start,"&lt;"&amp;900,m_end,"&gt;"&amp;840),INDEX(m_label,_xlfn.MAXIFS(m_row,m_teacher,AL$4,m_date,($G$2+19),m_active,1,m_start,"&lt;"&amp;900,m_end,"&gt;"&amp;840))))))</f>
        <v/>
      </c>
      <c r="AM65" s="88" t="str">
        <f aca="false">IF(OR(AM$4="",MONTH(($G$2+19))&lt;&gt;MONTH($C$2)),"",IF(COUNTIFS(m_teacher,AM$4,m_date,($G$2+19),m_active,1,m_start,"&lt;"&amp;900,m_end,"&gt;"&amp;840)=0,"",IF(COUNTIFS(m_teacher,AM$4,m_date,($G$2+19),m_active,1,m_start,"&lt;"&amp;900,m_end,"&gt;"&amp;840)&gt;1,"충돌",HYPERLINK("#'관리자_MASTER'!D"&amp;_xlfn.MAXIFS(m_row,m_teacher,AM$4,m_date,($G$2+19),m_active,1,m_start,"&lt;"&amp;900,m_end,"&gt;"&amp;840),INDEX(m_label,_xlfn.MAXIFS(m_row,m_teacher,AM$4,m_date,($G$2+19),m_active,1,m_start,"&lt;"&amp;900,m_end,"&gt;"&amp;840))))))</f>
        <v/>
      </c>
      <c r="AN65" s="88" t="str">
        <f aca="false">IF(OR(AN$4="",MONTH(($G$2+19))&lt;&gt;MONTH($C$2)),"",IF(COUNTIFS(m_teacher,AN$4,m_date,($G$2+19),m_active,1,m_start,"&lt;"&amp;900,m_end,"&gt;"&amp;840)=0,"",IF(COUNTIFS(m_teacher,AN$4,m_date,($G$2+19),m_active,1,m_start,"&lt;"&amp;900,m_end,"&gt;"&amp;840)&gt;1,"충돌",HYPERLINK("#'관리자_MASTER'!D"&amp;_xlfn.MAXIFS(m_row,m_teacher,AN$4,m_date,($G$2+19),m_active,1,m_start,"&lt;"&amp;900,m_end,"&gt;"&amp;840),INDEX(m_label,_xlfn.MAXIFS(m_row,m_teacher,AN$4,m_date,($G$2+19),m_active,1,m_start,"&lt;"&amp;900,m_end,"&gt;"&amp;840))))))</f>
        <v/>
      </c>
      <c r="AO65" s="88" t="str">
        <f aca="false">IF(OR(AO$4="",MONTH(($G$2+19))&lt;&gt;MONTH($C$2)),"",IF(COUNTIFS(m_teacher,AO$4,m_date,($G$2+19),m_active,1,m_start,"&lt;"&amp;900,m_end,"&gt;"&amp;840)=0,"",IF(COUNTIFS(m_teacher,AO$4,m_date,($G$2+19),m_active,1,m_start,"&lt;"&amp;900,m_end,"&gt;"&amp;840)&gt;1,"충돌",HYPERLINK("#'관리자_MASTER'!D"&amp;_xlfn.MAXIFS(m_row,m_teacher,AO$4,m_date,($G$2+19),m_active,1,m_start,"&lt;"&amp;900,m_end,"&gt;"&amp;840),INDEX(m_label,_xlfn.MAXIFS(m_row,m_teacher,AO$4,m_date,($G$2+19),m_active,1,m_start,"&lt;"&amp;900,m_end,"&gt;"&amp;840))))))</f>
        <v/>
      </c>
      <c r="AP65" s="88" t="str">
        <f aca="false">IF(OR(AP$4="",MONTH(($G$2+19))&lt;&gt;MONTH($C$2)),"",IF(COUNTIFS(m_teacher,AP$4,m_date,($G$2+19),m_active,1,m_start,"&lt;"&amp;900,m_end,"&gt;"&amp;840)=0,"",IF(COUNTIFS(m_teacher,AP$4,m_date,($G$2+19),m_active,1,m_start,"&lt;"&amp;900,m_end,"&gt;"&amp;840)&gt;1,"충돌",HYPERLINK("#'관리자_MASTER'!D"&amp;_xlfn.MAXIFS(m_row,m_teacher,AP$4,m_date,($G$2+19),m_active,1,m_start,"&lt;"&amp;900,m_end,"&gt;"&amp;840),INDEX(m_label,_xlfn.MAXIFS(m_row,m_teacher,AP$4,m_date,($G$2+19),m_active,1,m_start,"&lt;"&amp;900,m_end,"&gt;"&amp;840))))))</f>
        <v/>
      </c>
      <c r="AQ65" s="90"/>
      <c r="AR65" s="79" t="s">
        <v>96</v>
      </c>
      <c r="AS65" s="88" t="str">
        <f aca="false">IF(OR(AS$4="",MONTH(($G$2+26))&lt;&gt;MONTH($C$2)),"",IF(COUNTIFS(m_teacher,AS$4,m_date,($G$2+26),m_active,1,m_start,"&lt;"&amp;900,m_end,"&gt;"&amp;840)=0,"",IF(COUNTIFS(m_teacher,AS$4,m_date,($G$2+26),m_active,1,m_start,"&lt;"&amp;900,m_end,"&gt;"&amp;840)&gt;1,"충돌",HYPERLINK("#'관리자_MASTER'!D"&amp;_xlfn.MAXIFS(m_row,m_teacher,AS$4,m_date,($G$2+26),m_active,1,m_start,"&lt;"&amp;900,m_end,"&gt;"&amp;840),INDEX(m_label,_xlfn.MAXIFS(m_row,m_teacher,AS$4,m_date,($G$2+26),m_active,1,m_start,"&lt;"&amp;900,m_end,"&gt;"&amp;840))))))</f>
        <v/>
      </c>
      <c r="AT65" s="88" t="str">
        <f aca="false">IF(OR(AT$4="",MONTH(($G$2+26))&lt;&gt;MONTH($C$2)),"",IF(COUNTIFS(m_teacher,AT$4,m_date,($G$2+26),m_active,1,m_start,"&lt;"&amp;900,m_end,"&gt;"&amp;840)=0,"",IF(COUNTIFS(m_teacher,AT$4,m_date,($G$2+26),m_active,1,m_start,"&lt;"&amp;900,m_end,"&gt;"&amp;840)&gt;1,"충돌",HYPERLINK("#'관리자_MASTER'!D"&amp;_xlfn.MAXIFS(m_row,m_teacher,AT$4,m_date,($G$2+26),m_active,1,m_start,"&lt;"&amp;900,m_end,"&gt;"&amp;840),INDEX(m_label,_xlfn.MAXIFS(m_row,m_teacher,AT$4,m_date,($G$2+26),m_active,1,m_start,"&lt;"&amp;900,m_end,"&gt;"&amp;840))))))</f>
        <v/>
      </c>
      <c r="AU65" s="88" t="str">
        <f aca="false">IF(OR(AU$4="",MONTH(($G$2+26))&lt;&gt;MONTH($C$2)),"",IF(COUNTIFS(m_teacher,AU$4,m_date,($G$2+26),m_active,1,m_start,"&lt;"&amp;900,m_end,"&gt;"&amp;840)=0,"",IF(COUNTIFS(m_teacher,AU$4,m_date,($G$2+26),m_active,1,m_start,"&lt;"&amp;900,m_end,"&gt;"&amp;840)&gt;1,"충돌",HYPERLINK("#'관리자_MASTER'!D"&amp;_xlfn.MAXIFS(m_row,m_teacher,AU$4,m_date,($G$2+26),m_active,1,m_start,"&lt;"&amp;900,m_end,"&gt;"&amp;840),INDEX(m_label,_xlfn.MAXIFS(m_row,m_teacher,AU$4,m_date,($G$2+26),m_active,1,m_start,"&lt;"&amp;900,m_end,"&gt;"&amp;840))))))</f>
        <v/>
      </c>
      <c r="AV65" s="88" t="str">
        <f aca="false">IF(OR(AV$4="",MONTH(($G$2+26))&lt;&gt;MONTH($C$2)),"",IF(COUNTIFS(m_teacher,AV$4,m_date,($G$2+26),m_active,1,m_start,"&lt;"&amp;900,m_end,"&gt;"&amp;840)=0,"",IF(COUNTIFS(m_teacher,AV$4,m_date,($G$2+26),m_active,1,m_start,"&lt;"&amp;900,m_end,"&gt;"&amp;840)&gt;1,"충돌",HYPERLINK("#'관리자_MASTER'!D"&amp;_xlfn.MAXIFS(m_row,m_teacher,AV$4,m_date,($G$2+26),m_active,1,m_start,"&lt;"&amp;900,m_end,"&gt;"&amp;840),INDEX(m_label,_xlfn.MAXIFS(m_row,m_teacher,AV$4,m_date,($G$2+26),m_active,1,m_start,"&lt;"&amp;900,m_end,"&gt;"&amp;840))))))</f>
        <v/>
      </c>
      <c r="AW65" s="88" t="str">
        <f aca="false">IF(OR(AW$4="",MONTH(($G$2+26))&lt;&gt;MONTH($C$2)),"",IF(COUNTIFS(m_teacher,AW$4,m_date,($G$2+26),m_active,1,m_start,"&lt;"&amp;900,m_end,"&gt;"&amp;840)=0,"",IF(COUNTIFS(m_teacher,AW$4,m_date,($G$2+26),m_active,1,m_start,"&lt;"&amp;900,m_end,"&gt;"&amp;840)&gt;1,"충돌",HYPERLINK("#'관리자_MASTER'!D"&amp;_xlfn.MAXIFS(m_row,m_teacher,AW$4,m_date,($G$2+26),m_active,1,m_start,"&lt;"&amp;900,m_end,"&gt;"&amp;840),INDEX(m_label,_xlfn.MAXIFS(m_row,m_teacher,AW$4,m_date,($G$2+26),m_active,1,m_start,"&lt;"&amp;900,m_end,"&gt;"&amp;840))))))</f>
        <v/>
      </c>
      <c r="AX65" s="88" t="str">
        <f aca="false">IF(OR(AX$4="",MONTH(($G$2+26))&lt;&gt;MONTH($C$2)),"",IF(COUNTIFS(m_teacher,AX$4,m_date,($G$2+26),m_active,1,m_start,"&lt;"&amp;900,m_end,"&gt;"&amp;840)=0,"",IF(COUNTIFS(m_teacher,AX$4,m_date,($G$2+26),m_active,1,m_start,"&lt;"&amp;900,m_end,"&gt;"&amp;840)&gt;1,"충돌",HYPERLINK("#'관리자_MASTER'!D"&amp;_xlfn.MAXIFS(m_row,m_teacher,AX$4,m_date,($G$2+26),m_active,1,m_start,"&lt;"&amp;900,m_end,"&gt;"&amp;840),INDEX(m_label,_xlfn.MAXIFS(m_row,m_teacher,AX$4,m_date,($G$2+26),m_active,1,m_start,"&lt;"&amp;900,m_end,"&gt;"&amp;840))))))</f>
        <v/>
      </c>
      <c r="AY65" s="88" t="str">
        <f aca="false">IF(OR(AY$4="",MONTH(($G$2+26))&lt;&gt;MONTH($C$2)),"",IF(COUNTIFS(m_teacher,AY$4,m_date,($G$2+26),m_active,1,m_start,"&lt;"&amp;900,m_end,"&gt;"&amp;840)=0,"",IF(COUNTIFS(m_teacher,AY$4,m_date,($G$2+26),m_active,1,m_start,"&lt;"&amp;900,m_end,"&gt;"&amp;840)&gt;1,"충돌",HYPERLINK("#'관리자_MASTER'!D"&amp;_xlfn.MAXIFS(m_row,m_teacher,AY$4,m_date,($G$2+26),m_active,1,m_start,"&lt;"&amp;900,m_end,"&gt;"&amp;840),INDEX(m_label,_xlfn.MAXIFS(m_row,m_teacher,AY$4,m_date,($G$2+26),m_active,1,m_start,"&lt;"&amp;900,m_end,"&gt;"&amp;840))))))</f>
        <v/>
      </c>
      <c r="AZ65" s="88" t="str">
        <f aca="false">IF(OR(AZ$4="",MONTH(($G$2+26))&lt;&gt;MONTH($C$2)),"",IF(COUNTIFS(m_teacher,AZ$4,m_date,($G$2+26),m_active,1,m_start,"&lt;"&amp;900,m_end,"&gt;"&amp;840)=0,"",IF(COUNTIFS(m_teacher,AZ$4,m_date,($G$2+26),m_active,1,m_start,"&lt;"&amp;900,m_end,"&gt;"&amp;840)&gt;1,"충돌",HYPERLINK("#'관리자_MASTER'!D"&amp;_xlfn.MAXIFS(m_row,m_teacher,AZ$4,m_date,($G$2+26),m_active,1,m_start,"&lt;"&amp;900,m_end,"&gt;"&amp;840),INDEX(m_label,_xlfn.MAXIFS(m_row,m_teacher,AZ$4,m_date,($G$2+26),m_active,1,m_start,"&lt;"&amp;900,m_end,"&gt;"&amp;840))))))</f>
        <v/>
      </c>
      <c r="BA65" s="88" t="str">
        <f aca="false">IF(OR(BA$4="",MONTH(($G$2+26))&lt;&gt;MONTH($C$2)),"",IF(COUNTIFS(m_teacher,BA$4,m_date,($G$2+26),m_active,1,m_start,"&lt;"&amp;900,m_end,"&gt;"&amp;840)=0,"",IF(COUNTIFS(m_teacher,BA$4,m_date,($G$2+26),m_active,1,m_start,"&lt;"&amp;900,m_end,"&gt;"&amp;840)&gt;1,"충돌",HYPERLINK("#'관리자_MASTER'!D"&amp;_xlfn.MAXIFS(m_row,m_teacher,BA$4,m_date,($G$2+26),m_active,1,m_start,"&lt;"&amp;900,m_end,"&gt;"&amp;840),INDEX(m_label,_xlfn.MAXIFS(m_row,m_teacher,BA$4,m_date,($G$2+26),m_active,1,m_start,"&lt;"&amp;900,m_end,"&gt;"&amp;840))))))</f>
        <v/>
      </c>
      <c r="BB65" s="88" t="str">
        <f aca="false">IF(OR(BB$4="",MONTH(($G$2+26))&lt;&gt;MONTH($C$2)),"",IF(COUNTIFS(m_teacher,BB$4,m_date,($G$2+26),m_active,1,m_start,"&lt;"&amp;900,m_end,"&gt;"&amp;840)=0,"",IF(COUNTIFS(m_teacher,BB$4,m_date,($G$2+26),m_active,1,m_start,"&lt;"&amp;900,m_end,"&gt;"&amp;840)&gt;1,"충돌",HYPERLINK("#'관리자_MASTER'!D"&amp;_xlfn.MAXIFS(m_row,m_teacher,BB$4,m_date,($G$2+26),m_active,1,m_start,"&lt;"&amp;900,m_end,"&gt;"&amp;840),INDEX(m_label,_xlfn.MAXIFS(m_row,m_teacher,BB$4,m_date,($G$2+26),m_active,1,m_start,"&lt;"&amp;900,m_end,"&gt;"&amp;840))))))</f>
        <v/>
      </c>
      <c r="BC65" s="88" t="str">
        <f aca="false">IF(OR(BC$4="",MONTH(($G$2+26))&lt;&gt;MONTH($C$2)),"",IF(COUNTIFS(m_teacher,BC$4,m_date,($G$2+26),m_active,1,m_start,"&lt;"&amp;900,m_end,"&gt;"&amp;840)=0,"",IF(COUNTIFS(m_teacher,BC$4,m_date,($G$2+26),m_active,1,m_start,"&lt;"&amp;900,m_end,"&gt;"&amp;840)&gt;1,"충돌",HYPERLINK("#'관리자_MASTER'!D"&amp;_xlfn.MAXIFS(m_row,m_teacher,BC$4,m_date,($G$2+26),m_active,1,m_start,"&lt;"&amp;900,m_end,"&gt;"&amp;840),INDEX(m_label,_xlfn.MAXIFS(m_row,m_teacher,BC$4,m_date,($G$2+26),m_active,1,m_start,"&lt;"&amp;900,m_end,"&gt;"&amp;840))))))</f>
        <v/>
      </c>
      <c r="BD65" s="88" t="str">
        <f aca="false">IF(OR(BD$4="",MONTH(($G$2+26))&lt;&gt;MONTH($C$2)),"",IF(COUNTIFS(m_teacher,BD$4,m_date,($G$2+26),m_active,1,m_start,"&lt;"&amp;900,m_end,"&gt;"&amp;840)=0,"",IF(COUNTIFS(m_teacher,BD$4,m_date,($G$2+26),m_active,1,m_start,"&lt;"&amp;900,m_end,"&gt;"&amp;840)&gt;1,"충돌",HYPERLINK("#'관리자_MASTER'!D"&amp;_xlfn.MAXIFS(m_row,m_teacher,BD$4,m_date,($G$2+26),m_active,1,m_start,"&lt;"&amp;900,m_end,"&gt;"&amp;840),INDEX(m_label,_xlfn.MAXIFS(m_row,m_teacher,BD$4,m_date,($G$2+26),m_active,1,m_start,"&lt;"&amp;900,m_end,"&gt;"&amp;840))))))</f>
        <v/>
      </c>
    </row>
    <row r="66" customFormat="false" ht="19.5" hidden="false" customHeight="true" outlineLevel="0" collapsed="false">
      <c r="A66" s="90"/>
      <c r="B66" s="79" t="s">
        <v>97</v>
      </c>
      <c r="C66" s="88" t="str">
        <f aca="false">IF(OR(C$4="",MONTH(($G$2+5))&lt;&gt;MONTH($C$2)),"",IF(COUNTIFS(m_teacher,C$4,m_date,($G$2+5),m_active,1,m_start,"&lt;"&amp;960,m_end,"&gt;"&amp;900)=0,"",IF(COUNTIFS(m_teacher,C$4,m_date,($G$2+5),m_active,1,m_start,"&lt;"&amp;960,m_end,"&gt;"&amp;900)&gt;1,"충돌",HYPERLINK("#'관리자_MASTER'!D"&amp;_xlfn.MAXIFS(m_row,m_teacher,C$4,m_date,($G$2+5),m_active,1,m_start,"&lt;"&amp;960,m_end,"&gt;"&amp;900),INDEX(m_label,_xlfn.MAXIFS(m_row,m_teacher,C$4,m_date,($G$2+5),m_active,1,m_start,"&lt;"&amp;960,m_end,"&gt;"&amp;900))))))</f>
        <v/>
      </c>
      <c r="D66" s="88" t="str">
        <f aca="false">IF(OR(D$4="",MONTH(($G$2+5))&lt;&gt;MONTH($C$2)),"",IF(COUNTIFS(m_teacher,D$4,m_date,($G$2+5),m_active,1,m_start,"&lt;"&amp;960,m_end,"&gt;"&amp;900)=0,"",IF(COUNTIFS(m_teacher,D$4,m_date,($G$2+5),m_active,1,m_start,"&lt;"&amp;960,m_end,"&gt;"&amp;900)&gt;1,"충돌",HYPERLINK("#'관리자_MASTER'!D"&amp;_xlfn.MAXIFS(m_row,m_teacher,D$4,m_date,($G$2+5),m_active,1,m_start,"&lt;"&amp;960,m_end,"&gt;"&amp;900),INDEX(m_label,_xlfn.MAXIFS(m_row,m_teacher,D$4,m_date,($G$2+5),m_active,1,m_start,"&lt;"&amp;960,m_end,"&gt;"&amp;900))))))</f>
        <v/>
      </c>
      <c r="E66" s="88" t="str">
        <f aca="false">IF(OR(E$4="",MONTH(($G$2+5))&lt;&gt;MONTH($C$2)),"",IF(COUNTIFS(m_teacher,E$4,m_date,($G$2+5),m_active,1,m_start,"&lt;"&amp;960,m_end,"&gt;"&amp;900)=0,"",IF(COUNTIFS(m_teacher,E$4,m_date,($G$2+5),m_active,1,m_start,"&lt;"&amp;960,m_end,"&gt;"&amp;900)&gt;1,"충돌",HYPERLINK("#'관리자_MASTER'!D"&amp;_xlfn.MAXIFS(m_row,m_teacher,E$4,m_date,($G$2+5),m_active,1,m_start,"&lt;"&amp;960,m_end,"&gt;"&amp;900),INDEX(m_label,_xlfn.MAXIFS(m_row,m_teacher,E$4,m_date,($G$2+5),m_active,1,m_start,"&lt;"&amp;960,m_end,"&gt;"&amp;900))))))</f>
        <v/>
      </c>
      <c r="F66" s="88" t="str">
        <f aca="false">IF(OR(F$4="",MONTH(($G$2+5))&lt;&gt;MONTH($C$2)),"",IF(COUNTIFS(m_teacher,F$4,m_date,($G$2+5),m_active,1,m_start,"&lt;"&amp;960,m_end,"&gt;"&amp;900)=0,"",IF(COUNTIFS(m_teacher,F$4,m_date,($G$2+5),m_active,1,m_start,"&lt;"&amp;960,m_end,"&gt;"&amp;900)&gt;1,"충돌",HYPERLINK("#'관리자_MASTER'!D"&amp;_xlfn.MAXIFS(m_row,m_teacher,F$4,m_date,($G$2+5),m_active,1,m_start,"&lt;"&amp;960,m_end,"&gt;"&amp;900),INDEX(m_label,_xlfn.MAXIFS(m_row,m_teacher,F$4,m_date,($G$2+5),m_active,1,m_start,"&lt;"&amp;960,m_end,"&gt;"&amp;900))))))</f>
        <v/>
      </c>
      <c r="G66" s="88" t="str">
        <f aca="false">IF(OR(G$4="",MONTH(($G$2+5))&lt;&gt;MONTH($C$2)),"",IF(COUNTIFS(m_teacher,G$4,m_date,($G$2+5),m_active,1,m_start,"&lt;"&amp;960,m_end,"&gt;"&amp;900)=0,"",IF(COUNTIFS(m_teacher,G$4,m_date,($G$2+5),m_active,1,m_start,"&lt;"&amp;960,m_end,"&gt;"&amp;900)&gt;1,"충돌",HYPERLINK("#'관리자_MASTER'!D"&amp;_xlfn.MAXIFS(m_row,m_teacher,G$4,m_date,($G$2+5),m_active,1,m_start,"&lt;"&amp;960,m_end,"&gt;"&amp;900),INDEX(m_label,_xlfn.MAXIFS(m_row,m_teacher,G$4,m_date,($G$2+5),m_active,1,m_start,"&lt;"&amp;960,m_end,"&gt;"&amp;900))))))</f>
        <v/>
      </c>
      <c r="H66" s="88" t="str">
        <f aca="false">IF(OR(H$4="",MONTH(($G$2+5))&lt;&gt;MONTH($C$2)),"",IF(COUNTIFS(m_teacher,H$4,m_date,($G$2+5),m_active,1,m_start,"&lt;"&amp;960,m_end,"&gt;"&amp;900)=0,"",IF(COUNTIFS(m_teacher,H$4,m_date,($G$2+5),m_active,1,m_start,"&lt;"&amp;960,m_end,"&gt;"&amp;900)&gt;1,"충돌",HYPERLINK("#'관리자_MASTER'!D"&amp;_xlfn.MAXIFS(m_row,m_teacher,H$4,m_date,($G$2+5),m_active,1,m_start,"&lt;"&amp;960,m_end,"&gt;"&amp;900),INDEX(m_label,_xlfn.MAXIFS(m_row,m_teacher,H$4,m_date,($G$2+5),m_active,1,m_start,"&lt;"&amp;960,m_end,"&gt;"&amp;900))))))</f>
        <v/>
      </c>
      <c r="I66" s="88" t="str">
        <f aca="false">IF(OR(I$4="",MONTH(($G$2+5))&lt;&gt;MONTH($C$2)),"",IF(COUNTIFS(m_teacher,I$4,m_date,($G$2+5),m_active,1,m_start,"&lt;"&amp;960,m_end,"&gt;"&amp;900)=0,"",IF(COUNTIFS(m_teacher,I$4,m_date,($G$2+5),m_active,1,m_start,"&lt;"&amp;960,m_end,"&gt;"&amp;900)&gt;1,"충돌",HYPERLINK("#'관리자_MASTER'!D"&amp;_xlfn.MAXIFS(m_row,m_teacher,I$4,m_date,($G$2+5),m_active,1,m_start,"&lt;"&amp;960,m_end,"&gt;"&amp;900),INDEX(m_label,_xlfn.MAXIFS(m_row,m_teacher,I$4,m_date,($G$2+5),m_active,1,m_start,"&lt;"&amp;960,m_end,"&gt;"&amp;900))))))</f>
        <v/>
      </c>
      <c r="J66" s="88" t="str">
        <f aca="false">IF(OR(J$4="",MONTH(($G$2+5))&lt;&gt;MONTH($C$2)),"",IF(COUNTIFS(m_teacher,J$4,m_date,($G$2+5),m_active,1,m_start,"&lt;"&amp;960,m_end,"&gt;"&amp;900)=0,"",IF(COUNTIFS(m_teacher,J$4,m_date,($G$2+5),m_active,1,m_start,"&lt;"&amp;960,m_end,"&gt;"&amp;900)&gt;1,"충돌",HYPERLINK("#'관리자_MASTER'!D"&amp;_xlfn.MAXIFS(m_row,m_teacher,J$4,m_date,($G$2+5),m_active,1,m_start,"&lt;"&amp;960,m_end,"&gt;"&amp;900),INDEX(m_label,_xlfn.MAXIFS(m_row,m_teacher,J$4,m_date,($G$2+5),m_active,1,m_start,"&lt;"&amp;960,m_end,"&gt;"&amp;900))))))</f>
        <v/>
      </c>
      <c r="K66" s="88" t="str">
        <f aca="false">IF(OR(K$4="",MONTH(($G$2+5))&lt;&gt;MONTH($C$2)),"",IF(COUNTIFS(m_teacher,K$4,m_date,($G$2+5),m_active,1,m_start,"&lt;"&amp;960,m_end,"&gt;"&amp;900)=0,"",IF(COUNTIFS(m_teacher,K$4,m_date,($G$2+5),m_active,1,m_start,"&lt;"&amp;960,m_end,"&gt;"&amp;900)&gt;1,"충돌",HYPERLINK("#'관리자_MASTER'!D"&amp;_xlfn.MAXIFS(m_row,m_teacher,K$4,m_date,($G$2+5),m_active,1,m_start,"&lt;"&amp;960,m_end,"&gt;"&amp;900),INDEX(m_label,_xlfn.MAXIFS(m_row,m_teacher,K$4,m_date,($G$2+5),m_active,1,m_start,"&lt;"&amp;960,m_end,"&gt;"&amp;900))))))</f>
        <v/>
      </c>
      <c r="L66" s="88" t="str">
        <f aca="false">IF(OR(L$4="",MONTH(($G$2+5))&lt;&gt;MONTH($C$2)),"",IF(COUNTIFS(m_teacher,L$4,m_date,($G$2+5),m_active,1,m_start,"&lt;"&amp;960,m_end,"&gt;"&amp;900)=0,"",IF(COUNTIFS(m_teacher,L$4,m_date,($G$2+5),m_active,1,m_start,"&lt;"&amp;960,m_end,"&gt;"&amp;900)&gt;1,"충돌",HYPERLINK("#'관리자_MASTER'!D"&amp;_xlfn.MAXIFS(m_row,m_teacher,L$4,m_date,($G$2+5),m_active,1,m_start,"&lt;"&amp;960,m_end,"&gt;"&amp;900),INDEX(m_label,_xlfn.MAXIFS(m_row,m_teacher,L$4,m_date,($G$2+5),m_active,1,m_start,"&lt;"&amp;960,m_end,"&gt;"&amp;900))))))</f>
        <v/>
      </c>
      <c r="M66" s="88" t="str">
        <f aca="false">IF(OR(M$4="",MONTH(($G$2+5))&lt;&gt;MONTH($C$2)),"",IF(COUNTIFS(m_teacher,M$4,m_date,($G$2+5),m_active,1,m_start,"&lt;"&amp;960,m_end,"&gt;"&amp;900)=0,"",IF(COUNTIFS(m_teacher,M$4,m_date,($G$2+5),m_active,1,m_start,"&lt;"&amp;960,m_end,"&gt;"&amp;900)&gt;1,"충돌",HYPERLINK("#'관리자_MASTER'!D"&amp;_xlfn.MAXIFS(m_row,m_teacher,M$4,m_date,($G$2+5),m_active,1,m_start,"&lt;"&amp;960,m_end,"&gt;"&amp;900),INDEX(m_label,_xlfn.MAXIFS(m_row,m_teacher,M$4,m_date,($G$2+5),m_active,1,m_start,"&lt;"&amp;960,m_end,"&gt;"&amp;900))))))</f>
        <v/>
      </c>
      <c r="N66" s="88" t="str">
        <f aca="false">IF(OR(N$4="",MONTH(($G$2+5))&lt;&gt;MONTH($C$2)),"",IF(COUNTIFS(m_teacher,N$4,m_date,($G$2+5),m_active,1,m_start,"&lt;"&amp;960,m_end,"&gt;"&amp;900)=0,"",IF(COUNTIFS(m_teacher,N$4,m_date,($G$2+5),m_active,1,m_start,"&lt;"&amp;960,m_end,"&gt;"&amp;900)&gt;1,"충돌",HYPERLINK("#'관리자_MASTER'!D"&amp;_xlfn.MAXIFS(m_row,m_teacher,N$4,m_date,($G$2+5),m_active,1,m_start,"&lt;"&amp;960,m_end,"&gt;"&amp;900),INDEX(m_label,_xlfn.MAXIFS(m_row,m_teacher,N$4,m_date,($G$2+5),m_active,1,m_start,"&lt;"&amp;960,m_end,"&gt;"&amp;900))))))</f>
        <v/>
      </c>
      <c r="O66" s="90"/>
      <c r="P66" s="79" t="s">
        <v>97</v>
      </c>
      <c r="Q66" s="88" t="str">
        <f aca="false">IF(OR(Q$4="",MONTH(($G$2+12))&lt;&gt;MONTH($C$2)),"",IF(COUNTIFS(m_teacher,Q$4,m_date,($G$2+12),m_active,1,m_start,"&lt;"&amp;960,m_end,"&gt;"&amp;900)=0,"",IF(COUNTIFS(m_teacher,Q$4,m_date,($G$2+12),m_active,1,m_start,"&lt;"&amp;960,m_end,"&gt;"&amp;900)&gt;1,"충돌",HYPERLINK("#'관리자_MASTER'!D"&amp;_xlfn.MAXIFS(m_row,m_teacher,Q$4,m_date,($G$2+12),m_active,1,m_start,"&lt;"&amp;960,m_end,"&gt;"&amp;900),INDEX(m_label,_xlfn.MAXIFS(m_row,m_teacher,Q$4,m_date,($G$2+12),m_active,1,m_start,"&lt;"&amp;960,m_end,"&gt;"&amp;900))))))</f>
        <v/>
      </c>
      <c r="R66" s="88" t="str">
        <f aca="false">IF(OR(R$4="",MONTH(($G$2+12))&lt;&gt;MONTH($C$2)),"",IF(COUNTIFS(m_teacher,R$4,m_date,($G$2+12),m_active,1,m_start,"&lt;"&amp;960,m_end,"&gt;"&amp;900)=0,"",IF(COUNTIFS(m_teacher,R$4,m_date,($G$2+12),m_active,1,m_start,"&lt;"&amp;960,m_end,"&gt;"&amp;900)&gt;1,"충돌",HYPERLINK("#'관리자_MASTER'!D"&amp;_xlfn.MAXIFS(m_row,m_teacher,R$4,m_date,($G$2+12),m_active,1,m_start,"&lt;"&amp;960,m_end,"&gt;"&amp;900),INDEX(m_label,_xlfn.MAXIFS(m_row,m_teacher,R$4,m_date,($G$2+12),m_active,1,m_start,"&lt;"&amp;960,m_end,"&gt;"&amp;900))))))</f>
        <v/>
      </c>
      <c r="S66" s="88" t="str">
        <f aca="false">IF(OR(S$4="",MONTH(($G$2+12))&lt;&gt;MONTH($C$2)),"",IF(COUNTIFS(m_teacher,S$4,m_date,($G$2+12),m_active,1,m_start,"&lt;"&amp;960,m_end,"&gt;"&amp;900)=0,"",IF(COUNTIFS(m_teacher,S$4,m_date,($G$2+12),m_active,1,m_start,"&lt;"&amp;960,m_end,"&gt;"&amp;900)&gt;1,"충돌",HYPERLINK("#'관리자_MASTER'!D"&amp;_xlfn.MAXIFS(m_row,m_teacher,S$4,m_date,($G$2+12),m_active,1,m_start,"&lt;"&amp;960,m_end,"&gt;"&amp;900),INDEX(m_label,_xlfn.MAXIFS(m_row,m_teacher,S$4,m_date,($G$2+12),m_active,1,m_start,"&lt;"&amp;960,m_end,"&gt;"&amp;900))))))</f>
        <v/>
      </c>
      <c r="T66" s="88" t="str">
        <f aca="false">IF(OR(T$4="",MONTH(($G$2+12))&lt;&gt;MONTH($C$2)),"",IF(COUNTIFS(m_teacher,T$4,m_date,($G$2+12),m_active,1,m_start,"&lt;"&amp;960,m_end,"&gt;"&amp;900)=0,"",IF(COUNTIFS(m_teacher,T$4,m_date,($G$2+12),m_active,1,m_start,"&lt;"&amp;960,m_end,"&gt;"&amp;900)&gt;1,"충돌",HYPERLINK("#'관리자_MASTER'!D"&amp;_xlfn.MAXIFS(m_row,m_teacher,T$4,m_date,($G$2+12),m_active,1,m_start,"&lt;"&amp;960,m_end,"&gt;"&amp;900),INDEX(m_label,_xlfn.MAXIFS(m_row,m_teacher,T$4,m_date,($G$2+12),m_active,1,m_start,"&lt;"&amp;960,m_end,"&gt;"&amp;900))))))</f>
        <v/>
      </c>
      <c r="U66" s="88" t="str">
        <f aca="false">IF(OR(U$4="",MONTH(($G$2+12))&lt;&gt;MONTH($C$2)),"",IF(COUNTIFS(m_teacher,U$4,m_date,($G$2+12),m_active,1,m_start,"&lt;"&amp;960,m_end,"&gt;"&amp;900)=0,"",IF(COUNTIFS(m_teacher,U$4,m_date,($G$2+12),m_active,1,m_start,"&lt;"&amp;960,m_end,"&gt;"&amp;900)&gt;1,"충돌",HYPERLINK("#'관리자_MASTER'!D"&amp;_xlfn.MAXIFS(m_row,m_teacher,U$4,m_date,($G$2+12),m_active,1,m_start,"&lt;"&amp;960,m_end,"&gt;"&amp;900),INDEX(m_label,_xlfn.MAXIFS(m_row,m_teacher,U$4,m_date,($G$2+12),m_active,1,m_start,"&lt;"&amp;960,m_end,"&gt;"&amp;900))))))</f>
        <v/>
      </c>
      <c r="V66" s="88" t="str">
        <f aca="false">IF(OR(V$4="",MONTH(($G$2+12))&lt;&gt;MONTH($C$2)),"",IF(COUNTIFS(m_teacher,V$4,m_date,($G$2+12),m_active,1,m_start,"&lt;"&amp;960,m_end,"&gt;"&amp;900)=0,"",IF(COUNTIFS(m_teacher,V$4,m_date,($G$2+12),m_active,1,m_start,"&lt;"&amp;960,m_end,"&gt;"&amp;900)&gt;1,"충돌",HYPERLINK("#'관리자_MASTER'!D"&amp;_xlfn.MAXIFS(m_row,m_teacher,V$4,m_date,($G$2+12),m_active,1,m_start,"&lt;"&amp;960,m_end,"&gt;"&amp;900),INDEX(m_label,_xlfn.MAXIFS(m_row,m_teacher,V$4,m_date,($G$2+12),m_active,1,m_start,"&lt;"&amp;960,m_end,"&gt;"&amp;900))))))</f>
        <v/>
      </c>
      <c r="W66" s="88" t="str">
        <f aca="false">IF(OR(W$4="",MONTH(($G$2+12))&lt;&gt;MONTH($C$2)),"",IF(COUNTIFS(m_teacher,W$4,m_date,($G$2+12),m_active,1,m_start,"&lt;"&amp;960,m_end,"&gt;"&amp;900)=0,"",IF(COUNTIFS(m_teacher,W$4,m_date,($G$2+12),m_active,1,m_start,"&lt;"&amp;960,m_end,"&gt;"&amp;900)&gt;1,"충돌",HYPERLINK("#'관리자_MASTER'!D"&amp;_xlfn.MAXIFS(m_row,m_teacher,W$4,m_date,($G$2+12),m_active,1,m_start,"&lt;"&amp;960,m_end,"&gt;"&amp;900),INDEX(m_label,_xlfn.MAXIFS(m_row,m_teacher,W$4,m_date,($G$2+12),m_active,1,m_start,"&lt;"&amp;960,m_end,"&gt;"&amp;900))))))</f>
        <v/>
      </c>
      <c r="X66" s="88" t="str">
        <f aca="false">IF(OR(X$4="",MONTH(($G$2+12))&lt;&gt;MONTH($C$2)),"",IF(COUNTIFS(m_teacher,X$4,m_date,($G$2+12),m_active,1,m_start,"&lt;"&amp;960,m_end,"&gt;"&amp;900)=0,"",IF(COUNTIFS(m_teacher,X$4,m_date,($G$2+12),m_active,1,m_start,"&lt;"&amp;960,m_end,"&gt;"&amp;900)&gt;1,"충돌",HYPERLINK("#'관리자_MASTER'!D"&amp;_xlfn.MAXIFS(m_row,m_teacher,X$4,m_date,($G$2+12),m_active,1,m_start,"&lt;"&amp;960,m_end,"&gt;"&amp;900),INDEX(m_label,_xlfn.MAXIFS(m_row,m_teacher,X$4,m_date,($G$2+12),m_active,1,m_start,"&lt;"&amp;960,m_end,"&gt;"&amp;900))))))</f>
        <v/>
      </c>
      <c r="Y66" s="88" t="str">
        <f aca="false">IF(OR(Y$4="",MONTH(($G$2+12))&lt;&gt;MONTH($C$2)),"",IF(COUNTIFS(m_teacher,Y$4,m_date,($G$2+12),m_active,1,m_start,"&lt;"&amp;960,m_end,"&gt;"&amp;900)=0,"",IF(COUNTIFS(m_teacher,Y$4,m_date,($G$2+12),m_active,1,m_start,"&lt;"&amp;960,m_end,"&gt;"&amp;900)&gt;1,"충돌",HYPERLINK("#'관리자_MASTER'!D"&amp;_xlfn.MAXIFS(m_row,m_teacher,Y$4,m_date,($G$2+12),m_active,1,m_start,"&lt;"&amp;960,m_end,"&gt;"&amp;900),INDEX(m_label,_xlfn.MAXIFS(m_row,m_teacher,Y$4,m_date,($G$2+12),m_active,1,m_start,"&lt;"&amp;960,m_end,"&gt;"&amp;900))))))</f>
        <v/>
      </c>
      <c r="Z66" s="88" t="str">
        <f aca="false">IF(OR(Z$4="",MONTH(($G$2+12))&lt;&gt;MONTH($C$2)),"",IF(COUNTIFS(m_teacher,Z$4,m_date,($G$2+12),m_active,1,m_start,"&lt;"&amp;960,m_end,"&gt;"&amp;900)=0,"",IF(COUNTIFS(m_teacher,Z$4,m_date,($G$2+12),m_active,1,m_start,"&lt;"&amp;960,m_end,"&gt;"&amp;900)&gt;1,"충돌",HYPERLINK("#'관리자_MASTER'!D"&amp;_xlfn.MAXIFS(m_row,m_teacher,Z$4,m_date,($G$2+12),m_active,1,m_start,"&lt;"&amp;960,m_end,"&gt;"&amp;900),INDEX(m_label,_xlfn.MAXIFS(m_row,m_teacher,Z$4,m_date,($G$2+12),m_active,1,m_start,"&lt;"&amp;960,m_end,"&gt;"&amp;900))))))</f>
        <v/>
      </c>
      <c r="AA66" s="88" t="str">
        <f aca="false">IF(OR(AA$4="",MONTH(($G$2+12))&lt;&gt;MONTH($C$2)),"",IF(COUNTIFS(m_teacher,AA$4,m_date,($G$2+12),m_active,1,m_start,"&lt;"&amp;960,m_end,"&gt;"&amp;900)=0,"",IF(COUNTIFS(m_teacher,AA$4,m_date,($G$2+12),m_active,1,m_start,"&lt;"&amp;960,m_end,"&gt;"&amp;900)&gt;1,"충돌",HYPERLINK("#'관리자_MASTER'!D"&amp;_xlfn.MAXIFS(m_row,m_teacher,AA$4,m_date,($G$2+12),m_active,1,m_start,"&lt;"&amp;960,m_end,"&gt;"&amp;900),INDEX(m_label,_xlfn.MAXIFS(m_row,m_teacher,AA$4,m_date,($G$2+12),m_active,1,m_start,"&lt;"&amp;960,m_end,"&gt;"&amp;900))))))</f>
        <v/>
      </c>
      <c r="AB66" s="88" t="str">
        <f aca="false">IF(OR(AB$4="",MONTH(($G$2+12))&lt;&gt;MONTH($C$2)),"",IF(COUNTIFS(m_teacher,AB$4,m_date,($G$2+12),m_active,1,m_start,"&lt;"&amp;960,m_end,"&gt;"&amp;900)=0,"",IF(COUNTIFS(m_teacher,AB$4,m_date,($G$2+12),m_active,1,m_start,"&lt;"&amp;960,m_end,"&gt;"&amp;900)&gt;1,"충돌",HYPERLINK("#'관리자_MASTER'!D"&amp;_xlfn.MAXIFS(m_row,m_teacher,AB$4,m_date,($G$2+12),m_active,1,m_start,"&lt;"&amp;960,m_end,"&gt;"&amp;900),INDEX(m_label,_xlfn.MAXIFS(m_row,m_teacher,AB$4,m_date,($G$2+12),m_active,1,m_start,"&lt;"&amp;960,m_end,"&gt;"&amp;900))))))</f>
        <v/>
      </c>
      <c r="AC66" s="90"/>
      <c r="AD66" s="79" t="s">
        <v>97</v>
      </c>
      <c r="AE66" s="88" t="str">
        <f aca="false">IF(OR(AE$4="",MONTH(($G$2+19))&lt;&gt;MONTH($C$2)),"",IF(COUNTIFS(m_teacher,AE$4,m_date,($G$2+19),m_active,1,m_start,"&lt;"&amp;960,m_end,"&gt;"&amp;900)=0,"",IF(COUNTIFS(m_teacher,AE$4,m_date,($G$2+19),m_active,1,m_start,"&lt;"&amp;960,m_end,"&gt;"&amp;900)&gt;1,"충돌",HYPERLINK("#'관리자_MASTER'!D"&amp;_xlfn.MAXIFS(m_row,m_teacher,AE$4,m_date,($G$2+19),m_active,1,m_start,"&lt;"&amp;960,m_end,"&gt;"&amp;900),INDEX(m_label,_xlfn.MAXIFS(m_row,m_teacher,AE$4,m_date,($G$2+19),m_active,1,m_start,"&lt;"&amp;960,m_end,"&gt;"&amp;900))))))</f>
        <v/>
      </c>
      <c r="AF66" s="88" t="str">
        <f aca="false">IF(OR(AF$4="",MONTH(($G$2+19))&lt;&gt;MONTH($C$2)),"",IF(COUNTIFS(m_teacher,AF$4,m_date,($G$2+19),m_active,1,m_start,"&lt;"&amp;960,m_end,"&gt;"&amp;900)=0,"",IF(COUNTIFS(m_teacher,AF$4,m_date,($G$2+19),m_active,1,m_start,"&lt;"&amp;960,m_end,"&gt;"&amp;900)&gt;1,"충돌",HYPERLINK("#'관리자_MASTER'!D"&amp;_xlfn.MAXIFS(m_row,m_teacher,AF$4,m_date,($G$2+19),m_active,1,m_start,"&lt;"&amp;960,m_end,"&gt;"&amp;900),INDEX(m_label,_xlfn.MAXIFS(m_row,m_teacher,AF$4,m_date,($G$2+19),m_active,1,m_start,"&lt;"&amp;960,m_end,"&gt;"&amp;900))))))</f>
        <v/>
      </c>
      <c r="AG66" s="88" t="str">
        <f aca="false">IF(OR(AG$4="",MONTH(($G$2+19))&lt;&gt;MONTH($C$2)),"",IF(COUNTIFS(m_teacher,AG$4,m_date,($G$2+19),m_active,1,m_start,"&lt;"&amp;960,m_end,"&gt;"&amp;900)=0,"",IF(COUNTIFS(m_teacher,AG$4,m_date,($G$2+19),m_active,1,m_start,"&lt;"&amp;960,m_end,"&gt;"&amp;900)&gt;1,"충돌",HYPERLINK("#'관리자_MASTER'!D"&amp;_xlfn.MAXIFS(m_row,m_teacher,AG$4,m_date,($G$2+19),m_active,1,m_start,"&lt;"&amp;960,m_end,"&gt;"&amp;900),INDEX(m_label,_xlfn.MAXIFS(m_row,m_teacher,AG$4,m_date,($G$2+19),m_active,1,m_start,"&lt;"&amp;960,m_end,"&gt;"&amp;900))))))</f>
        <v/>
      </c>
      <c r="AH66" s="88" t="str">
        <f aca="false">IF(OR(AH$4="",MONTH(($G$2+19))&lt;&gt;MONTH($C$2)),"",IF(COUNTIFS(m_teacher,AH$4,m_date,($G$2+19),m_active,1,m_start,"&lt;"&amp;960,m_end,"&gt;"&amp;900)=0,"",IF(COUNTIFS(m_teacher,AH$4,m_date,($G$2+19),m_active,1,m_start,"&lt;"&amp;960,m_end,"&gt;"&amp;900)&gt;1,"충돌",HYPERLINK("#'관리자_MASTER'!D"&amp;_xlfn.MAXIFS(m_row,m_teacher,AH$4,m_date,($G$2+19),m_active,1,m_start,"&lt;"&amp;960,m_end,"&gt;"&amp;900),INDEX(m_label,_xlfn.MAXIFS(m_row,m_teacher,AH$4,m_date,($G$2+19),m_active,1,m_start,"&lt;"&amp;960,m_end,"&gt;"&amp;900))))))</f>
        <v/>
      </c>
      <c r="AI66" s="88" t="str">
        <f aca="false">IF(OR(AI$4="",MONTH(($G$2+19))&lt;&gt;MONTH($C$2)),"",IF(COUNTIFS(m_teacher,AI$4,m_date,($G$2+19),m_active,1,m_start,"&lt;"&amp;960,m_end,"&gt;"&amp;900)=0,"",IF(COUNTIFS(m_teacher,AI$4,m_date,($G$2+19),m_active,1,m_start,"&lt;"&amp;960,m_end,"&gt;"&amp;900)&gt;1,"충돌",HYPERLINK("#'관리자_MASTER'!D"&amp;_xlfn.MAXIFS(m_row,m_teacher,AI$4,m_date,($G$2+19),m_active,1,m_start,"&lt;"&amp;960,m_end,"&gt;"&amp;900),INDEX(m_label,_xlfn.MAXIFS(m_row,m_teacher,AI$4,m_date,($G$2+19),m_active,1,m_start,"&lt;"&amp;960,m_end,"&gt;"&amp;900))))))</f>
        <v/>
      </c>
      <c r="AJ66" s="88" t="str">
        <f aca="false">IF(OR(AJ$4="",MONTH(($G$2+19))&lt;&gt;MONTH($C$2)),"",IF(COUNTIFS(m_teacher,AJ$4,m_date,($G$2+19),m_active,1,m_start,"&lt;"&amp;960,m_end,"&gt;"&amp;900)=0,"",IF(COUNTIFS(m_teacher,AJ$4,m_date,($G$2+19),m_active,1,m_start,"&lt;"&amp;960,m_end,"&gt;"&amp;900)&gt;1,"충돌",HYPERLINK("#'관리자_MASTER'!D"&amp;_xlfn.MAXIFS(m_row,m_teacher,AJ$4,m_date,($G$2+19),m_active,1,m_start,"&lt;"&amp;960,m_end,"&gt;"&amp;900),INDEX(m_label,_xlfn.MAXIFS(m_row,m_teacher,AJ$4,m_date,($G$2+19),m_active,1,m_start,"&lt;"&amp;960,m_end,"&gt;"&amp;900))))))</f>
        <v/>
      </c>
      <c r="AK66" s="88" t="str">
        <f aca="false">IF(OR(AK$4="",MONTH(($G$2+19))&lt;&gt;MONTH($C$2)),"",IF(COUNTIFS(m_teacher,AK$4,m_date,($G$2+19),m_active,1,m_start,"&lt;"&amp;960,m_end,"&gt;"&amp;900)=0,"",IF(COUNTIFS(m_teacher,AK$4,m_date,($G$2+19),m_active,1,m_start,"&lt;"&amp;960,m_end,"&gt;"&amp;900)&gt;1,"충돌",HYPERLINK("#'관리자_MASTER'!D"&amp;_xlfn.MAXIFS(m_row,m_teacher,AK$4,m_date,($G$2+19),m_active,1,m_start,"&lt;"&amp;960,m_end,"&gt;"&amp;900),INDEX(m_label,_xlfn.MAXIFS(m_row,m_teacher,AK$4,m_date,($G$2+19),m_active,1,m_start,"&lt;"&amp;960,m_end,"&gt;"&amp;900))))))</f>
        <v/>
      </c>
      <c r="AL66" s="88" t="str">
        <f aca="false">IF(OR(AL$4="",MONTH(($G$2+19))&lt;&gt;MONTH($C$2)),"",IF(COUNTIFS(m_teacher,AL$4,m_date,($G$2+19),m_active,1,m_start,"&lt;"&amp;960,m_end,"&gt;"&amp;900)=0,"",IF(COUNTIFS(m_teacher,AL$4,m_date,($G$2+19),m_active,1,m_start,"&lt;"&amp;960,m_end,"&gt;"&amp;900)&gt;1,"충돌",HYPERLINK("#'관리자_MASTER'!D"&amp;_xlfn.MAXIFS(m_row,m_teacher,AL$4,m_date,($G$2+19),m_active,1,m_start,"&lt;"&amp;960,m_end,"&gt;"&amp;900),INDEX(m_label,_xlfn.MAXIFS(m_row,m_teacher,AL$4,m_date,($G$2+19),m_active,1,m_start,"&lt;"&amp;960,m_end,"&gt;"&amp;900))))))</f>
        <v/>
      </c>
      <c r="AM66" s="88" t="str">
        <f aca="false">IF(OR(AM$4="",MONTH(($G$2+19))&lt;&gt;MONTH($C$2)),"",IF(COUNTIFS(m_teacher,AM$4,m_date,($G$2+19),m_active,1,m_start,"&lt;"&amp;960,m_end,"&gt;"&amp;900)=0,"",IF(COUNTIFS(m_teacher,AM$4,m_date,($G$2+19),m_active,1,m_start,"&lt;"&amp;960,m_end,"&gt;"&amp;900)&gt;1,"충돌",HYPERLINK("#'관리자_MASTER'!D"&amp;_xlfn.MAXIFS(m_row,m_teacher,AM$4,m_date,($G$2+19),m_active,1,m_start,"&lt;"&amp;960,m_end,"&gt;"&amp;900),INDEX(m_label,_xlfn.MAXIFS(m_row,m_teacher,AM$4,m_date,($G$2+19),m_active,1,m_start,"&lt;"&amp;960,m_end,"&gt;"&amp;900))))))</f>
        <v/>
      </c>
      <c r="AN66" s="88" t="str">
        <f aca="false">IF(OR(AN$4="",MONTH(($G$2+19))&lt;&gt;MONTH($C$2)),"",IF(COUNTIFS(m_teacher,AN$4,m_date,($G$2+19),m_active,1,m_start,"&lt;"&amp;960,m_end,"&gt;"&amp;900)=0,"",IF(COUNTIFS(m_teacher,AN$4,m_date,($G$2+19),m_active,1,m_start,"&lt;"&amp;960,m_end,"&gt;"&amp;900)&gt;1,"충돌",HYPERLINK("#'관리자_MASTER'!D"&amp;_xlfn.MAXIFS(m_row,m_teacher,AN$4,m_date,($G$2+19),m_active,1,m_start,"&lt;"&amp;960,m_end,"&gt;"&amp;900),INDEX(m_label,_xlfn.MAXIFS(m_row,m_teacher,AN$4,m_date,($G$2+19),m_active,1,m_start,"&lt;"&amp;960,m_end,"&gt;"&amp;900))))))</f>
        <v/>
      </c>
      <c r="AO66" s="88" t="str">
        <f aca="false">IF(OR(AO$4="",MONTH(($G$2+19))&lt;&gt;MONTH($C$2)),"",IF(COUNTIFS(m_teacher,AO$4,m_date,($G$2+19),m_active,1,m_start,"&lt;"&amp;960,m_end,"&gt;"&amp;900)=0,"",IF(COUNTIFS(m_teacher,AO$4,m_date,($G$2+19),m_active,1,m_start,"&lt;"&amp;960,m_end,"&gt;"&amp;900)&gt;1,"충돌",HYPERLINK("#'관리자_MASTER'!D"&amp;_xlfn.MAXIFS(m_row,m_teacher,AO$4,m_date,($G$2+19),m_active,1,m_start,"&lt;"&amp;960,m_end,"&gt;"&amp;900),INDEX(m_label,_xlfn.MAXIFS(m_row,m_teacher,AO$4,m_date,($G$2+19),m_active,1,m_start,"&lt;"&amp;960,m_end,"&gt;"&amp;900))))))</f>
        <v/>
      </c>
      <c r="AP66" s="88" t="str">
        <f aca="false">IF(OR(AP$4="",MONTH(($G$2+19))&lt;&gt;MONTH($C$2)),"",IF(COUNTIFS(m_teacher,AP$4,m_date,($G$2+19),m_active,1,m_start,"&lt;"&amp;960,m_end,"&gt;"&amp;900)=0,"",IF(COUNTIFS(m_teacher,AP$4,m_date,($G$2+19),m_active,1,m_start,"&lt;"&amp;960,m_end,"&gt;"&amp;900)&gt;1,"충돌",HYPERLINK("#'관리자_MASTER'!D"&amp;_xlfn.MAXIFS(m_row,m_teacher,AP$4,m_date,($G$2+19),m_active,1,m_start,"&lt;"&amp;960,m_end,"&gt;"&amp;900),INDEX(m_label,_xlfn.MAXIFS(m_row,m_teacher,AP$4,m_date,($G$2+19),m_active,1,m_start,"&lt;"&amp;960,m_end,"&gt;"&amp;900))))))</f>
        <v/>
      </c>
      <c r="AQ66" s="90"/>
      <c r="AR66" s="79" t="s">
        <v>97</v>
      </c>
      <c r="AS66" s="88" t="str">
        <f aca="false">IF(OR(AS$4="",MONTH(($G$2+26))&lt;&gt;MONTH($C$2)),"",IF(COUNTIFS(m_teacher,AS$4,m_date,($G$2+26),m_active,1,m_start,"&lt;"&amp;960,m_end,"&gt;"&amp;900)=0,"",IF(COUNTIFS(m_teacher,AS$4,m_date,($G$2+26),m_active,1,m_start,"&lt;"&amp;960,m_end,"&gt;"&amp;900)&gt;1,"충돌",HYPERLINK("#'관리자_MASTER'!D"&amp;_xlfn.MAXIFS(m_row,m_teacher,AS$4,m_date,($G$2+26),m_active,1,m_start,"&lt;"&amp;960,m_end,"&gt;"&amp;900),INDEX(m_label,_xlfn.MAXIFS(m_row,m_teacher,AS$4,m_date,($G$2+26),m_active,1,m_start,"&lt;"&amp;960,m_end,"&gt;"&amp;900))))))</f>
        <v/>
      </c>
      <c r="AT66" s="88" t="str">
        <f aca="false">IF(OR(AT$4="",MONTH(($G$2+26))&lt;&gt;MONTH($C$2)),"",IF(COUNTIFS(m_teacher,AT$4,m_date,($G$2+26),m_active,1,m_start,"&lt;"&amp;960,m_end,"&gt;"&amp;900)=0,"",IF(COUNTIFS(m_teacher,AT$4,m_date,($G$2+26),m_active,1,m_start,"&lt;"&amp;960,m_end,"&gt;"&amp;900)&gt;1,"충돌",HYPERLINK("#'관리자_MASTER'!D"&amp;_xlfn.MAXIFS(m_row,m_teacher,AT$4,m_date,($G$2+26),m_active,1,m_start,"&lt;"&amp;960,m_end,"&gt;"&amp;900),INDEX(m_label,_xlfn.MAXIFS(m_row,m_teacher,AT$4,m_date,($G$2+26),m_active,1,m_start,"&lt;"&amp;960,m_end,"&gt;"&amp;900))))))</f>
        <v/>
      </c>
      <c r="AU66" s="88" t="str">
        <f aca="false">IF(OR(AU$4="",MONTH(($G$2+26))&lt;&gt;MONTH($C$2)),"",IF(COUNTIFS(m_teacher,AU$4,m_date,($G$2+26),m_active,1,m_start,"&lt;"&amp;960,m_end,"&gt;"&amp;900)=0,"",IF(COUNTIFS(m_teacher,AU$4,m_date,($G$2+26),m_active,1,m_start,"&lt;"&amp;960,m_end,"&gt;"&amp;900)&gt;1,"충돌",HYPERLINK("#'관리자_MASTER'!D"&amp;_xlfn.MAXIFS(m_row,m_teacher,AU$4,m_date,($G$2+26),m_active,1,m_start,"&lt;"&amp;960,m_end,"&gt;"&amp;900),INDEX(m_label,_xlfn.MAXIFS(m_row,m_teacher,AU$4,m_date,($G$2+26),m_active,1,m_start,"&lt;"&amp;960,m_end,"&gt;"&amp;900))))))</f>
        <v/>
      </c>
      <c r="AV66" s="88" t="str">
        <f aca="false">IF(OR(AV$4="",MONTH(($G$2+26))&lt;&gt;MONTH($C$2)),"",IF(COUNTIFS(m_teacher,AV$4,m_date,($G$2+26),m_active,1,m_start,"&lt;"&amp;960,m_end,"&gt;"&amp;900)=0,"",IF(COUNTIFS(m_teacher,AV$4,m_date,($G$2+26),m_active,1,m_start,"&lt;"&amp;960,m_end,"&gt;"&amp;900)&gt;1,"충돌",HYPERLINK("#'관리자_MASTER'!D"&amp;_xlfn.MAXIFS(m_row,m_teacher,AV$4,m_date,($G$2+26),m_active,1,m_start,"&lt;"&amp;960,m_end,"&gt;"&amp;900),INDEX(m_label,_xlfn.MAXIFS(m_row,m_teacher,AV$4,m_date,($G$2+26),m_active,1,m_start,"&lt;"&amp;960,m_end,"&gt;"&amp;900))))))</f>
        <v/>
      </c>
      <c r="AW66" s="88" t="str">
        <f aca="false">IF(OR(AW$4="",MONTH(($G$2+26))&lt;&gt;MONTH($C$2)),"",IF(COUNTIFS(m_teacher,AW$4,m_date,($G$2+26),m_active,1,m_start,"&lt;"&amp;960,m_end,"&gt;"&amp;900)=0,"",IF(COUNTIFS(m_teacher,AW$4,m_date,($G$2+26),m_active,1,m_start,"&lt;"&amp;960,m_end,"&gt;"&amp;900)&gt;1,"충돌",HYPERLINK("#'관리자_MASTER'!D"&amp;_xlfn.MAXIFS(m_row,m_teacher,AW$4,m_date,($G$2+26),m_active,1,m_start,"&lt;"&amp;960,m_end,"&gt;"&amp;900),INDEX(m_label,_xlfn.MAXIFS(m_row,m_teacher,AW$4,m_date,($G$2+26),m_active,1,m_start,"&lt;"&amp;960,m_end,"&gt;"&amp;900))))))</f>
        <v/>
      </c>
      <c r="AX66" s="88" t="str">
        <f aca="false">IF(OR(AX$4="",MONTH(($G$2+26))&lt;&gt;MONTH($C$2)),"",IF(COUNTIFS(m_teacher,AX$4,m_date,($G$2+26),m_active,1,m_start,"&lt;"&amp;960,m_end,"&gt;"&amp;900)=0,"",IF(COUNTIFS(m_teacher,AX$4,m_date,($G$2+26),m_active,1,m_start,"&lt;"&amp;960,m_end,"&gt;"&amp;900)&gt;1,"충돌",HYPERLINK("#'관리자_MASTER'!D"&amp;_xlfn.MAXIFS(m_row,m_teacher,AX$4,m_date,($G$2+26),m_active,1,m_start,"&lt;"&amp;960,m_end,"&gt;"&amp;900),INDEX(m_label,_xlfn.MAXIFS(m_row,m_teacher,AX$4,m_date,($G$2+26),m_active,1,m_start,"&lt;"&amp;960,m_end,"&gt;"&amp;900))))))</f>
        <v/>
      </c>
      <c r="AY66" s="88" t="str">
        <f aca="false">IF(OR(AY$4="",MONTH(($G$2+26))&lt;&gt;MONTH($C$2)),"",IF(COUNTIFS(m_teacher,AY$4,m_date,($G$2+26),m_active,1,m_start,"&lt;"&amp;960,m_end,"&gt;"&amp;900)=0,"",IF(COUNTIFS(m_teacher,AY$4,m_date,($G$2+26),m_active,1,m_start,"&lt;"&amp;960,m_end,"&gt;"&amp;900)&gt;1,"충돌",HYPERLINK("#'관리자_MASTER'!D"&amp;_xlfn.MAXIFS(m_row,m_teacher,AY$4,m_date,($G$2+26),m_active,1,m_start,"&lt;"&amp;960,m_end,"&gt;"&amp;900),INDEX(m_label,_xlfn.MAXIFS(m_row,m_teacher,AY$4,m_date,($G$2+26),m_active,1,m_start,"&lt;"&amp;960,m_end,"&gt;"&amp;900))))))</f>
        <v/>
      </c>
      <c r="AZ66" s="88" t="str">
        <f aca="false">IF(OR(AZ$4="",MONTH(($G$2+26))&lt;&gt;MONTH($C$2)),"",IF(COUNTIFS(m_teacher,AZ$4,m_date,($G$2+26),m_active,1,m_start,"&lt;"&amp;960,m_end,"&gt;"&amp;900)=0,"",IF(COUNTIFS(m_teacher,AZ$4,m_date,($G$2+26),m_active,1,m_start,"&lt;"&amp;960,m_end,"&gt;"&amp;900)&gt;1,"충돌",HYPERLINK("#'관리자_MASTER'!D"&amp;_xlfn.MAXIFS(m_row,m_teacher,AZ$4,m_date,($G$2+26),m_active,1,m_start,"&lt;"&amp;960,m_end,"&gt;"&amp;900),INDEX(m_label,_xlfn.MAXIFS(m_row,m_teacher,AZ$4,m_date,($G$2+26),m_active,1,m_start,"&lt;"&amp;960,m_end,"&gt;"&amp;900))))))</f>
        <v/>
      </c>
      <c r="BA66" s="88" t="str">
        <f aca="false">IF(OR(BA$4="",MONTH(($G$2+26))&lt;&gt;MONTH($C$2)),"",IF(COUNTIFS(m_teacher,BA$4,m_date,($G$2+26),m_active,1,m_start,"&lt;"&amp;960,m_end,"&gt;"&amp;900)=0,"",IF(COUNTIFS(m_teacher,BA$4,m_date,($G$2+26),m_active,1,m_start,"&lt;"&amp;960,m_end,"&gt;"&amp;900)&gt;1,"충돌",HYPERLINK("#'관리자_MASTER'!D"&amp;_xlfn.MAXIFS(m_row,m_teacher,BA$4,m_date,($G$2+26),m_active,1,m_start,"&lt;"&amp;960,m_end,"&gt;"&amp;900),INDEX(m_label,_xlfn.MAXIFS(m_row,m_teacher,BA$4,m_date,($G$2+26),m_active,1,m_start,"&lt;"&amp;960,m_end,"&gt;"&amp;900))))))</f>
        <v/>
      </c>
      <c r="BB66" s="88" t="str">
        <f aca="false">IF(OR(BB$4="",MONTH(($G$2+26))&lt;&gt;MONTH($C$2)),"",IF(COUNTIFS(m_teacher,BB$4,m_date,($G$2+26),m_active,1,m_start,"&lt;"&amp;960,m_end,"&gt;"&amp;900)=0,"",IF(COUNTIFS(m_teacher,BB$4,m_date,($G$2+26),m_active,1,m_start,"&lt;"&amp;960,m_end,"&gt;"&amp;900)&gt;1,"충돌",HYPERLINK("#'관리자_MASTER'!D"&amp;_xlfn.MAXIFS(m_row,m_teacher,BB$4,m_date,($G$2+26),m_active,1,m_start,"&lt;"&amp;960,m_end,"&gt;"&amp;900),INDEX(m_label,_xlfn.MAXIFS(m_row,m_teacher,BB$4,m_date,($G$2+26),m_active,1,m_start,"&lt;"&amp;960,m_end,"&gt;"&amp;900))))))</f>
        <v/>
      </c>
      <c r="BC66" s="88" t="str">
        <f aca="false">IF(OR(BC$4="",MONTH(($G$2+26))&lt;&gt;MONTH($C$2)),"",IF(COUNTIFS(m_teacher,BC$4,m_date,($G$2+26),m_active,1,m_start,"&lt;"&amp;960,m_end,"&gt;"&amp;900)=0,"",IF(COUNTIFS(m_teacher,BC$4,m_date,($G$2+26),m_active,1,m_start,"&lt;"&amp;960,m_end,"&gt;"&amp;900)&gt;1,"충돌",HYPERLINK("#'관리자_MASTER'!D"&amp;_xlfn.MAXIFS(m_row,m_teacher,BC$4,m_date,($G$2+26),m_active,1,m_start,"&lt;"&amp;960,m_end,"&gt;"&amp;900),INDEX(m_label,_xlfn.MAXIFS(m_row,m_teacher,BC$4,m_date,($G$2+26),m_active,1,m_start,"&lt;"&amp;960,m_end,"&gt;"&amp;900))))))</f>
        <v/>
      </c>
      <c r="BD66" s="88" t="str">
        <f aca="false">IF(OR(BD$4="",MONTH(($G$2+26))&lt;&gt;MONTH($C$2)),"",IF(COUNTIFS(m_teacher,BD$4,m_date,($G$2+26),m_active,1,m_start,"&lt;"&amp;960,m_end,"&gt;"&amp;900)=0,"",IF(COUNTIFS(m_teacher,BD$4,m_date,($G$2+26),m_active,1,m_start,"&lt;"&amp;960,m_end,"&gt;"&amp;900)&gt;1,"충돌",HYPERLINK("#'관리자_MASTER'!D"&amp;_xlfn.MAXIFS(m_row,m_teacher,BD$4,m_date,($G$2+26),m_active,1,m_start,"&lt;"&amp;960,m_end,"&gt;"&amp;900),INDEX(m_label,_xlfn.MAXIFS(m_row,m_teacher,BD$4,m_date,($G$2+26),m_active,1,m_start,"&lt;"&amp;960,m_end,"&gt;"&amp;900))))))</f>
        <v/>
      </c>
    </row>
    <row r="67" customFormat="false" ht="19.5" hidden="false" customHeight="true" outlineLevel="0" collapsed="false">
      <c r="A67" s="90"/>
      <c r="B67" s="79" t="s">
        <v>98</v>
      </c>
      <c r="C67" s="88" t="str">
        <f aca="false">IF(OR(C$4="",MONTH(($G$2+5))&lt;&gt;MONTH($C$2)),"",IF(COUNTIFS(m_teacher,C$4,m_date,($G$2+5),m_active,1,m_start,"&lt;"&amp;1020,m_end,"&gt;"&amp;960)=0,"",IF(COUNTIFS(m_teacher,C$4,m_date,($G$2+5),m_active,1,m_start,"&lt;"&amp;1020,m_end,"&gt;"&amp;960)&gt;1,"충돌",HYPERLINK("#'관리자_MASTER'!D"&amp;_xlfn.MAXIFS(m_row,m_teacher,C$4,m_date,($G$2+5),m_active,1,m_start,"&lt;"&amp;1020,m_end,"&gt;"&amp;960),INDEX(m_label,_xlfn.MAXIFS(m_row,m_teacher,C$4,m_date,($G$2+5),m_active,1,m_start,"&lt;"&amp;1020,m_end,"&gt;"&amp;960))))))</f>
        <v/>
      </c>
      <c r="D67" s="88" t="str">
        <f aca="false">IF(OR(D$4="",MONTH(($G$2+5))&lt;&gt;MONTH($C$2)),"",IF(COUNTIFS(m_teacher,D$4,m_date,($G$2+5),m_active,1,m_start,"&lt;"&amp;1020,m_end,"&gt;"&amp;960)=0,"",IF(COUNTIFS(m_teacher,D$4,m_date,($G$2+5),m_active,1,m_start,"&lt;"&amp;1020,m_end,"&gt;"&amp;960)&gt;1,"충돌",HYPERLINK("#'관리자_MASTER'!D"&amp;_xlfn.MAXIFS(m_row,m_teacher,D$4,m_date,($G$2+5),m_active,1,m_start,"&lt;"&amp;1020,m_end,"&gt;"&amp;960),INDEX(m_label,_xlfn.MAXIFS(m_row,m_teacher,D$4,m_date,($G$2+5),m_active,1,m_start,"&lt;"&amp;1020,m_end,"&gt;"&amp;960))))))</f>
        <v/>
      </c>
      <c r="E67" s="88" t="str">
        <f aca="false">IF(OR(E$4="",MONTH(($G$2+5))&lt;&gt;MONTH($C$2)),"",IF(COUNTIFS(m_teacher,E$4,m_date,($G$2+5),m_active,1,m_start,"&lt;"&amp;1020,m_end,"&gt;"&amp;960)=0,"",IF(COUNTIFS(m_teacher,E$4,m_date,($G$2+5),m_active,1,m_start,"&lt;"&amp;1020,m_end,"&gt;"&amp;960)&gt;1,"충돌",HYPERLINK("#'관리자_MASTER'!D"&amp;_xlfn.MAXIFS(m_row,m_teacher,E$4,m_date,($G$2+5),m_active,1,m_start,"&lt;"&amp;1020,m_end,"&gt;"&amp;960),INDEX(m_label,_xlfn.MAXIFS(m_row,m_teacher,E$4,m_date,($G$2+5),m_active,1,m_start,"&lt;"&amp;1020,m_end,"&gt;"&amp;960))))))</f>
        <v/>
      </c>
      <c r="F67" s="88" t="str">
        <f aca="false">IF(OR(F$4="",MONTH(($G$2+5))&lt;&gt;MONTH($C$2)),"",IF(COUNTIFS(m_teacher,F$4,m_date,($G$2+5),m_active,1,m_start,"&lt;"&amp;1020,m_end,"&gt;"&amp;960)=0,"",IF(COUNTIFS(m_teacher,F$4,m_date,($G$2+5),m_active,1,m_start,"&lt;"&amp;1020,m_end,"&gt;"&amp;960)&gt;1,"충돌",HYPERLINK("#'관리자_MASTER'!D"&amp;_xlfn.MAXIFS(m_row,m_teacher,F$4,m_date,($G$2+5),m_active,1,m_start,"&lt;"&amp;1020,m_end,"&gt;"&amp;960),INDEX(m_label,_xlfn.MAXIFS(m_row,m_teacher,F$4,m_date,($G$2+5),m_active,1,m_start,"&lt;"&amp;1020,m_end,"&gt;"&amp;960))))))</f>
        <v/>
      </c>
      <c r="G67" s="88" t="str">
        <f aca="false">IF(OR(G$4="",MONTH(($G$2+5))&lt;&gt;MONTH($C$2)),"",IF(COUNTIFS(m_teacher,G$4,m_date,($G$2+5),m_active,1,m_start,"&lt;"&amp;1020,m_end,"&gt;"&amp;960)=0,"",IF(COUNTIFS(m_teacher,G$4,m_date,($G$2+5),m_active,1,m_start,"&lt;"&amp;1020,m_end,"&gt;"&amp;960)&gt;1,"충돌",HYPERLINK("#'관리자_MASTER'!D"&amp;_xlfn.MAXIFS(m_row,m_teacher,G$4,m_date,($G$2+5),m_active,1,m_start,"&lt;"&amp;1020,m_end,"&gt;"&amp;960),INDEX(m_label,_xlfn.MAXIFS(m_row,m_teacher,G$4,m_date,($G$2+5),m_active,1,m_start,"&lt;"&amp;1020,m_end,"&gt;"&amp;960))))))</f>
        <v/>
      </c>
      <c r="H67" s="88" t="str">
        <f aca="false">IF(OR(H$4="",MONTH(($G$2+5))&lt;&gt;MONTH($C$2)),"",IF(COUNTIFS(m_teacher,H$4,m_date,($G$2+5),m_active,1,m_start,"&lt;"&amp;1020,m_end,"&gt;"&amp;960)=0,"",IF(COUNTIFS(m_teacher,H$4,m_date,($G$2+5),m_active,1,m_start,"&lt;"&amp;1020,m_end,"&gt;"&amp;960)&gt;1,"충돌",HYPERLINK("#'관리자_MASTER'!D"&amp;_xlfn.MAXIFS(m_row,m_teacher,H$4,m_date,($G$2+5),m_active,1,m_start,"&lt;"&amp;1020,m_end,"&gt;"&amp;960),INDEX(m_label,_xlfn.MAXIFS(m_row,m_teacher,H$4,m_date,($G$2+5),m_active,1,m_start,"&lt;"&amp;1020,m_end,"&gt;"&amp;960))))))</f>
        <v/>
      </c>
      <c r="I67" s="88" t="str">
        <f aca="false">IF(OR(I$4="",MONTH(($G$2+5))&lt;&gt;MONTH($C$2)),"",IF(COUNTIFS(m_teacher,I$4,m_date,($G$2+5),m_active,1,m_start,"&lt;"&amp;1020,m_end,"&gt;"&amp;960)=0,"",IF(COUNTIFS(m_teacher,I$4,m_date,($G$2+5),m_active,1,m_start,"&lt;"&amp;1020,m_end,"&gt;"&amp;960)&gt;1,"충돌",HYPERLINK("#'관리자_MASTER'!D"&amp;_xlfn.MAXIFS(m_row,m_teacher,I$4,m_date,($G$2+5),m_active,1,m_start,"&lt;"&amp;1020,m_end,"&gt;"&amp;960),INDEX(m_label,_xlfn.MAXIFS(m_row,m_teacher,I$4,m_date,($G$2+5),m_active,1,m_start,"&lt;"&amp;1020,m_end,"&gt;"&amp;960))))))</f>
        <v/>
      </c>
      <c r="J67" s="88" t="str">
        <f aca="false">IF(OR(J$4="",MONTH(($G$2+5))&lt;&gt;MONTH($C$2)),"",IF(COUNTIFS(m_teacher,J$4,m_date,($G$2+5),m_active,1,m_start,"&lt;"&amp;1020,m_end,"&gt;"&amp;960)=0,"",IF(COUNTIFS(m_teacher,J$4,m_date,($G$2+5),m_active,1,m_start,"&lt;"&amp;1020,m_end,"&gt;"&amp;960)&gt;1,"충돌",HYPERLINK("#'관리자_MASTER'!D"&amp;_xlfn.MAXIFS(m_row,m_teacher,J$4,m_date,($G$2+5),m_active,1,m_start,"&lt;"&amp;1020,m_end,"&gt;"&amp;960),INDEX(m_label,_xlfn.MAXIFS(m_row,m_teacher,J$4,m_date,($G$2+5),m_active,1,m_start,"&lt;"&amp;1020,m_end,"&gt;"&amp;960))))))</f>
        <v/>
      </c>
      <c r="K67" s="88" t="str">
        <f aca="false">IF(OR(K$4="",MONTH(($G$2+5))&lt;&gt;MONTH($C$2)),"",IF(COUNTIFS(m_teacher,K$4,m_date,($G$2+5),m_active,1,m_start,"&lt;"&amp;1020,m_end,"&gt;"&amp;960)=0,"",IF(COUNTIFS(m_teacher,K$4,m_date,($G$2+5),m_active,1,m_start,"&lt;"&amp;1020,m_end,"&gt;"&amp;960)&gt;1,"충돌",HYPERLINK("#'관리자_MASTER'!D"&amp;_xlfn.MAXIFS(m_row,m_teacher,K$4,m_date,($G$2+5),m_active,1,m_start,"&lt;"&amp;1020,m_end,"&gt;"&amp;960),INDEX(m_label,_xlfn.MAXIFS(m_row,m_teacher,K$4,m_date,($G$2+5),m_active,1,m_start,"&lt;"&amp;1020,m_end,"&gt;"&amp;960))))))</f>
        <v/>
      </c>
      <c r="L67" s="88" t="str">
        <f aca="false">IF(OR(L$4="",MONTH(($G$2+5))&lt;&gt;MONTH($C$2)),"",IF(COUNTIFS(m_teacher,L$4,m_date,($G$2+5),m_active,1,m_start,"&lt;"&amp;1020,m_end,"&gt;"&amp;960)=0,"",IF(COUNTIFS(m_teacher,L$4,m_date,($G$2+5),m_active,1,m_start,"&lt;"&amp;1020,m_end,"&gt;"&amp;960)&gt;1,"충돌",HYPERLINK("#'관리자_MASTER'!D"&amp;_xlfn.MAXIFS(m_row,m_teacher,L$4,m_date,($G$2+5),m_active,1,m_start,"&lt;"&amp;1020,m_end,"&gt;"&amp;960),INDEX(m_label,_xlfn.MAXIFS(m_row,m_teacher,L$4,m_date,($G$2+5),m_active,1,m_start,"&lt;"&amp;1020,m_end,"&gt;"&amp;960))))))</f>
        <v/>
      </c>
      <c r="M67" s="88" t="str">
        <f aca="false">IF(OR(M$4="",MONTH(($G$2+5))&lt;&gt;MONTH($C$2)),"",IF(COUNTIFS(m_teacher,M$4,m_date,($G$2+5),m_active,1,m_start,"&lt;"&amp;1020,m_end,"&gt;"&amp;960)=0,"",IF(COUNTIFS(m_teacher,M$4,m_date,($G$2+5),m_active,1,m_start,"&lt;"&amp;1020,m_end,"&gt;"&amp;960)&gt;1,"충돌",HYPERLINK("#'관리자_MASTER'!D"&amp;_xlfn.MAXIFS(m_row,m_teacher,M$4,m_date,($G$2+5),m_active,1,m_start,"&lt;"&amp;1020,m_end,"&gt;"&amp;960),INDEX(m_label,_xlfn.MAXIFS(m_row,m_teacher,M$4,m_date,($G$2+5),m_active,1,m_start,"&lt;"&amp;1020,m_end,"&gt;"&amp;960))))))</f>
        <v/>
      </c>
      <c r="N67" s="88" t="str">
        <f aca="false">IF(OR(N$4="",MONTH(($G$2+5))&lt;&gt;MONTH($C$2)),"",IF(COUNTIFS(m_teacher,N$4,m_date,($G$2+5),m_active,1,m_start,"&lt;"&amp;1020,m_end,"&gt;"&amp;960)=0,"",IF(COUNTIFS(m_teacher,N$4,m_date,($G$2+5),m_active,1,m_start,"&lt;"&amp;1020,m_end,"&gt;"&amp;960)&gt;1,"충돌",HYPERLINK("#'관리자_MASTER'!D"&amp;_xlfn.MAXIFS(m_row,m_teacher,N$4,m_date,($G$2+5),m_active,1,m_start,"&lt;"&amp;1020,m_end,"&gt;"&amp;960),INDEX(m_label,_xlfn.MAXIFS(m_row,m_teacher,N$4,m_date,($G$2+5),m_active,1,m_start,"&lt;"&amp;1020,m_end,"&gt;"&amp;960))))))</f>
        <v/>
      </c>
      <c r="O67" s="90"/>
      <c r="P67" s="79" t="s">
        <v>98</v>
      </c>
      <c r="Q67" s="88" t="str">
        <f aca="false">IF(OR(Q$4="",MONTH(($G$2+12))&lt;&gt;MONTH($C$2)),"",IF(COUNTIFS(m_teacher,Q$4,m_date,($G$2+12),m_active,1,m_start,"&lt;"&amp;1020,m_end,"&gt;"&amp;960)=0,"",IF(COUNTIFS(m_teacher,Q$4,m_date,($G$2+12),m_active,1,m_start,"&lt;"&amp;1020,m_end,"&gt;"&amp;960)&gt;1,"충돌",HYPERLINK("#'관리자_MASTER'!D"&amp;_xlfn.MAXIFS(m_row,m_teacher,Q$4,m_date,($G$2+12),m_active,1,m_start,"&lt;"&amp;1020,m_end,"&gt;"&amp;960),INDEX(m_label,_xlfn.MAXIFS(m_row,m_teacher,Q$4,m_date,($G$2+12),m_active,1,m_start,"&lt;"&amp;1020,m_end,"&gt;"&amp;960))))))</f>
        <v/>
      </c>
      <c r="R67" s="88" t="str">
        <f aca="false">IF(OR(R$4="",MONTH(($G$2+12))&lt;&gt;MONTH($C$2)),"",IF(COUNTIFS(m_teacher,R$4,m_date,($G$2+12),m_active,1,m_start,"&lt;"&amp;1020,m_end,"&gt;"&amp;960)=0,"",IF(COUNTIFS(m_teacher,R$4,m_date,($G$2+12),m_active,1,m_start,"&lt;"&amp;1020,m_end,"&gt;"&amp;960)&gt;1,"충돌",HYPERLINK("#'관리자_MASTER'!D"&amp;_xlfn.MAXIFS(m_row,m_teacher,R$4,m_date,($G$2+12),m_active,1,m_start,"&lt;"&amp;1020,m_end,"&gt;"&amp;960),INDEX(m_label,_xlfn.MAXIFS(m_row,m_teacher,R$4,m_date,($G$2+12),m_active,1,m_start,"&lt;"&amp;1020,m_end,"&gt;"&amp;960))))))</f>
        <v/>
      </c>
      <c r="S67" s="88" t="str">
        <f aca="false">IF(OR(S$4="",MONTH(($G$2+12))&lt;&gt;MONTH($C$2)),"",IF(COUNTIFS(m_teacher,S$4,m_date,($G$2+12),m_active,1,m_start,"&lt;"&amp;1020,m_end,"&gt;"&amp;960)=0,"",IF(COUNTIFS(m_teacher,S$4,m_date,($G$2+12),m_active,1,m_start,"&lt;"&amp;1020,m_end,"&gt;"&amp;960)&gt;1,"충돌",HYPERLINK("#'관리자_MASTER'!D"&amp;_xlfn.MAXIFS(m_row,m_teacher,S$4,m_date,($G$2+12),m_active,1,m_start,"&lt;"&amp;1020,m_end,"&gt;"&amp;960),INDEX(m_label,_xlfn.MAXIFS(m_row,m_teacher,S$4,m_date,($G$2+12),m_active,1,m_start,"&lt;"&amp;1020,m_end,"&gt;"&amp;960))))))</f>
        <v/>
      </c>
      <c r="T67" s="88" t="str">
        <f aca="false">IF(OR(T$4="",MONTH(($G$2+12))&lt;&gt;MONTH($C$2)),"",IF(COUNTIFS(m_teacher,T$4,m_date,($G$2+12),m_active,1,m_start,"&lt;"&amp;1020,m_end,"&gt;"&amp;960)=0,"",IF(COUNTIFS(m_teacher,T$4,m_date,($G$2+12),m_active,1,m_start,"&lt;"&amp;1020,m_end,"&gt;"&amp;960)&gt;1,"충돌",HYPERLINK("#'관리자_MASTER'!D"&amp;_xlfn.MAXIFS(m_row,m_teacher,T$4,m_date,($G$2+12),m_active,1,m_start,"&lt;"&amp;1020,m_end,"&gt;"&amp;960),INDEX(m_label,_xlfn.MAXIFS(m_row,m_teacher,T$4,m_date,($G$2+12),m_active,1,m_start,"&lt;"&amp;1020,m_end,"&gt;"&amp;960))))))</f>
        <v/>
      </c>
      <c r="U67" s="88" t="str">
        <f aca="false">IF(OR(U$4="",MONTH(($G$2+12))&lt;&gt;MONTH($C$2)),"",IF(COUNTIFS(m_teacher,U$4,m_date,($G$2+12),m_active,1,m_start,"&lt;"&amp;1020,m_end,"&gt;"&amp;960)=0,"",IF(COUNTIFS(m_teacher,U$4,m_date,($G$2+12),m_active,1,m_start,"&lt;"&amp;1020,m_end,"&gt;"&amp;960)&gt;1,"충돌",HYPERLINK("#'관리자_MASTER'!D"&amp;_xlfn.MAXIFS(m_row,m_teacher,U$4,m_date,($G$2+12),m_active,1,m_start,"&lt;"&amp;1020,m_end,"&gt;"&amp;960),INDEX(m_label,_xlfn.MAXIFS(m_row,m_teacher,U$4,m_date,($G$2+12),m_active,1,m_start,"&lt;"&amp;1020,m_end,"&gt;"&amp;960))))))</f>
        <v/>
      </c>
      <c r="V67" s="88" t="str">
        <f aca="false">IF(OR(V$4="",MONTH(($G$2+12))&lt;&gt;MONTH($C$2)),"",IF(COUNTIFS(m_teacher,V$4,m_date,($G$2+12),m_active,1,m_start,"&lt;"&amp;1020,m_end,"&gt;"&amp;960)=0,"",IF(COUNTIFS(m_teacher,V$4,m_date,($G$2+12),m_active,1,m_start,"&lt;"&amp;1020,m_end,"&gt;"&amp;960)&gt;1,"충돌",HYPERLINK("#'관리자_MASTER'!D"&amp;_xlfn.MAXIFS(m_row,m_teacher,V$4,m_date,($G$2+12),m_active,1,m_start,"&lt;"&amp;1020,m_end,"&gt;"&amp;960),INDEX(m_label,_xlfn.MAXIFS(m_row,m_teacher,V$4,m_date,($G$2+12),m_active,1,m_start,"&lt;"&amp;1020,m_end,"&gt;"&amp;960))))))</f>
        <v/>
      </c>
      <c r="W67" s="88" t="str">
        <f aca="false">IF(OR(W$4="",MONTH(($G$2+12))&lt;&gt;MONTH($C$2)),"",IF(COUNTIFS(m_teacher,W$4,m_date,($G$2+12),m_active,1,m_start,"&lt;"&amp;1020,m_end,"&gt;"&amp;960)=0,"",IF(COUNTIFS(m_teacher,W$4,m_date,($G$2+12),m_active,1,m_start,"&lt;"&amp;1020,m_end,"&gt;"&amp;960)&gt;1,"충돌",HYPERLINK("#'관리자_MASTER'!D"&amp;_xlfn.MAXIFS(m_row,m_teacher,W$4,m_date,($G$2+12),m_active,1,m_start,"&lt;"&amp;1020,m_end,"&gt;"&amp;960),INDEX(m_label,_xlfn.MAXIFS(m_row,m_teacher,W$4,m_date,($G$2+12),m_active,1,m_start,"&lt;"&amp;1020,m_end,"&gt;"&amp;960))))))</f>
        <v/>
      </c>
      <c r="X67" s="88" t="str">
        <f aca="false">IF(OR(X$4="",MONTH(($G$2+12))&lt;&gt;MONTH($C$2)),"",IF(COUNTIFS(m_teacher,X$4,m_date,($G$2+12),m_active,1,m_start,"&lt;"&amp;1020,m_end,"&gt;"&amp;960)=0,"",IF(COUNTIFS(m_teacher,X$4,m_date,($G$2+12),m_active,1,m_start,"&lt;"&amp;1020,m_end,"&gt;"&amp;960)&gt;1,"충돌",HYPERLINK("#'관리자_MASTER'!D"&amp;_xlfn.MAXIFS(m_row,m_teacher,X$4,m_date,($G$2+12),m_active,1,m_start,"&lt;"&amp;1020,m_end,"&gt;"&amp;960),INDEX(m_label,_xlfn.MAXIFS(m_row,m_teacher,X$4,m_date,($G$2+12),m_active,1,m_start,"&lt;"&amp;1020,m_end,"&gt;"&amp;960))))))</f>
        <v/>
      </c>
      <c r="Y67" s="88" t="str">
        <f aca="false">IF(OR(Y$4="",MONTH(($G$2+12))&lt;&gt;MONTH($C$2)),"",IF(COUNTIFS(m_teacher,Y$4,m_date,($G$2+12),m_active,1,m_start,"&lt;"&amp;1020,m_end,"&gt;"&amp;960)=0,"",IF(COUNTIFS(m_teacher,Y$4,m_date,($G$2+12),m_active,1,m_start,"&lt;"&amp;1020,m_end,"&gt;"&amp;960)&gt;1,"충돌",HYPERLINK("#'관리자_MASTER'!D"&amp;_xlfn.MAXIFS(m_row,m_teacher,Y$4,m_date,($G$2+12),m_active,1,m_start,"&lt;"&amp;1020,m_end,"&gt;"&amp;960),INDEX(m_label,_xlfn.MAXIFS(m_row,m_teacher,Y$4,m_date,($G$2+12),m_active,1,m_start,"&lt;"&amp;1020,m_end,"&gt;"&amp;960))))))</f>
        <v/>
      </c>
      <c r="Z67" s="88" t="str">
        <f aca="false">IF(OR(Z$4="",MONTH(($G$2+12))&lt;&gt;MONTH($C$2)),"",IF(COUNTIFS(m_teacher,Z$4,m_date,($G$2+12),m_active,1,m_start,"&lt;"&amp;1020,m_end,"&gt;"&amp;960)=0,"",IF(COUNTIFS(m_teacher,Z$4,m_date,($G$2+12),m_active,1,m_start,"&lt;"&amp;1020,m_end,"&gt;"&amp;960)&gt;1,"충돌",HYPERLINK("#'관리자_MASTER'!D"&amp;_xlfn.MAXIFS(m_row,m_teacher,Z$4,m_date,($G$2+12),m_active,1,m_start,"&lt;"&amp;1020,m_end,"&gt;"&amp;960),INDEX(m_label,_xlfn.MAXIFS(m_row,m_teacher,Z$4,m_date,($G$2+12),m_active,1,m_start,"&lt;"&amp;1020,m_end,"&gt;"&amp;960))))))</f>
        <v/>
      </c>
      <c r="AA67" s="88" t="str">
        <f aca="false">IF(OR(AA$4="",MONTH(($G$2+12))&lt;&gt;MONTH($C$2)),"",IF(COUNTIFS(m_teacher,AA$4,m_date,($G$2+12),m_active,1,m_start,"&lt;"&amp;1020,m_end,"&gt;"&amp;960)=0,"",IF(COUNTIFS(m_teacher,AA$4,m_date,($G$2+12),m_active,1,m_start,"&lt;"&amp;1020,m_end,"&gt;"&amp;960)&gt;1,"충돌",HYPERLINK("#'관리자_MASTER'!D"&amp;_xlfn.MAXIFS(m_row,m_teacher,AA$4,m_date,($G$2+12),m_active,1,m_start,"&lt;"&amp;1020,m_end,"&gt;"&amp;960),INDEX(m_label,_xlfn.MAXIFS(m_row,m_teacher,AA$4,m_date,($G$2+12),m_active,1,m_start,"&lt;"&amp;1020,m_end,"&gt;"&amp;960))))))</f>
        <v/>
      </c>
      <c r="AB67" s="88" t="str">
        <f aca="false">IF(OR(AB$4="",MONTH(($G$2+12))&lt;&gt;MONTH($C$2)),"",IF(COUNTIFS(m_teacher,AB$4,m_date,($G$2+12),m_active,1,m_start,"&lt;"&amp;1020,m_end,"&gt;"&amp;960)=0,"",IF(COUNTIFS(m_teacher,AB$4,m_date,($G$2+12),m_active,1,m_start,"&lt;"&amp;1020,m_end,"&gt;"&amp;960)&gt;1,"충돌",HYPERLINK("#'관리자_MASTER'!D"&amp;_xlfn.MAXIFS(m_row,m_teacher,AB$4,m_date,($G$2+12),m_active,1,m_start,"&lt;"&amp;1020,m_end,"&gt;"&amp;960),INDEX(m_label,_xlfn.MAXIFS(m_row,m_teacher,AB$4,m_date,($G$2+12),m_active,1,m_start,"&lt;"&amp;1020,m_end,"&gt;"&amp;960))))))</f>
        <v/>
      </c>
      <c r="AC67" s="90"/>
      <c r="AD67" s="79" t="s">
        <v>98</v>
      </c>
      <c r="AE67" s="88" t="str">
        <f aca="false">IF(OR(AE$4="",MONTH(($G$2+19))&lt;&gt;MONTH($C$2)),"",IF(COUNTIFS(m_teacher,AE$4,m_date,($G$2+19),m_active,1,m_start,"&lt;"&amp;1020,m_end,"&gt;"&amp;960)=0,"",IF(COUNTIFS(m_teacher,AE$4,m_date,($G$2+19),m_active,1,m_start,"&lt;"&amp;1020,m_end,"&gt;"&amp;960)&gt;1,"충돌",HYPERLINK("#'관리자_MASTER'!D"&amp;_xlfn.MAXIFS(m_row,m_teacher,AE$4,m_date,($G$2+19),m_active,1,m_start,"&lt;"&amp;1020,m_end,"&gt;"&amp;960),INDEX(m_label,_xlfn.MAXIFS(m_row,m_teacher,AE$4,m_date,($G$2+19),m_active,1,m_start,"&lt;"&amp;1020,m_end,"&gt;"&amp;960))))))</f>
        <v/>
      </c>
      <c r="AF67" s="88" t="str">
        <f aca="false">IF(OR(AF$4="",MONTH(($G$2+19))&lt;&gt;MONTH($C$2)),"",IF(COUNTIFS(m_teacher,AF$4,m_date,($G$2+19),m_active,1,m_start,"&lt;"&amp;1020,m_end,"&gt;"&amp;960)=0,"",IF(COUNTIFS(m_teacher,AF$4,m_date,($G$2+19),m_active,1,m_start,"&lt;"&amp;1020,m_end,"&gt;"&amp;960)&gt;1,"충돌",HYPERLINK("#'관리자_MASTER'!D"&amp;_xlfn.MAXIFS(m_row,m_teacher,AF$4,m_date,($G$2+19),m_active,1,m_start,"&lt;"&amp;1020,m_end,"&gt;"&amp;960),INDEX(m_label,_xlfn.MAXIFS(m_row,m_teacher,AF$4,m_date,($G$2+19),m_active,1,m_start,"&lt;"&amp;1020,m_end,"&gt;"&amp;960))))))</f>
        <v/>
      </c>
      <c r="AG67" s="88" t="str">
        <f aca="false">IF(OR(AG$4="",MONTH(($G$2+19))&lt;&gt;MONTH($C$2)),"",IF(COUNTIFS(m_teacher,AG$4,m_date,($G$2+19),m_active,1,m_start,"&lt;"&amp;1020,m_end,"&gt;"&amp;960)=0,"",IF(COUNTIFS(m_teacher,AG$4,m_date,($G$2+19),m_active,1,m_start,"&lt;"&amp;1020,m_end,"&gt;"&amp;960)&gt;1,"충돌",HYPERLINK("#'관리자_MASTER'!D"&amp;_xlfn.MAXIFS(m_row,m_teacher,AG$4,m_date,($G$2+19),m_active,1,m_start,"&lt;"&amp;1020,m_end,"&gt;"&amp;960),INDEX(m_label,_xlfn.MAXIFS(m_row,m_teacher,AG$4,m_date,($G$2+19),m_active,1,m_start,"&lt;"&amp;1020,m_end,"&gt;"&amp;960))))))</f>
        <v/>
      </c>
      <c r="AH67" s="88" t="str">
        <f aca="false">IF(OR(AH$4="",MONTH(($G$2+19))&lt;&gt;MONTH($C$2)),"",IF(COUNTIFS(m_teacher,AH$4,m_date,($G$2+19),m_active,1,m_start,"&lt;"&amp;1020,m_end,"&gt;"&amp;960)=0,"",IF(COUNTIFS(m_teacher,AH$4,m_date,($G$2+19),m_active,1,m_start,"&lt;"&amp;1020,m_end,"&gt;"&amp;960)&gt;1,"충돌",HYPERLINK("#'관리자_MASTER'!D"&amp;_xlfn.MAXIFS(m_row,m_teacher,AH$4,m_date,($G$2+19),m_active,1,m_start,"&lt;"&amp;1020,m_end,"&gt;"&amp;960),INDEX(m_label,_xlfn.MAXIFS(m_row,m_teacher,AH$4,m_date,($G$2+19),m_active,1,m_start,"&lt;"&amp;1020,m_end,"&gt;"&amp;960))))))</f>
        <v/>
      </c>
      <c r="AI67" s="88" t="str">
        <f aca="false">IF(OR(AI$4="",MONTH(($G$2+19))&lt;&gt;MONTH($C$2)),"",IF(COUNTIFS(m_teacher,AI$4,m_date,($G$2+19),m_active,1,m_start,"&lt;"&amp;1020,m_end,"&gt;"&amp;960)=0,"",IF(COUNTIFS(m_teacher,AI$4,m_date,($G$2+19),m_active,1,m_start,"&lt;"&amp;1020,m_end,"&gt;"&amp;960)&gt;1,"충돌",HYPERLINK("#'관리자_MASTER'!D"&amp;_xlfn.MAXIFS(m_row,m_teacher,AI$4,m_date,($G$2+19),m_active,1,m_start,"&lt;"&amp;1020,m_end,"&gt;"&amp;960),INDEX(m_label,_xlfn.MAXIFS(m_row,m_teacher,AI$4,m_date,($G$2+19),m_active,1,m_start,"&lt;"&amp;1020,m_end,"&gt;"&amp;960))))))</f>
        <v/>
      </c>
      <c r="AJ67" s="88" t="str">
        <f aca="false">IF(OR(AJ$4="",MONTH(($G$2+19))&lt;&gt;MONTH($C$2)),"",IF(COUNTIFS(m_teacher,AJ$4,m_date,($G$2+19),m_active,1,m_start,"&lt;"&amp;1020,m_end,"&gt;"&amp;960)=0,"",IF(COUNTIFS(m_teacher,AJ$4,m_date,($G$2+19),m_active,1,m_start,"&lt;"&amp;1020,m_end,"&gt;"&amp;960)&gt;1,"충돌",HYPERLINK("#'관리자_MASTER'!D"&amp;_xlfn.MAXIFS(m_row,m_teacher,AJ$4,m_date,($G$2+19),m_active,1,m_start,"&lt;"&amp;1020,m_end,"&gt;"&amp;960),INDEX(m_label,_xlfn.MAXIFS(m_row,m_teacher,AJ$4,m_date,($G$2+19),m_active,1,m_start,"&lt;"&amp;1020,m_end,"&gt;"&amp;960))))))</f>
        <v/>
      </c>
      <c r="AK67" s="88" t="str">
        <f aca="false">IF(OR(AK$4="",MONTH(($G$2+19))&lt;&gt;MONTH($C$2)),"",IF(COUNTIFS(m_teacher,AK$4,m_date,($G$2+19),m_active,1,m_start,"&lt;"&amp;1020,m_end,"&gt;"&amp;960)=0,"",IF(COUNTIFS(m_teacher,AK$4,m_date,($G$2+19),m_active,1,m_start,"&lt;"&amp;1020,m_end,"&gt;"&amp;960)&gt;1,"충돌",HYPERLINK("#'관리자_MASTER'!D"&amp;_xlfn.MAXIFS(m_row,m_teacher,AK$4,m_date,($G$2+19),m_active,1,m_start,"&lt;"&amp;1020,m_end,"&gt;"&amp;960),INDEX(m_label,_xlfn.MAXIFS(m_row,m_teacher,AK$4,m_date,($G$2+19),m_active,1,m_start,"&lt;"&amp;1020,m_end,"&gt;"&amp;960))))))</f>
        <v/>
      </c>
      <c r="AL67" s="88" t="str">
        <f aca="false">IF(OR(AL$4="",MONTH(($G$2+19))&lt;&gt;MONTH($C$2)),"",IF(COUNTIFS(m_teacher,AL$4,m_date,($G$2+19),m_active,1,m_start,"&lt;"&amp;1020,m_end,"&gt;"&amp;960)=0,"",IF(COUNTIFS(m_teacher,AL$4,m_date,($G$2+19),m_active,1,m_start,"&lt;"&amp;1020,m_end,"&gt;"&amp;960)&gt;1,"충돌",HYPERLINK("#'관리자_MASTER'!D"&amp;_xlfn.MAXIFS(m_row,m_teacher,AL$4,m_date,($G$2+19),m_active,1,m_start,"&lt;"&amp;1020,m_end,"&gt;"&amp;960),INDEX(m_label,_xlfn.MAXIFS(m_row,m_teacher,AL$4,m_date,($G$2+19),m_active,1,m_start,"&lt;"&amp;1020,m_end,"&gt;"&amp;960))))))</f>
        <v/>
      </c>
      <c r="AM67" s="88" t="str">
        <f aca="false">IF(OR(AM$4="",MONTH(($G$2+19))&lt;&gt;MONTH($C$2)),"",IF(COUNTIFS(m_teacher,AM$4,m_date,($G$2+19),m_active,1,m_start,"&lt;"&amp;1020,m_end,"&gt;"&amp;960)=0,"",IF(COUNTIFS(m_teacher,AM$4,m_date,($G$2+19),m_active,1,m_start,"&lt;"&amp;1020,m_end,"&gt;"&amp;960)&gt;1,"충돌",HYPERLINK("#'관리자_MASTER'!D"&amp;_xlfn.MAXIFS(m_row,m_teacher,AM$4,m_date,($G$2+19),m_active,1,m_start,"&lt;"&amp;1020,m_end,"&gt;"&amp;960),INDEX(m_label,_xlfn.MAXIFS(m_row,m_teacher,AM$4,m_date,($G$2+19),m_active,1,m_start,"&lt;"&amp;1020,m_end,"&gt;"&amp;960))))))</f>
        <v/>
      </c>
      <c r="AN67" s="88" t="str">
        <f aca="false">IF(OR(AN$4="",MONTH(($G$2+19))&lt;&gt;MONTH($C$2)),"",IF(COUNTIFS(m_teacher,AN$4,m_date,($G$2+19),m_active,1,m_start,"&lt;"&amp;1020,m_end,"&gt;"&amp;960)=0,"",IF(COUNTIFS(m_teacher,AN$4,m_date,($G$2+19),m_active,1,m_start,"&lt;"&amp;1020,m_end,"&gt;"&amp;960)&gt;1,"충돌",HYPERLINK("#'관리자_MASTER'!D"&amp;_xlfn.MAXIFS(m_row,m_teacher,AN$4,m_date,($G$2+19),m_active,1,m_start,"&lt;"&amp;1020,m_end,"&gt;"&amp;960),INDEX(m_label,_xlfn.MAXIFS(m_row,m_teacher,AN$4,m_date,($G$2+19),m_active,1,m_start,"&lt;"&amp;1020,m_end,"&gt;"&amp;960))))))</f>
        <v/>
      </c>
      <c r="AO67" s="88" t="str">
        <f aca="false">IF(OR(AO$4="",MONTH(($G$2+19))&lt;&gt;MONTH($C$2)),"",IF(COUNTIFS(m_teacher,AO$4,m_date,($G$2+19),m_active,1,m_start,"&lt;"&amp;1020,m_end,"&gt;"&amp;960)=0,"",IF(COUNTIFS(m_teacher,AO$4,m_date,($G$2+19),m_active,1,m_start,"&lt;"&amp;1020,m_end,"&gt;"&amp;960)&gt;1,"충돌",HYPERLINK("#'관리자_MASTER'!D"&amp;_xlfn.MAXIFS(m_row,m_teacher,AO$4,m_date,($G$2+19),m_active,1,m_start,"&lt;"&amp;1020,m_end,"&gt;"&amp;960),INDEX(m_label,_xlfn.MAXIFS(m_row,m_teacher,AO$4,m_date,($G$2+19),m_active,1,m_start,"&lt;"&amp;1020,m_end,"&gt;"&amp;960))))))</f>
        <v/>
      </c>
      <c r="AP67" s="88" t="str">
        <f aca="false">IF(OR(AP$4="",MONTH(($G$2+19))&lt;&gt;MONTH($C$2)),"",IF(COUNTIFS(m_teacher,AP$4,m_date,($G$2+19),m_active,1,m_start,"&lt;"&amp;1020,m_end,"&gt;"&amp;960)=0,"",IF(COUNTIFS(m_teacher,AP$4,m_date,($G$2+19),m_active,1,m_start,"&lt;"&amp;1020,m_end,"&gt;"&amp;960)&gt;1,"충돌",HYPERLINK("#'관리자_MASTER'!D"&amp;_xlfn.MAXIFS(m_row,m_teacher,AP$4,m_date,($G$2+19),m_active,1,m_start,"&lt;"&amp;1020,m_end,"&gt;"&amp;960),INDEX(m_label,_xlfn.MAXIFS(m_row,m_teacher,AP$4,m_date,($G$2+19),m_active,1,m_start,"&lt;"&amp;1020,m_end,"&gt;"&amp;960))))))</f>
        <v/>
      </c>
      <c r="AQ67" s="90"/>
      <c r="AR67" s="79" t="s">
        <v>98</v>
      </c>
      <c r="AS67" s="88" t="str">
        <f aca="false">IF(OR(AS$4="",MONTH(($G$2+26))&lt;&gt;MONTH($C$2)),"",IF(COUNTIFS(m_teacher,AS$4,m_date,($G$2+26),m_active,1,m_start,"&lt;"&amp;1020,m_end,"&gt;"&amp;960)=0,"",IF(COUNTIFS(m_teacher,AS$4,m_date,($G$2+26),m_active,1,m_start,"&lt;"&amp;1020,m_end,"&gt;"&amp;960)&gt;1,"충돌",HYPERLINK("#'관리자_MASTER'!D"&amp;_xlfn.MAXIFS(m_row,m_teacher,AS$4,m_date,($G$2+26),m_active,1,m_start,"&lt;"&amp;1020,m_end,"&gt;"&amp;960),INDEX(m_label,_xlfn.MAXIFS(m_row,m_teacher,AS$4,m_date,($G$2+26),m_active,1,m_start,"&lt;"&amp;1020,m_end,"&gt;"&amp;960))))))</f>
        <v/>
      </c>
      <c r="AT67" s="88" t="str">
        <f aca="false">IF(OR(AT$4="",MONTH(($G$2+26))&lt;&gt;MONTH($C$2)),"",IF(COUNTIFS(m_teacher,AT$4,m_date,($G$2+26),m_active,1,m_start,"&lt;"&amp;1020,m_end,"&gt;"&amp;960)=0,"",IF(COUNTIFS(m_teacher,AT$4,m_date,($G$2+26),m_active,1,m_start,"&lt;"&amp;1020,m_end,"&gt;"&amp;960)&gt;1,"충돌",HYPERLINK("#'관리자_MASTER'!D"&amp;_xlfn.MAXIFS(m_row,m_teacher,AT$4,m_date,($G$2+26),m_active,1,m_start,"&lt;"&amp;1020,m_end,"&gt;"&amp;960),INDEX(m_label,_xlfn.MAXIFS(m_row,m_teacher,AT$4,m_date,($G$2+26),m_active,1,m_start,"&lt;"&amp;1020,m_end,"&gt;"&amp;960))))))</f>
        <v/>
      </c>
      <c r="AU67" s="88" t="str">
        <f aca="false">IF(OR(AU$4="",MONTH(($G$2+26))&lt;&gt;MONTH($C$2)),"",IF(COUNTIFS(m_teacher,AU$4,m_date,($G$2+26),m_active,1,m_start,"&lt;"&amp;1020,m_end,"&gt;"&amp;960)=0,"",IF(COUNTIFS(m_teacher,AU$4,m_date,($G$2+26),m_active,1,m_start,"&lt;"&amp;1020,m_end,"&gt;"&amp;960)&gt;1,"충돌",HYPERLINK("#'관리자_MASTER'!D"&amp;_xlfn.MAXIFS(m_row,m_teacher,AU$4,m_date,($G$2+26),m_active,1,m_start,"&lt;"&amp;1020,m_end,"&gt;"&amp;960),INDEX(m_label,_xlfn.MAXIFS(m_row,m_teacher,AU$4,m_date,($G$2+26),m_active,1,m_start,"&lt;"&amp;1020,m_end,"&gt;"&amp;960))))))</f>
        <v/>
      </c>
      <c r="AV67" s="88" t="str">
        <f aca="false">IF(OR(AV$4="",MONTH(($G$2+26))&lt;&gt;MONTH($C$2)),"",IF(COUNTIFS(m_teacher,AV$4,m_date,($G$2+26),m_active,1,m_start,"&lt;"&amp;1020,m_end,"&gt;"&amp;960)=0,"",IF(COUNTIFS(m_teacher,AV$4,m_date,($G$2+26),m_active,1,m_start,"&lt;"&amp;1020,m_end,"&gt;"&amp;960)&gt;1,"충돌",HYPERLINK("#'관리자_MASTER'!D"&amp;_xlfn.MAXIFS(m_row,m_teacher,AV$4,m_date,($G$2+26),m_active,1,m_start,"&lt;"&amp;1020,m_end,"&gt;"&amp;960),INDEX(m_label,_xlfn.MAXIFS(m_row,m_teacher,AV$4,m_date,($G$2+26),m_active,1,m_start,"&lt;"&amp;1020,m_end,"&gt;"&amp;960))))))</f>
        <v/>
      </c>
      <c r="AW67" s="88" t="str">
        <f aca="false">IF(OR(AW$4="",MONTH(($G$2+26))&lt;&gt;MONTH($C$2)),"",IF(COUNTIFS(m_teacher,AW$4,m_date,($G$2+26),m_active,1,m_start,"&lt;"&amp;1020,m_end,"&gt;"&amp;960)=0,"",IF(COUNTIFS(m_teacher,AW$4,m_date,($G$2+26),m_active,1,m_start,"&lt;"&amp;1020,m_end,"&gt;"&amp;960)&gt;1,"충돌",HYPERLINK("#'관리자_MASTER'!D"&amp;_xlfn.MAXIFS(m_row,m_teacher,AW$4,m_date,($G$2+26),m_active,1,m_start,"&lt;"&amp;1020,m_end,"&gt;"&amp;960),INDEX(m_label,_xlfn.MAXIFS(m_row,m_teacher,AW$4,m_date,($G$2+26),m_active,1,m_start,"&lt;"&amp;1020,m_end,"&gt;"&amp;960))))))</f>
        <v/>
      </c>
      <c r="AX67" s="88" t="str">
        <f aca="false">IF(OR(AX$4="",MONTH(($G$2+26))&lt;&gt;MONTH($C$2)),"",IF(COUNTIFS(m_teacher,AX$4,m_date,($G$2+26),m_active,1,m_start,"&lt;"&amp;1020,m_end,"&gt;"&amp;960)=0,"",IF(COUNTIFS(m_teacher,AX$4,m_date,($G$2+26),m_active,1,m_start,"&lt;"&amp;1020,m_end,"&gt;"&amp;960)&gt;1,"충돌",HYPERLINK("#'관리자_MASTER'!D"&amp;_xlfn.MAXIFS(m_row,m_teacher,AX$4,m_date,($G$2+26),m_active,1,m_start,"&lt;"&amp;1020,m_end,"&gt;"&amp;960),INDEX(m_label,_xlfn.MAXIFS(m_row,m_teacher,AX$4,m_date,($G$2+26),m_active,1,m_start,"&lt;"&amp;1020,m_end,"&gt;"&amp;960))))))</f>
        <v/>
      </c>
      <c r="AY67" s="88" t="str">
        <f aca="false">IF(OR(AY$4="",MONTH(($G$2+26))&lt;&gt;MONTH($C$2)),"",IF(COUNTIFS(m_teacher,AY$4,m_date,($G$2+26),m_active,1,m_start,"&lt;"&amp;1020,m_end,"&gt;"&amp;960)=0,"",IF(COUNTIFS(m_teacher,AY$4,m_date,($G$2+26),m_active,1,m_start,"&lt;"&amp;1020,m_end,"&gt;"&amp;960)&gt;1,"충돌",HYPERLINK("#'관리자_MASTER'!D"&amp;_xlfn.MAXIFS(m_row,m_teacher,AY$4,m_date,($G$2+26),m_active,1,m_start,"&lt;"&amp;1020,m_end,"&gt;"&amp;960),INDEX(m_label,_xlfn.MAXIFS(m_row,m_teacher,AY$4,m_date,($G$2+26),m_active,1,m_start,"&lt;"&amp;1020,m_end,"&gt;"&amp;960))))))</f>
        <v/>
      </c>
      <c r="AZ67" s="88" t="str">
        <f aca="false">IF(OR(AZ$4="",MONTH(($G$2+26))&lt;&gt;MONTH($C$2)),"",IF(COUNTIFS(m_teacher,AZ$4,m_date,($G$2+26),m_active,1,m_start,"&lt;"&amp;1020,m_end,"&gt;"&amp;960)=0,"",IF(COUNTIFS(m_teacher,AZ$4,m_date,($G$2+26),m_active,1,m_start,"&lt;"&amp;1020,m_end,"&gt;"&amp;960)&gt;1,"충돌",HYPERLINK("#'관리자_MASTER'!D"&amp;_xlfn.MAXIFS(m_row,m_teacher,AZ$4,m_date,($G$2+26),m_active,1,m_start,"&lt;"&amp;1020,m_end,"&gt;"&amp;960),INDEX(m_label,_xlfn.MAXIFS(m_row,m_teacher,AZ$4,m_date,($G$2+26),m_active,1,m_start,"&lt;"&amp;1020,m_end,"&gt;"&amp;960))))))</f>
        <v/>
      </c>
      <c r="BA67" s="88" t="str">
        <f aca="false">IF(OR(BA$4="",MONTH(($G$2+26))&lt;&gt;MONTH($C$2)),"",IF(COUNTIFS(m_teacher,BA$4,m_date,($G$2+26),m_active,1,m_start,"&lt;"&amp;1020,m_end,"&gt;"&amp;960)=0,"",IF(COUNTIFS(m_teacher,BA$4,m_date,($G$2+26),m_active,1,m_start,"&lt;"&amp;1020,m_end,"&gt;"&amp;960)&gt;1,"충돌",HYPERLINK("#'관리자_MASTER'!D"&amp;_xlfn.MAXIFS(m_row,m_teacher,BA$4,m_date,($G$2+26),m_active,1,m_start,"&lt;"&amp;1020,m_end,"&gt;"&amp;960),INDEX(m_label,_xlfn.MAXIFS(m_row,m_teacher,BA$4,m_date,($G$2+26),m_active,1,m_start,"&lt;"&amp;1020,m_end,"&gt;"&amp;960))))))</f>
        <v/>
      </c>
      <c r="BB67" s="88" t="str">
        <f aca="false">IF(OR(BB$4="",MONTH(($G$2+26))&lt;&gt;MONTH($C$2)),"",IF(COUNTIFS(m_teacher,BB$4,m_date,($G$2+26),m_active,1,m_start,"&lt;"&amp;1020,m_end,"&gt;"&amp;960)=0,"",IF(COUNTIFS(m_teacher,BB$4,m_date,($G$2+26),m_active,1,m_start,"&lt;"&amp;1020,m_end,"&gt;"&amp;960)&gt;1,"충돌",HYPERLINK("#'관리자_MASTER'!D"&amp;_xlfn.MAXIFS(m_row,m_teacher,BB$4,m_date,($G$2+26),m_active,1,m_start,"&lt;"&amp;1020,m_end,"&gt;"&amp;960),INDEX(m_label,_xlfn.MAXIFS(m_row,m_teacher,BB$4,m_date,($G$2+26),m_active,1,m_start,"&lt;"&amp;1020,m_end,"&gt;"&amp;960))))))</f>
        <v/>
      </c>
      <c r="BC67" s="88" t="str">
        <f aca="false">IF(OR(BC$4="",MONTH(($G$2+26))&lt;&gt;MONTH($C$2)),"",IF(COUNTIFS(m_teacher,BC$4,m_date,($G$2+26),m_active,1,m_start,"&lt;"&amp;1020,m_end,"&gt;"&amp;960)=0,"",IF(COUNTIFS(m_teacher,BC$4,m_date,($G$2+26),m_active,1,m_start,"&lt;"&amp;1020,m_end,"&gt;"&amp;960)&gt;1,"충돌",HYPERLINK("#'관리자_MASTER'!D"&amp;_xlfn.MAXIFS(m_row,m_teacher,BC$4,m_date,($G$2+26),m_active,1,m_start,"&lt;"&amp;1020,m_end,"&gt;"&amp;960),INDEX(m_label,_xlfn.MAXIFS(m_row,m_teacher,BC$4,m_date,($G$2+26),m_active,1,m_start,"&lt;"&amp;1020,m_end,"&gt;"&amp;960))))))</f>
        <v/>
      </c>
      <c r="BD67" s="88" t="str">
        <f aca="false">IF(OR(BD$4="",MONTH(($G$2+26))&lt;&gt;MONTH($C$2)),"",IF(COUNTIFS(m_teacher,BD$4,m_date,($G$2+26),m_active,1,m_start,"&lt;"&amp;1020,m_end,"&gt;"&amp;960)=0,"",IF(COUNTIFS(m_teacher,BD$4,m_date,($G$2+26),m_active,1,m_start,"&lt;"&amp;1020,m_end,"&gt;"&amp;960)&gt;1,"충돌",HYPERLINK("#'관리자_MASTER'!D"&amp;_xlfn.MAXIFS(m_row,m_teacher,BD$4,m_date,($G$2+26),m_active,1,m_start,"&lt;"&amp;1020,m_end,"&gt;"&amp;960),INDEX(m_label,_xlfn.MAXIFS(m_row,m_teacher,BD$4,m_date,($G$2+26),m_active,1,m_start,"&lt;"&amp;1020,m_end,"&gt;"&amp;960))))))</f>
        <v/>
      </c>
    </row>
    <row r="68" customFormat="false" ht="19.5" hidden="false" customHeight="true" outlineLevel="0" collapsed="false">
      <c r="A68" s="90"/>
      <c r="B68" s="79" t="s">
        <v>99</v>
      </c>
      <c r="C68" s="88" t="str">
        <f aca="false">IF(OR(C$4="",MONTH(($G$2+5))&lt;&gt;MONTH($C$2)),"",IF(COUNTIFS(m_teacher,C$4,m_date,($G$2+5),m_active,1,m_start,"&lt;"&amp;1080,m_end,"&gt;"&amp;1020)=0,"",IF(COUNTIFS(m_teacher,C$4,m_date,($G$2+5),m_active,1,m_start,"&lt;"&amp;1080,m_end,"&gt;"&amp;1020)&gt;1,"충돌",HYPERLINK("#'관리자_MASTER'!D"&amp;_xlfn.MAXIFS(m_row,m_teacher,C$4,m_date,($G$2+5),m_active,1,m_start,"&lt;"&amp;1080,m_end,"&gt;"&amp;1020),INDEX(m_label,_xlfn.MAXIFS(m_row,m_teacher,C$4,m_date,($G$2+5),m_active,1,m_start,"&lt;"&amp;1080,m_end,"&gt;"&amp;1020))))))</f>
        <v/>
      </c>
      <c r="D68" s="88" t="str">
        <f aca="false">IF(OR(D$4="",MONTH(($G$2+5))&lt;&gt;MONTH($C$2)),"",IF(COUNTIFS(m_teacher,D$4,m_date,($G$2+5),m_active,1,m_start,"&lt;"&amp;1080,m_end,"&gt;"&amp;1020)=0,"",IF(COUNTIFS(m_teacher,D$4,m_date,($G$2+5),m_active,1,m_start,"&lt;"&amp;1080,m_end,"&gt;"&amp;1020)&gt;1,"충돌",HYPERLINK("#'관리자_MASTER'!D"&amp;_xlfn.MAXIFS(m_row,m_teacher,D$4,m_date,($G$2+5),m_active,1,m_start,"&lt;"&amp;1080,m_end,"&gt;"&amp;1020),INDEX(m_label,_xlfn.MAXIFS(m_row,m_teacher,D$4,m_date,($G$2+5),m_active,1,m_start,"&lt;"&amp;1080,m_end,"&gt;"&amp;1020))))))</f>
        <v/>
      </c>
      <c r="E68" s="88" t="str">
        <f aca="false">IF(OR(E$4="",MONTH(($G$2+5))&lt;&gt;MONTH($C$2)),"",IF(COUNTIFS(m_teacher,E$4,m_date,($G$2+5),m_active,1,m_start,"&lt;"&amp;1080,m_end,"&gt;"&amp;1020)=0,"",IF(COUNTIFS(m_teacher,E$4,m_date,($G$2+5),m_active,1,m_start,"&lt;"&amp;1080,m_end,"&gt;"&amp;1020)&gt;1,"충돌",HYPERLINK("#'관리자_MASTER'!D"&amp;_xlfn.MAXIFS(m_row,m_teacher,E$4,m_date,($G$2+5),m_active,1,m_start,"&lt;"&amp;1080,m_end,"&gt;"&amp;1020),INDEX(m_label,_xlfn.MAXIFS(m_row,m_teacher,E$4,m_date,($G$2+5),m_active,1,m_start,"&lt;"&amp;1080,m_end,"&gt;"&amp;1020))))))</f>
        <v/>
      </c>
      <c r="F68" s="88" t="str">
        <f aca="false">IF(OR(F$4="",MONTH(($G$2+5))&lt;&gt;MONTH($C$2)),"",IF(COUNTIFS(m_teacher,F$4,m_date,($G$2+5),m_active,1,m_start,"&lt;"&amp;1080,m_end,"&gt;"&amp;1020)=0,"",IF(COUNTIFS(m_teacher,F$4,m_date,($G$2+5),m_active,1,m_start,"&lt;"&amp;1080,m_end,"&gt;"&amp;1020)&gt;1,"충돌",HYPERLINK("#'관리자_MASTER'!D"&amp;_xlfn.MAXIFS(m_row,m_teacher,F$4,m_date,($G$2+5),m_active,1,m_start,"&lt;"&amp;1080,m_end,"&gt;"&amp;1020),INDEX(m_label,_xlfn.MAXIFS(m_row,m_teacher,F$4,m_date,($G$2+5),m_active,1,m_start,"&lt;"&amp;1080,m_end,"&gt;"&amp;1020))))))</f>
        <v/>
      </c>
      <c r="G68" s="88" t="str">
        <f aca="false">IF(OR(G$4="",MONTH(($G$2+5))&lt;&gt;MONTH($C$2)),"",IF(COUNTIFS(m_teacher,G$4,m_date,($G$2+5),m_active,1,m_start,"&lt;"&amp;1080,m_end,"&gt;"&amp;1020)=0,"",IF(COUNTIFS(m_teacher,G$4,m_date,($G$2+5),m_active,1,m_start,"&lt;"&amp;1080,m_end,"&gt;"&amp;1020)&gt;1,"충돌",HYPERLINK("#'관리자_MASTER'!D"&amp;_xlfn.MAXIFS(m_row,m_teacher,G$4,m_date,($G$2+5),m_active,1,m_start,"&lt;"&amp;1080,m_end,"&gt;"&amp;1020),INDEX(m_label,_xlfn.MAXIFS(m_row,m_teacher,G$4,m_date,($G$2+5),m_active,1,m_start,"&lt;"&amp;1080,m_end,"&gt;"&amp;1020))))))</f>
        <v/>
      </c>
      <c r="H68" s="88" t="str">
        <f aca="false">IF(OR(H$4="",MONTH(($G$2+5))&lt;&gt;MONTH($C$2)),"",IF(COUNTIFS(m_teacher,H$4,m_date,($G$2+5),m_active,1,m_start,"&lt;"&amp;1080,m_end,"&gt;"&amp;1020)=0,"",IF(COUNTIFS(m_teacher,H$4,m_date,($G$2+5),m_active,1,m_start,"&lt;"&amp;1080,m_end,"&gt;"&amp;1020)&gt;1,"충돌",HYPERLINK("#'관리자_MASTER'!D"&amp;_xlfn.MAXIFS(m_row,m_teacher,H$4,m_date,($G$2+5),m_active,1,m_start,"&lt;"&amp;1080,m_end,"&gt;"&amp;1020),INDEX(m_label,_xlfn.MAXIFS(m_row,m_teacher,H$4,m_date,($G$2+5),m_active,1,m_start,"&lt;"&amp;1080,m_end,"&gt;"&amp;1020))))))</f>
        <v/>
      </c>
      <c r="I68" s="88" t="str">
        <f aca="false">IF(OR(I$4="",MONTH(($G$2+5))&lt;&gt;MONTH($C$2)),"",IF(COUNTIFS(m_teacher,I$4,m_date,($G$2+5),m_active,1,m_start,"&lt;"&amp;1080,m_end,"&gt;"&amp;1020)=0,"",IF(COUNTIFS(m_teacher,I$4,m_date,($G$2+5),m_active,1,m_start,"&lt;"&amp;1080,m_end,"&gt;"&amp;1020)&gt;1,"충돌",HYPERLINK("#'관리자_MASTER'!D"&amp;_xlfn.MAXIFS(m_row,m_teacher,I$4,m_date,($G$2+5),m_active,1,m_start,"&lt;"&amp;1080,m_end,"&gt;"&amp;1020),INDEX(m_label,_xlfn.MAXIFS(m_row,m_teacher,I$4,m_date,($G$2+5),m_active,1,m_start,"&lt;"&amp;1080,m_end,"&gt;"&amp;1020))))))</f>
        <v/>
      </c>
      <c r="J68" s="88" t="str">
        <f aca="false">IF(OR(J$4="",MONTH(($G$2+5))&lt;&gt;MONTH($C$2)),"",IF(COUNTIFS(m_teacher,J$4,m_date,($G$2+5),m_active,1,m_start,"&lt;"&amp;1080,m_end,"&gt;"&amp;1020)=0,"",IF(COUNTIFS(m_teacher,J$4,m_date,($G$2+5),m_active,1,m_start,"&lt;"&amp;1080,m_end,"&gt;"&amp;1020)&gt;1,"충돌",HYPERLINK("#'관리자_MASTER'!D"&amp;_xlfn.MAXIFS(m_row,m_teacher,J$4,m_date,($G$2+5),m_active,1,m_start,"&lt;"&amp;1080,m_end,"&gt;"&amp;1020),INDEX(m_label,_xlfn.MAXIFS(m_row,m_teacher,J$4,m_date,($G$2+5),m_active,1,m_start,"&lt;"&amp;1080,m_end,"&gt;"&amp;1020))))))</f>
        <v/>
      </c>
      <c r="K68" s="88" t="str">
        <f aca="false">IF(OR(K$4="",MONTH(($G$2+5))&lt;&gt;MONTH($C$2)),"",IF(COUNTIFS(m_teacher,K$4,m_date,($G$2+5),m_active,1,m_start,"&lt;"&amp;1080,m_end,"&gt;"&amp;1020)=0,"",IF(COUNTIFS(m_teacher,K$4,m_date,($G$2+5),m_active,1,m_start,"&lt;"&amp;1080,m_end,"&gt;"&amp;1020)&gt;1,"충돌",HYPERLINK("#'관리자_MASTER'!D"&amp;_xlfn.MAXIFS(m_row,m_teacher,K$4,m_date,($G$2+5),m_active,1,m_start,"&lt;"&amp;1080,m_end,"&gt;"&amp;1020),INDEX(m_label,_xlfn.MAXIFS(m_row,m_teacher,K$4,m_date,($G$2+5),m_active,1,m_start,"&lt;"&amp;1080,m_end,"&gt;"&amp;1020))))))</f>
        <v/>
      </c>
      <c r="L68" s="88" t="str">
        <f aca="false">IF(OR(L$4="",MONTH(($G$2+5))&lt;&gt;MONTH($C$2)),"",IF(COUNTIFS(m_teacher,L$4,m_date,($G$2+5),m_active,1,m_start,"&lt;"&amp;1080,m_end,"&gt;"&amp;1020)=0,"",IF(COUNTIFS(m_teacher,L$4,m_date,($G$2+5),m_active,1,m_start,"&lt;"&amp;1080,m_end,"&gt;"&amp;1020)&gt;1,"충돌",HYPERLINK("#'관리자_MASTER'!D"&amp;_xlfn.MAXIFS(m_row,m_teacher,L$4,m_date,($G$2+5),m_active,1,m_start,"&lt;"&amp;1080,m_end,"&gt;"&amp;1020),INDEX(m_label,_xlfn.MAXIFS(m_row,m_teacher,L$4,m_date,($G$2+5),m_active,1,m_start,"&lt;"&amp;1080,m_end,"&gt;"&amp;1020))))))</f>
        <v/>
      </c>
      <c r="M68" s="88" t="str">
        <f aca="false">IF(OR(M$4="",MONTH(($G$2+5))&lt;&gt;MONTH($C$2)),"",IF(COUNTIFS(m_teacher,M$4,m_date,($G$2+5),m_active,1,m_start,"&lt;"&amp;1080,m_end,"&gt;"&amp;1020)=0,"",IF(COUNTIFS(m_teacher,M$4,m_date,($G$2+5),m_active,1,m_start,"&lt;"&amp;1080,m_end,"&gt;"&amp;1020)&gt;1,"충돌",HYPERLINK("#'관리자_MASTER'!D"&amp;_xlfn.MAXIFS(m_row,m_teacher,M$4,m_date,($G$2+5),m_active,1,m_start,"&lt;"&amp;1080,m_end,"&gt;"&amp;1020),INDEX(m_label,_xlfn.MAXIFS(m_row,m_teacher,M$4,m_date,($G$2+5),m_active,1,m_start,"&lt;"&amp;1080,m_end,"&gt;"&amp;1020))))))</f>
        <v/>
      </c>
      <c r="N68" s="88" t="str">
        <f aca="false">IF(OR(N$4="",MONTH(($G$2+5))&lt;&gt;MONTH($C$2)),"",IF(COUNTIFS(m_teacher,N$4,m_date,($G$2+5),m_active,1,m_start,"&lt;"&amp;1080,m_end,"&gt;"&amp;1020)=0,"",IF(COUNTIFS(m_teacher,N$4,m_date,($G$2+5),m_active,1,m_start,"&lt;"&amp;1080,m_end,"&gt;"&amp;1020)&gt;1,"충돌",HYPERLINK("#'관리자_MASTER'!D"&amp;_xlfn.MAXIFS(m_row,m_teacher,N$4,m_date,($G$2+5),m_active,1,m_start,"&lt;"&amp;1080,m_end,"&gt;"&amp;1020),INDEX(m_label,_xlfn.MAXIFS(m_row,m_teacher,N$4,m_date,($G$2+5),m_active,1,m_start,"&lt;"&amp;1080,m_end,"&gt;"&amp;1020))))))</f>
        <v/>
      </c>
      <c r="O68" s="90"/>
      <c r="P68" s="79" t="s">
        <v>99</v>
      </c>
      <c r="Q68" s="88" t="str">
        <f aca="false">IF(OR(Q$4="",MONTH(($G$2+12))&lt;&gt;MONTH($C$2)),"",IF(COUNTIFS(m_teacher,Q$4,m_date,($G$2+12),m_active,1,m_start,"&lt;"&amp;1080,m_end,"&gt;"&amp;1020)=0,"",IF(COUNTIFS(m_teacher,Q$4,m_date,($G$2+12),m_active,1,m_start,"&lt;"&amp;1080,m_end,"&gt;"&amp;1020)&gt;1,"충돌",HYPERLINK("#'관리자_MASTER'!D"&amp;_xlfn.MAXIFS(m_row,m_teacher,Q$4,m_date,($G$2+12),m_active,1,m_start,"&lt;"&amp;1080,m_end,"&gt;"&amp;1020),INDEX(m_label,_xlfn.MAXIFS(m_row,m_teacher,Q$4,m_date,($G$2+12),m_active,1,m_start,"&lt;"&amp;1080,m_end,"&gt;"&amp;1020))))))</f>
        <v/>
      </c>
      <c r="R68" s="88" t="str">
        <f aca="false">IF(OR(R$4="",MONTH(($G$2+12))&lt;&gt;MONTH($C$2)),"",IF(COUNTIFS(m_teacher,R$4,m_date,($G$2+12),m_active,1,m_start,"&lt;"&amp;1080,m_end,"&gt;"&amp;1020)=0,"",IF(COUNTIFS(m_teacher,R$4,m_date,($G$2+12),m_active,1,m_start,"&lt;"&amp;1080,m_end,"&gt;"&amp;1020)&gt;1,"충돌",HYPERLINK("#'관리자_MASTER'!D"&amp;_xlfn.MAXIFS(m_row,m_teacher,R$4,m_date,($G$2+12),m_active,1,m_start,"&lt;"&amp;1080,m_end,"&gt;"&amp;1020),INDEX(m_label,_xlfn.MAXIFS(m_row,m_teacher,R$4,m_date,($G$2+12),m_active,1,m_start,"&lt;"&amp;1080,m_end,"&gt;"&amp;1020))))))</f>
        <v/>
      </c>
      <c r="S68" s="88" t="str">
        <f aca="false">IF(OR(S$4="",MONTH(($G$2+12))&lt;&gt;MONTH($C$2)),"",IF(COUNTIFS(m_teacher,S$4,m_date,($G$2+12),m_active,1,m_start,"&lt;"&amp;1080,m_end,"&gt;"&amp;1020)=0,"",IF(COUNTIFS(m_teacher,S$4,m_date,($G$2+12),m_active,1,m_start,"&lt;"&amp;1080,m_end,"&gt;"&amp;1020)&gt;1,"충돌",HYPERLINK("#'관리자_MASTER'!D"&amp;_xlfn.MAXIFS(m_row,m_teacher,S$4,m_date,($G$2+12),m_active,1,m_start,"&lt;"&amp;1080,m_end,"&gt;"&amp;1020),INDEX(m_label,_xlfn.MAXIFS(m_row,m_teacher,S$4,m_date,($G$2+12),m_active,1,m_start,"&lt;"&amp;1080,m_end,"&gt;"&amp;1020))))))</f>
        <v/>
      </c>
      <c r="T68" s="88" t="str">
        <f aca="false">IF(OR(T$4="",MONTH(($G$2+12))&lt;&gt;MONTH($C$2)),"",IF(COUNTIFS(m_teacher,T$4,m_date,($G$2+12),m_active,1,m_start,"&lt;"&amp;1080,m_end,"&gt;"&amp;1020)=0,"",IF(COUNTIFS(m_teacher,T$4,m_date,($G$2+12),m_active,1,m_start,"&lt;"&amp;1080,m_end,"&gt;"&amp;1020)&gt;1,"충돌",HYPERLINK("#'관리자_MASTER'!D"&amp;_xlfn.MAXIFS(m_row,m_teacher,T$4,m_date,($G$2+12),m_active,1,m_start,"&lt;"&amp;1080,m_end,"&gt;"&amp;1020),INDEX(m_label,_xlfn.MAXIFS(m_row,m_teacher,T$4,m_date,($G$2+12),m_active,1,m_start,"&lt;"&amp;1080,m_end,"&gt;"&amp;1020))))))</f>
        <v/>
      </c>
      <c r="U68" s="88" t="str">
        <f aca="false">IF(OR(U$4="",MONTH(($G$2+12))&lt;&gt;MONTH($C$2)),"",IF(COUNTIFS(m_teacher,U$4,m_date,($G$2+12),m_active,1,m_start,"&lt;"&amp;1080,m_end,"&gt;"&amp;1020)=0,"",IF(COUNTIFS(m_teacher,U$4,m_date,($G$2+12),m_active,1,m_start,"&lt;"&amp;1080,m_end,"&gt;"&amp;1020)&gt;1,"충돌",HYPERLINK("#'관리자_MASTER'!D"&amp;_xlfn.MAXIFS(m_row,m_teacher,U$4,m_date,($G$2+12),m_active,1,m_start,"&lt;"&amp;1080,m_end,"&gt;"&amp;1020),INDEX(m_label,_xlfn.MAXIFS(m_row,m_teacher,U$4,m_date,($G$2+12),m_active,1,m_start,"&lt;"&amp;1080,m_end,"&gt;"&amp;1020))))))</f>
        <v/>
      </c>
      <c r="V68" s="88" t="str">
        <f aca="false">IF(OR(V$4="",MONTH(($G$2+12))&lt;&gt;MONTH($C$2)),"",IF(COUNTIFS(m_teacher,V$4,m_date,($G$2+12),m_active,1,m_start,"&lt;"&amp;1080,m_end,"&gt;"&amp;1020)=0,"",IF(COUNTIFS(m_teacher,V$4,m_date,($G$2+12),m_active,1,m_start,"&lt;"&amp;1080,m_end,"&gt;"&amp;1020)&gt;1,"충돌",HYPERLINK("#'관리자_MASTER'!D"&amp;_xlfn.MAXIFS(m_row,m_teacher,V$4,m_date,($G$2+12),m_active,1,m_start,"&lt;"&amp;1080,m_end,"&gt;"&amp;1020),INDEX(m_label,_xlfn.MAXIFS(m_row,m_teacher,V$4,m_date,($G$2+12),m_active,1,m_start,"&lt;"&amp;1080,m_end,"&gt;"&amp;1020))))))</f>
        <v/>
      </c>
      <c r="W68" s="88" t="str">
        <f aca="false">IF(OR(W$4="",MONTH(($G$2+12))&lt;&gt;MONTH($C$2)),"",IF(COUNTIFS(m_teacher,W$4,m_date,($G$2+12),m_active,1,m_start,"&lt;"&amp;1080,m_end,"&gt;"&amp;1020)=0,"",IF(COUNTIFS(m_teacher,W$4,m_date,($G$2+12),m_active,1,m_start,"&lt;"&amp;1080,m_end,"&gt;"&amp;1020)&gt;1,"충돌",HYPERLINK("#'관리자_MASTER'!D"&amp;_xlfn.MAXIFS(m_row,m_teacher,W$4,m_date,($G$2+12),m_active,1,m_start,"&lt;"&amp;1080,m_end,"&gt;"&amp;1020),INDEX(m_label,_xlfn.MAXIFS(m_row,m_teacher,W$4,m_date,($G$2+12),m_active,1,m_start,"&lt;"&amp;1080,m_end,"&gt;"&amp;1020))))))</f>
        <v/>
      </c>
      <c r="X68" s="88" t="str">
        <f aca="false">IF(OR(X$4="",MONTH(($G$2+12))&lt;&gt;MONTH($C$2)),"",IF(COUNTIFS(m_teacher,X$4,m_date,($G$2+12),m_active,1,m_start,"&lt;"&amp;1080,m_end,"&gt;"&amp;1020)=0,"",IF(COUNTIFS(m_teacher,X$4,m_date,($G$2+12),m_active,1,m_start,"&lt;"&amp;1080,m_end,"&gt;"&amp;1020)&gt;1,"충돌",HYPERLINK("#'관리자_MASTER'!D"&amp;_xlfn.MAXIFS(m_row,m_teacher,X$4,m_date,($G$2+12),m_active,1,m_start,"&lt;"&amp;1080,m_end,"&gt;"&amp;1020),INDEX(m_label,_xlfn.MAXIFS(m_row,m_teacher,X$4,m_date,($G$2+12),m_active,1,m_start,"&lt;"&amp;1080,m_end,"&gt;"&amp;1020))))))</f>
        <v/>
      </c>
      <c r="Y68" s="88" t="str">
        <f aca="false">IF(OR(Y$4="",MONTH(($G$2+12))&lt;&gt;MONTH($C$2)),"",IF(COUNTIFS(m_teacher,Y$4,m_date,($G$2+12),m_active,1,m_start,"&lt;"&amp;1080,m_end,"&gt;"&amp;1020)=0,"",IF(COUNTIFS(m_teacher,Y$4,m_date,($G$2+12),m_active,1,m_start,"&lt;"&amp;1080,m_end,"&gt;"&amp;1020)&gt;1,"충돌",HYPERLINK("#'관리자_MASTER'!D"&amp;_xlfn.MAXIFS(m_row,m_teacher,Y$4,m_date,($G$2+12),m_active,1,m_start,"&lt;"&amp;1080,m_end,"&gt;"&amp;1020),INDEX(m_label,_xlfn.MAXIFS(m_row,m_teacher,Y$4,m_date,($G$2+12),m_active,1,m_start,"&lt;"&amp;1080,m_end,"&gt;"&amp;1020))))))</f>
        <v/>
      </c>
      <c r="Z68" s="88" t="str">
        <f aca="false">IF(OR(Z$4="",MONTH(($G$2+12))&lt;&gt;MONTH($C$2)),"",IF(COUNTIFS(m_teacher,Z$4,m_date,($G$2+12),m_active,1,m_start,"&lt;"&amp;1080,m_end,"&gt;"&amp;1020)=0,"",IF(COUNTIFS(m_teacher,Z$4,m_date,($G$2+12),m_active,1,m_start,"&lt;"&amp;1080,m_end,"&gt;"&amp;1020)&gt;1,"충돌",HYPERLINK("#'관리자_MASTER'!D"&amp;_xlfn.MAXIFS(m_row,m_teacher,Z$4,m_date,($G$2+12),m_active,1,m_start,"&lt;"&amp;1080,m_end,"&gt;"&amp;1020),INDEX(m_label,_xlfn.MAXIFS(m_row,m_teacher,Z$4,m_date,($G$2+12),m_active,1,m_start,"&lt;"&amp;1080,m_end,"&gt;"&amp;1020))))))</f>
        <v/>
      </c>
      <c r="AA68" s="88" t="str">
        <f aca="false">IF(OR(AA$4="",MONTH(($G$2+12))&lt;&gt;MONTH($C$2)),"",IF(COUNTIFS(m_teacher,AA$4,m_date,($G$2+12),m_active,1,m_start,"&lt;"&amp;1080,m_end,"&gt;"&amp;1020)=0,"",IF(COUNTIFS(m_teacher,AA$4,m_date,($G$2+12),m_active,1,m_start,"&lt;"&amp;1080,m_end,"&gt;"&amp;1020)&gt;1,"충돌",HYPERLINK("#'관리자_MASTER'!D"&amp;_xlfn.MAXIFS(m_row,m_teacher,AA$4,m_date,($G$2+12),m_active,1,m_start,"&lt;"&amp;1080,m_end,"&gt;"&amp;1020),INDEX(m_label,_xlfn.MAXIFS(m_row,m_teacher,AA$4,m_date,($G$2+12),m_active,1,m_start,"&lt;"&amp;1080,m_end,"&gt;"&amp;1020))))))</f>
        <v/>
      </c>
      <c r="AB68" s="88" t="str">
        <f aca="false">IF(OR(AB$4="",MONTH(($G$2+12))&lt;&gt;MONTH($C$2)),"",IF(COUNTIFS(m_teacher,AB$4,m_date,($G$2+12),m_active,1,m_start,"&lt;"&amp;1080,m_end,"&gt;"&amp;1020)=0,"",IF(COUNTIFS(m_teacher,AB$4,m_date,($G$2+12),m_active,1,m_start,"&lt;"&amp;1080,m_end,"&gt;"&amp;1020)&gt;1,"충돌",HYPERLINK("#'관리자_MASTER'!D"&amp;_xlfn.MAXIFS(m_row,m_teacher,AB$4,m_date,($G$2+12),m_active,1,m_start,"&lt;"&amp;1080,m_end,"&gt;"&amp;1020),INDEX(m_label,_xlfn.MAXIFS(m_row,m_teacher,AB$4,m_date,($G$2+12),m_active,1,m_start,"&lt;"&amp;1080,m_end,"&gt;"&amp;1020))))))</f>
        <v/>
      </c>
      <c r="AC68" s="90"/>
      <c r="AD68" s="79" t="s">
        <v>99</v>
      </c>
      <c r="AE68" s="88" t="str">
        <f aca="false">IF(OR(AE$4="",MONTH(($G$2+19))&lt;&gt;MONTH($C$2)),"",IF(COUNTIFS(m_teacher,AE$4,m_date,($G$2+19),m_active,1,m_start,"&lt;"&amp;1080,m_end,"&gt;"&amp;1020)=0,"",IF(COUNTIFS(m_teacher,AE$4,m_date,($G$2+19),m_active,1,m_start,"&lt;"&amp;1080,m_end,"&gt;"&amp;1020)&gt;1,"충돌",HYPERLINK("#'관리자_MASTER'!D"&amp;_xlfn.MAXIFS(m_row,m_teacher,AE$4,m_date,($G$2+19),m_active,1,m_start,"&lt;"&amp;1080,m_end,"&gt;"&amp;1020),INDEX(m_label,_xlfn.MAXIFS(m_row,m_teacher,AE$4,m_date,($G$2+19),m_active,1,m_start,"&lt;"&amp;1080,m_end,"&gt;"&amp;1020))))))</f>
        <v/>
      </c>
      <c r="AF68" s="88" t="str">
        <f aca="false">IF(OR(AF$4="",MONTH(($G$2+19))&lt;&gt;MONTH($C$2)),"",IF(COUNTIFS(m_teacher,AF$4,m_date,($G$2+19),m_active,1,m_start,"&lt;"&amp;1080,m_end,"&gt;"&amp;1020)=0,"",IF(COUNTIFS(m_teacher,AF$4,m_date,($G$2+19),m_active,1,m_start,"&lt;"&amp;1080,m_end,"&gt;"&amp;1020)&gt;1,"충돌",HYPERLINK("#'관리자_MASTER'!D"&amp;_xlfn.MAXIFS(m_row,m_teacher,AF$4,m_date,($G$2+19),m_active,1,m_start,"&lt;"&amp;1080,m_end,"&gt;"&amp;1020),INDEX(m_label,_xlfn.MAXIFS(m_row,m_teacher,AF$4,m_date,($G$2+19),m_active,1,m_start,"&lt;"&amp;1080,m_end,"&gt;"&amp;1020))))))</f>
        <v/>
      </c>
      <c r="AG68" s="88" t="str">
        <f aca="false">IF(OR(AG$4="",MONTH(($G$2+19))&lt;&gt;MONTH($C$2)),"",IF(COUNTIFS(m_teacher,AG$4,m_date,($G$2+19),m_active,1,m_start,"&lt;"&amp;1080,m_end,"&gt;"&amp;1020)=0,"",IF(COUNTIFS(m_teacher,AG$4,m_date,($G$2+19),m_active,1,m_start,"&lt;"&amp;1080,m_end,"&gt;"&amp;1020)&gt;1,"충돌",HYPERLINK("#'관리자_MASTER'!D"&amp;_xlfn.MAXIFS(m_row,m_teacher,AG$4,m_date,($G$2+19),m_active,1,m_start,"&lt;"&amp;1080,m_end,"&gt;"&amp;1020),INDEX(m_label,_xlfn.MAXIFS(m_row,m_teacher,AG$4,m_date,($G$2+19),m_active,1,m_start,"&lt;"&amp;1080,m_end,"&gt;"&amp;1020))))))</f>
        <v/>
      </c>
      <c r="AH68" s="88" t="str">
        <f aca="false">IF(OR(AH$4="",MONTH(($G$2+19))&lt;&gt;MONTH($C$2)),"",IF(COUNTIFS(m_teacher,AH$4,m_date,($G$2+19),m_active,1,m_start,"&lt;"&amp;1080,m_end,"&gt;"&amp;1020)=0,"",IF(COUNTIFS(m_teacher,AH$4,m_date,($G$2+19),m_active,1,m_start,"&lt;"&amp;1080,m_end,"&gt;"&amp;1020)&gt;1,"충돌",HYPERLINK("#'관리자_MASTER'!D"&amp;_xlfn.MAXIFS(m_row,m_teacher,AH$4,m_date,($G$2+19),m_active,1,m_start,"&lt;"&amp;1080,m_end,"&gt;"&amp;1020),INDEX(m_label,_xlfn.MAXIFS(m_row,m_teacher,AH$4,m_date,($G$2+19),m_active,1,m_start,"&lt;"&amp;1080,m_end,"&gt;"&amp;1020))))))</f>
        <v/>
      </c>
      <c r="AI68" s="88" t="str">
        <f aca="false">IF(OR(AI$4="",MONTH(($G$2+19))&lt;&gt;MONTH($C$2)),"",IF(COUNTIFS(m_teacher,AI$4,m_date,($G$2+19),m_active,1,m_start,"&lt;"&amp;1080,m_end,"&gt;"&amp;1020)=0,"",IF(COUNTIFS(m_teacher,AI$4,m_date,($G$2+19),m_active,1,m_start,"&lt;"&amp;1080,m_end,"&gt;"&amp;1020)&gt;1,"충돌",HYPERLINK("#'관리자_MASTER'!D"&amp;_xlfn.MAXIFS(m_row,m_teacher,AI$4,m_date,($G$2+19),m_active,1,m_start,"&lt;"&amp;1080,m_end,"&gt;"&amp;1020),INDEX(m_label,_xlfn.MAXIFS(m_row,m_teacher,AI$4,m_date,($G$2+19),m_active,1,m_start,"&lt;"&amp;1080,m_end,"&gt;"&amp;1020))))))</f>
        <v/>
      </c>
      <c r="AJ68" s="88" t="str">
        <f aca="false">IF(OR(AJ$4="",MONTH(($G$2+19))&lt;&gt;MONTH($C$2)),"",IF(COUNTIFS(m_teacher,AJ$4,m_date,($G$2+19),m_active,1,m_start,"&lt;"&amp;1080,m_end,"&gt;"&amp;1020)=0,"",IF(COUNTIFS(m_teacher,AJ$4,m_date,($G$2+19),m_active,1,m_start,"&lt;"&amp;1080,m_end,"&gt;"&amp;1020)&gt;1,"충돌",HYPERLINK("#'관리자_MASTER'!D"&amp;_xlfn.MAXIFS(m_row,m_teacher,AJ$4,m_date,($G$2+19),m_active,1,m_start,"&lt;"&amp;1080,m_end,"&gt;"&amp;1020),INDEX(m_label,_xlfn.MAXIFS(m_row,m_teacher,AJ$4,m_date,($G$2+19),m_active,1,m_start,"&lt;"&amp;1080,m_end,"&gt;"&amp;1020))))))</f>
        <v/>
      </c>
      <c r="AK68" s="88" t="str">
        <f aca="false">IF(OR(AK$4="",MONTH(($G$2+19))&lt;&gt;MONTH($C$2)),"",IF(COUNTIFS(m_teacher,AK$4,m_date,($G$2+19),m_active,1,m_start,"&lt;"&amp;1080,m_end,"&gt;"&amp;1020)=0,"",IF(COUNTIFS(m_teacher,AK$4,m_date,($G$2+19),m_active,1,m_start,"&lt;"&amp;1080,m_end,"&gt;"&amp;1020)&gt;1,"충돌",HYPERLINK("#'관리자_MASTER'!D"&amp;_xlfn.MAXIFS(m_row,m_teacher,AK$4,m_date,($G$2+19),m_active,1,m_start,"&lt;"&amp;1080,m_end,"&gt;"&amp;1020),INDEX(m_label,_xlfn.MAXIFS(m_row,m_teacher,AK$4,m_date,($G$2+19),m_active,1,m_start,"&lt;"&amp;1080,m_end,"&gt;"&amp;1020))))))</f>
        <v/>
      </c>
      <c r="AL68" s="88" t="str">
        <f aca="false">IF(OR(AL$4="",MONTH(($G$2+19))&lt;&gt;MONTH($C$2)),"",IF(COUNTIFS(m_teacher,AL$4,m_date,($G$2+19),m_active,1,m_start,"&lt;"&amp;1080,m_end,"&gt;"&amp;1020)=0,"",IF(COUNTIFS(m_teacher,AL$4,m_date,($G$2+19),m_active,1,m_start,"&lt;"&amp;1080,m_end,"&gt;"&amp;1020)&gt;1,"충돌",HYPERLINK("#'관리자_MASTER'!D"&amp;_xlfn.MAXIFS(m_row,m_teacher,AL$4,m_date,($G$2+19),m_active,1,m_start,"&lt;"&amp;1080,m_end,"&gt;"&amp;1020),INDEX(m_label,_xlfn.MAXIFS(m_row,m_teacher,AL$4,m_date,($G$2+19),m_active,1,m_start,"&lt;"&amp;1080,m_end,"&gt;"&amp;1020))))))</f>
        <v/>
      </c>
      <c r="AM68" s="88" t="str">
        <f aca="false">IF(OR(AM$4="",MONTH(($G$2+19))&lt;&gt;MONTH($C$2)),"",IF(COUNTIFS(m_teacher,AM$4,m_date,($G$2+19),m_active,1,m_start,"&lt;"&amp;1080,m_end,"&gt;"&amp;1020)=0,"",IF(COUNTIFS(m_teacher,AM$4,m_date,($G$2+19),m_active,1,m_start,"&lt;"&amp;1080,m_end,"&gt;"&amp;1020)&gt;1,"충돌",HYPERLINK("#'관리자_MASTER'!D"&amp;_xlfn.MAXIFS(m_row,m_teacher,AM$4,m_date,($G$2+19),m_active,1,m_start,"&lt;"&amp;1080,m_end,"&gt;"&amp;1020),INDEX(m_label,_xlfn.MAXIFS(m_row,m_teacher,AM$4,m_date,($G$2+19),m_active,1,m_start,"&lt;"&amp;1080,m_end,"&gt;"&amp;1020))))))</f>
        <v/>
      </c>
      <c r="AN68" s="88" t="str">
        <f aca="false">IF(OR(AN$4="",MONTH(($G$2+19))&lt;&gt;MONTH($C$2)),"",IF(COUNTIFS(m_teacher,AN$4,m_date,($G$2+19),m_active,1,m_start,"&lt;"&amp;1080,m_end,"&gt;"&amp;1020)=0,"",IF(COUNTIFS(m_teacher,AN$4,m_date,($G$2+19),m_active,1,m_start,"&lt;"&amp;1080,m_end,"&gt;"&amp;1020)&gt;1,"충돌",HYPERLINK("#'관리자_MASTER'!D"&amp;_xlfn.MAXIFS(m_row,m_teacher,AN$4,m_date,($G$2+19),m_active,1,m_start,"&lt;"&amp;1080,m_end,"&gt;"&amp;1020),INDEX(m_label,_xlfn.MAXIFS(m_row,m_teacher,AN$4,m_date,($G$2+19),m_active,1,m_start,"&lt;"&amp;1080,m_end,"&gt;"&amp;1020))))))</f>
        <v/>
      </c>
      <c r="AO68" s="88" t="str">
        <f aca="false">IF(OR(AO$4="",MONTH(($G$2+19))&lt;&gt;MONTH($C$2)),"",IF(COUNTIFS(m_teacher,AO$4,m_date,($G$2+19),m_active,1,m_start,"&lt;"&amp;1080,m_end,"&gt;"&amp;1020)=0,"",IF(COUNTIFS(m_teacher,AO$4,m_date,($G$2+19),m_active,1,m_start,"&lt;"&amp;1080,m_end,"&gt;"&amp;1020)&gt;1,"충돌",HYPERLINK("#'관리자_MASTER'!D"&amp;_xlfn.MAXIFS(m_row,m_teacher,AO$4,m_date,($G$2+19),m_active,1,m_start,"&lt;"&amp;1080,m_end,"&gt;"&amp;1020),INDEX(m_label,_xlfn.MAXIFS(m_row,m_teacher,AO$4,m_date,($G$2+19),m_active,1,m_start,"&lt;"&amp;1080,m_end,"&gt;"&amp;1020))))))</f>
        <v/>
      </c>
      <c r="AP68" s="88" t="str">
        <f aca="false">IF(OR(AP$4="",MONTH(($G$2+19))&lt;&gt;MONTH($C$2)),"",IF(COUNTIFS(m_teacher,AP$4,m_date,($G$2+19),m_active,1,m_start,"&lt;"&amp;1080,m_end,"&gt;"&amp;1020)=0,"",IF(COUNTIFS(m_teacher,AP$4,m_date,($G$2+19),m_active,1,m_start,"&lt;"&amp;1080,m_end,"&gt;"&amp;1020)&gt;1,"충돌",HYPERLINK("#'관리자_MASTER'!D"&amp;_xlfn.MAXIFS(m_row,m_teacher,AP$4,m_date,($G$2+19),m_active,1,m_start,"&lt;"&amp;1080,m_end,"&gt;"&amp;1020),INDEX(m_label,_xlfn.MAXIFS(m_row,m_teacher,AP$4,m_date,($G$2+19),m_active,1,m_start,"&lt;"&amp;1080,m_end,"&gt;"&amp;1020))))))</f>
        <v/>
      </c>
      <c r="AQ68" s="90"/>
      <c r="AR68" s="79" t="s">
        <v>99</v>
      </c>
      <c r="AS68" s="88" t="str">
        <f aca="false">IF(OR(AS$4="",MONTH(($G$2+26))&lt;&gt;MONTH($C$2)),"",IF(COUNTIFS(m_teacher,AS$4,m_date,($G$2+26),m_active,1,m_start,"&lt;"&amp;1080,m_end,"&gt;"&amp;1020)=0,"",IF(COUNTIFS(m_teacher,AS$4,m_date,($G$2+26),m_active,1,m_start,"&lt;"&amp;1080,m_end,"&gt;"&amp;1020)&gt;1,"충돌",HYPERLINK("#'관리자_MASTER'!D"&amp;_xlfn.MAXIFS(m_row,m_teacher,AS$4,m_date,($G$2+26),m_active,1,m_start,"&lt;"&amp;1080,m_end,"&gt;"&amp;1020),INDEX(m_label,_xlfn.MAXIFS(m_row,m_teacher,AS$4,m_date,($G$2+26),m_active,1,m_start,"&lt;"&amp;1080,m_end,"&gt;"&amp;1020))))))</f>
        <v/>
      </c>
      <c r="AT68" s="88" t="str">
        <f aca="false">IF(OR(AT$4="",MONTH(($G$2+26))&lt;&gt;MONTH($C$2)),"",IF(COUNTIFS(m_teacher,AT$4,m_date,($G$2+26),m_active,1,m_start,"&lt;"&amp;1080,m_end,"&gt;"&amp;1020)=0,"",IF(COUNTIFS(m_teacher,AT$4,m_date,($G$2+26),m_active,1,m_start,"&lt;"&amp;1080,m_end,"&gt;"&amp;1020)&gt;1,"충돌",HYPERLINK("#'관리자_MASTER'!D"&amp;_xlfn.MAXIFS(m_row,m_teacher,AT$4,m_date,($G$2+26),m_active,1,m_start,"&lt;"&amp;1080,m_end,"&gt;"&amp;1020),INDEX(m_label,_xlfn.MAXIFS(m_row,m_teacher,AT$4,m_date,($G$2+26),m_active,1,m_start,"&lt;"&amp;1080,m_end,"&gt;"&amp;1020))))))</f>
        <v/>
      </c>
      <c r="AU68" s="88" t="str">
        <f aca="false">IF(OR(AU$4="",MONTH(($G$2+26))&lt;&gt;MONTH($C$2)),"",IF(COUNTIFS(m_teacher,AU$4,m_date,($G$2+26),m_active,1,m_start,"&lt;"&amp;1080,m_end,"&gt;"&amp;1020)=0,"",IF(COUNTIFS(m_teacher,AU$4,m_date,($G$2+26),m_active,1,m_start,"&lt;"&amp;1080,m_end,"&gt;"&amp;1020)&gt;1,"충돌",HYPERLINK("#'관리자_MASTER'!D"&amp;_xlfn.MAXIFS(m_row,m_teacher,AU$4,m_date,($G$2+26),m_active,1,m_start,"&lt;"&amp;1080,m_end,"&gt;"&amp;1020),INDEX(m_label,_xlfn.MAXIFS(m_row,m_teacher,AU$4,m_date,($G$2+26),m_active,1,m_start,"&lt;"&amp;1080,m_end,"&gt;"&amp;1020))))))</f>
        <v/>
      </c>
      <c r="AV68" s="88" t="str">
        <f aca="false">IF(OR(AV$4="",MONTH(($G$2+26))&lt;&gt;MONTH($C$2)),"",IF(COUNTIFS(m_teacher,AV$4,m_date,($G$2+26),m_active,1,m_start,"&lt;"&amp;1080,m_end,"&gt;"&amp;1020)=0,"",IF(COUNTIFS(m_teacher,AV$4,m_date,($G$2+26),m_active,1,m_start,"&lt;"&amp;1080,m_end,"&gt;"&amp;1020)&gt;1,"충돌",HYPERLINK("#'관리자_MASTER'!D"&amp;_xlfn.MAXIFS(m_row,m_teacher,AV$4,m_date,($G$2+26),m_active,1,m_start,"&lt;"&amp;1080,m_end,"&gt;"&amp;1020),INDEX(m_label,_xlfn.MAXIFS(m_row,m_teacher,AV$4,m_date,($G$2+26),m_active,1,m_start,"&lt;"&amp;1080,m_end,"&gt;"&amp;1020))))))</f>
        <v/>
      </c>
      <c r="AW68" s="88" t="str">
        <f aca="false">IF(OR(AW$4="",MONTH(($G$2+26))&lt;&gt;MONTH($C$2)),"",IF(COUNTIFS(m_teacher,AW$4,m_date,($G$2+26),m_active,1,m_start,"&lt;"&amp;1080,m_end,"&gt;"&amp;1020)=0,"",IF(COUNTIFS(m_teacher,AW$4,m_date,($G$2+26),m_active,1,m_start,"&lt;"&amp;1080,m_end,"&gt;"&amp;1020)&gt;1,"충돌",HYPERLINK("#'관리자_MASTER'!D"&amp;_xlfn.MAXIFS(m_row,m_teacher,AW$4,m_date,($G$2+26),m_active,1,m_start,"&lt;"&amp;1080,m_end,"&gt;"&amp;1020),INDEX(m_label,_xlfn.MAXIFS(m_row,m_teacher,AW$4,m_date,($G$2+26),m_active,1,m_start,"&lt;"&amp;1080,m_end,"&gt;"&amp;1020))))))</f>
        <v/>
      </c>
      <c r="AX68" s="88" t="str">
        <f aca="false">IF(OR(AX$4="",MONTH(($G$2+26))&lt;&gt;MONTH($C$2)),"",IF(COUNTIFS(m_teacher,AX$4,m_date,($G$2+26),m_active,1,m_start,"&lt;"&amp;1080,m_end,"&gt;"&amp;1020)=0,"",IF(COUNTIFS(m_teacher,AX$4,m_date,($G$2+26),m_active,1,m_start,"&lt;"&amp;1080,m_end,"&gt;"&amp;1020)&gt;1,"충돌",HYPERLINK("#'관리자_MASTER'!D"&amp;_xlfn.MAXIFS(m_row,m_teacher,AX$4,m_date,($G$2+26),m_active,1,m_start,"&lt;"&amp;1080,m_end,"&gt;"&amp;1020),INDEX(m_label,_xlfn.MAXIFS(m_row,m_teacher,AX$4,m_date,($G$2+26),m_active,1,m_start,"&lt;"&amp;1080,m_end,"&gt;"&amp;1020))))))</f>
        <v/>
      </c>
      <c r="AY68" s="88" t="str">
        <f aca="false">IF(OR(AY$4="",MONTH(($G$2+26))&lt;&gt;MONTH($C$2)),"",IF(COUNTIFS(m_teacher,AY$4,m_date,($G$2+26),m_active,1,m_start,"&lt;"&amp;1080,m_end,"&gt;"&amp;1020)=0,"",IF(COUNTIFS(m_teacher,AY$4,m_date,($G$2+26),m_active,1,m_start,"&lt;"&amp;1080,m_end,"&gt;"&amp;1020)&gt;1,"충돌",HYPERLINK("#'관리자_MASTER'!D"&amp;_xlfn.MAXIFS(m_row,m_teacher,AY$4,m_date,($G$2+26),m_active,1,m_start,"&lt;"&amp;1080,m_end,"&gt;"&amp;1020),INDEX(m_label,_xlfn.MAXIFS(m_row,m_teacher,AY$4,m_date,($G$2+26),m_active,1,m_start,"&lt;"&amp;1080,m_end,"&gt;"&amp;1020))))))</f>
        <v/>
      </c>
      <c r="AZ68" s="88" t="str">
        <f aca="false">IF(OR(AZ$4="",MONTH(($G$2+26))&lt;&gt;MONTH($C$2)),"",IF(COUNTIFS(m_teacher,AZ$4,m_date,($G$2+26),m_active,1,m_start,"&lt;"&amp;1080,m_end,"&gt;"&amp;1020)=0,"",IF(COUNTIFS(m_teacher,AZ$4,m_date,($G$2+26),m_active,1,m_start,"&lt;"&amp;1080,m_end,"&gt;"&amp;1020)&gt;1,"충돌",HYPERLINK("#'관리자_MASTER'!D"&amp;_xlfn.MAXIFS(m_row,m_teacher,AZ$4,m_date,($G$2+26),m_active,1,m_start,"&lt;"&amp;1080,m_end,"&gt;"&amp;1020),INDEX(m_label,_xlfn.MAXIFS(m_row,m_teacher,AZ$4,m_date,($G$2+26),m_active,1,m_start,"&lt;"&amp;1080,m_end,"&gt;"&amp;1020))))))</f>
        <v/>
      </c>
      <c r="BA68" s="88" t="str">
        <f aca="false">IF(OR(BA$4="",MONTH(($G$2+26))&lt;&gt;MONTH($C$2)),"",IF(COUNTIFS(m_teacher,BA$4,m_date,($G$2+26),m_active,1,m_start,"&lt;"&amp;1080,m_end,"&gt;"&amp;1020)=0,"",IF(COUNTIFS(m_teacher,BA$4,m_date,($G$2+26),m_active,1,m_start,"&lt;"&amp;1080,m_end,"&gt;"&amp;1020)&gt;1,"충돌",HYPERLINK("#'관리자_MASTER'!D"&amp;_xlfn.MAXIFS(m_row,m_teacher,BA$4,m_date,($G$2+26),m_active,1,m_start,"&lt;"&amp;1080,m_end,"&gt;"&amp;1020),INDEX(m_label,_xlfn.MAXIFS(m_row,m_teacher,BA$4,m_date,($G$2+26),m_active,1,m_start,"&lt;"&amp;1080,m_end,"&gt;"&amp;1020))))))</f>
        <v/>
      </c>
      <c r="BB68" s="88" t="str">
        <f aca="false">IF(OR(BB$4="",MONTH(($G$2+26))&lt;&gt;MONTH($C$2)),"",IF(COUNTIFS(m_teacher,BB$4,m_date,($G$2+26),m_active,1,m_start,"&lt;"&amp;1080,m_end,"&gt;"&amp;1020)=0,"",IF(COUNTIFS(m_teacher,BB$4,m_date,($G$2+26),m_active,1,m_start,"&lt;"&amp;1080,m_end,"&gt;"&amp;1020)&gt;1,"충돌",HYPERLINK("#'관리자_MASTER'!D"&amp;_xlfn.MAXIFS(m_row,m_teacher,BB$4,m_date,($G$2+26),m_active,1,m_start,"&lt;"&amp;1080,m_end,"&gt;"&amp;1020),INDEX(m_label,_xlfn.MAXIFS(m_row,m_teacher,BB$4,m_date,($G$2+26),m_active,1,m_start,"&lt;"&amp;1080,m_end,"&gt;"&amp;1020))))))</f>
        <v/>
      </c>
      <c r="BC68" s="88" t="str">
        <f aca="false">IF(OR(BC$4="",MONTH(($G$2+26))&lt;&gt;MONTH($C$2)),"",IF(COUNTIFS(m_teacher,BC$4,m_date,($G$2+26),m_active,1,m_start,"&lt;"&amp;1080,m_end,"&gt;"&amp;1020)=0,"",IF(COUNTIFS(m_teacher,BC$4,m_date,($G$2+26),m_active,1,m_start,"&lt;"&amp;1080,m_end,"&gt;"&amp;1020)&gt;1,"충돌",HYPERLINK("#'관리자_MASTER'!D"&amp;_xlfn.MAXIFS(m_row,m_teacher,BC$4,m_date,($G$2+26),m_active,1,m_start,"&lt;"&amp;1080,m_end,"&gt;"&amp;1020),INDEX(m_label,_xlfn.MAXIFS(m_row,m_teacher,BC$4,m_date,($G$2+26),m_active,1,m_start,"&lt;"&amp;1080,m_end,"&gt;"&amp;1020))))))</f>
        <v/>
      </c>
      <c r="BD68" s="88" t="str">
        <f aca="false">IF(OR(BD$4="",MONTH(($G$2+26))&lt;&gt;MONTH($C$2)),"",IF(COUNTIFS(m_teacher,BD$4,m_date,($G$2+26),m_active,1,m_start,"&lt;"&amp;1080,m_end,"&gt;"&amp;1020)=0,"",IF(COUNTIFS(m_teacher,BD$4,m_date,($G$2+26),m_active,1,m_start,"&lt;"&amp;1080,m_end,"&gt;"&amp;1020)&gt;1,"충돌",HYPERLINK("#'관리자_MASTER'!D"&amp;_xlfn.MAXIFS(m_row,m_teacher,BD$4,m_date,($G$2+26),m_active,1,m_start,"&lt;"&amp;1080,m_end,"&gt;"&amp;1020),INDEX(m_label,_xlfn.MAXIFS(m_row,m_teacher,BD$4,m_date,($G$2+26),m_active,1,m_start,"&lt;"&amp;1080,m_end,"&gt;"&amp;1020))))))</f>
        <v/>
      </c>
    </row>
    <row r="69" customFormat="false" ht="19.5" hidden="false" customHeight="true" outlineLevel="0" collapsed="false">
      <c r="A69" s="90"/>
      <c r="B69" s="79" t="s">
        <v>100</v>
      </c>
      <c r="C69" s="88" t="str">
        <f aca="false">IF(OR(C$4="",MONTH(($G$2+5))&lt;&gt;MONTH($C$2)),"",IF(COUNTIFS(m_teacher,C$4,m_date,($G$2+5),m_active,1,m_start,"&lt;"&amp;1140,m_end,"&gt;"&amp;1080)=0,"",IF(COUNTIFS(m_teacher,C$4,m_date,($G$2+5),m_active,1,m_start,"&lt;"&amp;1140,m_end,"&gt;"&amp;1080)&gt;1,"충돌",HYPERLINK("#'관리자_MASTER'!D"&amp;_xlfn.MAXIFS(m_row,m_teacher,C$4,m_date,($G$2+5),m_active,1,m_start,"&lt;"&amp;1140,m_end,"&gt;"&amp;1080),INDEX(m_label,_xlfn.MAXIFS(m_row,m_teacher,C$4,m_date,($G$2+5),m_active,1,m_start,"&lt;"&amp;1140,m_end,"&gt;"&amp;1080))))))</f>
        <v/>
      </c>
      <c r="D69" s="88" t="str">
        <f aca="false">IF(OR(D$4="",MONTH(($G$2+5))&lt;&gt;MONTH($C$2)),"",IF(COUNTIFS(m_teacher,D$4,m_date,($G$2+5),m_active,1,m_start,"&lt;"&amp;1140,m_end,"&gt;"&amp;1080)=0,"",IF(COUNTIFS(m_teacher,D$4,m_date,($G$2+5),m_active,1,m_start,"&lt;"&amp;1140,m_end,"&gt;"&amp;1080)&gt;1,"충돌",HYPERLINK("#'관리자_MASTER'!D"&amp;_xlfn.MAXIFS(m_row,m_teacher,D$4,m_date,($G$2+5),m_active,1,m_start,"&lt;"&amp;1140,m_end,"&gt;"&amp;1080),INDEX(m_label,_xlfn.MAXIFS(m_row,m_teacher,D$4,m_date,($G$2+5),m_active,1,m_start,"&lt;"&amp;1140,m_end,"&gt;"&amp;1080))))))</f>
        <v/>
      </c>
      <c r="E69" s="88" t="str">
        <f aca="false">IF(OR(E$4="",MONTH(($G$2+5))&lt;&gt;MONTH($C$2)),"",IF(COUNTIFS(m_teacher,E$4,m_date,($G$2+5),m_active,1,m_start,"&lt;"&amp;1140,m_end,"&gt;"&amp;1080)=0,"",IF(COUNTIFS(m_teacher,E$4,m_date,($G$2+5),m_active,1,m_start,"&lt;"&amp;1140,m_end,"&gt;"&amp;1080)&gt;1,"충돌",HYPERLINK("#'관리자_MASTER'!D"&amp;_xlfn.MAXIFS(m_row,m_teacher,E$4,m_date,($G$2+5),m_active,1,m_start,"&lt;"&amp;1140,m_end,"&gt;"&amp;1080),INDEX(m_label,_xlfn.MAXIFS(m_row,m_teacher,E$4,m_date,($G$2+5),m_active,1,m_start,"&lt;"&amp;1140,m_end,"&gt;"&amp;1080))))))</f>
        <v/>
      </c>
      <c r="F69" s="88" t="str">
        <f aca="false">IF(OR(F$4="",MONTH(($G$2+5))&lt;&gt;MONTH($C$2)),"",IF(COUNTIFS(m_teacher,F$4,m_date,($G$2+5),m_active,1,m_start,"&lt;"&amp;1140,m_end,"&gt;"&amp;1080)=0,"",IF(COUNTIFS(m_teacher,F$4,m_date,($G$2+5),m_active,1,m_start,"&lt;"&amp;1140,m_end,"&gt;"&amp;1080)&gt;1,"충돌",HYPERLINK("#'관리자_MASTER'!D"&amp;_xlfn.MAXIFS(m_row,m_teacher,F$4,m_date,($G$2+5),m_active,1,m_start,"&lt;"&amp;1140,m_end,"&gt;"&amp;1080),INDEX(m_label,_xlfn.MAXIFS(m_row,m_teacher,F$4,m_date,($G$2+5),m_active,1,m_start,"&lt;"&amp;1140,m_end,"&gt;"&amp;1080))))))</f>
        <v/>
      </c>
      <c r="G69" s="88" t="str">
        <f aca="false">IF(OR(G$4="",MONTH(($G$2+5))&lt;&gt;MONTH($C$2)),"",IF(COUNTIFS(m_teacher,G$4,m_date,($G$2+5),m_active,1,m_start,"&lt;"&amp;1140,m_end,"&gt;"&amp;1080)=0,"",IF(COUNTIFS(m_teacher,G$4,m_date,($G$2+5),m_active,1,m_start,"&lt;"&amp;1140,m_end,"&gt;"&amp;1080)&gt;1,"충돌",HYPERLINK("#'관리자_MASTER'!D"&amp;_xlfn.MAXIFS(m_row,m_teacher,G$4,m_date,($G$2+5),m_active,1,m_start,"&lt;"&amp;1140,m_end,"&gt;"&amp;1080),INDEX(m_label,_xlfn.MAXIFS(m_row,m_teacher,G$4,m_date,($G$2+5),m_active,1,m_start,"&lt;"&amp;1140,m_end,"&gt;"&amp;1080))))))</f>
        <v/>
      </c>
      <c r="H69" s="88" t="str">
        <f aca="false">IF(OR(H$4="",MONTH(($G$2+5))&lt;&gt;MONTH($C$2)),"",IF(COUNTIFS(m_teacher,H$4,m_date,($G$2+5),m_active,1,m_start,"&lt;"&amp;1140,m_end,"&gt;"&amp;1080)=0,"",IF(COUNTIFS(m_teacher,H$4,m_date,($G$2+5),m_active,1,m_start,"&lt;"&amp;1140,m_end,"&gt;"&amp;1080)&gt;1,"충돌",HYPERLINK("#'관리자_MASTER'!D"&amp;_xlfn.MAXIFS(m_row,m_teacher,H$4,m_date,($G$2+5),m_active,1,m_start,"&lt;"&amp;1140,m_end,"&gt;"&amp;1080),INDEX(m_label,_xlfn.MAXIFS(m_row,m_teacher,H$4,m_date,($G$2+5),m_active,1,m_start,"&lt;"&amp;1140,m_end,"&gt;"&amp;1080))))))</f>
        <v/>
      </c>
      <c r="I69" s="88" t="str">
        <f aca="false">IF(OR(I$4="",MONTH(($G$2+5))&lt;&gt;MONTH($C$2)),"",IF(COUNTIFS(m_teacher,I$4,m_date,($G$2+5),m_active,1,m_start,"&lt;"&amp;1140,m_end,"&gt;"&amp;1080)=0,"",IF(COUNTIFS(m_teacher,I$4,m_date,($G$2+5),m_active,1,m_start,"&lt;"&amp;1140,m_end,"&gt;"&amp;1080)&gt;1,"충돌",HYPERLINK("#'관리자_MASTER'!D"&amp;_xlfn.MAXIFS(m_row,m_teacher,I$4,m_date,($G$2+5),m_active,1,m_start,"&lt;"&amp;1140,m_end,"&gt;"&amp;1080),INDEX(m_label,_xlfn.MAXIFS(m_row,m_teacher,I$4,m_date,($G$2+5),m_active,1,m_start,"&lt;"&amp;1140,m_end,"&gt;"&amp;1080))))))</f>
        <v/>
      </c>
      <c r="J69" s="88" t="str">
        <f aca="false">IF(OR(J$4="",MONTH(($G$2+5))&lt;&gt;MONTH($C$2)),"",IF(COUNTIFS(m_teacher,J$4,m_date,($G$2+5),m_active,1,m_start,"&lt;"&amp;1140,m_end,"&gt;"&amp;1080)=0,"",IF(COUNTIFS(m_teacher,J$4,m_date,($G$2+5),m_active,1,m_start,"&lt;"&amp;1140,m_end,"&gt;"&amp;1080)&gt;1,"충돌",HYPERLINK("#'관리자_MASTER'!D"&amp;_xlfn.MAXIFS(m_row,m_teacher,J$4,m_date,($G$2+5),m_active,1,m_start,"&lt;"&amp;1140,m_end,"&gt;"&amp;1080),INDEX(m_label,_xlfn.MAXIFS(m_row,m_teacher,J$4,m_date,($G$2+5),m_active,1,m_start,"&lt;"&amp;1140,m_end,"&gt;"&amp;1080))))))</f>
        <v/>
      </c>
      <c r="K69" s="88" t="str">
        <f aca="false">IF(OR(K$4="",MONTH(($G$2+5))&lt;&gt;MONTH($C$2)),"",IF(COUNTIFS(m_teacher,K$4,m_date,($G$2+5),m_active,1,m_start,"&lt;"&amp;1140,m_end,"&gt;"&amp;1080)=0,"",IF(COUNTIFS(m_teacher,K$4,m_date,($G$2+5),m_active,1,m_start,"&lt;"&amp;1140,m_end,"&gt;"&amp;1080)&gt;1,"충돌",HYPERLINK("#'관리자_MASTER'!D"&amp;_xlfn.MAXIFS(m_row,m_teacher,K$4,m_date,($G$2+5),m_active,1,m_start,"&lt;"&amp;1140,m_end,"&gt;"&amp;1080),INDEX(m_label,_xlfn.MAXIFS(m_row,m_teacher,K$4,m_date,($G$2+5),m_active,1,m_start,"&lt;"&amp;1140,m_end,"&gt;"&amp;1080))))))</f>
        <v/>
      </c>
      <c r="L69" s="88" t="str">
        <f aca="false">IF(OR(L$4="",MONTH(($G$2+5))&lt;&gt;MONTH($C$2)),"",IF(COUNTIFS(m_teacher,L$4,m_date,($G$2+5),m_active,1,m_start,"&lt;"&amp;1140,m_end,"&gt;"&amp;1080)=0,"",IF(COUNTIFS(m_teacher,L$4,m_date,($G$2+5),m_active,1,m_start,"&lt;"&amp;1140,m_end,"&gt;"&amp;1080)&gt;1,"충돌",HYPERLINK("#'관리자_MASTER'!D"&amp;_xlfn.MAXIFS(m_row,m_teacher,L$4,m_date,($G$2+5),m_active,1,m_start,"&lt;"&amp;1140,m_end,"&gt;"&amp;1080),INDEX(m_label,_xlfn.MAXIFS(m_row,m_teacher,L$4,m_date,($G$2+5),m_active,1,m_start,"&lt;"&amp;1140,m_end,"&gt;"&amp;1080))))))</f>
        <v/>
      </c>
      <c r="M69" s="88" t="str">
        <f aca="false">IF(OR(M$4="",MONTH(($G$2+5))&lt;&gt;MONTH($C$2)),"",IF(COUNTIFS(m_teacher,M$4,m_date,($G$2+5),m_active,1,m_start,"&lt;"&amp;1140,m_end,"&gt;"&amp;1080)=0,"",IF(COUNTIFS(m_teacher,M$4,m_date,($G$2+5),m_active,1,m_start,"&lt;"&amp;1140,m_end,"&gt;"&amp;1080)&gt;1,"충돌",HYPERLINK("#'관리자_MASTER'!D"&amp;_xlfn.MAXIFS(m_row,m_teacher,M$4,m_date,($G$2+5),m_active,1,m_start,"&lt;"&amp;1140,m_end,"&gt;"&amp;1080),INDEX(m_label,_xlfn.MAXIFS(m_row,m_teacher,M$4,m_date,($G$2+5),m_active,1,m_start,"&lt;"&amp;1140,m_end,"&gt;"&amp;1080))))))</f>
        <v/>
      </c>
      <c r="N69" s="88" t="str">
        <f aca="false">IF(OR(N$4="",MONTH(($G$2+5))&lt;&gt;MONTH($C$2)),"",IF(COUNTIFS(m_teacher,N$4,m_date,($G$2+5),m_active,1,m_start,"&lt;"&amp;1140,m_end,"&gt;"&amp;1080)=0,"",IF(COUNTIFS(m_teacher,N$4,m_date,($G$2+5),m_active,1,m_start,"&lt;"&amp;1140,m_end,"&gt;"&amp;1080)&gt;1,"충돌",HYPERLINK("#'관리자_MASTER'!D"&amp;_xlfn.MAXIFS(m_row,m_teacher,N$4,m_date,($G$2+5),m_active,1,m_start,"&lt;"&amp;1140,m_end,"&gt;"&amp;1080),INDEX(m_label,_xlfn.MAXIFS(m_row,m_teacher,N$4,m_date,($G$2+5),m_active,1,m_start,"&lt;"&amp;1140,m_end,"&gt;"&amp;1080))))))</f>
        <v/>
      </c>
      <c r="O69" s="90"/>
      <c r="P69" s="79" t="s">
        <v>100</v>
      </c>
      <c r="Q69" s="88" t="str">
        <f aca="false">IF(OR(Q$4="",MONTH(($G$2+12))&lt;&gt;MONTH($C$2)),"",IF(COUNTIFS(m_teacher,Q$4,m_date,($G$2+12),m_active,1,m_start,"&lt;"&amp;1140,m_end,"&gt;"&amp;1080)=0,"",IF(COUNTIFS(m_teacher,Q$4,m_date,($G$2+12),m_active,1,m_start,"&lt;"&amp;1140,m_end,"&gt;"&amp;1080)&gt;1,"충돌",HYPERLINK("#'관리자_MASTER'!D"&amp;_xlfn.MAXIFS(m_row,m_teacher,Q$4,m_date,($G$2+12),m_active,1,m_start,"&lt;"&amp;1140,m_end,"&gt;"&amp;1080),INDEX(m_label,_xlfn.MAXIFS(m_row,m_teacher,Q$4,m_date,($G$2+12),m_active,1,m_start,"&lt;"&amp;1140,m_end,"&gt;"&amp;1080))))))</f>
        <v/>
      </c>
      <c r="R69" s="88" t="str">
        <f aca="false">IF(OR(R$4="",MONTH(($G$2+12))&lt;&gt;MONTH($C$2)),"",IF(COUNTIFS(m_teacher,R$4,m_date,($G$2+12),m_active,1,m_start,"&lt;"&amp;1140,m_end,"&gt;"&amp;1080)=0,"",IF(COUNTIFS(m_teacher,R$4,m_date,($G$2+12),m_active,1,m_start,"&lt;"&amp;1140,m_end,"&gt;"&amp;1080)&gt;1,"충돌",HYPERLINK("#'관리자_MASTER'!D"&amp;_xlfn.MAXIFS(m_row,m_teacher,R$4,m_date,($G$2+12),m_active,1,m_start,"&lt;"&amp;1140,m_end,"&gt;"&amp;1080),INDEX(m_label,_xlfn.MAXIFS(m_row,m_teacher,R$4,m_date,($G$2+12),m_active,1,m_start,"&lt;"&amp;1140,m_end,"&gt;"&amp;1080))))))</f>
        <v/>
      </c>
      <c r="S69" s="88" t="str">
        <f aca="false">IF(OR(S$4="",MONTH(($G$2+12))&lt;&gt;MONTH($C$2)),"",IF(COUNTIFS(m_teacher,S$4,m_date,($G$2+12),m_active,1,m_start,"&lt;"&amp;1140,m_end,"&gt;"&amp;1080)=0,"",IF(COUNTIFS(m_teacher,S$4,m_date,($G$2+12),m_active,1,m_start,"&lt;"&amp;1140,m_end,"&gt;"&amp;1080)&gt;1,"충돌",HYPERLINK("#'관리자_MASTER'!D"&amp;_xlfn.MAXIFS(m_row,m_teacher,S$4,m_date,($G$2+12),m_active,1,m_start,"&lt;"&amp;1140,m_end,"&gt;"&amp;1080),INDEX(m_label,_xlfn.MAXIFS(m_row,m_teacher,S$4,m_date,($G$2+12),m_active,1,m_start,"&lt;"&amp;1140,m_end,"&gt;"&amp;1080))))))</f>
        <v/>
      </c>
      <c r="T69" s="88" t="str">
        <f aca="false">IF(OR(T$4="",MONTH(($G$2+12))&lt;&gt;MONTH($C$2)),"",IF(COUNTIFS(m_teacher,T$4,m_date,($G$2+12),m_active,1,m_start,"&lt;"&amp;1140,m_end,"&gt;"&amp;1080)=0,"",IF(COUNTIFS(m_teacher,T$4,m_date,($G$2+12),m_active,1,m_start,"&lt;"&amp;1140,m_end,"&gt;"&amp;1080)&gt;1,"충돌",HYPERLINK("#'관리자_MASTER'!D"&amp;_xlfn.MAXIFS(m_row,m_teacher,T$4,m_date,($G$2+12),m_active,1,m_start,"&lt;"&amp;1140,m_end,"&gt;"&amp;1080),INDEX(m_label,_xlfn.MAXIFS(m_row,m_teacher,T$4,m_date,($G$2+12),m_active,1,m_start,"&lt;"&amp;1140,m_end,"&gt;"&amp;1080))))))</f>
        <v/>
      </c>
      <c r="U69" s="88" t="str">
        <f aca="false">IF(OR(U$4="",MONTH(($G$2+12))&lt;&gt;MONTH($C$2)),"",IF(COUNTIFS(m_teacher,U$4,m_date,($G$2+12),m_active,1,m_start,"&lt;"&amp;1140,m_end,"&gt;"&amp;1080)=0,"",IF(COUNTIFS(m_teacher,U$4,m_date,($G$2+12),m_active,1,m_start,"&lt;"&amp;1140,m_end,"&gt;"&amp;1080)&gt;1,"충돌",HYPERLINK("#'관리자_MASTER'!D"&amp;_xlfn.MAXIFS(m_row,m_teacher,U$4,m_date,($G$2+12),m_active,1,m_start,"&lt;"&amp;1140,m_end,"&gt;"&amp;1080),INDEX(m_label,_xlfn.MAXIFS(m_row,m_teacher,U$4,m_date,($G$2+12),m_active,1,m_start,"&lt;"&amp;1140,m_end,"&gt;"&amp;1080))))))</f>
        <v/>
      </c>
      <c r="V69" s="88" t="str">
        <f aca="false">IF(OR(V$4="",MONTH(($G$2+12))&lt;&gt;MONTH($C$2)),"",IF(COUNTIFS(m_teacher,V$4,m_date,($G$2+12),m_active,1,m_start,"&lt;"&amp;1140,m_end,"&gt;"&amp;1080)=0,"",IF(COUNTIFS(m_teacher,V$4,m_date,($G$2+12),m_active,1,m_start,"&lt;"&amp;1140,m_end,"&gt;"&amp;1080)&gt;1,"충돌",HYPERLINK("#'관리자_MASTER'!D"&amp;_xlfn.MAXIFS(m_row,m_teacher,V$4,m_date,($G$2+12),m_active,1,m_start,"&lt;"&amp;1140,m_end,"&gt;"&amp;1080),INDEX(m_label,_xlfn.MAXIFS(m_row,m_teacher,V$4,m_date,($G$2+12),m_active,1,m_start,"&lt;"&amp;1140,m_end,"&gt;"&amp;1080))))))</f>
        <v/>
      </c>
      <c r="W69" s="88" t="str">
        <f aca="false">IF(OR(W$4="",MONTH(($G$2+12))&lt;&gt;MONTH($C$2)),"",IF(COUNTIFS(m_teacher,W$4,m_date,($G$2+12),m_active,1,m_start,"&lt;"&amp;1140,m_end,"&gt;"&amp;1080)=0,"",IF(COUNTIFS(m_teacher,W$4,m_date,($G$2+12),m_active,1,m_start,"&lt;"&amp;1140,m_end,"&gt;"&amp;1080)&gt;1,"충돌",HYPERLINK("#'관리자_MASTER'!D"&amp;_xlfn.MAXIFS(m_row,m_teacher,W$4,m_date,($G$2+12),m_active,1,m_start,"&lt;"&amp;1140,m_end,"&gt;"&amp;1080),INDEX(m_label,_xlfn.MAXIFS(m_row,m_teacher,W$4,m_date,($G$2+12),m_active,1,m_start,"&lt;"&amp;1140,m_end,"&gt;"&amp;1080))))))</f>
        <v/>
      </c>
      <c r="X69" s="88" t="str">
        <f aca="false">IF(OR(X$4="",MONTH(($G$2+12))&lt;&gt;MONTH($C$2)),"",IF(COUNTIFS(m_teacher,X$4,m_date,($G$2+12),m_active,1,m_start,"&lt;"&amp;1140,m_end,"&gt;"&amp;1080)=0,"",IF(COUNTIFS(m_teacher,X$4,m_date,($G$2+12),m_active,1,m_start,"&lt;"&amp;1140,m_end,"&gt;"&amp;1080)&gt;1,"충돌",HYPERLINK("#'관리자_MASTER'!D"&amp;_xlfn.MAXIFS(m_row,m_teacher,X$4,m_date,($G$2+12),m_active,1,m_start,"&lt;"&amp;1140,m_end,"&gt;"&amp;1080),INDEX(m_label,_xlfn.MAXIFS(m_row,m_teacher,X$4,m_date,($G$2+12),m_active,1,m_start,"&lt;"&amp;1140,m_end,"&gt;"&amp;1080))))))</f>
        <v/>
      </c>
      <c r="Y69" s="88" t="str">
        <f aca="false">IF(OR(Y$4="",MONTH(($G$2+12))&lt;&gt;MONTH($C$2)),"",IF(COUNTIFS(m_teacher,Y$4,m_date,($G$2+12),m_active,1,m_start,"&lt;"&amp;1140,m_end,"&gt;"&amp;1080)=0,"",IF(COUNTIFS(m_teacher,Y$4,m_date,($G$2+12),m_active,1,m_start,"&lt;"&amp;1140,m_end,"&gt;"&amp;1080)&gt;1,"충돌",HYPERLINK("#'관리자_MASTER'!D"&amp;_xlfn.MAXIFS(m_row,m_teacher,Y$4,m_date,($G$2+12),m_active,1,m_start,"&lt;"&amp;1140,m_end,"&gt;"&amp;1080),INDEX(m_label,_xlfn.MAXIFS(m_row,m_teacher,Y$4,m_date,($G$2+12),m_active,1,m_start,"&lt;"&amp;1140,m_end,"&gt;"&amp;1080))))))</f>
        <v/>
      </c>
      <c r="Z69" s="88" t="str">
        <f aca="false">IF(OR(Z$4="",MONTH(($G$2+12))&lt;&gt;MONTH($C$2)),"",IF(COUNTIFS(m_teacher,Z$4,m_date,($G$2+12),m_active,1,m_start,"&lt;"&amp;1140,m_end,"&gt;"&amp;1080)=0,"",IF(COUNTIFS(m_teacher,Z$4,m_date,($G$2+12),m_active,1,m_start,"&lt;"&amp;1140,m_end,"&gt;"&amp;1080)&gt;1,"충돌",HYPERLINK("#'관리자_MASTER'!D"&amp;_xlfn.MAXIFS(m_row,m_teacher,Z$4,m_date,($G$2+12),m_active,1,m_start,"&lt;"&amp;1140,m_end,"&gt;"&amp;1080),INDEX(m_label,_xlfn.MAXIFS(m_row,m_teacher,Z$4,m_date,($G$2+12),m_active,1,m_start,"&lt;"&amp;1140,m_end,"&gt;"&amp;1080))))))</f>
        <v/>
      </c>
      <c r="AA69" s="88" t="str">
        <f aca="false">IF(OR(AA$4="",MONTH(($G$2+12))&lt;&gt;MONTH($C$2)),"",IF(COUNTIFS(m_teacher,AA$4,m_date,($G$2+12),m_active,1,m_start,"&lt;"&amp;1140,m_end,"&gt;"&amp;1080)=0,"",IF(COUNTIFS(m_teacher,AA$4,m_date,($G$2+12),m_active,1,m_start,"&lt;"&amp;1140,m_end,"&gt;"&amp;1080)&gt;1,"충돌",HYPERLINK("#'관리자_MASTER'!D"&amp;_xlfn.MAXIFS(m_row,m_teacher,AA$4,m_date,($G$2+12),m_active,1,m_start,"&lt;"&amp;1140,m_end,"&gt;"&amp;1080),INDEX(m_label,_xlfn.MAXIFS(m_row,m_teacher,AA$4,m_date,($G$2+12),m_active,1,m_start,"&lt;"&amp;1140,m_end,"&gt;"&amp;1080))))))</f>
        <v/>
      </c>
      <c r="AB69" s="88" t="str">
        <f aca="false">IF(OR(AB$4="",MONTH(($G$2+12))&lt;&gt;MONTH($C$2)),"",IF(COUNTIFS(m_teacher,AB$4,m_date,($G$2+12),m_active,1,m_start,"&lt;"&amp;1140,m_end,"&gt;"&amp;1080)=0,"",IF(COUNTIFS(m_teacher,AB$4,m_date,($G$2+12),m_active,1,m_start,"&lt;"&amp;1140,m_end,"&gt;"&amp;1080)&gt;1,"충돌",HYPERLINK("#'관리자_MASTER'!D"&amp;_xlfn.MAXIFS(m_row,m_teacher,AB$4,m_date,($G$2+12),m_active,1,m_start,"&lt;"&amp;1140,m_end,"&gt;"&amp;1080),INDEX(m_label,_xlfn.MAXIFS(m_row,m_teacher,AB$4,m_date,($G$2+12),m_active,1,m_start,"&lt;"&amp;1140,m_end,"&gt;"&amp;1080))))))</f>
        <v/>
      </c>
      <c r="AC69" s="90"/>
      <c r="AD69" s="79" t="s">
        <v>100</v>
      </c>
      <c r="AE69" s="88" t="str">
        <f aca="false">IF(OR(AE$4="",MONTH(($G$2+19))&lt;&gt;MONTH($C$2)),"",IF(COUNTIFS(m_teacher,AE$4,m_date,($G$2+19),m_active,1,m_start,"&lt;"&amp;1140,m_end,"&gt;"&amp;1080)=0,"",IF(COUNTIFS(m_teacher,AE$4,m_date,($G$2+19),m_active,1,m_start,"&lt;"&amp;1140,m_end,"&gt;"&amp;1080)&gt;1,"충돌",HYPERLINK("#'관리자_MASTER'!D"&amp;_xlfn.MAXIFS(m_row,m_teacher,AE$4,m_date,($G$2+19),m_active,1,m_start,"&lt;"&amp;1140,m_end,"&gt;"&amp;1080),INDEX(m_label,_xlfn.MAXIFS(m_row,m_teacher,AE$4,m_date,($G$2+19),m_active,1,m_start,"&lt;"&amp;1140,m_end,"&gt;"&amp;1080))))))</f>
        <v/>
      </c>
      <c r="AF69" s="88" t="str">
        <f aca="false">IF(OR(AF$4="",MONTH(($G$2+19))&lt;&gt;MONTH($C$2)),"",IF(COUNTIFS(m_teacher,AF$4,m_date,($G$2+19),m_active,1,m_start,"&lt;"&amp;1140,m_end,"&gt;"&amp;1080)=0,"",IF(COUNTIFS(m_teacher,AF$4,m_date,($G$2+19),m_active,1,m_start,"&lt;"&amp;1140,m_end,"&gt;"&amp;1080)&gt;1,"충돌",HYPERLINK("#'관리자_MASTER'!D"&amp;_xlfn.MAXIFS(m_row,m_teacher,AF$4,m_date,($G$2+19),m_active,1,m_start,"&lt;"&amp;1140,m_end,"&gt;"&amp;1080),INDEX(m_label,_xlfn.MAXIFS(m_row,m_teacher,AF$4,m_date,($G$2+19),m_active,1,m_start,"&lt;"&amp;1140,m_end,"&gt;"&amp;1080))))))</f>
        <v/>
      </c>
      <c r="AG69" s="88" t="str">
        <f aca="false">IF(OR(AG$4="",MONTH(($G$2+19))&lt;&gt;MONTH($C$2)),"",IF(COUNTIFS(m_teacher,AG$4,m_date,($G$2+19),m_active,1,m_start,"&lt;"&amp;1140,m_end,"&gt;"&amp;1080)=0,"",IF(COUNTIFS(m_teacher,AG$4,m_date,($G$2+19),m_active,1,m_start,"&lt;"&amp;1140,m_end,"&gt;"&amp;1080)&gt;1,"충돌",HYPERLINK("#'관리자_MASTER'!D"&amp;_xlfn.MAXIFS(m_row,m_teacher,AG$4,m_date,($G$2+19),m_active,1,m_start,"&lt;"&amp;1140,m_end,"&gt;"&amp;1080),INDEX(m_label,_xlfn.MAXIFS(m_row,m_teacher,AG$4,m_date,($G$2+19),m_active,1,m_start,"&lt;"&amp;1140,m_end,"&gt;"&amp;1080))))))</f>
        <v/>
      </c>
      <c r="AH69" s="88" t="str">
        <f aca="false">IF(OR(AH$4="",MONTH(($G$2+19))&lt;&gt;MONTH($C$2)),"",IF(COUNTIFS(m_teacher,AH$4,m_date,($G$2+19),m_active,1,m_start,"&lt;"&amp;1140,m_end,"&gt;"&amp;1080)=0,"",IF(COUNTIFS(m_teacher,AH$4,m_date,($G$2+19),m_active,1,m_start,"&lt;"&amp;1140,m_end,"&gt;"&amp;1080)&gt;1,"충돌",HYPERLINK("#'관리자_MASTER'!D"&amp;_xlfn.MAXIFS(m_row,m_teacher,AH$4,m_date,($G$2+19),m_active,1,m_start,"&lt;"&amp;1140,m_end,"&gt;"&amp;1080),INDEX(m_label,_xlfn.MAXIFS(m_row,m_teacher,AH$4,m_date,($G$2+19),m_active,1,m_start,"&lt;"&amp;1140,m_end,"&gt;"&amp;1080))))))</f>
        <v/>
      </c>
      <c r="AI69" s="88" t="str">
        <f aca="false">IF(OR(AI$4="",MONTH(($G$2+19))&lt;&gt;MONTH($C$2)),"",IF(COUNTIFS(m_teacher,AI$4,m_date,($G$2+19),m_active,1,m_start,"&lt;"&amp;1140,m_end,"&gt;"&amp;1080)=0,"",IF(COUNTIFS(m_teacher,AI$4,m_date,($G$2+19),m_active,1,m_start,"&lt;"&amp;1140,m_end,"&gt;"&amp;1080)&gt;1,"충돌",HYPERLINK("#'관리자_MASTER'!D"&amp;_xlfn.MAXIFS(m_row,m_teacher,AI$4,m_date,($G$2+19),m_active,1,m_start,"&lt;"&amp;1140,m_end,"&gt;"&amp;1080),INDEX(m_label,_xlfn.MAXIFS(m_row,m_teacher,AI$4,m_date,($G$2+19),m_active,1,m_start,"&lt;"&amp;1140,m_end,"&gt;"&amp;1080))))))</f>
        <v/>
      </c>
      <c r="AJ69" s="88" t="str">
        <f aca="false">IF(OR(AJ$4="",MONTH(($G$2+19))&lt;&gt;MONTH($C$2)),"",IF(COUNTIFS(m_teacher,AJ$4,m_date,($G$2+19),m_active,1,m_start,"&lt;"&amp;1140,m_end,"&gt;"&amp;1080)=0,"",IF(COUNTIFS(m_teacher,AJ$4,m_date,($G$2+19),m_active,1,m_start,"&lt;"&amp;1140,m_end,"&gt;"&amp;1080)&gt;1,"충돌",HYPERLINK("#'관리자_MASTER'!D"&amp;_xlfn.MAXIFS(m_row,m_teacher,AJ$4,m_date,($G$2+19),m_active,1,m_start,"&lt;"&amp;1140,m_end,"&gt;"&amp;1080),INDEX(m_label,_xlfn.MAXIFS(m_row,m_teacher,AJ$4,m_date,($G$2+19),m_active,1,m_start,"&lt;"&amp;1140,m_end,"&gt;"&amp;1080))))))</f>
        <v/>
      </c>
      <c r="AK69" s="88" t="str">
        <f aca="false">IF(OR(AK$4="",MONTH(($G$2+19))&lt;&gt;MONTH($C$2)),"",IF(COUNTIFS(m_teacher,AK$4,m_date,($G$2+19),m_active,1,m_start,"&lt;"&amp;1140,m_end,"&gt;"&amp;1080)=0,"",IF(COUNTIFS(m_teacher,AK$4,m_date,($G$2+19),m_active,1,m_start,"&lt;"&amp;1140,m_end,"&gt;"&amp;1080)&gt;1,"충돌",HYPERLINK("#'관리자_MASTER'!D"&amp;_xlfn.MAXIFS(m_row,m_teacher,AK$4,m_date,($G$2+19),m_active,1,m_start,"&lt;"&amp;1140,m_end,"&gt;"&amp;1080),INDEX(m_label,_xlfn.MAXIFS(m_row,m_teacher,AK$4,m_date,($G$2+19),m_active,1,m_start,"&lt;"&amp;1140,m_end,"&gt;"&amp;1080))))))</f>
        <v/>
      </c>
      <c r="AL69" s="88" t="str">
        <f aca="false">IF(OR(AL$4="",MONTH(($G$2+19))&lt;&gt;MONTH($C$2)),"",IF(COUNTIFS(m_teacher,AL$4,m_date,($G$2+19),m_active,1,m_start,"&lt;"&amp;1140,m_end,"&gt;"&amp;1080)=0,"",IF(COUNTIFS(m_teacher,AL$4,m_date,($G$2+19),m_active,1,m_start,"&lt;"&amp;1140,m_end,"&gt;"&amp;1080)&gt;1,"충돌",HYPERLINK("#'관리자_MASTER'!D"&amp;_xlfn.MAXIFS(m_row,m_teacher,AL$4,m_date,($G$2+19),m_active,1,m_start,"&lt;"&amp;1140,m_end,"&gt;"&amp;1080),INDEX(m_label,_xlfn.MAXIFS(m_row,m_teacher,AL$4,m_date,($G$2+19),m_active,1,m_start,"&lt;"&amp;1140,m_end,"&gt;"&amp;1080))))))</f>
        <v/>
      </c>
      <c r="AM69" s="88" t="str">
        <f aca="false">IF(OR(AM$4="",MONTH(($G$2+19))&lt;&gt;MONTH($C$2)),"",IF(COUNTIFS(m_teacher,AM$4,m_date,($G$2+19),m_active,1,m_start,"&lt;"&amp;1140,m_end,"&gt;"&amp;1080)=0,"",IF(COUNTIFS(m_teacher,AM$4,m_date,($G$2+19),m_active,1,m_start,"&lt;"&amp;1140,m_end,"&gt;"&amp;1080)&gt;1,"충돌",HYPERLINK("#'관리자_MASTER'!D"&amp;_xlfn.MAXIFS(m_row,m_teacher,AM$4,m_date,($G$2+19),m_active,1,m_start,"&lt;"&amp;1140,m_end,"&gt;"&amp;1080),INDEX(m_label,_xlfn.MAXIFS(m_row,m_teacher,AM$4,m_date,($G$2+19),m_active,1,m_start,"&lt;"&amp;1140,m_end,"&gt;"&amp;1080))))))</f>
        <v/>
      </c>
      <c r="AN69" s="88" t="str">
        <f aca="false">IF(OR(AN$4="",MONTH(($G$2+19))&lt;&gt;MONTH($C$2)),"",IF(COUNTIFS(m_teacher,AN$4,m_date,($G$2+19),m_active,1,m_start,"&lt;"&amp;1140,m_end,"&gt;"&amp;1080)=0,"",IF(COUNTIFS(m_teacher,AN$4,m_date,($G$2+19),m_active,1,m_start,"&lt;"&amp;1140,m_end,"&gt;"&amp;1080)&gt;1,"충돌",HYPERLINK("#'관리자_MASTER'!D"&amp;_xlfn.MAXIFS(m_row,m_teacher,AN$4,m_date,($G$2+19),m_active,1,m_start,"&lt;"&amp;1140,m_end,"&gt;"&amp;1080),INDEX(m_label,_xlfn.MAXIFS(m_row,m_teacher,AN$4,m_date,($G$2+19),m_active,1,m_start,"&lt;"&amp;1140,m_end,"&gt;"&amp;1080))))))</f>
        <v/>
      </c>
      <c r="AO69" s="88" t="str">
        <f aca="false">IF(OR(AO$4="",MONTH(($G$2+19))&lt;&gt;MONTH($C$2)),"",IF(COUNTIFS(m_teacher,AO$4,m_date,($G$2+19),m_active,1,m_start,"&lt;"&amp;1140,m_end,"&gt;"&amp;1080)=0,"",IF(COUNTIFS(m_teacher,AO$4,m_date,($G$2+19),m_active,1,m_start,"&lt;"&amp;1140,m_end,"&gt;"&amp;1080)&gt;1,"충돌",HYPERLINK("#'관리자_MASTER'!D"&amp;_xlfn.MAXIFS(m_row,m_teacher,AO$4,m_date,($G$2+19),m_active,1,m_start,"&lt;"&amp;1140,m_end,"&gt;"&amp;1080),INDEX(m_label,_xlfn.MAXIFS(m_row,m_teacher,AO$4,m_date,($G$2+19),m_active,1,m_start,"&lt;"&amp;1140,m_end,"&gt;"&amp;1080))))))</f>
        <v/>
      </c>
      <c r="AP69" s="88" t="str">
        <f aca="false">IF(OR(AP$4="",MONTH(($G$2+19))&lt;&gt;MONTH($C$2)),"",IF(COUNTIFS(m_teacher,AP$4,m_date,($G$2+19),m_active,1,m_start,"&lt;"&amp;1140,m_end,"&gt;"&amp;1080)=0,"",IF(COUNTIFS(m_teacher,AP$4,m_date,($G$2+19),m_active,1,m_start,"&lt;"&amp;1140,m_end,"&gt;"&amp;1080)&gt;1,"충돌",HYPERLINK("#'관리자_MASTER'!D"&amp;_xlfn.MAXIFS(m_row,m_teacher,AP$4,m_date,($G$2+19),m_active,1,m_start,"&lt;"&amp;1140,m_end,"&gt;"&amp;1080),INDEX(m_label,_xlfn.MAXIFS(m_row,m_teacher,AP$4,m_date,($G$2+19),m_active,1,m_start,"&lt;"&amp;1140,m_end,"&gt;"&amp;1080))))))</f>
        <v/>
      </c>
      <c r="AQ69" s="90"/>
      <c r="AR69" s="79" t="s">
        <v>100</v>
      </c>
      <c r="AS69" s="88" t="str">
        <f aca="false">IF(OR(AS$4="",MONTH(($G$2+26))&lt;&gt;MONTH($C$2)),"",IF(COUNTIFS(m_teacher,AS$4,m_date,($G$2+26),m_active,1,m_start,"&lt;"&amp;1140,m_end,"&gt;"&amp;1080)=0,"",IF(COUNTIFS(m_teacher,AS$4,m_date,($G$2+26),m_active,1,m_start,"&lt;"&amp;1140,m_end,"&gt;"&amp;1080)&gt;1,"충돌",HYPERLINK("#'관리자_MASTER'!D"&amp;_xlfn.MAXIFS(m_row,m_teacher,AS$4,m_date,($G$2+26),m_active,1,m_start,"&lt;"&amp;1140,m_end,"&gt;"&amp;1080),INDEX(m_label,_xlfn.MAXIFS(m_row,m_teacher,AS$4,m_date,($G$2+26),m_active,1,m_start,"&lt;"&amp;1140,m_end,"&gt;"&amp;1080))))))</f>
        <v/>
      </c>
      <c r="AT69" s="88" t="str">
        <f aca="false">IF(OR(AT$4="",MONTH(($G$2+26))&lt;&gt;MONTH($C$2)),"",IF(COUNTIFS(m_teacher,AT$4,m_date,($G$2+26),m_active,1,m_start,"&lt;"&amp;1140,m_end,"&gt;"&amp;1080)=0,"",IF(COUNTIFS(m_teacher,AT$4,m_date,($G$2+26),m_active,1,m_start,"&lt;"&amp;1140,m_end,"&gt;"&amp;1080)&gt;1,"충돌",HYPERLINK("#'관리자_MASTER'!D"&amp;_xlfn.MAXIFS(m_row,m_teacher,AT$4,m_date,($G$2+26),m_active,1,m_start,"&lt;"&amp;1140,m_end,"&gt;"&amp;1080),INDEX(m_label,_xlfn.MAXIFS(m_row,m_teacher,AT$4,m_date,($G$2+26),m_active,1,m_start,"&lt;"&amp;1140,m_end,"&gt;"&amp;1080))))))</f>
        <v/>
      </c>
      <c r="AU69" s="88" t="str">
        <f aca="false">IF(OR(AU$4="",MONTH(($G$2+26))&lt;&gt;MONTH($C$2)),"",IF(COUNTIFS(m_teacher,AU$4,m_date,($G$2+26),m_active,1,m_start,"&lt;"&amp;1140,m_end,"&gt;"&amp;1080)=0,"",IF(COUNTIFS(m_teacher,AU$4,m_date,($G$2+26),m_active,1,m_start,"&lt;"&amp;1140,m_end,"&gt;"&amp;1080)&gt;1,"충돌",HYPERLINK("#'관리자_MASTER'!D"&amp;_xlfn.MAXIFS(m_row,m_teacher,AU$4,m_date,($G$2+26),m_active,1,m_start,"&lt;"&amp;1140,m_end,"&gt;"&amp;1080),INDEX(m_label,_xlfn.MAXIFS(m_row,m_teacher,AU$4,m_date,($G$2+26),m_active,1,m_start,"&lt;"&amp;1140,m_end,"&gt;"&amp;1080))))))</f>
        <v/>
      </c>
      <c r="AV69" s="88" t="str">
        <f aca="false">IF(OR(AV$4="",MONTH(($G$2+26))&lt;&gt;MONTH($C$2)),"",IF(COUNTIFS(m_teacher,AV$4,m_date,($G$2+26),m_active,1,m_start,"&lt;"&amp;1140,m_end,"&gt;"&amp;1080)=0,"",IF(COUNTIFS(m_teacher,AV$4,m_date,($G$2+26),m_active,1,m_start,"&lt;"&amp;1140,m_end,"&gt;"&amp;1080)&gt;1,"충돌",HYPERLINK("#'관리자_MASTER'!D"&amp;_xlfn.MAXIFS(m_row,m_teacher,AV$4,m_date,($G$2+26),m_active,1,m_start,"&lt;"&amp;1140,m_end,"&gt;"&amp;1080),INDEX(m_label,_xlfn.MAXIFS(m_row,m_teacher,AV$4,m_date,($G$2+26),m_active,1,m_start,"&lt;"&amp;1140,m_end,"&gt;"&amp;1080))))))</f>
        <v/>
      </c>
      <c r="AW69" s="88" t="str">
        <f aca="false">IF(OR(AW$4="",MONTH(($G$2+26))&lt;&gt;MONTH($C$2)),"",IF(COUNTIFS(m_teacher,AW$4,m_date,($G$2+26),m_active,1,m_start,"&lt;"&amp;1140,m_end,"&gt;"&amp;1080)=0,"",IF(COUNTIFS(m_teacher,AW$4,m_date,($G$2+26),m_active,1,m_start,"&lt;"&amp;1140,m_end,"&gt;"&amp;1080)&gt;1,"충돌",HYPERLINK("#'관리자_MASTER'!D"&amp;_xlfn.MAXIFS(m_row,m_teacher,AW$4,m_date,($G$2+26),m_active,1,m_start,"&lt;"&amp;1140,m_end,"&gt;"&amp;1080),INDEX(m_label,_xlfn.MAXIFS(m_row,m_teacher,AW$4,m_date,($G$2+26),m_active,1,m_start,"&lt;"&amp;1140,m_end,"&gt;"&amp;1080))))))</f>
        <v/>
      </c>
      <c r="AX69" s="88" t="str">
        <f aca="false">IF(OR(AX$4="",MONTH(($G$2+26))&lt;&gt;MONTH($C$2)),"",IF(COUNTIFS(m_teacher,AX$4,m_date,($G$2+26),m_active,1,m_start,"&lt;"&amp;1140,m_end,"&gt;"&amp;1080)=0,"",IF(COUNTIFS(m_teacher,AX$4,m_date,($G$2+26),m_active,1,m_start,"&lt;"&amp;1140,m_end,"&gt;"&amp;1080)&gt;1,"충돌",HYPERLINK("#'관리자_MASTER'!D"&amp;_xlfn.MAXIFS(m_row,m_teacher,AX$4,m_date,($G$2+26),m_active,1,m_start,"&lt;"&amp;1140,m_end,"&gt;"&amp;1080),INDEX(m_label,_xlfn.MAXIFS(m_row,m_teacher,AX$4,m_date,($G$2+26),m_active,1,m_start,"&lt;"&amp;1140,m_end,"&gt;"&amp;1080))))))</f>
        <v/>
      </c>
      <c r="AY69" s="88" t="str">
        <f aca="false">IF(OR(AY$4="",MONTH(($G$2+26))&lt;&gt;MONTH($C$2)),"",IF(COUNTIFS(m_teacher,AY$4,m_date,($G$2+26),m_active,1,m_start,"&lt;"&amp;1140,m_end,"&gt;"&amp;1080)=0,"",IF(COUNTIFS(m_teacher,AY$4,m_date,($G$2+26),m_active,1,m_start,"&lt;"&amp;1140,m_end,"&gt;"&amp;1080)&gt;1,"충돌",HYPERLINK("#'관리자_MASTER'!D"&amp;_xlfn.MAXIFS(m_row,m_teacher,AY$4,m_date,($G$2+26),m_active,1,m_start,"&lt;"&amp;1140,m_end,"&gt;"&amp;1080),INDEX(m_label,_xlfn.MAXIFS(m_row,m_teacher,AY$4,m_date,($G$2+26),m_active,1,m_start,"&lt;"&amp;1140,m_end,"&gt;"&amp;1080))))))</f>
        <v/>
      </c>
      <c r="AZ69" s="88" t="str">
        <f aca="false">IF(OR(AZ$4="",MONTH(($G$2+26))&lt;&gt;MONTH($C$2)),"",IF(COUNTIFS(m_teacher,AZ$4,m_date,($G$2+26),m_active,1,m_start,"&lt;"&amp;1140,m_end,"&gt;"&amp;1080)=0,"",IF(COUNTIFS(m_teacher,AZ$4,m_date,($G$2+26),m_active,1,m_start,"&lt;"&amp;1140,m_end,"&gt;"&amp;1080)&gt;1,"충돌",HYPERLINK("#'관리자_MASTER'!D"&amp;_xlfn.MAXIFS(m_row,m_teacher,AZ$4,m_date,($G$2+26),m_active,1,m_start,"&lt;"&amp;1140,m_end,"&gt;"&amp;1080),INDEX(m_label,_xlfn.MAXIFS(m_row,m_teacher,AZ$4,m_date,($G$2+26),m_active,1,m_start,"&lt;"&amp;1140,m_end,"&gt;"&amp;1080))))))</f>
        <v/>
      </c>
      <c r="BA69" s="88" t="str">
        <f aca="false">IF(OR(BA$4="",MONTH(($G$2+26))&lt;&gt;MONTH($C$2)),"",IF(COUNTIFS(m_teacher,BA$4,m_date,($G$2+26),m_active,1,m_start,"&lt;"&amp;1140,m_end,"&gt;"&amp;1080)=0,"",IF(COUNTIFS(m_teacher,BA$4,m_date,($G$2+26),m_active,1,m_start,"&lt;"&amp;1140,m_end,"&gt;"&amp;1080)&gt;1,"충돌",HYPERLINK("#'관리자_MASTER'!D"&amp;_xlfn.MAXIFS(m_row,m_teacher,BA$4,m_date,($G$2+26),m_active,1,m_start,"&lt;"&amp;1140,m_end,"&gt;"&amp;1080),INDEX(m_label,_xlfn.MAXIFS(m_row,m_teacher,BA$4,m_date,($G$2+26),m_active,1,m_start,"&lt;"&amp;1140,m_end,"&gt;"&amp;1080))))))</f>
        <v/>
      </c>
      <c r="BB69" s="88" t="str">
        <f aca="false">IF(OR(BB$4="",MONTH(($G$2+26))&lt;&gt;MONTH($C$2)),"",IF(COUNTIFS(m_teacher,BB$4,m_date,($G$2+26),m_active,1,m_start,"&lt;"&amp;1140,m_end,"&gt;"&amp;1080)=0,"",IF(COUNTIFS(m_teacher,BB$4,m_date,($G$2+26),m_active,1,m_start,"&lt;"&amp;1140,m_end,"&gt;"&amp;1080)&gt;1,"충돌",HYPERLINK("#'관리자_MASTER'!D"&amp;_xlfn.MAXIFS(m_row,m_teacher,BB$4,m_date,($G$2+26),m_active,1,m_start,"&lt;"&amp;1140,m_end,"&gt;"&amp;1080),INDEX(m_label,_xlfn.MAXIFS(m_row,m_teacher,BB$4,m_date,($G$2+26),m_active,1,m_start,"&lt;"&amp;1140,m_end,"&gt;"&amp;1080))))))</f>
        <v/>
      </c>
      <c r="BC69" s="88" t="str">
        <f aca="false">IF(OR(BC$4="",MONTH(($G$2+26))&lt;&gt;MONTH($C$2)),"",IF(COUNTIFS(m_teacher,BC$4,m_date,($G$2+26),m_active,1,m_start,"&lt;"&amp;1140,m_end,"&gt;"&amp;1080)=0,"",IF(COUNTIFS(m_teacher,BC$4,m_date,($G$2+26),m_active,1,m_start,"&lt;"&amp;1140,m_end,"&gt;"&amp;1080)&gt;1,"충돌",HYPERLINK("#'관리자_MASTER'!D"&amp;_xlfn.MAXIFS(m_row,m_teacher,BC$4,m_date,($G$2+26),m_active,1,m_start,"&lt;"&amp;1140,m_end,"&gt;"&amp;1080),INDEX(m_label,_xlfn.MAXIFS(m_row,m_teacher,BC$4,m_date,($G$2+26),m_active,1,m_start,"&lt;"&amp;1140,m_end,"&gt;"&amp;1080))))))</f>
        <v/>
      </c>
      <c r="BD69" s="88" t="str">
        <f aca="false">IF(OR(BD$4="",MONTH(($G$2+26))&lt;&gt;MONTH($C$2)),"",IF(COUNTIFS(m_teacher,BD$4,m_date,($G$2+26),m_active,1,m_start,"&lt;"&amp;1140,m_end,"&gt;"&amp;1080)=0,"",IF(COUNTIFS(m_teacher,BD$4,m_date,($G$2+26),m_active,1,m_start,"&lt;"&amp;1140,m_end,"&gt;"&amp;1080)&gt;1,"충돌",HYPERLINK("#'관리자_MASTER'!D"&amp;_xlfn.MAXIFS(m_row,m_teacher,BD$4,m_date,($G$2+26),m_active,1,m_start,"&lt;"&amp;1140,m_end,"&gt;"&amp;1080),INDEX(m_label,_xlfn.MAXIFS(m_row,m_teacher,BD$4,m_date,($G$2+26),m_active,1,m_start,"&lt;"&amp;1140,m_end,"&gt;"&amp;1080))))))</f>
        <v/>
      </c>
    </row>
    <row r="70" customFormat="false" ht="19.5" hidden="false" customHeight="true" outlineLevel="0" collapsed="false">
      <c r="A70" s="90"/>
      <c r="B70" s="85" t="s">
        <v>101</v>
      </c>
      <c r="C70" s="89" t="str">
        <f aca="false">IF(OR(C$4="",MONTH(($G$2+5))&lt;&gt;MONTH($C$2)),"",IF(COUNTIFS(m_teacher,C$4,m_date,($G$2+5),m_active,1,m_start,"&lt;"&amp;1440,m_end,"&gt;"&amp;1140)=0,"",IF(COUNTIFS(m_teacher,C$4,m_date,($G$2+5),m_active,1,m_start,"&lt;"&amp;1440,m_end,"&gt;"&amp;1140)&gt;1,"충돌",HYPERLINK("#'관리자_MASTER'!D"&amp;_xlfn.MAXIFS(m_row,m_teacher,C$4,m_date,($G$2+5),m_active,1,m_start,"&lt;"&amp;1440,m_end,"&gt;"&amp;1140),INDEX(m_label,_xlfn.MAXIFS(m_row,m_teacher,C$4,m_date,($G$2+5),m_active,1,m_start,"&lt;"&amp;1440,m_end,"&gt;"&amp;1140))))))</f>
        <v/>
      </c>
      <c r="D70" s="89" t="str">
        <f aca="false">IF(OR(D$4="",MONTH(($G$2+5))&lt;&gt;MONTH($C$2)),"",IF(COUNTIFS(m_teacher,D$4,m_date,($G$2+5),m_active,1,m_start,"&lt;"&amp;1440,m_end,"&gt;"&amp;1140)=0,"",IF(COUNTIFS(m_teacher,D$4,m_date,($G$2+5),m_active,1,m_start,"&lt;"&amp;1440,m_end,"&gt;"&amp;1140)&gt;1,"충돌",HYPERLINK("#'관리자_MASTER'!D"&amp;_xlfn.MAXIFS(m_row,m_teacher,D$4,m_date,($G$2+5),m_active,1,m_start,"&lt;"&amp;1440,m_end,"&gt;"&amp;1140),INDEX(m_label,_xlfn.MAXIFS(m_row,m_teacher,D$4,m_date,($G$2+5),m_active,1,m_start,"&lt;"&amp;1440,m_end,"&gt;"&amp;1140))))))</f>
        <v/>
      </c>
      <c r="E70" s="89" t="str">
        <f aca="false">IF(OR(E$4="",MONTH(($G$2+5))&lt;&gt;MONTH($C$2)),"",IF(COUNTIFS(m_teacher,E$4,m_date,($G$2+5),m_active,1,m_start,"&lt;"&amp;1440,m_end,"&gt;"&amp;1140)=0,"",IF(COUNTIFS(m_teacher,E$4,m_date,($G$2+5),m_active,1,m_start,"&lt;"&amp;1440,m_end,"&gt;"&amp;1140)&gt;1,"충돌",HYPERLINK("#'관리자_MASTER'!D"&amp;_xlfn.MAXIFS(m_row,m_teacher,E$4,m_date,($G$2+5),m_active,1,m_start,"&lt;"&amp;1440,m_end,"&gt;"&amp;1140),INDEX(m_label,_xlfn.MAXIFS(m_row,m_teacher,E$4,m_date,($G$2+5),m_active,1,m_start,"&lt;"&amp;1440,m_end,"&gt;"&amp;1140))))))</f>
        <v/>
      </c>
      <c r="F70" s="89" t="str">
        <f aca="false">IF(OR(F$4="",MONTH(($G$2+5))&lt;&gt;MONTH($C$2)),"",IF(COUNTIFS(m_teacher,F$4,m_date,($G$2+5),m_active,1,m_start,"&lt;"&amp;1440,m_end,"&gt;"&amp;1140)=0,"",IF(COUNTIFS(m_teacher,F$4,m_date,($G$2+5),m_active,1,m_start,"&lt;"&amp;1440,m_end,"&gt;"&amp;1140)&gt;1,"충돌",HYPERLINK("#'관리자_MASTER'!D"&amp;_xlfn.MAXIFS(m_row,m_teacher,F$4,m_date,($G$2+5),m_active,1,m_start,"&lt;"&amp;1440,m_end,"&gt;"&amp;1140),INDEX(m_label,_xlfn.MAXIFS(m_row,m_teacher,F$4,m_date,($G$2+5),m_active,1,m_start,"&lt;"&amp;1440,m_end,"&gt;"&amp;1140))))))</f>
        <v/>
      </c>
      <c r="G70" s="89" t="str">
        <f aca="false">IF(OR(G$4="",MONTH(($G$2+5))&lt;&gt;MONTH($C$2)),"",IF(COUNTIFS(m_teacher,G$4,m_date,($G$2+5),m_active,1,m_start,"&lt;"&amp;1440,m_end,"&gt;"&amp;1140)=0,"",IF(COUNTIFS(m_teacher,G$4,m_date,($G$2+5),m_active,1,m_start,"&lt;"&amp;1440,m_end,"&gt;"&amp;1140)&gt;1,"충돌",HYPERLINK("#'관리자_MASTER'!D"&amp;_xlfn.MAXIFS(m_row,m_teacher,G$4,m_date,($G$2+5),m_active,1,m_start,"&lt;"&amp;1440,m_end,"&gt;"&amp;1140),INDEX(m_label,_xlfn.MAXIFS(m_row,m_teacher,G$4,m_date,($G$2+5),m_active,1,m_start,"&lt;"&amp;1440,m_end,"&gt;"&amp;1140))))))</f>
        <v/>
      </c>
      <c r="H70" s="89" t="str">
        <f aca="false">IF(OR(H$4="",MONTH(($G$2+5))&lt;&gt;MONTH($C$2)),"",IF(COUNTIFS(m_teacher,H$4,m_date,($G$2+5),m_active,1,m_start,"&lt;"&amp;1440,m_end,"&gt;"&amp;1140)=0,"",IF(COUNTIFS(m_teacher,H$4,m_date,($G$2+5),m_active,1,m_start,"&lt;"&amp;1440,m_end,"&gt;"&amp;1140)&gt;1,"충돌",HYPERLINK("#'관리자_MASTER'!D"&amp;_xlfn.MAXIFS(m_row,m_teacher,H$4,m_date,($G$2+5),m_active,1,m_start,"&lt;"&amp;1440,m_end,"&gt;"&amp;1140),INDEX(m_label,_xlfn.MAXIFS(m_row,m_teacher,H$4,m_date,($G$2+5),m_active,1,m_start,"&lt;"&amp;1440,m_end,"&gt;"&amp;1140))))))</f>
        <v/>
      </c>
      <c r="I70" s="89" t="str">
        <f aca="false">IF(OR(I$4="",MONTH(($G$2+5))&lt;&gt;MONTH($C$2)),"",IF(COUNTIFS(m_teacher,I$4,m_date,($G$2+5),m_active,1,m_start,"&lt;"&amp;1440,m_end,"&gt;"&amp;1140)=0,"",IF(COUNTIFS(m_teacher,I$4,m_date,($G$2+5),m_active,1,m_start,"&lt;"&amp;1440,m_end,"&gt;"&amp;1140)&gt;1,"충돌",HYPERLINK("#'관리자_MASTER'!D"&amp;_xlfn.MAXIFS(m_row,m_teacher,I$4,m_date,($G$2+5),m_active,1,m_start,"&lt;"&amp;1440,m_end,"&gt;"&amp;1140),INDEX(m_label,_xlfn.MAXIFS(m_row,m_teacher,I$4,m_date,($G$2+5),m_active,1,m_start,"&lt;"&amp;1440,m_end,"&gt;"&amp;1140))))))</f>
        <v/>
      </c>
      <c r="J70" s="89" t="str">
        <f aca="false">IF(OR(J$4="",MONTH(($G$2+5))&lt;&gt;MONTH($C$2)),"",IF(COUNTIFS(m_teacher,J$4,m_date,($G$2+5),m_active,1,m_start,"&lt;"&amp;1440,m_end,"&gt;"&amp;1140)=0,"",IF(COUNTIFS(m_teacher,J$4,m_date,($G$2+5),m_active,1,m_start,"&lt;"&amp;1440,m_end,"&gt;"&amp;1140)&gt;1,"충돌",HYPERLINK("#'관리자_MASTER'!D"&amp;_xlfn.MAXIFS(m_row,m_teacher,J$4,m_date,($G$2+5),m_active,1,m_start,"&lt;"&amp;1440,m_end,"&gt;"&amp;1140),INDEX(m_label,_xlfn.MAXIFS(m_row,m_teacher,J$4,m_date,($G$2+5),m_active,1,m_start,"&lt;"&amp;1440,m_end,"&gt;"&amp;1140))))))</f>
        <v/>
      </c>
      <c r="K70" s="89" t="str">
        <f aca="false">IF(OR(K$4="",MONTH(($G$2+5))&lt;&gt;MONTH($C$2)),"",IF(COUNTIFS(m_teacher,K$4,m_date,($G$2+5),m_active,1,m_start,"&lt;"&amp;1440,m_end,"&gt;"&amp;1140)=0,"",IF(COUNTIFS(m_teacher,K$4,m_date,($G$2+5),m_active,1,m_start,"&lt;"&amp;1440,m_end,"&gt;"&amp;1140)&gt;1,"충돌",HYPERLINK("#'관리자_MASTER'!D"&amp;_xlfn.MAXIFS(m_row,m_teacher,K$4,m_date,($G$2+5),m_active,1,m_start,"&lt;"&amp;1440,m_end,"&gt;"&amp;1140),INDEX(m_label,_xlfn.MAXIFS(m_row,m_teacher,K$4,m_date,($G$2+5),m_active,1,m_start,"&lt;"&amp;1440,m_end,"&gt;"&amp;1140))))))</f>
        <v/>
      </c>
      <c r="L70" s="89" t="str">
        <f aca="false">IF(OR(L$4="",MONTH(($G$2+5))&lt;&gt;MONTH($C$2)),"",IF(COUNTIFS(m_teacher,L$4,m_date,($G$2+5),m_active,1,m_start,"&lt;"&amp;1440,m_end,"&gt;"&amp;1140)=0,"",IF(COUNTIFS(m_teacher,L$4,m_date,($G$2+5),m_active,1,m_start,"&lt;"&amp;1440,m_end,"&gt;"&amp;1140)&gt;1,"충돌",HYPERLINK("#'관리자_MASTER'!D"&amp;_xlfn.MAXIFS(m_row,m_teacher,L$4,m_date,($G$2+5),m_active,1,m_start,"&lt;"&amp;1440,m_end,"&gt;"&amp;1140),INDEX(m_label,_xlfn.MAXIFS(m_row,m_teacher,L$4,m_date,($G$2+5),m_active,1,m_start,"&lt;"&amp;1440,m_end,"&gt;"&amp;1140))))))</f>
        <v/>
      </c>
      <c r="M70" s="89" t="str">
        <f aca="false">IF(OR(M$4="",MONTH(($G$2+5))&lt;&gt;MONTH($C$2)),"",IF(COUNTIFS(m_teacher,M$4,m_date,($G$2+5),m_active,1,m_start,"&lt;"&amp;1440,m_end,"&gt;"&amp;1140)=0,"",IF(COUNTIFS(m_teacher,M$4,m_date,($G$2+5),m_active,1,m_start,"&lt;"&amp;1440,m_end,"&gt;"&amp;1140)&gt;1,"충돌",HYPERLINK("#'관리자_MASTER'!D"&amp;_xlfn.MAXIFS(m_row,m_teacher,M$4,m_date,($G$2+5),m_active,1,m_start,"&lt;"&amp;1440,m_end,"&gt;"&amp;1140),INDEX(m_label,_xlfn.MAXIFS(m_row,m_teacher,M$4,m_date,($G$2+5),m_active,1,m_start,"&lt;"&amp;1440,m_end,"&gt;"&amp;1140))))))</f>
        <v/>
      </c>
      <c r="N70" s="89" t="str">
        <f aca="false">IF(OR(N$4="",MONTH(($G$2+5))&lt;&gt;MONTH($C$2)),"",IF(COUNTIFS(m_teacher,N$4,m_date,($G$2+5),m_active,1,m_start,"&lt;"&amp;1440,m_end,"&gt;"&amp;1140)=0,"",IF(COUNTIFS(m_teacher,N$4,m_date,($G$2+5),m_active,1,m_start,"&lt;"&amp;1440,m_end,"&gt;"&amp;1140)&gt;1,"충돌",HYPERLINK("#'관리자_MASTER'!D"&amp;_xlfn.MAXIFS(m_row,m_teacher,N$4,m_date,($G$2+5),m_active,1,m_start,"&lt;"&amp;1440,m_end,"&gt;"&amp;1140),INDEX(m_label,_xlfn.MAXIFS(m_row,m_teacher,N$4,m_date,($G$2+5),m_active,1,m_start,"&lt;"&amp;1440,m_end,"&gt;"&amp;1140))))))</f>
        <v/>
      </c>
      <c r="O70" s="90"/>
      <c r="P70" s="85" t="s">
        <v>101</v>
      </c>
      <c r="Q70" s="89" t="str">
        <f aca="false">IF(OR(Q$4="",MONTH(($G$2+12))&lt;&gt;MONTH($C$2)),"",IF(COUNTIFS(m_teacher,Q$4,m_date,($G$2+12),m_active,1,m_start,"&lt;"&amp;1440,m_end,"&gt;"&amp;1140)=0,"",IF(COUNTIFS(m_teacher,Q$4,m_date,($G$2+12),m_active,1,m_start,"&lt;"&amp;1440,m_end,"&gt;"&amp;1140)&gt;1,"충돌",HYPERLINK("#'관리자_MASTER'!D"&amp;_xlfn.MAXIFS(m_row,m_teacher,Q$4,m_date,($G$2+12),m_active,1,m_start,"&lt;"&amp;1440,m_end,"&gt;"&amp;1140),INDEX(m_label,_xlfn.MAXIFS(m_row,m_teacher,Q$4,m_date,($G$2+12),m_active,1,m_start,"&lt;"&amp;1440,m_end,"&gt;"&amp;1140))))))</f>
        <v/>
      </c>
      <c r="R70" s="89" t="str">
        <f aca="false">IF(OR(R$4="",MONTH(($G$2+12))&lt;&gt;MONTH($C$2)),"",IF(COUNTIFS(m_teacher,R$4,m_date,($G$2+12),m_active,1,m_start,"&lt;"&amp;1440,m_end,"&gt;"&amp;1140)=0,"",IF(COUNTIFS(m_teacher,R$4,m_date,($G$2+12),m_active,1,m_start,"&lt;"&amp;1440,m_end,"&gt;"&amp;1140)&gt;1,"충돌",HYPERLINK("#'관리자_MASTER'!D"&amp;_xlfn.MAXIFS(m_row,m_teacher,R$4,m_date,($G$2+12),m_active,1,m_start,"&lt;"&amp;1440,m_end,"&gt;"&amp;1140),INDEX(m_label,_xlfn.MAXIFS(m_row,m_teacher,R$4,m_date,($G$2+12),m_active,1,m_start,"&lt;"&amp;1440,m_end,"&gt;"&amp;1140))))))</f>
        <v/>
      </c>
      <c r="S70" s="89" t="str">
        <f aca="false">IF(OR(S$4="",MONTH(($G$2+12))&lt;&gt;MONTH($C$2)),"",IF(COUNTIFS(m_teacher,S$4,m_date,($G$2+12),m_active,1,m_start,"&lt;"&amp;1440,m_end,"&gt;"&amp;1140)=0,"",IF(COUNTIFS(m_teacher,S$4,m_date,($G$2+12),m_active,1,m_start,"&lt;"&amp;1440,m_end,"&gt;"&amp;1140)&gt;1,"충돌",HYPERLINK("#'관리자_MASTER'!D"&amp;_xlfn.MAXIFS(m_row,m_teacher,S$4,m_date,($G$2+12),m_active,1,m_start,"&lt;"&amp;1440,m_end,"&gt;"&amp;1140),INDEX(m_label,_xlfn.MAXIFS(m_row,m_teacher,S$4,m_date,($G$2+12),m_active,1,m_start,"&lt;"&amp;1440,m_end,"&gt;"&amp;1140))))))</f>
        <v/>
      </c>
      <c r="T70" s="89" t="str">
        <f aca="false">IF(OR(T$4="",MONTH(($G$2+12))&lt;&gt;MONTH($C$2)),"",IF(COUNTIFS(m_teacher,T$4,m_date,($G$2+12),m_active,1,m_start,"&lt;"&amp;1440,m_end,"&gt;"&amp;1140)=0,"",IF(COUNTIFS(m_teacher,T$4,m_date,($G$2+12),m_active,1,m_start,"&lt;"&amp;1440,m_end,"&gt;"&amp;1140)&gt;1,"충돌",HYPERLINK("#'관리자_MASTER'!D"&amp;_xlfn.MAXIFS(m_row,m_teacher,T$4,m_date,($G$2+12),m_active,1,m_start,"&lt;"&amp;1440,m_end,"&gt;"&amp;1140),INDEX(m_label,_xlfn.MAXIFS(m_row,m_teacher,T$4,m_date,($G$2+12),m_active,1,m_start,"&lt;"&amp;1440,m_end,"&gt;"&amp;1140))))))</f>
        <v/>
      </c>
      <c r="U70" s="89" t="str">
        <f aca="false">IF(OR(U$4="",MONTH(($G$2+12))&lt;&gt;MONTH($C$2)),"",IF(COUNTIFS(m_teacher,U$4,m_date,($G$2+12),m_active,1,m_start,"&lt;"&amp;1440,m_end,"&gt;"&amp;1140)=0,"",IF(COUNTIFS(m_teacher,U$4,m_date,($G$2+12),m_active,1,m_start,"&lt;"&amp;1440,m_end,"&gt;"&amp;1140)&gt;1,"충돌",HYPERLINK("#'관리자_MASTER'!D"&amp;_xlfn.MAXIFS(m_row,m_teacher,U$4,m_date,($G$2+12),m_active,1,m_start,"&lt;"&amp;1440,m_end,"&gt;"&amp;1140),INDEX(m_label,_xlfn.MAXIFS(m_row,m_teacher,U$4,m_date,($G$2+12),m_active,1,m_start,"&lt;"&amp;1440,m_end,"&gt;"&amp;1140))))))</f>
        <v/>
      </c>
      <c r="V70" s="89" t="str">
        <f aca="false">IF(OR(V$4="",MONTH(($G$2+12))&lt;&gt;MONTH($C$2)),"",IF(COUNTIFS(m_teacher,V$4,m_date,($G$2+12),m_active,1,m_start,"&lt;"&amp;1440,m_end,"&gt;"&amp;1140)=0,"",IF(COUNTIFS(m_teacher,V$4,m_date,($G$2+12),m_active,1,m_start,"&lt;"&amp;1440,m_end,"&gt;"&amp;1140)&gt;1,"충돌",HYPERLINK("#'관리자_MASTER'!D"&amp;_xlfn.MAXIFS(m_row,m_teacher,V$4,m_date,($G$2+12),m_active,1,m_start,"&lt;"&amp;1440,m_end,"&gt;"&amp;1140),INDEX(m_label,_xlfn.MAXIFS(m_row,m_teacher,V$4,m_date,($G$2+12),m_active,1,m_start,"&lt;"&amp;1440,m_end,"&gt;"&amp;1140))))))</f>
        <v/>
      </c>
      <c r="W70" s="89" t="str">
        <f aca="false">IF(OR(W$4="",MONTH(($G$2+12))&lt;&gt;MONTH($C$2)),"",IF(COUNTIFS(m_teacher,W$4,m_date,($G$2+12),m_active,1,m_start,"&lt;"&amp;1440,m_end,"&gt;"&amp;1140)=0,"",IF(COUNTIFS(m_teacher,W$4,m_date,($G$2+12),m_active,1,m_start,"&lt;"&amp;1440,m_end,"&gt;"&amp;1140)&gt;1,"충돌",HYPERLINK("#'관리자_MASTER'!D"&amp;_xlfn.MAXIFS(m_row,m_teacher,W$4,m_date,($G$2+12),m_active,1,m_start,"&lt;"&amp;1440,m_end,"&gt;"&amp;1140),INDEX(m_label,_xlfn.MAXIFS(m_row,m_teacher,W$4,m_date,($G$2+12),m_active,1,m_start,"&lt;"&amp;1440,m_end,"&gt;"&amp;1140))))))</f>
        <v/>
      </c>
      <c r="X70" s="89" t="str">
        <f aca="false">IF(OR(X$4="",MONTH(($G$2+12))&lt;&gt;MONTH($C$2)),"",IF(COUNTIFS(m_teacher,X$4,m_date,($G$2+12),m_active,1,m_start,"&lt;"&amp;1440,m_end,"&gt;"&amp;1140)=0,"",IF(COUNTIFS(m_teacher,X$4,m_date,($G$2+12),m_active,1,m_start,"&lt;"&amp;1440,m_end,"&gt;"&amp;1140)&gt;1,"충돌",HYPERLINK("#'관리자_MASTER'!D"&amp;_xlfn.MAXIFS(m_row,m_teacher,X$4,m_date,($G$2+12),m_active,1,m_start,"&lt;"&amp;1440,m_end,"&gt;"&amp;1140),INDEX(m_label,_xlfn.MAXIFS(m_row,m_teacher,X$4,m_date,($G$2+12),m_active,1,m_start,"&lt;"&amp;1440,m_end,"&gt;"&amp;1140))))))</f>
        <v/>
      </c>
      <c r="Y70" s="89" t="str">
        <f aca="false">IF(OR(Y$4="",MONTH(($G$2+12))&lt;&gt;MONTH($C$2)),"",IF(COUNTIFS(m_teacher,Y$4,m_date,($G$2+12),m_active,1,m_start,"&lt;"&amp;1440,m_end,"&gt;"&amp;1140)=0,"",IF(COUNTIFS(m_teacher,Y$4,m_date,($G$2+12),m_active,1,m_start,"&lt;"&amp;1440,m_end,"&gt;"&amp;1140)&gt;1,"충돌",HYPERLINK("#'관리자_MASTER'!D"&amp;_xlfn.MAXIFS(m_row,m_teacher,Y$4,m_date,($G$2+12),m_active,1,m_start,"&lt;"&amp;1440,m_end,"&gt;"&amp;1140),INDEX(m_label,_xlfn.MAXIFS(m_row,m_teacher,Y$4,m_date,($G$2+12),m_active,1,m_start,"&lt;"&amp;1440,m_end,"&gt;"&amp;1140))))))</f>
        <v/>
      </c>
      <c r="Z70" s="89" t="str">
        <f aca="false">IF(OR(Z$4="",MONTH(($G$2+12))&lt;&gt;MONTH($C$2)),"",IF(COUNTIFS(m_teacher,Z$4,m_date,($G$2+12),m_active,1,m_start,"&lt;"&amp;1440,m_end,"&gt;"&amp;1140)=0,"",IF(COUNTIFS(m_teacher,Z$4,m_date,($G$2+12),m_active,1,m_start,"&lt;"&amp;1440,m_end,"&gt;"&amp;1140)&gt;1,"충돌",HYPERLINK("#'관리자_MASTER'!D"&amp;_xlfn.MAXIFS(m_row,m_teacher,Z$4,m_date,($G$2+12),m_active,1,m_start,"&lt;"&amp;1440,m_end,"&gt;"&amp;1140),INDEX(m_label,_xlfn.MAXIFS(m_row,m_teacher,Z$4,m_date,($G$2+12),m_active,1,m_start,"&lt;"&amp;1440,m_end,"&gt;"&amp;1140))))))</f>
        <v/>
      </c>
      <c r="AA70" s="89" t="str">
        <f aca="false">IF(OR(AA$4="",MONTH(($G$2+12))&lt;&gt;MONTH($C$2)),"",IF(COUNTIFS(m_teacher,AA$4,m_date,($G$2+12),m_active,1,m_start,"&lt;"&amp;1440,m_end,"&gt;"&amp;1140)=0,"",IF(COUNTIFS(m_teacher,AA$4,m_date,($G$2+12),m_active,1,m_start,"&lt;"&amp;1440,m_end,"&gt;"&amp;1140)&gt;1,"충돌",HYPERLINK("#'관리자_MASTER'!D"&amp;_xlfn.MAXIFS(m_row,m_teacher,AA$4,m_date,($G$2+12),m_active,1,m_start,"&lt;"&amp;1440,m_end,"&gt;"&amp;1140),INDEX(m_label,_xlfn.MAXIFS(m_row,m_teacher,AA$4,m_date,($G$2+12),m_active,1,m_start,"&lt;"&amp;1440,m_end,"&gt;"&amp;1140))))))</f>
        <v/>
      </c>
      <c r="AB70" s="89" t="str">
        <f aca="false">IF(OR(AB$4="",MONTH(($G$2+12))&lt;&gt;MONTH($C$2)),"",IF(COUNTIFS(m_teacher,AB$4,m_date,($G$2+12),m_active,1,m_start,"&lt;"&amp;1440,m_end,"&gt;"&amp;1140)=0,"",IF(COUNTIFS(m_teacher,AB$4,m_date,($G$2+12),m_active,1,m_start,"&lt;"&amp;1440,m_end,"&gt;"&amp;1140)&gt;1,"충돌",HYPERLINK("#'관리자_MASTER'!D"&amp;_xlfn.MAXIFS(m_row,m_teacher,AB$4,m_date,($G$2+12),m_active,1,m_start,"&lt;"&amp;1440,m_end,"&gt;"&amp;1140),INDEX(m_label,_xlfn.MAXIFS(m_row,m_teacher,AB$4,m_date,($G$2+12),m_active,1,m_start,"&lt;"&amp;1440,m_end,"&gt;"&amp;1140))))))</f>
        <v/>
      </c>
      <c r="AC70" s="90"/>
      <c r="AD70" s="85" t="s">
        <v>101</v>
      </c>
      <c r="AE70" s="89" t="str">
        <f aca="false">IF(OR(AE$4="",MONTH(($G$2+19))&lt;&gt;MONTH($C$2)),"",IF(COUNTIFS(m_teacher,AE$4,m_date,($G$2+19),m_active,1,m_start,"&lt;"&amp;1440,m_end,"&gt;"&amp;1140)=0,"",IF(COUNTIFS(m_teacher,AE$4,m_date,($G$2+19),m_active,1,m_start,"&lt;"&amp;1440,m_end,"&gt;"&amp;1140)&gt;1,"충돌",HYPERLINK("#'관리자_MASTER'!D"&amp;_xlfn.MAXIFS(m_row,m_teacher,AE$4,m_date,($G$2+19),m_active,1,m_start,"&lt;"&amp;1440,m_end,"&gt;"&amp;1140),INDEX(m_label,_xlfn.MAXIFS(m_row,m_teacher,AE$4,m_date,($G$2+19),m_active,1,m_start,"&lt;"&amp;1440,m_end,"&gt;"&amp;1140))))))</f>
        <v/>
      </c>
      <c r="AF70" s="89" t="str">
        <f aca="false">IF(OR(AF$4="",MONTH(($G$2+19))&lt;&gt;MONTH($C$2)),"",IF(COUNTIFS(m_teacher,AF$4,m_date,($G$2+19),m_active,1,m_start,"&lt;"&amp;1440,m_end,"&gt;"&amp;1140)=0,"",IF(COUNTIFS(m_teacher,AF$4,m_date,($G$2+19),m_active,1,m_start,"&lt;"&amp;1440,m_end,"&gt;"&amp;1140)&gt;1,"충돌",HYPERLINK("#'관리자_MASTER'!D"&amp;_xlfn.MAXIFS(m_row,m_teacher,AF$4,m_date,($G$2+19),m_active,1,m_start,"&lt;"&amp;1440,m_end,"&gt;"&amp;1140),INDEX(m_label,_xlfn.MAXIFS(m_row,m_teacher,AF$4,m_date,($G$2+19),m_active,1,m_start,"&lt;"&amp;1440,m_end,"&gt;"&amp;1140))))))</f>
        <v/>
      </c>
      <c r="AG70" s="89" t="str">
        <f aca="false">IF(OR(AG$4="",MONTH(($G$2+19))&lt;&gt;MONTH($C$2)),"",IF(COUNTIFS(m_teacher,AG$4,m_date,($G$2+19),m_active,1,m_start,"&lt;"&amp;1440,m_end,"&gt;"&amp;1140)=0,"",IF(COUNTIFS(m_teacher,AG$4,m_date,($G$2+19),m_active,1,m_start,"&lt;"&amp;1440,m_end,"&gt;"&amp;1140)&gt;1,"충돌",HYPERLINK("#'관리자_MASTER'!D"&amp;_xlfn.MAXIFS(m_row,m_teacher,AG$4,m_date,($G$2+19),m_active,1,m_start,"&lt;"&amp;1440,m_end,"&gt;"&amp;1140),INDEX(m_label,_xlfn.MAXIFS(m_row,m_teacher,AG$4,m_date,($G$2+19),m_active,1,m_start,"&lt;"&amp;1440,m_end,"&gt;"&amp;1140))))))</f>
        <v/>
      </c>
      <c r="AH70" s="89" t="str">
        <f aca="false">IF(OR(AH$4="",MONTH(($G$2+19))&lt;&gt;MONTH($C$2)),"",IF(COUNTIFS(m_teacher,AH$4,m_date,($G$2+19),m_active,1,m_start,"&lt;"&amp;1440,m_end,"&gt;"&amp;1140)=0,"",IF(COUNTIFS(m_teacher,AH$4,m_date,($G$2+19),m_active,1,m_start,"&lt;"&amp;1440,m_end,"&gt;"&amp;1140)&gt;1,"충돌",HYPERLINK("#'관리자_MASTER'!D"&amp;_xlfn.MAXIFS(m_row,m_teacher,AH$4,m_date,($G$2+19),m_active,1,m_start,"&lt;"&amp;1440,m_end,"&gt;"&amp;1140),INDEX(m_label,_xlfn.MAXIFS(m_row,m_teacher,AH$4,m_date,($G$2+19),m_active,1,m_start,"&lt;"&amp;1440,m_end,"&gt;"&amp;1140))))))</f>
        <v/>
      </c>
      <c r="AI70" s="89" t="str">
        <f aca="false">IF(OR(AI$4="",MONTH(($G$2+19))&lt;&gt;MONTH($C$2)),"",IF(COUNTIFS(m_teacher,AI$4,m_date,($G$2+19),m_active,1,m_start,"&lt;"&amp;1440,m_end,"&gt;"&amp;1140)=0,"",IF(COUNTIFS(m_teacher,AI$4,m_date,($G$2+19),m_active,1,m_start,"&lt;"&amp;1440,m_end,"&gt;"&amp;1140)&gt;1,"충돌",HYPERLINK("#'관리자_MASTER'!D"&amp;_xlfn.MAXIFS(m_row,m_teacher,AI$4,m_date,($G$2+19),m_active,1,m_start,"&lt;"&amp;1440,m_end,"&gt;"&amp;1140),INDEX(m_label,_xlfn.MAXIFS(m_row,m_teacher,AI$4,m_date,($G$2+19),m_active,1,m_start,"&lt;"&amp;1440,m_end,"&gt;"&amp;1140))))))</f>
        <v/>
      </c>
      <c r="AJ70" s="89" t="str">
        <f aca="false">IF(OR(AJ$4="",MONTH(($G$2+19))&lt;&gt;MONTH($C$2)),"",IF(COUNTIFS(m_teacher,AJ$4,m_date,($G$2+19),m_active,1,m_start,"&lt;"&amp;1440,m_end,"&gt;"&amp;1140)=0,"",IF(COUNTIFS(m_teacher,AJ$4,m_date,($G$2+19),m_active,1,m_start,"&lt;"&amp;1440,m_end,"&gt;"&amp;1140)&gt;1,"충돌",HYPERLINK("#'관리자_MASTER'!D"&amp;_xlfn.MAXIFS(m_row,m_teacher,AJ$4,m_date,($G$2+19),m_active,1,m_start,"&lt;"&amp;1440,m_end,"&gt;"&amp;1140),INDEX(m_label,_xlfn.MAXIFS(m_row,m_teacher,AJ$4,m_date,($G$2+19),m_active,1,m_start,"&lt;"&amp;1440,m_end,"&gt;"&amp;1140))))))</f>
        <v/>
      </c>
      <c r="AK70" s="89" t="str">
        <f aca="false">IF(OR(AK$4="",MONTH(($G$2+19))&lt;&gt;MONTH($C$2)),"",IF(COUNTIFS(m_teacher,AK$4,m_date,($G$2+19),m_active,1,m_start,"&lt;"&amp;1440,m_end,"&gt;"&amp;1140)=0,"",IF(COUNTIFS(m_teacher,AK$4,m_date,($G$2+19),m_active,1,m_start,"&lt;"&amp;1440,m_end,"&gt;"&amp;1140)&gt;1,"충돌",HYPERLINK("#'관리자_MASTER'!D"&amp;_xlfn.MAXIFS(m_row,m_teacher,AK$4,m_date,($G$2+19),m_active,1,m_start,"&lt;"&amp;1440,m_end,"&gt;"&amp;1140),INDEX(m_label,_xlfn.MAXIFS(m_row,m_teacher,AK$4,m_date,($G$2+19),m_active,1,m_start,"&lt;"&amp;1440,m_end,"&gt;"&amp;1140))))))</f>
        <v/>
      </c>
      <c r="AL70" s="89" t="str">
        <f aca="false">IF(OR(AL$4="",MONTH(($G$2+19))&lt;&gt;MONTH($C$2)),"",IF(COUNTIFS(m_teacher,AL$4,m_date,($G$2+19),m_active,1,m_start,"&lt;"&amp;1440,m_end,"&gt;"&amp;1140)=0,"",IF(COUNTIFS(m_teacher,AL$4,m_date,($G$2+19),m_active,1,m_start,"&lt;"&amp;1440,m_end,"&gt;"&amp;1140)&gt;1,"충돌",HYPERLINK("#'관리자_MASTER'!D"&amp;_xlfn.MAXIFS(m_row,m_teacher,AL$4,m_date,($G$2+19),m_active,1,m_start,"&lt;"&amp;1440,m_end,"&gt;"&amp;1140),INDEX(m_label,_xlfn.MAXIFS(m_row,m_teacher,AL$4,m_date,($G$2+19),m_active,1,m_start,"&lt;"&amp;1440,m_end,"&gt;"&amp;1140))))))</f>
        <v/>
      </c>
      <c r="AM70" s="89" t="str">
        <f aca="false">IF(OR(AM$4="",MONTH(($G$2+19))&lt;&gt;MONTH($C$2)),"",IF(COUNTIFS(m_teacher,AM$4,m_date,($G$2+19),m_active,1,m_start,"&lt;"&amp;1440,m_end,"&gt;"&amp;1140)=0,"",IF(COUNTIFS(m_teacher,AM$4,m_date,($G$2+19),m_active,1,m_start,"&lt;"&amp;1440,m_end,"&gt;"&amp;1140)&gt;1,"충돌",HYPERLINK("#'관리자_MASTER'!D"&amp;_xlfn.MAXIFS(m_row,m_teacher,AM$4,m_date,($G$2+19),m_active,1,m_start,"&lt;"&amp;1440,m_end,"&gt;"&amp;1140),INDEX(m_label,_xlfn.MAXIFS(m_row,m_teacher,AM$4,m_date,($G$2+19),m_active,1,m_start,"&lt;"&amp;1440,m_end,"&gt;"&amp;1140))))))</f>
        <v/>
      </c>
      <c r="AN70" s="89" t="str">
        <f aca="false">IF(OR(AN$4="",MONTH(($G$2+19))&lt;&gt;MONTH($C$2)),"",IF(COUNTIFS(m_teacher,AN$4,m_date,($G$2+19),m_active,1,m_start,"&lt;"&amp;1440,m_end,"&gt;"&amp;1140)=0,"",IF(COUNTIFS(m_teacher,AN$4,m_date,($G$2+19),m_active,1,m_start,"&lt;"&amp;1440,m_end,"&gt;"&amp;1140)&gt;1,"충돌",HYPERLINK("#'관리자_MASTER'!D"&amp;_xlfn.MAXIFS(m_row,m_teacher,AN$4,m_date,($G$2+19),m_active,1,m_start,"&lt;"&amp;1440,m_end,"&gt;"&amp;1140),INDEX(m_label,_xlfn.MAXIFS(m_row,m_teacher,AN$4,m_date,($G$2+19),m_active,1,m_start,"&lt;"&amp;1440,m_end,"&gt;"&amp;1140))))))</f>
        <v/>
      </c>
      <c r="AO70" s="89" t="str">
        <f aca="false">IF(OR(AO$4="",MONTH(($G$2+19))&lt;&gt;MONTH($C$2)),"",IF(COUNTIFS(m_teacher,AO$4,m_date,($G$2+19),m_active,1,m_start,"&lt;"&amp;1440,m_end,"&gt;"&amp;1140)=0,"",IF(COUNTIFS(m_teacher,AO$4,m_date,($G$2+19),m_active,1,m_start,"&lt;"&amp;1440,m_end,"&gt;"&amp;1140)&gt;1,"충돌",HYPERLINK("#'관리자_MASTER'!D"&amp;_xlfn.MAXIFS(m_row,m_teacher,AO$4,m_date,($G$2+19),m_active,1,m_start,"&lt;"&amp;1440,m_end,"&gt;"&amp;1140),INDEX(m_label,_xlfn.MAXIFS(m_row,m_teacher,AO$4,m_date,($G$2+19),m_active,1,m_start,"&lt;"&amp;1440,m_end,"&gt;"&amp;1140))))))</f>
        <v/>
      </c>
      <c r="AP70" s="89" t="str">
        <f aca="false">IF(OR(AP$4="",MONTH(($G$2+19))&lt;&gt;MONTH($C$2)),"",IF(COUNTIFS(m_teacher,AP$4,m_date,($G$2+19),m_active,1,m_start,"&lt;"&amp;1440,m_end,"&gt;"&amp;1140)=0,"",IF(COUNTIFS(m_teacher,AP$4,m_date,($G$2+19),m_active,1,m_start,"&lt;"&amp;1440,m_end,"&gt;"&amp;1140)&gt;1,"충돌",HYPERLINK("#'관리자_MASTER'!D"&amp;_xlfn.MAXIFS(m_row,m_teacher,AP$4,m_date,($G$2+19),m_active,1,m_start,"&lt;"&amp;1440,m_end,"&gt;"&amp;1140),INDEX(m_label,_xlfn.MAXIFS(m_row,m_teacher,AP$4,m_date,($G$2+19),m_active,1,m_start,"&lt;"&amp;1440,m_end,"&gt;"&amp;1140))))))</f>
        <v/>
      </c>
      <c r="AQ70" s="90"/>
      <c r="AR70" s="85" t="s">
        <v>101</v>
      </c>
      <c r="AS70" s="89" t="str">
        <f aca="false">IF(OR(AS$4="",MONTH(($G$2+26))&lt;&gt;MONTH($C$2)),"",IF(COUNTIFS(m_teacher,AS$4,m_date,($G$2+26),m_active,1,m_start,"&lt;"&amp;1440,m_end,"&gt;"&amp;1140)=0,"",IF(COUNTIFS(m_teacher,AS$4,m_date,($G$2+26),m_active,1,m_start,"&lt;"&amp;1440,m_end,"&gt;"&amp;1140)&gt;1,"충돌",HYPERLINK("#'관리자_MASTER'!D"&amp;_xlfn.MAXIFS(m_row,m_teacher,AS$4,m_date,($G$2+26),m_active,1,m_start,"&lt;"&amp;1440,m_end,"&gt;"&amp;1140),INDEX(m_label,_xlfn.MAXIFS(m_row,m_teacher,AS$4,m_date,($G$2+26),m_active,1,m_start,"&lt;"&amp;1440,m_end,"&gt;"&amp;1140))))))</f>
        <v/>
      </c>
      <c r="AT70" s="89" t="str">
        <f aca="false">IF(OR(AT$4="",MONTH(($G$2+26))&lt;&gt;MONTH($C$2)),"",IF(COUNTIFS(m_teacher,AT$4,m_date,($G$2+26),m_active,1,m_start,"&lt;"&amp;1440,m_end,"&gt;"&amp;1140)=0,"",IF(COUNTIFS(m_teacher,AT$4,m_date,($G$2+26),m_active,1,m_start,"&lt;"&amp;1440,m_end,"&gt;"&amp;1140)&gt;1,"충돌",HYPERLINK("#'관리자_MASTER'!D"&amp;_xlfn.MAXIFS(m_row,m_teacher,AT$4,m_date,($G$2+26),m_active,1,m_start,"&lt;"&amp;1440,m_end,"&gt;"&amp;1140),INDEX(m_label,_xlfn.MAXIFS(m_row,m_teacher,AT$4,m_date,($G$2+26),m_active,1,m_start,"&lt;"&amp;1440,m_end,"&gt;"&amp;1140))))))</f>
        <v/>
      </c>
      <c r="AU70" s="89" t="str">
        <f aca="false">IF(OR(AU$4="",MONTH(($G$2+26))&lt;&gt;MONTH($C$2)),"",IF(COUNTIFS(m_teacher,AU$4,m_date,($G$2+26),m_active,1,m_start,"&lt;"&amp;1440,m_end,"&gt;"&amp;1140)=0,"",IF(COUNTIFS(m_teacher,AU$4,m_date,($G$2+26),m_active,1,m_start,"&lt;"&amp;1440,m_end,"&gt;"&amp;1140)&gt;1,"충돌",HYPERLINK("#'관리자_MASTER'!D"&amp;_xlfn.MAXIFS(m_row,m_teacher,AU$4,m_date,($G$2+26),m_active,1,m_start,"&lt;"&amp;1440,m_end,"&gt;"&amp;1140),INDEX(m_label,_xlfn.MAXIFS(m_row,m_teacher,AU$4,m_date,($G$2+26),m_active,1,m_start,"&lt;"&amp;1440,m_end,"&gt;"&amp;1140))))))</f>
        <v/>
      </c>
      <c r="AV70" s="89" t="str">
        <f aca="false">IF(OR(AV$4="",MONTH(($G$2+26))&lt;&gt;MONTH($C$2)),"",IF(COUNTIFS(m_teacher,AV$4,m_date,($G$2+26),m_active,1,m_start,"&lt;"&amp;1440,m_end,"&gt;"&amp;1140)=0,"",IF(COUNTIFS(m_teacher,AV$4,m_date,($G$2+26),m_active,1,m_start,"&lt;"&amp;1440,m_end,"&gt;"&amp;1140)&gt;1,"충돌",HYPERLINK("#'관리자_MASTER'!D"&amp;_xlfn.MAXIFS(m_row,m_teacher,AV$4,m_date,($G$2+26),m_active,1,m_start,"&lt;"&amp;1440,m_end,"&gt;"&amp;1140),INDEX(m_label,_xlfn.MAXIFS(m_row,m_teacher,AV$4,m_date,($G$2+26),m_active,1,m_start,"&lt;"&amp;1440,m_end,"&gt;"&amp;1140))))))</f>
        <v/>
      </c>
      <c r="AW70" s="89" t="str">
        <f aca="false">IF(OR(AW$4="",MONTH(($G$2+26))&lt;&gt;MONTH($C$2)),"",IF(COUNTIFS(m_teacher,AW$4,m_date,($G$2+26),m_active,1,m_start,"&lt;"&amp;1440,m_end,"&gt;"&amp;1140)=0,"",IF(COUNTIFS(m_teacher,AW$4,m_date,($G$2+26),m_active,1,m_start,"&lt;"&amp;1440,m_end,"&gt;"&amp;1140)&gt;1,"충돌",HYPERLINK("#'관리자_MASTER'!D"&amp;_xlfn.MAXIFS(m_row,m_teacher,AW$4,m_date,($G$2+26),m_active,1,m_start,"&lt;"&amp;1440,m_end,"&gt;"&amp;1140),INDEX(m_label,_xlfn.MAXIFS(m_row,m_teacher,AW$4,m_date,($G$2+26),m_active,1,m_start,"&lt;"&amp;1440,m_end,"&gt;"&amp;1140))))))</f>
        <v/>
      </c>
      <c r="AX70" s="89" t="str">
        <f aca="false">IF(OR(AX$4="",MONTH(($G$2+26))&lt;&gt;MONTH($C$2)),"",IF(COUNTIFS(m_teacher,AX$4,m_date,($G$2+26),m_active,1,m_start,"&lt;"&amp;1440,m_end,"&gt;"&amp;1140)=0,"",IF(COUNTIFS(m_teacher,AX$4,m_date,($G$2+26),m_active,1,m_start,"&lt;"&amp;1440,m_end,"&gt;"&amp;1140)&gt;1,"충돌",HYPERLINK("#'관리자_MASTER'!D"&amp;_xlfn.MAXIFS(m_row,m_teacher,AX$4,m_date,($G$2+26),m_active,1,m_start,"&lt;"&amp;1440,m_end,"&gt;"&amp;1140),INDEX(m_label,_xlfn.MAXIFS(m_row,m_teacher,AX$4,m_date,($G$2+26),m_active,1,m_start,"&lt;"&amp;1440,m_end,"&gt;"&amp;1140))))))</f>
        <v/>
      </c>
      <c r="AY70" s="89" t="str">
        <f aca="false">IF(OR(AY$4="",MONTH(($G$2+26))&lt;&gt;MONTH($C$2)),"",IF(COUNTIFS(m_teacher,AY$4,m_date,($G$2+26),m_active,1,m_start,"&lt;"&amp;1440,m_end,"&gt;"&amp;1140)=0,"",IF(COUNTIFS(m_teacher,AY$4,m_date,($G$2+26),m_active,1,m_start,"&lt;"&amp;1440,m_end,"&gt;"&amp;1140)&gt;1,"충돌",HYPERLINK("#'관리자_MASTER'!D"&amp;_xlfn.MAXIFS(m_row,m_teacher,AY$4,m_date,($G$2+26),m_active,1,m_start,"&lt;"&amp;1440,m_end,"&gt;"&amp;1140),INDEX(m_label,_xlfn.MAXIFS(m_row,m_teacher,AY$4,m_date,($G$2+26),m_active,1,m_start,"&lt;"&amp;1440,m_end,"&gt;"&amp;1140))))))</f>
        <v/>
      </c>
      <c r="AZ70" s="89" t="str">
        <f aca="false">IF(OR(AZ$4="",MONTH(($G$2+26))&lt;&gt;MONTH($C$2)),"",IF(COUNTIFS(m_teacher,AZ$4,m_date,($G$2+26),m_active,1,m_start,"&lt;"&amp;1440,m_end,"&gt;"&amp;1140)=0,"",IF(COUNTIFS(m_teacher,AZ$4,m_date,($G$2+26),m_active,1,m_start,"&lt;"&amp;1440,m_end,"&gt;"&amp;1140)&gt;1,"충돌",HYPERLINK("#'관리자_MASTER'!D"&amp;_xlfn.MAXIFS(m_row,m_teacher,AZ$4,m_date,($G$2+26),m_active,1,m_start,"&lt;"&amp;1440,m_end,"&gt;"&amp;1140),INDEX(m_label,_xlfn.MAXIFS(m_row,m_teacher,AZ$4,m_date,($G$2+26),m_active,1,m_start,"&lt;"&amp;1440,m_end,"&gt;"&amp;1140))))))</f>
        <v/>
      </c>
      <c r="BA70" s="89" t="str">
        <f aca="false">IF(OR(BA$4="",MONTH(($G$2+26))&lt;&gt;MONTH($C$2)),"",IF(COUNTIFS(m_teacher,BA$4,m_date,($G$2+26),m_active,1,m_start,"&lt;"&amp;1440,m_end,"&gt;"&amp;1140)=0,"",IF(COUNTIFS(m_teacher,BA$4,m_date,($G$2+26),m_active,1,m_start,"&lt;"&amp;1440,m_end,"&gt;"&amp;1140)&gt;1,"충돌",HYPERLINK("#'관리자_MASTER'!D"&amp;_xlfn.MAXIFS(m_row,m_teacher,BA$4,m_date,($G$2+26),m_active,1,m_start,"&lt;"&amp;1440,m_end,"&gt;"&amp;1140),INDEX(m_label,_xlfn.MAXIFS(m_row,m_teacher,BA$4,m_date,($G$2+26),m_active,1,m_start,"&lt;"&amp;1440,m_end,"&gt;"&amp;1140))))))</f>
        <v/>
      </c>
      <c r="BB70" s="89" t="str">
        <f aca="false">IF(OR(BB$4="",MONTH(($G$2+26))&lt;&gt;MONTH($C$2)),"",IF(COUNTIFS(m_teacher,BB$4,m_date,($G$2+26),m_active,1,m_start,"&lt;"&amp;1440,m_end,"&gt;"&amp;1140)=0,"",IF(COUNTIFS(m_teacher,BB$4,m_date,($G$2+26),m_active,1,m_start,"&lt;"&amp;1440,m_end,"&gt;"&amp;1140)&gt;1,"충돌",HYPERLINK("#'관리자_MASTER'!D"&amp;_xlfn.MAXIFS(m_row,m_teacher,BB$4,m_date,($G$2+26),m_active,1,m_start,"&lt;"&amp;1440,m_end,"&gt;"&amp;1140),INDEX(m_label,_xlfn.MAXIFS(m_row,m_teacher,BB$4,m_date,($G$2+26),m_active,1,m_start,"&lt;"&amp;1440,m_end,"&gt;"&amp;1140))))))</f>
        <v/>
      </c>
      <c r="BC70" s="89" t="str">
        <f aca="false">IF(OR(BC$4="",MONTH(($G$2+26))&lt;&gt;MONTH($C$2)),"",IF(COUNTIFS(m_teacher,BC$4,m_date,($G$2+26),m_active,1,m_start,"&lt;"&amp;1440,m_end,"&gt;"&amp;1140)=0,"",IF(COUNTIFS(m_teacher,BC$4,m_date,($G$2+26),m_active,1,m_start,"&lt;"&amp;1440,m_end,"&gt;"&amp;1140)&gt;1,"충돌",HYPERLINK("#'관리자_MASTER'!D"&amp;_xlfn.MAXIFS(m_row,m_teacher,BC$4,m_date,($G$2+26),m_active,1,m_start,"&lt;"&amp;1440,m_end,"&gt;"&amp;1140),INDEX(m_label,_xlfn.MAXIFS(m_row,m_teacher,BC$4,m_date,($G$2+26),m_active,1,m_start,"&lt;"&amp;1440,m_end,"&gt;"&amp;1140))))))</f>
        <v/>
      </c>
      <c r="BD70" s="89" t="str">
        <f aca="false">IF(OR(BD$4="",MONTH(($G$2+26))&lt;&gt;MONTH($C$2)),"",IF(COUNTIFS(m_teacher,BD$4,m_date,($G$2+26),m_active,1,m_start,"&lt;"&amp;1440,m_end,"&gt;"&amp;1140)=0,"",IF(COUNTIFS(m_teacher,BD$4,m_date,($G$2+26),m_active,1,m_start,"&lt;"&amp;1440,m_end,"&gt;"&amp;1140)&gt;1,"충돌",HYPERLINK("#'관리자_MASTER'!D"&amp;_xlfn.MAXIFS(m_row,m_teacher,BD$4,m_date,($G$2+26),m_active,1,m_start,"&lt;"&amp;1440,m_end,"&gt;"&amp;1140),INDEX(m_label,_xlfn.MAXIFS(m_row,m_teacher,BD$4,m_date,($G$2+26),m_active,1,m_start,"&lt;"&amp;1440,m_end,"&gt;"&amp;1140))))))</f>
        <v/>
      </c>
    </row>
    <row r="71" customFormat="false" ht="19.5" hidden="false" customHeight="true" outlineLevel="0" collapsed="false">
      <c r="A71" s="92" t="str">
        <f aca="false">IF(MONTH(($G$2+6))&lt;&gt;MONTH($C$2),"",CHOOSE(WEEKDAY(($G$2+6),2),"월","화","수","목","금","토","일")&amp;CHAR(10)&amp;TEXT(($G$2+6),"m/d"))</f>
        <v>일
2/7</v>
      </c>
      <c r="B71" s="79" t="s">
        <v>91</v>
      </c>
      <c r="C71" s="80" t="str">
        <f aca="false">IF(OR(C$4="",MONTH(($G$2+6))&lt;&gt;MONTH($C$2)),"",IF(COUNTIFS(m_teacher,C$4,m_date,($G$2+6),m_active,1,m_start,"&lt;"&amp;600,m_end,"&gt;"&amp;0)=0,"",IF(COUNTIFS(m_teacher,C$4,m_date,($G$2+6),m_active,1,m_start,"&lt;"&amp;600,m_end,"&gt;"&amp;0)&gt;1,"충돌",HYPERLINK("#'관리자_MASTER'!D"&amp;_xlfn.MAXIFS(m_row,m_teacher,C$4,m_date,($G$2+6),m_active,1,m_start,"&lt;"&amp;600,m_end,"&gt;"&amp;0),INDEX(m_label,_xlfn.MAXIFS(m_row,m_teacher,C$4,m_date,($G$2+6),m_active,1,m_start,"&lt;"&amp;600,m_end,"&gt;"&amp;0))))))</f>
        <v/>
      </c>
      <c r="D71" s="80" t="str">
        <f aca="false">IF(OR(D$4="",MONTH(($G$2+6))&lt;&gt;MONTH($C$2)),"",IF(COUNTIFS(m_teacher,D$4,m_date,($G$2+6),m_active,1,m_start,"&lt;"&amp;600,m_end,"&gt;"&amp;0)=0,"",IF(COUNTIFS(m_teacher,D$4,m_date,($G$2+6),m_active,1,m_start,"&lt;"&amp;600,m_end,"&gt;"&amp;0)&gt;1,"충돌",HYPERLINK("#'관리자_MASTER'!D"&amp;_xlfn.MAXIFS(m_row,m_teacher,D$4,m_date,($G$2+6),m_active,1,m_start,"&lt;"&amp;600,m_end,"&gt;"&amp;0),INDEX(m_label,_xlfn.MAXIFS(m_row,m_teacher,D$4,m_date,($G$2+6),m_active,1,m_start,"&lt;"&amp;600,m_end,"&gt;"&amp;0))))))</f>
        <v/>
      </c>
      <c r="E71" s="80" t="str">
        <f aca="false">IF(OR(E$4="",MONTH(($G$2+6))&lt;&gt;MONTH($C$2)),"",IF(COUNTIFS(m_teacher,E$4,m_date,($G$2+6),m_active,1,m_start,"&lt;"&amp;600,m_end,"&gt;"&amp;0)=0,"",IF(COUNTIFS(m_teacher,E$4,m_date,($G$2+6),m_active,1,m_start,"&lt;"&amp;600,m_end,"&gt;"&amp;0)&gt;1,"충돌",HYPERLINK("#'관리자_MASTER'!D"&amp;_xlfn.MAXIFS(m_row,m_teacher,E$4,m_date,($G$2+6),m_active,1,m_start,"&lt;"&amp;600,m_end,"&gt;"&amp;0),INDEX(m_label,_xlfn.MAXIFS(m_row,m_teacher,E$4,m_date,($G$2+6),m_active,1,m_start,"&lt;"&amp;600,m_end,"&gt;"&amp;0))))))</f>
        <v/>
      </c>
      <c r="F71" s="80" t="str">
        <f aca="false">IF(OR(F$4="",MONTH(($G$2+6))&lt;&gt;MONTH($C$2)),"",IF(COUNTIFS(m_teacher,F$4,m_date,($G$2+6),m_active,1,m_start,"&lt;"&amp;600,m_end,"&gt;"&amp;0)=0,"",IF(COUNTIFS(m_teacher,F$4,m_date,($G$2+6),m_active,1,m_start,"&lt;"&amp;600,m_end,"&gt;"&amp;0)&gt;1,"충돌",HYPERLINK("#'관리자_MASTER'!D"&amp;_xlfn.MAXIFS(m_row,m_teacher,F$4,m_date,($G$2+6),m_active,1,m_start,"&lt;"&amp;600,m_end,"&gt;"&amp;0),INDEX(m_label,_xlfn.MAXIFS(m_row,m_teacher,F$4,m_date,($G$2+6),m_active,1,m_start,"&lt;"&amp;600,m_end,"&gt;"&amp;0))))))</f>
        <v/>
      </c>
      <c r="G71" s="80" t="str">
        <f aca="false">IF(OR(G$4="",MONTH(($G$2+6))&lt;&gt;MONTH($C$2)),"",IF(COUNTIFS(m_teacher,G$4,m_date,($G$2+6),m_active,1,m_start,"&lt;"&amp;600,m_end,"&gt;"&amp;0)=0,"",IF(COUNTIFS(m_teacher,G$4,m_date,($G$2+6),m_active,1,m_start,"&lt;"&amp;600,m_end,"&gt;"&amp;0)&gt;1,"충돌",HYPERLINK("#'관리자_MASTER'!D"&amp;_xlfn.MAXIFS(m_row,m_teacher,G$4,m_date,($G$2+6),m_active,1,m_start,"&lt;"&amp;600,m_end,"&gt;"&amp;0),INDEX(m_label,_xlfn.MAXIFS(m_row,m_teacher,G$4,m_date,($G$2+6),m_active,1,m_start,"&lt;"&amp;600,m_end,"&gt;"&amp;0))))))</f>
        <v/>
      </c>
      <c r="H71" s="80" t="str">
        <f aca="false">IF(OR(H$4="",MONTH(($G$2+6))&lt;&gt;MONTH($C$2)),"",IF(COUNTIFS(m_teacher,H$4,m_date,($G$2+6),m_active,1,m_start,"&lt;"&amp;600,m_end,"&gt;"&amp;0)=0,"",IF(COUNTIFS(m_teacher,H$4,m_date,($G$2+6),m_active,1,m_start,"&lt;"&amp;600,m_end,"&gt;"&amp;0)&gt;1,"충돌",HYPERLINK("#'관리자_MASTER'!D"&amp;_xlfn.MAXIFS(m_row,m_teacher,H$4,m_date,($G$2+6),m_active,1,m_start,"&lt;"&amp;600,m_end,"&gt;"&amp;0),INDEX(m_label,_xlfn.MAXIFS(m_row,m_teacher,H$4,m_date,($G$2+6),m_active,1,m_start,"&lt;"&amp;600,m_end,"&gt;"&amp;0))))))</f>
        <v/>
      </c>
      <c r="I71" s="80" t="str">
        <f aca="false">IF(OR(I$4="",MONTH(($G$2+6))&lt;&gt;MONTH($C$2)),"",IF(COUNTIFS(m_teacher,I$4,m_date,($G$2+6),m_active,1,m_start,"&lt;"&amp;600,m_end,"&gt;"&amp;0)=0,"",IF(COUNTIFS(m_teacher,I$4,m_date,($G$2+6),m_active,1,m_start,"&lt;"&amp;600,m_end,"&gt;"&amp;0)&gt;1,"충돌",HYPERLINK("#'관리자_MASTER'!D"&amp;_xlfn.MAXIFS(m_row,m_teacher,I$4,m_date,($G$2+6),m_active,1,m_start,"&lt;"&amp;600,m_end,"&gt;"&amp;0),INDEX(m_label,_xlfn.MAXIFS(m_row,m_teacher,I$4,m_date,($G$2+6),m_active,1,m_start,"&lt;"&amp;600,m_end,"&gt;"&amp;0))))))</f>
        <v/>
      </c>
      <c r="J71" s="80" t="str">
        <f aca="false">IF(OR(J$4="",MONTH(($G$2+6))&lt;&gt;MONTH($C$2)),"",IF(COUNTIFS(m_teacher,J$4,m_date,($G$2+6),m_active,1,m_start,"&lt;"&amp;600,m_end,"&gt;"&amp;0)=0,"",IF(COUNTIFS(m_teacher,J$4,m_date,($G$2+6),m_active,1,m_start,"&lt;"&amp;600,m_end,"&gt;"&amp;0)&gt;1,"충돌",HYPERLINK("#'관리자_MASTER'!D"&amp;_xlfn.MAXIFS(m_row,m_teacher,J$4,m_date,($G$2+6),m_active,1,m_start,"&lt;"&amp;600,m_end,"&gt;"&amp;0),INDEX(m_label,_xlfn.MAXIFS(m_row,m_teacher,J$4,m_date,($G$2+6),m_active,1,m_start,"&lt;"&amp;600,m_end,"&gt;"&amp;0))))))</f>
        <v/>
      </c>
      <c r="K71" s="80" t="str">
        <f aca="false">IF(OR(K$4="",MONTH(($G$2+6))&lt;&gt;MONTH($C$2)),"",IF(COUNTIFS(m_teacher,K$4,m_date,($G$2+6),m_active,1,m_start,"&lt;"&amp;600,m_end,"&gt;"&amp;0)=0,"",IF(COUNTIFS(m_teacher,K$4,m_date,($G$2+6),m_active,1,m_start,"&lt;"&amp;600,m_end,"&gt;"&amp;0)&gt;1,"충돌",HYPERLINK("#'관리자_MASTER'!D"&amp;_xlfn.MAXIFS(m_row,m_teacher,K$4,m_date,($G$2+6),m_active,1,m_start,"&lt;"&amp;600,m_end,"&gt;"&amp;0),INDEX(m_label,_xlfn.MAXIFS(m_row,m_teacher,K$4,m_date,($G$2+6),m_active,1,m_start,"&lt;"&amp;600,m_end,"&gt;"&amp;0))))))</f>
        <v/>
      </c>
      <c r="L71" s="80" t="str">
        <f aca="false">IF(OR(L$4="",MONTH(($G$2+6))&lt;&gt;MONTH($C$2)),"",IF(COUNTIFS(m_teacher,L$4,m_date,($G$2+6),m_active,1,m_start,"&lt;"&amp;600,m_end,"&gt;"&amp;0)=0,"",IF(COUNTIFS(m_teacher,L$4,m_date,($G$2+6),m_active,1,m_start,"&lt;"&amp;600,m_end,"&gt;"&amp;0)&gt;1,"충돌",HYPERLINK("#'관리자_MASTER'!D"&amp;_xlfn.MAXIFS(m_row,m_teacher,L$4,m_date,($G$2+6),m_active,1,m_start,"&lt;"&amp;600,m_end,"&gt;"&amp;0),INDEX(m_label,_xlfn.MAXIFS(m_row,m_teacher,L$4,m_date,($G$2+6),m_active,1,m_start,"&lt;"&amp;600,m_end,"&gt;"&amp;0))))))</f>
        <v/>
      </c>
      <c r="M71" s="80" t="str">
        <f aca="false">IF(OR(M$4="",MONTH(($G$2+6))&lt;&gt;MONTH($C$2)),"",IF(COUNTIFS(m_teacher,M$4,m_date,($G$2+6),m_active,1,m_start,"&lt;"&amp;600,m_end,"&gt;"&amp;0)=0,"",IF(COUNTIFS(m_teacher,M$4,m_date,($G$2+6),m_active,1,m_start,"&lt;"&amp;600,m_end,"&gt;"&amp;0)&gt;1,"충돌",HYPERLINK("#'관리자_MASTER'!D"&amp;_xlfn.MAXIFS(m_row,m_teacher,M$4,m_date,($G$2+6),m_active,1,m_start,"&lt;"&amp;600,m_end,"&gt;"&amp;0),INDEX(m_label,_xlfn.MAXIFS(m_row,m_teacher,M$4,m_date,($G$2+6),m_active,1,m_start,"&lt;"&amp;600,m_end,"&gt;"&amp;0))))))</f>
        <v/>
      </c>
      <c r="N71" s="80" t="str">
        <f aca="false">IF(OR(N$4="",MONTH(($G$2+6))&lt;&gt;MONTH($C$2)),"",IF(COUNTIFS(m_teacher,N$4,m_date,($G$2+6),m_active,1,m_start,"&lt;"&amp;600,m_end,"&gt;"&amp;0)=0,"",IF(COUNTIFS(m_teacher,N$4,m_date,($G$2+6),m_active,1,m_start,"&lt;"&amp;600,m_end,"&gt;"&amp;0)&gt;1,"충돌",HYPERLINK("#'관리자_MASTER'!D"&amp;_xlfn.MAXIFS(m_row,m_teacher,N$4,m_date,($G$2+6),m_active,1,m_start,"&lt;"&amp;600,m_end,"&gt;"&amp;0),INDEX(m_label,_xlfn.MAXIFS(m_row,m_teacher,N$4,m_date,($G$2+6),m_active,1,m_start,"&lt;"&amp;600,m_end,"&gt;"&amp;0))))))</f>
        <v/>
      </c>
      <c r="O71" s="92" t="str">
        <f aca="false">IF(MONTH(($G$2+13))&lt;&gt;MONTH($C$2),"",CHOOSE(WEEKDAY(($G$2+13),2),"월","화","수","목","금","토","일")&amp;CHAR(10)&amp;TEXT(($G$2+13),"m/d"))</f>
        <v>일
2/14</v>
      </c>
      <c r="P71" s="79" t="s">
        <v>91</v>
      </c>
      <c r="Q71" s="80" t="str">
        <f aca="false">IF(OR(Q$4="",MONTH(($G$2+13))&lt;&gt;MONTH($C$2)),"",IF(COUNTIFS(m_teacher,Q$4,m_date,($G$2+13),m_active,1,m_start,"&lt;"&amp;600,m_end,"&gt;"&amp;0)=0,"",IF(COUNTIFS(m_teacher,Q$4,m_date,($G$2+13),m_active,1,m_start,"&lt;"&amp;600,m_end,"&gt;"&amp;0)&gt;1,"충돌",HYPERLINK("#'관리자_MASTER'!D"&amp;_xlfn.MAXIFS(m_row,m_teacher,Q$4,m_date,($G$2+13),m_active,1,m_start,"&lt;"&amp;600,m_end,"&gt;"&amp;0),INDEX(m_label,_xlfn.MAXIFS(m_row,m_teacher,Q$4,m_date,($G$2+13),m_active,1,m_start,"&lt;"&amp;600,m_end,"&gt;"&amp;0))))))</f>
        <v/>
      </c>
      <c r="R71" s="80" t="str">
        <f aca="false">IF(OR(R$4="",MONTH(($G$2+13))&lt;&gt;MONTH($C$2)),"",IF(COUNTIFS(m_teacher,R$4,m_date,($G$2+13),m_active,1,m_start,"&lt;"&amp;600,m_end,"&gt;"&amp;0)=0,"",IF(COUNTIFS(m_teacher,R$4,m_date,($G$2+13),m_active,1,m_start,"&lt;"&amp;600,m_end,"&gt;"&amp;0)&gt;1,"충돌",HYPERLINK("#'관리자_MASTER'!D"&amp;_xlfn.MAXIFS(m_row,m_teacher,R$4,m_date,($G$2+13),m_active,1,m_start,"&lt;"&amp;600,m_end,"&gt;"&amp;0),INDEX(m_label,_xlfn.MAXIFS(m_row,m_teacher,R$4,m_date,($G$2+13),m_active,1,m_start,"&lt;"&amp;600,m_end,"&gt;"&amp;0))))))</f>
        <v/>
      </c>
      <c r="S71" s="80" t="str">
        <f aca="false">IF(OR(S$4="",MONTH(($G$2+13))&lt;&gt;MONTH($C$2)),"",IF(COUNTIFS(m_teacher,S$4,m_date,($G$2+13),m_active,1,m_start,"&lt;"&amp;600,m_end,"&gt;"&amp;0)=0,"",IF(COUNTIFS(m_teacher,S$4,m_date,($G$2+13),m_active,1,m_start,"&lt;"&amp;600,m_end,"&gt;"&amp;0)&gt;1,"충돌",HYPERLINK("#'관리자_MASTER'!D"&amp;_xlfn.MAXIFS(m_row,m_teacher,S$4,m_date,($G$2+13),m_active,1,m_start,"&lt;"&amp;600,m_end,"&gt;"&amp;0),INDEX(m_label,_xlfn.MAXIFS(m_row,m_teacher,S$4,m_date,($G$2+13),m_active,1,m_start,"&lt;"&amp;600,m_end,"&gt;"&amp;0))))))</f>
        <v/>
      </c>
      <c r="T71" s="80" t="str">
        <f aca="false">IF(OR(T$4="",MONTH(($G$2+13))&lt;&gt;MONTH($C$2)),"",IF(COUNTIFS(m_teacher,T$4,m_date,($G$2+13),m_active,1,m_start,"&lt;"&amp;600,m_end,"&gt;"&amp;0)=0,"",IF(COUNTIFS(m_teacher,T$4,m_date,($G$2+13),m_active,1,m_start,"&lt;"&amp;600,m_end,"&gt;"&amp;0)&gt;1,"충돌",HYPERLINK("#'관리자_MASTER'!D"&amp;_xlfn.MAXIFS(m_row,m_teacher,T$4,m_date,($G$2+13),m_active,1,m_start,"&lt;"&amp;600,m_end,"&gt;"&amp;0),INDEX(m_label,_xlfn.MAXIFS(m_row,m_teacher,T$4,m_date,($G$2+13),m_active,1,m_start,"&lt;"&amp;600,m_end,"&gt;"&amp;0))))))</f>
        <v/>
      </c>
      <c r="U71" s="80" t="str">
        <f aca="false">IF(OR(U$4="",MONTH(($G$2+13))&lt;&gt;MONTH($C$2)),"",IF(COUNTIFS(m_teacher,U$4,m_date,($G$2+13),m_active,1,m_start,"&lt;"&amp;600,m_end,"&gt;"&amp;0)=0,"",IF(COUNTIFS(m_teacher,U$4,m_date,($G$2+13),m_active,1,m_start,"&lt;"&amp;600,m_end,"&gt;"&amp;0)&gt;1,"충돌",HYPERLINK("#'관리자_MASTER'!D"&amp;_xlfn.MAXIFS(m_row,m_teacher,U$4,m_date,($G$2+13),m_active,1,m_start,"&lt;"&amp;600,m_end,"&gt;"&amp;0),INDEX(m_label,_xlfn.MAXIFS(m_row,m_teacher,U$4,m_date,($G$2+13),m_active,1,m_start,"&lt;"&amp;600,m_end,"&gt;"&amp;0))))))</f>
        <v/>
      </c>
      <c r="V71" s="80" t="str">
        <f aca="false">IF(OR(V$4="",MONTH(($G$2+13))&lt;&gt;MONTH($C$2)),"",IF(COUNTIFS(m_teacher,V$4,m_date,($G$2+13),m_active,1,m_start,"&lt;"&amp;600,m_end,"&gt;"&amp;0)=0,"",IF(COUNTIFS(m_teacher,V$4,m_date,($G$2+13),m_active,1,m_start,"&lt;"&amp;600,m_end,"&gt;"&amp;0)&gt;1,"충돌",HYPERLINK("#'관리자_MASTER'!D"&amp;_xlfn.MAXIFS(m_row,m_teacher,V$4,m_date,($G$2+13),m_active,1,m_start,"&lt;"&amp;600,m_end,"&gt;"&amp;0),INDEX(m_label,_xlfn.MAXIFS(m_row,m_teacher,V$4,m_date,($G$2+13),m_active,1,m_start,"&lt;"&amp;600,m_end,"&gt;"&amp;0))))))</f>
        <v/>
      </c>
      <c r="W71" s="80" t="str">
        <f aca="false">IF(OR(W$4="",MONTH(($G$2+13))&lt;&gt;MONTH($C$2)),"",IF(COUNTIFS(m_teacher,W$4,m_date,($G$2+13),m_active,1,m_start,"&lt;"&amp;600,m_end,"&gt;"&amp;0)=0,"",IF(COUNTIFS(m_teacher,W$4,m_date,($G$2+13),m_active,1,m_start,"&lt;"&amp;600,m_end,"&gt;"&amp;0)&gt;1,"충돌",HYPERLINK("#'관리자_MASTER'!D"&amp;_xlfn.MAXIFS(m_row,m_teacher,W$4,m_date,($G$2+13),m_active,1,m_start,"&lt;"&amp;600,m_end,"&gt;"&amp;0),INDEX(m_label,_xlfn.MAXIFS(m_row,m_teacher,W$4,m_date,($G$2+13),m_active,1,m_start,"&lt;"&amp;600,m_end,"&gt;"&amp;0))))))</f>
        <v/>
      </c>
      <c r="X71" s="80" t="str">
        <f aca="false">IF(OR(X$4="",MONTH(($G$2+13))&lt;&gt;MONTH($C$2)),"",IF(COUNTIFS(m_teacher,X$4,m_date,($G$2+13),m_active,1,m_start,"&lt;"&amp;600,m_end,"&gt;"&amp;0)=0,"",IF(COUNTIFS(m_teacher,X$4,m_date,($G$2+13),m_active,1,m_start,"&lt;"&amp;600,m_end,"&gt;"&amp;0)&gt;1,"충돌",HYPERLINK("#'관리자_MASTER'!D"&amp;_xlfn.MAXIFS(m_row,m_teacher,X$4,m_date,($G$2+13),m_active,1,m_start,"&lt;"&amp;600,m_end,"&gt;"&amp;0),INDEX(m_label,_xlfn.MAXIFS(m_row,m_teacher,X$4,m_date,($G$2+13),m_active,1,m_start,"&lt;"&amp;600,m_end,"&gt;"&amp;0))))))</f>
        <v/>
      </c>
      <c r="Y71" s="80" t="str">
        <f aca="false">IF(OR(Y$4="",MONTH(($G$2+13))&lt;&gt;MONTH($C$2)),"",IF(COUNTIFS(m_teacher,Y$4,m_date,($G$2+13),m_active,1,m_start,"&lt;"&amp;600,m_end,"&gt;"&amp;0)=0,"",IF(COUNTIFS(m_teacher,Y$4,m_date,($G$2+13),m_active,1,m_start,"&lt;"&amp;600,m_end,"&gt;"&amp;0)&gt;1,"충돌",HYPERLINK("#'관리자_MASTER'!D"&amp;_xlfn.MAXIFS(m_row,m_teacher,Y$4,m_date,($G$2+13),m_active,1,m_start,"&lt;"&amp;600,m_end,"&gt;"&amp;0),INDEX(m_label,_xlfn.MAXIFS(m_row,m_teacher,Y$4,m_date,($G$2+13),m_active,1,m_start,"&lt;"&amp;600,m_end,"&gt;"&amp;0))))))</f>
        <v/>
      </c>
      <c r="Z71" s="80" t="str">
        <f aca="false">IF(OR(Z$4="",MONTH(($G$2+13))&lt;&gt;MONTH($C$2)),"",IF(COUNTIFS(m_teacher,Z$4,m_date,($G$2+13),m_active,1,m_start,"&lt;"&amp;600,m_end,"&gt;"&amp;0)=0,"",IF(COUNTIFS(m_teacher,Z$4,m_date,($G$2+13),m_active,1,m_start,"&lt;"&amp;600,m_end,"&gt;"&amp;0)&gt;1,"충돌",HYPERLINK("#'관리자_MASTER'!D"&amp;_xlfn.MAXIFS(m_row,m_teacher,Z$4,m_date,($G$2+13),m_active,1,m_start,"&lt;"&amp;600,m_end,"&gt;"&amp;0),INDEX(m_label,_xlfn.MAXIFS(m_row,m_teacher,Z$4,m_date,($G$2+13),m_active,1,m_start,"&lt;"&amp;600,m_end,"&gt;"&amp;0))))))</f>
        <v/>
      </c>
      <c r="AA71" s="80" t="str">
        <f aca="false">IF(OR(AA$4="",MONTH(($G$2+13))&lt;&gt;MONTH($C$2)),"",IF(COUNTIFS(m_teacher,AA$4,m_date,($G$2+13),m_active,1,m_start,"&lt;"&amp;600,m_end,"&gt;"&amp;0)=0,"",IF(COUNTIFS(m_teacher,AA$4,m_date,($G$2+13),m_active,1,m_start,"&lt;"&amp;600,m_end,"&gt;"&amp;0)&gt;1,"충돌",HYPERLINK("#'관리자_MASTER'!D"&amp;_xlfn.MAXIFS(m_row,m_teacher,AA$4,m_date,($G$2+13),m_active,1,m_start,"&lt;"&amp;600,m_end,"&gt;"&amp;0),INDEX(m_label,_xlfn.MAXIFS(m_row,m_teacher,AA$4,m_date,($G$2+13),m_active,1,m_start,"&lt;"&amp;600,m_end,"&gt;"&amp;0))))))</f>
        <v/>
      </c>
      <c r="AB71" s="80" t="str">
        <f aca="false">IF(OR(AB$4="",MONTH(($G$2+13))&lt;&gt;MONTH($C$2)),"",IF(COUNTIFS(m_teacher,AB$4,m_date,($G$2+13),m_active,1,m_start,"&lt;"&amp;600,m_end,"&gt;"&amp;0)=0,"",IF(COUNTIFS(m_teacher,AB$4,m_date,($G$2+13),m_active,1,m_start,"&lt;"&amp;600,m_end,"&gt;"&amp;0)&gt;1,"충돌",HYPERLINK("#'관리자_MASTER'!D"&amp;_xlfn.MAXIFS(m_row,m_teacher,AB$4,m_date,($G$2+13),m_active,1,m_start,"&lt;"&amp;600,m_end,"&gt;"&amp;0),INDEX(m_label,_xlfn.MAXIFS(m_row,m_teacher,AB$4,m_date,($G$2+13),m_active,1,m_start,"&lt;"&amp;600,m_end,"&gt;"&amp;0))))))</f>
        <v/>
      </c>
      <c r="AC71" s="92" t="str">
        <f aca="false">IF(MONTH(($G$2+20))&lt;&gt;MONTH($C$2),"",CHOOSE(WEEKDAY(($G$2+20),2),"월","화","수","목","금","토","일")&amp;CHAR(10)&amp;TEXT(($G$2+20),"m/d"))</f>
        <v>일
2/21</v>
      </c>
      <c r="AD71" s="79" t="s">
        <v>91</v>
      </c>
      <c r="AE71" s="80" t="str">
        <f aca="false">IF(OR(AE$4="",MONTH(($G$2+20))&lt;&gt;MONTH($C$2)),"",IF(COUNTIFS(m_teacher,AE$4,m_date,($G$2+20),m_active,1,m_start,"&lt;"&amp;600,m_end,"&gt;"&amp;0)=0,"",IF(COUNTIFS(m_teacher,AE$4,m_date,($G$2+20),m_active,1,m_start,"&lt;"&amp;600,m_end,"&gt;"&amp;0)&gt;1,"충돌",HYPERLINK("#'관리자_MASTER'!D"&amp;_xlfn.MAXIFS(m_row,m_teacher,AE$4,m_date,($G$2+20),m_active,1,m_start,"&lt;"&amp;600,m_end,"&gt;"&amp;0),INDEX(m_label,_xlfn.MAXIFS(m_row,m_teacher,AE$4,m_date,($G$2+20),m_active,1,m_start,"&lt;"&amp;600,m_end,"&gt;"&amp;0))))))</f>
        <v/>
      </c>
      <c r="AF71" s="80" t="str">
        <f aca="false">IF(OR(AF$4="",MONTH(($G$2+20))&lt;&gt;MONTH($C$2)),"",IF(COUNTIFS(m_teacher,AF$4,m_date,($G$2+20),m_active,1,m_start,"&lt;"&amp;600,m_end,"&gt;"&amp;0)=0,"",IF(COUNTIFS(m_teacher,AF$4,m_date,($G$2+20),m_active,1,m_start,"&lt;"&amp;600,m_end,"&gt;"&amp;0)&gt;1,"충돌",HYPERLINK("#'관리자_MASTER'!D"&amp;_xlfn.MAXIFS(m_row,m_teacher,AF$4,m_date,($G$2+20),m_active,1,m_start,"&lt;"&amp;600,m_end,"&gt;"&amp;0),INDEX(m_label,_xlfn.MAXIFS(m_row,m_teacher,AF$4,m_date,($G$2+20),m_active,1,m_start,"&lt;"&amp;600,m_end,"&gt;"&amp;0))))))</f>
        <v/>
      </c>
      <c r="AG71" s="80" t="str">
        <f aca="false">IF(OR(AG$4="",MONTH(($G$2+20))&lt;&gt;MONTH($C$2)),"",IF(COUNTIFS(m_teacher,AG$4,m_date,($G$2+20),m_active,1,m_start,"&lt;"&amp;600,m_end,"&gt;"&amp;0)=0,"",IF(COUNTIFS(m_teacher,AG$4,m_date,($G$2+20),m_active,1,m_start,"&lt;"&amp;600,m_end,"&gt;"&amp;0)&gt;1,"충돌",HYPERLINK("#'관리자_MASTER'!D"&amp;_xlfn.MAXIFS(m_row,m_teacher,AG$4,m_date,($G$2+20),m_active,1,m_start,"&lt;"&amp;600,m_end,"&gt;"&amp;0),INDEX(m_label,_xlfn.MAXIFS(m_row,m_teacher,AG$4,m_date,($G$2+20),m_active,1,m_start,"&lt;"&amp;600,m_end,"&gt;"&amp;0))))))</f>
        <v/>
      </c>
      <c r="AH71" s="80" t="str">
        <f aca="false">IF(OR(AH$4="",MONTH(($G$2+20))&lt;&gt;MONTH($C$2)),"",IF(COUNTIFS(m_teacher,AH$4,m_date,($G$2+20),m_active,1,m_start,"&lt;"&amp;600,m_end,"&gt;"&amp;0)=0,"",IF(COUNTIFS(m_teacher,AH$4,m_date,($G$2+20),m_active,1,m_start,"&lt;"&amp;600,m_end,"&gt;"&amp;0)&gt;1,"충돌",HYPERLINK("#'관리자_MASTER'!D"&amp;_xlfn.MAXIFS(m_row,m_teacher,AH$4,m_date,($G$2+20),m_active,1,m_start,"&lt;"&amp;600,m_end,"&gt;"&amp;0),INDEX(m_label,_xlfn.MAXIFS(m_row,m_teacher,AH$4,m_date,($G$2+20),m_active,1,m_start,"&lt;"&amp;600,m_end,"&gt;"&amp;0))))))</f>
        <v/>
      </c>
      <c r="AI71" s="80" t="str">
        <f aca="false">IF(OR(AI$4="",MONTH(($G$2+20))&lt;&gt;MONTH($C$2)),"",IF(COUNTIFS(m_teacher,AI$4,m_date,($G$2+20),m_active,1,m_start,"&lt;"&amp;600,m_end,"&gt;"&amp;0)=0,"",IF(COUNTIFS(m_teacher,AI$4,m_date,($G$2+20),m_active,1,m_start,"&lt;"&amp;600,m_end,"&gt;"&amp;0)&gt;1,"충돌",HYPERLINK("#'관리자_MASTER'!D"&amp;_xlfn.MAXIFS(m_row,m_teacher,AI$4,m_date,($G$2+20),m_active,1,m_start,"&lt;"&amp;600,m_end,"&gt;"&amp;0),INDEX(m_label,_xlfn.MAXIFS(m_row,m_teacher,AI$4,m_date,($G$2+20),m_active,1,m_start,"&lt;"&amp;600,m_end,"&gt;"&amp;0))))))</f>
        <v/>
      </c>
      <c r="AJ71" s="80" t="str">
        <f aca="false">IF(OR(AJ$4="",MONTH(($G$2+20))&lt;&gt;MONTH($C$2)),"",IF(COUNTIFS(m_teacher,AJ$4,m_date,($G$2+20),m_active,1,m_start,"&lt;"&amp;600,m_end,"&gt;"&amp;0)=0,"",IF(COUNTIFS(m_teacher,AJ$4,m_date,($G$2+20),m_active,1,m_start,"&lt;"&amp;600,m_end,"&gt;"&amp;0)&gt;1,"충돌",HYPERLINK("#'관리자_MASTER'!D"&amp;_xlfn.MAXIFS(m_row,m_teacher,AJ$4,m_date,($G$2+20),m_active,1,m_start,"&lt;"&amp;600,m_end,"&gt;"&amp;0),INDEX(m_label,_xlfn.MAXIFS(m_row,m_teacher,AJ$4,m_date,($G$2+20),m_active,1,m_start,"&lt;"&amp;600,m_end,"&gt;"&amp;0))))))</f>
        <v/>
      </c>
      <c r="AK71" s="80" t="str">
        <f aca="false">IF(OR(AK$4="",MONTH(($G$2+20))&lt;&gt;MONTH($C$2)),"",IF(COUNTIFS(m_teacher,AK$4,m_date,($G$2+20),m_active,1,m_start,"&lt;"&amp;600,m_end,"&gt;"&amp;0)=0,"",IF(COUNTIFS(m_teacher,AK$4,m_date,($G$2+20),m_active,1,m_start,"&lt;"&amp;600,m_end,"&gt;"&amp;0)&gt;1,"충돌",HYPERLINK("#'관리자_MASTER'!D"&amp;_xlfn.MAXIFS(m_row,m_teacher,AK$4,m_date,($G$2+20),m_active,1,m_start,"&lt;"&amp;600,m_end,"&gt;"&amp;0),INDEX(m_label,_xlfn.MAXIFS(m_row,m_teacher,AK$4,m_date,($G$2+20),m_active,1,m_start,"&lt;"&amp;600,m_end,"&gt;"&amp;0))))))</f>
        <v/>
      </c>
      <c r="AL71" s="80" t="str">
        <f aca="false">IF(OR(AL$4="",MONTH(($G$2+20))&lt;&gt;MONTH($C$2)),"",IF(COUNTIFS(m_teacher,AL$4,m_date,($G$2+20),m_active,1,m_start,"&lt;"&amp;600,m_end,"&gt;"&amp;0)=0,"",IF(COUNTIFS(m_teacher,AL$4,m_date,($G$2+20),m_active,1,m_start,"&lt;"&amp;600,m_end,"&gt;"&amp;0)&gt;1,"충돌",HYPERLINK("#'관리자_MASTER'!D"&amp;_xlfn.MAXIFS(m_row,m_teacher,AL$4,m_date,($G$2+20),m_active,1,m_start,"&lt;"&amp;600,m_end,"&gt;"&amp;0),INDEX(m_label,_xlfn.MAXIFS(m_row,m_teacher,AL$4,m_date,($G$2+20),m_active,1,m_start,"&lt;"&amp;600,m_end,"&gt;"&amp;0))))))</f>
        <v/>
      </c>
      <c r="AM71" s="80" t="str">
        <f aca="false">IF(OR(AM$4="",MONTH(($G$2+20))&lt;&gt;MONTH($C$2)),"",IF(COUNTIFS(m_teacher,AM$4,m_date,($G$2+20),m_active,1,m_start,"&lt;"&amp;600,m_end,"&gt;"&amp;0)=0,"",IF(COUNTIFS(m_teacher,AM$4,m_date,($G$2+20),m_active,1,m_start,"&lt;"&amp;600,m_end,"&gt;"&amp;0)&gt;1,"충돌",HYPERLINK("#'관리자_MASTER'!D"&amp;_xlfn.MAXIFS(m_row,m_teacher,AM$4,m_date,($G$2+20),m_active,1,m_start,"&lt;"&amp;600,m_end,"&gt;"&amp;0),INDEX(m_label,_xlfn.MAXIFS(m_row,m_teacher,AM$4,m_date,($G$2+20),m_active,1,m_start,"&lt;"&amp;600,m_end,"&gt;"&amp;0))))))</f>
        <v/>
      </c>
      <c r="AN71" s="80" t="str">
        <f aca="false">IF(OR(AN$4="",MONTH(($G$2+20))&lt;&gt;MONTH($C$2)),"",IF(COUNTIFS(m_teacher,AN$4,m_date,($G$2+20),m_active,1,m_start,"&lt;"&amp;600,m_end,"&gt;"&amp;0)=0,"",IF(COUNTIFS(m_teacher,AN$4,m_date,($G$2+20),m_active,1,m_start,"&lt;"&amp;600,m_end,"&gt;"&amp;0)&gt;1,"충돌",HYPERLINK("#'관리자_MASTER'!D"&amp;_xlfn.MAXIFS(m_row,m_teacher,AN$4,m_date,($G$2+20),m_active,1,m_start,"&lt;"&amp;600,m_end,"&gt;"&amp;0),INDEX(m_label,_xlfn.MAXIFS(m_row,m_teacher,AN$4,m_date,($G$2+20),m_active,1,m_start,"&lt;"&amp;600,m_end,"&gt;"&amp;0))))))</f>
        <v/>
      </c>
      <c r="AO71" s="80" t="str">
        <f aca="false">IF(OR(AO$4="",MONTH(($G$2+20))&lt;&gt;MONTH($C$2)),"",IF(COUNTIFS(m_teacher,AO$4,m_date,($G$2+20),m_active,1,m_start,"&lt;"&amp;600,m_end,"&gt;"&amp;0)=0,"",IF(COUNTIFS(m_teacher,AO$4,m_date,($G$2+20),m_active,1,m_start,"&lt;"&amp;600,m_end,"&gt;"&amp;0)&gt;1,"충돌",HYPERLINK("#'관리자_MASTER'!D"&amp;_xlfn.MAXIFS(m_row,m_teacher,AO$4,m_date,($G$2+20),m_active,1,m_start,"&lt;"&amp;600,m_end,"&gt;"&amp;0),INDEX(m_label,_xlfn.MAXIFS(m_row,m_teacher,AO$4,m_date,($G$2+20),m_active,1,m_start,"&lt;"&amp;600,m_end,"&gt;"&amp;0))))))</f>
        <v/>
      </c>
      <c r="AP71" s="80" t="str">
        <f aca="false">IF(OR(AP$4="",MONTH(($G$2+20))&lt;&gt;MONTH($C$2)),"",IF(COUNTIFS(m_teacher,AP$4,m_date,($G$2+20),m_active,1,m_start,"&lt;"&amp;600,m_end,"&gt;"&amp;0)=0,"",IF(COUNTIFS(m_teacher,AP$4,m_date,($G$2+20),m_active,1,m_start,"&lt;"&amp;600,m_end,"&gt;"&amp;0)&gt;1,"충돌",HYPERLINK("#'관리자_MASTER'!D"&amp;_xlfn.MAXIFS(m_row,m_teacher,AP$4,m_date,($G$2+20),m_active,1,m_start,"&lt;"&amp;600,m_end,"&gt;"&amp;0),INDEX(m_label,_xlfn.MAXIFS(m_row,m_teacher,AP$4,m_date,($G$2+20),m_active,1,m_start,"&lt;"&amp;600,m_end,"&gt;"&amp;0))))))</f>
        <v/>
      </c>
      <c r="AQ71" s="92" t="str">
        <f aca="false">IF(MONTH(($G$2+27))&lt;&gt;MONTH($C$2),"",CHOOSE(WEEKDAY(($G$2+27),2),"월","화","수","목","금","토","일")&amp;CHAR(10)&amp;TEXT(($G$2+27),"m/d"))</f>
        <v>일
2/28</v>
      </c>
      <c r="AR71" s="79" t="s">
        <v>91</v>
      </c>
      <c r="AS71" s="80" t="str">
        <f aca="false">IF(OR(AS$4="",MONTH(($G$2+27))&lt;&gt;MONTH($C$2)),"",IF(COUNTIFS(m_teacher,AS$4,m_date,($G$2+27),m_active,1,m_start,"&lt;"&amp;600,m_end,"&gt;"&amp;0)=0,"",IF(COUNTIFS(m_teacher,AS$4,m_date,($G$2+27),m_active,1,m_start,"&lt;"&amp;600,m_end,"&gt;"&amp;0)&gt;1,"충돌",HYPERLINK("#'관리자_MASTER'!D"&amp;_xlfn.MAXIFS(m_row,m_teacher,AS$4,m_date,($G$2+27),m_active,1,m_start,"&lt;"&amp;600,m_end,"&gt;"&amp;0),INDEX(m_label,_xlfn.MAXIFS(m_row,m_teacher,AS$4,m_date,($G$2+27),m_active,1,m_start,"&lt;"&amp;600,m_end,"&gt;"&amp;0))))))</f>
        <v/>
      </c>
      <c r="AT71" s="80" t="str">
        <f aca="false">IF(OR(AT$4="",MONTH(($G$2+27))&lt;&gt;MONTH($C$2)),"",IF(COUNTIFS(m_teacher,AT$4,m_date,($G$2+27),m_active,1,m_start,"&lt;"&amp;600,m_end,"&gt;"&amp;0)=0,"",IF(COUNTIFS(m_teacher,AT$4,m_date,($G$2+27),m_active,1,m_start,"&lt;"&amp;600,m_end,"&gt;"&amp;0)&gt;1,"충돌",HYPERLINK("#'관리자_MASTER'!D"&amp;_xlfn.MAXIFS(m_row,m_teacher,AT$4,m_date,($G$2+27),m_active,1,m_start,"&lt;"&amp;600,m_end,"&gt;"&amp;0),INDEX(m_label,_xlfn.MAXIFS(m_row,m_teacher,AT$4,m_date,($G$2+27),m_active,1,m_start,"&lt;"&amp;600,m_end,"&gt;"&amp;0))))))</f>
        <v/>
      </c>
      <c r="AU71" s="80" t="str">
        <f aca="false">IF(OR(AU$4="",MONTH(($G$2+27))&lt;&gt;MONTH($C$2)),"",IF(COUNTIFS(m_teacher,AU$4,m_date,($G$2+27),m_active,1,m_start,"&lt;"&amp;600,m_end,"&gt;"&amp;0)=0,"",IF(COUNTIFS(m_teacher,AU$4,m_date,($G$2+27),m_active,1,m_start,"&lt;"&amp;600,m_end,"&gt;"&amp;0)&gt;1,"충돌",HYPERLINK("#'관리자_MASTER'!D"&amp;_xlfn.MAXIFS(m_row,m_teacher,AU$4,m_date,($G$2+27),m_active,1,m_start,"&lt;"&amp;600,m_end,"&gt;"&amp;0),INDEX(m_label,_xlfn.MAXIFS(m_row,m_teacher,AU$4,m_date,($G$2+27),m_active,1,m_start,"&lt;"&amp;600,m_end,"&gt;"&amp;0))))))</f>
        <v/>
      </c>
      <c r="AV71" s="80" t="str">
        <f aca="false">IF(OR(AV$4="",MONTH(($G$2+27))&lt;&gt;MONTH($C$2)),"",IF(COUNTIFS(m_teacher,AV$4,m_date,($G$2+27),m_active,1,m_start,"&lt;"&amp;600,m_end,"&gt;"&amp;0)=0,"",IF(COUNTIFS(m_teacher,AV$4,m_date,($G$2+27),m_active,1,m_start,"&lt;"&amp;600,m_end,"&gt;"&amp;0)&gt;1,"충돌",HYPERLINK("#'관리자_MASTER'!D"&amp;_xlfn.MAXIFS(m_row,m_teacher,AV$4,m_date,($G$2+27),m_active,1,m_start,"&lt;"&amp;600,m_end,"&gt;"&amp;0),INDEX(m_label,_xlfn.MAXIFS(m_row,m_teacher,AV$4,m_date,($G$2+27),m_active,1,m_start,"&lt;"&amp;600,m_end,"&gt;"&amp;0))))))</f>
        <v/>
      </c>
      <c r="AW71" s="80" t="str">
        <f aca="false">IF(OR(AW$4="",MONTH(($G$2+27))&lt;&gt;MONTH($C$2)),"",IF(COUNTIFS(m_teacher,AW$4,m_date,($G$2+27),m_active,1,m_start,"&lt;"&amp;600,m_end,"&gt;"&amp;0)=0,"",IF(COUNTIFS(m_teacher,AW$4,m_date,($G$2+27),m_active,1,m_start,"&lt;"&amp;600,m_end,"&gt;"&amp;0)&gt;1,"충돌",HYPERLINK("#'관리자_MASTER'!D"&amp;_xlfn.MAXIFS(m_row,m_teacher,AW$4,m_date,($G$2+27),m_active,1,m_start,"&lt;"&amp;600,m_end,"&gt;"&amp;0),INDEX(m_label,_xlfn.MAXIFS(m_row,m_teacher,AW$4,m_date,($G$2+27),m_active,1,m_start,"&lt;"&amp;600,m_end,"&gt;"&amp;0))))))</f>
        <v/>
      </c>
      <c r="AX71" s="80" t="str">
        <f aca="false">IF(OR(AX$4="",MONTH(($G$2+27))&lt;&gt;MONTH($C$2)),"",IF(COUNTIFS(m_teacher,AX$4,m_date,($G$2+27),m_active,1,m_start,"&lt;"&amp;600,m_end,"&gt;"&amp;0)=0,"",IF(COUNTIFS(m_teacher,AX$4,m_date,($G$2+27),m_active,1,m_start,"&lt;"&amp;600,m_end,"&gt;"&amp;0)&gt;1,"충돌",HYPERLINK("#'관리자_MASTER'!D"&amp;_xlfn.MAXIFS(m_row,m_teacher,AX$4,m_date,($G$2+27),m_active,1,m_start,"&lt;"&amp;600,m_end,"&gt;"&amp;0),INDEX(m_label,_xlfn.MAXIFS(m_row,m_teacher,AX$4,m_date,($G$2+27),m_active,1,m_start,"&lt;"&amp;600,m_end,"&gt;"&amp;0))))))</f>
        <v/>
      </c>
      <c r="AY71" s="80" t="str">
        <f aca="false">IF(OR(AY$4="",MONTH(($G$2+27))&lt;&gt;MONTH($C$2)),"",IF(COUNTIFS(m_teacher,AY$4,m_date,($G$2+27),m_active,1,m_start,"&lt;"&amp;600,m_end,"&gt;"&amp;0)=0,"",IF(COUNTIFS(m_teacher,AY$4,m_date,($G$2+27),m_active,1,m_start,"&lt;"&amp;600,m_end,"&gt;"&amp;0)&gt;1,"충돌",HYPERLINK("#'관리자_MASTER'!D"&amp;_xlfn.MAXIFS(m_row,m_teacher,AY$4,m_date,($G$2+27),m_active,1,m_start,"&lt;"&amp;600,m_end,"&gt;"&amp;0),INDEX(m_label,_xlfn.MAXIFS(m_row,m_teacher,AY$4,m_date,($G$2+27),m_active,1,m_start,"&lt;"&amp;600,m_end,"&gt;"&amp;0))))))</f>
        <v/>
      </c>
      <c r="AZ71" s="80" t="str">
        <f aca="false">IF(OR(AZ$4="",MONTH(($G$2+27))&lt;&gt;MONTH($C$2)),"",IF(COUNTIFS(m_teacher,AZ$4,m_date,($G$2+27),m_active,1,m_start,"&lt;"&amp;600,m_end,"&gt;"&amp;0)=0,"",IF(COUNTIFS(m_teacher,AZ$4,m_date,($G$2+27),m_active,1,m_start,"&lt;"&amp;600,m_end,"&gt;"&amp;0)&gt;1,"충돌",HYPERLINK("#'관리자_MASTER'!D"&amp;_xlfn.MAXIFS(m_row,m_teacher,AZ$4,m_date,($G$2+27),m_active,1,m_start,"&lt;"&amp;600,m_end,"&gt;"&amp;0),INDEX(m_label,_xlfn.MAXIFS(m_row,m_teacher,AZ$4,m_date,($G$2+27),m_active,1,m_start,"&lt;"&amp;600,m_end,"&gt;"&amp;0))))))</f>
        <v/>
      </c>
      <c r="BA71" s="80" t="str">
        <f aca="false">IF(OR(BA$4="",MONTH(($G$2+27))&lt;&gt;MONTH($C$2)),"",IF(COUNTIFS(m_teacher,BA$4,m_date,($G$2+27),m_active,1,m_start,"&lt;"&amp;600,m_end,"&gt;"&amp;0)=0,"",IF(COUNTIFS(m_teacher,BA$4,m_date,($G$2+27),m_active,1,m_start,"&lt;"&amp;600,m_end,"&gt;"&amp;0)&gt;1,"충돌",HYPERLINK("#'관리자_MASTER'!D"&amp;_xlfn.MAXIFS(m_row,m_teacher,BA$4,m_date,($G$2+27),m_active,1,m_start,"&lt;"&amp;600,m_end,"&gt;"&amp;0),INDEX(m_label,_xlfn.MAXIFS(m_row,m_teacher,BA$4,m_date,($G$2+27),m_active,1,m_start,"&lt;"&amp;600,m_end,"&gt;"&amp;0))))))</f>
        <v/>
      </c>
      <c r="BB71" s="80" t="str">
        <f aca="false">IF(OR(BB$4="",MONTH(($G$2+27))&lt;&gt;MONTH($C$2)),"",IF(COUNTIFS(m_teacher,BB$4,m_date,($G$2+27),m_active,1,m_start,"&lt;"&amp;600,m_end,"&gt;"&amp;0)=0,"",IF(COUNTIFS(m_teacher,BB$4,m_date,($G$2+27),m_active,1,m_start,"&lt;"&amp;600,m_end,"&gt;"&amp;0)&gt;1,"충돌",HYPERLINK("#'관리자_MASTER'!D"&amp;_xlfn.MAXIFS(m_row,m_teacher,BB$4,m_date,($G$2+27),m_active,1,m_start,"&lt;"&amp;600,m_end,"&gt;"&amp;0),INDEX(m_label,_xlfn.MAXIFS(m_row,m_teacher,BB$4,m_date,($G$2+27),m_active,1,m_start,"&lt;"&amp;600,m_end,"&gt;"&amp;0))))))</f>
        <v/>
      </c>
      <c r="BC71" s="80" t="str">
        <f aca="false">IF(OR(BC$4="",MONTH(($G$2+27))&lt;&gt;MONTH($C$2)),"",IF(COUNTIFS(m_teacher,BC$4,m_date,($G$2+27),m_active,1,m_start,"&lt;"&amp;600,m_end,"&gt;"&amp;0)=0,"",IF(COUNTIFS(m_teacher,BC$4,m_date,($G$2+27),m_active,1,m_start,"&lt;"&amp;600,m_end,"&gt;"&amp;0)&gt;1,"충돌",HYPERLINK("#'관리자_MASTER'!D"&amp;_xlfn.MAXIFS(m_row,m_teacher,BC$4,m_date,($G$2+27),m_active,1,m_start,"&lt;"&amp;600,m_end,"&gt;"&amp;0),INDEX(m_label,_xlfn.MAXIFS(m_row,m_teacher,BC$4,m_date,($G$2+27),m_active,1,m_start,"&lt;"&amp;600,m_end,"&gt;"&amp;0))))))</f>
        <v/>
      </c>
      <c r="BD71" s="80" t="str">
        <f aca="false">IF(OR(BD$4="",MONTH(($G$2+27))&lt;&gt;MONTH($C$2)),"",IF(COUNTIFS(m_teacher,BD$4,m_date,($G$2+27),m_active,1,m_start,"&lt;"&amp;600,m_end,"&gt;"&amp;0)=0,"",IF(COUNTIFS(m_teacher,BD$4,m_date,($G$2+27),m_active,1,m_start,"&lt;"&amp;600,m_end,"&gt;"&amp;0)&gt;1,"충돌",HYPERLINK("#'관리자_MASTER'!D"&amp;_xlfn.MAXIFS(m_row,m_teacher,BD$4,m_date,($G$2+27),m_active,1,m_start,"&lt;"&amp;600,m_end,"&gt;"&amp;0),INDEX(m_label,_xlfn.MAXIFS(m_row,m_teacher,BD$4,m_date,($G$2+27),m_active,1,m_start,"&lt;"&amp;600,m_end,"&gt;"&amp;0))))))</f>
        <v/>
      </c>
    </row>
    <row r="72" customFormat="false" ht="19.5" hidden="false" customHeight="true" outlineLevel="0" collapsed="false">
      <c r="A72" s="92"/>
      <c r="B72" s="79" t="s">
        <v>92</v>
      </c>
      <c r="C72" s="82" t="str">
        <f aca="false">IF(OR(C$4="",MONTH(($G$2+6))&lt;&gt;MONTH($C$2)),"",IF(COUNTIFS(m_teacher,C$4,m_date,($G$2+6),m_active,1,m_start,"&lt;"&amp;660,m_end,"&gt;"&amp;600)=0,"",IF(COUNTIFS(m_teacher,C$4,m_date,($G$2+6),m_active,1,m_start,"&lt;"&amp;660,m_end,"&gt;"&amp;600)&gt;1,"충돌",HYPERLINK("#'관리자_MASTER'!D"&amp;_xlfn.MAXIFS(m_row,m_teacher,C$4,m_date,($G$2+6),m_active,1,m_start,"&lt;"&amp;660,m_end,"&gt;"&amp;600),INDEX(m_label,_xlfn.MAXIFS(m_row,m_teacher,C$4,m_date,($G$2+6),m_active,1,m_start,"&lt;"&amp;660,m_end,"&gt;"&amp;600))))))</f>
        <v/>
      </c>
      <c r="D72" s="82" t="str">
        <f aca="false">IF(OR(D$4="",MONTH(($G$2+6))&lt;&gt;MONTH($C$2)),"",IF(COUNTIFS(m_teacher,D$4,m_date,($G$2+6),m_active,1,m_start,"&lt;"&amp;660,m_end,"&gt;"&amp;600)=0,"",IF(COUNTIFS(m_teacher,D$4,m_date,($G$2+6),m_active,1,m_start,"&lt;"&amp;660,m_end,"&gt;"&amp;600)&gt;1,"충돌",HYPERLINK("#'관리자_MASTER'!D"&amp;_xlfn.MAXIFS(m_row,m_teacher,D$4,m_date,($G$2+6),m_active,1,m_start,"&lt;"&amp;660,m_end,"&gt;"&amp;600),INDEX(m_label,_xlfn.MAXIFS(m_row,m_teacher,D$4,m_date,($G$2+6),m_active,1,m_start,"&lt;"&amp;660,m_end,"&gt;"&amp;600))))))</f>
        <v/>
      </c>
      <c r="E72" s="82" t="str">
        <f aca="false">IF(OR(E$4="",MONTH(($G$2+6))&lt;&gt;MONTH($C$2)),"",IF(COUNTIFS(m_teacher,E$4,m_date,($G$2+6),m_active,1,m_start,"&lt;"&amp;660,m_end,"&gt;"&amp;600)=0,"",IF(COUNTIFS(m_teacher,E$4,m_date,($G$2+6),m_active,1,m_start,"&lt;"&amp;660,m_end,"&gt;"&amp;600)&gt;1,"충돌",HYPERLINK("#'관리자_MASTER'!D"&amp;_xlfn.MAXIFS(m_row,m_teacher,E$4,m_date,($G$2+6),m_active,1,m_start,"&lt;"&amp;660,m_end,"&gt;"&amp;600),INDEX(m_label,_xlfn.MAXIFS(m_row,m_teacher,E$4,m_date,($G$2+6),m_active,1,m_start,"&lt;"&amp;660,m_end,"&gt;"&amp;600))))))</f>
        <v/>
      </c>
      <c r="F72" s="82" t="str">
        <f aca="false">IF(OR(F$4="",MONTH(($G$2+6))&lt;&gt;MONTH($C$2)),"",IF(COUNTIFS(m_teacher,F$4,m_date,($G$2+6),m_active,1,m_start,"&lt;"&amp;660,m_end,"&gt;"&amp;600)=0,"",IF(COUNTIFS(m_teacher,F$4,m_date,($G$2+6),m_active,1,m_start,"&lt;"&amp;660,m_end,"&gt;"&amp;600)&gt;1,"충돌",HYPERLINK("#'관리자_MASTER'!D"&amp;_xlfn.MAXIFS(m_row,m_teacher,F$4,m_date,($G$2+6),m_active,1,m_start,"&lt;"&amp;660,m_end,"&gt;"&amp;600),INDEX(m_label,_xlfn.MAXIFS(m_row,m_teacher,F$4,m_date,($G$2+6),m_active,1,m_start,"&lt;"&amp;660,m_end,"&gt;"&amp;600))))))</f>
        <v/>
      </c>
      <c r="G72" s="82" t="str">
        <f aca="false">IF(OR(G$4="",MONTH(($G$2+6))&lt;&gt;MONTH($C$2)),"",IF(COUNTIFS(m_teacher,G$4,m_date,($G$2+6),m_active,1,m_start,"&lt;"&amp;660,m_end,"&gt;"&amp;600)=0,"",IF(COUNTIFS(m_teacher,G$4,m_date,($G$2+6),m_active,1,m_start,"&lt;"&amp;660,m_end,"&gt;"&amp;600)&gt;1,"충돌",HYPERLINK("#'관리자_MASTER'!D"&amp;_xlfn.MAXIFS(m_row,m_teacher,G$4,m_date,($G$2+6),m_active,1,m_start,"&lt;"&amp;660,m_end,"&gt;"&amp;600),INDEX(m_label,_xlfn.MAXIFS(m_row,m_teacher,G$4,m_date,($G$2+6),m_active,1,m_start,"&lt;"&amp;660,m_end,"&gt;"&amp;600))))))</f>
        <v/>
      </c>
      <c r="H72" s="82" t="str">
        <f aca="false">IF(OR(H$4="",MONTH(($G$2+6))&lt;&gt;MONTH($C$2)),"",IF(COUNTIFS(m_teacher,H$4,m_date,($G$2+6),m_active,1,m_start,"&lt;"&amp;660,m_end,"&gt;"&amp;600)=0,"",IF(COUNTIFS(m_teacher,H$4,m_date,($G$2+6),m_active,1,m_start,"&lt;"&amp;660,m_end,"&gt;"&amp;600)&gt;1,"충돌",HYPERLINK("#'관리자_MASTER'!D"&amp;_xlfn.MAXIFS(m_row,m_teacher,H$4,m_date,($G$2+6),m_active,1,m_start,"&lt;"&amp;660,m_end,"&gt;"&amp;600),INDEX(m_label,_xlfn.MAXIFS(m_row,m_teacher,H$4,m_date,($G$2+6),m_active,1,m_start,"&lt;"&amp;660,m_end,"&gt;"&amp;600))))))</f>
        <v/>
      </c>
      <c r="I72" s="82" t="str">
        <f aca="false">IF(OR(I$4="",MONTH(($G$2+6))&lt;&gt;MONTH($C$2)),"",IF(COUNTIFS(m_teacher,I$4,m_date,($G$2+6),m_active,1,m_start,"&lt;"&amp;660,m_end,"&gt;"&amp;600)=0,"",IF(COUNTIFS(m_teacher,I$4,m_date,($G$2+6),m_active,1,m_start,"&lt;"&amp;660,m_end,"&gt;"&amp;600)&gt;1,"충돌",HYPERLINK("#'관리자_MASTER'!D"&amp;_xlfn.MAXIFS(m_row,m_teacher,I$4,m_date,($G$2+6),m_active,1,m_start,"&lt;"&amp;660,m_end,"&gt;"&amp;600),INDEX(m_label,_xlfn.MAXIFS(m_row,m_teacher,I$4,m_date,($G$2+6),m_active,1,m_start,"&lt;"&amp;660,m_end,"&gt;"&amp;600))))))</f>
        <v/>
      </c>
      <c r="J72" s="82" t="str">
        <f aca="false">IF(OR(J$4="",MONTH(($G$2+6))&lt;&gt;MONTH($C$2)),"",IF(COUNTIFS(m_teacher,J$4,m_date,($G$2+6),m_active,1,m_start,"&lt;"&amp;660,m_end,"&gt;"&amp;600)=0,"",IF(COUNTIFS(m_teacher,J$4,m_date,($G$2+6),m_active,1,m_start,"&lt;"&amp;660,m_end,"&gt;"&amp;600)&gt;1,"충돌",HYPERLINK("#'관리자_MASTER'!D"&amp;_xlfn.MAXIFS(m_row,m_teacher,J$4,m_date,($G$2+6),m_active,1,m_start,"&lt;"&amp;660,m_end,"&gt;"&amp;600),INDEX(m_label,_xlfn.MAXIFS(m_row,m_teacher,J$4,m_date,($G$2+6),m_active,1,m_start,"&lt;"&amp;660,m_end,"&gt;"&amp;600))))))</f>
        <v/>
      </c>
      <c r="K72" s="82" t="str">
        <f aca="false">IF(OR(K$4="",MONTH(($G$2+6))&lt;&gt;MONTH($C$2)),"",IF(COUNTIFS(m_teacher,K$4,m_date,($G$2+6),m_active,1,m_start,"&lt;"&amp;660,m_end,"&gt;"&amp;600)=0,"",IF(COUNTIFS(m_teacher,K$4,m_date,($G$2+6),m_active,1,m_start,"&lt;"&amp;660,m_end,"&gt;"&amp;600)&gt;1,"충돌",HYPERLINK("#'관리자_MASTER'!D"&amp;_xlfn.MAXIFS(m_row,m_teacher,K$4,m_date,($G$2+6),m_active,1,m_start,"&lt;"&amp;660,m_end,"&gt;"&amp;600),INDEX(m_label,_xlfn.MAXIFS(m_row,m_teacher,K$4,m_date,($G$2+6),m_active,1,m_start,"&lt;"&amp;660,m_end,"&gt;"&amp;600))))))</f>
        <v/>
      </c>
      <c r="L72" s="82" t="str">
        <f aca="false">IF(OR(L$4="",MONTH(($G$2+6))&lt;&gt;MONTH($C$2)),"",IF(COUNTIFS(m_teacher,L$4,m_date,($G$2+6),m_active,1,m_start,"&lt;"&amp;660,m_end,"&gt;"&amp;600)=0,"",IF(COUNTIFS(m_teacher,L$4,m_date,($G$2+6),m_active,1,m_start,"&lt;"&amp;660,m_end,"&gt;"&amp;600)&gt;1,"충돌",HYPERLINK("#'관리자_MASTER'!D"&amp;_xlfn.MAXIFS(m_row,m_teacher,L$4,m_date,($G$2+6),m_active,1,m_start,"&lt;"&amp;660,m_end,"&gt;"&amp;600),INDEX(m_label,_xlfn.MAXIFS(m_row,m_teacher,L$4,m_date,($G$2+6),m_active,1,m_start,"&lt;"&amp;660,m_end,"&gt;"&amp;600))))))</f>
        <v/>
      </c>
      <c r="M72" s="82" t="str">
        <f aca="false">IF(OR(M$4="",MONTH(($G$2+6))&lt;&gt;MONTH($C$2)),"",IF(COUNTIFS(m_teacher,M$4,m_date,($G$2+6),m_active,1,m_start,"&lt;"&amp;660,m_end,"&gt;"&amp;600)=0,"",IF(COUNTIFS(m_teacher,M$4,m_date,($G$2+6),m_active,1,m_start,"&lt;"&amp;660,m_end,"&gt;"&amp;600)&gt;1,"충돌",HYPERLINK("#'관리자_MASTER'!D"&amp;_xlfn.MAXIFS(m_row,m_teacher,M$4,m_date,($G$2+6),m_active,1,m_start,"&lt;"&amp;660,m_end,"&gt;"&amp;600),INDEX(m_label,_xlfn.MAXIFS(m_row,m_teacher,M$4,m_date,($G$2+6),m_active,1,m_start,"&lt;"&amp;660,m_end,"&gt;"&amp;600))))))</f>
        <v/>
      </c>
      <c r="N72" s="82" t="str">
        <f aca="false">IF(OR(N$4="",MONTH(($G$2+6))&lt;&gt;MONTH($C$2)),"",IF(COUNTIFS(m_teacher,N$4,m_date,($G$2+6),m_active,1,m_start,"&lt;"&amp;660,m_end,"&gt;"&amp;600)=0,"",IF(COUNTIFS(m_teacher,N$4,m_date,($G$2+6),m_active,1,m_start,"&lt;"&amp;660,m_end,"&gt;"&amp;600)&gt;1,"충돌",HYPERLINK("#'관리자_MASTER'!D"&amp;_xlfn.MAXIFS(m_row,m_teacher,N$4,m_date,($G$2+6),m_active,1,m_start,"&lt;"&amp;660,m_end,"&gt;"&amp;600),INDEX(m_label,_xlfn.MAXIFS(m_row,m_teacher,N$4,m_date,($G$2+6),m_active,1,m_start,"&lt;"&amp;660,m_end,"&gt;"&amp;600))))))</f>
        <v/>
      </c>
      <c r="O72" s="92"/>
      <c r="P72" s="79" t="s">
        <v>92</v>
      </c>
      <c r="Q72" s="82" t="str">
        <f aca="false">IF(OR(Q$4="",MONTH(($G$2+13))&lt;&gt;MONTH($C$2)),"",IF(COUNTIFS(m_teacher,Q$4,m_date,($G$2+13),m_active,1,m_start,"&lt;"&amp;660,m_end,"&gt;"&amp;600)=0,"",IF(COUNTIFS(m_teacher,Q$4,m_date,($G$2+13),m_active,1,m_start,"&lt;"&amp;660,m_end,"&gt;"&amp;600)&gt;1,"충돌",HYPERLINK("#'관리자_MASTER'!D"&amp;_xlfn.MAXIFS(m_row,m_teacher,Q$4,m_date,($G$2+13),m_active,1,m_start,"&lt;"&amp;660,m_end,"&gt;"&amp;600),INDEX(m_label,_xlfn.MAXIFS(m_row,m_teacher,Q$4,m_date,($G$2+13),m_active,1,m_start,"&lt;"&amp;660,m_end,"&gt;"&amp;600))))))</f>
        <v/>
      </c>
      <c r="R72" s="82" t="str">
        <f aca="false">IF(OR(R$4="",MONTH(($G$2+13))&lt;&gt;MONTH($C$2)),"",IF(COUNTIFS(m_teacher,R$4,m_date,($G$2+13),m_active,1,m_start,"&lt;"&amp;660,m_end,"&gt;"&amp;600)=0,"",IF(COUNTIFS(m_teacher,R$4,m_date,($G$2+13),m_active,1,m_start,"&lt;"&amp;660,m_end,"&gt;"&amp;600)&gt;1,"충돌",HYPERLINK("#'관리자_MASTER'!D"&amp;_xlfn.MAXIFS(m_row,m_teacher,R$4,m_date,($G$2+13),m_active,1,m_start,"&lt;"&amp;660,m_end,"&gt;"&amp;600),INDEX(m_label,_xlfn.MAXIFS(m_row,m_teacher,R$4,m_date,($G$2+13),m_active,1,m_start,"&lt;"&amp;660,m_end,"&gt;"&amp;600))))))</f>
        <v/>
      </c>
      <c r="S72" s="82" t="str">
        <f aca="false">IF(OR(S$4="",MONTH(($G$2+13))&lt;&gt;MONTH($C$2)),"",IF(COUNTIFS(m_teacher,S$4,m_date,($G$2+13),m_active,1,m_start,"&lt;"&amp;660,m_end,"&gt;"&amp;600)=0,"",IF(COUNTIFS(m_teacher,S$4,m_date,($G$2+13),m_active,1,m_start,"&lt;"&amp;660,m_end,"&gt;"&amp;600)&gt;1,"충돌",HYPERLINK("#'관리자_MASTER'!D"&amp;_xlfn.MAXIFS(m_row,m_teacher,S$4,m_date,($G$2+13),m_active,1,m_start,"&lt;"&amp;660,m_end,"&gt;"&amp;600),INDEX(m_label,_xlfn.MAXIFS(m_row,m_teacher,S$4,m_date,($G$2+13),m_active,1,m_start,"&lt;"&amp;660,m_end,"&gt;"&amp;600))))))</f>
        <v/>
      </c>
      <c r="T72" s="82" t="str">
        <f aca="false">IF(OR(T$4="",MONTH(($G$2+13))&lt;&gt;MONTH($C$2)),"",IF(COUNTIFS(m_teacher,T$4,m_date,($G$2+13),m_active,1,m_start,"&lt;"&amp;660,m_end,"&gt;"&amp;600)=0,"",IF(COUNTIFS(m_teacher,T$4,m_date,($G$2+13),m_active,1,m_start,"&lt;"&amp;660,m_end,"&gt;"&amp;600)&gt;1,"충돌",HYPERLINK("#'관리자_MASTER'!D"&amp;_xlfn.MAXIFS(m_row,m_teacher,T$4,m_date,($G$2+13),m_active,1,m_start,"&lt;"&amp;660,m_end,"&gt;"&amp;600),INDEX(m_label,_xlfn.MAXIFS(m_row,m_teacher,T$4,m_date,($G$2+13),m_active,1,m_start,"&lt;"&amp;660,m_end,"&gt;"&amp;600))))))</f>
        <v/>
      </c>
      <c r="U72" s="82" t="str">
        <f aca="false">IF(OR(U$4="",MONTH(($G$2+13))&lt;&gt;MONTH($C$2)),"",IF(COUNTIFS(m_teacher,U$4,m_date,($G$2+13),m_active,1,m_start,"&lt;"&amp;660,m_end,"&gt;"&amp;600)=0,"",IF(COUNTIFS(m_teacher,U$4,m_date,($G$2+13),m_active,1,m_start,"&lt;"&amp;660,m_end,"&gt;"&amp;600)&gt;1,"충돌",HYPERLINK("#'관리자_MASTER'!D"&amp;_xlfn.MAXIFS(m_row,m_teacher,U$4,m_date,($G$2+13),m_active,1,m_start,"&lt;"&amp;660,m_end,"&gt;"&amp;600),INDEX(m_label,_xlfn.MAXIFS(m_row,m_teacher,U$4,m_date,($G$2+13),m_active,1,m_start,"&lt;"&amp;660,m_end,"&gt;"&amp;600))))))</f>
        <v/>
      </c>
      <c r="V72" s="82" t="str">
        <f aca="false">IF(OR(V$4="",MONTH(($G$2+13))&lt;&gt;MONTH($C$2)),"",IF(COUNTIFS(m_teacher,V$4,m_date,($G$2+13),m_active,1,m_start,"&lt;"&amp;660,m_end,"&gt;"&amp;600)=0,"",IF(COUNTIFS(m_teacher,V$4,m_date,($G$2+13),m_active,1,m_start,"&lt;"&amp;660,m_end,"&gt;"&amp;600)&gt;1,"충돌",HYPERLINK("#'관리자_MASTER'!D"&amp;_xlfn.MAXIFS(m_row,m_teacher,V$4,m_date,($G$2+13),m_active,1,m_start,"&lt;"&amp;660,m_end,"&gt;"&amp;600),INDEX(m_label,_xlfn.MAXIFS(m_row,m_teacher,V$4,m_date,($G$2+13),m_active,1,m_start,"&lt;"&amp;660,m_end,"&gt;"&amp;600))))))</f>
        <v/>
      </c>
      <c r="W72" s="82" t="str">
        <f aca="false">IF(OR(W$4="",MONTH(($G$2+13))&lt;&gt;MONTH($C$2)),"",IF(COUNTIFS(m_teacher,W$4,m_date,($G$2+13),m_active,1,m_start,"&lt;"&amp;660,m_end,"&gt;"&amp;600)=0,"",IF(COUNTIFS(m_teacher,W$4,m_date,($G$2+13),m_active,1,m_start,"&lt;"&amp;660,m_end,"&gt;"&amp;600)&gt;1,"충돌",HYPERLINK("#'관리자_MASTER'!D"&amp;_xlfn.MAXIFS(m_row,m_teacher,W$4,m_date,($G$2+13),m_active,1,m_start,"&lt;"&amp;660,m_end,"&gt;"&amp;600),INDEX(m_label,_xlfn.MAXIFS(m_row,m_teacher,W$4,m_date,($G$2+13),m_active,1,m_start,"&lt;"&amp;660,m_end,"&gt;"&amp;600))))))</f>
        <v/>
      </c>
      <c r="X72" s="82" t="str">
        <f aca="false">IF(OR(X$4="",MONTH(($G$2+13))&lt;&gt;MONTH($C$2)),"",IF(COUNTIFS(m_teacher,X$4,m_date,($G$2+13),m_active,1,m_start,"&lt;"&amp;660,m_end,"&gt;"&amp;600)=0,"",IF(COUNTIFS(m_teacher,X$4,m_date,($G$2+13),m_active,1,m_start,"&lt;"&amp;660,m_end,"&gt;"&amp;600)&gt;1,"충돌",HYPERLINK("#'관리자_MASTER'!D"&amp;_xlfn.MAXIFS(m_row,m_teacher,X$4,m_date,($G$2+13),m_active,1,m_start,"&lt;"&amp;660,m_end,"&gt;"&amp;600),INDEX(m_label,_xlfn.MAXIFS(m_row,m_teacher,X$4,m_date,($G$2+13),m_active,1,m_start,"&lt;"&amp;660,m_end,"&gt;"&amp;600))))))</f>
        <v/>
      </c>
      <c r="Y72" s="82" t="str">
        <f aca="false">IF(OR(Y$4="",MONTH(($G$2+13))&lt;&gt;MONTH($C$2)),"",IF(COUNTIFS(m_teacher,Y$4,m_date,($G$2+13),m_active,1,m_start,"&lt;"&amp;660,m_end,"&gt;"&amp;600)=0,"",IF(COUNTIFS(m_teacher,Y$4,m_date,($G$2+13),m_active,1,m_start,"&lt;"&amp;660,m_end,"&gt;"&amp;600)&gt;1,"충돌",HYPERLINK("#'관리자_MASTER'!D"&amp;_xlfn.MAXIFS(m_row,m_teacher,Y$4,m_date,($G$2+13),m_active,1,m_start,"&lt;"&amp;660,m_end,"&gt;"&amp;600),INDEX(m_label,_xlfn.MAXIFS(m_row,m_teacher,Y$4,m_date,($G$2+13),m_active,1,m_start,"&lt;"&amp;660,m_end,"&gt;"&amp;600))))))</f>
        <v/>
      </c>
      <c r="Z72" s="82" t="str">
        <f aca="false">IF(OR(Z$4="",MONTH(($G$2+13))&lt;&gt;MONTH($C$2)),"",IF(COUNTIFS(m_teacher,Z$4,m_date,($G$2+13),m_active,1,m_start,"&lt;"&amp;660,m_end,"&gt;"&amp;600)=0,"",IF(COUNTIFS(m_teacher,Z$4,m_date,($G$2+13),m_active,1,m_start,"&lt;"&amp;660,m_end,"&gt;"&amp;600)&gt;1,"충돌",HYPERLINK("#'관리자_MASTER'!D"&amp;_xlfn.MAXIFS(m_row,m_teacher,Z$4,m_date,($G$2+13),m_active,1,m_start,"&lt;"&amp;660,m_end,"&gt;"&amp;600),INDEX(m_label,_xlfn.MAXIFS(m_row,m_teacher,Z$4,m_date,($G$2+13),m_active,1,m_start,"&lt;"&amp;660,m_end,"&gt;"&amp;600))))))</f>
        <v/>
      </c>
      <c r="AA72" s="82" t="str">
        <f aca="false">IF(OR(AA$4="",MONTH(($G$2+13))&lt;&gt;MONTH($C$2)),"",IF(COUNTIFS(m_teacher,AA$4,m_date,($G$2+13),m_active,1,m_start,"&lt;"&amp;660,m_end,"&gt;"&amp;600)=0,"",IF(COUNTIFS(m_teacher,AA$4,m_date,($G$2+13),m_active,1,m_start,"&lt;"&amp;660,m_end,"&gt;"&amp;600)&gt;1,"충돌",HYPERLINK("#'관리자_MASTER'!D"&amp;_xlfn.MAXIFS(m_row,m_teacher,AA$4,m_date,($G$2+13),m_active,1,m_start,"&lt;"&amp;660,m_end,"&gt;"&amp;600),INDEX(m_label,_xlfn.MAXIFS(m_row,m_teacher,AA$4,m_date,($G$2+13),m_active,1,m_start,"&lt;"&amp;660,m_end,"&gt;"&amp;600))))))</f>
        <v/>
      </c>
      <c r="AB72" s="82" t="str">
        <f aca="false">IF(OR(AB$4="",MONTH(($G$2+13))&lt;&gt;MONTH($C$2)),"",IF(COUNTIFS(m_teacher,AB$4,m_date,($G$2+13),m_active,1,m_start,"&lt;"&amp;660,m_end,"&gt;"&amp;600)=0,"",IF(COUNTIFS(m_teacher,AB$4,m_date,($G$2+13),m_active,1,m_start,"&lt;"&amp;660,m_end,"&gt;"&amp;600)&gt;1,"충돌",HYPERLINK("#'관리자_MASTER'!D"&amp;_xlfn.MAXIFS(m_row,m_teacher,AB$4,m_date,($G$2+13),m_active,1,m_start,"&lt;"&amp;660,m_end,"&gt;"&amp;600),INDEX(m_label,_xlfn.MAXIFS(m_row,m_teacher,AB$4,m_date,($G$2+13),m_active,1,m_start,"&lt;"&amp;660,m_end,"&gt;"&amp;600))))))</f>
        <v/>
      </c>
      <c r="AC72" s="92"/>
      <c r="AD72" s="79" t="s">
        <v>92</v>
      </c>
      <c r="AE72" s="82" t="str">
        <f aca="false">IF(OR(AE$4="",MONTH(($G$2+20))&lt;&gt;MONTH($C$2)),"",IF(COUNTIFS(m_teacher,AE$4,m_date,($G$2+20),m_active,1,m_start,"&lt;"&amp;660,m_end,"&gt;"&amp;600)=0,"",IF(COUNTIFS(m_teacher,AE$4,m_date,($G$2+20),m_active,1,m_start,"&lt;"&amp;660,m_end,"&gt;"&amp;600)&gt;1,"충돌",HYPERLINK("#'관리자_MASTER'!D"&amp;_xlfn.MAXIFS(m_row,m_teacher,AE$4,m_date,($G$2+20),m_active,1,m_start,"&lt;"&amp;660,m_end,"&gt;"&amp;600),INDEX(m_label,_xlfn.MAXIFS(m_row,m_teacher,AE$4,m_date,($G$2+20),m_active,1,m_start,"&lt;"&amp;660,m_end,"&gt;"&amp;600))))))</f>
        <v/>
      </c>
      <c r="AF72" s="82" t="str">
        <f aca="false">IF(OR(AF$4="",MONTH(($G$2+20))&lt;&gt;MONTH($C$2)),"",IF(COUNTIFS(m_teacher,AF$4,m_date,($G$2+20),m_active,1,m_start,"&lt;"&amp;660,m_end,"&gt;"&amp;600)=0,"",IF(COUNTIFS(m_teacher,AF$4,m_date,($G$2+20),m_active,1,m_start,"&lt;"&amp;660,m_end,"&gt;"&amp;600)&gt;1,"충돌",HYPERLINK("#'관리자_MASTER'!D"&amp;_xlfn.MAXIFS(m_row,m_teacher,AF$4,m_date,($G$2+20),m_active,1,m_start,"&lt;"&amp;660,m_end,"&gt;"&amp;600),INDEX(m_label,_xlfn.MAXIFS(m_row,m_teacher,AF$4,m_date,($G$2+20),m_active,1,m_start,"&lt;"&amp;660,m_end,"&gt;"&amp;600))))))</f>
        <v/>
      </c>
      <c r="AG72" s="82" t="str">
        <f aca="false">IF(OR(AG$4="",MONTH(($G$2+20))&lt;&gt;MONTH($C$2)),"",IF(COUNTIFS(m_teacher,AG$4,m_date,($G$2+20),m_active,1,m_start,"&lt;"&amp;660,m_end,"&gt;"&amp;600)=0,"",IF(COUNTIFS(m_teacher,AG$4,m_date,($G$2+20),m_active,1,m_start,"&lt;"&amp;660,m_end,"&gt;"&amp;600)&gt;1,"충돌",HYPERLINK("#'관리자_MASTER'!D"&amp;_xlfn.MAXIFS(m_row,m_teacher,AG$4,m_date,($G$2+20),m_active,1,m_start,"&lt;"&amp;660,m_end,"&gt;"&amp;600),INDEX(m_label,_xlfn.MAXIFS(m_row,m_teacher,AG$4,m_date,($G$2+20),m_active,1,m_start,"&lt;"&amp;660,m_end,"&gt;"&amp;600))))))</f>
        <v/>
      </c>
      <c r="AH72" s="82" t="str">
        <f aca="false">IF(OR(AH$4="",MONTH(($G$2+20))&lt;&gt;MONTH($C$2)),"",IF(COUNTIFS(m_teacher,AH$4,m_date,($G$2+20),m_active,1,m_start,"&lt;"&amp;660,m_end,"&gt;"&amp;600)=0,"",IF(COUNTIFS(m_teacher,AH$4,m_date,($G$2+20),m_active,1,m_start,"&lt;"&amp;660,m_end,"&gt;"&amp;600)&gt;1,"충돌",HYPERLINK("#'관리자_MASTER'!D"&amp;_xlfn.MAXIFS(m_row,m_teacher,AH$4,m_date,($G$2+20),m_active,1,m_start,"&lt;"&amp;660,m_end,"&gt;"&amp;600),INDEX(m_label,_xlfn.MAXIFS(m_row,m_teacher,AH$4,m_date,($G$2+20),m_active,1,m_start,"&lt;"&amp;660,m_end,"&gt;"&amp;600))))))</f>
        <v/>
      </c>
      <c r="AI72" s="82" t="str">
        <f aca="false">IF(OR(AI$4="",MONTH(($G$2+20))&lt;&gt;MONTH($C$2)),"",IF(COUNTIFS(m_teacher,AI$4,m_date,($G$2+20),m_active,1,m_start,"&lt;"&amp;660,m_end,"&gt;"&amp;600)=0,"",IF(COUNTIFS(m_teacher,AI$4,m_date,($G$2+20),m_active,1,m_start,"&lt;"&amp;660,m_end,"&gt;"&amp;600)&gt;1,"충돌",HYPERLINK("#'관리자_MASTER'!D"&amp;_xlfn.MAXIFS(m_row,m_teacher,AI$4,m_date,($G$2+20),m_active,1,m_start,"&lt;"&amp;660,m_end,"&gt;"&amp;600),INDEX(m_label,_xlfn.MAXIFS(m_row,m_teacher,AI$4,m_date,($G$2+20),m_active,1,m_start,"&lt;"&amp;660,m_end,"&gt;"&amp;600))))))</f>
        <v/>
      </c>
      <c r="AJ72" s="82" t="str">
        <f aca="false">IF(OR(AJ$4="",MONTH(($G$2+20))&lt;&gt;MONTH($C$2)),"",IF(COUNTIFS(m_teacher,AJ$4,m_date,($G$2+20),m_active,1,m_start,"&lt;"&amp;660,m_end,"&gt;"&amp;600)=0,"",IF(COUNTIFS(m_teacher,AJ$4,m_date,($G$2+20),m_active,1,m_start,"&lt;"&amp;660,m_end,"&gt;"&amp;600)&gt;1,"충돌",HYPERLINK("#'관리자_MASTER'!D"&amp;_xlfn.MAXIFS(m_row,m_teacher,AJ$4,m_date,($G$2+20),m_active,1,m_start,"&lt;"&amp;660,m_end,"&gt;"&amp;600),INDEX(m_label,_xlfn.MAXIFS(m_row,m_teacher,AJ$4,m_date,($G$2+20),m_active,1,m_start,"&lt;"&amp;660,m_end,"&gt;"&amp;600))))))</f>
        <v/>
      </c>
      <c r="AK72" s="82" t="str">
        <f aca="false">IF(OR(AK$4="",MONTH(($G$2+20))&lt;&gt;MONTH($C$2)),"",IF(COUNTIFS(m_teacher,AK$4,m_date,($G$2+20),m_active,1,m_start,"&lt;"&amp;660,m_end,"&gt;"&amp;600)=0,"",IF(COUNTIFS(m_teacher,AK$4,m_date,($G$2+20),m_active,1,m_start,"&lt;"&amp;660,m_end,"&gt;"&amp;600)&gt;1,"충돌",HYPERLINK("#'관리자_MASTER'!D"&amp;_xlfn.MAXIFS(m_row,m_teacher,AK$4,m_date,($G$2+20),m_active,1,m_start,"&lt;"&amp;660,m_end,"&gt;"&amp;600),INDEX(m_label,_xlfn.MAXIFS(m_row,m_teacher,AK$4,m_date,($G$2+20),m_active,1,m_start,"&lt;"&amp;660,m_end,"&gt;"&amp;600))))))</f>
        <v/>
      </c>
      <c r="AL72" s="82" t="str">
        <f aca="false">IF(OR(AL$4="",MONTH(($G$2+20))&lt;&gt;MONTH($C$2)),"",IF(COUNTIFS(m_teacher,AL$4,m_date,($G$2+20),m_active,1,m_start,"&lt;"&amp;660,m_end,"&gt;"&amp;600)=0,"",IF(COUNTIFS(m_teacher,AL$4,m_date,($G$2+20),m_active,1,m_start,"&lt;"&amp;660,m_end,"&gt;"&amp;600)&gt;1,"충돌",HYPERLINK("#'관리자_MASTER'!D"&amp;_xlfn.MAXIFS(m_row,m_teacher,AL$4,m_date,($G$2+20),m_active,1,m_start,"&lt;"&amp;660,m_end,"&gt;"&amp;600),INDEX(m_label,_xlfn.MAXIFS(m_row,m_teacher,AL$4,m_date,($G$2+20),m_active,1,m_start,"&lt;"&amp;660,m_end,"&gt;"&amp;600))))))</f>
        <v/>
      </c>
      <c r="AM72" s="82" t="str">
        <f aca="false">IF(OR(AM$4="",MONTH(($G$2+20))&lt;&gt;MONTH($C$2)),"",IF(COUNTIFS(m_teacher,AM$4,m_date,($G$2+20),m_active,1,m_start,"&lt;"&amp;660,m_end,"&gt;"&amp;600)=0,"",IF(COUNTIFS(m_teacher,AM$4,m_date,($G$2+20),m_active,1,m_start,"&lt;"&amp;660,m_end,"&gt;"&amp;600)&gt;1,"충돌",HYPERLINK("#'관리자_MASTER'!D"&amp;_xlfn.MAXIFS(m_row,m_teacher,AM$4,m_date,($G$2+20),m_active,1,m_start,"&lt;"&amp;660,m_end,"&gt;"&amp;600),INDEX(m_label,_xlfn.MAXIFS(m_row,m_teacher,AM$4,m_date,($G$2+20),m_active,1,m_start,"&lt;"&amp;660,m_end,"&gt;"&amp;600))))))</f>
        <v/>
      </c>
      <c r="AN72" s="82" t="str">
        <f aca="false">IF(OR(AN$4="",MONTH(($G$2+20))&lt;&gt;MONTH($C$2)),"",IF(COUNTIFS(m_teacher,AN$4,m_date,($G$2+20),m_active,1,m_start,"&lt;"&amp;660,m_end,"&gt;"&amp;600)=0,"",IF(COUNTIFS(m_teacher,AN$4,m_date,($G$2+20),m_active,1,m_start,"&lt;"&amp;660,m_end,"&gt;"&amp;600)&gt;1,"충돌",HYPERLINK("#'관리자_MASTER'!D"&amp;_xlfn.MAXIFS(m_row,m_teacher,AN$4,m_date,($G$2+20),m_active,1,m_start,"&lt;"&amp;660,m_end,"&gt;"&amp;600),INDEX(m_label,_xlfn.MAXIFS(m_row,m_teacher,AN$4,m_date,($G$2+20),m_active,1,m_start,"&lt;"&amp;660,m_end,"&gt;"&amp;600))))))</f>
        <v/>
      </c>
      <c r="AO72" s="82" t="str">
        <f aca="false">IF(OR(AO$4="",MONTH(($G$2+20))&lt;&gt;MONTH($C$2)),"",IF(COUNTIFS(m_teacher,AO$4,m_date,($G$2+20),m_active,1,m_start,"&lt;"&amp;660,m_end,"&gt;"&amp;600)=0,"",IF(COUNTIFS(m_teacher,AO$4,m_date,($G$2+20),m_active,1,m_start,"&lt;"&amp;660,m_end,"&gt;"&amp;600)&gt;1,"충돌",HYPERLINK("#'관리자_MASTER'!D"&amp;_xlfn.MAXIFS(m_row,m_teacher,AO$4,m_date,($G$2+20),m_active,1,m_start,"&lt;"&amp;660,m_end,"&gt;"&amp;600),INDEX(m_label,_xlfn.MAXIFS(m_row,m_teacher,AO$4,m_date,($G$2+20),m_active,1,m_start,"&lt;"&amp;660,m_end,"&gt;"&amp;600))))))</f>
        <v/>
      </c>
      <c r="AP72" s="82" t="str">
        <f aca="false">IF(OR(AP$4="",MONTH(($G$2+20))&lt;&gt;MONTH($C$2)),"",IF(COUNTIFS(m_teacher,AP$4,m_date,($G$2+20),m_active,1,m_start,"&lt;"&amp;660,m_end,"&gt;"&amp;600)=0,"",IF(COUNTIFS(m_teacher,AP$4,m_date,($G$2+20),m_active,1,m_start,"&lt;"&amp;660,m_end,"&gt;"&amp;600)&gt;1,"충돌",HYPERLINK("#'관리자_MASTER'!D"&amp;_xlfn.MAXIFS(m_row,m_teacher,AP$4,m_date,($G$2+20),m_active,1,m_start,"&lt;"&amp;660,m_end,"&gt;"&amp;600),INDEX(m_label,_xlfn.MAXIFS(m_row,m_teacher,AP$4,m_date,($G$2+20),m_active,1,m_start,"&lt;"&amp;660,m_end,"&gt;"&amp;600))))))</f>
        <v/>
      </c>
      <c r="AQ72" s="92"/>
      <c r="AR72" s="79" t="s">
        <v>92</v>
      </c>
      <c r="AS72" s="82" t="str">
        <f aca="false">IF(OR(AS$4="",MONTH(($G$2+27))&lt;&gt;MONTH($C$2)),"",IF(COUNTIFS(m_teacher,AS$4,m_date,($G$2+27),m_active,1,m_start,"&lt;"&amp;660,m_end,"&gt;"&amp;600)=0,"",IF(COUNTIFS(m_teacher,AS$4,m_date,($G$2+27),m_active,1,m_start,"&lt;"&amp;660,m_end,"&gt;"&amp;600)&gt;1,"충돌",HYPERLINK("#'관리자_MASTER'!D"&amp;_xlfn.MAXIFS(m_row,m_teacher,AS$4,m_date,($G$2+27),m_active,1,m_start,"&lt;"&amp;660,m_end,"&gt;"&amp;600),INDEX(m_label,_xlfn.MAXIFS(m_row,m_teacher,AS$4,m_date,($G$2+27),m_active,1,m_start,"&lt;"&amp;660,m_end,"&gt;"&amp;600))))))</f>
        <v/>
      </c>
      <c r="AT72" s="82" t="str">
        <f aca="false">IF(OR(AT$4="",MONTH(($G$2+27))&lt;&gt;MONTH($C$2)),"",IF(COUNTIFS(m_teacher,AT$4,m_date,($G$2+27),m_active,1,m_start,"&lt;"&amp;660,m_end,"&gt;"&amp;600)=0,"",IF(COUNTIFS(m_teacher,AT$4,m_date,($G$2+27),m_active,1,m_start,"&lt;"&amp;660,m_end,"&gt;"&amp;600)&gt;1,"충돌",HYPERLINK("#'관리자_MASTER'!D"&amp;_xlfn.MAXIFS(m_row,m_teacher,AT$4,m_date,($G$2+27),m_active,1,m_start,"&lt;"&amp;660,m_end,"&gt;"&amp;600),INDEX(m_label,_xlfn.MAXIFS(m_row,m_teacher,AT$4,m_date,($G$2+27),m_active,1,m_start,"&lt;"&amp;660,m_end,"&gt;"&amp;600))))))</f>
        <v/>
      </c>
      <c r="AU72" s="82" t="str">
        <f aca="false">IF(OR(AU$4="",MONTH(($G$2+27))&lt;&gt;MONTH($C$2)),"",IF(COUNTIFS(m_teacher,AU$4,m_date,($G$2+27),m_active,1,m_start,"&lt;"&amp;660,m_end,"&gt;"&amp;600)=0,"",IF(COUNTIFS(m_teacher,AU$4,m_date,($G$2+27),m_active,1,m_start,"&lt;"&amp;660,m_end,"&gt;"&amp;600)&gt;1,"충돌",HYPERLINK("#'관리자_MASTER'!D"&amp;_xlfn.MAXIFS(m_row,m_teacher,AU$4,m_date,($G$2+27),m_active,1,m_start,"&lt;"&amp;660,m_end,"&gt;"&amp;600),INDEX(m_label,_xlfn.MAXIFS(m_row,m_teacher,AU$4,m_date,($G$2+27),m_active,1,m_start,"&lt;"&amp;660,m_end,"&gt;"&amp;600))))))</f>
        <v/>
      </c>
      <c r="AV72" s="82" t="str">
        <f aca="false">IF(OR(AV$4="",MONTH(($G$2+27))&lt;&gt;MONTH($C$2)),"",IF(COUNTIFS(m_teacher,AV$4,m_date,($G$2+27),m_active,1,m_start,"&lt;"&amp;660,m_end,"&gt;"&amp;600)=0,"",IF(COUNTIFS(m_teacher,AV$4,m_date,($G$2+27),m_active,1,m_start,"&lt;"&amp;660,m_end,"&gt;"&amp;600)&gt;1,"충돌",HYPERLINK("#'관리자_MASTER'!D"&amp;_xlfn.MAXIFS(m_row,m_teacher,AV$4,m_date,($G$2+27),m_active,1,m_start,"&lt;"&amp;660,m_end,"&gt;"&amp;600),INDEX(m_label,_xlfn.MAXIFS(m_row,m_teacher,AV$4,m_date,($G$2+27),m_active,1,m_start,"&lt;"&amp;660,m_end,"&gt;"&amp;600))))))</f>
        <v/>
      </c>
      <c r="AW72" s="82" t="str">
        <f aca="false">IF(OR(AW$4="",MONTH(($G$2+27))&lt;&gt;MONTH($C$2)),"",IF(COUNTIFS(m_teacher,AW$4,m_date,($G$2+27),m_active,1,m_start,"&lt;"&amp;660,m_end,"&gt;"&amp;600)=0,"",IF(COUNTIFS(m_teacher,AW$4,m_date,($G$2+27),m_active,1,m_start,"&lt;"&amp;660,m_end,"&gt;"&amp;600)&gt;1,"충돌",HYPERLINK("#'관리자_MASTER'!D"&amp;_xlfn.MAXIFS(m_row,m_teacher,AW$4,m_date,($G$2+27),m_active,1,m_start,"&lt;"&amp;660,m_end,"&gt;"&amp;600),INDEX(m_label,_xlfn.MAXIFS(m_row,m_teacher,AW$4,m_date,($G$2+27),m_active,1,m_start,"&lt;"&amp;660,m_end,"&gt;"&amp;600))))))</f>
        <v/>
      </c>
      <c r="AX72" s="82" t="str">
        <f aca="false">IF(OR(AX$4="",MONTH(($G$2+27))&lt;&gt;MONTH($C$2)),"",IF(COUNTIFS(m_teacher,AX$4,m_date,($G$2+27),m_active,1,m_start,"&lt;"&amp;660,m_end,"&gt;"&amp;600)=0,"",IF(COUNTIFS(m_teacher,AX$4,m_date,($G$2+27),m_active,1,m_start,"&lt;"&amp;660,m_end,"&gt;"&amp;600)&gt;1,"충돌",HYPERLINK("#'관리자_MASTER'!D"&amp;_xlfn.MAXIFS(m_row,m_teacher,AX$4,m_date,($G$2+27),m_active,1,m_start,"&lt;"&amp;660,m_end,"&gt;"&amp;600),INDEX(m_label,_xlfn.MAXIFS(m_row,m_teacher,AX$4,m_date,($G$2+27),m_active,1,m_start,"&lt;"&amp;660,m_end,"&gt;"&amp;600))))))</f>
        <v/>
      </c>
      <c r="AY72" s="82" t="str">
        <f aca="false">IF(OR(AY$4="",MONTH(($G$2+27))&lt;&gt;MONTH($C$2)),"",IF(COUNTIFS(m_teacher,AY$4,m_date,($G$2+27),m_active,1,m_start,"&lt;"&amp;660,m_end,"&gt;"&amp;600)=0,"",IF(COUNTIFS(m_teacher,AY$4,m_date,($G$2+27),m_active,1,m_start,"&lt;"&amp;660,m_end,"&gt;"&amp;600)&gt;1,"충돌",HYPERLINK("#'관리자_MASTER'!D"&amp;_xlfn.MAXIFS(m_row,m_teacher,AY$4,m_date,($G$2+27),m_active,1,m_start,"&lt;"&amp;660,m_end,"&gt;"&amp;600),INDEX(m_label,_xlfn.MAXIFS(m_row,m_teacher,AY$4,m_date,($G$2+27),m_active,1,m_start,"&lt;"&amp;660,m_end,"&gt;"&amp;600))))))</f>
        <v/>
      </c>
      <c r="AZ72" s="82" t="str">
        <f aca="false">IF(OR(AZ$4="",MONTH(($G$2+27))&lt;&gt;MONTH($C$2)),"",IF(COUNTIFS(m_teacher,AZ$4,m_date,($G$2+27),m_active,1,m_start,"&lt;"&amp;660,m_end,"&gt;"&amp;600)=0,"",IF(COUNTIFS(m_teacher,AZ$4,m_date,($G$2+27),m_active,1,m_start,"&lt;"&amp;660,m_end,"&gt;"&amp;600)&gt;1,"충돌",HYPERLINK("#'관리자_MASTER'!D"&amp;_xlfn.MAXIFS(m_row,m_teacher,AZ$4,m_date,($G$2+27),m_active,1,m_start,"&lt;"&amp;660,m_end,"&gt;"&amp;600),INDEX(m_label,_xlfn.MAXIFS(m_row,m_teacher,AZ$4,m_date,($G$2+27),m_active,1,m_start,"&lt;"&amp;660,m_end,"&gt;"&amp;600))))))</f>
        <v/>
      </c>
      <c r="BA72" s="82" t="str">
        <f aca="false">IF(OR(BA$4="",MONTH(($G$2+27))&lt;&gt;MONTH($C$2)),"",IF(COUNTIFS(m_teacher,BA$4,m_date,($G$2+27),m_active,1,m_start,"&lt;"&amp;660,m_end,"&gt;"&amp;600)=0,"",IF(COUNTIFS(m_teacher,BA$4,m_date,($G$2+27),m_active,1,m_start,"&lt;"&amp;660,m_end,"&gt;"&amp;600)&gt;1,"충돌",HYPERLINK("#'관리자_MASTER'!D"&amp;_xlfn.MAXIFS(m_row,m_teacher,BA$4,m_date,($G$2+27),m_active,1,m_start,"&lt;"&amp;660,m_end,"&gt;"&amp;600),INDEX(m_label,_xlfn.MAXIFS(m_row,m_teacher,BA$4,m_date,($G$2+27),m_active,1,m_start,"&lt;"&amp;660,m_end,"&gt;"&amp;600))))))</f>
        <v/>
      </c>
      <c r="BB72" s="82" t="str">
        <f aca="false">IF(OR(BB$4="",MONTH(($G$2+27))&lt;&gt;MONTH($C$2)),"",IF(COUNTIFS(m_teacher,BB$4,m_date,($G$2+27),m_active,1,m_start,"&lt;"&amp;660,m_end,"&gt;"&amp;600)=0,"",IF(COUNTIFS(m_teacher,BB$4,m_date,($G$2+27),m_active,1,m_start,"&lt;"&amp;660,m_end,"&gt;"&amp;600)&gt;1,"충돌",HYPERLINK("#'관리자_MASTER'!D"&amp;_xlfn.MAXIFS(m_row,m_teacher,BB$4,m_date,($G$2+27),m_active,1,m_start,"&lt;"&amp;660,m_end,"&gt;"&amp;600),INDEX(m_label,_xlfn.MAXIFS(m_row,m_teacher,BB$4,m_date,($G$2+27),m_active,1,m_start,"&lt;"&amp;660,m_end,"&gt;"&amp;600))))))</f>
        <v/>
      </c>
      <c r="BC72" s="82" t="str">
        <f aca="false">IF(OR(BC$4="",MONTH(($G$2+27))&lt;&gt;MONTH($C$2)),"",IF(COUNTIFS(m_teacher,BC$4,m_date,($G$2+27),m_active,1,m_start,"&lt;"&amp;660,m_end,"&gt;"&amp;600)=0,"",IF(COUNTIFS(m_teacher,BC$4,m_date,($G$2+27),m_active,1,m_start,"&lt;"&amp;660,m_end,"&gt;"&amp;600)&gt;1,"충돌",HYPERLINK("#'관리자_MASTER'!D"&amp;_xlfn.MAXIFS(m_row,m_teacher,BC$4,m_date,($G$2+27),m_active,1,m_start,"&lt;"&amp;660,m_end,"&gt;"&amp;600),INDEX(m_label,_xlfn.MAXIFS(m_row,m_teacher,BC$4,m_date,($G$2+27),m_active,1,m_start,"&lt;"&amp;660,m_end,"&gt;"&amp;600))))))</f>
        <v/>
      </c>
      <c r="BD72" s="82" t="str">
        <f aca="false">IF(OR(BD$4="",MONTH(($G$2+27))&lt;&gt;MONTH($C$2)),"",IF(COUNTIFS(m_teacher,BD$4,m_date,($G$2+27),m_active,1,m_start,"&lt;"&amp;660,m_end,"&gt;"&amp;600)=0,"",IF(COUNTIFS(m_teacher,BD$4,m_date,($G$2+27),m_active,1,m_start,"&lt;"&amp;660,m_end,"&gt;"&amp;600)&gt;1,"충돌",HYPERLINK("#'관리자_MASTER'!D"&amp;_xlfn.MAXIFS(m_row,m_teacher,BD$4,m_date,($G$2+27),m_active,1,m_start,"&lt;"&amp;660,m_end,"&gt;"&amp;600),INDEX(m_label,_xlfn.MAXIFS(m_row,m_teacher,BD$4,m_date,($G$2+27),m_active,1,m_start,"&lt;"&amp;660,m_end,"&gt;"&amp;600))))))</f>
        <v/>
      </c>
    </row>
    <row r="73" customFormat="false" ht="19.5" hidden="false" customHeight="true" outlineLevel="0" collapsed="false">
      <c r="A73" s="92"/>
      <c r="B73" s="79" t="s">
        <v>93</v>
      </c>
      <c r="C73" s="82" t="str">
        <f aca="false">IF(OR(C$4="",MONTH(($G$2+6))&lt;&gt;MONTH($C$2)),"",IF(COUNTIFS(m_teacher,C$4,m_date,($G$2+6),m_active,1,m_start,"&lt;"&amp;720,m_end,"&gt;"&amp;660)=0,"",IF(COUNTIFS(m_teacher,C$4,m_date,($G$2+6),m_active,1,m_start,"&lt;"&amp;720,m_end,"&gt;"&amp;660)&gt;1,"충돌",HYPERLINK("#'관리자_MASTER'!D"&amp;_xlfn.MAXIFS(m_row,m_teacher,C$4,m_date,($G$2+6),m_active,1,m_start,"&lt;"&amp;720,m_end,"&gt;"&amp;660),INDEX(m_label,_xlfn.MAXIFS(m_row,m_teacher,C$4,m_date,($G$2+6),m_active,1,m_start,"&lt;"&amp;720,m_end,"&gt;"&amp;660))))))</f>
        <v/>
      </c>
      <c r="D73" s="82" t="str">
        <f aca="false">IF(OR(D$4="",MONTH(($G$2+6))&lt;&gt;MONTH($C$2)),"",IF(COUNTIFS(m_teacher,D$4,m_date,($G$2+6),m_active,1,m_start,"&lt;"&amp;720,m_end,"&gt;"&amp;660)=0,"",IF(COUNTIFS(m_teacher,D$4,m_date,($G$2+6),m_active,1,m_start,"&lt;"&amp;720,m_end,"&gt;"&amp;660)&gt;1,"충돌",HYPERLINK("#'관리자_MASTER'!D"&amp;_xlfn.MAXIFS(m_row,m_teacher,D$4,m_date,($G$2+6),m_active,1,m_start,"&lt;"&amp;720,m_end,"&gt;"&amp;660),INDEX(m_label,_xlfn.MAXIFS(m_row,m_teacher,D$4,m_date,($G$2+6),m_active,1,m_start,"&lt;"&amp;720,m_end,"&gt;"&amp;660))))))</f>
        <v/>
      </c>
      <c r="E73" s="82" t="str">
        <f aca="false">IF(OR(E$4="",MONTH(($G$2+6))&lt;&gt;MONTH($C$2)),"",IF(COUNTIFS(m_teacher,E$4,m_date,($G$2+6),m_active,1,m_start,"&lt;"&amp;720,m_end,"&gt;"&amp;660)=0,"",IF(COUNTIFS(m_teacher,E$4,m_date,($G$2+6),m_active,1,m_start,"&lt;"&amp;720,m_end,"&gt;"&amp;660)&gt;1,"충돌",HYPERLINK("#'관리자_MASTER'!D"&amp;_xlfn.MAXIFS(m_row,m_teacher,E$4,m_date,($G$2+6),m_active,1,m_start,"&lt;"&amp;720,m_end,"&gt;"&amp;660),INDEX(m_label,_xlfn.MAXIFS(m_row,m_teacher,E$4,m_date,($G$2+6),m_active,1,m_start,"&lt;"&amp;720,m_end,"&gt;"&amp;660))))))</f>
        <v/>
      </c>
      <c r="F73" s="82" t="str">
        <f aca="false">IF(OR(F$4="",MONTH(($G$2+6))&lt;&gt;MONTH($C$2)),"",IF(COUNTIFS(m_teacher,F$4,m_date,($G$2+6),m_active,1,m_start,"&lt;"&amp;720,m_end,"&gt;"&amp;660)=0,"",IF(COUNTIFS(m_teacher,F$4,m_date,($G$2+6),m_active,1,m_start,"&lt;"&amp;720,m_end,"&gt;"&amp;660)&gt;1,"충돌",HYPERLINK("#'관리자_MASTER'!D"&amp;_xlfn.MAXIFS(m_row,m_teacher,F$4,m_date,($G$2+6),m_active,1,m_start,"&lt;"&amp;720,m_end,"&gt;"&amp;660),INDEX(m_label,_xlfn.MAXIFS(m_row,m_teacher,F$4,m_date,($G$2+6),m_active,1,m_start,"&lt;"&amp;720,m_end,"&gt;"&amp;660))))))</f>
        <v/>
      </c>
      <c r="G73" s="82" t="str">
        <f aca="false">IF(OR(G$4="",MONTH(($G$2+6))&lt;&gt;MONTH($C$2)),"",IF(COUNTIFS(m_teacher,G$4,m_date,($G$2+6),m_active,1,m_start,"&lt;"&amp;720,m_end,"&gt;"&amp;660)=0,"",IF(COUNTIFS(m_teacher,G$4,m_date,($G$2+6),m_active,1,m_start,"&lt;"&amp;720,m_end,"&gt;"&amp;660)&gt;1,"충돌",HYPERLINK("#'관리자_MASTER'!D"&amp;_xlfn.MAXIFS(m_row,m_teacher,G$4,m_date,($G$2+6),m_active,1,m_start,"&lt;"&amp;720,m_end,"&gt;"&amp;660),INDEX(m_label,_xlfn.MAXIFS(m_row,m_teacher,G$4,m_date,($G$2+6),m_active,1,m_start,"&lt;"&amp;720,m_end,"&gt;"&amp;660))))))</f>
        <v/>
      </c>
      <c r="H73" s="82" t="str">
        <f aca="false">IF(OR(H$4="",MONTH(($G$2+6))&lt;&gt;MONTH($C$2)),"",IF(COUNTIFS(m_teacher,H$4,m_date,($G$2+6),m_active,1,m_start,"&lt;"&amp;720,m_end,"&gt;"&amp;660)=0,"",IF(COUNTIFS(m_teacher,H$4,m_date,($G$2+6),m_active,1,m_start,"&lt;"&amp;720,m_end,"&gt;"&amp;660)&gt;1,"충돌",HYPERLINK("#'관리자_MASTER'!D"&amp;_xlfn.MAXIFS(m_row,m_teacher,H$4,m_date,($G$2+6),m_active,1,m_start,"&lt;"&amp;720,m_end,"&gt;"&amp;660),INDEX(m_label,_xlfn.MAXIFS(m_row,m_teacher,H$4,m_date,($G$2+6),m_active,1,m_start,"&lt;"&amp;720,m_end,"&gt;"&amp;660))))))</f>
        <v/>
      </c>
      <c r="I73" s="82" t="str">
        <f aca="false">IF(OR(I$4="",MONTH(($G$2+6))&lt;&gt;MONTH($C$2)),"",IF(COUNTIFS(m_teacher,I$4,m_date,($G$2+6),m_active,1,m_start,"&lt;"&amp;720,m_end,"&gt;"&amp;660)=0,"",IF(COUNTIFS(m_teacher,I$4,m_date,($G$2+6),m_active,1,m_start,"&lt;"&amp;720,m_end,"&gt;"&amp;660)&gt;1,"충돌",HYPERLINK("#'관리자_MASTER'!D"&amp;_xlfn.MAXIFS(m_row,m_teacher,I$4,m_date,($G$2+6),m_active,1,m_start,"&lt;"&amp;720,m_end,"&gt;"&amp;660),INDEX(m_label,_xlfn.MAXIFS(m_row,m_teacher,I$4,m_date,($G$2+6),m_active,1,m_start,"&lt;"&amp;720,m_end,"&gt;"&amp;660))))))</f>
        <v/>
      </c>
      <c r="J73" s="82" t="str">
        <f aca="false">IF(OR(J$4="",MONTH(($G$2+6))&lt;&gt;MONTH($C$2)),"",IF(COUNTIFS(m_teacher,J$4,m_date,($G$2+6),m_active,1,m_start,"&lt;"&amp;720,m_end,"&gt;"&amp;660)=0,"",IF(COUNTIFS(m_teacher,J$4,m_date,($G$2+6),m_active,1,m_start,"&lt;"&amp;720,m_end,"&gt;"&amp;660)&gt;1,"충돌",HYPERLINK("#'관리자_MASTER'!D"&amp;_xlfn.MAXIFS(m_row,m_teacher,J$4,m_date,($G$2+6),m_active,1,m_start,"&lt;"&amp;720,m_end,"&gt;"&amp;660),INDEX(m_label,_xlfn.MAXIFS(m_row,m_teacher,J$4,m_date,($G$2+6),m_active,1,m_start,"&lt;"&amp;720,m_end,"&gt;"&amp;660))))))</f>
        <v/>
      </c>
      <c r="K73" s="82" t="str">
        <f aca="false">IF(OR(K$4="",MONTH(($G$2+6))&lt;&gt;MONTH($C$2)),"",IF(COUNTIFS(m_teacher,K$4,m_date,($G$2+6),m_active,1,m_start,"&lt;"&amp;720,m_end,"&gt;"&amp;660)=0,"",IF(COUNTIFS(m_teacher,K$4,m_date,($G$2+6),m_active,1,m_start,"&lt;"&amp;720,m_end,"&gt;"&amp;660)&gt;1,"충돌",HYPERLINK("#'관리자_MASTER'!D"&amp;_xlfn.MAXIFS(m_row,m_teacher,K$4,m_date,($G$2+6),m_active,1,m_start,"&lt;"&amp;720,m_end,"&gt;"&amp;660),INDEX(m_label,_xlfn.MAXIFS(m_row,m_teacher,K$4,m_date,($G$2+6),m_active,1,m_start,"&lt;"&amp;720,m_end,"&gt;"&amp;660))))))</f>
        <v/>
      </c>
      <c r="L73" s="82" t="str">
        <f aca="false">IF(OR(L$4="",MONTH(($G$2+6))&lt;&gt;MONTH($C$2)),"",IF(COUNTIFS(m_teacher,L$4,m_date,($G$2+6),m_active,1,m_start,"&lt;"&amp;720,m_end,"&gt;"&amp;660)=0,"",IF(COUNTIFS(m_teacher,L$4,m_date,($G$2+6),m_active,1,m_start,"&lt;"&amp;720,m_end,"&gt;"&amp;660)&gt;1,"충돌",HYPERLINK("#'관리자_MASTER'!D"&amp;_xlfn.MAXIFS(m_row,m_teacher,L$4,m_date,($G$2+6),m_active,1,m_start,"&lt;"&amp;720,m_end,"&gt;"&amp;660),INDEX(m_label,_xlfn.MAXIFS(m_row,m_teacher,L$4,m_date,($G$2+6),m_active,1,m_start,"&lt;"&amp;720,m_end,"&gt;"&amp;660))))))</f>
        <v/>
      </c>
      <c r="M73" s="82" t="str">
        <f aca="false">IF(OR(M$4="",MONTH(($G$2+6))&lt;&gt;MONTH($C$2)),"",IF(COUNTIFS(m_teacher,M$4,m_date,($G$2+6),m_active,1,m_start,"&lt;"&amp;720,m_end,"&gt;"&amp;660)=0,"",IF(COUNTIFS(m_teacher,M$4,m_date,($G$2+6),m_active,1,m_start,"&lt;"&amp;720,m_end,"&gt;"&amp;660)&gt;1,"충돌",HYPERLINK("#'관리자_MASTER'!D"&amp;_xlfn.MAXIFS(m_row,m_teacher,M$4,m_date,($G$2+6),m_active,1,m_start,"&lt;"&amp;720,m_end,"&gt;"&amp;660),INDEX(m_label,_xlfn.MAXIFS(m_row,m_teacher,M$4,m_date,($G$2+6),m_active,1,m_start,"&lt;"&amp;720,m_end,"&gt;"&amp;660))))))</f>
        <v/>
      </c>
      <c r="N73" s="82" t="str">
        <f aca="false">IF(OR(N$4="",MONTH(($G$2+6))&lt;&gt;MONTH($C$2)),"",IF(COUNTIFS(m_teacher,N$4,m_date,($G$2+6),m_active,1,m_start,"&lt;"&amp;720,m_end,"&gt;"&amp;660)=0,"",IF(COUNTIFS(m_teacher,N$4,m_date,($G$2+6),m_active,1,m_start,"&lt;"&amp;720,m_end,"&gt;"&amp;660)&gt;1,"충돌",HYPERLINK("#'관리자_MASTER'!D"&amp;_xlfn.MAXIFS(m_row,m_teacher,N$4,m_date,($G$2+6),m_active,1,m_start,"&lt;"&amp;720,m_end,"&gt;"&amp;660),INDEX(m_label,_xlfn.MAXIFS(m_row,m_teacher,N$4,m_date,($G$2+6),m_active,1,m_start,"&lt;"&amp;720,m_end,"&gt;"&amp;660))))))</f>
        <v/>
      </c>
      <c r="O73" s="92"/>
      <c r="P73" s="79" t="s">
        <v>93</v>
      </c>
      <c r="Q73" s="82" t="str">
        <f aca="false">IF(OR(Q$4="",MONTH(($G$2+13))&lt;&gt;MONTH($C$2)),"",IF(COUNTIFS(m_teacher,Q$4,m_date,($G$2+13),m_active,1,m_start,"&lt;"&amp;720,m_end,"&gt;"&amp;660)=0,"",IF(COUNTIFS(m_teacher,Q$4,m_date,($G$2+13),m_active,1,m_start,"&lt;"&amp;720,m_end,"&gt;"&amp;660)&gt;1,"충돌",HYPERLINK("#'관리자_MASTER'!D"&amp;_xlfn.MAXIFS(m_row,m_teacher,Q$4,m_date,($G$2+13),m_active,1,m_start,"&lt;"&amp;720,m_end,"&gt;"&amp;660),INDEX(m_label,_xlfn.MAXIFS(m_row,m_teacher,Q$4,m_date,($G$2+13),m_active,1,m_start,"&lt;"&amp;720,m_end,"&gt;"&amp;660))))))</f>
        <v/>
      </c>
      <c r="R73" s="82" t="str">
        <f aca="false">IF(OR(R$4="",MONTH(($G$2+13))&lt;&gt;MONTH($C$2)),"",IF(COUNTIFS(m_teacher,R$4,m_date,($G$2+13),m_active,1,m_start,"&lt;"&amp;720,m_end,"&gt;"&amp;660)=0,"",IF(COUNTIFS(m_teacher,R$4,m_date,($G$2+13),m_active,1,m_start,"&lt;"&amp;720,m_end,"&gt;"&amp;660)&gt;1,"충돌",HYPERLINK("#'관리자_MASTER'!D"&amp;_xlfn.MAXIFS(m_row,m_teacher,R$4,m_date,($G$2+13),m_active,1,m_start,"&lt;"&amp;720,m_end,"&gt;"&amp;660),INDEX(m_label,_xlfn.MAXIFS(m_row,m_teacher,R$4,m_date,($G$2+13),m_active,1,m_start,"&lt;"&amp;720,m_end,"&gt;"&amp;660))))))</f>
        <v/>
      </c>
      <c r="S73" s="82" t="str">
        <f aca="false">IF(OR(S$4="",MONTH(($G$2+13))&lt;&gt;MONTH($C$2)),"",IF(COUNTIFS(m_teacher,S$4,m_date,($G$2+13),m_active,1,m_start,"&lt;"&amp;720,m_end,"&gt;"&amp;660)=0,"",IF(COUNTIFS(m_teacher,S$4,m_date,($G$2+13),m_active,1,m_start,"&lt;"&amp;720,m_end,"&gt;"&amp;660)&gt;1,"충돌",HYPERLINK("#'관리자_MASTER'!D"&amp;_xlfn.MAXIFS(m_row,m_teacher,S$4,m_date,($G$2+13),m_active,1,m_start,"&lt;"&amp;720,m_end,"&gt;"&amp;660),INDEX(m_label,_xlfn.MAXIFS(m_row,m_teacher,S$4,m_date,($G$2+13),m_active,1,m_start,"&lt;"&amp;720,m_end,"&gt;"&amp;660))))))</f>
        <v/>
      </c>
      <c r="T73" s="82" t="str">
        <f aca="false">IF(OR(T$4="",MONTH(($G$2+13))&lt;&gt;MONTH($C$2)),"",IF(COUNTIFS(m_teacher,T$4,m_date,($G$2+13),m_active,1,m_start,"&lt;"&amp;720,m_end,"&gt;"&amp;660)=0,"",IF(COUNTIFS(m_teacher,T$4,m_date,($G$2+13),m_active,1,m_start,"&lt;"&amp;720,m_end,"&gt;"&amp;660)&gt;1,"충돌",HYPERLINK("#'관리자_MASTER'!D"&amp;_xlfn.MAXIFS(m_row,m_teacher,T$4,m_date,($G$2+13),m_active,1,m_start,"&lt;"&amp;720,m_end,"&gt;"&amp;660),INDEX(m_label,_xlfn.MAXIFS(m_row,m_teacher,T$4,m_date,($G$2+13),m_active,1,m_start,"&lt;"&amp;720,m_end,"&gt;"&amp;660))))))</f>
        <v/>
      </c>
      <c r="U73" s="82" t="str">
        <f aca="false">IF(OR(U$4="",MONTH(($G$2+13))&lt;&gt;MONTH($C$2)),"",IF(COUNTIFS(m_teacher,U$4,m_date,($G$2+13),m_active,1,m_start,"&lt;"&amp;720,m_end,"&gt;"&amp;660)=0,"",IF(COUNTIFS(m_teacher,U$4,m_date,($G$2+13),m_active,1,m_start,"&lt;"&amp;720,m_end,"&gt;"&amp;660)&gt;1,"충돌",HYPERLINK("#'관리자_MASTER'!D"&amp;_xlfn.MAXIFS(m_row,m_teacher,U$4,m_date,($G$2+13),m_active,1,m_start,"&lt;"&amp;720,m_end,"&gt;"&amp;660),INDEX(m_label,_xlfn.MAXIFS(m_row,m_teacher,U$4,m_date,($G$2+13),m_active,1,m_start,"&lt;"&amp;720,m_end,"&gt;"&amp;660))))))</f>
        <v/>
      </c>
      <c r="V73" s="82" t="str">
        <f aca="false">IF(OR(V$4="",MONTH(($G$2+13))&lt;&gt;MONTH($C$2)),"",IF(COUNTIFS(m_teacher,V$4,m_date,($G$2+13),m_active,1,m_start,"&lt;"&amp;720,m_end,"&gt;"&amp;660)=0,"",IF(COUNTIFS(m_teacher,V$4,m_date,($G$2+13),m_active,1,m_start,"&lt;"&amp;720,m_end,"&gt;"&amp;660)&gt;1,"충돌",HYPERLINK("#'관리자_MASTER'!D"&amp;_xlfn.MAXIFS(m_row,m_teacher,V$4,m_date,($G$2+13),m_active,1,m_start,"&lt;"&amp;720,m_end,"&gt;"&amp;660),INDEX(m_label,_xlfn.MAXIFS(m_row,m_teacher,V$4,m_date,($G$2+13),m_active,1,m_start,"&lt;"&amp;720,m_end,"&gt;"&amp;660))))))</f>
        <v/>
      </c>
      <c r="W73" s="82" t="str">
        <f aca="false">IF(OR(W$4="",MONTH(($G$2+13))&lt;&gt;MONTH($C$2)),"",IF(COUNTIFS(m_teacher,W$4,m_date,($G$2+13),m_active,1,m_start,"&lt;"&amp;720,m_end,"&gt;"&amp;660)=0,"",IF(COUNTIFS(m_teacher,W$4,m_date,($G$2+13),m_active,1,m_start,"&lt;"&amp;720,m_end,"&gt;"&amp;660)&gt;1,"충돌",HYPERLINK("#'관리자_MASTER'!D"&amp;_xlfn.MAXIFS(m_row,m_teacher,W$4,m_date,($G$2+13),m_active,1,m_start,"&lt;"&amp;720,m_end,"&gt;"&amp;660),INDEX(m_label,_xlfn.MAXIFS(m_row,m_teacher,W$4,m_date,($G$2+13),m_active,1,m_start,"&lt;"&amp;720,m_end,"&gt;"&amp;660))))))</f>
        <v/>
      </c>
      <c r="X73" s="82" t="str">
        <f aca="false">IF(OR(X$4="",MONTH(($G$2+13))&lt;&gt;MONTH($C$2)),"",IF(COUNTIFS(m_teacher,X$4,m_date,($G$2+13),m_active,1,m_start,"&lt;"&amp;720,m_end,"&gt;"&amp;660)=0,"",IF(COUNTIFS(m_teacher,X$4,m_date,($G$2+13),m_active,1,m_start,"&lt;"&amp;720,m_end,"&gt;"&amp;660)&gt;1,"충돌",HYPERLINK("#'관리자_MASTER'!D"&amp;_xlfn.MAXIFS(m_row,m_teacher,X$4,m_date,($G$2+13),m_active,1,m_start,"&lt;"&amp;720,m_end,"&gt;"&amp;660),INDEX(m_label,_xlfn.MAXIFS(m_row,m_teacher,X$4,m_date,($G$2+13),m_active,1,m_start,"&lt;"&amp;720,m_end,"&gt;"&amp;660))))))</f>
        <v/>
      </c>
      <c r="Y73" s="82" t="str">
        <f aca="false">IF(OR(Y$4="",MONTH(($G$2+13))&lt;&gt;MONTH($C$2)),"",IF(COUNTIFS(m_teacher,Y$4,m_date,($G$2+13),m_active,1,m_start,"&lt;"&amp;720,m_end,"&gt;"&amp;660)=0,"",IF(COUNTIFS(m_teacher,Y$4,m_date,($G$2+13),m_active,1,m_start,"&lt;"&amp;720,m_end,"&gt;"&amp;660)&gt;1,"충돌",HYPERLINK("#'관리자_MASTER'!D"&amp;_xlfn.MAXIFS(m_row,m_teacher,Y$4,m_date,($G$2+13),m_active,1,m_start,"&lt;"&amp;720,m_end,"&gt;"&amp;660),INDEX(m_label,_xlfn.MAXIFS(m_row,m_teacher,Y$4,m_date,($G$2+13),m_active,1,m_start,"&lt;"&amp;720,m_end,"&gt;"&amp;660))))))</f>
        <v/>
      </c>
      <c r="Z73" s="82" t="str">
        <f aca="false">IF(OR(Z$4="",MONTH(($G$2+13))&lt;&gt;MONTH($C$2)),"",IF(COUNTIFS(m_teacher,Z$4,m_date,($G$2+13),m_active,1,m_start,"&lt;"&amp;720,m_end,"&gt;"&amp;660)=0,"",IF(COUNTIFS(m_teacher,Z$4,m_date,($G$2+13),m_active,1,m_start,"&lt;"&amp;720,m_end,"&gt;"&amp;660)&gt;1,"충돌",HYPERLINK("#'관리자_MASTER'!D"&amp;_xlfn.MAXIFS(m_row,m_teacher,Z$4,m_date,($G$2+13),m_active,1,m_start,"&lt;"&amp;720,m_end,"&gt;"&amp;660),INDEX(m_label,_xlfn.MAXIFS(m_row,m_teacher,Z$4,m_date,($G$2+13),m_active,1,m_start,"&lt;"&amp;720,m_end,"&gt;"&amp;660))))))</f>
        <v/>
      </c>
      <c r="AA73" s="82" t="str">
        <f aca="false">IF(OR(AA$4="",MONTH(($G$2+13))&lt;&gt;MONTH($C$2)),"",IF(COUNTIFS(m_teacher,AA$4,m_date,($G$2+13),m_active,1,m_start,"&lt;"&amp;720,m_end,"&gt;"&amp;660)=0,"",IF(COUNTIFS(m_teacher,AA$4,m_date,($G$2+13),m_active,1,m_start,"&lt;"&amp;720,m_end,"&gt;"&amp;660)&gt;1,"충돌",HYPERLINK("#'관리자_MASTER'!D"&amp;_xlfn.MAXIFS(m_row,m_teacher,AA$4,m_date,($G$2+13),m_active,1,m_start,"&lt;"&amp;720,m_end,"&gt;"&amp;660),INDEX(m_label,_xlfn.MAXIFS(m_row,m_teacher,AA$4,m_date,($G$2+13),m_active,1,m_start,"&lt;"&amp;720,m_end,"&gt;"&amp;660))))))</f>
        <v/>
      </c>
      <c r="AB73" s="82" t="str">
        <f aca="false">IF(OR(AB$4="",MONTH(($G$2+13))&lt;&gt;MONTH($C$2)),"",IF(COUNTIFS(m_teacher,AB$4,m_date,($G$2+13),m_active,1,m_start,"&lt;"&amp;720,m_end,"&gt;"&amp;660)=0,"",IF(COUNTIFS(m_teacher,AB$4,m_date,($G$2+13),m_active,1,m_start,"&lt;"&amp;720,m_end,"&gt;"&amp;660)&gt;1,"충돌",HYPERLINK("#'관리자_MASTER'!D"&amp;_xlfn.MAXIFS(m_row,m_teacher,AB$4,m_date,($G$2+13),m_active,1,m_start,"&lt;"&amp;720,m_end,"&gt;"&amp;660),INDEX(m_label,_xlfn.MAXIFS(m_row,m_teacher,AB$4,m_date,($G$2+13),m_active,1,m_start,"&lt;"&amp;720,m_end,"&gt;"&amp;660))))))</f>
        <v/>
      </c>
      <c r="AC73" s="92"/>
      <c r="AD73" s="79" t="s">
        <v>93</v>
      </c>
      <c r="AE73" s="82" t="str">
        <f aca="false">IF(OR(AE$4="",MONTH(($G$2+20))&lt;&gt;MONTH($C$2)),"",IF(COUNTIFS(m_teacher,AE$4,m_date,($G$2+20),m_active,1,m_start,"&lt;"&amp;720,m_end,"&gt;"&amp;660)=0,"",IF(COUNTIFS(m_teacher,AE$4,m_date,($G$2+20),m_active,1,m_start,"&lt;"&amp;720,m_end,"&gt;"&amp;660)&gt;1,"충돌",HYPERLINK("#'관리자_MASTER'!D"&amp;_xlfn.MAXIFS(m_row,m_teacher,AE$4,m_date,($G$2+20),m_active,1,m_start,"&lt;"&amp;720,m_end,"&gt;"&amp;660),INDEX(m_label,_xlfn.MAXIFS(m_row,m_teacher,AE$4,m_date,($G$2+20),m_active,1,m_start,"&lt;"&amp;720,m_end,"&gt;"&amp;660))))))</f>
        <v/>
      </c>
      <c r="AF73" s="82" t="str">
        <f aca="false">IF(OR(AF$4="",MONTH(($G$2+20))&lt;&gt;MONTH($C$2)),"",IF(COUNTIFS(m_teacher,AF$4,m_date,($G$2+20),m_active,1,m_start,"&lt;"&amp;720,m_end,"&gt;"&amp;660)=0,"",IF(COUNTIFS(m_teacher,AF$4,m_date,($G$2+20),m_active,1,m_start,"&lt;"&amp;720,m_end,"&gt;"&amp;660)&gt;1,"충돌",HYPERLINK("#'관리자_MASTER'!D"&amp;_xlfn.MAXIFS(m_row,m_teacher,AF$4,m_date,($G$2+20),m_active,1,m_start,"&lt;"&amp;720,m_end,"&gt;"&amp;660),INDEX(m_label,_xlfn.MAXIFS(m_row,m_teacher,AF$4,m_date,($G$2+20),m_active,1,m_start,"&lt;"&amp;720,m_end,"&gt;"&amp;660))))))</f>
        <v/>
      </c>
      <c r="AG73" s="82" t="str">
        <f aca="false">IF(OR(AG$4="",MONTH(($G$2+20))&lt;&gt;MONTH($C$2)),"",IF(COUNTIFS(m_teacher,AG$4,m_date,($G$2+20),m_active,1,m_start,"&lt;"&amp;720,m_end,"&gt;"&amp;660)=0,"",IF(COUNTIFS(m_teacher,AG$4,m_date,($G$2+20),m_active,1,m_start,"&lt;"&amp;720,m_end,"&gt;"&amp;660)&gt;1,"충돌",HYPERLINK("#'관리자_MASTER'!D"&amp;_xlfn.MAXIFS(m_row,m_teacher,AG$4,m_date,($G$2+20),m_active,1,m_start,"&lt;"&amp;720,m_end,"&gt;"&amp;660),INDEX(m_label,_xlfn.MAXIFS(m_row,m_teacher,AG$4,m_date,($G$2+20),m_active,1,m_start,"&lt;"&amp;720,m_end,"&gt;"&amp;660))))))</f>
        <v/>
      </c>
      <c r="AH73" s="82" t="str">
        <f aca="false">IF(OR(AH$4="",MONTH(($G$2+20))&lt;&gt;MONTH($C$2)),"",IF(COUNTIFS(m_teacher,AH$4,m_date,($G$2+20),m_active,1,m_start,"&lt;"&amp;720,m_end,"&gt;"&amp;660)=0,"",IF(COUNTIFS(m_teacher,AH$4,m_date,($G$2+20),m_active,1,m_start,"&lt;"&amp;720,m_end,"&gt;"&amp;660)&gt;1,"충돌",HYPERLINK("#'관리자_MASTER'!D"&amp;_xlfn.MAXIFS(m_row,m_teacher,AH$4,m_date,($G$2+20),m_active,1,m_start,"&lt;"&amp;720,m_end,"&gt;"&amp;660),INDEX(m_label,_xlfn.MAXIFS(m_row,m_teacher,AH$4,m_date,($G$2+20),m_active,1,m_start,"&lt;"&amp;720,m_end,"&gt;"&amp;660))))))</f>
        <v/>
      </c>
      <c r="AI73" s="82" t="str">
        <f aca="false">IF(OR(AI$4="",MONTH(($G$2+20))&lt;&gt;MONTH($C$2)),"",IF(COUNTIFS(m_teacher,AI$4,m_date,($G$2+20),m_active,1,m_start,"&lt;"&amp;720,m_end,"&gt;"&amp;660)=0,"",IF(COUNTIFS(m_teacher,AI$4,m_date,($G$2+20),m_active,1,m_start,"&lt;"&amp;720,m_end,"&gt;"&amp;660)&gt;1,"충돌",HYPERLINK("#'관리자_MASTER'!D"&amp;_xlfn.MAXIFS(m_row,m_teacher,AI$4,m_date,($G$2+20),m_active,1,m_start,"&lt;"&amp;720,m_end,"&gt;"&amp;660),INDEX(m_label,_xlfn.MAXIFS(m_row,m_teacher,AI$4,m_date,($G$2+20),m_active,1,m_start,"&lt;"&amp;720,m_end,"&gt;"&amp;660))))))</f>
        <v/>
      </c>
      <c r="AJ73" s="82" t="str">
        <f aca="false">IF(OR(AJ$4="",MONTH(($G$2+20))&lt;&gt;MONTH($C$2)),"",IF(COUNTIFS(m_teacher,AJ$4,m_date,($G$2+20),m_active,1,m_start,"&lt;"&amp;720,m_end,"&gt;"&amp;660)=0,"",IF(COUNTIFS(m_teacher,AJ$4,m_date,($G$2+20),m_active,1,m_start,"&lt;"&amp;720,m_end,"&gt;"&amp;660)&gt;1,"충돌",HYPERLINK("#'관리자_MASTER'!D"&amp;_xlfn.MAXIFS(m_row,m_teacher,AJ$4,m_date,($G$2+20),m_active,1,m_start,"&lt;"&amp;720,m_end,"&gt;"&amp;660),INDEX(m_label,_xlfn.MAXIFS(m_row,m_teacher,AJ$4,m_date,($G$2+20),m_active,1,m_start,"&lt;"&amp;720,m_end,"&gt;"&amp;660))))))</f>
        <v/>
      </c>
      <c r="AK73" s="82" t="str">
        <f aca="false">IF(OR(AK$4="",MONTH(($G$2+20))&lt;&gt;MONTH($C$2)),"",IF(COUNTIFS(m_teacher,AK$4,m_date,($G$2+20),m_active,1,m_start,"&lt;"&amp;720,m_end,"&gt;"&amp;660)=0,"",IF(COUNTIFS(m_teacher,AK$4,m_date,($G$2+20),m_active,1,m_start,"&lt;"&amp;720,m_end,"&gt;"&amp;660)&gt;1,"충돌",HYPERLINK("#'관리자_MASTER'!D"&amp;_xlfn.MAXIFS(m_row,m_teacher,AK$4,m_date,($G$2+20),m_active,1,m_start,"&lt;"&amp;720,m_end,"&gt;"&amp;660),INDEX(m_label,_xlfn.MAXIFS(m_row,m_teacher,AK$4,m_date,($G$2+20),m_active,1,m_start,"&lt;"&amp;720,m_end,"&gt;"&amp;660))))))</f>
        <v/>
      </c>
      <c r="AL73" s="82" t="str">
        <f aca="false">IF(OR(AL$4="",MONTH(($G$2+20))&lt;&gt;MONTH($C$2)),"",IF(COUNTIFS(m_teacher,AL$4,m_date,($G$2+20),m_active,1,m_start,"&lt;"&amp;720,m_end,"&gt;"&amp;660)=0,"",IF(COUNTIFS(m_teacher,AL$4,m_date,($G$2+20),m_active,1,m_start,"&lt;"&amp;720,m_end,"&gt;"&amp;660)&gt;1,"충돌",HYPERLINK("#'관리자_MASTER'!D"&amp;_xlfn.MAXIFS(m_row,m_teacher,AL$4,m_date,($G$2+20),m_active,1,m_start,"&lt;"&amp;720,m_end,"&gt;"&amp;660),INDEX(m_label,_xlfn.MAXIFS(m_row,m_teacher,AL$4,m_date,($G$2+20),m_active,1,m_start,"&lt;"&amp;720,m_end,"&gt;"&amp;660))))))</f>
        <v/>
      </c>
      <c r="AM73" s="82" t="str">
        <f aca="false">IF(OR(AM$4="",MONTH(($G$2+20))&lt;&gt;MONTH($C$2)),"",IF(COUNTIFS(m_teacher,AM$4,m_date,($G$2+20),m_active,1,m_start,"&lt;"&amp;720,m_end,"&gt;"&amp;660)=0,"",IF(COUNTIFS(m_teacher,AM$4,m_date,($G$2+20),m_active,1,m_start,"&lt;"&amp;720,m_end,"&gt;"&amp;660)&gt;1,"충돌",HYPERLINK("#'관리자_MASTER'!D"&amp;_xlfn.MAXIFS(m_row,m_teacher,AM$4,m_date,($G$2+20),m_active,1,m_start,"&lt;"&amp;720,m_end,"&gt;"&amp;660),INDEX(m_label,_xlfn.MAXIFS(m_row,m_teacher,AM$4,m_date,($G$2+20),m_active,1,m_start,"&lt;"&amp;720,m_end,"&gt;"&amp;660))))))</f>
        <v/>
      </c>
      <c r="AN73" s="82" t="str">
        <f aca="false">IF(OR(AN$4="",MONTH(($G$2+20))&lt;&gt;MONTH($C$2)),"",IF(COUNTIFS(m_teacher,AN$4,m_date,($G$2+20),m_active,1,m_start,"&lt;"&amp;720,m_end,"&gt;"&amp;660)=0,"",IF(COUNTIFS(m_teacher,AN$4,m_date,($G$2+20),m_active,1,m_start,"&lt;"&amp;720,m_end,"&gt;"&amp;660)&gt;1,"충돌",HYPERLINK("#'관리자_MASTER'!D"&amp;_xlfn.MAXIFS(m_row,m_teacher,AN$4,m_date,($G$2+20),m_active,1,m_start,"&lt;"&amp;720,m_end,"&gt;"&amp;660),INDEX(m_label,_xlfn.MAXIFS(m_row,m_teacher,AN$4,m_date,($G$2+20),m_active,1,m_start,"&lt;"&amp;720,m_end,"&gt;"&amp;660))))))</f>
        <v/>
      </c>
      <c r="AO73" s="82" t="str">
        <f aca="false">IF(OR(AO$4="",MONTH(($G$2+20))&lt;&gt;MONTH($C$2)),"",IF(COUNTIFS(m_teacher,AO$4,m_date,($G$2+20),m_active,1,m_start,"&lt;"&amp;720,m_end,"&gt;"&amp;660)=0,"",IF(COUNTIFS(m_teacher,AO$4,m_date,($G$2+20),m_active,1,m_start,"&lt;"&amp;720,m_end,"&gt;"&amp;660)&gt;1,"충돌",HYPERLINK("#'관리자_MASTER'!D"&amp;_xlfn.MAXIFS(m_row,m_teacher,AO$4,m_date,($G$2+20),m_active,1,m_start,"&lt;"&amp;720,m_end,"&gt;"&amp;660),INDEX(m_label,_xlfn.MAXIFS(m_row,m_teacher,AO$4,m_date,($G$2+20),m_active,1,m_start,"&lt;"&amp;720,m_end,"&gt;"&amp;660))))))</f>
        <v/>
      </c>
      <c r="AP73" s="82" t="str">
        <f aca="false">IF(OR(AP$4="",MONTH(($G$2+20))&lt;&gt;MONTH($C$2)),"",IF(COUNTIFS(m_teacher,AP$4,m_date,($G$2+20),m_active,1,m_start,"&lt;"&amp;720,m_end,"&gt;"&amp;660)=0,"",IF(COUNTIFS(m_teacher,AP$4,m_date,($G$2+20),m_active,1,m_start,"&lt;"&amp;720,m_end,"&gt;"&amp;660)&gt;1,"충돌",HYPERLINK("#'관리자_MASTER'!D"&amp;_xlfn.MAXIFS(m_row,m_teacher,AP$4,m_date,($G$2+20),m_active,1,m_start,"&lt;"&amp;720,m_end,"&gt;"&amp;660),INDEX(m_label,_xlfn.MAXIFS(m_row,m_teacher,AP$4,m_date,($G$2+20),m_active,1,m_start,"&lt;"&amp;720,m_end,"&gt;"&amp;660))))))</f>
        <v/>
      </c>
      <c r="AQ73" s="92"/>
      <c r="AR73" s="79" t="s">
        <v>93</v>
      </c>
      <c r="AS73" s="82" t="str">
        <f aca="false">IF(OR(AS$4="",MONTH(($G$2+27))&lt;&gt;MONTH($C$2)),"",IF(COUNTIFS(m_teacher,AS$4,m_date,($G$2+27),m_active,1,m_start,"&lt;"&amp;720,m_end,"&gt;"&amp;660)=0,"",IF(COUNTIFS(m_teacher,AS$4,m_date,($G$2+27),m_active,1,m_start,"&lt;"&amp;720,m_end,"&gt;"&amp;660)&gt;1,"충돌",HYPERLINK("#'관리자_MASTER'!D"&amp;_xlfn.MAXIFS(m_row,m_teacher,AS$4,m_date,($G$2+27),m_active,1,m_start,"&lt;"&amp;720,m_end,"&gt;"&amp;660),INDEX(m_label,_xlfn.MAXIFS(m_row,m_teacher,AS$4,m_date,($G$2+27),m_active,1,m_start,"&lt;"&amp;720,m_end,"&gt;"&amp;660))))))</f>
        <v/>
      </c>
      <c r="AT73" s="82" t="str">
        <f aca="false">IF(OR(AT$4="",MONTH(($G$2+27))&lt;&gt;MONTH($C$2)),"",IF(COUNTIFS(m_teacher,AT$4,m_date,($G$2+27),m_active,1,m_start,"&lt;"&amp;720,m_end,"&gt;"&amp;660)=0,"",IF(COUNTIFS(m_teacher,AT$4,m_date,($G$2+27),m_active,1,m_start,"&lt;"&amp;720,m_end,"&gt;"&amp;660)&gt;1,"충돌",HYPERLINK("#'관리자_MASTER'!D"&amp;_xlfn.MAXIFS(m_row,m_teacher,AT$4,m_date,($G$2+27),m_active,1,m_start,"&lt;"&amp;720,m_end,"&gt;"&amp;660),INDEX(m_label,_xlfn.MAXIFS(m_row,m_teacher,AT$4,m_date,($G$2+27),m_active,1,m_start,"&lt;"&amp;720,m_end,"&gt;"&amp;660))))))</f>
        <v/>
      </c>
      <c r="AU73" s="82" t="str">
        <f aca="false">IF(OR(AU$4="",MONTH(($G$2+27))&lt;&gt;MONTH($C$2)),"",IF(COUNTIFS(m_teacher,AU$4,m_date,($G$2+27),m_active,1,m_start,"&lt;"&amp;720,m_end,"&gt;"&amp;660)=0,"",IF(COUNTIFS(m_teacher,AU$4,m_date,($G$2+27),m_active,1,m_start,"&lt;"&amp;720,m_end,"&gt;"&amp;660)&gt;1,"충돌",HYPERLINK("#'관리자_MASTER'!D"&amp;_xlfn.MAXIFS(m_row,m_teacher,AU$4,m_date,($G$2+27),m_active,1,m_start,"&lt;"&amp;720,m_end,"&gt;"&amp;660),INDEX(m_label,_xlfn.MAXIFS(m_row,m_teacher,AU$4,m_date,($G$2+27),m_active,1,m_start,"&lt;"&amp;720,m_end,"&gt;"&amp;660))))))</f>
        <v/>
      </c>
      <c r="AV73" s="82" t="str">
        <f aca="false">IF(OR(AV$4="",MONTH(($G$2+27))&lt;&gt;MONTH($C$2)),"",IF(COUNTIFS(m_teacher,AV$4,m_date,($G$2+27),m_active,1,m_start,"&lt;"&amp;720,m_end,"&gt;"&amp;660)=0,"",IF(COUNTIFS(m_teacher,AV$4,m_date,($G$2+27),m_active,1,m_start,"&lt;"&amp;720,m_end,"&gt;"&amp;660)&gt;1,"충돌",HYPERLINK("#'관리자_MASTER'!D"&amp;_xlfn.MAXIFS(m_row,m_teacher,AV$4,m_date,($G$2+27),m_active,1,m_start,"&lt;"&amp;720,m_end,"&gt;"&amp;660),INDEX(m_label,_xlfn.MAXIFS(m_row,m_teacher,AV$4,m_date,($G$2+27),m_active,1,m_start,"&lt;"&amp;720,m_end,"&gt;"&amp;660))))))</f>
        <v/>
      </c>
      <c r="AW73" s="82" t="str">
        <f aca="false">IF(OR(AW$4="",MONTH(($G$2+27))&lt;&gt;MONTH($C$2)),"",IF(COUNTIFS(m_teacher,AW$4,m_date,($G$2+27),m_active,1,m_start,"&lt;"&amp;720,m_end,"&gt;"&amp;660)=0,"",IF(COUNTIFS(m_teacher,AW$4,m_date,($G$2+27),m_active,1,m_start,"&lt;"&amp;720,m_end,"&gt;"&amp;660)&gt;1,"충돌",HYPERLINK("#'관리자_MASTER'!D"&amp;_xlfn.MAXIFS(m_row,m_teacher,AW$4,m_date,($G$2+27),m_active,1,m_start,"&lt;"&amp;720,m_end,"&gt;"&amp;660),INDEX(m_label,_xlfn.MAXIFS(m_row,m_teacher,AW$4,m_date,($G$2+27),m_active,1,m_start,"&lt;"&amp;720,m_end,"&gt;"&amp;660))))))</f>
        <v/>
      </c>
      <c r="AX73" s="82" t="str">
        <f aca="false">IF(OR(AX$4="",MONTH(($G$2+27))&lt;&gt;MONTH($C$2)),"",IF(COUNTIFS(m_teacher,AX$4,m_date,($G$2+27),m_active,1,m_start,"&lt;"&amp;720,m_end,"&gt;"&amp;660)=0,"",IF(COUNTIFS(m_teacher,AX$4,m_date,($G$2+27),m_active,1,m_start,"&lt;"&amp;720,m_end,"&gt;"&amp;660)&gt;1,"충돌",HYPERLINK("#'관리자_MASTER'!D"&amp;_xlfn.MAXIFS(m_row,m_teacher,AX$4,m_date,($G$2+27),m_active,1,m_start,"&lt;"&amp;720,m_end,"&gt;"&amp;660),INDEX(m_label,_xlfn.MAXIFS(m_row,m_teacher,AX$4,m_date,($G$2+27),m_active,1,m_start,"&lt;"&amp;720,m_end,"&gt;"&amp;660))))))</f>
        <v/>
      </c>
      <c r="AY73" s="82" t="str">
        <f aca="false">IF(OR(AY$4="",MONTH(($G$2+27))&lt;&gt;MONTH($C$2)),"",IF(COUNTIFS(m_teacher,AY$4,m_date,($G$2+27),m_active,1,m_start,"&lt;"&amp;720,m_end,"&gt;"&amp;660)=0,"",IF(COUNTIFS(m_teacher,AY$4,m_date,($G$2+27),m_active,1,m_start,"&lt;"&amp;720,m_end,"&gt;"&amp;660)&gt;1,"충돌",HYPERLINK("#'관리자_MASTER'!D"&amp;_xlfn.MAXIFS(m_row,m_teacher,AY$4,m_date,($G$2+27),m_active,1,m_start,"&lt;"&amp;720,m_end,"&gt;"&amp;660),INDEX(m_label,_xlfn.MAXIFS(m_row,m_teacher,AY$4,m_date,($G$2+27),m_active,1,m_start,"&lt;"&amp;720,m_end,"&gt;"&amp;660))))))</f>
        <v/>
      </c>
      <c r="AZ73" s="82" t="str">
        <f aca="false">IF(OR(AZ$4="",MONTH(($G$2+27))&lt;&gt;MONTH($C$2)),"",IF(COUNTIFS(m_teacher,AZ$4,m_date,($G$2+27),m_active,1,m_start,"&lt;"&amp;720,m_end,"&gt;"&amp;660)=0,"",IF(COUNTIFS(m_teacher,AZ$4,m_date,($G$2+27),m_active,1,m_start,"&lt;"&amp;720,m_end,"&gt;"&amp;660)&gt;1,"충돌",HYPERLINK("#'관리자_MASTER'!D"&amp;_xlfn.MAXIFS(m_row,m_teacher,AZ$4,m_date,($G$2+27),m_active,1,m_start,"&lt;"&amp;720,m_end,"&gt;"&amp;660),INDEX(m_label,_xlfn.MAXIFS(m_row,m_teacher,AZ$4,m_date,($G$2+27),m_active,1,m_start,"&lt;"&amp;720,m_end,"&gt;"&amp;660))))))</f>
        <v/>
      </c>
      <c r="BA73" s="82" t="str">
        <f aca="false">IF(OR(BA$4="",MONTH(($G$2+27))&lt;&gt;MONTH($C$2)),"",IF(COUNTIFS(m_teacher,BA$4,m_date,($G$2+27),m_active,1,m_start,"&lt;"&amp;720,m_end,"&gt;"&amp;660)=0,"",IF(COUNTIFS(m_teacher,BA$4,m_date,($G$2+27),m_active,1,m_start,"&lt;"&amp;720,m_end,"&gt;"&amp;660)&gt;1,"충돌",HYPERLINK("#'관리자_MASTER'!D"&amp;_xlfn.MAXIFS(m_row,m_teacher,BA$4,m_date,($G$2+27),m_active,1,m_start,"&lt;"&amp;720,m_end,"&gt;"&amp;660),INDEX(m_label,_xlfn.MAXIFS(m_row,m_teacher,BA$4,m_date,($G$2+27),m_active,1,m_start,"&lt;"&amp;720,m_end,"&gt;"&amp;660))))))</f>
        <v/>
      </c>
      <c r="BB73" s="82" t="str">
        <f aca="false">IF(OR(BB$4="",MONTH(($G$2+27))&lt;&gt;MONTH($C$2)),"",IF(COUNTIFS(m_teacher,BB$4,m_date,($G$2+27),m_active,1,m_start,"&lt;"&amp;720,m_end,"&gt;"&amp;660)=0,"",IF(COUNTIFS(m_teacher,BB$4,m_date,($G$2+27),m_active,1,m_start,"&lt;"&amp;720,m_end,"&gt;"&amp;660)&gt;1,"충돌",HYPERLINK("#'관리자_MASTER'!D"&amp;_xlfn.MAXIFS(m_row,m_teacher,BB$4,m_date,($G$2+27),m_active,1,m_start,"&lt;"&amp;720,m_end,"&gt;"&amp;660),INDEX(m_label,_xlfn.MAXIFS(m_row,m_teacher,BB$4,m_date,($G$2+27),m_active,1,m_start,"&lt;"&amp;720,m_end,"&gt;"&amp;660))))))</f>
        <v/>
      </c>
      <c r="BC73" s="82" t="str">
        <f aca="false">IF(OR(BC$4="",MONTH(($G$2+27))&lt;&gt;MONTH($C$2)),"",IF(COUNTIFS(m_teacher,BC$4,m_date,($G$2+27),m_active,1,m_start,"&lt;"&amp;720,m_end,"&gt;"&amp;660)=0,"",IF(COUNTIFS(m_teacher,BC$4,m_date,($G$2+27),m_active,1,m_start,"&lt;"&amp;720,m_end,"&gt;"&amp;660)&gt;1,"충돌",HYPERLINK("#'관리자_MASTER'!D"&amp;_xlfn.MAXIFS(m_row,m_teacher,BC$4,m_date,($G$2+27),m_active,1,m_start,"&lt;"&amp;720,m_end,"&gt;"&amp;660),INDEX(m_label,_xlfn.MAXIFS(m_row,m_teacher,BC$4,m_date,($G$2+27),m_active,1,m_start,"&lt;"&amp;720,m_end,"&gt;"&amp;660))))))</f>
        <v/>
      </c>
      <c r="BD73" s="82" t="str">
        <f aca="false">IF(OR(BD$4="",MONTH(($G$2+27))&lt;&gt;MONTH($C$2)),"",IF(COUNTIFS(m_teacher,BD$4,m_date,($G$2+27),m_active,1,m_start,"&lt;"&amp;720,m_end,"&gt;"&amp;660)=0,"",IF(COUNTIFS(m_teacher,BD$4,m_date,($G$2+27),m_active,1,m_start,"&lt;"&amp;720,m_end,"&gt;"&amp;660)&gt;1,"충돌",HYPERLINK("#'관리자_MASTER'!D"&amp;_xlfn.MAXIFS(m_row,m_teacher,BD$4,m_date,($G$2+27),m_active,1,m_start,"&lt;"&amp;720,m_end,"&gt;"&amp;660),INDEX(m_label,_xlfn.MAXIFS(m_row,m_teacher,BD$4,m_date,($G$2+27),m_active,1,m_start,"&lt;"&amp;720,m_end,"&gt;"&amp;660))))))</f>
        <v/>
      </c>
    </row>
    <row r="74" customFormat="false" ht="19.5" hidden="false" customHeight="true" outlineLevel="0" collapsed="false">
      <c r="A74" s="92"/>
      <c r="B74" s="79" t="s">
        <v>94</v>
      </c>
      <c r="C74" s="82" t="str">
        <f aca="false">IF(OR(C$4="",MONTH(($G$2+6))&lt;&gt;MONTH($C$2)),"",IF(COUNTIFS(m_teacher,C$4,m_date,($G$2+6),m_active,1,m_start,"&lt;"&amp;780,m_end,"&gt;"&amp;720)=0,"",IF(COUNTIFS(m_teacher,C$4,m_date,($G$2+6),m_active,1,m_start,"&lt;"&amp;780,m_end,"&gt;"&amp;720)&gt;1,"충돌",HYPERLINK("#'관리자_MASTER'!D"&amp;_xlfn.MAXIFS(m_row,m_teacher,C$4,m_date,($G$2+6),m_active,1,m_start,"&lt;"&amp;780,m_end,"&gt;"&amp;720),INDEX(m_label,_xlfn.MAXIFS(m_row,m_teacher,C$4,m_date,($G$2+6),m_active,1,m_start,"&lt;"&amp;780,m_end,"&gt;"&amp;720))))))</f>
        <v/>
      </c>
      <c r="D74" s="82" t="str">
        <f aca="false">IF(OR(D$4="",MONTH(($G$2+6))&lt;&gt;MONTH($C$2)),"",IF(COUNTIFS(m_teacher,D$4,m_date,($G$2+6),m_active,1,m_start,"&lt;"&amp;780,m_end,"&gt;"&amp;720)=0,"",IF(COUNTIFS(m_teacher,D$4,m_date,($G$2+6),m_active,1,m_start,"&lt;"&amp;780,m_end,"&gt;"&amp;720)&gt;1,"충돌",HYPERLINK("#'관리자_MASTER'!D"&amp;_xlfn.MAXIFS(m_row,m_teacher,D$4,m_date,($G$2+6),m_active,1,m_start,"&lt;"&amp;780,m_end,"&gt;"&amp;720),INDEX(m_label,_xlfn.MAXIFS(m_row,m_teacher,D$4,m_date,($G$2+6),m_active,1,m_start,"&lt;"&amp;780,m_end,"&gt;"&amp;720))))))</f>
        <v/>
      </c>
      <c r="E74" s="82" t="str">
        <f aca="false">IF(OR(E$4="",MONTH(($G$2+6))&lt;&gt;MONTH($C$2)),"",IF(COUNTIFS(m_teacher,E$4,m_date,($G$2+6),m_active,1,m_start,"&lt;"&amp;780,m_end,"&gt;"&amp;720)=0,"",IF(COUNTIFS(m_teacher,E$4,m_date,($G$2+6),m_active,1,m_start,"&lt;"&amp;780,m_end,"&gt;"&amp;720)&gt;1,"충돌",HYPERLINK("#'관리자_MASTER'!D"&amp;_xlfn.MAXIFS(m_row,m_teacher,E$4,m_date,($G$2+6),m_active,1,m_start,"&lt;"&amp;780,m_end,"&gt;"&amp;720),INDEX(m_label,_xlfn.MAXIFS(m_row,m_teacher,E$4,m_date,($G$2+6),m_active,1,m_start,"&lt;"&amp;780,m_end,"&gt;"&amp;720))))))</f>
        <v/>
      </c>
      <c r="F74" s="82" t="str">
        <f aca="false">IF(OR(F$4="",MONTH(($G$2+6))&lt;&gt;MONTH($C$2)),"",IF(COUNTIFS(m_teacher,F$4,m_date,($G$2+6),m_active,1,m_start,"&lt;"&amp;780,m_end,"&gt;"&amp;720)=0,"",IF(COUNTIFS(m_teacher,F$4,m_date,($G$2+6),m_active,1,m_start,"&lt;"&amp;780,m_end,"&gt;"&amp;720)&gt;1,"충돌",HYPERLINK("#'관리자_MASTER'!D"&amp;_xlfn.MAXIFS(m_row,m_teacher,F$4,m_date,($G$2+6),m_active,1,m_start,"&lt;"&amp;780,m_end,"&gt;"&amp;720),INDEX(m_label,_xlfn.MAXIFS(m_row,m_teacher,F$4,m_date,($G$2+6),m_active,1,m_start,"&lt;"&amp;780,m_end,"&gt;"&amp;720))))))</f>
        <v/>
      </c>
      <c r="G74" s="82" t="str">
        <f aca="false">IF(OR(G$4="",MONTH(($G$2+6))&lt;&gt;MONTH($C$2)),"",IF(COUNTIFS(m_teacher,G$4,m_date,($G$2+6),m_active,1,m_start,"&lt;"&amp;780,m_end,"&gt;"&amp;720)=0,"",IF(COUNTIFS(m_teacher,G$4,m_date,($G$2+6),m_active,1,m_start,"&lt;"&amp;780,m_end,"&gt;"&amp;720)&gt;1,"충돌",HYPERLINK("#'관리자_MASTER'!D"&amp;_xlfn.MAXIFS(m_row,m_teacher,G$4,m_date,($G$2+6),m_active,1,m_start,"&lt;"&amp;780,m_end,"&gt;"&amp;720),INDEX(m_label,_xlfn.MAXIFS(m_row,m_teacher,G$4,m_date,($G$2+6),m_active,1,m_start,"&lt;"&amp;780,m_end,"&gt;"&amp;720))))))</f>
        <v/>
      </c>
      <c r="H74" s="82" t="str">
        <f aca="false">IF(OR(H$4="",MONTH(($G$2+6))&lt;&gt;MONTH($C$2)),"",IF(COUNTIFS(m_teacher,H$4,m_date,($G$2+6),m_active,1,m_start,"&lt;"&amp;780,m_end,"&gt;"&amp;720)=0,"",IF(COUNTIFS(m_teacher,H$4,m_date,($G$2+6),m_active,1,m_start,"&lt;"&amp;780,m_end,"&gt;"&amp;720)&gt;1,"충돌",HYPERLINK("#'관리자_MASTER'!D"&amp;_xlfn.MAXIFS(m_row,m_teacher,H$4,m_date,($G$2+6),m_active,1,m_start,"&lt;"&amp;780,m_end,"&gt;"&amp;720),INDEX(m_label,_xlfn.MAXIFS(m_row,m_teacher,H$4,m_date,($G$2+6),m_active,1,m_start,"&lt;"&amp;780,m_end,"&gt;"&amp;720))))))</f>
        <v/>
      </c>
      <c r="I74" s="82" t="str">
        <f aca="false">IF(OR(I$4="",MONTH(($G$2+6))&lt;&gt;MONTH($C$2)),"",IF(COUNTIFS(m_teacher,I$4,m_date,($G$2+6),m_active,1,m_start,"&lt;"&amp;780,m_end,"&gt;"&amp;720)=0,"",IF(COUNTIFS(m_teacher,I$4,m_date,($G$2+6),m_active,1,m_start,"&lt;"&amp;780,m_end,"&gt;"&amp;720)&gt;1,"충돌",HYPERLINK("#'관리자_MASTER'!D"&amp;_xlfn.MAXIFS(m_row,m_teacher,I$4,m_date,($G$2+6),m_active,1,m_start,"&lt;"&amp;780,m_end,"&gt;"&amp;720),INDEX(m_label,_xlfn.MAXIFS(m_row,m_teacher,I$4,m_date,($G$2+6),m_active,1,m_start,"&lt;"&amp;780,m_end,"&gt;"&amp;720))))))</f>
        <v/>
      </c>
      <c r="J74" s="82" t="str">
        <f aca="false">IF(OR(J$4="",MONTH(($G$2+6))&lt;&gt;MONTH($C$2)),"",IF(COUNTIFS(m_teacher,J$4,m_date,($G$2+6),m_active,1,m_start,"&lt;"&amp;780,m_end,"&gt;"&amp;720)=0,"",IF(COUNTIFS(m_teacher,J$4,m_date,($G$2+6),m_active,1,m_start,"&lt;"&amp;780,m_end,"&gt;"&amp;720)&gt;1,"충돌",HYPERLINK("#'관리자_MASTER'!D"&amp;_xlfn.MAXIFS(m_row,m_teacher,J$4,m_date,($G$2+6),m_active,1,m_start,"&lt;"&amp;780,m_end,"&gt;"&amp;720),INDEX(m_label,_xlfn.MAXIFS(m_row,m_teacher,J$4,m_date,($G$2+6),m_active,1,m_start,"&lt;"&amp;780,m_end,"&gt;"&amp;720))))))</f>
        <v/>
      </c>
      <c r="K74" s="82" t="str">
        <f aca="false">IF(OR(K$4="",MONTH(($G$2+6))&lt;&gt;MONTH($C$2)),"",IF(COUNTIFS(m_teacher,K$4,m_date,($G$2+6),m_active,1,m_start,"&lt;"&amp;780,m_end,"&gt;"&amp;720)=0,"",IF(COUNTIFS(m_teacher,K$4,m_date,($G$2+6),m_active,1,m_start,"&lt;"&amp;780,m_end,"&gt;"&amp;720)&gt;1,"충돌",HYPERLINK("#'관리자_MASTER'!D"&amp;_xlfn.MAXIFS(m_row,m_teacher,K$4,m_date,($G$2+6),m_active,1,m_start,"&lt;"&amp;780,m_end,"&gt;"&amp;720),INDEX(m_label,_xlfn.MAXIFS(m_row,m_teacher,K$4,m_date,($G$2+6),m_active,1,m_start,"&lt;"&amp;780,m_end,"&gt;"&amp;720))))))</f>
        <v/>
      </c>
      <c r="L74" s="82" t="str">
        <f aca="false">IF(OR(L$4="",MONTH(($G$2+6))&lt;&gt;MONTH($C$2)),"",IF(COUNTIFS(m_teacher,L$4,m_date,($G$2+6),m_active,1,m_start,"&lt;"&amp;780,m_end,"&gt;"&amp;720)=0,"",IF(COUNTIFS(m_teacher,L$4,m_date,($G$2+6),m_active,1,m_start,"&lt;"&amp;780,m_end,"&gt;"&amp;720)&gt;1,"충돌",HYPERLINK("#'관리자_MASTER'!D"&amp;_xlfn.MAXIFS(m_row,m_teacher,L$4,m_date,($G$2+6),m_active,1,m_start,"&lt;"&amp;780,m_end,"&gt;"&amp;720),INDEX(m_label,_xlfn.MAXIFS(m_row,m_teacher,L$4,m_date,($G$2+6),m_active,1,m_start,"&lt;"&amp;780,m_end,"&gt;"&amp;720))))))</f>
        <v/>
      </c>
      <c r="M74" s="82" t="str">
        <f aca="false">IF(OR(M$4="",MONTH(($G$2+6))&lt;&gt;MONTH($C$2)),"",IF(COUNTIFS(m_teacher,M$4,m_date,($G$2+6),m_active,1,m_start,"&lt;"&amp;780,m_end,"&gt;"&amp;720)=0,"",IF(COUNTIFS(m_teacher,M$4,m_date,($G$2+6),m_active,1,m_start,"&lt;"&amp;780,m_end,"&gt;"&amp;720)&gt;1,"충돌",HYPERLINK("#'관리자_MASTER'!D"&amp;_xlfn.MAXIFS(m_row,m_teacher,M$4,m_date,($G$2+6),m_active,1,m_start,"&lt;"&amp;780,m_end,"&gt;"&amp;720),INDEX(m_label,_xlfn.MAXIFS(m_row,m_teacher,M$4,m_date,($G$2+6),m_active,1,m_start,"&lt;"&amp;780,m_end,"&gt;"&amp;720))))))</f>
        <v/>
      </c>
      <c r="N74" s="82" t="str">
        <f aca="false">IF(OR(N$4="",MONTH(($G$2+6))&lt;&gt;MONTH($C$2)),"",IF(COUNTIFS(m_teacher,N$4,m_date,($G$2+6),m_active,1,m_start,"&lt;"&amp;780,m_end,"&gt;"&amp;720)=0,"",IF(COUNTIFS(m_teacher,N$4,m_date,($G$2+6),m_active,1,m_start,"&lt;"&amp;780,m_end,"&gt;"&amp;720)&gt;1,"충돌",HYPERLINK("#'관리자_MASTER'!D"&amp;_xlfn.MAXIFS(m_row,m_teacher,N$4,m_date,($G$2+6),m_active,1,m_start,"&lt;"&amp;780,m_end,"&gt;"&amp;720),INDEX(m_label,_xlfn.MAXIFS(m_row,m_teacher,N$4,m_date,($G$2+6),m_active,1,m_start,"&lt;"&amp;780,m_end,"&gt;"&amp;720))))))</f>
        <v/>
      </c>
      <c r="O74" s="92"/>
      <c r="P74" s="79" t="s">
        <v>94</v>
      </c>
      <c r="Q74" s="82" t="str">
        <f aca="false">IF(OR(Q$4="",MONTH(($G$2+13))&lt;&gt;MONTH($C$2)),"",IF(COUNTIFS(m_teacher,Q$4,m_date,($G$2+13),m_active,1,m_start,"&lt;"&amp;780,m_end,"&gt;"&amp;720)=0,"",IF(COUNTIFS(m_teacher,Q$4,m_date,($G$2+13),m_active,1,m_start,"&lt;"&amp;780,m_end,"&gt;"&amp;720)&gt;1,"충돌",HYPERLINK("#'관리자_MASTER'!D"&amp;_xlfn.MAXIFS(m_row,m_teacher,Q$4,m_date,($G$2+13),m_active,1,m_start,"&lt;"&amp;780,m_end,"&gt;"&amp;720),INDEX(m_label,_xlfn.MAXIFS(m_row,m_teacher,Q$4,m_date,($G$2+13),m_active,1,m_start,"&lt;"&amp;780,m_end,"&gt;"&amp;720))))))</f>
        <v/>
      </c>
      <c r="R74" s="82" t="str">
        <f aca="false">IF(OR(R$4="",MONTH(($G$2+13))&lt;&gt;MONTH($C$2)),"",IF(COUNTIFS(m_teacher,R$4,m_date,($G$2+13),m_active,1,m_start,"&lt;"&amp;780,m_end,"&gt;"&amp;720)=0,"",IF(COUNTIFS(m_teacher,R$4,m_date,($G$2+13),m_active,1,m_start,"&lt;"&amp;780,m_end,"&gt;"&amp;720)&gt;1,"충돌",HYPERLINK("#'관리자_MASTER'!D"&amp;_xlfn.MAXIFS(m_row,m_teacher,R$4,m_date,($G$2+13),m_active,1,m_start,"&lt;"&amp;780,m_end,"&gt;"&amp;720),INDEX(m_label,_xlfn.MAXIFS(m_row,m_teacher,R$4,m_date,($G$2+13),m_active,1,m_start,"&lt;"&amp;780,m_end,"&gt;"&amp;720))))))</f>
        <v/>
      </c>
      <c r="S74" s="82" t="str">
        <f aca="false">IF(OR(S$4="",MONTH(($G$2+13))&lt;&gt;MONTH($C$2)),"",IF(COUNTIFS(m_teacher,S$4,m_date,($G$2+13),m_active,1,m_start,"&lt;"&amp;780,m_end,"&gt;"&amp;720)=0,"",IF(COUNTIFS(m_teacher,S$4,m_date,($G$2+13),m_active,1,m_start,"&lt;"&amp;780,m_end,"&gt;"&amp;720)&gt;1,"충돌",HYPERLINK("#'관리자_MASTER'!D"&amp;_xlfn.MAXIFS(m_row,m_teacher,S$4,m_date,($G$2+13),m_active,1,m_start,"&lt;"&amp;780,m_end,"&gt;"&amp;720),INDEX(m_label,_xlfn.MAXIFS(m_row,m_teacher,S$4,m_date,($G$2+13),m_active,1,m_start,"&lt;"&amp;780,m_end,"&gt;"&amp;720))))))</f>
        <v/>
      </c>
      <c r="T74" s="82" t="str">
        <f aca="false">IF(OR(T$4="",MONTH(($G$2+13))&lt;&gt;MONTH($C$2)),"",IF(COUNTIFS(m_teacher,T$4,m_date,($G$2+13),m_active,1,m_start,"&lt;"&amp;780,m_end,"&gt;"&amp;720)=0,"",IF(COUNTIFS(m_teacher,T$4,m_date,($G$2+13),m_active,1,m_start,"&lt;"&amp;780,m_end,"&gt;"&amp;720)&gt;1,"충돌",HYPERLINK("#'관리자_MASTER'!D"&amp;_xlfn.MAXIFS(m_row,m_teacher,T$4,m_date,($G$2+13),m_active,1,m_start,"&lt;"&amp;780,m_end,"&gt;"&amp;720),INDEX(m_label,_xlfn.MAXIFS(m_row,m_teacher,T$4,m_date,($G$2+13),m_active,1,m_start,"&lt;"&amp;780,m_end,"&gt;"&amp;720))))))</f>
        <v/>
      </c>
      <c r="U74" s="82" t="str">
        <f aca="false">IF(OR(U$4="",MONTH(($G$2+13))&lt;&gt;MONTH($C$2)),"",IF(COUNTIFS(m_teacher,U$4,m_date,($G$2+13),m_active,1,m_start,"&lt;"&amp;780,m_end,"&gt;"&amp;720)=0,"",IF(COUNTIFS(m_teacher,U$4,m_date,($G$2+13),m_active,1,m_start,"&lt;"&amp;780,m_end,"&gt;"&amp;720)&gt;1,"충돌",HYPERLINK("#'관리자_MASTER'!D"&amp;_xlfn.MAXIFS(m_row,m_teacher,U$4,m_date,($G$2+13),m_active,1,m_start,"&lt;"&amp;780,m_end,"&gt;"&amp;720),INDEX(m_label,_xlfn.MAXIFS(m_row,m_teacher,U$4,m_date,($G$2+13),m_active,1,m_start,"&lt;"&amp;780,m_end,"&gt;"&amp;720))))))</f>
        <v/>
      </c>
      <c r="V74" s="82" t="str">
        <f aca="false">IF(OR(V$4="",MONTH(($G$2+13))&lt;&gt;MONTH($C$2)),"",IF(COUNTIFS(m_teacher,V$4,m_date,($G$2+13),m_active,1,m_start,"&lt;"&amp;780,m_end,"&gt;"&amp;720)=0,"",IF(COUNTIFS(m_teacher,V$4,m_date,($G$2+13),m_active,1,m_start,"&lt;"&amp;780,m_end,"&gt;"&amp;720)&gt;1,"충돌",HYPERLINK("#'관리자_MASTER'!D"&amp;_xlfn.MAXIFS(m_row,m_teacher,V$4,m_date,($G$2+13),m_active,1,m_start,"&lt;"&amp;780,m_end,"&gt;"&amp;720),INDEX(m_label,_xlfn.MAXIFS(m_row,m_teacher,V$4,m_date,($G$2+13),m_active,1,m_start,"&lt;"&amp;780,m_end,"&gt;"&amp;720))))))</f>
        <v/>
      </c>
      <c r="W74" s="82" t="str">
        <f aca="false">IF(OR(W$4="",MONTH(($G$2+13))&lt;&gt;MONTH($C$2)),"",IF(COUNTIFS(m_teacher,W$4,m_date,($G$2+13),m_active,1,m_start,"&lt;"&amp;780,m_end,"&gt;"&amp;720)=0,"",IF(COUNTIFS(m_teacher,W$4,m_date,($G$2+13),m_active,1,m_start,"&lt;"&amp;780,m_end,"&gt;"&amp;720)&gt;1,"충돌",HYPERLINK("#'관리자_MASTER'!D"&amp;_xlfn.MAXIFS(m_row,m_teacher,W$4,m_date,($G$2+13),m_active,1,m_start,"&lt;"&amp;780,m_end,"&gt;"&amp;720),INDEX(m_label,_xlfn.MAXIFS(m_row,m_teacher,W$4,m_date,($G$2+13),m_active,1,m_start,"&lt;"&amp;780,m_end,"&gt;"&amp;720))))))</f>
        <v/>
      </c>
      <c r="X74" s="82" t="str">
        <f aca="false">IF(OR(X$4="",MONTH(($G$2+13))&lt;&gt;MONTH($C$2)),"",IF(COUNTIFS(m_teacher,X$4,m_date,($G$2+13),m_active,1,m_start,"&lt;"&amp;780,m_end,"&gt;"&amp;720)=0,"",IF(COUNTIFS(m_teacher,X$4,m_date,($G$2+13),m_active,1,m_start,"&lt;"&amp;780,m_end,"&gt;"&amp;720)&gt;1,"충돌",HYPERLINK("#'관리자_MASTER'!D"&amp;_xlfn.MAXIFS(m_row,m_teacher,X$4,m_date,($G$2+13),m_active,1,m_start,"&lt;"&amp;780,m_end,"&gt;"&amp;720),INDEX(m_label,_xlfn.MAXIFS(m_row,m_teacher,X$4,m_date,($G$2+13),m_active,1,m_start,"&lt;"&amp;780,m_end,"&gt;"&amp;720))))))</f>
        <v/>
      </c>
      <c r="Y74" s="82" t="str">
        <f aca="false">IF(OR(Y$4="",MONTH(($G$2+13))&lt;&gt;MONTH($C$2)),"",IF(COUNTIFS(m_teacher,Y$4,m_date,($G$2+13),m_active,1,m_start,"&lt;"&amp;780,m_end,"&gt;"&amp;720)=0,"",IF(COUNTIFS(m_teacher,Y$4,m_date,($G$2+13),m_active,1,m_start,"&lt;"&amp;780,m_end,"&gt;"&amp;720)&gt;1,"충돌",HYPERLINK("#'관리자_MASTER'!D"&amp;_xlfn.MAXIFS(m_row,m_teacher,Y$4,m_date,($G$2+13),m_active,1,m_start,"&lt;"&amp;780,m_end,"&gt;"&amp;720),INDEX(m_label,_xlfn.MAXIFS(m_row,m_teacher,Y$4,m_date,($G$2+13),m_active,1,m_start,"&lt;"&amp;780,m_end,"&gt;"&amp;720))))))</f>
        <v/>
      </c>
      <c r="Z74" s="82" t="str">
        <f aca="false">IF(OR(Z$4="",MONTH(($G$2+13))&lt;&gt;MONTH($C$2)),"",IF(COUNTIFS(m_teacher,Z$4,m_date,($G$2+13),m_active,1,m_start,"&lt;"&amp;780,m_end,"&gt;"&amp;720)=0,"",IF(COUNTIFS(m_teacher,Z$4,m_date,($G$2+13),m_active,1,m_start,"&lt;"&amp;780,m_end,"&gt;"&amp;720)&gt;1,"충돌",HYPERLINK("#'관리자_MASTER'!D"&amp;_xlfn.MAXIFS(m_row,m_teacher,Z$4,m_date,($G$2+13),m_active,1,m_start,"&lt;"&amp;780,m_end,"&gt;"&amp;720),INDEX(m_label,_xlfn.MAXIFS(m_row,m_teacher,Z$4,m_date,($G$2+13),m_active,1,m_start,"&lt;"&amp;780,m_end,"&gt;"&amp;720))))))</f>
        <v/>
      </c>
      <c r="AA74" s="82" t="str">
        <f aca="false">IF(OR(AA$4="",MONTH(($G$2+13))&lt;&gt;MONTH($C$2)),"",IF(COUNTIFS(m_teacher,AA$4,m_date,($G$2+13),m_active,1,m_start,"&lt;"&amp;780,m_end,"&gt;"&amp;720)=0,"",IF(COUNTIFS(m_teacher,AA$4,m_date,($G$2+13),m_active,1,m_start,"&lt;"&amp;780,m_end,"&gt;"&amp;720)&gt;1,"충돌",HYPERLINK("#'관리자_MASTER'!D"&amp;_xlfn.MAXIFS(m_row,m_teacher,AA$4,m_date,($G$2+13),m_active,1,m_start,"&lt;"&amp;780,m_end,"&gt;"&amp;720),INDEX(m_label,_xlfn.MAXIFS(m_row,m_teacher,AA$4,m_date,($G$2+13),m_active,1,m_start,"&lt;"&amp;780,m_end,"&gt;"&amp;720))))))</f>
        <v/>
      </c>
      <c r="AB74" s="82" t="str">
        <f aca="false">IF(OR(AB$4="",MONTH(($G$2+13))&lt;&gt;MONTH($C$2)),"",IF(COUNTIFS(m_teacher,AB$4,m_date,($G$2+13),m_active,1,m_start,"&lt;"&amp;780,m_end,"&gt;"&amp;720)=0,"",IF(COUNTIFS(m_teacher,AB$4,m_date,($G$2+13),m_active,1,m_start,"&lt;"&amp;780,m_end,"&gt;"&amp;720)&gt;1,"충돌",HYPERLINK("#'관리자_MASTER'!D"&amp;_xlfn.MAXIFS(m_row,m_teacher,AB$4,m_date,($G$2+13),m_active,1,m_start,"&lt;"&amp;780,m_end,"&gt;"&amp;720),INDEX(m_label,_xlfn.MAXIFS(m_row,m_teacher,AB$4,m_date,($G$2+13),m_active,1,m_start,"&lt;"&amp;780,m_end,"&gt;"&amp;720))))))</f>
        <v/>
      </c>
      <c r="AC74" s="92"/>
      <c r="AD74" s="79" t="s">
        <v>94</v>
      </c>
      <c r="AE74" s="82" t="str">
        <f aca="false">IF(OR(AE$4="",MONTH(($G$2+20))&lt;&gt;MONTH($C$2)),"",IF(COUNTIFS(m_teacher,AE$4,m_date,($G$2+20),m_active,1,m_start,"&lt;"&amp;780,m_end,"&gt;"&amp;720)=0,"",IF(COUNTIFS(m_teacher,AE$4,m_date,($G$2+20),m_active,1,m_start,"&lt;"&amp;780,m_end,"&gt;"&amp;720)&gt;1,"충돌",HYPERLINK("#'관리자_MASTER'!D"&amp;_xlfn.MAXIFS(m_row,m_teacher,AE$4,m_date,($G$2+20),m_active,1,m_start,"&lt;"&amp;780,m_end,"&gt;"&amp;720),INDEX(m_label,_xlfn.MAXIFS(m_row,m_teacher,AE$4,m_date,($G$2+20),m_active,1,m_start,"&lt;"&amp;780,m_end,"&gt;"&amp;720))))))</f>
        <v/>
      </c>
      <c r="AF74" s="82" t="str">
        <f aca="false">IF(OR(AF$4="",MONTH(($G$2+20))&lt;&gt;MONTH($C$2)),"",IF(COUNTIFS(m_teacher,AF$4,m_date,($G$2+20),m_active,1,m_start,"&lt;"&amp;780,m_end,"&gt;"&amp;720)=0,"",IF(COUNTIFS(m_teacher,AF$4,m_date,($G$2+20),m_active,1,m_start,"&lt;"&amp;780,m_end,"&gt;"&amp;720)&gt;1,"충돌",HYPERLINK("#'관리자_MASTER'!D"&amp;_xlfn.MAXIFS(m_row,m_teacher,AF$4,m_date,($G$2+20),m_active,1,m_start,"&lt;"&amp;780,m_end,"&gt;"&amp;720),INDEX(m_label,_xlfn.MAXIFS(m_row,m_teacher,AF$4,m_date,($G$2+20),m_active,1,m_start,"&lt;"&amp;780,m_end,"&gt;"&amp;720))))))</f>
        <v/>
      </c>
      <c r="AG74" s="82" t="str">
        <f aca="false">IF(OR(AG$4="",MONTH(($G$2+20))&lt;&gt;MONTH($C$2)),"",IF(COUNTIFS(m_teacher,AG$4,m_date,($G$2+20),m_active,1,m_start,"&lt;"&amp;780,m_end,"&gt;"&amp;720)=0,"",IF(COUNTIFS(m_teacher,AG$4,m_date,($G$2+20),m_active,1,m_start,"&lt;"&amp;780,m_end,"&gt;"&amp;720)&gt;1,"충돌",HYPERLINK("#'관리자_MASTER'!D"&amp;_xlfn.MAXIFS(m_row,m_teacher,AG$4,m_date,($G$2+20),m_active,1,m_start,"&lt;"&amp;780,m_end,"&gt;"&amp;720),INDEX(m_label,_xlfn.MAXIFS(m_row,m_teacher,AG$4,m_date,($G$2+20),m_active,1,m_start,"&lt;"&amp;780,m_end,"&gt;"&amp;720))))))</f>
        <v/>
      </c>
      <c r="AH74" s="82" t="str">
        <f aca="false">IF(OR(AH$4="",MONTH(($G$2+20))&lt;&gt;MONTH($C$2)),"",IF(COUNTIFS(m_teacher,AH$4,m_date,($G$2+20),m_active,1,m_start,"&lt;"&amp;780,m_end,"&gt;"&amp;720)=0,"",IF(COUNTIFS(m_teacher,AH$4,m_date,($G$2+20),m_active,1,m_start,"&lt;"&amp;780,m_end,"&gt;"&amp;720)&gt;1,"충돌",HYPERLINK("#'관리자_MASTER'!D"&amp;_xlfn.MAXIFS(m_row,m_teacher,AH$4,m_date,($G$2+20),m_active,1,m_start,"&lt;"&amp;780,m_end,"&gt;"&amp;720),INDEX(m_label,_xlfn.MAXIFS(m_row,m_teacher,AH$4,m_date,($G$2+20),m_active,1,m_start,"&lt;"&amp;780,m_end,"&gt;"&amp;720))))))</f>
        <v/>
      </c>
      <c r="AI74" s="82" t="str">
        <f aca="false">IF(OR(AI$4="",MONTH(($G$2+20))&lt;&gt;MONTH($C$2)),"",IF(COUNTIFS(m_teacher,AI$4,m_date,($G$2+20),m_active,1,m_start,"&lt;"&amp;780,m_end,"&gt;"&amp;720)=0,"",IF(COUNTIFS(m_teacher,AI$4,m_date,($G$2+20),m_active,1,m_start,"&lt;"&amp;780,m_end,"&gt;"&amp;720)&gt;1,"충돌",HYPERLINK("#'관리자_MASTER'!D"&amp;_xlfn.MAXIFS(m_row,m_teacher,AI$4,m_date,($G$2+20),m_active,1,m_start,"&lt;"&amp;780,m_end,"&gt;"&amp;720),INDEX(m_label,_xlfn.MAXIFS(m_row,m_teacher,AI$4,m_date,($G$2+20),m_active,1,m_start,"&lt;"&amp;780,m_end,"&gt;"&amp;720))))))</f>
        <v/>
      </c>
      <c r="AJ74" s="82" t="str">
        <f aca="false">IF(OR(AJ$4="",MONTH(($G$2+20))&lt;&gt;MONTH($C$2)),"",IF(COUNTIFS(m_teacher,AJ$4,m_date,($G$2+20),m_active,1,m_start,"&lt;"&amp;780,m_end,"&gt;"&amp;720)=0,"",IF(COUNTIFS(m_teacher,AJ$4,m_date,($G$2+20),m_active,1,m_start,"&lt;"&amp;780,m_end,"&gt;"&amp;720)&gt;1,"충돌",HYPERLINK("#'관리자_MASTER'!D"&amp;_xlfn.MAXIFS(m_row,m_teacher,AJ$4,m_date,($G$2+20),m_active,1,m_start,"&lt;"&amp;780,m_end,"&gt;"&amp;720),INDEX(m_label,_xlfn.MAXIFS(m_row,m_teacher,AJ$4,m_date,($G$2+20),m_active,1,m_start,"&lt;"&amp;780,m_end,"&gt;"&amp;720))))))</f>
        <v/>
      </c>
      <c r="AK74" s="82" t="str">
        <f aca="false">IF(OR(AK$4="",MONTH(($G$2+20))&lt;&gt;MONTH($C$2)),"",IF(COUNTIFS(m_teacher,AK$4,m_date,($G$2+20),m_active,1,m_start,"&lt;"&amp;780,m_end,"&gt;"&amp;720)=0,"",IF(COUNTIFS(m_teacher,AK$4,m_date,($G$2+20),m_active,1,m_start,"&lt;"&amp;780,m_end,"&gt;"&amp;720)&gt;1,"충돌",HYPERLINK("#'관리자_MASTER'!D"&amp;_xlfn.MAXIFS(m_row,m_teacher,AK$4,m_date,($G$2+20),m_active,1,m_start,"&lt;"&amp;780,m_end,"&gt;"&amp;720),INDEX(m_label,_xlfn.MAXIFS(m_row,m_teacher,AK$4,m_date,($G$2+20),m_active,1,m_start,"&lt;"&amp;780,m_end,"&gt;"&amp;720))))))</f>
        <v/>
      </c>
      <c r="AL74" s="82" t="str">
        <f aca="false">IF(OR(AL$4="",MONTH(($G$2+20))&lt;&gt;MONTH($C$2)),"",IF(COUNTIFS(m_teacher,AL$4,m_date,($G$2+20),m_active,1,m_start,"&lt;"&amp;780,m_end,"&gt;"&amp;720)=0,"",IF(COUNTIFS(m_teacher,AL$4,m_date,($G$2+20),m_active,1,m_start,"&lt;"&amp;780,m_end,"&gt;"&amp;720)&gt;1,"충돌",HYPERLINK("#'관리자_MASTER'!D"&amp;_xlfn.MAXIFS(m_row,m_teacher,AL$4,m_date,($G$2+20),m_active,1,m_start,"&lt;"&amp;780,m_end,"&gt;"&amp;720),INDEX(m_label,_xlfn.MAXIFS(m_row,m_teacher,AL$4,m_date,($G$2+20),m_active,1,m_start,"&lt;"&amp;780,m_end,"&gt;"&amp;720))))))</f>
        <v/>
      </c>
      <c r="AM74" s="82" t="str">
        <f aca="false">IF(OR(AM$4="",MONTH(($G$2+20))&lt;&gt;MONTH($C$2)),"",IF(COUNTIFS(m_teacher,AM$4,m_date,($G$2+20),m_active,1,m_start,"&lt;"&amp;780,m_end,"&gt;"&amp;720)=0,"",IF(COUNTIFS(m_teacher,AM$4,m_date,($G$2+20),m_active,1,m_start,"&lt;"&amp;780,m_end,"&gt;"&amp;720)&gt;1,"충돌",HYPERLINK("#'관리자_MASTER'!D"&amp;_xlfn.MAXIFS(m_row,m_teacher,AM$4,m_date,($G$2+20),m_active,1,m_start,"&lt;"&amp;780,m_end,"&gt;"&amp;720),INDEX(m_label,_xlfn.MAXIFS(m_row,m_teacher,AM$4,m_date,($G$2+20),m_active,1,m_start,"&lt;"&amp;780,m_end,"&gt;"&amp;720))))))</f>
        <v/>
      </c>
      <c r="AN74" s="82" t="str">
        <f aca="false">IF(OR(AN$4="",MONTH(($G$2+20))&lt;&gt;MONTH($C$2)),"",IF(COUNTIFS(m_teacher,AN$4,m_date,($G$2+20),m_active,1,m_start,"&lt;"&amp;780,m_end,"&gt;"&amp;720)=0,"",IF(COUNTIFS(m_teacher,AN$4,m_date,($G$2+20),m_active,1,m_start,"&lt;"&amp;780,m_end,"&gt;"&amp;720)&gt;1,"충돌",HYPERLINK("#'관리자_MASTER'!D"&amp;_xlfn.MAXIFS(m_row,m_teacher,AN$4,m_date,($G$2+20),m_active,1,m_start,"&lt;"&amp;780,m_end,"&gt;"&amp;720),INDEX(m_label,_xlfn.MAXIFS(m_row,m_teacher,AN$4,m_date,($G$2+20),m_active,1,m_start,"&lt;"&amp;780,m_end,"&gt;"&amp;720))))))</f>
        <v/>
      </c>
      <c r="AO74" s="82" t="str">
        <f aca="false">IF(OR(AO$4="",MONTH(($G$2+20))&lt;&gt;MONTH($C$2)),"",IF(COUNTIFS(m_teacher,AO$4,m_date,($G$2+20),m_active,1,m_start,"&lt;"&amp;780,m_end,"&gt;"&amp;720)=0,"",IF(COUNTIFS(m_teacher,AO$4,m_date,($G$2+20),m_active,1,m_start,"&lt;"&amp;780,m_end,"&gt;"&amp;720)&gt;1,"충돌",HYPERLINK("#'관리자_MASTER'!D"&amp;_xlfn.MAXIFS(m_row,m_teacher,AO$4,m_date,($G$2+20),m_active,1,m_start,"&lt;"&amp;780,m_end,"&gt;"&amp;720),INDEX(m_label,_xlfn.MAXIFS(m_row,m_teacher,AO$4,m_date,($G$2+20),m_active,1,m_start,"&lt;"&amp;780,m_end,"&gt;"&amp;720))))))</f>
        <v/>
      </c>
      <c r="AP74" s="82" t="str">
        <f aca="false">IF(OR(AP$4="",MONTH(($G$2+20))&lt;&gt;MONTH($C$2)),"",IF(COUNTIFS(m_teacher,AP$4,m_date,($G$2+20),m_active,1,m_start,"&lt;"&amp;780,m_end,"&gt;"&amp;720)=0,"",IF(COUNTIFS(m_teacher,AP$4,m_date,($G$2+20),m_active,1,m_start,"&lt;"&amp;780,m_end,"&gt;"&amp;720)&gt;1,"충돌",HYPERLINK("#'관리자_MASTER'!D"&amp;_xlfn.MAXIFS(m_row,m_teacher,AP$4,m_date,($G$2+20),m_active,1,m_start,"&lt;"&amp;780,m_end,"&gt;"&amp;720),INDEX(m_label,_xlfn.MAXIFS(m_row,m_teacher,AP$4,m_date,($G$2+20),m_active,1,m_start,"&lt;"&amp;780,m_end,"&gt;"&amp;720))))))</f>
        <v/>
      </c>
      <c r="AQ74" s="92"/>
      <c r="AR74" s="79" t="s">
        <v>94</v>
      </c>
      <c r="AS74" s="82" t="str">
        <f aca="false">IF(OR(AS$4="",MONTH(($G$2+27))&lt;&gt;MONTH($C$2)),"",IF(COUNTIFS(m_teacher,AS$4,m_date,($G$2+27),m_active,1,m_start,"&lt;"&amp;780,m_end,"&gt;"&amp;720)=0,"",IF(COUNTIFS(m_teacher,AS$4,m_date,($G$2+27),m_active,1,m_start,"&lt;"&amp;780,m_end,"&gt;"&amp;720)&gt;1,"충돌",HYPERLINK("#'관리자_MASTER'!D"&amp;_xlfn.MAXIFS(m_row,m_teacher,AS$4,m_date,($G$2+27),m_active,1,m_start,"&lt;"&amp;780,m_end,"&gt;"&amp;720),INDEX(m_label,_xlfn.MAXIFS(m_row,m_teacher,AS$4,m_date,($G$2+27),m_active,1,m_start,"&lt;"&amp;780,m_end,"&gt;"&amp;720))))))</f>
        <v/>
      </c>
      <c r="AT74" s="82" t="str">
        <f aca="false">IF(OR(AT$4="",MONTH(($G$2+27))&lt;&gt;MONTH($C$2)),"",IF(COUNTIFS(m_teacher,AT$4,m_date,($G$2+27),m_active,1,m_start,"&lt;"&amp;780,m_end,"&gt;"&amp;720)=0,"",IF(COUNTIFS(m_teacher,AT$4,m_date,($G$2+27),m_active,1,m_start,"&lt;"&amp;780,m_end,"&gt;"&amp;720)&gt;1,"충돌",HYPERLINK("#'관리자_MASTER'!D"&amp;_xlfn.MAXIFS(m_row,m_teacher,AT$4,m_date,($G$2+27),m_active,1,m_start,"&lt;"&amp;780,m_end,"&gt;"&amp;720),INDEX(m_label,_xlfn.MAXIFS(m_row,m_teacher,AT$4,m_date,($G$2+27),m_active,1,m_start,"&lt;"&amp;780,m_end,"&gt;"&amp;720))))))</f>
        <v/>
      </c>
      <c r="AU74" s="82" t="str">
        <f aca="false">IF(OR(AU$4="",MONTH(($G$2+27))&lt;&gt;MONTH($C$2)),"",IF(COUNTIFS(m_teacher,AU$4,m_date,($G$2+27),m_active,1,m_start,"&lt;"&amp;780,m_end,"&gt;"&amp;720)=0,"",IF(COUNTIFS(m_teacher,AU$4,m_date,($G$2+27),m_active,1,m_start,"&lt;"&amp;780,m_end,"&gt;"&amp;720)&gt;1,"충돌",HYPERLINK("#'관리자_MASTER'!D"&amp;_xlfn.MAXIFS(m_row,m_teacher,AU$4,m_date,($G$2+27),m_active,1,m_start,"&lt;"&amp;780,m_end,"&gt;"&amp;720),INDEX(m_label,_xlfn.MAXIFS(m_row,m_teacher,AU$4,m_date,($G$2+27),m_active,1,m_start,"&lt;"&amp;780,m_end,"&gt;"&amp;720))))))</f>
        <v/>
      </c>
      <c r="AV74" s="82" t="str">
        <f aca="false">IF(OR(AV$4="",MONTH(($G$2+27))&lt;&gt;MONTH($C$2)),"",IF(COUNTIFS(m_teacher,AV$4,m_date,($G$2+27),m_active,1,m_start,"&lt;"&amp;780,m_end,"&gt;"&amp;720)=0,"",IF(COUNTIFS(m_teacher,AV$4,m_date,($G$2+27),m_active,1,m_start,"&lt;"&amp;780,m_end,"&gt;"&amp;720)&gt;1,"충돌",HYPERLINK("#'관리자_MASTER'!D"&amp;_xlfn.MAXIFS(m_row,m_teacher,AV$4,m_date,($G$2+27),m_active,1,m_start,"&lt;"&amp;780,m_end,"&gt;"&amp;720),INDEX(m_label,_xlfn.MAXIFS(m_row,m_teacher,AV$4,m_date,($G$2+27),m_active,1,m_start,"&lt;"&amp;780,m_end,"&gt;"&amp;720))))))</f>
        <v/>
      </c>
      <c r="AW74" s="82" t="str">
        <f aca="false">IF(OR(AW$4="",MONTH(($G$2+27))&lt;&gt;MONTH($C$2)),"",IF(COUNTIFS(m_teacher,AW$4,m_date,($G$2+27),m_active,1,m_start,"&lt;"&amp;780,m_end,"&gt;"&amp;720)=0,"",IF(COUNTIFS(m_teacher,AW$4,m_date,($G$2+27),m_active,1,m_start,"&lt;"&amp;780,m_end,"&gt;"&amp;720)&gt;1,"충돌",HYPERLINK("#'관리자_MASTER'!D"&amp;_xlfn.MAXIFS(m_row,m_teacher,AW$4,m_date,($G$2+27),m_active,1,m_start,"&lt;"&amp;780,m_end,"&gt;"&amp;720),INDEX(m_label,_xlfn.MAXIFS(m_row,m_teacher,AW$4,m_date,($G$2+27),m_active,1,m_start,"&lt;"&amp;780,m_end,"&gt;"&amp;720))))))</f>
        <v/>
      </c>
      <c r="AX74" s="82" t="str">
        <f aca="false">IF(OR(AX$4="",MONTH(($G$2+27))&lt;&gt;MONTH($C$2)),"",IF(COUNTIFS(m_teacher,AX$4,m_date,($G$2+27),m_active,1,m_start,"&lt;"&amp;780,m_end,"&gt;"&amp;720)=0,"",IF(COUNTIFS(m_teacher,AX$4,m_date,($G$2+27),m_active,1,m_start,"&lt;"&amp;780,m_end,"&gt;"&amp;720)&gt;1,"충돌",HYPERLINK("#'관리자_MASTER'!D"&amp;_xlfn.MAXIFS(m_row,m_teacher,AX$4,m_date,($G$2+27),m_active,1,m_start,"&lt;"&amp;780,m_end,"&gt;"&amp;720),INDEX(m_label,_xlfn.MAXIFS(m_row,m_teacher,AX$4,m_date,($G$2+27),m_active,1,m_start,"&lt;"&amp;780,m_end,"&gt;"&amp;720))))))</f>
        <v/>
      </c>
      <c r="AY74" s="82" t="str">
        <f aca="false">IF(OR(AY$4="",MONTH(($G$2+27))&lt;&gt;MONTH($C$2)),"",IF(COUNTIFS(m_teacher,AY$4,m_date,($G$2+27),m_active,1,m_start,"&lt;"&amp;780,m_end,"&gt;"&amp;720)=0,"",IF(COUNTIFS(m_teacher,AY$4,m_date,($G$2+27),m_active,1,m_start,"&lt;"&amp;780,m_end,"&gt;"&amp;720)&gt;1,"충돌",HYPERLINK("#'관리자_MASTER'!D"&amp;_xlfn.MAXIFS(m_row,m_teacher,AY$4,m_date,($G$2+27),m_active,1,m_start,"&lt;"&amp;780,m_end,"&gt;"&amp;720),INDEX(m_label,_xlfn.MAXIFS(m_row,m_teacher,AY$4,m_date,($G$2+27),m_active,1,m_start,"&lt;"&amp;780,m_end,"&gt;"&amp;720))))))</f>
        <v/>
      </c>
      <c r="AZ74" s="82" t="str">
        <f aca="false">IF(OR(AZ$4="",MONTH(($G$2+27))&lt;&gt;MONTH($C$2)),"",IF(COUNTIFS(m_teacher,AZ$4,m_date,($G$2+27),m_active,1,m_start,"&lt;"&amp;780,m_end,"&gt;"&amp;720)=0,"",IF(COUNTIFS(m_teacher,AZ$4,m_date,($G$2+27),m_active,1,m_start,"&lt;"&amp;780,m_end,"&gt;"&amp;720)&gt;1,"충돌",HYPERLINK("#'관리자_MASTER'!D"&amp;_xlfn.MAXIFS(m_row,m_teacher,AZ$4,m_date,($G$2+27),m_active,1,m_start,"&lt;"&amp;780,m_end,"&gt;"&amp;720),INDEX(m_label,_xlfn.MAXIFS(m_row,m_teacher,AZ$4,m_date,($G$2+27),m_active,1,m_start,"&lt;"&amp;780,m_end,"&gt;"&amp;720))))))</f>
        <v/>
      </c>
      <c r="BA74" s="82" t="str">
        <f aca="false">IF(OR(BA$4="",MONTH(($G$2+27))&lt;&gt;MONTH($C$2)),"",IF(COUNTIFS(m_teacher,BA$4,m_date,($G$2+27),m_active,1,m_start,"&lt;"&amp;780,m_end,"&gt;"&amp;720)=0,"",IF(COUNTIFS(m_teacher,BA$4,m_date,($G$2+27),m_active,1,m_start,"&lt;"&amp;780,m_end,"&gt;"&amp;720)&gt;1,"충돌",HYPERLINK("#'관리자_MASTER'!D"&amp;_xlfn.MAXIFS(m_row,m_teacher,BA$4,m_date,($G$2+27),m_active,1,m_start,"&lt;"&amp;780,m_end,"&gt;"&amp;720),INDEX(m_label,_xlfn.MAXIFS(m_row,m_teacher,BA$4,m_date,($G$2+27),m_active,1,m_start,"&lt;"&amp;780,m_end,"&gt;"&amp;720))))))</f>
        <v/>
      </c>
      <c r="BB74" s="82" t="str">
        <f aca="false">IF(OR(BB$4="",MONTH(($G$2+27))&lt;&gt;MONTH($C$2)),"",IF(COUNTIFS(m_teacher,BB$4,m_date,($G$2+27),m_active,1,m_start,"&lt;"&amp;780,m_end,"&gt;"&amp;720)=0,"",IF(COUNTIFS(m_teacher,BB$4,m_date,($G$2+27),m_active,1,m_start,"&lt;"&amp;780,m_end,"&gt;"&amp;720)&gt;1,"충돌",HYPERLINK("#'관리자_MASTER'!D"&amp;_xlfn.MAXIFS(m_row,m_teacher,BB$4,m_date,($G$2+27),m_active,1,m_start,"&lt;"&amp;780,m_end,"&gt;"&amp;720),INDEX(m_label,_xlfn.MAXIFS(m_row,m_teacher,BB$4,m_date,($G$2+27),m_active,1,m_start,"&lt;"&amp;780,m_end,"&gt;"&amp;720))))))</f>
        <v/>
      </c>
      <c r="BC74" s="82" t="str">
        <f aca="false">IF(OR(BC$4="",MONTH(($G$2+27))&lt;&gt;MONTH($C$2)),"",IF(COUNTIFS(m_teacher,BC$4,m_date,($G$2+27),m_active,1,m_start,"&lt;"&amp;780,m_end,"&gt;"&amp;720)=0,"",IF(COUNTIFS(m_teacher,BC$4,m_date,($G$2+27),m_active,1,m_start,"&lt;"&amp;780,m_end,"&gt;"&amp;720)&gt;1,"충돌",HYPERLINK("#'관리자_MASTER'!D"&amp;_xlfn.MAXIFS(m_row,m_teacher,BC$4,m_date,($G$2+27),m_active,1,m_start,"&lt;"&amp;780,m_end,"&gt;"&amp;720),INDEX(m_label,_xlfn.MAXIFS(m_row,m_teacher,BC$4,m_date,($G$2+27),m_active,1,m_start,"&lt;"&amp;780,m_end,"&gt;"&amp;720))))))</f>
        <v/>
      </c>
      <c r="BD74" s="82" t="str">
        <f aca="false">IF(OR(BD$4="",MONTH(($G$2+27))&lt;&gt;MONTH($C$2)),"",IF(COUNTIFS(m_teacher,BD$4,m_date,($G$2+27),m_active,1,m_start,"&lt;"&amp;780,m_end,"&gt;"&amp;720)=0,"",IF(COUNTIFS(m_teacher,BD$4,m_date,($G$2+27),m_active,1,m_start,"&lt;"&amp;780,m_end,"&gt;"&amp;720)&gt;1,"충돌",HYPERLINK("#'관리자_MASTER'!D"&amp;_xlfn.MAXIFS(m_row,m_teacher,BD$4,m_date,($G$2+27),m_active,1,m_start,"&lt;"&amp;780,m_end,"&gt;"&amp;720),INDEX(m_label,_xlfn.MAXIFS(m_row,m_teacher,BD$4,m_date,($G$2+27),m_active,1,m_start,"&lt;"&amp;780,m_end,"&gt;"&amp;720))))))</f>
        <v/>
      </c>
    </row>
    <row r="75" customFormat="false" ht="19.5" hidden="false" customHeight="true" outlineLevel="0" collapsed="false">
      <c r="A75" s="92"/>
      <c r="B75" s="79" t="s">
        <v>95</v>
      </c>
      <c r="C75" s="82" t="str">
        <f aca="false">IF(OR(C$4="",MONTH(($G$2+6))&lt;&gt;MONTH($C$2)),"",IF(COUNTIFS(m_teacher,C$4,m_date,($G$2+6),m_active,1,m_start,"&lt;"&amp;840,m_end,"&gt;"&amp;780)=0,"",IF(COUNTIFS(m_teacher,C$4,m_date,($G$2+6),m_active,1,m_start,"&lt;"&amp;840,m_end,"&gt;"&amp;780)&gt;1,"충돌",HYPERLINK("#'관리자_MASTER'!D"&amp;_xlfn.MAXIFS(m_row,m_teacher,C$4,m_date,($G$2+6),m_active,1,m_start,"&lt;"&amp;840,m_end,"&gt;"&amp;780),INDEX(m_label,_xlfn.MAXIFS(m_row,m_teacher,C$4,m_date,($G$2+6),m_active,1,m_start,"&lt;"&amp;840,m_end,"&gt;"&amp;780))))))</f>
        <v/>
      </c>
      <c r="D75" s="82" t="str">
        <f aca="false">IF(OR(D$4="",MONTH(($G$2+6))&lt;&gt;MONTH($C$2)),"",IF(COUNTIFS(m_teacher,D$4,m_date,($G$2+6),m_active,1,m_start,"&lt;"&amp;840,m_end,"&gt;"&amp;780)=0,"",IF(COUNTIFS(m_teacher,D$4,m_date,($G$2+6),m_active,1,m_start,"&lt;"&amp;840,m_end,"&gt;"&amp;780)&gt;1,"충돌",HYPERLINK("#'관리자_MASTER'!D"&amp;_xlfn.MAXIFS(m_row,m_teacher,D$4,m_date,($G$2+6),m_active,1,m_start,"&lt;"&amp;840,m_end,"&gt;"&amp;780),INDEX(m_label,_xlfn.MAXIFS(m_row,m_teacher,D$4,m_date,($G$2+6),m_active,1,m_start,"&lt;"&amp;840,m_end,"&gt;"&amp;780))))))</f>
        <v/>
      </c>
      <c r="E75" s="82" t="str">
        <f aca="false">IF(OR(E$4="",MONTH(($G$2+6))&lt;&gt;MONTH($C$2)),"",IF(COUNTIFS(m_teacher,E$4,m_date,($G$2+6),m_active,1,m_start,"&lt;"&amp;840,m_end,"&gt;"&amp;780)=0,"",IF(COUNTIFS(m_teacher,E$4,m_date,($G$2+6),m_active,1,m_start,"&lt;"&amp;840,m_end,"&gt;"&amp;780)&gt;1,"충돌",HYPERLINK("#'관리자_MASTER'!D"&amp;_xlfn.MAXIFS(m_row,m_teacher,E$4,m_date,($G$2+6),m_active,1,m_start,"&lt;"&amp;840,m_end,"&gt;"&amp;780),INDEX(m_label,_xlfn.MAXIFS(m_row,m_teacher,E$4,m_date,($G$2+6),m_active,1,m_start,"&lt;"&amp;840,m_end,"&gt;"&amp;780))))))</f>
        <v/>
      </c>
      <c r="F75" s="82" t="str">
        <f aca="false">IF(OR(F$4="",MONTH(($G$2+6))&lt;&gt;MONTH($C$2)),"",IF(COUNTIFS(m_teacher,F$4,m_date,($G$2+6),m_active,1,m_start,"&lt;"&amp;840,m_end,"&gt;"&amp;780)=0,"",IF(COUNTIFS(m_teacher,F$4,m_date,($G$2+6),m_active,1,m_start,"&lt;"&amp;840,m_end,"&gt;"&amp;780)&gt;1,"충돌",HYPERLINK("#'관리자_MASTER'!D"&amp;_xlfn.MAXIFS(m_row,m_teacher,F$4,m_date,($G$2+6),m_active,1,m_start,"&lt;"&amp;840,m_end,"&gt;"&amp;780),INDEX(m_label,_xlfn.MAXIFS(m_row,m_teacher,F$4,m_date,($G$2+6),m_active,1,m_start,"&lt;"&amp;840,m_end,"&gt;"&amp;780))))))</f>
        <v/>
      </c>
      <c r="G75" s="82" t="str">
        <f aca="false">IF(OR(G$4="",MONTH(($G$2+6))&lt;&gt;MONTH($C$2)),"",IF(COUNTIFS(m_teacher,G$4,m_date,($G$2+6),m_active,1,m_start,"&lt;"&amp;840,m_end,"&gt;"&amp;780)=0,"",IF(COUNTIFS(m_teacher,G$4,m_date,($G$2+6),m_active,1,m_start,"&lt;"&amp;840,m_end,"&gt;"&amp;780)&gt;1,"충돌",HYPERLINK("#'관리자_MASTER'!D"&amp;_xlfn.MAXIFS(m_row,m_teacher,G$4,m_date,($G$2+6),m_active,1,m_start,"&lt;"&amp;840,m_end,"&gt;"&amp;780),INDEX(m_label,_xlfn.MAXIFS(m_row,m_teacher,G$4,m_date,($G$2+6),m_active,1,m_start,"&lt;"&amp;840,m_end,"&gt;"&amp;780))))))</f>
        <v/>
      </c>
      <c r="H75" s="82" t="str">
        <f aca="false">IF(OR(H$4="",MONTH(($G$2+6))&lt;&gt;MONTH($C$2)),"",IF(COUNTIFS(m_teacher,H$4,m_date,($G$2+6),m_active,1,m_start,"&lt;"&amp;840,m_end,"&gt;"&amp;780)=0,"",IF(COUNTIFS(m_teacher,H$4,m_date,($G$2+6),m_active,1,m_start,"&lt;"&amp;840,m_end,"&gt;"&amp;780)&gt;1,"충돌",HYPERLINK("#'관리자_MASTER'!D"&amp;_xlfn.MAXIFS(m_row,m_teacher,H$4,m_date,($G$2+6),m_active,1,m_start,"&lt;"&amp;840,m_end,"&gt;"&amp;780),INDEX(m_label,_xlfn.MAXIFS(m_row,m_teacher,H$4,m_date,($G$2+6),m_active,1,m_start,"&lt;"&amp;840,m_end,"&gt;"&amp;780))))))</f>
        <v/>
      </c>
      <c r="I75" s="82" t="str">
        <f aca="false">IF(OR(I$4="",MONTH(($G$2+6))&lt;&gt;MONTH($C$2)),"",IF(COUNTIFS(m_teacher,I$4,m_date,($G$2+6),m_active,1,m_start,"&lt;"&amp;840,m_end,"&gt;"&amp;780)=0,"",IF(COUNTIFS(m_teacher,I$4,m_date,($G$2+6),m_active,1,m_start,"&lt;"&amp;840,m_end,"&gt;"&amp;780)&gt;1,"충돌",HYPERLINK("#'관리자_MASTER'!D"&amp;_xlfn.MAXIFS(m_row,m_teacher,I$4,m_date,($G$2+6),m_active,1,m_start,"&lt;"&amp;840,m_end,"&gt;"&amp;780),INDEX(m_label,_xlfn.MAXIFS(m_row,m_teacher,I$4,m_date,($G$2+6),m_active,1,m_start,"&lt;"&amp;840,m_end,"&gt;"&amp;780))))))</f>
        <v/>
      </c>
      <c r="J75" s="82" t="str">
        <f aca="false">IF(OR(J$4="",MONTH(($G$2+6))&lt;&gt;MONTH($C$2)),"",IF(COUNTIFS(m_teacher,J$4,m_date,($G$2+6),m_active,1,m_start,"&lt;"&amp;840,m_end,"&gt;"&amp;780)=0,"",IF(COUNTIFS(m_teacher,J$4,m_date,($G$2+6),m_active,1,m_start,"&lt;"&amp;840,m_end,"&gt;"&amp;780)&gt;1,"충돌",HYPERLINK("#'관리자_MASTER'!D"&amp;_xlfn.MAXIFS(m_row,m_teacher,J$4,m_date,($G$2+6),m_active,1,m_start,"&lt;"&amp;840,m_end,"&gt;"&amp;780),INDEX(m_label,_xlfn.MAXIFS(m_row,m_teacher,J$4,m_date,($G$2+6),m_active,1,m_start,"&lt;"&amp;840,m_end,"&gt;"&amp;780))))))</f>
        <v/>
      </c>
      <c r="K75" s="82" t="str">
        <f aca="false">IF(OR(K$4="",MONTH(($G$2+6))&lt;&gt;MONTH($C$2)),"",IF(COUNTIFS(m_teacher,K$4,m_date,($G$2+6),m_active,1,m_start,"&lt;"&amp;840,m_end,"&gt;"&amp;780)=0,"",IF(COUNTIFS(m_teacher,K$4,m_date,($G$2+6),m_active,1,m_start,"&lt;"&amp;840,m_end,"&gt;"&amp;780)&gt;1,"충돌",HYPERLINK("#'관리자_MASTER'!D"&amp;_xlfn.MAXIFS(m_row,m_teacher,K$4,m_date,($G$2+6),m_active,1,m_start,"&lt;"&amp;840,m_end,"&gt;"&amp;780),INDEX(m_label,_xlfn.MAXIFS(m_row,m_teacher,K$4,m_date,($G$2+6),m_active,1,m_start,"&lt;"&amp;840,m_end,"&gt;"&amp;780))))))</f>
        <v/>
      </c>
      <c r="L75" s="82" t="str">
        <f aca="false">IF(OR(L$4="",MONTH(($G$2+6))&lt;&gt;MONTH($C$2)),"",IF(COUNTIFS(m_teacher,L$4,m_date,($G$2+6),m_active,1,m_start,"&lt;"&amp;840,m_end,"&gt;"&amp;780)=0,"",IF(COUNTIFS(m_teacher,L$4,m_date,($G$2+6),m_active,1,m_start,"&lt;"&amp;840,m_end,"&gt;"&amp;780)&gt;1,"충돌",HYPERLINK("#'관리자_MASTER'!D"&amp;_xlfn.MAXIFS(m_row,m_teacher,L$4,m_date,($G$2+6),m_active,1,m_start,"&lt;"&amp;840,m_end,"&gt;"&amp;780),INDEX(m_label,_xlfn.MAXIFS(m_row,m_teacher,L$4,m_date,($G$2+6),m_active,1,m_start,"&lt;"&amp;840,m_end,"&gt;"&amp;780))))))</f>
        <v/>
      </c>
      <c r="M75" s="82" t="str">
        <f aca="false">IF(OR(M$4="",MONTH(($G$2+6))&lt;&gt;MONTH($C$2)),"",IF(COUNTIFS(m_teacher,M$4,m_date,($G$2+6),m_active,1,m_start,"&lt;"&amp;840,m_end,"&gt;"&amp;780)=0,"",IF(COUNTIFS(m_teacher,M$4,m_date,($G$2+6),m_active,1,m_start,"&lt;"&amp;840,m_end,"&gt;"&amp;780)&gt;1,"충돌",HYPERLINK("#'관리자_MASTER'!D"&amp;_xlfn.MAXIFS(m_row,m_teacher,M$4,m_date,($G$2+6),m_active,1,m_start,"&lt;"&amp;840,m_end,"&gt;"&amp;780),INDEX(m_label,_xlfn.MAXIFS(m_row,m_teacher,M$4,m_date,($G$2+6),m_active,1,m_start,"&lt;"&amp;840,m_end,"&gt;"&amp;780))))))</f>
        <v/>
      </c>
      <c r="N75" s="82" t="str">
        <f aca="false">IF(OR(N$4="",MONTH(($G$2+6))&lt;&gt;MONTH($C$2)),"",IF(COUNTIFS(m_teacher,N$4,m_date,($G$2+6),m_active,1,m_start,"&lt;"&amp;840,m_end,"&gt;"&amp;780)=0,"",IF(COUNTIFS(m_teacher,N$4,m_date,($G$2+6),m_active,1,m_start,"&lt;"&amp;840,m_end,"&gt;"&amp;780)&gt;1,"충돌",HYPERLINK("#'관리자_MASTER'!D"&amp;_xlfn.MAXIFS(m_row,m_teacher,N$4,m_date,($G$2+6),m_active,1,m_start,"&lt;"&amp;840,m_end,"&gt;"&amp;780),INDEX(m_label,_xlfn.MAXIFS(m_row,m_teacher,N$4,m_date,($G$2+6),m_active,1,m_start,"&lt;"&amp;840,m_end,"&gt;"&amp;780))))))</f>
        <v/>
      </c>
      <c r="O75" s="92"/>
      <c r="P75" s="79" t="s">
        <v>95</v>
      </c>
      <c r="Q75" s="82" t="str">
        <f aca="false">IF(OR(Q$4="",MONTH(($G$2+13))&lt;&gt;MONTH($C$2)),"",IF(COUNTIFS(m_teacher,Q$4,m_date,($G$2+13),m_active,1,m_start,"&lt;"&amp;840,m_end,"&gt;"&amp;780)=0,"",IF(COUNTIFS(m_teacher,Q$4,m_date,($G$2+13),m_active,1,m_start,"&lt;"&amp;840,m_end,"&gt;"&amp;780)&gt;1,"충돌",HYPERLINK("#'관리자_MASTER'!D"&amp;_xlfn.MAXIFS(m_row,m_teacher,Q$4,m_date,($G$2+13),m_active,1,m_start,"&lt;"&amp;840,m_end,"&gt;"&amp;780),INDEX(m_label,_xlfn.MAXIFS(m_row,m_teacher,Q$4,m_date,($G$2+13),m_active,1,m_start,"&lt;"&amp;840,m_end,"&gt;"&amp;780))))))</f>
        <v/>
      </c>
      <c r="R75" s="82" t="str">
        <f aca="false">IF(OR(R$4="",MONTH(($G$2+13))&lt;&gt;MONTH($C$2)),"",IF(COUNTIFS(m_teacher,R$4,m_date,($G$2+13),m_active,1,m_start,"&lt;"&amp;840,m_end,"&gt;"&amp;780)=0,"",IF(COUNTIFS(m_teacher,R$4,m_date,($G$2+13),m_active,1,m_start,"&lt;"&amp;840,m_end,"&gt;"&amp;780)&gt;1,"충돌",HYPERLINK("#'관리자_MASTER'!D"&amp;_xlfn.MAXIFS(m_row,m_teacher,R$4,m_date,($G$2+13),m_active,1,m_start,"&lt;"&amp;840,m_end,"&gt;"&amp;780),INDEX(m_label,_xlfn.MAXIFS(m_row,m_teacher,R$4,m_date,($G$2+13),m_active,1,m_start,"&lt;"&amp;840,m_end,"&gt;"&amp;780))))))</f>
        <v/>
      </c>
      <c r="S75" s="82" t="str">
        <f aca="false">IF(OR(S$4="",MONTH(($G$2+13))&lt;&gt;MONTH($C$2)),"",IF(COUNTIFS(m_teacher,S$4,m_date,($G$2+13),m_active,1,m_start,"&lt;"&amp;840,m_end,"&gt;"&amp;780)=0,"",IF(COUNTIFS(m_teacher,S$4,m_date,($G$2+13),m_active,1,m_start,"&lt;"&amp;840,m_end,"&gt;"&amp;780)&gt;1,"충돌",HYPERLINK("#'관리자_MASTER'!D"&amp;_xlfn.MAXIFS(m_row,m_teacher,S$4,m_date,($G$2+13),m_active,1,m_start,"&lt;"&amp;840,m_end,"&gt;"&amp;780),INDEX(m_label,_xlfn.MAXIFS(m_row,m_teacher,S$4,m_date,($G$2+13),m_active,1,m_start,"&lt;"&amp;840,m_end,"&gt;"&amp;780))))))</f>
        <v/>
      </c>
      <c r="T75" s="82" t="str">
        <f aca="false">IF(OR(T$4="",MONTH(($G$2+13))&lt;&gt;MONTH($C$2)),"",IF(COUNTIFS(m_teacher,T$4,m_date,($G$2+13),m_active,1,m_start,"&lt;"&amp;840,m_end,"&gt;"&amp;780)=0,"",IF(COUNTIFS(m_teacher,T$4,m_date,($G$2+13),m_active,1,m_start,"&lt;"&amp;840,m_end,"&gt;"&amp;780)&gt;1,"충돌",HYPERLINK("#'관리자_MASTER'!D"&amp;_xlfn.MAXIFS(m_row,m_teacher,T$4,m_date,($G$2+13),m_active,1,m_start,"&lt;"&amp;840,m_end,"&gt;"&amp;780),INDEX(m_label,_xlfn.MAXIFS(m_row,m_teacher,T$4,m_date,($G$2+13),m_active,1,m_start,"&lt;"&amp;840,m_end,"&gt;"&amp;780))))))</f>
        <v/>
      </c>
      <c r="U75" s="82" t="str">
        <f aca="false">IF(OR(U$4="",MONTH(($G$2+13))&lt;&gt;MONTH($C$2)),"",IF(COUNTIFS(m_teacher,U$4,m_date,($G$2+13),m_active,1,m_start,"&lt;"&amp;840,m_end,"&gt;"&amp;780)=0,"",IF(COUNTIFS(m_teacher,U$4,m_date,($G$2+13),m_active,1,m_start,"&lt;"&amp;840,m_end,"&gt;"&amp;780)&gt;1,"충돌",HYPERLINK("#'관리자_MASTER'!D"&amp;_xlfn.MAXIFS(m_row,m_teacher,U$4,m_date,($G$2+13),m_active,1,m_start,"&lt;"&amp;840,m_end,"&gt;"&amp;780),INDEX(m_label,_xlfn.MAXIFS(m_row,m_teacher,U$4,m_date,($G$2+13),m_active,1,m_start,"&lt;"&amp;840,m_end,"&gt;"&amp;780))))))</f>
        <v/>
      </c>
      <c r="V75" s="82" t="str">
        <f aca="false">IF(OR(V$4="",MONTH(($G$2+13))&lt;&gt;MONTH($C$2)),"",IF(COUNTIFS(m_teacher,V$4,m_date,($G$2+13),m_active,1,m_start,"&lt;"&amp;840,m_end,"&gt;"&amp;780)=0,"",IF(COUNTIFS(m_teacher,V$4,m_date,($G$2+13),m_active,1,m_start,"&lt;"&amp;840,m_end,"&gt;"&amp;780)&gt;1,"충돌",HYPERLINK("#'관리자_MASTER'!D"&amp;_xlfn.MAXIFS(m_row,m_teacher,V$4,m_date,($G$2+13),m_active,1,m_start,"&lt;"&amp;840,m_end,"&gt;"&amp;780),INDEX(m_label,_xlfn.MAXIFS(m_row,m_teacher,V$4,m_date,($G$2+13),m_active,1,m_start,"&lt;"&amp;840,m_end,"&gt;"&amp;780))))))</f>
        <v/>
      </c>
      <c r="W75" s="82" t="str">
        <f aca="false">IF(OR(W$4="",MONTH(($G$2+13))&lt;&gt;MONTH($C$2)),"",IF(COUNTIFS(m_teacher,W$4,m_date,($G$2+13),m_active,1,m_start,"&lt;"&amp;840,m_end,"&gt;"&amp;780)=0,"",IF(COUNTIFS(m_teacher,W$4,m_date,($G$2+13),m_active,1,m_start,"&lt;"&amp;840,m_end,"&gt;"&amp;780)&gt;1,"충돌",HYPERLINK("#'관리자_MASTER'!D"&amp;_xlfn.MAXIFS(m_row,m_teacher,W$4,m_date,($G$2+13),m_active,1,m_start,"&lt;"&amp;840,m_end,"&gt;"&amp;780),INDEX(m_label,_xlfn.MAXIFS(m_row,m_teacher,W$4,m_date,($G$2+13),m_active,1,m_start,"&lt;"&amp;840,m_end,"&gt;"&amp;780))))))</f>
        <v/>
      </c>
      <c r="X75" s="82" t="str">
        <f aca="false">IF(OR(X$4="",MONTH(($G$2+13))&lt;&gt;MONTH($C$2)),"",IF(COUNTIFS(m_teacher,X$4,m_date,($G$2+13),m_active,1,m_start,"&lt;"&amp;840,m_end,"&gt;"&amp;780)=0,"",IF(COUNTIFS(m_teacher,X$4,m_date,($G$2+13),m_active,1,m_start,"&lt;"&amp;840,m_end,"&gt;"&amp;780)&gt;1,"충돌",HYPERLINK("#'관리자_MASTER'!D"&amp;_xlfn.MAXIFS(m_row,m_teacher,X$4,m_date,($G$2+13),m_active,1,m_start,"&lt;"&amp;840,m_end,"&gt;"&amp;780),INDEX(m_label,_xlfn.MAXIFS(m_row,m_teacher,X$4,m_date,($G$2+13),m_active,1,m_start,"&lt;"&amp;840,m_end,"&gt;"&amp;780))))))</f>
        <v/>
      </c>
      <c r="Y75" s="82" t="str">
        <f aca="false">IF(OR(Y$4="",MONTH(($G$2+13))&lt;&gt;MONTH($C$2)),"",IF(COUNTIFS(m_teacher,Y$4,m_date,($G$2+13),m_active,1,m_start,"&lt;"&amp;840,m_end,"&gt;"&amp;780)=0,"",IF(COUNTIFS(m_teacher,Y$4,m_date,($G$2+13),m_active,1,m_start,"&lt;"&amp;840,m_end,"&gt;"&amp;780)&gt;1,"충돌",HYPERLINK("#'관리자_MASTER'!D"&amp;_xlfn.MAXIFS(m_row,m_teacher,Y$4,m_date,($G$2+13),m_active,1,m_start,"&lt;"&amp;840,m_end,"&gt;"&amp;780),INDEX(m_label,_xlfn.MAXIFS(m_row,m_teacher,Y$4,m_date,($G$2+13),m_active,1,m_start,"&lt;"&amp;840,m_end,"&gt;"&amp;780))))))</f>
        <v/>
      </c>
      <c r="Z75" s="82" t="str">
        <f aca="false">IF(OR(Z$4="",MONTH(($G$2+13))&lt;&gt;MONTH($C$2)),"",IF(COUNTIFS(m_teacher,Z$4,m_date,($G$2+13),m_active,1,m_start,"&lt;"&amp;840,m_end,"&gt;"&amp;780)=0,"",IF(COUNTIFS(m_teacher,Z$4,m_date,($G$2+13),m_active,1,m_start,"&lt;"&amp;840,m_end,"&gt;"&amp;780)&gt;1,"충돌",HYPERLINK("#'관리자_MASTER'!D"&amp;_xlfn.MAXIFS(m_row,m_teacher,Z$4,m_date,($G$2+13),m_active,1,m_start,"&lt;"&amp;840,m_end,"&gt;"&amp;780),INDEX(m_label,_xlfn.MAXIFS(m_row,m_teacher,Z$4,m_date,($G$2+13),m_active,1,m_start,"&lt;"&amp;840,m_end,"&gt;"&amp;780))))))</f>
        <v/>
      </c>
      <c r="AA75" s="82" t="str">
        <f aca="false">IF(OR(AA$4="",MONTH(($G$2+13))&lt;&gt;MONTH($C$2)),"",IF(COUNTIFS(m_teacher,AA$4,m_date,($G$2+13),m_active,1,m_start,"&lt;"&amp;840,m_end,"&gt;"&amp;780)=0,"",IF(COUNTIFS(m_teacher,AA$4,m_date,($G$2+13),m_active,1,m_start,"&lt;"&amp;840,m_end,"&gt;"&amp;780)&gt;1,"충돌",HYPERLINK("#'관리자_MASTER'!D"&amp;_xlfn.MAXIFS(m_row,m_teacher,AA$4,m_date,($G$2+13),m_active,1,m_start,"&lt;"&amp;840,m_end,"&gt;"&amp;780),INDEX(m_label,_xlfn.MAXIFS(m_row,m_teacher,AA$4,m_date,($G$2+13),m_active,1,m_start,"&lt;"&amp;840,m_end,"&gt;"&amp;780))))))</f>
        <v/>
      </c>
      <c r="AB75" s="82" t="str">
        <f aca="false">IF(OR(AB$4="",MONTH(($G$2+13))&lt;&gt;MONTH($C$2)),"",IF(COUNTIFS(m_teacher,AB$4,m_date,($G$2+13),m_active,1,m_start,"&lt;"&amp;840,m_end,"&gt;"&amp;780)=0,"",IF(COUNTIFS(m_teacher,AB$4,m_date,($G$2+13),m_active,1,m_start,"&lt;"&amp;840,m_end,"&gt;"&amp;780)&gt;1,"충돌",HYPERLINK("#'관리자_MASTER'!D"&amp;_xlfn.MAXIFS(m_row,m_teacher,AB$4,m_date,($G$2+13),m_active,1,m_start,"&lt;"&amp;840,m_end,"&gt;"&amp;780),INDEX(m_label,_xlfn.MAXIFS(m_row,m_teacher,AB$4,m_date,($G$2+13),m_active,1,m_start,"&lt;"&amp;840,m_end,"&gt;"&amp;780))))))</f>
        <v/>
      </c>
      <c r="AC75" s="92"/>
      <c r="AD75" s="79" t="s">
        <v>95</v>
      </c>
      <c r="AE75" s="82" t="str">
        <f aca="false">IF(OR(AE$4="",MONTH(($G$2+20))&lt;&gt;MONTH($C$2)),"",IF(COUNTIFS(m_teacher,AE$4,m_date,($G$2+20),m_active,1,m_start,"&lt;"&amp;840,m_end,"&gt;"&amp;780)=0,"",IF(COUNTIFS(m_teacher,AE$4,m_date,($G$2+20),m_active,1,m_start,"&lt;"&amp;840,m_end,"&gt;"&amp;780)&gt;1,"충돌",HYPERLINK("#'관리자_MASTER'!D"&amp;_xlfn.MAXIFS(m_row,m_teacher,AE$4,m_date,($G$2+20),m_active,1,m_start,"&lt;"&amp;840,m_end,"&gt;"&amp;780),INDEX(m_label,_xlfn.MAXIFS(m_row,m_teacher,AE$4,m_date,($G$2+20),m_active,1,m_start,"&lt;"&amp;840,m_end,"&gt;"&amp;780))))))</f>
        <v/>
      </c>
      <c r="AF75" s="82" t="str">
        <f aca="false">IF(OR(AF$4="",MONTH(($G$2+20))&lt;&gt;MONTH($C$2)),"",IF(COUNTIFS(m_teacher,AF$4,m_date,($G$2+20),m_active,1,m_start,"&lt;"&amp;840,m_end,"&gt;"&amp;780)=0,"",IF(COUNTIFS(m_teacher,AF$4,m_date,($G$2+20),m_active,1,m_start,"&lt;"&amp;840,m_end,"&gt;"&amp;780)&gt;1,"충돌",HYPERLINK("#'관리자_MASTER'!D"&amp;_xlfn.MAXIFS(m_row,m_teacher,AF$4,m_date,($G$2+20),m_active,1,m_start,"&lt;"&amp;840,m_end,"&gt;"&amp;780),INDEX(m_label,_xlfn.MAXIFS(m_row,m_teacher,AF$4,m_date,($G$2+20),m_active,1,m_start,"&lt;"&amp;840,m_end,"&gt;"&amp;780))))))</f>
        <v/>
      </c>
      <c r="AG75" s="82" t="str">
        <f aca="false">IF(OR(AG$4="",MONTH(($G$2+20))&lt;&gt;MONTH($C$2)),"",IF(COUNTIFS(m_teacher,AG$4,m_date,($G$2+20),m_active,1,m_start,"&lt;"&amp;840,m_end,"&gt;"&amp;780)=0,"",IF(COUNTIFS(m_teacher,AG$4,m_date,($G$2+20),m_active,1,m_start,"&lt;"&amp;840,m_end,"&gt;"&amp;780)&gt;1,"충돌",HYPERLINK("#'관리자_MASTER'!D"&amp;_xlfn.MAXIFS(m_row,m_teacher,AG$4,m_date,($G$2+20),m_active,1,m_start,"&lt;"&amp;840,m_end,"&gt;"&amp;780),INDEX(m_label,_xlfn.MAXIFS(m_row,m_teacher,AG$4,m_date,($G$2+20),m_active,1,m_start,"&lt;"&amp;840,m_end,"&gt;"&amp;780))))))</f>
        <v/>
      </c>
      <c r="AH75" s="82" t="str">
        <f aca="false">IF(OR(AH$4="",MONTH(($G$2+20))&lt;&gt;MONTH($C$2)),"",IF(COUNTIFS(m_teacher,AH$4,m_date,($G$2+20),m_active,1,m_start,"&lt;"&amp;840,m_end,"&gt;"&amp;780)=0,"",IF(COUNTIFS(m_teacher,AH$4,m_date,($G$2+20),m_active,1,m_start,"&lt;"&amp;840,m_end,"&gt;"&amp;780)&gt;1,"충돌",HYPERLINK("#'관리자_MASTER'!D"&amp;_xlfn.MAXIFS(m_row,m_teacher,AH$4,m_date,($G$2+20),m_active,1,m_start,"&lt;"&amp;840,m_end,"&gt;"&amp;780),INDEX(m_label,_xlfn.MAXIFS(m_row,m_teacher,AH$4,m_date,($G$2+20),m_active,1,m_start,"&lt;"&amp;840,m_end,"&gt;"&amp;780))))))</f>
        <v/>
      </c>
      <c r="AI75" s="82" t="str">
        <f aca="false">IF(OR(AI$4="",MONTH(($G$2+20))&lt;&gt;MONTH($C$2)),"",IF(COUNTIFS(m_teacher,AI$4,m_date,($G$2+20),m_active,1,m_start,"&lt;"&amp;840,m_end,"&gt;"&amp;780)=0,"",IF(COUNTIFS(m_teacher,AI$4,m_date,($G$2+20),m_active,1,m_start,"&lt;"&amp;840,m_end,"&gt;"&amp;780)&gt;1,"충돌",HYPERLINK("#'관리자_MASTER'!D"&amp;_xlfn.MAXIFS(m_row,m_teacher,AI$4,m_date,($G$2+20),m_active,1,m_start,"&lt;"&amp;840,m_end,"&gt;"&amp;780),INDEX(m_label,_xlfn.MAXIFS(m_row,m_teacher,AI$4,m_date,($G$2+20),m_active,1,m_start,"&lt;"&amp;840,m_end,"&gt;"&amp;780))))))</f>
        <v/>
      </c>
      <c r="AJ75" s="82" t="str">
        <f aca="false">IF(OR(AJ$4="",MONTH(($G$2+20))&lt;&gt;MONTH($C$2)),"",IF(COUNTIFS(m_teacher,AJ$4,m_date,($G$2+20),m_active,1,m_start,"&lt;"&amp;840,m_end,"&gt;"&amp;780)=0,"",IF(COUNTIFS(m_teacher,AJ$4,m_date,($G$2+20),m_active,1,m_start,"&lt;"&amp;840,m_end,"&gt;"&amp;780)&gt;1,"충돌",HYPERLINK("#'관리자_MASTER'!D"&amp;_xlfn.MAXIFS(m_row,m_teacher,AJ$4,m_date,($G$2+20),m_active,1,m_start,"&lt;"&amp;840,m_end,"&gt;"&amp;780),INDEX(m_label,_xlfn.MAXIFS(m_row,m_teacher,AJ$4,m_date,($G$2+20),m_active,1,m_start,"&lt;"&amp;840,m_end,"&gt;"&amp;780))))))</f>
        <v/>
      </c>
      <c r="AK75" s="82" t="str">
        <f aca="false">IF(OR(AK$4="",MONTH(($G$2+20))&lt;&gt;MONTH($C$2)),"",IF(COUNTIFS(m_teacher,AK$4,m_date,($G$2+20),m_active,1,m_start,"&lt;"&amp;840,m_end,"&gt;"&amp;780)=0,"",IF(COUNTIFS(m_teacher,AK$4,m_date,($G$2+20),m_active,1,m_start,"&lt;"&amp;840,m_end,"&gt;"&amp;780)&gt;1,"충돌",HYPERLINK("#'관리자_MASTER'!D"&amp;_xlfn.MAXIFS(m_row,m_teacher,AK$4,m_date,($G$2+20),m_active,1,m_start,"&lt;"&amp;840,m_end,"&gt;"&amp;780),INDEX(m_label,_xlfn.MAXIFS(m_row,m_teacher,AK$4,m_date,($G$2+20),m_active,1,m_start,"&lt;"&amp;840,m_end,"&gt;"&amp;780))))))</f>
        <v/>
      </c>
      <c r="AL75" s="82" t="str">
        <f aca="false">IF(OR(AL$4="",MONTH(($G$2+20))&lt;&gt;MONTH($C$2)),"",IF(COUNTIFS(m_teacher,AL$4,m_date,($G$2+20),m_active,1,m_start,"&lt;"&amp;840,m_end,"&gt;"&amp;780)=0,"",IF(COUNTIFS(m_teacher,AL$4,m_date,($G$2+20),m_active,1,m_start,"&lt;"&amp;840,m_end,"&gt;"&amp;780)&gt;1,"충돌",HYPERLINK("#'관리자_MASTER'!D"&amp;_xlfn.MAXIFS(m_row,m_teacher,AL$4,m_date,($G$2+20),m_active,1,m_start,"&lt;"&amp;840,m_end,"&gt;"&amp;780),INDEX(m_label,_xlfn.MAXIFS(m_row,m_teacher,AL$4,m_date,($G$2+20),m_active,1,m_start,"&lt;"&amp;840,m_end,"&gt;"&amp;780))))))</f>
        <v/>
      </c>
      <c r="AM75" s="82" t="str">
        <f aca="false">IF(OR(AM$4="",MONTH(($G$2+20))&lt;&gt;MONTH($C$2)),"",IF(COUNTIFS(m_teacher,AM$4,m_date,($G$2+20),m_active,1,m_start,"&lt;"&amp;840,m_end,"&gt;"&amp;780)=0,"",IF(COUNTIFS(m_teacher,AM$4,m_date,($G$2+20),m_active,1,m_start,"&lt;"&amp;840,m_end,"&gt;"&amp;780)&gt;1,"충돌",HYPERLINK("#'관리자_MASTER'!D"&amp;_xlfn.MAXIFS(m_row,m_teacher,AM$4,m_date,($G$2+20),m_active,1,m_start,"&lt;"&amp;840,m_end,"&gt;"&amp;780),INDEX(m_label,_xlfn.MAXIFS(m_row,m_teacher,AM$4,m_date,($G$2+20),m_active,1,m_start,"&lt;"&amp;840,m_end,"&gt;"&amp;780))))))</f>
        <v/>
      </c>
      <c r="AN75" s="82" t="str">
        <f aca="false">IF(OR(AN$4="",MONTH(($G$2+20))&lt;&gt;MONTH($C$2)),"",IF(COUNTIFS(m_teacher,AN$4,m_date,($G$2+20),m_active,1,m_start,"&lt;"&amp;840,m_end,"&gt;"&amp;780)=0,"",IF(COUNTIFS(m_teacher,AN$4,m_date,($G$2+20),m_active,1,m_start,"&lt;"&amp;840,m_end,"&gt;"&amp;780)&gt;1,"충돌",HYPERLINK("#'관리자_MASTER'!D"&amp;_xlfn.MAXIFS(m_row,m_teacher,AN$4,m_date,($G$2+20),m_active,1,m_start,"&lt;"&amp;840,m_end,"&gt;"&amp;780),INDEX(m_label,_xlfn.MAXIFS(m_row,m_teacher,AN$4,m_date,($G$2+20),m_active,1,m_start,"&lt;"&amp;840,m_end,"&gt;"&amp;780))))))</f>
        <v/>
      </c>
      <c r="AO75" s="82" t="str">
        <f aca="false">IF(OR(AO$4="",MONTH(($G$2+20))&lt;&gt;MONTH($C$2)),"",IF(COUNTIFS(m_teacher,AO$4,m_date,($G$2+20),m_active,1,m_start,"&lt;"&amp;840,m_end,"&gt;"&amp;780)=0,"",IF(COUNTIFS(m_teacher,AO$4,m_date,($G$2+20),m_active,1,m_start,"&lt;"&amp;840,m_end,"&gt;"&amp;780)&gt;1,"충돌",HYPERLINK("#'관리자_MASTER'!D"&amp;_xlfn.MAXIFS(m_row,m_teacher,AO$4,m_date,($G$2+20),m_active,1,m_start,"&lt;"&amp;840,m_end,"&gt;"&amp;780),INDEX(m_label,_xlfn.MAXIFS(m_row,m_teacher,AO$4,m_date,($G$2+20),m_active,1,m_start,"&lt;"&amp;840,m_end,"&gt;"&amp;780))))))</f>
        <v/>
      </c>
      <c r="AP75" s="82" t="str">
        <f aca="false">IF(OR(AP$4="",MONTH(($G$2+20))&lt;&gt;MONTH($C$2)),"",IF(COUNTIFS(m_teacher,AP$4,m_date,($G$2+20),m_active,1,m_start,"&lt;"&amp;840,m_end,"&gt;"&amp;780)=0,"",IF(COUNTIFS(m_teacher,AP$4,m_date,($G$2+20),m_active,1,m_start,"&lt;"&amp;840,m_end,"&gt;"&amp;780)&gt;1,"충돌",HYPERLINK("#'관리자_MASTER'!D"&amp;_xlfn.MAXIFS(m_row,m_teacher,AP$4,m_date,($G$2+20),m_active,1,m_start,"&lt;"&amp;840,m_end,"&gt;"&amp;780),INDEX(m_label,_xlfn.MAXIFS(m_row,m_teacher,AP$4,m_date,($G$2+20),m_active,1,m_start,"&lt;"&amp;840,m_end,"&gt;"&amp;780))))))</f>
        <v/>
      </c>
      <c r="AQ75" s="92"/>
      <c r="AR75" s="79" t="s">
        <v>95</v>
      </c>
      <c r="AS75" s="82" t="str">
        <f aca="false">IF(OR(AS$4="",MONTH(($G$2+27))&lt;&gt;MONTH($C$2)),"",IF(COUNTIFS(m_teacher,AS$4,m_date,($G$2+27),m_active,1,m_start,"&lt;"&amp;840,m_end,"&gt;"&amp;780)=0,"",IF(COUNTIFS(m_teacher,AS$4,m_date,($G$2+27),m_active,1,m_start,"&lt;"&amp;840,m_end,"&gt;"&amp;780)&gt;1,"충돌",HYPERLINK("#'관리자_MASTER'!D"&amp;_xlfn.MAXIFS(m_row,m_teacher,AS$4,m_date,($G$2+27),m_active,1,m_start,"&lt;"&amp;840,m_end,"&gt;"&amp;780),INDEX(m_label,_xlfn.MAXIFS(m_row,m_teacher,AS$4,m_date,($G$2+27),m_active,1,m_start,"&lt;"&amp;840,m_end,"&gt;"&amp;780))))))</f>
        <v/>
      </c>
      <c r="AT75" s="82" t="str">
        <f aca="false">IF(OR(AT$4="",MONTH(($G$2+27))&lt;&gt;MONTH($C$2)),"",IF(COUNTIFS(m_teacher,AT$4,m_date,($G$2+27),m_active,1,m_start,"&lt;"&amp;840,m_end,"&gt;"&amp;780)=0,"",IF(COUNTIFS(m_teacher,AT$4,m_date,($G$2+27),m_active,1,m_start,"&lt;"&amp;840,m_end,"&gt;"&amp;780)&gt;1,"충돌",HYPERLINK("#'관리자_MASTER'!D"&amp;_xlfn.MAXIFS(m_row,m_teacher,AT$4,m_date,($G$2+27),m_active,1,m_start,"&lt;"&amp;840,m_end,"&gt;"&amp;780),INDEX(m_label,_xlfn.MAXIFS(m_row,m_teacher,AT$4,m_date,($G$2+27),m_active,1,m_start,"&lt;"&amp;840,m_end,"&gt;"&amp;780))))))</f>
        <v/>
      </c>
      <c r="AU75" s="82" t="str">
        <f aca="false">IF(OR(AU$4="",MONTH(($G$2+27))&lt;&gt;MONTH($C$2)),"",IF(COUNTIFS(m_teacher,AU$4,m_date,($G$2+27),m_active,1,m_start,"&lt;"&amp;840,m_end,"&gt;"&amp;780)=0,"",IF(COUNTIFS(m_teacher,AU$4,m_date,($G$2+27),m_active,1,m_start,"&lt;"&amp;840,m_end,"&gt;"&amp;780)&gt;1,"충돌",HYPERLINK("#'관리자_MASTER'!D"&amp;_xlfn.MAXIFS(m_row,m_teacher,AU$4,m_date,($G$2+27),m_active,1,m_start,"&lt;"&amp;840,m_end,"&gt;"&amp;780),INDEX(m_label,_xlfn.MAXIFS(m_row,m_teacher,AU$4,m_date,($G$2+27),m_active,1,m_start,"&lt;"&amp;840,m_end,"&gt;"&amp;780))))))</f>
        <v/>
      </c>
      <c r="AV75" s="82" t="str">
        <f aca="false">IF(OR(AV$4="",MONTH(($G$2+27))&lt;&gt;MONTH($C$2)),"",IF(COUNTIFS(m_teacher,AV$4,m_date,($G$2+27),m_active,1,m_start,"&lt;"&amp;840,m_end,"&gt;"&amp;780)=0,"",IF(COUNTIFS(m_teacher,AV$4,m_date,($G$2+27),m_active,1,m_start,"&lt;"&amp;840,m_end,"&gt;"&amp;780)&gt;1,"충돌",HYPERLINK("#'관리자_MASTER'!D"&amp;_xlfn.MAXIFS(m_row,m_teacher,AV$4,m_date,($G$2+27),m_active,1,m_start,"&lt;"&amp;840,m_end,"&gt;"&amp;780),INDEX(m_label,_xlfn.MAXIFS(m_row,m_teacher,AV$4,m_date,($G$2+27),m_active,1,m_start,"&lt;"&amp;840,m_end,"&gt;"&amp;780))))))</f>
        <v/>
      </c>
      <c r="AW75" s="82" t="str">
        <f aca="false">IF(OR(AW$4="",MONTH(($G$2+27))&lt;&gt;MONTH($C$2)),"",IF(COUNTIFS(m_teacher,AW$4,m_date,($G$2+27),m_active,1,m_start,"&lt;"&amp;840,m_end,"&gt;"&amp;780)=0,"",IF(COUNTIFS(m_teacher,AW$4,m_date,($G$2+27),m_active,1,m_start,"&lt;"&amp;840,m_end,"&gt;"&amp;780)&gt;1,"충돌",HYPERLINK("#'관리자_MASTER'!D"&amp;_xlfn.MAXIFS(m_row,m_teacher,AW$4,m_date,($G$2+27),m_active,1,m_start,"&lt;"&amp;840,m_end,"&gt;"&amp;780),INDEX(m_label,_xlfn.MAXIFS(m_row,m_teacher,AW$4,m_date,($G$2+27),m_active,1,m_start,"&lt;"&amp;840,m_end,"&gt;"&amp;780))))))</f>
        <v/>
      </c>
      <c r="AX75" s="82" t="str">
        <f aca="false">IF(OR(AX$4="",MONTH(($G$2+27))&lt;&gt;MONTH($C$2)),"",IF(COUNTIFS(m_teacher,AX$4,m_date,($G$2+27),m_active,1,m_start,"&lt;"&amp;840,m_end,"&gt;"&amp;780)=0,"",IF(COUNTIFS(m_teacher,AX$4,m_date,($G$2+27),m_active,1,m_start,"&lt;"&amp;840,m_end,"&gt;"&amp;780)&gt;1,"충돌",HYPERLINK("#'관리자_MASTER'!D"&amp;_xlfn.MAXIFS(m_row,m_teacher,AX$4,m_date,($G$2+27),m_active,1,m_start,"&lt;"&amp;840,m_end,"&gt;"&amp;780),INDEX(m_label,_xlfn.MAXIFS(m_row,m_teacher,AX$4,m_date,($G$2+27),m_active,1,m_start,"&lt;"&amp;840,m_end,"&gt;"&amp;780))))))</f>
        <v/>
      </c>
      <c r="AY75" s="82" t="str">
        <f aca="false">IF(OR(AY$4="",MONTH(($G$2+27))&lt;&gt;MONTH($C$2)),"",IF(COUNTIFS(m_teacher,AY$4,m_date,($G$2+27),m_active,1,m_start,"&lt;"&amp;840,m_end,"&gt;"&amp;780)=0,"",IF(COUNTIFS(m_teacher,AY$4,m_date,($G$2+27),m_active,1,m_start,"&lt;"&amp;840,m_end,"&gt;"&amp;780)&gt;1,"충돌",HYPERLINK("#'관리자_MASTER'!D"&amp;_xlfn.MAXIFS(m_row,m_teacher,AY$4,m_date,($G$2+27),m_active,1,m_start,"&lt;"&amp;840,m_end,"&gt;"&amp;780),INDEX(m_label,_xlfn.MAXIFS(m_row,m_teacher,AY$4,m_date,($G$2+27),m_active,1,m_start,"&lt;"&amp;840,m_end,"&gt;"&amp;780))))))</f>
        <v/>
      </c>
      <c r="AZ75" s="82" t="str">
        <f aca="false">IF(OR(AZ$4="",MONTH(($G$2+27))&lt;&gt;MONTH($C$2)),"",IF(COUNTIFS(m_teacher,AZ$4,m_date,($G$2+27),m_active,1,m_start,"&lt;"&amp;840,m_end,"&gt;"&amp;780)=0,"",IF(COUNTIFS(m_teacher,AZ$4,m_date,($G$2+27),m_active,1,m_start,"&lt;"&amp;840,m_end,"&gt;"&amp;780)&gt;1,"충돌",HYPERLINK("#'관리자_MASTER'!D"&amp;_xlfn.MAXIFS(m_row,m_teacher,AZ$4,m_date,($G$2+27),m_active,1,m_start,"&lt;"&amp;840,m_end,"&gt;"&amp;780),INDEX(m_label,_xlfn.MAXIFS(m_row,m_teacher,AZ$4,m_date,($G$2+27),m_active,1,m_start,"&lt;"&amp;840,m_end,"&gt;"&amp;780))))))</f>
        <v/>
      </c>
      <c r="BA75" s="82" t="str">
        <f aca="false">IF(OR(BA$4="",MONTH(($G$2+27))&lt;&gt;MONTH($C$2)),"",IF(COUNTIFS(m_teacher,BA$4,m_date,($G$2+27),m_active,1,m_start,"&lt;"&amp;840,m_end,"&gt;"&amp;780)=0,"",IF(COUNTIFS(m_teacher,BA$4,m_date,($G$2+27),m_active,1,m_start,"&lt;"&amp;840,m_end,"&gt;"&amp;780)&gt;1,"충돌",HYPERLINK("#'관리자_MASTER'!D"&amp;_xlfn.MAXIFS(m_row,m_teacher,BA$4,m_date,($G$2+27),m_active,1,m_start,"&lt;"&amp;840,m_end,"&gt;"&amp;780),INDEX(m_label,_xlfn.MAXIFS(m_row,m_teacher,BA$4,m_date,($G$2+27),m_active,1,m_start,"&lt;"&amp;840,m_end,"&gt;"&amp;780))))))</f>
        <v/>
      </c>
      <c r="BB75" s="82" t="str">
        <f aca="false">IF(OR(BB$4="",MONTH(($G$2+27))&lt;&gt;MONTH($C$2)),"",IF(COUNTIFS(m_teacher,BB$4,m_date,($G$2+27),m_active,1,m_start,"&lt;"&amp;840,m_end,"&gt;"&amp;780)=0,"",IF(COUNTIFS(m_teacher,BB$4,m_date,($G$2+27),m_active,1,m_start,"&lt;"&amp;840,m_end,"&gt;"&amp;780)&gt;1,"충돌",HYPERLINK("#'관리자_MASTER'!D"&amp;_xlfn.MAXIFS(m_row,m_teacher,BB$4,m_date,($G$2+27),m_active,1,m_start,"&lt;"&amp;840,m_end,"&gt;"&amp;780),INDEX(m_label,_xlfn.MAXIFS(m_row,m_teacher,BB$4,m_date,($G$2+27),m_active,1,m_start,"&lt;"&amp;840,m_end,"&gt;"&amp;780))))))</f>
        <v/>
      </c>
      <c r="BC75" s="82" t="str">
        <f aca="false">IF(OR(BC$4="",MONTH(($G$2+27))&lt;&gt;MONTH($C$2)),"",IF(COUNTIFS(m_teacher,BC$4,m_date,($G$2+27),m_active,1,m_start,"&lt;"&amp;840,m_end,"&gt;"&amp;780)=0,"",IF(COUNTIFS(m_teacher,BC$4,m_date,($G$2+27),m_active,1,m_start,"&lt;"&amp;840,m_end,"&gt;"&amp;780)&gt;1,"충돌",HYPERLINK("#'관리자_MASTER'!D"&amp;_xlfn.MAXIFS(m_row,m_teacher,BC$4,m_date,($G$2+27),m_active,1,m_start,"&lt;"&amp;840,m_end,"&gt;"&amp;780),INDEX(m_label,_xlfn.MAXIFS(m_row,m_teacher,BC$4,m_date,($G$2+27),m_active,1,m_start,"&lt;"&amp;840,m_end,"&gt;"&amp;780))))))</f>
        <v/>
      </c>
      <c r="BD75" s="82" t="str">
        <f aca="false">IF(OR(BD$4="",MONTH(($G$2+27))&lt;&gt;MONTH($C$2)),"",IF(COUNTIFS(m_teacher,BD$4,m_date,($G$2+27),m_active,1,m_start,"&lt;"&amp;840,m_end,"&gt;"&amp;780)=0,"",IF(COUNTIFS(m_teacher,BD$4,m_date,($G$2+27),m_active,1,m_start,"&lt;"&amp;840,m_end,"&gt;"&amp;780)&gt;1,"충돌",HYPERLINK("#'관리자_MASTER'!D"&amp;_xlfn.MAXIFS(m_row,m_teacher,BD$4,m_date,($G$2+27),m_active,1,m_start,"&lt;"&amp;840,m_end,"&gt;"&amp;780),INDEX(m_label,_xlfn.MAXIFS(m_row,m_teacher,BD$4,m_date,($G$2+27),m_active,1,m_start,"&lt;"&amp;840,m_end,"&gt;"&amp;780))))))</f>
        <v/>
      </c>
    </row>
    <row r="76" customFormat="false" ht="19.5" hidden="false" customHeight="true" outlineLevel="0" collapsed="false">
      <c r="A76" s="92"/>
      <c r="B76" s="79" t="s">
        <v>96</v>
      </c>
      <c r="C76" s="82" t="str">
        <f aca="false">IF(OR(C$4="",MONTH(($G$2+6))&lt;&gt;MONTH($C$2)),"",IF(COUNTIFS(m_teacher,C$4,m_date,($G$2+6),m_active,1,m_start,"&lt;"&amp;900,m_end,"&gt;"&amp;840)=0,"",IF(COUNTIFS(m_teacher,C$4,m_date,($G$2+6),m_active,1,m_start,"&lt;"&amp;900,m_end,"&gt;"&amp;840)&gt;1,"충돌",HYPERLINK("#'관리자_MASTER'!D"&amp;_xlfn.MAXIFS(m_row,m_teacher,C$4,m_date,($G$2+6),m_active,1,m_start,"&lt;"&amp;900,m_end,"&gt;"&amp;840),INDEX(m_label,_xlfn.MAXIFS(m_row,m_teacher,C$4,m_date,($G$2+6),m_active,1,m_start,"&lt;"&amp;900,m_end,"&gt;"&amp;840))))))</f>
        <v/>
      </c>
      <c r="D76" s="82" t="str">
        <f aca="false">IF(OR(D$4="",MONTH(($G$2+6))&lt;&gt;MONTH($C$2)),"",IF(COUNTIFS(m_teacher,D$4,m_date,($G$2+6),m_active,1,m_start,"&lt;"&amp;900,m_end,"&gt;"&amp;840)=0,"",IF(COUNTIFS(m_teacher,D$4,m_date,($G$2+6),m_active,1,m_start,"&lt;"&amp;900,m_end,"&gt;"&amp;840)&gt;1,"충돌",HYPERLINK("#'관리자_MASTER'!D"&amp;_xlfn.MAXIFS(m_row,m_teacher,D$4,m_date,($G$2+6),m_active,1,m_start,"&lt;"&amp;900,m_end,"&gt;"&amp;840),INDEX(m_label,_xlfn.MAXIFS(m_row,m_teacher,D$4,m_date,($G$2+6),m_active,1,m_start,"&lt;"&amp;900,m_end,"&gt;"&amp;840))))))</f>
        <v/>
      </c>
      <c r="E76" s="82" t="str">
        <f aca="false">IF(OR(E$4="",MONTH(($G$2+6))&lt;&gt;MONTH($C$2)),"",IF(COUNTIFS(m_teacher,E$4,m_date,($G$2+6),m_active,1,m_start,"&lt;"&amp;900,m_end,"&gt;"&amp;840)=0,"",IF(COUNTIFS(m_teacher,E$4,m_date,($G$2+6),m_active,1,m_start,"&lt;"&amp;900,m_end,"&gt;"&amp;840)&gt;1,"충돌",HYPERLINK("#'관리자_MASTER'!D"&amp;_xlfn.MAXIFS(m_row,m_teacher,E$4,m_date,($G$2+6),m_active,1,m_start,"&lt;"&amp;900,m_end,"&gt;"&amp;840),INDEX(m_label,_xlfn.MAXIFS(m_row,m_teacher,E$4,m_date,($G$2+6),m_active,1,m_start,"&lt;"&amp;900,m_end,"&gt;"&amp;840))))))</f>
        <v/>
      </c>
      <c r="F76" s="82" t="str">
        <f aca="false">IF(OR(F$4="",MONTH(($G$2+6))&lt;&gt;MONTH($C$2)),"",IF(COUNTIFS(m_teacher,F$4,m_date,($G$2+6),m_active,1,m_start,"&lt;"&amp;900,m_end,"&gt;"&amp;840)=0,"",IF(COUNTIFS(m_teacher,F$4,m_date,($G$2+6),m_active,1,m_start,"&lt;"&amp;900,m_end,"&gt;"&amp;840)&gt;1,"충돌",HYPERLINK("#'관리자_MASTER'!D"&amp;_xlfn.MAXIFS(m_row,m_teacher,F$4,m_date,($G$2+6),m_active,1,m_start,"&lt;"&amp;900,m_end,"&gt;"&amp;840),INDEX(m_label,_xlfn.MAXIFS(m_row,m_teacher,F$4,m_date,($G$2+6),m_active,1,m_start,"&lt;"&amp;900,m_end,"&gt;"&amp;840))))))</f>
        <v/>
      </c>
      <c r="G76" s="82" t="str">
        <f aca="false">IF(OR(G$4="",MONTH(($G$2+6))&lt;&gt;MONTH($C$2)),"",IF(COUNTIFS(m_teacher,G$4,m_date,($G$2+6),m_active,1,m_start,"&lt;"&amp;900,m_end,"&gt;"&amp;840)=0,"",IF(COUNTIFS(m_teacher,G$4,m_date,($G$2+6),m_active,1,m_start,"&lt;"&amp;900,m_end,"&gt;"&amp;840)&gt;1,"충돌",HYPERLINK("#'관리자_MASTER'!D"&amp;_xlfn.MAXIFS(m_row,m_teacher,G$4,m_date,($G$2+6),m_active,1,m_start,"&lt;"&amp;900,m_end,"&gt;"&amp;840),INDEX(m_label,_xlfn.MAXIFS(m_row,m_teacher,G$4,m_date,($G$2+6),m_active,1,m_start,"&lt;"&amp;900,m_end,"&gt;"&amp;840))))))</f>
        <v/>
      </c>
      <c r="H76" s="82" t="str">
        <f aca="false">IF(OR(H$4="",MONTH(($G$2+6))&lt;&gt;MONTH($C$2)),"",IF(COUNTIFS(m_teacher,H$4,m_date,($G$2+6),m_active,1,m_start,"&lt;"&amp;900,m_end,"&gt;"&amp;840)=0,"",IF(COUNTIFS(m_teacher,H$4,m_date,($G$2+6),m_active,1,m_start,"&lt;"&amp;900,m_end,"&gt;"&amp;840)&gt;1,"충돌",HYPERLINK("#'관리자_MASTER'!D"&amp;_xlfn.MAXIFS(m_row,m_teacher,H$4,m_date,($G$2+6),m_active,1,m_start,"&lt;"&amp;900,m_end,"&gt;"&amp;840),INDEX(m_label,_xlfn.MAXIFS(m_row,m_teacher,H$4,m_date,($G$2+6),m_active,1,m_start,"&lt;"&amp;900,m_end,"&gt;"&amp;840))))))</f>
        <v/>
      </c>
      <c r="I76" s="82" t="str">
        <f aca="false">IF(OR(I$4="",MONTH(($G$2+6))&lt;&gt;MONTH($C$2)),"",IF(COUNTIFS(m_teacher,I$4,m_date,($G$2+6),m_active,1,m_start,"&lt;"&amp;900,m_end,"&gt;"&amp;840)=0,"",IF(COUNTIFS(m_teacher,I$4,m_date,($G$2+6),m_active,1,m_start,"&lt;"&amp;900,m_end,"&gt;"&amp;840)&gt;1,"충돌",HYPERLINK("#'관리자_MASTER'!D"&amp;_xlfn.MAXIFS(m_row,m_teacher,I$4,m_date,($G$2+6),m_active,1,m_start,"&lt;"&amp;900,m_end,"&gt;"&amp;840),INDEX(m_label,_xlfn.MAXIFS(m_row,m_teacher,I$4,m_date,($G$2+6),m_active,1,m_start,"&lt;"&amp;900,m_end,"&gt;"&amp;840))))))</f>
        <v/>
      </c>
      <c r="J76" s="82" t="str">
        <f aca="false">IF(OR(J$4="",MONTH(($G$2+6))&lt;&gt;MONTH($C$2)),"",IF(COUNTIFS(m_teacher,J$4,m_date,($G$2+6),m_active,1,m_start,"&lt;"&amp;900,m_end,"&gt;"&amp;840)=0,"",IF(COUNTIFS(m_teacher,J$4,m_date,($G$2+6),m_active,1,m_start,"&lt;"&amp;900,m_end,"&gt;"&amp;840)&gt;1,"충돌",HYPERLINK("#'관리자_MASTER'!D"&amp;_xlfn.MAXIFS(m_row,m_teacher,J$4,m_date,($G$2+6),m_active,1,m_start,"&lt;"&amp;900,m_end,"&gt;"&amp;840),INDEX(m_label,_xlfn.MAXIFS(m_row,m_teacher,J$4,m_date,($G$2+6),m_active,1,m_start,"&lt;"&amp;900,m_end,"&gt;"&amp;840))))))</f>
        <v/>
      </c>
      <c r="K76" s="82" t="str">
        <f aca="false">IF(OR(K$4="",MONTH(($G$2+6))&lt;&gt;MONTH($C$2)),"",IF(COUNTIFS(m_teacher,K$4,m_date,($G$2+6),m_active,1,m_start,"&lt;"&amp;900,m_end,"&gt;"&amp;840)=0,"",IF(COUNTIFS(m_teacher,K$4,m_date,($G$2+6),m_active,1,m_start,"&lt;"&amp;900,m_end,"&gt;"&amp;840)&gt;1,"충돌",HYPERLINK("#'관리자_MASTER'!D"&amp;_xlfn.MAXIFS(m_row,m_teacher,K$4,m_date,($G$2+6),m_active,1,m_start,"&lt;"&amp;900,m_end,"&gt;"&amp;840),INDEX(m_label,_xlfn.MAXIFS(m_row,m_teacher,K$4,m_date,($G$2+6),m_active,1,m_start,"&lt;"&amp;900,m_end,"&gt;"&amp;840))))))</f>
        <v/>
      </c>
      <c r="L76" s="82" t="str">
        <f aca="false">IF(OR(L$4="",MONTH(($G$2+6))&lt;&gt;MONTH($C$2)),"",IF(COUNTIFS(m_teacher,L$4,m_date,($G$2+6),m_active,1,m_start,"&lt;"&amp;900,m_end,"&gt;"&amp;840)=0,"",IF(COUNTIFS(m_teacher,L$4,m_date,($G$2+6),m_active,1,m_start,"&lt;"&amp;900,m_end,"&gt;"&amp;840)&gt;1,"충돌",HYPERLINK("#'관리자_MASTER'!D"&amp;_xlfn.MAXIFS(m_row,m_teacher,L$4,m_date,($G$2+6),m_active,1,m_start,"&lt;"&amp;900,m_end,"&gt;"&amp;840),INDEX(m_label,_xlfn.MAXIFS(m_row,m_teacher,L$4,m_date,($G$2+6),m_active,1,m_start,"&lt;"&amp;900,m_end,"&gt;"&amp;840))))))</f>
        <v/>
      </c>
      <c r="M76" s="82" t="str">
        <f aca="false">IF(OR(M$4="",MONTH(($G$2+6))&lt;&gt;MONTH($C$2)),"",IF(COUNTIFS(m_teacher,M$4,m_date,($G$2+6),m_active,1,m_start,"&lt;"&amp;900,m_end,"&gt;"&amp;840)=0,"",IF(COUNTIFS(m_teacher,M$4,m_date,($G$2+6),m_active,1,m_start,"&lt;"&amp;900,m_end,"&gt;"&amp;840)&gt;1,"충돌",HYPERLINK("#'관리자_MASTER'!D"&amp;_xlfn.MAXIFS(m_row,m_teacher,M$4,m_date,($G$2+6),m_active,1,m_start,"&lt;"&amp;900,m_end,"&gt;"&amp;840),INDEX(m_label,_xlfn.MAXIFS(m_row,m_teacher,M$4,m_date,($G$2+6),m_active,1,m_start,"&lt;"&amp;900,m_end,"&gt;"&amp;840))))))</f>
        <v/>
      </c>
      <c r="N76" s="82" t="str">
        <f aca="false">IF(OR(N$4="",MONTH(($G$2+6))&lt;&gt;MONTH($C$2)),"",IF(COUNTIFS(m_teacher,N$4,m_date,($G$2+6),m_active,1,m_start,"&lt;"&amp;900,m_end,"&gt;"&amp;840)=0,"",IF(COUNTIFS(m_teacher,N$4,m_date,($G$2+6),m_active,1,m_start,"&lt;"&amp;900,m_end,"&gt;"&amp;840)&gt;1,"충돌",HYPERLINK("#'관리자_MASTER'!D"&amp;_xlfn.MAXIFS(m_row,m_teacher,N$4,m_date,($G$2+6),m_active,1,m_start,"&lt;"&amp;900,m_end,"&gt;"&amp;840),INDEX(m_label,_xlfn.MAXIFS(m_row,m_teacher,N$4,m_date,($G$2+6),m_active,1,m_start,"&lt;"&amp;900,m_end,"&gt;"&amp;840))))))</f>
        <v/>
      </c>
      <c r="O76" s="92"/>
      <c r="P76" s="79" t="s">
        <v>96</v>
      </c>
      <c r="Q76" s="82" t="str">
        <f aca="false">IF(OR(Q$4="",MONTH(($G$2+13))&lt;&gt;MONTH($C$2)),"",IF(COUNTIFS(m_teacher,Q$4,m_date,($G$2+13),m_active,1,m_start,"&lt;"&amp;900,m_end,"&gt;"&amp;840)=0,"",IF(COUNTIFS(m_teacher,Q$4,m_date,($G$2+13),m_active,1,m_start,"&lt;"&amp;900,m_end,"&gt;"&amp;840)&gt;1,"충돌",HYPERLINK("#'관리자_MASTER'!D"&amp;_xlfn.MAXIFS(m_row,m_teacher,Q$4,m_date,($G$2+13),m_active,1,m_start,"&lt;"&amp;900,m_end,"&gt;"&amp;840),INDEX(m_label,_xlfn.MAXIFS(m_row,m_teacher,Q$4,m_date,($G$2+13),m_active,1,m_start,"&lt;"&amp;900,m_end,"&gt;"&amp;840))))))</f>
        <v/>
      </c>
      <c r="R76" s="82" t="str">
        <f aca="false">IF(OR(R$4="",MONTH(($G$2+13))&lt;&gt;MONTH($C$2)),"",IF(COUNTIFS(m_teacher,R$4,m_date,($G$2+13),m_active,1,m_start,"&lt;"&amp;900,m_end,"&gt;"&amp;840)=0,"",IF(COUNTIFS(m_teacher,R$4,m_date,($G$2+13),m_active,1,m_start,"&lt;"&amp;900,m_end,"&gt;"&amp;840)&gt;1,"충돌",HYPERLINK("#'관리자_MASTER'!D"&amp;_xlfn.MAXIFS(m_row,m_teacher,R$4,m_date,($G$2+13),m_active,1,m_start,"&lt;"&amp;900,m_end,"&gt;"&amp;840),INDEX(m_label,_xlfn.MAXIFS(m_row,m_teacher,R$4,m_date,($G$2+13),m_active,1,m_start,"&lt;"&amp;900,m_end,"&gt;"&amp;840))))))</f>
        <v/>
      </c>
      <c r="S76" s="82" t="str">
        <f aca="false">IF(OR(S$4="",MONTH(($G$2+13))&lt;&gt;MONTH($C$2)),"",IF(COUNTIFS(m_teacher,S$4,m_date,($G$2+13),m_active,1,m_start,"&lt;"&amp;900,m_end,"&gt;"&amp;840)=0,"",IF(COUNTIFS(m_teacher,S$4,m_date,($G$2+13),m_active,1,m_start,"&lt;"&amp;900,m_end,"&gt;"&amp;840)&gt;1,"충돌",HYPERLINK("#'관리자_MASTER'!D"&amp;_xlfn.MAXIFS(m_row,m_teacher,S$4,m_date,($G$2+13),m_active,1,m_start,"&lt;"&amp;900,m_end,"&gt;"&amp;840),INDEX(m_label,_xlfn.MAXIFS(m_row,m_teacher,S$4,m_date,($G$2+13),m_active,1,m_start,"&lt;"&amp;900,m_end,"&gt;"&amp;840))))))</f>
        <v/>
      </c>
      <c r="T76" s="82" t="str">
        <f aca="false">IF(OR(T$4="",MONTH(($G$2+13))&lt;&gt;MONTH($C$2)),"",IF(COUNTIFS(m_teacher,T$4,m_date,($G$2+13),m_active,1,m_start,"&lt;"&amp;900,m_end,"&gt;"&amp;840)=0,"",IF(COUNTIFS(m_teacher,T$4,m_date,($G$2+13),m_active,1,m_start,"&lt;"&amp;900,m_end,"&gt;"&amp;840)&gt;1,"충돌",HYPERLINK("#'관리자_MASTER'!D"&amp;_xlfn.MAXIFS(m_row,m_teacher,T$4,m_date,($G$2+13),m_active,1,m_start,"&lt;"&amp;900,m_end,"&gt;"&amp;840),INDEX(m_label,_xlfn.MAXIFS(m_row,m_teacher,T$4,m_date,($G$2+13),m_active,1,m_start,"&lt;"&amp;900,m_end,"&gt;"&amp;840))))))</f>
        <v/>
      </c>
      <c r="U76" s="82" t="str">
        <f aca="false">IF(OR(U$4="",MONTH(($G$2+13))&lt;&gt;MONTH($C$2)),"",IF(COUNTIFS(m_teacher,U$4,m_date,($G$2+13),m_active,1,m_start,"&lt;"&amp;900,m_end,"&gt;"&amp;840)=0,"",IF(COUNTIFS(m_teacher,U$4,m_date,($G$2+13),m_active,1,m_start,"&lt;"&amp;900,m_end,"&gt;"&amp;840)&gt;1,"충돌",HYPERLINK("#'관리자_MASTER'!D"&amp;_xlfn.MAXIFS(m_row,m_teacher,U$4,m_date,($G$2+13),m_active,1,m_start,"&lt;"&amp;900,m_end,"&gt;"&amp;840),INDEX(m_label,_xlfn.MAXIFS(m_row,m_teacher,U$4,m_date,($G$2+13),m_active,1,m_start,"&lt;"&amp;900,m_end,"&gt;"&amp;840))))))</f>
        <v/>
      </c>
      <c r="V76" s="82" t="str">
        <f aca="false">IF(OR(V$4="",MONTH(($G$2+13))&lt;&gt;MONTH($C$2)),"",IF(COUNTIFS(m_teacher,V$4,m_date,($G$2+13),m_active,1,m_start,"&lt;"&amp;900,m_end,"&gt;"&amp;840)=0,"",IF(COUNTIFS(m_teacher,V$4,m_date,($G$2+13),m_active,1,m_start,"&lt;"&amp;900,m_end,"&gt;"&amp;840)&gt;1,"충돌",HYPERLINK("#'관리자_MASTER'!D"&amp;_xlfn.MAXIFS(m_row,m_teacher,V$4,m_date,($G$2+13),m_active,1,m_start,"&lt;"&amp;900,m_end,"&gt;"&amp;840),INDEX(m_label,_xlfn.MAXIFS(m_row,m_teacher,V$4,m_date,($G$2+13),m_active,1,m_start,"&lt;"&amp;900,m_end,"&gt;"&amp;840))))))</f>
        <v/>
      </c>
      <c r="W76" s="82" t="str">
        <f aca="false">IF(OR(W$4="",MONTH(($G$2+13))&lt;&gt;MONTH($C$2)),"",IF(COUNTIFS(m_teacher,W$4,m_date,($G$2+13),m_active,1,m_start,"&lt;"&amp;900,m_end,"&gt;"&amp;840)=0,"",IF(COUNTIFS(m_teacher,W$4,m_date,($G$2+13),m_active,1,m_start,"&lt;"&amp;900,m_end,"&gt;"&amp;840)&gt;1,"충돌",HYPERLINK("#'관리자_MASTER'!D"&amp;_xlfn.MAXIFS(m_row,m_teacher,W$4,m_date,($G$2+13),m_active,1,m_start,"&lt;"&amp;900,m_end,"&gt;"&amp;840),INDEX(m_label,_xlfn.MAXIFS(m_row,m_teacher,W$4,m_date,($G$2+13),m_active,1,m_start,"&lt;"&amp;900,m_end,"&gt;"&amp;840))))))</f>
        <v/>
      </c>
      <c r="X76" s="82" t="str">
        <f aca="false">IF(OR(X$4="",MONTH(($G$2+13))&lt;&gt;MONTH($C$2)),"",IF(COUNTIFS(m_teacher,X$4,m_date,($G$2+13),m_active,1,m_start,"&lt;"&amp;900,m_end,"&gt;"&amp;840)=0,"",IF(COUNTIFS(m_teacher,X$4,m_date,($G$2+13),m_active,1,m_start,"&lt;"&amp;900,m_end,"&gt;"&amp;840)&gt;1,"충돌",HYPERLINK("#'관리자_MASTER'!D"&amp;_xlfn.MAXIFS(m_row,m_teacher,X$4,m_date,($G$2+13),m_active,1,m_start,"&lt;"&amp;900,m_end,"&gt;"&amp;840),INDEX(m_label,_xlfn.MAXIFS(m_row,m_teacher,X$4,m_date,($G$2+13),m_active,1,m_start,"&lt;"&amp;900,m_end,"&gt;"&amp;840))))))</f>
        <v/>
      </c>
      <c r="Y76" s="82" t="str">
        <f aca="false">IF(OR(Y$4="",MONTH(($G$2+13))&lt;&gt;MONTH($C$2)),"",IF(COUNTIFS(m_teacher,Y$4,m_date,($G$2+13),m_active,1,m_start,"&lt;"&amp;900,m_end,"&gt;"&amp;840)=0,"",IF(COUNTIFS(m_teacher,Y$4,m_date,($G$2+13),m_active,1,m_start,"&lt;"&amp;900,m_end,"&gt;"&amp;840)&gt;1,"충돌",HYPERLINK("#'관리자_MASTER'!D"&amp;_xlfn.MAXIFS(m_row,m_teacher,Y$4,m_date,($G$2+13),m_active,1,m_start,"&lt;"&amp;900,m_end,"&gt;"&amp;840),INDEX(m_label,_xlfn.MAXIFS(m_row,m_teacher,Y$4,m_date,($G$2+13),m_active,1,m_start,"&lt;"&amp;900,m_end,"&gt;"&amp;840))))))</f>
        <v/>
      </c>
      <c r="Z76" s="82" t="str">
        <f aca="false">IF(OR(Z$4="",MONTH(($G$2+13))&lt;&gt;MONTH($C$2)),"",IF(COUNTIFS(m_teacher,Z$4,m_date,($G$2+13),m_active,1,m_start,"&lt;"&amp;900,m_end,"&gt;"&amp;840)=0,"",IF(COUNTIFS(m_teacher,Z$4,m_date,($G$2+13),m_active,1,m_start,"&lt;"&amp;900,m_end,"&gt;"&amp;840)&gt;1,"충돌",HYPERLINK("#'관리자_MASTER'!D"&amp;_xlfn.MAXIFS(m_row,m_teacher,Z$4,m_date,($G$2+13),m_active,1,m_start,"&lt;"&amp;900,m_end,"&gt;"&amp;840),INDEX(m_label,_xlfn.MAXIFS(m_row,m_teacher,Z$4,m_date,($G$2+13),m_active,1,m_start,"&lt;"&amp;900,m_end,"&gt;"&amp;840))))))</f>
        <v/>
      </c>
      <c r="AA76" s="82" t="str">
        <f aca="false">IF(OR(AA$4="",MONTH(($G$2+13))&lt;&gt;MONTH($C$2)),"",IF(COUNTIFS(m_teacher,AA$4,m_date,($G$2+13),m_active,1,m_start,"&lt;"&amp;900,m_end,"&gt;"&amp;840)=0,"",IF(COUNTIFS(m_teacher,AA$4,m_date,($G$2+13),m_active,1,m_start,"&lt;"&amp;900,m_end,"&gt;"&amp;840)&gt;1,"충돌",HYPERLINK("#'관리자_MASTER'!D"&amp;_xlfn.MAXIFS(m_row,m_teacher,AA$4,m_date,($G$2+13),m_active,1,m_start,"&lt;"&amp;900,m_end,"&gt;"&amp;840),INDEX(m_label,_xlfn.MAXIFS(m_row,m_teacher,AA$4,m_date,($G$2+13),m_active,1,m_start,"&lt;"&amp;900,m_end,"&gt;"&amp;840))))))</f>
        <v/>
      </c>
      <c r="AB76" s="82" t="str">
        <f aca="false">IF(OR(AB$4="",MONTH(($G$2+13))&lt;&gt;MONTH($C$2)),"",IF(COUNTIFS(m_teacher,AB$4,m_date,($G$2+13),m_active,1,m_start,"&lt;"&amp;900,m_end,"&gt;"&amp;840)=0,"",IF(COUNTIFS(m_teacher,AB$4,m_date,($G$2+13),m_active,1,m_start,"&lt;"&amp;900,m_end,"&gt;"&amp;840)&gt;1,"충돌",HYPERLINK("#'관리자_MASTER'!D"&amp;_xlfn.MAXIFS(m_row,m_teacher,AB$4,m_date,($G$2+13),m_active,1,m_start,"&lt;"&amp;900,m_end,"&gt;"&amp;840),INDEX(m_label,_xlfn.MAXIFS(m_row,m_teacher,AB$4,m_date,($G$2+13),m_active,1,m_start,"&lt;"&amp;900,m_end,"&gt;"&amp;840))))))</f>
        <v/>
      </c>
      <c r="AC76" s="92"/>
      <c r="AD76" s="79" t="s">
        <v>96</v>
      </c>
      <c r="AE76" s="82" t="str">
        <f aca="false">IF(OR(AE$4="",MONTH(($G$2+20))&lt;&gt;MONTH($C$2)),"",IF(COUNTIFS(m_teacher,AE$4,m_date,($G$2+20),m_active,1,m_start,"&lt;"&amp;900,m_end,"&gt;"&amp;840)=0,"",IF(COUNTIFS(m_teacher,AE$4,m_date,($G$2+20),m_active,1,m_start,"&lt;"&amp;900,m_end,"&gt;"&amp;840)&gt;1,"충돌",HYPERLINK("#'관리자_MASTER'!D"&amp;_xlfn.MAXIFS(m_row,m_teacher,AE$4,m_date,($G$2+20),m_active,1,m_start,"&lt;"&amp;900,m_end,"&gt;"&amp;840),INDEX(m_label,_xlfn.MAXIFS(m_row,m_teacher,AE$4,m_date,($G$2+20),m_active,1,m_start,"&lt;"&amp;900,m_end,"&gt;"&amp;840))))))</f>
        <v/>
      </c>
      <c r="AF76" s="82" t="str">
        <f aca="false">IF(OR(AF$4="",MONTH(($G$2+20))&lt;&gt;MONTH($C$2)),"",IF(COUNTIFS(m_teacher,AF$4,m_date,($G$2+20),m_active,1,m_start,"&lt;"&amp;900,m_end,"&gt;"&amp;840)=0,"",IF(COUNTIFS(m_teacher,AF$4,m_date,($G$2+20),m_active,1,m_start,"&lt;"&amp;900,m_end,"&gt;"&amp;840)&gt;1,"충돌",HYPERLINK("#'관리자_MASTER'!D"&amp;_xlfn.MAXIFS(m_row,m_teacher,AF$4,m_date,($G$2+20),m_active,1,m_start,"&lt;"&amp;900,m_end,"&gt;"&amp;840),INDEX(m_label,_xlfn.MAXIFS(m_row,m_teacher,AF$4,m_date,($G$2+20),m_active,1,m_start,"&lt;"&amp;900,m_end,"&gt;"&amp;840))))))</f>
        <v/>
      </c>
      <c r="AG76" s="82" t="str">
        <f aca="false">IF(OR(AG$4="",MONTH(($G$2+20))&lt;&gt;MONTH($C$2)),"",IF(COUNTIFS(m_teacher,AG$4,m_date,($G$2+20),m_active,1,m_start,"&lt;"&amp;900,m_end,"&gt;"&amp;840)=0,"",IF(COUNTIFS(m_teacher,AG$4,m_date,($G$2+20),m_active,1,m_start,"&lt;"&amp;900,m_end,"&gt;"&amp;840)&gt;1,"충돌",HYPERLINK("#'관리자_MASTER'!D"&amp;_xlfn.MAXIFS(m_row,m_teacher,AG$4,m_date,($G$2+20),m_active,1,m_start,"&lt;"&amp;900,m_end,"&gt;"&amp;840),INDEX(m_label,_xlfn.MAXIFS(m_row,m_teacher,AG$4,m_date,($G$2+20),m_active,1,m_start,"&lt;"&amp;900,m_end,"&gt;"&amp;840))))))</f>
        <v/>
      </c>
      <c r="AH76" s="82" t="str">
        <f aca="false">IF(OR(AH$4="",MONTH(($G$2+20))&lt;&gt;MONTH($C$2)),"",IF(COUNTIFS(m_teacher,AH$4,m_date,($G$2+20),m_active,1,m_start,"&lt;"&amp;900,m_end,"&gt;"&amp;840)=0,"",IF(COUNTIFS(m_teacher,AH$4,m_date,($G$2+20),m_active,1,m_start,"&lt;"&amp;900,m_end,"&gt;"&amp;840)&gt;1,"충돌",HYPERLINK("#'관리자_MASTER'!D"&amp;_xlfn.MAXIFS(m_row,m_teacher,AH$4,m_date,($G$2+20),m_active,1,m_start,"&lt;"&amp;900,m_end,"&gt;"&amp;840),INDEX(m_label,_xlfn.MAXIFS(m_row,m_teacher,AH$4,m_date,($G$2+20),m_active,1,m_start,"&lt;"&amp;900,m_end,"&gt;"&amp;840))))))</f>
        <v/>
      </c>
      <c r="AI76" s="82" t="str">
        <f aca="false">IF(OR(AI$4="",MONTH(($G$2+20))&lt;&gt;MONTH($C$2)),"",IF(COUNTIFS(m_teacher,AI$4,m_date,($G$2+20),m_active,1,m_start,"&lt;"&amp;900,m_end,"&gt;"&amp;840)=0,"",IF(COUNTIFS(m_teacher,AI$4,m_date,($G$2+20),m_active,1,m_start,"&lt;"&amp;900,m_end,"&gt;"&amp;840)&gt;1,"충돌",HYPERLINK("#'관리자_MASTER'!D"&amp;_xlfn.MAXIFS(m_row,m_teacher,AI$4,m_date,($G$2+20),m_active,1,m_start,"&lt;"&amp;900,m_end,"&gt;"&amp;840),INDEX(m_label,_xlfn.MAXIFS(m_row,m_teacher,AI$4,m_date,($G$2+20),m_active,1,m_start,"&lt;"&amp;900,m_end,"&gt;"&amp;840))))))</f>
        <v/>
      </c>
      <c r="AJ76" s="82" t="str">
        <f aca="false">IF(OR(AJ$4="",MONTH(($G$2+20))&lt;&gt;MONTH($C$2)),"",IF(COUNTIFS(m_teacher,AJ$4,m_date,($G$2+20),m_active,1,m_start,"&lt;"&amp;900,m_end,"&gt;"&amp;840)=0,"",IF(COUNTIFS(m_teacher,AJ$4,m_date,($G$2+20),m_active,1,m_start,"&lt;"&amp;900,m_end,"&gt;"&amp;840)&gt;1,"충돌",HYPERLINK("#'관리자_MASTER'!D"&amp;_xlfn.MAXIFS(m_row,m_teacher,AJ$4,m_date,($G$2+20),m_active,1,m_start,"&lt;"&amp;900,m_end,"&gt;"&amp;840),INDEX(m_label,_xlfn.MAXIFS(m_row,m_teacher,AJ$4,m_date,($G$2+20),m_active,1,m_start,"&lt;"&amp;900,m_end,"&gt;"&amp;840))))))</f>
        <v/>
      </c>
      <c r="AK76" s="82" t="str">
        <f aca="false">IF(OR(AK$4="",MONTH(($G$2+20))&lt;&gt;MONTH($C$2)),"",IF(COUNTIFS(m_teacher,AK$4,m_date,($G$2+20),m_active,1,m_start,"&lt;"&amp;900,m_end,"&gt;"&amp;840)=0,"",IF(COUNTIFS(m_teacher,AK$4,m_date,($G$2+20),m_active,1,m_start,"&lt;"&amp;900,m_end,"&gt;"&amp;840)&gt;1,"충돌",HYPERLINK("#'관리자_MASTER'!D"&amp;_xlfn.MAXIFS(m_row,m_teacher,AK$4,m_date,($G$2+20),m_active,1,m_start,"&lt;"&amp;900,m_end,"&gt;"&amp;840),INDEX(m_label,_xlfn.MAXIFS(m_row,m_teacher,AK$4,m_date,($G$2+20),m_active,1,m_start,"&lt;"&amp;900,m_end,"&gt;"&amp;840))))))</f>
        <v/>
      </c>
      <c r="AL76" s="82" t="str">
        <f aca="false">IF(OR(AL$4="",MONTH(($G$2+20))&lt;&gt;MONTH($C$2)),"",IF(COUNTIFS(m_teacher,AL$4,m_date,($G$2+20),m_active,1,m_start,"&lt;"&amp;900,m_end,"&gt;"&amp;840)=0,"",IF(COUNTIFS(m_teacher,AL$4,m_date,($G$2+20),m_active,1,m_start,"&lt;"&amp;900,m_end,"&gt;"&amp;840)&gt;1,"충돌",HYPERLINK("#'관리자_MASTER'!D"&amp;_xlfn.MAXIFS(m_row,m_teacher,AL$4,m_date,($G$2+20),m_active,1,m_start,"&lt;"&amp;900,m_end,"&gt;"&amp;840),INDEX(m_label,_xlfn.MAXIFS(m_row,m_teacher,AL$4,m_date,($G$2+20),m_active,1,m_start,"&lt;"&amp;900,m_end,"&gt;"&amp;840))))))</f>
        <v/>
      </c>
      <c r="AM76" s="82" t="str">
        <f aca="false">IF(OR(AM$4="",MONTH(($G$2+20))&lt;&gt;MONTH($C$2)),"",IF(COUNTIFS(m_teacher,AM$4,m_date,($G$2+20),m_active,1,m_start,"&lt;"&amp;900,m_end,"&gt;"&amp;840)=0,"",IF(COUNTIFS(m_teacher,AM$4,m_date,($G$2+20),m_active,1,m_start,"&lt;"&amp;900,m_end,"&gt;"&amp;840)&gt;1,"충돌",HYPERLINK("#'관리자_MASTER'!D"&amp;_xlfn.MAXIFS(m_row,m_teacher,AM$4,m_date,($G$2+20),m_active,1,m_start,"&lt;"&amp;900,m_end,"&gt;"&amp;840),INDEX(m_label,_xlfn.MAXIFS(m_row,m_teacher,AM$4,m_date,($G$2+20),m_active,1,m_start,"&lt;"&amp;900,m_end,"&gt;"&amp;840))))))</f>
        <v/>
      </c>
      <c r="AN76" s="82" t="str">
        <f aca="false">IF(OR(AN$4="",MONTH(($G$2+20))&lt;&gt;MONTH($C$2)),"",IF(COUNTIFS(m_teacher,AN$4,m_date,($G$2+20),m_active,1,m_start,"&lt;"&amp;900,m_end,"&gt;"&amp;840)=0,"",IF(COUNTIFS(m_teacher,AN$4,m_date,($G$2+20),m_active,1,m_start,"&lt;"&amp;900,m_end,"&gt;"&amp;840)&gt;1,"충돌",HYPERLINK("#'관리자_MASTER'!D"&amp;_xlfn.MAXIFS(m_row,m_teacher,AN$4,m_date,($G$2+20),m_active,1,m_start,"&lt;"&amp;900,m_end,"&gt;"&amp;840),INDEX(m_label,_xlfn.MAXIFS(m_row,m_teacher,AN$4,m_date,($G$2+20),m_active,1,m_start,"&lt;"&amp;900,m_end,"&gt;"&amp;840))))))</f>
        <v/>
      </c>
      <c r="AO76" s="82" t="str">
        <f aca="false">IF(OR(AO$4="",MONTH(($G$2+20))&lt;&gt;MONTH($C$2)),"",IF(COUNTIFS(m_teacher,AO$4,m_date,($G$2+20),m_active,1,m_start,"&lt;"&amp;900,m_end,"&gt;"&amp;840)=0,"",IF(COUNTIFS(m_teacher,AO$4,m_date,($G$2+20),m_active,1,m_start,"&lt;"&amp;900,m_end,"&gt;"&amp;840)&gt;1,"충돌",HYPERLINK("#'관리자_MASTER'!D"&amp;_xlfn.MAXIFS(m_row,m_teacher,AO$4,m_date,($G$2+20),m_active,1,m_start,"&lt;"&amp;900,m_end,"&gt;"&amp;840),INDEX(m_label,_xlfn.MAXIFS(m_row,m_teacher,AO$4,m_date,($G$2+20),m_active,1,m_start,"&lt;"&amp;900,m_end,"&gt;"&amp;840))))))</f>
        <v/>
      </c>
      <c r="AP76" s="82" t="str">
        <f aca="false">IF(OR(AP$4="",MONTH(($G$2+20))&lt;&gt;MONTH($C$2)),"",IF(COUNTIFS(m_teacher,AP$4,m_date,($G$2+20),m_active,1,m_start,"&lt;"&amp;900,m_end,"&gt;"&amp;840)=0,"",IF(COUNTIFS(m_teacher,AP$4,m_date,($G$2+20),m_active,1,m_start,"&lt;"&amp;900,m_end,"&gt;"&amp;840)&gt;1,"충돌",HYPERLINK("#'관리자_MASTER'!D"&amp;_xlfn.MAXIFS(m_row,m_teacher,AP$4,m_date,($G$2+20),m_active,1,m_start,"&lt;"&amp;900,m_end,"&gt;"&amp;840),INDEX(m_label,_xlfn.MAXIFS(m_row,m_teacher,AP$4,m_date,($G$2+20),m_active,1,m_start,"&lt;"&amp;900,m_end,"&gt;"&amp;840))))))</f>
        <v/>
      </c>
      <c r="AQ76" s="92"/>
      <c r="AR76" s="79" t="s">
        <v>96</v>
      </c>
      <c r="AS76" s="82" t="str">
        <f aca="false">IF(OR(AS$4="",MONTH(($G$2+27))&lt;&gt;MONTH($C$2)),"",IF(COUNTIFS(m_teacher,AS$4,m_date,($G$2+27),m_active,1,m_start,"&lt;"&amp;900,m_end,"&gt;"&amp;840)=0,"",IF(COUNTIFS(m_teacher,AS$4,m_date,($G$2+27),m_active,1,m_start,"&lt;"&amp;900,m_end,"&gt;"&amp;840)&gt;1,"충돌",HYPERLINK("#'관리자_MASTER'!D"&amp;_xlfn.MAXIFS(m_row,m_teacher,AS$4,m_date,($G$2+27),m_active,1,m_start,"&lt;"&amp;900,m_end,"&gt;"&amp;840),INDEX(m_label,_xlfn.MAXIFS(m_row,m_teacher,AS$4,m_date,($G$2+27),m_active,1,m_start,"&lt;"&amp;900,m_end,"&gt;"&amp;840))))))</f>
        <v/>
      </c>
      <c r="AT76" s="82" t="str">
        <f aca="false">IF(OR(AT$4="",MONTH(($G$2+27))&lt;&gt;MONTH($C$2)),"",IF(COUNTIFS(m_teacher,AT$4,m_date,($G$2+27),m_active,1,m_start,"&lt;"&amp;900,m_end,"&gt;"&amp;840)=0,"",IF(COUNTIFS(m_teacher,AT$4,m_date,($G$2+27),m_active,1,m_start,"&lt;"&amp;900,m_end,"&gt;"&amp;840)&gt;1,"충돌",HYPERLINK("#'관리자_MASTER'!D"&amp;_xlfn.MAXIFS(m_row,m_teacher,AT$4,m_date,($G$2+27),m_active,1,m_start,"&lt;"&amp;900,m_end,"&gt;"&amp;840),INDEX(m_label,_xlfn.MAXIFS(m_row,m_teacher,AT$4,m_date,($G$2+27),m_active,1,m_start,"&lt;"&amp;900,m_end,"&gt;"&amp;840))))))</f>
        <v/>
      </c>
      <c r="AU76" s="82" t="str">
        <f aca="false">IF(OR(AU$4="",MONTH(($G$2+27))&lt;&gt;MONTH($C$2)),"",IF(COUNTIFS(m_teacher,AU$4,m_date,($G$2+27),m_active,1,m_start,"&lt;"&amp;900,m_end,"&gt;"&amp;840)=0,"",IF(COUNTIFS(m_teacher,AU$4,m_date,($G$2+27),m_active,1,m_start,"&lt;"&amp;900,m_end,"&gt;"&amp;840)&gt;1,"충돌",HYPERLINK("#'관리자_MASTER'!D"&amp;_xlfn.MAXIFS(m_row,m_teacher,AU$4,m_date,($G$2+27),m_active,1,m_start,"&lt;"&amp;900,m_end,"&gt;"&amp;840),INDEX(m_label,_xlfn.MAXIFS(m_row,m_teacher,AU$4,m_date,($G$2+27),m_active,1,m_start,"&lt;"&amp;900,m_end,"&gt;"&amp;840))))))</f>
        <v/>
      </c>
      <c r="AV76" s="82" t="str">
        <f aca="false">IF(OR(AV$4="",MONTH(($G$2+27))&lt;&gt;MONTH($C$2)),"",IF(COUNTIFS(m_teacher,AV$4,m_date,($G$2+27),m_active,1,m_start,"&lt;"&amp;900,m_end,"&gt;"&amp;840)=0,"",IF(COUNTIFS(m_teacher,AV$4,m_date,($G$2+27),m_active,1,m_start,"&lt;"&amp;900,m_end,"&gt;"&amp;840)&gt;1,"충돌",HYPERLINK("#'관리자_MASTER'!D"&amp;_xlfn.MAXIFS(m_row,m_teacher,AV$4,m_date,($G$2+27),m_active,1,m_start,"&lt;"&amp;900,m_end,"&gt;"&amp;840),INDEX(m_label,_xlfn.MAXIFS(m_row,m_teacher,AV$4,m_date,($G$2+27),m_active,1,m_start,"&lt;"&amp;900,m_end,"&gt;"&amp;840))))))</f>
        <v/>
      </c>
      <c r="AW76" s="82" t="str">
        <f aca="false">IF(OR(AW$4="",MONTH(($G$2+27))&lt;&gt;MONTH($C$2)),"",IF(COUNTIFS(m_teacher,AW$4,m_date,($G$2+27),m_active,1,m_start,"&lt;"&amp;900,m_end,"&gt;"&amp;840)=0,"",IF(COUNTIFS(m_teacher,AW$4,m_date,($G$2+27),m_active,1,m_start,"&lt;"&amp;900,m_end,"&gt;"&amp;840)&gt;1,"충돌",HYPERLINK("#'관리자_MASTER'!D"&amp;_xlfn.MAXIFS(m_row,m_teacher,AW$4,m_date,($G$2+27),m_active,1,m_start,"&lt;"&amp;900,m_end,"&gt;"&amp;840),INDEX(m_label,_xlfn.MAXIFS(m_row,m_teacher,AW$4,m_date,($G$2+27),m_active,1,m_start,"&lt;"&amp;900,m_end,"&gt;"&amp;840))))))</f>
        <v/>
      </c>
      <c r="AX76" s="82" t="str">
        <f aca="false">IF(OR(AX$4="",MONTH(($G$2+27))&lt;&gt;MONTH($C$2)),"",IF(COUNTIFS(m_teacher,AX$4,m_date,($G$2+27),m_active,1,m_start,"&lt;"&amp;900,m_end,"&gt;"&amp;840)=0,"",IF(COUNTIFS(m_teacher,AX$4,m_date,($G$2+27),m_active,1,m_start,"&lt;"&amp;900,m_end,"&gt;"&amp;840)&gt;1,"충돌",HYPERLINK("#'관리자_MASTER'!D"&amp;_xlfn.MAXIFS(m_row,m_teacher,AX$4,m_date,($G$2+27),m_active,1,m_start,"&lt;"&amp;900,m_end,"&gt;"&amp;840),INDEX(m_label,_xlfn.MAXIFS(m_row,m_teacher,AX$4,m_date,($G$2+27),m_active,1,m_start,"&lt;"&amp;900,m_end,"&gt;"&amp;840))))))</f>
        <v/>
      </c>
      <c r="AY76" s="82" t="str">
        <f aca="false">IF(OR(AY$4="",MONTH(($G$2+27))&lt;&gt;MONTH($C$2)),"",IF(COUNTIFS(m_teacher,AY$4,m_date,($G$2+27),m_active,1,m_start,"&lt;"&amp;900,m_end,"&gt;"&amp;840)=0,"",IF(COUNTIFS(m_teacher,AY$4,m_date,($G$2+27),m_active,1,m_start,"&lt;"&amp;900,m_end,"&gt;"&amp;840)&gt;1,"충돌",HYPERLINK("#'관리자_MASTER'!D"&amp;_xlfn.MAXIFS(m_row,m_teacher,AY$4,m_date,($G$2+27),m_active,1,m_start,"&lt;"&amp;900,m_end,"&gt;"&amp;840),INDEX(m_label,_xlfn.MAXIFS(m_row,m_teacher,AY$4,m_date,($G$2+27),m_active,1,m_start,"&lt;"&amp;900,m_end,"&gt;"&amp;840))))))</f>
        <v/>
      </c>
      <c r="AZ76" s="82" t="str">
        <f aca="false">IF(OR(AZ$4="",MONTH(($G$2+27))&lt;&gt;MONTH($C$2)),"",IF(COUNTIFS(m_teacher,AZ$4,m_date,($G$2+27),m_active,1,m_start,"&lt;"&amp;900,m_end,"&gt;"&amp;840)=0,"",IF(COUNTIFS(m_teacher,AZ$4,m_date,($G$2+27),m_active,1,m_start,"&lt;"&amp;900,m_end,"&gt;"&amp;840)&gt;1,"충돌",HYPERLINK("#'관리자_MASTER'!D"&amp;_xlfn.MAXIFS(m_row,m_teacher,AZ$4,m_date,($G$2+27),m_active,1,m_start,"&lt;"&amp;900,m_end,"&gt;"&amp;840),INDEX(m_label,_xlfn.MAXIFS(m_row,m_teacher,AZ$4,m_date,($G$2+27),m_active,1,m_start,"&lt;"&amp;900,m_end,"&gt;"&amp;840))))))</f>
        <v/>
      </c>
      <c r="BA76" s="82" t="str">
        <f aca="false">IF(OR(BA$4="",MONTH(($G$2+27))&lt;&gt;MONTH($C$2)),"",IF(COUNTIFS(m_teacher,BA$4,m_date,($G$2+27),m_active,1,m_start,"&lt;"&amp;900,m_end,"&gt;"&amp;840)=0,"",IF(COUNTIFS(m_teacher,BA$4,m_date,($G$2+27),m_active,1,m_start,"&lt;"&amp;900,m_end,"&gt;"&amp;840)&gt;1,"충돌",HYPERLINK("#'관리자_MASTER'!D"&amp;_xlfn.MAXIFS(m_row,m_teacher,BA$4,m_date,($G$2+27),m_active,1,m_start,"&lt;"&amp;900,m_end,"&gt;"&amp;840),INDEX(m_label,_xlfn.MAXIFS(m_row,m_teacher,BA$4,m_date,($G$2+27),m_active,1,m_start,"&lt;"&amp;900,m_end,"&gt;"&amp;840))))))</f>
        <v/>
      </c>
      <c r="BB76" s="82" t="str">
        <f aca="false">IF(OR(BB$4="",MONTH(($G$2+27))&lt;&gt;MONTH($C$2)),"",IF(COUNTIFS(m_teacher,BB$4,m_date,($G$2+27),m_active,1,m_start,"&lt;"&amp;900,m_end,"&gt;"&amp;840)=0,"",IF(COUNTIFS(m_teacher,BB$4,m_date,($G$2+27),m_active,1,m_start,"&lt;"&amp;900,m_end,"&gt;"&amp;840)&gt;1,"충돌",HYPERLINK("#'관리자_MASTER'!D"&amp;_xlfn.MAXIFS(m_row,m_teacher,BB$4,m_date,($G$2+27),m_active,1,m_start,"&lt;"&amp;900,m_end,"&gt;"&amp;840),INDEX(m_label,_xlfn.MAXIFS(m_row,m_teacher,BB$4,m_date,($G$2+27),m_active,1,m_start,"&lt;"&amp;900,m_end,"&gt;"&amp;840))))))</f>
        <v/>
      </c>
      <c r="BC76" s="82" t="str">
        <f aca="false">IF(OR(BC$4="",MONTH(($G$2+27))&lt;&gt;MONTH($C$2)),"",IF(COUNTIFS(m_teacher,BC$4,m_date,($G$2+27),m_active,1,m_start,"&lt;"&amp;900,m_end,"&gt;"&amp;840)=0,"",IF(COUNTIFS(m_teacher,BC$4,m_date,($G$2+27),m_active,1,m_start,"&lt;"&amp;900,m_end,"&gt;"&amp;840)&gt;1,"충돌",HYPERLINK("#'관리자_MASTER'!D"&amp;_xlfn.MAXIFS(m_row,m_teacher,BC$4,m_date,($G$2+27),m_active,1,m_start,"&lt;"&amp;900,m_end,"&gt;"&amp;840),INDEX(m_label,_xlfn.MAXIFS(m_row,m_teacher,BC$4,m_date,($G$2+27),m_active,1,m_start,"&lt;"&amp;900,m_end,"&gt;"&amp;840))))))</f>
        <v/>
      </c>
      <c r="BD76" s="82" t="str">
        <f aca="false">IF(OR(BD$4="",MONTH(($G$2+27))&lt;&gt;MONTH($C$2)),"",IF(COUNTIFS(m_teacher,BD$4,m_date,($G$2+27),m_active,1,m_start,"&lt;"&amp;900,m_end,"&gt;"&amp;840)=0,"",IF(COUNTIFS(m_teacher,BD$4,m_date,($G$2+27),m_active,1,m_start,"&lt;"&amp;900,m_end,"&gt;"&amp;840)&gt;1,"충돌",HYPERLINK("#'관리자_MASTER'!D"&amp;_xlfn.MAXIFS(m_row,m_teacher,BD$4,m_date,($G$2+27),m_active,1,m_start,"&lt;"&amp;900,m_end,"&gt;"&amp;840),INDEX(m_label,_xlfn.MAXIFS(m_row,m_teacher,BD$4,m_date,($G$2+27),m_active,1,m_start,"&lt;"&amp;900,m_end,"&gt;"&amp;840))))))</f>
        <v/>
      </c>
    </row>
    <row r="77" customFormat="false" ht="19.5" hidden="false" customHeight="true" outlineLevel="0" collapsed="false">
      <c r="A77" s="92"/>
      <c r="B77" s="79" t="s">
        <v>97</v>
      </c>
      <c r="C77" s="82" t="str">
        <f aca="false">IF(OR(C$4="",MONTH(($G$2+6))&lt;&gt;MONTH($C$2)),"",IF(COUNTIFS(m_teacher,C$4,m_date,($G$2+6),m_active,1,m_start,"&lt;"&amp;960,m_end,"&gt;"&amp;900)=0,"",IF(COUNTIFS(m_teacher,C$4,m_date,($G$2+6),m_active,1,m_start,"&lt;"&amp;960,m_end,"&gt;"&amp;900)&gt;1,"충돌",HYPERLINK("#'관리자_MASTER'!D"&amp;_xlfn.MAXIFS(m_row,m_teacher,C$4,m_date,($G$2+6),m_active,1,m_start,"&lt;"&amp;960,m_end,"&gt;"&amp;900),INDEX(m_label,_xlfn.MAXIFS(m_row,m_teacher,C$4,m_date,($G$2+6),m_active,1,m_start,"&lt;"&amp;960,m_end,"&gt;"&amp;900))))))</f>
        <v/>
      </c>
      <c r="D77" s="82" t="str">
        <f aca="false">IF(OR(D$4="",MONTH(($G$2+6))&lt;&gt;MONTH($C$2)),"",IF(COUNTIFS(m_teacher,D$4,m_date,($G$2+6),m_active,1,m_start,"&lt;"&amp;960,m_end,"&gt;"&amp;900)=0,"",IF(COUNTIFS(m_teacher,D$4,m_date,($G$2+6),m_active,1,m_start,"&lt;"&amp;960,m_end,"&gt;"&amp;900)&gt;1,"충돌",HYPERLINK("#'관리자_MASTER'!D"&amp;_xlfn.MAXIFS(m_row,m_teacher,D$4,m_date,($G$2+6),m_active,1,m_start,"&lt;"&amp;960,m_end,"&gt;"&amp;900),INDEX(m_label,_xlfn.MAXIFS(m_row,m_teacher,D$4,m_date,($G$2+6),m_active,1,m_start,"&lt;"&amp;960,m_end,"&gt;"&amp;900))))))</f>
        <v/>
      </c>
      <c r="E77" s="82" t="str">
        <f aca="false">IF(OR(E$4="",MONTH(($G$2+6))&lt;&gt;MONTH($C$2)),"",IF(COUNTIFS(m_teacher,E$4,m_date,($G$2+6),m_active,1,m_start,"&lt;"&amp;960,m_end,"&gt;"&amp;900)=0,"",IF(COUNTIFS(m_teacher,E$4,m_date,($G$2+6),m_active,1,m_start,"&lt;"&amp;960,m_end,"&gt;"&amp;900)&gt;1,"충돌",HYPERLINK("#'관리자_MASTER'!D"&amp;_xlfn.MAXIFS(m_row,m_teacher,E$4,m_date,($G$2+6),m_active,1,m_start,"&lt;"&amp;960,m_end,"&gt;"&amp;900),INDEX(m_label,_xlfn.MAXIFS(m_row,m_teacher,E$4,m_date,($G$2+6),m_active,1,m_start,"&lt;"&amp;960,m_end,"&gt;"&amp;900))))))</f>
        <v/>
      </c>
      <c r="F77" s="82" t="str">
        <f aca="false">IF(OR(F$4="",MONTH(($G$2+6))&lt;&gt;MONTH($C$2)),"",IF(COUNTIFS(m_teacher,F$4,m_date,($G$2+6),m_active,1,m_start,"&lt;"&amp;960,m_end,"&gt;"&amp;900)=0,"",IF(COUNTIFS(m_teacher,F$4,m_date,($G$2+6),m_active,1,m_start,"&lt;"&amp;960,m_end,"&gt;"&amp;900)&gt;1,"충돌",HYPERLINK("#'관리자_MASTER'!D"&amp;_xlfn.MAXIFS(m_row,m_teacher,F$4,m_date,($G$2+6),m_active,1,m_start,"&lt;"&amp;960,m_end,"&gt;"&amp;900),INDEX(m_label,_xlfn.MAXIFS(m_row,m_teacher,F$4,m_date,($G$2+6),m_active,1,m_start,"&lt;"&amp;960,m_end,"&gt;"&amp;900))))))</f>
        <v/>
      </c>
      <c r="G77" s="82" t="str">
        <f aca="false">IF(OR(G$4="",MONTH(($G$2+6))&lt;&gt;MONTH($C$2)),"",IF(COUNTIFS(m_teacher,G$4,m_date,($G$2+6),m_active,1,m_start,"&lt;"&amp;960,m_end,"&gt;"&amp;900)=0,"",IF(COUNTIFS(m_teacher,G$4,m_date,($G$2+6),m_active,1,m_start,"&lt;"&amp;960,m_end,"&gt;"&amp;900)&gt;1,"충돌",HYPERLINK("#'관리자_MASTER'!D"&amp;_xlfn.MAXIFS(m_row,m_teacher,G$4,m_date,($G$2+6),m_active,1,m_start,"&lt;"&amp;960,m_end,"&gt;"&amp;900),INDEX(m_label,_xlfn.MAXIFS(m_row,m_teacher,G$4,m_date,($G$2+6),m_active,1,m_start,"&lt;"&amp;960,m_end,"&gt;"&amp;900))))))</f>
        <v/>
      </c>
      <c r="H77" s="82" t="str">
        <f aca="false">IF(OR(H$4="",MONTH(($G$2+6))&lt;&gt;MONTH($C$2)),"",IF(COUNTIFS(m_teacher,H$4,m_date,($G$2+6),m_active,1,m_start,"&lt;"&amp;960,m_end,"&gt;"&amp;900)=0,"",IF(COUNTIFS(m_teacher,H$4,m_date,($G$2+6),m_active,1,m_start,"&lt;"&amp;960,m_end,"&gt;"&amp;900)&gt;1,"충돌",HYPERLINK("#'관리자_MASTER'!D"&amp;_xlfn.MAXIFS(m_row,m_teacher,H$4,m_date,($G$2+6),m_active,1,m_start,"&lt;"&amp;960,m_end,"&gt;"&amp;900),INDEX(m_label,_xlfn.MAXIFS(m_row,m_teacher,H$4,m_date,($G$2+6),m_active,1,m_start,"&lt;"&amp;960,m_end,"&gt;"&amp;900))))))</f>
        <v/>
      </c>
      <c r="I77" s="82" t="str">
        <f aca="false">IF(OR(I$4="",MONTH(($G$2+6))&lt;&gt;MONTH($C$2)),"",IF(COUNTIFS(m_teacher,I$4,m_date,($G$2+6),m_active,1,m_start,"&lt;"&amp;960,m_end,"&gt;"&amp;900)=0,"",IF(COUNTIFS(m_teacher,I$4,m_date,($G$2+6),m_active,1,m_start,"&lt;"&amp;960,m_end,"&gt;"&amp;900)&gt;1,"충돌",HYPERLINK("#'관리자_MASTER'!D"&amp;_xlfn.MAXIFS(m_row,m_teacher,I$4,m_date,($G$2+6),m_active,1,m_start,"&lt;"&amp;960,m_end,"&gt;"&amp;900),INDEX(m_label,_xlfn.MAXIFS(m_row,m_teacher,I$4,m_date,($G$2+6),m_active,1,m_start,"&lt;"&amp;960,m_end,"&gt;"&amp;900))))))</f>
        <v/>
      </c>
      <c r="J77" s="82" t="str">
        <f aca="false">IF(OR(J$4="",MONTH(($G$2+6))&lt;&gt;MONTH($C$2)),"",IF(COUNTIFS(m_teacher,J$4,m_date,($G$2+6),m_active,1,m_start,"&lt;"&amp;960,m_end,"&gt;"&amp;900)=0,"",IF(COUNTIFS(m_teacher,J$4,m_date,($G$2+6),m_active,1,m_start,"&lt;"&amp;960,m_end,"&gt;"&amp;900)&gt;1,"충돌",HYPERLINK("#'관리자_MASTER'!D"&amp;_xlfn.MAXIFS(m_row,m_teacher,J$4,m_date,($G$2+6),m_active,1,m_start,"&lt;"&amp;960,m_end,"&gt;"&amp;900),INDEX(m_label,_xlfn.MAXIFS(m_row,m_teacher,J$4,m_date,($G$2+6),m_active,1,m_start,"&lt;"&amp;960,m_end,"&gt;"&amp;900))))))</f>
        <v/>
      </c>
      <c r="K77" s="82" t="str">
        <f aca="false">IF(OR(K$4="",MONTH(($G$2+6))&lt;&gt;MONTH($C$2)),"",IF(COUNTIFS(m_teacher,K$4,m_date,($G$2+6),m_active,1,m_start,"&lt;"&amp;960,m_end,"&gt;"&amp;900)=0,"",IF(COUNTIFS(m_teacher,K$4,m_date,($G$2+6),m_active,1,m_start,"&lt;"&amp;960,m_end,"&gt;"&amp;900)&gt;1,"충돌",HYPERLINK("#'관리자_MASTER'!D"&amp;_xlfn.MAXIFS(m_row,m_teacher,K$4,m_date,($G$2+6),m_active,1,m_start,"&lt;"&amp;960,m_end,"&gt;"&amp;900),INDEX(m_label,_xlfn.MAXIFS(m_row,m_teacher,K$4,m_date,($G$2+6),m_active,1,m_start,"&lt;"&amp;960,m_end,"&gt;"&amp;900))))))</f>
        <v/>
      </c>
      <c r="L77" s="82" t="str">
        <f aca="false">IF(OR(L$4="",MONTH(($G$2+6))&lt;&gt;MONTH($C$2)),"",IF(COUNTIFS(m_teacher,L$4,m_date,($G$2+6),m_active,1,m_start,"&lt;"&amp;960,m_end,"&gt;"&amp;900)=0,"",IF(COUNTIFS(m_teacher,L$4,m_date,($G$2+6),m_active,1,m_start,"&lt;"&amp;960,m_end,"&gt;"&amp;900)&gt;1,"충돌",HYPERLINK("#'관리자_MASTER'!D"&amp;_xlfn.MAXIFS(m_row,m_teacher,L$4,m_date,($G$2+6),m_active,1,m_start,"&lt;"&amp;960,m_end,"&gt;"&amp;900),INDEX(m_label,_xlfn.MAXIFS(m_row,m_teacher,L$4,m_date,($G$2+6),m_active,1,m_start,"&lt;"&amp;960,m_end,"&gt;"&amp;900))))))</f>
        <v/>
      </c>
      <c r="M77" s="82" t="str">
        <f aca="false">IF(OR(M$4="",MONTH(($G$2+6))&lt;&gt;MONTH($C$2)),"",IF(COUNTIFS(m_teacher,M$4,m_date,($G$2+6),m_active,1,m_start,"&lt;"&amp;960,m_end,"&gt;"&amp;900)=0,"",IF(COUNTIFS(m_teacher,M$4,m_date,($G$2+6),m_active,1,m_start,"&lt;"&amp;960,m_end,"&gt;"&amp;900)&gt;1,"충돌",HYPERLINK("#'관리자_MASTER'!D"&amp;_xlfn.MAXIFS(m_row,m_teacher,M$4,m_date,($G$2+6),m_active,1,m_start,"&lt;"&amp;960,m_end,"&gt;"&amp;900),INDEX(m_label,_xlfn.MAXIFS(m_row,m_teacher,M$4,m_date,($G$2+6),m_active,1,m_start,"&lt;"&amp;960,m_end,"&gt;"&amp;900))))))</f>
        <v/>
      </c>
      <c r="N77" s="82" t="str">
        <f aca="false">IF(OR(N$4="",MONTH(($G$2+6))&lt;&gt;MONTH($C$2)),"",IF(COUNTIFS(m_teacher,N$4,m_date,($G$2+6),m_active,1,m_start,"&lt;"&amp;960,m_end,"&gt;"&amp;900)=0,"",IF(COUNTIFS(m_teacher,N$4,m_date,($G$2+6),m_active,1,m_start,"&lt;"&amp;960,m_end,"&gt;"&amp;900)&gt;1,"충돌",HYPERLINK("#'관리자_MASTER'!D"&amp;_xlfn.MAXIFS(m_row,m_teacher,N$4,m_date,($G$2+6),m_active,1,m_start,"&lt;"&amp;960,m_end,"&gt;"&amp;900),INDEX(m_label,_xlfn.MAXIFS(m_row,m_teacher,N$4,m_date,($G$2+6),m_active,1,m_start,"&lt;"&amp;960,m_end,"&gt;"&amp;900))))))</f>
        <v/>
      </c>
      <c r="O77" s="92"/>
      <c r="P77" s="79" t="s">
        <v>97</v>
      </c>
      <c r="Q77" s="82" t="str">
        <f aca="false">IF(OR(Q$4="",MONTH(($G$2+13))&lt;&gt;MONTH($C$2)),"",IF(COUNTIFS(m_teacher,Q$4,m_date,($G$2+13),m_active,1,m_start,"&lt;"&amp;960,m_end,"&gt;"&amp;900)=0,"",IF(COUNTIFS(m_teacher,Q$4,m_date,($G$2+13),m_active,1,m_start,"&lt;"&amp;960,m_end,"&gt;"&amp;900)&gt;1,"충돌",HYPERLINK("#'관리자_MASTER'!D"&amp;_xlfn.MAXIFS(m_row,m_teacher,Q$4,m_date,($G$2+13),m_active,1,m_start,"&lt;"&amp;960,m_end,"&gt;"&amp;900),INDEX(m_label,_xlfn.MAXIFS(m_row,m_teacher,Q$4,m_date,($G$2+13),m_active,1,m_start,"&lt;"&amp;960,m_end,"&gt;"&amp;900))))))</f>
        <v/>
      </c>
      <c r="R77" s="82" t="str">
        <f aca="false">IF(OR(R$4="",MONTH(($G$2+13))&lt;&gt;MONTH($C$2)),"",IF(COUNTIFS(m_teacher,R$4,m_date,($G$2+13),m_active,1,m_start,"&lt;"&amp;960,m_end,"&gt;"&amp;900)=0,"",IF(COUNTIFS(m_teacher,R$4,m_date,($G$2+13),m_active,1,m_start,"&lt;"&amp;960,m_end,"&gt;"&amp;900)&gt;1,"충돌",HYPERLINK("#'관리자_MASTER'!D"&amp;_xlfn.MAXIFS(m_row,m_teacher,R$4,m_date,($G$2+13),m_active,1,m_start,"&lt;"&amp;960,m_end,"&gt;"&amp;900),INDEX(m_label,_xlfn.MAXIFS(m_row,m_teacher,R$4,m_date,($G$2+13),m_active,1,m_start,"&lt;"&amp;960,m_end,"&gt;"&amp;900))))))</f>
        <v/>
      </c>
      <c r="S77" s="82" t="str">
        <f aca="false">IF(OR(S$4="",MONTH(($G$2+13))&lt;&gt;MONTH($C$2)),"",IF(COUNTIFS(m_teacher,S$4,m_date,($G$2+13),m_active,1,m_start,"&lt;"&amp;960,m_end,"&gt;"&amp;900)=0,"",IF(COUNTIFS(m_teacher,S$4,m_date,($G$2+13),m_active,1,m_start,"&lt;"&amp;960,m_end,"&gt;"&amp;900)&gt;1,"충돌",HYPERLINK("#'관리자_MASTER'!D"&amp;_xlfn.MAXIFS(m_row,m_teacher,S$4,m_date,($G$2+13),m_active,1,m_start,"&lt;"&amp;960,m_end,"&gt;"&amp;900),INDEX(m_label,_xlfn.MAXIFS(m_row,m_teacher,S$4,m_date,($G$2+13),m_active,1,m_start,"&lt;"&amp;960,m_end,"&gt;"&amp;900))))))</f>
        <v/>
      </c>
      <c r="T77" s="82" t="str">
        <f aca="false">IF(OR(T$4="",MONTH(($G$2+13))&lt;&gt;MONTH($C$2)),"",IF(COUNTIFS(m_teacher,T$4,m_date,($G$2+13),m_active,1,m_start,"&lt;"&amp;960,m_end,"&gt;"&amp;900)=0,"",IF(COUNTIFS(m_teacher,T$4,m_date,($G$2+13),m_active,1,m_start,"&lt;"&amp;960,m_end,"&gt;"&amp;900)&gt;1,"충돌",HYPERLINK("#'관리자_MASTER'!D"&amp;_xlfn.MAXIFS(m_row,m_teacher,T$4,m_date,($G$2+13),m_active,1,m_start,"&lt;"&amp;960,m_end,"&gt;"&amp;900),INDEX(m_label,_xlfn.MAXIFS(m_row,m_teacher,T$4,m_date,($G$2+13),m_active,1,m_start,"&lt;"&amp;960,m_end,"&gt;"&amp;900))))))</f>
        <v/>
      </c>
      <c r="U77" s="82" t="str">
        <f aca="false">IF(OR(U$4="",MONTH(($G$2+13))&lt;&gt;MONTH($C$2)),"",IF(COUNTIFS(m_teacher,U$4,m_date,($G$2+13),m_active,1,m_start,"&lt;"&amp;960,m_end,"&gt;"&amp;900)=0,"",IF(COUNTIFS(m_teacher,U$4,m_date,($G$2+13),m_active,1,m_start,"&lt;"&amp;960,m_end,"&gt;"&amp;900)&gt;1,"충돌",HYPERLINK("#'관리자_MASTER'!D"&amp;_xlfn.MAXIFS(m_row,m_teacher,U$4,m_date,($G$2+13),m_active,1,m_start,"&lt;"&amp;960,m_end,"&gt;"&amp;900),INDEX(m_label,_xlfn.MAXIFS(m_row,m_teacher,U$4,m_date,($G$2+13),m_active,1,m_start,"&lt;"&amp;960,m_end,"&gt;"&amp;900))))))</f>
        <v/>
      </c>
      <c r="V77" s="82" t="str">
        <f aca="false">IF(OR(V$4="",MONTH(($G$2+13))&lt;&gt;MONTH($C$2)),"",IF(COUNTIFS(m_teacher,V$4,m_date,($G$2+13),m_active,1,m_start,"&lt;"&amp;960,m_end,"&gt;"&amp;900)=0,"",IF(COUNTIFS(m_teacher,V$4,m_date,($G$2+13),m_active,1,m_start,"&lt;"&amp;960,m_end,"&gt;"&amp;900)&gt;1,"충돌",HYPERLINK("#'관리자_MASTER'!D"&amp;_xlfn.MAXIFS(m_row,m_teacher,V$4,m_date,($G$2+13),m_active,1,m_start,"&lt;"&amp;960,m_end,"&gt;"&amp;900),INDEX(m_label,_xlfn.MAXIFS(m_row,m_teacher,V$4,m_date,($G$2+13),m_active,1,m_start,"&lt;"&amp;960,m_end,"&gt;"&amp;900))))))</f>
        <v/>
      </c>
      <c r="W77" s="82" t="str">
        <f aca="false">IF(OR(W$4="",MONTH(($G$2+13))&lt;&gt;MONTH($C$2)),"",IF(COUNTIFS(m_teacher,W$4,m_date,($G$2+13),m_active,1,m_start,"&lt;"&amp;960,m_end,"&gt;"&amp;900)=0,"",IF(COUNTIFS(m_teacher,W$4,m_date,($G$2+13),m_active,1,m_start,"&lt;"&amp;960,m_end,"&gt;"&amp;900)&gt;1,"충돌",HYPERLINK("#'관리자_MASTER'!D"&amp;_xlfn.MAXIFS(m_row,m_teacher,W$4,m_date,($G$2+13),m_active,1,m_start,"&lt;"&amp;960,m_end,"&gt;"&amp;900),INDEX(m_label,_xlfn.MAXIFS(m_row,m_teacher,W$4,m_date,($G$2+13),m_active,1,m_start,"&lt;"&amp;960,m_end,"&gt;"&amp;900))))))</f>
        <v/>
      </c>
      <c r="X77" s="82" t="str">
        <f aca="false">IF(OR(X$4="",MONTH(($G$2+13))&lt;&gt;MONTH($C$2)),"",IF(COUNTIFS(m_teacher,X$4,m_date,($G$2+13),m_active,1,m_start,"&lt;"&amp;960,m_end,"&gt;"&amp;900)=0,"",IF(COUNTIFS(m_teacher,X$4,m_date,($G$2+13),m_active,1,m_start,"&lt;"&amp;960,m_end,"&gt;"&amp;900)&gt;1,"충돌",HYPERLINK("#'관리자_MASTER'!D"&amp;_xlfn.MAXIFS(m_row,m_teacher,X$4,m_date,($G$2+13),m_active,1,m_start,"&lt;"&amp;960,m_end,"&gt;"&amp;900),INDEX(m_label,_xlfn.MAXIFS(m_row,m_teacher,X$4,m_date,($G$2+13),m_active,1,m_start,"&lt;"&amp;960,m_end,"&gt;"&amp;900))))))</f>
        <v/>
      </c>
      <c r="Y77" s="82" t="str">
        <f aca="false">IF(OR(Y$4="",MONTH(($G$2+13))&lt;&gt;MONTH($C$2)),"",IF(COUNTIFS(m_teacher,Y$4,m_date,($G$2+13),m_active,1,m_start,"&lt;"&amp;960,m_end,"&gt;"&amp;900)=0,"",IF(COUNTIFS(m_teacher,Y$4,m_date,($G$2+13),m_active,1,m_start,"&lt;"&amp;960,m_end,"&gt;"&amp;900)&gt;1,"충돌",HYPERLINK("#'관리자_MASTER'!D"&amp;_xlfn.MAXIFS(m_row,m_teacher,Y$4,m_date,($G$2+13),m_active,1,m_start,"&lt;"&amp;960,m_end,"&gt;"&amp;900),INDEX(m_label,_xlfn.MAXIFS(m_row,m_teacher,Y$4,m_date,($G$2+13),m_active,1,m_start,"&lt;"&amp;960,m_end,"&gt;"&amp;900))))))</f>
        <v/>
      </c>
      <c r="Z77" s="82" t="str">
        <f aca="false">IF(OR(Z$4="",MONTH(($G$2+13))&lt;&gt;MONTH($C$2)),"",IF(COUNTIFS(m_teacher,Z$4,m_date,($G$2+13),m_active,1,m_start,"&lt;"&amp;960,m_end,"&gt;"&amp;900)=0,"",IF(COUNTIFS(m_teacher,Z$4,m_date,($G$2+13),m_active,1,m_start,"&lt;"&amp;960,m_end,"&gt;"&amp;900)&gt;1,"충돌",HYPERLINK("#'관리자_MASTER'!D"&amp;_xlfn.MAXIFS(m_row,m_teacher,Z$4,m_date,($G$2+13),m_active,1,m_start,"&lt;"&amp;960,m_end,"&gt;"&amp;900),INDEX(m_label,_xlfn.MAXIFS(m_row,m_teacher,Z$4,m_date,($G$2+13),m_active,1,m_start,"&lt;"&amp;960,m_end,"&gt;"&amp;900))))))</f>
        <v/>
      </c>
      <c r="AA77" s="82" t="str">
        <f aca="false">IF(OR(AA$4="",MONTH(($G$2+13))&lt;&gt;MONTH($C$2)),"",IF(COUNTIFS(m_teacher,AA$4,m_date,($G$2+13),m_active,1,m_start,"&lt;"&amp;960,m_end,"&gt;"&amp;900)=0,"",IF(COUNTIFS(m_teacher,AA$4,m_date,($G$2+13),m_active,1,m_start,"&lt;"&amp;960,m_end,"&gt;"&amp;900)&gt;1,"충돌",HYPERLINK("#'관리자_MASTER'!D"&amp;_xlfn.MAXIFS(m_row,m_teacher,AA$4,m_date,($G$2+13),m_active,1,m_start,"&lt;"&amp;960,m_end,"&gt;"&amp;900),INDEX(m_label,_xlfn.MAXIFS(m_row,m_teacher,AA$4,m_date,($G$2+13),m_active,1,m_start,"&lt;"&amp;960,m_end,"&gt;"&amp;900))))))</f>
        <v/>
      </c>
      <c r="AB77" s="82" t="str">
        <f aca="false">IF(OR(AB$4="",MONTH(($G$2+13))&lt;&gt;MONTH($C$2)),"",IF(COUNTIFS(m_teacher,AB$4,m_date,($G$2+13),m_active,1,m_start,"&lt;"&amp;960,m_end,"&gt;"&amp;900)=0,"",IF(COUNTIFS(m_teacher,AB$4,m_date,($G$2+13),m_active,1,m_start,"&lt;"&amp;960,m_end,"&gt;"&amp;900)&gt;1,"충돌",HYPERLINK("#'관리자_MASTER'!D"&amp;_xlfn.MAXIFS(m_row,m_teacher,AB$4,m_date,($G$2+13),m_active,1,m_start,"&lt;"&amp;960,m_end,"&gt;"&amp;900),INDEX(m_label,_xlfn.MAXIFS(m_row,m_teacher,AB$4,m_date,($G$2+13),m_active,1,m_start,"&lt;"&amp;960,m_end,"&gt;"&amp;900))))))</f>
        <v/>
      </c>
      <c r="AC77" s="92"/>
      <c r="AD77" s="79" t="s">
        <v>97</v>
      </c>
      <c r="AE77" s="82" t="str">
        <f aca="false">IF(OR(AE$4="",MONTH(($G$2+20))&lt;&gt;MONTH($C$2)),"",IF(COUNTIFS(m_teacher,AE$4,m_date,($G$2+20),m_active,1,m_start,"&lt;"&amp;960,m_end,"&gt;"&amp;900)=0,"",IF(COUNTIFS(m_teacher,AE$4,m_date,($G$2+20),m_active,1,m_start,"&lt;"&amp;960,m_end,"&gt;"&amp;900)&gt;1,"충돌",HYPERLINK("#'관리자_MASTER'!D"&amp;_xlfn.MAXIFS(m_row,m_teacher,AE$4,m_date,($G$2+20),m_active,1,m_start,"&lt;"&amp;960,m_end,"&gt;"&amp;900),INDEX(m_label,_xlfn.MAXIFS(m_row,m_teacher,AE$4,m_date,($G$2+20),m_active,1,m_start,"&lt;"&amp;960,m_end,"&gt;"&amp;900))))))</f>
        <v/>
      </c>
      <c r="AF77" s="82" t="str">
        <f aca="false">IF(OR(AF$4="",MONTH(($G$2+20))&lt;&gt;MONTH($C$2)),"",IF(COUNTIFS(m_teacher,AF$4,m_date,($G$2+20),m_active,1,m_start,"&lt;"&amp;960,m_end,"&gt;"&amp;900)=0,"",IF(COUNTIFS(m_teacher,AF$4,m_date,($G$2+20),m_active,1,m_start,"&lt;"&amp;960,m_end,"&gt;"&amp;900)&gt;1,"충돌",HYPERLINK("#'관리자_MASTER'!D"&amp;_xlfn.MAXIFS(m_row,m_teacher,AF$4,m_date,($G$2+20),m_active,1,m_start,"&lt;"&amp;960,m_end,"&gt;"&amp;900),INDEX(m_label,_xlfn.MAXIFS(m_row,m_teacher,AF$4,m_date,($G$2+20),m_active,1,m_start,"&lt;"&amp;960,m_end,"&gt;"&amp;900))))))</f>
        <v/>
      </c>
      <c r="AG77" s="82" t="str">
        <f aca="false">IF(OR(AG$4="",MONTH(($G$2+20))&lt;&gt;MONTH($C$2)),"",IF(COUNTIFS(m_teacher,AG$4,m_date,($G$2+20),m_active,1,m_start,"&lt;"&amp;960,m_end,"&gt;"&amp;900)=0,"",IF(COUNTIFS(m_teacher,AG$4,m_date,($G$2+20),m_active,1,m_start,"&lt;"&amp;960,m_end,"&gt;"&amp;900)&gt;1,"충돌",HYPERLINK("#'관리자_MASTER'!D"&amp;_xlfn.MAXIFS(m_row,m_teacher,AG$4,m_date,($G$2+20),m_active,1,m_start,"&lt;"&amp;960,m_end,"&gt;"&amp;900),INDEX(m_label,_xlfn.MAXIFS(m_row,m_teacher,AG$4,m_date,($G$2+20),m_active,1,m_start,"&lt;"&amp;960,m_end,"&gt;"&amp;900))))))</f>
        <v/>
      </c>
      <c r="AH77" s="82" t="str">
        <f aca="false">IF(OR(AH$4="",MONTH(($G$2+20))&lt;&gt;MONTH($C$2)),"",IF(COUNTIFS(m_teacher,AH$4,m_date,($G$2+20),m_active,1,m_start,"&lt;"&amp;960,m_end,"&gt;"&amp;900)=0,"",IF(COUNTIFS(m_teacher,AH$4,m_date,($G$2+20),m_active,1,m_start,"&lt;"&amp;960,m_end,"&gt;"&amp;900)&gt;1,"충돌",HYPERLINK("#'관리자_MASTER'!D"&amp;_xlfn.MAXIFS(m_row,m_teacher,AH$4,m_date,($G$2+20),m_active,1,m_start,"&lt;"&amp;960,m_end,"&gt;"&amp;900),INDEX(m_label,_xlfn.MAXIFS(m_row,m_teacher,AH$4,m_date,($G$2+20),m_active,1,m_start,"&lt;"&amp;960,m_end,"&gt;"&amp;900))))))</f>
        <v/>
      </c>
      <c r="AI77" s="82" t="str">
        <f aca="false">IF(OR(AI$4="",MONTH(($G$2+20))&lt;&gt;MONTH($C$2)),"",IF(COUNTIFS(m_teacher,AI$4,m_date,($G$2+20),m_active,1,m_start,"&lt;"&amp;960,m_end,"&gt;"&amp;900)=0,"",IF(COUNTIFS(m_teacher,AI$4,m_date,($G$2+20),m_active,1,m_start,"&lt;"&amp;960,m_end,"&gt;"&amp;900)&gt;1,"충돌",HYPERLINK("#'관리자_MASTER'!D"&amp;_xlfn.MAXIFS(m_row,m_teacher,AI$4,m_date,($G$2+20),m_active,1,m_start,"&lt;"&amp;960,m_end,"&gt;"&amp;900),INDEX(m_label,_xlfn.MAXIFS(m_row,m_teacher,AI$4,m_date,($G$2+20),m_active,1,m_start,"&lt;"&amp;960,m_end,"&gt;"&amp;900))))))</f>
        <v/>
      </c>
      <c r="AJ77" s="82" t="str">
        <f aca="false">IF(OR(AJ$4="",MONTH(($G$2+20))&lt;&gt;MONTH($C$2)),"",IF(COUNTIFS(m_teacher,AJ$4,m_date,($G$2+20),m_active,1,m_start,"&lt;"&amp;960,m_end,"&gt;"&amp;900)=0,"",IF(COUNTIFS(m_teacher,AJ$4,m_date,($G$2+20),m_active,1,m_start,"&lt;"&amp;960,m_end,"&gt;"&amp;900)&gt;1,"충돌",HYPERLINK("#'관리자_MASTER'!D"&amp;_xlfn.MAXIFS(m_row,m_teacher,AJ$4,m_date,($G$2+20),m_active,1,m_start,"&lt;"&amp;960,m_end,"&gt;"&amp;900),INDEX(m_label,_xlfn.MAXIFS(m_row,m_teacher,AJ$4,m_date,($G$2+20),m_active,1,m_start,"&lt;"&amp;960,m_end,"&gt;"&amp;900))))))</f>
        <v/>
      </c>
      <c r="AK77" s="82" t="str">
        <f aca="false">IF(OR(AK$4="",MONTH(($G$2+20))&lt;&gt;MONTH($C$2)),"",IF(COUNTIFS(m_teacher,AK$4,m_date,($G$2+20),m_active,1,m_start,"&lt;"&amp;960,m_end,"&gt;"&amp;900)=0,"",IF(COUNTIFS(m_teacher,AK$4,m_date,($G$2+20),m_active,1,m_start,"&lt;"&amp;960,m_end,"&gt;"&amp;900)&gt;1,"충돌",HYPERLINK("#'관리자_MASTER'!D"&amp;_xlfn.MAXIFS(m_row,m_teacher,AK$4,m_date,($G$2+20),m_active,1,m_start,"&lt;"&amp;960,m_end,"&gt;"&amp;900),INDEX(m_label,_xlfn.MAXIFS(m_row,m_teacher,AK$4,m_date,($G$2+20),m_active,1,m_start,"&lt;"&amp;960,m_end,"&gt;"&amp;900))))))</f>
        <v/>
      </c>
      <c r="AL77" s="82" t="str">
        <f aca="false">IF(OR(AL$4="",MONTH(($G$2+20))&lt;&gt;MONTH($C$2)),"",IF(COUNTIFS(m_teacher,AL$4,m_date,($G$2+20),m_active,1,m_start,"&lt;"&amp;960,m_end,"&gt;"&amp;900)=0,"",IF(COUNTIFS(m_teacher,AL$4,m_date,($G$2+20),m_active,1,m_start,"&lt;"&amp;960,m_end,"&gt;"&amp;900)&gt;1,"충돌",HYPERLINK("#'관리자_MASTER'!D"&amp;_xlfn.MAXIFS(m_row,m_teacher,AL$4,m_date,($G$2+20),m_active,1,m_start,"&lt;"&amp;960,m_end,"&gt;"&amp;900),INDEX(m_label,_xlfn.MAXIFS(m_row,m_teacher,AL$4,m_date,($G$2+20),m_active,1,m_start,"&lt;"&amp;960,m_end,"&gt;"&amp;900))))))</f>
        <v/>
      </c>
      <c r="AM77" s="82" t="str">
        <f aca="false">IF(OR(AM$4="",MONTH(($G$2+20))&lt;&gt;MONTH($C$2)),"",IF(COUNTIFS(m_teacher,AM$4,m_date,($G$2+20),m_active,1,m_start,"&lt;"&amp;960,m_end,"&gt;"&amp;900)=0,"",IF(COUNTIFS(m_teacher,AM$4,m_date,($G$2+20),m_active,1,m_start,"&lt;"&amp;960,m_end,"&gt;"&amp;900)&gt;1,"충돌",HYPERLINK("#'관리자_MASTER'!D"&amp;_xlfn.MAXIFS(m_row,m_teacher,AM$4,m_date,($G$2+20),m_active,1,m_start,"&lt;"&amp;960,m_end,"&gt;"&amp;900),INDEX(m_label,_xlfn.MAXIFS(m_row,m_teacher,AM$4,m_date,($G$2+20),m_active,1,m_start,"&lt;"&amp;960,m_end,"&gt;"&amp;900))))))</f>
        <v/>
      </c>
      <c r="AN77" s="82" t="str">
        <f aca="false">IF(OR(AN$4="",MONTH(($G$2+20))&lt;&gt;MONTH($C$2)),"",IF(COUNTIFS(m_teacher,AN$4,m_date,($G$2+20),m_active,1,m_start,"&lt;"&amp;960,m_end,"&gt;"&amp;900)=0,"",IF(COUNTIFS(m_teacher,AN$4,m_date,($G$2+20),m_active,1,m_start,"&lt;"&amp;960,m_end,"&gt;"&amp;900)&gt;1,"충돌",HYPERLINK("#'관리자_MASTER'!D"&amp;_xlfn.MAXIFS(m_row,m_teacher,AN$4,m_date,($G$2+20),m_active,1,m_start,"&lt;"&amp;960,m_end,"&gt;"&amp;900),INDEX(m_label,_xlfn.MAXIFS(m_row,m_teacher,AN$4,m_date,($G$2+20),m_active,1,m_start,"&lt;"&amp;960,m_end,"&gt;"&amp;900))))))</f>
        <v/>
      </c>
      <c r="AO77" s="82" t="str">
        <f aca="false">IF(OR(AO$4="",MONTH(($G$2+20))&lt;&gt;MONTH($C$2)),"",IF(COUNTIFS(m_teacher,AO$4,m_date,($G$2+20),m_active,1,m_start,"&lt;"&amp;960,m_end,"&gt;"&amp;900)=0,"",IF(COUNTIFS(m_teacher,AO$4,m_date,($G$2+20),m_active,1,m_start,"&lt;"&amp;960,m_end,"&gt;"&amp;900)&gt;1,"충돌",HYPERLINK("#'관리자_MASTER'!D"&amp;_xlfn.MAXIFS(m_row,m_teacher,AO$4,m_date,($G$2+20),m_active,1,m_start,"&lt;"&amp;960,m_end,"&gt;"&amp;900),INDEX(m_label,_xlfn.MAXIFS(m_row,m_teacher,AO$4,m_date,($G$2+20),m_active,1,m_start,"&lt;"&amp;960,m_end,"&gt;"&amp;900))))))</f>
        <v/>
      </c>
      <c r="AP77" s="82" t="str">
        <f aca="false">IF(OR(AP$4="",MONTH(($G$2+20))&lt;&gt;MONTH($C$2)),"",IF(COUNTIFS(m_teacher,AP$4,m_date,($G$2+20),m_active,1,m_start,"&lt;"&amp;960,m_end,"&gt;"&amp;900)=0,"",IF(COUNTIFS(m_teacher,AP$4,m_date,($G$2+20),m_active,1,m_start,"&lt;"&amp;960,m_end,"&gt;"&amp;900)&gt;1,"충돌",HYPERLINK("#'관리자_MASTER'!D"&amp;_xlfn.MAXIFS(m_row,m_teacher,AP$4,m_date,($G$2+20),m_active,1,m_start,"&lt;"&amp;960,m_end,"&gt;"&amp;900),INDEX(m_label,_xlfn.MAXIFS(m_row,m_teacher,AP$4,m_date,($G$2+20),m_active,1,m_start,"&lt;"&amp;960,m_end,"&gt;"&amp;900))))))</f>
        <v/>
      </c>
      <c r="AQ77" s="92"/>
      <c r="AR77" s="79" t="s">
        <v>97</v>
      </c>
      <c r="AS77" s="82" t="str">
        <f aca="false">IF(OR(AS$4="",MONTH(($G$2+27))&lt;&gt;MONTH($C$2)),"",IF(COUNTIFS(m_teacher,AS$4,m_date,($G$2+27),m_active,1,m_start,"&lt;"&amp;960,m_end,"&gt;"&amp;900)=0,"",IF(COUNTIFS(m_teacher,AS$4,m_date,($G$2+27),m_active,1,m_start,"&lt;"&amp;960,m_end,"&gt;"&amp;900)&gt;1,"충돌",HYPERLINK("#'관리자_MASTER'!D"&amp;_xlfn.MAXIFS(m_row,m_teacher,AS$4,m_date,($G$2+27),m_active,1,m_start,"&lt;"&amp;960,m_end,"&gt;"&amp;900),INDEX(m_label,_xlfn.MAXIFS(m_row,m_teacher,AS$4,m_date,($G$2+27),m_active,1,m_start,"&lt;"&amp;960,m_end,"&gt;"&amp;900))))))</f>
        <v/>
      </c>
      <c r="AT77" s="82" t="str">
        <f aca="false">IF(OR(AT$4="",MONTH(($G$2+27))&lt;&gt;MONTH($C$2)),"",IF(COUNTIFS(m_teacher,AT$4,m_date,($G$2+27),m_active,1,m_start,"&lt;"&amp;960,m_end,"&gt;"&amp;900)=0,"",IF(COUNTIFS(m_teacher,AT$4,m_date,($G$2+27),m_active,1,m_start,"&lt;"&amp;960,m_end,"&gt;"&amp;900)&gt;1,"충돌",HYPERLINK("#'관리자_MASTER'!D"&amp;_xlfn.MAXIFS(m_row,m_teacher,AT$4,m_date,($G$2+27),m_active,1,m_start,"&lt;"&amp;960,m_end,"&gt;"&amp;900),INDEX(m_label,_xlfn.MAXIFS(m_row,m_teacher,AT$4,m_date,($G$2+27),m_active,1,m_start,"&lt;"&amp;960,m_end,"&gt;"&amp;900))))))</f>
        <v/>
      </c>
      <c r="AU77" s="82" t="str">
        <f aca="false">IF(OR(AU$4="",MONTH(($G$2+27))&lt;&gt;MONTH($C$2)),"",IF(COUNTIFS(m_teacher,AU$4,m_date,($G$2+27),m_active,1,m_start,"&lt;"&amp;960,m_end,"&gt;"&amp;900)=0,"",IF(COUNTIFS(m_teacher,AU$4,m_date,($G$2+27),m_active,1,m_start,"&lt;"&amp;960,m_end,"&gt;"&amp;900)&gt;1,"충돌",HYPERLINK("#'관리자_MASTER'!D"&amp;_xlfn.MAXIFS(m_row,m_teacher,AU$4,m_date,($G$2+27),m_active,1,m_start,"&lt;"&amp;960,m_end,"&gt;"&amp;900),INDEX(m_label,_xlfn.MAXIFS(m_row,m_teacher,AU$4,m_date,($G$2+27),m_active,1,m_start,"&lt;"&amp;960,m_end,"&gt;"&amp;900))))))</f>
        <v/>
      </c>
      <c r="AV77" s="82" t="str">
        <f aca="false">IF(OR(AV$4="",MONTH(($G$2+27))&lt;&gt;MONTH($C$2)),"",IF(COUNTIFS(m_teacher,AV$4,m_date,($G$2+27),m_active,1,m_start,"&lt;"&amp;960,m_end,"&gt;"&amp;900)=0,"",IF(COUNTIFS(m_teacher,AV$4,m_date,($G$2+27),m_active,1,m_start,"&lt;"&amp;960,m_end,"&gt;"&amp;900)&gt;1,"충돌",HYPERLINK("#'관리자_MASTER'!D"&amp;_xlfn.MAXIFS(m_row,m_teacher,AV$4,m_date,($G$2+27),m_active,1,m_start,"&lt;"&amp;960,m_end,"&gt;"&amp;900),INDEX(m_label,_xlfn.MAXIFS(m_row,m_teacher,AV$4,m_date,($G$2+27),m_active,1,m_start,"&lt;"&amp;960,m_end,"&gt;"&amp;900))))))</f>
        <v/>
      </c>
      <c r="AW77" s="82" t="str">
        <f aca="false">IF(OR(AW$4="",MONTH(($G$2+27))&lt;&gt;MONTH($C$2)),"",IF(COUNTIFS(m_teacher,AW$4,m_date,($G$2+27),m_active,1,m_start,"&lt;"&amp;960,m_end,"&gt;"&amp;900)=0,"",IF(COUNTIFS(m_teacher,AW$4,m_date,($G$2+27),m_active,1,m_start,"&lt;"&amp;960,m_end,"&gt;"&amp;900)&gt;1,"충돌",HYPERLINK("#'관리자_MASTER'!D"&amp;_xlfn.MAXIFS(m_row,m_teacher,AW$4,m_date,($G$2+27),m_active,1,m_start,"&lt;"&amp;960,m_end,"&gt;"&amp;900),INDEX(m_label,_xlfn.MAXIFS(m_row,m_teacher,AW$4,m_date,($G$2+27),m_active,1,m_start,"&lt;"&amp;960,m_end,"&gt;"&amp;900))))))</f>
        <v/>
      </c>
      <c r="AX77" s="82" t="str">
        <f aca="false">IF(OR(AX$4="",MONTH(($G$2+27))&lt;&gt;MONTH($C$2)),"",IF(COUNTIFS(m_teacher,AX$4,m_date,($G$2+27),m_active,1,m_start,"&lt;"&amp;960,m_end,"&gt;"&amp;900)=0,"",IF(COUNTIFS(m_teacher,AX$4,m_date,($G$2+27),m_active,1,m_start,"&lt;"&amp;960,m_end,"&gt;"&amp;900)&gt;1,"충돌",HYPERLINK("#'관리자_MASTER'!D"&amp;_xlfn.MAXIFS(m_row,m_teacher,AX$4,m_date,($G$2+27),m_active,1,m_start,"&lt;"&amp;960,m_end,"&gt;"&amp;900),INDEX(m_label,_xlfn.MAXIFS(m_row,m_teacher,AX$4,m_date,($G$2+27),m_active,1,m_start,"&lt;"&amp;960,m_end,"&gt;"&amp;900))))))</f>
        <v/>
      </c>
      <c r="AY77" s="82" t="str">
        <f aca="false">IF(OR(AY$4="",MONTH(($G$2+27))&lt;&gt;MONTH($C$2)),"",IF(COUNTIFS(m_teacher,AY$4,m_date,($G$2+27),m_active,1,m_start,"&lt;"&amp;960,m_end,"&gt;"&amp;900)=0,"",IF(COUNTIFS(m_teacher,AY$4,m_date,($G$2+27),m_active,1,m_start,"&lt;"&amp;960,m_end,"&gt;"&amp;900)&gt;1,"충돌",HYPERLINK("#'관리자_MASTER'!D"&amp;_xlfn.MAXIFS(m_row,m_teacher,AY$4,m_date,($G$2+27),m_active,1,m_start,"&lt;"&amp;960,m_end,"&gt;"&amp;900),INDEX(m_label,_xlfn.MAXIFS(m_row,m_teacher,AY$4,m_date,($G$2+27),m_active,1,m_start,"&lt;"&amp;960,m_end,"&gt;"&amp;900))))))</f>
        <v/>
      </c>
      <c r="AZ77" s="82" t="str">
        <f aca="false">IF(OR(AZ$4="",MONTH(($G$2+27))&lt;&gt;MONTH($C$2)),"",IF(COUNTIFS(m_teacher,AZ$4,m_date,($G$2+27),m_active,1,m_start,"&lt;"&amp;960,m_end,"&gt;"&amp;900)=0,"",IF(COUNTIFS(m_teacher,AZ$4,m_date,($G$2+27),m_active,1,m_start,"&lt;"&amp;960,m_end,"&gt;"&amp;900)&gt;1,"충돌",HYPERLINK("#'관리자_MASTER'!D"&amp;_xlfn.MAXIFS(m_row,m_teacher,AZ$4,m_date,($G$2+27),m_active,1,m_start,"&lt;"&amp;960,m_end,"&gt;"&amp;900),INDEX(m_label,_xlfn.MAXIFS(m_row,m_teacher,AZ$4,m_date,($G$2+27),m_active,1,m_start,"&lt;"&amp;960,m_end,"&gt;"&amp;900))))))</f>
        <v/>
      </c>
      <c r="BA77" s="82" t="str">
        <f aca="false">IF(OR(BA$4="",MONTH(($G$2+27))&lt;&gt;MONTH($C$2)),"",IF(COUNTIFS(m_teacher,BA$4,m_date,($G$2+27),m_active,1,m_start,"&lt;"&amp;960,m_end,"&gt;"&amp;900)=0,"",IF(COUNTIFS(m_teacher,BA$4,m_date,($G$2+27),m_active,1,m_start,"&lt;"&amp;960,m_end,"&gt;"&amp;900)&gt;1,"충돌",HYPERLINK("#'관리자_MASTER'!D"&amp;_xlfn.MAXIFS(m_row,m_teacher,BA$4,m_date,($G$2+27),m_active,1,m_start,"&lt;"&amp;960,m_end,"&gt;"&amp;900),INDEX(m_label,_xlfn.MAXIFS(m_row,m_teacher,BA$4,m_date,($G$2+27),m_active,1,m_start,"&lt;"&amp;960,m_end,"&gt;"&amp;900))))))</f>
        <v/>
      </c>
      <c r="BB77" s="82" t="str">
        <f aca="false">IF(OR(BB$4="",MONTH(($G$2+27))&lt;&gt;MONTH($C$2)),"",IF(COUNTIFS(m_teacher,BB$4,m_date,($G$2+27),m_active,1,m_start,"&lt;"&amp;960,m_end,"&gt;"&amp;900)=0,"",IF(COUNTIFS(m_teacher,BB$4,m_date,($G$2+27),m_active,1,m_start,"&lt;"&amp;960,m_end,"&gt;"&amp;900)&gt;1,"충돌",HYPERLINK("#'관리자_MASTER'!D"&amp;_xlfn.MAXIFS(m_row,m_teacher,BB$4,m_date,($G$2+27),m_active,1,m_start,"&lt;"&amp;960,m_end,"&gt;"&amp;900),INDEX(m_label,_xlfn.MAXIFS(m_row,m_teacher,BB$4,m_date,($G$2+27),m_active,1,m_start,"&lt;"&amp;960,m_end,"&gt;"&amp;900))))))</f>
        <v/>
      </c>
      <c r="BC77" s="82" t="str">
        <f aca="false">IF(OR(BC$4="",MONTH(($G$2+27))&lt;&gt;MONTH($C$2)),"",IF(COUNTIFS(m_teacher,BC$4,m_date,($G$2+27),m_active,1,m_start,"&lt;"&amp;960,m_end,"&gt;"&amp;900)=0,"",IF(COUNTIFS(m_teacher,BC$4,m_date,($G$2+27),m_active,1,m_start,"&lt;"&amp;960,m_end,"&gt;"&amp;900)&gt;1,"충돌",HYPERLINK("#'관리자_MASTER'!D"&amp;_xlfn.MAXIFS(m_row,m_teacher,BC$4,m_date,($G$2+27),m_active,1,m_start,"&lt;"&amp;960,m_end,"&gt;"&amp;900),INDEX(m_label,_xlfn.MAXIFS(m_row,m_teacher,BC$4,m_date,($G$2+27),m_active,1,m_start,"&lt;"&amp;960,m_end,"&gt;"&amp;900))))))</f>
        <v/>
      </c>
      <c r="BD77" s="82" t="str">
        <f aca="false">IF(OR(BD$4="",MONTH(($G$2+27))&lt;&gt;MONTH($C$2)),"",IF(COUNTIFS(m_teacher,BD$4,m_date,($G$2+27),m_active,1,m_start,"&lt;"&amp;960,m_end,"&gt;"&amp;900)=0,"",IF(COUNTIFS(m_teacher,BD$4,m_date,($G$2+27),m_active,1,m_start,"&lt;"&amp;960,m_end,"&gt;"&amp;900)&gt;1,"충돌",HYPERLINK("#'관리자_MASTER'!D"&amp;_xlfn.MAXIFS(m_row,m_teacher,BD$4,m_date,($G$2+27),m_active,1,m_start,"&lt;"&amp;960,m_end,"&gt;"&amp;900),INDEX(m_label,_xlfn.MAXIFS(m_row,m_teacher,BD$4,m_date,($G$2+27),m_active,1,m_start,"&lt;"&amp;960,m_end,"&gt;"&amp;900))))))</f>
        <v/>
      </c>
    </row>
    <row r="78" customFormat="false" ht="19.5" hidden="false" customHeight="true" outlineLevel="0" collapsed="false">
      <c r="A78" s="92"/>
      <c r="B78" s="79" t="s">
        <v>98</v>
      </c>
      <c r="C78" s="82" t="str">
        <f aca="false">IF(OR(C$4="",MONTH(($G$2+6))&lt;&gt;MONTH($C$2)),"",IF(COUNTIFS(m_teacher,C$4,m_date,($G$2+6),m_active,1,m_start,"&lt;"&amp;1020,m_end,"&gt;"&amp;960)=0,"",IF(COUNTIFS(m_teacher,C$4,m_date,($G$2+6),m_active,1,m_start,"&lt;"&amp;1020,m_end,"&gt;"&amp;960)&gt;1,"충돌",HYPERLINK("#'관리자_MASTER'!D"&amp;_xlfn.MAXIFS(m_row,m_teacher,C$4,m_date,($G$2+6),m_active,1,m_start,"&lt;"&amp;1020,m_end,"&gt;"&amp;960),INDEX(m_label,_xlfn.MAXIFS(m_row,m_teacher,C$4,m_date,($G$2+6),m_active,1,m_start,"&lt;"&amp;1020,m_end,"&gt;"&amp;960))))))</f>
        <v/>
      </c>
      <c r="D78" s="82" t="str">
        <f aca="false">IF(OR(D$4="",MONTH(($G$2+6))&lt;&gt;MONTH($C$2)),"",IF(COUNTIFS(m_teacher,D$4,m_date,($G$2+6),m_active,1,m_start,"&lt;"&amp;1020,m_end,"&gt;"&amp;960)=0,"",IF(COUNTIFS(m_teacher,D$4,m_date,($G$2+6),m_active,1,m_start,"&lt;"&amp;1020,m_end,"&gt;"&amp;960)&gt;1,"충돌",HYPERLINK("#'관리자_MASTER'!D"&amp;_xlfn.MAXIFS(m_row,m_teacher,D$4,m_date,($G$2+6),m_active,1,m_start,"&lt;"&amp;1020,m_end,"&gt;"&amp;960),INDEX(m_label,_xlfn.MAXIFS(m_row,m_teacher,D$4,m_date,($G$2+6),m_active,1,m_start,"&lt;"&amp;1020,m_end,"&gt;"&amp;960))))))</f>
        <v/>
      </c>
      <c r="E78" s="82" t="str">
        <f aca="false">IF(OR(E$4="",MONTH(($G$2+6))&lt;&gt;MONTH($C$2)),"",IF(COUNTIFS(m_teacher,E$4,m_date,($G$2+6),m_active,1,m_start,"&lt;"&amp;1020,m_end,"&gt;"&amp;960)=0,"",IF(COUNTIFS(m_teacher,E$4,m_date,($G$2+6),m_active,1,m_start,"&lt;"&amp;1020,m_end,"&gt;"&amp;960)&gt;1,"충돌",HYPERLINK("#'관리자_MASTER'!D"&amp;_xlfn.MAXIFS(m_row,m_teacher,E$4,m_date,($G$2+6),m_active,1,m_start,"&lt;"&amp;1020,m_end,"&gt;"&amp;960),INDEX(m_label,_xlfn.MAXIFS(m_row,m_teacher,E$4,m_date,($G$2+6),m_active,1,m_start,"&lt;"&amp;1020,m_end,"&gt;"&amp;960))))))</f>
        <v/>
      </c>
      <c r="F78" s="82" t="str">
        <f aca="false">IF(OR(F$4="",MONTH(($G$2+6))&lt;&gt;MONTH($C$2)),"",IF(COUNTIFS(m_teacher,F$4,m_date,($G$2+6),m_active,1,m_start,"&lt;"&amp;1020,m_end,"&gt;"&amp;960)=0,"",IF(COUNTIFS(m_teacher,F$4,m_date,($G$2+6),m_active,1,m_start,"&lt;"&amp;1020,m_end,"&gt;"&amp;960)&gt;1,"충돌",HYPERLINK("#'관리자_MASTER'!D"&amp;_xlfn.MAXIFS(m_row,m_teacher,F$4,m_date,($G$2+6),m_active,1,m_start,"&lt;"&amp;1020,m_end,"&gt;"&amp;960),INDEX(m_label,_xlfn.MAXIFS(m_row,m_teacher,F$4,m_date,($G$2+6),m_active,1,m_start,"&lt;"&amp;1020,m_end,"&gt;"&amp;960))))))</f>
        <v/>
      </c>
      <c r="G78" s="82" t="str">
        <f aca="false">IF(OR(G$4="",MONTH(($G$2+6))&lt;&gt;MONTH($C$2)),"",IF(COUNTIFS(m_teacher,G$4,m_date,($G$2+6),m_active,1,m_start,"&lt;"&amp;1020,m_end,"&gt;"&amp;960)=0,"",IF(COUNTIFS(m_teacher,G$4,m_date,($G$2+6),m_active,1,m_start,"&lt;"&amp;1020,m_end,"&gt;"&amp;960)&gt;1,"충돌",HYPERLINK("#'관리자_MASTER'!D"&amp;_xlfn.MAXIFS(m_row,m_teacher,G$4,m_date,($G$2+6),m_active,1,m_start,"&lt;"&amp;1020,m_end,"&gt;"&amp;960),INDEX(m_label,_xlfn.MAXIFS(m_row,m_teacher,G$4,m_date,($G$2+6),m_active,1,m_start,"&lt;"&amp;1020,m_end,"&gt;"&amp;960))))))</f>
        <v/>
      </c>
      <c r="H78" s="82" t="str">
        <f aca="false">IF(OR(H$4="",MONTH(($G$2+6))&lt;&gt;MONTH($C$2)),"",IF(COUNTIFS(m_teacher,H$4,m_date,($G$2+6),m_active,1,m_start,"&lt;"&amp;1020,m_end,"&gt;"&amp;960)=0,"",IF(COUNTIFS(m_teacher,H$4,m_date,($G$2+6),m_active,1,m_start,"&lt;"&amp;1020,m_end,"&gt;"&amp;960)&gt;1,"충돌",HYPERLINK("#'관리자_MASTER'!D"&amp;_xlfn.MAXIFS(m_row,m_teacher,H$4,m_date,($G$2+6),m_active,1,m_start,"&lt;"&amp;1020,m_end,"&gt;"&amp;960),INDEX(m_label,_xlfn.MAXIFS(m_row,m_teacher,H$4,m_date,($G$2+6),m_active,1,m_start,"&lt;"&amp;1020,m_end,"&gt;"&amp;960))))))</f>
        <v/>
      </c>
      <c r="I78" s="82" t="str">
        <f aca="false">IF(OR(I$4="",MONTH(($G$2+6))&lt;&gt;MONTH($C$2)),"",IF(COUNTIFS(m_teacher,I$4,m_date,($G$2+6),m_active,1,m_start,"&lt;"&amp;1020,m_end,"&gt;"&amp;960)=0,"",IF(COUNTIFS(m_teacher,I$4,m_date,($G$2+6),m_active,1,m_start,"&lt;"&amp;1020,m_end,"&gt;"&amp;960)&gt;1,"충돌",HYPERLINK("#'관리자_MASTER'!D"&amp;_xlfn.MAXIFS(m_row,m_teacher,I$4,m_date,($G$2+6),m_active,1,m_start,"&lt;"&amp;1020,m_end,"&gt;"&amp;960),INDEX(m_label,_xlfn.MAXIFS(m_row,m_teacher,I$4,m_date,($G$2+6),m_active,1,m_start,"&lt;"&amp;1020,m_end,"&gt;"&amp;960))))))</f>
        <v/>
      </c>
      <c r="J78" s="82" t="str">
        <f aca="false">IF(OR(J$4="",MONTH(($G$2+6))&lt;&gt;MONTH($C$2)),"",IF(COUNTIFS(m_teacher,J$4,m_date,($G$2+6),m_active,1,m_start,"&lt;"&amp;1020,m_end,"&gt;"&amp;960)=0,"",IF(COUNTIFS(m_teacher,J$4,m_date,($G$2+6),m_active,1,m_start,"&lt;"&amp;1020,m_end,"&gt;"&amp;960)&gt;1,"충돌",HYPERLINK("#'관리자_MASTER'!D"&amp;_xlfn.MAXIFS(m_row,m_teacher,J$4,m_date,($G$2+6),m_active,1,m_start,"&lt;"&amp;1020,m_end,"&gt;"&amp;960),INDEX(m_label,_xlfn.MAXIFS(m_row,m_teacher,J$4,m_date,($G$2+6),m_active,1,m_start,"&lt;"&amp;1020,m_end,"&gt;"&amp;960))))))</f>
        <v/>
      </c>
      <c r="K78" s="82" t="str">
        <f aca="false">IF(OR(K$4="",MONTH(($G$2+6))&lt;&gt;MONTH($C$2)),"",IF(COUNTIFS(m_teacher,K$4,m_date,($G$2+6),m_active,1,m_start,"&lt;"&amp;1020,m_end,"&gt;"&amp;960)=0,"",IF(COUNTIFS(m_teacher,K$4,m_date,($G$2+6),m_active,1,m_start,"&lt;"&amp;1020,m_end,"&gt;"&amp;960)&gt;1,"충돌",HYPERLINK("#'관리자_MASTER'!D"&amp;_xlfn.MAXIFS(m_row,m_teacher,K$4,m_date,($G$2+6),m_active,1,m_start,"&lt;"&amp;1020,m_end,"&gt;"&amp;960),INDEX(m_label,_xlfn.MAXIFS(m_row,m_teacher,K$4,m_date,($G$2+6),m_active,1,m_start,"&lt;"&amp;1020,m_end,"&gt;"&amp;960))))))</f>
        <v/>
      </c>
      <c r="L78" s="82" t="str">
        <f aca="false">IF(OR(L$4="",MONTH(($G$2+6))&lt;&gt;MONTH($C$2)),"",IF(COUNTIFS(m_teacher,L$4,m_date,($G$2+6),m_active,1,m_start,"&lt;"&amp;1020,m_end,"&gt;"&amp;960)=0,"",IF(COUNTIFS(m_teacher,L$4,m_date,($G$2+6),m_active,1,m_start,"&lt;"&amp;1020,m_end,"&gt;"&amp;960)&gt;1,"충돌",HYPERLINK("#'관리자_MASTER'!D"&amp;_xlfn.MAXIFS(m_row,m_teacher,L$4,m_date,($G$2+6),m_active,1,m_start,"&lt;"&amp;1020,m_end,"&gt;"&amp;960),INDEX(m_label,_xlfn.MAXIFS(m_row,m_teacher,L$4,m_date,($G$2+6),m_active,1,m_start,"&lt;"&amp;1020,m_end,"&gt;"&amp;960))))))</f>
        <v/>
      </c>
      <c r="M78" s="82" t="str">
        <f aca="false">IF(OR(M$4="",MONTH(($G$2+6))&lt;&gt;MONTH($C$2)),"",IF(COUNTIFS(m_teacher,M$4,m_date,($G$2+6),m_active,1,m_start,"&lt;"&amp;1020,m_end,"&gt;"&amp;960)=0,"",IF(COUNTIFS(m_teacher,M$4,m_date,($G$2+6),m_active,1,m_start,"&lt;"&amp;1020,m_end,"&gt;"&amp;960)&gt;1,"충돌",HYPERLINK("#'관리자_MASTER'!D"&amp;_xlfn.MAXIFS(m_row,m_teacher,M$4,m_date,($G$2+6),m_active,1,m_start,"&lt;"&amp;1020,m_end,"&gt;"&amp;960),INDEX(m_label,_xlfn.MAXIFS(m_row,m_teacher,M$4,m_date,($G$2+6),m_active,1,m_start,"&lt;"&amp;1020,m_end,"&gt;"&amp;960))))))</f>
        <v/>
      </c>
      <c r="N78" s="82" t="str">
        <f aca="false">IF(OR(N$4="",MONTH(($G$2+6))&lt;&gt;MONTH($C$2)),"",IF(COUNTIFS(m_teacher,N$4,m_date,($G$2+6),m_active,1,m_start,"&lt;"&amp;1020,m_end,"&gt;"&amp;960)=0,"",IF(COUNTIFS(m_teacher,N$4,m_date,($G$2+6),m_active,1,m_start,"&lt;"&amp;1020,m_end,"&gt;"&amp;960)&gt;1,"충돌",HYPERLINK("#'관리자_MASTER'!D"&amp;_xlfn.MAXIFS(m_row,m_teacher,N$4,m_date,($G$2+6),m_active,1,m_start,"&lt;"&amp;1020,m_end,"&gt;"&amp;960),INDEX(m_label,_xlfn.MAXIFS(m_row,m_teacher,N$4,m_date,($G$2+6),m_active,1,m_start,"&lt;"&amp;1020,m_end,"&gt;"&amp;960))))))</f>
        <v/>
      </c>
      <c r="O78" s="92"/>
      <c r="P78" s="79" t="s">
        <v>98</v>
      </c>
      <c r="Q78" s="82" t="str">
        <f aca="false">IF(OR(Q$4="",MONTH(($G$2+13))&lt;&gt;MONTH($C$2)),"",IF(COUNTIFS(m_teacher,Q$4,m_date,($G$2+13),m_active,1,m_start,"&lt;"&amp;1020,m_end,"&gt;"&amp;960)=0,"",IF(COUNTIFS(m_teacher,Q$4,m_date,($G$2+13),m_active,1,m_start,"&lt;"&amp;1020,m_end,"&gt;"&amp;960)&gt;1,"충돌",HYPERLINK("#'관리자_MASTER'!D"&amp;_xlfn.MAXIFS(m_row,m_teacher,Q$4,m_date,($G$2+13),m_active,1,m_start,"&lt;"&amp;1020,m_end,"&gt;"&amp;960),INDEX(m_label,_xlfn.MAXIFS(m_row,m_teacher,Q$4,m_date,($G$2+13),m_active,1,m_start,"&lt;"&amp;1020,m_end,"&gt;"&amp;960))))))</f>
        <v/>
      </c>
      <c r="R78" s="82" t="str">
        <f aca="false">IF(OR(R$4="",MONTH(($G$2+13))&lt;&gt;MONTH($C$2)),"",IF(COUNTIFS(m_teacher,R$4,m_date,($G$2+13),m_active,1,m_start,"&lt;"&amp;1020,m_end,"&gt;"&amp;960)=0,"",IF(COUNTIFS(m_teacher,R$4,m_date,($G$2+13),m_active,1,m_start,"&lt;"&amp;1020,m_end,"&gt;"&amp;960)&gt;1,"충돌",HYPERLINK("#'관리자_MASTER'!D"&amp;_xlfn.MAXIFS(m_row,m_teacher,R$4,m_date,($G$2+13),m_active,1,m_start,"&lt;"&amp;1020,m_end,"&gt;"&amp;960),INDEX(m_label,_xlfn.MAXIFS(m_row,m_teacher,R$4,m_date,($G$2+13),m_active,1,m_start,"&lt;"&amp;1020,m_end,"&gt;"&amp;960))))))</f>
        <v/>
      </c>
      <c r="S78" s="82" t="str">
        <f aca="false">IF(OR(S$4="",MONTH(($G$2+13))&lt;&gt;MONTH($C$2)),"",IF(COUNTIFS(m_teacher,S$4,m_date,($G$2+13),m_active,1,m_start,"&lt;"&amp;1020,m_end,"&gt;"&amp;960)=0,"",IF(COUNTIFS(m_teacher,S$4,m_date,($G$2+13),m_active,1,m_start,"&lt;"&amp;1020,m_end,"&gt;"&amp;960)&gt;1,"충돌",HYPERLINK("#'관리자_MASTER'!D"&amp;_xlfn.MAXIFS(m_row,m_teacher,S$4,m_date,($G$2+13),m_active,1,m_start,"&lt;"&amp;1020,m_end,"&gt;"&amp;960),INDEX(m_label,_xlfn.MAXIFS(m_row,m_teacher,S$4,m_date,($G$2+13),m_active,1,m_start,"&lt;"&amp;1020,m_end,"&gt;"&amp;960))))))</f>
        <v/>
      </c>
      <c r="T78" s="82" t="str">
        <f aca="false">IF(OR(T$4="",MONTH(($G$2+13))&lt;&gt;MONTH($C$2)),"",IF(COUNTIFS(m_teacher,T$4,m_date,($G$2+13),m_active,1,m_start,"&lt;"&amp;1020,m_end,"&gt;"&amp;960)=0,"",IF(COUNTIFS(m_teacher,T$4,m_date,($G$2+13),m_active,1,m_start,"&lt;"&amp;1020,m_end,"&gt;"&amp;960)&gt;1,"충돌",HYPERLINK("#'관리자_MASTER'!D"&amp;_xlfn.MAXIFS(m_row,m_teacher,T$4,m_date,($G$2+13),m_active,1,m_start,"&lt;"&amp;1020,m_end,"&gt;"&amp;960),INDEX(m_label,_xlfn.MAXIFS(m_row,m_teacher,T$4,m_date,($G$2+13),m_active,1,m_start,"&lt;"&amp;1020,m_end,"&gt;"&amp;960))))))</f>
        <v/>
      </c>
      <c r="U78" s="82" t="str">
        <f aca="false">IF(OR(U$4="",MONTH(($G$2+13))&lt;&gt;MONTH($C$2)),"",IF(COUNTIFS(m_teacher,U$4,m_date,($G$2+13),m_active,1,m_start,"&lt;"&amp;1020,m_end,"&gt;"&amp;960)=0,"",IF(COUNTIFS(m_teacher,U$4,m_date,($G$2+13),m_active,1,m_start,"&lt;"&amp;1020,m_end,"&gt;"&amp;960)&gt;1,"충돌",HYPERLINK("#'관리자_MASTER'!D"&amp;_xlfn.MAXIFS(m_row,m_teacher,U$4,m_date,($G$2+13),m_active,1,m_start,"&lt;"&amp;1020,m_end,"&gt;"&amp;960),INDEX(m_label,_xlfn.MAXIFS(m_row,m_teacher,U$4,m_date,($G$2+13),m_active,1,m_start,"&lt;"&amp;1020,m_end,"&gt;"&amp;960))))))</f>
        <v/>
      </c>
      <c r="V78" s="82" t="str">
        <f aca="false">IF(OR(V$4="",MONTH(($G$2+13))&lt;&gt;MONTH($C$2)),"",IF(COUNTIFS(m_teacher,V$4,m_date,($G$2+13),m_active,1,m_start,"&lt;"&amp;1020,m_end,"&gt;"&amp;960)=0,"",IF(COUNTIFS(m_teacher,V$4,m_date,($G$2+13),m_active,1,m_start,"&lt;"&amp;1020,m_end,"&gt;"&amp;960)&gt;1,"충돌",HYPERLINK("#'관리자_MASTER'!D"&amp;_xlfn.MAXIFS(m_row,m_teacher,V$4,m_date,($G$2+13),m_active,1,m_start,"&lt;"&amp;1020,m_end,"&gt;"&amp;960),INDEX(m_label,_xlfn.MAXIFS(m_row,m_teacher,V$4,m_date,($G$2+13),m_active,1,m_start,"&lt;"&amp;1020,m_end,"&gt;"&amp;960))))))</f>
        <v/>
      </c>
      <c r="W78" s="82" t="str">
        <f aca="false">IF(OR(W$4="",MONTH(($G$2+13))&lt;&gt;MONTH($C$2)),"",IF(COUNTIFS(m_teacher,W$4,m_date,($G$2+13),m_active,1,m_start,"&lt;"&amp;1020,m_end,"&gt;"&amp;960)=0,"",IF(COUNTIFS(m_teacher,W$4,m_date,($G$2+13),m_active,1,m_start,"&lt;"&amp;1020,m_end,"&gt;"&amp;960)&gt;1,"충돌",HYPERLINK("#'관리자_MASTER'!D"&amp;_xlfn.MAXIFS(m_row,m_teacher,W$4,m_date,($G$2+13),m_active,1,m_start,"&lt;"&amp;1020,m_end,"&gt;"&amp;960),INDEX(m_label,_xlfn.MAXIFS(m_row,m_teacher,W$4,m_date,($G$2+13),m_active,1,m_start,"&lt;"&amp;1020,m_end,"&gt;"&amp;960))))))</f>
        <v/>
      </c>
      <c r="X78" s="82" t="str">
        <f aca="false">IF(OR(X$4="",MONTH(($G$2+13))&lt;&gt;MONTH($C$2)),"",IF(COUNTIFS(m_teacher,X$4,m_date,($G$2+13),m_active,1,m_start,"&lt;"&amp;1020,m_end,"&gt;"&amp;960)=0,"",IF(COUNTIFS(m_teacher,X$4,m_date,($G$2+13),m_active,1,m_start,"&lt;"&amp;1020,m_end,"&gt;"&amp;960)&gt;1,"충돌",HYPERLINK("#'관리자_MASTER'!D"&amp;_xlfn.MAXIFS(m_row,m_teacher,X$4,m_date,($G$2+13),m_active,1,m_start,"&lt;"&amp;1020,m_end,"&gt;"&amp;960),INDEX(m_label,_xlfn.MAXIFS(m_row,m_teacher,X$4,m_date,($G$2+13),m_active,1,m_start,"&lt;"&amp;1020,m_end,"&gt;"&amp;960))))))</f>
        <v/>
      </c>
      <c r="Y78" s="82" t="str">
        <f aca="false">IF(OR(Y$4="",MONTH(($G$2+13))&lt;&gt;MONTH($C$2)),"",IF(COUNTIFS(m_teacher,Y$4,m_date,($G$2+13),m_active,1,m_start,"&lt;"&amp;1020,m_end,"&gt;"&amp;960)=0,"",IF(COUNTIFS(m_teacher,Y$4,m_date,($G$2+13),m_active,1,m_start,"&lt;"&amp;1020,m_end,"&gt;"&amp;960)&gt;1,"충돌",HYPERLINK("#'관리자_MASTER'!D"&amp;_xlfn.MAXIFS(m_row,m_teacher,Y$4,m_date,($G$2+13),m_active,1,m_start,"&lt;"&amp;1020,m_end,"&gt;"&amp;960),INDEX(m_label,_xlfn.MAXIFS(m_row,m_teacher,Y$4,m_date,($G$2+13),m_active,1,m_start,"&lt;"&amp;1020,m_end,"&gt;"&amp;960))))))</f>
        <v/>
      </c>
      <c r="Z78" s="82" t="str">
        <f aca="false">IF(OR(Z$4="",MONTH(($G$2+13))&lt;&gt;MONTH($C$2)),"",IF(COUNTIFS(m_teacher,Z$4,m_date,($G$2+13),m_active,1,m_start,"&lt;"&amp;1020,m_end,"&gt;"&amp;960)=0,"",IF(COUNTIFS(m_teacher,Z$4,m_date,($G$2+13),m_active,1,m_start,"&lt;"&amp;1020,m_end,"&gt;"&amp;960)&gt;1,"충돌",HYPERLINK("#'관리자_MASTER'!D"&amp;_xlfn.MAXIFS(m_row,m_teacher,Z$4,m_date,($G$2+13),m_active,1,m_start,"&lt;"&amp;1020,m_end,"&gt;"&amp;960),INDEX(m_label,_xlfn.MAXIFS(m_row,m_teacher,Z$4,m_date,($G$2+13),m_active,1,m_start,"&lt;"&amp;1020,m_end,"&gt;"&amp;960))))))</f>
        <v/>
      </c>
      <c r="AA78" s="82" t="str">
        <f aca="false">IF(OR(AA$4="",MONTH(($G$2+13))&lt;&gt;MONTH($C$2)),"",IF(COUNTIFS(m_teacher,AA$4,m_date,($G$2+13),m_active,1,m_start,"&lt;"&amp;1020,m_end,"&gt;"&amp;960)=0,"",IF(COUNTIFS(m_teacher,AA$4,m_date,($G$2+13),m_active,1,m_start,"&lt;"&amp;1020,m_end,"&gt;"&amp;960)&gt;1,"충돌",HYPERLINK("#'관리자_MASTER'!D"&amp;_xlfn.MAXIFS(m_row,m_teacher,AA$4,m_date,($G$2+13),m_active,1,m_start,"&lt;"&amp;1020,m_end,"&gt;"&amp;960),INDEX(m_label,_xlfn.MAXIFS(m_row,m_teacher,AA$4,m_date,($G$2+13),m_active,1,m_start,"&lt;"&amp;1020,m_end,"&gt;"&amp;960))))))</f>
        <v/>
      </c>
      <c r="AB78" s="82" t="str">
        <f aca="false">IF(OR(AB$4="",MONTH(($G$2+13))&lt;&gt;MONTH($C$2)),"",IF(COUNTIFS(m_teacher,AB$4,m_date,($G$2+13),m_active,1,m_start,"&lt;"&amp;1020,m_end,"&gt;"&amp;960)=0,"",IF(COUNTIFS(m_teacher,AB$4,m_date,($G$2+13),m_active,1,m_start,"&lt;"&amp;1020,m_end,"&gt;"&amp;960)&gt;1,"충돌",HYPERLINK("#'관리자_MASTER'!D"&amp;_xlfn.MAXIFS(m_row,m_teacher,AB$4,m_date,($G$2+13),m_active,1,m_start,"&lt;"&amp;1020,m_end,"&gt;"&amp;960),INDEX(m_label,_xlfn.MAXIFS(m_row,m_teacher,AB$4,m_date,($G$2+13),m_active,1,m_start,"&lt;"&amp;1020,m_end,"&gt;"&amp;960))))))</f>
        <v/>
      </c>
      <c r="AC78" s="92"/>
      <c r="AD78" s="79" t="s">
        <v>98</v>
      </c>
      <c r="AE78" s="82" t="str">
        <f aca="false">IF(OR(AE$4="",MONTH(($G$2+20))&lt;&gt;MONTH($C$2)),"",IF(COUNTIFS(m_teacher,AE$4,m_date,($G$2+20),m_active,1,m_start,"&lt;"&amp;1020,m_end,"&gt;"&amp;960)=0,"",IF(COUNTIFS(m_teacher,AE$4,m_date,($G$2+20),m_active,1,m_start,"&lt;"&amp;1020,m_end,"&gt;"&amp;960)&gt;1,"충돌",HYPERLINK("#'관리자_MASTER'!D"&amp;_xlfn.MAXIFS(m_row,m_teacher,AE$4,m_date,($G$2+20),m_active,1,m_start,"&lt;"&amp;1020,m_end,"&gt;"&amp;960),INDEX(m_label,_xlfn.MAXIFS(m_row,m_teacher,AE$4,m_date,($G$2+20),m_active,1,m_start,"&lt;"&amp;1020,m_end,"&gt;"&amp;960))))))</f>
        <v/>
      </c>
      <c r="AF78" s="82" t="str">
        <f aca="false">IF(OR(AF$4="",MONTH(($G$2+20))&lt;&gt;MONTH($C$2)),"",IF(COUNTIFS(m_teacher,AF$4,m_date,($G$2+20),m_active,1,m_start,"&lt;"&amp;1020,m_end,"&gt;"&amp;960)=0,"",IF(COUNTIFS(m_teacher,AF$4,m_date,($G$2+20),m_active,1,m_start,"&lt;"&amp;1020,m_end,"&gt;"&amp;960)&gt;1,"충돌",HYPERLINK("#'관리자_MASTER'!D"&amp;_xlfn.MAXIFS(m_row,m_teacher,AF$4,m_date,($G$2+20),m_active,1,m_start,"&lt;"&amp;1020,m_end,"&gt;"&amp;960),INDEX(m_label,_xlfn.MAXIFS(m_row,m_teacher,AF$4,m_date,($G$2+20),m_active,1,m_start,"&lt;"&amp;1020,m_end,"&gt;"&amp;960))))))</f>
        <v/>
      </c>
      <c r="AG78" s="82" t="str">
        <f aca="false">IF(OR(AG$4="",MONTH(($G$2+20))&lt;&gt;MONTH($C$2)),"",IF(COUNTIFS(m_teacher,AG$4,m_date,($G$2+20),m_active,1,m_start,"&lt;"&amp;1020,m_end,"&gt;"&amp;960)=0,"",IF(COUNTIFS(m_teacher,AG$4,m_date,($G$2+20),m_active,1,m_start,"&lt;"&amp;1020,m_end,"&gt;"&amp;960)&gt;1,"충돌",HYPERLINK("#'관리자_MASTER'!D"&amp;_xlfn.MAXIFS(m_row,m_teacher,AG$4,m_date,($G$2+20),m_active,1,m_start,"&lt;"&amp;1020,m_end,"&gt;"&amp;960),INDEX(m_label,_xlfn.MAXIFS(m_row,m_teacher,AG$4,m_date,($G$2+20),m_active,1,m_start,"&lt;"&amp;1020,m_end,"&gt;"&amp;960))))))</f>
        <v/>
      </c>
      <c r="AH78" s="82" t="str">
        <f aca="false">IF(OR(AH$4="",MONTH(($G$2+20))&lt;&gt;MONTH($C$2)),"",IF(COUNTIFS(m_teacher,AH$4,m_date,($G$2+20),m_active,1,m_start,"&lt;"&amp;1020,m_end,"&gt;"&amp;960)=0,"",IF(COUNTIFS(m_teacher,AH$4,m_date,($G$2+20),m_active,1,m_start,"&lt;"&amp;1020,m_end,"&gt;"&amp;960)&gt;1,"충돌",HYPERLINK("#'관리자_MASTER'!D"&amp;_xlfn.MAXIFS(m_row,m_teacher,AH$4,m_date,($G$2+20),m_active,1,m_start,"&lt;"&amp;1020,m_end,"&gt;"&amp;960),INDEX(m_label,_xlfn.MAXIFS(m_row,m_teacher,AH$4,m_date,($G$2+20),m_active,1,m_start,"&lt;"&amp;1020,m_end,"&gt;"&amp;960))))))</f>
        <v/>
      </c>
      <c r="AI78" s="82" t="str">
        <f aca="false">IF(OR(AI$4="",MONTH(($G$2+20))&lt;&gt;MONTH($C$2)),"",IF(COUNTIFS(m_teacher,AI$4,m_date,($G$2+20),m_active,1,m_start,"&lt;"&amp;1020,m_end,"&gt;"&amp;960)=0,"",IF(COUNTIFS(m_teacher,AI$4,m_date,($G$2+20),m_active,1,m_start,"&lt;"&amp;1020,m_end,"&gt;"&amp;960)&gt;1,"충돌",HYPERLINK("#'관리자_MASTER'!D"&amp;_xlfn.MAXIFS(m_row,m_teacher,AI$4,m_date,($G$2+20),m_active,1,m_start,"&lt;"&amp;1020,m_end,"&gt;"&amp;960),INDEX(m_label,_xlfn.MAXIFS(m_row,m_teacher,AI$4,m_date,($G$2+20),m_active,1,m_start,"&lt;"&amp;1020,m_end,"&gt;"&amp;960))))))</f>
        <v/>
      </c>
      <c r="AJ78" s="82" t="str">
        <f aca="false">IF(OR(AJ$4="",MONTH(($G$2+20))&lt;&gt;MONTH($C$2)),"",IF(COUNTIFS(m_teacher,AJ$4,m_date,($G$2+20),m_active,1,m_start,"&lt;"&amp;1020,m_end,"&gt;"&amp;960)=0,"",IF(COUNTIFS(m_teacher,AJ$4,m_date,($G$2+20),m_active,1,m_start,"&lt;"&amp;1020,m_end,"&gt;"&amp;960)&gt;1,"충돌",HYPERLINK("#'관리자_MASTER'!D"&amp;_xlfn.MAXIFS(m_row,m_teacher,AJ$4,m_date,($G$2+20),m_active,1,m_start,"&lt;"&amp;1020,m_end,"&gt;"&amp;960),INDEX(m_label,_xlfn.MAXIFS(m_row,m_teacher,AJ$4,m_date,($G$2+20),m_active,1,m_start,"&lt;"&amp;1020,m_end,"&gt;"&amp;960))))))</f>
        <v/>
      </c>
      <c r="AK78" s="82" t="str">
        <f aca="false">IF(OR(AK$4="",MONTH(($G$2+20))&lt;&gt;MONTH($C$2)),"",IF(COUNTIFS(m_teacher,AK$4,m_date,($G$2+20),m_active,1,m_start,"&lt;"&amp;1020,m_end,"&gt;"&amp;960)=0,"",IF(COUNTIFS(m_teacher,AK$4,m_date,($G$2+20),m_active,1,m_start,"&lt;"&amp;1020,m_end,"&gt;"&amp;960)&gt;1,"충돌",HYPERLINK("#'관리자_MASTER'!D"&amp;_xlfn.MAXIFS(m_row,m_teacher,AK$4,m_date,($G$2+20),m_active,1,m_start,"&lt;"&amp;1020,m_end,"&gt;"&amp;960),INDEX(m_label,_xlfn.MAXIFS(m_row,m_teacher,AK$4,m_date,($G$2+20),m_active,1,m_start,"&lt;"&amp;1020,m_end,"&gt;"&amp;960))))))</f>
        <v/>
      </c>
      <c r="AL78" s="82" t="str">
        <f aca="false">IF(OR(AL$4="",MONTH(($G$2+20))&lt;&gt;MONTH($C$2)),"",IF(COUNTIFS(m_teacher,AL$4,m_date,($G$2+20),m_active,1,m_start,"&lt;"&amp;1020,m_end,"&gt;"&amp;960)=0,"",IF(COUNTIFS(m_teacher,AL$4,m_date,($G$2+20),m_active,1,m_start,"&lt;"&amp;1020,m_end,"&gt;"&amp;960)&gt;1,"충돌",HYPERLINK("#'관리자_MASTER'!D"&amp;_xlfn.MAXIFS(m_row,m_teacher,AL$4,m_date,($G$2+20),m_active,1,m_start,"&lt;"&amp;1020,m_end,"&gt;"&amp;960),INDEX(m_label,_xlfn.MAXIFS(m_row,m_teacher,AL$4,m_date,($G$2+20),m_active,1,m_start,"&lt;"&amp;1020,m_end,"&gt;"&amp;960))))))</f>
        <v/>
      </c>
      <c r="AM78" s="82" t="str">
        <f aca="false">IF(OR(AM$4="",MONTH(($G$2+20))&lt;&gt;MONTH($C$2)),"",IF(COUNTIFS(m_teacher,AM$4,m_date,($G$2+20),m_active,1,m_start,"&lt;"&amp;1020,m_end,"&gt;"&amp;960)=0,"",IF(COUNTIFS(m_teacher,AM$4,m_date,($G$2+20),m_active,1,m_start,"&lt;"&amp;1020,m_end,"&gt;"&amp;960)&gt;1,"충돌",HYPERLINK("#'관리자_MASTER'!D"&amp;_xlfn.MAXIFS(m_row,m_teacher,AM$4,m_date,($G$2+20),m_active,1,m_start,"&lt;"&amp;1020,m_end,"&gt;"&amp;960),INDEX(m_label,_xlfn.MAXIFS(m_row,m_teacher,AM$4,m_date,($G$2+20),m_active,1,m_start,"&lt;"&amp;1020,m_end,"&gt;"&amp;960))))))</f>
        <v/>
      </c>
      <c r="AN78" s="82" t="str">
        <f aca="false">IF(OR(AN$4="",MONTH(($G$2+20))&lt;&gt;MONTH($C$2)),"",IF(COUNTIFS(m_teacher,AN$4,m_date,($G$2+20),m_active,1,m_start,"&lt;"&amp;1020,m_end,"&gt;"&amp;960)=0,"",IF(COUNTIFS(m_teacher,AN$4,m_date,($G$2+20),m_active,1,m_start,"&lt;"&amp;1020,m_end,"&gt;"&amp;960)&gt;1,"충돌",HYPERLINK("#'관리자_MASTER'!D"&amp;_xlfn.MAXIFS(m_row,m_teacher,AN$4,m_date,($G$2+20),m_active,1,m_start,"&lt;"&amp;1020,m_end,"&gt;"&amp;960),INDEX(m_label,_xlfn.MAXIFS(m_row,m_teacher,AN$4,m_date,($G$2+20),m_active,1,m_start,"&lt;"&amp;1020,m_end,"&gt;"&amp;960))))))</f>
        <v/>
      </c>
      <c r="AO78" s="82" t="str">
        <f aca="false">IF(OR(AO$4="",MONTH(($G$2+20))&lt;&gt;MONTH($C$2)),"",IF(COUNTIFS(m_teacher,AO$4,m_date,($G$2+20),m_active,1,m_start,"&lt;"&amp;1020,m_end,"&gt;"&amp;960)=0,"",IF(COUNTIFS(m_teacher,AO$4,m_date,($G$2+20),m_active,1,m_start,"&lt;"&amp;1020,m_end,"&gt;"&amp;960)&gt;1,"충돌",HYPERLINK("#'관리자_MASTER'!D"&amp;_xlfn.MAXIFS(m_row,m_teacher,AO$4,m_date,($G$2+20),m_active,1,m_start,"&lt;"&amp;1020,m_end,"&gt;"&amp;960),INDEX(m_label,_xlfn.MAXIFS(m_row,m_teacher,AO$4,m_date,($G$2+20),m_active,1,m_start,"&lt;"&amp;1020,m_end,"&gt;"&amp;960))))))</f>
        <v/>
      </c>
      <c r="AP78" s="82" t="str">
        <f aca="false">IF(OR(AP$4="",MONTH(($G$2+20))&lt;&gt;MONTH($C$2)),"",IF(COUNTIFS(m_teacher,AP$4,m_date,($G$2+20),m_active,1,m_start,"&lt;"&amp;1020,m_end,"&gt;"&amp;960)=0,"",IF(COUNTIFS(m_teacher,AP$4,m_date,($G$2+20),m_active,1,m_start,"&lt;"&amp;1020,m_end,"&gt;"&amp;960)&gt;1,"충돌",HYPERLINK("#'관리자_MASTER'!D"&amp;_xlfn.MAXIFS(m_row,m_teacher,AP$4,m_date,($G$2+20),m_active,1,m_start,"&lt;"&amp;1020,m_end,"&gt;"&amp;960),INDEX(m_label,_xlfn.MAXIFS(m_row,m_teacher,AP$4,m_date,($G$2+20),m_active,1,m_start,"&lt;"&amp;1020,m_end,"&gt;"&amp;960))))))</f>
        <v/>
      </c>
      <c r="AQ78" s="92"/>
      <c r="AR78" s="79" t="s">
        <v>98</v>
      </c>
      <c r="AS78" s="82" t="str">
        <f aca="false">IF(OR(AS$4="",MONTH(($G$2+27))&lt;&gt;MONTH($C$2)),"",IF(COUNTIFS(m_teacher,AS$4,m_date,($G$2+27),m_active,1,m_start,"&lt;"&amp;1020,m_end,"&gt;"&amp;960)=0,"",IF(COUNTIFS(m_teacher,AS$4,m_date,($G$2+27),m_active,1,m_start,"&lt;"&amp;1020,m_end,"&gt;"&amp;960)&gt;1,"충돌",HYPERLINK("#'관리자_MASTER'!D"&amp;_xlfn.MAXIFS(m_row,m_teacher,AS$4,m_date,($G$2+27),m_active,1,m_start,"&lt;"&amp;1020,m_end,"&gt;"&amp;960),INDEX(m_label,_xlfn.MAXIFS(m_row,m_teacher,AS$4,m_date,($G$2+27),m_active,1,m_start,"&lt;"&amp;1020,m_end,"&gt;"&amp;960))))))</f>
        <v/>
      </c>
      <c r="AT78" s="82" t="str">
        <f aca="false">IF(OR(AT$4="",MONTH(($G$2+27))&lt;&gt;MONTH($C$2)),"",IF(COUNTIFS(m_teacher,AT$4,m_date,($G$2+27),m_active,1,m_start,"&lt;"&amp;1020,m_end,"&gt;"&amp;960)=0,"",IF(COUNTIFS(m_teacher,AT$4,m_date,($G$2+27),m_active,1,m_start,"&lt;"&amp;1020,m_end,"&gt;"&amp;960)&gt;1,"충돌",HYPERLINK("#'관리자_MASTER'!D"&amp;_xlfn.MAXIFS(m_row,m_teacher,AT$4,m_date,($G$2+27),m_active,1,m_start,"&lt;"&amp;1020,m_end,"&gt;"&amp;960),INDEX(m_label,_xlfn.MAXIFS(m_row,m_teacher,AT$4,m_date,($G$2+27),m_active,1,m_start,"&lt;"&amp;1020,m_end,"&gt;"&amp;960))))))</f>
        <v/>
      </c>
      <c r="AU78" s="82" t="str">
        <f aca="false">IF(OR(AU$4="",MONTH(($G$2+27))&lt;&gt;MONTH($C$2)),"",IF(COUNTIFS(m_teacher,AU$4,m_date,($G$2+27),m_active,1,m_start,"&lt;"&amp;1020,m_end,"&gt;"&amp;960)=0,"",IF(COUNTIFS(m_teacher,AU$4,m_date,($G$2+27),m_active,1,m_start,"&lt;"&amp;1020,m_end,"&gt;"&amp;960)&gt;1,"충돌",HYPERLINK("#'관리자_MASTER'!D"&amp;_xlfn.MAXIFS(m_row,m_teacher,AU$4,m_date,($G$2+27),m_active,1,m_start,"&lt;"&amp;1020,m_end,"&gt;"&amp;960),INDEX(m_label,_xlfn.MAXIFS(m_row,m_teacher,AU$4,m_date,($G$2+27),m_active,1,m_start,"&lt;"&amp;1020,m_end,"&gt;"&amp;960))))))</f>
        <v/>
      </c>
      <c r="AV78" s="82" t="str">
        <f aca="false">IF(OR(AV$4="",MONTH(($G$2+27))&lt;&gt;MONTH($C$2)),"",IF(COUNTIFS(m_teacher,AV$4,m_date,($G$2+27),m_active,1,m_start,"&lt;"&amp;1020,m_end,"&gt;"&amp;960)=0,"",IF(COUNTIFS(m_teacher,AV$4,m_date,($G$2+27),m_active,1,m_start,"&lt;"&amp;1020,m_end,"&gt;"&amp;960)&gt;1,"충돌",HYPERLINK("#'관리자_MASTER'!D"&amp;_xlfn.MAXIFS(m_row,m_teacher,AV$4,m_date,($G$2+27),m_active,1,m_start,"&lt;"&amp;1020,m_end,"&gt;"&amp;960),INDEX(m_label,_xlfn.MAXIFS(m_row,m_teacher,AV$4,m_date,($G$2+27),m_active,1,m_start,"&lt;"&amp;1020,m_end,"&gt;"&amp;960))))))</f>
        <v/>
      </c>
      <c r="AW78" s="82" t="str">
        <f aca="false">IF(OR(AW$4="",MONTH(($G$2+27))&lt;&gt;MONTH($C$2)),"",IF(COUNTIFS(m_teacher,AW$4,m_date,($G$2+27),m_active,1,m_start,"&lt;"&amp;1020,m_end,"&gt;"&amp;960)=0,"",IF(COUNTIFS(m_teacher,AW$4,m_date,($G$2+27),m_active,1,m_start,"&lt;"&amp;1020,m_end,"&gt;"&amp;960)&gt;1,"충돌",HYPERLINK("#'관리자_MASTER'!D"&amp;_xlfn.MAXIFS(m_row,m_teacher,AW$4,m_date,($G$2+27),m_active,1,m_start,"&lt;"&amp;1020,m_end,"&gt;"&amp;960),INDEX(m_label,_xlfn.MAXIFS(m_row,m_teacher,AW$4,m_date,($G$2+27),m_active,1,m_start,"&lt;"&amp;1020,m_end,"&gt;"&amp;960))))))</f>
        <v/>
      </c>
      <c r="AX78" s="82" t="str">
        <f aca="false">IF(OR(AX$4="",MONTH(($G$2+27))&lt;&gt;MONTH($C$2)),"",IF(COUNTIFS(m_teacher,AX$4,m_date,($G$2+27),m_active,1,m_start,"&lt;"&amp;1020,m_end,"&gt;"&amp;960)=0,"",IF(COUNTIFS(m_teacher,AX$4,m_date,($G$2+27),m_active,1,m_start,"&lt;"&amp;1020,m_end,"&gt;"&amp;960)&gt;1,"충돌",HYPERLINK("#'관리자_MASTER'!D"&amp;_xlfn.MAXIFS(m_row,m_teacher,AX$4,m_date,($G$2+27),m_active,1,m_start,"&lt;"&amp;1020,m_end,"&gt;"&amp;960),INDEX(m_label,_xlfn.MAXIFS(m_row,m_teacher,AX$4,m_date,($G$2+27),m_active,1,m_start,"&lt;"&amp;1020,m_end,"&gt;"&amp;960))))))</f>
        <v/>
      </c>
      <c r="AY78" s="82" t="str">
        <f aca="false">IF(OR(AY$4="",MONTH(($G$2+27))&lt;&gt;MONTH($C$2)),"",IF(COUNTIFS(m_teacher,AY$4,m_date,($G$2+27),m_active,1,m_start,"&lt;"&amp;1020,m_end,"&gt;"&amp;960)=0,"",IF(COUNTIFS(m_teacher,AY$4,m_date,($G$2+27),m_active,1,m_start,"&lt;"&amp;1020,m_end,"&gt;"&amp;960)&gt;1,"충돌",HYPERLINK("#'관리자_MASTER'!D"&amp;_xlfn.MAXIFS(m_row,m_teacher,AY$4,m_date,($G$2+27),m_active,1,m_start,"&lt;"&amp;1020,m_end,"&gt;"&amp;960),INDEX(m_label,_xlfn.MAXIFS(m_row,m_teacher,AY$4,m_date,($G$2+27),m_active,1,m_start,"&lt;"&amp;1020,m_end,"&gt;"&amp;960))))))</f>
        <v/>
      </c>
      <c r="AZ78" s="82" t="str">
        <f aca="false">IF(OR(AZ$4="",MONTH(($G$2+27))&lt;&gt;MONTH($C$2)),"",IF(COUNTIFS(m_teacher,AZ$4,m_date,($G$2+27),m_active,1,m_start,"&lt;"&amp;1020,m_end,"&gt;"&amp;960)=0,"",IF(COUNTIFS(m_teacher,AZ$4,m_date,($G$2+27),m_active,1,m_start,"&lt;"&amp;1020,m_end,"&gt;"&amp;960)&gt;1,"충돌",HYPERLINK("#'관리자_MASTER'!D"&amp;_xlfn.MAXIFS(m_row,m_teacher,AZ$4,m_date,($G$2+27),m_active,1,m_start,"&lt;"&amp;1020,m_end,"&gt;"&amp;960),INDEX(m_label,_xlfn.MAXIFS(m_row,m_teacher,AZ$4,m_date,($G$2+27),m_active,1,m_start,"&lt;"&amp;1020,m_end,"&gt;"&amp;960))))))</f>
        <v/>
      </c>
      <c r="BA78" s="82" t="str">
        <f aca="false">IF(OR(BA$4="",MONTH(($G$2+27))&lt;&gt;MONTH($C$2)),"",IF(COUNTIFS(m_teacher,BA$4,m_date,($G$2+27),m_active,1,m_start,"&lt;"&amp;1020,m_end,"&gt;"&amp;960)=0,"",IF(COUNTIFS(m_teacher,BA$4,m_date,($G$2+27),m_active,1,m_start,"&lt;"&amp;1020,m_end,"&gt;"&amp;960)&gt;1,"충돌",HYPERLINK("#'관리자_MASTER'!D"&amp;_xlfn.MAXIFS(m_row,m_teacher,BA$4,m_date,($G$2+27),m_active,1,m_start,"&lt;"&amp;1020,m_end,"&gt;"&amp;960),INDEX(m_label,_xlfn.MAXIFS(m_row,m_teacher,BA$4,m_date,($G$2+27),m_active,1,m_start,"&lt;"&amp;1020,m_end,"&gt;"&amp;960))))))</f>
        <v/>
      </c>
      <c r="BB78" s="82" t="str">
        <f aca="false">IF(OR(BB$4="",MONTH(($G$2+27))&lt;&gt;MONTH($C$2)),"",IF(COUNTIFS(m_teacher,BB$4,m_date,($G$2+27),m_active,1,m_start,"&lt;"&amp;1020,m_end,"&gt;"&amp;960)=0,"",IF(COUNTIFS(m_teacher,BB$4,m_date,($G$2+27),m_active,1,m_start,"&lt;"&amp;1020,m_end,"&gt;"&amp;960)&gt;1,"충돌",HYPERLINK("#'관리자_MASTER'!D"&amp;_xlfn.MAXIFS(m_row,m_teacher,BB$4,m_date,($G$2+27),m_active,1,m_start,"&lt;"&amp;1020,m_end,"&gt;"&amp;960),INDEX(m_label,_xlfn.MAXIFS(m_row,m_teacher,BB$4,m_date,($G$2+27),m_active,1,m_start,"&lt;"&amp;1020,m_end,"&gt;"&amp;960))))))</f>
        <v/>
      </c>
      <c r="BC78" s="82" t="str">
        <f aca="false">IF(OR(BC$4="",MONTH(($G$2+27))&lt;&gt;MONTH($C$2)),"",IF(COUNTIFS(m_teacher,BC$4,m_date,($G$2+27),m_active,1,m_start,"&lt;"&amp;1020,m_end,"&gt;"&amp;960)=0,"",IF(COUNTIFS(m_teacher,BC$4,m_date,($G$2+27),m_active,1,m_start,"&lt;"&amp;1020,m_end,"&gt;"&amp;960)&gt;1,"충돌",HYPERLINK("#'관리자_MASTER'!D"&amp;_xlfn.MAXIFS(m_row,m_teacher,BC$4,m_date,($G$2+27),m_active,1,m_start,"&lt;"&amp;1020,m_end,"&gt;"&amp;960),INDEX(m_label,_xlfn.MAXIFS(m_row,m_teacher,BC$4,m_date,($G$2+27),m_active,1,m_start,"&lt;"&amp;1020,m_end,"&gt;"&amp;960))))))</f>
        <v/>
      </c>
      <c r="BD78" s="82" t="str">
        <f aca="false">IF(OR(BD$4="",MONTH(($G$2+27))&lt;&gt;MONTH($C$2)),"",IF(COUNTIFS(m_teacher,BD$4,m_date,($G$2+27),m_active,1,m_start,"&lt;"&amp;1020,m_end,"&gt;"&amp;960)=0,"",IF(COUNTIFS(m_teacher,BD$4,m_date,($G$2+27),m_active,1,m_start,"&lt;"&amp;1020,m_end,"&gt;"&amp;960)&gt;1,"충돌",HYPERLINK("#'관리자_MASTER'!D"&amp;_xlfn.MAXIFS(m_row,m_teacher,BD$4,m_date,($G$2+27),m_active,1,m_start,"&lt;"&amp;1020,m_end,"&gt;"&amp;960),INDEX(m_label,_xlfn.MAXIFS(m_row,m_teacher,BD$4,m_date,($G$2+27),m_active,1,m_start,"&lt;"&amp;1020,m_end,"&gt;"&amp;960))))))</f>
        <v/>
      </c>
    </row>
    <row r="79" customFormat="false" ht="19.5" hidden="false" customHeight="true" outlineLevel="0" collapsed="false">
      <c r="A79" s="92"/>
      <c r="B79" s="79" t="s">
        <v>99</v>
      </c>
      <c r="C79" s="82" t="str">
        <f aca="false">IF(OR(C$4="",MONTH(($G$2+6))&lt;&gt;MONTH($C$2)),"",IF(COUNTIFS(m_teacher,C$4,m_date,($G$2+6),m_active,1,m_start,"&lt;"&amp;1080,m_end,"&gt;"&amp;1020)=0,"",IF(COUNTIFS(m_teacher,C$4,m_date,($G$2+6),m_active,1,m_start,"&lt;"&amp;1080,m_end,"&gt;"&amp;1020)&gt;1,"충돌",HYPERLINK("#'관리자_MASTER'!D"&amp;_xlfn.MAXIFS(m_row,m_teacher,C$4,m_date,($G$2+6),m_active,1,m_start,"&lt;"&amp;1080,m_end,"&gt;"&amp;1020),INDEX(m_label,_xlfn.MAXIFS(m_row,m_teacher,C$4,m_date,($G$2+6),m_active,1,m_start,"&lt;"&amp;1080,m_end,"&gt;"&amp;1020))))))</f>
        <v/>
      </c>
      <c r="D79" s="82" t="str">
        <f aca="false">IF(OR(D$4="",MONTH(($G$2+6))&lt;&gt;MONTH($C$2)),"",IF(COUNTIFS(m_teacher,D$4,m_date,($G$2+6),m_active,1,m_start,"&lt;"&amp;1080,m_end,"&gt;"&amp;1020)=0,"",IF(COUNTIFS(m_teacher,D$4,m_date,($G$2+6),m_active,1,m_start,"&lt;"&amp;1080,m_end,"&gt;"&amp;1020)&gt;1,"충돌",HYPERLINK("#'관리자_MASTER'!D"&amp;_xlfn.MAXIFS(m_row,m_teacher,D$4,m_date,($G$2+6),m_active,1,m_start,"&lt;"&amp;1080,m_end,"&gt;"&amp;1020),INDEX(m_label,_xlfn.MAXIFS(m_row,m_teacher,D$4,m_date,($G$2+6),m_active,1,m_start,"&lt;"&amp;1080,m_end,"&gt;"&amp;1020))))))</f>
        <v/>
      </c>
      <c r="E79" s="82" t="str">
        <f aca="false">IF(OR(E$4="",MONTH(($G$2+6))&lt;&gt;MONTH($C$2)),"",IF(COUNTIFS(m_teacher,E$4,m_date,($G$2+6),m_active,1,m_start,"&lt;"&amp;1080,m_end,"&gt;"&amp;1020)=0,"",IF(COUNTIFS(m_teacher,E$4,m_date,($G$2+6),m_active,1,m_start,"&lt;"&amp;1080,m_end,"&gt;"&amp;1020)&gt;1,"충돌",HYPERLINK("#'관리자_MASTER'!D"&amp;_xlfn.MAXIFS(m_row,m_teacher,E$4,m_date,($G$2+6),m_active,1,m_start,"&lt;"&amp;1080,m_end,"&gt;"&amp;1020),INDEX(m_label,_xlfn.MAXIFS(m_row,m_teacher,E$4,m_date,($G$2+6),m_active,1,m_start,"&lt;"&amp;1080,m_end,"&gt;"&amp;1020))))))</f>
        <v/>
      </c>
      <c r="F79" s="82" t="str">
        <f aca="false">IF(OR(F$4="",MONTH(($G$2+6))&lt;&gt;MONTH($C$2)),"",IF(COUNTIFS(m_teacher,F$4,m_date,($G$2+6),m_active,1,m_start,"&lt;"&amp;1080,m_end,"&gt;"&amp;1020)=0,"",IF(COUNTIFS(m_teacher,F$4,m_date,($G$2+6),m_active,1,m_start,"&lt;"&amp;1080,m_end,"&gt;"&amp;1020)&gt;1,"충돌",HYPERLINK("#'관리자_MASTER'!D"&amp;_xlfn.MAXIFS(m_row,m_teacher,F$4,m_date,($G$2+6),m_active,1,m_start,"&lt;"&amp;1080,m_end,"&gt;"&amp;1020),INDEX(m_label,_xlfn.MAXIFS(m_row,m_teacher,F$4,m_date,($G$2+6),m_active,1,m_start,"&lt;"&amp;1080,m_end,"&gt;"&amp;1020))))))</f>
        <v/>
      </c>
      <c r="G79" s="82" t="str">
        <f aca="false">IF(OR(G$4="",MONTH(($G$2+6))&lt;&gt;MONTH($C$2)),"",IF(COUNTIFS(m_teacher,G$4,m_date,($G$2+6),m_active,1,m_start,"&lt;"&amp;1080,m_end,"&gt;"&amp;1020)=0,"",IF(COUNTIFS(m_teacher,G$4,m_date,($G$2+6),m_active,1,m_start,"&lt;"&amp;1080,m_end,"&gt;"&amp;1020)&gt;1,"충돌",HYPERLINK("#'관리자_MASTER'!D"&amp;_xlfn.MAXIFS(m_row,m_teacher,G$4,m_date,($G$2+6),m_active,1,m_start,"&lt;"&amp;1080,m_end,"&gt;"&amp;1020),INDEX(m_label,_xlfn.MAXIFS(m_row,m_teacher,G$4,m_date,($G$2+6),m_active,1,m_start,"&lt;"&amp;1080,m_end,"&gt;"&amp;1020))))))</f>
        <v/>
      </c>
      <c r="H79" s="82" t="str">
        <f aca="false">IF(OR(H$4="",MONTH(($G$2+6))&lt;&gt;MONTH($C$2)),"",IF(COUNTIFS(m_teacher,H$4,m_date,($G$2+6),m_active,1,m_start,"&lt;"&amp;1080,m_end,"&gt;"&amp;1020)=0,"",IF(COUNTIFS(m_teacher,H$4,m_date,($G$2+6),m_active,1,m_start,"&lt;"&amp;1080,m_end,"&gt;"&amp;1020)&gt;1,"충돌",HYPERLINK("#'관리자_MASTER'!D"&amp;_xlfn.MAXIFS(m_row,m_teacher,H$4,m_date,($G$2+6),m_active,1,m_start,"&lt;"&amp;1080,m_end,"&gt;"&amp;1020),INDEX(m_label,_xlfn.MAXIFS(m_row,m_teacher,H$4,m_date,($G$2+6),m_active,1,m_start,"&lt;"&amp;1080,m_end,"&gt;"&amp;1020))))))</f>
        <v/>
      </c>
      <c r="I79" s="82" t="str">
        <f aca="false">IF(OR(I$4="",MONTH(($G$2+6))&lt;&gt;MONTH($C$2)),"",IF(COUNTIFS(m_teacher,I$4,m_date,($G$2+6),m_active,1,m_start,"&lt;"&amp;1080,m_end,"&gt;"&amp;1020)=0,"",IF(COUNTIFS(m_teacher,I$4,m_date,($G$2+6),m_active,1,m_start,"&lt;"&amp;1080,m_end,"&gt;"&amp;1020)&gt;1,"충돌",HYPERLINK("#'관리자_MASTER'!D"&amp;_xlfn.MAXIFS(m_row,m_teacher,I$4,m_date,($G$2+6),m_active,1,m_start,"&lt;"&amp;1080,m_end,"&gt;"&amp;1020),INDEX(m_label,_xlfn.MAXIFS(m_row,m_teacher,I$4,m_date,($G$2+6),m_active,1,m_start,"&lt;"&amp;1080,m_end,"&gt;"&amp;1020))))))</f>
        <v/>
      </c>
      <c r="J79" s="82" t="str">
        <f aca="false">IF(OR(J$4="",MONTH(($G$2+6))&lt;&gt;MONTH($C$2)),"",IF(COUNTIFS(m_teacher,J$4,m_date,($G$2+6),m_active,1,m_start,"&lt;"&amp;1080,m_end,"&gt;"&amp;1020)=0,"",IF(COUNTIFS(m_teacher,J$4,m_date,($G$2+6),m_active,1,m_start,"&lt;"&amp;1080,m_end,"&gt;"&amp;1020)&gt;1,"충돌",HYPERLINK("#'관리자_MASTER'!D"&amp;_xlfn.MAXIFS(m_row,m_teacher,J$4,m_date,($G$2+6),m_active,1,m_start,"&lt;"&amp;1080,m_end,"&gt;"&amp;1020),INDEX(m_label,_xlfn.MAXIFS(m_row,m_teacher,J$4,m_date,($G$2+6),m_active,1,m_start,"&lt;"&amp;1080,m_end,"&gt;"&amp;1020))))))</f>
        <v/>
      </c>
      <c r="K79" s="82" t="str">
        <f aca="false">IF(OR(K$4="",MONTH(($G$2+6))&lt;&gt;MONTH($C$2)),"",IF(COUNTIFS(m_teacher,K$4,m_date,($G$2+6),m_active,1,m_start,"&lt;"&amp;1080,m_end,"&gt;"&amp;1020)=0,"",IF(COUNTIFS(m_teacher,K$4,m_date,($G$2+6),m_active,1,m_start,"&lt;"&amp;1080,m_end,"&gt;"&amp;1020)&gt;1,"충돌",HYPERLINK("#'관리자_MASTER'!D"&amp;_xlfn.MAXIFS(m_row,m_teacher,K$4,m_date,($G$2+6),m_active,1,m_start,"&lt;"&amp;1080,m_end,"&gt;"&amp;1020),INDEX(m_label,_xlfn.MAXIFS(m_row,m_teacher,K$4,m_date,($G$2+6),m_active,1,m_start,"&lt;"&amp;1080,m_end,"&gt;"&amp;1020))))))</f>
        <v/>
      </c>
      <c r="L79" s="82" t="str">
        <f aca="false">IF(OR(L$4="",MONTH(($G$2+6))&lt;&gt;MONTH($C$2)),"",IF(COUNTIFS(m_teacher,L$4,m_date,($G$2+6),m_active,1,m_start,"&lt;"&amp;1080,m_end,"&gt;"&amp;1020)=0,"",IF(COUNTIFS(m_teacher,L$4,m_date,($G$2+6),m_active,1,m_start,"&lt;"&amp;1080,m_end,"&gt;"&amp;1020)&gt;1,"충돌",HYPERLINK("#'관리자_MASTER'!D"&amp;_xlfn.MAXIFS(m_row,m_teacher,L$4,m_date,($G$2+6),m_active,1,m_start,"&lt;"&amp;1080,m_end,"&gt;"&amp;1020),INDEX(m_label,_xlfn.MAXIFS(m_row,m_teacher,L$4,m_date,($G$2+6),m_active,1,m_start,"&lt;"&amp;1080,m_end,"&gt;"&amp;1020))))))</f>
        <v/>
      </c>
      <c r="M79" s="82" t="str">
        <f aca="false">IF(OR(M$4="",MONTH(($G$2+6))&lt;&gt;MONTH($C$2)),"",IF(COUNTIFS(m_teacher,M$4,m_date,($G$2+6),m_active,1,m_start,"&lt;"&amp;1080,m_end,"&gt;"&amp;1020)=0,"",IF(COUNTIFS(m_teacher,M$4,m_date,($G$2+6),m_active,1,m_start,"&lt;"&amp;1080,m_end,"&gt;"&amp;1020)&gt;1,"충돌",HYPERLINK("#'관리자_MASTER'!D"&amp;_xlfn.MAXIFS(m_row,m_teacher,M$4,m_date,($G$2+6),m_active,1,m_start,"&lt;"&amp;1080,m_end,"&gt;"&amp;1020),INDEX(m_label,_xlfn.MAXIFS(m_row,m_teacher,M$4,m_date,($G$2+6),m_active,1,m_start,"&lt;"&amp;1080,m_end,"&gt;"&amp;1020))))))</f>
        <v/>
      </c>
      <c r="N79" s="82" t="str">
        <f aca="false">IF(OR(N$4="",MONTH(($G$2+6))&lt;&gt;MONTH($C$2)),"",IF(COUNTIFS(m_teacher,N$4,m_date,($G$2+6),m_active,1,m_start,"&lt;"&amp;1080,m_end,"&gt;"&amp;1020)=0,"",IF(COUNTIFS(m_teacher,N$4,m_date,($G$2+6),m_active,1,m_start,"&lt;"&amp;1080,m_end,"&gt;"&amp;1020)&gt;1,"충돌",HYPERLINK("#'관리자_MASTER'!D"&amp;_xlfn.MAXIFS(m_row,m_teacher,N$4,m_date,($G$2+6),m_active,1,m_start,"&lt;"&amp;1080,m_end,"&gt;"&amp;1020),INDEX(m_label,_xlfn.MAXIFS(m_row,m_teacher,N$4,m_date,($G$2+6),m_active,1,m_start,"&lt;"&amp;1080,m_end,"&gt;"&amp;1020))))))</f>
        <v/>
      </c>
      <c r="O79" s="92"/>
      <c r="P79" s="79" t="s">
        <v>99</v>
      </c>
      <c r="Q79" s="82" t="str">
        <f aca="false">IF(OR(Q$4="",MONTH(($G$2+13))&lt;&gt;MONTH($C$2)),"",IF(COUNTIFS(m_teacher,Q$4,m_date,($G$2+13),m_active,1,m_start,"&lt;"&amp;1080,m_end,"&gt;"&amp;1020)=0,"",IF(COUNTIFS(m_teacher,Q$4,m_date,($G$2+13),m_active,1,m_start,"&lt;"&amp;1080,m_end,"&gt;"&amp;1020)&gt;1,"충돌",HYPERLINK("#'관리자_MASTER'!D"&amp;_xlfn.MAXIFS(m_row,m_teacher,Q$4,m_date,($G$2+13),m_active,1,m_start,"&lt;"&amp;1080,m_end,"&gt;"&amp;1020),INDEX(m_label,_xlfn.MAXIFS(m_row,m_teacher,Q$4,m_date,($G$2+13),m_active,1,m_start,"&lt;"&amp;1080,m_end,"&gt;"&amp;1020))))))</f>
        <v/>
      </c>
      <c r="R79" s="82" t="str">
        <f aca="false">IF(OR(R$4="",MONTH(($G$2+13))&lt;&gt;MONTH($C$2)),"",IF(COUNTIFS(m_teacher,R$4,m_date,($G$2+13),m_active,1,m_start,"&lt;"&amp;1080,m_end,"&gt;"&amp;1020)=0,"",IF(COUNTIFS(m_teacher,R$4,m_date,($G$2+13),m_active,1,m_start,"&lt;"&amp;1080,m_end,"&gt;"&amp;1020)&gt;1,"충돌",HYPERLINK("#'관리자_MASTER'!D"&amp;_xlfn.MAXIFS(m_row,m_teacher,R$4,m_date,($G$2+13),m_active,1,m_start,"&lt;"&amp;1080,m_end,"&gt;"&amp;1020),INDEX(m_label,_xlfn.MAXIFS(m_row,m_teacher,R$4,m_date,($G$2+13),m_active,1,m_start,"&lt;"&amp;1080,m_end,"&gt;"&amp;1020))))))</f>
        <v/>
      </c>
      <c r="S79" s="82" t="str">
        <f aca="false">IF(OR(S$4="",MONTH(($G$2+13))&lt;&gt;MONTH($C$2)),"",IF(COUNTIFS(m_teacher,S$4,m_date,($G$2+13),m_active,1,m_start,"&lt;"&amp;1080,m_end,"&gt;"&amp;1020)=0,"",IF(COUNTIFS(m_teacher,S$4,m_date,($G$2+13),m_active,1,m_start,"&lt;"&amp;1080,m_end,"&gt;"&amp;1020)&gt;1,"충돌",HYPERLINK("#'관리자_MASTER'!D"&amp;_xlfn.MAXIFS(m_row,m_teacher,S$4,m_date,($G$2+13),m_active,1,m_start,"&lt;"&amp;1080,m_end,"&gt;"&amp;1020),INDEX(m_label,_xlfn.MAXIFS(m_row,m_teacher,S$4,m_date,($G$2+13),m_active,1,m_start,"&lt;"&amp;1080,m_end,"&gt;"&amp;1020))))))</f>
        <v/>
      </c>
      <c r="T79" s="82" t="str">
        <f aca="false">IF(OR(T$4="",MONTH(($G$2+13))&lt;&gt;MONTH($C$2)),"",IF(COUNTIFS(m_teacher,T$4,m_date,($G$2+13),m_active,1,m_start,"&lt;"&amp;1080,m_end,"&gt;"&amp;1020)=0,"",IF(COUNTIFS(m_teacher,T$4,m_date,($G$2+13),m_active,1,m_start,"&lt;"&amp;1080,m_end,"&gt;"&amp;1020)&gt;1,"충돌",HYPERLINK("#'관리자_MASTER'!D"&amp;_xlfn.MAXIFS(m_row,m_teacher,T$4,m_date,($G$2+13),m_active,1,m_start,"&lt;"&amp;1080,m_end,"&gt;"&amp;1020),INDEX(m_label,_xlfn.MAXIFS(m_row,m_teacher,T$4,m_date,($G$2+13),m_active,1,m_start,"&lt;"&amp;1080,m_end,"&gt;"&amp;1020))))))</f>
        <v/>
      </c>
      <c r="U79" s="82" t="str">
        <f aca="false">IF(OR(U$4="",MONTH(($G$2+13))&lt;&gt;MONTH($C$2)),"",IF(COUNTIFS(m_teacher,U$4,m_date,($G$2+13),m_active,1,m_start,"&lt;"&amp;1080,m_end,"&gt;"&amp;1020)=0,"",IF(COUNTIFS(m_teacher,U$4,m_date,($G$2+13),m_active,1,m_start,"&lt;"&amp;1080,m_end,"&gt;"&amp;1020)&gt;1,"충돌",HYPERLINK("#'관리자_MASTER'!D"&amp;_xlfn.MAXIFS(m_row,m_teacher,U$4,m_date,($G$2+13),m_active,1,m_start,"&lt;"&amp;1080,m_end,"&gt;"&amp;1020),INDEX(m_label,_xlfn.MAXIFS(m_row,m_teacher,U$4,m_date,($G$2+13),m_active,1,m_start,"&lt;"&amp;1080,m_end,"&gt;"&amp;1020))))))</f>
        <v/>
      </c>
      <c r="V79" s="82" t="str">
        <f aca="false">IF(OR(V$4="",MONTH(($G$2+13))&lt;&gt;MONTH($C$2)),"",IF(COUNTIFS(m_teacher,V$4,m_date,($G$2+13),m_active,1,m_start,"&lt;"&amp;1080,m_end,"&gt;"&amp;1020)=0,"",IF(COUNTIFS(m_teacher,V$4,m_date,($G$2+13),m_active,1,m_start,"&lt;"&amp;1080,m_end,"&gt;"&amp;1020)&gt;1,"충돌",HYPERLINK("#'관리자_MASTER'!D"&amp;_xlfn.MAXIFS(m_row,m_teacher,V$4,m_date,($G$2+13),m_active,1,m_start,"&lt;"&amp;1080,m_end,"&gt;"&amp;1020),INDEX(m_label,_xlfn.MAXIFS(m_row,m_teacher,V$4,m_date,($G$2+13),m_active,1,m_start,"&lt;"&amp;1080,m_end,"&gt;"&amp;1020))))))</f>
        <v/>
      </c>
      <c r="W79" s="82" t="str">
        <f aca="false">IF(OR(W$4="",MONTH(($G$2+13))&lt;&gt;MONTH($C$2)),"",IF(COUNTIFS(m_teacher,W$4,m_date,($G$2+13),m_active,1,m_start,"&lt;"&amp;1080,m_end,"&gt;"&amp;1020)=0,"",IF(COUNTIFS(m_teacher,W$4,m_date,($G$2+13),m_active,1,m_start,"&lt;"&amp;1080,m_end,"&gt;"&amp;1020)&gt;1,"충돌",HYPERLINK("#'관리자_MASTER'!D"&amp;_xlfn.MAXIFS(m_row,m_teacher,W$4,m_date,($G$2+13),m_active,1,m_start,"&lt;"&amp;1080,m_end,"&gt;"&amp;1020),INDEX(m_label,_xlfn.MAXIFS(m_row,m_teacher,W$4,m_date,($G$2+13),m_active,1,m_start,"&lt;"&amp;1080,m_end,"&gt;"&amp;1020))))))</f>
        <v/>
      </c>
      <c r="X79" s="82" t="str">
        <f aca="false">IF(OR(X$4="",MONTH(($G$2+13))&lt;&gt;MONTH($C$2)),"",IF(COUNTIFS(m_teacher,X$4,m_date,($G$2+13),m_active,1,m_start,"&lt;"&amp;1080,m_end,"&gt;"&amp;1020)=0,"",IF(COUNTIFS(m_teacher,X$4,m_date,($G$2+13),m_active,1,m_start,"&lt;"&amp;1080,m_end,"&gt;"&amp;1020)&gt;1,"충돌",HYPERLINK("#'관리자_MASTER'!D"&amp;_xlfn.MAXIFS(m_row,m_teacher,X$4,m_date,($G$2+13),m_active,1,m_start,"&lt;"&amp;1080,m_end,"&gt;"&amp;1020),INDEX(m_label,_xlfn.MAXIFS(m_row,m_teacher,X$4,m_date,($G$2+13),m_active,1,m_start,"&lt;"&amp;1080,m_end,"&gt;"&amp;1020))))))</f>
        <v/>
      </c>
      <c r="Y79" s="82" t="str">
        <f aca="false">IF(OR(Y$4="",MONTH(($G$2+13))&lt;&gt;MONTH($C$2)),"",IF(COUNTIFS(m_teacher,Y$4,m_date,($G$2+13),m_active,1,m_start,"&lt;"&amp;1080,m_end,"&gt;"&amp;1020)=0,"",IF(COUNTIFS(m_teacher,Y$4,m_date,($G$2+13),m_active,1,m_start,"&lt;"&amp;1080,m_end,"&gt;"&amp;1020)&gt;1,"충돌",HYPERLINK("#'관리자_MASTER'!D"&amp;_xlfn.MAXIFS(m_row,m_teacher,Y$4,m_date,($G$2+13),m_active,1,m_start,"&lt;"&amp;1080,m_end,"&gt;"&amp;1020),INDEX(m_label,_xlfn.MAXIFS(m_row,m_teacher,Y$4,m_date,($G$2+13),m_active,1,m_start,"&lt;"&amp;1080,m_end,"&gt;"&amp;1020))))))</f>
        <v/>
      </c>
      <c r="Z79" s="82" t="str">
        <f aca="false">IF(OR(Z$4="",MONTH(($G$2+13))&lt;&gt;MONTH($C$2)),"",IF(COUNTIFS(m_teacher,Z$4,m_date,($G$2+13),m_active,1,m_start,"&lt;"&amp;1080,m_end,"&gt;"&amp;1020)=0,"",IF(COUNTIFS(m_teacher,Z$4,m_date,($G$2+13),m_active,1,m_start,"&lt;"&amp;1080,m_end,"&gt;"&amp;1020)&gt;1,"충돌",HYPERLINK("#'관리자_MASTER'!D"&amp;_xlfn.MAXIFS(m_row,m_teacher,Z$4,m_date,($G$2+13),m_active,1,m_start,"&lt;"&amp;1080,m_end,"&gt;"&amp;1020),INDEX(m_label,_xlfn.MAXIFS(m_row,m_teacher,Z$4,m_date,($G$2+13),m_active,1,m_start,"&lt;"&amp;1080,m_end,"&gt;"&amp;1020))))))</f>
        <v/>
      </c>
      <c r="AA79" s="82" t="str">
        <f aca="false">IF(OR(AA$4="",MONTH(($G$2+13))&lt;&gt;MONTH($C$2)),"",IF(COUNTIFS(m_teacher,AA$4,m_date,($G$2+13),m_active,1,m_start,"&lt;"&amp;1080,m_end,"&gt;"&amp;1020)=0,"",IF(COUNTIFS(m_teacher,AA$4,m_date,($G$2+13),m_active,1,m_start,"&lt;"&amp;1080,m_end,"&gt;"&amp;1020)&gt;1,"충돌",HYPERLINK("#'관리자_MASTER'!D"&amp;_xlfn.MAXIFS(m_row,m_teacher,AA$4,m_date,($G$2+13),m_active,1,m_start,"&lt;"&amp;1080,m_end,"&gt;"&amp;1020),INDEX(m_label,_xlfn.MAXIFS(m_row,m_teacher,AA$4,m_date,($G$2+13),m_active,1,m_start,"&lt;"&amp;1080,m_end,"&gt;"&amp;1020))))))</f>
        <v/>
      </c>
      <c r="AB79" s="82" t="str">
        <f aca="false">IF(OR(AB$4="",MONTH(($G$2+13))&lt;&gt;MONTH($C$2)),"",IF(COUNTIFS(m_teacher,AB$4,m_date,($G$2+13),m_active,1,m_start,"&lt;"&amp;1080,m_end,"&gt;"&amp;1020)=0,"",IF(COUNTIFS(m_teacher,AB$4,m_date,($G$2+13),m_active,1,m_start,"&lt;"&amp;1080,m_end,"&gt;"&amp;1020)&gt;1,"충돌",HYPERLINK("#'관리자_MASTER'!D"&amp;_xlfn.MAXIFS(m_row,m_teacher,AB$4,m_date,($G$2+13),m_active,1,m_start,"&lt;"&amp;1080,m_end,"&gt;"&amp;1020),INDEX(m_label,_xlfn.MAXIFS(m_row,m_teacher,AB$4,m_date,($G$2+13),m_active,1,m_start,"&lt;"&amp;1080,m_end,"&gt;"&amp;1020))))))</f>
        <v/>
      </c>
      <c r="AC79" s="92"/>
      <c r="AD79" s="79" t="s">
        <v>99</v>
      </c>
      <c r="AE79" s="82" t="str">
        <f aca="false">IF(OR(AE$4="",MONTH(($G$2+20))&lt;&gt;MONTH($C$2)),"",IF(COUNTIFS(m_teacher,AE$4,m_date,($G$2+20),m_active,1,m_start,"&lt;"&amp;1080,m_end,"&gt;"&amp;1020)=0,"",IF(COUNTIFS(m_teacher,AE$4,m_date,($G$2+20),m_active,1,m_start,"&lt;"&amp;1080,m_end,"&gt;"&amp;1020)&gt;1,"충돌",HYPERLINK("#'관리자_MASTER'!D"&amp;_xlfn.MAXIFS(m_row,m_teacher,AE$4,m_date,($G$2+20),m_active,1,m_start,"&lt;"&amp;1080,m_end,"&gt;"&amp;1020),INDEX(m_label,_xlfn.MAXIFS(m_row,m_teacher,AE$4,m_date,($G$2+20),m_active,1,m_start,"&lt;"&amp;1080,m_end,"&gt;"&amp;1020))))))</f>
        <v/>
      </c>
      <c r="AF79" s="82" t="str">
        <f aca="false">IF(OR(AF$4="",MONTH(($G$2+20))&lt;&gt;MONTH($C$2)),"",IF(COUNTIFS(m_teacher,AF$4,m_date,($G$2+20),m_active,1,m_start,"&lt;"&amp;1080,m_end,"&gt;"&amp;1020)=0,"",IF(COUNTIFS(m_teacher,AF$4,m_date,($G$2+20),m_active,1,m_start,"&lt;"&amp;1080,m_end,"&gt;"&amp;1020)&gt;1,"충돌",HYPERLINK("#'관리자_MASTER'!D"&amp;_xlfn.MAXIFS(m_row,m_teacher,AF$4,m_date,($G$2+20),m_active,1,m_start,"&lt;"&amp;1080,m_end,"&gt;"&amp;1020),INDEX(m_label,_xlfn.MAXIFS(m_row,m_teacher,AF$4,m_date,($G$2+20),m_active,1,m_start,"&lt;"&amp;1080,m_end,"&gt;"&amp;1020))))))</f>
        <v/>
      </c>
      <c r="AG79" s="82" t="str">
        <f aca="false">IF(OR(AG$4="",MONTH(($G$2+20))&lt;&gt;MONTH($C$2)),"",IF(COUNTIFS(m_teacher,AG$4,m_date,($G$2+20),m_active,1,m_start,"&lt;"&amp;1080,m_end,"&gt;"&amp;1020)=0,"",IF(COUNTIFS(m_teacher,AG$4,m_date,($G$2+20),m_active,1,m_start,"&lt;"&amp;1080,m_end,"&gt;"&amp;1020)&gt;1,"충돌",HYPERLINK("#'관리자_MASTER'!D"&amp;_xlfn.MAXIFS(m_row,m_teacher,AG$4,m_date,($G$2+20),m_active,1,m_start,"&lt;"&amp;1080,m_end,"&gt;"&amp;1020),INDEX(m_label,_xlfn.MAXIFS(m_row,m_teacher,AG$4,m_date,($G$2+20),m_active,1,m_start,"&lt;"&amp;1080,m_end,"&gt;"&amp;1020))))))</f>
        <v/>
      </c>
      <c r="AH79" s="82" t="str">
        <f aca="false">IF(OR(AH$4="",MONTH(($G$2+20))&lt;&gt;MONTH($C$2)),"",IF(COUNTIFS(m_teacher,AH$4,m_date,($G$2+20),m_active,1,m_start,"&lt;"&amp;1080,m_end,"&gt;"&amp;1020)=0,"",IF(COUNTIFS(m_teacher,AH$4,m_date,($G$2+20),m_active,1,m_start,"&lt;"&amp;1080,m_end,"&gt;"&amp;1020)&gt;1,"충돌",HYPERLINK("#'관리자_MASTER'!D"&amp;_xlfn.MAXIFS(m_row,m_teacher,AH$4,m_date,($G$2+20),m_active,1,m_start,"&lt;"&amp;1080,m_end,"&gt;"&amp;1020),INDEX(m_label,_xlfn.MAXIFS(m_row,m_teacher,AH$4,m_date,($G$2+20),m_active,1,m_start,"&lt;"&amp;1080,m_end,"&gt;"&amp;1020))))))</f>
        <v/>
      </c>
      <c r="AI79" s="82" t="str">
        <f aca="false">IF(OR(AI$4="",MONTH(($G$2+20))&lt;&gt;MONTH($C$2)),"",IF(COUNTIFS(m_teacher,AI$4,m_date,($G$2+20),m_active,1,m_start,"&lt;"&amp;1080,m_end,"&gt;"&amp;1020)=0,"",IF(COUNTIFS(m_teacher,AI$4,m_date,($G$2+20),m_active,1,m_start,"&lt;"&amp;1080,m_end,"&gt;"&amp;1020)&gt;1,"충돌",HYPERLINK("#'관리자_MASTER'!D"&amp;_xlfn.MAXIFS(m_row,m_teacher,AI$4,m_date,($G$2+20),m_active,1,m_start,"&lt;"&amp;1080,m_end,"&gt;"&amp;1020),INDEX(m_label,_xlfn.MAXIFS(m_row,m_teacher,AI$4,m_date,($G$2+20),m_active,1,m_start,"&lt;"&amp;1080,m_end,"&gt;"&amp;1020))))))</f>
        <v/>
      </c>
      <c r="AJ79" s="82" t="str">
        <f aca="false">IF(OR(AJ$4="",MONTH(($G$2+20))&lt;&gt;MONTH($C$2)),"",IF(COUNTIFS(m_teacher,AJ$4,m_date,($G$2+20),m_active,1,m_start,"&lt;"&amp;1080,m_end,"&gt;"&amp;1020)=0,"",IF(COUNTIFS(m_teacher,AJ$4,m_date,($G$2+20),m_active,1,m_start,"&lt;"&amp;1080,m_end,"&gt;"&amp;1020)&gt;1,"충돌",HYPERLINK("#'관리자_MASTER'!D"&amp;_xlfn.MAXIFS(m_row,m_teacher,AJ$4,m_date,($G$2+20),m_active,1,m_start,"&lt;"&amp;1080,m_end,"&gt;"&amp;1020),INDEX(m_label,_xlfn.MAXIFS(m_row,m_teacher,AJ$4,m_date,($G$2+20),m_active,1,m_start,"&lt;"&amp;1080,m_end,"&gt;"&amp;1020))))))</f>
        <v/>
      </c>
      <c r="AK79" s="82" t="str">
        <f aca="false">IF(OR(AK$4="",MONTH(($G$2+20))&lt;&gt;MONTH($C$2)),"",IF(COUNTIFS(m_teacher,AK$4,m_date,($G$2+20),m_active,1,m_start,"&lt;"&amp;1080,m_end,"&gt;"&amp;1020)=0,"",IF(COUNTIFS(m_teacher,AK$4,m_date,($G$2+20),m_active,1,m_start,"&lt;"&amp;1080,m_end,"&gt;"&amp;1020)&gt;1,"충돌",HYPERLINK("#'관리자_MASTER'!D"&amp;_xlfn.MAXIFS(m_row,m_teacher,AK$4,m_date,($G$2+20),m_active,1,m_start,"&lt;"&amp;1080,m_end,"&gt;"&amp;1020),INDEX(m_label,_xlfn.MAXIFS(m_row,m_teacher,AK$4,m_date,($G$2+20),m_active,1,m_start,"&lt;"&amp;1080,m_end,"&gt;"&amp;1020))))))</f>
        <v/>
      </c>
      <c r="AL79" s="82" t="str">
        <f aca="false">IF(OR(AL$4="",MONTH(($G$2+20))&lt;&gt;MONTH($C$2)),"",IF(COUNTIFS(m_teacher,AL$4,m_date,($G$2+20),m_active,1,m_start,"&lt;"&amp;1080,m_end,"&gt;"&amp;1020)=0,"",IF(COUNTIFS(m_teacher,AL$4,m_date,($G$2+20),m_active,1,m_start,"&lt;"&amp;1080,m_end,"&gt;"&amp;1020)&gt;1,"충돌",HYPERLINK("#'관리자_MASTER'!D"&amp;_xlfn.MAXIFS(m_row,m_teacher,AL$4,m_date,($G$2+20),m_active,1,m_start,"&lt;"&amp;1080,m_end,"&gt;"&amp;1020),INDEX(m_label,_xlfn.MAXIFS(m_row,m_teacher,AL$4,m_date,($G$2+20),m_active,1,m_start,"&lt;"&amp;1080,m_end,"&gt;"&amp;1020))))))</f>
        <v/>
      </c>
      <c r="AM79" s="82" t="str">
        <f aca="false">IF(OR(AM$4="",MONTH(($G$2+20))&lt;&gt;MONTH($C$2)),"",IF(COUNTIFS(m_teacher,AM$4,m_date,($G$2+20),m_active,1,m_start,"&lt;"&amp;1080,m_end,"&gt;"&amp;1020)=0,"",IF(COUNTIFS(m_teacher,AM$4,m_date,($G$2+20),m_active,1,m_start,"&lt;"&amp;1080,m_end,"&gt;"&amp;1020)&gt;1,"충돌",HYPERLINK("#'관리자_MASTER'!D"&amp;_xlfn.MAXIFS(m_row,m_teacher,AM$4,m_date,($G$2+20),m_active,1,m_start,"&lt;"&amp;1080,m_end,"&gt;"&amp;1020),INDEX(m_label,_xlfn.MAXIFS(m_row,m_teacher,AM$4,m_date,($G$2+20),m_active,1,m_start,"&lt;"&amp;1080,m_end,"&gt;"&amp;1020))))))</f>
        <v/>
      </c>
      <c r="AN79" s="82" t="str">
        <f aca="false">IF(OR(AN$4="",MONTH(($G$2+20))&lt;&gt;MONTH($C$2)),"",IF(COUNTIFS(m_teacher,AN$4,m_date,($G$2+20),m_active,1,m_start,"&lt;"&amp;1080,m_end,"&gt;"&amp;1020)=0,"",IF(COUNTIFS(m_teacher,AN$4,m_date,($G$2+20),m_active,1,m_start,"&lt;"&amp;1080,m_end,"&gt;"&amp;1020)&gt;1,"충돌",HYPERLINK("#'관리자_MASTER'!D"&amp;_xlfn.MAXIFS(m_row,m_teacher,AN$4,m_date,($G$2+20),m_active,1,m_start,"&lt;"&amp;1080,m_end,"&gt;"&amp;1020),INDEX(m_label,_xlfn.MAXIFS(m_row,m_teacher,AN$4,m_date,($G$2+20),m_active,1,m_start,"&lt;"&amp;1080,m_end,"&gt;"&amp;1020))))))</f>
        <v/>
      </c>
      <c r="AO79" s="82" t="str">
        <f aca="false">IF(OR(AO$4="",MONTH(($G$2+20))&lt;&gt;MONTH($C$2)),"",IF(COUNTIFS(m_teacher,AO$4,m_date,($G$2+20),m_active,1,m_start,"&lt;"&amp;1080,m_end,"&gt;"&amp;1020)=0,"",IF(COUNTIFS(m_teacher,AO$4,m_date,($G$2+20),m_active,1,m_start,"&lt;"&amp;1080,m_end,"&gt;"&amp;1020)&gt;1,"충돌",HYPERLINK("#'관리자_MASTER'!D"&amp;_xlfn.MAXIFS(m_row,m_teacher,AO$4,m_date,($G$2+20),m_active,1,m_start,"&lt;"&amp;1080,m_end,"&gt;"&amp;1020),INDEX(m_label,_xlfn.MAXIFS(m_row,m_teacher,AO$4,m_date,($G$2+20),m_active,1,m_start,"&lt;"&amp;1080,m_end,"&gt;"&amp;1020))))))</f>
        <v/>
      </c>
      <c r="AP79" s="82" t="str">
        <f aca="false">IF(OR(AP$4="",MONTH(($G$2+20))&lt;&gt;MONTH($C$2)),"",IF(COUNTIFS(m_teacher,AP$4,m_date,($G$2+20),m_active,1,m_start,"&lt;"&amp;1080,m_end,"&gt;"&amp;1020)=0,"",IF(COUNTIFS(m_teacher,AP$4,m_date,($G$2+20),m_active,1,m_start,"&lt;"&amp;1080,m_end,"&gt;"&amp;1020)&gt;1,"충돌",HYPERLINK("#'관리자_MASTER'!D"&amp;_xlfn.MAXIFS(m_row,m_teacher,AP$4,m_date,($G$2+20),m_active,1,m_start,"&lt;"&amp;1080,m_end,"&gt;"&amp;1020),INDEX(m_label,_xlfn.MAXIFS(m_row,m_teacher,AP$4,m_date,($G$2+20),m_active,1,m_start,"&lt;"&amp;1080,m_end,"&gt;"&amp;1020))))))</f>
        <v/>
      </c>
      <c r="AQ79" s="92"/>
      <c r="AR79" s="79" t="s">
        <v>99</v>
      </c>
      <c r="AS79" s="82" t="str">
        <f aca="false">IF(OR(AS$4="",MONTH(($G$2+27))&lt;&gt;MONTH($C$2)),"",IF(COUNTIFS(m_teacher,AS$4,m_date,($G$2+27),m_active,1,m_start,"&lt;"&amp;1080,m_end,"&gt;"&amp;1020)=0,"",IF(COUNTIFS(m_teacher,AS$4,m_date,($G$2+27),m_active,1,m_start,"&lt;"&amp;1080,m_end,"&gt;"&amp;1020)&gt;1,"충돌",HYPERLINK("#'관리자_MASTER'!D"&amp;_xlfn.MAXIFS(m_row,m_teacher,AS$4,m_date,($G$2+27),m_active,1,m_start,"&lt;"&amp;1080,m_end,"&gt;"&amp;1020),INDEX(m_label,_xlfn.MAXIFS(m_row,m_teacher,AS$4,m_date,($G$2+27),m_active,1,m_start,"&lt;"&amp;1080,m_end,"&gt;"&amp;1020))))))</f>
        <v/>
      </c>
      <c r="AT79" s="82" t="str">
        <f aca="false">IF(OR(AT$4="",MONTH(($G$2+27))&lt;&gt;MONTH($C$2)),"",IF(COUNTIFS(m_teacher,AT$4,m_date,($G$2+27),m_active,1,m_start,"&lt;"&amp;1080,m_end,"&gt;"&amp;1020)=0,"",IF(COUNTIFS(m_teacher,AT$4,m_date,($G$2+27),m_active,1,m_start,"&lt;"&amp;1080,m_end,"&gt;"&amp;1020)&gt;1,"충돌",HYPERLINK("#'관리자_MASTER'!D"&amp;_xlfn.MAXIFS(m_row,m_teacher,AT$4,m_date,($G$2+27),m_active,1,m_start,"&lt;"&amp;1080,m_end,"&gt;"&amp;1020),INDEX(m_label,_xlfn.MAXIFS(m_row,m_teacher,AT$4,m_date,($G$2+27),m_active,1,m_start,"&lt;"&amp;1080,m_end,"&gt;"&amp;1020))))))</f>
        <v/>
      </c>
      <c r="AU79" s="82" t="str">
        <f aca="false">IF(OR(AU$4="",MONTH(($G$2+27))&lt;&gt;MONTH($C$2)),"",IF(COUNTIFS(m_teacher,AU$4,m_date,($G$2+27),m_active,1,m_start,"&lt;"&amp;1080,m_end,"&gt;"&amp;1020)=0,"",IF(COUNTIFS(m_teacher,AU$4,m_date,($G$2+27),m_active,1,m_start,"&lt;"&amp;1080,m_end,"&gt;"&amp;1020)&gt;1,"충돌",HYPERLINK("#'관리자_MASTER'!D"&amp;_xlfn.MAXIFS(m_row,m_teacher,AU$4,m_date,($G$2+27),m_active,1,m_start,"&lt;"&amp;1080,m_end,"&gt;"&amp;1020),INDEX(m_label,_xlfn.MAXIFS(m_row,m_teacher,AU$4,m_date,($G$2+27),m_active,1,m_start,"&lt;"&amp;1080,m_end,"&gt;"&amp;1020))))))</f>
        <v/>
      </c>
      <c r="AV79" s="82" t="str">
        <f aca="false">IF(OR(AV$4="",MONTH(($G$2+27))&lt;&gt;MONTH($C$2)),"",IF(COUNTIFS(m_teacher,AV$4,m_date,($G$2+27),m_active,1,m_start,"&lt;"&amp;1080,m_end,"&gt;"&amp;1020)=0,"",IF(COUNTIFS(m_teacher,AV$4,m_date,($G$2+27),m_active,1,m_start,"&lt;"&amp;1080,m_end,"&gt;"&amp;1020)&gt;1,"충돌",HYPERLINK("#'관리자_MASTER'!D"&amp;_xlfn.MAXIFS(m_row,m_teacher,AV$4,m_date,($G$2+27),m_active,1,m_start,"&lt;"&amp;1080,m_end,"&gt;"&amp;1020),INDEX(m_label,_xlfn.MAXIFS(m_row,m_teacher,AV$4,m_date,($G$2+27),m_active,1,m_start,"&lt;"&amp;1080,m_end,"&gt;"&amp;1020))))))</f>
        <v/>
      </c>
      <c r="AW79" s="82" t="str">
        <f aca="false">IF(OR(AW$4="",MONTH(($G$2+27))&lt;&gt;MONTH($C$2)),"",IF(COUNTIFS(m_teacher,AW$4,m_date,($G$2+27),m_active,1,m_start,"&lt;"&amp;1080,m_end,"&gt;"&amp;1020)=0,"",IF(COUNTIFS(m_teacher,AW$4,m_date,($G$2+27),m_active,1,m_start,"&lt;"&amp;1080,m_end,"&gt;"&amp;1020)&gt;1,"충돌",HYPERLINK("#'관리자_MASTER'!D"&amp;_xlfn.MAXIFS(m_row,m_teacher,AW$4,m_date,($G$2+27),m_active,1,m_start,"&lt;"&amp;1080,m_end,"&gt;"&amp;1020),INDEX(m_label,_xlfn.MAXIFS(m_row,m_teacher,AW$4,m_date,($G$2+27),m_active,1,m_start,"&lt;"&amp;1080,m_end,"&gt;"&amp;1020))))))</f>
        <v/>
      </c>
      <c r="AX79" s="82" t="str">
        <f aca="false">IF(OR(AX$4="",MONTH(($G$2+27))&lt;&gt;MONTH($C$2)),"",IF(COUNTIFS(m_teacher,AX$4,m_date,($G$2+27),m_active,1,m_start,"&lt;"&amp;1080,m_end,"&gt;"&amp;1020)=0,"",IF(COUNTIFS(m_teacher,AX$4,m_date,($G$2+27),m_active,1,m_start,"&lt;"&amp;1080,m_end,"&gt;"&amp;1020)&gt;1,"충돌",HYPERLINK("#'관리자_MASTER'!D"&amp;_xlfn.MAXIFS(m_row,m_teacher,AX$4,m_date,($G$2+27),m_active,1,m_start,"&lt;"&amp;1080,m_end,"&gt;"&amp;1020),INDEX(m_label,_xlfn.MAXIFS(m_row,m_teacher,AX$4,m_date,($G$2+27),m_active,1,m_start,"&lt;"&amp;1080,m_end,"&gt;"&amp;1020))))))</f>
        <v/>
      </c>
      <c r="AY79" s="82" t="str">
        <f aca="false">IF(OR(AY$4="",MONTH(($G$2+27))&lt;&gt;MONTH($C$2)),"",IF(COUNTIFS(m_teacher,AY$4,m_date,($G$2+27),m_active,1,m_start,"&lt;"&amp;1080,m_end,"&gt;"&amp;1020)=0,"",IF(COUNTIFS(m_teacher,AY$4,m_date,($G$2+27),m_active,1,m_start,"&lt;"&amp;1080,m_end,"&gt;"&amp;1020)&gt;1,"충돌",HYPERLINK("#'관리자_MASTER'!D"&amp;_xlfn.MAXIFS(m_row,m_teacher,AY$4,m_date,($G$2+27),m_active,1,m_start,"&lt;"&amp;1080,m_end,"&gt;"&amp;1020),INDEX(m_label,_xlfn.MAXIFS(m_row,m_teacher,AY$4,m_date,($G$2+27),m_active,1,m_start,"&lt;"&amp;1080,m_end,"&gt;"&amp;1020))))))</f>
        <v/>
      </c>
      <c r="AZ79" s="82" t="str">
        <f aca="false">IF(OR(AZ$4="",MONTH(($G$2+27))&lt;&gt;MONTH($C$2)),"",IF(COUNTIFS(m_teacher,AZ$4,m_date,($G$2+27),m_active,1,m_start,"&lt;"&amp;1080,m_end,"&gt;"&amp;1020)=0,"",IF(COUNTIFS(m_teacher,AZ$4,m_date,($G$2+27),m_active,1,m_start,"&lt;"&amp;1080,m_end,"&gt;"&amp;1020)&gt;1,"충돌",HYPERLINK("#'관리자_MASTER'!D"&amp;_xlfn.MAXIFS(m_row,m_teacher,AZ$4,m_date,($G$2+27),m_active,1,m_start,"&lt;"&amp;1080,m_end,"&gt;"&amp;1020),INDEX(m_label,_xlfn.MAXIFS(m_row,m_teacher,AZ$4,m_date,($G$2+27),m_active,1,m_start,"&lt;"&amp;1080,m_end,"&gt;"&amp;1020))))))</f>
        <v/>
      </c>
      <c r="BA79" s="82" t="str">
        <f aca="false">IF(OR(BA$4="",MONTH(($G$2+27))&lt;&gt;MONTH($C$2)),"",IF(COUNTIFS(m_teacher,BA$4,m_date,($G$2+27),m_active,1,m_start,"&lt;"&amp;1080,m_end,"&gt;"&amp;1020)=0,"",IF(COUNTIFS(m_teacher,BA$4,m_date,($G$2+27),m_active,1,m_start,"&lt;"&amp;1080,m_end,"&gt;"&amp;1020)&gt;1,"충돌",HYPERLINK("#'관리자_MASTER'!D"&amp;_xlfn.MAXIFS(m_row,m_teacher,BA$4,m_date,($G$2+27),m_active,1,m_start,"&lt;"&amp;1080,m_end,"&gt;"&amp;1020),INDEX(m_label,_xlfn.MAXIFS(m_row,m_teacher,BA$4,m_date,($G$2+27),m_active,1,m_start,"&lt;"&amp;1080,m_end,"&gt;"&amp;1020))))))</f>
        <v/>
      </c>
      <c r="BB79" s="82" t="str">
        <f aca="false">IF(OR(BB$4="",MONTH(($G$2+27))&lt;&gt;MONTH($C$2)),"",IF(COUNTIFS(m_teacher,BB$4,m_date,($G$2+27),m_active,1,m_start,"&lt;"&amp;1080,m_end,"&gt;"&amp;1020)=0,"",IF(COUNTIFS(m_teacher,BB$4,m_date,($G$2+27),m_active,1,m_start,"&lt;"&amp;1080,m_end,"&gt;"&amp;1020)&gt;1,"충돌",HYPERLINK("#'관리자_MASTER'!D"&amp;_xlfn.MAXIFS(m_row,m_teacher,BB$4,m_date,($G$2+27),m_active,1,m_start,"&lt;"&amp;1080,m_end,"&gt;"&amp;1020),INDEX(m_label,_xlfn.MAXIFS(m_row,m_teacher,BB$4,m_date,($G$2+27),m_active,1,m_start,"&lt;"&amp;1080,m_end,"&gt;"&amp;1020))))))</f>
        <v/>
      </c>
      <c r="BC79" s="82" t="str">
        <f aca="false">IF(OR(BC$4="",MONTH(($G$2+27))&lt;&gt;MONTH($C$2)),"",IF(COUNTIFS(m_teacher,BC$4,m_date,($G$2+27),m_active,1,m_start,"&lt;"&amp;1080,m_end,"&gt;"&amp;1020)=0,"",IF(COUNTIFS(m_teacher,BC$4,m_date,($G$2+27),m_active,1,m_start,"&lt;"&amp;1080,m_end,"&gt;"&amp;1020)&gt;1,"충돌",HYPERLINK("#'관리자_MASTER'!D"&amp;_xlfn.MAXIFS(m_row,m_teacher,BC$4,m_date,($G$2+27),m_active,1,m_start,"&lt;"&amp;1080,m_end,"&gt;"&amp;1020),INDEX(m_label,_xlfn.MAXIFS(m_row,m_teacher,BC$4,m_date,($G$2+27),m_active,1,m_start,"&lt;"&amp;1080,m_end,"&gt;"&amp;1020))))))</f>
        <v/>
      </c>
      <c r="BD79" s="82" t="str">
        <f aca="false">IF(OR(BD$4="",MONTH(($G$2+27))&lt;&gt;MONTH($C$2)),"",IF(COUNTIFS(m_teacher,BD$4,m_date,($G$2+27),m_active,1,m_start,"&lt;"&amp;1080,m_end,"&gt;"&amp;1020)=0,"",IF(COUNTIFS(m_teacher,BD$4,m_date,($G$2+27),m_active,1,m_start,"&lt;"&amp;1080,m_end,"&gt;"&amp;1020)&gt;1,"충돌",HYPERLINK("#'관리자_MASTER'!D"&amp;_xlfn.MAXIFS(m_row,m_teacher,BD$4,m_date,($G$2+27),m_active,1,m_start,"&lt;"&amp;1080,m_end,"&gt;"&amp;1020),INDEX(m_label,_xlfn.MAXIFS(m_row,m_teacher,BD$4,m_date,($G$2+27),m_active,1,m_start,"&lt;"&amp;1080,m_end,"&gt;"&amp;1020))))))</f>
        <v/>
      </c>
    </row>
    <row r="80" customFormat="false" ht="19.5" hidden="false" customHeight="true" outlineLevel="0" collapsed="false">
      <c r="A80" s="92"/>
      <c r="B80" s="79" t="s">
        <v>100</v>
      </c>
      <c r="C80" s="82" t="str">
        <f aca="false">IF(OR(C$4="",MONTH(($G$2+6))&lt;&gt;MONTH($C$2)),"",IF(COUNTIFS(m_teacher,C$4,m_date,($G$2+6),m_active,1,m_start,"&lt;"&amp;1140,m_end,"&gt;"&amp;1080)=0,"",IF(COUNTIFS(m_teacher,C$4,m_date,($G$2+6),m_active,1,m_start,"&lt;"&amp;1140,m_end,"&gt;"&amp;1080)&gt;1,"충돌",HYPERLINK("#'관리자_MASTER'!D"&amp;_xlfn.MAXIFS(m_row,m_teacher,C$4,m_date,($G$2+6),m_active,1,m_start,"&lt;"&amp;1140,m_end,"&gt;"&amp;1080),INDEX(m_label,_xlfn.MAXIFS(m_row,m_teacher,C$4,m_date,($G$2+6),m_active,1,m_start,"&lt;"&amp;1140,m_end,"&gt;"&amp;1080))))))</f>
        <v/>
      </c>
      <c r="D80" s="82" t="str">
        <f aca="false">IF(OR(D$4="",MONTH(($G$2+6))&lt;&gt;MONTH($C$2)),"",IF(COUNTIFS(m_teacher,D$4,m_date,($G$2+6),m_active,1,m_start,"&lt;"&amp;1140,m_end,"&gt;"&amp;1080)=0,"",IF(COUNTIFS(m_teacher,D$4,m_date,($G$2+6),m_active,1,m_start,"&lt;"&amp;1140,m_end,"&gt;"&amp;1080)&gt;1,"충돌",HYPERLINK("#'관리자_MASTER'!D"&amp;_xlfn.MAXIFS(m_row,m_teacher,D$4,m_date,($G$2+6),m_active,1,m_start,"&lt;"&amp;1140,m_end,"&gt;"&amp;1080),INDEX(m_label,_xlfn.MAXIFS(m_row,m_teacher,D$4,m_date,($G$2+6),m_active,1,m_start,"&lt;"&amp;1140,m_end,"&gt;"&amp;1080))))))</f>
        <v/>
      </c>
      <c r="E80" s="82" t="str">
        <f aca="false">IF(OR(E$4="",MONTH(($G$2+6))&lt;&gt;MONTH($C$2)),"",IF(COUNTIFS(m_teacher,E$4,m_date,($G$2+6),m_active,1,m_start,"&lt;"&amp;1140,m_end,"&gt;"&amp;1080)=0,"",IF(COUNTIFS(m_teacher,E$4,m_date,($G$2+6),m_active,1,m_start,"&lt;"&amp;1140,m_end,"&gt;"&amp;1080)&gt;1,"충돌",HYPERLINK("#'관리자_MASTER'!D"&amp;_xlfn.MAXIFS(m_row,m_teacher,E$4,m_date,($G$2+6),m_active,1,m_start,"&lt;"&amp;1140,m_end,"&gt;"&amp;1080),INDEX(m_label,_xlfn.MAXIFS(m_row,m_teacher,E$4,m_date,($G$2+6),m_active,1,m_start,"&lt;"&amp;1140,m_end,"&gt;"&amp;1080))))))</f>
        <v/>
      </c>
      <c r="F80" s="82" t="str">
        <f aca="false">IF(OR(F$4="",MONTH(($G$2+6))&lt;&gt;MONTH($C$2)),"",IF(COUNTIFS(m_teacher,F$4,m_date,($G$2+6),m_active,1,m_start,"&lt;"&amp;1140,m_end,"&gt;"&amp;1080)=0,"",IF(COUNTIFS(m_teacher,F$4,m_date,($G$2+6),m_active,1,m_start,"&lt;"&amp;1140,m_end,"&gt;"&amp;1080)&gt;1,"충돌",HYPERLINK("#'관리자_MASTER'!D"&amp;_xlfn.MAXIFS(m_row,m_teacher,F$4,m_date,($G$2+6),m_active,1,m_start,"&lt;"&amp;1140,m_end,"&gt;"&amp;1080),INDEX(m_label,_xlfn.MAXIFS(m_row,m_teacher,F$4,m_date,($G$2+6),m_active,1,m_start,"&lt;"&amp;1140,m_end,"&gt;"&amp;1080))))))</f>
        <v/>
      </c>
      <c r="G80" s="82" t="str">
        <f aca="false">IF(OR(G$4="",MONTH(($G$2+6))&lt;&gt;MONTH($C$2)),"",IF(COUNTIFS(m_teacher,G$4,m_date,($G$2+6),m_active,1,m_start,"&lt;"&amp;1140,m_end,"&gt;"&amp;1080)=0,"",IF(COUNTIFS(m_teacher,G$4,m_date,($G$2+6),m_active,1,m_start,"&lt;"&amp;1140,m_end,"&gt;"&amp;1080)&gt;1,"충돌",HYPERLINK("#'관리자_MASTER'!D"&amp;_xlfn.MAXIFS(m_row,m_teacher,G$4,m_date,($G$2+6),m_active,1,m_start,"&lt;"&amp;1140,m_end,"&gt;"&amp;1080),INDEX(m_label,_xlfn.MAXIFS(m_row,m_teacher,G$4,m_date,($G$2+6),m_active,1,m_start,"&lt;"&amp;1140,m_end,"&gt;"&amp;1080))))))</f>
        <v/>
      </c>
      <c r="H80" s="82" t="str">
        <f aca="false">IF(OR(H$4="",MONTH(($G$2+6))&lt;&gt;MONTH($C$2)),"",IF(COUNTIFS(m_teacher,H$4,m_date,($G$2+6),m_active,1,m_start,"&lt;"&amp;1140,m_end,"&gt;"&amp;1080)=0,"",IF(COUNTIFS(m_teacher,H$4,m_date,($G$2+6),m_active,1,m_start,"&lt;"&amp;1140,m_end,"&gt;"&amp;1080)&gt;1,"충돌",HYPERLINK("#'관리자_MASTER'!D"&amp;_xlfn.MAXIFS(m_row,m_teacher,H$4,m_date,($G$2+6),m_active,1,m_start,"&lt;"&amp;1140,m_end,"&gt;"&amp;1080),INDEX(m_label,_xlfn.MAXIFS(m_row,m_teacher,H$4,m_date,($G$2+6),m_active,1,m_start,"&lt;"&amp;1140,m_end,"&gt;"&amp;1080))))))</f>
        <v/>
      </c>
      <c r="I80" s="82" t="str">
        <f aca="false">IF(OR(I$4="",MONTH(($G$2+6))&lt;&gt;MONTH($C$2)),"",IF(COUNTIFS(m_teacher,I$4,m_date,($G$2+6),m_active,1,m_start,"&lt;"&amp;1140,m_end,"&gt;"&amp;1080)=0,"",IF(COUNTIFS(m_teacher,I$4,m_date,($G$2+6),m_active,1,m_start,"&lt;"&amp;1140,m_end,"&gt;"&amp;1080)&gt;1,"충돌",HYPERLINK("#'관리자_MASTER'!D"&amp;_xlfn.MAXIFS(m_row,m_teacher,I$4,m_date,($G$2+6),m_active,1,m_start,"&lt;"&amp;1140,m_end,"&gt;"&amp;1080),INDEX(m_label,_xlfn.MAXIFS(m_row,m_teacher,I$4,m_date,($G$2+6),m_active,1,m_start,"&lt;"&amp;1140,m_end,"&gt;"&amp;1080))))))</f>
        <v/>
      </c>
      <c r="J80" s="82" t="str">
        <f aca="false">IF(OR(J$4="",MONTH(($G$2+6))&lt;&gt;MONTH($C$2)),"",IF(COUNTIFS(m_teacher,J$4,m_date,($G$2+6),m_active,1,m_start,"&lt;"&amp;1140,m_end,"&gt;"&amp;1080)=0,"",IF(COUNTIFS(m_teacher,J$4,m_date,($G$2+6),m_active,1,m_start,"&lt;"&amp;1140,m_end,"&gt;"&amp;1080)&gt;1,"충돌",HYPERLINK("#'관리자_MASTER'!D"&amp;_xlfn.MAXIFS(m_row,m_teacher,J$4,m_date,($G$2+6),m_active,1,m_start,"&lt;"&amp;1140,m_end,"&gt;"&amp;1080),INDEX(m_label,_xlfn.MAXIFS(m_row,m_teacher,J$4,m_date,($G$2+6),m_active,1,m_start,"&lt;"&amp;1140,m_end,"&gt;"&amp;1080))))))</f>
        <v/>
      </c>
      <c r="K80" s="82" t="str">
        <f aca="false">IF(OR(K$4="",MONTH(($G$2+6))&lt;&gt;MONTH($C$2)),"",IF(COUNTIFS(m_teacher,K$4,m_date,($G$2+6),m_active,1,m_start,"&lt;"&amp;1140,m_end,"&gt;"&amp;1080)=0,"",IF(COUNTIFS(m_teacher,K$4,m_date,($G$2+6),m_active,1,m_start,"&lt;"&amp;1140,m_end,"&gt;"&amp;1080)&gt;1,"충돌",HYPERLINK("#'관리자_MASTER'!D"&amp;_xlfn.MAXIFS(m_row,m_teacher,K$4,m_date,($G$2+6),m_active,1,m_start,"&lt;"&amp;1140,m_end,"&gt;"&amp;1080),INDEX(m_label,_xlfn.MAXIFS(m_row,m_teacher,K$4,m_date,($G$2+6),m_active,1,m_start,"&lt;"&amp;1140,m_end,"&gt;"&amp;1080))))))</f>
        <v/>
      </c>
      <c r="L80" s="82" t="str">
        <f aca="false">IF(OR(L$4="",MONTH(($G$2+6))&lt;&gt;MONTH($C$2)),"",IF(COUNTIFS(m_teacher,L$4,m_date,($G$2+6),m_active,1,m_start,"&lt;"&amp;1140,m_end,"&gt;"&amp;1080)=0,"",IF(COUNTIFS(m_teacher,L$4,m_date,($G$2+6),m_active,1,m_start,"&lt;"&amp;1140,m_end,"&gt;"&amp;1080)&gt;1,"충돌",HYPERLINK("#'관리자_MASTER'!D"&amp;_xlfn.MAXIFS(m_row,m_teacher,L$4,m_date,($G$2+6),m_active,1,m_start,"&lt;"&amp;1140,m_end,"&gt;"&amp;1080),INDEX(m_label,_xlfn.MAXIFS(m_row,m_teacher,L$4,m_date,($G$2+6),m_active,1,m_start,"&lt;"&amp;1140,m_end,"&gt;"&amp;1080))))))</f>
        <v/>
      </c>
      <c r="M80" s="82" t="str">
        <f aca="false">IF(OR(M$4="",MONTH(($G$2+6))&lt;&gt;MONTH($C$2)),"",IF(COUNTIFS(m_teacher,M$4,m_date,($G$2+6),m_active,1,m_start,"&lt;"&amp;1140,m_end,"&gt;"&amp;1080)=0,"",IF(COUNTIFS(m_teacher,M$4,m_date,($G$2+6),m_active,1,m_start,"&lt;"&amp;1140,m_end,"&gt;"&amp;1080)&gt;1,"충돌",HYPERLINK("#'관리자_MASTER'!D"&amp;_xlfn.MAXIFS(m_row,m_teacher,M$4,m_date,($G$2+6),m_active,1,m_start,"&lt;"&amp;1140,m_end,"&gt;"&amp;1080),INDEX(m_label,_xlfn.MAXIFS(m_row,m_teacher,M$4,m_date,($G$2+6),m_active,1,m_start,"&lt;"&amp;1140,m_end,"&gt;"&amp;1080))))))</f>
        <v/>
      </c>
      <c r="N80" s="82" t="str">
        <f aca="false">IF(OR(N$4="",MONTH(($G$2+6))&lt;&gt;MONTH($C$2)),"",IF(COUNTIFS(m_teacher,N$4,m_date,($G$2+6),m_active,1,m_start,"&lt;"&amp;1140,m_end,"&gt;"&amp;1080)=0,"",IF(COUNTIFS(m_teacher,N$4,m_date,($G$2+6),m_active,1,m_start,"&lt;"&amp;1140,m_end,"&gt;"&amp;1080)&gt;1,"충돌",HYPERLINK("#'관리자_MASTER'!D"&amp;_xlfn.MAXIFS(m_row,m_teacher,N$4,m_date,($G$2+6),m_active,1,m_start,"&lt;"&amp;1140,m_end,"&gt;"&amp;1080),INDEX(m_label,_xlfn.MAXIFS(m_row,m_teacher,N$4,m_date,($G$2+6),m_active,1,m_start,"&lt;"&amp;1140,m_end,"&gt;"&amp;1080))))))</f>
        <v/>
      </c>
      <c r="O80" s="92"/>
      <c r="P80" s="79" t="s">
        <v>100</v>
      </c>
      <c r="Q80" s="82" t="str">
        <f aca="false">IF(OR(Q$4="",MONTH(($G$2+13))&lt;&gt;MONTH($C$2)),"",IF(COUNTIFS(m_teacher,Q$4,m_date,($G$2+13),m_active,1,m_start,"&lt;"&amp;1140,m_end,"&gt;"&amp;1080)=0,"",IF(COUNTIFS(m_teacher,Q$4,m_date,($G$2+13),m_active,1,m_start,"&lt;"&amp;1140,m_end,"&gt;"&amp;1080)&gt;1,"충돌",HYPERLINK("#'관리자_MASTER'!D"&amp;_xlfn.MAXIFS(m_row,m_teacher,Q$4,m_date,($G$2+13),m_active,1,m_start,"&lt;"&amp;1140,m_end,"&gt;"&amp;1080),INDEX(m_label,_xlfn.MAXIFS(m_row,m_teacher,Q$4,m_date,($G$2+13),m_active,1,m_start,"&lt;"&amp;1140,m_end,"&gt;"&amp;1080))))))</f>
        <v/>
      </c>
      <c r="R80" s="82" t="str">
        <f aca="false">IF(OR(R$4="",MONTH(($G$2+13))&lt;&gt;MONTH($C$2)),"",IF(COUNTIFS(m_teacher,R$4,m_date,($G$2+13),m_active,1,m_start,"&lt;"&amp;1140,m_end,"&gt;"&amp;1080)=0,"",IF(COUNTIFS(m_teacher,R$4,m_date,($G$2+13),m_active,1,m_start,"&lt;"&amp;1140,m_end,"&gt;"&amp;1080)&gt;1,"충돌",HYPERLINK("#'관리자_MASTER'!D"&amp;_xlfn.MAXIFS(m_row,m_teacher,R$4,m_date,($G$2+13),m_active,1,m_start,"&lt;"&amp;1140,m_end,"&gt;"&amp;1080),INDEX(m_label,_xlfn.MAXIFS(m_row,m_teacher,R$4,m_date,($G$2+13),m_active,1,m_start,"&lt;"&amp;1140,m_end,"&gt;"&amp;1080))))))</f>
        <v/>
      </c>
      <c r="S80" s="82" t="str">
        <f aca="false">IF(OR(S$4="",MONTH(($G$2+13))&lt;&gt;MONTH($C$2)),"",IF(COUNTIFS(m_teacher,S$4,m_date,($G$2+13),m_active,1,m_start,"&lt;"&amp;1140,m_end,"&gt;"&amp;1080)=0,"",IF(COUNTIFS(m_teacher,S$4,m_date,($G$2+13),m_active,1,m_start,"&lt;"&amp;1140,m_end,"&gt;"&amp;1080)&gt;1,"충돌",HYPERLINK("#'관리자_MASTER'!D"&amp;_xlfn.MAXIFS(m_row,m_teacher,S$4,m_date,($G$2+13),m_active,1,m_start,"&lt;"&amp;1140,m_end,"&gt;"&amp;1080),INDEX(m_label,_xlfn.MAXIFS(m_row,m_teacher,S$4,m_date,($G$2+13),m_active,1,m_start,"&lt;"&amp;1140,m_end,"&gt;"&amp;1080))))))</f>
        <v/>
      </c>
      <c r="T80" s="82" t="str">
        <f aca="false">IF(OR(T$4="",MONTH(($G$2+13))&lt;&gt;MONTH($C$2)),"",IF(COUNTIFS(m_teacher,T$4,m_date,($G$2+13),m_active,1,m_start,"&lt;"&amp;1140,m_end,"&gt;"&amp;1080)=0,"",IF(COUNTIFS(m_teacher,T$4,m_date,($G$2+13),m_active,1,m_start,"&lt;"&amp;1140,m_end,"&gt;"&amp;1080)&gt;1,"충돌",HYPERLINK("#'관리자_MASTER'!D"&amp;_xlfn.MAXIFS(m_row,m_teacher,T$4,m_date,($G$2+13),m_active,1,m_start,"&lt;"&amp;1140,m_end,"&gt;"&amp;1080),INDEX(m_label,_xlfn.MAXIFS(m_row,m_teacher,T$4,m_date,($G$2+13),m_active,1,m_start,"&lt;"&amp;1140,m_end,"&gt;"&amp;1080))))))</f>
        <v/>
      </c>
      <c r="U80" s="82" t="str">
        <f aca="false">IF(OR(U$4="",MONTH(($G$2+13))&lt;&gt;MONTH($C$2)),"",IF(COUNTIFS(m_teacher,U$4,m_date,($G$2+13),m_active,1,m_start,"&lt;"&amp;1140,m_end,"&gt;"&amp;1080)=0,"",IF(COUNTIFS(m_teacher,U$4,m_date,($G$2+13),m_active,1,m_start,"&lt;"&amp;1140,m_end,"&gt;"&amp;1080)&gt;1,"충돌",HYPERLINK("#'관리자_MASTER'!D"&amp;_xlfn.MAXIFS(m_row,m_teacher,U$4,m_date,($G$2+13),m_active,1,m_start,"&lt;"&amp;1140,m_end,"&gt;"&amp;1080),INDEX(m_label,_xlfn.MAXIFS(m_row,m_teacher,U$4,m_date,($G$2+13),m_active,1,m_start,"&lt;"&amp;1140,m_end,"&gt;"&amp;1080))))))</f>
        <v/>
      </c>
      <c r="V80" s="82" t="str">
        <f aca="false">IF(OR(V$4="",MONTH(($G$2+13))&lt;&gt;MONTH($C$2)),"",IF(COUNTIFS(m_teacher,V$4,m_date,($G$2+13),m_active,1,m_start,"&lt;"&amp;1140,m_end,"&gt;"&amp;1080)=0,"",IF(COUNTIFS(m_teacher,V$4,m_date,($G$2+13),m_active,1,m_start,"&lt;"&amp;1140,m_end,"&gt;"&amp;1080)&gt;1,"충돌",HYPERLINK("#'관리자_MASTER'!D"&amp;_xlfn.MAXIFS(m_row,m_teacher,V$4,m_date,($G$2+13),m_active,1,m_start,"&lt;"&amp;1140,m_end,"&gt;"&amp;1080),INDEX(m_label,_xlfn.MAXIFS(m_row,m_teacher,V$4,m_date,($G$2+13),m_active,1,m_start,"&lt;"&amp;1140,m_end,"&gt;"&amp;1080))))))</f>
        <v/>
      </c>
      <c r="W80" s="82" t="str">
        <f aca="false">IF(OR(W$4="",MONTH(($G$2+13))&lt;&gt;MONTH($C$2)),"",IF(COUNTIFS(m_teacher,W$4,m_date,($G$2+13),m_active,1,m_start,"&lt;"&amp;1140,m_end,"&gt;"&amp;1080)=0,"",IF(COUNTIFS(m_teacher,W$4,m_date,($G$2+13),m_active,1,m_start,"&lt;"&amp;1140,m_end,"&gt;"&amp;1080)&gt;1,"충돌",HYPERLINK("#'관리자_MASTER'!D"&amp;_xlfn.MAXIFS(m_row,m_teacher,W$4,m_date,($G$2+13),m_active,1,m_start,"&lt;"&amp;1140,m_end,"&gt;"&amp;1080),INDEX(m_label,_xlfn.MAXIFS(m_row,m_teacher,W$4,m_date,($G$2+13),m_active,1,m_start,"&lt;"&amp;1140,m_end,"&gt;"&amp;1080))))))</f>
        <v/>
      </c>
      <c r="X80" s="82" t="str">
        <f aca="false">IF(OR(X$4="",MONTH(($G$2+13))&lt;&gt;MONTH($C$2)),"",IF(COUNTIFS(m_teacher,X$4,m_date,($G$2+13),m_active,1,m_start,"&lt;"&amp;1140,m_end,"&gt;"&amp;1080)=0,"",IF(COUNTIFS(m_teacher,X$4,m_date,($G$2+13),m_active,1,m_start,"&lt;"&amp;1140,m_end,"&gt;"&amp;1080)&gt;1,"충돌",HYPERLINK("#'관리자_MASTER'!D"&amp;_xlfn.MAXIFS(m_row,m_teacher,X$4,m_date,($G$2+13),m_active,1,m_start,"&lt;"&amp;1140,m_end,"&gt;"&amp;1080),INDEX(m_label,_xlfn.MAXIFS(m_row,m_teacher,X$4,m_date,($G$2+13),m_active,1,m_start,"&lt;"&amp;1140,m_end,"&gt;"&amp;1080))))))</f>
        <v/>
      </c>
      <c r="Y80" s="82" t="str">
        <f aca="false">IF(OR(Y$4="",MONTH(($G$2+13))&lt;&gt;MONTH($C$2)),"",IF(COUNTIFS(m_teacher,Y$4,m_date,($G$2+13),m_active,1,m_start,"&lt;"&amp;1140,m_end,"&gt;"&amp;1080)=0,"",IF(COUNTIFS(m_teacher,Y$4,m_date,($G$2+13),m_active,1,m_start,"&lt;"&amp;1140,m_end,"&gt;"&amp;1080)&gt;1,"충돌",HYPERLINK("#'관리자_MASTER'!D"&amp;_xlfn.MAXIFS(m_row,m_teacher,Y$4,m_date,($G$2+13),m_active,1,m_start,"&lt;"&amp;1140,m_end,"&gt;"&amp;1080),INDEX(m_label,_xlfn.MAXIFS(m_row,m_teacher,Y$4,m_date,($G$2+13),m_active,1,m_start,"&lt;"&amp;1140,m_end,"&gt;"&amp;1080))))))</f>
        <v/>
      </c>
      <c r="Z80" s="82" t="str">
        <f aca="false">IF(OR(Z$4="",MONTH(($G$2+13))&lt;&gt;MONTH($C$2)),"",IF(COUNTIFS(m_teacher,Z$4,m_date,($G$2+13),m_active,1,m_start,"&lt;"&amp;1140,m_end,"&gt;"&amp;1080)=0,"",IF(COUNTIFS(m_teacher,Z$4,m_date,($G$2+13),m_active,1,m_start,"&lt;"&amp;1140,m_end,"&gt;"&amp;1080)&gt;1,"충돌",HYPERLINK("#'관리자_MASTER'!D"&amp;_xlfn.MAXIFS(m_row,m_teacher,Z$4,m_date,($G$2+13),m_active,1,m_start,"&lt;"&amp;1140,m_end,"&gt;"&amp;1080),INDEX(m_label,_xlfn.MAXIFS(m_row,m_teacher,Z$4,m_date,($G$2+13),m_active,1,m_start,"&lt;"&amp;1140,m_end,"&gt;"&amp;1080))))))</f>
        <v/>
      </c>
      <c r="AA80" s="82" t="str">
        <f aca="false">IF(OR(AA$4="",MONTH(($G$2+13))&lt;&gt;MONTH($C$2)),"",IF(COUNTIFS(m_teacher,AA$4,m_date,($G$2+13),m_active,1,m_start,"&lt;"&amp;1140,m_end,"&gt;"&amp;1080)=0,"",IF(COUNTIFS(m_teacher,AA$4,m_date,($G$2+13),m_active,1,m_start,"&lt;"&amp;1140,m_end,"&gt;"&amp;1080)&gt;1,"충돌",HYPERLINK("#'관리자_MASTER'!D"&amp;_xlfn.MAXIFS(m_row,m_teacher,AA$4,m_date,($G$2+13),m_active,1,m_start,"&lt;"&amp;1140,m_end,"&gt;"&amp;1080),INDEX(m_label,_xlfn.MAXIFS(m_row,m_teacher,AA$4,m_date,($G$2+13),m_active,1,m_start,"&lt;"&amp;1140,m_end,"&gt;"&amp;1080))))))</f>
        <v/>
      </c>
      <c r="AB80" s="82" t="str">
        <f aca="false">IF(OR(AB$4="",MONTH(($G$2+13))&lt;&gt;MONTH($C$2)),"",IF(COUNTIFS(m_teacher,AB$4,m_date,($G$2+13),m_active,1,m_start,"&lt;"&amp;1140,m_end,"&gt;"&amp;1080)=0,"",IF(COUNTIFS(m_teacher,AB$4,m_date,($G$2+13),m_active,1,m_start,"&lt;"&amp;1140,m_end,"&gt;"&amp;1080)&gt;1,"충돌",HYPERLINK("#'관리자_MASTER'!D"&amp;_xlfn.MAXIFS(m_row,m_teacher,AB$4,m_date,($G$2+13),m_active,1,m_start,"&lt;"&amp;1140,m_end,"&gt;"&amp;1080),INDEX(m_label,_xlfn.MAXIFS(m_row,m_teacher,AB$4,m_date,($G$2+13),m_active,1,m_start,"&lt;"&amp;1140,m_end,"&gt;"&amp;1080))))))</f>
        <v/>
      </c>
      <c r="AC80" s="92"/>
      <c r="AD80" s="79" t="s">
        <v>100</v>
      </c>
      <c r="AE80" s="82" t="str">
        <f aca="false">IF(OR(AE$4="",MONTH(($G$2+20))&lt;&gt;MONTH($C$2)),"",IF(COUNTIFS(m_teacher,AE$4,m_date,($G$2+20),m_active,1,m_start,"&lt;"&amp;1140,m_end,"&gt;"&amp;1080)=0,"",IF(COUNTIFS(m_teacher,AE$4,m_date,($G$2+20),m_active,1,m_start,"&lt;"&amp;1140,m_end,"&gt;"&amp;1080)&gt;1,"충돌",HYPERLINK("#'관리자_MASTER'!D"&amp;_xlfn.MAXIFS(m_row,m_teacher,AE$4,m_date,($G$2+20),m_active,1,m_start,"&lt;"&amp;1140,m_end,"&gt;"&amp;1080),INDEX(m_label,_xlfn.MAXIFS(m_row,m_teacher,AE$4,m_date,($G$2+20),m_active,1,m_start,"&lt;"&amp;1140,m_end,"&gt;"&amp;1080))))))</f>
        <v/>
      </c>
      <c r="AF80" s="82" t="str">
        <f aca="false">IF(OR(AF$4="",MONTH(($G$2+20))&lt;&gt;MONTH($C$2)),"",IF(COUNTIFS(m_teacher,AF$4,m_date,($G$2+20),m_active,1,m_start,"&lt;"&amp;1140,m_end,"&gt;"&amp;1080)=0,"",IF(COUNTIFS(m_teacher,AF$4,m_date,($G$2+20),m_active,1,m_start,"&lt;"&amp;1140,m_end,"&gt;"&amp;1080)&gt;1,"충돌",HYPERLINK("#'관리자_MASTER'!D"&amp;_xlfn.MAXIFS(m_row,m_teacher,AF$4,m_date,($G$2+20),m_active,1,m_start,"&lt;"&amp;1140,m_end,"&gt;"&amp;1080),INDEX(m_label,_xlfn.MAXIFS(m_row,m_teacher,AF$4,m_date,($G$2+20),m_active,1,m_start,"&lt;"&amp;1140,m_end,"&gt;"&amp;1080))))))</f>
        <v/>
      </c>
      <c r="AG80" s="82" t="str">
        <f aca="false">IF(OR(AG$4="",MONTH(($G$2+20))&lt;&gt;MONTH($C$2)),"",IF(COUNTIFS(m_teacher,AG$4,m_date,($G$2+20),m_active,1,m_start,"&lt;"&amp;1140,m_end,"&gt;"&amp;1080)=0,"",IF(COUNTIFS(m_teacher,AG$4,m_date,($G$2+20),m_active,1,m_start,"&lt;"&amp;1140,m_end,"&gt;"&amp;1080)&gt;1,"충돌",HYPERLINK("#'관리자_MASTER'!D"&amp;_xlfn.MAXIFS(m_row,m_teacher,AG$4,m_date,($G$2+20),m_active,1,m_start,"&lt;"&amp;1140,m_end,"&gt;"&amp;1080),INDEX(m_label,_xlfn.MAXIFS(m_row,m_teacher,AG$4,m_date,($G$2+20),m_active,1,m_start,"&lt;"&amp;1140,m_end,"&gt;"&amp;1080))))))</f>
        <v/>
      </c>
      <c r="AH80" s="82" t="str">
        <f aca="false">IF(OR(AH$4="",MONTH(($G$2+20))&lt;&gt;MONTH($C$2)),"",IF(COUNTIFS(m_teacher,AH$4,m_date,($G$2+20),m_active,1,m_start,"&lt;"&amp;1140,m_end,"&gt;"&amp;1080)=0,"",IF(COUNTIFS(m_teacher,AH$4,m_date,($G$2+20),m_active,1,m_start,"&lt;"&amp;1140,m_end,"&gt;"&amp;1080)&gt;1,"충돌",HYPERLINK("#'관리자_MASTER'!D"&amp;_xlfn.MAXIFS(m_row,m_teacher,AH$4,m_date,($G$2+20),m_active,1,m_start,"&lt;"&amp;1140,m_end,"&gt;"&amp;1080),INDEX(m_label,_xlfn.MAXIFS(m_row,m_teacher,AH$4,m_date,($G$2+20),m_active,1,m_start,"&lt;"&amp;1140,m_end,"&gt;"&amp;1080))))))</f>
        <v/>
      </c>
      <c r="AI80" s="82" t="str">
        <f aca="false">IF(OR(AI$4="",MONTH(($G$2+20))&lt;&gt;MONTH($C$2)),"",IF(COUNTIFS(m_teacher,AI$4,m_date,($G$2+20),m_active,1,m_start,"&lt;"&amp;1140,m_end,"&gt;"&amp;1080)=0,"",IF(COUNTIFS(m_teacher,AI$4,m_date,($G$2+20),m_active,1,m_start,"&lt;"&amp;1140,m_end,"&gt;"&amp;1080)&gt;1,"충돌",HYPERLINK("#'관리자_MASTER'!D"&amp;_xlfn.MAXIFS(m_row,m_teacher,AI$4,m_date,($G$2+20),m_active,1,m_start,"&lt;"&amp;1140,m_end,"&gt;"&amp;1080),INDEX(m_label,_xlfn.MAXIFS(m_row,m_teacher,AI$4,m_date,($G$2+20),m_active,1,m_start,"&lt;"&amp;1140,m_end,"&gt;"&amp;1080))))))</f>
        <v/>
      </c>
      <c r="AJ80" s="82" t="str">
        <f aca="false">IF(OR(AJ$4="",MONTH(($G$2+20))&lt;&gt;MONTH($C$2)),"",IF(COUNTIFS(m_teacher,AJ$4,m_date,($G$2+20),m_active,1,m_start,"&lt;"&amp;1140,m_end,"&gt;"&amp;1080)=0,"",IF(COUNTIFS(m_teacher,AJ$4,m_date,($G$2+20),m_active,1,m_start,"&lt;"&amp;1140,m_end,"&gt;"&amp;1080)&gt;1,"충돌",HYPERLINK("#'관리자_MASTER'!D"&amp;_xlfn.MAXIFS(m_row,m_teacher,AJ$4,m_date,($G$2+20),m_active,1,m_start,"&lt;"&amp;1140,m_end,"&gt;"&amp;1080),INDEX(m_label,_xlfn.MAXIFS(m_row,m_teacher,AJ$4,m_date,($G$2+20),m_active,1,m_start,"&lt;"&amp;1140,m_end,"&gt;"&amp;1080))))))</f>
        <v/>
      </c>
      <c r="AK80" s="82" t="str">
        <f aca="false">IF(OR(AK$4="",MONTH(($G$2+20))&lt;&gt;MONTH($C$2)),"",IF(COUNTIFS(m_teacher,AK$4,m_date,($G$2+20),m_active,1,m_start,"&lt;"&amp;1140,m_end,"&gt;"&amp;1080)=0,"",IF(COUNTIFS(m_teacher,AK$4,m_date,($G$2+20),m_active,1,m_start,"&lt;"&amp;1140,m_end,"&gt;"&amp;1080)&gt;1,"충돌",HYPERLINK("#'관리자_MASTER'!D"&amp;_xlfn.MAXIFS(m_row,m_teacher,AK$4,m_date,($G$2+20),m_active,1,m_start,"&lt;"&amp;1140,m_end,"&gt;"&amp;1080),INDEX(m_label,_xlfn.MAXIFS(m_row,m_teacher,AK$4,m_date,($G$2+20),m_active,1,m_start,"&lt;"&amp;1140,m_end,"&gt;"&amp;1080))))))</f>
        <v/>
      </c>
      <c r="AL80" s="82" t="str">
        <f aca="false">IF(OR(AL$4="",MONTH(($G$2+20))&lt;&gt;MONTH($C$2)),"",IF(COUNTIFS(m_teacher,AL$4,m_date,($G$2+20),m_active,1,m_start,"&lt;"&amp;1140,m_end,"&gt;"&amp;1080)=0,"",IF(COUNTIFS(m_teacher,AL$4,m_date,($G$2+20),m_active,1,m_start,"&lt;"&amp;1140,m_end,"&gt;"&amp;1080)&gt;1,"충돌",HYPERLINK("#'관리자_MASTER'!D"&amp;_xlfn.MAXIFS(m_row,m_teacher,AL$4,m_date,($G$2+20),m_active,1,m_start,"&lt;"&amp;1140,m_end,"&gt;"&amp;1080),INDEX(m_label,_xlfn.MAXIFS(m_row,m_teacher,AL$4,m_date,($G$2+20),m_active,1,m_start,"&lt;"&amp;1140,m_end,"&gt;"&amp;1080))))))</f>
        <v/>
      </c>
      <c r="AM80" s="82" t="str">
        <f aca="false">IF(OR(AM$4="",MONTH(($G$2+20))&lt;&gt;MONTH($C$2)),"",IF(COUNTIFS(m_teacher,AM$4,m_date,($G$2+20),m_active,1,m_start,"&lt;"&amp;1140,m_end,"&gt;"&amp;1080)=0,"",IF(COUNTIFS(m_teacher,AM$4,m_date,($G$2+20),m_active,1,m_start,"&lt;"&amp;1140,m_end,"&gt;"&amp;1080)&gt;1,"충돌",HYPERLINK("#'관리자_MASTER'!D"&amp;_xlfn.MAXIFS(m_row,m_teacher,AM$4,m_date,($G$2+20),m_active,1,m_start,"&lt;"&amp;1140,m_end,"&gt;"&amp;1080),INDEX(m_label,_xlfn.MAXIFS(m_row,m_teacher,AM$4,m_date,($G$2+20),m_active,1,m_start,"&lt;"&amp;1140,m_end,"&gt;"&amp;1080))))))</f>
        <v/>
      </c>
      <c r="AN80" s="82" t="str">
        <f aca="false">IF(OR(AN$4="",MONTH(($G$2+20))&lt;&gt;MONTH($C$2)),"",IF(COUNTIFS(m_teacher,AN$4,m_date,($G$2+20),m_active,1,m_start,"&lt;"&amp;1140,m_end,"&gt;"&amp;1080)=0,"",IF(COUNTIFS(m_teacher,AN$4,m_date,($G$2+20),m_active,1,m_start,"&lt;"&amp;1140,m_end,"&gt;"&amp;1080)&gt;1,"충돌",HYPERLINK("#'관리자_MASTER'!D"&amp;_xlfn.MAXIFS(m_row,m_teacher,AN$4,m_date,($G$2+20),m_active,1,m_start,"&lt;"&amp;1140,m_end,"&gt;"&amp;1080),INDEX(m_label,_xlfn.MAXIFS(m_row,m_teacher,AN$4,m_date,($G$2+20),m_active,1,m_start,"&lt;"&amp;1140,m_end,"&gt;"&amp;1080))))))</f>
        <v/>
      </c>
      <c r="AO80" s="82" t="str">
        <f aca="false">IF(OR(AO$4="",MONTH(($G$2+20))&lt;&gt;MONTH($C$2)),"",IF(COUNTIFS(m_teacher,AO$4,m_date,($G$2+20),m_active,1,m_start,"&lt;"&amp;1140,m_end,"&gt;"&amp;1080)=0,"",IF(COUNTIFS(m_teacher,AO$4,m_date,($G$2+20),m_active,1,m_start,"&lt;"&amp;1140,m_end,"&gt;"&amp;1080)&gt;1,"충돌",HYPERLINK("#'관리자_MASTER'!D"&amp;_xlfn.MAXIFS(m_row,m_teacher,AO$4,m_date,($G$2+20),m_active,1,m_start,"&lt;"&amp;1140,m_end,"&gt;"&amp;1080),INDEX(m_label,_xlfn.MAXIFS(m_row,m_teacher,AO$4,m_date,($G$2+20),m_active,1,m_start,"&lt;"&amp;1140,m_end,"&gt;"&amp;1080))))))</f>
        <v/>
      </c>
      <c r="AP80" s="82" t="str">
        <f aca="false">IF(OR(AP$4="",MONTH(($G$2+20))&lt;&gt;MONTH($C$2)),"",IF(COUNTIFS(m_teacher,AP$4,m_date,($G$2+20),m_active,1,m_start,"&lt;"&amp;1140,m_end,"&gt;"&amp;1080)=0,"",IF(COUNTIFS(m_teacher,AP$4,m_date,($G$2+20),m_active,1,m_start,"&lt;"&amp;1140,m_end,"&gt;"&amp;1080)&gt;1,"충돌",HYPERLINK("#'관리자_MASTER'!D"&amp;_xlfn.MAXIFS(m_row,m_teacher,AP$4,m_date,($G$2+20),m_active,1,m_start,"&lt;"&amp;1140,m_end,"&gt;"&amp;1080),INDEX(m_label,_xlfn.MAXIFS(m_row,m_teacher,AP$4,m_date,($G$2+20),m_active,1,m_start,"&lt;"&amp;1140,m_end,"&gt;"&amp;1080))))))</f>
        <v/>
      </c>
      <c r="AQ80" s="92"/>
      <c r="AR80" s="79" t="s">
        <v>100</v>
      </c>
      <c r="AS80" s="82" t="str">
        <f aca="false">IF(OR(AS$4="",MONTH(($G$2+27))&lt;&gt;MONTH($C$2)),"",IF(COUNTIFS(m_teacher,AS$4,m_date,($G$2+27),m_active,1,m_start,"&lt;"&amp;1140,m_end,"&gt;"&amp;1080)=0,"",IF(COUNTIFS(m_teacher,AS$4,m_date,($G$2+27),m_active,1,m_start,"&lt;"&amp;1140,m_end,"&gt;"&amp;1080)&gt;1,"충돌",HYPERLINK("#'관리자_MASTER'!D"&amp;_xlfn.MAXIFS(m_row,m_teacher,AS$4,m_date,($G$2+27),m_active,1,m_start,"&lt;"&amp;1140,m_end,"&gt;"&amp;1080),INDEX(m_label,_xlfn.MAXIFS(m_row,m_teacher,AS$4,m_date,($G$2+27),m_active,1,m_start,"&lt;"&amp;1140,m_end,"&gt;"&amp;1080))))))</f>
        <v/>
      </c>
      <c r="AT80" s="82" t="str">
        <f aca="false">IF(OR(AT$4="",MONTH(($G$2+27))&lt;&gt;MONTH($C$2)),"",IF(COUNTIFS(m_teacher,AT$4,m_date,($G$2+27),m_active,1,m_start,"&lt;"&amp;1140,m_end,"&gt;"&amp;1080)=0,"",IF(COUNTIFS(m_teacher,AT$4,m_date,($G$2+27),m_active,1,m_start,"&lt;"&amp;1140,m_end,"&gt;"&amp;1080)&gt;1,"충돌",HYPERLINK("#'관리자_MASTER'!D"&amp;_xlfn.MAXIFS(m_row,m_teacher,AT$4,m_date,($G$2+27),m_active,1,m_start,"&lt;"&amp;1140,m_end,"&gt;"&amp;1080),INDEX(m_label,_xlfn.MAXIFS(m_row,m_teacher,AT$4,m_date,($G$2+27),m_active,1,m_start,"&lt;"&amp;1140,m_end,"&gt;"&amp;1080))))))</f>
        <v/>
      </c>
      <c r="AU80" s="82" t="str">
        <f aca="false">IF(OR(AU$4="",MONTH(($G$2+27))&lt;&gt;MONTH($C$2)),"",IF(COUNTIFS(m_teacher,AU$4,m_date,($G$2+27),m_active,1,m_start,"&lt;"&amp;1140,m_end,"&gt;"&amp;1080)=0,"",IF(COUNTIFS(m_teacher,AU$4,m_date,($G$2+27),m_active,1,m_start,"&lt;"&amp;1140,m_end,"&gt;"&amp;1080)&gt;1,"충돌",HYPERLINK("#'관리자_MASTER'!D"&amp;_xlfn.MAXIFS(m_row,m_teacher,AU$4,m_date,($G$2+27),m_active,1,m_start,"&lt;"&amp;1140,m_end,"&gt;"&amp;1080),INDEX(m_label,_xlfn.MAXIFS(m_row,m_teacher,AU$4,m_date,($G$2+27),m_active,1,m_start,"&lt;"&amp;1140,m_end,"&gt;"&amp;1080))))))</f>
        <v/>
      </c>
      <c r="AV80" s="82" t="str">
        <f aca="false">IF(OR(AV$4="",MONTH(($G$2+27))&lt;&gt;MONTH($C$2)),"",IF(COUNTIFS(m_teacher,AV$4,m_date,($G$2+27),m_active,1,m_start,"&lt;"&amp;1140,m_end,"&gt;"&amp;1080)=0,"",IF(COUNTIFS(m_teacher,AV$4,m_date,($G$2+27),m_active,1,m_start,"&lt;"&amp;1140,m_end,"&gt;"&amp;1080)&gt;1,"충돌",HYPERLINK("#'관리자_MASTER'!D"&amp;_xlfn.MAXIFS(m_row,m_teacher,AV$4,m_date,($G$2+27),m_active,1,m_start,"&lt;"&amp;1140,m_end,"&gt;"&amp;1080),INDEX(m_label,_xlfn.MAXIFS(m_row,m_teacher,AV$4,m_date,($G$2+27),m_active,1,m_start,"&lt;"&amp;1140,m_end,"&gt;"&amp;1080))))))</f>
        <v/>
      </c>
      <c r="AW80" s="82" t="str">
        <f aca="false">IF(OR(AW$4="",MONTH(($G$2+27))&lt;&gt;MONTH($C$2)),"",IF(COUNTIFS(m_teacher,AW$4,m_date,($G$2+27),m_active,1,m_start,"&lt;"&amp;1140,m_end,"&gt;"&amp;1080)=0,"",IF(COUNTIFS(m_teacher,AW$4,m_date,($G$2+27),m_active,1,m_start,"&lt;"&amp;1140,m_end,"&gt;"&amp;1080)&gt;1,"충돌",HYPERLINK("#'관리자_MASTER'!D"&amp;_xlfn.MAXIFS(m_row,m_teacher,AW$4,m_date,($G$2+27),m_active,1,m_start,"&lt;"&amp;1140,m_end,"&gt;"&amp;1080),INDEX(m_label,_xlfn.MAXIFS(m_row,m_teacher,AW$4,m_date,($G$2+27),m_active,1,m_start,"&lt;"&amp;1140,m_end,"&gt;"&amp;1080))))))</f>
        <v/>
      </c>
      <c r="AX80" s="82" t="str">
        <f aca="false">IF(OR(AX$4="",MONTH(($G$2+27))&lt;&gt;MONTH($C$2)),"",IF(COUNTIFS(m_teacher,AX$4,m_date,($G$2+27),m_active,1,m_start,"&lt;"&amp;1140,m_end,"&gt;"&amp;1080)=0,"",IF(COUNTIFS(m_teacher,AX$4,m_date,($G$2+27),m_active,1,m_start,"&lt;"&amp;1140,m_end,"&gt;"&amp;1080)&gt;1,"충돌",HYPERLINK("#'관리자_MASTER'!D"&amp;_xlfn.MAXIFS(m_row,m_teacher,AX$4,m_date,($G$2+27),m_active,1,m_start,"&lt;"&amp;1140,m_end,"&gt;"&amp;1080),INDEX(m_label,_xlfn.MAXIFS(m_row,m_teacher,AX$4,m_date,($G$2+27),m_active,1,m_start,"&lt;"&amp;1140,m_end,"&gt;"&amp;1080))))))</f>
        <v/>
      </c>
      <c r="AY80" s="82" t="str">
        <f aca="false">IF(OR(AY$4="",MONTH(($G$2+27))&lt;&gt;MONTH($C$2)),"",IF(COUNTIFS(m_teacher,AY$4,m_date,($G$2+27),m_active,1,m_start,"&lt;"&amp;1140,m_end,"&gt;"&amp;1080)=0,"",IF(COUNTIFS(m_teacher,AY$4,m_date,($G$2+27),m_active,1,m_start,"&lt;"&amp;1140,m_end,"&gt;"&amp;1080)&gt;1,"충돌",HYPERLINK("#'관리자_MASTER'!D"&amp;_xlfn.MAXIFS(m_row,m_teacher,AY$4,m_date,($G$2+27),m_active,1,m_start,"&lt;"&amp;1140,m_end,"&gt;"&amp;1080),INDEX(m_label,_xlfn.MAXIFS(m_row,m_teacher,AY$4,m_date,($G$2+27),m_active,1,m_start,"&lt;"&amp;1140,m_end,"&gt;"&amp;1080))))))</f>
        <v/>
      </c>
      <c r="AZ80" s="82" t="str">
        <f aca="false">IF(OR(AZ$4="",MONTH(($G$2+27))&lt;&gt;MONTH($C$2)),"",IF(COUNTIFS(m_teacher,AZ$4,m_date,($G$2+27),m_active,1,m_start,"&lt;"&amp;1140,m_end,"&gt;"&amp;1080)=0,"",IF(COUNTIFS(m_teacher,AZ$4,m_date,($G$2+27),m_active,1,m_start,"&lt;"&amp;1140,m_end,"&gt;"&amp;1080)&gt;1,"충돌",HYPERLINK("#'관리자_MASTER'!D"&amp;_xlfn.MAXIFS(m_row,m_teacher,AZ$4,m_date,($G$2+27),m_active,1,m_start,"&lt;"&amp;1140,m_end,"&gt;"&amp;1080),INDEX(m_label,_xlfn.MAXIFS(m_row,m_teacher,AZ$4,m_date,($G$2+27),m_active,1,m_start,"&lt;"&amp;1140,m_end,"&gt;"&amp;1080))))))</f>
        <v/>
      </c>
      <c r="BA80" s="82" t="str">
        <f aca="false">IF(OR(BA$4="",MONTH(($G$2+27))&lt;&gt;MONTH($C$2)),"",IF(COUNTIFS(m_teacher,BA$4,m_date,($G$2+27),m_active,1,m_start,"&lt;"&amp;1140,m_end,"&gt;"&amp;1080)=0,"",IF(COUNTIFS(m_teacher,BA$4,m_date,($G$2+27),m_active,1,m_start,"&lt;"&amp;1140,m_end,"&gt;"&amp;1080)&gt;1,"충돌",HYPERLINK("#'관리자_MASTER'!D"&amp;_xlfn.MAXIFS(m_row,m_teacher,BA$4,m_date,($G$2+27),m_active,1,m_start,"&lt;"&amp;1140,m_end,"&gt;"&amp;1080),INDEX(m_label,_xlfn.MAXIFS(m_row,m_teacher,BA$4,m_date,($G$2+27),m_active,1,m_start,"&lt;"&amp;1140,m_end,"&gt;"&amp;1080))))))</f>
        <v/>
      </c>
      <c r="BB80" s="82" t="str">
        <f aca="false">IF(OR(BB$4="",MONTH(($G$2+27))&lt;&gt;MONTH($C$2)),"",IF(COUNTIFS(m_teacher,BB$4,m_date,($G$2+27),m_active,1,m_start,"&lt;"&amp;1140,m_end,"&gt;"&amp;1080)=0,"",IF(COUNTIFS(m_teacher,BB$4,m_date,($G$2+27),m_active,1,m_start,"&lt;"&amp;1140,m_end,"&gt;"&amp;1080)&gt;1,"충돌",HYPERLINK("#'관리자_MASTER'!D"&amp;_xlfn.MAXIFS(m_row,m_teacher,BB$4,m_date,($G$2+27),m_active,1,m_start,"&lt;"&amp;1140,m_end,"&gt;"&amp;1080),INDEX(m_label,_xlfn.MAXIFS(m_row,m_teacher,BB$4,m_date,($G$2+27),m_active,1,m_start,"&lt;"&amp;1140,m_end,"&gt;"&amp;1080))))))</f>
        <v/>
      </c>
      <c r="BC80" s="82" t="str">
        <f aca="false">IF(OR(BC$4="",MONTH(($G$2+27))&lt;&gt;MONTH($C$2)),"",IF(COUNTIFS(m_teacher,BC$4,m_date,($G$2+27),m_active,1,m_start,"&lt;"&amp;1140,m_end,"&gt;"&amp;1080)=0,"",IF(COUNTIFS(m_teacher,BC$4,m_date,($G$2+27),m_active,1,m_start,"&lt;"&amp;1140,m_end,"&gt;"&amp;1080)&gt;1,"충돌",HYPERLINK("#'관리자_MASTER'!D"&amp;_xlfn.MAXIFS(m_row,m_teacher,BC$4,m_date,($G$2+27),m_active,1,m_start,"&lt;"&amp;1140,m_end,"&gt;"&amp;1080),INDEX(m_label,_xlfn.MAXIFS(m_row,m_teacher,BC$4,m_date,($G$2+27),m_active,1,m_start,"&lt;"&amp;1140,m_end,"&gt;"&amp;1080))))))</f>
        <v/>
      </c>
      <c r="BD80" s="82" t="str">
        <f aca="false">IF(OR(BD$4="",MONTH(($G$2+27))&lt;&gt;MONTH($C$2)),"",IF(COUNTIFS(m_teacher,BD$4,m_date,($G$2+27),m_active,1,m_start,"&lt;"&amp;1140,m_end,"&gt;"&amp;1080)=0,"",IF(COUNTIFS(m_teacher,BD$4,m_date,($G$2+27),m_active,1,m_start,"&lt;"&amp;1140,m_end,"&gt;"&amp;1080)&gt;1,"충돌",HYPERLINK("#'관리자_MASTER'!D"&amp;_xlfn.MAXIFS(m_row,m_teacher,BD$4,m_date,($G$2+27),m_active,1,m_start,"&lt;"&amp;1140,m_end,"&gt;"&amp;1080),INDEX(m_label,_xlfn.MAXIFS(m_row,m_teacher,BD$4,m_date,($G$2+27),m_active,1,m_start,"&lt;"&amp;1140,m_end,"&gt;"&amp;1080))))))</f>
        <v/>
      </c>
    </row>
    <row r="81" customFormat="false" ht="19.5" hidden="false" customHeight="true" outlineLevel="0" collapsed="false">
      <c r="A81" s="92"/>
      <c r="B81" s="85" t="s">
        <v>101</v>
      </c>
      <c r="C81" s="86" t="str">
        <f aca="false">IF(OR(C$4="",MONTH(($G$2+6))&lt;&gt;MONTH($C$2)),"",IF(COUNTIFS(m_teacher,C$4,m_date,($G$2+6),m_active,1,m_start,"&lt;"&amp;1440,m_end,"&gt;"&amp;1140)=0,"",IF(COUNTIFS(m_teacher,C$4,m_date,($G$2+6),m_active,1,m_start,"&lt;"&amp;1440,m_end,"&gt;"&amp;1140)&gt;1,"충돌",HYPERLINK("#'관리자_MASTER'!D"&amp;_xlfn.MAXIFS(m_row,m_teacher,C$4,m_date,($G$2+6),m_active,1,m_start,"&lt;"&amp;1440,m_end,"&gt;"&amp;1140),INDEX(m_label,_xlfn.MAXIFS(m_row,m_teacher,C$4,m_date,($G$2+6),m_active,1,m_start,"&lt;"&amp;1440,m_end,"&gt;"&amp;1140))))))</f>
        <v/>
      </c>
      <c r="D81" s="86" t="str">
        <f aca="false">IF(OR(D$4="",MONTH(($G$2+6))&lt;&gt;MONTH($C$2)),"",IF(COUNTIFS(m_teacher,D$4,m_date,($G$2+6),m_active,1,m_start,"&lt;"&amp;1440,m_end,"&gt;"&amp;1140)=0,"",IF(COUNTIFS(m_teacher,D$4,m_date,($G$2+6),m_active,1,m_start,"&lt;"&amp;1440,m_end,"&gt;"&amp;1140)&gt;1,"충돌",HYPERLINK("#'관리자_MASTER'!D"&amp;_xlfn.MAXIFS(m_row,m_teacher,D$4,m_date,($G$2+6),m_active,1,m_start,"&lt;"&amp;1440,m_end,"&gt;"&amp;1140),INDEX(m_label,_xlfn.MAXIFS(m_row,m_teacher,D$4,m_date,($G$2+6),m_active,1,m_start,"&lt;"&amp;1440,m_end,"&gt;"&amp;1140))))))</f>
        <v/>
      </c>
      <c r="E81" s="86" t="str">
        <f aca="false">IF(OR(E$4="",MONTH(($G$2+6))&lt;&gt;MONTH($C$2)),"",IF(COUNTIFS(m_teacher,E$4,m_date,($G$2+6),m_active,1,m_start,"&lt;"&amp;1440,m_end,"&gt;"&amp;1140)=0,"",IF(COUNTIFS(m_teacher,E$4,m_date,($G$2+6),m_active,1,m_start,"&lt;"&amp;1440,m_end,"&gt;"&amp;1140)&gt;1,"충돌",HYPERLINK("#'관리자_MASTER'!D"&amp;_xlfn.MAXIFS(m_row,m_teacher,E$4,m_date,($G$2+6),m_active,1,m_start,"&lt;"&amp;1440,m_end,"&gt;"&amp;1140),INDEX(m_label,_xlfn.MAXIFS(m_row,m_teacher,E$4,m_date,($G$2+6),m_active,1,m_start,"&lt;"&amp;1440,m_end,"&gt;"&amp;1140))))))</f>
        <v/>
      </c>
      <c r="F81" s="86" t="str">
        <f aca="false">IF(OR(F$4="",MONTH(($G$2+6))&lt;&gt;MONTH($C$2)),"",IF(COUNTIFS(m_teacher,F$4,m_date,($G$2+6),m_active,1,m_start,"&lt;"&amp;1440,m_end,"&gt;"&amp;1140)=0,"",IF(COUNTIFS(m_teacher,F$4,m_date,($G$2+6),m_active,1,m_start,"&lt;"&amp;1440,m_end,"&gt;"&amp;1140)&gt;1,"충돌",HYPERLINK("#'관리자_MASTER'!D"&amp;_xlfn.MAXIFS(m_row,m_teacher,F$4,m_date,($G$2+6),m_active,1,m_start,"&lt;"&amp;1440,m_end,"&gt;"&amp;1140),INDEX(m_label,_xlfn.MAXIFS(m_row,m_teacher,F$4,m_date,($G$2+6),m_active,1,m_start,"&lt;"&amp;1440,m_end,"&gt;"&amp;1140))))))</f>
        <v/>
      </c>
      <c r="G81" s="86" t="str">
        <f aca="false">IF(OR(G$4="",MONTH(($G$2+6))&lt;&gt;MONTH($C$2)),"",IF(COUNTIFS(m_teacher,G$4,m_date,($G$2+6),m_active,1,m_start,"&lt;"&amp;1440,m_end,"&gt;"&amp;1140)=0,"",IF(COUNTIFS(m_teacher,G$4,m_date,($G$2+6),m_active,1,m_start,"&lt;"&amp;1440,m_end,"&gt;"&amp;1140)&gt;1,"충돌",HYPERLINK("#'관리자_MASTER'!D"&amp;_xlfn.MAXIFS(m_row,m_teacher,G$4,m_date,($G$2+6),m_active,1,m_start,"&lt;"&amp;1440,m_end,"&gt;"&amp;1140),INDEX(m_label,_xlfn.MAXIFS(m_row,m_teacher,G$4,m_date,($G$2+6),m_active,1,m_start,"&lt;"&amp;1440,m_end,"&gt;"&amp;1140))))))</f>
        <v/>
      </c>
      <c r="H81" s="86" t="str">
        <f aca="false">IF(OR(H$4="",MONTH(($G$2+6))&lt;&gt;MONTH($C$2)),"",IF(COUNTIFS(m_teacher,H$4,m_date,($G$2+6),m_active,1,m_start,"&lt;"&amp;1440,m_end,"&gt;"&amp;1140)=0,"",IF(COUNTIFS(m_teacher,H$4,m_date,($G$2+6),m_active,1,m_start,"&lt;"&amp;1440,m_end,"&gt;"&amp;1140)&gt;1,"충돌",HYPERLINK("#'관리자_MASTER'!D"&amp;_xlfn.MAXIFS(m_row,m_teacher,H$4,m_date,($G$2+6),m_active,1,m_start,"&lt;"&amp;1440,m_end,"&gt;"&amp;1140),INDEX(m_label,_xlfn.MAXIFS(m_row,m_teacher,H$4,m_date,($G$2+6),m_active,1,m_start,"&lt;"&amp;1440,m_end,"&gt;"&amp;1140))))))</f>
        <v/>
      </c>
      <c r="I81" s="86" t="str">
        <f aca="false">IF(OR(I$4="",MONTH(($G$2+6))&lt;&gt;MONTH($C$2)),"",IF(COUNTIFS(m_teacher,I$4,m_date,($G$2+6),m_active,1,m_start,"&lt;"&amp;1440,m_end,"&gt;"&amp;1140)=0,"",IF(COUNTIFS(m_teacher,I$4,m_date,($G$2+6),m_active,1,m_start,"&lt;"&amp;1440,m_end,"&gt;"&amp;1140)&gt;1,"충돌",HYPERLINK("#'관리자_MASTER'!D"&amp;_xlfn.MAXIFS(m_row,m_teacher,I$4,m_date,($G$2+6),m_active,1,m_start,"&lt;"&amp;1440,m_end,"&gt;"&amp;1140),INDEX(m_label,_xlfn.MAXIFS(m_row,m_teacher,I$4,m_date,($G$2+6),m_active,1,m_start,"&lt;"&amp;1440,m_end,"&gt;"&amp;1140))))))</f>
        <v/>
      </c>
      <c r="J81" s="86" t="str">
        <f aca="false">IF(OR(J$4="",MONTH(($G$2+6))&lt;&gt;MONTH($C$2)),"",IF(COUNTIFS(m_teacher,J$4,m_date,($G$2+6),m_active,1,m_start,"&lt;"&amp;1440,m_end,"&gt;"&amp;1140)=0,"",IF(COUNTIFS(m_teacher,J$4,m_date,($G$2+6),m_active,1,m_start,"&lt;"&amp;1440,m_end,"&gt;"&amp;1140)&gt;1,"충돌",HYPERLINK("#'관리자_MASTER'!D"&amp;_xlfn.MAXIFS(m_row,m_teacher,J$4,m_date,($G$2+6),m_active,1,m_start,"&lt;"&amp;1440,m_end,"&gt;"&amp;1140),INDEX(m_label,_xlfn.MAXIFS(m_row,m_teacher,J$4,m_date,($G$2+6),m_active,1,m_start,"&lt;"&amp;1440,m_end,"&gt;"&amp;1140))))))</f>
        <v/>
      </c>
      <c r="K81" s="86" t="str">
        <f aca="false">IF(OR(K$4="",MONTH(($G$2+6))&lt;&gt;MONTH($C$2)),"",IF(COUNTIFS(m_teacher,K$4,m_date,($G$2+6),m_active,1,m_start,"&lt;"&amp;1440,m_end,"&gt;"&amp;1140)=0,"",IF(COUNTIFS(m_teacher,K$4,m_date,($G$2+6),m_active,1,m_start,"&lt;"&amp;1440,m_end,"&gt;"&amp;1140)&gt;1,"충돌",HYPERLINK("#'관리자_MASTER'!D"&amp;_xlfn.MAXIFS(m_row,m_teacher,K$4,m_date,($G$2+6),m_active,1,m_start,"&lt;"&amp;1440,m_end,"&gt;"&amp;1140),INDEX(m_label,_xlfn.MAXIFS(m_row,m_teacher,K$4,m_date,($G$2+6),m_active,1,m_start,"&lt;"&amp;1440,m_end,"&gt;"&amp;1140))))))</f>
        <v/>
      </c>
      <c r="L81" s="86" t="str">
        <f aca="false">IF(OR(L$4="",MONTH(($G$2+6))&lt;&gt;MONTH($C$2)),"",IF(COUNTIFS(m_teacher,L$4,m_date,($G$2+6),m_active,1,m_start,"&lt;"&amp;1440,m_end,"&gt;"&amp;1140)=0,"",IF(COUNTIFS(m_teacher,L$4,m_date,($G$2+6),m_active,1,m_start,"&lt;"&amp;1440,m_end,"&gt;"&amp;1140)&gt;1,"충돌",HYPERLINK("#'관리자_MASTER'!D"&amp;_xlfn.MAXIFS(m_row,m_teacher,L$4,m_date,($G$2+6),m_active,1,m_start,"&lt;"&amp;1440,m_end,"&gt;"&amp;1140),INDEX(m_label,_xlfn.MAXIFS(m_row,m_teacher,L$4,m_date,($G$2+6),m_active,1,m_start,"&lt;"&amp;1440,m_end,"&gt;"&amp;1140))))))</f>
        <v/>
      </c>
      <c r="M81" s="86" t="str">
        <f aca="false">IF(OR(M$4="",MONTH(($G$2+6))&lt;&gt;MONTH($C$2)),"",IF(COUNTIFS(m_teacher,M$4,m_date,($G$2+6),m_active,1,m_start,"&lt;"&amp;1440,m_end,"&gt;"&amp;1140)=0,"",IF(COUNTIFS(m_teacher,M$4,m_date,($G$2+6),m_active,1,m_start,"&lt;"&amp;1440,m_end,"&gt;"&amp;1140)&gt;1,"충돌",HYPERLINK("#'관리자_MASTER'!D"&amp;_xlfn.MAXIFS(m_row,m_teacher,M$4,m_date,($G$2+6),m_active,1,m_start,"&lt;"&amp;1440,m_end,"&gt;"&amp;1140),INDEX(m_label,_xlfn.MAXIFS(m_row,m_teacher,M$4,m_date,($G$2+6),m_active,1,m_start,"&lt;"&amp;1440,m_end,"&gt;"&amp;1140))))))</f>
        <v/>
      </c>
      <c r="N81" s="86" t="str">
        <f aca="false">IF(OR(N$4="",MONTH(($G$2+6))&lt;&gt;MONTH($C$2)),"",IF(COUNTIFS(m_teacher,N$4,m_date,($G$2+6),m_active,1,m_start,"&lt;"&amp;1440,m_end,"&gt;"&amp;1140)=0,"",IF(COUNTIFS(m_teacher,N$4,m_date,($G$2+6),m_active,1,m_start,"&lt;"&amp;1440,m_end,"&gt;"&amp;1140)&gt;1,"충돌",HYPERLINK("#'관리자_MASTER'!D"&amp;_xlfn.MAXIFS(m_row,m_teacher,N$4,m_date,($G$2+6),m_active,1,m_start,"&lt;"&amp;1440,m_end,"&gt;"&amp;1140),INDEX(m_label,_xlfn.MAXIFS(m_row,m_teacher,N$4,m_date,($G$2+6),m_active,1,m_start,"&lt;"&amp;1440,m_end,"&gt;"&amp;1140))))))</f>
        <v/>
      </c>
      <c r="O81" s="92"/>
      <c r="P81" s="85" t="s">
        <v>101</v>
      </c>
      <c r="Q81" s="86" t="str">
        <f aca="false">IF(OR(Q$4="",MONTH(($G$2+13))&lt;&gt;MONTH($C$2)),"",IF(COUNTIFS(m_teacher,Q$4,m_date,($G$2+13),m_active,1,m_start,"&lt;"&amp;1440,m_end,"&gt;"&amp;1140)=0,"",IF(COUNTIFS(m_teacher,Q$4,m_date,($G$2+13),m_active,1,m_start,"&lt;"&amp;1440,m_end,"&gt;"&amp;1140)&gt;1,"충돌",HYPERLINK("#'관리자_MASTER'!D"&amp;_xlfn.MAXIFS(m_row,m_teacher,Q$4,m_date,($G$2+13),m_active,1,m_start,"&lt;"&amp;1440,m_end,"&gt;"&amp;1140),INDEX(m_label,_xlfn.MAXIFS(m_row,m_teacher,Q$4,m_date,($G$2+13),m_active,1,m_start,"&lt;"&amp;1440,m_end,"&gt;"&amp;1140))))))</f>
        <v/>
      </c>
      <c r="R81" s="86" t="str">
        <f aca="false">IF(OR(R$4="",MONTH(($G$2+13))&lt;&gt;MONTH($C$2)),"",IF(COUNTIFS(m_teacher,R$4,m_date,($G$2+13),m_active,1,m_start,"&lt;"&amp;1440,m_end,"&gt;"&amp;1140)=0,"",IF(COUNTIFS(m_teacher,R$4,m_date,($G$2+13),m_active,1,m_start,"&lt;"&amp;1440,m_end,"&gt;"&amp;1140)&gt;1,"충돌",HYPERLINK("#'관리자_MASTER'!D"&amp;_xlfn.MAXIFS(m_row,m_teacher,R$4,m_date,($G$2+13),m_active,1,m_start,"&lt;"&amp;1440,m_end,"&gt;"&amp;1140),INDEX(m_label,_xlfn.MAXIFS(m_row,m_teacher,R$4,m_date,($G$2+13),m_active,1,m_start,"&lt;"&amp;1440,m_end,"&gt;"&amp;1140))))))</f>
        <v/>
      </c>
      <c r="S81" s="86" t="str">
        <f aca="false">IF(OR(S$4="",MONTH(($G$2+13))&lt;&gt;MONTH($C$2)),"",IF(COUNTIFS(m_teacher,S$4,m_date,($G$2+13),m_active,1,m_start,"&lt;"&amp;1440,m_end,"&gt;"&amp;1140)=0,"",IF(COUNTIFS(m_teacher,S$4,m_date,($G$2+13),m_active,1,m_start,"&lt;"&amp;1440,m_end,"&gt;"&amp;1140)&gt;1,"충돌",HYPERLINK("#'관리자_MASTER'!D"&amp;_xlfn.MAXIFS(m_row,m_teacher,S$4,m_date,($G$2+13),m_active,1,m_start,"&lt;"&amp;1440,m_end,"&gt;"&amp;1140),INDEX(m_label,_xlfn.MAXIFS(m_row,m_teacher,S$4,m_date,($G$2+13),m_active,1,m_start,"&lt;"&amp;1440,m_end,"&gt;"&amp;1140))))))</f>
        <v/>
      </c>
      <c r="T81" s="86" t="str">
        <f aca="false">IF(OR(T$4="",MONTH(($G$2+13))&lt;&gt;MONTH($C$2)),"",IF(COUNTIFS(m_teacher,T$4,m_date,($G$2+13),m_active,1,m_start,"&lt;"&amp;1440,m_end,"&gt;"&amp;1140)=0,"",IF(COUNTIFS(m_teacher,T$4,m_date,($G$2+13),m_active,1,m_start,"&lt;"&amp;1440,m_end,"&gt;"&amp;1140)&gt;1,"충돌",HYPERLINK("#'관리자_MASTER'!D"&amp;_xlfn.MAXIFS(m_row,m_teacher,T$4,m_date,($G$2+13),m_active,1,m_start,"&lt;"&amp;1440,m_end,"&gt;"&amp;1140),INDEX(m_label,_xlfn.MAXIFS(m_row,m_teacher,T$4,m_date,($G$2+13),m_active,1,m_start,"&lt;"&amp;1440,m_end,"&gt;"&amp;1140))))))</f>
        <v/>
      </c>
      <c r="U81" s="86" t="str">
        <f aca="false">IF(OR(U$4="",MONTH(($G$2+13))&lt;&gt;MONTH($C$2)),"",IF(COUNTIFS(m_teacher,U$4,m_date,($G$2+13),m_active,1,m_start,"&lt;"&amp;1440,m_end,"&gt;"&amp;1140)=0,"",IF(COUNTIFS(m_teacher,U$4,m_date,($G$2+13),m_active,1,m_start,"&lt;"&amp;1440,m_end,"&gt;"&amp;1140)&gt;1,"충돌",HYPERLINK("#'관리자_MASTER'!D"&amp;_xlfn.MAXIFS(m_row,m_teacher,U$4,m_date,($G$2+13),m_active,1,m_start,"&lt;"&amp;1440,m_end,"&gt;"&amp;1140),INDEX(m_label,_xlfn.MAXIFS(m_row,m_teacher,U$4,m_date,($G$2+13),m_active,1,m_start,"&lt;"&amp;1440,m_end,"&gt;"&amp;1140))))))</f>
        <v/>
      </c>
      <c r="V81" s="86" t="str">
        <f aca="false">IF(OR(V$4="",MONTH(($G$2+13))&lt;&gt;MONTH($C$2)),"",IF(COUNTIFS(m_teacher,V$4,m_date,($G$2+13),m_active,1,m_start,"&lt;"&amp;1440,m_end,"&gt;"&amp;1140)=0,"",IF(COUNTIFS(m_teacher,V$4,m_date,($G$2+13),m_active,1,m_start,"&lt;"&amp;1440,m_end,"&gt;"&amp;1140)&gt;1,"충돌",HYPERLINK("#'관리자_MASTER'!D"&amp;_xlfn.MAXIFS(m_row,m_teacher,V$4,m_date,($G$2+13),m_active,1,m_start,"&lt;"&amp;1440,m_end,"&gt;"&amp;1140),INDEX(m_label,_xlfn.MAXIFS(m_row,m_teacher,V$4,m_date,($G$2+13),m_active,1,m_start,"&lt;"&amp;1440,m_end,"&gt;"&amp;1140))))))</f>
        <v/>
      </c>
      <c r="W81" s="86" t="str">
        <f aca="false">IF(OR(W$4="",MONTH(($G$2+13))&lt;&gt;MONTH($C$2)),"",IF(COUNTIFS(m_teacher,W$4,m_date,($G$2+13),m_active,1,m_start,"&lt;"&amp;1440,m_end,"&gt;"&amp;1140)=0,"",IF(COUNTIFS(m_teacher,W$4,m_date,($G$2+13),m_active,1,m_start,"&lt;"&amp;1440,m_end,"&gt;"&amp;1140)&gt;1,"충돌",HYPERLINK("#'관리자_MASTER'!D"&amp;_xlfn.MAXIFS(m_row,m_teacher,W$4,m_date,($G$2+13),m_active,1,m_start,"&lt;"&amp;1440,m_end,"&gt;"&amp;1140),INDEX(m_label,_xlfn.MAXIFS(m_row,m_teacher,W$4,m_date,($G$2+13),m_active,1,m_start,"&lt;"&amp;1440,m_end,"&gt;"&amp;1140))))))</f>
        <v/>
      </c>
      <c r="X81" s="86" t="str">
        <f aca="false">IF(OR(X$4="",MONTH(($G$2+13))&lt;&gt;MONTH($C$2)),"",IF(COUNTIFS(m_teacher,X$4,m_date,($G$2+13),m_active,1,m_start,"&lt;"&amp;1440,m_end,"&gt;"&amp;1140)=0,"",IF(COUNTIFS(m_teacher,X$4,m_date,($G$2+13),m_active,1,m_start,"&lt;"&amp;1440,m_end,"&gt;"&amp;1140)&gt;1,"충돌",HYPERLINK("#'관리자_MASTER'!D"&amp;_xlfn.MAXIFS(m_row,m_teacher,X$4,m_date,($G$2+13),m_active,1,m_start,"&lt;"&amp;1440,m_end,"&gt;"&amp;1140),INDEX(m_label,_xlfn.MAXIFS(m_row,m_teacher,X$4,m_date,($G$2+13),m_active,1,m_start,"&lt;"&amp;1440,m_end,"&gt;"&amp;1140))))))</f>
        <v/>
      </c>
      <c r="Y81" s="86" t="str">
        <f aca="false">IF(OR(Y$4="",MONTH(($G$2+13))&lt;&gt;MONTH($C$2)),"",IF(COUNTIFS(m_teacher,Y$4,m_date,($G$2+13),m_active,1,m_start,"&lt;"&amp;1440,m_end,"&gt;"&amp;1140)=0,"",IF(COUNTIFS(m_teacher,Y$4,m_date,($G$2+13),m_active,1,m_start,"&lt;"&amp;1440,m_end,"&gt;"&amp;1140)&gt;1,"충돌",HYPERLINK("#'관리자_MASTER'!D"&amp;_xlfn.MAXIFS(m_row,m_teacher,Y$4,m_date,($G$2+13),m_active,1,m_start,"&lt;"&amp;1440,m_end,"&gt;"&amp;1140),INDEX(m_label,_xlfn.MAXIFS(m_row,m_teacher,Y$4,m_date,($G$2+13),m_active,1,m_start,"&lt;"&amp;1440,m_end,"&gt;"&amp;1140))))))</f>
        <v/>
      </c>
      <c r="Z81" s="86" t="str">
        <f aca="false">IF(OR(Z$4="",MONTH(($G$2+13))&lt;&gt;MONTH($C$2)),"",IF(COUNTIFS(m_teacher,Z$4,m_date,($G$2+13),m_active,1,m_start,"&lt;"&amp;1440,m_end,"&gt;"&amp;1140)=0,"",IF(COUNTIFS(m_teacher,Z$4,m_date,($G$2+13),m_active,1,m_start,"&lt;"&amp;1440,m_end,"&gt;"&amp;1140)&gt;1,"충돌",HYPERLINK("#'관리자_MASTER'!D"&amp;_xlfn.MAXIFS(m_row,m_teacher,Z$4,m_date,($G$2+13),m_active,1,m_start,"&lt;"&amp;1440,m_end,"&gt;"&amp;1140),INDEX(m_label,_xlfn.MAXIFS(m_row,m_teacher,Z$4,m_date,($G$2+13),m_active,1,m_start,"&lt;"&amp;1440,m_end,"&gt;"&amp;1140))))))</f>
        <v/>
      </c>
      <c r="AA81" s="86" t="str">
        <f aca="false">IF(OR(AA$4="",MONTH(($G$2+13))&lt;&gt;MONTH($C$2)),"",IF(COUNTIFS(m_teacher,AA$4,m_date,($G$2+13),m_active,1,m_start,"&lt;"&amp;1440,m_end,"&gt;"&amp;1140)=0,"",IF(COUNTIFS(m_teacher,AA$4,m_date,($G$2+13),m_active,1,m_start,"&lt;"&amp;1440,m_end,"&gt;"&amp;1140)&gt;1,"충돌",HYPERLINK("#'관리자_MASTER'!D"&amp;_xlfn.MAXIFS(m_row,m_teacher,AA$4,m_date,($G$2+13),m_active,1,m_start,"&lt;"&amp;1440,m_end,"&gt;"&amp;1140),INDEX(m_label,_xlfn.MAXIFS(m_row,m_teacher,AA$4,m_date,($G$2+13),m_active,1,m_start,"&lt;"&amp;1440,m_end,"&gt;"&amp;1140))))))</f>
        <v/>
      </c>
      <c r="AB81" s="86" t="str">
        <f aca="false">IF(OR(AB$4="",MONTH(($G$2+13))&lt;&gt;MONTH($C$2)),"",IF(COUNTIFS(m_teacher,AB$4,m_date,($G$2+13),m_active,1,m_start,"&lt;"&amp;1440,m_end,"&gt;"&amp;1140)=0,"",IF(COUNTIFS(m_teacher,AB$4,m_date,($G$2+13),m_active,1,m_start,"&lt;"&amp;1440,m_end,"&gt;"&amp;1140)&gt;1,"충돌",HYPERLINK("#'관리자_MASTER'!D"&amp;_xlfn.MAXIFS(m_row,m_teacher,AB$4,m_date,($G$2+13),m_active,1,m_start,"&lt;"&amp;1440,m_end,"&gt;"&amp;1140),INDEX(m_label,_xlfn.MAXIFS(m_row,m_teacher,AB$4,m_date,($G$2+13),m_active,1,m_start,"&lt;"&amp;1440,m_end,"&gt;"&amp;1140))))))</f>
        <v/>
      </c>
      <c r="AC81" s="92"/>
      <c r="AD81" s="85" t="s">
        <v>101</v>
      </c>
      <c r="AE81" s="86" t="str">
        <f aca="false">IF(OR(AE$4="",MONTH(($G$2+20))&lt;&gt;MONTH($C$2)),"",IF(COUNTIFS(m_teacher,AE$4,m_date,($G$2+20),m_active,1,m_start,"&lt;"&amp;1440,m_end,"&gt;"&amp;1140)=0,"",IF(COUNTIFS(m_teacher,AE$4,m_date,($G$2+20),m_active,1,m_start,"&lt;"&amp;1440,m_end,"&gt;"&amp;1140)&gt;1,"충돌",HYPERLINK("#'관리자_MASTER'!D"&amp;_xlfn.MAXIFS(m_row,m_teacher,AE$4,m_date,($G$2+20),m_active,1,m_start,"&lt;"&amp;1440,m_end,"&gt;"&amp;1140),INDEX(m_label,_xlfn.MAXIFS(m_row,m_teacher,AE$4,m_date,($G$2+20),m_active,1,m_start,"&lt;"&amp;1440,m_end,"&gt;"&amp;1140))))))</f>
        <v/>
      </c>
      <c r="AF81" s="86" t="str">
        <f aca="false">IF(OR(AF$4="",MONTH(($G$2+20))&lt;&gt;MONTH($C$2)),"",IF(COUNTIFS(m_teacher,AF$4,m_date,($G$2+20),m_active,1,m_start,"&lt;"&amp;1440,m_end,"&gt;"&amp;1140)=0,"",IF(COUNTIFS(m_teacher,AF$4,m_date,($G$2+20),m_active,1,m_start,"&lt;"&amp;1440,m_end,"&gt;"&amp;1140)&gt;1,"충돌",HYPERLINK("#'관리자_MASTER'!D"&amp;_xlfn.MAXIFS(m_row,m_teacher,AF$4,m_date,($G$2+20),m_active,1,m_start,"&lt;"&amp;1440,m_end,"&gt;"&amp;1140),INDEX(m_label,_xlfn.MAXIFS(m_row,m_teacher,AF$4,m_date,($G$2+20),m_active,1,m_start,"&lt;"&amp;1440,m_end,"&gt;"&amp;1140))))))</f>
        <v/>
      </c>
      <c r="AG81" s="86" t="str">
        <f aca="false">IF(OR(AG$4="",MONTH(($G$2+20))&lt;&gt;MONTH($C$2)),"",IF(COUNTIFS(m_teacher,AG$4,m_date,($G$2+20),m_active,1,m_start,"&lt;"&amp;1440,m_end,"&gt;"&amp;1140)=0,"",IF(COUNTIFS(m_teacher,AG$4,m_date,($G$2+20),m_active,1,m_start,"&lt;"&amp;1440,m_end,"&gt;"&amp;1140)&gt;1,"충돌",HYPERLINK("#'관리자_MASTER'!D"&amp;_xlfn.MAXIFS(m_row,m_teacher,AG$4,m_date,($G$2+20),m_active,1,m_start,"&lt;"&amp;1440,m_end,"&gt;"&amp;1140),INDEX(m_label,_xlfn.MAXIFS(m_row,m_teacher,AG$4,m_date,($G$2+20),m_active,1,m_start,"&lt;"&amp;1440,m_end,"&gt;"&amp;1140))))))</f>
        <v/>
      </c>
      <c r="AH81" s="86" t="str">
        <f aca="false">IF(OR(AH$4="",MONTH(($G$2+20))&lt;&gt;MONTH($C$2)),"",IF(COUNTIFS(m_teacher,AH$4,m_date,($G$2+20),m_active,1,m_start,"&lt;"&amp;1440,m_end,"&gt;"&amp;1140)=0,"",IF(COUNTIFS(m_teacher,AH$4,m_date,($G$2+20),m_active,1,m_start,"&lt;"&amp;1440,m_end,"&gt;"&amp;1140)&gt;1,"충돌",HYPERLINK("#'관리자_MASTER'!D"&amp;_xlfn.MAXIFS(m_row,m_teacher,AH$4,m_date,($G$2+20),m_active,1,m_start,"&lt;"&amp;1440,m_end,"&gt;"&amp;1140),INDEX(m_label,_xlfn.MAXIFS(m_row,m_teacher,AH$4,m_date,($G$2+20),m_active,1,m_start,"&lt;"&amp;1440,m_end,"&gt;"&amp;1140))))))</f>
        <v/>
      </c>
      <c r="AI81" s="86" t="str">
        <f aca="false">IF(OR(AI$4="",MONTH(($G$2+20))&lt;&gt;MONTH($C$2)),"",IF(COUNTIFS(m_teacher,AI$4,m_date,($G$2+20),m_active,1,m_start,"&lt;"&amp;1440,m_end,"&gt;"&amp;1140)=0,"",IF(COUNTIFS(m_teacher,AI$4,m_date,($G$2+20),m_active,1,m_start,"&lt;"&amp;1440,m_end,"&gt;"&amp;1140)&gt;1,"충돌",HYPERLINK("#'관리자_MASTER'!D"&amp;_xlfn.MAXIFS(m_row,m_teacher,AI$4,m_date,($G$2+20),m_active,1,m_start,"&lt;"&amp;1440,m_end,"&gt;"&amp;1140),INDEX(m_label,_xlfn.MAXIFS(m_row,m_teacher,AI$4,m_date,($G$2+20),m_active,1,m_start,"&lt;"&amp;1440,m_end,"&gt;"&amp;1140))))))</f>
        <v/>
      </c>
      <c r="AJ81" s="86" t="str">
        <f aca="false">IF(OR(AJ$4="",MONTH(($G$2+20))&lt;&gt;MONTH($C$2)),"",IF(COUNTIFS(m_teacher,AJ$4,m_date,($G$2+20),m_active,1,m_start,"&lt;"&amp;1440,m_end,"&gt;"&amp;1140)=0,"",IF(COUNTIFS(m_teacher,AJ$4,m_date,($G$2+20),m_active,1,m_start,"&lt;"&amp;1440,m_end,"&gt;"&amp;1140)&gt;1,"충돌",HYPERLINK("#'관리자_MASTER'!D"&amp;_xlfn.MAXIFS(m_row,m_teacher,AJ$4,m_date,($G$2+20),m_active,1,m_start,"&lt;"&amp;1440,m_end,"&gt;"&amp;1140),INDEX(m_label,_xlfn.MAXIFS(m_row,m_teacher,AJ$4,m_date,($G$2+20),m_active,1,m_start,"&lt;"&amp;1440,m_end,"&gt;"&amp;1140))))))</f>
        <v/>
      </c>
      <c r="AK81" s="86" t="str">
        <f aca="false">IF(OR(AK$4="",MONTH(($G$2+20))&lt;&gt;MONTH($C$2)),"",IF(COUNTIFS(m_teacher,AK$4,m_date,($G$2+20),m_active,1,m_start,"&lt;"&amp;1440,m_end,"&gt;"&amp;1140)=0,"",IF(COUNTIFS(m_teacher,AK$4,m_date,($G$2+20),m_active,1,m_start,"&lt;"&amp;1440,m_end,"&gt;"&amp;1140)&gt;1,"충돌",HYPERLINK("#'관리자_MASTER'!D"&amp;_xlfn.MAXIFS(m_row,m_teacher,AK$4,m_date,($G$2+20),m_active,1,m_start,"&lt;"&amp;1440,m_end,"&gt;"&amp;1140),INDEX(m_label,_xlfn.MAXIFS(m_row,m_teacher,AK$4,m_date,($G$2+20),m_active,1,m_start,"&lt;"&amp;1440,m_end,"&gt;"&amp;1140))))))</f>
        <v/>
      </c>
      <c r="AL81" s="86" t="str">
        <f aca="false">IF(OR(AL$4="",MONTH(($G$2+20))&lt;&gt;MONTH($C$2)),"",IF(COUNTIFS(m_teacher,AL$4,m_date,($G$2+20),m_active,1,m_start,"&lt;"&amp;1440,m_end,"&gt;"&amp;1140)=0,"",IF(COUNTIFS(m_teacher,AL$4,m_date,($G$2+20),m_active,1,m_start,"&lt;"&amp;1440,m_end,"&gt;"&amp;1140)&gt;1,"충돌",HYPERLINK("#'관리자_MASTER'!D"&amp;_xlfn.MAXIFS(m_row,m_teacher,AL$4,m_date,($G$2+20),m_active,1,m_start,"&lt;"&amp;1440,m_end,"&gt;"&amp;1140),INDEX(m_label,_xlfn.MAXIFS(m_row,m_teacher,AL$4,m_date,($G$2+20),m_active,1,m_start,"&lt;"&amp;1440,m_end,"&gt;"&amp;1140))))))</f>
        <v/>
      </c>
      <c r="AM81" s="86" t="str">
        <f aca="false">IF(OR(AM$4="",MONTH(($G$2+20))&lt;&gt;MONTH($C$2)),"",IF(COUNTIFS(m_teacher,AM$4,m_date,($G$2+20),m_active,1,m_start,"&lt;"&amp;1440,m_end,"&gt;"&amp;1140)=0,"",IF(COUNTIFS(m_teacher,AM$4,m_date,($G$2+20),m_active,1,m_start,"&lt;"&amp;1440,m_end,"&gt;"&amp;1140)&gt;1,"충돌",HYPERLINK("#'관리자_MASTER'!D"&amp;_xlfn.MAXIFS(m_row,m_teacher,AM$4,m_date,($G$2+20),m_active,1,m_start,"&lt;"&amp;1440,m_end,"&gt;"&amp;1140),INDEX(m_label,_xlfn.MAXIFS(m_row,m_teacher,AM$4,m_date,($G$2+20),m_active,1,m_start,"&lt;"&amp;1440,m_end,"&gt;"&amp;1140))))))</f>
        <v/>
      </c>
      <c r="AN81" s="86" t="str">
        <f aca="false">IF(OR(AN$4="",MONTH(($G$2+20))&lt;&gt;MONTH($C$2)),"",IF(COUNTIFS(m_teacher,AN$4,m_date,($G$2+20),m_active,1,m_start,"&lt;"&amp;1440,m_end,"&gt;"&amp;1140)=0,"",IF(COUNTIFS(m_teacher,AN$4,m_date,($G$2+20),m_active,1,m_start,"&lt;"&amp;1440,m_end,"&gt;"&amp;1140)&gt;1,"충돌",HYPERLINK("#'관리자_MASTER'!D"&amp;_xlfn.MAXIFS(m_row,m_teacher,AN$4,m_date,($G$2+20),m_active,1,m_start,"&lt;"&amp;1440,m_end,"&gt;"&amp;1140),INDEX(m_label,_xlfn.MAXIFS(m_row,m_teacher,AN$4,m_date,($G$2+20),m_active,1,m_start,"&lt;"&amp;1440,m_end,"&gt;"&amp;1140))))))</f>
        <v/>
      </c>
      <c r="AO81" s="86" t="str">
        <f aca="false">IF(OR(AO$4="",MONTH(($G$2+20))&lt;&gt;MONTH($C$2)),"",IF(COUNTIFS(m_teacher,AO$4,m_date,($G$2+20),m_active,1,m_start,"&lt;"&amp;1440,m_end,"&gt;"&amp;1140)=0,"",IF(COUNTIFS(m_teacher,AO$4,m_date,($G$2+20),m_active,1,m_start,"&lt;"&amp;1440,m_end,"&gt;"&amp;1140)&gt;1,"충돌",HYPERLINK("#'관리자_MASTER'!D"&amp;_xlfn.MAXIFS(m_row,m_teacher,AO$4,m_date,($G$2+20),m_active,1,m_start,"&lt;"&amp;1440,m_end,"&gt;"&amp;1140),INDEX(m_label,_xlfn.MAXIFS(m_row,m_teacher,AO$4,m_date,($G$2+20),m_active,1,m_start,"&lt;"&amp;1440,m_end,"&gt;"&amp;1140))))))</f>
        <v/>
      </c>
      <c r="AP81" s="86" t="str">
        <f aca="false">IF(OR(AP$4="",MONTH(($G$2+20))&lt;&gt;MONTH($C$2)),"",IF(COUNTIFS(m_teacher,AP$4,m_date,($G$2+20),m_active,1,m_start,"&lt;"&amp;1440,m_end,"&gt;"&amp;1140)=0,"",IF(COUNTIFS(m_teacher,AP$4,m_date,($G$2+20),m_active,1,m_start,"&lt;"&amp;1440,m_end,"&gt;"&amp;1140)&gt;1,"충돌",HYPERLINK("#'관리자_MASTER'!D"&amp;_xlfn.MAXIFS(m_row,m_teacher,AP$4,m_date,($G$2+20),m_active,1,m_start,"&lt;"&amp;1440,m_end,"&gt;"&amp;1140),INDEX(m_label,_xlfn.MAXIFS(m_row,m_teacher,AP$4,m_date,($G$2+20),m_active,1,m_start,"&lt;"&amp;1440,m_end,"&gt;"&amp;1140))))))</f>
        <v/>
      </c>
      <c r="AQ81" s="92"/>
      <c r="AR81" s="85" t="s">
        <v>101</v>
      </c>
      <c r="AS81" s="86" t="str">
        <f aca="false">IF(OR(AS$4="",MONTH(($G$2+27))&lt;&gt;MONTH($C$2)),"",IF(COUNTIFS(m_teacher,AS$4,m_date,($G$2+27),m_active,1,m_start,"&lt;"&amp;1440,m_end,"&gt;"&amp;1140)=0,"",IF(COUNTIFS(m_teacher,AS$4,m_date,($G$2+27),m_active,1,m_start,"&lt;"&amp;1440,m_end,"&gt;"&amp;1140)&gt;1,"충돌",HYPERLINK("#'관리자_MASTER'!D"&amp;_xlfn.MAXIFS(m_row,m_teacher,AS$4,m_date,($G$2+27),m_active,1,m_start,"&lt;"&amp;1440,m_end,"&gt;"&amp;1140),INDEX(m_label,_xlfn.MAXIFS(m_row,m_teacher,AS$4,m_date,($G$2+27),m_active,1,m_start,"&lt;"&amp;1440,m_end,"&gt;"&amp;1140))))))</f>
        <v/>
      </c>
      <c r="AT81" s="86" t="str">
        <f aca="false">IF(OR(AT$4="",MONTH(($G$2+27))&lt;&gt;MONTH($C$2)),"",IF(COUNTIFS(m_teacher,AT$4,m_date,($G$2+27),m_active,1,m_start,"&lt;"&amp;1440,m_end,"&gt;"&amp;1140)=0,"",IF(COUNTIFS(m_teacher,AT$4,m_date,($G$2+27),m_active,1,m_start,"&lt;"&amp;1440,m_end,"&gt;"&amp;1140)&gt;1,"충돌",HYPERLINK("#'관리자_MASTER'!D"&amp;_xlfn.MAXIFS(m_row,m_teacher,AT$4,m_date,($G$2+27),m_active,1,m_start,"&lt;"&amp;1440,m_end,"&gt;"&amp;1140),INDEX(m_label,_xlfn.MAXIFS(m_row,m_teacher,AT$4,m_date,($G$2+27),m_active,1,m_start,"&lt;"&amp;1440,m_end,"&gt;"&amp;1140))))))</f>
        <v/>
      </c>
      <c r="AU81" s="86" t="str">
        <f aca="false">IF(OR(AU$4="",MONTH(($G$2+27))&lt;&gt;MONTH($C$2)),"",IF(COUNTIFS(m_teacher,AU$4,m_date,($G$2+27),m_active,1,m_start,"&lt;"&amp;1440,m_end,"&gt;"&amp;1140)=0,"",IF(COUNTIFS(m_teacher,AU$4,m_date,($G$2+27),m_active,1,m_start,"&lt;"&amp;1440,m_end,"&gt;"&amp;1140)&gt;1,"충돌",HYPERLINK("#'관리자_MASTER'!D"&amp;_xlfn.MAXIFS(m_row,m_teacher,AU$4,m_date,($G$2+27),m_active,1,m_start,"&lt;"&amp;1440,m_end,"&gt;"&amp;1140),INDEX(m_label,_xlfn.MAXIFS(m_row,m_teacher,AU$4,m_date,($G$2+27),m_active,1,m_start,"&lt;"&amp;1440,m_end,"&gt;"&amp;1140))))))</f>
        <v/>
      </c>
      <c r="AV81" s="86" t="str">
        <f aca="false">IF(OR(AV$4="",MONTH(($G$2+27))&lt;&gt;MONTH($C$2)),"",IF(COUNTIFS(m_teacher,AV$4,m_date,($G$2+27),m_active,1,m_start,"&lt;"&amp;1440,m_end,"&gt;"&amp;1140)=0,"",IF(COUNTIFS(m_teacher,AV$4,m_date,($G$2+27),m_active,1,m_start,"&lt;"&amp;1440,m_end,"&gt;"&amp;1140)&gt;1,"충돌",HYPERLINK("#'관리자_MASTER'!D"&amp;_xlfn.MAXIFS(m_row,m_teacher,AV$4,m_date,($G$2+27),m_active,1,m_start,"&lt;"&amp;1440,m_end,"&gt;"&amp;1140),INDEX(m_label,_xlfn.MAXIFS(m_row,m_teacher,AV$4,m_date,($G$2+27),m_active,1,m_start,"&lt;"&amp;1440,m_end,"&gt;"&amp;1140))))))</f>
        <v/>
      </c>
      <c r="AW81" s="86" t="str">
        <f aca="false">IF(OR(AW$4="",MONTH(($G$2+27))&lt;&gt;MONTH($C$2)),"",IF(COUNTIFS(m_teacher,AW$4,m_date,($G$2+27),m_active,1,m_start,"&lt;"&amp;1440,m_end,"&gt;"&amp;1140)=0,"",IF(COUNTIFS(m_teacher,AW$4,m_date,($G$2+27),m_active,1,m_start,"&lt;"&amp;1440,m_end,"&gt;"&amp;1140)&gt;1,"충돌",HYPERLINK("#'관리자_MASTER'!D"&amp;_xlfn.MAXIFS(m_row,m_teacher,AW$4,m_date,($G$2+27),m_active,1,m_start,"&lt;"&amp;1440,m_end,"&gt;"&amp;1140),INDEX(m_label,_xlfn.MAXIFS(m_row,m_teacher,AW$4,m_date,($G$2+27),m_active,1,m_start,"&lt;"&amp;1440,m_end,"&gt;"&amp;1140))))))</f>
        <v/>
      </c>
      <c r="AX81" s="86" t="str">
        <f aca="false">IF(OR(AX$4="",MONTH(($G$2+27))&lt;&gt;MONTH($C$2)),"",IF(COUNTIFS(m_teacher,AX$4,m_date,($G$2+27),m_active,1,m_start,"&lt;"&amp;1440,m_end,"&gt;"&amp;1140)=0,"",IF(COUNTIFS(m_teacher,AX$4,m_date,($G$2+27),m_active,1,m_start,"&lt;"&amp;1440,m_end,"&gt;"&amp;1140)&gt;1,"충돌",HYPERLINK("#'관리자_MASTER'!D"&amp;_xlfn.MAXIFS(m_row,m_teacher,AX$4,m_date,($G$2+27),m_active,1,m_start,"&lt;"&amp;1440,m_end,"&gt;"&amp;1140),INDEX(m_label,_xlfn.MAXIFS(m_row,m_teacher,AX$4,m_date,($G$2+27),m_active,1,m_start,"&lt;"&amp;1440,m_end,"&gt;"&amp;1140))))))</f>
        <v/>
      </c>
      <c r="AY81" s="86" t="str">
        <f aca="false">IF(OR(AY$4="",MONTH(($G$2+27))&lt;&gt;MONTH($C$2)),"",IF(COUNTIFS(m_teacher,AY$4,m_date,($G$2+27),m_active,1,m_start,"&lt;"&amp;1440,m_end,"&gt;"&amp;1140)=0,"",IF(COUNTIFS(m_teacher,AY$4,m_date,($G$2+27),m_active,1,m_start,"&lt;"&amp;1440,m_end,"&gt;"&amp;1140)&gt;1,"충돌",HYPERLINK("#'관리자_MASTER'!D"&amp;_xlfn.MAXIFS(m_row,m_teacher,AY$4,m_date,($G$2+27),m_active,1,m_start,"&lt;"&amp;1440,m_end,"&gt;"&amp;1140),INDEX(m_label,_xlfn.MAXIFS(m_row,m_teacher,AY$4,m_date,($G$2+27),m_active,1,m_start,"&lt;"&amp;1440,m_end,"&gt;"&amp;1140))))))</f>
        <v/>
      </c>
      <c r="AZ81" s="86" t="str">
        <f aca="false">IF(OR(AZ$4="",MONTH(($G$2+27))&lt;&gt;MONTH($C$2)),"",IF(COUNTIFS(m_teacher,AZ$4,m_date,($G$2+27),m_active,1,m_start,"&lt;"&amp;1440,m_end,"&gt;"&amp;1140)=0,"",IF(COUNTIFS(m_teacher,AZ$4,m_date,($G$2+27),m_active,1,m_start,"&lt;"&amp;1440,m_end,"&gt;"&amp;1140)&gt;1,"충돌",HYPERLINK("#'관리자_MASTER'!D"&amp;_xlfn.MAXIFS(m_row,m_teacher,AZ$4,m_date,($G$2+27),m_active,1,m_start,"&lt;"&amp;1440,m_end,"&gt;"&amp;1140),INDEX(m_label,_xlfn.MAXIFS(m_row,m_teacher,AZ$4,m_date,($G$2+27),m_active,1,m_start,"&lt;"&amp;1440,m_end,"&gt;"&amp;1140))))))</f>
        <v/>
      </c>
      <c r="BA81" s="86" t="str">
        <f aca="false">IF(OR(BA$4="",MONTH(($G$2+27))&lt;&gt;MONTH($C$2)),"",IF(COUNTIFS(m_teacher,BA$4,m_date,($G$2+27),m_active,1,m_start,"&lt;"&amp;1440,m_end,"&gt;"&amp;1140)=0,"",IF(COUNTIFS(m_teacher,BA$4,m_date,($G$2+27),m_active,1,m_start,"&lt;"&amp;1440,m_end,"&gt;"&amp;1140)&gt;1,"충돌",HYPERLINK("#'관리자_MASTER'!D"&amp;_xlfn.MAXIFS(m_row,m_teacher,BA$4,m_date,($G$2+27),m_active,1,m_start,"&lt;"&amp;1440,m_end,"&gt;"&amp;1140),INDEX(m_label,_xlfn.MAXIFS(m_row,m_teacher,BA$4,m_date,($G$2+27),m_active,1,m_start,"&lt;"&amp;1440,m_end,"&gt;"&amp;1140))))))</f>
        <v/>
      </c>
      <c r="BB81" s="86" t="str">
        <f aca="false">IF(OR(BB$4="",MONTH(($G$2+27))&lt;&gt;MONTH($C$2)),"",IF(COUNTIFS(m_teacher,BB$4,m_date,($G$2+27),m_active,1,m_start,"&lt;"&amp;1440,m_end,"&gt;"&amp;1140)=0,"",IF(COUNTIFS(m_teacher,BB$4,m_date,($G$2+27),m_active,1,m_start,"&lt;"&amp;1440,m_end,"&gt;"&amp;1140)&gt;1,"충돌",HYPERLINK("#'관리자_MASTER'!D"&amp;_xlfn.MAXIFS(m_row,m_teacher,BB$4,m_date,($G$2+27),m_active,1,m_start,"&lt;"&amp;1440,m_end,"&gt;"&amp;1140),INDEX(m_label,_xlfn.MAXIFS(m_row,m_teacher,BB$4,m_date,($G$2+27),m_active,1,m_start,"&lt;"&amp;1440,m_end,"&gt;"&amp;1140))))))</f>
        <v/>
      </c>
      <c r="BC81" s="86" t="str">
        <f aca="false">IF(OR(BC$4="",MONTH(($G$2+27))&lt;&gt;MONTH($C$2)),"",IF(COUNTIFS(m_teacher,BC$4,m_date,($G$2+27),m_active,1,m_start,"&lt;"&amp;1440,m_end,"&gt;"&amp;1140)=0,"",IF(COUNTIFS(m_teacher,BC$4,m_date,($G$2+27),m_active,1,m_start,"&lt;"&amp;1440,m_end,"&gt;"&amp;1140)&gt;1,"충돌",HYPERLINK("#'관리자_MASTER'!D"&amp;_xlfn.MAXIFS(m_row,m_teacher,BC$4,m_date,($G$2+27),m_active,1,m_start,"&lt;"&amp;1440,m_end,"&gt;"&amp;1140),INDEX(m_label,_xlfn.MAXIFS(m_row,m_teacher,BC$4,m_date,($G$2+27),m_active,1,m_start,"&lt;"&amp;1440,m_end,"&gt;"&amp;1140))))))</f>
        <v/>
      </c>
      <c r="BD81" s="86" t="str">
        <f aca="false">IF(OR(BD$4="",MONTH(($G$2+27))&lt;&gt;MONTH($C$2)),"",IF(COUNTIFS(m_teacher,BD$4,m_date,($G$2+27),m_active,1,m_start,"&lt;"&amp;1440,m_end,"&gt;"&amp;1140)=0,"",IF(COUNTIFS(m_teacher,BD$4,m_date,($G$2+27),m_active,1,m_start,"&lt;"&amp;1440,m_end,"&gt;"&amp;1140)&gt;1,"충돌",HYPERLINK("#'관리자_MASTER'!D"&amp;_xlfn.MAXIFS(m_row,m_teacher,BD$4,m_date,($G$2+27),m_active,1,m_start,"&lt;"&amp;1440,m_end,"&gt;"&amp;1140),INDEX(m_label,_xlfn.MAXIFS(m_row,m_teacher,BD$4,m_date,($G$2+27),m_active,1,m_start,"&lt;"&amp;1440,m_end,"&gt;"&amp;1140))))))</f>
        <v/>
      </c>
    </row>
  </sheetData>
  <mergeCells count="38">
    <mergeCell ref="A1:BD1"/>
    <mergeCell ref="A2:B2"/>
    <mergeCell ref="C2:D2"/>
    <mergeCell ref="E2:F2"/>
    <mergeCell ref="G2:H2"/>
    <mergeCell ref="I2:BD2"/>
    <mergeCell ref="A3:N3"/>
    <mergeCell ref="O3:AB3"/>
    <mergeCell ref="AC3:AP3"/>
    <mergeCell ref="AQ3:BD3"/>
    <mergeCell ref="A5:A15"/>
    <mergeCell ref="O5:O15"/>
    <mergeCell ref="AC5:AC15"/>
    <mergeCell ref="AQ5:AQ15"/>
    <mergeCell ref="A16:A26"/>
    <mergeCell ref="O16:O26"/>
    <mergeCell ref="AC16:AC26"/>
    <mergeCell ref="AQ16:AQ26"/>
    <mergeCell ref="A27:A37"/>
    <mergeCell ref="O27:O37"/>
    <mergeCell ref="AC27:AC37"/>
    <mergeCell ref="AQ27:AQ37"/>
    <mergeCell ref="A38:A48"/>
    <mergeCell ref="O38:O48"/>
    <mergeCell ref="AC38:AC48"/>
    <mergeCell ref="AQ38:AQ48"/>
    <mergeCell ref="A49:A59"/>
    <mergeCell ref="O49:O59"/>
    <mergeCell ref="AC49:AC59"/>
    <mergeCell ref="AQ49:AQ59"/>
    <mergeCell ref="A60:A70"/>
    <mergeCell ref="O60:O70"/>
    <mergeCell ref="AC60:AC70"/>
    <mergeCell ref="AQ60:AQ70"/>
    <mergeCell ref="A71:A81"/>
    <mergeCell ref="O71:O81"/>
    <mergeCell ref="AC71:AC81"/>
    <mergeCell ref="AQ71:AQ81"/>
  </mergeCells>
  <conditionalFormatting sqref="C5:N15 C16:N26 C27:N37 C38:N48 C49:N59 C60:N70 C71:N81 Q5:AB15 Q16:AB26 Q27:AB37 Q38:AB48 Q49:AB59 Q60:AB70 Q71:AB81 AE5:AP15 AE16:AP26 AE27:AP37 AE38:AP48 AE49:AP59 AE60:AP70 AE71:AP81 AS5:BD15 AS16:BD26 AS27:BD37 AS38:BD48 AS49:BD59 AS60:BD70 AS71:BD81">
    <cfRule type="expression" priority="2" aboveAverage="0" equalAverage="0" bottom="0" percent="0" rank="0" text="" dxfId="8">
      <formula>C5="충돌"</formula>
    </cfRule>
    <cfRule type="expression" priority="3" aboveAverage="0" equalAverage="0" bottom="0" percent="0" rank="0" text="" dxfId="11">
      <formula>ISNUMBER(SEARCH("(상담)",C5))</formula>
    </cfRule>
    <cfRule type="expression" priority="4" aboveAverage="0" equalAverage="0" bottom="0" percent="0" rank="0" text="" dxfId="12">
      <formula>C5&lt;&gt;""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D6B8"/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8" min="2" style="0" width="14"/>
  </cols>
  <sheetData>
    <row r="1" customFormat="false" ht="19.4" hidden="false" customHeight="true" outlineLevel="0" collapsed="false">
      <c r="A1" s="94" t="s">
        <v>104</v>
      </c>
      <c r="B1" s="94"/>
      <c r="C1" s="94"/>
      <c r="D1" s="94"/>
      <c r="E1" s="94"/>
      <c r="F1" s="94"/>
      <c r="G1" s="94"/>
      <c r="H1" s="94"/>
    </row>
    <row r="2" customFormat="false" ht="30" hidden="false" customHeight="true" outlineLevel="0" collapsed="false">
      <c r="A2" s="40" t="s">
        <v>105</v>
      </c>
      <c r="B2" s="40"/>
      <c r="C2" s="40"/>
      <c r="D2" s="40"/>
      <c r="E2" s="40"/>
      <c r="F2" s="40"/>
      <c r="G2" s="40"/>
      <c r="H2" s="40"/>
    </row>
    <row r="3" customFormat="false" ht="15" hidden="false" customHeight="false" outlineLevel="0" collapsed="false">
      <c r="A3" s="42" t="s">
        <v>106</v>
      </c>
      <c r="B3" s="95" t="n">
        <f aca="false">설정!$J$4</f>
        <v>46327</v>
      </c>
      <c r="C3" s="95" t="n">
        <f aca="false">EDATE(B3,1)</f>
        <v>46357</v>
      </c>
      <c r="D3" s="95" t="n">
        <f aca="false">EDATE(C3,1)</f>
        <v>46388</v>
      </c>
      <c r="E3" s="95" t="n">
        <f aca="false">EDATE(D3,1)</f>
        <v>46419</v>
      </c>
      <c r="F3" s="95" t="n">
        <f aca="false">EDATE(E3,1)</f>
        <v>46447</v>
      </c>
      <c r="G3" s="43" t="s">
        <v>39</v>
      </c>
      <c r="H3" s="30" t="s">
        <v>107</v>
      </c>
    </row>
    <row r="4" customFormat="false" ht="15" hidden="false" customHeight="true" outlineLevel="0" collapsed="false">
      <c r="A4" s="96" t="s">
        <v>108</v>
      </c>
      <c r="B4" s="96"/>
      <c r="C4" s="96"/>
      <c r="D4" s="96"/>
      <c r="E4" s="96"/>
      <c r="F4" s="96"/>
      <c r="G4" s="96"/>
      <c r="H4" s="96"/>
    </row>
    <row r="5" customFormat="false" ht="15" hidden="false" customHeight="false" outlineLevel="0" collapsed="false">
      <c r="A5" s="97" t="s">
        <v>109</v>
      </c>
      <c r="B5" s="98" t="n">
        <f aca="false">COUNTIFS(m_name,"&lt;&gt;",m_status,"결제완료",m_date,"&gt;="&amp;B$3,m_date,"&lt;"&amp;EDATE(B$3,1))</f>
        <v>0</v>
      </c>
      <c r="C5" s="98" t="n">
        <f aca="false">COUNTIFS(m_name,"&lt;&gt;",m_status,"결제완료",m_date,"&gt;="&amp;C$3,m_date,"&lt;"&amp;EDATE(C$3,1))</f>
        <v>0</v>
      </c>
      <c r="D5" s="98" t="n">
        <f aca="false">COUNTIFS(m_name,"&lt;&gt;",m_status,"결제완료",m_date,"&gt;="&amp;D$3,m_date,"&lt;"&amp;EDATE(D$3,1))</f>
        <v>1</v>
      </c>
      <c r="E5" s="98" t="n">
        <f aca="false">COUNTIFS(m_name,"&lt;&gt;",m_status,"결제완료",m_date,"&gt;="&amp;E$3,m_date,"&lt;"&amp;EDATE(E$3,1))</f>
        <v>0</v>
      </c>
      <c r="F5" s="98" t="n">
        <f aca="false">COUNTIFS(m_name,"&lt;&gt;",m_status,"결제완료",m_date,"&gt;="&amp;F$3,m_date,"&lt;"&amp;EDATE(F$3,1))</f>
        <v>0</v>
      </c>
      <c r="G5" s="99" t="n">
        <f aca="false">H5-SUM(B5:F5)</f>
        <v>0</v>
      </c>
      <c r="H5" s="100" t="n">
        <f aca="false">COUNTIFS(m_name,"&lt;&gt;",m_status,"결제완료")</f>
        <v>1</v>
      </c>
    </row>
    <row r="6" customFormat="false" ht="15" hidden="false" customHeight="false" outlineLevel="0" collapsed="false">
      <c r="A6" s="97" t="s">
        <v>110</v>
      </c>
      <c r="B6" s="98" t="n">
        <f aca="false">COUNTIFS(m_name,"&lt;&gt;",m_status,"취소",m_date,"&gt;="&amp;B$3,m_date,"&lt;"&amp;EDATE(B$3,1))</f>
        <v>0</v>
      </c>
      <c r="C6" s="98" t="n">
        <f aca="false">COUNTIFS(m_name,"&lt;&gt;",m_status,"취소",m_date,"&gt;="&amp;C$3,m_date,"&lt;"&amp;EDATE(C$3,1))</f>
        <v>0</v>
      </c>
      <c r="D6" s="98" t="n">
        <f aca="false">COUNTIFS(m_name,"&lt;&gt;",m_status,"취소",m_date,"&gt;="&amp;D$3,m_date,"&lt;"&amp;EDATE(D$3,1))</f>
        <v>0</v>
      </c>
      <c r="E6" s="98" t="n">
        <f aca="false">COUNTIFS(m_name,"&lt;&gt;",m_status,"취소",m_date,"&gt;="&amp;E$3,m_date,"&lt;"&amp;EDATE(E$3,1))</f>
        <v>0</v>
      </c>
      <c r="F6" s="98" t="n">
        <f aca="false">COUNTIFS(m_name,"&lt;&gt;",m_status,"취소",m_date,"&gt;="&amp;F$3,m_date,"&lt;"&amp;EDATE(F$3,1))</f>
        <v>0</v>
      </c>
      <c r="G6" s="99" t="n">
        <f aca="false">H6-SUM(B6:F6)</f>
        <v>0</v>
      </c>
      <c r="H6" s="100" t="n">
        <f aca="false">COUNTIFS(m_name,"&lt;&gt;",m_status,"취소")</f>
        <v>0</v>
      </c>
    </row>
    <row r="7" customFormat="false" ht="15" hidden="false" customHeight="false" outlineLevel="0" collapsed="false">
      <c r="A7" s="97" t="s">
        <v>111</v>
      </c>
      <c r="B7" s="101" t="n">
        <f aca="false">SUMIFS(m_rev,m_date,"&gt;="&amp;B$3,m_date,"&lt;"&amp;EDATE(B$3,1))</f>
        <v>0</v>
      </c>
      <c r="C7" s="101" t="n">
        <f aca="false">SUMIFS(m_rev,m_date,"&gt;="&amp;C$3,m_date,"&lt;"&amp;EDATE(C$3,1))</f>
        <v>0</v>
      </c>
      <c r="D7" s="101" t="n">
        <f aca="false">SUMIFS(m_rev,m_date,"&gt;="&amp;D$3,m_date,"&lt;"&amp;EDATE(D$3,1))</f>
        <v>130000</v>
      </c>
      <c r="E7" s="101" t="n">
        <f aca="false">SUMIFS(m_rev,m_date,"&gt;="&amp;E$3,m_date,"&lt;"&amp;EDATE(E$3,1))</f>
        <v>0</v>
      </c>
      <c r="F7" s="101" t="n">
        <f aca="false">SUMIFS(m_rev,m_date,"&gt;="&amp;F$3,m_date,"&lt;"&amp;EDATE(F$3,1))</f>
        <v>0</v>
      </c>
      <c r="G7" s="102" t="n">
        <f aca="false">H7-SUM(B7:F7)</f>
        <v>0</v>
      </c>
      <c r="H7" s="103" t="n">
        <f aca="false">SUM(m_rev)</f>
        <v>130000</v>
      </c>
    </row>
    <row r="8" customFormat="false" ht="15" hidden="false" customHeight="false" outlineLevel="0" collapsed="false">
      <c r="A8" s="97" t="s">
        <v>70</v>
      </c>
      <c r="B8" s="101" t="n">
        <f aca="false">SUMIFS(m_fee,m_date,"&gt;="&amp;B$3,m_date,"&lt;"&amp;EDATE(B$3,1))</f>
        <v>0</v>
      </c>
      <c r="C8" s="101" t="n">
        <f aca="false">SUMIFS(m_fee,m_date,"&gt;="&amp;C$3,m_date,"&lt;"&amp;EDATE(C$3,1))</f>
        <v>0</v>
      </c>
      <c r="D8" s="101" t="n">
        <f aca="false">SUMIFS(m_fee,m_date,"&gt;="&amp;D$3,m_date,"&lt;"&amp;EDATE(D$3,1))</f>
        <v>45000</v>
      </c>
      <c r="E8" s="101" t="n">
        <f aca="false">SUMIFS(m_fee,m_date,"&gt;="&amp;E$3,m_date,"&lt;"&amp;EDATE(E$3,1))</f>
        <v>0</v>
      </c>
      <c r="F8" s="101" t="n">
        <f aca="false">SUMIFS(m_fee,m_date,"&gt;="&amp;F$3,m_date,"&lt;"&amp;EDATE(F$3,1))</f>
        <v>0</v>
      </c>
      <c r="G8" s="102" t="n">
        <f aca="false">H8-SUM(B8:F8)</f>
        <v>0</v>
      </c>
      <c r="H8" s="103" t="n">
        <f aca="false">SUM(m_fee)</f>
        <v>45000</v>
      </c>
    </row>
    <row r="9" customFormat="false" ht="15" hidden="false" customHeight="false" outlineLevel="0" collapsed="false">
      <c r="A9" s="97" t="s">
        <v>112</v>
      </c>
      <c r="B9" s="101" t="n">
        <f aca="false">SUMIFS(m_equip,m_date,"&gt;="&amp;B$3,m_date,"&lt;"&amp;EDATE(B$3,1))</f>
        <v>0</v>
      </c>
      <c r="C9" s="101" t="n">
        <f aca="false">SUMIFS(m_equip,m_date,"&gt;="&amp;C$3,m_date,"&lt;"&amp;EDATE(C$3,1))</f>
        <v>0</v>
      </c>
      <c r="D9" s="101" t="n">
        <f aca="false">SUMIFS(m_equip,m_date,"&gt;="&amp;D$3,m_date,"&lt;"&amp;EDATE(D$3,1))</f>
        <v>0</v>
      </c>
      <c r="E9" s="101" t="n">
        <f aca="false">SUMIFS(m_equip,m_date,"&gt;="&amp;E$3,m_date,"&lt;"&amp;EDATE(E$3,1))</f>
        <v>0</v>
      </c>
      <c r="F9" s="101" t="n">
        <f aca="false">SUMIFS(m_equip,m_date,"&gt;="&amp;F$3,m_date,"&lt;"&amp;EDATE(F$3,1))</f>
        <v>0</v>
      </c>
      <c r="G9" s="102" t="n">
        <f aca="false">H9-SUM(B9:F9)</f>
        <v>0</v>
      </c>
      <c r="H9" s="103" t="n">
        <f aca="false">SUM(m_equip)</f>
        <v>0</v>
      </c>
    </row>
    <row r="10" customFormat="false" ht="15" hidden="false" customHeight="false" outlineLevel="0" collapsed="false">
      <c r="A10" s="97" t="s">
        <v>113</v>
      </c>
      <c r="B10" s="104" t="n">
        <f aca="false">B7-B8-B9</f>
        <v>0</v>
      </c>
      <c r="C10" s="104" t="n">
        <f aca="false">C7-C8-C9</f>
        <v>0</v>
      </c>
      <c r="D10" s="104" t="n">
        <f aca="false">D7-D8-D9</f>
        <v>85000</v>
      </c>
      <c r="E10" s="104" t="n">
        <f aca="false">E7-E8-E9</f>
        <v>0</v>
      </c>
      <c r="F10" s="104" t="n">
        <f aca="false">F7-F8-F9</f>
        <v>0</v>
      </c>
      <c r="G10" s="105" t="n">
        <f aca="false">G7-G8-G9</f>
        <v>0</v>
      </c>
      <c r="H10" s="103" t="n">
        <f aca="false">H7-H8-H9</f>
        <v>85000</v>
      </c>
    </row>
    <row r="11" customFormat="false" ht="26.85" hidden="false" customHeight="false" outlineLevel="0" collapsed="false">
      <c r="A11" s="97" t="s">
        <v>114</v>
      </c>
      <c r="B11" s="101" t="n">
        <f aca="false">SUMIFS(m_navfee,m_date,"&gt;="&amp;B$3,m_date,"&lt;"&amp;EDATE(B$3,1))</f>
        <v>0</v>
      </c>
      <c r="C11" s="101" t="n">
        <f aca="false">SUMIFS(m_navfee,m_date,"&gt;="&amp;C$3,m_date,"&lt;"&amp;EDATE(C$3,1))</f>
        <v>0</v>
      </c>
      <c r="D11" s="101" t="n">
        <f aca="false">SUMIFS(m_navfee,m_date,"&gt;="&amp;D$3,m_date,"&lt;"&amp;EDATE(D$3,1))</f>
        <v>0</v>
      </c>
      <c r="E11" s="101" t="n">
        <f aca="false">SUMIFS(m_navfee,m_date,"&gt;="&amp;E$3,m_date,"&lt;"&amp;EDATE(E$3,1))</f>
        <v>0</v>
      </c>
      <c r="F11" s="101" t="n">
        <f aca="false">SUMIFS(m_navfee,m_date,"&gt;="&amp;F$3,m_date,"&lt;"&amp;EDATE(F$3,1))</f>
        <v>0</v>
      </c>
      <c r="G11" s="102" t="n">
        <f aca="false">H11-SUM(B11:F11)</f>
        <v>0</v>
      </c>
      <c r="H11" s="103" t="n">
        <f aca="false">SUM(m_navfee)</f>
        <v>0</v>
      </c>
    </row>
    <row r="12" customFormat="false" ht="15" hidden="false" customHeight="false" outlineLevel="0" collapsed="false">
      <c r="A12" s="97" t="s">
        <v>115</v>
      </c>
      <c r="B12" s="101" t="n">
        <f aca="false">SUMIFS(o_amt,o_type,"광고비",o_date,"&gt;="&amp;B$3,o_date,"&lt;"&amp;EDATE(B$3,1))+SUMIFS(o_amt,o_type,"운영비",o_date,"&gt;="&amp;B$3,o_date,"&lt;"&amp;EDATE(B$3,1))</f>
        <v>0</v>
      </c>
      <c r="C12" s="101" t="n">
        <f aca="false">SUMIFS(o_amt,o_type,"광고비",o_date,"&gt;="&amp;C$3,o_date,"&lt;"&amp;EDATE(C$3,1))+SUMIFS(o_amt,o_type,"운영비",o_date,"&gt;="&amp;C$3,o_date,"&lt;"&amp;EDATE(C$3,1))</f>
        <v>0</v>
      </c>
      <c r="D12" s="101" t="n">
        <f aca="false">SUMIFS(o_amt,o_type,"광고비",o_date,"&gt;="&amp;D$3,o_date,"&lt;"&amp;EDATE(D$3,1))+SUMIFS(o_amt,o_type,"운영비",o_date,"&gt;="&amp;D$3,o_date,"&lt;"&amp;EDATE(D$3,1))</f>
        <v>0</v>
      </c>
      <c r="E12" s="101" t="n">
        <f aca="false">SUMIFS(o_amt,o_type,"광고비",o_date,"&gt;="&amp;E$3,o_date,"&lt;"&amp;EDATE(E$3,1))+SUMIFS(o_amt,o_type,"운영비",o_date,"&gt;="&amp;E$3,o_date,"&lt;"&amp;EDATE(E$3,1))</f>
        <v>0</v>
      </c>
      <c r="F12" s="101" t="n">
        <f aca="false">SUMIFS(o_amt,o_type,"광고비",o_date,"&gt;="&amp;F$3,o_date,"&lt;"&amp;EDATE(F$3,1))+SUMIFS(o_amt,o_type,"운영비",o_date,"&gt;="&amp;F$3,o_date,"&lt;"&amp;EDATE(F$3,1))</f>
        <v>0</v>
      </c>
      <c r="G12" s="102" t="n">
        <f aca="false">H12-SUM(B12:F12)</f>
        <v>0</v>
      </c>
      <c r="H12" s="103" t="n">
        <f aca="false">SUMIFS(o_amt,o_type,"광고비")+SUMIFS(o_amt,o_type,"운영비")</f>
        <v>0</v>
      </c>
    </row>
    <row r="13" customFormat="false" ht="15" hidden="false" customHeight="false" outlineLevel="0" collapsed="false">
      <c r="A13" s="97" t="s">
        <v>116</v>
      </c>
      <c r="B13" s="101" t="n">
        <f aca="false">SUMIFS(o_amt,o_type,"기타수입",o_date,"&gt;="&amp;B$3,o_date,"&lt;"&amp;EDATE(B$3,1))</f>
        <v>0</v>
      </c>
      <c r="C13" s="101" t="n">
        <f aca="false">SUMIFS(o_amt,o_type,"기타수입",o_date,"&gt;="&amp;C$3,o_date,"&lt;"&amp;EDATE(C$3,1))</f>
        <v>0</v>
      </c>
      <c r="D13" s="101" t="n">
        <f aca="false">SUMIFS(o_amt,o_type,"기타수입",o_date,"&gt;="&amp;D$3,o_date,"&lt;"&amp;EDATE(D$3,1))</f>
        <v>0</v>
      </c>
      <c r="E13" s="101" t="n">
        <f aca="false">SUMIFS(o_amt,o_type,"기타수입",o_date,"&gt;="&amp;E$3,o_date,"&lt;"&amp;EDATE(E$3,1))</f>
        <v>0</v>
      </c>
      <c r="F13" s="101" t="n">
        <f aca="false">SUMIFS(o_amt,o_type,"기타수입",o_date,"&gt;="&amp;F$3,o_date,"&lt;"&amp;EDATE(F$3,1))</f>
        <v>0</v>
      </c>
      <c r="G13" s="102" t="n">
        <f aca="false">H13-SUM(B13:F13)</f>
        <v>0</v>
      </c>
      <c r="H13" s="103" t="n">
        <f aca="false">SUMIFS(o_amt,o_type,"기타수입")</f>
        <v>0</v>
      </c>
    </row>
    <row r="14" customFormat="false" ht="15" hidden="false" customHeight="false" outlineLevel="0" collapsed="false">
      <c r="A14" s="16" t="s">
        <v>5</v>
      </c>
      <c r="B14" s="33" t="n">
        <f aca="false">B10-B11-B12+B13</f>
        <v>0</v>
      </c>
      <c r="C14" s="33" t="n">
        <f aca="false">C10-C11-C12+C13</f>
        <v>0</v>
      </c>
      <c r="D14" s="33" t="n">
        <f aca="false">D10-D11-D12+D13</f>
        <v>85000</v>
      </c>
      <c r="E14" s="33" t="n">
        <f aca="false">E10-E11-E12+E13</f>
        <v>0</v>
      </c>
      <c r="F14" s="33" t="n">
        <f aca="false">F10-F11-F12+F13</f>
        <v>0</v>
      </c>
      <c r="G14" s="33" t="n">
        <f aca="false">G10-G11-G12+G13</f>
        <v>0</v>
      </c>
      <c r="H14" s="33" t="n">
        <f aca="false">H10-H11-H12+H13</f>
        <v>85000</v>
      </c>
    </row>
    <row r="15" customFormat="false" ht="15" hidden="false" customHeight="false" outlineLevel="0" collapsed="false">
      <c r="A15" s="97" t="s">
        <v>117</v>
      </c>
      <c r="B15" s="106" t="n">
        <f aca="false">IF(N(B7)=0,0,B14/B7)</f>
        <v>0</v>
      </c>
      <c r="C15" s="106" t="n">
        <f aca="false">IF(N(C7)=0,0,C14/C7)</f>
        <v>0</v>
      </c>
      <c r="D15" s="106" t="n">
        <f aca="false">IF(N(D7)=0,0,D14/D7)</f>
        <v>0.653846153846154</v>
      </c>
      <c r="E15" s="106" t="n">
        <f aca="false">IF(N(E7)=0,0,E14/E7)</f>
        <v>0</v>
      </c>
      <c r="F15" s="106" t="n">
        <f aca="false">IF(N(F7)=0,0,F14/F7)</f>
        <v>0</v>
      </c>
      <c r="G15" s="107" t="n">
        <f aca="false">IF(N(G7)=0,0,G14/G7)</f>
        <v>0</v>
      </c>
      <c r="H15" s="108" t="n">
        <f aca="false">IF(N(H7)=0,0,H14/H7)</f>
        <v>0.653846153846154</v>
      </c>
    </row>
  </sheetData>
  <mergeCells count="3">
    <mergeCell ref="A1:H1"/>
    <mergeCell ref="A2:H2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D6B8"/>
    <pageSetUpPr fitToPage="false"/>
  </sheetPr>
  <dimension ref="A1:A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4" min="3" style="0" width="10"/>
    <col collapsed="false" customWidth="true" hidden="false" outlineLevel="0" max="7" min="5" style="0" width="13"/>
    <col collapsed="false" customWidth="true" hidden="true" outlineLevel="0" max="9" min="8" style="0" width="13"/>
    <col collapsed="false" customWidth="true" hidden="false" outlineLevel="0" max="10" min="10" style="0" width="7"/>
    <col collapsed="false" customWidth="true" hidden="false" outlineLevel="0" max="12" min="11" style="0" width="11"/>
    <col collapsed="false" customWidth="true" hidden="false" outlineLevel="0" max="13" min="13" style="0" width="10"/>
    <col collapsed="false" customWidth="true" hidden="false" outlineLevel="0" max="14" min="14" style="0" width="11"/>
    <col collapsed="false" customWidth="true" hidden="false" outlineLevel="0" max="15" min="15" style="0" width="10"/>
    <col collapsed="false" customWidth="true" hidden="false" outlineLevel="0" max="16" min="16" style="0" width="11"/>
    <col collapsed="false" customWidth="true" hidden="false" outlineLevel="0" max="17" min="17" style="0" width="10"/>
    <col collapsed="false" customWidth="true" hidden="false" outlineLevel="0" max="18" min="18" style="0" width="11"/>
    <col collapsed="false" customWidth="true" hidden="false" outlineLevel="0" max="19" min="19" style="0" width="10"/>
    <col collapsed="false" customWidth="true" hidden="false" outlineLevel="0" max="20" min="20" style="0" width="11"/>
    <col collapsed="false" customWidth="true" hidden="false" outlineLevel="0" max="21" min="21" style="0" width="10"/>
    <col collapsed="false" customWidth="true" hidden="false" outlineLevel="0" max="22" min="22" style="0" width="11"/>
    <col collapsed="false" customWidth="true" hidden="false" outlineLevel="0" max="23" min="23" style="0" width="10"/>
    <col collapsed="false" customWidth="true" hidden="false" outlineLevel="0" max="24" min="24" style="0" width="11"/>
    <col collapsed="false" customWidth="true" hidden="false" outlineLevel="0" max="25" min="25" style="0" width="10"/>
    <col collapsed="false" customWidth="true" hidden="false" outlineLevel="0" max="26" min="26" style="0" width="11"/>
    <col collapsed="false" customWidth="true" hidden="false" outlineLevel="0" max="27" min="27" style="0" width="10"/>
    <col collapsed="false" customWidth="true" hidden="false" outlineLevel="0" max="28" min="28" style="0" width="11"/>
    <col collapsed="false" customWidth="true" hidden="false" outlineLevel="0" max="29" min="29" style="0" width="10"/>
    <col collapsed="false" customWidth="true" hidden="false" outlineLevel="0" max="30" min="30" style="0" width="11"/>
    <col collapsed="false" customWidth="true" hidden="false" outlineLevel="0" max="31" min="31" style="0" width="10"/>
    <col collapsed="false" customWidth="true" hidden="false" outlineLevel="0" max="32" min="32" style="0" width="11"/>
    <col collapsed="false" customWidth="true" hidden="false" outlineLevel="0" max="33" min="33" style="0" width="10"/>
    <col collapsed="false" customWidth="true" hidden="false" outlineLevel="0" max="34" min="34" style="0" width="11"/>
    <col collapsed="false" customWidth="true" hidden="false" outlineLevel="0" max="35" min="35" style="0" width="10"/>
    <col collapsed="false" customWidth="true" hidden="false" outlineLevel="0" max="36" min="36" style="0" width="11"/>
    <col collapsed="false" customWidth="true" hidden="true" outlineLevel="0" max="38" min="37" style="0" width="13"/>
  </cols>
  <sheetData>
    <row r="1" customFormat="false" ht="20.1" hidden="false" customHeight="true" outlineLevel="0" collapsed="false">
      <c r="A1" s="109" t="s">
        <v>118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</row>
    <row r="2" customFormat="false" ht="33.75" hidden="false" customHeight="true" outlineLevel="0" collapsed="false">
      <c r="A2" s="110" t="s">
        <v>119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</row>
    <row r="3" customFormat="false" ht="15" hidden="false" customHeight="true" outlineLevel="0" collapsed="false">
      <c r="J3" s="8" t="s">
        <v>120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</row>
    <row r="4" customFormat="false" ht="15" hidden="false" customHeight="true" outlineLevel="0" collapsed="false">
      <c r="A4" s="8" t="s">
        <v>121</v>
      </c>
      <c r="B4" s="8"/>
      <c r="C4" s="8"/>
      <c r="D4" s="8"/>
      <c r="E4" s="8"/>
      <c r="F4" s="8"/>
      <c r="G4" s="8"/>
      <c r="J4" s="42" t="s">
        <v>122</v>
      </c>
      <c r="K4" s="42"/>
      <c r="L4" s="42"/>
      <c r="M4" s="63" t="str">
        <f aca="false">IF(강사DB!$A$4="","",강사DB!$A$4)</f>
        <v>김건진</v>
      </c>
      <c r="N4" s="63"/>
      <c r="O4" s="64" t="str">
        <f aca="false">IF(강사DB!$A$5="","",강사DB!$A$5)</f>
        <v>김준태</v>
      </c>
      <c r="P4" s="64"/>
      <c r="Q4" s="65" t="str">
        <f aca="false">IF(강사DB!$A$6="","",강사DB!$A$6)</f>
        <v>이민규</v>
      </c>
      <c r="R4" s="65"/>
      <c r="S4" s="66" t="str">
        <f aca="false">IF(강사DB!$A$7="","",강사DB!$A$7)</f>
        <v>송지성</v>
      </c>
      <c r="T4" s="66"/>
      <c r="U4" s="67" t="str">
        <f aca="false">IF(강사DB!$A$8="","",강사DB!$A$8)</f>
        <v>박세근</v>
      </c>
      <c r="V4" s="67"/>
      <c r="W4" s="68" t="str">
        <f aca="false">IF(강사DB!$A$9="","",강사DB!$A$9)</f>
        <v>프리랜서A</v>
      </c>
      <c r="X4" s="68"/>
      <c r="Y4" s="69" t="str">
        <f aca="false">IF(강사DB!$A$10="","",강사DB!$A$10)</f>
        <v>프리랜서B</v>
      </c>
      <c r="Z4" s="69"/>
      <c r="AA4" s="70" t="str">
        <f aca="false">IF(강사DB!$A$11="","",강사DB!$A$11)</f>
        <v/>
      </c>
      <c r="AB4" s="70"/>
      <c r="AC4" s="71" t="str">
        <f aca="false">IF(강사DB!$A$12="","",강사DB!$A$12)</f>
        <v/>
      </c>
      <c r="AD4" s="71"/>
      <c r="AE4" s="72" t="str">
        <f aca="false">IF(강사DB!$A$13="","",강사DB!$A$13)</f>
        <v/>
      </c>
      <c r="AF4" s="72"/>
      <c r="AG4" s="73" t="str">
        <f aca="false">IF(강사DB!$A$14="","",강사DB!$A$14)</f>
        <v/>
      </c>
      <c r="AH4" s="73"/>
      <c r="AI4" s="74" t="str">
        <f aca="false">IF(강사DB!$A$15="","",강사DB!$A$15)</f>
        <v/>
      </c>
      <c r="AJ4" s="74"/>
    </row>
    <row r="5" customFormat="false" ht="15" hidden="false" customHeight="false" outlineLevel="0" collapsed="false">
      <c r="A5" s="42" t="s">
        <v>123</v>
      </c>
      <c r="B5" s="42" t="s">
        <v>106</v>
      </c>
      <c r="C5" s="42" t="s">
        <v>124</v>
      </c>
      <c r="D5" s="42" t="s">
        <v>125</v>
      </c>
      <c r="E5" s="42" t="s">
        <v>70</v>
      </c>
      <c r="F5" s="42" t="s">
        <v>126</v>
      </c>
      <c r="G5" s="42" t="s">
        <v>127</v>
      </c>
      <c r="J5" s="42" t="s">
        <v>128</v>
      </c>
      <c r="K5" s="42" t="s">
        <v>53</v>
      </c>
      <c r="L5" s="42" t="s">
        <v>54</v>
      </c>
      <c r="M5" s="111" t="s">
        <v>70</v>
      </c>
      <c r="N5" s="112" t="s">
        <v>129</v>
      </c>
      <c r="O5" s="111" t="s">
        <v>70</v>
      </c>
      <c r="P5" s="112" t="s">
        <v>129</v>
      </c>
      <c r="Q5" s="111" t="s">
        <v>70</v>
      </c>
      <c r="R5" s="112" t="s">
        <v>129</v>
      </c>
      <c r="S5" s="111" t="s">
        <v>70</v>
      </c>
      <c r="T5" s="112" t="s">
        <v>129</v>
      </c>
      <c r="U5" s="111" t="s">
        <v>70</v>
      </c>
      <c r="V5" s="112" t="s">
        <v>129</v>
      </c>
      <c r="W5" s="111" t="s">
        <v>70</v>
      </c>
      <c r="X5" s="112" t="s">
        <v>129</v>
      </c>
      <c r="Y5" s="111" t="s">
        <v>70</v>
      </c>
      <c r="Z5" s="112" t="s">
        <v>129</v>
      </c>
      <c r="AA5" s="111" t="s">
        <v>70</v>
      </c>
      <c r="AB5" s="112" t="s">
        <v>129</v>
      </c>
      <c r="AC5" s="111" t="s">
        <v>70</v>
      </c>
      <c r="AD5" s="112" t="s">
        <v>129</v>
      </c>
      <c r="AE5" s="111" t="s">
        <v>70</v>
      </c>
      <c r="AF5" s="112" t="s">
        <v>129</v>
      </c>
      <c r="AG5" s="111" t="s">
        <v>70</v>
      </c>
      <c r="AH5" s="112" t="s">
        <v>129</v>
      </c>
      <c r="AI5" s="111" t="s">
        <v>70</v>
      </c>
      <c r="AJ5" s="112" t="s">
        <v>129</v>
      </c>
    </row>
    <row r="6" customFormat="false" ht="15" hidden="false" customHeight="false" outlineLevel="0" collapsed="false">
      <c r="A6" s="113" t="str">
        <f aca="false">IF(강사DB!A4="","",강사DB!A4)</f>
        <v>김건진</v>
      </c>
      <c r="B6" s="114" t="str">
        <f aca="false">IF(강사DB!A4="","",IF(ISNUMBER(SEARCH("퇴사",강사DB!G4)),"퇴사",강사DB!B4))</f>
        <v>메인강사</v>
      </c>
      <c r="C6" s="115" t="n">
        <f aca="false">IF($A6="","",COUNTIFS(m_teacher,$A6,m_name,"&lt;&gt;",m_status,"결제완료"))</f>
        <v>0</v>
      </c>
      <c r="D6" s="116" t="n">
        <f aca="false">IF($A6="","",SUMIFS(m_hours,m_teacher,$A6,m_name,"&lt;&gt;",m_status,"결제완료"))</f>
        <v>0</v>
      </c>
      <c r="E6" s="117" t="n">
        <f aca="false">IF($A6="","",SUMIFS(m_fee,m_teacher,$A6))</f>
        <v>0</v>
      </c>
      <c r="F6" s="117" t="n">
        <f aca="false">IF($A6="","",SUMIFS(m_fee,m_teacher,$A6,m_settle,"&gt;0"))</f>
        <v>0</v>
      </c>
      <c r="G6" s="118" t="n">
        <f aca="false">IF($A6="","",E6-F6)</f>
        <v>0</v>
      </c>
      <c r="J6" s="3" t="str">
        <f aca="false">IF($K6="","",ROW()-5&amp;"회차")</f>
        <v>1회차</v>
      </c>
      <c r="K6" s="119" t="n">
        <v>46357</v>
      </c>
      <c r="L6" s="119" t="n">
        <v>46371</v>
      </c>
      <c r="M6" s="105" t="n">
        <f aca="false">IF(OR($AK6="",$AL6="",M$4=""),"",SUMIFS(m_fee,m_teacher,M$4,m_date,"&gt;="&amp;$AK6,m_date,"&lt;="&amp;$AL6))</f>
        <v>0</v>
      </c>
      <c r="N6" s="120"/>
      <c r="O6" s="105" t="n">
        <f aca="false">IF(OR($AK6="",$AL6="",O$4=""),"",SUMIFS(m_fee,m_teacher,O$4,m_date,"&gt;="&amp;$AK6,m_date,"&lt;="&amp;$AL6))</f>
        <v>0</v>
      </c>
      <c r="P6" s="120"/>
      <c r="Q6" s="105" t="n">
        <f aca="false">IF(OR($AK6="",$AL6="",Q$4=""),"",SUMIFS(m_fee,m_teacher,Q$4,m_date,"&gt;="&amp;$AK6,m_date,"&lt;="&amp;$AL6))</f>
        <v>0</v>
      </c>
      <c r="R6" s="120"/>
      <c r="S6" s="105" t="n">
        <f aca="false">IF(OR($AK6="",$AL6="",S$4=""),"",SUMIFS(m_fee,m_teacher,S$4,m_date,"&gt;="&amp;$AK6,m_date,"&lt;="&amp;$AL6))</f>
        <v>0</v>
      </c>
      <c r="T6" s="120"/>
      <c r="U6" s="105" t="n">
        <f aca="false">IF(OR($AK6="",$AL6="",U$4=""),"",SUMIFS(m_fee,m_teacher,U$4,m_date,"&gt;="&amp;$AK6,m_date,"&lt;="&amp;$AL6))</f>
        <v>0</v>
      </c>
      <c r="V6" s="120"/>
      <c r="W6" s="105" t="n">
        <f aca="false">IF(OR($AK6="",$AL6="",W$4=""),"",SUMIFS(m_fee,m_teacher,W$4,m_date,"&gt;="&amp;$AK6,m_date,"&lt;="&amp;$AL6))</f>
        <v>0</v>
      </c>
      <c r="X6" s="120"/>
      <c r="Y6" s="105" t="n">
        <f aca="false">IF(OR($AK6="",$AL6="",Y$4=""),"",SUMIFS(m_fee,m_teacher,Y$4,m_date,"&gt;="&amp;$AK6,m_date,"&lt;="&amp;$AL6))</f>
        <v>0</v>
      </c>
      <c r="Z6" s="120"/>
      <c r="AA6" s="105" t="str">
        <f aca="false">IF(OR($AK6="",$AL6="",AA$4=""),"",SUMIFS(m_fee,m_teacher,AA$4,m_date,"&gt;="&amp;$AK6,m_date,"&lt;="&amp;$AL6))</f>
        <v/>
      </c>
      <c r="AB6" s="120"/>
      <c r="AC6" s="105" t="str">
        <f aca="false">IF(OR($AK6="",$AL6="",AC$4=""),"",SUMIFS(m_fee,m_teacher,AC$4,m_date,"&gt;="&amp;$AK6,m_date,"&lt;="&amp;$AL6))</f>
        <v/>
      </c>
      <c r="AD6" s="120"/>
      <c r="AE6" s="105" t="str">
        <f aca="false">IF(OR($AK6="",$AL6="",AE$4=""),"",SUMIFS(m_fee,m_teacher,AE$4,m_date,"&gt;="&amp;$AK6,m_date,"&lt;="&amp;$AL6))</f>
        <v/>
      </c>
      <c r="AF6" s="120"/>
      <c r="AG6" s="105" t="str">
        <f aca="false">IF(OR($AK6="",$AL6="",AG$4=""),"",SUMIFS(m_fee,m_teacher,AG$4,m_date,"&gt;="&amp;$AK6,m_date,"&lt;="&amp;$AL6))</f>
        <v/>
      </c>
      <c r="AH6" s="120"/>
      <c r="AI6" s="105" t="str">
        <f aca="false">IF(OR($AK6="",$AL6="",AI$4=""),"",SUMIFS(m_fee,m_teacher,AI$4,m_date,"&gt;="&amp;$AK6,m_date,"&lt;="&amp;$AL6))</f>
        <v/>
      </c>
      <c r="AJ6" s="120"/>
      <c r="AK6" s="121" t="n">
        <f aca="false">IF($K6="","",IFERROR(IF(ISNUMBER($K6),IF($K6&gt;19000000,DATE(INT($K6/10000),MOD(INT($K6/100),100),MOD($K6,100)),INT($K6)),IF(LEN(SUBSTITUTE(SUBSTITUTE(SUBSTITUTE(TRIM($K6),"-",""),".",""),"/",""))=8,DATE(VALUE(LEFT(SUBSTITUTE(SUBSTITUTE(SUBSTITUTE(TRIM($K6),"-",""),".",""),"/",""),4)),VALUE(MID(SUBSTITUTE(SUBSTITUTE(SUBSTITUTE(TRIM($K6),"-",""),".",""),"/",""),5,2)),VALUE(RIGHT(SUBSTITUTE(SUBSTITUTE(SUBSTITUTE(TRIM($K6),"-",""),".",""),"/",""),2))),DATEVALUE($K6))),""))</f>
        <v>46357</v>
      </c>
      <c r="AL6" s="121" t="n">
        <f aca="false">IF($L6="","",IFERROR(IF(ISNUMBER($L6),IF($L6&gt;19000000,DATE(INT($L6/10000),MOD(INT($L6/100),100),MOD($L6,100)),INT($L6)),IF(LEN(SUBSTITUTE(SUBSTITUTE(SUBSTITUTE(TRIM($L6),"-",""),".",""),"/",""))=8,DATE(VALUE(LEFT(SUBSTITUTE(SUBSTITUTE(SUBSTITUTE(TRIM($L6),"-",""),".",""),"/",""),4)),VALUE(MID(SUBSTITUTE(SUBSTITUTE(SUBSTITUTE(TRIM($L6),"-",""),".",""),"/",""),5,2)),VALUE(RIGHT(SUBSTITUTE(SUBSTITUTE(SUBSTITUTE(TRIM($L6),"-",""),".",""),"/",""),2))),DATEVALUE($L6))),""))</f>
        <v>46371</v>
      </c>
    </row>
    <row r="7" customFormat="false" ht="15" hidden="false" customHeight="false" outlineLevel="0" collapsed="false">
      <c r="A7" s="113" t="str">
        <f aca="false">IF(강사DB!A5="","",강사DB!A5)</f>
        <v>김준태</v>
      </c>
      <c r="B7" s="114" t="str">
        <f aca="false">IF(강사DB!A5="","",IF(ISNUMBER(SEARCH("퇴사",강사DB!G5)),"퇴사",강사DB!B5))</f>
        <v>메인강사</v>
      </c>
      <c r="C7" s="115" t="n">
        <f aca="false">IF($A7="","",COUNTIFS(m_teacher,$A7,m_name,"&lt;&gt;",m_status,"결제완료"))</f>
        <v>0</v>
      </c>
      <c r="D7" s="116" t="n">
        <f aca="false">IF($A7="","",SUMIFS(m_hours,m_teacher,$A7,m_name,"&lt;&gt;",m_status,"결제완료"))</f>
        <v>0</v>
      </c>
      <c r="E7" s="117" t="n">
        <f aca="false">IF($A7="","",SUMIFS(m_fee,m_teacher,$A7))</f>
        <v>0</v>
      </c>
      <c r="F7" s="117" t="n">
        <f aca="false">IF($A7="","",SUMIFS(m_fee,m_teacher,$A7,m_settle,"&gt;0"))</f>
        <v>0</v>
      </c>
      <c r="G7" s="118" t="n">
        <f aca="false">IF($A7="","",E7-F7)</f>
        <v>0</v>
      </c>
      <c r="J7" s="3" t="str">
        <f aca="false">IF($K7="","",ROW()-5&amp;"회차")</f>
        <v>2회차</v>
      </c>
      <c r="K7" s="119" t="n">
        <v>46372</v>
      </c>
      <c r="L7" s="119" t="n">
        <v>46387</v>
      </c>
      <c r="M7" s="105" t="n">
        <f aca="false">IF(OR($AK7="",$AL7="",M$4=""),"",SUMIFS(m_fee,m_teacher,M$4,m_date,"&gt;="&amp;$AK7,m_date,"&lt;="&amp;$AL7))</f>
        <v>0</v>
      </c>
      <c r="N7" s="120"/>
      <c r="O7" s="105" t="n">
        <f aca="false">IF(OR($AK7="",$AL7="",O$4=""),"",SUMIFS(m_fee,m_teacher,O$4,m_date,"&gt;="&amp;$AK7,m_date,"&lt;="&amp;$AL7))</f>
        <v>0</v>
      </c>
      <c r="P7" s="120"/>
      <c r="Q7" s="105" t="n">
        <f aca="false">IF(OR($AK7="",$AL7="",Q$4=""),"",SUMIFS(m_fee,m_teacher,Q$4,m_date,"&gt;="&amp;$AK7,m_date,"&lt;="&amp;$AL7))</f>
        <v>0</v>
      </c>
      <c r="R7" s="120"/>
      <c r="S7" s="105" t="n">
        <f aca="false">IF(OR($AK7="",$AL7="",S$4=""),"",SUMIFS(m_fee,m_teacher,S$4,m_date,"&gt;="&amp;$AK7,m_date,"&lt;="&amp;$AL7))</f>
        <v>0</v>
      </c>
      <c r="T7" s="120"/>
      <c r="U7" s="105" t="n">
        <f aca="false">IF(OR($AK7="",$AL7="",U$4=""),"",SUMIFS(m_fee,m_teacher,U$4,m_date,"&gt;="&amp;$AK7,m_date,"&lt;="&amp;$AL7))</f>
        <v>0</v>
      </c>
      <c r="V7" s="120"/>
      <c r="W7" s="105" t="n">
        <f aca="false">IF(OR($AK7="",$AL7="",W$4=""),"",SUMIFS(m_fee,m_teacher,W$4,m_date,"&gt;="&amp;$AK7,m_date,"&lt;="&amp;$AL7))</f>
        <v>0</v>
      </c>
      <c r="X7" s="120"/>
      <c r="Y7" s="105" t="n">
        <f aca="false">IF(OR($AK7="",$AL7="",Y$4=""),"",SUMIFS(m_fee,m_teacher,Y$4,m_date,"&gt;="&amp;$AK7,m_date,"&lt;="&amp;$AL7))</f>
        <v>0</v>
      </c>
      <c r="Z7" s="120"/>
      <c r="AA7" s="105" t="str">
        <f aca="false">IF(OR($AK7="",$AL7="",AA$4=""),"",SUMIFS(m_fee,m_teacher,AA$4,m_date,"&gt;="&amp;$AK7,m_date,"&lt;="&amp;$AL7))</f>
        <v/>
      </c>
      <c r="AB7" s="120"/>
      <c r="AC7" s="105" t="str">
        <f aca="false">IF(OR($AK7="",$AL7="",AC$4=""),"",SUMIFS(m_fee,m_teacher,AC$4,m_date,"&gt;="&amp;$AK7,m_date,"&lt;="&amp;$AL7))</f>
        <v/>
      </c>
      <c r="AD7" s="120"/>
      <c r="AE7" s="105" t="str">
        <f aca="false">IF(OR($AK7="",$AL7="",AE$4=""),"",SUMIFS(m_fee,m_teacher,AE$4,m_date,"&gt;="&amp;$AK7,m_date,"&lt;="&amp;$AL7))</f>
        <v/>
      </c>
      <c r="AF7" s="120"/>
      <c r="AG7" s="105" t="str">
        <f aca="false">IF(OR($AK7="",$AL7="",AG$4=""),"",SUMIFS(m_fee,m_teacher,AG$4,m_date,"&gt;="&amp;$AK7,m_date,"&lt;="&amp;$AL7))</f>
        <v/>
      </c>
      <c r="AH7" s="120"/>
      <c r="AI7" s="105" t="str">
        <f aca="false">IF(OR($AK7="",$AL7="",AI$4=""),"",SUMIFS(m_fee,m_teacher,AI$4,m_date,"&gt;="&amp;$AK7,m_date,"&lt;="&amp;$AL7))</f>
        <v/>
      </c>
      <c r="AJ7" s="120"/>
      <c r="AK7" s="121" t="n">
        <f aca="false">IF($K7="","",IFERROR(IF(ISNUMBER($K7),IF($K7&gt;19000000,DATE(INT($K7/10000),MOD(INT($K7/100),100),MOD($K7,100)),INT($K7)),IF(LEN(SUBSTITUTE(SUBSTITUTE(SUBSTITUTE(TRIM($K7),"-",""),".",""),"/",""))=8,DATE(VALUE(LEFT(SUBSTITUTE(SUBSTITUTE(SUBSTITUTE(TRIM($K7),"-",""),".",""),"/",""),4)),VALUE(MID(SUBSTITUTE(SUBSTITUTE(SUBSTITUTE(TRIM($K7),"-",""),".",""),"/",""),5,2)),VALUE(RIGHT(SUBSTITUTE(SUBSTITUTE(SUBSTITUTE(TRIM($K7),"-",""),".",""),"/",""),2))),DATEVALUE($K7))),""))</f>
        <v>46372</v>
      </c>
      <c r="AL7" s="121" t="n">
        <f aca="false">IF($L7="","",IFERROR(IF(ISNUMBER($L7),IF($L7&gt;19000000,DATE(INT($L7/10000),MOD(INT($L7/100),100),MOD($L7,100)),INT($L7)),IF(LEN(SUBSTITUTE(SUBSTITUTE(SUBSTITUTE(TRIM($L7),"-",""),".",""),"/",""))=8,DATE(VALUE(LEFT(SUBSTITUTE(SUBSTITUTE(SUBSTITUTE(TRIM($L7),"-",""),".",""),"/",""),4)),VALUE(MID(SUBSTITUTE(SUBSTITUTE(SUBSTITUTE(TRIM($L7),"-",""),".",""),"/",""),5,2)),VALUE(RIGHT(SUBSTITUTE(SUBSTITUTE(SUBSTITUTE(TRIM($L7),"-",""),".",""),"/",""),2))),DATEVALUE($L7))),""))</f>
        <v>46387</v>
      </c>
    </row>
    <row r="8" customFormat="false" ht="15" hidden="false" customHeight="false" outlineLevel="0" collapsed="false">
      <c r="A8" s="113" t="str">
        <f aca="false">IF(강사DB!A6="","",강사DB!A6)</f>
        <v>이민규</v>
      </c>
      <c r="B8" s="114" t="str">
        <f aca="false">IF(강사DB!A6="","",IF(ISNUMBER(SEARCH("퇴사",강사DB!G6)),"퇴사",강사DB!B6))</f>
        <v>메인강사</v>
      </c>
      <c r="C8" s="115" t="n">
        <f aca="false">IF($A8="","",COUNTIFS(m_teacher,$A8,m_name,"&lt;&gt;",m_status,"결제완료"))</f>
        <v>0</v>
      </c>
      <c r="D8" s="116" t="n">
        <f aca="false">IF($A8="","",SUMIFS(m_hours,m_teacher,$A8,m_name,"&lt;&gt;",m_status,"결제완료"))</f>
        <v>0</v>
      </c>
      <c r="E8" s="117" t="n">
        <f aca="false">IF($A8="","",SUMIFS(m_fee,m_teacher,$A8))</f>
        <v>0</v>
      </c>
      <c r="F8" s="117" t="n">
        <f aca="false">IF($A8="","",SUMIFS(m_fee,m_teacher,$A8,m_settle,"&gt;0"))</f>
        <v>0</v>
      </c>
      <c r="G8" s="118" t="n">
        <f aca="false">IF($A8="","",E8-F8)</f>
        <v>0</v>
      </c>
      <c r="J8" s="3" t="str">
        <f aca="false">IF($K8="","",ROW()-5&amp;"회차")</f>
        <v>3회차</v>
      </c>
      <c r="K8" s="119" t="n">
        <v>46388</v>
      </c>
      <c r="L8" s="119" t="n">
        <v>46402</v>
      </c>
      <c r="M8" s="105" t="n">
        <f aca="false">IF(OR($AK8="",$AL8="",M$4=""),"",SUMIFS(m_fee,m_teacher,M$4,m_date,"&gt;="&amp;$AK8,m_date,"&lt;="&amp;$AL8))</f>
        <v>0</v>
      </c>
      <c r="N8" s="120"/>
      <c r="O8" s="105" t="n">
        <f aca="false">IF(OR($AK8="",$AL8="",O$4=""),"",SUMIFS(m_fee,m_teacher,O$4,m_date,"&gt;="&amp;$AK8,m_date,"&lt;="&amp;$AL8))</f>
        <v>0</v>
      </c>
      <c r="P8" s="120"/>
      <c r="Q8" s="105" t="n">
        <f aca="false">IF(OR($AK8="",$AL8="",Q$4=""),"",SUMIFS(m_fee,m_teacher,Q$4,m_date,"&gt;="&amp;$AK8,m_date,"&lt;="&amp;$AL8))</f>
        <v>0</v>
      </c>
      <c r="R8" s="120"/>
      <c r="S8" s="105" t="n">
        <f aca="false">IF(OR($AK8="",$AL8="",S$4=""),"",SUMIFS(m_fee,m_teacher,S$4,m_date,"&gt;="&amp;$AK8,m_date,"&lt;="&amp;$AL8))</f>
        <v>0</v>
      </c>
      <c r="T8" s="120"/>
      <c r="U8" s="105" t="n">
        <f aca="false">IF(OR($AK8="",$AL8="",U$4=""),"",SUMIFS(m_fee,m_teacher,U$4,m_date,"&gt;="&amp;$AK8,m_date,"&lt;="&amp;$AL8))</f>
        <v>45000</v>
      </c>
      <c r="V8" s="120"/>
      <c r="W8" s="105" t="n">
        <f aca="false">IF(OR($AK8="",$AL8="",W$4=""),"",SUMIFS(m_fee,m_teacher,W$4,m_date,"&gt;="&amp;$AK8,m_date,"&lt;="&amp;$AL8))</f>
        <v>0</v>
      </c>
      <c r="X8" s="120"/>
      <c r="Y8" s="105" t="n">
        <f aca="false">IF(OR($AK8="",$AL8="",Y$4=""),"",SUMIFS(m_fee,m_teacher,Y$4,m_date,"&gt;="&amp;$AK8,m_date,"&lt;="&amp;$AL8))</f>
        <v>0</v>
      </c>
      <c r="Z8" s="120"/>
      <c r="AA8" s="105" t="str">
        <f aca="false">IF(OR($AK8="",$AL8="",AA$4=""),"",SUMIFS(m_fee,m_teacher,AA$4,m_date,"&gt;="&amp;$AK8,m_date,"&lt;="&amp;$AL8))</f>
        <v/>
      </c>
      <c r="AB8" s="120"/>
      <c r="AC8" s="105" t="str">
        <f aca="false">IF(OR($AK8="",$AL8="",AC$4=""),"",SUMIFS(m_fee,m_teacher,AC$4,m_date,"&gt;="&amp;$AK8,m_date,"&lt;="&amp;$AL8))</f>
        <v/>
      </c>
      <c r="AD8" s="120"/>
      <c r="AE8" s="105" t="str">
        <f aca="false">IF(OR($AK8="",$AL8="",AE$4=""),"",SUMIFS(m_fee,m_teacher,AE$4,m_date,"&gt;="&amp;$AK8,m_date,"&lt;="&amp;$AL8))</f>
        <v/>
      </c>
      <c r="AF8" s="120"/>
      <c r="AG8" s="105" t="str">
        <f aca="false">IF(OR($AK8="",$AL8="",AG$4=""),"",SUMIFS(m_fee,m_teacher,AG$4,m_date,"&gt;="&amp;$AK8,m_date,"&lt;="&amp;$AL8))</f>
        <v/>
      </c>
      <c r="AH8" s="120"/>
      <c r="AI8" s="105" t="str">
        <f aca="false">IF(OR($AK8="",$AL8="",AI$4=""),"",SUMIFS(m_fee,m_teacher,AI$4,m_date,"&gt;="&amp;$AK8,m_date,"&lt;="&amp;$AL8))</f>
        <v/>
      </c>
      <c r="AJ8" s="120"/>
      <c r="AK8" s="121" t="n">
        <f aca="false">IF($K8="","",IFERROR(IF(ISNUMBER($K8),IF($K8&gt;19000000,DATE(INT($K8/10000),MOD(INT($K8/100),100),MOD($K8,100)),INT($K8)),IF(LEN(SUBSTITUTE(SUBSTITUTE(SUBSTITUTE(TRIM($K8),"-",""),".",""),"/",""))=8,DATE(VALUE(LEFT(SUBSTITUTE(SUBSTITUTE(SUBSTITUTE(TRIM($K8),"-",""),".",""),"/",""),4)),VALUE(MID(SUBSTITUTE(SUBSTITUTE(SUBSTITUTE(TRIM($K8),"-",""),".",""),"/",""),5,2)),VALUE(RIGHT(SUBSTITUTE(SUBSTITUTE(SUBSTITUTE(TRIM($K8),"-",""),".",""),"/",""),2))),DATEVALUE($K8))),""))</f>
        <v>46388</v>
      </c>
      <c r="AL8" s="121" t="n">
        <f aca="false">IF($L8="","",IFERROR(IF(ISNUMBER($L8),IF($L8&gt;19000000,DATE(INT($L8/10000),MOD(INT($L8/100),100),MOD($L8,100)),INT($L8)),IF(LEN(SUBSTITUTE(SUBSTITUTE(SUBSTITUTE(TRIM($L8),"-",""),".",""),"/",""))=8,DATE(VALUE(LEFT(SUBSTITUTE(SUBSTITUTE(SUBSTITUTE(TRIM($L8),"-",""),".",""),"/",""),4)),VALUE(MID(SUBSTITUTE(SUBSTITUTE(SUBSTITUTE(TRIM($L8),"-",""),".",""),"/",""),5,2)),VALUE(RIGHT(SUBSTITUTE(SUBSTITUTE(SUBSTITUTE(TRIM($L8),"-",""),".",""),"/",""),2))),DATEVALUE($L8))),""))</f>
        <v>46402</v>
      </c>
    </row>
    <row r="9" customFormat="false" ht="15" hidden="false" customHeight="false" outlineLevel="0" collapsed="false">
      <c r="A9" s="113" t="str">
        <f aca="false">IF(강사DB!A7="","",강사DB!A7)</f>
        <v>송지성</v>
      </c>
      <c r="B9" s="114" t="str">
        <f aca="false">IF(강사DB!A7="","",IF(ISNUMBER(SEARCH("퇴사",강사DB!G7)),"퇴사",강사DB!B7))</f>
        <v>메인강사</v>
      </c>
      <c r="C9" s="115" t="n">
        <f aca="false">IF($A9="","",COUNTIFS(m_teacher,$A9,m_name,"&lt;&gt;",m_status,"결제완료"))</f>
        <v>0</v>
      </c>
      <c r="D9" s="116" t="n">
        <f aca="false">IF($A9="","",SUMIFS(m_hours,m_teacher,$A9,m_name,"&lt;&gt;",m_status,"결제완료"))</f>
        <v>0</v>
      </c>
      <c r="E9" s="117" t="n">
        <f aca="false">IF($A9="","",SUMIFS(m_fee,m_teacher,$A9))</f>
        <v>0</v>
      </c>
      <c r="F9" s="117" t="n">
        <f aca="false">IF($A9="","",SUMIFS(m_fee,m_teacher,$A9,m_settle,"&gt;0"))</f>
        <v>0</v>
      </c>
      <c r="G9" s="118" t="n">
        <f aca="false">IF($A9="","",E9-F9)</f>
        <v>0</v>
      </c>
      <c r="J9" s="3" t="str">
        <f aca="false">IF($K9="","",ROW()-5&amp;"회차")</f>
        <v>4회차</v>
      </c>
      <c r="K9" s="119" t="n">
        <v>46403</v>
      </c>
      <c r="L9" s="119" t="n">
        <v>46418</v>
      </c>
      <c r="M9" s="105" t="n">
        <f aca="false">IF(OR($AK9="",$AL9="",M$4=""),"",SUMIFS(m_fee,m_teacher,M$4,m_date,"&gt;="&amp;$AK9,m_date,"&lt;="&amp;$AL9))</f>
        <v>0</v>
      </c>
      <c r="N9" s="120"/>
      <c r="O9" s="105" t="n">
        <f aca="false">IF(OR($AK9="",$AL9="",O$4=""),"",SUMIFS(m_fee,m_teacher,O$4,m_date,"&gt;="&amp;$AK9,m_date,"&lt;="&amp;$AL9))</f>
        <v>0</v>
      </c>
      <c r="P9" s="120"/>
      <c r="Q9" s="105" t="n">
        <f aca="false">IF(OR($AK9="",$AL9="",Q$4=""),"",SUMIFS(m_fee,m_teacher,Q$4,m_date,"&gt;="&amp;$AK9,m_date,"&lt;="&amp;$AL9))</f>
        <v>0</v>
      </c>
      <c r="R9" s="120"/>
      <c r="S9" s="105" t="n">
        <f aca="false">IF(OR($AK9="",$AL9="",S$4=""),"",SUMIFS(m_fee,m_teacher,S$4,m_date,"&gt;="&amp;$AK9,m_date,"&lt;="&amp;$AL9))</f>
        <v>0</v>
      </c>
      <c r="T9" s="120"/>
      <c r="U9" s="105" t="n">
        <f aca="false">IF(OR($AK9="",$AL9="",U$4=""),"",SUMIFS(m_fee,m_teacher,U$4,m_date,"&gt;="&amp;$AK9,m_date,"&lt;="&amp;$AL9))</f>
        <v>0</v>
      </c>
      <c r="V9" s="120"/>
      <c r="W9" s="105" t="n">
        <f aca="false">IF(OR($AK9="",$AL9="",W$4=""),"",SUMIFS(m_fee,m_teacher,W$4,m_date,"&gt;="&amp;$AK9,m_date,"&lt;="&amp;$AL9))</f>
        <v>0</v>
      </c>
      <c r="X9" s="120"/>
      <c r="Y9" s="105" t="n">
        <f aca="false">IF(OR($AK9="",$AL9="",Y$4=""),"",SUMIFS(m_fee,m_teacher,Y$4,m_date,"&gt;="&amp;$AK9,m_date,"&lt;="&amp;$AL9))</f>
        <v>0</v>
      </c>
      <c r="Z9" s="120"/>
      <c r="AA9" s="105" t="str">
        <f aca="false">IF(OR($AK9="",$AL9="",AA$4=""),"",SUMIFS(m_fee,m_teacher,AA$4,m_date,"&gt;="&amp;$AK9,m_date,"&lt;="&amp;$AL9))</f>
        <v/>
      </c>
      <c r="AB9" s="120"/>
      <c r="AC9" s="105" t="str">
        <f aca="false">IF(OR($AK9="",$AL9="",AC$4=""),"",SUMIFS(m_fee,m_teacher,AC$4,m_date,"&gt;="&amp;$AK9,m_date,"&lt;="&amp;$AL9))</f>
        <v/>
      </c>
      <c r="AD9" s="120"/>
      <c r="AE9" s="105" t="str">
        <f aca="false">IF(OR($AK9="",$AL9="",AE$4=""),"",SUMIFS(m_fee,m_teacher,AE$4,m_date,"&gt;="&amp;$AK9,m_date,"&lt;="&amp;$AL9))</f>
        <v/>
      </c>
      <c r="AF9" s="120"/>
      <c r="AG9" s="105" t="str">
        <f aca="false">IF(OR($AK9="",$AL9="",AG$4=""),"",SUMIFS(m_fee,m_teacher,AG$4,m_date,"&gt;="&amp;$AK9,m_date,"&lt;="&amp;$AL9))</f>
        <v/>
      </c>
      <c r="AH9" s="120"/>
      <c r="AI9" s="105" t="str">
        <f aca="false">IF(OR($AK9="",$AL9="",AI$4=""),"",SUMIFS(m_fee,m_teacher,AI$4,m_date,"&gt;="&amp;$AK9,m_date,"&lt;="&amp;$AL9))</f>
        <v/>
      </c>
      <c r="AJ9" s="120"/>
      <c r="AK9" s="121" t="n">
        <f aca="false">IF($K9="","",IFERROR(IF(ISNUMBER($K9),IF($K9&gt;19000000,DATE(INT($K9/10000),MOD(INT($K9/100),100),MOD($K9,100)),INT($K9)),IF(LEN(SUBSTITUTE(SUBSTITUTE(SUBSTITUTE(TRIM($K9),"-",""),".",""),"/",""))=8,DATE(VALUE(LEFT(SUBSTITUTE(SUBSTITUTE(SUBSTITUTE(TRIM($K9),"-",""),".",""),"/",""),4)),VALUE(MID(SUBSTITUTE(SUBSTITUTE(SUBSTITUTE(TRIM($K9),"-",""),".",""),"/",""),5,2)),VALUE(RIGHT(SUBSTITUTE(SUBSTITUTE(SUBSTITUTE(TRIM($K9),"-",""),".",""),"/",""),2))),DATEVALUE($K9))),""))</f>
        <v>46403</v>
      </c>
      <c r="AL9" s="121" t="n">
        <f aca="false">IF($L9="","",IFERROR(IF(ISNUMBER($L9),IF($L9&gt;19000000,DATE(INT($L9/10000),MOD(INT($L9/100),100),MOD($L9,100)),INT($L9)),IF(LEN(SUBSTITUTE(SUBSTITUTE(SUBSTITUTE(TRIM($L9),"-",""),".",""),"/",""))=8,DATE(VALUE(LEFT(SUBSTITUTE(SUBSTITUTE(SUBSTITUTE(TRIM($L9),"-",""),".",""),"/",""),4)),VALUE(MID(SUBSTITUTE(SUBSTITUTE(SUBSTITUTE(TRIM($L9),"-",""),".",""),"/",""),5,2)),VALUE(RIGHT(SUBSTITUTE(SUBSTITUTE(SUBSTITUTE(TRIM($L9),"-",""),".",""),"/",""),2))),DATEVALUE($L9))),""))</f>
        <v>46418</v>
      </c>
    </row>
    <row r="10" customFormat="false" ht="15" hidden="false" customHeight="false" outlineLevel="0" collapsed="false">
      <c r="A10" s="113" t="str">
        <f aca="false">IF(강사DB!A8="","",강사DB!A8)</f>
        <v>박세근</v>
      </c>
      <c r="B10" s="114" t="str">
        <f aca="false">IF(강사DB!A8="","",IF(ISNUMBER(SEARCH("퇴사",강사DB!G8)),"퇴사",강사DB!B8))</f>
        <v>메인강사</v>
      </c>
      <c r="C10" s="115" t="n">
        <f aca="false">IF($A10="","",COUNTIFS(m_teacher,$A10,m_name,"&lt;&gt;",m_status,"결제완료"))</f>
        <v>1</v>
      </c>
      <c r="D10" s="116" t="n">
        <f aca="false">IF($A10="","",SUMIFS(m_hours,m_teacher,$A10,m_name,"&lt;&gt;",m_status,"결제완료"))</f>
        <v>2</v>
      </c>
      <c r="E10" s="117" t="n">
        <f aca="false">IF($A10="","",SUMIFS(m_fee,m_teacher,$A10))</f>
        <v>45000</v>
      </c>
      <c r="F10" s="117" t="n">
        <f aca="false">IF($A10="","",SUMIFS(m_fee,m_teacher,$A10,m_settle,"&gt;0"))</f>
        <v>0</v>
      </c>
      <c r="G10" s="118" t="n">
        <f aca="false">IF($A10="","",E10-F10)</f>
        <v>45000</v>
      </c>
      <c r="J10" s="3" t="str">
        <f aca="false">IF($K10="","",ROW()-5&amp;"회차")</f>
        <v>5회차</v>
      </c>
      <c r="K10" s="119" t="n">
        <v>46419</v>
      </c>
      <c r="L10" s="119" t="n">
        <v>46433</v>
      </c>
      <c r="M10" s="105" t="n">
        <f aca="false">IF(OR($AK10="",$AL10="",M$4=""),"",SUMIFS(m_fee,m_teacher,M$4,m_date,"&gt;="&amp;$AK10,m_date,"&lt;="&amp;$AL10))</f>
        <v>0</v>
      </c>
      <c r="N10" s="120"/>
      <c r="O10" s="105" t="n">
        <f aca="false">IF(OR($AK10="",$AL10="",O$4=""),"",SUMIFS(m_fee,m_teacher,O$4,m_date,"&gt;="&amp;$AK10,m_date,"&lt;="&amp;$AL10))</f>
        <v>0</v>
      </c>
      <c r="P10" s="120"/>
      <c r="Q10" s="105" t="n">
        <f aca="false">IF(OR($AK10="",$AL10="",Q$4=""),"",SUMIFS(m_fee,m_teacher,Q$4,m_date,"&gt;="&amp;$AK10,m_date,"&lt;="&amp;$AL10))</f>
        <v>0</v>
      </c>
      <c r="R10" s="120"/>
      <c r="S10" s="105" t="n">
        <f aca="false">IF(OR($AK10="",$AL10="",S$4=""),"",SUMIFS(m_fee,m_teacher,S$4,m_date,"&gt;="&amp;$AK10,m_date,"&lt;="&amp;$AL10))</f>
        <v>0</v>
      </c>
      <c r="T10" s="120"/>
      <c r="U10" s="105" t="n">
        <f aca="false">IF(OR($AK10="",$AL10="",U$4=""),"",SUMIFS(m_fee,m_teacher,U$4,m_date,"&gt;="&amp;$AK10,m_date,"&lt;="&amp;$AL10))</f>
        <v>0</v>
      </c>
      <c r="V10" s="120"/>
      <c r="W10" s="105" t="n">
        <f aca="false">IF(OR($AK10="",$AL10="",W$4=""),"",SUMIFS(m_fee,m_teacher,W$4,m_date,"&gt;="&amp;$AK10,m_date,"&lt;="&amp;$AL10))</f>
        <v>0</v>
      </c>
      <c r="X10" s="120"/>
      <c r="Y10" s="105" t="n">
        <f aca="false">IF(OR($AK10="",$AL10="",Y$4=""),"",SUMIFS(m_fee,m_teacher,Y$4,m_date,"&gt;="&amp;$AK10,m_date,"&lt;="&amp;$AL10))</f>
        <v>0</v>
      </c>
      <c r="Z10" s="120"/>
      <c r="AA10" s="105" t="str">
        <f aca="false">IF(OR($AK10="",$AL10="",AA$4=""),"",SUMIFS(m_fee,m_teacher,AA$4,m_date,"&gt;="&amp;$AK10,m_date,"&lt;="&amp;$AL10))</f>
        <v/>
      </c>
      <c r="AB10" s="120"/>
      <c r="AC10" s="105" t="str">
        <f aca="false">IF(OR($AK10="",$AL10="",AC$4=""),"",SUMIFS(m_fee,m_teacher,AC$4,m_date,"&gt;="&amp;$AK10,m_date,"&lt;="&amp;$AL10))</f>
        <v/>
      </c>
      <c r="AD10" s="120"/>
      <c r="AE10" s="105" t="str">
        <f aca="false">IF(OR($AK10="",$AL10="",AE$4=""),"",SUMIFS(m_fee,m_teacher,AE$4,m_date,"&gt;="&amp;$AK10,m_date,"&lt;="&amp;$AL10))</f>
        <v/>
      </c>
      <c r="AF10" s="120"/>
      <c r="AG10" s="105" t="str">
        <f aca="false">IF(OR($AK10="",$AL10="",AG$4=""),"",SUMIFS(m_fee,m_teacher,AG$4,m_date,"&gt;="&amp;$AK10,m_date,"&lt;="&amp;$AL10))</f>
        <v/>
      </c>
      <c r="AH10" s="120"/>
      <c r="AI10" s="105" t="str">
        <f aca="false">IF(OR($AK10="",$AL10="",AI$4=""),"",SUMIFS(m_fee,m_teacher,AI$4,m_date,"&gt;="&amp;$AK10,m_date,"&lt;="&amp;$AL10))</f>
        <v/>
      </c>
      <c r="AJ10" s="120"/>
      <c r="AK10" s="121" t="n">
        <f aca="false">IF($K10="","",IFERROR(IF(ISNUMBER($K10),IF($K10&gt;19000000,DATE(INT($K10/10000),MOD(INT($K10/100),100),MOD($K10,100)),INT($K10)),IF(LEN(SUBSTITUTE(SUBSTITUTE(SUBSTITUTE(TRIM($K10),"-",""),".",""),"/",""))=8,DATE(VALUE(LEFT(SUBSTITUTE(SUBSTITUTE(SUBSTITUTE(TRIM($K10),"-",""),".",""),"/",""),4)),VALUE(MID(SUBSTITUTE(SUBSTITUTE(SUBSTITUTE(TRIM($K10),"-",""),".",""),"/",""),5,2)),VALUE(RIGHT(SUBSTITUTE(SUBSTITUTE(SUBSTITUTE(TRIM($K10),"-",""),".",""),"/",""),2))),DATEVALUE($K10))),""))</f>
        <v>46419</v>
      </c>
      <c r="AL10" s="121" t="n">
        <f aca="false">IF($L10="","",IFERROR(IF(ISNUMBER($L10),IF($L10&gt;19000000,DATE(INT($L10/10000),MOD(INT($L10/100),100),MOD($L10,100)),INT($L10)),IF(LEN(SUBSTITUTE(SUBSTITUTE(SUBSTITUTE(TRIM($L10),"-",""),".",""),"/",""))=8,DATE(VALUE(LEFT(SUBSTITUTE(SUBSTITUTE(SUBSTITUTE(TRIM($L10),"-",""),".",""),"/",""),4)),VALUE(MID(SUBSTITUTE(SUBSTITUTE(SUBSTITUTE(TRIM($L10),"-",""),".",""),"/",""),5,2)),VALUE(RIGHT(SUBSTITUTE(SUBSTITUTE(SUBSTITUTE(TRIM($L10),"-",""),".",""),"/",""),2))),DATEVALUE($L10))),""))</f>
        <v>46433</v>
      </c>
    </row>
    <row r="11" customFormat="false" ht="15" hidden="false" customHeight="false" outlineLevel="0" collapsed="false">
      <c r="A11" s="113" t="str">
        <f aca="false">IF(강사DB!A9="","",강사DB!A9)</f>
        <v>프리랜서A</v>
      </c>
      <c r="B11" s="114" t="str">
        <f aca="false">IF(강사DB!A9="","",IF(ISNUMBER(SEARCH("퇴사",강사DB!G9)),"퇴사",강사DB!B9))</f>
        <v>프리랜서</v>
      </c>
      <c r="C11" s="115" t="n">
        <f aca="false">IF($A11="","",COUNTIFS(m_teacher,$A11,m_name,"&lt;&gt;",m_status,"결제완료"))</f>
        <v>0</v>
      </c>
      <c r="D11" s="116" t="n">
        <f aca="false">IF($A11="","",SUMIFS(m_hours,m_teacher,$A11,m_name,"&lt;&gt;",m_status,"결제완료"))</f>
        <v>0</v>
      </c>
      <c r="E11" s="117" t="n">
        <f aca="false">IF($A11="","",SUMIFS(m_fee,m_teacher,$A11))</f>
        <v>0</v>
      </c>
      <c r="F11" s="117" t="n">
        <f aca="false">IF($A11="","",SUMIFS(m_fee,m_teacher,$A11,m_settle,"&gt;0"))</f>
        <v>0</v>
      </c>
      <c r="G11" s="118" t="n">
        <f aca="false">IF($A11="","",E11-F11)</f>
        <v>0</v>
      </c>
      <c r="J11" s="3" t="str">
        <f aca="false">IF($K11="","",ROW()-5&amp;"회차")</f>
        <v>6회차</v>
      </c>
      <c r="K11" s="119" t="n">
        <v>46434</v>
      </c>
      <c r="L11" s="119" t="n">
        <v>46446</v>
      </c>
      <c r="M11" s="105" t="n">
        <f aca="false">IF(OR($AK11="",$AL11="",M$4=""),"",SUMIFS(m_fee,m_teacher,M$4,m_date,"&gt;="&amp;$AK11,m_date,"&lt;="&amp;$AL11))</f>
        <v>0</v>
      </c>
      <c r="N11" s="120"/>
      <c r="O11" s="105" t="n">
        <f aca="false">IF(OR($AK11="",$AL11="",O$4=""),"",SUMIFS(m_fee,m_teacher,O$4,m_date,"&gt;="&amp;$AK11,m_date,"&lt;="&amp;$AL11))</f>
        <v>0</v>
      </c>
      <c r="P11" s="120"/>
      <c r="Q11" s="105" t="n">
        <f aca="false">IF(OR($AK11="",$AL11="",Q$4=""),"",SUMIFS(m_fee,m_teacher,Q$4,m_date,"&gt;="&amp;$AK11,m_date,"&lt;="&amp;$AL11))</f>
        <v>0</v>
      </c>
      <c r="R11" s="120"/>
      <c r="S11" s="105" t="n">
        <f aca="false">IF(OR($AK11="",$AL11="",S$4=""),"",SUMIFS(m_fee,m_teacher,S$4,m_date,"&gt;="&amp;$AK11,m_date,"&lt;="&amp;$AL11))</f>
        <v>0</v>
      </c>
      <c r="T11" s="120"/>
      <c r="U11" s="105" t="n">
        <f aca="false">IF(OR($AK11="",$AL11="",U$4=""),"",SUMIFS(m_fee,m_teacher,U$4,m_date,"&gt;="&amp;$AK11,m_date,"&lt;="&amp;$AL11))</f>
        <v>0</v>
      </c>
      <c r="V11" s="120"/>
      <c r="W11" s="105" t="n">
        <f aca="false">IF(OR($AK11="",$AL11="",W$4=""),"",SUMIFS(m_fee,m_teacher,W$4,m_date,"&gt;="&amp;$AK11,m_date,"&lt;="&amp;$AL11))</f>
        <v>0</v>
      </c>
      <c r="X11" s="120"/>
      <c r="Y11" s="105" t="n">
        <f aca="false">IF(OR($AK11="",$AL11="",Y$4=""),"",SUMIFS(m_fee,m_teacher,Y$4,m_date,"&gt;="&amp;$AK11,m_date,"&lt;="&amp;$AL11))</f>
        <v>0</v>
      </c>
      <c r="Z11" s="120"/>
      <c r="AA11" s="105" t="str">
        <f aca="false">IF(OR($AK11="",$AL11="",AA$4=""),"",SUMIFS(m_fee,m_teacher,AA$4,m_date,"&gt;="&amp;$AK11,m_date,"&lt;="&amp;$AL11))</f>
        <v/>
      </c>
      <c r="AB11" s="120"/>
      <c r="AC11" s="105" t="str">
        <f aca="false">IF(OR($AK11="",$AL11="",AC$4=""),"",SUMIFS(m_fee,m_teacher,AC$4,m_date,"&gt;="&amp;$AK11,m_date,"&lt;="&amp;$AL11))</f>
        <v/>
      </c>
      <c r="AD11" s="120"/>
      <c r="AE11" s="105" t="str">
        <f aca="false">IF(OR($AK11="",$AL11="",AE$4=""),"",SUMIFS(m_fee,m_teacher,AE$4,m_date,"&gt;="&amp;$AK11,m_date,"&lt;="&amp;$AL11))</f>
        <v/>
      </c>
      <c r="AF11" s="120"/>
      <c r="AG11" s="105" t="str">
        <f aca="false">IF(OR($AK11="",$AL11="",AG$4=""),"",SUMIFS(m_fee,m_teacher,AG$4,m_date,"&gt;="&amp;$AK11,m_date,"&lt;="&amp;$AL11))</f>
        <v/>
      </c>
      <c r="AH11" s="120"/>
      <c r="AI11" s="105" t="str">
        <f aca="false">IF(OR($AK11="",$AL11="",AI$4=""),"",SUMIFS(m_fee,m_teacher,AI$4,m_date,"&gt;="&amp;$AK11,m_date,"&lt;="&amp;$AL11))</f>
        <v/>
      </c>
      <c r="AJ11" s="120"/>
      <c r="AK11" s="121" t="n">
        <f aca="false">IF($K11="","",IFERROR(IF(ISNUMBER($K11),IF($K11&gt;19000000,DATE(INT($K11/10000),MOD(INT($K11/100),100),MOD($K11,100)),INT($K11)),IF(LEN(SUBSTITUTE(SUBSTITUTE(SUBSTITUTE(TRIM($K11),"-",""),".",""),"/",""))=8,DATE(VALUE(LEFT(SUBSTITUTE(SUBSTITUTE(SUBSTITUTE(TRIM($K11),"-",""),".",""),"/",""),4)),VALUE(MID(SUBSTITUTE(SUBSTITUTE(SUBSTITUTE(TRIM($K11),"-",""),".",""),"/",""),5,2)),VALUE(RIGHT(SUBSTITUTE(SUBSTITUTE(SUBSTITUTE(TRIM($K11),"-",""),".",""),"/",""),2))),DATEVALUE($K11))),""))</f>
        <v>46434</v>
      </c>
      <c r="AL11" s="121" t="n">
        <f aca="false">IF($L11="","",IFERROR(IF(ISNUMBER($L11),IF($L11&gt;19000000,DATE(INT($L11/10000),MOD(INT($L11/100),100),MOD($L11,100)),INT($L11)),IF(LEN(SUBSTITUTE(SUBSTITUTE(SUBSTITUTE(TRIM($L11),"-",""),".",""),"/",""))=8,DATE(VALUE(LEFT(SUBSTITUTE(SUBSTITUTE(SUBSTITUTE(TRIM($L11),"-",""),".",""),"/",""),4)),VALUE(MID(SUBSTITUTE(SUBSTITUTE(SUBSTITUTE(TRIM($L11),"-",""),".",""),"/",""),5,2)),VALUE(RIGHT(SUBSTITUTE(SUBSTITUTE(SUBSTITUTE(TRIM($L11),"-",""),".",""),"/",""),2))),DATEVALUE($L11))),""))</f>
        <v>46446</v>
      </c>
    </row>
    <row r="12" customFormat="false" ht="15" hidden="false" customHeight="false" outlineLevel="0" collapsed="false">
      <c r="A12" s="113" t="str">
        <f aca="false">IF(강사DB!A10="","",강사DB!A10)</f>
        <v>프리랜서B</v>
      </c>
      <c r="B12" s="114" t="str">
        <f aca="false">IF(강사DB!A10="","",IF(ISNUMBER(SEARCH("퇴사",강사DB!G10)),"퇴사",강사DB!B10))</f>
        <v>프리랜서</v>
      </c>
      <c r="C12" s="115" t="n">
        <f aca="false">IF($A12="","",COUNTIFS(m_teacher,$A12,m_name,"&lt;&gt;",m_status,"결제완료"))</f>
        <v>0</v>
      </c>
      <c r="D12" s="116" t="n">
        <f aca="false">IF($A12="","",SUMIFS(m_hours,m_teacher,$A12,m_name,"&lt;&gt;",m_status,"결제완료"))</f>
        <v>0</v>
      </c>
      <c r="E12" s="117" t="n">
        <f aca="false">IF($A12="","",SUMIFS(m_fee,m_teacher,$A12))</f>
        <v>0</v>
      </c>
      <c r="F12" s="117" t="n">
        <f aca="false">IF($A12="","",SUMIFS(m_fee,m_teacher,$A12,m_settle,"&gt;0"))</f>
        <v>0</v>
      </c>
      <c r="G12" s="118" t="n">
        <f aca="false">IF($A12="","",E12-F12)</f>
        <v>0</v>
      </c>
      <c r="J12" s="3" t="str">
        <f aca="false">IF($K12="","",ROW()-5&amp;"회차")</f>
        <v>7회차</v>
      </c>
      <c r="K12" s="119" t="n">
        <v>46447</v>
      </c>
      <c r="L12" s="119" t="n">
        <v>46461</v>
      </c>
      <c r="M12" s="105" t="n">
        <f aca="false">IF(OR($AK12="",$AL12="",M$4=""),"",SUMIFS(m_fee,m_teacher,M$4,m_date,"&gt;="&amp;$AK12,m_date,"&lt;="&amp;$AL12))</f>
        <v>0</v>
      </c>
      <c r="N12" s="120"/>
      <c r="O12" s="105" t="n">
        <f aca="false">IF(OR($AK12="",$AL12="",O$4=""),"",SUMIFS(m_fee,m_teacher,O$4,m_date,"&gt;="&amp;$AK12,m_date,"&lt;="&amp;$AL12))</f>
        <v>0</v>
      </c>
      <c r="P12" s="120"/>
      <c r="Q12" s="105" t="n">
        <f aca="false">IF(OR($AK12="",$AL12="",Q$4=""),"",SUMIFS(m_fee,m_teacher,Q$4,m_date,"&gt;="&amp;$AK12,m_date,"&lt;="&amp;$AL12))</f>
        <v>0</v>
      </c>
      <c r="R12" s="120"/>
      <c r="S12" s="105" t="n">
        <f aca="false">IF(OR($AK12="",$AL12="",S$4=""),"",SUMIFS(m_fee,m_teacher,S$4,m_date,"&gt;="&amp;$AK12,m_date,"&lt;="&amp;$AL12))</f>
        <v>0</v>
      </c>
      <c r="T12" s="120"/>
      <c r="U12" s="105" t="n">
        <f aca="false">IF(OR($AK12="",$AL12="",U$4=""),"",SUMIFS(m_fee,m_teacher,U$4,m_date,"&gt;="&amp;$AK12,m_date,"&lt;="&amp;$AL12))</f>
        <v>0</v>
      </c>
      <c r="V12" s="120"/>
      <c r="W12" s="105" t="n">
        <f aca="false">IF(OR($AK12="",$AL12="",W$4=""),"",SUMIFS(m_fee,m_teacher,W$4,m_date,"&gt;="&amp;$AK12,m_date,"&lt;="&amp;$AL12))</f>
        <v>0</v>
      </c>
      <c r="X12" s="120"/>
      <c r="Y12" s="105" t="n">
        <f aca="false">IF(OR($AK12="",$AL12="",Y$4=""),"",SUMIFS(m_fee,m_teacher,Y$4,m_date,"&gt;="&amp;$AK12,m_date,"&lt;="&amp;$AL12))</f>
        <v>0</v>
      </c>
      <c r="Z12" s="120"/>
      <c r="AA12" s="105" t="str">
        <f aca="false">IF(OR($AK12="",$AL12="",AA$4=""),"",SUMIFS(m_fee,m_teacher,AA$4,m_date,"&gt;="&amp;$AK12,m_date,"&lt;="&amp;$AL12))</f>
        <v/>
      </c>
      <c r="AB12" s="120"/>
      <c r="AC12" s="105" t="str">
        <f aca="false">IF(OR($AK12="",$AL12="",AC$4=""),"",SUMIFS(m_fee,m_teacher,AC$4,m_date,"&gt;="&amp;$AK12,m_date,"&lt;="&amp;$AL12))</f>
        <v/>
      </c>
      <c r="AD12" s="120"/>
      <c r="AE12" s="105" t="str">
        <f aca="false">IF(OR($AK12="",$AL12="",AE$4=""),"",SUMIFS(m_fee,m_teacher,AE$4,m_date,"&gt;="&amp;$AK12,m_date,"&lt;="&amp;$AL12))</f>
        <v/>
      </c>
      <c r="AF12" s="120"/>
      <c r="AG12" s="105" t="str">
        <f aca="false">IF(OR($AK12="",$AL12="",AG$4=""),"",SUMIFS(m_fee,m_teacher,AG$4,m_date,"&gt;="&amp;$AK12,m_date,"&lt;="&amp;$AL12))</f>
        <v/>
      </c>
      <c r="AH12" s="120"/>
      <c r="AI12" s="105" t="str">
        <f aca="false">IF(OR($AK12="",$AL12="",AI$4=""),"",SUMIFS(m_fee,m_teacher,AI$4,m_date,"&gt;="&amp;$AK12,m_date,"&lt;="&amp;$AL12))</f>
        <v/>
      </c>
      <c r="AJ12" s="120"/>
      <c r="AK12" s="121" t="n">
        <f aca="false">IF($K12="","",IFERROR(IF(ISNUMBER($K12),IF($K12&gt;19000000,DATE(INT($K12/10000),MOD(INT($K12/100),100),MOD($K12,100)),INT($K12)),IF(LEN(SUBSTITUTE(SUBSTITUTE(SUBSTITUTE(TRIM($K12),"-",""),".",""),"/",""))=8,DATE(VALUE(LEFT(SUBSTITUTE(SUBSTITUTE(SUBSTITUTE(TRIM($K12),"-",""),".",""),"/",""),4)),VALUE(MID(SUBSTITUTE(SUBSTITUTE(SUBSTITUTE(TRIM($K12),"-",""),".",""),"/",""),5,2)),VALUE(RIGHT(SUBSTITUTE(SUBSTITUTE(SUBSTITUTE(TRIM($K12),"-",""),".",""),"/",""),2))),DATEVALUE($K12))),""))</f>
        <v>46447</v>
      </c>
      <c r="AL12" s="121" t="n">
        <f aca="false">IF($L12="","",IFERROR(IF(ISNUMBER($L12),IF($L12&gt;19000000,DATE(INT($L12/10000),MOD(INT($L12/100),100),MOD($L12,100)),INT($L12)),IF(LEN(SUBSTITUTE(SUBSTITUTE(SUBSTITUTE(TRIM($L12),"-",""),".",""),"/",""))=8,DATE(VALUE(LEFT(SUBSTITUTE(SUBSTITUTE(SUBSTITUTE(TRIM($L12),"-",""),".",""),"/",""),4)),VALUE(MID(SUBSTITUTE(SUBSTITUTE(SUBSTITUTE(TRIM($L12),"-",""),".",""),"/",""),5,2)),VALUE(RIGHT(SUBSTITUTE(SUBSTITUTE(SUBSTITUTE(TRIM($L12),"-",""),".",""),"/",""),2))),DATEVALUE($L12))),""))</f>
        <v>46461</v>
      </c>
    </row>
    <row r="13" customFormat="false" ht="15" hidden="false" customHeight="false" outlineLevel="0" collapsed="false">
      <c r="A13" s="113" t="str">
        <f aca="false">IF(강사DB!A11="","",강사DB!A11)</f>
        <v/>
      </c>
      <c r="B13" s="114" t="str">
        <f aca="false">IF(강사DB!A11="","",IF(ISNUMBER(SEARCH("퇴사",강사DB!G11)),"퇴사",강사DB!B11))</f>
        <v/>
      </c>
      <c r="C13" s="115" t="str">
        <f aca="false">IF($A13="","",COUNTIFS(m_teacher,$A13,m_name,"&lt;&gt;",m_status,"결제완료"))</f>
        <v/>
      </c>
      <c r="D13" s="116" t="str">
        <f aca="false">IF($A13="","",SUMIFS(m_hours,m_teacher,$A13,m_name,"&lt;&gt;",m_status,"결제완료"))</f>
        <v/>
      </c>
      <c r="E13" s="117" t="str">
        <f aca="false">IF($A13="","",SUMIFS(m_fee,m_teacher,$A13))</f>
        <v/>
      </c>
      <c r="F13" s="117" t="str">
        <f aca="false">IF($A13="","",SUMIFS(m_fee,m_teacher,$A13,m_settle,"&gt;0"))</f>
        <v/>
      </c>
      <c r="G13" s="118" t="str">
        <f aca="false">IF($A13="","",E13-F13)</f>
        <v/>
      </c>
      <c r="J13" s="3" t="str">
        <f aca="false">IF($K13="","",ROW()-5&amp;"회차")</f>
        <v>8회차</v>
      </c>
      <c r="K13" s="119" t="n">
        <v>46462</v>
      </c>
      <c r="L13" s="119" t="n">
        <v>46477</v>
      </c>
      <c r="M13" s="105" t="n">
        <f aca="false">IF(OR($AK13="",$AL13="",M$4=""),"",SUMIFS(m_fee,m_teacher,M$4,m_date,"&gt;="&amp;$AK13,m_date,"&lt;="&amp;$AL13))</f>
        <v>0</v>
      </c>
      <c r="N13" s="120"/>
      <c r="O13" s="105" t="n">
        <f aca="false">IF(OR($AK13="",$AL13="",O$4=""),"",SUMIFS(m_fee,m_teacher,O$4,m_date,"&gt;="&amp;$AK13,m_date,"&lt;="&amp;$AL13))</f>
        <v>0</v>
      </c>
      <c r="P13" s="120"/>
      <c r="Q13" s="105" t="n">
        <f aca="false">IF(OR($AK13="",$AL13="",Q$4=""),"",SUMIFS(m_fee,m_teacher,Q$4,m_date,"&gt;="&amp;$AK13,m_date,"&lt;="&amp;$AL13))</f>
        <v>0</v>
      </c>
      <c r="R13" s="120"/>
      <c r="S13" s="105" t="n">
        <f aca="false">IF(OR($AK13="",$AL13="",S$4=""),"",SUMIFS(m_fee,m_teacher,S$4,m_date,"&gt;="&amp;$AK13,m_date,"&lt;="&amp;$AL13))</f>
        <v>0</v>
      </c>
      <c r="T13" s="120"/>
      <c r="U13" s="105" t="n">
        <f aca="false">IF(OR($AK13="",$AL13="",U$4=""),"",SUMIFS(m_fee,m_teacher,U$4,m_date,"&gt;="&amp;$AK13,m_date,"&lt;="&amp;$AL13))</f>
        <v>0</v>
      </c>
      <c r="V13" s="120"/>
      <c r="W13" s="105" t="n">
        <f aca="false">IF(OR($AK13="",$AL13="",W$4=""),"",SUMIFS(m_fee,m_teacher,W$4,m_date,"&gt;="&amp;$AK13,m_date,"&lt;="&amp;$AL13))</f>
        <v>0</v>
      </c>
      <c r="X13" s="120"/>
      <c r="Y13" s="105" t="n">
        <f aca="false">IF(OR($AK13="",$AL13="",Y$4=""),"",SUMIFS(m_fee,m_teacher,Y$4,m_date,"&gt;="&amp;$AK13,m_date,"&lt;="&amp;$AL13))</f>
        <v>0</v>
      </c>
      <c r="Z13" s="120"/>
      <c r="AA13" s="105" t="str">
        <f aca="false">IF(OR($AK13="",$AL13="",AA$4=""),"",SUMIFS(m_fee,m_teacher,AA$4,m_date,"&gt;="&amp;$AK13,m_date,"&lt;="&amp;$AL13))</f>
        <v/>
      </c>
      <c r="AB13" s="120"/>
      <c r="AC13" s="105" t="str">
        <f aca="false">IF(OR($AK13="",$AL13="",AC$4=""),"",SUMIFS(m_fee,m_teacher,AC$4,m_date,"&gt;="&amp;$AK13,m_date,"&lt;="&amp;$AL13))</f>
        <v/>
      </c>
      <c r="AD13" s="120"/>
      <c r="AE13" s="105" t="str">
        <f aca="false">IF(OR($AK13="",$AL13="",AE$4=""),"",SUMIFS(m_fee,m_teacher,AE$4,m_date,"&gt;="&amp;$AK13,m_date,"&lt;="&amp;$AL13))</f>
        <v/>
      </c>
      <c r="AF13" s="120"/>
      <c r="AG13" s="105" t="str">
        <f aca="false">IF(OR($AK13="",$AL13="",AG$4=""),"",SUMIFS(m_fee,m_teacher,AG$4,m_date,"&gt;="&amp;$AK13,m_date,"&lt;="&amp;$AL13))</f>
        <v/>
      </c>
      <c r="AH13" s="120"/>
      <c r="AI13" s="105" t="str">
        <f aca="false">IF(OR($AK13="",$AL13="",AI$4=""),"",SUMIFS(m_fee,m_teacher,AI$4,m_date,"&gt;="&amp;$AK13,m_date,"&lt;="&amp;$AL13))</f>
        <v/>
      </c>
      <c r="AJ13" s="120"/>
      <c r="AK13" s="121" t="n">
        <f aca="false">IF($K13="","",IFERROR(IF(ISNUMBER($K13),IF($K13&gt;19000000,DATE(INT($K13/10000),MOD(INT($K13/100),100),MOD($K13,100)),INT($K13)),IF(LEN(SUBSTITUTE(SUBSTITUTE(SUBSTITUTE(TRIM($K13),"-",""),".",""),"/",""))=8,DATE(VALUE(LEFT(SUBSTITUTE(SUBSTITUTE(SUBSTITUTE(TRIM($K13),"-",""),".",""),"/",""),4)),VALUE(MID(SUBSTITUTE(SUBSTITUTE(SUBSTITUTE(TRIM($K13),"-",""),".",""),"/",""),5,2)),VALUE(RIGHT(SUBSTITUTE(SUBSTITUTE(SUBSTITUTE(TRIM($K13),"-",""),".",""),"/",""),2))),DATEVALUE($K13))),""))</f>
        <v>46462</v>
      </c>
      <c r="AL13" s="121" t="n">
        <f aca="false">IF($L13="","",IFERROR(IF(ISNUMBER($L13),IF($L13&gt;19000000,DATE(INT($L13/10000),MOD(INT($L13/100),100),MOD($L13,100)),INT($L13)),IF(LEN(SUBSTITUTE(SUBSTITUTE(SUBSTITUTE(TRIM($L13),"-",""),".",""),"/",""))=8,DATE(VALUE(LEFT(SUBSTITUTE(SUBSTITUTE(SUBSTITUTE(TRIM($L13),"-",""),".",""),"/",""),4)),VALUE(MID(SUBSTITUTE(SUBSTITUTE(SUBSTITUTE(TRIM($L13),"-",""),".",""),"/",""),5,2)),VALUE(RIGHT(SUBSTITUTE(SUBSTITUTE(SUBSTITUTE(TRIM($L13),"-",""),".",""),"/",""),2))),DATEVALUE($L13))),""))</f>
        <v>46477</v>
      </c>
    </row>
    <row r="14" customFormat="false" ht="15" hidden="false" customHeight="false" outlineLevel="0" collapsed="false">
      <c r="A14" s="113" t="str">
        <f aca="false">IF(강사DB!A12="","",강사DB!A12)</f>
        <v/>
      </c>
      <c r="B14" s="114" t="str">
        <f aca="false">IF(강사DB!A12="","",IF(ISNUMBER(SEARCH("퇴사",강사DB!G12)),"퇴사",강사DB!B12))</f>
        <v/>
      </c>
      <c r="C14" s="115" t="str">
        <f aca="false">IF($A14="","",COUNTIFS(m_teacher,$A14,m_name,"&lt;&gt;",m_status,"결제완료"))</f>
        <v/>
      </c>
      <c r="D14" s="116" t="str">
        <f aca="false">IF($A14="","",SUMIFS(m_hours,m_teacher,$A14,m_name,"&lt;&gt;",m_status,"결제완료"))</f>
        <v/>
      </c>
      <c r="E14" s="117" t="str">
        <f aca="false">IF($A14="","",SUMIFS(m_fee,m_teacher,$A14))</f>
        <v/>
      </c>
      <c r="F14" s="117" t="str">
        <f aca="false">IF($A14="","",SUMIFS(m_fee,m_teacher,$A14,m_settle,"&gt;0"))</f>
        <v/>
      </c>
      <c r="G14" s="118" t="str">
        <f aca="false">IF($A14="","",E14-F14)</f>
        <v/>
      </c>
      <c r="J14" s="3" t="str">
        <f aca="false">IF($K14="","",ROW()-5&amp;"회차")</f>
        <v/>
      </c>
      <c r="K14" s="119"/>
      <c r="L14" s="119"/>
      <c r="M14" s="105" t="str">
        <f aca="false">IF(OR($AK14="",$AL14="",M$4=""),"",SUMIFS(m_fee,m_teacher,M$4,m_date,"&gt;="&amp;$AK14,m_date,"&lt;="&amp;$AL14))</f>
        <v/>
      </c>
      <c r="N14" s="120"/>
      <c r="O14" s="105" t="str">
        <f aca="false">IF(OR($AK14="",$AL14="",O$4=""),"",SUMIFS(m_fee,m_teacher,O$4,m_date,"&gt;="&amp;$AK14,m_date,"&lt;="&amp;$AL14))</f>
        <v/>
      </c>
      <c r="P14" s="120"/>
      <c r="Q14" s="105" t="str">
        <f aca="false">IF(OR($AK14="",$AL14="",Q$4=""),"",SUMIFS(m_fee,m_teacher,Q$4,m_date,"&gt;="&amp;$AK14,m_date,"&lt;="&amp;$AL14))</f>
        <v/>
      </c>
      <c r="R14" s="120"/>
      <c r="S14" s="105" t="str">
        <f aca="false">IF(OR($AK14="",$AL14="",S$4=""),"",SUMIFS(m_fee,m_teacher,S$4,m_date,"&gt;="&amp;$AK14,m_date,"&lt;="&amp;$AL14))</f>
        <v/>
      </c>
      <c r="T14" s="120"/>
      <c r="U14" s="105" t="str">
        <f aca="false">IF(OR($AK14="",$AL14="",U$4=""),"",SUMIFS(m_fee,m_teacher,U$4,m_date,"&gt;="&amp;$AK14,m_date,"&lt;="&amp;$AL14))</f>
        <v/>
      </c>
      <c r="V14" s="120"/>
      <c r="W14" s="105" t="str">
        <f aca="false">IF(OR($AK14="",$AL14="",W$4=""),"",SUMIFS(m_fee,m_teacher,W$4,m_date,"&gt;="&amp;$AK14,m_date,"&lt;="&amp;$AL14))</f>
        <v/>
      </c>
      <c r="X14" s="120"/>
      <c r="Y14" s="105" t="str">
        <f aca="false">IF(OR($AK14="",$AL14="",Y$4=""),"",SUMIFS(m_fee,m_teacher,Y$4,m_date,"&gt;="&amp;$AK14,m_date,"&lt;="&amp;$AL14))</f>
        <v/>
      </c>
      <c r="Z14" s="120"/>
      <c r="AA14" s="105" t="str">
        <f aca="false">IF(OR($AK14="",$AL14="",AA$4=""),"",SUMIFS(m_fee,m_teacher,AA$4,m_date,"&gt;="&amp;$AK14,m_date,"&lt;="&amp;$AL14))</f>
        <v/>
      </c>
      <c r="AB14" s="120"/>
      <c r="AC14" s="105" t="str">
        <f aca="false">IF(OR($AK14="",$AL14="",AC$4=""),"",SUMIFS(m_fee,m_teacher,AC$4,m_date,"&gt;="&amp;$AK14,m_date,"&lt;="&amp;$AL14))</f>
        <v/>
      </c>
      <c r="AD14" s="120"/>
      <c r="AE14" s="105" t="str">
        <f aca="false">IF(OR($AK14="",$AL14="",AE$4=""),"",SUMIFS(m_fee,m_teacher,AE$4,m_date,"&gt;="&amp;$AK14,m_date,"&lt;="&amp;$AL14))</f>
        <v/>
      </c>
      <c r="AF14" s="120"/>
      <c r="AG14" s="105" t="str">
        <f aca="false">IF(OR($AK14="",$AL14="",AG$4=""),"",SUMIFS(m_fee,m_teacher,AG$4,m_date,"&gt;="&amp;$AK14,m_date,"&lt;="&amp;$AL14))</f>
        <v/>
      </c>
      <c r="AH14" s="120"/>
      <c r="AI14" s="105" t="str">
        <f aca="false">IF(OR($AK14="",$AL14="",AI$4=""),"",SUMIFS(m_fee,m_teacher,AI$4,m_date,"&gt;="&amp;$AK14,m_date,"&lt;="&amp;$AL14))</f>
        <v/>
      </c>
      <c r="AJ14" s="120"/>
      <c r="AK14" s="0" t="str">
        <f aca="false">IF($K14="","",IFERROR(IF(ISNUMBER($K14),IF($K14&gt;19000000,DATE(INT($K14/10000),MOD(INT($K14/100),100),MOD($K14,100)),INT($K14)),IF(LEN(SUBSTITUTE(SUBSTITUTE(SUBSTITUTE(TRIM($K14),"-",""),".",""),"/",""))=8,DATE(VALUE(LEFT(SUBSTITUTE(SUBSTITUTE(SUBSTITUTE(TRIM($K14),"-",""),".",""),"/",""),4)),VALUE(MID(SUBSTITUTE(SUBSTITUTE(SUBSTITUTE(TRIM($K14),"-",""),".",""),"/",""),5,2)),VALUE(RIGHT(SUBSTITUTE(SUBSTITUTE(SUBSTITUTE(TRIM($K14),"-",""),".",""),"/",""),2))),DATEVALUE($K14))),""))</f>
        <v/>
      </c>
      <c r="AL14" s="0" t="str">
        <f aca="false">IF($L14="","",IFERROR(IF(ISNUMBER($L14),IF($L14&gt;19000000,DATE(INT($L14/10000),MOD(INT($L14/100),100),MOD($L14,100)),INT($L14)),IF(LEN(SUBSTITUTE(SUBSTITUTE(SUBSTITUTE(TRIM($L14),"-",""),".",""),"/",""))=8,DATE(VALUE(LEFT(SUBSTITUTE(SUBSTITUTE(SUBSTITUTE(TRIM($L14),"-",""),".",""),"/",""),4)),VALUE(MID(SUBSTITUTE(SUBSTITUTE(SUBSTITUTE(TRIM($L14),"-",""),".",""),"/",""),5,2)),VALUE(RIGHT(SUBSTITUTE(SUBSTITUTE(SUBSTITUTE(TRIM($L14),"-",""),".",""),"/",""),2))),DATEVALUE($L14))),""))</f>
        <v/>
      </c>
    </row>
    <row r="15" customFormat="false" ht="15" hidden="false" customHeight="false" outlineLevel="0" collapsed="false">
      <c r="A15" s="113" t="str">
        <f aca="false">IF(강사DB!A13="","",강사DB!A13)</f>
        <v/>
      </c>
      <c r="B15" s="114" t="str">
        <f aca="false">IF(강사DB!A13="","",IF(ISNUMBER(SEARCH("퇴사",강사DB!G13)),"퇴사",강사DB!B13))</f>
        <v/>
      </c>
      <c r="C15" s="115" t="str">
        <f aca="false">IF($A15="","",COUNTIFS(m_teacher,$A15,m_name,"&lt;&gt;",m_status,"결제완료"))</f>
        <v/>
      </c>
      <c r="D15" s="116" t="str">
        <f aca="false">IF($A15="","",SUMIFS(m_hours,m_teacher,$A15,m_name,"&lt;&gt;",m_status,"결제완료"))</f>
        <v/>
      </c>
      <c r="E15" s="117" t="str">
        <f aca="false">IF($A15="","",SUMIFS(m_fee,m_teacher,$A15))</f>
        <v/>
      </c>
      <c r="F15" s="117" t="str">
        <f aca="false">IF($A15="","",SUMIFS(m_fee,m_teacher,$A15,m_settle,"&gt;0"))</f>
        <v/>
      </c>
      <c r="G15" s="118" t="str">
        <f aca="false">IF($A15="","",E15-F15)</f>
        <v/>
      </c>
      <c r="J15" s="3" t="str">
        <f aca="false">IF($K15="","",ROW()-5&amp;"회차")</f>
        <v/>
      </c>
      <c r="K15" s="119"/>
      <c r="L15" s="119"/>
      <c r="M15" s="105" t="str">
        <f aca="false">IF(OR($AK15="",$AL15="",M$4=""),"",SUMIFS(m_fee,m_teacher,M$4,m_date,"&gt;="&amp;$AK15,m_date,"&lt;="&amp;$AL15))</f>
        <v/>
      </c>
      <c r="N15" s="120"/>
      <c r="O15" s="105" t="str">
        <f aca="false">IF(OR($AK15="",$AL15="",O$4=""),"",SUMIFS(m_fee,m_teacher,O$4,m_date,"&gt;="&amp;$AK15,m_date,"&lt;="&amp;$AL15))</f>
        <v/>
      </c>
      <c r="P15" s="120"/>
      <c r="Q15" s="105" t="str">
        <f aca="false">IF(OR($AK15="",$AL15="",Q$4=""),"",SUMIFS(m_fee,m_teacher,Q$4,m_date,"&gt;="&amp;$AK15,m_date,"&lt;="&amp;$AL15))</f>
        <v/>
      </c>
      <c r="R15" s="120"/>
      <c r="S15" s="105" t="str">
        <f aca="false">IF(OR($AK15="",$AL15="",S$4=""),"",SUMIFS(m_fee,m_teacher,S$4,m_date,"&gt;="&amp;$AK15,m_date,"&lt;="&amp;$AL15))</f>
        <v/>
      </c>
      <c r="T15" s="120"/>
      <c r="U15" s="105" t="str">
        <f aca="false">IF(OR($AK15="",$AL15="",U$4=""),"",SUMIFS(m_fee,m_teacher,U$4,m_date,"&gt;="&amp;$AK15,m_date,"&lt;="&amp;$AL15))</f>
        <v/>
      </c>
      <c r="V15" s="120"/>
      <c r="W15" s="105" t="str">
        <f aca="false">IF(OR($AK15="",$AL15="",W$4=""),"",SUMIFS(m_fee,m_teacher,W$4,m_date,"&gt;="&amp;$AK15,m_date,"&lt;="&amp;$AL15))</f>
        <v/>
      </c>
      <c r="X15" s="120"/>
      <c r="Y15" s="105" t="str">
        <f aca="false">IF(OR($AK15="",$AL15="",Y$4=""),"",SUMIFS(m_fee,m_teacher,Y$4,m_date,"&gt;="&amp;$AK15,m_date,"&lt;="&amp;$AL15))</f>
        <v/>
      </c>
      <c r="Z15" s="120"/>
      <c r="AA15" s="105" t="str">
        <f aca="false">IF(OR($AK15="",$AL15="",AA$4=""),"",SUMIFS(m_fee,m_teacher,AA$4,m_date,"&gt;="&amp;$AK15,m_date,"&lt;="&amp;$AL15))</f>
        <v/>
      </c>
      <c r="AB15" s="120"/>
      <c r="AC15" s="105" t="str">
        <f aca="false">IF(OR($AK15="",$AL15="",AC$4=""),"",SUMIFS(m_fee,m_teacher,AC$4,m_date,"&gt;="&amp;$AK15,m_date,"&lt;="&amp;$AL15))</f>
        <v/>
      </c>
      <c r="AD15" s="120"/>
      <c r="AE15" s="105" t="str">
        <f aca="false">IF(OR($AK15="",$AL15="",AE$4=""),"",SUMIFS(m_fee,m_teacher,AE$4,m_date,"&gt;="&amp;$AK15,m_date,"&lt;="&amp;$AL15))</f>
        <v/>
      </c>
      <c r="AF15" s="120"/>
      <c r="AG15" s="105" t="str">
        <f aca="false">IF(OR($AK15="",$AL15="",AG$4=""),"",SUMIFS(m_fee,m_teacher,AG$4,m_date,"&gt;="&amp;$AK15,m_date,"&lt;="&amp;$AL15))</f>
        <v/>
      </c>
      <c r="AH15" s="120"/>
      <c r="AI15" s="105" t="str">
        <f aca="false">IF(OR($AK15="",$AL15="",AI$4=""),"",SUMIFS(m_fee,m_teacher,AI$4,m_date,"&gt;="&amp;$AK15,m_date,"&lt;="&amp;$AL15))</f>
        <v/>
      </c>
      <c r="AJ15" s="120"/>
      <c r="AK15" s="0" t="str">
        <f aca="false">IF($K15="","",IFERROR(IF(ISNUMBER($K15),IF($K15&gt;19000000,DATE(INT($K15/10000),MOD(INT($K15/100),100),MOD($K15,100)),INT($K15)),IF(LEN(SUBSTITUTE(SUBSTITUTE(SUBSTITUTE(TRIM($K15),"-",""),".",""),"/",""))=8,DATE(VALUE(LEFT(SUBSTITUTE(SUBSTITUTE(SUBSTITUTE(TRIM($K15),"-",""),".",""),"/",""),4)),VALUE(MID(SUBSTITUTE(SUBSTITUTE(SUBSTITUTE(TRIM($K15),"-",""),".",""),"/",""),5,2)),VALUE(RIGHT(SUBSTITUTE(SUBSTITUTE(SUBSTITUTE(TRIM($K15),"-",""),".",""),"/",""),2))),DATEVALUE($K15))),""))</f>
        <v/>
      </c>
      <c r="AL15" s="0" t="str">
        <f aca="false">IF($L15="","",IFERROR(IF(ISNUMBER($L15),IF($L15&gt;19000000,DATE(INT($L15/10000),MOD(INT($L15/100),100),MOD($L15,100)),INT($L15)),IF(LEN(SUBSTITUTE(SUBSTITUTE(SUBSTITUTE(TRIM($L15),"-",""),".",""),"/",""))=8,DATE(VALUE(LEFT(SUBSTITUTE(SUBSTITUTE(SUBSTITUTE(TRIM($L15),"-",""),".",""),"/",""),4)),VALUE(MID(SUBSTITUTE(SUBSTITUTE(SUBSTITUTE(TRIM($L15),"-",""),".",""),"/",""),5,2)),VALUE(RIGHT(SUBSTITUTE(SUBSTITUTE(SUBSTITUTE(TRIM($L15),"-",""),".",""),"/",""),2))),DATEVALUE($L15))),""))</f>
        <v/>
      </c>
    </row>
    <row r="16" customFormat="false" ht="15" hidden="false" customHeight="false" outlineLevel="0" collapsed="false">
      <c r="A16" s="113" t="str">
        <f aca="false">IF(강사DB!A14="","",강사DB!A14)</f>
        <v/>
      </c>
      <c r="B16" s="114" t="str">
        <f aca="false">IF(강사DB!A14="","",IF(ISNUMBER(SEARCH("퇴사",강사DB!G14)),"퇴사",강사DB!B14))</f>
        <v/>
      </c>
      <c r="C16" s="115" t="str">
        <f aca="false">IF($A16="","",COUNTIFS(m_teacher,$A16,m_name,"&lt;&gt;",m_status,"결제완료"))</f>
        <v/>
      </c>
      <c r="D16" s="116" t="str">
        <f aca="false">IF($A16="","",SUMIFS(m_hours,m_teacher,$A16,m_name,"&lt;&gt;",m_status,"결제완료"))</f>
        <v/>
      </c>
      <c r="E16" s="117" t="str">
        <f aca="false">IF($A16="","",SUMIFS(m_fee,m_teacher,$A16))</f>
        <v/>
      </c>
      <c r="F16" s="117" t="str">
        <f aca="false">IF($A16="","",SUMIFS(m_fee,m_teacher,$A16,m_settle,"&gt;0"))</f>
        <v/>
      </c>
      <c r="G16" s="118" t="str">
        <f aca="false">IF($A16="","",E16-F16)</f>
        <v/>
      </c>
      <c r="J16" s="3" t="str">
        <f aca="false">IF($K16="","",ROW()-5&amp;"회차")</f>
        <v/>
      </c>
      <c r="K16" s="119"/>
      <c r="L16" s="119"/>
      <c r="M16" s="105" t="str">
        <f aca="false">IF(OR($AK16="",$AL16="",M$4=""),"",SUMIFS(m_fee,m_teacher,M$4,m_date,"&gt;="&amp;$AK16,m_date,"&lt;="&amp;$AL16))</f>
        <v/>
      </c>
      <c r="N16" s="120"/>
      <c r="O16" s="105" t="str">
        <f aca="false">IF(OR($AK16="",$AL16="",O$4=""),"",SUMIFS(m_fee,m_teacher,O$4,m_date,"&gt;="&amp;$AK16,m_date,"&lt;="&amp;$AL16))</f>
        <v/>
      </c>
      <c r="P16" s="120"/>
      <c r="Q16" s="105" t="str">
        <f aca="false">IF(OR($AK16="",$AL16="",Q$4=""),"",SUMIFS(m_fee,m_teacher,Q$4,m_date,"&gt;="&amp;$AK16,m_date,"&lt;="&amp;$AL16))</f>
        <v/>
      </c>
      <c r="R16" s="120"/>
      <c r="S16" s="105" t="str">
        <f aca="false">IF(OR($AK16="",$AL16="",S$4=""),"",SUMIFS(m_fee,m_teacher,S$4,m_date,"&gt;="&amp;$AK16,m_date,"&lt;="&amp;$AL16))</f>
        <v/>
      </c>
      <c r="T16" s="120"/>
      <c r="U16" s="105" t="str">
        <f aca="false">IF(OR($AK16="",$AL16="",U$4=""),"",SUMIFS(m_fee,m_teacher,U$4,m_date,"&gt;="&amp;$AK16,m_date,"&lt;="&amp;$AL16))</f>
        <v/>
      </c>
      <c r="V16" s="120"/>
      <c r="W16" s="105" t="str">
        <f aca="false">IF(OR($AK16="",$AL16="",W$4=""),"",SUMIFS(m_fee,m_teacher,W$4,m_date,"&gt;="&amp;$AK16,m_date,"&lt;="&amp;$AL16))</f>
        <v/>
      </c>
      <c r="X16" s="120"/>
      <c r="Y16" s="105" t="str">
        <f aca="false">IF(OR($AK16="",$AL16="",Y$4=""),"",SUMIFS(m_fee,m_teacher,Y$4,m_date,"&gt;="&amp;$AK16,m_date,"&lt;="&amp;$AL16))</f>
        <v/>
      </c>
      <c r="Z16" s="120"/>
      <c r="AA16" s="105" t="str">
        <f aca="false">IF(OR($AK16="",$AL16="",AA$4=""),"",SUMIFS(m_fee,m_teacher,AA$4,m_date,"&gt;="&amp;$AK16,m_date,"&lt;="&amp;$AL16))</f>
        <v/>
      </c>
      <c r="AB16" s="120"/>
      <c r="AC16" s="105" t="str">
        <f aca="false">IF(OR($AK16="",$AL16="",AC$4=""),"",SUMIFS(m_fee,m_teacher,AC$4,m_date,"&gt;="&amp;$AK16,m_date,"&lt;="&amp;$AL16))</f>
        <v/>
      </c>
      <c r="AD16" s="120"/>
      <c r="AE16" s="105" t="str">
        <f aca="false">IF(OR($AK16="",$AL16="",AE$4=""),"",SUMIFS(m_fee,m_teacher,AE$4,m_date,"&gt;="&amp;$AK16,m_date,"&lt;="&amp;$AL16))</f>
        <v/>
      </c>
      <c r="AF16" s="120"/>
      <c r="AG16" s="105" t="str">
        <f aca="false">IF(OR($AK16="",$AL16="",AG$4=""),"",SUMIFS(m_fee,m_teacher,AG$4,m_date,"&gt;="&amp;$AK16,m_date,"&lt;="&amp;$AL16))</f>
        <v/>
      </c>
      <c r="AH16" s="120"/>
      <c r="AI16" s="105" t="str">
        <f aca="false">IF(OR($AK16="",$AL16="",AI$4=""),"",SUMIFS(m_fee,m_teacher,AI$4,m_date,"&gt;="&amp;$AK16,m_date,"&lt;="&amp;$AL16))</f>
        <v/>
      </c>
      <c r="AJ16" s="120"/>
      <c r="AK16" s="0" t="str">
        <f aca="false">IF($K16="","",IFERROR(IF(ISNUMBER($K16),IF($K16&gt;19000000,DATE(INT($K16/10000),MOD(INT($K16/100),100),MOD($K16,100)),INT($K16)),IF(LEN(SUBSTITUTE(SUBSTITUTE(SUBSTITUTE(TRIM($K16),"-",""),".",""),"/",""))=8,DATE(VALUE(LEFT(SUBSTITUTE(SUBSTITUTE(SUBSTITUTE(TRIM($K16),"-",""),".",""),"/",""),4)),VALUE(MID(SUBSTITUTE(SUBSTITUTE(SUBSTITUTE(TRIM($K16),"-",""),".",""),"/",""),5,2)),VALUE(RIGHT(SUBSTITUTE(SUBSTITUTE(SUBSTITUTE(TRIM($K16),"-",""),".",""),"/",""),2))),DATEVALUE($K16))),""))</f>
        <v/>
      </c>
      <c r="AL16" s="0" t="str">
        <f aca="false">IF($L16="","",IFERROR(IF(ISNUMBER($L16),IF($L16&gt;19000000,DATE(INT($L16/10000),MOD(INT($L16/100),100),MOD($L16,100)),INT($L16)),IF(LEN(SUBSTITUTE(SUBSTITUTE(SUBSTITUTE(TRIM($L16),"-",""),".",""),"/",""))=8,DATE(VALUE(LEFT(SUBSTITUTE(SUBSTITUTE(SUBSTITUTE(TRIM($L16),"-",""),".",""),"/",""),4)),VALUE(MID(SUBSTITUTE(SUBSTITUTE(SUBSTITUTE(TRIM($L16),"-",""),".",""),"/",""),5,2)),VALUE(RIGHT(SUBSTITUTE(SUBSTITUTE(SUBSTITUTE(TRIM($L16),"-",""),".",""),"/",""),2))),DATEVALUE($L16))),""))</f>
        <v/>
      </c>
    </row>
    <row r="17" customFormat="false" ht="15" hidden="false" customHeight="false" outlineLevel="0" collapsed="false">
      <c r="A17" s="113" t="str">
        <f aca="false">IF(강사DB!A15="","",강사DB!A15)</f>
        <v/>
      </c>
      <c r="B17" s="114" t="str">
        <f aca="false">IF(강사DB!A15="","",IF(ISNUMBER(SEARCH("퇴사",강사DB!G15)),"퇴사",강사DB!B15))</f>
        <v/>
      </c>
      <c r="C17" s="115" t="str">
        <f aca="false">IF($A17="","",COUNTIFS(m_teacher,$A17,m_name,"&lt;&gt;",m_status,"결제완료"))</f>
        <v/>
      </c>
      <c r="D17" s="116" t="str">
        <f aca="false">IF($A17="","",SUMIFS(m_hours,m_teacher,$A17,m_name,"&lt;&gt;",m_status,"결제완료"))</f>
        <v/>
      </c>
      <c r="E17" s="117" t="str">
        <f aca="false">IF($A17="","",SUMIFS(m_fee,m_teacher,$A17))</f>
        <v/>
      </c>
      <c r="F17" s="117" t="str">
        <f aca="false">IF($A17="","",SUMIFS(m_fee,m_teacher,$A17,m_settle,"&gt;0"))</f>
        <v/>
      </c>
      <c r="G17" s="118" t="str">
        <f aca="false">IF($A17="","",E17-F17)</f>
        <v/>
      </c>
      <c r="J17" s="3" t="str">
        <f aca="false">IF($K17="","",ROW()-5&amp;"회차")</f>
        <v/>
      </c>
      <c r="K17" s="119"/>
      <c r="L17" s="119"/>
      <c r="M17" s="105" t="str">
        <f aca="false">IF(OR($AK17="",$AL17="",M$4=""),"",SUMIFS(m_fee,m_teacher,M$4,m_date,"&gt;="&amp;$AK17,m_date,"&lt;="&amp;$AL17))</f>
        <v/>
      </c>
      <c r="N17" s="120"/>
      <c r="O17" s="105" t="str">
        <f aca="false">IF(OR($AK17="",$AL17="",O$4=""),"",SUMIFS(m_fee,m_teacher,O$4,m_date,"&gt;="&amp;$AK17,m_date,"&lt;="&amp;$AL17))</f>
        <v/>
      </c>
      <c r="P17" s="120"/>
      <c r="Q17" s="105" t="str">
        <f aca="false">IF(OR($AK17="",$AL17="",Q$4=""),"",SUMIFS(m_fee,m_teacher,Q$4,m_date,"&gt;="&amp;$AK17,m_date,"&lt;="&amp;$AL17))</f>
        <v/>
      </c>
      <c r="R17" s="120"/>
      <c r="S17" s="105" t="str">
        <f aca="false">IF(OR($AK17="",$AL17="",S$4=""),"",SUMIFS(m_fee,m_teacher,S$4,m_date,"&gt;="&amp;$AK17,m_date,"&lt;="&amp;$AL17))</f>
        <v/>
      </c>
      <c r="T17" s="120"/>
      <c r="U17" s="105" t="str">
        <f aca="false">IF(OR($AK17="",$AL17="",U$4=""),"",SUMIFS(m_fee,m_teacher,U$4,m_date,"&gt;="&amp;$AK17,m_date,"&lt;="&amp;$AL17))</f>
        <v/>
      </c>
      <c r="V17" s="120"/>
      <c r="W17" s="105" t="str">
        <f aca="false">IF(OR($AK17="",$AL17="",W$4=""),"",SUMIFS(m_fee,m_teacher,W$4,m_date,"&gt;="&amp;$AK17,m_date,"&lt;="&amp;$AL17))</f>
        <v/>
      </c>
      <c r="X17" s="120"/>
      <c r="Y17" s="105" t="str">
        <f aca="false">IF(OR($AK17="",$AL17="",Y$4=""),"",SUMIFS(m_fee,m_teacher,Y$4,m_date,"&gt;="&amp;$AK17,m_date,"&lt;="&amp;$AL17))</f>
        <v/>
      </c>
      <c r="Z17" s="120"/>
      <c r="AA17" s="105" t="str">
        <f aca="false">IF(OR($AK17="",$AL17="",AA$4=""),"",SUMIFS(m_fee,m_teacher,AA$4,m_date,"&gt;="&amp;$AK17,m_date,"&lt;="&amp;$AL17))</f>
        <v/>
      </c>
      <c r="AB17" s="120"/>
      <c r="AC17" s="105" t="str">
        <f aca="false">IF(OR($AK17="",$AL17="",AC$4=""),"",SUMIFS(m_fee,m_teacher,AC$4,m_date,"&gt;="&amp;$AK17,m_date,"&lt;="&amp;$AL17))</f>
        <v/>
      </c>
      <c r="AD17" s="120"/>
      <c r="AE17" s="105" t="str">
        <f aca="false">IF(OR($AK17="",$AL17="",AE$4=""),"",SUMIFS(m_fee,m_teacher,AE$4,m_date,"&gt;="&amp;$AK17,m_date,"&lt;="&amp;$AL17))</f>
        <v/>
      </c>
      <c r="AF17" s="120"/>
      <c r="AG17" s="105" t="str">
        <f aca="false">IF(OR($AK17="",$AL17="",AG$4=""),"",SUMIFS(m_fee,m_teacher,AG$4,m_date,"&gt;="&amp;$AK17,m_date,"&lt;="&amp;$AL17))</f>
        <v/>
      </c>
      <c r="AH17" s="120"/>
      <c r="AI17" s="105" t="str">
        <f aca="false">IF(OR($AK17="",$AL17="",AI$4=""),"",SUMIFS(m_fee,m_teacher,AI$4,m_date,"&gt;="&amp;$AK17,m_date,"&lt;="&amp;$AL17))</f>
        <v/>
      </c>
      <c r="AJ17" s="120"/>
      <c r="AK17" s="0" t="str">
        <f aca="false">IF($K17="","",IFERROR(IF(ISNUMBER($K17),IF($K17&gt;19000000,DATE(INT($K17/10000),MOD(INT($K17/100),100),MOD($K17,100)),INT($K17)),IF(LEN(SUBSTITUTE(SUBSTITUTE(SUBSTITUTE(TRIM($K17),"-",""),".",""),"/",""))=8,DATE(VALUE(LEFT(SUBSTITUTE(SUBSTITUTE(SUBSTITUTE(TRIM($K17),"-",""),".",""),"/",""),4)),VALUE(MID(SUBSTITUTE(SUBSTITUTE(SUBSTITUTE(TRIM($K17),"-",""),".",""),"/",""),5,2)),VALUE(RIGHT(SUBSTITUTE(SUBSTITUTE(SUBSTITUTE(TRIM($K17),"-",""),".",""),"/",""),2))),DATEVALUE($K17))),""))</f>
        <v/>
      </c>
      <c r="AL17" s="0" t="str">
        <f aca="false">IF($L17="","",IFERROR(IF(ISNUMBER($L17),IF($L17&gt;19000000,DATE(INT($L17/10000),MOD(INT($L17/100),100),MOD($L17,100)),INT($L17)),IF(LEN(SUBSTITUTE(SUBSTITUTE(SUBSTITUTE(TRIM($L17),"-",""),".",""),"/",""))=8,DATE(VALUE(LEFT(SUBSTITUTE(SUBSTITUTE(SUBSTITUTE(TRIM($L17),"-",""),".",""),"/",""),4)),VALUE(MID(SUBSTITUTE(SUBSTITUTE(SUBSTITUTE(TRIM($L17),"-",""),".",""),"/",""),5,2)),VALUE(RIGHT(SUBSTITUTE(SUBSTITUTE(SUBSTITUTE(TRIM($L17),"-",""),".",""),"/",""),2))),DATEVALUE($L17))),""))</f>
        <v/>
      </c>
    </row>
    <row r="18" customFormat="false" ht="15" hidden="false" customHeight="false" outlineLevel="0" collapsed="false">
      <c r="A18" s="113" t="str">
        <f aca="false">IF(강사DB!A16="","",강사DB!A16)</f>
        <v/>
      </c>
      <c r="B18" s="114" t="str">
        <f aca="false">IF(강사DB!A16="","",IF(ISNUMBER(SEARCH("퇴사",강사DB!G16)),"퇴사",강사DB!B16))</f>
        <v/>
      </c>
      <c r="C18" s="115" t="str">
        <f aca="false">IF($A18="","",COUNTIFS(m_teacher,$A18,m_name,"&lt;&gt;",m_status,"결제완료"))</f>
        <v/>
      </c>
      <c r="D18" s="116" t="str">
        <f aca="false">IF($A18="","",SUMIFS(m_hours,m_teacher,$A18,m_name,"&lt;&gt;",m_status,"결제완료"))</f>
        <v/>
      </c>
      <c r="E18" s="117" t="str">
        <f aca="false">IF($A18="","",SUMIFS(m_fee,m_teacher,$A18))</f>
        <v/>
      </c>
      <c r="F18" s="117" t="str">
        <f aca="false">IF($A18="","",SUMIFS(m_fee,m_teacher,$A18,m_settle,"&gt;0"))</f>
        <v/>
      </c>
      <c r="G18" s="118" t="str">
        <f aca="false">IF($A18="","",E18-F18)</f>
        <v/>
      </c>
      <c r="J18" s="3" t="str">
        <f aca="false">IF($K18="","",ROW()-5&amp;"회차")</f>
        <v/>
      </c>
      <c r="K18" s="119"/>
      <c r="L18" s="119"/>
      <c r="M18" s="105" t="str">
        <f aca="false">IF(OR($AK18="",$AL18="",M$4=""),"",SUMIFS(m_fee,m_teacher,M$4,m_date,"&gt;="&amp;$AK18,m_date,"&lt;="&amp;$AL18))</f>
        <v/>
      </c>
      <c r="N18" s="120"/>
      <c r="O18" s="105" t="str">
        <f aca="false">IF(OR($AK18="",$AL18="",O$4=""),"",SUMIFS(m_fee,m_teacher,O$4,m_date,"&gt;="&amp;$AK18,m_date,"&lt;="&amp;$AL18))</f>
        <v/>
      </c>
      <c r="P18" s="120"/>
      <c r="Q18" s="105" t="str">
        <f aca="false">IF(OR($AK18="",$AL18="",Q$4=""),"",SUMIFS(m_fee,m_teacher,Q$4,m_date,"&gt;="&amp;$AK18,m_date,"&lt;="&amp;$AL18))</f>
        <v/>
      </c>
      <c r="R18" s="120"/>
      <c r="S18" s="105" t="str">
        <f aca="false">IF(OR($AK18="",$AL18="",S$4=""),"",SUMIFS(m_fee,m_teacher,S$4,m_date,"&gt;="&amp;$AK18,m_date,"&lt;="&amp;$AL18))</f>
        <v/>
      </c>
      <c r="T18" s="120"/>
      <c r="U18" s="105" t="str">
        <f aca="false">IF(OR($AK18="",$AL18="",U$4=""),"",SUMIFS(m_fee,m_teacher,U$4,m_date,"&gt;="&amp;$AK18,m_date,"&lt;="&amp;$AL18))</f>
        <v/>
      </c>
      <c r="V18" s="120"/>
      <c r="W18" s="105" t="str">
        <f aca="false">IF(OR($AK18="",$AL18="",W$4=""),"",SUMIFS(m_fee,m_teacher,W$4,m_date,"&gt;="&amp;$AK18,m_date,"&lt;="&amp;$AL18))</f>
        <v/>
      </c>
      <c r="X18" s="120"/>
      <c r="Y18" s="105" t="str">
        <f aca="false">IF(OR($AK18="",$AL18="",Y$4=""),"",SUMIFS(m_fee,m_teacher,Y$4,m_date,"&gt;="&amp;$AK18,m_date,"&lt;="&amp;$AL18))</f>
        <v/>
      </c>
      <c r="Z18" s="120"/>
      <c r="AA18" s="105" t="str">
        <f aca="false">IF(OR($AK18="",$AL18="",AA$4=""),"",SUMIFS(m_fee,m_teacher,AA$4,m_date,"&gt;="&amp;$AK18,m_date,"&lt;="&amp;$AL18))</f>
        <v/>
      </c>
      <c r="AB18" s="120"/>
      <c r="AC18" s="105" t="str">
        <f aca="false">IF(OR($AK18="",$AL18="",AC$4=""),"",SUMIFS(m_fee,m_teacher,AC$4,m_date,"&gt;="&amp;$AK18,m_date,"&lt;="&amp;$AL18))</f>
        <v/>
      </c>
      <c r="AD18" s="120"/>
      <c r="AE18" s="105" t="str">
        <f aca="false">IF(OR($AK18="",$AL18="",AE$4=""),"",SUMIFS(m_fee,m_teacher,AE$4,m_date,"&gt;="&amp;$AK18,m_date,"&lt;="&amp;$AL18))</f>
        <v/>
      </c>
      <c r="AF18" s="120"/>
      <c r="AG18" s="105" t="str">
        <f aca="false">IF(OR($AK18="",$AL18="",AG$4=""),"",SUMIFS(m_fee,m_teacher,AG$4,m_date,"&gt;="&amp;$AK18,m_date,"&lt;="&amp;$AL18))</f>
        <v/>
      </c>
      <c r="AH18" s="120"/>
      <c r="AI18" s="105" t="str">
        <f aca="false">IF(OR($AK18="",$AL18="",AI$4=""),"",SUMIFS(m_fee,m_teacher,AI$4,m_date,"&gt;="&amp;$AK18,m_date,"&lt;="&amp;$AL18))</f>
        <v/>
      </c>
      <c r="AJ18" s="120"/>
      <c r="AK18" s="0" t="str">
        <f aca="false">IF($K18="","",IFERROR(IF(ISNUMBER($K18),IF($K18&gt;19000000,DATE(INT($K18/10000),MOD(INT($K18/100),100),MOD($K18,100)),INT($K18)),IF(LEN(SUBSTITUTE(SUBSTITUTE(SUBSTITUTE(TRIM($K18),"-",""),".",""),"/",""))=8,DATE(VALUE(LEFT(SUBSTITUTE(SUBSTITUTE(SUBSTITUTE(TRIM($K18),"-",""),".",""),"/",""),4)),VALUE(MID(SUBSTITUTE(SUBSTITUTE(SUBSTITUTE(TRIM($K18),"-",""),".",""),"/",""),5,2)),VALUE(RIGHT(SUBSTITUTE(SUBSTITUTE(SUBSTITUTE(TRIM($K18),"-",""),".",""),"/",""),2))),DATEVALUE($K18))),""))</f>
        <v/>
      </c>
      <c r="AL18" s="0" t="str">
        <f aca="false">IF($L18="","",IFERROR(IF(ISNUMBER($L18),IF($L18&gt;19000000,DATE(INT($L18/10000),MOD(INT($L18/100),100),MOD($L18,100)),INT($L18)),IF(LEN(SUBSTITUTE(SUBSTITUTE(SUBSTITUTE(TRIM($L18),"-",""),".",""),"/",""))=8,DATE(VALUE(LEFT(SUBSTITUTE(SUBSTITUTE(SUBSTITUTE(TRIM($L18),"-",""),".",""),"/",""),4)),VALUE(MID(SUBSTITUTE(SUBSTITUTE(SUBSTITUTE(TRIM($L18),"-",""),".",""),"/",""),5,2)),VALUE(RIGHT(SUBSTITUTE(SUBSTITUTE(SUBSTITUTE(TRIM($L18),"-",""),".",""),"/",""),2))),DATEVALUE($L18))),""))</f>
        <v/>
      </c>
    </row>
    <row r="19" customFormat="false" ht="15" hidden="false" customHeight="false" outlineLevel="0" collapsed="false">
      <c r="A19" s="113" t="str">
        <f aca="false">IF(강사DB!A17="","",강사DB!A17)</f>
        <v/>
      </c>
      <c r="B19" s="114" t="str">
        <f aca="false">IF(강사DB!A17="","",IF(ISNUMBER(SEARCH("퇴사",강사DB!G17)),"퇴사",강사DB!B17))</f>
        <v/>
      </c>
      <c r="C19" s="115" t="str">
        <f aca="false">IF($A19="","",COUNTIFS(m_teacher,$A19,m_name,"&lt;&gt;",m_status,"결제완료"))</f>
        <v/>
      </c>
      <c r="D19" s="116" t="str">
        <f aca="false">IF($A19="","",SUMIFS(m_hours,m_teacher,$A19,m_name,"&lt;&gt;",m_status,"결제완료"))</f>
        <v/>
      </c>
      <c r="E19" s="117" t="str">
        <f aca="false">IF($A19="","",SUMIFS(m_fee,m_teacher,$A19))</f>
        <v/>
      </c>
      <c r="F19" s="117" t="str">
        <f aca="false">IF($A19="","",SUMIFS(m_fee,m_teacher,$A19,m_settle,"&gt;0"))</f>
        <v/>
      </c>
      <c r="G19" s="118" t="str">
        <f aca="false">IF($A19="","",E19-F19)</f>
        <v/>
      </c>
      <c r="J19" s="3" t="str">
        <f aca="false">IF($K19="","",ROW()-5&amp;"회차")</f>
        <v/>
      </c>
      <c r="K19" s="119"/>
      <c r="L19" s="119"/>
      <c r="M19" s="105" t="str">
        <f aca="false">IF(OR($AK19="",$AL19="",M$4=""),"",SUMIFS(m_fee,m_teacher,M$4,m_date,"&gt;="&amp;$AK19,m_date,"&lt;="&amp;$AL19))</f>
        <v/>
      </c>
      <c r="N19" s="120"/>
      <c r="O19" s="105" t="str">
        <f aca="false">IF(OR($AK19="",$AL19="",O$4=""),"",SUMIFS(m_fee,m_teacher,O$4,m_date,"&gt;="&amp;$AK19,m_date,"&lt;="&amp;$AL19))</f>
        <v/>
      </c>
      <c r="P19" s="120"/>
      <c r="Q19" s="105" t="str">
        <f aca="false">IF(OR($AK19="",$AL19="",Q$4=""),"",SUMIFS(m_fee,m_teacher,Q$4,m_date,"&gt;="&amp;$AK19,m_date,"&lt;="&amp;$AL19))</f>
        <v/>
      </c>
      <c r="R19" s="120"/>
      <c r="S19" s="105" t="str">
        <f aca="false">IF(OR($AK19="",$AL19="",S$4=""),"",SUMIFS(m_fee,m_teacher,S$4,m_date,"&gt;="&amp;$AK19,m_date,"&lt;="&amp;$AL19))</f>
        <v/>
      </c>
      <c r="T19" s="120"/>
      <c r="U19" s="105" t="str">
        <f aca="false">IF(OR($AK19="",$AL19="",U$4=""),"",SUMIFS(m_fee,m_teacher,U$4,m_date,"&gt;="&amp;$AK19,m_date,"&lt;="&amp;$AL19))</f>
        <v/>
      </c>
      <c r="V19" s="120"/>
      <c r="W19" s="105" t="str">
        <f aca="false">IF(OR($AK19="",$AL19="",W$4=""),"",SUMIFS(m_fee,m_teacher,W$4,m_date,"&gt;="&amp;$AK19,m_date,"&lt;="&amp;$AL19))</f>
        <v/>
      </c>
      <c r="X19" s="120"/>
      <c r="Y19" s="105" t="str">
        <f aca="false">IF(OR($AK19="",$AL19="",Y$4=""),"",SUMIFS(m_fee,m_teacher,Y$4,m_date,"&gt;="&amp;$AK19,m_date,"&lt;="&amp;$AL19))</f>
        <v/>
      </c>
      <c r="Z19" s="120"/>
      <c r="AA19" s="105" t="str">
        <f aca="false">IF(OR($AK19="",$AL19="",AA$4=""),"",SUMIFS(m_fee,m_teacher,AA$4,m_date,"&gt;="&amp;$AK19,m_date,"&lt;="&amp;$AL19))</f>
        <v/>
      </c>
      <c r="AB19" s="120"/>
      <c r="AC19" s="105" t="str">
        <f aca="false">IF(OR($AK19="",$AL19="",AC$4=""),"",SUMIFS(m_fee,m_teacher,AC$4,m_date,"&gt;="&amp;$AK19,m_date,"&lt;="&amp;$AL19))</f>
        <v/>
      </c>
      <c r="AD19" s="120"/>
      <c r="AE19" s="105" t="str">
        <f aca="false">IF(OR($AK19="",$AL19="",AE$4=""),"",SUMIFS(m_fee,m_teacher,AE$4,m_date,"&gt;="&amp;$AK19,m_date,"&lt;="&amp;$AL19))</f>
        <v/>
      </c>
      <c r="AF19" s="120"/>
      <c r="AG19" s="105" t="str">
        <f aca="false">IF(OR($AK19="",$AL19="",AG$4=""),"",SUMIFS(m_fee,m_teacher,AG$4,m_date,"&gt;="&amp;$AK19,m_date,"&lt;="&amp;$AL19))</f>
        <v/>
      </c>
      <c r="AH19" s="120"/>
      <c r="AI19" s="105" t="str">
        <f aca="false">IF(OR($AK19="",$AL19="",AI$4=""),"",SUMIFS(m_fee,m_teacher,AI$4,m_date,"&gt;="&amp;$AK19,m_date,"&lt;="&amp;$AL19))</f>
        <v/>
      </c>
      <c r="AJ19" s="120"/>
      <c r="AK19" s="0" t="str">
        <f aca="false">IF($K19="","",IFERROR(IF(ISNUMBER($K19),IF($K19&gt;19000000,DATE(INT($K19/10000),MOD(INT($K19/100),100),MOD($K19,100)),INT($K19)),IF(LEN(SUBSTITUTE(SUBSTITUTE(SUBSTITUTE(TRIM($K19),"-",""),".",""),"/",""))=8,DATE(VALUE(LEFT(SUBSTITUTE(SUBSTITUTE(SUBSTITUTE(TRIM($K19),"-",""),".",""),"/",""),4)),VALUE(MID(SUBSTITUTE(SUBSTITUTE(SUBSTITUTE(TRIM($K19),"-",""),".",""),"/",""),5,2)),VALUE(RIGHT(SUBSTITUTE(SUBSTITUTE(SUBSTITUTE(TRIM($K19),"-",""),".",""),"/",""),2))),DATEVALUE($K19))),""))</f>
        <v/>
      </c>
      <c r="AL19" s="0" t="str">
        <f aca="false">IF($L19="","",IFERROR(IF(ISNUMBER($L19),IF($L19&gt;19000000,DATE(INT($L19/10000),MOD(INT($L19/100),100),MOD($L19,100)),INT($L19)),IF(LEN(SUBSTITUTE(SUBSTITUTE(SUBSTITUTE(TRIM($L19),"-",""),".",""),"/",""))=8,DATE(VALUE(LEFT(SUBSTITUTE(SUBSTITUTE(SUBSTITUTE(TRIM($L19),"-",""),".",""),"/",""),4)),VALUE(MID(SUBSTITUTE(SUBSTITUTE(SUBSTITUTE(TRIM($L19),"-",""),".",""),"/",""),5,2)),VALUE(RIGHT(SUBSTITUTE(SUBSTITUTE(SUBSTITUTE(TRIM($L19),"-",""),".",""),"/",""),2))),DATEVALUE($L19))),""))</f>
        <v/>
      </c>
    </row>
    <row r="20" customFormat="false" ht="15" hidden="false" customHeight="false" outlineLevel="0" collapsed="false">
      <c r="A20" s="113" t="str">
        <f aca="false">IF(강사DB!A18="","",강사DB!A18)</f>
        <v/>
      </c>
      <c r="B20" s="114" t="str">
        <f aca="false">IF(강사DB!A18="","",IF(ISNUMBER(SEARCH("퇴사",강사DB!G18)),"퇴사",강사DB!B18))</f>
        <v/>
      </c>
      <c r="C20" s="115" t="str">
        <f aca="false">IF($A20="","",COUNTIFS(m_teacher,$A20,m_name,"&lt;&gt;",m_status,"결제완료"))</f>
        <v/>
      </c>
      <c r="D20" s="116" t="str">
        <f aca="false">IF($A20="","",SUMIFS(m_hours,m_teacher,$A20,m_name,"&lt;&gt;",m_status,"결제완료"))</f>
        <v/>
      </c>
      <c r="E20" s="117" t="str">
        <f aca="false">IF($A20="","",SUMIFS(m_fee,m_teacher,$A20))</f>
        <v/>
      </c>
      <c r="F20" s="117" t="str">
        <f aca="false">IF($A20="","",SUMIFS(m_fee,m_teacher,$A20,m_settle,"&gt;0"))</f>
        <v/>
      </c>
      <c r="G20" s="118" t="str">
        <f aca="false">IF($A20="","",E20-F20)</f>
        <v/>
      </c>
      <c r="J20" s="3" t="str">
        <f aca="false">IF($K20="","",ROW()-5&amp;"회차")</f>
        <v/>
      </c>
      <c r="K20" s="119"/>
      <c r="L20" s="119"/>
      <c r="M20" s="105" t="str">
        <f aca="false">IF(OR($AK20="",$AL20="",M$4=""),"",SUMIFS(m_fee,m_teacher,M$4,m_date,"&gt;="&amp;$AK20,m_date,"&lt;="&amp;$AL20))</f>
        <v/>
      </c>
      <c r="N20" s="120"/>
      <c r="O20" s="105" t="str">
        <f aca="false">IF(OR($AK20="",$AL20="",O$4=""),"",SUMIFS(m_fee,m_teacher,O$4,m_date,"&gt;="&amp;$AK20,m_date,"&lt;="&amp;$AL20))</f>
        <v/>
      </c>
      <c r="P20" s="120"/>
      <c r="Q20" s="105" t="str">
        <f aca="false">IF(OR($AK20="",$AL20="",Q$4=""),"",SUMIFS(m_fee,m_teacher,Q$4,m_date,"&gt;="&amp;$AK20,m_date,"&lt;="&amp;$AL20))</f>
        <v/>
      </c>
      <c r="R20" s="120"/>
      <c r="S20" s="105" t="str">
        <f aca="false">IF(OR($AK20="",$AL20="",S$4=""),"",SUMIFS(m_fee,m_teacher,S$4,m_date,"&gt;="&amp;$AK20,m_date,"&lt;="&amp;$AL20))</f>
        <v/>
      </c>
      <c r="T20" s="120"/>
      <c r="U20" s="105" t="str">
        <f aca="false">IF(OR($AK20="",$AL20="",U$4=""),"",SUMIFS(m_fee,m_teacher,U$4,m_date,"&gt;="&amp;$AK20,m_date,"&lt;="&amp;$AL20))</f>
        <v/>
      </c>
      <c r="V20" s="120"/>
      <c r="W20" s="105" t="str">
        <f aca="false">IF(OR($AK20="",$AL20="",W$4=""),"",SUMIFS(m_fee,m_teacher,W$4,m_date,"&gt;="&amp;$AK20,m_date,"&lt;="&amp;$AL20))</f>
        <v/>
      </c>
      <c r="X20" s="120"/>
      <c r="Y20" s="105" t="str">
        <f aca="false">IF(OR($AK20="",$AL20="",Y$4=""),"",SUMIFS(m_fee,m_teacher,Y$4,m_date,"&gt;="&amp;$AK20,m_date,"&lt;="&amp;$AL20))</f>
        <v/>
      </c>
      <c r="Z20" s="120"/>
      <c r="AA20" s="105" t="str">
        <f aca="false">IF(OR($AK20="",$AL20="",AA$4=""),"",SUMIFS(m_fee,m_teacher,AA$4,m_date,"&gt;="&amp;$AK20,m_date,"&lt;="&amp;$AL20))</f>
        <v/>
      </c>
      <c r="AB20" s="120"/>
      <c r="AC20" s="105" t="str">
        <f aca="false">IF(OR($AK20="",$AL20="",AC$4=""),"",SUMIFS(m_fee,m_teacher,AC$4,m_date,"&gt;="&amp;$AK20,m_date,"&lt;="&amp;$AL20))</f>
        <v/>
      </c>
      <c r="AD20" s="120"/>
      <c r="AE20" s="105" t="str">
        <f aca="false">IF(OR($AK20="",$AL20="",AE$4=""),"",SUMIFS(m_fee,m_teacher,AE$4,m_date,"&gt;="&amp;$AK20,m_date,"&lt;="&amp;$AL20))</f>
        <v/>
      </c>
      <c r="AF20" s="120"/>
      <c r="AG20" s="105" t="str">
        <f aca="false">IF(OR($AK20="",$AL20="",AG$4=""),"",SUMIFS(m_fee,m_teacher,AG$4,m_date,"&gt;="&amp;$AK20,m_date,"&lt;="&amp;$AL20))</f>
        <v/>
      </c>
      <c r="AH20" s="120"/>
      <c r="AI20" s="105" t="str">
        <f aca="false">IF(OR($AK20="",$AL20="",AI$4=""),"",SUMIFS(m_fee,m_teacher,AI$4,m_date,"&gt;="&amp;$AK20,m_date,"&lt;="&amp;$AL20))</f>
        <v/>
      </c>
      <c r="AJ20" s="120"/>
      <c r="AK20" s="0" t="str">
        <f aca="false">IF($K20="","",IFERROR(IF(ISNUMBER($K20),IF($K20&gt;19000000,DATE(INT($K20/10000),MOD(INT($K20/100),100),MOD($K20,100)),INT($K20)),IF(LEN(SUBSTITUTE(SUBSTITUTE(SUBSTITUTE(TRIM($K20),"-",""),".",""),"/",""))=8,DATE(VALUE(LEFT(SUBSTITUTE(SUBSTITUTE(SUBSTITUTE(TRIM($K20),"-",""),".",""),"/",""),4)),VALUE(MID(SUBSTITUTE(SUBSTITUTE(SUBSTITUTE(TRIM($K20),"-",""),".",""),"/",""),5,2)),VALUE(RIGHT(SUBSTITUTE(SUBSTITUTE(SUBSTITUTE(TRIM($K20),"-",""),".",""),"/",""),2))),DATEVALUE($K20))),""))</f>
        <v/>
      </c>
      <c r="AL20" s="0" t="str">
        <f aca="false">IF($L20="","",IFERROR(IF(ISNUMBER($L20),IF($L20&gt;19000000,DATE(INT($L20/10000),MOD(INT($L20/100),100),MOD($L20,100)),INT($L20)),IF(LEN(SUBSTITUTE(SUBSTITUTE(SUBSTITUTE(TRIM($L20),"-",""),".",""),"/",""))=8,DATE(VALUE(LEFT(SUBSTITUTE(SUBSTITUTE(SUBSTITUTE(TRIM($L20),"-",""),".",""),"/",""),4)),VALUE(MID(SUBSTITUTE(SUBSTITUTE(SUBSTITUTE(TRIM($L20),"-",""),".",""),"/",""),5,2)),VALUE(RIGHT(SUBSTITUTE(SUBSTITUTE(SUBSTITUTE(TRIM($L20),"-",""),".",""),"/",""),2))),DATEVALUE($L20))),""))</f>
        <v/>
      </c>
    </row>
    <row r="21" customFormat="false" ht="15" hidden="false" customHeight="false" outlineLevel="0" collapsed="false">
      <c r="A21" s="113" t="str">
        <f aca="false">IF(강사DB!A19="","",강사DB!A19)</f>
        <v/>
      </c>
      <c r="B21" s="114" t="str">
        <f aca="false">IF(강사DB!A19="","",IF(ISNUMBER(SEARCH("퇴사",강사DB!G19)),"퇴사",강사DB!B19))</f>
        <v/>
      </c>
      <c r="C21" s="115" t="str">
        <f aca="false">IF($A21="","",COUNTIFS(m_teacher,$A21,m_name,"&lt;&gt;",m_status,"결제완료"))</f>
        <v/>
      </c>
      <c r="D21" s="116" t="str">
        <f aca="false">IF($A21="","",SUMIFS(m_hours,m_teacher,$A21,m_name,"&lt;&gt;",m_status,"결제완료"))</f>
        <v/>
      </c>
      <c r="E21" s="117" t="str">
        <f aca="false">IF($A21="","",SUMIFS(m_fee,m_teacher,$A21))</f>
        <v/>
      </c>
      <c r="F21" s="117" t="str">
        <f aca="false">IF($A21="","",SUMIFS(m_fee,m_teacher,$A21,m_settle,"&gt;0"))</f>
        <v/>
      </c>
      <c r="G21" s="118" t="str">
        <f aca="false">IF($A21="","",E21-F21)</f>
        <v/>
      </c>
      <c r="J21" s="3" t="str">
        <f aca="false">IF($K21="","",ROW()-5&amp;"회차")</f>
        <v/>
      </c>
      <c r="K21" s="119"/>
      <c r="L21" s="119"/>
      <c r="M21" s="105" t="str">
        <f aca="false">IF(OR($AK21="",$AL21="",M$4=""),"",SUMIFS(m_fee,m_teacher,M$4,m_date,"&gt;="&amp;$AK21,m_date,"&lt;="&amp;$AL21))</f>
        <v/>
      </c>
      <c r="N21" s="120"/>
      <c r="O21" s="105" t="str">
        <f aca="false">IF(OR($AK21="",$AL21="",O$4=""),"",SUMIFS(m_fee,m_teacher,O$4,m_date,"&gt;="&amp;$AK21,m_date,"&lt;="&amp;$AL21))</f>
        <v/>
      </c>
      <c r="P21" s="120"/>
      <c r="Q21" s="105" t="str">
        <f aca="false">IF(OR($AK21="",$AL21="",Q$4=""),"",SUMIFS(m_fee,m_teacher,Q$4,m_date,"&gt;="&amp;$AK21,m_date,"&lt;="&amp;$AL21))</f>
        <v/>
      </c>
      <c r="R21" s="120"/>
      <c r="S21" s="105" t="str">
        <f aca="false">IF(OR($AK21="",$AL21="",S$4=""),"",SUMIFS(m_fee,m_teacher,S$4,m_date,"&gt;="&amp;$AK21,m_date,"&lt;="&amp;$AL21))</f>
        <v/>
      </c>
      <c r="T21" s="120"/>
      <c r="U21" s="105" t="str">
        <f aca="false">IF(OR($AK21="",$AL21="",U$4=""),"",SUMIFS(m_fee,m_teacher,U$4,m_date,"&gt;="&amp;$AK21,m_date,"&lt;="&amp;$AL21))</f>
        <v/>
      </c>
      <c r="V21" s="120"/>
      <c r="W21" s="105" t="str">
        <f aca="false">IF(OR($AK21="",$AL21="",W$4=""),"",SUMIFS(m_fee,m_teacher,W$4,m_date,"&gt;="&amp;$AK21,m_date,"&lt;="&amp;$AL21))</f>
        <v/>
      </c>
      <c r="X21" s="120"/>
      <c r="Y21" s="105" t="str">
        <f aca="false">IF(OR($AK21="",$AL21="",Y$4=""),"",SUMIFS(m_fee,m_teacher,Y$4,m_date,"&gt;="&amp;$AK21,m_date,"&lt;="&amp;$AL21))</f>
        <v/>
      </c>
      <c r="Z21" s="120"/>
      <c r="AA21" s="105" t="str">
        <f aca="false">IF(OR($AK21="",$AL21="",AA$4=""),"",SUMIFS(m_fee,m_teacher,AA$4,m_date,"&gt;="&amp;$AK21,m_date,"&lt;="&amp;$AL21))</f>
        <v/>
      </c>
      <c r="AB21" s="120"/>
      <c r="AC21" s="105" t="str">
        <f aca="false">IF(OR($AK21="",$AL21="",AC$4=""),"",SUMIFS(m_fee,m_teacher,AC$4,m_date,"&gt;="&amp;$AK21,m_date,"&lt;="&amp;$AL21))</f>
        <v/>
      </c>
      <c r="AD21" s="120"/>
      <c r="AE21" s="105" t="str">
        <f aca="false">IF(OR($AK21="",$AL21="",AE$4=""),"",SUMIFS(m_fee,m_teacher,AE$4,m_date,"&gt;="&amp;$AK21,m_date,"&lt;="&amp;$AL21))</f>
        <v/>
      </c>
      <c r="AF21" s="120"/>
      <c r="AG21" s="105" t="str">
        <f aca="false">IF(OR($AK21="",$AL21="",AG$4=""),"",SUMIFS(m_fee,m_teacher,AG$4,m_date,"&gt;="&amp;$AK21,m_date,"&lt;="&amp;$AL21))</f>
        <v/>
      </c>
      <c r="AH21" s="120"/>
      <c r="AI21" s="105" t="str">
        <f aca="false">IF(OR($AK21="",$AL21="",AI$4=""),"",SUMIFS(m_fee,m_teacher,AI$4,m_date,"&gt;="&amp;$AK21,m_date,"&lt;="&amp;$AL21))</f>
        <v/>
      </c>
      <c r="AJ21" s="120"/>
      <c r="AK21" s="0" t="str">
        <f aca="false">IF($K21="","",IFERROR(IF(ISNUMBER($K21),IF($K21&gt;19000000,DATE(INT($K21/10000),MOD(INT($K21/100),100),MOD($K21,100)),INT($K21)),IF(LEN(SUBSTITUTE(SUBSTITUTE(SUBSTITUTE(TRIM($K21),"-",""),".",""),"/",""))=8,DATE(VALUE(LEFT(SUBSTITUTE(SUBSTITUTE(SUBSTITUTE(TRIM($K21),"-",""),".",""),"/",""),4)),VALUE(MID(SUBSTITUTE(SUBSTITUTE(SUBSTITUTE(TRIM($K21),"-",""),".",""),"/",""),5,2)),VALUE(RIGHT(SUBSTITUTE(SUBSTITUTE(SUBSTITUTE(TRIM($K21),"-",""),".",""),"/",""),2))),DATEVALUE($K21))),""))</f>
        <v/>
      </c>
      <c r="AL21" s="0" t="str">
        <f aca="false">IF($L21="","",IFERROR(IF(ISNUMBER($L21),IF($L21&gt;19000000,DATE(INT($L21/10000),MOD(INT($L21/100),100),MOD($L21,100)),INT($L21)),IF(LEN(SUBSTITUTE(SUBSTITUTE(SUBSTITUTE(TRIM($L21),"-",""),".",""),"/",""))=8,DATE(VALUE(LEFT(SUBSTITUTE(SUBSTITUTE(SUBSTITUTE(TRIM($L21),"-",""),".",""),"/",""),4)),VALUE(MID(SUBSTITUTE(SUBSTITUTE(SUBSTITUTE(TRIM($L21),"-",""),".",""),"/",""),5,2)),VALUE(RIGHT(SUBSTITUTE(SUBSTITUTE(SUBSTITUTE(TRIM($L21),"-",""),".",""),"/",""),2))),DATEVALUE($L21))),""))</f>
        <v/>
      </c>
    </row>
    <row r="22" customFormat="false" ht="15" hidden="false" customHeight="true" outlineLevel="0" collapsed="false">
      <c r="A22" s="113" t="str">
        <f aca="false">IF(강사DB!A20="","",강사DB!A20)</f>
        <v/>
      </c>
      <c r="B22" s="114" t="str">
        <f aca="false">IF(강사DB!A20="","",IF(ISNUMBER(SEARCH("퇴사",강사DB!G20)),"퇴사",강사DB!B20))</f>
        <v/>
      </c>
      <c r="C22" s="115" t="str">
        <f aca="false">IF($A22="","",COUNTIFS(m_teacher,$A22,m_name,"&lt;&gt;",m_status,"결제완료"))</f>
        <v/>
      </c>
      <c r="D22" s="116" t="str">
        <f aca="false">IF($A22="","",SUMIFS(m_hours,m_teacher,$A22,m_name,"&lt;&gt;",m_status,"결제완료"))</f>
        <v/>
      </c>
      <c r="E22" s="117" t="str">
        <f aca="false">IF($A22="","",SUMIFS(m_fee,m_teacher,$A22))</f>
        <v/>
      </c>
      <c r="F22" s="117" t="str">
        <f aca="false">IF($A22="","",SUMIFS(m_fee,m_teacher,$A22,m_settle,"&gt;0"))</f>
        <v/>
      </c>
      <c r="G22" s="118" t="str">
        <f aca="false">IF($A22="","",E22-F22)</f>
        <v/>
      </c>
      <c r="J22" s="30" t="s">
        <v>130</v>
      </c>
      <c r="K22" s="30"/>
      <c r="L22" s="30"/>
      <c r="M22" s="122" t="n">
        <f aca="false">SUM(M6:M21)</f>
        <v>0</v>
      </c>
      <c r="N22" s="122"/>
      <c r="O22" s="122" t="n">
        <f aca="false">SUM(O6:O21)</f>
        <v>0</v>
      </c>
      <c r="P22" s="122"/>
      <c r="Q22" s="122" t="n">
        <f aca="false">SUM(Q6:Q21)</f>
        <v>0</v>
      </c>
      <c r="R22" s="122"/>
      <c r="S22" s="122" t="n">
        <f aca="false">SUM(S6:S21)</f>
        <v>0</v>
      </c>
      <c r="T22" s="122"/>
      <c r="U22" s="122" t="n">
        <f aca="false">SUM(U6:U21)</f>
        <v>45000</v>
      </c>
      <c r="V22" s="122"/>
      <c r="W22" s="122" t="n">
        <f aca="false">SUM(W6:W21)</f>
        <v>0</v>
      </c>
      <c r="X22" s="122"/>
      <c r="Y22" s="122" t="n">
        <f aca="false">SUM(Y6:Y21)</f>
        <v>0</v>
      </c>
      <c r="Z22" s="122"/>
      <c r="AA22" s="122" t="n">
        <f aca="false">SUM(AA6:AA21)</f>
        <v>0</v>
      </c>
      <c r="AB22" s="122"/>
      <c r="AC22" s="122" t="n">
        <f aca="false">SUM(AC6:AC21)</f>
        <v>0</v>
      </c>
      <c r="AD22" s="122"/>
      <c r="AE22" s="122" t="n">
        <f aca="false">SUM(AE6:AE21)</f>
        <v>0</v>
      </c>
      <c r="AF22" s="122"/>
      <c r="AG22" s="122" t="n">
        <f aca="false">SUM(AG6:AG21)</f>
        <v>0</v>
      </c>
      <c r="AH22" s="122"/>
      <c r="AI22" s="122" t="n">
        <f aca="false">SUM(AI6:AI21)</f>
        <v>0</v>
      </c>
      <c r="AJ22" s="122"/>
    </row>
    <row r="23" customFormat="false" ht="15" hidden="false" customHeight="true" outlineLevel="0" collapsed="false">
      <c r="A23" s="113" t="str">
        <f aca="false">IF(강사DB!A21="","",강사DB!A21)</f>
        <v/>
      </c>
      <c r="B23" s="114" t="str">
        <f aca="false">IF(강사DB!A21="","",IF(ISNUMBER(SEARCH("퇴사",강사DB!G21)),"퇴사",강사DB!B21))</f>
        <v/>
      </c>
      <c r="C23" s="115" t="str">
        <f aca="false">IF($A23="","",COUNTIFS(m_teacher,$A23,m_name,"&lt;&gt;",m_status,"결제완료"))</f>
        <v/>
      </c>
      <c r="D23" s="116" t="str">
        <f aca="false">IF($A23="","",SUMIFS(m_hours,m_teacher,$A23,m_name,"&lt;&gt;",m_status,"결제완료"))</f>
        <v/>
      </c>
      <c r="E23" s="117" t="str">
        <f aca="false">IF($A23="","",SUMIFS(m_fee,m_teacher,$A23))</f>
        <v/>
      </c>
      <c r="F23" s="117" t="str">
        <f aca="false">IF($A23="","",SUMIFS(m_fee,m_teacher,$A23,m_settle,"&gt;0"))</f>
        <v/>
      </c>
      <c r="G23" s="118" t="str">
        <f aca="false">IF($A23="","",E23-F23)</f>
        <v/>
      </c>
      <c r="J23" s="123" t="s">
        <v>131</v>
      </c>
      <c r="K23" s="123"/>
      <c r="L23" s="123"/>
      <c r="M23" s="124" t="n">
        <f aca="true">IF(M$4="","",SUMIFS(m_fee,m_teacher,M$4,m_date,"&lt;"&amp;TODAY(),m_settle,0))</f>
        <v>0</v>
      </c>
      <c r="N23" s="124"/>
      <c r="O23" s="124" t="n">
        <f aca="true">IF(O$4="","",SUMIFS(m_fee,m_teacher,O$4,m_date,"&lt;"&amp;TODAY(),m_settle,0))</f>
        <v>0</v>
      </c>
      <c r="P23" s="124"/>
      <c r="Q23" s="124" t="n">
        <f aca="true">IF(Q$4="","",SUMIFS(m_fee,m_teacher,Q$4,m_date,"&lt;"&amp;TODAY(),m_settle,0))</f>
        <v>0</v>
      </c>
      <c r="R23" s="124"/>
      <c r="S23" s="124" t="n">
        <f aca="true">IF(S$4="","",SUMIFS(m_fee,m_teacher,S$4,m_date,"&lt;"&amp;TODAY(),m_settle,0))</f>
        <v>0</v>
      </c>
      <c r="T23" s="124"/>
      <c r="U23" s="124" t="n">
        <f aca="true">IF(U$4="","",SUMIFS(m_fee,m_teacher,U$4,m_date,"&lt;"&amp;TODAY(),m_settle,0))</f>
        <v>0</v>
      </c>
      <c r="V23" s="124"/>
      <c r="W23" s="124" t="n">
        <f aca="true">IF(W$4="","",SUMIFS(m_fee,m_teacher,W$4,m_date,"&lt;"&amp;TODAY(),m_settle,0))</f>
        <v>0</v>
      </c>
      <c r="X23" s="124"/>
      <c r="Y23" s="124" t="n">
        <f aca="true">IF(Y$4="","",SUMIFS(m_fee,m_teacher,Y$4,m_date,"&lt;"&amp;TODAY(),m_settle,0))</f>
        <v>0</v>
      </c>
      <c r="Z23" s="124"/>
      <c r="AA23" s="124" t="str">
        <f aca="true">IF(AA$4="","",SUMIFS(m_fee,m_teacher,AA$4,m_date,"&lt;"&amp;TODAY(),m_settle,0))</f>
        <v/>
      </c>
      <c r="AB23" s="124"/>
      <c r="AC23" s="124" t="str">
        <f aca="true">IF(AC$4="","",SUMIFS(m_fee,m_teacher,AC$4,m_date,"&lt;"&amp;TODAY(),m_settle,0))</f>
        <v/>
      </c>
      <c r="AD23" s="124"/>
      <c r="AE23" s="124" t="str">
        <f aca="true">IF(AE$4="","",SUMIFS(m_fee,m_teacher,AE$4,m_date,"&lt;"&amp;TODAY(),m_settle,0))</f>
        <v/>
      </c>
      <c r="AF23" s="124"/>
      <c r="AG23" s="124" t="str">
        <f aca="true">IF(AG$4="","",SUMIFS(m_fee,m_teacher,AG$4,m_date,"&lt;"&amp;TODAY(),m_settle,0))</f>
        <v/>
      </c>
      <c r="AH23" s="124"/>
      <c r="AI23" s="124" t="str">
        <f aca="true">IF(AI$4="","",SUMIFS(m_fee,m_teacher,AI$4,m_date,"&lt;"&amp;TODAY(),m_settle,0))</f>
        <v/>
      </c>
      <c r="AJ23" s="124"/>
    </row>
    <row r="24" customFormat="false" ht="15" hidden="false" customHeight="false" outlineLevel="0" collapsed="false">
      <c r="A24" s="113" t="str">
        <f aca="false">IF(강사DB!A22="","",강사DB!A22)</f>
        <v/>
      </c>
      <c r="B24" s="114" t="str">
        <f aca="false">IF(강사DB!A22="","",IF(ISNUMBER(SEARCH("퇴사",강사DB!G22)),"퇴사",강사DB!B22))</f>
        <v/>
      </c>
      <c r="C24" s="115" t="str">
        <f aca="false">IF($A24="","",COUNTIFS(m_teacher,$A24,m_name,"&lt;&gt;",m_status,"결제완료"))</f>
        <v/>
      </c>
      <c r="D24" s="116" t="str">
        <f aca="false">IF($A24="","",SUMIFS(m_hours,m_teacher,$A24,m_name,"&lt;&gt;",m_status,"결제완료"))</f>
        <v/>
      </c>
      <c r="E24" s="117" t="str">
        <f aca="false">IF($A24="","",SUMIFS(m_fee,m_teacher,$A24))</f>
        <v/>
      </c>
      <c r="F24" s="117" t="str">
        <f aca="false">IF($A24="","",SUMIFS(m_fee,m_teacher,$A24,m_settle,"&gt;0"))</f>
        <v/>
      </c>
      <c r="G24" s="118" t="str">
        <f aca="false">IF($A24="","",E24-F24)</f>
        <v/>
      </c>
    </row>
    <row r="25" customFormat="false" ht="18" hidden="false" customHeight="true" outlineLevel="0" collapsed="false">
      <c r="A25" s="113" t="str">
        <f aca="false">IF(강사DB!A23="","",강사DB!A23)</f>
        <v/>
      </c>
      <c r="B25" s="114" t="str">
        <f aca="false">IF(강사DB!A23="","",IF(ISNUMBER(SEARCH("퇴사",강사DB!G23)),"퇴사",강사DB!B23))</f>
        <v/>
      </c>
      <c r="C25" s="115" t="str">
        <f aca="false">IF($A25="","",COUNTIFS(m_teacher,$A25,m_name,"&lt;&gt;",m_status,"결제완료"))</f>
        <v/>
      </c>
      <c r="D25" s="116" t="str">
        <f aca="false">IF($A25="","",SUMIFS(m_hours,m_teacher,$A25,m_name,"&lt;&gt;",m_status,"결제완료"))</f>
        <v/>
      </c>
      <c r="E25" s="117" t="str">
        <f aca="false">IF($A25="","",SUMIFS(m_fee,m_teacher,$A25))</f>
        <v/>
      </c>
      <c r="F25" s="117" t="str">
        <f aca="false">IF($A25="","",SUMIFS(m_fee,m_teacher,$A25,m_settle,"&gt;0"))</f>
        <v/>
      </c>
      <c r="G25" s="118" t="str">
        <f aca="false">IF($A25="","",E25-F25)</f>
        <v/>
      </c>
      <c r="J25" s="40" t="s">
        <v>132</v>
      </c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</row>
    <row r="26" customFormat="false" ht="15" hidden="false" customHeight="true" outlineLevel="0" collapsed="false">
      <c r="A26" s="30" t="s">
        <v>40</v>
      </c>
      <c r="B26" s="30"/>
      <c r="C26" s="125" t="n">
        <f aca="false">SUM(C6:C25)</f>
        <v>1</v>
      </c>
      <c r="D26" s="126" t="n">
        <f aca="false">SUM(D6:D25)</f>
        <v>2</v>
      </c>
      <c r="E26" s="122" t="n">
        <f aca="false">SUM(E6:E25)</f>
        <v>45000</v>
      </c>
      <c r="F26" s="122" t="n">
        <f aca="false">SUM(F6:F25)</f>
        <v>0</v>
      </c>
      <c r="G26" s="127" t="n">
        <f aca="false">SUM(G6:G25)</f>
        <v>45000</v>
      </c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</row>
    <row r="28" customFormat="false" ht="15" hidden="false" customHeight="true" outlineLevel="0" collapsed="false">
      <c r="A28" s="8" t="s">
        <v>133</v>
      </c>
      <c r="B28" s="8"/>
      <c r="C28" s="8"/>
      <c r="D28" s="8"/>
      <c r="E28" s="8"/>
      <c r="F28" s="8"/>
      <c r="G28" s="8"/>
    </row>
    <row r="29" customFormat="false" ht="16.4" hidden="false" customHeight="false" outlineLevel="0" collapsed="false">
      <c r="A29" s="3" t="s">
        <v>134</v>
      </c>
      <c r="B29" s="128" t="n">
        <v>46357</v>
      </c>
      <c r="C29" s="3" t="s">
        <v>135</v>
      </c>
      <c r="D29" s="128" t="n">
        <v>46387</v>
      </c>
      <c r="E29" s="3" t="s">
        <v>136</v>
      </c>
      <c r="F29" s="129" t="n">
        <f aca="false">G52</f>
        <v>0</v>
      </c>
      <c r="G29" s="129"/>
      <c r="H29" s="130" t="n">
        <f aca="false">IF($B$29="","",IFERROR(IF(ISNUMBER($B$29),IF($B$29&gt;19000000,DATE(INT($B$29/10000),MOD(INT($B$29/100),100),MOD($B$29,100)),INT($B$29)),IF(LEN(SUBSTITUTE(SUBSTITUTE(SUBSTITUTE(TRIM($B$29),"-",""),".",""),"/",""))=8,DATE(VALUE(LEFT(SUBSTITUTE(SUBSTITUTE(SUBSTITUTE(TRIM($B$29),"-",""),".",""),"/",""),4)),VALUE(MID(SUBSTITUTE(SUBSTITUTE(SUBSTITUTE(TRIM($B$29),"-",""),".",""),"/",""),5,2)),VALUE(RIGHT(SUBSTITUTE(SUBSTITUTE(SUBSTITUTE(TRIM($B$29),"-",""),".",""),"/",""),2))),DATEVALUE($B$29))),""))</f>
        <v>46357</v>
      </c>
      <c r="I29" s="130" t="n">
        <f aca="false">IF($D$29="","",IFERROR(IF(ISNUMBER($D$29),IF($D$29&gt;19000000,DATE(INT($D$29/10000),MOD(INT($D$29/100),100),MOD($D$29,100)),INT($D$29)),IF(LEN(SUBSTITUTE(SUBSTITUTE(SUBSTITUTE(TRIM($D$29),"-",""),".",""),"/",""))=8,DATE(VALUE(LEFT(SUBSTITUTE(SUBSTITUTE(SUBSTITUTE(TRIM($D$29),"-",""),".",""),"/",""),4)),VALUE(MID(SUBSTITUTE(SUBSTITUTE(SUBSTITUTE(TRIM($D$29),"-",""),".",""),"/",""),5,2)),VALUE(RIGHT(SUBSTITUTE(SUBSTITUTE(SUBSTITUTE(TRIM($D$29),"-",""),".",""),"/",""),2))),DATEVALUE($D$29))),""))</f>
        <v>46387</v>
      </c>
    </row>
    <row r="30" customFormat="false" ht="15" hidden="false" customHeight="true" outlineLevel="0" collapsed="false">
      <c r="A30" s="8" t="s">
        <v>137</v>
      </c>
      <c r="B30" s="8"/>
      <c r="C30" s="8"/>
      <c r="D30" s="8"/>
      <c r="E30" s="8"/>
      <c r="F30" s="8"/>
      <c r="G30" s="8"/>
    </row>
    <row r="31" customFormat="false" ht="15" hidden="false" customHeight="false" outlineLevel="0" collapsed="false">
      <c r="A31" s="42" t="s">
        <v>123</v>
      </c>
      <c r="B31" s="42" t="s">
        <v>106</v>
      </c>
      <c r="C31" s="42" t="s">
        <v>124</v>
      </c>
      <c r="D31" s="42" t="s">
        <v>125</v>
      </c>
      <c r="E31" s="42" t="s">
        <v>138</v>
      </c>
      <c r="F31" s="42" t="s">
        <v>126</v>
      </c>
      <c r="G31" s="42" t="s">
        <v>127</v>
      </c>
    </row>
    <row r="32" customFormat="false" ht="15" hidden="false" customHeight="false" outlineLevel="0" collapsed="false">
      <c r="A32" s="113" t="str">
        <f aca="false">IF(강사DB!A4="","",강사DB!A4)</f>
        <v>김건진</v>
      </c>
      <c r="B32" s="114" t="str">
        <f aca="false">IF(강사DB!A4="","",IF(ISNUMBER(SEARCH("퇴사",강사DB!G4)),"퇴사",강사DB!B4))</f>
        <v>메인강사</v>
      </c>
      <c r="C32" s="115" t="n">
        <f aca="false">IF($A32="","",COUNTIFS(m_teacher,$A32,m_name,"&lt;&gt;",m_status,"결제완료",m_date,"&gt;="&amp;$H$29,m_date,"&lt;="&amp;$I$29))</f>
        <v>0</v>
      </c>
      <c r="D32" s="116" t="n">
        <f aca="false">IF($A32="","",SUMIFS(m_hours,m_teacher,$A32,m_name,"&lt;&gt;",m_status,"결제완료",m_date,"&gt;="&amp;$H$29,m_date,"&lt;="&amp;$I$29))</f>
        <v>0</v>
      </c>
      <c r="E32" s="117" t="n">
        <f aca="false">IF($A32="","",SUMIFS(m_fee,m_teacher,$A32,m_date,"&gt;="&amp;$H$29,m_date,"&lt;="&amp;$I$29))</f>
        <v>0</v>
      </c>
      <c r="F32" s="117" t="n">
        <f aca="false">IF($A32="","",SUMIFS(m_fee,m_teacher,$A32,m_settle,"&gt;0",m_date,"&gt;="&amp;$H$29,m_date,"&lt;="&amp;$I$29))</f>
        <v>0</v>
      </c>
      <c r="G32" s="118" t="n">
        <f aca="false">IF($A32="","",E32-F32)</f>
        <v>0</v>
      </c>
    </row>
    <row r="33" customFormat="false" ht="15" hidden="false" customHeight="false" outlineLevel="0" collapsed="false">
      <c r="A33" s="113" t="str">
        <f aca="false">IF(강사DB!A5="","",강사DB!A5)</f>
        <v>김준태</v>
      </c>
      <c r="B33" s="114" t="str">
        <f aca="false">IF(강사DB!A5="","",IF(ISNUMBER(SEARCH("퇴사",강사DB!G5)),"퇴사",강사DB!B5))</f>
        <v>메인강사</v>
      </c>
      <c r="C33" s="115" t="n">
        <f aca="false">IF($A33="","",COUNTIFS(m_teacher,$A33,m_name,"&lt;&gt;",m_status,"결제완료",m_date,"&gt;="&amp;$H$29,m_date,"&lt;="&amp;$I$29))</f>
        <v>0</v>
      </c>
      <c r="D33" s="116" t="n">
        <f aca="false">IF($A33="","",SUMIFS(m_hours,m_teacher,$A33,m_name,"&lt;&gt;",m_status,"결제완료",m_date,"&gt;="&amp;$H$29,m_date,"&lt;="&amp;$I$29))</f>
        <v>0</v>
      </c>
      <c r="E33" s="117" t="n">
        <f aca="false">IF($A33="","",SUMIFS(m_fee,m_teacher,$A33,m_date,"&gt;="&amp;$H$29,m_date,"&lt;="&amp;$I$29))</f>
        <v>0</v>
      </c>
      <c r="F33" s="117" t="n">
        <f aca="false">IF($A33="","",SUMIFS(m_fee,m_teacher,$A33,m_settle,"&gt;0",m_date,"&gt;="&amp;$H$29,m_date,"&lt;="&amp;$I$29))</f>
        <v>0</v>
      </c>
      <c r="G33" s="118" t="n">
        <f aca="false">IF($A33="","",E33-F33)</f>
        <v>0</v>
      </c>
    </row>
    <row r="34" customFormat="false" ht="15" hidden="false" customHeight="false" outlineLevel="0" collapsed="false">
      <c r="A34" s="113" t="str">
        <f aca="false">IF(강사DB!A6="","",강사DB!A6)</f>
        <v>이민규</v>
      </c>
      <c r="B34" s="114" t="str">
        <f aca="false">IF(강사DB!A6="","",IF(ISNUMBER(SEARCH("퇴사",강사DB!G6)),"퇴사",강사DB!B6))</f>
        <v>메인강사</v>
      </c>
      <c r="C34" s="115" t="n">
        <f aca="false">IF($A34="","",COUNTIFS(m_teacher,$A34,m_name,"&lt;&gt;",m_status,"결제완료",m_date,"&gt;="&amp;$H$29,m_date,"&lt;="&amp;$I$29))</f>
        <v>0</v>
      </c>
      <c r="D34" s="116" t="n">
        <f aca="false">IF($A34="","",SUMIFS(m_hours,m_teacher,$A34,m_name,"&lt;&gt;",m_status,"결제완료",m_date,"&gt;="&amp;$H$29,m_date,"&lt;="&amp;$I$29))</f>
        <v>0</v>
      </c>
      <c r="E34" s="117" t="n">
        <f aca="false">IF($A34="","",SUMIFS(m_fee,m_teacher,$A34,m_date,"&gt;="&amp;$H$29,m_date,"&lt;="&amp;$I$29))</f>
        <v>0</v>
      </c>
      <c r="F34" s="117" t="n">
        <f aca="false">IF($A34="","",SUMIFS(m_fee,m_teacher,$A34,m_settle,"&gt;0",m_date,"&gt;="&amp;$H$29,m_date,"&lt;="&amp;$I$29))</f>
        <v>0</v>
      </c>
      <c r="G34" s="118" t="n">
        <f aca="false">IF($A34="","",E34-F34)</f>
        <v>0</v>
      </c>
    </row>
    <row r="35" customFormat="false" ht="15" hidden="false" customHeight="false" outlineLevel="0" collapsed="false">
      <c r="A35" s="113" t="str">
        <f aca="false">IF(강사DB!A7="","",강사DB!A7)</f>
        <v>송지성</v>
      </c>
      <c r="B35" s="114" t="str">
        <f aca="false">IF(강사DB!A7="","",IF(ISNUMBER(SEARCH("퇴사",강사DB!G7)),"퇴사",강사DB!B7))</f>
        <v>메인강사</v>
      </c>
      <c r="C35" s="115" t="n">
        <f aca="false">IF($A35="","",COUNTIFS(m_teacher,$A35,m_name,"&lt;&gt;",m_status,"결제완료",m_date,"&gt;="&amp;$H$29,m_date,"&lt;="&amp;$I$29))</f>
        <v>0</v>
      </c>
      <c r="D35" s="116" t="n">
        <f aca="false">IF($A35="","",SUMIFS(m_hours,m_teacher,$A35,m_name,"&lt;&gt;",m_status,"결제완료",m_date,"&gt;="&amp;$H$29,m_date,"&lt;="&amp;$I$29))</f>
        <v>0</v>
      </c>
      <c r="E35" s="117" t="n">
        <f aca="false">IF($A35="","",SUMIFS(m_fee,m_teacher,$A35,m_date,"&gt;="&amp;$H$29,m_date,"&lt;="&amp;$I$29))</f>
        <v>0</v>
      </c>
      <c r="F35" s="117" t="n">
        <f aca="false">IF($A35="","",SUMIFS(m_fee,m_teacher,$A35,m_settle,"&gt;0",m_date,"&gt;="&amp;$H$29,m_date,"&lt;="&amp;$I$29))</f>
        <v>0</v>
      </c>
      <c r="G35" s="118" t="n">
        <f aca="false">IF($A35="","",E35-F35)</f>
        <v>0</v>
      </c>
    </row>
    <row r="36" customFormat="false" ht="15" hidden="false" customHeight="false" outlineLevel="0" collapsed="false">
      <c r="A36" s="113" t="str">
        <f aca="false">IF(강사DB!A8="","",강사DB!A8)</f>
        <v>박세근</v>
      </c>
      <c r="B36" s="114" t="str">
        <f aca="false">IF(강사DB!A8="","",IF(ISNUMBER(SEARCH("퇴사",강사DB!G8)),"퇴사",강사DB!B8))</f>
        <v>메인강사</v>
      </c>
      <c r="C36" s="115" t="n">
        <f aca="false">IF($A36="","",COUNTIFS(m_teacher,$A36,m_name,"&lt;&gt;",m_status,"결제완료",m_date,"&gt;="&amp;$H$29,m_date,"&lt;="&amp;$I$29))</f>
        <v>0</v>
      </c>
      <c r="D36" s="116" t="n">
        <f aca="false">IF($A36="","",SUMIFS(m_hours,m_teacher,$A36,m_name,"&lt;&gt;",m_status,"결제완료",m_date,"&gt;="&amp;$H$29,m_date,"&lt;="&amp;$I$29))</f>
        <v>0</v>
      </c>
      <c r="E36" s="117" t="n">
        <f aca="false">IF($A36="","",SUMIFS(m_fee,m_teacher,$A36,m_date,"&gt;="&amp;$H$29,m_date,"&lt;="&amp;$I$29))</f>
        <v>0</v>
      </c>
      <c r="F36" s="117" t="n">
        <f aca="false">IF($A36="","",SUMIFS(m_fee,m_teacher,$A36,m_settle,"&gt;0",m_date,"&gt;="&amp;$H$29,m_date,"&lt;="&amp;$I$29))</f>
        <v>0</v>
      </c>
      <c r="G36" s="118" t="n">
        <f aca="false">IF($A36="","",E36-F36)</f>
        <v>0</v>
      </c>
    </row>
    <row r="37" customFormat="false" ht="15" hidden="false" customHeight="false" outlineLevel="0" collapsed="false">
      <c r="A37" s="113" t="str">
        <f aca="false">IF(강사DB!A9="","",강사DB!A9)</f>
        <v>프리랜서A</v>
      </c>
      <c r="B37" s="114" t="str">
        <f aca="false">IF(강사DB!A9="","",IF(ISNUMBER(SEARCH("퇴사",강사DB!G9)),"퇴사",강사DB!B9))</f>
        <v>프리랜서</v>
      </c>
      <c r="C37" s="115" t="n">
        <f aca="false">IF($A37="","",COUNTIFS(m_teacher,$A37,m_name,"&lt;&gt;",m_status,"결제완료",m_date,"&gt;="&amp;$H$29,m_date,"&lt;="&amp;$I$29))</f>
        <v>0</v>
      </c>
      <c r="D37" s="116" t="n">
        <f aca="false">IF($A37="","",SUMIFS(m_hours,m_teacher,$A37,m_name,"&lt;&gt;",m_status,"결제완료",m_date,"&gt;="&amp;$H$29,m_date,"&lt;="&amp;$I$29))</f>
        <v>0</v>
      </c>
      <c r="E37" s="117" t="n">
        <f aca="false">IF($A37="","",SUMIFS(m_fee,m_teacher,$A37,m_date,"&gt;="&amp;$H$29,m_date,"&lt;="&amp;$I$29))</f>
        <v>0</v>
      </c>
      <c r="F37" s="117" t="n">
        <f aca="false">IF($A37="","",SUMIFS(m_fee,m_teacher,$A37,m_settle,"&gt;0",m_date,"&gt;="&amp;$H$29,m_date,"&lt;="&amp;$I$29))</f>
        <v>0</v>
      </c>
      <c r="G37" s="118" t="n">
        <f aca="false">IF($A37="","",E37-F37)</f>
        <v>0</v>
      </c>
    </row>
    <row r="38" customFormat="false" ht="15" hidden="false" customHeight="false" outlineLevel="0" collapsed="false">
      <c r="A38" s="113" t="str">
        <f aca="false">IF(강사DB!A10="","",강사DB!A10)</f>
        <v>프리랜서B</v>
      </c>
      <c r="B38" s="114" t="str">
        <f aca="false">IF(강사DB!A10="","",IF(ISNUMBER(SEARCH("퇴사",강사DB!G10)),"퇴사",강사DB!B10))</f>
        <v>프리랜서</v>
      </c>
      <c r="C38" s="115" t="n">
        <f aca="false">IF($A38="","",COUNTIFS(m_teacher,$A38,m_name,"&lt;&gt;",m_status,"결제완료",m_date,"&gt;="&amp;$H$29,m_date,"&lt;="&amp;$I$29))</f>
        <v>0</v>
      </c>
      <c r="D38" s="116" t="n">
        <f aca="false">IF($A38="","",SUMIFS(m_hours,m_teacher,$A38,m_name,"&lt;&gt;",m_status,"결제완료",m_date,"&gt;="&amp;$H$29,m_date,"&lt;="&amp;$I$29))</f>
        <v>0</v>
      </c>
      <c r="E38" s="117" t="n">
        <f aca="false">IF($A38="","",SUMIFS(m_fee,m_teacher,$A38,m_date,"&gt;="&amp;$H$29,m_date,"&lt;="&amp;$I$29))</f>
        <v>0</v>
      </c>
      <c r="F38" s="117" t="n">
        <f aca="false">IF($A38="","",SUMIFS(m_fee,m_teacher,$A38,m_settle,"&gt;0",m_date,"&gt;="&amp;$H$29,m_date,"&lt;="&amp;$I$29))</f>
        <v>0</v>
      </c>
      <c r="G38" s="118" t="n">
        <f aca="false">IF($A38="","",E38-F38)</f>
        <v>0</v>
      </c>
    </row>
    <row r="39" customFormat="false" ht="15" hidden="false" customHeight="false" outlineLevel="0" collapsed="false">
      <c r="A39" s="113" t="str">
        <f aca="false">IF(강사DB!A11="","",강사DB!A11)</f>
        <v/>
      </c>
      <c r="B39" s="114" t="str">
        <f aca="false">IF(강사DB!A11="","",IF(ISNUMBER(SEARCH("퇴사",강사DB!G11)),"퇴사",강사DB!B11))</f>
        <v/>
      </c>
      <c r="C39" s="115" t="str">
        <f aca="false">IF($A39="","",COUNTIFS(m_teacher,$A39,m_name,"&lt;&gt;",m_status,"결제완료",m_date,"&gt;="&amp;$H$29,m_date,"&lt;="&amp;$I$29))</f>
        <v/>
      </c>
      <c r="D39" s="116" t="str">
        <f aca="false">IF($A39="","",SUMIFS(m_hours,m_teacher,$A39,m_name,"&lt;&gt;",m_status,"결제완료",m_date,"&gt;="&amp;$H$29,m_date,"&lt;="&amp;$I$29))</f>
        <v/>
      </c>
      <c r="E39" s="117" t="str">
        <f aca="false">IF($A39="","",SUMIFS(m_fee,m_teacher,$A39,m_date,"&gt;="&amp;$H$29,m_date,"&lt;="&amp;$I$29))</f>
        <v/>
      </c>
      <c r="F39" s="117" t="str">
        <f aca="false">IF($A39="","",SUMIFS(m_fee,m_teacher,$A39,m_settle,"&gt;0",m_date,"&gt;="&amp;$H$29,m_date,"&lt;="&amp;$I$29))</f>
        <v/>
      </c>
      <c r="G39" s="118" t="str">
        <f aca="false">IF($A39="","",E39-F39)</f>
        <v/>
      </c>
    </row>
    <row r="40" customFormat="false" ht="15" hidden="false" customHeight="false" outlineLevel="0" collapsed="false">
      <c r="A40" s="113" t="str">
        <f aca="false">IF(강사DB!A12="","",강사DB!A12)</f>
        <v/>
      </c>
      <c r="B40" s="114" t="str">
        <f aca="false">IF(강사DB!A12="","",IF(ISNUMBER(SEARCH("퇴사",강사DB!G12)),"퇴사",강사DB!B12))</f>
        <v/>
      </c>
      <c r="C40" s="115" t="str">
        <f aca="false">IF($A40="","",COUNTIFS(m_teacher,$A40,m_name,"&lt;&gt;",m_status,"결제완료",m_date,"&gt;="&amp;$H$29,m_date,"&lt;="&amp;$I$29))</f>
        <v/>
      </c>
      <c r="D40" s="116" t="str">
        <f aca="false">IF($A40="","",SUMIFS(m_hours,m_teacher,$A40,m_name,"&lt;&gt;",m_status,"결제완료",m_date,"&gt;="&amp;$H$29,m_date,"&lt;="&amp;$I$29))</f>
        <v/>
      </c>
      <c r="E40" s="117" t="str">
        <f aca="false">IF($A40="","",SUMIFS(m_fee,m_teacher,$A40,m_date,"&gt;="&amp;$H$29,m_date,"&lt;="&amp;$I$29))</f>
        <v/>
      </c>
      <c r="F40" s="117" t="str">
        <f aca="false">IF($A40="","",SUMIFS(m_fee,m_teacher,$A40,m_settle,"&gt;0",m_date,"&gt;="&amp;$H$29,m_date,"&lt;="&amp;$I$29))</f>
        <v/>
      </c>
      <c r="G40" s="118" t="str">
        <f aca="false">IF($A40="","",E40-F40)</f>
        <v/>
      </c>
    </row>
    <row r="41" customFormat="false" ht="15" hidden="false" customHeight="false" outlineLevel="0" collapsed="false">
      <c r="A41" s="113" t="str">
        <f aca="false">IF(강사DB!A13="","",강사DB!A13)</f>
        <v/>
      </c>
      <c r="B41" s="114" t="str">
        <f aca="false">IF(강사DB!A13="","",IF(ISNUMBER(SEARCH("퇴사",강사DB!G13)),"퇴사",강사DB!B13))</f>
        <v/>
      </c>
      <c r="C41" s="115" t="str">
        <f aca="false">IF($A41="","",COUNTIFS(m_teacher,$A41,m_name,"&lt;&gt;",m_status,"결제완료",m_date,"&gt;="&amp;$H$29,m_date,"&lt;="&amp;$I$29))</f>
        <v/>
      </c>
      <c r="D41" s="116" t="str">
        <f aca="false">IF($A41="","",SUMIFS(m_hours,m_teacher,$A41,m_name,"&lt;&gt;",m_status,"결제완료",m_date,"&gt;="&amp;$H$29,m_date,"&lt;="&amp;$I$29))</f>
        <v/>
      </c>
      <c r="E41" s="117" t="str">
        <f aca="false">IF($A41="","",SUMIFS(m_fee,m_teacher,$A41,m_date,"&gt;="&amp;$H$29,m_date,"&lt;="&amp;$I$29))</f>
        <v/>
      </c>
      <c r="F41" s="117" t="str">
        <f aca="false">IF($A41="","",SUMIFS(m_fee,m_teacher,$A41,m_settle,"&gt;0",m_date,"&gt;="&amp;$H$29,m_date,"&lt;="&amp;$I$29))</f>
        <v/>
      </c>
      <c r="G41" s="118" t="str">
        <f aca="false">IF($A41="","",E41-F41)</f>
        <v/>
      </c>
    </row>
    <row r="42" customFormat="false" ht="15" hidden="false" customHeight="false" outlineLevel="0" collapsed="false">
      <c r="A42" s="113" t="str">
        <f aca="false">IF(강사DB!A14="","",강사DB!A14)</f>
        <v/>
      </c>
      <c r="B42" s="114" t="str">
        <f aca="false">IF(강사DB!A14="","",IF(ISNUMBER(SEARCH("퇴사",강사DB!G14)),"퇴사",강사DB!B14))</f>
        <v/>
      </c>
      <c r="C42" s="115" t="str">
        <f aca="false">IF($A42="","",COUNTIFS(m_teacher,$A42,m_name,"&lt;&gt;",m_status,"결제완료",m_date,"&gt;="&amp;$H$29,m_date,"&lt;="&amp;$I$29))</f>
        <v/>
      </c>
      <c r="D42" s="116" t="str">
        <f aca="false">IF($A42="","",SUMIFS(m_hours,m_teacher,$A42,m_name,"&lt;&gt;",m_status,"결제완료",m_date,"&gt;="&amp;$H$29,m_date,"&lt;="&amp;$I$29))</f>
        <v/>
      </c>
      <c r="E42" s="117" t="str">
        <f aca="false">IF($A42="","",SUMIFS(m_fee,m_teacher,$A42,m_date,"&gt;="&amp;$H$29,m_date,"&lt;="&amp;$I$29))</f>
        <v/>
      </c>
      <c r="F42" s="117" t="str">
        <f aca="false">IF($A42="","",SUMIFS(m_fee,m_teacher,$A42,m_settle,"&gt;0",m_date,"&gt;="&amp;$H$29,m_date,"&lt;="&amp;$I$29))</f>
        <v/>
      </c>
      <c r="G42" s="118" t="str">
        <f aca="false">IF($A42="","",E42-F42)</f>
        <v/>
      </c>
    </row>
    <row r="43" customFormat="false" ht="15" hidden="false" customHeight="false" outlineLevel="0" collapsed="false">
      <c r="A43" s="113" t="str">
        <f aca="false">IF(강사DB!A15="","",강사DB!A15)</f>
        <v/>
      </c>
      <c r="B43" s="114" t="str">
        <f aca="false">IF(강사DB!A15="","",IF(ISNUMBER(SEARCH("퇴사",강사DB!G15)),"퇴사",강사DB!B15))</f>
        <v/>
      </c>
      <c r="C43" s="115" t="str">
        <f aca="false">IF($A43="","",COUNTIFS(m_teacher,$A43,m_name,"&lt;&gt;",m_status,"결제완료",m_date,"&gt;="&amp;$H$29,m_date,"&lt;="&amp;$I$29))</f>
        <v/>
      </c>
      <c r="D43" s="116" t="str">
        <f aca="false">IF($A43="","",SUMIFS(m_hours,m_teacher,$A43,m_name,"&lt;&gt;",m_status,"결제완료",m_date,"&gt;="&amp;$H$29,m_date,"&lt;="&amp;$I$29))</f>
        <v/>
      </c>
      <c r="E43" s="117" t="str">
        <f aca="false">IF($A43="","",SUMIFS(m_fee,m_teacher,$A43,m_date,"&gt;="&amp;$H$29,m_date,"&lt;="&amp;$I$29))</f>
        <v/>
      </c>
      <c r="F43" s="117" t="str">
        <f aca="false">IF($A43="","",SUMIFS(m_fee,m_teacher,$A43,m_settle,"&gt;0",m_date,"&gt;="&amp;$H$29,m_date,"&lt;="&amp;$I$29))</f>
        <v/>
      </c>
      <c r="G43" s="118" t="str">
        <f aca="false">IF($A43="","",E43-F43)</f>
        <v/>
      </c>
    </row>
    <row r="44" customFormat="false" ht="15" hidden="false" customHeight="false" outlineLevel="0" collapsed="false">
      <c r="A44" s="113" t="str">
        <f aca="false">IF(강사DB!A16="","",강사DB!A16)</f>
        <v/>
      </c>
      <c r="B44" s="114" t="str">
        <f aca="false">IF(강사DB!A16="","",IF(ISNUMBER(SEARCH("퇴사",강사DB!G16)),"퇴사",강사DB!B16))</f>
        <v/>
      </c>
      <c r="C44" s="115" t="str">
        <f aca="false">IF($A44="","",COUNTIFS(m_teacher,$A44,m_name,"&lt;&gt;",m_status,"결제완료",m_date,"&gt;="&amp;$H$29,m_date,"&lt;="&amp;$I$29))</f>
        <v/>
      </c>
      <c r="D44" s="116" t="str">
        <f aca="false">IF($A44="","",SUMIFS(m_hours,m_teacher,$A44,m_name,"&lt;&gt;",m_status,"결제완료",m_date,"&gt;="&amp;$H$29,m_date,"&lt;="&amp;$I$29))</f>
        <v/>
      </c>
      <c r="E44" s="117" t="str">
        <f aca="false">IF($A44="","",SUMIFS(m_fee,m_teacher,$A44,m_date,"&gt;="&amp;$H$29,m_date,"&lt;="&amp;$I$29))</f>
        <v/>
      </c>
      <c r="F44" s="117" t="str">
        <f aca="false">IF($A44="","",SUMIFS(m_fee,m_teacher,$A44,m_settle,"&gt;0",m_date,"&gt;="&amp;$H$29,m_date,"&lt;="&amp;$I$29))</f>
        <v/>
      </c>
      <c r="G44" s="118" t="str">
        <f aca="false">IF($A44="","",E44-F44)</f>
        <v/>
      </c>
    </row>
    <row r="45" customFormat="false" ht="15" hidden="false" customHeight="false" outlineLevel="0" collapsed="false">
      <c r="A45" s="113" t="str">
        <f aca="false">IF(강사DB!A17="","",강사DB!A17)</f>
        <v/>
      </c>
      <c r="B45" s="114" t="str">
        <f aca="false">IF(강사DB!A17="","",IF(ISNUMBER(SEARCH("퇴사",강사DB!G17)),"퇴사",강사DB!B17))</f>
        <v/>
      </c>
      <c r="C45" s="115" t="str">
        <f aca="false">IF($A45="","",COUNTIFS(m_teacher,$A45,m_name,"&lt;&gt;",m_status,"결제완료",m_date,"&gt;="&amp;$H$29,m_date,"&lt;="&amp;$I$29))</f>
        <v/>
      </c>
      <c r="D45" s="116" t="str">
        <f aca="false">IF($A45="","",SUMIFS(m_hours,m_teacher,$A45,m_name,"&lt;&gt;",m_status,"결제완료",m_date,"&gt;="&amp;$H$29,m_date,"&lt;="&amp;$I$29))</f>
        <v/>
      </c>
      <c r="E45" s="117" t="str">
        <f aca="false">IF($A45="","",SUMIFS(m_fee,m_teacher,$A45,m_date,"&gt;="&amp;$H$29,m_date,"&lt;="&amp;$I$29))</f>
        <v/>
      </c>
      <c r="F45" s="117" t="str">
        <f aca="false">IF($A45="","",SUMIFS(m_fee,m_teacher,$A45,m_settle,"&gt;0",m_date,"&gt;="&amp;$H$29,m_date,"&lt;="&amp;$I$29))</f>
        <v/>
      </c>
      <c r="G45" s="118" t="str">
        <f aca="false">IF($A45="","",E45-F45)</f>
        <v/>
      </c>
    </row>
    <row r="46" customFormat="false" ht="15" hidden="false" customHeight="false" outlineLevel="0" collapsed="false">
      <c r="A46" s="113" t="str">
        <f aca="false">IF(강사DB!A18="","",강사DB!A18)</f>
        <v/>
      </c>
      <c r="B46" s="114" t="str">
        <f aca="false">IF(강사DB!A18="","",IF(ISNUMBER(SEARCH("퇴사",강사DB!G18)),"퇴사",강사DB!B18))</f>
        <v/>
      </c>
      <c r="C46" s="115" t="str">
        <f aca="false">IF($A46="","",COUNTIFS(m_teacher,$A46,m_name,"&lt;&gt;",m_status,"결제완료",m_date,"&gt;="&amp;$H$29,m_date,"&lt;="&amp;$I$29))</f>
        <v/>
      </c>
      <c r="D46" s="116" t="str">
        <f aca="false">IF($A46="","",SUMIFS(m_hours,m_teacher,$A46,m_name,"&lt;&gt;",m_status,"결제완료",m_date,"&gt;="&amp;$H$29,m_date,"&lt;="&amp;$I$29))</f>
        <v/>
      </c>
      <c r="E46" s="117" t="str">
        <f aca="false">IF($A46="","",SUMIFS(m_fee,m_teacher,$A46,m_date,"&gt;="&amp;$H$29,m_date,"&lt;="&amp;$I$29))</f>
        <v/>
      </c>
      <c r="F46" s="117" t="str">
        <f aca="false">IF($A46="","",SUMIFS(m_fee,m_teacher,$A46,m_settle,"&gt;0",m_date,"&gt;="&amp;$H$29,m_date,"&lt;="&amp;$I$29))</f>
        <v/>
      </c>
      <c r="G46" s="118" t="str">
        <f aca="false">IF($A46="","",E46-F46)</f>
        <v/>
      </c>
    </row>
    <row r="47" customFormat="false" ht="15" hidden="false" customHeight="false" outlineLevel="0" collapsed="false">
      <c r="A47" s="113" t="str">
        <f aca="false">IF(강사DB!A19="","",강사DB!A19)</f>
        <v/>
      </c>
      <c r="B47" s="114" t="str">
        <f aca="false">IF(강사DB!A19="","",IF(ISNUMBER(SEARCH("퇴사",강사DB!G19)),"퇴사",강사DB!B19))</f>
        <v/>
      </c>
      <c r="C47" s="115" t="str">
        <f aca="false">IF($A47="","",COUNTIFS(m_teacher,$A47,m_name,"&lt;&gt;",m_status,"결제완료",m_date,"&gt;="&amp;$H$29,m_date,"&lt;="&amp;$I$29))</f>
        <v/>
      </c>
      <c r="D47" s="116" t="str">
        <f aca="false">IF($A47="","",SUMIFS(m_hours,m_teacher,$A47,m_name,"&lt;&gt;",m_status,"결제완료",m_date,"&gt;="&amp;$H$29,m_date,"&lt;="&amp;$I$29))</f>
        <v/>
      </c>
      <c r="E47" s="117" t="str">
        <f aca="false">IF($A47="","",SUMIFS(m_fee,m_teacher,$A47,m_date,"&gt;="&amp;$H$29,m_date,"&lt;="&amp;$I$29))</f>
        <v/>
      </c>
      <c r="F47" s="117" t="str">
        <f aca="false">IF($A47="","",SUMIFS(m_fee,m_teacher,$A47,m_settle,"&gt;0",m_date,"&gt;="&amp;$H$29,m_date,"&lt;="&amp;$I$29))</f>
        <v/>
      </c>
      <c r="G47" s="118" t="str">
        <f aca="false">IF($A47="","",E47-F47)</f>
        <v/>
      </c>
    </row>
    <row r="48" customFormat="false" ht="15" hidden="false" customHeight="false" outlineLevel="0" collapsed="false">
      <c r="A48" s="113" t="str">
        <f aca="false">IF(강사DB!A20="","",강사DB!A20)</f>
        <v/>
      </c>
      <c r="B48" s="114" t="str">
        <f aca="false">IF(강사DB!A20="","",IF(ISNUMBER(SEARCH("퇴사",강사DB!G20)),"퇴사",강사DB!B20))</f>
        <v/>
      </c>
      <c r="C48" s="115" t="str">
        <f aca="false">IF($A48="","",COUNTIFS(m_teacher,$A48,m_name,"&lt;&gt;",m_status,"결제완료",m_date,"&gt;="&amp;$H$29,m_date,"&lt;="&amp;$I$29))</f>
        <v/>
      </c>
      <c r="D48" s="116" t="str">
        <f aca="false">IF($A48="","",SUMIFS(m_hours,m_teacher,$A48,m_name,"&lt;&gt;",m_status,"결제완료",m_date,"&gt;="&amp;$H$29,m_date,"&lt;="&amp;$I$29))</f>
        <v/>
      </c>
      <c r="E48" s="117" t="str">
        <f aca="false">IF($A48="","",SUMIFS(m_fee,m_teacher,$A48,m_date,"&gt;="&amp;$H$29,m_date,"&lt;="&amp;$I$29))</f>
        <v/>
      </c>
      <c r="F48" s="117" t="str">
        <f aca="false">IF($A48="","",SUMIFS(m_fee,m_teacher,$A48,m_settle,"&gt;0",m_date,"&gt;="&amp;$H$29,m_date,"&lt;="&amp;$I$29))</f>
        <v/>
      </c>
      <c r="G48" s="118" t="str">
        <f aca="false">IF($A48="","",E48-F48)</f>
        <v/>
      </c>
    </row>
    <row r="49" customFormat="false" ht="15" hidden="false" customHeight="false" outlineLevel="0" collapsed="false">
      <c r="A49" s="113" t="str">
        <f aca="false">IF(강사DB!A21="","",강사DB!A21)</f>
        <v/>
      </c>
      <c r="B49" s="114" t="str">
        <f aca="false">IF(강사DB!A21="","",IF(ISNUMBER(SEARCH("퇴사",강사DB!G21)),"퇴사",강사DB!B21))</f>
        <v/>
      </c>
      <c r="C49" s="115" t="str">
        <f aca="false">IF($A49="","",COUNTIFS(m_teacher,$A49,m_name,"&lt;&gt;",m_status,"결제완료",m_date,"&gt;="&amp;$H$29,m_date,"&lt;="&amp;$I$29))</f>
        <v/>
      </c>
      <c r="D49" s="116" t="str">
        <f aca="false">IF($A49="","",SUMIFS(m_hours,m_teacher,$A49,m_name,"&lt;&gt;",m_status,"결제완료",m_date,"&gt;="&amp;$H$29,m_date,"&lt;="&amp;$I$29))</f>
        <v/>
      </c>
      <c r="E49" s="117" t="str">
        <f aca="false">IF($A49="","",SUMIFS(m_fee,m_teacher,$A49,m_date,"&gt;="&amp;$H$29,m_date,"&lt;="&amp;$I$29))</f>
        <v/>
      </c>
      <c r="F49" s="117" t="str">
        <f aca="false">IF($A49="","",SUMIFS(m_fee,m_teacher,$A49,m_settle,"&gt;0",m_date,"&gt;="&amp;$H$29,m_date,"&lt;="&amp;$I$29))</f>
        <v/>
      </c>
      <c r="G49" s="118" t="str">
        <f aca="false">IF($A49="","",E49-F49)</f>
        <v/>
      </c>
    </row>
    <row r="50" customFormat="false" ht="15" hidden="false" customHeight="false" outlineLevel="0" collapsed="false">
      <c r="A50" s="113" t="str">
        <f aca="false">IF(강사DB!A22="","",강사DB!A22)</f>
        <v/>
      </c>
      <c r="B50" s="114" t="str">
        <f aca="false">IF(강사DB!A22="","",IF(ISNUMBER(SEARCH("퇴사",강사DB!G22)),"퇴사",강사DB!B22))</f>
        <v/>
      </c>
      <c r="C50" s="115" t="str">
        <f aca="false">IF($A50="","",COUNTIFS(m_teacher,$A50,m_name,"&lt;&gt;",m_status,"결제완료",m_date,"&gt;="&amp;$H$29,m_date,"&lt;="&amp;$I$29))</f>
        <v/>
      </c>
      <c r="D50" s="116" t="str">
        <f aca="false">IF($A50="","",SUMIFS(m_hours,m_teacher,$A50,m_name,"&lt;&gt;",m_status,"결제완료",m_date,"&gt;="&amp;$H$29,m_date,"&lt;="&amp;$I$29))</f>
        <v/>
      </c>
      <c r="E50" s="117" t="str">
        <f aca="false">IF($A50="","",SUMIFS(m_fee,m_teacher,$A50,m_date,"&gt;="&amp;$H$29,m_date,"&lt;="&amp;$I$29))</f>
        <v/>
      </c>
      <c r="F50" s="117" t="str">
        <f aca="false">IF($A50="","",SUMIFS(m_fee,m_teacher,$A50,m_settle,"&gt;0",m_date,"&gt;="&amp;$H$29,m_date,"&lt;="&amp;$I$29))</f>
        <v/>
      </c>
      <c r="G50" s="118" t="str">
        <f aca="false">IF($A50="","",E50-F50)</f>
        <v/>
      </c>
    </row>
    <row r="51" customFormat="false" ht="15" hidden="false" customHeight="false" outlineLevel="0" collapsed="false">
      <c r="A51" s="113" t="str">
        <f aca="false">IF(강사DB!A23="","",강사DB!A23)</f>
        <v/>
      </c>
      <c r="B51" s="114" t="str">
        <f aca="false">IF(강사DB!A23="","",IF(ISNUMBER(SEARCH("퇴사",강사DB!G23)),"퇴사",강사DB!B23))</f>
        <v/>
      </c>
      <c r="C51" s="115" t="str">
        <f aca="false">IF($A51="","",COUNTIFS(m_teacher,$A51,m_name,"&lt;&gt;",m_status,"결제완료",m_date,"&gt;="&amp;$H$29,m_date,"&lt;="&amp;$I$29))</f>
        <v/>
      </c>
      <c r="D51" s="116" t="str">
        <f aca="false">IF($A51="","",SUMIFS(m_hours,m_teacher,$A51,m_name,"&lt;&gt;",m_status,"결제완료",m_date,"&gt;="&amp;$H$29,m_date,"&lt;="&amp;$I$29))</f>
        <v/>
      </c>
      <c r="E51" s="117" t="str">
        <f aca="false">IF($A51="","",SUMIFS(m_fee,m_teacher,$A51,m_date,"&gt;="&amp;$H$29,m_date,"&lt;="&amp;$I$29))</f>
        <v/>
      </c>
      <c r="F51" s="117" t="str">
        <f aca="false">IF($A51="","",SUMIFS(m_fee,m_teacher,$A51,m_settle,"&gt;0",m_date,"&gt;="&amp;$H$29,m_date,"&lt;="&amp;$I$29))</f>
        <v/>
      </c>
      <c r="G51" s="118" t="str">
        <f aca="false">IF($A51="","",E51-F51)</f>
        <v/>
      </c>
    </row>
    <row r="52" customFormat="false" ht="15" hidden="false" customHeight="true" outlineLevel="0" collapsed="false">
      <c r="A52" s="30" t="s">
        <v>40</v>
      </c>
      <c r="B52" s="30"/>
      <c r="C52" s="125" t="n">
        <f aca="false">SUM(C32:C51)</f>
        <v>0</v>
      </c>
      <c r="D52" s="126" t="n">
        <f aca="false">SUM(D32:D51)</f>
        <v>0</v>
      </c>
      <c r="E52" s="122" t="n">
        <f aca="false">SUM(E32:E51)</f>
        <v>0</v>
      </c>
      <c r="F52" s="122" t="n">
        <f aca="false">SUM(F32:F51)</f>
        <v>0</v>
      </c>
      <c r="G52" s="127" t="n">
        <f aca="false">SUM(G32:G51)</f>
        <v>0</v>
      </c>
    </row>
  </sheetData>
  <mergeCells count="49">
    <mergeCell ref="A1:AB1"/>
    <mergeCell ref="A2:AB2"/>
    <mergeCell ref="J3:AJ3"/>
    <mergeCell ref="A4:G4"/>
    <mergeCell ref="J4:L4"/>
    <mergeCell ref="M4:N4"/>
    <mergeCell ref="O4:P4"/>
    <mergeCell ref="Q4:R4"/>
    <mergeCell ref="S4:T4"/>
    <mergeCell ref="U4:V4"/>
    <mergeCell ref="W4:X4"/>
    <mergeCell ref="Y4:Z4"/>
    <mergeCell ref="AA4:AB4"/>
    <mergeCell ref="AC4:AD4"/>
    <mergeCell ref="AE4:AF4"/>
    <mergeCell ref="AG4:AH4"/>
    <mergeCell ref="AI4:AJ4"/>
    <mergeCell ref="J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E22:AF22"/>
    <mergeCell ref="AG22:AH22"/>
    <mergeCell ref="AI22:AJ22"/>
    <mergeCell ref="J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E23:AF23"/>
    <mergeCell ref="AG23:AH23"/>
    <mergeCell ref="AI23:AJ23"/>
    <mergeCell ref="J25:AJ26"/>
    <mergeCell ref="A26:B26"/>
    <mergeCell ref="A28:G28"/>
    <mergeCell ref="F29:G29"/>
    <mergeCell ref="A30:G30"/>
    <mergeCell ref="A52:B52"/>
  </mergeCells>
  <conditionalFormatting sqref="A6:G25">
    <cfRule type="expression" priority="2" aboveAverage="0" equalAverage="0" bottom="0" percent="0" rank="0" text="" dxfId="13">
      <formula>$B6="퇴사"</formula>
    </cfRule>
  </conditionalFormatting>
  <conditionalFormatting sqref="A32:G51">
    <cfRule type="expression" priority="3" aboveAverage="0" equalAverage="0" bottom="0" percent="0" rank="0" text="" dxfId="13">
      <formula>$B32="퇴사"</formula>
    </cfRule>
  </conditionalFormatting>
  <conditionalFormatting sqref="M6:N21">
    <cfRule type="expression" priority="4" aboveAverage="0" equalAverage="0" bottom="0" percent="0" rank="0" text="" dxfId="12">
      <formula>$N6&lt;&gt;""</formula>
    </cfRule>
    <cfRule type="expression" priority="5" aboveAverage="0" equalAverage="0" bottom="0" percent="0" rank="0" text="" dxfId="14">
      <formula>AND($N6="",N($M6)&gt;0,$AL6&lt;TODAY())</formula>
    </cfRule>
    <cfRule type="expression" priority="6" aboveAverage="0" equalAverage="0" bottom="0" percent="0" rank="0" text="" dxfId="15">
      <formula>AND($N6="",N($M6)&gt;0)</formula>
    </cfRule>
  </conditionalFormatting>
  <conditionalFormatting sqref="O6:P21">
    <cfRule type="expression" priority="7" aboveAverage="0" equalAverage="0" bottom="0" percent="0" rank="0" text="" dxfId="12">
      <formula>$P6&lt;&gt;""</formula>
    </cfRule>
    <cfRule type="expression" priority="8" aboveAverage="0" equalAverage="0" bottom="0" percent="0" rank="0" text="" dxfId="14">
      <formula>AND($P6="",N($O6)&gt;0,$AL6&lt;TODAY())</formula>
    </cfRule>
    <cfRule type="expression" priority="9" aboveAverage="0" equalAverage="0" bottom="0" percent="0" rank="0" text="" dxfId="15">
      <formula>AND($P6="",N($O6)&gt;0)</formula>
    </cfRule>
  </conditionalFormatting>
  <conditionalFormatting sqref="Q6:R21">
    <cfRule type="expression" priority="10" aboveAverage="0" equalAverage="0" bottom="0" percent="0" rank="0" text="" dxfId="12">
      <formula>$R6&lt;&gt;""</formula>
    </cfRule>
    <cfRule type="expression" priority="11" aboveAverage="0" equalAverage="0" bottom="0" percent="0" rank="0" text="" dxfId="14">
      <formula>AND($R6="",N($Q6)&gt;0,$AL6&lt;TODAY())</formula>
    </cfRule>
    <cfRule type="expression" priority="12" aboveAverage="0" equalAverage="0" bottom="0" percent="0" rank="0" text="" dxfId="15">
      <formula>AND($R6="",N($Q6)&gt;0)</formula>
    </cfRule>
  </conditionalFormatting>
  <conditionalFormatting sqref="S6:T21">
    <cfRule type="expression" priority="13" aboveAverage="0" equalAverage="0" bottom="0" percent="0" rank="0" text="" dxfId="12">
      <formula>$T6&lt;&gt;""</formula>
    </cfRule>
    <cfRule type="expression" priority="14" aboveAverage="0" equalAverage="0" bottom="0" percent="0" rank="0" text="" dxfId="14">
      <formula>AND($T6="",N($S6)&gt;0,$AL6&lt;TODAY())</formula>
    </cfRule>
    <cfRule type="expression" priority="15" aboveAverage="0" equalAverage="0" bottom="0" percent="0" rank="0" text="" dxfId="15">
      <formula>AND($T6="",N($S6)&gt;0)</formula>
    </cfRule>
  </conditionalFormatting>
  <conditionalFormatting sqref="U6:V21">
    <cfRule type="expression" priority="16" aboveAverage="0" equalAverage="0" bottom="0" percent="0" rank="0" text="" dxfId="12">
      <formula>$V6&lt;&gt;""</formula>
    </cfRule>
    <cfRule type="expression" priority="17" aboveAverage="0" equalAverage="0" bottom="0" percent="0" rank="0" text="" dxfId="14">
      <formula>AND($V6="",N($U6)&gt;0,$AL6&lt;TODAY())</formula>
    </cfRule>
    <cfRule type="expression" priority="18" aboveAverage="0" equalAverage="0" bottom="0" percent="0" rank="0" text="" dxfId="15">
      <formula>AND($V6="",N($U6)&gt;0)</formula>
    </cfRule>
  </conditionalFormatting>
  <conditionalFormatting sqref="W6:X21">
    <cfRule type="expression" priority="19" aboveAverage="0" equalAverage="0" bottom="0" percent="0" rank="0" text="" dxfId="12">
      <formula>$X6&lt;&gt;""</formula>
    </cfRule>
    <cfRule type="expression" priority="20" aboveAverage="0" equalAverage="0" bottom="0" percent="0" rank="0" text="" dxfId="14">
      <formula>AND($X6="",N($W6)&gt;0,$AL6&lt;TODAY())</formula>
    </cfRule>
    <cfRule type="expression" priority="21" aboveAverage="0" equalAverage="0" bottom="0" percent="0" rank="0" text="" dxfId="15">
      <formula>AND($X6="",N($W6)&gt;0)</formula>
    </cfRule>
  </conditionalFormatting>
  <conditionalFormatting sqref="Y6:Z21">
    <cfRule type="expression" priority="22" aboveAverage="0" equalAverage="0" bottom="0" percent="0" rank="0" text="" dxfId="12">
      <formula>$Z6&lt;&gt;""</formula>
    </cfRule>
    <cfRule type="expression" priority="23" aboveAverage="0" equalAverage="0" bottom="0" percent="0" rank="0" text="" dxfId="14">
      <formula>AND($Z6="",N($Y6)&gt;0,$AL6&lt;TODAY())</formula>
    </cfRule>
    <cfRule type="expression" priority="24" aboveAverage="0" equalAverage="0" bottom="0" percent="0" rank="0" text="" dxfId="15">
      <formula>AND($Z6="",N($Y6)&gt;0)</formula>
    </cfRule>
  </conditionalFormatting>
  <conditionalFormatting sqref="AA6:AB21">
    <cfRule type="expression" priority="25" aboveAverage="0" equalAverage="0" bottom="0" percent="0" rank="0" text="" dxfId="12">
      <formula>$AB6&lt;&gt;""</formula>
    </cfRule>
    <cfRule type="expression" priority="26" aboveAverage="0" equalAverage="0" bottom="0" percent="0" rank="0" text="" dxfId="14">
      <formula>AND($AB6="",N($AA6)&gt;0,$AL6&lt;TODAY())</formula>
    </cfRule>
    <cfRule type="expression" priority="27" aboveAverage="0" equalAverage="0" bottom="0" percent="0" rank="0" text="" dxfId="15">
      <formula>AND($AB6="",N($AA6)&gt;0)</formula>
    </cfRule>
  </conditionalFormatting>
  <conditionalFormatting sqref="AC6:AD21">
    <cfRule type="expression" priority="28" aboveAverage="0" equalAverage="0" bottom="0" percent="0" rank="0" text="" dxfId="12">
      <formula>$AD6&lt;&gt;""</formula>
    </cfRule>
    <cfRule type="expression" priority="29" aboveAverage="0" equalAverage="0" bottom="0" percent="0" rank="0" text="" dxfId="14">
      <formula>AND($AD6="",N($AC6)&gt;0,$AL6&lt;TODAY())</formula>
    </cfRule>
    <cfRule type="expression" priority="30" aboveAverage="0" equalAverage="0" bottom="0" percent="0" rank="0" text="" dxfId="15">
      <formula>AND($AD6="",N($AC6)&gt;0)</formula>
    </cfRule>
  </conditionalFormatting>
  <conditionalFormatting sqref="AE6:AF21">
    <cfRule type="expression" priority="31" aboveAverage="0" equalAverage="0" bottom="0" percent="0" rank="0" text="" dxfId="12">
      <formula>$AF6&lt;&gt;""</formula>
    </cfRule>
    <cfRule type="expression" priority="32" aboveAverage="0" equalAverage="0" bottom="0" percent="0" rank="0" text="" dxfId="14">
      <formula>AND($AF6="",N($AE6)&gt;0,$AL6&lt;TODAY())</formula>
    </cfRule>
    <cfRule type="expression" priority="33" aboveAverage="0" equalAverage="0" bottom="0" percent="0" rank="0" text="" dxfId="15">
      <formula>AND($AF6="",N($AE6)&gt;0)</formula>
    </cfRule>
  </conditionalFormatting>
  <conditionalFormatting sqref="AG6:AH21">
    <cfRule type="expression" priority="34" aboveAverage="0" equalAverage="0" bottom="0" percent="0" rank="0" text="" dxfId="12">
      <formula>$AH6&lt;&gt;""</formula>
    </cfRule>
    <cfRule type="expression" priority="35" aboveAverage="0" equalAverage="0" bottom="0" percent="0" rank="0" text="" dxfId="14">
      <formula>AND($AH6="",N($AG6)&gt;0,$AL6&lt;TODAY())</formula>
    </cfRule>
    <cfRule type="expression" priority="36" aboveAverage="0" equalAverage="0" bottom="0" percent="0" rank="0" text="" dxfId="15">
      <formula>AND($AH6="",N($AG6)&gt;0)</formula>
    </cfRule>
  </conditionalFormatting>
  <conditionalFormatting sqref="AI6:AJ21">
    <cfRule type="expression" priority="37" aboveAverage="0" equalAverage="0" bottom="0" percent="0" rank="0" text="" dxfId="12">
      <formula>$AJ6&lt;&gt;""</formula>
    </cfRule>
    <cfRule type="expression" priority="38" aboveAverage="0" equalAverage="0" bottom="0" percent="0" rank="0" text="" dxfId="14">
      <formula>AND($AJ6="",N($AI6)&gt;0,$AL6&lt;TODAY())</formula>
    </cfRule>
    <cfRule type="expression" priority="39" aboveAverage="0" equalAverage="0" bottom="0" percent="0" rank="0" text="" dxfId="15">
      <formula>AND($AJ6="",N($AI6)&gt;0)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99A8"/>
    <pageSetUpPr fitToPage="false"/>
  </sheetPr>
  <dimension ref="A1:G5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24"/>
    <col collapsed="false" customWidth="true" hidden="false" outlineLevel="0" max="5" min="4" style="0" width="12"/>
    <col collapsed="false" customWidth="true" hidden="false" outlineLevel="0" max="6" min="6" style="0" width="28"/>
    <col collapsed="false" customWidth="true" hidden="true" outlineLevel="0" max="7" min="7" style="0" width="11"/>
  </cols>
  <sheetData>
    <row r="1" customFormat="false" ht="19.4" hidden="false" customHeight="true" outlineLevel="0" collapsed="false">
      <c r="A1" s="131" t="s">
        <v>139</v>
      </c>
      <c r="B1" s="131"/>
      <c r="C1" s="131"/>
      <c r="D1" s="131"/>
      <c r="E1" s="131"/>
      <c r="F1" s="131"/>
    </row>
    <row r="2" customFormat="false" ht="30" hidden="false" customHeight="true" outlineLevel="0" collapsed="false">
      <c r="A2" s="40" t="s">
        <v>140</v>
      </c>
      <c r="B2" s="40"/>
      <c r="C2" s="40"/>
      <c r="D2" s="40"/>
      <c r="E2" s="40"/>
      <c r="F2" s="40"/>
    </row>
    <row r="3" customFormat="false" ht="15" hidden="false" customHeight="false" outlineLevel="0" collapsed="false">
      <c r="A3" s="42" t="s">
        <v>141</v>
      </c>
      <c r="B3" s="42" t="s">
        <v>106</v>
      </c>
      <c r="C3" s="42" t="s">
        <v>142</v>
      </c>
      <c r="D3" s="42" t="s">
        <v>143</v>
      </c>
      <c r="E3" s="42" t="s">
        <v>144</v>
      </c>
      <c r="F3" s="42" t="s">
        <v>145</v>
      </c>
      <c r="G3" s="44" t="s">
        <v>146</v>
      </c>
    </row>
    <row r="4" customFormat="false" ht="15" hidden="false" customHeight="false" outlineLevel="0" collapsed="false">
      <c r="A4" s="47"/>
      <c r="B4" s="48"/>
      <c r="C4" s="132"/>
      <c r="D4" s="53"/>
      <c r="E4" s="48"/>
      <c r="F4" s="132"/>
      <c r="G4" s="133" t="str">
        <f aca="false">IF($A4="","",IFERROR(IF(ISNUMBER($A4),IF($A4&gt;19000000,DATE(INT($A4/10000),MOD(INT($A4/100),100),MOD($A4,100)),INT($A4)),IF(LEN(SUBSTITUTE(SUBSTITUTE(SUBSTITUTE(TRIM($A4),"-",""),".",""),"/",""))=8,DATE(VALUE(LEFT(SUBSTITUTE(SUBSTITUTE(SUBSTITUTE(TRIM($A4),"-",""),".",""),"/",""),4)),VALUE(MID(SUBSTITUTE(SUBSTITUTE(SUBSTITUTE(TRIM($A4),"-",""),".",""),"/",""),5,2)),VALUE(RIGHT(SUBSTITUTE(SUBSTITUTE(SUBSTITUTE(TRIM($A4),"-",""),".",""),"/",""),2))),DATEVALUE($A4))),""))</f>
        <v/>
      </c>
    </row>
    <row r="5" customFormat="false" ht="15" hidden="false" customHeight="false" outlineLevel="0" collapsed="false">
      <c r="A5" s="47"/>
      <c r="B5" s="48"/>
      <c r="C5" s="132"/>
      <c r="D5" s="53"/>
      <c r="E5" s="48"/>
      <c r="F5" s="132"/>
      <c r="G5" s="133" t="str">
        <f aca="false">IF($A5="","",IFERROR(IF(ISNUMBER($A5),IF($A5&gt;19000000,DATE(INT($A5/10000),MOD(INT($A5/100),100),MOD($A5,100)),INT($A5)),IF(LEN(SUBSTITUTE(SUBSTITUTE(SUBSTITUTE(TRIM($A5),"-",""),".",""),"/",""))=8,DATE(VALUE(LEFT(SUBSTITUTE(SUBSTITUTE(SUBSTITUTE(TRIM($A5),"-",""),".",""),"/",""),4)),VALUE(MID(SUBSTITUTE(SUBSTITUTE(SUBSTITUTE(TRIM($A5),"-",""),".",""),"/",""),5,2)),VALUE(RIGHT(SUBSTITUTE(SUBSTITUTE(SUBSTITUTE(TRIM($A5),"-",""),".",""),"/",""),2))),DATEVALUE($A5))),""))</f>
        <v/>
      </c>
    </row>
    <row r="6" customFormat="false" ht="15" hidden="false" customHeight="false" outlineLevel="0" collapsed="false">
      <c r="A6" s="47"/>
      <c r="B6" s="48"/>
      <c r="C6" s="132"/>
      <c r="D6" s="53"/>
      <c r="E6" s="48"/>
      <c r="F6" s="132"/>
      <c r="G6" s="133" t="str">
        <f aca="false">IF($A6="","",IFERROR(IF(ISNUMBER($A6),IF($A6&gt;19000000,DATE(INT($A6/10000),MOD(INT($A6/100),100),MOD($A6,100)),INT($A6)),IF(LEN(SUBSTITUTE(SUBSTITUTE(SUBSTITUTE(TRIM($A6),"-",""),".",""),"/",""))=8,DATE(VALUE(LEFT(SUBSTITUTE(SUBSTITUTE(SUBSTITUTE(TRIM($A6),"-",""),".",""),"/",""),4)),VALUE(MID(SUBSTITUTE(SUBSTITUTE(SUBSTITUTE(TRIM($A6),"-",""),".",""),"/",""),5,2)),VALUE(RIGHT(SUBSTITUTE(SUBSTITUTE(SUBSTITUTE(TRIM($A6),"-",""),".",""),"/",""),2))),DATEVALUE($A6))),""))</f>
        <v/>
      </c>
    </row>
    <row r="7" customFormat="false" ht="15" hidden="false" customHeight="false" outlineLevel="0" collapsed="false">
      <c r="A7" s="47"/>
      <c r="B7" s="48"/>
      <c r="C7" s="132"/>
      <c r="D7" s="53"/>
      <c r="E7" s="48"/>
      <c r="F7" s="132"/>
      <c r="G7" s="133" t="str">
        <f aca="false">IF($A7="","",IFERROR(IF(ISNUMBER($A7),IF($A7&gt;19000000,DATE(INT($A7/10000),MOD(INT($A7/100),100),MOD($A7,100)),INT($A7)),IF(LEN(SUBSTITUTE(SUBSTITUTE(SUBSTITUTE(TRIM($A7),"-",""),".",""),"/",""))=8,DATE(VALUE(LEFT(SUBSTITUTE(SUBSTITUTE(SUBSTITUTE(TRIM($A7),"-",""),".",""),"/",""),4)),VALUE(MID(SUBSTITUTE(SUBSTITUTE(SUBSTITUTE(TRIM($A7),"-",""),".",""),"/",""),5,2)),VALUE(RIGHT(SUBSTITUTE(SUBSTITUTE(SUBSTITUTE(TRIM($A7),"-",""),".",""),"/",""),2))),DATEVALUE($A7))),""))</f>
        <v/>
      </c>
    </row>
    <row r="8" customFormat="false" ht="15" hidden="false" customHeight="false" outlineLevel="0" collapsed="false">
      <c r="A8" s="47"/>
      <c r="B8" s="48"/>
      <c r="C8" s="132"/>
      <c r="D8" s="53"/>
      <c r="E8" s="48"/>
      <c r="F8" s="132"/>
      <c r="G8" s="133" t="str">
        <f aca="false">IF($A8="","",IFERROR(IF(ISNUMBER($A8),IF($A8&gt;19000000,DATE(INT($A8/10000),MOD(INT($A8/100),100),MOD($A8,100)),INT($A8)),IF(LEN(SUBSTITUTE(SUBSTITUTE(SUBSTITUTE(TRIM($A8),"-",""),".",""),"/",""))=8,DATE(VALUE(LEFT(SUBSTITUTE(SUBSTITUTE(SUBSTITUTE(TRIM($A8),"-",""),".",""),"/",""),4)),VALUE(MID(SUBSTITUTE(SUBSTITUTE(SUBSTITUTE(TRIM($A8),"-",""),".",""),"/",""),5,2)),VALUE(RIGHT(SUBSTITUTE(SUBSTITUTE(SUBSTITUTE(TRIM($A8),"-",""),".",""),"/",""),2))),DATEVALUE($A8))),""))</f>
        <v/>
      </c>
    </row>
    <row r="9" customFormat="false" ht="15" hidden="false" customHeight="false" outlineLevel="0" collapsed="false">
      <c r="A9" s="47"/>
      <c r="B9" s="48"/>
      <c r="C9" s="132"/>
      <c r="D9" s="53"/>
      <c r="E9" s="48"/>
      <c r="F9" s="132"/>
      <c r="G9" s="133" t="str">
        <f aca="false">IF($A9="","",IFERROR(IF(ISNUMBER($A9),IF($A9&gt;19000000,DATE(INT($A9/10000),MOD(INT($A9/100),100),MOD($A9,100)),INT($A9)),IF(LEN(SUBSTITUTE(SUBSTITUTE(SUBSTITUTE(TRIM($A9),"-",""),".",""),"/",""))=8,DATE(VALUE(LEFT(SUBSTITUTE(SUBSTITUTE(SUBSTITUTE(TRIM($A9),"-",""),".",""),"/",""),4)),VALUE(MID(SUBSTITUTE(SUBSTITUTE(SUBSTITUTE(TRIM($A9),"-",""),".",""),"/",""),5,2)),VALUE(RIGHT(SUBSTITUTE(SUBSTITUTE(SUBSTITUTE(TRIM($A9),"-",""),".",""),"/",""),2))),DATEVALUE($A9))),""))</f>
        <v/>
      </c>
    </row>
    <row r="10" customFormat="false" ht="15" hidden="false" customHeight="false" outlineLevel="0" collapsed="false">
      <c r="A10" s="47"/>
      <c r="B10" s="48"/>
      <c r="C10" s="132"/>
      <c r="D10" s="53"/>
      <c r="E10" s="48"/>
      <c r="F10" s="132"/>
      <c r="G10" s="133" t="str">
        <f aca="false">IF($A10="","",IFERROR(IF(ISNUMBER($A10),IF($A10&gt;19000000,DATE(INT($A10/10000),MOD(INT($A10/100),100),MOD($A10,100)),INT($A10)),IF(LEN(SUBSTITUTE(SUBSTITUTE(SUBSTITUTE(TRIM($A10),"-",""),".",""),"/",""))=8,DATE(VALUE(LEFT(SUBSTITUTE(SUBSTITUTE(SUBSTITUTE(TRIM($A10),"-",""),".",""),"/",""),4)),VALUE(MID(SUBSTITUTE(SUBSTITUTE(SUBSTITUTE(TRIM($A10),"-",""),".",""),"/",""),5,2)),VALUE(RIGHT(SUBSTITUTE(SUBSTITUTE(SUBSTITUTE(TRIM($A10),"-",""),".",""),"/",""),2))),DATEVALUE($A10))),""))</f>
        <v/>
      </c>
    </row>
    <row r="11" customFormat="false" ht="15" hidden="false" customHeight="false" outlineLevel="0" collapsed="false">
      <c r="A11" s="47"/>
      <c r="B11" s="48"/>
      <c r="C11" s="132"/>
      <c r="D11" s="53"/>
      <c r="E11" s="48"/>
      <c r="F11" s="132"/>
      <c r="G11" s="133" t="str">
        <f aca="false">IF($A11="","",IFERROR(IF(ISNUMBER($A11),IF($A11&gt;19000000,DATE(INT($A11/10000),MOD(INT($A11/100),100),MOD($A11,100)),INT($A11)),IF(LEN(SUBSTITUTE(SUBSTITUTE(SUBSTITUTE(TRIM($A11),"-",""),".",""),"/",""))=8,DATE(VALUE(LEFT(SUBSTITUTE(SUBSTITUTE(SUBSTITUTE(TRIM($A11),"-",""),".",""),"/",""),4)),VALUE(MID(SUBSTITUTE(SUBSTITUTE(SUBSTITUTE(TRIM($A11),"-",""),".",""),"/",""),5,2)),VALUE(RIGHT(SUBSTITUTE(SUBSTITUTE(SUBSTITUTE(TRIM($A11),"-",""),".",""),"/",""),2))),DATEVALUE($A11))),""))</f>
        <v/>
      </c>
    </row>
    <row r="12" customFormat="false" ht="15" hidden="false" customHeight="false" outlineLevel="0" collapsed="false">
      <c r="A12" s="47"/>
      <c r="B12" s="48"/>
      <c r="C12" s="132"/>
      <c r="D12" s="53"/>
      <c r="E12" s="48"/>
      <c r="F12" s="132"/>
      <c r="G12" s="133" t="str">
        <f aca="false">IF($A12="","",IFERROR(IF(ISNUMBER($A12),IF($A12&gt;19000000,DATE(INT($A12/10000),MOD(INT($A12/100),100),MOD($A12,100)),INT($A12)),IF(LEN(SUBSTITUTE(SUBSTITUTE(SUBSTITUTE(TRIM($A12),"-",""),".",""),"/",""))=8,DATE(VALUE(LEFT(SUBSTITUTE(SUBSTITUTE(SUBSTITUTE(TRIM($A12),"-",""),".",""),"/",""),4)),VALUE(MID(SUBSTITUTE(SUBSTITUTE(SUBSTITUTE(TRIM($A12),"-",""),".",""),"/",""),5,2)),VALUE(RIGHT(SUBSTITUTE(SUBSTITUTE(SUBSTITUTE(TRIM($A12),"-",""),".",""),"/",""),2))),DATEVALUE($A12))),""))</f>
        <v/>
      </c>
    </row>
    <row r="13" customFormat="false" ht="15" hidden="false" customHeight="false" outlineLevel="0" collapsed="false">
      <c r="A13" s="47"/>
      <c r="B13" s="48"/>
      <c r="C13" s="132"/>
      <c r="D13" s="53"/>
      <c r="E13" s="48"/>
      <c r="F13" s="132"/>
      <c r="G13" s="133" t="str">
        <f aca="false">IF($A13="","",IFERROR(IF(ISNUMBER($A13),IF($A13&gt;19000000,DATE(INT($A13/10000),MOD(INT($A13/100),100),MOD($A13,100)),INT($A13)),IF(LEN(SUBSTITUTE(SUBSTITUTE(SUBSTITUTE(TRIM($A13),"-",""),".",""),"/",""))=8,DATE(VALUE(LEFT(SUBSTITUTE(SUBSTITUTE(SUBSTITUTE(TRIM($A13),"-",""),".",""),"/",""),4)),VALUE(MID(SUBSTITUTE(SUBSTITUTE(SUBSTITUTE(TRIM($A13),"-",""),".",""),"/",""),5,2)),VALUE(RIGHT(SUBSTITUTE(SUBSTITUTE(SUBSTITUTE(TRIM($A13),"-",""),".",""),"/",""),2))),DATEVALUE($A13))),""))</f>
        <v/>
      </c>
    </row>
    <row r="14" customFormat="false" ht="15" hidden="false" customHeight="false" outlineLevel="0" collapsed="false">
      <c r="A14" s="47"/>
      <c r="B14" s="48"/>
      <c r="C14" s="132"/>
      <c r="D14" s="53"/>
      <c r="E14" s="48"/>
      <c r="F14" s="132"/>
      <c r="G14" s="133" t="str">
        <f aca="false">IF($A14="","",IFERROR(IF(ISNUMBER($A14),IF($A14&gt;19000000,DATE(INT($A14/10000),MOD(INT($A14/100),100),MOD($A14,100)),INT($A14)),IF(LEN(SUBSTITUTE(SUBSTITUTE(SUBSTITUTE(TRIM($A14),"-",""),".",""),"/",""))=8,DATE(VALUE(LEFT(SUBSTITUTE(SUBSTITUTE(SUBSTITUTE(TRIM($A14),"-",""),".",""),"/",""),4)),VALUE(MID(SUBSTITUTE(SUBSTITUTE(SUBSTITUTE(TRIM($A14),"-",""),".",""),"/",""),5,2)),VALUE(RIGHT(SUBSTITUTE(SUBSTITUTE(SUBSTITUTE(TRIM($A14),"-",""),".",""),"/",""),2))),DATEVALUE($A14))),""))</f>
        <v/>
      </c>
    </row>
    <row r="15" customFormat="false" ht="15" hidden="false" customHeight="false" outlineLevel="0" collapsed="false">
      <c r="A15" s="47"/>
      <c r="B15" s="48"/>
      <c r="C15" s="132"/>
      <c r="D15" s="53"/>
      <c r="E15" s="48"/>
      <c r="F15" s="132"/>
      <c r="G15" s="133" t="str">
        <f aca="false">IF($A15="","",IFERROR(IF(ISNUMBER($A15),IF($A15&gt;19000000,DATE(INT($A15/10000),MOD(INT($A15/100),100),MOD($A15,100)),INT($A15)),IF(LEN(SUBSTITUTE(SUBSTITUTE(SUBSTITUTE(TRIM($A15),"-",""),".",""),"/",""))=8,DATE(VALUE(LEFT(SUBSTITUTE(SUBSTITUTE(SUBSTITUTE(TRIM($A15),"-",""),".",""),"/",""),4)),VALUE(MID(SUBSTITUTE(SUBSTITUTE(SUBSTITUTE(TRIM($A15),"-",""),".",""),"/",""),5,2)),VALUE(RIGHT(SUBSTITUTE(SUBSTITUTE(SUBSTITUTE(TRIM($A15),"-",""),".",""),"/",""),2))),DATEVALUE($A15))),""))</f>
        <v/>
      </c>
    </row>
    <row r="16" customFormat="false" ht="15" hidden="false" customHeight="false" outlineLevel="0" collapsed="false">
      <c r="A16" s="47"/>
      <c r="B16" s="48"/>
      <c r="C16" s="132"/>
      <c r="D16" s="53"/>
      <c r="E16" s="48"/>
      <c r="F16" s="132"/>
      <c r="G16" s="133" t="str">
        <f aca="false">IF($A16="","",IFERROR(IF(ISNUMBER($A16),IF($A16&gt;19000000,DATE(INT($A16/10000),MOD(INT($A16/100),100),MOD($A16,100)),INT($A16)),IF(LEN(SUBSTITUTE(SUBSTITUTE(SUBSTITUTE(TRIM($A16),"-",""),".",""),"/",""))=8,DATE(VALUE(LEFT(SUBSTITUTE(SUBSTITUTE(SUBSTITUTE(TRIM($A16),"-",""),".",""),"/",""),4)),VALUE(MID(SUBSTITUTE(SUBSTITUTE(SUBSTITUTE(TRIM($A16),"-",""),".",""),"/",""),5,2)),VALUE(RIGHT(SUBSTITUTE(SUBSTITUTE(SUBSTITUTE(TRIM($A16),"-",""),".",""),"/",""),2))),DATEVALUE($A16))),""))</f>
        <v/>
      </c>
    </row>
    <row r="17" customFormat="false" ht="15" hidden="false" customHeight="false" outlineLevel="0" collapsed="false">
      <c r="A17" s="47"/>
      <c r="B17" s="48"/>
      <c r="C17" s="132"/>
      <c r="D17" s="53"/>
      <c r="E17" s="48"/>
      <c r="F17" s="132"/>
      <c r="G17" s="133" t="str">
        <f aca="false">IF($A17="","",IFERROR(IF(ISNUMBER($A17),IF($A17&gt;19000000,DATE(INT($A17/10000),MOD(INT($A17/100),100),MOD($A17,100)),INT($A17)),IF(LEN(SUBSTITUTE(SUBSTITUTE(SUBSTITUTE(TRIM($A17),"-",""),".",""),"/",""))=8,DATE(VALUE(LEFT(SUBSTITUTE(SUBSTITUTE(SUBSTITUTE(TRIM($A17),"-",""),".",""),"/",""),4)),VALUE(MID(SUBSTITUTE(SUBSTITUTE(SUBSTITUTE(TRIM($A17),"-",""),".",""),"/",""),5,2)),VALUE(RIGHT(SUBSTITUTE(SUBSTITUTE(SUBSTITUTE(TRIM($A17),"-",""),".",""),"/",""),2))),DATEVALUE($A17))),""))</f>
        <v/>
      </c>
    </row>
    <row r="18" customFormat="false" ht="15" hidden="false" customHeight="false" outlineLevel="0" collapsed="false">
      <c r="A18" s="47"/>
      <c r="B18" s="48"/>
      <c r="C18" s="132"/>
      <c r="D18" s="53"/>
      <c r="E18" s="48"/>
      <c r="F18" s="132"/>
      <c r="G18" s="133" t="str">
        <f aca="false">IF($A18="","",IFERROR(IF(ISNUMBER($A18),IF($A18&gt;19000000,DATE(INT($A18/10000),MOD(INT($A18/100),100),MOD($A18,100)),INT($A18)),IF(LEN(SUBSTITUTE(SUBSTITUTE(SUBSTITUTE(TRIM($A18),"-",""),".",""),"/",""))=8,DATE(VALUE(LEFT(SUBSTITUTE(SUBSTITUTE(SUBSTITUTE(TRIM($A18),"-",""),".",""),"/",""),4)),VALUE(MID(SUBSTITUTE(SUBSTITUTE(SUBSTITUTE(TRIM($A18),"-",""),".",""),"/",""),5,2)),VALUE(RIGHT(SUBSTITUTE(SUBSTITUTE(SUBSTITUTE(TRIM($A18),"-",""),".",""),"/",""),2))),DATEVALUE($A18))),""))</f>
        <v/>
      </c>
    </row>
    <row r="19" customFormat="false" ht="15" hidden="false" customHeight="false" outlineLevel="0" collapsed="false">
      <c r="A19" s="47"/>
      <c r="B19" s="48"/>
      <c r="C19" s="132"/>
      <c r="D19" s="53"/>
      <c r="E19" s="48"/>
      <c r="F19" s="132"/>
      <c r="G19" s="133" t="str">
        <f aca="false">IF($A19="","",IFERROR(IF(ISNUMBER($A19),IF($A19&gt;19000000,DATE(INT($A19/10000),MOD(INT($A19/100),100),MOD($A19,100)),INT($A19)),IF(LEN(SUBSTITUTE(SUBSTITUTE(SUBSTITUTE(TRIM($A19),"-",""),".",""),"/",""))=8,DATE(VALUE(LEFT(SUBSTITUTE(SUBSTITUTE(SUBSTITUTE(TRIM($A19),"-",""),".",""),"/",""),4)),VALUE(MID(SUBSTITUTE(SUBSTITUTE(SUBSTITUTE(TRIM($A19),"-",""),".",""),"/",""),5,2)),VALUE(RIGHT(SUBSTITUTE(SUBSTITUTE(SUBSTITUTE(TRIM($A19),"-",""),".",""),"/",""),2))),DATEVALUE($A19))),""))</f>
        <v/>
      </c>
    </row>
    <row r="20" customFormat="false" ht="15" hidden="false" customHeight="false" outlineLevel="0" collapsed="false">
      <c r="A20" s="47"/>
      <c r="B20" s="48"/>
      <c r="C20" s="132"/>
      <c r="D20" s="53"/>
      <c r="E20" s="48"/>
      <c r="F20" s="132"/>
      <c r="G20" s="133" t="str">
        <f aca="false">IF($A20="","",IFERROR(IF(ISNUMBER($A20),IF($A20&gt;19000000,DATE(INT($A20/10000),MOD(INT($A20/100),100),MOD($A20,100)),INT($A20)),IF(LEN(SUBSTITUTE(SUBSTITUTE(SUBSTITUTE(TRIM($A20),"-",""),".",""),"/",""))=8,DATE(VALUE(LEFT(SUBSTITUTE(SUBSTITUTE(SUBSTITUTE(TRIM($A20),"-",""),".",""),"/",""),4)),VALUE(MID(SUBSTITUTE(SUBSTITUTE(SUBSTITUTE(TRIM($A20),"-",""),".",""),"/",""),5,2)),VALUE(RIGHT(SUBSTITUTE(SUBSTITUTE(SUBSTITUTE(TRIM($A20),"-",""),".",""),"/",""),2))),DATEVALUE($A20))),""))</f>
        <v/>
      </c>
    </row>
    <row r="21" customFormat="false" ht="15" hidden="false" customHeight="false" outlineLevel="0" collapsed="false">
      <c r="A21" s="47"/>
      <c r="B21" s="48"/>
      <c r="C21" s="132"/>
      <c r="D21" s="53"/>
      <c r="E21" s="48"/>
      <c r="F21" s="132"/>
      <c r="G21" s="133" t="str">
        <f aca="false">IF($A21="","",IFERROR(IF(ISNUMBER($A21),IF($A21&gt;19000000,DATE(INT($A21/10000),MOD(INT($A21/100),100),MOD($A21,100)),INT($A21)),IF(LEN(SUBSTITUTE(SUBSTITUTE(SUBSTITUTE(TRIM($A21),"-",""),".",""),"/",""))=8,DATE(VALUE(LEFT(SUBSTITUTE(SUBSTITUTE(SUBSTITUTE(TRIM($A21),"-",""),".",""),"/",""),4)),VALUE(MID(SUBSTITUTE(SUBSTITUTE(SUBSTITUTE(TRIM($A21),"-",""),".",""),"/",""),5,2)),VALUE(RIGHT(SUBSTITUTE(SUBSTITUTE(SUBSTITUTE(TRIM($A21),"-",""),".",""),"/",""),2))),DATEVALUE($A21))),""))</f>
        <v/>
      </c>
    </row>
    <row r="22" customFormat="false" ht="15" hidden="false" customHeight="false" outlineLevel="0" collapsed="false">
      <c r="A22" s="47"/>
      <c r="B22" s="48"/>
      <c r="C22" s="132"/>
      <c r="D22" s="53"/>
      <c r="E22" s="48"/>
      <c r="F22" s="132"/>
      <c r="G22" s="133" t="str">
        <f aca="false">IF($A22="","",IFERROR(IF(ISNUMBER($A22),IF($A22&gt;19000000,DATE(INT($A22/10000),MOD(INT($A22/100),100),MOD($A22,100)),INT($A22)),IF(LEN(SUBSTITUTE(SUBSTITUTE(SUBSTITUTE(TRIM($A22),"-",""),".",""),"/",""))=8,DATE(VALUE(LEFT(SUBSTITUTE(SUBSTITUTE(SUBSTITUTE(TRIM($A22),"-",""),".",""),"/",""),4)),VALUE(MID(SUBSTITUTE(SUBSTITUTE(SUBSTITUTE(TRIM($A22),"-",""),".",""),"/",""),5,2)),VALUE(RIGHT(SUBSTITUTE(SUBSTITUTE(SUBSTITUTE(TRIM($A22),"-",""),".",""),"/",""),2))),DATEVALUE($A22))),""))</f>
        <v/>
      </c>
    </row>
    <row r="23" customFormat="false" ht="15" hidden="false" customHeight="false" outlineLevel="0" collapsed="false">
      <c r="A23" s="47"/>
      <c r="B23" s="48"/>
      <c r="C23" s="132"/>
      <c r="D23" s="53"/>
      <c r="E23" s="48"/>
      <c r="F23" s="132"/>
      <c r="G23" s="133" t="str">
        <f aca="false">IF($A23="","",IFERROR(IF(ISNUMBER($A23),IF($A23&gt;19000000,DATE(INT($A23/10000),MOD(INT($A23/100),100),MOD($A23,100)),INT($A23)),IF(LEN(SUBSTITUTE(SUBSTITUTE(SUBSTITUTE(TRIM($A23),"-",""),".",""),"/",""))=8,DATE(VALUE(LEFT(SUBSTITUTE(SUBSTITUTE(SUBSTITUTE(TRIM($A23),"-",""),".",""),"/",""),4)),VALUE(MID(SUBSTITUTE(SUBSTITUTE(SUBSTITUTE(TRIM($A23),"-",""),".",""),"/",""),5,2)),VALUE(RIGHT(SUBSTITUTE(SUBSTITUTE(SUBSTITUTE(TRIM($A23),"-",""),".",""),"/",""),2))),DATEVALUE($A23))),""))</f>
        <v/>
      </c>
    </row>
    <row r="24" customFormat="false" ht="15" hidden="false" customHeight="false" outlineLevel="0" collapsed="false">
      <c r="A24" s="47"/>
      <c r="B24" s="48"/>
      <c r="C24" s="132"/>
      <c r="D24" s="53"/>
      <c r="E24" s="48"/>
      <c r="F24" s="132"/>
      <c r="G24" s="133" t="str">
        <f aca="false">IF($A24="","",IFERROR(IF(ISNUMBER($A24),IF($A24&gt;19000000,DATE(INT($A24/10000),MOD(INT($A24/100),100),MOD($A24,100)),INT($A24)),IF(LEN(SUBSTITUTE(SUBSTITUTE(SUBSTITUTE(TRIM($A24),"-",""),".",""),"/",""))=8,DATE(VALUE(LEFT(SUBSTITUTE(SUBSTITUTE(SUBSTITUTE(TRIM($A24),"-",""),".",""),"/",""),4)),VALUE(MID(SUBSTITUTE(SUBSTITUTE(SUBSTITUTE(TRIM($A24),"-",""),".",""),"/",""),5,2)),VALUE(RIGHT(SUBSTITUTE(SUBSTITUTE(SUBSTITUTE(TRIM($A24),"-",""),".",""),"/",""),2))),DATEVALUE($A24))),""))</f>
        <v/>
      </c>
    </row>
    <row r="25" customFormat="false" ht="15" hidden="false" customHeight="false" outlineLevel="0" collapsed="false">
      <c r="A25" s="47"/>
      <c r="B25" s="48"/>
      <c r="C25" s="132"/>
      <c r="D25" s="53"/>
      <c r="E25" s="48"/>
      <c r="F25" s="132"/>
      <c r="G25" s="133" t="str">
        <f aca="false">IF($A25="","",IFERROR(IF(ISNUMBER($A25),IF($A25&gt;19000000,DATE(INT($A25/10000),MOD(INT($A25/100),100),MOD($A25,100)),INT($A25)),IF(LEN(SUBSTITUTE(SUBSTITUTE(SUBSTITUTE(TRIM($A25),"-",""),".",""),"/",""))=8,DATE(VALUE(LEFT(SUBSTITUTE(SUBSTITUTE(SUBSTITUTE(TRIM($A25),"-",""),".",""),"/",""),4)),VALUE(MID(SUBSTITUTE(SUBSTITUTE(SUBSTITUTE(TRIM($A25),"-",""),".",""),"/",""),5,2)),VALUE(RIGHT(SUBSTITUTE(SUBSTITUTE(SUBSTITUTE(TRIM($A25),"-",""),".",""),"/",""),2))),DATEVALUE($A25))),""))</f>
        <v/>
      </c>
    </row>
    <row r="26" customFormat="false" ht="15" hidden="false" customHeight="false" outlineLevel="0" collapsed="false">
      <c r="A26" s="47"/>
      <c r="B26" s="48"/>
      <c r="C26" s="132"/>
      <c r="D26" s="53"/>
      <c r="E26" s="48"/>
      <c r="F26" s="132"/>
      <c r="G26" s="133" t="str">
        <f aca="false">IF($A26="","",IFERROR(IF(ISNUMBER($A26),IF($A26&gt;19000000,DATE(INT($A26/10000),MOD(INT($A26/100),100),MOD($A26,100)),INT($A26)),IF(LEN(SUBSTITUTE(SUBSTITUTE(SUBSTITUTE(TRIM($A26),"-",""),".",""),"/",""))=8,DATE(VALUE(LEFT(SUBSTITUTE(SUBSTITUTE(SUBSTITUTE(TRIM($A26),"-",""),".",""),"/",""),4)),VALUE(MID(SUBSTITUTE(SUBSTITUTE(SUBSTITUTE(TRIM($A26),"-",""),".",""),"/",""),5,2)),VALUE(RIGHT(SUBSTITUTE(SUBSTITUTE(SUBSTITUTE(TRIM($A26),"-",""),".",""),"/",""),2))),DATEVALUE($A26))),""))</f>
        <v/>
      </c>
    </row>
    <row r="27" customFormat="false" ht="15" hidden="false" customHeight="false" outlineLevel="0" collapsed="false">
      <c r="A27" s="47"/>
      <c r="B27" s="48"/>
      <c r="C27" s="132"/>
      <c r="D27" s="53"/>
      <c r="E27" s="48"/>
      <c r="F27" s="132"/>
      <c r="G27" s="133" t="str">
        <f aca="false">IF($A27="","",IFERROR(IF(ISNUMBER($A27),IF($A27&gt;19000000,DATE(INT($A27/10000),MOD(INT($A27/100),100),MOD($A27,100)),INT($A27)),IF(LEN(SUBSTITUTE(SUBSTITUTE(SUBSTITUTE(TRIM($A27),"-",""),".",""),"/",""))=8,DATE(VALUE(LEFT(SUBSTITUTE(SUBSTITUTE(SUBSTITUTE(TRIM($A27),"-",""),".",""),"/",""),4)),VALUE(MID(SUBSTITUTE(SUBSTITUTE(SUBSTITUTE(TRIM($A27),"-",""),".",""),"/",""),5,2)),VALUE(RIGHT(SUBSTITUTE(SUBSTITUTE(SUBSTITUTE(TRIM($A27),"-",""),".",""),"/",""),2))),DATEVALUE($A27))),""))</f>
        <v/>
      </c>
    </row>
    <row r="28" customFormat="false" ht="15" hidden="false" customHeight="false" outlineLevel="0" collapsed="false">
      <c r="A28" s="47"/>
      <c r="B28" s="48"/>
      <c r="C28" s="132"/>
      <c r="D28" s="53"/>
      <c r="E28" s="48"/>
      <c r="F28" s="132"/>
      <c r="G28" s="133" t="str">
        <f aca="false">IF($A28="","",IFERROR(IF(ISNUMBER($A28),IF($A28&gt;19000000,DATE(INT($A28/10000),MOD(INT($A28/100),100),MOD($A28,100)),INT($A28)),IF(LEN(SUBSTITUTE(SUBSTITUTE(SUBSTITUTE(TRIM($A28),"-",""),".",""),"/",""))=8,DATE(VALUE(LEFT(SUBSTITUTE(SUBSTITUTE(SUBSTITUTE(TRIM($A28),"-",""),".",""),"/",""),4)),VALUE(MID(SUBSTITUTE(SUBSTITUTE(SUBSTITUTE(TRIM($A28),"-",""),".",""),"/",""),5,2)),VALUE(RIGHT(SUBSTITUTE(SUBSTITUTE(SUBSTITUTE(TRIM($A28),"-",""),".",""),"/",""),2))),DATEVALUE($A28))),""))</f>
        <v/>
      </c>
    </row>
    <row r="29" customFormat="false" ht="15" hidden="false" customHeight="false" outlineLevel="0" collapsed="false">
      <c r="A29" s="47"/>
      <c r="B29" s="48"/>
      <c r="C29" s="132"/>
      <c r="D29" s="53"/>
      <c r="E29" s="48"/>
      <c r="F29" s="132"/>
      <c r="G29" s="133" t="str">
        <f aca="false">IF($A29="","",IFERROR(IF(ISNUMBER($A29),IF($A29&gt;19000000,DATE(INT($A29/10000),MOD(INT($A29/100),100),MOD($A29,100)),INT($A29)),IF(LEN(SUBSTITUTE(SUBSTITUTE(SUBSTITUTE(TRIM($A29),"-",""),".",""),"/",""))=8,DATE(VALUE(LEFT(SUBSTITUTE(SUBSTITUTE(SUBSTITUTE(TRIM($A29),"-",""),".",""),"/",""),4)),VALUE(MID(SUBSTITUTE(SUBSTITUTE(SUBSTITUTE(TRIM($A29),"-",""),".",""),"/",""),5,2)),VALUE(RIGHT(SUBSTITUTE(SUBSTITUTE(SUBSTITUTE(TRIM($A29),"-",""),".",""),"/",""),2))),DATEVALUE($A29))),""))</f>
        <v/>
      </c>
    </row>
    <row r="30" customFormat="false" ht="15" hidden="false" customHeight="false" outlineLevel="0" collapsed="false">
      <c r="A30" s="47"/>
      <c r="B30" s="48"/>
      <c r="C30" s="132"/>
      <c r="D30" s="53"/>
      <c r="E30" s="48"/>
      <c r="F30" s="132"/>
      <c r="G30" s="133" t="str">
        <f aca="false">IF($A30="","",IFERROR(IF(ISNUMBER($A30),IF($A30&gt;19000000,DATE(INT($A30/10000),MOD(INT($A30/100),100),MOD($A30,100)),INT($A30)),IF(LEN(SUBSTITUTE(SUBSTITUTE(SUBSTITUTE(TRIM($A30),"-",""),".",""),"/",""))=8,DATE(VALUE(LEFT(SUBSTITUTE(SUBSTITUTE(SUBSTITUTE(TRIM($A30),"-",""),".",""),"/",""),4)),VALUE(MID(SUBSTITUTE(SUBSTITUTE(SUBSTITUTE(TRIM($A30),"-",""),".",""),"/",""),5,2)),VALUE(RIGHT(SUBSTITUTE(SUBSTITUTE(SUBSTITUTE(TRIM($A30),"-",""),".",""),"/",""),2))),DATEVALUE($A30))),""))</f>
        <v/>
      </c>
    </row>
    <row r="31" customFormat="false" ht="15" hidden="false" customHeight="false" outlineLevel="0" collapsed="false">
      <c r="A31" s="47"/>
      <c r="B31" s="48"/>
      <c r="C31" s="132"/>
      <c r="D31" s="53"/>
      <c r="E31" s="48"/>
      <c r="F31" s="132"/>
      <c r="G31" s="133" t="str">
        <f aca="false">IF($A31="","",IFERROR(IF(ISNUMBER($A31),IF($A31&gt;19000000,DATE(INT($A31/10000),MOD(INT($A31/100),100),MOD($A31,100)),INT($A31)),IF(LEN(SUBSTITUTE(SUBSTITUTE(SUBSTITUTE(TRIM($A31),"-",""),".",""),"/",""))=8,DATE(VALUE(LEFT(SUBSTITUTE(SUBSTITUTE(SUBSTITUTE(TRIM($A31),"-",""),".",""),"/",""),4)),VALUE(MID(SUBSTITUTE(SUBSTITUTE(SUBSTITUTE(TRIM($A31),"-",""),".",""),"/",""),5,2)),VALUE(RIGHT(SUBSTITUTE(SUBSTITUTE(SUBSTITUTE(TRIM($A31),"-",""),".",""),"/",""),2))),DATEVALUE($A31))),""))</f>
        <v/>
      </c>
    </row>
    <row r="32" customFormat="false" ht="15" hidden="false" customHeight="false" outlineLevel="0" collapsed="false">
      <c r="A32" s="47"/>
      <c r="B32" s="48"/>
      <c r="C32" s="132"/>
      <c r="D32" s="53"/>
      <c r="E32" s="48"/>
      <c r="F32" s="132"/>
      <c r="G32" s="133" t="str">
        <f aca="false">IF($A32="","",IFERROR(IF(ISNUMBER($A32),IF($A32&gt;19000000,DATE(INT($A32/10000),MOD(INT($A32/100),100),MOD($A32,100)),INT($A32)),IF(LEN(SUBSTITUTE(SUBSTITUTE(SUBSTITUTE(TRIM($A32),"-",""),".",""),"/",""))=8,DATE(VALUE(LEFT(SUBSTITUTE(SUBSTITUTE(SUBSTITUTE(TRIM($A32),"-",""),".",""),"/",""),4)),VALUE(MID(SUBSTITUTE(SUBSTITUTE(SUBSTITUTE(TRIM($A32),"-",""),".",""),"/",""),5,2)),VALUE(RIGHT(SUBSTITUTE(SUBSTITUTE(SUBSTITUTE(TRIM($A32),"-",""),".",""),"/",""),2))),DATEVALUE($A32))),""))</f>
        <v/>
      </c>
    </row>
    <row r="33" customFormat="false" ht="15" hidden="false" customHeight="false" outlineLevel="0" collapsed="false">
      <c r="A33" s="47"/>
      <c r="B33" s="48"/>
      <c r="C33" s="132"/>
      <c r="D33" s="53"/>
      <c r="E33" s="48"/>
      <c r="F33" s="132"/>
      <c r="G33" s="133" t="str">
        <f aca="false">IF($A33="","",IFERROR(IF(ISNUMBER($A33),IF($A33&gt;19000000,DATE(INT($A33/10000),MOD(INT($A33/100),100),MOD($A33,100)),INT($A33)),IF(LEN(SUBSTITUTE(SUBSTITUTE(SUBSTITUTE(TRIM($A33),"-",""),".",""),"/",""))=8,DATE(VALUE(LEFT(SUBSTITUTE(SUBSTITUTE(SUBSTITUTE(TRIM($A33),"-",""),".",""),"/",""),4)),VALUE(MID(SUBSTITUTE(SUBSTITUTE(SUBSTITUTE(TRIM($A33),"-",""),".",""),"/",""),5,2)),VALUE(RIGHT(SUBSTITUTE(SUBSTITUTE(SUBSTITUTE(TRIM($A33),"-",""),".",""),"/",""),2))),DATEVALUE($A33))),""))</f>
        <v/>
      </c>
    </row>
    <row r="34" customFormat="false" ht="15" hidden="false" customHeight="false" outlineLevel="0" collapsed="false">
      <c r="A34" s="47"/>
      <c r="B34" s="48"/>
      <c r="C34" s="132"/>
      <c r="D34" s="53"/>
      <c r="E34" s="48"/>
      <c r="F34" s="132"/>
      <c r="G34" s="133" t="str">
        <f aca="false">IF($A34="","",IFERROR(IF(ISNUMBER($A34),IF($A34&gt;19000000,DATE(INT($A34/10000),MOD(INT($A34/100),100),MOD($A34,100)),INT($A34)),IF(LEN(SUBSTITUTE(SUBSTITUTE(SUBSTITUTE(TRIM($A34),"-",""),".",""),"/",""))=8,DATE(VALUE(LEFT(SUBSTITUTE(SUBSTITUTE(SUBSTITUTE(TRIM($A34),"-",""),".",""),"/",""),4)),VALUE(MID(SUBSTITUTE(SUBSTITUTE(SUBSTITUTE(TRIM($A34),"-",""),".",""),"/",""),5,2)),VALUE(RIGHT(SUBSTITUTE(SUBSTITUTE(SUBSTITUTE(TRIM($A34),"-",""),".",""),"/",""),2))),DATEVALUE($A34))),""))</f>
        <v/>
      </c>
    </row>
    <row r="35" customFormat="false" ht="15" hidden="false" customHeight="false" outlineLevel="0" collapsed="false">
      <c r="A35" s="47"/>
      <c r="B35" s="48"/>
      <c r="C35" s="132"/>
      <c r="D35" s="53"/>
      <c r="E35" s="48"/>
      <c r="F35" s="132"/>
      <c r="G35" s="133" t="str">
        <f aca="false">IF($A35="","",IFERROR(IF(ISNUMBER($A35),IF($A35&gt;19000000,DATE(INT($A35/10000),MOD(INT($A35/100),100),MOD($A35,100)),INT($A35)),IF(LEN(SUBSTITUTE(SUBSTITUTE(SUBSTITUTE(TRIM($A35),"-",""),".",""),"/",""))=8,DATE(VALUE(LEFT(SUBSTITUTE(SUBSTITUTE(SUBSTITUTE(TRIM($A35),"-",""),".",""),"/",""),4)),VALUE(MID(SUBSTITUTE(SUBSTITUTE(SUBSTITUTE(TRIM($A35),"-",""),".",""),"/",""),5,2)),VALUE(RIGHT(SUBSTITUTE(SUBSTITUTE(SUBSTITUTE(TRIM($A35),"-",""),".",""),"/",""),2))),DATEVALUE($A35))),""))</f>
        <v/>
      </c>
    </row>
    <row r="36" customFormat="false" ht="15" hidden="false" customHeight="false" outlineLevel="0" collapsed="false">
      <c r="A36" s="47"/>
      <c r="B36" s="48"/>
      <c r="C36" s="132"/>
      <c r="D36" s="53"/>
      <c r="E36" s="48"/>
      <c r="F36" s="132"/>
      <c r="G36" s="133" t="str">
        <f aca="false">IF($A36="","",IFERROR(IF(ISNUMBER($A36),IF($A36&gt;19000000,DATE(INT($A36/10000),MOD(INT($A36/100),100),MOD($A36,100)),INT($A36)),IF(LEN(SUBSTITUTE(SUBSTITUTE(SUBSTITUTE(TRIM($A36),"-",""),".",""),"/",""))=8,DATE(VALUE(LEFT(SUBSTITUTE(SUBSTITUTE(SUBSTITUTE(TRIM($A36),"-",""),".",""),"/",""),4)),VALUE(MID(SUBSTITUTE(SUBSTITUTE(SUBSTITUTE(TRIM($A36),"-",""),".",""),"/",""),5,2)),VALUE(RIGHT(SUBSTITUTE(SUBSTITUTE(SUBSTITUTE(TRIM($A36),"-",""),".",""),"/",""),2))),DATEVALUE($A36))),""))</f>
        <v/>
      </c>
    </row>
    <row r="37" customFormat="false" ht="15" hidden="false" customHeight="false" outlineLevel="0" collapsed="false">
      <c r="A37" s="47"/>
      <c r="B37" s="48"/>
      <c r="C37" s="132"/>
      <c r="D37" s="53"/>
      <c r="E37" s="48"/>
      <c r="F37" s="132"/>
      <c r="G37" s="133" t="str">
        <f aca="false">IF($A37="","",IFERROR(IF(ISNUMBER($A37),IF($A37&gt;19000000,DATE(INT($A37/10000),MOD(INT($A37/100),100),MOD($A37,100)),INT($A37)),IF(LEN(SUBSTITUTE(SUBSTITUTE(SUBSTITUTE(TRIM($A37),"-",""),".",""),"/",""))=8,DATE(VALUE(LEFT(SUBSTITUTE(SUBSTITUTE(SUBSTITUTE(TRIM($A37),"-",""),".",""),"/",""),4)),VALUE(MID(SUBSTITUTE(SUBSTITUTE(SUBSTITUTE(TRIM($A37),"-",""),".",""),"/",""),5,2)),VALUE(RIGHT(SUBSTITUTE(SUBSTITUTE(SUBSTITUTE(TRIM($A37),"-",""),".",""),"/",""),2))),DATEVALUE($A37))),""))</f>
        <v/>
      </c>
    </row>
    <row r="38" customFormat="false" ht="15" hidden="false" customHeight="false" outlineLevel="0" collapsed="false">
      <c r="A38" s="47"/>
      <c r="B38" s="48"/>
      <c r="C38" s="132"/>
      <c r="D38" s="53"/>
      <c r="E38" s="48"/>
      <c r="F38" s="132"/>
      <c r="G38" s="133" t="str">
        <f aca="false">IF($A38="","",IFERROR(IF(ISNUMBER($A38),IF($A38&gt;19000000,DATE(INT($A38/10000),MOD(INT($A38/100),100),MOD($A38,100)),INT($A38)),IF(LEN(SUBSTITUTE(SUBSTITUTE(SUBSTITUTE(TRIM($A38),"-",""),".",""),"/",""))=8,DATE(VALUE(LEFT(SUBSTITUTE(SUBSTITUTE(SUBSTITUTE(TRIM($A38),"-",""),".",""),"/",""),4)),VALUE(MID(SUBSTITUTE(SUBSTITUTE(SUBSTITUTE(TRIM($A38),"-",""),".",""),"/",""),5,2)),VALUE(RIGHT(SUBSTITUTE(SUBSTITUTE(SUBSTITUTE(TRIM($A38),"-",""),".",""),"/",""),2))),DATEVALUE($A38))),""))</f>
        <v/>
      </c>
    </row>
    <row r="39" customFormat="false" ht="15" hidden="false" customHeight="false" outlineLevel="0" collapsed="false">
      <c r="A39" s="47"/>
      <c r="B39" s="48"/>
      <c r="C39" s="132"/>
      <c r="D39" s="53"/>
      <c r="E39" s="48"/>
      <c r="F39" s="132"/>
      <c r="G39" s="133" t="str">
        <f aca="false">IF($A39="","",IFERROR(IF(ISNUMBER($A39),IF($A39&gt;19000000,DATE(INT($A39/10000),MOD(INT($A39/100),100),MOD($A39,100)),INT($A39)),IF(LEN(SUBSTITUTE(SUBSTITUTE(SUBSTITUTE(TRIM($A39),"-",""),".",""),"/",""))=8,DATE(VALUE(LEFT(SUBSTITUTE(SUBSTITUTE(SUBSTITUTE(TRIM($A39),"-",""),".",""),"/",""),4)),VALUE(MID(SUBSTITUTE(SUBSTITUTE(SUBSTITUTE(TRIM($A39),"-",""),".",""),"/",""),5,2)),VALUE(RIGHT(SUBSTITUTE(SUBSTITUTE(SUBSTITUTE(TRIM($A39),"-",""),".",""),"/",""),2))),DATEVALUE($A39))),""))</f>
        <v/>
      </c>
    </row>
    <row r="40" customFormat="false" ht="15" hidden="false" customHeight="false" outlineLevel="0" collapsed="false">
      <c r="A40" s="47"/>
      <c r="B40" s="48"/>
      <c r="C40" s="132"/>
      <c r="D40" s="53"/>
      <c r="E40" s="48"/>
      <c r="F40" s="132"/>
      <c r="G40" s="133" t="str">
        <f aca="false">IF($A40="","",IFERROR(IF(ISNUMBER($A40),IF($A40&gt;19000000,DATE(INT($A40/10000),MOD(INT($A40/100),100),MOD($A40,100)),INT($A40)),IF(LEN(SUBSTITUTE(SUBSTITUTE(SUBSTITUTE(TRIM($A40),"-",""),".",""),"/",""))=8,DATE(VALUE(LEFT(SUBSTITUTE(SUBSTITUTE(SUBSTITUTE(TRIM($A40),"-",""),".",""),"/",""),4)),VALUE(MID(SUBSTITUTE(SUBSTITUTE(SUBSTITUTE(TRIM($A40),"-",""),".",""),"/",""),5,2)),VALUE(RIGHT(SUBSTITUTE(SUBSTITUTE(SUBSTITUTE(TRIM($A40),"-",""),".",""),"/",""),2))),DATEVALUE($A40))),""))</f>
        <v/>
      </c>
    </row>
    <row r="41" customFormat="false" ht="15" hidden="false" customHeight="false" outlineLevel="0" collapsed="false">
      <c r="A41" s="47"/>
      <c r="B41" s="48"/>
      <c r="C41" s="132"/>
      <c r="D41" s="53"/>
      <c r="E41" s="48"/>
      <c r="F41" s="132"/>
      <c r="G41" s="133" t="str">
        <f aca="false">IF($A41="","",IFERROR(IF(ISNUMBER($A41),IF($A41&gt;19000000,DATE(INT($A41/10000),MOD(INT($A41/100),100),MOD($A41,100)),INT($A41)),IF(LEN(SUBSTITUTE(SUBSTITUTE(SUBSTITUTE(TRIM($A41),"-",""),".",""),"/",""))=8,DATE(VALUE(LEFT(SUBSTITUTE(SUBSTITUTE(SUBSTITUTE(TRIM($A41),"-",""),".",""),"/",""),4)),VALUE(MID(SUBSTITUTE(SUBSTITUTE(SUBSTITUTE(TRIM($A41),"-",""),".",""),"/",""),5,2)),VALUE(RIGHT(SUBSTITUTE(SUBSTITUTE(SUBSTITUTE(TRIM($A41),"-",""),".",""),"/",""),2))),DATEVALUE($A41))),""))</f>
        <v/>
      </c>
    </row>
    <row r="42" customFormat="false" ht="15" hidden="false" customHeight="false" outlineLevel="0" collapsed="false">
      <c r="A42" s="47"/>
      <c r="B42" s="48"/>
      <c r="C42" s="132"/>
      <c r="D42" s="53"/>
      <c r="E42" s="48"/>
      <c r="F42" s="132"/>
      <c r="G42" s="133" t="str">
        <f aca="false">IF($A42="","",IFERROR(IF(ISNUMBER($A42),IF($A42&gt;19000000,DATE(INT($A42/10000),MOD(INT($A42/100),100),MOD($A42,100)),INT($A42)),IF(LEN(SUBSTITUTE(SUBSTITUTE(SUBSTITUTE(TRIM($A42),"-",""),".",""),"/",""))=8,DATE(VALUE(LEFT(SUBSTITUTE(SUBSTITUTE(SUBSTITUTE(TRIM($A42),"-",""),".",""),"/",""),4)),VALUE(MID(SUBSTITUTE(SUBSTITUTE(SUBSTITUTE(TRIM($A42),"-",""),".",""),"/",""),5,2)),VALUE(RIGHT(SUBSTITUTE(SUBSTITUTE(SUBSTITUTE(TRIM($A42),"-",""),".",""),"/",""),2))),DATEVALUE($A42))),""))</f>
        <v/>
      </c>
    </row>
    <row r="43" customFormat="false" ht="15" hidden="false" customHeight="false" outlineLevel="0" collapsed="false">
      <c r="A43" s="47"/>
      <c r="B43" s="48"/>
      <c r="C43" s="132"/>
      <c r="D43" s="53"/>
      <c r="E43" s="48"/>
      <c r="F43" s="132"/>
      <c r="G43" s="133" t="str">
        <f aca="false">IF($A43="","",IFERROR(IF(ISNUMBER($A43),IF($A43&gt;19000000,DATE(INT($A43/10000),MOD(INT($A43/100),100),MOD($A43,100)),INT($A43)),IF(LEN(SUBSTITUTE(SUBSTITUTE(SUBSTITUTE(TRIM($A43),"-",""),".",""),"/",""))=8,DATE(VALUE(LEFT(SUBSTITUTE(SUBSTITUTE(SUBSTITUTE(TRIM($A43),"-",""),".",""),"/",""),4)),VALUE(MID(SUBSTITUTE(SUBSTITUTE(SUBSTITUTE(TRIM($A43),"-",""),".",""),"/",""),5,2)),VALUE(RIGHT(SUBSTITUTE(SUBSTITUTE(SUBSTITUTE(TRIM($A43),"-",""),".",""),"/",""),2))),DATEVALUE($A43))),""))</f>
        <v/>
      </c>
    </row>
    <row r="44" customFormat="false" ht="15" hidden="false" customHeight="false" outlineLevel="0" collapsed="false">
      <c r="A44" s="47"/>
      <c r="B44" s="48"/>
      <c r="C44" s="132"/>
      <c r="D44" s="53"/>
      <c r="E44" s="48"/>
      <c r="F44" s="132"/>
      <c r="G44" s="133" t="str">
        <f aca="false">IF($A44="","",IFERROR(IF(ISNUMBER($A44),IF($A44&gt;19000000,DATE(INT($A44/10000),MOD(INT($A44/100),100),MOD($A44,100)),INT($A44)),IF(LEN(SUBSTITUTE(SUBSTITUTE(SUBSTITUTE(TRIM($A44),"-",""),".",""),"/",""))=8,DATE(VALUE(LEFT(SUBSTITUTE(SUBSTITUTE(SUBSTITUTE(TRIM($A44),"-",""),".",""),"/",""),4)),VALUE(MID(SUBSTITUTE(SUBSTITUTE(SUBSTITUTE(TRIM($A44),"-",""),".",""),"/",""),5,2)),VALUE(RIGHT(SUBSTITUTE(SUBSTITUTE(SUBSTITUTE(TRIM($A44),"-",""),".",""),"/",""),2))),DATEVALUE($A44))),""))</f>
        <v/>
      </c>
    </row>
    <row r="45" customFormat="false" ht="15" hidden="false" customHeight="false" outlineLevel="0" collapsed="false">
      <c r="A45" s="47"/>
      <c r="B45" s="48"/>
      <c r="C45" s="132"/>
      <c r="D45" s="53"/>
      <c r="E45" s="48"/>
      <c r="F45" s="132"/>
      <c r="G45" s="133" t="str">
        <f aca="false">IF($A45="","",IFERROR(IF(ISNUMBER($A45),IF($A45&gt;19000000,DATE(INT($A45/10000),MOD(INT($A45/100),100),MOD($A45,100)),INT($A45)),IF(LEN(SUBSTITUTE(SUBSTITUTE(SUBSTITUTE(TRIM($A45),"-",""),".",""),"/",""))=8,DATE(VALUE(LEFT(SUBSTITUTE(SUBSTITUTE(SUBSTITUTE(TRIM($A45),"-",""),".",""),"/",""),4)),VALUE(MID(SUBSTITUTE(SUBSTITUTE(SUBSTITUTE(TRIM($A45),"-",""),".",""),"/",""),5,2)),VALUE(RIGHT(SUBSTITUTE(SUBSTITUTE(SUBSTITUTE(TRIM($A45),"-",""),".",""),"/",""),2))),DATEVALUE($A45))),""))</f>
        <v/>
      </c>
    </row>
    <row r="46" customFormat="false" ht="15" hidden="false" customHeight="false" outlineLevel="0" collapsed="false">
      <c r="A46" s="47"/>
      <c r="B46" s="48"/>
      <c r="C46" s="132"/>
      <c r="D46" s="53"/>
      <c r="E46" s="48"/>
      <c r="F46" s="132"/>
      <c r="G46" s="133" t="str">
        <f aca="false">IF($A46="","",IFERROR(IF(ISNUMBER($A46),IF($A46&gt;19000000,DATE(INT($A46/10000),MOD(INT($A46/100),100),MOD($A46,100)),INT($A46)),IF(LEN(SUBSTITUTE(SUBSTITUTE(SUBSTITUTE(TRIM($A46),"-",""),".",""),"/",""))=8,DATE(VALUE(LEFT(SUBSTITUTE(SUBSTITUTE(SUBSTITUTE(TRIM($A46),"-",""),".",""),"/",""),4)),VALUE(MID(SUBSTITUTE(SUBSTITUTE(SUBSTITUTE(TRIM($A46),"-",""),".",""),"/",""),5,2)),VALUE(RIGHT(SUBSTITUTE(SUBSTITUTE(SUBSTITUTE(TRIM($A46),"-",""),".",""),"/",""),2))),DATEVALUE($A46))),""))</f>
        <v/>
      </c>
    </row>
    <row r="47" customFormat="false" ht="15" hidden="false" customHeight="false" outlineLevel="0" collapsed="false">
      <c r="A47" s="47"/>
      <c r="B47" s="48"/>
      <c r="C47" s="132"/>
      <c r="D47" s="53"/>
      <c r="E47" s="48"/>
      <c r="F47" s="132"/>
      <c r="G47" s="133" t="str">
        <f aca="false">IF($A47="","",IFERROR(IF(ISNUMBER($A47),IF($A47&gt;19000000,DATE(INT($A47/10000),MOD(INT($A47/100),100),MOD($A47,100)),INT($A47)),IF(LEN(SUBSTITUTE(SUBSTITUTE(SUBSTITUTE(TRIM($A47),"-",""),".",""),"/",""))=8,DATE(VALUE(LEFT(SUBSTITUTE(SUBSTITUTE(SUBSTITUTE(TRIM($A47),"-",""),".",""),"/",""),4)),VALUE(MID(SUBSTITUTE(SUBSTITUTE(SUBSTITUTE(TRIM($A47),"-",""),".",""),"/",""),5,2)),VALUE(RIGHT(SUBSTITUTE(SUBSTITUTE(SUBSTITUTE(TRIM($A47),"-",""),".",""),"/",""),2))),DATEVALUE($A47))),""))</f>
        <v/>
      </c>
    </row>
    <row r="48" customFormat="false" ht="15" hidden="false" customHeight="false" outlineLevel="0" collapsed="false">
      <c r="A48" s="47"/>
      <c r="B48" s="48"/>
      <c r="C48" s="132"/>
      <c r="D48" s="53"/>
      <c r="E48" s="48"/>
      <c r="F48" s="132"/>
      <c r="G48" s="133" t="str">
        <f aca="false">IF($A48="","",IFERROR(IF(ISNUMBER($A48),IF($A48&gt;19000000,DATE(INT($A48/10000),MOD(INT($A48/100),100),MOD($A48,100)),INT($A48)),IF(LEN(SUBSTITUTE(SUBSTITUTE(SUBSTITUTE(TRIM($A48),"-",""),".",""),"/",""))=8,DATE(VALUE(LEFT(SUBSTITUTE(SUBSTITUTE(SUBSTITUTE(TRIM($A48),"-",""),".",""),"/",""),4)),VALUE(MID(SUBSTITUTE(SUBSTITUTE(SUBSTITUTE(TRIM($A48),"-",""),".",""),"/",""),5,2)),VALUE(RIGHT(SUBSTITUTE(SUBSTITUTE(SUBSTITUTE(TRIM($A48),"-",""),".",""),"/",""),2))),DATEVALUE($A48))),""))</f>
        <v/>
      </c>
    </row>
    <row r="49" customFormat="false" ht="15" hidden="false" customHeight="false" outlineLevel="0" collapsed="false">
      <c r="A49" s="47"/>
      <c r="B49" s="48"/>
      <c r="C49" s="132"/>
      <c r="D49" s="53"/>
      <c r="E49" s="48"/>
      <c r="F49" s="132"/>
      <c r="G49" s="133" t="str">
        <f aca="false">IF($A49="","",IFERROR(IF(ISNUMBER($A49),IF($A49&gt;19000000,DATE(INT($A49/10000),MOD(INT($A49/100),100),MOD($A49,100)),INT($A49)),IF(LEN(SUBSTITUTE(SUBSTITUTE(SUBSTITUTE(TRIM($A49),"-",""),".",""),"/",""))=8,DATE(VALUE(LEFT(SUBSTITUTE(SUBSTITUTE(SUBSTITUTE(TRIM($A49),"-",""),".",""),"/",""),4)),VALUE(MID(SUBSTITUTE(SUBSTITUTE(SUBSTITUTE(TRIM($A49),"-",""),".",""),"/",""),5,2)),VALUE(RIGHT(SUBSTITUTE(SUBSTITUTE(SUBSTITUTE(TRIM($A49),"-",""),".",""),"/",""),2))),DATEVALUE($A49))),""))</f>
        <v/>
      </c>
    </row>
    <row r="50" customFormat="false" ht="15" hidden="false" customHeight="false" outlineLevel="0" collapsed="false">
      <c r="A50" s="47"/>
      <c r="B50" s="48"/>
      <c r="C50" s="132"/>
      <c r="D50" s="53"/>
      <c r="E50" s="48"/>
      <c r="F50" s="132"/>
      <c r="G50" s="133" t="str">
        <f aca="false">IF($A50="","",IFERROR(IF(ISNUMBER($A50),IF($A50&gt;19000000,DATE(INT($A50/10000),MOD(INT($A50/100),100),MOD($A50,100)),INT($A50)),IF(LEN(SUBSTITUTE(SUBSTITUTE(SUBSTITUTE(TRIM($A50),"-",""),".",""),"/",""))=8,DATE(VALUE(LEFT(SUBSTITUTE(SUBSTITUTE(SUBSTITUTE(TRIM($A50),"-",""),".",""),"/",""),4)),VALUE(MID(SUBSTITUTE(SUBSTITUTE(SUBSTITUTE(TRIM($A50),"-",""),".",""),"/",""),5,2)),VALUE(RIGHT(SUBSTITUTE(SUBSTITUTE(SUBSTITUTE(TRIM($A50),"-",""),".",""),"/",""),2))),DATEVALUE($A50))),""))</f>
        <v/>
      </c>
    </row>
    <row r="51" customFormat="false" ht="15" hidden="false" customHeight="false" outlineLevel="0" collapsed="false">
      <c r="A51" s="47"/>
      <c r="B51" s="48"/>
      <c r="C51" s="132"/>
      <c r="D51" s="53"/>
      <c r="E51" s="48"/>
      <c r="F51" s="132"/>
      <c r="G51" s="133" t="str">
        <f aca="false">IF($A51="","",IFERROR(IF(ISNUMBER($A51),IF($A51&gt;19000000,DATE(INT($A51/10000),MOD(INT($A51/100),100),MOD($A51,100)),INT($A51)),IF(LEN(SUBSTITUTE(SUBSTITUTE(SUBSTITUTE(TRIM($A51),"-",""),".",""),"/",""))=8,DATE(VALUE(LEFT(SUBSTITUTE(SUBSTITUTE(SUBSTITUTE(TRIM($A51),"-",""),".",""),"/",""),4)),VALUE(MID(SUBSTITUTE(SUBSTITUTE(SUBSTITUTE(TRIM($A51),"-",""),".",""),"/",""),5,2)),VALUE(RIGHT(SUBSTITUTE(SUBSTITUTE(SUBSTITUTE(TRIM($A51),"-",""),".",""),"/",""),2))),DATEVALUE($A51))),""))</f>
        <v/>
      </c>
    </row>
    <row r="52" customFormat="false" ht="15" hidden="false" customHeight="false" outlineLevel="0" collapsed="false">
      <c r="A52" s="47"/>
      <c r="B52" s="48"/>
      <c r="C52" s="132"/>
      <c r="D52" s="53"/>
      <c r="E52" s="48"/>
      <c r="F52" s="132"/>
      <c r="G52" s="133" t="str">
        <f aca="false">IF($A52="","",IFERROR(IF(ISNUMBER($A52),IF($A52&gt;19000000,DATE(INT($A52/10000),MOD(INT($A52/100),100),MOD($A52,100)),INT($A52)),IF(LEN(SUBSTITUTE(SUBSTITUTE(SUBSTITUTE(TRIM($A52),"-",""),".",""),"/",""))=8,DATE(VALUE(LEFT(SUBSTITUTE(SUBSTITUTE(SUBSTITUTE(TRIM($A52),"-",""),".",""),"/",""),4)),VALUE(MID(SUBSTITUTE(SUBSTITUTE(SUBSTITUTE(TRIM($A52),"-",""),".",""),"/",""),5,2)),VALUE(RIGHT(SUBSTITUTE(SUBSTITUTE(SUBSTITUTE(TRIM($A52),"-",""),".",""),"/",""),2))),DATEVALUE($A52))),""))</f>
        <v/>
      </c>
    </row>
    <row r="53" customFormat="false" ht="15" hidden="false" customHeight="false" outlineLevel="0" collapsed="false">
      <c r="A53" s="47"/>
      <c r="B53" s="48"/>
      <c r="C53" s="132"/>
      <c r="D53" s="53"/>
      <c r="E53" s="48"/>
      <c r="F53" s="132"/>
      <c r="G53" s="133" t="str">
        <f aca="false">IF($A53="","",IFERROR(IF(ISNUMBER($A53),IF($A53&gt;19000000,DATE(INT($A53/10000),MOD(INT($A53/100),100),MOD($A53,100)),INT($A53)),IF(LEN(SUBSTITUTE(SUBSTITUTE(SUBSTITUTE(TRIM($A53),"-",""),".",""),"/",""))=8,DATE(VALUE(LEFT(SUBSTITUTE(SUBSTITUTE(SUBSTITUTE(TRIM($A53),"-",""),".",""),"/",""),4)),VALUE(MID(SUBSTITUTE(SUBSTITUTE(SUBSTITUTE(TRIM($A53),"-",""),".",""),"/",""),5,2)),VALUE(RIGHT(SUBSTITUTE(SUBSTITUTE(SUBSTITUTE(TRIM($A53),"-",""),".",""),"/",""),2))),DATEVALUE($A53))),""))</f>
        <v/>
      </c>
    </row>
    <row r="54" customFormat="false" ht="15" hidden="false" customHeight="false" outlineLevel="0" collapsed="false">
      <c r="A54" s="47"/>
      <c r="B54" s="48"/>
      <c r="C54" s="132"/>
      <c r="D54" s="53"/>
      <c r="E54" s="48"/>
      <c r="F54" s="132"/>
      <c r="G54" s="133" t="str">
        <f aca="false">IF($A54="","",IFERROR(IF(ISNUMBER($A54),IF($A54&gt;19000000,DATE(INT($A54/10000),MOD(INT($A54/100),100),MOD($A54,100)),INT($A54)),IF(LEN(SUBSTITUTE(SUBSTITUTE(SUBSTITUTE(TRIM($A54),"-",""),".",""),"/",""))=8,DATE(VALUE(LEFT(SUBSTITUTE(SUBSTITUTE(SUBSTITUTE(TRIM($A54),"-",""),".",""),"/",""),4)),VALUE(MID(SUBSTITUTE(SUBSTITUTE(SUBSTITUTE(TRIM($A54),"-",""),".",""),"/",""),5,2)),VALUE(RIGHT(SUBSTITUTE(SUBSTITUTE(SUBSTITUTE(TRIM($A54),"-",""),".",""),"/",""),2))),DATEVALUE($A54))),""))</f>
        <v/>
      </c>
    </row>
    <row r="55" customFormat="false" ht="15" hidden="false" customHeight="false" outlineLevel="0" collapsed="false">
      <c r="A55" s="47"/>
      <c r="B55" s="48"/>
      <c r="C55" s="132"/>
      <c r="D55" s="53"/>
      <c r="E55" s="48"/>
      <c r="F55" s="132"/>
      <c r="G55" s="133" t="str">
        <f aca="false">IF($A55="","",IFERROR(IF(ISNUMBER($A55),IF($A55&gt;19000000,DATE(INT($A55/10000),MOD(INT($A55/100),100),MOD($A55,100)),INT($A55)),IF(LEN(SUBSTITUTE(SUBSTITUTE(SUBSTITUTE(TRIM($A55),"-",""),".",""),"/",""))=8,DATE(VALUE(LEFT(SUBSTITUTE(SUBSTITUTE(SUBSTITUTE(TRIM($A55),"-",""),".",""),"/",""),4)),VALUE(MID(SUBSTITUTE(SUBSTITUTE(SUBSTITUTE(TRIM($A55),"-",""),".",""),"/",""),5,2)),VALUE(RIGHT(SUBSTITUTE(SUBSTITUTE(SUBSTITUTE(TRIM($A55),"-",""),".",""),"/",""),2))),DATEVALUE($A55))),""))</f>
        <v/>
      </c>
    </row>
    <row r="56" customFormat="false" ht="15" hidden="false" customHeight="false" outlineLevel="0" collapsed="false">
      <c r="A56" s="47"/>
      <c r="B56" s="48"/>
      <c r="C56" s="132"/>
      <c r="D56" s="53"/>
      <c r="E56" s="48"/>
      <c r="F56" s="132"/>
      <c r="G56" s="133" t="str">
        <f aca="false">IF($A56="","",IFERROR(IF(ISNUMBER($A56),IF($A56&gt;19000000,DATE(INT($A56/10000),MOD(INT($A56/100),100),MOD($A56,100)),INT($A56)),IF(LEN(SUBSTITUTE(SUBSTITUTE(SUBSTITUTE(TRIM($A56),"-",""),".",""),"/",""))=8,DATE(VALUE(LEFT(SUBSTITUTE(SUBSTITUTE(SUBSTITUTE(TRIM($A56),"-",""),".",""),"/",""),4)),VALUE(MID(SUBSTITUTE(SUBSTITUTE(SUBSTITUTE(TRIM($A56),"-",""),".",""),"/",""),5,2)),VALUE(RIGHT(SUBSTITUTE(SUBSTITUTE(SUBSTITUTE(TRIM($A56),"-",""),".",""),"/",""),2))),DATEVALUE($A56))),""))</f>
        <v/>
      </c>
    </row>
    <row r="57" customFormat="false" ht="15" hidden="false" customHeight="false" outlineLevel="0" collapsed="false">
      <c r="A57" s="47"/>
      <c r="B57" s="48"/>
      <c r="C57" s="132"/>
      <c r="D57" s="53"/>
      <c r="E57" s="48"/>
      <c r="F57" s="132"/>
      <c r="G57" s="133" t="str">
        <f aca="false">IF($A57="","",IFERROR(IF(ISNUMBER($A57),IF($A57&gt;19000000,DATE(INT($A57/10000),MOD(INT($A57/100),100),MOD($A57,100)),INT($A57)),IF(LEN(SUBSTITUTE(SUBSTITUTE(SUBSTITUTE(TRIM($A57),"-",""),".",""),"/",""))=8,DATE(VALUE(LEFT(SUBSTITUTE(SUBSTITUTE(SUBSTITUTE(TRIM($A57),"-",""),".",""),"/",""),4)),VALUE(MID(SUBSTITUTE(SUBSTITUTE(SUBSTITUTE(TRIM($A57),"-",""),".",""),"/",""),5,2)),VALUE(RIGHT(SUBSTITUTE(SUBSTITUTE(SUBSTITUTE(TRIM($A57),"-",""),".",""),"/",""),2))),DATEVALUE($A57))),""))</f>
        <v/>
      </c>
    </row>
    <row r="58" customFormat="false" ht="15" hidden="false" customHeight="false" outlineLevel="0" collapsed="false">
      <c r="A58" s="47"/>
      <c r="B58" s="48"/>
      <c r="C58" s="132"/>
      <c r="D58" s="53"/>
      <c r="E58" s="48"/>
      <c r="F58" s="132"/>
      <c r="G58" s="133" t="str">
        <f aca="false">IF($A58="","",IFERROR(IF(ISNUMBER($A58),IF($A58&gt;19000000,DATE(INT($A58/10000),MOD(INT($A58/100),100),MOD($A58,100)),INT($A58)),IF(LEN(SUBSTITUTE(SUBSTITUTE(SUBSTITUTE(TRIM($A58),"-",""),".",""),"/",""))=8,DATE(VALUE(LEFT(SUBSTITUTE(SUBSTITUTE(SUBSTITUTE(TRIM($A58),"-",""),".",""),"/",""),4)),VALUE(MID(SUBSTITUTE(SUBSTITUTE(SUBSTITUTE(TRIM($A58),"-",""),".",""),"/",""),5,2)),VALUE(RIGHT(SUBSTITUTE(SUBSTITUTE(SUBSTITUTE(TRIM($A58),"-",""),".",""),"/",""),2))),DATEVALUE($A58))),""))</f>
        <v/>
      </c>
    </row>
    <row r="59" customFormat="false" ht="15" hidden="false" customHeight="false" outlineLevel="0" collapsed="false">
      <c r="A59" s="47"/>
      <c r="B59" s="48"/>
      <c r="C59" s="132"/>
      <c r="D59" s="53"/>
      <c r="E59" s="48"/>
      <c r="F59" s="132"/>
      <c r="G59" s="133" t="str">
        <f aca="false">IF($A59="","",IFERROR(IF(ISNUMBER($A59),IF($A59&gt;19000000,DATE(INT($A59/10000),MOD(INT($A59/100),100),MOD($A59,100)),INT($A59)),IF(LEN(SUBSTITUTE(SUBSTITUTE(SUBSTITUTE(TRIM($A59),"-",""),".",""),"/",""))=8,DATE(VALUE(LEFT(SUBSTITUTE(SUBSTITUTE(SUBSTITUTE(TRIM($A59),"-",""),".",""),"/",""),4)),VALUE(MID(SUBSTITUTE(SUBSTITUTE(SUBSTITUTE(TRIM($A59),"-",""),".",""),"/",""),5,2)),VALUE(RIGHT(SUBSTITUTE(SUBSTITUTE(SUBSTITUTE(TRIM($A59),"-",""),".",""),"/",""),2))),DATEVALUE($A59))),""))</f>
        <v/>
      </c>
    </row>
    <row r="60" customFormat="false" ht="15" hidden="false" customHeight="false" outlineLevel="0" collapsed="false">
      <c r="A60" s="47"/>
      <c r="B60" s="48"/>
      <c r="C60" s="132"/>
      <c r="D60" s="53"/>
      <c r="E60" s="48"/>
      <c r="F60" s="132"/>
      <c r="G60" s="133" t="str">
        <f aca="false">IF($A60="","",IFERROR(IF(ISNUMBER($A60),IF($A60&gt;19000000,DATE(INT($A60/10000),MOD(INT($A60/100),100),MOD($A60,100)),INT($A60)),IF(LEN(SUBSTITUTE(SUBSTITUTE(SUBSTITUTE(TRIM($A60),"-",""),".",""),"/",""))=8,DATE(VALUE(LEFT(SUBSTITUTE(SUBSTITUTE(SUBSTITUTE(TRIM($A60),"-",""),".",""),"/",""),4)),VALUE(MID(SUBSTITUTE(SUBSTITUTE(SUBSTITUTE(TRIM($A60),"-",""),".",""),"/",""),5,2)),VALUE(RIGHT(SUBSTITUTE(SUBSTITUTE(SUBSTITUTE(TRIM($A60),"-",""),".",""),"/",""),2))),DATEVALUE($A60))),""))</f>
        <v/>
      </c>
    </row>
    <row r="61" customFormat="false" ht="15" hidden="false" customHeight="false" outlineLevel="0" collapsed="false">
      <c r="A61" s="47"/>
      <c r="B61" s="48"/>
      <c r="C61" s="132"/>
      <c r="D61" s="53"/>
      <c r="E61" s="48"/>
      <c r="F61" s="132"/>
      <c r="G61" s="133" t="str">
        <f aca="false">IF($A61="","",IFERROR(IF(ISNUMBER($A61),IF($A61&gt;19000000,DATE(INT($A61/10000),MOD(INT($A61/100),100),MOD($A61,100)),INT($A61)),IF(LEN(SUBSTITUTE(SUBSTITUTE(SUBSTITUTE(TRIM($A61),"-",""),".",""),"/",""))=8,DATE(VALUE(LEFT(SUBSTITUTE(SUBSTITUTE(SUBSTITUTE(TRIM($A61),"-",""),".",""),"/",""),4)),VALUE(MID(SUBSTITUTE(SUBSTITUTE(SUBSTITUTE(TRIM($A61),"-",""),".",""),"/",""),5,2)),VALUE(RIGHT(SUBSTITUTE(SUBSTITUTE(SUBSTITUTE(TRIM($A61),"-",""),".",""),"/",""),2))),DATEVALUE($A61))),""))</f>
        <v/>
      </c>
    </row>
    <row r="62" customFormat="false" ht="15" hidden="false" customHeight="false" outlineLevel="0" collapsed="false">
      <c r="A62" s="47"/>
      <c r="B62" s="48"/>
      <c r="C62" s="132"/>
      <c r="D62" s="53"/>
      <c r="E62" s="48"/>
      <c r="F62" s="132"/>
      <c r="G62" s="133" t="str">
        <f aca="false">IF($A62="","",IFERROR(IF(ISNUMBER($A62),IF($A62&gt;19000000,DATE(INT($A62/10000),MOD(INT($A62/100),100),MOD($A62,100)),INT($A62)),IF(LEN(SUBSTITUTE(SUBSTITUTE(SUBSTITUTE(TRIM($A62),"-",""),".",""),"/",""))=8,DATE(VALUE(LEFT(SUBSTITUTE(SUBSTITUTE(SUBSTITUTE(TRIM($A62),"-",""),".",""),"/",""),4)),VALUE(MID(SUBSTITUTE(SUBSTITUTE(SUBSTITUTE(TRIM($A62),"-",""),".",""),"/",""),5,2)),VALUE(RIGHT(SUBSTITUTE(SUBSTITUTE(SUBSTITUTE(TRIM($A62),"-",""),".",""),"/",""),2))),DATEVALUE($A62))),""))</f>
        <v/>
      </c>
    </row>
    <row r="63" customFormat="false" ht="15" hidden="false" customHeight="false" outlineLevel="0" collapsed="false">
      <c r="A63" s="47"/>
      <c r="B63" s="48"/>
      <c r="C63" s="132"/>
      <c r="D63" s="53"/>
      <c r="E63" s="48"/>
      <c r="F63" s="132"/>
      <c r="G63" s="133" t="str">
        <f aca="false">IF($A63="","",IFERROR(IF(ISNUMBER($A63),IF($A63&gt;19000000,DATE(INT($A63/10000),MOD(INT($A63/100),100),MOD($A63,100)),INT($A63)),IF(LEN(SUBSTITUTE(SUBSTITUTE(SUBSTITUTE(TRIM($A63),"-",""),".",""),"/",""))=8,DATE(VALUE(LEFT(SUBSTITUTE(SUBSTITUTE(SUBSTITUTE(TRIM($A63),"-",""),".",""),"/",""),4)),VALUE(MID(SUBSTITUTE(SUBSTITUTE(SUBSTITUTE(TRIM($A63),"-",""),".",""),"/",""),5,2)),VALUE(RIGHT(SUBSTITUTE(SUBSTITUTE(SUBSTITUTE(TRIM($A63),"-",""),".",""),"/",""),2))),DATEVALUE($A63))),""))</f>
        <v/>
      </c>
    </row>
    <row r="64" customFormat="false" ht="15" hidden="false" customHeight="false" outlineLevel="0" collapsed="false">
      <c r="A64" s="47"/>
      <c r="B64" s="48"/>
      <c r="C64" s="132"/>
      <c r="D64" s="53"/>
      <c r="E64" s="48"/>
      <c r="F64" s="132"/>
      <c r="G64" s="133" t="str">
        <f aca="false">IF($A64="","",IFERROR(IF(ISNUMBER($A64),IF($A64&gt;19000000,DATE(INT($A64/10000),MOD(INT($A64/100),100),MOD($A64,100)),INT($A64)),IF(LEN(SUBSTITUTE(SUBSTITUTE(SUBSTITUTE(TRIM($A64),"-",""),".",""),"/",""))=8,DATE(VALUE(LEFT(SUBSTITUTE(SUBSTITUTE(SUBSTITUTE(TRIM($A64),"-",""),".",""),"/",""),4)),VALUE(MID(SUBSTITUTE(SUBSTITUTE(SUBSTITUTE(TRIM($A64),"-",""),".",""),"/",""),5,2)),VALUE(RIGHT(SUBSTITUTE(SUBSTITUTE(SUBSTITUTE(TRIM($A64),"-",""),".",""),"/",""),2))),DATEVALUE($A64))),""))</f>
        <v/>
      </c>
    </row>
    <row r="65" customFormat="false" ht="15" hidden="false" customHeight="false" outlineLevel="0" collapsed="false">
      <c r="A65" s="47"/>
      <c r="B65" s="48"/>
      <c r="C65" s="132"/>
      <c r="D65" s="53"/>
      <c r="E65" s="48"/>
      <c r="F65" s="132"/>
      <c r="G65" s="133" t="str">
        <f aca="false">IF($A65="","",IFERROR(IF(ISNUMBER($A65),IF($A65&gt;19000000,DATE(INT($A65/10000),MOD(INT($A65/100),100),MOD($A65,100)),INT($A65)),IF(LEN(SUBSTITUTE(SUBSTITUTE(SUBSTITUTE(TRIM($A65),"-",""),".",""),"/",""))=8,DATE(VALUE(LEFT(SUBSTITUTE(SUBSTITUTE(SUBSTITUTE(TRIM($A65),"-",""),".",""),"/",""),4)),VALUE(MID(SUBSTITUTE(SUBSTITUTE(SUBSTITUTE(TRIM($A65),"-",""),".",""),"/",""),5,2)),VALUE(RIGHT(SUBSTITUTE(SUBSTITUTE(SUBSTITUTE(TRIM($A65),"-",""),".",""),"/",""),2))),DATEVALUE($A65))),""))</f>
        <v/>
      </c>
    </row>
    <row r="66" customFormat="false" ht="15" hidden="false" customHeight="false" outlineLevel="0" collapsed="false">
      <c r="A66" s="47"/>
      <c r="B66" s="48"/>
      <c r="C66" s="132"/>
      <c r="D66" s="53"/>
      <c r="E66" s="48"/>
      <c r="F66" s="132"/>
      <c r="G66" s="133" t="str">
        <f aca="false">IF($A66="","",IFERROR(IF(ISNUMBER($A66),IF($A66&gt;19000000,DATE(INT($A66/10000),MOD(INT($A66/100),100),MOD($A66,100)),INT($A66)),IF(LEN(SUBSTITUTE(SUBSTITUTE(SUBSTITUTE(TRIM($A66),"-",""),".",""),"/",""))=8,DATE(VALUE(LEFT(SUBSTITUTE(SUBSTITUTE(SUBSTITUTE(TRIM($A66),"-",""),".",""),"/",""),4)),VALUE(MID(SUBSTITUTE(SUBSTITUTE(SUBSTITUTE(TRIM($A66),"-",""),".",""),"/",""),5,2)),VALUE(RIGHT(SUBSTITUTE(SUBSTITUTE(SUBSTITUTE(TRIM($A66),"-",""),".",""),"/",""),2))),DATEVALUE($A66))),""))</f>
        <v/>
      </c>
    </row>
    <row r="67" customFormat="false" ht="15" hidden="false" customHeight="false" outlineLevel="0" collapsed="false">
      <c r="A67" s="47"/>
      <c r="B67" s="48"/>
      <c r="C67" s="132"/>
      <c r="D67" s="53"/>
      <c r="E67" s="48"/>
      <c r="F67" s="132"/>
      <c r="G67" s="133" t="str">
        <f aca="false">IF($A67="","",IFERROR(IF(ISNUMBER($A67),IF($A67&gt;19000000,DATE(INT($A67/10000),MOD(INT($A67/100),100),MOD($A67,100)),INT($A67)),IF(LEN(SUBSTITUTE(SUBSTITUTE(SUBSTITUTE(TRIM($A67),"-",""),".",""),"/",""))=8,DATE(VALUE(LEFT(SUBSTITUTE(SUBSTITUTE(SUBSTITUTE(TRIM($A67),"-",""),".",""),"/",""),4)),VALUE(MID(SUBSTITUTE(SUBSTITUTE(SUBSTITUTE(TRIM($A67),"-",""),".",""),"/",""),5,2)),VALUE(RIGHT(SUBSTITUTE(SUBSTITUTE(SUBSTITUTE(TRIM($A67),"-",""),".",""),"/",""),2))),DATEVALUE($A67))),""))</f>
        <v/>
      </c>
    </row>
    <row r="68" customFormat="false" ht="15" hidden="false" customHeight="false" outlineLevel="0" collapsed="false">
      <c r="A68" s="47"/>
      <c r="B68" s="48"/>
      <c r="C68" s="132"/>
      <c r="D68" s="53"/>
      <c r="E68" s="48"/>
      <c r="F68" s="132"/>
      <c r="G68" s="133" t="str">
        <f aca="false">IF($A68="","",IFERROR(IF(ISNUMBER($A68),IF($A68&gt;19000000,DATE(INT($A68/10000),MOD(INT($A68/100),100),MOD($A68,100)),INT($A68)),IF(LEN(SUBSTITUTE(SUBSTITUTE(SUBSTITUTE(TRIM($A68),"-",""),".",""),"/",""))=8,DATE(VALUE(LEFT(SUBSTITUTE(SUBSTITUTE(SUBSTITUTE(TRIM($A68),"-",""),".",""),"/",""),4)),VALUE(MID(SUBSTITUTE(SUBSTITUTE(SUBSTITUTE(TRIM($A68),"-",""),".",""),"/",""),5,2)),VALUE(RIGHT(SUBSTITUTE(SUBSTITUTE(SUBSTITUTE(TRIM($A68),"-",""),".",""),"/",""),2))),DATEVALUE($A68))),""))</f>
        <v/>
      </c>
    </row>
    <row r="69" customFormat="false" ht="15" hidden="false" customHeight="false" outlineLevel="0" collapsed="false">
      <c r="A69" s="47"/>
      <c r="B69" s="48"/>
      <c r="C69" s="132"/>
      <c r="D69" s="53"/>
      <c r="E69" s="48"/>
      <c r="F69" s="132"/>
      <c r="G69" s="133" t="str">
        <f aca="false">IF($A69="","",IFERROR(IF(ISNUMBER($A69),IF($A69&gt;19000000,DATE(INT($A69/10000),MOD(INT($A69/100),100),MOD($A69,100)),INT($A69)),IF(LEN(SUBSTITUTE(SUBSTITUTE(SUBSTITUTE(TRIM($A69),"-",""),".",""),"/",""))=8,DATE(VALUE(LEFT(SUBSTITUTE(SUBSTITUTE(SUBSTITUTE(TRIM($A69),"-",""),".",""),"/",""),4)),VALUE(MID(SUBSTITUTE(SUBSTITUTE(SUBSTITUTE(TRIM($A69),"-",""),".",""),"/",""),5,2)),VALUE(RIGHT(SUBSTITUTE(SUBSTITUTE(SUBSTITUTE(TRIM($A69),"-",""),".",""),"/",""),2))),DATEVALUE($A69))),""))</f>
        <v/>
      </c>
    </row>
    <row r="70" customFormat="false" ht="15" hidden="false" customHeight="false" outlineLevel="0" collapsed="false">
      <c r="A70" s="47"/>
      <c r="B70" s="48"/>
      <c r="C70" s="132"/>
      <c r="D70" s="53"/>
      <c r="E70" s="48"/>
      <c r="F70" s="132"/>
      <c r="G70" s="133" t="str">
        <f aca="false">IF($A70="","",IFERROR(IF(ISNUMBER($A70),IF($A70&gt;19000000,DATE(INT($A70/10000),MOD(INT($A70/100),100),MOD($A70,100)),INT($A70)),IF(LEN(SUBSTITUTE(SUBSTITUTE(SUBSTITUTE(TRIM($A70),"-",""),".",""),"/",""))=8,DATE(VALUE(LEFT(SUBSTITUTE(SUBSTITUTE(SUBSTITUTE(TRIM($A70),"-",""),".",""),"/",""),4)),VALUE(MID(SUBSTITUTE(SUBSTITUTE(SUBSTITUTE(TRIM($A70),"-",""),".",""),"/",""),5,2)),VALUE(RIGHT(SUBSTITUTE(SUBSTITUTE(SUBSTITUTE(TRIM($A70),"-",""),".",""),"/",""),2))),DATEVALUE($A70))),""))</f>
        <v/>
      </c>
    </row>
    <row r="71" customFormat="false" ht="15" hidden="false" customHeight="false" outlineLevel="0" collapsed="false">
      <c r="A71" s="47"/>
      <c r="B71" s="48"/>
      <c r="C71" s="132"/>
      <c r="D71" s="53"/>
      <c r="E71" s="48"/>
      <c r="F71" s="132"/>
      <c r="G71" s="133" t="str">
        <f aca="false">IF($A71="","",IFERROR(IF(ISNUMBER($A71),IF($A71&gt;19000000,DATE(INT($A71/10000),MOD(INT($A71/100),100),MOD($A71,100)),INT($A71)),IF(LEN(SUBSTITUTE(SUBSTITUTE(SUBSTITUTE(TRIM($A71),"-",""),".",""),"/",""))=8,DATE(VALUE(LEFT(SUBSTITUTE(SUBSTITUTE(SUBSTITUTE(TRIM($A71),"-",""),".",""),"/",""),4)),VALUE(MID(SUBSTITUTE(SUBSTITUTE(SUBSTITUTE(TRIM($A71),"-",""),".",""),"/",""),5,2)),VALUE(RIGHT(SUBSTITUTE(SUBSTITUTE(SUBSTITUTE(TRIM($A71),"-",""),".",""),"/",""),2))),DATEVALUE($A71))),""))</f>
        <v/>
      </c>
    </row>
    <row r="72" customFormat="false" ht="15" hidden="false" customHeight="false" outlineLevel="0" collapsed="false">
      <c r="A72" s="47"/>
      <c r="B72" s="48"/>
      <c r="C72" s="132"/>
      <c r="D72" s="53"/>
      <c r="E72" s="48"/>
      <c r="F72" s="132"/>
      <c r="G72" s="133" t="str">
        <f aca="false">IF($A72="","",IFERROR(IF(ISNUMBER($A72),IF($A72&gt;19000000,DATE(INT($A72/10000),MOD(INT($A72/100),100),MOD($A72,100)),INT($A72)),IF(LEN(SUBSTITUTE(SUBSTITUTE(SUBSTITUTE(TRIM($A72),"-",""),".",""),"/",""))=8,DATE(VALUE(LEFT(SUBSTITUTE(SUBSTITUTE(SUBSTITUTE(TRIM($A72),"-",""),".",""),"/",""),4)),VALUE(MID(SUBSTITUTE(SUBSTITUTE(SUBSTITUTE(TRIM($A72),"-",""),".",""),"/",""),5,2)),VALUE(RIGHT(SUBSTITUTE(SUBSTITUTE(SUBSTITUTE(TRIM($A72),"-",""),".",""),"/",""),2))),DATEVALUE($A72))),""))</f>
        <v/>
      </c>
    </row>
    <row r="73" customFormat="false" ht="15" hidden="false" customHeight="false" outlineLevel="0" collapsed="false">
      <c r="A73" s="47"/>
      <c r="B73" s="48"/>
      <c r="C73" s="132"/>
      <c r="D73" s="53"/>
      <c r="E73" s="48"/>
      <c r="F73" s="132"/>
      <c r="G73" s="133" t="str">
        <f aca="false">IF($A73="","",IFERROR(IF(ISNUMBER($A73),IF($A73&gt;19000000,DATE(INT($A73/10000),MOD(INT($A73/100),100),MOD($A73,100)),INT($A73)),IF(LEN(SUBSTITUTE(SUBSTITUTE(SUBSTITUTE(TRIM($A73),"-",""),".",""),"/",""))=8,DATE(VALUE(LEFT(SUBSTITUTE(SUBSTITUTE(SUBSTITUTE(TRIM($A73),"-",""),".",""),"/",""),4)),VALUE(MID(SUBSTITUTE(SUBSTITUTE(SUBSTITUTE(TRIM($A73),"-",""),".",""),"/",""),5,2)),VALUE(RIGHT(SUBSTITUTE(SUBSTITUTE(SUBSTITUTE(TRIM($A73),"-",""),".",""),"/",""),2))),DATEVALUE($A73))),""))</f>
        <v/>
      </c>
    </row>
    <row r="74" customFormat="false" ht="15" hidden="false" customHeight="false" outlineLevel="0" collapsed="false">
      <c r="A74" s="47"/>
      <c r="B74" s="48"/>
      <c r="C74" s="132"/>
      <c r="D74" s="53"/>
      <c r="E74" s="48"/>
      <c r="F74" s="132"/>
      <c r="G74" s="133" t="str">
        <f aca="false">IF($A74="","",IFERROR(IF(ISNUMBER($A74),IF($A74&gt;19000000,DATE(INT($A74/10000),MOD(INT($A74/100),100),MOD($A74,100)),INT($A74)),IF(LEN(SUBSTITUTE(SUBSTITUTE(SUBSTITUTE(TRIM($A74),"-",""),".",""),"/",""))=8,DATE(VALUE(LEFT(SUBSTITUTE(SUBSTITUTE(SUBSTITUTE(TRIM($A74),"-",""),".",""),"/",""),4)),VALUE(MID(SUBSTITUTE(SUBSTITUTE(SUBSTITUTE(TRIM($A74),"-",""),".",""),"/",""),5,2)),VALUE(RIGHT(SUBSTITUTE(SUBSTITUTE(SUBSTITUTE(TRIM($A74),"-",""),".",""),"/",""),2))),DATEVALUE($A74))),""))</f>
        <v/>
      </c>
    </row>
    <row r="75" customFormat="false" ht="15" hidden="false" customHeight="false" outlineLevel="0" collapsed="false">
      <c r="A75" s="47"/>
      <c r="B75" s="48"/>
      <c r="C75" s="132"/>
      <c r="D75" s="53"/>
      <c r="E75" s="48"/>
      <c r="F75" s="132"/>
      <c r="G75" s="133" t="str">
        <f aca="false">IF($A75="","",IFERROR(IF(ISNUMBER($A75),IF($A75&gt;19000000,DATE(INT($A75/10000),MOD(INT($A75/100),100),MOD($A75,100)),INT($A75)),IF(LEN(SUBSTITUTE(SUBSTITUTE(SUBSTITUTE(TRIM($A75),"-",""),".",""),"/",""))=8,DATE(VALUE(LEFT(SUBSTITUTE(SUBSTITUTE(SUBSTITUTE(TRIM($A75),"-",""),".",""),"/",""),4)),VALUE(MID(SUBSTITUTE(SUBSTITUTE(SUBSTITUTE(TRIM($A75),"-",""),".",""),"/",""),5,2)),VALUE(RIGHT(SUBSTITUTE(SUBSTITUTE(SUBSTITUTE(TRIM($A75),"-",""),".",""),"/",""),2))),DATEVALUE($A75))),""))</f>
        <v/>
      </c>
    </row>
    <row r="76" customFormat="false" ht="15" hidden="false" customHeight="false" outlineLevel="0" collapsed="false">
      <c r="A76" s="47"/>
      <c r="B76" s="48"/>
      <c r="C76" s="132"/>
      <c r="D76" s="53"/>
      <c r="E76" s="48"/>
      <c r="F76" s="132"/>
      <c r="G76" s="133" t="str">
        <f aca="false">IF($A76="","",IFERROR(IF(ISNUMBER($A76),IF($A76&gt;19000000,DATE(INT($A76/10000),MOD(INT($A76/100),100),MOD($A76,100)),INT($A76)),IF(LEN(SUBSTITUTE(SUBSTITUTE(SUBSTITUTE(TRIM($A76),"-",""),".",""),"/",""))=8,DATE(VALUE(LEFT(SUBSTITUTE(SUBSTITUTE(SUBSTITUTE(TRIM($A76),"-",""),".",""),"/",""),4)),VALUE(MID(SUBSTITUTE(SUBSTITUTE(SUBSTITUTE(TRIM($A76),"-",""),".",""),"/",""),5,2)),VALUE(RIGHT(SUBSTITUTE(SUBSTITUTE(SUBSTITUTE(TRIM($A76),"-",""),".",""),"/",""),2))),DATEVALUE($A76))),""))</f>
        <v/>
      </c>
    </row>
    <row r="77" customFormat="false" ht="15" hidden="false" customHeight="false" outlineLevel="0" collapsed="false">
      <c r="A77" s="47"/>
      <c r="B77" s="48"/>
      <c r="C77" s="132"/>
      <c r="D77" s="53"/>
      <c r="E77" s="48"/>
      <c r="F77" s="132"/>
      <c r="G77" s="133" t="str">
        <f aca="false">IF($A77="","",IFERROR(IF(ISNUMBER($A77),IF($A77&gt;19000000,DATE(INT($A77/10000),MOD(INT($A77/100),100),MOD($A77,100)),INT($A77)),IF(LEN(SUBSTITUTE(SUBSTITUTE(SUBSTITUTE(TRIM($A77),"-",""),".",""),"/",""))=8,DATE(VALUE(LEFT(SUBSTITUTE(SUBSTITUTE(SUBSTITUTE(TRIM($A77),"-",""),".",""),"/",""),4)),VALUE(MID(SUBSTITUTE(SUBSTITUTE(SUBSTITUTE(TRIM($A77),"-",""),".",""),"/",""),5,2)),VALUE(RIGHT(SUBSTITUTE(SUBSTITUTE(SUBSTITUTE(TRIM($A77),"-",""),".",""),"/",""),2))),DATEVALUE($A77))),""))</f>
        <v/>
      </c>
    </row>
    <row r="78" customFormat="false" ht="15" hidden="false" customHeight="false" outlineLevel="0" collapsed="false">
      <c r="A78" s="47"/>
      <c r="B78" s="48"/>
      <c r="C78" s="132"/>
      <c r="D78" s="53"/>
      <c r="E78" s="48"/>
      <c r="F78" s="132"/>
      <c r="G78" s="133" t="str">
        <f aca="false">IF($A78="","",IFERROR(IF(ISNUMBER($A78),IF($A78&gt;19000000,DATE(INT($A78/10000),MOD(INT($A78/100),100),MOD($A78,100)),INT($A78)),IF(LEN(SUBSTITUTE(SUBSTITUTE(SUBSTITUTE(TRIM($A78),"-",""),".",""),"/",""))=8,DATE(VALUE(LEFT(SUBSTITUTE(SUBSTITUTE(SUBSTITUTE(TRIM($A78),"-",""),".",""),"/",""),4)),VALUE(MID(SUBSTITUTE(SUBSTITUTE(SUBSTITUTE(TRIM($A78),"-",""),".",""),"/",""),5,2)),VALUE(RIGHT(SUBSTITUTE(SUBSTITUTE(SUBSTITUTE(TRIM($A78),"-",""),".",""),"/",""),2))),DATEVALUE($A78))),""))</f>
        <v/>
      </c>
    </row>
    <row r="79" customFormat="false" ht="15" hidden="false" customHeight="false" outlineLevel="0" collapsed="false">
      <c r="A79" s="47"/>
      <c r="B79" s="48"/>
      <c r="C79" s="132"/>
      <c r="D79" s="53"/>
      <c r="E79" s="48"/>
      <c r="F79" s="132"/>
      <c r="G79" s="133" t="str">
        <f aca="false">IF($A79="","",IFERROR(IF(ISNUMBER($A79),IF($A79&gt;19000000,DATE(INT($A79/10000),MOD(INT($A79/100),100),MOD($A79,100)),INT($A79)),IF(LEN(SUBSTITUTE(SUBSTITUTE(SUBSTITUTE(TRIM($A79),"-",""),".",""),"/",""))=8,DATE(VALUE(LEFT(SUBSTITUTE(SUBSTITUTE(SUBSTITUTE(TRIM($A79),"-",""),".",""),"/",""),4)),VALUE(MID(SUBSTITUTE(SUBSTITUTE(SUBSTITUTE(TRIM($A79),"-",""),".",""),"/",""),5,2)),VALUE(RIGHT(SUBSTITUTE(SUBSTITUTE(SUBSTITUTE(TRIM($A79),"-",""),".",""),"/",""),2))),DATEVALUE($A79))),""))</f>
        <v/>
      </c>
    </row>
    <row r="80" customFormat="false" ht="15" hidden="false" customHeight="false" outlineLevel="0" collapsed="false">
      <c r="A80" s="47"/>
      <c r="B80" s="48"/>
      <c r="C80" s="132"/>
      <c r="D80" s="53"/>
      <c r="E80" s="48"/>
      <c r="F80" s="132"/>
      <c r="G80" s="133" t="str">
        <f aca="false">IF($A80="","",IFERROR(IF(ISNUMBER($A80),IF($A80&gt;19000000,DATE(INT($A80/10000),MOD(INT($A80/100),100),MOD($A80,100)),INT($A80)),IF(LEN(SUBSTITUTE(SUBSTITUTE(SUBSTITUTE(TRIM($A80),"-",""),".",""),"/",""))=8,DATE(VALUE(LEFT(SUBSTITUTE(SUBSTITUTE(SUBSTITUTE(TRIM($A80),"-",""),".",""),"/",""),4)),VALUE(MID(SUBSTITUTE(SUBSTITUTE(SUBSTITUTE(TRIM($A80),"-",""),".",""),"/",""),5,2)),VALUE(RIGHT(SUBSTITUTE(SUBSTITUTE(SUBSTITUTE(TRIM($A80),"-",""),".",""),"/",""),2))),DATEVALUE($A80))),""))</f>
        <v/>
      </c>
    </row>
    <row r="81" customFormat="false" ht="15" hidden="false" customHeight="false" outlineLevel="0" collapsed="false">
      <c r="A81" s="47"/>
      <c r="B81" s="48"/>
      <c r="C81" s="132"/>
      <c r="D81" s="53"/>
      <c r="E81" s="48"/>
      <c r="F81" s="132"/>
      <c r="G81" s="133" t="str">
        <f aca="false">IF($A81="","",IFERROR(IF(ISNUMBER($A81),IF($A81&gt;19000000,DATE(INT($A81/10000),MOD(INT($A81/100),100),MOD($A81,100)),INT($A81)),IF(LEN(SUBSTITUTE(SUBSTITUTE(SUBSTITUTE(TRIM($A81),"-",""),".",""),"/",""))=8,DATE(VALUE(LEFT(SUBSTITUTE(SUBSTITUTE(SUBSTITUTE(TRIM($A81),"-",""),".",""),"/",""),4)),VALUE(MID(SUBSTITUTE(SUBSTITUTE(SUBSTITUTE(TRIM($A81),"-",""),".",""),"/",""),5,2)),VALUE(RIGHT(SUBSTITUTE(SUBSTITUTE(SUBSTITUTE(TRIM($A81),"-",""),".",""),"/",""),2))),DATEVALUE($A81))),""))</f>
        <v/>
      </c>
    </row>
    <row r="82" customFormat="false" ht="15" hidden="false" customHeight="false" outlineLevel="0" collapsed="false">
      <c r="A82" s="47"/>
      <c r="B82" s="48"/>
      <c r="C82" s="132"/>
      <c r="D82" s="53"/>
      <c r="E82" s="48"/>
      <c r="F82" s="132"/>
      <c r="G82" s="133" t="str">
        <f aca="false">IF($A82="","",IFERROR(IF(ISNUMBER($A82),IF($A82&gt;19000000,DATE(INT($A82/10000),MOD(INT($A82/100),100),MOD($A82,100)),INT($A82)),IF(LEN(SUBSTITUTE(SUBSTITUTE(SUBSTITUTE(TRIM($A82),"-",""),".",""),"/",""))=8,DATE(VALUE(LEFT(SUBSTITUTE(SUBSTITUTE(SUBSTITUTE(TRIM($A82),"-",""),".",""),"/",""),4)),VALUE(MID(SUBSTITUTE(SUBSTITUTE(SUBSTITUTE(TRIM($A82),"-",""),".",""),"/",""),5,2)),VALUE(RIGHT(SUBSTITUTE(SUBSTITUTE(SUBSTITUTE(TRIM($A82),"-",""),".",""),"/",""),2))),DATEVALUE($A82))),""))</f>
        <v/>
      </c>
    </row>
    <row r="83" customFormat="false" ht="15" hidden="false" customHeight="false" outlineLevel="0" collapsed="false">
      <c r="A83" s="47"/>
      <c r="B83" s="48"/>
      <c r="C83" s="132"/>
      <c r="D83" s="53"/>
      <c r="E83" s="48"/>
      <c r="F83" s="132"/>
      <c r="G83" s="133" t="str">
        <f aca="false">IF($A83="","",IFERROR(IF(ISNUMBER($A83),IF($A83&gt;19000000,DATE(INT($A83/10000),MOD(INT($A83/100),100),MOD($A83,100)),INT($A83)),IF(LEN(SUBSTITUTE(SUBSTITUTE(SUBSTITUTE(TRIM($A83),"-",""),".",""),"/",""))=8,DATE(VALUE(LEFT(SUBSTITUTE(SUBSTITUTE(SUBSTITUTE(TRIM($A83),"-",""),".",""),"/",""),4)),VALUE(MID(SUBSTITUTE(SUBSTITUTE(SUBSTITUTE(TRIM($A83),"-",""),".",""),"/",""),5,2)),VALUE(RIGHT(SUBSTITUTE(SUBSTITUTE(SUBSTITUTE(TRIM($A83),"-",""),".",""),"/",""),2))),DATEVALUE($A83))),""))</f>
        <v/>
      </c>
    </row>
    <row r="84" customFormat="false" ht="15" hidden="false" customHeight="false" outlineLevel="0" collapsed="false">
      <c r="A84" s="47"/>
      <c r="B84" s="48"/>
      <c r="C84" s="132"/>
      <c r="D84" s="53"/>
      <c r="E84" s="48"/>
      <c r="F84" s="132"/>
      <c r="G84" s="133" t="str">
        <f aca="false">IF($A84="","",IFERROR(IF(ISNUMBER($A84),IF($A84&gt;19000000,DATE(INT($A84/10000),MOD(INT($A84/100),100),MOD($A84,100)),INT($A84)),IF(LEN(SUBSTITUTE(SUBSTITUTE(SUBSTITUTE(TRIM($A84),"-",""),".",""),"/",""))=8,DATE(VALUE(LEFT(SUBSTITUTE(SUBSTITUTE(SUBSTITUTE(TRIM($A84),"-",""),".",""),"/",""),4)),VALUE(MID(SUBSTITUTE(SUBSTITUTE(SUBSTITUTE(TRIM($A84),"-",""),".",""),"/",""),5,2)),VALUE(RIGHT(SUBSTITUTE(SUBSTITUTE(SUBSTITUTE(TRIM($A84),"-",""),".",""),"/",""),2))),DATEVALUE($A84))),""))</f>
        <v/>
      </c>
    </row>
    <row r="85" customFormat="false" ht="15" hidden="false" customHeight="false" outlineLevel="0" collapsed="false">
      <c r="A85" s="47"/>
      <c r="B85" s="48"/>
      <c r="C85" s="132"/>
      <c r="D85" s="53"/>
      <c r="E85" s="48"/>
      <c r="F85" s="132"/>
      <c r="G85" s="133" t="str">
        <f aca="false">IF($A85="","",IFERROR(IF(ISNUMBER($A85),IF($A85&gt;19000000,DATE(INT($A85/10000),MOD(INT($A85/100),100),MOD($A85,100)),INT($A85)),IF(LEN(SUBSTITUTE(SUBSTITUTE(SUBSTITUTE(TRIM($A85),"-",""),".",""),"/",""))=8,DATE(VALUE(LEFT(SUBSTITUTE(SUBSTITUTE(SUBSTITUTE(TRIM($A85),"-",""),".",""),"/",""),4)),VALUE(MID(SUBSTITUTE(SUBSTITUTE(SUBSTITUTE(TRIM($A85),"-",""),".",""),"/",""),5,2)),VALUE(RIGHT(SUBSTITUTE(SUBSTITUTE(SUBSTITUTE(TRIM($A85),"-",""),".",""),"/",""),2))),DATEVALUE($A85))),""))</f>
        <v/>
      </c>
    </row>
    <row r="86" customFormat="false" ht="15" hidden="false" customHeight="false" outlineLevel="0" collapsed="false">
      <c r="A86" s="47"/>
      <c r="B86" s="48"/>
      <c r="C86" s="132"/>
      <c r="D86" s="53"/>
      <c r="E86" s="48"/>
      <c r="F86" s="132"/>
      <c r="G86" s="133" t="str">
        <f aca="false">IF($A86="","",IFERROR(IF(ISNUMBER($A86),IF($A86&gt;19000000,DATE(INT($A86/10000),MOD(INT($A86/100),100),MOD($A86,100)),INT($A86)),IF(LEN(SUBSTITUTE(SUBSTITUTE(SUBSTITUTE(TRIM($A86),"-",""),".",""),"/",""))=8,DATE(VALUE(LEFT(SUBSTITUTE(SUBSTITUTE(SUBSTITUTE(TRIM($A86),"-",""),".",""),"/",""),4)),VALUE(MID(SUBSTITUTE(SUBSTITUTE(SUBSTITUTE(TRIM($A86),"-",""),".",""),"/",""),5,2)),VALUE(RIGHT(SUBSTITUTE(SUBSTITUTE(SUBSTITUTE(TRIM($A86),"-",""),".",""),"/",""),2))),DATEVALUE($A86))),""))</f>
        <v/>
      </c>
    </row>
    <row r="87" customFormat="false" ht="15" hidden="false" customHeight="false" outlineLevel="0" collapsed="false">
      <c r="A87" s="47"/>
      <c r="B87" s="48"/>
      <c r="C87" s="132"/>
      <c r="D87" s="53"/>
      <c r="E87" s="48"/>
      <c r="F87" s="132"/>
      <c r="G87" s="133" t="str">
        <f aca="false">IF($A87="","",IFERROR(IF(ISNUMBER($A87),IF($A87&gt;19000000,DATE(INT($A87/10000),MOD(INT($A87/100),100),MOD($A87,100)),INT($A87)),IF(LEN(SUBSTITUTE(SUBSTITUTE(SUBSTITUTE(TRIM($A87),"-",""),".",""),"/",""))=8,DATE(VALUE(LEFT(SUBSTITUTE(SUBSTITUTE(SUBSTITUTE(TRIM($A87),"-",""),".",""),"/",""),4)),VALUE(MID(SUBSTITUTE(SUBSTITUTE(SUBSTITUTE(TRIM($A87),"-",""),".",""),"/",""),5,2)),VALUE(RIGHT(SUBSTITUTE(SUBSTITUTE(SUBSTITUTE(TRIM($A87),"-",""),".",""),"/",""),2))),DATEVALUE($A87))),""))</f>
        <v/>
      </c>
    </row>
    <row r="88" customFormat="false" ht="15" hidden="false" customHeight="false" outlineLevel="0" collapsed="false">
      <c r="A88" s="47"/>
      <c r="B88" s="48"/>
      <c r="C88" s="132"/>
      <c r="D88" s="53"/>
      <c r="E88" s="48"/>
      <c r="F88" s="132"/>
      <c r="G88" s="133" t="str">
        <f aca="false">IF($A88="","",IFERROR(IF(ISNUMBER($A88),IF($A88&gt;19000000,DATE(INT($A88/10000),MOD(INT($A88/100),100),MOD($A88,100)),INT($A88)),IF(LEN(SUBSTITUTE(SUBSTITUTE(SUBSTITUTE(TRIM($A88),"-",""),".",""),"/",""))=8,DATE(VALUE(LEFT(SUBSTITUTE(SUBSTITUTE(SUBSTITUTE(TRIM($A88),"-",""),".",""),"/",""),4)),VALUE(MID(SUBSTITUTE(SUBSTITUTE(SUBSTITUTE(TRIM($A88),"-",""),".",""),"/",""),5,2)),VALUE(RIGHT(SUBSTITUTE(SUBSTITUTE(SUBSTITUTE(TRIM($A88),"-",""),".",""),"/",""),2))),DATEVALUE($A88))),""))</f>
        <v/>
      </c>
    </row>
    <row r="89" customFormat="false" ht="15" hidden="false" customHeight="false" outlineLevel="0" collapsed="false">
      <c r="A89" s="47"/>
      <c r="B89" s="48"/>
      <c r="C89" s="132"/>
      <c r="D89" s="53"/>
      <c r="E89" s="48"/>
      <c r="F89" s="132"/>
      <c r="G89" s="133" t="str">
        <f aca="false">IF($A89="","",IFERROR(IF(ISNUMBER($A89),IF($A89&gt;19000000,DATE(INT($A89/10000),MOD(INT($A89/100),100),MOD($A89,100)),INT($A89)),IF(LEN(SUBSTITUTE(SUBSTITUTE(SUBSTITUTE(TRIM($A89),"-",""),".",""),"/",""))=8,DATE(VALUE(LEFT(SUBSTITUTE(SUBSTITUTE(SUBSTITUTE(TRIM($A89),"-",""),".",""),"/",""),4)),VALUE(MID(SUBSTITUTE(SUBSTITUTE(SUBSTITUTE(TRIM($A89),"-",""),".",""),"/",""),5,2)),VALUE(RIGHT(SUBSTITUTE(SUBSTITUTE(SUBSTITUTE(TRIM($A89),"-",""),".",""),"/",""),2))),DATEVALUE($A89))),""))</f>
        <v/>
      </c>
    </row>
    <row r="90" customFormat="false" ht="15" hidden="false" customHeight="false" outlineLevel="0" collapsed="false">
      <c r="A90" s="47"/>
      <c r="B90" s="48"/>
      <c r="C90" s="132"/>
      <c r="D90" s="53"/>
      <c r="E90" s="48"/>
      <c r="F90" s="132"/>
      <c r="G90" s="133" t="str">
        <f aca="false">IF($A90="","",IFERROR(IF(ISNUMBER($A90),IF($A90&gt;19000000,DATE(INT($A90/10000),MOD(INT($A90/100),100),MOD($A90,100)),INT($A90)),IF(LEN(SUBSTITUTE(SUBSTITUTE(SUBSTITUTE(TRIM($A90),"-",""),".",""),"/",""))=8,DATE(VALUE(LEFT(SUBSTITUTE(SUBSTITUTE(SUBSTITUTE(TRIM($A90),"-",""),".",""),"/",""),4)),VALUE(MID(SUBSTITUTE(SUBSTITUTE(SUBSTITUTE(TRIM($A90),"-",""),".",""),"/",""),5,2)),VALUE(RIGHT(SUBSTITUTE(SUBSTITUTE(SUBSTITUTE(TRIM($A90),"-",""),".",""),"/",""),2))),DATEVALUE($A90))),""))</f>
        <v/>
      </c>
    </row>
    <row r="91" customFormat="false" ht="15" hidden="false" customHeight="false" outlineLevel="0" collapsed="false">
      <c r="A91" s="47"/>
      <c r="B91" s="48"/>
      <c r="C91" s="132"/>
      <c r="D91" s="53"/>
      <c r="E91" s="48"/>
      <c r="F91" s="132"/>
      <c r="G91" s="133" t="str">
        <f aca="false">IF($A91="","",IFERROR(IF(ISNUMBER($A91),IF($A91&gt;19000000,DATE(INT($A91/10000),MOD(INT($A91/100),100),MOD($A91,100)),INT($A91)),IF(LEN(SUBSTITUTE(SUBSTITUTE(SUBSTITUTE(TRIM($A91),"-",""),".",""),"/",""))=8,DATE(VALUE(LEFT(SUBSTITUTE(SUBSTITUTE(SUBSTITUTE(TRIM($A91),"-",""),".",""),"/",""),4)),VALUE(MID(SUBSTITUTE(SUBSTITUTE(SUBSTITUTE(TRIM($A91),"-",""),".",""),"/",""),5,2)),VALUE(RIGHT(SUBSTITUTE(SUBSTITUTE(SUBSTITUTE(TRIM($A91),"-",""),".",""),"/",""),2))),DATEVALUE($A91))),""))</f>
        <v/>
      </c>
    </row>
    <row r="92" customFormat="false" ht="15" hidden="false" customHeight="false" outlineLevel="0" collapsed="false">
      <c r="A92" s="47"/>
      <c r="B92" s="48"/>
      <c r="C92" s="132"/>
      <c r="D92" s="53"/>
      <c r="E92" s="48"/>
      <c r="F92" s="132"/>
      <c r="G92" s="133" t="str">
        <f aca="false">IF($A92="","",IFERROR(IF(ISNUMBER($A92),IF($A92&gt;19000000,DATE(INT($A92/10000),MOD(INT($A92/100),100),MOD($A92,100)),INT($A92)),IF(LEN(SUBSTITUTE(SUBSTITUTE(SUBSTITUTE(TRIM($A92),"-",""),".",""),"/",""))=8,DATE(VALUE(LEFT(SUBSTITUTE(SUBSTITUTE(SUBSTITUTE(TRIM($A92),"-",""),".",""),"/",""),4)),VALUE(MID(SUBSTITUTE(SUBSTITUTE(SUBSTITUTE(TRIM($A92),"-",""),".",""),"/",""),5,2)),VALUE(RIGHT(SUBSTITUTE(SUBSTITUTE(SUBSTITUTE(TRIM($A92),"-",""),".",""),"/",""),2))),DATEVALUE($A92))),""))</f>
        <v/>
      </c>
    </row>
    <row r="93" customFormat="false" ht="15" hidden="false" customHeight="false" outlineLevel="0" collapsed="false">
      <c r="A93" s="47"/>
      <c r="B93" s="48"/>
      <c r="C93" s="132"/>
      <c r="D93" s="53"/>
      <c r="E93" s="48"/>
      <c r="F93" s="132"/>
      <c r="G93" s="133" t="str">
        <f aca="false">IF($A93="","",IFERROR(IF(ISNUMBER($A93),IF($A93&gt;19000000,DATE(INT($A93/10000),MOD(INT($A93/100),100),MOD($A93,100)),INT($A93)),IF(LEN(SUBSTITUTE(SUBSTITUTE(SUBSTITUTE(TRIM($A93),"-",""),".",""),"/",""))=8,DATE(VALUE(LEFT(SUBSTITUTE(SUBSTITUTE(SUBSTITUTE(TRIM($A93),"-",""),".",""),"/",""),4)),VALUE(MID(SUBSTITUTE(SUBSTITUTE(SUBSTITUTE(TRIM($A93),"-",""),".",""),"/",""),5,2)),VALUE(RIGHT(SUBSTITUTE(SUBSTITUTE(SUBSTITUTE(TRIM($A93),"-",""),".",""),"/",""),2))),DATEVALUE($A93))),""))</f>
        <v/>
      </c>
    </row>
    <row r="94" customFormat="false" ht="15" hidden="false" customHeight="false" outlineLevel="0" collapsed="false">
      <c r="A94" s="47"/>
      <c r="B94" s="48"/>
      <c r="C94" s="132"/>
      <c r="D94" s="53"/>
      <c r="E94" s="48"/>
      <c r="F94" s="132"/>
      <c r="G94" s="133" t="str">
        <f aca="false">IF($A94="","",IFERROR(IF(ISNUMBER($A94),IF($A94&gt;19000000,DATE(INT($A94/10000),MOD(INT($A94/100),100),MOD($A94,100)),INT($A94)),IF(LEN(SUBSTITUTE(SUBSTITUTE(SUBSTITUTE(TRIM($A94),"-",""),".",""),"/",""))=8,DATE(VALUE(LEFT(SUBSTITUTE(SUBSTITUTE(SUBSTITUTE(TRIM($A94),"-",""),".",""),"/",""),4)),VALUE(MID(SUBSTITUTE(SUBSTITUTE(SUBSTITUTE(TRIM($A94),"-",""),".",""),"/",""),5,2)),VALUE(RIGHT(SUBSTITUTE(SUBSTITUTE(SUBSTITUTE(TRIM($A94),"-",""),".",""),"/",""),2))),DATEVALUE($A94))),""))</f>
        <v/>
      </c>
    </row>
    <row r="95" customFormat="false" ht="15" hidden="false" customHeight="false" outlineLevel="0" collapsed="false">
      <c r="A95" s="47"/>
      <c r="B95" s="48"/>
      <c r="C95" s="132"/>
      <c r="D95" s="53"/>
      <c r="E95" s="48"/>
      <c r="F95" s="132"/>
      <c r="G95" s="133" t="str">
        <f aca="false">IF($A95="","",IFERROR(IF(ISNUMBER($A95),IF($A95&gt;19000000,DATE(INT($A95/10000),MOD(INT($A95/100),100),MOD($A95,100)),INT($A95)),IF(LEN(SUBSTITUTE(SUBSTITUTE(SUBSTITUTE(TRIM($A95),"-",""),".",""),"/",""))=8,DATE(VALUE(LEFT(SUBSTITUTE(SUBSTITUTE(SUBSTITUTE(TRIM($A95),"-",""),".",""),"/",""),4)),VALUE(MID(SUBSTITUTE(SUBSTITUTE(SUBSTITUTE(TRIM($A95),"-",""),".",""),"/",""),5,2)),VALUE(RIGHT(SUBSTITUTE(SUBSTITUTE(SUBSTITUTE(TRIM($A95),"-",""),".",""),"/",""),2))),DATEVALUE($A95))),""))</f>
        <v/>
      </c>
    </row>
    <row r="96" customFormat="false" ht="15" hidden="false" customHeight="false" outlineLevel="0" collapsed="false">
      <c r="A96" s="47"/>
      <c r="B96" s="48"/>
      <c r="C96" s="132"/>
      <c r="D96" s="53"/>
      <c r="E96" s="48"/>
      <c r="F96" s="132"/>
      <c r="G96" s="133" t="str">
        <f aca="false">IF($A96="","",IFERROR(IF(ISNUMBER($A96),IF($A96&gt;19000000,DATE(INT($A96/10000),MOD(INT($A96/100),100),MOD($A96,100)),INT($A96)),IF(LEN(SUBSTITUTE(SUBSTITUTE(SUBSTITUTE(TRIM($A96),"-",""),".",""),"/",""))=8,DATE(VALUE(LEFT(SUBSTITUTE(SUBSTITUTE(SUBSTITUTE(TRIM($A96),"-",""),".",""),"/",""),4)),VALUE(MID(SUBSTITUTE(SUBSTITUTE(SUBSTITUTE(TRIM($A96),"-",""),".",""),"/",""),5,2)),VALUE(RIGHT(SUBSTITUTE(SUBSTITUTE(SUBSTITUTE(TRIM($A96),"-",""),".",""),"/",""),2))),DATEVALUE($A96))),""))</f>
        <v/>
      </c>
    </row>
    <row r="97" customFormat="false" ht="15" hidden="false" customHeight="false" outlineLevel="0" collapsed="false">
      <c r="A97" s="47"/>
      <c r="B97" s="48"/>
      <c r="C97" s="132"/>
      <c r="D97" s="53"/>
      <c r="E97" s="48"/>
      <c r="F97" s="132"/>
      <c r="G97" s="133" t="str">
        <f aca="false">IF($A97="","",IFERROR(IF(ISNUMBER($A97),IF($A97&gt;19000000,DATE(INT($A97/10000),MOD(INT($A97/100),100),MOD($A97,100)),INT($A97)),IF(LEN(SUBSTITUTE(SUBSTITUTE(SUBSTITUTE(TRIM($A97),"-",""),".",""),"/",""))=8,DATE(VALUE(LEFT(SUBSTITUTE(SUBSTITUTE(SUBSTITUTE(TRIM($A97),"-",""),".",""),"/",""),4)),VALUE(MID(SUBSTITUTE(SUBSTITUTE(SUBSTITUTE(TRIM($A97),"-",""),".",""),"/",""),5,2)),VALUE(RIGHT(SUBSTITUTE(SUBSTITUTE(SUBSTITUTE(TRIM($A97),"-",""),".",""),"/",""),2))),DATEVALUE($A97))),""))</f>
        <v/>
      </c>
    </row>
    <row r="98" customFormat="false" ht="15" hidden="false" customHeight="false" outlineLevel="0" collapsed="false">
      <c r="A98" s="47"/>
      <c r="B98" s="48"/>
      <c r="C98" s="132"/>
      <c r="D98" s="53"/>
      <c r="E98" s="48"/>
      <c r="F98" s="132"/>
      <c r="G98" s="133" t="str">
        <f aca="false">IF($A98="","",IFERROR(IF(ISNUMBER($A98),IF($A98&gt;19000000,DATE(INT($A98/10000),MOD(INT($A98/100),100),MOD($A98,100)),INT($A98)),IF(LEN(SUBSTITUTE(SUBSTITUTE(SUBSTITUTE(TRIM($A98),"-",""),".",""),"/",""))=8,DATE(VALUE(LEFT(SUBSTITUTE(SUBSTITUTE(SUBSTITUTE(TRIM($A98),"-",""),".",""),"/",""),4)),VALUE(MID(SUBSTITUTE(SUBSTITUTE(SUBSTITUTE(TRIM($A98),"-",""),".",""),"/",""),5,2)),VALUE(RIGHT(SUBSTITUTE(SUBSTITUTE(SUBSTITUTE(TRIM($A98),"-",""),".",""),"/",""),2))),DATEVALUE($A98))),""))</f>
        <v/>
      </c>
    </row>
    <row r="99" customFormat="false" ht="15" hidden="false" customHeight="false" outlineLevel="0" collapsed="false">
      <c r="A99" s="47"/>
      <c r="B99" s="48"/>
      <c r="C99" s="132"/>
      <c r="D99" s="53"/>
      <c r="E99" s="48"/>
      <c r="F99" s="132"/>
      <c r="G99" s="133" t="str">
        <f aca="false">IF($A99="","",IFERROR(IF(ISNUMBER($A99),IF($A99&gt;19000000,DATE(INT($A99/10000),MOD(INT($A99/100),100),MOD($A99,100)),INT($A99)),IF(LEN(SUBSTITUTE(SUBSTITUTE(SUBSTITUTE(TRIM($A99),"-",""),".",""),"/",""))=8,DATE(VALUE(LEFT(SUBSTITUTE(SUBSTITUTE(SUBSTITUTE(TRIM($A99),"-",""),".",""),"/",""),4)),VALUE(MID(SUBSTITUTE(SUBSTITUTE(SUBSTITUTE(TRIM($A99),"-",""),".",""),"/",""),5,2)),VALUE(RIGHT(SUBSTITUTE(SUBSTITUTE(SUBSTITUTE(TRIM($A99),"-",""),".",""),"/",""),2))),DATEVALUE($A99))),""))</f>
        <v/>
      </c>
    </row>
    <row r="100" customFormat="false" ht="15" hidden="false" customHeight="false" outlineLevel="0" collapsed="false">
      <c r="A100" s="47"/>
      <c r="B100" s="48"/>
      <c r="C100" s="132"/>
      <c r="D100" s="53"/>
      <c r="E100" s="48"/>
      <c r="F100" s="132"/>
      <c r="G100" s="133" t="str">
        <f aca="false">IF($A100="","",IFERROR(IF(ISNUMBER($A100),IF($A100&gt;19000000,DATE(INT($A100/10000),MOD(INT($A100/100),100),MOD($A100,100)),INT($A100)),IF(LEN(SUBSTITUTE(SUBSTITUTE(SUBSTITUTE(TRIM($A100),"-",""),".",""),"/",""))=8,DATE(VALUE(LEFT(SUBSTITUTE(SUBSTITUTE(SUBSTITUTE(TRIM($A100),"-",""),".",""),"/",""),4)),VALUE(MID(SUBSTITUTE(SUBSTITUTE(SUBSTITUTE(TRIM($A100),"-",""),".",""),"/",""),5,2)),VALUE(RIGHT(SUBSTITUTE(SUBSTITUTE(SUBSTITUTE(TRIM($A100),"-",""),".",""),"/",""),2))),DATEVALUE($A100))),""))</f>
        <v/>
      </c>
    </row>
    <row r="101" customFormat="false" ht="15" hidden="false" customHeight="false" outlineLevel="0" collapsed="false">
      <c r="A101" s="47"/>
      <c r="B101" s="48"/>
      <c r="C101" s="132"/>
      <c r="D101" s="53"/>
      <c r="E101" s="48"/>
      <c r="F101" s="132"/>
      <c r="G101" s="133" t="str">
        <f aca="false">IF($A101="","",IFERROR(IF(ISNUMBER($A101),IF($A101&gt;19000000,DATE(INT($A101/10000),MOD(INT($A101/100),100),MOD($A101,100)),INT($A101)),IF(LEN(SUBSTITUTE(SUBSTITUTE(SUBSTITUTE(TRIM($A101),"-",""),".",""),"/",""))=8,DATE(VALUE(LEFT(SUBSTITUTE(SUBSTITUTE(SUBSTITUTE(TRIM($A101),"-",""),".",""),"/",""),4)),VALUE(MID(SUBSTITUTE(SUBSTITUTE(SUBSTITUTE(TRIM($A101),"-",""),".",""),"/",""),5,2)),VALUE(RIGHT(SUBSTITUTE(SUBSTITUTE(SUBSTITUTE(TRIM($A101),"-",""),".",""),"/",""),2))),DATEVALUE($A101))),""))</f>
        <v/>
      </c>
    </row>
    <row r="102" customFormat="false" ht="15" hidden="false" customHeight="false" outlineLevel="0" collapsed="false">
      <c r="A102" s="47"/>
      <c r="B102" s="48"/>
      <c r="C102" s="132"/>
      <c r="D102" s="53"/>
      <c r="E102" s="48"/>
      <c r="F102" s="132"/>
      <c r="G102" s="133" t="str">
        <f aca="false">IF($A102="","",IFERROR(IF(ISNUMBER($A102),IF($A102&gt;19000000,DATE(INT($A102/10000),MOD(INT($A102/100),100),MOD($A102,100)),INT($A102)),IF(LEN(SUBSTITUTE(SUBSTITUTE(SUBSTITUTE(TRIM($A102),"-",""),".",""),"/",""))=8,DATE(VALUE(LEFT(SUBSTITUTE(SUBSTITUTE(SUBSTITUTE(TRIM($A102),"-",""),".",""),"/",""),4)),VALUE(MID(SUBSTITUTE(SUBSTITUTE(SUBSTITUTE(TRIM($A102),"-",""),".",""),"/",""),5,2)),VALUE(RIGHT(SUBSTITUTE(SUBSTITUTE(SUBSTITUTE(TRIM($A102),"-",""),".",""),"/",""),2))),DATEVALUE($A102))),""))</f>
        <v/>
      </c>
    </row>
    <row r="103" customFormat="false" ht="15" hidden="false" customHeight="false" outlineLevel="0" collapsed="false">
      <c r="A103" s="47"/>
      <c r="B103" s="48"/>
      <c r="C103" s="132"/>
      <c r="D103" s="53"/>
      <c r="E103" s="48"/>
      <c r="F103" s="132"/>
      <c r="G103" s="133" t="str">
        <f aca="false">IF($A103="","",IFERROR(IF(ISNUMBER($A103),IF($A103&gt;19000000,DATE(INT($A103/10000),MOD(INT($A103/100),100),MOD($A103,100)),INT($A103)),IF(LEN(SUBSTITUTE(SUBSTITUTE(SUBSTITUTE(TRIM($A103),"-",""),".",""),"/",""))=8,DATE(VALUE(LEFT(SUBSTITUTE(SUBSTITUTE(SUBSTITUTE(TRIM($A103),"-",""),".",""),"/",""),4)),VALUE(MID(SUBSTITUTE(SUBSTITUTE(SUBSTITUTE(TRIM($A103),"-",""),".",""),"/",""),5,2)),VALUE(RIGHT(SUBSTITUTE(SUBSTITUTE(SUBSTITUTE(TRIM($A103),"-",""),".",""),"/",""),2))),DATEVALUE($A103))),""))</f>
        <v/>
      </c>
    </row>
    <row r="104" customFormat="false" ht="15" hidden="false" customHeight="false" outlineLevel="0" collapsed="false">
      <c r="A104" s="47"/>
      <c r="B104" s="48"/>
      <c r="C104" s="132"/>
      <c r="D104" s="53"/>
      <c r="E104" s="48"/>
      <c r="F104" s="132"/>
      <c r="G104" s="133" t="str">
        <f aca="false">IF($A104="","",IFERROR(IF(ISNUMBER($A104),IF($A104&gt;19000000,DATE(INT($A104/10000),MOD(INT($A104/100),100),MOD($A104,100)),INT($A104)),IF(LEN(SUBSTITUTE(SUBSTITUTE(SUBSTITUTE(TRIM($A104),"-",""),".",""),"/",""))=8,DATE(VALUE(LEFT(SUBSTITUTE(SUBSTITUTE(SUBSTITUTE(TRIM($A104),"-",""),".",""),"/",""),4)),VALUE(MID(SUBSTITUTE(SUBSTITUTE(SUBSTITUTE(TRIM($A104),"-",""),".",""),"/",""),5,2)),VALUE(RIGHT(SUBSTITUTE(SUBSTITUTE(SUBSTITUTE(TRIM($A104),"-",""),".",""),"/",""),2))),DATEVALUE($A104))),""))</f>
        <v/>
      </c>
    </row>
    <row r="105" customFormat="false" ht="15" hidden="false" customHeight="false" outlineLevel="0" collapsed="false">
      <c r="A105" s="47"/>
      <c r="B105" s="48"/>
      <c r="C105" s="132"/>
      <c r="D105" s="53"/>
      <c r="E105" s="48"/>
      <c r="F105" s="132"/>
      <c r="G105" s="133" t="str">
        <f aca="false">IF($A105="","",IFERROR(IF(ISNUMBER($A105),IF($A105&gt;19000000,DATE(INT($A105/10000),MOD(INT($A105/100),100),MOD($A105,100)),INT($A105)),IF(LEN(SUBSTITUTE(SUBSTITUTE(SUBSTITUTE(TRIM($A105),"-",""),".",""),"/",""))=8,DATE(VALUE(LEFT(SUBSTITUTE(SUBSTITUTE(SUBSTITUTE(TRIM($A105),"-",""),".",""),"/",""),4)),VALUE(MID(SUBSTITUTE(SUBSTITUTE(SUBSTITUTE(TRIM($A105),"-",""),".",""),"/",""),5,2)),VALUE(RIGHT(SUBSTITUTE(SUBSTITUTE(SUBSTITUTE(TRIM($A105),"-",""),".",""),"/",""),2))),DATEVALUE($A105))),""))</f>
        <v/>
      </c>
    </row>
    <row r="106" customFormat="false" ht="15" hidden="false" customHeight="false" outlineLevel="0" collapsed="false">
      <c r="A106" s="47"/>
      <c r="B106" s="48"/>
      <c r="C106" s="132"/>
      <c r="D106" s="53"/>
      <c r="E106" s="48"/>
      <c r="F106" s="132"/>
      <c r="G106" s="133" t="str">
        <f aca="false">IF($A106="","",IFERROR(IF(ISNUMBER($A106),IF($A106&gt;19000000,DATE(INT($A106/10000),MOD(INT($A106/100),100),MOD($A106,100)),INT($A106)),IF(LEN(SUBSTITUTE(SUBSTITUTE(SUBSTITUTE(TRIM($A106),"-",""),".",""),"/",""))=8,DATE(VALUE(LEFT(SUBSTITUTE(SUBSTITUTE(SUBSTITUTE(TRIM($A106),"-",""),".",""),"/",""),4)),VALUE(MID(SUBSTITUTE(SUBSTITUTE(SUBSTITUTE(TRIM($A106),"-",""),".",""),"/",""),5,2)),VALUE(RIGHT(SUBSTITUTE(SUBSTITUTE(SUBSTITUTE(TRIM($A106),"-",""),".",""),"/",""),2))),DATEVALUE($A106))),""))</f>
        <v/>
      </c>
    </row>
    <row r="107" customFormat="false" ht="15" hidden="false" customHeight="false" outlineLevel="0" collapsed="false">
      <c r="A107" s="47"/>
      <c r="B107" s="48"/>
      <c r="C107" s="132"/>
      <c r="D107" s="53"/>
      <c r="E107" s="48"/>
      <c r="F107" s="132"/>
      <c r="G107" s="133" t="str">
        <f aca="false">IF($A107="","",IFERROR(IF(ISNUMBER($A107),IF($A107&gt;19000000,DATE(INT($A107/10000),MOD(INT($A107/100),100),MOD($A107,100)),INT($A107)),IF(LEN(SUBSTITUTE(SUBSTITUTE(SUBSTITUTE(TRIM($A107),"-",""),".",""),"/",""))=8,DATE(VALUE(LEFT(SUBSTITUTE(SUBSTITUTE(SUBSTITUTE(TRIM($A107),"-",""),".",""),"/",""),4)),VALUE(MID(SUBSTITUTE(SUBSTITUTE(SUBSTITUTE(TRIM($A107),"-",""),".",""),"/",""),5,2)),VALUE(RIGHT(SUBSTITUTE(SUBSTITUTE(SUBSTITUTE(TRIM($A107),"-",""),".",""),"/",""),2))),DATEVALUE($A107))),""))</f>
        <v/>
      </c>
    </row>
    <row r="108" customFormat="false" ht="15" hidden="false" customHeight="false" outlineLevel="0" collapsed="false">
      <c r="A108" s="47"/>
      <c r="B108" s="48"/>
      <c r="C108" s="132"/>
      <c r="D108" s="53"/>
      <c r="E108" s="48"/>
      <c r="F108" s="132"/>
      <c r="G108" s="133" t="str">
        <f aca="false">IF($A108="","",IFERROR(IF(ISNUMBER($A108),IF($A108&gt;19000000,DATE(INT($A108/10000),MOD(INT($A108/100),100),MOD($A108,100)),INT($A108)),IF(LEN(SUBSTITUTE(SUBSTITUTE(SUBSTITUTE(TRIM($A108),"-",""),".",""),"/",""))=8,DATE(VALUE(LEFT(SUBSTITUTE(SUBSTITUTE(SUBSTITUTE(TRIM($A108),"-",""),".",""),"/",""),4)),VALUE(MID(SUBSTITUTE(SUBSTITUTE(SUBSTITUTE(TRIM($A108),"-",""),".",""),"/",""),5,2)),VALUE(RIGHT(SUBSTITUTE(SUBSTITUTE(SUBSTITUTE(TRIM($A108),"-",""),".",""),"/",""),2))),DATEVALUE($A108))),""))</f>
        <v/>
      </c>
    </row>
    <row r="109" customFormat="false" ht="15" hidden="false" customHeight="false" outlineLevel="0" collapsed="false">
      <c r="A109" s="47"/>
      <c r="B109" s="48"/>
      <c r="C109" s="132"/>
      <c r="D109" s="53"/>
      <c r="E109" s="48"/>
      <c r="F109" s="132"/>
      <c r="G109" s="133" t="str">
        <f aca="false">IF($A109="","",IFERROR(IF(ISNUMBER($A109),IF($A109&gt;19000000,DATE(INT($A109/10000),MOD(INT($A109/100),100),MOD($A109,100)),INT($A109)),IF(LEN(SUBSTITUTE(SUBSTITUTE(SUBSTITUTE(TRIM($A109),"-",""),".",""),"/",""))=8,DATE(VALUE(LEFT(SUBSTITUTE(SUBSTITUTE(SUBSTITUTE(TRIM($A109),"-",""),".",""),"/",""),4)),VALUE(MID(SUBSTITUTE(SUBSTITUTE(SUBSTITUTE(TRIM($A109),"-",""),".",""),"/",""),5,2)),VALUE(RIGHT(SUBSTITUTE(SUBSTITUTE(SUBSTITUTE(TRIM($A109),"-",""),".",""),"/",""),2))),DATEVALUE($A109))),""))</f>
        <v/>
      </c>
    </row>
    <row r="110" customFormat="false" ht="15" hidden="false" customHeight="false" outlineLevel="0" collapsed="false">
      <c r="A110" s="47"/>
      <c r="B110" s="48"/>
      <c r="C110" s="132"/>
      <c r="D110" s="53"/>
      <c r="E110" s="48"/>
      <c r="F110" s="132"/>
      <c r="G110" s="133" t="str">
        <f aca="false">IF($A110="","",IFERROR(IF(ISNUMBER($A110),IF($A110&gt;19000000,DATE(INT($A110/10000),MOD(INT($A110/100),100),MOD($A110,100)),INT($A110)),IF(LEN(SUBSTITUTE(SUBSTITUTE(SUBSTITUTE(TRIM($A110),"-",""),".",""),"/",""))=8,DATE(VALUE(LEFT(SUBSTITUTE(SUBSTITUTE(SUBSTITUTE(TRIM($A110),"-",""),".",""),"/",""),4)),VALUE(MID(SUBSTITUTE(SUBSTITUTE(SUBSTITUTE(TRIM($A110),"-",""),".",""),"/",""),5,2)),VALUE(RIGHT(SUBSTITUTE(SUBSTITUTE(SUBSTITUTE(TRIM($A110),"-",""),".",""),"/",""),2))),DATEVALUE($A110))),""))</f>
        <v/>
      </c>
    </row>
    <row r="111" customFormat="false" ht="15" hidden="false" customHeight="false" outlineLevel="0" collapsed="false">
      <c r="A111" s="47"/>
      <c r="B111" s="48"/>
      <c r="C111" s="132"/>
      <c r="D111" s="53"/>
      <c r="E111" s="48"/>
      <c r="F111" s="132"/>
      <c r="G111" s="133" t="str">
        <f aca="false">IF($A111="","",IFERROR(IF(ISNUMBER($A111),IF($A111&gt;19000000,DATE(INT($A111/10000),MOD(INT($A111/100),100),MOD($A111,100)),INT($A111)),IF(LEN(SUBSTITUTE(SUBSTITUTE(SUBSTITUTE(TRIM($A111),"-",""),".",""),"/",""))=8,DATE(VALUE(LEFT(SUBSTITUTE(SUBSTITUTE(SUBSTITUTE(TRIM($A111),"-",""),".",""),"/",""),4)),VALUE(MID(SUBSTITUTE(SUBSTITUTE(SUBSTITUTE(TRIM($A111),"-",""),".",""),"/",""),5,2)),VALUE(RIGHT(SUBSTITUTE(SUBSTITUTE(SUBSTITUTE(TRIM($A111),"-",""),".",""),"/",""),2))),DATEVALUE($A111))),""))</f>
        <v/>
      </c>
    </row>
    <row r="112" customFormat="false" ht="15" hidden="false" customHeight="false" outlineLevel="0" collapsed="false">
      <c r="A112" s="47"/>
      <c r="B112" s="48"/>
      <c r="C112" s="132"/>
      <c r="D112" s="53"/>
      <c r="E112" s="48"/>
      <c r="F112" s="132"/>
      <c r="G112" s="133" t="str">
        <f aca="false">IF($A112="","",IFERROR(IF(ISNUMBER($A112),IF($A112&gt;19000000,DATE(INT($A112/10000),MOD(INT($A112/100),100),MOD($A112,100)),INT($A112)),IF(LEN(SUBSTITUTE(SUBSTITUTE(SUBSTITUTE(TRIM($A112),"-",""),".",""),"/",""))=8,DATE(VALUE(LEFT(SUBSTITUTE(SUBSTITUTE(SUBSTITUTE(TRIM($A112),"-",""),".",""),"/",""),4)),VALUE(MID(SUBSTITUTE(SUBSTITUTE(SUBSTITUTE(TRIM($A112),"-",""),".",""),"/",""),5,2)),VALUE(RIGHT(SUBSTITUTE(SUBSTITUTE(SUBSTITUTE(TRIM($A112),"-",""),".",""),"/",""),2))),DATEVALUE($A112))),""))</f>
        <v/>
      </c>
    </row>
    <row r="113" customFormat="false" ht="15" hidden="false" customHeight="false" outlineLevel="0" collapsed="false">
      <c r="A113" s="47"/>
      <c r="B113" s="48"/>
      <c r="C113" s="132"/>
      <c r="D113" s="53"/>
      <c r="E113" s="48"/>
      <c r="F113" s="132"/>
      <c r="G113" s="133" t="str">
        <f aca="false">IF($A113="","",IFERROR(IF(ISNUMBER($A113),IF($A113&gt;19000000,DATE(INT($A113/10000),MOD(INT($A113/100),100),MOD($A113,100)),INT($A113)),IF(LEN(SUBSTITUTE(SUBSTITUTE(SUBSTITUTE(TRIM($A113),"-",""),".",""),"/",""))=8,DATE(VALUE(LEFT(SUBSTITUTE(SUBSTITUTE(SUBSTITUTE(TRIM($A113),"-",""),".",""),"/",""),4)),VALUE(MID(SUBSTITUTE(SUBSTITUTE(SUBSTITUTE(TRIM($A113),"-",""),".",""),"/",""),5,2)),VALUE(RIGHT(SUBSTITUTE(SUBSTITUTE(SUBSTITUTE(TRIM($A113),"-",""),".",""),"/",""),2))),DATEVALUE($A113))),""))</f>
        <v/>
      </c>
    </row>
    <row r="114" customFormat="false" ht="15" hidden="false" customHeight="false" outlineLevel="0" collapsed="false">
      <c r="A114" s="47"/>
      <c r="B114" s="48"/>
      <c r="C114" s="132"/>
      <c r="D114" s="53"/>
      <c r="E114" s="48"/>
      <c r="F114" s="132"/>
      <c r="G114" s="133" t="str">
        <f aca="false">IF($A114="","",IFERROR(IF(ISNUMBER($A114),IF($A114&gt;19000000,DATE(INT($A114/10000),MOD(INT($A114/100),100),MOD($A114,100)),INT($A114)),IF(LEN(SUBSTITUTE(SUBSTITUTE(SUBSTITUTE(TRIM($A114),"-",""),".",""),"/",""))=8,DATE(VALUE(LEFT(SUBSTITUTE(SUBSTITUTE(SUBSTITUTE(TRIM($A114),"-",""),".",""),"/",""),4)),VALUE(MID(SUBSTITUTE(SUBSTITUTE(SUBSTITUTE(TRIM($A114),"-",""),".",""),"/",""),5,2)),VALUE(RIGHT(SUBSTITUTE(SUBSTITUTE(SUBSTITUTE(TRIM($A114),"-",""),".",""),"/",""),2))),DATEVALUE($A114))),""))</f>
        <v/>
      </c>
    </row>
    <row r="115" customFormat="false" ht="15" hidden="false" customHeight="false" outlineLevel="0" collapsed="false">
      <c r="A115" s="47"/>
      <c r="B115" s="48"/>
      <c r="C115" s="132"/>
      <c r="D115" s="53"/>
      <c r="E115" s="48"/>
      <c r="F115" s="132"/>
      <c r="G115" s="133" t="str">
        <f aca="false">IF($A115="","",IFERROR(IF(ISNUMBER($A115),IF($A115&gt;19000000,DATE(INT($A115/10000),MOD(INT($A115/100),100),MOD($A115,100)),INT($A115)),IF(LEN(SUBSTITUTE(SUBSTITUTE(SUBSTITUTE(TRIM($A115),"-",""),".",""),"/",""))=8,DATE(VALUE(LEFT(SUBSTITUTE(SUBSTITUTE(SUBSTITUTE(TRIM($A115),"-",""),".",""),"/",""),4)),VALUE(MID(SUBSTITUTE(SUBSTITUTE(SUBSTITUTE(TRIM($A115),"-",""),".",""),"/",""),5,2)),VALUE(RIGHT(SUBSTITUTE(SUBSTITUTE(SUBSTITUTE(TRIM($A115),"-",""),".",""),"/",""),2))),DATEVALUE($A115))),""))</f>
        <v/>
      </c>
    </row>
    <row r="116" customFormat="false" ht="15" hidden="false" customHeight="false" outlineLevel="0" collapsed="false">
      <c r="A116" s="47"/>
      <c r="B116" s="48"/>
      <c r="C116" s="132"/>
      <c r="D116" s="53"/>
      <c r="E116" s="48"/>
      <c r="F116" s="132"/>
      <c r="G116" s="133" t="str">
        <f aca="false">IF($A116="","",IFERROR(IF(ISNUMBER($A116),IF($A116&gt;19000000,DATE(INT($A116/10000),MOD(INT($A116/100),100),MOD($A116,100)),INT($A116)),IF(LEN(SUBSTITUTE(SUBSTITUTE(SUBSTITUTE(TRIM($A116),"-",""),".",""),"/",""))=8,DATE(VALUE(LEFT(SUBSTITUTE(SUBSTITUTE(SUBSTITUTE(TRIM($A116),"-",""),".",""),"/",""),4)),VALUE(MID(SUBSTITUTE(SUBSTITUTE(SUBSTITUTE(TRIM($A116),"-",""),".",""),"/",""),5,2)),VALUE(RIGHT(SUBSTITUTE(SUBSTITUTE(SUBSTITUTE(TRIM($A116),"-",""),".",""),"/",""),2))),DATEVALUE($A116))),""))</f>
        <v/>
      </c>
    </row>
    <row r="117" customFormat="false" ht="15" hidden="false" customHeight="false" outlineLevel="0" collapsed="false">
      <c r="A117" s="47"/>
      <c r="B117" s="48"/>
      <c r="C117" s="132"/>
      <c r="D117" s="53"/>
      <c r="E117" s="48"/>
      <c r="F117" s="132"/>
      <c r="G117" s="133" t="str">
        <f aca="false">IF($A117="","",IFERROR(IF(ISNUMBER($A117),IF($A117&gt;19000000,DATE(INT($A117/10000),MOD(INT($A117/100),100),MOD($A117,100)),INT($A117)),IF(LEN(SUBSTITUTE(SUBSTITUTE(SUBSTITUTE(TRIM($A117),"-",""),".",""),"/",""))=8,DATE(VALUE(LEFT(SUBSTITUTE(SUBSTITUTE(SUBSTITUTE(TRIM($A117),"-",""),".",""),"/",""),4)),VALUE(MID(SUBSTITUTE(SUBSTITUTE(SUBSTITUTE(TRIM($A117),"-",""),".",""),"/",""),5,2)),VALUE(RIGHT(SUBSTITUTE(SUBSTITUTE(SUBSTITUTE(TRIM($A117),"-",""),".",""),"/",""),2))),DATEVALUE($A117))),""))</f>
        <v/>
      </c>
    </row>
    <row r="118" customFormat="false" ht="15" hidden="false" customHeight="false" outlineLevel="0" collapsed="false">
      <c r="A118" s="47"/>
      <c r="B118" s="48"/>
      <c r="C118" s="132"/>
      <c r="D118" s="53"/>
      <c r="E118" s="48"/>
      <c r="F118" s="132"/>
      <c r="G118" s="133" t="str">
        <f aca="false">IF($A118="","",IFERROR(IF(ISNUMBER($A118),IF($A118&gt;19000000,DATE(INT($A118/10000),MOD(INT($A118/100),100),MOD($A118,100)),INT($A118)),IF(LEN(SUBSTITUTE(SUBSTITUTE(SUBSTITUTE(TRIM($A118),"-",""),".",""),"/",""))=8,DATE(VALUE(LEFT(SUBSTITUTE(SUBSTITUTE(SUBSTITUTE(TRIM($A118),"-",""),".",""),"/",""),4)),VALUE(MID(SUBSTITUTE(SUBSTITUTE(SUBSTITUTE(TRIM($A118),"-",""),".",""),"/",""),5,2)),VALUE(RIGHT(SUBSTITUTE(SUBSTITUTE(SUBSTITUTE(TRIM($A118),"-",""),".",""),"/",""),2))),DATEVALUE($A118))),""))</f>
        <v/>
      </c>
    </row>
    <row r="119" customFormat="false" ht="15" hidden="false" customHeight="false" outlineLevel="0" collapsed="false">
      <c r="A119" s="47"/>
      <c r="B119" s="48"/>
      <c r="C119" s="132"/>
      <c r="D119" s="53"/>
      <c r="E119" s="48"/>
      <c r="F119" s="132"/>
      <c r="G119" s="133" t="str">
        <f aca="false">IF($A119="","",IFERROR(IF(ISNUMBER($A119),IF($A119&gt;19000000,DATE(INT($A119/10000),MOD(INT($A119/100),100),MOD($A119,100)),INT($A119)),IF(LEN(SUBSTITUTE(SUBSTITUTE(SUBSTITUTE(TRIM($A119),"-",""),".",""),"/",""))=8,DATE(VALUE(LEFT(SUBSTITUTE(SUBSTITUTE(SUBSTITUTE(TRIM($A119),"-",""),".",""),"/",""),4)),VALUE(MID(SUBSTITUTE(SUBSTITUTE(SUBSTITUTE(TRIM($A119),"-",""),".",""),"/",""),5,2)),VALUE(RIGHT(SUBSTITUTE(SUBSTITUTE(SUBSTITUTE(TRIM($A119),"-",""),".",""),"/",""),2))),DATEVALUE($A119))),""))</f>
        <v/>
      </c>
    </row>
    <row r="120" customFormat="false" ht="15" hidden="false" customHeight="false" outlineLevel="0" collapsed="false">
      <c r="A120" s="47"/>
      <c r="B120" s="48"/>
      <c r="C120" s="132"/>
      <c r="D120" s="53"/>
      <c r="E120" s="48"/>
      <c r="F120" s="132"/>
      <c r="G120" s="133" t="str">
        <f aca="false">IF($A120="","",IFERROR(IF(ISNUMBER($A120),IF($A120&gt;19000000,DATE(INT($A120/10000),MOD(INT($A120/100),100),MOD($A120,100)),INT($A120)),IF(LEN(SUBSTITUTE(SUBSTITUTE(SUBSTITUTE(TRIM($A120),"-",""),".",""),"/",""))=8,DATE(VALUE(LEFT(SUBSTITUTE(SUBSTITUTE(SUBSTITUTE(TRIM($A120),"-",""),".",""),"/",""),4)),VALUE(MID(SUBSTITUTE(SUBSTITUTE(SUBSTITUTE(TRIM($A120),"-",""),".",""),"/",""),5,2)),VALUE(RIGHT(SUBSTITUTE(SUBSTITUTE(SUBSTITUTE(TRIM($A120),"-",""),".",""),"/",""),2))),DATEVALUE($A120))),""))</f>
        <v/>
      </c>
    </row>
    <row r="121" customFormat="false" ht="15" hidden="false" customHeight="false" outlineLevel="0" collapsed="false">
      <c r="A121" s="47"/>
      <c r="B121" s="48"/>
      <c r="C121" s="132"/>
      <c r="D121" s="53"/>
      <c r="E121" s="48"/>
      <c r="F121" s="132"/>
      <c r="G121" s="133" t="str">
        <f aca="false">IF($A121="","",IFERROR(IF(ISNUMBER($A121),IF($A121&gt;19000000,DATE(INT($A121/10000),MOD(INT($A121/100),100),MOD($A121,100)),INT($A121)),IF(LEN(SUBSTITUTE(SUBSTITUTE(SUBSTITUTE(TRIM($A121),"-",""),".",""),"/",""))=8,DATE(VALUE(LEFT(SUBSTITUTE(SUBSTITUTE(SUBSTITUTE(TRIM($A121),"-",""),".",""),"/",""),4)),VALUE(MID(SUBSTITUTE(SUBSTITUTE(SUBSTITUTE(TRIM($A121),"-",""),".",""),"/",""),5,2)),VALUE(RIGHT(SUBSTITUTE(SUBSTITUTE(SUBSTITUTE(TRIM($A121),"-",""),".",""),"/",""),2))),DATEVALUE($A121))),""))</f>
        <v/>
      </c>
    </row>
    <row r="122" customFormat="false" ht="15" hidden="false" customHeight="false" outlineLevel="0" collapsed="false">
      <c r="A122" s="47"/>
      <c r="B122" s="48"/>
      <c r="C122" s="132"/>
      <c r="D122" s="53"/>
      <c r="E122" s="48"/>
      <c r="F122" s="132"/>
      <c r="G122" s="133" t="str">
        <f aca="false">IF($A122="","",IFERROR(IF(ISNUMBER($A122),IF($A122&gt;19000000,DATE(INT($A122/10000),MOD(INT($A122/100),100),MOD($A122,100)),INT($A122)),IF(LEN(SUBSTITUTE(SUBSTITUTE(SUBSTITUTE(TRIM($A122),"-",""),".",""),"/",""))=8,DATE(VALUE(LEFT(SUBSTITUTE(SUBSTITUTE(SUBSTITUTE(TRIM($A122),"-",""),".",""),"/",""),4)),VALUE(MID(SUBSTITUTE(SUBSTITUTE(SUBSTITUTE(TRIM($A122),"-",""),".",""),"/",""),5,2)),VALUE(RIGHT(SUBSTITUTE(SUBSTITUTE(SUBSTITUTE(TRIM($A122),"-",""),".",""),"/",""),2))),DATEVALUE($A122))),""))</f>
        <v/>
      </c>
    </row>
    <row r="123" customFormat="false" ht="15" hidden="false" customHeight="false" outlineLevel="0" collapsed="false">
      <c r="A123" s="47"/>
      <c r="B123" s="48"/>
      <c r="C123" s="132"/>
      <c r="D123" s="53"/>
      <c r="E123" s="48"/>
      <c r="F123" s="132"/>
      <c r="G123" s="133" t="str">
        <f aca="false">IF($A123="","",IFERROR(IF(ISNUMBER($A123),IF($A123&gt;19000000,DATE(INT($A123/10000),MOD(INT($A123/100),100),MOD($A123,100)),INT($A123)),IF(LEN(SUBSTITUTE(SUBSTITUTE(SUBSTITUTE(TRIM($A123),"-",""),".",""),"/",""))=8,DATE(VALUE(LEFT(SUBSTITUTE(SUBSTITUTE(SUBSTITUTE(TRIM($A123),"-",""),".",""),"/",""),4)),VALUE(MID(SUBSTITUTE(SUBSTITUTE(SUBSTITUTE(TRIM($A123),"-",""),".",""),"/",""),5,2)),VALUE(RIGHT(SUBSTITUTE(SUBSTITUTE(SUBSTITUTE(TRIM($A123),"-",""),".",""),"/",""),2))),DATEVALUE($A123))),""))</f>
        <v/>
      </c>
    </row>
    <row r="124" customFormat="false" ht="15" hidden="false" customHeight="false" outlineLevel="0" collapsed="false">
      <c r="A124" s="47"/>
      <c r="B124" s="48"/>
      <c r="C124" s="132"/>
      <c r="D124" s="53"/>
      <c r="E124" s="48"/>
      <c r="F124" s="132"/>
      <c r="G124" s="133" t="str">
        <f aca="false">IF($A124="","",IFERROR(IF(ISNUMBER($A124),IF($A124&gt;19000000,DATE(INT($A124/10000),MOD(INT($A124/100),100),MOD($A124,100)),INT($A124)),IF(LEN(SUBSTITUTE(SUBSTITUTE(SUBSTITUTE(TRIM($A124),"-",""),".",""),"/",""))=8,DATE(VALUE(LEFT(SUBSTITUTE(SUBSTITUTE(SUBSTITUTE(TRIM($A124),"-",""),".",""),"/",""),4)),VALUE(MID(SUBSTITUTE(SUBSTITUTE(SUBSTITUTE(TRIM($A124),"-",""),".",""),"/",""),5,2)),VALUE(RIGHT(SUBSTITUTE(SUBSTITUTE(SUBSTITUTE(TRIM($A124),"-",""),".",""),"/",""),2))),DATEVALUE($A124))),""))</f>
        <v/>
      </c>
    </row>
    <row r="125" customFormat="false" ht="15" hidden="false" customHeight="false" outlineLevel="0" collapsed="false">
      <c r="A125" s="47"/>
      <c r="B125" s="48"/>
      <c r="C125" s="132"/>
      <c r="D125" s="53"/>
      <c r="E125" s="48"/>
      <c r="F125" s="132"/>
      <c r="G125" s="133" t="str">
        <f aca="false">IF($A125="","",IFERROR(IF(ISNUMBER($A125),IF($A125&gt;19000000,DATE(INT($A125/10000),MOD(INT($A125/100),100),MOD($A125,100)),INT($A125)),IF(LEN(SUBSTITUTE(SUBSTITUTE(SUBSTITUTE(TRIM($A125),"-",""),".",""),"/",""))=8,DATE(VALUE(LEFT(SUBSTITUTE(SUBSTITUTE(SUBSTITUTE(TRIM($A125),"-",""),".",""),"/",""),4)),VALUE(MID(SUBSTITUTE(SUBSTITUTE(SUBSTITUTE(TRIM($A125),"-",""),".",""),"/",""),5,2)),VALUE(RIGHT(SUBSTITUTE(SUBSTITUTE(SUBSTITUTE(TRIM($A125),"-",""),".",""),"/",""),2))),DATEVALUE($A125))),""))</f>
        <v/>
      </c>
    </row>
    <row r="126" customFormat="false" ht="15" hidden="false" customHeight="false" outlineLevel="0" collapsed="false">
      <c r="A126" s="47"/>
      <c r="B126" s="48"/>
      <c r="C126" s="132"/>
      <c r="D126" s="53"/>
      <c r="E126" s="48"/>
      <c r="F126" s="132"/>
      <c r="G126" s="133" t="str">
        <f aca="false">IF($A126="","",IFERROR(IF(ISNUMBER($A126),IF($A126&gt;19000000,DATE(INT($A126/10000),MOD(INT($A126/100),100),MOD($A126,100)),INT($A126)),IF(LEN(SUBSTITUTE(SUBSTITUTE(SUBSTITUTE(TRIM($A126),"-",""),".",""),"/",""))=8,DATE(VALUE(LEFT(SUBSTITUTE(SUBSTITUTE(SUBSTITUTE(TRIM($A126),"-",""),".",""),"/",""),4)),VALUE(MID(SUBSTITUTE(SUBSTITUTE(SUBSTITUTE(TRIM($A126),"-",""),".",""),"/",""),5,2)),VALUE(RIGHT(SUBSTITUTE(SUBSTITUTE(SUBSTITUTE(TRIM($A126),"-",""),".",""),"/",""),2))),DATEVALUE($A126))),""))</f>
        <v/>
      </c>
    </row>
    <row r="127" customFormat="false" ht="15" hidden="false" customHeight="false" outlineLevel="0" collapsed="false">
      <c r="A127" s="47"/>
      <c r="B127" s="48"/>
      <c r="C127" s="132"/>
      <c r="D127" s="53"/>
      <c r="E127" s="48"/>
      <c r="F127" s="132"/>
      <c r="G127" s="133" t="str">
        <f aca="false">IF($A127="","",IFERROR(IF(ISNUMBER($A127),IF($A127&gt;19000000,DATE(INT($A127/10000),MOD(INT($A127/100),100),MOD($A127,100)),INT($A127)),IF(LEN(SUBSTITUTE(SUBSTITUTE(SUBSTITUTE(TRIM($A127),"-",""),".",""),"/",""))=8,DATE(VALUE(LEFT(SUBSTITUTE(SUBSTITUTE(SUBSTITUTE(TRIM($A127),"-",""),".",""),"/",""),4)),VALUE(MID(SUBSTITUTE(SUBSTITUTE(SUBSTITUTE(TRIM($A127),"-",""),".",""),"/",""),5,2)),VALUE(RIGHT(SUBSTITUTE(SUBSTITUTE(SUBSTITUTE(TRIM($A127),"-",""),".",""),"/",""),2))),DATEVALUE($A127))),""))</f>
        <v/>
      </c>
    </row>
    <row r="128" customFormat="false" ht="15" hidden="false" customHeight="false" outlineLevel="0" collapsed="false">
      <c r="A128" s="47"/>
      <c r="B128" s="48"/>
      <c r="C128" s="132"/>
      <c r="D128" s="53"/>
      <c r="E128" s="48"/>
      <c r="F128" s="132"/>
      <c r="G128" s="133" t="str">
        <f aca="false">IF($A128="","",IFERROR(IF(ISNUMBER($A128),IF($A128&gt;19000000,DATE(INT($A128/10000),MOD(INT($A128/100),100),MOD($A128,100)),INT($A128)),IF(LEN(SUBSTITUTE(SUBSTITUTE(SUBSTITUTE(TRIM($A128),"-",""),".",""),"/",""))=8,DATE(VALUE(LEFT(SUBSTITUTE(SUBSTITUTE(SUBSTITUTE(TRIM($A128),"-",""),".",""),"/",""),4)),VALUE(MID(SUBSTITUTE(SUBSTITUTE(SUBSTITUTE(TRIM($A128),"-",""),".",""),"/",""),5,2)),VALUE(RIGHT(SUBSTITUTE(SUBSTITUTE(SUBSTITUTE(TRIM($A128),"-",""),".",""),"/",""),2))),DATEVALUE($A128))),""))</f>
        <v/>
      </c>
    </row>
    <row r="129" customFormat="false" ht="15" hidden="false" customHeight="false" outlineLevel="0" collapsed="false">
      <c r="A129" s="47"/>
      <c r="B129" s="48"/>
      <c r="C129" s="132"/>
      <c r="D129" s="53"/>
      <c r="E129" s="48"/>
      <c r="F129" s="132"/>
      <c r="G129" s="133" t="str">
        <f aca="false">IF($A129="","",IFERROR(IF(ISNUMBER($A129),IF($A129&gt;19000000,DATE(INT($A129/10000),MOD(INT($A129/100),100),MOD($A129,100)),INT($A129)),IF(LEN(SUBSTITUTE(SUBSTITUTE(SUBSTITUTE(TRIM($A129),"-",""),".",""),"/",""))=8,DATE(VALUE(LEFT(SUBSTITUTE(SUBSTITUTE(SUBSTITUTE(TRIM($A129),"-",""),".",""),"/",""),4)),VALUE(MID(SUBSTITUTE(SUBSTITUTE(SUBSTITUTE(TRIM($A129),"-",""),".",""),"/",""),5,2)),VALUE(RIGHT(SUBSTITUTE(SUBSTITUTE(SUBSTITUTE(TRIM($A129),"-",""),".",""),"/",""),2))),DATEVALUE($A129))),""))</f>
        <v/>
      </c>
    </row>
    <row r="130" customFormat="false" ht="15" hidden="false" customHeight="false" outlineLevel="0" collapsed="false">
      <c r="A130" s="47"/>
      <c r="B130" s="48"/>
      <c r="C130" s="132"/>
      <c r="D130" s="53"/>
      <c r="E130" s="48"/>
      <c r="F130" s="132"/>
      <c r="G130" s="133" t="str">
        <f aca="false">IF($A130="","",IFERROR(IF(ISNUMBER($A130),IF($A130&gt;19000000,DATE(INT($A130/10000),MOD(INT($A130/100),100),MOD($A130,100)),INT($A130)),IF(LEN(SUBSTITUTE(SUBSTITUTE(SUBSTITUTE(TRIM($A130),"-",""),".",""),"/",""))=8,DATE(VALUE(LEFT(SUBSTITUTE(SUBSTITUTE(SUBSTITUTE(TRIM($A130),"-",""),".",""),"/",""),4)),VALUE(MID(SUBSTITUTE(SUBSTITUTE(SUBSTITUTE(TRIM($A130),"-",""),".",""),"/",""),5,2)),VALUE(RIGHT(SUBSTITUTE(SUBSTITUTE(SUBSTITUTE(TRIM($A130),"-",""),".",""),"/",""),2))),DATEVALUE($A130))),""))</f>
        <v/>
      </c>
    </row>
    <row r="131" customFormat="false" ht="15" hidden="false" customHeight="false" outlineLevel="0" collapsed="false">
      <c r="A131" s="47"/>
      <c r="B131" s="48"/>
      <c r="C131" s="132"/>
      <c r="D131" s="53"/>
      <c r="E131" s="48"/>
      <c r="F131" s="132"/>
      <c r="G131" s="133" t="str">
        <f aca="false">IF($A131="","",IFERROR(IF(ISNUMBER($A131),IF($A131&gt;19000000,DATE(INT($A131/10000),MOD(INT($A131/100),100),MOD($A131,100)),INT($A131)),IF(LEN(SUBSTITUTE(SUBSTITUTE(SUBSTITUTE(TRIM($A131),"-",""),".",""),"/",""))=8,DATE(VALUE(LEFT(SUBSTITUTE(SUBSTITUTE(SUBSTITUTE(TRIM($A131),"-",""),".",""),"/",""),4)),VALUE(MID(SUBSTITUTE(SUBSTITUTE(SUBSTITUTE(TRIM($A131),"-",""),".",""),"/",""),5,2)),VALUE(RIGHT(SUBSTITUTE(SUBSTITUTE(SUBSTITUTE(TRIM($A131),"-",""),".",""),"/",""),2))),DATEVALUE($A131))),""))</f>
        <v/>
      </c>
    </row>
    <row r="132" customFormat="false" ht="15" hidden="false" customHeight="false" outlineLevel="0" collapsed="false">
      <c r="A132" s="47"/>
      <c r="B132" s="48"/>
      <c r="C132" s="132"/>
      <c r="D132" s="53"/>
      <c r="E132" s="48"/>
      <c r="F132" s="132"/>
      <c r="G132" s="133" t="str">
        <f aca="false">IF($A132="","",IFERROR(IF(ISNUMBER($A132),IF($A132&gt;19000000,DATE(INT($A132/10000),MOD(INT($A132/100),100),MOD($A132,100)),INT($A132)),IF(LEN(SUBSTITUTE(SUBSTITUTE(SUBSTITUTE(TRIM($A132),"-",""),".",""),"/",""))=8,DATE(VALUE(LEFT(SUBSTITUTE(SUBSTITUTE(SUBSTITUTE(TRIM($A132),"-",""),".",""),"/",""),4)),VALUE(MID(SUBSTITUTE(SUBSTITUTE(SUBSTITUTE(TRIM($A132),"-",""),".",""),"/",""),5,2)),VALUE(RIGHT(SUBSTITUTE(SUBSTITUTE(SUBSTITUTE(TRIM($A132),"-",""),".",""),"/",""),2))),DATEVALUE($A132))),""))</f>
        <v/>
      </c>
    </row>
    <row r="133" customFormat="false" ht="15" hidden="false" customHeight="false" outlineLevel="0" collapsed="false">
      <c r="A133" s="47"/>
      <c r="B133" s="48"/>
      <c r="C133" s="132"/>
      <c r="D133" s="53"/>
      <c r="E133" s="48"/>
      <c r="F133" s="132"/>
      <c r="G133" s="133" t="str">
        <f aca="false">IF($A133="","",IFERROR(IF(ISNUMBER($A133),IF($A133&gt;19000000,DATE(INT($A133/10000),MOD(INT($A133/100),100),MOD($A133,100)),INT($A133)),IF(LEN(SUBSTITUTE(SUBSTITUTE(SUBSTITUTE(TRIM($A133),"-",""),".",""),"/",""))=8,DATE(VALUE(LEFT(SUBSTITUTE(SUBSTITUTE(SUBSTITUTE(TRIM($A133),"-",""),".",""),"/",""),4)),VALUE(MID(SUBSTITUTE(SUBSTITUTE(SUBSTITUTE(TRIM($A133),"-",""),".",""),"/",""),5,2)),VALUE(RIGHT(SUBSTITUTE(SUBSTITUTE(SUBSTITUTE(TRIM($A133),"-",""),".",""),"/",""),2))),DATEVALUE($A133))),""))</f>
        <v/>
      </c>
    </row>
    <row r="134" customFormat="false" ht="15" hidden="false" customHeight="false" outlineLevel="0" collapsed="false">
      <c r="A134" s="47"/>
      <c r="B134" s="48"/>
      <c r="C134" s="132"/>
      <c r="D134" s="53"/>
      <c r="E134" s="48"/>
      <c r="F134" s="132"/>
      <c r="G134" s="133" t="str">
        <f aca="false">IF($A134="","",IFERROR(IF(ISNUMBER($A134),IF($A134&gt;19000000,DATE(INT($A134/10000),MOD(INT($A134/100),100),MOD($A134,100)),INT($A134)),IF(LEN(SUBSTITUTE(SUBSTITUTE(SUBSTITUTE(TRIM($A134),"-",""),".",""),"/",""))=8,DATE(VALUE(LEFT(SUBSTITUTE(SUBSTITUTE(SUBSTITUTE(TRIM($A134),"-",""),".",""),"/",""),4)),VALUE(MID(SUBSTITUTE(SUBSTITUTE(SUBSTITUTE(TRIM($A134),"-",""),".",""),"/",""),5,2)),VALUE(RIGHT(SUBSTITUTE(SUBSTITUTE(SUBSTITUTE(TRIM($A134),"-",""),".",""),"/",""),2))),DATEVALUE($A134))),""))</f>
        <v/>
      </c>
    </row>
    <row r="135" customFormat="false" ht="15" hidden="false" customHeight="false" outlineLevel="0" collapsed="false">
      <c r="A135" s="47"/>
      <c r="B135" s="48"/>
      <c r="C135" s="132"/>
      <c r="D135" s="53"/>
      <c r="E135" s="48"/>
      <c r="F135" s="132"/>
      <c r="G135" s="133" t="str">
        <f aca="false">IF($A135="","",IFERROR(IF(ISNUMBER($A135),IF($A135&gt;19000000,DATE(INT($A135/10000),MOD(INT($A135/100),100),MOD($A135,100)),INT($A135)),IF(LEN(SUBSTITUTE(SUBSTITUTE(SUBSTITUTE(TRIM($A135),"-",""),".",""),"/",""))=8,DATE(VALUE(LEFT(SUBSTITUTE(SUBSTITUTE(SUBSTITUTE(TRIM($A135),"-",""),".",""),"/",""),4)),VALUE(MID(SUBSTITUTE(SUBSTITUTE(SUBSTITUTE(TRIM($A135),"-",""),".",""),"/",""),5,2)),VALUE(RIGHT(SUBSTITUTE(SUBSTITUTE(SUBSTITUTE(TRIM($A135),"-",""),".",""),"/",""),2))),DATEVALUE($A135))),""))</f>
        <v/>
      </c>
    </row>
    <row r="136" customFormat="false" ht="15" hidden="false" customHeight="false" outlineLevel="0" collapsed="false">
      <c r="A136" s="47"/>
      <c r="B136" s="48"/>
      <c r="C136" s="132"/>
      <c r="D136" s="53"/>
      <c r="E136" s="48"/>
      <c r="F136" s="132"/>
      <c r="G136" s="133" t="str">
        <f aca="false">IF($A136="","",IFERROR(IF(ISNUMBER($A136),IF($A136&gt;19000000,DATE(INT($A136/10000),MOD(INT($A136/100),100),MOD($A136,100)),INT($A136)),IF(LEN(SUBSTITUTE(SUBSTITUTE(SUBSTITUTE(TRIM($A136),"-",""),".",""),"/",""))=8,DATE(VALUE(LEFT(SUBSTITUTE(SUBSTITUTE(SUBSTITUTE(TRIM($A136),"-",""),".",""),"/",""),4)),VALUE(MID(SUBSTITUTE(SUBSTITUTE(SUBSTITUTE(TRIM($A136),"-",""),".",""),"/",""),5,2)),VALUE(RIGHT(SUBSTITUTE(SUBSTITUTE(SUBSTITUTE(TRIM($A136),"-",""),".",""),"/",""),2))),DATEVALUE($A136))),""))</f>
        <v/>
      </c>
    </row>
    <row r="137" customFormat="false" ht="15" hidden="false" customHeight="false" outlineLevel="0" collapsed="false">
      <c r="A137" s="47"/>
      <c r="B137" s="48"/>
      <c r="C137" s="132"/>
      <c r="D137" s="53"/>
      <c r="E137" s="48"/>
      <c r="F137" s="132"/>
      <c r="G137" s="133" t="str">
        <f aca="false">IF($A137="","",IFERROR(IF(ISNUMBER($A137),IF($A137&gt;19000000,DATE(INT($A137/10000),MOD(INT($A137/100),100),MOD($A137,100)),INT($A137)),IF(LEN(SUBSTITUTE(SUBSTITUTE(SUBSTITUTE(TRIM($A137),"-",""),".",""),"/",""))=8,DATE(VALUE(LEFT(SUBSTITUTE(SUBSTITUTE(SUBSTITUTE(TRIM($A137),"-",""),".",""),"/",""),4)),VALUE(MID(SUBSTITUTE(SUBSTITUTE(SUBSTITUTE(TRIM($A137),"-",""),".",""),"/",""),5,2)),VALUE(RIGHT(SUBSTITUTE(SUBSTITUTE(SUBSTITUTE(TRIM($A137),"-",""),".",""),"/",""),2))),DATEVALUE($A137))),""))</f>
        <v/>
      </c>
    </row>
    <row r="138" customFormat="false" ht="15" hidden="false" customHeight="false" outlineLevel="0" collapsed="false">
      <c r="A138" s="47"/>
      <c r="B138" s="48"/>
      <c r="C138" s="132"/>
      <c r="D138" s="53"/>
      <c r="E138" s="48"/>
      <c r="F138" s="132"/>
      <c r="G138" s="133" t="str">
        <f aca="false">IF($A138="","",IFERROR(IF(ISNUMBER($A138),IF($A138&gt;19000000,DATE(INT($A138/10000),MOD(INT($A138/100),100),MOD($A138,100)),INT($A138)),IF(LEN(SUBSTITUTE(SUBSTITUTE(SUBSTITUTE(TRIM($A138),"-",""),".",""),"/",""))=8,DATE(VALUE(LEFT(SUBSTITUTE(SUBSTITUTE(SUBSTITUTE(TRIM($A138),"-",""),".",""),"/",""),4)),VALUE(MID(SUBSTITUTE(SUBSTITUTE(SUBSTITUTE(TRIM($A138),"-",""),".",""),"/",""),5,2)),VALUE(RIGHT(SUBSTITUTE(SUBSTITUTE(SUBSTITUTE(TRIM($A138),"-",""),".",""),"/",""),2))),DATEVALUE($A138))),""))</f>
        <v/>
      </c>
    </row>
    <row r="139" customFormat="false" ht="15" hidden="false" customHeight="false" outlineLevel="0" collapsed="false">
      <c r="A139" s="47"/>
      <c r="B139" s="48"/>
      <c r="C139" s="132"/>
      <c r="D139" s="53"/>
      <c r="E139" s="48"/>
      <c r="F139" s="132"/>
      <c r="G139" s="133" t="str">
        <f aca="false">IF($A139="","",IFERROR(IF(ISNUMBER($A139),IF($A139&gt;19000000,DATE(INT($A139/10000),MOD(INT($A139/100),100),MOD($A139,100)),INT($A139)),IF(LEN(SUBSTITUTE(SUBSTITUTE(SUBSTITUTE(TRIM($A139),"-",""),".",""),"/",""))=8,DATE(VALUE(LEFT(SUBSTITUTE(SUBSTITUTE(SUBSTITUTE(TRIM($A139),"-",""),".",""),"/",""),4)),VALUE(MID(SUBSTITUTE(SUBSTITUTE(SUBSTITUTE(TRIM($A139),"-",""),".",""),"/",""),5,2)),VALUE(RIGHT(SUBSTITUTE(SUBSTITUTE(SUBSTITUTE(TRIM($A139),"-",""),".",""),"/",""),2))),DATEVALUE($A139))),""))</f>
        <v/>
      </c>
    </row>
    <row r="140" customFormat="false" ht="15" hidden="false" customHeight="false" outlineLevel="0" collapsed="false">
      <c r="A140" s="47"/>
      <c r="B140" s="48"/>
      <c r="C140" s="132"/>
      <c r="D140" s="53"/>
      <c r="E140" s="48"/>
      <c r="F140" s="132"/>
      <c r="G140" s="133" t="str">
        <f aca="false">IF($A140="","",IFERROR(IF(ISNUMBER($A140),IF($A140&gt;19000000,DATE(INT($A140/10000),MOD(INT($A140/100),100),MOD($A140,100)),INT($A140)),IF(LEN(SUBSTITUTE(SUBSTITUTE(SUBSTITUTE(TRIM($A140),"-",""),".",""),"/",""))=8,DATE(VALUE(LEFT(SUBSTITUTE(SUBSTITUTE(SUBSTITUTE(TRIM($A140),"-",""),".",""),"/",""),4)),VALUE(MID(SUBSTITUTE(SUBSTITUTE(SUBSTITUTE(TRIM($A140),"-",""),".",""),"/",""),5,2)),VALUE(RIGHT(SUBSTITUTE(SUBSTITUTE(SUBSTITUTE(TRIM($A140),"-",""),".",""),"/",""),2))),DATEVALUE($A140))),""))</f>
        <v/>
      </c>
    </row>
    <row r="141" customFormat="false" ht="15" hidden="false" customHeight="false" outlineLevel="0" collapsed="false">
      <c r="A141" s="47"/>
      <c r="B141" s="48"/>
      <c r="C141" s="132"/>
      <c r="D141" s="53"/>
      <c r="E141" s="48"/>
      <c r="F141" s="132"/>
      <c r="G141" s="133" t="str">
        <f aca="false">IF($A141="","",IFERROR(IF(ISNUMBER($A141),IF($A141&gt;19000000,DATE(INT($A141/10000),MOD(INT($A141/100),100),MOD($A141,100)),INT($A141)),IF(LEN(SUBSTITUTE(SUBSTITUTE(SUBSTITUTE(TRIM($A141),"-",""),".",""),"/",""))=8,DATE(VALUE(LEFT(SUBSTITUTE(SUBSTITUTE(SUBSTITUTE(TRIM($A141),"-",""),".",""),"/",""),4)),VALUE(MID(SUBSTITUTE(SUBSTITUTE(SUBSTITUTE(TRIM($A141),"-",""),".",""),"/",""),5,2)),VALUE(RIGHT(SUBSTITUTE(SUBSTITUTE(SUBSTITUTE(TRIM($A141),"-",""),".",""),"/",""),2))),DATEVALUE($A141))),""))</f>
        <v/>
      </c>
    </row>
    <row r="142" customFormat="false" ht="15" hidden="false" customHeight="false" outlineLevel="0" collapsed="false">
      <c r="A142" s="47"/>
      <c r="B142" s="48"/>
      <c r="C142" s="132"/>
      <c r="D142" s="53"/>
      <c r="E142" s="48"/>
      <c r="F142" s="132"/>
      <c r="G142" s="133" t="str">
        <f aca="false">IF($A142="","",IFERROR(IF(ISNUMBER($A142),IF($A142&gt;19000000,DATE(INT($A142/10000),MOD(INT($A142/100),100),MOD($A142,100)),INT($A142)),IF(LEN(SUBSTITUTE(SUBSTITUTE(SUBSTITUTE(TRIM($A142),"-",""),".",""),"/",""))=8,DATE(VALUE(LEFT(SUBSTITUTE(SUBSTITUTE(SUBSTITUTE(TRIM($A142),"-",""),".",""),"/",""),4)),VALUE(MID(SUBSTITUTE(SUBSTITUTE(SUBSTITUTE(TRIM($A142),"-",""),".",""),"/",""),5,2)),VALUE(RIGHT(SUBSTITUTE(SUBSTITUTE(SUBSTITUTE(TRIM($A142),"-",""),".",""),"/",""),2))),DATEVALUE($A142))),""))</f>
        <v/>
      </c>
    </row>
    <row r="143" customFormat="false" ht="15" hidden="false" customHeight="false" outlineLevel="0" collapsed="false">
      <c r="A143" s="47"/>
      <c r="B143" s="48"/>
      <c r="C143" s="132"/>
      <c r="D143" s="53"/>
      <c r="E143" s="48"/>
      <c r="F143" s="132"/>
      <c r="G143" s="133" t="str">
        <f aca="false">IF($A143="","",IFERROR(IF(ISNUMBER($A143),IF($A143&gt;19000000,DATE(INT($A143/10000),MOD(INT($A143/100),100),MOD($A143,100)),INT($A143)),IF(LEN(SUBSTITUTE(SUBSTITUTE(SUBSTITUTE(TRIM($A143),"-",""),".",""),"/",""))=8,DATE(VALUE(LEFT(SUBSTITUTE(SUBSTITUTE(SUBSTITUTE(TRIM($A143),"-",""),".",""),"/",""),4)),VALUE(MID(SUBSTITUTE(SUBSTITUTE(SUBSTITUTE(TRIM($A143),"-",""),".",""),"/",""),5,2)),VALUE(RIGHT(SUBSTITUTE(SUBSTITUTE(SUBSTITUTE(TRIM($A143),"-",""),".",""),"/",""),2))),DATEVALUE($A143))),""))</f>
        <v/>
      </c>
    </row>
    <row r="144" customFormat="false" ht="15" hidden="false" customHeight="false" outlineLevel="0" collapsed="false">
      <c r="A144" s="47"/>
      <c r="B144" s="48"/>
      <c r="C144" s="132"/>
      <c r="D144" s="53"/>
      <c r="E144" s="48"/>
      <c r="F144" s="132"/>
      <c r="G144" s="133" t="str">
        <f aca="false">IF($A144="","",IFERROR(IF(ISNUMBER($A144),IF($A144&gt;19000000,DATE(INT($A144/10000),MOD(INT($A144/100),100),MOD($A144,100)),INT($A144)),IF(LEN(SUBSTITUTE(SUBSTITUTE(SUBSTITUTE(TRIM($A144),"-",""),".",""),"/",""))=8,DATE(VALUE(LEFT(SUBSTITUTE(SUBSTITUTE(SUBSTITUTE(TRIM($A144),"-",""),".",""),"/",""),4)),VALUE(MID(SUBSTITUTE(SUBSTITUTE(SUBSTITUTE(TRIM($A144),"-",""),".",""),"/",""),5,2)),VALUE(RIGHT(SUBSTITUTE(SUBSTITUTE(SUBSTITUTE(TRIM($A144),"-",""),".",""),"/",""),2))),DATEVALUE($A144))),""))</f>
        <v/>
      </c>
    </row>
    <row r="145" customFormat="false" ht="15" hidden="false" customHeight="false" outlineLevel="0" collapsed="false">
      <c r="A145" s="47"/>
      <c r="B145" s="48"/>
      <c r="C145" s="132"/>
      <c r="D145" s="53"/>
      <c r="E145" s="48"/>
      <c r="F145" s="132"/>
      <c r="G145" s="133" t="str">
        <f aca="false">IF($A145="","",IFERROR(IF(ISNUMBER($A145),IF($A145&gt;19000000,DATE(INT($A145/10000),MOD(INT($A145/100),100),MOD($A145,100)),INT($A145)),IF(LEN(SUBSTITUTE(SUBSTITUTE(SUBSTITUTE(TRIM($A145),"-",""),".",""),"/",""))=8,DATE(VALUE(LEFT(SUBSTITUTE(SUBSTITUTE(SUBSTITUTE(TRIM($A145),"-",""),".",""),"/",""),4)),VALUE(MID(SUBSTITUTE(SUBSTITUTE(SUBSTITUTE(TRIM($A145),"-",""),".",""),"/",""),5,2)),VALUE(RIGHT(SUBSTITUTE(SUBSTITUTE(SUBSTITUTE(TRIM($A145),"-",""),".",""),"/",""),2))),DATEVALUE($A145))),""))</f>
        <v/>
      </c>
    </row>
    <row r="146" customFormat="false" ht="15" hidden="false" customHeight="false" outlineLevel="0" collapsed="false">
      <c r="A146" s="47"/>
      <c r="B146" s="48"/>
      <c r="C146" s="132"/>
      <c r="D146" s="53"/>
      <c r="E146" s="48"/>
      <c r="F146" s="132"/>
      <c r="G146" s="133" t="str">
        <f aca="false">IF($A146="","",IFERROR(IF(ISNUMBER($A146),IF($A146&gt;19000000,DATE(INT($A146/10000),MOD(INT($A146/100),100),MOD($A146,100)),INT($A146)),IF(LEN(SUBSTITUTE(SUBSTITUTE(SUBSTITUTE(TRIM($A146),"-",""),".",""),"/",""))=8,DATE(VALUE(LEFT(SUBSTITUTE(SUBSTITUTE(SUBSTITUTE(TRIM($A146),"-",""),".",""),"/",""),4)),VALUE(MID(SUBSTITUTE(SUBSTITUTE(SUBSTITUTE(TRIM($A146),"-",""),".",""),"/",""),5,2)),VALUE(RIGHT(SUBSTITUTE(SUBSTITUTE(SUBSTITUTE(TRIM($A146),"-",""),".",""),"/",""),2))),DATEVALUE($A146))),""))</f>
        <v/>
      </c>
    </row>
    <row r="147" customFormat="false" ht="15" hidden="false" customHeight="false" outlineLevel="0" collapsed="false">
      <c r="A147" s="47"/>
      <c r="B147" s="48"/>
      <c r="C147" s="132"/>
      <c r="D147" s="53"/>
      <c r="E147" s="48"/>
      <c r="F147" s="132"/>
      <c r="G147" s="133" t="str">
        <f aca="false">IF($A147="","",IFERROR(IF(ISNUMBER($A147),IF($A147&gt;19000000,DATE(INT($A147/10000),MOD(INT($A147/100),100),MOD($A147,100)),INT($A147)),IF(LEN(SUBSTITUTE(SUBSTITUTE(SUBSTITUTE(TRIM($A147),"-",""),".",""),"/",""))=8,DATE(VALUE(LEFT(SUBSTITUTE(SUBSTITUTE(SUBSTITUTE(TRIM($A147),"-",""),".",""),"/",""),4)),VALUE(MID(SUBSTITUTE(SUBSTITUTE(SUBSTITUTE(TRIM($A147),"-",""),".",""),"/",""),5,2)),VALUE(RIGHT(SUBSTITUTE(SUBSTITUTE(SUBSTITUTE(TRIM($A147),"-",""),".",""),"/",""),2))),DATEVALUE($A147))),""))</f>
        <v/>
      </c>
    </row>
    <row r="148" customFormat="false" ht="15" hidden="false" customHeight="false" outlineLevel="0" collapsed="false">
      <c r="A148" s="47"/>
      <c r="B148" s="48"/>
      <c r="C148" s="132"/>
      <c r="D148" s="53"/>
      <c r="E148" s="48"/>
      <c r="F148" s="132"/>
      <c r="G148" s="133" t="str">
        <f aca="false">IF($A148="","",IFERROR(IF(ISNUMBER($A148),IF($A148&gt;19000000,DATE(INT($A148/10000),MOD(INT($A148/100),100),MOD($A148,100)),INT($A148)),IF(LEN(SUBSTITUTE(SUBSTITUTE(SUBSTITUTE(TRIM($A148),"-",""),".",""),"/",""))=8,DATE(VALUE(LEFT(SUBSTITUTE(SUBSTITUTE(SUBSTITUTE(TRIM($A148),"-",""),".",""),"/",""),4)),VALUE(MID(SUBSTITUTE(SUBSTITUTE(SUBSTITUTE(TRIM($A148),"-",""),".",""),"/",""),5,2)),VALUE(RIGHT(SUBSTITUTE(SUBSTITUTE(SUBSTITUTE(TRIM($A148),"-",""),".",""),"/",""),2))),DATEVALUE($A148))),""))</f>
        <v/>
      </c>
    </row>
    <row r="149" customFormat="false" ht="15" hidden="false" customHeight="false" outlineLevel="0" collapsed="false">
      <c r="A149" s="47"/>
      <c r="B149" s="48"/>
      <c r="C149" s="132"/>
      <c r="D149" s="53"/>
      <c r="E149" s="48"/>
      <c r="F149" s="132"/>
      <c r="G149" s="133" t="str">
        <f aca="false">IF($A149="","",IFERROR(IF(ISNUMBER($A149),IF($A149&gt;19000000,DATE(INT($A149/10000),MOD(INT($A149/100),100),MOD($A149,100)),INT($A149)),IF(LEN(SUBSTITUTE(SUBSTITUTE(SUBSTITUTE(TRIM($A149),"-",""),".",""),"/",""))=8,DATE(VALUE(LEFT(SUBSTITUTE(SUBSTITUTE(SUBSTITUTE(TRIM($A149),"-",""),".",""),"/",""),4)),VALUE(MID(SUBSTITUTE(SUBSTITUTE(SUBSTITUTE(TRIM($A149),"-",""),".",""),"/",""),5,2)),VALUE(RIGHT(SUBSTITUTE(SUBSTITUTE(SUBSTITUTE(TRIM($A149),"-",""),".",""),"/",""),2))),DATEVALUE($A149))),""))</f>
        <v/>
      </c>
    </row>
    <row r="150" customFormat="false" ht="15" hidden="false" customHeight="false" outlineLevel="0" collapsed="false">
      <c r="A150" s="47"/>
      <c r="B150" s="48"/>
      <c r="C150" s="132"/>
      <c r="D150" s="53"/>
      <c r="E150" s="48"/>
      <c r="F150" s="132"/>
      <c r="G150" s="133" t="str">
        <f aca="false">IF($A150="","",IFERROR(IF(ISNUMBER($A150),IF($A150&gt;19000000,DATE(INT($A150/10000),MOD(INT($A150/100),100),MOD($A150,100)),INT($A150)),IF(LEN(SUBSTITUTE(SUBSTITUTE(SUBSTITUTE(TRIM($A150),"-",""),".",""),"/",""))=8,DATE(VALUE(LEFT(SUBSTITUTE(SUBSTITUTE(SUBSTITUTE(TRIM($A150),"-",""),".",""),"/",""),4)),VALUE(MID(SUBSTITUTE(SUBSTITUTE(SUBSTITUTE(TRIM($A150),"-",""),".",""),"/",""),5,2)),VALUE(RIGHT(SUBSTITUTE(SUBSTITUTE(SUBSTITUTE(TRIM($A150),"-",""),".",""),"/",""),2))),DATEVALUE($A150))),""))</f>
        <v/>
      </c>
    </row>
    <row r="151" customFormat="false" ht="15" hidden="false" customHeight="false" outlineLevel="0" collapsed="false">
      <c r="A151" s="47"/>
      <c r="B151" s="48"/>
      <c r="C151" s="132"/>
      <c r="D151" s="53"/>
      <c r="E151" s="48"/>
      <c r="F151" s="132"/>
      <c r="G151" s="133" t="str">
        <f aca="false">IF($A151="","",IFERROR(IF(ISNUMBER($A151),IF($A151&gt;19000000,DATE(INT($A151/10000),MOD(INT($A151/100),100),MOD($A151,100)),INT($A151)),IF(LEN(SUBSTITUTE(SUBSTITUTE(SUBSTITUTE(TRIM($A151),"-",""),".",""),"/",""))=8,DATE(VALUE(LEFT(SUBSTITUTE(SUBSTITUTE(SUBSTITUTE(TRIM($A151),"-",""),".",""),"/",""),4)),VALUE(MID(SUBSTITUTE(SUBSTITUTE(SUBSTITUTE(TRIM($A151),"-",""),".",""),"/",""),5,2)),VALUE(RIGHT(SUBSTITUTE(SUBSTITUTE(SUBSTITUTE(TRIM($A151),"-",""),".",""),"/",""),2))),DATEVALUE($A151))),""))</f>
        <v/>
      </c>
    </row>
    <row r="152" customFormat="false" ht="15" hidden="false" customHeight="false" outlineLevel="0" collapsed="false">
      <c r="A152" s="47"/>
      <c r="B152" s="48"/>
      <c r="C152" s="132"/>
      <c r="D152" s="53"/>
      <c r="E152" s="48"/>
      <c r="F152" s="132"/>
      <c r="G152" s="133" t="str">
        <f aca="false">IF($A152="","",IFERROR(IF(ISNUMBER($A152),IF($A152&gt;19000000,DATE(INT($A152/10000),MOD(INT($A152/100),100),MOD($A152,100)),INT($A152)),IF(LEN(SUBSTITUTE(SUBSTITUTE(SUBSTITUTE(TRIM($A152),"-",""),".",""),"/",""))=8,DATE(VALUE(LEFT(SUBSTITUTE(SUBSTITUTE(SUBSTITUTE(TRIM($A152),"-",""),".",""),"/",""),4)),VALUE(MID(SUBSTITUTE(SUBSTITUTE(SUBSTITUTE(TRIM($A152),"-",""),".",""),"/",""),5,2)),VALUE(RIGHT(SUBSTITUTE(SUBSTITUTE(SUBSTITUTE(TRIM($A152),"-",""),".",""),"/",""),2))),DATEVALUE($A152))),""))</f>
        <v/>
      </c>
    </row>
    <row r="153" customFormat="false" ht="15" hidden="false" customHeight="false" outlineLevel="0" collapsed="false">
      <c r="A153" s="47"/>
      <c r="B153" s="48"/>
      <c r="C153" s="132"/>
      <c r="D153" s="53"/>
      <c r="E153" s="48"/>
      <c r="F153" s="132"/>
      <c r="G153" s="133" t="str">
        <f aca="false">IF($A153="","",IFERROR(IF(ISNUMBER($A153),IF($A153&gt;19000000,DATE(INT($A153/10000),MOD(INT($A153/100),100),MOD($A153,100)),INT($A153)),IF(LEN(SUBSTITUTE(SUBSTITUTE(SUBSTITUTE(TRIM($A153),"-",""),".",""),"/",""))=8,DATE(VALUE(LEFT(SUBSTITUTE(SUBSTITUTE(SUBSTITUTE(TRIM($A153),"-",""),".",""),"/",""),4)),VALUE(MID(SUBSTITUTE(SUBSTITUTE(SUBSTITUTE(TRIM($A153),"-",""),".",""),"/",""),5,2)),VALUE(RIGHT(SUBSTITUTE(SUBSTITUTE(SUBSTITUTE(TRIM($A153),"-",""),".",""),"/",""),2))),DATEVALUE($A153))),""))</f>
        <v/>
      </c>
    </row>
    <row r="154" customFormat="false" ht="15" hidden="false" customHeight="false" outlineLevel="0" collapsed="false">
      <c r="A154" s="47"/>
      <c r="B154" s="48"/>
      <c r="C154" s="132"/>
      <c r="D154" s="53"/>
      <c r="E154" s="48"/>
      <c r="F154" s="132"/>
      <c r="G154" s="133" t="str">
        <f aca="false">IF($A154="","",IFERROR(IF(ISNUMBER($A154),IF($A154&gt;19000000,DATE(INT($A154/10000),MOD(INT($A154/100),100),MOD($A154,100)),INT($A154)),IF(LEN(SUBSTITUTE(SUBSTITUTE(SUBSTITUTE(TRIM($A154),"-",""),".",""),"/",""))=8,DATE(VALUE(LEFT(SUBSTITUTE(SUBSTITUTE(SUBSTITUTE(TRIM($A154),"-",""),".",""),"/",""),4)),VALUE(MID(SUBSTITUTE(SUBSTITUTE(SUBSTITUTE(TRIM($A154),"-",""),".",""),"/",""),5,2)),VALUE(RIGHT(SUBSTITUTE(SUBSTITUTE(SUBSTITUTE(TRIM($A154),"-",""),".",""),"/",""),2))),DATEVALUE($A154))),""))</f>
        <v/>
      </c>
    </row>
    <row r="155" customFormat="false" ht="15" hidden="false" customHeight="false" outlineLevel="0" collapsed="false">
      <c r="A155" s="47"/>
      <c r="B155" s="48"/>
      <c r="C155" s="132"/>
      <c r="D155" s="53"/>
      <c r="E155" s="48"/>
      <c r="F155" s="132"/>
      <c r="G155" s="133" t="str">
        <f aca="false">IF($A155="","",IFERROR(IF(ISNUMBER($A155),IF($A155&gt;19000000,DATE(INT($A155/10000),MOD(INT($A155/100),100),MOD($A155,100)),INT($A155)),IF(LEN(SUBSTITUTE(SUBSTITUTE(SUBSTITUTE(TRIM($A155),"-",""),".",""),"/",""))=8,DATE(VALUE(LEFT(SUBSTITUTE(SUBSTITUTE(SUBSTITUTE(TRIM($A155),"-",""),".",""),"/",""),4)),VALUE(MID(SUBSTITUTE(SUBSTITUTE(SUBSTITUTE(TRIM($A155),"-",""),".",""),"/",""),5,2)),VALUE(RIGHT(SUBSTITUTE(SUBSTITUTE(SUBSTITUTE(TRIM($A155),"-",""),".",""),"/",""),2))),DATEVALUE($A155))),""))</f>
        <v/>
      </c>
    </row>
    <row r="156" customFormat="false" ht="15" hidden="false" customHeight="false" outlineLevel="0" collapsed="false">
      <c r="A156" s="47"/>
      <c r="B156" s="48"/>
      <c r="C156" s="132"/>
      <c r="D156" s="53"/>
      <c r="E156" s="48"/>
      <c r="F156" s="132"/>
      <c r="G156" s="133" t="str">
        <f aca="false">IF($A156="","",IFERROR(IF(ISNUMBER($A156),IF($A156&gt;19000000,DATE(INT($A156/10000),MOD(INT($A156/100),100),MOD($A156,100)),INT($A156)),IF(LEN(SUBSTITUTE(SUBSTITUTE(SUBSTITUTE(TRIM($A156),"-",""),".",""),"/",""))=8,DATE(VALUE(LEFT(SUBSTITUTE(SUBSTITUTE(SUBSTITUTE(TRIM($A156),"-",""),".",""),"/",""),4)),VALUE(MID(SUBSTITUTE(SUBSTITUTE(SUBSTITUTE(TRIM($A156),"-",""),".",""),"/",""),5,2)),VALUE(RIGHT(SUBSTITUTE(SUBSTITUTE(SUBSTITUTE(TRIM($A156),"-",""),".",""),"/",""),2))),DATEVALUE($A156))),""))</f>
        <v/>
      </c>
    </row>
    <row r="157" customFormat="false" ht="15" hidden="false" customHeight="false" outlineLevel="0" collapsed="false">
      <c r="A157" s="47"/>
      <c r="B157" s="48"/>
      <c r="C157" s="132"/>
      <c r="D157" s="53"/>
      <c r="E157" s="48"/>
      <c r="F157" s="132"/>
      <c r="G157" s="133" t="str">
        <f aca="false">IF($A157="","",IFERROR(IF(ISNUMBER($A157),IF($A157&gt;19000000,DATE(INT($A157/10000),MOD(INT($A157/100),100),MOD($A157,100)),INT($A157)),IF(LEN(SUBSTITUTE(SUBSTITUTE(SUBSTITUTE(TRIM($A157),"-",""),".",""),"/",""))=8,DATE(VALUE(LEFT(SUBSTITUTE(SUBSTITUTE(SUBSTITUTE(TRIM($A157),"-",""),".",""),"/",""),4)),VALUE(MID(SUBSTITUTE(SUBSTITUTE(SUBSTITUTE(TRIM($A157),"-",""),".",""),"/",""),5,2)),VALUE(RIGHT(SUBSTITUTE(SUBSTITUTE(SUBSTITUTE(TRIM($A157),"-",""),".",""),"/",""),2))),DATEVALUE($A157))),""))</f>
        <v/>
      </c>
    </row>
    <row r="158" customFormat="false" ht="15" hidden="false" customHeight="false" outlineLevel="0" collapsed="false">
      <c r="A158" s="47"/>
      <c r="B158" s="48"/>
      <c r="C158" s="132"/>
      <c r="D158" s="53"/>
      <c r="E158" s="48"/>
      <c r="F158" s="132"/>
      <c r="G158" s="133" t="str">
        <f aca="false">IF($A158="","",IFERROR(IF(ISNUMBER($A158),IF($A158&gt;19000000,DATE(INT($A158/10000),MOD(INT($A158/100),100),MOD($A158,100)),INT($A158)),IF(LEN(SUBSTITUTE(SUBSTITUTE(SUBSTITUTE(TRIM($A158),"-",""),".",""),"/",""))=8,DATE(VALUE(LEFT(SUBSTITUTE(SUBSTITUTE(SUBSTITUTE(TRIM($A158),"-",""),".",""),"/",""),4)),VALUE(MID(SUBSTITUTE(SUBSTITUTE(SUBSTITUTE(TRIM($A158),"-",""),".",""),"/",""),5,2)),VALUE(RIGHT(SUBSTITUTE(SUBSTITUTE(SUBSTITUTE(TRIM($A158),"-",""),".",""),"/",""),2))),DATEVALUE($A158))),""))</f>
        <v/>
      </c>
    </row>
    <row r="159" customFormat="false" ht="15" hidden="false" customHeight="false" outlineLevel="0" collapsed="false">
      <c r="A159" s="47"/>
      <c r="B159" s="48"/>
      <c r="C159" s="132"/>
      <c r="D159" s="53"/>
      <c r="E159" s="48"/>
      <c r="F159" s="132"/>
      <c r="G159" s="133" t="str">
        <f aca="false">IF($A159="","",IFERROR(IF(ISNUMBER($A159),IF($A159&gt;19000000,DATE(INT($A159/10000),MOD(INT($A159/100),100),MOD($A159,100)),INT($A159)),IF(LEN(SUBSTITUTE(SUBSTITUTE(SUBSTITUTE(TRIM($A159),"-",""),".",""),"/",""))=8,DATE(VALUE(LEFT(SUBSTITUTE(SUBSTITUTE(SUBSTITUTE(TRIM($A159),"-",""),".",""),"/",""),4)),VALUE(MID(SUBSTITUTE(SUBSTITUTE(SUBSTITUTE(TRIM($A159),"-",""),".",""),"/",""),5,2)),VALUE(RIGHT(SUBSTITUTE(SUBSTITUTE(SUBSTITUTE(TRIM($A159),"-",""),".",""),"/",""),2))),DATEVALUE($A159))),""))</f>
        <v/>
      </c>
    </row>
    <row r="160" customFormat="false" ht="15" hidden="false" customHeight="false" outlineLevel="0" collapsed="false">
      <c r="A160" s="47"/>
      <c r="B160" s="48"/>
      <c r="C160" s="132"/>
      <c r="D160" s="53"/>
      <c r="E160" s="48"/>
      <c r="F160" s="132"/>
      <c r="G160" s="133" t="str">
        <f aca="false">IF($A160="","",IFERROR(IF(ISNUMBER($A160),IF($A160&gt;19000000,DATE(INT($A160/10000),MOD(INT($A160/100),100),MOD($A160,100)),INT($A160)),IF(LEN(SUBSTITUTE(SUBSTITUTE(SUBSTITUTE(TRIM($A160),"-",""),".",""),"/",""))=8,DATE(VALUE(LEFT(SUBSTITUTE(SUBSTITUTE(SUBSTITUTE(TRIM($A160),"-",""),".",""),"/",""),4)),VALUE(MID(SUBSTITUTE(SUBSTITUTE(SUBSTITUTE(TRIM($A160),"-",""),".",""),"/",""),5,2)),VALUE(RIGHT(SUBSTITUTE(SUBSTITUTE(SUBSTITUTE(TRIM($A160),"-",""),".",""),"/",""),2))),DATEVALUE($A160))),""))</f>
        <v/>
      </c>
    </row>
    <row r="161" customFormat="false" ht="15" hidden="false" customHeight="false" outlineLevel="0" collapsed="false">
      <c r="A161" s="47"/>
      <c r="B161" s="48"/>
      <c r="C161" s="132"/>
      <c r="D161" s="53"/>
      <c r="E161" s="48"/>
      <c r="F161" s="132"/>
      <c r="G161" s="133" t="str">
        <f aca="false">IF($A161="","",IFERROR(IF(ISNUMBER($A161),IF($A161&gt;19000000,DATE(INT($A161/10000),MOD(INT($A161/100),100),MOD($A161,100)),INT($A161)),IF(LEN(SUBSTITUTE(SUBSTITUTE(SUBSTITUTE(TRIM($A161),"-",""),".",""),"/",""))=8,DATE(VALUE(LEFT(SUBSTITUTE(SUBSTITUTE(SUBSTITUTE(TRIM($A161),"-",""),".",""),"/",""),4)),VALUE(MID(SUBSTITUTE(SUBSTITUTE(SUBSTITUTE(TRIM($A161),"-",""),".",""),"/",""),5,2)),VALUE(RIGHT(SUBSTITUTE(SUBSTITUTE(SUBSTITUTE(TRIM($A161),"-",""),".",""),"/",""),2))),DATEVALUE($A161))),""))</f>
        <v/>
      </c>
    </row>
    <row r="162" customFormat="false" ht="15" hidden="false" customHeight="false" outlineLevel="0" collapsed="false">
      <c r="A162" s="47"/>
      <c r="B162" s="48"/>
      <c r="C162" s="132"/>
      <c r="D162" s="53"/>
      <c r="E162" s="48"/>
      <c r="F162" s="132"/>
      <c r="G162" s="133" t="str">
        <f aca="false">IF($A162="","",IFERROR(IF(ISNUMBER($A162),IF($A162&gt;19000000,DATE(INT($A162/10000),MOD(INT($A162/100),100),MOD($A162,100)),INT($A162)),IF(LEN(SUBSTITUTE(SUBSTITUTE(SUBSTITUTE(TRIM($A162),"-",""),".",""),"/",""))=8,DATE(VALUE(LEFT(SUBSTITUTE(SUBSTITUTE(SUBSTITUTE(TRIM($A162),"-",""),".",""),"/",""),4)),VALUE(MID(SUBSTITUTE(SUBSTITUTE(SUBSTITUTE(TRIM($A162),"-",""),".",""),"/",""),5,2)),VALUE(RIGHT(SUBSTITUTE(SUBSTITUTE(SUBSTITUTE(TRIM($A162),"-",""),".",""),"/",""),2))),DATEVALUE($A162))),""))</f>
        <v/>
      </c>
    </row>
    <row r="163" customFormat="false" ht="15" hidden="false" customHeight="false" outlineLevel="0" collapsed="false">
      <c r="A163" s="47"/>
      <c r="B163" s="48"/>
      <c r="C163" s="132"/>
      <c r="D163" s="53"/>
      <c r="E163" s="48"/>
      <c r="F163" s="132"/>
      <c r="G163" s="133" t="str">
        <f aca="false">IF($A163="","",IFERROR(IF(ISNUMBER($A163),IF($A163&gt;19000000,DATE(INT($A163/10000),MOD(INT($A163/100),100),MOD($A163,100)),INT($A163)),IF(LEN(SUBSTITUTE(SUBSTITUTE(SUBSTITUTE(TRIM($A163),"-",""),".",""),"/",""))=8,DATE(VALUE(LEFT(SUBSTITUTE(SUBSTITUTE(SUBSTITUTE(TRIM($A163),"-",""),".",""),"/",""),4)),VALUE(MID(SUBSTITUTE(SUBSTITUTE(SUBSTITUTE(TRIM($A163),"-",""),".",""),"/",""),5,2)),VALUE(RIGHT(SUBSTITUTE(SUBSTITUTE(SUBSTITUTE(TRIM($A163),"-",""),".",""),"/",""),2))),DATEVALUE($A163))),""))</f>
        <v/>
      </c>
    </row>
    <row r="164" customFormat="false" ht="15" hidden="false" customHeight="false" outlineLevel="0" collapsed="false">
      <c r="A164" s="47"/>
      <c r="B164" s="48"/>
      <c r="C164" s="132"/>
      <c r="D164" s="53"/>
      <c r="E164" s="48"/>
      <c r="F164" s="132"/>
      <c r="G164" s="133" t="str">
        <f aca="false">IF($A164="","",IFERROR(IF(ISNUMBER($A164),IF($A164&gt;19000000,DATE(INT($A164/10000),MOD(INT($A164/100),100),MOD($A164,100)),INT($A164)),IF(LEN(SUBSTITUTE(SUBSTITUTE(SUBSTITUTE(TRIM($A164),"-",""),".",""),"/",""))=8,DATE(VALUE(LEFT(SUBSTITUTE(SUBSTITUTE(SUBSTITUTE(TRIM($A164),"-",""),".",""),"/",""),4)),VALUE(MID(SUBSTITUTE(SUBSTITUTE(SUBSTITUTE(TRIM($A164),"-",""),".",""),"/",""),5,2)),VALUE(RIGHT(SUBSTITUTE(SUBSTITUTE(SUBSTITUTE(TRIM($A164),"-",""),".",""),"/",""),2))),DATEVALUE($A164))),""))</f>
        <v/>
      </c>
    </row>
    <row r="165" customFormat="false" ht="15" hidden="false" customHeight="false" outlineLevel="0" collapsed="false">
      <c r="A165" s="47"/>
      <c r="B165" s="48"/>
      <c r="C165" s="132"/>
      <c r="D165" s="53"/>
      <c r="E165" s="48"/>
      <c r="F165" s="132"/>
      <c r="G165" s="133" t="str">
        <f aca="false">IF($A165="","",IFERROR(IF(ISNUMBER($A165),IF($A165&gt;19000000,DATE(INT($A165/10000),MOD(INT($A165/100),100),MOD($A165,100)),INT($A165)),IF(LEN(SUBSTITUTE(SUBSTITUTE(SUBSTITUTE(TRIM($A165),"-",""),".",""),"/",""))=8,DATE(VALUE(LEFT(SUBSTITUTE(SUBSTITUTE(SUBSTITUTE(TRIM($A165),"-",""),".",""),"/",""),4)),VALUE(MID(SUBSTITUTE(SUBSTITUTE(SUBSTITUTE(TRIM($A165),"-",""),".",""),"/",""),5,2)),VALUE(RIGHT(SUBSTITUTE(SUBSTITUTE(SUBSTITUTE(TRIM($A165),"-",""),".",""),"/",""),2))),DATEVALUE($A165))),""))</f>
        <v/>
      </c>
    </row>
    <row r="166" customFormat="false" ht="15" hidden="false" customHeight="false" outlineLevel="0" collapsed="false">
      <c r="A166" s="47"/>
      <c r="B166" s="48"/>
      <c r="C166" s="132"/>
      <c r="D166" s="53"/>
      <c r="E166" s="48"/>
      <c r="F166" s="132"/>
      <c r="G166" s="133" t="str">
        <f aca="false">IF($A166="","",IFERROR(IF(ISNUMBER($A166),IF($A166&gt;19000000,DATE(INT($A166/10000),MOD(INT($A166/100),100),MOD($A166,100)),INT($A166)),IF(LEN(SUBSTITUTE(SUBSTITUTE(SUBSTITUTE(TRIM($A166),"-",""),".",""),"/",""))=8,DATE(VALUE(LEFT(SUBSTITUTE(SUBSTITUTE(SUBSTITUTE(TRIM($A166),"-",""),".",""),"/",""),4)),VALUE(MID(SUBSTITUTE(SUBSTITUTE(SUBSTITUTE(TRIM($A166),"-",""),".",""),"/",""),5,2)),VALUE(RIGHT(SUBSTITUTE(SUBSTITUTE(SUBSTITUTE(TRIM($A166),"-",""),".",""),"/",""),2))),DATEVALUE($A166))),""))</f>
        <v/>
      </c>
    </row>
    <row r="167" customFormat="false" ht="15" hidden="false" customHeight="false" outlineLevel="0" collapsed="false">
      <c r="A167" s="47"/>
      <c r="B167" s="48"/>
      <c r="C167" s="132"/>
      <c r="D167" s="53"/>
      <c r="E167" s="48"/>
      <c r="F167" s="132"/>
      <c r="G167" s="133" t="str">
        <f aca="false">IF($A167="","",IFERROR(IF(ISNUMBER($A167),IF($A167&gt;19000000,DATE(INT($A167/10000),MOD(INT($A167/100),100),MOD($A167,100)),INT($A167)),IF(LEN(SUBSTITUTE(SUBSTITUTE(SUBSTITUTE(TRIM($A167),"-",""),".",""),"/",""))=8,DATE(VALUE(LEFT(SUBSTITUTE(SUBSTITUTE(SUBSTITUTE(TRIM($A167),"-",""),".",""),"/",""),4)),VALUE(MID(SUBSTITUTE(SUBSTITUTE(SUBSTITUTE(TRIM($A167),"-",""),".",""),"/",""),5,2)),VALUE(RIGHT(SUBSTITUTE(SUBSTITUTE(SUBSTITUTE(TRIM($A167),"-",""),".",""),"/",""),2))),DATEVALUE($A167))),""))</f>
        <v/>
      </c>
    </row>
    <row r="168" customFormat="false" ht="15" hidden="false" customHeight="false" outlineLevel="0" collapsed="false">
      <c r="A168" s="47"/>
      <c r="B168" s="48"/>
      <c r="C168" s="132"/>
      <c r="D168" s="53"/>
      <c r="E168" s="48"/>
      <c r="F168" s="132"/>
      <c r="G168" s="133" t="str">
        <f aca="false">IF($A168="","",IFERROR(IF(ISNUMBER($A168),IF($A168&gt;19000000,DATE(INT($A168/10000),MOD(INT($A168/100),100),MOD($A168,100)),INT($A168)),IF(LEN(SUBSTITUTE(SUBSTITUTE(SUBSTITUTE(TRIM($A168),"-",""),".",""),"/",""))=8,DATE(VALUE(LEFT(SUBSTITUTE(SUBSTITUTE(SUBSTITUTE(TRIM($A168),"-",""),".",""),"/",""),4)),VALUE(MID(SUBSTITUTE(SUBSTITUTE(SUBSTITUTE(TRIM($A168),"-",""),".",""),"/",""),5,2)),VALUE(RIGHT(SUBSTITUTE(SUBSTITUTE(SUBSTITUTE(TRIM($A168),"-",""),".",""),"/",""),2))),DATEVALUE($A168))),""))</f>
        <v/>
      </c>
    </row>
    <row r="169" customFormat="false" ht="15" hidden="false" customHeight="false" outlineLevel="0" collapsed="false">
      <c r="A169" s="47"/>
      <c r="B169" s="48"/>
      <c r="C169" s="132"/>
      <c r="D169" s="53"/>
      <c r="E169" s="48"/>
      <c r="F169" s="132"/>
      <c r="G169" s="133" t="str">
        <f aca="false">IF($A169="","",IFERROR(IF(ISNUMBER($A169),IF($A169&gt;19000000,DATE(INT($A169/10000),MOD(INT($A169/100),100),MOD($A169,100)),INT($A169)),IF(LEN(SUBSTITUTE(SUBSTITUTE(SUBSTITUTE(TRIM($A169),"-",""),".",""),"/",""))=8,DATE(VALUE(LEFT(SUBSTITUTE(SUBSTITUTE(SUBSTITUTE(TRIM($A169),"-",""),".",""),"/",""),4)),VALUE(MID(SUBSTITUTE(SUBSTITUTE(SUBSTITUTE(TRIM($A169),"-",""),".",""),"/",""),5,2)),VALUE(RIGHT(SUBSTITUTE(SUBSTITUTE(SUBSTITUTE(TRIM($A169),"-",""),".",""),"/",""),2))),DATEVALUE($A169))),""))</f>
        <v/>
      </c>
    </row>
    <row r="170" customFormat="false" ht="15" hidden="false" customHeight="false" outlineLevel="0" collapsed="false">
      <c r="A170" s="47"/>
      <c r="B170" s="48"/>
      <c r="C170" s="132"/>
      <c r="D170" s="53"/>
      <c r="E170" s="48"/>
      <c r="F170" s="132"/>
      <c r="G170" s="133" t="str">
        <f aca="false">IF($A170="","",IFERROR(IF(ISNUMBER($A170),IF($A170&gt;19000000,DATE(INT($A170/10000),MOD(INT($A170/100),100),MOD($A170,100)),INT($A170)),IF(LEN(SUBSTITUTE(SUBSTITUTE(SUBSTITUTE(TRIM($A170),"-",""),".",""),"/",""))=8,DATE(VALUE(LEFT(SUBSTITUTE(SUBSTITUTE(SUBSTITUTE(TRIM($A170),"-",""),".",""),"/",""),4)),VALUE(MID(SUBSTITUTE(SUBSTITUTE(SUBSTITUTE(TRIM($A170),"-",""),".",""),"/",""),5,2)),VALUE(RIGHT(SUBSTITUTE(SUBSTITUTE(SUBSTITUTE(TRIM($A170),"-",""),".",""),"/",""),2))),DATEVALUE($A170))),""))</f>
        <v/>
      </c>
    </row>
    <row r="171" customFormat="false" ht="15" hidden="false" customHeight="false" outlineLevel="0" collapsed="false">
      <c r="A171" s="47"/>
      <c r="B171" s="48"/>
      <c r="C171" s="132"/>
      <c r="D171" s="53"/>
      <c r="E171" s="48"/>
      <c r="F171" s="132"/>
      <c r="G171" s="133" t="str">
        <f aca="false">IF($A171="","",IFERROR(IF(ISNUMBER($A171),IF($A171&gt;19000000,DATE(INT($A171/10000),MOD(INT($A171/100),100),MOD($A171,100)),INT($A171)),IF(LEN(SUBSTITUTE(SUBSTITUTE(SUBSTITUTE(TRIM($A171),"-",""),".",""),"/",""))=8,DATE(VALUE(LEFT(SUBSTITUTE(SUBSTITUTE(SUBSTITUTE(TRIM($A171),"-",""),".",""),"/",""),4)),VALUE(MID(SUBSTITUTE(SUBSTITUTE(SUBSTITUTE(TRIM($A171),"-",""),".",""),"/",""),5,2)),VALUE(RIGHT(SUBSTITUTE(SUBSTITUTE(SUBSTITUTE(TRIM($A171),"-",""),".",""),"/",""),2))),DATEVALUE($A171))),""))</f>
        <v/>
      </c>
    </row>
    <row r="172" customFormat="false" ht="15" hidden="false" customHeight="false" outlineLevel="0" collapsed="false">
      <c r="A172" s="47"/>
      <c r="B172" s="48"/>
      <c r="C172" s="132"/>
      <c r="D172" s="53"/>
      <c r="E172" s="48"/>
      <c r="F172" s="132"/>
      <c r="G172" s="133" t="str">
        <f aca="false">IF($A172="","",IFERROR(IF(ISNUMBER($A172),IF($A172&gt;19000000,DATE(INT($A172/10000),MOD(INT($A172/100),100),MOD($A172,100)),INT($A172)),IF(LEN(SUBSTITUTE(SUBSTITUTE(SUBSTITUTE(TRIM($A172),"-",""),".",""),"/",""))=8,DATE(VALUE(LEFT(SUBSTITUTE(SUBSTITUTE(SUBSTITUTE(TRIM($A172),"-",""),".",""),"/",""),4)),VALUE(MID(SUBSTITUTE(SUBSTITUTE(SUBSTITUTE(TRIM($A172),"-",""),".",""),"/",""),5,2)),VALUE(RIGHT(SUBSTITUTE(SUBSTITUTE(SUBSTITUTE(TRIM($A172),"-",""),".",""),"/",""),2))),DATEVALUE($A172))),""))</f>
        <v/>
      </c>
    </row>
    <row r="173" customFormat="false" ht="15" hidden="false" customHeight="false" outlineLevel="0" collapsed="false">
      <c r="A173" s="47"/>
      <c r="B173" s="48"/>
      <c r="C173" s="132"/>
      <c r="D173" s="53"/>
      <c r="E173" s="48"/>
      <c r="F173" s="132"/>
      <c r="G173" s="133" t="str">
        <f aca="false">IF($A173="","",IFERROR(IF(ISNUMBER($A173),IF($A173&gt;19000000,DATE(INT($A173/10000),MOD(INT($A173/100),100),MOD($A173,100)),INT($A173)),IF(LEN(SUBSTITUTE(SUBSTITUTE(SUBSTITUTE(TRIM($A173),"-",""),".",""),"/",""))=8,DATE(VALUE(LEFT(SUBSTITUTE(SUBSTITUTE(SUBSTITUTE(TRIM($A173),"-",""),".",""),"/",""),4)),VALUE(MID(SUBSTITUTE(SUBSTITUTE(SUBSTITUTE(TRIM($A173),"-",""),".",""),"/",""),5,2)),VALUE(RIGHT(SUBSTITUTE(SUBSTITUTE(SUBSTITUTE(TRIM($A173),"-",""),".",""),"/",""),2))),DATEVALUE($A173))),""))</f>
        <v/>
      </c>
    </row>
    <row r="174" customFormat="false" ht="15" hidden="false" customHeight="false" outlineLevel="0" collapsed="false">
      <c r="A174" s="47"/>
      <c r="B174" s="48"/>
      <c r="C174" s="132"/>
      <c r="D174" s="53"/>
      <c r="E174" s="48"/>
      <c r="F174" s="132"/>
      <c r="G174" s="133" t="str">
        <f aca="false">IF($A174="","",IFERROR(IF(ISNUMBER($A174),IF($A174&gt;19000000,DATE(INT($A174/10000),MOD(INT($A174/100),100),MOD($A174,100)),INT($A174)),IF(LEN(SUBSTITUTE(SUBSTITUTE(SUBSTITUTE(TRIM($A174),"-",""),".",""),"/",""))=8,DATE(VALUE(LEFT(SUBSTITUTE(SUBSTITUTE(SUBSTITUTE(TRIM($A174),"-",""),".",""),"/",""),4)),VALUE(MID(SUBSTITUTE(SUBSTITUTE(SUBSTITUTE(TRIM($A174),"-",""),".",""),"/",""),5,2)),VALUE(RIGHT(SUBSTITUTE(SUBSTITUTE(SUBSTITUTE(TRIM($A174),"-",""),".",""),"/",""),2))),DATEVALUE($A174))),""))</f>
        <v/>
      </c>
    </row>
    <row r="175" customFormat="false" ht="15" hidden="false" customHeight="false" outlineLevel="0" collapsed="false">
      <c r="A175" s="47"/>
      <c r="B175" s="48"/>
      <c r="C175" s="132"/>
      <c r="D175" s="53"/>
      <c r="E175" s="48"/>
      <c r="F175" s="132"/>
      <c r="G175" s="133" t="str">
        <f aca="false">IF($A175="","",IFERROR(IF(ISNUMBER($A175),IF($A175&gt;19000000,DATE(INT($A175/10000),MOD(INT($A175/100),100),MOD($A175,100)),INT($A175)),IF(LEN(SUBSTITUTE(SUBSTITUTE(SUBSTITUTE(TRIM($A175),"-",""),".",""),"/",""))=8,DATE(VALUE(LEFT(SUBSTITUTE(SUBSTITUTE(SUBSTITUTE(TRIM($A175),"-",""),".",""),"/",""),4)),VALUE(MID(SUBSTITUTE(SUBSTITUTE(SUBSTITUTE(TRIM($A175),"-",""),".",""),"/",""),5,2)),VALUE(RIGHT(SUBSTITUTE(SUBSTITUTE(SUBSTITUTE(TRIM($A175),"-",""),".",""),"/",""),2))),DATEVALUE($A175))),""))</f>
        <v/>
      </c>
    </row>
    <row r="176" customFormat="false" ht="15" hidden="false" customHeight="false" outlineLevel="0" collapsed="false">
      <c r="A176" s="47"/>
      <c r="B176" s="48"/>
      <c r="C176" s="132"/>
      <c r="D176" s="53"/>
      <c r="E176" s="48"/>
      <c r="F176" s="132"/>
      <c r="G176" s="133" t="str">
        <f aca="false">IF($A176="","",IFERROR(IF(ISNUMBER($A176),IF($A176&gt;19000000,DATE(INT($A176/10000),MOD(INT($A176/100),100),MOD($A176,100)),INT($A176)),IF(LEN(SUBSTITUTE(SUBSTITUTE(SUBSTITUTE(TRIM($A176),"-",""),".",""),"/",""))=8,DATE(VALUE(LEFT(SUBSTITUTE(SUBSTITUTE(SUBSTITUTE(TRIM($A176),"-",""),".",""),"/",""),4)),VALUE(MID(SUBSTITUTE(SUBSTITUTE(SUBSTITUTE(TRIM($A176),"-",""),".",""),"/",""),5,2)),VALUE(RIGHT(SUBSTITUTE(SUBSTITUTE(SUBSTITUTE(TRIM($A176),"-",""),".",""),"/",""),2))),DATEVALUE($A176))),""))</f>
        <v/>
      </c>
    </row>
    <row r="177" customFormat="false" ht="15" hidden="false" customHeight="false" outlineLevel="0" collapsed="false">
      <c r="A177" s="47"/>
      <c r="B177" s="48"/>
      <c r="C177" s="132"/>
      <c r="D177" s="53"/>
      <c r="E177" s="48"/>
      <c r="F177" s="132"/>
      <c r="G177" s="133" t="str">
        <f aca="false">IF($A177="","",IFERROR(IF(ISNUMBER($A177),IF($A177&gt;19000000,DATE(INT($A177/10000),MOD(INT($A177/100),100),MOD($A177,100)),INT($A177)),IF(LEN(SUBSTITUTE(SUBSTITUTE(SUBSTITUTE(TRIM($A177),"-",""),".",""),"/",""))=8,DATE(VALUE(LEFT(SUBSTITUTE(SUBSTITUTE(SUBSTITUTE(TRIM($A177),"-",""),".",""),"/",""),4)),VALUE(MID(SUBSTITUTE(SUBSTITUTE(SUBSTITUTE(TRIM($A177),"-",""),".",""),"/",""),5,2)),VALUE(RIGHT(SUBSTITUTE(SUBSTITUTE(SUBSTITUTE(TRIM($A177),"-",""),".",""),"/",""),2))),DATEVALUE($A177))),""))</f>
        <v/>
      </c>
    </row>
    <row r="178" customFormat="false" ht="15" hidden="false" customHeight="false" outlineLevel="0" collapsed="false">
      <c r="A178" s="47"/>
      <c r="B178" s="48"/>
      <c r="C178" s="132"/>
      <c r="D178" s="53"/>
      <c r="E178" s="48"/>
      <c r="F178" s="132"/>
      <c r="G178" s="133" t="str">
        <f aca="false">IF($A178="","",IFERROR(IF(ISNUMBER($A178),IF($A178&gt;19000000,DATE(INT($A178/10000),MOD(INT($A178/100),100),MOD($A178,100)),INT($A178)),IF(LEN(SUBSTITUTE(SUBSTITUTE(SUBSTITUTE(TRIM($A178),"-",""),".",""),"/",""))=8,DATE(VALUE(LEFT(SUBSTITUTE(SUBSTITUTE(SUBSTITUTE(TRIM($A178),"-",""),".",""),"/",""),4)),VALUE(MID(SUBSTITUTE(SUBSTITUTE(SUBSTITUTE(TRIM($A178),"-",""),".",""),"/",""),5,2)),VALUE(RIGHT(SUBSTITUTE(SUBSTITUTE(SUBSTITUTE(TRIM($A178),"-",""),".",""),"/",""),2))),DATEVALUE($A178))),""))</f>
        <v/>
      </c>
    </row>
    <row r="179" customFormat="false" ht="15" hidden="false" customHeight="false" outlineLevel="0" collapsed="false">
      <c r="A179" s="47"/>
      <c r="B179" s="48"/>
      <c r="C179" s="132"/>
      <c r="D179" s="53"/>
      <c r="E179" s="48"/>
      <c r="F179" s="132"/>
      <c r="G179" s="133" t="str">
        <f aca="false">IF($A179="","",IFERROR(IF(ISNUMBER($A179),IF($A179&gt;19000000,DATE(INT($A179/10000),MOD(INT($A179/100),100),MOD($A179,100)),INT($A179)),IF(LEN(SUBSTITUTE(SUBSTITUTE(SUBSTITUTE(TRIM($A179),"-",""),".",""),"/",""))=8,DATE(VALUE(LEFT(SUBSTITUTE(SUBSTITUTE(SUBSTITUTE(TRIM($A179),"-",""),".",""),"/",""),4)),VALUE(MID(SUBSTITUTE(SUBSTITUTE(SUBSTITUTE(TRIM($A179),"-",""),".",""),"/",""),5,2)),VALUE(RIGHT(SUBSTITUTE(SUBSTITUTE(SUBSTITUTE(TRIM($A179),"-",""),".",""),"/",""),2))),DATEVALUE($A179))),""))</f>
        <v/>
      </c>
    </row>
    <row r="180" customFormat="false" ht="15" hidden="false" customHeight="false" outlineLevel="0" collapsed="false">
      <c r="A180" s="47"/>
      <c r="B180" s="48"/>
      <c r="C180" s="132"/>
      <c r="D180" s="53"/>
      <c r="E180" s="48"/>
      <c r="F180" s="132"/>
      <c r="G180" s="133" t="str">
        <f aca="false">IF($A180="","",IFERROR(IF(ISNUMBER($A180),IF($A180&gt;19000000,DATE(INT($A180/10000),MOD(INT($A180/100),100),MOD($A180,100)),INT($A180)),IF(LEN(SUBSTITUTE(SUBSTITUTE(SUBSTITUTE(TRIM($A180),"-",""),".",""),"/",""))=8,DATE(VALUE(LEFT(SUBSTITUTE(SUBSTITUTE(SUBSTITUTE(TRIM($A180),"-",""),".",""),"/",""),4)),VALUE(MID(SUBSTITUTE(SUBSTITUTE(SUBSTITUTE(TRIM($A180),"-",""),".",""),"/",""),5,2)),VALUE(RIGHT(SUBSTITUTE(SUBSTITUTE(SUBSTITUTE(TRIM($A180),"-",""),".",""),"/",""),2))),DATEVALUE($A180))),""))</f>
        <v/>
      </c>
    </row>
    <row r="181" customFormat="false" ht="15" hidden="false" customHeight="false" outlineLevel="0" collapsed="false">
      <c r="A181" s="47"/>
      <c r="B181" s="48"/>
      <c r="C181" s="132"/>
      <c r="D181" s="53"/>
      <c r="E181" s="48"/>
      <c r="F181" s="132"/>
      <c r="G181" s="133" t="str">
        <f aca="false">IF($A181="","",IFERROR(IF(ISNUMBER($A181),IF($A181&gt;19000000,DATE(INT($A181/10000),MOD(INT($A181/100),100),MOD($A181,100)),INT($A181)),IF(LEN(SUBSTITUTE(SUBSTITUTE(SUBSTITUTE(TRIM($A181),"-",""),".",""),"/",""))=8,DATE(VALUE(LEFT(SUBSTITUTE(SUBSTITUTE(SUBSTITUTE(TRIM($A181),"-",""),".",""),"/",""),4)),VALUE(MID(SUBSTITUTE(SUBSTITUTE(SUBSTITUTE(TRIM($A181),"-",""),".",""),"/",""),5,2)),VALUE(RIGHT(SUBSTITUTE(SUBSTITUTE(SUBSTITUTE(TRIM($A181),"-",""),".",""),"/",""),2))),DATEVALUE($A181))),""))</f>
        <v/>
      </c>
    </row>
    <row r="182" customFormat="false" ht="15" hidden="false" customHeight="false" outlineLevel="0" collapsed="false">
      <c r="A182" s="47"/>
      <c r="B182" s="48"/>
      <c r="C182" s="132"/>
      <c r="D182" s="53"/>
      <c r="E182" s="48"/>
      <c r="F182" s="132"/>
      <c r="G182" s="133" t="str">
        <f aca="false">IF($A182="","",IFERROR(IF(ISNUMBER($A182),IF($A182&gt;19000000,DATE(INT($A182/10000),MOD(INT($A182/100),100),MOD($A182,100)),INT($A182)),IF(LEN(SUBSTITUTE(SUBSTITUTE(SUBSTITUTE(TRIM($A182),"-",""),".",""),"/",""))=8,DATE(VALUE(LEFT(SUBSTITUTE(SUBSTITUTE(SUBSTITUTE(TRIM($A182),"-",""),".",""),"/",""),4)),VALUE(MID(SUBSTITUTE(SUBSTITUTE(SUBSTITUTE(TRIM($A182),"-",""),".",""),"/",""),5,2)),VALUE(RIGHT(SUBSTITUTE(SUBSTITUTE(SUBSTITUTE(TRIM($A182),"-",""),".",""),"/",""),2))),DATEVALUE($A182))),""))</f>
        <v/>
      </c>
    </row>
    <row r="183" customFormat="false" ht="15" hidden="false" customHeight="false" outlineLevel="0" collapsed="false">
      <c r="A183" s="47"/>
      <c r="B183" s="48"/>
      <c r="C183" s="132"/>
      <c r="D183" s="53"/>
      <c r="E183" s="48"/>
      <c r="F183" s="132"/>
      <c r="G183" s="133" t="str">
        <f aca="false">IF($A183="","",IFERROR(IF(ISNUMBER($A183),IF($A183&gt;19000000,DATE(INT($A183/10000),MOD(INT($A183/100),100),MOD($A183,100)),INT($A183)),IF(LEN(SUBSTITUTE(SUBSTITUTE(SUBSTITUTE(TRIM($A183),"-",""),".",""),"/",""))=8,DATE(VALUE(LEFT(SUBSTITUTE(SUBSTITUTE(SUBSTITUTE(TRIM($A183),"-",""),".",""),"/",""),4)),VALUE(MID(SUBSTITUTE(SUBSTITUTE(SUBSTITUTE(TRIM($A183),"-",""),".",""),"/",""),5,2)),VALUE(RIGHT(SUBSTITUTE(SUBSTITUTE(SUBSTITUTE(TRIM($A183),"-",""),".",""),"/",""),2))),DATEVALUE($A183))),""))</f>
        <v/>
      </c>
    </row>
    <row r="184" customFormat="false" ht="15" hidden="false" customHeight="false" outlineLevel="0" collapsed="false">
      <c r="A184" s="47"/>
      <c r="B184" s="48"/>
      <c r="C184" s="132"/>
      <c r="D184" s="53"/>
      <c r="E184" s="48"/>
      <c r="F184" s="132"/>
      <c r="G184" s="133" t="str">
        <f aca="false">IF($A184="","",IFERROR(IF(ISNUMBER($A184),IF($A184&gt;19000000,DATE(INT($A184/10000),MOD(INT($A184/100),100),MOD($A184,100)),INT($A184)),IF(LEN(SUBSTITUTE(SUBSTITUTE(SUBSTITUTE(TRIM($A184),"-",""),".",""),"/",""))=8,DATE(VALUE(LEFT(SUBSTITUTE(SUBSTITUTE(SUBSTITUTE(TRIM($A184),"-",""),".",""),"/",""),4)),VALUE(MID(SUBSTITUTE(SUBSTITUTE(SUBSTITUTE(TRIM($A184),"-",""),".",""),"/",""),5,2)),VALUE(RIGHT(SUBSTITUTE(SUBSTITUTE(SUBSTITUTE(TRIM($A184),"-",""),".",""),"/",""),2))),DATEVALUE($A184))),""))</f>
        <v/>
      </c>
    </row>
    <row r="185" customFormat="false" ht="15" hidden="false" customHeight="false" outlineLevel="0" collapsed="false">
      <c r="A185" s="47"/>
      <c r="B185" s="48"/>
      <c r="C185" s="132"/>
      <c r="D185" s="53"/>
      <c r="E185" s="48"/>
      <c r="F185" s="132"/>
      <c r="G185" s="133" t="str">
        <f aca="false">IF($A185="","",IFERROR(IF(ISNUMBER($A185),IF($A185&gt;19000000,DATE(INT($A185/10000),MOD(INT($A185/100),100),MOD($A185,100)),INT($A185)),IF(LEN(SUBSTITUTE(SUBSTITUTE(SUBSTITUTE(TRIM($A185),"-",""),".",""),"/",""))=8,DATE(VALUE(LEFT(SUBSTITUTE(SUBSTITUTE(SUBSTITUTE(TRIM($A185),"-",""),".",""),"/",""),4)),VALUE(MID(SUBSTITUTE(SUBSTITUTE(SUBSTITUTE(TRIM($A185),"-",""),".",""),"/",""),5,2)),VALUE(RIGHT(SUBSTITUTE(SUBSTITUTE(SUBSTITUTE(TRIM($A185),"-",""),".",""),"/",""),2))),DATEVALUE($A185))),""))</f>
        <v/>
      </c>
    </row>
    <row r="186" customFormat="false" ht="15" hidden="false" customHeight="false" outlineLevel="0" collapsed="false">
      <c r="A186" s="47"/>
      <c r="B186" s="48"/>
      <c r="C186" s="132"/>
      <c r="D186" s="53"/>
      <c r="E186" s="48"/>
      <c r="F186" s="132"/>
      <c r="G186" s="133" t="str">
        <f aca="false">IF($A186="","",IFERROR(IF(ISNUMBER($A186),IF($A186&gt;19000000,DATE(INT($A186/10000),MOD(INT($A186/100),100),MOD($A186,100)),INT($A186)),IF(LEN(SUBSTITUTE(SUBSTITUTE(SUBSTITUTE(TRIM($A186),"-",""),".",""),"/",""))=8,DATE(VALUE(LEFT(SUBSTITUTE(SUBSTITUTE(SUBSTITUTE(TRIM($A186),"-",""),".",""),"/",""),4)),VALUE(MID(SUBSTITUTE(SUBSTITUTE(SUBSTITUTE(TRIM($A186),"-",""),".",""),"/",""),5,2)),VALUE(RIGHT(SUBSTITUTE(SUBSTITUTE(SUBSTITUTE(TRIM($A186),"-",""),".",""),"/",""),2))),DATEVALUE($A186))),""))</f>
        <v/>
      </c>
    </row>
    <row r="187" customFormat="false" ht="15" hidden="false" customHeight="false" outlineLevel="0" collapsed="false">
      <c r="A187" s="47"/>
      <c r="B187" s="48"/>
      <c r="C187" s="132"/>
      <c r="D187" s="53"/>
      <c r="E187" s="48"/>
      <c r="F187" s="132"/>
      <c r="G187" s="133" t="str">
        <f aca="false">IF($A187="","",IFERROR(IF(ISNUMBER($A187),IF($A187&gt;19000000,DATE(INT($A187/10000),MOD(INT($A187/100),100),MOD($A187,100)),INT($A187)),IF(LEN(SUBSTITUTE(SUBSTITUTE(SUBSTITUTE(TRIM($A187),"-",""),".",""),"/",""))=8,DATE(VALUE(LEFT(SUBSTITUTE(SUBSTITUTE(SUBSTITUTE(TRIM($A187),"-",""),".",""),"/",""),4)),VALUE(MID(SUBSTITUTE(SUBSTITUTE(SUBSTITUTE(TRIM($A187),"-",""),".",""),"/",""),5,2)),VALUE(RIGHT(SUBSTITUTE(SUBSTITUTE(SUBSTITUTE(TRIM($A187),"-",""),".",""),"/",""),2))),DATEVALUE($A187))),""))</f>
        <v/>
      </c>
    </row>
    <row r="188" customFormat="false" ht="15" hidden="false" customHeight="false" outlineLevel="0" collapsed="false">
      <c r="A188" s="47"/>
      <c r="B188" s="48"/>
      <c r="C188" s="132"/>
      <c r="D188" s="53"/>
      <c r="E188" s="48"/>
      <c r="F188" s="132"/>
      <c r="G188" s="133" t="str">
        <f aca="false">IF($A188="","",IFERROR(IF(ISNUMBER($A188),IF($A188&gt;19000000,DATE(INT($A188/10000),MOD(INT($A188/100),100),MOD($A188,100)),INT($A188)),IF(LEN(SUBSTITUTE(SUBSTITUTE(SUBSTITUTE(TRIM($A188),"-",""),".",""),"/",""))=8,DATE(VALUE(LEFT(SUBSTITUTE(SUBSTITUTE(SUBSTITUTE(TRIM($A188),"-",""),".",""),"/",""),4)),VALUE(MID(SUBSTITUTE(SUBSTITUTE(SUBSTITUTE(TRIM($A188),"-",""),".",""),"/",""),5,2)),VALUE(RIGHT(SUBSTITUTE(SUBSTITUTE(SUBSTITUTE(TRIM($A188),"-",""),".",""),"/",""),2))),DATEVALUE($A188))),""))</f>
        <v/>
      </c>
    </row>
    <row r="189" customFormat="false" ht="15" hidden="false" customHeight="false" outlineLevel="0" collapsed="false">
      <c r="A189" s="47"/>
      <c r="B189" s="48"/>
      <c r="C189" s="132"/>
      <c r="D189" s="53"/>
      <c r="E189" s="48"/>
      <c r="F189" s="132"/>
      <c r="G189" s="133" t="str">
        <f aca="false">IF($A189="","",IFERROR(IF(ISNUMBER($A189),IF($A189&gt;19000000,DATE(INT($A189/10000),MOD(INT($A189/100),100),MOD($A189,100)),INT($A189)),IF(LEN(SUBSTITUTE(SUBSTITUTE(SUBSTITUTE(TRIM($A189),"-",""),".",""),"/",""))=8,DATE(VALUE(LEFT(SUBSTITUTE(SUBSTITUTE(SUBSTITUTE(TRIM($A189),"-",""),".",""),"/",""),4)),VALUE(MID(SUBSTITUTE(SUBSTITUTE(SUBSTITUTE(TRIM($A189),"-",""),".",""),"/",""),5,2)),VALUE(RIGHT(SUBSTITUTE(SUBSTITUTE(SUBSTITUTE(TRIM($A189),"-",""),".",""),"/",""),2))),DATEVALUE($A189))),""))</f>
        <v/>
      </c>
    </row>
    <row r="190" customFormat="false" ht="15" hidden="false" customHeight="false" outlineLevel="0" collapsed="false">
      <c r="A190" s="47"/>
      <c r="B190" s="48"/>
      <c r="C190" s="132"/>
      <c r="D190" s="53"/>
      <c r="E190" s="48"/>
      <c r="F190" s="132"/>
      <c r="G190" s="133" t="str">
        <f aca="false">IF($A190="","",IFERROR(IF(ISNUMBER($A190),IF($A190&gt;19000000,DATE(INT($A190/10000),MOD(INT($A190/100),100),MOD($A190,100)),INT($A190)),IF(LEN(SUBSTITUTE(SUBSTITUTE(SUBSTITUTE(TRIM($A190),"-",""),".",""),"/",""))=8,DATE(VALUE(LEFT(SUBSTITUTE(SUBSTITUTE(SUBSTITUTE(TRIM($A190),"-",""),".",""),"/",""),4)),VALUE(MID(SUBSTITUTE(SUBSTITUTE(SUBSTITUTE(TRIM($A190),"-",""),".",""),"/",""),5,2)),VALUE(RIGHT(SUBSTITUTE(SUBSTITUTE(SUBSTITUTE(TRIM($A190),"-",""),".",""),"/",""),2))),DATEVALUE($A190))),""))</f>
        <v/>
      </c>
    </row>
    <row r="191" customFormat="false" ht="15" hidden="false" customHeight="false" outlineLevel="0" collapsed="false">
      <c r="A191" s="47"/>
      <c r="B191" s="48"/>
      <c r="C191" s="132"/>
      <c r="D191" s="53"/>
      <c r="E191" s="48"/>
      <c r="F191" s="132"/>
      <c r="G191" s="133" t="str">
        <f aca="false">IF($A191="","",IFERROR(IF(ISNUMBER($A191),IF($A191&gt;19000000,DATE(INT($A191/10000),MOD(INT($A191/100),100),MOD($A191,100)),INT($A191)),IF(LEN(SUBSTITUTE(SUBSTITUTE(SUBSTITUTE(TRIM($A191),"-",""),".",""),"/",""))=8,DATE(VALUE(LEFT(SUBSTITUTE(SUBSTITUTE(SUBSTITUTE(TRIM($A191),"-",""),".",""),"/",""),4)),VALUE(MID(SUBSTITUTE(SUBSTITUTE(SUBSTITUTE(TRIM($A191),"-",""),".",""),"/",""),5,2)),VALUE(RIGHT(SUBSTITUTE(SUBSTITUTE(SUBSTITUTE(TRIM($A191),"-",""),".",""),"/",""),2))),DATEVALUE($A191))),""))</f>
        <v/>
      </c>
    </row>
    <row r="192" customFormat="false" ht="15" hidden="false" customHeight="false" outlineLevel="0" collapsed="false">
      <c r="A192" s="47"/>
      <c r="B192" s="48"/>
      <c r="C192" s="132"/>
      <c r="D192" s="53"/>
      <c r="E192" s="48"/>
      <c r="F192" s="132"/>
      <c r="G192" s="133" t="str">
        <f aca="false">IF($A192="","",IFERROR(IF(ISNUMBER($A192),IF($A192&gt;19000000,DATE(INT($A192/10000),MOD(INT($A192/100),100),MOD($A192,100)),INT($A192)),IF(LEN(SUBSTITUTE(SUBSTITUTE(SUBSTITUTE(TRIM($A192),"-",""),".",""),"/",""))=8,DATE(VALUE(LEFT(SUBSTITUTE(SUBSTITUTE(SUBSTITUTE(TRIM($A192),"-",""),".",""),"/",""),4)),VALUE(MID(SUBSTITUTE(SUBSTITUTE(SUBSTITUTE(TRIM($A192),"-",""),".",""),"/",""),5,2)),VALUE(RIGHT(SUBSTITUTE(SUBSTITUTE(SUBSTITUTE(TRIM($A192),"-",""),".",""),"/",""),2))),DATEVALUE($A192))),""))</f>
        <v/>
      </c>
    </row>
    <row r="193" customFormat="false" ht="15" hidden="false" customHeight="false" outlineLevel="0" collapsed="false">
      <c r="A193" s="47"/>
      <c r="B193" s="48"/>
      <c r="C193" s="132"/>
      <c r="D193" s="53"/>
      <c r="E193" s="48"/>
      <c r="F193" s="132"/>
      <c r="G193" s="133" t="str">
        <f aca="false">IF($A193="","",IFERROR(IF(ISNUMBER($A193),IF($A193&gt;19000000,DATE(INT($A193/10000),MOD(INT($A193/100),100),MOD($A193,100)),INT($A193)),IF(LEN(SUBSTITUTE(SUBSTITUTE(SUBSTITUTE(TRIM($A193),"-",""),".",""),"/",""))=8,DATE(VALUE(LEFT(SUBSTITUTE(SUBSTITUTE(SUBSTITUTE(TRIM($A193),"-",""),".",""),"/",""),4)),VALUE(MID(SUBSTITUTE(SUBSTITUTE(SUBSTITUTE(TRIM($A193),"-",""),".",""),"/",""),5,2)),VALUE(RIGHT(SUBSTITUTE(SUBSTITUTE(SUBSTITUTE(TRIM($A193),"-",""),".",""),"/",""),2))),DATEVALUE($A193))),""))</f>
        <v/>
      </c>
    </row>
    <row r="194" customFormat="false" ht="15" hidden="false" customHeight="false" outlineLevel="0" collapsed="false">
      <c r="A194" s="47"/>
      <c r="B194" s="48"/>
      <c r="C194" s="132"/>
      <c r="D194" s="53"/>
      <c r="E194" s="48"/>
      <c r="F194" s="132"/>
      <c r="G194" s="133" t="str">
        <f aca="false">IF($A194="","",IFERROR(IF(ISNUMBER($A194),IF($A194&gt;19000000,DATE(INT($A194/10000),MOD(INT($A194/100),100),MOD($A194,100)),INT($A194)),IF(LEN(SUBSTITUTE(SUBSTITUTE(SUBSTITUTE(TRIM($A194),"-",""),".",""),"/",""))=8,DATE(VALUE(LEFT(SUBSTITUTE(SUBSTITUTE(SUBSTITUTE(TRIM($A194),"-",""),".",""),"/",""),4)),VALUE(MID(SUBSTITUTE(SUBSTITUTE(SUBSTITUTE(TRIM($A194),"-",""),".",""),"/",""),5,2)),VALUE(RIGHT(SUBSTITUTE(SUBSTITUTE(SUBSTITUTE(TRIM($A194),"-",""),".",""),"/",""),2))),DATEVALUE($A194))),""))</f>
        <v/>
      </c>
    </row>
    <row r="195" customFormat="false" ht="15" hidden="false" customHeight="false" outlineLevel="0" collapsed="false">
      <c r="A195" s="47"/>
      <c r="B195" s="48"/>
      <c r="C195" s="132"/>
      <c r="D195" s="53"/>
      <c r="E195" s="48"/>
      <c r="F195" s="132"/>
      <c r="G195" s="133" t="str">
        <f aca="false">IF($A195="","",IFERROR(IF(ISNUMBER($A195),IF($A195&gt;19000000,DATE(INT($A195/10000),MOD(INT($A195/100),100),MOD($A195,100)),INT($A195)),IF(LEN(SUBSTITUTE(SUBSTITUTE(SUBSTITUTE(TRIM($A195),"-",""),".",""),"/",""))=8,DATE(VALUE(LEFT(SUBSTITUTE(SUBSTITUTE(SUBSTITUTE(TRIM($A195),"-",""),".",""),"/",""),4)),VALUE(MID(SUBSTITUTE(SUBSTITUTE(SUBSTITUTE(TRIM($A195),"-",""),".",""),"/",""),5,2)),VALUE(RIGHT(SUBSTITUTE(SUBSTITUTE(SUBSTITUTE(TRIM($A195),"-",""),".",""),"/",""),2))),DATEVALUE($A195))),""))</f>
        <v/>
      </c>
    </row>
    <row r="196" customFormat="false" ht="15" hidden="false" customHeight="false" outlineLevel="0" collapsed="false">
      <c r="A196" s="47"/>
      <c r="B196" s="48"/>
      <c r="C196" s="132"/>
      <c r="D196" s="53"/>
      <c r="E196" s="48"/>
      <c r="F196" s="132"/>
      <c r="G196" s="133" t="str">
        <f aca="false">IF($A196="","",IFERROR(IF(ISNUMBER($A196),IF($A196&gt;19000000,DATE(INT($A196/10000),MOD(INT($A196/100),100),MOD($A196,100)),INT($A196)),IF(LEN(SUBSTITUTE(SUBSTITUTE(SUBSTITUTE(TRIM($A196),"-",""),".",""),"/",""))=8,DATE(VALUE(LEFT(SUBSTITUTE(SUBSTITUTE(SUBSTITUTE(TRIM($A196),"-",""),".",""),"/",""),4)),VALUE(MID(SUBSTITUTE(SUBSTITUTE(SUBSTITUTE(TRIM($A196),"-",""),".",""),"/",""),5,2)),VALUE(RIGHT(SUBSTITUTE(SUBSTITUTE(SUBSTITUTE(TRIM($A196),"-",""),".",""),"/",""),2))),DATEVALUE($A196))),""))</f>
        <v/>
      </c>
    </row>
    <row r="197" customFormat="false" ht="15" hidden="false" customHeight="false" outlineLevel="0" collapsed="false">
      <c r="A197" s="47"/>
      <c r="B197" s="48"/>
      <c r="C197" s="132"/>
      <c r="D197" s="53"/>
      <c r="E197" s="48"/>
      <c r="F197" s="132"/>
      <c r="G197" s="133" t="str">
        <f aca="false">IF($A197="","",IFERROR(IF(ISNUMBER($A197),IF($A197&gt;19000000,DATE(INT($A197/10000),MOD(INT($A197/100),100),MOD($A197,100)),INT($A197)),IF(LEN(SUBSTITUTE(SUBSTITUTE(SUBSTITUTE(TRIM($A197),"-",""),".",""),"/",""))=8,DATE(VALUE(LEFT(SUBSTITUTE(SUBSTITUTE(SUBSTITUTE(TRIM($A197),"-",""),".",""),"/",""),4)),VALUE(MID(SUBSTITUTE(SUBSTITUTE(SUBSTITUTE(TRIM($A197),"-",""),".",""),"/",""),5,2)),VALUE(RIGHT(SUBSTITUTE(SUBSTITUTE(SUBSTITUTE(TRIM($A197),"-",""),".",""),"/",""),2))),DATEVALUE($A197))),""))</f>
        <v/>
      </c>
    </row>
    <row r="198" customFormat="false" ht="15" hidden="false" customHeight="false" outlineLevel="0" collapsed="false">
      <c r="A198" s="47"/>
      <c r="B198" s="48"/>
      <c r="C198" s="132"/>
      <c r="D198" s="53"/>
      <c r="E198" s="48"/>
      <c r="F198" s="132"/>
      <c r="G198" s="133" t="str">
        <f aca="false">IF($A198="","",IFERROR(IF(ISNUMBER($A198),IF($A198&gt;19000000,DATE(INT($A198/10000),MOD(INT($A198/100),100),MOD($A198,100)),INT($A198)),IF(LEN(SUBSTITUTE(SUBSTITUTE(SUBSTITUTE(TRIM($A198),"-",""),".",""),"/",""))=8,DATE(VALUE(LEFT(SUBSTITUTE(SUBSTITUTE(SUBSTITUTE(TRIM($A198),"-",""),".",""),"/",""),4)),VALUE(MID(SUBSTITUTE(SUBSTITUTE(SUBSTITUTE(TRIM($A198),"-",""),".",""),"/",""),5,2)),VALUE(RIGHT(SUBSTITUTE(SUBSTITUTE(SUBSTITUTE(TRIM($A198),"-",""),".",""),"/",""),2))),DATEVALUE($A198))),""))</f>
        <v/>
      </c>
    </row>
    <row r="199" customFormat="false" ht="15" hidden="false" customHeight="false" outlineLevel="0" collapsed="false">
      <c r="A199" s="47"/>
      <c r="B199" s="48"/>
      <c r="C199" s="132"/>
      <c r="D199" s="53"/>
      <c r="E199" s="48"/>
      <c r="F199" s="132"/>
      <c r="G199" s="133" t="str">
        <f aca="false">IF($A199="","",IFERROR(IF(ISNUMBER($A199),IF($A199&gt;19000000,DATE(INT($A199/10000),MOD(INT($A199/100),100),MOD($A199,100)),INT($A199)),IF(LEN(SUBSTITUTE(SUBSTITUTE(SUBSTITUTE(TRIM($A199),"-",""),".",""),"/",""))=8,DATE(VALUE(LEFT(SUBSTITUTE(SUBSTITUTE(SUBSTITUTE(TRIM($A199),"-",""),".",""),"/",""),4)),VALUE(MID(SUBSTITUTE(SUBSTITUTE(SUBSTITUTE(TRIM($A199),"-",""),".",""),"/",""),5,2)),VALUE(RIGHT(SUBSTITUTE(SUBSTITUTE(SUBSTITUTE(TRIM($A199),"-",""),".",""),"/",""),2))),DATEVALUE($A199))),""))</f>
        <v/>
      </c>
    </row>
    <row r="200" customFormat="false" ht="15" hidden="false" customHeight="false" outlineLevel="0" collapsed="false">
      <c r="A200" s="47"/>
      <c r="B200" s="48"/>
      <c r="C200" s="132"/>
      <c r="D200" s="53"/>
      <c r="E200" s="48"/>
      <c r="F200" s="132"/>
      <c r="G200" s="133" t="str">
        <f aca="false">IF($A200="","",IFERROR(IF(ISNUMBER($A200),IF($A200&gt;19000000,DATE(INT($A200/10000),MOD(INT($A200/100),100),MOD($A200,100)),INT($A200)),IF(LEN(SUBSTITUTE(SUBSTITUTE(SUBSTITUTE(TRIM($A200),"-",""),".",""),"/",""))=8,DATE(VALUE(LEFT(SUBSTITUTE(SUBSTITUTE(SUBSTITUTE(TRIM($A200),"-",""),".",""),"/",""),4)),VALUE(MID(SUBSTITUTE(SUBSTITUTE(SUBSTITUTE(TRIM($A200),"-",""),".",""),"/",""),5,2)),VALUE(RIGHT(SUBSTITUTE(SUBSTITUTE(SUBSTITUTE(TRIM($A200),"-",""),".",""),"/",""),2))),DATEVALUE($A200))),""))</f>
        <v/>
      </c>
    </row>
    <row r="201" customFormat="false" ht="15" hidden="false" customHeight="false" outlineLevel="0" collapsed="false">
      <c r="A201" s="47"/>
      <c r="B201" s="48"/>
      <c r="C201" s="132"/>
      <c r="D201" s="53"/>
      <c r="E201" s="48"/>
      <c r="F201" s="132"/>
      <c r="G201" s="133" t="str">
        <f aca="false">IF($A201="","",IFERROR(IF(ISNUMBER($A201),IF($A201&gt;19000000,DATE(INT($A201/10000),MOD(INT($A201/100),100),MOD($A201,100)),INT($A201)),IF(LEN(SUBSTITUTE(SUBSTITUTE(SUBSTITUTE(TRIM($A201),"-",""),".",""),"/",""))=8,DATE(VALUE(LEFT(SUBSTITUTE(SUBSTITUTE(SUBSTITUTE(TRIM($A201),"-",""),".",""),"/",""),4)),VALUE(MID(SUBSTITUTE(SUBSTITUTE(SUBSTITUTE(TRIM($A201),"-",""),".",""),"/",""),5,2)),VALUE(RIGHT(SUBSTITUTE(SUBSTITUTE(SUBSTITUTE(TRIM($A201),"-",""),".",""),"/",""),2))),DATEVALUE($A201))),""))</f>
        <v/>
      </c>
    </row>
    <row r="202" customFormat="false" ht="15" hidden="false" customHeight="false" outlineLevel="0" collapsed="false">
      <c r="A202" s="47"/>
      <c r="B202" s="48"/>
      <c r="C202" s="132"/>
      <c r="D202" s="53"/>
      <c r="E202" s="48"/>
      <c r="F202" s="132"/>
      <c r="G202" s="133" t="str">
        <f aca="false">IF($A202="","",IFERROR(IF(ISNUMBER($A202),IF($A202&gt;19000000,DATE(INT($A202/10000),MOD(INT($A202/100),100),MOD($A202,100)),INT($A202)),IF(LEN(SUBSTITUTE(SUBSTITUTE(SUBSTITUTE(TRIM($A202),"-",""),".",""),"/",""))=8,DATE(VALUE(LEFT(SUBSTITUTE(SUBSTITUTE(SUBSTITUTE(TRIM($A202),"-",""),".",""),"/",""),4)),VALUE(MID(SUBSTITUTE(SUBSTITUTE(SUBSTITUTE(TRIM($A202),"-",""),".",""),"/",""),5,2)),VALUE(RIGHT(SUBSTITUTE(SUBSTITUTE(SUBSTITUTE(TRIM($A202),"-",""),".",""),"/",""),2))),DATEVALUE($A202))),""))</f>
        <v/>
      </c>
    </row>
    <row r="203" customFormat="false" ht="15" hidden="false" customHeight="false" outlineLevel="0" collapsed="false">
      <c r="A203" s="47"/>
      <c r="B203" s="48"/>
      <c r="C203" s="132"/>
      <c r="D203" s="53"/>
      <c r="E203" s="48"/>
      <c r="F203" s="132"/>
      <c r="G203" s="133" t="str">
        <f aca="false">IF($A203="","",IFERROR(IF(ISNUMBER($A203),IF($A203&gt;19000000,DATE(INT($A203/10000),MOD(INT($A203/100),100),MOD($A203,100)),INT($A203)),IF(LEN(SUBSTITUTE(SUBSTITUTE(SUBSTITUTE(TRIM($A203),"-",""),".",""),"/",""))=8,DATE(VALUE(LEFT(SUBSTITUTE(SUBSTITUTE(SUBSTITUTE(TRIM($A203),"-",""),".",""),"/",""),4)),VALUE(MID(SUBSTITUTE(SUBSTITUTE(SUBSTITUTE(TRIM($A203),"-",""),".",""),"/",""),5,2)),VALUE(RIGHT(SUBSTITUTE(SUBSTITUTE(SUBSTITUTE(TRIM($A203),"-",""),".",""),"/",""),2))),DATEVALUE($A203))),""))</f>
        <v/>
      </c>
    </row>
    <row r="204" customFormat="false" ht="15" hidden="false" customHeight="false" outlineLevel="0" collapsed="false">
      <c r="A204" s="47"/>
      <c r="B204" s="48"/>
      <c r="C204" s="132"/>
      <c r="D204" s="53"/>
      <c r="E204" s="48"/>
      <c r="F204" s="132"/>
      <c r="G204" s="133" t="str">
        <f aca="false">IF($A204="","",IFERROR(IF(ISNUMBER($A204),IF($A204&gt;19000000,DATE(INT($A204/10000),MOD(INT($A204/100),100),MOD($A204,100)),INT($A204)),IF(LEN(SUBSTITUTE(SUBSTITUTE(SUBSTITUTE(TRIM($A204),"-",""),".",""),"/",""))=8,DATE(VALUE(LEFT(SUBSTITUTE(SUBSTITUTE(SUBSTITUTE(TRIM($A204),"-",""),".",""),"/",""),4)),VALUE(MID(SUBSTITUTE(SUBSTITUTE(SUBSTITUTE(TRIM($A204),"-",""),".",""),"/",""),5,2)),VALUE(RIGHT(SUBSTITUTE(SUBSTITUTE(SUBSTITUTE(TRIM($A204),"-",""),".",""),"/",""),2))),DATEVALUE($A204))),""))</f>
        <v/>
      </c>
    </row>
    <row r="205" customFormat="false" ht="15" hidden="false" customHeight="false" outlineLevel="0" collapsed="false">
      <c r="A205" s="47"/>
      <c r="B205" s="48"/>
      <c r="C205" s="132"/>
      <c r="D205" s="53"/>
      <c r="E205" s="48"/>
      <c r="F205" s="132"/>
      <c r="G205" s="133" t="str">
        <f aca="false">IF($A205="","",IFERROR(IF(ISNUMBER($A205),IF($A205&gt;19000000,DATE(INT($A205/10000),MOD(INT($A205/100),100),MOD($A205,100)),INT($A205)),IF(LEN(SUBSTITUTE(SUBSTITUTE(SUBSTITUTE(TRIM($A205),"-",""),".",""),"/",""))=8,DATE(VALUE(LEFT(SUBSTITUTE(SUBSTITUTE(SUBSTITUTE(TRIM($A205),"-",""),".",""),"/",""),4)),VALUE(MID(SUBSTITUTE(SUBSTITUTE(SUBSTITUTE(TRIM($A205),"-",""),".",""),"/",""),5,2)),VALUE(RIGHT(SUBSTITUTE(SUBSTITUTE(SUBSTITUTE(TRIM($A205),"-",""),".",""),"/",""),2))),DATEVALUE($A205))),""))</f>
        <v/>
      </c>
    </row>
    <row r="206" customFormat="false" ht="15" hidden="false" customHeight="false" outlineLevel="0" collapsed="false">
      <c r="A206" s="47"/>
      <c r="B206" s="48"/>
      <c r="C206" s="132"/>
      <c r="D206" s="53"/>
      <c r="E206" s="48"/>
      <c r="F206" s="132"/>
      <c r="G206" s="133" t="str">
        <f aca="false">IF($A206="","",IFERROR(IF(ISNUMBER($A206),IF($A206&gt;19000000,DATE(INT($A206/10000),MOD(INT($A206/100),100),MOD($A206,100)),INT($A206)),IF(LEN(SUBSTITUTE(SUBSTITUTE(SUBSTITUTE(TRIM($A206),"-",""),".",""),"/",""))=8,DATE(VALUE(LEFT(SUBSTITUTE(SUBSTITUTE(SUBSTITUTE(TRIM($A206),"-",""),".",""),"/",""),4)),VALUE(MID(SUBSTITUTE(SUBSTITUTE(SUBSTITUTE(TRIM($A206),"-",""),".",""),"/",""),5,2)),VALUE(RIGHT(SUBSTITUTE(SUBSTITUTE(SUBSTITUTE(TRIM($A206),"-",""),".",""),"/",""),2))),DATEVALUE($A206))),""))</f>
        <v/>
      </c>
    </row>
    <row r="207" customFormat="false" ht="15" hidden="false" customHeight="false" outlineLevel="0" collapsed="false">
      <c r="A207" s="47"/>
      <c r="B207" s="48"/>
      <c r="C207" s="132"/>
      <c r="D207" s="53"/>
      <c r="E207" s="48"/>
      <c r="F207" s="132"/>
      <c r="G207" s="133" t="str">
        <f aca="false">IF($A207="","",IFERROR(IF(ISNUMBER($A207),IF($A207&gt;19000000,DATE(INT($A207/10000),MOD(INT($A207/100),100),MOD($A207,100)),INT($A207)),IF(LEN(SUBSTITUTE(SUBSTITUTE(SUBSTITUTE(TRIM($A207),"-",""),".",""),"/",""))=8,DATE(VALUE(LEFT(SUBSTITUTE(SUBSTITUTE(SUBSTITUTE(TRIM($A207),"-",""),".",""),"/",""),4)),VALUE(MID(SUBSTITUTE(SUBSTITUTE(SUBSTITUTE(TRIM($A207),"-",""),".",""),"/",""),5,2)),VALUE(RIGHT(SUBSTITUTE(SUBSTITUTE(SUBSTITUTE(TRIM($A207),"-",""),".",""),"/",""),2))),DATEVALUE($A207))),""))</f>
        <v/>
      </c>
    </row>
    <row r="208" customFormat="false" ht="15" hidden="false" customHeight="false" outlineLevel="0" collapsed="false">
      <c r="A208" s="47"/>
      <c r="B208" s="48"/>
      <c r="C208" s="132"/>
      <c r="D208" s="53"/>
      <c r="E208" s="48"/>
      <c r="F208" s="132"/>
      <c r="G208" s="133" t="str">
        <f aca="false">IF($A208="","",IFERROR(IF(ISNUMBER($A208),IF($A208&gt;19000000,DATE(INT($A208/10000),MOD(INT($A208/100),100),MOD($A208,100)),INT($A208)),IF(LEN(SUBSTITUTE(SUBSTITUTE(SUBSTITUTE(TRIM($A208),"-",""),".",""),"/",""))=8,DATE(VALUE(LEFT(SUBSTITUTE(SUBSTITUTE(SUBSTITUTE(TRIM($A208),"-",""),".",""),"/",""),4)),VALUE(MID(SUBSTITUTE(SUBSTITUTE(SUBSTITUTE(TRIM($A208),"-",""),".",""),"/",""),5,2)),VALUE(RIGHT(SUBSTITUTE(SUBSTITUTE(SUBSTITUTE(TRIM($A208),"-",""),".",""),"/",""),2))),DATEVALUE($A208))),""))</f>
        <v/>
      </c>
    </row>
    <row r="209" customFormat="false" ht="15" hidden="false" customHeight="false" outlineLevel="0" collapsed="false">
      <c r="A209" s="47"/>
      <c r="B209" s="48"/>
      <c r="C209" s="132"/>
      <c r="D209" s="53"/>
      <c r="E209" s="48"/>
      <c r="F209" s="132"/>
      <c r="G209" s="133" t="str">
        <f aca="false">IF($A209="","",IFERROR(IF(ISNUMBER($A209),IF($A209&gt;19000000,DATE(INT($A209/10000),MOD(INT($A209/100),100),MOD($A209,100)),INT($A209)),IF(LEN(SUBSTITUTE(SUBSTITUTE(SUBSTITUTE(TRIM($A209),"-",""),".",""),"/",""))=8,DATE(VALUE(LEFT(SUBSTITUTE(SUBSTITUTE(SUBSTITUTE(TRIM($A209),"-",""),".",""),"/",""),4)),VALUE(MID(SUBSTITUTE(SUBSTITUTE(SUBSTITUTE(TRIM($A209),"-",""),".",""),"/",""),5,2)),VALUE(RIGHT(SUBSTITUTE(SUBSTITUTE(SUBSTITUTE(TRIM($A209),"-",""),".",""),"/",""),2))),DATEVALUE($A209))),""))</f>
        <v/>
      </c>
    </row>
    <row r="210" customFormat="false" ht="15" hidden="false" customHeight="false" outlineLevel="0" collapsed="false">
      <c r="A210" s="47"/>
      <c r="B210" s="48"/>
      <c r="C210" s="132"/>
      <c r="D210" s="53"/>
      <c r="E210" s="48"/>
      <c r="F210" s="132"/>
      <c r="G210" s="133" t="str">
        <f aca="false">IF($A210="","",IFERROR(IF(ISNUMBER($A210),IF($A210&gt;19000000,DATE(INT($A210/10000),MOD(INT($A210/100),100),MOD($A210,100)),INT($A210)),IF(LEN(SUBSTITUTE(SUBSTITUTE(SUBSTITUTE(TRIM($A210),"-",""),".",""),"/",""))=8,DATE(VALUE(LEFT(SUBSTITUTE(SUBSTITUTE(SUBSTITUTE(TRIM($A210),"-",""),".",""),"/",""),4)),VALUE(MID(SUBSTITUTE(SUBSTITUTE(SUBSTITUTE(TRIM($A210),"-",""),".",""),"/",""),5,2)),VALUE(RIGHT(SUBSTITUTE(SUBSTITUTE(SUBSTITUTE(TRIM($A210),"-",""),".",""),"/",""),2))),DATEVALUE($A210))),""))</f>
        <v/>
      </c>
    </row>
    <row r="211" customFormat="false" ht="15" hidden="false" customHeight="false" outlineLevel="0" collapsed="false">
      <c r="A211" s="47"/>
      <c r="B211" s="48"/>
      <c r="C211" s="132"/>
      <c r="D211" s="53"/>
      <c r="E211" s="48"/>
      <c r="F211" s="132"/>
      <c r="G211" s="133" t="str">
        <f aca="false">IF($A211="","",IFERROR(IF(ISNUMBER($A211),IF($A211&gt;19000000,DATE(INT($A211/10000),MOD(INT($A211/100),100),MOD($A211,100)),INT($A211)),IF(LEN(SUBSTITUTE(SUBSTITUTE(SUBSTITUTE(TRIM($A211),"-",""),".",""),"/",""))=8,DATE(VALUE(LEFT(SUBSTITUTE(SUBSTITUTE(SUBSTITUTE(TRIM($A211),"-",""),".",""),"/",""),4)),VALUE(MID(SUBSTITUTE(SUBSTITUTE(SUBSTITUTE(TRIM($A211),"-",""),".",""),"/",""),5,2)),VALUE(RIGHT(SUBSTITUTE(SUBSTITUTE(SUBSTITUTE(TRIM($A211),"-",""),".",""),"/",""),2))),DATEVALUE($A211))),""))</f>
        <v/>
      </c>
    </row>
    <row r="212" customFormat="false" ht="15" hidden="false" customHeight="false" outlineLevel="0" collapsed="false">
      <c r="A212" s="47"/>
      <c r="B212" s="48"/>
      <c r="C212" s="132"/>
      <c r="D212" s="53"/>
      <c r="E212" s="48"/>
      <c r="F212" s="132"/>
      <c r="G212" s="133" t="str">
        <f aca="false">IF($A212="","",IFERROR(IF(ISNUMBER($A212),IF($A212&gt;19000000,DATE(INT($A212/10000),MOD(INT($A212/100),100),MOD($A212,100)),INT($A212)),IF(LEN(SUBSTITUTE(SUBSTITUTE(SUBSTITUTE(TRIM($A212),"-",""),".",""),"/",""))=8,DATE(VALUE(LEFT(SUBSTITUTE(SUBSTITUTE(SUBSTITUTE(TRIM($A212),"-",""),".",""),"/",""),4)),VALUE(MID(SUBSTITUTE(SUBSTITUTE(SUBSTITUTE(TRIM($A212),"-",""),".",""),"/",""),5,2)),VALUE(RIGHT(SUBSTITUTE(SUBSTITUTE(SUBSTITUTE(TRIM($A212),"-",""),".",""),"/",""),2))),DATEVALUE($A212))),""))</f>
        <v/>
      </c>
    </row>
    <row r="213" customFormat="false" ht="15" hidden="false" customHeight="false" outlineLevel="0" collapsed="false">
      <c r="A213" s="47"/>
      <c r="B213" s="48"/>
      <c r="C213" s="132"/>
      <c r="D213" s="53"/>
      <c r="E213" s="48"/>
      <c r="F213" s="132"/>
      <c r="G213" s="133" t="str">
        <f aca="false">IF($A213="","",IFERROR(IF(ISNUMBER($A213),IF($A213&gt;19000000,DATE(INT($A213/10000),MOD(INT($A213/100),100),MOD($A213,100)),INT($A213)),IF(LEN(SUBSTITUTE(SUBSTITUTE(SUBSTITUTE(TRIM($A213),"-",""),".",""),"/",""))=8,DATE(VALUE(LEFT(SUBSTITUTE(SUBSTITUTE(SUBSTITUTE(TRIM($A213),"-",""),".",""),"/",""),4)),VALUE(MID(SUBSTITUTE(SUBSTITUTE(SUBSTITUTE(TRIM($A213),"-",""),".",""),"/",""),5,2)),VALUE(RIGHT(SUBSTITUTE(SUBSTITUTE(SUBSTITUTE(TRIM($A213),"-",""),".",""),"/",""),2))),DATEVALUE($A213))),""))</f>
        <v/>
      </c>
    </row>
    <row r="214" customFormat="false" ht="15" hidden="false" customHeight="false" outlineLevel="0" collapsed="false">
      <c r="A214" s="47"/>
      <c r="B214" s="48"/>
      <c r="C214" s="132"/>
      <c r="D214" s="53"/>
      <c r="E214" s="48"/>
      <c r="F214" s="132"/>
      <c r="G214" s="133" t="str">
        <f aca="false">IF($A214="","",IFERROR(IF(ISNUMBER($A214),IF($A214&gt;19000000,DATE(INT($A214/10000),MOD(INT($A214/100),100),MOD($A214,100)),INT($A214)),IF(LEN(SUBSTITUTE(SUBSTITUTE(SUBSTITUTE(TRIM($A214),"-",""),".",""),"/",""))=8,DATE(VALUE(LEFT(SUBSTITUTE(SUBSTITUTE(SUBSTITUTE(TRIM($A214),"-",""),".",""),"/",""),4)),VALUE(MID(SUBSTITUTE(SUBSTITUTE(SUBSTITUTE(TRIM($A214),"-",""),".",""),"/",""),5,2)),VALUE(RIGHT(SUBSTITUTE(SUBSTITUTE(SUBSTITUTE(TRIM($A214),"-",""),".",""),"/",""),2))),DATEVALUE($A214))),""))</f>
        <v/>
      </c>
    </row>
    <row r="215" customFormat="false" ht="15" hidden="false" customHeight="false" outlineLevel="0" collapsed="false">
      <c r="A215" s="47"/>
      <c r="B215" s="48"/>
      <c r="C215" s="132"/>
      <c r="D215" s="53"/>
      <c r="E215" s="48"/>
      <c r="F215" s="132"/>
      <c r="G215" s="133" t="str">
        <f aca="false">IF($A215="","",IFERROR(IF(ISNUMBER($A215),IF($A215&gt;19000000,DATE(INT($A215/10000),MOD(INT($A215/100),100),MOD($A215,100)),INT($A215)),IF(LEN(SUBSTITUTE(SUBSTITUTE(SUBSTITUTE(TRIM($A215),"-",""),".",""),"/",""))=8,DATE(VALUE(LEFT(SUBSTITUTE(SUBSTITUTE(SUBSTITUTE(TRIM($A215),"-",""),".",""),"/",""),4)),VALUE(MID(SUBSTITUTE(SUBSTITUTE(SUBSTITUTE(TRIM($A215),"-",""),".",""),"/",""),5,2)),VALUE(RIGHT(SUBSTITUTE(SUBSTITUTE(SUBSTITUTE(TRIM($A215),"-",""),".",""),"/",""),2))),DATEVALUE($A215))),""))</f>
        <v/>
      </c>
    </row>
    <row r="216" customFormat="false" ht="15" hidden="false" customHeight="false" outlineLevel="0" collapsed="false">
      <c r="A216" s="47"/>
      <c r="B216" s="48"/>
      <c r="C216" s="132"/>
      <c r="D216" s="53"/>
      <c r="E216" s="48"/>
      <c r="F216" s="132"/>
      <c r="G216" s="133" t="str">
        <f aca="false">IF($A216="","",IFERROR(IF(ISNUMBER($A216),IF($A216&gt;19000000,DATE(INT($A216/10000),MOD(INT($A216/100),100),MOD($A216,100)),INT($A216)),IF(LEN(SUBSTITUTE(SUBSTITUTE(SUBSTITUTE(TRIM($A216),"-",""),".",""),"/",""))=8,DATE(VALUE(LEFT(SUBSTITUTE(SUBSTITUTE(SUBSTITUTE(TRIM($A216),"-",""),".",""),"/",""),4)),VALUE(MID(SUBSTITUTE(SUBSTITUTE(SUBSTITUTE(TRIM($A216),"-",""),".",""),"/",""),5,2)),VALUE(RIGHT(SUBSTITUTE(SUBSTITUTE(SUBSTITUTE(TRIM($A216),"-",""),".",""),"/",""),2))),DATEVALUE($A216))),""))</f>
        <v/>
      </c>
    </row>
    <row r="217" customFormat="false" ht="15" hidden="false" customHeight="false" outlineLevel="0" collapsed="false">
      <c r="A217" s="47"/>
      <c r="B217" s="48"/>
      <c r="C217" s="132"/>
      <c r="D217" s="53"/>
      <c r="E217" s="48"/>
      <c r="F217" s="132"/>
      <c r="G217" s="133" t="str">
        <f aca="false">IF($A217="","",IFERROR(IF(ISNUMBER($A217),IF($A217&gt;19000000,DATE(INT($A217/10000),MOD(INT($A217/100),100),MOD($A217,100)),INT($A217)),IF(LEN(SUBSTITUTE(SUBSTITUTE(SUBSTITUTE(TRIM($A217),"-",""),".",""),"/",""))=8,DATE(VALUE(LEFT(SUBSTITUTE(SUBSTITUTE(SUBSTITUTE(TRIM($A217),"-",""),".",""),"/",""),4)),VALUE(MID(SUBSTITUTE(SUBSTITUTE(SUBSTITUTE(TRIM($A217),"-",""),".",""),"/",""),5,2)),VALUE(RIGHT(SUBSTITUTE(SUBSTITUTE(SUBSTITUTE(TRIM($A217),"-",""),".",""),"/",""),2))),DATEVALUE($A217))),""))</f>
        <v/>
      </c>
    </row>
    <row r="218" customFormat="false" ht="15" hidden="false" customHeight="false" outlineLevel="0" collapsed="false">
      <c r="A218" s="47"/>
      <c r="B218" s="48"/>
      <c r="C218" s="132"/>
      <c r="D218" s="53"/>
      <c r="E218" s="48"/>
      <c r="F218" s="132"/>
      <c r="G218" s="133" t="str">
        <f aca="false">IF($A218="","",IFERROR(IF(ISNUMBER($A218),IF($A218&gt;19000000,DATE(INT($A218/10000),MOD(INT($A218/100),100),MOD($A218,100)),INT($A218)),IF(LEN(SUBSTITUTE(SUBSTITUTE(SUBSTITUTE(TRIM($A218),"-",""),".",""),"/",""))=8,DATE(VALUE(LEFT(SUBSTITUTE(SUBSTITUTE(SUBSTITUTE(TRIM($A218),"-",""),".",""),"/",""),4)),VALUE(MID(SUBSTITUTE(SUBSTITUTE(SUBSTITUTE(TRIM($A218),"-",""),".",""),"/",""),5,2)),VALUE(RIGHT(SUBSTITUTE(SUBSTITUTE(SUBSTITUTE(TRIM($A218),"-",""),".",""),"/",""),2))),DATEVALUE($A218))),""))</f>
        <v/>
      </c>
    </row>
    <row r="219" customFormat="false" ht="15" hidden="false" customHeight="false" outlineLevel="0" collapsed="false">
      <c r="A219" s="47"/>
      <c r="B219" s="48"/>
      <c r="C219" s="132"/>
      <c r="D219" s="53"/>
      <c r="E219" s="48"/>
      <c r="F219" s="132"/>
      <c r="G219" s="133" t="str">
        <f aca="false">IF($A219="","",IFERROR(IF(ISNUMBER($A219),IF($A219&gt;19000000,DATE(INT($A219/10000),MOD(INT($A219/100),100),MOD($A219,100)),INT($A219)),IF(LEN(SUBSTITUTE(SUBSTITUTE(SUBSTITUTE(TRIM($A219),"-",""),".",""),"/",""))=8,DATE(VALUE(LEFT(SUBSTITUTE(SUBSTITUTE(SUBSTITUTE(TRIM($A219),"-",""),".",""),"/",""),4)),VALUE(MID(SUBSTITUTE(SUBSTITUTE(SUBSTITUTE(TRIM($A219),"-",""),".",""),"/",""),5,2)),VALUE(RIGHT(SUBSTITUTE(SUBSTITUTE(SUBSTITUTE(TRIM($A219),"-",""),".",""),"/",""),2))),DATEVALUE($A219))),""))</f>
        <v/>
      </c>
    </row>
    <row r="220" customFormat="false" ht="15" hidden="false" customHeight="false" outlineLevel="0" collapsed="false">
      <c r="A220" s="47"/>
      <c r="B220" s="48"/>
      <c r="C220" s="132"/>
      <c r="D220" s="53"/>
      <c r="E220" s="48"/>
      <c r="F220" s="132"/>
      <c r="G220" s="133" t="str">
        <f aca="false">IF($A220="","",IFERROR(IF(ISNUMBER($A220),IF($A220&gt;19000000,DATE(INT($A220/10000),MOD(INT($A220/100),100),MOD($A220,100)),INT($A220)),IF(LEN(SUBSTITUTE(SUBSTITUTE(SUBSTITUTE(TRIM($A220),"-",""),".",""),"/",""))=8,DATE(VALUE(LEFT(SUBSTITUTE(SUBSTITUTE(SUBSTITUTE(TRIM($A220),"-",""),".",""),"/",""),4)),VALUE(MID(SUBSTITUTE(SUBSTITUTE(SUBSTITUTE(TRIM($A220),"-",""),".",""),"/",""),5,2)),VALUE(RIGHT(SUBSTITUTE(SUBSTITUTE(SUBSTITUTE(TRIM($A220),"-",""),".",""),"/",""),2))),DATEVALUE($A220))),""))</f>
        <v/>
      </c>
    </row>
    <row r="221" customFormat="false" ht="15" hidden="false" customHeight="false" outlineLevel="0" collapsed="false">
      <c r="A221" s="47"/>
      <c r="B221" s="48"/>
      <c r="C221" s="132"/>
      <c r="D221" s="53"/>
      <c r="E221" s="48"/>
      <c r="F221" s="132"/>
      <c r="G221" s="133" t="str">
        <f aca="false">IF($A221="","",IFERROR(IF(ISNUMBER($A221),IF($A221&gt;19000000,DATE(INT($A221/10000),MOD(INT($A221/100),100),MOD($A221,100)),INT($A221)),IF(LEN(SUBSTITUTE(SUBSTITUTE(SUBSTITUTE(TRIM($A221),"-",""),".",""),"/",""))=8,DATE(VALUE(LEFT(SUBSTITUTE(SUBSTITUTE(SUBSTITUTE(TRIM($A221),"-",""),".",""),"/",""),4)),VALUE(MID(SUBSTITUTE(SUBSTITUTE(SUBSTITUTE(TRIM($A221),"-",""),".",""),"/",""),5,2)),VALUE(RIGHT(SUBSTITUTE(SUBSTITUTE(SUBSTITUTE(TRIM($A221),"-",""),".",""),"/",""),2))),DATEVALUE($A221))),""))</f>
        <v/>
      </c>
    </row>
    <row r="222" customFormat="false" ht="15" hidden="false" customHeight="false" outlineLevel="0" collapsed="false">
      <c r="A222" s="47"/>
      <c r="B222" s="48"/>
      <c r="C222" s="132"/>
      <c r="D222" s="53"/>
      <c r="E222" s="48"/>
      <c r="F222" s="132"/>
      <c r="G222" s="133" t="str">
        <f aca="false">IF($A222="","",IFERROR(IF(ISNUMBER($A222),IF($A222&gt;19000000,DATE(INT($A222/10000),MOD(INT($A222/100),100),MOD($A222,100)),INT($A222)),IF(LEN(SUBSTITUTE(SUBSTITUTE(SUBSTITUTE(TRIM($A222),"-",""),".",""),"/",""))=8,DATE(VALUE(LEFT(SUBSTITUTE(SUBSTITUTE(SUBSTITUTE(TRIM($A222),"-",""),".",""),"/",""),4)),VALUE(MID(SUBSTITUTE(SUBSTITUTE(SUBSTITUTE(TRIM($A222),"-",""),".",""),"/",""),5,2)),VALUE(RIGHT(SUBSTITUTE(SUBSTITUTE(SUBSTITUTE(TRIM($A222),"-",""),".",""),"/",""),2))),DATEVALUE($A222))),""))</f>
        <v/>
      </c>
    </row>
    <row r="223" customFormat="false" ht="15" hidden="false" customHeight="false" outlineLevel="0" collapsed="false">
      <c r="A223" s="47"/>
      <c r="B223" s="48"/>
      <c r="C223" s="132"/>
      <c r="D223" s="53"/>
      <c r="E223" s="48"/>
      <c r="F223" s="132"/>
      <c r="G223" s="133" t="str">
        <f aca="false">IF($A223="","",IFERROR(IF(ISNUMBER($A223),IF($A223&gt;19000000,DATE(INT($A223/10000),MOD(INT($A223/100),100),MOD($A223,100)),INT($A223)),IF(LEN(SUBSTITUTE(SUBSTITUTE(SUBSTITUTE(TRIM($A223),"-",""),".",""),"/",""))=8,DATE(VALUE(LEFT(SUBSTITUTE(SUBSTITUTE(SUBSTITUTE(TRIM($A223),"-",""),".",""),"/",""),4)),VALUE(MID(SUBSTITUTE(SUBSTITUTE(SUBSTITUTE(TRIM($A223),"-",""),".",""),"/",""),5,2)),VALUE(RIGHT(SUBSTITUTE(SUBSTITUTE(SUBSTITUTE(TRIM($A223),"-",""),".",""),"/",""),2))),DATEVALUE($A223))),""))</f>
        <v/>
      </c>
    </row>
    <row r="224" customFormat="false" ht="15" hidden="false" customHeight="false" outlineLevel="0" collapsed="false">
      <c r="A224" s="47"/>
      <c r="B224" s="48"/>
      <c r="C224" s="132"/>
      <c r="D224" s="53"/>
      <c r="E224" s="48"/>
      <c r="F224" s="132"/>
      <c r="G224" s="133" t="str">
        <f aca="false">IF($A224="","",IFERROR(IF(ISNUMBER($A224),IF($A224&gt;19000000,DATE(INT($A224/10000),MOD(INT($A224/100),100),MOD($A224,100)),INT($A224)),IF(LEN(SUBSTITUTE(SUBSTITUTE(SUBSTITUTE(TRIM($A224),"-",""),".",""),"/",""))=8,DATE(VALUE(LEFT(SUBSTITUTE(SUBSTITUTE(SUBSTITUTE(TRIM($A224),"-",""),".",""),"/",""),4)),VALUE(MID(SUBSTITUTE(SUBSTITUTE(SUBSTITUTE(TRIM($A224),"-",""),".",""),"/",""),5,2)),VALUE(RIGHT(SUBSTITUTE(SUBSTITUTE(SUBSTITUTE(TRIM($A224),"-",""),".",""),"/",""),2))),DATEVALUE($A224))),""))</f>
        <v/>
      </c>
    </row>
    <row r="225" customFormat="false" ht="15" hidden="false" customHeight="false" outlineLevel="0" collapsed="false">
      <c r="A225" s="47"/>
      <c r="B225" s="48"/>
      <c r="C225" s="132"/>
      <c r="D225" s="53"/>
      <c r="E225" s="48"/>
      <c r="F225" s="132"/>
      <c r="G225" s="133" t="str">
        <f aca="false">IF($A225="","",IFERROR(IF(ISNUMBER($A225),IF($A225&gt;19000000,DATE(INT($A225/10000),MOD(INT($A225/100),100),MOD($A225,100)),INT($A225)),IF(LEN(SUBSTITUTE(SUBSTITUTE(SUBSTITUTE(TRIM($A225),"-",""),".",""),"/",""))=8,DATE(VALUE(LEFT(SUBSTITUTE(SUBSTITUTE(SUBSTITUTE(TRIM($A225),"-",""),".",""),"/",""),4)),VALUE(MID(SUBSTITUTE(SUBSTITUTE(SUBSTITUTE(TRIM($A225),"-",""),".",""),"/",""),5,2)),VALUE(RIGHT(SUBSTITUTE(SUBSTITUTE(SUBSTITUTE(TRIM($A225),"-",""),".",""),"/",""),2))),DATEVALUE($A225))),""))</f>
        <v/>
      </c>
    </row>
    <row r="226" customFormat="false" ht="15" hidden="false" customHeight="false" outlineLevel="0" collapsed="false">
      <c r="A226" s="47"/>
      <c r="B226" s="48"/>
      <c r="C226" s="132"/>
      <c r="D226" s="53"/>
      <c r="E226" s="48"/>
      <c r="F226" s="132"/>
      <c r="G226" s="133" t="str">
        <f aca="false">IF($A226="","",IFERROR(IF(ISNUMBER($A226),IF($A226&gt;19000000,DATE(INT($A226/10000),MOD(INT($A226/100),100),MOD($A226,100)),INT($A226)),IF(LEN(SUBSTITUTE(SUBSTITUTE(SUBSTITUTE(TRIM($A226),"-",""),".",""),"/",""))=8,DATE(VALUE(LEFT(SUBSTITUTE(SUBSTITUTE(SUBSTITUTE(TRIM($A226),"-",""),".",""),"/",""),4)),VALUE(MID(SUBSTITUTE(SUBSTITUTE(SUBSTITUTE(TRIM($A226),"-",""),".",""),"/",""),5,2)),VALUE(RIGHT(SUBSTITUTE(SUBSTITUTE(SUBSTITUTE(TRIM($A226),"-",""),".",""),"/",""),2))),DATEVALUE($A226))),""))</f>
        <v/>
      </c>
    </row>
    <row r="227" customFormat="false" ht="15" hidden="false" customHeight="false" outlineLevel="0" collapsed="false">
      <c r="A227" s="47"/>
      <c r="B227" s="48"/>
      <c r="C227" s="132"/>
      <c r="D227" s="53"/>
      <c r="E227" s="48"/>
      <c r="F227" s="132"/>
      <c r="G227" s="133" t="str">
        <f aca="false">IF($A227="","",IFERROR(IF(ISNUMBER($A227),IF($A227&gt;19000000,DATE(INT($A227/10000),MOD(INT($A227/100),100),MOD($A227,100)),INT($A227)),IF(LEN(SUBSTITUTE(SUBSTITUTE(SUBSTITUTE(TRIM($A227),"-",""),".",""),"/",""))=8,DATE(VALUE(LEFT(SUBSTITUTE(SUBSTITUTE(SUBSTITUTE(TRIM($A227),"-",""),".",""),"/",""),4)),VALUE(MID(SUBSTITUTE(SUBSTITUTE(SUBSTITUTE(TRIM($A227),"-",""),".",""),"/",""),5,2)),VALUE(RIGHT(SUBSTITUTE(SUBSTITUTE(SUBSTITUTE(TRIM($A227),"-",""),".",""),"/",""),2))),DATEVALUE($A227))),""))</f>
        <v/>
      </c>
    </row>
    <row r="228" customFormat="false" ht="15" hidden="false" customHeight="false" outlineLevel="0" collapsed="false">
      <c r="A228" s="47"/>
      <c r="B228" s="48"/>
      <c r="C228" s="132"/>
      <c r="D228" s="53"/>
      <c r="E228" s="48"/>
      <c r="F228" s="132"/>
      <c r="G228" s="133" t="str">
        <f aca="false">IF($A228="","",IFERROR(IF(ISNUMBER($A228),IF($A228&gt;19000000,DATE(INT($A228/10000),MOD(INT($A228/100),100),MOD($A228,100)),INT($A228)),IF(LEN(SUBSTITUTE(SUBSTITUTE(SUBSTITUTE(TRIM($A228),"-",""),".",""),"/",""))=8,DATE(VALUE(LEFT(SUBSTITUTE(SUBSTITUTE(SUBSTITUTE(TRIM($A228),"-",""),".",""),"/",""),4)),VALUE(MID(SUBSTITUTE(SUBSTITUTE(SUBSTITUTE(TRIM($A228),"-",""),".",""),"/",""),5,2)),VALUE(RIGHT(SUBSTITUTE(SUBSTITUTE(SUBSTITUTE(TRIM($A228),"-",""),".",""),"/",""),2))),DATEVALUE($A228))),""))</f>
        <v/>
      </c>
    </row>
    <row r="229" customFormat="false" ht="15" hidden="false" customHeight="false" outlineLevel="0" collapsed="false">
      <c r="A229" s="47"/>
      <c r="B229" s="48"/>
      <c r="C229" s="132"/>
      <c r="D229" s="53"/>
      <c r="E229" s="48"/>
      <c r="F229" s="132"/>
      <c r="G229" s="133" t="str">
        <f aca="false">IF($A229="","",IFERROR(IF(ISNUMBER($A229),IF($A229&gt;19000000,DATE(INT($A229/10000),MOD(INT($A229/100),100),MOD($A229,100)),INT($A229)),IF(LEN(SUBSTITUTE(SUBSTITUTE(SUBSTITUTE(TRIM($A229),"-",""),".",""),"/",""))=8,DATE(VALUE(LEFT(SUBSTITUTE(SUBSTITUTE(SUBSTITUTE(TRIM($A229),"-",""),".",""),"/",""),4)),VALUE(MID(SUBSTITUTE(SUBSTITUTE(SUBSTITUTE(TRIM($A229),"-",""),".",""),"/",""),5,2)),VALUE(RIGHT(SUBSTITUTE(SUBSTITUTE(SUBSTITUTE(TRIM($A229),"-",""),".",""),"/",""),2))),DATEVALUE($A229))),""))</f>
        <v/>
      </c>
    </row>
    <row r="230" customFormat="false" ht="15" hidden="false" customHeight="false" outlineLevel="0" collapsed="false">
      <c r="A230" s="47"/>
      <c r="B230" s="48"/>
      <c r="C230" s="132"/>
      <c r="D230" s="53"/>
      <c r="E230" s="48"/>
      <c r="F230" s="132"/>
      <c r="G230" s="133" t="str">
        <f aca="false">IF($A230="","",IFERROR(IF(ISNUMBER($A230),IF($A230&gt;19000000,DATE(INT($A230/10000),MOD(INT($A230/100),100),MOD($A230,100)),INT($A230)),IF(LEN(SUBSTITUTE(SUBSTITUTE(SUBSTITUTE(TRIM($A230),"-",""),".",""),"/",""))=8,DATE(VALUE(LEFT(SUBSTITUTE(SUBSTITUTE(SUBSTITUTE(TRIM($A230),"-",""),".",""),"/",""),4)),VALUE(MID(SUBSTITUTE(SUBSTITUTE(SUBSTITUTE(TRIM($A230),"-",""),".",""),"/",""),5,2)),VALUE(RIGHT(SUBSTITUTE(SUBSTITUTE(SUBSTITUTE(TRIM($A230),"-",""),".",""),"/",""),2))),DATEVALUE($A230))),""))</f>
        <v/>
      </c>
    </row>
    <row r="231" customFormat="false" ht="15" hidden="false" customHeight="false" outlineLevel="0" collapsed="false">
      <c r="A231" s="47"/>
      <c r="B231" s="48"/>
      <c r="C231" s="132"/>
      <c r="D231" s="53"/>
      <c r="E231" s="48"/>
      <c r="F231" s="132"/>
      <c r="G231" s="133" t="str">
        <f aca="false">IF($A231="","",IFERROR(IF(ISNUMBER($A231),IF($A231&gt;19000000,DATE(INT($A231/10000),MOD(INT($A231/100),100),MOD($A231,100)),INT($A231)),IF(LEN(SUBSTITUTE(SUBSTITUTE(SUBSTITUTE(TRIM($A231),"-",""),".",""),"/",""))=8,DATE(VALUE(LEFT(SUBSTITUTE(SUBSTITUTE(SUBSTITUTE(TRIM($A231),"-",""),".",""),"/",""),4)),VALUE(MID(SUBSTITUTE(SUBSTITUTE(SUBSTITUTE(TRIM($A231),"-",""),".",""),"/",""),5,2)),VALUE(RIGHT(SUBSTITUTE(SUBSTITUTE(SUBSTITUTE(TRIM($A231),"-",""),".",""),"/",""),2))),DATEVALUE($A231))),""))</f>
        <v/>
      </c>
    </row>
    <row r="232" customFormat="false" ht="15" hidden="false" customHeight="false" outlineLevel="0" collapsed="false">
      <c r="A232" s="47"/>
      <c r="B232" s="48"/>
      <c r="C232" s="132"/>
      <c r="D232" s="53"/>
      <c r="E232" s="48"/>
      <c r="F232" s="132"/>
      <c r="G232" s="133" t="str">
        <f aca="false">IF($A232="","",IFERROR(IF(ISNUMBER($A232),IF($A232&gt;19000000,DATE(INT($A232/10000),MOD(INT($A232/100),100),MOD($A232,100)),INT($A232)),IF(LEN(SUBSTITUTE(SUBSTITUTE(SUBSTITUTE(TRIM($A232),"-",""),".",""),"/",""))=8,DATE(VALUE(LEFT(SUBSTITUTE(SUBSTITUTE(SUBSTITUTE(TRIM($A232),"-",""),".",""),"/",""),4)),VALUE(MID(SUBSTITUTE(SUBSTITUTE(SUBSTITUTE(TRIM($A232),"-",""),".",""),"/",""),5,2)),VALUE(RIGHT(SUBSTITUTE(SUBSTITUTE(SUBSTITUTE(TRIM($A232),"-",""),".",""),"/",""),2))),DATEVALUE($A232))),""))</f>
        <v/>
      </c>
    </row>
    <row r="233" customFormat="false" ht="15" hidden="false" customHeight="false" outlineLevel="0" collapsed="false">
      <c r="A233" s="47"/>
      <c r="B233" s="48"/>
      <c r="C233" s="132"/>
      <c r="D233" s="53"/>
      <c r="E233" s="48"/>
      <c r="F233" s="132"/>
      <c r="G233" s="133" t="str">
        <f aca="false">IF($A233="","",IFERROR(IF(ISNUMBER($A233),IF($A233&gt;19000000,DATE(INT($A233/10000),MOD(INT($A233/100),100),MOD($A233,100)),INT($A233)),IF(LEN(SUBSTITUTE(SUBSTITUTE(SUBSTITUTE(TRIM($A233),"-",""),".",""),"/",""))=8,DATE(VALUE(LEFT(SUBSTITUTE(SUBSTITUTE(SUBSTITUTE(TRIM($A233),"-",""),".",""),"/",""),4)),VALUE(MID(SUBSTITUTE(SUBSTITUTE(SUBSTITUTE(TRIM($A233),"-",""),".",""),"/",""),5,2)),VALUE(RIGHT(SUBSTITUTE(SUBSTITUTE(SUBSTITUTE(TRIM($A233),"-",""),".",""),"/",""),2))),DATEVALUE($A233))),""))</f>
        <v/>
      </c>
    </row>
    <row r="234" customFormat="false" ht="15" hidden="false" customHeight="false" outlineLevel="0" collapsed="false">
      <c r="A234" s="47"/>
      <c r="B234" s="48"/>
      <c r="C234" s="132"/>
      <c r="D234" s="53"/>
      <c r="E234" s="48"/>
      <c r="F234" s="132"/>
      <c r="G234" s="133" t="str">
        <f aca="false">IF($A234="","",IFERROR(IF(ISNUMBER($A234),IF($A234&gt;19000000,DATE(INT($A234/10000),MOD(INT($A234/100),100),MOD($A234,100)),INT($A234)),IF(LEN(SUBSTITUTE(SUBSTITUTE(SUBSTITUTE(TRIM($A234),"-",""),".",""),"/",""))=8,DATE(VALUE(LEFT(SUBSTITUTE(SUBSTITUTE(SUBSTITUTE(TRIM($A234),"-",""),".",""),"/",""),4)),VALUE(MID(SUBSTITUTE(SUBSTITUTE(SUBSTITUTE(TRIM($A234),"-",""),".",""),"/",""),5,2)),VALUE(RIGHT(SUBSTITUTE(SUBSTITUTE(SUBSTITUTE(TRIM($A234),"-",""),".",""),"/",""),2))),DATEVALUE($A234))),""))</f>
        <v/>
      </c>
    </row>
    <row r="235" customFormat="false" ht="15" hidden="false" customHeight="false" outlineLevel="0" collapsed="false">
      <c r="A235" s="47"/>
      <c r="B235" s="48"/>
      <c r="C235" s="132"/>
      <c r="D235" s="53"/>
      <c r="E235" s="48"/>
      <c r="F235" s="132"/>
      <c r="G235" s="133" t="str">
        <f aca="false">IF($A235="","",IFERROR(IF(ISNUMBER($A235),IF($A235&gt;19000000,DATE(INT($A235/10000),MOD(INT($A235/100),100),MOD($A235,100)),INT($A235)),IF(LEN(SUBSTITUTE(SUBSTITUTE(SUBSTITUTE(TRIM($A235),"-",""),".",""),"/",""))=8,DATE(VALUE(LEFT(SUBSTITUTE(SUBSTITUTE(SUBSTITUTE(TRIM($A235),"-",""),".",""),"/",""),4)),VALUE(MID(SUBSTITUTE(SUBSTITUTE(SUBSTITUTE(TRIM($A235),"-",""),".",""),"/",""),5,2)),VALUE(RIGHT(SUBSTITUTE(SUBSTITUTE(SUBSTITUTE(TRIM($A235),"-",""),".",""),"/",""),2))),DATEVALUE($A235))),""))</f>
        <v/>
      </c>
    </row>
    <row r="236" customFormat="false" ht="15" hidden="false" customHeight="false" outlineLevel="0" collapsed="false">
      <c r="A236" s="47"/>
      <c r="B236" s="48"/>
      <c r="C236" s="132"/>
      <c r="D236" s="53"/>
      <c r="E236" s="48"/>
      <c r="F236" s="132"/>
      <c r="G236" s="133" t="str">
        <f aca="false">IF($A236="","",IFERROR(IF(ISNUMBER($A236),IF($A236&gt;19000000,DATE(INT($A236/10000),MOD(INT($A236/100),100),MOD($A236,100)),INT($A236)),IF(LEN(SUBSTITUTE(SUBSTITUTE(SUBSTITUTE(TRIM($A236),"-",""),".",""),"/",""))=8,DATE(VALUE(LEFT(SUBSTITUTE(SUBSTITUTE(SUBSTITUTE(TRIM($A236),"-",""),".",""),"/",""),4)),VALUE(MID(SUBSTITUTE(SUBSTITUTE(SUBSTITUTE(TRIM($A236),"-",""),".",""),"/",""),5,2)),VALUE(RIGHT(SUBSTITUTE(SUBSTITUTE(SUBSTITUTE(TRIM($A236),"-",""),".",""),"/",""),2))),DATEVALUE($A236))),""))</f>
        <v/>
      </c>
    </row>
    <row r="237" customFormat="false" ht="15" hidden="false" customHeight="false" outlineLevel="0" collapsed="false">
      <c r="A237" s="47"/>
      <c r="B237" s="48"/>
      <c r="C237" s="132"/>
      <c r="D237" s="53"/>
      <c r="E237" s="48"/>
      <c r="F237" s="132"/>
      <c r="G237" s="133" t="str">
        <f aca="false">IF($A237="","",IFERROR(IF(ISNUMBER($A237),IF($A237&gt;19000000,DATE(INT($A237/10000),MOD(INT($A237/100),100),MOD($A237,100)),INT($A237)),IF(LEN(SUBSTITUTE(SUBSTITUTE(SUBSTITUTE(TRIM($A237),"-",""),".",""),"/",""))=8,DATE(VALUE(LEFT(SUBSTITUTE(SUBSTITUTE(SUBSTITUTE(TRIM($A237),"-",""),".",""),"/",""),4)),VALUE(MID(SUBSTITUTE(SUBSTITUTE(SUBSTITUTE(TRIM($A237),"-",""),".",""),"/",""),5,2)),VALUE(RIGHT(SUBSTITUTE(SUBSTITUTE(SUBSTITUTE(TRIM($A237),"-",""),".",""),"/",""),2))),DATEVALUE($A237))),""))</f>
        <v/>
      </c>
    </row>
    <row r="238" customFormat="false" ht="15" hidden="false" customHeight="false" outlineLevel="0" collapsed="false">
      <c r="A238" s="47"/>
      <c r="B238" s="48"/>
      <c r="C238" s="132"/>
      <c r="D238" s="53"/>
      <c r="E238" s="48"/>
      <c r="F238" s="132"/>
      <c r="G238" s="133" t="str">
        <f aca="false">IF($A238="","",IFERROR(IF(ISNUMBER($A238),IF($A238&gt;19000000,DATE(INT($A238/10000),MOD(INT($A238/100),100),MOD($A238,100)),INT($A238)),IF(LEN(SUBSTITUTE(SUBSTITUTE(SUBSTITUTE(TRIM($A238),"-",""),".",""),"/",""))=8,DATE(VALUE(LEFT(SUBSTITUTE(SUBSTITUTE(SUBSTITUTE(TRIM($A238),"-",""),".",""),"/",""),4)),VALUE(MID(SUBSTITUTE(SUBSTITUTE(SUBSTITUTE(TRIM($A238),"-",""),".",""),"/",""),5,2)),VALUE(RIGHT(SUBSTITUTE(SUBSTITUTE(SUBSTITUTE(TRIM($A238),"-",""),".",""),"/",""),2))),DATEVALUE($A238))),""))</f>
        <v/>
      </c>
    </row>
    <row r="239" customFormat="false" ht="15" hidden="false" customHeight="false" outlineLevel="0" collapsed="false">
      <c r="A239" s="47"/>
      <c r="B239" s="48"/>
      <c r="C239" s="132"/>
      <c r="D239" s="53"/>
      <c r="E239" s="48"/>
      <c r="F239" s="132"/>
      <c r="G239" s="133" t="str">
        <f aca="false">IF($A239="","",IFERROR(IF(ISNUMBER($A239),IF($A239&gt;19000000,DATE(INT($A239/10000),MOD(INT($A239/100),100),MOD($A239,100)),INT($A239)),IF(LEN(SUBSTITUTE(SUBSTITUTE(SUBSTITUTE(TRIM($A239),"-",""),".",""),"/",""))=8,DATE(VALUE(LEFT(SUBSTITUTE(SUBSTITUTE(SUBSTITUTE(TRIM($A239),"-",""),".",""),"/",""),4)),VALUE(MID(SUBSTITUTE(SUBSTITUTE(SUBSTITUTE(TRIM($A239),"-",""),".",""),"/",""),5,2)),VALUE(RIGHT(SUBSTITUTE(SUBSTITUTE(SUBSTITUTE(TRIM($A239),"-",""),".",""),"/",""),2))),DATEVALUE($A239))),""))</f>
        <v/>
      </c>
    </row>
    <row r="240" customFormat="false" ht="15" hidden="false" customHeight="false" outlineLevel="0" collapsed="false">
      <c r="A240" s="47"/>
      <c r="B240" s="48"/>
      <c r="C240" s="132"/>
      <c r="D240" s="53"/>
      <c r="E240" s="48"/>
      <c r="F240" s="132"/>
      <c r="G240" s="133" t="str">
        <f aca="false">IF($A240="","",IFERROR(IF(ISNUMBER($A240),IF($A240&gt;19000000,DATE(INT($A240/10000),MOD(INT($A240/100),100),MOD($A240,100)),INT($A240)),IF(LEN(SUBSTITUTE(SUBSTITUTE(SUBSTITUTE(TRIM($A240),"-",""),".",""),"/",""))=8,DATE(VALUE(LEFT(SUBSTITUTE(SUBSTITUTE(SUBSTITUTE(TRIM($A240),"-",""),".",""),"/",""),4)),VALUE(MID(SUBSTITUTE(SUBSTITUTE(SUBSTITUTE(TRIM($A240),"-",""),".",""),"/",""),5,2)),VALUE(RIGHT(SUBSTITUTE(SUBSTITUTE(SUBSTITUTE(TRIM($A240),"-",""),".",""),"/",""),2))),DATEVALUE($A240))),""))</f>
        <v/>
      </c>
    </row>
    <row r="241" customFormat="false" ht="15" hidden="false" customHeight="false" outlineLevel="0" collapsed="false">
      <c r="A241" s="47"/>
      <c r="B241" s="48"/>
      <c r="C241" s="132"/>
      <c r="D241" s="53"/>
      <c r="E241" s="48"/>
      <c r="F241" s="132"/>
      <c r="G241" s="133" t="str">
        <f aca="false">IF($A241="","",IFERROR(IF(ISNUMBER($A241),IF($A241&gt;19000000,DATE(INT($A241/10000),MOD(INT($A241/100),100),MOD($A241,100)),INT($A241)),IF(LEN(SUBSTITUTE(SUBSTITUTE(SUBSTITUTE(TRIM($A241),"-",""),".",""),"/",""))=8,DATE(VALUE(LEFT(SUBSTITUTE(SUBSTITUTE(SUBSTITUTE(TRIM($A241),"-",""),".",""),"/",""),4)),VALUE(MID(SUBSTITUTE(SUBSTITUTE(SUBSTITUTE(TRIM($A241),"-",""),".",""),"/",""),5,2)),VALUE(RIGHT(SUBSTITUTE(SUBSTITUTE(SUBSTITUTE(TRIM($A241),"-",""),".",""),"/",""),2))),DATEVALUE($A241))),""))</f>
        <v/>
      </c>
    </row>
    <row r="242" customFormat="false" ht="15" hidden="false" customHeight="false" outlineLevel="0" collapsed="false">
      <c r="A242" s="47"/>
      <c r="B242" s="48"/>
      <c r="C242" s="132"/>
      <c r="D242" s="53"/>
      <c r="E242" s="48"/>
      <c r="F242" s="132"/>
      <c r="G242" s="133" t="str">
        <f aca="false">IF($A242="","",IFERROR(IF(ISNUMBER($A242),IF($A242&gt;19000000,DATE(INT($A242/10000),MOD(INT($A242/100),100),MOD($A242,100)),INT($A242)),IF(LEN(SUBSTITUTE(SUBSTITUTE(SUBSTITUTE(TRIM($A242),"-",""),".",""),"/",""))=8,DATE(VALUE(LEFT(SUBSTITUTE(SUBSTITUTE(SUBSTITUTE(TRIM($A242),"-",""),".",""),"/",""),4)),VALUE(MID(SUBSTITUTE(SUBSTITUTE(SUBSTITUTE(TRIM($A242),"-",""),".",""),"/",""),5,2)),VALUE(RIGHT(SUBSTITUTE(SUBSTITUTE(SUBSTITUTE(TRIM($A242),"-",""),".",""),"/",""),2))),DATEVALUE($A242))),""))</f>
        <v/>
      </c>
    </row>
    <row r="243" customFormat="false" ht="15" hidden="false" customHeight="false" outlineLevel="0" collapsed="false">
      <c r="A243" s="47"/>
      <c r="B243" s="48"/>
      <c r="C243" s="132"/>
      <c r="D243" s="53"/>
      <c r="E243" s="48"/>
      <c r="F243" s="132"/>
      <c r="G243" s="133" t="str">
        <f aca="false">IF($A243="","",IFERROR(IF(ISNUMBER($A243),IF($A243&gt;19000000,DATE(INT($A243/10000),MOD(INT($A243/100),100),MOD($A243,100)),INT($A243)),IF(LEN(SUBSTITUTE(SUBSTITUTE(SUBSTITUTE(TRIM($A243),"-",""),".",""),"/",""))=8,DATE(VALUE(LEFT(SUBSTITUTE(SUBSTITUTE(SUBSTITUTE(TRIM($A243),"-",""),".",""),"/",""),4)),VALUE(MID(SUBSTITUTE(SUBSTITUTE(SUBSTITUTE(TRIM($A243),"-",""),".",""),"/",""),5,2)),VALUE(RIGHT(SUBSTITUTE(SUBSTITUTE(SUBSTITUTE(TRIM($A243),"-",""),".",""),"/",""),2))),DATEVALUE($A243))),""))</f>
        <v/>
      </c>
    </row>
    <row r="244" customFormat="false" ht="15" hidden="false" customHeight="false" outlineLevel="0" collapsed="false">
      <c r="A244" s="47"/>
      <c r="B244" s="48"/>
      <c r="C244" s="132"/>
      <c r="D244" s="53"/>
      <c r="E244" s="48"/>
      <c r="F244" s="132"/>
      <c r="G244" s="133" t="str">
        <f aca="false">IF($A244="","",IFERROR(IF(ISNUMBER($A244),IF($A244&gt;19000000,DATE(INT($A244/10000),MOD(INT($A244/100),100),MOD($A244,100)),INT($A244)),IF(LEN(SUBSTITUTE(SUBSTITUTE(SUBSTITUTE(TRIM($A244),"-",""),".",""),"/",""))=8,DATE(VALUE(LEFT(SUBSTITUTE(SUBSTITUTE(SUBSTITUTE(TRIM($A244),"-",""),".",""),"/",""),4)),VALUE(MID(SUBSTITUTE(SUBSTITUTE(SUBSTITUTE(TRIM($A244),"-",""),".",""),"/",""),5,2)),VALUE(RIGHT(SUBSTITUTE(SUBSTITUTE(SUBSTITUTE(TRIM($A244),"-",""),".",""),"/",""),2))),DATEVALUE($A244))),""))</f>
        <v/>
      </c>
    </row>
    <row r="245" customFormat="false" ht="15" hidden="false" customHeight="false" outlineLevel="0" collapsed="false">
      <c r="A245" s="47"/>
      <c r="B245" s="48"/>
      <c r="C245" s="132"/>
      <c r="D245" s="53"/>
      <c r="E245" s="48"/>
      <c r="F245" s="132"/>
      <c r="G245" s="133" t="str">
        <f aca="false">IF($A245="","",IFERROR(IF(ISNUMBER($A245),IF($A245&gt;19000000,DATE(INT($A245/10000),MOD(INT($A245/100),100),MOD($A245,100)),INT($A245)),IF(LEN(SUBSTITUTE(SUBSTITUTE(SUBSTITUTE(TRIM($A245),"-",""),".",""),"/",""))=8,DATE(VALUE(LEFT(SUBSTITUTE(SUBSTITUTE(SUBSTITUTE(TRIM($A245),"-",""),".",""),"/",""),4)),VALUE(MID(SUBSTITUTE(SUBSTITUTE(SUBSTITUTE(TRIM($A245),"-",""),".",""),"/",""),5,2)),VALUE(RIGHT(SUBSTITUTE(SUBSTITUTE(SUBSTITUTE(TRIM($A245),"-",""),".",""),"/",""),2))),DATEVALUE($A245))),""))</f>
        <v/>
      </c>
    </row>
    <row r="246" customFormat="false" ht="15" hidden="false" customHeight="false" outlineLevel="0" collapsed="false">
      <c r="A246" s="47"/>
      <c r="B246" s="48"/>
      <c r="C246" s="132"/>
      <c r="D246" s="53"/>
      <c r="E246" s="48"/>
      <c r="F246" s="132"/>
      <c r="G246" s="133" t="str">
        <f aca="false">IF($A246="","",IFERROR(IF(ISNUMBER($A246),IF($A246&gt;19000000,DATE(INT($A246/10000),MOD(INT($A246/100),100),MOD($A246,100)),INT($A246)),IF(LEN(SUBSTITUTE(SUBSTITUTE(SUBSTITUTE(TRIM($A246),"-",""),".",""),"/",""))=8,DATE(VALUE(LEFT(SUBSTITUTE(SUBSTITUTE(SUBSTITUTE(TRIM($A246),"-",""),".",""),"/",""),4)),VALUE(MID(SUBSTITUTE(SUBSTITUTE(SUBSTITUTE(TRIM($A246),"-",""),".",""),"/",""),5,2)),VALUE(RIGHT(SUBSTITUTE(SUBSTITUTE(SUBSTITUTE(TRIM($A246),"-",""),".",""),"/",""),2))),DATEVALUE($A246))),""))</f>
        <v/>
      </c>
    </row>
    <row r="247" customFormat="false" ht="15" hidden="false" customHeight="false" outlineLevel="0" collapsed="false">
      <c r="A247" s="47"/>
      <c r="B247" s="48"/>
      <c r="C247" s="132"/>
      <c r="D247" s="53"/>
      <c r="E247" s="48"/>
      <c r="F247" s="132"/>
      <c r="G247" s="133" t="str">
        <f aca="false">IF($A247="","",IFERROR(IF(ISNUMBER($A247),IF($A247&gt;19000000,DATE(INT($A247/10000),MOD(INT($A247/100),100),MOD($A247,100)),INT($A247)),IF(LEN(SUBSTITUTE(SUBSTITUTE(SUBSTITUTE(TRIM($A247),"-",""),".",""),"/",""))=8,DATE(VALUE(LEFT(SUBSTITUTE(SUBSTITUTE(SUBSTITUTE(TRIM($A247),"-",""),".",""),"/",""),4)),VALUE(MID(SUBSTITUTE(SUBSTITUTE(SUBSTITUTE(TRIM($A247),"-",""),".",""),"/",""),5,2)),VALUE(RIGHT(SUBSTITUTE(SUBSTITUTE(SUBSTITUTE(TRIM($A247),"-",""),".",""),"/",""),2))),DATEVALUE($A247))),""))</f>
        <v/>
      </c>
    </row>
    <row r="248" customFormat="false" ht="15" hidden="false" customHeight="false" outlineLevel="0" collapsed="false">
      <c r="A248" s="47"/>
      <c r="B248" s="48"/>
      <c r="C248" s="132"/>
      <c r="D248" s="53"/>
      <c r="E248" s="48"/>
      <c r="F248" s="132"/>
      <c r="G248" s="133" t="str">
        <f aca="false">IF($A248="","",IFERROR(IF(ISNUMBER($A248),IF($A248&gt;19000000,DATE(INT($A248/10000),MOD(INT($A248/100),100),MOD($A248,100)),INT($A248)),IF(LEN(SUBSTITUTE(SUBSTITUTE(SUBSTITUTE(TRIM($A248),"-",""),".",""),"/",""))=8,DATE(VALUE(LEFT(SUBSTITUTE(SUBSTITUTE(SUBSTITUTE(TRIM($A248),"-",""),".",""),"/",""),4)),VALUE(MID(SUBSTITUTE(SUBSTITUTE(SUBSTITUTE(TRIM($A248),"-",""),".",""),"/",""),5,2)),VALUE(RIGHT(SUBSTITUTE(SUBSTITUTE(SUBSTITUTE(TRIM($A248),"-",""),".",""),"/",""),2))),DATEVALUE($A248))),""))</f>
        <v/>
      </c>
    </row>
    <row r="249" customFormat="false" ht="15" hidden="false" customHeight="false" outlineLevel="0" collapsed="false">
      <c r="A249" s="47"/>
      <c r="B249" s="48"/>
      <c r="C249" s="132"/>
      <c r="D249" s="53"/>
      <c r="E249" s="48"/>
      <c r="F249" s="132"/>
      <c r="G249" s="133" t="str">
        <f aca="false">IF($A249="","",IFERROR(IF(ISNUMBER($A249),IF($A249&gt;19000000,DATE(INT($A249/10000),MOD(INT($A249/100),100),MOD($A249,100)),INT($A249)),IF(LEN(SUBSTITUTE(SUBSTITUTE(SUBSTITUTE(TRIM($A249),"-",""),".",""),"/",""))=8,DATE(VALUE(LEFT(SUBSTITUTE(SUBSTITUTE(SUBSTITUTE(TRIM($A249),"-",""),".",""),"/",""),4)),VALUE(MID(SUBSTITUTE(SUBSTITUTE(SUBSTITUTE(TRIM($A249),"-",""),".",""),"/",""),5,2)),VALUE(RIGHT(SUBSTITUTE(SUBSTITUTE(SUBSTITUTE(TRIM($A249),"-",""),".",""),"/",""),2))),DATEVALUE($A249))),""))</f>
        <v/>
      </c>
    </row>
    <row r="250" customFormat="false" ht="15" hidden="false" customHeight="false" outlineLevel="0" collapsed="false">
      <c r="A250" s="47"/>
      <c r="B250" s="48"/>
      <c r="C250" s="132"/>
      <c r="D250" s="53"/>
      <c r="E250" s="48"/>
      <c r="F250" s="132"/>
      <c r="G250" s="133" t="str">
        <f aca="false">IF($A250="","",IFERROR(IF(ISNUMBER($A250),IF($A250&gt;19000000,DATE(INT($A250/10000),MOD(INT($A250/100),100),MOD($A250,100)),INT($A250)),IF(LEN(SUBSTITUTE(SUBSTITUTE(SUBSTITUTE(TRIM($A250),"-",""),".",""),"/",""))=8,DATE(VALUE(LEFT(SUBSTITUTE(SUBSTITUTE(SUBSTITUTE(TRIM($A250),"-",""),".",""),"/",""),4)),VALUE(MID(SUBSTITUTE(SUBSTITUTE(SUBSTITUTE(TRIM($A250),"-",""),".",""),"/",""),5,2)),VALUE(RIGHT(SUBSTITUTE(SUBSTITUTE(SUBSTITUTE(TRIM($A250),"-",""),".",""),"/",""),2))),DATEVALUE($A250))),""))</f>
        <v/>
      </c>
    </row>
    <row r="251" customFormat="false" ht="15" hidden="false" customHeight="false" outlineLevel="0" collapsed="false">
      <c r="A251" s="47"/>
      <c r="B251" s="48"/>
      <c r="C251" s="132"/>
      <c r="D251" s="53"/>
      <c r="E251" s="48"/>
      <c r="F251" s="132"/>
      <c r="G251" s="133" t="str">
        <f aca="false">IF($A251="","",IFERROR(IF(ISNUMBER($A251),IF($A251&gt;19000000,DATE(INT($A251/10000),MOD(INT($A251/100),100),MOD($A251,100)),INT($A251)),IF(LEN(SUBSTITUTE(SUBSTITUTE(SUBSTITUTE(TRIM($A251),"-",""),".",""),"/",""))=8,DATE(VALUE(LEFT(SUBSTITUTE(SUBSTITUTE(SUBSTITUTE(TRIM($A251),"-",""),".",""),"/",""),4)),VALUE(MID(SUBSTITUTE(SUBSTITUTE(SUBSTITUTE(TRIM($A251),"-",""),".",""),"/",""),5,2)),VALUE(RIGHT(SUBSTITUTE(SUBSTITUTE(SUBSTITUTE(TRIM($A251),"-",""),".",""),"/",""),2))),DATEVALUE($A251))),""))</f>
        <v/>
      </c>
    </row>
    <row r="252" customFormat="false" ht="15" hidden="false" customHeight="false" outlineLevel="0" collapsed="false">
      <c r="A252" s="47"/>
      <c r="B252" s="48"/>
      <c r="C252" s="132"/>
      <c r="D252" s="53"/>
      <c r="E252" s="48"/>
      <c r="F252" s="132"/>
      <c r="G252" s="133" t="str">
        <f aca="false">IF($A252="","",IFERROR(IF(ISNUMBER($A252),IF($A252&gt;19000000,DATE(INT($A252/10000),MOD(INT($A252/100),100),MOD($A252,100)),INT($A252)),IF(LEN(SUBSTITUTE(SUBSTITUTE(SUBSTITUTE(TRIM($A252),"-",""),".",""),"/",""))=8,DATE(VALUE(LEFT(SUBSTITUTE(SUBSTITUTE(SUBSTITUTE(TRIM($A252),"-",""),".",""),"/",""),4)),VALUE(MID(SUBSTITUTE(SUBSTITUTE(SUBSTITUTE(TRIM($A252),"-",""),".",""),"/",""),5,2)),VALUE(RIGHT(SUBSTITUTE(SUBSTITUTE(SUBSTITUTE(TRIM($A252),"-",""),".",""),"/",""),2))),DATEVALUE($A252))),""))</f>
        <v/>
      </c>
    </row>
    <row r="253" customFormat="false" ht="15" hidden="false" customHeight="false" outlineLevel="0" collapsed="false">
      <c r="A253" s="47"/>
      <c r="B253" s="48"/>
      <c r="C253" s="132"/>
      <c r="D253" s="53"/>
      <c r="E253" s="48"/>
      <c r="F253" s="132"/>
      <c r="G253" s="133" t="str">
        <f aca="false">IF($A253="","",IFERROR(IF(ISNUMBER($A253),IF($A253&gt;19000000,DATE(INT($A253/10000),MOD(INT($A253/100),100),MOD($A253,100)),INT($A253)),IF(LEN(SUBSTITUTE(SUBSTITUTE(SUBSTITUTE(TRIM($A253),"-",""),".",""),"/",""))=8,DATE(VALUE(LEFT(SUBSTITUTE(SUBSTITUTE(SUBSTITUTE(TRIM($A253),"-",""),".",""),"/",""),4)),VALUE(MID(SUBSTITUTE(SUBSTITUTE(SUBSTITUTE(TRIM($A253),"-",""),".",""),"/",""),5,2)),VALUE(RIGHT(SUBSTITUTE(SUBSTITUTE(SUBSTITUTE(TRIM($A253),"-",""),".",""),"/",""),2))),DATEVALUE($A253))),""))</f>
        <v/>
      </c>
    </row>
    <row r="254" customFormat="false" ht="15" hidden="false" customHeight="false" outlineLevel="0" collapsed="false">
      <c r="A254" s="47"/>
      <c r="B254" s="48"/>
      <c r="C254" s="132"/>
      <c r="D254" s="53"/>
      <c r="E254" s="48"/>
      <c r="F254" s="132"/>
      <c r="G254" s="133" t="str">
        <f aca="false">IF($A254="","",IFERROR(IF(ISNUMBER($A254),IF($A254&gt;19000000,DATE(INT($A254/10000),MOD(INT($A254/100),100),MOD($A254,100)),INT($A254)),IF(LEN(SUBSTITUTE(SUBSTITUTE(SUBSTITUTE(TRIM($A254),"-",""),".",""),"/",""))=8,DATE(VALUE(LEFT(SUBSTITUTE(SUBSTITUTE(SUBSTITUTE(TRIM($A254),"-",""),".",""),"/",""),4)),VALUE(MID(SUBSTITUTE(SUBSTITUTE(SUBSTITUTE(TRIM($A254),"-",""),".",""),"/",""),5,2)),VALUE(RIGHT(SUBSTITUTE(SUBSTITUTE(SUBSTITUTE(TRIM($A254),"-",""),".",""),"/",""),2))),DATEVALUE($A254))),""))</f>
        <v/>
      </c>
    </row>
    <row r="255" customFormat="false" ht="15" hidden="false" customHeight="false" outlineLevel="0" collapsed="false">
      <c r="A255" s="47"/>
      <c r="B255" s="48"/>
      <c r="C255" s="132"/>
      <c r="D255" s="53"/>
      <c r="E255" s="48"/>
      <c r="F255" s="132"/>
      <c r="G255" s="133" t="str">
        <f aca="false">IF($A255="","",IFERROR(IF(ISNUMBER($A255),IF($A255&gt;19000000,DATE(INT($A255/10000),MOD(INT($A255/100),100),MOD($A255,100)),INT($A255)),IF(LEN(SUBSTITUTE(SUBSTITUTE(SUBSTITUTE(TRIM($A255),"-",""),".",""),"/",""))=8,DATE(VALUE(LEFT(SUBSTITUTE(SUBSTITUTE(SUBSTITUTE(TRIM($A255),"-",""),".",""),"/",""),4)),VALUE(MID(SUBSTITUTE(SUBSTITUTE(SUBSTITUTE(TRIM($A255),"-",""),".",""),"/",""),5,2)),VALUE(RIGHT(SUBSTITUTE(SUBSTITUTE(SUBSTITUTE(TRIM($A255),"-",""),".",""),"/",""),2))),DATEVALUE($A255))),""))</f>
        <v/>
      </c>
    </row>
    <row r="256" customFormat="false" ht="15" hidden="false" customHeight="false" outlineLevel="0" collapsed="false">
      <c r="A256" s="47"/>
      <c r="B256" s="48"/>
      <c r="C256" s="132"/>
      <c r="D256" s="53"/>
      <c r="E256" s="48"/>
      <c r="F256" s="132"/>
      <c r="G256" s="133" t="str">
        <f aca="false">IF($A256="","",IFERROR(IF(ISNUMBER($A256),IF($A256&gt;19000000,DATE(INT($A256/10000),MOD(INT($A256/100),100),MOD($A256,100)),INT($A256)),IF(LEN(SUBSTITUTE(SUBSTITUTE(SUBSTITUTE(TRIM($A256),"-",""),".",""),"/",""))=8,DATE(VALUE(LEFT(SUBSTITUTE(SUBSTITUTE(SUBSTITUTE(TRIM($A256),"-",""),".",""),"/",""),4)),VALUE(MID(SUBSTITUTE(SUBSTITUTE(SUBSTITUTE(TRIM($A256),"-",""),".",""),"/",""),5,2)),VALUE(RIGHT(SUBSTITUTE(SUBSTITUTE(SUBSTITUTE(TRIM($A256),"-",""),".",""),"/",""),2))),DATEVALUE($A256))),""))</f>
        <v/>
      </c>
    </row>
    <row r="257" customFormat="false" ht="15" hidden="false" customHeight="false" outlineLevel="0" collapsed="false">
      <c r="A257" s="47"/>
      <c r="B257" s="48"/>
      <c r="C257" s="132"/>
      <c r="D257" s="53"/>
      <c r="E257" s="48"/>
      <c r="F257" s="132"/>
      <c r="G257" s="133" t="str">
        <f aca="false">IF($A257="","",IFERROR(IF(ISNUMBER($A257),IF($A257&gt;19000000,DATE(INT($A257/10000),MOD(INT($A257/100),100),MOD($A257,100)),INT($A257)),IF(LEN(SUBSTITUTE(SUBSTITUTE(SUBSTITUTE(TRIM($A257),"-",""),".",""),"/",""))=8,DATE(VALUE(LEFT(SUBSTITUTE(SUBSTITUTE(SUBSTITUTE(TRIM($A257),"-",""),".",""),"/",""),4)),VALUE(MID(SUBSTITUTE(SUBSTITUTE(SUBSTITUTE(TRIM($A257),"-",""),".",""),"/",""),5,2)),VALUE(RIGHT(SUBSTITUTE(SUBSTITUTE(SUBSTITUTE(TRIM($A257),"-",""),".",""),"/",""),2))),DATEVALUE($A257))),""))</f>
        <v/>
      </c>
    </row>
    <row r="258" customFormat="false" ht="15" hidden="false" customHeight="false" outlineLevel="0" collapsed="false">
      <c r="A258" s="47"/>
      <c r="B258" s="48"/>
      <c r="C258" s="132"/>
      <c r="D258" s="53"/>
      <c r="E258" s="48"/>
      <c r="F258" s="132"/>
      <c r="G258" s="133" t="str">
        <f aca="false">IF($A258="","",IFERROR(IF(ISNUMBER($A258),IF($A258&gt;19000000,DATE(INT($A258/10000),MOD(INT($A258/100),100),MOD($A258,100)),INT($A258)),IF(LEN(SUBSTITUTE(SUBSTITUTE(SUBSTITUTE(TRIM($A258),"-",""),".",""),"/",""))=8,DATE(VALUE(LEFT(SUBSTITUTE(SUBSTITUTE(SUBSTITUTE(TRIM($A258),"-",""),".",""),"/",""),4)),VALUE(MID(SUBSTITUTE(SUBSTITUTE(SUBSTITUTE(TRIM($A258),"-",""),".",""),"/",""),5,2)),VALUE(RIGHT(SUBSTITUTE(SUBSTITUTE(SUBSTITUTE(TRIM($A258),"-",""),".",""),"/",""),2))),DATEVALUE($A258))),""))</f>
        <v/>
      </c>
    </row>
    <row r="259" customFormat="false" ht="15" hidden="false" customHeight="false" outlineLevel="0" collapsed="false">
      <c r="A259" s="47"/>
      <c r="B259" s="48"/>
      <c r="C259" s="132"/>
      <c r="D259" s="53"/>
      <c r="E259" s="48"/>
      <c r="F259" s="132"/>
      <c r="G259" s="133" t="str">
        <f aca="false">IF($A259="","",IFERROR(IF(ISNUMBER($A259),IF($A259&gt;19000000,DATE(INT($A259/10000),MOD(INT($A259/100),100),MOD($A259,100)),INT($A259)),IF(LEN(SUBSTITUTE(SUBSTITUTE(SUBSTITUTE(TRIM($A259),"-",""),".",""),"/",""))=8,DATE(VALUE(LEFT(SUBSTITUTE(SUBSTITUTE(SUBSTITUTE(TRIM($A259),"-",""),".",""),"/",""),4)),VALUE(MID(SUBSTITUTE(SUBSTITUTE(SUBSTITUTE(TRIM($A259),"-",""),".",""),"/",""),5,2)),VALUE(RIGHT(SUBSTITUTE(SUBSTITUTE(SUBSTITUTE(TRIM($A259),"-",""),".",""),"/",""),2))),DATEVALUE($A259))),""))</f>
        <v/>
      </c>
    </row>
    <row r="260" customFormat="false" ht="15" hidden="false" customHeight="false" outlineLevel="0" collapsed="false">
      <c r="A260" s="47"/>
      <c r="B260" s="48"/>
      <c r="C260" s="132"/>
      <c r="D260" s="53"/>
      <c r="E260" s="48"/>
      <c r="F260" s="132"/>
      <c r="G260" s="133" t="str">
        <f aca="false">IF($A260="","",IFERROR(IF(ISNUMBER($A260),IF($A260&gt;19000000,DATE(INT($A260/10000),MOD(INT($A260/100),100),MOD($A260,100)),INT($A260)),IF(LEN(SUBSTITUTE(SUBSTITUTE(SUBSTITUTE(TRIM($A260),"-",""),".",""),"/",""))=8,DATE(VALUE(LEFT(SUBSTITUTE(SUBSTITUTE(SUBSTITUTE(TRIM($A260),"-",""),".",""),"/",""),4)),VALUE(MID(SUBSTITUTE(SUBSTITUTE(SUBSTITUTE(TRIM($A260),"-",""),".",""),"/",""),5,2)),VALUE(RIGHT(SUBSTITUTE(SUBSTITUTE(SUBSTITUTE(TRIM($A260),"-",""),".",""),"/",""),2))),DATEVALUE($A260))),""))</f>
        <v/>
      </c>
    </row>
    <row r="261" customFormat="false" ht="15" hidden="false" customHeight="false" outlineLevel="0" collapsed="false">
      <c r="A261" s="47"/>
      <c r="B261" s="48"/>
      <c r="C261" s="132"/>
      <c r="D261" s="53"/>
      <c r="E261" s="48"/>
      <c r="F261" s="132"/>
      <c r="G261" s="133" t="str">
        <f aca="false">IF($A261="","",IFERROR(IF(ISNUMBER($A261),IF($A261&gt;19000000,DATE(INT($A261/10000),MOD(INT($A261/100),100),MOD($A261,100)),INT($A261)),IF(LEN(SUBSTITUTE(SUBSTITUTE(SUBSTITUTE(TRIM($A261),"-",""),".",""),"/",""))=8,DATE(VALUE(LEFT(SUBSTITUTE(SUBSTITUTE(SUBSTITUTE(TRIM($A261),"-",""),".",""),"/",""),4)),VALUE(MID(SUBSTITUTE(SUBSTITUTE(SUBSTITUTE(TRIM($A261),"-",""),".",""),"/",""),5,2)),VALUE(RIGHT(SUBSTITUTE(SUBSTITUTE(SUBSTITUTE(TRIM($A261),"-",""),".",""),"/",""),2))),DATEVALUE($A261))),""))</f>
        <v/>
      </c>
    </row>
    <row r="262" customFormat="false" ht="15" hidden="false" customHeight="false" outlineLevel="0" collapsed="false">
      <c r="A262" s="47"/>
      <c r="B262" s="48"/>
      <c r="C262" s="132"/>
      <c r="D262" s="53"/>
      <c r="E262" s="48"/>
      <c r="F262" s="132"/>
      <c r="G262" s="133" t="str">
        <f aca="false">IF($A262="","",IFERROR(IF(ISNUMBER($A262),IF($A262&gt;19000000,DATE(INT($A262/10000),MOD(INT($A262/100),100),MOD($A262,100)),INT($A262)),IF(LEN(SUBSTITUTE(SUBSTITUTE(SUBSTITUTE(TRIM($A262),"-",""),".",""),"/",""))=8,DATE(VALUE(LEFT(SUBSTITUTE(SUBSTITUTE(SUBSTITUTE(TRIM($A262),"-",""),".",""),"/",""),4)),VALUE(MID(SUBSTITUTE(SUBSTITUTE(SUBSTITUTE(TRIM($A262),"-",""),".",""),"/",""),5,2)),VALUE(RIGHT(SUBSTITUTE(SUBSTITUTE(SUBSTITUTE(TRIM($A262),"-",""),".",""),"/",""),2))),DATEVALUE($A262))),""))</f>
        <v/>
      </c>
    </row>
    <row r="263" customFormat="false" ht="15" hidden="false" customHeight="false" outlineLevel="0" collapsed="false">
      <c r="A263" s="47"/>
      <c r="B263" s="48"/>
      <c r="C263" s="132"/>
      <c r="D263" s="53"/>
      <c r="E263" s="48"/>
      <c r="F263" s="132"/>
      <c r="G263" s="133" t="str">
        <f aca="false">IF($A263="","",IFERROR(IF(ISNUMBER($A263),IF($A263&gt;19000000,DATE(INT($A263/10000),MOD(INT($A263/100),100),MOD($A263,100)),INT($A263)),IF(LEN(SUBSTITUTE(SUBSTITUTE(SUBSTITUTE(TRIM($A263),"-",""),".",""),"/",""))=8,DATE(VALUE(LEFT(SUBSTITUTE(SUBSTITUTE(SUBSTITUTE(TRIM($A263),"-",""),".",""),"/",""),4)),VALUE(MID(SUBSTITUTE(SUBSTITUTE(SUBSTITUTE(TRIM($A263),"-",""),".",""),"/",""),5,2)),VALUE(RIGHT(SUBSTITUTE(SUBSTITUTE(SUBSTITUTE(TRIM($A263),"-",""),".",""),"/",""),2))),DATEVALUE($A263))),""))</f>
        <v/>
      </c>
    </row>
    <row r="264" customFormat="false" ht="15" hidden="false" customHeight="false" outlineLevel="0" collapsed="false">
      <c r="A264" s="47"/>
      <c r="B264" s="48"/>
      <c r="C264" s="132"/>
      <c r="D264" s="53"/>
      <c r="E264" s="48"/>
      <c r="F264" s="132"/>
      <c r="G264" s="133" t="str">
        <f aca="false">IF($A264="","",IFERROR(IF(ISNUMBER($A264),IF($A264&gt;19000000,DATE(INT($A264/10000),MOD(INT($A264/100),100),MOD($A264,100)),INT($A264)),IF(LEN(SUBSTITUTE(SUBSTITUTE(SUBSTITUTE(TRIM($A264),"-",""),".",""),"/",""))=8,DATE(VALUE(LEFT(SUBSTITUTE(SUBSTITUTE(SUBSTITUTE(TRIM($A264),"-",""),".",""),"/",""),4)),VALUE(MID(SUBSTITUTE(SUBSTITUTE(SUBSTITUTE(TRIM($A264),"-",""),".",""),"/",""),5,2)),VALUE(RIGHT(SUBSTITUTE(SUBSTITUTE(SUBSTITUTE(TRIM($A264),"-",""),".",""),"/",""),2))),DATEVALUE($A264))),""))</f>
        <v/>
      </c>
    </row>
    <row r="265" customFormat="false" ht="15" hidden="false" customHeight="false" outlineLevel="0" collapsed="false">
      <c r="A265" s="47"/>
      <c r="B265" s="48"/>
      <c r="C265" s="132"/>
      <c r="D265" s="53"/>
      <c r="E265" s="48"/>
      <c r="F265" s="132"/>
      <c r="G265" s="133" t="str">
        <f aca="false">IF($A265="","",IFERROR(IF(ISNUMBER($A265),IF($A265&gt;19000000,DATE(INT($A265/10000),MOD(INT($A265/100),100),MOD($A265,100)),INT($A265)),IF(LEN(SUBSTITUTE(SUBSTITUTE(SUBSTITUTE(TRIM($A265),"-",""),".",""),"/",""))=8,DATE(VALUE(LEFT(SUBSTITUTE(SUBSTITUTE(SUBSTITUTE(TRIM($A265),"-",""),".",""),"/",""),4)),VALUE(MID(SUBSTITUTE(SUBSTITUTE(SUBSTITUTE(TRIM($A265),"-",""),".",""),"/",""),5,2)),VALUE(RIGHT(SUBSTITUTE(SUBSTITUTE(SUBSTITUTE(TRIM($A265),"-",""),".",""),"/",""),2))),DATEVALUE($A265))),""))</f>
        <v/>
      </c>
    </row>
    <row r="266" customFormat="false" ht="15" hidden="false" customHeight="false" outlineLevel="0" collapsed="false">
      <c r="A266" s="47"/>
      <c r="B266" s="48"/>
      <c r="C266" s="132"/>
      <c r="D266" s="53"/>
      <c r="E266" s="48"/>
      <c r="F266" s="132"/>
      <c r="G266" s="133" t="str">
        <f aca="false">IF($A266="","",IFERROR(IF(ISNUMBER($A266),IF($A266&gt;19000000,DATE(INT($A266/10000),MOD(INT($A266/100),100),MOD($A266,100)),INT($A266)),IF(LEN(SUBSTITUTE(SUBSTITUTE(SUBSTITUTE(TRIM($A266),"-",""),".",""),"/",""))=8,DATE(VALUE(LEFT(SUBSTITUTE(SUBSTITUTE(SUBSTITUTE(TRIM($A266),"-",""),".",""),"/",""),4)),VALUE(MID(SUBSTITUTE(SUBSTITUTE(SUBSTITUTE(TRIM($A266),"-",""),".",""),"/",""),5,2)),VALUE(RIGHT(SUBSTITUTE(SUBSTITUTE(SUBSTITUTE(TRIM($A266),"-",""),".",""),"/",""),2))),DATEVALUE($A266))),""))</f>
        <v/>
      </c>
    </row>
    <row r="267" customFormat="false" ht="15" hidden="false" customHeight="false" outlineLevel="0" collapsed="false">
      <c r="A267" s="47"/>
      <c r="B267" s="48"/>
      <c r="C267" s="132"/>
      <c r="D267" s="53"/>
      <c r="E267" s="48"/>
      <c r="F267" s="132"/>
      <c r="G267" s="133" t="str">
        <f aca="false">IF($A267="","",IFERROR(IF(ISNUMBER($A267),IF($A267&gt;19000000,DATE(INT($A267/10000),MOD(INT($A267/100),100),MOD($A267,100)),INT($A267)),IF(LEN(SUBSTITUTE(SUBSTITUTE(SUBSTITUTE(TRIM($A267),"-",""),".",""),"/",""))=8,DATE(VALUE(LEFT(SUBSTITUTE(SUBSTITUTE(SUBSTITUTE(TRIM($A267),"-",""),".",""),"/",""),4)),VALUE(MID(SUBSTITUTE(SUBSTITUTE(SUBSTITUTE(TRIM($A267),"-",""),".",""),"/",""),5,2)),VALUE(RIGHT(SUBSTITUTE(SUBSTITUTE(SUBSTITUTE(TRIM($A267),"-",""),".",""),"/",""),2))),DATEVALUE($A267))),""))</f>
        <v/>
      </c>
    </row>
    <row r="268" customFormat="false" ht="15" hidden="false" customHeight="false" outlineLevel="0" collapsed="false">
      <c r="A268" s="47"/>
      <c r="B268" s="48"/>
      <c r="C268" s="132"/>
      <c r="D268" s="53"/>
      <c r="E268" s="48"/>
      <c r="F268" s="132"/>
      <c r="G268" s="133" t="str">
        <f aca="false">IF($A268="","",IFERROR(IF(ISNUMBER($A268),IF($A268&gt;19000000,DATE(INT($A268/10000),MOD(INT($A268/100),100),MOD($A268,100)),INT($A268)),IF(LEN(SUBSTITUTE(SUBSTITUTE(SUBSTITUTE(TRIM($A268),"-",""),".",""),"/",""))=8,DATE(VALUE(LEFT(SUBSTITUTE(SUBSTITUTE(SUBSTITUTE(TRIM($A268),"-",""),".",""),"/",""),4)),VALUE(MID(SUBSTITUTE(SUBSTITUTE(SUBSTITUTE(TRIM($A268),"-",""),".",""),"/",""),5,2)),VALUE(RIGHT(SUBSTITUTE(SUBSTITUTE(SUBSTITUTE(TRIM($A268),"-",""),".",""),"/",""),2))),DATEVALUE($A268))),""))</f>
        <v/>
      </c>
    </row>
    <row r="269" customFormat="false" ht="15" hidden="false" customHeight="false" outlineLevel="0" collapsed="false">
      <c r="A269" s="47"/>
      <c r="B269" s="48"/>
      <c r="C269" s="132"/>
      <c r="D269" s="53"/>
      <c r="E269" s="48"/>
      <c r="F269" s="132"/>
      <c r="G269" s="133" t="str">
        <f aca="false">IF($A269="","",IFERROR(IF(ISNUMBER($A269),IF($A269&gt;19000000,DATE(INT($A269/10000),MOD(INT($A269/100),100),MOD($A269,100)),INT($A269)),IF(LEN(SUBSTITUTE(SUBSTITUTE(SUBSTITUTE(TRIM($A269),"-",""),".",""),"/",""))=8,DATE(VALUE(LEFT(SUBSTITUTE(SUBSTITUTE(SUBSTITUTE(TRIM($A269),"-",""),".",""),"/",""),4)),VALUE(MID(SUBSTITUTE(SUBSTITUTE(SUBSTITUTE(TRIM($A269),"-",""),".",""),"/",""),5,2)),VALUE(RIGHT(SUBSTITUTE(SUBSTITUTE(SUBSTITUTE(TRIM($A269),"-",""),".",""),"/",""),2))),DATEVALUE($A269))),""))</f>
        <v/>
      </c>
    </row>
    <row r="270" customFormat="false" ht="15" hidden="false" customHeight="false" outlineLevel="0" collapsed="false">
      <c r="A270" s="47"/>
      <c r="B270" s="48"/>
      <c r="C270" s="132"/>
      <c r="D270" s="53"/>
      <c r="E270" s="48"/>
      <c r="F270" s="132"/>
      <c r="G270" s="133" t="str">
        <f aca="false">IF($A270="","",IFERROR(IF(ISNUMBER($A270),IF($A270&gt;19000000,DATE(INT($A270/10000),MOD(INT($A270/100),100),MOD($A270,100)),INT($A270)),IF(LEN(SUBSTITUTE(SUBSTITUTE(SUBSTITUTE(TRIM($A270),"-",""),".",""),"/",""))=8,DATE(VALUE(LEFT(SUBSTITUTE(SUBSTITUTE(SUBSTITUTE(TRIM($A270),"-",""),".",""),"/",""),4)),VALUE(MID(SUBSTITUTE(SUBSTITUTE(SUBSTITUTE(TRIM($A270),"-",""),".",""),"/",""),5,2)),VALUE(RIGHT(SUBSTITUTE(SUBSTITUTE(SUBSTITUTE(TRIM($A270),"-",""),".",""),"/",""),2))),DATEVALUE($A270))),""))</f>
        <v/>
      </c>
    </row>
    <row r="271" customFormat="false" ht="15" hidden="false" customHeight="false" outlineLevel="0" collapsed="false">
      <c r="A271" s="47"/>
      <c r="B271" s="48"/>
      <c r="C271" s="132"/>
      <c r="D271" s="53"/>
      <c r="E271" s="48"/>
      <c r="F271" s="132"/>
      <c r="G271" s="133" t="str">
        <f aca="false">IF($A271="","",IFERROR(IF(ISNUMBER($A271),IF($A271&gt;19000000,DATE(INT($A271/10000),MOD(INT($A271/100),100),MOD($A271,100)),INT($A271)),IF(LEN(SUBSTITUTE(SUBSTITUTE(SUBSTITUTE(TRIM($A271),"-",""),".",""),"/",""))=8,DATE(VALUE(LEFT(SUBSTITUTE(SUBSTITUTE(SUBSTITUTE(TRIM($A271),"-",""),".",""),"/",""),4)),VALUE(MID(SUBSTITUTE(SUBSTITUTE(SUBSTITUTE(TRIM($A271),"-",""),".",""),"/",""),5,2)),VALUE(RIGHT(SUBSTITUTE(SUBSTITUTE(SUBSTITUTE(TRIM($A271),"-",""),".",""),"/",""),2))),DATEVALUE($A271))),""))</f>
        <v/>
      </c>
    </row>
    <row r="272" customFormat="false" ht="15" hidden="false" customHeight="false" outlineLevel="0" collapsed="false">
      <c r="A272" s="47"/>
      <c r="B272" s="48"/>
      <c r="C272" s="132"/>
      <c r="D272" s="53"/>
      <c r="E272" s="48"/>
      <c r="F272" s="132"/>
      <c r="G272" s="133" t="str">
        <f aca="false">IF($A272="","",IFERROR(IF(ISNUMBER($A272),IF($A272&gt;19000000,DATE(INT($A272/10000),MOD(INT($A272/100),100),MOD($A272,100)),INT($A272)),IF(LEN(SUBSTITUTE(SUBSTITUTE(SUBSTITUTE(TRIM($A272),"-",""),".",""),"/",""))=8,DATE(VALUE(LEFT(SUBSTITUTE(SUBSTITUTE(SUBSTITUTE(TRIM($A272),"-",""),".",""),"/",""),4)),VALUE(MID(SUBSTITUTE(SUBSTITUTE(SUBSTITUTE(TRIM($A272),"-",""),".",""),"/",""),5,2)),VALUE(RIGHT(SUBSTITUTE(SUBSTITUTE(SUBSTITUTE(TRIM($A272),"-",""),".",""),"/",""),2))),DATEVALUE($A272))),""))</f>
        <v/>
      </c>
    </row>
    <row r="273" customFormat="false" ht="15" hidden="false" customHeight="false" outlineLevel="0" collapsed="false">
      <c r="A273" s="47"/>
      <c r="B273" s="48"/>
      <c r="C273" s="132"/>
      <c r="D273" s="53"/>
      <c r="E273" s="48"/>
      <c r="F273" s="132"/>
      <c r="G273" s="133" t="str">
        <f aca="false">IF($A273="","",IFERROR(IF(ISNUMBER($A273),IF($A273&gt;19000000,DATE(INT($A273/10000),MOD(INT($A273/100),100),MOD($A273,100)),INT($A273)),IF(LEN(SUBSTITUTE(SUBSTITUTE(SUBSTITUTE(TRIM($A273),"-",""),".",""),"/",""))=8,DATE(VALUE(LEFT(SUBSTITUTE(SUBSTITUTE(SUBSTITUTE(TRIM($A273),"-",""),".",""),"/",""),4)),VALUE(MID(SUBSTITUTE(SUBSTITUTE(SUBSTITUTE(TRIM($A273),"-",""),".",""),"/",""),5,2)),VALUE(RIGHT(SUBSTITUTE(SUBSTITUTE(SUBSTITUTE(TRIM($A273),"-",""),".",""),"/",""),2))),DATEVALUE($A273))),""))</f>
        <v/>
      </c>
    </row>
    <row r="274" customFormat="false" ht="15" hidden="false" customHeight="false" outlineLevel="0" collapsed="false">
      <c r="A274" s="47"/>
      <c r="B274" s="48"/>
      <c r="C274" s="132"/>
      <c r="D274" s="53"/>
      <c r="E274" s="48"/>
      <c r="F274" s="132"/>
      <c r="G274" s="133" t="str">
        <f aca="false">IF($A274="","",IFERROR(IF(ISNUMBER($A274),IF($A274&gt;19000000,DATE(INT($A274/10000),MOD(INT($A274/100),100),MOD($A274,100)),INT($A274)),IF(LEN(SUBSTITUTE(SUBSTITUTE(SUBSTITUTE(TRIM($A274),"-",""),".",""),"/",""))=8,DATE(VALUE(LEFT(SUBSTITUTE(SUBSTITUTE(SUBSTITUTE(TRIM($A274),"-",""),".",""),"/",""),4)),VALUE(MID(SUBSTITUTE(SUBSTITUTE(SUBSTITUTE(TRIM($A274),"-",""),".",""),"/",""),5,2)),VALUE(RIGHT(SUBSTITUTE(SUBSTITUTE(SUBSTITUTE(TRIM($A274),"-",""),".",""),"/",""),2))),DATEVALUE($A274))),""))</f>
        <v/>
      </c>
    </row>
    <row r="275" customFormat="false" ht="15" hidden="false" customHeight="false" outlineLevel="0" collapsed="false">
      <c r="A275" s="47"/>
      <c r="B275" s="48"/>
      <c r="C275" s="132"/>
      <c r="D275" s="53"/>
      <c r="E275" s="48"/>
      <c r="F275" s="132"/>
      <c r="G275" s="133" t="str">
        <f aca="false">IF($A275="","",IFERROR(IF(ISNUMBER($A275),IF($A275&gt;19000000,DATE(INT($A275/10000),MOD(INT($A275/100),100),MOD($A275,100)),INT($A275)),IF(LEN(SUBSTITUTE(SUBSTITUTE(SUBSTITUTE(TRIM($A275),"-",""),".",""),"/",""))=8,DATE(VALUE(LEFT(SUBSTITUTE(SUBSTITUTE(SUBSTITUTE(TRIM($A275),"-",""),".",""),"/",""),4)),VALUE(MID(SUBSTITUTE(SUBSTITUTE(SUBSTITUTE(TRIM($A275),"-",""),".",""),"/",""),5,2)),VALUE(RIGHT(SUBSTITUTE(SUBSTITUTE(SUBSTITUTE(TRIM($A275),"-",""),".",""),"/",""),2))),DATEVALUE($A275))),""))</f>
        <v/>
      </c>
    </row>
    <row r="276" customFormat="false" ht="15" hidden="false" customHeight="false" outlineLevel="0" collapsed="false">
      <c r="A276" s="47"/>
      <c r="B276" s="48"/>
      <c r="C276" s="132"/>
      <c r="D276" s="53"/>
      <c r="E276" s="48"/>
      <c r="F276" s="132"/>
      <c r="G276" s="133" t="str">
        <f aca="false">IF($A276="","",IFERROR(IF(ISNUMBER($A276),IF($A276&gt;19000000,DATE(INT($A276/10000),MOD(INT($A276/100),100),MOD($A276,100)),INT($A276)),IF(LEN(SUBSTITUTE(SUBSTITUTE(SUBSTITUTE(TRIM($A276),"-",""),".",""),"/",""))=8,DATE(VALUE(LEFT(SUBSTITUTE(SUBSTITUTE(SUBSTITUTE(TRIM($A276),"-",""),".",""),"/",""),4)),VALUE(MID(SUBSTITUTE(SUBSTITUTE(SUBSTITUTE(TRIM($A276),"-",""),".",""),"/",""),5,2)),VALUE(RIGHT(SUBSTITUTE(SUBSTITUTE(SUBSTITUTE(TRIM($A276),"-",""),".",""),"/",""),2))),DATEVALUE($A276))),""))</f>
        <v/>
      </c>
    </row>
    <row r="277" customFormat="false" ht="15" hidden="false" customHeight="false" outlineLevel="0" collapsed="false">
      <c r="A277" s="47"/>
      <c r="B277" s="48"/>
      <c r="C277" s="132"/>
      <c r="D277" s="53"/>
      <c r="E277" s="48"/>
      <c r="F277" s="132"/>
      <c r="G277" s="133" t="str">
        <f aca="false">IF($A277="","",IFERROR(IF(ISNUMBER($A277),IF($A277&gt;19000000,DATE(INT($A277/10000),MOD(INT($A277/100),100),MOD($A277,100)),INT($A277)),IF(LEN(SUBSTITUTE(SUBSTITUTE(SUBSTITUTE(TRIM($A277),"-",""),".",""),"/",""))=8,DATE(VALUE(LEFT(SUBSTITUTE(SUBSTITUTE(SUBSTITUTE(TRIM($A277),"-",""),".",""),"/",""),4)),VALUE(MID(SUBSTITUTE(SUBSTITUTE(SUBSTITUTE(TRIM($A277),"-",""),".",""),"/",""),5,2)),VALUE(RIGHT(SUBSTITUTE(SUBSTITUTE(SUBSTITUTE(TRIM($A277),"-",""),".",""),"/",""),2))),DATEVALUE($A277))),""))</f>
        <v/>
      </c>
    </row>
    <row r="278" customFormat="false" ht="15" hidden="false" customHeight="false" outlineLevel="0" collapsed="false">
      <c r="A278" s="47"/>
      <c r="B278" s="48"/>
      <c r="C278" s="132"/>
      <c r="D278" s="53"/>
      <c r="E278" s="48"/>
      <c r="F278" s="132"/>
      <c r="G278" s="133" t="str">
        <f aca="false">IF($A278="","",IFERROR(IF(ISNUMBER($A278),IF($A278&gt;19000000,DATE(INT($A278/10000),MOD(INT($A278/100),100),MOD($A278,100)),INT($A278)),IF(LEN(SUBSTITUTE(SUBSTITUTE(SUBSTITUTE(TRIM($A278),"-",""),".",""),"/",""))=8,DATE(VALUE(LEFT(SUBSTITUTE(SUBSTITUTE(SUBSTITUTE(TRIM($A278),"-",""),".",""),"/",""),4)),VALUE(MID(SUBSTITUTE(SUBSTITUTE(SUBSTITUTE(TRIM($A278),"-",""),".",""),"/",""),5,2)),VALUE(RIGHT(SUBSTITUTE(SUBSTITUTE(SUBSTITUTE(TRIM($A278),"-",""),".",""),"/",""),2))),DATEVALUE($A278))),""))</f>
        <v/>
      </c>
    </row>
    <row r="279" customFormat="false" ht="15" hidden="false" customHeight="false" outlineLevel="0" collapsed="false">
      <c r="A279" s="47"/>
      <c r="B279" s="48"/>
      <c r="C279" s="132"/>
      <c r="D279" s="53"/>
      <c r="E279" s="48"/>
      <c r="F279" s="132"/>
      <c r="G279" s="133" t="str">
        <f aca="false">IF($A279="","",IFERROR(IF(ISNUMBER($A279),IF($A279&gt;19000000,DATE(INT($A279/10000),MOD(INT($A279/100),100),MOD($A279,100)),INT($A279)),IF(LEN(SUBSTITUTE(SUBSTITUTE(SUBSTITUTE(TRIM($A279),"-",""),".",""),"/",""))=8,DATE(VALUE(LEFT(SUBSTITUTE(SUBSTITUTE(SUBSTITUTE(TRIM($A279),"-",""),".",""),"/",""),4)),VALUE(MID(SUBSTITUTE(SUBSTITUTE(SUBSTITUTE(TRIM($A279),"-",""),".",""),"/",""),5,2)),VALUE(RIGHT(SUBSTITUTE(SUBSTITUTE(SUBSTITUTE(TRIM($A279),"-",""),".",""),"/",""),2))),DATEVALUE($A279))),""))</f>
        <v/>
      </c>
    </row>
    <row r="280" customFormat="false" ht="15" hidden="false" customHeight="false" outlineLevel="0" collapsed="false">
      <c r="A280" s="47"/>
      <c r="B280" s="48"/>
      <c r="C280" s="132"/>
      <c r="D280" s="53"/>
      <c r="E280" s="48"/>
      <c r="F280" s="132"/>
      <c r="G280" s="133" t="str">
        <f aca="false">IF($A280="","",IFERROR(IF(ISNUMBER($A280),IF($A280&gt;19000000,DATE(INT($A280/10000),MOD(INT($A280/100),100),MOD($A280,100)),INT($A280)),IF(LEN(SUBSTITUTE(SUBSTITUTE(SUBSTITUTE(TRIM($A280),"-",""),".",""),"/",""))=8,DATE(VALUE(LEFT(SUBSTITUTE(SUBSTITUTE(SUBSTITUTE(TRIM($A280),"-",""),".",""),"/",""),4)),VALUE(MID(SUBSTITUTE(SUBSTITUTE(SUBSTITUTE(TRIM($A280),"-",""),".",""),"/",""),5,2)),VALUE(RIGHT(SUBSTITUTE(SUBSTITUTE(SUBSTITUTE(TRIM($A280),"-",""),".",""),"/",""),2))),DATEVALUE($A280))),""))</f>
        <v/>
      </c>
    </row>
    <row r="281" customFormat="false" ht="15" hidden="false" customHeight="false" outlineLevel="0" collapsed="false">
      <c r="A281" s="47"/>
      <c r="B281" s="48"/>
      <c r="C281" s="132"/>
      <c r="D281" s="53"/>
      <c r="E281" s="48"/>
      <c r="F281" s="132"/>
      <c r="G281" s="133" t="str">
        <f aca="false">IF($A281="","",IFERROR(IF(ISNUMBER($A281),IF($A281&gt;19000000,DATE(INT($A281/10000),MOD(INT($A281/100),100),MOD($A281,100)),INT($A281)),IF(LEN(SUBSTITUTE(SUBSTITUTE(SUBSTITUTE(TRIM($A281),"-",""),".",""),"/",""))=8,DATE(VALUE(LEFT(SUBSTITUTE(SUBSTITUTE(SUBSTITUTE(TRIM($A281),"-",""),".",""),"/",""),4)),VALUE(MID(SUBSTITUTE(SUBSTITUTE(SUBSTITUTE(TRIM($A281),"-",""),".",""),"/",""),5,2)),VALUE(RIGHT(SUBSTITUTE(SUBSTITUTE(SUBSTITUTE(TRIM($A281),"-",""),".",""),"/",""),2))),DATEVALUE($A281))),""))</f>
        <v/>
      </c>
    </row>
    <row r="282" customFormat="false" ht="15" hidden="false" customHeight="false" outlineLevel="0" collapsed="false">
      <c r="A282" s="47"/>
      <c r="B282" s="48"/>
      <c r="C282" s="132"/>
      <c r="D282" s="53"/>
      <c r="E282" s="48"/>
      <c r="F282" s="132"/>
      <c r="G282" s="133" t="str">
        <f aca="false">IF($A282="","",IFERROR(IF(ISNUMBER($A282),IF($A282&gt;19000000,DATE(INT($A282/10000),MOD(INT($A282/100),100),MOD($A282,100)),INT($A282)),IF(LEN(SUBSTITUTE(SUBSTITUTE(SUBSTITUTE(TRIM($A282),"-",""),".",""),"/",""))=8,DATE(VALUE(LEFT(SUBSTITUTE(SUBSTITUTE(SUBSTITUTE(TRIM($A282),"-",""),".",""),"/",""),4)),VALUE(MID(SUBSTITUTE(SUBSTITUTE(SUBSTITUTE(TRIM($A282),"-",""),".",""),"/",""),5,2)),VALUE(RIGHT(SUBSTITUTE(SUBSTITUTE(SUBSTITUTE(TRIM($A282),"-",""),".",""),"/",""),2))),DATEVALUE($A282))),""))</f>
        <v/>
      </c>
    </row>
    <row r="283" customFormat="false" ht="15" hidden="false" customHeight="false" outlineLevel="0" collapsed="false">
      <c r="A283" s="47"/>
      <c r="B283" s="48"/>
      <c r="C283" s="132"/>
      <c r="D283" s="53"/>
      <c r="E283" s="48"/>
      <c r="F283" s="132"/>
      <c r="G283" s="133" t="str">
        <f aca="false">IF($A283="","",IFERROR(IF(ISNUMBER($A283),IF($A283&gt;19000000,DATE(INT($A283/10000),MOD(INT($A283/100),100),MOD($A283,100)),INT($A283)),IF(LEN(SUBSTITUTE(SUBSTITUTE(SUBSTITUTE(TRIM($A283),"-",""),".",""),"/",""))=8,DATE(VALUE(LEFT(SUBSTITUTE(SUBSTITUTE(SUBSTITUTE(TRIM($A283),"-",""),".",""),"/",""),4)),VALUE(MID(SUBSTITUTE(SUBSTITUTE(SUBSTITUTE(TRIM($A283),"-",""),".",""),"/",""),5,2)),VALUE(RIGHT(SUBSTITUTE(SUBSTITUTE(SUBSTITUTE(TRIM($A283),"-",""),".",""),"/",""),2))),DATEVALUE($A283))),""))</f>
        <v/>
      </c>
    </row>
    <row r="284" customFormat="false" ht="15" hidden="false" customHeight="false" outlineLevel="0" collapsed="false">
      <c r="A284" s="47"/>
      <c r="B284" s="48"/>
      <c r="C284" s="132"/>
      <c r="D284" s="53"/>
      <c r="E284" s="48"/>
      <c r="F284" s="132"/>
      <c r="G284" s="133" t="str">
        <f aca="false">IF($A284="","",IFERROR(IF(ISNUMBER($A284),IF($A284&gt;19000000,DATE(INT($A284/10000),MOD(INT($A284/100),100),MOD($A284,100)),INT($A284)),IF(LEN(SUBSTITUTE(SUBSTITUTE(SUBSTITUTE(TRIM($A284),"-",""),".",""),"/",""))=8,DATE(VALUE(LEFT(SUBSTITUTE(SUBSTITUTE(SUBSTITUTE(TRIM($A284),"-",""),".",""),"/",""),4)),VALUE(MID(SUBSTITUTE(SUBSTITUTE(SUBSTITUTE(TRIM($A284),"-",""),".",""),"/",""),5,2)),VALUE(RIGHT(SUBSTITUTE(SUBSTITUTE(SUBSTITUTE(TRIM($A284),"-",""),".",""),"/",""),2))),DATEVALUE($A284))),""))</f>
        <v/>
      </c>
    </row>
    <row r="285" customFormat="false" ht="15" hidden="false" customHeight="false" outlineLevel="0" collapsed="false">
      <c r="A285" s="47"/>
      <c r="B285" s="48"/>
      <c r="C285" s="132"/>
      <c r="D285" s="53"/>
      <c r="E285" s="48"/>
      <c r="F285" s="132"/>
      <c r="G285" s="133" t="str">
        <f aca="false">IF($A285="","",IFERROR(IF(ISNUMBER($A285),IF($A285&gt;19000000,DATE(INT($A285/10000),MOD(INT($A285/100),100),MOD($A285,100)),INT($A285)),IF(LEN(SUBSTITUTE(SUBSTITUTE(SUBSTITUTE(TRIM($A285),"-",""),".",""),"/",""))=8,DATE(VALUE(LEFT(SUBSTITUTE(SUBSTITUTE(SUBSTITUTE(TRIM($A285),"-",""),".",""),"/",""),4)),VALUE(MID(SUBSTITUTE(SUBSTITUTE(SUBSTITUTE(TRIM($A285),"-",""),".",""),"/",""),5,2)),VALUE(RIGHT(SUBSTITUTE(SUBSTITUTE(SUBSTITUTE(TRIM($A285),"-",""),".",""),"/",""),2))),DATEVALUE($A285))),""))</f>
        <v/>
      </c>
    </row>
    <row r="286" customFormat="false" ht="15" hidden="false" customHeight="false" outlineLevel="0" collapsed="false">
      <c r="A286" s="47"/>
      <c r="B286" s="48"/>
      <c r="C286" s="132"/>
      <c r="D286" s="53"/>
      <c r="E286" s="48"/>
      <c r="F286" s="132"/>
      <c r="G286" s="133" t="str">
        <f aca="false">IF($A286="","",IFERROR(IF(ISNUMBER($A286),IF($A286&gt;19000000,DATE(INT($A286/10000),MOD(INT($A286/100),100),MOD($A286,100)),INT($A286)),IF(LEN(SUBSTITUTE(SUBSTITUTE(SUBSTITUTE(TRIM($A286),"-",""),".",""),"/",""))=8,DATE(VALUE(LEFT(SUBSTITUTE(SUBSTITUTE(SUBSTITUTE(TRIM($A286),"-",""),".",""),"/",""),4)),VALUE(MID(SUBSTITUTE(SUBSTITUTE(SUBSTITUTE(TRIM($A286),"-",""),".",""),"/",""),5,2)),VALUE(RIGHT(SUBSTITUTE(SUBSTITUTE(SUBSTITUTE(TRIM($A286),"-",""),".",""),"/",""),2))),DATEVALUE($A286))),""))</f>
        <v/>
      </c>
    </row>
    <row r="287" customFormat="false" ht="15" hidden="false" customHeight="false" outlineLevel="0" collapsed="false">
      <c r="A287" s="47"/>
      <c r="B287" s="48"/>
      <c r="C287" s="132"/>
      <c r="D287" s="53"/>
      <c r="E287" s="48"/>
      <c r="F287" s="132"/>
      <c r="G287" s="133" t="str">
        <f aca="false">IF($A287="","",IFERROR(IF(ISNUMBER($A287),IF($A287&gt;19000000,DATE(INT($A287/10000),MOD(INT($A287/100),100),MOD($A287,100)),INT($A287)),IF(LEN(SUBSTITUTE(SUBSTITUTE(SUBSTITUTE(TRIM($A287),"-",""),".",""),"/",""))=8,DATE(VALUE(LEFT(SUBSTITUTE(SUBSTITUTE(SUBSTITUTE(TRIM($A287),"-",""),".",""),"/",""),4)),VALUE(MID(SUBSTITUTE(SUBSTITUTE(SUBSTITUTE(TRIM($A287),"-",""),".",""),"/",""),5,2)),VALUE(RIGHT(SUBSTITUTE(SUBSTITUTE(SUBSTITUTE(TRIM($A287),"-",""),".",""),"/",""),2))),DATEVALUE($A287))),""))</f>
        <v/>
      </c>
    </row>
    <row r="288" customFormat="false" ht="15" hidden="false" customHeight="false" outlineLevel="0" collapsed="false">
      <c r="A288" s="47"/>
      <c r="B288" s="48"/>
      <c r="C288" s="132"/>
      <c r="D288" s="53"/>
      <c r="E288" s="48"/>
      <c r="F288" s="132"/>
      <c r="G288" s="133" t="str">
        <f aca="false">IF($A288="","",IFERROR(IF(ISNUMBER($A288),IF($A288&gt;19000000,DATE(INT($A288/10000),MOD(INT($A288/100),100),MOD($A288,100)),INT($A288)),IF(LEN(SUBSTITUTE(SUBSTITUTE(SUBSTITUTE(TRIM($A288),"-",""),".",""),"/",""))=8,DATE(VALUE(LEFT(SUBSTITUTE(SUBSTITUTE(SUBSTITUTE(TRIM($A288),"-",""),".",""),"/",""),4)),VALUE(MID(SUBSTITUTE(SUBSTITUTE(SUBSTITUTE(TRIM($A288),"-",""),".",""),"/",""),5,2)),VALUE(RIGHT(SUBSTITUTE(SUBSTITUTE(SUBSTITUTE(TRIM($A288),"-",""),".",""),"/",""),2))),DATEVALUE($A288))),""))</f>
        <v/>
      </c>
    </row>
    <row r="289" customFormat="false" ht="15" hidden="false" customHeight="false" outlineLevel="0" collapsed="false">
      <c r="A289" s="47"/>
      <c r="B289" s="48"/>
      <c r="C289" s="132"/>
      <c r="D289" s="53"/>
      <c r="E289" s="48"/>
      <c r="F289" s="132"/>
      <c r="G289" s="133" t="str">
        <f aca="false">IF($A289="","",IFERROR(IF(ISNUMBER($A289),IF($A289&gt;19000000,DATE(INT($A289/10000),MOD(INT($A289/100),100),MOD($A289,100)),INT($A289)),IF(LEN(SUBSTITUTE(SUBSTITUTE(SUBSTITUTE(TRIM($A289),"-",""),".",""),"/",""))=8,DATE(VALUE(LEFT(SUBSTITUTE(SUBSTITUTE(SUBSTITUTE(TRIM($A289),"-",""),".",""),"/",""),4)),VALUE(MID(SUBSTITUTE(SUBSTITUTE(SUBSTITUTE(TRIM($A289),"-",""),".",""),"/",""),5,2)),VALUE(RIGHT(SUBSTITUTE(SUBSTITUTE(SUBSTITUTE(TRIM($A289),"-",""),".",""),"/",""),2))),DATEVALUE($A289))),""))</f>
        <v/>
      </c>
    </row>
    <row r="290" customFormat="false" ht="15" hidden="false" customHeight="false" outlineLevel="0" collapsed="false">
      <c r="A290" s="47"/>
      <c r="B290" s="48"/>
      <c r="C290" s="132"/>
      <c r="D290" s="53"/>
      <c r="E290" s="48"/>
      <c r="F290" s="132"/>
      <c r="G290" s="133" t="str">
        <f aca="false">IF($A290="","",IFERROR(IF(ISNUMBER($A290),IF($A290&gt;19000000,DATE(INT($A290/10000),MOD(INT($A290/100),100),MOD($A290,100)),INT($A290)),IF(LEN(SUBSTITUTE(SUBSTITUTE(SUBSTITUTE(TRIM($A290),"-",""),".",""),"/",""))=8,DATE(VALUE(LEFT(SUBSTITUTE(SUBSTITUTE(SUBSTITUTE(TRIM($A290),"-",""),".",""),"/",""),4)),VALUE(MID(SUBSTITUTE(SUBSTITUTE(SUBSTITUTE(TRIM($A290),"-",""),".",""),"/",""),5,2)),VALUE(RIGHT(SUBSTITUTE(SUBSTITUTE(SUBSTITUTE(TRIM($A290),"-",""),".",""),"/",""),2))),DATEVALUE($A290))),""))</f>
        <v/>
      </c>
    </row>
    <row r="291" customFormat="false" ht="15" hidden="false" customHeight="false" outlineLevel="0" collapsed="false">
      <c r="A291" s="47"/>
      <c r="B291" s="48"/>
      <c r="C291" s="132"/>
      <c r="D291" s="53"/>
      <c r="E291" s="48"/>
      <c r="F291" s="132"/>
      <c r="G291" s="133" t="str">
        <f aca="false">IF($A291="","",IFERROR(IF(ISNUMBER($A291),IF($A291&gt;19000000,DATE(INT($A291/10000),MOD(INT($A291/100),100),MOD($A291,100)),INT($A291)),IF(LEN(SUBSTITUTE(SUBSTITUTE(SUBSTITUTE(TRIM($A291),"-",""),".",""),"/",""))=8,DATE(VALUE(LEFT(SUBSTITUTE(SUBSTITUTE(SUBSTITUTE(TRIM($A291),"-",""),".",""),"/",""),4)),VALUE(MID(SUBSTITUTE(SUBSTITUTE(SUBSTITUTE(TRIM($A291),"-",""),".",""),"/",""),5,2)),VALUE(RIGHT(SUBSTITUTE(SUBSTITUTE(SUBSTITUTE(TRIM($A291),"-",""),".",""),"/",""),2))),DATEVALUE($A291))),""))</f>
        <v/>
      </c>
    </row>
    <row r="292" customFormat="false" ht="15" hidden="false" customHeight="false" outlineLevel="0" collapsed="false">
      <c r="A292" s="47"/>
      <c r="B292" s="48"/>
      <c r="C292" s="132"/>
      <c r="D292" s="53"/>
      <c r="E292" s="48"/>
      <c r="F292" s="132"/>
      <c r="G292" s="133" t="str">
        <f aca="false">IF($A292="","",IFERROR(IF(ISNUMBER($A292),IF($A292&gt;19000000,DATE(INT($A292/10000),MOD(INT($A292/100),100),MOD($A292,100)),INT($A292)),IF(LEN(SUBSTITUTE(SUBSTITUTE(SUBSTITUTE(TRIM($A292),"-",""),".",""),"/",""))=8,DATE(VALUE(LEFT(SUBSTITUTE(SUBSTITUTE(SUBSTITUTE(TRIM($A292),"-",""),".",""),"/",""),4)),VALUE(MID(SUBSTITUTE(SUBSTITUTE(SUBSTITUTE(TRIM($A292),"-",""),".",""),"/",""),5,2)),VALUE(RIGHT(SUBSTITUTE(SUBSTITUTE(SUBSTITUTE(TRIM($A292),"-",""),".",""),"/",""),2))),DATEVALUE($A292))),""))</f>
        <v/>
      </c>
    </row>
    <row r="293" customFormat="false" ht="15" hidden="false" customHeight="false" outlineLevel="0" collapsed="false">
      <c r="A293" s="47"/>
      <c r="B293" s="48"/>
      <c r="C293" s="132"/>
      <c r="D293" s="53"/>
      <c r="E293" s="48"/>
      <c r="F293" s="132"/>
      <c r="G293" s="133" t="str">
        <f aca="false">IF($A293="","",IFERROR(IF(ISNUMBER($A293),IF($A293&gt;19000000,DATE(INT($A293/10000),MOD(INT($A293/100),100),MOD($A293,100)),INT($A293)),IF(LEN(SUBSTITUTE(SUBSTITUTE(SUBSTITUTE(TRIM($A293),"-",""),".",""),"/",""))=8,DATE(VALUE(LEFT(SUBSTITUTE(SUBSTITUTE(SUBSTITUTE(TRIM($A293),"-",""),".",""),"/",""),4)),VALUE(MID(SUBSTITUTE(SUBSTITUTE(SUBSTITUTE(TRIM($A293),"-",""),".",""),"/",""),5,2)),VALUE(RIGHT(SUBSTITUTE(SUBSTITUTE(SUBSTITUTE(TRIM($A293),"-",""),".",""),"/",""),2))),DATEVALUE($A293))),""))</f>
        <v/>
      </c>
    </row>
    <row r="294" customFormat="false" ht="15" hidden="false" customHeight="false" outlineLevel="0" collapsed="false">
      <c r="A294" s="47"/>
      <c r="B294" s="48"/>
      <c r="C294" s="132"/>
      <c r="D294" s="53"/>
      <c r="E294" s="48"/>
      <c r="F294" s="132"/>
      <c r="G294" s="133" t="str">
        <f aca="false">IF($A294="","",IFERROR(IF(ISNUMBER($A294),IF($A294&gt;19000000,DATE(INT($A294/10000),MOD(INT($A294/100),100),MOD($A294,100)),INT($A294)),IF(LEN(SUBSTITUTE(SUBSTITUTE(SUBSTITUTE(TRIM($A294),"-",""),".",""),"/",""))=8,DATE(VALUE(LEFT(SUBSTITUTE(SUBSTITUTE(SUBSTITUTE(TRIM($A294),"-",""),".",""),"/",""),4)),VALUE(MID(SUBSTITUTE(SUBSTITUTE(SUBSTITUTE(TRIM($A294),"-",""),".",""),"/",""),5,2)),VALUE(RIGHT(SUBSTITUTE(SUBSTITUTE(SUBSTITUTE(TRIM($A294),"-",""),".",""),"/",""),2))),DATEVALUE($A294))),""))</f>
        <v/>
      </c>
    </row>
    <row r="295" customFormat="false" ht="15" hidden="false" customHeight="false" outlineLevel="0" collapsed="false">
      <c r="A295" s="47"/>
      <c r="B295" s="48"/>
      <c r="C295" s="132"/>
      <c r="D295" s="53"/>
      <c r="E295" s="48"/>
      <c r="F295" s="132"/>
      <c r="G295" s="133" t="str">
        <f aca="false">IF($A295="","",IFERROR(IF(ISNUMBER($A295),IF($A295&gt;19000000,DATE(INT($A295/10000),MOD(INT($A295/100),100),MOD($A295,100)),INT($A295)),IF(LEN(SUBSTITUTE(SUBSTITUTE(SUBSTITUTE(TRIM($A295),"-",""),".",""),"/",""))=8,DATE(VALUE(LEFT(SUBSTITUTE(SUBSTITUTE(SUBSTITUTE(TRIM($A295),"-",""),".",""),"/",""),4)),VALUE(MID(SUBSTITUTE(SUBSTITUTE(SUBSTITUTE(TRIM($A295),"-",""),".",""),"/",""),5,2)),VALUE(RIGHT(SUBSTITUTE(SUBSTITUTE(SUBSTITUTE(TRIM($A295),"-",""),".",""),"/",""),2))),DATEVALUE($A295))),""))</f>
        <v/>
      </c>
    </row>
    <row r="296" customFormat="false" ht="15" hidden="false" customHeight="false" outlineLevel="0" collapsed="false">
      <c r="A296" s="47"/>
      <c r="B296" s="48"/>
      <c r="C296" s="132"/>
      <c r="D296" s="53"/>
      <c r="E296" s="48"/>
      <c r="F296" s="132"/>
      <c r="G296" s="133" t="str">
        <f aca="false">IF($A296="","",IFERROR(IF(ISNUMBER($A296),IF($A296&gt;19000000,DATE(INT($A296/10000),MOD(INT($A296/100),100),MOD($A296,100)),INT($A296)),IF(LEN(SUBSTITUTE(SUBSTITUTE(SUBSTITUTE(TRIM($A296),"-",""),".",""),"/",""))=8,DATE(VALUE(LEFT(SUBSTITUTE(SUBSTITUTE(SUBSTITUTE(TRIM($A296),"-",""),".",""),"/",""),4)),VALUE(MID(SUBSTITUTE(SUBSTITUTE(SUBSTITUTE(TRIM($A296),"-",""),".",""),"/",""),5,2)),VALUE(RIGHT(SUBSTITUTE(SUBSTITUTE(SUBSTITUTE(TRIM($A296),"-",""),".",""),"/",""),2))),DATEVALUE($A296))),""))</f>
        <v/>
      </c>
    </row>
    <row r="297" customFormat="false" ht="15" hidden="false" customHeight="false" outlineLevel="0" collapsed="false">
      <c r="A297" s="47"/>
      <c r="B297" s="48"/>
      <c r="C297" s="132"/>
      <c r="D297" s="53"/>
      <c r="E297" s="48"/>
      <c r="F297" s="132"/>
      <c r="G297" s="133" t="str">
        <f aca="false">IF($A297="","",IFERROR(IF(ISNUMBER($A297),IF($A297&gt;19000000,DATE(INT($A297/10000),MOD(INT($A297/100),100),MOD($A297,100)),INT($A297)),IF(LEN(SUBSTITUTE(SUBSTITUTE(SUBSTITUTE(TRIM($A297),"-",""),".",""),"/",""))=8,DATE(VALUE(LEFT(SUBSTITUTE(SUBSTITUTE(SUBSTITUTE(TRIM($A297),"-",""),".",""),"/",""),4)),VALUE(MID(SUBSTITUTE(SUBSTITUTE(SUBSTITUTE(TRIM($A297),"-",""),".",""),"/",""),5,2)),VALUE(RIGHT(SUBSTITUTE(SUBSTITUTE(SUBSTITUTE(TRIM($A297),"-",""),".",""),"/",""),2))),DATEVALUE($A297))),""))</f>
        <v/>
      </c>
    </row>
    <row r="298" customFormat="false" ht="15" hidden="false" customHeight="false" outlineLevel="0" collapsed="false">
      <c r="A298" s="47"/>
      <c r="B298" s="48"/>
      <c r="C298" s="132"/>
      <c r="D298" s="53"/>
      <c r="E298" s="48"/>
      <c r="F298" s="132"/>
      <c r="G298" s="133" t="str">
        <f aca="false">IF($A298="","",IFERROR(IF(ISNUMBER($A298),IF($A298&gt;19000000,DATE(INT($A298/10000),MOD(INT($A298/100),100),MOD($A298,100)),INT($A298)),IF(LEN(SUBSTITUTE(SUBSTITUTE(SUBSTITUTE(TRIM($A298),"-",""),".",""),"/",""))=8,DATE(VALUE(LEFT(SUBSTITUTE(SUBSTITUTE(SUBSTITUTE(TRIM($A298),"-",""),".",""),"/",""),4)),VALUE(MID(SUBSTITUTE(SUBSTITUTE(SUBSTITUTE(TRIM($A298),"-",""),".",""),"/",""),5,2)),VALUE(RIGHT(SUBSTITUTE(SUBSTITUTE(SUBSTITUTE(TRIM($A298),"-",""),".",""),"/",""),2))),DATEVALUE($A298))),""))</f>
        <v/>
      </c>
    </row>
    <row r="299" customFormat="false" ht="15" hidden="false" customHeight="false" outlineLevel="0" collapsed="false">
      <c r="A299" s="47"/>
      <c r="B299" s="48"/>
      <c r="C299" s="132"/>
      <c r="D299" s="53"/>
      <c r="E299" s="48"/>
      <c r="F299" s="132"/>
      <c r="G299" s="133" t="str">
        <f aca="false">IF($A299="","",IFERROR(IF(ISNUMBER($A299),IF($A299&gt;19000000,DATE(INT($A299/10000),MOD(INT($A299/100),100),MOD($A299,100)),INT($A299)),IF(LEN(SUBSTITUTE(SUBSTITUTE(SUBSTITUTE(TRIM($A299),"-",""),".",""),"/",""))=8,DATE(VALUE(LEFT(SUBSTITUTE(SUBSTITUTE(SUBSTITUTE(TRIM($A299),"-",""),".",""),"/",""),4)),VALUE(MID(SUBSTITUTE(SUBSTITUTE(SUBSTITUTE(TRIM($A299),"-",""),".",""),"/",""),5,2)),VALUE(RIGHT(SUBSTITUTE(SUBSTITUTE(SUBSTITUTE(TRIM($A299),"-",""),".",""),"/",""),2))),DATEVALUE($A299))),""))</f>
        <v/>
      </c>
    </row>
    <row r="300" customFormat="false" ht="15" hidden="false" customHeight="false" outlineLevel="0" collapsed="false">
      <c r="A300" s="47"/>
      <c r="B300" s="48"/>
      <c r="C300" s="132"/>
      <c r="D300" s="53"/>
      <c r="E300" s="48"/>
      <c r="F300" s="132"/>
      <c r="G300" s="133" t="str">
        <f aca="false">IF($A300="","",IFERROR(IF(ISNUMBER($A300),IF($A300&gt;19000000,DATE(INT($A300/10000),MOD(INT($A300/100),100),MOD($A300,100)),INT($A300)),IF(LEN(SUBSTITUTE(SUBSTITUTE(SUBSTITUTE(TRIM($A300),"-",""),".",""),"/",""))=8,DATE(VALUE(LEFT(SUBSTITUTE(SUBSTITUTE(SUBSTITUTE(TRIM($A300),"-",""),".",""),"/",""),4)),VALUE(MID(SUBSTITUTE(SUBSTITUTE(SUBSTITUTE(TRIM($A300),"-",""),".",""),"/",""),5,2)),VALUE(RIGHT(SUBSTITUTE(SUBSTITUTE(SUBSTITUTE(TRIM($A300),"-",""),".",""),"/",""),2))),DATEVALUE($A300))),""))</f>
        <v/>
      </c>
    </row>
    <row r="301" customFormat="false" ht="15" hidden="false" customHeight="false" outlineLevel="0" collapsed="false">
      <c r="A301" s="47"/>
      <c r="B301" s="48"/>
      <c r="C301" s="132"/>
      <c r="D301" s="53"/>
      <c r="E301" s="48"/>
      <c r="F301" s="132"/>
      <c r="G301" s="133" t="str">
        <f aca="false">IF($A301="","",IFERROR(IF(ISNUMBER($A301),IF($A301&gt;19000000,DATE(INT($A301/10000),MOD(INT($A301/100),100),MOD($A301,100)),INT($A301)),IF(LEN(SUBSTITUTE(SUBSTITUTE(SUBSTITUTE(TRIM($A301),"-",""),".",""),"/",""))=8,DATE(VALUE(LEFT(SUBSTITUTE(SUBSTITUTE(SUBSTITUTE(TRIM($A301),"-",""),".",""),"/",""),4)),VALUE(MID(SUBSTITUTE(SUBSTITUTE(SUBSTITUTE(TRIM($A301),"-",""),".",""),"/",""),5,2)),VALUE(RIGHT(SUBSTITUTE(SUBSTITUTE(SUBSTITUTE(TRIM($A301),"-",""),".",""),"/",""),2))),DATEVALUE($A301))),""))</f>
        <v/>
      </c>
    </row>
    <row r="302" customFormat="false" ht="15" hidden="false" customHeight="false" outlineLevel="0" collapsed="false">
      <c r="A302" s="47"/>
      <c r="B302" s="48"/>
      <c r="C302" s="132"/>
      <c r="D302" s="53"/>
      <c r="E302" s="48"/>
      <c r="F302" s="132"/>
      <c r="G302" s="133" t="str">
        <f aca="false">IF($A302="","",IFERROR(IF(ISNUMBER($A302),IF($A302&gt;19000000,DATE(INT($A302/10000),MOD(INT($A302/100),100),MOD($A302,100)),INT($A302)),IF(LEN(SUBSTITUTE(SUBSTITUTE(SUBSTITUTE(TRIM($A302),"-",""),".",""),"/",""))=8,DATE(VALUE(LEFT(SUBSTITUTE(SUBSTITUTE(SUBSTITUTE(TRIM($A302),"-",""),".",""),"/",""),4)),VALUE(MID(SUBSTITUTE(SUBSTITUTE(SUBSTITUTE(TRIM($A302),"-",""),".",""),"/",""),5,2)),VALUE(RIGHT(SUBSTITUTE(SUBSTITUTE(SUBSTITUTE(TRIM($A302),"-",""),".",""),"/",""),2))),DATEVALUE($A302))),""))</f>
        <v/>
      </c>
    </row>
    <row r="303" customFormat="false" ht="15" hidden="false" customHeight="false" outlineLevel="0" collapsed="false">
      <c r="A303" s="47"/>
      <c r="B303" s="48"/>
      <c r="C303" s="132"/>
      <c r="D303" s="53"/>
      <c r="E303" s="48"/>
      <c r="F303" s="132"/>
      <c r="G303" s="133" t="str">
        <f aca="false">IF($A303="","",IFERROR(IF(ISNUMBER($A303),IF($A303&gt;19000000,DATE(INT($A303/10000),MOD(INT($A303/100),100),MOD($A303,100)),INT($A303)),IF(LEN(SUBSTITUTE(SUBSTITUTE(SUBSTITUTE(TRIM($A303),"-",""),".",""),"/",""))=8,DATE(VALUE(LEFT(SUBSTITUTE(SUBSTITUTE(SUBSTITUTE(TRIM($A303),"-",""),".",""),"/",""),4)),VALUE(MID(SUBSTITUTE(SUBSTITUTE(SUBSTITUTE(TRIM($A303),"-",""),".",""),"/",""),5,2)),VALUE(RIGHT(SUBSTITUTE(SUBSTITUTE(SUBSTITUTE(TRIM($A303),"-",""),".",""),"/",""),2))),DATEVALUE($A303))),""))</f>
        <v/>
      </c>
    </row>
    <row r="304" customFormat="false" ht="15" hidden="false" customHeight="false" outlineLevel="0" collapsed="false">
      <c r="A304" s="47"/>
      <c r="B304" s="48"/>
      <c r="C304" s="132"/>
      <c r="D304" s="53"/>
      <c r="E304" s="48"/>
      <c r="F304" s="132"/>
      <c r="G304" s="133" t="str">
        <f aca="false">IF($A304="","",IFERROR(IF(ISNUMBER($A304),IF($A304&gt;19000000,DATE(INT($A304/10000),MOD(INT($A304/100),100),MOD($A304,100)),INT($A304)),IF(LEN(SUBSTITUTE(SUBSTITUTE(SUBSTITUTE(TRIM($A304),"-",""),".",""),"/",""))=8,DATE(VALUE(LEFT(SUBSTITUTE(SUBSTITUTE(SUBSTITUTE(TRIM($A304),"-",""),".",""),"/",""),4)),VALUE(MID(SUBSTITUTE(SUBSTITUTE(SUBSTITUTE(TRIM($A304),"-",""),".",""),"/",""),5,2)),VALUE(RIGHT(SUBSTITUTE(SUBSTITUTE(SUBSTITUTE(TRIM($A304),"-",""),".",""),"/",""),2))),DATEVALUE($A304))),""))</f>
        <v/>
      </c>
    </row>
    <row r="305" customFormat="false" ht="15" hidden="false" customHeight="false" outlineLevel="0" collapsed="false">
      <c r="A305" s="47"/>
      <c r="B305" s="48"/>
      <c r="C305" s="132"/>
      <c r="D305" s="53"/>
      <c r="E305" s="48"/>
      <c r="F305" s="132"/>
      <c r="G305" s="133" t="str">
        <f aca="false">IF($A305="","",IFERROR(IF(ISNUMBER($A305),IF($A305&gt;19000000,DATE(INT($A305/10000),MOD(INT($A305/100),100),MOD($A305,100)),INT($A305)),IF(LEN(SUBSTITUTE(SUBSTITUTE(SUBSTITUTE(TRIM($A305),"-",""),".",""),"/",""))=8,DATE(VALUE(LEFT(SUBSTITUTE(SUBSTITUTE(SUBSTITUTE(TRIM($A305),"-",""),".",""),"/",""),4)),VALUE(MID(SUBSTITUTE(SUBSTITUTE(SUBSTITUTE(TRIM($A305),"-",""),".",""),"/",""),5,2)),VALUE(RIGHT(SUBSTITUTE(SUBSTITUTE(SUBSTITUTE(TRIM($A305),"-",""),".",""),"/",""),2))),DATEVALUE($A305))),""))</f>
        <v/>
      </c>
    </row>
    <row r="306" customFormat="false" ht="15" hidden="false" customHeight="false" outlineLevel="0" collapsed="false">
      <c r="A306" s="47"/>
      <c r="B306" s="48"/>
      <c r="C306" s="132"/>
      <c r="D306" s="53"/>
      <c r="E306" s="48"/>
      <c r="F306" s="132"/>
      <c r="G306" s="133" t="str">
        <f aca="false">IF($A306="","",IFERROR(IF(ISNUMBER($A306),IF($A306&gt;19000000,DATE(INT($A306/10000),MOD(INT($A306/100),100),MOD($A306,100)),INT($A306)),IF(LEN(SUBSTITUTE(SUBSTITUTE(SUBSTITUTE(TRIM($A306),"-",""),".",""),"/",""))=8,DATE(VALUE(LEFT(SUBSTITUTE(SUBSTITUTE(SUBSTITUTE(TRIM($A306),"-",""),".",""),"/",""),4)),VALUE(MID(SUBSTITUTE(SUBSTITUTE(SUBSTITUTE(TRIM($A306),"-",""),".",""),"/",""),5,2)),VALUE(RIGHT(SUBSTITUTE(SUBSTITUTE(SUBSTITUTE(TRIM($A306),"-",""),".",""),"/",""),2))),DATEVALUE($A306))),""))</f>
        <v/>
      </c>
    </row>
    <row r="307" customFormat="false" ht="15" hidden="false" customHeight="false" outlineLevel="0" collapsed="false">
      <c r="A307" s="47"/>
      <c r="B307" s="48"/>
      <c r="C307" s="132"/>
      <c r="D307" s="53"/>
      <c r="E307" s="48"/>
      <c r="F307" s="132"/>
      <c r="G307" s="133" t="str">
        <f aca="false">IF($A307="","",IFERROR(IF(ISNUMBER($A307),IF($A307&gt;19000000,DATE(INT($A307/10000),MOD(INT($A307/100),100),MOD($A307,100)),INT($A307)),IF(LEN(SUBSTITUTE(SUBSTITUTE(SUBSTITUTE(TRIM($A307),"-",""),".",""),"/",""))=8,DATE(VALUE(LEFT(SUBSTITUTE(SUBSTITUTE(SUBSTITUTE(TRIM($A307),"-",""),".",""),"/",""),4)),VALUE(MID(SUBSTITUTE(SUBSTITUTE(SUBSTITUTE(TRIM($A307),"-",""),".",""),"/",""),5,2)),VALUE(RIGHT(SUBSTITUTE(SUBSTITUTE(SUBSTITUTE(TRIM($A307),"-",""),".",""),"/",""),2))),DATEVALUE($A307))),""))</f>
        <v/>
      </c>
    </row>
    <row r="308" customFormat="false" ht="15" hidden="false" customHeight="false" outlineLevel="0" collapsed="false">
      <c r="A308" s="47"/>
      <c r="B308" s="48"/>
      <c r="C308" s="132"/>
      <c r="D308" s="53"/>
      <c r="E308" s="48"/>
      <c r="F308" s="132"/>
      <c r="G308" s="133" t="str">
        <f aca="false">IF($A308="","",IFERROR(IF(ISNUMBER($A308),IF($A308&gt;19000000,DATE(INT($A308/10000),MOD(INT($A308/100),100),MOD($A308,100)),INT($A308)),IF(LEN(SUBSTITUTE(SUBSTITUTE(SUBSTITUTE(TRIM($A308),"-",""),".",""),"/",""))=8,DATE(VALUE(LEFT(SUBSTITUTE(SUBSTITUTE(SUBSTITUTE(TRIM($A308),"-",""),".",""),"/",""),4)),VALUE(MID(SUBSTITUTE(SUBSTITUTE(SUBSTITUTE(TRIM($A308),"-",""),".",""),"/",""),5,2)),VALUE(RIGHT(SUBSTITUTE(SUBSTITUTE(SUBSTITUTE(TRIM($A308),"-",""),".",""),"/",""),2))),DATEVALUE($A308))),""))</f>
        <v/>
      </c>
    </row>
    <row r="309" customFormat="false" ht="15" hidden="false" customHeight="false" outlineLevel="0" collapsed="false">
      <c r="A309" s="47"/>
      <c r="B309" s="48"/>
      <c r="C309" s="132"/>
      <c r="D309" s="53"/>
      <c r="E309" s="48"/>
      <c r="F309" s="132"/>
      <c r="G309" s="133" t="str">
        <f aca="false">IF($A309="","",IFERROR(IF(ISNUMBER($A309),IF($A309&gt;19000000,DATE(INT($A309/10000),MOD(INT($A309/100),100),MOD($A309,100)),INT($A309)),IF(LEN(SUBSTITUTE(SUBSTITUTE(SUBSTITUTE(TRIM($A309),"-",""),".",""),"/",""))=8,DATE(VALUE(LEFT(SUBSTITUTE(SUBSTITUTE(SUBSTITUTE(TRIM($A309),"-",""),".",""),"/",""),4)),VALUE(MID(SUBSTITUTE(SUBSTITUTE(SUBSTITUTE(TRIM($A309),"-",""),".",""),"/",""),5,2)),VALUE(RIGHT(SUBSTITUTE(SUBSTITUTE(SUBSTITUTE(TRIM($A309),"-",""),".",""),"/",""),2))),DATEVALUE($A309))),""))</f>
        <v/>
      </c>
    </row>
    <row r="310" customFormat="false" ht="15" hidden="false" customHeight="false" outlineLevel="0" collapsed="false">
      <c r="A310" s="47"/>
      <c r="B310" s="48"/>
      <c r="C310" s="132"/>
      <c r="D310" s="53"/>
      <c r="E310" s="48"/>
      <c r="F310" s="132"/>
      <c r="G310" s="133" t="str">
        <f aca="false">IF($A310="","",IFERROR(IF(ISNUMBER($A310),IF($A310&gt;19000000,DATE(INT($A310/10000),MOD(INT($A310/100),100),MOD($A310,100)),INT($A310)),IF(LEN(SUBSTITUTE(SUBSTITUTE(SUBSTITUTE(TRIM($A310),"-",""),".",""),"/",""))=8,DATE(VALUE(LEFT(SUBSTITUTE(SUBSTITUTE(SUBSTITUTE(TRIM($A310),"-",""),".",""),"/",""),4)),VALUE(MID(SUBSTITUTE(SUBSTITUTE(SUBSTITUTE(TRIM($A310),"-",""),".",""),"/",""),5,2)),VALUE(RIGHT(SUBSTITUTE(SUBSTITUTE(SUBSTITUTE(TRIM($A310),"-",""),".",""),"/",""),2))),DATEVALUE($A310))),""))</f>
        <v/>
      </c>
    </row>
    <row r="311" customFormat="false" ht="15" hidden="false" customHeight="false" outlineLevel="0" collapsed="false">
      <c r="A311" s="47"/>
      <c r="B311" s="48"/>
      <c r="C311" s="132"/>
      <c r="D311" s="53"/>
      <c r="E311" s="48"/>
      <c r="F311" s="132"/>
      <c r="G311" s="133" t="str">
        <f aca="false">IF($A311="","",IFERROR(IF(ISNUMBER($A311),IF($A311&gt;19000000,DATE(INT($A311/10000),MOD(INT($A311/100),100),MOD($A311,100)),INT($A311)),IF(LEN(SUBSTITUTE(SUBSTITUTE(SUBSTITUTE(TRIM($A311),"-",""),".",""),"/",""))=8,DATE(VALUE(LEFT(SUBSTITUTE(SUBSTITUTE(SUBSTITUTE(TRIM($A311),"-",""),".",""),"/",""),4)),VALUE(MID(SUBSTITUTE(SUBSTITUTE(SUBSTITUTE(TRIM($A311),"-",""),".",""),"/",""),5,2)),VALUE(RIGHT(SUBSTITUTE(SUBSTITUTE(SUBSTITUTE(TRIM($A311),"-",""),".",""),"/",""),2))),DATEVALUE($A311))),""))</f>
        <v/>
      </c>
    </row>
    <row r="312" customFormat="false" ht="15" hidden="false" customHeight="false" outlineLevel="0" collapsed="false">
      <c r="A312" s="47"/>
      <c r="B312" s="48"/>
      <c r="C312" s="132"/>
      <c r="D312" s="53"/>
      <c r="E312" s="48"/>
      <c r="F312" s="132"/>
      <c r="G312" s="133" t="str">
        <f aca="false">IF($A312="","",IFERROR(IF(ISNUMBER($A312),IF($A312&gt;19000000,DATE(INT($A312/10000),MOD(INT($A312/100),100),MOD($A312,100)),INT($A312)),IF(LEN(SUBSTITUTE(SUBSTITUTE(SUBSTITUTE(TRIM($A312),"-",""),".",""),"/",""))=8,DATE(VALUE(LEFT(SUBSTITUTE(SUBSTITUTE(SUBSTITUTE(TRIM($A312),"-",""),".",""),"/",""),4)),VALUE(MID(SUBSTITUTE(SUBSTITUTE(SUBSTITUTE(TRIM($A312),"-",""),".",""),"/",""),5,2)),VALUE(RIGHT(SUBSTITUTE(SUBSTITUTE(SUBSTITUTE(TRIM($A312),"-",""),".",""),"/",""),2))),DATEVALUE($A312))),""))</f>
        <v/>
      </c>
    </row>
    <row r="313" customFormat="false" ht="15" hidden="false" customHeight="false" outlineLevel="0" collapsed="false">
      <c r="A313" s="47"/>
      <c r="B313" s="48"/>
      <c r="C313" s="132"/>
      <c r="D313" s="53"/>
      <c r="E313" s="48"/>
      <c r="F313" s="132"/>
      <c r="G313" s="133" t="str">
        <f aca="false">IF($A313="","",IFERROR(IF(ISNUMBER($A313),IF($A313&gt;19000000,DATE(INT($A313/10000),MOD(INT($A313/100),100),MOD($A313,100)),INT($A313)),IF(LEN(SUBSTITUTE(SUBSTITUTE(SUBSTITUTE(TRIM($A313),"-",""),".",""),"/",""))=8,DATE(VALUE(LEFT(SUBSTITUTE(SUBSTITUTE(SUBSTITUTE(TRIM($A313),"-",""),".",""),"/",""),4)),VALUE(MID(SUBSTITUTE(SUBSTITUTE(SUBSTITUTE(TRIM($A313),"-",""),".",""),"/",""),5,2)),VALUE(RIGHT(SUBSTITUTE(SUBSTITUTE(SUBSTITUTE(TRIM($A313),"-",""),".",""),"/",""),2))),DATEVALUE($A313))),""))</f>
        <v/>
      </c>
    </row>
    <row r="314" customFormat="false" ht="15" hidden="false" customHeight="false" outlineLevel="0" collapsed="false">
      <c r="A314" s="47"/>
      <c r="B314" s="48"/>
      <c r="C314" s="132"/>
      <c r="D314" s="53"/>
      <c r="E314" s="48"/>
      <c r="F314" s="132"/>
      <c r="G314" s="133" t="str">
        <f aca="false">IF($A314="","",IFERROR(IF(ISNUMBER($A314),IF($A314&gt;19000000,DATE(INT($A314/10000),MOD(INT($A314/100),100),MOD($A314,100)),INT($A314)),IF(LEN(SUBSTITUTE(SUBSTITUTE(SUBSTITUTE(TRIM($A314),"-",""),".",""),"/",""))=8,DATE(VALUE(LEFT(SUBSTITUTE(SUBSTITUTE(SUBSTITUTE(TRIM($A314),"-",""),".",""),"/",""),4)),VALUE(MID(SUBSTITUTE(SUBSTITUTE(SUBSTITUTE(TRIM($A314),"-",""),".",""),"/",""),5,2)),VALUE(RIGHT(SUBSTITUTE(SUBSTITUTE(SUBSTITUTE(TRIM($A314),"-",""),".",""),"/",""),2))),DATEVALUE($A314))),""))</f>
        <v/>
      </c>
    </row>
    <row r="315" customFormat="false" ht="15" hidden="false" customHeight="false" outlineLevel="0" collapsed="false">
      <c r="A315" s="47"/>
      <c r="B315" s="48"/>
      <c r="C315" s="132"/>
      <c r="D315" s="53"/>
      <c r="E315" s="48"/>
      <c r="F315" s="132"/>
      <c r="G315" s="133" t="str">
        <f aca="false">IF($A315="","",IFERROR(IF(ISNUMBER($A315),IF($A315&gt;19000000,DATE(INT($A315/10000),MOD(INT($A315/100),100),MOD($A315,100)),INT($A315)),IF(LEN(SUBSTITUTE(SUBSTITUTE(SUBSTITUTE(TRIM($A315),"-",""),".",""),"/",""))=8,DATE(VALUE(LEFT(SUBSTITUTE(SUBSTITUTE(SUBSTITUTE(TRIM($A315),"-",""),".",""),"/",""),4)),VALUE(MID(SUBSTITUTE(SUBSTITUTE(SUBSTITUTE(TRIM($A315),"-",""),".",""),"/",""),5,2)),VALUE(RIGHT(SUBSTITUTE(SUBSTITUTE(SUBSTITUTE(TRIM($A315),"-",""),".",""),"/",""),2))),DATEVALUE($A315))),""))</f>
        <v/>
      </c>
    </row>
    <row r="316" customFormat="false" ht="15" hidden="false" customHeight="false" outlineLevel="0" collapsed="false">
      <c r="A316" s="47"/>
      <c r="B316" s="48"/>
      <c r="C316" s="132"/>
      <c r="D316" s="53"/>
      <c r="E316" s="48"/>
      <c r="F316" s="132"/>
      <c r="G316" s="133" t="str">
        <f aca="false">IF($A316="","",IFERROR(IF(ISNUMBER($A316),IF($A316&gt;19000000,DATE(INT($A316/10000),MOD(INT($A316/100),100),MOD($A316,100)),INT($A316)),IF(LEN(SUBSTITUTE(SUBSTITUTE(SUBSTITUTE(TRIM($A316),"-",""),".",""),"/",""))=8,DATE(VALUE(LEFT(SUBSTITUTE(SUBSTITUTE(SUBSTITUTE(TRIM($A316),"-",""),".",""),"/",""),4)),VALUE(MID(SUBSTITUTE(SUBSTITUTE(SUBSTITUTE(TRIM($A316),"-",""),".",""),"/",""),5,2)),VALUE(RIGHT(SUBSTITUTE(SUBSTITUTE(SUBSTITUTE(TRIM($A316),"-",""),".",""),"/",""),2))),DATEVALUE($A316))),""))</f>
        <v/>
      </c>
    </row>
    <row r="317" customFormat="false" ht="15" hidden="false" customHeight="false" outlineLevel="0" collapsed="false">
      <c r="A317" s="47"/>
      <c r="B317" s="48"/>
      <c r="C317" s="132"/>
      <c r="D317" s="53"/>
      <c r="E317" s="48"/>
      <c r="F317" s="132"/>
      <c r="G317" s="133" t="str">
        <f aca="false">IF($A317="","",IFERROR(IF(ISNUMBER($A317),IF($A317&gt;19000000,DATE(INT($A317/10000),MOD(INT($A317/100),100),MOD($A317,100)),INT($A317)),IF(LEN(SUBSTITUTE(SUBSTITUTE(SUBSTITUTE(TRIM($A317),"-",""),".",""),"/",""))=8,DATE(VALUE(LEFT(SUBSTITUTE(SUBSTITUTE(SUBSTITUTE(TRIM($A317),"-",""),".",""),"/",""),4)),VALUE(MID(SUBSTITUTE(SUBSTITUTE(SUBSTITUTE(TRIM($A317),"-",""),".",""),"/",""),5,2)),VALUE(RIGHT(SUBSTITUTE(SUBSTITUTE(SUBSTITUTE(TRIM($A317),"-",""),".",""),"/",""),2))),DATEVALUE($A317))),""))</f>
        <v/>
      </c>
    </row>
    <row r="318" customFormat="false" ht="15" hidden="false" customHeight="false" outlineLevel="0" collapsed="false">
      <c r="A318" s="47"/>
      <c r="B318" s="48"/>
      <c r="C318" s="132"/>
      <c r="D318" s="53"/>
      <c r="E318" s="48"/>
      <c r="F318" s="132"/>
      <c r="G318" s="133" t="str">
        <f aca="false">IF($A318="","",IFERROR(IF(ISNUMBER($A318),IF($A318&gt;19000000,DATE(INT($A318/10000),MOD(INT($A318/100),100),MOD($A318,100)),INT($A318)),IF(LEN(SUBSTITUTE(SUBSTITUTE(SUBSTITUTE(TRIM($A318),"-",""),".",""),"/",""))=8,DATE(VALUE(LEFT(SUBSTITUTE(SUBSTITUTE(SUBSTITUTE(TRIM($A318),"-",""),".",""),"/",""),4)),VALUE(MID(SUBSTITUTE(SUBSTITUTE(SUBSTITUTE(TRIM($A318),"-",""),".",""),"/",""),5,2)),VALUE(RIGHT(SUBSTITUTE(SUBSTITUTE(SUBSTITUTE(TRIM($A318),"-",""),".",""),"/",""),2))),DATEVALUE($A318))),""))</f>
        <v/>
      </c>
    </row>
    <row r="319" customFormat="false" ht="15" hidden="false" customHeight="false" outlineLevel="0" collapsed="false">
      <c r="A319" s="47"/>
      <c r="B319" s="48"/>
      <c r="C319" s="132"/>
      <c r="D319" s="53"/>
      <c r="E319" s="48"/>
      <c r="F319" s="132"/>
      <c r="G319" s="133" t="str">
        <f aca="false">IF($A319="","",IFERROR(IF(ISNUMBER($A319),IF($A319&gt;19000000,DATE(INT($A319/10000),MOD(INT($A319/100),100),MOD($A319,100)),INT($A319)),IF(LEN(SUBSTITUTE(SUBSTITUTE(SUBSTITUTE(TRIM($A319),"-",""),".",""),"/",""))=8,DATE(VALUE(LEFT(SUBSTITUTE(SUBSTITUTE(SUBSTITUTE(TRIM($A319),"-",""),".",""),"/",""),4)),VALUE(MID(SUBSTITUTE(SUBSTITUTE(SUBSTITUTE(TRIM($A319),"-",""),".",""),"/",""),5,2)),VALUE(RIGHT(SUBSTITUTE(SUBSTITUTE(SUBSTITUTE(TRIM($A319),"-",""),".",""),"/",""),2))),DATEVALUE($A319))),""))</f>
        <v/>
      </c>
    </row>
    <row r="320" customFormat="false" ht="15" hidden="false" customHeight="false" outlineLevel="0" collapsed="false">
      <c r="A320" s="47"/>
      <c r="B320" s="48"/>
      <c r="C320" s="132"/>
      <c r="D320" s="53"/>
      <c r="E320" s="48"/>
      <c r="F320" s="132"/>
      <c r="G320" s="133" t="str">
        <f aca="false">IF($A320="","",IFERROR(IF(ISNUMBER($A320),IF($A320&gt;19000000,DATE(INT($A320/10000),MOD(INT($A320/100),100),MOD($A320,100)),INT($A320)),IF(LEN(SUBSTITUTE(SUBSTITUTE(SUBSTITUTE(TRIM($A320),"-",""),".",""),"/",""))=8,DATE(VALUE(LEFT(SUBSTITUTE(SUBSTITUTE(SUBSTITUTE(TRIM($A320),"-",""),".",""),"/",""),4)),VALUE(MID(SUBSTITUTE(SUBSTITUTE(SUBSTITUTE(TRIM($A320),"-",""),".",""),"/",""),5,2)),VALUE(RIGHT(SUBSTITUTE(SUBSTITUTE(SUBSTITUTE(TRIM($A320),"-",""),".",""),"/",""),2))),DATEVALUE($A320))),""))</f>
        <v/>
      </c>
    </row>
    <row r="321" customFormat="false" ht="15" hidden="false" customHeight="false" outlineLevel="0" collapsed="false">
      <c r="A321" s="47"/>
      <c r="B321" s="48"/>
      <c r="C321" s="132"/>
      <c r="D321" s="53"/>
      <c r="E321" s="48"/>
      <c r="F321" s="132"/>
      <c r="G321" s="133" t="str">
        <f aca="false">IF($A321="","",IFERROR(IF(ISNUMBER($A321),IF($A321&gt;19000000,DATE(INT($A321/10000),MOD(INT($A321/100),100),MOD($A321,100)),INT($A321)),IF(LEN(SUBSTITUTE(SUBSTITUTE(SUBSTITUTE(TRIM($A321),"-",""),".",""),"/",""))=8,DATE(VALUE(LEFT(SUBSTITUTE(SUBSTITUTE(SUBSTITUTE(TRIM($A321),"-",""),".",""),"/",""),4)),VALUE(MID(SUBSTITUTE(SUBSTITUTE(SUBSTITUTE(TRIM($A321),"-",""),".",""),"/",""),5,2)),VALUE(RIGHT(SUBSTITUTE(SUBSTITUTE(SUBSTITUTE(TRIM($A321),"-",""),".",""),"/",""),2))),DATEVALUE($A321))),""))</f>
        <v/>
      </c>
    </row>
    <row r="322" customFormat="false" ht="15" hidden="false" customHeight="false" outlineLevel="0" collapsed="false">
      <c r="A322" s="47"/>
      <c r="B322" s="48"/>
      <c r="C322" s="132"/>
      <c r="D322" s="53"/>
      <c r="E322" s="48"/>
      <c r="F322" s="132"/>
      <c r="G322" s="133" t="str">
        <f aca="false">IF($A322="","",IFERROR(IF(ISNUMBER($A322),IF($A322&gt;19000000,DATE(INT($A322/10000),MOD(INT($A322/100),100),MOD($A322,100)),INT($A322)),IF(LEN(SUBSTITUTE(SUBSTITUTE(SUBSTITUTE(TRIM($A322),"-",""),".",""),"/",""))=8,DATE(VALUE(LEFT(SUBSTITUTE(SUBSTITUTE(SUBSTITUTE(TRIM($A322),"-",""),".",""),"/",""),4)),VALUE(MID(SUBSTITUTE(SUBSTITUTE(SUBSTITUTE(TRIM($A322),"-",""),".",""),"/",""),5,2)),VALUE(RIGHT(SUBSTITUTE(SUBSTITUTE(SUBSTITUTE(TRIM($A322),"-",""),".",""),"/",""),2))),DATEVALUE($A322))),""))</f>
        <v/>
      </c>
    </row>
    <row r="323" customFormat="false" ht="15" hidden="false" customHeight="false" outlineLevel="0" collapsed="false">
      <c r="A323" s="47"/>
      <c r="B323" s="48"/>
      <c r="C323" s="132"/>
      <c r="D323" s="53"/>
      <c r="E323" s="48"/>
      <c r="F323" s="132"/>
      <c r="G323" s="133" t="str">
        <f aca="false">IF($A323="","",IFERROR(IF(ISNUMBER($A323),IF($A323&gt;19000000,DATE(INT($A323/10000),MOD(INT($A323/100),100),MOD($A323,100)),INT($A323)),IF(LEN(SUBSTITUTE(SUBSTITUTE(SUBSTITUTE(TRIM($A323),"-",""),".",""),"/",""))=8,DATE(VALUE(LEFT(SUBSTITUTE(SUBSTITUTE(SUBSTITUTE(TRIM($A323),"-",""),".",""),"/",""),4)),VALUE(MID(SUBSTITUTE(SUBSTITUTE(SUBSTITUTE(TRIM($A323),"-",""),".",""),"/",""),5,2)),VALUE(RIGHT(SUBSTITUTE(SUBSTITUTE(SUBSTITUTE(TRIM($A323),"-",""),".",""),"/",""),2))),DATEVALUE($A323))),""))</f>
        <v/>
      </c>
    </row>
    <row r="324" customFormat="false" ht="15" hidden="false" customHeight="false" outlineLevel="0" collapsed="false">
      <c r="A324" s="47"/>
      <c r="B324" s="48"/>
      <c r="C324" s="132"/>
      <c r="D324" s="53"/>
      <c r="E324" s="48"/>
      <c r="F324" s="132"/>
      <c r="G324" s="133" t="str">
        <f aca="false">IF($A324="","",IFERROR(IF(ISNUMBER($A324),IF($A324&gt;19000000,DATE(INT($A324/10000),MOD(INT($A324/100),100),MOD($A324,100)),INT($A324)),IF(LEN(SUBSTITUTE(SUBSTITUTE(SUBSTITUTE(TRIM($A324),"-",""),".",""),"/",""))=8,DATE(VALUE(LEFT(SUBSTITUTE(SUBSTITUTE(SUBSTITUTE(TRIM($A324),"-",""),".",""),"/",""),4)),VALUE(MID(SUBSTITUTE(SUBSTITUTE(SUBSTITUTE(TRIM($A324),"-",""),".",""),"/",""),5,2)),VALUE(RIGHT(SUBSTITUTE(SUBSTITUTE(SUBSTITUTE(TRIM($A324),"-",""),".",""),"/",""),2))),DATEVALUE($A324))),""))</f>
        <v/>
      </c>
    </row>
    <row r="325" customFormat="false" ht="15" hidden="false" customHeight="false" outlineLevel="0" collapsed="false">
      <c r="A325" s="47"/>
      <c r="B325" s="48"/>
      <c r="C325" s="132"/>
      <c r="D325" s="53"/>
      <c r="E325" s="48"/>
      <c r="F325" s="132"/>
      <c r="G325" s="133" t="str">
        <f aca="false">IF($A325="","",IFERROR(IF(ISNUMBER($A325),IF($A325&gt;19000000,DATE(INT($A325/10000),MOD(INT($A325/100),100),MOD($A325,100)),INT($A325)),IF(LEN(SUBSTITUTE(SUBSTITUTE(SUBSTITUTE(TRIM($A325),"-",""),".",""),"/",""))=8,DATE(VALUE(LEFT(SUBSTITUTE(SUBSTITUTE(SUBSTITUTE(TRIM($A325),"-",""),".",""),"/",""),4)),VALUE(MID(SUBSTITUTE(SUBSTITUTE(SUBSTITUTE(TRIM($A325),"-",""),".",""),"/",""),5,2)),VALUE(RIGHT(SUBSTITUTE(SUBSTITUTE(SUBSTITUTE(TRIM($A325),"-",""),".",""),"/",""),2))),DATEVALUE($A325))),""))</f>
        <v/>
      </c>
    </row>
    <row r="326" customFormat="false" ht="15" hidden="false" customHeight="false" outlineLevel="0" collapsed="false">
      <c r="A326" s="47"/>
      <c r="B326" s="48"/>
      <c r="C326" s="132"/>
      <c r="D326" s="53"/>
      <c r="E326" s="48"/>
      <c r="F326" s="132"/>
      <c r="G326" s="133" t="str">
        <f aca="false">IF($A326="","",IFERROR(IF(ISNUMBER($A326),IF($A326&gt;19000000,DATE(INT($A326/10000),MOD(INT($A326/100),100),MOD($A326,100)),INT($A326)),IF(LEN(SUBSTITUTE(SUBSTITUTE(SUBSTITUTE(TRIM($A326),"-",""),".",""),"/",""))=8,DATE(VALUE(LEFT(SUBSTITUTE(SUBSTITUTE(SUBSTITUTE(TRIM($A326),"-",""),".",""),"/",""),4)),VALUE(MID(SUBSTITUTE(SUBSTITUTE(SUBSTITUTE(TRIM($A326),"-",""),".",""),"/",""),5,2)),VALUE(RIGHT(SUBSTITUTE(SUBSTITUTE(SUBSTITUTE(TRIM($A326),"-",""),".",""),"/",""),2))),DATEVALUE($A326))),""))</f>
        <v/>
      </c>
    </row>
    <row r="327" customFormat="false" ht="15" hidden="false" customHeight="false" outlineLevel="0" collapsed="false">
      <c r="A327" s="47"/>
      <c r="B327" s="48"/>
      <c r="C327" s="132"/>
      <c r="D327" s="53"/>
      <c r="E327" s="48"/>
      <c r="F327" s="132"/>
      <c r="G327" s="133" t="str">
        <f aca="false">IF($A327="","",IFERROR(IF(ISNUMBER($A327),IF($A327&gt;19000000,DATE(INT($A327/10000),MOD(INT($A327/100),100),MOD($A327,100)),INT($A327)),IF(LEN(SUBSTITUTE(SUBSTITUTE(SUBSTITUTE(TRIM($A327),"-",""),".",""),"/",""))=8,DATE(VALUE(LEFT(SUBSTITUTE(SUBSTITUTE(SUBSTITUTE(TRIM($A327),"-",""),".",""),"/",""),4)),VALUE(MID(SUBSTITUTE(SUBSTITUTE(SUBSTITUTE(TRIM($A327),"-",""),".",""),"/",""),5,2)),VALUE(RIGHT(SUBSTITUTE(SUBSTITUTE(SUBSTITUTE(TRIM($A327),"-",""),".",""),"/",""),2))),DATEVALUE($A327))),""))</f>
        <v/>
      </c>
    </row>
    <row r="328" customFormat="false" ht="15" hidden="false" customHeight="false" outlineLevel="0" collapsed="false">
      <c r="A328" s="47"/>
      <c r="B328" s="48"/>
      <c r="C328" s="132"/>
      <c r="D328" s="53"/>
      <c r="E328" s="48"/>
      <c r="F328" s="132"/>
      <c r="G328" s="133" t="str">
        <f aca="false">IF($A328="","",IFERROR(IF(ISNUMBER($A328),IF($A328&gt;19000000,DATE(INT($A328/10000),MOD(INT($A328/100),100),MOD($A328,100)),INT($A328)),IF(LEN(SUBSTITUTE(SUBSTITUTE(SUBSTITUTE(TRIM($A328),"-",""),".",""),"/",""))=8,DATE(VALUE(LEFT(SUBSTITUTE(SUBSTITUTE(SUBSTITUTE(TRIM($A328),"-",""),".",""),"/",""),4)),VALUE(MID(SUBSTITUTE(SUBSTITUTE(SUBSTITUTE(TRIM($A328),"-",""),".",""),"/",""),5,2)),VALUE(RIGHT(SUBSTITUTE(SUBSTITUTE(SUBSTITUTE(TRIM($A328),"-",""),".",""),"/",""),2))),DATEVALUE($A328))),""))</f>
        <v/>
      </c>
    </row>
    <row r="329" customFormat="false" ht="15" hidden="false" customHeight="false" outlineLevel="0" collapsed="false">
      <c r="A329" s="47"/>
      <c r="B329" s="48"/>
      <c r="C329" s="132"/>
      <c r="D329" s="53"/>
      <c r="E329" s="48"/>
      <c r="F329" s="132"/>
      <c r="G329" s="133" t="str">
        <f aca="false">IF($A329="","",IFERROR(IF(ISNUMBER($A329),IF($A329&gt;19000000,DATE(INT($A329/10000),MOD(INT($A329/100),100),MOD($A329,100)),INT($A329)),IF(LEN(SUBSTITUTE(SUBSTITUTE(SUBSTITUTE(TRIM($A329),"-",""),".",""),"/",""))=8,DATE(VALUE(LEFT(SUBSTITUTE(SUBSTITUTE(SUBSTITUTE(TRIM($A329),"-",""),".",""),"/",""),4)),VALUE(MID(SUBSTITUTE(SUBSTITUTE(SUBSTITUTE(TRIM($A329),"-",""),".",""),"/",""),5,2)),VALUE(RIGHT(SUBSTITUTE(SUBSTITUTE(SUBSTITUTE(TRIM($A329),"-",""),".",""),"/",""),2))),DATEVALUE($A329))),""))</f>
        <v/>
      </c>
    </row>
    <row r="330" customFormat="false" ht="15" hidden="false" customHeight="false" outlineLevel="0" collapsed="false">
      <c r="A330" s="47"/>
      <c r="B330" s="48"/>
      <c r="C330" s="132"/>
      <c r="D330" s="53"/>
      <c r="E330" s="48"/>
      <c r="F330" s="132"/>
      <c r="G330" s="133" t="str">
        <f aca="false">IF($A330="","",IFERROR(IF(ISNUMBER($A330),IF($A330&gt;19000000,DATE(INT($A330/10000),MOD(INT($A330/100),100),MOD($A330,100)),INT($A330)),IF(LEN(SUBSTITUTE(SUBSTITUTE(SUBSTITUTE(TRIM($A330),"-",""),".",""),"/",""))=8,DATE(VALUE(LEFT(SUBSTITUTE(SUBSTITUTE(SUBSTITUTE(TRIM($A330),"-",""),".",""),"/",""),4)),VALUE(MID(SUBSTITUTE(SUBSTITUTE(SUBSTITUTE(TRIM($A330),"-",""),".",""),"/",""),5,2)),VALUE(RIGHT(SUBSTITUTE(SUBSTITUTE(SUBSTITUTE(TRIM($A330),"-",""),".",""),"/",""),2))),DATEVALUE($A330))),""))</f>
        <v/>
      </c>
    </row>
    <row r="331" customFormat="false" ht="15" hidden="false" customHeight="false" outlineLevel="0" collapsed="false">
      <c r="A331" s="47"/>
      <c r="B331" s="48"/>
      <c r="C331" s="132"/>
      <c r="D331" s="53"/>
      <c r="E331" s="48"/>
      <c r="F331" s="132"/>
      <c r="G331" s="133" t="str">
        <f aca="false">IF($A331="","",IFERROR(IF(ISNUMBER($A331),IF($A331&gt;19000000,DATE(INT($A331/10000),MOD(INT($A331/100),100),MOD($A331,100)),INT($A331)),IF(LEN(SUBSTITUTE(SUBSTITUTE(SUBSTITUTE(TRIM($A331),"-",""),".",""),"/",""))=8,DATE(VALUE(LEFT(SUBSTITUTE(SUBSTITUTE(SUBSTITUTE(TRIM($A331),"-",""),".",""),"/",""),4)),VALUE(MID(SUBSTITUTE(SUBSTITUTE(SUBSTITUTE(TRIM($A331),"-",""),".",""),"/",""),5,2)),VALUE(RIGHT(SUBSTITUTE(SUBSTITUTE(SUBSTITUTE(TRIM($A331),"-",""),".",""),"/",""),2))),DATEVALUE($A331))),""))</f>
        <v/>
      </c>
    </row>
    <row r="332" customFormat="false" ht="15" hidden="false" customHeight="false" outlineLevel="0" collapsed="false">
      <c r="A332" s="47"/>
      <c r="B332" s="48"/>
      <c r="C332" s="132"/>
      <c r="D332" s="53"/>
      <c r="E332" s="48"/>
      <c r="F332" s="132"/>
      <c r="G332" s="133" t="str">
        <f aca="false">IF($A332="","",IFERROR(IF(ISNUMBER($A332),IF($A332&gt;19000000,DATE(INT($A332/10000),MOD(INT($A332/100),100),MOD($A332,100)),INT($A332)),IF(LEN(SUBSTITUTE(SUBSTITUTE(SUBSTITUTE(TRIM($A332),"-",""),".",""),"/",""))=8,DATE(VALUE(LEFT(SUBSTITUTE(SUBSTITUTE(SUBSTITUTE(TRIM($A332),"-",""),".",""),"/",""),4)),VALUE(MID(SUBSTITUTE(SUBSTITUTE(SUBSTITUTE(TRIM($A332),"-",""),".",""),"/",""),5,2)),VALUE(RIGHT(SUBSTITUTE(SUBSTITUTE(SUBSTITUTE(TRIM($A332),"-",""),".",""),"/",""),2))),DATEVALUE($A332))),""))</f>
        <v/>
      </c>
    </row>
    <row r="333" customFormat="false" ht="15" hidden="false" customHeight="false" outlineLevel="0" collapsed="false">
      <c r="A333" s="47"/>
      <c r="B333" s="48"/>
      <c r="C333" s="132"/>
      <c r="D333" s="53"/>
      <c r="E333" s="48"/>
      <c r="F333" s="132"/>
      <c r="G333" s="133" t="str">
        <f aca="false">IF($A333="","",IFERROR(IF(ISNUMBER($A333),IF($A333&gt;19000000,DATE(INT($A333/10000),MOD(INT($A333/100),100),MOD($A333,100)),INT($A333)),IF(LEN(SUBSTITUTE(SUBSTITUTE(SUBSTITUTE(TRIM($A333),"-",""),".",""),"/",""))=8,DATE(VALUE(LEFT(SUBSTITUTE(SUBSTITUTE(SUBSTITUTE(TRIM($A333),"-",""),".",""),"/",""),4)),VALUE(MID(SUBSTITUTE(SUBSTITUTE(SUBSTITUTE(TRIM($A333),"-",""),".",""),"/",""),5,2)),VALUE(RIGHT(SUBSTITUTE(SUBSTITUTE(SUBSTITUTE(TRIM($A333),"-",""),".",""),"/",""),2))),DATEVALUE($A333))),""))</f>
        <v/>
      </c>
    </row>
    <row r="334" customFormat="false" ht="15" hidden="false" customHeight="false" outlineLevel="0" collapsed="false">
      <c r="A334" s="47"/>
      <c r="B334" s="48"/>
      <c r="C334" s="132"/>
      <c r="D334" s="53"/>
      <c r="E334" s="48"/>
      <c r="F334" s="132"/>
      <c r="G334" s="133" t="str">
        <f aca="false">IF($A334="","",IFERROR(IF(ISNUMBER($A334),IF($A334&gt;19000000,DATE(INT($A334/10000),MOD(INT($A334/100),100),MOD($A334,100)),INT($A334)),IF(LEN(SUBSTITUTE(SUBSTITUTE(SUBSTITUTE(TRIM($A334),"-",""),".",""),"/",""))=8,DATE(VALUE(LEFT(SUBSTITUTE(SUBSTITUTE(SUBSTITUTE(TRIM($A334),"-",""),".",""),"/",""),4)),VALUE(MID(SUBSTITUTE(SUBSTITUTE(SUBSTITUTE(TRIM($A334),"-",""),".",""),"/",""),5,2)),VALUE(RIGHT(SUBSTITUTE(SUBSTITUTE(SUBSTITUTE(TRIM($A334),"-",""),".",""),"/",""),2))),DATEVALUE($A334))),""))</f>
        <v/>
      </c>
    </row>
    <row r="335" customFormat="false" ht="15" hidden="false" customHeight="false" outlineLevel="0" collapsed="false">
      <c r="A335" s="47"/>
      <c r="B335" s="48"/>
      <c r="C335" s="132"/>
      <c r="D335" s="53"/>
      <c r="E335" s="48"/>
      <c r="F335" s="132"/>
      <c r="G335" s="133" t="str">
        <f aca="false">IF($A335="","",IFERROR(IF(ISNUMBER($A335),IF($A335&gt;19000000,DATE(INT($A335/10000),MOD(INT($A335/100),100),MOD($A335,100)),INT($A335)),IF(LEN(SUBSTITUTE(SUBSTITUTE(SUBSTITUTE(TRIM($A335),"-",""),".",""),"/",""))=8,DATE(VALUE(LEFT(SUBSTITUTE(SUBSTITUTE(SUBSTITUTE(TRIM($A335),"-",""),".",""),"/",""),4)),VALUE(MID(SUBSTITUTE(SUBSTITUTE(SUBSTITUTE(TRIM($A335),"-",""),".",""),"/",""),5,2)),VALUE(RIGHT(SUBSTITUTE(SUBSTITUTE(SUBSTITUTE(TRIM($A335),"-",""),".",""),"/",""),2))),DATEVALUE($A335))),""))</f>
        <v/>
      </c>
    </row>
    <row r="336" customFormat="false" ht="15" hidden="false" customHeight="false" outlineLevel="0" collapsed="false">
      <c r="A336" s="47"/>
      <c r="B336" s="48"/>
      <c r="C336" s="132"/>
      <c r="D336" s="53"/>
      <c r="E336" s="48"/>
      <c r="F336" s="132"/>
      <c r="G336" s="133" t="str">
        <f aca="false">IF($A336="","",IFERROR(IF(ISNUMBER($A336),IF($A336&gt;19000000,DATE(INT($A336/10000),MOD(INT($A336/100),100),MOD($A336,100)),INT($A336)),IF(LEN(SUBSTITUTE(SUBSTITUTE(SUBSTITUTE(TRIM($A336),"-",""),".",""),"/",""))=8,DATE(VALUE(LEFT(SUBSTITUTE(SUBSTITUTE(SUBSTITUTE(TRIM($A336),"-",""),".",""),"/",""),4)),VALUE(MID(SUBSTITUTE(SUBSTITUTE(SUBSTITUTE(TRIM($A336),"-",""),".",""),"/",""),5,2)),VALUE(RIGHT(SUBSTITUTE(SUBSTITUTE(SUBSTITUTE(TRIM($A336),"-",""),".",""),"/",""),2))),DATEVALUE($A336))),""))</f>
        <v/>
      </c>
    </row>
    <row r="337" customFormat="false" ht="15" hidden="false" customHeight="false" outlineLevel="0" collapsed="false">
      <c r="A337" s="47"/>
      <c r="B337" s="48"/>
      <c r="C337" s="132"/>
      <c r="D337" s="53"/>
      <c r="E337" s="48"/>
      <c r="F337" s="132"/>
      <c r="G337" s="133" t="str">
        <f aca="false">IF($A337="","",IFERROR(IF(ISNUMBER($A337),IF($A337&gt;19000000,DATE(INT($A337/10000),MOD(INT($A337/100),100),MOD($A337,100)),INT($A337)),IF(LEN(SUBSTITUTE(SUBSTITUTE(SUBSTITUTE(TRIM($A337),"-",""),".",""),"/",""))=8,DATE(VALUE(LEFT(SUBSTITUTE(SUBSTITUTE(SUBSTITUTE(TRIM($A337),"-",""),".",""),"/",""),4)),VALUE(MID(SUBSTITUTE(SUBSTITUTE(SUBSTITUTE(TRIM($A337),"-",""),".",""),"/",""),5,2)),VALUE(RIGHT(SUBSTITUTE(SUBSTITUTE(SUBSTITUTE(TRIM($A337),"-",""),".",""),"/",""),2))),DATEVALUE($A337))),""))</f>
        <v/>
      </c>
    </row>
    <row r="338" customFormat="false" ht="15" hidden="false" customHeight="false" outlineLevel="0" collapsed="false">
      <c r="A338" s="47"/>
      <c r="B338" s="48"/>
      <c r="C338" s="132"/>
      <c r="D338" s="53"/>
      <c r="E338" s="48"/>
      <c r="F338" s="132"/>
      <c r="G338" s="133" t="str">
        <f aca="false">IF($A338="","",IFERROR(IF(ISNUMBER($A338),IF($A338&gt;19000000,DATE(INT($A338/10000),MOD(INT($A338/100),100),MOD($A338,100)),INT($A338)),IF(LEN(SUBSTITUTE(SUBSTITUTE(SUBSTITUTE(TRIM($A338),"-",""),".",""),"/",""))=8,DATE(VALUE(LEFT(SUBSTITUTE(SUBSTITUTE(SUBSTITUTE(TRIM($A338),"-",""),".",""),"/",""),4)),VALUE(MID(SUBSTITUTE(SUBSTITUTE(SUBSTITUTE(TRIM($A338),"-",""),".",""),"/",""),5,2)),VALUE(RIGHT(SUBSTITUTE(SUBSTITUTE(SUBSTITUTE(TRIM($A338),"-",""),".",""),"/",""),2))),DATEVALUE($A338))),""))</f>
        <v/>
      </c>
    </row>
    <row r="339" customFormat="false" ht="15" hidden="false" customHeight="false" outlineLevel="0" collapsed="false">
      <c r="A339" s="47"/>
      <c r="B339" s="48"/>
      <c r="C339" s="132"/>
      <c r="D339" s="53"/>
      <c r="E339" s="48"/>
      <c r="F339" s="132"/>
      <c r="G339" s="133" t="str">
        <f aca="false">IF($A339="","",IFERROR(IF(ISNUMBER($A339),IF($A339&gt;19000000,DATE(INT($A339/10000),MOD(INT($A339/100),100),MOD($A339,100)),INT($A339)),IF(LEN(SUBSTITUTE(SUBSTITUTE(SUBSTITUTE(TRIM($A339),"-",""),".",""),"/",""))=8,DATE(VALUE(LEFT(SUBSTITUTE(SUBSTITUTE(SUBSTITUTE(TRIM($A339),"-",""),".",""),"/",""),4)),VALUE(MID(SUBSTITUTE(SUBSTITUTE(SUBSTITUTE(TRIM($A339),"-",""),".",""),"/",""),5,2)),VALUE(RIGHT(SUBSTITUTE(SUBSTITUTE(SUBSTITUTE(TRIM($A339),"-",""),".",""),"/",""),2))),DATEVALUE($A339))),""))</f>
        <v/>
      </c>
    </row>
    <row r="340" customFormat="false" ht="15" hidden="false" customHeight="false" outlineLevel="0" collapsed="false">
      <c r="A340" s="47"/>
      <c r="B340" s="48"/>
      <c r="C340" s="132"/>
      <c r="D340" s="53"/>
      <c r="E340" s="48"/>
      <c r="F340" s="132"/>
      <c r="G340" s="133" t="str">
        <f aca="false">IF($A340="","",IFERROR(IF(ISNUMBER($A340),IF($A340&gt;19000000,DATE(INT($A340/10000),MOD(INT($A340/100),100),MOD($A340,100)),INT($A340)),IF(LEN(SUBSTITUTE(SUBSTITUTE(SUBSTITUTE(TRIM($A340),"-",""),".",""),"/",""))=8,DATE(VALUE(LEFT(SUBSTITUTE(SUBSTITUTE(SUBSTITUTE(TRIM($A340),"-",""),".",""),"/",""),4)),VALUE(MID(SUBSTITUTE(SUBSTITUTE(SUBSTITUTE(TRIM($A340),"-",""),".",""),"/",""),5,2)),VALUE(RIGHT(SUBSTITUTE(SUBSTITUTE(SUBSTITUTE(TRIM($A340),"-",""),".",""),"/",""),2))),DATEVALUE($A340))),""))</f>
        <v/>
      </c>
    </row>
    <row r="341" customFormat="false" ht="15" hidden="false" customHeight="false" outlineLevel="0" collapsed="false">
      <c r="A341" s="47"/>
      <c r="B341" s="48"/>
      <c r="C341" s="132"/>
      <c r="D341" s="53"/>
      <c r="E341" s="48"/>
      <c r="F341" s="132"/>
      <c r="G341" s="133" t="str">
        <f aca="false">IF($A341="","",IFERROR(IF(ISNUMBER($A341),IF($A341&gt;19000000,DATE(INT($A341/10000),MOD(INT($A341/100),100),MOD($A341,100)),INT($A341)),IF(LEN(SUBSTITUTE(SUBSTITUTE(SUBSTITUTE(TRIM($A341),"-",""),".",""),"/",""))=8,DATE(VALUE(LEFT(SUBSTITUTE(SUBSTITUTE(SUBSTITUTE(TRIM($A341),"-",""),".",""),"/",""),4)),VALUE(MID(SUBSTITUTE(SUBSTITUTE(SUBSTITUTE(TRIM($A341),"-",""),".",""),"/",""),5,2)),VALUE(RIGHT(SUBSTITUTE(SUBSTITUTE(SUBSTITUTE(TRIM($A341),"-",""),".",""),"/",""),2))),DATEVALUE($A341))),""))</f>
        <v/>
      </c>
    </row>
    <row r="342" customFormat="false" ht="15" hidden="false" customHeight="false" outlineLevel="0" collapsed="false">
      <c r="A342" s="47"/>
      <c r="B342" s="48"/>
      <c r="C342" s="132"/>
      <c r="D342" s="53"/>
      <c r="E342" s="48"/>
      <c r="F342" s="132"/>
      <c r="G342" s="133" t="str">
        <f aca="false">IF($A342="","",IFERROR(IF(ISNUMBER($A342),IF($A342&gt;19000000,DATE(INT($A342/10000),MOD(INT($A342/100),100),MOD($A342,100)),INT($A342)),IF(LEN(SUBSTITUTE(SUBSTITUTE(SUBSTITUTE(TRIM($A342),"-",""),".",""),"/",""))=8,DATE(VALUE(LEFT(SUBSTITUTE(SUBSTITUTE(SUBSTITUTE(TRIM($A342),"-",""),".",""),"/",""),4)),VALUE(MID(SUBSTITUTE(SUBSTITUTE(SUBSTITUTE(TRIM($A342),"-",""),".",""),"/",""),5,2)),VALUE(RIGHT(SUBSTITUTE(SUBSTITUTE(SUBSTITUTE(TRIM($A342),"-",""),".",""),"/",""),2))),DATEVALUE($A342))),""))</f>
        <v/>
      </c>
    </row>
    <row r="343" customFormat="false" ht="15" hidden="false" customHeight="false" outlineLevel="0" collapsed="false">
      <c r="A343" s="47"/>
      <c r="B343" s="48"/>
      <c r="C343" s="132"/>
      <c r="D343" s="53"/>
      <c r="E343" s="48"/>
      <c r="F343" s="132"/>
      <c r="G343" s="133" t="str">
        <f aca="false">IF($A343="","",IFERROR(IF(ISNUMBER($A343),IF($A343&gt;19000000,DATE(INT($A343/10000),MOD(INT($A343/100),100),MOD($A343,100)),INT($A343)),IF(LEN(SUBSTITUTE(SUBSTITUTE(SUBSTITUTE(TRIM($A343),"-",""),".",""),"/",""))=8,DATE(VALUE(LEFT(SUBSTITUTE(SUBSTITUTE(SUBSTITUTE(TRIM($A343),"-",""),".",""),"/",""),4)),VALUE(MID(SUBSTITUTE(SUBSTITUTE(SUBSTITUTE(TRIM($A343),"-",""),".",""),"/",""),5,2)),VALUE(RIGHT(SUBSTITUTE(SUBSTITUTE(SUBSTITUTE(TRIM($A343),"-",""),".",""),"/",""),2))),DATEVALUE($A343))),""))</f>
        <v/>
      </c>
    </row>
    <row r="344" customFormat="false" ht="15" hidden="false" customHeight="false" outlineLevel="0" collapsed="false">
      <c r="A344" s="47"/>
      <c r="B344" s="48"/>
      <c r="C344" s="132"/>
      <c r="D344" s="53"/>
      <c r="E344" s="48"/>
      <c r="F344" s="132"/>
      <c r="G344" s="133" t="str">
        <f aca="false">IF($A344="","",IFERROR(IF(ISNUMBER($A344),IF($A344&gt;19000000,DATE(INT($A344/10000),MOD(INT($A344/100),100),MOD($A344,100)),INT($A344)),IF(LEN(SUBSTITUTE(SUBSTITUTE(SUBSTITUTE(TRIM($A344),"-",""),".",""),"/",""))=8,DATE(VALUE(LEFT(SUBSTITUTE(SUBSTITUTE(SUBSTITUTE(TRIM($A344),"-",""),".",""),"/",""),4)),VALUE(MID(SUBSTITUTE(SUBSTITUTE(SUBSTITUTE(TRIM($A344),"-",""),".",""),"/",""),5,2)),VALUE(RIGHT(SUBSTITUTE(SUBSTITUTE(SUBSTITUTE(TRIM($A344),"-",""),".",""),"/",""),2))),DATEVALUE($A344))),""))</f>
        <v/>
      </c>
    </row>
    <row r="345" customFormat="false" ht="15" hidden="false" customHeight="false" outlineLevel="0" collapsed="false">
      <c r="A345" s="47"/>
      <c r="B345" s="48"/>
      <c r="C345" s="132"/>
      <c r="D345" s="53"/>
      <c r="E345" s="48"/>
      <c r="F345" s="132"/>
      <c r="G345" s="133" t="str">
        <f aca="false">IF($A345="","",IFERROR(IF(ISNUMBER($A345),IF($A345&gt;19000000,DATE(INT($A345/10000),MOD(INT($A345/100),100),MOD($A345,100)),INT($A345)),IF(LEN(SUBSTITUTE(SUBSTITUTE(SUBSTITUTE(TRIM($A345),"-",""),".",""),"/",""))=8,DATE(VALUE(LEFT(SUBSTITUTE(SUBSTITUTE(SUBSTITUTE(TRIM($A345),"-",""),".",""),"/",""),4)),VALUE(MID(SUBSTITUTE(SUBSTITUTE(SUBSTITUTE(TRIM($A345),"-",""),".",""),"/",""),5,2)),VALUE(RIGHT(SUBSTITUTE(SUBSTITUTE(SUBSTITUTE(TRIM($A345),"-",""),".",""),"/",""),2))),DATEVALUE($A345))),""))</f>
        <v/>
      </c>
    </row>
    <row r="346" customFormat="false" ht="15" hidden="false" customHeight="false" outlineLevel="0" collapsed="false">
      <c r="A346" s="47"/>
      <c r="B346" s="48"/>
      <c r="C346" s="132"/>
      <c r="D346" s="53"/>
      <c r="E346" s="48"/>
      <c r="F346" s="132"/>
      <c r="G346" s="133" t="str">
        <f aca="false">IF($A346="","",IFERROR(IF(ISNUMBER($A346),IF($A346&gt;19000000,DATE(INT($A346/10000),MOD(INT($A346/100),100),MOD($A346,100)),INT($A346)),IF(LEN(SUBSTITUTE(SUBSTITUTE(SUBSTITUTE(TRIM($A346),"-",""),".",""),"/",""))=8,DATE(VALUE(LEFT(SUBSTITUTE(SUBSTITUTE(SUBSTITUTE(TRIM($A346),"-",""),".",""),"/",""),4)),VALUE(MID(SUBSTITUTE(SUBSTITUTE(SUBSTITUTE(TRIM($A346),"-",""),".",""),"/",""),5,2)),VALUE(RIGHT(SUBSTITUTE(SUBSTITUTE(SUBSTITUTE(TRIM($A346),"-",""),".",""),"/",""),2))),DATEVALUE($A346))),""))</f>
        <v/>
      </c>
    </row>
    <row r="347" customFormat="false" ht="15" hidden="false" customHeight="false" outlineLevel="0" collapsed="false">
      <c r="A347" s="47"/>
      <c r="B347" s="48"/>
      <c r="C347" s="132"/>
      <c r="D347" s="53"/>
      <c r="E347" s="48"/>
      <c r="F347" s="132"/>
      <c r="G347" s="133" t="str">
        <f aca="false">IF($A347="","",IFERROR(IF(ISNUMBER($A347),IF($A347&gt;19000000,DATE(INT($A347/10000),MOD(INT($A347/100),100),MOD($A347,100)),INT($A347)),IF(LEN(SUBSTITUTE(SUBSTITUTE(SUBSTITUTE(TRIM($A347),"-",""),".",""),"/",""))=8,DATE(VALUE(LEFT(SUBSTITUTE(SUBSTITUTE(SUBSTITUTE(TRIM($A347),"-",""),".",""),"/",""),4)),VALUE(MID(SUBSTITUTE(SUBSTITUTE(SUBSTITUTE(TRIM($A347),"-",""),".",""),"/",""),5,2)),VALUE(RIGHT(SUBSTITUTE(SUBSTITUTE(SUBSTITUTE(TRIM($A347),"-",""),".",""),"/",""),2))),DATEVALUE($A347))),""))</f>
        <v/>
      </c>
    </row>
    <row r="348" customFormat="false" ht="15" hidden="false" customHeight="false" outlineLevel="0" collapsed="false">
      <c r="A348" s="47"/>
      <c r="B348" s="48"/>
      <c r="C348" s="132"/>
      <c r="D348" s="53"/>
      <c r="E348" s="48"/>
      <c r="F348" s="132"/>
      <c r="G348" s="133" t="str">
        <f aca="false">IF($A348="","",IFERROR(IF(ISNUMBER($A348),IF($A348&gt;19000000,DATE(INT($A348/10000),MOD(INT($A348/100),100),MOD($A348,100)),INT($A348)),IF(LEN(SUBSTITUTE(SUBSTITUTE(SUBSTITUTE(TRIM($A348),"-",""),".",""),"/",""))=8,DATE(VALUE(LEFT(SUBSTITUTE(SUBSTITUTE(SUBSTITUTE(TRIM($A348),"-",""),".",""),"/",""),4)),VALUE(MID(SUBSTITUTE(SUBSTITUTE(SUBSTITUTE(TRIM($A348),"-",""),".",""),"/",""),5,2)),VALUE(RIGHT(SUBSTITUTE(SUBSTITUTE(SUBSTITUTE(TRIM($A348),"-",""),".",""),"/",""),2))),DATEVALUE($A348))),""))</f>
        <v/>
      </c>
    </row>
    <row r="349" customFormat="false" ht="15" hidden="false" customHeight="false" outlineLevel="0" collapsed="false">
      <c r="A349" s="47"/>
      <c r="B349" s="48"/>
      <c r="C349" s="132"/>
      <c r="D349" s="53"/>
      <c r="E349" s="48"/>
      <c r="F349" s="132"/>
      <c r="G349" s="133" t="str">
        <f aca="false">IF($A349="","",IFERROR(IF(ISNUMBER($A349),IF($A349&gt;19000000,DATE(INT($A349/10000),MOD(INT($A349/100),100),MOD($A349,100)),INT($A349)),IF(LEN(SUBSTITUTE(SUBSTITUTE(SUBSTITUTE(TRIM($A349),"-",""),".",""),"/",""))=8,DATE(VALUE(LEFT(SUBSTITUTE(SUBSTITUTE(SUBSTITUTE(TRIM($A349),"-",""),".",""),"/",""),4)),VALUE(MID(SUBSTITUTE(SUBSTITUTE(SUBSTITUTE(TRIM($A349),"-",""),".",""),"/",""),5,2)),VALUE(RIGHT(SUBSTITUTE(SUBSTITUTE(SUBSTITUTE(TRIM($A349),"-",""),".",""),"/",""),2))),DATEVALUE($A349))),""))</f>
        <v/>
      </c>
    </row>
    <row r="350" customFormat="false" ht="15" hidden="false" customHeight="false" outlineLevel="0" collapsed="false">
      <c r="A350" s="47"/>
      <c r="B350" s="48"/>
      <c r="C350" s="132"/>
      <c r="D350" s="53"/>
      <c r="E350" s="48"/>
      <c r="F350" s="132"/>
      <c r="G350" s="133" t="str">
        <f aca="false">IF($A350="","",IFERROR(IF(ISNUMBER($A350),IF($A350&gt;19000000,DATE(INT($A350/10000),MOD(INT($A350/100),100),MOD($A350,100)),INT($A350)),IF(LEN(SUBSTITUTE(SUBSTITUTE(SUBSTITUTE(TRIM($A350),"-",""),".",""),"/",""))=8,DATE(VALUE(LEFT(SUBSTITUTE(SUBSTITUTE(SUBSTITUTE(TRIM($A350),"-",""),".",""),"/",""),4)),VALUE(MID(SUBSTITUTE(SUBSTITUTE(SUBSTITUTE(TRIM($A350),"-",""),".",""),"/",""),5,2)),VALUE(RIGHT(SUBSTITUTE(SUBSTITUTE(SUBSTITUTE(TRIM($A350),"-",""),".",""),"/",""),2))),DATEVALUE($A350))),""))</f>
        <v/>
      </c>
    </row>
    <row r="351" customFormat="false" ht="15" hidden="false" customHeight="false" outlineLevel="0" collapsed="false">
      <c r="A351" s="47"/>
      <c r="B351" s="48"/>
      <c r="C351" s="132"/>
      <c r="D351" s="53"/>
      <c r="E351" s="48"/>
      <c r="F351" s="132"/>
      <c r="G351" s="133" t="str">
        <f aca="false">IF($A351="","",IFERROR(IF(ISNUMBER($A351),IF($A351&gt;19000000,DATE(INT($A351/10000),MOD(INT($A351/100),100),MOD($A351,100)),INT($A351)),IF(LEN(SUBSTITUTE(SUBSTITUTE(SUBSTITUTE(TRIM($A351),"-",""),".",""),"/",""))=8,DATE(VALUE(LEFT(SUBSTITUTE(SUBSTITUTE(SUBSTITUTE(TRIM($A351),"-",""),".",""),"/",""),4)),VALUE(MID(SUBSTITUTE(SUBSTITUTE(SUBSTITUTE(TRIM($A351),"-",""),".",""),"/",""),5,2)),VALUE(RIGHT(SUBSTITUTE(SUBSTITUTE(SUBSTITUTE(TRIM($A351),"-",""),".",""),"/",""),2))),DATEVALUE($A351))),""))</f>
        <v/>
      </c>
    </row>
    <row r="352" customFormat="false" ht="15" hidden="false" customHeight="false" outlineLevel="0" collapsed="false">
      <c r="A352" s="47"/>
      <c r="B352" s="48"/>
      <c r="C352" s="132"/>
      <c r="D352" s="53"/>
      <c r="E352" s="48"/>
      <c r="F352" s="132"/>
      <c r="G352" s="133" t="str">
        <f aca="false">IF($A352="","",IFERROR(IF(ISNUMBER($A352),IF($A352&gt;19000000,DATE(INT($A352/10000),MOD(INT($A352/100),100),MOD($A352,100)),INT($A352)),IF(LEN(SUBSTITUTE(SUBSTITUTE(SUBSTITUTE(TRIM($A352),"-",""),".",""),"/",""))=8,DATE(VALUE(LEFT(SUBSTITUTE(SUBSTITUTE(SUBSTITUTE(TRIM($A352),"-",""),".",""),"/",""),4)),VALUE(MID(SUBSTITUTE(SUBSTITUTE(SUBSTITUTE(TRIM($A352),"-",""),".",""),"/",""),5,2)),VALUE(RIGHT(SUBSTITUTE(SUBSTITUTE(SUBSTITUTE(TRIM($A352),"-",""),".",""),"/",""),2))),DATEVALUE($A352))),""))</f>
        <v/>
      </c>
    </row>
    <row r="353" customFormat="false" ht="15" hidden="false" customHeight="false" outlineLevel="0" collapsed="false">
      <c r="A353" s="47"/>
      <c r="B353" s="48"/>
      <c r="C353" s="132"/>
      <c r="D353" s="53"/>
      <c r="E353" s="48"/>
      <c r="F353" s="132"/>
      <c r="G353" s="133" t="str">
        <f aca="false">IF($A353="","",IFERROR(IF(ISNUMBER($A353),IF($A353&gt;19000000,DATE(INT($A353/10000),MOD(INT($A353/100),100),MOD($A353,100)),INT($A353)),IF(LEN(SUBSTITUTE(SUBSTITUTE(SUBSTITUTE(TRIM($A353),"-",""),".",""),"/",""))=8,DATE(VALUE(LEFT(SUBSTITUTE(SUBSTITUTE(SUBSTITUTE(TRIM($A353),"-",""),".",""),"/",""),4)),VALUE(MID(SUBSTITUTE(SUBSTITUTE(SUBSTITUTE(TRIM($A353),"-",""),".",""),"/",""),5,2)),VALUE(RIGHT(SUBSTITUTE(SUBSTITUTE(SUBSTITUTE(TRIM($A353),"-",""),".",""),"/",""),2))),DATEVALUE($A353))),""))</f>
        <v/>
      </c>
    </row>
    <row r="354" customFormat="false" ht="15" hidden="false" customHeight="false" outlineLevel="0" collapsed="false">
      <c r="A354" s="47"/>
      <c r="B354" s="48"/>
      <c r="C354" s="132"/>
      <c r="D354" s="53"/>
      <c r="E354" s="48"/>
      <c r="F354" s="132"/>
      <c r="G354" s="133" t="str">
        <f aca="false">IF($A354="","",IFERROR(IF(ISNUMBER($A354),IF($A354&gt;19000000,DATE(INT($A354/10000),MOD(INT($A354/100),100),MOD($A354,100)),INT($A354)),IF(LEN(SUBSTITUTE(SUBSTITUTE(SUBSTITUTE(TRIM($A354),"-",""),".",""),"/",""))=8,DATE(VALUE(LEFT(SUBSTITUTE(SUBSTITUTE(SUBSTITUTE(TRIM($A354),"-",""),".",""),"/",""),4)),VALUE(MID(SUBSTITUTE(SUBSTITUTE(SUBSTITUTE(TRIM($A354),"-",""),".",""),"/",""),5,2)),VALUE(RIGHT(SUBSTITUTE(SUBSTITUTE(SUBSTITUTE(TRIM($A354),"-",""),".",""),"/",""),2))),DATEVALUE($A354))),""))</f>
        <v/>
      </c>
    </row>
    <row r="355" customFormat="false" ht="15" hidden="false" customHeight="false" outlineLevel="0" collapsed="false">
      <c r="A355" s="47"/>
      <c r="B355" s="48"/>
      <c r="C355" s="132"/>
      <c r="D355" s="53"/>
      <c r="E355" s="48"/>
      <c r="F355" s="132"/>
      <c r="G355" s="133" t="str">
        <f aca="false">IF($A355="","",IFERROR(IF(ISNUMBER($A355),IF($A355&gt;19000000,DATE(INT($A355/10000),MOD(INT($A355/100),100),MOD($A355,100)),INT($A355)),IF(LEN(SUBSTITUTE(SUBSTITUTE(SUBSTITUTE(TRIM($A355),"-",""),".",""),"/",""))=8,DATE(VALUE(LEFT(SUBSTITUTE(SUBSTITUTE(SUBSTITUTE(TRIM($A355),"-",""),".",""),"/",""),4)),VALUE(MID(SUBSTITUTE(SUBSTITUTE(SUBSTITUTE(TRIM($A355),"-",""),".",""),"/",""),5,2)),VALUE(RIGHT(SUBSTITUTE(SUBSTITUTE(SUBSTITUTE(TRIM($A355),"-",""),".",""),"/",""),2))),DATEVALUE($A355))),""))</f>
        <v/>
      </c>
    </row>
    <row r="356" customFormat="false" ht="15" hidden="false" customHeight="false" outlineLevel="0" collapsed="false">
      <c r="A356" s="47"/>
      <c r="B356" s="48"/>
      <c r="C356" s="132"/>
      <c r="D356" s="53"/>
      <c r="E356" s="48"/>
      <c r="F356" s="132"/>
      <c r="G356" s="133" t="str">
        <f aca="false">IF($A356="","",IFERROR(IF(ISNUMBER($A356),IF($A356&gt;19000000,DATE(INT($A356/10000),MOD(INT($A356/100),100),MOD($A356,100)),INT($A356)),IF(LEN(SUBSTITUTE(SUBSTITUTE(SUBSTITUTE(TRIM($A356),"-",""),".",""),"/",""))=8,DATE(VALUE(LEFT(SUBSTITUTE(SUBSTITUTE(SUBSTITUTE(TRIM($A356),"-",""),".",""),"/",""),4)),VALUE(MID(SUBSTITUTE(SUBSTITUTE(SUBSTITUTE(TRIM($A356),"-",""),".",""),"/",""),5,2)),VALUE(RIGHT(SUBSTITUTE(SUBSTITUTE(SUBSTITUTE(TRIM($A356),"-",""),".",""),"/",""),2))),DATEVALUE($A356))),""))</f>
        <v/>
      </c>
    </row>
    <row r="357" customFormat="false" ht="15" hidden="false" customHeight="false" outlineLevel="0" collapsed="false">
      <c r="A357" s="47"/>
      <c r="B357" s="48"/>
      <c r="C357" s="132"/>
      <c r="D357" s="53"/>
      <c r="E357" s="48"/>
      <c r="F357" s="132"/>
      <c r="G357" s="133" t="str">
        <f aca="false">IF($A357="","",IFERROR(IF(ISNUMBER($A357),IF($A357&gt;19000000,DATE(INT($A357/10000),MOD(INT($A357/100),100),MOD($A357,100)),INT($A357)),IF(LEN(SUBSTITUTE(SUBSTITUTE(SUBSTITUTE(TRIM($A357),"-",""),".",""),"/",""))=8,DATE(VALUE(LEFT(SUBSTITUTE(SUBSTITUTE(SUBSTITUTE(TRIM($A357),"-",""),".",""),"/",""),4)),VALUE(MID(SUBSTITUTE(SUBSTITUTE(SUBSTITUTE(TRIM($A357),"-",""),".",""),"/",""),5,2)),VALUE(RIGHT(SUBSTITUTE(SUBSTITUTE(SUBSTITUTE(TRIM($A357),"-",""),".",""),"/",""),2))),DATEVALUE($A357))),""))</f>
        <v/>
      </c>
    </row>
    <row r="358" customFormat="false" ht="15" hidden="false" customHeight="false" outlineLevel="0" collapsed="false">
      <c r="A358" s="47"/>
      <c r="B358" s="48"/>
      <c r="C358" s="132"/>
      <c r="D358" s="53"/>
      <c r="E358" s="48"/>
      <c r="F358" s="132"/>
      <c r="G358" s="133" t="str">
        <f aca="false">IF($A358="","",IFERROR(IF(ISNUMBER($A358),IF($A358&gt;19000000,DATE(INT($A358/10000),MOD(INT($A358/100),100),MOD($A358,100)),INT($A358)),IF(LEN(SUBSTITUTE(SUBSTITUTE(SUBSTITUTE(TRIM($A358),"-",""),".",""),"/",""))=8,DATE(VALUE(LEFT(SUBSTITUTE(SUBSTITUTE(SUBSTITUTE(TRIM($A358),"-",""),".",""),"/",""),4)),VALUE(MID(SUBSTITUTE(SUBSTITUTE(SUBSTITUTE(TRIM($A358),"-",""),".",""),"/",""),5,2)),VALUE(RIGHT(SUBSTITUTE(SUBSTITUTE(SUBSTITUTE(TRIM($A358),"-",""),".",""),"/",""),2))),DATEVALUE($A358))),""))</f>
        <v/>
      </c>
    </row>
    <row r="359" customFormat="false" ht="15" hidden="false" customHeight="false" outlineLevel="0" collapsed="false">
      <c r="A359" s="47"/>
      <c r="B359" s="48"/>
      <c r="C359" s="132"/>
      <c r="D359" s="53"/>
      <c r="E359" s="48"/>
      <c r="F359" s="132"/>
      <c r="G359" s="133" t="str">
        <f aca="false">IF($A359="","",IFERROR(IF(ISNUMBER($A359),IF($A359&gt;19000000,DATE(INT($A359/10000),MOD(INT($A359/100),100),MOD($A359,100)),INT($A359)),IF(LEN(SUBSTITUTE(SUBSTITUTE(SUBSTITUTE(TRIM($A359),"-",""),".",""),"/",""))=8,DATE(VALUE(LEFT(SUBSTITUTE(SUBSTITUTE(SUBSTITUTE(TRIM($A359),"-",""),".",""),"/",""),4)),VALUE(MID(SUBSTITUTE(SUBSTITUTE(SUBSTITUTE(TRIM($A359),"-",""),".",""),"/",""),5,2)),VALUE(RIGHT(SUBSTITUTE(SUBSTITUTE(SUBSTITUTE(TRIM($A359),"-",""),".",""),"/",""),2))),DATEVALUE($A359))),""))</f>
        <v/>
      </c>
    </row>
    <row r="360" customFormat="false" ht="15" hidden="false" customHeight="false" outlineLevel="0" collapsed="false">
      <c r="A360" s="47"/>
      <c r="B360" s="48"/>
      <c r="C360" s="132"/>
      <c r="D360" s="53"/>
      <c r="E360" s="48"/>
      <c r="F360" s="132"/>
      <c r="G360" s="133" t="str">
        <f aca="false">IF($A360="","",IFERROR(IF(ISNUMBER($A360),IF($A360&gt;19000000,DATE(INT($A360/10000),MOD(INT($A360/100),100),MOD($A360,100)),INT($A360)),IF(LEN(SUBSTITUTE(SUBSTITUTE(SUBSTITUTE(TRIM($A360),"-",""),".",""),"/",""))=8,DATE(VALUE(LEFT(SUBSTITUTE(SUBSTITUTE(SUBSTITUTE(TRIM($A360),"-",""),".",""),"/",""),4)),VALUE(MID(SUBSTITUTE(SUBSTITUTE(SUBSTITUTE(TRIM($A360),"-",""),".",""),"/",""),5,2)),VALUE(RIGHT(SUBSTITUTE(SUBSTITUTE(SUBSTITUTE(TRIM($A360),"-",""),".",""),"/",""),2))),DATEVALUE($A360))),""))</f>
        <v/>
      </c>
    </row>
    <row r="361" customFormat="false" ht="15" hidden="false" customHeight="false" outlineLevel="0" collapsed="false">
      <c r="A361" s="47"/>
      <c r="B361" s="48"/>
      <c r="C361" s="132"/>
      <c r="D361" s="53"/>
      <c r="E361" s="48"/>
      <c r="F361" s="132"/>
      <c r="G361" s="133" t="str">
        <f aca="false">IF($A361="","",IFERROR(IF(ISNUMBER($A361),IF($A361&gt;19000000,DATE(INT($A361/10000),MOD(INT($A361/100),100),MOD($A361,100)),INT($A361)),IF(LEN(SUBSTITUTE(SUBSTITUTE(SUBSTITUTE(TRIM($A361),"-",""),".",""),"/",""))=8,DATE(VALUE(LEFT(SUBSTITUTE(SUBSTITUTE(SUBSTITUTE(TRIM($A361),"-",""),".",""),"/",""),4)),VALUE(MID(SUBSTITUTE(SUBSTITUTE(SUBSTITUTE(TRIM($A361),"-",""),".",""),"/",""),5,2)),VALUE(RIGHT(SUBSTITUTE(SUBSTITUTE(SUBSTITUTE(TRIM($A361),"-",""),".",""),"/",""),2))),DATEVALUE($A361))),""))</f>
        <v/>
      </c>
    </row>
    <row r="362" customFormat="false" ht="15" hidden="false" customHeight="false" outlineLevel="0" collapsed="false">
      <c r="A362" s="47"/>
      <c r="B362" s="48"/>
      <c r="C362" s="132"/>
      <c r="D362" s="53"/>
      <c r="E362" s="48"/>
      <c r="F362" s="132"/>
      <c r="G362" s="133" t="str">
        <f aca="false">IF($A362="","",IFERROR(IF(ISNUMBER($A362),IF($A362&gt;19000000,DATE(INT($A362/10000),MOD(INT($A362/100),100),MOD($A362,100)),INT($A362)),IF(LEN(SUBSTITUTE(SUBSTITUTE(SUBSTITUTE(TRIM($A362),"-",""),".",""),"/",""))=8,DATE(VALUE(LEFT(SUBSTITUTE(SUBSTITUTE(SUBSTITUTE(TRIM($A362),"-",""),".",""),"/",""),4)),VALUE(MID(SUBSTITUTE(SUBSTITUTE(SUBSTITUTE(TRIM($A362),"-",""),".",""),"/",""),5,2)),VALUE(RIGHT(SUBSTITUTE(SUBSTITUTE(SUBSTITUTE(TRIM($A362),"-",""),".",""),"/",""),2))),DATEVALUE($A362))),""))</f>
        <v/>
      </c>
    </row>
    <row r="363" customFormat="false" ht="15" hidden="false" customHeight="false" outlineLevel="0" collapsed="false">
      <c r="A363" s="47"/>
      <c r="B363" s="48"/>
      <c r="C363" s="132"/>
      <c r="D363" s="53"/>
      <c r="E363" s="48"/>
      <c r="F363" s="132"/>
      <c r="G363" s="133" t="str">
        <f aca="false">IF($A363="","",IFERROR(IF(ISNUMBER($A363),IF($A363&gt;19000000,DATE(INT($A363/10000),MOD(INT($A363/100),100),MOD($A363,100)),INT($A363)),IF(LEN(SUBSTITUTE(SUBSTITUTE(SUBSTITUTE(TRIM($A363),"-",""),".",""),"/",""))=8,DATE(VALUE(LEFT(SUBSTITUTE(SUBSTITUTE(SUBSTITUTE(TRIM($A363),"-",""),".",""),"/",""),4)),VALUE(MID(SUBSTITUTE(SUBSTITUTE(SUBSTITUTE(TRIM($A363),"-",""),".",""),"/",""),5,2)),VALUE(RIGHT(SUBSTITUTE(SUBSTITUTE(SUBSTITUTE(TRIM($A363),"-",""),".",""),"/",""),2))),DATEVALUE($A363))),""))</f>
        <v/>
      </c>
    </row>
    <row r="364" customFormat="false" ht="15" hidden="false" customHeight="false" outlineLevel="0" collapsed="false">
      <c r="A364" s="47"/>
      <c r="B364" s="48"/>
      <c r="C364" s="132"/>
      <c r="D364" s="53"/>
      <c r="E364" s="48"/>
      <c r="F364" s="132"/>
      <c r="G364" s="133" t="str">
        <f aca="false">IF($A364="","",IFERROR(IF(ISNUMBER($A364),IF($A364&gt;19000000,DATE(INT($A364/10000),MOD(INT($A364/100),100),MOD($A364,100)),INT($A364)),IF(LEN(SUBSTITUTE(SUBSTITUTE(SUBSTITUTE(TRIM($A364),"-",""),".",""),"/",""))=8,DATE(VALUE(LEFT(SUBSTITUTE(SUBSTITUTE(SUBSTITUTE(TRIM($A364),"-",""),".",""),"/",""),4)),VALUE(MID(SUBSTITUTE(SUBSTITUTE(SUBSTITUTE(TRIM($A364),"-",""),".",""),"/",""),5,2)),VALUE(RIGHT(SUBSTITUTE(SUBSTITUTE(SUBSTITUTE(TRIM($A364),"-",""),".",""),"/",""),2))),DATEVALUE($A364))),""))</f>
        <v/>
      </c>
    </row>
    <row r="365" customFormat="false" ht="15" hidden="false" customHeight="false" outlineLevel="0" collapsed="false">
      <c r="A365" s="47"/>
      <c r="B365" s="48"/>
      <c r="C365" s="132"/>
      <c r="D365" s="53"/>
      <c r="E365" s="48"/>
      <c r="F365" s="132"/>
      <c r="G365" s="133" t="str">
        <f aca="false">IF($A365="","",IFERROR(IF(ISNUMBER($A365),IF($A365&gt;19000000,DATE(INT($A365/10000),MOD(INT($A365/100),100),MOD($A365,100)),INT($A365)),IF(LEN(SUBSTITUTE(SUBSTITUTE(SUBSTITUTE(TRIM($A365),"-",""),".",""),"/",""))=8,DATE(VALUE(LEFT(SUBSTITUTE(SUBSTITUTE(SUBSTITUTE(TRIM($A365),"-",""),".",""),"/",""),4)),VALUE(MID(SUBSTITUTE(SUBSTITUTE(SUBSTITUTE(TRIM($A365),"-",""),".",""),"/",""),5,2)),VALUE(RIGHT(SUBSTITUTE(SUBSTITUTE(SUBSTITUTE(TRIM($A365),"-",""),".",""),"/",""),2))),DATEVALUE($A365))),""))</f>
        <v/>
      </c>
    </row>
    <row r="366" customFormat="false" ht="15" hidden="false" customHeight="false" outlineLevel="0" collapsed="false">
      <c r="A366" s="47"/>
      <c r="B366" s="48"/>
      <c r="C366" s="132"/>
      <c r="D366" s="53"/>
      <c r="E366" s="48"/>
      <c r="F366" s="132"/>
      <c r="G366" s="133" t="str">
        <f aca="false">IF($A366="","",IFERROR(IF(ISNUMBER($A366),IF($A366&gt;19000000,DATE(INT($A366/10000),MOD(INT($A366/100),100),MOD($A366,100)),INT($A366)),IF(LEN(SUBSTITUTE(SUBSTITUTE(SUBSTITUTE(TRIM($A366),"-",""),".",""),"/",""))=8,DATE(VALUE(LEFT(SUBSTITUTE(SUBSTITUTE(SUBSTITUTE(TRIM($A366),"-",""),".",""),"/",""),4)),VALUE(MID(SUBSTITUTE(SUBSTITUTE(SUBSTITUTE(TRIM($A366),"-",""),".",""),"/",""),5,2)),VALUE(RIGHT(SUBSTITUTE(SUBSTITUTE(SUBSTITUTE(TRIM($A366),"-",""),".",""),"/",""),2))),DATEVALUE($A366))),""))</f>
        <v/>
      </c>
    </row>
    <row r="367" customFormat="false" ht="15" hidden="false" customHeight="false" outlineLevel="0" collapsed="false">
      <c r="A367" s="47"/>
      <c r="B367" s="48"/>
      <c r="C367" s="132"/>
      <c r="D367" s="53"/>
      <c r="E367" s="48"/>
      <c r="F367" s="132"/>
      <c r="G367" s="133" t="str">
        <f aca="false">IF($A367="","",IFERROR(IF(ISNUMBER($A367),IF($A367&gt;19000000,DATE(INT($A367/10000),MOD(INT($A367/100),100),MOD($A367,100)),INT($A367)),IF(LEN(SUBSTITUTE(SUBSTITUTE(SUBSTITUTE(TRIM($A367),"-",""),".",""),"/",""))=8,DATE(VALUE(LEFT(SUBSTITUTE(SUBSTITUTE(SUBSTITUTE(TRIM($A367),"-",""),".",""),"/",""),4)),VALUE(MID(SUBSTITUTE(SUBSTITUTE(SUBSTITUTE(TRIM($A367),"-",""),".",""),"/",""),5,2)),VALUE(RIGHT(SUBSTITUTE(SUBSTITUTE(SUBSTITUTE(TRIM($A367),"-",""),".",""),"/",""),2))),DATEVALUE($A367))),""))</f>
        <v/>
      </c>
    </row>
    <row r="368" customFormat="false" ht="15" hidden="false" customHeight="false" outlineLevel="0" collapsed="false">
      <c r="A368" s="47"/>
      <c r="B368" s="48"/>
      <c r="C368" s="132"/>
      <c r="D368" s="53"/>
      <c r="E368" s="48"/>
      <c r="F368" s="132"/>
      <c r="G368" s="133" t="str">
        <f aca="false">IF($A368="","",IFERROR(IF(ISNUMBER($A368),IF($A368&gt;19000000,DATE(INT($A368/10000),MOD(INT($A368/100),100),MOD($A368,100)),INT($A368)),IF(LEN(SUBSTITUTE(SUBSTITUTE(SUBSTITUTE(TRIM($A368),"-",""),".",""),"/",""))=8,DATE(VALUE(LEFT(SUBSTITUTE(SUBSTITUTE(SUBSTITUTE(TRIM($A368),"-",""),".",""),"/",""),4)),VALUE(MID(SUBSTITUTE(SUBSTITUTE(SUBSTITUTE(TRIM($A368),"-",""),".",""),"/",""),5,2)),VALUE(RIGHT(SUBSTITUTE(SUBSTITUTE(SUBSTITUTE(TRIM($A368),"-",""),".",""),"/",""),2))),DATEVALUE($A368))),""))</f>
        <v/>
      </c>
    </row>
    <row r="369" customFormat="false" ht="15" hidden="false" customHeight="false" outlineLevel="0" collapsed="false">
      <c r="A369" s="47"/>
      <c r="B369" s="48"/>
      <c r="C369" s="132"/>
      <c r="D369" s="53"/>
      <c r="E369" s="48"/>
      <c r="F369" s="132"/>
      <c r="G369" s="133" t="str">
        <f aca="false">IF($A369="","",IFERROR(IF(ISNUMBER($A369),IF($A369&gt;19000000,DATE(INT($A369/10000),MOD(INT($A369/100),100),MOD($A369,100)),INT($A369)),IF(LEN(SUBSTITUTE(SUBSTITUTE(SUBSTITUTE(TRIM($A369),"-",""),".",""),"/",""))=8,DATE(VALUE(LEFT(SUBSTITUTE(SUBSTITUTE(SUBSTITUTE(TRIM($A369),"-",""),".",""),"/",""),4)),VALUE(MID(SUBSTITUTE(SUBSTITUTE(SUBSTITUTE(TRIM($A369),"-",""),".",""),"/",""),5,2)),VALUE(RIGHT(SUBSTITUTE(SUBSTITUTE(SUBSTITUTE(TRIM($A369),"-",""),".",""),"/",""),2))),DATEVALUE($A369))),""))</f>
        <v/>
      </c>
    </row>
    <row r="370" customFormat="false" ht="15" hidden="false" customHeight="false" outlineLevel="0" collapsed="false">
      <c r="A370" s="47"/>
      <c r="B370" s="48"/>
      <c r="C370" s="132"/>
      <c r="D370" s="53"/>
      <c r="E370" s="48"/>
      <c r="F370" s="132"/>
      <c r="G370" s="133" t="str">
        <f aca="false">IF($A370="","",IFERROR(IF(ISNUMBER($A370),IF($A370&gt;19000000,DATE(INT($A370/10000),MOD(INT($A370/100),100),MOD($A370,100)),INT($A370)),IF(LEN(SUBSTITUTE(SUBSTITUTE(SUBSTITUTE(TRIM($A370),"-",""),".",""),"/",""))=8,DATE(VALUE(LEFT(SUBSTITUTE(SUBSTITUTE(SUBSTITUTE(TRIM($A370),"-",""),".",""),"/",""),4)),VALUE(MID(SUBSTITUTE(SUBSTITUTE(SUBSTITUTE(TRIM($A370),"-",""),".",""),"/",""),5,2)),VALUE(RIGHT(SUBSTITUTE(SUBSTITUTE(SUBSTITUTE(TRIM($A370),"-",""),".",""),"/",""),2))),DATEVALUE($A370))),""))</f>
        <v/>
      </c>
    </row>
    <row r="371" customFormat="false" ht="15" hidden="false" customHeight="false" outlineLevel="0" collapsed="false">
      <c r="A371" s="47"/>
      <c r="B371" s="48"/>
      <c r="C371" s="132"/>
      <c r="D371" s="53"/>
      <c r="E371" s="48"/>
      <c r="F371" s="132"/>
      <c r="G371" s="133" t="str">
        <f aca="false">IF($A371="","",IFERROR(IF(ISNUMBER($A371),IF($A371&gt;19000000,DATE(INT($A371/10000),MOD(INT($A371/100),100),MOD($A371,100)),INT($A371)),IF(LEN(SUBSTITUTE(SUBSTITUTE(SUBSTITUTE(TRIM($A371),"-",""),".",""),"/",""))=8,DATE(VALUE(LEFT(SUBSTITUTE(SUBSTITUTE(SUBSTITUTE(TRIM($A371),"-",""),".",""),"/",""),4)),VALUE(MID(SUBSTITUTE(SUBSTITUTE(SUBSTITUTE(TRIM($A371),"-",""),".",""),"/",""),5,2)),VALUE(RIGHT(SUBSTITUTE(SUBSTITUTE(SUBSTITUTE(TRIM($A371),"-",""),".",""),"/",""),2))),DATEVALUE($A371))),""))</f>
        <v/>
      </c>
    </row>
    <row r="372" customFormat="false" ht="15" hidden="false" customHeight="false" outlineLevel="0" collapsed="false">
      <c r="A372" s="47"/>
      <c r="B372" s="48"/>
      <c r="C372" s="132"/>
      <c r="D372" s="53"/>
      <c r="E372" s="48"/>
      <c r="F372" s="132"/>
      <c r="G372" s="133" t="str">
        <f aca="false">IF($A372="","",IFERROR(IF(ISNUMBER($A372),IF($A372&gt;19000000,DATE(INT($A372/10000),MOD(INT($A372/100),100),MOD($A372,100)),INT($A372)),IF(LEN(SUBSTITUTE(SUBSTITUTE(SUBSTITUTE(TRIM($A372),"-",""),".",""),"/",""))=8,DATE(VALUE(LEFT(SUBSTITUTE(SUBSTITUTE(SUBSTITUTE(TRIM($A372),"-",""),".",""),"/",""),4)),VALUE(MID(SUBSTITUTE(SUBSTITUTE(SUBSTITUTE(TRIM($A372),"-",""),".",""),"/",""),5,2)),VALUE(RIGHT(SUBSTITUTE(SUBSTITUTE(SUBSTITUTE(TRIM($A372),"-",""),".",""),"/",""),2))),DATEVALUE($A372))),""))</f>
        <v/>
      </c>
    </row>
    <row r="373" customFormat="false" ht="15" hidden="false" customHeight="false" outlineLevel="0" collapsed="false">
      <c r="A373" s="47"/>
      <c r="B373" s="48"/>
      <c r="C373" s="132"/>
      <c r="D373" s="53"/>
      <c r="E373" s="48"/>
      <c r="F373" s="132"/>
      <c r="G373" s="133" t="str">
        <f aca="false">IF($A373="","",IFERROR(IF(ISNUMBER($A373),IF($A373&gt;19000000,DATE(INT($A373/10000),MOD(INT($A373/100),100),MOD($A373,100)),INT($A373)),IF(LEN(SUBSTITUTE(SUBSTITUTE(SUBSTITUTE(TRIM($A373),"-",""),".",""),"/",""))=8,DATE(VALUE(LEFT(SUBSTITUTE(SUBSTITUTE(SUBSTITUTE(TRIM($A373),"-",""),".",""),"/",""),4)),VALUE(MID(SUBSTITUTE(SUBSTITUTE(SUBSTITUTE(TRIM($A373),"-",""),".",""),"/",""),5,2)),VALUE(RIGHT(SUBSTITUTE(SUBSTITUTE(SUBSTITUTE(TRIM($A373),"-",""),".",""),"/",""),2))),DATEVALUE($A373))),""))</f>
        <v/>
      </c>
    </row>
    <row r="374" customFormat="false" ht="15" hidden="false" customHeight="false" outlineLevel="0" collapsed="false">
      <c r="A374" s="47"/>
      <c r="B374" s="48"/>
      <c r="C374" s="132"/>
      <c r="D374" s="53"/>
      <c r="E374" s="48"/>
      <c r="F374" s="132"/>
      <c r="G374" s="133" t="str">
        <f aca="false">IF($A374="","",IFERROR(IF(ISNUMBER($A374),IF($A374&gt;19000000,DATE(INT($A374/10000),MOD(INT($A374/100),100),MOD($A374,100)),INT($A374)),IF(LEN(SUBSTITUTE(SUBSTITUTE(SUBSTITUTE(TRIM($A374),"-",""),".",""),"/",""))=8,DATE(VALUE(LEFT(SUBSTITUTE(SUBSTITUTE(SUBSTITUTE(TRIM($A374),"-",""),".",""),"/",""),4)),VALUE(MID(SUBSTITUTE(SUBSTITUTE(SUBSTITUTE(TRIM($A374),"-",""),".",""),"/",""),5,2)),VALUE(RIGHT(SUBSTITUTE(SUBSTITUTE(SUBSTITUTE(TRIM($A374),"-",""),".",""),"/",""),2))),DATEVALUE($A374))),""))</f>
        <v/>
      </c>
    </row>
    <row r="375" customFormat="false" ht="15" hidden="false" customHeight="false" outlineLevel="0" collapsed="false">
      <c r="A375" s="47"/>
      <c r="B375" s="48"/>
      <c r="C375" s="132"/>
      <c r="D375" s="53"/>
      <c r="E375" s="48"/>
      <c r="F375" s="132"/>
      <c r="G375" s="133" t="str">
        <f aca="false">IF($A375="","",IFERROR(IF(ISNUMBER($A375),IF($A375&gt;19000000,DATE(INT($A375/10000),MOD(INT($A375/100),100),MOD($A375,100)),INT($A375)),IF(LEN(SUBSTITUTE(SUBSTITUTE(SUBSTITUTE(TRIM($A375),"-",""),".",""),"/",""))=8,DATE(VALUE(LEFT(SUBSTITUTE(SUBSTITUTE(SUBSTITUTE(TRIM($A375),"-",""),".",""),"/",""),4)),VALUE(MID(SUBSTITUTE(SUBSTITUTE(SUBSTITUTE(TRIM($A375),"-",""),".",""),"/",""),5,2)),VALUE(RIGHT(SUBSTITUTE(SUBSTITUTE(SUBSTITUTE(TRIM($A375),"-",""),".",""),"/",""),2))),DATEVALUE($A375))),""))</f>
        <v/>
      </c>
    </row>
    <row r="376" customFormat="false" ht="15" hidden="false" customHeight="false" outlineLevel="0" collapsed="false">
      <c r="A376" s="47"/>
      <c r="B376" s="48"/>
      <c r="C376" s="132"/>
      <c r="D376" s="53"/>
      <c r="E376" s="48"/>
      <c r="F376" s="132"/>
      <c r="G376" s="133" t="str">
        <f aca="false">IF($A376="","",IFERROR(IF(ISNUMBER($A376),IF($A376&gt;19000000,DATE(INT($A376/10000),MOD(INT($A376/100),100),MOD($A376,100)),INT($A376)),IF(LEN(SUBSTITUTE(SUBSTITUTE(SUBSTITUTE(TRIM($A376),"-",""),".",""),"/",""))=8,DATE(VALUE(LEFT(SUBSTITUTE(SUBSTITUTE(SUBSTITUTE(TRIM($A376),"-",""),".",""),"/",""),4)),VALUE(MID(SUBSTITUTE(SUBSTITUTE(SUBSTITUTE(TRIM($A376),"-",""),".",""),"/",""),5,2)),VALUE(RIGHT(SUBSTITUTE(SUBSTITUTE(SUBSTITUTE(TRIM($A376),"-",""),".",""),"/",""),2))),DATEVALUE($A376))),""))</f>
        <v/>
      </c>
    </row>
    <row r="377" customFormat="false" ht="15" hidden="false" customHeight="false" outlineLevel="0" collapsed="false">
      <c r="A377" s="47"/>
      <c r="B377" s="48"/>
      <c r="C377" s="132"/>
      <c r="D377" s="53"/>
      <c r="E377" s="48"/>
      <c r="F377" s="132"/>
      <c r="G377" s="133" t="str">
        <f aca="false">IF($A377="","",IFERROR(IF(ISNUMBER($A377),IF($A377&gt;19000000,DATE(INT($A377/10000),MOD(INT($A377/100),100),MOD($A377,100)),INT($A377)),IF(LEN(SUBSTITUTE(SUBSTITUTE(SUBSTITUTE(TRIM($A377),"-",""),".",""),"/",""))=8,DATE(VALUE(LEFT(SUBSTITUTE(SUBSTITUTE(SUBSTITUTE(TRIM($A377),"-",""),".",""),"/",""),4)),VALUE(MID(SUBSTITUTE(SUBSTITUTE(SUBSTITUTE(TRIM($A377),"-",""),".",""),"/",""),5,2)),VALUE(RIGHT(SUBSTITUTE(SUBSTITUTE(SUBSTITUTE(TRIM($A377),"-",""),".",""),"/",""),2))),DATEVALUE($A377))),""))</f>
        <v/>
      </c>
    </row>
    <row r="378" customFormat="false" ht="15" hidden="false" customHeight="false" outlineLevel="0" collapsed="false">
      <c r="A378" s="47"/>
      <c r="B378" s="48"/>
      <c r="C378" s="132"/>
      <c r="D378" s="53"/>
      <c r="E378" s="48"/>
      <c r="F378" s="132"/>
      <c r="G378" s="133" t="str">
        <f aca="false">IF($A378="","",IFERROR(IF(ISNUMBER($A378),IF($A378&gt;19000000,DATE(INT($A378/10000),MOD(INT($A378/100),100),MOD($A378,100)),INT($A378)),IF(LEN(SUBSTITUTE(SUBSTITUTE(SUBSTITUTE(TRIM($A378),"-",""),".",""),"/",""))=8,DATE(VALUE(LEFT(SUBSTITUTE(SUBSTITUTE(SUBSTITUTE(TRIM($A378),"-",""),".",""),"/",""),4)),VALUE(MID(SUBSTITUTE(SUBSTITUTE(SUBSTITUTE(TRIM($A378),"-",""),".",""),"/",""),5,2)),VALUE(RIGHT(SUBSTITUTE(SUBSTITUTE(SUBSTITUTE(TRIM($A378),"-",""),".",""),"/",""),2))),DATEVALUE($A378))),""))</f>
        <v/>
      </c>
    </row>
    <row r="379" customFormat="false" ht="15" hidden="false" customHeight="false" outlineLevel="0" collapsed="false">
      <c r="A379" s="47"/>
      <c r="B379" s="48"/>
      <c r="C379" s="132"/>
      <c r="D379" s="53"/>
      <c r="E379" s="48"/>
      <c r="F379" s="132"/>
      <c r="G379" s="133" t="str">
        <f aca="false">IF($A379="","",IFERROR(IF(ISNUMBER($A379),IF($A379&gt;19000000,DATE(INT($A379/10000),MOD(INT($A379/100),100),MOD($A379,100)),INT($A379)),IF(LEN(SUBSTITUTE(SUBSTITUTE(SUBSTITUTE(TRIM($A379),"-",""),".",""),"/",""))=8,DATE(VALUE(LEFT(SUBSTITUTE(SUBSTITUTE(SUBSTITUTE(TRIM($A379),"-",""),".",""),"/",""),4)),VALUE(MID(SUBSTITUTE(SUBSTITUTE(SUBSTITUTE(TRIM($A379),"-",""),".",""),"/",""),5,2)),VALUE(RIGHT(SUBSTITUTE(SUBSTITUTE(SUBSTITUTE(TRIM($A379),"-",""),".",""),"/",""),2))),DATEVALUE($A379))),""))</f>
        <v/>
      </c>
    </row>
    <row r="380" customFormat="false" ht="15" hidden="false" customHeight="false" outlineLevel="0" collapsed="false">
      <c r="A380" s="47"/>
      <c r="B380" s="48"/>
      <c r="C380" s="132"/>
      <c r="D380" s="53"/>
      <c r="E380" s="48"/>
      <c r="F380" s="132"/>
      <c r="G380" s="133" t="str">
        <f aca="false">IF($A380="","",IFERROR(IF(ISNUMBER($A380),IF($A380&gt;19000000,DATE(INT($A380/10000),MOD(INT($A380/100),100),MOD($A380,100)),INT($A380)),IF(LEN(SUBSTITUTE(SUBSTITUTE(SUBSTITUTE(TRIM($A380),"-",""),".",""),"/",""))=8,DATE(VALUE(LEFT(SUBSTITUTE(SUBSTITUTE(SUBSTITUTE(TRIM($A380),"-",""),".",""),"/",""),4)),VALUE(MID(SUBSTITUTE(SUBSTITUTE(SUBSTITUTE(TRIM($A380),"-",""),".",""),"/",""),5,2)),VALUE(RIGHT(SUBSTITUTE(SUBSTITUTE(SUBSTITUTE(TRIM($A380),"-",""),".",""),"/",""),2))),DATEVALUE($A380))),""))</f>
        <v/>
      </c>
    </row>
    <row r="381" customFormat="false" ht="15" hidden="false" customHeight="false" outlineLevel="0" collapsed="false">
      <c r="A381" s="47"/>
      <c r="B381" s="48"/>
      <c r="C381" s="132"/>
      <c r="D381" s="53"/>
      <c r="E381" s="48"/>
      <c r="F381" s="132"/>
      <c r="G381" s="133" t="str">
        <f aca="false">IF($A381="","",IFERROR(IF(ISNUMBER($A381),IF($A381&gt;19000000,DATE(INT($A381/10000),MOD(INT($A381/100),100),MOD($A381,100)),INT($A381)),IF(LEN(SUBSTITUTE(SUBSTITUTE(SUBSTITUTE(TRIM($A381),"-",""),".",""),"/",""))=8,DATE(VALUE(LEFT(SUBSTITUTE(SUBSTITUTE(SUBSTITUTE(TRIM($A381),"-",""),".",""),"/",""),4)),VALUE(MID(SUBSTITUTE(SUBSTITUTE(SUBSTITUTE(TRIM($A381),"-",""),".",""),"/",""),5,2)),VALUE(RIGHT(SUBSTITUTE(SUBSTITUTE(SUBSTITUTE(TRIM($A381),"-",""),".",""),"/",""),2))),DATEVALUE($A381))),""))</f>
        <v/>
      </c>
    </row>
    <row r="382" customFormat="false" ht="15" hidden="false" customHeight="false" outlineLevel="0" collapsed="false">
      <c r="A382" s="47"/>
      <c r="B382" s="48"/>
      <c r="C382" s="132"/>
      <c r="D382" s="53"/>
      <c r="E382" s="48"/>
      <c r="F382" s="132"/>
      <c r="G382" s="133" t="str">
        <f aca="false">IF($A382="","",IFERROR(IF(ISNUMBER($A382),IF($A382&gt;19000000,DATE(INT($A382/10000),MOD(INT($A382/100),100),MOD($A382,100)),INT($A382)),IF(LEN(SUBSTITUTE(SUBSTITUTE(SUBSTITUTE(TRIM($A382),"-",""),".",""),"/",""))=8,DATE(VALUE(LEFT(SUBSTITUTE(SUBSTITUTE(SUBSTITUTE(TRIM($A382),"-",""),".",""),"/",""),4)),VALUE(MID(SUBSTITUTE(SUBSTITUTE(SUBSTITUTE(TRIM($A382),"-",""),".",""),"/",""),5,2)),VALUE(RIGHT(SUBSTITUTE(SUBSTITUTE(SUBSTITUTE(TRIM($A382),"-",""),".",""),"/",""),2))),DATEVALUE($A382))),""))</f>
        <v/>
      </c>
    </row>
    <row r="383" customFormat="false" ht="15" hidden="false" customHeight="false" outlineLevel="0" collapsed="false">
      <c r="A383" s="47"/>
      <c r="B383" s="48"/>
      <c r="C383" s="132"/>
      <c r="D383" s="53"/>
      <c r="E383" s="48"/>
      <c r="F383" s="132"/>
      <c r="G383" s="133" t="str">
        <f aca="false">IF($A383="","",IFERROR(IF(ISNUMBER($A383),IF($A383&gt;19000000,DATE(INT($A383/10000),MOD(INT($A383/100),100),MOD($A383,100)),INT($A383)),IF(LEN(SUBSTITUTE(SUBSTITUTE(SUBSTITUTE(TRIM($A383),"-",""),".",""),"/",""))=8,DATE(VALUE(LEFT(SUBSTITUTE(SUBSTITUTE(SUBSTITUTE(TRIM($A383),"-",""),".",""),"/",""),4)),VALUE(MID(SUBSTITUTE(SUBSTITUTE(SUBSTITUTE(TRIM($A383),"-",""),".",""),"/",""),5,2)),VALUE(RIGHT(SUBSTITUTE(SUBSTITUTE(SUBSTITUTE(TRIM($A383),"-",""),".",""),"/",""),2))),DATEVALUE($A383))),""))</f>
        <v/>
      </c>
    </row>
    <row r="384" customFormat="false" ht="15" hidden="false" customHeight="false" outlineLevel="0" collapsed="false">
      <c r="A384" s="47"/>
      <c r="B384" s="48"/>
      <c r="C384" s="132"/>
      <c r="D384" s="53"/>
      <c r="E384" s="48"/>
      <c r="F384" s="132"/>
      <c r="G384" s="133" t="str">
        <f aca="false">IF($A384="","",IFERROR(IF(ISNUMBER($A384),IF($A384&gt;19000000,DATE(INT($A384/10000),MOD(INT($A384/100),100),MOD($A384,100)),INT($A384)),IF(LEN(SUBSTITUTE(SUBSTITUTE(SUBSTITUTE(TRIM($A384),"-",""),".",""),"/",""))=8,DATE(VALUE(LEFT(SUBSTITUTE(SUBSTITUTE(SUBSTITUTE(TRIM($A384),"-",""),".",""),"/",""),4)),VALUE(MID(SUBSTITUTE(SUBSTITUTE(SUBSTITUTE(TRIM($A384),"-",""),".",""),"/",""),5,2)),VALUE(RIGHT(SUBSTITUTE(SUBSTITUTE(SUBSTITUTE(TRIM($A384),"-",""),".",""),"/",""),2))),DATEVALUE($A384))),""))</f>
        <v/>
      </c>
    </row>
    <row r="385" customFormat="false" ht="15" hidden="false" customHeight="false" outlineLevel="0" collapsed="false">
      <c r="A385" s="47"/>
      <c r="B385" s="48"/>
      <c r="C385" s="132"/>
      <c r="D385" s="53"/>
      <c r="E385" s="48"/>
      <c r="F385" s="132"/>
      <c r="G385" s="133" t="str">
        <f aca="false">IF($A385="","",IFERROR(IF(ISNUMBER($A385),IF($A385&gt;19000000,DATE(INT($A385/10000),MOD(INT($A385/100),100),MOD($A385,100)),INT($A385)),IF(LEN(SUBSTITUTE(SUBSTITUTE(SUBSTITUTE(TRIM($A385),"-",""),".",""),"/",""))=8,DATE(VALUE(LEFT(SUBSTITUTE(SUBSTITUTE(SUBSTITUTE(TRIM($A385),"-",""),".",""),"/",""),4)),VALUE(MID(SUBSTITUTE(SUBSTITUTE(SUBSTITUTE(TRIM($A385),"-",""),".",""),"/",""),5,2)),VALUE(RIGHT(SUBSTITUTE(SUBSTITUTE(SUBSTITUTE(TRIM($A385),"-",""),".",""),"/",""),2))),DATEVALUE($A385))),""))</f>
        <v/>
      </c>
    </row>
    <row r="386" customFormat="false" ht="15" hidden="false" customHeight="false" outlineLevel="0" collapsed="false">
      <c r="A386" s="47"/>
      <c r="B386" s="48"/>
      <c r="C386" s="132"/>
      <c r="D386" s="53"/>
      <c r="E386" s="48"/>
      <c r="F386" s="132"/>
      <c r="G386" s="133" t="str">
        <f aca="false">IF($A386="","",IFERROR(IF(ISNUMBER($A386),IF($A386&gt;19000000,DATE(INT($A386/10000),MOD(INT($A386/100),100),MOD($A386,100)),INT($A386)),IF(LEN(SUBSTITUTE(SUBSTITUTE(SUBSTITUTE(TRIM($A386),"-",""),".",""),"/",""))=8,DATE(VALUE(LEFT(SUBSTITUTE(SUBSTITUTE(SUBSTITUTE(TRIM($A386),"-",""),".",""),"/",""),4)),VALUE(MID(SUBSTITUTE(SUBSTITUTE(SUBSTITUTE(TRIM($A386),"-",""),".",""),"/",""),5,2)),VALUE(RIGHT(SUBSTITUTE(SUBSTITUTE(SUBSTITUTE(TRIM($A386),"-",""),".",""),"/",""),2))),DATEVALUE($A386))),""))</f>
        <v/>
      </c>
    </row>
    <row r="387" customFormat="false" ht="15" hidden="false" customHeight="false" outlineLevel="0" collapsed="false">
      <c r="A387" s="47"/>
      <c r="B387" s="48"/>
      <c r="C387" s="132"/>
      <c r="D387" s="53"/>
      <c r="E387" s="48"/>
      <c r="F387" s="132"/>
      <c r="G387" s="133" t="str">
        <f aca="false">IF($A387="","",IFERROR(IF(ISNUMBER($A387),IF($A387&gt;19000000,DATE(INT($A387/10000),MOD(INT($A387/100),100),MOD($A387,100)),INT($A387)),IF(LEN(SUBSTITUTE(SUBSTITUTE(SUBSTITUTE(TRIM($A387),"-",""),".",""),"/",""))=8,DATE(VALUE(LEFT(SUBSTITUTE(SUBSTITUTE(SUBSTITUTE(TRIM($A387),"-",""),".",""),"/",""),4)),VALUE(MID(SUBSTITUTE(SUBSTITUTE(SUBSTITUTE(TRIM($A387),"-",""),".",""),"/",""),5,2)),VALUE(RIGHT(SUBSTITUTE(SUBSTITUTE(SUBSTITUTE(TRIM($A387),"-",""),".",""),"/",""),2))),DATEVALUE($A387))),""))</f>
        <v/>
      </c>
    </row>
    <row r="388" customFormat="false" ht="15" hidden="false" customHeight="false" outlineLevel="0" collapsed="false">
      <c r="A388" s="47"/>
      <c r="B388" s="48"/>
      <c r="C388" s="132"/>
      <c r="D388" s="53"/>
      <c r="E388" s="48"/>
      <c r="F388" s="132"/>
      <c r="G388" s="133" t="str">
        <f aca="false">IF($A388="","",IFERROR(IF(ISNUMBER($A388),IF($A388&gt;19000000,DATE(INT($A388/10000),MOD(INT($A388/100),100),MOD($A388,100)),INT($A388)),IF(LEN(SUBSTITUTE(SUBSTITUTE(SUBSTITUTE(TRIM($A388),"-",""),".",""),"/",""))=8,DATE(VALUE(LEFT(SUBSTITUTE(SUBSTITUTE(SUBSTITUTE(TRIM($A388),"-",""),".",""),"/",""),4)),VALUE(MID(SUBSTITUTE(SUBSTITUTE(SUBSTITUTE(TRIM($A388),"-",""),".",""),"/",""),5,2)),VALUE(RIGHT(SUBSTITUTE(SUBSTITUTE(SUBSTITUTE(TRIM($A388),"-",""),".",""),"/",""),2))),DATEVALUE($A388))),""))</f>
        <v/>
      </c>
    </row>
    <row r="389" customFormat="false" ht="15" hidden="false" customHeight="false" outlineLevel="0" collapsed="false">
      <c r="A389" s="47"/>
      <c r="B389" s="48"/>
      <c r="C389" s="132"/>
      <c r="D389" s="53"/>
      <c r="E389" s="48"/>
      <c r="F389" s="132"/>
      <c r="G389" s="133" t="str">
        <f aca="false">IF($A389="","",IFERROR(IF(ISNUMBER($A389),IF($A389&gt;19000000,DATE(INT($A389/10000),MOD(INT($A389/100),100),MOD($A389,100)),INT($A389)),IF(LEN(SUBSTITUTE(SUBSTITUTE(SUBSTITUTE(TRIM($A389),"-",""),".",""),"/",""))=8,DATE(VALUE(LEFT(SUBSTITUTE(SUBSTITUTE(SUBSTITUTE(TRIM($A389),"-",""),".",""),"/",""),4)),VALUE(MID(SUBSTITUTE(SUBSTITUTE(SUBSTITUTE(TRIM($A389),"-",""),".",""),"/",""),5,2)),VALUE(RIGHT(SUBSTITUTE(SUBSTITUTE(SUBSTITUTE(TRIM($A389),"-",""),".",""),"/",""),2))),DATEVALUE($A389))),""))</f>
        <v/>
      </c>
    </row>
    <row r="390" customFormat="false" ht="15" hidden="false" customHeight="false" outlineLevel="0" collapsed="false">
      <c r="A390" s="47"/>
      <c r="B390" s="48"/>
      <c r="C390" s="132"/>
      <c r="D390" s="53"/>
      <c r="E390" s="48"/>
      <c r="F390" s="132"/>
      <c r="G390" s="133" t="str">
        <f aca="false">IF($A390="","",IFERROR(IF(ISNUMBER($A390),IF($A390&gt;19000000,DATE(INT($A390/10000),MOD(INT($A390/100),100),MOD($A390,100)),INT($A390)),IF(LEN(SUBSTITUTE(SUBSTITUTE(SUBSTITUTE(TRIM($A390),"-",""),".",""),"/",""))=8,DATE(VALUE(LEFT(SUBSTITUTE(SUBSTITUTE(SUBSTITUTE(TRIM($A390),"-",""),".",""),"/",""),4)),VALUE(MID(SUBSTITUTE(SUBSTITUTE(SUBSTITUTE(TRIM($A390),"-",""),".",""),"/",""),5,2)),VALUE(RIGHT(SUBSTITUTE(SUBSTITUTE(SUBSTITUTE(TRIM($A390),"-",""),".",""),"/",""),2))),DATEVALUE($A390))),""))</f>
        <v/>
      </c>
    </row>
    <row r="391" customFormat="false" ht="15" hidden="false" customHeight="false" outlineLevel="0" collapsed="false">
      <c r="A391" s="47"/>
      <c r="B391" s="48"/>
      <c r="C391" s="132"/>
      <c r="D391" s="53"/>
      <c r="E391" s="48"/>
      <c r="F391" s="132"/>
      <c r="G391" s="133" t="str">
        <f aca="false">IF($A391="","",IFERROR(IF(ISNUMBER($A391),IF($A391&gt;19000000,DATE(INT($A391/10000),MOD(INT($A391/100),100),MOD($A391,100)),INT($A391)),IF(LEN(SUBSTITUTE(SUBSTITUTE(SUBSTITUTE(TRIM($A391),"-",""),".",""),"/",""))=8,DATE(VALUE(LEFT(SUBSTITUTE(SUBSTITUTE(SUBSTITUTE(TRIM($A391),"-",""),".",""),"/",""),4)),VALUE(MID(SUBSTITUTE(SUBSTITUTE(SUBSTITUTE(TRIM($A391),"-",""),".",""),"/",""),5,2)),VALUE(RIGHT(SUBSTITUTE(SUBSTITUTE(SUBSTITUTE(TRIM($A391),"-",""),".",""),"/",""),2))),DATEVALUE($A391))),""))</f>
        <v/>
      </c>
    </row>
    <row r="392" customFormat="false" ht="15" hidden="false" customHeight="false" outlineLevel="0" collapsed="false">
      <c r="A392" s="47"/>
      <c r="B392" s="48"/>
      <c r="C392" s="132"/>
      <c r="D392" s="53"/>
      <c r="E392" s="48"/>
      <c r="F392" s="132"/>
      <c r="G392" s="133" t="str">
        <f aca="false">IF($A392="","",IFERROR(IF(ISNUMBER($A392),IF($A392&gt;19000000,DATE(INT($A392/10000),MOD(INT($A392/100),100),MOD($A392,100)),INT($A392)),IF(LEN(SUBSTITUTE(SUBSTITUTE(SUBSTITUTE(TRIM($A392),"-",""),".",""),"/",""))=8,DATE(VALUE(LEFT(SUBSTITUTE(SUBSTITUTE(SUBSTITUTE(TRIM($A392),"-",""),".",""),"/",""),4)),VALUE(MID(SUBSTITUTE(SUBSTITUTE(SUBSTITUTE(TRIM($A392),"-",""),".",""),"/",""),5,2)),VALUE(RIGHT(SUBSTITUTE(SUBSTITUTE(SUBSTITUTE(TRIM($A392),"-",""),".",""),"/",""),2))),DATEVALUE($A392))),""))</f>
        <v/>
      </c>
    </row>
    <row r="393" customFormat="false" ht="15" hidden="false" customHeight="false" outlineLevel="0" collapsed="false">
      <c r="A393" s="47"/>
      <c r="B393" s="48"/>
      <c r="C393" s="132"/>
      <c r="D393" s="53"/>
      <c r="E393" s="48"/>
      <c r="F393" s="132"/>
      <c r="G393" s="133" t="str">
        <f aca="false">IF($A393="","",IFERROR(IF(ISNUMBER($A393),IF($A393&gt;19000000,DATE(INT($A393/10000),MOD(INT($A393/100),100),MOD($A393,100)),INT($A393)),IF(LEN(SUBSTITUTE(SUBSTITUTE(SUBSTITUTE(TRIM($A393),"-",""),".",""),"/",""))=8,DATE(VALUE(LEFT(SUBSTITUTE(SUBSTITUTE(SUBSTITUTE(TRIM($A393),"-",""),".",""),"/",""),4)),VALUE(MID(SUBSTITUTE(SUBSTITUTE(SUBSTITUTE(TRIM($A393),"-",""),".",""),"/",""),5,2)),VALUE(RIGHT(SUBSTITUTE(SUBSTITUTE(SUBSTITUTE(TRIM($A393),"-",""),".",""),"/",""),2))),DATEVALUE($A393))),""))</f>
        <v/>
      </c>
    </row>
    <row r="394" customFormat="false" ht="15" hidden="false" customHeight="false" outlineLevel="0" collapsed="false">
      <c r="A394" s="47"/>
      <c r="B394" s="48"/>
      <c r="C394" s="132"/>
      <c r="D394" s="53"/>
      <c r="E394" s="48"/>
      <c r="F394" s="132"/>
      <c r="G394" s="133" t="str">
        <f aca="false">IF($A394="","",IFERROR(IF(ISNUMBER($A394),IF($A394&gt;19000000,DATE(INT($A394/10000),MOD(INT($A394/100),100),MOD($A394,100)),INT($A394)),IF(LEN(SUBSTITUTE(SUBSTITUTE(SUBSTITUTE(TRIM($A394),"-",""),".",""),"/",""))=8,DATE(VALUE(LEFT(SUBSTITUTE(SUBSTITUTE(SUBSTITUTE(TRIM($A394),"-",""),".",""),"/",""),4)),VALUE(MID(SUBSTITUTE(SUBSTITUTE(SUBSTITUTE(TRIM($A394),"-",""),".",""),"/",""),5,2)),VALUE(RIGHT(SUBSTITUTE(SUBSTITUTE(SUBSTITUTE(TRIM($A394),"-",""),".",""),"/",""),2))),DATEVALUE($A394))),""))</f>
        <v/>
      </c>
    </row>
    <row r="395" customFormat="false" ht="15" hidden="false" customHeight="false" outlineLevel="0" collapsed="false">
      <c r="A395" s="47"/>
      <c r="B395" s="48"/>
      <c r="C395" s="132"/>
      <c r="D395" s="53"/>
      <c r="E395" s="48"/>
      <c r="F395" s="132"/>
      <c r="G395" s="133" t="str">
        <f aca="false">IF($A395="","",IFERROR(IF(ISNUMBER($A395),IF($A395&gt;19000000,DATE(INT($A395/10000),MOD(INT($A395/100),100),MOD($A395,100)),INT($A395)),IF(LEN(SUBSTITUTE(SUBSTITUTE(SUBSTITUTE(TRIM($A395),"-",""),".",""),"/",""))=8,DATE(VALUE(LEFT(SUBSTITUTE(SUBSTITUTE(SUBSTITUTE(TRIM($A395),"-",""),".",""),"/",""),4)),VALUE(MID(SUBSTITUTE(SUBSTITUTE(SUBSTITUTE(TRIM($A395),"-",""),".",""),"/",""),5,2)),VALUE(RIGHT(SUBSTITUTE(SUBSTITUTE(SUBSTITUTE(TRIM($A395),"-",""),".",""),"/",""),2))),DATEVALUE($A395))),""))</f>
        <v/>
      </c>
    </row>
    <row r="396" customFormat="false" ht="15" hidden="false" customHeight="false" outlineLevel="0" collapsed="false">
      <c r="A396" s="47"/>
      <c r="B396" s="48"/>
      <c r="C396" s="132"/>
      <c r="D396" s="53"/>
      <c r="E396" s="48"/>
      <c r="F396" s="132"/>
      <c r="G396" s="133" t="str">
        <f aca="false">IF($A396="","",IFERROR(IF(ISNUMBER($A396),IF($A396&gt;19000000,DATE(INT($A396/10000),MOD(INT($A396/100),100),MOD($A396,100)),INT($A396)),IF(LEN(SUBSTITUTE(SUBSTITUTE(SUBSTITUTE(TRIM($A396),"-",""),".",""),"/",""))=8,DATE(VALUE(LEFT(SUBSTITUTE(SUBSTITUTE(SUBSTITUTE(TRIM($A396),"-",""),".",""),"/",""),4)),VALUE(MID(SUBSTITUTE(SUBSTITUTE(SUBSTITUTE(TRIM($A396),"-",""),".",""),"/",""),5,2)),VALUE(RIGHT(SUBSTITUTE(SUBSTITUTE(SUBSTITUTE(TRIM($A396),"-",""),".",""),"/",""),2))),DATEVALUE($A396))),""))</f>
        <v/>
      </c>
    </row>
    <row r="397" customFormat="false" ht="15" hidden="false" customHeight="false" outlineLevel="0" collapsed="false">
      <c r="A397" s="47"/>
      <c r="B397" s="48"/>
      <c r="C397" s="132"/>
      <c r="D397" s="53"/>
      <c r="E397" s="48"/>
      <c r="F397" s="132"/>
      <c r="G397" s="133" t="str">
        <f aca="false">IF($A397="","",IFERROR(IF(ISNUMBER($A397),IF($A397&gt;19000000,DATE(INT($A397/10000),MOD(INT($A397/100),100),MOD($A397,100)),INT($A397)),IF(LEN(SUBSTITUTE(SUBSTITUTE(SUBSTITUTE(TRIM($A397),"-",""),".",""),"/",""))=8,DATE(VALUE(LEFT(SUBSTITUTE(SUBSTITUTE(SUBSTITUTE(TRIM($A397),"-",""),".",""),"/",""),4)),VALUE(MID(SUBSTITUTE(SUBSTITUTE(SUBSTITUTE(TRIM($A397),"-",""),".",""),"/",""),5,2)),VALUE(RIGHT(SUBSTITUTE(SUBSTITUTE(SUBSTITUTE(TRIM($A397),"-",""),".",""),"/",""),2))),DATEVALUE($A397))),""))</f>
        <v/>
      </c>
    </row>
    <row r="398" customFormat="false" ht="15" hidden="false" customHeight="false" outlineLevel="0" collapsed="false">
      <c r="A398" s="47"/>
      <c r="B398" s="48"/>
      <c r="C398" s="132"/>
      <c r="D398" s="53"/>
      <c r="E398" s="48"/>
      <c r="F398" s="132"/>
      <c r="G398" s="133" t="str">
        <f aca="false">IF($A398="","",IFERROR(IF(ISNUMBER($A398),IF($A398&gt;19000000,DATE(INT($A398/10000),MOD(INT($A398/100),100),MOD($A398,100)),INT($A398)),IF(LEN(SUBSTITUTE(SUBSTITUTE(SUBSTITUTE(TRIM($A398),"-",""),".",""),"/",""))=8,DATE(VALUE(LEFT(SUBSTITUTE(SUBSTITUTE(SUBSTITUTE(TRIM($A398),"-",""),".",""),"/",""),4)),VALUE(MID(SUBSTITUTE(SUBSTITUTE(SUBSTITUTE(TRIM($A398),"-",""),".",""),"/",""),5,2)),VALUE(RIGHT(SUBSTITUTE(SUBSTITUTE(SUBSTITUTE(TRIM($A398),"-",""),".",""),"/",""),2))),DATEVALUE($A398))),""))</f>
        <v/>
      </c>
    </row>
    <row r="399" customFormat="false" ht="15" hidden="false" customHeight="false" outlineLevel="0" collapsed="false">
      <c r="A399" s="47"/>
      <c r="B399" s="48"/>
      <c r="C399" s="132"/>
      <c r="D399" s="53"/>
      <c r="E399" s="48"/>
      <c r="F399" s="132"/>
      <c r="G399" s="133" t="str">
        <f aca="false">IF($A399="","",IFERROR(IF(ISNUMBER($A399),IF($A399&gt;19000000,DATE(INT($A399/10000),MOD(INT($A399/100),100),MOD($A399,100)),INT($A399)),IF(LEN(SUBSTITUTE(SUBSTITUTE(SUBSTITUTE(TRIM($A399),"-",""),".",""),"/",""))=8,DATE(VALUE(LEFT(SUBSTITUTE(SUBSTITUTE(SUBSTITUTE(TRIM($A399),"-",""),".",""),"/",""),4)),VALUE(MID(SUBSTITUTE(SUBSTITUTE(SUBSTITUTE(TRIM($A399),"-",""),".",""),"/",""),5,2)),VALUE(RIGHT(SUBSTITUTE(SUBSTITUTE(SUBSTITUTE(TRIM($A399),"-",""),".",""),"/",""),2))),DATEVALUE($A399))),""))</f>
        <v/>
      </c>
    </row>
    <row r="400" customFormat="false" ht="15" hidden="false" customHeight="false" outlineLevel="0" collapsed="false">
      <c r="A400" s="47"/>
      <c r="B400" s="48"/>
      <c r="C400" s="132"/>
      <c r="D400" s="53"/>
      <c r="E400" s="48"/>
      <c r="F400" s="132"/>
      <c r="G400" s="133" t="str">
        <f aca="false">IF($A400="","",IFERROR(IF(ISNUMBER($A400),IF($A400&gt;19000000,DATE(INT($A400/10000),MOD(INT($A400/100),100),MOD($A400,100)),INT($A400)),IF(LEN(SUBSTITUTE(SUBSTITUTE(SUBSTITUTE(TRIM($A400),"-",""),".",""),"/",""))=8,DATE(VALUE(LEFT(SUBSTITUTE(SUBSTITUTE(SUBSTITUTE(TRIM($A400),"-",""),".",""),"/",""),4)),VALUE(MID(SUBSTITUTE(SUBSTITUTE(SUBSTITUTE(TRIM($A400),"-",""),".",""),"/",""),5,2)),VALUE(RIGHT(SUBSTITUTE(SUBSTITUTE(SUBSTITUTE(TRIM($A400),"-",""),".",""),"/",""),2))),DATEVALUE($A400))),""))</f>
        <v/>
      </c>
    </row>
    <row r="401" customFormat="false" ht="15" hidden="false" customHeight="false" outlineLevel="0" collapsed="false">
      <c r="A401" s="47"/>
      <c r="B401" s="48"/>
      <c r="C401" s="132"/>
      <c r="D401" s="53"/>
      <c r="E401" s="48"/>
      <c r="F401" s="132"/>
      <c r="G401" s="133" t="str">
        <f aca="false">IF($A401="","",IFERROR(IF(ISNUMBER($A401),IF($A401&gt;19000000,DATE(INT($A401/10000),MOD(INT($A401/100),100),MOD($A401,100)),INT($A401)),IF(LEN(SUBSTITUTE(SUBSTITUTE(SUBSTITUTE(TRIM($A401),"-",""),".",""),"/",""))=8,DATE(VALUE(LEFT(SUBSTITUTE(SUBSTITUTE(SUBSTITUTE(TRIM($A401),"-",""),".",""),"/",""),4)),VALUE(MID(SUBSTITUTE(SUBSTITUTE(SUBSTITUTE(TRIM($A401),"-",""),".",""),"/",""),5,2)),VALUE(RIGHT(SUBSTITUTE(SUBSTITUTE(SUBSTITUTE(TRIM($A401),"-",""),".",""),"/",""),2))),DATEVALUE($A401))),""))</f>
        <v/>
      </c>
    </row>
    <row r="402" customFormat="false" ht="15" hidden="false" customHeight="false" outlineLevel="0" collapsed="false">
      <c r="A402" s="47"/>
      <c r="B402" s="48"/>
      <c r="C402" s="132"/>
      <c r="D402" s="53"/>
      <c r="E402" s="48"/>
      <c r="F402" s="132"/>
      <c r="G402" s="133" t="str">
        <f aca="false">IF($A402="","",IFERROR(IF(ISNUMBER($A402),IF($A402&gt;19000000,DATE(INT($A402/10000),MOD(INT($A402/100),100),MOD($A402,100)),INT($A402)),IF(LEN(SUBSTITUTE(SUBSTITUTE(SUBSTITUTE(TRIM($A402),"-",""),".",""),"/",""))=8,DATE(VALUE(LEFT(SUBSTITUTE(SUBSTITUTE(SUBSTITUTE(TRIM($A402),"-",""),".",""),"/",""),4)),VALUE(MID(SUBSTITUTE(SUBSTITUTE(SUBSTITUTE(TRIM($A402),"-",""),".",""),"/",""),5,2)),VALUE(RIGHT(SUBSTITUTE(SUBSTITUTE(SUBSTITUTE(TRIM($A402),"-",""),".",""),"/",""),2))),DATEVALUE($A402))),""))</f>
        <v/>
      </c>
    </row>
    <row r="403" customFormat="false" ht="15" hidden="false" customHeight="false" outlineLevel="0" collapsed="false">
      <c r="A403" s="47"/>
      <c r="B403" s="48"/>
      <c r="C403" s="132"/>
      <c r="D403" s="53"/>
      <c r="E403" s="48"/>
      <c r="F403" s="132"/>
      <c r="G403" s="133" t="str">
        <f aca="false">IF($A403="","",IFERROR(IF(ISNUMBER($A403),IF($A403&gt;19000000,DATE(INT($A403/10000),MOD(INT($A403/100),100),MOD($A403,100)),INT($A403)),IF(LEN(SUBSTITUTE(SUBSTITUTE(SUBSTITUTE(TRIM($A403),"-",""),".",""),"/",""))=8,DATE(VALUE(LEFT(SUBSTITUTE(SUBSTITUTE(SUBSTITUTE(TRIM($A403),"-",""),".",""),"/",""),4)),VALUE(MID(SUBSTITUTE(SUBSTITUTE(SUBSTITUTE(TRIM($A403),"-",""),".",""),"/",""),5,2)),VALUE(RIGHT(SUBSTITUTE(SUBSTITUTE(SUBSTITUTE(TRIM($A403),"-",""),".",""),"/",""),2))),DATEVALUE($A403))),""))</f>
        <v/>
      </c>
    </row>
    <row r="404" customFormat="false" ht="15" hidden="false" customHeight="false" outlineLevel="0" collapsed="false">
      <c r="A404" s="47"/>
      <c r="B404" s="48"/>
      <c r="C404" s="132"/>
      <c r="D404" s="53"/>
      <c r="E404" s="48"/>
      <c r="F404" s="132"/>
      <c r="G404" s="133" t="str">
        <f aca="false">IF($A404="","",IFERROR(IF(ISNUMBER($A404),IF($A404&gt;19000000,DATE(INT($A404/10000),MOD(INT($A404/100),100),MOD($A404,100)),INT($A404)),IF(LEN(SUBSTITUTE(SUBSTITUTE(SUBSTITUTE(TRIM($A404),"-",""),".",""),"/",""))=8,DATE(VALUE(LEFT(SUBSTITUTE(SUBSTITUTE(SUBSTITUTE(TRIM($A404),"-",""),".",""),"/",""),4)),VALUE(MID(SUBSTITUTE(SUBSTITUTE(SUBSTITUTE(TRIM($A404),"-",""),".",""),"/",""),5,2)),VALUE(RIGHT(SUBSTITUTE(SUBSTITUTE(SUBSTITUTE(TRIM($A404),"-",""),".",""),"/",""),2))),DATEVALUE($A404))),""))</f>
        <v/>
      </c>
    </row>
    <row r="405" customFormat="false" ht="15" hidden="false" customHeight="false" outlineLevel="0" collapsed="false">
      <c r="A405" s="47"/>
      <c r="B405" s="48"/>
      <c r="C405" s="132"/>
      <c r="D405" s="53"/>
      <c r="E405" s="48"/>
      <c r="F405" s="132"/>
      <c r="G405" s="133" t="str">
        <f aca="false">IF($A405="","",IFERROR(IF(ISNUMBER($A405),IF($A405&gt;19000000,DATE(INT($A405/10000),MOD(INT($A405/100),100),MOD($A405,100)),INT($A405)),IF(LEN(SUBSTITUTE(SUBSTITUTE(SUBSTITUTE(TRIM($A405),"-",""),".",""),"/",""))=8,DATE(VALUE(LEFT(SUBSTITUTE(SUBSTITUTE(SUBSTITUTE(TRIM($A405),"-",""),".",""),"/",""),4)),VALUE(MID(SUBSTITUTE(SUBSTITUTE(SUBSTITUTE(TRIM($A405),"-",""),".",""),"/",""),5,2)),VALUE(RIGHT(SUBSTITUTE(SUBSTITUTE(SUBSTITUTE(TRIM($A405),"-",""),".",""),"/",""),2))),DATEVALUE($A405))),""))</f>
        <v/>
      </c>
    </row>
    <row r="406" customFormat="false" ht="15" hidden="false" customHeight="false" outlineLevel="0" collapsed="false">
      <c r="A406" s="47"/>
      <c r="B406" s="48"/>
      <c r="C406" s="132"/>
      <c r="D406" s="53"/>
      <c r="E406" s="48"/>
      <c r="F406" s="132"/>
      <c r="G406" s="133" t="str">
        <f aca="false">IF($A406="","",IFERROR(IF(ISNUMBER($A406),IF($A406&gt;19000000,DATE(INT($A406/10000),MOD(INT($A406/100),100),MOD($A406,100)),INT($A406)),IF(LEN(SUBSTITUTE(SUBSTITUTE(SUBSTITUTE(TRIM($A406),"-",""),".",""),"/",""))=8,DATE(VALUE(LEFT(SUBSTITUTE(SUBSTITUTE(SUBSTITUTE(TRIM($A406),"-",""),".",""),"/",""),4)),VALUE(MID(SUBSTITUTE(SUBSTITUTE(SUBSTITUTE(TRIM($A406),"-",""),".",""),"/",""),5,2)),VALUE(RIGHT(SUBSTITUTE(SUBSTITUTE(SUBSTITUTE(TRIM($A406),"-",""),".",""),"/",""),2))),DATEVALUE($A406))),""))</f>
        <v/>
      </c>
    </row>
    <row r="407" customFormat="false" ht="15" hidden="false" customHeight="false" outlineLevel="0" collapsed="false">
      <c r="A407" s="47"/>
      <c r="B407" s="48"/>
      <c r="C407" s="132"/>
      <c r="D407" s="53"/>
      <c r="E407" s="48"/>
      <c r="F407" s="132"/>
      <c r="G407" s="133" t="str">
        <f aca="false">IF($A407="","",IFERROR(IF(ISNUMBER($A407),IF($A407&gt;19000000,DATE(INT($A407/10000),MOD(INT($A407/100),100),MOD($A407,100)),INT($A407)),IF(LEN(SUBSTITUTE(SUBSTITUTE(SUBSTITUTE(TRIM($A407),"-",""),".",""),"/",""))=8,DATE(VALUE(LEFT(SUBSTITUTE(SUBSTITUTE(SUBSTITUTE(TRIM($A407),"-",""),".",""),"/",""),4)),VALUE(MID(SUBSTITUTE(SUBSTITUTE(SUBSTITUTE(TRIM($A407),"-",""),".",""),"/",""),5,2)),VALUE(RIGHT(SUBSTITUTE(SUBSTITUTE(SUBSTITUTE(TRIM($A407),"-",""),".",""),"/",""),2))),DATEVALUE($A407))),""))</f>
        <v/>
      </c>
    </row>
    <row r="408" customFormat="false" ht="15" hidden="false" customHeight="false" outlineLevel="0" collapsed="false">
      <c r="A408" s="47"/>
      <c r="B408" s="48"/>
      <c r="C408" s="132"/>
      <c r="D408" s="53"/>
      <c r="E408" s="48"/>
      <c r="F408" s="132"/>
      <c r="G408" s="133" t="str">
        <f aca="false">IF($A408="","",IFERROR(IF(ISNUMBER($A408),IF($A408&gt;19000000,DATE(INT($A408/10000),MOD(INT($A408/100),100),MOD($A408,100)),INT($A408)),IF(LEN(SUBSTITUTE(SUBSTITUTE(SUBSTITUTE(TRIM($A408),"-",""),".",""),"/",""))=8,DATE(VALUE(LEFT(SUBSTITUTE(SUBSTITUTE(SUBSTITUTE(TRIM($A408),"-",""),".",""),"/",""),4)),VALUE(MID(SUBSTITUTE(SUBSTITUTE(SUBSTITUTE(TRIM($A408),"-",""),".",""),"/",""),5,2)),VALUE(RIGHT(SUBSTITUTE(SUBSTITUTE(SUBSTITUTE(TRIM($A408),"-",""),".",""),"/",""),2))),DATEVALUE($A408))),""))</f>
        <v/>
      </c>
    </row>
    <row r="409" customFormat="false" ht="15" hidden="false" customHeight="false" outlineLevel="0" collapsed="false">
      <c r="A409" s="47"/>
      <c r="B409" s="48"/>
      <c r="C409" s="132"/>
      <c r="D409" s="53"/>
      <c r="E409" s="48"/>
      <c r="F409" s="132"/>
      <c r="G409" s="133" t="str">
        <f aca="false">IF($A409="","",IFERROR(IF(ISNUMBER($A409),IF($A409&gt;19000000,DATE(INT($A409/10000),MOD(INT($A409/100),100),MOD($A409,100)),INT($A409)),IF(LEN(SUBSTITUTE(SUBSTITUTE(SUBSTITUTE(TRIM($A409),"-",""),".",""),"/",""))=8,DATE(VALUE(LEFT(SUBSTITUTE(SUBSTITUTE(SUBSTITUTE(TRIM($A409),"-",""),".",""),"/",""),4)),VALUE(MID(SUBSTITUTE(SUBSTITUTE(SUBSTITUTE(TRIM($A409),"-",""),".",""),"/",""),5,2)),VALUE(RIGHT(SUBSTITUTE(SUBSTITUTE(SUBSTITUTE(TRIM($A409),"-",""),".",""),"/",""),2))),DATEVALUE($A409))),""))</f>
        <v/>
      </c>
    </row>
    <row r="410" customFormat="false" ht="15" hidden="false" customHeight="false" outlineLevel="0" collapsed="false">
      <c r="A410" s="47"/>
      <c r="B410" s="48"/>
      <c r="C410" s="132"/>
      <c r="D410" s="53"/>
      <c r="E410" s="48"/>
      <c r="F410" s="132"/>
      <c r="G410" s="133" t="str">
        <f aca="false">IF($A410="","",IFERROR(IF(ISNUMBER($A410),IF($A410&gt;19000000,DATE(INT($A410/10000),MOD(INT($A410/100),100),MOD($A410,100)),INT($A410)),IF(LEN(SUBSTITUTE(SUBSTITUTE(SUBSTITUTE(TRIM($A410),"-",""),".",""),"/",""))=8,DATE(VALUE(LEFT(SUBSTITUTE(SUBSTITUTE(SUBSTITUTE(TRIM($A410),"-",""),".",""),"/",""),4)),VALUE(MID(SUBSTITUTE(SUBSTITUTE(SUBSTITUTE(TRIM($A410),"-",""),".",""),"/",""),5,2)),VALUE(RIGHT(SUBSTITUTE(SUBSTITUTE(SUBSTITUTE(TRIM($A410),"-",""),".",""),"/",""),2))),DATEVALUE($A410))),""))</f>
        <v/>
      </c>
    </row>
    <row r="411" customFormat="false" ht="15" hidden="false" customHeight="false" outlineLevel="0" collapsed="false">
      <c r="A411" s="47"/>
      <c r="B411" s="48"/>
      <c r="C411" s="132"/>
      <c r="D411" s="53"/>
      <c r="E411" s="48"/>
      <c r="F411" s="132"/>
      <c r="G411" s="133" t="str">
        <f aca="false">IF($A411="","",IFERROR(IF(ISNUMBER($A411),IF($A411&gt;19000000,DATE(INT($A411/10000),MOD(INT($A411/100),100),MOD($A411,100)),INT($A411)),IF(LEN(SUBSTITUTE(SUBSTITUTE(SUBSTITUTE(TRIM($A411),"-",""),".",""),"/",""))=8,DATE(VALUE(LEFT(SUBSTITUTE(SUBSTITUTE(SUBSTITUTE(TRIM($A411),"-",""),".",""),"/",""),4)),VALUE(MID(SUBSTITUTE(SUBSTITUTE(SUBSTITUTE(TRIM($A411),"-",""),".",""),"/",""),5,2)),VALUE(RIGHT(SUBSTITUTE(SUBSTITUTE(SUBSTITUTE(TRIM($A411),"-",""),".",""),"/",""),2))),DATEVALUE($A411))),""))</f>
        <v/>
      </c>
    </row>
    <row r="412" customFormat="false" ht="15" hidden="false" customHeight="false" outlineLevel="0" collapsed="false">
      <c r="A412" s="47"/>
      <c r="B412" s="48"/>
      <c r="C412" s="132"/>
      <c r="D412" s="53"/>
      <c r="E412" s="48"/>
      <c r="F412" s="132"/>
      <c r="G412" s="133" t="str">
        <f aca="false">IF($A412="","",IFERROR(IF(ISNUMBER($A412),IF($A412&gt;19000000,DATE(INT($A412/10000),MOD(INT($A412/100),100),MOD($A412,100)),INT($A412)),IF(LEN(SUBSTITUTE(SUBSTITUTE(SUBSTITUTE(TRIM($A412),"-",""),".",""),"/",""))=8,DATE(VALUE(LEFT(SUBSTITUTE(SUBSTITUTE(SUBSTITUTE(TRIM($A412),"-",""),".",""),"/",""),4)),VALUE(MID(SUBSTITUTE(SUBSTITUTE(SUBSTITUTE(TRIM($A412),"-",""),".",""),"/",""),5,2)),VALUE(RIGHT(SUBSTITUTE(SUBSTITUTE(SUBSTITUTE(TRIM($A412),"-",""),".",""),"/",""),2))),DATEVALUE($A412))),""))</f>
        <v/>
      </c>
    </row>
    <row r="413" customFormat="false" ht="15" hidden="false" customHeight="false" outlineLevel="0" collapsed="false">
      <c r="A413" s="47"/>
      <c r="B413" s="48"/>
      <c r="C413" s="132"/>
      <c r="D413" s="53"/>
      <c r="E413" s="48"/>
      <c r="F413" s="132"/>
      <c r="G413" s="133" t="str">
        <f aca="false">IF($A413="","",IFERROR(IF(ISNUMBER($A413),IF($A413&gt;19000000,DATE(INT($A413/10000),MOD(INT($A413/100),100),MOD($A413,100)),INT($A413)),IF(LEN(SUBSTITUTE(SUBSTITUTE(SUBSTITUTE(TRIM($A413),"-",""),".",""),"/",""))=8,DATE(VALUE(LEFT(SUBSTITUTE(SUBSTITUTE(SUBSTITUTE(TRIM($A413),"-",""),".",""),"/",""),4)),VALUE(MID(SUBSTITUTE(SUBSTITUTE(SUBSTITUTE(TRIM($A413),"-",""),".",""),"/",""),5,2)),VALUE(RIGHT(SUBSTITUTE(SUBSTITUTE(SUBSTITUTE(TRIM($A413),"-",""),".",""),"/",""),2))),DATEVALUE($A413))),""))</f>
        <v/>
      </c>
    </row>
    <row r="414" customFormat="false" ht="15" hidden="false" customHeight="false" outlineLevel="0" collapsed="false">
      <c r="A414" s="47"/>
      <c r="B414" s="48"/>
      <c r="C414" s="132"/>
      <c r="D414" s="53"/>
      <c r="E414" s="48"/>
      <c r="F414" s="132"/>
      <c r="G414" s="133" t="str">
        <f aca="false">IF($A414="","",IFERROR(IF(ISNUMBER($A414),IF($A414&gt;19000000,DATE(INT($A414/10000),MOD(INT($A414/100),100),MOD($A414,100)),INT($A414)),IF(LEN(SUBSTITUTE(SUBSTITUTE(SUBSTITUTE(TRIM($A414),"-",""),".",""),"/",""))=8,DATE(VALUE(LEFT(SUBSTITUTE(SUBSTITUTE(SUBSTITUTE(TRIM($A414),"-",""),".",""),"/",""),4)),VALUE(MID(SUBSTITUTE(SUBSTITUTE(SUBSTITUTE(TRIM($A414),"-",""),".",""),"/",""),5,2)),VALUE(RIGHT(SUBSTITUTE(SUBSTITUTE(SUBSTITUTE(TRIM($A414),"-",""),".",""),"/",""),2))),DATEVALUE($A414))),""))</f>
        <v/>
      </c>
    </row>
    <row r="415" customFormat="false" ht="15" hidden="false" customHeight="false" outlineLevel="0" collapsed="false">
      <c r="A415" s="47"/>
      <c r="B415" s="48"/>
      <c r="C415" s="132"/>
      <c r="D415" s="53"/>
      <c r="E415" s="48"/>
      <c r="F415" s="132"/>
      <c r="G415" s="133" t="str">
        <f aca="false">IF($A415="","",IFERROR(IF(ISNUMBER($A415),IF($A415&gt;19000000,DATE(INT($A415/10000),MOD(INT($A415/100),100),MOD($A415,100)),INT($A415)),IF(LEN(SUBSTITUTE(SUBSTITUTE(SUBSTITUTE(TRIM($A415),"-",""),".",""),"/",""))=8,DATE(VALUE(LEFT(SUBSTITUTE(SUBSTITUTE(SUBSTITUTE(TRIM($A415),"-",""),".",""),"/",""),4)),VALUE(MID(SUBSTITUTE(SUBSTITUTE(SUBSTITUTE(TRIM($A415),"-",""),".",""),"/",""),5,2)),VALUE(RIGHT(SUBSTITUTE(SUBSTITUTE(SUBSTITUTE(TRIM($A415),"-",""),".",""),"/",""),2))),DATEVALUE($A415))),""))</f>
        <v/>
      </c>
    </row>
    <row r="416" customFormat="false" ht="15" hidden="false" customHeight="false" outlineLevel="0" collapsed="false">
      <c r="A416" s="47"/>
      <c r="B416" s="48"/>
      <c r="C416" s="132"/>
      <c r="D416" s="53"/>
      <c r="E416" s="48"/>
      <c r="F416" s="132"/>
      <c r="G416" s="133" t="str">
        <f aca="false">IF($A416="","",IFERROR(IF(ISNUMBER($A416),IF($A416&gt;19000000,DATE(INT($A416/10000),MOD(INT($A416/100),100),MOD($A416,100)),INT($A416)),IF(LEN(SUBSTITUTE(SUBSTITUTE(SUBSTITUTE(TRIM($A416),"-",""),".",""),"/",""))=8,DATE(VALUE(LEFT(SUBSTITUTE(SUBSTITUTE(SUBSTITUTE(TRIM($A416),"-",""),".",""),"/",""),4)),VALUE(MID(SUBSTITUTE(SUBSTITUTE(SUBSTITUTE(TRIM($A416),"-",""),".",""),"/",""),5,2)),VALUE(RIGHT(SUBSTITUTE(SUBSTITUTE(SUBSTITUTE(TRIM($A416),"-",""),".",""),"/",""),2))),DATEVALUE($A416))),""))</f>
        <v/>
      </c>
    </row>
    <row r="417" customFormat="false" ht="15" hidden="false" customHeight="false" outlineLevel="0" collapsed="false">
      <c r="A417" s="47"/>
      <c r="B417" s="48"/>
      <c r="C417" s="132"/>
      <c r="D417" s="53"/>
      <c r="E417" s="48"/>
      <c r="F417" s="132"/>
      <c r="G417" s="133" t="str">
        <f aca="false">IF($A417="","",IFERROR(IF(ISNUMBER($A417),IF($A417&gt;19000000,DATE(INT($A417/10000),MOD(INT($A417/100),100),MOD($A417,100)),INT($A417)),IF(LEN(SUBSTITUTE(SUBSTITUTE(SUBSTITUTE(TRIM($A417),"-",""),".",""),"/",""))=8,DATE(VALUE(LEFT(SUBSTITUTE(SUBSTITUTE(SUBSTITUTE(TRIM($A417),"-",""),".",""),"/",""),4)),VALUE(MID(SUBSTITUTE(SUBSTITUTE(SUBSTITUTE(TRIM($A417),"-",""),".",""),"/",""),5,2)),VALUE(RIGHT(SUBSTITUTE(SUBSTITUTE(SUBSTITUTE(TRIM($A417),"-",""),".",""),"/",""),2))),DATEVALUE($A417))),""))</f>
        <v/>
      </c>
    </row>
    <row r="418" customFormat="false" ht="15" hidden="false" customHeight="false" outlineLevel="0" collapsed="false">
      <c r="A418" s="47"/>
      <c r="B418" s="48"/>
      <c r="C418" s="132"/>
      <c r="D418" s="53"/>
      <c r="E418" s="48"/>
      <c r="F418" s="132"/>
      <c r="G418" s="133" t="str">
        <f aca="false">IF($A418="","",IFERROR(IF(ISNUMBER($A418),IF($A418&gt;19000000,DATE(INT($A418/10000),MOD(INT($A418/100),100),MOD($A418,100)),INT($A418)),IF(LEN(SUBSTITUTE(SUBSTITUTE(SUBSTITUTE(TRIM($A418),"-",""),".",""),"/",""))=8,DATE(VALUE(LEFT(SUBSTITUTE(SUBSTITUTE(SUBSTITUTE(TRIM($A418),"-",""),".",""),"/",""),4)),VALUE(MID(SUBSTITUTE(SUBSTITUTE(SUBSTITUTE(TRIM($A418),"-",""),".",""),"/",""),5,2)),VALUE(RIGHT(SUBSTITUTE(SUBSTITUTE(SUBSTITUTE(TRIM($A418),"-",""),".",""),"/",""),2))),DATEVALUE($A418))),""))</f>
        <v/>
      </c>
    </row>
    <row r="419" customFormat="false" ht="15" hidden="false" customHeight="false" outlineLevel="0" collapsed="false">
      <c r="A419" s="47"/>
      <c r="B419" s="48"/>
      <c r="C419" s="132"/>
      <c r="D419" s="53"/>
      <c r="E419" s="48"/>
      <c r="F419" s="132"/>
      <c r="G419" s="133" t="str">
        <f aca="false">IF($A419="","",IFERROR(IF(ISNUMBER($A419),IF($A419&gt;19000000,DATE(INT($A419/10000),MOD(INT($A419/100),100),MOD($A419,100)),INT($A419)),IF(LEN(SUBSTITUTE(SUBSTITUTE(SUBSTITUTE(TRIM($A419),"-",""),".",""),"/",""))=8,DATE(VALUE(LEFT(SUBSTITUTE(SUBSTITUTE(SUBSTITUTE(TRIM($A419),"-",""),".",""),"/",""),4)),VALUE(MID(SUBSTITUTE(SUBSTITUTE(SUBSTITUTE(TRIM($A419),"-",""),".",""),"/",""),5,2)),VALUE(RIGHT(SUBSTITUTE(SUBSTITUTE(SUBSTITUTE(TRIM($A419),"-",""),".",""),"/",""),2))),DATEVALUE($A419))),""))</f>
        <v/>
      </c>
    </row>
    <row r="420" customFormat="false" ht="15" hidden="false" customHeight="false" outlineLevel="0" collapsed="false">
      <c r="A420" s="47"/>
      <c r="B420" s="48"/>
      <c r="C420" s="132"/>
      <c r="D420" s="53"/>
      <c r="E420" s="48"/>
      <c r="F420" s="132"/>
      <c r="G420" s="133" t="str">
        <f aca="false">IF($A420="","",IFERROR(IF(ISNUMBER($A420),IF($A420&gt;19000000,DATE(INT($A420/10000),MOD(INT($A420/100),100),MOD($A420,100)),INT($A420)),IF(LEN(SUBSTITUTE(SUBSTITUTE(SUBSTITUTE(TRIM($A420),"-",""),".",""),"/",""))=8,DATE(VALUE(LEFT(SUBSTITUTE(SUBSTITUTE(SUBSTITUTE(TRIM($A420),"-",""),".",""),"/",""),4)),VALUE(MID(SUBSTITUTE(SUBSTITUTE(SUBSTITUTE(TRIM($A420),"-",""),".",""),"/",""),5,2)),VALUE(RIGHT(SUBSTITUTE(SUBSTITUTE(SUBSTITUTE(TRIM($A420),"-",""),".",""),"/",""),2))),DATEVALUE($A420))),""))</f>
        <v/>
      </c>
    </row>
    <row r="421" customFormat="false" ht="15" hidden="false" customHeight="false" outlineLevel="0" collapsed="false">
      <c r="A421" s="47"/>
      <c r="B421" s="48"/>
      <c r="C421" s="132"/>
      <c r="D421" s="53"/>
      <c r="E421" s="48"/>
      <c r="F421" s="132"/>
      <c r="G421" s="133" t="str">
        <f aca="false">IF($A421="","",IFERROR(IF(ISNUMBER($A421),IF($A421&gt;19000000,DATE(INT($A421/10000),MOD(INT($A421/100),100),MOD($A421,100)),INT($A421)),IF(LEN(SUBSTITUTE(SUBSTITUTE(SUBSTITUTE(TRIM($A421),"-",""),".",""),"/",""))=8,DATE(VALUE(LEFT(SUBSTITUTE(SUBSTITUTE(SUBSTITUTE(TRIM($A421),"-",""),".",""),"/",""),4)),VALUE(MID(SUBSTITUTE(SUBSTITUTE(SUBSTITUTE(TRIM($A421),"-",""),".",""),"/",""),5,2)),VALUE(RIGHT(SUBSTITUTE(SUBSTITUTE(SUBSTITUTE(TRIM($A421),"-",""),".",""),"/",""),2))),DATEVALUE($A421))),""))</f>
        <v/>
      </c>
    </row>
    <row r="422" customFormat="false" ht="15" hidden="false" customHeight="false" outlineLevel="0" collapsed="false">
      <c r="A422" s="47"/>
      <c r="B422" s="48"/>
      <c r="C422" s="132"/>
      <c r="D422" s="53"/>
      <c r="E422" s="48"/>
      <c r="F422" s="132"/>
      <c r="G422" s="133" t="str">
        <f aca="false">IF($A422="","",IFERROR(IF(ISNUMBER($A422),IF($A422&gt;19000000,DATE(INT($A422/10000),MOD(INT($A422/100),100),MOD($A422,100)),INT($A422)),IF(LEN(SUBSTITUTE(SUBSTITUTE(SUBSTITUTE(TRIM($A422),"-",""),".",""),"/",""))=8,DATE(VALUE(LEFT(SUBSTITUTE(SUBSTITUTE(SUBSTITUTE(TRIM($A422),"-",""),".",""),"/",""),4)),VALUE(MID(SUBSTITUTE(SUBSTITUTE(SUBSTITUTE(TRIM($A422),"-",""),".",""),"/",""),5,2)),VALUE(RIGHT(SUBSTITUTE(SUBSTITUTE(SUBSTITUTE(TRIM($A422),"-",""),".",""),"/",""),2))),DATEVALUE($A422))),""))</f>
        <v/>
      </c>
    </row>
    <row r="423" customFormat="false" ht="15" hidden="false" customHeight="false" outlineLevel="0" collapsed="false">
      <c r="A423" s="47"/>
      <c r="B423" s="48"/>
      <c r="C423" s="132"/>
      <c r="D423" s="53"/>
      <c r="E423" s="48"/>
      <c r="F423" s="132"/>
      <c r="G423" s="133" t="str">
        <f aca="false">IF($A423="","",IFERROR(IF(ISNUMBER($A423),IF($A423&gt;19000000,DATE(INT($A423/10000),MOD(INT($A423/100),100),MOD($A423,100)),INT($A423)),IF(LEN(SUBSTITUTE(SUBSTITUTE(SUBSTITUTE(TRIM($A423),"-",""),".",""),"/",""))=8,DATE(VALUE(LEFT(SUBSTITUTE(SUBSTITUTE(SUBSTITUTE(TRIM($A423),"-",""),".",""),"/",""),4)),VALUE(MID(SUBSTITUTE(SUBSTITUTE(SUBSTITUTE(TRIM($A423),"-",""),".",""),"/",""),5,2)),VALUE(RIGHT(SUBSTITUTE(SUBSTITUTE(SUBSTITUTE(TRIM($A423),"-",""),".",""),"/",""),2))),DATEVALUE($A423))),""))</f>
        <v/>
      </c>
    </row>
    <row r="424" customFormat="false" ht="15" hidden="false" customHeight="false" outlineLevel="0" collapsed="false">
      <c r="A424" s="47"/>
      <c r="B424" s="48"/>
      <c r="C424" s="132"/>
      <c r="D424" s="53"/>
      <c r="E424" s="48"/>
      <c r="F424" s="132"/>
      <c r="G424" s="133" t="str">
        <f aca="false">IF($A424="","",IFERROR(IF(ISNUMBER($A424),IF($A424&gt;19000000,DATE(INT($A424/10000),MOD(INT($A424/100),100),MOD($A424,100)),INT($A424)),IF(LEN(SUBSTITUTE(SUBSTITUTE(SUBSTITUTE(TRIM($A424),"-",""),".",""),"/",""))=8,DATE(VALUE(LEFT(SUBSTITUTE(SUBSTITUTE(SUBSTITUTE(TRIM($A424),"-",""),".",""),"/",""),4)),VALUE(MID(SUBSTITUTE(SUBSTITUTE(SUBSTITUTE(TRIM($A424),"-",""),".",""),"/",""),5,2)),VALUE(RIGHT(SUBSTITUTE(SUBSTITUTE(SUBSTITUTE(TRIM($A424),"-",""),".",""),"/",""),2))),DATEVALUE($A424))),""))</f>
        <v/>
      </c>
    </row>
    <row r="425" customFormat="false" ht="15" hidden="false" customHeight="false" outlineLevel="0" collapsed="false">
      <c r="A425" s="47"/>
      <c r="B425" s="48"/>
      <c r="C425" s="132"/>
      <c r="D425" s="53"/>
      <c r="E425" s="48"/>
      <c r="F425" s="132"/>
      <c r="G425" s="133" t="str">
        <f aca="false">IF($A425="","",IFERROR(IF(ISNUMBER($A425),IF($A425&gt;19000000,DATE(INT($A425/10000),MOD(INT($A425/100),100),MOD($A425,100)),INT($A425)),IF(LEN(SUBSTITUTE(SUBSTITUTE(SUBSTITUTE(TRIM($A425),"-",""),".",""),"/",""))=8,DATE(VALUE(LEFT(SUBSTITUTE(SUBSTITUTE(SUBSTITUTE(TRIM($A425),"-",""),".",""),"/",""),4)),VALUE(MID(SUBSTITUTE(SUBSTITUTE(SUBSTITUTE(TRIM($A425),"-",""),".",""),"/",""),5,2)),VALUE(RIGHT(SUBSTITUTE(SUBSTITUTE(SUBSTITUTE(TRIM($A425),"-",""),".",""),"/",""),2))),DATEVALUE($A425))),""))</f>
        <v/>
      </c>
    </row>
    <row r="426" customFormat="false" ht="15" hidden="false" customHeight="false" outlineLevel="0" collapsed="false">
      <c r="A426" s="47"/>
      <c r="B426" s="48"/>
      <c r="C426" s="132"/>
      <c r="D426" s="53"/>
      <c r="E426" s="48"/>
      <c r="F426" s="132"/>
      <c r="G426" s="133" t="str">
        <f aca="false">IF($A426="","",IFERROR(IF(ISNUMBER($A426),IF($A426&gt;19000000,DATE(INT($A426/10000),MOD(INT($A426/100),100),MOD($A426,100)),INT($A426)),IF(LEN(SUBSTITUTE(SUBSTITUTE(SUBSTITUTE(TRIM($A426),"-",""),".",""),"/",""))=8,DATE(VALUE(LEFT(SUBSTITUTE(SUBSTITUTE(SUBSTITUTE(TRIM($A426),"-",""),".",""),"/",""),4)),VALUE(MID(SUBSTITUTE(SUBSTITUTE(SUBSTITUTE(TRIM($A426),"-",""),".",""),"/",""),5,2)),VALUE(RIGHT(SUBSTITUTE(SUBSTITUTE(SUBSTITUTE(TRIM($A426),"-",""),".",""),"/",""),2))),DATEVALUE($A426))),""))</f>
        <v/>
      </c>
    </row>
    <row r="427" customFormat="false" ht="15" hidden="false" customHeight="false" outlineLevel="0" collapsed="false">
      <c r="A427" s="47"/>
      <c r="B427" s="48"/>
      <c r="C427" s="132"/>
      <c r="D427" s="53"/>
      <c r="E427" s="48"/>
      <c r="F427" s="132"/>
      <c r="G427" s="133" t="str">
        <f aca="false">IF($A427="","",IFERROR(IF(ISNUMBER($A427),IF($A427&gt;19000000,DATE(INT($A427/10000),MOD(INT($A427/100),100),MOD($A427,100)),INT($A427)),IF(LEN(SUBSTITUTE(SUBSTITUTE(SUBSTITUTE(TRIM($A427),"-",""),".",""),"/",""))=8,DATE(VALUE(LEFT(SUBSTITUTE(SUBSTITUTE(SUBSTITUTE(TRIM($A427),"-",""),".",""),"/",""),4)),VALUE(MID(SUBSTITUTE(SUBSTITUTE(SUBSTITUTE(TRIM($A427),"-",""),".",""),"/",""),5,2)),VALUE(RIGHT(SUBSTITUTE(SUBSTITUTE(SUBSTITUTE(TRIM($A427),"-",""),".",""),"/",""),2))),DATEVALUE($A427))),""))</f>
        <v/>
      </c>
    </row>
    <row r="428" customFormat="false" ht="15" hidden="false" customHeight="false" outlineLevel="0" collapsed="false">
      <c r="A428" s="47"/>
      <c r="B428" s="48"/>
      <c r="C428" s="132"/>
      <c r="D428" s="53"/>
      <c r="E428" s="48"/>
      <c r="F428" s="132"/>
      <c r="G428" s="133" t="str">
        <f aca="false">IF($A428="","",IFERROR(IF(ISNUMBER($A428),IF($A428&gt;19000000,DATE(INT($A428/10000),MOD(INT($A428/100),100),MOD($A428,100)),INT($A428)),IF(LEN(SUBSTITUTE(SUBSTITUTE(SUBSTITUTE(TRIM($A428),"-",""),".",""),"/",""))=8,DATE(VALUE(LEFT(SUBSTITUTE(SUBSTITUTE(SUBSTITUTE(TRIM($A428),"-",""),".",""),"/",""),4)),VALUE(MID(SUBSTITUTE(SUBSTITUTE(SUBSTITUTE(TRIM($A428),"-",""),".",""),"/",""),5,2)),VALUE(RIGHT(SUBSTITUTE(SUBSTITUTE(SUBSTITUTE(TRIM($A428),"-",""),".",""),"/",""),2))),DATEVALUE($A428))),""))</f>
        <v/>
      </c>
    </row>
    <row r="429" customFormat="false" ht="15" hidden="false" customHeight="false" outlineLevel="0" collapsed="false">
      <c r="A429" s="47"/>
      <c r="B429" s="48"/>
      <c r="C429" s="132"/>
      <c r="D429" s="53"/>
      <c r="E429" s="48"/>
      <c r="F429" s="132"/>
      <c r="G429" s="133" t="str">
        <f aca="false">IF($A429="","",IFERROR(IF(ISNUMBER($A429),IF($A429&gt;19000000,DATE(INT($A429/10000),MOD(INT($A429/100),100),MOD($A429,100)),INT($A429)),IF(LEN(SUBSTITUTE(SUBSTITUTE(SUBSTITUTE(TRIM($A429),"-",""),".",""),"/",""))=8,DATE(VALUE(LEFT(SUBSTITUTE(SUBSTITUTE(SUBSTITUTE(TRIM($A429),"-",""),".",""),"/",""),4)),VALUE(MID(SUBSTITUTE(SUBSTITUTE(SUBSTITUTE(TRIM($A429),"-",""),".",""),"/",""),5,2)),VALUE(RIGHT(SUBSTITUTE(SUBSTITUTE(SUBSTITUTE(TRIM($A429),"-",""),".",""),"/",""),2))),DATEVALUE($A429))),""))</f>
        <v/>
      </c>
    </row>
    <row r="430" customFormat="false" ht="15" hidden="false" customHeight="false" outlineLevel="0" collapsed="false">
      <c r="A430" s="47"/>
      <c r="B430" s="48"/>
      <c r="C430" s="132"/>
      <c r="D430" s="53"/>
      <c r="E430" s="48"/>
      <c r="F430" s="132"/>
      <c r="G430" s="133" t="str">
        <f aca="false">IF($A430="","",IFERROR(IF(ISNUMBER($A430),IF($A430&gt;19000000,DATE(INT($A430/10000),MOD(INT($A430/100),100),MOD($A430,100)),INT($A430)),IF(LEN(SUBSTITUTE(SUBSTITUTE(SUBSTITUTE(TRIM($A430),"-",""),".",""),"/",""))=8,DATE(VALUE(LEFT(SUBSTITUTE(SUBSTITUTE(SUBSTITUTE(TRIM($A430),"-",""),".",""),"/",""),4)),VALUE(MID(SUBSTITUTE(SUBSTITUTE(SUBSTITUTE(TRIM($A430),"-",""),".",""),"/",""),5,2)),VALUE(RIGHT(SUBSTITUTE(SUBSTITUTE(SUBSTITUTE(TRIM($A430),"-",""),".",""),"/",""),2))),DATEVALUE($A430))),""))</f>
        <v/>
      </c>
    </row>
    <row r="431" customFormat="false" ht="15" hidden="false" customHeight="false" outlineLevel="0" collapsed="false">
      <c r="A431" s="47"/>
      <c r="B431" s="48"/>
      <c r="C431" s="132"/>
      <c r="D431" s="53"/>
      <c r="E431" s="48"/>
      <c r="F431" s="132"/>
      <c r="G431" s="133" t="str">
        <f aca="false">IF($A431="","",IFERROR(IF(ISNUMBER($A431),IF($A431&gt;19000000,DATE(INT($A431/10000),MOD(INT($A431/100),100),MOD($A431,100)),INT($A431)),IF(LEN(SUBSTITUTE(SUBSTITUTE(SUBSTITUTE(TRIM($A431),"-",""),".",""),"/",""))=8,DATE(VALUE(LEFT(SUBSTITUTE(SUBSTITUTE(SUBSTITUTE(TRIM($A431),"-",""),".",""),"/",""),4)),VALUE(MID(SUBSTITUTE(SUBSTITUTE(SUBSTITUTE(TRIM($A431),"-",""),".",""),"/",""),5,2)),VALUE(RIGHT(SUBSTITUTE(SUBSTITUTE(SUBSTITUTE(TRIM($A431),"-",""),".",""),"/",""),2))),DATEVALUE($A431))),""))</f>
        <v/>
      </c>
    </row>
    <row r="432" customFormat="false" ht="15" hidden="false" customHeight="false" outlineLevel="0" collapsed="false">
      <c r="A432" s="47"/>
      <c r="B432" s="48"/>
      <c r="C432" s="132"/>
      <c r="D432" s="53"/>
      <c r="E432" s="48"/>
      <c r="F432" s="132"/>
      <c r="G432" s="133" t="str">
        <f aca="false">IF($A432="","",IFERROR(IF(ISNUMBER($A432),IF($A432&gt;19000000,DATE(INT($A432/10000),MOD(INT($A432/100),100),MOD($A432,100)),INT($A432)),IF(LEN(SUBSTITUTE(SUBSTITUTE(SUBSTITUTE(TRIM($A432),"-",""),".",""),"/",""))=8,DATE(VALUE(LEFT(SUBSTITUTE(SUBSTITUTE(SUBSTITUTE(TRIM($A432),"-",""),".",""),"/",""),4)),VALUE(MID(SUBSTITUTE(SUBSTITUTE(SUBSTITUTE(TRIM($A432),"-",""),".",""),"/",""),5,2)),VALUE(RIGHT(SUBSTITUTE(SUBSTITUTE(SUBSTITUTE(TRIM($A432),"-",""),".",""),"/",""),2))),DATEVALUE($A432))),""))</f>
        <v/>
      </c>
    </row>
    <row r="433" customFormat="false" ht="15" hidden="false" customHeight="false" outlineLevel="0" collapsed="false">
      <c r="A433" s="47"/>
      <c r="B433" s="48"/>
      <c r="C433" s="132"/>
      <c r="D433" s="53"/>
      <c r="E433" s="48"/>
      <c r="F433" s="132"/>
      <c r="G433" s="133" t="str">
        <f aca="false">IF($A433="","",IFERROR(IF(ISNUMBER($A433),IF($A433&gt;19000000,DATE(INT($A433/10000),MOD(INT($A433/100),100),MOD($A433,100)),INT($A433)),IF(LEN(SUBSTITUTE(SUBSTITUTE(SUBSTITUTE(TRIM($A433),"-",""),".",""),"/",""))=8,DATE(VALUE(LEFT(SUBSTITUTE(SUBSTITUTE(SUBSTITUTE(TRIM($A433),"-",""),".",""),"/",""),4)),VALUE(MID(SUBSTITUTE(SUBSTITUTE(SUBSTITUTE(TRIM($A433),"-",""),".",""),"/",""),5,2)),VALUE(RIGHT(SUBSTITUTE(SUBSTITUTE(SUBSTITUTE(TRIM($A433),"-",""),".",""),"/",""),2))),DATEVALUE($A433))),""))</f>
        <v/>
      </c>
    </row>
    <row r="434" customFormat="false" ht="15" hidden="false" customHeight="false" outlineLevel="0" collapsed="false">
      <c r="A434" s="47"/>
      <c r="B434" s="48"/>
      <c r="C434" s="132"/>
      <c r="D434" s="53"/>
      <c r="E434" s="48"/>
      <c r="F434" s="132"/>
      <c r="G434" s="133" t="str">
        <f aca="false">IF($A434="","",IFERROR(IF(ISNUMBER($A434),IF($A434&gt;19000000,DATE(INT($A434/10000),MOD(INT($A434/100),100),MOD($A434,100)),INT($A434)),IF(LEN(SUBSTITUTE(SUBSTITUTE(SUBSTITUTE(TRIM($A434),"-",""),".",""),"/",""))=8,DATE(VALUE(LEFT(SUBSTITUTE(SUBSTITUTE(SUBSTITUTE(TRIM($A434),"-",""),".",""),"/",""),4)),VALUE(MID(SUBSTITUTE(SUBSTITUTE(SUBSTITUTE(TRIM($A434),"-",""),".",""),"/",""),5,2)),VALUE(RIGHT(SUBSTITUTE(SUBSTITUTE(SUBSTITUTE(TRIM($A434),"-",""),".",""),"/",""),2))),DATEVALUE($A434))),""))</f>
        <v/>
      </c>
    </row>
    <row r="435" customFormat="false" ht="15" hidden="false" customHeight="false" outlineLevel="0" collapsed="false">
      <c r="A435" s="47"/>
      <c r="B435" s="48"/>
      <c r="C435" s="132"/>
      <c r="D435" s="53"/>
      <c r="E435" s="48"/>
      <c r="F435" s="132"/>
      <c r="G435" s="133" t="str">
        <f aca="false">IF($A435="","",IFERROR(IF(ISNUMBER($A435),IF($A435&gt;19000000,DATE(INT($A435/10000),MOD(INT($A435/100),100),MOD($A435,100)),INT($A435)),IF(LEN(SUBSTITUTE(SUBSTITUTE(SUBSTITUTE(TRIM($A435),"-",""),".",""),"/",""))=8,DATE(VALUE(LEFT(SUBSTITUTE(SUBSTITUTE(SUBSTITUTE(TRIM($A435),"-",""),".",""),"/",""),4)),VALUE(MID(SUBSTITUTE(SUBSTITUTE(SUBSTITUTE(TRIM($A435),"-",""),".",""),"/",""),5,2)),VALUE(RIGHT(SUBSTITUTE(SUBSTITUTE(SUBSTITUTE(TRIM($A435),"-",""),".",""),"/",""),2))),DATEVALUE($A435))),""))</f>
        <v/>
      </c>
    </row>
    <row r="436" customFormat="false" ht="15" hidden="false" customHeight="false" outlineLevel="0" collapsed="false">
      <c r="A436" s="47"/>
      <c r="B436" s="48"/>
      <c r="C436" s="132"/>
      <c r="D436" s="53"/>
      <c r="E436" s="48"/>
      <c r="F436" s="132"/>
      <c r="G436" s="133" t="str">
        <f aca="false">IF($A436="","",IFERROR(IF(ISNUMBER($A436),IF($A436&gt;19000000,DATE(INT($A436/10000),MOD(INT($A436/100),100),MOD($A436,100)),INT($A436)),IF(LEN(SUBSTITUTE(SUBSTITUTE(SUBSTITUTE(TRIM($A436),"-",""),".",""),"/",""))=8,DATE(VALUE(LEFT(SUBSTITUTE(SUBSTITUTE(SUBSTITUTE(TRIM($A436),"-",""),".",""),"/",""),4)),VALUE(MID(SUBSTITUTE(SUBSTITUTE(SUBSTITUTE(TRIM($A436),"-",""),".",""),"/",""),5,2)),VALUE(RIGHT(SUBSTITUTE(SUBSTITUTE(SUBSTITUTE(TRIM($A436),"-",""),".",""),"/",""),2))),DATEVALUE($A436))),""))</f>
        <v/>
      </c>
    </row>
    <row r="437" customFormat="false" ht="15" hidden="false" customHeight="false" outlineLevel="0" collapsed="false">
      <c r="A437" s="47"/>
      <c r="B437" s="48"/>
      <c r="C437" s="132"/>
      <c r="D437" s="53"/>
      <c r="E437" s="48"/>
      <c r="F437" s="132"/>
      <c r="G437" s="133" t="str">
        <f aca="false">IF($A437="","",IFERROR(IF(ISNUMBER($A437),IF($A437&gt;19000000,DATE(INT($A437/10000),MOD(INT($A437/100),100),MOD($A437,100)),INT($A437)),IF(LEN(SUBSTITUTE(SUBSTITUTE(SUBSTITUTE(TRIM($A437),"-",""),".",""),"/",""))=8,DATE(VALUE(LEFT(SUBSTITUTE(SUBSTITUTE(SUBSTITUTE(TRIM($A437),"-",""),".",""),"/",""),4)),VALUE(MID(SUBSTITUTE(SUBSTITUTE(SUBSTITUTE(TRIM($A437),"-",""),".",""),"/",""),5,2)),VALUE(RIGHT(SUBSTITUTE(SUBSTITUTE(SUBSTITUTE(TRIM($A437),"-",""),".",""),"/",""),2))),DATEVALUE($A437))),""))</f>
        <v/>
      </c>
    </row>
    <row r="438" customFormat="false" ht="15" hidden="false" customHeight="false" outlineLevel="0" collapsed="false">
      <c r="A438" s="47"/>
      <c r="B438" s="48"/>
      <c r="C438" s="132"/>
      <c r="D438" s="53"/>
      <c r="E438" s="48"/>
      <c r="F438" s="132"/>
      <c r="G438" s="133" t="str">
        <f aca="false">IF($A438="","",IFERROR(IF(ISNUMBER($A438),IF($A438&gt;19000000,DATE(INT($A438/10000),MOD(INT($A438/100),100),MOD($A438,100)),INT($A438)),IF(LEN(SUBSTITUTE(SUBSTITUTE(SUBSTITUTE(TRIM($A438),"-",""),".",""),"/",""))=8,DATE(VALUE(LEFT(SUBSTITUTE(SUBSTITUTE(SUBSTITUTE(TRIM($A438),"-",""),".",""),"/",""),4)),VALUE(MID(SUBSTITUTE(SUBSTITUTE(SUBSTITUTE(TRIM($A438),"-",""),".",""),"/",""),5,2)),VALUE(RIGHT(SUBSTITUTE(SUBSTITUTE(SUBSTITUTE(TRIM($A438),"-",""),".",""),"/",""),2))),DATEVALUE($A438))),""))</f>
        <v/>
      </c>
    </row>
    <row r="439" customFormat="false" ht="15" hidden="false" customHeight="false" outlineLevel="0" collapsed="false">
      <c r="A439" s="47"/>
      <c r="B439" s="48"/>
      <c r="C439" s="132"/>
      <c r="D439" s="53"/>
      <c r="E439" s="48"/>
      <c r="F439" s="132"/>
      <c r="G439" s="133" t="str">
        <f aca="false">IF($A439="","",IFERROR(IF(ISNUMBER($A439),IF($A439&gt;19000000,DATE(INT($A439/10000),MOD(INT($A439/100),100),MOD($A439,100)),INT($A439)),IF(LEN(SUBSTITUTE(SUBSTITUTE(SUBSTITUTE(TRIM($A439),"-",""),".",""),"/",""))=8,DATE(VALUE(LEFT(SUBSTITUTE(SUBSTITUTE(SUBSTITUTE(TRIM($A439),"-",""),".",""),"/",""),4)),VALUE(MID(SUBSTITUTE(SUBSTITUTE(SUBSTITUTE(TRIM($A439),"-",""),".",""),"/",""),5,2)),VALUE(RIGHT(SUBSTITUTE(SUBSTITUTE(SUBSTITUTE(TRIM($A439),"-",""),".",""),"/",""),2))),DATEVALUE($A439))),""))</f>
        <v/>
      </c>
    </row>
    <row r="440" customFormat="false" ht="15" hidden="false" customHeight="false" outlineLevel="0" collapsed="false">
      <c r="A440" s="47"/>
      <c r="B440" s="48"/>
      <c r="C440" s="132"/>
      <c r="D440" s="53"/>
      <c r="E440" s="48"/>
      <c r="F440" s="132"/>
      <c r="G440" s="133" t="str">
        <f aca="false">IF($A440="","",IFERROR(IF(ISNUMBER($A440),IF($A440&gt;19000000,DATE(INT($A440/10000),MOD(INT($A440/100),100),MOD($A440,100)),INT($A440)),IF(LEN(SUBSTITUTE(SUBSTITUTE(SUBSTITUTE(TRIM($A440),"-",""),".",""),"/",""))=8,DATE(VALUE(LEFT(SUBSTITUTE(SUBSTITUTE(SUBSTITUTE(TRIM($A440),"-",""),".",""),"/",""),4)),VALUE(MID(SUBSTITUTE(SUBSTITUTE(SUBSTITUTE(TRIM($A440),"-",""),".",""),"/",""),5,2)),VALUE(RIGHT(SUBSTITUTE(SUBSTITUTE(SUBSTITUTE(TRIM($A440),"-",""),".",""),"/",""),2))),DATEVALUE($A440))),""))</f>
        <v/>
      </c>
    </row>
    <row r="441" customFormat="false" ht="15" hidden="false" customHeight="false" outlineLevel="0" collapsed="false">
      <c r="A441" s="47"/>
      <c r="B441" s="48"/>
      <c r="C441" s="132"/>
      <c r="D441" s="53"/>
      <c r="E441" s="48"/>
      <c r="F441" s="132"/>
      <c r="G441" s="133" t="str">
        <f aca="false">IF($A441="","",IFERROR(IF(ISNUMBER($A441),IF($A441&gt;19000000,DATE(INT($A441/10000),MOD(INT($A441/100),100),MOD($A441,100)),INT($A441)),IF(LEN(SUBSTITUTE(SUBSTITUTE(SUBSTITUTE(TRIM($A441),"-",""),".",""),"/",""))=8,DATE(VALUE(LEFT(SUBSTITUTE(SUBSTITUTE(SUBSTITUTE(TRIM($A441),"-",""),".",""),"/",""),4)),VALUE(MID(SUBSTITUTE(SUBSTITUTE(SUBSTITUTE(TRIM($A441),"-",""),".",""),"/",""),5,2)),VALUE(RIGHT(SUBSTITUTE(SUBSTITUTE(SUBSTITUTE(TRIM($A441),"-",""),".",""),"/",""),2))),DATEVALUE($A441))),""))</f>
        <v/>
      </c>
    </row>
    <row r="442" customFormat="false" ht="15" hidden="false" customHeight="false" outlineLevel="0" collapsed="false">
      <c r="A442" s="47"/>
      <c r="B442" s="48"/>
      <c r="C442" s="132"/>
      <c r="D442" s="53"/>
      <c r="E442" s="48"/>
      <c r="F442" s="132"/>
      <c r="G442" s="133" t="str">
        <f aca="false">IF($A442="","",IFERROR(IF(ISNUMBER($A442),IF($A442&gt;19000000,DATE(INT($A442/10000),MOD(INT($A442/100),100),MOD($A442,100)),INT($A442)),IF(LEN(SUBSTITUTE(SUBSTITUTE(SUBSTITUTE(TRIM($A442),"-",""),".",""),"/",""))=8,DATE(VALUE(LEFT(SUBSTITUTE(SUBSTITUTE(SUBSTITUTE(TRIM($A442),"-",""),".",""),"/",""),4)),VALUE(MID(SUBSTITUTE(SUBSTITUTE(SUBSTITUTE(TRIM($A442),"-",""),".",""),"/",""),5,2)),VALUE(RIGHT(SUBSTITUTE(SUBSTITUTE(SUBSTITUTE(TRIM($A442),"-",""),".",""),"/",""),2))),DATEVALUE($A442))),""))</f>
        <v/>
      </c>
    </row>
    <row r="443" customFormat="false" ht="15" hidden="false" customHeight="false" outlineLevel="0" collapsed="false">
      <c r="A443" s="47"/>
      <c r="B443" s="48"/>
      <c r="C443" s="132"/>
      <c r="D443" s="53"/>
      <c r="E443" s="48"/>
      <c r="F443" s="132"/>
      <c r="G443" s="133" t="str">
        <f aca="false">IF($A443="","",IFERROR(IF(ISNUMBER($A443),IF($A443&gt;19000000,DATE(INT($A443/10000),MOD(INT($A443/100),100),MOD($A443,100)),INT($A443)),IF(LEN(SUBSTITUTE(SUBSTITUTE(SUBSTITUTE(TRIM($A443),"-",""),".",""),"/",""))=8,DATE(VALUE(LEFT(SUBSTITUTE(SUBSTITUTE(SUBSTITUTE(TRIM($A443),"-",""),".",""),"/",""),4)),VALUE(MID(SUBSTITUTE(SUBSTITUTE(SUBSTITUTE(TRIM($A443),"-",""),".",""),"/",""),5,2)),VALUE(RIGHT(SUBSTITUTE(SUBSTITUTE(SUBSTITUTE(TRIM($A443),"-",""),".",""),"/",""),2))),DATEVALUE($A443))),""))</f>
        <v/>
      </c>
    </row>
    <row r="444" customFormat="false" ht="15" hidden="false" customHeight="false" outlineLevel="0" collapsed="false">
      <c r="A444" s="47"/>
      <c r="B444" s="48"/>
      <c r="C444" s="132"/>
      <c r="D444" s="53"/>
      <c r="E444" s="48"/>
      <c r="F444" s="132"/>
      <c r="G444" s="133" t="str">
        <f aca="false">IF($A444="","",IFERROR(IF(ISNUMBER($A444),IF($A444&gt;19000000,DATE(INT($A444/10000),MOD(INT($A444/100),100),MOD($A444,100)),INT($A444)),IF(LEN(SUBSTITUTE(SUBSTITUTE(SUBSTITUTE(TRIM($A444),"-",""),".",""),"/",""))=8,DATE(VALUE(LEFT(SUBSTITUTE(SUBSTITUTE(SUBSTITUTE(TRIM($A444),"-",""),".",""),"/",""),4)),VALUE(MID(SUBSTITUTE(SUBSTITUTE(SUBSTITUTE(TRIM($A444),"-",""),".",""),"/",""),5,2)),VALUE(RIGHT(SUBSTITUTE(SUBSTITUTE(SUBSTITUTE(TRIM($A444),"-",""),".",""),"/",""),2))),DATEVALUE($A444))),""))</f>
        <v/>
      </c>
    </row>
    <row r="445" customFormat="false" ht="15" hidden="false" customHeight="false" outlineLevel="0" collapsed="false">
      <c r="A445" s="47"/>
      <c r="B445" s="48"/>
      <c r="C445" s="132"/>
      <c r="D445" s="53"/>
      <c r="E445" s="48"/>
      <c r="F445" s="132"/>
      <c r="G445" s="133" t="str">
        <f aca="false">IF($A445="","",IFERROR(IF(ISNUMBER($A445),IF($A445&gt;19000000,DATE(INT($A445/10000),MOD(INT($A445/100),100),MOD($A445,100)),INT($A445)),IF(LEN(SUBSTITUTE(SUBSTITUTE(SUBSTITUTE(TRIM($A445),"-",""),".",""),"/",""))=8,DATE(VALUE(LEFT(SUBSTITUTE(SUBSTITUTE(SUBSTITUTE(TRIM($A445),"-",""),".",""),"/",""),4)),VALUE(MID(SUBSTITUTE(SUBSTITUTE(SUBSTITUTE(TRIM($A445),"-",""),".",""),"/",""),5,2)),VALUE(RIGHT(SUBSTITUTE(SUBSTITUTE(SUBSTITUTE(TRIM($A445),"-",""),".",""),"/",""),2))),DATEVALUE($A445))),""))</f>
        <v/>
      </c>
    </row>
    <row r="446" customFormat="false" ht="15" hidden="false" customHeight="false" outlineLevel="0" collapsed="false">
      <c r="A446" s="47"/>
      <c r="B446" s="48"/>
      <c r="C446" s="132"/>
      <c r="D446" s="53"/>
      <c r="E446" s="48"/>
      <c r="F446" s="132"/>
      <c r="G446" s="133" t="str">
        <f aca="false">IF($A446="","",IFERROR(IF(ISNUMBER($A446),IF($A446&gt;19000000,DATE(INT($A446/10000),MOD(INT($A446/100),100),MOD($A446,100)),INT($A446)),IF(LEN(SUBSTITUTE(SUBSTITUTE(SUBSTITUTE(TRIM($A446),"-",""),".",""),"/",""))=8,DATE(VALUE(LEFT(SUBSTITUTE(SUBSTITUTE(SUBSTITUTE(TRIM($A446),"-",""),".",""),"/",""),4)),VALUE(MID(SUBSTITUTE(SUBSTITUTE(SUBSTITUTE(TRIM($A446),"-",""),".",""),"/",""),5,2)),VALUE(RIGHT(SUBSTITUTE(SUBSTITUTE(SUBSTITUTE(TRIM($A446),"-",""),".",""),"/",""),2))),DATEVALUE($A446))),""))</f>
        <v/>
      </c>
    </row>
    <row r="447" customFormat="false" ht="15" hidden="false" customHeight="false" outlineLevel="0" collapsed="false">
      <c r="A447" s="47"/>
      <c r="B447" s="48"/>
      <c r="C447" s="132"/>
      <c r="D447" s="53"/>
      <c r="E447" s="48"/>
      <c r="F447" s="132"/>
      <c r="G447" s="133" t="str">
        <f aca="false">IF($A447="","",IFERROR(IF(ISNUMBER($A447),IF($A447&gt;19000000,DATE(INT($A447/10000),MOD(INT($A447/100),100),MOD($A447,100)),INT($A447)),IF(LEN(SUBSTITUTE(SUBSTITUTE(SUBSTITUTE(TRIM($A447),"-",""),".",""),"/",""))=8,DATE(VALUE(LEFT(SUBSTITUTE(SUBSTITUTE(SUBSTITUTE(TRIM($A447),"-",""),".",""),"/",""),4)),VALUE(MID(SUBSTITUTE(SUBSTITUTE(SUBSTITUTE(TRIM($A447),"-",""),".",""),"/",""),5,2)),VALUE(RIGHT(SUBSTITUTE(SUBSTITUTE(SUBSTITUTE(TRIM($A447),"-",""),".",""),"/",""),2))),DATEVALUE($A447))),""))</f>
        <v/>
      </c>
    </row>
    <row r="448" customFormat="false" ht="15" hidden="false" customHeight="false" outlineLevel="0" collapsed="false">
      <c r="A448" s="47"/>
      <c r="B448" s="48"/>
      <c r="C448" s="132"/>
      <c r="D448" s="53"/>
      <c r="E448" s="48"/>
      <c r="F448" s="132"/>
      <c r="G448" s="133" t="str">
        <f aca="false">IF($A448="","",IFERROR(IF(ISNUMBER($A448),IF($A448&gt;19000000,DATE(INT($A448/10000),MOD(INT($A448/100),100),MOD($A448,100)),INT($A448)),IF(LEN(SUBSTITUTE(SUBSTITUTE(SUBSTITUTE(TRIM($A448),"-",""),".",""),"/",""))=8,DATE(VALUE(LEFT(SUBSTITUTE(SUBSTITUTE(SUBSTITUTE(TRIM($A448),"-",""),".",""),"/",""),4)),VALUE(MID(SUBSTITUTE(SUBSTITUTE(SUBSTITUTE(TRIM($A448),"-",""),".",""),"/",""),5,2)),VALUE(RIGHT(SUBSTITUTE(SUBSTITUTE(SUBSTITUTE(TRIM($A448),"-",""),".",""),"/",""),2))),DATEVALUE($A448))),""))</f>
        <v/>
      </c>
    </row>
    <row r="449" customFormat="false" ht="15" hidden="false" customHeight="false" outlineLevel="0" collapsed="false">
      <c r="A449" s="47"/>
      <c r="B449" s="48"/>
      <c r="C449" s="132"/>
      <c r="D449" s="53"/>
      <c r="E449" s="48"/>
      <c r="F449" s="132"/>
      <c r="G449" s="133" t="str">
        <f aca="false">IF($A449="","",IFERROR(IF(ISNUMBER($A449),IF($A449&gt;19000000,DATE(INT($A449/10000),MOD(INT($A449/100),100),MOD($A449,100)),INT($A449)),IF(LEN(SUBSTITUTE(SUBSTITUTE(SUBSTITUTE(TRIM($A449),"-",""),".",""),"/",""))=8,DATE(VALUE(LEFT(SUBSTITUTE(SUBSTITUTE(SUBSTITUTE(TRIM($A449),"-",""),".",""),"/",""),4)),VALUE(MID(SUBSTITUTE(SUBSTITUTE(SUBSTITUTE(TRIM($A449),"-",""),".",""),"/",""),5,2)),VALUE(RIGHT(SUBSTITUTE(SUBSTITUTE(SUBSTITUTE(TRIM($A449),"-",""),".",""),"/",""),2))),DATEVALUE($A449))),""))</f>
        <v/>
      </c>
    </row>
    <row r="450" customFormat="false" ht="15" hidden="false" customHeight="false" outlineLevel="0" collapsed="false">
      <c r="A450" s="47"/>
      <c r="B450" s="48"/>
      <c r="C450" s="132"/>
      <c r="D450" s="53"/>
      <c r="E450" s="48"/>
      <c r="F450" s="132"/>
      <c r="G450" s="133" t="str">
        <f aca="false">IF($A450="","",IFERROR(IF(ISNUMBER($A450),IF($A450&gt;19000000,DATE(INT($A450/10000),MOD(INT($A450/100),100),MOD($A450,100)),INT($A450)),IF(LEN(SUBSTITUTE(SUBSTITUTE(SUBSTITUTE(TRIM($A450),"-",""),".",""),"/",""))=8,DATE(VALUE(LEFT(SUBSTITUTE(SUBSTITUTE(SUBSTITUTE(TRIM($A450),"-",""),".",""),"/",""),4)),VALUE(MID(SUBSTITUTE(SUBSTITUTE(SUBSTITUTE(TRIM($A450),"-",""),".",""),"/",""),5,2)),VALUE(RIGHT(SUBSTITUTE(SUBSTITUTE(SUBSTITUTE(TRIM($A450),"-",""),".",""),"/",""),2))),DATEVALUE($A450))),""))</f>
        <v/>
      </c>
    </row>
    <row r="451" customFormat="false" ht="15" hidden="false" customHeight="false" outlineLevel="0" collapsed="false">
      <c r="A451" s="47"/>
      <c r="B451" s="48"/>
      <c r="C451" s="132"/>
      <c r="D451" s="53"/>
      <c r="E451" s="48"/>
      <c r="F451" s="132"/>
      <c r="G451" s="133" t="str">
        <f aca="false">IF($A451="","",IFERROR(IF(ISNUMBER($A451),IF($A451&gt;19000000,DATE(INT($A451/10000),MOD(INT($A451/100),100),MOD($A451,100)),INT($A451)),IF(LEN(SUBSTITUTE(SUBSTITUTE(SUBSTITUTE(TRIM($A451),"-",""),".",""),"/",""))=8,DATE(VALUE(LEFT(SUBSTITUTE(SUBSTITUTE(SUBSTITUTE(TRIM($A451),"-",""),".",""),"/",""),4)),VALUE(MID(SUBSTITUTE(SUBSTITUTE(SUBSTITUTE(TRIM($A451),"-",""),".",""),"/",""),5,2)),VALUE(RIGHT(SUBSTITUTE(SUBSTITUTE(SUBSTITUTE(TRIM($A451),"-",""),".",""),"/",""),2))),DATEVALUE($A451))),""))</f>
        <v/>
      </c>
    </row>
    <row r="452" customFormat="false" ht="15" hidden="false" customHeight="false" outlineLevel="0" collapsed="false">
      <c r="A452" s="47"/>
      <c r="B452" s="48"/>
      <c r="C452" s="132"/>
      <c r="D452" s="53"/>
      <c r="E452" s="48"/>
      <c r="F452" s="132"/>
      <c r="G452" s="133" t="str">
        <f aca="false">IF($A452="","",IFERROR(IF(ISNUMBER($A452),IF($A452&gt;19000000,DATE(INT($A452/10000),MOD(INT($A452/100),100),MOD($A452,100)),INT($A452)),IF(LEN(SUBSTITUTE(SUBSTITUTE(SUBSTITUTE(TRIM($A452),"-",""),".",""),"/",""))=8,DATE(VALUE(LEFT(SUBSTITUTE(SUBSTITUTE(SUBSTITUTE(TRIM($A452),"-",""),".",""),"/",""),4)),VALUE(MID(SUBSTITUTE(SUBSTITUTE(SUBSTITUTE(TRIM($A452),"-",""),".",""),"/",""),5,2)),VALUE(RIGHT(SUBSTITUTE(SUBSTITUTE(SUBSTITUTE(TRIM($A452),"-",""),".",""),"/",""),2))),DATEVALUE($A452))),""))</f>
        <v/>
      </c>
    </row>
    <row r="453" customFormat="false" ht="15" hidden="false" customHeight="false" outlineLevel="0" collapsed="false">
      <c r="A453" s="47"/>
      <c r="B453" s="48"/>
      <c r="C453" s="132"/>
      <c r="D453" s="53"/>
      <c r="E453" s="48"/>
      <c r="F453" s="132"/>
      <c r="G453" s="133" t="str">
        <f aca="false">IF($A453="","",IFERROR(IF(ISNUMBER($A453),IF($A453&gt;19000000,DATE(INT($A453/10000),MOD(INT($A453/100),100),MOD($A453,100)),INT($A453)),IF(LEN(SUBSTITUTE(SUBSTITUTE(SUBSTITUTE(TRIM($A453),"-",""),".",""),"/",""))=8,DATE(VALUE(LEFT(SUBSTITUTE(SUBSTITUTE(SUBSTITUTE(TRIM($A453),"-",""),".",""),"/",""),4)),VALUE(MID(SUBSTITUTE(SUBSTITUTE(SUBSTITUTE(TRIM($A453),"-",""),".",""),"/",""),5,2)),VALUE(RIGHT(SUBSTITUTE(SUBSTITUTE(SUBSTITUTE(TRIM($A453),"-",""),".",""),"/",""),2))),DATEVALUE($A453))),""))</f>
        <v/>
      </c>
    </row>
    <row r="454" customFormat="false" ht="15" hidden="false" customHeight="false" outlineLevel="0" collapsed="false">
      <c r="A454" s="47"/>
      <c r="B454" s="48"/>
      <c r="C454" s="132"/>
      <c r="D454" s="53"/>
      <c r="E454" s="48"/>
      <c r="F454" s="132"/>
      <c r="G454" s="133" t="str">
        <f aca="false">IF($A454="","",IFERROR(IF(ISNUMBER($A454),IF($A454&gt;19000000,DATE(INT($A454/10000),MOD(INT($A454/100),100),MOD($A454,100)),INT($A454)),IF(LEN(SUBSTITUTE(SUBSTITUTE(SUBSTITUTE(TRIM($A454),"-",""),".",""),"/",""))=8,DATE(VALUE(LEFT(SUBSTITUTE(SUBSTITUTE(SUBSTITUTE(TRIM($A454),"-",""),".",""),"/",""),4)),VALUE(MID(SUBSTITUTE(SUBSTITUTE(SUBSTITUTE(TRIM($A454),"-",""),".",""),"/",""),5,2)),VALUE(RIGHT(SUBSTITUTE(SUBSTITUTE(SUBSTITUTE(TRIM($A454),"-",""),".",""),"/",""),2))),DATEVALUE($A454))),""))</f>
        <v/>
      </c>
    </row>
    <row r="455" customFormat="false" ht="15" hidden="false" customHeight="false" outlineLevel="0" collapsed="false">
      <c r="A455" s="47"/>
      <c r="B455" s="48"/>
      <c r="C455" s="132"/>
      <c r="D455" s="53"/>
      <c r="E455" s="48"/>
      <c r="F455" s="132"/>
      <c r="G455" s="133" t="str">
        <f aca="false">IF($A455="","",IFERROR(IF(ISNUMBER($A455),IF($A455&gt;19000000,DATE(INT($A455/10000),MOD(INT($A455/100),100),MOD($A455,100)),INT($A455)),IF(LEN(SUBSTITUTE(SUBSTITUTE(SUBSTITUTE(TRIM($A455),"-",""),".",""),"/",""))=8,DATE(VALUE(LEFT(SUBSTITUTE(SUBSTITUTE(SUBSTITUTE(TRIM($A455),"-",""),".",""),"/",""),4)),VALUE(MID(SUBSTITUTE(SUBSTITUTE(SUBSTITUTE(TRIM($A455),"-",""),".",""),"/",""),5,2)),VALUE(RIGHT(SUBSTITUTE(SUBSTITUTE(SUBSTITUTE(TRIM($A455),"-",""),".",""),"/",""),2))),DATEVALUE($A455))),""))</f>
        <v/>
      </c>
    </row>
    <row r="456" customFormat="false" ht="15" hidden="false" customHeight="false" outlineLevel="0" collapsed="false">
      <c r="A456" s="47"/>
      <c r="B456" s="48"/>
      <c r="C456" s="132"/>
      <c r="D456" s="53"/>
      <c r="E456" s="48"/>
      <c r="F456" s="132"/>
      <c r="G456" s="133" t="str">
        <f aca="false">IF($A456="","",IFERROR(IF(ISNUMBER($A456),IF($A456&gt;19000000,DATE(INT($A456/10000),MOD(INT($A456/100),100),MOD($A456,100)),INT($A456)),IF(LEN(SUBSTITUTE(SUBSTITUTE(SUBSTITUTE(TRIM($A456),"-",""),".",""),"/",""))=8,DATE(VALUE(LEFT(SUBSTITUTE(SUBSTITUTE(SUBSTITUTE(TRIM($A456),"-",""),".",""),"/",""),4)),VALUE(MID(SUBSTITUTE(SUBSTITUTE(SUBSTITUTE(TRIM($A456),"-",""),".",""),"/",""),5,2)),VALUE(RIGHT(SUBSTITUTE(SUBSTITUTE(SUBSTITUTE(TRIM($A456),"-",""),".",""),"/",""),2))),DATEVALUE($A456))),""))</f>
        <v/>
      </c>
    </row>
    <row r="457" customFormat="false" ht="15" hidden="false" customHeight="false" outlineLevel="0" collapsed="false">
      <c r="A457" s="47"/>
      <c r="B457" s="48"/>
      <c r="C457" s="132"/>
      <c r="D457" s="53"/>
      <c r="E457" s="48"/>
      <c r="F457" s="132"/>
      <c r="G457" s="133" t="str">
        <f aca="false">IF($A457="","",IFERROR(IF(ISNUMBER($A457),IF($A457&gt;19000000,DATE(INT($A457/10000),MOD(INT($A457/100),100),MOD($A457,100)),INT($A457)),IF(LEN(SUBSTITUTE(SUBSTITUTE(SUBSTITUTE(TRIM($A457),"-",""),".",""),"/",""))=8,DATE(VALUE(LEFT(SUBSTITUTE(SUBSTITUTE(SUBSTITUTE(TRIM($A457),"-",""),".",""),"/",""),4)),VALUE(MID(SUBSTITUTE(SUBSTITUTE(SUBSTITUTE(TRIM($A457),"-",""),".",""),"/",""),5,2)),VALUE(RIGHT(SUBSTITUTE(SUBSTITUTE(SUBSTITUTE(TRIM($A457),"-",""),".",""),"/",""),2))),DATEVALUE($A457))),""))</f>
        <v/>
      </c>
    </row>
    <row r="458" customFormat="false" ht="15" hidden="false" customHeight="false" outlineLevel="0" collapsed="false">
      <c r="A458" s="47"/>
      <c r="B458" s="48"/>
      <c r="C458" s="132"/>
      <c r="D458" s="53"/>
      <c r="E458" s="48"/>
      <c r="F458" s="132"/>
      <c r="G458" s="133" t="str">
        <f aca="false">IF($A458="","",IFERROR(IF(ISNUMBER($A458),IF($A458&gt;19000000,DATE(INT($A458/10000),MOD(INT($A458/100),100),MOD($A458,100)),INT($A458)),IF(LEN(SUBSTITUTE(SUBSTITUTE(SUBSTITUTE(TRIM($A458),"-",""),".",""),"/",""))=8,DATE(VALUE(LEFT(SUBSTITUTE(SUBSTITUTE(SUBSTITUTE(TRIM($A458),"-",""),".",""),"/",""),4)),VALUE(MID(SUBSTITUTE(SUBSTITUTE(SUBSTITUTE(TRIM($A458),"-",""),".",""),"/",""),5,2)),VALUE(RIGHT(SUBSTITUTE(SUBSTITUTE(SUBSTITUTE(TRIM($A458),"-",""),".",""),"/",""),2))),DATEVALUE($A458))),""))</f>
        <v/>
      </c>
    </row>
    <row r="459" customFormat="false" ht="15" hidden="false" customHeight="false" outlineLevel="0" collapsed="false">
      <c r="A459" s="47"/>
      <c r="B459" s="48"/>
      <c r="C459" s="132"/>
      <c r="D459" s="53"/>
      <c r="E459" s="48"/>
      <c r="F459" s="132"/>
      <c r="G459" s="133" t="str">
        <f aca="false">IF($A459="","",IFERROR(IF(ISNUMBER($A459),IF($A459&gt;19000000,DATE(INT($A459/10000),MOD(INT($A459/100),100),MOD($A459,100)),INT($A459)),IF(LEN(SUBSTITUTE(SUBSTITUTE(SUBSTITUTE(TRIM($A459),"-",""),".",""),"/",""))=8,DATE(VALUE(LEFT(SUBSTITUTE(SUBSTITUTE(SUBSTITUTE(TRIM($A459),"-",""),".",""),"/",""),4)),VALUE(MID(SUBSTITUTE(SUBSTITUTE(SUBSTITUTE(TRIM($A459),"-",""),".",""),"/",""),5,2)),VALUE(RIGHT(SUBSTITUTE(SUBSTITUTE(SUBSTITUTE(TRIM($A459),"-",""),".",""),"/",""),2))),DATEVALUE($A459))),""))</f>
        <v/>
      </c>
    </row>
    <row r="460" customFormat="false" ht="15" hidden="false" customHeight="false" outlineLevel="0" collapsed="false">
      <c r="A460" s="47"/>
      <c r="B460" s="48"/>
      <c r="C460" s="132"/>
      <c r="D460" s="53"/>
      <c r="E460" s="48"/>
      <c r="F460" s="132"/>
      <c r="G460" s="133" t="str">
        <f aca="false">IF($A460="","",IFERROR(IF(ISNUMBER($A460),IF($A460&gt;19000000,DATE(INT($A460/10000),MOD(INT($A460/100),100),MOD($A460,100)),INT($A460)),IF(LEN(SUBSTITUTE(SUBSTITUTE(SUBSTITUTE(TRIM($A460),"-",""),".",""),"/",""))=8,DATE(VALUE(LEFT(SUBSTITUTE(SUBSTITUTE(SUBSTITUTE(TRIM($A460),"-",""),".",""),"/",""),4)),VALUE(MID(SUBSTITUTE(SUBSTITUTE(SUBSTITUTE(TRIM($A460),"-",""),".",""),"/",""),5,2)),VALUE(RIGHT(SUBSTITUTE(SUBSTITUTE(SUBSTITUTE(TRIM($A460),"-",""),".",""),"/",""),2))),DATEVALUE($A460))),""))</f>
        <v/>
      </c>
    </row>
    <row r="461" customFormat="false" ht="15" hidden="false" customHeight="false" outlineLevel="0" collapsed="false">
      <c r="A461" s="47"/>
      <c r="B461" s="48"/>
      <c r="C461" s="132"/>
      <c r="D461" s="53"/>
      <c r="E461" s="48"/>
      <c r="F461" s="132"/>
      <c r="G461" s="133" t="str">
        <f aca="false">IF($A461="","",IFERROR(IF(ISNUMBER($A461),IF($A461&gt;19000000,DATE(INT($A461/10000),MOD(INT($A461/100),100),MOD($A461,100)),INT($A461)),IF(LEN(SUBSTITUTE(SUBSTITUTE(SUBSTITUTE(TRIM($A461),"-",""),".",""),"/",""))=8,DATE(VALUE(LEFT(SUBSTITUTE(SUBSTITUTE(SUBSTITUTE(TRIM($A461),"-",""),".",""),"/",""),4)),VALUE(MID(SUBSTITUTE(SUBSTITUTE(SUBSTITUTE(TRIM($A461),"-",""),".",""),"/",""),5,2)),VALUE(RIGHT(SUBSTITUTE(SUBSTITUTE(SUBSTITUTE(TRIM($A461),"-",""),".",""),"/",""),2))),DATEVALUE($A461))),""))</f>
        <v/>
      </c>
    </row>
    <row r="462" customFormat="false" ht="15" hidden="false" customHeight="false" outlineLevel="0" collapsed="false">
      <c r="A462" s="47"/>
      <c r="B462" s="48"/>
      <c r="C462" s="132"/>
      <c r="D462" s="53"/>
      <c r="E462" s="48"/>
      <c r="F462" s="132"/>
      <c r="G462" s="133" t="str">
        <f aca="false">IF($A462="","",IFERROR(IF(ISNUMBER($A462),IF($A462&gt;19000000,DATE(INT($A462/10000),MOD(INT($A462/100),100),MOD($A462,100)),INT($A462)),IF(LEN(SUBSTITUTE(SUBSTITUTE(SUBSTITUTE(TRIM($A462),"-",""),".",""),"/",""))=8,DATE(VALUE(LEFT(SUBSTITUTE(SUBSTITUTE(SUBSTITUTE(TRIM($A462),"-",""),".",""),"/",""),4)),VALUE(MID(SUBSTITUTE(SUBSTITUTE(SUBSTITUTE(TRIM($A462),"-",""),".",""),"/",""),5,2)),VALUE(RIGHT(SUBSTITUTE(SUBSTITUTE(SUBSTITUTE(TRIM($A462),"-",""),".",""),"/",""),2))),DATEVALUE($A462))),""))</f>
        <v/>
      </c>
    </row>
    <row r="463" customFormat="false" ht="15" hidden="false" customHeight="false" outlineLevel="0" collapsed="false">
      <c r="A463" s="47"/>
      <c r="B463" s="48"/>
      <c r="C463" s="132"/>
      <c r="D463" s="53"/>
      <c r="E463" s="48"/>
      <c r="F463" s="132"/>
      <c r="G463" s="133" t="str">
        <f aca="false">IF($A463="","",IFERROR(IF(ISNUMBER($A463),IF($A463&gt;19000000,DATE(INT($A463/10000),MOD(INT($A463/100),100),MOD($A463,100)),INT($A463)),IF(LEN(SUBSTITUTE(SUBSTITUTE(SUBSTITUTE(TRIM($A463),"-",""),".",""),"/",""))=8,DATE(VALUE(LEFT(SUBSTITUTE(SUBSTITUTE(SUBSTITUTE(TRIM($A463),"-",""),".",""),"/",""),4)),VALUE(MID(SUBSTITUTE(SUBSTITUTE(SUBSTITUTE(TRIM($A463),"-",""),".",""),"/",""),5,2)),VALUE(RIGHT(SUBSTITUTE(SUBSTITUTE(SUBSTITUTE(TRIM($A463),"-",""),".",""),"/",""),2))),DATEVALUE($A463))),""))</f>
        <v/>
      </c>
    </row>
    <row r="464" customFormat="false" ht="15" hidden="false" customHeight="false" outlineLevel="0" collapsed="false">
      <c r="A464" s="47"/>
      <c r="B464" s="48"/>
      <c r="C464" s="132"/>
      <c r="D464" s="53"/>
      <c r="E464" s="48"/>
      <c r="F464" s="132"/>
      <c r="G464" s="133" t="str">
        <f aca="false">IF($A464="","",IFERROR(IF(ISNUMBER($A464),IF($A464&gt;19000000,DATE(INT($A464/10000),MOD(INT($A464/100),100),MOD($A464,100)),INT($A464)),IF(LEN(SUBSTITUTE(SUBSTITUTE(SUBSTITUTE(TRIM($A464),"-",""),".",""),"/",""))=8,DATE(VALUE(LEFT(SUBSTITUTE(SUBSTITUTE(SUBSTITUTE(TRIM($A464),"-",""),".",""),"/",""),4)),VALUE(MID(SUBSTITUTE(SUBSTITUTE(SUBSTITUTE(TRIM($A464),"-",""),".",""),"/",""),5,2)),VALUE(RIGHT(SUBSTITUTE(SUBSTITUTE(SUBSTITUTE(TRIM($A464),"-",""),".",""),"/",""),2))),DATEVALUE($A464))),""))</f>
        <v/>
      </c>
    </row>
    <row r="465" customFormat="false" ht="15" hidden="false" customHeight="false" outlineLevel="0" collapsed="false">
      <c r="A465" s="47"/>
      <c r="B465" s="48"/>
      <c r="C465" s="132"/>
      <c r="D465" s="53"/>
      <c r="E465" s="48"/>
      <c r="F465" s="132"/>
      <c r="G465" s="133" t="str">
        <f aca="false">IF($A465="","",IFERROR(IF(ISNUMBER($A465),IF($A465&gt;19000000,DATE(INT($A465/10000),MOD(INT($A465/100),100),MOD($A465,100)),INT($A465)),IF(LEN(SUBSTITUTE(SUBSTITUTE(SUBSTITUTE(TRIM($A465),"-",""),".",""),"/",""))=8,DATE(VALUE(LEFT(SUBSTITUTE(SUBSTITUTE(SUBSTITUTE(TRIM($A465),"-",""),".",""),"/",""),4)),VALUE(MID(SUBSTITUTE(SUBSTITUTE(SUBSTITUTE(TRIM($A465),"-",""),".",""),"/",""),5,2)),VALUE(RIGHT(SUBSTITUTE(SUBSTITUTE(SUBSTITUTE(TRIM($A465),"-",""),".",""),"/",""),2))),DATEVALUE($A465))),""))</f>
        <v/>
      </c>
    </row>
    <row r="466" customFormat="false" ht="15" hidden="false" customHeight="false" outlineLevel="0" collapsed="false">
      <c r="A466" s="47"/>
      <c r="B466" s="48"/>
      <c r="C466" s="132"/>
      <c r="D466" s="53"/>
      <c r="E466" s="48"/>
      <c r="F466" s="132"/>
      <c r="G466" s="133" t="str">
        <f aca="false">IF($A466="","",IFERROR(IF(ISNUMBER($A466),IF($A466&gt;19000000,DATE(INT($A466/10000),MOD(INT($A466/100),100),MOD($A466,100)),INT($A466)),IF(LEN(SUBSTITUTE(SUBSTITUTE(SUBSTITUTE(TRIM($A466),"-",""),".",""),"/",""))=8,DATE(VALUE(LEFT(SUBSTITUTE(SUBSTITUTE(SUBSTITUTE(TRIM($A466),"-",""),".",""),"/",""),4)),VALUE(MID(SUBSTITUTE(SUBSTITUTE(SUBSTITUTE(TRIM($A466),"-",""),".",""),"/",""),5,2)),VALUE(RIGHT(SUBSTITUTE(SUBSTITUTE(SUBSTITUTE(TRIM($A466),"-",""),".",""),"/",""),2))),DATEVALUE($A466))),""))</f>
        <v/>
      </c>
    </row>
    <row r="467" customFormat="false" ht="15" hidden="false" customHeight="false" outlineLevel="0" collapsed="false">
      <c r="A467" s="47"/>
      <c r="B467" s="48"/>
      <c r="C467" s="132"/>
      <c r="D467" s="53"/>
      <c r="E467" s="48"/>
      <c r="F467" s="132"/>
      <c r="G467" s="133" t="str">
        <f aca="false">IF($A467="","",IFERROR(IF(ISNUMBER($A467),IF($A467&gt;19000000,DATE(INT($A467/10000),MOD(INT($A467/100),100),MOD($A467,100)),INT($A467)),IF(LEN(SUBSTITUTE(SUBSTITUTE(SUBSTITUTE(TRIM($A467),"-",""),".",""),"/",""))=8,DATE(VALUE(LEFT(SUBSTITUTE(SUBSTITUTE(SUBSTITUTE(TRIM($A467),"-",""),".",""),"/",""),4)),VALUE(MID(SUBSTITUTE(SUBSTITUTE(SUBSTITUTE(TRIM($A467),"-",""),".",""),"/",""),5,2)),VALUE(RIGHT(SUBSTITUTE(SUBSTITUTE(SUBSTITUTE(TRIM($A467),"-",""),".",""),"/",""),2))),DATEVALUE($A467))),""))</f>
        <v/>
      </c>
    </row>
    <row r="468" customFormat="false" ht="15" hidden="false" customHeight="false" outlineLevel="0" collapsed="false">
      <c r="A468" s="47"/>
      <c r="B468" s="48"/>
      <c r="C468" s="132"/>
      <c r="D468" s="53"/>
      <c r="E468" s="48"/>
      <c r="F468" s="132"/>
      <c r="G468" s="133" t="str">
        <f aca="false">IF($A468="","",IFERROR(IF(ISNUMBER($A468),IF($A468&gt;19000000,DATE(INT($A468/10000),MOD(INT($A468/100),100),MOD($A468,100)),INT($A468)),IF(LEN(SUBSTITUTE(SUBSTITUTE(SUBSTITUTE(TRIM($A468),"-",""),".",""),"/",""))=8,DATE(VALUE(LEFT(SUBSTITUTE(SUBSTITUTE(SUBSTITUTE(TRIM($A468),"-",""),".",""),"/",""),4)),VALUE(MID(SUBSTITUTE(SUBSTITUTE(SUBSTITUTE(TRIM($A468),"-",""),".",""),"/",""),5,2)),VALUE(RIGHT(SUBSTITUTE(SUBSTITUTE(SUBSTITUTE(TRIM($A468),"-",""),".",""),"/",""),2))),DATEVALUE($A468))),""))</f>
        <v/>
      </c>
    </row>
    <row r="469" customFormat="false" ht="15" hidden="false" customHeight="false" outlineLevel="0" collapsed="false">
      <c r="A469" s="47"/>
      <c r="B469" s="48"/>
      <c r="C469" s="132"/>
      <c r="D469" s="53"/>
      <c r="E469" s="48"/>
      <c r="F469" s="132"/>
      <c r="G469" s="133" t="str">
        <f aca="false">IF($A469="","",IFERROR(IF(ISNUMBER($A469),IF($A469&gt;19000000,DATE(INT($A469/10000),MOD(INT($A469/100),100),MOD($A469,100)),INT($A469)),IF(LEN(SUBSTITUTE(SUBSTITUTE(SUBSTITUTE(TRIM($A469),"-",""),".",""),"/",""))=8,DATE(VALUE(LEFT(SUBSTITUTE(SUBSTITUTE(SUBSTITUTE(TRIM($A469),"-",""),".",""),"/",""),4)),VALUE(MID(SUBSTITUTE(SUBSTITUTE(SUBSTITUTE(TRIM($A469),"-",""),".",""),"/",""),5,2)),VALUE(RIGHT(SUBSTITUTE(SUBSTITUTE(SUBSTITUTE(TRIM($A469),"-",""),".",""),"/",""),2))),DATEVALUE($A469))),""))</f>
        <v/>
      </c>
    </row>
    <row r="470" customFormat="false" ht="15" hidden="false" customHeight="false" outlineLevel="0" collapsed="false">
      <c r="A470" s="47"/>
      <c r="B470" s="48"/>
      <c r="C470" s="132"/>
      <c r="D470" s="53"/>
      <c r="E470" s="48"/>
      <c r="F470" s="132"/>
      <c r="G470" s="133" t="str">
        <f aca="false">IF($A470="","",IFERROR(IF(ISNUMBER($A470),IF($A470&gt;19000000,DATE(INT($A470/10000),MOD(INT($A470/100),100),MOD($A470,100)),INT($A470)),IF(LEN(SUBSTITUTE(SUBSTITUTE(SUBSTITUTE(TRIM($A470),"-",""),".",""),"/",""))=8,DATE(VALUE(LEFT(SUBSTITUTE(SUBSTITUTE(SUBSTITUTE(TRIM($A470),"-",""),".",""),"/",""),4)),VALUE(MID(SUBSTITUTE(SUBSTITUTE(SUBSTITUTE(TRIM($A470),"-",""),".",""),"/",""),5,2)),VALUE(RIGHT(SUBSTITUTE(SUBSTITUTE(SUBSTITUTE(TRIM($A470),"-",""),".",""),"/",""),2))),DATEVALUE($A470))),""))</f>
        <v/>
      </c>
    </row>
    <row r="471" customFormat="false" ht="15" hidden="false" customHeight="false" outlineLevel="0" collapsed="false">
      <c r="A471" s="47"/>
      <c r="B471" s="48"/>
      <c r="C471" s="132"/>
      <c r="D471" s="53"/>
      <c r="E471" s="48"/>
      <c r="F471" s="132"/>
      <c r="G471" s="133" t="str">
        <f aca="false">IF($A471="","",IFERROR(IF(ISNUMBER($A471),IF($A471&gt;19000000,DATE(INT($A471/10000),MOD(INT($A471/100),100),MOD($A471,100)),INT($A471)),IF(LEN(SUBSTITUTE(SUBSTITUTE(SUBSTITUTE(TRIM($A471),"-",""),".",""),"/",""))=8,DATE(VALUE(LEFT(SUBSTITUTE(SUBSTITUTE(SUBSTITUTE(TRIM($A471),"-",""),".",""),"/",""),4)),VALUE(MID(SUBSTITUTE(SUBSTITUTE(SUBSTITUTE(TRIM($A471),"-",""),".",""),"/",""),5,2)),VALUE(RIGHT(SUBSTITUTE(SUBSTITUTE(SUBSTITUTE(TRIM($A471),"-",""),".",""),"/",""),2))),DATEVALUE($A471))),""))</f>
        <v/>
      </c>
    </row>
    <row r="472" customFormat="false" ht="15" hidden="false" customHeight="false" outlineLevel="0" collapsed="false">
      <c r="A472" s="47"/>
      <c r="B472" s="48"/>
      <c r="C472" s="132"/>
      <c r="D472" s="53"/>
      <c r="E472" s="48"/>
      <c r="F472" s="132"/>
      <c r="G472" s="133" t="str">
        <f aca="false">IF($A472="","",IFERROR(IF(ISNUMBER($A472),IF($A472&gt;19000000,DATE(INT($A472/10000),MOD(INT($A472/100),100),MOD($A472,100)),INT($A472)),IF(LEN(SUBSTITUTE(SUBSTITUTE(SUBSTITUTE(TRIM($A472),"-",""),".",""),"/",""))=8,DATE(VALUE(LEFT(SUBSTITUTE(SUBSTITUTE(SUBSTITUTE(TRIM($A472),"-",""),".",""),"/",""),4)),VALUE(MID(SUBSTITUTE(SUBSTITUTE(SUBSTITUTE(TRIM($A472),"-",""),".",""),"/",""),5,2)),VALUE(RIGHT(SUBSTITUTE(SUBSTITUTE(SUBSTITUTE(TRIM($A472),"-",""),".",""),"/",""),2))),DATEVALUE($A472))),""))</f>
        <v/>
      </c>
    </row>
    <row r="473" customFormat="false" ht="15" hidden="false" customHeight="false" outlineLevel="0" collapsed="false">
      <c r="A473" s="47"/>
      <c r="B473" s="48"/>
      <c r="C473" s="132"/>
      <c r="D473" s="53"/>
      <c r="E473" s="48"/>
      <c r="F473" s="132"/>
      <c r="G473" s="133" t="str">
        <f aca="false">IF($A473="","",IFERROR(IF(ISNUMBER($A473),IF($A473&gt;19000000,DATE(INT($A473/10000),MOD(INT($A473/100),100),MOD($A473,100)),INT($A473)),IF(LEN(SUBSTITUTE(SUBSTITUTE(SUBSTITUTE(TRIM($A473),"-",""),".",""),"/",""))=8,DATE(VALUE(LEFT(SUBSTITUTE(SUBSTITUTE(SUBSTITUTE(TRIM($A473),"-",""),".",""),"/",""),4)),VALUE(MID(SUBSTITUTE(SUBSTITUTE(SUBSTITUTE(TRIM($A473),"-",""),".",""),"/",""),5,2)),VALUE(RIGHT(SUBSTITUTE(SUBSTITUTE(SUBSTITUTE(TRIM($A473),"-",""),".",""),"/",""),2))),DATEVALUE($A473))),""))</f>
        <v/>
      </c>
    </row>
    <row r="474" customFormat="false" ht="15" hidden="false" customHeight="false" outlineLevel="0" collapsed="false">
      <c r="A474" s="47"/>
      <c r="B474" s="48"/>
      <c r="C474" s="132"/>
      <c r="D474" s="53"/>
      <c r="E474" s="48"/>
      <c r="F474" s="132"/>
      <c r="G474" s="133" t="str">
        <f aca="false">IF($A474="","",IFERROR(IF(ISNUMBER($A474),IF($A474&gt;19000000,DATE(INT($A474/10000),MOD(INT($A474/100),100),MOD($A474,100)),INT($A474)),IF(LEN(SUBSTITUTE(SUBSTITUTE(SUBSTITUTE(TRIM($A474),"-",""),".",""),"/",""))=8,DATE(VALUE(LEFT(SUBSTITUTE(SUBSTITUTE(SUBSTITUTE(TRIM($A474),"-",""),".",""),"/",""),4)),VALUE(MID(SUBSTITUTE(SUBSTITUTE(SUBSTITUTE(TRIM($A474),"-",""),".",""),"/",""),5,2)),VALUE(RIGHT(SUBSTITUTE(SUBSTITUTE(SUBSTITUTE(TRIM($A474),"-",""),".",""),"/",""),2))),DATEVALUE($A474))),""))</f>
        <v/>
      </c>
    </row>
    <row r="475" customFormat="false" ht="15" hidden="false" customHeight="false" outlineLevel="0" collapsed="false">
      <c r="A475" s="47"/>
      <c r="B475" s="48"/>
      <c r="C475" s="132"/>
      <c r="D475" s="53"/>
      <c r="E475" s="48"/>
      <c r="F475" s="132"/>
      <c r="G475" s="133" t="str">
        <f aca="false">IF($A475="","",IFERROR(IF(ISNUMBER($A475),IF($A475&gt;19000000,DATE(INT($A475/10000),MOD(INT($A475/100),100),MOD($A475,100)),INT($A475)),IF(LEN(SUBSTITUTE(SUBSTITUTE(SUBSTITUTE(TRIM($A475),"-",""),".",""),"/",""))=8,DATE(VALUE(LEFT(SUBSTITUTE(SUBSTITUTE(SUBSTITUTE(TRIM($A475),"-",""),".",""),"/",""),4)),VALUE(MID(SUBSTITUTE(SUBSTITUTE(SUBSTITUTE(TRIM($A475),"-",""),".",""),"/",""),5,2)),VALUE(RIGHT(SUBSTITUTE(SUBSTITUTE(SUBSTITUTE(TRIM($A475),"-",""),".",""),"/",""),2))),DATEVALUE($A475))),""))</f>
        <v/>
      </c>
    </row>
    <row r="476" customFormat="false" ht="15" hidden="false" customHeight="false" outlineLevel="0" collapsed="false">
      <c r="A476" s="47"/>
      <c r="B476" s="48"/>
      <c r="C476" s="132"/>
      <c r="D476" s="53"/>
      <c r="E476" s="48"/>
      <c r="F476" s="132"/>
      <c r="G476" s="133" t="str">
        <f aca="false">IF($A476="","",IFERROR(IF(ISNUMBER($A476),IF($A476&gt;19000000,DATE(INT($A476/10000),MOD(INT($A476/100),100),MOD($A476,100)),INT($A476)),IF(LEN(SUBSTITUTE(SUBSTITUTE(SUBSTITUTE(TRIM($A476),"-",""),".",""),"/",""))=8,DATE(VALUE(LEFT(SUBSTITUTE(SUBSTITUTE(SUBSTITUTE(TRIM($A476),"-",""),".",""),"/",""),4)),VALUE(MID(SUBSTITUTE(SUBSTITUTE(SUBSTITUTE(TRIM($A476),"-",""),".",""),"/",""),5,2)),VALUE(RIGHT(SUBSTITUTE(SUBSTITUTE(SUBSTITUTE(TRIM($A476),"-",""),".",""),"/",""),2))),DATEVALUE($A476))),""))</f>
        <v/>
      </c>
    </row>
    <row r="477" customFormat="false" ht="15" hidden="false" customHeight="false" outlineLevel="0" collapsed="false">
      <c r="A477" s="47"/>
      <c r="B477" s="48"/>
      <c r="C477" s="132"/>
      <c r="D477" s="53"/>
      <c r="E477" s="48"/>
      <c r="F477" s="132"/>
      <c r="G477" s="133" t="str">
        <f aca="false">IF($A477="","",IFERROR(IF(ISNUMBER($A477),IF($A477&gt;19000000,DATE(INT($A477/10000),MOD(INT($A477/100),100),MOD($A477,100)),INT($A477)),IF(LEN(SUBSTITUTE(SUBSTITUTE(SUBSTITUTE(TRIM($A477),"-",""),".",""),"/",""))=8,DATE(VALUE(LEFT(SUBSTITUTE(SUBSTITUTE(SUBSTITUTE(TRIM($A477),"-",""),".",""),"/",""),4)),VALUE(MID(SUBSTITUTE(SUBSTITUTE(SUBSTITUTE(TRIM($A477),"-",""),".",""),"/",""),5,2)),VALUE(RIGHT(SUBSTITUTE(SUBSTITUTE(SUBSTITUTE(TRIM($A477),"-",""),".",""),"/",""),2))),DATEVALUE($A477))),""))</f>
        <v/>
      </c>
    </row>
    <row r="478" customFormat="false" ht="15" hidden="false" customHeight="false" outlineLevel="0" collapsed="false">
      <c r="A478" s="47"/>
      <c r="B478" s="48"/>
      <c r="C478" s="132"/>
      <c r="D478" s="53"/>
      <c r="E478" s="48"/>
      <c r="F478" s="132"/>
      <c r="G478" s="133" t="str">
        <f aca="false">IF($A478="","",IFERROR(IF(ISNUMBER($A478),IF($A478&gt;19000000,DATE(INT($A478/10000),MOD(INT($A478/100),100),MOD($A478,100)),INT($A478)),IF(LEN(SUBSTITUTE(SUBSTITUTE(SUBSTITUTE(TRIM($A478),"-",""),".",""),"/",""))=8,DATE(VALUE(LEFT(SUBSTITUTE(SUBSTITUTE(SUBSTITUTE(TRIM($A478),"-",""),".",""),"/",""),4)),VALUE(MID(SUBSTITUTE(SUBSTITUTE(SUBSTITUTE(TRIM($A478),"-",""),".",""),"/",""),5,2)),VALUE(RIGHT(SUBSTITUTE(SUBSTITUTE(SUBSTITUTE(TRIM($A478),"-",""),".",""),"/",""),2))),DATEVALUE($A478))),""))</f>
        <v/>
      </c>
    </row>
    <row r="479" customFormat="false" ht="15" hidden="false" customHeight="false" outlineLevel="0" collapsed="false">
      <c r="A479" s="47"/>
      <c r="B479" s="48"/>
      <c r="C479" s="132"/>
      <c r="D479" s="53"/>
      <c r="E479" s="48"/>
      <c r="F479" s="132"/>
      <c r="G479" s="133" t="str">
        <f aca="false">IF($A479="","",IFERROR(IF(ISNUMBER($A479),IF($A479&gt;19000000,DATE(INT($A479/10000),MOD(INT($A479/100),100),MOD($A479,100)),INT($A479)),IF(LEN(SUBSTITUTE(SUBSTITUTE(SUBSTITUTE(TRIM($A479),"-",""),".",""),"/",""))=8,DATE(VALUE(LEFT(SUBSTITUTE(SUBSTITUTE(SUBSTITUTE(TRIM($A479),"-",""),".",""),"/",""),4)),VALUE(MID(SUBSTITUTE(SUBSTITUTE(SUBSTITUTE(TRIM($A479),"-",""),".",""),"/",""),5,2)),VALUE(RIGHT(SUBSTITUTE(SUBSTITUTE(SUBSTITUTE(TRIM($A479),"-",""),".",""),"/",""),2))),DATEVALUE($A479))),""))</f>
        <v/>
      </c>
    </row>
    <row r="480" customFormat="false" ht="15" hidden="false" customHeight="false" outlineLevel="0" collapsed="false">
      <c r="A480" s="47"/>
      <c r="B480" s="48"/>
      <c r="C480" s="132"/>
      <c r="D480" s="53"/>
      <c r="E480" s="48"/>
      <c r="F480" s="132"/>
      <c r="G480" s="133" t="str">
        <f aca="false">IF($A480="","",IFERROR(IF(ISNUMBER($A480),IF($A480&gt;19000000,DATE(INT($A480/10000),MOD(INT($A480/100),100),MOD($A480,100)),INT($A480)),IF(LEN(SUBSTITUTE(SUBSTITUTE(SUBSTITUTE(TRIM($A480),"-",""),".",""),"/",""))=8,DATE(VALUE(LEFT(SUBSTITUTE(SUBSTITUTE(SUBSTITUTE(TRIM($A480),"-",""),".",""),"/",""),4)),VALUE(MID(SUBSTITUTE(SUBSTITUTE(SUBSTITUTE(TRIM($A480),"-",""),".",""),"/",""),5,2)),VALUE(RIGHT(SUBSTITUTE(SUBSTITUTE(SUBSTITUTE(TRIM($A480),"-",""),".",""),"/",""),2))),DATEVALUE($A480))),""))</f>
        <v/>
      </c>
    </row>
    <row r="481" customFormat="false" ht="15" hidden="false" customHeight="false" outlineLevel="0" collapsed="false">
      <c r="A481" s="47"/>
      <c r="B481" s="48"/>
      <c r="C481" s="132"/>
      <c r="D481" s="53"/>
      <c r="E481" s="48"/>
      <c r="F481" s="132"/>
      <c r="G481" s="133" t="str">
        <f aca="false">IF($A481="","",IFERROR(IF(ISNUMBER($A481),IF($A481&gt;19000000,DATE(INT($A481/10000),MOD(INT($A481/100),100),MOD($A481,100)),INT($A481)),IF(LEN(SUBSTITUTE(SUBSTITUTE(SUBSTITUTE(TRIM($A481),"-",""),".",""),"/",""))=8,DATE(VALUE(LEFT(SUBSTITUTE(SUBSTITUTE(SUBSTITUTE(TRIM($A481),"-",""),".",""),"/",""),4)),VALUE(MID(SUBSTITUTE(SUBSTITUTE(SUBSTITUTE(TRIM($A481),"-",""),".",""),"/",""),5,2)),VALUE(RIGHT(SUBSTITUTE(SUBSTITUTE(SUBSTITUTE(TRIM($A481),"-",""),".",""),"/",""),2))),DATEVALUE($A481))),""))</f>
        <v/>
      </c>
    </row>
    <row r="482" customFormat="false" ht="15" hidden="false" customHeight="false" outlineLevel="0" collapsed="false">
      <c r="A482" s="47"/>
      <c r="B482" s="48"/>
      <c r="C482" s="132"/>
      <c r="D482" s="53"/>
      <c r="E482" s="48"/>
      <c r="F482" s="132"/>
      <c r="G482" s="133" t="str">
        <f aca="false">IF($A482="","",IFERROR(IF(ISNUMBER($A482),IF($A482&gt;19000000,DATE(INT($A482/10000),MOD(INT($A482/100),100),MOD($A482,100)),INT($A482)),IF(LEN(SUBSTITUTE(SUBSTITUTE(SUBSTITUTE(TRIM($A482),"-",""),".",""),"/",""))=8,DATE(VALUE(LEFT(SUBSTITUTE(SUBSTITUTE(SUBSTITUTE(TRIM($A482),"-",""),".",""),"/",""),4)),VALUE(MID(SUBSTITUTE(SUBSTITUTE(SUBSTITUTE(TRIM($A482),"-",""),".",""),"/",""),5,2)),VALUE(RIGHT(SUBSTITUTE(SUBSTITUTE(SUBSTITUTE(TRIM($A482),"-",""),".",""),"/",""),2))),DATEVALUE($A482))),""))</f>
        <v/>
      </c>
    </row>
    <row r="483" customFormat="false" ht="15" hidden="false" customHeight="false" outlineLevel="0" collapsed="false">
      <c r="A483" s="47"/>
      <c r="B483" s="48"/>
      <c r="C483" s="132"/>
      <c r="D483" s="53"/>
      <c r="E483" s="48"/>
      <c r="F483" s="132"/>
      <c r="G483" s="133" t="str">
        <f aca="false">IF($A483="","",IFERROR(IF(ISNUMBER($A483),IF($A483&gt;19000000,DATE(INT($A483/10000),MOD(INT($A483/100),100),MOD($A483,100)),INT($A483)),IF(LEN(SUBSTITUTE(SUBSTITUTE(SUBSTITUTE(TRIM($A483),"-",""),".",""),"/",""))=8,DATE(VALUE(LEFT(SUBSTITUTE(SUBSTITUTE(SUBSTITUTE(TRIM($A483),"-",""),".",""),"/",""),4)),VALUE(MID(SUBSTITUTE(SUBSTITUTE(SUBSTITUTE(TRIM($A483),"-",""),".",""),"/",""),5,2)),VALUE(RIGHT(SUBSTITUTE(SUBSTITUTE(SUBSTITUTE(TRIM($A483),"-",""),".",""),"/",""),2))),DATEVALUE($A483))),""))</f>
        <v/>
      </c>
    </row>
    <row r="484" customFormat="false" ht="15" hidden="false" customHeight="false" outlineLevel="0" collapsed="false">
      <c r="A484" s="47"/>
      <c r="B484" s="48"/>
      <c r="C484" s="132"/>
      <c r="D484" s="53"/>
      <c r="E484" s="48"/>
      <c r="F484" s="132"/>
      <c r="G484" s="133" t="str">
        <f aca="false">IF($A484="","",IFERROR(IF(ISNUMBER($A484),IF($A484&gt;19000000,DATE(INT($A484/10000),MOD(INT($A484/100),100),MOD($A484,100)),INT($A484)),IF(LEN(SUBSTITUTE(SUBSTITUTE(SUBSTITUTE(TRIM($A484),"-",""),".",""),"/",""))=8,DATE(VALUE(LEFT(SUBSTITUTE(SUBSTITUTE(SUBSTITUTE(TRIM($A484),"-",""),".",""),"/",""),4)),VALUE(MID(SUBSTITUTE(SUBSTITUTE(SUBSTITUTE(TRIM($A484),"-",""),".",""),"/",""),5,2)),VALUE(RIGHT(SUBSTITUTE(SUBSTITUTE(SUBSTITUTE(TRIM($A484),"-",""),".",""),"/",""),2))),DATEVALUE($A484))),""))</f>
        <v/>
      </c>
    </row>
    <row r="485" customFormat="false" ht="15" hidden="false" customHeight="false" outlineLevel="0" collapsed="false">
      <c r="A485" s="47"/>
      <c r="B485" s="48"/>
      <c r="C485" s="132"/>
      <c r="D485" s="53"/>
      <c r="E485" s="48"/>
      <c r="F485" s="132"/>
      <c r="G485" s="133" t="str">
        <f aca="false">IF($A485="","",IFERROR(IF(ISNUMBER($A485),IF($A485&gt;19000000,DATE(INT($A485/10000),MOD(INT($A485/100),100),MOD($A485,100)),INT($A485)),IF(LEN(SUBSTITUTE(SUBSTITUTE(SUBSTITUTE(TRIM($A485),"-",""),".",""),"/",""))=8,DATE(VALUE(LEFT(SUBSTITUTE(SUBSTITUTE(SUBSTITUTE(TRIM($A485),"-",""),".",""),"/",""),4)),VALUE(MID(SUBSTITUTE(SUBSTITUTE(SUBSTITUTE(TRIM($A485),"-",""),".",""),"/",""),5,2)),VALUE(RIGHT(SUBSTITUTE(SUBSTITUTE(SUBSTITUTE(TRIM($A485),"-",""),".",""),"/",""),2))),DATEVALUE($A485))),""))</f>
        <v/>
      </c>
    </row>
    <row r="486" customFormat="false" ht="15" hidden="false" customHeight="false" outlineLevel="0" collapsed="false">
      <c r="A486" s="47"/>
      <c r="B486" s="48"/>
      <c r="C486" s="132"/>
      <c r="D486" s="53"/>
      <c r="E486" s="48"/>
      <c r="F486" s="132"/>
      <c r="G486" s="133" t="str">
        <f aca="false">IF($A486="","",IFERROR(IF(ISNUMBER($A486),IF($A486&gt;19000000,DATE(INT($A486/10000),MOD(INT($A486/100),100),MOD($A486,100)),INT($A486)),IF(LEN(SUBSTITUTE(SUBSTITUTE(SUBSTITUTE(TRIM($A486),"-",""),".",""),"/",""))=8,DATE(VALUE(LEFT(SUBSTITUTE(SUBSTITUTE(SUBSTITUTE(TRIM($A486),"-",""),".",""),"/",""),4)),VALUE(MID(SUBSTITUTE(SUBSTITUTE(SUBSTITUTE(TRIM($A486),"-",""),".",""),"/",""),5,2)),VALUE(RIGHT(SUBSTITUTE(SUBSTITUTE(SUBSTITUTE(TRIM($A486),"-",""),".",""),"/",""),2))),DATEVALUE($A486))),""))</f>
        <v/>
      </c>
    </row>
    <row r="487" customFormat="false" ht="15" hidden="false" customHeight="false" outlineLevel="0" collapsed="false">
      <c r="A487" s="47"/>
      <c r="B487" s="48"/>
      <c r="C487" s="132"/>
      <c r="D487" s="53"/>
      <c r="E487" s="48"/>
      <c r="F487" s="132"/>
      <c r="G487" s="133" t="str">
        <f aca="false">IF($A487="","",IFERROR(IF(ISNUMBER($A487),IF($A487&gt;19000000,DATE(INT($A487/10000),MOD(INT($A487/100),100),MOD($A487,100)),INT($A487)),IF(LEN(SUBSTITUTE(SUBSTITUTE(SUBSTITUTE(TRIM($A487),"-",""),".",""),"/",""))=8,DATE(VALUE(LEFT(SUBSTITUTE(SUBSTITUTE(SUBSTITUTE(TRIM($A487),"-",""),".",""),"/",""),4)),VALUE(MID(SUBSTITUTE(SUBSTITUTE(SUBSTITUTE(TRIM($A487),"-",""),".",""),"/",""),5,2)),VALUE(RIGHT(SUBSTITUTE(SUBSTITUTE(SUBSTITUTE(TRIM($A487),"-",""),".",""),"/",""),2))),DATEVALUE($A487))),""))</f>
        <v/>
      </c>
    </row>
    <row r="488" customFormat="false" ht="15" hidden="false" customHeight="false" outlineLevel="0" collapsed="false">
      <c r="A488" s="47"/>
      <c r="B488" s="48"/>
      <c r="C488" s="132"/>
      <c r="D488" s="53"/>
      <c r="E488" s="48"/>
      <c r="F488" s="132"/>
      <c r="G488" s="133" t="str">
        <f aca="false">IF($A488="","",IFERROR(IF(ISNUMBER($A488),IF($A488&gt;19000000,DATE(INT($A488/10000),MOD(INT($A488/100),100),MOD($A488,100)),INT($A488)),IF(LEN(SUBSTITUTE(SUBSTITUTE(SUBSTITUTE(TRIM($A488),"-",""),".",""),"/",""))=8,DATE(VALUE(LEFT(SUBSTITUTE(SUBSTITUTE(SUBSTITUTE(TRIM($A488),"-",""),".",""),"/",""),4)),VALUE(MID(SUBSTITUTE(SUBSTITUTE(SUBSTITUTE(TRIM($A488),"-",""),".",""),"/",""),5,2)),VALUE(RIGHT(SUBSTITUTE(SUBSTITUTE(SUBSTITUTE(TRIM($A488),"-",""),".",""),"/",""),2))),DATEVALUE($A488))),""))</f>
        <v/>
      </c>
    </row>
    <row r="489" customFormat="false" ht="15" hidden="false" customHeight="false" outlineLevel="0" collapsed="false">
      <c r="A489" s="47"/>
      <c r="B489" s="48"/>
      <c r="C489" s="132"/>
      <c r="D489" s="53"/>
      <c r="E489" s="48"/>
      <c r="F489" s="132"/>
      <c r="G489" s="133" t="str">
        <f aca="false">IF($A489="","",IFERROR(IF(ISNUMBER($A489),IF($A489&gt;19000000,DATE(INT($A489/10000),MOD(INT($A489/100),100),MOD($A489,100)),INT($A489)),IF(LEN(SUBSTITUTE(SUBSTITUTE(SUBSTITUTE(TRIM($A489),"-",""),".",""),"/",""))=8,DATE(VALUE(LEFT(SUBSTITUTE(SUBSTITUTE(SUBSTITUTE(TRIM($A489),"-",""),".",""),"/",""),4)),VALUE(MID(SUBSTITUTE(SUBSTITUTE(SUBSTITUTE(TRIM($A489),"-",""),".",""),"/",""),5,2)),VALUE(RIGHT(SUBSTITUTE(SUBSTITUTE(SUBSTITUTE(TRIM($A489),"-",""),".",""),"/",""),2))),DATEVALUE($A489))),""))</f>
        <v/>
      </c>
    </row>
    <row r="490" customFormat="false" ht="15" hidden="false" customHeight="false" outlineLevel="0" collapsed="false">
      <c r="A490" s="47"/>
      <c r="B490" s="48"/>
      <c r="C490" s="132"/>
      <c r="D490" s="53"/>
      <c r="E490" s="48"/>
      <c r="F490" s="132"/>
      <c r="G490" s="133" t="str">
        <f aca="false">IF($A490="","",IFERROR(IF(ISNUMBER($A490),IF($A490&gt;19000000,DATE(INT($A490/10000),MOD(INT($A490/100),100),MOD($A490,100)),INT($A490)),IF(LEN(SUBSTITUTE(SUBSTITUTE(SUBSTITUTE(TRIM($A490),"-",""),".",""),"/",""))=8,DATE(VALUE(LEFT(SUBSTITUTE(SUBSTITUTE(SUBSTITUTE(TRIM($A490),"-",""),".",""),"/",""),4)),VALUE(MID(SUBSTITUTE(SUBSTITUTE(SUBSTITUTE(TRIM($A490),"-",""),".",""),"/",""),5,2)),VALUE(RIGHT(SUBSTITUTE(SUBSTITUTE(SUBSTITUTE(TRIM($A490),"-",""),".",""),"/",""),2))),DATEVALUE($A490))),""))</f>
        <v/>
      </c>
    </row>
    <row r="491" customFormat="false" ht="15" hidden="false" customHeight="false" outlineLevel="0" collapsed="false">
      <c r="A491" s="47"/>
      <c r="B491" s="48"/>
      <c r="C491" s="132"/>
      <c r="D491" s="53"/>
      <c r="E491" s="48"/>
      <c r="F491" s="132"/>
      <c r="G491" s="133" t="str">
        <f aca="false">IF($A491="","",IFERROR(IF(ISNUMBER($A491),IF($A491&gt;19000000,DATE(INT($A491/10000),MOD(INT($A491/100),100),MOD($A491,100)),INT($A491)),IF(LEN(SUBSTITUTE(SUBSTITUTE(SUBSTITUTE(TRIM($A491),"-",""),".",""),"/",""))=8,DATE(VALUE(LEFT(SUBSTITUTE(SUBSTITUTE(SUBSTITUTE(TRIM($A491),"-",""),".",""),"/",""),4)),VALUE(MID(SUBSTITUTE(SUBSTITUTE(SUBSTITUTE(TRIM($A491),"-",""),".",""),"/",""),5,2)),VALUE(RIGHT(SUBSTITUTE(SUBSTITUTE(SUBSTITUTE(TRIM($A491),"-",""),".",""),"/",""),2))),DATEVALUE($A491))),""))</f>
        <v/>
      </c>
    </row>
    <row r="492" customFormat="false" ht="15" hidden="false" customHeight="false" outlineLevel="0" collapsed="false">
      <c r="A492" s="47"/>
      <c r="B492" s="48"/>
      <c r="C492" s="132"/>
      <c r="D492" s="53"/>
      <c r="E492" s="48"/>
      <c r="F492" s="132"/>
      <c r="G492" s="133" t="str">
        <f aca="false">IF($A492="","",IFERROR(IF(ISNUMBER($A492),IF($A492&gt;19000000,DATE(INT($A492/10000),MOD(INT($A492/100),100),MOD($A492,100)),INT($A492)),IF(LEN(SUBSTITUTE(SUBSTITUTE(SUBSTITUTE(TRIM($A492),"-",""),".",""),"/",""))=8,DATE(VALUE(LEFT(SUBSTITUTE(SUBSTITUTE(SUBSTITUTE(TRIM($A492),"-",""),".",""),"/",""),4)),VALUE(MID(SUBSTITUTE(SUBSTITUTE(SUBSTITUTE(TRIM($A492),"-",""),".",""),"/",""),5,2)),VALUE(RIGHT(SUBSTITUTE(SUBSTITUTE(SUBSTITUTE(TRIM($A492),"-",""),".",""),"/",""),2))),DATEVALUE($A492))),""))</f>
        <v/>
      </c>
    </row>
    <row r="493" customFormat="false" ht="15" hidden="false" customHeight="false" outlineLevel="0" collapsed="false">
      <c r="A493" s="47"/>
      <c r="B493" s="48"/>
      <c r="C493" s="132"/>
      <c r="D493" s="53"/>
      <c r="E493" s="48"/>
      <c r="F493" s="132"/>
      <c r="G493" s="133" t="str">
        <f aca="false">IF($A493="","",IFERROR(IF(ISNUMBER($A493),IF($A493&gt;19000000,DATE(INT($A493/10000),MOD(INT($A493/100),100),MOD($A493,100)),INT($A493)),IF(LEN(SUBSTITUTE(SUBSTITUTE(SUBSTITUTE(TRIM($A493),"-",""),".",""),"/",""))=8,DATE(VALUE(LEFT(SUBSTITUTE(SUBSTITUTE(SUBSTITUTE(TRIM($A493),"-",""),".",""),"/",""),4)),VALUE(MID(SUBSTITUTE(SUBSTITUTE(SUBSTITUTE(TRIM($A493),"-",""),".",""),"/",""),5,2)),VALUE(RIGHT(SUBSTITUTE(SUBSTITUTE(SUBSTITUTE(TRIM($A493),"-",""),".",""),"/",""),2))),DATEVALUE($A493))),""))</f>
        <v/>
      </c>
    </row>
    <row r="494" customFormat="false" ht="15" hidden="false" customHeight="false" outlineLevel="0" collapsed="false">
      <c r="A494" s="47"/>
      <c r="B494" s="48"/>
      <c r="C494" s="132"/>
      <c r="D494" s="53"/>
      <c r="E494" s="48"/>
      <c r="F494" s="132"/>
      <c r="G494" s="133" t="str">
        <f aca="false">IF($A494="","",IFERROR(IF(ISNUMBER($A494),IF($A494&gt;19000000,DATE(INT($A494/10000),MOD(INT($A494/100),100),MOD($A494,100)),INT($A494)),IF(LEN(SUBSTITUTE(SUBSTITUTE(SUBSTITUTE(TRIM($A494),"-",""),".",""),"/",""))=8,DATE(VALUE(LEFT(SUBSTITUTE(SUBSTITUTE(SUBSTITUTE(TRIM($A494),"-",""),".",""),"/",""),4)),VALUE(MID(SUBSTITUTE(SUBSTITUTE(SUBSTITUTE(TRIM($A494),"-",""),".",""),"/",""),5,2)),VALUE(RIGHT(SUBSTITUTE(SUBSTITUTE(SUBSTITUTE(TRIM($A494),"-",""),".",""),"/",""),2))),DATEVALUE($A494))),""))</f>
        <v/>
      </c>
    </row>
    <row r="495" customFormat="false" ht="15" hidden="false" customHeight="false" outlineLevel="0" collapsed="false">
      <c r="A495" s="47"/>
      <c r="B495" s="48"/>
      <c r="C495" s="132"/>
      <c r="D495" s="53"/>
      <c r="E495" s="48"/>
      <c r="F495" s="132"/>
      <c r="G495" s="133" t="str">
        <f aca="false">IF($A495="","",IFERROR(IF(ISNUMBER($A495),IF($A495&gt;19000000,DATE(INT($A495/10000),MOD(INT($A495/100),100),MOD($A495,100)),INT($A495)),IF(LEN(SUBSTITUTE(SUBSTITUTE(SUBSTITUTE(TRIM($A495),"-",""),".",""),"/",""))=8,DATE(VALUE(LEFT(SUBSTITUTE(SUBSTITUTE(SUBSTITUTE(TRIM($A495),"-",""),".",""),"/",""),4)),VALUE(MID(SUBSTITUTE(SUBSTITUTE(SUBSTITUTE(TRIM($A495),"-",""),".",""),"/",""),5,2)),VALUE(RIGHT(SUBSTITUTE(SUBSTITUTE(SUBSTITUTE(TRIM($A495),"-",""),".",""),"/",""),2))),DATEVALUE($A495))),""))</f>
        <v/>
      </c>
    </row>
    <row r="496" customFormat="false" ht="15" hidden="false" customHeight="false" outlineLevel="0" collapsed="false">
      <c r="A496" s="47"/>
      <c r="B496" s="48"/>
      <c r="C496" s="132"/>
      <c r="D496" s="53"/>
      <c r="E496" s="48"/>
      <c r="F496" s="132"/>
      <c r="G496" s="133" t="str">
        <f aca="false">IF($A496="","",IFERROR(IF(ISNUMBER($A496),IF($A496&gt;19000000,DATE(INT($A496/10000),MOD(INT($A496/100),100),MOD($A496,100)),INT($A496)),IF(LEN(SUBSTITUTE(SUBSTITUTE(SUBSTITUTE(TRIM($A496),"-",""),".",""),"/",""))=8,DATE(VALUE(LEFT(SUBSTITUTE(SUBSTITUTE(SUBSTITUTE(TRIM($A496),"-",""),".",""),"/",""),4)),VALUE(MID(SUBSTITUTE(SUBSTITUTE(SUBSTITUTE(TRIM($A496),"-",""),".",""),"/",""),5,2)),VALUE(RIGHT(SUBSTITUTE(SUBSTITUTE(SUBSTITUTE(TRIM($A496),"-",""),".",""),"/",""),2))),DATEVALUE($A496))),""))</f>
        <v/>
      </c>
    </row>
    <row r="497" customFormat="false" ht="15" hidden="false" customHeight="false" outlineLevel="0" collapsed="false">
      <c r="A497" s="47"/>
      <c r="B497" s="48"/>
      <c r="C497" s="132"/>
      <c r="D497" s="53"/>
      <c r="E497" s="48"/>
      <c r="F497" s="132"/>
      <c r="G497" s="133" t="str">
        <f aca="false">IF($A497="","",IFERROR(IF(ISNUMBER($A497),IF($A497&gt;19000000,DATE(INT($A497/10000),MOD(INT($A497/100),100),MOD($A497,100)),INT($A497)),IF(LEN(SUBSTITUTE(SUBSTITUTE(SUBSTITUTE(TRIM($A497),"-",""),".",""),"/",""))=8,DATE(VALUE(LEFT(SUBSTITUTE(SUBSTITUTE(SUBSTITUTE(TRIM($A497),"-",""),".",""),"/",""),4)),VALUE(MID(SUBSTITUTE(SUBSTITUTE(SUBSTITUTE(TRIM($A497),"-",""),".",""),"/",""),5,2)),VALUE(RIGHT(SUBSTITUTE(SUBSTITUTE(SUBSTITUTE(TRIM($A497),"-",""),".",""),"/",""),2))),DATEVALUE($A497))),""))</f>
        <v/>
      </c>
    </row>
    <row r="498" customFormat="false" ht="15" hidden="false" customHeight="false" outlineLevel="0" collapsed="false">
      <c r="A498" s="47"/>
      <c r="B498" s="48"/>
      <c r="C498" s="132"/>
      <c r="D498" s="53"/>
      <c r="E498" s="48"/>
      <c r="F498" s="132"/>
      <c r="G498" s="133" t="str">
        <f aca="false">IF($A498="","",IFERROR(IF(ISNUMBER($A498),IF($A498&gt;19000000,DATE(INT($A498/10000),MOD(INT($A498/100),100),MOD($A498,100)),INT($A498)),IF(LEN(SUBSTITUTE(SUBSTITUTE(SUBSTITUTE(TRIM($A498),"-",""),".",""),"/",""))=8,DATE(VALUE(LEFT(SUBSTITUTE(SUBSTITUTE(SUBSTITUTE(TRIM($A498),"-",""),".",""),"/",""),4)),VALUE(MID(SUBSTITUTE(SUBSTITUTE(SUBSTITUTE(TRIM($A498),"-",""),".",""),"/",""),5,2)),VALUE(RIGHT(SUBSTITUTE(SUBSTITUTE(SUBSTITUTE(TRIM($A498),"-",""),".",""),"/",""),2))),DATEVALUE($A498))),""))</f>
        <v/>
      </c>
    </row>
    <row r="499" customFormat="false" ht="15" hidden="false" customHeight="false" outlineLevel="0" collapsed="false">
      <c r="A499" s="47"/>
      <c r="B499" s="48"/>
      <c r="C499" s="132"/>
      <c r="D499" s="53"/>
      <c r="E499" s="48"/>
      <c r="F499" s="132"/>
      <c r="G499" s="133" t="str">
        <f aca="false">IF($A499="","",IFERROR(IF(ISNUMBER($A499),IF($A499&gt;19000000,DATE(INT($A499/10000),MOD(INT($A499/100),100),MOD($A499,100)),INT($A499)),IF(LEN(SUBSTITUTE(SUBSTITUTE(SUBSTITUTE(TRIM($A499),"-",""),".",""),"/",""))=8,DATE(VALUE(LEFT(SUBSTITUTE(SUBSTITUTE(SUBSTITUTE(TRIM($A499),"-",""),".",""),"/",""),4)),VALUE(MID(SUBSTITUTE(SUBSTITUTE(SUBSTITUTE(TRIM($A499),"-",""),".",""),"/",""),5,2)),VALUE(RIGHT(SUBSTITUTE(SUBSTITUTE(SUBSTITUTE(TRIM($A499),"-",""),".",""),"/",""),2))),DATEVALUE($A499))),""))</f>
        <v/>
      </c>
    </row>
    <row r="500" customFormat="false" ht="15" hidden="false" customHeight="false" outlineLevel="0" collapsed="false">
      <c r="A500" s="47"/>
      <c r="B500" s="48"/>
      <c r="C500" s="132"/>
      <c r="D500" s="53"/>
      <c r="E500" s="48"/>
      <c r="F500" s="132"/>
      <c r="G500" s="133" t="str">
        <f aca="false">IF($A500="","",IFERROR(IF(ISNUMBER($A500),IF($A500&gt;19000000,DATE(INT($A500/10000),MOD(INT($A500/100),100),MOD($A500,100)),INT($A500)),IF(LEN(SUBSTITUTE(SUBSTITUTE(SUBSTITUTE(TRIM($A500),"-",""),".",""),"/",""))=8,DATE(VALUE(LEFT(SUBSTITUTE(SUBSTITUTE(SUBSTITUTE(TRIM($A500),"-",""),".",""),"/",""),4)),VALUE(MID(SUBSTITUTE(SUBSTITUTE(SUBSTITUTE(TRIM($A500),"-",""),".",""),"/",""),5,2)),VALUE(RIGHT(SUBSTITUTE(SUBSTITUTE(SUBSTITUTE(TRIM($A500),"-",""),".",""),"/",""),2))),DATEVALUE($A500))),""))</f>
        <v/>
      </c>
    </row>
    <row r="501" customFormat="false" ht="15" hidden="false" customHeight="false" outlineLevel="0" collapsed="false">
      <c r="A501" s="47"/>
      <c r="B501" s="48"/>
      <c r="C501" s="132"/>
      <c r="D501" s="53"/>
      <c r="E501" s="48"/>
      <c r="F501" s="132"/>
      <c r="G501" s="133" t="str">
        <f aca="false">IF($A501="","",IFERROR(IF(ISNUMBER($A501),IF($A501&gt;19000000,DATE(INT($A501/10000),MOD(INT($A501/100),100),MOD($A501,100)),INT($A501)),IF(LEN(SUBSTITUTE(SUBSTITUTE(SUBSTITUTE(TRIM($A501),"-",""),".",""),"/",""))=8,DATE(VALUE(LEFT(SUBSTITUTE(SUBSTITUTE(SUBSTITUTE(TRIM($A501),"-",""),".",""),"/",""),4)),VALUE(MID(SUBSTITUTE(SUBSTITUTE(SUBSTITUTE(TRIM($A501),"-",""),".",""),"/",""),5,2)),VALUE(RIGHT(SUBSTITUTE(SUBSTITUTE(SUBSTITUTE(TRIM($A501),"-",""),".",""),"/",""),2))),DATEVALUE($A501))),""))</f>
        <v/>
      </c>
    </row>
    <row r="502" customFormat="false" ht="15" hidden="false" customHeight="false" outlineLevel="0" collapsed="false">
      <c r="A502" s="47"/>
      <c r="B502" s="48"/>
      <c r="C502" s="132"/>
      <c r="D502" s="53"/>
      <c r="E502" s="48"/>
      <c r="F502" s="132"/>
      <c r="G502" s="133" t="str">
        <f aca="false">IF($A502="","",IFERROR(IF(ISNUMBER($A502),IF($A502&gt;19000000,DATE(INT($A502/10000),MOD(INT($A502/100),100),MOD($A502,100)),INT($A502)),IF(LEN(SUBSTITUTE(SUBSTITUTE(SUBSTITUTE(TRIM($A502),"-",""),".",""),"/",""))=8,DATE(VALUE(LEFT(SUBSTITUTE(SUBSTITUTE(SUBSTITUTE(TRIM($A502),"-",""),".",""),"/",""),4)),VALUE(MID(SUBSTITUTE(SUBSTITUTE(SUBSTITUTE(TRIM($A502),"-",""),".",""),"/",""),5,2)),VALUE(RIGHT(SUBSTITUTE(SUBSTITUTE(SUBSTITUTE(TRIM($A502),"-",""),".",""),"/",""),2))),DATEVALUE($A502))),""))</f>
        <v/>
      </c>
    </row>
    <row r="503" customFormat="false" ht="15" hidden="false" customHeight="false" outlineLevel="0" collapsed="false">
      <c r="A503" s="47"/>
      <c r="B503" s="48"/>
      <c r="C503" s="132"/>
      <c r="D503" s="53"/>
      <c r="E503" s="48"/>
      <c r="F503" s="132"/>
      <c r="G503" s="133" t="str">
        <f aca="false">IF($A503="","",IFERROR(IF(ISNUMBER($A503),IF($A503&gt;19000000,DATE(INT($A503/10000),MOD(INT($A503/100),100),MOD($A503,100)),INT($A503)),IF(LEN(SUBSTITUTE(SUBSTITUTE(SUBSTITUTE(TRIM($A503),"-",""),".",""),"/",""))=8,DATE(VALUE(LEFT(SUBSTITUTE(SUBSTITUTE(SUBSTITUTE(TRIM($A503),"-",""),".",""),"/",""),4)),VALUE(MID(SUBSTITUTE(SUBSTITUTE(SUBSTITUTE(TRIM($A503),"-",""),".",""),"/",""),5,2)),VALUE(RIGHT(SUBSTITUTE(SUBSTITUTE(SUBSTITUTE(TRIM($A503),"-",""),".",""),"/",""),2))),DATEVALUE($A503))),""))</f>
        <v/>
      </c>
    </row>
  </sheetData>
  <mergeCells count="2">
    <mergeCell ref="A1:F1"/>
    <mergeCell ref="A2:F2"/>
  </mergeCells>
  <conditionalFormatting sqref="A4:A503">
    <cfRule type="expression" priority="2" aboveAverage="0" equalAverage="0" bottom="0" percent="0" rank="0" text="" dxfId="14">
      <formula>AND($A4&lt;&gt;"",$G4="")</formula>
    </cfRule>
  </conditionalFormatting>
  <dataValidations count="2">
    <dataValidation allowBlank="true" errorStyle="stop" operator="between" showDropDown="false" showErrorMessage="true" showInputMessage="false" sqref="B4:B503" type="list">
      <formula1>설정!$D$4:$D$6</formula1>
      <formula2>0</formula2>
    </dataValidation>
    <dataValidation allowBlank="true" errorStyle="stop" operator="between" showDropDown="false" showErrorMessage="true" showInputMessage="false" sqref="E4:E503" type="list">
      <formula1>설정!$B$4:$B$15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99A8"/>
    <pageSetUpPr fitToPage="false"/>
  </sheetPr>
  <dimension ref="A1:N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7" min="7" style="0" width="24"/>
    <col collapsed="false" customWidth="true" hidden="true" outlineLevel="0" max="9" min="8" style="0" width="13"/>
    <col collapsed="false" customWidth="true" hidden="false" outlineLevel="0" max="14" min="10" style="0" width="14"/>
  </cols>
  <sheetData>
    <row r="1" customFormat="false" ht="19.4" hidden="false" customHeight="true" outlineLevel="0" collapsed="false">
      <c r="A1" s="131" t="s">
        <v>147</v>
      </c>
      <c r="B1" s="131"/>
      <c r="C1" s="131"/>
      <c r="D1" s="131"/>
      <c r="E1" s="131"/>
      <c r="F1" s="131"/>
      <c r="G1" s="131"/>
    </row>
    <row r="2" customFormat="false" ht="25.35" hidden="false" customHeight="true" outlineLevel="0" collapsed="false">
      <c r="A2" s="40" t="s">
        <v>148</v>
      </c>
      <c r="B2" s="40"/>
      <c r="C2" s="40"/>
      <c r="D2" s="40"/>
      <c r="E2" s="40"/>
      <c r="F2" s="40"/>
      <c r="G2" s="40"/>
    </row>
    <row r="3" customFormat="false" ht="16.4" hidden="false" customHeight="true" outlineLevel="0" collapsed="false">
      <c r="A3" s="42" t="s">
        <v>123</v>
      </c>
      <c r="B3" s="42" t="s">
        <v>106</v>
      </c>
      <c r="C3" s="42" t="s">
        <v>50</v>
      </c>
      <c r="D3" s="42" t="s">
        <v>149</v>
      </c>
      <c r="E3" s="42" t="s">
        <v>150</v>
      </c>
      <c r="F3" s="42" t="s">
        <v>151</v>
      </c>
      <c r="G3" s="42" t="s">
        <v>145</v>
      </c>
      <c r="J3" s="134" t="s">
        <v>152</v>
      </c>
      <c r="K3" s="134"/>
      <c r="L3" s="134"/>
      <c r="M3" s="134"/>
      <c r="N3" s="134"/>
    </row>
    <row r="4" customFormat="false" ht="19.5" hidden="false" customHeight="true" outlineLevel="0" collapsed="false">
      <c r="A4" s="114" t="s">
        <v>80</v>
      </c>
      <c r="B4" s="114" t="s">
        <v>153</v>
      </c>
      <c r="C4" s="114"/>
      <c r="D4" s="135" t="n">
        <v>20000</v>
      </c>
      <c r="E4" s="114" t="s">
        <v>154</v>
      </c>
      <c r="F4" s="114" t="s">
        <v>155</v>
      </c>
      <c r="G4" s="136"/>
      <c r="H4" s="121" t="n">
        <f aca="false">IF(AND($A4&lt;&gt;"",ISERROR(SEARCH("퇴사",$G4))),1,0)</f>
        <v>1</v>
      </c>
      <c r="I4" s="121" t="n">
        <f aca="false">IF($H4=1,SUM($H$4:$H4),"")</f>
        <v>1</v>
      </c>
      <c r="J4" s="137" t="s">
        <v>156</v>
      </c>
      <c r="K4" s="137"/>
      <c r="L4" s="137"/>
      <c r="M4" s="137"/>
      <c r="N4" s="137"/>
    </row>
    <row r="5" customFormat="false" ht="15" hidden="false" customHeight="false" outlineLevel="0" collapsed="false">
      <c r="A5" s="114" t="s">
        <v>157</v>
      </c>
      <c r="B5" s="114" t="s">
        <v>153</v>
      </c>
      <c r="C5" s="114"/>
      <c r="D5" s="135" t="n">
        <v>20000</v>
      </c>
      <c r="E5" s="114" t="s">
        <v>154</v>
      </c>
      <c r="F5" s="114" t="s">
        <v>155</v>
      </c>
      <c r="G5" s="136"/>
      <c r="H5" s="121" t="n">
        <f aca="false">IF(AND($A5&lt;&gt;"",ISERROR(SEARCH("퇴사",$G5))),1,0)</f>
        <v>1</v>
      </c>
      <c r="I5" s="121" t="n">
        <f aca="false">IF($H5=1,SUM($H$4:$H5),"")</f>
        <v>2</v>
      </c>
      <c r="J5" s="137"/>
      <c r="K5" s="137"/>
      <c r="L5" s="137"/>
      <c r="M5" s="137"/>
      <c r="N5" s="137"/>
    </row>
    <row r="6" customFormat="false" ht="15" hidden="false" customHeight="false" outlineLevel="0" collapsed="false">
      <c r="A6" s="114" t="s">
        <v>158</v>
      </c>
      <c r="B6" s="114" t="s">
        <v>153</v>
      </c>
      <c r="C6" s="114"/>
      <c r="D6" s="135" t="n">
        <v>20000</v>
      </c>
      <c r="E6" s="114" t="s">
        <v>154</v>
      </c>
      <c r="F6" s="114" t="s">
        <v>155</v>
      </c>
      <c r="G6" s="136"/>
      <c r="H6" s="121" t="n">
        <f aca="false">IF(AND($A6&lt;&gt;"",ISERROR(SEARCH("퇴사",$G6))),1,0)</f>
        <v>1</v>
      </c>
      <c r="I6" s="121" t="n">
        <f aca="false">IF($H6=1,SUM($H$4:$H6),"")</f>
        <v>3</v>
      </c>
      <c r="J6" s="137"/>
      <c r="K6" s="137"/>
      <c r="L6" s="137"/>
      <c r="M6" s="137"/>
      <c r="N6" s="137"/>
    </row>
    <row r="7" customFormat="false" ht="15" hidden="false" customHeight="false" outlineLevel="0" collapsed="false">
      <c r="A7" s="114" t="s">
        <v>159</v>
      </c>
      <c r="B7" s="114" t="s">
        <v>153</v>
      </c>
      <c r="C7" s="114"/>
      <c r="D7" s="135" t="n">
        <v>20000</v>
      </c>
      <c r="E7" s="114" t="s">
        <v>154</v>
      </c>
      <c r="F7" s="114" t="s">
        <v>155</v>
      </c>
      <c r="G7" s="136"/>
      <c r="H7" s="121" t="n">
        <f aca="false">IF(AND($A7&lt;&gt;"",ISERROR(SEARCH("퇴사",$G7))),1,0)</f>
        <v>1</v>
      </c>
      <c r="I7" s="121" t="n">
        <f aca="false">IF($H7=1,SUM($H$4:$H7),"")</f>
        <v>4</v>
      </c>
      <c r="J7" s="137"/>
      <c r="K7" s="137"/>
      <c r="L7" s="137"/>
      <c r="M7" s="137"/>
      <c r="N7" s="137"/>
    </row>
    <row r="8" customFormat="false" ht="15" hidden="false" customHeight="false" outlineLevel="0" collapsed="false">
      <c r="A8" s="114" t="s">
        <v>83</v>
      </c>
      <c r="B8" s="114" t="s">
        <v>153</v>
      </c>
      <c r="C8" s="114"/>
      <c r="D8" s="135" t="n">
        <v>20000</v>
      </c>
      <c r="E8" s="114" t="s">
        <v>154</v>
      </c>
      <c r="F8" s="114" t="s">
        <v>155</v>
      </c>
      <c r="G8" s="136"/>
      <c r="H8" s="121" t="n">
        <f aca="false">IF(AND($A8&lt;&gt;"",ISERROR(SEARCH("퇴사",$G8))),1,0)</f>
        <v>1</v>
      </c>
      <c r="I8" s="121" t="n">
        <f aca="false">IF($H8=1,SUM($H$4:$H8),"")</f>
        <v>5</v>
      </c>
      <c r="J8" s="137"/>
      <c r="K8" s="137"/>
      <c r="L8" s="137"/>
      <c r="M8" s="137"/>
      <c r="N8" s="137"/>
    </row>
    <row r="9" customFormat="false" ht="15" hidden="false" customHeight="false" outlineLevel="0" collapsed="false">
      <c r="A9" s="114" t="s">
        <v>160</v>
      </c>
      <c r="B9" s="114" t="s">
        <v>161</v>
      </c>
      <c r="C9" s="114"/>
      <c r="D9" s="135" t="n">
        <v>20000</v>
      </c>
      <c r="E9" s="114" t="s">
        <v>154</v>
      </c>
      <c r="F9" s="114" t="s">
        <v>162</v>
      </c>
      <c r="G9" s="138" t="s">
        <v>163</v>
      </c>
      <c r="H9" s="121" t="n">
        <f aca="false">IF(AND($A9&lt;&gt;"",ISERROR(SEARCH("퇴사",$G9))),1,0)</f>
        <v>1</v>
      </c>
      <c r="I9" s="121" t="n">
        <f aca="false">IF($H9=1,SUM($H$4:$H9),"")</f>
        <v>6</v>
      </c>
      <c r="J9" s="137"/>
      <c r="K9" s="137"/>
      <c r="L9" s="137"/>
      <c r="M9" s="137"/>
      <c r="N9" s="137"/>
    </row>
    <row r="10" customFormat="false" ht="15" hidden="false" customHeight="false" outlineLevel="0" collapsed="false">
      <c r="A10" s="114" t="s">
        <v>164</v>
      </c>
      <c r="B10" s="114" t="s">
        <v>161</v>
      </c>
      <c r="C10" s="114"/>
      <c r="D10" s="135" t="n">
        <v>20000</v>
      </c>
      <c r="E10" s="114" t="s">
        <v>154</v>
      </c>
      <c r="F10" s="114" t="s">
        <v>162</v>
      </c>
      <c r="G10" s="138" t="s">
        <v>163</v>
      </c>
      <c r="H10" s="121" t="n">
        <f aca="false">IF(AND($A10&lt;&gt;"",ISERROR(SEARCH("퇴사",$G10))),1,0)</f>
        <v>1</v>
      </c>
      <c r="I10" s="121" t="n">
        <f aca="false">IF($H10=1,SUM($H$4:$H10),"")</f>
        <v>7</v>
      </c>
    </row>
    <row r="11" customFormat="false" ht="15" hidden="false" customHeight="false" outlineLevel="0" collapsed="false">
      <c r="A11" s="114"/>
      <c r="B11" s="114"/>
      <c r="C11" s="114"/>
      <c r="D11" s="135"/>
      <c r="E11" s="114"/>
      <c r="F11" s="114"/>
      <c r="G11" s="136"/>
      <c r="H11" s="121" t="n">
        <f aca="false">IF(AND($A11&lt;&gt;"",ISERROR(SEARCH("퇴사",$G11))),1,0)</f>
        <v>0</v>
      </c>
      <c r="I11" s="0" t="str">
        <f aca="false">IF($H11=1,SUM($H$4:$H11),"")</f>
        <v/>
      </c>
    </row>
    <row r="12" customFormat="false" ht="15" hidden="false" customHeight="false" outlineLevel="0" collapsed="false">
      <c r="A12" s="114"/>
      <c r="B12" s="114"/>
      <c r="C12" s="114"/>
      <c r="D12" s="135"/>
      <c r="E12" s="114"/>
      <c r="F12" s="114"/>
      <c r="G12" s="136"/>
      <c r="H12" s="121" t="n">
        <f aca="false">IF(AND($A12&lt;&gt;"",ISERROR(SEARCH("퇴사",$G12))),1,0)</f>
        <v>0</v>
      </c>
      <c r="I12" s="0" t="str">
        <f aca="false">IF($H12=1,SUM($H$4:$H12),"")</f>
        <v/>
      </c>
    </row>
    <row r="13" customFormat="false" ht="15" hidden="false" customHeight="false" outlineLevel="0" collapsed="false">
      <c r="A13" s="114"/>
      <c r="B13" s="114"/>
      <c r="C13" s="114"/>
      <c r="D13" s="135"/>
      <c r="E13" s="114"/>
      <c r="F13" s="114"/>
      <c r="G13" s="136"/>
      <c r="H13" s="121" t="n">
        <f aca="false">IF(AND($A13&lt;&gt;"",ISERROR(SEARCH("퇴사",$G13))),1,0)</f>
        <v>0</v>
      </c>
      <c r="I13" s="0" t="str">
        <f aca="false">IF($H13=1,SUM($H$4:$H13),"")</f>
        <v/>
      </c>
    </row>
    <row r="14" customFormat="false" ht="15" hidden="false" customHeight="false" outlineLevel="0" collapsed="false">
      <c r="A14" s="114"/>
      <c r="B14" s="114"/>
      <c r="C14" s="114"/>
      <c r="D14" s="135"/>
      <c r="E14" s="114"/>
      <c r="F14" s="114"/>
      <c r="G14" s="136"/>
      <c r="H14" s="121" t="n">
        <f aca="false">IF(AND($A14&lt;&gt;"",ISERROR(SEARCH("퇴사",$G14))),1,0)</f>
        <v>0</v>
      </c>
      <c r="I14" s="0" t="str">
        <f aca="false">IF($H14=1,SUM($H$4:$H14),"")</f>
        <v/>
      </c>
    </row>
    <row r="15" customFormat="false" ht="15" hidden="false" customHeight="false" outlineLevel="0" collapsed="false">
      <c r="A15" s="114"/>
      <c r="B15" s="114"/>
      <c r="C15" s="114"/>
      <c r="D15" s="135"/>
      <c r="E15" s="114"/>
      <c r="F15" s="114"/>
      <c r="G15" s="136"/>
      <c r="H15" s="121" t="n">
        <f aca="false">IF(AND($A15&lt;&gt;"",ISERROR(SEARCH("퇴사",$G15))),1,0)</f>
        <v>0</v>
      </c>
      <c r="I15" s="0" t="str">
        <f aca="false">IF($H15=1,SUM($H$4:$H15),"")</f>
        <v/>
      </c>
    </row>
    <row r="16" customFormat="false" ht="15" hidden="false" customHeight="false" outlineLevel="0" collapsed="false">
      <c r="A16" s="114"/>
      <c r="B16" s="114"/>
      <c r="C16" s="114"/>
      <c r="D16" s="135"/>
      <c r="E16" s="114"/>
      <c r="F16" s="114"/>
      <c r="G16" s="136"/>
      <c r="H16" s="121" t="n">
        <f aca="false">IF(AND($A16&lt;&gt;"",ISERROR(SEARCH("퇴사",$G16))),1,0)</f>
        <v>0</v>
      </c>
      <c r="I16" s="0" t="str">
        <f aca="false">IF($H16=1,SUM($H$4:$H16),"")</f>
        <v/>
      </c>
    </row>
    <row r="17" customFormat="false" ht="15" hidden="false" customHeight="false" outlineLevel="0" collapsed="false">
      <c r="A17" s="114"/>
      <c r="B17" s="114"/>
      <c r="C17" s="114"/>
      <c r="D17" s="135"/>
      <c r="E17" s="114"/>
      <c r="F17" s="114"/>
      <c r="G17" s="136"/>
      <c r="H17" s="121" t="n">
        <f aca="false">IF(AND($A17&lt;&gt;"",ISERROR(SEARCH("퇴사",$G17))),1,0)</f>
        <v>0</v>
      </c>
      <c r="I17" s="0" t="str">
        <f aca="false">IF($H17=1,SUM($H$4:$H17),"")</f>
        <v/>
      </c>
    </row>
    <row r="18" customFormat="false" ht="15" hidden="false" customHeight="false" outlineLevel="0" collapsed="false">
      <c r="A18" s="114"/>
      <c r="B18" s="114"/>
      <c r="C18" s="114"/>
      <c r="D18" s="135"/>
      <c r="E18" s="114"/>
      <c r="F18" s="114"/>
      <c r="G18" s="136"/>
      <c r="H18" s="121" t="n">
        <f aca="false">IF(AND($A18&lt;&gt;"",ISERROR(SEARCH("퇴사",$G18))),1,0)</f>
        <v>0</v>
      </c>
      <c r="I18" s="0" t="str">
        <f aca="false">IF($H18=1,SUM($H$4:$H18),"")</f>
        <v/>
      </c>
    </row>
    <row r="19" customFormat="false" ht="15" hidden="false" customHeight="false" outlineLevel="0" collapsed="false">
      <c r="A19" s="114"/>
      <c r="B19" s="114"/>
      <c r="C19" s="114"/>
      <c r="D19" s="135"/>
      <c r="E19" s="114"/>
      <c r="F19" s="114"/>
      <c r="G19" s="136"/>
      <c r="H19" s="121" t="n">
        <f aca="false">IF(AND($A19&lt;&gt;"",ISERROR(SEARCH("퇴사",$G19))),1,0)</f>
        <v>0</v>
      </c>
      <c r="I19" s="0" t="str">
        <f aca="false">IF($H19=1,SUM($H$4:$H19),"")</f>
        <v/>
      </c>
    </row>
    <row r="20" customFormat="false" ht="15" hidden="false" customHeight="false" outlineLevel="0" collapsed="false">
      <c r="A20" s="114"/>
      <c r="B20" s="114"/>
      <c r="C20" s="114"/>
      <c r="D20" s="135"/>
      <c r="E20" s="114"/>
      <c r="F20" s="114"/>
      <c r="G20" s="136"/>
      <c r="H20" s="121" t="n">
        <f aca="false">IF(AND($A20&lt;&gt;"",ISERROR(SEARCH("퇴사",$G20))),1,0)</f>
        <v>0</v>
      </c>
      <c r="I20" s="0" t="str">
        <f aca="false">IF($H20=1,SUM($H$4:$H20),"")</f>
        <v/>
      </c>
    </row>
    <row r="21" customFormat="false" ht="15" hidden="false" customHeight="false" outlineLevel="0" collapsed="false">
      <c r="A21" s="114"/>
      <c r="B21" s="114"/>
      <c r="C21" s="114"/>
      <c r="D21" s="135"/>
      <c r="E21" s="114"/>
      <c r="F21" s="114"/>
      <c r="G21" s="136"/>
      <c r="H21" s="121" t="n">
        <f aca="false">IF(AND($A21&lt;&gt;"",ISERROR(SEARCH("퇴사",$G21))),1,0)</f>
        <v>0</v>
      </c>
      <c r="I21" s="0" t="str">
        <f aca="false">IF($H21=1,SUM($H$4:$H21),"")</f>
        <v/>
      </c>
    </row>
    <row r="22" customFormat="false" ht="15" hidden="false" customHeight="false" outlineLevel="0" collapsed="false">
      <c r="A22" s="114"/>
      <c r="B22" s="114"/>
      <c r="C22" s="114"/>
      <c r="D22" s="135"/>
      <c r="E22" s="114"/>
      <c r="F22" s="114"/>
      <c r="G22" s="136"/>
      <c r="H22" s="121" t="n">
        <f aca="false">IF(AND($A22&lt;&gt;"",ISERROR(SEARCH("퇴사",$G22))),1,0)</f>
        <v>0</v>
      </c>
      <c r="I22" s="0" t="str">
        <f aca="false">IF($H22=1,SUM($H$4:$H22),"")</f>
        <v/>
      </c>
    </row>
    <row r="23" customFormat="false" ht="15" hidden="false" customHeight="false" outlineLevel="0" collapsed="false">
      <c r="A23" s="114"/>
      <c r="B23" s="114"/>
      <c r="C23" s="114"/>
      <c r="D23" s="135"/>
      <c r="E23" s="114"/>
      <c r="F23" s="114"/>
      <c r="G23" s="136"/>
      <c r="H23" s="121" t="n">
        <f aca="false">IF(AND($A23&lt;&gt;"",ISERROR(SEARCH("퇴사",$G23))),1,0)</f>
        <v>0</v>
      </c>
      <c r="I23" s="0" t="str">
        <f aca="false">IF($H23=1,SUM($H$4:$H23),"")</f>
        <v/>
      </c>
    </row>
    <row r="24" customFormat="false" ht="15" hidden="false" customHeight="false" outlineLevel="0" collapsed="false">
      <c r="A24" s="114"/>
      <c r="B24" s="114"/>
      <c r="C24" s="114"/>
      <c r="D24" s="135"/>
      <c r="E24" s="114"/>
      <c r="F24" s="114"/>
      <c r="G24" s="136"/>
      <c r="H24" s="121" t="n">
        <f aca="false">IF(AND($A24&lt;&gt;"",ISERROR(SEARCH("퇴사",$G24))),1,0)</f>
        <v>0</v>
      </c>
      <c r="I24" s="0" t="str">
        <f aca="false">IF($H24=1,SUM($H$4:$H24),"")</f>
        <v/>
      </c>
    </row>
    <row r="25" customFormat="false" ht="15" hidden="false" customHeight="false" outlineLevel="0" collapsed="false">
      <c r="A25" s="114"/>
      <c r="B25" s="114"/>
      <c r="C25" s="114"/>
      <c r="D25" s="135"/>
      <c r="E25" s="114"/>
      <c r="F25" s="114"/>
      <c r="G25" s="136"/>
      <c r="H25" s="121" t="n">
        <f aca="false">IF(AND($A25&lt;&gt;"",ISERROR(SEARCH("퇴사",$G25))),1,0)</f>
        <v>0</v>
      </c>
      <c r="I25" s="0" t="str">
        <f aca="false">IF($H25=1,SUM($H$4:$H25),"")</f>
        <v/>
      </c>
    </row>
    <row r="26" customFormat="false" ht="15" hidden="false" customHeight="false" outlineLevel="0" collapsed="false">
      <c r="A26" s="114"/>
      <c r="B26" s="114"/>
      <c r="C26" s="114"/>
      <c r="D26" s="135"/>
      <c r="E26" s="114"/>
      <c r="F26" s="114"/>
      <c r="G26" s="136"/>
      <c r="H26" s="121" t="n">
        <f aca="false">IF(AND($A26&lt;&gt;"",ISERROR(SEARCH("퇴사",$G26))),1,0)</f>
        <v>0</v>
      </c>
      <c r="I26" s="0" t="str">
        <f aca="false">IF($H26=1,SUM($H$4:$H26),"")</f>
        <v/>
      </c>
    </row>
    <row r="27" customFormat="false" ht="15" hidden="false" customHeight="false" outlineLevel="0" collapsed="false">
      <c r="A27" s="114"/>
      <c r="B27" s="114"/>
      <c r="C27" s="114"/>
      <c r="D27" s="135"/>
      <c r="E27" s="114"/>
      <c r="F27" s="114"/>
      <c r="G27" s="136"/>
      <c r="H27" s="121" t="n">
        <f aca="false">IF(AND($A27&lt;&gt;"",ISERROR(SEARCH("퇴사",$G27))),1,0)</f>
        <v>0</v>
      </c>
      <c r="I27" s="0" t="str">
        <f aca="false">IF($H27=1,SUM($H$4:$H27),"")</f>
        <v/>
      </c>
    </row>
    <row r="28" customFormat="false" ht="15" hidden="false" customHeight="false" outlineLevel="0" collapsed="false">
      <c r="A28" s="114"/>
      <c r="B28" s="114"/>
      <c r="C28" s="114"/>
      <c r="D28" s="135"/>
      <c r="E28" s="114"/>
      <c r="F28" s="114"/>
      <c r="G28" s="136"/>
      <c r="H28" s="121" t="n">
        <f aca="false">IF(AND($A28&lt;&gt;"",ISERROR(SEARCH("퇴사",$G28))),1,0)</f>
        <v>0</v>
      </c>
      <c r="I28" s="0" t="str">
        <f aca="false">IF($H28=1,SUM($H$4:$H28),"")</f>
        <v/>
      </c>
    </row>
    <row r="29" customFormat="false" ht="15" hidden="false" customHeight="false" outlineLevel="0" collapsed="false">
      <c r="A29" s="114"/>
      <c r="B29" s="114"/>
      <c r="C29" s="114"/>
      <c r="D29" s="135"/>
      <c r="E29" s="114"/>
      <c r="F29" s="114"/>
      <c r="G29" s="136"/>
      <c r="H29" s="121" t="n">
        <f aca="false">IF(AND($A29&lt;&gt;"",ISERROR(SEARCH("퇴사",$G29))),1,0)</f>
        <v>0</v>
      </c>
      <c r="I29" s="0" t="str">
        <f aca="false">IF($H29=1,SUM($H$4:$H29),"")</f>
        <v/>
      </c>
    </row>
    <row r="30" customFormat="false" ht="15" hidden="false" customHeight="false" outlineLevel="0" collapsed="false">
      <c r="A30" s="114"/>
      <c r="B30" s="114"/>
      <c r="C30" s="114"/>
      <c r="D30" s="135"/>
      <c r="E30" s="114"/>
      <c r="F30" s="114"/>
      <c r="G30" s="136"/>
      <c r="H30" s="121" t="n">
        <f aca="false">IF(AND($A30&lt;&gt;"",ISERROR(SEARCH("퇴사",$G30))),1,0)</f>
        <v>0</v>
      </c>
      <c r="I30" s="0" t="str">
        <f aca="false">IF($H30=1,SUM($H$4:$H30),"")</f>
        <v/>
      </c>
    </row>
    <row r="31" customFormat="false" ht="15" hidden="false" customHeight="false" outlineLevel="0" collapsed="false">
      <c r="A31" s="114"/>
      <c r="B31" s="114"/>
      <c r="C31" s="114"/>
      <c r="D31" s="135"/>
      <c r="E31" s="114"/>
      <c r="F31" s="114"/>
      <c r="G31" s="136"/>
      <c r="H31" s="121" t="n">
        <f aca="false">IF(AND($A31&lt;&gt;"",ISERROR(SEARCH("퇴사",$G31))),1,0)</f>
        <v>0</v>
      </c>
      <c r="I31" s="0" t="str">
        <f aca="false">IF($H31=1,SUM($H$4:$H31),"")</f>
        <v/>
      </c>
    </row>
    <row r="32" customFormat="false" ht="15" hidden="false" customHeight="false" outlineLevel="0" collapsed="false">
      <c r="A32" s="114"/>
      <c r="B32" s="114"/>
      <c r="C32" s="114"/>
      <c r="D32" s="135"/>
      <c r="E32" s="114"/>
      <c r="F32" s="114"/>
      <c r="G32" s="136"/>
      <c r="H32" s="121" t="n">
        <f aca="false">IF(AND($A32&lt;&gt;"",ISERROR(SEARCH("퇴사",$G32))),1,0)</f>
        <v>0</v>
      </c>
      <c r="I32" s="0" t="str">
        <f aca="false">IF($H32=1,SUM($H$4:$H32),"")</f>
        <v/>
      </c>
    </row>
    <row r="33" customFormat="false" ht="15" hidden="false" customHeight="false" outlineLevel="0" collapsed="false">
      <c r="A33" s="114"/>
      <c r="B33" s="114"/>
      <c r="C33" s="114"/>
      <c r="D33" s="135"/>
      <c r="E33" s="114"/>
      <c r="F33" s="114"/>
      <c r="G33" s="136"/>
      <c r="H33" s="121" t="n">
        <f aca="false">IF(AND($A33&lt;&gt;"",ISERROR(SEARCH("퇴사",$G33))),1,0)</f>
        <v>0</v>
      </c>
      <c r="I33" s="0" t="str">
        <f aca="false">IF($H33=1,SUM($H$4:$H33),"")</f>
        <v/>
      </c>
    </row>
    <row r="34" customFormat="false" ht="15" hidden="false" customHeight="false" outlineLevel="0" collapsed="false">
      <c r="A34" s="114"/>
      <c r="B34" s="114"/>
      <c r="C34" s="114"/>
      <c r="D34" s="135"/>
      <c r="E34" s="114"/>
      <c r="F34" s="114"/>
      <c r="G34" s="136"/>
      <c r="H34" s="121" t="n">
        <f aca="false">IF(AND($A34&lt;&gt;"",ISERROR(SEARCH("퇴사",$G34))),1,0)</f>
        <v>0</v>
      </c>
      <c r="I34" s="0" t="str">
        <f aca="false">IF($H34=1,SUM($H$4:$H34),"")</f>
        <v/>
      </c>
    </row>
    <row r="35" customFormat="false" ht="15" hidden="false" customHeight="false" outlineLevel="0" collapsed="false">
      <c r="A35" s="114"/>
      <c r="B35" s="114"/>
      <c r="C35" s="114"/>
      <c r="D35" s="135"/>
      <c r="E35" s="114"/>
      <c r="F35" s="114"/>
      <c r="G35" s="136"/>
      <c r="H35" s="121" t="n">
        <f aca="false">IF(AND($A35&lt;&gt;"",ISERROR(SEARCH("퇴사",$G35))),1,0)</f>
        <v>0</v>
      </c>
      <c r="I35" s="0" t="str">
        <f aca="false">IF($H35=1,SUM($H$4:$H35),"")</f>
        <v/>
      </c>
    </row>
    <row r="36" customFormat="false" ht="15" hidden="false" customHeight="false" outlineLevel="0" collapsed="false">
      <c r="A36" s="114"/>
      <c r="B36" s="114"/>
      <c r="C36" s="114"/>
      <c r="D36" s="135"/>
      <c r="E36" s="114"/>
      <c r="F36" s="114"/>
      <c r="G36" s="136"/>
      <c r="H36" s="121" t="n">
        <f aca="false">IF(AND($A36&lt;&gt;"",ISERROR(SEARCH("퇴사",$G36))),1,0)</f>
        <v>0</v>
      </c>
      <c r="I36" s="0" t="str">
        <f aca="false">IF($H36=1,SUM($H$4:$H36),"")</f>
        <v/>
      </c>
    </row>
    <row r="37" customFormat="false" ht="15" hidden="false" customHeight="false" outlineLevel="0" collapsed="false">
      <c r="A37" s="114"/>
      <c r="B37" s="114"/>
      <c r="C37" s="114"/>
      <c r="D37" s="135"/>
      <c r="E37" s="114"/>
      <c r="F37" s="114"/>
      <c r="G37" s="136"/>
      <c r="H37" s="121" t="n">
        <f aca="false">IF(AND($A37&lt;&gt;"",ISERROR(SEARCH("퇴사",$G37))),1,0)</f>
        <v>0</v>
      </c>
      <c r="I37" s="0" t="str">
        <f aca="false">IF($H37=1,SUM($H$4:$H37),"")</f>
        <v/>
      </c>
    </row>
    <row r="38" customFormat="false" ht="15" hidden="false" customHeight="false" outlineLevel="0" collapsed="false">
      <c r="A38" s="114"/>
      <c r="B38" s="114"/>
      <c r="C38" s="114"/>
      <c r="D38" s="135"/>
      <c r="E38" s="114"/>
      <c r="F38" s="114"/>
      <c r="G38" s="136"/>
      <c r="H38" s="121" t="n">
        <f aca="false">IF(AND($A38&lt;&gt;"",ISERROR(SEARCH("퇴사",$G38))),1,0)</f>
        <v>0</v>
      </c>
      <c r="I38" s="0" t="str">
        <f aca="false">IF($H38=1,SUM($H$4:$H38),"")</f>
        <v/>
      </c>
    </row>
    <row r="39" customFormat="false" ht="15" hidden="false" customHeight="false" outlineLevel="0" collapsed="false">
      <c r="A39" s="114"/>
      <c r="B39" s="114"/>
      <c r="C39" s="114"/>
      <c r="D39" s="135"/>
      <c r="E39" s="114"/>
      <c r="F39" s="114"/>
      <c r="G39" s="136"/>
      <c r="H39" s="121" t="n">
        <f aca="false">IF(AND($A39&lt;&gt;"",ISERROR(SEARCH("퇴사",$G39))),1,0)</f>
        <v>0</v>
      </c>
      <c r="I39" s="0" t="str">
        <f aca="false">IF($H39=1,SUM($H$4:$H39),"")</f>
        <v/>
      </c>
    </row>
    <row r="40" customFormat="false" ht="15" hidden="false" customHeight="false" outlineLevel="0" collapsed="false">
      <c r="A40" s="114"/>
      <c r="B40" s="114"/>
      <c r="C40" s="114"/>
      <c r="D40" s="135"/>
      <c r="E40" s="114"/>
      <c r="F40" s="114"/>
      <c r="G40" s="136"/>
      <c r="H40" s="121" t="n">
        <f aca="false">IF(AND($A40&lt;&gt;"",ISERROR(SEARCH("퇴사",$G40))),1,0)</f>
        <v>0</v>
      </c>
      <c r="I40" s="0" t="str">
        <f aca="false">IF($H40=1,SUM($H$4:$H40),"")</f>
        <v/>
      </c>
    </row>
    <row r="41" customFormat="false" ht="15" hidden="false" customHeight="false" outlineLevel="0" collapsed="false">
      <c r="A41" s="114"/>
      <c r="B41" s="114"/>
      <c r="C41" s="114"/>
      <c r="D41" s="135"/>
      <c r="E41" s="114"/>
      <c r="F41" s="114"/>
      <c r="G41" s="136"/>
      <c r="H41" s="121" t="n">
        <f aca="false">IF(AND($A41&lt;&gt;"",ISERROR(SEARCH("퇴사",$G41))),1,0)</f>
        <v>0</v>
      </c>
      <c r="I41" s="0" t="str">
        <f aca="false">IF($H41=1,SUM($H$4:$H41),"")</f>
        <v/>
      </c>
    </row>
    <row r="42" customFormat="false" ht="15" hidden="false" customHeight="false" outlineLevel="0" collapsed="false">
      <c r="A42" s="114"/>
      <c r="B42" s="114"/>
      <c r="C42" s="114"/>
      <c r="D42" s="135"/>
      <c r="E42" s="114"/>
      <c r="F42" s="114"/>
      <c r="G42" s="136"/>
      <c r="H42" s="121" t="n">
        <f aca="false">IF(AND($A42&lt;&gt;"",ISERROR(SEARCH("퇴사",$G42))),1,0)</f>
        <v>0</v>
      </c>
      <c r="I42" s="0" t="str">
        <f aca="false">IF($H42=1,SUM($H$4:$H42),"")</f>
        <v/>
      </c>
    </row>
    <row r="43" customFormat="false" ht="15" hidden="false" customHeight="false" outlineLevel="0" collapsed="false">
      <c r="A43" s="114"/>
      <c r="B43" s="114"/>
      <c r="C43" s="114"/>
      <c r="D43" s="135"/>
      <c r="E43" s="114"/>
      <c r="F43" s="114"/>
      <c r="G43" s="136"/>
      <c r="H43" s="121" t="n">
        <f aca="false">IF(AND($A43&lt;&gt;"",ISERROR(SEARCH("퇴사",$G43))),1,0)</f>
        <v>0</v>
      </c>
      <c r="I43" s="0" t="str">
        <f aca="false">IF($H43=1,SUM($H$4:$H43),"")</f>
        <v/>
      </c>
    </row>
    <row r="44" customFormat="false" ht="15" hidden="false" customHeight="false" outlineLevel="0" collapsed="false">
      <c r="A44" s="114"/>
      <c r="B44" s="114"/>
      <c r="C44" s="114"/>
      <c r="D44" s="135"/>
      <c r="E44" s="114"/>
      <c r="F44" s="114"/>
      <c r="G44" s="136"/>
      <c r="H44" s="121" t="n">
        <f aca="false">IF(AND($A44&lt;&gt;"",ISERROR(SEARCH("퇴사",$G44))),1,0)</f>
        <v>0</v>
      </c>
      <c r="I44" s="0" t="str">
        <f aca="false">IF($H44=1,SUM($H$4:$H44),"")</f>
        <v/>
      </c>
    </row>
    <row r="45" customFormat="false" ht="15" hidden="false" customHeight="false" outlineLevel="0" collapsed="false">
      <c r="A45" s="114"/>
      <c r="B45" s="114"/>
      <c r="C45" s="114"/>
      <c r="D45" s="135"/>
      <c r="E45" s="114"/>
      <c r="F45" s="114"/>
      <c r="G45" s="136"/>
      <c r="H45" s="121" t="n">
        <f aca="false">IF(AND($A45&lt;&gt;"",ISERROR(SEARCH("퇴사",$G45))),1,0)</f>
        <v>0</v>
      </c>
      <c r="I45" s="0" t="str">
        <f aca="false">IF($H45=1,SUM($H$4:$H45),"")</f>
        <v/>
      </c>
    </row>
    <row r="46" customFormat="false" ht="15" hidden="false" customHeight="false" outlineLevel="0" collapsed="false">
      <c r="A46" s="114"/>
      <c r="B46" s="114"/>
      <c r="C46" s="114"/>
      <c r="D46" s="135"/>
      <c r="E46" s="114"/>
      <c r="F46" s="114"/>
      <c r="G46" s="136"/>
      <c r="H46" s="121" t="n">
        <f aca="false">IF(AND($A46&lt;&gt;"",ISERROR(SEARCH("퇴사",$G46))),1,0)</f>
        <v>0</v>
      </c>
      <c r="I46" s="0" t="str">
        <f aca="false">IF($H46=1,SUM($H$4:$H46),"")</f>
        <v/>
      </c>
    </row>
    <row r="47" customFormat="false" ht="15" hidden="false" customHeight="false" outlineLevel="0" collapsed="false">
      <c r="A47" s="114"/>
      <c r="B47" s="114"/>
      <c r="C47" s="114"/>
      <c r="D47" s="135"/>
      <c r="E47" s="114"/>
      <c r="F47" s="114"/>
      <c r="G47" s="136"/>
      <c r="H47" s="121" t="n">
        <f aca="false">IF(AND($A47&lt;&gt;"",ISERROR(SEARCH("퇴사",$G47))),1,0)</f>
        <v>0</v>
      </c>
      <c r="I47" s="0" t="str">
        <f aca="false">IF($H47=1,SUM($H$4:$H47),"")</f>
        <v/>
      </c>
    </row>
    <row r="48" customFormat="false" ht="15" hidden="false" customHeight="false" outlineLevel="0" collapsed="false">
      <c r="A48" s="114"/>
      <c r="B48" s="114"/>
      <c r="C48" s="114"/>
      <c r="D48" s="135"/>
      <c r="E48" s="114"/>
      <c r="F48" s="114"/>
      <c r="G48" s="136"/>
      <c r="H48" s="121" t="n">
        <f aca="false">IF(AND($A48&lt;&gt;"",ISERROR(SEARCH("퇴사",$G48))),1,0)</f>
        <v>0</v>
      </c>
      <c r="I48" s="0" t="str">
        <f aca="false">IF($H48=1,SUM($H$4:$H48),"")</f>
        <v/>
      </c>
    </row>
    <row r="49" customFormat="false" ht="15" hidden="false" customHeight="false" outlineLevel="0" collapsed="false">
      <c r="A49" s="114"/>
      <c r="B49" s="114"/>
      <c r="C49" s="114"/>
      <c r="D49" s="135"/>
      <c r="E49" s="114"/>
      <c r="F49" s="114"/>
      <c r="G49" s="136"/>
      <c r="H49" s="121" t="n">
        <f aca="false">IF(AND($A49&lt;&gt;"",ISERROR(SEARCH("퇴사",$G49))),1,0)</f>
        <v>0</v>
      </c>
      <c r="I49" s="0" t="str">
        <f aca="false">IF($H49=1,SUM($H$4:$H49),"")</f>
        <v/>
      </c>
    </row>
    <row r="50" customFormat="false" ht="15" hidden="false" customHeight="false" outlineLevel="0" collapsed="false">
      <c r="A50" s="114"/>
      <c r="B50" s="114"/>
      <c r="C50" s="114"/>
      <c r="D50" s="135"/>
      <c r="E50" s="114"/>
      <c r="F50" s="114"/>
      <c r="G50" s="136"/>
      <c r="H50" s="121" t="n">
        <f aca="false">IF(AND($A50&lt;&gt;"",ISERROR(SEARCH("퇴사",$G50))),1,0)</f>
        <v>0</v>
      </c>
      <c r="I50" s="0" t="str">
        <f aca="false">IF($H50=1,SUM($H$4:$H50),"")</f>
        <v/>
      </c>
    </row>
    <row r="51" customFormat="false" ht="15" hidden="false" customHeight="false" outlineLevel="0" collapsed="false">
      <c r="A51" s="114"/>
      <c r="B51" s="114"/>
      <c r="C51" s="114"/>
      <c r="D51" s="135"/>
      <c r="E51" s="114"/>
      <c r="F51" s="114"/>
      <c r="G51" s="136"/>
      <c r="H51" s="121" t="n">
        <f aca="false">IF(AND($A51&lt;&gt;"",ISERROR(SEARCH("퇴사",$G51))),1,0)</f>
        <v>0</v>
      </c>
      <c r="I51" s="0" t="str">
        <f aca="false">IF($H51=1,SUM($H$4:$H51),"")</f>
        <v/>
      </c>
    </row>
    <row r="52" customFormat="false" ht="15" hidden="false" customHeight="false" outlineLevel="0" collapsed="false">
      <c r="A52" s="114"/>
      <c r="B52" s="114"/>
      <c r="C52" s="114"/>
      <c r="D52" s="135"/>
      <c r="E52" s="114"/>
      <c r="F52" s="114"/>
      <c r="G52" s="136"/>
      <c r="H52" s="121" t="n">
        <f aca="false">IF(AND($A52&lt;&gt;"",ISERROR(SEARCH("퇴사",$G52))),1,0)</f>
        <v>0</v>
      </c>
      <c r="I52" s="0" t="str">
        <f aca="false">IF($H52=1,SUM($H$4:$H52),"")</f>
        <v/>
      </c>
    </row>
    <row r="53" customFormat="false" ht="15" hidden="false" customHeight="false" outlineLevel="0" collapsed="false">
      <c r="A53" s="114"/>
      <c r="B53" s="114"/>
      <c r="C53" s="114"/>
      <c r="D53" s="135"/>
      <c r="E53" s="114"/>
      <c r="F53" s="114"/>
      <c r="G53" s="136"/>
      <c r="H53" s="121" t="n">
        <f aca="false">IF(AND($A53&lt;&gt;"",ISERROR(SEARCH("퇴사",$G53))),1,0)</f>
        <v>0</v>
      </c>
      <c r="I53" s="0" t="str">
        <f aca="false">IF($H53=1,SUM($H$4:$H53),"")</f>
        <v/>
      </c>
    </row>
  </sheetData>
  <mergeCells count="4">
    <mergeCell ref="A1:G1"/>
    <mergeCell ref="A2:G2"/>
    <mergeCell ref="J3:N3"/>
    <mergeCell ref="J4:N9"/>
  </mergeCells>
  <conditionalFormatting sqref="A4:G53">
    <cfRule type="expression" priority="2" aboveAverage="0" equalAverage="0" bottom="0" percent="0" rank="0" text="" dxfId="13">
      <formula>ISNUMBER(SEARCH("퇴사",$G4))</formula>
    </cfRule>
  </conditionalFormatting>
  <dataValidations count="3">
    <dataValidation allowBlank="true" errorStyle="stop" operator="greaterThanOrEqual" prompt="'퇴사'라고 적기 전에, 이 강사의 앞으로 남은 강습 담당강사를 MASTER에서 다른 강사로 먼저 바꿔 주세요." promptTitle="퇴사 처리 전 확인" showDropDown="false" showErrorMessage="false" showInputMessage="true" sqref="G4:G53" type="textLength">
      <formula1>0</formula1>
      <formula2>0</formula2>
    </dataValidation>
    <dataValidation allowBlank="true" errorStyle="stop" operator="between" showDropDown="false" showErrorMessage="false" showInputMessage="false" sqref="B4:B53" type="list">
      <formula1>설정!$E$4:$E$15</formula1>
      <formula2>0</formula2>
    </dataValidation>
    <dataValidation allowBlank="true" errorStyle="stop" operator="between" showDropDown="false" showErrorMessage="false" showInputMessage="false" sqref="E4:E53" type="list">
      <formula1>설정!$F$4:$F$5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99A8"/>
    <pageSetUpPr fitToPage="false"/>
  </sheetPr>
  <dimension ref="A1:N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6" min="1" style="0" width="13"/>
    <col collapsed="false" customWidth="true" hidden="false" outlineLevel="0" max="7" min="7" style="0" width="10"/>
    <col collapsed="false" customWidth="true" hidden="false" outlineLevel="0" max="8" min="8" style="0" width="3"/>
    <col collapsed="false" customWidth="true" hidden="false" outlineLevel="0" max="9" min="9" style="0" width="16"/>
    <col collapsed="false" customWidth="true" hidden="false" outlineLevel="0" max="10" min="10" style="0" width="13"/>
    <col collapsed="false" customWidth="true" hidden="false" outlineLevel="0" max="11" min="11" style="0" width="30"/>
    <col collapsed="false" customWidth="true" hidden="false" outlineLevel="0" max="12" min="12" style="0" width="13"/>
    <col collapsed="false" customWidth="true" hidden="true" outlineLevel="0" max="14" min="14" style="0" width="13"/>
  </cols>
  <sheetData>
    <row r="1" customFormat="false" ht="19.4" hidden="false" customHeight="true" outlineLevel="0" collapsed="false">
      <c r="A1" s="131" t="s">
        <v>165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customFormat="false" ht="15" hidden="false" customHeight="true" outlineLevel="0" collapsed="false">
      <c r="A2" s="40" t="s">
        <v>166</v>
      </c>
      <c r="B2" s="40"/>
      <c r="C2" s="40"/>
      <c r="D2" s="40"/>
      <c r="E2" s="40"/>
      <c r="F2" s="40"/>
      <c r="G2" s="40"/>
      <c r="H2" s="40"/>
      <c r="I2" s="40"/>
      <c r="J2" s="40"/>
      <c r="K2" s="40"/>
    </row>
    <row r="3" customFormat="false" ht="15" hidden="false" customHeight="false" outlineLevel="0" collapsed="false">
      <c r="A3" s="42" t="s">
        <v>47</v>
      </c>
      <c r="B3" s="42" t="s">
        <v>60</v>
      </c>
      <c r="C3" s="42" t="s">
        <v>34</v>
      </c>
      <c r="D3" s="42" t="s">
        <v>167</v>
      </c>
      <c r="E3" s="42" t="s">
        <v>168</v>
      </c>
      <c r="F3" s="42" t="s">
        <v>150</v>
      </c>
      <c r="G3" s="42" t="s">
        <v>169</v>
      </c>
      <c r="I3" s="42" t="s">
        <v>170</v>
      </c>
      <c r="J3" s="42" t="s">
        <v>171</v>
      </c>
      <c r="L3" s="42" t="s">
        <v>64</v>
      </c>
      <c r="N3" s="139" t="s">
        <v>172</v>
      </c>
    </row>
    <row r="4" customFormat="false" ht="15" hidden="false" customHeight="false" outlineLevel="0" collapsed="false">
      <c r="A4" s="114" t="s">
        <v>36</v>
      </c>
      <c r="B4" s="114" t="s">
        <v>84</v>
      </c>
      <c r="C4" s="114" t="s">
        <v>173</v>
      </c>
      <c r="D4" s="114" t="s">
        <v>174</v>
      </c>
      <c r="E4" s="114" t="s">
        <v>153</v>
      </c>
      <c r="F4" s="114" t="s">
        <v>154</v>
      </c>
      <c r="G4" s="140" t="n">
        <v>0.291666666666667</v>
      </c>
      <c r="I4" s="141" t="s">
        <v>175</v>
      </c>
      <c r="J4" s="142" t="n">
        <v>46327</v>
      </c>
      <c r="K4" s="143" t="s">
        <v>176</v>
      </c>
      <c r="L4" s="114" t="s">
        <v>177</v>
      </c>
      <c r="N4" s="0" t="str">
        <f aca="false">IFERROR(INDEX(강사DB!$A$4:$A$53,MATCH(ROW()-3,강사DB!$I$4:$I$53,0)),"")</f>
        <v>김건진</v>
      </c>
    </row>
    <row r="5" customFormat="false" ht="25.35" hidden="false" customHeight="false" outlineLevel="0" collapsed="false">
      <c r="A5" s="114" t="s">
        <v>35</v>
      </c>
      <c r="B5" s="114" t="s">
        <v>173</v>
      </c>
      <c r="C5" s="114" t="s">
        <v>178</v>
      </c>
      <c r="D5" s="114" t="s">
        <v>179</v>
      </c>
      <c r="E5" s="114" t="s">
        <v>161</v>
      </c>
      <c r="F5" s="114" t="s">
        <v>180</v>
      </c>
      <c r="G5" s="140" t="n">
        <v>0.3125</v>
      </c>
      <c r="I5" s="141" t="s">
        <v>181</v>
      </c>
      <c r="J5" s="144" t="n">
        <v>10000</v>
      </c>
      <c r="K5" s="143" t="s">
        <v>182</v>
      </c>
      <c r="L5" s="114" t="s">
        <v>183</v>
      </c>
      <c r="N5" s="0" t="str">
        <f aca="false">IFERROR(INDEX(강사DB!$A$4:$A$53,MATCH(ROW()-3,강사DB!$I$4:$I$53,0)),"")</f>
        <v>김준태</v>
      </c>
    </row>
    <row r="6" customFormat="false" ht="25.35" hidden="false" customHeight="false" outlineLevel="0" collapsed="false">
      <c r="A6" s="114" t="s">
        <v>4</v>
      </c>
      <c r="B6" s="114" t="s">
        <v>184</v>
      </c>
      <c r="C6" s="114" t="s">
        <v>185</v>
      </c>
      <c r="D6" s="114" t="s">
        <v>116</v>
      </c>
      <c r="E6" s="114" t="s">
        <v>186</v>
      </c>
      <c r="G6" s="140" t="n">
        <v>0.333333333333333</v>
      </c>
      <c r="I6" s="141" t="s">
        <v>187</v>
      </c>
      <c r="J6" s="145" t="n">
        <v>0.055</v>
      </c>
      <c r="K6" s="143" t="s">
        <v>188</v>
      </c>
      <c r="N6" s="0" t="str">
        <f aca="false">IFERROR(INDEX(강사DB!$A$4:$A$53,MATCH(ROW()-3,강사DB!$I$4:$I$53,0)),"")</f>
        <v>이민규</v>
      </c>
    </row>
    <row r="7" customFormat="false" ht="23.85" hidden="false" customHeight="false" outlineLevel="0" collapsed="false">
      <c r="B7" s="114" t="s">
        <v>189</v>
      </c>
      <c r="C7" s="114" t="s">
        <v>190</v>
      </c>
      <c r="G7" s="140" t="n">
        <v>0.354166666666667</v>
      </c>
      <c r="I7" s="141" t="s">
        <v>191</v>
      </c>
      <c r="J7" s="144" t="n">
        <v>5000</v>
      </c>
      <c r="K7" s="143" t="s">
        <v>192</v>
      </c>
      <c r="N7" s="0" t="str">
        <f aca="false">IFERROR(INDEX(강사DB!$A$4:$A$53,MATCH(ROW()-3,강사DB!$I$4:$I$53,0)),"")</f>
        <v>송지성</v>
      </c>
    </row>
    <row r="8" customFormat="false" ht="15" hidden="false" customHeight="false" outlineLevel="0" collapsed="false">
      <c r="B8" s="114" t="s">
        <v>193</v>
      </c>
      <c r="C8" s="114" t="s">
        <v>194</v>
      </c>
      <c r="G8" s="140" t="n">
        <v>0.375</v>
      </c>
      <c r="N8" s="0" t="str">
        <f aca="false">IFERROR(INDEX(강사DB!$A$4:$A$53,MATCH(ROW()-3,강사DB!$I$4:$I$53,0)),"")</f>
        <v>박세근</v>
      </c>
    </row>
    <row r="9" customFormat="false" ht="15" hidden="false" customHeight="false" outlineLevel="0" collapsed="false">
      <c r="C9" s="114" t="s">
        <v>195</v>
      </c>
      <c r="G9" s="140" t="n">
        <v>0.395833333333333</v>
      </c>
      <c r="N9" s="0" t="str">
        <f aca="false">IFERROR(INDEX(강사DB!$A$4:$A$53,MATCH(ROW()-3,강사DB!$I$4:$I$53,0)),"")</f>
        <v>프리랜서A</v>
      </c>
    </row>
    <row r="10" customFormat="false" ht="15" hidden="false" customHeight="false" outlineLevel="0" collapsed="false">
      <c r="C10" s="114" t="s">
        <v>196</v>
      </c>
      <c r="G10" s="140" t="n">
        <v>0.416666666666667</v>
      </c>
      <c r="N10" s="0" t="str">
        <f aca="false">IFERROR(INDEX(강사DB!$A$4:$A$53,MATCH(ROW()-3,강사DB!$I$4:$I$53,0)),"")</f>
        <v>프리랜서B</v>
      </c>
    </row>
    <row r="11" customFormat="false" ht="15" hidden="false" customHeight="false" outlineLevel="0" collapsed="false">
      <c r="C11" s="114" t="s">
        <v>197</v>
      </c>
      <c r="G11" s="140" t="n">
        <v>0.4375</v>
      </c>
      <c r="N11" s="0" t="str">
        <f aca="false">IFERROR(INDEX(강사DB!$A$4:$A$53,MATCH(ROW()-3,강사DB!$I$4:$I$53,0)),"")</f>
        <v/>
      </c>
    </row>
    <row r="12" customFormat="false" ht="15" hidden="false" customHeight="false" outlineLevel="0" collapsed="false">
      <c r="C12" s="114" t="s">
        <v>198</v>
      </c>
      <c r="G12" s="140" t="n">
        <v>0.458333333333333</v>
      </c>
      <c r="N12" s="0" t="str">
        <f aca="false">IFERROR(INDEX(강사DB!$A$4:$A$53,MATCH(ROW()-3,강사DB!$I$4:$I$53,0)),"")</f>
        <v/>
      </c>
    </row>
    <row r="13" customFormat="false" ht="15" hidden="false" customHeight="false" outlineLevel="0" collapsed="false">
      <c r="C13" s="114" t="s">
        <v>193</v>
      </c>
      <c r="G13" s="140" t="n">
        <v>0.479166666666667</v>
      </c>
      <c r="N13" s="0" t="str">
        <f aca="false">IFERROR(INDEX(강사DB!$A$4:$A$53,MATCH(ROW()-3,강사DB!$I$4:$I$53,0)),"")</f>
        <v/>
      </c>
    </row>
    <row r="14" customFormat="false" ht="15" hidden="false" customHeight="false" outlineLevel="0" collapsed="false">
      <c r="G14" s="140" t="n">
        <v>0.5</v>
      </c>
      <c r="N14" s="0" t="str">
        <f aca="false">IFERROR(INDEX(강사DB!$A$4:$A$53,MATCH(ROW()-3,강사DB!$I$4:$I$53,0)),"")</f>
        <v/>
      </c>
    </row>
    <row r="15" customFormat="false" ht="15" hidden="false" customHeight="false" outlineLevel="0" collapsed="false">
      <c r="G15" s="140" t="n">
        <v>0.520833333333333</v>
      </c>
      <c r="N15" s="0" t="str">
        <f aca="false">IFERROR(INDEX(강사DB!$A$4:$A$53,MATCH(ROW()-3,강사DB!$I$4:$I$53,0)),"")</f>
        <v/>
      </c>
    </row>
    <row r="16" customFormat="false" ht="15" hidden="false" customHeight="false" outlineLevel="0" collapsed="false">
      <c r="G16" s="140" t="n">
        <v>0.541666666666667</v>
      </c>
      <c r="N16" s="0" t="str">
        <f aca="false">IFERROR(INDEX(강사DB!$A$4:$A$53,MATCH(ROW()-3,강사DB!$I$4:$I$53,0)),"")</f>
        <v/>
      </c>
    </row>
    <row r="17" customFormat="false" ht="15" hidden="false" customHeight="false" outlineLevel="0" collapsed="false">
      <c r="G17" s="140" t="n">
        <v>0.5625</v>
      </c>
      <c r="N17" s="0" t="str">
        <f aca="false">IFERROR(INDEX(강사DB!$A$4:$A$53,MATCH(ROW()-3,강사DB!$I$4:$I$53,0)),"")</f>
        <v/>
      </c>
    </row>
    <row r="18" customFormat="false" ht="15" hidden="false" customHeight="false" outlineLevel="0" collapsed="false">
      <c r="G18" s="140" t="n">
        <v>0.583333333333333</v>
      </c>
      <c r="N18" s="0" t="str">
        <f aca="false">IFERROR(INDEX(강사DB!$A$4:$A$53,MATCH(ROW()-3,강사DB!$I$4:$I$53,0)),"")</f>
        <v/>
      </c>
    </row>
    <row r="19" customFormat="false" ht="15" hidden="false" customHeight="false" outlineLevel="0" collapsed="false">
      <c r="G19" s="140" t="n">
        <v>0.604166666666667</v>
      </c>
      <c r="N19" s="0" t="str">
        <f aca="false">IFERROR(INDEX(강사DB!$A$4:$A$53,MATCH(ROW()-3,강사DB!$I$4:$I$53,0)),"")</f>
        <v/>
      </c>
    </row>
    <row r="20" customFormat="false" ht="15" hidden="false" customHeight="false" outlineLevel="0" collapsed="false">
      <c r="G20" s="140" t="n">
        <v>0.625</v>
      </c>
      <c r="N20" s="0" t="str">
        <f aca="false">IFERROR(INDEX(강사DB!$A$4:$A$53,MATCH(ROW()-3,강사DB!$I$4:$I$53,0)),"")</f>
        <v/>
      </c>
    </row>
    <row r="21" customFormat="false" ht="15" hidden="false" customHeight="false" outlineLevel="0" collapsed="false">
      <c r="G21" s="140" t="n">
        <v>0.645833333333333</v>
      </c>
      <c r="N21" s="0" t="str">
        <f aca="false">IFERROR(INDEX(강사DB!$A$4:$A$53,MATCH(ROW()-3,강사DB!$I$4:$I$53,0)),"")</f>
        <v/>
      </c>
    </row>
    <row r="22" customFormat="false" ht="15" hidden="false" customHeight="false" outlineLevel="0" collapsed="false">
      <c r="G22" s="140" t="n">
        <v>0.666666666666667</v>
      </c>
      <c r="N22" s="0" t="str">
        <f aca="false">IFERROR(INDEX(강사DB!$A$4:$A$53,MATCH(ROW()-3,강사DB!$I$4:$I$53,0)),"")</f>
        <v/>
      </c>
    </row>
    <row r="23" customFormat="false" ht="15" hidden="false" customHeight="false" outlineLevel="0" collapsed="false">
      <c r="G23" s="140" t="n">
        <v>0.6875</v>
      </c>
      <c r="N23" s="0" t="str">
        <f aca="false">IFERROR(INDEX(강사DB!$A$4:$A$53,MATCH(ROW()-3,강사DB!$I$4:$I$53,0)),"")</f>
        <v/>
      </c>
    </row>
    <row r="24" customFormat="false" ht="15" hidden="false" customHeight="false" outlineLevel="0" collapsed="false">
      <c r="G24" s="140" t="n">
        <v>0.708333333333333</v>
      </c>
      <c r="N24" s="0" t="str">
        <f aca="false">IFERROR(INDEX(강사DB!$A$4:$A$53,MATCH(ROW()-3,강사DB!$I$4:$I$53,0)),"")</f>
        <v/>
      </c>
    </row>
    <row r="25" customFormat="false" ht="15" hidden="false" customHeight="false" outlineLevel="0" collapsed="false">
      <c r="G25" s="140" t="n">
        <v>0.729166666666667</v>
      </c>
      <c r="N25" s="0" t="str">
        <f aca="false">IFERROR(INDEX(강사DB!$A$4:$A$53,MATCH(ROW()-3,강사DB!$I$4:$I$53,0)),"")</f>
        <v/>
      </c>
    </row>
    <row r="26" customFormat="false" ht="15" hidden="false" customHeight="false" outlineLevel="0" collapsed="false">
      <c r="G26" s="140" t="n">
        <v>0.75</v>
      </c>
      <c r="N26" s="0" t="str">
        <f aca="false">IFERROR(INDEX(강사DB!$A$4:$A$53,MATCH(ROW()-3,강사DB!$I$4:$I$53,0)),"")</f>
        <v/>
      </c>
    </row>
    <row r="27" customFormat="false" ht="15" hidden="false" customHeight="false" outlineLevel="0" collapsed="false">
      <c r="G27" s="140" t="n">
        <v>0.770833333333333</v>
      </c>
      <c r="N27" s="0" t="str">
        <f aca="false">IFERROR(INDEX(강사DB!$A$4:$A$53,MATCH(ROW()-3,강사DB!$I$4:$I$53,0)),"")</f>
        <v/>
      </c>
    </row>
    <row r="28" customFormat="false" ht="15" hidden="false" customHeight="false" outlineLevel="0" collapsed="false">
      <c r="G28" s="140" t="n">
        <v>0.791666666666667</v>
      </c>
      <c r="N28" s="0" t="str">
        <f aca="false">IFERROR(INDEX(강사DB!$A$4:$A$53,MATCH(ROW()-3,강사DB!$I$4:$I$53,0)),"")</f>
        <v/>
      </c>
    </row>
    <row r="29" customFormat="false" ht="15" hidden="false" customHeight="false" outlineLevel="0" collapsed="false">
      <c r="G29" s="140" t="n">
        <v>0.8125</v>
      </c>
      <c r="N29" s="0" t="str">
        <f aca="false">IFERROR(INDEX(강사DB!$A$4:$A$53,MATCH(ROW()-3,강사DB!$I$4:$I$53,0)),"")</f>
        <v/>
      </c>
    </row>
    <row r="30" customFormat="false" ht="15" hidden="false" customHeight="false" outlineLevel="0" collapsed="false">
      <c r="G30" s="140" t="n">
        <v>0.833333333333333</v>
      </c>
      <c r="N30" s="0" t="str">
        <f aca="false">IFERROR(INDEX(강사DB!$A$4:$A$53,MATCH(ROW()-3,강사DB!$I$4:$I$53,0)),"")</f>
        <v/>
      </c>
    </row>
    <row r="31" customFormat="false" ht="15" hidden="false" customHeight="false" outlineLevel="0" collapsed="false">
      <c r="G31" s="140" t="n">
        <v>0.854166666666667</v>
      </c>
      <c r="N31" s="0" t="str">
        <f aca="false">IFERROR(INDEX(강사DB!$A$4:$A$53,MATCH(ROW()-3,강사DB!$I$4:$I$53,0)),"")</f>
        <v/>
      </c>
    </row>
    <row r="32" customFormat="false" ht="15" hidden="false" customHeight="false" outlineLevel="0" collapsed="false">
      <c r="G32" s="140" t="n">
        <v>0.875</v>
      </c>
      <c r="N32" s="0" t="str">
        <f aca="false">IFERROR(INDEX(강사DB!$A$4:$A$53,MATCH(ROW()-3,강사DB!$I$4:$I$53,0)),"")</f>
        <v/>
      </c>
    </row>
    <row r="33" customFormat="false" ht="15" hidden="false" customHeight="false" outlineLevel="0" collapsed="false">
      <c r="G33" s="140" t="n">
        <v>0.895833333333333</v>
      </c>
      <c r="N33" s="0" t="str">
        <f aca="false">IFERROR(INDEX(강사DB!$A$4:$A$53,MATCH(ROW()-3,강사DB!$I$4:$I$53,0)),"")</f>
        <v/>
      </c>
    </row>
    <row r="34" customFormat="false" ht="15" hidden="false" customHeight="false" outlineLevel="0" collapsed="false">
      <c r="G34" s="140" t="n">
        <v>0.916666666666667</v>
      </c>
      <c r="N34" s="0" t="str">
        <f aca="false">IFERROR(INDEX(강사DB!$A$4:$A$53,MATCH(ROW()-3,강사DB!$I$4:$I$53,0)),"")</f>
        <v/>
      </c>
    </row>
    <row r="35" customFormat="false" ht="15" hidden="false" customHeight="false" outlineLevel="0" collapsed="false">
      <c r="G35" s="140" t="n">
        <v>0.9375</v>
      </c>
      <c r="N35" s="0" t="str">
        <f aca="false">IFERROR(INDEX(강사DB!$A$4:$A$53,MATCH(ROW()-3,강사DB!$I$4:$I$53,0)),"")</f>
        <v/>
      </c>
    </row>
    <row r="36" customFormat="false" ht="15" hidden="false" customHeight="false" outlineLevel="0" collapsed="false">
      <c r="N36" s="0" t="str">
        <f aca="false">IFERROR(INDEX(강사DB!$A$4:$A$53,MATCH(ROW()-3,강사DB!$I$4:$I$53,0)),"")</f>
        <v/>
      </c>
    </row>
    <row r="37" customFormat="false" ht="15" hidden="false" customHeight="false" outlineLevel="0" collapsed="false">
      <c r="N37" s="0" t="str">
        <f aca="false">IFERROR(INDEX(강사DB!$A$4:$A$53,MATCH(ROW()-3,강사DB!$I$4:$I$53,0)),"")</f>
        <v/>
      </c>
    </row>
    <row r="38" customFormat="false" ht="15" hidden="false" customHeight="false" outlineLevel="0" collapsed="false">
      <c r="N38" s="0" t="str">
        <f aca="false">IFERROR(INDEX(강사DB!$A$4:$A$53,MATCH(ROW()-3,강사DB!$I$4:$I$53,0)),"")</f>
        <v/>
      </c>
    </row>
    <row r="39" customFormat="false" ht="15" hidden="false" customHeight="false" outlineLevel="0" collapsed="false">
      <c r="N39" s="0" t="str">
        <f aca="false">IFERROR(INDEX(강사DB!$A$4:$A$53,MATCH(ROW()-3,강사DB!$I$4:$I$53,0)),"")</f>
        <v/>
      </c>
    </row>
    <row r="40" customFormat="false" ht="15" hidden="false" customHeight="false" outlineLevel="0" collapsed="false">
      <c r="N40" s="0" t="str">
        <f aca="false">IFERROR(INDEX(강사DB!$A$4:$A$53,MATCH(ROW()-3,강사DB!$I$4:$I$53,0)),"")</f>
        <v/>
      </c>
    </row>
    <row r="41" customFormat="false" ht="15" hidden="false" customHeight="false" outlineLevel="0" collapsed="false">
      <c r="N41" s="0" t="str">
        <f aca="false">IFERROR(INDEX(강사DB!$A$4:$A$53,MATCH(ROW()-3,강사DB!$I$4:$I$53,0)),"")</f>
        <v/>
      </c>
    </row>
    <row r="42" customFormat="false" ht="15" hidden="false" customHeight="false" outlineLevel="0" collapsed="false">
      <c r="N42" s="0" t="str">
        <f aca="false">IFERROR(INDEX(강사DB!$A$4:$A$53,MATCH(ROW()-3,강사DB!$I$4:$I$53,0)),"")</f>
        <v/>
      </c>
    </row>
    <row r="43" customFormat="false" ht="15" hidden="false" customHeight="false" outlineLevel="0" collapsed="false">
      <c r="N43" s="0" t="str">
        <f aca="false">IFERROR(INDEX(강사DB!$A$4:$A$53,MATCH(ROW()-3,강사DB!$I$4:$I$53,0)),"")</f>
        <v/>
      </c>
    </row>
    <row r="44" customFormat="false" ht="15" hidden="false" customHeight="false" outlineLevel="0" collapsed="false">
      <c r="N44" s="0" t="str">
        <f aca="false">IFERROR(INDEX(강사DB!$A$4:$A$53,MATCH(ROW()-3,강사DB!$I$4:$I$53,0)),"")</f>
        <v/>
      </c>
    </row>
    <row r="45" customFormat="false" ht="15" hidden="false" customHeight="false" outlineLevel="0" collapsed="false">
      <c r="N45" s="0" t="str">
        <f aca="false">IFERROR(INDEX(강사DB!$A$4:$A$53,MATCH(ROW()-3,강사DB!$I$4:$I$53,0)),"")</f>
        <v/>
      </c>
    </row>
    <row r="46" customFormat="false" ht="15" hidden="false" customHeight="false" outlineLevel="0" collapsed="false">
      <c r="N46" s="0" t="str">
        <f aca="false">IFERROR(INDEX(강사DB!$A$4:$A$53,MATCH(ROW()-3,강사DB!$I$4:$I$53,0)),"")</f>
        <v/>
      </c>
    </row>
    <row r="47" customFormat="false" ht="15" hidden="false" customHeight="false" outlineLevel="0" collapsed="false">
      <c r="N47" s="0" t="str">
        <f aca="false">IFERROR(INDEX(강사DB!$A$4:$A$53,MATCH(ROW()-3,강사DB!$I$4:$I$53,0)),"")</f>
        <v/>
      </c>
    </row>
    <row r="48" customFormat="false" ht="15" hidden="false" customHeight="false" outlineLevel="0" collapsed="false">
      <c r="N48" s="0" t="str">
        <f aca="false">IFERROR(INDEX(강사DB!$A$4:$A$53,MATCH(ROW()-3,강사DB!$I$4:$I$53,0)),"")</f>
        <v/>
      </c>
    </row>
    <row r="49" customFormat="false" ht="15" hidden="false" customHeight="false" outlineLevel="0" collapsed="false">
      <c r="N49" s="0" t="str">
        <f aca="false">IFERROR(INDEX(강사DB!$A$4:$A$53,MATCH(ROW()-3,강사DB!$I$4:$I$53,0)),"")</f>
        <v/>
      </c>
    </row>
    <row r="50" customFormat="false" ht="15" hidden="false" customHeight="false" outlineLevel="0" collapsed="false">
      <c r="N50" s="0" t="str">
        <f aca="false">IFERROR(INDEX(강사DB!$A$4:$A$53,MATCH(ROW()-3,강사DB!$I$4:$I$53,0)),"")</f>
        <v/>
      </c>
    </row>
    <row r="51" customFormat="false" ht="15" hidden="false" customHeight="false" outlineLevel="0" collapsed="false">
      <c r="N51" s="0" t="str">
        <f aca="false">IFERROR(INDEX(강사DB!$A$4:$A$53,MATCH(ROW()-3,강사DB!$I$4:$I$53,0)),"")</f>
        <v/>
      </c>
    </row>
    <row r="52" customFormat="false" ht="15" hidden="false" customHeight="false" outlineLevel="0" collapsed="false">
      <c r="N52" s="0" t="str">
        <f aca="false">IFERROR(INDEX(강사DB!$A$4:$A$53,MATCH(ROW()-3,강사DB!$I$4:$I$53,0)),"")</f>
        <v/>
      </c>
    </row>
    <row r="53" customFormat="false" ht="15" hidden="false" customHeight="false" outlineLevel="0" collapsed="false">
      <c r="N53" s="0" t="str">
        <f aca="false">IFERROR(INDEX(강사DB!$A$4:$A$53,MATCH(ROW()-3,강사DB!$I$4:$I$53,0)),"")</f>
        <v/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99A8"/>
    <pageSetUpPr fitToPage="fals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7" min="2" style="0" width="18"/>
  </cols>
  <sheetData>
    <row r="1" customFormat="false" ht="19.4" hidden="false" customHeight="true" outlineLevel="0" collapsed="false">
      <c r="A1" s="131" t="s">
        <v>199</v>
      </c>
      <c r="B1" s="131"/>
      <c r="C1" s="131"/>
      <c r="D1" s="131"/>
      <c r="E1" s="131"/>
      <c r="F1" s="131"/>
      <c r="G1" s="131"/>
    </row>
    <row r="3" customFormat="false" ht="30" hidden="false" customHeight="true" outlineLevel="0" collapsed="false">
      <c r="A3" s="146" t="s">
        <v>200</v>
      </c>
      <c r="B3" s="138" t="s">
        <v>201</v>
      </c>
      <c r="C3" s="138"/>
      <c r="D3" s="138"/>
      <c r="E3" s="138"/>
      <c r="F3" s="138"/>
      <c r="G3" s="138"/>
    </row>
    <row r="4" customFormat="false" ht="30" hidden="false" customHeight="true" outlineLevel="0" collapsed="false">
      <c r="A4" s="146" t="s">
        <v>202</v>
      </c>
      <c r="B4" s="138" t="s">
        <v>203</v>
      </c>
      <c r="C4" s="138"/>
      <c r="D4" s="138"/>
      <c r="E4" s="138"/>
      <c r="F4" s="138"/>
      <c r="G4" s="138"/>
    </row>
    <row r="5" customFormat="false" ht="30" hidden="false" customHeight="true" outlineLevel="0" collapsed="false">
      <c r="A5" s="146" t="s">
        <v>204</v>
      </c>
      <c r="B5" s="138" t="s">
        <v>205</v>
      </c>
      <c r="C5" s="138"/>
      <c r="D5" s="138"/>
      <c r="E5" s="138"/>
      <c r="F5" s="138"/>
      <c r="G5" s="138"/>
    </row>
    <row r="6" customFormat="false" ht="30" hidden="false" customHeight="true" outlineLevel="0" collapsed="false">
      <c r="A6" s="146" t="s">
        <v>206</v>
      </c>
      <c r="B6" s="138" t="s">
        <v>207</v>
      </c>
      <c r="C6" s="138"/>
      <c r="D6" s="138"/>
      <c r="E6" s="138"/>
      <c r="F6" s="138"/>
      <c r="G6" s="138"/>
    </row>
    <row r="7" customFormat="false" ht="30" hidden="false" customHeight="true" outlineLevel="0" collapsed="false">
      <c r="A7" s="146" t="s">
        <v>208</v>
      </c>
      <c r="B7" s="138" t="s">
        <v>209</v>
      </c>
      <c r="C7" s="138"/>
      <c r="D7" s="138"/>
      <c r="E7" s="138"/>
      <c r="F7" s="138"/>
      <c r="G7" s="138"/>
    </row>
    <row r="8" customFormat="false" ht="30" hidden="false" customHeight="true" outlineLevel="0" collapsed="false">
      <c r="A8" s="146" t="s">
        <v>210</v>
      </c>
      <c r="B8" s="138" t="s">
        <v>211</v>
      </c>
      <c r="C8" s="138"/>
      <c r="D8" s="138"/>
      <c r="E8" s="138"/>
      <c r="F8" s="138"/>
      <c r="G8" s="138"/>
    </row>
    <row r="9" customFormat="false" ht="30" hidden="false" customHeight="true" outlineLevel="0" collapsed="false">
      <c r="A9" s="146" t="s">
        <v>212</v>
      </c>
      <c r="B9" s="138" t="s">
        <v>213</v>
      </c>
      <c r="C9" s="138"/>
      <c r="D9" s="138"/>
      <c r="E9" s="138"/>
      <c r="F9" s="138"/>
      <c r="G9" s="138"/>
    </row>
    <row r="10" customFormat="false" ht="30" hidden="false" customHeight="true" outlineLevel="0" collapsed="false">
      <c r="A10" s="146" t="s">
        <v>214</v>
      </c>
      <c r="B10" s="138" t="s">
        <v>215</v>
      </c>
      <c r="C10" s="138"/>
      <c r="D10" s="138"/>
      <c r="E10" s="138"/>
      <c r="F10" s="138"/>
      <c r="G10" s="138"/>
    </row>
    <row r="12" customFormat="false" ht="15" hidden="false" customHeight="true" outlineLevel="0" collapsed="false">
      <c r="A12" s="8" t="s">
        <v>216</v>
      </c>
      <c r="B12" s="8"/>
      <c r="C12" s="8"/>
      <c r="D12" s="8"/>
      <c r="E12" s="8"/>
      <c r="F12" s="8"/>
      <c r="G12" s="8"/>
    </row>
    <row r="13" customFormat="false" ht="15" hidden="false" customHeight="false" outlineLevel="0" collapsed="false">
      <c r="A13" s="3" t="s">
        <v>47</v>
      </c>
      <c r="B13" s="3" t="s">
        <v>49</v>
      </c>
      <c r="C13" s="3" t="s">
        <v>52</v>
      </c>
      <c r="D13" s="3" t="s">
        <v>217</v>
      </c>
      <c r="E13" s="3" t="s">
        <v>58</v>
      </c>
      <c r="F13" s="3" t="s">
        <v>59</v>
      </c>
      <c r="G13" s="3" t="s">
        <v>61</v>
      </c>
    </row>
    <row r="14" customFormat="false" ht="15" hidden="false" customHeight="false" outlineLevel="0" collapsed="false">
      <c r="A14" s="147" t="s">
        <v>36</v>
      </c>
      <c r="B14" s="147" t="s">
        <v>218</v>
      </c>
      <c r="C14" s="148" t="s">
        <v>219</v>
      </c>
      <c r="D14" s="148" t="s">
        <v>220</v>
      </c>
      <c r="E14" s="147"/>
      <c r="F14" s="148" t="s">
        <v>221</v>
      </c>
      <c r="G14" s="148" t="s">
        <v>222</v>
      </c>
    </row>
    <row r="15" customFormat="false" ht="15" hidden="false" customHeight="false" outlineLevel="0" collapsed="false">
      <c r="A15" s="147" t="s">
        <v>35</v>
      </c>
      <c r="B15" s="147" t="s">
        <v>223</v>
      </c>
      <c r="C15" s="148" t="s">
        <v>224</v>
      </c>
      <c r="D15" s="148" t="s">
        <v>225</v>
      </c>
      <c r="E15" s="147" t="s">
        <v>80</v>
      </c>
      <c r="F15" s="148" t="s">
        <v>221</v>
      </c>
      <c r="G15" s="148" t="s">
        <v>226</v>
      </c>
    </row>
    <row r="16" customFormat="false" ht="15" hidden="false" customHeight="false" outlineLevel="0" collapsed="false">
      <c r="A16" s="147" t="s">
        <v>4</v>
      </c>
      <c r="B16" s="147" t="s">
        <v>227</v>
      </c>
      <c r="C16" s="148" t="s">
        <v>228</v>
      </c>
      <c r="D16" s="148" t="s">
        <v>229</v>
      </c>
      <c r="E16" s="147" t="s">
        <v>158</v>
      </c>
      <c r="F16" s="148" t="s">
        <v>221</v>
      </c>
      <c r="G16" s="148" t="s">
        <v>230</v>
      </c>
    </row>
  </sheetData>
  <mergeCells count="10">
    <mergeCell ref="A1:G1"/>
    <mergeCell ref="B3:G3"/>
    <mergeCell ref="B4:G4"/>
    <mergeCell ref="B5:G5"/>
    <mergeCell ref="B6:G6"/>
    <mergeCell ref="B7:G7"/>
    <mergeCell ref="B8:G8"/>
    <mergeCell ref="B9:G9"/>
    <mergeCell ref="B10:G10"/>
    <mergeCell ref="A12:G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2026-10-06T02:30:04Z</dcterms:created>
  <dc:creator>openpyxl</dc:creator>
  <dc:description/>
  <dc:language>en-US</dc:language>
  <cp:lastModifiedBy/>
  <dcterms:modified xsi:type="dcterms:W3CDTF">2026-10-06T02:30:11Z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